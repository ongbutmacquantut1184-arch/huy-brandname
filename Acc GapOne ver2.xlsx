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cc GapOne" sheetId="1" r:id="rId5"/>
    <sheet state="visible" name="Link Form nhập liệu" sheetId="2" r:id="rId6"/>
    <sheet state="visible" name="Acc GapOne ver2" sheetId="3" r:id="rId7"/>
    <sheet state="visible" name="List KH Cảnh báo SMS" sheetId="4" r:id="rId8"/>
    <sheet state="visible" name="Acc GapOne (old)" sheetId="5" r:id="rId9"/>
    <sheet state="visible" name="ZMA + Campaign" sheetId="6" r:id="rId10"/>
    <sheet state="visible" name="sale theo kv" sheetId="7" r:id="rId11"/>
    <sheet state="visible" name="Data_list" sheetId="8" r:id="rId12"/>
    <sheet state="visible" name="audit log" sheetId="9" r:id="rId13"/>
    <sheet state="visible" name="link_faq" sheetId="10" r:id="rId14"/>
    <sheet state="visible" name="service_log" sheetId="11" r:id="rId15"/>
    <sheet state="visible" name="tách kênh" sheetId="12" r:id="rId16"/>
    <sheet state="visible" name="tungld_tách kênh" sheetId="13" r:id="rId17"/>
    <sheet state="visible" name="namdt_tách dữ liệu input" sheetId="14" r:id="rId18"/>
    <sheet state="visible" name="tungld_tách SUP" sheetId="15" r:id="rId19"/>
    <sheet state="visible" name="tách dữ liệu input" sheetId="16" r:id="rId20"/>
  </sheets>
  <definedNames>
    <definedName hidden="1" localSheetId="0" name="_xlnm._FilterDatabase">'Acc GapOne'!$A$1:$AE$580</definedName>
    <definedName hidden="1" localSheetId="2" name="_xlnm._FilterDatabase">'Acc GapOne ver2'!$A$1:$AE$695</definedName>
    <definedName hidden="1" localSheetId="7" name="_xlnm._FilterDatabase">Data_list!$C$1:$C$1001</definedName>
    <definedName hidden="1" localSheetId="11" name="_xlnm._FilterDatabase">'tách kênh'!$A$1:$J$635</definedName>
    <definedName hidden="1" localSheetId="12" name="_xlnm._FilterDatabase">'tungld_tách kênh'!$A$1:$J$632</definedName>
    <definedName hidden="1" localSheetId="13" name="_xlnm._FilterDatabase">'namdt_tách dữ liệu input'!$A$1:$K$685</definedName>
    <definedName hidden="1" localSheetId="14" name="_xlnm._FilterDatabase">'tungld_tách SUP'!$A$1:$J$579</definedName>
    <definedName hidden="1" localSheetId="15" name="_xlnm._FilterDatabase">'tách dữ liệu input'!$A$1:$J$688</definedName>
    <definedName hidden="1" localSheetId="2" name="Z_8201EC1A_EE62_486E_966C_9D5F076D0D14_.wvu.FilterData">'Acc GapOne ver2'!$A$1:$AD$967</definedName>
    <definedName hidden="1" localSheetId="2" name="Z_D34FC7C5_1022_4D9B_AB06_05E1D196418D_.wvu.FilterData">'Acc GapOne ver2'!$A$1:$AD$967</definedName>
    <definedName hidden="1" localSheetId="2" name="Z_3E6967CB_85AE_44E2_BC54_10DE7F408A4C_.wvu.FilterData">'Acc GapOne ver2'!$A$1:$AE$967</definedName>
  </definedNames>
  <calcPr/>
  <customWorkbookViews>
    <customWorkbookView activeSheetId="0" maximized="1" windowHeight="0" windowWidth="0" guid="{8201EC1A-EE62-486E-966C-9D5F076D0D14}" name="Bộ lọc 1"/>
    <customWorkbookView activeSheetId="0" maximized="1" windowHeight="0" windowWidth="0" guid="{D34FC7C5-1022-4D9B-AB06-05E1D196418D}" name="Tuphn"/>
    <customWorkbookView activeSheetId="0" maximized="1" windowHeight="0" windowWidth="0" guid="{3E6967CB-85AE-44E2-BC54-10DE7F408A4C}" name="Namdt"/>
  </customWorkbookViews>
  <pivotCaches>
    <pivotCache cacheId="0" r:id="rId21"/>
    <pivotCache cacheId="1" r:id="rId22"/>
    <pivotCache cacheId="2" r:id="rId23"/>
    <pivotCache cacheId="3" r:id="rId24"/>
    <pivotCache cacheId="4" r:id="rId25"/>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89">
      <text>
        <t xml:space="preserve">KH đã đổi pass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tc={3ff75516-e418-439c-b1d5-54ab63cc4a03}</author>
  </authors>
  <commentList>
    <comment authorId="0" ref="G313">
      <text>
        <t xml:space="preserve">KH đã đổi pass</t>
      </text>
    </comment>
    <comment authorId="1" xr:uid="{3ff75516-e418-439c-b1d5-54ab63cc4a03}" ref="J255">
      <text>
        <t xml:space="preserve">[Threaded comment]
 Your version of Excel allows you to read this threaded comment; however, any edits to it will get removed if the file is opened in a newer version of Excel. Learn more: https://go.microsoft.com/fwlink/?linkid=870924
Comment:
	Không có thông tin về việc khách có dùng API không, khách này trước đó của chị Thanh, không có CS
</t>
      </text>
    </comment>
  </commentList>
</comments>
</file>

<file path=xl/sharedStrings.xml><?xml version="1.0" encoding="utf-8"?>
<sst xmlns="http://schemas.openxmlformats.org/spreadsheetml/2006/main" count="31808" uniqueCount="5520">
  <si>
    <t>Tên Support</t>
  </si>
  <si>
    <t>Mã Phân loại</t>
  </si>
  <si>
    <t>Trạng thái</t>
  </si>
  <si>
    <t>ORG ID</t>
  </si>
  <si>
    <t>CPID</t>
  </si>
  <si>
    <t>CpName/CpCode</t>
  </si>
  <si>
    <t>Tên Công ty</t>
  </si>
  <si>
    <t>Loại dịch vụ</t>
  </si>
  <si>
    <t>Kết nối</t>
  </si>
  <si>
    <t>Kênh sử dụng</t>
  </si>
  <si>
    <t>Phát sinh sản lượng SMS CSKH</t>
  </si>
  <si>
    <t>Khu vực (theo Sale)</t>
  </si>
  <si>
    <t>Link Form nhập thông tin tài khoản GapOne</t>
  </si>
  <si>
    <t>Khu vực
(PL theo Sale)</t>
  </si>
  <si>
    <t>DungPL</t>
  </si>
  <si>
    <t>Status</t>
  </si>
  <si>
    <t>Tên công ty</t>
  </si>
  <si>
    <t>Tên tài khoản</t>
  </si>
  <si>
    <t>XICHVIET</t>
  </si>
  <si>
    <t>Active</t>
  </si>
  <si>
    <t>-</t>
  </si>
  <si>
    <t>Mật khẩu</t>
  </si>
  <si>
    <t>XICHVIET2</t>
  </si>
  <si>
    <t>A2P</t>
  </si>
  <si>
    <t>API Gateway</t>
  </si>
  <si>
    <t>SMS CSKH</t>
  </si>
  <si>
    <t>Loại gói cước</t>
  </si>
  <si>
    <t>Lâu ko phát sinh SMS CSKH</t>
  </si>
  <si>
    <t>Dữ liệu input</t>
  </si>
  <si>
    <t>Ngành nghề</t>
  </si>
  <si>
    <t>Ngày bắt đầu</t>
  </si>
  <si>
    <t>Năm bắt đầu</t>
  </si>
  <si>
    <t>Hình thức thanh toán</t>
  </si>
  <si>
    <t>Ngày hết hạn</t>
  </si>
  <si>
    <t>Năm hết hạn</t>
  </si>
  <si>
    <t>Hình thức sử dụng</t>
  </si>
  <si>
    <t>Sản lượng chính (SMS CSKH)</t>
  </si>
  <si>
    <t>Ngày sử dụng</t>
  </si>
  <si>
    <t>DungVT</t>
  </si>
  <si>
    <t>Năm sử dụng</t>
  </si>
  <si>
    <t>Wincommerce</t>
  </si>
  <si>
    <t>Gia hạn</t>
  </si>
  <si>
    <t>Note thông tin gia hạn</t>
  </si>
  <si>
    <t>HĐ có điều khoản tự động gia hạn (Có/Không)</t>
  </si>
  <si>
    <t>Kênh gửi tin</t>
  </si>
  <si>
    <t>Ghi chú hình thức thanh toán (trả trước, trả sau)</t>
  </si>
  <si>
    <t>G1_ZALO_MOBICAST</t>
  </si>
  <si>
    <t>Công ty cổ phần Mobicast</t>
  </si>
  <si>
    <t>GapOne</t>
  </si>
  <si>
    <t>Email tạo tài khoản</t>
  </si>
  <si>
    <t>API GapOne</t>
  </si>
  <si>
    <t>Có sản lượng (SMS CSKH)</t>
  </si>
  <si>
    <t>Email khách hàng nhận thông báo về sự cố, bảo trì, nghỉ lễ</t>
  </si>
  <si>
    <t>Nhu cầu: mô tả chi tiết các nhu cầu sẽ triển khai trên SP/DV mà Sale đã trao đổi với khách hàng</t>
  </si>
  <si>
    <t>Customer Success</t>
  </si>
  <si>
    <t>Customer Support</t>
  </si>
  <si>
    <t>Link HDSD Form nhập liệu Tài khoản GapOne</t>
  </si>
  <si>
    <t>Sales</t>
  </si>
  <si>
    <t>Phân khúc KH</t>
  </si>
  <si>
    <t>WINCOMMERCE</t>
  </si>
  <si>
    <t>CÔNG TY CỔ PHẦN DỊCH VỤ THƯƠNG MẠI TỔNG HỢP WINCOMMERCE</t>
  </si>
  <si>
    <t>Mã phân loại</t>
  </si>
  <si>
    <t>Ít sản lượng (SMS CSKH)</t>
  </si>
  <si>
    <t>G1_WINCOMMERCE</t>
  </si>
  <si>
    <t>Hà Nội</t>
  </si>
  <si>
    <t>YếnĐH</t>
  </si>
  <si>
    <t>WHITECOAT</t>
  </si>
  <si>
    <t>Locked</t>
  </si>
  <si>
    <t>G1_WHITECOAT</t>
  </si>
  <si>
    <t>Công Ty TNHH WHITECOAT Việt Nam</t>
  </si>
  <si>
    <t>SMS CSKH, SMS QC</t>
  </si>
  <si>
    <t>WhiteCoat</t>
  </si>
  <si>
    <t>CÔNG TY TNHH BẢO HIỂM NHÂN THỌ MB AGEAS</t>
  </si>
  <si>
    <t>mbageas_api</t>
  </si>
  <si>
    <t>WAVECELL</t>
  </si>
  <si>
    <t>Mbageas@123</t>
  </si>
  <si>
    <t>WAVECELL2</t>
  </si>
  <si>
    <t>SMPP</t>
  </si>
  <si>
    <t>Mô tả nhu cầu KH (từ sale)</t>
  </si>
  <si>
    <t>HĐ có tự động gia hạn?</t>
  </si>
  <si>
    <t>Lần Gia hạn</t>
  </si>
  <si>
    <t>Note/Thông tin gia hạn</t>
  </si>
  <si>
    <t>Trial API</t>
  </si>
  <si>
    <t>VTVGO</t>
  </si>
  <si>
    <t>API</t>
  </si>
  <si>
    <t>Link Mini hỗ trợ CX</t>
  </si>
  <si>
    <t>Tài chính &amp; Ngân hàng</t>
  </si>
  <si>
    <t>VTV_GAPONE</t>
  </si>
  <si>
    <t>TRUNG TÂM SẢN XUẤT VÀ PHÁT TRIỂN NỘI DUNG SỐ (VTVDIGITAL)</t>
  </si>
  <si>
    <t>VTVCab</t>
  </si>
  <si>
    <t>VTVCAB_G1</t>
  </si>
  <si>
    <t>Công Ty Cổ Phần Tổng Công Ty Truyền Hình Cáp Việt Nam</t>
  </si>
  <si>
    <t>Locked vì nguyên nhân khách quan</t>
  </si>
  <si>
    <t>TRUYENHINHCAPVIETNAM</t>
  </si>
  <si>
    <t>Sheet dữ liệu Tài khoản GapOne đã nhập</t>
  </si>
  <si>
    <t>VTP</t>
  </si>
  <si>
    <t>G1_VTP2</t>
  </si>
  <si>
    <t>CÔNG TY CỔ PHẦN VIỆT NAM VTP</t>
  </si>
  <si>
    <t>29</t>
  </si>
  <si>
    <t>G1_VTP.VN</t>
  </si>
  <si>
    <t>CÔNG TY CỔ PHẦN MOBITRIP</t>
  </si>
  <si>
    <t>mobihome</t>
  </si>
  <si>
    <t>none</t>
  </si>
  <si>
    <t>Enterprise</t>
  </si>
  <si>
    <t>Trả sau</t>
  </si>
  <si>
    <t>SMS CSKH, Zalo ZNS</t>
  </si>
  <si>
    <t>Trial</t>
  </si>
  <si>
    <t>VNET</t>
  </si>
  <si>
    <t>VNET2_wholesales_VNM</t>
  </si>
  <si>
    <t>Công Ty Cổ Phần VNET</t>
  </si>
  <si>
    <t>Vnet</t>
  </si>
  <si>
    <t>linh.lh@mbageas.life</t>
  </si>
  <si>
    <t>VIVAS</t>
  </si>
  <si>
    <t>Không</t>
  </si>
  <si>
    <t>CÔNG TY TNHH CUNG CẤP GIẢI PHÁP DỊCH VỤ GIÁ TRỊ GIA TĂNG (VIVAS)</t>
  </si>
  <si>
    <t>gia hạn API + platform
Khách đã đổi pass</t>
  </si>
  <si>
    <t>VINPEARL</t>
  </si>
  <si>
    <t>hungtran@mobitrip.vn</t>
  </si>
  <si>
    <t>G1_VINPEARL</t>
  </si>
  <si>
    <t>Công Ty Cổ Phần Vinpearl</t>
  </si>
  <si>
    <t>SMS CSKH, Zalo ZNS, WhatsApp</t>
  </si>
  <si>
    <t>Vận tải &amp; logistics</t>
  </si>
  <si>
    <t>TùngLD</t>
  </si>
  <si>
    <t>LinhNTT1</t>
  </si>
  <si>
    <t>NhungPTH</t>
  </si>
  <si>
    <t>VINMEC NT</t>
  </si>
  <si>
    <t>VinmecNhaTrang_G1</t>
  </si>
  <si>
    <t>VINMEC Nha Trang - Chi nhánh Công ty Cổ phần Bệnh viện ĐKQT - Bệnh niện ĐKQT Vinmec Nha Trang</t>
  </si>
  <si>
    <t>Gold</t>
  </si>
  <si>
    <t>WELOVESUPERMOM PTE LTD</t>
  </si>
  <si>
    <t>welovesupermom_api</t>
  </si>
  <si>
    <t>VINMEC NT_API</t>
  </si>
  <si>
    <t>Welovesupermom@123</t>
  </si>
  <si>
    <t>Vĩnh Tường</t>
  </si>
  <si>
    <t>VinhTuong_hcm2</t>
  </si>
  <si>
    <t>CÔNG TY TNHH CÔNG NGHIỆP VĨNH TƯỜNG MIỀN BẮC VIỆT NAM</t>
  </si>
  <si>
    <t>sms_VT_DURAflex</t>
  </si>
  <si>
    <t>VT_DH</t>
  </si>
  <si>
    <t>75</t>
  </si>
  <si>
    <t>ENTERPRISE</t>
  </si>
  <si>
    <t>VT_OTP</t>
  </si>
  <si>
    <t>VINHTUONG072021</t>
  </si>
  <si>
    <t>Công Ty TNHH Bảo Hiểm Nhân Thọ FWD Việt Nam</t>
  </si>
  <si>
    <t>FWDTEST1</t>
  </si>
  <si>
    <t>123456aA@</t>
  </si>
  <si>
    <t>VTDC</t>
  </si>
  <si>
    <t>API &amp; Portal</t>
  </si>
  <si>
    <t>File Excel, API</t>
  </si>
  <si>
    <t>Vinh Tuong</t>
  </si>
  <si>
    <t>VINHTUONG_HCM</t>
  </si>
  <si>
    <t>Lần đầu</t>
  </si>
  <si>
    <t>VINHTUONG_HN</t>
  </si>
  <si>
    <t>Nâng cấp gói ngày 6/4/2023, đã hủy từ T5.2023</t>
  </si>
  <si>
    <t>linh.nguyen@welovesupermom.com</t>
  </si>
  <si>
    <t>G1_VINHTUONG</t>
  </si>
  <si>
    <t>SMS CSKH, SMS QC, Zalo ZNS</t>
  </si>
  <si>
    <t>- HĐ  01/06/2021 - 01/06/2023.
- Gia hạn 1: 01/06/2023 - 01/06/2025.
- Gia hạn 2: 01/06/2025 - 01/06/2027</t>
  </si>
  <si>
    <t>đã khóa tài khoản</t>
  </si>
  <si>
    <t>TEST1@TEST.COM</t>
  </si>
  <si>
    <t>Thach.Binh@fwd.com; Nguyen.AnhThu@fwd.com; Tran.NgocHuy@fwd.com; Huynh.NamAnh@fwd.com; Nguyen.HoangNguyetNguyen@fwd.com; Huynh.NamAnh@fwd.com; vu.thithuhang@fwd.com; ThuyTrang.Tran@fwd.com; Truong.BuiThuyNgoc@fwd.com; Nguyen.NgocThienNgan@fwd.com; Nguyen.NgocThienNgan@fwd.com; DangQuy.Huynh@fwd.com; Lam.QuangHung@fwd.com; Le.NguyenThuyTien@fwd.com; HoaiHuong.Nguyen@fwd.com; Pham.AnhTuyet@fwd.com; DuongThanh.Luu@fwd.com</t>
  </si>
  <si>
    <t>FSoftVINHTUONG</t>
  </si>
  <si>
    <t>Sale chưa cung cấp</t>
  </si>
  <si>
    <t>HangNT</t>
  </si>
  <si>
    <t>VIHAT</t>
  </si>
  <si>
    <t>Diamond</t>
  </si>
  <si>
    <t>Công ty TNHH Colgate-Palmolive (Việt Nam)</t>
  </si>
  <si>
    <t>colgate_api</t>
  </si>
  <si>
    <t>VIHAT_LOCAL</t>
  </si>
  <si>
    <t>Colgate@123</t>
  </si>
  <si>
    <t>Sài Gòn</t>
  </si>
  <si>
    <t>VINAFTC - BRANDED</t>
  </si>
  <si>
    <t>119</t>
  </si>
  <si>
    <t>Công ty CP Chuyển đổi số Vietants - Chi nhánh Vioedu</t>
  </si>
  <si>
    <t>vietantsgapone</t>
  </si>
  <si>
    <t>Viettel</t>
  </si>
  <si>
    <t>(Không recheck)</t>
  </si>
  <si>
    <t>VIETTEL2</t>
  </si>
  <si>
    <t>Tổng Công Ty Giải Pháp Doanh Nghiệp VIETTEL - CN Tập Đoàn Công Nghiệp - Viễn Thông Quân Đội</t>
  </si>
  <si>
    <t>Standard</t>
  </si>
  <si>
    <t>thu_duong@colpal.com</t>
  </si>
  <si>
    <t>viettel_gateway</t>
  </si>
  <si>
    <t>Zalo ZNS</t>
  </si>
  <si>
    <t>Grandstream</t>
  </si>
  <si>
    <t>grandstream_gapone</t>
  </si>
  <si>
    <t>Grandstream@123</t>
  </si>
  <si>
    <t>VIEON</t>
  </si>
  <si>
    <t>VieChannel</t>
  </si>
  <si>
    <t>Trial ENTERPRISE</t>
  </si>
  <si>
    <t>CÔNG TY CỔ PHẦN VIEON</t>
  </si>
  <si>
    <t>Tyntec</t>
  </si>
  <si>
    <t>tyntec</t>
  </si>
  <si>
    <t>TWILIO</t>
  </si>
  <si>
    <t>Twilio_spec</t>
  </si>
  <si>
    <t>luongmanh@tongdai.vn</t>
  </si>
  <si>
    <t>trungnguyenlegend</t>
  </si>
  <si>
    <t>SMS_trungnguyenlegend</t>
  </si>
  <si>
    <t>Công Ty Cổ Phần Trung Nguyên FRANCHISING</t>
  </si>
  <si>
    <t>CÔNG TY CỔ PHẦN TIERRA</t>
  </si>
  <si>
    <t>tierra_gapone</t>
  </si>
  <si>
    <t>Tierra@123</t>
  </si>
  <si>
    <t>TrungNguyen</t>
  </si>
  <si>
    <t>TPBANK</t>
  </si>
  <si>
    <t>TPBank</t>
  </si>
  <si>
    <t>TOKU</t>
  </si>
  <si>
    <t>The Body Shop</t>
  </si>
  <si>
    <t>minh.doan@vietants.vn</t>
  </si>
  <si>
    <t>web.thebodyshop</t>
  </si>
  <si>
    <t>CÔNG TY TNHH TBS VIỆT NAM</t>
  </si>
  <si>
    <t>duy.tranthiphuc@tierra.vn</t>
  </si>
  <si>
    <t>Giáo dục &amp; Đào tạo</t>
  </si>
  <si>
    <t>TúPHN</t>
  </si>
  <si>
    <t>Không phân công</t>
  </si>
  <si>
    <t>thanh lý ngày 25/01/2024
CS SG báo sale vẫn đang mở TK dùng cho đến 26/03/2024</t>
  </si>
  <si>
    <t>ThanhNT</t>
  </si>
  <si>
    <t>G1_TBS</t>
  </si>
  <si>
    <t>SMS CSKH, SMS QC , Zalo ZNS</t>
  </si>
  <si>
    <t>MaiTP</t>
  </si>
  <si>
    <t>TinhSG</t>
  </si>
  <si>
    <t>TheBodyShop</t>
  </si>
  <si>
    <t>CÔNG TY CỔ PHẦN BÁN LẺ VIỆT MOTO</t>
  </si>
  <si>
    <t>Yes</t>
  </si>
  <si>
    <t>alnaboodah_zns</t>
  </si>
  <si>
    <t>Alnaboodah@123</t>
  </si>
  <si>
    <t>Tencent</t>
  </si>
  <si>
    <t>878</t>
  </si>
  <si>
    <t>Trial MSG</t>
  </si>
  <si>
    <t xml:space="preserve">Import </t>
  </si>
  <si>
    <t>TELESIGN</t>
  </si>
  <si>
    <t>CÔNG TY TNHH ADM PROMOTIONS VIỆT NAM (VN.407- Mooncake)</t>
  </si>
  <si>
    <t>TeleSign</t>
  </si>
  <si>
    <t>ADMmoon_gapone</t>
  </si>
  <si>
    <t>ADMmoon@123456</t>
  </si>
  <si>
    <t>Starter</t>
  </si>
  <si>
    <t>Portal</t>
  </si>
  <si>
    <t>SONKIM</t>
  </si>
  <si>
    <t>G1_SONKIM</t>
  </si>
  <si>
    <t>File Excel</t>
  </si>
  <si>
    <t>CÔNG TY CỔ PHẦN THỜI TRANG SƠN KIM</t>
  </si>
  <si>
    <t>Thanh.Le@alnaboodah.com</t>
  </si>
  <si>
    <t>SINCH (CLX)</t>
  </si>
  <si>
    <t>Sybase(500006)</t>
  </si>
  <si>
    <t>Cuong.Truong@adm-indicia.com</t>
  </si>
  <si>
    <t>CÔNG TY TNHH ĐẦU TƯ TÔM FRUITS VIỆT NAM</t>
  </si>
  <si>
    <t>Thực phẩm &amp; Đồ uống</t>
  </si>
  <si>
    <t>tomfruits_gapone</t>
  </si>
  <si>
    <t>Sybase(10275)</t>
  </si>
  <si>
    <t>Tomfruits@123</t>
  </si>
  <si>
    <t>HoaNTM</t>
  </si>
  <si>
    <t>Kiotviet</t>
  </si>
  <si>
    <t>HồngNTT</t>
  </si>
  <si>
    <t>Sinch_glb</t>
  </si>
  <si>
    <t>Campaign</t>
  </si>
  <si>
    <t>Sinch_insider</t>
  </si>
  <si>
    <t>Gia hạn lần 1</t>
  </si>
  <si>
    <t>188</t>
  </si>
  <si>
    <t>minhvudtv@gmail.com</t>
  </si>
  <si>
    <t>Vietunion Online Services Corporation (PAYOO)</t>
  </si>
  <si>
    <t>payoo_gapit</t>
  </si>
  <si>
    <t>Payoo@123</t>
  </si>
  <si>
    <t>NamDT</t>
  </si>
  <si>
    <t>sinch_variable</t>
  </si>
  <si>
    <t>AnhNM</t>
  </si>
  <si>
    <t>TuanLA</t>
  </si>
  <si>
    <t>CÔNG TY CỔ PHẦN MAI LINH TÂY ĐÔ</t>
  </si>
  <si>
    <t>mailinh_zns</t>
  </si>
  <si>
    <t>Mailinh@123</t>
  </si>
  <si>
    <t>MSG</t>
  </si>
  <si>
    <t>INSIDER</t>
  </si>
  <si>
    <t>SAPP</t>
  </si>
  <si>
    <t>Có</t>
  </si>
  <si>
    <t>SPVB_KUDOSAPP</t>
  </si>
  <si>
    <t>Công Ty Cổ Phần Giáo Dục SAPP</t>
  </si>
  <si>
    <t>KH ký hợp đồng triển khai chính thức từ 30/6/2025</t>
  </si>
  <si>
    <t>Vy.pham2@vietunion.com.vn</t>
  </si>
  <si>
    <t>G1_SAPP</t>
  </si>
  <si>
    <t>taucaotoc@mailinh.vn</t>
  </si>
  <si>
    <t>Silver</t>
  </si>
  <si>
    <t>ROUTESMS</t>
  </si>
  <si>
    <t>209</t>
  </si>
  <si>
    <t>Con Cưng</t>
  </si>
  <si>
    <t>concung_api</t>
  </si>
  <si>
    <t>Concung@123</t>
  </si>
  <si>
    <t>QUANG TRUNG</t>
  </si>
  <si>
    <t>QUANGTRUNG</t>
  </si>
  <si>
    <t>Công ty TNHH Một thành viên Phát triển Công viên Phần mềm Quang Trung</t>
  </si>
  <si>
    <t>sablanca/Enterprise</t>
  </si>
  <si>
    <t>sablanca_gapone</t>
  </si>
  <si>
    <t>Sablanca@123</t>
  </si>
  <si>
    <t>Công ty TNHH Một Thành Viên Phát Triển Công Viên Phần Mềm Quang Trung</t>
  </si>
  <si>
    <t>(Chưa recheck)</t>
  </si>
  <si>
    <t>G1_QTSC</t>
  </si>
  <si>
    <t>Partner_Netcore</t>
  </si>
  <si>
    <t>long.phan@concung.com</t>
  </si>
  <si>
    <t>NETCORE</t>
  </si>
  <si>
    <t>Netcore</t>
  </si>
  <si>
    <t>Partner_Bizfly</t>
  </si>
  <si>
    <t>BIZFLY</t>
  </si>
  <si>
    <t>CÔNG TY CỔ PHẦN JEMMIA</t>
  </si>
  <si>
    <t>The Vitamin Shopee</t>
  </si>
  <si>
    <t>Vitaminshoppe_gapone</t>
  </si>
  <si>
    <t>Vitaminshoppe@123</t>
  </si>
  <si>
    <t>CÔNG TY CỔ PHẦN VCCORP (Công ty CP Bất Động Sản NewX)</t>
  </si>
  <si>
    <t>CÔNG TY CỔ PHẦN VCCORP (Công ty TNHH Hàng không Mặt Trời Phú Quốc)</t>
  </si>
  <si>
    <t>CÔNG TY CỔ PHẦN PHÁT TRIỂN DỊCH VỤ VÀ THƯƠNG MẠI QUỐC AN</t>
  </si>
  <si>
    <t>mkt.vitaminshoppe@gmail.com</t>
  </si>
  <si>
    <t>Trung Tâm học viện âm nhạc AMEB</t>
  </si>
  <si>
    <t>đã đóng</t>
  </si>
  <si>
    <t>Đã báo anh Hungfbm locked API</t>
  </si>
  <si>
    <t>paasoo</t>
  </si>
  <si>
    <t>cs@sablanca.vn</t>
  </si>
  <si>
    <t>Công ty Cổ phần Thẩm mỹ Bích Nguyệt</t>
  </si>
  <si>
    <t>PhươngDTB</t>
  </si>
  <si>
    <t>bichnguyet_zns</t>
  </si>
  <si>
    <t>Bichnguyet@123</t>
  </si>
  <si>
    <t>paasoo_smpp</t>
  </si>
  <si>
    <t>ONEMOUNT</t>
  </si>
  <si>
    <t>CÔNG TY CỔ PHẦN ONE MOUNT GROUP</t>
  </si>
  <si>
    <t>220</t>
  </si>
  <si>
    <t>G1_ONEMOUNT</t>
  </si>
  <si>
    <t>Công Ty Cổ Phần Thế Giới Bảng</t>
  </si>
  <si>
    <t>thegioibang_gapone</t>
  </si>
  <si>
    <t>Thegioibang@123</t>
  </si>
  <si>
    <t>nxglory</t>
  </si>
  <si>
    <t>cmo@bichnguyet.vn</t>
  </si>
  <si>
    <t>NEO</t>
  </si>
  <si>
    <t>NASCO</t>
  </si>
  <si>
    <t>CÔNG TY CP CÔNG NGHỆ TẬP ĐOÀN A12</t>
  </si>
  <si>
    <t>a12_gapone</t>
  </si>
  <si>
    <t>Công Ty Cổ Phần Giao Nhận Hàng Hóa Nasco</t>
  </si>
  <si>
    <t>Abc@1234</t>
  </si>
  <si>
    <t>G1SMS_NASCO</t>
  </si>
  <si>
    <t>HĐ ký 8/10/2021. Tự động gia hạn 1 năm 1, đến tháng 10 vẫn đối soát nên gia hạn luôn không tin lỗi
- Gia hạn lần 3: 15/08/2024 - 15/08/2025
Dừng HĐ 08/2025</t>
  </si>
  <si>
    <t>MONTNETS</t>
  </si>
  <si>
    <t xml:space="preserve">thanhtrang@thegioibang.com
</t>
  </si>
  <si>
    <t>Montnet_OTT</t>
  </si>
  <si>
    <t>vinhigi@gmail.com</t>
  </si>
  <si>
    <t>HienTT</t>
  </si>
  <si>
    <t>Bronze</t>
  </si>
  <si>
    <t>226</t>
  </si>
  <si>
    <t>MOBITRIP</t>
  </si>
  <si>
    <t>Công ty cổ phần công nghệ Internet chiếc Ô Xanh</t>
  </si>
  <si>
    <t>G1_MOBITRIP</t>
  </si>
  <si>
    <t>oxanh_api</t>
  </si>
  <si>
    <t>Oxanh@123</t>
  </si>
  <si>
    <t>ĐÔNG HẢI</t>
  </si>
  <si>
    <t>donghai_gapone</t>
  </si>
  <si>
    <t>Donghai@123</t>
  </si>
  <si>
    <t>MITTO</t>
  </si>
  <si>
    <t>Gia hạn lần 2</t>
  </si>
  <si>
    <t>Hết hạn HĐ lần 1: 31/12/2023
Gia hạn từ: 31/12/2023 - 06/09/2024
Gia hạn lần 2: đến 1/9/2025</t>
  </si>
  <si>
    <t>MINHLONGI</t>
  </si>
  <si>
    <t>CÔNG TY TNHH MINH LONG I</t>
  </si>
  <si>
    <t>dohai@oxanh.vn</t>
  </si>
  <si>
    <t>HĐ có tự động gia hạn</t>
  </si>
  <si>
    <t>PhuongDTB</t>
  </si>
  <si>
    <t>CÔNG TY CỔ PHẦN CÔNG NGHỆ BẢO HIỂM FINME</t>
  </si>
  <si>
    <t>finme_zns</t>
  </si>
  <si>
    <t>Finme@123</t>
  </si>
  <si>
    <t>G1_MINHLONGI</t>
  </si>
  <si>
    <t>donghieu@shopdonghai.com</t>
  </si>
  <si>
    <t>MESSAGEBIRD</t>
  </si>
  <si>
    <t>MekongNet</t>
  </si>
  <si>
    <t>finme@fingroup.com.vn</t>
  </si>
  <si>
    <t>225</t>
  </si>
  <si>
    <t>Thanh lý ngày 01/03/2024</t>
  </si>
  <si>
    <t>MEDICI</t>
  </si>
  <si>
    <t>CÔNG TY TNHH ĐỨC NHÂN</t>
  </si>
  <si>
    <t>MEDICI_KW</t>
  </si>
  <si>
    <t>ducnhan_gapone</t>
  </si>
  <si>
    <t>CÔNG TY CỔ PHẦN BẢO HIỂM CÔNG NGHỆ MEDICI</t>
  </si>
  <si>
    <t>TrinhNT</t>
  </si>
  <si>
    <t>Ducnhan@123</t>
  </si>
  <si>
    <t>CÔNG TY TNHH BÁNH SINH NHẬT NGON</t>
  </si>
  <si>
    <t>Medici</t>
  </si>
  <si>
    <t>banhsinhnhatngon_api</t>
  </si>
  <si>
    <t>Banhsinhnhatngon@123</t>
  </si>
  <si>
    <t>MASTERISE</t>
  </si>
  <si>
    <t>GLOBAL-INV</t>
  </si>
  <si>
    <t>Công Ty Cổ Phần Tập Đoàn MASTERISE</t>
  </si>
  <si>
    <t>Masterise_02</t>
  </si>
  <si>
    <t>MASTERISE_KW</t>
  </si>
  <si>
    <t>thanhtuyet@afg.vn</t>
  </si>
  <si>
    <t>LinhNTT1, YếnĐH</t>
  </si>
  <si>
    <t>Cskh@banhsinhnhatngon.vn</t>
  </si>
  <si>
    <t>MACROKIOSK</t>
  </si>
  <si>
    <t>macrokiosk2</t>
  </si>
  <si>
    <t>239</t>
  </si>
  <si>
    <t>CÔNG TY TNHH BÁNH SINH NHẬT NGON 2</t>
  </si>
  <si>
    <t>macrokiosk</t>
  </si>
  <si>
    <t>banhsinhnhatngon_zns</t>
  </si>
  <si>
    <t>CÔNG TY TNHH THƯƠNG MẠI DỊCH VỤ LAI GIA TRƯỜNG GIANG LOGISTICS</t>
  </si>
  <si>
    <t>truonggiang_gapone</t>
  </si>
  <si>
    <t xml:space="preserve"> </t>
  </si>
  <si>
    <t>LIXIL</t>
  </si>
  <si>
    <t>Sgs027027</t>
  </si>
  <si>
    <t>LIXILVIETNAM</t>
  </si>
  <si>
    <t>CÔNG TY TNHH LIXIL VIỆT NAM</t>
  </si>
  <si>
    <t>LIXIL_G1</t>
  </si>
  <si>
    <t>Lanck (Ventatel)</t>
  </si>
  <si>
    <t>Lanck_GC_SMPP</t>
  </si>
  <si>
    <t>LANCKTELE</t>
  </si>
  <si>
    <t>HĐ tự gia hạn mỗi năm, KH thanh toán phí hệ thống hàng tháng</t>
  </si>
  <si>
    <t>khieutnc@gmail.com</t>
  </si>
  <si>
    <t>Laidinhkhai@gmail.com</t>
  </si>
  <si>
    <t>LANCKTELE_New</t>
  </si>
  <si>
    <t>Pizza 4P’S</t>
  </si>
  <si>
    <t>LANCKTEST</t>
  </si>
  <si>
    <t>Đà Nẵng</t>
  </si>
  <si>
    <t>pizza4ps_api</t>
  </si>
  <si>
    <t>Pizza4ps@123</t>
  </si>
  <si>
    <t>247</t>
  </si>
  <si>
    <t xml:space="preserve">
</t>
  </si>
  <si>
    <t>Lanck_GC_SMPP_New</t>
  </si>
  <si>
    <t>Công Ty Cổ Phần Tư Vấn GLOBAL CARE</t>
  </si>
  <si>
    <t>globalcare_gapone</t>
  </si>
  <si>
    <t>KH đối mật khẩu</t>
  </si>
  <si>
    <t>IRIS</t>
  </si>
  <si>
    <t>CÔNG TY CỔ PHẦN TRUYỀN THÔNG IRIS</t>
  </si>
  <si>
    <t>INNOVATIVE</t>
  </si>
  <si>
    <t>INFOCUS</t>
  </si>
  <si>
    <t>quan.vu@pizza4ps.com</t>
  </si>
  <si>
    <t>G1_INFOCUS</t>
  </si>
  <si>
    <t>CÔNG TY TNHH INFOCUS MEKONG RESEARCH</t>
  </si>
  <si>
    <t>VNPT Bến Tre</t>
  </si>
  <si>
    <t>vnptbentre_api</t>
  </si>
  <si>
    <t>INFINITY</t>
  </si>
  <si>
    <t>Vnptbentre@123</t>
  </si>
  <si>
    <t>G1_INFINITY</t>
  </si>
  <si>
    <t>CÔNG TY CỔ PHẦN TRANG SỨC ĐÁ QUÝ INFINITY</t>
  </si>
  <si>
    <t>marketing@globalcare.vn</t>
  </si>
  <si>
    <t>ICHECK</t>
  </si>
  <si>
    <t>Topup</t>
  </si>
  <si>
    <t>SMS CSKH, TOPUP</t>
  </si>
  <si>
    <t>HĐ tự động gia hạn</t>
  </si>
  <si>
    <t>HTC ICT</t>
  </si>
  <si>
    <t>HTC ITC_G1</t>
  </si>
  <si>
    <t>Test 50 ZNS</t>
  </si>
  <si>
    <t>Công Ty Cổ Phần HTC Viễn Thông Quốc Tế</t>
  </si>
  <si>
    <r>
      <rPr>
        <rFont val="Google Sans"/>
        <color rgb="FF000000"/>
        <sz val="9.0"/>
      </rPr>
      <t xml:space="preserve">marketing@globalcare.vn
</t>
    </r>
    <r>
      <rPr>
        <rFont val="Google Sans"/>
        <color rgb="FFFF0000"/>
        <sz val="9.0"/>
      </rPr>
      <t>muoi.nguyen@globalcare.vn</t>
    </r>
  </si>
  <si>
    <t>nhanhv.bte@vnpt.vn</t>
  </si>
  <si>
    <t>TrangHTT</t>
  </si>
  <si>
    <t>DungDT</t>
  </si>
  <si>
    <t>HàNTT1</t>
  </si>
  <si>
    <t>HOICK</t>
  </si>
  <si>
    <t>Sàn giao dịch thương mại điện tử IT NAVI</t>
  </si>
  <si>
    <t>navi_gapone</t>
  </si>
  <si>
    <t>Navi@123</t>
  </si>
  <si>
    <t>Hội Đồng Anh</t>
  </si>
  <si>
    <t>EXAMHN</t>
  </si>
  <si>
    <t>264</t>
  </si>
  <si>
    <t>CÔNG TY TNHH THƯƠNG MẠI ĐIỆN TỬ TH GARDEN</t>
  </si>
  <si>
    <t>thgarden_gapone</t>
  </si>
  <si>
    <t>BCHCM_IDC1</t>
  </si>
  <si>
    <t>Thgarden@123</t>
  </si>
  <si>
    <t>BCHCM_DPX1</t>
  </si>
  <si>
    <t>chien.ngo@itnavi.com.vn</t>
  </si>
  <si>
    <t>BCHCM_CHG1</t>
  </si>
  <si>
    <t>BCHCM_CHG</t>
  </si>
  <si>
    <t>EXAMSHCMC</t>
  </si>
  <si>
    <t>EXAMSHN</t>
  </si>
  <si>
    <t>CleverTap</t>
  </si>
  <si>
    <t>Clevertap_gapone</t>
  </si>
  <si>
    <t>Clevertap@123</t>
  </si>
  <si>
    <t>BCHCM_IDC</t>
  </si>
  <si>
    <t>SIMILAR</t>
  </si>
  <si>
    <t>BCHCM_DPX</t>
  </si>
  <si>
    <t>248</t>
  </si>
  <si>
    <t>BRITISH COUNCI_G1</t>
  </si>
  <si>
    <t>CÔNG TY TNHH BRITISH COUNCIL (VIỆT NAM)</t>
  </si>
  <si>
    <t>Công Ty TNHH Ô Tô Ngôi Sao Việt Nam</t>
  </si>
  <si>
    <t>vietnamstar_gapone</t>
  </si>
  <si>
    <t>GOSU</t>
  </si>
  <si>
    <t>Vietnamstar@123</t>
  </si>
  <si>
    <t>GOSU_G1</t>
  </si>
  <si>
    <t>mai@clevertap.com</t>
  </si>
  <si>
    <t>Zalo ZNS, Email</t>
  </si>
  <si>
    <t>NganNT1</t>
  </si>
  <si>
    <t>Onplay</t>
  </si>
  <si>
    <t>Gateway</t>
  </si>
  <si>
    <t>CÔNG TY TNHH TLL VIỆT NAM</t>
  </si>
  <si>
    <t>ttl_gapone</t>
  </si>
  <si>
    <t>Golden Gate</t>
  </si>
  <si>
    <t>Ttl@1234</t>
  </si>
  <si>
    <t>CÔNG TY CỔ PHẦN TẬP ĐOÀN GOLDEN GATE 2</t>
  </si>
  <si>
    <t>Tất cả</t>
  </si>
  <si>
    <t>Dv khác</t>
  </si>
  <si>
    <t>Đã có phụ lục 04, gia hạn từ 02/07/2023 đến khi có thanh lý hợp đồng</t>
  </si>
  <si>
    <t>hongnt@gapit.com.vn</t>
  </si>
  <si>
    <t>Công Ty TNHH Cổng Vàng Vinh</t>
  </si>
  <si>
    <t>HânNG</t>
  </si>
  <si>
    <t>G1_GOLDENGATEHCM</t>
  </si>
  <si>
    <t>Công ty CP Thương Mại Dịch Vụ Cổng Vàng</t>
  </si>
  <si>
    <t>300</t>
  </si>
  <si>
    <t>batdongsantimes@gmail.com</t>
  </si>
  <si>
    <t>CÔNG TY TNHH CUNG CẤP GIẢI PHÁP DỊCH VỤ GIÁ TRỊ GIA TĂNG</t>
  </si>
  <si>
    <t>vivas_gapone</t>
  </si>
  <si>
    <t>GOLDENGATE</t>
  </si>
  <si>
    <t>Vivas@123</t>
  </si>
  <si>
    <t>GARAANHTU</t>
  </si>
  <si>
    <t>CÔNG TY TNHH ĐẦU TƯ PHÁT TRIỂN XÂY DỰNG VÀ THƯƠNG MẠI ĐẠI DƯƠNG</t>
  </si>
  <si>
    <t>daiduong_gapone</t>
  </si>
  <si>
    <t>CÔNG TY CỔ PHẦN THƯƠNG MẠI DỊCH VỤ Ô TÔ ANH TÚ</t>
  </si>
  <si>
    <t>Daiduong@123</t>
  </si>
  <si>
    <t>GARAANHTU_G1</t>
  </si>
  <si>
    <t>FTECH</t>
  </si>
  <si>
    <t>KH đã ký hợp đồng từ 16/12/2020, KH chỉ dùng API, không dùng portal</t>
  </si>
  <si>
    <t>FTECH_direct</t>
  </si>
  <si>
    <t>tuyenttk@vivas.vn</t>
  </si>
  <si>
    <t>CẩmPN</t>
  </si>
  <si>
    <t>xaydungdaiduong.co@gmail.com</t>
  </si>
  <si>
    <t>fortytwo</t>
  </si>
  <si>
    <t>301</t>
  </si>
  <si>
    <t>CÔNG TY CỔ PHẦN XUẤT NHẬP KHẨU BÌNH TÂY</t>
  </si>
  <si>
    <t>CÔNG TY CỔ PHẦN TƯ VẤN VÀ ĐẦU TƯ BẾN THÀNH</t>
  </si>
  <si>
    <t>binhtay_gapone</t>
  </si>
  <si>
    <t>FCV</t>
  </si>
  <si>
    <t>None</t>
  </si>
  <si>
    <t>Binhtay@123</t>
  </si>
  <si>
    <t>FCV_CADENA</t>
  </si>
  <si>
    <t>Công ty TNHH FRIESLANDCAMPINA Việt Nam</t>
  </si>
  <si>
    <t>FCV_FARM</t>
  </si>
  <si>
    <t>FrieslandCampina</t>
  </si>
  <si>
    <t>SAI-FCV</t>
  </si>
  <si>
    <t>vinhcasio@gmail.com</t>
  </si>
  <si>
    <t>SMSG1_FCV</t>
  </si>
  <si>
    <t>Maggi</t>
  </si>
  <si>
    <t>CÔNG TY TNHH FRIESLANDCAMPINA 
 VIỆT NAM (Team 2)</t>
  </si>
  <si>
    <t>maggi_gapone</t>
  </si>
  <si>
    <t>Maggi@123</t>
  </si>
  <si>
    <t>FCV_LAZADA</t>
  </si>
  <si>
    <t>FRIESLANDCAMPINA</t>
  </si>
  <si>
    <t>FCV-HALAN</t>
  </si>
  <si>
    <t>nguyendt@gapit.com.vn</t>
  </si>
  <si>
    <t>G1_FCV</t>
  </si>
  <si>
    <t>Đã khóa dịch vụ, sau này có nhu cầu gia hạn tiếp</t>
  </si>
  <si>
    <t>Đức Nhân_AFG</t>
  </si>
  <si>
    <t>G1_AFG</t>
  </si>
  <si>
    <t>info@benthaninvest.com</t>
  </si>
  <si>
    <t>Viettelstore</t>
  </si>
  <si>
    <t>Viettelstore_gapone</t>
  </si>
  <si>
    <t>Viettelstore@123</t>
  </si>
  <si>
    <t>DUCNHAN_AFG</t>
  </si>
  <si>
    <t>DOJI</t>
  </si>
  <si>
    <t>G1_DOJI</t>
  </si>
  <si>
    <t>Công ty Cổ phần Tập đoàn Vàng bạc Đá quý DOJI</t>
  </si>
  <si>
    <t>DOJISMS</t>
  </si>
  <si>
    <t>hung.bui@bgc-group.com.vn</t>
  </si>
  <si>
    <t>306</t>
  </si>
  <si>
    <t>Thanh lý ngày 30/09/2023</t>
  </si>
  <si>
    <t>CMC</t>
  </si>
  <si>
    <t>CÔNG TY TNHH ALONA</t>
  </si>
  <si>
    <t>Alona_gapone</t>
  </si>
  <si>
    <t>SanhLT</t>
  </si>
  <si>
    <t>Alona@123</t>
  </si>
  <si>
    <t>CKHANOI</t>
  </si>
  <si>
    <t>Sông Hồng HR</t>
  </si>
  <si>
    <t>CKHANOI-EBTS</t>
  </si>
  <si>
    <t>songhong_gapone</t>
  </si>
  <si>
    <t>Sở Giao Dịch Chứng Khoán Hà Nội</t>
  </si>
  <si>
    <t>Songhong@123</t>
  </si>
  <si>
    <t>CKHANOI-CBTS</t>
  </si>
  <si>
    <t>CKHANOI-ABS</t>
  </si>
  <si>
    <t>CKHANOItest</t>
  </si>
  <si>
    <t>HĐ tự gia hạn 1 năm 1.
- Gia hạn lần 2: 19/08/2024 - 19/08/2025
- Lần 3: 19/08/2025 - 19/08/2026</t>
  </si>
  <si>
    <t>quangson.ictu@gmail.com</t>
  </si>
  <si>
    <t>tuan249@gmail.com</t>
  </si>
  <si>
    <t>CIRCLEK</t>
  </si>
  <si>
    <t>CIRCLEK03</t>
  </si>
  <si>
    <t>CÔNG TY TNHH VÒNG TRÒN ĐỎ</t>
  </si>
  <si>
    <t>CircleK</t>
  </si>
  <si>
    <t>CircleK2</t>
  </si>
  <si>
    <t>Anpaso</t>
  </si>
  <si>
    <t>312</t>
  </si>
  <si>
    <t>anpaso_gapone</t>
  </si>
  <si>
    <t>Anpaso@123</t>
  </si>
  <si>
    <t>infinity_gapone</t>
  </si>
  <si>
    <t>IJC#79p7Q6$</t>
  </si>
  <si>
    <t>G1_VONGTRONDO</t>
  </si>
  <si>
    <t>SMS CSKH , Zalo ZNS</t>
  </si>
  <si>
    <t>chinamobile</t>
  </si>
  <si>
    <t>CMI_GC_SMPP</t>
  </si>
  <si>
    <t>Chinamobile (CMI)</t>
  </si>
  <si>
    <t>marketing.anpaso@gmail.com</t>
  </si>
  <si>
    <t>china_unicom</t>
  </si>
  <si>
    <t>chinaunicom</t>
  </si>
  <si>
    <t>Free gói GapOne</t>
  </si>
  <si>
    <t>info.charmmedia@gmail.com</t>
  </si>
  <si>
    <t>CANAL PLUS</t>
  </si>
  <si>
    <t>VNPT Media</t>
  </si>
  <si>
    <t>CanalMMR_01</t>
  </si>
  <si>
    <t>Trang sức</t>
  </si>
  <si>
    <t>Canal+ Myanmar FG</t>
  </si>
  <si>
    <t>vnptmedia_gapone</t>
  </si>
  <si>
    <t>Vnptmedia@123</t>
  </si>
  <si>
    <t>CanalMMR_02</t>
  </si>
  <si>
    <t>314</t>
  </si>
  <si>
    <t>SMS CSKH, Viber</t>
  </si>
  <si>
    <t>CÔNG TY TNHH CHẾ BIẾN THỰC PHẨM &amp; BÁNH KẸO PHẠM NGUYÊN /API</t>
  </si>
  <si>
    <t>Campaign_Yamaha</t>
  </si>
  <si>
    <t>phamnguyen_gapone</t>
  </si>
  <si>
    <t>Yamaha_camp2025</t>
  </si>
  <si>
    <t>Yamaha Motor</t>
  </si>
  <si>
    <t>Phamnguyen@123</t>
  </si>
  <si>
    <t>taivv@vnpt.vn</t>
  </si>
  <si>
    <t>Campaign_Vinasoy</t>
  </si>
  <si>
    <t>SMSG1_VNS_DTBV</t>
  </si>
  <si>
    <t>CÔNG TY CỔ PHẦN ĐƯỜNG QUẢNG NGÃI</t>
  </si>
  <si>
    <t>Campaign_Tmar</t>
  </si>
  <si>
    <t>Phòng khám đa khoa AlVi</t>
  </si>
  <si>
    <t>TMARvitaminD</t>
  </si>
  <si>
    <t>CÔNG TY TNHH TIẾP THỊ MỤC TIÊU TMAR</t>
  </si>
  <si>
    <t>alvi_zns</t>
  </si>
  <si>
    <t>Alvi@123</t>
  </si>
  <si>
    <t>Tmar_NTT</t>
  </si>
  <si>
    <t>Tmar_probiT4</t>
  </si>
  <si>
    <t>Tmar_Dielac</t>
  </si>
  <si>
    <t>1000 ZNS</t>
  </si>
  <si>
    <t>hoangnam27792@gmail.com</t>
  </si>
  <si>
    <t>TMAR_NUTT4</t>
  </si>
  <si>
    <t>TMAR_NUVI</t>
  </si>
  <si>
    <t>Golf1Studio</t>
  </si>
  <si>
    <t>NgọcPH</t>
  </si>
  <si>
    <t>golf1studio_gapone</t>
  </si>
  <si>
    <t>Tmar_Nut</t>
  </si>
  <si>
    <t>Golf1Studio@123</t>
  </si>
  <si>
    <t>TMAR_vinamilkcamp</t>
  </si>
  <si>
    <t>321</t>
  </si>
  <si>
    <t>CÔNG TY TNHH CÔNG NGHỆ NEOMED</t>
  </si>
  <si>
    <t>Campaign_PEPSI</t>
  </si>
  <si>
    <t>neomed_gapone</t>
  </si>
  <si>
    <t>SMSG1_PEPSIMT2025</t>
  </si>
  <si>
    <t>Công ty TNHH Nestle Việt Nam (PEPSIMT2025)</t>
  </si>
  <si>
    <t>Neomed@123</t>
  </si>
  <si>
    <t>SPVBCTKMSHOP</t>
  </si>
  <si>
    <t>Công Ty TNHH Nước Giải Khát SUNTORY PEPSICO Việt Nam</t>
  </si>
  <si>
    <t>vantk@golf1studio.com</t>
  </si>
  <si>
    <t>G1_PEPSIEBCOMMUNICATION</t>
  </si>
  <si>
    <t>Campaign_OREO</t>
  </si>
  <si>
    <t>SMSG1_OREO</t>
  </si>
  <si>
    <t>CÔNG TY CỔ PHẦN THƯƠNG MẠI VÀ DỊCH VỤ DU LỊCH ĐÀ NẴNG XANH</t>
  </si>
  <si>
    <t>CÔNG TY TNHH ADM PROMOTIONS VIỆT NAM (VN.379 - Oreo Pie)</t>
  </si>
  <si>
    <t>danangxanh_api</t>
  </si>
  <si>
    <t>Danangxanh@123</t>
  </si>
  <si>
    <t>Campaign_NESTLE</t>
  </si>
  <si>
    <t>SMSG1_NCFCORP2026</t>
  </si>
  <si>
    <t>Công ty TNHH Nestle Việt Nam (PO số 4562753591)</t>
  </si>
  <si>
    <t>SMSG1.NescafeTet2026</t>
  </si>
  <si>
    <t>CÔNG TY TNHH NESTLÉ VIỆT NAM (NCF Tết 2026)</t>
  </si>
  <si>
    <t>NCFSUSTAIN2025</t>
  </si>
  <si>
    <t>Công ty TNHH Nestle Việt Nam</t>
  </si>
  <si>
    <t>Campaign_MOONCAKE</t>
  </si>
  <si>
    <t>MOONCAKE2025</t>
  </si>
  <si>
    <t>None 1</t>
  </si>
  <si>
    <t>Campaign_HEINEKEN</t>
  </si>
  <si>
    <t>10.000 zns</t>
  </si>
  <si>
    <t>G1_HEINEKEN_LOYALTY</t>
  </si>
  <si>
    <t>kinhdoanh@danangxanh.com</t>
  </si>
  <si>
    <t>CÔNG TY TNHH NHÀ MÁY BIA HEINEKEN VIỆT NAM</t>
  </si>
  <si>
    <t>VIETNAM CHAMBER OF COMMERCE PTE.LTD</t>
  </si>
  <si>
    <t>Campaign_DIGITAS</t>
  </si>
  <si>
    <t>Digitas_NestleVN</t>
  </si>
  <si>
    <t>Digitas</t>
  </si>
  <si>
    <t>GAPONE HUBSPOT</t>
  </si>
  <si>
    <t>Campaign_DELTA</t>
  </si>
  <si>
    <t>TỔNG CÔNG TY ĐƯỜNG SẮT VIỆT NAM (VNR)</t>
  </si>
  <si>
    <t>DELTA_Loreal7chuoi</t>
  </si>
  <si>
    <t>duongsatvietnam_api</t>
  </si>
  <si>
    <t>CÔNG TY TNHH QUẢNG CÁO VÀ THƯƠNG MẠI DELTA</t>
  </si>
  <si>
    <t>Duongsatvietnam@123</t>
  </si>
  <si>
    <t>DELTA</t>
  </si>
  <si>
    <t>DELTA_SMS01</t>
  </si>
  <si>
    <t>max@vietcham.org.sg</t>
  </si>
  <si>
    <t>DELTA_VnmKem</t>
  </si>
  <si>
    <t>Gia hạn theo yêu cầu</t>
  </si>
  <si>
    <t>DELTA_SMS</t>
  </si>
  <si>
    <t>nguyentuanlong1976@yahoo.com</t>
  </si>
  <si>
    <t>324</t>
  </si>
  <si>
    <t>DELTA_GreenFarm</t>
  </si>
  <si>
    <t>Công ty cổ phần Vinpearl</t>
  </si>
  <si>
    <t>CamPN</t>
  </si>
  <si>
    <t>vinpearl_gapone</t>
  </si>
  <si>
    <t>Vinpearl@123</t>
  </si>
  <si>
    <t>DELTA_Loreal1chuoi</t>
  </si>
  <si>
    <t>CÔNG TY CỔ PHẦN CHUỖI THỰC PHẨM TH</t>
  </si>
  <si>
    <t>thmilk_api</t>
  </si>
  <si>
    <t>Thmilk@123</t>
  </si>
  <si>
    <t>BLUEFIN</t>
  </si>
  <si>
    <t>G1_BLUEFIN</t>
  </si>
  <si>
    <t>Công ty Cổ phần Công nghệ BLUEFIN</t>
  </si>
  <si>
    <t>BLUECOM</t>
  </si>
  <si>
    <t>CÔNG TY CỔ PHẦN CÔNG NGHỆ VÀ TRUYỀN THÔNG SỐ BLUECOM</t>
  </si>
  <si>
    <t>Sales báo gia hạn trước thanh toán sau (ngày gia hạn: 25/12/2024- ngày thanh toán: trong tháng 1/2025. KH gia hạn 1 năm tới hết ngày 31/12/2025)</t>
  </si>
  <si>
    <t>KH đã thanh lý hợp đồng =&gt; báo KT khóa tài khoản</t>
  </si>
  <si>
    <t>v.maidtn5@vinpearl.com</t>
  </si>
  <si>
    <t>BIDV</t>
  </si>
  <si>
    <t>v.hoangnv40@vinpearl.com; v.huyendk8@vinpearl.com; v.anhvv32@vinpearl.com; v.haint89@vinpearl.com; V.tpht-o2o@vinpearl.com</t>
  </si>
  <si>
    <t>BIDV_HD012_(BIDV_DUNG_2)</t>
  </si>
  <si>
    <t>thanh.pt@thmilk.vn</t>
  </si>
  <si>
    <t>BIDV_HD067_(BIDV_DUNG)</t>
  </si>
  <si>
    <t>327</t>
  </si>
  <si>
    <t>Trang Tuyển Dụng GLINT</t>
  </si>
  <si>
    <t>BIDV_RETAIL</t>
  </si>
  <si>
    <t>glint_zns</t>
  </si>
  <si>
    <t>CÔNG TY CỔ PHẦN PHÂN PHỐI QUỐC TẾ</t>
  </si>
  <si>
    <t>Glint@123</t>
  </si>
  <si>
    <t>unilever_gapone</t>
  </si>
  <si>
    <t>Unilever@123</t>
  </si>
  <si>
    <t>BIDV (10248)</t>
  </si>
  <si>
    <t>Trả trước</t>
  </si>
  <si>
    <t>BIDV (500012)</t>
  </si>
  <si>
    <t>BIDV_API</t>
  </si>
  <si>
    <t>BehnMeyer</t>
  </si>
  <si>
    <t>BehnMeyerApp</t>
  </si>
  <si>
    <t>jackie@idb.com.vn</t>
  </si>
  <si>
    <t>anh.ly@glints.com</t>
  </si>
  <si>
    <t>BEELINK</t>
  </si>
  <si>
    <t>Batdongsan.com.vn</t>
  </si>
  <si>
    <t>CÔNG TY TNHH DAVIS</t>
  </si>
  <si>
    <t>None 3</t>
  </si>
  <si>
    <t>davis_gapone</t>
  </si>
  <si>
    <t>None 2</t>
  </si>
  <si>
    <t>Davis@123</t>
  </si>
  <si>
    <t>TRUNG TÂM KINH DOANH VNPT – PHÚ YÊN – CHI NHÁNH TỔNG CÔNG TY DỊCH VỤ VIỄN THÔNG</t>
  </si>
  <si>
    <t>Haravan</t>
  </si>
  <si>
    <t>ZCA gửi ZNS</t>
  </si>
  <si>
    <t xml:space="preserve">Ngày gia hạn: 31/05/2024 - 31/05/2025
KH gia hạn thêm lần 2: 12 tháng
Ngày gia hạn: 30/11/2023 - 01/06/2024
KH gia hạn thêm lần 1: 06 tháng
Ngày hết hạn hđ cũ: 22/11/2023
</t>
  </si>
  <si>
    <t>xulydonhang.davis@gmail.com</t>
  </si>
  <si>
    <t>Công Ty Cổ Phần PROPERTYGURU Việt Nam (Batdongsan.com.vn)</t>
  </si>
  <si>
    <t>BAOVIET</t>
  </si>
  <si>
    <t>SMSG1_BVSC</t>
  </si>
  <si>
    <t>Chứng Khoán Bảo Việt - BVSC</t>
  </si>
  <si>
    <t>Công ty cổ phần Tập Đoàn Hutimex</t>
  </si>
  <si>
    <t>hutimex_gapone</t>
  </si>
  <si>
    <t>BAOVIET_KWZ</t>
  </si>
  <si>
    <t>Hutimex@123</t>
  </si>
  <si>
    <t xml:space="preserve">KH liên kết ZCA để mua gói OA và gửi tin ZNS, dùng app riêng </t>
  </si>
  <si>
    <t>BAOVIET_API</t>
  </si>
  <si>
    <t>lienntk.pyn@vnpt.vn</t>
  </si>
  <si>
    <t>BAOHIEMVNI</t>
  </si>
  <si>
    <t>Tổng Công ty Cổ phần Bảo hiểm Hàng không - VNI</t>
  </si>
  <si>
    <t>Viễn thông</t>
  </si>
  <si>
    <t>DungĐT</t>
  </si>
  <si>
    <t>BAOHIEMVNI_02</t>
  </si>
  <si>
    <t>hutimex@gmail.com</t>
  </si>
  <si>
    <t>331</t>
  </si>
  <si>
    <t>G1_VNI</t>
  </si>
  <si>
    <t>CÔNG TY CỔ PHẦN TẬP ĐOÀN BẢO HIỂM DBV</t>
  </si>
  <si>
    <t>CÔNG TY XNK MÁY TÍNH VIỆT NAM</t>
  </si>
  <si>
    <t>Bankai</t>
  </si>
  <si>
    <t>bankai2</t>
  </si>
  <si>
    <t>xnkmaytinhvn_gapone</t>
  </si>
  <si>
    <t>Xnkmaytinhvn@123</t>
  </si>
  <si>
    <t>winmart_gapone</t>
  </si>
  <si>
    <t>Winmart@123</t>
  </si>
  <si>
    <t>bankai</t>
  </si>
  <si>
    <t>AUSTDOOR</t>
  </si>
  <si>
    <t>ALPHAASIMOV</t>
  </si>
  <si>
    <t>vncedu.com@gmail.com</t>
  </si>
  <si>
    <t>ALPHA</t>
  </si>
  <si>
    <t>ALPHAASIMOV_2</t>
  </si>
  <si>
    <t>CÔNG TY TNHH NHA KHOA GREENFIELD</t>
  </si>
  <si>
    <t>greenfield_gapone</t>
  </si>
  <si>
    <t>Greenfield@123</t>
  </si>
  <si>
    <t>ALIBABA</t>
  </si>
  <si>
    <t>Alibaba_ZNS</t>
  </si>
  <si>
    <t>thunta2@winmart.masangroup.com</t>
  </si>
  <si>
    <t>	t; uyenhna@winmart.masangroup.com haotq@winmart.masangroup.com hoanghs@winmart.masangroup.com</t>
  </si>
  <si>
    <t>DungPL, DungVT</t>
  </si>
  <si>
    <t>NgânNT1</t>
  </si>
  <si>
    <t>Gia hạn lần 3</t>
  </si>
  <si>
    <t>332</t>
  </si>
  <si>
    <t xml:space="preserve">Gia hạn gói ngày 1/12/2023, ngày hết hạn 31/05/2024 (draft PL sale group zalo), chờ confirm
Gia hạn gói ngày 02/07/2024, gia hạn 1 năm
Gia hạn từ 1/7/25 -&gt; 1/7/26
</t>
  </si>
  <si>
    <t>VNPT Tân Bình</t>
  </si>
  <si>
    <t>vnpttanbinh_gapone</t>
  </si>
  <si>
    <t>GLOBETELESERVICES</t>
  </si>
  <si>
    <t>Vnpttanbinh@123</t>
  </si>
  <si>
    <t>hello@nhakhoagreenfield.com</t>
  </si>
  <si>
    <t>TuPHN</t>
  </si>
  <si>
    <t>MVC &amp; CO</t>
  </si>
  <si>
    <t>CÔNG TY TNHH MVC &amp; CO</t>
  </si>
  <si>
    <t>G1_TONHOAPHAT</t>
  </si>
  <si>
    <t>CÔNG TY TNHH TÔN HÒA PHÁТ</t>
  </si>
  <si>
    <t>Vận tải</t>
  </si>
  <si>
    <t>IOBeveready</t>
  </si>
  <si>
    <t>Công Ty TNHH Ý Tưởng Đẹp</t>
  </si>
  <si>
    <t>THC2022</t>
  </si>
  <si>
    <t>THC</t>
  </si>
  <si>
    <t>Đã báo anh Hungbm locked API</t>
  </si>
  <si>
    <t>gia hạn API + platform</t>
  </si>
  <si>
    <t>ABHORIZON</t>
  </si>
  <si>
    <t>ZNS</t>
  </si>
  <si>
    <t>CÔNG TY TNHH MTV CHÂN TRỜI ĐÔNG</t>
  </si>
  <si>
    <t>COOKISSMOBILE</t>
  </si>
  <si>
    <t>344</t>
  </si>
  <si>
    <t>ggg_api</t>
  </si>
  <si>
    <t>ICHECK_GAPONE</t>
  </si>
  <si>
    <t>CÔNG TY CỔ PHẦN ICHECK</t>
  </si>
  <si>
    <t>Ggg@1234</t>
  </si>
  <si>
    <t>G1_CHIECOXANH</t>
  </si>
  <si>
    <t>VMG-KH</t>
  </si>
  <si>
    <t>VMG</t>
  </si>
  <si>
    <t>toan.nguyenduc@ggg.com.vn</t>
  </si>
  <si>
    <t>G1_MOGIVI</t>
  </si>
  <si>
    <t>CÔNG TY CỔ PHẦN MOGIVI</t>
  </si>
  <si>
    <t>toan.nguyenduc@ggg.com.vn; chinh.pham@ggg.com.vn; huong.ly@ggg.com.vn</t>
  </si>
  <si>
    <t>gapone_tmaua</t>
  </si>
  <si>
    <t>CÔNG TY CỔ PHẦN EFORA</t>
  </si>
  <si>
    <t>SMSG1_PHUCDAT</t>
  </si>
  <si>
    <t>CÔNG TY TRÁCH NHIỆM HỮU HẠN DU LỊCH KHÁCH SẠN PHÚC ĐẠT</t>
  </si>
  <si>
    <t>346</t>
  </si>
  <si>
    <t>SMSG1_TBM</t>
  </si>
  <si>
    <t>CÔNG TY CỔ PHẦN THIÊN BÌNH MINH</t>
  </si>
  <si>
    <t>Công ty cổ phần Athena Fintech Solution</t>
  </si>
  <si>
    <t>Athenafs_gapone</t>
  </si>
  <si>
    <t>Karix</t>
  </si>
  <si>
    <t>CONGTHANH</t>
  </si>
  <si>
    <t>Công Ty Cổ Phần Xi Măng Công Thanh</t>
  </si>
  <si>
    <t>MGREEN</t>
  </si>
  <si>
    <t>Công Ty Cổ Phần Dịch Vụ Xã Hội MGREEN</t>
  </si>
  <si>
    <t>Khách đã đổi pass</t>
  </si>
  <si>
    <t>TungLD</t>
  </si>
  <si>
    <t>BOSBEC</t>
  </si>
  <si>
    <t>BOSBEC AB</t>
  </si>
  <si>
    <t>duc.nguyen@athenfs.io</t>
  </si>
  <si>
    <t>G1_MDLZHRM</t>
  </si>
  <si>
    <t>CÔNG TY CỔ PHẦN MONDELEZ KINH ĐÔ VIỆT NAM</t>
  </si>
  <si>
    <t>Công ty TNHH AUSTIN LABS</t>
  </si>
  <si>
    <t>austinlabs_gapone</t>
  </si>
  <si>
    <t>Austinlabs@123</t>
  </si>
  <si>
    <t>MEDIA1</t>
  </si>
  <si>
    <t>347</t>
  </si>
  <si>
    <t>OSPVN</t>
  </si>
  <si>
    <t>Công ty Cổ phần công nghệ Phần mềm và Nội dung số OSP</t>
  </si>
  <si>
    <t>NHÀ MÁY CỔ PHẦN ĐƯỜNG QUẢNG NGÃI</t>
  </si>
  <si>
    <t>vinasoy_api</t>
  </si>
  <si>
    <t>SMSG1_DCTPARTNERS</t>
  </si>
  <si>
    <t>Vinasoy@123</t>
  </si>
  <si>
    <t>CÔNG TY TNHH DCT PARTNERS VIỆT NAM</t>
  </si>
  <si>
    <t>G1_Hi1</t>
  </si>
  <si>
    <t>CÔNG TY TNHH THƯƠNG MẠI HI1</t>
  </si>
  <si>
    <t>SMSG1_DAIKOYMH</t>
  </si>
  <si>
    <t>CÔNG TY TNHH DAIKO VIỆT NAM</t>
  </si>
  <si>
    <t>CARMUDI</t>
  </si>
  <si>
    <t>- HĐ lần 1: 01/6/2023 - 01/7/2023, SMS, enterprise, trả sau
- KH gửi API
- 06/11/2023: gia hạn từ 17/7/2023, SMS, enterprise, trả trước 3 triệu tin. Vẫn set TK trả sau, kế toán + sales sẽ theo dõi cảnh báo sản lượng</t>
  </si>
  <si>
    <t>G1_FLINK</t>
  </si>
  <si>
    <t>CÔNG TY CỔ PHẦN CÔNG NGHỆ F-LINK VIỆT NAM</t>
  </si>
  <si>
    <t>350</t>
  </si>
  <si>
    <t>khoa@mystorage.vn</t>
  </si>
  <si>
    <t>G1_PAYPAY</t>
  </si>
  <si>
    <t>CÔNG TY CỔ PHẦN PAYPAY</t>
  </si>
  <si>
    <t>G1_AUSTDOOR</t>
  </si>
  <si>
    <t>Công Ty Cổ Phần Tập Đoàn AUSTDOOR</t>
  </si>
  <si>
    <t>G1_TINPHATEXPRESS</t>
  </si>
  <si>
    <t>CÔNG TY TNHH THƯƠNG MẠI MỸ PHẨM HÀ THANH</t>
  </si>
  <si>
    <t>Công Ty TNHH Tín Phát EXPRESS</t>
  </si>
  <si>
    <t>hathanh_gapone</t>
  </si>
  <si>
    <t>Hathanh@123</t>
  </si>
  <si>
    <t>GI_VTGOVIETNAM</t>
  </si>
  <si>
    <t>CÔNG TY CP CÔNG NGHỆ VTGO VIỆT NAM</t>
  </si>
  <si>
    <t>QUANGHA</t>
  </si>
  <si>
    <t>NHÀ XE HIẾU HÒA</t>
  </si>
  <si>
    <t>BSC</t>
  </si>
  <si>
    <t>351</t>
  </si>
  <si>
    <t>Công ty Cổ phần Chứng Khoán BIDV</t>
  </si>
  <si>
    <t>phuongbacdtk8.1@gmail.com</t>
  </si>
  <si>
    <t>CREASIA</t>
  </si>
  <si>
    <t>G1_COLLECTIUSCMSLAWFIRM</t>
  </si>
  <si>
    <t>CÔNG TY LUẬT TNHH COLLECTIUS CMS LAWFIRM</t>
  </si>
  <si>
    <t>CÔNG TY TNHH 86COLORS</t>
  </si>
  <si>
    <t>86colors_gapone</t>
  </si>
  <si>
    <t>86Colors@123</t>
  </si>
  <si>
    <t>EVE</t>
  </si>
  <si>
    <t>Công ty TNHH Nguồn Lực EVE</t>
  </si>
  <si>
    <t>Woocomerce</t>
  </si>
  <si>
    <t>TTCNMCV</t>
  </si>
  <si>
    <t>MCV</t>
  </si>
  <si>
    <t>HằngNT</t>
  </si>
  <si>
    <t>Antit</t>
  </si>
  <si>
    <t>NEECHANCE</t>
  </si>
  <si>
    <t>352</t>
  </si>
  <si>
    <t>MEDSTAND_G1</t>
  </si>
  <si>
    <t>CÔNG TY CỔ PHẦN DƯỢC PHẨM MEDSTAND</t>
  </si>
  <si>
    <t>DAITAYDUONG</t>
  </si>
  <si>
    <t>CÔNG TY CP GIÁO DỤC VÀ ĐÀO TẠO QUỐC TẾ TẬP ĐOÀN ATLANTIC</t>
  </si>
  <si>
    <t>ceo@86colors.com</t>
  </si>
  <si>
    <t>CMTELECOM</t>
  </si>
  <si>
    <t>G1_KYANONDIGITAL</t>
  </si>
  <si>
    <t>CÔNG TY TNHH KYANON DIGITAL</t>
  </si>
  <si>
    <t>SMS CSKH, WhatsApp</t>
  </si>
  <si>
    <t>G1_SBEDU</t>
  </si>
  <si>
    <t>Công Ty Cổ Phần Đào Tạo SUCCESS BUSINESS Việt Nam</t>
  </si>
  <si>
    <t>HồngLT</t>
  </si>
  <si>
    <t>G1_XUANTHIEN</t>
  </si>
  <si>
    <t>CÔNG TY CỔ PHẦN CHỨNG KHOÁN XUÂN THIỆN</t>
  </si>
  <si>
    <t>353</t>
  </si>
  <si>
    <t>Hỏi lại nhưng KH không phản ánh gì</t>
  </si>
  <si>
    <t>TRIVIET</t>
  </si>
  <si>
    <t>Công ty Cổ phần chứng khoán trí việt</t>
  </si>
  <si>
    <t>AMD Telecom</t>
  </si>
  <si>
    <t>CÔNG TY CỔ PHẦN ĐẤT DƯỢC</t>
  </si>
  <si>
    <t>datduoc_gapone</t>
  </si>
  <si>
    <t>Datduoc@123</t>
  </si>
  <si>
    <t>inhoguom</t>
  </si>
  <si>
    <t>GOTADI</t>
  </si>
  <si>
    <t>Công ty CP Công nghệ Du lịch GOTADI</t>
  </si>
  <si>
    <t>G1_TANVIET</t>
  </si>
  <si>
    <t>Công Ty Cổ Phần Văn Hóa Và Giáo Dục Tân Việt</t>
  </si>
  <si>
    <t>SMS CSKH, Zalo ZNS , SMS QC</t>
  </si>
  <si>
    <t>Đã báo sale trao đổi gia hạn với khách hàng</t>
  </si>
  <si>
    <t>G1_ZNS.SMS_EB</t>
  </si>
  <si>
    <t>CÔNG TY TNHH DỊCH VỤ EB</t>
  </si>
  <si>
    <t>354</t>
  </si>
  <si>
    <t>anhdungdatduoc@gmail.com</t>
  </si>
  <si>
    <t>Datapost</t>
  </si>
  <si>
    <t>Công ty TNHH MTV In Tem Bưu Điện</t>
  </si>
  <si>
    <t>onesms</t>
  </si>
  <si>
    <t>TRƯỜNG ĐẠI HỌC KINH TẾ NGHỆ AN</t>
  </si>
  <si>
    <t>Syniverse</t>
  </si>
  <si>
    <t>dhkinhtenghean_zns</t>
  </si>
  <si>
    <t>Dhkinhtenghean@123</t>
  </si>
  <si>
    <t>G1_SNP</t>
  </si>
  <si>
    <t>CÔNG TY TNHH MTV TỔNG CÔNG TY TÂN CẢNG SÀI GÒN</t>
  </si>
  <si>
    <t>G1_DUCGIANG</t>
  </si>
  <si>
    <t>Bệnh viện đa khoa Đức Giang</t>
  </si>
  <si>
    <t>BCHCM_GRC</t>
  </si>
  <si>
    <t>Công Ty TNHH BRITISH COUNCIL (Việt Nam) - Chi Nhánh TP.HCM.</t>
  </si>
  <si>
    <t>Xeca</t>
  </si>
  <si>
    <t>HỢP TÁC XÃ VẬN TẢI 27-7</t>
  </si>
  <si>
    <t>Trả trước 30k tin ZNS</t>
  </si>
  <si>
    <t>phamthikhang@naue.edu.vn</t>
  </si>
  <si>
    <t>G1_TINI</t>
  </si>
  <si>
    <t>CÔNG TY CỔ PHẦN TINI</t>
  </si>
  <si>
    <t>G1_EMS</t>
  </si>
  <si>
    <t>TỔNG CÔNG TY CHUYỂN PHÁT NHANH BƯU ĐIỆN – CÔNG TY CỔ PHẦN (EMS)</t>
  </si>
  <si>
    <t>CÔNG TY CỔ PHẦN LIFESTYLE VIỆT NAM</t>
  </si>
  <si>
    <t>G1_GIC</t>
  </si>
  <si>
    <t>Tổng Công Ty Cổ Phần Bảo Hiểm Toàn Cầu (GIC)</t>
  </si>
  <si>
    <t>lifestylevietnam_api</t>
  </si>
  <si>
    <t>SMS CSKH, SMSQC, Zalo ZNS</t>
  </si>
  <si>
    <t>Lifestylevietnam@123</t>
  </si>
  <si>
    <t>PHUCLONG</t>
  </si>
  <si>
    <t>CÔNG TY CỔ PHẦN PHÚC LONG HERITAGE</t>
  </si>
  <si>
    <t>355</t>
  </si>
  <si>
    <t>G1_MBAgeas</t>
  </si>
  <si>
    <t>G1_FWD</t>
  </si>
  <si>
    <t>Trả sau/Đã khoá ngày 24/7/2023</t>
  </si>
  <si>
    <t>Chinatelecom- CTG</t>
  </si>
  <si>
    <t>tuan.gt@elitefitness.com.vn</t>
  </si>
  <si>
    <t>TUCTHOI</t>
  </si>
  <si>
    <t>CÔNG TY CỔ PHẦN DỊCH VỤ TỨC THỜI</t>
  </si>
  <si>
    <t>GHTK</t>
  </si>
  <si>
    <t>CÔNG TY CỔ PHẦN GIAO HÀNG TIẾT KIỆM</t>
  </si>
  <si>
    <t>CÔNG TY TNHH THỦY TINH PHA LÊ VIỆT TIỆP</t>
  </si>
  <si>
    <t>phaleviettiep_gapone</t>
  </si>
  <si>
    <t>Phaleviettiep@123</t>
  </si>
  <si>
    <t>DAYONE</t>
  </si>
  <si>
    <t>CÔNG TY CỔ PHẦN DAYONE</t>
  </si>
  <si>
    <t>SMS CSKH, SMS QC, Gateway</t>
  </si>
  <si>
    <t>Linkmobility</t>
  </si>
  <si>
    <t>356</t>
  </si>
  <si>
    <t>gapone_gigastore</t>
  </si>
  <si>
    <t>CÔNG TY TNHH CÔNG NGHỆ GIGA STORE</t>
  </si>
  <si>
    <t>SOUTH</t>
  </si>
  <si>
    <t>KH quay lại sử dụng dịch vụ
Gia hạn 6 tháng: 26/04/2024 – 30/10/2024
Gói GapOne 3tr</t>
  </si>
  <si>
    <t>tungvo@phaleviettiep.com</t>
  </si>
  <si>
    <t>NEXMO</t>
  </si>
  <si>
    <t>Add PO mua thêm 2,2tr ZNS</t>
  </si>
  <si>
    <t>G1_HMMH</t>
  </si>
  <si>
    <t>CÔNG TY CỔ PHẦN BỆNH VIỆN ĐA KHOA HOÀN MỸ MINH HẢI</t>
  </si>
  <si>
    <t>G1_TMITO</t>
  </si>
  <si>
    <t>CÔNG TY CỔ PHẦN BỆNH VIỆN THUẬN MỸ ITO ĐỒNG NAI</t>
  </si>
  <si>
    <t>vongtrondo_zns</t>
  </si>
  <si>
    <t>Vongtrondo@123</t>
  </si>
  <si>
    <t>CÔNG TY CỔ PHẦN BỆNH VIỆN ĐA KHOA HOÀN MỸ CỬU LONG</t>
  </si>
  <si>
    <t>SMS CSKH, Zalo ZNS, Zalo UID</t>
  </si>
  <si>
    <t>TrâmNTB</t>
  </si>
  <si>
    <t>G1_HMDL</t>
  </si>
  <si>
    <t>CÔNG TY CỔ PHẦN BỆNH VIỆN ĐA KHOA HOÀN MỸ ĐÀ LẠT</t>
  </si>
  <si>
    <t>359</t>
  </si>
  <si>
    <t>G1_LOCAL LIFE</t>
  </si>
  <si>
    <t>CÔNG TY TNHH LOCAL LIFE TECHNOLOGY</t>
  </si>
  <si>
    <t>G1_THANHLOC</t>
  </si>
  <si>
    <t>CÔNG TY TNHH MỘT THÀNH VIÊN SIÊU THỊ ĐIỆN MÁY – Nội Thất Thành Lộc</t>
  </si>
  <si>
    <t>Lan.tranhuong@circlek.com.vn</t>
  </si>
  <si>
    <t>G1_DGVMOTUL</t>
  </si>
  <si>
    <t>Công Ty Cổ Phần DGV DIGITAL</t>
  </si>
  <si>
    <t>CÔNG TY CỔ PHẦN INTRUST</t>
  </si>
  <si>
    <t>CÔNG TY CỔ PHẦN DỊCH VỤ VÀ THƯƠNG MẠI ĐIỆN TỬ QUỐC TẾ EBIS</t>
  </si>
  <si>
    <t>ebis_api</t>
  </si>
  <si>
    <t>Ebis@123</t>
  </si>
  <si>
    <t>G1_ADTRUEGLOBAL</t>
  </si>
  <si>
    <t>CÔNG TY TNHH ADTRUE GLOBAL</t>
  </si>
  <si>
    <t>G1_LOCVN</t>
  </si>
  <si>
    <t>CÔNG TY CỔ PHẦN MỸ PHẨM LOCCITANE EN PROVINCE VIỆT NAM</t>
  </si>
  <si>
    <t>Titanicom</t>
  </si>
  <si>
    <t>Shineway International Group Limited (Titanicom)</t>
  </si>
  <si>
    <t>G1_MUJI</t>
  </si>
  <si>
    <t>CÔNG TY TNHH MUJI RETAIL (VIỆT NAM)</t>
  </si>
  <si>
    <t>G1_EHERBAL</t>
  </si>
  <si>
    <t>CÔNG TY CỔ PHẦN ĐẦU TƯ TOÀN CẦU EHERBAL WELLESS</t>
  </si>
  <si>
    <t>ads@ebis.vn</t>
  </si>
  <si>
    <t>NGL</t>
  </si>
  <si>
    <t>Chờ KH gửi lại template</t>
  </si>
  <si>
    <t>358</t>
  </si>
  <si>
    <t>DANDELIO</t>
  </si>
  <si>
    <t>CÔNG TY TNHH DANDELION VIỆT NAM</t>
  </si>
  <si>
    <t>CÔNG TY TNHH PHÂN PHỐI PHÁT VIỆT</t>
  </si>
  <si>
    <t>phatviet_api</t>
  </si>
  <si>
    <t>Phatviet@123</t>
  </si>
  <si>
    <t>SMSG1_HAITHUAN</t>
  </si>
  <si>
    <t>CÔNG TY CỔ PHẦN ĐẦU TƯ PHÁT TRIỂN DỊCH VỤ DU LỊCH HẢI THUẬN</t>
  </si>
  <si>
    <t>Arcadia</t>
  </si>
  <si>
    <t>HK_KWAIFONG_SMPP</t>
  </si>
  <si>
    <t>HK kwaifong Group Limited</t>
  </si>
  <si>
    <t>ZNSG1_ATHIENY</t>
  </si>
  <si>
    <t>Công ty TNHH một thành viên Thiên Y</t>
  </si>
  <si>
    <t>Hết hạn tài khoản, không gia hạn</t>
  </si>
  <si>
    <t>G1_KMS</t>
  </si>
  <si>
    <t>Công ty TNHH KMS Technology Việt Nam</t>
  </si>
  <si>
    <t>info@pvdistribution.com.vn</t>
  </si>
  <si>
    <t>G1_NIN2024</t>
  </si>
  <si>
    <t>CÔNG TY TNHH NESTLE VIỆT NAM (PO 4559605779)</t>
  </si>
  <si>
    <t>357</t>
  </si>
  <si>
    <t>Ha SG</t>
  </si>
  <si>
    <t>G1_QDC</t>
  </si>
  <si>
    <t>Công ty TNHH QD &amp; C</t>
  </si>
  <si>
    <t>CÔNG TY TNHH SỨC KHỎE VÀ SẮC ĐẸP DR.BÙI</t>
  </si>
  <si>
    <t>drbui_gapone</t>
  </si>
  <si>
    <t>G1_AVCO</t>
  </si>
  <si>
    <t>Drbui@123</t>
  </si>
  <si>
    <t>Công ty TNHH AVCO VIỆT NAM</t>
  </si>
  <si>
    <t>ICONS_G1</t>
  </si>
  <si>
    <t>Công Ty TNHH ICONS Việt Nam</t>
  </si>
  <si>
    <t>G1_ KHAIMINH</t>
  </si>
  <si>
    <t>CÔNG TY CỔ PHẦN TRUYỀN THÔNG VÀ CÔNG NGHỆ KHẢI MINH</t>
  </si>
  <si>
    <t>MEATDELI_SMSCSKH</t>
  </si>
  <si>
    <t>CÔNG TY TNHH MEATDELI HN</t>
  </si>
  <si>
    <t>Thammyquoctedrbui@gmail.com</t>
  </si>
  <si>
    <t>G1_DECATHLON</t>
  </si>
  <si>
    <t>CÔNG TY TNHH DECATHLON VIỆT NAM</t>
  </si>
  <si>
    <t>G1_DRWIN</t>
  </si>
  <si>
    <t>CÔNG TY TNHH BẢO HIỂM LIBERTY</t>
  </si>
  <si>
    <t>Công ty Cổ phần VIEON</t>
  </si>
  <si>
    <t>vieon_api</t>
  </si>
  <si>
    <t>Vieon@123</t>
  </si>
  <si>
    <t>G1_DGV</t>
  </si>
  <si>
    <t>CÔNG TY CỔ PHẦN DGV DIGITAL (Panasonic)</t>
  </si>
  <si>
    <t>360</t>
  </si>
  <si>
    <t>G1_ATHENAFS</t>
  </si>
  <si>
    <t>FARMNET</t>
  </si>
  <si>
    <t>CÔNG TY CỔ PHẦN FARMNET</t>
  </si>
  <si>
    <t>NHATTHAI</t>
  </si>
  <si>
    <t>COCA SUKI</t>
  </si>
  <si>
    <t>KH gia hạn lần 1 (12t): 21/5/2024 - 21/5/2025</t>
  </si>
  <si>
    <t>IMEDIA_KH</t>
  </si>
  <si>
    <t>IMEDIA</t>
  </si>
  <si>
    <t>cuong.diep@vieon.vn</t>
  </si>
  <si>
    <t>WELAND</t>
  </si>
  <si>
    <t>TECHDATA</t>
  </si>
  <si>
    <t>Vinasoy</t>
  </si>
  <si>
    <t>vinasoy_gapone</t>
  </si>
  <si>
    <t>NT DRTAM</t>
  </si>
  <si>
    <t>HỘ KINH DOANH NHÀ THUỐC DR.TÂM</t>
  </si>
  <si>
    <t>362</t>
  </si>
  <si>
    <t>FTI</t>
  </si>
  <si>
    <t>mobilemonty</t>
  </si>
  <si>
    <t>kieu.tran@vinasoy.com</t>
  </si>
  <si>
    <t>BICS</t>
  </si>
  <si>
    <t>FIBO</t>
  </si>
  <si>
    <t>G1_ECARAID</t>
  </si>
  <si>
    <t>CÔNG TY CỔ PHẦN ECARAID</t>
  </si>
  <si>
    <t>SMS CSKH, SMS QC, Zalo ZNS, Viber, Email</t>
  </si>
  <si>
    <r>
      <rPr>
        <rFont val="Google Sans"/>
        <color theme="1"/>
        <sz val="9.0"/>
      </rPr>
      <t xml:space="preserve">dohai@oxanh.vn
</t>
    </r>
    <r>
      <rPr>
        <rFont val="Google Sans"/>
        <color rgb="FFFF0000"/>
        <sz val="9.0"/>
      </rPr>
      <t>dohai.gele@gmail.com</t>
    </r>
  </si>
  <si>
    <t>Thời trang MIANA</t>
  </si>
  <si>
    <t>G1_VINNET</t>
  </si>
  <si>
    <t>Công ty Cổ phần VINNET</t>
  </si>
  <si>
    <t>miana_gapone</t>
  </si>
  <si>
    <t>Miana@123</t>
  </si>
  <si>
    <t>G1_MUAMUA</t>
  </si>
  <si>
    <t>CÔNG TY CỔ PHẦN CÔNG NGHỆ MUAMUA</t>
  </si>
  <si>
    <t>AI_ACTIV</t>
  </si>
  <si>
    <t>361</t>
  </si>
  <si>
    <t>CÔNG TY CỔ PHẦN AI ACTIV (trực thuộc VIEON)</t>
  </si>
  <si>
    <t>CÔNG TY CỔ PHẦN DR. WIN</t>
  </si>
  <si>
    <t>QUYSONG</t>
  </si>
  <si>
    <t>QUỸ HỖ TRỢ PHÁT TRIỂN CỘNG ĐỒNG SỐNG BỀN VỮNG</t>
  </si>
  <si>
    <t>ngamai78@gmail.com</t>
  </si>
  <si>
    <t>OCEANBANK</t>
  </si>
  <si>
    <t>MBV</t>
  </si>
  <si>
    <t>F.S.C</t>
  </si>
  <si>
    <t>LASOONG</t>
  </si>
  <si>
    <t>CÔNG TY CỔ PHẦN TPI LAND</t>
  </si>
  <si>
    <t>tpiland_gapone</t>
  </si>
  <si>
    <t>Tpiland@123</t>
  </si>
  <si>
    <t>MEDSTAND</t>
  </si>
  <si>
    <t>Công Ty Cổ Phần Dược Phẩm MEDSTAND</t>
  </si>
  <si>
    <t>363</t>
  </si>
  <si>
    <t>Trả trước 3 triệu</t>
  </si>
  <si>
    <t>baotran@tpiland.vn</t>
  </si>
  <si>
    <t>CÔNG TY CỔ PHẦN TM &amp; DV KOREST MIỀN NAM</t>
  </si>
  <si>
    <t>korestmiennam_gapone</t>
  </si>
  <si>
    <t>Korestmiennam@123</t>
  </si>
  <si>
    <t>364</t>
  </si>
  <si>
    <t>nddai90@gmail.com</t>
  </si>
  <si>
    <t>xác nhận tạm dừng do ko có MKT phụ trách từ 27/12/2023</t>
  </si>
  <si>
    <t>HỘ KINH DOANH EKYTO THÁNH QUẦN</t>
  </si>
  <si>
    <t>thanhquan_gapone</t>
  </si>
  <si>
    <t>Thanhquan@123</t>
  </si>
  <si>
    <t>366</t>
  </si>
  <si>
    <t>hello.vicolas@gmail.com</t>
  </si>
  <si>
    <t>Ko gia hạn và thanh lý</t>
  </si>
  <si>
    <t>Công Ty TNHH LETS SUSHI Việt Nam</t>
  </si>
  <si>
    <t>letssushi_gapone</t>
  </si>
  <si>
    <t>Letssushi@123</t>
  </si>
  <si>
    <t>Pos365</t>
  </si>
  <si>
    <t>367</t>
  </si>
  <si>
    <t>VNPT Bến Tre (VNPT Vĩnh Long)</t>
  </si>
  <si>
    <t>vietanh.sushi@gmail.com</t>
  </si>
  <si>
    <t>CÔNG TY TNHH DU LỊCH 338</t>
  </si>
  <si>
    <t>dulich338_gapone</t>
  </si>
  <si>
    <t>Dulich338@123</t>
  </si>
  <si>
    <t>Test 50 ZNS
HĐ tự động gia hạn</t>
  </si>
  <si>
    <t>368</t>
  </si>
  <si>
    <t>hangnguyen26@gmail.com</t>
  </si>
  <si>
    <t>CÔNG TY CỔ PHẦN SỮA VIỆT NAM</t>
  </si>
  <si>
    <t>vinamilk_api</t>
  </si>
  <si>
    <t>Vinamilk@123</t>
  </si>
  <si>
    <t>Sale báo khóa tài khoản</t>
  </si>
  <si>
    <t>50 SMS</t>
  </si>
  <si>
    <t>honglt@gapit.com.vn</t>
  </si>
  <si>
    <t>369</t>
  </si>
  <si>
    <t>HongLT</t>
  </si>
  <si>
    <t>Tinphat_gapone</t>
  </si>
  <si>
    <t>Tinphat@123</t>
  </si>
  <si>
    <t>01/12/2023: gia hạn 6 tháng
Ngày gia hạn lần 2: 26/07/2023 - 31/07/2025
Gia hạn lần 1: 07/07/2023 - 07/07/2024
Gia hạn lần 2: đến 31/07/2025
Gia hạn lần 3: đến 31/07/2026</t>
  </si>
  <si>
    <t>Tinphatquocte.com@gmail.com</t>
  </si>
  <si>
    <t>Partner_CleverTap</t>
  </si>
  <si>
    <t>370</t>
  </si>
  <si>
    <t>Công Ty TNHH Quảng Thái</t>
  </si>
  <si>
    <t>quangthai_api</t>
  </si>
  <si>
    <t>Quangthai@123</t>
  </si>
  <si>
    <t>hoangto@langfarm.com</t>
  </si>
  <si>
    <t>Nhat Hao Hairsalon</t>
  </si>
  <si>
    <t>nhathao_gapone</t>
  </si>
  <si>
    <t>Nhathao@123</t>
  </si>
  <si>
    <t>haodavines1994@gmail.com</t>
  </si>
  <si>
    <t>372</t>
  </si>
  <si>
    <t>Basic</t>
  </si>
  <si>
    <t>Import , API</t>
  </si>
  <si>
    <t>Le.NguyenThuyTien@fwd.com; Huynh.NamAnh@fwd.com; Nguyen Hoai Huong - VNUser' &lt;HoaiHuong.Nguyen@fwd.com&gt;; 'Pham Anh Tuyet - VNM' &lt;Pham.AnhTuyet@fwd.com&gt;; 'Thach Binh - VNM' &lt;Thach.Binh@fwd.com&gt;; 'Luu Nguyen Duong Thanh - VNUser' &lt;DuongThanh.Luu@fwd.com&gt;</t>
  </si>
  <si>
    <t>373</t>
  </si>
  <si>
    <t>ADG_01</t>
  </si>
  <si>
    <t>Adg123</t>
  </si>
  <si>
    <t>Tự động gia hạn 1 năm</t>
  </si>
  <si>
    <t>thinhnt.austdoor@gmail.com</t>
  </si>
  <si>
    <t>375</t>
  </si>
  <si>
    <r>
      <rPr>
        <rFont val="Lexend"/>
        <u/>
      </rPr>
      <t>nghianv1@austdoor.com</t>
    </r>
  </si>
  <si>
    <t>374</t>
  </si>
  <si>
    <t>Đã báo sale, nhưng không có thông tin CPID</t>
  </si>
  <si>
    <t>376</t>
  </si>
  <si>
    <t>HĐ ký 8/10/2021. Tự động gia hạn 1 năm 1, đến tháng 10 vẫn đối soát nên gia hạn luôn không tin lỗi
- Gia hạn lần 3: 15/08/2024 - 15/08/2025</t>
  </si>
  <si>
    <t>377</t>
  </si>
  <si>
    <t xml:space="preserve">tuyenttk@vivas.vn
</t>
  </si>
  <si>
    <t>378</t>
  </si>
  <si>
    <t>HĐ tự gia hạn 1 năm 1.
- Gia hạn lần 2: 19/08/2024 - 19/08/2025</t>
  </si>
  <si>
    <t xml:space="preserve">quangson.ictu@gmail.com
</t>
  </si>
  <si>
    <t>CÔNG TY CỔ PHẦN D BLUE</t>
  </si>
  <si>
    <t>dblue_gapone</t>
  </si>
  <si>
    <t>Dblue@123</t>
  </si>
  <si>
    <t>379</t>
  </si>
  <si>
    <t>datdtvt@gmail.com</t>
  </si>
  <si>
    <t>381</t>
  </si>
  <si>
    <t>HaNTT</t>
  </si>
  <si>
    <t>CÔNG TY CỔ PHẦN DỊCH VỤ ẨM THỰC CHÂU Á</t>
  </si>
  <si>
    <t>amthucchaua_gapone</t>
  </si>
  <si>
    <t>Amthucchaua@123</t>
  </si>
  <si>
    <t>Chị Hằng sales đang off, sẽ bổ sung sau.</t>
  </si>
  <si>
    <t>Sử dụng Zalo mini  app tra cứu hành trình kết hợp kịch bản ZNS journey thông báo hành trình đơn hàng tới end-user.</t>
  </si>
  <si>
    <t>mar@binhancompany.com.vn</t>
  </si>
  <si>
    <t>Dang, Tran Ngoc Hai (BDC-GLX) &lt;dangtnh@globalx.com.vn&gt;</t>
  </si>
  <si>
    <t>KH mua gói OA nâng cao 6 tháng từ ngày 26/2/25</t>
  </si>
  <si>
    <t>380</t>
  </si>
  <si>
    <t>COCO FOOD</t>
  </si>
  <si>
    <t>cocofood_gapone</t>
  </si>
  <si>
    <t>Cocofood@123</t>
  </si>
  <si>
    <t>TRả trước 5.000 email</t>
  </si>
  <si>
    <t>service@cocofoodvn.com</t>
  </si>
  <si>
    <t>True Digital Việt Nam</t>
  </si>
  <si>
    <t>truedigital_gapone</t>
  </si>
  <si>
    <t>Truedigital@123</t>
  </si>
  <si>
    <t>mot.nguyen@truedigital.com</t>
  </si>
  <si>
    <t>383</t>
  </si>
  <si>
    <t>off theo yêu cầu của sale</t>
  </si>
  <si>
    <t>Công ty cố phần và ứng dụng S-W Tech</t>
  </si>
  <si>
    <t>swtech_gapone</t>
  </si>
  <si>
    <t>Swtech@123</t>
  </si>
  <si>
    <t>Mr.nvlam@gmail.com</t>
  </si>
  <si>
    <t>active lại tk ngày 10/8/2023</t>
  </si>
  <si>
    <t>384</t>
  </si>
  <si>
    <t>CÔNG TY TNHH DỊCH VỤ Y TẾ PHAN GIA</t>
  </si>
  <si>
    <t>ytephangia_gapone</t>
  </si>
  <si>
    <t>Ytephangia@123</t>
  </si>
  <si>
    <t>Hanhchinhnhansuthavi@gmail.com</t>
  </si>
  <si>
    <t>386</t>
  </si>
  <si>
    <t>Triển khai miniapp</t>
  </si>
  <si>
    <t>vtgo_api</t>
  </si>
  <si>
    <t>Vtgo@123456</t>
  </si>
  <si>
    <t>387</t>
  </si>
  <si>
    <t>- HĐ có tự động gia hạn</t>
  </si>
  <si>
    <t>vtgo@vtgo.vn</t>
  </si>
  <si>
    <t>- Triển khai sms
- HĐ tự động gia hạn</t>
  </si>
  <si>
    <t>388</t>
  </si>
  <si>
    <t>COLLECTIUS_GAPONE</t>
  </si>
  <si>
    <t>Collectius@123</t>
  </si>
  <si>
    <t xml:space="preserve">Gia hạn gói ngày 1/12/2023, ngày hết hạn 31/05/2024 (draft PL sale group zalo), chờ confirm
Gia hạn gói ngày 02/07/2024, gia hạn 1 năm
Gia hạn từ 1/7/25 -&gt; 1/7/26
</t>
  </si>
  <si>
    <t>385</t>
  </si>
  <si>
    <t>- Đã gia hạn 6 tháng
- Gia hạn tiếp đến 1/4/2025</t>
  </si>
  <si>
    <t>390</t>
  </si>
  <si>
    <t>dichvunhantin@collectius.com</t>
  </si>
  <si>
    <t>391</t>
  </si>
  <si>
    <t>Triển khai ZNS &amp; SMS</t>
  </si>
  <si>
    <t>CÔNG TY TNHH VIET - RUSSIMEX</t>
  </si>
  <si>
    <t>russimex_gapone</t>
  </si>
  <si>
    <t>Russimex@12345</t>
  </si>
  <si>
    <t>392</t>
  </si>
  <si>
    <t>WooCommerce</t>
  </si>
  <si>
    <t>iqosviet.vn@gmail.com</t>
  </si>
  <si>
    <t>- Triển khai ZNS &amp; SMS
- off tài khoản vì khách chưa trả hợp đồng và chốt ngày triển khai dù đã thanh toán đầy đủ dịch vụ</t>
  </si>
  <si>
    <t>CÔNG TY CỔ PHẦN ĐẦU TƯ VÀ PHÁT TRIỂN CÔNG NGHỆ SMART LOYALTY QUỐC TẾ</t>
  </si>
  <si>
    <t>loyaltyquocte_api</t>
  </si>
  <si>
    <t>Loyaltyquocte@123</t>
  </si>
  <si>
    <t>393</t>
  </si>
  <si>
    <t>Báo khóa tài khoản</t>
  </si>
  <si>
    <t>Test 10 tin SMS</t>
  </si>
  <si>
    <t>tunh@smartloyalty.vn</t>
  </si>
  <si>
    <t>mở test lại ngày 31/01/2024</t>
  </si>
  <si>
    <t>CÔNG TY CỔ PHẦN SỨC KHỎE ANKIE</t>
  </si>
  <si>
    <t>ankie_gapone</t>
  </si>
  <si>
    <t>Ankie@123</t>
  </si>
  <si>
    <t>Pancake</t>
  </si>
  <si>
    <t>394</t>
  </si>
  <si>
    <t>tiendq.marketing@gmail.com</t>
  </si>
  <si>
    <t>Zalo mini App</t>
  </si>
  <si>
    <t>395</t>
  </si>
  <si>
    <t>Đa kênh</t>
  </si>
  <si>
    <t>Công ty TNHH Đầu tư Phát triển và Chuyển giao Công nghệ Vina</t>
  </si>
  <si>
    <t>Vinatti_api</t>
  </si>
  <si>
    <t>Vinatti@123</t>
  </si>
  <si>
    <t>tài khoản tạm khóa, chờ process TM</t>
  </si>
  <si>
    <t>kiettt@vinatti.com.vn</t>
  </si>
  <si>
    <t>396</t>
  </si>
  <si>
    <t>Triển khai ZNS qua API</t>
  </si>
  <si>
    <t>Công ty cổ phần truyền thông Du Lịch Việt</t>
  </si>
  <si>
    <t>Dulichviet_zns</t>
  </si>
  <si>
    <t>Dulichviet@123</t>
  </si>
  <si>
    <t>KH quay lại sử dụng dịch vụ
Gia hạn 6 tháng: 26/04/2024 – 30/10/2024
Gói GapOne 3tr
Add PO mua thêm 2,2tr ZNS</t>
  </si>
  <si>
    <t>Mở lại đến hết hạn 31/12 để KH gửi tin Truyền thông cá nhân theo yc bên sale, đổi gói sang ENTERPRISE</t>
  </si>
  <si>
    <t>info@dulichviet.com.vn</t>
  </si>
  <si>
    <t>Triển khai ZNS qua API và Platform</t>
  </si>
  <si>
    <t>ZION</t>
  </si>
  <si>
    <t>Zion_gapone</t>
  </si>
  <si>
    <t>Zion@123</t>
  </si>
  <si>
    <t>398</t>
  </si>
  <si>
    <t>Hoavmq@vng.com.vn</t>
  </si>
  <si>
    <t>Zalo Mini App + Gapone + ZNS</t>
  </si>
  <si>
    <t>Ngân hàng TMCP Sài Gòn – Hà Nội (SHB)</t>
  </si>
  <si>
    <t>Shb_zns</t>
  </si>
  <si>
    <t>Shb@1234</t>
  </si>
  <si>
    <r>
      <rPr>
        <rFont val="Google Sans"/>
        <color theme="1"/>
        <sz val="9.0"/>
      </rPr>
      <t xml:space="preserve">Lan.tranhuong@circlek.com.vn
</t>
    </r>
    <r>
      <rPr>
        <rFont val="Google Sans"/>
        <color rgb="FFFF0000"/>
        <sz val="9.0"/>
      </rPr>
      <t xml:space="preserve">anh.lethuyphuong@circlek.com.vn </t>
    </r>
  </si>
  <si>
    <t>Tramntb</t>
  </si>
  <si>
    <t>Circlek</t>
  </si>
  <si>
    <t>371</t>
  </si>
  <si>
    <t>test</t>
  </si>
  <si>
    <t>test 5.000 tin</t>
  </si>
  <si>
    <t>dao.nv@shb.com.vn</t>
  </si>
  <si>
    <t>Email</t>
  </si>
  <si>
    <t>Triển khai ZNS, SH upload dữ liệu khách hàng</t>
  </si>
  <si>
    <t>TRUNG TÂM KINH DOANH VNPT - TRÀ VINH</t>
  </si>
  <si>
    <t>vnpttravinh_api</t>
  </si>
  <si>
    <t>Vnpttravinh@123</t>
  </si>
  <si>
    <t>399</t>
  </si>
  <si>
    <t>danhvt.tvh@vnpt.vn</t>
  </si>
  <si>
    <t>400</t>
  </si>
  <si>
    <t>YenHT</t>
  </si>
  <si>
    <t>Athena Fintech Solution</t>
  </si>
  <si>
    <t>Athenafs_gapone2</t>
  </si>
  <si>
    <t>Athenafs2@123</t>
  </si>
  <si>
    <t>thuc.nh@isofh.com</t>
  </si>
  <si>
    <t>thy.le@athenafs.io</t>
  </si>
  <si>
    <t>ZNS fall back to SMS</t>
  </si>
  <si>
    <t>401</t>
  </si>
  <si>
    <t>CÔNG TY TNHH JADE CRYSTAL</t>
  </si>
  <si>
    <t>Jadecrystal_gapone</t>
  </si>
  <si>
    <t>Jadecrystal@123</t>
  </si>
  <si>
    <t>Trả trước 1800K: đã add 4000 tin trước</t>
  </si>
  <si>
    <t>Thuyduongbui2809@gmail.com</t>
  </si>
  <si>
    <t>Triển khai ZNS trước, sau đó là full tính năng</t>
  </si>
  <si>
    <t>CÔNG TY CỔ PHẦN WOAY</t>
  </si>
  <si>
    <t>Woay_gapone</t>
  </si>
  <si>
    <t>Woay@123</t>
  </si>
  <si>
    <t>403</t>
  </si>
  <si>
    <t>Viện tiêm chủng Tanimed</t>
  </si>
  <si>
    <t>Tanimed_api</t>
  </si>
  <si>
    <t>Tanimed@123</t>
  </si>
  <si>
    <t>tung@woay.vn</t>
  </si>
  <si>
    <t>votrungsononly@gmail.com</t>
  </si>
  <si>
    <t>Hợp tác xã tiêu thụ điện Vinh Hưng</t>
  </si>
  <si>
    <t>Vinhhung_api</t>
  </si>
  <si>
    <t>Vinhhung@123</t>
  </si>
  <si>
    <t>404</t>
  </si>
  <si>
    <t>Công Ty Trách Nhiệm Hữu Hạn SAVOR Việt Nam</t>
  </si>
  <si>
    <t>Savor_gapone</t>
  </si>
  <si>
    <t>Savor@123</t>
  </si>
  <si>
    <t>Trả trước 10.000 tin ZNS</t>
  </si>
  <si>
    <t>htxdienvinhhung@gmail.com</t>
  </si>
  <si>
    <t>CÔNG TY TNHH 1 THÀNH VIÊN ISOFHCARE</t>
  </si>
  <si>
    <t>ISOFHCARE_GAPONE</t>
  </si>
  <si>
    <t>iSofhcare123</t>
  </si>
  <si>
    <t>tech@4-handy.com</t>
  </si>
  <si>
    <t>Tuyet</t>
  </si>
  <si>
    <t>405</t>
  </si>
  <si>
    <t>Sẽ gia hạn tiếp theo năm</t>
  </si>
  <si>
    <t>407</t>
  </si>
  <si>
    <t>SMS + ZNS</t>
  </si>
  <si>
    <t>Công Ty Cổ Phần Chứng Khoán ASEAN</t>
  </si>
  <si>
    <t>Aseansc_gapone</t>
  </si>
  <si>
    <t>Aseansc@123</t>
  </si>
  <si>
    <t>408</t>
  </si>
  <si>
    <t>Gia hạn tiếp đến 01/09/2025</t>
  </si>
  <si>
    <t>trả sau</t>
  </si>
  <si>
    <t>suc.nx@aseansc.com.vn</t>
  </si>
  <si>
    <t>410</t>
  </si>
  <si>
    <t>anh.lt@aseansc.com.vn</t>
  </si>
  <si>
    <t>Đã báo sale trao đổi gia hạn với khách hàng
Ko gia hạn và thanh lý</t>
  </si>
  <si>
    <t>Email + Zalo</t>
  </si>
  <si>
    <t>409</t>
  </si>
  <si>
    <t>sonkim_gapone</t>
  </si>
  <si>
    <t>cmc_api</t>
  </si>
  <si>
    <t>Sonkim@123</t>
  </si>
  <si>
    <t>Cmc@1234</t>
  </si>
  <si>
    <t>thaontp@sonkimfashion.com.vn</t>
  </si>
  <si>
    <t>412</t>
  </si>
  <si>
    <t xml:space="preserve">Trả sau </t>
  </si>
  <si>
    <t>vas-psoc.platform@cmctelecom.vn</t>
  </si>
  <si>
    <t xml:space="preserve">ZNS </t>
  </si>
  <si>
    <t>413</t>
  </si>
  <si>
    <t>Capillary</t>
  </si>
  <si>
    <t>Capillary_APIGAPONE</t>
  </si>
  <si>
    <t>Capillary@123</t>
  </si>
  <si>
    <t>50 SMS
Sale báo khóa tài khoản</t>
  </si>
  <si>
    <t>416</t>
  </si>
  <si>
    <t>nishant.lawrence@capillarytech.com</t>
  </si>
  <si>
    <t>ZNS + SMS</t>
  </si>
  <si>
    <t>CÔNG TY TNHH GIẢI PHÁP CÔNG NGHỆ TRIPLAYZ</t>
  </si>
  <si>
    <t>TRIPLAYZ_GAPONE</t>
  </si>
  <si>
    <t>Tripplayz@123</t>
  </si>
  <si>
    <t>417</t>
  </si>
  <si>
    <t>CÔNG TY CỔ PHẦN CÔNG NGHỆ &amp; TRUYỀN THÔNG VIỆT NAM</t>
  </si>
  <si>
    <t>truyenthongvn_gapone</t>
  </si>
  <si>
    <t>Truyenthongvn@123</t>
  </si>
  <si>
    <t>Zalo ZNS, SMS CSKH</t>
  </si>
  <si>
    <t>locdt@vntt.com.vn</t>
  </si>
  <si>
    <t>ngoc@triplayz.com</t>
  </si>
  <si>
    <r>
      <rPr>
        <rFont val="Google Sans"/>
        <color rgb="FF000000"/>
        <sz val="9.0"/>
      </rPr>
      <t>locdt@vntt.com.vn</t>
    </r>
    <r>
      <rPr>
        <rFont val="Google Sans"/>
        <color rgb="FFFF0000"/>
        <sz val="9.0"/>
      </rPr>
      <t xml:space="preserve">
dunght@vntt.com.vn
dvkh@vntt.com.vn</t>
    </r>
  </si>
  <si>
    <t>418</t>
  </si>
  <si>
    <t>AnhNM, DungVT</t>
  </si>
  <si>
    <t>420</t>
  </si>
  <si>
    <t>Công Ty Cổ Phần Tập Đoàn GOLDEN GATE</t>
  </si>
  <si>
    <t>INSIDER_API</t>
  </si>
  <si>
    <t>Insider@123</t>
  </si>
  <si>
    <t>goldengate_gapone</t>
  </si>
  <si>
    <t>Goldengate@123</t>
  </si>
  <si>
    <t>Công nghệ</t>
  </si>
  <si>
    <t>huong.ly@ggg.com.vn</t>
  </si>
  <si>
    <t>Hỗ trợ gia hạn 1 tháng trong thời hạn hoàn thành HĐ</t>
  </si>
  <si>
    <t>421</t>
  </si>
  <si>
    <t>Is Post Paid</t>
  </si>
  <si>
    <t>jack.nguyen@useinsider.com</t>
  </si>
  <si>
    <t>goldengate2_gapone</t>
  </si>
  <si>
    <t>Goldengate2@123</t>
  </si>
  <si>
    <t>Công ty TNHH PHƯỚC THỊNH D&amp;B</t>
  </si>
  <si>
    <t>Phuocthinh_gapone</t>
  </si>
  <si>
    <t>Phuocthinh@123</t>
  </si>
  <si>
    <t>chinh.pham@ggg.com.vn</t>
  </si>
  <si>
    <t>ketoanphuocthinhdb@gmail.com</t>
  </si>
  <si>
    <t>422</t>
  </si>
  <si>
    <t>Công ty TNHH JobTest</t>
  </si>
  <si>
    <t>jobtest_gapone</t>
  </si>
  <si>
    <t>goldengatemiennam_gapone</t>
  </si>
  <si>
    <t>Jobtest@123</t>
  </si>
  <si>
    <t>goldengatemiennam</t>
  </si>
  <si>
    <t>Goldengatemiennam@123</t>
  </si>
  <si>
    <t>STARTER</t>
  </si>
  <si>
    <t>Gia hạn thêm 6th, tặng 6000 mail/ 6 tháng
Theo thông tin gia hạn email chị Nhung sales gửi ngày 25/11/2024: 
- Gia hạn Gapone lần 2: 25/11/24- 31/05/25, chuyển gói từ Enterprise sang Starter.
- Mua thêm PO email 1.272.727đ tương ứng 63.636 email x đơn giá 20đ/email, thời hạn từ 25/11/24- 25/02/25.</t>
  </si>
  <si>
    <t>minhhh@jobtest.com.vn</t>
  </si>
  <si>
    <t>an.nguyen@ggg.com.vn</t>
  </si>
  <si>
    <t>423</t>
  </si>
  <si>
    <t>goldengatevinh</t>
  </si>
  <si>
    <t>Goldengatevinh@123</t>
  </si>
  <si>
    <t>v.hoangnv40@vinpearl.com; v.huyendk8@vinpearl.com; v.anhvv32@vinpearl.com; v.haint89@vinpearl.com</t>
  </si>
  <si>
    <t>AnhNM, YenDH</t>
  </si>
  <si>
    <t>CÔNG TY CỔ PHẦN MOMKID VIỆT NAM</t>
  </si>
  <si>
    <t>MOMKID_GAPONE</t>
  </si>
  <si>
    <t xml:space="preserve">ngan.dinh@pgs-corp.com.vn </t>
  </si>
  <si>
    <t>Momkid@123</t>
  </si>
  <si>
    <t>Gia hạn theo phụ lục 01</t>
  </si>
  <si>
    <t>424</t>
  </si>
  <si>
    <t>Haidangdoan.hmu@gmail.com</t>
  </si>
  <si>
    <t>ZNS, khác đã đổi pass</t>
  </si>
  <si>
    <t>Công ty Car Doctor</t>
  </si>
  <si>
    <t>Cardoctor_api</t>
  </si>
  <si>
    <t>Cardoctor@123</t>
  </si>
  <si>
    <t>cuong.hoang.mfw@gmail.com</t>
  </si>
  <si>
    <t>425</t>
  </si>
  <si>
    <t>CÔNG TY CỔ PHẦN TRẢI NGHIỆM TOÀN CẦU</t>
  </si>
  <si>
    <t>test 20 tin SMS</t>
  </si>
  <si>
    <t>CRM</t>
  </si>
  <si>
    <t>HĐ có tự động gia hạn
KH mua gói OA nâng cao 6 tháng từ ngày 26/2/25</t>
  </si>
  <si>
    <t>glx.sac.tp.p7.1@globalx.com.vn; 
Chamsockhachhang@globalx.com.vn</t>
  </si>
  <si>
    <t>Thực phẩm và đồ uống</t>
  </si>
  <si>
    <t>428</t>
  </si>
  <si>
    <t>Premium</t>
  </si>
  <si>
    <t>Ϲông ty Cổ phần Aggregatori Capaci</t>
  </si>
  <si>
    <t>Capaci_api</t>
  </si>
  <si>
    <t>Capaci@123</t>
  </si>
  <si>
    <t>Gia hạn tiếp đến 01/09/2025
SMS + ZNS
Email + Zalo</t>
  </si>
  <si>
    <t>giangluu@systematicfunctions.com</t>
  </si>
  <si>
    <r>
      <rPr>
        <rFont val="Google Sans"/>
        <color theme="1"/>
        <sz val="9.0"/>
      </rPr>
      <t xml:space="preserve">anh.lt@aseansc.com.vn
</t>
    </r>
    <r>
      <rPr>
        <rFont val="Google Sans"/>
        <color rgb="FFFF0000"/>
        <sz val="9.0"/>
      </rPr>
      <t>quang.la@aseansc.com.vn
phong.nx@aseansc.com.vn
linh.td@aseansc.com.vn</t>
    </r>
  </si>
  <si>
    <t>test 20 tin sms</t>
  </si>
  <si>
    <t>426</t>
  </si>
  <si>
    <t>CÔNG TY CỔ PHẦN PHÁT HÀNH SÁCH TP.HCM - FAHASA</t>
  </si>
  <si>
    <t>fahasa_api</t>
  </si>
  <si>
    <t>CÔNG TY TNHH ALEGA – Mr. Lê Quang Hùng</t>
  </si>
  <si>
    <t>alega_zns</t>
  </si>
  <si>
    <t>Fahasa@123</t>
  </si>
  <si>
    <t>Alega@123</t>
  </si>
  <si>
    <t>alega.vn2019@gmail.com</t>
  </si>
  <si>
    <t>Webminar 1:1</t>
  </si>
  <si>
    <t>KANY – Mr. Thân Văn Vũ</t>
  </si>
  <si>
    <t>kany_zns</t>
  </si>
  <si>
    <t>ha.nguyen@fahasa.com</t>
  </si>
  <si>
    <t>Kany@123</t>
  </si>
  <si>
    <t>429</t>
  </si>
  <si>
    <t>Kanyspa@gmail.com</t>
  </si>
  <si>
    <t>TRUNG TÂM KINH DOANH VNPT - GIA LAI</t>
  </si>
  <si>
    <t>VNPTGialai_ZNS</t>
  </si>
  <si>
    <t>VNPTGialai@123</t>
  </si>
  <si>
    <t>Trả trước 5.000 email</t>
  </si>
  <si>
    <t>427</t>
  </si>
  <si>
    <t>CÔNG TY CỔ PHẦN QUẢN LÝ BẤT ĐỘNG SẢN HÀ NỘI</t>
  </si>
  <si>
    <t>bdshanoi_zns</t>
  </si>
  <si>
    <t>Bds@1234</t>
  </si>
  <si>
    <t>myntt.gli@vnpt.vn</t>
  </si>
  <si>
    <t>431</t>
  </si>
  <si>
    <t>CÔNG TY CỔ PHẦN ĐẦU TƯ PHÁT TRIỂN THƯƠNG MẠI THIÊN SƠN</t>
  </si>
  <si>
    <t>thienson_gapone</t>
  </si>
  <si>
    <t>Thienson@123456</t>
  </si>
  <si>
    <t>Sapo</t>
  </si>
  <si>
    <t>ATLANTIC_GAPONE</t>
  </si>
  <si>
    <t>Atlantic@123</t>
  </si>
  <si>
    <t>maxxsport.online@gmail.com</t>
  </si>
  <si>
    <r>
      <rPr>
        <rFont val="Google Sans"/>
        <color theme="1"/>
        <sz val="9.0"/>
      </rPr>
      <t xml:space="preserve">maxxsport.online@gmail.com
</t>
    </r>
    <r>
      <rPr>
        <rFont val="Google Sans"/>
        <color rgb="FFFF0000"/>
        <sz val="9.0"/>
      </rPr>
      <t>phoenix-crm@googlegroups.com crmteam.mkt@gmail.com
Nguyettt.kd.online@gmail.com</t>
    </r>
  </si>
  <si>
    <t>pr@atlantic.edu.vn</t>
  </si>
  <si>
    <t>432</t>
  </si>
  <si>
    <t>CÔNG TY TNHH QUỐC TẾ HẢI LONG</t>
  </si>
  <si>
    <t>hailong_gapone</t>
  </si>
  <si>
    <t>Hailong@123456</t>
  </si>
  <si>
    <t>info.liningvn@gmail.com</t>
  </si>
  <si>
    <r>
      <rPr>
        <rFont val="Google Sans"/>
        <color theme="1"/>
        <sz val="9.0"/>
      </rPr>
      <t xml:space="preserve">info.liningvn@gmail.com
</t>
    </r>
    <r>
      <rPr>
        <rFont val="Google Sans"/>
        <color rgb="FFFF0000"/>
        <sz val="9.0"/>
      </rPr>
      <t>nguyettt.kd.online@gmail.com</t>
    </r>
  </si>
  <si>
    <t>433</t>
  </si>
  <si>
    <t>Công Ty TNHH A2E VIETNAM</t>
  </si>
  <si>
    <t>a2evietnam_gapone</t>
  </si>
  <si>
    <t>A2evietnam@123456</t>
  </si>
  <si>
    <t>CÔNG TY CỔ PHẦN ĐẦU TƯ VÀ PHÁT TRIỂN DỊCH VỤ CITIGYM</t>
  </si>
  <si>
    <t>CITIGYM_GAPONE</t>
  </si>
  <si>
    <t>Citigym@123</t>
  </si>
  <si>
    <t>Gia hạn gói ngày 17/11/2023, ngày hết hạn 16/11/2024
Tiếp tục gia hạn đến 16/11/2025
Nạp PO 4tr</t>
  </si>
  <si>
    <t>vietnam@a2eship.com</t>
  </si>
  <si>
    <t>Mỹ phẩm &amp; Làm đẹp</t>
  </si>
  <si>
    <r>
      <rPr>
        <rFont val="Google Sans"/>
        <color theme="1"/>
        <sz val="9.0"/>
      </rPr>
      <t xml:space="preserve">vietnam@a2eship.com
</t>
    </r>
    <r>
      <rPr>
        <rFont val="Google Sans"/>
        <color rgb="FFFF0000"/>
        <sz val="9.0"/>
      </rPr>
      <t>marketing.vn@a2eship.com</t>
    </r>
  </si>
  <si>
    <t>khanghpb@citigym.com.vn</t>
  </si>
  <si>
    <t>support@citigym.asia; ITD-CTG@citigym.asia</t>
  </si>
  <si>
    <t>437</t>
  </si>
  <si>
    <t>CÔNG TY TNHH MỘT THÀNH VIÊN MẠNG LƯỚI QUÀ</t>
  </si>
  <si>
    <t>mangluoiqua_api</t>
  </si>
  <si>
    <t>Mangluoiqua@123456</t>
  </si>
  <si>
    <t>QuocAn_Bizfly_API</t>
  </si>
  <si>
    <t>Quocan@123</t>
  </si>
  <si>
    <t>API MSG</t>
  </si>
  <si>
    <t>- Gia hạn Gapone: ngày gia hạn 09/12/2024- 12/05/2025; gia hạn tiếp từ 12/5/2025 -&gt; 12/5/2026</t>
  </si>
  <si>
    <t>csdl@quocanjsc.vn</t>
  </si>
  <si>
    <t>11/03/2024: thay đổi tên Công ty và OA mới, chị có trao đổi với khách để tránh việc đối soát phức tạp sau này khi triển khai thì mình sẽ cấp lại Tài khoản Gapone theo tên pháp nhân mới và OA Pluxee Việt Nam (mới)</t>
  </si>
  <si>
    <t>Trung.Tu@sodexo.com</t>
  </si>
  <si>
    <t>Hault</t>
  </si>
  <si>
    <t>438</t>
  </si>
  <si>
    <t>CÔNG TY TNHH THƯƠNG MẠI &amp; DỊCH VỤ SHEGAN</t>
  </si>
  <si>
    <t>shegan_zns</t>
  </si>
  <si>
    <t>Shegan@123456</t>
  </si>
  <si>
    <t>sheganvietnam@gmail.com</t>
  </si>
  <si>
    <t>ThườngTTK</t>
  </si>
  <si>
    <t>439</t>
  </si>
  <si>
    <t>ThuongTTK</t>
  </si>
  <si>
    <t>440</t>
  </si>
  <si>
    <t>Tổng Công Ty May Nhà Bè - Công Ty Cổ Phần</t>
  </si>
  <si>
    <t>congtymaynhabe_zns</t>
  </si>
  <si>
    <t>Congtymaynhabe@123456</t>
  </si>
  <si>
    <t>Nhan@mattana.com.vn</t>
  </si>
  <si>
    <t>307</t>
  </si>
  <si>
    <t>TRUNG TÂM KINH DOANH VNPT - THÁI NGUYÊN - CHI NHÁNH TỔNG CÔNG TY DỊCH VỤ VIỄN THÔNG</t>
  </si>
  <si>
    <t>vnpt_gapone</t>
  </si>
  <si>
    <t>Vnpt@123</t>
  </si>
  <si>
    <t>Tiếp tục gia hạn từ  4/12/24 - 4/12/25</t>
  </si>
  <si>
    <t>nghiant.tnn@vnpt.vn</t>
  </si>
  <si>
    <t>441</t>
  </si>
  <si>
    <t>CÔNG TY CỔ PHẦN LOCACAFE VIỆT NAM</t>
  </si>
  <si>
    <t>Locacafe_Gapone</t>
  </si>
  <si>
    <t>Locacafe@123</t>
  </si>
  <si>
    <t>442</t>
  </si>
  <si>
    <t>800025, 600742</t>
  </si>
  <si>
    <t>delta_zns</t>
  </si>
  <si>
    <t>Delta@123456</t>
  </si>
  <si>
    <t>Mới</t>
  </si>
  <si>
    <t>chuyển đổi từ API Gateway</t>
  </si>
  <si>
    <t>Mini App</t>
  </si>
  <si>
    <t>trongminh.uong@delta-vn.net</t>
  </si>
  <si>
    <t>Truyền thông &amp; Giải trí</t>
  </si>
  <si>
    <t>Liberty_Gapone</t>
  </si>
  <si>
    <t>Liberty@123</t>
  </si>
  <si>
    <t>443</t>
  </si>
  <si>
    <t>quocthuan.vo@libertyinsurance.com.vn</t>
  </si>
  <si>
    <t>446</t>
  </si>
  <si>
    <t>Coach biz</t>
  </si>
  <si>
    <t>Coachbiz_Gapone</t>
  </si>
  <si>
    <t>Coachbiz@123</t>
  </si>
  <si>
    <t>- HĐ có tự động gia hạn
- Triển khai sms
- HĐ tự động gia hạn</t>
  </si>
  <si>
    <t>dantran.cx@gmail.com</t>
  </si>
  <si>
    <t>445</t>
  </si>
  <si>
    <t>CÔNG TY TNHH THƯƠNG MẠI – DỊCH VỤ VTMH</t>
  </si>
  <si>
    <t>vtmh_zns</t>
  </si>
  <si>
    <t>Vtmh@123456</t>
  </si>
  <si>
    <t>STT</t>
  </si>
  <si>
    <t>Thonglv@vitaminhouse.vn</t>
  </si>
  <si>
    <t>Link</t>
  </si>
  <si>
    <t>447</t>
  </si>
  <si>
    <t>Ngừng dịch vụ</t>
  </si>
  <si>
    <t>1080zns</t>
  </si>
  <si>
    <t>1080Zns@123</t>
  </si>
  <si>
    <t>- Đã gia hạn 6 tháng
- Gia hạn tiếp đến 1/4/2025
- Triển khai ZNS &amp; SMS
- Gia hạn tiếp 6th ngày 1/4/2026</t>
  </si>
  <si>
    <t>3t_gapone</t>
  </si>
  <si>
    <t>Gapone@123</t>
  </si>
  <si>
    <r>
      <rPr>
        <rFont val="Google Sans"/>
        <color theme="1"/>
        <sz val="9.0"/>
      </rPr>
      <t xml:space="preserve">dichvunhantin@collectius.com
</t>
    </r>
    <r>
      <rPr>
        <rFont val="Google Sans"/>
        <color rgb="FFFF0000"/>
        <sz val="9.0"/>
      </rPr>
      <t>lieu.n@collectius.com; tuan.l@collectius.com; hoang.p@collectius.com; hang.t@collectius.com;  trang.n@collectius.com; thaomy.p@collectius.com; anhdao.n@collectius.com; finance_vn@collectius.com; cong.t@collectius.com; tri.p@collectius.com; phong.n@collectius.com; trung.l@collectius.com</t>
    </r>
  </si>
  <si>
    <t>448</t>
  </si>
  <si>
    <t>Anvuigapone</t>
  </si>
  <si>
    <t>Anvui@123</t>
  </si>
  <si>
    <t>Unilever /API</t>
  </si>
  <si>
    <t>Athenafs@123</t>
  </si>
  <si>
    <t>449</t>
  </si>
  <si>
    <t>Colgate_api</t>
  </si>
  <si>
    <t>Coslexy</t>
  </si>
  <si>
    <t>Abc123@123</t>
  </si>
  <si>
    <t>Daikin_gapone</t>
  </si>
  <si>
    <t>Daikin@123</t>
  </si>
  <si>
    <t>thanh lý từ 1/11/2023</t>
  </si>
  <si>
    <t>Báo khóa tài khoản
mở test lại ngày 31/01/2024
Test 10 tin SMS</t>
  </si>
  <si>
    <t>Dulich338_gapone</t>
  </si>
  <si>
    <t>478</t>
  </si>
  <si>
    <t>CÔNG TY TNHH ĐẦU TƯ PHÁT TRIỂN XÂY DỰNG VÀ THƯƠNG MẠI ĐẠI DƯƠNG/ Enterprise</t>
  </si>
  <si>
    <t>CÔNG TY CỔ PHẦN MIDOMAX VIỆT NAM</t>
  </si>
  <si>
    <t>midomaxvn_gapone</t>
  </si>
  <si>
    <t>Midomaxvn@123456</t>
  </si>
  <si>
    <t>FWDVietnam</t>
  </si>
  <si>
    <t>FWDVietnam@123</t>
  </si>
  <si>
    <t>Fingroup_gapone</t>
  </si>
  <si>
    <t>Fingroup@123</t>
  </si>
  <si>
    <t>thêm PO 2tr</t>
  </si>
  <si>
    <t>kamito_ecom@midomax.vn</t>
  </si>
  <si>
    <t>Honglt</t>
  </si>
  <si>
    <t>Honglt@123</t>
  </si>
  <si>
    <t>CÔNG TY CỔ PHẦN THƯƠNG MẠI VÀ DỊCH VỤ EASYMART</t>
  </si>
  <si>
    <t>Easymart_gapone</t>
  </si>
  <si>
    <t>Easymart@123</t>
  </si>
  <si>
    <t>Icheck</t>
  </si>
  <si>
    <t>450</t>
  </si>
  <si>
    <t>Icheck@123</t>
  </si>
  <si>
    <t>Công Ty TNHH Kinh Doanh Xe Phú Thành</t>
  </si>
  <si>
    <t>phuthanh_gapone</t>
  </si>
  <si>
    <t>Phuthanh@123456</t>
  </si>
  <si>
    <t>Indochine</t>
  </si>
  <si>
    <t>Indochine@123</t>
  </si>
  <si>
    <t>Đã gia hạn 6 tháng</t>
  </si>
  <si>
    <t>Trả trước. đã add sản lương + Mail thông báo cho sales</t>
  </si>
  <si>
    <t>Mobihome</t>
  </si>
  <si>
    <t>Mobihome@123</t>
  </si>
  <si>
    <t>tranduc0304@gmail.com</t>
  </si>
  <si>
    <t>ntthao.245@gmail.com</t>
  </si>
  <si>
    <t>Oanh.cskh</t>
  </si>
  <si>
    <t>Oanh@123</t>
  </si>
  <si>
    <t>451</t>
  </si>
  <si>
    <t>Quect_gapone</t>
  </si>
  <si>
    <t>Zalo</t>
  </si>
  <si>
    <t>Susopa_gapone</t>
  </si>
  <si>
    <t>Susopa@123</t>
  </si>
  <si>
    <t>Testminiapp</t>
  </si>
  <si>
    <t>Testminiapp@123</t>
  </si>
  <si>
    <t>Quý</t>
  </si>
  <si>
    <t>452</t>
  </si>
  <si>
    <t>Công ty TNHH Vườn Lành</t>
  </si>
  <si>
    <t>vuonlanh_gapone</t>
  </si>
  <si>
    <t>Phân loại khu vực (Theo Sale)</t>
  </si>
  <si>
    <t>Vuonlanh@123</t>
  </si>
  <si>
    <t>Thanhnt</t>
  </si>
  <si>
    <t>Thanhnt@123</t>
  </si>
  <si>
    <t>ID</t>
  </si>
  <si>
    <t>File Excel, Nhanhvn</t>
  </si>
  <si>
    <t>Gói</t>
  </si>
  <si>
    <t>Ghi chú</t>
  </si>
  <si>
    <t>Sale</t>
  </si>
  <si>
    <t>Thaottt</t>
  </si>
  <si>
    <t>CS</t>
  </si>
  <si>
    <t>Thaottt@123</t>
  </si>
  <si>
    <t>Tình trạng</t>
  </si>
  <si>
    <t>Thuongttk</t>
  </si>
  <si>
    <t>truonghoangminhngoc1991@gmail.com</t>
  </si>
  <si>
    <t>Q3.2025</t>
  </si>
  <si>
    <t>Thuongttk@123</t>
  </si>
  <si>
    <t>436</t>
  </si>
  <si>
    <t>CÔNG TY TNHH MTV Ô TÔ TRƯỜNG HẢI BMW - HCM</t>
  </si>
  <si>
    <t>Truonghaibmwhcm_Gapone</t>
  </si>
  <si>
    <t>CÔNG TY CỔ PHẦN KỸ THUẬT VÀ THƯƠNG MẠI NHẬT PHONG</t>
  </si>
  <si>
    <t>Truonghai@123</t>
  </si>
  <si>
    <t>nhatphong_gapone</t>
  </si>
  <si>
    <t>Nhatphong@123456</t>
  </si>
  <si>
    <t>Ô tô &amp; Xe máy</t>
  </si>
  <si>
    <t>thacoautobmwhcm@gmail.com</t>
  </si>
  <si>
    <t>Miniapp</t>
  </si>
  <si>
    <t>chihung122@gmail.com</t>
  </si>
  <si>
    <t xml:space="preserve">Update dữ liệu khách hàng bằng file excel và gửi tin SMS Brandname CSKH + QC </t>
  </si>
  <si>
    <t>Tính năng hỗ trợ: Tin nhắn chat OA và hotline
Tính năng mua hàng: Danh mục sản phẩm, Chi tiết sản phẩm, Sản phẩm bán chạy, Giỏ hàng
Tính năng tra cứu lịch sử mua hàng, thông tin đơn hàng
Tính năng đổi thưởng: tích điểm, tra cứu điểm và lịch sử tích điểm, đổi điểm
Tính năng thanh toán tiền mặt</t>
  </si>
  <si>
    <t>Marketing@eherbalwellness.com</t>
  </si>
  <si>
    <t>TK TRIAL (khi nào thanh toán chuyển gói Similar)</t>
  </si>
  <si>
    <t>Done</t>
  </si>
  <si>
    <t>Sanh</t>
  </si>
  <si>
    <t>Mkvg3012</t>
  </si>
  <si>
    <t>CÔNG TY TNHH BRISTAR</t>
  </si>
  <si>
    <t>CÔNG TY CỔ PHẦN TẬP ĐOÀN DƯỢC PHẨM STARMED</t>
  </si>
  <si>
    <t>453</t>
  </si>
  <si>
    <t>CÔNG TY CỔ PHẦN THƯƠNG MẠI FSN</t>
  </si>
  <si>
    <t>Tính năng mua hàng: Danh mục sản phẩm, Chi tiết sản phẩm, Sản phẩm nổi bật, Đề xuất sản phẩm liên quan, Giỏ hàng        
Tính năng tra cứu lịch sử mua hàng, thông tin đơn hàng        
Tính năng tra cứu lịch sử tích điểm, điểm thưởng.   
Tính năng Quan Tâm OA     
Tính năng hỗ trợ (gọi hotline và chat OA 1:1)        
Tính năng thanh toán tiền mặt hoặc qua ví điện tử Zalo Pay.        
Tính năng tra cứu thời gian bảo hành của đơn hàng, sản phẩm .  
Tính năng tích điểm số quy đổi voucher, mã giảm giá/ Áp dụng mã giảm giá</t>
  </si>
  <si>
    <t>contest@starmed.com.vn</t>
  </si>
  <si>
    <t>fsn_zns</t>
  </si>
  <si>
    <t>Ngocnt</t>
  </si>
  <si>
    <t>Fsn@123456</t>
  </si>
  <si>
    <t>Phuongdtb</t>
  </si>
  <si>
    <t>Processing</t>
  </si>
  <si>
    <t>CÔNG TY TNHH Ô TÔ THẬP NHẤT PHONG</t>
  </si>
  <si>
    <t>bristar_gapone</t>
  </si>
  <si>
    <t>admin_gapit</t>
  </si>
  <si>
    <t>Bristar@123</t>
  </si>
  <si>
    <t>Gapit@123</t>
  </si>
  <si>
    <t>gapone.vn
app.gapone.vn
dev.gapone.vn</t>
  </si>
  <si>
    <t>Bất động sản</t>
  </si>
  <si>
    <t>admingp@gapone.vn</t>
  </si>
  <si>
    <t>Nguyenhoa221288@gmail.com</t>
  </si>
  <si>
    <t>gp@adm@2021</t>
  </si>
  <si>
    <t xml:space="preserve">Tính năng mua hàng: Danh mục sản phẩm, Chi tiết sản phẩm, Sản phẩm nổi bật, Đề xuất sản phẩm liên quan, Giỏ hàng        
Tính năng tra cứu lịch sử mua hàng, thông tin đơn hàng        
Tính năng tra cứu lịch sử tích điểm, điểm thưởng.        
Tính năng hỗ trợ (gọi hotline và chat OA 1:1)        
Tính năng thanh toán tiền mặt hoặc qua ví điện tử Zalo Pay.        
Tính năng tra cứu thời gian bảo hành của đơn hàng, sản phẩm .
Tính năng đánh giá sao và cmt (Đã bổ sung PO sau)     </t>
  </si>
  <si>
    <t>trungthanh.email@vicedirector.ltd</t>
  </si>
  <si>
    <t>Tuanla</t>
  </si>
  <si>
    <t>Gia hạn gói ngày 02/08/2024, ngày hết hạn 01/08/2025, gia hạn 1 năm, trả trước gói 2.000.000 VNĐ gửi ZNS</t>
  </si>
  <si>
    <t>admintest_api</t>
  </si>
  <si>
    <t>Admin@123</t>
  </si>
  <si>
    <t>Phân bón Hà Lan</t>
  </si>
  <si>
    <t>info@mamanbebe.vn</t>
  </si>
  <si>
    <t>digital@mamanbebe.com.vn</t>
  </si>
  <si>
    <t>454</t>
  </si>
  <si>
    <t>CÔNG TY TNHH ATA TRÍ VIỆT</t>
  </si>
  <si>
    <t>Nhu cầu sử dụng Zalo Mini App để khảo sát , đánh giá chất lượng sản phẩm của PBHL 
Quản lý: PBHL tự chủ động quản lý thông tin KH trả lời khảo sát 
Note: Không giới hạn số lần khảo sát</t>
  </si>
  <si>
    <t>atatriviet_zns</t>
  </si>
  <si>
    <t>vulemkt@halan.net</t>
  </si>
  <si>
    <t>Atatriviet@123456</t>
  </si>
  <si>
    <t>Hantt</t>
  </si>
  <si>
    <t>CÔNG TY TNHH MTV AN VUI</t>
  </si>
  <si>
    <t>Anvui_API</t>
  </si>
  <si>
    <t>Phân bón MaxOne</t>
  </si>
  <si>
    <t>Heineken (Khảo sát chương trình tích điểm đổi quà)</t>
  </si>
  <si>
    <t xml:space="preserve">Nhu cầu sử dụng Zalo Mini App để khảo sát , đánh giá chất lượng chương trình tích điểm đổi quà mà KH đang triển khai.
Theo dạng điều hướng câu hỏi.
Gửi tin ZNS có chứa CTA link tới ZMA, bắt biến từ CTA để cho phép KH vào ZMA </t>
  </si>
  <si>
    <t>neil@ataservice.com.vn</t>
  </si>
  <si>
    <t>Heineken (HeinekenViệt Nam - Xác nhận SĐT)</t>
  </si>
  <si>
    <t>Nhu cầu sử dụng Zalo Mini App để xác nhận SĐT KH đổi điểm qua app đổi điểm của HNK là chính xác, giảm nhân sự phía call center phải gọi ra xác nhận với từng KH.
Gửi tin ZNS có chứa CTA link tới ZMA, bắt biến SDT và mã yêu cầu từ CTA để cho phép KH vào ZMA. Mỗi mã yêu cầu chỉ cho phép khảo sát một lần</t>
  </si>
  <si>
    <t>Đang chạy</t>
  </si>
  <si>
    <t>Heineken (Xác thực đơn hàng)</t>
  </si>
  <si>
    <t xml:space="preserve">Nhu cầu sử dụng Zalo Mini App để xác thực đơn hàng từ các outlet đã đặt hàng trên app bán hàng của HNK là chính xác chưa, giảm nhân sự phía call center phải gọi ra xác nhận với từng KH.
Gửi tin ZNS có chứa CTA link tới ZMA, bắt biến SĐT từ CTA để cho phép KH vào ZMA </t>
  </si>
  <si>
    <t>Thươngttk</t>
  </si>
  <si>
    <t>455</t>
  </si>
  <si>
    <t>Heineken (Mua 10 thùng nhận card 60k)</t>
  </si>
  <si>
    <t>Công Ty Cổ Phần ENTERTAINMENT 2020</t>
  </si>
  <si>
    <t>entertainment_gapone</t>
  </si>
  <si>
    <t>anphu_gapone</t>
  </si>
  <si>
    <t>Entertainment@123456</t>
  </si>
  <si>
    <t xml:space="preserve">Nhu cầu sử dụng Zalo Mini App để kêu gọi KH mua hàng bằng cách chọn sản phẩm và điền số lượng sản phẩm muốn mua trên ZMA. Thay vì chỉ gửi ZNS quảng cáo đến KH về chương trình mua 10 thùng được tặng 60k, KH nhấp vào link CTA ZNS để tới ZMA đặt luôn sản phẩm có trong danh mục khuyến mại.
Gửi tin ZNS có chứa CTA link tới ZMA, bắt biến SĐT từ CTA để cho phép KH vào ZMA </t>
  </si>
  <si>
    <t>Anphu1975</t>
  </si>
  <si>
    <t>Decathlon</t>
  </si>
  <si>
    <t>cto@anvui.vn</t>
  </si>
  <si>
    <t>Vòng quay may mắn, đổ kết quả quay thưởng về Gapone, sử dụng config trả thưởng từ Gcampign</t>
  </si>
  <si>
    <t>Byebye Fever (Hisamitsu_Daiko)</t>
  </si>
  <si>
    <t>Game 3D tham gia bằng mã code phát hành từ hóa đơn ở các nhà thuốc, tham gia trúng quà topup và bảng xếp hạng tuần. -&gt; Build OA: yêu cầu bắt buộc follower OA và nhập đúng code mới có lượt chơi game</t>
  </si>
  <si>
    <t>Twister</t>
  </si>
  <si>
    <t>Gia hạn đến 9/11/2025</t>
  </si>
  <si>
    <t>babilala_gapone</t>
  </si>
  <si>
    <t>Babilala@123</t>
  </si>
  <si>
    <t>fanpage.stl@gmail.com</t>
  </si>
  <si>
    <t xml:space="preserve">Game Tết cấu hình API Gcampaign để config tỷ lệ giải thưởng, </t>
  </si>
  <si>
    <t>Mobifone 8</t>
  </si>
  <si>
    <t>Nhu cầu khảo sát KH</t>
  </si>
  <si>
    <r>
      <rPr>
        <rFont val="Google Sans"/>
        <color theme="1"/>
        <sz val="9.0"/>
      </rPr>
      <t xml:space="preserve">fanpage.stl@gmail.com; cskh@starlight.vn
</t>
    </r>
    <r>
      <rPr>
        <rFont val="Google Sans"/>
        <color rgb="FFFF0000"/>
        <sz val="9.0"/>
      </rPr>
      <t>kttc.etm@gmail.com, cskhstarlight@gmail.com, it@starlight.vn, thuyle.starlight@gmail.com, Nhatdan123456@gmail.com, dataanalyst.starlight@gmail.com</t>
    </r>
  </si>
  <si>
    <t>bachkhoa_gapone</t>
  </si>
  <si>
    <t>Bachkhoa@123</t>
  </si>
  <si>
    <t>Lexus</t>
  </si>
  <si>
    <t>Tính năng mua hàng: Danh mục sản phẩm, Chi tiết sản phẩm, Sản phẩm nổi bật, Đề xuất sản phẩm liên quan, Giỏ hàng        
Tính năng tra cứu lịch sử mua hàng, thông tin đơn hàng        
Tính năng tra cứu lịch sử tích điểm, điểm thưởng.        
Tính năng hỗ trợ (gọi hotline và chat OA 1:1)        
Tính năng đặt lịch hẹn, tư vấn xem xe, lái xe thử   
Tính năng đánh giá sao</t>
  </si>
  <si>
    <t>Nhu cầu khảo sát KH có thông tin ngày sinh để gửi temp voucher CMSN theo tag 2</t>
  </si>
  <si>
    <t>Nestle Maggi</t>
  </si>
  <si>
    <t>Import , Nhanhvn</t>
  </si>
  <si>
    <t>Build 1-2 miniapp (ZMA 1) về collect thông tin người dùng (Sdt, tên, follow OA,..)
Gửi UID giao dịch cho user đã chia sẻ thông tin ở ZMA 1
Sau 1 thời gian gửi UID -&gt; fallback sang ZNS nếu fail UID cho các user trên (có segment để gửi nội dung khác nhau)
Trong UID, ZNS gửi đi sẽ có link CTA link về miniapp khảo sát (ZMA 2)</t>
  </si>
  <si>
    <t>456</t>
  </si>
  <si>
    <t>CÔNG TY TNHH COLGATE-PALMOLIVE</t>
  </si>
  <si>
    <t>colgate_gapone</t>
  </si>
  <si>
    <t>Colgate@123456</t>
  </si>
  <si>
    <t>Miniapp 2</t>
  </si>
  <si>
    <t>Nestle NHS</t>
  </si>
  <si>
    <t>Build miniapp về collect thông tin người dùng (Sdt, tên, follow OA,..)
Gửi UID giao dịch cho user đã chia sẻ thông tin ở ZMA để upsale, push sale</t>
  </si>
  <si>
    <t>bankograph_api</t>
  </si>
  <si>
    <t>Kidofood</t>
  </si>
  <si>
    <t>Bankograph@123</t>
  </si>
  <si>
    <t>Tích hợp scanbill và luckydraw vào Miniapp để collect thông tin và chạy camp về khuyến mại push sale</t>
  </si>
  <si>
    <t>Game build cho retailer, xem video để có lượt quay luckydraw, nhận quà may mắn</t>
  </si>
  <si>
    <t>base_gapone</t>
  </si>
  <si>
    <t>Mooncake 2025</t>
  </si>
  <si>
    <t>Base@123</t>
  </si>
  <si>
    <t>Camp</t>
  </si>
  <si>
    <t>User điền thông tin ở landingpage để có lượt quay luckydraw, nhận quà may mắn. Ngoài ra sẽ collect thông tin của user qua các miniapp game, quay số giải tuần để chọn KH may mắn weekly</t>
  </si>
  <si>
    <t>Landingpage Digitas handle, luckydraw weekly Gapit handle</t>
  </si>
  <si>
    <t>CÔNG TY CỔ PHẦN PHÁT TRIỂN WEDO</t>
  </si>
  <si>
    <t>WEDO_gapone</t>
  </si>
  <si>
    <t>Solite 2025</t>
  </si>
  <si>
    <t>Wedo@123</t>
  </si>
  <si>
    <t>User mua thẻ có mã may mắn nằm trong hộp sản phẩm -&gt; scan mã vào miniapp -&gt; cơ hội trúng ngay và tích lũy điểm thưởng cho giải tháng</t>
  </si>
  <si>
    <t>Miniapp Adtima handle</t>
  </si>
  <si>
    <t>KVF</t>
  </si>
  <si>
    <t>Bds@123</t>
  </si>
  <si>
    <t>Retailer mua đủ sản lượng sản phẩm sẽ được phát 1 thẻ dự thưởng, đồng thời gửi tin ZNS xác nhận mã dự thưởng để tham gia quay số luckydraw trúng giải Voucher du lịch Hàn Quốc, Nhật Bản hoặc xe Oto Rappo</t>
  </si>
  <si>
    <t>gapit.vphcm@gmail.com</t>
  </si>
  <si>
    <t>bgh-trang</t>
  </si>
  <si>
    <t>Trangtray123</t>
  </si>
  <si>
    <t xml:space="preserve">KH mới </t>
  </si>
  <si>
    <t>HồngNT</t>
  </si>
  <si>
    <t>TRả trước</t>
  </si>
  <si>
    <t>bgh_quynh</t>
  </si>
  <si>
    <t>nhutrangpr@gmail.com</t>
  </si>
  <si>
    <t>cilT322Ky2lx</t>
  </si>
  <si>
    <t>457</t>
  </si>
  <si>
    <t>CÔNG TY TNHH ĐẦU TƯ VÀ THƯƠNG MẠI CASCA VIỆT NAM</t>
  </si>
  <si>
    <t>casca_gapone</t>
  </si>
  <si>
    <t>Casca@123456</t>
  </si>
  <si>
    <t>bidvgapone</t>
  </si>
  <si>
    <t>Bidv@123</t>
  </si>
  <si>
    <t>Tất cả các kênh, nhưng hiện tại chủ yếu là Email và ZALO</t>
  </si>
  <si>
    <t>Drwin_gapone</t>
  </si>
  <si>
    <t>Drwin@123</t>
  </si>
  <si>
    <t>cascavietnam@gmail.com</t>
  </si>
  <si>
    <t>bizfly_gapone</t>
  </si>
  <si>
    <t>Bizfly@123</t>
  </si>
  <si>
    <t>458</t>
  </si>
  <si>
    <t>HỘ KINH DOANH KHANHMART</t>
  </si>
  <si>
    <t>khanhmart_zns</t>
  </si>
  <si>
    <t>Khanhmart@123456</t>
  </si>
  <si>
    <t>bkeshop.com</t>
  </si>
  <si>
    <t>annt4@dr-win.masangroup.com</t>
  </si>
  <si>
    <t>Dừng dịch vụ từ 01/08/2025</t>
  </si>
  <si>
    <t>AnhNM, LinhNTT1</t>
  </si>
  <si>
    <t>CÔNG TY CỔ PHẦN ẨM THỰC MẶT TRỜI VÀNG</t>
  </si>
  <si>
    <t>goldsunfood_gapone</t>
  </si>
  <si>
    <t>Goldsun@123</t>
  </si>
  <si>
    <t>nguyencuongkhanh@gmail.com</t>
  </si>
  <si>
    <t>460</t>
  </si>
  <si>
    <t>Gia hạn từ 28/11/2024 đến 31/12/2025</t>
  </si>
  <si>
    <t>Trá sau</t>
  </si>
  <si>
    <t>huong.truongthu@goldsunfood.vn</t>
  </si>
  <si>
    <t>DG464RPCbVENicp</t>
  </si>
  <si>
    <t>tài khoản tạm khóa, chờ process TM
Triển khai ZNS qua API</t>
  </si>
  <si>
    <t>bluesun_gapone</t>
  </si>
  <si>
    <t>Bluesun@123</t>
  </si>
  <si>
    <t>461</t>
  </si>
  <si>
    <t>CÔNG TY NEO</t>
  </si>
  <si>
    <t>neovn_gapone</t>
  </si>
  <si>
    <t>Neo@1234</t>
  </si>
  <si>
    <t>bstinh_gapone</t>
  </si>
  <si>
    <t>Bstinh@123</t>
  </si>
  <si>
    <t>buffsport01_gapone</t>
  </si>
  <si>
    <t>Buffsport@123</t>
  </si>
  <si>
    <t>phuong.nb@ivi.group</t>
  </si>
  <si>
    <t>trinhlt@neo.vn</t>
  </si>
  <si>
    <t>centralretail_gapone</t>
  </si>
  <si>
    <t>Centralretail@123</t>
  </si>
  <si>
    <t>462</t>
  </si>
  <si>
    <t>click_gapone</t>
  </si>
  <si>
    <t>Clik@123</t>
  </si>
  <si>
    <t>thapnhatphong_gapone</t>
  </si>
  <si>
    <t>medici_api</t>
  </si>
  <si>
    <t>Thapnhatphong@123456</t>
  </si>
  <si>
    <t>Medici@123</t>
  </si>
  <si>
    <t>Bizfly CRM</t>
  </si>
  <si>
    <t>thu.nguyen@medici.vn</t>
  </si>
  <si>
    <t>thu.nguyen@medici.vn
admin.healthcare@medici.vn</t>
  </si>
  <si>
    <t>cuongbq</t>
  </si>
  <si>
    <t>Cuongbq@123</t>
  </si>
  <si>
    <t>Công Ty Cổ Phần Công Nghệ Và Truyền Thông DAGORAS</t>
  </si>
  <si>
    <t>dagoras_gapone</t>
  </si>
  <si>
    <t>Dagoras@123</t>
  </si>
  <si>
    <t>Gia hạn đến 29/09/2026
Triển khai mini app</t>
  </si>
  <si>
    <t>daihockinhte_gapone</t>
  </si>
  <si>
    <t>Daihockinhte@123</t>
  </si>
  <si>
    <t>464</t>
  </si>
  <si>
    <t>Gia hạn ngày 23/12/2024</t>
  </si>
  <si>
    <t>support@dmall.com.vn</t>
  </si>
  <si>
    <t>leltn@dagoras.io
nguyetntm@dagoras.io</t>
  </si>
  <si>
    <t>08/04/2024: Khách mua thêm PO 14.000.000
12/03/2024: Khách mua thêm PO 14.000.000
16/01/2024:Khách mua thêm PO trị giá 2.000.000</t>
  </si>
  <si>
    <t>VCCORP</t>
  </si>
  <si>
    <t>vccorp_api</t>
  </si>
  <si>
    <t>Vccorp@123</t>
  </si>
  <si>
    <t>HĐ tự động gia hạn
Zalo Mini App + Gapone + ZNS</t>
  </si>
  <si>
    <t>Partner_ZaloPay</t>
  </si>
  <si>
    <t>HĐ ký 28/09/203, tự động gia hạn 1 năm. KH dùng API
HĐ gia hạn từ 31/12/2024 đến 28/09/2025 
HĐ gia hạn từ 28/09/2025 đến 28/09/2026</t>
  </si>
  <si>
    <t>463</t>
  </si>
  <si>
    <t>decathlonvn_gapone</t>
  </si>
  <si>
    <t>lethianh03@vccorp.vn</t>
  </si>
  <si>
    <t>Decathlonvn@123456</t>
  </si>
  <si>
    <t>là BIZFLY (VCCORP)</t>
  </si>
  <si>
    <t>HỘ KINH DOANH NHÀ HÀNG NAM SÔNG HẬU</t>
  </si>
  <si>
    <t>songhau_gapone</t>
  </si>
  <si>
    <t>Songhau@123</t>
  </si>
  <si>
    <t>dienkhanh_gapone</t>
  </si>
  <si>
    <t>Dienkhanh@123</t>
  </si>
  <si>
    <t>Mở lại đến hết hạn 31/12 để KH gửi tin Truyền thông cá nhân theo yc bên sale, đổi gói sang ENTERPRISE
Triển khai ZNS qua API và Platform</t>
  </si>
  <si>
    <t>dsc_gapone</t>
  </si>
  <si>
    <t>Dsc@1234</t>
  </si>
  <si>
    <t>nhahangnamsonghauvc@gmail.com</t>
  </si>
  <si>
    <t>465</t>
  </si>
  <si>
    <t>duclm@gapit.com.vn</t>
  </si>
  <si>
    <t>CÔNG TY TNHH NƯỚC GIẢI KHÁT SUNTORY PEPSICO VIỆT NAM</t>
  </si>
  <si>
    <t>pepsicovn_api</t>
  </si>
  <si>
    <t>hubspot.gapone.vn</t>
  </si>
  <si>
    <t>Pepsicovn@123456</t>
  </si>
  <si>
    <t>chưa ký HĐ</t>
  </si>
  <si>
    <t>Gcalls</t>
  </si>
  <si>
    <t>gcalls_gapone</t>
  </si>
  <si>
    <t>Gcalls@123</t>
  </si>
  <si>
    <t>CaoThi.Dieu1@suntorypepsico.vn</t>
  </si>
  <si>
    <t>duyennt</t>
  </si>
  <si>
    <t>Abc@123</t>
  </si>
  <si>
    <t>ly.hoang@gcalls.com</t>
  </si>
  <si>
    <t>duyennt@123</t>
  </si>
  <si>
    <t xml:space="preserve">
dev.gapone.vn</t>
  </si>
  <si>
    <t>466</t>
  </si>
  <si>
    <t>pepsicosting_api</t>
  </si>
  <si>
    <t>Pepsicosting@123456</t>
  </si>
  <si>
    <t>Chuyển đổi sang gói API và gia hạn cho khách đến 31/12/2024</t>
  </si>
  <si>
    <t>CÔNG TY CỔ PHẦN GIÁO DỤC EDUCAP VIỆT NAM</t>
  </si>
  <si>
    <t>educap_bizfly_api</t>
  </si>
  <si>
    <t>Educap@123</t>
  </si>
  <si>
    <t>Tran.Huynh@suntorypepsico.vn</t>
  </si>
  <si>
    <t>468</t>
  </si>
  <si>
    <t>tesol@educap.vn</t>
  </si>
  <si>
    <t>gapit.haravan</t>
  </si>
  <si>
    <t>gapit_haravan</t>
  </si>
  <si>
    <t>Tuvtc</t>
  </si>
  <si>
    <t>test 5.000 tin
Triển khai ZNS, SH upload dữ liệu khách hàng</t>
  </si>
  <si>
    <t>nhungPTH</t>
  </si>
  <si>
    <t>ACC GROUP</t>
  </si>
  <si>
    <t>acc_gapone</t>
  </si>
  <si>
    <t>Acc@1234</t>
  </si>
  <si>
    <t>gapone</t>
  </si>
  <si>
    <t>abcd@123</t>
  </si>
  <si>
    <t>467</t>
  </si>
  <si>
    <t>gap@one@rp</t>
  </si>
  <si>
    <t>CÔNG TY CỔ PHẦN KJ VIỆT NAM</t>
  </si>
  <si>
    <t>kjvietnam_gapone</t>
  </si>
  <si>
    <t>Kjvietnam@123456</t>
  </si>
  <si>
    <t>nguyenlinh.accgroup@gmail.com</t>
  </si>
  <si>
    <t>gapone_am</t>
  </si>
  <si>
    <t>Am@12345</t>
  </si>
  <si>
    <t>gapone_api_demo</t>
  </si>
  <si>
    <t>Fttleather@gmail.com</t>
  </si>
  <si>
    <t>gapone_demo</t>
  </si>
  <si>
    <t>Demo@123</t>
  </si>
  <si>
    <t>365</t>
  </si>
  <si>
    <t>CÔNG TY TNHH QUÀ TẶNG CONE</t>
  </si>
  <si>
    <t>cone_api</t>
  </si>
  <si>
    <t>gapone_demo1</t>
  </si>
  <si>
    <t>Cone@123</t>
  </si>
  <si>
    <t>gapone_marketing</t>
  </si>
  <si>
    <t>Kh chỉ dùng API, không dùng Portal</t>
  </si>
  <si>
    <t>gapone_test1</t>
  </si>
  <si>
    <t>Gapone@12345</t>
  </si>
  <si>
    <t>ZNS, SMS CSKH, SMS QC</t>
  </si>
  <si>
    <t xml:space="preserve">quatangcone@gmail.com
</t>
  </si>
  <si>
    <t>gaponezma</t>
  </si>
  <si>
    <t>Trung123!@#</t>
  </si>
  <si>
    <t>Khách thay đổi yêu cầu, dùng api qua GapOne</t>
  </si>
  <si>
    <t>Netcore_API</t>
  </si>
  <si>
    <t>Netcore@123</t>
  </si>
  <si>
    <t>470</t>
  </si>
  <si>
    <t>gocheap</t>
  </si>
  <si>
    <t>Go@cheap1</t>
  </si>
  <si>
    <t>dev.gapone.vn</t>
  </si>
  <si>
    <t xml:space="preserve">12 tháng, gia hạn bởi văn bản
 Gia hạn từ 31/12/2024 - 28/11/2028 </t>
  </si>
  <si>
    <t>SMS và ZNS</t>
  </si>
  <si>
    <t>tanaya.sawant@netcorecloud.com</t>
  </si>
  <si>
    <t>471</t>
  </si>
  <si>
    <t>CÔNG TY CỔ PHẦN ELINES</t>
  </si>
  <si>
    <t>ELINES_API</t>
  </si>
  <si>
    <t>Elines@123</t>
  </si>
  <si>
    <t>thy.le@athenafs.io
thuc.nh@isofh.com</t>
  </si>
  <si>
    <t>chưa có TT</t>
  </si>
  <si>
    <t>vinhnguyen@elines.vn</t>
  </si>
  <si>
    <t>477</t>
  </si>
  <si>
    <t>CÔNG TY CP THƯƠNG MẠI CARPA VIỆT NAM</t>
  </si>
  <si>
    <t>carpavn_zns</t>
  </si>
  <si>
    <t>Carpavn@123456</t>
  </si>
  <si>
    <t>TRUNG TÂM KINH DOANH VNPT – QUẢNG NINH</t>
  </si>
  <si>
    <t>KH không dùng GapOne, chỉ kết nối ví ZCA =&gt; không có CPID GapOne</t>
  </si>
  <si>
    <t>hainm_gapone</t>
  </si>
  <si>
    <t>tranghtt@coway.com.vn</t>
  </si>
  <si>
    <t>Sanhlt</t>
  </si>
  <si>
    <t>hangnt</t>
  </si>
  <si>
    <t>Hangnt@123</t>
  </si>
  <si>
    <t>472</t>
  </si>
  <si>
    <t>ZNS, UID</t>
  </si>
  <si>
    <t>thupth.qnh@vnpt.vn</t>
  </si>
  <si>
    <t>hantt_gapone</t>
  </si>
  <si>
    <t>Hantt@123</t>
  </si>
  <si>
    <t>Sử dụng AppID của khách hàng, chỉ kết nối với ví ZCA của GAPIT</t>
  </si>
  <si>
    <t>SMS CSKH, SMS QC, Zalo ZNS, Zalo UID</t>
  </si>
  <si>
    <t>haqt_gapone</t>
  </si>
  <si>
    <t>Haqt@123</t>
  </si>
  <si>
    <t>QTSC_MSG</t>
  </si>
  <si>
    <t>Cskh@qtsc2024</t>
  </si>
  <si>
    <t>phụ lục gia hạn 04 về gia hạn Gapone 3 tháng đến hết 21/03/2025</t>
  </si>
  <si>
    <t>thanh.nguyenthixuan@decathlon.com</t>
  </si>
  <si>
    <t>thanh.nguyenthixuan@decathlon.comtrang.nguyenthuyhuyen@decathlon.comphuonganh.nguyen@decathlon.comnguyen.hoangphuc.partner@decathlon.com, nhi.phamthiyen@decathlon.com</t>
  </si>
  <si>
    <t>havas_gapone</t>
  </si>
  <si>
    <t>Havas@123</t>
  </si>
  <si>
    <t>qngochanh@qtsc.com.vn</t>
  </si>
  <si>
    <t>473</t>
  </si>
  <si>
    <t>CÔNG TY CỔ PHẦN THƯƠNG MẠI IMEXCO VIỆT NAM</t>
  </si>
  <si>
    <t>Chuyển đổi từ Kwz sang GapOne</t>
  </si>
  <si>
    <t>hoangit21</t>
  </si>
  <si>
    <t>imexcovn_gapone</t>
  </si>
  <si>
    <t>Hoang123456</t>
  </si>
  <si>
    <t>Imexcovn@123456</t>
  </si>
  <si>
    <t>sapp_MSG</t>
  </si>
  <si>
    <t>Sapp@123</t>
  </si>
  <si>
    <t>hoantm</t>
  </si>
  <si>
    <t>Hoantm@123</t>
  </si>
  <si>
    <t>hong.dothi@gic.com.vn</t>
  </si>
  <si>
    <t>Gic@12378</t>
  </si>
  <si>
    <t>hungbm</t>
  </si>
  <si>
    <t>Abcd@123</t>
  </si>
  <si>
    <t>thudn@sapp.edu.vn</t>
  </si>
  <si>
    <t>Huy.nguyenhoang@imexco.com.vn</t>
  </si>
  <si>
    <t>huynhtran01_gapone</t>
  </si>
  <si>
    <t>Huynhtran@123</t>
  </si>
  <si>
    <t>Chuyển đổi từ Kwz sang GapOne
Khách đã đổi mật khẩu</t>
  </si>
  <si>
    <t>474</t>
  </si>
  <si>
    <t>hyeyoga_gapone</t>
  </si>
  <si>
    <t>Hyeyoga@123</t>
  </si>
  <si>
    <t>vinhtuongmb_MSG</t>
  </si>
  <si>
    <t>Vinhtuong@123</t>
  </si>
  <si>
    <t>id-duoc</t>
  </si>
  <si>
    <t>Duocnguyen1234</t>
  </si>
  <si>
    <t>Infinity@123</t>
  </si>
  <si>
    <t>test
ZNS + SMS</t>
  </si>
  <si>
    <t>Tuyen.NGUYENTHIMONG@saint-gobain.com</t>
  </si>
  <si>
    <t>info@gapone.vn</t>
  </si>
  <si>
    <t>iO123@456a</t>
  </si>
  <si>
    <t>Partner_Capillary</t>
  </si>
  <si>
    <t>CÔNG TY TNHH KHAI VẤN CUỘC SỐNG</t>
  </si>
  <si>
    <t>invest_gapone</t>
  </si>
  <si>
    <t>476</t>
  </si>
  <si>
    <t>Khaivancuocsong_MSG</t>
  </si>
  <si>
    <t>Invest@123</t>
  </si>
  <si>
    <t>Khaivancuocsong@123</t>
  </si>
  <si>
    <t>CÔNG TY TNHH THƯƠNG MẠI ÁNH GIA PHÁT</t>
  </si>
  <si>
    <t>anhgiaphat_zns</t>
  </si>
  <si>
    <t>Anhgiaphat@123456</t>
  </si>
  <si>
    <t xml:space="preserve">contactus@coachforlife.vn
</t>
  </si>
  <si>
    <t>jobtest_trial</t>
  </si>
  <si>
    <t>chuyển đổi từ Kwz sang GapOne</t>
  </si>
  <si>
    <t>HieuNV</t>
  </si>
  <si>
    <t>julyhouse</t>
  </si>
  <si>
    <t>Julyhouse@123</t>
  </si>
  <si>
    <t>KhaiMinh_GAPONE</t>
  </si>
  <si>
    <t>Khaiminh@123</t>
  </si>
  <si>
    <t>Tranthitin.1003@gmail.com</t>
  </si>
  <si>
    <t>julyhouse2</t>
  </si>
  <si>
    <t>Gia hạn theo phụ lục
Gia hạn từ 19/02/2025 - 19/02/2026</t>
  </si>
  <si>
    <t>julyhouse_demo</t>
  </si>
  <si>
    <t>475</t>
  </si>
  <si>
    <t>SMS CSKH, QC, ZNS</t>
  </si>
  <si>
    <t>CÔNG TY CỔ PHẦN TRUYỀN THÔNG ON+</t>
  </si>
  <si>
    <t>Production@khaiminhjsc.vn</t>
  </si>
  <si>
    <t>truyenthongon_gapone</t>
  </si>
  <si>
    <t>Truyenthongon@123456</t>
  </si>
  <si>
    <t>julyhouse_dev</t>
  </si>
  <si>
    <t>Julyhouse@1234</t>
  </si>
  <si>
    <r>
      <rPr>
        <rFont val="Lexend"/>
        <u/>
      </rPr>
      <t>mkt@khaiminhjsc.vn</t>
    </r>
  </si>
  <si>
    <t>julyhouse_gapone</t>
  </si>
  <si>
    <t>thi.pa@yeah1.vn</t>
  </si>
  <si>
    <t>julyhouse_test</t>
  </si>
  <si>
    <t>Julyhouse12321</t>
  </si>
  <si>
    <t>jupviec</t>
  </si>
  <si>
    <t>Jupviec@123</t>
  </si>
  <si>
    <t>479</t>
  </si>
  <si>
    <t>HỆ THỐNG NHI ĐỒNG 315</t>
  </si>
  <si>
    <t>nhidong315_gapone</t>
  </si>
  <si>
    <t>Công ty TNHH MANABIE Việt Nam</t>
  </si>
  <si>
    <t>Nhidong315@123456</t>
  </si>
  <si>
    <t>MANABIE_MSG</t>
  </si>
  <si>
    <t>Manabie@123</t>
  </si>
  <si>
    <t>kds_gapone</t>
  </si>
  <si>
    <t>Kds@1234</t>
  </si>
  <si>
    <t>kena_gapone</t>
  </si>
  <si>
    <t>Kena@123</t>
  </si>
  <si>
    <t xml:space="preserve">nguyenthutrang.hoang@315healthcare.com
</t>
  </si>
  <si>
    <t>Thanh lý HĐ từ tháng 12/2024</t>
  </si>
  <si>
    <t>konhi_test</t>
  </si>
  <si>
    <t>Konhi@1234</t>
  </si>
  <si>
    <t>482</t>
  </si>
  <si>
    <t>anhduy.tran@manabie.com</t>
  </si>
  <si>
    <t>lannia_gapone</t>
  </si>
  <si>
    <t>Lannia@123</t>
  </si>
  <si>
    <t>lechamp_gapone</t>
  </si>
  <si>
    <t>Lechamp@123</t>
  </si>
  <si>
    <t>VNHR - Câu lạc bộ Nhân sự Việt Nam</t>
  </si>
  <si>
    <t>lenguyen_gapone</t>
  </si>
  <si>
    <t>Kienhoacoin@123</t>
  </si>
  <si>
    <t>VNHR_MSG</t>
  </si>
  <si>
    <t>Vnhr@123</t>
  </si>
  <si>
    <t>Trả trước 1800K: đã add 4000 tin trước
Triển khai ZNS trước, sau đó là full tính năng</t>
  </si>
  <si>
    <t>Vietanh1234</t>
  </si>
  <si>
    <t>480</t>
  </si>
  <si>
    <t>lmg_gapone</t>
  </si>
  <si>
    <t>Lmg@mkt123</t>
  </si>
  <si>
    <t>BEAUTY HAIR SALON V2</t>
  </si>
  <si>
    <t>hairsalonv2_zns</t>
  </si>
  <si>
    <t>membership@vnhr.vn</t>
  </si>
  <si>
    <t>Hairsalonv2@123456</t>
  </si>
  <si>
    <t>lmg_saleteam</t>
  </si>
  <si>
    <t>Lmgsaleteam@123</t>
  </si>
  <si>
    <t>lolithewolf_gapone</t>
  </si>
  <si>
    <t>Lolithewolf@123</t>
  </si>
  <si>
    <t>long94</t>
  </si>
  <si>
    <t>Ngoduclong1994</t>
  </si>
  <si>
    <t>Công ty Cổ phần Tư vấn và Triển khai Công nghệ Thiên Ân</t>
  </si>
  <si>
    <t>THIENAN_MSG</t>
  </si>
  <si>
    <t>Thienan@123</t>
  </si>
  <si>
    <t>quypham100411@gmail.com</t>
  </si>
  <si>
    <t>longvan_gapone</t>
  </si>
  <si>
    <t>Longvan@123</t>
  </si>
  <si>
    <t>481</t>
  </si>
  <si>
    <t>BEAUTY SALON LỘC</t>
  </si>
  <si>
    <t>salonloc_zns</t>
  </si>
  <si>
    <t>Salonloc@123456</t>
  </si>
  <si>
    <t>tieppv@gocheap.vn</t>
  </si>
  <si>
    <t>macaland_gapone</t>
  </si>
  <si>
    <t>Macaland@123</t>
  </si>
  <si>
    <t>Beautysalonloc@gmail.com</t>
  </si>
  <si>
    <t>maigapit</t>
  </si>
  <si>
    <t>mai12345</t>
  </si>
  <si>
    <t>DOJI_MSG</t>
  </si>
  <si>
    <t>Doji@123</t>
  </si>
  <si>
    <t>483</t>
  </si>
  <si>
    <t>mailtlt</t>
  </si>
  <si>
    <t>maimai11</t>
  </si>
  <si>
    <t>maitp1@gapit.com.vn</t>
  </si>
  <si>
    <t>abc@123</t>
  </si>
  <si>
    <t>anh.dv@doji.vn</t>
  </si>
  <si>
    <t>maitp@gapit.com.vn</t>
  </si>
  <si>
    <t>Maitp@123</t>
  </si>
  <si>
    <t>adm-report.gapone.vn</t>
  </si>
  <si>
    <t>Partner_WOAY</t>
  </si>
  <si>
    <t>484</t>
  </si>
  <si>
    <t>CÔNG TY TNHH MOONSTONE WELLNESS VIỆT NAM</t>
  </si>
  <si>
    <t>moonstone_GapOne</t>
  </si>
  <si>
    <t>Moonstone@123</t>
  </si>
  <si>
    <t>engineering@moonstonewellness.vn</t>
  </si>
  <si>
    <t>maxdao@gapit.com.vn</t>
  </si>
  <si>
    <t>Khách trial 3 ngày</t>
  </si>
  <si>
    <t>486</t>
  </si>
  <si>
    <t>CÔNG TY LIÊN DOANH VẬN CHUYỂN QUỐC TẾ HẢI VÂN</t>
  </si>
  <si>
    <t>Haivan_API</t>
  </si>
  <si>
    <t>mbageas</t>
  </si>
  <si>
    <t>Haivan@123</t>
  </si>
  <si>
    <t>ZNS, SMS</t>
  </si>
  <si>
    <t>sondv.hn@havaz.vn</t>
  </si>
  <si>
    <t>Công nghệ &amp; Phần mềm</t>
  </si>
  <si>
    <t>Khách trial 7 ngày</t>
  </si>
  <si>
    <t>Partner_INSIDER</t>
  </si>
  <si>
    <t>CÔNG TY CỔ PHẦN THỜI TRANG ALZADO</t>
  </si>
  <si>
    <t>Alzado_GapOne</t>
  </si>
  <si>
    <t>Alzado@123</t>
  </si>
  <si>
    <t>485</t>
  </si>
  <si>
    <t>gapone@123</t>
  </si>
  <si>
    <t>namdt1</t>
  </si>
  <si>
    <t>Namdt@123</t>
  </si>
  <si>
    <t>trả trước</t>
  </si>
  <si>
    <t>binhlt@alzadosport.com</t>
  </si>
  <si>
    <t>namdt_gapone</t>
  </si>
  <si>
    <t>icons_MSG</t>
  </si>
  <si>
    <t>Icons@123</t>
  </si>
  <si>
    <t>neo_gapone</t>
  </si>
  <si>
    <t>Neo@12345</t>
  </si>
  <si>
    <t>Partner_TRIPLAYZ</t>
  </si>
  <si>
    <t>ngannt</t>
  </si>
  <si>
    <t>Ngannt@123</t>
  </si>
  <si>
    <t>ymygranite@gmail.com</t>
  </si>
  <si>
    <t>487</t>
  </si>
  <si>
    <t>nghianguyen_gapone</t>
  </si>
  <si>
    <t>Nghianguyen@123</t>
  </si>
  <si>
    <t>ThanhLT</t>
  </si>
  <si>
    <t>HDA_MSG</t>
  </si>
  <si>
    <t>ngocpham</t>
  </si>
  <si>
    <t>Hoidonganh@123</t>
  </si>
  <si>
    <t>Ngocpham@123</t>
  </si>
  <si>
    <t>PREMIUM</t>
  </si>
  <si>
    <t>nguyendinh01_gapone</t>
  </si>
  <si>
    <t>Nguyendinh@123</t>
  </si>
  <si>
    <t>nguyenphat01_gapone</t>
  </si>
  <si>
    <t>Nguyenphat@123</t>
  </si>
  <si>
    <t>Ly.Vu@britishcouncil.org.vn</t>
  </si>
  <si>
    <t>488</t>
  </si>
  <si>
    <t>NHÀ THUỐC HẢI PHƯƠNG PHARMACY</t>
  </si>
  <si>
    <t>hphuongpharmacy_zns</t>
  </si>
  <si>
    <t>Medstand_MSG</t>
  </si>
  <si>
    <t>Hphuongpharmacy@123456</t>
  </si>
  <si>
    <t>Medstand@123</t>
  </si>
  <si>
    <t>nhungpham_gapone</t>
  </si>
  <si>
    <t>manh0983807118@gmail.com</t>
  </si>
  <si>
    <t>optionone_gapone</t>
  </si>
  <si>
    <t>Option@123</t>
  </si>
  <si>
    <t>giangnth.qt@medstand.vn</t>
  </si>
  <si>
    <t>giangnth.qt@medstand.net</t>
  </si>
  <si>
    <t>489</t>
  </si>
  <si>
    <t>VTVCAB_MSG</t>
  </si>
  <si>
    <t>CÔNG TY TNHH AKA DIGITAL VIET NAM</t>
  </si>
  <si>
    <t>Vtvcab@123</t>
  </si>
  <si>
    <t>akadigital_gapone</t>
  </si>
  <si>
    <t>Akadigital@123456</t>
  </si>
  <si>
    <t>pfco.express_gapone</t>
  </si>
  <si>
    <t>Pfco@123</t>
  </si>
  <si>
    <t>pfco_gapone</t>
  </si>
  <si>
    <t>duclong3@vtvcab.vn</t>
  </si>
  <si>
    <t>CÔNG TY CỔ PHẦN DƯỢC PHẨM MERACINE</t>
  </si>
  <si>
    <t>Meracine_MSG</t>
  </si>
  <si>
    <t>Meracine@123</t>
  </si>
  <si>
    <t xml:space="preserve">phuong.pham@akadigital.net </t>
  </si>
  <si>
    <t>phuocchau_gapone</t>
  </si>
  <si>
    <t>Thanh123456</t>
  </si>
  <si>
    <t>490</t>
  </si>
  <si>
    <t>yennhi.cskh@meracine.com</t>
  </si>
  <si>
    <t>phuongdtb</t>
  </si>
  <si>
    <t>Phuongdtb@123</t>
  </si>
  <si>
    <t>Công Ty Cổ Phần Bệnh Viện Đa Khoa Quốc Tế VINMEC</t>
  </si>
  <si>
    <t>vinmecnt_MSG</t>
  </si>
  <si>
    <t>Vinmec@123</t>
  </si>
  <si>
    <t>phuonglinh</t>
  </si>
  <si>
    <t>Linhlinh5601</t>
  </si>
  <si>
    <t>pierrefabre_gapone</t>
  </si>
  <si>
    <t>Pierre@123</t>
  </si>
  <si>
    <t>v.myntd9@vinmec.com</t>
  </si>
  <si>
    <t>V.diendtm@vinmec.com
V.thaoltt3@vinmec.com
v.myntd9@vinmec.com</t>
  </si>
  <si>
    <t>Gia hạn theo phụ lục 01
ZNS, khách đã đổi pass</t>
  </si>
  <si>
    <t>VIETTEL ĐỒNG THÁP</t>
  </si>
  <si>
    <t>vietteldongthap_MSG</t>
  </si>
  <si>
    <t>Viettel@123</t>
  </si>
  <si>
    <t>puvietnam_gapone</t>
  </si>
  <si>
    <t>Puvietnam@123</t>
  </si>
  <si>
    <t>pvi_gapone</t>
  </si>
  <si>
    <t>Pvi@1234</t>
  </si>
  <si>
    <t>491</t>
  </si>
  <si>
    <t>pvs_gapone</t>
  </si>
  <si>
    <t>Pvs@1234</t>
  </si>
  <si>
    <t>linhnt141414@gmail.com</t>
  </si>
  <si>
    <t>report@gapit.com.vn</t>
  </si>
  <si>
    <t>rp@gapone123</t>
  </si>
  <si>
    <t>sablancatk1</t>
  </si>
  <si>
    <t>CÔNG TY TNHH ĐÀO TẠO VÀ CUNG ỨNG NHÂN LỰC PAI</t>
  </si>
  <si>
    <t>sablancatk2</t>
  </si>
  <si>
    <t>PAI_Gapone</t>
  </si>
  <si>
    <t>492</t>
  </si>
  <si>
    <t>Pai@123456</t>
  </si>
  <si>
    <t>CÔNG TY CỔ PHẦN THƯƠNG MẠI SONG ĐẠI LONG</t>
  </si>
  <si>
    <t>songdailong_zns</t>
  </si>
  <si>
    <t>Songdailong@123456</t>
  </si>
  <si>
    <t>sablancatk3</t>
  </si>
  <si>
    <t>sablancatk4</t>
  </si>
  <si>
    <t>sablancatk5</t>
  </si>
  <si>
    <t>thanhnguyen@songdailong.com</t>
  </si>
  <si>
    <t>sale_org17</t>
  </si>
  <si>
    <t>tranmanh.pai@gmail.com</t>
  </si>
  <si>
    <t>salemarrketinglmg</t>
  </si>
  <si>
    <t>Lmg@123</t>
  </si>
  <si>
    <t>494</t>
  </si>
  <si>
    <t>sapmenghe</t>
  </si>
  <si>
    <t>Sapmenghe@123</t>
  </si>
  <si>
    <t>vinasoy1_api</t>
  </si>
  <si>
    <t>Vinasoy1@123456</t>
  </si>
  <si>
    <t>GOSU - CHI NHÁNH CÔNG TY CỔ PHẦN TRỰC TUYẾN GOSU TẠI THÀNH PHỐ HUẾ</t>
  </si>
  <si>
    <t>gosuhue_MSG</t>
  </si>
  <si>
    <t>Gosu@123</t>
  </si>
  <si>
    <t>shopbangiay</t>
  </si>
  <si>
    <t>shopcuamai</t>
  </si>
  <si>
    <t>nhan.mai@gosu.vn</t>
  </si>
  <si>
    <t>smartpayvn_gapone</t>
  </si>
  <si>
    <t>Smartpayvn@123</t>
  </si>
  <si>
    <t>CÔNG TY CỔ PHẦN HTC VIỄN THÔNG QUỐC TẾ</t>
  </si>
  <si>
    <t>vnstichdiem@gmail.com</t>
  </si>
  <si>
    <t>HTCITC_MSG</t>
  </si>
  <si>
    <t>Htcitc@123</t>
  </si>
  <si>
    <t>493</t>
  </si>
  <si>
    <t>superadmingp@gapone.vn</t>
  </si>
  <si>
    <t>gp@super@2021</t>
  </si>
  <si>
    <t>adm.gapone.vn</t>
  </si>
  <si>
    <t>CÔNG TY TNHH TRAF VINA</t>
  </si>
  <si>
    <t>trafvina_gapone</t>
  </si>
  <si>
    <t>Trafvina@123456</t>
  </si>
  <si>
    <t>HƯƠNG ĐÌNH VIỆT NAM</t>
  </si>
  <si>
    <t>huongdinh_GapOne</t>
  </si>
  <si>
    <t>Huongdinh@123</t>
  </si>
  <si>
    <t>Tên sale</t>
  </si>
  <si>
    <t>khaipv@huongdinh.com</t>
  </si>
  <si>
    <t>khách trial 3 ngày</t>
  </si>
  <si>
    <t>chuandt.trafvina@gmail.com</t>
  </si>
  <si>
    <t>KIDZANIA HÀ NỘI</t>
  </si>
  <si>
    <t>Kidzania_API</t>
  </si>
  <si>
    <t>Khu vực</t>
  </si>
  <si>
    <t>Kidzania@123</t>
  </si>
  <si>
    <t>tanamy_gapone</t>
  </si>
  <si>
    <t>Tanamy@123</t>
  </si>
  <si>
    <t>SơnLX</t>
  </si>
  <si>
    <t>496</t>
  </si>
  <si>
    <t>tantruong_gapone</t>
  </si>
  <si>
    <t>Tantruong@123</t>
  </si>
  <si>
    <t>gin@brickmate.kr</t>
  </si>
  <si>
    <t>tarungapone</t>
  </si>
  <si>
    <t>Tarun@123</t>
  </si>
  <si>
    <t>HườngĐM</t>
  </si>
  <si>
    <t>test01</t>
  </si>
  <si>
    <t>khách trial 5 ngày</t>
  </si>
  <si>
    <t>thanhhuong_gapone</t>
  </si>
  <si>
    <t>Thanhhuong@123</t>
  </si>
  <si>
    <t>CÔNG TY CỔ PHẦN QUỐC TẾ DANIS GROUP</t>
  </si>
  <si>
    <t>danis_GapOne</t>
  </si>
  <si>
    <t>Danis@123</t>
  </si>
  <si>
    <t>thethaovn_gapone</t>
  </si>
  <si>
    <t>Thethao@123</t>
  </si>
  <si>
    <t>495</t>
  </si>
  <si>
    <t>danisgroup99@gmail.com</t>
  </si>
  <si>
    <t>tancangsg_gapone</t>
  </si>
  <si>
    <t>TiênNTM</t>
  </si>
  <si>
    <t>Tancangsg@123456</t>
  </si>
  <si>
    <t>KhánhNQ</t>
  </si>
  <si>
    <t>SMS CSKH, Zalo ZNS, Viber</t>
  </si>
  <si>
    <t>DIGICONNEX</t>
  </si>
  <si>
    <t>digiconnex_API</t>
  </si>
  <si>
    <t>Digiconnex@123</t>
  </si>
  <si>
    <t>tinhtk_gapone</t>
  </si>
  <si>
    <t>lykhanhho@saigonnewport.com.vn</t>
  </si>
  <si>
    <t>lyhtk@saigonnewport.com.vn; linhpt1@saigonnewport.com.vn</t>
  </si>
  <si>
    <t>quang.ngo@digiconnex.vn</t>
  </si>
  <si>
    <t>khách đã đổi pass</t>
  </si>
  <si>
    <t>Tpiland@0607</t>
  </si>
  <si>
    <t>CÔNG TY CỔ PHẦN HẠ TẦNG VIỄN THÔNG CMC</t>
  </si>
  <si>
    <t>ThưNHA</t>
  </si>
  <si>
    <t>tranghtt_zns</t>
  </si>
  <si>
    <t>cmc_gapone</t>
  </si>
  <si>
    <t>Tranghtt@123</t>
  </si>
  <si>
    <t>Cmc@3456</t>
  </si>
  <si>
    <t>497</t>
  </si>
  <si>
    <t>HỘ KINH DOANH ĐIỆN THOẠI DI ĐỘNG BẠCH LONG</t>
  </si>
  <si>
    <t>ddbachlong_gapone</t>
  </si>
  <si>
    <t>Ddbachlong@123456</t>
  </si>
  <si>
    <t>ThuNTH</t>
  </si>
  <si>
    <t>VinhNHH</t>
  </si>
  <si>
    <t>minh.nh3@cmctelecom.vn</t>
  </si>
  <si>
    <t>ko gia hạn</t>
  </si>
  <si>
    <t>bachlongmobi@gmail.com</t>
  </si>
  <si>
    <t>MANABIE_GAPONE</t>
  </si>
  <si>
    <t>Manabie@3456</t>
  </si>
  <si>
    <t>499</t>
  </si>
  <si>
    <t>vinamilk_gapone</t>
  </si>
  <si>
    <t>Son.Vo@manabie.com</t>
  </si>
  <si>
    <t>500</t>
  </si>
  <si>
    <t>sbedu_MSG</t>
  </si>
  <si>
    <t>Sbedu@123</t>
  </si>
  <si>
    <t>vitaminshoppe_gapone</t>
  </si>
  <si>
    <t>HubSpot</t>
  </si>
  <si>
    <t>Mới
API</t>
  </si>
  <si>
    <t>ngotrinh85226@gmail.com</t>
  </si>
  <si>
    <t>501</t>
  </si>
  <si>
    <t>HDAEXAM_MSG</t>
  </si>
  <si>
    <t>Hdaexam@123</t>
  </si>
  <si>
    <t>vnpthanoi_gapone</t>
  </si>
  <si>
    <t>Vnpthanoi@123</t>
  </si>
  <si>
    <t>An.Pham@britishcouncil.org.vn</t>
  </si>
  <si>
    <t>CÔNG TY CP PHẦN MỀM MELIASOFT</t>
  </si>
  <si>
    <t>Meliasoft_API</t>
  </si>
  <si>
    <t>Meliasoft@123</t>
  </si>
  <si>
    <t>Mới
Mini App</t>
  </si>
  <si>
    <t>wcreate_zns</t>
  </si>
  <si>
    <t>Wcreate@123</t>
  </si>
  <si>
    <t>504</t>
  </si>
  <si>
    <t>thangttt@meliasoft.com</t>
  </si>
  <si>
    <t>winbay_zns</t>
  </si>
  <si>
    <t>Winbay@123</t>
  </si>
  <si>
    <t>QUYSONG_MSG</t>
  </si>
  <si>
    <t>thanh lý ngày 29/12/2023</t>
  </si>
  <si>
    <t>Quysong@123</t>
  </si>
  <si>
    <t>info@song.org.vn</t>
  </si>
  <si>
    <t>506</t>
  </si>
  <si>
    <t>CÔNG TY TNHH DỊCH VỤ QUẢN LÝ TÒA NHÀ HTC SÀI GÒN</t>
  </si>
  <si>
    <t>htcsaigon_gapone</t>
  </si>
  <si>
    <t>AnhNP</t>
  </si>
  <si>
    <t>Htcsaigon@123456</t>
  </si>
  <si>
    <t>yenht_gapone</t>
  </si>
  <si>
    <t>Yenht@123</t>
  </si>
  <si>
    <t>GIC_GAPONE</t>
  </si>
  <si>
    <t>Gic@123456</t>
  </si>
  <si>
    <t>info@htcsaigon.com</t>
  </si>
  <si>
    <t>zeldastarvn</t>
  </si>
  <si>
    <t>Zeldastars@14082020</t>
  </si>
  <si>
    <t>Chuyển đổi từ GapOne Hubspot sang GapOne</t>
  </si>
  <si>
    <t>505</t>
  </si>
  <si>
    <t>CÔNG TY CỔ PHẦN CÔNG NGHỆ SAPO</t>
  </si>
  <si>
    <t>sapo_gapone</t>
  </si>
  <si>
    <t>Sapo@123456</t>
  </si>
  <si>
    <t>CÔNG TY THHH GLOBAL MIGRATE MANAGEMENT CONSULTANTS</t>
  </si>
  <si>
    <t>GMMC_SIMILAR</t>
  </si>
  <si>
    <t>Gmmc@123</t>
  </si>
  <si>
    <t>enterprise@sapo.vn</t>
  </si>
  <si>
    <t>Amy@global-migrate.com</t>
  </si>
  <si>
    <t>507</t>
  </si>
  <si>
    <t>CÔNG TY TNHH ĐIỆN MÁY GIA KHANG</t>
  </si>
  <si>
    <t>CÔNG TY CỔ PHẦN CÔNG NGHỆ REVER</t>
  </si>
  <si>
    <t>dmgiakhang_zns</t>
  </si>
  <si>
    <t>Rever_GapOne</t>
  </si>
  <si>
    <t>Dmgiakhang@123456</t>
  </si>
  <si>
    <t>Rever@123</t>
  </si>
  <si>
    <t>uyen.tran@dienmaygiakhang.vn</t>
  </si>
  <si>
    <t>phuctv1@rever.vn</t>
  </si>
  <si>
    <t>khách trial 7 ngày</t>
  </si>
  <si>
    <t>MVC_GAPONE</t>
  </si>
  <si>
    <t>None 5</t>
  </si>
  <si>
    <t>Mvc@123456</t>
  </si>
  <si>
    <t>CTY CP TRUYỀN THÔNG SÔNG SÁNG</t>
  </si>
  <si>
    <t>ngày 25/07/24 chuyển đổi gói GAPONE HUBSPOT --&gt; API SMS, kênh sd từ đa kênh về SMS CSKH</t>
  </si>
  <si>
    <t>do.chi@mitsui.com</t>
  </si>
  <si>
    <t>Kh chỉ dùng API, không dùng Portal
Không cấp tk GapOne</t>
  </si>
  <si>
    <t>Chuyển đổi từ GapOne Hubspot sang GapOne, ngày 25/07/24 KH ko dùng ZNS nữa chỉ dùng API SMS để test, chuyển về đầu mối Admin Anhnm hỗ trợ, đã đổi gói và thời hạn tk</t>
  </si>
  <si>
    <t>trungdh@ssmedia.vn</t>
  </si>
  <si>
    <t>CÔNG TY CỔ PHẦN ELMICH</t>
  </si>
  <si>
    <t>ELMICH_GAPONE</t>
  </si>
  <si>
    <t>Elmich@123</t>
  </si>
  <si>
    <t>508</t>
  </si>
  <si>
    <t>CÔNG TY CỔ PHẦN CHẾ BIẾN GỖ ĐỨC THÀNH</t>
  </si>
  <si>
    <t>ducthanh_zns</t>
  </si>
  <si>
    <t>Ducthanh@123456</t>
  </si>
  <si>
    <t>KH gia hạn đến 1/7/2026, chuyển từ gói Enterprise sang Starter</t>
  </si>
  <si>
    <t>tuoi@dtwoodvn.com</t>
  </si>
  <si>
    <t>nhung.tran@elmich.vn</t>
  </si>
  <si>
    <t>509</t>
  </si>
  <si>
    <t>nestlevn_gapone</t>
  </si>
  <si>
    <t>Nestlevn@123456</t>
  </si>
  <si>
    <t>nhung.tran@elmich.vn
minhphuong.nguyen@elmich.vn
chien.pham@elmich.vn</t>
  </si>
  <si>
    <t>KH dùng GAPONE Hubspot</t>
  </si>
  <si>
    <t>Công ty Cổ phần ô tô Con Đường Mới</t>
  </si>
  <si>
    <t>CS dùng gửi tin cho Nestle</t>
  </si>
  <si>
    <t>NEWWAY_MSG</t>
  </si>
  <si>
    <t>Newway@123</t>
  </si>
  <si>
    <t>510</t>
  </si>
  <si>
    <t>Chantroidong_api</t>
  </si>
  <si>
    <t>Chantroidong@123456</t>
  </si>
  <si>
    <t xml:space="preserve">quangnh@chevroletnewway.com.vn
</t>
  </si>
  <si>
    <t>Công ty Cổ phần Chuỗi Thực phẩm TH</t>
  </si>
  <si>
    <t>THBEV_MSG</t>
  </si>
  <si>
    <t>hiep.duong@abhorizon.com</t>
  </si>
  <si>
    <t>Thbev@123</t>
  </si>
  <si>
    <t>511</t>
  </si>
  <si>
    <t xml:space="preserve">panh124@gmail.com.vn </t>
  </si>
  <si>
    <t>tài khoản gửi tin manual camp TH_BEVERAGE</t>
  </si>
  <si>
    <t>Công ty cổ phần Lea Tech</t>
  </si>
  <si>
    <t>Leatech_API</t>
  </si>
  <si>
    <t>Leatech@123</t>
  </si>
  <si>
    <t>512</t>
  </si>
  <si>
    <t>CÔNG TY TNHH TNT DRINK</t>
  </si>
  <si>
    <t>tntdrink_api</t>
  </si>
  <si>
    <t>Tntdrink@123456</t>
  </si>
  <si>
    <t>leatech.jsc@gmail.com</t>
  </si>
  <si>
    <t>nguyentrucanhtuan@gmail.com</t>
  </si>
  <si>
    <t>CÔNG TY CỔ PHẦN DI CHUYỂN XANH VÀ THÔNG MINH GSM</t>
  </si>
  <si>
    <t>XanhSM_API</t>
  </si>
  <si>
    <t>Xanhsm@123</t>
  </si>
  <si>
    <t>515</t>
  </si>
  <si>
    <t>Gia hạn từ 28/11/2024 đến 31/12/2025
Gia hạn từ 31/12/2025 đến 15/12/2026</t>
  </si>
  <si>
    <t>v.trinhhtt1@xanhsm.com</t>
  </si>
  <si>
    <t>Nhà hàng &amp; Quán</t>
  </si>
  <si>
    <t>245</t>
  </si>
  <si>
    <t>BIZFLY_JEMMIA_API</t>
  </si>
  <si>
    <t>Jemmia@12345</t>
  </si>
  <si>
    <t>Bizfly</t>
  </si>
  <si>
    <t>Mua sắm &amp; Bán lẻ</t>
  </si>
  <si>
    <t>tech@jemmia.vn</t>
  </si>
  <si>
    <t>maiphamnhu@vccorp.vn</t>
  </si>
  <si>
    <r>
      <rPr>
        <rFont val="Google Sans"/>
        <color theme="1"/>
        <sz val="9.0"/>
      </rPr>
      <t xml:space="preserve">nghiant.tnn@vnpt.vn
</t>
    </r>
    <r>
      <rPr>
        <rFont val="Google Sans"/>
        <color rgb="FFFF0000"/>
        <sz val="9.0"/>
      </rPr>
      <t>tungtk.tnn@vnpt.vn</t>
    </r>
  </si>
  <si>
    <t>CÔNG TY CỔ PHẦN Y TẾ VIỆT AN</t>
  </si>
  <si>
    <t>VIETAN_GAPONE</t>
  </si>
  <si>
    <t>516</t>
  </si>
  <si>
    <t>CÔNG TY CỔ PHẦN DGV DIGITAL</t>
  </si>
  <si>
    <t>dgvdigital_api</t>
  </si>
  <si>
    <t>Dgvdigital@123456</t>
  </si>
  <si>
    <t>Vietan@1234</t>
  </si>
  <si>
    <t>Y tế &amp; Dược phẩm</t>
  </si>
  <si>
    <t>hoangvietanjsc@gmail.com</t>
  </si>
  <si>
    <t>Hợp Tác Xã Đầu Tư Công Nghệ Thành Thành Công</t>
  </si>
  <si>
    <t>Thanhcong_MSG</t>
  </si>
  <si>
    <t>Thanhcong@123</t>
  </si>
  <si>
    <t>hao@dgvdigital.com</t>
  </si>
  <si>
    <t>Ttmanhbk@gmail.com</t>
  </si>
  <si>
    <t>514</t>
  </si>
  <si>
    <t>CS gửi tin</t>
  </si>
  <si>
    <t>CÔNG TY TNHH THIẾT KẾ IN NHANH TRƯỜNG THÁI</t>
  </si>
  <si>
    <t>Thegioiinnhanh_API</t>
  </si>
  <si>
    <t>Innhanh@123</t>
  </si>
  <si>
    <t>Zalo_G1_Thegioiinhanh</t>
  </si>
  <si>
    <t>Sản xuất &amp; Chế tạo</t>
  </si>
  <si>
    <t>info@thegioiinnhanh.com</t>
  </si>
  <si>
    <t>517</t>
  </si>
  <si>
    <t>CÔNG TY CỔ PHẦN THƯƠNG MẠI DƯỢC PHẨM P&amp;M</t>
  </si>
  <si>
    <t>duocphampm_zns</t>
  </si>
  <si>
    <t>Duocphampm@123456</t>
  </si>
  <si>
    <t>Thieny_API</t>
  </si>
  <si>
    <t>Thieny@123</t>
  </si>
  <si>
    <t>Tích hợp API (app Getfly)</t>
  </si>
  <si>
    <t>Gia hạn tự động mỗi 6 tháng https://wework.base.vn/gapone-pm-517-98810?task=9916307</t>
  </si>
  <si>
    <t>Gia hạn 28/10/2024 đến 28/4/2025. Gia hạn l2 từ 28/4/2025 - 28/4/2026</t>
  </si>
  <si>
    <t>duocphampm@gmail.com</t>
  </si>
  <si>
    <t>ketoaninnammy@gmail.com</t>
  </si>
  <si>
    <t>mktnammyinan@gmail.com</t>
  </si>
  <si>
    <t>Elanco Animal Health Incorporated</t>
  </si>
  <si>
    <t>Elanco_gapone</t>
  </si>
  <si>
    <t>Elanco@123</t>
  </si>
  <si>
    <t>518</t>
  </si>
  <si>
    <t>KH không dùng G1 nữa, chuyển sang chỉ kết nối ví ZCA</t>
  </si>
  <si>
    <t>kim_ngan.tran@elancoah.com</t>
  </si>
  <si>
    <t>Gia hạn tự động hàng năm đến khi thanh lý hợp đồng</t>
  </si>
  <si>
    <t>support@citigym.asia</t>
  </si>
  <si>
    <t>Công ty TNHH STEAM FOR VIETNAM</t>
  </si>
  <si>
    <t>STEAM_GAPONE</t>
  </si>
  <si>
    <t>Steam@123</t>
  </si>
  <si>
    <t>519</t>
  </si>
  <si>
    <t>partnership@steamforvietnam.org</t>
  </si>
  <si>
    <t>TÀI TRỢ</t>
  </si>
  <si>
    <t>Công ty cổ phần thanh toán VNPAY</t>
  </si>
  <si>
    <t>VNPAY_MSG</t>
  </si>
  <si>
    <t>Vnpay@123</t>
  </si>
  <si>
    <t>520</t>
  </si>
  <si>
    <t>CÔNG TY CỔ PHẦN CÔNG NGHỆ FIVESS</t>
  </si>
  <si>
    <t>cnfivess_gapone</t>
  </si>
  <si>
    <t>Cnfivess@123456</t>
  </si>
  <si>
    <t>quyhn@vnpay.vn</t>
  </si>
  <si>
    <t>VNI – Bảo hiểm hàng không</t>
  </si>
  <si>
    <t>Vni_api</t>
  </si>
  <si>
    <t>Vni@1234</t>
  </si>
  <si>
    <t>fivess.jsc@gmail.com</t>
  </si>
  <si>
    <t>buidinhchung@bhhk.com.vn</t>
  </si>
  <si>
    <t xml:space="preserve">Sử dụng tài nguyên test Brandname của GAPIT đa kênh:
50 tin ZNS, 50 tin SMS brandname 
</t>
  </si>
  <si>
    <t>540</t>
  </si>
  <si>
    <t>BHMBA_api</t>
  </si>
  <si>
    <t>Bhmba@123</t>
  </si>
  <si>
    <t>Khách thay đổi yêu cầu, dùng api qua GapOne
Kh chỉ dùng API, không dùng Portal</t>
  </si>
  <si>
    <t>quatangcone@gmail.com</t>
  </si>
  <si>
    <t>SMS CSKH, ZNS</t>
  </si>
  <si>
    <t>tu.lq@mbageas.life</t>
  </si>
  <si>
    <t>521</t>
  </si>
  <si>
    <t>CÔNG TY CỔ PHẦN CÔNG NGHỆ Y TẾ NHẬT VIỆT – CHI NHÁNH HÀ NỘI</t>
  </si>
  <si>
    <t>NURA_API</t>
  </si>
  <si>
    <t>Nura@123</t>
  </si>
  <si>
    <t>đã add sản lương + Mail thông báo cho sales
Đã gia hạn 6 tháng
Zalo</t>
  </si>
  <si>
    <t>trangpth@vjms.com.vn</t>
  </si>
  <si>
    <t>Test 50 SMS</t>
  </si>
  <si>
    <t>CÔNG TY TNHH SẢN XUẤT THƯƠNG MẠI AGRI DYNAMICS</t>
  </si>
  <si>
    <t>AGRIDYNAMICS_API</t>
  </si>
  <si>
    <t>Agridynamics@123</t>
  </si>
  <si>
    <t>522</t>
  </si>
  <si>
    <t>dev@amartfood.vn</t>
  </si>
  <si>
    <t>test 20 sms</t>
  </si>
  <si>
    <t>thuongttk</t>
  </si>
  <si>
    <t>TRUNG TÂM KINH DOANH VNPT – BÌNH THUẬN</t>
  </si>
  <si>
    <t>VNPTBINHTHUAN_GAPONE</t>
  </si>
  <si>
    <t>BinhThuan@123</t>
  </si>
  <si>
    <t>linhhc.btn@vnpt.vn</t>
  </si>
  <si>
    <t>Partner_NEO</t>
  </si>
  <si>
    <t>KH import file trên portal để gửi ZNS thông báo cước</t>
  </si>
  <si>
    <t>KH ko gia hạn do ko còn nhu cầu</t>
  </si>
  <si>
    <t>Công ty Cổ phần Finhay Việt Nam</t>
  </si>
  <si>
    <t>523</t>
  </si>
  <si>
    <t>FinhayVN_Gapone</t>
  </si>
  <si>
    <t>FinhayVN@123</t>
  </si>
  <si>
    <t>luan.pham@finhay.com.vn</t>
  </si>
  <si>
    <t>KH ko còn nhu cầu sử dụng nữa</t>
  </si>
  <si>
    <t>CÔNG TY CỔ PHẦN THANH TOÁN TRỰC TUYẾN TOÀN CẦU - GOOPAY</t>
  </si>
  <si>
    <t>Goopay</t>
  </si>
  <si>
    <t>Goopay@123</t>
  </si>
  <si>
    <t>524</t>
  </si>
  <si>
    <t>CÔNG TY CỔ PHẦN ẨM THỰC HÙNG TRƯỜNG SA</t>
  </si>
  <si>
    <t>hungtruongsa_gapone</t>
  </si>
  <si>
    <t>Hungtruongsa@123456</t>
  </si>
  <si>
    <t>CÔNG TY CỔ PHẦN CONRIC PHÚ YÊN</t>
  </si>
  <si>
    <t>CONRICPHUYEN_GAPONE</t>
  </si>
  <si>
    <t>Conricphuyen@123</t>
  </si>
  <si>
    <t>Gia hạn từ 12/2/2025 đến 12/2/2026</t>
  </si>
  <si>
    <t>trinhnt@bhc.vn</t>
  </si>
  <si>
    <t>maituanquang@gmail.com</t>
  </si>
  <si>
    <t>Import file để gửi tin ZNS thông báo phí dịch vụ</t>
  </si>
  <si>
    <t>Sales báo quy trình thanh toán của KH chậm. Đợi KH thanh toán xong mới tiếp tục gia hạn GapOne gửi tin</t>
  </si>
  <si>
    <t>TRUNG TÂM KINH DOANH VNPT THỪA THIÊN - HUẾ, CHI NHÁNH TỔNG CÔNG TY DỊCH VỤ VIỄN THÔNG</t>
  </si>
  <si>
    <t>vnpthue_MSG</t>
  </si>
  <si>
    <t>525</t>
  </si>
  <si>
    <t>Gia hạn 6 tháng đến 05/09/2025</t>
  </si>
  <si>
    <t>heineken_api</t>
  </si>
  <si>
    <t>hacminhphuc@gmail.com</t>
  </si>
  <si>
    <t>Heineken@123456</t>
  </si>
  <si>
    <t>khách đổi mật khẩu</t>
  </si>
  <si>
    <t>mobicast_gapone</t>
  </si>
  <si>
    <t>Mobicast@123</t>
  </si>
  <si>
    <t>lanvtn@mbc.masangroup.com</t>
  </si>
  <si>
    <t>huy.tran@publicisgroupe.com</t>
  </si>
  <si>
    <t>Tranghtt</t>
  </si>
  <si>
    <t>CÔNG TY TNHH DU LỊCH QUỐC TẾ PREMIER TOUR</t>
  </si>
  <si>
    <t>PremierTour_GAPONE</t>
  </si>
  <si>
    <t>Premier@123</t>
  </si>
  <si>
    <t>Du lịch &amp; Lưu trú</t>
  </si>
  <si>
    <t>526</t>
  </si>
  <si>
    <t>TRƯỜNG CAO ĐẲNG VIỆT MỸ</t>
  </si>
  <si>
    <t>cdvietmy_gapone</t>
  </si>
  <si>
    <t>Cdvietmy@123456</t>
  </si>
  <si>
    <t>KH ko còn nhu cầu gia hạn</t>
  </si>
  <si>
    <t>marketing@premiertour.com.vn</t>
  </si>
  <si>
    <t>my.phan@goldensmile.com.vn</t>
  </si>
  <si>
    <t>Import file, gửi chiến dịch đồng loạt</t>
  </si>
  <si>
    <t>TRUNG TÂM KINH DOANH VNPT – NINH THUẬN, CHI NHÁNH CÔNG TY DỊCH VU VIỄN THÔNG</t>
  </si>
  <si>
    <t>VnptNinhthuan_GapOne</t>
  </si>
  <si>
    <t>Vnptninhthuan@123</t>
  </si>
  <si>
    <t>duy.nguyen@sbsedu.vn</t>
  </si>
  <si>
    <t>langdtm.ntn@vnpt.vn</t>
  </si>
  <si>
    <t>531</t>
  </si>
  <si>
    <t>CÔNG TY CỔ PHẦN K CENTER - K DENTIS</t>
  </si>
  <si>
    <t>kdentis_gapone</t>
  </si>
  <si>
    <t>Kdentis@123456</t>
  </si>
  <si>
    <t>Import file để gửi tin ZNS thông báo cước</t>
  </si>
  <si>
    <t>CÔNG TY TNHH CHO THUÊ Ô TÔ AN HÒA PHÁT</t>
  </si>
  <si>
    <t>BIZFLY_AVIS_STARTER</t>
  </si>
  <si>
    <t>Avis123456</t>
  </si>
  <si>
    <t>kdentistketoan3@gmail.com</t>
  </si>
  <si>
    <t>L1: KH gia hạn từ 13/05/2025 - 13/06/2025; L2: KH gia hạn từ 13/06/2025 - 13/08/2025</t>
  </si>
  <si>
    <t>527</t>
  </si>
  <si>
    <t>giang.vo@avisvietnam.com.vn</t>
  </si>
  <si>
    <t>Khách hàng của đối tác Bizfly (VCCORP): sử dụng portal GapOne để import dữ liệu và gửi tin thủ công</t>
  </si>
  <si>
    <t>Miniapp team Marketing</t>
  </si>
  <si>
    <t>Miniapp_GAPONE</t>
  </si>
  <si>
    <t>Miniapp@123</t>
  </si>
  <si>
    <t>Gia hạn ngày 23/12/2024
08/04/2024: Khách mua thêm PO 14.000.000
12/03/2024: Khách mua thêm PO 14.000.000
16/01/2024:Khách mua thêm PO trị giá 2.000.000</t>
  </si>
  <si>
    <t>528</t>
  </si>
  <si>
    <t>heinekenvn_gapone</t>
  </si>
  <si>
    <t>Heinekenvn@123456</t>
  </si>
  <si>
    <t>Zalo Mini App</t>
  </si>
  <si>
    <t>Nội bộ (team MKT reuquest)</t>
  </si>
  <si>
    <t>Team MKT GAPIT</t>
  </si>
  <si>
    <t>Lixil_msg</t>
  </si>
  <si>
    <t>Lixil@#123</t>
  </si>
  <si>
    <t>NguyenKieuHai.Anh@heineken.com</t>
  </si>
  <si>
    <t>Lam Nguyen Thi Hong &lt;NguyenThiHong.Lam@heineken.com&gt;,Minh Nguyen The Hoang &lt;NguyenTheHoang.Minh@heineken.com&gt;,NguyenKieuHai.Anh@heineken.com</t>
  </si>
  <si>
    <t>thuphuong.pham@lixil.com</t>
  </si>
  <si>
    <t>529</t>
  </si>
  <si>
    <t xml:space="preserve">CÔNG TY CỔ PHẦN CÔNG NGHỆ HVC	
</t>
  </si>
  <si>
    <t>Hvc_GAPONE</t>
  </si>
  <si>
    <t>Hvc@1234</t>
  </si>
  <si>
    <t>KH mới
Tất cả các kênh, nhưng hiện tại chủ yếu là Email và ZALO</t>
  </si>
  <si>
    <t>linhtm@hotvoucher.vn</t>
  </si>
  <si>
    <t>530</t>
  </si>
  <si>
    <t>HĐ ký 28/09/203, tự động gia hạn 1 năm. KH dùng API
HĐ gia hạn từ 31/12/2024 đến 28/09/2025 
HĐ gia hạn từ 28/09/2025 đến 28/09/2026
là BIZFLY (VCCORP)</t>
  </si>
  <si>
    <t>533</t>
  </si>
  <si>
    <t>trial 15 ngày để test đồng bộ dữ liệu</t>
  </si>
  <si>
    <t>HỘ KINH DOANH ĐÀO MỸ HUYỀN</t>
  </si>
  <si>
    <t>myhuyen_gapone</t>
  </si>
  <si>
    <t>Myhuyen@123456</t>
  </si>
  <si>
    <t>File Excel, API, Kiotviet</t>
  </si>
  <si>
    <t>Bệnh viện Thanh Nhàn</t>
  </si>
  <si>
    <t>Thanhnhan_API</t>
  </si>
  <si>
    <t>Thanhnhan@123</t>
  </si>
  <si>
    <t>daomyhuyen.truongan@gmail.com</t>
  </si>
  <si>
    <t>vinh.dt@viettinlab.com</t>
  </si>
  <si>
    <t>532</t>
  </si>
  <si>
    <t>phongcntt.bvtn@gmail.com</t>
  </si>
  <si>
    <t>Kết nối API gửi tin Zalo</t>
  </si>
  <si>
    <t>CÔNG TY CỔ PHẦN GAPIT MEDIA - PHENIKAA</t>
  </si>
  <si>
    <t>Phenikaa_GapOne</t>
  </si>
  <si>
    <t>Phenik@123</t>
  </si>
  <si>
    <t>534</t>
  </si>
  <si>
    <t>HỘ KINH DOANH SWANS</t>
  </si>
  <si>
    <t>hkdswans_gapone</t>
  </si>
  <si>
    <t>Hkdswans@123456</t>
  </si>
  <si>
    <t>truyenthong@phenikaa-uni.edu.vn</t>
  </si>
  <si>
    <t>Toanhihi97@gmail.com</t>
  </si>
  <si>
    <t>EMS_GAPONE</t>
  </si>
  <si>
    <t>Ems@1234</t>
  </si>
  <si>
    <t>535</t>
  </si>
  <si>
    <t>CÔNG TY TNHH DU LỊCH 338.1</t>
  </si>
  <si>
    <t>dulich338.1_gapone</t>
  </si>
  <si>
    <t>Dulich338.1@123456</t>
  </si>
  <si>
    <t xml:space="preserve">Trả trước để test
(sau khi ký HĐ chuyển trả sau)
</t>
  </si>
  <si>
    <t>ngocnt@ems.com.vn</t>
  </si>
  <si>
    <t xml:space="preserve">Kết nối API gửi ZNS hành trình token_logistics_7 + ZNS thông thường
Kết nối API gửi SMS Brandname
Có thể sử dụng cơ chế Failover
</t>
  </si>
  <si>
    <t>Vannhi0320@gmail.com</t>
  </si>
  <si>
    <t>TRƯỜNG CAO ĐẲNG CÔNG NGHỆ BÁCH KHOA HÀ NỘI – CƠ SỞ HÀ NỘI</t>
  </si>
  <si>
    <t>Caodangbkhn_MSG</t>
  </si>
  <si>
    <t>Caodangbk@123</t>
  </si>
  <si>
    <t>536</t>
  </si>
  <si>
    <t>thanhthao.cnbk@gmail.com</t>
  </si>
  <si>
    <t>Update dữ liệu khách hàng bằng file excel và gửi đồng loạt</t>
  </si>
  <si>
    <t>Partner_Gcall</t>
  </si>
  <si>
    <t>Trường Cao Đẳng Hà Nội</t>
  </si>
  <si>
    <t>CaodangHN_zns</t>
  </si>
  <si>
    <t>CaodangHN@123</t>
  </si>
  <si>
    <t>537</t>
  </si>
  <si>
    <t>Vananh1705@gmail.com</t>
  </si>
  <si>
    <t>TuVTC</t>
  </si>
  <si>
    <t xml:space="preserve">HUMBLE ASIA </t>
  </si>
  <si>
    <t>HumbleAsia_GAPONE</t>
  </si>
  <si>
    <t>Humble@123</t>
  </si>
  <si>
    <t>538</t>
  </si>
  <si>
    <t xml:space="preserve">vanthien989@gmail.com        </t>
  </si>
  <si>
    <t>Test phần đồng bộ dữ liệu và chiến dịch gửi tin</t>
  </si>
  <si>
    <t>TK TRIAL</t>
  </si>
  <si>
    <t>CÔNG TY TNHH THỰC PHẨM ÁNH HỒNG</t>
  </si>
  <si>
    <t>AnhHong_MSG</t>
  </si>
  <si>
    <t>Anhhong@123</t>
  </si>
  <si>
    <t>539</t>
  </si>
  <si>
    <t>vongtrondo_api</t>
  </si>
  <si>
    <t>KH chạy campaign, sử dụng để gửi tin nhắn thông báo trúng thưởng cho khách hàng cuối</t>
  </si>
  <si>
    <t>CÔNG TY CỔ PHẦN ĐẦU TƯ PHÁT TRIỂN GIÁO DỤC VTCE</t>
  </si>
  <si>
    <t>phuong.chuhue@circlek.com.vn</t>
  </si>
  <si>
    <t>VTCE_GapOne</t>
  </si>
  <si>
    <t>Vtce@123</t>
  </si>
  <si>
    <t>216</t>
  </si>
  <si>
    <t>tinth@vtc.edu.vn</t>
  </si>
  <si>
    <t>Tự động gia hạn 1 năm
Đã báo sale, nhưng không có thông tin CPID</t>
  </si>
  <si>
    <t>nghianv1@austdoor.com</t>
  </si>
  <si>
    <t>541</t>
  </si>
  <si>
    <t>tanviet_gapone</t>
  </si>
  <si>
    <t>Tanviet@123456</t>
  </si>
  <si>
    <t>pr@tanvietbooks.com.vn</t>
  </si>
  <si>
    <t>cuong.hv@tanvietbooks.com.vn; pr@tanvietbooks.com.vn</t>
  </si>
  <si>
    <t>542</t>
  </si>
  <si>
    <t>HỘ KINH DOANH 4AM</t>
  </si>
  <si>
    <t>hkd4am_gapone</t>
  </si>
  <si>
    <t>Hkd4am@123456</t>
  </si>
  <si>
    <t>BDS_GAPONE</t>
  </si>
  <si>
    <t>STANDARD</t>
  </si>
  <si>
    <t>hieult2@batdongsan.com.vn</t>
  </si>
  <si>
    <t>4amhairstudio@gmail.com</t>
  </si>
  <si>
    <t>platform@batdongsan.com.vn</t>
  </si>
  <si>
    <t>Update từ API =&gt; Similar để đươc sử dụng tính năng phân quyền</t>
  </si>
  <si>
    <t>544</t>
  </si>
  <si>
    <t>CÔNG TY TRÁCH NHIỆM HỮU HẠN ĐẦU TƯ VÀ THƯƠNG MẠI NGUYÊN THỊNH</t>
  </si>
  <si>
    <t>nguyenthinh_api</t>
  </si>
  <si>
    <t>Nguyenthinh@123</t>
  </si>
  <si>
    <t>CÔNG TY CỔ PHẦN SỨC KHỎE THÔNG THÁI WHC</t>
  </si>
  <si>
    <t>WHC_GAPONE</t>
  </si>
  <si>
    <t>Whc@1234</t>
  </si>
  <si>
    <t>nguyenthinh7784567@gmail.com</t>
  </si>
  <si>
    <t>Gửi ZNS cảm ơn sau mua hàng</t>
  </si>
  <si>
    <t>TK Trial dùng thử nghiệm trước, add quota 50 tin ZNS</t>
  </si>
  <si>
    <t>545</t>
  </si>
  <si>
    <t>Công Ty Cổ Phần Thực Phẩm Dinh Dưỡng NUTIFOOD Bình Dương</t>
  </si>
  <si>
    <t>nutifood_api</t>
  </si>
  <si>
    <t>Nutifood@123456</t>
  </si>
  <si>
    <t>Nasco_GAPONE</t>
  </si>
  <si>
    <r>
      <rPr>
        <rFont val="Lexend"/>
        <u/>
      </rPr>
      <t>Nasco@123</t>
    </r>
  </si>
  <si>
    <t>nguyenndt@nutifood.com.vn</t>
  </si>
  <si>
    <t xml:space="preserve">khoanta@nutifood.com.vn; </t>
  </si>
  <si>
    <t>547</t>
  </si>
  <si>
    <t>duongnt@nascoexpress.com</t>
  </si>
  <si>
    <t>CÔNG TY CỔ PHẦN TẬP ĐOÀN VITTO</t>
  </si>
  <si>
    <t>VITTO_GAPONE</t>
  </si>
  <si>
    <t>Vitto@123</t>
  </si>
  <si>
    <t>Zalo ZNS, Zalo UID</t>
  </si>
  <si>
    <t>Kh chỉ dùng API, không dùng Portal
Sử dụng AppID của khách hàng, chỉ kết nối với ví ZCA của GAPIT</t>
  </si>
  <si>
    <t>Khách hàng của GAPIT MEDIA</t>
  </si>
  <si>
    <t>namvg@vthmgroup.vn</t>
  </si>
  <si>
    <t>546</t>
  </si>
  <si>
    <t>CÔNG TY TNHH NHA KHOA HOA HỒNG</t>
  </si>
  <si>
    <t>nkhoahong_gapone</t>
  </si>
  <si>
    <t>Nkhoahong@123456</t>
  </si>
  <si>
    <t>CÔNG TY CỔ PHẦN SỮA QUỐC TẾ LOF</t>
  </si>
  <si>
    <t>LOF_API</t>
  </si>
  <si>
    <t>Lof@12345</t>
  </si>
  <si>
    <t>Nhakhoahoahongq1@gmail.com</t>
  </si>
  <si>
    <t>548</t>
  </si>
  <si>
    <t>CÔNG TY TNHH DAIKO VIỆT NAM DAIKO</t>
  </si>
  <si>
    <t>hisamitsu_gapone</t>
  </si>
  <si>
    <t>Hisamitsu@123456</t>
  </si>
  <si>
    <t>Thanh toán trả sau</t>
  </si>
  <si>
    <t>hoang.dole@lof.vn</t>
  </si>
  <si>
    <t>Kết nối với hệ thống topup để trả mã thẻ ZNS</t>
  </si>
  <si>
    <t>3/10/2024: sale yêu cầu mở tk có xuất log đễ hỗ trợ lấy mã thẻ trả khách
04/02/2025: Kích hoạt lại tk để khách chạy camp mới</t>
  </si>
  <si>
    <t>NamDT, TungLD</t>
  </si>
  <si>
    <t>giatran@daiko.com.vn</t>
  </si>
  <si>
    <t>CÔNG TY CỔ PHẦN THIÊN ÂN DC</t>
  </si>
  <si>
    <t>Partner_DAIKO</t>
  </si>
  <si>
    <t>Thienandc_GAPONE</t>
  </si>
  <si>
    <t>Thienandc@123</t>
  </si>
  <si>
    <t>549</t>
  </si>
  <si>
    <t>CÔNG TY CỔ PHẦN SÁNG KIẾN GIÁO DỤC TOÀN CẦU</t>
  </si>
  <si>
    <t>gdtoancau_gapone</t>
  </si>
  <si>
    <t>Gdtoancau@123456</t>
  </si>
  <si>
    <t xml:space="preserve">dungtt@gein.vn </t>
  </si>
  <si>
    <t>550</t>
  </si>
  <si>
    <t>Công ty Cổ phần Thời trang TOSON Việt Nam</t>
  </si>
  <si>
    <t>tosonvn_gapone</t>
  </si>
  <si>
    <t>Tosonvn@123456</t>
  </si>
  <si>
    <t>maccp194@gmail.com</t>
  </si>
  <si>
    <t>Thanh toán trả trước</t>
  </si>
  <si>
    <t>t.b.trucquan@thienantramhuong.com</t>
  </si>
  <si>
    <t>554</t>
  </si>
  <si>
    <t>mkt@khaiminhjsc.vn</t>
  </si>
  <si>
    <t>Gửi tự động CMSN và xác nhận đơn hàng mới qua ZNS</t>
  </si>
  <si>
    <t>551</t>
  </si>
  <si>
    <t>CÔNG TY CỔ PHẦN ĐẤT VÀNG GROUP</t>
  </si>
  <si>
    <t>datvanggroup_zns</t>
  </si>
  <si>
    <t>Datvanggroup@123456</t>
  </si>
  <si>
    <r>
      <rPr>
        <rFont val="Lexend"/>
        <color theme="1"/>
      </rPr>
      <t>Công ty Cổ phần truyền thông, Quảng Cáo Đa Phương Tiện (Smart Media JSC.)</t>
    </r>
  </si>
  <si>
    <r>
      <rPr>
        <rFont val="Lexend"/>
        <color theme="1"/>
      </rPr>
      <t>Smartmedia_gapone</t>
    </r>
  </si>
  <si>
    <r>
      <rPr>
        <rFont val="Lexend"/>
        <color theme="1"/>
      </rPr>
      <t>Smartmedia@123</t>
    </r>
  </si>
  <si>
    <t xml:space="preserve">Datvanggroup102@gmail.com </t>
  </si>
  <si>
    <t>552</t>
  </si>
  <si>
    <t>CÔNG TY TNHH MEIJI FOOD VIỆT NAM</t>
  </si>
  <si>
    <t>meijifoodvn_gapone</t>
  </si>
  <si>
    <t>Meijifoodvn@123456</t>
  </si>
  <si>
    <r>
      <rPr>
        <rFont val="Lexend"/>
        <u/>
      </rPr>
      <t>viettrungptit@gmail.com</t>
    </r>
  </si>
  <si>
    <t>cao.huy.hoang@meiji.net.vn</t>
  </si>
  <si>
    <t>Smart Media là đối tác hỗ trợ giới thiệu GAPONE cho VNPT các tỉnh =&gt; cần tài khoản demo để giới thiệu đến các trung tâm kinh doanh của VNPT</t>
  </si>
  <si>
    <t>100 tin ZALO test</t>
  </si>
  <si>
    <t>553</t>
  </si>
  <si>
    <t>CÔNG TY CỔ PHẦN DỊCH VỤ DOANH NGHIỆP SDS VIỆT NAM</t>
  </si>
  <si>
    <t>SDS_API</t>
  </si>
  <si>
    <t>Sdsapi@123</t>
  </si>
  <si>
    <t>CÔNG TY TNHH KINH DOANH VÀ DỊCH
VỤ PHÚC AN</t>
  </si>
  <si>
    <t>phucan_gapone</t>
  </si>
  <si>
    <t>Phucan@123456</t>
  </si>
  <si>
    <t>lanhtk@azmeta.vn</t>
  </si>
  <si>
    <t>nguyenthanglong1991@gmail.com</t>
  </si>
  <si>
    <t>555</t>
  </si>
  <si>
    <t>CÔNG TY TNHH TRƯƠNG NINH CAO DUYÊN</t>
  </si>
  <si>
    <t>caoduyen_zns</t>
  </si>
  <si>
    <t>Caoduyen@123456</t>
  </si>
  <si>
    <r>
      <rPr>
        <rFont val="Lexend"/>
        <color theme="1"/>
      </rPr>
      <t>TH_yogurt_2024</t>
    </r>
  </si>
  <si>
    <r>
      <rPr>
        <rFont val="Lexend"/>
        <color theme="1"/>
      </rPr>
      <t>Yogurt2024@123</t>
    </r>
  </si>
  <si>
    <r>
      <rPr>
        <rFont val="Google Sans"/>
        <color theme="1"/>
        <sz val="9.0"/>
      </rPr>
      <t>kingflix.vn</t>
    </r>
    <r>
      <rPr>
        <rFont val="Google Sans"/>
        <color theme="1"/>
        <sz val="9.0"/>
      </rPr>
      <t>@gmail.com</t>
    </r>
  </si>
  <si>
    <t>Sử dụng trong trường hợp phải gửi sms thủ công của campaign</t>
  </si>
  <si>
    <t>namdt</t>
  </si>
  <si>
    <t>THỜI TRANG WHYNOT</t>
  </si>
  <si>
    <t>whynot_MSG</t>
  </si>
  <si>
    <t>503</t>
  </si>
  <si>
    <t>Whynot@123</t>
  </si>
  <si>
    <t>Thời trang &amp; May mặc</t>
  </si>
  <si>
    <t xml:space="preserve">thao.nguyen.it.93@gmail.com
</t>
  </si>
  <si>
    <t xml:space="preserve">import data gửi tin đồng loạt	
</t>
  </si>
  <si>
    <t>TH_topkid_2024</t>
  </si>
  <si>
    <t xml:space="preserve"> 
Topkid2024@123
</t>
  </si>
  <si>
    <t>557</t>
  </si>
  <si>
    <r>
      <rPr>
        <rFont val="Google Sans"/>
        <color theme="1"/>
        <sz val="9.0"/>
      </rPr>
      <t xml:space="preserve">vinhnguyen@elines.vn
</t>
    </r>
    <r>
      <rPr>
        <rFont val="Google Sans"/>
        <color rgb="FFFF0000"/>
        <sz val="9.0"/>
      </rPr>
      <t xml:space="preserve"> ketoan@elines.vn</t>
    </r>
  </si>
  <si>
    <t>558</t>
  </si>
  <si>
    <t>Công ty TNHH Kỹ Thuật Số DR</t>
  </si>
  <si>
    <t>drdigital_gapone</t>
  </si>
  <si>
    <t>Drdigital@123456</t>
  </si>
  <si>
    <r>
      <rPr>
        <rFont val="Lexend"/>
        <color theme="1"/>
      </rPr>
      <t xml:space="preserve">CÔNG TY TNHH FINMART
</t>
    </r>
    <r>
      <rPr>
        <rFont val="Lexend"/>
        <i/>
        <color theme="1"/>
      </rPr>
      <t>(FINMART COMPANY LIMITED)</t>
    </r>
  </si>
  <si>
    <t>FINMART_API</t>
  </si>
  <si>
    <t>Finmart@123</t>
  </si>
  <si>
    <t>Mở mới từ 5/6/2026 -&gt; 05/12/2026</t>
  </si>
  <si>
    <t>quan.vh@drdigital.vn</t>
  </si>
  <si>
    <t>Dịch vụ khác</t>
  </si>
  <si>
    <t>cuonght@jeff-app.com</t>
  </si>
  <si>
    <t>556</t>
  </si>
  <si>
    <t>zahid@jeff-app.com ; anna@jeff-app.com</t>
  </si>
  <si>
    <t>hnkxndh_gapone</t>
  </si>
  <si>
    <t>Hnkxndh@123456</t>
  </si>
  <si>
    <t>ABENLA COMPANY LIMITED</t>
  </si>
  <si>
    <t>ABENLA_API</t>
  </si>
  <si>
    <t>Abenla@123</t>
  </si>
  <si>
    <t>nguyentrong.nhan@heineken.com</t>
  </si>
  <si>
    <t>hai.nv@abenla.com</t>
  </si>
  <si>
    <t>Khách hàng sử dụng dịch vụ OA Generic GOTP</t>
  </si>
  <si>
    <t>559</t>
  </si>
  <si>
    <t>BVSC_MSG</t>
  </si>
  <si>
    <t>Bvsc@123</t>
  </si>
  <si>
    <r>
      <rPr>
        <rFont val="Lexend"/>
        <color theme="1"/>
      </rPr>
      <t>HeNX@bvsc.com.vn</t>
    </r>
  </si>
  <si>
    <r>
      <rPr>
        <rFont val="Lexend"/>
        <color theme="1"/>
      </rPr>
      <t>HeNX@bvsc.com.vn</t>
    </r>
  </si>
  <si>
    <t>YenDH</t>
  </si>
  <si>
    <t>Bluefin</t>
  </si>
  <si>
    <t>ngochanh@qtsc.com.vn, thanhtruc@qtsc.com.vn, phuongthao@qtsc.com.vn</t>
  </si>
  <si>
    <t>xVfRTrny123</t>
  </si>
  <si>
    <t>560</t>
  </si>
  <si>
    <t xml:space="preserve"> bluefin6789@gmail.com
</t>
  </si>
  <si>
    <t>Ban đầu khách hàng muốn chỉ sử dụng dịch vụ SMS test nên tài khoản này Admin tạo cho khách để test dịch vụ SMS có quota test, cũng như thời hạn của tài khoản là thời hạn test.  Vì vậy nếu giờ khách hàng sử dụng chính thức thì CS xem sửa lại thời hạn cho tài khoản theo hợp đồng không nhé hoặc tạo tài khoản mới.</t>
  </si>
  <si>
    <t>Tổng Công ty Viễn thông Viettel</t>
  </si>
  <si>
    <t>ViettelTel_Premium</t>
  </si>
  <si>
    <t>ViettelTel@123</t>
  </si>
  <si>
    <t>561</t>
  </si>
  <si>
    <t>ductm6@viettel.com.vn</t>
  </si>
  <si>
    <t>CÔNG TY CỔ PHẦN GAMUDA LAND (HCMC)</t>
  </si>
  <si>
    <t>HCMC_GAPONE</t>
  </si>
  <si>
    <t>Hcmc@123</t>
  </si>
  <si>
    <t>564</t>
  </si>
  <si>
    <t>CÔNG TY TNHH CMFOOD</t>
  </si>
  <si>
    <t>cmfood_gapone</t>
  </si>
  <si>
    <t>Cmfood@123456</t>
  </si>
  <si>
    <t>minhdh.gamuda@gmail.com</t>
  </si>
  <si>
    <t>ketoan@cmfoods.vn</t>
  </si>
  <si>
    <t>563</t>
  </si>
  <si>
    <t>CônG Ty Cổ Phần Đầu Tư KENLI</t>
  </si>
  <si>
    <t>KENLI_GAPONE</t>
  </si>
  <si>
    <t>Kenli@123</t>
  </si>
  <si>
    <t>Thiết kế &amp; Thi công</t>
  </si>
  <si>
    <t>lamtd.kenli@gmail.com</t>
  </si>
  <si>
    <t>0562107691</t>
  </si>
  <si>
    <t>562</t>
  </si>
  <si>
    <t>CÔNG TY TNHH GIẢI PHÁP VIỄN THÔNG TEL4VN</t>
  </si>
  <si>
    <t>TEL4_MSG</t>
  </si>
  <si>
    <r>
      <rPr>
        <rFont val="Lexend"/>
        <u/>
      </rPr>
      <t>Tel4@123</t>
    </r>
  </si>
  <si>
    <t>565</t>
  </si>
  <si>
    <r>
      <rPr>
        <rFont val="Lexend"/>
        <u/>
      </rPr>
      <t>ketoan@tel4vn.com</t>
    </r>
  </si>
  <si>
    <r>
      <rPr>
        <rFont val="Lexend"/>
        <u/>
      </rPr>
      <t>ketoan@tel4vn.com</t>
    </r>
  </si>
  <si>
    <t>TRUNG TÂM KINH DOANH VNPT - NINH BÌNH</t>
  </si>
  <si>
    <t>VNPTNinhbinh_Gapone</t>
  </si>
  <si>
    <t>Vnptnb@123</t>
  </si>
  <si>
    <t>566</t>
  </si>
  <si>
    <t>CÔNG TY TNHH SẢN XUẤT DỊCH VỤ
QUẢNG CÁO MINH AN</t>
  </si>
  <si>
    <t>minhan_gapone</t>
  </si>
  <si>
    <t>Minhan@123456</t>
  </si>
  <si>
    <t>info@happyflower.vn</t>
  </si>
  <si>
    <t>hienvtt.nbh@vnpt.vn</t>
  </si>
  <si>
    <t>Hienvtt.nbh@vnpt.vn</t>
  </si>
  <si>
    <t>567</t>
  </si>
  <si>
    <t>Hi1_Gapone</t>
  </si>
  <si>
    <t>Hi1@12345</t>
  </si>
  <si>
    <t>568</t>
  </si>
  <si>
    <t>KH thay đổi pháp nhân =&gt; Ký hợp đồng mới ngày 31/3/2025 và gia hạn thêm đến 31/3/2026</t>
  </si>
  <si>
    <t>lamngocanh@hi1.vn</t>
  </si>
  <si>
    <t>Khách có nhu cầu kết nối API gửi tin qua Zalo và Fallback kênh SMS, tin OTP
Đăng ký Zalo OA gói nâng cao 1 năm ( trả sau vào tháng đối soát ).</t>
  </si>
  <si>
    <t>569</t>
  </si>
  <si>
    <t>CÔNG TY TNHH MỘT THÀNH VIÊN PLUXEE</t>
  </si>
  <si>
    <t>pluxee_api</t>
  </si>
  <si>
    <t>Pluxee@123456</t>
  </si>
  <si>
    <t>Trung tâm kinh doanh VNPT Thành phố Hồ Chí Minh - Chi nhánh Tổng công ty dịch vụ viễn thông (Điểm bán đại lý)</t>
  </si>
  <si>
    <t>VNPTHCM_GAPONE</t>
  </si>
  <si>
    <t>Vnpthcm@123</t>
  </si>
  <si>
    <t>Anh.Hoang@sodexo.com</t>
  </si>
  <si>
    <t>574</t>
  </si>
  <si>
    <t>Trả trước (test)</t>
  </si>
  <si>
    <t>nhuvth.hcm@vnpt.vn</t>
  </si>
  <si>
    <t>thiennh.hcm@vnpt.vn</t>
  </si>
  <si>
    <t>Khách hàng có nhu cầu quản lý OA Followers theo đại lý
Gửi tin UID, ZNS</t>
  </si>
  <si>
    <t>Quota test
tin ZNS 2000VND
tin UID 2000 VND</t>
  </si>
  <si>
    <t>Anhtuoto_MSG</t>
  </si>
  <si>
    <r>
      <rPr>
        <rFont val="Lexend"/>
        <u/>
      </rPr>
      <t>Anhtu@123</t>
    </r>
  </si>
  <si>
    <t>572</t>
  </si>
  <si>
    <t>KH có acc con cho Dev: DOJI_DEV / Dojidev@123</t>
  </si>
  <si>
    <r>
      <rPr>
        <rFont val="Google Sans"/>
        <color theme="1"/>
        <sz val="9.0"/>
      </rPr>
      <t>anh.dv@doji.vn,</t>
    </r>
    <r>
      <rPr>
        <rFont val="Google Sans"/>
        <color rgb="FFFF0000"/>
        <sz val="9.0"/>
      </rPr>
      <t xml:space="preserve"> huong.tt@doji.vn </t>
    </r>
  </si>
  <si>
    <r>
      <rPr>
        <rFont val="Lexend"/>
        <u/>
      </rPr>
      <t>Garaanhtu@gmail.com</t>
    </r>
  </si>
  <si>
    <t>570</t>
  </si>
  <si>
    <t>CÔNG TY CỔ PHẦN MIDOMAX VIỆT NAM 1</t>
  </si>
  <si>
    <t>midomaxmizuno_gapone</t>
  </si>
  <si>
    <t>Midomaxmizuno@123456</t>
  </si>
  <si>
    <r>
      <rPr>
        <rFont val="Lexend"/>
        <u/>
      </rPr>
      <t>Garaanhtu@gmail.com</t>
    </r>
  </si>
  <si>
    <t>CÔNG TY CP ĐẦU TƯ THƯƠNG MẠI Ô TÔ AUTO 888</t>
  </si>
  <si>
    <t>Auto88_MSG</t>
  </si>
  <si>
    <t>Auto88@123</t>
  </si>
  <si>
    <t>cuongtx@midomax.vn</t>
  </si>
  <si>
    <t>571</t>
  </si>
  <si>
    <t>HỘ KINH DOANH REINA</t>
  </si>
  <si>
    <t>reina_gapone</t>
  </si>
  <si>
    <t>Reina@123456</t>
  </si>
  <si>
    <t>nhungdangtuyet15184@gmail.com</t>
  </si>
  <si>
    <t>ctcp.auto888@gmail.com</t>
  </si>
  <si>
    <t>Tạo 1 tài khoản dùng thử G1 Starter để kỹ thuật bên khách thử kết nối API, mình cảm ơn team</t>
  </si>
  <si>
    <t>Oanhnk</t>
  </si>
  <si>
    <t>Quota test 10 tin ZNS</t>
  </si>
  <si>
    <t>573</t>
  </si>
  <si>
    <t>CÔNG TY CỔ PHẦN LỮ HÀNH SƠN HẢI</t>
  </si>
  <si>
    <t>sonhai_MSG</t>
  </si>
  <si>
    <t>Sonhai@123</t>
  </si>
  <si>
    <t>575</t>
  </si>
  <si>
    <t>CÔNG TY TNHH YAMAHA MOTOR VIỆT NAM</t>
  </si>
  <si>
    <t>yamahavn_msg</t>
  </si>
  <si>
    <t>Yamahavn@123456</t>
  </si>
  <si>
    <r>
      <rPr>
        <rFont val="Lexend"/>
        <u/>
      </rPr>
      <t>Sonhaitourist@gmail.com</t>
    </r>
  </si>
  <si>
    <t>hcm.gapt@gmail.com</t>
  </si>
  <si>
    <t>576</t>
  </si>
  <si>
    <t>fcvvn_api</t>
  </si>
  <si>
    <t>Fcvvn@123456</t>
  </si>
  <si>
    <r>
      <rPr>
        <rFont val="Lexend"/>
        <u/>
      </rPr>
      <t>Sonhaitourist@gmail.com</t>
    </r>
  </si>
  <si>
    <t>Hỗ trợ gia hạn để khách kịp sử dụng. Sale chưa cung cấp đầy đủ thông tin Hợp đồng/PO</t>
  </si>
  <si>
    <t>loan.tranthito@frieslandcampina.com</t>
  </si>
  <si>
    <t xml:space="preserve">loan.tranthito@frieslandcampina.com </t>
  </si>
  <si>
    <t>577</t>
  </si>
  <si>
    <t>CÔNG TY CỔ PHẦN BỆNH VIỆN SPINETECH</t>
  </si>
  <si>
    <t>SPINETECH_GAPONE</t>
  </si>
  <si>
    <t>Spinetech@123</t>
  </si>
  <si>
    <t>578</t>
  </si>
  <si>
    <t>DR DIGITAL CRM</t>
  </si>
  <si>
    <t>drdigitalcrm_gapone</t>
  </si>
  <si>
    <t>Drdigitalcrm@123456</t>
  </si>
  <si>
    <t>Phuongspinetech@gmail.com</t>
  </si>
  <si>
    <t>han.ttt@drdigital.vn</t>
  </si>
  <si>
    <t>TTKD VNPT Yên Bái - CÔNG TY CỔ PHẦN TRUYỀN THÔNG, QUẢNG CÁO ĐA PHƯƠNG TIỆN</t>
  </si>
  <si>
    <t>SMJ_VNPTYenBai_Starter</t>
  </si>
  <si>
    <r>
      <rPr>
        <rFont val="Lexend"/>
        <u/>
      </rPr>
      <t>VNPTyenbai@123</t>
    </r>
  </si>
  <si>
    <t>682</t>
  </si>
  <si>
    <t>579</t>
  </si>
  <si>
    <t>CHI NHÁNH CÔNG TY PEPSICO VIỆT NAM TẠI TP CẦN THƠ</t>
  </si>
  <si>
    <t>pepsicomekong_msg</t>
  </si>
  <si>
    <t>Pepsicomekong@123456</t>
  </si>
  <si>
    <t>Ngày gia hạn: 06/2/2025</t>
  </si>
  <si>
    <r>
      <rPr>
        <rFont val="Lexend"/>
        <u/>
      </rPr>
      <t>datdt.vnp@gmail.com</t>
    </r>
  </si>
  <si>
    <t>PhamNgoc.Tuyet@suntorypepsico.vn</t>
  </si>
  <si>
    <t>580</t>
  </si>
  <si>
    <t>CHI NHÁNH CÔNG TY TNHH NƯỚC GIÁI KHÁT SUNTORY PEPSICO VIỆT NAM TẠI ĐỒNG NAI</t>
  </si>
  <si>
    <t>pepsicohcmp_msg</t>
  </si>
  <si>
    <t>Pepsicohcmp@123456</t>
  </si>
  <si>
    <r>
      <rPr>
        <rFont val="Lexend"/>
        <u/>
      </rPr>
      <t>datdt.vnp@gmail.com</t>
    </r>
  </si>
  <si>
    <t>CÔNG TY CỔ PHẦN ĐẦU TƯ VÀ CÔNG NGHỆ GHD</t>
  </si>
  <si>
    <t>GHD_API</t>
  </si>
  <si>
    <t>Ghd@1234</t>
  </si>
  <si>
    <t>581</t>
  </si>
  <si>
    <t>CHI NHÁNH CÔNG TY TNHH NƯỚC GIÁI KHÁT SUNTORY PEPSICO VIỆT NAM TẠI TỈNH BẮC NINH HNC</t>
  </si>
  <si>
    <t>pepsicohnc_msg</t>
  </si>
  <si>
    <t>Pepsicohnc@123456</t>
  </si>
  <si>
    <t>anhlp@ghdc.vn</t>
  </si>
  <si>
    <t>Đại lý cung cấp dịch vụ ZNS cho khách hàng cuối</t>
  </si>
  <si>
    <t>VietinBank Chi nhánh Hoàng Mai</t>
  </si>
  <si>
    <t>Viettinbankhm_msg</t>
  </si>
  <si>
    <t>Viettinbankhm@123</t>
  </si>
  <si>
    <t>582</t>
  </si>
  <si>
    <t>CHI NHÁNH CÔNG TY TNHH NƯỚC GIÁI KHÁT SUNTORY PEPSICO VIỆT NAM TẠI TỈNH BẮC NINH HNP</t>
  </si>
  <si>
    <t>pepsicohnp_msg</t>
  </si>
  <si>
    <t>hungnhct136@gmail.com</t>
  </si>
  <si>
    <t>Pepsicohnp@123456</t>
  </si>
  <si>
    <t>CÔNG TY TNHH ĐẦU TƯ VẬN TẢI ĐẠI NGÂN</t>
  </si>
  <si>
    <t>daingan_MSG</t>
  </si>
  <si>
    <t>Daingan@123</t>
  </si>
  <si>
    <r>
      <rPr>
        <rFont val="Lexend"/>
        <u/>
      </rPr>
      <t>phuongquyenme@gmail.com</t>
    </r>
  </si>
  <si>
    <t>583</t>
  </si>
  <si>
    <t>CÔNG TY TNHH NƯỚC GIẢI KHÁT SUNTORY PEPSICO VIỆT NAM HCMC</t>
  </si>
  <si>
    <t>pepsicohcmc_msg</t>
  </si>
  <si>
    <t>Pepsicohcmc@123456</t>
  </si>
  <si>
    <r>
      <rPr>
        <rFont val="Lexend"/>
        <u/>
      </rPr>
      <t>phuongquyenme@gmail.com</t>
    </r>
  </si>
  <si>
    <t>Upload data bằng file excel và gửi đồng loạt</t>
  </si>
  <si>
    <t>Công ty công nghệ thông tin VNPT (VNPT IT)</t>
  </si>
  <si>
    <t>VNPTIT_Starter</t>
  </si>
  <si>
    <t>584</t>
  </si>
  <si>
    <t>TRIAL STARTER</t>
  </si>
  <si>
    <t>CÔNG TY TNHH NƯỚC GIẢI KHÁT SUNTORY PEPSICO VIỆT NAM APPS</t>
  </si>
  <si>
    <t>pepsicoapps_msg</t>
  </si>
  <si>
    <t>Pepsicoapps@123456</t>
  </si>
  <si>
    <t>TK Trial</t>
  </si>
  <si>
    <r>
      <rPr>
        <rFont val="Lexend"/>
        <u/>
      </rPr>
      <t>cuongnh@vnpt.vn</t>
    </r>
  </si>
  <si>
    <t>585</t>
  </si>
  <si>
    <t>Trial STARTER</t>
  </si>
  <si>
    <t>CÔNG TY CỔ PHẦN TRUYỀN THÔNG VÀ CÔNG NGHỆ BCGV</t>
  </si>
  <si>
    <t>bcgv_premium</t>
  </si>
  <si>
    <t>Bcgv@123</t>
  </si>
  <si>
    <t>586</t>
  </si>
  <si>
    <t>mkt@ubgroup.vn</t>
  </si>
  <si>
    <t xml:space="preserve">Công ty cổ phần y khoa Hoàn Mỹ </t>
  </si>
  <si>
    <t>Hoanmy_GAPONE</t>
  </si>
  <si>
    <t>Hoanmy@123</t>
  </si>
  <si>
    <t>TRIAL PREMIUM</t>
  </si>
  <si>
    <t>589</t>
  </si>
  <si>
    <t>587</t>
  </si>
  <si>
    <r>
      <rPr>
        <rFont val="Lexend"/>
        <u/>
      </rPr>
      <t>chau.nguyen3@hoanmy.com</t>
    </r>
  </si>
  <si>
    <t>Trial GAPONE HUBSPOT</t>
  </si>
  <si>
    <t>590</t>
  </si>
  <si>
    <t>CÔNG TY TNHH WHITECOAT VIỆT NAM</t>
  </si>
  <si>
    <t>WHITECOATVN</t>
  </si>
  <si>
    <t>Coat@123</t>
  </si>
  <si>
    <t>V.diendtm@vinmec.com, V.thaoltt3@vinmec.com, v.myntd9@vinmec.com</t>
  </si>
  <si>
    <t>info@whitecoat.vn</t>
  </si>
  <si>
    <t>588</t>
  </si>
  <si>
    <t>CÔNG TY TNHH TMDV VẬN TẢI XD HOÀNG YẾN</t>
  </si>
  <si>
    <r>
      <rPr>
        <rFont val="Lexend"/>
        <u/>
      </rPr>
      <t>Hoangyen_Starter</t>
    </r>
  </si>
  <si>
    <r>
      <rPr>
        <rFont val="Lexend"/>
        <u/>
      </rPr>
      <t>Hoangyen@123</t>
    </r>
  </si>
  <si>
    <t>591</t>
  </si>
  <si>
    <r>
      <rPr>
        <rFont val="Lexend"/>
        <u/>
      </rPr>
      <t>hoangyenbuslines@gmail.com</t>
    </r>
  </si>
  <si>
    <r>
      <rPr>
        <rFont val="Lexend"/>
        <u/>
      </rPr>
      <t>hoangyenbuslines@gmail.com</t>
    </r>
  </si>
  <si>
    <t>Công ty Cổ phần Công nghệ số Nemo</t>
  </si>
  <si>
    <t>593</t>
  </si>
  <si>
    <t>Nemo_gapone</t>
  </si>
  <si>
    <t>Nemo@123</t>
  </si>
  <si>
    <t>CHI NHÁNH CÔNG TY TNHH GIẢI KHÁT SUNTORY PEPSICO VIỆT NAM TẠI MIỀN TRUNG</t>
  </si>
  <si>
    <t>pepsicodnu_msg</t>
  </si>
  <si>
    <t>Pepsicodnu@123456</t>
  </si>
  <si>
    <t>thucvv@nemoditech.vn</t>
  </si>
  <si>
    <t>Chưa ký hợp đồng</t>
  </si>
  <si>
    <t>592</t>
  </si>
  <si>
    <t>Muamua_API</t>
  </si>
  <si>
    <t>LAB Việt Đức</t>
  </si>
  <si>
    <t>Muamua@123</t>
  </si>
  <si>
    <t>lapsvietduc_gapone</t>
  </si>
  <si>
    <t>Lapsvietduc@123456</t>
  </si>
  <si>
    <t>ha.dk2210@gmail.com</t>
  </si>
  <si>
    <t>594</t>
  </si>
  <si>
    <t>HỘ KINH DOANH BÉ YÊU SHOP</t>
  </si>
  <si>
    <t>beyeushop_gapone</t>
  </si>
  <si>
    <r>
      <rPr>
        <rFont val="Lexend"/>
        <u/>
      </rPr>
      <t>phongglh06@gmail.com</t>
    </r>
  </si>
  <si>
    <t>Beyeushop@123456</t>
  </si>
  <si>
    <r>
      <rPr>
        <rFont val="Lexend"/>
        <u/>
      </rPr>
      <t>phongglh06@gmail.com</t>
    </r>
  </si>
  <si>
    <t>admin@beyeushop.vn</t>
  </si>
  <si>
    <t>chưa ký hợp đồng</t>
  </si>
  <si>
    <t>CÔNG TY TNHH MỘT THÀNH VIÊN KIDSONLINE</t>
  </si>
  <si>
    <t>Kidsonline_API</t>
  </si>
  <si>
    <t>595</t>
  </si>
  <si>
    <r>
      <rPr>
        <rFont val="Lexend"/>
        <u/>
      </rPr>
      <t>Kidsonline@123</t>
    </r>
  </si>
  <si>
    <t>CÔNG TY TNHH SẢN XUẤT THƯƠNG MẠI DỊCH VỤ THIÊN PHÚC NGUYÊN</t>
  </si>
  <si>
    <t>phucnguyen_gapone</t>
  </si>
  <si>
    <t>Phucnguyen@123456</t>
  </si>
  <si>
    <t>thienphucnguyen66666@gmail.com</t>
  </si>
  <si>
    <t>596</t>
  </si>
  <si>
    <t>ng.fuong.1802@gmail.com</t>
  </si>
  <si>
    <t>hienTT</t>
  </si>
  <si>
    <t>CÔNG TY TNHH PHÒNG KHÁM ĐA KHOA VIỆT ĐỨC 365 PHỔ YÊN</t>
  </si>
  <si>
    <t>Vietduc365PY_Starter</t>
  </si>
  <si>
    <t>Vietduc@123</t>
  </si>
  <si>
    <t>Free gói Gapone Starter, ZNS 200k, API với HIS gửi tin tự động+ Import excel</t>
  </si>
  <si>
    <t>598</t>
  </si>
  <si>
    <t>phongkhamdakhoa365@gmail.com</t>
  </si>
  <si>
    <t>CÔNG TY CỔ PHẦN CHARM GROUP</t>
  </si>
  <si>
    <t>charmgroup_msg</t>
  </si>
  <si>
    <t>Charmgroup@123456</t>
  </si>
  <si>
    <t xml:space="preserve">TRƯỜNG ĐẠI HỌC HÙNG VƯƠNG THÀNH PHỐ HỒ CHÍ MINH
</t>
  </si>
  <si>
    <t>BIZFLY_DHV_SIMILAR</t>
  </si>
  <si>
    <t>Dhv123456</t>
  </si>
  <si>
    <t>tinh.nl@charmmedia.vn</t>
  </si>
  <si>
    <t>ngantranthithanh@vccorp.vn</t>
  </si>
  <si>
    <t>600</t>
  </si>
  <si>
    <t>Khách hàng của đối tác Bizfly (VCCORP)</t>
  </si>
  <si>
    <t>Công ty Cổ phần Good Day Hospitality</t>
  </si>
  <si>
    <t>goodday_gapone</t>
  </si>
  <si>
    <t>Goodday@123456</t>
  </si>
  <si>
    <t>KH ký hợp đồng từ ngày 30/6/2025</t>
  </si>
  <si>
    <t>yen.nguyen@vn.mcd.com</t>
  </si>
  <si>
    <t xml:space="preserve">Vy.pham2@vietunion.com.vn
</t>
  </si>
  <si>
    <t>CARTIER</t>
  </si>
  <si>
    <t>597</t>
  </si>
  <si>
    <t>Cartier_API</t>
  </si>
  <si>
    <t>Công ty TNHH Infocus Mekong Research</t>
  </si>
  <si>
    <t>infocus_msg</t>
  </si>
  <si>
    <r>
      <rPr>
        <rFont val="Lexend"/>
        <u/>
      </rPr>
      <t>Cartier@123</t>
    </r>
  </si>
  <si>
    <t>Infocus@123456</t>
  </si>
  <si>
    <t>son.dang@infocusmekong.com</t>
  </si>
  <si>
    <t>599</t>
  </si>
  <si>
    <t>minhlong_gapone</t>
  </si>
  <si>
    <t>Minhlong@123456</t>
  </si>
  <si>
    <r>
      <rPr>
        <rFont val="Lexend"/>
        <u/>
      </rPr>
      <t>dennis-zr.chong@cartier.com</t>
    </r>
  </si>
  <si>
    <r>
      <rPr>
        <rFont val="Lexend"/>
        <u/>
      </rPr>
      <t>dennis-zr.chong@cartier.com</t>
    </r>
  </si>
  <si>
    <t xml:space="preserve">khanhlinh@minhlong.com </t>
  </si>
  <si>
    <t>MINH LONG I</t>
  </si>
  <si>
    <t>601</t>
  </si>
  <si>
    <t>CÔNG TY CỔ PHẦN THƯƠNG MẠI QSR VIỆT NAM</t>
  </si>
  <si>
    <t>qsrvn_msg</t>
  </si>
  <si>
    <t>Qsrvn@123456</t>
  </si>
  <si>
    <t>CÔNG TY TNHH THƯƠNG MẠI SẢN XUẤT VÀ DỊCH VỤ HOÀNG PHƯƠNG</t>
  </si>
  <si>
    <r>
      <rPr>
        <rFont val="Lexend"/>
        <u/>
      </rPr>
      <t>Hoangphuong_Starter</t>
    </r>
  </si>
  <si>
    <r>
      <rPr>
        <rFont val="Lexend"/>
        <u/>
      </rPr>
      <t>Hoangphuong@123</t>
    </r>
  </si>
  <si>
    <t>loan.t.to@qsrvietnam.com</t>
  </si>
  <si>
    <t>602</t>
  </si>
  <si>
    <t>qdc_msg</t>
  </si>
  <si>
    <t>Qdc@123456</t>
  </si>
  <si>
    <t>PO ZNS 1tr5</t>
  </si>
  <si>
    <r>
      <rPr>
        <rFont val="Lexend"/>
        <u/>
      </rPr>
      <t>Hoangphuonglimousine@gmail.com</t>
    </r>
  </si>
  <si>
    <t>admin@qdc.com.vn</t>
  </si>
  <si>
    <t>603</t>
  </si>
  <si>
    <t>avcovn_msg</t>
  </si>
  <si>
    <t>Avcovn@123456</t>
  </si>
  <si>
    <r>
      <rPr>
        <rFont val="Lexend"/>
        <u/>
      </rPr>
      <t>Hoangphuonglimousine@gmail.com</t>
    </r>
  </si>
  <si>
    <t>sales@avcochem.com.vn</t>
  </si>
  <si>
    <t>VINNET_Starter</t>
  </si>
  <si>
    <t>Vinnet@123</t>
  </si>
  <si>
    <t>604</t>
  </si>
  <si>
    <t>sulq@vinnet.vn</t>
  </si>
  <si>
    <t>KH đại lý</t>
  </si>
  <si>
    <t>CÔNG TY TNHH ĐIỆN LẠNH HÒA PHÁT</t>
  </si>
  <si>
    <t>HoaPhat_Starter</t>
  </si>
  <si>
    <t>Hoaphat@123</t>
  </si>
  <si>
    <t>ducmanh@hoaphat.com.vn</t>
  </si>
  <si>
    <t>605</t>
  </si>
  <si>
    <t>CÔNG TY TNHH SINH KẾ SỨC KHỎE XANH</t>
  </si>
  <si>
    <t>suckhoexanh_premium</t>
  </si>
  <si>
    <t>Suckhoexanh@123</t>
  </si>
  <si>
    <t>checksau@gmail.com</t>
  </si>
  <si>
    <t>606</t>
  </si>
  <si>
    <r>
      <rPr>
        <rFont val="Lexend"/>
        <u/>
      </rPr>
      <t>lehongson0693@gmail.com</t>
    </r>
  </si>
  <si>
    <t>CÔNG TY TNHH THƯƠNG MẠI VÀ DỊCH VỤ XUÂN CHUNG</t>
  </si>
  <si>
    <t>xuanchung_gapone</t>
  </si>
  <si>
    <t>Xuanchung@123456</t>
  </si>
  <si>
    <t>xuanchungltdcompany@gmail.com</t>
  </si>
  <si>
    <t>CÔNG TY TNHH THIẾT BỊ KỸ THUẬT TIN HỌC PHÚC ANH</t>
  </si>
  <si>
    <t>phucanh_starter</t>
  </si>
  <si>
    <t>609</t>
  </si>
  <si>
    <t>Phucanh@123</t>
  </si>
  <si>
    <t>CÔNG TY TNHH QUẢNG CÁO BẰNG PHÁT</t>
  </si>
  <si>
    <t>bangphat_msg</t>
  </si>
  <si>
    <t>Bangphat@123456</t>
  </si>
  <si>
    <t>hddt.phucanh2023@gmail.com</t>
  </si>
  <si>
    <r>
      <rPr>
        <rFont val="Lexend"/>
        <u/>
      </rPr>
      <t>hddt.phucanh2023@gmail.com</t>
    </r>
  </si>
  <si>
    <t>nhung.nguyenthihong@bpro.com.vn</t>
  </si>
  <si>
    <t>607</t>
  </si>
  <si>
    <t>CÔNG TY TNHH THƯƠNG MẠI DỊCH VỤ THÁI ĐÔNG HƯNG</t>
  </si>
  <si>
    <t>thaidonghung_gapone</t>
  </si>
  <si>
    <t>Thaidonghung@123456</t>
  </si>
  <si>
    <t>onemount_starter</t>
  </si>
  <si>
    <t>Onemount@123</t>
  </si>
  <si>
    <t>qtuanmkt@gmail.com</t>
  </si>
  <si>
    <t>611</t>
  </si>
  <si>
    <r>
      <rPr>
        <rFont val="Lexend"/>
        <u/>
      </rPr>
      <t>quang.nguyen12@onemount.com</t>
    </r>
  </si>
  <si>
    <t>Đăng ký temp trên GapOne và gửi tin qua API</t>
  </si>
  <si>
    <t>Miniapp Retail (sale HN)</t>
  </si>
  <si>
    <t>Miniapp_Retail</t>
  </si>
  <si>
    <t>612</t>
  </si>
  <si>
    <t>tahientb@gmail.com</t>
  </si>
  <si>
    <t>Tài khoản nội bộ sale demo kết nối với miniapp</t>
  </si>
  <si>
    <t>Tài toản demo của Sale yêu cầu</t>
  </si>
  <si>
    <t>Sale HN</t>
  </si>
  <si>
    <t>Anh Hải</t>
  </si>
  <si>
    <t>AnhHai_PREMIUM</t>
  </si>
  <si>
    <t>Anhhai@123</t>
  </si>
  <si>
    <t>610</t>
  </si>
  <si>
    <t>lehaibec@gmail.com</t>
  </si>
  <si>
    <t>mbc_uat</t>
  </si>
  <si>
    <t>Mobicast@456</t>
  </si>
  <si>
    <t>613</t>
  </si>
  <si>
    <t>CÔNG TY TNHH MILIGO</t>
  </si>
  <si>
    <t>miligo1_gapone</t>
  </si>
  <si>
    <t>Miligo1@123456</t>
  </si>
  <si>
    <t>Tk UAT</t>
  </si>
  <si>
    <r>
      <rPr>
        <rFont val="Lexend"/>
        <u/>
      </rPr>
      <t>hann2@crownx.masangroup.com</t>
    </r>
  </si>
  <si>
    <t xml:space="preserve">in@miligo.vn </t>
  </si>
  <si>
    <t>616</t>
  </si>
  <si>
    <r>
      <rPr>
        <rFont val="Lexend"/>
        <u/>
      </rPr>
      <t>hann2@crownx.masangroup.com</t>
    </r>
  </si>
  <si>
    <t>Toyota Phú Tài Đức Hà Tĩnh</t>
  </si>
  <si>
    <t>TOYOTAPTDUC_STARTER</t>
  </si>
  <si>
    <t>Toyotaptduc@123</t>
  </si>
  <si>
    <t>615</t>
  </si>
  <si>
    <t>hauphulhi@gmail.com</t>
  </si>
  <si>
    <t>Miniapp Helthcare (sale HN)</t>
  </si>
  <si>
    <t>Miniapp_Healthcare</t>
  </si>
  <si>
    <t>617</t>
  </si>
  <si>
    <t>CÔNG TY TNHH NƯỚC GIẢI KHÁT SUNTORY PEPSICO VIỆT NAM MTTRATION</t>
  </si>
  <si>
    <t>pepsimttration_msg</t>
  </si>
  <si>
    <t>Pepsimttration@123456</t>
  </si>
  <si>
    <t>thanhnm.ftu@gmail.com</t>
  </si>
  <si>
    <t>HaLeHoang.Ngan@suntorypepsico.vn</t>
  </si>
  <si>
    <t>VIVAS_PREMIUM</t>
  </si>
  <si>
    <t>608</t>
  </si>
  <si>
    <t>TK trial</t>
  </si>
  <si>
    <t>CÔNG TY CP XÂY DỰNG THƯƠNG MẠI SÔNG LAM</t>
  </si>
  <si>
    <t>SONGLAM_STARTER</t>
  </si>
  <si>
    <t>Songlam@123</t>
  </si>
  <si>
    <t>618</t>
  </si>
  <si>
    <t>tauclcsonglam@gmail.com</t>
  </si>
  <si>
    <t>Tích hợp API gửi tin với 3 template chính là: xác nhận đặt hàng, nhắc lịch khởi hành chuyến đi, cảm ơn sau khi kết thúc chuyến tàu</t>
  </si>
  <si>
    <t>CÔNG TY CỔ PHẦN THƯƠNG MẠI VÀ DỊCH VỤ VIET DELI MỚI</t>
  </si>
  <si>
    <t>vietdeli_premium</t>
  </si>
  <si>
    <t>Vietdeli@123</t>
  </si>
  <si>
    <t>619</t>
  </si>
  <si>
    <t>Công ty TNHH Nestlé Việt Nam (Milo)</t>
  </si>
  <si>
    <t>nestlemilo_msg</t>
  </si>
  <si>
    <t>Nestlemilo@123456</t>
  </si>
  <si>
    <r>
      <rPr>
        <rFont val="Lexend"/>
        <u/>
      </rPr>
      <t>linh.phan@vietdeligroup.com</t>
    </r>
  </si>
  <si>
    <t>CS mở tk gửi tin</t>
  </si>
  <si>
    <t>vnsieulu@nestle.com</t>
  </si>
  <si>
    <t>621</t>
  </si>
  <si>
    <r>
      <rPr>
        <rFont val="Lexend"/>
        <u/>
      </rPr>
      <t>linh.phan@vietdeligroup.com</t>
    </r>
  </si>
  <si>
    <t>CÔNG TY TNHH THƯƠNG MẠI VÀ XUẤT NHẬP KHẨU HẢI SƠN</t>
  </si>
  <si>
    <t>Phân Khúc KH</t>
  </si>
  <si>
    <t>haison_gapone</t>
  </si>
  <si>
    <t>Haison@123456</t>
  </si>
  <si>
    <t>Công ty Cổ Phần Popplife</t>
  </si>
  <si>
    <t>popplife_premium</t>
  </si>
  <si>
    <t>Link API</t>
  </si>
  <si>
    <t>Popplife@123</t>
  </si>
  <si>
    <t>Haisonimextra@gmail.com</t>
  </si>
  <si>
    <t>Bảo hiểm</t>
  </si>
  <si>
    <t>622</t>
  </si>
  <si>
    <t>https://docs.gapone.vn/vi/api-docs#section/Lich-su-thay-djoi</t>
  </si>
  <si>
    <r>
      <rPr>
        <rFont val="Lexend"/>
        <u/>
      </rPr>
      <t>linhnt15@rox.vn</t>
    </r>
  </si>
  <si>
    <r>
      <rPr>
        <rFont val="Lexend"/>
        <u/>
      </rPr>
      <t>linhnt15@rox.vn</t>
    </r>
  </si>
  <si>
    <t>620</t>
  </si>
  <si>
    <t>Jemmia Diamond</t>
  </si>
  <si>
    <t>Jemmia_STARTER</t>
  </si>
  <si>
    <t>Jemmia@123</t>
  </si>
  <si>
    <t>623</t>
  </si>
  <si>
    <t>nestlevn_nin</t>
  </si>
  <si>
    <t>Nestle@@12345</t>
  </si>
  <si>
    <t>SMS QC</t>
  </si>
  <si>
    <t>jemmia.tech@gmail.com</t>
  </si>
  <si>
    <t>Bizfly Eshop</t>
  </si>
  <si>
    <t>Hientt</t>
  </si>
  <si>
    <t>DuongNhuAnh.Minh@vn.nestle.com</t>
  </si>
  <si>
    <t>Tập đoàn công nghệ Vietsens</t>
  </si>
  <si>
    <t>Vietsens_Starter</t>
  </si>
  <si>
    <t>Vietsens@123</t>
  </si>
  <si>
    <t>Zalo UID</t>
  </si>
  <si>
    <t>624</t>
  </si>
  <si>
    <t>CÔNG TY CỔ PHẦN SỮA VIỆT NAM (Yomilk)</t>
  </si>
  <si>
    <t>Hành chính công</t>
  </si>
  <si>
    <t>Viber</t>
  </si>
  <si>
    <t>yomilk_gapone</t>
  </si>
  <si>
    <t>Yomilk@123456</t>
  </si>
  <si>
    <t>TrâmNNB</t>
  </si>
  <si>
    <t>Tài khoản trial</t>
  </si>
  <si>
    <t xml:space="preserve">cuongnv1@vietsens.vn </t>
  </si>
  <si>
    <t>CÔNG TY TNHH ABENLA</t>
  </si>
  <si>
    <t>phphuong1@vinamilk.com.vn</t>
  </si>
  <si>
    <t>ABENLA_STARTER</t>
  </si>
  <si>
    <t>Whatsapp</t>
  </si>
  <si>
    <t>Lazada</t>
  </si>
  <si>
    <t>625</t>
  </si>
  <si>
    <t>hainv@abenla.com</t>
  </si>
  <si>
    <t>Phía đối tác là đại lý bán dịch vụ SMS và Zalo ZNS của GAPIT cho các khách hàng mà họ tiếp xúc. Trước mắt, họ sẽ triển khai kênh Zalo, còn kênh SMS sẽ triển khai sau nếu khách hàng có nhu cầu</t>
  </si>
  <si>
    <t>Misa eShop</t>
  </si>
  <si>
    <t>RCS</t>
  </si>
  <si>
    <t>Partner_Digiconnex</t>
  </si>
  <si>
    <t>CÔNG TY CỔ PHẦN Y KHOA HOÀN MỸ</t>
  </si>
  <si>
    <t>hoanmy_starter</t>
  </si>
  <si>
    <t>Nhanh.vn</t>
  </si>
  <si>
    <t>Telegram</t>
  </si>
  <si>
    <t>626</t>
  </si>
  <si>
    <t>Shopee</t>
  </si>
  <si>
    <r>
      <rPr>
        <rFont val="Lexend"/>
        <u/>
      </rPr>
      <t>hieu.tran3@hoanmy.com</t>
    </r>
  </si>
  <si>
    <t>627</t>
  </si>
  <si>
    <t>Tiktok Shop</t>
  </si>
  <si>
    <t>CÔNG TY CỔ PHẦN GIẢI PHÁP CÔNG NGHỆ THÔNG TIN TÂN CẢNG</t>
  </si>
  <si>
    <t>cntttancang_msg</t>
  </si>
  <si>
    <t>Cntttancang@123456</t>
  </si>
  <si>
    <t>TĐYK Hoàn Mỹ</t>
  </si>
  <si>
    <r>
      <rPr>
        <rFont val="Lexend"/>
        <u/>
      </rPr>
      <t>hieu.tran3@hoanmy.com</t>
    </r>
  </si>
  <si>
    <t>hoangnb@saigonnewport.com.vn</t>
  </si>
  <si>
    <t>Mobicast</t>
  </si>
  <si>
    <t>628</t>
  </si>
  <si>
    <t>FedEx</t>
  </si>
  <si>
    <t>Frieslandcampina</t>
  </si>
  <si>
    <t>Fedex_premium</t>
  </si>
  <si>
    <t>Fedex@123</t>
  </si>
  <si>
    <t>Nội bộ</t>
  </si>
  <si>
    <t>Getfly</t>
  </si>
  <si>
    <t>CK Hà Nội (HNX)</t>
  </si>
  <si>
    <t>349</t>
  </si>
  <si>
    <t>BDIV</t>
  </si>
  <si>
    <t>phuoc.truong@fedex.com</t>
  </si>
  <si>
    <t>Công Ty Cổ Phần Tập Đoàn GOLDEN GATE (Antsomi)</t>
  </si>
  <si>
    <t>ggg_antsomi_test</t>
  </si>
  <si>
    <t>Antsomi@123</t>
  </si>
  <si>
    <t>629</t>
  </si>
  <si>
    <t>uyenntt@antsomi.com</t>
  </si>
  <si>
    <t>ngày 25/07/24 chuyển đổi gói GAPONE HUBSPOT --&gt; API SMS, kênh sd từ đa kênh về SMS CSKH
chuyển về đầu mối Admin Anhnm hỗ trợ, đã đổi gói và thời hạn tk</t>
  </si>
  <si>
    <t>do.chi@mitsui.com, P.Trinh@mvc-co.com,MinhTrangProduct@mvc-co.com</t>
  </si>
  <si>
    <t>631</t>
  </si>
  <si>
    <t>vongtrondo_gapone</t>
  </si>
  <si>
    <t>Vongtrondo@123456</t>
  </si>
  <si>
    <t>CÔNG TY TNHH CHIẾC BÁNH NHỎ</t>
  </si>
  <si>
    <r>
      <rPr>
        <rFont val="Lexend"/>
        <u/>
      </rPr>
      <t>Chiecbanhnho_Starter</t>
    </r>
  </si>
  <si>
    <r>
      <rPr>
        <rFont val="Lexend"/>
        <u/>
      </rPr>
      <t>Chiecbanhnho@123</t>
    </r>
  </si>
  <si>
    <t>test.gapit@circlek.com.vn</t>
  </si>
  <si>
    <t>630</t>
  </si>
  <si>
    <r>
      <rPr>
        <rFont val="Lexend"/>
        <u/>
      </rPr>
      <t>thuhongvnpt@gmail.com</t>
    </r>
  </si>
  <si>
    <t>KH gia hạn đến 1/7/2026, chuyển từ gói Enterprise sang Starter
KH dùng GAPONE Hubspot</t>
  </si>
  <si>
    <t>nhung.tran@elmich.vnminhphuong.nguyen@elmich.vnchien.pham@elmich.vn</t>
  </si>
  <si>
    <t>633</t>
  </si>
  <si>
    <t>Công ty TNHH Tập Đoàn Tomonachi</t>
  </si>
  <si>
    <t>tomonachi_msg</t>
  </si>
  <si>
    <r>
      <rPr>
        <rFont val="Lexend"/>
        <u/>
      </rPr>
      <t>thuhongvnpt@gmail.com</t>
    </r>
  </si>
  <si>
    <t>Tomonachi@123456</t>
  </si>
  <si>
    <r>
      <rPr>
        <rFont val="Lexend"/>
        <u/>
      </rPr>
      <t>EVE_Starter</t>
    </r>
  </si>
  <si>
    <r>
      <rPr>
        <rFont val="Lexend"/>
        <u/>
      </rPr>
      <t>Nhanluceve@123</t>
    </r>
  </si>
  <si>
    <t>phamvietmkt@gmail.com</t>
  </si>
  <si>
    <t>632</t>
  </si>
  <si>
    <t>CÔNG TY CỔ PHẦN ĐẦU TƯ THƯƠNG MẠI PHƯỢNG HOÀNG</t>
  </si>
  <si>
    <t>phuonghoang_msg</t>
  </si>
  <si>
    <t>Phuonghoang@123456</t>
  </si>
  <si>
    <t>adidasvietnam.phoenix2018@gmail.com</t>
  </si>
  <si>
    <t>info@evehr.vn</t>
  </si>
  <si>
    <t>634</t>
  </si>
  <si>
    <t>HaNTT1</t>
  </si>
  <si>
    <r>
      <rPr>
        <rFont val="Lexend"/>
        <u/>
      </rPr>
      <t>TMhatinh_Starter</t>
    </r>
  </si>
  <si>
    <r>
      <rPr>
        <rFont val="Lexend"/>
        <u/>
      </rPr>
      <t>TMhatinh@123</t>
    </r>
  </si>
  <si>
    <t>635</t>
  </si>
  <si>
    <t>Công ty TNHH Nestle Việt Nam (Maggi - Survey PeBao: 4561008260)</t>
  </si>
  <si>
    <t>maggivn_msg</t>
  </si>
  <si>
    <t>Maggivn@123456</t>
  </si>
  <si>
    <t>NguyenHoangMinh.Thu@vn.nestle.com</t>
  </si>
  <si>
    <t>636</t>
  </si>
  <si>
    <r>
      <rPr>
        <rFont val="Lexend"/>
        <u/>
      </rPr>
      <t>nguyenthihuong020791@gmail.com</t>
    </r>
  </si>
  <si>
    <t>637</t>
  </si>
  <si>
    <r>
      <rPr>
        <rFont val="Lexend"/>
        <u/>
      </rPr>
      <t>nguyenthihuong020791@gmail.com</t>
    </r>
  </si>
  <si>
    <t>CÔNG TY CỔ PHẦN ĐẦU TƯ THƯƠNG MẠI SƠN THÀNH</t>
  </si>
  <si>
    <t>sonthanh_msg</t>
  </si>
  <si>
    <t>Sonthanh@123456</t>
  </si>
  <si>
    <t>EVOTECH</t>
  </si>
  <si>
    <t>cskh.361sport@gmail.com</t>
  </si>
  <si>
    <t>evotech_gapone</t>
  </si>
  <si>
    <t>Evotech@123</t>
  </si>
  <si>
    <r>
      <rPr>
        <rFont val="Google Sans"/>
        <color theme="1"/>
        <sz val="9.0"/>
      </rPr>
      <t xml:space="preserve">cskh.361sport@gmail.com 
</t>
    </r>
    <r>
      <rPr>
        <rFont val="Google Sans"/>
        <color rgb="FFFF0000"/>
        <sz val="9.0"/>
      </rPr>
      <t>phoenix-crm@googlegroups.com
crmteam.mkt@gmail.com</t>
    </r>
  </si>
  <si>
    <t>639</t>
  </si>
  <si>
    <t>contact@evotech.vn</t>
  </si>
  <si>
    <t>Sonlx</t>
  </si>
  <si>
    <t>TRUNG TÂM AN TOÀN THÔNG TIN VNPT – CHI NHÁNH CÔNG TY CÔNG NGHỆ THÔNG TIN VNPT</t>
  </si>
  <si>
    <t>VNPTCI</t>
  </si>
  <si>
    <t>Vnptci@123</t>
  </si>
  <si>
    <t>640</t>
  </si>
  <si>
    <t>hoan@vnpt.vn</t>
  </si>
  <si>
    <t>Gia hạn 6 tháng đến 05/09/2025
khách đổi mật khẩu</t>
  </si>
  <si>
    <t>Công Ty Dịch Vụ MobiFone Khu Vực 5</t>
  </si>
  <si>
    <t>638</t>
  </si>
  <si>
    <t>pepsieb_msg</t>
  </si>
  <si>
    <t>Pepsieb@123456</t>
  </si>
  <si>
    <t>NguyenMinh.Yen@suntorypepsico.vn</t>
  </si>
  <si>
    <t>ACTIV_starter</t>
  </si>
  <si>
    <t>Activ@123</t>
  </si>
  <si>
    <t>641</t>
  </si>
  <si>
    <t>kms_msg</t>
  </si>
  <si>
    <t>Kms@123456</t>
  </si>
  <si>
    <t>partnership@aiactiv.io</t>
  </si>
  <si>
    <t>phuongtbpham@kms-technology.com</t>
  </si>
  <si>
    <t>CÔNG TY CỔ PHẦN ĐẦU TƯ Y TẾ WHC VIỆT NAM</t>
  </si>
  <si>
    <t>bizfly_whc_standard</t>
  </si>
  <si>
    <t>642</t>
  </si>
  <si>
    <r>
      <rPr>
        <rFont val="Lexend"/>
        <u/>
      </rPr>
      <t>maiphamnhu@vccorp.vn</t>
    </r>
  </si>
  <si>
    <t>Khách hàng dừng hợp tác với BIzfly  - là agency gửi qua GAPIT - nên dừng dịch vụ.</t>
  </si>
  <si>
    <t>402</t>
  </si>
  <si>
    <t>Thanhloc_GAPONE</t>
  </si>
  <si>
    <r>
      <rPr>
        <rFont val="Lexend"/>
        <u/>
      </rPr>
      <t>Thanhloc@1234</t>
    </r>
  </si>
  <si>
    <t>Timestamp</t>
  </si>
  <si>
    <t>User</t>
  </si>
  <si>
    <t>Hành động</t>
  </si>
  <si>
    <t>OrgID</t>
  </si>
  <si>
    <t>Row Index</t>
  </si>
  <si>
    <t>Details</t>
  </si>
  <si>
    <t>tùngld</t>
  </si>
  <si>
    <t>Update</t>
  </si>
  <si>
    <t>{"tenCongTy":"Công ty Cổ phần Công nghệ BLUEFIN","goiCuoc":"Starter","status":"Active","ngayHetHan":"2026-10-21","sale":"NhungPTH","cs":"TùngLD"}</t>
  </si>
  <si>
    <t>643</t>
  </si>
  <si>
    <t>CMC SAI GON TECHNOLOGY AND SOLUTION COMPANY LIMITED</t>
  </si>
  <si>
    <t>cmcsg_msg</t>
  </si>
  <si>
    <t>sieuthidienmaynoithatthanhloc@gmail.com</t>
  </si>
  <si>
    <t>Cmcsg@123456</t>
  </si>
  <si>
    <t>{"status":"Locked","loaiGoiCuoc":"Premium","tuDongGiaHan":"Không","customerSupport":""}</t>
  </si>
  <si>
    <t>None 6</t>
  </si>
  <si>
    <t>{"tenTaiKhoan":"None1","loaiGoiCuoc":"Starter","ngayHetHan":"10/12/2026","namHetHan":"2026","ngaySuDung":"730","namSuDung":"2","tuDongGiaHan":"Có","giaHan":"1","emailTaoTaiKhoan":"None@email.com","emailNhanThongBao":"quanha@irismedia.vn; cskh@irismedia.vn"}</t>
  </si>
  <si>
    <t>{"status":"Locked","loaiGoiCuoc":"Starter","namSuDung":"1","tuDongGiaHan":"Không","maPhanLoai":""}</t>
  </si>
  <si>
    <t>CÔNG TY TNHH THƯƠNG MẠI LỐP XE SAILUN VIỆT NAM</t>
  </si>
  <si>
    <t>SAILUN_GAPONE</t>
  </si>
  <si>
    <t>{"loaiGoiCuoc":"Starter","ngayHetHan":"06/11/2026","namHetHan":"2026","ngaySuDung":"1066","namSuDung":"3","giaHan":"2"}</t>
  </si>
  <si>
    <r>
      <rPr>
        <rFont val="Lexend"/>
        <u/>
      </rPr>
      <t>Sailun@1234</t>
    </r>
  </si>
  <si>
    <t>{"status":"Locked","loaiGoiCuoc":"Enterprise","namSuDung":"2","tuDongGiaHan":"Không"}</t>
  </si>
  <si>
    <t>btmchau@cmc.com.vn</t>
  </si>
  <si>
    <t>{"ghiChuHinhThucThanhToan":"Trả sau","tuDongGiaHan":"Không","salePhuTrach":"NhungPTH"}</t>
  </si>
  <si>
    <t>{"khuVuc":"","ghiChuHinhThucThanhToan":"Trả sau","tuDongGiaHan":"Không","salePhuTrach":"NhungPTH"}</t>
  </si>
  <si>
    <t>System Bot</t>
  </si>
  <si>
    <t>Auto Lock</t>
  </si>
  <si>
    <t>{"msg":"Auto lock: Hết hạn ngày 04/06/2025"}</t>
  </si>
  <si>
    <t>644</t>
  </si>
  <si>
    <t>{"msg":"Auto lock: Hết hạn ngày 12/06/2025"}</t>
  </si>
  <si>
    <t>tbsvietnam_msg</t>
  </si>
  <si>
    <t>Tbsvietnam@123456</t>
  </si>
  <si>
    <t>{"kenhGuiTin":"Zalo ZNS","tuDongGiaHan":"Không","customerSupport":""}</t>
  </si>
  <si>
    <t>{"msg":"Auto lock: Hết hạn ngày 23/12/2025"}</t>
  </si>
  <si>
    <t>{"tuDongGiaHan":"Không"}</t>
  </si>
  <si>
    <t>{"status":"Active","ngayHetHan":"01/12/2026","namHetHan":"2026","ngaySuDung":"730","namSuDung":"2","giaHan":"1","customerSupport":"Không phân công"}</t>
  </si>
  <si>
    <r>
      <rPr>
        <rFont val="Lexend"/>
        <u/>
      </rPr>
      <t>ruanyingguang@sailuntire.com</t>
    </r>
  </si>
  <si>
    <t>hongcamnhung.le@thebodyshop.com.vn</t>
  </si>
  <si>
    <t>{"msg":"Auto lock: Hết hạn ngày 24/12/2025"}</t>
  </si>
  <si>
    <t>anhthy.nguyen@thebodyshop.com.vn</t>
  </si>
  <si>
    <t>tuphn</t>
  </si>
  <si>
    <t>{"namSuDung":"1","tuDongGiaHan":"Không"}</t>
  </si>
  <si>
    <t>{"status":"Active","ghiChuHinhThucThanhToan":"Trả trước","hinhThucSuDung":"Portal","duLieuInput":"File Excel","kenhGuiTin":"Email","ngayHetHan":"13/05/2026","namHetHan":"2026","ngaySuDung":"737","namSuDung":"3","tuDongGiaHan":"Không","giaHan":"3","emailTaoTaiKhoan":"minhhh@jobtest.com.vn"}</t>
  </si>
  <si>
    <t>645</t>
  </si>
  <si>
    <t>{"loaiGoiCuoc":"Starter","ngayHetHan":"31/12/2026","namHetHan":"2026","ngaySuDung":"1617","namSuDung":"5","giaHan":"4"}</t>
  </si>
  <si>
    <t>{"msg":"Auto lock: Hết hạn ngày 26/12/2025"}</t>
  </si>
  <si>
    <t>tranghtt230892@gmail.com</t>
  </si>
  <si>
    <t>{"loaiGoiCuoc":"Enterprise","ngayHetHan":"31/12/2026","namHetHan":"2026","ngaySuDung":"1326","namSuDung":"4","moTaNhuCau":"Sử dụng Zalo mini  app tra cứu hành trình kết hợp kịch bản ZNS journey thông báo hành trình đơn hàng tới end-user.","giaHan":"2","customerSuccess":"TúPHN"}</t>
  </si>
  <si>
    <t>CÔNG TY TNHH MENAS</t>
  </si>
  <si>
    <t>menas_starter</t>
  </si>
  <si>
    <t>Menas@123</t>
  </si>
  <si>
    <t>{"kenhGuiTin":"SMS CSKH, Zalo ZNS","namSuDung":"1","tuDongGiaHan":"Không"}</t>
  </si>
  <si>
    <t>{"loaiGoiCuoc":"Standard","hinhThucSuDung":"API &amp; Portal","duLieuInput":"File Excel, API","kenhGuiTin":"SMS QC, Zalo ZNS","ngayHetHan":"30/06/2026","ngaySuDung":"763","namSuDung":"3","tuDongGiaHan":"Không"}</t>
  </si>
  <si>
    <t>{"kenhGuiTin":"SMS CSKH, Zalo ZNS","ngayHetHan":"31/12/2026","namHetHan":"2026","ngaySuDung":"1458","namSuDung":"4","giaHan":"3"}</t>
  </si>
  <si>
    <t>{"msg":"Auto lock: Hết hạn ngày 31/12/2025"}</t>
  </si>
  <si>
    <t>marketinghead@menasvietnam.com</t>
  </si>
  <si>
    <t>STARMED_GAPONE</t>
  </si>
  <si>
    <r>
      <rPr>
        <rFont val="Lexend"/>
        <u/>
      </rPr>
      <t>Starmed@1234</t>
    </r>
  </si>
  <si>
    <t>647</t>
  </si>
  <si>
    <t>651</t>
  </si>
  <si>
    <t>Ngocph</t>
  </si>
  <si>
    <t xml:space="preserve">CÔNG TY TNHH TÔN HÒA PHÁТ
</t>
  </si>
  <si>
    <t>tonhoaphat_starter</t>
  </si>
  <si>
    <t>Tonhoaphat@123</t>
  </si>
  <si>
    <t>{"msg":"Auto lock: Hết hạn ngày 01/01/2026"}</t>
  </si>
  <si>
    <t>{"msg":"Auto lock: Hết hạn ngày 02/01/2026"}</t>
  </si>
  <si>
    <t>646</t>
  </si>
  <si>
    <t>{"khuVuc":"Sài Gòn","kenhGuiTin":"Zalo ZNS, Email","ngayHetHan":"31/12/2026","namHetHan":"2026","ngaySuDung":"1651","namSuDung":"5","tuDongGiaHan":"Có","giaHan":"3"}</t>
  </si>
  <si>
    <t>Công Ty TNHH Một Thành Viên Nước Sạch Hà Nội</t>
  </si>
  <si>
    <t>NuocsachHN_GapOne</t>
  </si>
  <si>
    <t>Nuocsach@123</t>
  </si>
  <si>
    <t>{"status":"Active"}</t>
  </si>
  <si>
    <t>{"kenhGuiTin":"Whatsapp, Email","ngayHetHan":"31/03/2026","namHetHan":"2026","ngaySuDung":"315"}</t>
  </si>
  <si>
    <t>tranminhloc@hoaphat.com.vn</t>
  </si>
  <si>
    <t>{"ngayHetHan":"06/01/2027","namHetHan":"2027","ngaySuDung":"1227","namSuDung":"4","tuDongGiaHan":"Không","giaHan":"1"}</t>
  </si>
  <si>
    <t>{"loaiGoiCuoc":"Starter","ngayHetHan":"31/01/2026","namHetHan":"2026","ngaySuDung":"837","namSuDung":"3","giaHan":"2","noteThongTinGiaHan":"Hỗ trợ gia hạn 1 tháng trong thời hạn hoàn thành thủ tục gia hạn 2026","maPhanLoai":""}</t>
  </si>
  <si>
    <t>EBS_Starter</t>
  </si>
  <si>
    <t>Ebs@12345</t>
  </si>
  <si>
    <t>tùng</t>
  </si>
  <si>
    <t>{"status":"Active","ngayHetHan":"30/11/2026","namHetHan":"2026","ngaySuDung":"1092","namSuDung":"3","giaHan":"2"}</t>
  </si>
  <si>
    <t>kieuanhdavid@gmail.com</t>
  </si>
  <si>
    <t>{"tuDongGiaHan":"Có","noteThongTinGiaHan":"Gia hạn tự động hàng năm đến khi thanh lý hợp đồng"}</t>
  </si>
  <si>
    <t>Tuyetnta</t>
  </si>
  <si>
    <t>{"duLieuInput":"API, ZCA gửi ZNS","namSuDung":"1","giaHan":"1","customerSupport":"AnhNM","salePhuTrach":"NgọcPH"}</t>
  </si>
  <si>
    <t>{"duLieuInput":"API, ZCA gửi ZNS","namSuDung":"1","tuDongGiaHan":"Không"}</t>
  </si>
  <si>
    <t>648</t>
  </si>
  <si>
    <t>quynh.thi.tran@vn.centralretail.com</t>
  </si>
  <si>
    <t>{"giaHan":"0"}</t>
  </si>
  <si>
    <t>Công ty Cổ Phần Sữa Việt Nam</t>
  </si>
  <si>
    <t>vnm_gapone</t>
  </si>
  <si>
    <t>letung.1184@gmail.com</t>
  </si>
  <si>
    <t>Search</t>
  </si>
  <si>
    <t>Vnm@123456</t>
  </si>
  <si>
    <t>All</t>
  </si>
  <si>
    <t>{"status":"","region":[],"inputData":[],"fromDate":"","cs":[],"channel":[],"expiring":"15","toDate":"","support":[],"segment":[]}</t>
  </si>
  <si>
    <t>Công ty TNHH Chứng khoán Ngân hàng TMCP Ngoại thương Việt Nam (VCBS) (Digiconnex)</t>
  </si>
  <si>
    <t>{"status":"Active","cpid":"TK test 1","duLieuInput":"File Excel, ZCA gửi ZNS","ngayHetHan":"06/11/2026","namHetHan":"2026","ngaySuDung":"758","namSuDung":"3","moTaNhuCau":"Khách hàng có nhu cầu quản lý OA Followers theo đại lý\nGửi tin UID, ZNS\nKH chuyển sang chỉ kết nối ví ZCA","tuDongGiaHan":"Không","giaHan":"1","customerSuccess":"TúPHN","customerSupport":""}</t>
  </si>
  <si>
    <t>digiconnex_vcbs_starter</t>
  </si>
  <si>
    <t>Vcbs@123</t>
  </si>
  <si>
    <t>View Log</t>
  </si>
  <si>
    <t>"User accessed Log History"</t>
  </si>
  <si>
    <t>{"query":"","filters":{"expiring":"15","toDate":"","support":[],"inputData":[],"segment":[],"region":[],"cs":[],"status":"","fromDate":"","channel":[]}}</t>
  </si>
  <si>
    <t>ViewHistory</t>
  </si>
  <si>
    <t>{"filters":{"toDate":"","fromDate":"","orgId":"","user":""}}</t>
  </si>
  <si>
    <t>gapit@gmail.com</t>
  </si>
  <si>
    <t>{"query":"","filters":{"expiring":"15","toDate":"","fromDate":"","cs":["AnhNM"],"status":"","segment":[],"channel":[],"inputData":[],"support":[],"region":[]}}</t>
  </si>
  <si>
    <t>{"filters":{"fromDate":"","orgId":"","user":"","toDate":""}}</t>
  </si>
  <si>
    <t>nghia.nghiem@digiconnex.vn</t>
  </si>
  <si>
    <t>{"loaiGoiCuoc":"Standard"}</t>
  </si>
  <si>
    <t>649</t>
  </si>
  <si>
    <t>{"status":"Active","ngayHetHan":"30/06/2026","namHetHan":"2026","ngaySuDung":"392","namSuDung":"2","giaHan":"1","noteThongTinGiaHan":"KH gia hạn mỗi 6 tháng","maPhanLoai":""}</t>
  </si>
  <si>
    <t>CÔNG TY TNHH QUỐC TẾ ĐẠI CÁT Á</t>
  </si>
  <si>
    <t>daicata_gapone</t>
  </si>
  <si>
    <t>{"query":"","filters":{"cs":[],"channel":[],"expiring":"","segment":[],"inputData":[],"status":[],"support":[],"region":[],"fromDate":"","toDate":""}}</t>
  </si>
  <si>
    <t>Daicata@123456</t>
  </si>
  <si>
    <t xml:space="preserve">Shineway International Group Limited	</t>
  </si>
  <si>
    <t>TITANICOM365_Starter</t>
  </si>
  <si>
    <t>Titanicom365@123</t>
  </si>
  <si>
    <t>{"query":"","filters":{"cs":[],"toDate":"","inputData":[],"status":[],"expiring":"15","segment":[],"channel":[],"region":[],"fromDate":"","support":[]}}</t>
  </si>
  <si>
    <t>{"query":"","filters":{"fromDate":"","channel":[],"toDate":"","expiring":"15","segment":[],"status":"","support":[],"inputData":[],"region":[],"cs":[]}}</t>
  </si>
  <si>
    <t>{"query":"","filters":{"toDate":"","support":[],"cs":[],"inputData":[],"expiring":"15","region":[],"channel":[],"status":"","fromDate":"","segment":[]}}</t>
  </si>
  <si>
    <t>{"filters":{"orgId":"541","toDate":"","user":"","fromDate":""}}</t>
  </si>
  <si>
    <t>{"query":"","filters":{"region":[],"support":[],"channel":[],"cs":[],"expiring":"15","toDate":"","segment":[],"inputData":[],"status":"","fromDate":""}}</t>
  </si>
  <si>
    <t>{"ghiChuHinhThucThanhToan":"Trả sau"}</t>
  </si>
  <si>
    <t>daisi.boulais@titanicom365.com</t>
  </si>
  <si>
    <t>{"status":"Active","loaiGoiCuoc":"Starter","ngayHetHan":"28/02/2026","namHetHan":"2026","ngaySuDung":"582","namSuDung":"2","tuDongGiaHan":"Không","giaHan":"1"}</t>
  </si>
  <si>
    <t>online1@daicata.com</t>
  </si>
  <si>
    <t>{"status":"Active","ngayHetHan":"31/03/2026","namHetHan":"2026","ngaySuDung":"242","namSuDung":"1","tuDongGiaHan":"Không","customerSupport":""}</t>
  </si>
  <si>
    <t>Anhnm</t>
  </si>
  <si>
    <t>CÔNG TY CỔ PHẦN TRUYỀN THÔNG SỐ 1</t>
  </si>
  <si>
    <t>{"loaiGoiCuoc":"Starter","ghiChuHinhThucThanhToan":"Trả sau","kenhGuiTin":"SMS CSKH, Zalo ZNS","ngayBatDau":"01/01/2026","namBatDau":"2026","ngayHetHan":"31/12/2026","ngaySuDung":"364","moTaNhuCau":"","emailNhanThongBao":"thangdt@intrust.com.vn","customerSupport":"DungVT","phanKhucKH":"Gold"}</t>
  </si>
  <si>
    <t>mediaone_starter</t>
  </si>
  <si>
    <t>Mediaone@123</t>
  </si>
  <si>
    <t>650</t>
  </si>
  <si>
    <t>{"cpid":"600745"}</t>
  </si>
  <si>
    <t>{"tuDongGiaHan":"Có"}</t>
  </si>
  <si>
    <t>{"phanKhucKH":"Silver"}</t>
  </si>
  <si>
    <t>{"status":"Active","ghiChuHinhThucThanhToan":"Trả trước","kenhGuiTin":"SMS CSKH, Zalo ZNS","ngayHetHan":"10/01/2027","namHetHan":"2027","ngaySuDung":"485","namSuDung":"2"}</t>
  </si>
  <si>
    <t>linh.nguyen@media-one.vn</t>
  </si>
  <si>
    <t>{"status":{"old":"Locked","new":"Active"},"loaiGoiCuoc":{"old":"API","new":"Starter"},"kenhGuiTin":{"old":"Zalo ZNS, SMS CSKH","new":"SMS CSKH, Zalo ZNS"},"namSuDung":{"old":"3","new":"4"},"giaHan":{"old":"2","new":"3"}}</t>
  </si>
  <si>
    <t>{"status":{"old":"Locked","new":"Active"},"cpid":{"old":"600194","new":"600194_DHV"},"loaiGoiCuoc":{"old":"SIMILAR","new":"Starter"},"ngayHetHan":{"old":"31/12/2025","new":"31/03/2026"},"namHetHan":{"old":"2025","new":"2026"},"ngaySuDung":{"old":"320","new":"410"},"namSuDung":{"old":"(Trống)","new":"2"},"maPhanLoai":{"old":"Partner_Bizfly","new":"(Trống)"}}</t>
  </si>
  <si>
    <t>Linhntt1</t>
  </si>
  <si>
    <t>Myanmar DC Company</t>
  </si>
  <si>
    <t>{"status":{"old":"Locked","new":"Active"},"ngayHetHan":{"old":"31/12/2025","new":"31/03/2026"},"namHetHan":{"old":"2025","new":"2026"},"ngaySuDung":{"old":"79","new":"169"},"namSuDung":{"old":"(Trống)","new":"1"},"tuDongGiaHan":{"old":"(Trống)","new":"Không"},"giaHan":{"old":"(Trống)","new":"1"},"maPhanLoai":{"old":"Campaign","new":"(Trống)"}}</t>
  </si>
  <si>
    <t>DCCompany_Premium</t>
  </si>
  <si>
    <t>DCCompany@123</t>
  </si>
  <si>
    <t>phuongdtb@gapit.com.vn</t>
  </si>
  <si>
    <t>Create</t>
  </si>
  <si>
    <t>Thêm mới khách hàng</t>
  </si>
  <si>
    <t>{"msg":"Auto lock: Hết hạn ngày 15/01/2026"}</t>
  </si>
  <si>
    <r>
      <rPr>
        <rFont val="Google Sans"/>
        <color theme="1"/>
        <sz val="9.0"/>
      </rPr>
      <t xml:space="preserve">info@thegioiinnhanh.com
</t>
    </r>
    <r>
      <rPr>
        <rFont val="Google Sans"/>
        <color rgb="FFFF0000"/>
        <sz val="9.0"/>
      </rPr>
      <t>intruongthai@gmail.com</t>
    </r>
  </si>
  <si>
    <t>{"emailNhanThongBao":{"old":"v.hoangnv40@vinpearl.com; v.huyendk8@vinpearl.com; v.anhvv32@vinpearl.com; v.haint89@vinpearl.com","new":"v.hoangnv40@vinpearl.com; v.huyendk8@vinpearl.com; v.anhvv32@vinpearl.com; v.haint89@vinpearl.com; V.tpht-o2o@vinpearl.com"}}</t>
  </si>
  <si>
    <t>stevenpham@interdcs.com</t>
  </si>
  <si>
    <t>{"phanKhucKH":{"old":"Sale chưa cung cấp","new":"Diamond"}}</t>
  </si>
  <si>
    <t>{"msg":"Auto lock: Hết hạn ngày 18/01/2026"}</t>
  </si>
  <si>
    <t>652</t>
  </si>
  <si>
    <t>Hội Doanh nhân Đà Nẵng</t>
  </si>
  <si>
    <t>dndn_premium</t>
  </si>
  <si>
    <t>Dndn@123</t>
  </si>
  <si>
    <t>{"giaHan":{"old":"(Trống)","new":"0"},"emailNhanThongBao":{"old":"thangdt@intrust.com.vn","new":"thangdt@intrust.com.vn; sanglt@intrust.com.vn; hungnn@intrust.com.vn"}}</t>
  </si>
  <si>
    <t>{"status":{"old":"Locked","new":"Active"},"tenCongTy":{"old":"Công Ty Cổ Phần Công Nghệ Và Truyền Thông DAGORAS (Đại lý)","new":"CÔNG TY CỔ PHẦN CÔNG NGHỆ VÀ ĐẦU TƯ SONAT"},"kenhGuiTin":{"old":"Tất cả","new":"Zalo ZNS"},"ngayHetHan":{"old":"11/09/2025","new":"28/01/2026"},"namHetHan":{"old":"2025","new":"2026"},"ngaySuDung":{"old":"7","new":"146"},"namSuDung":{"old":"(Trống)","new":"1"},"tuDongGiaHan":{"old":"(Trống)","new":"Không"},"giaHan":{"old":"(Trống)","new":"0"}}</t>
  </si>
  <si>
    <t>{"ghiChuHinhThucThanhToan":{"old":"Trả trước","new":"Trial"},"giaHan":{"old":"(Trống)","new":"0"}}</t>
  </si>
  <si>
    <t xml:space="preserve">Leducduyen@gmail.com </t>
  </si>
  <si>
    <t>myhoa2413@gmail.com</t>
  </si>
  <si>
    <t>Leducduyen@gmail.com</t>
  </si>
  <si>
    <t>{"kenhGuiTin":{"old":"Tất cả","new":"Zalo ZNS"},"namSuDung":{"old":"(Trống)","new":"1"},"tuDongGiaHan":{"old":"(Trống)","new":"Không"},"giaHan":{"old":"(Trống)","new":"0"},"customerSupport":{"old":"(Chưa recheck)","new":"(Trống)"},"maPhanLoai":{"old":"Campaign","new":"(Trống)"}}</t>
  </si>
  <si>
    <t>{"namSuDung":{"old":"(Trống)","new":"1"},"tuDongGiaHan":{"old":"(Trống)","new":"Không"},"giaHan":{"old":"(Trống)","new":"0"},"customerSupport":{"old":"(Chưa recheck)","new":"(Trống)"}}</t>
  </si>
  <si>
    <t>CÔNG TY TNHH PILATES SÀI GÒN ACADEMY</t>
  </si>
  <si>
    <t>PilatesSG_Starter</t>
  </si>
  <si>
    <t>PilatesSG@123</t>
  </si>
  <si>
    <t>{"kenhGuiTin":{"old":"Tất cả","new":"SMS CSKH, SMS QC, Zalo ZNS"},"namSuDung":{"old":"2","new":"3"},"tuDongGiaHan":{"old":"(Trống)","new":"Không"}}</t>
  </si>
  <si>
    <t>{"cpid":{"old":"(Trống)","new":"0"},"tenCongTy":{"old":"maiquocviets1@gmail.com","new":"Công ty Cổ phần Viseratek"},"giaHan":{"old":"(Trống)","new":"0"}}</t>
  </si>
  <si>
    <t>{"cpid":{"old":"(Trống)","new":"0"},"loaiGoiCuoc":{"old":"Starter","new":"Standard"},"giaHan":{"old":"(Trống)","new":"0"}}</t>
  </si>
  <si>
    <t>{"cpid":{"old":"TK test","new":"TK test_Sales đang update CPID"},"ghiChuHinhThucThanhToan":{"old":"Trial","new":"Trả sau"},"namSuDung":{"old":"1","new":"2"},"tuDongGiaHan":{"old":"(Trống)","new":"Không"},"giaHan":{"old":"(Trống)","new":"0"},"salePhuTrach":{"old":"NhungPTH","new":"CẩmPN"}}</t>
  </si>
  <si>
    <t>{"msg":"Auto lock: Hết hạn ngày 22/01/2026"}</t>
  </si>
  <si>
    <t>654</t>
  </si>
  <si>
    <t>TRUNG TÂM KINH DOANH VNPT- ĐỒNG NAI</t>
  </si>
  <si>
    <t>vnptdongnai_gapone</t>
  </si>
  <si>
    <t>Vnpt@123456</t>
  </si>
  <si>
    <t>Info.pilatessaigon@gmail.com</t>
  </si>
  <si>
    <t>{"emailTaoTaiKhoan":{"old":"khiem.luu@decathlon.com","new":"thanh.nguyenthixuan@decathlon.com"},"emailNhanThongBao":{"old":"thanh.nguyenthixuan@decathlon.comtrang.nguyenthuyhuyen@decathlon.comphuonganh.nguyen@decathlon.comnguyen.hoangphuc.partner@decathlon.com","new":"thanh.nguyenthixuan@decathlon.comtrang.nguyenthuyhuyen@decathlon.comphuonganh.nguyen@decathlon.comnguyen.hoangphuc.partner@decathlon.com, nhi.phamthiyen@decathlon.com"},"maPhanLoai":{"old":"Campaign","new":"(Trống)"}}</t>
  </si>
  <si>
    <t>{"emailTaoTaiKhoan":{"old":"HuynhThiMong.Truc@heineken.com","new":"NguyenKieuHai.Anh@heineken.com"},"emailNhanThongBao":{"old":"NguyenKieuHai.Anh@heineken.com","new":"Lam Nguyen Thi Hong &lt;NguyenThiHong.Lam@heineken.com&gt;,Minh Nguyen The Hoang &lt;NguyenTheHoang.Minh@heineken.com&gt;,NguyenKieuHai.Anh@heineken.com"},"maPhanLoai":{"old":"Campaign","new":"(Trống)"}}</t>
  </si>
  <si>
    <t>{"ngayHetHan":{"old":"31/12/2026","new":"15/12/2026"},"ngaySuDung":{"old":"1129","new":"1113"}}</t>
  </si>
  <si>
    <t>dbv_starter</t>
  </si>
  <si>
    <t>huypdv.dni@vnpt.vn</t>
  </si>
  <si>
    <t>Dbv@1234</t>
  </si>
  <si>
    <t>{"loaiGoiCuoc":{"old":"SIMILAR","new":"Standard"},"namSuDung":{"old":"1","new":"2"},"tuDongGiaHan":{"old":"(Trống)","new":"Không"},"giaHan":{"old":"(Trống)","new":"0"},"noteThongTinGiaHan":{"old":"(Trống)","new":"Không gia hạn do VNPT YB sát nhập về Lào Cai"}}</t>
  </si>
  <si>
    <t>{"ngayHetHan":{"old":"31/01/2026","new":"31/12/2026"},"ngaySuDung":{"old":"837","new":"1171"},"namSuDung":{"old":"3","new":"4"},"noteThongTinGiaHan":{"old":"Hỗ trợ gia hạn 1 tháng trong thời hạn hoàn thành thủ tục gia hạn 2026","new":"(Trống)"}}</t>
  </si>
  <si>
    <t>655</t>
  </si>
  <si>
    <t>vinamilkhp_gapone</t>
  </si>
  <si>
    <t>Vinamilkhp@123456</t>
  </si>
  <si>
    <t>{"orgId":{"old":"6","new":"932"},"cpid":{"old":"932","new":"FPT"},"giaHan":{"old":"(Trống)","new":"0"}}</t>
  </si>
  <si>
    <t>hanvh@dbvi.com.vn</t>
  </si>
  <si>
    <t>{"msg":"Auto lock: Hết hạn ngày 28/01/2026"}</t>
  </si>
  <si>
    <t>{"status":{"old":"Active","new":"Locked"},"loaiGoiCuoc":{"old":"SIMILAR","new":"Starter"},"namSuDung":{"old":"2","new":"3"},"tuDongGiaHan":{"old":"(Trống)","new":"Không"},"maPhanLoai":{"old":"Frieslandcampina","new":"(Trống)"}}</t>
  </si>
  <si>
    <t>CÔNG TY CỔ PHẦN DƯỢC PHẨM EUROVIT</t>
  </si>
  <si>
    <t>{"khuVuc":{"old":"Sài Gòn","new":"(Trống)"},"status":{"old":"Active","new":"Locked"},"tenCongTy":{"old":"CÔNG TY TNHH FRIESLANDCAMPINA \nVIỆT NAM (Team 2)","new":"CÔNG TY TNHH FRIESLANDCAMPINA VIỆT NAM (Team 2)"},"loaiGoiCuoc":{"old":"SIMILAR","new":"Starter"},"namSuDung":{"old":"1","new":"2"},"tuDongGiaHan":{"old":"(Trống)","new":"Không"},"giaHan":{"old":"(Trống)","new":"1"},"salePhuTrach":{"old":"SG","new":"ThanhNT"},"maPhanLoai":{"old":"Frieslandcampina","new":"(Trống)"}}</t>
  </si>
  <si>
    <t>eurovit_premium</t>
  </si>
  <si>
    <t>Eurovit@123</t>
  </si>
  <si>
    <t>ntnha@vinamilk.com.vn</t>
  </si>
  <si>
    <t>{"status":{"old":"Locked","new":"Active"},"tuDongGiaHan":{"old":"Không","new":"Có"}}</t>
  </si>
  <si>
    <t>{"msg":"Auto lock: Hết hạn ngày 29/01/2026"}</t>
  </si>
  <si>
    <t>{"msg":"Auto lock: Hết hạn ngày 30/01/2026"}</t>
  </si>
  <si>
    <t>ntt.linh64@gmail.com</t>
  </si>
  <si>
    <t>656</t>
  </si>
  <si>
    <t>{"status":{"old":"Locked","new":"Active"},"ngayHetHan":{"old":"18/01/2026","new":"02/02/2026"},"ngaySuDung":{"old":"731","new":"746"},"namSuDung":{"old":"2","new":"3"}}</t>
  </si>
  <si>
    <t>nguyenvandat@eurovit.vn</t>
  </si>
  <si>
    <t>{"msg":"Auto lock: Hết hạn ngày 31/01/2026"}</t>
  </si>
  <si>
    <t>{"msg":"Auto lock: Hết hạn ngày 01/02/2026"}</t>
  </si>
  <si>
    <t>HỘ KINH DOANH TIẾN SỸ AN</t>
  </si>
  <si>
    <t>Tiensyan_Gapone</t>
  </si>
  <si>
    <t>Tiensyan@123</t>
  </si>
  <si>
    <t>Haravan, Import</t>
  </si>
  <si>
    <t>{"msg":"Auto lock: Hết hạn ngày 02/02/2026"}</t>
  </si>
  <si>
    <t>{"status":{"old":"Locked","new":"Active"},"ngayHetHan":{"old":"02/02/2026","new":"13/02/2026"},"ngaySuDung":{"old":"746","new":"757"}}</t>
  </si>
  <si>
    <t>Gia hạn từ 10/3/25-10/9/25</t>
  </si>
  <si>
    <t>whci2023@gmail.com</t>
  </si>
  <si>
    <t>Whci2023@gmail.com</t>
  </si>
  <si>
    <t>Nguồn dữ liệu từ haravan: setup luồng gửi tin xác nhận đơn hàng tự động, tin chăm sóc khách hàng.sẵn file excel khách hàng đã từng mua hàng, import gửi tin đồng loạt CSKH. Nhóm khách hàng đã follow kênh, setup gửi tin truyền thông quảng cáo khuyến mại</t>
  </si>
  <si>
    <t>{"msg":"Auto lock: Hết hạn ngày 04/02/2026"}</t>
  </si>
  <si>
    <t>Công Ty Cổ Phần Công Nghệ Và Truyền Thông DAGORAS (Đại lý)</t>
  </si>
  <si>
    <t>674</t>
  </si>
  <si>
    <t>dagoras_dl_gapone</t>
  </si>
  <si>
    <t>{"msg":"Auto lock: Hết hạn ngày 05/02/2026"}</t>
  </si>
  <si>
    <t>{"status":{"old":"Active","new":"Locked"},"giaHan":{"old":"(Trống)","new":"0"},"noteThongTinGiaHan":{"old":"(Trống)","new":"khách hàng ko chịu chuyển cọc HĐ --&gt; Sale báo cancel"}}</t>
  </si>
  <si>
    <t>phuongdtm@dagoras.io</t>
  </si>
  <si>
    <t>{"ngayHetHan":{"old":"12/03/2026","new":"11/03/2026"},"ngaySuDung":{"old":"29","new":"28"},"giaHan":{"old":"(Trống)","new":"0"},"customerSupport":{"old":"(Trống)","new":"Không phân công"}}</t>
  </si>
  <si>
    <t>{"status":{"old":"Locked","new":"Active"},"ghiChuHinhThucThanhToan":{"old":"Trial","new":"Trả sau"},"ngayHetHan":{"old":"28/01/2026","new":"01/01/2027"},"namHetHan":{"old":"2026","new":"2027"},"ngaySuDung":{"old":"146","new":"484"},"namSuDung":{"old":"1","new":"2"},"giaHan":{"old":"(Trống)","new":"0"}}</t>
  </si>
  <si>
    <t>{"ngayHetHan":{"old":"13/02/2026","new":"01/01/2027"},"namHetHan":{"old":"2026","new":"2027"},"ngaySuDung":{"old":"757","new":"1079"},"giaHan":{"old":"1","new":"2"}}</t>
  </si>
  <si>
    <t>657</t>
  </si>
  <si>
    <t>CÔNG TY CỔ PHẦN GIẢI PHÁP THANH TOÁN VIỆT NAM</t>
  </si>
  <si>
    <t>{"giaHan":{"old":"(Trống)","new":"0"},"phanKhucKH":{"old":"Sale chưa cung cấp","new":"Silver"}}</t>
  </si>
  <si>
    <t>{"msg":"Auto lock: Hết hạn ngày 12/02/2026"}</t>
  </si>
  <si>
    <t>Công ty TNHH Hàng không Mặt Trời Phú Quốc</t>
  </si>
  <si>
    <t>{"ngayHetHan":{"old":"19/02/2026","new":"16/02/2027"},"namHetHan":{"old":"2026","new":"2027"},"ngaySuDung":{"old":"731","new":"1093"},"namSuDung":{"old":"2","new":"3"},"tuDongGiaHan":{"old":"Không","new":"Có"},"giaHan":{"old":"1","new":"2"}}</t>
  </si>
  <si>
    <t>bizfly_sunpq_stand</t>
  </si>
  <si>
    <t>Sunpq@123</t>
  </si>
  <si>
    <t>{"msg":"Auto lock: Hết hạn ngày 17/02/2026"}</t>
  </si>
  <si>
    <t>{"msg":"Auto lock: Hết hạn ngày 19/02/2026"}</t>
  </si>
  <si>
    <t>659</t>
  </si>
  <si>
    <t>{"msg":"Auto lock: Hết hạn ngày 20/02/2026"}</t>
  </si>
  <si>
    <r>
      <rPr>
        <rFont val="Lexend"/>
        <u/>
      </rPr>
      <t>nganlengockim@vccorp.vn</t>
    </r>
  </si>
  <si>
    <t>{"loaiGoiCuoc":{"old":"Basic","new":"Enterprise"},"namSuDung":{"old":"6","new":"7"},"tuDongGiaHan":{"old":"(Trống)","new":"Không"},"emailNhanThongBao":{"old":"Le.NguyenThuyTien@fwd.com; Huynh.NamAnh@fwd.com; Nguyen Hoai Huong - VNUser' &lt;HoaiHuong.Nguyen@fwd.com&gt;; 'Pham Anh Tuyet - VNM' &lt;Pham.AnhTuyet@fwd.com&gt;; 'Thach Binh - VNM' &lt;Thach.Binh@fwd.com&gt;; 'Luu Nguyen Duong Thanh - VNUser' &lt;DuongThanh.Luu@fwd.com&gt;","new":"Thach.Binh@fwd.com; Nguyen.AnhThu@fwd.com; Tran.NgocHuy@fwd.com; Huynh.NamAnh@fwd.com; Nguyen.HoangNguyetNguyen@fwd.com; Huynh.NamAnh@fwd.com; vu.thithuhang@fwd.com; ThuyTrang.Tran@fwd.com; Truong.BuiThuyNgoc@fwd.com; Nguyen.NgocThienNgan@fwd.com; Nguyen.NgocThienNgan@fwd.com; DangQuy.Huynh@fwd.com; Lam.QuangHung@fwd.com; Le.NguyenThuyTien@fwd.com; HoaiHuong.Nguyen@fwd.com; Pham.AnhTuyet@fwd.com; DuongThanh.Luu@fwd.com"}}</t>
  </si>
  <si>
    <t>{"loaiGoiCuoc":{"old":"SIMILAR","new":"Starter"},"ngayHetHan":{"old":"13/03/2026","new":"17/06/2026"},"ngaySuDung":{"old":"658","new":"754"},"namSuDung":{"old":"1","new":"3"},"tuDongGiaHan":{"old":"(Trống)","new":"Không"}}</t>
  </si>
  <si>
    <t>{"query":"940","filters":{"support":[],"channel":[],"status":"","region":[],"inputData":[],"cs":[],"fromDate":"","segment":[],"toDate":"","expiring":""}}</t>
  </si>
  <si>
    <t>{"query":"940","filters":{"segment":[],"channel":[],"fromDate":"","cs":[],"toDate":"","status":"","region":[],"support":[],"inputData":[],"expiring":""}}</t>
  </si>
  <si>
    <r>
      <rPr>
        <rFont val="Lexend"/>
        <u/>
      </rPr>
      <t>nganlengockim@vccorp.vn</t>
    </r>
  </si>
  <si>
    <t>{"query":"935","filters":{"channel":[],"status":"","segment":[],"cs":[],"fromDate":"","toDate":"","inputData":[],"expiring":"","support":[],"region":[]}}</t>
  </si>
  <si>
    <t>{"tenCongTy":{"old":"HPH","new":"CÔNG TY CỔ PHẦN BỆNH VIỆN ĐA KHOA QUỐC TẾ HẠNH PHÚC"},"ngayHetHan":{"old":"28/02/2026","new":"02/02/2027"},"namHetHan":{"old":"2026","new":"2027"},"ngaySuDung":{"old":"18","new":"357"},"giaHan":{"old":"(Trống)","new":"0"}}</t>
  </si>
  <si>
    <t>{"cpid":{"old":"(Trống)","new":"800017"},"giaHan":{"old":"(Trống)","new":"0"}}</t>
  </si>
  <si>
    <t>Công ty TNHH Giải Pháp Công Nghệ AthenaFS</t>
  </si>
  <si>
    <t>AthenaFS_Starter</t>
  </si>
  <si>
    <t>AthenaFS@123</t>
  </si>
  <si>
    <t>{"msg":"Auto lock: Hết hạn ngày 24/02/2026"}</t>
  </si>
  <si>
    <t>{"cpid":{"old":"600194","new":"600194_vccorp"},"tenCongTy":{"old":"Công ty TNHH Hàng không Mặt Trời Phú Quốc","new":"CÔNG TY CỔ PHẦN VCCORP (Công ty TNHH Hàng không Mặt Trời Phú Quốc)"},"kenhGuiTin":{"old":"SMS CSKH","new":"SMS CSKH, Zalo ZNS"},"namSuDung":{"old":"(Trống)","new":"1"},"tuDongGiaHan":{"old":"(Trống)","new":"Không"},"giaHan":{"old":"(Trống)","new":"0"},"maPhanLoai":{"old":"Partner_Bizfly","new":"(Trống)"}}</t>
  </si>
  <si>
    <t>{"cpid":{"old":"600194_vccorp","new":"600194"},"giaHan":{"old":"(Trống)","new":"0"}}</t>
  </si>
  <si>
    <t>658</t>
  </si>
  <si>
    <t>{"status":{"old":"Locked","new":"Active"},"loaiGoiCuoc":{"old":"SIMILAR","new":"Starter"},"ngayHetHan":{"old":"31/12/2025","new":"31/12/2026"},"namHetHan":{"old":"2025","new":"2026"},"ngaySuDung":{"old":"448","new":"813"},"namSuDung":{"old":"1","new":"3"},"tuDongGiaHan":{"old":"(Trống)","new":"Không"},"giaHan":{"old":"(Trống)","new":"1"}}</t>
  </si>
  <si>
    <t>trial</t>
  </si>
  <si>
    <t>dgvmotul_api</t>
  </si>
  <si>
    <t>Dgvmotul@123456</t>
  </si>
  <si>
    <t>{"status":{"old":"Locked","new":"Active"},"ngayHetHan":{"old":"22/01/2026","new":"22/01/2027"},"namHetHan":{"old":"2026","new":"2027"},"ngaySuDung":{"old":"731","new":"1096"},"namSuDung":{"old":"3","new":"4"},"giaHan":{"old":"1","new":"2"}}</t>
  </si>
  <si>
    <t>van.ly@athenafs.io</t>
  </si>
  <si>
    <t>{"status":{"old":"Locked","new":"Active"},"loaiGoiCuoc":{"old":"MSG","new":"Starter"},"ngayHetHan":{"old":"14/06/2025","new":"14/06/2026"},"namHetHan":{"old":"2025","new":"2026"},"ngaySuDung":{"old":"365","new":"730"},"namSuDung":{"old":"1","new":"2"},"tuDongGiaHan":{"old":"(Trống)","new":"Không"},"giaHan":{"old":"(Trống)","new":"1"},"maPhanLoai":{"old":"Campaign","new":"(Trống)"}}</t>
  </si>
  <si>
    <t>flink_starter</t>
  </si>
  <si>
    <t>Flink@123</t>
  </si>
  <si>
    <t>{"status":{"old":"Locked","new":"Active"},"loaiGoiCuoc":{"old":"SIMILAR","new":"Starter"},"ngayHetHan":{"old":"12/06/2025","new":"11/06/2026"},"namHetHan":{"old":"2025","new":"2026"},"ngaySuDung":{"old":"365","new":"729"},"namSuDung":{"old":"1","new":"2"},"tuDongGiaHan":{"old":"(Trống)","new":"Có"},"giaHan":{"old":"(Trống)","new":"1"},"customerSupport":{"old":"DungVT","new":"(Trống)"}}</t>
  </si>
  <si>
    <t>Hoa.duong@dgvdigital.com</t>
  </si>
  <si>
    <t>{"msg":"Auto lock: Hết hạn ngày 27/02/2026"}</t>
  </si>
  <si>
    <t>{"msg":"Auto lock: Hết hạn ngày 28/02/2026"}</t>
  </si>
  <si>
    <t>660</t>
  </si>
  <si>
    <t>daiko_msg</t>
  </si>
  <si>
    <t>{"msg":"Auto lock: Hết hạn ngày 01/03/2026"}</t>
  </si>
  <si>
    <t>Linhnguyen@f-link.vn</t>
  </si>
  <si>
    <t>Daiko@1234#</t>
  </si>
  <si>
    <t>{"salePhuTrach":{"old":"CẩmPN","new":"NgânNT1"}}</t>
  </si>
  <si>
    <t>{"msg":"Auto lock: Hết hạn ngày 02/03/2026"}</t>
  </si>
  <si>
    <t>paypay_starter</t>
  </si>
  <si>
    <t>Pay@1234</t>
  </si>
  <si>
    <t>{"status":{"old":"Locked","new":"Active"},"loaiGoiCuoc":{"old":"API","new":"Starter"},"ghiChuHinhThucThanhToan":{"old":"Trả sau","new":"Trả trước"},"kenhGuiTin":{"old":"Tất cả","new":"Zalo ZNS"},"ngayHetHan":{"old":"01/03/2026","new":"01/03/2027"},"namHetHan":{"old":"2026","new":"2027"},"ngaySuDung":{"old":"1122","new":"1487"},"namSuDung":{"old":"3","new":"5"},"tuDongGiaHan":{"old":"(Trống)","new":"Không"},"giaHan":{"old":"(Trống)","new":"3"}}</t>
  </si>
  <si>
    <t>thuylinh@daiko.com.vn</t>
  </si>
  <si>
    <t>{"msg":"Auto lock: Hết hạn ngày 03/03/2026"}</t>
  </si>
  <si>
    <t>{"status":{"old":"Locked","new":"Active"},"ngayHetHan":{"old":"28/02/2026","new":"01/03/2027"},"namHetHan":{"old":"2026","new":"2027"},"ngaySuDung":{"old":"582","new":"948"},"namSuDung":{"old":"2","new":"3"}}</t>
  </si>
  <si>
    <t>phungledungls@gmail.com</t>
  </si>
  <si>
    <t>{"duLieuInput":{"old":"(Chưa recheck)","new":"(Trống)"},"giaHan":{"old":"(Trống)","new":"0"},"emailNhanThongBao":{"old":"gigastore.tech.22@gmail.com; aaaa130938love@gmail.com; vzouxzouxv@gmail.com; ireneyyyu@gmail.com","new":"gigastore.tech.22@gmail.com; aaaa130938love@gmail.com; vzouxzouxv@gmail.com; ireneyyyu@gmail.com; a2071395474@gmail.com"}}</t>
  </si>
  <si>
    <t>661</t>
  </si>
  <si>
    <t>info@pay2pay.vn</t>
  </si>
  <si>
    <t>{"tenCongTy":{"old":"Trung Tâm học viện âm nhạc AMEB","new":"CÔNG TY CỔ PHẦN VCCORP (Trung Tâm học viện âm nhạc AMEB)"},"giaHan":{"old":"(Trống)","new":"0"}}</t>
  </si>
  <si>
    <t>{"msg":"Auto lock: Hết hạn ngày 05/03/2026"}</t>
  </si>
  <si>
    <t>{"giaHan":{"old":"(Trống)","new":"0"},"customerSupport":{"old":"AnhNM","new":"DungPL"}}</t>
  </si>
  <si>
    <t>fcv_Standard</t>
  </si>
  <si>
    <t>Fcv@123456</t>
  </si>
  <si>
    <t>{"customerSupport":{"old":"AnhNM","new":"LinhNTT1"}}</t>
  </si>
  <si>
    <t>{"customerSupport":{"old":"LinhNTT1","new":"DungPL"}}</t>
  </si>
  <si>
    <t>{"loaiGoiCuoc":{"old":"GAPONE HUBSPOT","new":"Starter"},"namSuDung":{"old":"2","new":"3"},"tuDongGiaHan":{"old":"(Trống)","new":"Không"},"emailNhanThongBao":{"old":"nhung.tran@elmich.vn\nminhphuong.nguyen@elmich.vn\nchien.pham@elmich.vn","new":"nhung.tran@elmich.vnminhphuong.nguyen@elmich.vnchien.pham@elmich.vn"},"customerSupport":{"old":"AnhNM","new":"DungPL"}}</t>
  </si>
  <si>
    <t>{"namSuDung":{"old":"2","new":"3"},"customerSupport":{"old":"AnhNM","new":"DungPL"}}</t>
  </si>
  <si>
    <t>{"customerSupport":{"old":"AnhNM","new":"DungPL"}}</t>
  </si>
  <si>
    <r>
      <rPr>
        <rFont val="Lexend"/>
        <u/>
      </rPr>
      <t>ict.support@dutchlady.com.vn</t>
    </r>
  </si>
  <si>
    <t>{"namSuDung":{"old":"1","new":"2"},"tuDongGiaHan":{"old":"(Trống)","new":"Không"},"giaHan":{"old":"(Trống)","new":"0"},"customerSupport":{"old":"AnhNM, DungVT","new":"DungPL, DungVT"}}</t>
  </si>
  <si>
    <t>{"customerSupport":{"old":"Không phân công","new":"DungPL"}}</t>
  </si>
  <si>
    <t>{"customerSupport":{"old":"DungVT","new":"DungPL, DungVT"}}</t>
  </si>
  <si>
    <t>662</t>
  </si>
  <si>
    <t>Công ty TNHH Nestle Việt Nam (MAGGI PeTao Survey)</t>
  </si>
  <si>
    <t>{"tenCongTy":{"old":"HP Việt NAM","new":"Capillary - HP Vietnam"},"giaHan":{"old":"(Trống)","new":"0"},"customerSuccess":{"old":"TuPHN","new":"TúPHN"},"maPhanLoai":{"old":"Partner_Capillary","new":"(Trống)"}}</t>
  </si>
  <si>
    <t>maggipetao_msg</t>
  </si>
  <si>
    <t>Maggipetao@12456</t>
  </si>
  <si>
    <r>
      <rPr>
        <rFont val="Lexend"/>
        <u/>
      </rPr>
      <t>ict.support@dutchlady.com.vn</t>
    </r>
  </si>
  <si>
    <t>{"cpid":{"old":"600548_HP_CAPILLARY","new":"600548"},"giaHan":{"old":"(Trống)","new":"0"}}</t>
  </si>
  <si>
    <t>{"msg":"Auto lock: Hết hạn ngày 06/03/2026"}</t>
  </si>
  <si>
    <t>VTVGo_Starter</t>
  </si>
  <si>
    <t>VTVGo@123</t>
  </si>
  <si>
    <t>HoBao.Ngoc@vn.nestle.com</t>
  </si>
  <si>
    <t>{"status":{"old":"Locked","new":"Active"},"ngayHetHan":{"old":"04/06/2025","new":"04/06/2026"},"namHetHan":{"old":"2025","new":"2026"},"ngaySuDung":{"old":"365","new":"730"},"namSuDung":{"old":"1","new":"2"},"tuDongGiaHan":{"old":"(Trống)","new":"Không"},"giaHan":{"old":"(Trống)","new":"1"}}</t>
  </si>
  <si>
    <t>{"cpid":{"old":"None 9","new":"800018"},"giaHan":{"old":"(Trống)","new":"0"}}</t>
  </si>
  <si>
    <t>663</t>
  </si>
  <si>
    <t>{"tuDongGiaHan":{"old":"(Trống)","new":"Có"},"giaHan":{"old":"(Trống)","new":"0"},"customerSuccess":{"old":"AnhNM","new":"TúPHN"},"maPhanLoai":{"old":"Wincommerce","new":"(Trống)"}}</t>
  </si>
  <si>
    <t>thanhnc5984@gmail.com</t>
  </si>
  <si>
    <t>{"status":{"old":"Locked","new":"Active"},"ngayHetHan":{"old":"05/03/2026","new":"11/03/2027"},"namHetHan":{"old":"2026","new":"2027"},"ngaySuDung":{"old":"658","new":"1029"},"namSuDung":{"old":"1","new":"3"},"tuDongGiaHan":{"old":"(Trống)","new":"Không"},"giaHan":{"old":"2","new":"3"}}</t>
  </si>
  <si>
    <t>{"status":{"old":"Locked","new":"Active"},"ngayHetHan":{"old":"01/02/2026","new":"11/02/2027"},"namHetHan":{"old":"2026","new":"2027"},"ngaySuDung":{"old":"915","new":"1290"},"namSuDung":{"old":"2","new":"4"},"tuDongGiaHan":{"old":"(Trống)","new":"Không"},"giaHan":{"old":"2","new":"3"}}</t>
  </si>
  <si>
    <t xml:space="preserve">CÔNG TY BẢO HIỂM PVI HUẾ </t>
  </si>
  <si>
    <t>PVIHue_Starter</t>
  </si>
  <si>
    <t>PVIHue@123</t>
  </si>
  <si>
    <t>{"status":{"old":"Locked","new":"Active"},"ngayHetHan":{"old":"19/02/2026","new":"19/02/2027"},"namHetHan":{"old":"2026","new":"2027"},"ngaySuDung":{"old":"721","new":"1086"},"namSuDung":{"old":"2","new":"3"},"tuDongGiaHan":{"old":"(Trống)","new":"Không"},"giaHan":{"old":"1","new":"2"}}</t>
  </si>
  <si>
    <t>{"status":{"old":"Locked","new":"Active"},"loaiGoiCuoc":{"old":"API","new":"Starter"},"ngayHetHan":{"old":"29/01/2026","new":"19/12/2026"},"ngaySuDung":{"old":"395","new":"719"},"namSuDung":{"old":"1","new":"2"},"tuDongGiaHan":{"old":"(Trống)","new":"Không"},"giaHan":{"old":"(Trống)","new":"1"}}</t>
  </si>
  <si>
    <t>{"status":{"old":"Locked","new":"Active"},"ngayHetHan":{"old":"24/02/2026","new":"04/03/2027"},"namHetHan":{"old":"2026","new":"2027"},"ngaySuDung":{"old":"365","new":"738"},"namSuDung":{"old":"1","new":"3"},"tuDongGiaHan":{"old":"(Trống)","new":"Không"},"giaHan":{"old":"(Trống)","new":"1"}}</t>
  </si>
  <si>
    <t>{"status":{"old":"Locked","new":"Active"},"ghiChuHinhThucThanhToan":{"old":"Trial","new":"Trả sau"},"ngayHetHan":{"old":"27/02/2026","new":"26/01/172027"},"namHetHan":{"old":"2026","new":"172027"},"ngaySuDung":{"old":"30","new":"62091588"},"namSuDung":{"old":"1","new":"170114"},"giaHan":{"old":"(Trống)","new":"0"}}</t>
  </si>
  <si>
    <t>pvihue@pvi.com.vn</t>
  </si>
  <si>
    <t>665</t>
  </si>
  <si>
    <t>{"status":{"old":"Locked","new":"Active"},"loaiGoiCuoc":{"old":"Premium","new":"Starter"},"ghiChuHinhThucThanhToan":{"old":"Trial","new":"Trả sau"},"ngayHetHan":{"old":"12/02/2026","new":"31/12/2026"},"ngaySuDung":{"old":"15","new":"337"},"giaHan":{"old":"(Trống)","new":"0"}}</t>
  </si>
  <si>
    <t>CÔNG TY CỔ PHẦN YOUCARE</t>
  </si>
  <si>
    <t>youcare_gapone</t>
  </si>
  <si>
    <t>Youcare@123456</t>
  </si>
  <si>
    <t>{"msg":"Auto lock: Hết hạn ngày 11/03/2026"}</t>
  </si>
  <si>
    <t>hmdl_premium</t>
  </si>
  <si>
    <t>Hmdl@2025</t>
  </si>
  <si>
    <t>{"tenCongTy":{"old":"CÔNG TY CỔ PHẦN ĐẦU TƯ Y TẾ WHC VIỆT NAM","new":"CÔNG TY CỔ PHẦN VCCORP (CÔNG TY CỔ PHẦN ĐẦU TƯ Y TẾ WHC VIỆT NAM)"},"namSuDung":{"old":"(Trống)","new":"1"},"tuDongGiaHan":{"old":"(Trống)","new":"Không"},"giaHan":{"old":"(Trống)","new":"0"},"maPhanLoai":{"old":"Partner_Bizfly","new":"(Trống)"}}</t>
  </si>
  <si>
    <t>{"msg":"Auto lock: Hết hạn ngày 12/03/2026"}</t>
  </si>
  <si>
    <t>{"status":{"old":"Locked","new":"Active"},"ngayHetHan":{"old":"11/03/2026","new":"30/03/2026"},"ngaySuDung":{"old":"28","new":"47"},"giaHan":{"old":"(Trống)","new":"0"}}</t>
  </si>
  <si>
    <t>quynhtp@braincare.vn</t>
  </si>
  <si>
    <t>{"msg":"Auto lock: Hết hạn ngày 13/03/2026"}</t>
  </si>
  <si>
    <t>664</t>
  </si>
  <si>
    <t>lan.dinh@hoanmy.com</t>
  </si>
  <si>
    <t>CÔNG TY TNHH FRIESLANDCAMPINA VIỆT NAM (Team 2)</t>
  </si>
  <si>
    <t>{"msg":"Auto lock: Hết hạn ngày 16/03/2026"}</t>
  </si>
  <si>
    <t>fcvvnteam2_msg</t>
  </si>
  <si>
    <t>Fcvvnteam2@123456</t>
  </si>
  <si>
    <t>{"khuVuc":{"old":"Sài Gòn","new":"(Trống)"},"giaHan":{"old":"(Trống)","new":"0"},"customerSupport":{"old":"DungPL","new":"LinhNTT1"},"salePhuTrach":{"old":"NgocPH","new":"NgọcPH"}}</t>
  </si>
  <si>
    <t>{"status":{"old":"Locked","new":"Active"},"ngayHetHan":{"old":"03/03/2026","new":"25/03/2026"},"ngaySuDung":{"old":"18","new":"40"},"giaHan":{"old":"(Trống)","new":"0"}}</t>
  </si>
  <si>
    <t>tmito_premium</t>
  </si>
  <si>
    <t>Tmito@2025</t>
  </si>
  <si>
    <t>{"msg":"Auto lock: Hết hạn ngày 20/03/2026"}</t>
  </si>
  <si>
    <t>Tan.LeChung@frieslandcampina.com</t>
  </si>
  <si>
    <t xml:space="preserve">Tan.LeChung@frieslandcampina.com </t>
  </si>
  <si>
    <t>{"status":{"old":"Locked","new":"Active"},"loaiGoiCuoc":{"old":"API","new":"Starter"},"ngayHetHan":{"old":"06/03/2026","new":"05/03/2027"},"namHetHan":{"old":"2026","new":"2027"},"ngaySuDung":{"old":"379","new":"743"},"namSuDung":{"old":"1","new":"3"},"tuDongGiaHan":{"old":"(Trống)","new":"Không"},"giaHan":{"old":"(Trống)","new":"2"}}</t>
  </si>
  <si>
    <t>{"status":{"old":"Locked","new":"Active"},"loaiGoiCuoc":{"old":"SIMILAR","new":"Starter"},"ghiChuHinhThucThanhToan":{"old":"(Chưa recheck)","new":"Trả sau"},"hinhThucSuDung":{"old":"(Chưa recheck)","new":"API &amp; Portal"},"kenhGuiTin":{"old":"GapOne","new":"Zalo ZNS"},"ngayHetHan":{"old":"11/08/2025","new":"04/12/2026"},"namHetHan":{"old":"2025","new":"2026"},"ngaySuDung":{"old":"466","new":"946"},"namSuDung":{"old":"1","new":"3"},"tuDongGiaHan":{"old":"(Trống)","new":"Không"},"giaHan":{"old":"(Trống)","new":"1"}}</t>
  </si>
  <si>
    <t>truong.phan@thuanmy.vn</t>
  </si>
  <si>
    <t>{"status":{"old":"Locked","new":"Active"},"ngayHetHan":{"old":"15/01/2026","new":"31/12/2026"},"ngaySuDung":{"old":"253","new":"603"},"namSuDung":{"old":"1","new":"2"},"customerSupport":{"old":"LinhNTT1","new":"Không phân công"},"maPhanLoai":{"old":"Campaign","new":"(Trống)"}}</t>
  </si>
  <si>
    <t>666</t>
  </si>
  <si>
    <t>{"status":{"old":"Locked","new":"Active"},"ngayHetHan":{"old":"13/03/2026","new":"23/04/2026"},"ngaySuDung":{"old":"14","new":"55"},"giaHan":{"old":"(Trống)","new":"0"},"customerSupport":{"old":"(Trống)","new":"Không phân công"},"maPhanLoai":{"old":"Campaign","new":"(Trống)"}}</t>
  </si>
  <si>
    <t>{"status":{"old":"Locked","new":"Active"},"ngayHetHan":{"old":"31/12/2025","new":"31/12/2026"},"namHetHan":{"old":"2025","new":"2026"},"ngaySuDung":{"old":"223","new":"588"},"namSuDung":{"old":"(Trống)","new":"2"},"giaHan":{"old":"(Trống)","new":"1"},"customerSupport":{"old":"AnhNM","new":"Không phân công"},"maPhanLoai":{"old":"Campaign","new":"(Trống)"}}</t>
  </si>
  <si>
    <t>{"status":{"old":"Locked","new":"Active"},"ngayHetHan":{"old":"01/01/2026","new":"24/12/2026"},"ngaySuDung":{"old":"570","new":"927"},"namSuDung":{"old":"1","new":"3"},"tuDongGiaHan":{"old":"(Trống)","new":"Không"},"giaHan":{"old":"1","new":"2"},"customerSupport":{"old":"AnhNM","new":"Không phân công"}}</t>
  </si>
  <si>
    <t>{"duLieuInput":{"old":"API","new":"HubSpot"}}</t>
  </si>
  <si>
    <t>{"ghiChuHinhThucThanhToan":{"old":"Trial","new":"Trả sau"},"giaHan":{"old":"(Trống)","new":"0"},"nganhNghe":{"old":"Dịch vụ khác","new":"Sản xuất &amp; Chế tạo"}}</t>
  </si>
  <si>
    <t>{"status":{"old":"Active","new":"Locked"},"giaHan":{"old":"(Trống)","new":"0"},"noteThongTinGiaHan":{"old":"Sales báo KH dùng tài khoản này để Demo nên vẫn giữ cho đến khi hết hạn","new":"Sales báo KH dùng tài khoản này để Demo nên vẫn giữ cho đến khi hết hạn\n23/3/2026: KH báo đóng vì hết nhu cầu"},"customerSuccess":{"old":"AnhNM","new":"TúPHN"},"customerSupport":{"old":"DungPL","new":"LinhNTT1"},"maPhanLoai":{"old":"Mobicast","new":"(Trống)"}}</t>
  </si>
  <si>
    <t>{"ngayHetHan":{"old":"31/03/2026","new":"31/12/2026"},"ngaySuDung":{"old":"410","new":"685"},"giaHan":{"old":"1","new":"2"}}</t>
  </si>
  <si>
    <t>{"status":{"old":"Locked","new":"Active"},"loaiGoiCuoc":{"old":"MSG","new":"Starter"},"ngayHetHan":{"old":"31/12/2025","new":"29/10/2026"},"namHetHan":{"old":"2025","new":"2026"},"ngaySuDung":{"old":"670","new":"972"},"namSuDung":{"old":"1","new":"3"},"tuDongGiaHan":{"old":"(Trống)","new":"Không"},"giaHan":{"old":"1","new":"2"}}</t>
  </si>
  <si>
    <t>{"loaiGoiCuoc":{"old":"Starter","new":"Standard"},"giaHan":{"old":"(Trống)","new":"0"}}</t>
  </si>
  <si>
    <t>Không cấp tk GapOne</t>
  </si>
  <si>
    <t>667</t>
  </si>
  <si>
    <t>{"msg":"Auto lock: Hết hạn ngày 24/03/2026"}</t>
  </si>
  <si>
    <t>VBAADK_API</t>
  </si>
  <si>
    <t xml:space="preserve"> Vbaadk@123</t>
  </si>
  <si>
    <t>{"status":{"old":"Locked","new":"Active"},"ngayHetHan":{"old":"02/01/2026","new":"31/12/2026"},"ngaySuDung":{"old":"11","new":"374"},"namSuDung":{"old":"1","new":"2"},"moTaNhuCau":{"old":"Mobifone Đà Nẵng cần triển khai chạy tin ZNS trong tháng 12, nghiệm thu thanh lý và xuất hóa đơn trước 31/12/2025, dự án chạy ngắn hạn nên sẽ nghiệm thu khi kết thúc chương trình trong tháng 12.","new":"Mobifone Đà Nẵng: tổng chi phí gửi tin đã ký: 450tr, nhưng vẫn đối soát hàng tháng"},"giaHan":{"old":"1","new":"2"},"serviceType":{"old":"Subscription","new":"(Trống)"}}</t>
  </si>
  <si>
    <t>CKXUANTHIEN_API</t>
  </si>
  <si>
    <t>Transfer</t>
  </si>
  <si>
    <t>{"Customer Success":{"old":"TùngLD","new":"Không phân công","note":"Bàn giao từ TùngLD sang Không phân công (Ngày BG: 25/03/2026)"}}</t>
  </si>
  <si>
    <r>
      <rPr>
        <rFont val="Lexend"/>
        <u/>
      </rPr>
      <t>CKxuanthien@1234</t>
    </r>
  </si>
  <si>
    <t>{"Customer Success":{"old":"Không phân công","new":"TùngLD","note":"Bàn giao từ Không phân công sang TùngLD (Ngày BG: 25/03/2026)"}}</t>
  </si>
  <si>
    <t>tuyen.huynh@vba-adk.com</t>
  </si>
  <si>
    <t>{"status":{"old":"Locked","new":"Active"},"ngayHetHan":{"old":"13/03/2026","new":"30/04/2026"},"ngaySuDung":{"old":"743","new":"791"},"namSuDung":{"old":"2","new":"3"},"tuDongGiaHan":{"old":"(Trống)","new":"Không"},"giaHan":{"old":"1","new":"2"},"serviceType":{"old":"Subscription","new":"(Trống)"}}</t>
  </si>
  <si>
    <t>{"msg":"Auto lock: Hết hạn ngày 26/03/2026"}</t>
  </si>
  <si>
    <t>668</t>
  </si>
  <si>
    <t>{"loaiGoiCuoc":{"old":"Starter","new":"Premium"},"giaHan":{"old":"(Trống)","new":"0"}}</t>
  </si>
  <si>
    <t>hadt@xtsc.vn</t>
  </si>
  <si>
    <t>{"msg":"Auto lock: Hết hạn ngày 28/03/2026"}</t>
  </si>
  <si>
    <t>{"status":{"old":"Locked","new":"Active"},"cpid":{"old":"(Trống)","new":"0"},"loaiGoiCuoc":{"old":"API","new":"Starter"},"ghiChuHinhThucThanhToan":{"old":"(Chưa recheck)","new":"Trial"},"hinhThucSuDung":{"old":"(Chưa recheck)","new":"API"},"kenhGuiTin":{"old":"(Chưa recheck)","new":"Zalo ZNS"},"ngayHetHan":{"old":"07/12/2023","new":"15/04/2026"},"namHetHan":{"old":"2023","new":"2026"},"ngaySuDung":{"old":"177","new":"1037"},"namSuDung":{"old":"(Trống)","new":"3"},"tuDongGiaHan":{"old":"(Trống)","new":"Không"},"giaHan":{"old":"(Trống)","new":"0"},"customerSuccess":{"old":"(Chưa recheck)","new":"TúPHN"},"customerSupport":{"old":"(Chưa recheck)","new":"Không phân công"},"salePhuTrach":{"old":"(Chưa recheck)","new":"NhungPTH"},"serviceType":{"old":"Subscription","new":"(Trống)"}}</t>
  </si>
  <si>
    <t>{"msg":"Gia hạn subscription kỳ 2: 01/04/2026 → 19/09/2026 | gap: 0 ngày | type: on_time"}</t>
  </si>
  <si>
    <t>{"tenCongTy":{"old":"Công ty Cổ Phần Popplife","new":"CÔNG TY CỔ PHẦN ROX LIVING GLOBAL"},"kenhGuiTin":{"old":"WhatsApp, Email","new":"Email"},"ngaySuDung":{"old":"315","new":"487"},"namSuDung":{"old":"1","new":"2"},"serviceType":{"old":"Subscription","new":"(Trống)"}}</t>
  </si>
  <si>
    <t>{"kenhGuiTin":{"old":"Email","new":"Whatsapp, Email"},"serviceType":{"old":"(Trống)","new":"Subscription"}}</t>
  </si>
  <si>
    <t>Không có thay đổi</t>
  </si>
  <si>
    <t>{"status":{"old":"Active","new":"Locked"},"giaHan":{"old":"(Trống)","new":"0"},"noteThongTinGiaHan":{"old":"(Trống)","new":"Sales báo khóa từ ngày 30/03/2026 https://wework.base.vn/local-life-gapit-du-an-gapone-stand-da-kenh-99052?task=9875914"},"serviceType":{"old":"Subscription","new":"(Trống)"}}</t>
  </si>
  <si>
    <t>{"serviceType":{"old":"Subscription","new":"(Trống)"}}</t>
  </si>
  <si>
    <t>669</t>
  </si>
  <si>
    <t>{"status":{"old":"Locked","new":"Active"},"ngayHetHan":{"old":"26/03/2026","new":"31/03/2026"},"ngaySuDung":{"old":"28","new":"33"},"giaHan":{"old":"(Trống)","new":"0"},"customerSupport":{"old":"Không phân công","new":"YếnĐH"},"serviceType":{"old":"Subscription","new":"(Trống)"}}</t>
  </si>
  <si>
    <t>{"msg":"Auto lock: Hết hạn ngày 30/03/2026"}</t>
  </si>
  <si>
    <t>fuvdung@gmail.com</t>
  </si>
  <si>
    <t>{"status":{"old":"Locked","new":"Active"},"loaiGoiCuoc":{"old":"MSG","new":"Standard"},"ngayHetHan":{"old":"28/03/2026","new":"30/06/2026"},"ngaySuDung":{"old":"730","new":"824"},"namSuDung":{"old":"2","new":"3"},"tuDongGiaHan":{"old":"(Trống)","new":"Không"},"giaHan":{"old":"1","new":"2"}}</t>
  </si>
  <si>
    <r>
      <rPr>
        <rFont val="Lexend"/>
        <u/>
      </rPr>
      <t>minh.nh3@cmctelecom.vn</t>
    </r>
  </si>
  <si>
    <t>{"msg":"Auto lock: Hết hạn ngày 31/03/2026"}</t>
  </si>
  <si>
    <r>
      <rPr>
        <rFont val="Lexend"/>
        <u/>
      </rPr>
      <t>minh.nh3@cmctelecom.vn</t>
    </r>
  </si>
  <si>
    <t>SMS: DungVT</t>
  </si>
  <si>
    <t>{"status":{"old":"Locked","new":"Active"},"ghiChuHinhThucThanhToan":{"old":"Trial","new":"Trả trước"},"ngayHetHan":{"old":"31/03/2026","new":"01/04/2027"},"namHetHan":{"old":"2026","new":"2027"},"ngaySuDung":{"old":"33","new":"399"},"namSuDung":{"old":"1","new":"2"},"tuDongGiaHan":{"old":"Không","new":"Có"},"giaHan":{"old":"(Trống)","new":"0"}}</t>
  </si>
  <si>
    <t>yendh@gapit.com.vn</t>
  </si>
  <si>
    <t>{"status":{"old":"Locked","new":"Active"},"ngayHetHan":{"old":"02/03/2026","new":"01/03/2027"},"namHetHan":{"old":"2026","new":"2027"},"ngaySuDung":{"old":"528","new":"892"},"namSuDung":{"old":"2","new":"3"}}</t>
  </si>
  <si>
    <t>{"ghiChuHinhThucThanhToan":{"old":"(Chưa recheck)","new":"Trả sau"},"duLieuInput":{"old":"(Chưa recheck)","new":"(Trống)"},"ngayHetHan":{"old":"01/04/2026","new":"01/10/2026"},"ngaySuDung":{"old":"404","new":"587"},"namSuDung":{"old":"1","new":"2"},"tuDongGiaHan":{"old":"(Trống)","new":"Không"},"giaHan":{"old":"1","new":"2"}}</t>
  </si>
  <si>
    <t>{"ghiChuHinhThucThanhToan":{"old":"Trả sau","new":"Trả trước"}}</t>
  </si>
  <si>
    <t>{"loaiGoiCuoc":{"old":"MSG","new":"Starter"},"ngayHetHan":{"old":"01/04/2026","new":"15/07/2026"},"ngaySuDung":{"old":"730","new":"835"},"namSuDung":{"old":"2","new":"3"},"tuDongGiaHan":{"old":"(Trống)","new":"Không"},"giaHan":{"old":"(Trống)","new":"0"}}</t>
  </si>
  <si>
    <t>{"loaiGoiCuoc":{"old":"MSG","new":"Starter"},"tuDongGiaHan":{"old":"(Trống)","new":"Không"},"giaHan":{"old":"(Trống)","new":"0"}}</t>
  </si>
  <si>
    <t>{"msg":"Auto lock: Hết hạn ngày 01/04/2026"}</t>
  </si>
  <si>
    <t>670</t>
  </si>
  <si>
    <t>CÔNG TY DỊCH VỤ MOBIFONE KHU VỰC 2</t>
  </si>
  <si>
    <t>mobifonekv2_gapone</t>
  </si>
  <si>
    <t>Mobifonekv2@123456</t>
  </si>
  <si>
    <t>{"giaHan":{"old":"(Trống)","new":"0"},"customerSupport":{"old":"LinhNTT1","new":"YếnĐH"},"serviceType":{"old":"Yes","new":"(Trống)"}}</t>
  </si>
  <si>
    <t>Khách kết nối APP ID của khách với ví ZCA của GAPIT</t>
  </si>
  <si>
    <t>{"status":{"old":"Locked","new":"Active"},"loaiGoiCuoc":{"old":"API","new":"Starter"},"ngayHetHan":{"old":"31/03/2026","new":"10/04/2026"},"ngaySuDung":{"old":"539","new":"549"},"namSuDung":{"old":"1","new":"2"},"tuDongGiaHan":{"old":"(Trống)","new":"Không"},"giaHan":{"old":"1","new":"2"},"noteThongTinGiaHan":{"old":"(Trống)","new":"Đợi KH trả phụ lục để gia hạn tiếp"}}</t>
  </si>
  <si>
    <t>{"ngayHetHan":{"old":"22/04/2026","new":"27/04/2027"},"namHetHan":{"old":"2026","new":"2027"},"ngaySuDung":{"old":"732","new":"1102"},"namSuDung":{"old":"3","new":"4"},"tuDongGiaHan":{"old":"(Trống)","new":"Không"},"giaHan":{"old":"1","new":"2"}}</t>
  </si>
  <si>
    <t>quanha@irismedia.vn
cskh@irismedia.vn</t>
  </si>
  <si>
    <t>{"khuVuc":{"old":"Hà Nội","new":"Sài Gòn"},"status":{"old":"Locked","new":"Active"},"ghiChuHinhThucThanhToan":{"old":"(Chưa recheck)","new":"Trả sau"},"hinhThucSuDung":{"old":"(Chưa recheck)","new":"API"},"kenhGuiTin":{"old":"(Chưa recheck)","new":"Zalo ZNS"},"ngayHetHan":{"old":"25/03/2025","new":"17/04/2026"},"namHetHan":{"old":"2025","new":"2026"},"ngaySuDung":{"old":"728","new":"1116"},"namSuDung":{"old":"1","new":"4"},"tuDongGiaHan":{"old":"(Trống)","new":"Không"},"giaHan":{"old":"1","new":"2"},"customerSuccess":{"old":"NamDT","new":"TúPHN"},"customerSupport":{"old":"AnhNM","new":"DungPL"},"salePhuTrach":{"old":"TuanLA","new":"TrâmNTB"}}</t>
  </si>
  <si>
    <t>thuong.ntl@mobifone.vn</t>
  </si>
  <si>
    <t>Efora_Starter</t>
  </si>
  <si>
    <t>Efora@123</t>
  </si>
  <si>
    <t>{"loaiGoiCuoc":{"old":"Enterprise","new":"Standard"}}</t>
  </si>
  <si>
    <t>{"msg":"Auto lock: Hết hạn ngày 05/04/2026"}</t>
  </si>
  <si>
    <t>{"duLieuInput":{"old":"File Excel, API","new":"File Excel"},"ngaySuDung":{"old":"6","new":"183"},"giaHan":{"old":"(Trống)","new":"0"}}</t>
  </si>
  <si>
    <t>411</t>
  </si>
  <si>
    <t>{"status":{"old":"Locked","new":"Active"},"ngayHetHan":{"old":"31/03/2026","new":"12/03/2027"},"namHetHan":{"old":"2026","new":"2027"},"ngaySuDung":{"old":"742","new":"1088"},"giaHan":{"old":"2","new":"3"},"noteThongTinGiaHan":{"old":"(Trống)","new":"Hỗ trợ gia hạn để khách kịp sử dụng. Sale chưa cung cấp đầy đủ thông tin Hợp đồng/PO"},"serviceType":{"old":"Yes","new":"(Trống)"}}</t>
  </si>
  <si>
    <t>vuhuong@euro-asia.vn</t>
  </si>
  <si>
    <t>{"giaHan":{"old":"(Trống)","new":"0"},"phanKhucKH":{"old":"Sale chưa cung cấp","new":"Bronze"}}</t>
  </si>
  <si>
    <t>{"ghiChuHinhThucThanhToan":{"old":"Trả sau","new":"Trả trước"},"giaHan":{"old":"(Trống)","new":"0"}}</t>
  </si>
  <si>
    <t>Huongdm</t>
  </si>
  <si>
    <t>Ban Quản lý chợ Đông Ba</t>
  </si>
  <si>
    <t>Chodongba_Starter</t>
  </si>
  <si>
    <r>
      <rPr>
        <rFont val="Lexend"/>
        <u/>
      </rPr>
      <t>Chodongba@123</t>
    </r>
  </si>
  <si>
    <t>{"status":{"old":"Locked","new":"Active"},"ngayHetHan":{"old":"31/01/2026","new":"30/04/2026"},"ngaySuDung":{"old":"11","new":"100"},"giaHan":{"old":"(Trống)","new":"0"},"serviceType":{"old":"Yes","new":"(Trống)"}}</t>
  </si>
  <si>
    <t>671</t>
  </si>
  <si>
    <t>{"status":{"old":"Locked","new":"Active"},"kenhGuiTin":{"old":"WhatsApp, Email","new":"Email"},"ngayHetHan":{"old":"01/04/2026","new":"31/03/2027"},"namHetHan":{"old":"2026","new":"2027"},"ngaySuDung":{"old":"516","new":"880"},"namSuDung":{"old":"1","new":"3"},"tuDongGiaHan":{"old":"(Trống)","new":"Không"},"giaHan":{"old":"(Trống)","new":"1"},"customerSuccess":{"old":"HoaNTM","new":"TùngLD"}}</t>
  </si>
  <si>
    <t>{"Customer Success":{"old":"HoaNTM","new":"TùngLD","note":"Bàn giao từ HoaNTM sang TùngLD (Ngày BG: 08/04/2026)"}}</t>
  </si>
  <si>
    <t>{"hinhThucSuDung":{"old":"API","new":"API &amp; Portal"},"ngayHetHan":{"old":"17/04/2026","new":"03/04/2027"},"namHetHan":{"old":"2026","new":"2027"},"ngaySuDung":{"old":"1116","new":"1467"},"namSuDung":{"old":"4","new":"5"}}</t>
  </si>
  <si>
    <t>{"cpid":{"old":"(Trống)","new":"800038"},"tenCongTy":{"old":"GrowPlus","new":"CÔNG TY CP THỰC PHẨM DINH DƯỠNG NUTIFOOD"},"tenTaiKhoan":{"old":"GrowPlus@gmail.com","new":"GrowPlus_Campaign"},"ghiChuHinhThucThanhToan":{"old":"Trả sau","new":"Trả trước"},"hinhThucSuDung":{"old":"API","new":"API &amp; Portal"},"duLieuInput":{"old":"API","new":"File Excel, API"},"ngayHetHan":{"old":"30/05/2026","new":"18/05/2026"},"ngaySuDung":{"old":"52","new":"40"},"giaHan":{"old":"(Trống)","new":"0"},"customerSuccess":{"old":"Không phân công","new":"TrâmNNB"}}</t>
  </si>
  <si>
    <t>672</t>
  </si>
  <si>
    <t>{"tenTaiKhoan":{"old":"GrowPlus@gmail.com","new":"GrowPlus_Campaign"},"giaHan":{"old":"(Trống)","new":"0"}}</t>
  </si>
  <si>
    <t>{"ngayHetHan":{"old":"10/04/2026","new":"31/03/2027"},"namHetHan":{"old":"2026","new":"2027"},"ngaySuDung":{"old":"549","new":"904"},"namSuDung":{"old":"2","new":"3"}}</t>
  </si>
  <si>
    <t>{"status":{"old":"Locked","new":"Active"},"ngayHetHan":{"old":"31/03/2026","new":"30/06/2026"},"ngaySuDung":{"old":"169","new":"260"},"serviceType":{"old":"Yes","new":"(Trống)"}}</t>
  </si>
  <si>
    <t>nguyentranhuy24120@gmail.com</t>
  </si>
  <si>
    <t>{"msg":"Auto lock: Hết hạn ngày 09/04/2026"}</t>
  </si>
  <si>
    <t>Gia hạn từ 12/2/2025 đến 12/2/2026
Sales báo quy trình thanh toán của KH chậm. Đợi KH thanh toán xong mới tiếp tục gia hạn GapOne gửi tin</t>
  </si>
  <si>
    <t>{"ngayHetHan":{"old":"12/03/2027","new":"31/05/2026"},"namHetHan":{"old":"2027","new":"2026"},"ngaySuDung":{"old":"1088","new":"803"}}</t>
  </si>
  <si>
    <t>{"cpid":{"old":"800037","new":"800039"},"tenCongTy":{"old":"CÔNG TY CỔ PHẦN GAPIT","new":"TẬP ĐOÀN BƯU CHÍNH VIỄN THÔNG VIỆT NAM"},"giaHan":{"old":"(Trống)","new":"0"}}</t>
  </si>
  <si>
    <t>Unknown User</t>
  </si>
  <si>
    <t>{"Customer Success":{"old":"HoaNTM","new":"TúPHN","note":"Bàn giao từ HoaNTM sang TúPHN (Ngày BG: 10/04/2026)"}}</t>
  </si>
  <si>
    <t>locvn_starter</t>
  </si>
  <si>
    <t>Locvn@123</t>
  </si>
  <si>
    <t>673</t>
  </si>
  <si>
    <t>{"msg":"Auto lock: Hết hạn ngày 10/04/2026"}</t>
  </si>
  <si>
    <t>{"ngayHetHan":{"old":"18/04/2026","new":"18/04/2027"},"namHetHan":{"old":"2026","new":"2027"},"ngaySuDung":{"old":"744","new":"1109"},"namSuDung":{"old":"2","new":"4"},"tuDongGiaHan":{"old":"(Trống)","new":"Có"},"giaHan":{"old":"(Trống)","new":"1"},"maPhanLoai":{"old":"Partner_Digiconnex","new":"(Trống)"}}</t>
  </si>
  <si>
    <t>An.Phung.ext@loccitane.coM</t>
  </si>
  <si>
    <t>dungvt@gapit.com.vn</t>
  </si>
  <si>
    <t>An.Phung.ext@loccitane.com</t>
  </si>
  <si>
    <t>675</t>
  </si>
  <si>
    <t xml:space="preserve">CÔNG TY CỔ PHẦN BỆNH VIỆN ĐA KHOA HOÀN MỸ MINH HẢI
</t>
  </si>
  <si>
    <t>hmmh_admin</t>
  </si>
  <si>
    <t>{"giaHan":{"old":"(Trống)","new":"0"},"customerSupport":{"old":"(Trống)","new":"LinhNTT1"}}</t>
  </si>
  <si>
    <t>Hieutran@2025</t>
  </si>
  <si>
    <t>{"msg":"Auto lock: Hết hạn ngày 14/04/2026"}</t>
  </si>
  <si>
    <t>{"ngayHetHan":{"old":"20/05/2026","new":"20/05/2027"},"namHetHan":{"old":"2026","new":"2027"},"ngaySuDung":{"old":"730","new":"1095"},"namSuDung":{"old":"2","new":"3"},"tuDongGiaHan":{"old":"(Trống)","new":"Có"},"giaHan":{"old":"1","new":"2"}}</t>
  </si>
  <si>
    <t>Hubspot</t>
  </si>
  <si>
    <t>{"msg":"Auto lock: Hết hạn ngày 15/04/2026"}</t>
  </si>
  <si>
    <t>tan.tran3@hoanmy.com</t>
  </si>
  <si>
    <t>676</t>
  </si>
  <si>
    <t>{"orgId":{"old":"967","new":"970"},"tenCongTy":{"old":"CÔNG TY CỔ PHẦN SAO VÀNG","new":"Công ty One Mount Real Estate"},"tenTaiKhoan":{"old":"saovang1_starter","new":"omre_starter"},"matKhau":{"old":"Saovang@123","new":"Omre@123"},"giaHan":{"old":"(Trống)","new":"0"}}</t>
  </si>
  <si>
    <t>{"ghiChuHinhThucThanhToan":{"old":"Trả trước","new":"Trả sau"},"giaHan":{"old":"(Trống)","new":"0"}}</t>
  </si>
  <si>
    <t>{"giaHan":{"old":"(Trống)","new":"0"},"customerSupport":{"old":"Không phân công","new":"DungPL"}}</t>
  </si>
  <si>
    <t>{"ngayHetHan":{"old":"28/04/2026","new":"25/03/2027"},"namHetHan":{"old":"2026","new":"2027"},"ngaySuDung":{"old":"365","new":"696"},"namSuDung":{"old":"1","new":"2"},"giaHan":{"old":"(Trống)","new":"1"}}</t>
  </si>
  <si>
    <t>Jotun Paints (Vietnam) Co. Ltd.</t>
  </si>
  <si>
    <t>Capillary_Jotun_ZNS</t>
  </si>
  <si>
    <t>{"msg":"Auto lock: Hết hạn ngày 18/04/2026"}</t>
  </si>
  <si>
    <r>
      <rPr>
        <rFont val="Lexend"/>
        <u/>
      </rPr>
      <t>Jotun@1234</t>
    </r>
  </si>
  <si>
    <t>{"ngayHetHan":{"old":"21/04/2026","new":"07/05/2026"},"ngaySuDung":{"old":"365","new":"381"},"namSuDung":{"old":"1","new":"2"},"giaHan":{"old":"(Trống)","new":"1"}}</t>
  </si>
  <si>
    <t>{"msg":"Auto lock: Hết hạn ngày 20/04/2026"}</t>
  </si>
  <si>
    <t>{"loaiGoiCuoc":{"old":"Standard","new":"Starter"},"giaHan":{"old":"(Trống)","new":"0"}}</t>
  </si>
  <si>
    <t>677</t>
  </si>
  <si>
    <t>CÔNG TY TNHH NEXDOR VIỆT NAM</t>
  </si>
  <si>
    <t>nexdorvn_msg</t>
  </si>
  <si>
    <t>Nexdorvn@123456</t>
  </si>
  <si>
    <t>{"status":{"old":"Locked","new":"Active"},"ghiChuHinhThucThanhToan":{"old":"Trial","new":"Trả sau"},"ngayHetHan":{"old":"30/03/2026","new":"28/04/2027"},"namHetHan":{"old":"2026","new":"2027"},"ngaySuDung":{"old":"47","new":"441"},"namSuDung":{"old":"1","new":"2"},"giaHan":{"old":"(Trống)","new":"0"},"serviceType":{"old":"Yes","new":"(Trống)"}}</t>
  </si>
  <si>
    <t>{"cpid":{"old":"Wogitest","new":"800047"},"giaHan":{"old":"(Trống)","new":"0"}}</t>
  </si>
  <si>
    <r>
      <rPr>
        <rFont val="Lexend"/>
        <u/>
      </rPr>
      <t>amit.kumar@capillarytech.com</t>
    </r>
  </si>
  <si>
    <t>{"cpid":{"old":"6","new":"(Trống)"},"giaHan":{"old":"(Trống)","new":"0"}}</t>
  </si>
  <si>
    <t>{"msg":"Auto lock: Hết hạn ngày 21/04/2026"}</t>
  </si>
  <si>
    <t>thu.nsa@cyberhub.network</t>
  </si>
  <si>
    <t>{"salePhuTrach":{"old":"ThườngTTK","new":"ThanhNT"}}</t>
  </si>
  <si>
    <t>{"loaiGoiCuoc":{"old":"MSG","new":"Starter"},"ngayHetHan":{"old":"30/04/2026","new":"31/10/2026"},"ngaySuDung":{"old":"881","new":"1065"},"namSuDung":{"old":"2","new":"3"},"tuDongGiaHan":{"old":"(Trống)","new":"Có"},"giaHan":{"old":"1","new":"2"},"noteThongTinGiaHan":{"old":"(Trống)","new":"Gia hạn tự động mỗi 6 tháng https://wework.base.vn/gapone-pm-517-98810?task=9916307"}}</t>
  </si>
  <si>
    <t>679</t>
  </si>
  <si>
    <r>
      <rPr>
        <rFont val="Lexend"/>
        <u/>
      </rPr>
      <t>amit.kumar@capillarytech.com</t>
    </r>
  </si>
  <si>
    <t>{"giaHan":{"old":"(Trống)","new":"0"},"noteThongTinGiaHan":{"old":"(Trống)","new":"Không gia hạn do công ty giải thể"}}</t>
  </si>
  <si>
    <t>dhktnghean_gapone</t>
  </si>
  <si>
    <t>Dhktnghean@123456</t>
  </si>
  <si>
    <t>{"msg":"Auto lock: Hết hạn ngày 23/04/2026"}</t>
  </si>
  <si>
    <t>{"ngayHetHan":{"old":"01/05/2026","new":"01/05/2027"},"namHetHan":{"old":"2026","new":"2027"},"ngaySuDung":{"old":"571","new":"936"},"namSuDung":{"old":"2","new":"3"},"giaHan":{"old":"(Trống)","new":"2"}}</t>
  </si>
  <si>
    <t>tranthidien@naue.edu.vn</t>
  </si>
  <si>
    <t>{"msg":"Auto lock: Hết hạn ngày 24/04/2026"}</t>
  </si>
  <si>
    <t xml:space="preserve">tranthidien@naue.edu.vn </t>
  </si>
  <si>
    <t>{"msg":"Auto lock: Hết hạn ngày 25/04/2026"}</t>
  </si>
  <si>
    <t>{"msg":"Auto lock: Hết hạn ngày 27/04/2026"}</t>
  </si>
  <si>
    <t>680</t>
  </si>
  <si>
    <t>{"ngayHetHan":{"old":"01/05/2026","new":"18/10/2026"},"ngaySuDung":{"old":"386","new":"556"},"giaHan":{"old":"(Trống)","new":"1"}}</t>
  </si>
  <si>
    <t>{"msg":"Auto lock: Hết hạn ngày 28/04/2026"}</t>
  </si>
  <si>
    <t>{"ngayHetHan":{"old":"01/05/2026","new":"01/05/2027"},"namHetHan":{"old":"2026","new":"2027"},"ngaySuDung":{"old":"2040","new":"2405"},"namSuDung":{"old":"5","new":"7"},"giaHan":{"old":"3","new":"4"}}</t>
  </si>
  <si>
    <t>icheck_gapone</t>
  </si>
  <si>
    <t>Icheck@2025</t>
  </si>
  <si>
    <t>Rà soát</t>
  </si>
  <si>
    <t>{"msg":"Auto lock: Hết hạn ngày 29/04/2026"}</t>
  </si>
  <si>
    <t>{"msg":"Auto lock: Hết hạn ngày 30/04/2026"}</t>
  </si>
  <si>
    <t>giangnth2@icheck.com.vn</t>
  </si>
  <si>
    <t>{"msg":"Auto lock: Hết hạn ngày 03/05/2026"}</t>
  </si>
  <si>
    <t>{"status":{"old":"Locked","new":"Active"},"ngayHetHan":{"old":"03/05/2026","new":"22/03/2027"},"namHetHan":{"old":"2026","new":"2027"},"ngaySuDung":{"old":"18","new":"341"},"giaHan":{"old":"(Trống)","new":"1"},"phanKhucKH":{"old":"Sale chưa cung cấp","new":"Gold"}}</t>
  </si>
  <si>
    <t>{"msg":"Auto lock: Hết hạn ngày 04/05/2026"}</t>
  </si>
  <si>
    <t>{"loaiGoiCuoc":{"old":"API MSG","new":"Starter"},"ngayHetHan":{"old":"12/05/2026","new":"11/05/2027"},"namHetHan":{"old":"2026","new":"2027"},"ngaySuDung":{"old":"889","new":"1253"},"namSuDung":{"old":"2","new":"4"},"tuDongGiaHan":{"old":"(Trống)","new":"Có"},"giaHan":{"old":"2","new":"3"},"maPhanLoai":{"old":"Partner_Bizfly","new":"(Trống)"}}</t>
  </si>
  <si>
    <t>{"status":{"old":"Locked","new":"Active"},"ngayHetHan":{"old":"28/04/2026","new":"27/04/2027"},"namHetHan":{"old":"2026","new":"2027"},"ngaySuDung":{"old":"364","new":"728"},"namSuDung":{"old":"(Trống)","new":"2"},"giaHan":{"old":"(Trống)","new":"1"}}</t>
  </si>
  <si>
    <t>414</t>
  </si>
  <si>
    <t>{"status":{"old":"Locked","new":"Active"},"ngayHetHan":{"old":"24/04/2026","new":"31/12/2026"},"ngaySuDung":{"old":"364","new":"615"},"namSuDung":{"old":"1","new":"2"},"giaHan":{"old":"(Trống)","new":"1"}}</t>
  </si>
  <si>
    <t>{"orgId":{"old":"800042","new":"969"},"cpid":{"old":"969","new":"800042"},"giaHan":{"old":"(Trống)","new":"0"}}</t>
  </si>
  <si>
    <t>{"msg":"Auto lock: Hết hạn ngày 05/05/2026"}</t>
  </si>
  <si>
    <t>{"ngayHetHan":{"old":"07/05/2026","new":"05/05/2027"},"namHetHan":{"old":"2026","new":"2027"},"ngaySuDung":{"old":"381","new":"744"},"namSuDung":{"old":"2","new":"3"},"giaHan":{"old":"1","new":"2"}}</t>
  </si>
  <si>
    <t>{"ngayHetHan":{"old":"05/05/2027","new":"21/04/2027"},"ngaySuDung":{"old":"744","new":"730"},"namSuDung":{"old":"3","new":"2"}}</t>
  </si>
  <si>
    <t>01/12/2023: gia hạn 6 tháng
Ngày gia hạn lần 2: 26/07/2023 - 31/07/2025
Gia hạn lần 1: 07/07/2023 - 07/07/2024
Gia hạn lần 2: đến 31/07/2025
Gia hạn lần 3: đến 31/07/2026</t>
  </si>
  <si>
    <t>{"status":{"old":"Locked","new":"Active"},"ngayHetHan":{"old":"03/05/2026","new":"07/11/2026"},"ngaySuDung":{"old":"376","new":"564"},"namSuDung":{"old":"1","new":"2"},"giaHan":{"old":"1","new":"2"},"salePhuTrach":{"old":"NgocPH","new":"NgọcPH"}}</t>
  </si>
  <si>
    <t>{"msg":"Auto lock: Hết hạn ngày 07/05/2026"}</t>
  </si>
  <si>
    <t>TramNNB@gapit.com.vn</t>
  </si>
  <si>
    <t>{"msg":"Auto lock: Hết hạn ngày 09/05/2026"}</t>
  </si>
  <si>
    <t>683</t>
  </si>
  <si>
    <t>{"ngayHetHan":{"old":"20/05/2026","new":"20/05/2027"},"namHetHan":{"old":"2026","new":"2027"},"ngaySuDung":{"old":"271","new":"636"},"namSuDung":{"old":"(Trống)","new":"2"},"tuDongGiaHan":{"old":"(Trống)","new":"Có"},"giaHan":{"old":"(Trống)","new":"1"}}</t>
  </si>
  <si>
    <t>{"khuVuc":{"old":"Hà Nội","new":"Sài Gòn"},"giaHan":{"old":"(Trống)","new":"0"},"salePhuTrach":{"old":"NgânNT1","new":"NgọcPH"},"maPhanLoai":{"old":"Partner_Bizfly","new":"(Trống)"}}</t>
  </si>
  <si>
    <t>{"khuVuc":{"old":"Hà Nội","new":"Sài Gòn"},"salePhuTrach":{"old":"NgânNT1","new":"NgọcPH"}}</t>
  </si>
  <si>
    <t>{"status":{"old":"Locked","new":"Active"},"ngayHetHan":{"old":"30/04/2026","new":"13/03/2027"},"namHetHan":{"old":"2026","new":"2027"},"ngaySuDung":{"old":"791","new":"1108"},"namSuDung":{"old":"3","new":"4"},"giaHan":{"old":"2","new":"3"},"salePhuTrach":{"old":"ThanhNT","new":"HồngNTT"}}</t>
  </si>
  <si>
    <t>{"status":{"old":"Locked","new":"Active"},"ngayHetHan":{"old":"14/04/2026","new":"11/04/2027"},"namHetHan":{"old":"2026","new":"2027"},"ngaySuDung":{"old":"365","new":"727"},"namSuDung":{"old":"1","new":"2"},"giaHan":{"old":"(Trống)","new":"1"},"salePhuTrach":{"old":"NhungPTH","new":"HườngĐM"}}</t>
  </si>
  <si>
    <t>{"loaiGoiCuoc":{"old":"SIMILAR","new":"Standard"},"ngayHetHan":{"old":"01/07/2026","new":"30/06/2027"},"namHetHan":{"old":"2026","new":"2027"},"ngaySuDung":{"old":"1127","new":"1491"},"namSuDung":{"old":"3","new":"5"},"tuDongGiaHan":{"old":"(Trống)","new":"Không"},"giaHan":{"old":"3","new":"4"},"noteThongTinGiaHan":{"old":"Gia hạn gói ngày 1/12/2023, ngày hết hạn 31/05/2024 (draft PL sale group zalo), chờ confirm\r\nGia hạn gói ngày 02/07/2024, gia hạn 1 năm\r\nGia hạn từ 1/7/25 -&gt; 1/7/26","new":"Gia hạn gói ngày 1/12/2023, ngày hết hạn 31/05/2024 (draft PL sale group zalo), chờ confirm\nGia hạn gói ngày 02/07/2024, gia hạn 1 năm\nGia hạn từ 1/7/25 -&gt; 1/7/26"},"customerSupport":{"old":"LinhNTT1","new":"DungPL"}}</t>
  </si>
  <si>
    <t>{"status":{"old":"Locked","new":"Active"},"ngayHetHan":{"old":"04/05/2026","new":"10/04/2027"},"namHetHan":{"old":"2026","new":"2027"},"ngaySuDung":{"old":"19","new":"360"},"giaHan":{"old":"(Trống)","new":"0"}}</t>
  </si>
  <si>
    <t>{"cpid":{"old":"(Trống)","new":"800055"},"giaHan":{"old":"(Trống)","new":"0"}}</t>
  </si>
  <si>
    <t>{"msg":"Auto lock: Hết hạn ngày 12/05/2026"}</t>
  </si>
  <si>
    <t>684</t>
  </si>
  <si>
    <t>{"status":{"old":"Locked","new":"Active"},"ngayHetHan":{"old":"29/04/2026","new":"29/04/2029"},"namHetHan":{"old":"2026","new":"2029"},"ngaySuDung":{"old":"765","new":"1861"},"namSuDung":{"old":"3","new":"6"}}</t>
  </si>
  <si>
    <t>{"msg":"Auto lock: Hết hạn ngày 13/05/2026"}</t>
  </si>
  <si>
    <t>{"phanKhucKH":{"old":"Bronze","new":"Gold"}}</t>
  </si>
  <si>
    <t>{"msg":"Auto lock: Hết hạn ngày 14/05/2026"}</t>
  </si>
  <si>
    <t>685</t>
  </si>
  <si>
    <t>{"msg":"Auto lock: Hết hạn ngày 18/05/2026"}</t>
  </si>
  <si>
    <t>{"status":{"old":"Locked","new":"Active"},"cpid":{"old":"(Trống)","new":"800025, 600742"},"loaiGoiCuoc":{"old":"MSG","new":"Starter"},"ghiChuHinhThucThanhToan":{"old":"(Chưa recheck)","new":"Trả sau"},"hinhThucSuDung":{"old":"(Chưa recheck)","new":"API"},"duLieuInput":{"old":"(Chưa recheck)","new":"API"},"kenhGuiTin":{"old":"(Chưa recheck)","new":"SMS CSKH"},"ngayHetHan":{"old":"31/12/2023","new":"30/06/2026"},"namHetHan":{"old":"2023","new":"2026"},"ngaySuDung":{"old":"143","new":"1055"},"namSuDung":{"old":"(Trống)","new":"3"},"moTaNhuCau":{"old":"(Trống)","new":"chuyển đổi từ API Gateway"},"tuDongGiaHan":{"old":"(Trống)","new":"Có"},"giaHan":{"old":"(Trống)","new":"0"},"noteThongTinGiaHan":{"old":"Mở trả sau ngày 10/8/2023","new":"(Trống)"},"nganhNghe":{"old":"Sale chưa cung cấp","new":"Truyền thông &amp; Giải trí"},"customerSuccess":{"old":"HoaNTM","new":"Không phân công"},"customerSupport":{"old":"(Chưa recheck)","new":"LinhNTT1"},"salePhuTrach":{"old":"HồngNT","new":"HồngNTT"},"serviceType":{"old":"Yes","new":"(Trống)"}}</t>
  </si>
  <si>
    <t>Gia hạn gói ngày 17/11/2023, ngày hết hạn 16/11/2024
Tiếp tục gia hạn đến 16/11/2025</t>
  </si>
  <si>
    <t>{"giaHan":{"old":"(Trống)","new":"0"}}</t>
  </si>
  <si>
    <t>Nạp PO 4tr</t>
  </si>
  <si>
    <t>{"cpid":{"old":"600678","new":"600678, 20656"},"kenhGuiTin":{"old":"Zalo ZNS","new":"SMS CSKH, Zalo ZNS"},"moTaNhuCau":{"old":"(Trống)","new":"chuyển đổi từ API Gateway"}}</t>
  </si>
  <si>
    <t>{"status":{"old":"Locked","new":"Active"},"cpid":{"old":"(Trống)","new":"600030"},"loaiGoiCuoc":{"old":"API","new":"Starter"},"ghiChuHinhThucThanhToan":{"old":"Trial","new":"Trả sau"},"hinhThucSuDung":{"old":"(Không recheck)","new":"API"},"duLieuInput":{"old":"(Không recheck)","new":"API"},"kenhGuiTin":{"old":"(Không recheck)","new":"SMS CSKH"},"ngayHetHan":{"old":"21/11/2024","new":"30/06/2026"},"namHetHan":{"old":"2024","new":"2026"},"ngaySuDung":{"old":"367","new":"953"},"namSuDung":{"old":"1","new":"3"},"moTaNhuCau":{"old":"(Trống)","new":"chuyển đổi từ API Gateway"},"tuDongGiaHan":{"old":"(Trống)","new":"Có"},"giaHan":{"old":"(Trống)","new":"0"},"customerSuccess":{"old":"HoaNTM","new":"Không phân công"},"customerSupport":{"old":"(Không recheck)","new":"LinhNTT1"},"salePhuTrach":{"old":"(Không recheck)","new":"ThườngTTK"},"serviceType":{"old":"Yes","new":"(Trống)"}}</t>
  </si>
  <si>
    <t>686</t>
  </si>
  <si>
    <t>Kết nối API gửi ZNS hành trình token_logistics_7 + ZNS thông thường
Kết nối API gửi SMS Brandname
Có thể sử dụng cơ chế Failover</t>
  </si>
  <si>
    <t xml:space="preserve">Trả trước để test
(sau khi ký HĐ chuyển trả sau)
</t>
  </si>
  <si>
    <t>bichnt@ems.com.vn; khanhdq@ems.com.vn; tuanta@ems.com.vn</t>
  </si>
  <si>
    <t>338</t>
  </si>
  <si>
    <t>CÔNG TY CỔ PHẦN WCREAT</t>
  </si>
  <si>
    <t>wcreat_msg</t>
  </si>
  <si>
    <t>Wcreat@123456</t>
  </si>
  <si>
    <t>{"giaHan":{"old":"(Trống)","new":"1"}}</t>
  </si>
  <si>
    <t>minh.nguyen@wcreate.vn</t>
  </si>
  <si>
    <t>{"msg":"Auto lock: Hết hạn ngày 19/05/2026"}</t>
  </si>
  <si>
    <t>{"ngayHetHan":{"old":"06/06/2026","new":"06/06/2027"},"namHetHan":{"old":"2026","new":"2027"},"ngaySuDung":{"old":"1053","new":"1418"},"namSuDung":{"old":"2","new":"4"},"giaHan":{"old":"(Trống)","new":"3"},"maPhanLoai":{"old":"Golden Gate","new":"(Trống)"}}</t>
  </si>
  <si>
    <t>688</t>
  </si>
  <si>
    <t>{"salePhuTrach":{"old":"ThườngTTK","new":"NgọcPH"}}</t>
  </si>
  <si>
    <t>{"salePhuTrach":{"old":"ThườngTTK","new":"TrâmNTB"},"serviceType":{"old":"Yes","new":"(Trống)"}}</t>
  </si>
  <si>
    <t>{"status":{"old":"Locked","new":"Active"},"ghiChuHinhThucThanhToan":{"old":"Trả trước","new":"Trả sau"},"hinhThucSuDung":{"old":"API &amp; Portal","new":"API"},"duLieuInput":{"old":"File Excel, API","new":"API"},"kenhGuiTin":{"old":"Tất cả","new":"SMS CSKH"},"ngayHetHan":{"old":"30/09/2025","new":"30/06/2026"},"namHetHan":{"old":"2025","new":"2026"},"ngaySuDung":{"old":"285","new":"558"},"namSuDung":{"old":"(Trống)","new":"2"},"tuDongGiaHan":{"old":"Không","new":"Có"},"giaHan":{"old":"(Trống)","new":"0"},"noteThongTinGiaHan":{"old":"(Trống)","new":"chuyển đổi từ API Gateway"}}</t>
  </si>
  <si>
    <t>{"status":{"old":"Locked","new":"Active"},"loaiGoiCuoc":{"old":"Premium","new":"Starter"},"ghiChuHinhThucThanhToan":{"old":"Trial","new":"Trả sau"},"hinhThucSuDung":{"old":"API &amp; Portal","new":"API"},"duLieuInput":{"old":"File Excel, API","new":"API"},"kenhGuiTin":{"old":"SMS CSKH, Zalo ZNS","new":"SMS CSKH"},"ngayHetHan":{"old":"17/02/2026","new":"30/06/2026"},"ngaySuDung":{"old":"14","new":"147"},"serviceType":{"old":"Yes","new":"(Trống)"}}</t>
  </si>
  <si>
    <t>{"noteThongTinGiaHan":{"old":"(Trống)","new":"chuyển đổi từ API Gateway"}}</t>
  </si>
  <si>
    <t>{"msg":"Auto lock: Hết hạn ngày 21/05/2026"}</t>
  </si>
  <si>
    <t>Test</t>
  </si>
  <si>
    <t>{"status":{"old":"Locked","new":"Active"},"duLieuInput":{"old":"(Trống)","new":"API"},"ngayHetHan":{"old":"03/05/2026","new":"30/06/2026"},"ngaySuDung":{"old":"18","new":"76"}}</t>
  </si>
  <si>
    <t>{"msg":"Auto lock: Hết hạn ngày 22/05/2026"}</t>
  </si>
  <si>
    <t>687</t>
  </si>
  <si>
    <t>{"msg":"Auto lock: Hết hạn ngày 23/05/2026"}</t>
  </si>
  <si>
    <t>CÔNG TY TNHH TRUSTUP</t>
  </si>
  <si>
    <t>Trustup_gapone</t>
  </si>
  <si>
    <t>{"msg":"Auto lock: Hết hạn ngày 24/05/2026"}</t>
  </si>
  <si>
    <t>Trustup@123456</t>
  </si>
  <si>
    <t>{"ngayHetHan":{"old":"27/05/2026","new":"27/05/2027"},"namHetHan":{"old":"2026","new":"2027"},"ngaySuDung":{"old":"939","new":"1304"},"namSuDung":{"old":"2","new":"4"},"tuDongGiaHan":{"old":"(Trống)","new":"Có"},"giaHan":{"old":"1","new":"2"}}</t>
  </si>
  <si>
    <t>{"status":{"old":"Locked","new":"Active"},"ghiChuHinhThucThanhToan":{"old":"Trial","new":"Trả sau"},"ngayHetHan":{"old":"23/05/2026","new":"15/05/2027"},"namHetHan":{"old":"2026","new":"2027"},"ngaySuDung":{"old":"30","new":"387"},"namSuDung":{"old":"1","new":"2"},"giaHan":{"old":"(Trống)","new":"0"},"nganhNghe":{"old":"Sale chưa cung cấp","new":"Tài chính &amp; Ngân hàng"},"customerSupport":{"old":"(Trống)","new":"DungVT"}}</t>
  </si>
  <si>
    <t>{"status":{"old":"Locked","new":"Active"},"cpid":{"old":"6_test","new":"800052"},"ghiChuHinhThucThanhToan":{"old":"Trial","new":"Trả sau"},"ngayHetHan":{"old":"30/04/2026","new":"04/05/2027"},"namHetHan":{"old":"2026","new":"2027"},"ngaySuDung":{"old":"100","new":"469"},"namSuDung":{"old":"1","new":"2"},"giaHan":{"old":"(Trống)","new":"0"},"emailNhanThongBao":{"old":"(Trống)","new":"phuongdl@galaxytelecom.vn"},"customerSupport":{"old":"Không phân công","new":"YếnĐH"}}</t>
  </si>
  <si>
    <t>20 ZNS</t>
  </si>
  <si>
    <t>389</t>
  </si>
  <si>
    <t>{"status":{"old":"Active","new":"Locked"},"loaiGoiCuoc":{"old":"API","new":"Starter"},"namSuDung":{"old":"2","new":"3"},"moTaNhuCau":{"old":"(Trống)","new":"Khách hàng dừng hợp tác với BIzfly  - là agency gửi qua GAPIT - nên dừng dịch vụ."},"tuDongGiaHan":{"old":"(Trống)","new":"Không"},"maPhanLoai":{"old":"Partner_Bizfly","new":"(Trống)"}}</t>
  </si>
  <si>
    <r>
      <rPr>
        <rFont val="Lexend"/>
        <u/>
      </rPr>
      <t>dotranminhchu@gmail.com</t>
    </r>
  </si>
  <si>
    <t>{"tenCongTy":{"old":"CÔNG TY TNHH CHO THUÊ Ô TÔ AN HÒA PHÁT","new":"CÔNG TY CỔ PHẦN VCCORP (CÔNG TY TNHH CHO THUÊ Ô TÔ AN HÒA PHÁT)"},"duLieuInput":{"old":"(Chưa recheck)","new":"(Trống)"},"namSuDung":{"old":"(Trống)","new":"1"},"giaHan":{"old":"(Trống)","new":"0"},"maPhanLoai":{"old":"Partner_Bizfly","new":"(Trống)"}}</t>
  </si>
  <si>
    <t>{"tenCongTy":{"old":"CÔNG TY CỔ PHẦN GIẢI PHÁP TỰ ĐỘNG HÓA ETEK","new":"CÔNG TY CỔ PHẦN VCCORP (CÔNG TY CỔ PHẦN GIẢI PHÁP TỰ ĐỘNG HÓA ETEK)"},"giaHan":{"old":"(Trống)","new":"0"},"maPhanLoai":{"old":"Partner_Bizfly","new":"(Trống)"}}</t>
  </si>
  <si>
    <t>{"status":{"old":"Locked","new":"Active"},"loaiGoiCuoc":{"old":"MSG","new":"Starter"},"ghiChuHinhThucThanhToan":{"old":"(Chưa recheck)","new":"Trả sau"},"hinhThucSuDung":{"old":"(Chưa recheck)","new":"API"},"duLieuInput":{"old":"File Excel","new":"API"},"ngayHetHan":{"old":"04/06/2025","new":"31/12/2026"},"namHetHan":{"old":"2025","new":"2026"},"ngaySuDung":{"old":"428","new":"1003"},"namSuDung":{"old":"1","new":"3"},"emailTaoTaiKhoan":{"old":"(Trống)","new":"checksau@gmail.com"},"customerSuccess":{"old":"(Chưa recheck)","new":"Không phân công"},"customerSupport":{"old":"(Chưa recheck)","new":"DungPL"}}</t>
  </si>
  <si>
    <t>{"status":{"old":"Locked","new":"Active"},"ghiChuHinhThucThanhToan":{"old":"Trả sau","new":"Trial"},"ngayHetHan":{"old":"16/03/2026","new":"11/06/2026"},"ngaySuDung":{"old":"181","new":"268"},"namSuDung":{"old":"(Trống)","new":"1"},"tuDongGiaHan":{"old":"(Trống)","new":"Không"},"giaHan":{"old":"(Trống)","new":"1"},"customerSuccess":{"old":"HoaNTM","new":"AnhNM"},"salePhuTrach":{"old":"ThườngTTK","new":"TrâmNTB"},"serviceType":{"old":"Yes","new":"(Trống)"}}</t>
  </si>
  <si>
    <t>{"ngayHetHan":{"old":"31/05/2026","new":"31/07/2026"},"ngaySuDung":{"old":"803","new":"864"},"giaHan":{"old":"3","new":"4"}}</t>
  </si>
  <si>
    <t>{"msg":"Auto lock: Hết hạn ngày 29/05/2026"}</t>
  </si>
  <si>
    <t>{"msg":"Auto lock: Hết hạn ngày 30/05/2026"}</t>
  </si>
  <si>
    <t>689</t>
  </si>
  <si>
    <t>Công Ty Cổ Phần Công Nghệ DCORP</t>
  </si>
  <si>
    <t>dcorp_gapone</t>
  </si>
  <si>
    <t>{"msg":"Auto lock: Hết hạn ngày 31/05/2026"}</t>
  </si>
  <si>
    <t>Dcorp@123456</t>
  </si>
  <si>
    <t>damhaiyen1216@gmail.com</t>
  </si>
  <si>
    <t>{"tuDongGiaHan":{"old":"(Trống)","new":"Không"},"noteThongTinGiaHan":{"old":"Trả trước để test\r\n(sau khi ký HĐ chuyển trả sau)","new":"Trả trước để test\n(sau khi ký HĐ chuyển trả sau)"},"emailNhanThongBao":{"old":"ngocnt@ems.com.vn","new":"bichnt@ems.com.vn; khanhdq@ems.com.vn; tuanta@ems.com.vn"}}</t>
  </si>
  <si>
    <t>{"emailNhanThongBao":{"old":"support@citigym.asia; ITD-CTG@citigym.asia","new":"support@citigym.asia"}}</t>
  </si>
  <si>
    <t>{"namSuDung":{"old":"3","new":"4"},"giaHan":{"old":"(Trống)","new":"2"},"emailNhanThongBao":{"old":"thuyntp@crownx.masangroup.com; tennh@crownx.masangroup.com;thunta2@winmart.masangroup.com; 'Vương Quốc Chiến (The CrownX-TECH-MB)' &lt;chienvq@crownx.masangroup.com&gt;; 'Nguyễn Hữu Ten (The CrownX-TECH-MN)' &lt;tennh@crownx.masangroup.com&gt;; 'Lê Thu Trang (WM-MKT-MB)' &lt;tranglt@winmart.masangroup.com&gt;; 'Trần Minh Tiền (WM-MKT-MN)' &lt;tientm@winmart.masangroup.com&gt;","new":"\tthuyntp@crownx.masangroup.com; tennh@crownx.masangroup.com; chienvq@crownx.masangroup.com; tennh@crownx.masangroup.com; tranglt@winmart.masangroup.com"},"customerSuccess":{"old":"TuPHN","new":"TúPHN"},"customerSupport":{"old":"DungVT, DungPL","new":"DungPL, DungVT"},"maPhanLoai":{"old":"Wincommerce","new":"(Trống)"}}</t>
  </si>
  <si>
    <t>{"salePhuTrach":{"old":"DungĐT","new":"NgânNT1"}}</t>
  </si>
  <si>
    <t>d.baott@dcorp.com.vn</t>
  </si>
  <si>
    <t>{"emailNhanThongBao":{"old":"ngantranthithanh@vccorp.vn","new":"(Trống)"},"maPhanLoai":{"old":"Partner_Bizfly","new":"(Trống)"}}</t>
  </si>
  <si>
    <t>{"loaiGoiCuoc":{"old":"API","new":"Starter"},"namSuDung":{"old":"2","new":"3"},"emailNhanThongBao":{"old":"do.chi@mitsui.com","new":"do.chi@mitsui.com, P.Trinh@mvc-co.com,MinhTrangProduct@mvc-co.com"}}</t>
  </si>
  <si>
    <t>{"ngayHetHan":{"old":"06/10/2026","new":"10/06/2027"},"namHetHan":{"old":"2026","new":"2027"},"ngaySuDung":{"old":"1103","new":"1350"},"giaHan":{"old":"1","new":"2"},"customerSuccess":{"old":"TuPHN","new":"TúPHN"},"salePhuTrach":{"old":"CẩmPN","new":"NgânNT1"},"maPhanLoai":{"old":"Partner_Capillary","new":"(Trống)"}}</t>
  </si>
  <si>
    <t>690</t>
  </si>
  <si>
    <t>{"msg":"Auto lock: Hết hạn ngày 01/06/2026"}</t>
  </si>
  <si>
    <t>{"msg":"Auto lock: Hết hạn ngày 02/06/2026"}</t>
  </si>
  <si>
    <t>Mở trả sau ngày 10/8/2023</t>
  </si>
  <si>
    <t>{"msg":"Auto lock: Hết hạn ngày 04/06/2026"}</t>
  </si>
  <si>
    <t>Hongnt</t>
  </si>
  <si>
    <t>{"khuVuc":{"old":"Sài Gòn","new":"(Trống)"},"status":{"old":"Locked","new":"Active"},"cpid":{"old":"600293","new":"800065"},"tenCongTy":{"old":"DR DIGITAL","new":"Công ty TNHH Kỹ Thuật Số DR"},"ghiChuHinhThucThanhToan":{"old":"(Chưa recheck)","new":"Trả sau"},"hinhThucSuDung":{"old":"(Chưa recheck)","new":"Portal"},"duLieuInput":{"old":"API","new":"File Excel"},"kenhGuiTin":{"old":"GapOne","new":"Zalo ZNS"},"ngayHetHan":{"old":"14/09/2024","new":"05/12/2026"},"namHetHan":{"old":"2024","new":"2026"},"ngaySuDung":{"old":"198","new":"1010"},"namSuDung":{"old":"(Trống)","new":"3"},"tuDongGiaHan":{"old":"(Trống)","new":"Không"},"giaHan":{"old":"(Trống)","new":"1"},"noteThongTinGiaHan":{"old":"(Trống)","new":"Mở mới từ 5/6/2026 -&gt; 05/12/2026"},"emailNhanThongBao":{"old":"(Trống)","new":"quan.vh@drdigital.vn"},"nganhNghe":{"old":"Sale chưa cung cấp","new":"Dịch vụ khác"},"customerSuccess":{"old":"HoaNTM","new":"TúPHN"},"customerSupport":{"old":"(Chưa recheck)","new":"(Trống)"},"phanKhucKH":{"old":"Sale chưa cung cấp","new":"Silver"}}</t>
  </si>
  <si>
    <t>{"msg":"Auto lock: Hết hạn ngày 06/06/2026"}</t>
  </si>
  <si>
    <t>691</t>
  </si>
  <si>
    <t>{"khuVuc":{"old":"(Trống)","new":"Sài Gòn"},"salePhuTrach":{"old":"ThườngTTK","new":"HânNG"}}</t>
  </si>
  <si>
    <t>{"ghiChuHinhThucThanhToan":{"old":"Trả trước","new":"Trả sau"},"duLieuInput":{"old":"File Excel","new":"File Excel, API"},"kenhGuiTin":{"old":"Zalo ZNS","new":"SMS CSKH, SMS QC, Zalo ZNS"},"ngayHetHan":{"old":"14/06/2026","new":"19/03/2027"},"namHetHan":{"old":"2026","new":"2027"},"ngaySuDung":{"old":"730","new":"1008"},"namSuDung":{"old":"2","new":"3"},"tuDongGiaHan":{"old":"Không","new":"Có"},"giaHan":{"old":"1","new":"2"},"customerSuccess":{"old":"HoaNTM","new":"TùngLD"},"serviceType":{"old":"Yes","new":"(Trống)"}}</t>
  </si>
  <si>
    <t>{"msg":"Auto lock: Hết hạn ngày 08/06/2026"}</t>
  </si>
  <si>
    <t>{"cpid":{"old":"600102","new":"800069"}}</t>
  </si>
  <si>
    <t>{"ngayHetHan":{"old":"17/06/2026","new":"17/06/2027"},"namHetHan":{"old":"2026","new":"2027"},"ngaySuDung":{"old":"754","new":"1119"},"namSuDung":{"old":"3","new":"4"},"giaHan":{"old":"1","new":"2"}}</t>
  </si>
  <si>
    <t>693</t>
  </si>
  <si>
    <t>{"emailNhanThongBao":{"old":"hongcamnhung.le@thebodyshop.com.vn","new":"anhthy.nguyen@thebodyshop.com.vn"}}</t>
  </si>
  <si>
    <t>{"msg":"Auto lock: Hết hạn ngày 11/06/2026"}</t>
  </si>
  <si>
    <t>{"status":{"old":"Locked","new":"Active"},"ngayHetHan":{"old":"11/06/2026","new":"24/06/2026"},"ngaySuDung":{"old":"730","new":"743"},"namSuDung":{"old":"2","new":"3"},"giaHan":{"old":"(Trống)","new":"1"}}</t>
  </si>
  <si>
    <t>{"msg":"Auto lock: Hết hạn ngày 12/06/2026"}</t>
  </si>
  <si>
    <t>{"msg":"Auto lock: Hết hạn ngày 15/06/2026"}</t>
  </si>
  <si>
    <t>{"ngayHetHan":{"old":"02/07/2026","new":"30/06/2027"},"namHetHan":{"old":"2026","new":"2027"},"ngaySuDung":{"old":"20","new":"383"},"namSuDung":{"old":"1","new":"2"},"giaHan":{"old":"(Trống)","new":"0"}}</t>
  </si>
  <si>
    <t>{"emailNhanThongBao":{"old":"lykhanhho@saigonnewport.com.vn","new":"lyhtk@saigonnewport.com.vn; linhpt1@saigonnewport.com.vn"}}</t>
  </si>
  <si>
    <t>{"msg":"Auto lock: Hết hạn ngày 16/06/2026"}</t>
  </si>
  <si>
    <t>{"msg":"Auto lock: Hết hạn ngày 17/06/2026"}</t>
  </si>
  <si>
    <t>{"ngayHetHan":{"old":"01/07/2026","new":"01/07/2027"},"namHetHan":{"old":"2026","new":"2027"},"ngaySuDung":{"old":"308","new":"673"},"namSuDung":{"old":"(Trống)","new":"2"},"giaHan":{"old":"(Trống)","new":"1"}}</t>
  </si>
  <si>
    <t>692</t>
  </si>
  <si>
    <t>CÔNG TY CỔ PHẦN ĐƯỜNG QUẢNG NGÃI (Kênh)</t>
  </si>
  <si>
    <t>vinasoykenh_gapone</t>
  </si>
  <si>
    <t>{"ngayHetHan":{"old":"30/06/2026","new":"29/06/2027"},"namHetHan":{"old":"2026","new":"2027"},"ngaySuDung":{"old":"1712","new":"2076"},"namSuDung":{"old":"4","new":"6"},"giaHan":{"old":"(Trống)","new":"1"}}</t>
  </si>
  <si>
    <t>Vinasoykenh@123456</t>
  </si>
  <si>
    <t>{"msg":"Auto lock: Hết hạn ngày 19/06/2026"}</t>
  </si>
  <si>
    <t>{"status":{"old":"Locked","new":"Active"},"ngayHetHan":{"old":"16/06/2026","new":"16/06/2027"},"namHetHan":{"old":"2026","new":"2027"},"ngaySuDung":{"old":"316","new":"681"},"namSuDung":{"old":"1","new":"2"},"tuDongGiaHan":{"old":"Không","new":"Có"},"giaHan":{"old":"(Trống)","new":"2"},"noteThongTinGiaHan":{"old":"(Trống)","new":"Gia hạn free mỗi năm"}}</t>
  </si>
  <si>
    <t>10.000 ZNS</t>
  </si>
  <si>
    <t>{"ngayHetHan":{"old":"30/06/2026","new":"28/03/2035"},"namHetHan":{"old":"2026","new":"2035"},"ngaySuDung":{"old":"26","new":"3219"},"namSuDung":{"old":"1","new":"9"},"moTaNhuCau":{"old":"chuyển đổi API Gateway sang GapOne","new":"(Trống)"},"giaHan":{"old":"(Trống)","new":"0"}}</t>
  </si>
  <si>
    <t>Tramntd</t>
  </si>
  <si>
    <t>{"status":{"old":"Locked","new":"Active"},"ngayHetHan":{"old":"21/05/2026","new":"21/05/2027"},"namHetHan":{"old":"2026","new":"2027"},"ngaySuDung":{"old":"205","new":"570"},"namSuDung":{"old":"(Trống)","new":"2"},"tuDongGiaHan":{"old":"(Trống)","new":"Không"},"giaHan":{"old":"(Trống)","new":"1"}}</t>
  </si>
  <si>
    <t>694</t>
  </si>
  <si>
    <t>{"status":{"old":"Locked","new":"Active"},"ghiChuHinhThucThanhToan":{"old":"Trả trước","new":"Trả sau"},"ngayHetHan":{"old":"01/06/2026","new":"12/07/2027"},"namHetHan":{"old":"2026","new":"2027"},"ngaySuDung":{"old":"27","new":"433"},"namSuDung":{"old":"1","new":"2"},"giaHan":{"old":"(Trống)","new":"1"},"emailNhanThongBao":{"old":"(Trống)","new":"dunp@bsc.com.vn"},"customerSupport":{"old":"Không phân công","new":"DungVT, YếnĐH"}}</t>
  </si>
  <si>
    <t>{"ghiChuHinhThucThanhToan":{"old":"Trả sau","new":"Trial"},"giaHan":{"old":"(Trống)","new":"0"},"serviceType":{"old":"Yes","new":"(Trống)"}}</t>
  </si>
  <si>
    <t>{"status":{"old":"Locked","new":"Active"},"ngayHetHan":{"old":"12/05/2026","new":"05/12/2026"},"ngaySuDung":{"old":"883","new":"1090"}}</t>
  </si>
  <si>
    <t>{"ghiChuHinhThucThanhToan":{"old":"Trial","new":"Trả sau"},"giaHan":{"old":"(Trống)","new":"0"}}</t>
  </si>
  <si>
    <t>{"namSuDung":{"old":"(Trống)","new":"1"},"tuDongGiaHan":{"old":"(Trống)","new":"Không"},"giaHan":{"old":"(Trống)","new":"0"},"noteThongTinGiaHan":{"old":"(Trống)","new":"KH chưa triển khai và không gia hạn vì tệp khách hàng của họ chưa đủ để sử dụng kênh ZBS"},"serviceType":{"old":"Yes","new":"(Trống)"}}</t>
  </si>
  <si>
    <t>{"ngayHetHan":{"old":"24/06/2026","new":"11/06/2027"},"namHetHan":{"old":"2026","new":"2027"},"ngaySuDung":{"old":"743","new":"1095"},"giaHan":{"old":"1","new":"2"}}</t>
  </si>
  <si>
    <t>{"msg":"Auto lock: Hết hạn ngày 24/06/2026"}</t>
  </si>
  <si>
    <t>{"status":{"old":"Locked","new":"Active"},"ghiChuHinhThucThanhToan":{"old":"Trial","new":"Trả trước"},"ngayHetHan":{"old":"24/06/2026","new":"25/07/2026"},"ngaySuDung":{"old":"15","new":"46"},"giaHan":{"old":"(Trống)","new":"0"},"noteThongTinGiaHan":{"old":"(Trống)","new":"Gia hạn theo từng PO mua ZBS"}}</t>
  </si>
  <si>
    <t>{"ngayHetHan":{"old":"30/06/2026","new":"15/01/2027"},"namHetHan":{"old":"2026","new":"2027"},"ngaySuDung":{"old":"76","new":"275"}}</t>
  </si>
  <si>
    <t>695</t>
  </si>
  <si>
    <t>CÔNG TY CỔ PHẦN PHÂN BÓN HÀ LAN</t>
  </si>
  <si>
    <t>HALAN_GAPONE</t>
  </si>
  <si>
    <t>Halan@123</t>
  </si>
  <si>
    <t>{"moTaNhuCau":{"old":"(Trống)","new":"yendh note: user name bên brandconfig là : bizfly_vietravel (do user name gapone dài)"},"giaHan":{"old":"(Trống)","new":"0"}}</t>
  </si>
  <si>
    <t>{"msg":"Auto lock: Hết hạn ngày 27/06/2026"}</t>
  </si>
  <si>
    <t>{"status":{"old":"Locked","new":"Active"},"ghiChuHinhThucThanhToan":{"old":"Trial","new":"Trả sau"},"hinhThucSuDung":{"old":"API &amp; Portal","new":"API"},"ngayBatDau":{"old":"13/02/2026","new":"12/06/2026"},"ngayHetHan":{"old":"06/03/2026","new":"12/06/2027"},"namHetHan":{"old":"2026","new":"2027"},"ngaySuDung":{"old":"21","new":"365"},"giaHan":{"old":"(Trống)","new":"1"},"emailNhanThongBao":{"old":"trieungocmao@gmail.com\nsupport@nexushub.asia","new":"trieungocmao@gmail.comsupport@nexushub.asia"},"serviceType":{"old":"Yes","new":"(Trống)"}}</t>
  </si>
  <si>
    <t>{"loaiGoiCuoc":{"old":"Premium","new":"Starter"}}</t>
  </si>
  <si>
    <t>{"ngayHetHan":{"old":"30/06/2026","new":"31/12/2026"},"ngaySuDung":{"old":"763","new":"947"},"giaHan":{"old":"1","new":"2"}}</t>
  </si>
  <si>
    <t xml:space="preserve">Gửi ZNS xác nhận đơn hàng
Gửi ZNS xác nhận thanh toán
Gửi ZNS cảm ơn
</t>
  </si>
  <si>
    <t>{"ngayHetHan":{"old":"15/01/2027","new":"01/01/2027"},"ngaySuDung":{"old":"275","new":"261"}}</t>
  </si>
  <si>
    <t>hienvomkt@halan.net</t>
  </si>
  <si>
    <t>{"msg":"Auto lock: Hết hạn ngày 30/06/2026"}</t>
  </si>
  <si>
    <t>698</t>
  </si>
  <si>
    <t>697</t>
  </si>
  <si>
    <t>Công Ty Trách Nhiệm Hữu Hạn COPENHAGEN DELIGHTS</t>
  </si>
  <si>
    <t>delights_gapone</t>
  </si>
  <si>
    <t>Delights@123456</t>
  </si>
  <si>
    <r>
      <rPr>
        <rFont val="Lexend"/>
      </rPr>
      <t>fanpage.stl@gmail.com</t>
    </r>
    <r>
      <rPr>
        <rFont val="Lexend"/>
      </rPr>
      <t>; cskh@starlight.vn</t>
    </r>
  </si>
  <si>
    <r>
      <rPr>
        <rFont val="Google Sans"/>
        <color theme="1"/>
        <sz val="9.0"/>
      </rPr>
      <t>ga1@copenhagendelights.com</t>
    </r>
  </si>
  <si>
    <r>
      <rPr>
        <rFont val="Google Sans"/>
        <color theme="1"/>
        <sz val="9.0"/>
      </rPr>
      <t>ga1@copenhagendelights.com</t>
    </r>
  </si>
  <si>
    <t>Chưa phân công</t>
  </si>
  <si>
    <t>696</t>
  </si>
  <si>
    <t>Công Ty Dịch Vụ MOBIFONE Khu Vực 3 - Chi Nhánh Tổng Công Ty Viễn Thông MOBIFONE</t>
  </si>
  <si>
    <t>mobifoneKV3_gapone</t>
  </si>
  <si>
    <t>Mobifonekv3@123456</t>
  </si>
  <si>
    <t>minh.lehoang@mobifone.vn</t>
  </si>
  <si>
    <t>699</t>
  </si>
  <si>
    <t>{"ngayHetHan":{"old":"10/07/2026","new":"11/07/2027"},"namHetHan":{"old":"2026","new":"2027"},"ngaySuDung":{"old":"757","new":"1123"},"namSuDung":{"old":"3","new":"4"},"giaHan":{"old":"1","new":"2"}}</t>
  </si>
  <si>
    <t>{"msg":"Auto lock: Hết hạn ngày 01/07/2026"}</t>
  </si>
  <si>
    <t>Nasco@123</t>
  </si>
  <si>
    <t>{"status":{"old":"Locked","new":"Active"},"kenhGuiTin":{"old":"GapOne","new":"SMS QC"},"ngayHetHan":{"old":"31/01/2025","new":"31/12/2026"},"namHetHan":{"old":"2025","new":"2026"},"ngaySuDung":{"old":"107","new":"806"},"namSuDung":{"old":"(Trống)","new":"3"},"tuDongGiaHan":{"old":"(Trống)","new":"Không"},"giaHan":{"old":"(Trống)","new":"1"},"customerSuccess":{"old":"HoaNTM","new":"Không phân công"},"customerSupport":{"old":"(Chưa recheck)","new":"LinhNTT1"},"salePhuTrach":{"old":"ThườngTTK","new":"NgọcPH"},"maPhanLoai":{"old":"Campaign","new":"(Trống)"},"serviceType":{"old":"Yes","new":"(Trống)"}}</t>
  </si>
  <si>
    <t>{"ngayHetHan":{"old":"31/07/2026","new":"12/06/2027"},"namHetHan":{"old":"2026","new":"2027"},"ngaySuDung":{"old":"864","new":"1180"},"namSuDung":{"old":"3","new":"4"}}</t>
  </si>
  <si>
    <t>{"namSuDung":{"old":"3","new":"4"},"phanKhucKH":{"old":"Silver","new":"Gold"}}</t>
  </si>
  <si>
    <t>{"msg":"Auto lock: Hết hạn ngày 09/07/2026"}</t>
  </si>
  <si>
    <t>DungVT, LinhNTT1</t>
  </si>
  <si>
    <t>701</t>
  </si>
  <si>
    <t>{"msg":"Auto lock: Hết hạn ngày 10/07/2026"}</t>
  </si>
  <si>
    <t>{"status":{"old":"Locked","new":"Active"},"ngayHetHan":{"old":"01/07/2026","new":"01/07/2027"},"namHetHan":{"old":"2026","new":"2027"},"ngaySuDung":{"old":"782","new":"1147"},"namSuDung":{"old":"3","new":"4"},"giaHan":{"old":"1","new":"2"}}</t>
  </si>
  <si>
    <t>{"status":{"old":"Locked","new":"Active"},"ngayHetHan":{"old":"21/04/2026","new":"23/10/2026"},"ngaySuDung":{"old":"664","new":"849"},"namSuDung":{"old":"2","new":"3"},"tuDongGiaHan":{"old":"(Trống)","new":"Không"},"giaHan":{"old":"1","new":"2"}}</t>
  </si>
  <si>
    <t>{"status":{"old":"Locked","new":"Active"},"ngayHetHan":{"old":"30/06/2026","new":"20/07/2026"},"ngaySuDung":{"old":"260","new":"280"}}</t>
  </si>
  <si>
    <t>{"msg":"Auto lock: Hết hạn ngày 13/07/2026"}</t>
  </si>
  <si>
    <t>{"tenCongTy":{"old":"CÔNG TY TNHH GALAXY TELECOM","new":"CÔNG TY TNHH GALAXY TELECOM (UAT)"},"giaHan":{"old":"(Trống)","new":"0"}}</t>
  </si>
  <si>
    <t>{"status":{"old":"Locked","new":"Active"},"duLieuInput":{"old":"File Excel, API","new":"API"},"ngayHetHan":{"old":"20/04/2026","new":"28/07/2026"},"ngaySuDung":{"old":"200","new":"299"},"giaHan":{"old":"(Trống)","new":"0"},"salePhuTrach":{"old":"ThườngTTK","new":"TrâmNTB"},"serviceType":{"old":"Yes","new":"(Trống)"}}</t>
  </si>
  <si>
    <t>Gia hạn đến 29/09/2026</t>
  </si>
  <si>
    <t>{"loaiGoiCuoc":{"old":"Premium","new":"Starter"},"giaHan":{"old":"(Trống)","new":"0"},"noteThongTinGiaHan":{"old":"(Trống)","new":"KH mở tới 28/7 để sales hoàn thiện nốt thủ tục (đã dc duyệt request)"}}</t>
  </si>
  <si>
    <t>702</t>
  </si>
  <si>
    <t>CHI NHÁNH CÔNG TY CỔ PHẦN EVERPIA</t>
  </si>
  <si>
    <t>CNeverpia_gapone</t>
  </si>
  <si>
    <t>Triển khai mini app</t>
  </si>
  <si>
    <t>CNEverpia@123456</t>
  </si>
  <si>
    <t>{"ngayHetHan":{"old":"16/07/2026","new":"16/07/2027"},"namHetHan":{"old":"2026","new":"2027"},"ngaySuDung":{"old":"332","new":"697"},"namSuDung":{"old":"(Trống)","new":"2"},"tuDongGiaHan":{"old":"(Trống)","new":"Không"},"giaHan":{"old":"(Trống)","new":"1"}}</t>
  </si>
  <si>
    <t>{"status":{"old":"Locked","new":"Active"},"giaHan":{"old":"(Trống)","new":"0"},"noteThongTinGiaHan":{"old":"Sales báo khóa từ ngày 30/03/2026 https://wework.base.vn/local-life-gapit-du-an-gapone-stand-da-kenh-99052?task=9875914","new":"Sales báo khóa từ ngày 30/03/2026 https://wework.base.vn/local-life-gapit-du-an-gapone-stand-da-kenh-99052?task=9875914\nKH báo mở lại ngày 15/7/2026"},"serviceType":{"old":"Yes","new":"(Trống)"}}</t>
  </si>
  <si>
    <t>{"ngayHetHan":{"old":"10/09/2026","new":"25/12/2026"},"ngaySuDung":{"old":"365","new":"471"},"namSuDung":{"old":"1","new":"2"},"giaHan":{"old":"(Trống)","new":"0"},"customerSupport":{"old":"YếnĐH","new":"DungVT, LinhNTT1"}}</t>
  </si>
  <si>
    <t>{"msg":"Auto lock: Hết hạn ngày 15/07/2026"}</t>
  </si>
  <si>
    <t>Martech@everon.com</t>
  </si>
  <si>
    <t>Martech@everon.comhuyentt@everon.comminhnn@everon.com</t>
  </si>
  <si>
    <t>722</t>
  </si>
  <si>
    <t>namdt988@gmail.com</t>
  </si>
  <si>
    <t>{"status":{"old":"Locked","new":"Active"},"ngayHetHan":{"old":"30/06/2026","new":"31/08/2026"},"ngaySuDung":{"old":"42","new":"104"},"giaHan":{"old":"(Trống)","new":"1"}}</t>
  </si>
  <si>
    <t>{"ngayHetHan":{"old":"26/07/2026","new":"31/07/2026"},"ngaySuDung":{"old":"30","new":"35"},"giaHan":{"old":"(Trống)","new":"0"},"customerSuccess":{"old":"AnhNM","new":"TùngLD"},"customerSupport":{"old":"Không phân công","new":"DungPL"}}</t>
  </si>
  <si>
    <t>{"ngayHetHan":{"old":"20/07/2026","new":"30/09/2026"},"ngaySuDung":{"old":"280","new":"352"}}</t>
  </si>
  <si>
    <t>{"ngayHetHan":{"old":"28/07/2026","new":"15/07/2027"},"namHetHan":{"old":"2026","new":"2027"},"ngaySuDung":{"old":"299","new":"651"},"namSuDung":{"old":"1","new":"2"},"giaHan":{"old":"(Trống)","new":"1"},"noteThongTinGiaHan":{"old":"KH mở tới 28/7 để sales hoàn thiện nốt thủ tục (đã dc duyệt request)","new":"(Trống)"}}</t>
  </si>
  <si>
    <t>{"customerSuccess":{"old":"HoaNTM","new":"TúPHN"}}</t>
  </si>
  <si>
    <t>{"msg":"Auto lock: Hết hạn ngày 25/07/2026"}</t>
  </si>
  <si>
    <t>{"ngayHetHan":{"old":"05/08/2026","new":"04/08/2027"},"namHetHan":{"old":"2026","new":"2027"},"ngaySuDung":{"old":"365","new":"729"},"namSuDung":{"old":"1","new":"2"},"tuDongGiaHan":{"old":"(Trống)","new":"Có"},"giaHan":{"old":"(Trống)","new":"1"}}</t>
  </si>
  <si>
    <t>{"duLieuInput":{"old":"File Excel","new":"File Excel, API"},"giaHan":{"old":"(Trống)","new":"0"},"customerSuccess":{"old":"Không phân công","new":"TrâmNNB"},"maPhanLoai":{"old":"Campaign","new":"(Trống)"}}</t>
  </si>
  <si>
    <t>705</t>
  </si>
  <si>
    <t>CÔNG TY TNHH KHANG KHÔI</t>
  </si>
  <si>
    <t>Khangkhoi_gapone</t>
  </si>
  <si>
    <t>Khangkhoi@123456</t>
  </si>
  <si>
    <t>{"ngayHetHan":{"old":"31/07/2026","new":"01/10/2026"},"ngaySuDung":{"old":"305","new":"367"},"namSuDung":{"old":"(Trống)","new":"2"},"tuDongGiaHan":{"old":"(Trống)","new":"Không"},"giaHan":{"old":"(Trống)","new":"0"},"salePhuTrach":{"old":"NhungPTH","new":"HườngĐM"}}</t>
  </si>
  <si>
    <t>{"ngayHetHan":{"old":"31/07/2026","new":"31/07/2027"},"namHetHan":{"old":"2026","new":"2027"},"ngaySuDung":{"old":"305","new":"670"},"namSuDung":{"old":"(Trống)","new":"2"},"tuDongGiaHan":{"old":"(Trống)","new":"Có"},"giaHan":{"old":"(Trống)","new":"1"}}</t>
  </si>
  <si>
    <t>{"ngayHetHan":{"old":"31/07/2026","new":"31/07/2027"},"namHetHan":{"old":"2026","new":"2027"},"ngaySuDung":{"old":"735","new":"1100"},"namSuDung":{"old":"3","new":"4"},"giaHan":{"old":"3","new":"4"}}</t>
  </si>
  <si>
    <t>{"duLieuInput":{"old":"File Excel","new":"File Excel, API"},"namHetHan":{"old":"2026","new":"2027"},"ngaySuDung":{"old":"26","new":"422"},"namSuDung":{"old":"1","new":"2"},"giaHan":{"old":"(Trống)","new":"0"},"phanKhucKH":{"old":"Silver","new":"Diamond"},"maPhanLoai":{"old":"MINH LONG I","new":"(Trống)"}}</t>
  </si>
  <si>
    <t>{"hinhThucSuDung":{"old":"Portal","new":"API &amp; Portal"},"giaHan":{"old":"(Trống)","new":"0"}}</t>
  </si>
  <si>
    <t>kieutrang00094@gmail.com</t>
  </si>
  <si>
    <t>{"msg":"Auto lock: Hết hạn ngày 31/07/2026"}</t>
  </si>
  <si>
    <t>Oanhlk</t>
  </si>
  <si>
    <t>704</t>
  </si>
  <si>
    <t>CÔNG TY TNHH HATTORI VÀ CỘNG SỰ</t>
  </si>
  <si>
    <t>Hattori_gapone</t>
  </si>
  <si>
    <t>{"msg":"Auto lock: Hết hạn ngày 02/08/2026"}</t>
  </si>
  <si>
    <t>Hattori@123456</t>
  </si>
  <si>
    <t>{"ngayHetHan":{"old":"03/08/2026","new":"02/08/2027"},"namHetHan":{"old":"2026","new":"2027"},"ngaySuDung":{"old":"364","new":"728"},"namSuDung":{"old":"1","new":"2"},"giaHan":{"old":"(Trống)","new":"1"},"maPhanLoai":{"old":"Partner_Bizfly","new":"(Trống)"}}</t>
  </si>
  <si>
    <t>{"giaHan":{"old":"(Trống)","new":"0"},"customerSupport":{"old":"DungVT, LinhNTT1","new":"YếnĐH"}}</t>
  </si>
  <si>
    <t>15.152 ZNS 300đ</t>
  </si>
  <si>
    <t>ha.tran@jieh.vn</t>
  </si>
  <si>
    <t>{"msg":"Auto lock: Hết hạn ngày 05/08/2026"}</t>
  </si>
  <si>
    <t>{"ngayHetHan":{"old":"20/08/2026","new":"19/08/2027"},"namHetHan":{"old":"2026","new":"2027"},"ngaySuDung":{"old":"364","new":"728"},"namSuDung":{"old":"(Trống)","new":"2"},"tuDongGiaHan":{"old":"(Trống)","new":"Không"},"giaHan":{"old":"(Trống)","new":"1"},"maPhanLoai":{"old":"Partner_Digiconnex","new":"(Trống)"}}</t>
  </si>
  <si>
    <t>706</t>
  </si>
  <si>
    <t>{"status":{"old":"Locked","new":"Active"},"ngayHetHan":{"old":"30/06/2026","new":"30/09/2026"},"ngaySuDung":{"old":"824","new":"916"}}</t>
  </si>
  <si>
    <t>{"orgId":{"old":"1042","new":"1043"},"tenTaiKhoan":{"old":"BBThuyDo","new":"BBThuyDo_Premium"},"giaHan":{"old":"(Trống)","new":"0"},"customerSupport":{"old":"(Trống)","new":"Không phân công"}}</t>
  </si>
  <si>
    <t>{"status":{"old":"Locked","new":"Active"},"ngayHetHan":{"old":"15/07/2026","new":"16/07/2027"},"namHetHan":{"old":"2026","new":"2027"},"ngaySuDung":{"old":"727","new":"1093"},"namSuDung":{"old":"1","new":"3"},"tuDongGiaHan":{"old":"(Trống)","new":"Không"},"giaHan":{"old":"1","new":"2"}}</t>
  </si>
  <si>
    <t>{"emailNhanThongBao":{"old":"\tthuyntp@crownx.masangroup.com; tennh@crownx.masangroup.com; chienvq@crownx.masangroup.com; tennh@crownx.masangroup.com; tranglt@winmart.masangroup.com","new":"\tt; uyenhna@winmart.masangroup.com haotq@winmart.masangroup.com hoanghs@winmart.masangroup.com"}}</t>
  </si>
  <si>
    <t>700</t>
  </si>
  <si>
    <t>CÔNG TY TNHH ỐNG GIẤY HỮU DƯƠNG (VNPT Thống Nhất)</t>
  </si>
  <si>
    <t>vnptthongnhat_gapone</t>
  </si>
  <si>
    <t>VNptThongnhat@123456</t>
  </si>
  <si>
    <t>Duongta.dni@vnpt.vn</t>
  </si>
  <si>
    <t>707</t>
  </si>
  <si>
    <t>709</t>
  </si>
  <si>
    <r>
      <rPr>
        <rFont val="Google Sans"/>
        <color theme="1"/>
        <sz val="9.0"/>
      </rPr>
      <t>Công ty Cổ phần truyền thông, Quảng Cáo Đa Phương Tiện (Smart Media JSC.)</t>
    </r>
  </si>
  <si>
    <r>
      <rPr>
        <rFont val="Google Sans"/>
        <color theme="1"/>
        <sz val="9.0"/>
      </rPr>
      <t>Smartmedia_gapone</t>
    </r>
  </si>
  <si>
    <r>
      <rPr>
        <rFont val="Google Sans"/>
        <color theme="1"/>
        <sz val="9.0"/>
      </rPr>
      <t>Smartmedia@123</t>
    </r>
  </si>
  <si>
    <t>khiem.luu@decathlon.com</t>
  </si>
  <si>
    <r>
      <rPr>
        <rFont val="Google Sans"/>
        <color theme="1"/>
        <sz val="9.0"/>
      </rPr>
      <t>viettrungptit@gmail.com</t>
    </r>
  </si>
  <si>
    <t>708</t>
  </si>
  <si>
    <t>CÔNG TY CỔ PHẦN Y TẾ CHẤN VĂN</t>
  </si>
  <si>
    <t>Chanvan315_gapone</t>
  </si>
  <si>
    <t>Chanvan315@123456</t>
  </si>
  <si>
    <t>thanh.nguyenthixuan@decathlon.com
trang.nguyenthuyhuyen@decathlon.com
phuonganh.nguyen@decathlon.com
nguyen.hoangphuc.partner@decathlon.com</t>
  </si>
  <si>
    <t>marketing@nhidong315.com</t>
  </si>
  <si>
    <t>710</t>
  </si>
  <si>
    <t>File Excel, Haravan</t>
  </si>
  <si>
    <t>712</t>
  </si>
  <si>
    <t>Test 30ZNS</t>
  </si>
  <si>
    <t>https://docs.google.com/spreadsheets/d/1P3ey7Vtx7G_zcUTdpLGriFQcA7CWP7sA8hu384Xr2KI/edit?gid=350331654#gid=350331654</t>
  </si>
  <si>
    <t xml:space="preserve">import data gửi tin đồng loạt	
</t>
  </si>
  <si>
    <t>thao.nguyen.it.93@gmail.com</t>
  </si>
  <si>
    <t>22.728 ZNS</t>
  </si>
  <si>
    <t>711</t>
  </si>
  <si>
    <r>
      <rPr>
        <rFont val="Google Sans"/>
        <color theme="1"/>
        <sz val="9.0"/>
      </rPr>
      <t>TH_yogurt_2024</t>
    </r>
  </si>
  <si>
    <r>
      <rPr>
        <rFont val="Google Sans"/>
        <color theme="1"/>
        <sz val="9.0"/>
      </rPr>
      <t>Yogurt2024@123</t>
    </r>
  </si>
  <si>
    <t>https://docs.google.com/spreadsheets/d/1euOBAm3ImqyCkonlgb5aZfS--N3E5FARU2Nd5i5dr3k/edit?gid=350331654#gid=350331654</t>
  </si>
  <si>
    <t>https://docs.google.com/spreadsheets/d/1L1_jCpKjR0TxmDaObk8K_d_ffKVTMftioRwwhUR9b20/edit?gid=350331654#gid=350331654</t>
  </si>
  <si>
    <t>713</t>
  </si>
  <si>
    <t>https://docs.google.com/spreadsheets/d/1Ljw9K9d8hF-syHtloQbLxlOlqjKKv3H7akktuCqpGWc/edit?gid=350331654#gid=350331654</t>
  </si>
  <si>
    <t>715</t>
  </si>
  <si>
    <t>CÔNG TY TNHH FINMART (FINMART COMPANY LIMITED)</t>
  </si>
  <si>
    <t>714</t>
  </si>
  <si>
    <t>Công ty TNHH Nestle Việt Nam (Momo Milo)</t>
  </si>
  <si>
    <t>Nestlemomo_gapone</t>
  </si>
  <si>
    <t>Nestlemomo@123456</t>
  </si>
  <si>
    <t>20.000 ZNS</t>
  </si>
  <si>
    <r>
      <rPr>
        <rFont val="Google Sans"/>
        <color theme="1"/>
        <sz val="9.0"/>
      </rPr>
      <t>LeThiHoang.Thy@vn.nestle.com</t>
    </r>
  </si>
  <si>
    <t>717</t>
  </si>
  <si>
    <t>Adm_msg</t>
  </si>
  <si>
    <t>Adm@123#</t>
  </si>
  <si>
    <t>Diem.Chu@admgroup.com</t>
  </si>
  <si>
    <t>718</t>
  </si>
  <si>
    <t>719</t>
  </si>
  <si>
    <t>log_id</t>
  </si>
  <si>
    <t>customer_id</t>
  </si>
  <si>
    <t>customer_name</t>
  </si>
  <si>
    <t>service_type</t>
  </si>
  <si>
    <t>period_number</t>
  </si>
  <si>
    <t>payment_date</t>
  </si>
  <si>
    <t>start_date</t>
  </si>
  <si>
    <t>end_date</t>
  </si>
  <si>
    <t>contracted_days</t>
  </si>
  <si>
    <t>gap_days</t>
  </si>
  <si>
    <t>transaction_type</t>
  </si>
  <si>
    <t>cs_owner</t>
  </si>
  <si>
    <t>sup_owner</t>
  </si>
  <si>
    <t>note</t>
  </si>
  <si>
    <t>HeNX@bvsc.com.vn</t>
  </si>
  <si>
    <t>logged_by</t>
  </si>
  <si>
    <t>logged_at</t>
  </si>
  <si>
    <t>subscription</t>
  </si>
  <si>
    <t>721</t>
  </si>
  <si>
    <t>Công ty TNHH Nestle Việt Nam (NCFSUSTAINABILITY)</t>
  </si>
  <si>
    <t>Nestlenescafe_API</t>
  </si>
  <si>
    <t>Nestlenescafe@124</t>
  </si>
  <si>
    <t>migrated</t>
  </si>
  <si>
    <t>Migration từ hệ thống cũ. Số lần GH cũ: 3</t>
  </si>
  <si>
    <t>System</t>
  </si>
  <si>
    <t>Migration từ hệ thống cũ. Số lần GH cũ: 2</t>
  </si>
  <si>
    <t>Migration từ hệ thống cũ. Số lần GH cũ: 0</t>
  </si>
  <si>
    <t>KH chuyển sang API gateway</t>
  </si>
  <si>
    <t>levan.anh@vn.nestle.com</t>
  </si>
  <si>
    <t>campaign</t>
  </si>
  <si>
    <t>723</t>
  </si>
  <si>
    <t>Migration từ hệ thống cũ. Số lần GH cũ: 1</t>
  </si>
  <si>
    <t>726</t>
  </si>
  <si>
    <t>Migration từ hệ thống cũ. Số lần GH cũ: 4</t>
  </si>
  <si>
    <r>
      <rPr>
        <rFont val="Google Sans"/>
        <color theme="1"/>
        <sz val="9.0"/>
      </rPr>
      <t>Sonhaitourist@gmail.com</t>
    </r>
  </si>
  <si>
    <r>
      <rPr>
        <rFont val="Google Sans"/>
        <color theme="1"/>
        <sz val="9.0"/>
      </rPr>
      <t>Sonhaitourist@gmail.com</t>
    </r>
  </si>
  <si>
    <t>727</t>
  </si>
  <si>
    <t>Công ty TNHH Nestle Việt Nam (camp Milo 2024)</t>
  </si>
  <si>
    <t>Milo2024_msg</t>
  </si>
  <si>
    <t>Milo2024@12345</t>
  </si>
  <si>
    <t>Admin mở tk gửi tin thủ công cho KH</t>
  </si>
  <si>
    <t>tuvtc123@gapit.com.vn</t>
  </si>
  <si>
    <t>728</t>
  </si>
  <si>
    <r>
      <rPr>
        <rFont val="Google Sans"/>
        <color theme="1"/>
        <sz val="9.0"/>
      </rPr>
      <t>Tel4@123</t>
    </r>
  </si>
  <si>
    <t>DungVT, DungPL</t>
  </si>
  <si>
    <r>
      <rPr>
        <rFont val="Google Sans"/>
        <color theme="1"/>
        <sz val="9.0"/>
      </rPr>
      <t>ketoan@tel4vn.com</t>
    </r>
  </si>
  <si>
    <r>
      <rPr>
        <rFont val="Google Sans"/>
        <color theme="1"/>
        <sz val="9.0"/>
      </rPr>
      <t>ketoan@tel4vn.com</t>
    </r>
  </si>
  <si>
    <t>730</t>
  </si>
  <si>
    <t>Trả Sau</t>
  </si>
  <si>
    <t>729</t>
  </si>
  <si>
    <t>Tini_gapone</t>
  </si>
  <si>
    <t>Tini@123456</t>
  </si>
  <si>
    <t>thao54.nguyen@tinicorp.com</t>
  </si>
  <si>
    <r>
      <rPr>
        <rFont val="Google Sans"/>
        <color theme="1"/>
        <sz val="9.0"/>
      </rPr>
      <t xml:space="preserve">thao54.nguyen@tinicorp.com
</t>
    </r>
    <r>
      <rPr>
        <rFont val="Google Sans"/>
        <color rgb="FFFF0000"/>
        <sz val="9.0"/>
      </rPr>
      <t>huy.le@tinicorp.com, ly.ho@tinicorp.com, dang.tran@tinicorp.com, mkt@tinicorp.com</t>
    </r>
  </si>
  <si>
    <t>725</t>
  </si>
  <si>
    <t>1516 ZNS 300</t>
  </si>
  <si>
    <t>Test 20 ZNS</t>
  </si>
  <si>
    <t>614</t>
  </si>
  <si>
    <t>TK test_Sales đang update CPID</t>
  </si>
  <si>
    <t>Đang test SMS, chưa gửi tin chính thức, KH chuyển đổi kết nối từ KW</t>
  </si>
  <si>
    <t>731</t>
  </si>
  <si>
    <t>Công Ty Dịch Vụ MOBIFONE Khu Vực 8 - Chi Nhánh Tổng Công Ty Viễn Thông MOBIFONE</t>
  </si>
  <si>
    <t>mobifoneKV8_gapone</t>
  </si>
  <si>
    <t>Mobifonekv8@123456</t>
  </si>
  <si>
    <t>10.000 ZNS (200đ)</t>
  </si>
  <si>
    <t>loi.thai@mobifone.vn</t>
  </si>
  <si>
    <t>720</t>
  </si>
  <si>
    <t>19.000 ZNS 200đ, 3.000 ZNS 400đ</t>
  </si>
  <si>
    <t>732</t>
  </si>
  <si>
    <t>Đợi KH trả phụ lục để gia hạn tiếp</t>
  </si>
  <si>
    <t>733</t>
  </si>
  <si>
    <t>TK test 1</t>
  </si>
  <si>
    <t>File Excel, ZCA gửi ZNS</t>
  </si>
  <si>
    <t>Khách hàng có nhu cầu quản lý OA Followers theo đại lý
Gửi tin UID, ZNS
KH chuyển sang chỉ kết nối ví ZCA</t>
  </si>
  <si>
    <t>734</t>
  </si>
  <si>
    <t>Anhtu@123</t>
  </si>
  <si>
    <t>Đã đóng</t>
  </si>
  <si>
    <t>Garaanhtu@gmail.com</t>
  </si>
  <si>
    <t>735</t>
  </si>
  <si>
    <t>736</t>
  </si>
  <si>
    <r>
      <rPr>
        <rFont val="Google Sans"/>
        <color theme="1"/>
        <sz val="9.0"/>
      </rPr>
      <t>phuongquyenme@gmail.com</t>
    </r>
  </si>
  <si>
    <r>
      <rPr>
        <rFont val="Google Sans"/>
        <color theme="1"/>
        <sz val="9.0"/>
      </rPr>
      <t>phuongquyenme@gmail.com</t>
    </r>
  </si>
  <si>
    <t>737</t>
  </si>
  <si>
    <t>CÔNG TY TRÁCH NHIỆM HỮU HẠN THỂ THAO HẢI YẾN</t>
  </si>
  <si>
    <t>ThethaoHaiYen_gapone</t>
  </si>
  <si>
    <t>45.455 ZNS 200đ</t>
  </si>
  <si>
    <t>HaiYen@123456</t>
  </si>
  <si>
    <t>nguyenphuocbaotri88@gmail.com</t>
  </si>
  <si>
    <t>738</t>
  </si>
  <si>
    <t>739</t>
  </si>
  <si>
    <t>Công ty TNHH Nestle Việt Nam (Maggi Tết PO số 4561001423 )</t>
  </si>
  <si>
    <t>Nestlelocal_gapone</t>
  </si>
  <si>
    <t>Nestlelocal@123456</t>
  </si>
  <si>
    <t>CS mở tài khoản gửi tin cho KH</t>
  </si>
  <si>
    <t>NguyenThuy.Quynh@vn.nestle.com</t>
  </si>
  <si>
    <t>740</t>
  </si>
  <si>
    <t>VNPTyenbai@123</t>
  </si>
  <si>
    <t>Lock ngày 26/02/24</t>
  </si>
  <si>
    <t>Không gia hạn do VNPT YB sát nhập về Lào Cai</t>
  </si>
  <si>
    <t>datdt.vnp@gmail.com</t>
  </si>
  <si>
    <t>5000 ZNS (200đ), 1000 ZNS (400đ)</t>
  </si>
  <si>
    <t>742</t>
  </si>
  <si>
    <t>CÔNG TY TNHH TRUYỀN THÔNG TIẾP THỊ P2P</t>
  </si>
  <si>
    <t>Rockstar_api</t>
  </si>
  <si>
    <t>Rockstar@123</t>
  </si>
  <si>
    <t>thuytien.th@p2pmarketing.com.vn</t>
  </si>
  <si>
    <t>27/6/2023 chuyển trả sau</t>
  </si>
  <si>
    <t>716</t>
  </si>
  <si>
    <t>bluefin6789@gmail.com</t>
  </si>
  <si>
    <t xml:space="preserve"> bluefin6789@gmail.com</t>
  </si>
  <si>
    <t xml:space="preserve">HuynhThiMong.Truc@heineken.com
</t>
  </si>
  <si>
    <t>NguyenThiHong.Lam@heineken.com; NguyenKieuHai.Anh@heineken.com</t>
  </si>
  <si>
    <t>744</t>
  </si>
  <si>
    <t>Gia hạn lại, ngày gia hạn 02/01/2024</t>
  </si>
  <si>
    <t>Gia hạn lại, ngày 29/12/2023
Gia hạn đến 30/11/2024
Gia hạn đến 30/11/2025</t>
  </si>
  <si>
    <t>Không có KH triển khai nên tạm dừng sử dụng</t>
  </si>
  <si>
    <t>745</t>
  </si>
  <si>
    <t>CÔNG TY TNHH DUNLOPILLO (VIỆT NAM)</t>
  </si>
  <si>
    <t>DunlopilloVN_gapone</t>
  </si>
  <si>
    <t>DunlopilloVN@123456</t>
  </si>
  <si>
    <t xml:space="preserve">Premium </t>
  </si>
  <si>
    <t>22.728 ZNS (200đ)</t>
  </si>
  <si>
    <t>sales_3@dunlopilloworld.com</t>
  </si>
  <si>
    <t>746</t>
  </si>
  <si>
    <t>Kyanon_api</t>
  </si>
  <si>
    <t>Kyanon@123456</t>
  </si>
  <si>
    <t>duyen.dlm@kyanon.digital</t>
  </si>
  <si>
    <t>498</t>
  </si>
  <si>
    <t>747</t>
  </si>
  <si>
    <t>CÔNG TY CỔ PHẦN VIỆT NAM VTP (Santen)</t>
  </si>
  <si>
    <t>VTPSanten_msg</t>
  </si>
  <si>
    <t>VTPSanten@123456</t>
  </si>
  <si>
    <t>dai.le@vba-adk.com</t>
  </si>
  <si>
    <t>748</t>
  </si>
  <si>
    <t>TikTok Pte. Ltd</t>
  </si>
  <si>
    <t>TikTok_gapone</t>
  </si>
  <si>
    <t>TikTok@123456</t>
  </si>
  <si>
    <t>vi.tran@tiktok.com</t>
  </si>
  <si>
    <t>750</t>
  </si>
  <si>
    <t>751</t>
  </si>
  <si>
    <t>HỘ KINH DOANH WOLF ACTIVE</t>
  </si>
  <si>
    <t>Wolfactive_gapone</t>
  </si>
  <si>
    <t>Wolfactive@123456</t>
  </si>
  <si>
    <t>VNTT</t>
  </si>
  <si>
    <t>dang.pm@wolfactive.com.vn</t>
  </si>
  <si>
    <t>Kiotviet, API, Import</t>
  </si>
  <si>
    <t>754</t>
  </si>
  <si>
    <t>PO 2.000.000</t>
  </si>
  <si>
    <r>
      <rPr>
        <rFont val="Google Sans"/>
        <color theme="1"/>
        <sz val="9.0"/>
      </rPr>
      <t>cuongnh@vnpt.vn</t>
    </r>
  </si>
  <si>
    <t>Nhà thuốc Trường An</t>
  </si>
  <si>
    <t>753</t>
  </si>
  <si>
    <t>CÔNG TY CỔ PHẦN GIÁO DỤC QUỐC TẾ PRO SKILLS</t>
  </si>
  <si>
    <t>Proskills_gapone</t>
  </si>
  <si>
    <t>Proskills@123456</t>
  </si>
  <si>
    <t>proskillsedu247@gmail.com</t>
  </si>
  <si>
    <t>755</t>
  </si>
  <si>
    <t>CÔNG TY CỔ PHẦN CÔNG NGHỆ MARVY GROUP</t>
  </si>
  <si>
    <t>Marvy_API</t>
  </si>
  <si>
    <t>Marvy@123456</t>
  </si>
  <si>
    <t>khang@marvyco.com</t>
  </si>
  <si>
    <t>PO 4.000.000, PO mới 4.000.000</t>
  </si>
  <si>
    <t>DungNA</t>
  </si>
  <si>
    <t>756</t>
  </si>
  <si>
    <t>DBlue_msg</t>
  </si>
  <si>
    <t>DBlue@123456</t>
  </si>
  <si>
    <t>Test API cho phần Hàng
Tk gốc Org ID: 412</t>
  </si>
  <si>
    <t xml:space="preserve">sales@d2tour.com </t>
  </si>
  <si>
    <t>758</t>
  </si>
  <si>
    <t>Báo hủy ngày 10/2/25</t>
  </si>
  <si>
    <t>759</t>
  </si>
  <si>
    <t>Công ty TNHH Nestle Việt Nam (PO số 4560928038 Nescafe Luckydraw)</t>
  </si>
  <si>
    <t>Nescafe_gapone</t>
  </si>
  <si>
    <t>Nescafe@123456</t>
  </si>
  <si>
    <t>Chương trình của Caresoft</t>
  </si>
  <si>
    <t>Cs mở tk gửi tin cho KH</t>
  </si>
  <si>
    <t>Thuongttk4work@gmail.com</t>
  </si>
  <si>
    <t>762</t>
  </si>
  <si>
    <t>Công ty TNHH Nestle Việt Nam (Nescafe Loyalty)</t>
  </si>
  <si>
    <t>Ncfloyalty_gapone</t>
  </si>
  <si>
    <t>Ncfloyalty@123456</t>
  </si>
  <si>
    <t>Thuongkim2311@gmail.com</t>
  </si>
  <si>
    <t xml:space="preserve">ZNS: 2.000.000
SMS QC: 3.000.000
SMS CSKH: 4.800.000
</t>
  </si>
  <si>
    <t>749</t>
  </si>
  <si>
    <t>CÔNG TY TRÁCH NHIỆM HỮU HẠN Ô TÔ TOYOTSU SAMCO</t>
  </si>
  <si>
    <t>Toyotsusamco_gapone</t>
  </si>
  <si>
    <t>Toyotsusamco@123456</t>
  </si>
  <si>
    <t>anhnt@lexuscentralsaigon.com.vn</t>
  </si>
  <si>
    <t>None1</t>
  </si>
  <si>
    <t>None@email.com</t>
  </si>
  <si>
    <t>quanha@irismedia.vn; cskh@irismedia.vn</t>
  </si>
  <si>
    <t>760</t>
  </si>
  <si>
    <t>Chi Nhánh Công Ty TNHH Nước Giải Khát SUNTORY PEPSICO Việt Nam (CT SUNTORYPEP_MTTRATION)</t>
  </si>
  <si>
    <t>PepMTtration_msg</t>
  </si>
  <si>
    <t>PepMTtration@1234</t>
  </si>
  <si>
    <t>Admin mở tk gửi tin cho KH</t>
  </si>
  <si>
    <t xml:space="preserve">tuvtc1@gapit.com.vn
</t>
  </si>
  <si>
    <t>PO 3.000.000</t>
  </si>
  <si>
    <t>763</t>
  </si>
  <si>
    <t>CÔNG TY CỔ PHẦN GIẢI PHÁP THƯƠNG MẠI A BA</t>
  </si>
  <si>
    <t>Aba_msg</t>
  </si>
  <si>
    <t>Aba@123456</t>
  </si>
  <si>
    <t>do tạo nhầm tên tk, nên mail trên hệ thống adm sẽ là nguyenthinh77845671@gmail.com. Khách thay đổi sang gói ZNS để import file gửi vì không biết gửi API</t>
  </si>
  <si>
    <t>TungLD, HoaNTM</t>
  </si>
  <si>
    <t xml:space="preserve">khanh.cao@aba.com.vn </t>
  </si>
  <si>
    <t>764</t>
  </si>
  <si>
    <t>Dctpartnersvn_msg</t>
  </si>
  <si>
    <t>Dctpartnersvn@123456</t>
  </si>
  <si>
    <t>Dvkh3@charmgroup.vn</t>
  </si>
  <si>
    <t>DR DIGITAL</t>
  </si>
  <si>
    <t>765</t>
  </si>
  <si>
    <t>PhucDat_msg</t>
  </si>
  <si>
    <t>Phucdat@1234#</t>
  </si>
  <si>
    <t>han.ltt@charmgroup.vn</t>
  </si>
  <si>
    <t>3.000 SMS Quảng cáo/ 20.000 email</t>
  </si>
  <si>
    <t>766</t>
  </si>
  <si>
    <t>767</t>
  </si>
  <si>
    <t>25.000 email</t>
  </si>
  <si>
    <r>
      <rPr>
        <rFont val="Google Sans"/>
        <color theme="1"/>
        <sz val="9.0"/>
      </rPr>
      <t>Hoangyen_Starter</t>
    </r>
  </si>
  <si>
    <r>
      <rPr>
        <rFont val="Google Sans"/>
        <color theme="1"/>
        <sz val="9.0"/>
      </rPr>
      <t>Hoangyen@123</t>
    </r>
  </si>
  <si>
    <r>
      <rPr>
        <rFont val="Google Sans"/>
        <color theme="1"/>
        <sz val="9.0"/>
      </rPr>
      <t>hoangyenbuslines@gmail.com</t>
    </r>
  </si>
  <si>
    <r>
      <rPr>
        <rFont val="Google Sans"/>
        <color theme="1"/>
        <sz val="9.0"/>
      </rPr>
      <t>hoangyenbuslines@gmail.com</t>
    </r>
  </si>
  <si>
    <t>769</t>
  </si>
  <si>
    <t>770</t>
  </si>
  <si>
    <t>Công ty TNHH Nước Giải Khát Suntory PepsiCo Việt Nam (Twister)</t>
  </si>
  <si>
    <t>Twister_msg</t>
  </si>
  <si>
    <t>Twister@123456</t>
  </si>
  <si>
    <t>NguyenThuy.Tien@suntorypepsico.vn</t>
  </si>
  <si>
    <t>PO 4.545.454</t>
  </si>
  <si>
    <t>771</t>
  </si>
  <si>
    <t>CÔNG TY CỔ PHẦN HÀNG TIÊU DÙNG BIÊN HÒA</t>
  </si>
  <si>
    <t>HtdBienHoa_gapone</t>
  </si>
  <si>
    <t>HtdBienHoa@123456</t>
  </si>
  <si>
    <t>nguyentt1@bhconsumer.com</t>
  </si>
  <si>
    <t>772</t>
  </si>
  <si>
    <t>NGUYỄN HOÀNG GROUP</t>
  </si>
  <si>
    <t>NHgroup_gapone</t>
  </si>
  <si>
    <t>NHgroup@123456</t>
  </si>
  <si>
    <r>
      <rPr>
        <rFont val="Lexend"/>
      </rPr>
      <t>kingflix.vn</t>
    </r>
    <r>
      <rPr>
        <rFont val="Lexend"/>
      </rPr>
      <t>@gmail.com</t>
    </r>
  </si>
  <si>
    <t>ducta@nhg.vn</t>
  </si>
  <si>
    <t>773</t>
  </si>
  <si>
    <t>PepsiMT2025_msg</t>
  </si>
  <si>
    <t>PepsiMT2025@123</t>
  </si>
  <si>
    <t>tuvtcgui@gapit.com.vn</t>
  </si>
  <si>
    <t>774</t>
  </si>
  <si>
    <t>phongglh06@gmail.com</t>
  </si>
  <si>
    <t>775</t>
  </si>
  <si>
    <t>Thienbinhminh_msg</t>
  </si>
  <si>
    <t>Thienbinhminh@654</t>
  </si>
  <si>
    <t>customercare@charmhotram.vn</t>
  </si>
  <si>
    <t>776</t>
  </si>
  <si>
    <t>Haithuan_msg</t>
  </si>
  <si>
    <t>Haithuan@123456</t>
  </si>
  <si>
    <t>PO 909.000</t>
  </si>
  <si>
    <t>tran.thb@charmhotram.vn</t>
  </si>
  <si>
    <t>777</t>
  </si>
  <si>
    <r>
      <rPr>
        <rFont val="Google Sans"/>
        <color theme="1"/>
        <sz val="9.0"/>
      </rPr>
      <t>Kidsonline@123</t>
    </r>
  </si>
  <si>
    <t>778</t>
  </si>
  <si>
    <t>KH ngưng dịch vụ do không có nhân sự vận hành</t>
  </si>
  <si>
    <t>781</t>
  </si>
  <si>
    <t>600194_DHV</t>
  </si>
  <si>
    <t>TRƯỜNG ĐẠI HỌC HÙNG VƯƠNG THÀNH PHỐ HỒ CHÍ MINH</t>
  </si>
  <si>
    <t>678</t>
  </si>
  <si>
    <t>CÔNG TY CỔ PHẦN CÔNG NGHỆ HVC</t>
  </si>
  <si>
    <t>Trả sau, gia hạn hết năm 2024</t>
  </si>
  <si>
    <t>782</t>
  </si>
  <si>
    <t>CÔNG TY TNHH CUNG ỨNG NHÂN LỰC NHÂN KIỆT</t>
  </si>
  <si>
    <t>Nhankiet_gapone</t>
  </si>
  <si>
    <t>Nhankiet@123456</t>
  </si>
  <si>
    <t>Test 30ZNS, 20SMS</t>
  </si>
  <si>
    <t>HUMBLE ASIA</t>
  </si>
  <si>
    <t>trungnguyen@nhankiet.vn</t>
  </si>
  <si>
    <t>COUNTUNIQUE của ORG ID</t>
  </si>
  <si>
    <t>Dungna</t>
  </si>
  <si>
    <t>783</t>
  </si>
  <si>
    <t>Kênh gửi tin chi tiết</t>
  </si>
  <si>
    <t>Tổng cộng</t>
  </si>
  <si>
    <r>
      <rPr>
        <rFont val="Google Sans"/>
        <color theme="1"/>
        <sz val="9.0"/>
      </rPr>
      <t>Cartier@123</t>
    </r>
  </si>
  <si>
    <r>
      <rPr>
        <rFont val="Google Sans"/>
        <color theme="1"/>
        <sz val="9.0"/>
      </rPr>
      <t>dennis-zr.chong@cartier.com</t>
    </r>
  </si>
  <si>
    <r>
      <rPr>
        <rFont val="Google Sans"/>
        <color theme="1"/>
        <sz val="9.0"/>
      </rPr>
      <t>dennis-zr.chong@cartier.com</t>
    </r>
  </si>
  <si>
    <t>784</t>
  </si>
  <si>
    <t>DandelionVN_gapone</t>
  </si>
  <si>
    <t>DandelionVN@123456</t>
  </si>
  <si>
    <t>LeThiHuyen.Trang1@suntorypepsico.vn</t>
  </si>
  <si>
    <t>Công ty Cổ phần truyền thông, Quảng Cáo Đa Phương Tiện (Smart Media JSC.)</t>
  </si>
  <si>
    <t>Mau.nguyen@droppii.com</t>
  </si>
  <si>
    <t>785</t>
  </si>
  <si>
    <t>Hoangphuong_Starter</t>
  </si>
  <si>
    <t>Hoangphuong@123</t>
  </si>
  <si>
    <t>Hoangphuonglimousine@gmail.com</t>
  </si>
  <si>
    <t>Migration từ hệ thống cũ. Số lần GH cũ: 9</t>
  </si>
  <si>
    <t>LeThi.Dung@suntorypepsico.vn</t>
  </si>
  <si>
    <t>786</t>
  </si>
  <si>
    <t>CÔNG TY TNHH BAI CONSULTING</t>
  </si>
  <si>
    <t>Baiconsulting_gapone</t>
  </si>
  <si>
    <t>Baiconsulting@123456</t>
  </si>
  <si>
    <t>tritran@baicapital.com</t>
  </si>
  <si>
    <t>787</t>
  </si>
  <si>
    <t>API, ZCA gửi ZNS</t>
  </si>
  <si>
    <t>luuthihuong.dung@suntorypepsico.vn</t>
  </si>
  <si>
    <t>789</t>
  </si>
  <si>
    <t>CÔNG TY TNHH ENSO DANA</t>
  </si>
  <si>
    <t>EnsoDana_gapone</t>
  </si>
  <si>
    <t>EnsoDana@123456</t>
  </si>
  <si>
    <t>ensodana@gmail.com</t>
  </si>
  <si>
    <t>NguyenTuan.Tai@suntorypepsico.vn</t>
  </si>
  <si>
    <t>790</t>
  </si>
  <si>
    <r>
      <rPr>
        <rFont val="Google Sans"/>
        <color theme="1"/>
        <sz val="9.0"/>
      </rPr>
      <t>lehongson0693@gmail.com</t>
    </r>
  </si>
  <si>
    <r>
      <rPr>
        <rFont val="Google Sans"/>
        <color theme="1"/>
        <sz val="9.0"/>
      </rPr>
      <t>lehongson0693@gmail.com</t>
    </r>
  </si>
  <si>
    <t>None 4</t>
  </si>
  <si>
    <t>None 7</t>
  </si>
  <si>
    <t>NguyenNgocBich.Huyen@suntorypepsico.vn</t>
  </si>
  <si>
    <t>793</t>
  </si>
  <si>
    <r>
      <rPr>
        <rFont val="Google Sans"/>
        <color theme="1"/>
        <sz val="9.0"/>
      </rPr>
      <t>hddt.phucanh2023@gmail.com</t>
    </r>
  </si>
  <si>
    <t>792</t>
  </si>
  <si>
    <t>Công ty cổ phần EM and AI</t>
  </si>
  <si>
    <t>794</t>
  </si>
  <si>
    <t>CÔNG TY CỔ PHẦN VẬN TẢI FUTA – HÀ SƠN</t>
  </si>
  <si>
    <t>CÔNG TY CỔ PHẦN VCCORP (CÔNG TY TNHH CHO THUÊ Ô TÔ AN HÒA PHÁT)</t>
  </si>
  <si>
    <t>PhanThiKim.Thanh@suntorypepsico.vn</t>
  </si>
  <si>
    <t>CÔNG TY CỔ PHẦN QUẢN LÝ QUỸ ĐẦU TƯ MB</t>
  </si>
  <si>
    <t>Công ty TNHH Nestle Việt Nam (PO số4561561901 Maggi PeBao 2025)</t>
  </si>
  <si>
    <t>CÔNG TY CỔ PHẦN TENAMYD COSMETIC</t>
  </si>
  <si>
    <t>796</t>
  </si>
  <si>
    <t>600448_DEMO</t>
  </si>
  <si>
    <t>Sales báo KH dùng tài khoản này để Demo nên vẫn giữ cho đến khi hết hạn
23/3/2026: KH báo đóng vì hết nhu cầu</t>
  </si>
  <si>
    <t>hann2@crownx.masangroup.com</t>
  </si>
  <si>
    <t>VINASOY</t>
  </si>
  <si>
    <t xml:space="preserve">HoaNTM        </t>
  </si>
  <si>
    <t>795</t>
  </si>
  <si>
    <t>CÔNG TY TNHH GF CAPITAL (VIỆT NAM)</t>
  </si>
  <si>
    <t>EMandAI_gapone</t>
  </si>
  <si>
    <t>EMandAI@123456</t>
  </si>
  <si>
    <t>Công ty TNHH Nestle Việt Nam (Maggi Survey - PO số 4562338525)</t>
  </si>
  <si>
    <t>CÔNG TY PHÂN BÓN HÀN – VIỆT</t>
  </si>
  <si>
    <t>PO 5.000.000</t>
  </si>
  <si>
    <t>da.tran@emandai.net</t>
  </si>
  <si>
    <t>CÔNG TY TNHH DECATHLON VIỆT NAM Miniapp</t>
  </si>
  <si>
    <t>Công ty cổ phần y khoa Hoàn Mỹ</t>
  </si>
  <si>
    <t>797</t>
  </si>
  <si>
    <t>VINASOYGame</t>
  </si>
  <si>
    <t>PO trả trước</t>
  </si>
  <si>
    <t>Hongntt</t>
  </si>
  <si>
    <t>Công ty TNHH Mua Bán Nợ GALAXY</t>
  </si>
  <si>
    <t>Công ty TNHH Nestlé Việt Nam</t>
  </si>
  <si>
    <t>CÔNG TY DỊCH VỤ MOBIFONE KHU VỰC 7</t>
  </si>
  <si>
    <t>798</t>
  </si>
  <si>
    <t>Công ty TNHH Nestlé Việt Nam (NHS) (PO số 4561940014)</t>
  </si>
  <si>
    <t>CÔNG TY TNHH THỂ THAO S-ONE</t>
  </si>
  <si>
    <t>Công ty TNHH Nestlé Việt Nam (PO: 4560928038 và 4560928039)</t>
  </si>
  <si>
    <t>quang.nguyen12@onemount.com</t>
  </si>
  <si>
    <t>CÔNG TY CỔ PHẦN DỊCH VỤ VẬN TẢI XANH BUTL</t>
  </si>
  <si>
    <t>CÔNG TY CỔ PHẦN THỰC PHẨM ĐÔNG LẠNH KIDO</t>
  </si>
  <si>
    <t>Tổng Công ty bảo hiểm PVI – Chi nhánh Bảo hiểm PVI Digital</t>
  </si>
  <si>
    <t>757</t>
  </si>
  <si>
    <t>CÔNG TY TNHH TRUYỀN THÔNG SÀI GÒN RADIO</t>
  </si>
  <si>
    <t>Hason_Starter</t>
  </si>
  <si>
    <t>Hason@123</t>
  </si>
  <si>
    <t>Bạch Long Mobile</t>
  </si>
  <si>
    <t>Chan Hair Salon</t>
  </si>
  <si>
    <t>CÔNG TY CỔ PHẦN LA BÀN CORP</t>
  </si>
  <si>
    <t>CÔNG TY CỔ PHẦN GIẢI PHÁP KINH DOANH NỀN</t>
  </si>
  <si>
    <t>Công ty TNHH Nestlé Việt Nam (NCF Sustain - PO số 4562604416 và 4562460628)</t>
  </si>
  <si>
    <t>CÔNG TY CỔ PHẦN VCCORP (CÔNG TY CỔ PHẦN ĐẦU TƯ Y TẾ WHC VIỆT NAM)</t>
  </si>
  <si>
    <t>QUANGTN@CYBERSOFT.COM.VN</t>
  </si>
  <si>
    <t>799</t>
  </si>
  <si>
    <t>CÔNG TY CỔ PHẦN ETELECOM</t>
  </si>
  <si>
    <t>CÔNG TY TNHH TÔN HÒA PHÁT</t>
  </si>
  <si>
    <t>Công ty TNHH Nestle Việt Nam (Milo khảo sát) (PO: 4561016664)</t>
  </si>
  <si>
    <t>800</t>
  </si>
  <si>
    <t>CÔNG TY TNHH KOOBIZ VIỆT NAM</t>
  </si>
  <si>
    <t>CÔNG TY CỔ PHẦN CÔNG NGHỆ VÀ ĐẦU TƯ SONAT</t>
  </si>
  <si>
    <t>300 MT SMS</t>
  </si>
  <si>
    <t>CÔNG TY CỔ PHẦN DGV DIGITAL (Nuvi)</t>
  </si>
  <si>
    <t>802</t>
  </si>
  <si>
    <t>CÔNG TY BẢO HIỂM PVI HUẾ</t>
  </si>
  <si>
    <t>QuydautuMB_gapone</t>
  </si>
  <si>
    <t>Quydautu@123456</t>
  </si>
  <si>
    <t>tra.vu@mbcapital.com.vn</t>
  </si>
  <si>
    <t>Face Communications</t>
  </si>
  <si>
    <t>803</t>
  </si>
  <si>
    <t>CÔNG TY TNHH ECOSWAP VIỆT NAM</t>
  </si>
  <si>
    <t>PeBao2025_gapone</t>
  </si>
  <si>
    <t>PeBao@123456</t>
  </si>
  <si>
    <t>CÔNG TY CỔ PHẦN THỰC PHẨM QUỐC TẾ</t>
  </si>
  <si>
    <t>CÔNG TY TNHH MỘT THÀNH VIÊN TOYOTA BÌNH PHƯỚC</t>
  </si>
  <si>
    <t>CS mở tk gửi tin cho KH</t>
  </si>
  <si>
    <t>thuongttk2025@gmail.com</t>
  </si>
  <si>
    <t>Campaign Yamaha</t>
  </si>
  <si>
    <t>Blumn AI</t>
  </si>
  <si>
    <t>804</t>
  </si>
  <si>
    <t>Tenamyd_gapone</t>
  </si>
  <si>
    <t>Tenamyd@123456</t>
  </si>
  <si>
    <t>CÔNG TY TNHH WEBASEGROUP</t>
  </si>
  <si>
    <t>Công ty Tnhh Thương Mại Điện Tử Đại Dương Xanh</t>
  </si>
  <si>
    <t>Công ty TNHH Nestle Việt Nam (Milo khảo sát ít đường - PO số 4562592005)</t>
  </si>
  <si>
    <t>CÔNG TY CỔ PHẦN INCOM SÀI GÒN</t>
  </si>
  <si>
    <t>nganvu@tenamydcosmetic.com</t>
  </si>
  <si>
    <t>CÔNG TY CỔ PHẦN GIẢI PHÁP CÔNG NGHỆ NEWWAY</t>
  </si>
  <si>
    <t>Công ty TNHH THƯƠNG MẠI DỊCH VỤ HÒA SINH</t>
  </si>
  <si>
    <t>BIZFLY - Công ty TNHH MTV Sản xuất Thương mại Dịch vụ Bánh kẹo Hỷ Lâm Môn</t>
  </si>
  <si>
    <t>805</t>
  </si>
  <si>
    <t>CÔNG TY TNHH NƯỚC GIẢI KHÁT SUNTORY PEPSICO VIỆT NAM (PO số 4900222125)</t>
  </si>
  <si>
    <t>CÔNG TY CỔ PHẦN TẬP ĐOÀN MEDIA SOFT</t>
  </si>
  <si>
    <t>Công ty TNHH Nestle Việt Nam (Miloseagame PO số 4562626575)</t>
  </si>
  <si>
    <t>MOBIFONE ĐÀ NẴNG - CHI NHÁNH TỔNG CÔNG TY VIỄN THÔNG MOBIFONE</t>
  </si>
  <si>
    <t>CÔNG TY CỔ PHẦN ỨNG DỤNG CÔNG NGHỆ VŨ HẢI</t>
  </si>
  <si>
    <t>Capillary Testing</t>
  </si>
  <si>
    <t>806</t>
  </si>
  <si>
    <t>Capillary - HP Vietnam</t>
  </si>
  <si>
    <t>Công Ty TNHH Galaxy Digital Holding</t>
  </si>
  <si>
    <t>Công ty Cổ phần Viseratek</t>
  </si>
  <si>
    <t>CÔNG TY CỔ PHẦN VCCORP (Trung Tâm học viện âm nhạc AMEB)</t>
  </si>
  <si>
    <t>FPT</t>
  </si>
  <si>
    <t>Đại học FPT</t>
  </si>
  <si>
    <t>Migration từ hệ thống cũ. Số lần GH cũ: o</t>
  </si>
  <si>
    <t>PO 3.000 ZNS
PO 1389MT SMS CSKH</t>
  </si>
  <si>
    <t>Công ty Cổ phần Đầu tư HVA</t>
  </si>
  <si>
    <t>808</t>
  </si>
  <si>
    <t>Công ty Dịch Vụ Khách Hàng Viettel - VCX Miền Trung</t>
  </si>
  <si>
    <t>BLUECOM_STARTER</t>
  </si>
  <si>
    <t>Bluecom@123</t>
  </si>
  <si>
    <t>Công ty TNHH Nestle Việt Nam (PO 4560443899)</t>
  </si>
  <si>
    <t>CÔNG TY CỔ PHẦN BỆNH VIỆN ĐA KHOA QUỐC TẾ HẠNH PHÚC</t>
  </si>
  <si>
    <t>CÔNG TY TNHH WOGI VIỆT NAM</t>
  </si>
  <si>
    <t>Đã có HĐ SMS, bổ sung thêm PL ZNS</t>
  </si>
  <si>
    <t>BỆNH VIỆN ĐA KHOA ĐỨC GIANG</t>
  </si>
  <si>
    <t>tien.dao@bluecom.media</t>
  </si>
  <si>
    <t>Công ty TNHH Nexus Sports Complex</t>
  </si>
  <si>
    <t>MOBIFONE ĐẮK LẮK – CHI NHÁNH TỔNG CÔNG TY VIỄN THÔNG MOBIFONE</t>
  </si>
  <si>
    <t>807</t>
  </si>
  <si>
    <t>ỦY BAN NHÂN DÂN XÃ CÁI ĐÔI VÀM TỈNH CÀ MAU</t>
  </si>
  <si>
    <t>osp_cskh</t>
  </si>
  <si>
    <t>CÔNG TY TNHH PANASONIC ELECTRIC WORKS VIỆT NAM</t>
  </si>
  <si>
    <t>Capillary - LUX VIET AMERICAN BEAUTY COMPANY LIMITED</t>
  </si>
  <si>
    <t>Công Ty TNHH DAIKO Việt Nam</t>
  </si>
  <si>
    <t>CÔNG TY TNHH PHÂN PHỐI NHẬT KIỆN JKENDAI</t>
  </si>
  <si>
    <t>Trang sức Bảo Duy</t>
  </si>
  <si>
    <t>30 ZNS, 20 UID</t>
  </si>
  <si>
    <t>CÔNG TY CỔ PHẦN TRUNG NGUYÊN FRANCHISING</t>
  </si>
  <si>
    <t>CÔNG TY CỔ PHẦN SAO VÀNG</t>
  </si>
  <si>
    <t>CÔNG TY TNHH BIA VÀ NƯỚC GIẢI KHÁT HEINEKEN VIỆT NAM</t>
  </si>
  <si>
    <t>PO 2.000.000
PO 2: 1.000.000</t>
  </si>
  <si>
    <t>on_time</t>
  </si>
  <si>
    <t>thuytt@osp.vn</t>
  </si>
  <si>
    <t>788</t>
  </si>
  <si>
    <t>809</t>
  </si>
  <si>
    <t>810</t>
  </si>
  <si>
    <t xml:space="preserve">test.gapit@circlek.com.vn
</t>
  </si>
  <si>
    <t>811</t>
  </si>
  <si>
    <t>812</t>
  </si>
  <si>
    <t>Vinasoygame_api</t>
  </si>
  <si>
    <t>Vinasoy@123456</t>
  </si>
  <si>
    <t>hue.truong@vinasoy.com</t>
  </si>
  <si>
    <t>813</t>
  </si>
  <si>
    <t>GFcapitalVN_gapone</t>
  </si>
  <si>
    <t>GFcapitalVN@123456</t>
  </si>
  <si>
    <t>hungho@gfc-vn.com</t>
  </si>
  <si>
    <t>814</t>
  </si>
  <si>
    <t>Maggiinfo_gapone</t>
  </si>
  <si>
    <t>Maggiinfo@123456</t>
  </si>
  <si>
    <t>PO 4.000.000</t>
  </si>
  <si>
    <t>815</t>
  </si>
  <si>
    <t>KVF_gapone</t>
  </si>
  <si>
    <t>Kvf@123456</t>
  </si>
  <si>
    <t>lapqv@kvf.vn</t>
  </si>
  <si>
    <t>820</t>
  </si>
  <si>
    <t>Maggisurvey1_gapone</t>
  </si>
  <si>
    <t>Maggisurvey1@123</t>
  </si>
  <si>
    <t xml:space="preserve">cskh.361sport@gmail.com </t>
  </si>
  <si>
    <t>anhi130613@gmail.com</t>
  </si>
  <si>
    <t>821</t>
  </si>
  <si>
    <t>Maggisurvey2_gapone</t>
  </si>
  <si>
    <t>Maggisurvey2@123</t>
  </si>
  <si>
    <t>nguyenthianhtuyettia1306@gmail.com</t>
  </si>
  <si>
    <t>10MT test</t>
  </si>
  <si>
    <t>816</t>
  </si>
  <si>
    <r>
      <rPr>
        <rFont val="Google Sans"/>
        <color theme="1"/>
        <sz val="9.0"/>
      </rPr>
      <t>linh.phan@vietdeligroup.com</t>
    </r>
  </si>
  <si>
    <r>
      <rPr>
        <rFont val="Google Sans"/>
        <color theme="1"/>
        <sz val="9.0"/>
      </rPr>
      <t>linh.phan@vietdeligroup.com</t>
    </r>
  </si>
  <si>
    <t>817</t>
  </si>
  <si>
    <r>
      <rPr>
        <rFont val="Google Sans"/>
        <color theme="1"/>
        <sz val="9.0"/>
      </rPr>
      <t>Chiecbanhnho_Starter</t>
    </r>
  </si>
  <si>
    <r>
      <rPr>
        <rFont val="Google Sans"/>
        <color theme="1"/>
        <sz val="9.0"/>
      </rPr>
      <t>Chiecbanhnho@123</t>
    </r>
  </si>
  <si>
    <t xml:space="preserve">hongcamnhung.le@thebodyshop.com.vn </t>
  </si>
  <si>
    <r>
      <rPr>
        <rFont val="Google Sans"/>
        <color theme="1"/>
        <sz val="9.0"/>
      </rPr>
      <t>thuhongvnpt@gmail.com</t>
    </r>
  </si>
  <si>
    <r>
      <rPr>
        <rFont val="Google Sans"/>
        <color theme="1"/>
        <sz val="9.0"/>
      </rPr>
      <t>thuhongvnpt@gmail.com</t>
    </r>
  </si>
  <si>
    <t>819</t>
  </si>
  <si>
    <r>
      <rPr>
        <rFont val="Google Sans"/>
        <color theme="1"/>
        <sz val="9.0"/>
      </rPr>
      <t>EVE_Starter</t>
    </r>
  </si>
  <si>
    <r>
      <rPr>
        <rFont val="Google Sans"/>
        <color theme="1"/>
        <sz val="9.0"/>
      </rPr>
      <t>Nhanluceve@123</t>
    </r>
  </si>
  <si>
    <t>16.000.000 ZNS</t>
  </si>
  <si>
    <t>Khách hàng chuyển đổi từ Keyword</t>
  </si>
  <si>
    <t>818</t>
  </si>
  <si>
    <t>Bán buôn thiết bị và linh kiện điện tử, viễn thông</t>
  </si>
  <si>
    <t>ew_enterprise</t>
  </si>
  <si>
    <t>Eherbal@123</t>
  </si>
  <si>
    <t>Không gia hạn do công ty giải thể</t>
  </si>
  <si>
    <t>marketing@eherbal.com.vn</t>
  </si>
  <si>
    <t>822</t>
  </si>
  <si>
    <t>CÔNG TY CỔ PHẦN ROX LIVING GLOBAL</t>
  </si>
  <si>
    <t>Whatsapp, Email</t>
  </si>
  <si>
    <t>Lập trình máy vi tính</t>
  </si>
  <si>
    <t>linhnt15@rox.vn</t>
  </si>
  <si>
    <t>823</t>
  </si>
  <si>
    <t>DKLvnzma_gapone</t>
  </si>
  <si>
    <t>DKLvnzma@123456</t>
  </si>
  <si>
    <t>761</t>
  </si>
  <si>
    <r>
      <rPr>
        <rFont val="Google Sans"/>
        <color theme="1"/>
        <sz val="9.0"/>
      </rPr>
      <t>chau.nguyen3@hoanmy.com</t>
    </r>
  </si>
  <si>
    <r>
      <rPr>
        <rFont val="Google Sans"/>
        <color theme="1"/>
        <sz val="9.0"/>
      </rPr>
      <t>chau.nguyen3@hoanmy.com</t>
    </r>
  </si>
  <si>
    <t>admin mở TK gửi tin</t>
  </si>
  <si>
    <t>824</t>
  </si>
  <si>
    <t>CÔNG TY TNHH FRIESLANDCAMPINA 
VIỆT NAM (Team 2)</t>
  </si>
  <si>
    <t>COUNTA của Kênh gửi tin chi tiết</t>
  </si>
  <si>
    <r>
      <rPr>
        <rFont val="Google Sans"/>
        <color theme="1"/>
        <sz val="9.0"/>
      </rPr>
      <t>hieu.tran3@hoanmy.com</t>
    </r>
  </si>
  <si>
    <r>
      <rPr>
        <rFont val="Google Sans"/>
        <color theme="1"/>
        <sz val="9.0"/>
      </rPr>
      <t>hieu.tran3@hoanmy.com</t>
    </r>
  </si>
  <si>
    <t>SG</t>
  </si>
  <si>
    <t>825</t>
  </si>
  <si>
    <t>CÔNG TY CỔ PHẦN THƯƠNG MẠI I-HÀ TĨNH</t>
  </si>
  <si>
    <r>
      <rPr>
        <rFont val="Google Sans"/>
        <color theme="1"/>
        <sz val="9.0"/>
      </rPr>
      <t>TMhatinh_Starter</t>
    </r>
  </si>
  <si>
    <r>
      <rPr>
        <rFont val="Google Sans"/>
        <color theme="1"/>
        <sz val="9.0"/>
      </rPr>
      <t>TMhatinh@123</t>
    </r>
  </si>
  <si>
    <t xml:space="preserve">Hoạt động dịch vụ công nghệ thông tin </t>
  </si>
  <si>
    <t>Chỉ thu phí phần mềm năm đầu tiên</t>
  </si>
  <si>
    <t>ThanhLT, DungPL</t>
  </si>
  <si>
    <r>
      <rPr>
        <rFont val="Google Sans"/>
        <color theme="1"/>
        <sz val="9.0"/>
      </rPr>
      <t>nguyenthihuong020791@gmail.com</t>
    </r>
  </si>
  <si>
    <r>
      <rPr>
        <rFont val="Google Sans"/>
        <color theme="1"/>
        <sz val="9.0"/>
      </rPr>
      <t xml:space="preserve">nguyenthihuong020791@gmail.com
</t>
    </r>
    <r>
      <rPr>
        <rFont val="Google Sans"/>
        <color rgb="FFFF0000"/>
        <sz val="9.0"/>
      </rPr>
      <t>cskhtht.ptd@gmail.com</t>
    </r>
  </si>
  <si>
    <t>826</t>
  </si>
  <si>
    <t>VNSngucoc_api</t>
  </si>
  <si>
    <t>VNSngucoc@123456</t>
  </si>
  <si>
    <t>WhatsApp</t>
  </si>
  <si>
    <t>tri.le@vinasoy.com</t>
  </si>
  <si>
    <t>827</t>
  </si>
  <si>
    <t>MUJIVN_Premium</t>
  </si>
  <si>
    <t>Mujivn@123</t>
  </si>
  <si>
    <t>KH gia hạn mỗi 6 tháng</t>
  </si>
  <si>
    <t>ec@muji.vn</t>
  </si>
  <si>
    <t>828</t>
  </si>
  <si>
    <t>Gia hạn lần 1 từ 15/7/2025 - 15/7/2026</t>
  </si>
  <si>
    <t>829</t>
  </si>
  <si>
    <t>None 12</t>
  </si>
  <si>
    <t>3.000.000 ZNS</t>
  </si>
  <si>
    <t>emai_galaxy_standard</t>
  </si>
  <si>
    <t>Galaxy@123</t>
  </si>
  <si>
    <t>glxdt_zns_01@galaxydt.com.vn</t>
  </si>
  <si>
    <t>830</t>
  </si>
  <si>
    <t>KH chưa triển khai và không gia hạn vì tệp khách hàng của họ chưa đủ để sử dụng kênh ZBS</t>
  </si>
  <si>
    <t>831</t>
  </si>
  <si>
    <t>Milotiktok_gapone</t>
  </si>
  <si>
    <t>Milotiktok@123456</t>
  </si>
  <si>
    <t>LeBao.Khanh@vn.nestle.com</t>
  </si>
  <si>
    <t>832</t>
  </si>
  <si>
    <t>50 ZNS Test</t>
  </si>
  <si>
    <t>dotranminhchu@gmail.com</t>
  </si>
  <si>
    <t>837</t>
  </si>
  <si>
    <t>mobifone7_premium</t>
  </si>
  <si>
    <t>Mobifone7@123</t>
  </si>
  <si>
    <t>Giai đoạn hiện tại khách sử dụng App ID liên kết với ví ZCA của GAPIT để gửi tin ZNS</t>
  </si>
  <si>
    <t>c7.dktt@gmail.com</t>
  </si>
  <si>
    <t>833</t>
  </si>
  <si>
    <t>834</t>
  </si>
  <si>
    <r>
      <rPr>
        <rFont val="Google Sans"/>
        <color theme="1"/>
        <sz val="9.0"/>
      </rPr>
      <t>Thanhloc@1234</t>
    </r>
  </si>
  <si>
    <r>
      <rPr>
        <rFont val="Lexend"/>
        <u/>
      </rPr>
      <t>LeBao.Khanh@vn.nestle.com</t>
    </r>
  </si>
  <si>
    <t>BLMOBILE_PREMIUM</t>
  </si>
  <si>
    <t>BLMobile@123</t>
  </si>
  <si>
    <t>836</t>
  </si>
  <si>
    <t>NestleNHS_gapone</t>
  </si>
  <si>
    <t>NestleNHS@123456</t>
  </si>
  <si>
    <t>Chỉ test kết nối Haravan + Kiot Việt</t>
  </si>
  <si>
    <t>dungbachlong1711@gmail.com</t>
  </si>
  <si>
    <t>Gapit@123456mail</t>
  </si>
  <si>
    <t>838</t>
  </si>
  <si>
    <t>4.000.000 ZNS
2.000.000 ZNS gia hạn</t>
  </si>
  <si>
    <r>
      <rPr>
        <rFont val="Google Sans"/>
        <color theme="1"/>
        <sz val="9.0"/>
      </rPr>
      <t>Sailun@1234</t>
    </r>
  </si>
  <si>
    <r>
      <rPr>
        <rFont val="Google Sans"/>
        <color theme="1"/>
        <sz val="9.0"/>
      </rPr>
      <t>ruanyingguang@sailuntire.com</t>
    </r>
  </si>
  <si>
    <r>
      <rPr>
        <rFont val="Google Sans"/>
        <color theme="1"/>
        <sz val="9.0"/>
      </rPr>
      <t>ruanyingguang@sailuntire.com</t>
    </r>
  </si>
  <si>
    <t>884</t>
  </si>
  <si>
    <t>SONE_Starter</t>
  </si>
  <si>
    <t>Sone@123</t>
  </si>
  <si>
    <t>ssone9191@gmail.com</t>
  </si>
  <si>
    <r>
      <rPr>
        <rFont val="Lexend"/>
      </rPr>
      <t>Martech@everon.com</t>
    </r>
    <r>
      <rPr>
        <rFont val="Lexend"/>
      </rPr>
      <t xml:space="preserve">
huyentt@everon.com
minhnn@everon.com</t>
    </r>
  </si>
  <si>
    <t>839</t>
  </si>
  <si>
    <t>NCFawo_gapone</t>
  </si>
  <si>
    <t>NCFawo@123456</t>
  </si>
  <si>
    <t>chanhair_premium</t>
  </si>
  <si>
    <t>Chanhair@123</t>
  </si>
  <si>
    <t>xuyentran0703@gmail.com</t>
  </si>
  <si>
    <t>chanhair@gmail.com</t>
  </si>
  <si>
    <t>Test kết nối VMS</t>
  </si>
  <si>
    <t>841</t>
  </si>
  <si>
    <t>BSHIP_Starter</t>
  </si>
  <si>
    <t>Bship@123</t>
  </si>
  <si>
    <t>marketing@bship.vn</t>
  </si>
  <si>
    <t>NgocPH</t>
  </si>
  <si>
    <t>840</t>
  </si>
  <si>
    <t>Kido_gapone</t>
  </si>
  <si>
    <t>Kido@123456</t>
  </si>
  <si>
    <t>cuong.nd2@kidofoods.vn</t>
  </si>
  <si>
    <t>842</t>
  </si>
  <si>
    <t>PVIDigital_Starter</t>
  </si>
  <si>
    <t>PVIDigital@123456</t>
  </si>
  <si>
    <r>
      <rPr>
        <rFont val="Lexend"/>
        <u/>
      </rPr>
      <t>LeThiHoang.Thy@vn.nestle.com</t>
    </r>
  </si>
  <si>
    <t>tamdm@pvi.com.vn</t>
  </si>
  <si>
    <t>843</t>
  </si>
  <si>
    <t>sgradio_standard</t>
  </si>
  <si>
    <t>Sgradio@123</t>
  </si>
  <si>
    <t xml:space="preserve">DONGNGUYEN@minhsg.com.vn
</t>
  </si>
  <si>
    <t>844</t>
  </si>
  <si>
    <t>845</t>
  </si>
  <si>
    <t>Trial
Test kết nối VMS</t>
  </si>
  <si>
    <t>846</t>
  </si>
  <si>
    <t>LABAN_Premium</t>
  </si>
  <si>
    <t>Laban@123</t>
  </si>
  <si>
    <t>20 ZNS + 10 SMS test</t>
  </si>
  <si>
    <t>info@labantour.com</t>
  </si>
  <si>
    <t>847</t>
  </si>
  <si>
    <t>4.000.000 ZNS</t>
  </si>
  <si>
    <t>848</t>
  </si>
  <si>
    <t>basebs_standard</t>
  </si>
  <si>
    <t>Basebs@123</t>
  </si>
  <si>
    <r>
      <rPr>
        <rFont val="Google Sans"/>
        <color theme="1"/>
        <sz val="9.0"/>
      </rPr>
      <t>tienht@basebs.com</t>
    </r>
  </si>
  <si>
    <r>
      <rPr>
        <rFont val="Google Sans"/>
        <color theme="1"/>
        <sz val="9.0"/>
      </rPr>
      <t>tienht@basebs.com</t>
    </r>
  </si>
  <si>
    <t>850</t>
  </si>
  <si>
    <t xml:space="preserve">PREMIUM </t>
  </si>
  <si>
    <t>849</t>
  </si>
  <si>
    <r>
      <rPr>
        <rFont val="Google Sans"/>
        <color theme="1"/>
        <sz val="9.0"/>
      </rPr>
      <t>Starmed@1234</t>
    </r>
  </si>
  <si>
    <t>4.167 MT</t>
  </si>
  <si>
    <t>851</t>
  </si>
  <si>
    <t>NCFsustain_STARTER</t>
  </si>
  <si>
    <t>NCFsustain@123456</t>
  </si>
  <si>
    <t>853</t>
  </si>
  <si>
    <t>PO 4.500.000 ZNS, 500.000 UID</t>
  </si>
  <si>
    <t>852</t>
  </si>
  <si>
    <t>Gia hạn free mỗi năm</t>
  </si>
  <si>
    <t>Test 30 ZNS, 20SMS</t>
  </si>
  <si>
    <t>854</t>
  </si>
  <si>
    <t>7.000.000 ZNS</t>
  </si>
  <si>
    <t>859</t>
  </si>
  <si>
    <t>860</t>
  </si>
  <si>
    <r>
      <rPr>
        <rFont val="Google Sans"/>
        <color theme="1"/>
        <sz val="9.0"/>
      </rPr>
      <t>CKxuanthien@1234</t>
    </r>
  </si>
  <si>
    <t>5197 MT còn lại từ keyword</t>
  </si>
  <si>
    <t>861</t>
  </si>
  <si>
    <t>None 8</t>
  </si>
  <si>
    <t>863</t>
  </si>
  <si>
    <t>ETELECOM_Premium</t>
  </si>
  <si>
    <t>Etelecom@123</t>
  </si>
  <si>
    <t>dat@etelecom.vn</t>
  </si>
  <si>
    <t>865</t>
  </si>
  <si>
    <t>864</t>
  </si>
  <si>
    <t xml:space="preserve"> Công ty TNHH Nestle Việt Nam (Milo khảo sát) (PO: 4561016664)</t>
  </si>
  <si>
    <t>Milokhaosat_Gapone</t>
  </si>
  <si>
    <t>Milokhaosat@123456</t>
  </si>
  <si>
    <t>thuongttk5work@gmail.com</t>
  </si>
  <si>
    <t>867</t>
  </si>
  <si>
    <t>20 ZNS, 20 SMS</t>
  </si>
  <si>
    <t>868</t>
  </si>
  <si>
    <t>869</t>
  </si>
  <si>
    <t>600678, 20656</t>
  </si>
  <si>
    <t>870</t>
  </si>
  <si>
    <t>30 ZNS</t>
  </si>
  <si>
    <t>871</t>
  </si>
  <si>
    <t>872</t>
  </si>
  <si>
    <t>NA</t>
  </si>
  <si>
    <t>873</t>
  </si>
  <si>
    <t>KoobizVN_Gapone</t>
  </si>
  <si>
    <t>KoobizVN@123456</t>
  </si>
  <si>
    <t>chienha231226@gmail.com</t>
  </si>
  <si>
    <t>2.500.000 ZNS</t>
  </si>
  <si>
    <t>874</t>
  </si>
  <si>
    <t>None 10</t>
  </si>
  <si>
    <t>875</t>
  </si>
  <si>
    <t>TRIAL STANDARD</t>
  </si>
  <si>
    <t>876</t>
  </si>
  <si>
    <t>VNS1_api</t>
  </si>
  <si>
    <t>Vns1@123456</t>
  </si>
  <si>
    <t>15 ZNS, 15 SMS</t>
  </si>
  <si>
    <t>truong.ha@vinasoy.com</t>
  </si>
  <si>
    <t>877</t>
  </si>
  <si>
    <t>20 ZNS test</t>
  </si>
  <si>
    <t>nganlengockim@vccorp.vn</t>
  </si>
  <si>
    <t>879</t>
  </si>
  <si>
    <t>156.825.240 ZNS</t>
  </si>
  <si>
    <t>LocalLife_Standard</t>
  </si>
  <si>
    <t>LocalLife@123</t>
  </si>
  <si>
    <t>Sales báo khóa từ ngày 30/03/2026 https://wework.base.vn/local-life-gapit-du-an-gapone-stand-da-kenh-99052?task=9875914
KH báo mở lại ngày 15/7/2026</t>
  </si>
  <si>
    <t>partner@locallife.asia</t>
  </si>
  <si>
    <t>880</t>
  </si>
  <si>
    <t>31/12/2024- 13/08/2025</t>
  </si>
  <si>
    <r>
      <rPr>
        <rFont val="Google Sans"/>
        <color theme="1"/>
        <sz val="9.0"/>
      </rPr>
      <t>ict.support@dutchlady.com.vn</t>
    </r>
  </si>
  <si>
    <t>vy.nguyenyen@frieslandcampina.com</t>
  </si>
  <si>
    <t>881</t>
  </si>
  <si>
    <t>882</t>
  </si>
  <si>
    <t>DgvNuvi_Gapone</t>
  </si>
  <si>
    <t>DgvNuvi@123456</t>
  </si>
  <si>
    <t>thicnn@nutifood.com.vn</t>
  </si>
  <si>
    <t>883</t>
  </si>
  <si>
    <t>893</t>
  </si>
  <si>
    <t>886</t>
  </si>
  <si>
    <t>888</t>
  </si>
  <si>
    <t>889</t>
  </si>
  <si>
    <t>File Excel, HubSpot</t>
  </si>
  <si>
    <t>890</t>
  </si>
  <si>
    <t>Pcheck_GapOne</t>
  </si>
  <si>
    <t>Pcheck@123456</t>
  </si>
  <si>
    <t>Chỉ cho view hệ thống</t>
  </si>
  <si>
    <t>info@dgvdigital.com</t>
  </si>
  <si>
    <t>891</t>
  </si>
  <si>
    <t>FACE_Standard</t>
  </si>
  <si>
    <t>Face@123456</t>
  </si>
  <si>
    <t>5.000.000 ZNS</t>
  </si>
  <si>
    <t>thao.pham@facecommunications.vn</t>
  </si>
  <si>
    <r>
      <rPr>
        <rFont val="Lexend"/>
        <u/>
      </rPr>
      <t>ga1@copenhagendelights.com</t>
    </r>
  </si>
  <si>
    <t>892</t>
  </si>
  <si>
    <r>
      <rPr>
        <rFont val="Lexend"/>
        <u/>
      </rPr>
      <t>ga1@copenhagendelights.com</t>
    </r>
  </si>
  <si>
    <t>895</t>
  </si>
  <si>
    <t>ECOSWAP_STARTER</t>
  </si>
  <si>
    <t>Ecoswap@123</t>
  </si>
  <si>
    <t>dang.phan@orthian.vn</t>
  </si>
  <si>
    <t>894</t>
  </si>
  <si>
    <t>mdlz_standard</t>
  </si>
  <si>
    <t>Mdlz@12345</t>
  </si>
  <si>
    <t>Hien.NguyenMinh@mdlz.com</t>
  </si>
  <si>
    <t>896</t>
  </si>
  <si>
    <t>897</t>
  </si>
  <si>
    <t>IFS_GapOne</t>
  </si>
  <si>
    <t>IFSwdf@123456</t>
  </si>
  <si>
    <t>quyendtk@wonderfarmonline.com</t>
  </si>
  <si>
    <t>898</t>
  </si>
  <si>
    <t>NCFTet2026_GapOne</t>
  </si>
  <si>
    <t>NCFTet2026@123456</t>
  </si>
  <si>
    <t>luckystar2771@gmail.com</t>
  </si>
  <si>
    <t>899</t>
  </si>
  <si>
    <r>
      <rPr>
        <rFont val="Google Sans"/>
        <color theme="1"/>
        <sz val="9.0"/>
      </rPr>
      <t>Chodongba@123</t>
    </r>
  </si>
  <si>
    <t>Chạy chính thức từ 16/6/2026</t>
  </si>
  <si>
    <t>900</t>
  </si>
  <si>
    <t>4.000 VND ZNS; 10MT SMS</t>
  </si>
  <si>
    <t>902</t>
  </si>
  <si>
    <r>
      <rPr>
        <rFont val="Lexend"/>
        <u/>
      </rPr>
      <t>tienht@basebs.com</t>
    </r>
  </si>
  <si>
    <t>901</t>
  </si>
  <si>
    <t>600548_Demo</t>
  </si>
  <si>
    <t>Jotun@1234</t>
  </si>
  <si>
    <t>amit.kumar@capillarytech.com</t>
  </si>
  <si>
    <t>903</t>
  </si>
  <si>
    <t>2.000.000 ZNS</t>
  </si>
  <si>
    <t>Toyotabinhphuoc_Starter</t>
  </si>
  <si>
    <t>TYTbinhphuoc@123</t>
  </si>
  <si>
    <t>Công ty TNHH Nestlé Việt Nam (NCF Sustain)</t>
  </si>
  <si>
    <t>Zalo ZNS, SMS CSKH, SMS QC</t>
  </si>
  <si>
    <t>100 SMS test</t>
  </si>
  <si>
    <t>Sale đề xuất upgrade gói từ starter lên standard đến 5/11/2026 sau đó cần thanh toán phí gói standard để sử dụng tiếp</t>
  </si>
  <si>
    <t>tungtv@toyotabinhphuoc.com.vn</t>
  </si>
  <si>
    <r>
      <rPr>
        <rFont val="Google Sans"/>
        <color theme="1"/>
        <sz val="9.0"/>
      </rPr>
      <t xml:space="preserve">tungtv@toyotabinhphuoc.com.vn 
</t>
    </r>
    <r>
      <rPr>
        <rFont val="Google Sans"/>
        <color rgb="FFFF0000"/>
        <sz val="9.0"/>
      </rPr>
      <t>nganth@toyotabinhphuoc.com.vn, uyendtt@toyotabinhphuoc.com.vn, chupv@toyotabinhphuoc.com.vn, thuhtm@toyotabinhphuoc.com.vn, haodtm@toyotabinhphuoc.com.vn,</t>
    </r>
  </si>
  <si>
    <t>Generic</t>
  </si>
  <si>
    <t>904</t>
  </si>
  <si>
    <t>hmcl_admin</t>
  </si>
  <si>
    <t>File Excel, API, HubSpot</t>
  </si>
  <si>
    <t>quang.tran@hoanmy.com</t>
  </si>
  <si>
    <t>quang.tran@hoanmy.com; quang.tran@hoanmy.com</t>
  </si>
  <si>
    <t>905</t>
  </si>
  <si>
    <t>camp_Yamaha_2025</t>
  </si>
  <si>
    <t>Yamaha2025@123</t>
  </si>
  <si>
    <t>yamaha@gapit.com.vn</t>
  </si>
  <si>
    <t>907</t>
  </si>
  <si>
    <t>TK test_Demo</t>
  </si>
  <si>
    <t>BlumnAI_Premium</t>
  </si>
  <si>
    <t>BlumnAI@123</t>
  </si>
  <si>
    <t>Test 100UID</t>
  </si>
  <si>
    <t>serene@blumn.ai</t>
  </si>
  <si>
    <t>914</t>
  </si>
  <si>
    <t>ECARAID_Standard</t>
  </si>
  <si>
    <t>Ecaraid@123</t>
  </si>
  <si>
    <t>ECARAID là hệ sinh thái số kết nối Garage, tài xế, bảo hiểm. Cần triển khai gửi tin đa kênh, ưu tiên triển khai kênh ZNS, SMS trước, các nội dung dự kiến: thông báo giao dịch, xác nhận thanh toán, nhắc lịch bảo hành, bảo dưỡng...</t>
  </si>
  <si>
    <t>khách hàng ko chịu chuyển cọc HĐ --&gt; Sale báo cancel</t>
  </si>
  <si>
    <t>Danny.huynh@autoverse.sg</t>
  </si>
  <si>
    <t>906</t>
  </si>
  <si>
    <t>gigastore_starter</t>
  </si>
  <si>
    <t>Gigastore@123</t>
  </si>
  <si>
    <t>API và Portal</t>
  </si>
  <si>
    <t>gigastore.tech.22@gmail.com</t>
  </si>
  <si>
    <t>gigastore.tech.22@gmail.com; aaaa130938love@gmail.com; vzouxzouxv@gmail.com; ireneyyyu@gmail.com; a2071395474@gmail.com</t>
  </si>
  <si>
    <t>908</t>
  </si>
  <si>
    <t>None 13</t>
  </si>
  <si>
    <t>Webase_Standard</t>
  </si>
  <si>
    <t>Webase@123</t>
  </si>
  <si>
    <t>Phần mềm, máy tính – tư vấn giải pháp hệ thống tích hợp</t>
  </si>
  <si>
    <t>vy.tran@webasegroup.com</t>
  </si>
  <si>
    <t>909</t>
  </si>
  <si>
    <t>EBO_Premium</t>
  </si>
  <si>
    <t>Ebo@12345</t>
  </si>
  <si>
    <t>hung@ebo.com.vn</t>
  </si>
  <si>
    <t>911</t>
  </si>
  <si>
    <t xml:space="preserve"> Công ty TNHH Nestle Việt Nam (Milo khảo sát ít đường - PO số 4562592005)</t>
  </si>
  <si>
    <t>Milolesssugar_gapone</t>
  </si>
  <si>
    <t>Milolesssugar@123456</t>
  </si>
  <si>
    <t>HuynhThiKim.Trang@vn.nestle.com</t>
  </si>
  <si>
    <t>912</t>
  </si>
  <si>
    <t>INCOM_STANDARD</t>
  </si>
  <si>
    <t>Incom@123</t>
  </si>
  <si>
    <t>dungndh@incom.vn</t>
  </si>
  <si>
    <r>
      <rPr>
        <rFont val="Google Sans"/>
        <color theme="1"/>
        <sz val="9.0"/>
      </rPr>
      <t xml:space="preserve">dungndh@incom.vn
</t>
    </r>
    <r>
      <rPr>
        <rFont val="Google Sans"/>
        <color rgb="FFFF0000"/>
        <sz val="9.0"/>
      </rPr>
      <t>anhcp@incom.vn</t>
    </r>
  </si>
  <si>
    <t>913</t>
  </si>
  <si>
    <t>TK test</t>
  </si>
  <si>
    <t>Newway_Premium</t>
  </si>
  <si>
    <r>
      <rPr>
        <rFont val="Lexend"/>
        <u/>
      </rPr>
      <t>Hien.NguyenMinh@mdlz.com</t>
    </r>
  </si>
  <si>
    <t>nghiepnv@newwaypms.com</t>
  </si>
  <si>
    <t>915</t>
  </si>
  <si>
    <t>HOASINH_Premium</t>
  </si>
  <si>
    <t>Hoasinh@123</t>
  </si>
  <si>
    <t>namnguyeenx060199@gmail.com</t>
  </si>
  <si>
    <t>917</t>
  </si>
  <si>
    <t>hylammon_standard</t>
  </si>
  <si>
    <t>Hylammon@123</t>
  </si>
  <si>
    <t>100 MT test</t>
  </si>
  <si>
    <t>Khách hàng của Bizfly, gửi tin API từ CRM Bizfly, không đồng bộ thông tin về GAPONE</t>
  </si>
  <si>
    <t>babj2302@gmail.com</t>
  </si>
  <si>
    <r>
      <rPr>
        <rFont val="Arial, sans-serif"/>
        <color rgb="FF1155CC"/>
        <sz val="11.0"/>
        <u/>
      </rPr>
      <t>TYTbinhphuoc@123</t>
    </r>
  </si>
  <si>
    <t>Import</t>
  </si>
  <si>
    <t>918</t>
  </si>
  <si>
    <t>600735/SMSG1_NCFCORP2026</t>
  </si>
  <si>
    <t xml:space="preserve"> Công ty TNHH Nestle Việt Nam</t>
  </si>
  <si>
    <t>Ncfcorp2026_starter</t>
  </si>
  <si>
    <t>Ncfcorp2026@123456</t>
  </si>
  <si>
    <t xml:space="preserve">tungtv@toyotabinhphuoc.com.vn </t>
  </si>
  <si>
    <t>Tạo tài khoản GapOne, hỗ trợ tích hợp API
Tư vấn và đăng ký nội dung: SMS OTP: "NESTLE VN: xxxx la ma OTP cua ban tren https://tet2026.giadinhnestle.com.vn. Ma co hieu luc trong vong 60 giay.</t>
  </si>
  <si>
    <t xml:space="preserve">120k MT SMS </t>
  </si>
  <si>
    <t>vy.tuong@publicisgroupe.com</t>
  </si>
  <si>
    <t>919</t>
  </si>
  <si>
    <t>Twister2026_gapone</t>
  </si>
  <si>
    <t>hang.lethikim@suntorypepsico.vn</t>
  </si>
  <si>
    <t>406</t>
  </si>
  <si>
    <t>920</t>
  </si>
  <si>
    <t>Mediasoft_Starter</t>
  </si>
  <si>
    <t>Mediasoft@123</t>
  </si>
  <si>
    <t>ngocmd@mediasoft.vn</t>
  </si>
  <si>
    <r>
      <rPr>
        <rFont val="Roboto, Arial, &quot;sans-serif&quot;"/>
        <color rgb="FF1155CC"/>
        <sz val="11.0"/>
        <u/>
      </rPr>
      <t>serene@blumn.ai</t>
    </r>
  </si>
  <si>
    <t>ngoctt.tpkd1@mediasoft.vn; ngocmd@mediasoft.vn;dev@mediasoft.vn</t>
  </si>
  <si>
    <t>921</t>
  </si>
  <si>
    <t>Miloseagame_gapone</t>
  </si>
  <si>
    <t>Miloseagame@123456</t>
  </si>
  <si>
    <t>Nội dung triển khai:</t>
  </si>
  <si>
    <t>thuongkim2311@outlook.com</t>
  </si>
  <si>
    <t>MobiDN_GapOne</t>
  </si>
  <si>
    <t>MobiDN@123456</t>
  </si>
  <si>
    <t>Mobifone Đà Nẵng: tổng chi phí gửi tin đã ký: 450tr, nhưng vẫn đối soát hàng tháng</t>
  </si>
  <si>
    <t>thi.tranuyen@mobifone.vn</t>
  </si>
  <si>
    <t>Chưa cung cấp</t>
  </si>
  <si>
    <t>VUHAI_premium</t>
  </si>
  <si>
    <t>Vuhai@123</t>
  </si>
  <si>
    <t>Email, Zalo ZNS</t>
  </si>
  <si>
    <t>Chymkutie1509@gmail.com</t>
  </si>
  <si>
    <t>HCM</t>
  </si>
  <si>
    <t>Công ty test thử_tungld</t>
  </si>
  <si>
    <t>916</t>
  </si>
  <si>
    <t>tungld_gapone</t>
  </si>
  <si>
    <t>INTRUST_premium</t>
  </si>
  <si>
    <t>Tung@1234</t>
  </si>
  <si>
    <t>Intrust@123</t>
  </si>
  <si>
    <t>thangdt@intrust.com.vn</t>
  </si>
  <si>
    <t>thangdt@intrust.com.vn; sanglt@intrust.com.vn; hungnn@intrust.com.vn</t>
  </si>
  <si>
    <t>GLOBAL_Starter</t>
  </si>
  <si>
    <t>tung1234@gmail.com</t>
  </si>
  <si>
    <t>Global@123</t>
  </si>
  <si>
    <t>Tungld</t>
  </si>
  <si>
    <t>Dungpl; Yendh</t>
  </si>
  <si>
    <t>Hantt1</t>
  </si>
  <si>
    <t>HN</t>
  </si>
  <si>
    <t>duongnguyen@adtrueglobal.com</t>
  </si>
  <si>
    <t>Công ty cổ phần test 1</t>
  </si>
  <si>
    <t>cophantest_starter</t>
  </si>
  <si>
    <t>Pass@123</t>
  </si>
  <si>
    <r>
      <rPr>
        <rFont val="Google Sans"/>
        <color theme="1"/>
        <sz val="9.0"/>
      </rPr>
      <t xml:space="preserve">duongnguyen@adtrueglobal.com
</t>
    </r>
    <r>
      <rPr>
        <rFont val="Google Sans"/>
        <color rgb="FFFF0000"/>
        <sz val="9.0"/>
      </rPr>
      <t>dotinh@adtrueglobal.com</t>
    </r>
  </si>
  <si>
    <t>Capillary_testingSMS</t>
  </si>
  <si>
    <t xml:space="preserve">Capillary Testing </t>
  </si>
  <si>
    <t>Cap_SMS_Gapit_API</t>
  </si>
  <si>
    <t>mail1234@f-link.vn</t>
  </si>
  <si>
    <t xml:space="preserve">Capillary@5678 </t>
  </si>
  <si>
    <t>tung@gmail.com; tung2@gmail.com</t>
  </si>
  <si>
    <t>Dungvt; NONE</t>
  </si>
  <si>
    <t>congty_starter</t>
  </si>
  <si>
    <t>Congty@123</t>
  </si>
  <si>
    <t>nguyen.quoc@capillarytech.com</t>
  </si>
  <si>
    <t xml:space="preserve">nguyen.quoc@capillarytech.com  </t>
  </si>
  <si>
    <t>Hoantm</t>
  </si>
  <si>
    <t>NONE</t>
  </si>
  <si>
    <t>Nhungpth</t>
  </si>
  <si>
    <t>Công ty khác</t>
  </si>
  <si>
    <t>tài khoản khác</t>
  </si>
  <si>
    <t>Capillary_HP_ZNS_API</t>
  </si>
  <si>
    <t>Hp@123456</t>
  </si>
  <si>
    <t>sandeep.dubey@capillarytech.com</t>
  </si>
  <si>
    <t>tentaikhoan_gapone</t>
  </si>
  <si>
    <t>galaxydh_enterprise</t>
  </si>
  <si>
    <t>API và Portal đa kênh</t>
  </si>
  <si>
    <t>Tuphn</t>
  </si>
  <si>
    <t>phuongdl@galaxytelecom.vn</t>
  </si>
  <si>
    <t>nam test</t>
  </si>
  <si>
    <t>nam_test</t>
  </si>
  <si>
    <t>1Dunghoiali@</t>
  </si>
  <si>
    <t>Viseratek_Starter</t>
  </si>
  <si>
    <t>Viseratek@123</t>
  </si>
  <si>
    <t>lần đầu</t>
  </si>
  <si>
    <t>namdt@gmail.com</t>
  </si>
  <si>
    <t>Khách hàng cần test để API vào hệ thống Omni Channel</t>
  </si>
  <si>
    <t>maiquocviets1@gmail.com</t>
  </si>
  <si>
    <t>nam test 2</t>
  </si>
  <si>
    <t>namtest2</t>
  </si>
  <si>
    <t>1Dunghoilai@</t>
  </si>
  <si>
    <t>600194_</t>
  </si>
  <si>
    <t>ameb_starter</t>
  </si>
  <si>
    <t>Ameb@123</t>
  </si>
  <si>
    <t>namtest2@gmail.com</t>
  </si>
  <si>
    <t>"- Khách hàng của Bizfly, gửi tin API từ CRM Bizfly, không đồng bộ thông tin về GAPONE</t>
  </si>
  <si>
    <t>Yendh</t>
  </si>
  <si>
    <t>vietnam@ameb.edu.au</t>
  </si>
  <si>
    <t>6_tesst</t>
  </si>
  <si>
    <t>fpt_premium</t>
  </si>
  <si>
    <t>Fpt@1234</t>
  </si>
  <si>
    <t>SMS CSKH, SMS QC, Zalo ZNS, Viber, WhatsApp, Email</t>
  </si>
  <si>
    <t>"Tài khoản được sử dụng cho mục đích thực hiện tích hợp kỹ thuật giữa GapOne và Salesforce Marketing Cloud (SFMC), kiểm thử luồng gửi tin, đồng bộ dữ liệu và hỗ trợ quá trình demo với đối tác/khách hàng. 
Thời gian tích hợp và test demo các use case dự kiến kéo dài khoảng 2–3 tuần, nhờ team hỗ trợ cấp PO cho quota test đến hết ngày 28/02 ạ"</t>
  </si>
  <si>
    <t>hoanglh35@fpt.com</t>
  </si>
  <si>
    <t>test tiếp</t>
  </si>
  <si>
    <t>dsfasdfasdf</t>
  </si>
  <si>
    <t>Passh@123</t>
  </si>
  <si>
    <t>MOGIVI_Starter</t>
  </si>
  <si>
    <t>Mogivi@123</t>
  </si>
  <si>
    <t>maivanthanh@mogivi.vn</t>
  </si>
  <si>
    <t>Dungvt</t>
  </si>
  <si>
    <t>Thunha</t>
  </si>
  <si>
    <t>công ty test mới tiếp theo</t>
  </si>
  <si>
    <t>pasS@123</t>
  </si>
  <si>
    <t>DHFPT_Premium</t>
  </si>
  <si>
    <t>DhFPT@1234</t>
  </si>
  <si>
    <t>TrungTQ36@fe.edu.vn</t>
  </si>
  <si>
    <t>nam test 3</t>
  </si>
  <si>
    <t>namtest3</t>
  </si>
  <si>
    <t>HTXVT_Premium</t>
  </si>
  <si>
    <t>Htxvt@123</t>
  </si>
  <si>
    <t>o</t>
  </si>
  <si>
    <t>namtest3@gmail.com</t>
  </si>
  <si>
    <t>hungtran@xeca.vn</t>
  </si>
  <si>
    <t>namtest3@gmail.com;namtest4@gmail.com</t>
  </si>
  <si>
    <t>Linhntt1; Dungvt</t>
  </si>
  <si>
    <t>Test__6</t>
  </si>
  <si>
    <t>hva_premium</t>
  </si>
  <si>
    <t>Hva@1234</t>
  </si>
  <si>
    <t>- Khách hàng muốn có tài khoản dùng thử 30 ngày, để trải nghiệm giao diện, các tính năng của Gapone nhằm cho khách hàng hình dung demo của hệ thống.
- Khách hàng này là KH đối tác sử dụng trong hệ sinh thái của HVA khả năng đem lại sản lượng ZNS cao
3/ Kết quả mong đợi: Nhằm cho khách hàng hình dung demo và các tính năng của hệ thống. Nhằm pu</t>
  </si>
  <si>
    <t>khang.le@cpass.vn</t>
  </si>
  <si>
    <t>Test___6</t>
  </si>
  <si>
    <t>vcx_premium</t>
  </si>
  <si>
    <t>Vcx@1234</t>
  </si>
  <si>
    <t>- Khách hàng muốn có tài khoản dùng thử 30 ngày, để trải nghiệm giao diện, các tính năng của Gapone nhằm cho khách hàng hình dung demo của hệ thống.
- Viettel là đối tác tiềm năng lớn tại miền Trung, dự kiến khách hàng tập trung ở mảng nhà nước như y tế, giáo dục, hành chính công.
3/ Kết quả mong đợi: Nhằm cho khách hàng hình dung demo và các tính năng của hệ thống. Nhằm push khách chốt gói Gapone Premium đã tư vấn cho khách</t>
  </si>
  <si>
    <t>Vietpq@viettel.com.vn</t>
  </si>
  <si>
    <t xml:space="preserve"> Công ty TNHH Nestle Việt Nam (PO 4560443899)</t>
  </si>
  <si>
    <t>NestleCRM_Starter</t>
  </si>
  <si>
    <t>NestleCRM@123456</t>
  </si>
  <si>
    <t xml:space="preserve">Tạo tài khoản GapOne, hỗ trợ tích hợp OA 
Tư vấn, đăng ký nội dung: ZNS
 Hỗ trợ triển khai gửi tin </t>
  </si>
  <si>
    <t>LuVi.Sieu@vn.nestle.com</t>
  </si>
  <si>
    <t>hph_admin</t>
  </si>
  <si>
    <t>hieu.tran35@hoanmy.com</t>
  </si>
  <si>
    <t>Chưa có</t>
  </si>
  <si>
    <t>VNPTHCM_Starter</t>
  </si>
  <si>
    <t>File Excel, API, ZCA gửi ZNS</t>
  </si>
  <si>
    <t>KH được tặng gói Starter từ ngày 10/2/2026</t>
  </si>
  <si>
    <t>thaottb.hcm@vnpt.vn</t>
  </si>
  <si>
    <t>WOGIVN_Starter</t>
  </si>
  <si>
    <t>Wogivn@123</t>
  </si>
  <si>
    <t>tran.diep@wogi.biz</t>
  </si>
  <si>
    <t>DUCGIANG_starter</t>
  </si>
  <si>
    <t>Ducgiang@123</t>
  </si>
  <si>
    <t>bvdkdg@hanoi.gov.vn</t>
  </si>
  <si>
    <t>Nexus_premium</t>
  </si>
  <si>
    <t>Nexus@123</t>
  </si>
  <si>
    <t>Test luồng API và Portal (quota10 tin/ kênh)</t>
  </si>
  <si>
    <t>trieungocmao@gmail.com</t>
  </si>
  <si>
    <t>trieungocmao@gmail.comsupport@nexushub.asia</t>
  </si>
  <si>
    <t>DungVT
DungPL</t>
  </si>
  <si>
    <t>MBFKVDAKLAK_Premium</t>
  </si>
  <si>
    <t>MBFDakLak@123</t>
  </si>
  <si>
    <t>quynh.htt@mobifone.vn</t>
  </si>
  <si>
    <t>newx_starter</t>
  </si>
  <si>
    <t>Newx@123</t>
  </si>
  <si>
    <t>API, Bizfly CRM</t>
  </si>
  <si>
    <t>- Khách hàng của Bizfly, gửi tin API từ Bizfly Email, không đồng bộ thông tin về GAPONE
- Khách hàng chưa từng sử dụng dịch vụ SMS Brandname, team GAPIT sẽ hỗ trợ khách hàng đăng ký định danh và đăng ký SMS Brandname với nhà mạng
- Về các chi phí phát sinh: Khách hàng thanh toán cho Bizfly; Bizfly thực hiện đối soát và thanh toán trả sau hàng tháng cho GAPIT theo điều khoản HĐ
- Nhân sự GAPIT tham gia tư vấn KH ẩn danh dưới nhân sự Bizfly"</t>
  </si>
  <si>
    <t>linhtrinhthithuy@vccorp.vn</t>
  </si>
  <si>
    <t>UBNDCDV_Starter</t>
  </si>
  <si>
    <t>Ubndcdv@123</t>
  </si>
  <si>
    <t>Tích hợp G1 vào mini app hành chính công Xã Cái Đôi Vàm để triển khai hệ thống.</t>
  </si>
  <si>
    <t>xacdv.vtduy@camau.gov.vn</t>
  </si>
  <si>
    <t>800019/ PANASONIC</t>
  </si>
  <si>
    <t>Pana_gapone</t>
  </si>
  <si>
    <t>Pana@123456</t>
  </si>
  <si>
    <t>trinhnhu.nguyen@vn.panasonic.com</t>
  </si>
  <si>
    <t>Capillary_Valiram</t>
  </si>
  <si>
    <t>Valiram@123</t>
  </si>
  <si>
    <t>Khách hàng của Capillary, gửi tin API từ CDP Capillary, không đồng bộ thông tin về GAPONE</t>
  </si>
  <si>
    <t>van.nguyen@valiram.com</t>
  </si>
  <si>
    <t>daiko_standard</t>
  </si>
  <si>
    <t>Daiko@123</t>
  </si>
  <si>
    <t>Hiện tại KH đang sử dụng SMS portal.
KH có nhu cầu tìm hiểu và test thử API, đồng thời test thêm về SMS và ZNS, cơ chế fallback
Liên hệ: Ms Linh | SĐT: 0389908813 | Hạn mức test: 100 tin/ Tất cả các kênh Messaging</t>
  </si>
  <si>
    <t>doan.dang.1810@gmail.com</t>
  </si>
  <si>
    <t>NhatKien_Standard</t>
  </si>
  <si>
    <t>Nhatkien@123</t>
  </si>
  <si>
    <t>Chỉ chạy 1 campaign, có charge phí vận hành</t>
  </si>
  <si>
    <t>lequantran@yahoo.com</t>
  </si>
  <si>
    <t>Baoduy</t>
  </si>
  <si>
    <t>Baoduy_premium</t>
  </si>
  <si>
    <t>Baoduy@123</t>
  </si>
  <si>
    <t>giadinhanduy@gmail.com</t>
  </si>
  <si>
    <t>STARTER_TRUNGNGUYEN</t>
  </si>
  <si>
    <t>Trungnguyen@123</t>
  </si>
  <si>
    <t>kdtt-tnf@trungnguyenlegend.com</t>
  </si>
  <si>
    <t>SaoVang_Starter</t>
  </si>
  <si>
    <t>Saovang@123</t>
  </si>
  <si>
    <t>golinklimousine@gmail.com</t>
  </si>
  <si>
    <t>HEINEKENVN_Standard</t>
  </si>
  <si>
    <t>Heineken@123</t>
  </si>
  <si>
    <t>ThiDanh.Nguyen@heineken.com</t>
  </si>
  <si>
    <t>Công Ty TNHH NESTLE Việt Nam</t>
  </si>
  <si>
    <t>NestleShop_Standard</t>
  </si>
  <si>
    <t>NestleShop@123</t>
  </si>
  <si>
    <t>HoangNgocBao.Khoa@vn.nestle.com</t>
  </si>
  <si>
    <t>CÔNG TY TNHH TƯ VẤN VÀ THƯƠNG MẠI TCV</t>
  </si>
  <si>
    <t>TCV_Premium</t>
  </si>
  <si>
    <t>TmtvTCV@123</t>
  </si>
  <si>
    <t>contact@tcvadvisor.com.vn</t>
  </si>
  <si>
    <t>CÔNG TY TNHH PHẦN MỀM QUẢN LÝ SMILE PMS</t>
  </si>
  <si>
    <t>smile_premium</t>
  </si>
  <si>
    <t>Smile@123</t>
  </si>
  <si>
    <t>Tất cả, SMS CSKH, Zalo ZNS, Zalo UID</t>
  </si>
  <si>
    <t>SmilePMS là đối tác chiến lược hoạt động chính trong mảng khách sạn
Cũng là mục tiêu GAPIT ĐN hướng đến trong thời gian tới
để có thể kết nối đồng bộ hệ thống 2 bên nhằm mục đích triển khai GapOne đa kênh cho KH cần đồng bộ dữ liệu từ hệ thống SmilePMS về GAPONE để chạy các chiến dịch CSKH tự động cho các ks
https://www.smilepms.com/
Đội công nghệ của SmilePMS sẽ phụ trách phần đồng bộ này
Do đó cần anh/chị duyệt mở tk GAPONE Premium để SmilePMS có môi trường test đồng bộ
Liên hệ: Mr Thiên | SĐT: 0905790688 | Hạn mức test: 20 tin/Tất cả các kênh Messaging</t>
  </si>
  <si>
    <t>support@smilepms.com</t>
  </si>
  <si>
    <t xml:space="preserve"> CÔNG TY CỔ PHẦN TIÊN PHONG INVEST</t>
  </si>
  <si>
    <t>INVEST_Premium</t>
  </si>
  <si>
    <t>minhtudo1992@gmail.com</t>
  </si>
  <si>
    <r>
      <rPr>
        <rFont val="Google Sans"/>
        <color theme="1"/>
        <sz val="9.0"/>
      </rPr>
      <t xml:space="preserve">minhtudo1992@gmail.com
</t>
    </r>
    <r>
      <rPr>
        <rFont val="Google Sans"/>
        <color rgb="FFFF0000"/>
        <sz val="9.0"/>
      </rPr>
      <t>nguyenanhhai.tpi@gmail.com</t>
    </r>
  </si>
  <si>
    <t>CHI NHÁNH HỒ CHÍ MINH – CÔNG TY CỔ PHẦN CLEVER GROUP</t>
  </si>
  <si>
    <t>Clevergroup_Standard</t>
  </si>
  <si>
    <t>Clevergroup@123</t>
  </si>
  <si>
    <t>van.hoang@cleverads.vn</t>
  </si>
  <si>
    <t>CÔNG TY CỔ PHẦN MVILLAGE</t>
  </si>
  <si>
    <t>mvillage_premium</t>
  </si>
  <si>
    <t>Mvillage@123</t>
  </si>
  <si>
    <t>man.nguyen@mvillage.vn</t>
  </si>
  <si>
    <t>TẬP ĐOÀN BƯU CHÍNH VIỄN THÔNG VIỆT NAM</t>
  </si>
  <si>
    <t>VNPTQT_PREMIUM</t>
  </si>
  <si>
    <t>Vnptqt@123</t>
  </si>
  <si>
    <t>veronica.ntb@gmail.com</t>
  </si>
  <si>
    <t>CÔNG TY CP THỰC PHẨM DINH DƯỠNG NUTIFOOD</t>
  </si>
  <si>
    <t>GrowPlus_Campaign</t>
  </si>
  <si>
    <t>Growplus@123</t>
  </si>
  <si>
    <t>GrowPlus@gmail.com</t>
  </si>
  <si>
    <t>TRANSLAND INFORMATION GROUP LIMITED</t>
  </si>
  <si>
    <t>TRANSLAND_Starter</t>
  </si>
  <si>
    <t>Transland@123</t>
  </si>
  <si>
    <t>Fengjinfeng@tig253.com</t>
  </si>
  <si>
    <t>Công ty SKX - Sức Khỏe Xanh</t>
  </si>
  <si>
    <t>SKX_PREMIUM</t>
  </si>
  <si>
    <t>Skx@12345</t>
  </si>
  <si>
    <t>thanh.ns@greenhealth.com.vn</t>
  </si>
  <si>
    <t>Delta_camp01</t>
  </si>
  <si>
    <t>Delta@G1camp01</t>
  </si>
  <si>
    <t>Tạo tài khoản G1 test tin SMS cho khách hàng, trả sau</t>
  </si>
  <si>
    <t>trungphong.nguyen@delta-vn.net</t>
  </si>
  <si>
    <t>NGÂN HÀNG TMCP SÀI GÒN – HÀ NỘI</t>
  </si>
  <si>
    <t>shb_premium</t>
  </si>
  <si>
    <t>mai.tt2@shb.com.vn</t>
  </si>
  <si>
    <t>tucthoi_starter</t>
  </si>
  <si>
    <t>Tucthoi@123</t>
  </si>
  <si>
    <t>thangls@ahamove.com</t>
  </si>
  <si>
    <t>Công ty One Mount Real Estate</t>
  </si>
  <si>
    <t>omre_starter</t>
  </si>
  <si>
    <t>Omre@123</t>
  </si>
  <si>
    <t>sinh.trinh@onemount.com</t>
  </si>
  <si>
    <t>CÔNG TY TNHH XOR VIỆT NAM</t>
  </si>
  <si>
    <t>XORVN_STARTER</t>
  </si>
  <si>
    <t>Xorvn@123</t>
  </si>
  <si>
    <t>phamchaugiang@xorvietnam.com.vn</t>
  </si>
  <si>
    <t>Công ty Cổ phần Dịch vụ An ninh mạng VinCSS</t>
  </si>
  <si>
    <t>Vincss_Standard</t>
  </si>
  <si>
    <t>Vincss@123</t>
  </si>
  <si>
    <t>v.vanntt@vincss.net</t>
  </si>
  <si>
    <t>CÔNG TY CỔ PHẦN KING FOOD MARKET</t>
  </si>
  <si>
    <t>KINGFOOD_Standard</t>
  </si>
  <si>
    <t>Kingfood@123</t>
  </si>
  <si>
    <t>oanh.trinh@kingfoodmart.com</t>
  </si>
  <si>
    <t>Công Ty TNHH Vận Tải Và Dịch Vụ Du Lịch Quảng Hà</t>
  </si>
  <si>
    <t>Quangha</t>
  </si>
  <si>
    <t>quangha@G1</t>
  </si>
  <si>
    <t>admin@hieuhoadanang.vn</t>
  </si>
  <si>
    <t xml:space="preserve"> CÔNG TY TNHH CREASIA</t>
  </si>
  <si>
    <t>Creasia@G1</t>
  </si>
  <si>
    <t>admin@creasia.com.vn</t>
  </si>
  <si>
    <t xml:space="preserve">admin@creasia.com.vn </t>
  </si>
  <si>
    <t>CÔNG TY CỔ PHẦN PAYD</t>
  </si>
  <si>
    <t>PAYD_STARTER</t>
  </si>
  <si>
    <t>Payd@123</t>
  </si>
  <si>
    <t>kulam@payd.vn</t>
  </si>
  <si>
    <t>chưa cung cấp</t>
  </si>
  <si>
    <t>CÔNG TY CỔ PHẦN CONSORTIO VIỆT NAM</t>
  </si>
  <si>
    <t>CONSORTIO_Premium</t>
  </si>
  <si>
    <t>Consortio@123</t>
  </si>
  <si>
    <t>hai.pham@consortio.vn</t>
  </si>
  <si>
    <t>Công ty TNHH Nestle Việt Nam (Số PO: 4563611338)</t>
  </si>
  <si>
    <t>nestle_starter</t>
  </si>
  <si>
    <t>Nestle@123</t>
  </si>
  <si>
    <t>NguyenHoai.Thuong@vn.nestle.com</t>
  </si>
  <si>
    <t>Công ty Cổ phần Chứng khoán Ngân hàng Đầu tư và Phát triển Việt Nam</t>
  </si>
  <si>
    <t>bsc_standard</t>
  </si>
  <si>
    <t>Bsc@1234</t>
  </si>
  <si>
    <t>SMS CSKH, SMS QC, Zalo ZNS, Viber</t>
  </si>
  <si>
    <t>Liên hệ: Mr Du | SĐT: 0357788777</t>
  </si>
  <si>
    <t>dunp@bsc.com.vn</t>
  </si>
  <si>
    <t>DungVT, YếnĐH</t>
  </si>
  <si>
    <t>Cong ty TNHH Nestle Viet Nam</t>
  </si>
  <si>
    <t>maggi_enterprise</t>
  </si>
  <si>
    <t>NguyenPhi.Pha@vn.nestle.com</t>
  </si>
  <si>
    <t>CÔNG TY CỔ PHẦN VCCORP (CÔNG TY CỔ PHẦN GIẢI PHÁP TỰ ĐỘNG HÓA ETEK)</t>
  </si>
  <si>
    <t>BIZFLY_ETEK_STARTER</t>
  </si>
  <si>
    <t>Etek@123</t>
  </si>
  <si>
    <t>marketing@etek.com.vn</t>
  </si>
  <si>
    <t>TRUNG TÂM DATAPOST TP.HỒ CHÍ MINH - CÔNG TY DATAPOST</t>
  </si>
  <si>
    <t>G1_Datapost</t>
  </si>
  <si>
    <t>Datapost@123</t>
  </si>
  <si>
    <t>Hợp đồng này có hiệu lực trong vòng 18 tháng kể từ ngày ký. Hết thời hạn này, nếu một trong hai bên có kiến nghị về việc gia hạn Hợp đồng và được bên còn lại đồng ý thì bản hợp đồng sẽ được gia hạn thêm 12 tháng. Tất cả các kiến nghị phải được làm thành văn bản và được thông báo cho bên kia trước thời hạn chấm dứt hợp đồng 30 ngày.</t>
  </si>
  <si>
    <t>Tunt@intemvina.vn</t>
  </si>
  <si>
    <t>Delta_camp02</t>
  </si>
  <si>
    <t>DeltaG1RedbullG</t>
  </si>
  <si>
    <t>phongnguyen.delta@gmail.com</t>
  </si>
  <si>
    <t>Delta_camp03</t>
  </si>
  <si>
    <t>DeltaG1Tuborg</t>
  </si>
  <si>
    <t>Tài khoản chưa có chứng từ (HĐ chưa được ký)</t>
  </si>
  <si>
    <t>trungphong.delta@gmail.com</t>
  </si>
  <si>
    <t>GHTK_Starter</t>
  </si>
  <si>
    <t>Ghtk@123</t>
  </si>
  <si>
    <t>abc123@gmail.com</t>
  </si>
  <si>
    <t>Phuclong_starter</t>
  </si>
  <si>
    <t>Phuclong@123</t>
  </si>
  <si>
    <t>abc1234@gmail.com</t>
  </si>
  <si>
    <t>MASTERISE_starter</t>
  </si>
  <si>
    <t>Masterise@123</t>
  </si>
  <si>
    <t>quanganh.huynh@masterisegroup.com</t>
  </si>
  <si>
    <t>Công ty Cổ phần Tập đoàn MCV (MCV)</t>
  </si>
  <si>
    <t>mcv_starter</t>
  </si>
  <si>
    <t>Mcvnetworks@123</t>
  </si>
  <si>
    <t>hoanghang.vu@mcvnetworks.com</t>
  </si>
  <si>
    <t>Công ty THNN Xe Classifieds (CARMUDI)</t>
  </si>
  <si>
    <t>CARMUDI_starter</t>
  </si>
  <si>
    <t>Carmudi@123</t>
  </si>
  <si>
    <t>hr@carmudi.vn</t>
  </si>
  <si>
    <t>MGREEN_starter</t>
  </si>
  <si>
    <t>Mgreen@123</t>
  </si>
  <si>
    <t>thoatran@mgreen.vn</t>
  </si>
  <si>
    <t>VMG MEDIA GROUP</t>
  </si>
  <si>
    <t>VMG_starter</t>
  </si>
  <si>
    <t>VMGmedia@123</t>
  </si>
  <si>
    <t>hotro.cskh@vmgmedia.vn</t>
  </si>
  <si>
    <t>CÔNG TY CỔ PHẦN XÍCH VIỆT</t>
  </si>
  <si>
    <t>XICHVIET_Starter</t>
  </si>
  <si>
    <t>Xichviet@123</t>
  </si>
  <si>
    <t>account-routing@viaetguys.biz</t>
  </si>
  <si>
    <t>gotadi_starter</t>
  </si>
  <si>
    <t>Gotadi@123</t>
  </si>
  <si>
    <t>abcdef@1234</t>
  </si>
  <si>
    <t>CÔNG TY CỔ PHẦN PHẦN MỀM VIỄN THÔNG MIỀN NAM</t>
  </si>
  <si>
    <t>SOUTH_Starter</t>
  </si>
  <si>
    <t>South@123</t>
  </si>
  <si>
    <t>khaibaosms@southtelecom.vn</t>
  </si>
  <si>
    <t>Công ty Cổ phần Truyền thông THC (THC)</t>
  </si>
  <si>
    <t>THC_starter</t>
  </si>
  <si>
    <t>Thc@12345678</t>
  </si>
  <si>
    <t>abc1235689@gmail.com</t>
  </si>
  <si>
    <t>Công ty CP thương mại Công Nghệ Thông tin Di động</t>
  </si>
  <si>
    <t>ONESMS_Starter</t>
  </si>
  <si>
    <t>Onesms@123</t>
  </si>
  <si>
    <t>support@onesms.vn</t>
  </si>
  <si>
    <t>ATLANTIC_Starter</t>
  </si>
  <si>
    <t>phungdungahihi@gmail.com</t>
  </si>
  <si>
    <t>CÔNG TY CỔ PHẦN ĐẦU TƯ PHÁT TRIỂN CÔNG NGHỆ VÀ TRUYỀN THÔNG</t>
  </si>
  <si>
    <t>NEO_Starter</t>
  </si>
  <si>
    <t>htkh@neo.vn</t>
  </si>
  <si>
    <t>CÔNG TY TNHH ANN MULTIMEDIA</t>
  </si>
  <si>
    <t>ANN_Standard</t>
  </si>
  <si>
    <t>AnnMultimedia@123</t>
  </si>
  <si>
    <t>Lam@annmultimedia.com</t>
  </si>
  <si>
    <t>MCDONALDS</t>
  </si>
  <si>
    <t>MCDONALDS_Starter</t>
  </si>
  <si>
    <t>Mcdonalds@123</t>
  </si>
  <si>
    <t>support@gapit.com.vn</t>
  </si>
  <si>
    <t>CANALMM</t>
  </si>
  <si>
    <t>CanalG1@123</t>
  </si>
  <si>
    <t>pyaephyo.thetpaing@canal-plus.com</t>
  </si>
  <si>
    <t>Sở Giao Dịch Chứng Khoán Hà Nội (HNX)</t>
  </si>
  <si>
    <t>HNX_CKHANOI</t>
  </si>
  <si>
    <t>Hnx@12345</t>
  </si>
  <si>
    <t>uyennt@hnx.vn</t>
  </si>
  <si>
    <t>Day1G1@123</t>
  </si>
  <si>
    <t>support@gotit.vn</t>
  </si>
  <si>
    <t>Công ty TNHH In Hồ Gươm (inhoguom)</t>
  </si>
  <si>
    <t>inhoguom_Starter</t>
  </si>
  <si>
    <t>Inhoguom@123</t>
  </si>
  <si>
    <t>COUNTA của ORG ID</t>
  </si>
  <si>
    <t>Input chi tiết</t>
  </si>
  <si>
    <t>inhoguomkinhdoanh@gmail.com</t>
  </si>
  <si>
    <t>XIMANG_CT_Starter</t>
  </si>
  <si>
    <t>Ximang@123</t>
  </si>
  <si>
    <t>phuong.diep@congthanhgroup.com</t>
  </si>
  <si>
    <t>IRIS_G1</t>
  </si>
  <si>
    <t>Iris@G123</t>
  </si>
  <si>
    <t>huyenpn@irismedia.vn</t>
  </si>
  <si>
    <t>Công ty TNHH Nestlé Việt Nam (Digitas)</t>
  </si>
  <si>
    <t>Digitas_Starter</t>
  </si>
  <si>
    <t>Digitas@123</t>
  </si>
  <si>
    <t>Nhanhvn</t>
  </si>
  <si>
    <t>Gia hạn check với sale</t>
  </si>
  <si>
    <t>nguyenknam@gmail.com</t>
  </si>
  <si>
    <t>Công ty Cổ phần truyền thông NEECHANCE (ANTIT)</t>
  </si>
  <si>
    <t>Neechance@G1</t>
  </si>
  <si>
    <t>hiepnt@neechance.vn</t>
  </si>
  <si>
    <t>Triviet@G1</t>
  </si>
  <si>
    <t>Chuyển đổi API Gateway</t>
  </si>
  <si>
    <t>hungdd@tvsc.vn</t>
  </si>
  <si>
    <t>drtam_starter</t>
  </si>
  <si>
    <t>Drtam@123</t>
  </si>
  <si>
    <t>abcfed12458@gmail.com</t>
  </si>
  <si>
    <t>CÔNG TY TNHH TRUYỀN THÔNG ĐA PHƯƠNG TIỆN MAI</t>
  </si>
  <si>
    <t>MAIMEDIA_STARTER</t>
  </si>
  <si>
    <t>Maimedia@123</t>
  </si>
  <si>
    <t>hieu.to@maimultimedia.com</t>
  </si>
  <si>
    <t>ELIXUS</t>
  </si>
  <si>
    <t xml:space="preserve"> CÔNG TY TNHH ELIXUS </t>
  </si>
  <si>
    <t>ELIXUS_starter</t>
  </si>
  <si>
    <t>Elixus@123</t>
  </si>
  <si>
    <t>hanh.pham@ematicsolutions.com</t>
  </si>
  <si>
    <t>MASTERISE_gapone</t>
  </si>
  <si>
    <t>anh.huynh1@onemount.com</t>
  </si>
  <si>
    <t>CKHANOI_EBTS_Starter</t>
  </si>
  <si>
    <t>Hnx@123456</t>
  </si>
  <si>
    <t>yen161294@gmail.com</t>
  </si>
  <si>
    <t>CÔNG TY CỔ PHẦN PHÁT TRIỂN DỊCH VỤ VIỄN THÔNG ITC</t>
  </si>
  <si>
    <t>ITC_Premium</t>
  </si>
  <si>
    <t>Itc@123456</t>
  </si>
  <si>
    <t>uyenthitran289@gmail.com</t>
  </si>
  <si>
    <t>minhlong_starter</t>
  </si>
  <si>
    <t>Minhlong@123</t>
  </si>
  <si>
    <t>linhvd@minhlong.com</t>
  </si>
  <si>
    <t>Minhlong_Premium</t>
  </si>
  <si>
    <t>tuyen.tang@minhlong.com</t>
  </si>
  <si>
    <t>VUA NỆM</t>
  </si>
  <si>
    <t>CÔNG TY CỔ PHẦN VUA NỆM</t>
  </si>
  <si>
    <t>VUANEM_Premium</t>
  </si>
  <si>
    <t>Vuanem@12345</t>
  </si>
  <si>
    <t>loyalty.mkt@vuanem.com</t>
  </si>
  <si>
    <t>Heineken_Standard</t>
  </si>
  <si>
    <t>DuongAnh.Huy@heineken.com</t>
  </si>
  <si>
    <t>CÔNG TY TNHH THƯƠNG MẠI DỊCH VỤ VÀ TRUYỀN THÔNG NGUYỄN GIA</t>
  </si>
  <si>
    <t>NguyenGia_Starter</t>
  </si>
  <si>
    <t>Nguyengia@123</t>
  </si>
  <si>
    <t>Gia hạn theo từng PO mua ZBS</t>
  </si>
  <si>
    <t>hieukiti@gmail.com</t>
  </si>
  <si>
    <t>CÔNG TY TNHH GIẢI PHÁP SỐ VINAGIS</t>
  </si>
  <si>
    <t>VINAGIS_STARTER</t>
  </si>
  <si>
    <t>Vinagis@123</t>
  </si>
  <si>
    <t>trananhb1@gmail.com</t>
  </si>
  <si>
    <t>CÔNG TY TNHH THƯƠNG MẠI THANH LAN</t>
  </si>
  <si>
    <t>Dermalogica_Premium</t>
  </si>
  <si>
    <t>Dermalogica@123</t>
  </si>
  <si>
    <t>mylinh@dermalogica.com.vn</t>
  </si>
  <si>
    <t>DND Hải Dương</t>
  </si>
  <si>
    <t>Bệnh viện TNCK Mắt Quốc tế DND Hải Dương</t>
  </si>
  <si>
    <t>BVDND_Starter</t>
  </si>
  <si>
    <t>BvDND@123</t>
  </si>
  <si>
    <t>dndhaiduong@gmail.com</t>
  </si>
  <si>
    <t>CÔNG TY CỔ PHẦN NEWERA INC</t>
  </si>
  <si>
    <t>newera_gapone</t>
  </si>
  <si>
    <t>Newera@123456</t>
  </si>
  <si>
    <t>minh.lkn@newera.inc</t>
  </si>
  <si>
    <t>CÔNG TY TNHH NESTLÉ VIỆT NAM (Call Center - PO 4563721758)</t>
  </si>
  <si>
    <t>Nestle_premium</t>
  </si>
  <si>
    <t>Nestle123456</t>
  </si>
  <si>
    <t>NguyenThiThanh.Thao@vn.nestle.com</t>
  </si>
  <si>
    <t>Ngân Hàng Thương Mại Cổ Phần Đầu Tư và Phát Triển Việt Nam</t>
  </si>
  <si>
    <t>Bidv@apiG1</t>
  </si>
  <si>
    <t>BIDV_10248</t>
  </si>
  <si>
    <t>Bidv10248G1</t>
  </si>
  <si>
    <t>thulv@bidv.com.vn</t>
  </si>
  <si>
    <t>MOBIFONE THÀNH PHỐ HỒ CHÍ MINH - CHI NHÁNH TỔNG CÔNG TY VIỄN THÔNG</t>
  </si>
  <si>
    <t>mbfhcm_standard</t>
  </si>
  <si>
    <t>Mbfhcm@123</t>
  </si>
  <si>
    <t>khanh.ld@mobifone.vn</t>
  </si>
  <si>
    <t>BIZFLY - CÔNG TY CỔ PHẦN DU LỊCH VIETRAVEL</t>
  </si>
  <si>
    <t>bizfly_vietravel_sta</t>
  </si>
  <si>
    <t>Vietravel@123</t>
  </si>
  <si>
    <t>yendh note: user name bên brandconfig là : bizfly_vietravel (do user name gapone dài)</t>
  </si>
  <si>
    <t>dunglt.itc@vietravel.com</t>
  </si>
  <si>
    <t>MOBIFONE</t>
  </si>
  <si>
    <t>CÔNG TY CỔ PHẦN DỊCH VỤ GIA TĂNG MOBIFONE</t>
  </si>
  <si>
    <t>Mobifone_Starter</t>
  </si>
  <si>
    <t>Mobifone@123</t>
  </si>
  <si>
    <t>hantt@mobifoneplus.com.vn</t>
  </si>
  <si>
    <t>CÔNG TY CỔ PHẦN THỜI TRANG YODY (TEST)</t>
  </si>
  <si>
    <t>YODY_Standard</t>
  </si>
  <si>
    <t>Yody@1234</t>
  </si>
  <si>
    <t>lamhd@yody.vn</t>
  </si>
  <si>
    <t>CÔNG TY CỔ PHẦN THỜI TRANG YODY</t>
  </si>
  <si>
    <t>YODY2026_Standard</t>
  </si>
  <si>
    <t>Ngatq@yody.vn</t>
  </si>
  <si>
    <t>buithingan@yody.vn; ngatq@yody.vn; huent1@yody.vn; Lannt@yody.vn; lamhd@yody.vn; thangnm@yody.vn</t>
  </si>
  <si>
    <t>Standard_Trungnguyen</t>
  </si>
  <si>
    <t>anh-nt@trungnguyenlegend.com</t>
  </si>
  <si>
    <t>VIỆN ĐÀO TẠO VÀ NGHIÊN CỨU HOÀN MỸ</t>
  </si>
  <si>
    <t>hma_premium</t>
  </si>
  <si>
    <t>Hma@1234</t>
  </si>
  <si>
    <t>hang.le1@hoanmy.com</t>
  </si>
  <si>
    <t>CÔNG TY TNHH GALAXY TELECOM (UAT)</t>
  </si>
  <si>
    <t>gtuat_enterprise</t>
  </si>
  <si>
    <t>Gtuat@123</t>
  </si>
  <si>
    <t>Tài khoản dành riêng cho Galaxy để UAT</t>
  </si>
  <si>
    <t>khanhcq@galaxytelecom.vn</t>
  </si>
  <si>
    <t>CÔNG TY TNHH NESTLÉ VIỆT NAM (Maggi ZBS - PO4561001423)</t>
  </si>
  <si>
    <t>Maggi_premium</t>
  </si>
  <si>
    <t>Maggi123</t>
  </si>
  <si>
    <t>hongngocpham.1510@gmail.com</t>
  </si>
  <si>
    <t>CÔNG TY TNHH PHÒNG KHÁM GIA ĐÌNH HÀ NỘI</t>
  </si>
  <si>
    <t>PKGDHN_Enterprise</t>
  </si>
  <si>
    <t>Pkgd@1234</t>
  </si>
  <si>
    <t>hn.fb@vietnammedicalpractice.com</t>
  </si>
  <si>
    <t>CÔNG TY CỔ PHẦN ĐẦU TƯ PHÁT TRIỂN HÀ AN H&amp;M</t>
  </si>
  <si>
    <t>HaanHM_Starter</t>
  </si>
  <si>
    <t>HaanHM@123</t>
  </si>
  <si>
    <t>infohaanhm@haanvr.com</t>
  </si>
  <si>
    <t>CÔNG TY CỔ PHẦN XÍCH VIỆT (VIETGUYS J.S.C)</t>
  </si>
  <si>
    <t>VietGuys_Starter</t>
  </si>
  <si>
    <t>VietGuys@123</t>
  </si>
  <si>
    <t>Khách hàng Vietguys sử dụng thêm kênh Viber - sẽ ký kết hơp đồng sử dụng dịch vụ riêng</t>
  </si>
  <si>
    <t>purchasing@vietguys.biz</t>
  </si>
  <si>
    <t>Công ty Hasaki</t>
  </si>
  <si>
    <t>hasaki_premium</t>
  </si>
  <si>
    <t>Hasaki@123</t>
  </si>
  <si>
    <t>2. tin thương mại điện tử
3. Nội dung
“Cám ơn quý khách đã tin tưởng và đặt mua sản phẩm tại Hasaki.vn. Đơn hàng của bạn đã được đặt thành công. Thông tin chi tiết đơn hàng:
Tên khách hàng &lt;customer_name&gt;
Mã đơn hàng &lt;order_code&gt;
Giá tiền &lt;cost&gt;
Ngày đặt hàng &lt;order_day&gt;
Địa chỉ giao hàng &lt;address&gt;
Lien he: Anh Phong | SDT: 0708989867 | Han muc test: 100 tin/ Tất cả các kênh Messaging</t>
  </si>
  <si>
    <t>phongnt@hasakigroup.com</t>
  </si>
  <si>
    <t>STARTER_DELTA</t>
  </si>
  <si>
    <t>Delta@123</t>
  </si>
  <si>
    <t>trungphong1.delta@gmail.com</t>
  </si>
  <si>
    <t>CÔNG TY CỔ PHẦN GAPIT</t>
  </si>
  <si>
    <t>Esimgapit_Enterprise</t>
  </si>
  <si>
    <t>Esim@1234</t>
  </si>
  <si>
    <t>Tái khoản sử dụng conversation AI - Dự án esim</t>
  </si>
  <si>
    <t>dungdt@gapit.com.vn</t>
  </si>
  <si>
    <t>CÔNG TY TNHH NHA KHOA RẠNG NGỜI</t>
  </si>
  <si>
    <t>Nkrangngoi</t>
  </si>
  <si>
    <t>Nkrangngoi@g1</t>
  </si>
  <si>
    <t>nk.rangngoi@gmail.com</t>
  </si>
  <si>
    <t>Công Ty TNHH ADM Promotions Việt Nam</t>
  </si>
  <si>
    <t>admpro_starter</t>
  </si>
  <si>
    <t>Admpro@123</t>
  </si>
  <si>
    <t>KH có nhu cầu tìm hiểu và test thử API, SMS và ZNS, cơ chế fallback
Lien he: Ms Tiên | SDT: 090 414 59 12 | Han muc test: 200 tin/ Tất cả các kênh Messaging</t>
  </si>
  <si>
    <t>Tien.nguyen@adm-indicia.com</t>
  </si>
  <si>
    <t>HỘ KINH DOANH BÁNH BAO THÚY ĐỖ</t>
  </si>
  <si>
    <t>BBThuyDo_Premium</t>
  </si>
  <si>
    <t>BBThuydo@123</t>
  </si>
  <si>
    <t>thuynb.tt@gmail.com</t>
  </si>
  <si>
    <t>ĐẠI HỌC NGOẠI THƯƠNG</t>
  </si>
  <si>
    <t>DHNT_Starter</t>
  </si>
  <si>
    <t>DHtn@123</t>
  </si>
  <si>
    <t>quynhntn@ftu.edu.vn</t>
  </si>
  <si>
    <t>COUNTA của 29</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</si>
</sst>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m/yyyy"/>
    <numFmt numFmtId="166" formatCode="dd/mm/yyyy"/>
    <numFmt numFmtId="167" formatCode="d-m-yyyy hh:mm:ss"/>
    <numFmt numFmtId="168" formatCode="d-m-yyyy hh:mm"/>
    <numFmt numFmtId="169" formatCode="dd-mm-yyyy hh:mm"/>
    <numFmt numFmtId="170" formatCode="m/d/yyyy h:mm:ss"/>
  </numFmts>
  <fonts count="47">
    <font>
      <sz val="10.0"/>
      <color rgb="FF000000"/>
      <name val="Arial"/>
      <scheme val="minor"/>
    </font>
    <font>
      <color theme="1"/>
      <name val="Lexend"/>
    </font>
    <font>
      <b/>
      <sz val="9.0"/>
      <color theme="1"/>
      <name val="Google Sans"/>
    </font>
    <font>
      <color theme="1"/>
      <name val="Arial"/>
    </font>
    <font>
      <sz val="9.0"/>
      <color theme="1"/>
      <name val="Google Sans"/>
    </font>
    <font>
      <b/>
      <u/>
      <sz val="17.0"/>
      <color rgb="FF0000FF"/>
      <name val="Lexend"/>
    </font>
    <font>
      <i/>
      <color rgb="FF666666"/>
      <name val="Lexend"/>
    </font>
    <font>
      <b/>
      <i/>
      <sz val="9.0"/>
      <color rgb="FF999999"/>
      <name val="Google Sans"/>
    </font>
    <font>
      <b/>
      <i/>
      <sz val="9.0"/>
      <color theme="1"/>
      <name val="Google Sans"/>
    </font>
    <font>
      <b/>
      <u/>
      <color rgb="FF0000FF"/>
      <name val="Lexend"/>
    </font>
    <font>
      <b/>
      <u/>
      <color rgb="FF0000FF"/>
      <name val="Lexend"/>
    </font>
    <font>
      <b/>
      <u/>
      <color rgb="FF0000FF"/>
      <name val="Lexend"/>
    </font>
    <font>
      <u/>
      <sz val="9.0"/>
      <color rgb="FF1155CC"/>
      <name val="Google Sans"/>
    </font>
    <font>
      <i/>
      <sz val="9.0"/>
      <color rgb="FF999999"/>
      <name val="Google Sans"/>
    </font>
    <font>
      <i/>
      <sz val="9.0"/>
      <color theme="1"/>
      <name val="Google Sans"/>
    </font>
    <font>
      <color rgb="FF38761D"/>
      <name val="Lexend"/>
    </font>
    <font>
      <sz val="9.0"/>
      <color rgb="FF000000"/>
      <name val="Google Sans"/>
    </font>
    <font>
      <sz val="9.0"/>
      <color rgb="FFFF0000"/>
      <name val="Google Sans"/>
    </font>
    <font>
      <u/>
      <sz val="9.0"/>
      <color rgb="FF1155CC"/>
      <name val="Google Sans"/>
    </font>
    <font>
      <i/>
      <sz val="9.0"/>
      <color rgb="FF000000"/>
      <name val="Google Sans"/>
    </font>
    <font>
      <u/>
      <color theme="1"/>
      <name val="Lexend"/>
    </font>
    <font>
      <u/>
      <color rgb="FF0000FF"/>
      <name val="Lexend"/>
    </font>
    <font>
      <u/>
      <color rgb="FF0000FF"/>
      <name val="Lexend"/>
    </font>
    <font>
      <color rgb="FF000000"/>
      <name val="Arial"/>
    </font>
    <font>
      <b/>
      <color rgb="FFFFFFFF"/>
      <name val="Arial"/>
    </font>
    <font>
      <color theme="1"/>
      <name val="Arial"/>
      <scheme val="minor"/>
    </font>
    <font>
      <b/>
      <color rgb="FFFFFFFF"/>
      <name val="Lexend"/>
    </font>
    <font>
      <b/>
      <color theme="1"/>
      <name val="Lexend"/>
    </font>
    <font>
      <u/>
      <color rgb="FF1155CC"/>
      <name val="Arial"/>
    </font>
    <font>
      <u/>
      <color theme="1"/>
      <name val="Lexend"/>
    </font>
    <font>
      <b/>
      <color theme="1"/>
      <name val="Arial"/>
    </font>
    <font>
      <u/>
      <color rgb="FF0000FF"/>
      <name val="Lexend"/>
    </font>
    <font/>
    <font>
      <u/>
      <color rgb="FF0000FF"/>
      <name val="Lexend"/>
    </font>
    <font>
      <b/>
      <color theme="1"/>
      <name val="Google Sans"/>
    </font>
    <font>
      <color theme="1"/>
      <name val="Google Sans"/>
    </font>
    <font>
      <sz val="11.0"/>
      <color theme="1"/>
      <name val="Google Sans"/>
    </font>
    <font>
      <u/>
      <color rgb="FF0000FF"/>
      <name val="Google Sans"/>
    </font>
    <font>
      <color rgb="FF000000"/>
      <name val="Google Sans"/>
    </font>
    <font>
      <u/>
      <sz val="9.0"/>
      <color theme="1"/>
      <name val="Google Sans"/>
    </font>
    <font>
      <u/>
      <sz val="9.0"/>
      <color theme="1"/>
      <name val="Google Sans"/>
    </font>
    <font>
      <u/>
      <color rgb="FF0000FF"/>
    </font>
    <font>
      <u/>
      <sz val="9.0"/>
      <color theme="1"/>
      <name val="Google Sans"/>
    </font>
    <font>
      <sz val="11.0"/>
      <color rgb="FF3A3A3A"/>
      <name val="Roboto"/>
    </font>
    <font>
      <u/>
      <sz val="11.0"/>
      <color rgb="FF3A3A3A"/>
      <name val="Roboto"/>
    </font>
    <font>
      <b/>
      <sz val="9.0"/>
      <color rgb="FFFF0000"/>
      <name val="Google Sans"/>
    </font>
    <font>
      <b/>
      <color theme="1"/>
      <name val="Arial"/>
      <scheme val="minor"/>
    </font>
  </fonts>
  <fills count="14">
    <fill>
      <patternFill patternType="none"/>
    </fill>
    <fill>
      <patternFill patternType="lightGray"/>
    </fill>
    <fill>
      <patternFill patternType="solid">
        <fgColor rgb="FFC0E6F5"/>
        <bgColor rgb="FFC0E6F5"/>
      </patternFill>
    </fill>
    <fill>
      <patternFill patternType="solid">
        <fgColor rgb="FFF7CB4D"/>
        <bgColor rgb="FFF7CB4D"/>
      </patternFill>
    </fill>
    <fill>
      <patternFill patternType="solid">
        <fgColor rgb="FFD9D9D9"/>
        <bgColor rgb="FFD9D9D9"/>
      </patternFill>
    </fill>
    <fill>
      <patternFill patternType="solid">
        <fgColor rgb="FFFFF2CC"/>
        <bgColor rgb="FFFFF2CC"/>
      </patternFill>
    </fill>
    <fill>
      <patternFill patternType="solid">
        <fgColor rgb="FFFBE2D5"/>
        <bgColor rgb="FFFBE2D5"/>
      </patternFill>
    </fill>
    <fill>
      <patternFill patternType="solid">
        <fgColor rgb="FFFFFFFF"/>
        <bgColor rgb="FFFFFFFF"/>
      </patternFill>
    </fill>
    <fill>
      <patternFill patternType="solid">
        <fgColor rgb="FFF9CB9C"/>
        <bgColor rgb="FFF9CB9C"/>
      </patternFill>
    </fill>
    <fill>
      <patternFill patternType="solid">
        <fgColor rgb="FFEAD1DC"/>
        <bgColor rgb="FFEAD1DC"/>
      </patternFill>
    </fill>
    <fill>
      <patternFill patternType="solid">
        <fgColor rgb="FFD9EAD3"/>
        <bgColor rgb="FFD9EAD3"/>
      </patternFill>
    </fill>
    <fill>
      <patternFill patternType="solid">
        <fgColor rgb="FFFEF8E3"/>
        <bgColor rgb="FFFEF8E3"/>
      </patternFill>
    </fill>
    <fill>
      <patternFill patternType="solid">
        <fgColor rgb="FF0B5394"/>
        <bgColor rgb="FF0B5394"/>
      </patternFill>
    </fill>
    <fill>
      <patternFill patternType="solid">
        <fgColor rgb="FFFFFF00"/>
        <bgColor rgb="FFFFFF00"/>
      </patternFill>
    </fill>
  </fills>
  <borders count="7">
    <border/>
    <border>
      <left style="dotted">
        <color rgb="FF000000"/>
      </left>
      <right style="dotted">
        <color rgb="FF000000"/>
      </right>
      <top style="dotted">
        <color rgb="FF000000"/>
      </top>
      <bottom style="dotted">
        <color rgb="FF000000"/>
      </bottom>
    </border>
    <border>
      <left style="hair">
        <color rgb="FF000000"/>
      </left>
      <right style="hair">
        <color rgb="FF000000"/>
      </right>
      <top style="hair">
        <color rgb="FF000000"/>
      </top>
      <bottom style="hair">
        <color rgb="FF000000"/>
      </bottom>
    </border>
    <border>
      <bottom style="thin">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s>
  <cellStyleXfs count="1">
    <xf borderId="0" fillId="0" fontId="0" numFmtId="0" applyAlignment="1" applyFont="1"/>
  </cellStyleXfs>
  <cellXfs count="390">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vertical="bottom"/>
    </xf>
    <xf borderId="0" fillId="0" fontId="1" numFmtId="0" xfId="0" applyAlignment="1" applyFont="1">
      <alignment readingOrder="0" vertical="center"/>
    </xf>
    <xf borderId="0" fillId="2" fontId="2" numFmtId="0" xfId="0" applyAlignment="1" applyFont="1">
      <alignment horizontal="right" vertical="bottom"/>
    </xf>
    <xf borderId="0" fillId="0" fontId="3" numFmtId="0" xfId="0" applyAlignment="1" applyFont="1">
      <alignment vertical="bottom"/>
    </xf>
    <xf borderId="0" fillId="3" fontId="1" numFmtId="0" xfId="0" applyAlignment="1" applyFill="1" applyFont="1">
      <alignment horizontal="center" readingOrder="0" shrinkToFit="0" vertical="center" wrapText="1"/>
    </xf>
    <xf borderId="1" fillId="3" fontId="2" numFmtId="0" xfId="0" applyAlignment="1" applyBorder="1" applyFont="1">
      <alignment horizontal="center" readingOrder="0" shrinkToFit="0" vertical="center" wrapText="1"/>
    </xf>
    <xf borderId="0" fillId="3" fontId="1" numFmtId="0" xfId="0" applyAlignment="1" applyFont="1">
      <alignment horizontal="center" shrinkToFit="0" vertical="center" wrapText="1"/>
    </xf>
    <xf borderId="0" fillId="4" fontId="4" numFmtId="0" xfId="0" applyFill="1" applyFont="1"/>
    <xf borderId="1" fillId="3" fontId="2" numFmtId="0" xfId="0" applyAlignment="1" applyBorder="1" applyFont="1">
      <alignment horizontal="center" shrinkToFit="0" vertical="center" wrapText="1"/>
    </xf>
    <xf borderId="0" fillId="4" fontId="4" numFmtId="0" xfId="0" applyAlignment="1" applyFont="1">
      <alignment horizontal="right"/>
    </xf>
    <xf borderId="1" fillId="3" fontId="2" numFmtId="49" xfId="0" applyAlignment="1" applyBorder="1" applyFont="1" applyNumberFormat="1">
      <alignment horizontal="center" shrinkToFit="0" vertical="center" wrapText="1"/>
    </xf>
    <xf borderId="0" fillId="3" fontId="1" numFmtId="164" xfId="0" applyAlignment="1" applyFont="1" applyNumberFormat="1">
      <alignment horizontal="center" shrinkToFit="0" vertical="center" wrapText="1"/>
    </xf>
    <xf borderId="0" fillId="0" fontId="4" numFmtId="0" xfId="0" applyFont="1"/>
    <xf borderId="0" fillId="0" fontId="4" numFmtId="0" xfId="0" applyAlignment="1" applyFont="1">
      <alignment horizontal="right"/>
    </xf>
    <xf borderId="0" fillId="5" fontId="5" numFmtId="0" xfId="0" applyAlignment="1" applyFill="1" applyFont="1">
      <alignment readingOrder="0" vertical="center"/>
    </xf>
    <xf borderId="0" fillId="3" fontId="6" numFmtId="0" xfId="0" applyAlignment="1" applyFont="1">
      <alignment horizontal="center" shrinkToFit="0" vertical="center" wrapText="1"/>
    </xf>
    <xf borderId="0" fillId="6" fontId="4" numFmtId="0" xfId="0" applyFill="1" applyFont="1"/>
    <xf borderId="1" fillId="3" fontId="2" numFmtId="164" xfId="0" applyAlignment="1" applyBorder="1" applyFont="1" applyNumberFormat="1">
      <alignment horizontal="center" shrinkToFit="0" vertical="center" wrapText="1"/>
    </xf>
    <xf borderId="0" fillId="6" fontId="4" numFmtId="0" xfId="0" applyAlignment="1" applyFont="1">
      <alignment horizontal="right"/>
    </xf>
    <xf borderId="0" fillId="0" fontId="3" numFmtId="0" xfId="0" applyAlignment="1" applyFont="1">
      <alignment shrinkToFit="0" vertical="center" wrapText="1"/>
    </xf>
    <xf borderId="1" fillId="3" fontId="7" numFmtId="0" xfId="0" applyAlignment="1" applyBorder="1" applyFont="1">
      <alignment horizontal="center" shrinkToFit="0" vertical="center" wrapText="1"/>
    </xf>
    <xf borderId="2" fillId="7" fontId="1" numFmtId="0" xfId="0" applyAlignment="1" applyBorder="1" applyFill="1" applyFont="1">
      <alignment shrinkToFit="0" vertical="center" wrapText="1"/>
    </xf>
    <xf borderId="1" fillId="3" fontId="8" numFmtId="0" xfId="0" applyAlignment="1" applyBorder="1" applyFont="1">
      <alignment horizontal="center" shrinkToFit="0" vertical="center" wrapText="1"/>
    </xf>
    <xf borderId="0" fillId="8" fontId="9" numFmtId="0" xfId="0" applyAlignment="1" applyFill="1" applyFont="1">
      <alignment readingOrder="0" vertical="center"/>
    </xf>
    <xf borderId="2" fillId="7" fontId="1" numFmtId="0" xfId="0" applyAlignment="1" applyBorder="1" applyFont="1">
      <alignment horizontal="center" shrinkToFit="0" vertical="center" wrapText="1"/>
    </xf>
    <xf borderId="2" fillId="7" fontId="3" numFmtId="0" xfId="0" applyAlignment="1" applyBorder="1" applyFont="1">
      <alignment shrinkToFit="0" vertical="center" wrapText="1"/>
    </xf>
    <xf borderId="0" fillId="9" fontId="10" numFmtId="0" xfId="0" applyAlignment="1" applyFill="1" applyFont="1">
      <alignment readingOrder="0" vertical="center"/>
    </xf>
    <xf borderId="2" fillId="7" fontId="1" numFmtId="164" xfId="0" applyAlignment="1" applyBorder="1" applyFont="1" applyNumberFormat="1">
      <alignment horizontal="center" shrinkToFit="0" vertical="center" wrapText="1"/>
    </xf>
    <xf borderId="1" fillId="3" fontId="2" numFmtId="0" xfId="0" applyAlignment="1" applyBorder="1" applyFont="1">
      <alignment horizontal="center" shrinkToFit="0" vertical="center" wrapText="1"/>
    </xf>
    <xf borderId="1" fillId="7" fontId="4" numFmtId="0" xfId="0" applyAlignment="1" applyBorder="1" applyFont="1">
      <alignment readingOrder="0" shrinkToFit="0" vertical="center" wrapText="1"/>
    </xf>
    <xf borderId="1" fillId="7" fontId="4" numFmtId="49" xfId="0" applyAlignment="1" applyBorder="1" applyFont="1" applyNumberFormat="1">
      <alignment horizontal="center" readingOrder="0" shrinkToFit="0" vertical="center" wrapText="1"/>
    </xf>
    <xf borderId="1" fillId="7" fontId="4" numFmtId="0" xfId="0" applyAlignment="1" applyBorder="1" applyFont="1">
      <alignment horizontal="center" readingOrder="0" shrinkToFit="0" vertical="center" wrapText="1"/>
    </xf>
    <xf borderId="0" fillId="10" fontId="11" numFmtId="0" xfId="0" applyAlignment="1" applyFill="1" applyFont="1">
      <alignment readingOrder="0" vertical="center"/>
    </xf>
    <xf borderId="1" fillId="7" fontId="4" numFmtId="1" xfId="0" applyAlignment="1" applyBorder="1" applyFont="1" applyNumberFormat="1">
      <alignment readingOrder="0" vertical="center"/>
    </xf>
    <xf borderId="2" fillId="7" fontId="6" numFmtId="0" xfId="0" applyAlignment="1" applyBorder="1" applyFont="1">
      <alignment horizontal="center" shrinkToFit="0" vertical="center" wrapText="1"/>
    </xf>
    <xf borderId="1" fillId="7" fontId="4" numFmtId="164" xfId="0" applyAlignment="1" applyBorder="1" applyFont="1" applyNumberFormat="1">
      <alignment horizontal="center" readingOrder="0" shrinkToFit="0" vertical="center" wrapText="1"/>
    </xf>
    <xf borderId="0" fillId="4" fontId="12" numFmtId="0" xfId="0" applyFont="1"/>
    <xf borderId="1" fillId="7" fontId="13" numFmtId="0" xfId="0" applyAlignment="1" applyBorder="1" applyFont="1">
      <alignment horizontal="center" readingOrder="0" shrinkToFit="0" vertical="center" wrapText="1"/>
    </xf>
    <xf borderId="1" fillId="7" fontId="14" numFmtId="0" xfId="0" applyAlignment="1" applyBorder="1" applyFont="1">
      <alignment horizontal="center" readingOrder="0" shrinkToFit="0" vertical="center" wrapText="1"/>
    </xf>
    <xf borderId="1" fillId="7" fontId="4" numFmtId="0" xfId="0" applyAlignment="1" applyBorder="1" applyFont="1">
      <alignment shrinkToFit="0" vertical="center" wrapText="1"/>
    </xf>
    <xf borderId="0" fillId="6" fontId="3" numFmtId="0" xfId="0" applyFont="1"/>
    <xf borderId="1" fillId="7" fontId="4" numFmtId="3" xfId="0" applyAlignment="1" applyBorder="1" applyFont="1" applyNumberFormat="1">
      <alignment readingOrder="0" shrinkToFit="0" vertical="center" wrapText="1"/>
    </xf>
    <xf borderId="2" fillId="7" fontId="3" numFmtId="164" xfId="0" applyAlignment="1" applyBorder="1" applyFont="1" applyNumberFormat="1">
      <alignment horizontal="left" shrinkToFit="0" vertical="center" wrapText="1"/>
    </xf>
    <xf borderId="2" fillId="11" fontId="1" numFmtId="0" xfId="0" applyAlignment="1" applyBorder="1" applyFill="1" applyFont="1">
      <alignment shrinkToFit="0" vertical="center" wrapText="1"/>
    </xf>
    <xf borderId="1" fillId="7" fontId="4" numFmtId="0" xfId="0" applyAlignment="1" applyBorder="1" applyFont="1">
      <alignment horizontal="left" readingOrder="0" shrinkToFit="0" vertical="center" wrapText="1"/>
    </xf>
    <xf borderId="1" fillId="7" fontId="4" numFmtId="164" xfId="0" applyAlignment="1" applyBorder="1" applyFont="1" applyNumberFormat="1">
      <alignment horizontal="left" shrinkToFit="0" vertical="center" wrapText="1"/>
    </xf>
    <xf borderId="2" fillId="11" fontId="1" numFmtId="0" xfId="0" applyAlignment="1" applyBorder="1" applyFont="1">
      <alignment horizontal="center" shrinkToFit="0" vertical="center" wrapText="1"/>
    </xf>
    <xf borderId="1" fillId="7" fontId="4" numFmtId="164" xfId="0" applyAlignment="1" applyBorder="1" applyFont="1" applyNumberFormat="1">
      <alignment vertical="center"/>
    </xf>
    <xf borderId="1" fillId="11" fontId="4" numFmtId="0" xfId="0" applyAlignment="1" applyBorder="1" applyFont="1">
      <alignment readingOrder="0" shrinkToFit="0" vertical="center" wrapText="1"/>
    </xf>
    <xf borderId="2" fillId="11" fontId="3" numFmtId="0" xfId="0" applyAlignment="1" applyBorder="1" applyFont="1">
      <alignment shrinkToFit="0" vertical="center" wrapText="1"/>
    </xf>
    <xf borderId="1" fillId="11" fontId="4" numFmtId="49" xfId="0" applyAlignment="1" applyBorder="1" applyFont="1" applyNumberFormat="1">
      <alignment horizontal="center" readingOrder="0" shrinkToFit="0" vertical="center" wrapText="1"/>
    </xf>
    <xf borderId="2" fillId="11" fontId="3" numFmtId="164" xfId="0" applyAlignment="1" applyBorder="1" applyFont="1" applyNumberFormat="1">
      <alignment shrinkToFit="0" vertical="center" wrapText="1"/>
    </xf>
    <xf borderId="1" fillId="11" fontId="4" numFmtId="0" xfId="0" applyAlignment="1" applyBorder="1" applyFont="1">
      <alignment horizontal="center" readingOrder="0" shrinkToFit="0" vertical="center" wrapText="1"/>
    </xf>
    <xf borderId="2" fillId="11" fontId="1" numFmtId="164" xfId="0" applyAlignment="1" applyBorder="1" applyFont="1" applyNumberFormat="1">
      <alignment horizontal="center" shrinkToFit="0" vertical="center" wrapText="1"/>
    </xf>
    <xf borderId="1" fillId="11" fontId="4" numFmtId="1" xfId="0" applyAlignment="1" applyBorder="1" applyFont="1" applyNumberFormat="1">
      <alignment readingOrder="0" vertical="center"/>
    </xf>
    <xf borderId="1" fillId="11" fontId="4" numFmtId="164" xfId="0" applyAlignment="1" applyBorder="1" applyFont="1" applyNumberFormat="1">
      <alignment horizontal="center" readingOrder="0" shrinkToFit="0" vertical="center" wrapText="1"/>
    </xf>
    <xf borderId="2" fillId="11" fontId="6" numFmtId="0" xfId="0" applyAlignment="1" applyBorder="1" applyFont="1">
      <alignment horizontal="center" shrinkToFit="0" vertical="center" wrapText="1"/>
    </xf>
    <xf borderId="1" fillId="11" fontId="13" numFmtId="0" xfId="0" applyAlignment="1" applyBorder="1" applyFont="1">
      <alignment horizontal="center" readingOrder="0" shrinkToFit="0" vertical="center" wrapText="1"/>
    </xf>
    <xf borderId="1" fillId="11" fontId="14" numFmtId="0" xfId="0" applyAlignment="1" applyBorder="1" applyFont="1">
      <alignment horizontal="center" readingOrder="0" shrinkToFit="0" vertical="center" wrapText="1"/>
    </xf>
    <xf borderId="1" fillId="11" fontId="4" numFmtId="0" xfId="0" applyAlignment="1" applyBorder="1" applyFont="1">
      <alignment shrinkToFit="0" vertical="center" wrapText="1"/>
    </xf>
    <xf borderId="1" fillId="11" fontId="4" numFmtId="3" xfId="0" applyAlignment="1" applyBorder="1" applyFont="1" applyNumberFormat="1">
      <alignment readingOrder="0" shrinkToFit="0" vertical="center" wrapText="1"/>
    </xf>
    <xf borderId="2" fillId="11" fontId="1" numFmtId="164" xfId="0" applyAlignment="1" applyBorder="1" applyFont="1" applyNumberFormat="1">
      <alignment horizontal="left" shrinkToFit="0" vertical="center" wrapText="1"/>
    </xf>
    <xf borderId="2" fillId="11" fontId="15" numFmtId="0" xfId="0" applyAlignment="1" applyBorder="1" applyFont="1">
      <alignment shrinkToFit="0" vertical="center" wrapText="1"/>
    </xf>
    <xf borderId="1" fillId="11" fontId="4" numFmtId="0" xfId="0" applyAlignment="1" applyBorder="1" applyFont="1">
      <alignment horizontal="left" readingOrder="0" shrinkToFit="0" vertical="center" wrapText="1"/>
    </xf>
    <xf borderId="1" fillId="11" fontId="4" numFmtId="164" xfId="0" applyAlignment="1" applyBorder="1" applyFont="1" applyNumberFormat="1">
      <alignment horizontal="left" shrinkToFit="0" vertical="center" wrapText="1"/>
    </xf>
    <xf borderId="1" fillId="11" fontId="4" numFmtId="164" xfId="0" applyAlignment="1" applyBorder="1" applyFont="1" applyNumberFormat="1">
      <alignment vertical="center"/>
    </xf>
    <xf borderId="1" fillId="7" fontId="4" numFmtId="49" xfId="0" applyAlignment="1" applyBorder="1" applyFont="1" applyNumberFormat="1">
      <alignment horizontal="center" shrinkToFit="0" vertical="center" wrapText="1"/>
    </xf>
    <xf borderId="1" fillId="7" fontId="4" numFmtId="1" xfId="0" applyAlignment="1" applyBorder="1" applyFont="1" applyNumberFormat="1">
      <alignment horizontal="center" shrinkToFit="0" vertical="center" wrapText="1"/>
    </xf>
    <xf borderId="1" fillId="7" fontId="4" numFmtId="164" xfId="0" applyAlignment="1" applyBorder="1" applyFont="1" applyNumberFormat="1">
      <alignment horizontal="center" shrinkToFit="0" vertical="center" wrapText="1"/>
    </xf>
    <xf borderId="1" fillId="7" fontId="14" numFmtId="164" xfId="0" applyAlignment="1" applyBorder="1" applyFont="1" applyNumberFormat="1">
      <alignment horizontal="center" shrinkToFit="0" vertical="center" wrapText="1"/>
    </xf>
    <xf borderId="2" fillId="11" fontId="3" numFmtId="164" xfId="0" applyAlignment="1" applyBorder="1" applyFont="1" applyNumberFormat="1">
      <alignment horizontal="left" shrinkToFit="0" vertical="center" wrapText="1"/>
    </xf>
    <xf borderId="1" fillId="7" fontId="14" numFmtId="0" xfId="0" applyAlignment="1" applyBorder="1" applyFont="1">
      <alignment horizontal="center" shrinkToFit="0" vertical="center" wrapText="1"/>
    </xf>
    <xf borderId="1" fillId="7" fontId="4" numFmtId="0" xfId="0" applyAlignment="1" applyBorder="1" applyFont="1">
      <alignment horizontal="center" shrinkToFit="0" vertical="center" wrapText="1"/>
    </xf>
    <xf borderId="1" fillId="7" fontId="4" numFmtId="3" xfId="0" applyAlignment="1" applyBorder="1" applyFont="1" applyNumberFormat="1">
      <alignment readingOrder="0" vertical="center"/>
    </xf>
    <xf borderId="2" fillId="7" fontId="15" numFmtId="0" xfId="0" applyAlignment="1" applyBorder="1" applyFont="1">
      <alignment shrinkToFit="0" vertical="center" wrapText="1"/>
    </xf>
    <xf borderId="1" fillId="7" fontId="4" numFmtId="0" xfId="0" applyAlignment="1" applyBorder="1" applyFont="1">
      <alignment horizontal="left" shrinkToFit="0" vertical="center" wrapText="1"/>
    </xf>
    <xf borderId="1" fillId="7" fontId="4" numFmtId="0" xfId="0" applyAlignment="1" applyBorder="1" applyFont="1">
      <alignment shrinkToFit="0" vertical="center" wrapText="1"/>
    </xf>
    <xf borderId="1" fillId="11" fontId="4" numFmtId="1" xfId="0" applyAlignment="1" applyBorder="1" applyFont="1" applyNumberFormat="1">
      <alignment horizontal="center" readingOrder="0" shrinkToFit="0" vertical="center" wrapText="1"/>
    </xf>
    <xf borderId="1" fillId="11" fontId="16" numFmtId="0" xfId="0" applyAlignment="1" applyBorder="1" applyFont="1">
      <alignment readingOrder="0" shrinkToFit="0" vertical="center" wrapText="1"/>
    </xf>
    <xf borderId="1" fillId="11" fontId="4" numFmtId="0" xfId="0" applyAlignment="1" applyBorder="1" applyFont="1">
      <alignment vertical="center"/>
    </xf>
    <xf borderId="1" fillId="11" fontId="4" numFmtId="49" xfId="0" applyAlignment="1" applyBorder="1" applyFont="1" applyNumberFormat="1">
      <alignment horizontal="center" shrinkToFit="0" vertical="center" wrapText="1"/>
    </xf>
    <xf borderId="1" fillId="11" fontId="4" numFmtId="0" xfId="0" applyAlignment="1" applyBorder="1" applyFont="1">
      <alignment vertical="center"/>
    </xf>
    <xf borderId="1" fillId="11" fontId="4" numFmtId="164" xfId="0" applyAlignment="1" applyBorder="1" applyFont="1" applyNumberFormat="1">
      <alignment horizontal="center" shrinkToFit="0" vertical="center" wrapText="1"/>
    </xf>
    <xf borderId="1" fillId="11" fontId="13" numFmtId="0" xfId="0" applyAlignment="1" applyBorder="1" applyFont="1">
      <alignment horizontal="center" shrinkToFit="0" vertical="center" wrapText="1"/>
    </xf>
    <xf borderId="1" fillId="11" fontId="14" numFmtId="0" xfId="0" applyAlignment="1" applyBorder="1" applyFont="1">
      <alignment horizontal="center" shrinkToFit="0" vertical="center" wrapText="1"/>
    </xf>
    <xf borderId="1" fillId="11" fontId="4" numFmtId="0" xfId="0" applyAlignment="1" applyBorder="1" applyFont="1">
      <alignment horizontal="center" shrinkToFit="0" vertical="center" wrapText="1"/>
    </xf>
    <xf borderId="2" fillId="7" fontId="3" numFmtId="164" xfId="0" applyAlignment="1" applyBorder="1" applyFont="1" applyNumberFormat="1">
      <alignment shrinkToFit="0" vertical="center" wrapText="1"/>
    </xf>
    <xf borderId="1" fillId="7" fontId="17" numFmtId="1" xfId="0" applyAlignment="1" applyBorder="1" applyFont="1" applyNumberFormat="1">
      <alignment readingOrder="0" vertical="center"/>
    </xf>
    <xf borderId="0" fillId="0" fontId="4" numFmtId="0" xfId="0" applyFont="1"/>
    <xf borderId="1" fillId="7" fontId="4" numFmtId="164" xfId="0" applyAlignment="1" applyBorder="1" applyFont="1" applyNumberFormat="1">
      <alignment shrinkToFit="0" vertical="center" wrapText="1"/>
    </xf>
    <xf borderId="1" fillId="7" fontId="4" numFmtId="1" xfId="0" applyAlignment="1" applyBorder="1" applyFont="1" applyNumberFormat="1">
      <alignment readingOrder="0" shrinkToFit="0" vertical="center" wrapText="1"/>
    </xf>
    <xf borderId="1" fillId="7" fontId="13" numFmtId="0" xfId="0" applyAlignment="1" applyBorder="1" applyFont="1">
      <alignment horizontal="center" shrinkToFit="0" vertical="center" wrapText="1"/>
    </xf>
    <xf borderId="1" fillId="11" fontId="4" numFmtId="1" xfId="0" applyAlignment="1" applyBorder="1" applyFont="1" applyNumberFormat="1">
      <alignment horizontal="center" shrinkToFit="0" vertical="center" wrapText="1"/>
    </xf>
    <xf borderId="1" fillId="11" fontId="13" numFmtId="164" xfId="0" applyAlignment="1" applyBorder="1" applyFont="1" applyNumberFormat="1">
      <alignment horizontal="center" shrinkToFit="0" vertical="center" wrapText="1"/>
    </xf>
    <xf borderId="1" fillId="11" fontId="4" numFmtId="3" xfId="0" applyAlignment="1" applyBorder="1" applyFont="1" applyNumberFormat="1">
      <alignment readingOrder="0" vertical="center"/>
    </xf>
    <xf borderId="1" fillId="11" fontId="4" numFmtId="0" xfId="0" applyAlignment="1" applyBorder="1" applyFont="1">
      <alignment horizontal="left" shrinkToFit="0" vertical="center" wrapText="1"/>
    </xf>
    <xf borderId="1" fillId="11" fontId="3" numFmtId="164" xfId="0" applyAlignment="1" applyBorder="1" applyFont="1" applyNumberFormat="1">
      <alignment vertical="center"/>
    </xf>
    <xf borderId="1" fillId="7" fontId="3" numFmtId="0" xfId="0" applyAlignment="1" applyBorder="1" applyFont="1">
      <alignment vertical="center"/>
    </xf>
    <xf borderId="1" fillId="7" fontId="16" numFmtId="1" xfId="0" applyAlignment="1" applyBorder="1" applyFont="1" applyNumberFormat="1">
      <alignment readingOrder="0" vertical="center"/>
    </xf>
    <xf borderId="1" fillId="7" fontId="16" numFmtId="0" xfId="0" applyAlignment="1" applyBorder="1" applyFont="1">
      <alignment readingOrder="0" shrinkToFit="0" vertical="center" wrapText="1"/>
    </xf>
    <xf borderId="1" fillId="7" fontId="13" numFmtId="164" xfId="0" applyAlignment="1" applyBorder="1" applyFont="1" applyNumberFormat="1">
      <alignment horizontal="center" shrinkToFit="0" vertical="center" wrapText="1"/>
    </xf>
    <xf borderId="1" fillId="7" fontId="17" numFmtId="0" xfId="0" applyAlignment="1" applyBorder="1" applyFont="1">
      <alignment readingOrder="0" shrinkToFit="0" vertical="center" wrapText="1"/>
    </xf>
    <xf borderId="1" fillId="7" fontId="4" numFmtId="0" xfId="0" applyAlignment="1" applyBorder="1" applyFont="1">
      <alignment readingOrder="0" vertical="center"/>
    </xf>
    <xf borderId="1" fillId="11" fontId="16" numFmtId="0" xfId="0" applyAlignment="1" applyBorder="1" applyFont="1">
      <alignment horizontal="left" shrinkToFit="0" vertical="center" wrapText="1"/>
    </xf>
    <xf borderId="1" fillId="11" fontId="4" numFmtId="0" xfId="0" applyAlignment="1" applyBorder="1" applyFont="1">
      <alignment readingOrder="0" vertical="center"/>
    </xf>
    <xf borderId="2" fillId="7" fontId="1" numFmtId="164" xfId="0" applyAlignment="1" applyBorder="1" applyFont="1" applyNumberFormat="1">
      <alignment horizontal="left" shrinkToFit="0" vertical="center" wrapText="1"/>
    </xf>
    <xf borderId="1" fillId="11" fontId="4" numFmtId="0" xfId="0" applyAlignment="1" applyBorder="1" applyFont="1">
      <alignment shrinkToFit="0" vertical="center" wrapText="1"/>
    </xf>
    <xf borderId="1" fillId="7" fontId="3" numFmtId="164" xfId="0" applyAlignment="1" applyBorder="1" applyFont="1" applyNumberFormat="1">
      <alignment vertical="center"/>
    </xf>
    <xf borderId="1" fillId="7" fontId="4" numFmtId="0" xfId="0" applyAlignment="1" applyBorder="1" applyFont="1">
      <alignment vertical="center"/>
    </xf>
    <xf borderId="1" fillId="7" fontId="4" numFmtId="0" xfId="0" applyAlignment="1" applyBorder="1" applyFont="1">
      <alignment vertical="center"/>
    </xf>
    <xf borderId="1" fillId="11" fontId="4" numFmtId="1" xfId="0" applyAlignment="1" applyBorder="1" applyFont="1" applyNumberFormat="1">
      <alignment readingOrder="0" shrinkToFit="0" vertical="center" wrapText="1"/>
    </xf>
    <xf borderId="1" fillId="7" fontId="4" numFmtId="1" xfId="0" applyAlignment="1" applyBorder="1" applyFont="1" applyNumberFormat="1">
      <alignment horizontal="center" readingOrder="0" shrinkToFit="0" vertical="center" wrapText="1"/>
    </xf>
    <xf borderId="1" fillId="7" fontId="16" numFmtId="3" xfId="0" applyAlignment="1" applyBorder="1" applyFont="1" applyNumberFormat="1">
      <alignment readingOrder="0" vertical="center"/>
    </xf>
    <xf borderId="1" fillId="7" fontId="4" numFmtId="165" xfId="0" applyAlignment="1" applyBorder="1" applyFont="1" applyNumberFormat="1">
      <alignment shrinkToFit="0" vertical="center" wrapText="1"/>
    </xf>
    <xf borderId="1" fillId="7" fontId="4" numFmtId="165" xfId="0" applyAlignment="1" applyBorder="1" applyFont="1" applyNumberFormat="1">
      <alignment horizontal="left" shrinkToFit="0" vertical="center" wrapText="1"/>
    </xf>
    <xf borderId="1" fillId="11" fontId="4" numFmtId="0" xfId="0" applyAlignment="1" applyBorder="1" applyFont="1">
      <alignment horizontal="center" vertical="center"/>
    </xf>
    <xf borderId="0" fillId="0" fontId="4" numFmtId="0" xfId="0" applyAlignment="1" applyFont="1">
      <alignment vertical="bottom"/>
    </xf>
    <xf borderId="1" fillId="11" fontId="17" numFmtId="0" xfId="0" applyAlignment="1" applyBorder="1" applyFont="1">
      <alignment readingOrder="0" shrinkToFit="0" vertical="center" wrapText="1"/>
    </xf>
    <xf borderId="1" fillId="11" fontId="3" numFmtId="0" xfId="0" applyAlignment="1" applyBorder="1" applyFont="1">
      <alignment vertical="center"/>
    </xf>
    <xf borderId="0" fillId="6" fontId="18" numFmtId="0" xfId="0" applyFont="1"/>
    <xf borderId="1" fillId="7" fontId="4" numFmtId="166" xfId="0" applyAlignment="1" applyBorder="1" applyFont="1" applyNumberFormat="1">
      <alignment readingOrder="0" vertical="center"/>
    </xf>
    <xf borderId="1" fillId="11" fontId="16" numFmtId="49" xfId="0" applyAlignment="1" applyBorder="1" applyFont="1" applyNumberFormat="1">
      <alignment horizontal="center" readingOrder="0" shrinkToFit="0" vertical="center" wrapText="1"/>
    </xf>
    <xf borderId="1" fillId="11" fontId="16" numFmtId="0" xfId="0" applyAlignment="1" applyBorder="1" applyFont="1">
      <alignment horizontal="center" readingOrder="0" shrinkToFit="0" vertical="center" wrapText="1"/>
    </xf>
    <xf borderId="1" fillId="11" fontId="16" numFmtId="1" xfId="0" applyAlignment="1" applyBorder="1" applyFont="1" applyNumberFormat="1">
      <alignment readingOrder="0" vertical="center"/>
    </xf>
    <xf borderId="1" fillId="11" fontId="16" numFmtId="164" xfId="0" applyAlignment="1" applyBorder="1" applyFont="1" applyNumberFormat="1">
      <alignment horizontal="center" readingOrder="0" shrinkToFit="0" vertical="center" wrapText="1"/>
    </xf>
    <xf borderId="1" fillId="11" fontId="19" numFmtId="0" xfId="0" applyAlignment="1" applyBorder="1" applyFont="1">
      <alignment horizontal="center" readingOrder="0" shrinkToFit="0" vertical="center" wrapText="1"/>
    </xf>
    <xf borderId="1" fillId="11" fontId="16" numFmtId="0" xfId="0" applyAlignment="1" applyBorder="1" applyFont="1">
      <alignment shrinkToFit="0" vertical="center" wrapText="1"/>
    </xf>
    <xf borderId="1" fillId="11" fontId="16" numFmtId="3" xfId="0" applyAlignment="1" applyBorder="1" applyFont="1" applyNumberFormat="1">
      <alignment readingOrder="0" shrinkToFit="0" vertical="center" wrapText="1"/>
    </xf>
    <xf borderId="1" fillId="11" fontId="16" numFmtId="0" xfId="0" applyAlignment="1" applyBorder="1" applyFont="1">
      <alignment readingOrder="0" shrinkToFit="0" vertical="center" wrapText="0"/>
    </xf>
    <xf borderId="1" fillId="11" fontId="3" numFmtId="0" xfId="0" applyAlignment="1" applyBorder="1" applyFont="1">
      <alignment readingOrder="0" vertical="center"/>
    </xf>
    <xf borderId="1" fillId="7" fontId="4" numFmtId="49" xfId="0" applyAlignment="1" applyBorder="1" applyFont="1" applyNumberFormat="1">
      <alignment horizontal="center" readingOrder="0" vertical="center"/>
    </xf>
    <xf borderId="1" fillId="7" fontId="4" numFmtId="0" xfId="0" applyAlignment="1" applyBorder="1" applyFont="1">
      <alignment readingOrder="0" shrinkToFit="0" vertical="center" wrapText="1"/>
    </xf>
    <xf borderId="2" fillId="7" fontId="20" numFmtId="0" xfId="0" applyAlignment="1" applyBorder="1" applyFont="1">
      <alignment shrinkToFit="0" vertical="center" wrapText="1"/>
    </xf>
    <xf borderId="1" fillId="7" fontId="4" numFmtId="0" xfId="0" applyAlignment="1" applyBorder="1" applyFont="1">
      <alignment horizontal="center" readingOrder="0" shrinkToFit="0" vertical="center" wrapText="1"/>
    </xf>
    <xf borderId="1" fillId="7" fontId="4" numFmtId="0" xfId="0" applyAlignment="1" applyBorder="1" applyFont="1">
      <alignment horizontal="left" readingOrder="0" shrinkToFit="0" vertical="center" wrapText="1"/>
    </xf>
    <xf borderId="1" fillId="11" fontId="4" numFmtId="1" xfId="0" applyAlignment="1" applyBorder="1" applyFont="1" applyNumberFormat="1">
      <alignment vertical="center"/>
    </xf>
    <xf borderId="1" fillId="11" fontId="4" numFmtId="164" xfId="0" applyAlignment="1" applyBorder="1" applyFont="1" applyNumberFormat="1">
      <alignment shrinkToFit="0" vertical="center" wrapText="1"/>
    </xf>
    <xf borderId="3" fillId="0" fontId="4" numFmtId="0" xfId="0" applyBorder="1" applyFont="1"/>
    <xf borderId="3" fillId="4" fontId="4" numFmtId="0" xfId="0" applyBorder="1" applyFont="1"/>
    <xf borderId="3" fillId="0" fontId="4" numFmtId="0" xfId="0" applyAlignment="1" applyBorder="1" applyFont="1">
      <alignment horizontal="right"/>
    </xf>
    <xf borderId="2" fillId="11" fontId="21" numFmtId="0" xfId="0" applyAlignment="1" applyBorder="1" applyFont="1">
      <alignment shrinkToFit="0" vertical="center" wrapText="1"/>
    </xf>
    <xf borderId="2" fillId="7" fontId="1" numFmtId="164" xfId="0" applyAlignment="1" applyBorder="1" applyFont="1" applyNumberFormat="1">
      <alignment shrinkToFit="0" vertical="center" wrapText="1"/>
    </xf>
    <xf borderId="2" fillId="7" fontId="22" numFmtId="0" xfId="0" applyAlignment="1" applyBorder="1" applyFont="1">
      <alignment shrinkToFit="0" vertical="center" wrapText="1"/>
    </xf>
    <xf quotePrefix="1" borderId="2" fillId="7" fontId="1" numFmtId="0" xfId="0" applyAlignment="1" applyBorder="1" applyFont="1">
      <alignment shrinkToFit="0" vertical="center" wrapText="1"/>
    </xf>
    <xf borderId="1" fillId="7" fontId="4" numFmtId="0" xfId="0" applyAlignment="1" applyBorder="1" applyFont="1">
      <alignment horizontal="center" vertical="center"/>
    </xf>
    <xf borderId="0" fillId="7" fontId="3" numFmtId="0" xfId="0" applyAlignment="1" applyFont="1">
      <alignment shrinkToFit="0" vertical="center" wrapText="1"/>
    </xf>
    <xf borderId="1" fillId="7" fontId="4" numFmtId="1" xfId="0" applyAlignment="1" applyBorder="1" applyFont="1" applyNumberFormat="1">
      <alignment vertical="center"/>
    </xf>
    <xf borderId="1" fillId="7" fontId="3" numFmtId="0" xfId="0" applyAlignment="1" applyBorder="1" applyFont="1">
      <alignment readingOrder="0" vertical="center"/>
    </xf>
    <xf borderId="1" fillId="7" fontId="4" numFmtId="0" xfId="0" applyAlignment="1" applyBorder="1" applyFont="1">
      <alignment readingOrder="0" shrinkToFit="0" vertical="center" wrapText="1"/>
    </xf>
    <xf borderId="1" fillId="7" fontId="16" numFmtId="0" xfId="0" applyAlignment="1" applyBorder="1" applyFont="1">
      <alignment horizontal="left" readingOrder="0" shrinkToFit="0" vertical="center" wrapText="1"/>
    </xf>
    <xf borderId="1" fillId="11" fontId="16" numFmtId="0" xfId="0" applyAlignment="1" applyBorder="1" applyFont="1">
      <alignment horizontal="left" readingOrder="0" shrinkToFit="0" vertical="center" wrapText="1"/>
    </xf>
    <xf borderId="0" fillId="7" fontId="23" numFmtId="0" xfId="0" applyAlignment="1" applyFont="1">
      <alignment horizontal="left" readingOrder="0" vertical="bottom"/>
    </xf>
    <xf borderId="1" fillId="7" fontId="4" numFmtId="0" xfId="0" applyAlignment="1" applyBorder="1" applyFont="1">
      <alignment shrinkToFit="0" vertical="center" wrapText="1"/>
    </xf>
    <xf borderId="0" fillId="12" fontId="24" numFmtId="0" xfId="0" applyAlignment="1" applyFill="1" applyFont="1">
      <alignment horizontal="center" vertical="center"/>
    </xf>
    <xf borderId="0" fillId="12" fontId="24" numFmtId="0" xfId="0" applyAlignment="1" applyFont="1">
      <alignment vertical="center"/>
    </xf>
    <xf borderId="0" fillId="0" fontId="3" numFmtId="0" xfId="0" applyAlignment="1" applyFont="1">
      <alignment vertical="center"/>
    </xf>
    <xf borderId="0" fillId="0" fontId="25" numFmtId="0" xfId="0" applyAlignment="1" applyFont="1">
      <alignment vertical="center"/>
    </xf>
    <xf borderId="1" fillId="11" fontId="4" numFmtId="0" xfId="0" applyAlignment="1" applyBorder="1" applyFont="1">
      <alignment readingOrder="0" shrinkToFit="0" vertical="center" wrapText="1"/>
    </xf>
    <xf borderId="0" fillId="0" fontId="3" numFmtId="0" xfId="0" applyAlignment="1" applyFont="1">
      <alignment horizontal="center" vertical="center"/>
    </xf>
    <xf borderId="0" fillId="0" fontId="3" numFmtId="0" xfId="0" applyAlignment="1" applyFont="1">
      <alignment horizontal="right" vertical="center"/>
    </xf>
    <xf borderId="2" fillId="12" fontId="26" numFmtId="0" xfId="0" applyAlignment="1" applyBorder="1" applyFont="1">
      <alignment horizontal="center" vertical="center"/>
    </xf>
    <xf borderId="2" fillId="12" fontId="26" numFmtId="0" xfId="0" applyAlignment="1" applyBorder="1" applyFont="1">
      <alignment horizontal="center" shrinkToFit="0" vertical="center" wrapText="1"/>
    </xf>
    <xf borderId="2" fillId="12" fontId="3" numFmtId="0" xfId="0" applyAlignment="1" applyBorder="1" applyFont="1">
      <alignment vertical="center"/>
    </xf>
    <xf borderId="2" fillId="7" fontId="1" numFmtId="0" xfId="0" applyAlignment="1" applyBorder="1" applyFont="1">
      <alignment horizontal="center" vertical="center"/>
    </xf>
    <xf borderId="2" fillId="7" fontId="1" numFmtId="0" xfId="0" applyAlignment="1" applyBorder="1" applyFont="1">
      <alignment vertical="center"/>
    </xf>
    <xf borderId="2" fillId="0" fontId="1" numFmtId="0" xfId="0" applyAlignment="1" applyBorder="1" applyFont="1">
      <alignment vertical="center"/>
    </xf>
    <xf borderId="2" fillId="7" fontId="27" numFmtId="0" xfId="0" applyAlignment="1" applyBorder="1" applyFont="1">
      <alignment shrinkToFit="0" vertical="center" wrapText="1"/>
    </xf>
    <xf borderId="2" fillId="7" fontId="27" numFmtId="165" xfId="0" applyAlignment="1" applyBorder="1" applyFont="1" applyNumberFormat="1">
      <alignment horizontal="right" vertical="center"/>
    </xf>
    <xf borderId="2" fillId="7" fontId="3" numFmtId="0" xfId="0" applyAlignment="1" applyBorder="1" applyFont="1">
      <alignment vertical="center"/>
    </xf>
    <xf borderId="2" fillId="0" fontId="27" numFmtId="0" xfId="0" applyAlignment="1" applyBorder="1" applyFont="1">
      <alignment shrinkToFit="0" vertical="center" wrapText="1"/>
    </xf>
    <xf borderId="2" fillId="0" fontId="1" numFmtId="0" xfId="0" applyAlignment="1" applyBorder="1" applyFont="1">
      <alignment horizontal="center" vertical="center"/>
    </xf>
    <xf borderId="2" fillId="0" fontId="27" numFmtId="165" xfId="0" applyAlignment="1" applyBorder="1" applyFont="1" applyNumberFormat="1">
      <alignment horizontal="right" vertical="center"/>
    </xf>
    <xf borderId="1" fillId="11" fontId="4" numFmtId="0" xfId="0" applyAlignment="1" applyBorder="1" applyFont="1">
      <alignment shrinkToFit="0" vertical="center" wrapText="1"/>
    </xf>
    <xf borderId="2" fillId="0" fontId="3" numFmtId="0" xfId="0" applyAlignment="1" applyBorder="1" applyFont="1">
      <alignment vertical="center"/>
    </xf>
    <xf borderId="2" fillId="0" fontId="3" numFmtId="0" xfId="0" applyAlignment="1" applyBorder="1" applyFont="1">
      <alignment horizontal="center" vertical="center"/>
    </xf>
    <xf borderId="2" fillId="0" fontId="3" numFmtId="165" xfId="0" applyAlignment="1" applyBorder="1" applyFont="1" applyNumberFormat="1">
      <alignment vertical="center"/>
    </xf>
    <xf borderId="2" fillId="0" fontId="1" numFmtId="0" xfId="0" applyAlignment="1" applyBorder="1" applyFont="1">
      <alignment readingOrder="0" vertical="center"/>
    </xf>
    <xf borderId="2" fillId="0" fontId="1" numFmtId="0" xfId="0" applyAlignment="1" applyBorder="1" applyFont="1">
      <alignment shrinkToFit="0" vertical="center" wrapText="1"/>
    </xf>
    <xf borderId="1" fillId="11" fontId="4" numFmtId="0" xfId="0" applyAlignment="1" applyBorder="1" applyFont="1">
      <alignment readingOrder="0" shrinkToFit="0" vertical="center" wrapText="1"/>
    </xf>
    <xf borderId="0" fillId="0" fontId="25" numFmtId="0" xfId="0" applyAlignment="1" applyFont="1">
      <alignment shrinkToFit="0" wrapText="1"/>
    </xf>
    <xf borderId="0" fillId="0" fontId="25" numFmtId="0" xfId="0" applyAlignment="1" applyFont="1">
      <alignment horizontal="center"/>
    </xf>
    <xf borderId="0" fillId="0" fontId="28" numFmtId="0" xfId="0" applyAlignment="1" applyFont="1">
      <alignment vertical="center"/>
    </xf>
    <xf borderId="1" fillId="11" fontId="14" numFmtId="164" xfId="0" applyAlignment="1" applyBorder="1" applyFont="1" applyNumberFormat="1">
      <alignment horizontal="center" shrinkToFit="0" vertical="center" wrapText="1"/>
    </xf>
    <xf borderId="1" fillId="7" fontId="16" numFmtId="0" xfId="0" applyAlignment="1" applyBorder="1" applyFont="1">
      <alignment horizontal="left" shrinkToFit="0" vertical="center" wrapText="1"/>
    </xf>
    <xf borderId="2" fillId="11" fontId="29" numFmtId="0" xfId="0" applyAlignment="1" applyBorder="1" applyFont="1">
      <alignment shrinkToFit="0" vertical="center" wrapText="1"/>
    </xf>
    <xf borderId="0" fillId="0" fontId="30" numFmtId="0" xfId="0" applyAlignment="1" applyFont="1">
      <alignment vertical="bottom"/>
    </xf>
    <xf borderId="0" fillId="0" fontId="3" numFmtId="0" xfId="0" applyAlignment="1" applyFont="1">
      <alignment readingOrder="0" vertical="bottom"/>
    </xf>
    <xf borderId="2" fillId="7" fontId="3" numFmtId="0" xfId="0" applyAlignment="1" applyBorder="1" applyFont="1">
      <alignment horizontal="left" shrinkToFit="0" vertical="center" wrapText="1"/>
    </xf>
    <xf borderId="0" fillId="0" fontId="25" numFmtId="0" xfId="0" applyAlignment="1" applyFont="1">
      <alignment horizontal="center" vertical="center"/>
    </xf>
    <xf borderId="1" fillId="11" fontId="4" numFmtId="165" xfId="0" applyAlignment="1" applyBorder="1" applyFont="1" applyNumberFormat="1">
      <alignment shrinkToFit="0" vertical="center" wrapText="1"/>
    </xf>
    <xf borderId="1" fillId="11" fontId="4" numFmtId="165" xfId="0" applyAlignment="1" applyBorder="1" applyFont="1" applyNumberFormat="1">
      <alignment horizontal="left" shrinkToFit="0" vertical="center" wrapText="1"/>
    </xf>
    <xf borderId="0" fillId="11" fontId="23" numFmtId="0" xfId="0" applyAlignment="1" applyFont="1">
      <alignment horizontal="left" readingOrder="0" vertical="bottom"/>
    </xf>
    <xf borderId="1" fillId="11" fontId="16" numFmtId="1" xfId="0" applyAlignment="1" applyBorder="1" applyFont="1" applyNumberFormat="1">
      <alignment readingOrder="0" shrinkToFit="0" vertical="center" wrapText="1"/>
    </xf>
    <xf borderId="4" fillId="11" fontId="31" numFmtId="0" xfId="0" applyAlignment="1" applyBorder="1" applyFont="1">
      <alignment shrinkToFit="0" vertical="center" wrapText="1"/>
    </xf>
    <xf borderId="5" fillId="11" fontId="32" numFmtId="0" xfId="0" applyBorder="1" applyFont="1"/>
    <xf borderId="0" fillId="7" fontId="16" numFmtId="0" xfId="0" applyAlignment="1" applyFont="1">
      <alignment horizontal="left" readingOrder="0" vertical="center"/>
    </xf>
    <xf borderId="6" fillId="11" fontId="32" numFmtId="0" xfId="0" applyBorder="1" applyFont="1"/>
    <xf borderId="1" fillId="11" fontId="16" numFmtId="3" xfId="0" applyAlignment="1" applyBorder="1" applyFont="1" applyNumberFormat="1">
      <alignment readingOrder="0" vertical="center"/>
    </xf>
    <xf borderId="0" fillId="11" fontId="4" numFmtId="0" xfId="0" applyAlignment="1" applyFont="1">
      <alignment horizontal="left" readingOrder="0" shrinkToFit="0" vertical="center" wrapText="1"/>
    </xf>
    <xf borderId="1" fillId="7" fontId="4" numFmtId="0" xfId="0" applyAlignment="1" applyBorder="1" applyFont="1">
      <alignment readingOrder="0" shrinkToFit="0" vertical="center" wrapText="1"/>
    </xf>
    <xf borderId="1" fillId="11" fontId="4" numFmtId="1" xfId="0" applyAlignment="1" applyBorder="1" applyFont="1" applyNumberFormat="1">
      <alignment horizontal="center" readingOrder="0" vertical="center"/>
    </xf>
    <xf borderId="2" fillId="11" fontId="3" numFmtId="0" xfId="0" applyAlignment="1" applyBorder="1" applyFont="1">
      <alignment horizontal="left" shrinkToFit="0" vertical="center" wrapText="1"/>
    </xf>
    <xf borderId="1" fillId="7" fontId="4" numFmtId="0" xfId="0" applyAlignment="1" applyBorder="1" applyFont="1">
      <alignment shrinkToFit="0" vertical="center" wrapText="1"/>
    </xf>
    <xf quotePrefix="1" borderId="2" fillId="11" fontId="1" numFmtId="0" xfId="0" applyAlignment="1" applyBorder="1" applyFont="1">
      <alignment shrinkToFit="0" vertical="center" wrapText="1"/>
    </xf>
    <xf borderId="4" fillId="7" fontId="33" numFmtId="0" xfId="0" applyAlignment="1" applyBorder="1" applyFont="1">
      <alignment shrinkToFit="0" vertical="center" wrapText="1"/>
    </xf>
    <xf borderId="6" fillId="7" fontId="32" numFmtId="0" xfId="0" applyBorder="1" applyFont="1"/>
    <xf borderId="1" fillId="7" fontId="4" numFmtId="0" xfId="0" applyAlignment="1" applyBorder="1" applyFont="1">
      <alignment horizontal="left" readingOrder="0" vertical="center"/>
    </xf>
    <xf borderId="1" fillId="13" fontId="34" numFmtId="0" xfId="0" applyAlignment="1" applyBorder="1" applyFill="1" applyFont="1">
      <alignment vertical="bottom"/>
    </xf>
    <xf borderId="0" fillId="0" fontId="35" numFmtId="0" xfId="0" applyAlignment="1" applyFont="1">
      <alignment readingOrder="0"/>
    </xf>
    <xf borderId="0" fillId="0" fontId="35" numFmtId="0" xfId="0" applyFont="1"/>
    <xf borderId="1" fillId="0" fontId="35" numFmtId="0" xfId="0" applyAlignment="1" applyBorder="1" applyFont="1">
      <alignment vertical="bottom"/>
    </xf>
    <xf borderId="1" fillId="0" fontId="36" numFmtId="0" xfId="0" applyAlignment="1" applyBorder="1" applyFont="1">
      <alignment readingOrder="0"/>
    </xf>
    <xf borderId="1" fillId="0" fontId="35" numFmtId="0" xfId="0" applyAlignment="1" applyBorder="1" applyFont="1">
      <alignment readingOrder="0"/>
    </xf>
    <xf borderId="1" fillId="0" fontId="35" numFmtId="0" xfId="0" applyAlignment="1" applyBorder="1" applyFont="1">
      <alignment readingOrder="0" vertical="bottom"/>
    </xf>
    <xf borderId="1" fillId="0" fontId="35" numFmtId="0" xfId="0" applyAlignment="1" applyBorder="1" applyFont="1">
      <alignment horizontal="left" readingOrder="0" vertical="bottom"/>
    </xf>
    <xf borderId="0" fillId="0" fontId="37" numFmtId="0" xfId="0" applyAlignment="1" applyFont="1">
      <alignment readingOrder="0"/>
    </xf>
    <xf borderId="1" fillId="0" fontId="36" numFmtId="0" xfId="0" applyAlignment="1" applyBorder="1" applyFont="1">
      <alignment vertical="bottom"/>
    </xf>
    <xf borderId="1" fillId="0" fontId="38" numFmtId="0" xfId="0" applyAlignment="1" applyBorder="1" applyFont="1">
      <alignment readingOrder="0" vertical="bottom"/>
    </xf>
    <xf borderId="1" fillId="0" fontId="35" numFmtId="0" xfId="0" applyAlignment="1" applyBorder="1" applyFont="1">
      <alignment horizontal="left" readingOrder="0"/>
    </xf>
    <xf borderId="1" fillId="0" fontId="35" numFmtId="0" xfId="0" applyBorder="1" applyFont="1"/>
    <xf borderId="1" fillId="0" fontId="36" numFmtId="0" xfId="0" applyAlignment="1" applyBorder="1" applyFont="1">
      <alignment readingOrder="0" vertical="bottom"/>
    </xf>
    <xf borderId="0" fillId="11" fontId="16" numFmtId="0" xfId="0" applyAlignment="1" applyFont="1">
      <alignment horizontal="left" readingOrder="0" vertical="center"/>
    </xf>
    <xf borderId="1" fillId="11" fontId="16" numFmtId="164" xfId="0" applyAlignment="1" applyBorder="1" applyFont="1" applyNumberFormat="1">
      <alignment shrinkToFit="0" vertical="center" wrapText="1"/>
    </xf>
    <xf borderId="1" fillId="7" fontId="17" numFmtId="3" xfId="0" applyAlignment="1" applyBorder="1" applyFont="1" applyNumberFormat="1">
      <alignment readingOrder="0" vertical="center"/>
    </xf>
    <xf borderId="0" fillId="0" fontId="25" numFmtId="0" xfId="0" applyAlignment="1" applyFont="1">
      <alignment readingOrder="0"/>
    </xf>
    <xf borderId="0" fillId="0" fontId="25" numFmtId="167" xfId="0" applyAlignment="1" applyFont="1" applyNumberFormat="1">
      <alignment readingOrder="0"/>
    </xf>
    <xf borderId="0" fillId="0" fontId="25" numFmtId="0" xfId="0" applyAlignment="1" applyFont="1">
      <alignment readingOrder="0"/>
    </xf>
    <xf borderId="0" fillId="0" fontId="25" numFmtId="168" xfId="0" applyAlignment="1" applyFont="1" applyNumberFormat="1">
      <alignment readingOrder="0"/>
    </xf>
    <xf borderId="0" fillId="0" fontId="25" numFmtId="169" xfId="0" applyAlignment="1" applyFont="1" applyNumberFormat="1">
      <alignment readingOrder="0"/>
    </xf>
    <xf borderId="2" fillId="11" fontId="6" numFmtId="0" xfId="0" applyAlignment="1" applyBorder="1" applyFont="1">
      <alignment horizontal="right" shrinkToFit="0" vertical="center" wrapText="1"/>
    </xf>
    <xf borderId="1" fillId="11" fontId="17" numFmtId="0" xfId="0" applyAlignment="1" applyBorder="1" applyFont="1">
      <alignment horizontal="center" readingOrder="0" vertical="center"/>
    </xf>
    <xf borderId="2" fillId="11" fontId="1" numFmtId="164" xfId="0" applyAlignment="1" applyBorder="1" applyFont="1" applyNumberFormat="1">
      <alignment shrinkToFit="0" vertical="center" wrapText="1"/>
    </xf>
    <xf borderId="1" fillId="11" fontId="39" numFmtId="0" xfId="0" applyAlignment="1" applyBorder="1" applyFont="1">
      <alignment shrinkToFit="0" vertical="center" wrapText="1"/>
    </xf>
    <xf borderId="1" fillId="7" fontId="40" numFmtId="0" xfId="0" applyAlignment="1" applyBorder="1" applyFont="1">
      <alignment shrinkToFit="0" vertical="center" wrapText="1"/>
    </xf>
    <xf borderId="1" fillId="11" fontId="17" numFmtId="1" xfId="0" applyAlignment="1" applyBorder="1" applyFont="1" applyNumberFormat="1">
      <alignment readingOrder="0" vertical="center"/>
    </xf>
    <xf borderId="2" fillId="7" fontId="1" numFmtId="1" xfId="0" applyAlignment="1" applyBorder="1" applyFont="1" applyNumberFormat="1">
      <alignment horizontal="center" shrinkToFit="0" vertical="center" wrapText="1"/>
    </xf>
    <xf borderId="2" fillId="7" fontId="3" numFmtId="165" xfId="0" applyAlignment="1" applyBorder="1" applyFont="1" applyNumberFormat="1">
      <alignment shrinkToFit="0" vertical="center" wrapText="1"/>
    </xf>
    <xf borderId="2" fillId="7" fontId="1" numFmtId="3" xfId="0" applyAlignment="1" applyBorder="1" applyFont="1" applyNumberFormat="1">
      <alignment horizontal="center" shrinkToFit="0" vertical="center" wrapText="1"/>
    </xf>
    <xf borderId="2" fillId="11" fontId="1" numFmtId="1" xfId="0" applyAlignment="1" applyBorder="1" applyFont="1" applyNumberFormat="1">
      <alignment horizontal="center" shrinkToFit="0" vertical="center" wrapText="1"/>
    </xf>
    <xf borderId="2" fillId="11" fontId="3" numFmtId="165" xfId="0" applyAlignment="1" applyBorder="1" applyFont="1" applyNumberFormat="1">
      <alignment shrinkToFit="0" vertical="center" wrapText="1"/>
    </xf>
    <xf borderId="2" fillId="11" fontId="1" numFmtId="3" xfId="0" applyAlignment="1" applyBorder="1" applyFont="1" applyNumberFormat="1">
      <alignment horizontal="center" shrinkToFit="0" vertical="center" wrapText="1"/>
    </xf>
    <xf borderId="2" fillId="11" fontId="3" numFmtId="1" xfId="0" applyAlignment="1" applyBorder="1" applyFont="1" applyNumberFormat="1">
      <alignment shrinkToFit="0" vertical="center" wrapText="1"/>
    </xf>
    <xf borderId="2" fillId="7" fontId="3" numFmtId="1" xfId="0" applyAlignment="1" applyBorder="1" applyFont="1" applyNumberFormat="1">
      <alignment shrinkToFit="0" vertical="center" wrapText="1"/>
    </xf>
    <xf borderId="1" fillId="7" fontId="16" numFmtId="164" xfId="0" applyAlignment="1" applyBorder="1" applyFont="1" applyNumberFormat="1">
      <alignment shrinkToFit="0" vertical="center" wrapText="1"/>
    </xf>
    <xf quotePrefix="1" borderId="1" fillId="7" fontId="4" numFmtId="0" xfId="0" applyAlignment="1" applyBorder="1" applyFont="1">
      <alignment shrinkToFit="0" vertical="center" wrapText="1"/>
    </xf>
    <xf borderId="1" fillId="0" fontId="1" numFmtId="0" xfId="0" applyAlignment="1" applyBorder="1" applyFont="1">
      <alignment vertical="bottom"/>
    </xf>
    <xf borderId="0" fillId="0" fontId="41" numFmtId="0" xfId="0" applyAlignment="1" applyFont="1">
      <alignment readingOrder="0"/>
    </xf>
    <xf borderId="0" fillId="0" fontId="25" numFmtId="164" xfId="0" applyFont="1" applyNumberFormat="1"/>
    <xf borderId="0" fillId="0" fontId="25" numFmtId="164" xfId="0" applyAlignment="1" applyFont="1" applyNumberFormat="1">
      <alignment readingOrder="0"/>
    </xf>
    <xf borderId="1" fillId="7" fontId="42" numFmtId="0" xfId="0" applyAlignment="1" applyBorder="1" applyFont="1">
      <alignment readingOrder="0" shrinkToFit="0" vertical="center" wrapText="1"/>
    </xf>
    <xf borderId="1" fillId="11" fontId="17" numFmtId="0" xfId="0" applyAlignment="1" applyBorder="1" applyFont="1">
      <alignment horizontal="center" readingOrder="0" shrinkToFit="0" vertical="center" wrapText="1"/>
    </xf>
    <xf borderId="1" fillId="11" fontId="16" numFmtId="0" xfId="0" applyAlignment="1" applyBorder="1" applyFont="1">
      <alignment readingOrder="0" shrinkToFit="0" vertical="center" wrapText="1"/>
    </xf>
    <xf borderId="1" fillId="11" fontId="16" numFmtId="164" xfId="0" applyAlignment="1" applyBorder="1" applyFont="1" applyNumberFormat="1">
      <alignment horizontal="left" shrinkToFit="0" vertical="center" wrapText="1"/>
    </xf>
    <xf quotePrefix="1" borderId="1" fillId="11" fontId="4" numFmtId="0" xfId="0" applyAlignment="1" applyBorder="1" applyFont="1">
      <alignment shrinkToFit="0" vertical="center" wrapText="1"/>
    </xf>
    <xf borderId="1" fillId="11" fontId="4" numFmtId="0" xfId="0" applyAlignment="1" applyBorder="1" applyFont="1">
      <alignment horizontal="center" readingOrder="0" vertical="center"/>
    </xf>
    <xf borderId="2" fillId="11" fontId="1" numFmtId="0" xfId="0" applyAlignment="1" applyBorder="1" applyFont="1">
      <alignment horizontal="left" shrinkToFit="0" vertical="center" wrapText="1"/>
    </xf>
    <xf borderId="2" fillId="7" fontId="1" numFmtId="0" xfId="0" applyAlignment="1" applyBorder="1" applyFont="1">
      <alignment horizontal="left" shrinkToFit="0" vertical="center" wrapText="1"/>
    </xf>
    <xf borderId="2" fillId="7" fontId="3" numFmtId="165" xfId="0" applyAlignment="1" applyBorder="1" applyFont="1" applyNumberFormat="1">
      <alignment horizontal="left" shrinkToFit="0" vertical="center" wrapText="1"/>
    </xf>
    <xf borderId="4" fillId="7" fontId="1" numFmtId="0" xfId="0" applyAlignment="1" applyBorder="1" applyFont="1">
      <alignment shrinkToFit="0" vertical="center" wrapText="1"/>
    </xf>
    <xf borderId="6" fillId="7" fontId="3" numFmtId="0" xfId="0" applyAlignment="1" applyBorder="1" applyFont="1">
      <alignment shrinkToFit="0" vertical="center" wrapText="1"/>
    </xf>
    <xf borderId="1" fillId="7" fontId="4" numFmtId="0" xfId="0" applyAlignment="1" applyBorder="1" applyFont="1">
      <alignment readingOrder="0" shrinkToFit="0" vertical="center" wrapText="1"/>
    </xf>
    <xf borderId="2" fillId="11" fontId="3" numFmtId="165" xfId="0" applyAlignment="1" applyBorder="1" applyFont="1" applyNumberFormat="1">
      <alignment horizontal="left" shrinkToFit="0" vertical="center" wrapText="1"/>
    </xf>
    <xf borderId="1" fillId="11" fontId="4" numFmtId="49" xfId="0" applyAlignment="1" applyBorder="1" applyFont="1" applyNumberFormat="1">
      <alignment horizontal="center" readingOrder="0" vertical="center"/>
    </xf>
    <xf borderId="0" fillId="0" fontId="25" numFmtId="0" xfId="0" applyFont="1"/>
    <xf borderId="1" fillId="7" fontId="17" numFmtId="164" xfId="0" applyAlignment="1" applyBorder="1" applyFont="1" applyNumberFormat="1">
      <alignment shrinkToFit="0" vertical="center" wrapText="1"/>
    </xf>
    <xf borderId="1" fillId="11" fontId="17" numFmtId="0" xfId="0" applyAlignment="1" applyBorder="1" applyFont="1">
      <alignment readingOrder="0" vertical="center"/>
    </xf>
    <xf borderId="2" fillId="11" fontId="1" numFmtId="3" xfId="0" applyAlignment="1" applyBorder="1" applyFont="1" applyNumberFormat="1">
      <alignment shrinkToFit="0" vertical="center" wrapText="1"/>
    </xf>
    <xf borderId="1" fillId="7" fontId="16" numFmtId="0" xfId="0" applyAlignment="1" applyBorder="1" applyFont="1">
      <alignment readingOrder="0" vertical="center"/>
    </xf>
    <xf borderId="1" fillId="11" fontId="17" numFmtId="49" xfId="0" applyAlignment="1" applyBorder="1" applyFont="1" applyNumberFormat="1">
      <alignment horizontal="center" readingOrder="0" vertical="center"/>
    </xf>
    <xf borderId="1" fillId="7" fontId="17" numFmtId="0" xfId="0" applyAlignment="1" applyBorder="1" applyFont="1">
      <alignment horizontal="center" readingOrder="0" vertical="center"/>
    </xf>
    <xf borderId="1" fillId="11" fontId="4" numFmtId="0" xfId="0" applyAlignment="1" applyBorder="1" applyFont="1">
      <alignment readingOrder="0" shrinkToFit="0" vertical="center" wrapText="1"/>
    </xf>
    <xf borderId="1" fillId="11" fontId="4" numFmtId="165" xfId="0" applyAlignment="1" applyBorder="1" applyFont="1" applyNumberFormat="1">
      <alignment horizontal="center" readingOrder="0" shrinkToFit="0" vertical="center" wrapText="1"/>
    </xf>
    <xf borderId="0" fillId="0" fontId="25" numFmtId="170" xfId="0" applyAlignment="1" applyFont="1" applyNumberFormat="1">
      <alignment readingOrder="0"/>
    </xf>
    <xf borderId="0" fillId="0" fontId="25" numFmtId="14" xfId="0" applyAlignment="1" applyFont="1" applyNumberFormat="1">
      <alignment readingOrder="0"/>
    </xf>
    <xf borderId="1" fillId="11" fontId="4" numFmtId="0" xfId="0" applyAlignment="1" applyBorder="1" applyFont="1">
      <alignment horizontal="center" readingOrder="0" shrinkToFit="0" vertical="center" wrapText="1"/>
    </xf>
    <xf borderId="1" fillId="11" fontId="4" numFmtId="0" xfId="0" applyAlignment="1" applyBorder="1" applyFont="1">
      <alignment horizontal="left" readingOrder="0" shrinkToFit="0" vertical="center" wrapText="1"/>
    </xf>
    <xf borderId="1" fillId="7" fontId="17" numFmtId="0" xfId="0" applyAlignment="1" applyBorder="1" applyFont="1">
      <alignment readingOrder="0" vertical="center"/>
    </xf>
    <xf borderId="1" fillId="11" fontId="16" numFmtId="0" xfId="0" applyAlignment="1" applyBorder="1" applyFont="1">
      <alignment readingOrder="0" vertical="center"/>
    </xf>
    <xf borderId="1" fillId="7" fontId="4" numFmtId="0" xfId="0" applyAlignment="1" applyBorder="1" applyFont="1">
      <alignment horizontal="center" readingOrder="0" vertical="center"/>
    </xf>
    <xf borderId="1" fillId="7" fontId="17" numFmtId="0" xfId="0" applyAlignment="1" applyBorder="1" applyFont="1">
      <alignment horizontal="left" readingOrder="0" shrinkToFit="0" vertical="center" wrapText="1"/>
    </xf>
    <xf borderId="1" fillId="7" fontId="1" numFmtId="0" xfId="0" applyAlignment="1" applyBorder="1" applyFont="1">
      <alignment readingOrder="0"/>
    </xf>
    <xf borderId="1" fillId="13" fontId="4" numFmtId="0" xfId="0" applyAlignment="1" applyBorder="1" applyFont="1">
      <alignment shrinkToFit="0" vertical="center" wrapText="1"/>
    </xf>
    <xf borderId="2" fillId="7" fontId="1" numFmtId="3" xfId="0" applyAlignment="1" applyBorder="1" applyFont="1" applyNumberFormat="1">
      <alignment shrinkToFit="0" vertical="center" wrapText="1"/>
    </xf>
    <xf borderId="1" fillId="13" fontId="4" numFmtId="0" xfId="0" applyAlignment="1" applyBorder="1" applyFont="1">
      <alignment shrinkToFit="0" vertical="center" wrapText="1"/>
    </xf>
    <xf borderId="1" fillId="11" fontId="17" numFmtId="164" xfId="0" applyAlignment="1" applyBorder="1" applyFont="1" applyNumberFormat="1">
      <alignment shrinkToFit="0" vertical="center" wrapText="1"/>
    </xf>
    <xf borderId="1" fillId="11" fontId="14" numFmtId="0" xfId="0" applyAlignment="1" applyBorder="1" applyFont="1">
      <alignment horizontal="right" shrinkToFit="0" vertical="center" wrapText="1"/>
    </xf>
    <xf borderId="1" fillId="7" fontId="16" numFmtId="3" xfId="0" applyAlignment="1" applyBorder="1" applyFont="1" applyNumberFormat="1">
      <alignment readingOrder="0" shrinkToFit="0" vertical="center" wrapText="1"/>
    </xf>
    <xf borderId="1" fillId="7" fontId="16" numFmtId="0" xfId="0" applyAlignment="1" applyBorder="1" applyFont="1">
      <alignment shrinkToFit="0" vertical="center" wrapText="1"/>
    </xf>
    <xf borderId="1" fillId="7" fontId="16" numFmtId="164" xfId="0" applyAlignment="1" applyBorder="1" applyFont="1" applyNumberFormat="1">
      <alignment horizontal="center" shrinkToFit="0" vertical="center" wrapText="1"/>
    </xf>
    <xf borderId="1" fillId="7" fontId="19" numFmtId="0" xfId="0" applyAlignment="1" applyBorder="1" applyFont="1">
      <alignment horizontal="center" shrinkToFit="0" vertical="center" wrapText="1"/>
    </xf>
    <xf borderId="1" fillId="7" fontId="16" numFmtId="0" xfId="0" applyAlignment="1" applyBorder="1" applyFont="1">
      <alignment horizontal="center" shrinkToFit="0" vertical="center" wrapText="1"/>
    </xf>
    <xf borderId="2" fillId="7" fontId="3" numFmtId="3" xfId="0" applyAlignment="1" applyBorder="1" applyFont="1" applyNumberFormat="1">
      <alignment shrinkToFit="0" vertical="center" wrapText="1"/>
    </xf>
    <xf borderId="2" fillId="11" fontId="3" numFmtId="3" xfId="0" applyAlignment="1" applyBorder="1" applyFont="1" applyNumberFormat="1">
      <alignment shrinkToFit="0" vertical="center" wrapText="1"/>
    </xf>
    <xf borderId="0" fillId="7" fontId="4" numFmtId="0" xfId="0" applyAlignment="1" applyFont="1">
      <alignment horizontal="left" readingOrder="0" shrinkToFit="0" vertical="center" wrapText="1"/>
    </xf>
    <xf borderId="1" fillId="7" fontId="4" numFmtId="0" xfId="0" applyAlignment="1" applyBorder="1" applyFont="1">
      <alignment readingOrder="0" shrinkToFit="0" vertical="center" wrapText="1"/>
    </xf>
    <xf borderId="1" fillId="11" fontId="4" numFmtId="0" xfId="0" applyAlignment="1" applyBorder="1" applyFont="1">
      <alignment readingOrder="0" shrinkToFit="0" vertical="center" wrapText="1"/>
    </xf>
    <xf borderId="1" fillId="7" fontId="16" numFmtId="0" xfId="0" applyAlignment="1" applyBorder="1" applyFont="1">
      <alignment horizontal="center" readingOrder="0" shrinkToFit="0" vertical="center" wrapText="1"/>
    </xf>
    <xf borderId="1" fillId="7" fontId="4" numFmtId="165" xfId="0" applyAlignment="1" applyBorder="1" applyFont="1" applyNumberFormat="1">
      <alignment horizontal="center" readingOrder="0" shrinkToFit="0" vertical="center" wrapText="1"/>
    </xf>
    <xf borderId="1" fillId="7" fontId="4" numFmtId="49" xfId="0" applyAlignment="1" applyBorder="1" applyFont="1" applyNumberFormat="1">
      <alignment horizontal="center" vertical="center"/>
    </xf>
    <xf borderId="1" fillId="7" fontId="4" numFmtId="164" xfId="0" applyAlignment="1" applyBorder="1" applyFont="1" applyNumberFormat="1">
      <alignment horizontal="center" vertical="center"/>
    </xf>
    <xf borderId="1" fillId="11" fontId="4" numFmtId="164" xfId="0" applyAlignment="1" applyBorder="1" applyFont="1" applyNumberFormat="1">
      <alignment horizontal="center" readingOrder="0" vertical="center"/>
    </xf>
    <xf borderId="1" fillId="7" fontId="17" numFmtId="0" xfId="0" applyAlignment="1" applyBorder="1" applyFont="1">
      <alignment horizontal="center" readingOrder="0" shrinkToFit="0" vertical="center" wrapText="1"/>
    </xf>
    <xf borderId="1" fillId="11" fontId="4" numFmtId="166" xfId="0" applyAlignment="1" applyBorder="1" applyFont="1" applyNumberFormat="1">
      <alignment horizontal="center" readingOrder="0" shrinkToFit="0" vertical="center" wrapText="1"/>
    </xf>
    <xf borderId="1" fillId="7" fontId="4" numFmtId="166" xfId="0" applyAlignment="1" applyBorder="1" applyFont="1" applyNumberFormat="1">
      <alignment horizontal="center" readingOrder="0" shrinkToFit="0" vertical="center" wrapText="1"/>
    </xf>
    <xf borderId="0" fillId="11" fontId="43" numFmtId="0" xfId="0" applyAlignment="1" applyFont="1">
      <alignment shrinkToFit="0" vertical="center" wrapText="1"/>
    </xf>
    <xf borderId="0" fillId="11" fontId="44" numFmtId="0" xfId="0" applyAlignment="1" applyFont="1">
      <alignment shrinkToFit="0" vertical="center" wrapText="1"/>
    </xf>
    <xf borderId="0" fillId="7" fontId="1" numFmtId="0" xfId="0" applyAlignment="1" applyFont="1">
      <alignment readingOrder="0" shrinkToFit="0" vertical="center" wrapText="1"/>
    </xf>
    <xf borderId="0" fillId="7" fontId="43" numFmtId="0" xfId="0" applyAlignment="1" applyFont="1">
      <alignment readingOrder="0" shrinkToFit="0" vertical="center" wrapText="1"/>
    </xf>
    <xf borderId="0" fillId="7" fontId="1" numFmtId="0" xfId="0" applyAlignment="1" applyFont="1">
      <alignment horizontal="center" readingOrder="0" shrinkToFit="0" vertical="center" wrapText="1"/>
    </xf>
    <xf borderId="0" fillId="7" fontId="1" numFmtId="164" xfId="0" applyAlignment="1" applyFont="1" applyNumberFormat="1">
      <alignment horizontal="center" readingOrder="0" shrinkToFit="0" vertical="center" wrapText="1"/>
    </xf>
    <xf borderId="0" fillId="7" fontId="6" numFmtId="0" xfId="0" applyAlignment="1" applyFont="1">
      <alignment horizontal="center" readingOrder="0" shrinkToFit="0" vertical="center" wrapText="1"/>
    </xf>
    <xf borderId="0" fillId="7" fontId="3" numFmtId="0" xfId="0" applyAlignment="1" applyFont="1">
      <alignment readingOrder="0" shrinkToFit="0" vertical="center" wrapText="1"/>
    </xf>
    <xf borderId="0" fillId="7" fontId="3" numFmtId="0" xfId="0" applyAlignment="1" applyFont="1">
      <alignment horizontal="left" readingOrder="0" shrinkToFit="0" vertical="center" wrapText="1"/>
    </xf>
    <xf borderId="0" fillId="7" fontId="15" numFmtId="0" xfId="0" applyAlignment="1" applyFont="1">
      <alignment readingOrder="0" shrinkToFit="0" vertical="center" wrapText="1"/>
    </xf>
    <xf borderId="0" fillId="7" fontId="15" numFmtId="0" xfId="0" applyAlignment="1" applyFont="1">
      <alignment shrinkToFit="0" vertical="center" wrapText="1"/>
    </xf>
    <xf borderId="0" fillId="11" fontId="1" numFmtId="0" xfId="0" applyAlignment="1" applyFont="1">
      <alignment readingOrder="0" shrinkToFit="0" vertical="center" wrapText="1"/>
    </xf>
    <xf borderId="0" fillId="11" fontId="43" numFmtId="0" xfId="0" applyAlignment="1" applyFont="1">
      <alignment readingOrder="0" shrinkToFit="0" vertical="center" wrapText="1"/>
    </xf>
    <xf borderId="0" fillId="11" fontId="1" numFmtId="0" xfId="0" applyAlignment="1" applyFont="1">
      <alignment horizontal="center" readingOrder="0" shrinkToFit="0" vertical="center" wrapText="1"/>
    </xf>
    <xf borderId="0" fillId="11" fontId="1" numFmtId="164" xfId="0" applyAlignment="1" applyFont="1" applyNumberFormat="1">
      <alignment horizontal="center" readingOrder="0" shrinkToFit="0" vertical="center" wrapText="1"/>
    </xf>
    <xf borderId="0" fillId="11" fontId="1" numFmtId="0" xfId="0" applyAlignment="1" applyFont="1">
      <alignment horizontal="center" readingOrder="0" shrinkToFit="0" vertical="center" wrapText="1"/>
    </xf>
    <xf borderId="0" fillId="11" fontId="25" numFmtId="164" xfId="0" applyAlignment="1" applyFont="1" applyNumberFormat="1">
      <alignment shrinkToFit="0" vertical="center" wrapText="1"/>
    </xf>
    <xf borderId="0" fillId="7" fontId="4" numFmtId="0" xfId="0" applyAlignment="1" applyFont="1">
      <alignment readingOrder="0" shrinkToFit="0" vertical="center" wrapText="1"/>
    </xf>
    <xf borderId="0" fillId="11" fontId="6" numFmtId="0" xfId="0" applyAlignment="1" applyFont="1">
      <alignment horizontal="center" readingOrder="0" shrinkToFit="0" vertical="center" wrapText="1"/>
    </xf>
    <xf borderId="0" fillId="7" fontId="4" numFmtId="0" xfId="0" applyAlignment="1" applyFont="1">
      <alignment horizontal="center" readingOrder="0" vertical="center"/>
    </xf>
    <xf borderId="0" fillId="11" fontId="3" numFmtId="0" xfId="0" applyAlignment="1" applyFont="1">
      <alignment shrinkToFit="0" vertical="center" wrapText="1"/>
    </xf>
    <xf borderId="0" fillId="11" fontId="3" numFmtId="0" xfId="0" applyAlignment="1" applyFont="1">
      <alignment readingOrder="0" shrinkToFit="0" vertical="center" wrapText="1"/>
    </xf>
    <xf borderId="0" fillId="7" fontId="17" numFmtId="0" xfId="0" applyAlignment="1" applyFont="1">
      <alignment horizontal="center" readingOrder="0" shrinkToFit="0" vertical="center" wrapText="1"/>
    </xf>
    <xf borderId="0" fillId="11" fontId="3" numFmtId="0" xfId="0" applyAlignment="1" applyFont="1">
      <alignment horizontal="left" readingOrder="0" shrinkToFit="0" vertical="center" wrapText="1"/>
    </xf>
    <xf borderId="0" fillId="7" fontId="4" numFmtId="0" xfId="0" applyAlignment="1" applyFont="1">
      <alignment readingOrder="0" shrinkToFit="0" vertical="center" wrapText="1"/>
    </xf>
    <xf borderId="0" fillId="11" fontId="15" numFmtId="0" xfId="0" applyAlignment="1" applyFont="1">
      <alignment readingOrder="0" shrinkToFit="0" vertical="center" wrapText="1"/>
    </xf>
    <xf borderId="0" fillId="11" fontId="3" numFmtId="0" xfId="0" applyAlignment="1" applyFont="1">
      <alignment readingOrder="0" shrinkToFit="0" vertical="center" wrapText="1"/>
    </xf>
    <xf borderId="0" fillId="7" fontId="4" numFmtId="166" xfId="0" applyAlignment="1" applyFont="1" applyNumberFormat="1">
      <alignment horizontal="center" readingOrder="0" shrinkToFit="0" vertical="center" wrapText="1"/>
    </xf>
    <xf borderId="0" fillId="11" fontId="15" numFmtId="0" xfId="0" applyAlignment="1" applyFont="1">
      <alignment shrinkToFit="0" vertical="center" wrapText="1"/>
    </xf>
    <xf borderId="0" fillId="7" fontId="4" numFmtId="0" xfId="0" applyAlignment="1" applyFont="1">
      <alignment horizontal="center" readingOrder="0" shrinkToFit="0" vertical="center" wrapText="1"/>
    </xf>
    <xf borderId="0" fillId="7" fontId="13" numFmtId="0" xfId="0" applyAlignment="1" applyFont="1">
      <alignment horizontal="center" readingOrder="0" shrinkToFit="0" vertical="center" wrapText="1"/>
    </xf>
    <xf borderId="0" fillId="7" fontId="14" numFmtId="0" xfId="0" applyAlignment="1" applyFont="1">
      <alignment horizontal="center" readingOrder="0" shrinkToFit="0" vertical="center" wrapText="1"/>
    </xf>
    <xf borderId="0" fillId="7" fontId="1" numFmtId="0" xfId="0" applyAlignment="1" applyFont="1">
      <alignment horizontal="center" readingOrder="0" shrinkToFit="0" vertical="center" wrapText="1"/>
    </xf>
    <xf borderId="0" fillId="7" fontId="4" numFmtId="0" xfId="0" applyAlignment="1" applyFont="1">
      <alignment shrinkToFit="0" vertical="center" wrapText="1"/>
    </xf>
    <xf borderId="0" fillId="7" fontId="3" numFmtId="0" xfId="0" applyAlignment="1" applyFont="1">
      <alignment readingOrder="0" shrinkToFit="0" vertical="center" wrapText="1"/>
    </xf>
    <xf borderId="0" fillId="7" fontId="4" numFmtId="0" xfId="0" applyAlignment="1" applyFont="1">
      <alignment vertical="center"/>
    </xf>
    <xf borderId="0" fillId="11" fontId="4" numFmtId="0" xfId="0" applyAlignment="1" applyFont="1">
      <alignment readingOrder="0" shrinkToFit="0" vertical="center" wrapText="1"/>
    </xf>
    <xf borderId="0" fillId="11" fontId="4" numFmtId="0" xfId="0" applyAlignment="1" applyFont="1">
      <alignment horizontal="center" readingOrder="0" vertical="center"/>
    </xf>
    <xf borderId="0" fillId="11" fontId="17" numFmtId="0" xfId="0" applyAlignment="1" applyFont="1">
      <alignment horizontal="center" readingOrder="0" shrinkToFit="0" vertical="center" wrapText="1"/>
    </xf>
    <xf borderId="0" fillId="11" fontId="4" numFmtId="166" xfId="0" applyAlignment="1" applyFont="1" applyNumberFormat="1">
      <alignment horizontal="center" readingOrder="0" shrinkToFit="0" vertical="center" wrapText="1"/>
    </xf>
    <xf borderId="0" fillId="11" fontId="4" numFmtId="0" xfId="0" applyAlignment="1" applyFont="1">
      <alignment horizontal="center" readingOrder="0" shrinkToFit="0" vertical="center" wrapText="1"/>
    </xf>
    <xf borderId="0" fillId="11" fontId="13"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xf borderId="0" fillId="11" fontId="4" numFmtId="0" xfId="0" applyAlignment="1" applyFont="1">
      <alignment readingOrder="0" shrinkToFit="0" vertical="center" wrapText="1"/>
    </xf>
    <xf borderId="0" fillId="11" fontId="4" numFmtId="0" xfId="0" applyAlignment="1" applyFont="1">
      <alignment shrinkToFit="0" vertical="center" wrapText="1"/>
    </xf>
    <xf borderId="0" fillId="11" fontId="4" numFmtId="0" xfId="0" applyAlignment="1" applyFont="1">
      <alignment vertical="center"/>
    </xf>
    <xf borderId="0" fillId="7" fontId="4" numFmtId="0" xfId="0" applyAlignment="1" applyFont="1">
      <alignment horizontal="left" readingOrder="0" shrinkToFit="0" vertical="center" wrapText="1"/>
    </xf>
    <xf borderId="0" fillId="11" fontId="4" numFmtId="0" xfId="0" applyAlignment="1" applyFont="1">
      <alignment horizontal="left" readingOrder="0" shrinkToFit="0" vertical="center" wrapText="1"/>
    </xf>
    <xf borderId="0" fillId="11" fontId="1" numFmtId="170" xfId="0" applyAlignment="1" applyFont="1" applyNumberFormat="1">
      <alignment horizontal="center" readingOrder="0" shrinkToFit="0" vertical="center" wrapText="1"/>
    </xf>
    <xf borderId="0" fillId="7" fontId="3" numFmtId="0" xfId="0" applyAlignment="1" applyFont="1">
      <alignment vertical="center"/>
    </xf>
    <xf borderId="0" fillId="7" fontId="1" numFmtId="170" xfId="0" applyAlignment="1" applyFont="1" applyNumberFormat="1">
      <alignment horizontal="center" readingOrder="0" shrinkToFit="0" vertical="center" wrapText="1"/>
    </xf>
    <xf borderId="0" fillId="13" fontId="4" numFmtId="0" xfId="0" applyAlignment="1" applyFont="1">
      <alignment readingOrder="0" shrinkToFit="0" vertical="center" wrapText="1"/>
    </xf>
    <xf borderId="0" fillId="7" fontId="1" numFmtId="166" xfId="0" applyAlignment="1" applyFont="1" applyNumberFormat="1">
      <alignment horizontal="center" readingOrder="0" shrinkToFit="0" vertical="center" wrapText="1"/>
    </xf>
    <xf borderId="0" fillId="11" fontId="1" numFmtId="0" xfId="0" applyAlignment="1" applyFont="1">
      <alignment readingOrder="0" shrinkToFit="0" vertical="center" wrapText="1"/>
    </xf>
    <xf borderId="0" fillId="0" fontId="25" numFmtId="0" xfId="0" applyAlignment="1" applyFont="1">
      <alignment shrinkToFit="0" vertical="center" wrapText="1"/>
    </xf>
    <xf borderId="0" fillId="0" fontId="25" numFmtId="164" xfId="0" applyAlignment="1" applyFont="1" applyNumberFormat="1">
      <alignment shrinkToFit="0" vertical="center" wrapText="1"/>
    </xf>
    <xf borderId="0" fillId="0" fontId="25" numFmtId="0" xfId="0" applyAlignment="1" applyFont="1">
      <alignment horizontal="left" shrinkToFit="0" vertical="center" wrapText="1"/>
    </xf>
    <xf borderId="0" fillId="11" fontId="3" numFmtId="0" xfId="0" applyAlignment="1" applyFont="1">
      <alignment vertical="center"/>
    </xf>
    <xf borderId="0" fillId="7" fontId="3" numFmtId="0" xfId="0" applyAlignment="1" applyFont="1">
      <alignment readingOrder="0" vertical="center"/>
    </xf>
    <xf borderId="0" fillId="7" fontId="45" numFmtId="0" xfId="0" applyAlignment="1" applyFont="1">
      <alignment horizontal="center" readingOrder="0" shrinkToFit="0" vertical="center" wrapText="1"/>
    </xf>
    <xf borderId="0" fillId="11" fontId="3" numFmtId="0" xfId="0" applyAlignment="1" applyFont="1">
      <alignment readingOrder="0" vertical="center"/>
    </xf>
    <xf borderId="0" fillId="7" fontId="3" numFmtId="0" xfId="0" applyAlignment="1" applyFont="1">
      <alignment vertical="center"/>
    </xf>
    <xf borderId="0" fillId="11" fontId="4" numFmtId="0" xfId="0" applyAlignment="1" applyFont="1">
      <alignment vertical="center"/>
    </xf>
    <xf borderId="0" fillId="7" fontId="4" numFmtId="0" xfId="0" applyAlignment="1" applyFont="1">
      <alignment vertical="center"/>
    </xf>
    <xf borderId="0" fillId="7" fontId="4" numFmtId="165" xfId="0" applyAlignment="1" applyFont="1" applyNumberFormat="1">
      <alignment horizontal="center" readingOrder="0" shrinkToFit="0" vertical="center" wrapText="1"/>
    </xf>
    <xf borderId="0" fillId="11" fontId="3" numFmtId="0" xfId="0" applyAlignment="1" applyFont="1">
      <alignment vertical="center"/>
    </xf>
    <xf borderId="0" fillId="11" fontId="4" numFmtId="165" xfId="0" applyAlignment="1" applyFont="1" applyNumberFormat="1">
      <alignment horizontal="center" readingOrder="0" shrinkToFit="0" vertical="center" wrapText="1"/>
    </xf>
    <xf borderId="0" fillId="0" fontId="46" numFmtId="0" xfId="0" applyFont="1"/>
    <xf borderId="0" fillId="7" fontId="25" numFmtId="0" xfId="0" applyAlignment="1" applyFont="1">
      <alignment readingOrder="0"/>
    </xf>
    <xf borderId="0" fillId="7" fontId="25" numFmtId="166" xfId="0" applyAlignment="1" applyFont="1" applyNumberFormat="1">
      <alignment readingOrder="0"/>
    </xf>
    <xf borderId="0" fillId="7" fontId="4" numFmtId="49" xfId="0" applyAlignment="1" applyFont="1" applyNumberFormat="1">
      <alignment horizontal="center" readingOrder="0" vertical="center"/>
    </xf>
    <xf borderId="0" fillId="7" fontId="17" numFmtId="0" xfId="0" applyAlignment="1" applyFont="1">
      <alignment horizontal="center" readingOrder="0" shrinkToFit="0" vertical="center" wrapText="1"/>
    </xf>
    <xf borderId="0" fillId="7" fontId="4" numFmtId="164" xfId="0" applyAlignment="1" applyFont="1" applyNumberFormat="1">
      <alignment readingOrder="0" shrinkToFit="0" vertical="center" wrapText="1"/>
    </xf>
    <xf borderId="0" fillId="7" fontId="4" numFmtId="164" xfId="0" applyAlignment="1" applyFont="1" applyNumberFormat="1">
      <alignment horizontal="center" readingOrder="0" shrinkToFit="0" vertical="center" wrapText="1"/>
    </xf>
    <xf borderId="0" fillId="7" fontId="4" numFmtId="0" xfId="0" applyAlignment="1" applyFont="1">
      <alignment horizontal="center" readingOrder="0" shrinkToFit="0" vertical="center" wrapText="1"/>
    </xf>
    <xf borderId="0" fillId="7" fontId="13" numFmtId="0" xfId="0" applyAlignment="1" applyFont="1">
      <alignment horizontal="center" readingOrder="0" shrinkToFit="0" vertical="center" wrapText="1"/>
    </xf>
    <xf borderId="0" fillId="7" fontId="14" numFmtId="0" xfId="0" applyAlignment="1" applyFont="1">
      <alignment horizontal="center" readingOrder="0" shrinkToFit="0" vertical="center" wrapText="1"/>
    </xf>
    <xf borderId="0" fillId="11" fontId="4" numFmtId="49" xfId="0" applyAlignment="1" applyFont="1" applyNumberFormat="1">
      <alignment horizontal="center" readingOrder="0" vertical="center"/>
    </xf>
    <xf borderId="0" fillId="11" fontId="17" numFmtId="0" xfId="0" applyAlignment="1" applyFont="1">
      <alignment horizontal="center" readingOrder="0" shrinkToFit="0" vertical="center" wrapText="1"/>
    </xf>
    <xf borderId="0" fillId="11" fontId="4" numFmtId="164" xfId="0" applyAlignment="1" applyFont="1" applyNumberFormat="1">
      <alignment readingOrder="0" shrinkToFit="0" vertical="center" wrapText="1"/>
    </xf>
    <xf borderId="0" fillId="11" fontId="4" numFmtId="164" xfId="0" applyAlignment="1" applyFont="1" applyNumberFormat="1">
      <alignment horizontal="center" readingOrder="0" shrinkToFit="0" vertical="center" wrapText="1"/>
    </xf>
    <xf borderId="0" fillId="11" fontId="4" numFmtId="0" xfId="0" applyAlignment="1" applyFont="1">
      <alignment horizontal="center" readingOrder="0" shrinkToFit="0" vertical="center" wrapText="1"/>
    </xf>
    <xf borderId="0" fillId="11" fontId="13"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pivotCacheDefinition" Target="pivotCache/pivotCacheDefinition2.xml"/><Relationship Id="rId21" Type="http://schemas.openxmlformats.org/officeDocument/2006/relationships/pivotCacheDefinition" Target="pivotCache/pivotCacheDefinition1.xml"/><Relationship Id="rId24" Type="http://schemas.openxmlformats.org/officeDocument/2006/relationships/pivotCacheDefinition" Target="pivotCache/pivotCacheDefinition4.xml"/><Relationship Id="rId23" Type="http://schemas.openxmlformats.org/officeDocument/2006/relationships/pivotCacheDefinition" Target="pivotCache/pivotCacheDefinition3.xml"/><Relationship Id="rId25" Type="http://schemas.openxmlformats.org/officeDocument/2006/relationships/pivotCacheDefinition" Target="pivotCache/pivotCacheDefinition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ung Phung Le" id="{12f7005d-9e21-494e-8022-b911dd7bd0ae}"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0" sheet="tách kênh"/>
  </cacheSource>
  <cacheFields>
    <cacheField name="ORG ID" numFmtId="0">
      <sharedItems containsBlank="1">
        <s v="29"/>
        <s v="75"/>
        <s v="119"/>
        <s v="878"/>
        <s v="188"/>
        <s v="209"/>
        <s v="220"/>
        <s v="226"/>
        <s v="225"/>
        <s v="239"/>
        <s v="247"/>
        <s v="264"/>
        <s v="248"/>
        <s v="300"/>
        <s v="301"/>
        <s v="306"/>
        <s v="312"/>
        <s v="314"/>
        <s v="321"/>
        <s v="None 1"/>
        <s v="324"/>
        <s v="327"/>
        <s v="None 3"/>
        <s v="331"/>
        <s v="332"/>
        <s v="344"/>
        <s v="346"/>
        <s v="347"/>
        <s v="350"/>
        <s v="351"/>
        <s v="352"/>
        <s v="353"/>
        <s v="354"/>
        <s v="355"/>
        <s v="356"/>
        <s v="359"/>
        <s v="358"/>
        <s v="357"/>
        <s v="360"/>
        <s v="362"/>
        <s v="361"/>
        <s v="363"/>
        <s v="364"/>
        <s v="366"/>
        <s v="367"/>
        <s v="368"/>
        <s v="369"/>
        <s v="370"/>
        <s v="372"/>
        <s v="373"/>
        <s v="375"/>
        <s v="374"/>
        <s v="376"/>
        <s v="377"/>
        <s v="378"/>
        <s v="379"/>
        <s v="380"/>
        <s v="383"/>
        <s v="384"/>
        <s v="386"/>
        <s v="387"/>
        <s v="388"/>
        <s v="385"/>
        <s v="390"/>
        <s v="391"/>
        <s v="392"/>
        <s v="393"/>
        <s v="394"/>
        <s v="395"/>
        <s v="396"/>
        <s v="398"/>
        <s v="371"/>
        <s v="399"/>
        <s v="400"/>
        <s v="401"/>
        <s v="403"/>
        <s v="404"/>
        <s v="405"/>
        <s v="407"/>
        <s v="408"/>
        <s v="410"/>
        <s v="409"/>
        <s v="412"/>
        <s v="413"/>
        <s v="416"/>
        <s v="417"/>
        <s v="418"/>
        <s v="420"/>
        <s v="421"/>
        <s v="422"/>
        <s v="423"/>
        <s v="424"/>
        <s v="425"/>
        <s v="428"/>
        <s v="426"/>
        <s v="429"/>
        <s v="427"/>
        <s v="431"/>
        <s v="432"/>
        <s v="433"/>
        <s v="437"/>
        <s v="438"/>
        <s v="439"/>
        <s v="440"/>
        <s v="307"/>
        <s v="441"/>
        <s v="442"/>
        <s v="443"/>
        <s v="446"/>
        <s v="445"/>
        <s v="447"/>
        <s v="448"/>
        <s v="449"/>
        <s v="478"/>
        <s v="450"/>
        <s v="451"/>
        <s v="452"/>
        <s v="436"/>
        <s v="453"/>
        <s v="454"/>
        <s v="455"/>
        <s v="456"/>
        <s v="457"/>
        <s v="458"/>
        <s v="460"/>
        <s v="461"/>
        <s v="462"/>
        <s v="464"/>
        <s v="463"/>
        <s v="465"/>
        <s v="466"/>
        <s v="468"/>
        <s v="467"/>
        <s v="365"/>
        <s v="470"/>
        <s v="471"/>
        <s v="477"/>
        <s v="472"/>
        <s v="473"/>
        <s v="474"/>
        <s v="476"/>
        <s v="475"/>
        <s v="479"/>
        <s v="482"/>
        <s v="480"/>
        <s v="481"/>
        <s v="483"/>
        <s v="484"/>
        <s v="486"/>
        <s v="485"/>
        <s v="487"/>
        <s v="488"/>
        <s v="489"/>
        <s v="490"/>
        <s v="491"/>
        <s v="492"/>
        <s v="494"/>
        <s v="493"/>
        <s v="496"/>
        <s v="495"/>
        <s v="497"/>
        <s v="499"/>
        <s v="500"/>
        <s v="501"/>
        <s v="504"/>
        <s v="506"/>
        <s v="505"/>
        <s v="507"/>
        <s v="None 5"/>
        <s v="508"/>
        <s v="509"/>
        <s v="510"/>
        <s v="511"/>
        <s v="512"/>
        <s v="515"/>
        <s v="245"/>
        <s v="516"/>
        <s v="514"/>
        <s v="517"/>
        <s v="518"/>
        <s v="519"/>
        <s v="520"/>
        <s v="540"/>
        <s v="521"/>
        <s v="522"/>
        <s v="523"/>
        <s v="524"/>
        <s v="525"/>
        <s v="526"/>
        <s v="531"/>
        <s v="527"/>
        <s v="528"/>
        <s v="529"/>
        <s v="530"/>
        <s v="533"/>
        <s v="532"/>
        <s v="534"/>
        <s v="535"/>
        <s v="536"/>
        <s v="537"/>
        <s v="538"/>
        <s v="539"/>
        <s v="216"/>
        <s v="541"/>
        <s v="542"/>
        <s v="544"/>
        <s v="545"/>
        <s v="547"/>
        <s v="None 2"/>
        <s v="546"/>
        <s v="548"/>
        <s v="549"/>
        <s v="550"/>
        <s v="554"/>
        <s v="551"/>
        <s v="552"/>
        <s v="553"/>
        <s v="555"/>
        <s v="503"/>
        <s v="557"/>
        <s v="558"/>
        <s v="556"/>
        <s v="559"/>
        <s v="560"/>
        <s v="561"/>
        <s v="564"/>
        <s v="563"/>
        <s v="562"/>
        <s v="565"/>
        <s v="566"/>
        <s v="567"/>
        <s v="568"/>
        <s v="569"/>
        <s v="574"/>
        <s v="572"/>
        <s v="570"/>
        <s v="571"/>
        <s v="573"/>
        <s v="575"/>
        <s v="576"/>
        <s v="577"/>
        <s v="578"/>
        <s v="682"/>
        <s v="579"/>
        <s v="580"/>
        <s v="581"/>
        <s v="582"/>
        <s v="583"/>
        <s v="584"/>
        <s v="585"/>
        <s v="586"/>
        <s v="589"/>
        <s v="587"/>
        <s v="590"/>
        <s v="588"/>
        <s v="591"/>
        <s v="593"/>
        <s v="592"/>
        <s v="594"/>
        <s v="595"/>
        <s v="596"/>
        <s v="598"/>
        <s v="600"/>
        <s v="597"/>
        <s v="599"/>
        <s v="601"/>
        <s v="602"/>
        <s v="603"/>
        <s v="604"/>
        <s v="605"/>
        <s v="606"/>
        <s v="609"/>
        <s v="607"/>
        <s v="611"/>
        <s v="612"/>
        <s v="610"/>
        <s v="613"/>
        <s v="616"/>
        <s v="615"/>
        <s v="617"/>
        <s v="608"/>
        <s v="618"/>
        <s v="619"/>
        <s v="621"/>
        <s v="622"/>
        <s v="620"/>
        <s v="623"/>
        <s v="624"/>
        <s v="625"/>
        <s v="626"/>
        <s v="627"/>
        <s v="628"/>
        <s v="349"/>
        <s v="629"/>
        <s v="631"/>
        <s v="630"/>
        <s v="633"/>
        <s v="632"/>
        <s v="634"/>
        <s v="635"/>
        <s v="636"/>
        <s v="637"/>
        <s v="639"/>
        <s v="640"/>
        <s v="638"/>
        <s v="641"/>
        <s v="642"/>
        <s v="402"/>
        <s v="643"/>
        <s v="644"/>
        <s v="645"/>
        <s v="647"/>
        <s v="651"/>
        <s v="646"/>
        <s v="648"/>
        <s v="649"/>
        <s v="650"/>
        <s v="652"/>
        <s v="654"/>
        <s v="655"/>
        <s v="656"/>
        <s v="674"/>
        <s v="657"/>
        <s v="659"/>
        <s v="658"/>
        <s v="660"/>
        <s v="661"/>
        <s v="662"/>
        <s v="663"/>
        <s v="665"/>
        <s v="664"/>
        <s v="666"/>
        <s v="667"/>
        <s v="668"/>
        <s v="669"/>
        <s v="670"/>
        <s v="411"/>
        <s v="671"/>
        <s v="672"/>
        <s v="673"/>
        <s v="675"/>
        <s v="676"/>
        <s v="677"/>
        <s v="679"/>
        <s v="680"/>
        <s v="414"/>
        <s v="683"/>
        <s v="684"/>
        <s v="685"/>
        <s v="686"/>
        <s v="338"/>
        <s v="688"/>
        <s v="687"/>
        <s v="389"/>
        <s v="689"/>
        <s v="690"/>
        <s v="691"/>
        <s v="693"/>
        <s v="692"/>
        <s v="694"/>
        <s v="695"/>
        <s v="698"/>
        <s v="697"/>
        <s v="696"/>
        <s v="699"/>
        <s v="701"/>
        <s v="702"/>
        <s v="722"/>
        <s v="705"/>
        <s v="704"/>
        <s v="706"/>
        <s v="700"/>
        <s v="707"/>
        <s v="709"/>
        <s v="708"/>
        <s v="710"/>
        <s v="712"/>
        <s v="711"/>
        <s v="713"/>
        <s v="715"/>
        <s v="714"/>
        <s v="717"/>
        <s v="718"/>
        <s v="719"/>
        <s v="721"/>
        <s v="723"/>
        <s v="726"/>
        <s v="727"/>
        <s v="728"/>
        <s v="730"/>
        <s v="729"/>
        <s v="725"/>
        <s v="614"/>
        <s v="731"/>
        <s v="720"/>
        <s v="732"/>
        <s v="733"/>
        <s v="734"/>
        <s v="735"/>
        <s v="736"/>
        <s v="737"/>
        <s v="738"/>
        <s v="739"/>
        <s v="740"/>
        <s v="742"/>
        <s v="716"/>
        <s v="744"/>
        <s v="745"/>
        <s v="746"/>
        <s v="498"/>
        <s v="747"/>
        <s v="748"/>
        <s v="750"/>
        <s v="751"/>
        <s v="754"/>
        <s v="753"/>
        <s v="755"/>
        <s v="756"/>
        <s v="758"/>
        <s v="759"/>
        <s v="762"/>
        <s v="749"/>
        <s v="None 6"/>
        <s v="760"/>
        <s v="763"/>
        <s v="764"/>
        <s v="765"/>
        <s v="766"/>
        <s v="767"/>
        <s v="769"/>
        <s v="770"/>
        <s v="771"/>
        <s v="772"/>
        <s v="773"/>
        <s v="774"/>
        <s v="775"/>
        <s v="776"/>
        <s v="777"/>
        <s v="778"/>
        <s v="781"/>
        <s v="678"/>
        <s v="782"/>
        <s v="783"/>
        <s v="784"/>
        <s v="785"/>
        <s v="786"/>
        <s v="787"/>
        <s v="789"/>
        <s v="790"/>
        <s v="None 4"/>
        <s v="793"/>
        <s v="792"/>
        <s v="794"/>
        <s v="796"/>
        <s v="795"/>
        <s v="797"/>
        <s v="798"/>
        <s v="757"/>
        <s v="799"/>
        <s v="800"/>
        <s v="802"/>
        <s v="803"/>
        <s v="804"/>
        <s v="805"/>
        <s v="806"/>
        <s v="808"/>
        <s v="807"/>
        <s v="788"/>
        <s v="809"/>
        <s v="810"/>
        <s v="811"/>
        <s v="812"/>
        <s v="813"/>
        <s v="814"/>
        <s v="815"/>
        <s v="820"/>
        <s v="821"/>
        <s v="816"/>
        <s v="817"/>
        <s v="819"/>
        <s v="818"/>
        <s v="822"/>
        <s v="823"/>
        <s v="761"/>
        <s v="824"/>
        <s v="825"/>
        <s v="826"/>
        <s v="827"/>
        <s v="828"/>
        <s v="829"/>
        <s v="830"/>
        <s v="831"/>
        <s v="832"/>
        <s v="837"/>
        <s v="833"/>
        <s v="834"/>
        <s v="836"/>
        <s v="838"/>
        <s v="884"/>
        <s v="839"/>
        <s v="841"/>
        <s v="840"/>
        <s v="842"/>
        <s v="843"/>
        <s v="844"/>
        <s v="845"/>
        <s v="846"/>
        <s v="847"/>
        <s v="848"/>
        <s v="850"/>
        <s v="849"/>
        <s v="851"/>
        <s v="853"/>
        <s v="852"/>
        <s v="854"/>
        <s v="859"/>
        <s v="860"/>
        <s v="861"/>
        <s v="863"/>
        <s v="865"/>
        <s v="864"/>
        <s v="867"/>
        <s v="868"/>
        <s v="869"/>
        <s v="870"/>
        <s v="871"/>
        <s v="872"/>
        <s v="873"/>
        <s v="874"/>
        <s v="875"/>
        <s v="876"/>
        <s v="877"/>
        <s v="879"/>
        <s v="880"/>
        <s v="881"/>
        <s v="882"/>
        <s v="883"/>
        <s v="893"/>
        <s v="886"/>
        <s v="888"/>
        <s v="889"/>
        <s v="890"/>
        <s v="891"/>
        <s v="892"/>
        <s v="895"/>
        <s v="894"/>
        <s v="896"/>
        <s v="897"/>
        <s v="898"/>
        <s v="899"/>
        <s v="900"/>
        <s v="902"/>
        <s v="901"/>
        <s v="903"/>
        <s v="904"/>
        <s v="905"/>
        <s v="907"/>
        <s v="914"/>
        <s v="906"/>
        <s v="908"/>
        <s v="909"/>
        <s v="911"/>
        <s v="912"/>
        <s v="913"/>
        <s v="915"/>
        <s v="917"/>
        <s v="918"/>
        <s v="919"/>
        <s v="406"/>
        <s v="920"/>
        <s v="921"/>
        <s v="922"/>
        <s v="923"/>
        <s v="916"/>
        <s v="924"/>
        <s v="925"/>
        <s v="926"/>
        <s v="927"/>
        <s v="928"/>
        <s v="929"/>
        <s v="930"/>
        <s v="931"/>
        <s v="932"/>
        <s v="933"/>
        <s v="934"/>
        <s v="935"/>
        <s v="936"/>
        <s v="937"/>
        <s v="938"/>
        <s v="939"/>
        <s v="940"/>
        <s v="941"/>
        <s v="942"/>
        <s v="943"/>
        <s v="944"/>
        <s v="945"/>
        <s v="946"/>
        <s v="947"/>
        <s v="948"/>
        <s v="949"/>
        <s v="950"/>
        <s v="951"/>
        <s v="952"/>
        <s v="953"/>
        <s v="954"/>
        <s v="955"/>
        <s v="956"/>
        <s v="957"/>
        <s v="958"/>
        <s v="960"/>
        <s v="961"/>
        <s v="962"/>
        <s v="963"/>
        <s v="964"/>
        <s v="965"/>
        <s v="966"/>
        <s v="970"/>
        <s v="969"/>
        <s v="971"/>
        <s v="972"/>
        <s v="973"/>
        <s v="974"/>
        <s v="975"/>
        <s v="976"/>
        <s v="977"/>
        <s v="978"/>
        <s v="979"/>
        <s v="959"/>
        <s v="968"/>
        <s v="980"/>
        <s v="981"/>
        <s v="982"/>
        <s v="983"/>
        <s v="984"/>
        <s v="985"/>
        <s v="986"/>
        <s v="987"/>
        <s v="989"/>
        <s v="988"/>
        <s v="990"/>
        <s v="991"/>
        <s v="992"/>
        <s v="993"/>
        <s v="994"/>
        <s v="995"/>
        <s v="996"/>
        <s v="997"/>
        <s v="998"/>
        <s v="999"/>
        <s v="1001"/>
        <s v="1000"/>
        <s v="1002"/>
        <s v="1003"/>
        <s v="1004"/>
        <s v="1005"/>
        <s v="1006"/>
        <s v="1007"/>
        <s v="1008"/>
        <s v="1009"/>
        <s v="1010"/>
        <s v="1011"/>
        <s v="1012"/>
        <s v="1013"/>
        <s v="1014"/>
        <s v="1015"/>
        <s v="1016"/>
        <s v="1017"/>
        <s v="1018"/>
        <s v="1019"/>
        <s v="1020"/>
        <s v="1021"/>
        <s v="1022"/>
        <s v="1023"/>
        <s v="1024"/>
        <s v="1025"/>
        <s v="1026"/>
        <s v="1027"/>
        <s v="1028"/>
        <s v="1035"/>
        <s v="1029"/>
        <s v="1030"/>
        <s v="1031"/>
        <s v="1032"/>
        <s v="1033"/>
        <s v="1034"/>
        <s v="1036"/>
        <s v="1037"/>
        <s v="1039"/>
        <s v="1040"/>
        <s v="1038"/>
        <s v="1041"/>
        <s v="1043"/>
        <s v="1044"/>
        <m/>
      </sharedItems>
    </cacheField>
    <cacheField name="Khu vực" numFmtId="0">
      <sharedItems containsBlank="1">
        <s v="Hà Nội"/>
        <s v="Sài Gòn"/>
        <s v="Đà Nẵng"/>
        <m/>
      </sharedItems>
    </cacheField>
    <cacheField name="Status" numFmtId="0">
      <sharedItems containsBlank="1">
        <s v="Active"/>
        <s v="Locked"/>
        <m/>
      </sharedItems>
    </cacheField>
    <cacheField name="Ngành nghề" numFmtId="0">
      <sharedItems containsBlank="1">
        <s v="Vận tải &amp; logistics"/>
        <s v="Sale chưa cung cấp"/>
        <s v="Giáo dục &amp; Đào tạo"/>
        <s v="Thực phẩm &amp; Đồ uống"/>
        <s v="Tài chính &amp; Ngân hàng"/>
        <s v="Trang sức"/>
        <s v="Viễn thông"/>
        <s v="Thực phẩm và đồ uống"/>
        <s v="Truyền thông &amp; Giải trí"/>
        <s v="Công nghệ &amp; Phần mềm"/>
        <s v="Nhà hàng &amp; Quán"/>
        <s v="Mỹ phẩm &amp; Làm đẹp"/>
        <s v="Mua sắm &amp; Bán lẻ"/>
        <s v="Dịch vụ khác"/>
        <s v="Bảo hiểm"/>
        <s v="Y tế &amp; Dược phẩm"/>
        <s v="Sản xuất &amp; Chế tạo"/>
        <s v="Hành chính công"/>
        <s v="Bất động sản"/>
        <s v="Du lịch &amp; Lưu trú"/>
        <s v="Ô tô &amp; Xe máy"/>
        <s v="Thời trang &amp; May mặc"/>
        <s v="Thiết kế &amp; Thi công"/>
        <m/>
      </sharedItems>
    </cacheField>
    <cacheField name="CS" numFmtId="0">
      <sharedItems containsBlank="1">
        <s v="TùngLD"/>
        <s v="TúPHN"/>
        <s v="HoaNTM"/>
        <s v="PhươngDTB"/>
        <s v="HangNT"/>
        <s v="AnhNM"/>
        <s v="Không phân công"/>
        <s v="(Không recheck)"/>
        <s v="(Chưa recheck)"/>
        <s v="MaiTP"/>
        <s v="NamDT"/>
        <s v="TuPHN"/>
        <s v="TrangHTT"/>
        <s v="AnhNP"/>
        <s v="TuVTC"/>
        <s v="DungDT"/>
        <s v="NganNT1"/>
        <s v="TrâmNNB"/>
        <m/>
      </sharedItems>
    </cacheField>
    <cacheField name="Phân khúc" numFmtId="0">
      <sharedItems containsBlank="1">
        <s v="Gold"/>
        <s v="Diamond"/>
        <s v="Sale chưa cung cấp"/>
        <s v="Silver"/>
        <s v="Bronze"/>
        <m/>
      </sharedItems>
    </cacheField>
    <cacheField name="Loại gói cước" numFmtId="0">
      <sharedItems containsBlank="1">
        <s v="Enterprise"/>
        <s v="Standard"/>
        <s v="Starter"/>
        <s v="API"/>
        <s v="GAPONE HUBSPOT"/>
        <s v="None"/>
        <s v="MSG"/>
        <s v="Premium"/>
        <s v="SIMILAR"/>
        <s v="(Không recheck)"/>
        <s v="(Chưa recheck)"/>
        <m/>
      </sharedItems>
    </cacheField>
    <cacheField name="Hình thức thanh toán" numFmtId="0">
      <sharedItems containsBlank="1">
        <s v="Trả sau"/>
        <s v="Trial"/>
        <s v="(Chưa recheck)"/>
        <s v="Trả trước"/>
        <m/>
      </sharedItems>
    </cacheField>
    <cacheField name="Hình thức sử dụng" numFmtId="0">
      <sharedItems containsBlank="1">
        <s v="API"/>
        <s v="API &amp; Portal"/>
        <s v="Portal"/>
        <s v="(Chưa recheck)"/>
        <s v="(Không recheck)"/>
        <m/>
      </sharedItems>
    </cacheField>
    <cacheField name="Kênh gửi tin chi tiết" numFmtId="0">
      <sharedItems containsBlank="1">
        <s v="SMS CSKH"/>
        <s v="Zalo ZNS"/>
        <s v="(Chưa recheck)"/>
        <s v="(Không recheck)"/>
        <s v="Email"/>
        <s v="SMS QC"/>
        <s v="Tất cả"/>
        <s v="GapOne"/>
        <s v="Zalo mini App"/>
        <s v="Zalo UID"/>
        <s v="Viber"/>
        <s v="Whatsapp"/>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632" sheet="tungld_tách kênh"/>
  </cacheSource>
  <cacheFields>
    <cacheField name="ORG ID" numFmtId="0">
      <sharedItems>
        <s v="29"/>
        <s v="75"/>
        <s v="119"/>
        <s v="878"/>
        <s v="188"/>
        <s v="209"/>
        <s v="220"/>
        <s v="226"/>
        <s v="225"/>
        <s v="239"/>
        <s v="247"/>
        <s v="264"/>
        <s v="248"/>
        <s v="300"/>
        <s v="301"/>
        <s v="306"/>
        <s v="312"/>
        <s v="314"/>
        <s v="321"/>
        <s v="None 1"/>
        <s v="324"/>
        <s v="327"/>
        <s v="None 3"/>
        <s v="331"/>
        <s v="332"/>
        <s v="344"/>
        <s v="346"/>
        <s v="347"/>
        <s v="350"/>
        <s v="351"/>
        <s v="352"/>
        <s v="353"/>
        <s v="354"/>
        <s v="355"/>
        <s v="356"/>
        <s v="359"/>
        <s v="358"/>
        <s v="357"/>
        <s v="360"/>
        <s v="362"/>
        <s v="361"/>
        <s v="363"/>
        <s v="364"/>
        <s v="366"/>
        <s v="367"/>
        <s v="368"/>
        <s v="369"/>
        <s v="370"/>
        <s v="372"/>
        <s v="373"/>
        <s v="375"/>
        <s v="374"/>
        <s v="376"/>
        <s v="377"/>
        <s v="378"/>
        <s v="379"/>
        <s v="380"/>
        <s v="383"/>
        <s v="384"/>
        <s v="386"/>
        <s v="387"/>
        <s v="388"/>
        <s v="385"/>
        <s v="390"/>
        <s v="391"/>
        <s v="392"/>
        <s v="393"/>
        <s v="394"/>
        <s v="395"/>
        <s v="396"/>
        <s v="398"/>
        <s v="371"/>
        <s v="399"/>
        <s v="400"/>
        <s v="401"/>
        <s v="403"/>
        <s v="404"/>
        <s v="405"/>
        <s v="407"/>
        <s v="408"/>
        <s v="410"/>
        <s v="409"/>
        <s v="412"/>
        <s v="413"/>
        <s v="416"/>
        <s v="417"/>
        <s v="418"/>
        <s v="420"/>
        <s v="421"/>
        <s v="422"/>
        <s v="423"/>
        <s v="424"/>
        <s v="425"/>
        <s v="428"/>
        <s v="426"/>
        <s v="429"/>
        <s v="427"/>
        <s v="431"/>
        <s v="432"/>
        <s v="433"/>
        <s v="437"/>
        <s v="438"/>
        <s v="439"/>
        <s v="440"/>
        <s v="307"/>
        <s v="441"/>
        <s v="442"/>
        <s v="443"/>
        <s v="446"/>
        <s v="445"/>
        <s v="447"/>
        <s v="448"/>
        <s v="449"/>
        <s v="478"/>
        <s v="450"/>
        <s v="451"/>
        <s v="452"/>
        <s v="436"/>
        <s v="453"/>
        <s v="454"/>
        <s v="455"/>
        <s v="456"/>
        <s v="457"/>
        <s v="458"/>
        <s v="460"/>
        <s v="461"/>
        <s v="462"/>
        <s v="464"/>
        <s v="463"/>
        <s v="465"/>
        <s v="466"/>
        <s v="468"/>
        <s v="467"/>
        <s v="365"/>
        <s v="470"/>
        <s v="471"/>
        <s v="477"/>
        <s v="472"/>
        <s v="473"/>
        <s v="474"/>
        <s v="476"/>
        <s v="475"/>
        <s v="479"/>
        <s v="482"/>
        <s v="480"/>
        <s v="481"/>
        <s v="483"/>
        <s v="484"/>
        <s v="486"/>
        <s v="485"/>
        <s v="487"/>
        <s v="488"/>
        <s v="489"/>
        <s v="490"/>
        <s v="491"/>
        <s v="492"/>
        <s v="494"/>
        <s v="493"/>
        <s v="496"/>
        <s v="495"/>
        <s v="497"/>
        <s v="499"/>
        <s v="500"/>
        <s v="501"/>
        <s v="504"/>
        <s v="506"/>
        <s v="505"/>
        <s v="507"/>
        <s v="None 5"/>
        <s v="508"/>
        <s v="509"/>
        <s v="510"/>
        <s v="511"/>
        <s v="512"/>
        <s v="515"/>
        <s v="245"/>
        <s v="516"/>
        <s v="514"/>
        <s v="517"/>
        <s v="518"/>
        <s v="519"/>
        <s v="520"/>
        <s v="540"/>
        <s v="521"/>
        <s v="522"/>
        <s v="523"/>
        <s v="524"/>
        <s v="525"/>
        <s v="526"/>
        <s v="531"/>
        <s v="527"/>
        <s v="528"/>
        <s v="529"/>
        <s v="530"/>
        <s v="533"/>
        <s v="532"/>
        <s v="534"/>
        <s v="535"/>
        <s v="536"/>
        <s v="537"/>
        <s v="538"/>
        <s v="539"/>
        <s v="216"/>
        <s v="541"/>
        <s v="542"/>
        <s v="544"/>
        <s v="545"/>
        <s v="547"/>
        <s v="None 2"/>
        <s v="546"/>
        <s v="548"/>
        <s v="549"/>
        <s v="550"/>
        <s v="554"/>
        <s v="551"/>
        <s v="552"/>
        <s v="553"/>
        <s v="555"/>
        <s v="503"/>
        <s v="557"/>
        <s v="556"/>
        <s v="559"/>
        <s v="560"/>
        <s v="561"/>
        <s v="564"/>
        <s v="563"/>
        <s v="562"/>
        <s v="565"/>
        <s v="566"/>
        <s v="567"/>
        <s v="568"/>
        <s v="569"/>
        <s v="574"/>
        <s v="572"/>
        <s v="570"/>
        <s v="571"/>
        <s v="573"/>
        <s v="575"/>
        <s v="576"/>
        <s v="577"/>
        <s v="578"/>
        <s v="682"/>
        <s v="579"/>
        <s v="580"/>
        <s v="581"/>
        <s v="582"/>
        <s v="583"/>
        <s v="584"/>
        <s v="585"/>
        <s v="586"/>
        <s v="589"/>
        <s v="587"/>
        <s v="590"/>
        <s v="588"/>
        <s v="591"/>
        <s v="593"/>
        <s v="592"/>
        <s v="594"/>
        <s v="595"/>
        <s v="596"/>
        <s v="598"/>
        <s v="600"/>
        <s v="597"/>
        <s v="599"/>
        <s v="601"/>
        <s v="602"/>
        <s v="603"/>
        <s v="604"/>
        <s v="605"/>
        <s v="606"/>
        <s v="609"/>
        <s v="607"/>
        <s v="611"/>
        <s v="612"/>
        <s v="610"/>
        <s v="613"/>
        <s v="616"/>
        <s v="615"/>
        <s v="617"/>
        <s v="608"/>
        <s v="618"/>
        <s v="619"/>
        <s v="621"/>
        <s v="622"/>
        <s v="620"/>
        <s v="623"/>
        <s v="624"/>
        <s v="625"/>
        <s v="626"/>
        <s v="627"/>
        <s v="628"/>
        <s v="349"/>
        <s v="629"/>
        <s v="631"/>
        <s v="630"/>
        <s v="633"/>
        <s v="632"/>
        <s v="634"/>
        <s v="635"/>
        <s v="636"/>
        <s v="637"/>
        <s v="639"/>
        <s v="640"/>
        <s v="638"/>
        <s v="641"/>
        <s v="642"/>
        <s v="402"/>
        <s v="643"/>
        <s v="644"/>
        <s v="645"/>
        <s v="647"/>
        <s v="651"/>
        <s v="646"/>
        <s v="648"/>
        <s v="649"/>
        <s v="650"/>
        <s v="652"/>
        <s v="654"/>
        <s v="655"/>
        <s v="656"/>
        <s v="674"/>
        <s v="659"/>
        <s v="658"/>
        <s v="660"/>
        <s v="661"/>
        <s v="662"/>
        <s v="663"/>
        <s v="665"/>
        <s v="664"/>
        <s v="666"/>
        <s v="667"/>
        <s v="668"/>
        <s v="669"/>
        <s v="670"/>
        <s v="411"/>
        <s v="671"/>
        <s v="672"/>
        <s v="673"/>
        <s v="675"/>
        <s v="676"/>
        <s v="677"/>
        <s v="679"/>
        <s v="680"/>
        <s v="414"/>
        <s v="683"/>
        <s v="684"/>
        <s v="685"/>
        <s v="686"/>
        <s v="338"/>
        <s v="688"/>
        <s v="687"/>
        <s v="389"/>
        <s v="689"/>
        <s v="690"/>
        <s v="691"/>
        <s v="693"/>
        <s v="692"/>
        <s v="694"/>
        <s v="695"/>
        <s v="698"/>
        <s v="697"/>
        <s v="696"/>
        <s v="699"/>
        <s v="701"/>
        <s v="702"/>
        <s v="722"/>
        <s v="705"/>
        <s v="704"/>
        <s v="706"/>
        <s v="700"/>
        <s v="707"/>
        <s v="709"/>
        <s v="708"/>
        <s v="710"/>
        <s v="712"/>
        <s v="711"/>
        <s v="713"/>
        <s v="715"/>
        <s v="714"/>
        <s v="717"/>
        <s v="718"/>
        <s v="719"/>
        <s v="721"/>
        <s v="723"/>
        <s v="726"/>
        <s v="727"/>
        <s v="728"/>
        <s v="730"/>
        <s v="729"/>
        <s v="725"/>
        <s v="614"/>
        <s v="731"/>
        <s v="720"/>
        <s v="732"/>
        <s v="733"/>
        <s v="734"/>
        <s v="735"/>
        <s v="736"/>
        <s v="737"/>
        <s v="738"/>
        <s v="739"/>
        <s v="740"/>
        <s v="742"/>
        <s v="716"/>
        <s v="744"/>
        <s v="745"/>
        <s v="746"/>
        <s v="498"/>
        <s v="747"/>
        <s v="748"/>
        <s v="750"/>
        <s v="751"/>
        <s v="754"/>
        <s v="753"/>
        <s v="755"/>
        <s v="756"/>
        <s v="758"/>
        <s v="759"/>
        <s v="762"/>
        <s v="749"/>
        <s v="None 6"/>
        <s v="760"/>
        <s v="763"/>
        <s v="764"/>
        <s v="765"/>
        <s v="766"/>
        <s v="767"/>
        <s v="769"/>
        <s v="770"/>
        <s v="771"/>
        <s v="772"/>
        <s v="773"/>
        <s v="775"/>
        <s v="776"/>
        <s v="777"/>
        <s v="778"/>
        <s v="781"/>
        <s v="678"/>
        <s v="782"/>
        <s v="783"/>
        <s v="784"/>
        <s v="785"/>
        <s v="786"/>
        <s v="787"/>
        <s v="789"/>
        <s v="790"/>
        <s v="None 4"/>
        <s v="793"/>
        <s v="792"/>
        <s v="794"/>
        <s v="796"/>
        <s v="795"/>
        <s v="797"/>
        <s v="798"/>
        <s v="757"/>
        <s v="799"/>
        <s v="800"/>
        <s v="802"/>
        <s v="803"/>
        <s v="804"/>
        <s v="805"/>
        <s v="806"/>
        <s v="808"/>
        <s v="807"/>
        <s v="788"/>
        <s v="809"/>
        <s v="810"/>
        <s v="811"/>
        <s v="812"/>
        <s v="813"/>
        <s v="814"/>
        <s v="815"/>
        <s v="820"/>
        <s v="821"/>
        <s v="816"/>
        <s v="817"/>
        <s v="819"/>
        <s v="818"/>
        <s v="822"/>
        <s v="823"/>
        <s v="761"/>
        <s v="824"/>
        <s v="825"/>
        <s v="826"/>
        <s v="827"/>
        <s v="828"/>
        <s v="829"/>
        <s v="830"/>
        <s v="837"/>
        <s v="833"/>
        <s v="834"/>
        <s v="836"/>
        <s v="838"/>
        <s v="884"/>
        <s v="839"/>
        <s v="841"/>
        <s v="840"/>
        <s v="842"/>
        <s v="843"/>
        <s v="844"/>
        <s v="845"/>
        <s v="846"/>
        <s v="847"/>
        <s v="848"/>
        <s v="850"/>
        <s v="849"/>
        <s v="851"/>
        <s v="853"/>
        <s v="852"/>
        <s v="854"/>
        <s v="859"/>
        <s v="860"/>
        <s v="861"/>
        <s v="863"/>
        <s v="865"/>
        <s v="864"/>
        <s v="867"/>
        <s v="868"/>
        <s v="869"/>
        <s v="870"/>
        <s v="871"/>
        <s v="872"/>
        <s v="873"/>
        <s v="874"/>
        <s v="875"/>
        <s v="876"/>
        <s v="877"/>
        <s v="879"/>
        <s v="880"/>
        <s v="881"/>
        <s v="882"/>
        <s v="883"/>
        <s v="893"/>
        <s v="886"/>
        <s v="888"/>
        <s v="889"/>
        <s v="890"/>
        <s v="891"/>
        <s v="892"/>
        <s v="895"/>
        <s v="894"/>
        <s v="896"/>
        <s v="897"/>
        <s v="898"/>
        <s v="899"/>
        <s v="900"/>
        <s v="902"/>
        <s v="901"/>
        <s v="903"/>
        <s v="904"/>
        <s v="905"/>
        <s v="907"/>
        <s v="914"/>
        <s v="906"/>
        <s v="908"/>
        <s v="909"/>
        <s v="911"/>
        <s v="912"/>
      </sharedItems>
    </cacheField>
    <cacheField name="Khu vực" numFmtId="0">
      <sharedItems>
        <s v="Hà Nội"/>
        <s v="Sài Gòn"/>
        <s v="Đà Nẵng"/>
      </sharedItems>
    </cacheField>
    <cacheField name="Status" numFmtId="0">
      <sharedItems>
        <s v="Active"/>
        <s v="Locked"/>
      </sharedItems>
    </cacheField>
    <cacheField name="Ngành nghề" numFmtId="0">
      <sharedItems>
        <s v="Vận tải &amp; logistics"/>
        <s v="Sale chưa cung cấp"/>
        <s v="Giáo dục &amp; Đào tạo"/>
        <s v="Thực phẩm &amp; Đồ uống"/>
        <s v="Tài chính &amp; Ngân hàng"/>
        <s v="Trang sức"/>
        <s v="Viễn thông"/>
        <s v="Thực phẩm và đồ uống"/>
        <s v="Truyền thông &amp; Giải trí"/>
        <s v="Công nghệ &amp; Phần mềm"/>
        <s v="Nhà hàng &amp; Quán"/>
        <s v="Mỹ phẩm &amp; Làm đẹp"/>
        <s v="Mua sắm &amp; Bán lẻ"/>
        <s v="Bảo hiểm"/>
        <s v="Y tế &amp; Dược phẩm"/>
        <s v="Sản xuất &amp; Chế tạo"/>
        <s v="Hành chính công"/>
        <s v="Bất động sản"/>
        <s v="Du lịch &amp; Lưu trú"/>
        <s v="Ô tô &amp; Xe máy"/>
        <s v="Thời trang &amp; May mặc"/>
        <s v="Dịch vụ khác"/>
        <s v="Thiết kế &amp; Thi công"/>
      </sharedItems>
    </cacheField>
    <cacheField name="CS" numFmtId="0">
      <sharedItems>
        <s v="TùngLD"/>
        <s v="TúPHN"/>
        <s v="HoaNTM"/>
        <s v="PhươngDTB"/>
        <s v="HangNT"/>
        <s v="AnhNM"/>
        <s v="Không phân công"/>
        <s v="(Không recheck)"/>
        <s v="(Chưa recheck)"/>
        <s v="MaiTP"/>
        <s v="NamDT"/>
        <s v="TuPHN"/>
        <s v="TrangHTT"/>
        <s v="AnhNP"/>
        <s v="TuVTC"/>
        <s v="DungDT"/>
        <s v="NganNT1"/>
        <s v="TrâmNNB"/>
      </sharedItems>
    </cacheField>
    <cacheField name="Phân khúc" numFmtId="0">
      <sharedItems>
        <s v="Gold"/>
        <s v="Diamond"/>
        <s v="Sale chưa cung cấp"/>
        <s v="Silver"/>
        <s v="Bronze"/>
      </sharedItems>
    </cacheField>
    <cacheField name="Loại gói cước" numFmtId="0">
      <sharedItems>
        <s v="Enterprise"/>
        <s v="Standard"/>
        <s v="Starter"/>
        <s v="API"/>
        <s v="GAPONE HUBSPOT"/>
        <s v="None"/>
        <s v="MSG"/>
        <s v="Premium"/>
        <s v="SIMILAR"/>
        <s v="(Không recheck)"/>
        <s v="(Chưa recheck)"/>
      </sharedItems>
    </cacheField>
    <cacheField name="Hình thức thanh toán" numFmtId="0">
      <sharedItems>
        <s v="Trả sau"/>
        <s v="Trial"/>
        <s v="(Chưa recheck)"/>
        <s v="Trả trước"/>
      </sharedItems>
    </cacheField>
    <cacheField name="Hình thức sử dụng" numFmtId="0">
      <sharedItems>
        <s v="API"/>
        <s v="API &amp; Portal"/>
        <s v="Portal"/>
        <s v="(Chưa recheck)"/>
        <s v="(Không recheck)"/>
      </sharedItems>
    </cacheField>
    <cacheField name="Kênh gửi tin chi tiết" numFmtId="0">
      <sharedItems>
        <s v="SMS CSKH"/>
        <s v="Zalo ZNS"/>
        <s v="(Chưa recheck)"/>
        <s v="(Không recheck)"/>
        <s v="Email"/>
        <s v="SMS QC"/>
        <s v="Tất cả"/>
        <s v="GapOne"/>
        <s v="Zalo mini App"/>
        <s v="Zalo UID"/>
        <s v="Viber"/>
        <s v="Whatsapp"/>
      </sharedItems>
    </cacheField>
    <cacheField name="SUP" numFmtId="0">
      <sharedItems>
        <s v="LinhNTT1"/>
        <s v="DungPL"/>
        <s v="Không phân công"/>
        <s v="(Chưa recheck)"/>
        <s v="AnhNM"/>
        <s v="LinhNTT1, YếnĐH"/>
        <s v="(Không recheck)"/>
        <s v="YếnĐH"/>
        <s v="DungPL, DungVT"/>
        <s v="DungVT"/>
        <s v="TuVTC"/>
        <s v="ThanhLT"/>
        <s v="Chưa phân công"/>
        <s v="DungVT, LinhNTT1"/>
        <s v="AnhNM, LinhNTT1"/>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694" sheet="namdt_tách dữ liệu input"/>
  </cacheSource>
  <cacheFields>
    <cacheField name="ORG ID" numFmtId="0">
      <sharedItems>
        <s v="29"/>
        <s v="75"/>
        <s v="119"/>
        <s v="878"/>
        <s v="188"/>
        <s v="209"/>
        <s v="220"/>
        <s v="226"/>
        <s v="225"/>
        <s v="239"/>
        <s v="247"/>
        <s v="264"/>
        <s v="248"/>
        <s v="300"/>
        <s v="301"/>
        <s v="306"/>
        <s v="312"/>
        <s v="314"/>
        <s v="321"/>
        <s v="None 1"/>
        <s v="324"/>
        <s v="327"/>
        <s v="None 3"/>
        <s v="331"/>
        <s v="332"/>
        <s v="344"/>
        <s v="346"/>
        <s v="347"/>
        <s v="350"/>
        <s v="351"/>
        <s v="352"/>
        <s v="353"/>
        <s v="354"/>
        <s v="355"/>
        <s v="356"/>
        <s v="359"/>
        <s v="358"/>
        <s v="357"/>
        <s v="360"/>
        <s v="362"/>
        <s v="361"/>
        <s v="363"/>
        <s v="364"/>
        <s v="366"/>
        <s v="367"/>
        <s v="368"/>
        <s v="369"/>
        <s v="370"/>
        <s v="372"/>
        <s v="373"/>
        <s v="375"/>
        <s v="374"/>
        <s v="376"/>
        <s v="377"/>
        <s v="378"/>
        <s v="379"/>
        <s v="380"/>
        <s v="383"/>
        <s v="384"/>
        <s v="386"/>
        <s v="387"/>
        <s v="388"/>
        <s v="385"/>
        <s v="390"/>
        <s v="391"/>
        <s v="392"/>
        <s v="393"/>
        <s v="394"/>
        <s v="395"/>
        <s v="396"/>
        <s v="398"/>
        <s v="371"/>
        <s v="399"/>
        <s v="400"/>
        <s v="401"/>
        <s v="403"/>
        <s v="404"/>
        <s v="405"/>
        <s v="407"/>
        <s v="408"/>
        <s v="410"/>
        <s v="409"/>
        <s v="412"/>
        <s v="413"/>
        <s v="416"/>
        <s v="417"/>
        <s v="418"/>
        <s v="420"/>
        <s v="421"/>
        <s v="422"/>
        <s v="423"/>
        <s v="424"/>
        <s v="425"/>
        <s v="428"/>
        <s v="426"/>
        <s v="429"/>
        <s v="427"/>
        <s v="431"/>
        <s v="432"/>
        <s v="433"/>
        <s v="437"/>
        <s v="438"/>
        <s v="439"/>
        <s v="440"/>
        <s v="307"/>
        <s v="441"/>
        <s v="442"/>
        <s v="443"/>
        <s v="446"/>
        <s v="445"/>
        <s v="447"/>
        <s v="448"/>
        <s v="449"/>
        <s v="478"/>
        <s v="450"/>
        <s v="451"/>
        <s v="452"/>
        <s v="436"/>
        <s v="453"/>
        <s v="454"/>
        <s v="455"/>
        <s v="456"/>
        <s v="457"/>
        <s v="458"/>
        <s v="460"/>
        <s v="461"/>
        <s v="462"/>
        <s v="464"/>
        <s v="463"/>
        <s v="465"/>
        <s v="466"/>
        <s v="468"/>
        <s v="467"/>
        <s v="365"/>
        <s v="470"/>
        <s v="471"/>
        <s v="477"/>
        <s v="472"/>
        <s v="473"/>
        <s v="474"/>
        <s v="476"/>
        <s v="475"/>
        <s v="479"/>
        <s v="482"/>
        <s v="480"/>
        <s v="481"/>
        <s v="483"/>
        <s v="484"/>
        <s v="486"/>
        <s v="485"/>
        <s v="487"/>
        <s v="488"/>
        <s v="489"/>
        <s v="490"/>
        <s v="491"/>
        <s v="492"/>
        <s v="494"/>
        <s v="493"/>
        <s v="496"/>
        <s v="495"/>
        <s v="497"/>
        <s v="499"/>
        <s v="500"/>
        <s v="501"/>
        <s v="504"/>
        <s v="506"/>
        <s v="505"/>
        <s v="507"/>
        <s v="None 5"/>
        <s v="508"/>
        <s v="509"/>
        <s v="510"/>
        <s v="511"/>
        <s v="512"/>
        <s v="515"/>
        <s v="245"/>
        <s v="516"/>
        <s v="514"/>
        <s v="517"/>
        <s v="518"/>
        <s v="519"/>
        <s v="520"/>
        <s v="540"/>
        <s v="521"/>
        <s v="522"/>
        <s v="523"/>
        <s v="524"/>
        <s v="525"/>
        <s v="526"/>
        <s v="531"/>
        <s v="527"/>
        <s v="528"/>
        <s v="529"/>
        <s v="530"/>
        <s v="533"/>
        <s v="532"/>
        <s v="534"/>
        <s v="535"/>
        <s v="536"/>
        <s v="537"/>
        <s v="538"/>
        <s v="539"/>
        <s v="216"/>
        <s v="541"/>
        <s v="542"/>
        <s v="544"/>
        <s v="545"/>
        <s v="547"/>
        <s v="None 2"/>
        <s v="546"/>
        <s v="548"/>
        <s v="549"/>
        <s v="550"/>
        <s v="554"/>
        <s v="551"/>
        <s v="552"/>
        <s v="553"/>
        <s v="555"/>
        <s v="503"/>
        <s v="557"/>
        <s v="556"/>
        <s v="559"/>
        <s v="560"/>
        <s v="561"/>
        <s v="564"/>
        <s v="563"/>
        <s v="562"/>
        <s v="565"/>
        <s v="566"/>
        <s v="567"/>
        <s v="568"/>
        <s v="569"/>
        <s v="574"/>
        <s v="572"/>
        <s v="570"/>
        <s v="571"/>
        <s v="573"/>
        <s v="575"/>
        <s v="576"/>
        <s v="577"/>
        <s v="578"/>
        <s v="682"/>
        <s v="579"/>
        <s v="580"/>
        <s v="581"/>
        <s v="582"/>
        <s v="583"/>
        <s v="584"/>
        <s v="585"/>
        <s v="586"/>
        <s v="589"/>
        <s v="587"/>
        <s v="590"/>
        <s v="588"/>
        <s v="591"/>
        <s v="593"/>
        <s v="592"/>
        <s v="594"/>
        <s v="595"/>
        <s v="596"/>
        <s v="598"/>
        <s v="600"/>
        <s v="597"/>
        <s v="599"/>
        <s v="601"/>
        <s v="602"/>
        <s v="603"/>
        <s v="604"/>
        <s v="605"/>
        <s v="606"/>
        <s v="609"/>
        <s v="607"/>
        <s v="611"/>
        <s v="612"/>
        <s v="610"/>
        <s v="613"/>
        <s v="616"/>
        <s v="615"/>
        <s v="617"/>
        <s v="608"/>
        <s v="618"/>
        <s v="619"/>
        <s v="621"/>
        <s v="622"/>
        <s v="620"/>
        <s v="623"/>
        <s v="624"/>
        <s v="625"/>
        <s v="626"/>
        <s v="627"/>
        <s v="628"/>
        <s v="349"/>
        <s v="629"/>
        <s v="631"/>
        <s v="630"/>
        <s v="633"/>
        <s v="632"/>
        <s v="634"/>
        <s v="635"/>
        <s v="636"/>
        <s v="637"/>
        <s v="639"/>
        <s v="640"/>
        <s v="638"/>
        <s v="641"/>
        <s v="642"/>
        <s v="402"/>
        <s v="643"/>
        <s v="644"/>
        <s v="645"/>
        <s v="647"/>
        <s v="651"/>
        <s v="646"/>
        <s v="648"/>
        <s v="649"/>
        <s v="650"/>
        <s v="652"/>
        <s v="654"/>
        <s v="655"/>
        <s v="656"/>
        <s v="674"/>
        <s v="659"/>
        <s v="658"/>
        <s v="660"/>
        <s v="661"/>
        <s v="662"/>
        <s v="663"/>
        <s v="665"/>
        <s v="664"/>
        <s v="666"/>
        <s v="667"/>
        <s v="668"/>
        <s v="669"/>
        <s v="670"/>
        <s v="411"/>
        <s v="671"/>
        <s v="672"/>
        <s v="673"/>
        <s v="675"/>
        <s v="676"/>
        <s v="677"/>
        <s v="679"/>
        <s v="680"/>
        <s v="414"/>
        <s v="683"/>
        <s v="684"/>
        <s v="685"/>
        <s v="686"/>
        <s v="338"/>
        <s v="688"/>
        <s v="687"/>
        <s v="389"/>
        <s v="689"/>
        <s v="690"/>
        <s v="691"/>
        <s v="693"/>
        <s v="692"/>
        <s v="694"/>
        <s v="695"/>
        <s v="698"/>
        <s v="697"/>
        <s v="696"/>
        <s v="699"/>
        <s v="701"/>
        <s v="702"/>
        <s v="722"/>
        <s v="705"/>
        <s v="704"/>
        <s v="706"/>
        <s v="700"/>
        <s v="707"/>
        <s v="709"/>
        <s v="708"/>
        <s v="710"/>
        <s v="712"/>
        <s v="711"/>
        <s v="713"/>
        <s v="715"/>
        <s v="714"/>
        <s v="717"/>
        <s v="718"/>
        <s v="719"/>
        <s v="721"/>
        <s v="723"/>
        <s v="726"/>
        <s v="727"/>
        <s v="728"/>
        <s v="730"/>
        <s v="729"/>
        <s v="725"/>
        <s v="614"/>
        <s v="731"/>
        <s v="720"/>
        <s v="732"/>
        <s v="733"/>
        <s v="734"/>
        <s v="735"/>
        <s v="736"/>
        <s v="737"/>
        <s v="738"/>
        <s v="739"/>
        <s v="740"/>
        <s v="742"/>
        <s v="716"/>
        <s v="744"/>
        <s v="745"/>
        <s v="746"/>
        <s v="498"/>
        <s v="747"/>
        <s v="748"/>
        <s v="750"/>
        <s v="751"/>
        <s v="754"/>
        <s v="753"/>
        <s v="755"/>
        <s v="756"/>
        <s v="758"/>
        <s v="759"/>
        <s v="762"/>
        <s v="749"/>
        <s v="None 6"/>
        <s v="760"/>
        <s v="763"/>
        <s v="764"/>
        <s v="765"/>
        <s v="766"/>
        <s v="767"/>
        <s v="769"/>
        <s v="770"/>
        <s v="771"/>
        <s v="772"/>
        <s v="773"/>
        <s v="775"/>
        <s v="776"/>
        <s v="777"/>
        <s v="778"/>
        <s v="781"/>
        <s v="678"/>
        <s v="782"/>
        <s v="783"/>
        <s v="784"/>
        <s v="786"/>
        <s v="787"/>
        <s v="789"/>
        <s v="790"/>
        <s v="None 4"/>
        <s v="793"/>
        <s v="792"/>
        <s v="796"/>
        <s v="795"/>
        <s v="797"/>
        <s v="798"/>
        <s v="757"/>
        <s v="799"/>
        <s v="800"/>
        <s v="802"/>
        <s v="803"/>
        <s v="804"/>
        <s v="805"/>
        <s v="806"/>
        <s v="808"/>
        <s v="807"/>
        <s v="788"/>
        <s v="809"/>
        <s v="810"/>
        <s v="811"/>
        <s v="812"/>
        <s v="813"/>
        <s v="814"/>
        <s v="815"/>
        <s v="820"/>
        <s v="821"/>
        <s v="816"/>
        <s v="817"/>
        <s v="819"/>
        <s v="818"/>
        <s v="822"/>
        <s v="823"/>
        <s v="761"/>
        <s v="824"/>
        <s v="825"/>
        <s v="826"/>
        <s v="827"/>
        <s v="828"/>
        <s v="829"/>
        <s v="830"/>
        <s v="837"/>
        <s v="833"/>
        <s v="834"/>
        <s v="836"/>
        <s v="838"/>
        <s v="884"/>
        <s v="839"/>
        <s v="841"/>
        <s v="840"/>
        <s v="842"/>
        <s v="843"/>
        <s v="844"/>
        <s v="845"/>
        <s v="846"/>
        <s v="847"/>
        <s v="848"/>
        <s v="850"/>
        <s v="849"/>
        <s v="851"/>
        <s v="853"/>
        <s v="852"/>
        <s v="854"/>
        <s v="859"/>
        <s v="860"/>
        <s v="861"/>
        <s v="863"/>
        <s v="865"/>
        <s v="864"/>
        <s v="867"/>
        <s v="868"/>
        <s v="869"/>
        <s v="870"/>
        <s v="871"/>
        <s v="872"/>
        <s v="873"/>
        <s v="874"/>
        <s v="875"/>
        <s v="876"/>
        <s v="877"/>
        <s v="879"/>
        <s v="880"/>
        <s v="881"/>
        <s v="882"/>
        <s v="883"/>
        <s v="893"/>
        <s v="886"/>
        <s v="888"/>
        <s v="889"/>
        <s v="890"/>
        <s v="891"/>
        <s v="892"/>
        <s v="895"/>
        <s v="894"/>
        <s v="896"/>
        <s v="897"/>
        <s v="898"/>
        <s v="899"/>
        <s v="900"/>
        <s v="902"/>
        <s v="901"/>
        <s v="903"/>
        <s v="904"/>
        <s v="905"/>
        <s v="907"/>
        <s v="914"/>
        <s v="908"/>
        <s v="909"/>
        <s v="911"/>
        <s v="912"/>
        <s v="913"/>
        <s v="915"/>
        <s v="917"/>
        <s v="918"/>
        <s v="919"/>
        <s v="406"/>
        <s v="920"/>
        <s v="921"/>
        <s v="922"/>
        <s v="923"/>
        <s v="916"/>
        <s v="924"/>
        <s v="926"/>
        <s v="927"/>
        <s v="928"/>
        <s v="929"/>
        <s v="930"/>
        <s v="931"/>
        <s v="932"/>
      </sharedItems>
    </cacheField>
    <cacheField name="Khu vực" numFmtId="0">
      <sharedItems>
        <s v="Hà Nội"/>
        <s v="Sài Gòn"/>
        <s v="Đà Nẵng"/>
      </sharedItems>
    </cacheField>
    <cacheField name="Status" numFmtId="0">
      <sharedItems>
        <s v="Active"/>
        <s v="Locked"/>
      </sharedItems>
    </cacheField>
    <cacheField name="Ngành nghề" numFmtId="0">
      <sharedItems>
        <s v="Vận tải &amp; logistics"/>
        <s v="Sale chưa cung cấp"/>
        <s v="Giáo dục &amp; Đào tạo"/>
        <s v="Thực phẩm &amp; Đồ uống"/>
        <s v="Tài chính &amp; Ngân hàng"/>
        <s v="Trang sức"/>
        <s v="Viễn thông"/>
        <s v="Thực phẩm và đồ uống"/>
        <s v="Truyền thông &amp; Giải trí"/>
        <s v="Công nghệ &amp; Phần mềm"/>
        <s v="Nhà hàng &amp; Quán"/>
        <s v="Mỹ phẩm &amp; Làm đẹp"/>
        <s v="Mua sắm &amp; Bán lẻ"/>
        <s v="Bảo hiểm"/>
        <s v="Y tế &amp; Dược phẩm"/>
        <s v="Sản xuất &amp; Chế tạo"/>
        <s v="Hành chính công"/>
        <s v="Bất động sản"/>
        <s v="Du lịch &amp; Lưu trú"/>
        <s v="Ô tô &amp; Xe máy"/>
        <s v="Thời trang &amp; May mặc"/>
        <s v="Dịch vụ khác"/>
        <s v="Thiết kế &amp; Thi công"/>
      </sharedItems>
    </cacheField>
    <cacheField name="CS" numFmtId="0">
      <sharedItems>
        <s v="TùngLD"/>
        <s v="TúPHN"/>
        <s v="HoaNTM"/>
        <s v="PhươngDTB"/>
        <s v="HangNT"/>
        <s v="AnhNM"/>
        <s v="Không phân công"/>
        <s v="(Không recheck)"/>
        <s v="(Chưa recheck)"/>
        <s v="MaiTP"/>
        <s v="NamDT"/>
        <s v="TuPHN"/>
        <s v="TrangHTT"/>
        <s v="AnhNP"/>
        <s v="TuVTC"/>
        <s v="DungDT"/>
        <s v="NganNT1"/>
        <s v="TrâmNNB"/>
      </sharedItems>
    </cacheField>
    <cacheField name="Phân khúc" numFmtId="0">
      <sharedItems>
        <s v="Gold"/>
        <s v="Diamond"/>
        <s v="Sale chưa cung cấp"/>
        <s v="Silver"/>
        <s v="Bronze"/>
      </sharedItems>
    </cacheField>
    <cacheField name="Loại gói cước" numFmtId="0">
      <sharedItems>
        <s v="Enterprise"/>
        <s v="Standard"/>
        <s v="Starter"/>
        <s v="API"/>
        <s v="GAPONE HUBSPOT"/>
        <s v="None"/>
        <s v="MSG"/>
        <s v="Premium"/>
        <s v="SIMILAR"/>
        <s v="(Không recheck)"/>
        <s v="(Chưa recheck)"/>
      </sharedItems>
    </cacheField>
    <cacheField name="Hình thức thanh toán" numFmtId="0">
      <sharedItems>
        <s v="Trả sau"/>
        <s v="Trial"/>
        <s v="(Chưa recheck)"/>
        <s v="Trả trước"/>
      </sharedItems>
    </cacheField>
    <cacheField name="Hình thức sử dụng" numFmtId="0">
      <sharedItems>
        <s v="API"/>
        <s v="API &amp; Portal"/>
        <s v="Portal"/>
        <s v="(Chưa recheck)"/>
        <s v="(Không recheck)"/>
      </sharedItems>
    </cacheField>
    <cacheField name="Input chi tiết" numFmtId="0">
      <sharedItems>
        <s v="API"/>
        <s v="File Excel"/>
        <s v="(Chưa recheck)"/>
        <s v="(Không recheck)"/>
        <s v="ZCA gửi ZNS"/>
        <s v="Kiotviet"/>
        <s v="Haravan"/>
        <s v="WooCommerce"/>
        <s v="CRM"/>
        <s v="Sapo"/>
        <s v="Pancake"/>
        <s v="Nhanhvn"/>
        <s v="Bizfly CRM"/>
        <s v="HubSpot"/>
        <s v="Pos365"/>
        <s v="Rà soát"/>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211" sheet="tungld_tách SUP"/>
  </cacheSource>
  <cacheFields>
    <cacheField name="ORG ID" numFmtId="0">
      <sharedItems containsBlank="1">
        <s v="29"/>
        <s v="75"/>
        <s v="119"/>
        <s v="878"/>
        <s v="188"/>
        <s v="209"/>
        <s v="220"/>
        <s v="226"/>
        <s v="225"/>
        <s v="239"/>
        <s v="247"/>
        <s v="264"/>
        <s v="248"/>
        <s v="300"/>
        <s v="301"/>
        <s v="306"/>
        <s v="312"/>
        <s v="314"/>
        <s v="321"/>
        <s v="None 1"/>
        <s v="324"/>
        <s v="327"/>
        <s v="None 3"/>
        <s v="331"/>
        <s v="332"/>
        <s v="344"/>
        <s v="346"/>
        <s v="347"/>
        <s v="350"/>
        <s v="351"/>
        <s v="352"/>
        <s v="353"/>
        <s v="354"/>
        <s v="355"/>
        <s v="356"/>
        <s v="359"/>
        <s v="358"/>
        <s v="357"/>
        <s v="360"/>
        <s v="362"/>
        <s v="361"/>
        <s v="363"/>
        <s v="364"/>
        <s v="366"/>
        <s v="367"/>
        <s v="368"/>
        <s v="369"/>
        <s v="370"/>
        <s v="372"/>
        <s v="373"/>
        <s v="375"/>
        <s v="374"/>
        <s v="376"/>
        <s v="377"/>
        <s v="378"/>
        <s v="379"/>
        <s v="380"/>
        <s v="383"/>
        <s v="384"/>
        <s v="386"/>
        <s v="387"/>
        <s v="388"/>
        <s v="385"/>
        <s v="390"/>
        <s v="391"/>
        <s v="392"/>
        <s v="393"/>
        <s v="394"/>
        <s v="395"/>
        <s v="396"/>
        <s v="398"/>
        <s v="371"/>
        <s v="399"/>
        <s v="400"/>
        <s v="401"/>
        <s v="403"/>
        <s v="404"/>
        <s v="405"/>
        <s v="407"/>
        <s v="408"/>
        <s v="410"/>
        <s v="409"/>
        <s v="412"/>
        <s v="413"/>
        <s v="416"/>
        <s v="417"/>
        <s v="418"/>
        <s v="420"/>
        <s v="421"/>
        <s v="422"/>
        <s v="423"/>
        <s v="424"/>
        <s v="425"/>
        <s v="428"/>
        <s v="426"/>
        <s v="429"/>
        <s v="427"/>
        <s v="431"/>
        <s v="432"/>
        <s v="433"/>
        <s v="437"/>
        <s v="438"/>
        <s v="439"/>
        <s v="440"/>
        <s v="307"/>
        <s v="441"/>
        <s v="442"/>
        <s v="443"/>
        <s v="446"/>
        <s v="445"/>
        <s v="447"/>
        <s v="448"/>
        <s v="449"/>
        <s v="478"/>
        <s v="450"/>
        <s v="451"/>
        <s v="452"/>
        <s v="436"/>
        <s v="453"/>
        <s v="454"/>
        <s v="455"/>
        <s v="456"/>
        <s v="457"/>
        <s v="458"/>
        <s v="460"/>
        <s v="461"/>
        <s v="462"/>
        <s v="464"/>
        <s v="463"/>
        <s v="465"/>
        <s v="466"/>
        <s v="468"/>
        <s v="467"/>
        <s v="365"/>
        <s v="470"/>
        <s v="471"/>
        <s v="477"/>
        <s v="472"/>
        <s v="473"/>
        <s v="474"/>
        <s v="476"/>
        <s v="475"/>
        <s v="479"/>
        <s v="482"/>
        <s v="480"/>
        <s v="481"/>
        <s v="483"/>
        <s v="484"/>
        <s v="486"/>
        <s v="485"/>
        <s v="487"/>
        <s v="488"/>
        <s v="489"/>
        <s v="490"/>
        <s v="491"/>
        <s v="492"/>
        <s v="494"/>
        <s v="493"/>
        <s v="496"/>
        <s v="495"/>
        <s v="497"/>
        <s v="499"/>
        <s v="500"/>
        <s v="501"/>
        <s v="504"/>
        <s v="506"/>
        <s v="505"/>
        <s v="507"/>
        <s v="None 5"/>
        <s v="508"/>
        <s v="509"/>
        <s v="510"/>
        <s v="511"/>
        <s v="512"/>
        <s v="515"/>
        <s v="245"/>
        <s v="516"/>
        <s v="514"/>
        <s v="517"/>
        <s v="518"/>
        <s v="519"/>
        <s v="520"/>
        <s v="540"/>
        <s v="521"/>
        <s v="522"/>
        <s v="523"/>
        <s v="524"/>
        <s v="525"/>
        <s v="526"/>
        <s v="531"/>
        <s v="527"/>
        <s v="528"/>
        <s v="529"/>
        <s v="530"/>
        <s v="533"/>
        <s v="532"/>
        <s v="534"/>
        <s v="535"/>
        <s v="536"/>
        <s v="537"/>
        <s v="538"/>
        <s v="539"/>
        <s v="216"/>
        <s v="541"/>
        <s v="542"/>
        <s v="544"/>
        <s v="545"/>
        <s v="547"/>
        <s v="None 2"/>
        <s v="546"/>
        <s v="548"/>
        <s v="549"/>
        <s v="550"/>
        <s v="554"/>
        <s v="551"/>
        <s v="552"/>
        <s v="553"/>
        <s v="555"/>
        <s v="503"/>
        <s v="557"/>
        <s v="556"/>
        <s v="559"/>
        <s v="560"/>
        <s v="561"/>
        <s v="564"/>
        <s v="563"/>
        <s v="562"/>
        <s v="565"/>
        <s v="566"/>
        <s v="567"/>
        <s v="568"/>
        <s v="569"/>
        <s v="574"/>
        <s v="572"/>
        <s v="570"/>
        <s v="571"/>
        <s v="573"/>
        <s v="575"/>
        <s v="576"/>
        <s v="577"/>
        <s v="578"/>
        <s v="682"/>
        <s v="579"/>
        <s v="580"/>
        <s v="581"/>
        <s v="582"/>
        <s v="583"/>
        <s v="584"/>
        <s v="585"/>
        <s v="586"/>
        <s v="589"/>
        <s v="587"/>
        <s v="590"/>
        <s v="588"/>
        <s v="591"/>
        <s v="593"/>
        <s v="592"/>
        <s v="594"/>
        <s v="595"/>
        <s v="596"/>
        <s v="598"/>
        <s v="600"/>
        <s v="597"/>
        <s v="599"/>
        <s v="601"/>
        <s v="602"/>
        <s v="603"/>
        <s v="604"/>
        <s v="605"/>
        <s v="606"/>
        <s v="609"/>
        <s v="607"/>
        <s v="611"/>
        <s v="612"/>
        <s v="610"/>
        <s v="613"/>
        <s v="616"/>
        <s v="615"/>
        <s v="617"/>
        <s v="608"/>
        <s v="618"/>
        <s v="619"/>
        <s v="621"/>
        <s v="622"/>
        <s v="620"/>
        <s v="623"/>
        <s v="624"/>
        <s v="625"/>
        <s v="626"/>
        <s v="627"/>
        <s v="628"/>
        <s v="349"/>
        <s v="629"/>
        <s v="631"/>
        <s v="630"/>
        <s v="633"/>
        <s v="632"/>
        <s v="634"/>
        <s v="635"/>
        <s v="636"/>
        <s v="637"/>
        <s v="639"/>
        <s v="640"/>
        <s v="638"/>
        <s v="641"/>
        <s v="642"/>
        <s v="402"/>
        <s v="643"/>
        <s v="644"/>
        <s v="645"/>
        <s v="647"/>
        <s v="651"/>
        <s v="646"/>
        <s v="648"/>
        <s v="649"/>
        <s v="650"/>
        <s v="652"/>
        <s v="654"/>
        <s v="655"/>
        <s v="656"/>
        <s v="674"/>
        <s v="659"/>
        <s v="658"/>
        <s v="660"/>
        <s v="661"/>
        <s v="662"/>
        <s v="663"/>
        <s v="665"/>
        <s v="664"/>
        <s v="666"/>
        <s v="667"/>
        <s v="668"/>
        <s v="669"/>
        <s v="670"/>
        <s v="411"/>
        <s v="671"/>
        <s v="672"/>
        <s v="673"/>
        <s v="675"/>
        <s v="676"/>
        <s v="677"/>
        <s v="679"/>
        <s v="680"/>
        <s v="414"/>
        <s v="683"/>
        <s v="684"/>
        <s v="685"/>
        <s v="686"/>
        <s v="338"/>
        <s v="688"/>
        <s v="687"/>
        <s v="389"/>
        <s v="689"/>
        <s v="690"/>
        <s v="691"/>
        <s v="693"/>
        <s v="692"/>
        <s v="694"/>
        <s v="695"/>
        <s v="698"/>
        <s v="697"/>
        <s v="696"/>
        <s v="699"/>
        <s v="701"/>
        <s v="702"/>
        <s v="722"/>
        <s v="705"/>
        <s v="704"/>
        <s v="706"/>
        <s v="700"/>
        <s v="707"/>
        <s v="709"/>
        <s v="708"/>
        <s v="710"/>
        <s v="712"/>
        <s v="711"/>
        <s v="713"/>
        <s v="715"/>
        <s v="714"/>
        <s v="717"/>
        <s v="718"/>
        <s v="719"/>
        <s v="721"/>
        <s v="723"/>
        <s v="726"/>
        <s v="727"/>
        <s v="728"/>
        <s v="730"/>
        <s v="729"/>
        <s v="725"/>
        <s v="614"/>
        <s v="731"/>
        <s v="720"/>
        <s v="732"/>
        <s v="733"/>
        <s v="734"/>
        <s v="735"/>
        <s v="736"/>
        <s v="737"/>
        <s v="738"/>
        <s v="739"/>
        <s v="740"/>
        <s v="742"/>
        <s v="716"/>
        <s v="744"/>
        <s v="745"/>
        <s v="746"/>
        <s v="498"/>
        <s v="747"/>
        <s v="748"/>
        <s v="750"/>
        <s v="751"/>
        <s v="754"/>
        <s v="753"/>
        <s v="755"/>
        <s v="756"/>
        <s v="758"/>
        <s v="759"/>
        <s v="762"/>
        <s v="749"/>
        <s v="None 6"/>
        <s v="760"/>
        <s v="763"/>
        <s v="764"/>
        <s v="765"/>
        <s v="766"/>
        <s v="767"/>
        <s v="769"/>
        <s v="770"/>
        <s v="771"/>
        <s v="772"/>
        <s v="773"/>
        <s v="775"/>
        <s v="776"/>
        <s v="777"/>
        <s v="778"/>
        <s v="781"/>
        <s v="678"/>
        <s v="782"/>
        <s v="783"/>
        <s v="784"/>
        <s v="785"/>
        <s v="786"/>
        <s v="787"/>
        <s v="789"/>
        <s v="790"/>
        <s v="None 4"/>
        <s v="793"/>
        <s v="792"/>
        <s v="794"/>
        <s v="796"/>
        <s v="795"/>
        <s v="797"/>
        <s v="798"/>
        <s v="757"/>
        <s v="799"/>
        <s v="800"/>
        <s v="802"/>
        <s v="803"/>
        <s v="804"/>
        <s v="805"/>
        <s v="806"/>
        <s v="808"/>
        <s v="807"/>
        <s v="788"/>
        <s v="809"/>
        <s v="810"/>
        <s v="811"/>
        <s v="812"/>
        <s v="813"/>
        <s v="814"/>
        <s v="815"/>
        <s v="820"/>
        <s v="821"/>
        <s v="816"/>
        <s v="817"/>
        <s v="819"/>
        <s v="818"/>
        <s v="822"/>
        <s v="823"/>
        <s v="761"/>
        <s v="824"/>
        <s v="825"/>
        <s v="826"/>
        <s v="827"/>
        <s v="828"/>
        <s v="829"/>
        <s v="830"/>
        <s v="837"/>
        <s v="833"/>
        <s v="834"/>
        <s v="836"/>
        <s v="838"/>
        <s v="884"/>
        <s v="839"/>
        <s v="841"/>
        <s v="840"/>
        <s v="842"/>
        <s v="843"/>
        <s v="844"/>
        <s v="845"/>
        <s v="846"/>
        <s v="847"/>
        <s v="848"/>
        <s v="850"/>
        <s v="849"/>
        <s v="851"/>
        <s v="853"/>
        <s v="852"/>
        <s v="854"/>
        <s v="859"/>
        <s v="860"/>
        <s v="861"/>
        <s v="863"/>
        <s v="865"/>
        <s v="864"/>
        <s v="867"/>
        <s v="868"/>
        <s v="869"/>
        <s v="870"/>
        <s v="871"/>
        <s v="872"/>
        <s v="873"/>
        <s v="874"/>
        <s v="875"/>
        <s v="876"/>
        <s v="877"/>
        <s v="879"/>
        <s v="880"/>
        <s v="881"/>
        <s v="882"/>
        <s v="883"/>
        <s v="893"/>
        <s v="886"/>
        <s v="888"/>
        <s v="889"/>
        <s v="890"/>
        <s v="891"/>
        <s v="892"/>
        <s v="895"/>
        <s v="894"/>
        <s v="896"/>
        <s v="897"/>
        <s v="898"/>
        <s v="899"/>
        <s v="900"/>
        <s v="902"/>
        <s v="901"/>
        <s v="903"/>
        <s v="904"/>
        <s v="905"/>
        <s v="907"/>
        <s v="914"/>
        <s v="906"/>
        <s v="908"/>
        <s v="909"/>
        <s v="911"/>
        <s v="912"/>
        <s v="913"/>
        <s v="915"/>
        <s v="917"/>
        <s v="918"/>
        <s v="919"/>
        <s v="406"/>
        <s v="920"/>
        <s v="921"/>
        <s v="922"/>
        <s v="923"/>
        <s v="916"/>
        <s v="924"/>
        <s v="925"/>
        <s v="926"/>
        <s v="927"/>
        <s v="928"/>
        <s v="929"/>
        <s v="930"/>
        <s v="931"/>
        <s v="932"/>
        <s v="933"/>
        <s v="934"/>
        <s v="935"/>
        <s v="936"/>
        <s v="937"/>
        <s v="938"/>
        <s v="939"/>
        <s v="940"/>
        <s v="941"/>
        <s v="942"/>
        <s v="943"/>
        <s v="944"/>
        <s v="945"/>
        <s v="947"/>
        <s v="948"/>
        <s v="949"/>
        <s v="950"/>
        <s v="951"/>
        <s v="952"/>
        <s v="953"/>
        <s v="954"/>
        <s v="956"/>
        <s v="961"/>
        <s v="962"/>
        <s v="964"/>
        <s v="965"/>
        <s v="966"/>
        <s v="970"/>
        <s v="969"/>
        <s v="972"/>
        <s v="973"/>
        <s v="974"/>
        <s v="975"/>
        <s v="977"/>
        <s v="978"/>
        <s v="979"/>
        <s v="959"/>
        <s v="968"/>
        <s v="980"/>
        <s v="981"/>
        <s v="982"/>
        <s v="983"/>
        <s v="984"/>
        <s v="985"/>
        <s v="986"/>
        <s v="987"/>
        <s v="989"/>
        <s v="988"/>
        <s v="990"/>
        <s v="991"/>
        <s v="992"/>
        <s v="993"/>
        <s v="994"/>
        <s v="995"/>
        <s v="996"/>
        <s v="997"/>
        <s v="998"/>
        <s v="999"/>
        <s v="1001"/>
        <s v="1002"/>
        <s v="1003"/>
        <s v="1004"/>
        <s v="1005"/>
        <s v="1006"/>
        <s v="1007"/>
        <s v="1008"/>
        <s v="1009"/>
        <s v="1010"/>
        <s v="1011"/>
        <s v="1012"/>
        <s v="1013"/>
        <s v="1014"/>
        <s v="1015"/>
        <s v="1016"/>
        <s v="1018"/>
        <s v="1019"/>
        <s v="1020"/>
        <s v="1021"/>
        <s v="1022"/>
        <s v="1023"/>
        <s v="1024"/>
        <s v="1025"/>
        <s v="1026"/>
        <s v="1027"/>
        <s v="1028"/>
        <s v="1035"/>
        <s v="1029"/>
        <s v="1030"/>
        <s v="1031"/>
        <s v="1032"/>
        <s v="1033"/>
        <s v="1036"/>
        <s v="1039"/>
        <s v="1040"/>
        <s v="1038"/>
        <s v="1043"/>
        <s v="1044"/>
        <m/>
      </sharedItems>
    </cacheField>
    <cacheField name="Khu vực" numFmtId="0">
      <sharedItems containsBlank="1">
        <s v="Hà Nội"/>
        <s v="Sài Gòn"/>
        <s v="Đà Nẵng"/>
        <m/>
      </sharedItems>
    </cacheField>
    <cacheField name="Status" numFmtId="0">
      <sharedItems containsBlank="1">
        <s v="Active"/>
        <s v="Locked"/>
        <m/>
      </sharedItems>
    </cacheField>
    <cacheField name="Ngành nghề" numFmtId="0">
      <sharedItems containsBlank="1">
        <s v="Vận tải &amp; logistics"/>
        <s v="Sale chưa cung cấp"/>
        <s v="Giáo dục &amp; Đào tạo"/>
        <s v="Thực phẩm &amp; Đồ uống"/>
        <s v="Tài chính &amp; Ngân hàng"/>
        <s v="Trang sức"/>
        <s v="Viễn thông"/>
        <s v="Thực phẩm và đồ uống"/>
        <s v="Truyền thông &amp; Giải trí"/>
        <s v="Công nghệ &amp; Phần mềm"/>
        <s v="Nhà hàng &amp; Quán"/>
        <s v="Mỹ phẩm &amp; Làm đẹp"/>
        <s v="Mua sắm &amp; Bán lẻ"/>
        <s v="Bảo hiểm"/>
        <s v="Y tế &amp; Dược phẩm"/>
        <s v="Sản xuất &amp; Chế tạo"/>
        <s v="Hành chính công"/>
        <s v="Bất động sản"/>
        <s v="Du lịch &amp; Lưu trú"/>
        <s v="Ô tô &amp; Xe máy"/>
        <s v="Thời trang &amp; May mặc"/>
        <s v="Dịch vụ khác"/>
        <s v="Thiết kế &amp; Thi công"/>
        <m/>
      </sharedItems>
    </cacheField>
    <cacheField name="Customer Success (Lead)" numFmtId="0">
      <sharedItems containsBlank="1">
        <s v="TùngLD"/>
        <s v="TúPHN"/>
        <s v="HoaNTM"/>
        <s v="PhươngDTB"/>
        <s v="HangNT"/>
        <s v="AnhNM"/>
        <s v="Không phân công"/>
        <s v="(Không recheck)"/>
        <s v="(Chưa recheck)"/>
        <s v="MaiTP"/>
        <s v="NamDT"/>
        <s v="TuPHN"/>
        <s v="TrangHTT"/>
        <s v="AnhNP"/>
        <s v="TuVTC"/>
        <s v="DungDT"/>
        <s v="NganNT1"/>
        <s v="TrâmNNB"/>
        <m/>
      </sharedItems>
    </cacheField>
    <cacheField name="Phân khúc" numFmtId="0">
      <sharedItems containsBlank="1">
        <s v="Gold"/>
        <s v="Diamond"/>
        <s v="Sale chưa cung cấp"/>
        <s v="Silver"/>
        <s v="Bronze"/>
        <m/>
      </sharedItems>
    </cacheField>
    <cacheField name="Loại gói cước" numFmtId="0">
      <sharedItems containsBlank="1">
        <s v="Enterprise"/>
        <s v="Standard"/>
        <s v="Starter"/>
        <s v="API"/>
        <s v="GAPONE HUBSPOT"/>
        <s v="None"/>
        <s v="MSG"/>
        <s v="Premium"/>
        <s v="SIMILAR"/>
        <s v="(Không recheck)"/>
        <s v="(Chưa recheck)"/>
        <m/>
      </sharedItems>
    </cacheField>
    <cacheField name="Hình thức TT" numFmtId="0">
      <sharedItems containsBlank="1">
        <s v="Trả sau"/>
        <s v="Trial"/>
        <s v="(Chưa recheck)"/>
        <s v="Trả trước"/>
        <m/>
      </sharedItems>
    </cacheField>
    <cacheField name="Hình thức SD" numFmtId="0">
      <sharedItems containsBlank="1">
        <s v="API"/>
        <s v="API &amp; Portal"/>
        <s v="Portal"/>
        <s v="(Chưa recheck)"/>
        <s v="(Không recheck)"/>
        <m/>
      </sharedItems>
    </cacheField>
    <cacheField name="Customer Support" numFmtId="0">
      <sharedItems containsBlank="1">
        <s v="LinhNTT1"/>
        <s v="DungPL"/>
        <s v="Không phân công"/>
        <s v="(Chưa recheck)"/>
        <s v="AnhNM"/>
        <s v="YếnĐH"/>
        <s v="(Không recheck)"/>
        <s v="DungVT"/>
        <s v="TuVTC"/>
        <s v="ThanhLT"/>
        <s v="Chưa phân công"/>
        <s v="DungVT&#10;DungPL"/>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J1000" sheet="tách dữ liệu input"/>
  </cacheSource>
  <cacheFields>
    <cacheField name="29" numFmtId="0">
      <sharedItems containsBlank="1">
        <s v="75"/>
        <s v="119"/>
        <s v="878"/>
        <s v="188"/>
        <s v="209"/>
        <s v="220"/>
        <s v="226"/>
        <s v="225"/>
        <s v="239"/>
        <s v="247"/>
        <s v="264"/>
        <s v="248"/>
        <s v="300"/>
        <s v="301"/>
        <s v="306"/>
        <s v="312"/>
        <s v="314"/>
        <s v="321"/>
        <s v="None 1"/>
        <s v="324"/>
        <s v="327"/>
        <s v="None 3"/>
        <s v="331"/>
        <s v="332"/>
        <s v="344"/>
        <s v="346"/>
        <s v="347"/>
        <s v="350"/>
        <s v="351"/>
        <s v="352"/>
        <s v="353"/>
        <s v="354"/>
        <s v="355"/>
        <s v="356"/>
        <s v="359"/>
        <s v="358"/>
        <s v="357"/>
        <s v="360"/>
        <s v="362"/>
        <s v="361"/>
        <s v="363"/>
        <s v="364"/>
        <s v="366"/>
        <s v="367"/>
        <s v="368"/>
        <s v="369"/>
        <s v="370"/>
        <s v="372"/>
        <s v="373"/>
        <s v="375"/>
        <s v="374"/>
        <s v="376"/>
        <s v="377"/>
        <s v="378"/>
        <s v="379"/>
        <s v="380"/>
        <s v="383"/>
        <s v="384"/>
        <s v="386"/>
        <s v="387"/>
        <s v="388"/>
        <s v="385"/>
        <s v="390"/>
        <s v="391"/>
        <s v="392"/>
        <s v="393"/>
        <s v="394"/>
        <s v="395"/>
        <s v="396"/>
        <s v="398"/>
        <s v="371"/>
        <s v="399"/>
        <s v="400"/>
        <s v="401"/>
        <s v="403"/>
        <s v="404"/>
        <s v="405"/>
        <s v="407"/>
        <s v="408"/>
        <s v="410"/>
        <s v="409"/>
        <s v="412"/>
        <s v="413"/>
        <s v="416"/>
        <s v="417"/>
        <s v="418"/>
        <s v="420"/>
        <s v="421"/>
        <s v="422"/>
        <s v="423"/>
        <s v="424"/>
        <s v="425"/>
        <s v="428"/>
        <s v="426"/>
        <s v="429"/>
        <s v="427"/>
        <s v="431"/>
        <s v="432"/>
        <s v="433"/>
        <s v="437"/>
        <s v="438"/>
        <s v="439"/>
        <s v="440"/>
        <s v="307"/>
        <s v="441"/>
        <s v="442"/>
        <s v="443"/>
        <s v="446"/>
        <s v="445"/>
        <s v="447"/>
        <s v="448"/>
        <s v="449"/>
        <s v="478"/>
        <s v="450"/>
        <s v="451"/>
        <s v="452"/>
        <s v="436"/>
        <s v="453"/>
        <s v="454"/>
        <s v="455"/>
        <s v="456"/>
        <s v="457"/>
        <s v="458"/>
        <s v="460"/>
        <s v="461"/>
        <s v="462"/>
        <s v="464"/>
        <s v="463"/>
        <s v="465"/>
        <s v="466"/>
        <s v="468"/>
        <s v="467"/>
        <s v="365"/>
        <s v="470"/>
        <s v="471"/>
        <s v="477"/>
        <s v="472"/>
        <s v="473"/>
        <s v="474"/>
        <s v="476"/>
        <s v="475"/>
        <s v="479"/>
        <s v="482"/>
        <s v="480"/>
        <s v="481"/>
        <s v="483"/>
        <s v="484"/>
        <s v="486"/>
        <s v="485"/>
        <s v="487"/>
        <s v="488"/>
        <s v="489"/>
        <s v="490"/>
        <s v="491"/>
        <s v="492"/>
        <s v="494"/>
        <s v="493"/>
        <s v="496"/>
        <s v="495"/>
        <s v="497"/>
        <s v="499"/>
        <s v="500"/>
        <s v="501"/>
        <s v="504"/>
        <s v="506"/>
        <s v="505"/>
        <s v="507"/>
        <s v="None 5"/>
        <s v="508"/>
        <s v="509"/>
        <s v="510"/>
        <s v="511"/>
        <s v="512"/>
        <s v="515"/>
        <s v="245"/>
        <s v="516"/>
        <s v="514"/>
        <s v="517"/>
        <s v="518"/>
        <s v="519"/>
        <s v="520"/>
        <s v="540"/>
        <s v="521"/>
        <s v="522"/>
        <s v="523"/>
        <s v="524"/>
        <s v="525"/>
        <s v="526"/>
        <s v="531"/>
        <s v="527"/>
        <s v="528"/>
        <s v="529"/>
        <s v="530"/>
        <s v="533"/>
        <s v="532"/>
        <s v="534"/>
        <s v="535"/>
        <s v="536"/>
        <s v="537"/>
        <s v="538"/>
        <s v="539"/>
        <s v="216"/>
        <s v="541"/>
        <s v="542"/>
        <s v="544"/>
        <s v="545"/>
        <s v="547"/>
        <s v="None 2"/>
        <s v="546"/>
        <s v="548"/>
        <s v="549"/>
        <s v="550"/>
        <s v="554"/>
        <s v="551"/>
        <s v="552"/>
        <s v="553"/>
        <s v="555"/>
        <s v="503"/>
        <s v="557"/>
        <s v="558"/>
        <s v="556"/>
        <s v="559"/>
        <s v="560"/>
        <s v="561"/>
        <s v="564"/>
        <s v="563"/>
        <s v="562"/>
        <s v="565"/>
        <s v="566"/>
        <s v="567"/>
        <s v="568"/>
        <s v="569"/>
        <s v="574"/>
        <s v="572"/>
        <s v="570"/>
        <s v="571"/>
        <s v="573"/>
        <s v="575"/>
        <s v="576"/>
        <s v="577"/>
        <s v="578"/>
        <s v="682"/>
        <s v="579"/>
        <s v="580"/>
        <s v="581"/>
        <s v="582"/>
        <s v="583"/>
        <s v="584"/>
        <s v="585"/>
        <s v="586"/>
        <s v="589"/>
        <s v="587"/>
        <s v="590"/>
        <s v="588"/>
        <s v="591"/>
        <s v="593"/>
        <s v="592"/>
        <s v="594"/>
        <s v="595"/>
        <s v="596"/>
        <s v="598"/>
        <s v="600"/>
        <s v="597"/>
        <s v="599"/>
        <s v="601"/>
        <s v="602"/>
        <s v="603"/>
        <s v="604"/>
        <s v="605"/>
        <s v="606"/>
        <s v="609"/>
        <s v="607"/>
        <s v="611"/>
        <s v="612"/>
        <s v="610"/>
        <s v="613"/>
        <s v="616"/>
        <s v="615"/>
        <s v="617"/>
        <s v="608"/>
        <s v="618"/>
        <s v="619"/>
        <s v="621"/>
        <s v="622"/>
        <s v="620"/>
        <s v="623"/>
        <s v="624"/>
        <s v="625"/>
        <s v="626"/>
        <s v="627"/>
        <s v="628"/>
        <s v="349"/>
        <s v="629"/>
        <s v="631"/>
        <s v="630"/>
        <s v="633"/>
        <s v="632"/>
        <s v="634"/>
        <s v="635"/>
        <s v="636"/>
        <s v="637"/>
        <s v="639"/>
        <s v="640"/>
        <s v="638"/>
        <s v="641"/>
        <s v="642"/>
        <s v="402"/>
        <s v="643"/>
        <s v="644"/>
        <s v="645"/>
        <s v="647"/>
        <s v="651"/>
        <s v="646"/>
        <s v="648"/>
        <s v="649"/>
        <s v="650"/>
        <s v="652"/>
        <s v="654"/>
        <s v="655"/>
        <s v="656"/>
        <s v="674"/>
        <s v="657"/>
        <s v="659"/>
        <s v="658"/>
        <s v="660"/>
        <s v="661"/>
        <s v="662"/>
        <s v="663"/>
        <s v="665"/>
        <s v="664"/>
        <s v="666"/>
        <s v="667"/>
        <s v="668"/>
        <s v="669"/>
        <s v="670"/>
        <s v="411"/>
        <s v="671"/>
        <s v="672"/>
        <s v="673"/>
        <s v="675"/>
        <s v="676"/>
        <s v="677"/>
        <s v="679"/>
        <s v="680"/>
        <s v="414"/>
        <s v="683"/>
        <s v="684"/>
        <s v="685"/>
        <s v="686"/>
        <s v="338"/>
        <s v="688"/>
        <s v="687"/>
        <s v="389"/>
        <s v="689"/>
        <s v="690"/>
        <s v="691"/>
        <s v="693"/>
        <s v="692"/>
        <s v="694"/>
        <s v="695"/>
        <s v="698"/>
        <s v="697"/>
        <s v="696"/>
        <s v="699"/>
        <s v="701"/>
        <s v="702"/>
        <s v="722"/>
        <s v="705"/>
        <s v="704"/>
        <s v="706"/>
        <s v="700"/>
        <s v="707"/>
        <s v="709"/>
        <s v="708"/>
        <s v="710"/>
        <s v="712"/>
        <s v="711"/>
        <s v="713"/>
        <s v="715"/>
        <s v="714"/>
        <s v="717"/>
        <s v="718"/>
        <s v="719"/>
        <s v="721"/>
        <s v="723"/>
        <s v="726"/>
        <s v="727"/>
        <s v="728"/>
        <s v="730"/>
        <s v="729"/>
        <s v="725"/>
        <s v="614"/>
        <s v="731"/>
        <s v="720"/>
        <s v="732"/>
        <s v="733"/>
        <s v="734"/>
        <s v="735"/>
        <s v="736"/>
        <s v="737"/>
        <s v="738"/>
        <s v="739"/>
        <s v="740"/>
        <s v="742"/>
        <s v="716"/>
        <s v="744"/>
        <s v="745"/>
        <s v="746"/>
        <s v="498"/>
        <s v="747"/>
        <s v="748"/>
        <s v="750"/>
        <s v="751"/>
        <s v="754"/>
        <s v="753"/>
        <s v="755"/>
        <s v="756"/>
        <s v="758"/>
        <s v="759"/>
        <s v="762"/>
        <s v="749"/>
        <s v="None 6"/>
        <s v="760"/>
        <s v="763"/>
        <s v="764"/>
        <s v="765"/>
        <s v="766"/>
        <s v="767"/>
        <s v="769"/>
        <s v="770"/>
        <s v="771"/>
        <s v="772"/>
        <s v="773"/>
        <s v="774"/>
        <s v="775"/>
        <s v="776"/>
        <s v="777"/>
        <s v="778"/>
        <s v="781"/>
        <s v="678"/>
        <s v="782"/>
        <s v="783"/>
        <s v="784"/>
        <s v="786"/>
        <s v="787"/>
        <s v="789"/>
        <s v="790"/>
        <s v="None 4"/>
        <s v="793"/>
        <s v="792"/>
        <s v="796"/>
        <s v="795"/>
        <s v="797"/>
        <s v="798"/>
        <s v="757"/>
        <s v="799"/>
        <s v="800"/>
        <s v="802"/>
        <s v="803"/>
        <s v="804"/>
        <s v="805"/>
        <s v="806"/>
        <s v="808"/>
        <s v="807"/>
        <s v="788"/>
        <s v="809"/>
        <s v="810"/>
        <s v="811"/>
        <s v="812"/>
        <s v="813"/>
        <s v="814"/>
        <s v="815"/>
        <s v="820"/>
        <s v="821"/>
        <s v="816"/>
        <s v="817"/>
        <s v="819"/>
        <s v="818"/>
        <s v="822"/>
        <s v="823"/>
        <s v="761"/>
        <s v="824"/>
        <s v="825"/>
        <s v="826"/>
        <s v="827"/>
        <s v="828"/>
        <s v="829"/>
        <s v="830"/>
        <s v="831"/>
        <s v="832"/>
        <s v="837"/>
        <s v="833"/>
        <s v="834"/>
        <s v="836"/>
        <s v="838"/>
        <s v="884"/>
        <s v="839"/>
        <s v="841"/>
        <s v="840"/>
        <s v="842"/>
        <s v="843"/>
        <s v="844"/>
        <s v="845"/>
        <s v="846"/>
        <s v="847"/>
        <s v="848"/>
        <s v="850"/>
        <s v="849"/>
        <s v="851"/>
        <s v="853"/>
        <s v="852"/>
        <s v="854"/>
        <s v="859"/>
        <s v="860"/>
        <s v="861"/>
        <s v="863"/>
        <s v="865"/>
        <s v="864"/>
        <s v="867"/>
        <s v="868"/>
        <s v="869"/>
        <s v="870"/>
        <s v="871"/>
        <s v="872"/>
        <s v="873"/>
        <s v="874"/>
        <s v="875"/>
        <s v="876"/>
        <s v="877"/>
        <s v="879"/>
        <s v="880"/>
        <s v="881"/>
        <s v="882"/>
        <s v="883"/>
        <s v="893"/>
        <s v="886"/>
        <s v="888"/>
        <s v="889"/>
        <s v="890"/>
        <s v="891"/>
        <s v="892"/>
        <s v="895"/>
        <s v="894"/>
        <s v="896"/>
        <s v="897"/>
        <s v="898"/>
        <s v="899"/>
        <s v="900"/>
        <s v="902"/>
        <s v="901"/>
        <s v="903"/>
        <s v="904"/>
        <s v="905"/>
        <s v="907"/>
        <s v="914"/>
        <s v="908"/>
        <s v="909"/>
        <s v="911"/>
        <s v="912"/>
        <s v="913"/>
        <s v="915"/>
        <s v="917"/>
        <s v="918"/>
        <s v="919"/>
        <s v="406"/>
        <s v="920"/>
        <s v="921"/>
        <s v="922"/>
        <s v="923"/>
        <s v="916"/>
        <s v="924"/>
        <s v="926"/>
        <s v="927"/>
        <s v="928"/>
        <s v="929"/>
        <s v="930"/>
        <s v="931"/>
        <s v="932"/>
        <s v="933"/>
        <s v="934"/>
        <s v="935"/>
        <s v="936"/>
        <s v="937"/>
        <s v="938"/>
        <s v="939"/>
        <s v="940"/>
        <s v="941"/>
        <s v="942"/>
        <s v="943"/>
        <s v="944"/>
        <s v="945"/>
        <s v="946"/>
        <s v="947"/>
        <s v="948"/>
        <s v="949"/>
        <s v="950"/>
        <s v="951"/>
        <s v="952"/>
        <s v="953"/>
        <s v="954"/>
        <s v="955"/>
        <s v="956"/>
        <s v="957"/>
        <s v="958"/>
        <s v="960"/>
        <s v="961"/>
        <s v="962"/>
        <s v="963"/>
        <s v="965"/>
        <s v="966"/>
        <s v="970"/>
        <s v="969"/>
        <s v="971"/>
        <s v="972"/>
        <s v="973"/>
        <s v="974"/>
        <s v="975"/>
        <s v="976"/>
        <s v="977"/>
        <s v="978"/>
        <s v="979"/>
        <s v="959"/>
        <s v="968"/>
        <s v="980"/>
        <s v="981"/>
        <s v="982"/>
        <s v="983"/>
        <s v="984"/>
        <s v="985"/>
        <s v="986"/>
        <s v="987"/>
        <s v="989"/>
        <s v="988"/>
        <s v="990"/>
        <s v="991"/>
        <s v="992"/>
        <s v="993"/>
        <s v="994"/>
        <s v="995"/>
        <s v="996"/>
        <s v="997"/>
        <s v="998"/>
        <s v="999"/>
        <s v="1001"/>
        <s v="1000"/>
        <s v="1002"/>
        <s v="1003"/>
        <s v="1004"/>
        <s v="1005"/>
        <s v="1006"/>
        <s v="1007"/>
        <s v="1008"/>
        <s v="1009"/>
        <s v="1010"/>
        <s v="1011"/>
        <s v="1012"/>
        <s v="1013"/>
        <s v="1014"/>
        <s v="1015"/>
        <s v="1016"/>
        <s v="1017"/>
        <s v="1018"/>
        <s v="1019"/>
        <s v="1020"/>
        <s v="1021"/>
        <s v="1022"/>
        <s v="1023"/>
        <s v="1024"/>
        <s v="1025"/>
        <s v="1026"/>
        <s v="1027"/>
        <s v="1028"/>
        <s v="1035"/>
        <s v="1029"/>
        <s v="1030"/>
        <s v="1031"/>
        <s v="1032"/>
        <s v="1033"/>
        <s v="1034"/>
        <s v="1036"/>
        <s v="1037"/>
        <s v="1039"/>
        <s v="1040"/>
        <s v="1038"/>
        <s v="1041"/>
        <s v="1043"/>
        <s v="1044"/>
        <m/>
      </sharedItems>
    </cacheField>
    <cacheField name="Hà Nội" numFmtId="0">
      <sharedItems containsBlank="1">
        <s v="Hà Nội"/>
        <s v="Sài Gòn"/>
        <s v="Đà Nẵng"/>
        <m/>
      </sharedItems>
    </cacheField>
    <cacheField name="Active" numFmtId="0">
      <sharedItems containsBlank="1">
        <s v="Active"/>
        <s v="Locked"/>
        <m/>
      </sharedItems>
    </cacheField>
    <cacheField name="Vận tải &amp; logistics" numFmtId="0">
      <sharedItems containsBlank="1">
        <s v="Sale chưa cung cấp"/>
        <s v="Giáo dục &amp; Đào tạo"/>
        <s v="Thực phẩm &amp; Đồ uống"/>
        <s v="Tài chính &amp; Ngân hàng"/>
        <s v="Trang sức"/>
        <s v="Viễn thông"/>
        <s v="Thực phẩm và đồ uống"/>
        <s v="Truyền thông &amp; Giải trí"/>
        <s v="Công nghệ &amp; Phần mềm"/>
        <s v="Nhà hàng &amp; Quán"/>
        <s v="Mỹ phẩm &amp; Làm đẹp"/>
        <s v="Mua sắm &amp; Bán lẻ"/>
        <s v="Dịch vụ khác"/>
        <s v="Bảo hiểm"/>
        <s v="Y tế &amp; Dược phẩm"/>
        <s v="Sản xuất &amp; Chế tạo"/>
        <s v="Hành chính công"/>
        <s v="Bất động sản"/>
        <s v="Du lịch &amp; Lưu trú"/>
        <s v="Ô tô &amp; Xe máy"/>
        <s v="Vận tải &amp; logistics"/>
        <s v="Thời trang &amp; May mặc"/>
        <s v="Thiết kế &amp; Thi công"/>
        <m/>
      </sharedItems>
    </cacheField>
    <cacheField name="TùngLD" numFmtId="0">
      <sharedItems containsBlank="1">
        <s v="TùngLD"/>
        <s v="TúPHN"/>
        <s v="HoaNTM"/>
        <s v="PhươngDTB"/>
        <s v="HangNT"/>
        <s v="AnhNM"/>
        <s v="Không phân công"/>
        <s v="(Không recheck)"/>
        <s v="(Chưa recheck)"/>
        <s v="MaiTP"/>
        <s v="NamDT"/>
        <s v="TuPHN"/>
        <s v="TrangHTT"/>
        <s v="AnhNP"/>
        <s v="TuVTC"/>
        <s v="DungDT"/>
        <s v="NganNT1"/>
        <s v="TrâmNNB"/>
        <m/>
      </sharedItems>
    </cacheField>
    <cacheField name="Gold" numFmtId="0">
      <sharedItems containsBlank="1">
        <s v="Diamond"/>
        <s v="Sale chưa cung cấp"/>
        <s v="Silver"/>
        <s v="Bronze"/>
        <s v="Gold"/>
        <m/>
      </sharedItems>
    </cacheField>
    <cacheField name="Enterprise" numFmtId="0">
      <sharedItems containsBlank="1">
        <s v="Enterprise"/>
        <s v="Standard"/>
        <s v="Starter"/>
        <s v="API"/>
        <s v="GAPONE HUBSPOT"/>
        <s v="None"/>
        <s v="MSG"/>
        <s v="Premium"/>
        <s v="SIMILAR"/>
        <s v="(Không recheck)"/>
        <s v="(Chưa recheck)"/>
        <m/>
      </sharedItems>
    </cacheField>
    <cacheField name="Trả sau" numFmtId="0">
      <sharedItems containsBlank="1">
        <s v="Trả sau"/>
        <s v="Trial"/>
        <s v="(Chưa recheck)"/>
        <s v="Trả trước"/>
        <m/>
      </sharedItems>
    </cacheField>
    <cacheField name="API" numFmtId="0">
      <sharedItems containsBlank="1">
        <s v="API &amp; Portal"/>
        <s v="Portal"/>
        <s v="API"/>
        <s v="(Chưa recheck)"/>
        <s v="(Không recheck)"/>
        <m/>
      </sharedItems>
    </cacheField>
    <cacheField name="api2" numFmtId="0">
      <sharedItems containsBlank="1">
        <s v="File Excel"/>
        <s v="API"/>
        <s v="(Chưa recheck)"/>
        <s v="(Không recheck)"/>
        <s v="ZCA gửi ZNS"/>
        <s v="Kiotviet"/>
        <s v="Haravan"/>
        <s v="WooCommerce"/>
        <s v="CRM"/>
        <s v="Sapo"/>
        <s v="Pancake"/>
        <s v="Nhanhvn"/>
        <s v="Bizfly CRM"/>
        <s v="HubSpot"/>
        <s v="Pos365"/>
        <s v="Rà soát"/>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tungld_tách kênh" cacheId="1" dataCaption="" compact="0" compactData="0">
  <location ref="M4:O18" firstHeaderRow="0" firstDataRow="1" firstDataCol="1" rowPageCount="1" colPageCount="1"/>
  <pivotFields>
    <pivotField name="ORG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t="default"/>
      </items>
    </pivotField>
    <pivotField name="Khu vực" compact="0" outline="0" multipleItemSelectionAllowed="1" showAll="0">
      <items>
        <item x="0"/>
        <item x="1"/>
        <item x="2"/>
        <item t="default"/>
      </items>
    </pivotField>
    <pivotField name="Status" axis="axisCol" compact="0" outline="0" multipleItemSelectionAllowed="1" showAll="0" sortType="ascending">
      <items>
        <item h="1" x="0"/>
        <item x="1"/>
        <item t="default"/>
      </items>
    </pivotField>
    <pivotField name="Ngành nghề"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S" compact="0" outline="0" multipleItemSelectionAllowed="1" showAll="0">
      <items>
        <item x="0"/>
        <item x="1"/>
        <item x="2"/>
        <item x="3"/>
        <item x="4"/>
        <item x="5"/>
        <item x="6"/>
        <item x="7"/>
        <item x="8"/>
        <item x="9"/>
        <item x="10"/>
        <item x="11"/>
        <item x="12"/>
        <item x="13"/>
        <item x="14"/>
        <item x="15"/>
        <item x="16"/>
        <item x="17"/>
        <item t="default"/>
      </items>
    </pivotField>
    <pivotField name="Phân khúc" compact="0" outline="0" multipleItemSelectionAllowed="1" showAll="0">
      <items>
        <item x="0"/>
        <item x="1"/>
        <item x="2"/>
        <item x="3"/>
        <item x="4"/>
        <item t="default"/>
      </items>
    </pivotField>
    <pivotField name="Loại gói cước" compact="0" outline="0" multipleItemSelectionAllowed="1" showAll="0">
      <items>
        <item x="0"/>
        <item x="1"/>
        <item x="2"/>
        <item x="3"/>
        <item x="4"/>
        <item x="5"/>
        <item x="6"/>
        <item x="7"/>
        <item x="8"/>
        <item x="9"/>
        <item x="10"/>
        <item t="default"/>
      </items>
    </pivotField>
    <pivotField name="Hình thức thanh toán" axis="axisPage" compact="0" outline="0" multipleItemSelectionAllowed="1" showAll="0">
      <items>
        <item x="0"/>
        <item x="1"/>
        <item x="2"/>
        <item x="3"/>
        <item t="default"/>
      </items>
    </pivotField>
    <pivotField name="Hình thức sử dụng" compact="0" outline="0" multipleItemSelectionAllowed="1" showAll="0">
      <items>
        <item x="0"/>
        <item x="1"/>
        <item x="2"/>
        <item x="3"/>
        <item x="4"/>
        <item t="default"/>
      </items>
    </pivotField>
    <pivotField name="Kênh gửi tin chi tiết" axis="axisRow" dataField="1" compact="0" outline="0" multipleItemSelectionAllowed="1" showAll="0" sortType="ascending">
      <items>
        <item x="2"/>
        <item x="3"/>
        <item x="4"/>
        <item x="7"/>
        <item x="0"/>
        <item x="5"/>
        <item x="6"/>
        <item x="10"/>
        <item x="11"/>
        <item x="8"/>
        <item x="9"/>
        <item x="1"/>
        <item t="default"/>
      </items>
    </pivotField>
    <pivotField name="SUP" compact="0" outline="0" multipleItemSelectionAllowed="1" showAll="0">
      <items>
        <item x="0"/>
        <item x="1"/>
        <item x="2"/>
        <item x="3"/>
        <item x="4"/>
        <item x="5"/>
        <item x="6"/>
        <item x="7"/>
        <item x="8"/>
        <item x="9"/>
        <item x="10"/>
        <item x="11"/>
        <item x="12"/>
        <item x="13"/>
        <item x="14"/>
        <item t="default"/>
      </items>
    </pivotField>
  </pivotFields>
  <rowFields>
    <field x="9"/>
  </rowFields>
  <colFields>
    <field x="2"/>
  </colFields>
  <pageFields>
    <pageField fld="7"/>
  </pageFields>
  <dataFields>
    <dataField name="COUNTA of Kênh gửi tin chi tiết" fld="9" subtotal="count" baseField="0"/>
  </dataFields>
</pivotTableDefinition>
</file>

<file path=xl/pivotTables/pivotTable2.xml><?xml version="1.0" encoding="utf-8"?>
<pivotTableDefinition xmlns="http://schemas.openxmlformats.org/spreadsheetml/2006/main" name="namdt_tách dữ liệu input" cacheId="2" dataCaption="" compact="0" compactData="0">
  <location ref="M2:O17" firstHeaderRow="0" firstDataRow="1" firstDataCol="1"/>
  <pivotFields>
    <pivotField name="ORG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name="Khu vực" compact="0" outline="0" multipleItemSelectionAllowed="1" showAll="0">
      <items>
        <item x="0"/>
        <item x="1"/>
        <item x="2"/>
        <item t="default"/>
      </items>
    </pivotField>
    <pivotField name="Status" axis="axisCol" compact="0" outline="0" multipleItemSelectionAllowed="1" showAll="0" sortType="ascending">
      <items>
        <item h="1" x="0"/>
        <item x="1"/>
        <item t="default"/>
      </items>
    </pivotField>
    <pivotField name="Ngành nghề"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S" compact="0" outline="0" multipleItemSelectionAllowed="1" showAll="0">
      <items>
        <item x="0"/>
        <item x="1"/>
        <item x="2"/>
        <item x="3"/>
        <item x="4"/>
        <item x="5"/>
        <item x="6"/>
        <item x="7"/>
        <item x="8"/>
        <item x="9"/>
        <item x="10"/>
        <item x="11"/>
        <item x="12"/>
        <item x="13"/>
        <item x="14"/>
        <item x="15"/>
        <item x="16"/>
        <item x="17"/>
        <item t="default"/>
      </items>
    </pivotField>
    <pivotField name="Phân khúc" compact="0" outline="0" multipleItemSelectionAllowed="1" showAll="0">
      <items>
        <item x="0"/>
        <item x="1"/>
        <item x="2"/>
        <item x="3"/>
        <item x="4"/>
        <item t="default"/>
      </items>
    </pivotField>
    <pivotField name="Loại gói cước" compact="0" outline="0" multipleItemSelectionAllowed="1" showAll="0">
      <items>
        <item x="0"/>
        <item x="1"/>
        <item x="2"/>
        <item x="3"/>
        <item x="4"/>
        <item x="5"/>
        <item x="6"/>
        <item x="7"/>
        <item x="8"/>
        <item x="9"/>
        <item x="10"/>
        <item t="default"/>
      </items>
    </pivotField>
    <pivotField name="Hình thức thanh toán" compact="0" outline="0" multipleItemSelectionAllowed="1" showAll="0">
      <items>
        <item x="0"/>
        <item x="1"/>
        <item x="2"/>
        <item x="3"/>
        <item t="default"/>
      </items>
    </pivotField>
    <pivotField name="Hình thức sử dụng" compact="0" outline="0" multipleItemSelectionAllowed="1" showAll="0">
      <items>
        <item x="0"/>
        <item x="1"/>
        <item x="2"/>
        <item x="3"/>
        <item x="4"/>
        <item t="default"/>
      </items>
    </pivotField>
    <pivotField name="Input chi tiết" axis="axisRow" compact="0" outline="0" multipleItemSelectionAllowed="1" showAll="0" sortType="ascending">
      <items>
        <item x="2"/>
        <item x="3"/>
        <item x="0"/>
        <item x="12"/>
        <item x="8"/>
        <item x="1"/>
        <item x="6"/>
        <item x="13"/>
        <item x="5"/>
        <item x="11"/>
        <item x="10"/>
        <item x="14"/>
        <item x="15"/>
        <item x="9"/>
        <item x="7"/>
        <item x="4"/>
        <item t="default"/>
      </items>
    </pivotField>
  </pivotFields>
  <rowFields>
    <field x="9"/>
  </rowFields>
  <colFields>
    <field x="2"/>
  </colFields>
  <dataFields>
    <dataField name="COUNTA of ORG ID" fld="0" subtotal="count" baseField="0"/>
  </dataFields>
</pivotTableDefinition>
</file>

<file path=xl/pivotTables/pivotTable3.xml><?xml version="1.0" encoding="utf-8"?>
<pivotTableDefinition xmlns="http://schemas.openxmlformats.org/spreadsheetml/2006/main" name="tungld_tách SUP" cacheId="3" dataCaption="" compact="0" compactData="0">
  <location ref="L2:M16" firstHeaderRow="0" firstDataRow="1" firstDataCol="0"/>
  <pivotFields>
    <pivotField name="ORG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t="default"/>
      </items>
    </pivotField>
    <pivotField name="Khu vực" compact="0" outline="0" multipleItemSelectionAllowed="1" showAll="0">
      <items>
        <item x="0"/>
        <item x="1"/>
        <item x="2"/>
        <item x="3"/>
        <item t="default"/>
      </items>
    </pivotField>
    <pivotField name="Status" compact="0" outline="0" multipleItemSelectionAllowed="1" showAll="0">
      <items>
        <item x="0"/>
        <item x="1"/>
        <item x="2"/>
        <item t="default"/>
      </items>
    </pivotField>
    <pivotField name="Ngành nghề"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ustomer Success (Lead)" compact="0" outline="0" multipleItemSelectionAllowed="1" showAll="0">
      <items>
        <item x="0"/>
        <item x="1"/>
        <item x="2"/>
        <item x="3"/>
        <item x="4"/>
        <item x="5"/>
        <item x="6"/>
        <item x="7"/>
        <item x="8"/>
        <item x="9"/>
        <item x="10"/>
        <item x="11"/>
        <item x="12"/>
        <item x="13"/>
        <item x="14"/>
        <item x="15"/>
        <item x="16"/>
        <item x="17"/>
        <item x="18"/>
        <item t="default"/>
      </items>
    </pivotField>
    <pivotField name="Phân khúc" compact="0" outline="0" multipleItemSelectionAllowed="1" showAll="0">
      <items>
        <item x="0"/>
        <item x="1"/>
        <item x="2"/>
        <item x="3"/>
        <item x="4"/>
        <item x="5"/>
        <item t="default"/>
      </items>
    </pivotField>
    <pivotField name="Loại gói cước" compact="0" outline="0" multipleItemSelectionAllowed="1" showAll="0">
      <items>
        <item x="0"/>
        <item x="1"/>
        <item x="2"/>
        <item x="3"/>
        <item x="4"/>
        <item x="5"/>
        <item x="6"/>
        <item x="7"/>
        <item x="8"/>
        <item x="9"/>
        <item x="10"/>
        <item x="11"/>
        <item t="default"/>
      </items>
    </pivotField>
    <pivotField name="Hình thức TT" compact="0" outline="0" multipleItemSelectionAllowed="1" showAll="0">
      <items>
        <item x="0"/>
        <item x="1"/>
        <item x="2"/>
        <item x="3"/>
        <item x="4"/>
        <item t="default"/>
      </items>
    </pivotField>
    <pivotField name="Hình thức SD" compact="0" outline="0" multipleItemSelectionAllowed="1" showAll="0">
      <items>
        <item x="0"/>
        <item x="1"/>
        <item x="2"/>
        <item x="3"/>
        <item x="4"/>
        <item x="5"/>
        <item t="default"/>
      </items>
    </pivotField>
    <pivotField name="Customer Support" axis="axisRow" compact="0" outline="0" multipleItemSelectionAllowed="1" showAll="0" sortType="ascending">
      <items>
        <item x="12"/>
        <item x="3"/>
        <item x="6"/>
        <item x="4"/>
        <item x="10"/>
        <item x="1"/>
        <item x="7"/>
        <item x="11"/>
        <item x="2"/>
        <item x="0"/>
        <item x="9"/>
        <item x="8"/>
        <item x="5"/>
        <item t="default"/>
      </items>
    </pivotField>
  </pivotFields>
  <rowFields>
    <field x="9"/>
  </rowFields>
  <dataFields>
    <dataField name="COUNTA of ORG ID" fld="0" subtotal="count" baseField="0"/>
  </dataFields>
</pivotTableDefinition>
</file>

<file path=xl/pivotTables/pivotTable4.xml><?xml version="1.0" encoding="utf-8"?>
<pivotTableDefinition xmlns="http://schemas.openxmlformats.org/spreadsheetml/2006/main" name="tách dữ liệu input" cacheId="4" dataCaption="" compact="0" compactData="0">
  <location ref="P13:T32" firstHeaderRow="0" firstDataRow="1" firstDataCol="1"/>
  <pivotFields>
    <pivotField name="29"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t="default"/>
      </items>
    </pivotField>
    <pivotField name="Hà Nội" compact="0" outline="0" multipleItemSelectionAllowed="1" showAll="0">
      <items>
        <item x="0"/>
        <item x="1"/>
        <item x="2"/>
        <item x="3"/>
        <item t="default"/>
      </items>
    </pivotField>
    <pivotField name="Active" axis="axisCol" compact="0" outline="0" multipleItemSelectionAllowed="1" showAll="0" sortType="ascending">
      <items>
        <item x="2"/>
        <item x="0"/>
        <item x="1"/>
        <item t="default"/>
      </items>
    </pivotField>
    <pivotField name="Vận tải &amp; logistic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ùngLD" compact="0" outline="0" multipleItemSelectionAllowed="1" showAll="0">
      <items>
        <item x="0"/>
        <item x="1"/>
        <item x="2"/>
        <item x="3"/>
        <item x="4"/>
        <item x="5"/>
        <item x="6"/>
        <item x="7"/>
        <item x="8"/>
        <item x="9"/>
        <item x="10"/>
        <item x="11"/>
        <item x="12"/>
        <item x="13"/>
        <item x="14"/>
        <item x="15"/>
        <item x="16"/>
        <item x="17"/>
        <item x="18"/>
        <item t="default"/>
      </items>
    </pivotField>
    <pivotField name="Gold" compact="0" outline="0" multipleItemSelectionAllowed="1" showAll="0">
      <items>
        <item x="0"/>
        <item x="1"/>
        <item x="2"/>
        <item x="3"/>
        <item x="4"/>
        <item x="5"/>
        <item t="default"/>
      </items>
    </pivotField>
    <pivotField name="Enterprise" compact="0" outline="0" multipleItemSelectionAllowed="1" showAll="0">
      <items>
        <item x="0"/>
        <item x="1"/>
        <item x="2"/>
        <item x="3"/>
        <item x="4"/>
        <item x="5"/>
        <item x="6"/>
        <item x="7"/>
        <item x="8"/>
        <item x="9"/>
        <item x="10"/>
        <item x="11"/>
        <item t="default"/>
      </items>
    </pivotField>
    <pivotField name="Trả sau" compact="0" outline="0" multipleItemSelectionAllowed="1" showAll="0">
      <items>
        <item x="0"/>
        <item x="1"/>
        <item x="2"/>
        <item x="3"/>
        <item x="4"/>
        <item t="default"/>
      </items>
    </pivotField>
    <pivotField name="API" compact="0" outline="0" multipleItemSelectionAllowed="1" showAll="0">
      <items>
        <item x="0"/>
        <item x="1"/>
        <item x="2"/>
        <item x="3"/>
        <item x="4"/>
        <item x="5"/>
        <item t="default"/>
      </items>
    </pivotField>
    <pivotField name="api2" axis="axisRow" compact="0" outline="0" multipleItemSelectionAllowed="1" showAll="0" sortType="descending">
      <items>
        <item x="4"/>
        <item x="7"/>
        <item x="9"/>
        <item x="15"/>
        <item x="14"/>
        <item x="10"/>
        <item x="11"/>
        <item x="5"/>
        <item x="13"/>
        <item x="6"/>
        <item x="0"/>
        <item x="8"/>
        <item x="12"/>
        <item x="1"/>
        <item x="3"/>
        <item x="2"/>
        <item x="16"/>
        <item t="default"/>
      </items>
    </pivotField>
  </pivotFields>
  <rowFields>
    <field x="9"/>
  </rowFields>
  <colFields>
    <field x="2"/>
  </colFields>
  <dataFields>
    <dataField name="COUNTA of 29"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55" dT="2025-12-11T03:14:30.00" personId="{12f7005d-9e21-494e-8022-b911dd7bd0ae}" id="{3ff75516-e418-439c-b1d5-54ab63cc4a03}" done="0">
    <x18tc:text xml:space="preserve">Không có thông tin về việc khách có dùng API không, khách này trước đó của chị Thanh, không có CS</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mailto:vinhnguyen@elines.vn" TargetMode="External"/><Relationship Id="rId190" Type="http://schemas.openxmlformats.org/officeDocument/2006/relationships/hyperlink" Target="http://kingflix.vn/" TargetMode="External"/><Relationship Id="rId42" Type="http://schemas.openxmlformats.org/officeDocument/2006/relationships/hyperlink" Target="mailto:thudn@sapp.edu.vn" TargetMode="External"/><Relationship Id="rId41" Type="http://schemas.openxmlformats.org/officeDocument/2006/relationships/hyperlink" Target="mailto:thudn@sapp.edu.vn" TargetMode="External"/><Relationship Id="rId44" Type="http://schemas.openxmlformats.org/officeDocument/2006/relationships/hyperlink" Target="about:blank" TargetMode="External"/><Relationship Id="rId194" Type="http://schemas.openxmlformats.org/officeDocument/2006/relationships/hyperlink" Target="mailto:LeThi.Dung@suntorypepsico.vn" TargetMode="External"/><Relationship Id="rId43" Type="http://schemas.openxmlformats.org/officeDocument/2006/relationships/hyperlink" Target="mailto:mkt@khaiminhjsc.vn" TargetMode="External"/><Relationship Id="rId193" Type="http://schemas.openxmlformats.org/officeDocument/2006/relationships/hyperlink" Target="mailto:LeThiHuyen.Trang1@suntorypepsico.vn" TargetMode="External"/><Relationship Id="rId46" Type="http://schemas.openxmlformats.org/officeDocument/2006/relationships/hyperlink" Target="about:blank" TargetMode="External"/><Relationship Id="rId192" Type="http://schemas.openxmlformats.org/officeDocument/2006/relationships/hyperlink" Target="mailto:nguyentrong.nhan@heineken.com" TargetMode="External"/><Relationship Id="rId45" Type="http://schemas.openxmlformats.org/officeDocument/2006/relationships/hyperlink" Target="mailto:anhduy.tran@manabie.com" TargetMode="External"/><Relationship Id="rId191" Type="http://schemas.openxmlformats.org/officeDocument/2006/relationships/hyperlink" Target="mailto:nguyentrong.nhan@heineken.com" TargetMode="External"/><Relationship Id="rId48" Type="http://schemas.openxmlformats.org/officeDocument/2006/relationships/hyperlink" Target="mailto:membership@vnhr.vn" TargetMode="External"/><Relationship Id="rId187" Type="http://schemas.openxmlformats.org/officeDocument/2006/relationships/hyperlink" Target="mailto:4amhairstudio@gmail.com" TargetMode="External"/><Relationship Id="rId47" Type="http://schemas.openxmlformats.org/officeDocument/2006/relationships/hyperlink" Target="mailto:membership@vnhr.vn" TargetMode="External"/><Relationship Id="rId186" Type="http://schemas.openxmlformats.org/officeDocument/2006/relationships/hyperlink" Target="mailto:kdentistketoan3@gmail.com" TargetMode="External"/><Relationship Id="rId185" Type="http://schemas.openxmlformats.org/officeDocument/2006/relationships/hyperlink" Target="mailto:tuoi@dtwoodvn.com" TargetMode="External"/><Relationship Id="rId49" Type="http://schemas.openxmlformats.org/officeDocument/2006/relationships/hyperlink" Target="mailto:tieppv@gocheap.vn" TargetMode="External"/><Relationship Id="rId184" Type="http://schemas.openxmlformats.org/officeDocument/2006/relationships/hyperlink" Target="mailto:info@htcsaigon.com" TargetMode="External"/><Relationship Id="rId189" Type="http://schemas.openxmlformats.org/officeDocument/2006/relationships/hyperlink" Target="mailto:nguyenndt@nutifood.com.vn" TargetMode="External"/><Relationship Id="rId188" Type="http://schemas.openxmlformats.org/officeDocument/2006/relationships/hyperlink" Target="mailto:nguyenthinh7784567@gmail.com" TargetMode="External"/><Relationship Id="rId31" Type="http://schemas.openxmlformats.org/officeDocument/2006/relationships/hyperlink" Target="mailto:huong.truongthu@goldsunfood.vn" TargetMode="External"/><Relationship Id="rId30" Type="http://schemas.openxmlformats.org/officeDocument/2006/relationships/hyperlink" Target="about:blank" TargetMode="External"/><Relationship Id="rId33" Type="http://schemas.openxmlformats.org/officeDocument/2006/relationships/hyperlink" Target="mailto:ly.hoang@gcalls.co" TargetMode="External"/><Relationship Id="rId183" Type="http://schemas.openxmlformats.org/officeDocument/2006/relationships/hyperlink" Target="mailto:lykhanhho@saigonnewport.com.vn" TargetMode="External"/><Relationship Id="rId32" Type="http://schemas.openxmlformats.org/officeDocument/2006/relationships/hyperlink" Target="mailto:nhahangnamsonghauvc@gmail.com" TargetMode="External"/><Relationship Id="rId182" Type="http://schemas.openxmlformats.org/officeDocument/2006/relationships/hyperlink" Target="mailto:lykhanhho@saigonnewport.com.vn" TargetMode="External"/><Relationship Id="rId35" Type="http://schemas.openxmlformats.org/officeDocument/2006/relationships/hyperlink" Target="mailto:tesol@educap.vn" TargetMode="External"/><Relationship Id="rId181" Type="http://schemas.openxmlformats.org/officeDocument/2006/relationships/hyperlink" Target="mailto:Beautysalonloc@gmail.com" TargetMode="External"/><Relationship Id="rId34" Type="http://schemas.openxmlformats.org/officeDocument/2006/relationships/hyperlink" Target="mailto:ly.hoang@gcalls.co" TargetMode="External"/><Relationship Id="rId180" Type="http://schemas.openxmlformats.org/officeDocument/2006/relationships/hyperlink" Target="mailto:quypham100411@gmail.com" TargetMode="External"/><Relationship Id="rId37" Type="http://schemas.openxmlformats.org/officeDocument/2006/relationships/hyperlink" Target="about:blank" TargetMode="External"/><Relationship Id="rId176" Type="http://schemas.openxmlformats.org/officeDocument/2006/relationships/hyperlink" Target="mailto:nguyencuongkhanh@gmail.com" TargetMode="External"/><Relationship Id="rId36" Type="http://schemas.openxmlformats.org/officeDocument/2006/relationships/hyperlink" Target="mailto:nguyenlinh.accgroup@gmail.com" TargetMode="External"/><Relationship Id="rId175" Type="http://schemas.openxmlformats.org/officeDocument/2006/relationships/hyperlink" Target="mailto:cascavietnam@gmail.com" TargetMode="External"/><Relationship Id="rId39" Type="http://schemas.openxmlformats.org/officeDocument/2006/relationships/hyperlink" Target="mailto:vinhnguyen@elines.vn" TargetMode="External"/><Relationship Id="rId174" Type="http://schemas.openxmlformats.org/officeDocument/2006/relationships/hyperlink" Target="mailto:fanpage.stl@gmail.com" TargetMode="External"/><Relationship Id="rId38" Type="http://schemas.openxmlformats.org/officeDocument/2006/relationships/hyperlink" Target="mailto:tanaya.sawant@netcorecloud.com" TargetMode="External"/><Relationship Id="rId173" Type="http://schemas.openxmlformats.org/officeDocument/2006/relationships/hyperlink" Target="mailto:fanpage.stl@gmail.com" TargetMode="External"/><Relationship Id="rId179" Type="http://schemas.openxmlformats.org/officeDocument/2006/relationships/hyperlink" Target="mailto:khiem.luu@decathlon.com" TargetMode="External"/><Relationship Id="rId178" Type="http://schemas.openxmlformats.org/officeDocument/2006/relationships/hyperlink" Target="mailto:khieutnc@gmail.com" TargetMode="External"/><Relationship Id="rId177" Type="http://schemas.openxmlformats.org/officeDocument/2006/relationships/hyperlink" Target="mailto:Tran.Huynh@suntorypepsico.vn" TargetMode="External"/><Relationship Id="rId20" Type="http://schemas.openxmlformats.org/officeDocument/2006/relationships/hyperlink" Target="about:blank" TargetMode="External"/><Relationship Id="rId22" Type="http://schemas.openxmlformats.org/officeDocument/2006/relationships/hyperlink" Target="mailto:quocthuan.vo@libertyinsurance.com.vn"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mailto:quocthuan.vo@libertyinsurance.com.vn" TargetMode="External"/><Relationship Id="rId26" Type="http://schemas.openxmlformats.org/officeDocument/2006/relationships/hyperlink" Target="about:blank" TargetMode="External"/><Relationship Id="rId25" Type="http://schemas.openxmlformats.org/officeDocument/2006/relationships/hyperlink" Target="mailto:tranduc0304@gmail.com" TargetMode="External"/><Relationship Id="rId28" Type="http://schemas.openxmlformats.org/officeDocument/2006/relationships/hyperlink" Target="mailto:cto@anvui.vn" TargetMode="External"/><Relationship Id="rId27" Type="http://schemas.openxmlformats.org/officeDocument/2006/relationships/hyperlink" Target="mailto:cto@anvui.vn" TargetMode="External"/><Relationship Id="rId29" Type="http://schemas.openxmlformats.org/officeDocument/2006/relationships/hyperlink" Target="mailto:nhutrangpr@gmail.com" TargetMode="External"/><Relationship Id="rId11" Type="http://schemas.openxmlformats.org/officeDocument/2006/relationships/hyperlink" Target="mailto:vas-psoc.platform@cmctelecom.vn" TargetMode="External"/><Relationship Id="rId10" Type="http://schemas.openxmlformats.org/officeDocument/2006/relationships/hyperlink" Target="mailto:suc.nx@aseansc.com.vn"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5" Type="http://schemas.openxmlformats.org/officeDocument/2006/relationships/hyperlink" Target="mailto:cuong.hoang.mfw@gmail.com" TargetMode="External"/><Relationship Id="rId198" Type="http://schemas.openxmlformats.org/officeDocument/2006/relationships/hyperlink" Target="mailto:yen.nguyen@vn.mcd.com" TargetMode="External"/><Relationship Id="rId14" Type="http://schemas.openxmlformats.org/officeDocument/2006/relationships/hyperlink" Target="mailto:ngoc@triplayz.com" TargetMode="External"/><Relationship Id="rId197" Type="http://schemas.openxmlformats.org/officeDocument/2006/relationships/hyperlink" Target="mailto:NguyenNgocBich.Huyen@suntorypepsico.vn" TargetMode="External"/><Relationship Id="rId17" Type="http://schemas.openxmlformats.org/officeDocument/2006/relationships/hyperlink" Target="about:blank" TargetMode="External"/><Relationship Id="rId196" Type="http://schemas.openxmlformats.org/officeDocument/2006/relationships/hyperlink" Target="mailto:NguyenTuan.Tai@suntorypepsico.vn" TargetMode="External"/><Relationship Id="rId16" Type="http://schemas.openxmlformats.org/officeDocument/2006/relationships/hyperlink" Target="mailto:giangluu@systematicfunctions.com" TargetMode="External"/><Relationship Id="rId195" Type="http://schemas.openxmlformats.org/officeDocument/2006/relationships/hyperlink" Target="mailto:luuthihuong.dung@suntorypepsico.vn" TargetMode="External"/><Relationship Id="rId19" Type="http://schemas.openxmlformats.org/officeDocument/2006/relationships/hyperlink" Target="mailto:myntt.gli@vnpt.vn" TargetMode="External"/><Relationship Id="rId18" Type="http://schemas.openxmlformats.org/officeDocument/2006/relationships/hyperlink" Target="mailto:myntt.gli@vnpt.vn" TargetMode="External"/><Relationship Id="rId199" Type="http://schemas.openxmlformats.org/officeDocument/2006/relationships/hyperlink" Target="mailto:sales@avcochem.com.vn" TargetMode="External"/><Relationship Id="rId84" Type="http://schemas.openxmlformats.org/officeDocument/2006/relationships/hyperlink" Target="mailto:linhtm@hotvoucher.vn" TargetMode="External"/><Relationship Id="rId83" Type="http://schemas.openxmlformats.org/officeDocument/2006/relationships/hyperlink" Target="mailto:langdtm.ntn@vnpt.vn" TargetMode="External"/><Relationship Id="rId86" Type="http://schemas.openxmlformats.org/officeDocument/2006/relationships/hyperlink" Target="mailto:truyenthong@phenikaa-uni.edu.vn" TargetMode="External"/><Relationship Id="rId85" Type="http://schemas.openxmlformats.org/officeDocument/2006/relationships/hyperlink" Target="mailto:vinh.dt@viettinlab.com" TargetMode="External"/><Relationship Id="rId88" Type="http://schemas.openxmlformats.org/officeDocument/2006/relationships/hyperlink" Target="mailto:tinth@vtc.edu.vn" TargetMode="External"/><Relationship Id="rId150" Type="http://schemas.openxmlformats.org/officeDocument/2006/relationships/hyperlink" Target="mailto:maiphamnhu@vccorp.vn" TargetMode="External"/><Relationship Id="rId87" Type="http://schemas.openxmlformats.org/officeDocument/2006/relationships/hyperlink" Target="mailto:thanhthao.cnbk@gmail.com" TargetMode="External"/><Relationship Id="rId89" Type="http://schemas.openxmlformats.org/officeDocument/2006/relationships/hyperlink" Target="http://batdongsan.com.vn/" TargetMode="External"/><Relationship Id="rId80" Type="http://schemas.openxmlformats.org/officeDocument/2006/relationships/hyperlink" Target="mailto:lanvtn@mbc.masangroup.com" TargetMode="External"/><Relationship Id="rId82" Type="http://schemas.openxmlformats.org/officeDocument/2006/relationships/hyperlink" Target="mailto:langdtm.ntn@vnpt.vn" TargetMode="External"/><Relationship Id="rId81" Type="http://schemas.openxmlformats.org/officeDocument/2006/relationships/hyperlink" Target="mailto:marketing@premiertour.com.vn" TargetMode="External"/><Relationship Id="rId1" Type="http://schemas.openxmlformats.org/officeDocument/2006/relationships/comments" Target="../comments1.xml"/><Relationship Id="rId2" Type="http://schemas.openxmlformats.org/officeDocument/2006/relationships/hyperlink" Target="mailto:hungtran@mobitrip.vn" TargetMode="External"/><Relationship Id="rId3" Type="http://schemas.openxmlformats.org/officeDocument/2006/relationships/hyperlink" Target="mailto:nghianv1@austdoor.com" TargetMode="External"/><Relationship Id="rId149" Type="http://schemas.openxmlformats.org/officeDocument/2006/relationships/hyperlink" Target="mailto:nguyenthihuong020791@gmail.com" TargetMode="External"/><Relationship Id="rId4" Type="http://schemas.openxmlformats.org/officeDocument/2006/relationships/hyperlink" Target="about:blank" TargetMode="External"/><Relationship Id="rId148" Type="http://schemas.openxmlformats.org/officeDocument/2006/relationships/hyperlink" Target="mailto:nguyenthihuong020791@gmail.com" TargetMode="External"/><Relationship Id="rId9" Type="http://schemas.openxmlformats.org/officeDocument/2006/relationships/hyperlink" Target="mailto:dichvunhantin@collectius.com" TargetMode="External"/><Relationship Id="rId143" Type="http://schemas.openxmlformats.org/officeDocument/2006/relationships/hyperlink" Target="mailto:thuhongvnpt@gmail.com" TargetMode="External"/><Relationship Id="rId142" Type="http://schemas.openxmlformats.org/officeDocument/2006/relationships/hyperlink" Target="mailto:thuhongvnpt@gmail.com" TargetMode="External"/><Relationship Id="rId141" Type="http://schemas.openxmlformats.org/officeDocument/2006/relationships/hyperlink" Target="about:blank" TargetMode="External"/><Relationship Id="rId140" Type="http://schemas.openxmlformats.org/officeDocument/2006/relationships/hyperlink" Target="mailto:hoangyenbuslines@gmail.com" TargetMode="External"/><Relationship Id="rId5" Type="http://schemas.openxmlformats.org/officeDocument/2006/relationships/hyperlink" Target="mailto:dichvunhantin@collectius.com" TargetMode="External"/><Relationship Id="rId147" Type="http://schemas.openxmlformats.org/officeDocument/2006/relationships/hyperlink" Target="about:blank" TargetMode="External"/><Relationship Id="rId6" Type="http://schemas.openxmlformats.org/officeDocument/2006/relationships/hyperlink" Target="mailto:dichvunhantin@collectius.com" TargetMode="External"/><Relationship Id="rId146" Type="http://schemas.openxmlformats.org/officeDocument/2006/relationships/hyperlink" Target="mailto:hoangyenbuslines@gmail.com" TargetMode="External"/><Relationship Id="rId7" Type="http://schemas.openxmlformats.org/officeDocument/2006/relationships/hyperlink" Target="mailto:dichvunhantin@collectius.com" TargetMode="External"/><Relationship Id="rId145" Type="http://schemas.openxmlformats.org/officeDocument/2006/relationships/hyperlink" Target="about:blank" TargetMode="External"/><Relationship Id="rId8" Type="http://schemas.openxmlformats.org/officeDocument/2006/relationships/hyperlink" Target="about:blank" TargetMode="External"/><Relationship Id="rId144" Type="http://schemas.openxmlformats.org/officeDocument/2006/relationships/hyperlink" Target="mailto:hoangyenbuslines@gmail.com" TargetMode="External"/><Relationship Id="rId73" Type="http://schemas.openxmlformats.org/officeDocument/2006/relationships/hyperlink" Target="about:blank" TargetMode="External"/><Relationship Id="rId72" Type="http://schemas.openxmlformats.org/officeDocument/2006/relationships/hyperlink" Target="mailto:info@thegioiinnhanh.com" TargetMode="External"/><Relationship Id="rId75" Type="http://schemas.openxmlformats.org/officeDocument/2006/relationships/hyperlink" Target="about:blank" TargetMode="External"/><Relationship Id="rId74" Type="http://schemas.openxmlformats.org/officeDocument/2006/relationships/hyperlink" Target="mailto:luan.pham@finhay.com.vn" TargetMode="External"/><Relationship Id="rId77" Type="http://schemas.openxmlformats.org/officeDocument/2006/relationships/hyperlink" Target="mailto:hacminhphuc@gmail.com" TargetMode="External"/><Relationship Id="rId76" Type="http://schemas.openxmlformats.org/officeDocument/2006/relationships/hyperlink" Target="mailto:hacminhphuc@gmail.com" TargetMode="External"/><Relationship Id="rId79" Type="http://schemas.openxmlformats.org/officeDocument/2006/relationships/hyperlink" Target="mailto:lanvtn@mbc.masangroup.com" TargetMode="External"/><Relationship Id="rId78" Type="http://schemas.openxmlformats.org/officeDocument/2006/relationships/hyperlink" Target="about:blank" TargetMode="External"/><Relationship Id="rId71" Type="http://schemas.openxmlformats.org/officeDocument/2006/relationships/hyperlink" Target="mailto:info@thegioiinnhanh.com" TargetMode="External"/><Relationship Id="rId70" Type="http://schemas.openxmlformats.org/officeDocument/2006/relationships/hyperlink" Target="about:blank" TargetMode="External"/><Relationship Id="rId139" Type="http://schemas.openxmlformats.org/officeDocument/2006/relationships/hyperlink" Target="mailto:uyenntt@antsomi.com" TargetMode="External"/><Relationship Id="rId138" Type="http://schemas.openxmlformats.org/officeDocument/2006/relationships/hyperlink" Target="mailto:hieu.tran3@hoanmy.com" TargetMode="External"/><Relationship Id="rId137" Type="http://schemas.openxmlformats.org/officeDocument/2006/relationships/hyperlink" Target="mailto:hieu.tran3@hoanmy.com" TargetMode="External"/><Relationship Id="rId132" Type="http://schemas.openxmlformats.org/officeDocument/2006/relationships/hyperlink" Target="mailto:hann2@crownx.masangroup.com" TargetMode="External"/><Relationship Id="rId131" Type="http://schemas.openxmlformats.org/officeDocument/2006/relationships/hyperlink" Target="mailto:hann2@crownx.masangroup.com" TargetMode="External"/><Relationship Id="rId130" Type="http://schemas.openxmlformats.org/officeDocument/2006/relationships/hyperlink" Target="about:blank" TargetMode="External"/><Relationship Id="rId136" Type="http://schemas.openxmlformats.org/officeDocument/2006/relationships/hyperlink" Target="mailto:ducmanh@hoaphat.com.vn" TargetMode="External"/><Relationship Id="rId135" Type="http://schemas.openxmlformats.org/officeDocument/2006/relationships/hyperlink" Target="mailto:ducmanh@hoaphat.com.vn" TargetMode="External"/><Relationship Id="rId134" Type="http://schemas.openxmlformats.org/officeDocument/2006/relationships/hyperlink" Target="mailto:linh.phan@vietdeligroup.com" TargetMode="External"/><Relationship Id="rId133" Type="http://schemas.openxmlformats.org/officeDocument/2006/relationships/hyperlink" Target="mailto:linh.phan@vietdeligroup.com" TargetMode="External"/><Relationship Id="rId62" Type="http://schemas.openxmlformats.org/officeDocument/2006/relationships/hyperlink" Target="about:blank" TargetMode="External"/><Relationship Id="rId61" Type="http://schemas.openxmlformats.org/officeDocument/2006/relationships/hyperlink" Target="mailto:minh.nh3@cmctelecom.vn" TargetMode="External"/><Relationship Id="rId64" Type="http://schemas.openxmlformats.org/officeDocument/2006/relationships/hyperlink" Target="mailto:nhung.tran@elmich.vn" TargetMode="External"/><Relationship Id="rId63" Type="http://schemas.openxmlformats.org/officeDocument/2006/relationships/hyperlink" Target="mailto:Son.Vo@manabie.com" TargetMode="External"/><Relationship Id="rId66" Type="http://schemas.openxmlformats.org/officeDocument/2006/relationships/hyperlink" Target="mailto:leatech.jsc@gmail.com" TargetMode="External"/><Relationship Id="rId172" Type="http://schemas.openxmlformats.org/officeDocument/2006/relationships/hyperlink" Target="mailto:neil@ataservice.com.vn" TargetMode="External"/><Relationship Id="rId65" Type="http://schemas.openxmlformats.org/officeDocument/2006/relationships/hyperlink" Target="about:blank" TargetMode="External"/><Relationship Id="rId171" Type="http://schemas.openxmlformats.org/officeDocument/2006/relationships/hyperlink" Target="mailto:Nguyenhoa221288@gmail.com" TargetMode="External"/><Relationship Id="rId68" Type="http://schemas.openxmlformats.org/officeDocument/2006/relationships/hyperlink" Target="mailto:tech@jemmia.vn" TargetMode="External"/><Relationship Id="rId170" Type="http://schemas.openxmlformats.org/officeDocument/2006/relationships/hyperlink" Target="mailto:ntthao.245@gmail.com" TargetMode="External"/><Relationship Id="rId67" Type="http://schemas.openxmlformats.org/officeDocument/2006/relationships/hyperlink" Target="about:blank" TargetMode="External"/><Relationship Id="rId60" Type="http://schemas.openxmlformats.org/officeDocument/2006/relationships/hyperlink" Target="about:blank" TargetMode="External"/><Relationship Id="rId165" Type="http://schemas.openxmlformats.org/officeDocument/2006/relationships/hyperlink" Target="about:blank" TargetMode="External"/><Relationship Id="rId69" Type="http://schemas.openxmlformats.org/officeDocument/2006/relationships/hyperlink" Target="mailto:Ttmanhbk@gmail.com" TargetMode="External"/><Relationship Id="rId164" Type="http://schemas.openxmlformats.org/officeDocument/2006/relationships/hyperlink" Target="mailto:tan.tran3@hoanmy.com" TargetMode="External"/><Relationship Id="rId163" Type="http://schemas.openxmlformats.org/officeDocument/2006/relationships/hyperlink" Target="about:blank" TargetMode="External"/><Relationship Id="rId162" Type="http://schemas.openxmlformats.org/officeDocument/2006/relationships/hyperlink" Target="mailto:minh.nh3@cmctelecom.vn" TargetMode="External"/><Relationship Id="rId169" Type="http://schemas.openxmlformats.org/officeDocument/2006/relationships/hyperlink" Target="mailto:ntthao.245@gmail.com" TargetMode="External"/><Relationship Id="rId168" Type="http://schemas.openxmlformats.org/officeDocument/2006/relationships/hyperlink" Target="mailto:dotranminhchu@gmail.com" TargetMode="External"/><Relationship Id="rId167" Type="http://schemas.openxmlformats.org/officeDocument/2006/relationships/hyperlink" Target="mailto:amit.kumar@capillarytech.com" TargetMode="External"/><Relationship Id="rId166" Type="http://schemas.openxmlformats.org/officeDocument/2006/relationships/hyperlink" Target="mailto:amit.kumar@capillarytech.com" TargetMode="External"/><Relationship Id="rId51" Type="http://schemas.openxmlformats.org/officeDocument/2006/relationships/hyperlink" Target="about:blank" TargetMode="External"/><Relationship Id="rId50" Type="http://schemas.openxmlformats.org/officeDocument/2006/relationships/hyperlink" Target="mailto:tieppv@gocheap.vn" TargetMode="External"/><Relationship Id="rId53" Type="http://schemas.openxmlformats.org/officeDocument/2006/relationships/hyperlink" Target="about:blank" TargetMode="External"/><Relationship Id="rId52" Type="http://schemas.openxmlformats.org/officeDocument/2006/relationships/hyperlink" Target="about:blank" TargetMode="External"/><Relationship Id="rId55" Type="http://schemas.openxmlformats.org/officeDocument/2006/relationships/hyperlink" Target="mailto:linhnt141414@gmail.com" TargetMode="External"/><Relationship Id="rId161" Type="http://schemas.openxmlformats.org/officeDocument/2006/relationships/hyperlink" Target="mailto:minh.nh3@cmctelecom.vn" TargetMode="External"/><Relationship Id="rId54" Type="http://schemas.openxmlformats.org/officeDocument/2006/relationships/hyperlink" Target="mailto:linhnt141414@gmail.com" TargetMode="External"/><Relationship Id="rId160" Type="http://schemas.openxmlformats.org/officeDocument/2006/relationships/hyperlink" Target="about:blank" TargetMode="External"/><Relationship Id="rId57" Type="http://schemas.openxmlformats.org/officeDocument/2006/relationships/hyperlink" Target="mailto:tranmanh.pai@gmail.com" TargetMode="External"/><Relationship Id="rId56" Type="http://schemas.openxmlformats.org/officeDocument/2006/relationships/hyperlink" Target="about:blank" TargetMode="External"/><Relationship Id="rId159" Type="http://schemas.openxmlformats.org/officeDocument/2006/relationships/hyperlink" Target="mailto:ict.support@dutchlady.com.vn" TargetMode="External"/><Relationship Id="rId59" Type="http://schemas.openxmlformats.org/officeDocument/2006/relationships/hyperlink" Target="mailto:danisgroup99@gmail.com" TargetMode="External"/><Relationship Id="rId154" Type="http://schemas.openxmlformats.org/officeDocument/2006/relationships/hyperlink" Target="about:blank" TargetMode="External"/><Relationship Id="rId58" Type="http://schemas.openxmlformats.org/officeDocument/2006/relationships/hyperlink" Target="mailto:gin@brickmate.kr" TargetMode="External"/><Relationship Id="rId153" Type="http://schemas.openxmlformats.org/officeDocument/2006/relationships/hyperlink" Target="mailto:ruanyingguang@sailuntire.com" TargetMode="External"/><Relationship Id="rId152" Type="http://schemas.openxmlformats.org/officeDocument/2006/relationships/hyperlink" Target="about:blank" TargetMode="External"/><Relationship Id="rId151" Type="http://schemas.openxmlformats.org/officeDocument/2006/relationships/hyperlink" Target="about:blank" TargetMode="External"/><Relationship Id="rId158" Type="http://schemas.openxmlformats.org/officeDocument/2006/relationships/hyperlink" Target="mailto:ict.support@dutchlady.com.vn" TargetMode="External"/><Relationship Id="rId157" Type="http://schemas.openxmlformats.org/officeDocument/2006/relationships/hyperlink" Target="mailto:nganlengockim@vccorp.vn" TargetMode="External"/><Relationship Id="rId156" Type="http://schemas.openxmlformats.org/officeDocument/2006/relationships/hyperlink" Target="mailto:nganlengockim@vccorp.vn" TargetMode="External"/><Relationship Id="rId155" Type="http://schemas.openxmlformats.org/officeDocument/2006/relationships/hyperlink" Target="mailto:phuongdtm@dagoras.io" TargetMode="External"/><Relationship Id="rId107" Type="http://schemas.openxmlformats.org/officeDocument/2006/relationships/hyperlink" Target="mailto:datdt.vnp@gmail.com" TargetMode="External"/><Relationship Id="rId106" Type="http://schemas.openxmlformats.org/officeDocument/2006/relationships/hyperlink" Target="mailto:datdt.vnp@gmail.com" TargetMode="External"/><Relationship Id="rId105" Type="http://schemas.openxmlformats.org/officeDocument/2006/relationships/hyperlink" Target="about:blank" TargetMode="External"/><Relationship Id="rId104" Type="http://schemas.openxmlformats.org/officeDocument/2006/relationships/hyperlink" Target="mailto:Sonhaitourist@gmail.com" TargetMode="External"/><Relationship Id="rId109" Type="http://schemas.openxmlformats.org/officeDocument/2006/relationships/hyperlink" Target="mailto:phuongquyenme@gmail.com" TargetMode="External"/><Relationship Id="rId108" Type="http://schemas.openxmlformats.org/officeDocument/2006/relationships/hyperlink" Target="mailto:phuongquyenme@gmail.com" TargetMode="External"/><Relationship Id="rId103" Type="http://schemas.openxmlformats.org/officeDocument/2006/relationships/hyperlink" Target="mailto:Sonhaitourist@gmail.com" TargetMode="External"/><Relationship Id="rId102" Type="http://schemas.openxmlformats.org/officeDocument/2006/relationships/hyperlink" Target="mailto:Garaanhtu@gmail.com" TargetMode="External"/><Relationship Id="rId101" Type="http://schemas.openxmlformats.org/officeDocument/2006/relationships/hyperlink" Target="mailto:Garaanhtu@gmail.com" TargetMode="External"/><Relationship Id="rId100" Type="http://schemas.openxmlformats.org/officeDocument/2006/relationships/hyperlink" Target="about:blank" TargetMode="External"/><Relationship Id="rId217" Type="http://schemas.openxmlformats.org/officeDocument/2006/relationships/vmlDrawing" Target="../drawings/vmlDrawing1.vml"/><Relationship Id="rId216" Type="http://schemas.openxmlformats.org/officeDocument/2006/relationships/drawing" Target="../drawings/drawing1.xml"/><Relationship Id="rId215" Type="http://schemas.openxmlformats.org/officeDocument/2006/relationships/hyperlink" Target="mailto:serene@blumn.ai" TargetMode="External"/><Relationship Id="rId214" Type="http://schemas.openxmlformats.org/officeDocument/2006/relationships/hyperlink" Target="mailto:Hien.NguyenMinh@mdlz.com" TargetMode="External"/><Relationship Id="rId213" Type="http://schemas.openxmlformats.org/officeDocument/2006/relationships/hyperlink" Target="mailto:dang.phan@orthian.vn" TargetMode="External"/><Relationship Id="rId212" Type="http://schemas.openxmlformats.org/officeDocument/2006/relationships/hyperlink" Target="mailto:tienht@basebs.com" TargetMode="External"/><Relationship Id="rId211" Type="http://schemas.openxmlformats.org/officeDocument/2006/relationships/hyperlink" Target="mailto:ga1@copenhagendelights.com" TargetMode="External"/><Relationship Id="rId210" Type="http://schemas.openxmlformats.org/officeDocument/2006/relationships/hyperlink" Target="mailto:ga1@copenhagendelights.com" TargetMode="External"/><Relationship Id="rId129" Type="http://schemas.openxmlformats.org/officeDocument/2006/relationships/hyperlink" Target="mailto:quang.nguyen12@onemount.com" TargetMode="External"/><Relationship Id="rId128" Type="http://schemas.openxmlformats.org/officeDocument/2006/relationships/hyperlink" Target="mailto:hddt.phucanh2023@gmail.com" TargetMode="External"/><Relationship Id="rId127" Type="http://schemas.openxmlformats.org/officeDocument/2006/relationships/hyperlink" Target="mailto:lehongson0693@gmail.com" TargetMode="External"/><Relationship Id="rId126" Type="http://schemas.openxmlformats.org/officeDocument/2006/relationships/hyperlink" Target="mailto:Hoangphuonglimousine@gmail.com" TargetMode="External"/><Relationship Id="rId121" Type="http://schemas.openxmlformats.org/officeDocument/2006/relationships/hyperlink" Target="mailto:dennis-zr.chong@cartier.com" TargetMode="External"/><Relationship Id="rId120" Type="http://schemas.openxmlformats.org/officeDocument/2006/relationships/hyperlink" Target="about:blank" TargetMode="External"/><Relationship Id="rId125" Type="http://schemas.openxmlformats.org/officeDocument/2006/relationships/hyperlink" Target="mailto:Hoangphuonglimousine@gmail.com" TargetMode="External"/><Relationship Id="rId124" Type="http://schemas.openxmlformats.org/officeDocument/2006/relationships/hyperlink" Target="about:blank" TargetMode="External"/><Relationship Id="rId123" Type="http://schemas.openxmlformats.org/officeDocument/2006/relationships/hyperlink" Target="mailto:hoangyenbuslines@gmail.com" TargetMode="External"/><Relationship Id="rId122" Type="http://schemas.openxmlformats.org/officeDocument/2006/relationships/hyperlink" Target="mailto:dennis-zr.chong@cartier.com" TargetMode="External"/><Relationship Id="rId95" Type="http://schemas.openxmlformats.org/officeDocument/2006/relationships/hyperlink" Target="mailto:viettrungptit@gmail.com" TargetMode="External"/><Relationship Id="rId94" Type="http://schemas.openxmlformats.org/officeDocument/2006/relationships/hyperlink" Target="mailto:t.b.trucquan@thienantramhuong.com" TargetMode="External"/><Relationship Id="rId97" Type="http://schemas.openxmlformats.org/officeDocument/2006/relationships/hyperlink" Target="about:blank" TargetMode="External"/><Relationship Id="rId96" Type="http://schemas.openxmlformats.org/officeDocument/2006/relationships/hyperlink" Target="mailto:minhdh.gamuda@gmail.com" TargetMode="External"/><Relationship Id="rId99" Type="http://schemas.openxmlformats.org/officeDocument/2006/relationships/hyperlink" Target="mailto:ketoan@tel4vn.com" TargetMode="External"/><Relationship Id="rId98" Type="http://schemas.openxmlformats.org/officeDocument/2006/relationships/hyperlink" Target="mailto:ketoan@tel4vn.com" TargetMode="External"/><Relationship Id="rId91" Type="http://schemas.openxmlformats.org/officeDocument/2006/relationships/hyperlink" Target="about:blank" TargetMode="External"/><Relationship Id="rId90" Type="http://schemas.openxmlformats.org/officeDocument/2006/relationships/hyperlink" Target="mailto:hieult2@batdongsan.com.vn" TargetMode="External"/><Relationship Id="rId93" Type="http://schemas.openxmlformats.org/officeDocument/2006/relationships/hyperlink" Target="mailto:t.b.trucquan@thienantramhuong.com" TargetMode="External"/><Relationship Id="rId92" Type="http://schemas.openxmlformats.org/officeDocument/2006/relationships/hyperlink" Target="about:blank" TargetMode="External"/><Relationship Id="rId118" Type="http://schemas.openxmlformats.org/officeDocument/2006/relationships/hyperlink" Target="mailto:phongglh06@gmail.com" TargetMode="External"/><Relationship Id="rId117" Type="http://schemas.openxmlformats.org/officeDocument/2006/relationships/hyperlink" Target="mailto:phongglh06@gmail.com" TargetMode="External"/><Relationship Id="rId116" Type="http://schemas.openxmlformats.org/officeDocument/2006/relationships/hyperlink" Target="about:blank" TargetMode="External"/><Relationship Id="rId115" Type="http://schemas.openxmlformats.org/officeDocument/2006/relationships/hyperlink" Target="mailto:hoangyenbuslines@gmail.com" TargetMode="External"/><Relationship Id="rId119" Type="http://schemas.openxmlformats.org/officeDocument/2006/relationships/hyperlink" Target="about:blank" TargetMode="External"/><Relationship Id="rId110" Type="http://schemas.openxmlformats.org/officeDocument/2006/relationships/hyperlink" Target="mailto:cuongnh@vnpt.vn" TargetMode="External"/><Relationship Id="rId114" Type="http://schemas.openxmlformats.org/officeDocument/2006/relationships/hyperlink" Target="mailto:hoangyenbuslines@gmail.com" TargetMode="External"/><Relationship Id="rId113" Type="http://schemas.openxmlformats.org/officeDocument/2006/relationships/hyperlink" Target="about:blank" TargetMode="External"/><Relationship Id="rId112" Type="http://schemas.openxmlformats.org/officeDocument/2006/relationships/hyperlink" Target="mailto:hoangyenbuslines@gmail.com" TargetMode="External"/><Relationship Id="rId111" Type="http://schemas.openxmlformats.org/officeDocument/2006/relationships/hyperlink" Target="mailto:chau.nguyen3@hoanmy.com" TargetMode="External"/><Relationship Id="rId206" Type="http://schemas.openxmlformats.org/officeDocument/2006/relationships/hyperlink" Target="mailto:LeBao.Khanh@vn.nestle.com" TargetMode="External"/><Relationship Id="rId205" Type="http://schemas.openxmlformats.org/officeDocument/2006/relationships/hyperlink" Target="mailto:d.baott@dcorp.com.vn" TargetMode="External"/><Relationship Id="rId204" Type="http://schemas.openxmlformats.org/officeDocument/2006/relationships/hyperlink" Target="mailto:kieuanhdavid@gmail.com" TargetMode="External"/><Relationship Id="rId203" Type="http://schemas.openxmlformats.org/officeDocument/2006/relationships/hyperlink" Target="mailto:Hoa.duong@dgvdigital.com" TargetMode="External"/><Relationship Id="rId209" Type="http://schemas.openxmlformats.org/officeDocument/2006/relationships/hyperlink" Target="mailto:LeThiHoang.Thy@vn.nestle.com" TargetMode="External"/><Relationship Id="rId208" Type="http://schemas.openxmlformats.org/officeDocument/2006/relationships/hyperlink" Target="mailto:Martech@everon.com" TargetMode="External"/><Relationship Id="rId207" Type="http://schemas.openxmlformats.org/officeDocument/2006/relationships/hyperlink" Target="mailto:Martech@everon.com" TargetMode="External"/><Relationship Id="rId202" Type="http://schemas.openxmlformats.org/officeDocument/2006/relationships/hyperlink" Target="mailto:Hoa.duong@dgvdigital.com" TargetMode="External"/><Relationship Id="rId201" Type="http://schemas.openxmlformats.org/officeDocument/2006/relationships/hyperlink" Target="mailto:adidasvietnam.phoenix2018@gmail.com" TargetMode="External"/><Relationship Id="rId200" Type="http://schemas.openxmlformats.org/officeDocument/2006/relationships/hyperlink" Target="mailto:adidasvietnam.phoenix2018@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cript.google.com/macros/s/AKfycbympA8OZFBf7Q4UwWlAMfHt7WpH9wABiKDWurjXJWIlGN6zeisw3BP6GYNdwYcscUC1/exec" TargetMode="External"/><Relationship Id="rId2" Type="http://schemas.openxmlformats.org/officeDocument/2006/relationships/hyperlink" Target="https://drive.google.com/file/d/1zesNnzZWLCDt8B_-ekcP1qcsdmm3TP1s/view?usp=sharing" TargetMode="External"/><Relationship Id="rId3" Type="http://schemas.openxmlformats.org/officeDocument/2006/relationships/hyperlink" Target="https://script.google.com/macros/s/AKfycbympA8OZFBf7Q4UwWlAMfHt7WpH9wABiKDWurjXJWIlGN6zeisw3BP6GYNdwYcscUC1/exec"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luan.pham@finhay.com.vn" TargetMode="External"/><Relationship Id="rId5" Type="http://schemas.openxmlformats.org/officeDocument/2006/relationships/hyperlink" Target="mailto:tinth@vtc.edu.vn" TargetMode="External"/><Relationship Id="rId6" Type="http://schemas.openxmlformats.org/officeDocument/2006/relationships/hyperlink" Target="mailto:minhdh.gamuda@gmail.com" TargetMode="External"/><Relationship Id="rId7" Type="http://schemas.openxmlformats.org/officeDocument/2006/relationships/drawing" Target="../drawings/drawing3.xml"/><Relationship Id="rId8"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g1_vtp.vn" TargetMode="External"/><Relationship Id="rId2" Type="http://schemas.openxmlformats.org/officeDocument/2006/relationships/hyperlink" Target="http://batdongsan.com.vn" TargetMode="External"/><Relationship Id="rId3" Type="http://schemas.openxmlformats.org/officeDocument/2006/relationships/hyperlink" Target="http://batdongsan.com.vn"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bkeshop.com" TargetMode="External"/><Relationship Id="rId2" Type="http://schemas.openxmlformats.org/officeDocument/2006/relationships/hyperlink" Target="http://hubspot.gapone.vn" TargetMode="External"/><Relationship Id="rId3" Type="http://schemas.openxmlformats.org/officeDocument/2006/relationships/hyperlink" Target="http://dev.gapone.vn" TargetMode="External"/><Relationship Id="rId4" Type="http://schemas.openxmlformats.org/officeDocument/2006/relationships/hyperlink" Target="http://dev.gapone.vn" TargetMode="External"/><Relationship Id="rId5" Type="http://schemas.openxmlformats.org/officeDocument/2006/relationships/hyperlink" Target="http://adm-report.gapone.vn" TargetMode="External"/><Relationship Id="rId6" Type="http://schemas.openxmlformats.org/officeDocument/2006/relationships/hyperlink" Target="http://adm-report.gapone.vn" TargetMode="External"/><Relationship Id="rId7" Type="http://schemas.openxmlformats.org/officeDocument/2006/relationships/hyperlink" Target="http://adm.gapone.vn"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apone.vn/vi/api-doc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P3ey7Vtx7G_zcUTdpLGriFQcA7CWP7sA8hu384Xr2KI/edit?gid=350331654" TargetMode="External"/><Relationship Id="rId2" Type="http://schemas.openxmlformats.org/officeDocument/2006/relationships/hyperlink" Target="https://docs.google.com/spreadsheets/d/1euOBAm3ImqyCkonlgb5aZfS--N3E5FARU2Nd5i5dr3k/edit?gid=350331654" TargetMode="External"/><Relationship Id="rId3" Type="http://schemas.openxmlformats.org/officeDocument/2006/relationships/hyperlink" Target="https://docs.google.com/spreadsheets/d/1L1_jCpKjR0TxmDaObk8K_d_ffKVTMftioRwwhUR9b20/edit?gid=350331654" TargetMode="External"/><Relationship Id="rId4" Type="http://schemas.openxmlformats.org/officeDocument/2006/relationships/hyperlink" Target="https://docs.google.com/spreadsheets/d/1Ljw9K9d8hF-syHtloQbLxlOlqjKKv3H7akktuCqpGWc/edit?gid=350331654" TargetMode="External"/><Relationship Id="rId5" Type="http://schemas.openxmlformats.org/officeDocument/2006/relationships/hyperlink" Target="https://docs.gapone.vn/vi/api-docs"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3" max="3" width="42.63"/>
    <col customWidth="1" min="4" max="4" width="22.0"/>
    <col customWidth="1" min="5" max="5" width="20.88"/>
    <col customWidth="1" min="6" max="6" width="10.0"/>
    <col customWidth="1" min="7" max="7" width="12.75"/>
    <col customWidth="1" min="10" max="10" width="16.63"/>
    <col customWidth="1" min="11" max="11" width="16.38"/>
    <col customWidth="1" min="12" max="12" width="10.88"/>
    <col customWidth="1" min="18" max="18" width="16.63"/>
    <col customWidth="1" min="19" max="19" width="16.88"/>
    <col customWidth="1" min="22" max="22" width="17.5"/>
    <col customWidth="1" min="23" max="23" width="12.63"/>
    <col customWidth="1" min="24" max="24" width="19.13"/>
    <col customWidth="1" min="25" max="25" width="28.38"/>
    <col customWidth="1" min="26" max="26" width="16.5"/>
    <col customWidth="1" min="27" max="27" width="23.13"/>
  </cols>
  <sheetData>
    <row r="1" ht="52.5" customHeight="1">
      <c r="A1" s="6" t="s">
        <v>13</v>
      </c>
      <c r="B1" s="8" t="s">
        <v>15</v>
      </c>
      <c r="C1" s="8" t="s">
        <v>16</v>
      </c>
      <c r="D1" s="8" t="s">
        <v>17</v>
      </c>
      <c r="E1" s="8" t="s">
        <v>21</v>
      </c>
      <c r="F1" s="8" t="s">
        <v>3</v>
      </c>
      <c r="G1" s="8" t="s">
        <v>4</v>
      </c>
      <c r="H1" s="8" t="s">
        <v>26</v>
      </c>
      <c r="I1" s="8" t="s">
        <v>28</v>
      </c>
      <c r="J1" s="8" t="s">
        <v>29</v>
      </c>
      <c r="K1" s="13" t="s">
        <v>30</v>
      </c>
      <c r="L1" s="8" t="s">
        <v>31</v>
      </c>
      <c r="M1" s="13" t="s">
        <v>33</v>
      </c>
      <c r="N1" s="8" t="s">
        <v>34</v>
      </c>
      <c r="O1" s="17" t="s">
        <v>37</v>
      </c>
      <c r="P1" s="17" t="s">
        <v>39</v>
      </c>
      <c r="Q1" s="8" t="s">
        <v>41</v>
      </c>
      <c r="R1" s="8" t="s">
        <v>42</v>
      </c>
      <c r="S1" s="8" t="s">
        <v>43</v>
      </c>
      <c r="T1" s="8" t="s">
        <v>35</v>
      </c>
      <c r="U1" s="8" t="s">
        <v>44</v>
      </c>
      <c r="V1" s="8" t="s">
        <v>45</v>
      </c>
      <c r="W1" s="8" t="s">
        <v>49</v>
      </c>
      <c r="X1" s="8" t="s">
        <v>52</v>
      </c>
      <c r="Y1" s="8" t="s">
        <v>53</v>
      </c>
      <c r="Z1" s="8" t="s">
        <v>54</v>
      </c>
      <c r="AA1" s="8" t="s">
        <v>55</v>
      </c>
      <c r="AB1" s="8" t="s">
        <v>57</v>
      </c>
      <c r="AC1" s="8" t="s">
        <v>58</v>
      </c>
      <c r="AD1" s="21" t="s">
        <v>61</v>
      </c>
      <c r="AE1" s="21"/>
    </row>
    <row r="2">
      <c r="A2" s="23" t="s">
        <v>64</v>
      </c>
      <c r="B2" s="23" t="s">
        <v>67</v>
      </c>
      <c r="C2" s="23" t="s">
        <v>72</v>
      </c>
      <c r="D2" s="23" t="s">
        <v>73</v>
      </c>
      <c r="E2" s="23" t="s">
        <v>75</v>
      </c>
      <c r="F2" s="26">
        <v>350.0</v>
      </c>
      <c r="G2" s="27"/>
      <c r="H2" s="23" t="s">
        <v>82</v>
      </c>
      <c r="I2" s="23" t="s">
        <v>84</v>
      </c>
      <c r="J2" s="23" t="s">
        <v>86</v>
      </c>
      <c r="K2" s="29">
        <v>45007.0</v>
      </c>
      <c r="L2" s="29" t="str">
        <f t="shared" ref="L2:L207" si="1">right(K2,4)</f>
        <v>2023</v>
      </c>
      <c r="M2" s="29">
        <v>45291.0</v>
      </c>
      <c r="N2" s="26" t="str">
        <f t="shared" ref="N2:N313" si="2">right(M2,4)</f>
        <v>2023</v>
      </c>
      <c r="O2" s="36">
        <f t="shared" ref="O2:O83" si="3">DATEDIF(K2,M2,"d")</f>
        <v>284</v>
      </c>
      <c r="P2" s="36">
        <f t="shared" ref="P2:P569" si="4">DATEDIF(K2,M2,"y")</f>
        <v>0</v>
      </c>
      <c r="Q2" s="23" t="s">
        <v>106</v>
      </c>
      <c r="R2" s="27"/>
      <c r="S2" s="27"/>
      <c r="T2" s="27"/>
      <c r="U2" s="27"/>
      <c r="V2" s="27"/>
      <c r="W2" s="23" t="s">
        <v>111</v>
      </c>
      <c r="X2" s="27"/>
      <c r="Y2" s="27"/>
      <c r="Z2" s="27"/>
      <c r="AA2" s="27"/>
      <c r="AB2" s="44"/>
      <c r="AC2" s="27"/>
      <c r="AD2" s="27"/>
      <c r="AE2" s="27"/>
    </row>
    <row r="3">
      <c r="A3" s="45" t="s">
        <v>64</v>
      </c>
      <c r="B3" s="45" t="s">
        <v>67</v>
      </c>
      <c r="C3" s="45" t="s">
        <v>129</v>
      </c>
      <c r="D3" s="45" t="s">
        <v>130</v>
      </c>
      <c r="E3" s="45" t="s">
        <v>132</v>
      </c>
      <c r="F3" s="48">
        <v>351.0</v>
      </c>
      <c r="G3" s="51"/>
      <c r="H3" s="45" t="s">
        <v>139</v>
      </c>
      <c r="I3" s="53"/>
      <c r="J3" s="51"/>
      <c r="K3" s="55">
        <v>45007.0</v>
      </c>
      <c r="L3" s="55" t="str">
        <f t="shared" si="1"/>
        <v>2023</v>
      </c>
      <c r="M3" s="55">
        <v>45291.0</v>
      </c>
      <c r="N3" s="48" t="str">
        <f t="shared" si="2"/>
        <v>2023</v>
      </c>
      <c r="O3" s="58">
        <f t="shared" si="3"/>
        <v>284</v>
      </c>
      <c r="P3" s="58">
        <f t="shared" si="4"/>
        <v>0</v>
      </c>
      <c r="Q3" s="45" t="s">
        <v>150</v>
      </c>
      <c r="R3" s="51"/>
      <c r="S3" s="51"/>
      <c r="T3" s="51"/>
      <c r="U3" s="51"/>
      <c r="V3" s="45" t="s">
        <v>152</v>
      </c>
      <c r="W3" s="45" t="s">
        <v>153</v>
      </c>
      <c r="X3" s="51"/>
      <c r="Y3" s="51"/>
      <c r="Z3" s="51"/>
      <c r="AA3" s="51"/>
      <c r="AB3" s="63" t="s">
        <v>157</v>
      </c>
      <c r="AC3" s="64" t="s">
        <v>162</v>
      </c>
      <c r="AD3" s="51"/>
      <c r="AE3" s="64" t="s">
        <v>162</v>
      </c>
    </row>
    <row r="4">
      <c r="A4" s="23" t="s">
        <v>64</v>
      </c>
      <c r="B4" s="23" t="s">
        <v>67</v>
      </c>
      <c r="C4" s="23" t="s">
        <v>165</v>
      </c>
      <c r="D4" s="23" t="s">
        <v>166</v>
      </c>
      <c r="E4" s="23" t="s">
        <v>168</v>
      </c>
      <c r="F4" s="26">
        <v>352.0</v>
      </c>
      <c r="G4" s="27"/>
      <c r="H4" s="23" t="s">
        <v>84</v>
      </c>
      <c r="I4" s="23" t="s">
        <v>84</v>
      </c>
      <c r="J4" s="27"/>
      <c r="K4" s="29">
        <v>45008.0</v>
      </c>
      <c r="L4" s="29" t="str">
        <f t="shared" si="1"/>
        <v>2023</v>
      </c>
      <c r="M4" s="29">
        <v>45291.0</v>
      </c>
      <c r="N4" s="26" t="str">
        <f t="shared" si="2"/>
        <v>2023</v>
      </c>
      <c r="O4" s="36">
        <f t="shared" si="3"/>
        <v>283</v>
      </c>
      <c r="P4" s="36">
        <f t="shared" si="4"/>
        <v>0</v>
      </c>
      <c r="Q4" s="23" t="s">
        <v>150</v>
      </c>
      <c r="R4" s="27"/>
      <c r="S4" s="27"/>
      <c r="T4" s="27"/>
      <c r="U4" s="27"/>
      <c r="V4" s="27"/>
      <c r="W4" s="23" t="s">
        <v>179</v>
      </c>
      <c r="X4" s="27"/>
      <c r="Y4" s="27"/>
      <c r="Z4" s="27"/>
      <c r="AA4" s="27"/>
      <c r="AB4" s="44"/>
      <c r="AC4" s="27"/>
      <c r="AD4" s="27"/>
      <c r="AE4" s="27"/>
    </row>
    <row r="5">
      <c r="A5" s="45" t="s">
        <v>64</v>
      </c>
      <c r="B5" s="45" t="s">
        <v>67</v>
      </c>
      <c r="C5" s="45" t="s">
        <v>182</v>
      </c>
      <c r="D5" s="45" t="s">
        <v>183</v>
      </c>
      <c r="E5" s="45" t="s">
        <v>184</v>
      </c>
      <c r="F5" s="48">
        <v>353.0</v>
      </c>
      <c r="G5" s="51"/>
      <c r="H5" s="45" t="s">
        <v>187</v>
      </c>
      <c r="I5" s="53"/>
      <c r="J5" s="51"/>
      <c r="K5" s="55">
        <v>45009.0</v>
      </c>
      <c r="L5" s="55" t="str">
        <f t="shared" si="1"/>
        <v>2023</v>
      </c>
      <c r="M5" s="55">
        <v>45016.0</v>
      </c>
      <c r="N5" s="48" t="str">
        <f t="shared" si="2"/>
        <v>2023</v>
      </c>
      <c r="O5" s="58">
        <f t="shared" si="3"/>
        <v>7</v>
      </c>
      <c r="P5" s="58">
        <f t="shared" si="4"/>
        <v>0</v>
      </c>
      <c r="Q5" s="45" t="s">
        <v>106</v>
      </c>
      <c r="R5" s="51"/>
      <c r="S5" s="51"/>
      <c r="T5" s="51"/>
      <c r="U5" s="51"/>
      <c r="V5" s="51"/>
      <c r="W5" s="45" t="s">
        <v>193</v>
      </c>
      <c r="X5" s="51"/>
      <c r="Y5" s="51"/>
      <c r="Z5" s="51"/>
      <c r="AA5" s="51"/>
      <c r="AB5" s="72"/>
      <c r="AC5" s="51"/>
      <c r="AD5" s="51"/>
      <c r="AE5" s="51"/>
    </row>
    <row r="6">
      <c r="A6" s="23" t="s">
        <v>64</v>
      </c>
      <c r="B6" s="23" t="s">
        <v>67</v>
      </c>
      <c r="C6" s="23" t="s">
        <v>197</v>
      </c>
      <c r="D6" s="23" t="s">
        <v>198</v>
      </c>
      <c r="E6" s="23" t="s">
        <v>199</v>
      </c>
      <c r="F6" s="26">
        <v>354.0</v>
      </c>
      <c r="G6" s="27"/>
      <c r="H6" s="23" t="s">
        <v>139</v>
      </c>
      <c r="I6" s="23" t="s">
        <v>84</v>
      </c>
      <c r="J6" s="27"/>
      <c r="K6" s="29">
        <v>45011.0</v>
      </c>
      <c r="L6" s="29" t="str">
        <f t="shared" si="1"/>
        <v>2023</v>
      </c>
      <c r="M6" s="29">
        <v>45377.0</v>
      </c>
      <c r="N6" s="26" t="str">
        <f t="shared" si="2"/>
        <v>2024</v>
      </c>
      <c r="O6" s="36">
        <f t="shared" si="3"/>
        <v>366</v>
      </c>
      <c r="P6" s="36">
        <f t="shared" si="4"/>
        <v>1</v>
      </c>
      <c r="Q6" s="23" t="s">
        <v>150</v>
      </c>
      <c r="R6" s="27"/>
      <c r="S6" s="27"/>
      <c r="T6" s="27"/>
      <c r="U6" s="27"/>
      <c r="V6" s="27"/>
      <c r="W6" s="23" t="s">
        <v>208</v>
      </c>
      <c r="X6" s="27"/>
      <c r="Y6" s="27"/>
      <c r="Z6" s="27"/>
      <c r="AA6" s="23" t="s">
        <v>212</v>
      </c>
      <c r="AB6" s="44"/>
      <c r="AC6" s="76" t="s">
        <v>216</v>
      </c>
      <c r="AD6" s="27"/>
      <c r="AE6" s="76" t="s">
        <v>217</v>
      </c>
    </row>
    <row r="7">
      <c r="A7" s="45" t="s">
        <v>64</v>
      </c>
      <c r="B7" s="45" t="s">
        <v>67</v>
      </c>
      <c r="C7" s="45" t="s">
        <v>219</v>
      </c>
      <c r="D7" s="45" t="s">
        <v>221</v>
      </c>
      <c r="E7" s="45" t="s">
        <v>222</v>
      </c>
      <c r="F7" s="48">
        <v>355.0</v>
      </c>
      <c r="G7" s="51"/>
      <c r="H7" s="45" t="s">
        <v>225</v>
      </c>
      <c r="I7" s="45" t="s">
        <v>226</v>
      </c>
      <c r="J7" s="51"/>
      <c r="K7" s="55">
        <v>45013.0</v>
      </c>
      <c r="L7" s="55" t="str">
        <f t="shared" si="1"/>
        <v>2023</v>
      </c>
      <c r="M7" s="55">
        <v>45016.0</v>
      </c>
      <c r="N7" s="48" t="str">
        <f t="shared" si="2"/>
        <v>2023</v>
      </c>
      <c r="O7" s="58">
        <f t="shared" si="3"/>
        <v>3</v>
      </c>
      <c r="P7" s="58">
        <f t="shared" si="4"/>
        <v>0</v>
      </c>
      <c r="Q7" s="45" t="s">
        <v>106</v>
      </c>
      <c r="R7" s="51"/>
      <c r="S7" s="51"/>
      <c r="T7" s="51"/>
      <c r="U7" s="51"/>
      <c r="V7" s="51"/>
      <c r="W7" s="45" t="s">
        <v>238</v>
      </c>
      <c r="X7" s="51"/>
      <c r="Y7" s="51"/>
      <c r="Z7" s="51"/>
      <c r="AA7" s="51"/>
      <c r="AB7" s="72"/>
      <c r="AC7" s="51"/>
      <c r="AD7" s="51"/>
      <c r="AE7" s="51"/>
    </row>
    <row r="8">
      <c r="A8" s="23" t="s">
        <v>64</v>
      </c>
      <c r="B8" s="23" t="s">
        <v>67</v>
      </c>
      <c r="C8" s="23" t="s">
        <v>242</v>
      </c>
      <c r="D8" s="23" t="s">
        <v>244</v>
      </c>
      <c r="E8" s="23" t="s">
        <v>246</v>
      </c>
      <c r="F8" s="26">
        <v>356.0</v>
      </c>
      <c r="G8" s="26">
        <v>600087.0</v>
      </c>
      <c r="H8" s="23" t="s">
        <v>139</v>
      </c>
      <c r="I8" s="23" t="s">
        <v>248</v>
      </c>
      <c r="J8" s="27"/>
      <c r="K8" s="29">
        <v>45013.0</v>
      </c>
      <c r="L8" s="29" t="str">
        <f t="shared" si="1"/>
        <v>2023</v>
      </c>
      <c r="M8" s="29">
        <v>45741.0</v>
      </c>
      <c r="N8" s="26" t="str">
        <f t="shared" si="2"/>
        <v>2025</v>
      </c>
      <c r="O8" s="36">
        <f t="shared" si="3"/>
        <v>728</v>
      </c>
      <c r="P8" s="36">
        <f t="shared" si="4"/>
        <v>1</v>
      </c>
      <c r="Q8" s="23" t="s">
        <v>253</v>
      </c>
      <c r="R8" s="27"/>
      <c r="S8" s="27"/>
      <c r="T8" s="27"/>
      <c r="U8" s="27"/>
      <c r="V8" s="27"/>
      <c r="W8" s="23" t="s">
        <v>255</v>
      </c>
      <c r="X8" s="23" t="s">
        <v>255</v>
      </c>
      <c r="Y8" s="27"/>
      <c r="Z8" s="27"/>
      <c r="AA8" s="27"/>
      <c r="AB8" s="44"/>
      <c r="AC8" s="76" t="s">
        <v>259</v>
      </c>
      <c r="AD8" s="76" t="s">
        <v>261</v>
      </c>
      <c r="AE8" s="76" t="s">
        <v>262</v>
      </c>
    </row>
    <row r="9">
      <c r="A9" s="45" t="s">
        <v>64</v>
      </c>
      <c r="B9" s="45" t="s">
        <v>67</v>
      </c>
      <c r="C9" s="45" t="s">
        <v>263</v>
      </c>
      <c r="D9" s="45" t="s">
        <v>264</v>
      </c>
      <c r="E9" s="45" t="s">
        <v>265</v>
      </c>
      <c r="F9" s="48">
        <v>357.0</v>
      </c>
      <c r="G9" s="51"/>
      <c r="H9" s="45" t="s">
        <v>266</v>
      </c>
      <c r="I9" s="45" t="s">
        <v>226</v>
      </c>
      <c r="J9" s="51"/>
      <c r="K9" s="55">
        <v>45016.0</v>
      </c>
      <c r="L9" s="55" t="str">
        <f t="shared" si="1"/>
        <v>2023</v>
      </c>
      <c r="M9" s="55">
        <v>45291.0</v>
      </c>
      <c r="N9" s="48" t="str">
        <f t="shared" si="2"/>
        <v>2023</v>
      </c>
      <c r="O9" s="58">
        <f t="shared" si="3"/>
        <v>275</v>
      </c>
      <c r="P9" s="58">
        <f t="shared" si="4"/>
        <v>0</v>
      </c>
      <c r="Q9" s="45" t="s">
        <v>150</v>
      </c>
      <c r="R9" s="51"/>
      <c r="S9" s="51"/>
      <c r="T9" s="51"/>
      <c r="U9" s="51"/>
      <c r="V9" s="51"/>
      <c r="W9" s="45" t="s">
        <v>275</v>
      </c>
      <c r="X9" s="51"/>
      <c r="Y9" s="51"/>
      <c r="Z9" s="51"/>
      <c r="AA9" s="51"/>
      <c r="AB9" s="72"/>
      <c r="AC9" s="51"/>
      <c r="AD9" s="64" t="s">
        <v>261</v>
      </c>
      <c r="AE9" s="51"/>
    </row>
    <row r="10">
      <c r="A10" s="23" t="s">
        <v>64</v>
      </c>
      <c r="B10" s="23" t="s">
        <v>67</v>
      </c>
      <c r="C10" s="23" t="s">
        <v>279</v>
      </c>
      <c r="D10" s="23" t="s">
        <v>280</v>
      </c>
      <c r="E10" s="23" t="s">
        <v>281</v>
      </c>
      <c r="F10" s="26">
        <v>358.0</v>
      </c>
      <c r="G10" s="27"/>
      <c r="H10" s="23" t="s">
        <v>84</v>
      </c>
      <c r="I10" s="23" t="s">
        <v>84</v>
      </c>
      <c r="J10" s="27"/>
      <c r="K10" s="29">
        <v>45016.0</v>
      </c>
      <c r="L10" s="29" t="str">
        <f t="shared" si="1"/>
        <v>2023</v>
      </c>
      <c r="M10" s="29">
        <v>45291.0</v>
      </c>
      <c r="N10" s="26" t="str">
        <f t="shared" si="2"/>
        <v>2023</v>
      </c>
      <c r="O10" s="36">
        <f t="shared" si="3"/>
        <v>275</v>
      </c>
      <c r="P10" s="36">
        <f t="shared" si="4"/>
        <v>0</v>
      </c>
      <c r="Q10" s="23" t="s">
        <v>150</v>
      </c>
      <c r="R10" s="27"/>
      <c r="S10" s="27"/>
      <c r="T10" s="27"/>
      <c r="U10" s="27"/>
      <c r="V10" s="27"/>
      <c r="W10" s="23" t="s">
        <v>292</v>
      </c>
      <c r="X10" s="27"/>
      <c r="Y10" s="27"/>
      <c r="Z10" s="27"/>
      <c r="AA10" s="27"/>
      <c r="AB10" s="44"/>
      <c r="AC10" s="27"/>
      <c r="AD10" s="76" t="s">
        <v>261</v>
      </c>
      <c r="AE10" s="27"/>
    </row>
    <row r="11">
      <c r="A11" s="45" t="s">
        <v>64</v>
      </c>
      <c r="B11" s="45" t="s">
        <v>67</v>
      </c>
      <c r="C11" s="45" t="s">
        <v>298</v>
      </c>
      <c r="D11" s="45" t="s">
        <v>299</v>
      </c>
      <c r="E11" s="45" t="s">
        <v>300</v>
      </c>
      <c r="F11" s="48">
        <v>359.0</v>
      </c>
      <c r="G11" s="51"/>
      <c r="H11" s="45" t="s">
        <v>187</v>
      </c>
      <c r="I11" s="53"/>
      <c r="J11" s="51"/>
      <c r="K11" s="55">
        <v>45016.0</v>
      </c>
      <c r="L11" s="55" t="str">
        <f t="shared" si="1"/>
        <v>2023</v>
      </c>
      <c r="M11" s="55">
        <v>45023.0</v>
      </c>
      <c r="N11" s="48" t="str">
        <f t="shared" si="2"/>
        <v>2023</v>
      </c>
      <c r="O11" s="58">
        <f t="shared" si="3"/>
        <v>7</v>
      </c>
      <c r="P11" s="58">
        <f t="shared" si="4"/>
        <v>0</v>
      </c>
      <c r="Q11" s="45" t="s">
        <v>106</v>
      </c>
      <c r="R11" s="51"/>
      <c r="S11" s="51"/>
      <c r="T11" s="51"/>
      <c r="U11" s="51"/>
      <c r="V11" s="45" t="s">
        <v>106</v>
      </c>
      <c r="W11" s="45" t="s">
        <v>304</v>
      </c>
      <c r="X11" s="51"/>
      <c r="Y11" s="51"/>
      <c r="Z11" s="51"/>
      <c r="AA11" s="51"/>
      <c r="AB11" s="63" t="s">
        <v>306</v>
      </c>
      <c r="AC11" s="51"/>
      <c r="AD11" s="51"/>
      <c r="AE11" s="51"/>
    </row>
    <row r="12">
      <c r="A12" s="23" t="s">
        <v>64</v>
      </c>
      <c r="B12" s="23" t="s">
        <v>67</v>
      </c>
      <c r="C12" s="23" t="s">
        <v>310</v>
      </c>
      <c r="D12" s="23" t="s">
        <v>312</v>
      </c>
      <c r="E12" s="23" t="s">
        <v>313</v>
      </c>
      <c r="F12" s="26">
        <v>360.0</v>
      </c>
      <c r="G12" s="27"/>
      <c r="H12" s="23" t="s">
        <v>266</v>
      </c>
      <c r="I12" s="88"/>
      <c r="J12" s="27"/>
      <c r="K12" s="29">
        <v>45019.0</v>
      </c>
      <c r="L12" s="29" t="str">
        <f t="shared" si="1"/>
        <v>2023</v>
      </c>
      <c r="M12" s="29">
        <v>45291.0</v>
      </c>
      <c r="N12" s="26" t="str">
        <f t="shared" si="2"/>
        <v>2023</v>
      </c>
      <c r="O12" s="36">
        <f t="shared" si="3"/>
        <v>272</v>
      </c>
      <c r="P12" s="36">
        <f t="shared" si="4"/>
        <v>0</v>
      </c>
      <c r="Q12" s="23" t="s">
        <v>150</v>
      </c>
      <c r="R12" s="27"/>
      <c r="S12" s="27"/>
      <c r="T12" s="27"/>
      <c r="U12" s="27"/>
      <c r="V12" s="27"/>
      <c r="W12" s="23" t="s">
        <v>323</v>
      </c>
      <c r="X12" s="27"/>
      <c r="Y12" s="27"/>
      <c r="Z12" s="27"/>
      <c r="AA12" s="27"/>
      <c r="AB12" s="44"/>
      <c r="AC12" s="27"/>
      <c r="AD12" s="76" t="s">
        <v>261</v>
      </c>
      <c r="AE12" s="27"/>
    </row>
    <row r="13">
      <c r="A13" s="45" t="s">
        <v>64</v>
      </c>
      <c r="B13" s="45" t="s">
        <v>67</v>
      </c>
      <c r="C13" s="45" t="s">
        <v>326</v>
      </c>
      <c r="D13" s="45" t="s">
        <v>327</v>
      </c>
      <c r="E13" s="45" t="s">
        <v>329</v>
      </c>
      <c r="F13" s="48">
        <v>361.0</v>
      </c>
      <c r="G13" s="51"/>
      <c r="H13" s="45" t="s">
        <v>139</v>
      </c>
      <c r="I13" s="53"/>
      <c r="J13" s="51"/>
      <c r="K13" s="55">
        <v>45022.0</v>
      </c>
      <c r="L13" s="55" t="str">
        <f t="shared" si="1"/>
        <v>2023</v>
      </c>
      <c r="M13" s="55">
        <v>45205.0</v>
      </c>
      <c r="N13" s="48" t="str">
        <f t="shared" si="2"/>
        <v>2023</v>
      </c>
      <c r="O13" s="58">
        <f t="shared" si="3"/>
        <v>183</v>
      </c>
      <c r="P13" s="58">
        <f t="shared" si="4"/>
        <v>0</v>
      </c>
      <c r="Q13" s="45" t="s">
        <v>150</v>
      </c>
      <c r="R13" s="51"/>
      <c r="S13" s="51"/>
      <c r="T13" s="51"/>
      <c r="U13" s="51"/>
      <c r="V13" s="51"/>
      <c r="W13" s="45" t="s">
        <v>335</v>
      </c>
      <c r="X13" s="51"/>
      <c r="Y13" s="51"/>
      <c r="Z13" s="51"/>
      <c r="AA13" s="51"/>
      <c r="AB13" s="72"/>
      <c r="AC13" s="51"/>
      <c r="AD13" s="64" t="s">
        <v>261</v>
      </c>
      <c r="AE13" s="51"/>
    </row>
    <row r="14">
      <c r="A14" s="23" t="s">
        <v>64</v>
      </c>
      <c r="B14" s="23" t="s">
        <v>19</v>
      </c>
      <c r="C14" s="23" t="s">
        <v>340</v>
      </c>
      <c r="D14" s="23" t="s">
        <v>342</v>
      </c>
      <c r="E14" s="23" t="s">
        <v>343</v>
      </c>
      <c r="F14" s="26">
        <v>362.0</v>
      </c>
      <c r="G14" s="26">
        <v>600113.0</v>
      </c>
      <c r="H14" s="23" t="s">
        <v>84</v>
      </c>
      <c r="I14" s="23" t="s">
        <v>84</v>
      </c>
      <c r="J14" s="27"/>
      <c r="K14" s="29">
        <v>45022.0</v>
      </c>
      <c r="L14" s="29" t="str">
        <f t="shared" si="1"/>
        <v>2023</v>
      </c>
      <c r="M14" s="29">
        <v>45901.0</v>
      </c>
      <c r="N14" s="26" t="str">
        <f t="shared" si="2"/>
        <v>2025</v>
      </c>
      <c r="O14" s="36">
        <f t="shared" si="3"/>
        <v>879</v>
      </c>
      <c r="P14" s="36">
        <f t="shared" si="4"/>
        <v>2</v>
      </c>
      <c r="Q14" s="23" t="s">
        <v>348</v>
      </c>
      <c r="R14" s="23" t="s">
        <v>349</v>
      </c>
      <c r="S14" s="26" t="s">
        <v>269</v>
      </c>
      <c r="T14" s="27"/>
      <c r="U14" s="27"/>
      <c r="V14" s="27"/>
      <c r="W14" s="23" t="s">
        <v>352</v>
      </c>
      <c r="X14" s="23" t="s">
        <v>352</v>
      </c>
      <c r="Y14" s="27"/>
      <c r="Z14" s="27"/>
      <c r="AA14" s="23" t="s">
        <v>353</v>
      </c>
      <c r="AB14" s="44"/>
      <c r="AC14" s="76" t="s">
        <v>354</v>
      </c>
      <c r="AD14" s="76" t="s">
        <v>261</v>
      </c>
      <c r="AE14" s="76" t="s">
        <v>124</v>
      </c>
    </row>
    <row r="15">
      <c r="A15" s="45" t="s">
        <v>64</v>
      </c>
      <c r="B15" s="45" t="s">
        <v>67</v>
      </c>
      <c r="C15" s="45" t="s">
        <v>355</v>
      </c>
      <c r="D15" s="45" t="s">
        <v>356</v>
      </c>
      <c r="E15" s="45" t="s">
        <v>357</v>
      </c>
      <c r="F15" s="48">
        <v>363.0</v>
      </c>
      <c r="G15" s="51"/>
      <c r="H15" s="45" t="s">
        <v>266</v>
      </c>
      <c r="I15" s="45" t="s">
        <v>226</v>
      </c>
      <c r="J15" s="51"/>
      <c r="K15" s="55">
        <v>45022.0</v>
      </c>
      <c r="L15" s="55" t="str">
        <f t="shared" si="1"/>
        <v>2023</v>
      </c>
      <c r="M15" s="55">
        <v>45352.0</v>
      </c>
      <c r="N15" s="48" t="str">
        <f t="shared" si="2"/>
        <v>2024</v>
      </c>
      <c r="O15" s="58">
        <f t="shared" si="3"/>
        <v>330</v>
      </c>
      <c r="P15" s="58">
        <f t="shared" si="4"/>
        <v>0</v>
      </c>
      <c r="Q15" s="45" t="s">
        <v>150</v>
      </c>
      <c r="R15" s="51"/>
      <c r="S15" s="51"/>
      <c r="T15" s="51"/>
      <c r="U15" s="51"/>
      <c r="V15" s="51"/>
      <c r="W15" s="45" t="s">
        <v>362</v>
      </c>
      <c r="X15" s="51"/>
      <c r="Y15" s="51"/>
      <c r="Z15" s="51"/>
      <c r="AA15" s="45" t="s">
        <v>364</v>
      </c>
      <c r="AB15" s="72"/>
      <c r="AC15" s="64" t="s">
        <v>259</v>
      </c>
      <c r="AD15" s="51"/>
      <c r="AE15" s="64" t="s">
        <v>370</v>
      </c>
    </row>
    <row r="16">
      <c r="A16" s="23" t="s">
        <v>64</v>
      </c>
      <c r="B16" s="23" t="s">
        <v>67</v>
      </c>
      <c r="C16" s="23" t="s">
        <v>372</v>
      </c>
      <c r="D16" s="23" t="s">
        <v>374</v>
      </c>
      <c r="E16" s="23" t="s">
        <v>375</v>
      </c>
      <c r="F16" s="26">
        <v>364.0</v>
      </c>
      <c r="G16" s="27"/>
      <c r="H16" s="23" t="s">
        <v>84</v>
      </c>
      <c r="I16" s="23" t="s">
        <v>84</v>
      </c>
      <c r="J16" s="27"/>
      <c r="K16" s="29">
        <v>45023.0</v>
      </c>
      <c r="L16" s="29" t="str">
        <f t="shared" si="1"/>
        <v>2023</v>
      </c>
      <c r="M16" s="29">
        <v>45291.0</v>
      </c>
      <c r="N16" s="26" t="str">
        <f t="shared" si="2"/>
        <v>2023</v>
      </c>
      <c r="O16" s="36">
        <f t="shared" si="3"/>
        <v>268</v>
      </c>
      <c r="P16" s="36">
        <f t="shared" si="4"/>
        <v>0</v>
      </c>
      <c r="Q16" s="23" t="s">
        <v>150</v>
      </c>
      <c r="R16" s="27"/>
      <c r="S16" s="27"/>
      <c r="T16" s="27"/>
      <c r="U16" s="27"/>
      <c r="V16" s="27"/>
      <c r="W16" s="23" t="s">
        <v>383</v>
      </c>
      <c r="X16" s="27"/>
      <c r="Y16" s="27"/>
      <c r="Z16" s="27"/>
      <c r="AA16" s="27"/>
      <c r="AB16" s="44"/>
      <c r="AC16" s="27"/>
      <c r="AD16" s="27"/>
      <c r="AE16" s="27"/>
    </row>
    <row r="17">
      <c r="A17" s="45" t="s">
        <v>64</v>
      </c>
      <c r="B17" s="45" t="s">
        <v>67</v>
      </c>
      <c r="C17" s="45" t="s">
        <v>387</v>
      </c>
      <c r="D17" s="45" t="s">
        <v>389</v>
      </c>
      <c r="E17" s="45" t="s">
        <v>375</v>
      </c>
      <c r="F17" s="48" t="s">
        <v>392</v>
      </c>
      <c r="G17" s="51"/>
      <c r="H17" s="45" t="s">
        <v>266</v>
      </c>
      <c r="I17" s="45" t="s">
        <v>226</v>
      </c>
      <c r="J17" s="51"/>
      <c r="K17" s="55">
        <v>45026.0</v>
      </c>
      <c r="L17" s="55" t="str">
        <f t="shared" si="1"/>
        <v>2023</v>
      </c>
      <c r="M17" s="55">
        <v>45291.0</v>
      </c>
      <c r="N17" s="48" t="str">
        <f t="shared" si="2"/>
        <v>2023</v>
      </c>
      <c r="O17" s="58">
        <f t="shared" si="3"/>
        <v>265</v>
      </c>
      <c r="P17" s="58">
        <f t="shared" si="4"/>
        <v>0</v>
      </c>
      <c r="Q17" s="45" t="s">
        <v>150</v>
      </c>
      <c r="R17" s="51"/>
      <c r="S17" s="51"/>
      <c r="T17" s="51"/>
      <c r="U17" s="51"/>
      <c r="V17" s="51"/>
      <c r="W17" s="45" t="s">
        <v>402</v>
      </c>
      <c r="X17" s="51"/>
      <c r="Y17" s="51"/>
      <c r="Z17" s="51"/>
      <c r="AA17" s="51"/>
      <c r="AB17" s="72"/>
      <c r="AC17" s="51"/>
      <c r="AD17" s="51"/>
      <c r="AE17" s="51"/>
    </row>
    <row r="18">
      <c r="A18" s="23" t="s">
        <v>64</v>
      </c>
      <c r="B18" s="23" t="s">
        <v>67</v>
      </c>
      <c r="C18" s="23" t="s">
        <v>405</v>
      </c>
      <c r="D18" s="23" t="s">
        <v>408</v>
      </c>
      <c r="E18" s="23" t="s">
        <v>409</v>
      </c>
      <c r="F18" s="26">
        <v>366.0</v>
      </c>
      <c r="G18" s="26" t="s">
        <v>411</v>
      </c>
      <c r="H18" s="23" t="s">
        <v>84</v>
      </c>
      <c r="I18" s="23" t="s">
        <v>84</v>
      </c>
      <c r="J18" s="27"/>
      <c r="K18" s="29">
        <v>45026.0</v>
      </c>
      <c r="L18" s="29" t="str">
        <f t="shared" si="1"/>
        <v>2023</v>
      </c>
      <c r="M18" s="29">
        <v>45291.0</v>
      </c>
      <c r="N18" s="26" t="str">
        <f t="shared" si="2"/>
        <v>2023</v>
      </c>
      <c r="O18" s="36">
        <f t="shared" si="3"/>
        <v>265</v>
      </c>
      <c r="P18" s="36">
        <f t="shared" si="4"/>
        <v>0</v>
      </c>
      <c r="Q18" s="23" t="s">
        <v>150</v>
      </c>
      <c r="R18" s="27"/>
      <c r="S18" s="27"/>
      <c r="T18" s="27"/>
      <c r="U18" s="27"/>
      <c r="V18" s="27"/>
      <c r="W18" s="23" t="s">
        <v>420</v>
      </c>
      <c r="X18" s="27"/>
      <c r="Y18" s="27"/>
      <c r="Z18" s="27"/>
      <c r="AA18" s="27"/>
      <c r="AB18" s="44"/>
      <c r="AC18" s="27"/>
      <c r="AD18" s="27"/>
      <c r="AE18" s="27"/>
    </row>
    <row r="19">
      <c r="A19" s="45" t="s">
        <v>64</v>
      </c>
      <c r="B19" s="45" t="s">
        <v>19</v>
      </c>
      <c r="C19" s="45" t="s">
        <v>423</v>
      </c>
      <c r="D19" s="45" t="s">
        <v>424</v>
      </c>
      <c r="E19" s="45" t="s">
        <v>426</v>
      </c>
      <c r="F19" s="48">
        <v>367.0</v>
      </c>
      <c r="G19" s="48">
        <v>600159.0</v>
      </c>
      <c r="H19" s="45" t="s">
        <v>84</v>
      </c>
      <c r="I19" s="45" t="s">
        <v>84</v>
      </c>
      <c r="J19" s="51"/>
      <c r="K19" s="55">
        <v>45028.0</v>
      </c>
      <c r="L19" s="55" t="str">
        <f t="shared" si="1"/>
        <v>2023</v>
      </c>
      <c r="M19" s="55">
        <v>46022.0</v>
      </c>
      <c r="N19" s="48" t="str">
        <f t="shared" si="2"/>
        <v>2025</v>
      </c>
      <c r="O19" s="58">
        <f t="shared" si="3"/>
        <v>994</v>
      </c>
      <c r="P19" s="58">
        <f t="shared" si="4"/>
        <v>2</v>
      </c>
      <c r="Q19" s="45" t="s">
        <v>253</v>
      </c>
      <c r="R19" s="45" t="s">
        <v>433</v>
      </c>
      <c r="S19" s="48" t="s">
        <v>269</v>
      </c>
      <c r="T19" s="51"/>
      <c r="U19" s="51"/>
      <c r="V19" s="45" t="s">
        <v>436</v>
      </c>
      <c r="W19" s="45" t="s">
        <v>439</v>
      </c>
      <c r="X19" s="45" t="s">
        <v>439</v>
      </c>
      <c r="Y19" s="51"/>
      <c r="Z19" s="51"/>
      <c r="AA19" s="51"/>
      <c r="AB19" s="72"/>
      <c r="AC19" s="64" t="s">
        <v>440</v>
      </c>
      <c r="AD19" s="64" t="s">
        <v>123</v>
      </c>
      <c r="AE19" s="64" t="s">
        <v>441</v>
      </c>
    </row>
    <row r="20">
      <c r="A20" s="23" t="s">
        <v>64</v>
      </c>
      <c r="B20" s="23" t="s">
        <v>67</v>
      </c>
      <c r="C20" s="23" t="s">
        <v>444</v>
      </c>
      <c r="D20" s="23" t="s">
        <v>445</v>
      </c>
      <c r="E20" s="23" t="s">
        <v>446</v>
      </c>
      <c r="F20" s="26">
        <v>368.0</v>
      </c>
      <c r="G20" s="27"/>
      <c r="H20" s="23" t="s">
        <v>187</v>
      </c>
      <c r="I20" s="88"/>
      <c r="J20" s="27"/>
      <c r="K20" s="29">
        <v>45028.0</v>
      </c>
      <c r="L20" s="29" t="str">
        <f t="shared" si="1"/>
        <v>2023</v>
      </c>
      <c r="M20" s="29">
        <v>45038.0</v>
      </c>
      <c r="N20" s="26" t="str">
        <f t="shared" si="2"/>
        <v>2023</v>
      </c>
      <c r="O20" s="36">
        <f t="shared" si="3"/>
        <v>10</v>
      </c>
      <c r="P20" s="36">
        <f t="shared" si="4"/>
        <v>0</v>
      </c>
      <c r="Q20" s="23" t="s">
        <v>106</v>
      </c>
      <c r="R20" s="27"/>
      <c r="S20" s="27"/>
      <c r="T20" s="27"/>
      <c r="U20" s="27"/>
      <c r="V20" s="23" t="s">
        <v>106</v>
      </c>
      <c r="W20" s="23" t="s">
        <v>455</v>
      </c>
      <c r="X20" s="27"/>
      <c r="Y20" s="27"/>
      <c r="Z20" s="27"/>
      <c r="AA20" s="27"/>
      <c r="AB20" s="107" t="s">
        <v>306</v>
      </c>
      <c r="AC20" s="27"/>
      <c r="AD20" s="27"/>
      <c r="AE20" s="27"/>
    </row>
    <row r="21">
      <c r="A21" s="45" t="s">
        <v>64</v>
      </c>
      <c r="B21" s="45" t="s">
        <v>19</v>
      </c>
      <c r="C21" s="45" t="s">
        <v>460</v>
      </c>
      <c r="D21" s="45" t="s">
        <v>461</v>
      </c>
      <c r="E21" s="45" t="s">
        <v>462</v>
      </c>
      <c r="F21" s="48">
        <v>369.0</v>
      </c>
      <c r="G21" s="51"/>
      <c r="H21" s="45" t="s">
        <v>464</v>
      </c>
      <c r="I21" s="45" t="s">
        <v>84</v>
      </c>
      <c r="J21" s="51"/>
      <c r="K21" s="55">
        <v>45034.0</v>
      </c>
      <c r="L21" s="55" t="str">
        <f t="shared" si="1"/>
        <v>2023</v>
      </c>
      <c r="M21" s="55">
        <v>45383.0</v>
      </c>
      <c r="N21" s="48" t="str">
        <f t="shared" si="2"/>
        <v>2024</v>
      </c>
      <c r="O21" s="58">
        <f t="shared" si="3"/>
        <v>349</v>
      </c>
      <c r="P21" s="58">
        <f t="shared" si="4"/>
        <v>0</v>
      </c>
      <c r="Q21" s="45" t="s">
        <v>150</v>
      </c>
      <c r="R21" s="51"/>
      <c r="S21" s="51"/>
      <c r="T21" s="51"/>
      <c r="U21" s="51"/>
      <c r="V21" s="45" t="s">
        <v>106</v>
      </c>
      <c r="W21" s="45" t="s">
        <v>474</v>
      </c>
      <c r="X21" s="51"/>
      <c r="Y21" s="51"/>
      <c r="Z21" s="51"/>
      <c r="AA21" s="51"/>
      <c r="AB21" s="72"/>
      <c r="AC21" s="64" t="s">
        <v>354</v>
      </c>
      <c r="AD21" s="51"/>
      <c r="AE21" s="64" t="s">
        <v>476</v>
      </c>
    </row>
    <row r="22">
      <c r="A22" s="23" t="s">
        <v>64</v>
      </c>
      <c r="B22" s="23" t="s">
        <v>67</v>
      </c>
      <c r="C22" s="23" t="s">
        <v>479</v>
      </c>
      <c r="D22" s="23" t="s">
        <v>480</v>
      </c>
      <c r="E22" s="23" t="s">
        <v>482</v>
      </c>
      <c r="F22" s="26">
        <v>370.0</v>
      </c>
      <c r="G22" s="27"/>
      <c r="H22" s="23" t="s">
        <v>139</v>
      </c>
      <c r="I22" s="88"/>
      <c r="J22" s="27"/>
      <c r="K22" s="29">
        <v>45035.0</v>
      </c>
      <c r="L22" s="29" t="str">
        <f t="shared" si="1"/>
        <v>2023</v>
      </c>
      <c r="M22" s="29">
        <v>45218.0</v>
      </c>
      <c r="N22" s="26" t="str">
        <f t="shared" si="2"/>
        <v>2023</v>
      </c>
      <c r="O22" s="36">
        <f t="shared" si="3"/>
        <v>183</v>
      </c>
      <c r="P22" s="36">
        <f t="shared" si="4"/>
        <v>0</v>
      </c>
      <c r="Q22" s="23" t="s">
        <v>150</v>
      </c>
      <c r="R22" s="27"/>
      <c r="S22" s="27"/>
      <c r="T22" s="27"/>
      <c r="U22" s="27"/>
      <c r="V22" s="27"/>
      <c r="W22" s="23" t="s">
        <v>493</v>
      </c>
      <c r="X22" s="27"/>
      <c r="Y22" s="27"/>
      <c r="Z22" s="27"/>
      <c r="AA22" s="27"/>
      <c r="AB22" s="44"/>
      <c r="AC22" s="27"/>
      <c r="AD22" s="27"/>
      <c r="AE22" s="27"/>
    </row>
    <row r="23">
      <c r="A23" s="45" t="s">
        <v>64</v>
      </c>
      <c r="B23" s="45" t="s">
        <v>67</v>
      </c>
      <c r="C23" s="45" t="s">
        <v>499</v>
      </c>
      <c r="D23" s="45" t="s">
        <v>500</v>
      </c>
      <c r="E23" s="45" t="s">
        <v>502</v>
      </c>
      <c r="F23" s="48">
        <v>371.0</v>
      </c>
      <c r="G23" s="51"/>
      <c r="H23" s="45" t="s">
        <v>139</v>
      </c>
      <c r="I23" s="45" t="s">
        <v>248</v>
      </c>
      <c r="J23" s="51"/>
      <c r="K23" s="55">
        <v>45036.0</v>
      </c>
      <c r="L23" s="55" t="str">
        <f t="shared" si="1"/>
        <v>2023</v>
      </c>
      <c r="M23" s="55">
        <v>45199.0</v>
      </c>
      <c r="N23" s="48" t="str">
        <f t="shared" si="2"/>
        <v>2023</v>
      </c>
      <c r="O23" s="58">
        <f t="shared" si="3"/>
        <v>163</v>
      </c>
      <c r="P23" s="58">
        <f t="shared" si="4"/>
        <v>0</v>
      </c>
      <c r="Q23" s="45" t="s">
        <v>150</v>
      </c>
      <c r="R23" s="51"/>
      <c r="S23" s="51"/>
      <c r="T23" s="51"/>
      <c r="U23" s="51"/>
      <c r="V23" s="51"/>
      <c r="W23" s="45" t="s">
        <v>509</v>
      </c>
      <c r="X23" s="51"/>
      <c r="Y23" s="51"/>
      <c r="Z23" s="51"/>
      <c r="AA23" s="51"/>
      <c r="AB23" s="72"/>
      <c r="AC23" s="51"/>
      <c r="AD23" s="51"/>
      <c r="AE23" s="51"/>
    </row>
    <row r="24">
      <c r="A24" s="23" t="s">
        <v>64</v>
      </c>
      <c r="B24" s="23" t="s">
        <v>67</v>
      </c>
      <c r="C24" s="23" t="s">
        <v>512</v>
      </c>
      <c r="D24" s="23" t="s">
        <v>514</v>
      </c>
      <c r="E24" s="23" t="s">
        <v>517</v>
      </c>
      <c r="F24" s="26">
        <v>372.0</v>
      </c>
      <c r="G24" s="27"/>
      <c r="H24" s="23" t="s">
        <v>187</v>
      </c>
      <c r="I24" s="88"/>
      <c r="J24" s="27"/>
      <c r="K24" s="29">
        <v>45041.0</v>
      </c>
      <c r="L24" s="29" t="str">
        <f t="shared" si="1"/>
        <v>2023</v>
      </c>
      <c r="M24" s="29">
        <v>45048.0</v>
      </c>
      <c r="N24" s="26" t="str">
        <f t="shared" si="2"/>
        <v>2023</v>
      </c>
      <c r="O24" s="36">
        <f t="shared" si="3"/>
        <v>7</v>
      </c>
      <c r="P24" s="36">
        <f t="shared" si="4"/>
        <v>0</v>
      </c>
      <c r="Q24" s="23" t="s">
        <v>106</v>
      </c>
      <c r="R24" s="27"/>
      <c r="S24" s="27"/>
      <c r="T24" s="27"/>
      <c r="U24" s="27"/>
      <c r="V24" s="23" t="s">
        <v>106</v>
      </c>
      <c r="W24" s="23" t="s">
        <v>523</v>
      </c>
      <c r="X24" s="27"/>
      <c r="Y24" s="27"/>
      <c r="Z24" s="27"/>
      <c r="AA24" s="27"/>
      <c r="AB24" s="107" t="s">
        <v>306</v>
      </c>
      <c r="AC24" s="27"/>
      <c r="AD24" s="27"/>
      <c r="AE24" s="27"/>
    </row>
    <row r="25">
      <c r="A25" s="45" t="s">
        <v>64</v>
      </c>
      <c r="B25" s="45" t="s">
        <v>67</v>
      </c>
      <c r="C25" s="45" t="s">
        <v>525</v>
      </c>
      <c r="D25" s="45" t="s">
        <v>527</v>
      </c>
      <c r="E25" s="45" t="s">
        <v>528</v>
      </c>
      <c r="F25" s="48">
        <v>373.0</v>
      </c>
      <c r="G25" s="51"/>
      <c r="H25" s="45" t="s">
        <v>187</v>
      </c>
      <c r="I25" s="45" t="s">
        <v>84</v>
      </c>
      <c r="J25" s="51"/>
      <c r="K25" s="55">
        <v>45043.0</v>
      </c>
      <c r="L25" s="55" t="str">
        <f t="shared" si="1"/>
        <v>2023</v>
      </c>
      <c r="M25" s="55">
        <v>45291.0</v>
      </c>
      <c r="N25" s="48" t="str">
        <f t="shared" si="2"/>
        <v>2023</v>
      </c>
      <c r="O25" s="58">
        <f t="shared" si="3"/>
        <v>248</v>
      </c>
      <c r="P25" s="58">
        <f t="shared" si="4"/>
        <v>0</v>
      </c>
      <c r="Q25" s="45" t="s">
        <v>106</v>
      </c>
      <c r="R25" s="51"/>
      <c r="S25" s="51"/>
      <c r="T25" s="51"/>
      <c r="U25" s="51"/>
      <c r="V25" s="45" t="s">
        <v>106</v>
      </c>
      <c r="W25" s="45" t="s">
        <v>532</v>
      </c>
      <c r="X25" s="51"/>
      <c r="Y25" s="51"/>
      <c r="Z25" s="51"/>
      <c r="AA25" s="51"/>
      <c r="AB25" s="72"/>
      <c r="AC25" s="51"/>
      <c r="AD25" s="51"/>
      <c r="AE25" s="51"/>
    </row>
    <row r="26">
      <c r="A26" s="23" t="s">
        <v>64</v>
      </c>
      <c r="B26" s="23" t="s">
        <v>67</v>
      </c>
      <c r="C26" s="23" t="s">
        <v>538</v>
      </c>
      <c r="D26" s="23" t="s">
        <v>539</v>
      </c>
      <c r="E26" s="23" t="s">
        <v>540</v>
      </c>
      <c r="F26" s="26">
        <v>374.0</v>
      </c>
      <c r="G26" s="27"/>
      <c r="H26" s="23" t="s">
        <v>139</v>
      </c>
      <c r="I26" s="23" t="s">
        <v>84</v>
      </c>
      <c r="J26" s="27"/>
      <c r="K26" s="29">
        <v>45054.0</v>
      </c>
      <c r="L26" s="29" t="str">
        <f t="shared" si="1"/>
        <v>2023</v>
      </c>
      <c r="M26" s="29">
        <v>45498.0</v>
      </c>
      <c r="N26" s="26" t="str">
        <f t="shared" si="2"/>
        <v>2024</v>
      </c>
      <c r="O26" s="36">
        <f t="shared" si="3"/>
        <v>444</v>
      </c>
      <c r="P26" s="36">
        <f t="shared" si="4"/>
        <v>1</v>
      </c>
      <c r="Q26" s="23" t="s">
        <v>150</v>
      </c>
      <c r="R26" s="27"/>
      <c r="S26" s="27"/>
      <c r="T26" s="27"/>
      <c r="U26" s="27"/>
      <c r="V26" s="27"/>
      <c r="W26" s="23" t="s">
        <v>546</v>
      </c>
      <c r="X26" s="27"/>
      <c r="Y26" s="27"/>
      <c r="Z26" s="27"/>
      <c r="AA26" s="23" t="s">
        <v>548</v>
      </c>
      <c r="AB26" s="44"/>
      <c r="AC26" s="76" t="s">
        <v>259</v>
      </c>
      <c r="AD26" s="27"/>
      <c r="AE26" s="76" t="s">
        <v>552</v>
      </c>
    </row>
    <row r="27">
      <c r="A27" s="45" t="s">
        <v>64</v>
      </c>
      <c r="B27" s="45" t="s">
        <v>67</v>
      </c>
      <c r="C27" s="45" t="s">
        <v>555</v>
      </c>
      <c r="D27" s="45" t="s">
        <v>557</v>
      </c>
      <c r="E27" s="45" t="s">
        <v>559</v>
      </c>
      <c r="F27" s="48">
        <v>375.0</v>
      </c>
      <c r="G27" s="51"/>
      <c r="H27" s="45" t="s">
        <v>187</v>
      </c>
      <c r="I27" s="53"/>
      <c r="J27" s="51"/>
      <c r="K27" s="55">
        <v>45054.0</v>
      </c>
      <c r="L27" s="55" t="str">
        <f t="shared" si="1"/>
        <v>2023</v>
      </c>
      <c r="M27" s="55">
        <v>45061.0</v>
      </c>
      <c r="N27" s="48" t="str">
        <f t="shared" si="2"/>
        <v>2023</v>
      </c>
      <c r="O27" s="58">
        <f t="shared" si="3"/>
        <v>7</v>
      </c>
      <c r="P27" s="58">
        <f t="shared" si="4"/>
        <v>0</v>
      </c>
      <c r="Q27" s="45" t="s">
        <v>106</v>
      </c>
      <c r="R27" s="51"/>
      <c r="S27" s="51"/>
      <c r="T27" s="51"/>
      <c r="U27" s="51"/>
      <c r="V27" s="45" t="s">
        <v>106</v>
      </c>
      <c r="W27" s="45" t="s">
        <v>565</v>
      </c>
      <c r="X27" s="51"/>
      <c r="Y27" s="51"/>
      <c r="Z27" s="51"/>
      <c r="AA27" s="51"/>
      <c r="AB27" s="72"/>
      <c r="AC27" s="51"/>
      <c r="AD27" s="51"/>
      <c r="AE27" s="51"/>
    </row>
    <row r="28">
      <c r="A28" s="23" t="s">
        <v>64</v>
      </c>
      <c r="B28" s="23" t="s">
        <v>67</v>
      </c>
      <c r="C28" s="23" t="s">
        <v>571</v>
      </c>
      <c r="D28" s="23" t="s">
        <v>573</v>
      </c>
      <c r="E28" s="23" t="s">
        <v>574</v>
      </c>
      <c r="F28" s="26">
        <v>376.0</v>
      </c>
      <c r="G28" s="27"/>
      <c r="H28" s="23" t="s">
        <v>187</v>
      </c>
      <c r="I28" s="88"/>
      <c r="J28" s="27"/>
      <c r="K28" s="29">
        <v>45056.0</v>
      </c>
      <c r="L28" s="29" t="str">
        <f t="shared" si="1"/>
        <v>2023</v>
      </c>
      <c r="M28" s="29">
        <v>45063.0</v>
      </c>
      <c r="N28" s="26" t="str">
        <f t="shared" si="2"/>
        <v>2023</v>
      </c>
      <c r="O28" s="36">
        <f t="shared" si="3"/>
        <v>7</v>
      </c>
      <c r="P28" s="36">
        <f t="shared" si="4"/>
        <v>0</v>
      </c>
      <c r="Q28" s="23" t="s">
        <v>106</v>
      </c>
      <c r="R28" s="27"/>
      <c r="S28" s="27"/>
      <c r="T28" s="27"/>
      <c r="U28" s="27"/>
      <c r="V28" s="23" t="s">
        <v>106</v>
      </c>
      <c r="W28" s="23" t="s">
        <v>582</v>
      </c>
      <c r="X28" s="27"/>
      <c r="Y28" s="27"/>
      <c r="Z28" s="27"/>
      <c r="AA28" s="27"/>
      <c r="AB28" s="44"/>
      <c r="AC28" s="27"/>
      <c r="AD28" s="27"/>
      <c r="AE28" s="27"/>
    </row>
    <row r="29">
      <c r="A29" s="45" t="s">
        <v>64</v>
      </c>
      <c r="B29" s="45" t="s">
        <v>67</v>
      </c>
      <c r="C29" s="45" t="s">
        <v>588</v>
      </c>
      <c r="D29" s="45" t="s">
        <v>592</v>
      </c>
      <c r="E29" s="45" t="s">
        <v>593</v>
      </c>
      <c r="F29" s="48">
        <v>377.0</v>
      </c>
      <c r="G29" s="51"/>
      <c r="H29" s="45" t="s">
        <v>82</v>
      </c>
      <c r="I29" s="45" t="s">
        <v>84</v>
      </c>
      <c r="J29" s="51"/>
      <c r="K29" s="55">
        <v>45056.0</v>
      </c>
      <c r="L29" s="55" t="str">
        <f t="shared" si="1"/>
        <v>2023</v>
      </c>
      <c r="M29" s="55">
        <v>45291.0</v>
      </c>
      <c r="N29" s="48" t="str">
        <f t="shared" si="2"/>
        <v>2023</v>
      </c>
      <c r="O29" s="58">
        <f t="shared" si="3"/>
        <v>235</v>
      </c>
      <c r="P29" s="58">
        <f t="shared" si="4"/>
        <v>0</v>
      </c>
      <c r="Q29" s="45" t="s">
        <v>150</v>
      </c>
      <c r="R29" s="51"/>
      <c r="S29" s="51"/>
      <c r="T29" s="51"/>
      <c r="U29" s="51"/>
      <c r="V29" s="45" t="s">
        <v>106</v>
      </c>
      <c r="W29" s="45" t="s">
        <v>603</v>
      </c>
      <c r="X29" s="51"/>
      <c r="Y29" s="51"/>
      <c r="Z29" s="51"/>
      <c r="AA29" s="51"/>
      <c r="AB29" s="72"/>
      <c r="AC29" s="51"/>
      <c r="AD29" s="51"/>
      <c r="AE29" s="51"/>
    </row>
    <row r="30">
      <c r="A30" s="23" t="s">
        <v>64</v>
      </c>
      <c r="B30" s="23" t="s">
        <v>67</v>
      </c>
      <c r="C30" s="23" t="s">
        <v>608</v>
      </c>
      <c r="D30" s="23" t="s">
        <v>611</v>
      </c>
      <c r="E30" s="23" t="s">
        <v>612</v>
      </c>
      <c r="F30" s="26">
        <v>378.0</v>
      </c>
      <c r="G30" s="27"/>
      <c r="H30" s="23" t="s">
        <v>225</v>
      </c>
      <c r="I30" s="23" t="s">
        <v>226</v>
      </c>
      <c r="J30" s="27"/>
      <c r="K30" s="29">
        <v>45057.0</v>
      </c>
      <c r="L30" s="29" t="str">
        <f t="shared" si="1"/>
        <v>2023</v>
      </c>
      <c r="M30" s="29">
        <v>45092.0</v>
      </c>
      <c r="N30" s="26" t="str">
        <f t="shared" si="2"/>
        <v>2023</v>
      </c>
      <c r="O30" s="36">
        <f t="shared" si="3"/>
        <v>35</v>
      </c>
      <c r="P30" s="36">
        <f t="shared" si="4"/>
        <v>0</v>
      </c>
      <c r="Q30" s="23" t="s">
        <v>150</v>
      </c>
      <c r="R30" s="27"/>
      <c r="S30" s="27"/>
      <c r="T30" s="27"/>
      <c r="U30" s="27"/>
      <c r="V30" s="23" t="s">
        <v>616</v>
      </c>
      <c r="W30" s="23" t="s">
        <v>617</v>
      </c>
      <c r="X30" s="27"/>
      <c r="Y30" s="27"/>
      <c r="Z30" s="27"/>
      <c r="AA30" s="27"/>
      <c r="AB30" s="44"/>
      <c r="AC30" s="27"/>
      <c r="AD30" s="27"/>
      <c r="AE30" s="27"/>
    </row>
    <row r="31">
      <c r="A31" s="45" t="s">
        <v>64</v>
      </c>
      <c r="B31" s="45" t="s">
        <v>67</v>
      </c>
      <c r="C31" s="45" t="s">
        <v>620</v>
      </c>
      <c r="D31" s="45" t="s">
        <v>622</v>
      </c>
      <c r="E31" s="45" t="s">
        <v>624</v>
      </c>
      <c r="F31" s="48">
        <v>379.0</v>
      </c>
      <c r="G31" s="51"/>
      <c r="H31" s="45" t="s">
        <v>187</v>
      </c>
      <c r="I31" s="53"/>
      <c r="J31" s="51"/>
      <c r="K31" s="55">
        <v>45057.0</v>
      </c>
      <c r="L31" s="55" t="str">
        <f t="shared" si="1"/>
        <v>2023</v>
      </c>
      <c r="M31" s="55">
        <v>45064.0</v>
      </c>
      <c r="N31" s="48" t="str">
        <f t="shared" si="2"/>
        <v>2023</v>
      </c>
      <c r="O31" s="58">
        <f t="shared" si="3"/>
        <v>7</v>
      </c>
      <c r="P31" s="58">
        <f t="shared" si="4"/>
        <v>0</v>
      </c>
      <c r="Q31" s="45" t="s">
        <v>106</v>
      </c>
      <c r="R31" s="51"/>
      <c r="S31" s="51"/>
      <c r="T31" s="51"/>
      <c r="U31" s="51"/>
      <c r="V31" s="45" t="s">
        <v>106</v>
      </c>
      <c r="W31" s="45" t="s">
        <v>635</v>
      </c>
      <c r="X31" s="51"/>
      <c r="Y31" s="51"/>
      <c r="Z31" s="51"/>
      <c r="AA31" s="51"/>
      <c r="AB31" s="72"/>
      <c r="AC31" s="51"/>
      <c r="AD31" s="51"/>
      <c r="AE31" s="51"/>
    </row>
    <row r="32">
      <c r="A32" s="23" t="s">
        <v>64</v>
      </c>
      <c r="B32" s="23" t="s">
        <v>67</v>
      </c>
      <c r="C32" s="23" t="s">
        <v>639</v>
      </c>
      <c r="D32" s="23" t="s">
        <v>641</v>
      </c>
      <c r="E32" s="23" t="s">
        <v>642</v>
      </c>
      <c r="F32" s="26">
        <v>380.0</v>
      </c>
      <c r="G32" s="27"/>
      <c r="H32" s="23" t="s">
        <v>84</v>
      </c>
      <c r="I32" s="23" t="s">
        <v>84</v>
      </c>
      <c r="J32" s="27"/>
      <c r="K32" s="29">
        <v>45061.0</v>
      </c>
      <c r="L32" s="29" t="str">
        <f t="shared" si="1"/>
        <v>2023</v>
      </c>
      <c r="M32" s="29">
        <v>45291.0</v>
      </c>
      <c r="N32" s="26" t="str">
        <f t="shared" si="2"/>
        <v>2023</v>
      </c>
      <c r="O32" s="36">
        <f t="shared" si="3"/>
        <v>230</v>
      </c>
      <c r="P32" s="36">
        <f t="shared" si="4"/>
        <v>0</v>
      </c>
      <c r="Q32" s="23" t="s">
        <v>150</v>
      </c>
      <c r="R32" s="27"/>
      <c r="S32" s="27"/>
      <c r="T32" s="27"/>
      <c r="U32" s="27"/>
      <c r="V32" s="23" t="s">
        <v>654</v>
      </c>
      <c r="W32" s="23" t="s">
        <v>656</v>
      </c>
      <c r="X32" s="27"/>
      <c r="Y32" s="27"/>
      <c r="Z32" s="27"/>
      <c r="AA32" s="27"/>
      <c r="AB32" s="44"/>
      <c r="AC32" s="27"/>
      <c r="AD32" s="27"/>
      <c r="AE32" s="27"/>
    </row>
    <row r="33">
      <c r="A33" s="45" t="s">
        <v>64</v>
      </c>
      <c r="B33" s="45" t="s">
        <v>19</v>
      </c>
      <c r="C33" s="45" t="s">
        <v>664</v>
      </c>
      <c r="D33" s="45" t="s">
        <v>666</v>
      </c>
      <c r="E33" s="45" t="s">
        <v>668</v>
      </c>
      <c r="F33" s="48">
        <v>381.0</v>
      </c>
      <c r="G33" s="48">
        <v>600157.0</v>
      </c>
      <c r="H33" s="45" t="s">
        <v>84</v>
      </c>
      <c r="I33" s="45" t="s">
        <v>84</v>
      </c>
      <c r="J33" s="51"/>
      <c r="K33" s="55">
        <v>45061.0</v>
      </c>
      <c r="L33" s="55" t="str">
        <f t="shared" si="1"/>
        <v>2023</v>
      </c>
      <c r="M33" s="55">
        <v>46022.0</v>
      </c>
      <c r="N33" s="48" t="str">
        <f t="shared" si="2"/>
        <v>2025</v>
      </c>
      <c r="O33" s="58">
        <f t="shared" si="3"/>
        <v>961</v>
      </c>
      <c r="P33" s="58">
        <f t="shared" si="4"/>
        <v>2</v>
      </c>
      <c r="Q33" s="45" t="s">
        <v>253</v>
      </c>
      <c r="R33" s="45" t="s">
        <v>673</v>
      </c>
      <c r="S33" s="48" t="s">
        <v>113</v>
      </c>
      <c r="T33" s="51"/>
      <c r="U33" s="51"/>
      <c r="V33" s="45" t="s">
        <v>104</v>
      </c>
      <c r="W33" s="45" t="s">
        <v>675</v>
      </c>
      <c r="X33" s="51"/>
      <c r="Y33" s="51"/>
      <c r="Z33" s="51"/>
      <c r="AA33" s="51"/>
      <c r="AB33" s="72"/>
      <c r="AC33" s="64" t="s">
        <v>440</v>
      </c>
      <c r="AD33" s="64" t="s">
        <v>123</v>
      </c>
      <c r="AE33" s="64" t="s">
        <v>679</v>
      </c>
    </row>
    <row r="34">
      <c r="A34" s="23" t="s">
        <v>64</v>
      </c>
      <c r="B34" s="23" t="s">
        <v>67</v>
      </c>
      <c r="C34" s="23" t="s">
        <v>683</v>
      </c>
      <c r="D34" s="23" t="s">
        <v>684</v>
      </c>
      <c r="E34" s="23" t="s">
        <v>685</v>
      </c>
      <c r="F34" s="26">
        <v>383.0</v>
      </c>
      <c r="G34" s="27"/>
      <c r="H34" s="23" t="s">
        <v>84</v>
      </c>
      <c r="I34" s="88"/>
      <c r="J34" s="27"/>
      <c r="K34" s="29">
        <v>45065.0</v>
      </c>
      <c r="L34" s="29" t="str">
        <f t="shared" si="1"/>
        <v>2023</v>
      </c>
      <c r="M34" s="29">
        <v>45291.0</v>
      </c>
      <c r="N34" s="26" t="str">
        <f t="shared" si="2"/>
        <v>2023</v>
      </c>
      <c r="O34" s="36">
        <f t="shared" si="3"/>
        <v>226</v>
      </c>
      <c r="P34" s="36">
        <f t="shared" si="4"/>
        <v>0</v>
      </c>
      <c r="Q34" s="23" t="s">
        <v>150</v>
      </c>
      <c r="R34" s="23" t="s">
        <v>692</v>
      </c>
      <c r="S34" s="27"/>
      <c r="T34" s="27"/>
      <c r="U34" s="27"/>
      <c r="V34" s="27"/>
      <c r="W34" s="23" t="s">
        <v>697</v>
      </c>
      <c r="X34" s="27"/>
      <c r="Y34" s="27"/>
      <c r="Z34" s="27"/>
      <c r="AA34" s="27"/>
      <c r="AB34" s="44"/>
      <c r="AC34" s="76" t="s">
        <v>162</v>
      </c>
      <c r="AD34" s="27"/>
      <c r="AE34" s="76" t="s">
        <v>162</v>
      </c>
    </row>
    <row r="35">
      <c r="A35" s="45" t="s">
        <v>64</v>
      </c>
      <c r="B35" s="45" t="s">
        <v>67</v>
      </c>
      <c r="C35" s="45" t="s">
        <v>700</v>
      </c>
      <c r="D35" s="45" t="s">
        <v>702</v>
      </c>
      <c r="E35" s="45" t="s">
        <v>704</v>
      </c>
      <c r="F35" s="48">
        <v>384.0</v>
      </c>
      <c r="G35" s="51"/>
      <c r="H35" s="45" t="s">
        <v>266</v>
      </c>
      <c r="I35" s="53"/>
      <c r="J35" s="51"/>
      <c r="K35" s="55">
        <v>45065.0</v>
      </c>
      <c r="L35" s="55" t="str">
        <f t="shared" si="1"/>
        <v>2023</v>
      </c>
      <c r="M35" s="55">
        <v>45291.0</v>
      </c>
      <c r="N35" s="48" t="str">
        <f t="shared" si="2"/>
        <v>2023</v>
      </c>
      <c r="O35" s="58">
        <f t="shared" si="3"/>
        <v>226</v>
      </c>
      <c r="P35" s="58">
        <f t="shared" si="4"/>
        <v>0</v>
      </c>
      <c r="Q35" s="45" t="s">
        <v>150</v>
      </c>
      <c r="R35" s="51"/>
      <c r="S35" s="51"/>
      <c r="T35" s="51"/>
      <c r="U35" s="51"/>
      <c r="V35" s="45" t="s">
        <v>104</v>
      </c>
      <c r="W35" s="45" t="s">
        <v>714</v>
      </c>
      <c r="X35" s="51"/>
      <c r="Y35" s="51"/>
      <c r="Z35" s="51"/>
      <c r="AA35" s="51"/>
      <c r="AB35" s="72"/>
      <c r="AC35" s="51"/>
      <c r="AD35" s="51"/>
      <c r="AE35" s="51"/>
    </row>
    <row r="36">
      <c r="A36" s="23" t="s">
        <v>64</v>
      </c>
      <c r="B36" s="23" t="s">
        <v>67</v>
      </c>
      <c r="C36" s="23" t="s">
        <v>717</v>
      </c>
      <c r="D36" s="23" t="s">
        <v>719</v>
      </c>
      <c r="E36" s="23" t="s">
        <v>721</v>
      </c>
      <c r="F36" s="26">
        <v>385.0</v>
      </c>
      <c r="G36" s="26">
        <v>600094.0</v>
      </c>
      <c r="H36" s="23" t="s">
        <v>139</v>
      </c>
      <c r="I36" s="23" t="s">
        <v>723</v>
      </c>
      <c r="J36" s="27"/>
      <c r="K36" s="29">
        <v>45077.0</v>
      </c>
      <c r="L36" s="29" t="str">
        <f t="shared" si="1"/>
        <v>2023</v>
      </c>
      <c r="M36" s="29">
        <v>45808.0</v>
      </c>
      <c r="N36" s="26" t="str">
        <f t="shared" si="2"/>
        <v>2025</v>
      </c>
      <c r="O36" s="36">
        <f t="shared" si="3"/>
        <v>731</v>
      </c>
      <c r="P36" s="36">
        <f t="shared" si="4"/>
        <v>2</v>
      </c>
      <c r="Q36" s="23" t="s">
        <v>348</v>
      </c>
      <c r="R36" s="23" t="s">
        <v>725</v>
      </c>
      <c r="S36" s="27"/>
      <c r="T36" s="27"/>
      <c r="U36" s="27"/>
      <c r="V36" s="27"/>
      <c r="W36" s="23" t="s">
        <v>726</v>
      </c>
      <c r="X36" s="23" t="s">
        <v>726</v>
      </c>
      <c r="Y36" s="27"/>
      <c r="Z36" s="27"/>
      <c r="AA36" s="27"/>
      <c r="AB36" s="44"/>
      <c r="AC36" s="76" t="s">
        <v>354</v>
      </c>
      <c r="AD36" s="76" t="s">
        <v>261</v>
      </c>
      <c r="AE36" s="76" t="s">
        <v>552</v>
      </c>
    </row>
    <row r="37">
      <c r="A37" s="45" t="s">
        <v>64</v>
      </c>
      <c r="B37" s="45" t="s">
        <v>67</v>
      </c>
      <c r="C37" s="45" t="s">
        <v>731</v>
      </c>
      <c r="D37" s="45" t="s">
        <v>732</v>
      </c>
      <c r="E37" s="45" t="s">
        <v>734</v>
      </c>
      <c r="F37" s="48">
        <v>386.0</v>
      </c>
      <c r="G37" s="51"/>
      <c r="H37" s="45" t="s">
        <v>187</v>
      </c>
      <c r="I37" s="53"/>
      <c r="J37" s="51"/>
      <c r="K37" s="55">
        <v>45071.0</v>
      </c>
      <c r="L37" s="55" t="str">
        <f t="shared" si="1"/>
        <v>2023</v>
      </c>
      <c r="M37" s="55">
        <v>45078.0</v>
      </c>
      <c r="N37" s="48" t="str">
        <f t="shared" si="2"/>
        <v>2023</v>
      </c>
      <c r="O37" s="58">
        <f t="shared" si="3"/>
        <v>7</v>
      </c>
      <c r="P37" s="58">
        <f t="shared" si="4"/>
        <v>0</v>
      </c>
      <c r="Q37" s="45" t="s">
        <v>106</v>
      </c>
      <c r="R37" s="51"/>
      <c r="S37" s="51"/>
      <c r="T37" s="51"/>
      <c r="U37" s="51"/>
      <c r="V37" s="45" t="s">
        <v>106</v>
      </c>
      <c r="W37" s="45" t="s">
        <v>743</v>
      </c>
      <c r="X37" s="51"/>
      <c r="Y37" s="51"/>
      <c r="Z37" s="51"/>
      <c r="AA37" s="51"/>
      <c r="AB37" s="72"/>
      <c r="AC37" s="51"/>
      <c r="AD37" s="51"/>
      <c r="AE37" s="51"/>
    </row>
    <row r="38">
      <c r="A38" s="23" t="s">
        <v>64</v>
      </c>
      <c r="B38" s="23" t="s">
        <v>67</v>
      </c>
      <c r="C38" s="23" t="s">
        <v>747</v>
      </c>
      <c r="D38" s="23" t="s">
        <v>750</v>
      </c>
      <c r="E38" s="23" t="s">
        <v>751</v>
      </c>
      <c r="F38" s="26">
        <v>387.0</v>
      </c>
      <c r="G38" s="27"/>
      <c r="H38" s="23" t="s">
        <v>187</v>
      </c>
      <c r="I38" s="88"/>
      <c r="J38" s="27"/>
      <c r="K38" s="29">
        <v>45075.0</v>
      </c>
      <c r="L38" s="29" t="str">
        <f t="shared" si="1"/>
        <v>2023</v>
      </c>
      <c r="M38" s="29">
        <v>45082.0</v>
      </c>
      <c r="N38" s="26" t="str">
        <f t="shared" si="2"/>
        <v>2023</v>
      </c>
      <c r="O38" s="36">
        <f t="shared" si="3"/>
        <v>7</v>
      </c>
      <c r="P38" s="36">
        <f t="shared" si="4"/>
        <v>0</v>
      </c>
      <c r="Q38" s="23" t="s">
        <v>106</v>
      </c>
      <c r="R38" s="27"/>
      <c r="S38" s="27"/>
      <c r="T38" s="27"/>
      <c r="U38" s="27"/>
      <c r="V38" s="23" t="s">
        <v>106</v>
      </c>
      <c r="W38" s="23" t="s">
        <v>757</v>
      </c>
      <c r="X38" s="27"/>
      <c r="Y38" s="27"/>
      <c r="Z38" s="27"/>
      <c r="AA38" s="27"/>
      <c r="AB38" s="44"/>
      <c r="AC38" s="27"/>
      <c r="AD38" s="27"/>
      <c r="AE38" s="27"/>
    </row>
    <row r="39">
      <c r="A39" s="45" t="s">
        <v>64</v>
      </c>
      <c r="B39" s="45" t="s">
        <v>19</v>
      </c>
      <c r="C39" s="45" t="s">
        <v>760</v>
      </c>
      <c r="D39" s="45" t="s">
        <v>761</v>
      </c>
      <c r="E39" s="45" t="s">
        <v>762</v>
      </c>
      <c r="F39" s="48">
        <v>388.0</v>
      </c>
      <c r="G39" s="48">
        <v>600114.0</v>
      </c>
      <c r="H39" s="45" t="s">
        <v>464</v>
      </c>
      <c r="I39" s="45" t="s">
        <v>84</v>
      </c>
      <c r="J39" s="51"/>
      <c r="K39" s="55">
        <v>45077.0</v>
      </c>
      <c r="L39" s="55" t="str">
        <f t="shared" si="1"/>
        <v>2023</v>
      </c>
      <c r="M39" s="55">
        <v>46204.0</v>
      </c>
      <c r="N39" s="48" t="str">
        <f t="shared" si="2"/>
        <v>2026</v>
      </c>
      <c r="O39" s="58">
        <f t="shared" si="3"/>
        <v>1127</v>
      </c>
      <c r="P39" s="58">
        <f t="shared" si="4"/>
        <v>3</v>
      </c>
      <c r="Q39" s="45" t="s">
        <v>769</v>
      </c>
      <c r="R39" s="45" t="s">
        <v>771</v>
      </c>
      <c r="S39" s="51"/>
      <c r="T39" s="51"/>
      <c r="U39" s="51"/>
      <c r="V39" s="51"/>
      <c r="W39" s="45" t="s">
        <v>776</v>
      </c>
      <c r="X39" s="45" t="s">
        <v>776</v>
      </c>
      <c r="Y39" s="51"/>
      <c r="Z39" s="51"/>
      <c r="AA39" s="51"/>
      <c r="AB39" s="72"/>
      <c r="AC39" s="64" t="s">
        <v>777</v>
      </c>
      <c r="AD39" s="64" t="s">
        <v>123</v>
      </c>
      <c r="AE39" s="64" t="s">
        <v>124</v>
      </c>
    </row>
    <row r="40">
      <c r="A40" s="23" t="s">
        <v>64</v>
      </c>
      <c r="B40" s="23" t="s">
        <v>19</v>
      </c>
      <c r="C40" s="23" t="s">
        <v>100</v>
      </c>
      <c r="D40" s="23" t="s">
        <v>101</v>
      </c>
      <c r="E40" s="23" t="s">
        <v>102</v>
      </c>
      <c r="F40" s="26">
        <v>29.0</v>
      </c>
      <c r="G40" s="26">
        <v>600256.0</v>
      </c>
      <c r="H40" s="23" t="s">
        <v>139</v>
      </c>
      <c r="I40" s="23" t="s">
        <v>84</v>
      </c>
      <c r="J40" s="23" t="s">
        <v>782</v>
      </c>
      <c r="K40" s="29">
        <v>44103.0</v>
      </c>
      <c r="L40" s="29" t="str">
        <f t="shared" si="1"/>
        <v>2020</v>
      </c>
      <c r="M40" s="29">
        <v>46143.0</v>
      </c>
      <c r="N40" s="26" t="str">
        <f t="shared" si="2"/>
        <v>2026</v>
      </c>
      <c r="O40" s="36">
        <f t="shared" si="3"/>
        <v>2040</v>
      </c>
      <c r="P40" s="36">
        <f t="shared" si="4"/>
        <v>5</v>
      </c>
      <c r="Q40" s="23" t="s">
        <v>769</v>
      </c>
      <c r="R40" s="23" t="s">
        <v>788</v>
      </c>
      <c r="S40" s="23" t="s">
        <v>113</v>
      </c>
      <c r="T40" s="23" t="s">
        <v>84</v>
      </c>
      <c r="U40" s="23" t="s">
        <v>790</v>
      </c>
      <c r="V40" s="23" t="s">
        <v>104</v>
      </c>
      <c r="W40" s="23" t="s">
        <v>117</v>
      </c>
      <c r="X40" s="134" t="s">
        <v>117</v>
      </c>
      <c r="Y40" s="27"/>
      <c r="Z40" s="27"/>
      <c r="AA40" s="23" t="s">
        <v>819</v>
      </c>
      <c r="AB40" s="44"/>
      <c r="AC40" s="76" t="s">
        <v>820</v>
      </c>
      <c r="AD40" s="76" t="s">
        <v>123</v>
      </c>
      <c r="AE40" s="76" t="s">
        <v>124</v>
      </c>
    </row>
    <row r="41">
      <c r="A41" s="45" t="s">
        <v>64</v>
      </c>
      <c r="B41" s="45" t="s">
        <v>67</v>
      </c>
      <c r="C41" s="45" t="s">
        <v>826</v>
      </c>
      <c r="D41" s="45" t="s">
        <v>827</v>
      </c>
      <c r="E41" s="45" t="s">
        <v>828</v>
      </c>
      <c r="F41" s="48">
        <v>390.0</v>
      </c>
      <c r="G41" s="51"/>
      <c r="H41" s="45" t="s">
        <v>139</v>
      </c>
      <c r="I41" s="45" t="s">
        <v>84</v>
      </c>
      <c r="J41" s="51"/>
      <c r="K41" s="55">
        <v>45078.0</v>
      </c>
      <c r="L41" s="55" t="str">
        <f t="shared" si="1"/>
        <v>2023</v>
      </c>
      <c r="M41" s="55">
        <v>45490.0</v>
      </c>
      <c r="N41" s="48" t="str">
        <f t="shared" si="2"/>
        <v>2024</v>
      </c>
      <c r="O41" s="58">
        <f t="shared" si="3"/>
        <v>412</v>
      </c>
      <c r="P41" s="58">
        <f t="shared" si="4"/>
        <v>1</v>
      </c>
      <c r="Q41" s="45" t="s">
        <v>253</v>
      </c>
      <c r="R41" s="45" t="s">
        <v>843</v>
      </c>
      <c r="S41" s="51"/>
      <c r="T41" s="51"/>
      <c r="U41" s="51"/>
      <c r="V41" s="51"/>
      <c r="W41" s="45" t="s">
        <v>847</v>
      </c>
      <c r="X41" s="51"/>
      <c r="Y41" s="51"/>
      <c r="Z41" s="51"/>
      <c r="AA41" s="51"/>
      <c r="AB41" s="72"/>
      <c r="AC41" s="64" t="s">
        <v>259</v>
      </c>
      <c r="AD41" s="64" t="s">
        <v>261</v>
      </c>
      <c r="AE41" s="64" t="s">
        <v>262</v>
      </c>
    </row>
    <row r="42">
      <c r="A42" s="23" t="s">
        <v>64</v>
      </c>
      <c r="B42" s="23" t="s">
        <v>67</v>
      </c>
      <c r="C42" s="23" t="s">
        <v>853</v>
      </c>
      <c r="D42" s="23" t="s">
        <v>855</v>
      </c>
      <c r="E42" s="23" t="s">
        <v>856</v>
      </c>
      <c r="F42" s="26">
        <v>391.0</v>
      </c>
      <c r="G42" s="27"/>
      <c r="H42" s="23" t="s">
        <v>139</v>
      </c>
      <c r="I42" s="23" t="s">
        <v>248</v>
      </c>
      <c r="J42" s="27"/>
      <c r="K42" s="29">
        <v>45079.0</v>
      </c>
      <c r="L42" s="29" t="str">
        <f t="shared" si="1"/>
        <v>2023</v>
      </c>
      <c r="M42" s="29">
        <v>45444.0</v>
      </c>
      <c r="N42" s="26" t="str">
        <f t="shared" si="2"/>
        <v>2024</v>
      </c>
      <c r="O42" s="36">
        <f t="shared" si="3"/>
        <v>365</v>
      </c>
      <c r="P42" s="36">
        <f t="shared" si="4"/>
        <v>0</v>
      </c>
      <c r="Q42" s="23" t="s">
        <v>150</v>
      </c>
      <c r="R42" s="27"/>
      <c r="S42" s="27"/>
      <c r="T42" s="27"/>
      <c r="U42" s="27"/>
      <c r="V42" s="27"/>
      <c r="W42" s="23" t="s">
        <v>864</v>
      </c>
      <c r="X42" s="27"/>
      <c r="Y42" s="27"/>
      <c r="Z42" s="27"/>
      <c r="AA42" s="27"/>
      <c r="AB42" s="44"/>
      <c r="AC42" s="76" t="s">
        <v>259</v>
      </c>
      <c r="AD42" s="76" t="s">
        <v>261</v>
      </c>
      <c r="AE42" s="76" t="s">
        <v>370</v>
      </c>
    </row>
    <row r="43">
      <c r="A43" s="45" t="s">
        <v>64</v>
      </c>
      <c r="B43" s="45" t="s">
        <v>67</v>
      </c>
      <c r="C43" s="45" t="s">
        <v>868</v>
      </c>
      <c r="D43" s="45" t="s">
        <v>869</v>
      </c>
      <c r="E43" s="45" t="s">
        <v>870</v>
      </c>
      <c r="F43" s="48">
        <v>392.0</v>
      </c>
      <c r="G43" s="51"/>
      <c r="H43" s="45" t="s">
        <v>139</v>
      </c>
      <c r="I43" s="45" t="s">
        <v>873</v>
      </c>
      <c r="J43" s="51"/>
      <c r="K43" s="55">
        <v>45079.0</v>
      </c>
      <c r="L43" s="55" t="str">
        <f t="shared" si="1"/>
        <v>2023</v>
      </c>
      <c r="M43" s="55">
        <v>45445.0</v>
      </c>
      <c r="N43" s="48" t="str">
        <f t="shared" si="2"/>
        <v>2024</v>
      </c>
      <c r="O43" s="58">
        <f t="shared" si="3"/>
        <v>366</v>
      </c>
      <c r="P43" s="58">
        <f t="shared" si="4"/>
        <v>1</v>
      </c>
      <c r="Q43" s="45" t="s">
        <v>150</v>
      </c>
      <c r="R43" s="51"/>
      <c r="S43" s="51"/>
      <c r="T43" s="51"/>
      <c r="U43" s="51"/>
      <c r="V43" s="51"/>
      <c r="W43" s="45" t="s">
        <v>884</v>
      </c>
      <c r="X43" s="51"/>
      <c r="Y43" s="51"/>
      <c r="Z43" s="51"/>
      <c r="AA43" s="45" t="s">
        <v>895</v>
      </c>
      <c r="AB43" s="63">
        <v>45105.0</v>
      </c>
      <c r="AC43" s="64" t="s">
        <v>162</v>
      </c>
      <c r="AD43" s="64" t="s">
        <v>261</v>
      </c>
      <c r="AE43" s="64" t="s">
        <v>124</v>
      </c>
    </row>
    <row r="44">
      <c r="A44" s="23" t="s">
        <v>64</v>
      </c>
      <c r="B44" s="23" t="s">
        <v>67</v>
      </c>
      <c r="C44" s="23" t="s">
        <v>899</v>
      </c>
      <c r="D44" s="23" t="s">
        <v>900</v>
      </c>
      <c r="E44" s="23" t="s">
        <v>901</v>
      </c>
      <c r="F44" s="26">
        <v>393.0</v>
      </c>
      <c r="G44" s="26">
        <v>600116.0</v>
      </c>
      <c r="H44" s="23" t="s">
        <v>139</v>
      </c>
      <c r="I44" s="23" t="s">
        <v>226</v>
      </c>
      <c r="J44" s="27"/>
      <c r="K44" s="29">
        <v>45079.0</v>
      </c>
      <c r="L44" s="29" t="str">
        <f t="shared" si="1"/>
        <v>2023</v>
      </c>
      <c r="M44" s="29">
        <v>45262.0</v>
      </c>
      <c r="N44" s="26" t="str">
        <f t="shared" si="2"/>
        <v>2023</v>
      </c>
      <c r="O44" s="36">
        <f t="shared" si="3"/>
        <v>183</v>
      </c>
      <c r="P44" s="36">
        <f t="shared" si="4"/>
        <v>0</v>
      </c>
      <c r="Q44" s="23" t="s">
        <v>150</v>
      </c>
      <c r="R44" s="23" t="s">
        <v>908</v>
      </c>
      <c r="S44" s="27"/>
      <c r="T44" s="27"/>
      <c r="U44" s="27"/>
      <c r="V44" s="27"/>
      <c r="W44" s="23" t="s">
        <v>912</v>
      </c>
      <c r="X44" s="27"/>
      <c r="Y44" s="27"/>
      <c r="Z44" s="27"/>
      <c r="AA44" s="27"/>
      <c r="AB44" s="44"/>
      <c r="AC44" s="76" t="s">
        <v>162</v>
      </c>
      <c r="AD44" s="76" t="s">
        <v>261</v>
      </c>
      <c r="AE44" s="76" t="s">
        <v>124</v>
      </c>
    </row>
    <row r="45">
      <c r="A45" s="45" t="s">
        <v>64</v>
      </c>
      <c r="B45" s="45" t="s">
        <v>67</v>
      </c>
      <c r="C45" s="45" t="s">
        <v>916</v>
      </c>
      <c r="D45" s="45" t="s">
        <v>918</v>
      </c>
      <c r="E45" s="45" t="s">
        <v>919</v>
      </c>
      <c r="F45" s="48">
        <v>394.0</v>
      </c>
      <c r="G45" s="51"/>
      <c r="H45" s="45" t="s">
        <v>266</v>
      </c>
      <c r="I45" s="45" t="s">
        <v>226</v>
      </c>
      <c r="J45" s="51"/>
      <c r="K45" s="55">
        <v>45083.0</v>
      </c>
      <c r="L45" s="55" t="str">
        <f t="shared" si="1"/>
        <v>2023</v>
      </c>
      <c r="M45" s="55">
        <v>45291.0</v>
      </c>
      <c r="N45" s="48" t="str">
        <f t="shared" si="2"/>
        <v>2023</v>
      </c>
      <c r="O45" s="58">
        <f t="shared" si="3"/>
        <v>208</v>
      </c>
      <c r="P45" s="58">
        <f t="shared" si="4"/>
        <v>0</v>
      </c>
      <c r="Q45" s="45" t="s">
        <v>150</v>
      </c>
      <c r="R45" s="51"/>
      <c r="S45" s="51"/>
      <c r="T45" s="51"/>
      <c r="U45" s="51"/>
      <c r="V45" s="45" t="s">
        <v>928</v>
      </c>
      <c r="W45" s="45" t="s">
        <v>929</v>
      </c>
      <c r="X45" s="51"/>
      <c r="Y45" s="51"/>
      <c r="Z45" s="51"/>
      <c r="AA45" s="51"/>
      <c r="AB45" s="72"/>
      <c r="AC45" s="51"/>
      <c r="AD45" s="64" t="s">
        <v>261</v>
      </c>
      <c r="AE45" s="51"/>
    </row>
    <row r="46">
      <c r="A46" s="23" t="s">
        <v>64</v>
      </c>
      <c r="B46" s="23" t="s">
        <v>67</v>
      </c>
      <c r="C46" s="23" t="s">
        <v>934</v>
      </c>
      <c r="D46" s="23" t="s">
        <v>937</v>
      </c>
      <c r="E46" s="23" t="s">
        <v>939</v>
      </c>
      <c r="F46" s="26">
        <v>395.0</v>
      </c>
      <c r="G46" s="27"/>
      <c r="H46" s="23" t="s">
        <v>84</v>
      </c>
      <c r="I46" s="88"/>
      <c r="J46" s="27"/>
      <c r="K46" s="29">
        <v>45084.0</v>
      </c>
      <c r="L46" s="29" t="str">
        <f t="shared" si="1"/>
        <v>2023</v>
      </c>
      <c r="M46" s="29">
        <v>45291.0</v>
      </c>
      <c r="N46" s="26" t="str">
        <f t="shared" si="2"/>
        <v>2023</v>
      </c>
      <c r="O46" s="36">
        <f t="shared" si="3"/>
        <v>207</v>
      </c>
      <c r="P46" s="36">
        <f t="shared" si="4"/>
        <v>0</v>
      </c>
      <c r="Q46" s="23" t="s">
        <v>150</v>
      </c>
      <c r="R46" s="23" t="s">
        <v>945</v>
      </c>
      <c r="S46" s="27"/>
      <c r="T46" s="27"/>
      <c r="U46" s="27"/>
      <c r="V46" s="23" t="s">
        <v>945</v>
      </c>
      <c r="W46" s="23" t="s">
        <v>947</v>
      </c>
      <c r="X46" s="27"/>
      <c r="Y46" s="27"/>
      <c r="Z46" s="27"/>
      <c r="AA46" s="27"/>
      <c r="AB46" s="44"/>
      <c r="AC46" s="76" t="s">
        <v>162</v>
      </c>
      <c r="AD46" s="27"/>
      <c r="AE46" s="76" t="s">
        <v>162</v>
      </c>
    </row>
    <row r="47">
      <c r="A47" s="45" t="s">
        <v>64</v>
      </c>
      <c r="B47" s="45" t="s">
        <v>67</v>
      </c>
      <c r="C47" s="45" t="s">
        <v>952</v>
      </c>
      <c r="D47" s="45" t="s">
        <v>953</v>
      </c>
      <c r="E47" s="45" t="s">
        <v>954</v>
      </c>
      <c r="F47" s="48">
        <v>396.0</v>
      </c>
      <c r="G47" s="48">
        <v>600373.0</v>
      </c>
      <c r="H47" s="45" t="s">
        <v>139</v>
      </c>
      <c r="I47" s="45" t="s">
        <v>226</v>
      </c>
      <c r="J47" s="51"/>
      <c r="K47" s="55">
        <v>45084.0</v>
      </c>
      <c r="L47" s="55" t="str">
        <f t="shared" si="1"/>
        <v>2023</v>
      </c>
      <c r="M47" s="55">
        <v>45595.0</v>
      </c>
      <c r="N47" s="48" t="str">
        <f t="shared" si="2"/>
        <v>2024</v>
      </c>
      <c r="O47" s="58">
        <f t="shared" si="3"/>
        <v>511</v>
      </c>
      <c r="P47" s="58">
        <f t="shared" si="4"/>
        <v>1</v>
      </c>
      <c r="Q47" s="45" t="s">
        <v>253</v>
      </c>
      <c r="R47" s="45" t="s">
        <v>963</v>
      </c>
      <c r="S47" s="51"/>
      <c r="T47" s="51"/>
      <c r="U47" s="51"/>
      <c r="V47" s="51"/>
      <c r="W47" s="45" t="s">
        <v>964</v>
      </c>
      <c r="X47" s="51"/>
      <c r="Y47" s="51"/>
      <c r="Z47" s="51"/>
      <c r="AA47" s="45" t="s">
        <v>966</v>
      </c>
      <c r="AB47" s="63">
        <v>45575.0</v>
      </c>
      <c r="AC47" s="64" t="s">
        <v>162</v>
      </c>
      <c r="AD47" s="64" t="s">
        <v>261</v>
      </c>
      <c r="AE47" s="64" t="s">
        <v>124</v>
      </c>
    </row>
    <row r="48">
      <c r="A48" s="23" t="s">
        <v>64</v>
      </c>
      <c r="B48" s="23" t="s">
        <v>67</v>
      </c>
      <c r="C48" s="23" t="s">
        <v>568</v>
      </c>
      <c r="D48" s="23" t="s">
        <v>971</v>
      </c>
      <c r="E48" s="23" t="s">
        <v>972</v>
      </c>
      <c r="F48" s="26">
        <v>398.0</v>
      </c>
      <c r="G48" s="27"/>
      <c r="H48" s="23" t="s">
        <v>266</v>
      </c>
      <c r="I48" s="23" t="s">
        <v>226</v>
      </c>
      <c r="J48" s="27"/>
      <c r="K48" s="29">
        <v>45089.0</v>
      </c>
      <c r="L48" s="29" t="str">
        <f t="shared" si="1"/>
        <v>2023</v>
      </c>
      <c r="M48" s="29">
        <v>45291.0</v>
      </c>
      <c r="N48" s="26" t="str">
        <f t="shared" si="2"/>
        <v>2023</v>
      </c>
      <c r="O48" s="36">
        <f t="shared" si="3"/>
        <v>202</v>
      </c>
      <c r="P48" s="36">
        <f t="shared" si="4"/>
        <v>0</v>
      </c>
      <c r="Q48" s="23" t="s">
        <v>150</v>
      </c>
      <c r="R48" s="27"/>
      <c r="S48" s="27"/>
      <c r="T48" s="27"/>
      <c r="U48" s="27"/>
      <c r="V48" s="23" t="s">
        <v>104</v>
      </c>
      <c r="W48" s="23" t="s">
        <v>983</v>
      </c>
      <c r="X48" s="27"/>
      <c r="Y48" s="27"/>
      <c r="Z48" s="27"/>
      <c r="AA48" s="27"/>
      <c r="AB48" s="44"/>
      <c r="AC48" s="27"/>
      <c r="AD48" s="27"/>
      <c r="AE48" s="27"/>
    </row>
    <row r="49">
      <c r="A49" s="45" t="s">
        <v>64</v>
      </c>
      <c r="B49" s="45" t="s">
        <v>67</v>
      </c>
      <c r="C49" s="45" t="s">
        <v>987</v>
      </c>
      <c r="D49" s="45" t="s">
        <v>988</v>
      </c>
      <c r="E49" s="45" t="s">
        <v>989</v>
      </c>
      <c r="F49" s="48">
        <v>399.0</v>
      </c>
      <c r="G49" s="51"/>
      <c r="H49" s="45" t="s">
        <v>84</v>
      </c>
      <c r="I49" s="45" t="s">
        <v>84</v>
      </c>
      <c r="J49" s="51"/>
      <c r="K49" s="55">
        <v>45090.0</v>
      </c>
      <c r="L49" s="55" t="str">
        <f t="shared" si="1"/>
        <v>2023</v>
      </c>
      <c r="M49" s="55">
        <v>45267.0</v>
      </c>
      <c r="N49" s="48" t="str">
        <f t="shared" si="2"/>
        <v>2023</v>
      </c>
      <c r="O49" s="58">
        <f t="shared" si="3"/>
        <v>177</v>
      </c>
      <c r="P49" s="58">
        <f t="shared" si="4"/>
        <v>0</v>
      </c>
      <c r="Q49" s="45" t="s">
        <v>150</v>
      </c>
      <c r="R49" s="51"/>
      <c r="S49" s="51"/>
      <c r="T49" s="51"/>
      <c r="U49" s="51"/>
      <c r="V49" s="45" t="s">
        <v>104</v>
      </c>
      <c r="W49" s="45" t="s">
        <v>1000</v>
      </c>
      <c r="X49" s="51"/>
      <c r="Y49" s="51"/>
      <c r="Z49" s="51"/>
      <c r="AA49" s="45" t="s">
        <v>1002</v>
      </c>
      <c r="AB49" s="63">
        <v>45104.0</v>
      </c>
      <c r="AC49" s="51"/>
      <c r="AD49" s="51"/>
      <c r="AE49" s="51"/>
    </row>
    <row r="50">
      <c r="A50" s="23" t="s">
        <v>64</v>
      </c>
      <c r="B50" s="23" t="s">
        <v>67</v>
      </c>
      <c r="C50" s="23" t="s">
        <v>1006</v>
      </c>
      <c r="D50" s="23" t="s">
        <v>1007</v>
      </c>
      <c r="E50" s="23" t="s">
        <v>1008</v>
      </c>
      <c r="F50" s="26">
        <v>400.0</v>
      </c>
      <c r="G50" s="26">
        <v>600218.0</v>
      </c>
      <c r="H50" s="23" t="s">
        <v>139</v>
      </c>
      <c r="I50" s="23" t="s">
        <v>84</v>
      </c>
      <c r="J50" s="27"/>
      <c r="K50" s="29">
        <v>45091.0</v>
      </c>
      <c r="L50" s="29" t="str">
        <f t="shared" si="1"/>
        <v>2023</v>
      </c>
      <c r="M50" s="29">
        <v>45456.0</v>
      </c>
      <c r="N50" s="26" t="str">
        <f t="shared" si="2"/>
        <v>2024</v>
      </c>
      <c r="O50" s="36">
        <f t="shared" si="3"/>
        <v>365</v>
      </c>
      <c r="P50" s="36">
        <f t="shared" si="4"/>
        <v>0</v>
      </c>
      <c r="Q50" s="23" t="s">
        <v>150</v>
      </c>
      <c r="R50" s="23" t="s">
        <v>1016</v>
      </c>
      <c r="S50" s="26" t="s">
        <v>113</v>
      </c>
      <c r="T50" s="27"/>
      <c r="U50" s="27"/>
      <c r="V50" s="23" t="s">
        <v>104</v>
      </c>
      <c r="W50" s="23" t="s">
        <v>1019</v>
      </c>
      <c r="X50" s="27"/>
      <c r="Y50" s="27"/>
      <c r="Z50" s="27"/>
      <c r="AA50" s="27"/>
      <c r="AB50" s="44"/>
      <c r="AC50" s="76" t="s">
        <v>162</v>
      </c>
      <c r="AD50" s="76" t="s">
        <v>261</v>
      </c>
      <c r="AE50" s="76" t="s">
        <v>1023</v>
      </c>
    </row>
    <row r="51">
      <c r="A51" s="45" t="s">
        <v>64</v>
      </c>
      <c r="B51" s="45" t="s">
        <v>67</v>
      </c>
      <c r="C51" s="45" t="s">
        <v>1026</v>
      </c>
      <c r="D51" s="45" t="s">
        <v>1027</v>
      </c>
      <c r="E51" s="45" t="s">
        <v>1029</v>
      </c>
      <c r="F51" s="48">
        <v>401.0</v>
      </c>
      <c r="G51" s="51"/>
      <c r="H51" s="45" t="s">
        <v>139</v>
      </c>
      <c r="I51" s="53"/>
      <c r="J51" s="51"/>
      <c r="K51" s="55">
        <v>45091.0</v>
      </c>
      <c r="L51" s="55" t="str">
        <f t="shared" si="1"/>
        <v>2023</v>
      </c>
      <c r="M51" s="55">
        <v>45290.0</v>
      </c>
      <c r="N51" s="48" t="str">
        <f t="shared" si="2"/>
        <v>2023</v>
      </c>
      <c r="O51" s="58">
        <f t="shared" si="3"/>
        <v>199</v>
      </c>
      <c r="P51" s="58">
        <f t="shared" si="4"/>
        <v>0</v>
      </c>
      <c r="Q51" s="45" t="s">
        <v>150</v>
      </c>
      <c r="R51" s="45" t="s">
        <v>908</v>
      </c>
      <c r="S51" s="51"/>
      <c r="T51" s="51"/>
      <c r="U51" s="51"/>
      <c r="V51" s="45" t="s">
        <v>104</v>
      </c>
      <c r="W51" s="45" t="s">
        <v>1037</v>
      </c>
      <c r="X51" s="51"/>
      <c r="Y51" s="51"/>
      <c r="Z51" s="51"/>
      <c r="AA51" s="51"/>
      <c r="AB51" s="63">
        <v>45105.0</v>
      </c>
      <c r="AC51" s="64" t="s">
        <v>162</v>
      </c>
      <c r="AD51" s="51"/>
      <c r="AE51" s="64" t="s">
        <v>124</v>
      </c>
    </row>
    <row r="52">
      <c r="A52" s="23" t="s">
        <v>64</v>
      </c>
      <c r="B52" s="23" t="s">
        <v>67</v>
      </c>
      <c r="C52" s="23" t="s">
        <v>1042</v>
      </c>
      <c r="D52" s="23" t="s">
        <v>1043</v>
      </c>
      <c r="E52" s="23" t="s">
        <v>1044</v>
      </c>
      <c r="F52" s="26">
        <v>402.0</v>
      </c>
      <c r="G52" s="26">
        <v>600235.0</v>
      </c>
      <c r="H52" s="23" t="s">
        <v>84</v>
      </c>
      <c r="I52" s="23" t="s">
        <v>84</v>
      </c>
      <c r="J52" s="27"/>
      <c r="K52" s="29">
        <v>45433.0</v>
      </c>
      <c r="L52" s="29" t="str">
        <f t="shared" si="1"/>
        <v>2024</v>
      </c>
      <c r="M52" s="29">
        <v>45798.0</v>
      </c>
      <c r="N52" s="26" t="str">
        <f t="shared" si="2"/>
        <v>2025</v>
      </c>
      <c r="O52" s="36">
        <f t="shared" si="3"/>
        <v>365</v>
      </c>
      <c r="P52" s="36">
        <f t="shared" si="4"/>
        <v>1</v>
      </c>
      <c r="Q52" s="23" t="s">
        <v>253</v>
      </c>
      <c r="R52" s="23" t="s">
        <v>1053</v>
      </c>
      <c r="S52" s="27"/>
      <c r="T52" s="27"/>
      <c r="U52" s="27"/>
      <c r="V52" s="23" t="s">
        <v>104</v>
      </c>
      <c r="W52" s="23" t="s">
        <v>1056</v>
      </c>
      <c r="X52" s="27"/>
      <c r="Y52" s="27"/>
      <c r="Z52" s="27"/>
      <c r="AA52" s="27"/>
      <c r="AB52" s="44"/>
      <c r="AC52" s="76" t="s">
        <v>354</v>
      </c>
      <c r="AD52" s="27"/>
      <c r="AE52" s="76" t="s">
        <v>259</v>
      </c>
    </row>
    <row r="53">
      <c r="A53" s="45" t="s">
        <v>64</v>
      </c>
      <c r="B53" s="45" t="s">
        <v>67</v>
      </c>
      <c r="C53" s="45" t="s">
        <v>1059</v>
      </c>
      <c r="D53" s="45" t="s">
        <v>1060</v>
      </c>
      <c r="E53" s="45" t="s">
        <v>836</v>
      </c>
      <c r="F53" s="48">
        <v>405.0</v>
      </c>
      <c r="G53" s="51"/>
      <c r="H53" s="45" t="s">
        <v>187</v>
      </c>
      <c r="I53" s="53"/>
      <c r="J53" s="51"/>
      <c r="K53" s="55">
        <v>45096.0</v>
      </c>
      <c r="L53" s="55" t="str">
        <f t="shared" si="1"/>
        <v>2023</v>
      </c>
      <c r="M53" s="55">
        <v>45099.0</v>
      </c>
      <c r="N53" s="48" t="str">
        <f t="shared" si="2"/>
        <v>2023</v>
      </c>
      <c r="O53" s="58">
        <f t="shared" si="3"/>
        <v>3</v>
      </c>
      <c r="P53" s="58">
        <f t="shared" si="4"/>
        <v>0</v>
      </c>
      <c r="Q53" s="45" t="s">
        <v>106</v>
      </c>
      <c r="R53" s="51"/>
      <c r="S53" s="51"/>
      <c r="T53" s="51"/>
      <c r="U53" s="51"/>
      <c r="V53" s="45" t="s">
        <v>106</v>
      </c>
      <c r="W53" s="45" t="s">
        <v>1066</v>
      </c>
      <c r="X53" s="51"/>
      <c r="Y53" s="51"/>
      <c r="Z53" s="51"/>
      <c r="AA53" s="51"/>
      <c r="AB53" s="72"/>
      <c r="AC53" s="51"/>
      <c r="AD53" s="51"/>
      <c r="AE53" s="51"/>
    </row>
    <row r="54">
      <c r="A54" s="23" t="s">
        <v>64</v>
      </c>
      <c r="B54" s="23" t="s">
        <v>67</v>
      </c>
      <c r="C54" s="23" t="s">
        <v>1073</v>
      </c>
      <c r="D54" s="23" t="s">
        <v>1076</v>
      </c>
      <c r="E54" s="23" t="s">
        <v>1077</v>
      </c>
      <c r="F54" s="26">
        <v>406.0</v>
      </c>
      <c r="G54" s="26">
        <v>600117.0</v>
      </c>
      <c r="H54" s="23" t="s">
        <v>139</v>
      </c>
      <c r="I54" s="23" t="s">
        <v>248</v>
      </c>
      <c r="J54" s="27"/>
      <c r="K54" s="29">
        <v>45099.0</v>
      </c>
      <c r="L54" s="29" t="str">
        <f t="shared" si="1"/>
        <v>2023</v>
      </c>
      <c r="M54" s="29">
        <v>45470.0</v>
      </c>
      <c r="N54" s="26" t="str">
        <f t="shared" si="2"/>
        <v>2024</v>
      </c>
      <c r="O54" s="36">
        <f t="shared" si="3"/>
        <v>371</v>
      </c>
      <c r="P54" s="36">
        <f t="shared" si="4"/>
        <v>1</v>
      </c>
      <c r="Q54" s="23" t="s">
        <v>150</v>
      </c>
      <c r="R54" s="27"/>
      <c r="S54" s="27"/>
      <c r="T54" s="27"/>
      <c r="U54" s="27"/>
      <c r="V54" s="27"/>
      <c r="W54" s="23" t="s">
        <v>1086</v>
      </c>
      <c r="X54" s="27"/>
      <c r="Y54" s="27"/>
      <c r="Z54" s="27"/>
      <c r="AA54" s="27"/>
      <c r="AB54" s="107">
        <v>45104.0</v>
      </c>
      <c r="AC54" s="76" t="s">
        <v>162</v>
      </c>
      <c r="AD54" s="27"/>
      <c r="AE54" s="76" t="s">
        <v>124</v>
      </c>
    </row>
    <row r="55">
      <c r="A55" s="45" t="s">
        <v>64</v>
      </c>
      <c r="B55" s="45" t="s">
        <v>67</v>
      </c>
      <c r="C55" s="45" t="s">
        <v>1091</v>
      </c>
      <c r="D55" s="45" t="s">
        <v>1092</v>
      </c>
      <c r="E55" s="45" t="s">
        <v>1093</v>
      </c>
      <c r="F55" s="48">
        <v>407.0</v>
      </c>
      <c r="G55" s="48">
        <v>600099.0</v>
      </c>
      <c r="H55" s="45" t="s">
        <v>139</v>
      </c>
      <c r="I55" s="53"/>
      <c r="J55" s="51"/>
      <c r="K55" s="55">
        <v>45100.0</v>
      </c>
      <c r="L55" s="55" t="str">
        <f t="shared" si="1"/>
        <v>2023</v>
      </c>
      <c r="M55" s="55">
        <v>45466.0</v>
      </c>
      <c r="N55" s="48" t="str">
        <f t="shared" si="2"/>
        <v>2024</v>
      </c>
      <c r="O55" s="58">
        <f t="shared" si="3"/>
        <v>366</v>
      </c>
      <c r="P55" s="58">
        <f t="shared" si="4"/>
        <v>1</v>
      </c>
      <c r="Q55" s="45" t="s">
        <v>150</v>
      </c>
      <c r="R55" s="51"/>
      <c r="S55" s="51"/>
      <c r="T55" s="51"/>
      <c r="U55" s="51"/>
      <c r="V55" s="45" t="s">
        <v>1097</v>
      </c>
      <c r="W55" s="45" t="s">
        <v>1098</v>
      </c>
      <c r="X55" s="51"/>
      <c r="Y55" s="51"/>
      <c r="Z55" s="51"/>
      <c r="AA55" s="51"/>
      <c r="AB55" s="63">
        <v>45105.0</v>
      </c>
      <c r="AC55" s="64" t="s">
        <v>162</v>
      </c>
      <c r="AD55" s="64" t="s">
        <v>261</v>
      </c>
      <c r="AE55" s="64" t="s">
        <v>370</v>
      </c>
    </row>
    <row r="56">
      <c r="A56" s="23" t="s">
        <v>64</v>
      </c>
      <c r="B56" s="23" t="s">
        <v>67</v>
      </c>
      <c r="C56" s="23" t="s">
        <v>1099</v>
      </c>
      <c r="D56" s="23" t="s">
        <v>1100</v>
      </c>
      <c r="E56" s="23" t="s">
        <v>1101</v>
      </c>
      <c r="F56" s="26">
        <v>408.0</v>
      </c>
      <c r="G56" s="27"/>
      <c r="H56" s="23" t="s">
        <v>139</v>
      </c>
      <c r="I56" s="88"/>
      <c r="J56" s="27"/>
      <c r="K56" s="29">
        <v>45104.0</v>
      </c>
      <c r="L56" s="29" t="str">
        <f t="shared" si="1"/>
        <v>2023</v>
      </c>
      <c r="M56" s="29">
        <v>45470.0</v>
      </c>
      <c r="N56" s="26" t="str">
        <f t="shared" si="2"/>
        <v>2024</v>
      </c>
      <c r="O56" s="36">
        <f t="shared" si="3"/>
        <v>366</v>
      </c>
      <c r="P56" s="36">
        <f t="shared" si="4"/>
        <v>1</v>
      </c>
      <c r="Q56" s="23" t="s">
        <v>150</v>
      </c>
      <c r="R56" s="27"/>
      <c r="S56" s="27"/>
      <c r="T56" s="27"/>
      <c r="U56" s="27"/>
      <c r="V56" s="23" t="s">
        <v>104</v>
      </c>
      <c r="W56" s="23" t="s">
        <v>1103</v>
      </c>
      <c r="X56" s="27"/>
      <c r="Y56" s="27"/>
      <c r="Z56" s="27"/>
      <c r="AA56" s="23" t="s">
        <v>1104</v>
      </c>
      <c r="AB56" s="44"/>
      <c r="AC56" s="76" t="s">
        <v>354</v>
      </c>
      <c r="AD56" s="27"/>
      <c r="AE56" s="76" t="s">
        <v>1023</v>
      </c>
    </row>
    <row r="57">
      <c r="A57" s="45" t="s">
        <v>64</v>
      </c>
      <c r="B57" s="45" t="s">
        <v>67</v>
      </c>
      <c r="C57" s="45" t="s">
        <v>1105</v>
      </c>
      <c r="D57" s="45" t="s">
        <v>1106</v>
      </c>
      <c r="E57" s="45" t="s">
        <v>1107</v>
      </c>
      <c r="F57" s="48">
        <v>410.0</v>
      </c>
      <c r="G57" s="51"/>
      <c r="H57" s="45" t="s">
        <v>139</v>
      </c>
      <c r="I57" s="45" t="s">
        <v>723</v>
      </c>
      <c r="J57" s="51"/>
      <c r="K57" s="55">
        <v>45107.0</v>
      </c>
      <c r="L57" s="55" t="str">
        <f t="shared" si="1"/>
        <v>2023</v>
      </c>
      <c r="M57" s="55">
        <v>45301.0</v>
      </c>
      <c r="N57" s="48" t="str">
        <f t="shared" si="2"/>
        <v>2024</v>
      </c>
      <c r="O57" s="58">
        <f t="shared" si="3"/>
        <v>194</v>
      </c>
      <c r="P57" s="58">
        <f t="shared" si="4"/>
        <v>0</v>
      </c>
      <c r="Q57" s="45" t="s">
        <v>150</v>
      </c>
      <c r="R57" s="45" t="s">
        <v>908</v>
      </c>
      <c r="S57" s="51"/>
      <c r="T57" s="51"/>
      <c r="U57" s="51"/>
      <c r="V57" s="51"/>
      <c r="W57" s="45" t="s">
        <v>1109</v>
      </c>
      <c r="X57" s="51"/>
      <c r="Y57" s="51"/>
      <c r="Z57" s="51"/>
      <c r="AA57" s="45" t="s">
        <v>1110</v>
      </c>
      <c r="AB57" s="72"/>
      <c r="AC57" s="64" t="s">
        <v>162</v>
      </c>
      <c r="AD57" s="51"/>
      <c r="AE57" s="64" t="s">
        <v>124</v>
      </c>
    </row>
    <row r="58">
      <c r="A58" s="23" t="s">
        <v>64</v>
      </c>
      <c r="B58" s="23" t="s">
        <v>67</v>
      </c>
      <c r="C58" s="23" t="s">
        <v>1111</v>
      </c>
      <c r="D58" s="23" t="s">
        <v>1112</v>
      </c>
      <c r="E58" s="23" t="s">
        <v>1113</v>
      </c>
      <c r="F58" s="26">
        <v>411.0</v>
      </c>
      <c r="G58" s="26">
        <v>600092.0</v>
      </c>
      <c r="H58" s="23" t="s">
        <v>139</v>
      </c>
      <c r="I58" s="23" t="s">
        <v>1114</v>
      </c>
      <c r="J58" s="27"/>
      <c r="K58" s="29">
        <v>45476.0</v>
      </c>
      <c r="L58" s="29" t="str">
        <f t="shared" si="1"/>
        <v>2024</v>
      </c>
      <c r="M58" s="29">
        <v>45841.0</v>
      </c>
      <c r="N58" s="26" t="str">
        <f t="shared" si="2"/>
        <v>2025</v>
      </c>
      <c r="O58" s="36">
        <f t="shared" si="3"/>
        <v>365</v>
      </c>
      <c r="P58" s="36">
        <f t="shared" si="4"/>
        <v>1</v>
      </c>
      <c r="Q58" s="23" t="s">
        <v>253</v>
      </c>
      <c r="R58" s="27"/>
      <c r="S58" s="27"/>
      <c r="T58" s="27"/>
      <c r="U58" s="27"/>
      <c r="V58" s="27"/>
      <c r="W58" s="23" t="s">
        <v>1117</v>
      </c>
      <c r="X58" s="23" t="s">
        <v>1117</v>
      </c>
      <c r="Y58" s="27"/>
      <c r="Z58" s="27"/>
      <c r="AA58" s="27"/>
      <c r="AB58" s="44"/>
      <c r="AC58" s="76" t="s">
        <v>777</v>
      </c>
      <c r="AD58" s="76" t="s">
        <v>261</v>
      </c>
      <c r="AE58" s="76" t="s">
        <v>552</v>
      </c>
    </row>
    <row r="59">
      <c r="A59" s="45" t="s">
        <v>64</v>
      </c>
      <c r="B59" s="45" t="s">
        <v>67</v>
      </c>
      <c r="C59" s="45" t="s">
        <v>1118</v>
      </c>
      <c r="D59" s="45" t="s">
        <v>1119</v>
      </c>
      <c r="E59" s="45" t="s">
        <v>1120</v>
      </c>
      <c r="F59" s="48">
        <v>412.0</v>
      </c>
      <c r="G59" s="48">
        <v>600086.0</v>
      </c>
      <c r="H59" s="45" t="s">
        <v>139</v>
      </c>
      <c r="I59" s="45" t="s">
        <v>84</v>
      </c>
      <c r="J59" s="51"/>
      <c r="K59" s="55">
        <v>45111.0</v>
      </c>
      <c r="L59" s="55" t="str">
        <f t="shared" si="1"/>
        <v>2023</v>
      </c>
      <c r="M59" s="55">
        <v>45485.0</v>
      </c>
      <c r="N59" s="48" t="str">
        <f t="shared" si="2"/>
        <v>2024</v>
      </c>
      <c r="O59" s="58">
        <f t="shared" si="3"/>
        <v>374</v>
      </c>
      <c r="P59" s="58">
        <f t="shared" si="4"/>
        <v>1</v>
      </c>
      <c r="Q59" s="45" t="s">
        <v>150</v>
      </c>
      <c r="R59" s="51"/>
      <c r="S59" s="51"/>
      <c r="T59" s="51"/>
      <c r="U59" s="51"/>
      <c r="V59" s="51"/>
      <c r="W59" s="45" t="s">
        <v>1123</v>
      </c>
      <c r="X59" s="51"/>
      <c r="Y59" s="51"/>
      <c r="Z59" s="51"/>
      <c r="AA59" s="51"/>
      <c r="AB59" s="72"/>
      <c r="AC59" s="64" t="s">
        <v>354</v>
      </c>
      <c r="AD59" s="51"/>
      <c r="AE59" s="64" t="s">
        <v>262</v>
      </c>
    </row>
    <row r="60">
      <c r="A60" s="23" t="s">
        <v>64</v>
      </c>
      <c r="B60" s="23" t="s">
        <v>67</v>
      </c>
      <c r="C60" s="23" t="s">
        <v>1124</v>
      </c>
      <c r="D60" s="23" t="s">
        <v>1125</v>
      </c>
      <c r="E60" s="23" t="s">
        <v>1126</v>
      </c>
      <c r="F60" s="26">
        <v>413.0</v>
      </c>
      <c r="G60" s="27"/>
      <c r="H60" s="23" t="s">
        <v>84</v>
      </c>
      <c r="I60" s="88"/>
      <c r="J60" s="27"/>
      <c r="K60" s="29">
        <v>45113.0</v>
      </c>
      <c r="L60" s="29" t="str">
        <f t="shared" si="1"/>
        <v>2023</v>
      </c>
      <c r="M60" s="29">
        <v>45291.0</v>
      </c>
      <c r="N60" s="26" t="str">
        <f t="shared" si="2"/>
        <v>2023</v>
      </c>
      <c r="O60" s="36">
        <f t="shared" si="3"/>
        <v>178</v>
      </c>
      <c r="P60" s="36">
        <f t="shared" si="4"/>
        <v>0</v>
      </c>
      <c r="Q60" s="23" t="s">
        <v>150</v>
      </c>
      <c r="R60" s="23" t="s">
        <v>1127</v>
      </c>
      <c r="S60" s="27"/>
      <c r="T60" s="27"/>
      <c r="U60" s="27"/>
      <c r="V60" s="23" t="s">
        <v>1128</v>
      </c>
      <c r="W60" s="23" t="s">
        <v>1129</v>
      </c>
      <c r="X60" s="27"/>
      <c r="Y60" s="27"/>
      <c r="Z60" s="27"/>
      <c r="AA60" s="27"/>
      <c r="AB60" s="44"/>
      <c r="AC60" s="76" t="s">
        <v>162</v>
      </c>
      <c r="AD60" s="27"/>
      <c r="AE60" s="76" t="s">
        <v>1131</v>
      </c>
    </row>
    <row r="61">
      <c r="A61" s="45" t="s">
        <v>64</v>
      </c>
      <c r="B61" s="45" t="s">
        <v>19</v>
      </c>
      <c r="C61" s="45" t="s">
        <v>854</v>
      </c>
      <c r="D61" s="45" t="s">
        <v>1132</v>
      </c>
      <c r="E61" s="45" t="s">
        <v>1133</v>
      </c>
      <c r="F61" s="48">
        <v>414.0</v>
      </c>
      <c r="G61" s="48">
        <v>600119.0</v>
      </c>
      <c r="H61" s="45" t="s">
        <v>139</v>
      </c>
      <c r="I61" s="45" t="s">
        <v>84</v>
      </c>
      <c r="J61" s="51"/>
      <c r="K61" s="55">
        <v>45499.0</v>
      </c>
      <c r="L61" s="55" t="str">
        <f t="shared" si="1"/>
        <v>2024</v>
      </c>
      <c r="M61" s="55">
        <v>45869.0</v>
      </c>
      <c r="N61" s="48" t="str">
        <f t="shared" si="2"/>
        <v>2025</v>
      </c>
      <c r="O61" s="58">
        <f t="shared" si="3"/>
        <v>370</v>
      </c>
      <c r="P61" s="58">
        <f t="shared" si="4"/>
        <v>1</v>
      </c>
      <c r="Q61" s="45" t="s">
        <v>769</v>
      </c>
      <c r="R61" s="45" t="s">
        <v>1134</v>
      </c>
      <c r="S61" s="48" t="s">
        <v>113</v>
      </c>
      <c r="T61" s="51"/>
      <c r="U61" s="51"/>
      <c r="V61" s="51"/>
      <c r="W61" s="45" t="s">
        <v>1135</v>
      </c>
      <c r="X61" s="45" t="s">
        <v>1135</v>
      </c>
      <c r="Y61" s="51"/>
      <c r="Z61" s="51"/>
      <c r="AA61" s="51"/>
      <c r="AB61" s="72"/>
      <c r="AC61" s="64" t="s">
        <v>777</v>
      </c>
      <c r="AD61" s="64" t="s">
        <v>123</v>
      </c>
      <c r="AE61" s="64" t="s">
        <v>124</v>
      </c>
    </row>
    <row r="62">
      <c r="A62" s="23" t="s">
        <v>64</v>
      </c>
      <c r="B62" s="23" t="s">
        <v>67</v>
      </c>
      <c r="C62" s="23" t="s">
        <v>1138</v>
      </c>
      <c r="D62" s="23" t="s">
        <v>1139</v>
      </c>
      <c r="E62" s="23" t="s">
        <v>1140</v>
      </c>
      <c r="F62" s="26">
        <v>416.0</v>
      </c>
      <c r="G62" s="27"/>
      <c r="H62" s="23" t="s">
        <v>84</v>
      </c>
      <c r="I62" s="23" t="s">
        <v>84</v>
      </c>
      <c r="J62" s="27"/>
      <c r="K62" s="29">
        <v>45119.0</v>
      </c>
      <c r="L62" s="29" t="str">
        <f t="shared" si="1"/>
        <v>2023</v>
      </c>
      <c r="M62" s="29">
        <v>45291.0</v>
      </c>
      <c r="N62" s="26" t="str">
        <f t="shared" si="2"/>
        <v>2023</v>
      </c>
      <c r="O62" s="36">
        <f t="shared" si="3"/>
        <v>172</v>
      </c>
      <c r="P62" s="36">
        <f t="shared" si="4"/>
        <v>0</v>
      </c>
      <c r="Q62" s="23" t="s">
        <v>150</v>
      </c>
      <c r="R62" s="27"/>
      <c r="S62" s="27"/>
      <c r="T62" s="27"/>
      <c r="U62" s="27"/>
      <c r="V62" s="23" t="s">
        <v>104</v>
      </c>
      <c r="W62" s="23" t="s">
        <v>1141</v>
      </c>
      <c r="X62" s="27"/>
      <c r="Y62" s="27"/>
      <c r="Z62" s="27"/>
      <c r="AA62" s="27"/>
      <c r="AB62" s="44"/>
      <c r="AC62" s="27"/>
      <c r="AD62" s="27"/>
      <c r="AE62" s="27"/>
    </row>
    <row r="63">
      <c r="A63" s="45" t="s">
        <v>64</v>
      </c>
      <c r="B63" s="45" t="s">
        <v>67</v>
      </c>
      <c r="C63" s="45" t="s">
        <v>1142</v>
      </c>
      <c r="D63" s="45" t="s">
        <v>1143</v>
      </c>
      <c r="E63" s="45" t="s">
        <v>1144</v>
      </c>
      <c r="F63" s="48">
        <v>418.0</v>
      </c>
      <c r="G63" s="51"/>
      <c r="H63" s="45" t="s">
        <v>187</v>
      </c>
      <c r="I63" s="53"/>
      <c r="J63" s="51"/>
      <c r="K63" s="55">
        <v>45125.0</v>
      </c>
      <c r="L63" s="55" t="str">
        <f t="shared" si="1"/>
        <v>2023</v>
      </c>
      <c r="M63" s="55">
        <v>45128.0</v>
      </c>
      <c r="N63" s="48" t="str">
        <f t="shared" si="2"/>
        <v>2023</v>
      </c>
      <c r="O63" s="58">
        <f t="shared" si="3"/>
        <v>3</v>
      </c>
      <c r="P63" s="58">
        <f t="shared" si="4"/>
        <v>0</v>
      </c>
      <c r="Q63" s="45" t="s">
        <v>150</v>
      </c>
      <c r="R63" s="51"/>
      <c r="S63" s="51"/>
      <c r="T63" s="51"/>
      <c r="U63" s="51"/>
      <c r="V63" s="51"/>
      <c r="W63" s="45" t="s">
        <v>1145</v>
      </c>
      <c r="X63" s="51"/>
      <c r="Y63" s="51"/>
      <c r="Z63" s="51"/>
      <c r="AA63" s="51"/>
      <c r="AB63" s="72"/>
      <c r="AC63" s="51"/>
      <c r="AD63" s="51"/>
      <c r="AE63" s="51"/>
    </row>
    <row r="64">
      <c r="A64" s="23" t="s">
        <v>64</v>
      </c>
      <c r="B64" s="23" t="s">
        <v>19</v>
      </c>
      <c r="C64" s="23" t="s">
        <v>142</v>
      </c>
      <c r="D64" s="23" t="s">
        <v>143</v>
      </c>
      <c r="E64" s="23" t="s">
        <v>144</v>
      </c>
      <c r="F64" s="26">
        <v>75.0</v>
      </c>
      <c r="G64" s="26">
        <v>600410.0</v>
      </c>
      <c r="H64" s="23" t="s">
        <v>1147</v>
      </c>
      <c r="I64" s="23" t="s">
        <v>1148</v>
      </c>
      <c r="J64" s="27"/>
      <c r="K64" s="29">
        <v>44347.0</v>
      </c>
      <c r="L64" s="29" t="str">
        <f t="shared" si="1"/>
        <v>2021</v>
      </c>
      <c r="M64" s="29">
        <v>46539.0</v>
      </c>
      <c r="N64" s="26" t="str">
        <f t="shared" si="2"/>
        <v>2027</v>
      </c>
      <c r="O64" s="36">
        <f t="shared" si="3"/>
        <v>2192</v>
      </c>
      <c r="P64" s="36">
        <f t="shared" si="4"/>
        <v>6</v>
      </c>
      <c r="Q64" s="23" t="s">
        <v>348</v>
      </c>
      <c r="R64" s="23" t="s">
        <v>156</v>
      </c>
      <c r="S64" s="27"/>
      <c r="T64" s="27"/>
      <c r="U64" s="27"/>
      <c r="V64" s="23" t="s">
        <v>104</v>
      </c>
      <c r="W64" s="23" t="s">
        <v>158</v>
      </c>
      <c r="X64" s="23" t="s">
        <v>1149</v>
      </c>
      <c r="Y64" s="27"/>
      <c r="Z64" s="27"/>
      <c r="AA64" s="27"/>
      <c r="AB64" s="44"/>
      <c r="AC64" s="76" t="s">
        <v>820</v>
      </c>
      <c r="AD64" s="76" t="s">
        <v>261</v>
      </c>
      <c r="AE64" s="76" t="s">
        <v>124</v>
      </c>
    </row>
    <row r="65">
      <c r="A65" s="45" t="s">
        <v>64</v>
      </c>
      <c r="B65" s="45" t="s">
        <v>19</v>
      </c>
      <c r="C65" s="45" t="s">
        <v>851</v>
      </c>
      <c r="D65" s="45" t="s">
        <v>1151</v>
      </c>
      <c r="E65" s="45" t="s">
        <v>1152</v>
      </c>
      <c r="F65" s="48">
        <v>216.0</v>
      </c>
      <c r="G65" s="48">
        <v>600260.0</v>
      </c>
      <c r="H65" s="45" t="s">
        <v>139</v>
      </c>
      <c r="I65" s="45" t="s">
        <v>226</v>
      </c>
      <c r="J65" s="51"/>
      <c r="K65" s="55">
        <v>45309.0</v>
      </c>
      <c r="L65" s="55" t="str">
        <f t="shared" si="1"/>
        <v>2024</v>
      </c>
      <c r="M65" s="55">
        <v>46040.0</v>
      </c>
      <c r="N65" s="48" t="str">
        <f t="shared" si="2"/>
        <v>2026</v>
      </c>
      <c r="O65" s="58">
        <f t="shared" si="3"/>
        <v>731</v>
      </c>
      <c r="P65" s="58">
        <f t="shared" si="4"/>
        <v>2</v>
      </c>
      <c r="Q65" s="45" t="s">
        <v>253</v>
      </c>
      <c r="R65" s="45" t="s">
        <v>1153</v>
      </c>
      <c r="S65" s="48" t="s">
        <v>269</v>
      </c>
      <c r="T65" s="45" t="s">
        <v>146</v>
      </c>
      <c r="U65" s="45" t="s">
        <v>25</v>
      </c>
      <c r="V65" s="45" t="s">
        <v>104</v>
      </c>
      <c r="W65" s="45" t="s">
        <v>1154</v>
      </c>
      <c r="X65" s="142" t="s">
        <v>1156</v>
      </c>
      <c r="Y65" s="51"/>
      <c r="Z65" s="51"/>
      <c r="AA65" s="45" t="s">
        <v>1158</v>
      </c>
      <c r="AB65" s="72"/>
      <c r="AC65" s="64" t="s">
        <v>820</v>
      </c>
      <c r="AD65" s="64" t="s">
        <v>123</v>
      </c>
      <c r="AE65" s="64" t="s">
        <v>124</v>
      </c>
    </row>
    <row r="66">
      <c r="A66" s="23" t="s">
        <v>64</v>
      </c>
      <c r="B66" s="23" t="s">
        <v>67</v>
      </c>
      <c r="C66" s="23" t="s">
        <v>319</v>
      </c>
      <c r="D66" s="23" t="s">
        <v>320</v>
      </c>
      <c r="E66" s="23" t="s">
        <v>321</v>
      </c>
      <c r="F66" s="26">
        <v>220.0</v>
      </c>
      <c r="G66" s="27"/>
      <c r="H66" s="23" t="s">
        <v>84</v>
      </c>
      <c r="I66" s="23" t="s">
        <v>84</v>
      </c>
      <c r="J66" s="27"/>
      <c r="K66" s="29">
        <v>44544.0</v>
      </c>
      <c r="L66" s="29" t="str">
        <f t="shared" si="1"/>
        <v>2021</v>
      </c>
      <c r="M66" s="29">
        <v>45884.0</v>
      </c>
      <c r="N66" s="26" t="str">
        <f t="shared" si="2"/>
        <v>2025</v>
      </c>
      <c r="O66" s="36">
        <f t="shared" si="3"/>
        <v>1340</v>
      </c>
      <c r="P66" s="36">
        <f t="shared" si="4"/>
        <v>3</v>
      </c>
      <c r="Q66" s="23" t="s">
        <v>769</v>
      </c>
      <c r="R66" s="23" t="s">
        <v>1160</v>
      </c>
      <c r="S66" s="26" t="s">
        <v>269</v>
      </c>
      <c r="T66" s="23" t="s">
        <v>84</v>
      </c>
      <c r="U66" s="27"/>
      <c r="V66" s="23" t="s">
        <v>104</v>
      </c>
      <c r="W66" s="23" t="s">
        <v>333</v>
      </c>
      <c r="X66" s="23" t="s">
        <v>333</v>
      </c>
      <c r="Y66" s="27"/>
      <c r="Z66" s="27"/>
      <c r="AA66" s="27"/>
      <c r="AB66" s="44"/>
      <c r="AC66" s="76" t="s">
        <v>820</v>
      </c>
      <c r="AD66" s="76" t="s">
        <v>261</v>
      </c>
      <c r="AE66" s="76" t="s">
        <v>336</v>
      </c>
    </row>
    <row r="67">
      <c r="A67" s="45" t="s">
        <v>64</v>
      </c>
      <c r="B67" s="45" t="s">
        <v>19</v>
      </c>
      <c r="C67" s="45" t="s">
        <v>494</v>
      </c>
      <c r="D67" s="45" t="s">
        <v>495</v>
      </c>
      <c r="E67" s="45" t="s">
        <v>497</v>
      </c>
      <c r="F67" s="48">
        <v>300.0</v>
      </c>
      <c r="G67" s="48">
        <v>600417.0</v>
      </c>
      <c r="H67" s="45" t="s">
        <v>84</v>
      </c>
      <c r="I67" s="45" t="s">
        <v>84</v>
      </c>
      <c r="J67" s="51"/>
      <c r="K67" s="55">
        <v>44770.0</v>
      </c>
      <c r="L67" s="55" t="str">
        <f t="shared" si="1"/>
        <v>2022</v>
      </c>
      <c r="M67" s="55">
        <v>46022.0</v>
      </c>
      <c r="N67" s="48" t="str">
        <f t="shared" si="2"/>
        <v>2025</v>
      </c>
      <c r="O67" s="58">
        <f t="shared" si="3"/>
        <v>1252</v>
      </c>
      <c r="P67" s="58">
        <f t="shared" si="4"/>
        <v>3</v>
      </c>
      <c r="Q67" s="45" t="s">
        <v>769</v>
      </c>
      <c r="R67" s="45" t="s">
        <v>505</v>
      </c>
      <c r="S67" s="48" t="s">
        <v>269</v>
      </c>
      <c r="T67" s="51"/>
      <c r="U67" s="45" t="s">
        <v>790</v>
      </c>
      <c r="V67" s="45" t="s">
        <v>104</v>
      </c>
      <c r="W67" s="45" t="s">
        <v>1162</v>
      </c>
      <c r="X67" s="51"/>
      <c r="Y67" s="51"/>
      <c r="Z67" s="51"/>
      <c r="AA67" s="51"/>
      <c r="AB67" s="72"/>
      <c r="AC67" s="64" t="s">
        <v>820</v>
      </c>
      <c r="AD67" s="64" t="s">
        <v>123</v>
      </c>
      <c r="AE67" s="64" t="s">
        <v>679</v>
      </c>
    </row>
    <row r="68">
      <c r="A68" s="23" t="s">
        <v>64</v>
      </c>
      <c r="B68" s="23" t="s">
        <v>67</v>
      </c>
      <c r="C68" s="143" t="s">
        <v>550</v>
      </c>
      <c r="D68" s="23" t="s">
        <v>551</v>
      </c>
      <c r="E68" s="23" t="s">
        <v>553</v>
      </c>
      <c r="F68" s="26">
        <v>306.0</v>
      </c>
      <c r="G68" s="26">
        <v>600257.0</v>
      </c>
      <c r="H68" s="23" t="s">
        <v>84</v>
      </c>
      <c r="I68" s="23" t="s">
        <v>84</v>
      </c>
      <c r="J68" s="27"/>
      <c r="K68" s="29">
        <v>44819.0</v>
      </c>
      <c r="L68" s="29" t="str">
        <f t="shared" si="1"/>
        <v>2022</v>
      </c>
      <c r="M68" s="29">
        <v>45888.0</v>
      </c>
      <c r="N68" s="26" t="str">
        <f t="shared" si="2"/>
        <v>2025</v>
      </c>
      <c r="O68" s="36">
        <f t="shared" si="3"/>
        <v>1069</v>
      </c>
      <c r="P68" s="36">
        <f t="shared" si="4"/>
        <v>2</v>
      </c>
      <c r="Q68" s="23" t="s">
        <v>348</v>
      </c>
      <c r="R68" s="23" t="s">
        <v>1164</v>
      </c>
      <c r="S68" s="26" t="s">
        <v>269</v>
      </c>
      <c r="T68" s="23" t="s">
        <v>84</v>
      </c>
      <c r="U68" s="27"/>
      <c r="V68" s="23" t="s">
        <v>104</v>
      </c>
      <c r="W68" s="23" t="s">
        <v>1165</v>
      </c>
      <c r="X68" s="23" t="s">
        <v>1165</v>
      </c>
      <c r="Y68" s="27"/>
      <c r="Z68" s="27"/>
      <c r="AA68" s="27"/>
      <c r="AB68" s="44"/>
      <c r="AC68" s="76" t="s">
        <v>820</v>
      </c>
      <c r="AD68" s="76" t="s">
        <v>261</v>
      </c>
      <c r="AE68" s="76" t="s">
        <v>336</v>
      </c>
    </row>
    <row r="69">
      <c r="A69" s="45" t="s">
        <v>64</v>
      </c>
      <c r="B69" s="45" t="s">
        <v>67</v>
      </c>
      <c r="C69" s="45" t="s">
        <v>1166</v>
      </c>
      <c r="D69" s="45" t="s">
        <v>1167</v>
      </c>
      <c r="E69" s="45" t="s">
        <v>1168</v>
      </c>
      <c r="F69" s="48">
        <v>424.0</v>
      </c>
      <c r="G69" s="51"/>
      <c r="H69" s="45" t="s">
        <v>139</v>
      </c>
      <c r="I69" s="53"/>
      <c r="J69" s="51"/>
      <c r="K69" s="55">
        <v>45127.0</v>
      </c>
      <c r="L69" s="55" t="str">
        <f t="shared" si="1"/>
        <v>2023</v>
      </c>
      <c r="M69" s="55">
        <v>45291.0</v>
      </c>
      <c r="N69" s="48" t="str">
        <f t="shared" si="2"/>
        <v>2023</v>
      </c>
      <c r="O69" s="58">
        <f t="shared" si="3"/>
        <v>164</v>
      </c>
      <c r="P69" s="58">
        <f t="shared" si="4"/>
        <v>0</v>
      </c>
      <c r="Q69" s="45" t="s">
        <v>150</v>
      </c>
      <c r="R69" s="51"/>
      <c r="S69" s="51"/>
      <c r="T69" s="51"/>
      <c r="U69" s="51"/>
      <c r="V69" s="51"/>
      <c r="W69" s="45" t="s">
        <v>1170</v>
      </c>
      <c r="X69" s="51"/>
      <c r="Y69" s="51"/>
      <c r="Z69" s="51"/>
      <c r="AA69" s="51"/>
      <c r="AB69" s="72"/>
      <c r="AC69" s="64" t="s">
        <v>216</v>
      </c>
      <c r="AD69" s="51"/>
      <c r="AE69" s="64" t="s">
        <v>1172</v>
      </c>
    </row>
    <row r="70">
      <c r="A70" s="23" t="s">
        <v>64</v>
      </c>
      <c r="B70" s="23" t="s">
        <v>67</v>
      </c>
      <c r="C70" s="23" t="s">
        <v>1173</v>
      </c>
      <c r="D70" s="23" t="s">
        <v>1174</v>
      </c>
      <c r="E70" s="23" t="s">
        <v>1175</v>
      </c>
      <c r="F70" s="26">
        <v>425.0</v>
      </c>
      <c r="G70" s="26" t="s">
        <v>1176</v>
      </c>
      <c r="H70" s="23" t="s">
        <v>139</v>
      </c>
      <c r="I70" s="88"/>
      <c r="J70" s="27"/>
      <c r="K70" s="29">
        <v>45131.0</v>
      </c>
      <c r="L70" s="29" t="str">
        <f t="shared" si="1"/>
        <v>2023</v>
      </c>
      <c r="M70" s="29">
        <v>45657.0</v>
      </c>
      <c r="N70" s="26" t="str">
        <f t="shared" si="2"/>
        <v>2024</v>
      </c>
      <c r="O70" s="36">
        <f t="shared" si="3"/>
        <v>526</v>
      </c>
      <c r="P70" s="36">
        <f t="shared" si="4"/>
        <v>1</v>
      </c>
      <c r="Q70" s="23" t="s">
        <v>150</v>
      </c>
      <c r="R70" s="23" t="s">
        <v>353</v>
      </c>
      <c r="S70" s="26" t="s">
        <v>269</v>
      </c>
      <c r="T70" s="27"/>
      <c r="U70" s="27"/>
      <c r="V70" s="23" t="s">
        <v>104</v>
      </c>
      <c r="W70" s="23" t="s">
        <v>1178</v>
      </c>
      <c r="X70" s="23" t="s">
        <v>1179</v>
      </c>
      <c r="Y70" s="27"/>
      <c r="Z70" s="27"/>
      <c r="AA70" s="23" t="s">
        <v>1180</v>
      </c>
      <c r="AB70" s="44"/>
      <c r="AC70" s="76" t="s">
        <v>162</v>
      </c>
      <c r="AD70" s="76" t="s">
        <v>261</v>
      </c>
      <c r="AE70" s="76" t="s">
        <v>162</v>
      </c>
    </row>
    <row r="71">
      <c r="A71" s="45" t="s">
        <v>64</v>
      </c>
      <c r="B71" s="45" t="s">
        <v>67</v>
      </c>
      <c r="C71" s="45" t="s">
        <v>1182</v>
      </c>
      <c r="D71" s="45" t="s">
        <v>1183</v>
      </c>
      <c r="E71" s="45" t="s">
        <v>1184</v>
      </c>
      <c r="F71" s="48">
        <v>429.0</v>
      </c>
      <c r="G71" s="51"/>
      <c r="H71" s="45" t="s">
        <v>139</v>
      </c>
      <c r="I71" s="45" t="s">
        <v>226</v>
      </c>
      <c r="J71" s="51"/>
      <c r="K71" s="55">
        <v>45138.0</v>
      </c>
      <c r="L71" s="55" t="str">
        <f t="shared" si="1"/>
        <v>2023</v>
      </c>
      <c r="M71" s="55">
        <v>45322.0</v>
      </c>
      <c r="N71" s="48" t="str">
        <f t="shared" si="2"/>
        <v>2024</v>
      </c>
      <c r="O71" s="58">
        <f t="shared" si="3"/>
        <v>184</v>
      </c>
      <c r="P71" s="58">
        <f t="shared" si="4"/>
        <v>0</v>
      </c>
      <c r="Q71" s="45" t="s">
        <v>150</v>
      </c>
      <c r="R71" s="51"/>
      <c r="S71" s="51"/>
      <c r="T71" s="51"/>
      <c r="U71" s="51"/>
      <c r="V71" s="45" t="s">
        <v>1185</v>
      </c>
      <c r="W71" s="45" t="s">
        <v>1186</v>
      </c>
      <c r="X71" s="51"/>
      <c r="Y71" s="51"/>
      <c r="Z71" s="51"/>
      <c r="AA71" s="51"/>
      <c r="AB71" s="72"/>
      <c r="AC71" s="64" t="s">
        <v>259</v>
      </c>
      <c r="AD71" s="51"/>
      <c r="AE71" s="64" t="s">
        <v>124</v>
      </c>
    </row>
    <row r="72">
      <c r="A72" s="23" t="s">
        <v>64</v>
      </c>
      <c r="B72" s="23" t="s">
        <v>67</v>
      </c>
      <c r="C72" s="23" t="s">
        <v>1187</v>
      </c>
      <c r="D72" s="23" t="s">
        <v>1188</v>
      </c>
      <c r="E72" s="23" t="s">
        <v>1189</v>
      </c>
      <c r="F72" s="26">
        <v>439.0</v>
      </c>
      <c r="G72" s="27"/>
      <c r="H72" s="23" t="s">
        <v>187</v>
      </c>
      <c r="I72" s="88"/>
      <c r="J72" s="27"/>
      <c r="K72" s="29">
        <v>45147.0</v>
      </c>
      <c r="L72" s="29" t="str">
        <f t="shared" si="1"/>
        <v>2023</v>
      </c>
      <c r="M72" s="29">
        <v>45154.0</v>
      </c>
      <c r="N72" s="26" t="str">
        <f t="shared" si="2"/>
        <v>2023</v>
      </c>
      <c r="O72" s="36">
        <f t="shared" si="3"/>
        <v>7</v>
      </c>
      <c r="P72" s="36">
        <f t="shared" si="4"/>
        <v>0</v>
      </c>
      <c r="Q72" s="23" t="s">
        <v>106</v>
      </c>
      <c r="R72" s="27"/>
      <c r="S72" s="27"/>
      <c r="T72" s="27"/>
      <c r="U72" s="27"/>
      <c r="V72" s="23" t="s">
        <v>106</v>
      </c>
      <c r="W72" s="23" t="s">
        <v>1190</v>
      </c>
      <c r="X72" s="27"/>
      <c r="Y72" s="27"/>
      <c r="Z72" s="27"/>
      <c r="AA72" s="23" t="s">
        <v>1192</v>
      </c>
      <c r="AB72" s="44"/>
      <c r="AC72" s="76" t="s">
        <v>259</v>
      </c>
      <c r="AD72" s="27"/>
      <c r="AE72" s="76" t="s">
        <v>124</v>
      </c>
    </row>
    <row r="73">
      <c r="A73" s="45" t="s">
        <v>64</v>
      </c>
      <c r="B73" s="45" t="s">
        <v>67</v>
      </c>
      <c r="C73" s="45" t="s">
        <v>1193</v>
      </c>
      <c r="D73" s="45" t="s">
        <v>1194</v>
      </c>
      <c r="E73" s="45" t="s">
        <v>1195</v>
      </c>
      <c r="F73" s="48">
        <v>307.0</v>
      </c>
      <c r="G73" s="51"/>
      <c r="H73" s="45" t="s">
        <v>84</v>
      </c>
      <c r="I73" s="45" t="s">
        <v>84</v>
      </c>
      <c r="J73" s="51"/>
      <c r="K73" s="55">
        <v>45148.0</v>
      </c>
      <c r="L73" s="55" t="str">
        <f t="shared" si="1"/>
        <v>2023</v>
      </c>
      <c r="M73" s="55">
        <v>45657.0</v>
      </c>
      <c r="N73" s="48" t="str">
        <f t="shared" si="2"/>
        <v>2024</v>
      </c>
      <c r="O73" s="58">
        <f t="shared" si="3"/>
        <v>509</v>
      </c>
      <c r="P73" s="58">
        <f t="shared" si="4"/>
        <v>1</v>
      </c>
      <c r="Q73" s="45" t="s">
        <v>150</v>
      </c>
      <c r="R73" s="51"/>
      <c r="S73" s="51"/>
      <c r="T73" s="51"/>
      <c r="U73" s="51"/>
      <c r="V73" s="45" t="s">
        <v>104</v>
      </c>
      <c r="W73" s="45" t="s">
        <v>1196</v>
      </c>
      <c r="X73" s="51"/>
      <c r="Y73" s="51"/>
      <c r="Z73" s="51"/>
      <c r="AA73" s="45" t="s">
        <v>1197</v>
      </c>
      <c r="AB73" s="72"/>
      <c r="AC73" s="64" t="s">
        <v>216</v>
      </c>
      <c r="AD73" s="51"/>
      <c r="AE73" s="64" t="s">
        <v>261</v>
      </c>
    </row>
    <row r="74">
      <c r="A74" s="23" t="s">
        <v>64</v>
      </c>
      <c r="B74" s="23" t="s">
        <v>67</v>
      </c>
      <c r="C74" s="23" t="s">
        <v>1199</v>
      </c>
      <c r="D74" s="23" t="s">
        <v>1200</v>
      </c>
      <c r="E74" s="23" t="s">
        <v>1201</v>
      </c>
      <c r="F74" s="26">
        <v>443.0</v>
      </c>
      <c r="G74" s="26">
        <v>600123.0</v>
      </c>
      <c r="H74" s="23" t="s">
        <v>139</v>
      </c>
      <c r="I74" s="23" t="s">
        <v>226</v>
      </c>
      <c r="J74" s="27"/>
      <c r="K74" s="29">
        <v>45152.0</v>
      </c>
      <c r="L74" s="29" t="str">
        <f t="shared" si="1"/>
        <v>2023</v>
      </c>
      <c r="M74" s="29">
        <v>45536.0</v>
      </c>
      <c r="N74" s="26" t="str">
        <f t="shared" si="2"/>
        <v>2024</v>
      </c>
      <c r="O74" s="36">
        <f t="shared" si="3"/>
        <v>384</v>
      </c>
      <c r="P74" s="36">
        <f t="shared" si="4"/>
        <v>1</v>
      </c>
      <c r="Q74" s="23" t="s">
        <v>150</v>
      </c>
      <c r="R74" s="27"/>
      <c r="S74" s="27"/>
      <c r="T74" s="27"/>
      <c r="U74" s="27"/>
      <c r="V74" s="23" t="s">
        <v>104</v>
      </c>
      <c r="W74" s="23" t="s">
        <v>1202</v>
      </c>
      <c r="X74" s="27"/>
      <c r="Y74" s="27"/>
      <c r="Z74" s="27"/>
      <c r="AA74" s="23" t="s">
        <v>1204</v>
      </c>
      <c r="AB74" s="107">
        <v>45152.0</v>
      </c>
      <c r="AC74" s="76" t="s">
        <v>354</v>
      </c>
      <c r="AD74" s="27"/>
      <c r="AE74" s="76" t="s">
        <v>124</v>
      </c>
    </row>
    <row r="75">
      <c r="A75" s="45" t="s">
        <v>64</v>
      </c>
      <c r="B75" s="45" t="s">
        <v>19</v>
      </c>
      <c r="C75" s="45" t="s">
        <v>858</v>
      </c>
      <c r="D75" s="45" t="s">
        <v>1205</v>
      </c>
      <c r="E75" s="45" t="s">
        <v>1206</v>
      </c>
      <c r="F75" s="48">
        <v>446.0</v>
      </c>
      <c r="G75" s="48">
        <v>600125.0</v>
      </c>
      <c r="H75" s="45" t="s">
        <v>84</v>
      </c>
      <c r="I75" s="45" t="s">
        <v>84</v>
      </c>
      <c r="J75" s="51"/>
      <c r="K75" s="55">
        <v>45155.0</v>
      </c>
      <c r="L75" s="55" t="str">
        <f t="shared" si="1"/>
        <v>2023</v>
      </c>
      <c r="M75" s="55">
        <v>46251.0</v>
      </c>
      <c r="N75" s="48" t="str">
        <f t="shared" si="2"/>
        <v>2026</v>
      </c>
      <c r="O75" s="58">
        <f t="shared" si="3"/>
        <v>1096</v>
      </c>
      <c r="P75" s="58">
        <f t="shared" si="4"/>
        <v>3</v>
      </c>
      <c r="Q75" s="45" t="s">
        <v>348</v>
      </c>
      <c r="R75" s="45" t="s">
        <v>1208</v>
      </c>
      <c r="S75" s="48" t="s">
        <v>269</v>
      </c>
      <c r="T75" s="51"/>
      <c r="U75" s="51"/>
      <c r="V75" s="45" t="s">
        <v>104</v>
      </c>
      <c r="W75" s="45" t="s">
        <v>1209</v>
      </c>
      <c r="X75" s="45" t="s">
        <v>1209</v>
      </c>
      <c r="Y75" s="51"/>
      <c r="Z75" s="51"/>
      <c r="AA75" s="45" t="s">
        <v>1210</v>
      </c>
      <c r="AB75" s="63">
        <v>45155.0</v>
      </c>
      <c r="AC75" s="64" t="s">
        <v>777</v>
      </c>
      <c r="AD75" s="64" t="s">
        <v>38</v>
      </c>
      <c r="AE75" s="64" t="s">
        <v>124</v>
      </c>
    </row>
    <row r="76">
      <c r="A76" s="23" t="s">
        <v>64</v>
      </c>
      <c r="B76" s="23" t="s">
        <v>19</v>
      </c>
      <c r="C76" s="23" t="s">
        <v>867</v>
      </c>
      <c r="D76" s="23" t="s">
        <v>1212</v>
      </c>
      <c r="E76" s="144" t="s">
        <v>1213</v>
      </c>
      <c r="F76" s="26">
        <v>447.0</v>
      </c>
      <c r="G76" s="26">
        <v>600189.0</v>
      </c>
      <c r="H76" s="23" t="s">
        <v>139</v>
      </c>
      <c r="I76" s="23" t="s">
        <v>226</v>
      </c>
      <c r="J76" s="27"/>
      <c r="K76" s="29">
        <v>45156.0</v>
      </c>
      <c r="L76" s="29" t="str">
        <f t="shared" si="1"/>
        <v>2023</v>
      </c>
      <c r="M76" s="29">
        <v>45748.0</v>
      </c>
      <c r="N76" s="26" t="str">
        <f t="shared" si="2"/>
        <v>2025</v>
      </c>
      <c r="O76" s="36">
        <f t="shared" si="3"/>
        <v>592</v>
      </c>
      <c r="P76" s="36">
        <f t="shared" si="4"/>
        <v>1</v>
      </c>
      <c r="Q76" s="23" t="s">
        <v>348</v>
      </c>
      <c r="R76" s="145" t="s">
        <v>1216</v>
      </c>
      <c r="S76" s="27"/>
      <c r="T76" s="27"/>
      <c r="U76" s="27"/>
      <c r="V76" s="23" t="s">
        <v>104</v>
      </c>
      <c r="W76" s="144" t="s">
        <v>1218</v>
      </c>
      <c r="X76" s="144" t="s">
        <v>1218</v>
      </c>
      <c r="Y76" s="27"/>
      <c r="Z76" s="27"/>
      <c r="AA76" s="23" t="s">
        <v>1220</v>
      </c>
      <c r="AB76" s="107">
        <v>45155.0</v>
      </c>
      <c r="AC76" s="76" t="s">
        <v>354</v>
      </c>
      <c r="AD76" s="76" t="s">
        <v>261</v>
      </c>
      <c r="AE76" s="76" t="s">
        <v>124</v>
      </c>
    </row>
    <row r="77">
      <c r="A77" s="45" t="s">
        <v>64</v>
      </c>
      <c r="B77" s="45" t="s">
        <v>67</v>
      </c>
      <c r="C77" s="45" t="s">
        <v>1221</v>
      </c>
      <c r="D77" s="45" t="s">
        <v>1222</v>
      </c>
      <c r="E77" s="45" t="s">
        <v>1223</v>
      </c>
      <c r="F77" s="48">
        <v>448.0</v>
      </c>
      <c r="G77" s="51"/>
      <c r="H77" s="45" t="s">
        <v>139</v>
      </c>
      <c r="I77" s="53"/>
      <c r="J77" s="51"/>
      <c r="K77" s="55">
        <v>45161.0</v>
      </c>
      <c r="L77" s="55" t="str">
        <f t="shared" si="1"/>
        <v>2023</v>
      </c>
      <c r="M77" s="55">
        <v>45527.0</v>
      </c>
      <c r="N77" s="48" t="str">
        <f t="shared" si="2"/>
        <v>2024</v>
      </c>
      <c r="O77" s="58">
        <f t="shared" si="3"/>
        <v>366</v>
      </c>
      <c r="P77" s="58">
        <f t="shared" si="4"/>
        <v>1</v>
      </c>
      <c r="Q77" s="45" t="s">
        <v>150</v>
      </c>
      <c r="R77" s="51"/>
      <c r="S77" s="51"/>
      <c r="T77" s="51"/>
      <c r="U77" s="51"/>
      <c r="V77" s="45" t="s">
        <v>104</v>
      </c>
      <c r="W77" s="45" t="s">
        <v>1226</v>
      </c>
      <c r="X77" s="51"/>
      <c r="Y77" s="51"/>
      <c r="Z77" s="51"/>
      <c r="AA77" s="45" t="s">
        <v>1227</v>
      </c>
      <c r="AB77" s="63">
        <v>45161.0</v>
      </c>
      <c r="AC77" s="64" t="s">
        <v>259</v>
      </c>
      <c r="AD77" s="51"/>
      <c r="AE77" s="64" t="s">
        <v>124</v>
      </c>
    </row>
    <row r="78">
      <c r="A78" s="23" t="s">
        <v>64</v>
      </c>
      <c r="B78" s="23" t="s">
        <v>67</v>
      </c>
      <c r="C78" s="23" t="s">
        <v>1228</v>
      </c>
      <c r="D78" s="23" t="s">
        <v>1229</v>
      </c>
      <c r="E78" s="23" t="s">
        <v>1230</v>
      </c>
      <c r="F78" s="26">
        <v>449.0</v>
      </c>
      <c r="G78" s="27"/>
      <c r="H78" s="23" t="s">
        <v>84</v>
      </c>
      <c r="I78" s="88"/>
      <c r="J78" s="27"/>
      <c r="K78" s="29">
        <v>45162.0</v>
      </c>
      <c r="L78" s="29" t="str">
        <f t="shared" si="1"/>
        <v>2023</v>
      </c>
      <c r="M78" s="29">
        <v>45323.0</v>
      </c>
      <c r="N78" s="26" t="str">
        <f t="shared" si="2"/>
        <v>2024</v>
      </c>
      <c r="O78" s="36">
        <f t="shared" si="3"/>
        <v>161</v>
      </c>
      <c r="P78" s="36">
        <f t="shared" si="4"/>
        <v>0</v>
      </c>
      <c r="Q78" s="23" t="s">
        <v>150</v>
      </c>
      <c r="R78" s="23" t="s">
        <v>1232</v>
      </c>
      <c r="S78" s="26" t="s">
        <v>269</v>
      </c>
      <c r="T78" s="27"/>
      <c r="U78" s="23" t="s">
        <v>25</v>
      </c>
      <c r="V78" s="23" t="s">
        <v>1233</v>
      </c>
      <c r="W78" s="23" t="s">
        <v>1234</v>
      </c>
      <c r="X78" s="27"/>
      <c r="Y78" s="27"/>
      <c r="Z78" s="27"/>
      <c r="AA78" s="23" t="s">
        <v>1235</v>
      </c>
      <c r="AB78" s="107">
        <v>45162.0</v>
      </c>
      <c r="AC78" s="76" t="s">
        <v>162</v>
      </c>
      <c r="AD78" s="27"/>
      <c r="AE78" s="76" t="s">
        <v>124</v>
      </c>
    </row>
    <row r="79">
      <c r="A79" s="45" t="s">
        <v>64</v>
      </c>
      <c r="B79" s="45" t="s">
        <v>67</v>
      </c>
      <c r="C79" s="45" t="s">
        <v>1236</v>
      </c>
      <c r="D79" s="45" t="s">
        <v>1237</v>
      </c>
      <c r="E79" s="45" t="s">
        <v>1238</v>
      </c>
      <c r="F79" s="48">
        <v>451.0</v>
      </c>
      <c r="G79" s="48">
        <v>600127.0</v>
      </c>
      <c r="H79" s="45" t="s">
        <v>139</v>
      </c>
      <c r="I79" s="45" t="s">
        <v>1239</v>
      </c>
      <c r="J79" s="51"/>
      <c r="K79" s="55">
        <v>45167.0</v>
      </c>
      <c r="L79" s="55" t="str">
        <f t="shared" si="1"/>
        <v>2023</v>
      </c>
      <c r="M79" s="55">
        <v>45550.0</v>
      </c>
      <c r="N79" s="48" t="str">
        <f t="shared" si="2"/>
        <v>2024</v>
      </c>
      <c r="O79" s="58">
        <f t="shared" si="3"/>
        <v>383</v>
      </c>
      <c r="P79" s="58">
        <f t="shared" si="4"/>
        <v>1</v>
      </c>
      <c r="Q79" s="45" t="s">
        <v>150</v>
      </c>
      <c r="R79" s="51"/>
      <c r="S79" s="51"/>
      <c r="T79" s="51"/>
      <c r="U79" s="51"/>
      <c r="V79" s="51"/>
      <c r="W79" s="45" t="s">
        <v>1241</v>
      </c>
      <c r="X79" s="51"/>
      <c r="Y79" s="51"/>
      <c r="Z79" s="51"/>
      <c r="AA79" s="45" t="s">
        <v>1242</v>
      </c>
      <c r="AB79" s="72"/>
      <c r="AC79" s="64" t="s">
        <v>354</v>
      </c>
      <c r="AD79" s="51"/>
      <c r="AE79" s="64" t="s">
        <v>124</v>
      </c>
    </row>
    <row r="80">
      <c r="A80" s="23" t="s">
        <v>64</v>
      </c>
      <c r="B80" s="23" t="s">
        <v>19</v>
      </c>
      <c r="C80" s="23" t="s">
        <v>491</v>
      </c>
      <c r="D80" s="23" t="s">
        <v>794</v>
      </c>
      <c r="E80" s="23" t="s">
        <v>797</v>
      </c>
      <c r="F80" s="26">
        <v>344.0</v>
      </c>
      <c r="G80" s="26">
        <v>600029.0</v>
      </c>
      <c r="H80" s="23" t="s">
        <v>139</v>
      </c>
      <c r="I80" s="23" t="s">
        <v>84</v>
      </c>
      <c r="J80" s="27"/>
      <c r="K80" s="29">
        <v>45000.0</v>
      </c>
      <c r="L80" s="29" t="str">
        <f t="shared" si="1"/>
        <v>2023</v>
      </c>
      <c r="M80" s="29">
        <v>46179.0</v>
      </c>
      <c r="N80" s="26" t="str">
        <f t="shared" si="2"/>
        <v>2026</v>
      </c>
      <c r="O80" s="36">
        <f t="shared" si="3"/>
        <v>1179</v>
      </c>
      <c r="P80" s="36">
        <f t="shared" si="4"/>
        <v>3</v>
      </c>
      <c r="Q80" s="23" t="s">
        <v>150</v>
      </c>
      <c r="R80" s="27"/>
      <c r="S80" s="27"/>
      <c r="T80" s="23" t="s">
        <v>146</v>
      </c>
      <c r="U80" s="23" t="s">
        <v>1244</v>
      </c>
      <c r="V80" s="23" t="s">
        <v>104</v>
      </c>
      <c r="W80" s="23" t="s">
        <v>801</v>
      </c>
      <c r="X80" s="23" t="s">
        <v>804</v>
      </c>
      <c r="Y80" s="27"/>
      <c r="Z80" s="27"/>
      <c r="AA80" s="27"/>
      <c r="AB80" s="44"/>
      <c r="AC80" s="76" t="s">
        <v>820</v>
      </c>
      <c r="AD80" s="76" t="s">
        <v>123</v>
      </c>
      <c r="AE80" s="76" t="s">
        <v>124</v>
      </c>
    </row>
    <row r="81">
      <c r="A81" s="45" t="s">
        <v>64</v>
      </c>
      <c r="B81" s="45" t="s">
        <v>67</v>
      </c>
      <c r="C81" s="45" t="s">
        <v>1245</v>
      </c>
      <c r="D81" s="45" t="s">
        <v>1246</v>
      </c>
      <c r="E81" s="45" t="s">
        <v>1247</v>
      </c>
      <c r="F81" s="48">
        <v>460.0</v>
      </c>
      <c r="G81" s="51"/>
      <c r="H81" s="45" t="s">
        <v>82</v>
      </c>
      <c r="I81" s="53"/>
      <c r="J81" s="51"/>
      <c r="K81" s="55">
        <v>45187.0</v>
      </c>
      <c r="L81" s="55" t="str">
        <f t="shared" si="1"/>
        <v>2023</v>
      </c>
      <c r="M81" s="55">
        <v>45196.0</v>
      </c>
      <c r="N81" s="48" t="str">
        <f t="shared" si="2"/>
        <v>2023</v>
      </c>
      <c r="O81" s="58">
        <f t="shared" si="3"/>
        <v>9</v>
      </c>
      <c r="P81" s="58">
        <f t="shared" si="4"/>
        <v>0</v>
      </c>
      <c r="Q81" s="45" t="s">
        <v>106</v>
      </c>
      <c r="R81" s="45" t="s">
        <v>1248</v>
      </c>
      <c r="S81" s="51"/>
      <c r="T81" s="51"/>
      <c r="U81" s="51"/>
      <c r="V81" s="45" t="s">
        <v>106</v>
      </c>
      <c r="W81" s="45" t="s">
        <v>1249</v>
      </c>
      <c r="X81" s="51"/>
      <c r="Y81" s="51"/>
      <c r="Z81" s="51"/>
      <c r="AA81" s="45" t="s">
        <v>1251</v>
      </c>
      <c r="AB81" s="63">
        <v>45189.0</v>
      </c>
      <c r="AC81" s="64" t="s">
        <v>259</v>
      </c>
      <c r="AD81" s="51"/>
      <c r="AE81" s="64" t="s">
        <v>440</v>
      </c>
    </row>
    <row r="82">
      <c r="A82" s="23" t="s">
        <v>64</v>
      </c>
      <c r="B82" s="23" t="s">
        <v>67</v>
      </c>
      <c r="C82" s="23" t="s">
        <v>1252</v>
      </c>
      <c r="D82" s="23" t="s">
        <v>1253</v>
      </c>
      <c r="E82" s="23" t="s">
        <v>1254</v>
      </c>
      <c r="F82" s="26">
        <v>463.0</v>
      </c>
      <c r="G82" s="27"/>
      <c r="H82" s="23" t="s">
        <v>266</v>
      </c>
      <c r="I82" s="23" t="s">
        <v>226</v>
      </c>
      <c r="J82" s="27"/>
      <c r="K82" s="29">
        <v>45190.0</v>
      </c>
      <c r="L82" s="29" t="str">
        <f t="shared" si="1"/>
        <v>2023</v>
      </c>
      <c r="M82" s="29">
        <v>45281.0</v>
      </c>
      <c r="N82" s="26" t="str">
        <f t="shared" si="2"/>
        <v>2023</v>
      </c>
      <c r="O82" s="36">
        <f t="shared" si="3"/>
        <v>91</v>
      </c>
      <c r="P82" s="36">
        <f t="shared" si="4"/>
        <v>0</v>
      </c>
      <c r="Q82" s="23" t="s">
        <v>150</v>
      </c>
      <c r="R82" s="23" t="s">
        <v>1256</v>
      </c>
      <c r="S82" s="27"/>
      <c r="T82" s="27"/>
      <c r="U82" s="27"/>
      <c r="V82" s="23" t="s">
        <v>139</v>
      </c>
      <c r="W82" s="23" t="s">
        <v>1257</v>
      </c>
      <c r="X82" s="27"/>
      <c r="Y82" s="27"/>
      <c r="Z82" s="27"/>
      <c r="AA82" s="23" t="s">
        <v>1258</v>
      </c>
      <c r="AB82" s="107">
        <v>45189.0</v>
      </c>
      <c r="AC82" s="76" t="s">
        <v>162</v>
      </c>
      <c r="AD82" s="27"/>
      <c r="AE82" s="76" t="s">
        <v>440</v>
      </c>
    </row>
    <row r="83">
      <c r="A83" s="45" t="s">
        <v>64</v>
      </c>
      <c r="B83" s="45" t="s">
        <v>19</v>
      </c>
      <c r="C83" s="45" t="s">
        <v>1259</v>
      </c>
      <c r="D83" s="45" t="s">
        <v>1260</v>
      </c>
      <c r="E83" s="45" t="s">
        <v>1261</v>
      </c>
      <c r="F83" s="48">
        <v>464.0</v>
      </c>
      <c r="G83" s="48">
        <v>600160.0</v>
      </c>
      <c r="H83" s="45" t="s">
        <v>139</v>
      </c>
      <c r="I83" s="45" t="s">
        <v>84</v>
      </c>
      <c r="J83" s="51"/>
      <c r="K83" s="55">
        <v>45190.0</v>
      </c>
      <c r="L83" s="55" t="str">
        <f t="shared" si="1"/>
        <v>2023</v>
      </c>
      <c r="M83" s="55">
        <v>46022.0</v>
      </c>
      <c r="N83" s="48" t="str">
        <f t="shared" si="2"/>
        <v>2025</v>
      </c>
      <c r="O83" s="58">
        <f t="shared" si="3"/>
        <v>832</v>
      </c>
      <c r="P83" s="58">
        <f t="shared" si="4"/>
        <v>2</v>
      </c>
      <c r="Q83" s="45" t="s">
        <v>253</v>
      </c>
      <c r="R83" s="45" t="s">
        <v>433</v>
      </c>
      <c r="S83" s="48" t="s">
        <v>269</v>
      </c>
      <c r="T83" s="51"/>
      <c r="U83" s="51"/>
      <c r="V83" s="51"/>
      <c r="W83" s="45" t="s">
        <v>1263</v>
      </c>
      <c r="X83" s="45" t="s">
        <v>1263</v>
      </c>
      <c r="Y83" s="51"/>
      <c r="Z83" s="51"/>
      <c r="AA83" s="45" t="s">
        <v>1264</v>
      </c>
      <c r="AB83" s="63">
        <v>45190.0</v>
      </c>
      <c r="AC83" s="64" t="s">
        <v>354</v>
      </c>
      <c r="AD83" s="51"/>
      <c r="AE83" s="64" t="s">
        <v>476</v>
      </c>
    </row>
    <row r="84">
      <c r="A84" s="23" t="s">
        <v>64</v>
      </c>
      <c r="B84" s="23" t="s">
        <v>67</v>
      </c>
      <c r="C84" s="23" t="s">
        <v>1265</v>
      </c>
      <c r="D84" s="23" t="s">
        <v>1266</v>
      </c>
      <c r="E84" s="23" t="s">
        <v>1267</v>
      </c>
      <c r="F84" s="26">
        <v>468.0</v>
      </c>
      <c r="G84" s="27"/>
      <c r="H84" s="23" t="s">
        <v>225</v>
      </c>
      <c r="I84" s="88"/>
      <c r="J84" s="27"/>
      <c r="K84" s="29">
        <v>45195.0</v>
      </c>
      <c r="L84" s="29" t="str">
        <f t="shared" si="1"/>
        <v>2023</v>
      </c>
      <c r="M84" s="88"/>
      <c r="N84" s="27" t="str">
        <f t="shared" si="2"/>
        <v/>
      </c>
      <c r="O84" s="36">
        <v>2024.0</v>
      </c>
      <c r="P84" s="36" t="str">
        <f t="shared" si="4"/>
        <v>#NUM!</v>
      </c>
      <c r="Q84" s="23" t="s">
        <v>106</v>
      </c>
      <c r="R84" s="23" t="s">
        <v>1272</v>
      </c>
      <c r="S84" s="27"/>
      <c r="T84" s="27"/>
      <c r="U84" s="27"/>
      <c r="V84" s="23" t="s">
        <v>1273</v>
      </c>
      <c r="W84" s="23" t="s">
        <v>1274</v>
      </c>
      <c r="X84" s="27"/>
      <c r="Y84" s="27"/>
      <c r="Z84" s="27"/>
      <c r="AA84" s="23" t="s">
        <v>1276</v>
      </c>
      <c r="AB84" s="107">
        <v>45196.0</v>
      </c>
      <c r="AC84" s="27"/>
      <c r="AD84" s="27"/>
      <c r="AE84" s="27"/>
    </row>
    <row r="85">
      <c r="A85" s="45" t="s">
        <v>64</v>
      </c>
      <c r="B85" s="45" t="s">
        <v>67</v>
      </c>
      <c r="C85" s="45" t="s">
        <v>1277</v>
      </c>
      <c r="D85" s="45" t="s">
        <v>1278</v>
      </c>
      <c r="E85" s="45" t="s">
        <v>1279</v>
      </c>
      <c r="F85" s="48">
        <v>470.0</v>
      </c>
      <c r="G85" s="48">
        <v>600145.0</v>
      </c>
      <c r="H85" s="45" t="s">
        <v>84</v>
      </c>
      <c r="I85" s="45" t="s">
        <v>84</v>
      </c>
      <c r="J85" s="51"/>
      <c r="K85" s="55">
        <v>45196.0</v>
      </c>
      <c r="L85" s="55" t="str">
        <f t="shared" si="1"/>
        <v>2023</v>
      </c>
      <c r="M85" s="55">
        <v>45561.0</v>
      </c>
      <c r="N85" s="48" t="str">
        <f t="shared" si="2"/>
        <v>2024</v>
      </c>
      <c r="O85" s="58">
        <f t="shared" ref="O85:O294" si="5">DATEDIF(K85,M85,"d")</f>
        <v>365</v>
      </c>
      <c r="P85" s="58">
        <f t="shared" si="4"/>
        <v>0</v>
      </c>
      <c r="Q85" s="45" t="s">
        <v>150</v>
      </c>
      <c r="R85" s="51"/>
      <c r="S85" s="51"/>
      <c r="T85" s="51"/>
      <c r="U85" s="51"/>
      <c r="V85" s="45" t="s">
        <v>104</v>
      </c>
      <c r="W85" s="45" t="s">
        <v>1281</v>
      </c>
      <c r="X85" s="51"/>
      <c r="Y85" s="51"/>
      <c r="Z85" s="51"/>
      <c r="AA85" s="45" t="s">
        <v>1251</v>
      </c>
      <c r="AB85" s="63">
        <v>45196.0</v>
      </c>
      <c r="AC85" s="64" t="s">
        <v>162</v>
      </c>
      <c r="AD85" s="51"/>
      <c r="AE85" s="64" t="s">
        <v>1283</v>
      </c>
    </row>
    <row r="86">
      <c r="A86" s="23" t="s">
        <v>64</v>
      </c>
      <c r="B86" s="23" t="s">
        <v>67</v>
      </c>
      <c r="C86" s="23" t="s">
        <v>1284</v>
      </c>
      <c r="D86" s="23" t="s">
        <v>1285</v>
      </c>
      <c r="E86" s="23" t="s">
        <v>1286</v>
      </c>
      <c r="F86" s="26">
        <v>471.0</v>
      </c>
      <c r="G86" s="27"/>
      <c r="H86" s="23" t="s">
        <v>187</v>
      </c>
      <c r="I86" s="23" t="s">
        <v>84</v>
      </c>
      <c r="J86" s="27"/>
      <c r="K86" s="29">
        <v>45196.0</v>
      </c>
      <c r="L86" s="29" t="str">
        <f t="shared" si="1"/>
        <v>2023</v>
      </c>
      <c r="M86" s="29">
        <v>45561.0</v>
      </c>
      <c r="N86" s="26" t="str">
        <f t="shared" si="2"/>
        <v>2024</v>
      </c>
      <c r="O86" s="36">
        <f t="shared" si="5"/>
        <v>365</v>
      </c>
      <c r="P86" s="36">
        <f t="shared" si="4"/>
        <v>0</v>
      </c>
      <c r="Q86" s="23" t="s">
        <v>150</v>
      </c>
      <c r="R86" s="27"/>
      <c r="S86" s="27"/>
      <c r="T86" s="144" t="s">
        <v>1287</v>
      </c>
      <c r="U86" s="27"/>
      <c r="V86" s="23" t="s">
        <v>106</v>
      </c>
      <c r="W86" s="23" t="s">
        <v>1288</v>
      </c>
      <c r="X86" s="27"/>
      <c r="Y86" s="27"/>
      <c r="Z86" s="27"/>
      <c r="AA86" s="23" t="s">
        <v>1289</v>
      </c>
      <c r="AB86" s="107">
        <v>45196.0</v>
      </c>
      <c r="AC86" s="76" t="s">
        <v>440</v>
      </c>
      <c r="AD86" s="27"/>
      <c r="AE86" s="76" t="s">
        <v>440</v>
      </c>
    </row>
    <row r="87">
      <c r="A87" s="45" t="s">
        <v>64</v>
      </c>
      <c r="B87" s="45" t="s">
        <v>67</v>
      </c>
      <c r="C87" s="45" t="s">
        <v>1291</v>
      </c>
      <c r="D87" s="45" t="s">
        <v>1292</v>
      </c>
      <c r="E87" s="45" t="s">
        <v>1293</v>
      </c>
      <c r="F87" s="48">
        <v>482.0</v>
      </c>
      <c r="G87" s="48">
        <v>600128.0</v>
      </c>
      <c r="H87" s="45" t="s">
        <v>139</v>
      </c>
      <c r="I87" s="45" t="s">
        <v>248</v>
      </c>
      <c r="J87" s="51"/>
      <c r="K87" s="55">
        <v>45208.0</v>
      </c>
      <c r="L87" s="55" t="str">
        <f t="shared" si="1"/>
        <v>2023</v>
      </c>
      <c r="M87" s="55">
        <v>45626.0</v>
      </c>
      <c r="N87" s="48" t="str">
        <f t="shared" si="2"/>
        <v>2024</v>
      </c>
      <c r="O87" s="58">
        <f t="shared" si="5"/>
        <v>418</v>
      </c>
      <c r="P87" s="58">
        <f t="shared" si="4"/>
        <v>1</v>
      </c>
      <c r="Q87" s="45" t="s">
        <v>150</v>
      </c>
      <c r="R87" s="51"/>
      <c r="S87" s="51"/>
      <c r="T87" s="51"/>
      <c r="U87" s="51"/>
      <c r="V87" s="45" t="s">
        <v>1294</v>
      </c>
      <c r="W87" s="45" t="s">
        <v>1295</v>
      </c>
      <c r="X87" s="51"/>
      <c r="Y87" s="51"/>
      <c r="Z87" s="51"/>
      <c r="AA87" s="45" t="s">
        <v>1296</v>
      </c>
      <c r="AB87" s="63">
        <v>45208.0</v>
      </c>
      <c r="AC87" s="64" t="s">
        <v>162</v>
      </c>
      <c r="AD87" s="51"/>
      <c r="AE87" s="64" t="s">
        <v>124</v>
      </c>
    </row>
    <row r="88">
      <c r="A88" s="23" t="s">
        <v>64</v>
      </c>
      <c r="B88" s="23" t="s">
        <v>67</v>
      </c>
      <c r="C88" s="23" t="s">
        <v>1297</v>
      </c>
      <c r="D88" s="23" t="s">
        <v>1298</v>
      </c>
      <c r="E88" s="23" t="s">
        <v>1299</v>
      </c>
      <c r="F88" s="26">
        <v>483.0</v>
      </c>
      <c r="G88" s="27"/>
      <c r="H88" s="23" t="s">
        <v>187</v>
      </c>
      <c r="I88" s="23" t="s">
        <v>84</v>
      </c>
      <c r="J88" s="27"/>
      <c r="K88" s="29">
        <v>45209.0</v>
      </c>
      <c r="L88" s="29" t="str">
        <f t="shared" si="1"/>
        <v>2023</v>
      </c>
      <c r="M88" s="29">
        <v>45575.0</v>
      </c>
      <c r="N88" s="26" t="str">
        <f t="shared" si="2"/>
        <v>2024</v>
      </c>
      <c r="O88" s="36">
        <f t="shared" si="5"/>
        <v>366</v>
      </c>
      <c r="P88" s="36">
        <f t="shared" si="4"/>
        <v>1</v>
      </c>
      <c r="Q88" s="23" t="s">
        <v>150</v>
      </c>
      <c r="R88" s="27"/>
      <c r="S88" s="27"/>
      <c r="T88" s="27"/>
      <c r="U88" s="27"/>
      <c r="V88" s="23" t="s">
        <v>106</v>
      </c>
      <c r="W88" s="23" t="s">
        <v>1304</v>
      </c>
      <c r="X88" s="27"/>
      <c r="Y88" s="27"/>
      <c r="Z88" s="27"/>
      <c r="AA88" s="27"/>
      <c r="AB88" s="107">
        <v>45209.0</v>
      </c>
      <c r="AC88" s="76" t="s">
        <v>440</v>
      </c>
      <c r="AD88" s="27"/>
      <c r="AE88" s="76" t="s">
        <v>1283</v>
      </c>
    </row>
    <row r="89">
      <c r="A89" s="45" t="s">
        <v>64</v>
      </c>
      <c r="B89" s="45" t="s">
        <v>67</v>
      </c>
      <c r="C89" s="45" t="s">
        <v>1306</v>
      </c>
      <c r="D89" s="45" t="s">
        <v>1307</v>
      </c>
      <c r="E89" s="45" t="s">
        <v>1308</v>
      </c>
      <c r="F89" s="48">
        <v>484.0</v>
      </c>
      <c r="G89" s="51"/>
      <c r="H89" s="45" t="s">
        <v>84</v>
      </c>
      <c r="I89" s="45" t="s">
        <v>84</v>
      </c>
      <c r="J89" s="51"/>
      <c r="K89" s="55">
        <v>45216.0</v>
      </c>
      <c r="L89" s="55" t="str">
        <f t="shared" si="1"/>
        <v>2023</v>
      </c>
      <c r="M89" s="55">
        <v>45582.0</v>
      </c>
      <c r="N89" s="48" t="str">
        <f t="shared" si="2"/>
        <v>2024</v>
      </c>
      <c r="O89" s="58">
        <f t="shared" si="5"/>
        <v>366</v>
      </c>
      <c r="P89" s="58">
        <f t="shared" si="4"/>
        <v>1</v>
      </c>
      <c r="Q89" s="45" t="s">
        <v>150</v>
      </c>
      <c r="R89" s="51"/>
      <c r="S89" s="51"/>
      <c r="T89" s="51"/>
      <c r="U89" s="51"/>
      <c r="V89" s="45" t="s">
        <v>1313</v>
      </c>
      <c r="W89" s="45" t="s">
        <v>1314</v>
      </c>
      <c r="X89" s="51"/>
      <c r="Y89" s="51"/>
      <c r="Z89" s="51"/>
      <c r="AA89" s="51"/>
      <c r="AB89" s="63">
        <v>45216.0</v>
      </c>
      <c r="AC89" s="64" t="s">
        <v>259</v>
      </c>
      <c r="AD89" s="64" t="s">
        <v>261</v>
      </c>
      <c r="AE89" s="64" t="s">
        <v>124</v>
      </c>
    </row>
    <row r="90">
      <c r="A90" s="23" t="s">
        <v>64</v>
      </c>
      <c r="B90" s="23" t="s">
        <v>19</v>
      </c>
      <c r="C90" s="23" t="s">
        <v>1315</v>
      </c>
      <c r="D90" s="23" t="s">
        <v>1316</v>
      </c>
      <c r="E90" s="144" t="s">
        <v>1317</v>
      </c>
      <c r="F90" s="26">
        <v>461.0</v>
      </c>
      <c r="G90" s="26">
        <v>600124.0</v>
      </c>
      <c r="H90" s="23" t="s">
        <v>139</v>
      </c>
      <c r="I90" s="23" t="s">
        <v>84</v>
      </c>
      <c r="J90" s="27"/>
      <c r="K90" s="29">
        <v>45187.0</v>
      </c>
      <c r="L90" s="29" t="str">
        <f t="shared" si="1"/>
        <v>2023</v>
      </c>
      <c r="M90" s="29">
        <v>45657.0</v>
      </c>
      <c r="N90" s="26" t="str">
        <f t="shared" si="2"/>
        <v>2024</v>
      </c>
      <c r="O90" s="36">
        <f t="shared" si="5"/>
        <v>470</v>
      </c>
      <c r="P90" s="36">
        <f t="shared" si="4"/>
        <v>1</v>
      </c>
      <c r="Q90" s="23" t="s">
        <v>150</v>
      </c>
      <c r="R90" s="23" t="s">
        <v>1321</v>
      </c>
      <c r="S90" s="27"/>
      <c r="T90" s="27"/>
      <c r="U90" s="27"/>
      <c r="V90" s="23" t="s">
        <v>104</v>
      </c>
      <c r="W90" s="144" t="s">
        <v>1287</v>
      </c>
      <c r="X90" s="147"/>
      <c r="Y90" s="27"/>
      <c r="Z90" s="27"/>
      <c r="AA90" s="23" t="s">
        <v>1323</v>
      </c>
      <c r="AB90" s="44" t="str">
        <f t="shared" ref="AB90:AB94" si="6">T90</f>
        <v/>
      </c>
      <c r="AC90" s="76" t="s">
        <v>354</v>
      </c>
      <c r="AD90" s="76" t="s">
        <v>261</v>
      </c>
      <c r="AE90" s="76" t="s">
        <v>124</v>
      </c>
    </row>
    <row r="91">
      <c r="A91" s="45" t="s">
        <v>64</v>
      </c>
      <c r="B91" s="45" t="s">
        <v>19</v>
      </c>
      <c r="C91" s="45" t="s">
        <v>1324</v>
      </c>
      <c r="D91" s="45" t="s">
        <v>1325</v>
      </c>
      <c r="E91" s="45" t="s">
        <v>1326</v>
      </c>
      <c r="F91" s="48">
        <v>428.0</v>
      </c>
      <c r="G91" s="48">
        <v>600421.0</v>
      </c>
      <c r="H91" s="45" t="str">
        <f>H90</f>
        <v>ENTERPRISE</v>
      </c>
      <c r="I91" s="45" t="s">
        <v>84</v>
      </c>
      <c r="J91" s="51"/>
      <c r="K91" s="55">
        <v>45135.0</v>
      </c>
      <c r="L91" s="55" t="str">
        <f t="shared" si="1"/>
        <v>2023</v>
      </c>
      <c r="M91" s="55">
        <v>45901.0</v>
      </c>
      <c r="N91" s="48" t="str">
        <f t="shared" si="2"/>
        <v>2025</v>
      </c>
      <c r="O91" s="58">
        <f t="shared" si="5"/>
        <v>766</v>
      </c>
      <c r="P91" s="58">
        <f t="shared" si="4"/>
        <v>2</v>
      </c>
      <c r="Q91" s="45" t="s">
        <v>253</v>
      </c>
      <c r="R91" s="45" t="s">
        <v>1328</v>
      </c>
      <c r="S91" s="51"/>
      <c r="T91" s="51"/>
      <c r="U91" s="51"/>
      <c r="V91" s="45" t="s">
        <v>1329</v>
      </c>
      <c r="W91" s="142" t="s">
        <v>1330</v>
      </c>
      <c r="X91" s="45" t="s">
        <v>1332</v>
      </c>
      <c r="Y91" s="51"/>
      <c r="Z91" s="51"/>
      <c r="AA91" s="45" t="s">
        <v>1334</v>
      </c>
      <c r="AB91" s="72" t="str">
        <f t="shared" si="6"/>
        <v/>
      </c>
      <c r="AC91" s="64" t="s">
        <v>354</v>
      </c>
      <c r="AD91" s="64" t="s">
        <v>261</v>
      </c>
      <c r="AE91" s="64" t="s">
        <v>354</v>
      </c>
    </row>
    <row r="92">
      <c r="A92" s="23" t="s">
        <v>64</v>
      </c>
      <c r="B92" s="23" t="s">
        <v>67</v>
      </c>
      <c r="C92" s="23" t="s">
        <v>549</v>
      </c>
      <c r="D92" s="23" t="s">
        <v>1337</v>
      </c>
      <c r="E92" s="23" t="s">
        <v>1339</v>
      </c>
      <c r="F92" s="26">
        <v>441.0</v>
      </c>
      <c r="G92" s="26">
        <v>600151.0</v>
      </c>
      <c r="H92" s="23" t="s">
        <v>84</v>
      </c>
      <c r="I92" s="23" t="s">
        <v>84</v>
      </c>
      <c r="J92" s="27"/>
      <c r="K92" s="29">
        <v>45148.0</v>
      </c>
      <c r="L92" s="29" t="str">
        <f t="shared" si="1"/>
        <v>2023</v>
      </c>
      <c r="M92" s="29">
        <v>45657.0</v>
      </c>
      <c r="N92" s="26" t="str">
        <f t="shared" si="2"/>
        <v>2024</v>
      </c>
      <c r="O92" s="36">
        <f t="shared" si="5"/>
        <v>509</v>
      </c>
      <c r="P92" s="36">
        <f t="shared" si="4"/>
        <v>1</v>
      </c>
      <c r="Q92" s="23" t="s">
        <v>150</v>
      </c>
      <c r="R92" s="27"/>
      <c r="S92" s="27"/>
      <c r="T92" s="27"/>
      <c r="U92" s="27"/>
      <c r="V92" s="23" t="s">
        <v>1342</v>
      </c>
      <c r="W92" s="144" t="s">
        <v>1343</v>
      </c>
      <c r="X92" s="27"/>
      <c r="Y92" s="27"/>
      <c r="Z92" s="27"/>
      <c r="AA92" s="23" t="s">
        <v>1344</v>
      </c>
      <c r="AB92" s="44" t="str">
        <f t="shared" si="6"/>
        <v/>
      </c>
      <c r="AC92" s="76" t="s">
        <v>354</v>
      </c>
      <c r="AD92" s="27"/>
      <c r="AE92" s="76" t="s">
        <v>1283</v>
      </c>
    </row>
    <row r="93">
      <c r="A93" s="45" t="s">
        <v>64</v>
      </c>
      <c r="B93" s="45" t="s">
        <v>19</v>
      </c>
      <c r="C93" s="45" t="s">
        <v>1346</v>
      </c>
      <c r="D93" s="45" t="s">
        <v>1347</v>
      </c>
      <c r="E93" s="142" t="s">
        <v>1348</v>
      </c>
      <c r="F93" s="48">
        <v>474.0</v>
      </c>
      <c r="G93" s="48">
        <v>600548.0</v>
      </c>
      <c r="H93" s="45" t="s">
        <v>84</v>
      </c>
      <c r="I93" s="45" t="s">
        <v>84</v>
      </c>
      <c r="J93" s="51"/>
      <c r="K93" s="55">
        <v>45198.0</v>
      </c>
      <c r="L93" s="55" t="str">
        <f t="shared" si="1"/>
        <v>2023</v>
      </c>
      <c r="M93" s="55">
        <v>45818.0</v>
      </c>
      <c r="N93" s="48" t="str">
        <f t="shared" si="2"/>
        <v>2025</v>
      </c>
      <c r="O93" s="58">
        <f t="shared" si="5"/>
        <v>620</v>
      </c>
      <c r="P93" s="58">
        <f t="shared" si="4"/>
        <v>1</v>
      </c>
      <c r="Q93" s="45" t="s">
        <v>150</v>
      </c>
      <c r="R93" s="45" t="s">
        <v>1272</v>
      </c>
      <c r="S93" s="48" t="s">
        <v>113</v>
      </c>
      <c r="T93" s="51"/>
      <c r="U93" s="51"/>
      <c r="V93" s="45" t="s">
        <v>106</v>
      </c>
      <c r="W93" s="45" t="s">
        <v>1351</v>
      </c>
      <c r="X93" s="45" t="s">
        <v>1351</v>
      </c>
      <c r="Y93" s="51"/>
      <c r="Z93" s="51"/>
      <c r="AA93" s="45" t="s">
        <v>1352</v>
      </c>
      <c r="AB93" s="72" t="str">
        <f t="shared" si="6"/>
        <v/>
      </c>
      <c r="AC93" s="64" t="s">
        <v>354</v>
      </c>
      <c r="AD93" s="64" t="s">
        <v>261</v>
      </c>
      <c r="AE93" s="64" t="s">
        <v>679</v>
      </c>
    </row>
    <row r="94">
      <c r="A94" s="23" t="s">
        <v>64</v>
      </c>
      <c r="B94" s="23" t="s">
        <v>67</v>
      </c>
      <c r="C94" s="23" t="s">
        <v>1353</v>
      </c>
      <c r="D94" s="23" t="s">
        <v>1354</v>
      </c>
      <c r="E94" s="144" t="s">
        <v>1355</v>
      </c>
      <c r="F94" s="26">
        <v>485.0</v>
      </c>
      <c r="G94" s="27"/>
      <c r="H94" s="23" t="s">
        <v>187</v>
      </c>
      <c r="I94" s="88"/>
      <c r="J94" s="27"/>
      <c r="K94" s="29">
        <v>45217.0</v>
      </c>
      <c r="L94" s="29" t="str">
        <f t="shared" si="1"/>
        <v>2023</v>
      </c>
      <c r="M94" s="29">
        <v>45245.0</v>
      </c>
      <c r="N94" s="26" t="str">
        <f t="shared" si="2"/>
        <v>2023</v>
      </c>
      <c r="O94" s="36">
        <f t="shared" si="5"/>
        <v>28</v>
      </c>
      <c r="P94" s="36">
        <f t="shared" si="4"/>
        <v>0</v>
      </c>
      <c r="Q94" s="23" t="s">
        <v>106</v>
      </c>
      <c r="R94" s="23" t="s">
        <v>1272</v>
      </c>
      <c r="S94" s="27"/>
      <c r="T94" s="27"/>
      <c r="U94" s="27"/>
      <c r="V94" s="23" t="s">
        <v>106</v>
      </c>
      <c r="W94" s="144" t="s">
        <v>1362</v>
      </c>
      <c r="X94" s="27"/>
      <c r="Y94" s="27"/>
      <c r="Z94" s="27"/>
      <c r="AA94" s="23" t="s">
        <v>790</v>
      </c>
      <c r="AB94" s="44" t="str">
        <f t="shared" si="6"/>
        <v/>
      </c>
      <c r="AC94" s="76" t="s">
        <v>354</v>
      </c>
      <c r="AD94" s="27"/>
      <c r="AE94" s="27"/>
    </row>
    <row r="95">
      <c r="A95" s="45" t="s">
        <v>64</v>
      </c>
      <c r="B95" s="45" t="s">
        <v>19</v>
      </c>
      <c r="C95" s="45" t="s">
        <v>60</v>
      </c>
      <c r="D95" s="45" t="s">
        <v>752</v>
      </c>
      <c r="E95" s="45" t="s">
        <v>753</v>
      </c>
      <c r="F95" s="48">
        <v>331.0</v>
      </c>
      <c r="G95" s="48">
        <v>600155.0</v>
      </c>
      <c r="H95" s="45" t="s">
        <v>139</v>
      </c>
      <c r="I95" s="45" t="s">
        <v>84</v>
      </c>
      <c r="J95" s="51"/>
      <c r="K95" s="55">
        <v>44979.0</v>
      </c>
      <c r="L95" s="55" t="str">
        <f t="shared" si="1"/>
        <v>2023</v>
      </c>
      <c r="M95" s="55">
        <v>46387.0</v>
      </c>
      <c r="N95" s="48" t="str">
        <f t="shared" si="2"/>
        <v>2026</v>
      </c>
      <c r="O95" s="58">
        <f t="shared" si="5"/>
        <v>1408</v>
      </c>
      <c r="P95" s="58">
        <f t="shared" si="4"/>
        <v>3</v>
      </c>
      <c r="Q95" s="45" t="s">
        <v>150</v>
      </c>
      <c r="R95" s="51"/>
      <c r="S95" s="48" t="s">
        <v>269</v>
      </c>
      <c r="T95" s="51"/>
      <c r="U95" s="51"/>
      <c r="V95" s="51"/>
      <c r="W95" s="51"/>
      <c r="X95" s="51"/>
      <c r="Y95" s="51"/>
      <c r="Z95" s="51"/>
      <c r="AA95" s="51"/>
      <c r="AB95" s="72"/>
      <c r="AC95" s="64" t="s">
        <v>354</v>
      </c>
      <c r="AD95" s="64" t="s">
        <v>1365</v>
      </c>
      <c r="AE95" s="64" t="s">
        <v>441</v>
      </c>
    </row>
    <row r="96">
      <c r="A96" s="23" t="s">
        <v>64</v>
      </c>
      <c r="B96" s="23" t="s">
        <v>19</v>
      </c>
      <c r="C96" s="23" t="s">
        <v>267</v>
      </c>
      <c r="D96" s="23" t="s">
        <v>1368</v>
      </c>
      <c r="E96" s="23" t="s">
        <v>1369</v>
      </c>
      <c r="F96" s="26">
        <v>486.0</v>
      </c>
      <c r="G96" s="26">
        <v>600573.0</v>
      </c>
      <c r="H96" s="23" t="s">
        <v>84</v>
      </c>
      <c r="I96" s="23" t="s">
        <v>84</v>
      </c>
      <c r="J96" s="23" t="s">
        <v>1372</v>
      </c>
      <c r="K96" s="29">
        <f>K94</f>
        <v>45217</v>
      </c>
      <c r="L96" s="29" t="str">
        <f t="shared" si="1"/>
        <v>2023</v>
      </c>
      <c r="M96" s="29">
        <v>46022.0</v>
      </c>
      <c r="N96" s="26" t="str">
        <f t="shared" si="2"/>
        <v>2025</v>
      </c>
      <c r="O96" s="36">
        <f t="shared" si="5"/>
        <v>805</v>
      </c>
      <c r="P96" s="36">
        <f t="shared" si="4"/>
        <v>2</v>
      </c>
      <c r="Q96" s="23" t="s">
        <v>150</v>
      </c>
      <c r="R96" s="23" t="s">
        <v>1374</v>
      </c>
      <c r="S96" s="26" t="s">
        <v>269</v>
      </c>
      <c r="T96" s="27"/>
      <c r="U96" s="27"/>
      <c r="V96" s="23" t="s">
        <v>1376</v>
      </c>
      <c r="W96" s="23" t="s">
        <v>1377</v>
      </c>
      <c r="X96" s="27"/>
      <c r="Y96" s="27"/>
      <c r="Z96" s="27"/>
      <c r="AA96" s="27"/>
      <c r="AB96" s="44" t="str">
        <f>AB94</f>
        <v/>
      </c>
      <c r="AC96" s="76" t="s">
        <v>777</v>
      </c>
      <c r="AD96" s="76" t="s">
        <v>261</v>
      </c>
      <c r="AE96" s="76" t="s">
        <v>679</v>
      </c>
    </row>
    <row r="97">
      <c r="A97" s="45" t="s">
        <v>64</v>
      </c>
      <c r="B97" s="45" t="s">
        <v>67</v>
      </c>
      <c r="C97" s="45" t="s">
        <v>1380</v>
      </c>
      <c r="D97" s="45" t="s">
        <v>1381</v>
      </c>
      <c r="E97" s="45" t="s">
        <v>1382</v>
      </c>
      <c r="F97" s="48">
        <v>487.0</v>
      </c>
      <c r="G97" s="48">
        <v>600272.0</v>
      </c>
      <c r="H97" s="45" t="s">
        <v>139</v>
      </c>
      <c r="I97" s="53"/>
      <c r="J97" s="51"/>
      <c r="K97" s="55">
        <v>45218.0</v>
      </c>
      <c r="L97" s="55" t="str">
        <f t="shared" si="1"/>
        <v>2023</v>
      </c>
      <c r="M97" s="55">
        <v>45688.0</v>
      </c>
      <c r="N97" s="48" t="str">
        <f t="shared" si="2"/>
        <v>2025</v>
      </c>
      <c r="O97" s="58">
        <f t="shared" si="5"/>
        <v>470</v>
      </c>
      <c r="P97" s="58">
        <f t="shared" si="4"/>
        <v>1</v>
      </c>
      <c r="Q97" s="45" t="s">
        <v>150</v>
      </c>
      <c r="R97" s="51"/>
      <c r="S97" s="48" t="s">
        <v>269</v>
      </c>
      <c r="T97" s="51"/>
      <c r="U97" s="45" t="s">
        <v>1244</v>
      </c>
      <c r="V97" s="51"/>
      <c r="W97" s="45" t="s">
        <v>1384</v>
      </c>
      <c r="X97" s="51"/>
      <c r="Y97" s="51"/>
      <c r="Z97" s="51"/>
      <c r="AA97" s="51"/>
      <c r="AB97" s="63">
        <v>45314.0</v>
      </c>
      <c r="AC97" s="64" t="s">
        <v>259</v>
      </c>
      <c r="AD97" s="64" t="s">
        <v>261</v>
      </c>
      <c r="AE97" s="64" t="s">
        <v>124</v>
      </c>
    </row>
    <row r="98">
      <c r="A98" s="23" t="s">
        <v>64</v>
      </c>
      <c r="B98" s="23" t="s">
        <v>67</v>
      </c>
      <c r="C98" s="23" t="s">
        <v>1386</v>
      </c>
      <c r="D98" s="23" t="s">
        <v>1387</v>
      </c>
      <c r="E98" s="23" t="s">
        <v>1389</v>
      </c>
      <c r="F98" s="26">
        <v>349.0</v>
      </c>
      <c r="G98" s="26">
        <v>600111.0</v>
      </c>
      <c r="H98" s="23" t="s">
        <v>1392</v>
      </c>
      <c r="I98" s="88"/>
      <c r="J98" s="27"/>
      <c r="K98" s="29">
        <v>45418.0</v>
      </c>
      <c r="L98" s="29" t="str">
        <f t="shared" si="1"/>
        <v>2024</v>
      </c>
      <c r="M98" s="29">
        <v>45808.0</v>
      </c>
      <c r="N98" s="26" t="str">
        <f t="shared" si="2"/>
        <v>2025</v>
      </c>
      <c r="O98" s="36">
        <f t="shared" si="5"/>
        <v>390</v>
      </c>
      <c r="P98" s="36">
        <f t="shared" si="4"/>
        <v>1</v>
      </c>
      <c r="Q98" s="23" t="s">
        <v>348</v>
      </c>
      <c r="R98" s="23" t="s">
        <v>1393</v>
      </c>
      <c r="S98" s="27"/>
      <c r="T98" s="27"/>
      <c r="U98" s="27"/>
      <c r="V98" s="27"/>
      <c r="W98" s="27"/>
      <c r="X98" s="23" t="s">
        <v>1394</v>
      </c>
      <c r="Y98" s="27"/>
      <c r="Z98" s="27"/>
      <c r="AA98" s="27"/>
      <c r="AB98" s="44"/>
      <c r="AC98" s="76" t="s">
        <v>777</v>
      </c>
      <c r="AD98" s="76" t="s">
        <v>261</v>
      </c>
      <c r="AE98" s="76" t="s">
        <v>124</v>
      </c>
    </row>
    <row r="99">
      <c r="A99" s="45" t="s">
        <v>64</v>
      </c>
      <c r="B99" s="45" t="s">
        <v>19</v>
      </c>
      <c r="C99" s="45" t="s">
        <v>678</v>
      </c>
      <c r="D99" s="45" t="s">
        <v>680</v>
      </c>
      <c r="E99" s="45" t="s">
        <v>681</v>
      </c>
      <c r="F99" s="48">
        <v>324.0</v>
      </c>
      <c r="G99" s="48">
        <v>600263.0</v>
      </c>
      <c r="H99" s="45" t="s">
        <v>139</v>
      </c>
      <c r="I99" s="45" t="s">
        <v>84</v>
      </c>
      <c r="J99" s="51"/>
      <c r="K99" s="55">
        <v>44929.0</v>
      </c>
      <c r="L99" s="55" t="str">
        <f t="shared" si="1"/>
        <v>2023</v>
      </c>
      <c r="M99" s="55">
        <v>46022.0</v>
      </c>
      <c r="N99" s="48" t="str">
        <f t="shared" si="2"/>
        <v>2025</v>
      </c>
      <c r="O99" s="58">
        <f t="shared" si="5"/>
        <v>1093</v>
      </c>
      <c r="P99" s="58">
        <f t="shared" si="4"/>
        <v>2</v>
      </c>
      <c r="Q99" s="45" t="s">
        <v>348</v>
      </c>
      <c r="R99" s="45" t="s">
        <v>433</v>
      </c>
      <c r="S99" s="45" t="s">
        <v>269</v>
      </c>
      <c r="T99" s="51"/>
      <c r="U99" s="51"/>
      <c r="V99" s="45" t="s">
        <v>104</v>
      </c>
      <c r="W99" s="45" t="s">
        <v>693</v>
      </c>
      <c r="X99" s="45" t="s">
        <v>1399</v>
      </c>
      <c r="Y99" s="51"/>
      <c r="Z99" s="51"/>
      <c r="AA99" s="45" t="s">
        <v>691</v>
      </c>
      <c r="AB99" s="72"/>
      <c r="AC99" s="64" t="s">
        <v>777</v>
      </c>
      <c r="AD99" s="64" t="s">
        <v>1400</v>
      </c>
      <c r="AE99" s="64" t="s">
        <v>124</v>
      </c>
    </row>
    <row r="100">
      <c r="A100" s="23" t="s">
        <v>64</v>
      </c>
      <c r="B100" s="23" t="s">
        <v>67</v>
      </c>
      <c r="C100" s="23" t="s">
        <v>1401</v>
      </c>
      <c r="D100" s="23" t="s">
        <v>1402</v>
      </c>
      <c r="E100" s="23" t="s">
        <v>1404</v>
      </c>
      <c r="F100" s="26">
        <v>490.0</v>
      </c>
      <c r="G100" s="26">
        <v>600131.0</v>
      </c>
      <c r="H100" s="23" t="s">
        <v>139</v>
      </c>
      <c r="I100" s="23" t="s">
        <v>248</v>
      </c>
      <c r="J100" s="27"/>
      <c r="K100" s="29">
        <v>45223.0</v>
      </c>
      <c r="L100" s="29" t="str">
        <f t="shared" si="1"/>
        <v>2023</v>
      </c>
      <c r="M100" s="29">
        <v>45838.0</v>
      </c>
      <c r="N100" s="26" t="str">
        <f t="shared" si="2"/>
        <v>2025</v>
      </c>
      <c r="O100" s="36">
        <f t="shared" si="5"/>
        <v>615</v>
      </c>
      <c r="P100" s="36">
        <f t="shared" si="4"/>
        <v>1</v>
      </c>
      <c r="Q100" s="23" t="s">
        <v>348</v>
      </c>
      <c r="R100" s="23" t="s">
        <v>1405</v>
      </c>
      <c r="S100" s="27"/>
      <c r="T100" s="27"/>
      <c r="U100" s="27"/>
      <c r="V100" s="23" t="s">
        <v>708</v>
      </c>
      <c r="W100" s="23" t="s">
        <v>1407</v>
      </c>
      <c r="X100" s="27"/>
      <c r="Y100" s="27"/>
      <c r="Z100" s="27"/>
      <c r="AA100" s="23" t="s">
        <v>1408</v>
      </c>
      <c r="AB100" s="44"/>
      <c r="AC100" s="76" t="s">
        <v>777</v>
      </c>
      <c r="AD100" s="76" t="s">
        <v>261</v>
      </c>
      <c r="AE100" s="76" t="s">
        <v>124</v>
      </c>
    </row>
    <row r="101">
      <c r="A101" s="45" t="s">
        <v>64</v>
      </c>
      <c r="B101" s="45" t="s">
        <v>67</v>
      </c>
      <c r="C101" s="45" t="s">
        <v>1409</v>
      </c>
      <c r="D101" s="45" t="s">
        <v>1410</v>
      </c>
      <c r="E101" s="45" t="s">
        <v>1411</v>
      </c>
      <c r="F101" s="48">
        <v>491.0</v>
      </c>
      <c r="G101" s="51"/>
      <c r="H101" s="45" t="s">
        <v>82</v>
      </c>
      <c r="I101" s="45" t="s">
        <v>84</v>
      </c>
      <c r="J101" s="51"/>
      <c r="K101" s="55">
        <v>45224.0</v>
      </c>
      <c r="L101" s="55" t="str">
        <f t="shared" si="1"/>
        <v>2023</v>
      </c>
      <c r="M101" s="55">
        <v>45230.0</v>
      </c>
      <c r="N101" s="48" t="str">
        <f t="shared" si="2"/>
        <v>2023</v>
      </c>
      <c r="O101" s="58">
        <f t="shared" si="5"/>
        <v>6</v>
      </c>
      <c r="P101" s="58">
        <f t="shared" si="4"/>
        <v>0</v>
      </c>
      <c r="Q101" s="45" t="s">
        <v>106</v>
      </c>
      <c r="R101" s="45" t="s">
        <v>1272</v>
      </c>
      <c r="S101" s="51"/>
      <c r="T101" s="51"/>
      <c r="U101" s="51"/>
      <c r="V101" s="45" t="s">
        <v>106</v>
      </c>
      <c r="W101" s="142" t="s">
        <v>1412</v>
      </c>
      <c r="X101" s="51"/>
      <c r="Y101" s="51"/>
      <c r="Z101" s="51"/>
      <c r="AA101" s="45" t="s">
        <v>1415</v>
      </c>
      <c r="AB101" s="72"/>
      <c r="AC101" s="51"/>
      <c r="AD101" s="64" t="s">
        <v>261</v>
      </c>
      <c r="AE101" s="64" t="s">
        <v>124</v>
      </c>
    </row>
    <row r="102">
      <c r="A102" s="23" t="s">
        <v>64</v>
      </c>
      <c r="B102" s="23" t="s">
        <v>19</v>
      </c>
      <c r="C102" s="23" t="s">
        <v>1367</v>
      </c>
      <c r="D102" s="23" t="s">
        <v>1370</v>
      </c>
      <c r="E102" s="23" t="s">
        <v>1371</v>
      </c>
      <c r="F102" s="26">
        <v>420.0</v>
      </c>
      <c r="G102" s="26">
        <v>600029.0</v>
      </c>
      <c r="H102" s="23" t="s">
        <v>139</v>
      </c>
      <c r="I102" s="23" t="s">
        <v>84</v>
      </c>
      <c r="J102" s="27"/>
      <c r="K102" s="29">
        <v>45126.0</v>
      </c>
      <c r="L102" s="29" t="str">
        <f t="shared" si="1"/>
        <v>2023</v>
      </c>
      <c r="M102" s="29">
        <v>46179.0</v>
      </c>
      <c r="N102" s="26" t="str">
        <f t="shared" si="2"/>
        <v>2026</v>
      </c>
      <c r="O102" s="36">
        <f t="shared" si="5"/>
        <v>1053</v>
      </c>
      <c r="P102" s="36">
        <f t="shared" si="4"/>
        <v>2</v>
      </c>
      <c r="Q102" s="23" t="s">
        <v>150</v>
      </c>
      <c r="R102" s="23" t="s">
        <v>353</v>
      </c>
      <c r="S102" s="26" t="s">
        <v>269</v>
      </c>
      <c r="T102" s="23" t="s">
        <v>146</v>
      </c>
      <c r="U102" s="23" t="s">
        <v>1244</v>
      </c>
      <c r="V102" s="23" t="s">
        <v>104</v>
      </c>
      <c r="W102" s="23" t="s">
        <v>1373</v>
      </c>
      <c r="X102" s="23" t="s">
        <v>804</v>
      </c>
      <c r="Y102" s="27"/>
      <c r="Z102" s="27"/>
      <c r="AA102" s="27"/>
      <c r="AB102" s="44"/>
      <c r="AC102" s="76" t="s">
        <v>820</v>
      </c>
      <c r="AD102" s="76" t="s">
        <v>123</v>
      </c>
      <c r="AE102" s="76" t="s">
        <v>124</v>
      </c>
    </row>
    <row r="103">
      <c r="A103" s="45" t="s">
        <v>64</v>
      </c>
      <c r="B103" s="45" t="s">
        <v>67</v>
      </c>
      <c r="C103" s="45" t="s">
        <v>1422</v>
      </c>
      <c r="D103" s="45" t="s">
        <v>1423</v>
      </c>
      <c r="E103" s="45" t="s">
        <v>1424</v>
      </c>
      <c r="F103" s="48">
        <v>499.0</v>
      </c>
      <c r="G103" s="51"/>
      <c r="H103" s="45" t="s">
        <v>82</v>
      </c>
      <c r="I103" s="53"/>
      <c r="J103" s="51"/>
      <c r="K103" s="55">
        <v>45232.0</v>
      </c>
      <c r="L103" s="55" t="str">
        <f t="shared" si="1"/>
        <v>2023</v>
      </c>
      <c r="M103" s="55">
        <v>45239.0</v>
      </c>
      <c r="N103" s="48" t="str">
        <f t="shared" si="2"/>
        <v>2023</v>
      </c>
      <c r="O103" s="58">
        <f t="shared" si="5"/>
        <v>7</v>
      </c>
      <c r="P103" s="58">
        <f t="shared" si="4"/>
        <v>0</v>
      </c>
      <c r="Q103" s="45" t="s">
        <v>106</v>
      </c>
      <c r="R103" s="45" t="s">
        <v>1272</v>
      </c>
      <c r="S103" s="51"/>
      <c r="T103" s="51"/>
      <c r="U103" s="51"/>
      <c r="V103" s="45" t="s">
        <v>106</v>
      </c>
      <c r="W103" s="142" t="s">
        <v>1426</v>
      </c>
      <c r="X103" s="51"/>
      <c r="Y103" s="51"/>
      <c r="Z103" s="51"/>
      <c r="AA103" s="45" t="s">
        <v>1428</v>
      </c>
      <c r="AB103" s="72"/>
      <c r="AC103" s="51"/>
      <c r="AD103" s="64" t="s">
        <v>261</v>
      </c>
      <c r="AE103" s="64" t="s">
        <v>124</v>
      </c>
    </row>
    <row r="104">
      <c r="A104" s="23" t="s">
        <v>64</v>
      </c>
      <c r="B104" s="23" t="s">
        <v>67</v>
      </c>
      <c r="C104" s="23" t="s">
        <v>1432</v>
      </c>
      <c r="D104" s="23" t="s">
        <v>1433</v>
      </c>
      <c r="E104" s="23" t="s">
        <v>1435</v>
      </c>
      <c r="F104" s="26">
        <v>503.0</v>
      </c>
      <c r="G104" s="26">
        <v>600132.0</v>
      </c>
      <c r="H104" s="23" t="s">
        <v>266</v>
      </c>
      <c r="I104" s="23" t="s">
        <v>226</v>
      </c>
      <c r="J104" s="27"/>
      <c r="K104" s="29">
        <v>45349.0</v>
      </c>
      <c r="L104" s="29" t="str">
        <f t="shared" si="1"/>
        <v>2024</v>
      </c>
      <c r="M104" s="29">
        <v>45504.0</v>
      </c>
      <c r="N104" s="26" t="str">
        <f t="shared" si="2"/>
        <v>2024</v>
      </c>
      <c r="O104" s="36">
        <f t="shared" si="5"/>
        <v>155</v>
      </c>
      <c r="P104" s="36">
        <f t="shared" si="4"/>
        <v>0</v>
      </c>
      <c r="Q104" s="23" t="s">
        <v>253</v>
      </c>
      <c r="R104" s="27"/>
      <c r="S104" s="27"/>
      <c r="T104" s="27"/>
      <c r="U104" s="23" t="s">
        <v>48</v>
      </c>
      <c r="V104" s="23" t="s">
        <v>708</v>
      </c>
      <c r="W104" s="23" t="s">
        <v>1436</v>
      </c>
      <c r="X104" s="27"/>
      <c r="Y104" s="27"/>
      <c r="Z104" s="27"/>
      <c r="AA104" s="23" t="s">
        <v>1437</v>
      </c>
      <c r="AB104" s="107">
        <v>45238.0</v>
      </c>
      <c r="AC104" s="76" t="s">
        <v>259</v>
      </c>
      <c r="AD104" s="27"/>
      <c r="AE104" s="76" t="s">
        <v>124</v>
      </c>
    </row>
    <row r="105">
      <c r="A105" s="45" t="s">
        <v>64</v>
      </c>
      <c r="B105" s="45" t="s">
        <v>67</v>
      </c>
      <c r="C105" s="45" t="s">
        <v>1438</v>
      </c>
      <c r="D105" s="45" t="s">
        <v>1439</v>
      </c>
      <c r="E105" s="45" t="s">
        <v>1441</v>
      </c>
      <c r="F105" s="48">
        <v>504.0</v>
      </c>
      <c r="G105" s="51"/>
      <c r="H105" s="45" t="s">
        <v>266</v>
      </c>
      <c r="I105" s="45" t="s">
        <v>226</v>
      </c>
      <c r="J105" s="51"/>
      <c r="K105" s="55">
        <v>45238.0</v>
      </c>
      <c r="L105" s="55" t="str">
        <f t="shared" si="1"/>
        <v>2023</v>
      </c>
      <c r="M105" s="55">
        <v>45337.0</v>
      </c>
      <c r="N105" s="48" t="str">
        <f t="shared" si="2"/>
        <v>2024</v>
      </c>
      <c r="O105" s="58">
        <f t="shared" si="5"/>
        <v>99</v>
      </c>
      <c r="P105" s="58">
        <f t="shared" si="4"/>
        <v>0</v>
      </c>
      <c r="Q105" s="45" t="s">
        <v>150</v>
      </c>
      <c r="R105" s="51"/>
      <c r="S105" s="51"/>
      <c r="T105" s="51"/>
      <c r="U105" s="45" t="s">
        <v>48</v>
      </c>
      <c r="V105" s="45" t="s">
        <v>708</v>
      </c>
      <c r="W105" s="45" t="s">
        <v>1443</v>
      </c>
      <c r="X105" s="51"/>
      <c r="Y105" s="51"/>
      <c r="Z105" s="51"/>
      <c r="AA105" s="45" t="s">
        <v>1437</v>
      </c>
      <c r="AB105" s="63">
        <v>45238.0</v>
      </c>
      <c r="AC105" s="64" t="s">
        <v>259</v>
      </c>
      <c r="AD105" s="51"/>
      <c r="AE105" s="64" t="s">
        <v>124</v>
      </c>
    </row>
    <row r="106">
      <c r="A106" s="23" t="s">
        <v>64</v>
      </c>
      <c r="B106" s="23" t="s">
        <v>67</v>
      </c>
      <c r="C106" s="23" t="s">
        <v>1444</v>
      </c>
      <c r="D106" s="23" t="s">
        <v>1445</v>
      </c>
      <c r="E106" s="144" t="s">
        <v>1446</v>
      </c>
      <c r="F106" s="26">
        <v>511.0</v>
      </c>
      <c r="G106" s="26">
        <v>600147.0</v>
      </c>
      <c r="H106" s="23" t="s">
        <v>266</v>
      </c>
      <c r="I106" s="23" t="s">
        <v>226</v>
      </c>
      <c r="J106" s="27"/>
      <c r="K106" s="29">
        <v>45251.0</v>
      </c>
      <c r="L106" s="29" t="str">
        <f t="shared" si="1"/>
        <v>2023</v>
      </c>
      <c r="M106" s="29">
        <v>45657.0</v>
      </c>
      <c r="N106" s="26" t="str">
        <f t="shared" si="2"/>
        <v>2024</v>
      </c>
      <c r="O106" s="36">
        <f t="shared" si="5"/>
        <v>406</v>
      </c>
      <c r="P106" s="36">
        <f t="shared" si="4"/>
        <v>1</v>
      </c>
      <c r="Q106" s="23" t="s">
        <v>150</v>
      </c>
      <c r="R106" s="27"/>
      <c r="S106" s="27"/>
      <c r="T106" s="27"/>
      <c r="U106" s="23" t="s">
        <v>790</v>
      </c>
      <c r="V106" s="23" t="s">
        <v>104</v>
      </c>
      <c r="W106" s="144" t="s">
        <v>1452</v>
      </c>
      <c r="X106" s="144" t="s">
        <v>1452</v>
      </c>
      <c r="Y106" s="27"/>
      <c r="Z106" s="27"/>
      <c r="AA106" s="27"/>
      <c r="AB106" s="107">
        <v>45251.0</v>
      </c>
      <c r="AC106" s="76" t="s">
        <v>354</v>
      </c>
      <c r="AD106" s="76" t="s">
        <v>261</v>
      </c>
      <c r="AE106" s="76" t="s">
        <v>124</v>
      </c>
    </row>
    <row r="107">
      <c r="A107" s="45" t="s">
        <v>64</v>
      </c>
      <c r="B107" s="45" t="s">
        <v>67</v>
      </c>
      <c r="C107" s="45" t="s">
        <v>883</v>
      </c>
      <c r="D107" s="45" t="s">
        <v>1458</v>
      </c>
      <c r="E107" s="45" t="s">
        <v>1459</v>
      </c>
      <c r="F107" s="48">
        <v>514.0</v>
      </c>
      <c r="G107" s="51"/>
      <c r="H107" s="45" t="s">
        <v>139</v>
      </c>
      <c r="I107" s="45" t="s">
        <v>226</v>
      </c>
      <c r="J107" s="51"/>
      <c r="K107" s="55">
        <v>45261.0</v>
      </c>
      <c r="L107" s="55" t="str">
        <f t="shared" si="1"/>
        <v>2023</v>
      </c>
      <c r="M107" s="55">
        <v>45382.0</v>
      </c>
      <c r="N107" s="48" t="str">
        <f t="shared" si="2"/>
        <v>2024</v>
      </c>
      <c r="O107" s="58">
        <f t="shared" si="5"/>
        <v>121</v>
      </c>
      <c r="P107" s="58">
        <f t="shared" si="4"/>
        <v>0</v>
      </c>
      <c r="Q107" s="45" t="s">
        <v>150</v>
      </c>
      <c r="R107" s="51"/>
      <c r="S107" s="51"/>
      <c r="T107" s="51"/>
      <c r="U107" s="51"/>
      <c r="V107" s="45" t="s">
        <v>104</v>
      </c>
      <c r="W107" s="45" t="s">
        <v>1462</v>
      </c>
      <c r="X107" s="51"/>
      <c r="Y107" s="51"/>
      <c r="Z107" s="51"/>
      <c r="AA107" s="51"/>
      <c r="AB107" s="72"/>
      <c r="AC107" s="64" t="s">
        <v>162</v>
      </c>
      <c r="AD107" s="64" t="s">
        <v>261</v>
      </c>
      <c r="AE107" s="64" t="s">
        <v>124</v>
      </c>
    </row>
    <row r="108">
      <c r="A108" s="23" t="s">
        <v>64</v>
      </c>
      <c r="B108" s="23" t="s">
        <v>19</v>
      </c>
      <c r="C108" s="23" t="s">
        <v>483</v>
      </c>
      <c r="D108" s="23" t="s">
        <v>1378</v>
      </c>
      <c r="E108" s="23" t="s">
        <v>1379</v>
      </c>
      <c r="F108" s="26">
        <v>421.0</v>
      </c>
      <c r="G108" s="26">
        <v>600226.0</v>
      </c>
      <c r="H108" s="23" t="s">
        <v>139</v>
      </c>
      <c r="I108" s="23" t="s">
        <v>84</v>
      </c>
      <c r="J108" s="27"/>
      <c r="K108" s="29">
        <v>45126.0</v>
      </c>
      <c r="L108" s="29" t="str">
        <f t="shared" si="1"/>
        <v>2023</v>
      </c>
      <c r="M108" s="29">
        <v>46179.0</v>
      </c>
      <c r="N108" s="26" t="str">
        <f t="shared" si="2"/>
        <v>2026</v>
      </c>
      <c r="O108" s="36">
        <f t="shared" si="5"/>
        <v>1053</v>
      </c>
      <c r="P108" s="36">
        <f t="shared" si="4"/>
        <v>2</v>
      </c>
      <c r="Q108" s="23" t="s">
        <v>150</v>
      </c>
      <c r="R108" s="23" t="s">
        <v>353</v>
      </c>
      <c r="S108" s="26" t="s">
        <v>269</v>
      </c>
      <c r="T108" s="23" t="s">
        <v>146</v>
      </c>
      <c r="U108" s="23" t="s">
        <v>1244</v>
      </c>
      <c r="V108" s="23" t="s">
        <v>104</v>
      </c>
      <c r="W108" s="23" t="s">
        <v>1383</v>
      </c>
      <c r="X108" s="23" t="s">
        <v>804</v>
      </c>
      <c r="Y108" s="27"/>
      <c r="Z108" s="27"/>
      <c r="AA108" s="27"/>
      <c r="AB108" s="44"/>
      <c r="AC108" s="76" t="s">
        <v>820</v>
      </c>
      <c r="AD108" s="76" t="s">
        <v>261</v>
      </c>
      <c r="AE108" s="76" t="s">
        <v>124</v>
      </c>
    </row>
    <row r="109">
      <c r="A109" s="45" t="s">
        <v>64</v>
      </c>
      <c r="B109" s="45" t="s">
        <v>19</v>
      </c>
      <c r="C109" s="45" t="s">
        <v>1473</v>
      </c>
      <c r="D109" s="45" t="s">
        <v>1474</v>
      </c>
      <c r="E109" s="45" t="s">
        <v>1475</v>
      </c>
      <c r="F109" s="48">
        <v>518.0</v>
      </c>
      <c r="G109" s="48">
        <v>600177.0</v>
      </c>
      <c r="H109" s="45" t="s">
        <v>139</v>
      </c>
      <c r="I109" s="45" t="s">
        <v>84</v>
      </c>
      <c r="J109" s="45" t="s">
        <v>1478</v>
      </c>
      <c r="K109" s="55">
        <v>45264.0</v>
      </c>
      <c r="L109" s="55" t="str">
        <f t="shared" si="1"/>
        <v>2023</v>
      </c>
      <c r="M109" s="55">
        <v>45991.0</v>
      </c>
      <c r="N109" s="48" t="str">
        <f t="shared" si="2"/>
        <v>2025</v>
      </c>
      <c r="O109" s="58">
        <f t="shared" si="5"/>
        <v>727</v>
      </c>
      <c r="P109" s="58">
        <f t="shared" si="4"/>
        <v>1</v>
      </c>
      <c r="Q109" s="45" t="s">
        <v>253</v>
      </c>
      <c r="R109" s="51"/>
      <c r="S109" s="51"/>
      <c r="T109" s="51"/>
      <c r="U109" s="51"/>
      <c r="V109" s="45" t="s">
        <v>104</v>
      </c>
      <c r="W109" s="45" t="s">
        <v>1480</v>
      </c>
      <c r="X109" s="45" t="s">
        <v>1481</v>
      </c>
      <c r="Y109" s="51"/>
      <c r="Z109" s="51"/>
      <c r="AA109" s="51"/>
      <c r="AB109" s="72"/>
      <c r="AC109" s="64" t="s">
        <v>777</v>
      </c>
      <c r="AD109" s="64" t="s">
        <v>261</v>
      </c>
      <c r="AE109" s="64" t="s">
        <v>162</v>
      </c>
    </row>
    <row r="110">
      <c r="A110" s="23" t="s">
        <v>64</v>
      </c>
      <c r="B110" s="23" t="s">
        <v>19</v>
      </c>
      <c r="C110" s="23" t="s">
        <v>303</v>
      </c>
      <c r="D110" s="23" t="s">
        <v>1486</v>
      </c>
      <c r="E110" s="23" t="s">
        <v>1487</v>
      </c>
      <c r="F110" s="26">
        <v>519.0</v>
      </c>
      <c r="G110" s="26">
        <v>600194.0</v>
      </c>
      <c r="H110" s="23" t="s">
        <v>1488</v>
      </c>
      <c r="I110" s="23" t="s">
        <v>84</v>
      </c>
      <c r="J110" s="27"/>
      <c r="K110" s="29">
        <v>45265.0</v>
      </c>
      <c r="L110" s="29" t="str">
        <f t="shared" si="1"/>
        <v>2023</v>
      </c>
      <c r="M110" s="29">
        <v>46154.0</v>
      </c>
      <c r="N110" s="26" t="str">
        <f t="shared" si="2"/>
        <v>2026</v>
      </c>
      <c r="O110" s="36">
        <f t="shared" si="5"/>
        <v>889</v>
      </c>
      <c r="P110" s="36">
        <f t="shared" si="4"/>
        <v>2</v>
      </c>
      <c r="Q110" s="23" t="s">
        <v>348</v>
      </c>
      <c r="R110" s="23" t="s">
        <v>1489</v>
      </c>
      <c r="S110" s="27"/>
      <c r="T110" s="27"/>
      <c r="U110" s="27"/>
      <c r="V110" s="23" t="s">
        <v>104</v>
      </c>
      <c r="W110" s="23" t="s">
        <v>1490</v>
      </c>
      <c r="X110" s="23" t="s">
        <v>1490</v>
      </c>
      <c r="Y110" s="27"/>
      <c r="Z110" s="27"/>
      <c r="AA110" s="27"/>
      <c r="AB110" s="44"/>
      <c r="AC110" s="76" t="s">
        <v>777</v>
      </c>
      <c r="AD110" s="76" t="s">
        <v>261</v>
      </c>
      <c r="AE110" s="76" t="s">
        <v>476</v>
      </c>
    </row>
    <row r="111">
      <c r="A111" s="45" t="s">
        <v>64</v>
      </c>
      <c r="B111" s="45" t="s">
        <v>19</v>
      </c>
      <c r="C111" s="45" t="s">
        <v>1388</v>
      </c>
      <c r="D111" s="45" t="s">
        <v>1390</v>
      </c>
      <c r="E111" s="45" t="s">
        <v>1391</v>
      </c>
      <c r="F111" s="48">
        <v>422.0</v>
      </c>
      <c r="G111" s="48">
        <v>600227.0</v>
      </c>
      <c r="H111" s="45" t="s">
        <v>139</v>
      </c>
      <c r="I111" s="45" t="s">
        <v>84</v>
      </c>
      <c r="J111" s="51"/>
      <c r="K111" s="55">
        <v>45126.0</v>
      </c>
      <c r="L111" s="55" t="str">
        <f t="shared" si="1"/>
        <v>2023</v>
      </c>
      <c r="M111" s="55">
        <v>46179.0</v>
      </c>
      <c r="N111" s="48" t="str">
        <f t="shared" si="2"/>
        <v>2026</v>
      </c>
      <c r="O111" s="58">
        <f t="shared" si="5"/>
        <v>1053</v>
      </c>
      <c r="P111" s="58">
        <f t="shared" si="4"/>
        <v>2</v>
      </c>
      <c r="Q111" s="45" t="s">
        <v>150</v>
      </c>
      <c r="R111" s="45" t="s">
        <v>353</v>
      </c>
      <c r="S111" s="48" t="s">
        <v>269</v>
      </c>
      <c r="T111" s="45" t="s">
        <v>146</v>
      </c>
      <c r="U111" s="45" t="s">
        <v>1244</v>
      </c>
      <c r="V111" s="45" t="s">
        <v>104</v>
      </c>
      <c r="W111" s="45" t="s">
        <v>1395</v>
      </c>
      <c r="X111" s="45" t="s">
        <v>804</v>
      </c>
      <c r="Y111" s="51"/>
      <c r="Z111" s="51"/>
      <c r="AA111" s="51"/>
      <c r="AB111" s="72"/>
      <c r="AC111" s="64" t="s">
        <v>820</v>
      </c>
      <c r="AD111" s="64" t="s">
        <v>261</v>
      </c>
      <c r="AE111" s="64" t="s">
        <v>124</v>
      </c>
    </row>
    <row r="112">
      <c r="A112" s="23" t="s">
        <v>64</v>
      </c>
      <c r="B112" s="23" t="s">
        <v>67</v>
      </c>
      <c r="C112" s="23" t="s">
        <v>390</v>
      </c>
      <c r="D112" s="23" t="s">
        <v>391</v>
      </c>
      <c r="E112" s="23" t="s">
        <v>394</v>
      </c>
      <c r="F112" s="26">
        <v>239.0</v>
      </c>
      <c r="G112" s="26">
        <v>600138.0</v>
      </c>
      <c r="H112" s="23" t="s">
        <v>139</v>
      </c>
      <c r="I112" s="23" t="s">
        <v>84</v>
      </c>
      <c r="J112" s="27"/>
      <c r="K112" s="29">
        <v>44643.0</v>
      </c>
      <c r="L112" s="29" t="str">
        <f t="shared" si="1"/>
        <v>2022</v>
      </c>
      <c r="M112" s="29">
        <v>45657.0</v>
      </c>
      <c r="N112" s="26" t="str">
        <f t="shared" si="2"/>
        <v>2024</v>
      </c>
      <c r="O112" s="36">
        <f t="shared" si="5"/>
        <v>1014</v>
      </c>
      <c r="P112" s="36">
        <f t="shared" si="4"/>
        <v>2</v>
      </c>
      <c r="Q112" s="23" t="s">
        <v>253</v>
      </c>
      <c r="R112" s="23" t="s">
        <v>401</v>
      </c>
      <c r="S112" s="26" t="s">
        <v>269</v>
      </c>
      <c r="T112" s="27"/>
      <c r="U112" s="27"/>
      <c r="V112" s="23" t="s">
        <v>104</v>
      </c>
      <c r="W112" s="23" t="s">
        <v>403</v>
      </c>
      <c r="X112" s="27"/>
      <c r="Y112" s="27"/>
      <c r="Z112" s="27"/>
      <c r="AA112" s="27"/>
      <c r="AB112" s="44"/>
      <c r="AC112" s="76" t="s">
        <v>162</v>
      </c>
      <c r="AD112" s="76" t="s">
        <v>261</v>
      </c>
      <c r="AE112" s="76" t="s">
        <v>124</v>
      </c>
    </row>
    <row r="113">
      <c r="A113" s="45" t="s">
        <v>64</v>
      </c>
      <c r="B113" s="45" t="s">
        <v>19</v>
      </c>
      <c r="C113" s="45" t="s">
        <v>469</v>
      </c>
      <c r="D113" s="45" t="s">
        <v>470</v>
      </c>
      <c r="E113" s="45" t="s">
        <v>472</v>
      </c>
      <c r="F113" s="48">
        <v>248.0</v>
      </c>
      <c r="G113" s="48">
        <v>600173.0</v>
      </c>
      <c r="H113" s="45" t="s">
        <v>139</v>
      </c>
      <c r="I113" s="45" t="s">
        <v>226</v>
      </c>
      <c r="J113" s="51"/>
      <c r="K113" s="55">
        <v>44736.0</v>
      </c>
      <c r="L113" s="55" t="str">
        <f t="shared" si="1"/>
        <v>2022</v>
      </c>
      <c r="M113" s="55">
        <v>46022.0</v>
      </c>
      <c r="N113" s="48" t="str">
        <f t="shared" si="2"/>
        <v>2025</v>
      </c>
      <c r="O113" s="58">
        <f t="shared" si="5"/>
        <v>1286</v>
      </c>
      <c r="P113" s="58">
        <f t="shared" si="4"/>
        <v>3</v>
      </c>
      <c r="Q113" s="45" t="s">
        <v>348</v>
      </c>
      <c r="R113" s="45" t="s">
        <v>486</v>
      </c>
      <c r="S113" s="51"/>
      <c r="T113" s="51"/>
      <c r="U113" s="51"/>
      <c r="V113" s="45" t="s">
        <v>104</v>
      </c>
      <c r="W113" s="45" t="s">
        <v>487</v>
      </c>
      <c r="X113" s="45" t="s">
        <v>487</v>
      </c>
      <c r="Y113" s="51"/>
      <c r="Z113" s="51"/>
      <c r="AA113" s="51"/>
      <c r="AB113" s="72"/>
      <c r="AC113" s="64" t="s">
        <v>777</v>
      </c>
      <c r="AD113" s="64" t="s">
        <v>261</v>
      </c>
      <c r="AE113" s="64" t="s">
        <v>1501</v>
      </c>
    </row>
    <row r="114">
      <c r="A114" s="23" t="s">
        <v>64</v>
      </c>
      <c r="B114" s="23" t="s">
        <v>67</v>
      </c>
      <c r="C114" s="23" t="s">
        <v>658</v>
      </c>
      <c r="D114" s="23" t="s">
        <v>20</v>
      </c>
      <c r="E114" s="23" t="s">
        <v>20</v>
      </c>
      <c r="F114" s="27"/>
      <c r="G114" s="27"/>
      <c r="H114" s="23" t="s">
        <v>662</v>
      </c>
      <c r="I114" s="23" t="s">
        <v>84</v>
      </c>
      <c r="J114" s="27"/>
      <c r="K114" s="29">
        <v>44927.0</v>
      </c>
      <c r="L114" s="29" t="str">
        <f t="shared" si="1"/>
        <v>2023</v>
      </c>
      <c r="M114" s="29">
        <v>45291.0</v>
      </c>
      <c r="N114" s="26" t="str">
        <f t="shared" si="2"/>
        <v>2023</v>
      </c>
      <c r="O114" s="36">
        <f t="shared" si="5"/>
        <v>364</v>
      </c>
      <c r="P114" s="36">
        <f t="shared" si="4"/>
        <v>0</v>
      </c>
      <c r="Q114" s="23" t="s">
        <v>150</v>
      </c>
      <c r="R114" s="27"/>
      <c r="S114" s="26" t="s">
        <v>269</v>
      </c>
      <c r="T114" s="27"/>
      <c r="U114" s="27"/>
      <c r="V114" s="27"/>
      <c r="W114" s="23" t="s">
        <v>671</v>
      </c>
      <c r="X114" s="27"/>
      <c r="Y114" s="27"/>
      <c r="Z114" s="27"/>
      <c r="AA114" s="27"/>
      <c r="AB114" s="44"/>
      <c r="AC114" s="76" t="s">
        <v>162</v>
      </c>
      <c r="AD114" s="27"/>
      <c r="AE114" s="76" t="s">
        <v>124</v>
      </c>
    </row>
    <row r="115">
      <c r="A115" s="45" t="s">
        <v>64</v>
      </c>
      <c r="B115" s="45" t="s">
        <v>19</v>
      </c>
      <c r="C115" s="45" t="s">
        <v>1508</v>
      </c>
      <c r="D115" s="45" t="s">
        <v>1509</v>
      </c>
      <c r="E115" s="45" t="s">
        <v>1510</v>
      </c>
      <c r="F115" s="48">
        <v>245.0</v>
      </c>
      <c r="G115" s="48">
        <v>600134.0</v>
      </c>
      <c r="H115" s="45" t="s">
        <v>84</v>
      </c>
      <c r="I115" s="45" t="s">
        <v>1148</v>
      </c>
      <c r="J115" s="51"/>
      <c r="K115" s="55">
        <v>45259.0</v>
      </c>
      <c r="L115" s="55" t="str">
        <f t="shared" si="1"/>
        <v>2023</v>
      </c>
      <c r="M115" s="55">
        <v>45995.0</v>
      </c>
      <c r="N115" s="48" t="str">
        <f t="shared" si="2"/>
        <v>2025</v>
      </c>
      <c r="O115" s="58">
        <f t="shared" si="5"/>
        <v>736</v>
      </c>
      <c r="P115" s="58">
        <f t="shared" si="4"/>
        <v>2</v>
      </c>
      <c r="Q115" s="45" t="s">
        <v>348</v>
      </c>
      <c r="R115" s="45" t="s">
        <v>1511</v>
      </c>
      <c r="S115" s="51"/>
      <c r="T115" s="51"/>
      <c r="U115" s="51"/>
      <c r="V115" s="45" t="s">
        <v>104</v>
      </c>
      <c r="W115" s="45" t="s">
        <v>1512</v>
      </c>
      <c r="X115" s="45" t="s">
        <v>1512</v>
      </c>
      <c r="Y115" s="51"/>
      <c r="Z115" s="51"/>
      <c r="AA115" s="51"/>
      <c r="AB115" s="72"/>
      <c r="AC115" s="64" t="s">
        <v>354</v>
      </c>
      <c r="AD115" s="64" t="s">
        <v>261</v>
      </c>
      <c r="AE115" s="64" t="s">
        <v>124</v>
      </c>
    </row>
    <row r="116">
      <c r="A116" s="23" t="s">
        <v>64</v>
      </c>
      <c r="B116" s="23" t="s">
        <v>67</v>
      </c>
      <c r="C116" s="23" t="s">
        <v>1514</v>
      </c>
      <c r="D116" s="23" t="s">
        <v>1515</v>
      </c>
      <c r="E116" s="144" t="s">
        <v>1516</v>
      </c>
      <c r="F116" s="26">
        <v>501.0</v>
      </c>
      <c r="G116" s="26">
        <v>600149.0</v>
      </c>
      <c r="H116" s="23" t="s">
        <v>139</v>
      </c>
      <c r="I116" s="23" t="s">
        <v>248</v>
      </c>
      <c r="J116" s="27"/>
      <c r="K116" s="29">
        <v>45236.0</v>
      </c>
      <c r="L116" s="29" t="str">
        <f t="shared" si="1"/>
        <v>2023</v>
      </c>
      <c r="M116" s="29">
        <v>45603.0</v>
      </c>
      <c r="N116" s="26" t="str">
        <f t="shared" si="2"/>
        <v>2024</v>
      </c>
      <c r="O116" s="36">
        <f t="shared" si="5"/>
        <v>367</v>
      </c>
      <c r="P116" s="36">
        <f t="shared" si="4"/>
        <v>1</v>
      </c>
      <c r="Q116" s="23" t="s">
        <v>150</v>
      </c>
      <c r="R116" s="23" t="s">
        <v>1521</v>
      </c>
      <c r="S116" s="27"/>
      <c r="T116" s="27"/>
      <c r="U116" s="27"/>
      <c r="V116" s="27"/>
      <c r="W116" s="27"/>
      <c r="X116" s="27"/>
      <c r="Y116" s="27"/>
      <c r="Z116" s="27"/>
      <c r="AA116" s="23" t="s">
        <v>1523</v>
      </c>
      <c r="AB116" s="44"/>
      <c r="AC116" s="76" t="s">
        <v>354</v>
      </c>
      <c r="AD116" s="27"/>
      <c r="AE116" s="76" t="s">
        <v>124</v>
      </c>
    </row>
    <row r="117">
      <c r="A117" s="45" t="s">
        <v>64</v>
      </c>
      <c r="B117" s="45" t="s">
        <v>19</v>
      </c>
      <c r="C117" s="45" t="s">
        <v>1041</v>
      </c>
      <c r="D117" s="45" t="s">
        <v>1526</v>
      </c>
      <c r="E117" s="142" t="s">
        <v>1527</v>
      </c>
      <c r="F117" s="48">
        <v>500.0</v>
      </c>
      <c r="G117" s="48">
        <v>600186.0</v>
      </c>
      <c r="H117" s="45" t="s">
        <v>84</v>
      </c>
      <c r="I117" s="45" t="s">
        <v>84</v>
      </c>
      <c r="J117" s="51"/>
      <c r="K117" s="55">
        <v>45233.0</v>
      </c>
      <c r="L117" s="55" t="str">
        <f t="shared" si="1"/>
        <v>2023</v>
      </c>
      <c r="M117" s="55">
        <v>45657.0</v>
      </c>
      <c r="N117" s="48" t="str">
        <f t="shared" si="2"/>
        <v>2024</v>
      </c>
      <c r="O117" s="58">
        <f t="shared" si="5"/>
        <v>424</v>
      </c>
      <c r="P117" s="58">
        <f t="shared" si="4"/>
        <v>1</v>
      </c>
      <c r="Q117" s="45" t="s">
        <v>150</v>
      </c>
      <c r="R117" s="45" t="s">
        <v>1521</v>
      </c>
      <c r="S117" s="51"/>
      <c r="T117" s="51"/>
      <c r="U117" s="51"/>
      <c r="V117" s="45" t="s">
        <v>104</v>
      </c>
      <c r="W117" s="142" t="s">
        <v>1529</v>
      </c>
      <c r="X117" s="142" t="s">
        <v>1529</v>
      </c>
      <c r="Y117" s="51"/>
      <c r="Z117" s="51"/>
      <c r="AA117" s="45" t="s">
        <v>84</v>
      </c>
      <c r="AB117" s="72"/>
      <c r="AC117" s="64" t="s">
        <v>354</v>
      </c>
      <c r="AD117" s="64" t="s">
        <v>123</v>
      </c>
      <c r="AE117" s="64" t="s">
        <v>124</v>
      </c>
    </row>
    <row r="118">
      <c r="A118" s="23" t="s">
        <v>64</v>
      </c>
      <c r="B118" s="23" t="s">
        <v>67</v>
      </c>
      <c r="C118" s="23" t="s">
        <v>1531</v>
      </c>
      <c r="D118" s="23" t="s">
        <v>1532</v>
      </c>
      <c r="E118" s="144" t="s">
        <v>1533</v>
      </c>
      <c r="F118" s="26">
        <v>496.0</v>
      </c>
      <c r="G118" s="27"/>
      <c r="H118" s="23" t="s">
        <v>187</v>
      </c>
      <c r="I118" s="88"/>
      <c r="J118" s="27"/>
      <c r="K118" s="29">
        <v>45230.0</v>
      </c>
      <c r="L118" s="29" t="str">
        <f t="shared" si="1"/>
        <v>2023</v>
      </c>
      <c r="M118" s="29">
        <v>45238.0</v>
      </c>
      <c r="N118" s="26" t="str">
        <f t="shared" si="2"/>
        <v>2023</v>
      </c>
      <c r="O118" s="36">
        <f t="shared" si="5"/>
        <v>8</v>
      </c>
      <c r="P118" s="36">
        <f t="shared" si="4"/>
        <v>0</v>
      </c>
      <c r="Q118" s="23" t="s">
        <v>106</v>
      </c>
      <c r="R118" s="23" t="s">
        <v>1521</v>
      </c>
      <c r="S118" s="27"/>
      <c r="T118" s="27"/>
      <c r="U118" s="27"/>
      <c r="V118" s="27"/>
      <c r="W118" s="23" t="s">
        <v>1535</v>
      </c>
      <c r="X118" s="27"/>
      <c r="Y118" s="27"/>
      <c r="Z118" s="27"/>
      <c r="AA118" s="27"/>
      <c r="AB118" s="44"/>
      <c r="AC118" s="76" t="s">
        <v>354</v>
      </c>
      <c r="AD118" s="27"/>
      <c r="AE118" s="27"/>
    </row>
    <row r="119">
      <c r="A119" s="45" t="s">
        <v>64</v>
      </c>
      <c r="B119" s="45" t="s">
        <v>67</v>
      </c>
      <c r="C119" s="45" t="s">
        <v>450</v>
      </c>
      <c r="D119" s="45" t="s">
        <v>451</v>
      </c>
      <c r="E119" s="45" t="s">
        <v>453</v>
      </c>
      <c r="F119" s="48">
        <v>264.0</v>
      </c>
      <c r="G119" s="51"/>
      <c r="H119" s="45" t="s">
        <v>187</v>
      </c>
      <c r="I119" s="53"/>
      <c r="J119" s="51"/>
      <c r="K119" s="55">
        <v>44708.0</v>
      </c>
      <c r="L119" s="55" t="str">
        <f t="shared" si="1"/>
        <v>2022</v>
      </c>
      <c r="M119" s="55">
        <v>44743.0</v>
      </c>
      <c r="N119" s="48" t="str">
        <f t="shared" si="2"/>
        <v>2022</v>
      </c>
      <c r="O119" s="58">
        <f t="shared" si="5"/>
        <v>35</v>
      </c>
      <c r="P119" s="58">
        <f t="shared" si="4"/>
        <v>0</v>
      </c>
      <c r="Q119" s="45" t="s">
        <v>150</v>
      </c>
      <c r="R119" s="45" t="s">
        <v>1544</v>
      </c>
      <c r="S119" s="51"/>
      <c r="T119" s="51"/>
      <c r="U119" s="51"/>
      <c r="V119" s="51"/>
      <c r="W119" s="51"/>
      <c r="X119" s="51"/>
      <c r="Y119" s="51"/>
      <c r="Z119" s="51"/>
      <c r="AA119" s="45" t="s">
        <v>307</v>
      </c>
      <c r="AB119" s="72"/>
      <c r="AC119" s="64" t="s">
        <v>354</v>
      </c>
      <c r="AD119" s="51"/>
      <c r="AE119" s="51"/>
    </row>
    <row r="120">
      <c r="A120" s="23" t="s">
        <v>64</v>
      </c>
      <c r="B120" s="23" t="s">
        <v>67</v>
      </c>
      <c r="C120" s="23" t="s">
        <v>597</v>
      </c>
      <c r="D120" s="23" t="s">
        <v>599</v>
      </c>
      <c r="E120" s="23" t="s">
        <v>602</v>
      </c>
      <c r="F120" s="26">
        <v>314.0</v>
      </c>
      <c r="G120" s="27"/>
      <c r="H120" s="23" t="s">
        <v>84</v>
      </c>
      <c r="I120" s="88"/>
      <c r="J120" s="27"/>
      <c r="K120" s="29">
        <v>44874.0</v>
      </c>
      <c r="L120" s="29" t="str">
        <f t="shared" si="1"/>
        <v>2022</v>
      </c>
      <c r="M120" s="29">
        <v>45291.0</v>
      </c>
      <c r="N120" s="26" t="str">
        <f t="shared" si="2"/>
        <v>2023</v>
      </c>
      <c r="O120" s="36">
        <f t="shared" si="5"/>
        <v>417</v>
      </c>
      <c r="P120" s="36">
        <f t="shared" si="4"/>
        <v>1</v>
      </c>
      <c r="Q120" s="23" t="s">
        <v>150</v>
      </c>
      <c r="R120" s="23" t="s">
        <v>1544</v>
      </c>
      <c r="S120" s="27"/>
      <c r="T120" s="27"/>
      <c r="U120" s="27"/>
      <c r="V120" s="27"/>
      <c r="W120" s="27"/>
      <c r="X120" s="27"/>
      <c r="Y120" s="27"/>
      <c r="Z120" s="27"/>
      <c r="AA120" s="23" t="s">
        <v>307</v>
      </c>
      <c r="AB120" s="44"/>
      <c r="AC120" s="76" t="s">
        <v>354</v>
      </c>
      <c r="AD120" s="27"/>
      <c r="AE120" s="27"/>
    </row>
    <row r="121">
      <c r="A121" s="45" t="s">
        <v>64</v>
      </c>
      <c r="B121" s="45" t="s">
        <v>67</v>
      </c>
      <c r="C121" s="45" t="s">
        <v>285</v>
      </c>
      <c r="D121" s="45" t="s">
        <v>286</v>
      </c>
      <c r="E121" s="45" t="s">
        <v>287</v>
      </c>
      <c r="F121" s="48">
        <v>209.0</v>
      </c>
      <c r="G121" s="51"/>
      <c r="H121" s="45" t="s">
        <v>139</v>
      </c>
      <c r="I121" s="53"/>
      <c r="J121" s="51"/>
      <c r="K121" s="55">
        <v>44523.0</v>
      </c>
      <c r="L121" s="55" t="str">
        <f t="shared" si="1"/>
        <v>2021</v>
      </c>
      <c r="M121" s="55">
        <v>45267.0</v>
      </c>
      <c r="N121" s="48" t="str">
        <f t="shared" si="2"/>
        <v>2023</v>
      </c>
      <c r="O121" s="58">
        <f t="shared" si="5"/>
        <v>744</v>
      </c>
      <c r="P121" s="58">
        <f t="shared" si="4"/>
        <v>2</v>
      </c>
      <c r="Q121" s="45" t="s">
        <v>150</v>
      </c>
      <c r="R121" s="45" t="s">
        <v>1544</v>
      </c>
      <c r="S121" s="51"/>
      <c r="T121" s="51"/>
      <c r="U121" s="51"/>
      <c r="V121" s="51"/>
      <c r="W121" s="45" t="s">
        <v>309</v>
      </c>
      <c r="X121" s="51"/>
      <c r="Y121" s="51"/>
      <c r="Z121" s="51"/>
      <c r="AA121" s="45" t="s">
        <v>307</v>
      </c>
      <c r="AB121" s="72"/>
      <c r="AC121" s="64" t="s">
        <v>354</v>
      </c>
      <c r="AD121" s="51"/>
      <c r="AE121" s="51"/>
    </row>
    <row r="122">
      <c r="A122" s="23" t="s">
        <v>64</v>
      </c>
      <c r="B122" s="23" t="s">
        <v>67</v>
      </c>
      <c r="C122" s="23" t="s">
        <v>1554</v>
      </c>
      <c r="D122" s="23" t="s">
        <v>705</v>
      </c>
      <c r="E122" s="23" t="s">
        <v>706</v>
      </c>
      <c r="F122" s="27"/>
      <c r="G122" s="27"/>
      <c r="H122" s="23" t="s">
        <v>84</v>
      </c>
      <c r="I122" s="88"/>
      <c r="J122" s="27"/>
      <c r="K122" s="29">
        <v>44959.0</v>
      </c>
      <c r="L122" s="29" t="str">
        <f t="shared" si="1"/>
        <v>2023</v>
      </c>
      <c r="M122" s="29">
        <v>45291.0</v>
      </c>
      <c r="N122" s="26" t="str">
        <f t="shared" si="2"/>
        <v>2023</v>
      </c>
      <c r="O122" s="36">
        <f t="shared" si="5"/>
        <v>332</v>
      </c>
      <c r="P122" s="36">
        <f t="shared" si="4"/>
        <v>0</v>
      </c>
      <c r="Q122" s="23" t="s">
        <v>150</v>
      </c>
      <c r="R122" s="23" t="s">
        <v>1544</v>
      </c>
      <c r="S122" s="27"/>
      <c r="T122" s="27"/>
      <c r="U122" s="27"/>
      <c r="V122" s="27"/>
      <c r="W122" s="27"/>
      <c r="X122" s="27"/>
      <c r="Y122" s="27"/>
      <c r="Z122" s="27"/>
      <c r="AA122" s="23" t="s">
        <v>307</v>
      </c>
      <c r="AB122" s="44"/>
      <c r="AC122" s="76" t="s">
        <v>354</v>
      </c>
      <c r="AD122" s="27"/>
      <c r="AE122" s="27"/>
    </row>
    <row r="123">
      <c r="A123" s="45" t="s">
        <v>64</v>
      </c>
      <c r="B123" s="45" t="s">
        <v>67</v>
      </c>
      <c r="C123" s="45" t="s">
        <v>772</v>
      </c>
      <c r="D123" s="45" t="s">
        <v>773</v>
      </c>
      <c r="E123" s="45" t="s">
        <v>775</v>
      </c>
      <c r="F123" s="48">
        <v>332.0</v>
      </c>
      <c r="G123" s="51"/>
      <c r="H123" s="45" t="s">
        <v>139</v>
      </c>
      <c r="I123" s="45" t="s">
        <v>226</v>
      </c>
      <c r="J123" s="51"/>
      <c r="K123" s="55">
        <v>44979.0</v>
      </c>
      <c r="L123" s="55" t="str">
        <f t="shared" si="1"/>
        <v>2023</v>
      </c>
      <c r="M123" s="55">
        <v>45046.0</v>
      </c>
      <c r="N123" s="48" t="str">
        <f t="shared" si="2"/>
        <v>2023</v>
      </c>
      <c r="O123" s="58">
        <f t="shared" si="5"/>
        <v>67</v>
      </c>
      <c r="P123" s="58">
        <f t="shared" si="4"/>
        <v>0</v>
      </c>
      <c r="Q123" s="45" t="s">
        <v>150</v>
      </c>
      <c r="R123" s="45" t="s">
        <v>1544</v>
      </c>
      <c r="S123" s="51"/>
      <c r="T123" s="51"/>
      <c r="U123" s="51"/>
      <c r="V123" s="51"/>
      <c r="W123" s="51"/>
      <c r="X123" s="51"/>
      <c r="Y123" s="51"/>
      <c r="Z123" s="51"/>
      <c r="AA123" s="45" t="s">
        <v>787</v>
      </c>
      <c r="AB123" s="72"/>
      <c r="AC123" s="64" t="s">
        <v>354</v>
      </c>
      <c r="AD123" s="51"/>
      <c r="AE123" s="64" t="s">
        <v>440</v>
      </c>
    </row>
    <row r="124">
      <c r="A124" s="23" t="s">
        <v>64</v>
      </c>
      <c r="B124" s="23" t="s">
        <v>67</v>
      </c>
      <c r="C124" s="23" t="s">
        <v>1566</v>
      </c>
      <c r="D124" s="23" t="s">
        <v>988</v>
      </c>
      <c r="E124" s="23" t="s">
        <v>989</v>
      </c>
      <c r="F124" s="27"/>
      <c r="G124" s="27"/>
      <c r="H124" s="23" t="s">
        <v>139</v>
      </c>
      <c r="I124" s="88"/>
      <c r="J124" s="27"/>
      <c r="K124" s="29">
        <v>45089.0</v>
      </c>
      <c r="L124" s="29" t="str">
        <f t="shared" si="1"/>
        <v>2023</v>
      </c>
      <c r="M124" s="29">
        <v>45260.0</v>
      </c>
      <c r="N124" s="26" t="str">
        <f t="shared" si="2"/>
        <v>2023</v>
      </c>
      <c r="O124" s="36">
        <f t="shared" si="5"/>
        <v>171</v>
      </c>
      <c r="P124" s="36">
        <f t="shared" si="4"/>
        <v>0</v>
      </c>
      <c r="Q124" s="23" t="s">
        <v>150</v>
      </c>
      <c r="R124" s="23" t="s">
        <v>1544</v>
      </c>
      <c r="S124" s="27"/>
      <c r="T124" s="27"/>
      <c r="U124" s="27"/>
      <c r="V124" s="27"/>
      <c r="W124" s="27"/>
      <c r="X124" s="27"/>
      <c r="Y124" s="27"/>
      <c r="Z124" s="27"/>
      <c r="AA124" s="23" t="s">
        <v>787</v>
      </c>
      <c r="AB124" s="44"/>
      <c r="AC124" s="76" t="s">
        <v>354</v>
      </c>
      <c r="AD124" s="27"/>
      <c r="AE124" s="27"/>
    </row>
    <row r="125">
      <c r="A125" s="45" t="s">
        <v>64</v>
      </c>
      <c r="B125" s="45" t="s">
        <v>67</v>
      </c>
      <c r="C125" s="45" t="s">
        <v>1578</v>
      </c>
      <c r="D125" s="45" t="s">
        <v>1579</v>
      </c>
      <c r="E125" s="45" t="s">
        <v>1580</v>
      </c>
      <c r="F125" s="48">
        <v>521.0</v>
      </c>
      <c r="G125" s="48">
        <v>600223.0</v>
      </c>
      <c r="H125" s="45" t="s">
        <v>139</v>
      </c>
      <c r="I125" s="45" t="s">
        <v>248</v>
      </c>
      <c r="J125" s="51"/>
      <c r="K125" s="55">
        <v>45267.0</v>
      </c>
      <c r="L125" s="55" t="str">
        <f t="shared" si="1"/>
        <v>2023</v>
      </c>
      <c r="M125" s="55">
        <v>45545.0</v>
      </c>
      <c r="N125" s="48" t="str">
        <f t="shared" si="2"/>
        <v>2024</v>
      </c>
      <c r="O125" s="58">
        <f t="shared" si="5"/>
        <v>278</v>
      </c>
      <c r="P125" s="58">
        <f t="shared" si="4"/>
        <v>0</v>
      </c>
      <c r="Q125" s="45" t="s">
        <v>253</v>
      </c>
      <c r="R125" s="45" t="s">
        <v>1589</v>
      </c>
      <c r="S125" s="51"/>
      <c r="T125" s="51"/>
      <c r="U125" s="51"/>
      <c r="V125" s="45" t="s">
        <v>1590</v>
      </c>
      <c r="W125" s="142" t="s">
        <v>1593</v>
      </c>
      <c r="X125" s="51"/>
      <c r="Y125" s="51"/>
      <c r="Z125" s="51"/>
      <c r="AA125" s="45" t="s">
        <v>1599</v>
      </c>
      <c r="AB125" s="72"/>
      <c r="AC125" s="64" t="s">
        <v>354</v>
      </c>
      <c r="AD125" s="64" t="s">
        <v>261</v>
      </c>
      <c r="AE125" s="64" t="s">
        <v>124</v>
      </c>
    </row>
    <row r="126">
      <c r="A126" s="23" t="s">
        <v>64</v>
      </c>
      <c r="B126" s="23" t="s">
        <v>67</v>
      </c>
      <c r="C126" s="23" t="s">
        <v>513</v>
      </c>
      <c r="D126" s="23" t="s">
        <v>516</v>
      </c>
      <c r="E126" s="23" t="s">
        <v>516</v>
      </c>
      <c r="F126" s="26">
        <v>301.0</v>
      </c>
      <c r="G126" s="27"/>
      <c r="H126" s="23" t="s">
        <v>103</v>
      </c>
      <c r="I126" s="88"/>
      <c r="J126" s="27"/>
      <c r="K126" s="29">
        <v>44783.0</v>
      </c>
      <c r="L126" s="29" t="str">
        <f t="shared" si="1"/>
        <v>2022</v>
      </c>
      <c r="M126" s="29">
        <v>45148.0</v>
      </c>
      <c r="N126" s="26" t="str">
        <f t="shared" si="2"/>
        <v>2023</v>
      </c>
      <c r="O126" s="36">
        <f t="shared" si="5"/>
        <v>365</v>
      </c>
      <c r="P126" s="36">
        <f t="shared" si="4"/>
        <v>1</v>
      </c>
      <c r="Q126" s="23" t="s">
        <v>150</v>
      </c>
      <c r="R126" s="23" t="s">
        <v>534</v>
      </c>
      <c r="S126" s="27"/>
      <c r="T126" s="27"/>
      <c r="U126" s="27"/>
      <c r="V126" s="27"/>
      <c r="W126" s="23" t="s">
        <v>537</v>
      </c>
      <c r="X126" s="27"/>
      <c r="Y126" s="27"/>
      <c r="Z126" s="27"/>
      <c r="AA126" s="27"/>
      <c r="AB126" s="44"/>
      <c r="AC126" s="76" t="s">
        <v>354</v>
      </c>
      <c r="AD126" s="27"/>
      <c r="AE126" s="76" t="s">
        <v>1023</v>
      </c>
    </row>
    <row r="127">
      <c r="A127" s="45" t="s">
        <v>64</v>
      </c>
      <c r="B127" s="45" t="s">
        <v>19</v>
      </c>
      <c r="C127" s="45" t="s">
        <v>488</v>
      </c>
      <c r="D127" s="45" t="s">
        <v>1397</v>
      </c>
      <c r="E127" s="45" t="s">
        <v>1398</v>
      </c>
      <c r="F127" s="48">
        <v>423.0</v>
      </c>
      <c r="G127" s="48">
        <v>600193.0</v>
      </c>
      <c r="H127" s="45" t="s">
        <v>139</v>
      </c>
      <c r="I127" s="45" t="s">
        <v>226</v>
      </c>
      <c r="J127" s="51"/>
      <c r="K127" s="55">
        <v>45126.0</v>
      </c>
      <c r="L127" s="55" t="str">
        <f t="shared" si="1"/>
        <v>2023</v>
      </c>
      <c r="M127" s="55">
        <v>46179.0</v>
      </c>
      <c r="N127" s="48" t="str">
        <f t="shared" si="2"/>
        <v>2026</v>
      </c>
      <c r="O127" s="58">
        <f t="shared" si="5"/>
        <v>1053</v>
      </c>
      <c r="P127" s="58">
        <f t="shared" si="4"/>
        <v>2</v>
      </c>
      <c r="Q127" s="45" t="s">
        <v>150</v>
      </c>
      <c r="R127" s="45" t="s">
        <v>353</v>
      </c>
      <c r="S127" s="48" t="s">
        <v>269</v>
      </c>
      <c r="T127" s="45" t="s">
        <v>146</v>
      </c>
      <c r="U127" s="45" t="s">
        <v>1244</v>
      </c>
      <c r="V127" s="45" t="s">
        <v>104</v>
      </c>
      <c r="W127" s="45" t="s">
        <v>1403</v>
      </c>
      <c r="X127" s="45" t="s">
        <v>1403</v>
      </c>
      <c r="Y127" s="51"/>
      <c r="Z127" s="51"/>
      <c r="AA127" s="51"/>
      <c r="AB127" s="72"/>
      <c r="AC127" s="64" t="s">
        <v>820</v>
      </c>
      <c r="AD127" s="64" t="s">
        <v>261</v>
      </c>
      <c r="AE127" s="64" t="s">
        <v>124</v>
      </c>
    </row>
    <row r="128">
      <c r="A128" s="23" t="s">
        <v>64</v>
      </c>
      <c r="B128" s="23" t="s">
        <v>67</v>
      </c>
      <c r="C128" s="23" t="s">
        <v>1626</v>
      </c>
      <c r="D128" s="23" t="s">
        <v>1627</v>
      </c>
      <c r="E128" s="23" t="s">
        <v>1629</v>
      </c>
      <c r="F128" s="26">
        <v>683.0</v>
      </c>
      <c r="G128" s="26">
        <v>600458.0</v>
      </c>
      <c r="H128" s="23" t="s">
        <v>187</v>
      </c>
      <c r="I128" s="23" t="s">
        <v>226</v>
      </c>
      <c r="J128" s="23" t="s">
        <v>1632</v>
      </c>
      <c r="K128" s="29">
        <v>45499.0</v>
      </c>
      <c r="L128" s="29" t="str">
        <f t="shared" si="1"/>
        <v>2024</v>
      </c>
      <c r="M128" s="29">
        <v>45869.0</v>
      </c>
      <c r="N128" s="26" t="str">
        <f t="shared" si="2"/>
        <v>2025</v>
      </c>
      <c r="O128" s="36">
        <f t="shared" si="5"/>
        <v>370</v>
      </c>
      <c r="P128" s="36">
        <f t="shared" si="4"/>
        <v>1</v>
      </c>
      <c r="Q128" s="23" t="s">
        <v>106</v>
      </c>
      <c r="R128" s="27"/>
      <c r="S128" s="27"/>
      <c r="T128" s="23" t="s">
        <v>233</v>
      </c>
      <c r="U128" s="23" t="s">
        <v>25</v>
      </c>
      <c r="V128" s="23" t="s">
        <v>104</v>
      </c>
      <c r="W128" s="23" t="s">
        <v>1633</v>
      </c>
      <c r="X128" s="27"/>
      <c r="Y128" s="23" t="s">
        <v>1636</v>
      </c>
      <c r="Z128" s="27"/>
      <c r="AA128" s="23" t="s">
        <v>1639</v>
      </c>
      <c r="AB128" s="44"/>
      <c r="AC128" s="76" t="s">
        <v>441</v>
      </c>
      <c r="AD128" s="27"/>
      <c r="AE128" s="76" t="s">
        <v>124</v>
      </c>
    </row>
    <row r="129">
      <c r="A129" s="45" t="s">
        <v>64</v>
      </c>
      <c r="B129" s="45" t="s">
        <v>67</v>
      </c>
      <c r="C129" s="45" t="s">
        <v>1643</v>
      </c>
      <c r="D129" s="45" t="s">
        <v>1655</v>
      </c>
      <c r="E129" s="45" t="s">
        <v>1657</v>
      </c>
      <c r="F129" s="48">
        <v>389.0</v>
      </c>
      <c r="G129" s="48">
        <v>600115.0</v>
      </c>
      <c r="H129" s="45" t="s">
        <v>139</v>
      </c>
      <c r="I129" s="45" t="s">
        <v>226</v>
      </c>
      <c r="J129" s="45" t="s">
        <v>1660</v>
      </c>
      <c r="K129" s="55">
        <v>45506.0</v>
      </c>
      <c r="L129" s="55" t="str">
        <f t="shared" si="1"/>
        <v>2024</v>
      </c>
      <c r="M129" s="55">
        <v>45870.0</v>
      </c>
      <c r="N129" s="48" t="str">
        <f t="shared" si="2"/>
        <v>2025</v>
      </c>
      <c r="O129" s="58">
        <f t="shared" si="5"/>
        <v>364</v>
      </c>
      <c r="P129" s="58">
        <f t="shared" si="4"/>
        <v>0</v>
      </c>
      <c r="Q129" s="45" t="s">
        <v>253</v>
      </c>
      <c r="R129" s="45" t="s">
        <v>1667</v>
      </c>
      <c r="S129" s="51"/>
      <c r="T129" s="51"/>
      <c r="U129" s="51"/>
      <c r="V129" s="51"/>
      <c r="W129" s="45" t="s">
        <v>1671</v>
      </c>
      <c r="X129" s="45" t="s">
        <v>1672</v>
      </c>
      <c r="Y129" s="51"/>
      <c r="Z129" s="51"/>
      <c r="AA129" s="51"/>
      <c r="AB129" s="72"/>
      <c r="AC129" s="64" t="s">
        <v>777</v>
      </c>
      <c r="AD129" s="64" t="s">
        <v>261</v>
      </c>
      <c r="AE129" s="64" t="s">
        <v>124</v>
      </c>
    </row>
    <row r="130">
      <c r="A130" s="23" t="s">
        <v>64</v>
      </c>
      <c r="B130" s="23" t="s">
        <v>67</v>
      </c>
      <c r="C130" s="23" t="s">
        <v>1680</v>
      </c>
      <c r="D130" s="23" t="s">
        <v>1681</v>
      </c>
      <c r="E130" s="144" t="s">
        <v>1553</v>
      </c>
      <c r="F130" s="26">
        <v>687.0</v>
      </c>
      <c r="G130" s="27"/>
      <c r="H130" s="23" t="s">
        <v>84</v>
      </c>
      <c r="I130" s="23" t="s">
        <v>84</v>
      </c>
      <c r="J130" s="23" t="s">
        <v>782</v>
      </c>
      <c r="K130" s="29">
        <v>45505.0</v>
      </c>
      <c r="L130" s="29" t="str">
        <f t="shared" si="1"/>
        <v>2024</v>
      </c>
      <c r="M130" s="29">
        <v>45870.0</v>
      </c>
      <c r="N130" s="26" t="str">
        <f t="shared" si="2"/>
        <v>2025</v>
      </c>
      <c r="O130" s="36">
        <f t="shared" si="5"/>
        <v>365</v>
      </c>
      <c r="P130" s="36">
        <f t="shared" si="4"/>
        <v>1</v>
      </c>
      <c r="Q130" s="23" t="s">
        <v>150</v>
      </c>
      <c r="R130" s="27"/>
      <c r="S130" s="27"/>
      <c r="T130" s="23" t="s">
        <v>84</v>
      </c>
      <c r="U130" s="23" t="s">
        <v>790</v>
      </c>
      <c r="V130" s="23" t="s">
        <v>104</v>
      </c>
      <c r="W130" s="144" t="s">
        <v>1701</v>
      </c>
      <c r="X130" s="144" t="s">
        <v>1701</v>
      </c>
      <c r="Y130" s="27"/>
      <c r="Z130" s="27"/>
      <c r="AA130" s="27"/>
      <c r="AB130" s="44"/>
      <c r="AC130" s="76" t="s">
        <v>354</v>
      </c>
      <c r="AD130" s="27"/>
      <c r="AE130" s="76" t="s">
        <v>124</v>
      </c>
    </row>
    <row r="131">
      <c r="A131" s="45" t="s">
        <v>64</v>
      </c>
      <c r="B131" s="45" t="s">
        <v>67</v>
      </c>
      <c r="C131" s="45" t="s">
        <v>1606</v>
      </c>
      <c r="D131" s="45" t="s">
        <v>1607</v>
      </c>
      <c r="E131" s="45" t="s">
        <v>1609</v>
      </c>
      <c r="F131" s="48">
        <v>452.0</v>
      </c>
      <c r="G131" s="51"/>
      <c r="H131" s="45" t="s">
        <v>139</v>
      </c>
      <c r="I131" s="45" t="s">
        <v>1720</v>
      </c>
      <c r="J131" s="51"/>
      <c r="K131" s="55">
        <v>45175.0</v>
      </c>
      <c r="L131" s="55" t="str">
        <f t="shared" si="1"/>
        <v>2023</v>
      </c>
      <c r="M131" s="55">
        <v>45540.0</v>
      </c>
      <c r="N131" s="48" t="str">
        <f t="shared" si="2"/>
        <v>2024</v>
      </c>
      <c r="O131" s="58">
        <f t="shared" si="5"/>
        <v>365</v>
      </c>
      <c r="P131" s="58">
        <f t="shared" si="4"/>
        <v>0</v>
      </c>
      <c r="Q131" s="45" t="s">
        <v>150</v>
      </c>
      <c r="R131" s="51"/>
      <c r="S131" s="51"/>
      <c r="T131" s="45" t="s">
        <v>233</v>
      </c>
      <c r="U131" s="51"/>
      <c r="V131" s="51"/>
      <c r="W131" s="45" t="s">
        <v>1622</v>
      </c>
      <c r="X131" s="45" t="s">
        <v>1622</v>
      </c>
      <c r="Y131" s="51"/>
      <c r="Z131" s="51"/>
      <c r="AA131" s="51"/>
      <c r="AB131" s="72"/>
      <c r="AC131" s="64" t="s">
        <v>820</v>
      </c>
      <c r="AD131" s="64" t="s">
        <v>261</v>
      </c>
      <c r="AE131" s="64" t="s">
        <v>124</v>
      </c>
    </row>
    <row r="132">
      <c r="A132" s="23" t="s">
        <v>64</v>
      </c>
      <c r="B132" s="23" t="s">
        <v>67</v>
      </c>
      <c r="C132" s="23" t="s">
        <v>1740</v>
      </c>
      <c r="D132" s="23" t="s">
        <v>1741</v>
      </c>
      <c r="E132" s="23" t="s">
        <v>1743</v>
      </c>
      <c r="F132" s="26">
        <v>529.0</v>
      </c>
      <c r="G132" s="26">
        <v>600241.0</v>
      </c>
      <c r="H132" s="23" t="s">
        <v>139</v>
      </c>
      <c r="I132" s="23" t="s">
        <v>226</v>
      </c>
      <c r="J132" s="27"/>
      <c r="K132" s="29">
        <v>45282.0</v>
      </c>
      <c r="L132" s="29" t="str">
        <f t="shared" si="1"/>
        <v>2023</v>
      </c>
      <c r="M132" s="29">
        <v>45473.0</v>
      </c>
      <c r="N132" s="26" t="str">
        <f t="shared" si="2"/>
        <v>2024</v>
      </c>
      <c r="O132" s="36">
        <f t="shared" si="5"/>
        <v>191</v>
      </c>
      <c r="P132" s="36">
        <f t="shared" si="4"/>
        <v>0</v>
      </c>
      <c r="Q132" s="23" t="s">
        <v>150</v>
      </c>
      <c r="R132" s="23" t="s">
        <v>1752</v>
      </c>
      <c r="S132" s="26" t="s">
        <v>113</v>
      </c>
      <c r="T132" s="27"/>
      <c r="U132" s="23" t="s">
        <v>1244</v>
      </c>
      <c r="V132" s="23" t="s">
        <v>1754</v>
      </c>
      <c r="W132" s="144" t="s">
        <v>1756</v>
      </c>
      <c r="X132" s="27"/>
      <c r="Y132" s="27"/>
      <c r="Z132" s="27"/>
      <c r="AA132" s="23" t="s">
        <v>1764</v>
      </c>
      <c r="AB132" s="44"/>
      <c r="AC132" s="76" t="s">
        <v>354</v>
      </c>
      <c r="AD132" s="27"/>
      <c r="AE132" s="76" t="s">
        <v>124</v>
      </c>
    </row>
    <row r="133">
      <c r="A133" s="45" t="s">
        <v>64</v>
      </c>
      <c r="B133" s="45" t="s">
        <v>67</v>
      </c>
      <c r="C133" s="45" t="s">
        <v>1083</v>
      </c>
      <c r="D133" s="45" t="s">
        <v>1765</v>
      </c>
      <c r="E133" s="45" t="s">
        <v>1766</v>
      </c>
      <c r="F133" s="48">
        <v>498.0</v>
      </c>
      <c r="G133" s="48">
        <v>600416.0</v>
      </c>
      <c r="H133" s="45" t="s">
        <v>139</v>
      </c>
      <c r="I133" s="45" t="s">
        <v>226</v>
      </c>
      <c r="J133" s="51"/>
      <c r="K133" s="55">
        <v>45598.0</v>
      </c>
      <c r="L133" s="55" t="str">
        <f t="shared" si="1"/>
        <v>2024</v>
      </c>
      <c r="M133" s="55">
        <v>45963.0</v>
      </c>
      <c r="N133" s="48" t="str">
        <f t="shared" si="2"/>
        <v>2025</v>
      </c>
      <c r="O133" s="58">
        <f t="shared" si="5"/>
        <v>365</v>
      </c>
      <c r="P133" s="58">
        <f t="shared" si="4"/>
        <v>1</v>
      </c>
      <c r="Q133" s="45" t="s">
        <v>253</v>
      </c>
      <c r="R133" s="45" t="s">
        <v>433</v>
      </c>
      <c r="S133" s="48" t="s">
        <v>269</v>
      </c>
      <c r="T133" s="51"/>
      <c r="U133" s="51"/>
      <c r="V133" s="45" t="s">
        <v>104</v>
      </c>
      <c r="W133" s="45" t="s">
        <v>1775</v>
      </c>
      <c r="X133" s="45" t="s">
        <v>1775</v>
      </c>
      <c r="Y133" s="51"/>
      <c r="Z133" s="51"/>
      <c r="AA133" s="45" t="s">
        <v>1776</v>
      </c>
      <c r="AB133" s="63">
        <v>45232.0</v>
      </c>
      <c r="AC133" s="64" t="s">
        <v>820</v>
      </c>
      <c r="AD133" s="64" t="s">
        <v>1777</v>
      </c>
      <c r="AE133" s="64" t="s">
        <v>124</v>
      </c>
    </row>
    <row r="134">
      <c r="A134" s="23" t="s">
        <v>64</v>
      </c>
      <c r="B134" s="23" t="s">
        <v>19</v>
      </c>
      <c r="C134" s="23" t="s">
        <v>1778</v>
      </c>
      <c r="D134" s="23" t="s">
        <v>1779</v>
      </c>
      <c r="E134" s="144" t="s">
        <v>1780</v>
      </c>
      <c r="F134" s="26">
        <v>515.0</v>
      </c>
      <c r="G134" s="26">
        <v>600150.0</v>
      </c>
      <c r="H134" s="23" t="s">
        <v>139</v>
      </c>
      <c r="I134" s="23" t="s">
        <v>1148</v>
      </c>
      <c r="J134" s="27"/>
      <c r="K134" s="29">
        <v>45258.0</v>
      </c>
      <c r="L134" s="29" t="str">
        <f t="shared" si="1"/>
        <v>2023</v>
      </c>
      <c r="M134" s="29">
        <v>46022.0</v>
      </c>
      <c r="N134" s="26" t="str">
        <f t="shared" si="2"/>
        <v>2025</v>
      </c>
      <c r="O134" s="36">
        <f t="shared" si="5"/>
        <v>764</v>
      </c>
      <c r="P134" s="36">
        <f t="shared" si="4"/>
        <v>2</v>
      </c>
      <c r="Q134" s="23" t="s">
        <v>253</v>
      </c>
      <c r="R134" s="23" t="s">
        <v>1783</v>
      </c>
      <c r="S134" s="27"/>
      <c r="T134" s="27"/>
      <c r="U134" s="27"/>
      <c r="V134" s="23" t="s">
        <v>1784</v>
      </c>
      <c r="W134" s="144" t="s">
        <v>1785</v>
      </c>
      <c r="X134" s="27"/>
      <c r="Y134" s="27"/>
      <c r="Z134" s="27"/>
      <c r="AA134" s="27"/>
      <c r="AB134" s="107">
        <v>45258.0</v>
      </c>
      <c r="AC134" s="76" t="s">
        <v>820</v>
      </c>
      <c r="AD134" s="76" t="s">
        <v>123</v>
      </c>
      <c r="AE134" s="76" t="s">
        <v>124</v>
      </c>
    </row>
    <row r="135">
      <c r="A135" s="45" t="s">
        <v>64</v>
      </c>
      <c r="B135" s="45" t="s">
        <v>67</v>
      </c>
      <c r="C135" s="45" t="s">
        <v>1791</v>
      </c>
      <c r="D135" s="45" t="s">
        <v>1792</v>
      </c>
      <c r="E135" s="45" t="s">
        <v>1793</v>
      </c>
      <c r="F135" s="48">
        <v>522.0</v>
      </c>
      <c r="G135" s="51"/>
      <c r="H135" s="45" t="s">
        <v>82</v>
      </c>
      <c r="I135" s="45" t="s">
        <v>84</v>
      </c>
      <c r="J135" s="51"/>
      <c r="K135" s="55">
        <v>45268.0</v>
      </c>
      <c r="L135" s="55" t="str">
        <f t="shared" si="1"/>
        <v>2023</v>
      </c>
      <c r="M135" s="55">
        <v>45657.0</v>
      </c>
      <c r="N135" s="48" t="str">
        <f t="shared" si="2"/>
        <v>2024</v>
      </c>
      <c r="O135" s="58">
        <f t="shared" si="5"/>
        <v>389</v>
      </c>
      <c r="P135" s="58">
        <f t="shared" si="4"/>
        <v>1</v>
      </c>
      <c r="Q135" s="45" t="s">
        <v>150</v>
      </c>
      <c r="R135" s="51"/>
      <c r="S135" s="48" t="s">
        <v>113</v>
      </c>
      <c r="T135" s="45" t="s">
        <v>84</v>
      </c>
      <c r="U135" s="51"/>
      <c r="V135" s="45" t="s">
        <v>106</v>
      </c>
      <c r="W135" s="45" t="s">
        <v>1799</v>
      </c>
      <c r="X135" s="51"/>
      <c r="Y135" s="51"/>
      <c r="Z135" s="51"/>
      <c r="AA135" s="51"/>
      <c r="AB135" s="72"/>
      <c r="AC135" s="64" t="s">
        <v>820</v>
      </c>
      <c r="AD135" s="51"/>
      <c r="AE135" s="64" t="s">
        <v>476</v>
      </c>
    </row>
    <row r="136">
      <c r="A136" s="23" t="s">
        <v>64</v>
      </c>
      <c r="B136" s="23" t="s">
        <v>67</v>
      </c>
      <c r="C136" s="143" t="s">
        <v>369</v>
      </c>
      <c r="D136" s="23" t="s">
        <v>1806</v>
      </c>
      <c r="E136" s="23" t="s">
        <v>1808</v>
      </c>
      <c r="F136" s="26">
        <v>523.0</v>
      </c>
      <c r="G136" s="26">
        <v>600224.0</v>
      </c>
      <c r="H136" s="23" t="s">
        <v>84</v>
      </c>
      <c r="I136" s="23" t="s">
        <v>84</v>
      </c>
      <c r="J136" s="27"/>
      <c r="K136" s="29">
        <v>45268.0</v>
      </c>
      <c r="L136" s="29" t="str">
        <f t="shared" si="1"/>
        <v>2023</v>
      </c>
      <c r="M136" s="29">
        <v>45839.0</v>
      </c>
      <c r="N136" s="26" t="str">
        <f t="shared" si="2"/>
        <v>2025</v>
      </c>
      <c r="O136" s="36">
        <f t="shared" si="5"/>
        <v>571</v>
      </c>
      <c r="P136" s="36">
        <f t="shared" si="4"/>
        <v>1</v>
      </c>
      <c r="Q136" s="23" t="s">
        <v>150</v>
      </c>
      <c r="R136" s="27"/>
      <c r="S136" s="26" t="s">
        <v>113</v>
      </c>
      <c r="T136" s="23" t="s">
        <v>146</v>
      </c>
      <c r="U136" s="23" t="s">
        <v>1244</v>
      </c>
      <c r="V136" s="23" t="s">
        <v>104</v>
      </c>
      <c r="W136" s="23" t="s">
        <v>1810</v>
      </c>
      <c r="X136" s="23" t="s">
        <v>1811</v>
      </c>
      <c r="Y136" s="27"/>
      <c r="Z136" s="27"/>
      <c r="AA136" s="27"/>
      <c r="AB136" s="44"/>
      <c r="AC136" s="76" t="s">
        <v>820</v>
      </c>
      <c r="AD136" s="76" t="s">
        <v>261</v>
      </c>
      <c r="AE136" s="76" t="s">
        <v>124</v>
      </c>
    </row>
    <row r="137">
      <c r="A137" s="45" t="s">
        <v>64</v>
      </c>
      <c r="B137" s="45" t="s">
        <v>19</v>
      </c>
      <c r="C137" s="45" t="s">
        <v>1814</v>
      </c>
      <c r="D137" s="45" t="s">
        <v>1815</v>
      </c>
      <c r="E137" s="45" t="s">
        <v>1816</v>
      </c>
      <c r="F137" s="48">
        <v>527.0</v>
      </c>
      <c r="G137" s="48">
        <v>600236.0</v>
      </c>
      <c r="H137" s="45" t="s">
        <v>139</v>
      </c>
      <c r="I137" s="45" t="s">
        <v>226</v>
      </c>
      <c r="J137" s="45" t="s">
        <v>1372</v>
      </c>
      <c r="K137" s="55">
        <v>45280.0</v>
      </c>
      <c r="L137" s="55" t="str">
        <f t="shared" si="1"/>
        <v>2023</v>
      </c>
      <c r="M137" s="55">
        <v>46022.0</v>
      </c>
      <c r="N137" s="48" t="str">
        <f t="shared" si="2"/>
        <v>2025</v>
      </c>
      <c r="O137" s="58">
        <f t="shared" si="5"/>
        <v>742</v>
      </c>
      <c r="P137" s="58">
        <f t="shared" si="4"/>
        <v>2</v>
      </c>
      <c r="Q137" s="45" t="s">
        <v>253</v>
      </c>
      <c r="R137" s="45" t="s">
        <v>1821</v>
      </c>
      <c r="S137" s="51"/>
      <c r="T137" s="45" t="s">
        <v>146</v>
      </c>
      <c r="U137" s="45" t="s">
        <v>790</v>
      </c>
      <c r="V137" s="45" t="s">
        <v>708</v>
      </c>
      <c r="W137" s="45" t="s">
        <v>1822</v>
      </c>
      <c r="X137" s="45" t="s">
        <v>1823</v>
      </c>
      <c r="Y137" s="51"/>
      <c r="Z137" s="51"/>
      <c r="AA137" s="45" t="s">
        <v>1824</v>
      </c>
      <c r="AB137" s="72"/>
      <c r="AC137" s="64" t="s">
        <v>820</v>
      </c>
      <c r="AD137" s="64" t="s">
        <v>123</v>
      </c>
      <c r="AE137" s="64" t="s">
        <v>124</v>
      </c>
    </row>
    <row r="138">
      <c r="A138" s="23" t="s">
        <v>64</v>
      </c>
      <c r="B138" s="23" t="s">
        <v>19</v>
      </c>
      <c r="C138" s="23" t="s">
        <v>1825</v>
      </c>
      <c r="D138" s="23" t="s">
        <v>1826</v>
      </c>
      <c r="E138" s="23" t="s">
        <v>1827</v>
      </c>
      <c r="F138" s="26">
        <v>530.0</v>
      </c>
      <c r="G138" s="26">
        <v>600194.0</v>
      </c>
      <c r="H138" s="23" t="s">
        <v>84</v>
      </c>
      <c r="I138" s="23" t="s">
        <v>84</v>
      </c>
      <c r="J138" s="23" t="s">
        <v>1372</v>
      </c>
      <c r="K138" s="29">
        <v>45288.0</v>
      </c>
      <c r="L138" s="29" t="str">
        <f t="shared" si="1"/>
        <v>2023</v>
      </c>
      <c r="M138" s="29">
        <v>46293.0</v>
      </c>
      <c r="N138" s="26" t="str">
        <f t="shared" si="2"/>
        <v>2026</v>
      </c>
      <c r="O138" s="36">
        <f t="shared" si="5"/>
        <v>1005</v>
      </c>
      <c r="P138" s="36">
        <f t="shared" si="4"/>
        <v>2</v>
      </c>
      <c r="Q138" s="23" t="s">
        <v>348</v>
      </c>
      <c r="R138" s="23" t="s">
        <v>1830</v>
      </c>
      <c r="S138" s="26" t="s">
        <v>269</v>
      </c>
      <c r="T138" s="23" t="s">
        <v>84</v>
      </c>
      <c r="U138" s="27"/>
      <c r="V138" s="23" t="s">
        <v>104</v>
      </c>
      <c r="W138" s="23" t="s">
        <v>1833</v>
      </c>
      <c r="X138" s="23" t="s">
        <v>1833</v>
      </c>
      <c r="Y138" s="27"/>
      <c r="Z138" s="27"/>
      <c r="AA138" s="23" t="s">
        <v>1835</v>
      </c>
      <c r="AB138" s="107">
        <v>45408.0</v>
      </c>
      <c r="AC138" s="76" t="s">
        <v>820</v>
      </c>
      <c r="AD138" s="76" t="s">
        <v>123</v>
      </c>
      <c r="AE138" s="76" t="s">
        <v>476</v>
      </c>
    </row>
    <row r="139">
      <c r="A139" s="45" t="s">
        <v>64</v>
      </c>
      <c r="B139" s="45" t="s">
        <v>67</v>
      </c>
      <c r="C139" s="45" t="s">
        <v>1836</v>
      </c>
      <c r="D139" s="45" t="s">
        <v>1837</v>
      </c>
      <c r="E139" s="45" t="s">
        <v>1838</v>
      </c>
      <c r="F139" s="48">
        <v>532.0</v>
      </c>
      <c r="G139" s="48">
        <v>600249.0</v>
      </c>
      <c r="H139" s="45" t="s">
        <v>187</v>
      </c>
      <c r="I139" s="53"/>
      <c r="J139" s="51"/>
      <c r="K139" s="55">
        <v>45299.0</v>
      </c>
      <c r="L139" s="55" t="str">
        <f t="shared" si="1"/>
        <v>2024</v>
      </c>
      <c r="M139" s="55">
        <v>45665.0</v>
      </c>
      <c r="N139" s="48" t="str">
        <f t="shared" si="2"/>
        <v>2025</v>
      </c>
      <c r="O139" s="58">
        <f t="shared" si="5"/>
        <v>366</v>
      </c>
      <c r="P139" s="58">
        <f t="shared" si="4"/>
        <v>1</v>
      </c>
      <c r="Q139" s="45" t="s">
        <v>150</v>
      </c>
      <c r="R139" s="51"/>
      <c r="S139" s="51"/>
      <c r="T139" s="51"/>
      <c r="U139" s="51"/>
      <c r="V139" s="45" t="s">
        <v>708</v>
      </c>
      <c r="W139" s="142" t="s">
        <v>1844</v>
      </c>
      <c r="X139" s="51"/>
      <c r="Y139" s="51"/>
      <c r="Z139" s="51"/>
      <c r="AA139" s="45" t="s">
        <v>1851</v>
      </c>
      <c r="AB139" s="72"/>
      <c r="AC139" s="64" t="s">
        <v>820</v>
      </c>
      <c r="AD139" s="51"/>
      <c r="AE139" s="64" t="s">
        <v>124</v>
      </c>
    </row>
    <row r="140">
      <c r="A140" s="23" t="s">
        <v>64</v>
      </c>
      <c r="B140" s="23" t="s">
        <v>19</v>
      </c>
      <c r="C140" s="23" t="s">
        <v>1852</v>
      </c>
      <c r="D140" s="23" t="s">
        <v>1853</v>
      </c>
      <c r="E140" s="23" t="s">
        <v>1854</v>
      </c>
      <c r="F140" s="26">
        <v>536.0</v>
      </c>
      <c r="G140" s="26">
        <v>600302.0</v>
      </c>
      <c r="H140" s="23" t="s">
        <v>84</v>
      </c>
      <c r="I140" s="23" t="s">
        <v>84</v>
      </c>
      <c r="J140" s="27"/>
      <c r="K140" s="29">
        <v>45303.0</v>
      </c>
      <c r="L140" s="29" t="str">
        <f t="shared" si="1"/>
        <v>2024</v>
      </c>
      <c r="M140" s="29">
        <v>46418.0</v>
      </c>
      <c r="N140" s="26" t="str">
        <f t="shared" si="2"/>
        <v>2027</v>
      </c>
      <c r="O140" s="36">
        <f t="shared" si="5"/>
        <v>1115</v>
      </c>
      <c r="P140" s="36">
        <f t="shared" si="4"/>
        <v>3</v>
      </c>
      <c r="Q140" s="23" t="s">
        <v>150</v>
      </c>
      <c r="R140" s="27"/>
      <c r="S140" s="27"/>
      <c r="T140" s="23" t="s">
        <v>84</v>
      </c>
      <c r="U140" s="23" t="s">
        <v>25</v>
      </c>
      <c r="V140" s="23" t="s">
        <v>106</v>
      </c>
      <c r="W140" s="144" t="s">
        <v>1858</v>
      </c>
      <c r="X140" s="144" t="s">
        <v>1858</v>
      </c>
      <c r="Y140" s="27"/>
      <c r="Z140" s="27"/>
      <c r="AA140" s="23" t="s">
        <v>1864</v>
      </c>
      <c r="AB140" s="107">
        <v>45362.0</v>
      </c>
      <c r="AC140" s="76" t="s">
        <v>820</v>
      </c>
      <c r="AD140" s="27"/>
      <c r="AE140" s="76" t="s">
        <v>476</v>
      </c>
    </row>
    <row r="141">
      <c r="A141" s="45" t="s">
        <v>64</v>
      </c>
      <c r="B141" s="45" t="s">
        <v>67</v>
      </c>
      <c r="C141" s="45" t="s">
        <v>1865</v>
      </c>
      <c r="D141" s="45" t="s">
        <v>1866</v>
      </c>
      <c r="E141" s="45" t="s">
        <v>1867</v>
      </c>
      <c r="F141" s="48">
        <v>537.0</v>
      </c>
      <c r="G141" s="48">
        <v>600268.0</v>
      </c>
      <c r="H141" s="45" t="s">
        <v>84</v>
      </c>
      <c r="I141" s="45" t="s">
        <v>84</v>
      </c>
      <c r="J141" s="51"/>
      <c r="K141" s="55">
        <v>45306.0</v>
      </c>
      <c r="L141" s="55" t="str">
        <f t="shared" si="1"/>
        <v>2024</v>
      </c>
      <c r="M141" s="55">
        <v>45488.0</v>
      </c>
      <c r="N141" s="48" t="str">
        <f t="shared" si="2"/>
        <v>2024</v>
      </c>
      <c r="O141" s="58">
        <f t="shared" si="5"/>
        <v>182</v>
      </c>
      <c r="P141" s="58">
        <f t="shared" si="4"/>
        <v>0</v>
      </c>
      <c r="Q141" s="45" t="s">
        <v>150</v>
      </c>
      <c r="R141" s="51"/>
      <c r="S141" s="51"/>
      <c r="T141" s="45" t="s">
        <v>146</v>
      </c>
      <c r="U141" s="45" t="s">
        <v>790</v>
      </c>
      <c r="V141" s="45" t="s">
        <v>708</v>
      </c>
      <c r="W141" s="142" t="s">
        <v>1870</v>
      </c>
      <c r="X141" s="51"/>
      <c r="Y141" s="51"/>
      <c r="Z141" s="51"/>
      <c r="AA141" s="51"/>
      <c r="AB141" s="72"/>
      <c r="AC141" s="64" t="s">
        <v>820</v>
      </c>
      <c r="AD141" s="64" t="s">
        <v>1873</v>
      </c>
      <c r="AE141" s="64" t="s">
        <v>1875</v>
      </c>
    </row>
    <row r="142">
      <c r="A142" s="23" t="s">
        <v>64</v>
      </c>
      <c r="B142" s="23" t="s">
        <v>67</v>
      </c>
      <c r="C142" s="23" t="s">
        <v>1876</v>
      </c>
      <c r="D142" s="23" t="s">
        <v>1877</v>
      </c>
      <c r="E142" s="23" t="s">
        <v>1878</v>
      </c>
      <c r="F142" s="26">
        <v>538.0</v>
      </c>
      <c r="G142" s="27"/>
      <c r="H142" s="23" t="s">
        <v>187</v>
      </c>
      <c r="I142" s="23" t="s">
        <v>226</v>
      </c>
      <c r="J142" s="27"/>
      <c r="K142" s="29">
        <v>45308.0</v>
      </c>
      <c r="L142" s="29" t="str">
        <f t="shared" si="1"/>
        <v>2024</v>
      </c>
      <c r="M142" s="29">
        <v>45315.0</v>
      </c>
      <c r="N142" s="26" t="str">
        <f t="shared" si="2"/>
        <v>2024</v>
      </c>
      <c r="O142" s="36">
        <f t="shared" si="5"/>
        <v>7</v>
      </c>
      <c r="P142" s="36">
        <f t="shared" si="4"/>
        <v>0</v>
      </c>
      <c r="Q142" s="23" t="s">
        <v>106</v>
      </c>
      <c r="R142" s="27"/>
      <c r="S142" s="27"/>
      <c r="T142" s="23" t="s">
        <v>233</v>
      </c>
      <c r="U142" s="27"/>
      <c r="V142" s="23" t="s">
        <v>106</v>
      </c>
      <c r="W142" s="144" t="s">
        <v>1886</v>
      </c>
      <c r="X142" s="27"/>
      <c r="Y142" s="27"/>
      <c r="Z142" s="27"/>
      <c r="AA142" s="27"/>
      <c r="AB142" s="44"/>
      <c r="AC142" s="76" t="s">
        <v>820</v>
      </c>
      <c r="AD142" s="27"/>
      <c r="AE142" s="76" t="s">
        <v>1875</v>
      </c>
    </row>
    <row r="143">
      <c r="A143" s="45" t="s">
        <v>64</v>
      </c>
      <c r="B143" s="45" t="s">
        <v>19</v>
      </c>
      <c r="C143" s="45" t="s">
        <v>1894</v>
      </c>
      <c r="D143" s="45" t="s">
        <v>1895</v>
      </c>
      <c r="E143" s="45" t="s">
        <v>1897</v>
      </c>
      <c r="F143" s="48">
        <v>540.0</v>
      </c>
      <c r="G143" s="48">
        <v>600232.0</v>
      </c>
      <c r="H143" s="45" t="s">
        <v>84</v>
      </c>
      <c r="I143" s="45" t="s">
        <v>84</v>
      </c>
      <c r="J143" s="51"/>
      <c r="K143" s="55">
        <v>45266.0</v>
      </c>
      <c r="L143" s="55" t="str">
        <f t="shared" si="1"/>
        <v>2023</v>
      </c>
      <c r="M143" s="55">
        <v>45967.0</v>
      </c>
      <c r="N143" s="48" t="str">
        <f t="shared" si="2"/>
        <v>2025</v>
      </c>
      <c r="O143" s="58">
        <f t="shared" si="5"/>
        <v>701</v>
      </c>
      <c r="P143" s="58">
        <f t="shared" si="4"/>
        <v>1</v>
      </c>
      <c r="Q143" s="45" t="s">
        <v>253</v>
      </c>
      <c r="R143" s="45" t="s">
        <v>1899</v>
      </c>
      <c r="S143" s="48" t="s">
        <v>269</v>
      </c>
      <c r="T143" s="45" t="s">
        <v>84</v>
      </c>
      <c r="U143" s="45" t="s">
        <v>1902</v>
      </c>
      <c r="V143" s="45" t="s">
        <v>104</v>
      </c>
      <c r="W143" s="45" t="s">
        <v>1903</v>
      </c>
      <c r="X143" s="45" t="s">
        <v>1903</v>
      </c>
      <c r="Y143" s="51"/>
      <c r="Z143" s="51"/>
      <c r="AA143" s="45" t="s">
        <v>1906</v>
      </c>
      <c r="AB143" s="72"/>
      <c r="AC143" s="64" t="s">
        <v>820</v>
      </c>
      <c r="AD143" s="64" t="s">
        <v>14</v>
      </c>
      <c r="AE143" s="64" t="s">
        <v>124</v>
      </c>
    </row>
    <row r="144">
      <c r="A144" s="23" t="s">
        <v>64</v>
      </c>
      <c r="B144" s="23" t="s">
        <v>19</v>
      </c>
      <c r="C144" s="23" t="s">
        <v>294</v>
      </c>
      <c r="D144" s="23" t="s">
        <v>1907</v>
      </c>
      <c r="E144" s="144" t="s">
        <v>1908</v>
      </c>
      <c r="F144" s="26">
        <v>547.0</v>
      </c>
      <c r="G144" s="26">
        <v>600283.0</v>
      </c>
      <c r="H144" s="23" t="s">
        <v>84</v>
      </c>
      <c r="I144" s="23" t="s">
        <v>84</v>
      </c>
      <c r="J144" s="27"/>
      <c r="K144" s="29">
        <v>45321.0</v>
      </c>
      <c r="L144" s="29" t="str">
        <f t="shared" si="1"/>
        <v>2024</v>
      </c>
      <c r="M144" s="29">
        <v>47085.0</v>
      </c>
      <c r="N144" s="26" t="str">
        <f t="shared" si="2"/>
        <v>2028</v>
      </c>
      <c r="O144" s="36">
        <f t="shared" si="5"/>
        <v>1764</v>
      </c>
      <c r="P144" s="36">
        <f t="shared" si="4"/>
        <v>4</v>
      </c>
      <c r="Q144" s="23" t="s">
        <v>253</v>
      </c>
      <c r="R144" s="23" t="s">
        <v>1913</v>
      </c>
      <c r="S144" s="26" t="s">
        <v>113</v>
      </c>
      <c r="T144" s="27"/>
      <c r="U144" s="23" t="s">
        <v>1914</v>
      </c>
      <c r="V144" s="23" t="s">
        <v>104</v>
      </c>
      <c r="W144" s="144" t="s">
        <v>1915</v>
      </c>
      <c r="X144" s="27"/>
      <c r="Y144" s="27"/>
      <c r="Z144" s="27"/>
      <c r="AA144" s="27"/>
      <c r="AB144" s="44"/>
      <c r="AC144" s="76" t="s">
        <v>820</v>
      </c>
      <c r="AD144" s="27"/>
      <c r="AE144" s="76" t="s">
        <v>476</v>
      </c>
    </row>
    <row r="145">
      <c r="A145" s="45" t="s">
        <v>64</v>
      </c>
      <c r="B145" s="45" t="s">
        <v>19</v>
      </c>
      <c r="C145" s="45" t="s">
        <v>1917</v>
      </c>
      <c r="D145" s="45" t="s">
        <v>1918</v>
      </c>
      <c r="E145" s="45" t="s">
        <v>1919</v>
      </c>
      <c r="F145" s="48">
        <v>557.0</v>
      </c>
      <c r="G145" s="48">
        <v>600292.0</v>
      </c>
      <c r="H145" s="45" t="s">
        <v>84</v>
      </c>
      <c r="I145" s="45" t="s">
        <v>84</v>
      </c>
      <c r="J145" s="51"/>
      <c r="K145" s="55">
        <v>45351.0</v>
      </c>
      <c r="L145" s="55" t="str">
        <f t="shared" si="1"/>
        <v>2024</v>
      </c>
      <c r="M145" s="55">
        <v>45716.0</v>
      </c>
      <c r="N145" s="48" t="str">
        <f t="shared" si="2"/>
        <v>2025</v>
      </c>
      <c r="O145" s="58">
        <f t="shared" si="5"/>
        <v>365</v>
      </c>
      <c r="P145" s="58">
        <f t="shared" si="4"/>
        <v>0</v>
      </c>
      <c r="Q145" s="45" t="s">
        <v>150</v>
      </c>
      <c r="R145" s="45" t="s">
        <v>1921</v>
      </c>
      <c r="S145" s="51"/>
      <c r="T145" s="51"/>
      <c r="U145" s="45" t="s">
        <v>790</v>
      </c>
      <c r="V145" s="45" t="s">
        <v>104</v>
      </c>
      <c r="W145" s="142" t="s">
        <v>1922</v>
      </c>
      <c r="X145" s="142" t="s">
        <v>1922</v>
      </c>
      <c r="Y145" s="51"/>
      <c r="Z145" s="51"/>
      <c r="AA145" s="51"/>
      <c r="AB145" s="72"/>
      <c r="AC145" s="64" t="s">
        <v>354</v>
      </c>
      <c r="AD145" s="64" t="s">
        <v>261</v>
      </c>
      <c r="AE145" s="64" t="s">
        <v>1875</v>
      </c>
    </row>
    <row r="146">
      <c r="A146" s="23" t="s">
        <v>64</v>
      </c>
      <c r="B146" s="23" t="s">
        <v>67</v>
      </c>
      <c r="C146" s="23" t="s">
        <v>1927</v>
      </c>
      <c r="D146" s="27"/>
      <c r="E146" s="27"/>
      <c r="F146" s="27"/>
      <c r="G146" s="26" t="s">
        <v>1928</v>
      </c>
      <c r="H146" s="23" t="s">
        <v>84</v>
      </c>
      <c r="I146" s="23" t="s">
        <v>84</v>
      </c>
      <c r="J146" s="27"/>
      <c r="K146" s="29">
        <v>45321.0</v>
      </c>
      <c r="L146" s="29" t="str">
        <f t="shared" si="1"/>
        <v>2024</v>
      </c>
      <c r="M146" s="29">
        <v>45686.0</v>
      </c>
      <c r="N146" s="26" t="str">
        <f t="shared" si="2"/>
        <v>2025</v>
      </c>
      <c r="O146" s="36">
        <f t="shared" si="5"/>
        <v>365</v>
      </c>
      <c r="P146" s="36">
        <f t="shared" si="4"/>
        <v>0</v>
      </c>
      <c r="Q146" s="23" t="s">
        <v>150</v>
      </c>
      <c r="R146" s="23" t="s">
        <v>1899</v>
      </c>
      <c r="S146" s="26" t="s">
        <v>113</v>
      </c>
      <c r="T146" s="27"/>
      <c r="U146" s="23" t="s">
        <v>1935</v>
      </c>
      <c r="V146" s="23" t="s">
        <v>104</v>
      </c>
      <c r="W146" s="27"/>
      <c r="X146" s="23" t="s">
        <v>1936</v>
      </c>
      <c r="Y146" s="27"/>
      <c r="Z146" s="27"/>
      <c r="AA146" s="23" t="s">
        <v>1939</v>
      </c>
      <c r="AB146" s="44"/>
      <c r="AC146" s="76" t="s">
        <v>777</v>
      </c>
      <c r="AD146" s="76" t="s">
        <v>261</v>
      </c>
      <c r="AE146" s="76" t="s">
        <v>440</v>
      </c>
    </row>
    <row r="147">
      <c r="A147" s="45" t="s">
        <v>64</v>
      </c>
      <c r="B147" s="45" t="s">
        <v>19</v>
      </c>
      <c r="C147" s="45" t="s">
        <v>284</v>
      </c>
      <c r="D147" s="45" t="s">
        <v>1943</v>
      </c>
      <c r="E147" s="45" t="s">
        <v>1944</v>
      </c>
      <c r="F147" s="48">
        <v>559.0</v>
      </c>
      <c r="G147" s="48">
        <v>600294.0</v>
      </c>
      <c r="H147" s="45" t="s">
        <v>266</v>
      </c>
      <c r="I147" s="45" t="s">
        <v>226</v>
      </c>
      <c r="J147" s="51"/>
      <c r="K147" s="55">
        <v>45352.0</v>
      </c>
      <c r="L147" s="55" t="str">
        <f t="shared" si="1"/>
        <v>2024</v>
      </c>
      <c r="M147" s="55">
        <v>46387.0</v>
      </c>
      <c r="N147" s="48" t="str">
        <f t="shared" si="2"/>
        <v>2026</v>
      </c>
      <c r="O147" s="58">
        <f t="shared" si="5"/>
        <v>1035</v>
      </c>
      <c r="P147" s="58">
        <f t="shared" si="4"/>
        <v>2</v>
      </c>
      <c r="Q147" s="45" t="s">
        <v>150</v>
      </c>
      <c r="R147" s="51"/>
      <c r="S147" s="48" t="s">
        <v>269</v>
      </c>
      <c r="T147" s="51"/>
      <c r="U147" s="45" t="s">
        <v>25</v>
      </c>
      <c r="V147" s="45" t="s">
        <v>104</v>
      </c>
      <c r="W147" s="45" t="s">
        <v>1950</v>
      </c>
      <c r="X147" s="51"/>
      <c r="Y147" s="51"/>
      <c r="Z147" s="51"/>
      <c r="AA147" s="45" t="s">
        <v>1953</v>
      </c>
      <c r="AB147" s="72"/>
      <c r="AC147" s="51"/>
      <c r="AD147" s="64" t="s">
        <v>123</v>
      </c>
      <c r="AE147" s="64" t="s">
        <v>124</v>
      </c>
    </row>
    <row r="148">
      <c r="A148" s="23" t="s">
        <v>64</v>
      </c>
      <c r="B148" s="23" t="s">
        <v>19</v>
      </c>
      <c r="C148" s="23" t="s">
        <v>271</v>
      </c>
      <c r="D148" s="23" t="s">
        <v>1958</v>
      </c>
      <c r="E148" s="23" t="s">
        <v>1959</v>
      </c>
      <c r="F148" s="26">
        <v>560.0</v>
      </c>
      <c r="G148" s="26">
        <v>600295.0</v>
      </c>
      <c r="H148" s="23" t="s">
        <v>266</v>
      </c>
      <c r="I148" s="23" t="s">
        <v>226</v>
      </c>
      <c r="J148" s="23" t="s">
        <v>209</v>
      </c>
      <c r="K148" s="29">
        <v>45352.0</v>
      </c>
      <c r="L148" s="29" t="str">
        <f t="shared" si="1"/>
        <v>2024</v>
      </c>
      <c r="M148" s="29">
        <v>46022.0</v>
      </c>
      <c r="N148" s="26" t="str">
        <f t="shared" si="2"/>
        <v>2025</v>
      </c>
      <c r="O148" s="36">
        <f t="shared" si="5"/>
        <v>670</v>
      </c>
      <c r="P148" s="36">
        <f t="shared" si="4"/>
        <v>1</v>
      </c>
      <c r="Q148" s="23" t="s">
        <v>253</v>
      </c>
      <c r="R148" s="27"/>
      <c r="S148" s="27"/>
      <c r="T148" s="23" t="s">
        <v>146</v>
      </c>
      <c r="U148" s="23" t="s">
        <v>25</v>
      </c>
      <c r="V148" s="23" t="s">
        <v>104</v>
      </c>
      <c r="W148" s="144" t="s">
        <v>1966</v>
      </c>
      <c r="X148" s="144" t="s">
        <v>1966</v>
      </c>
      <c r="Y148" s="27"/>
      <c r="Z148" s="27"/>
      <c r="AA148" s="23" t="s">
        <v>1970</v>
      </c>
      <c r="AB148" s="44"/>
      <c r="AC148" s="27"/>
      <c r="AD148" s="76" t="s">
        <v>14</v>
      </c>
      <c r="AE148" s="76" t="s">
        <v>124</v>
      </c>
    </row>
    <row r="149">
      <c r="A149" s="45" t="s">
        <v>64</v>
      </c>
      <c r="B149" s="45" t="s">
        <v>19</v>
      </c>
      <c r="C149" s="45" t="s">
        <v>135</v>
      </c>
      <c r="D149" s="45" t="s">
        <v>1974</v>
      </c>
      <c r="E149" s="45" t="s">
        <v>1975</v>
      </c>
      <c r="F149" s="48">
        <v>561.0</v>
      </c>
      <c r="G149" s="48">
        <v>600296.0</v>
      </c>
      <c r="H149" s="45" t="s">
        <v>266</v>
      </c>
      <c r="I149" s="45" t="s">
        <v>226</v>
      </c>
      <c r="J149" s="51"/>
      <c r="K149" s="55">
        <v>45352.0</v>
      </c>
      <c r="L149" s="55" t="str">
        <f t="shared" si="1"/>
        <v>2024</v>
      </c>
      <c r="M149" s="55">
        <v>45808.0</v>
      </c>
      <c r="N149" s="48" t="str">
        <f t="shared" si="2"/>
        <v>2025</v>
      </c>
      <c r="O149" s="58">
        <f t="shared" si="5"/>
        <v>456</v>
      </c>
      <c r="P149" s="58">
        <f t="shared" si="4"/>
        <v>1</v>
      </c>
      <c r="Q149" s="45" t="s">
        <v>253</v>
      </c>
      <c r="R149" s="51"/>
      <c r="S149" s="48" t="s">
        <v>113</v>
      </c>
      <c r="T149" s="45" t="s">
        <v>233</v>
      </c>
      <c r="U149" s="45" t="s">
        <v>25</v>
      </c>
      <c r="V149" s="45" t="s">
        <v>104</v>
      </c>
      <c r="W149" s="45" t="s">
        <v>1980</v>
      </c>
      <c r="X149" s="45" t="s">
        <v>1980</v>
      </c>
      <c r="Y149" s="51"/>
      <c r="Z149" s="51"/>
      <c r="AA149" s="45" t="s">
        <v>1953</v>
      </c>
      <c r="AB149" s="72"/>
      <c r="AC149" s="51"/>
      <c r="AD149" s="64" t="s">
        <v>14</v>
      </c>
      <c r="AE149" s="64" t="s">
        <v>124</v>
      </c>
    </row>
    <row r="150">
      <c r="A150" s="23" t="s">
        <v>64</v>
      </c>
      <c r="B150" s="23" t="s">
        <v>67</v>
      </c>
      <c r="C150" s="23" t="s">
        <v>1984</v>
      </c>
      <c r="D150" s="23" t="s">
        <v>1987</v>
      </c>
      <c r="E150" s="23" t="s">
        <v>1989</v>
      </c>
      <c r="F150" s="26">
        <v>562.0</v>
      </c>
      <c r="G150" s="26">
        <v>600297.0</v>
      </c>
      <c r="H150" s="23" t="s">
        <v>266</v>
      </c>
      <c r="I150" s="23" t="s">
        <v>226</v>
      </c>
      <c r="J150" s="27"/>
      <c r="K150" s="29">
        <v>45355.0</v>
      </c>
      <c r="L150" s="29" t="str">
        <f t="shared" si="1"/>
        <v>2024</v>
      </c>
      <c r="M150" s="29">
        <v>45657.0</v>
      </c>
      <c r="N150" s="26" t="str">
        <f t="shared" si="2"/>
        <v>2024</v>
      </c>
      <c r="O150" s="36">
        <f t="shared" si="5"/>
        <v>302</v>
      </c>
      <c r="P150" s="36">
        <f t="shared" si="4"/>
        <v>0</v>
      </c>
      <c r="Q150" s="23" t="s">
        <v>150</v>
      </c>
      <c r="R150" s="27"/>
      <c r="S150" s="26" t="s">
        <v>269</v>
      </c>
      <c r="T150" s="27"/>
      <c r="U150" s="23" t="s">
        <v>25</v>
      </c>
      <c r="V150" s="23" t="s">
        <v>104</v>
      </c>
      <c r="W150" s="23" t="s">
        <v>1993</v>
      </c>
      <c r="X150" s="27"/>
      <c r="Y150" s="27"/>
      <c r="Z150" s="27"/>
      <c r="AA150" s="23" t="s">
        <v>1995</v>
      </c>
      <c r="AB150" s="44"/>
      <c r="AC150" s="76" t="s">
        <v>162</v>
      </c>
      <c r="AD150" s="27"/>
      <c r="AE150" s="76" t="s">
        <v>1996</v>
      </c>
    </row>
    <row r="151">
      <c r="A151" s="45" t="s">
        <v>64</v>
      </c>
      <c r="B151" s="45" t="s">
        <v>19</v>
      </c>
      <c r="C151" s="45" t="s">
        <v>1034</v>
      </c>
      <c r="D151" s="45" t="s">
        <v>1999</v>
      </c>
      <c r="E151" s="45" t="s">
        <v>2000</v>
      </c>
      <c r="F151" s="48">
        <v>554.0</v>
      </c>
      <c r="G151" s="48">
        <v>600287.0</v>
      </c>
      <c r="H151" s="45" t="s">
        <v>139</v>
      </c>
      <c r="I151" s="45" t="s">
        <v>226</v>
      </c>
      <c r="J151" s="45" t="s">
        <v>1525</v>
      </c>
      <c r="K151" s="55">
        <v>45341.0</v>
      </c>
      <c r="L151" s="55" t="str">
        <f t="shared" si="1"/>
        <v>2024</v>
      </c>
      <c r="M151" s="55">
        <v>46072.0</v>
      </c>
      <c r="N151" s="48" t="str">
        <f t="shared" si="2"/>
        <v>2026</v>
      </c>
      <c r="O151" s="58">
        <f t="shared" si="5"/>
        <v>731</v>
      </c>
      <c r="P151" s="58">
        <f t="shared" si="4"/>
        <v>2</v>
      </c>
      <c r="Q151" s="45" t="s">
        <v>253</v>
      </c>
      <c r="R151" s="45" t="s">
        <v>2003</v>
      </c>
      <c r="S151" s="45" t="s">
        <v>113</v>
      </c>
      <c r="T151" s="45" t="s">
        <v>146</v>
      </c>
      <c r="U151" s="45" t="s">
        <v>2006</v>
      </c>
      <c r="V151" s="45" t="s">
        <v>104</v>
      </c>
      <c r="W151" s="45" t="s">
        <v>2008</v>
      </c>
      <c r="X151" s="142" t="s">
        <v>2013</v>
      </c>
      <c r="Y151" s="51"/>
      <c r="Z151" s="51"/>
      <c r="AA151" s="51"/>
      <c r="AB151" s="72"/>
      <c r="AC151" s="64" t="s">
        <v>820</v>
      </c>
      <c r="AD151" s="64" t="s">
        <v>261</v>
      </c>
      <c r="AE151" s="64" t="s">
        <v>124</v>
      </c>
    </row>
    <row r="152">
      <c r="A152" s="23" t="s">
        <v>64</v>
      </c>
      <c r="B152" s="23" t="s">
        <v>67</v>
      </c>
      <c r="C152" s="23" t="s">
        <v>2023</v>
      </c>
      <c r="D152" s="23" t="s">
        <v>2025</v>
      </c>
      <c r="E152" s="144" t="s">
        <v>2026</v>
      </c>
      <c r="F152" s="26">
        <v>565.0</v>
      </c>
      <c r="G152" s="26">
        <v>600298.0</v>
      </c>
      <c r="H152" s="23" t="s">
        <v>266</v>
      </c>
      <c r="I152" s="23" t="s">
        <v>226</v>
      </c>
      <c r="J152" s="27"/>
      <c r="K152" s="29">
        <v>45355.0</v>
      </c>
      <c r="L152" s="29" t="str">
        <f t="shared" si="1"/>
        <v>2024</v>
      </c>
      <c r="M152" s="29">
        <v>45747.0</v>
      </c>
      <c r="N152" s="26" t="str">
        <f t="shared" si="2"/>
        <v>2025</v>
      </c>
      <c r="O152" s="36">
        <f t="shared" si="5"/>
        <v>392</v>
      </c>
      <c r="P152" s="36">
        <f t="shared" si="4"/>
        <v>1</v>
      </c>
      <c r="Q152" s="23" t="s">
        <v>150</v>
      </c>
      <c r="R152" s="23" t="s">
        <v>2032</v>
      </c>
      <c r="S152" s="27"/>
      <c r="T152" s="27"/>
      <c r="U152" s="23" t="s">
        <v>25</v>
      </c>
      <c r="V152" s="23" t="s">
        <v>104</v>
      </c>
      <c r="W152" s="144" t="s">
        <v>2036</v>
      </c>
      <c r="X152" s="27"/>
      <c r="Y152" s="27"/>
      <c r="Z152" s="27"/>
      <c r="AA152" s="27"/>
      <c r="AB152" s="44"/>
      <c r="AC152" s="76" t="s">
        <v>354</v>
      </c>
      <c r="AD152" s="27"/>
      <c r="AE152" s="76" t="s">
        <v>1996</v>
      </c>
    </row>
    <row r="153">
      <c r="A153" s="45" t="s">
        <v>64</v>
      </c>
      <c r="B153" s="45" t="s">
        <v>67</v>
      </c>
      <c r="C153" s="45" t="s">
        <v>2041</v>
      </c>
      <c r="D153" s="45" t="s">
        <v>2044</v>
      </c>
      <c r="E153" s="142" t="s">
        <v>2045</v>
      </c>
      <c r="F153" s="48">
        <v>567.0</v>
      </c>
      <c r="G153" s="48">
        <v>600301.0</v>
      </c>
      <c r="H153" s="45" t="s">
        <v>266</v>
      </c>
      <c r="I153" s="45" t="s">
        <v>226</v>
      </c>
      <c r="J153" s="51"/>
      <c r="K153" s="55">
        <v>45357.0</v>
      </c>
      <c r="L153" s="55" t="str">
        <f t="shared" si="1"/>
        <v>2024</v>
      </c>
      <c r="M153" s="55">
        <v>45722.0</v>
      </c>
      <c r="N153" s="48" t="str">
        <f t="shared" si="2"/>
        <v>2025</v>
      </c>
      <c r="O153" s="58">
        <f t="shared" si="5"/>
        <v>365</v>
      </c>
      <c r="P153" s="58">
        <f t="shared" si="4"/>
        <v>1</v>
      </c>
      <c r="Q153" s="45" t="s">
        <v>150</v>
      </c>
      <c r="R153" s="51"/>
      <c r="S153" s="51"/>
      <c r="T153" s="51"/>
      <c r="U153" s="45" t="s">
        <v>25</v>
      </c>
      <c r="V153" s="45" t="s">
        <v>104</v>
      </c>
      <c r="W153" s="142" t="s">
        <v>2053</v>
      </c>
      <c r="X153" s="142" t="s">
        <v>2053</v>
      </c>
      <c r="Y153" s="51"/>
      <c r="Z153" s="51"/>
      <c r="AA153" s="51"/>
      <c r="AB153" s="72"/>
      <c r="AC153" s="64" t="s">
        <v>354</v>
      </c>
      <c r="AD153" s="51"/>
      <c r="AE153" s="64" t="s">
        <v>1996</v>
      </c>
    </row>
    <row r="154">
      <c r="A154" s="23" t="s">
        <v>64</v>
      </c>
      <c r="B154" s="23" t="s">
        <v>67</v>
      </c>
      <c r="C154" s="23" t="s">
        <v>2061</v>
      </c>
      <c r="D154" s="23" t="s">
        <v>2062</v>
      </c>
      <c r="E154" s="23" t="s">
        <v>2063</v>
      </c>
      <c r="F154" s="26">
        <v>568.0</v>
      </c>
      <c r="G154" s="26">
        <v>600303.0</v>
      </c>
      <c r="H154" s="23" t="s">
        <v>266</v>
      </c>
      <c r="I154" s="23" t="s">
        <v>226</v>
      </c>
      <c r="J154" s="27"/>
      <c r="K154" s="29">
        <v>45362.0</v>
      </c>
      <c r="L154" s="29" t="str">
        <f t="shared" si="1"/>
        <v>2024</v>
      </c>
      <c r="M154" s="29">
        <v>45727.0</v>
      </c>
      <c r="N154" s="26" t="str">
        <f t="shared" si="2"/>
        <v>2025</v>
      </c>
      <c r="O154" s="36">
        <f t="shared" si="5"/>
        <v>365</v>
      </c>
      <c r="P154" s="36">
        <f t="shared" si="4"/>
        <v>1</v>
      </c>
      <c r="Q154" s="23" t="s">
        <v>150</v>
      </c>
      <c r="R154" s="27"/>
      <c r="S154" s="26" t="s">
        <v>269</v>
      </c>
      <c r="T154" s="27"/>
      <c r="U154" s="23" t="s">
        <v>25</v>
      </c>
      <c r="V154" s="23" t="s">
        <v>104</v>
      </c>
      <c r="W154" s="144" t="s">
        <v>2071</v>
      </c>
      <c r="X154" s="144" t="s">
        <v>2071</v>
      </c>
      <c r="Y154" s="27"/>
      <c r="Z154" s="27"/>
      <c r="AA154" s="27"/>
      <c r="AB154" s="44"/>
      <c r="AC154" s="76" t="s">
        <v>354</v>
      </c>
      <c r="AD154" s="76" t="s">
        <v>261</v>
      </c>
      <c r="AE154" s="76" t="s">
        <v>1996</v>
      </c>
    </row>
    <row r="155">
      <c r="A155" s="45" t="s">
        <v>64</v>
      </c>
      <c r="B155" s="45" t="s">
        <v>19</v>
      </c>
      <c r="C155" s="45" t="s">
        <v>544</v>
      </c>
      <c r="D155" s="45" t="s">
        <v>2077</v>
      </c>
      <c r="E155" s="142" t="s">
        <v>2078</v>
      </c>
      <c r="F155" s="48">
        <v>572.0</v>
      </c>
      <c r="G155" s="48">
        <v>600309.0</v>
      </c>
      <c r="H155" s="45" t="s">
        <v>266</v>
      </c>
      <c r="I155" s="45" t="s">
        <v>226</v>
      </c>
      <c r="J155" s="51"/>
      <c r="K155" s="55">
        <v>45369.0</v>
      </c>
      <c r="L155" s="55" t="str">
        <f t="shared" si="1"/>
        <v>2024</v>
      </c>
      <c r="M155" s="55">
        <v>45734.0</v>
      </c>
      <c r="N155" s="48" t="str">
        <f t="shared" si="2"/>
        <v>2025</v>
      </c>
      <c r="O155" s="58">
        <f t="shared" si="5"/>
        <v>365</v>
      </c>
      <c r="P155" s="58">
        <f t="shared" si="4"/>
        <v>1</v>
      </c>
      <c r="Q155" s="45" t="s">
        <v>150</v>
      </c>
      <c r="R155" s="51"/>
      <c r="S155" s="48" t="s">
        <v>269</v>
      </c>
      <c r="T155" s="51"/>
      <c r="U155" s="45" t="s">
        <v>25</v>
      </c>
      <c r="V155" s="45" t="s">
        <v>104</v>
      </c>
      <c r="W155" s="142" t="s">
        <v>2084</v>
      </c>
      <c r="X155" s="142" t="s">
        <v>2084</v>
      </c>
      <c r="Y155" s="51"/>
      <c r="Z155" s="51"/>
      <c r="AA155" s="51"/>
      <c r="AB155" s="72"/>
      <c r="AC155" s="64" t="s">
        <v>354</v>
      </c>
      <c r="AD155" s="64" t="s">
        <v>261</v>
      </c>
      <c r="AE155" s="64" t="s">
        <v>124</v>
      </c>
    </row>
    <row r="156">
      <c r="A156" s="23" t="s">
        <v>64</v>
      </c>
      <c r="B156" s="23" t="s">
        <v>67</v>
      </c>
      <c r="C156" s="143" t="s">
        <v>2090</v>
      </c>
      <c r="D156" s="23" t="s">
        <v>2091</v>
      </c>
      <c r="E156" s="23" t="s">
        <v>2092</v>
      </c>
      <c r="F156" s="26">
        <v>563.0</v>
      </c>
      <c r="G156" s="27"/>
      <c r="H156" s="23" t="s">
        <v>187</v>
      </c>
      <c r="I156" s="23" t="s">
        <v>1148</v>
      </c>
      <c r="J156" s="27"/>
      <c r="K156" s="29">
        <v>45355.0</v>
      </c>
      <c r="L156" s="29" t="str">
        <f t="shared" si="1"/>
        <v>2024</v>
      </c>
      <c r="M156" s="29">
        <v>45358.0</v>
      </c>
      <c r="N156" s="26" t="str">
        <f t="shared" si="2"/>
        <v>2024</v>
      </c>
      <c r="O156" s="36">
        <f t="shared" si="5"/>
        <v>3</v>
      </c>
      <c r="P156" s="36">
        <f t="shared" si="4"/>
        <v>0</v>
      </c>
      <c r="Q156" s="23" t="s">
        <v>106</v>
      </c>
      <c r="R156" s="27"/>
      <c r="S156" s="27"/>
      <c r="T156" s="23" t="s">
        <v>233</v>
      </c>
      <c r="U156" s="23" t="s">
        <v>1244</v>
      </c>
      <c r="V156" s="27"/>
      <c r="W156" s="23" t="s">
        <v>2093</v>
      </c>
      <c r="X156" s="27"/>
      <c r="Y156" s="27"/>
      <c r="Z156" s="27"/>
      <c r="AA156" s="23" t="s">
        <v>2095</v>
      </c>
      <c r="AB156" s="44"/>
      <c r="AC156" s="76" t="s">
        <v>820</v>
      </c>
      <c r="AD156" s="27"/>
      <c r="AE156" s="76" t="s">
        <v>1996</v>
      </c>
    </row>
    <row r="157">
      <c r="A157" s="45" t="s">
        <v>64</v>
      </c>
      <c r="B157" s="45" t="s">
        <v>67</v>
      </c>
      <c r="C157" s="45" t="s">
        <v>2097</v>
      </c>
      <c r="D157" s="45" t="s">
        <v>2098</v>
      </c>
      <c r="E157" s="45" t="s">
        <v>2100</v>
      </c>
      <c r="F157" s="48">
        <v>573.0</v>
      </c>
      <c r="G157" s="51"/>
      <c r="H157" s="45" t="s">
        <v>82</v>
      </c>
      <c r="I157" s="45" t="s">
        <v>84</v>
      </c>
      <c r="J157" s="51"/>
      <c r="K157" s="55">
        <v>45370.0</v>
      </c>
      <c r="L157" s="55" t="str">
        <f t="shared" si="1"/>
        <v>2024</v>
      </c>
      <c r="M157" s="55">
        <v>45377.0</v>
      </c>
      <c r="N157" s="48" t="str">
        <f t="shared" si="2"/>
        <v>2024</v>
      </c>
      <c r="O157" s="58">
        <f t="shared" si="5"/>
        <v>7</v>
      </c>
      <c r="P157" s="58">
        <f t="shared" si="4"/>
        <v>0</v>
      </c>
      <c r="Q157" s="45" t="s">
        <v>106</v>
      </c>
      <c r="R157" s="51"/>
      <c r="S157" s="51"/>
      <c r="T157" s="45" t="s">
        <v>84</v>
      </c>
      <c r="U157" s="45" t="s">
        <v>2101</v>
      </c>
      <c r="V157" s="51"/>
      <c r="W157" s="45" t="s">
        <v>2102</v>
      </c>
      <c r="X157" s="51"/>
      <c r="Y157" s="51"/>
      <c r="Z157" s="51"/>
      <c r="AA157" s="45" t="s">
        <v>2104</v>
      </c>
      <c r="AB157" s="72"/>
      <c r="AC157" s="64" t="s">
        <v>820</v>
      </c>
      <c r="AD157" s="51"/>
      <c r="AE157" s="64" t="s">
        <v>124</v>
      </c>
    </row>
    <row r="158">
      <c r="A158" s="23" t="s">
        <v>64</v>
      </c>
      <c r="B158" s="23" t="s">
        <v>67</v>
      </c>
      <c r="C158" s="23" t="s">
        <v>2106</v>
      </c>
      <c r="D158" s="23" t="s">
        <v>2107</v>
      </c>
      <c r="E158" s="23" t="s">
        <v>2108</v>
      </c>
      <c r="F158" s="26">
        <v>577.0</v>
      </c>
      <c r="G158" s="26">
        <v>600323.0</v>
      </c>
      <c r="H158" s="23" t="s">
        <v>139</v>
      </c>
      <c r="I158" s="23" t="s">
        <v>248</v>
      </c>
      <c r="J158" s="27"/>
      <c r="K158" s="29">
        <v>45373.0</v>
      </c>
      <c r="L158" s="29" t="str">
        <f t="shared" si="1"/>
        <v>2024</v>
      </c>
      <c r="M158" s="29">
        <v>45560.0</v>
      </c>
      <c r="N158" s="26" t="str">
        <f t="shared" si="2"/>
        <v>2024</v>
      </c>
      <c r="O158" s="36">
        <f t="shared" si="5"/>
        <v>187</v>
      </c>
      <c r="P158" s="36">
        <f t="shared" si="4"/>
        <v>0</v>
      </c>
      <c r="Q158" s="23" t="s">
        <v>150</v>
      </c>
      <c r="R158" s="27"/>
      <c r="S158" s="27"/>
      <c r="T158" s="27"/>
      <c r="U158" s="23" t="s">
        <v>790</v>
      </c>
      <c r="V158" s="23" t="s">
        <v>2113</v>
      </c>
      <c r="W158" s="23" t="s">
        <v>2114</v>
      </c>
      <c r="X158" s="27"/>
      <c r="Y158" s="27"/>
      <c r="Z158" s="27"/>
      <c r="AA158" s="27"/>
      <c r="AB158" s="44"/>
      <c r="AC158" s="76" t="s">
        <v>162</v>
      </c>
      <c r="AD158" s="27"/>
      <c r="AE158" s="76" t="s">
        <v>124</v>
      </c>
    </row>
    <row r="159">
      <c r="A159" s="45" t="s">
        <v>64</v>
      </c>
      <c r="B159" s="45" t="s">
        <v>19</v>
      </c>
      <c r="C159" s="45" t="s">
        <v>1032</v>
      </c>
      <c r="D159" s="45" t="s">
        <v>2116</v>
      </c>
      <c r="E159" s="45" t="s">
        <v>2117</v>
      </c>
      <c r="F159" s="48">
        <v>585.0</v>
      </c>
      <c r="G159" s="48">
        <v>600335.0</v>
      </c>
      <c r="H159" s="45" t="s">
        <v>266</v>
      </c>
      <c r="I159" s="45" t="s">
        <v>226</v>
      </c>
      <c r="J159" s="51"/>
      <c r="K159" s="55">
        <v>45376.0</v>
      </c>
      <c r="L159" s="55" t="str">
        <f t="shared" si="1"/>
        <v>2024</v>
      </c>
      <c r="M159" s="55">
        <v>46008.0</v>
      </c>
      <c r="N159" s="48" t="str">
        <f t="shared" si="2"/>
        <v>2025</v>
      </c>
      <c r="O159" s="58">
        <f t="shared" si="5"/>
        <v>632</v>
      </c>
      <c r="P159" s="58">
        <f t="shared" si="4"/>
        <v>1</v>
      </c>
      <c r="Q159" s="45" t="s">
        <v>150</v>
      </c>
      <c r="R159" s="51"/>
      <c r="S159" s="48" t="s">
        <v>269</v>
      </c>
      <c r="T159" s="45" t="s">
        <v>233</v>
      </c>
      <c r="U159" s="45" t="s">
        <v>25</v>
      </c>
      <c r="V159" s="45" t="s">
        <v>104</v>
      </c>
      <c r="W159" s="45" t="s">
        <v>2123</v>
      </c>
      <c r="X159" s="51"/>
      <c r="Y159" s="51"/>
      <c r="Z159" s="51"/>
      <c r="AA159" s="45" t="s">
        <v>1995</v>
      </c>
      <c r="AB159" s="72"/>
      <c r="AC159" s="51"/>
      <c r="AD159" s="64" t="s">
        <v>2127</v>
      </c>
      <c r="AE159" s="64" t="s">
        <v>124</v>
      </c>
    </row>
    <row r="160">
      <c r="A160" s="23" t="s">
        <v>64</v>
      </c>
      <c r="B160" s="23" t="s">
        <v>19</v>
      </c>
      <c r="C160" s="23" t="s">
        <v>468</v>
      </c>
      <c r="D160" s="23" t="s">
        <v>2128</v>
      </c>
      <c r="E160" s="23" t="s">
        <v>2130</v>
      </c>
      <c r="F160" s="26">
        <v>586.0</v>
      </c>
      <c r="G160" s="26">
        <v>600330.0</v>
      </c>
      <c r="H160" s="23" t="s">
        <v>2132</v>
      </c>
      <c r="I160" s="23" t="s">
        <v>226</v>
      </c>
      <c r="J160" s="27"/>
      <c r="K160" s="29">
        <v>45376.0</v>
      </c>
      <c r="L160" s="29" t="str">
        <f t="shared" si="1"/>
        <v>2024</v>
      </c>
      <c r="M160" s="29">
        <v>46623.0</v>
      </c>
      <c r="N160" s="26" t="str">
        <f t="shared" si="2"/>
        <v>2027</v>
      </c>
      <c r="O160" s="36">
        <f t="shared" si="5"/>
        <v>1247</v>
      </c>
      <c r="P160" s="36">
        <f t="shared" si="4"/>
        <v>3</v>
      </c>
      <c r="Q160" s="23" t="s">
        <v>348</v>
      </c>
      <c r="R160" s="27"/>
      <c r="S160" s="26" t="s">
        <v>269</v>
      </c>
      <c r="T160" s="23" t="s">
        <v>233</v>
      </c>
      <c r="U160" s="23" t="s">
        <v>1244</v>
      </c>
      <c r="V160" s="23" t="s">
        <v>104</v>
      </c>
      <c r="W160" s="23" t="s">
        <v>2137</v>
      </c>
      <c r="X160" s="27"/>
      <c r="Y160" s="27"/>
      <c r="Z160" s="27"/>
      <c r="AA160" s="23" t="s">
        <v>1995</v>
      </c>
      <c r="AB160" s="44"/>
      <c r="AC160" s="76" t="s">
        <v>777</v>
      </c>
      <c r="AD160" s="76" t="s">
        <v>14</v>
      </c>
      <c r="AE160" s="76" t="s">
        <v>124</v>
      </c>
    </row>
    <row r="161">
      <c r="A161" s="45" t="s">
        <v>64</v>
      </c>
      <c r="B161" s="45" t="s">
        <v>19</v>
      </c>
      <c r="C161" s="45" t="s">
        <v>881</v>
      </c>
      <c r="D161" s="45" t="s">
        <v>2141</v>
      </c>
      <c r="E161" s="45" t="s">
        <v>2143</v>
      </c>
      <c r="F161" s="48">
        <v>589.0</v>
      </c>
      <c r="G161" s="48">
        <v>600336.0</v>
      </c>
      <c r="H161" s="45" t="s">
        <v>266</v>
      </c>
      <c r="I161" s="45" t="s">
        <v>226</v>
      </c>
      <c r="J161" s="51"/>
      <c r="K161" s="55">
        <v>45376.0</v>
      </c>
      <c r="L161" s="55" t="str">
        <f t="shared" si="1"/>
        <v>2024</v>
      </c>
      <c r="M161" s="55">
        <v>46387.0</v>
      </c>
      <c r="N161" s="48" t="str">
        <f t="shared" si="2"/>
        <v>2026</v>
      </c>
      <c r="O161" s="58">
        <f t="shared" si="5"/>
        <v>1011</v>
      </c>
      <c r="P161" s="58">
        <f t="shared" si="4"/>
        <v>2</v>
      </c>
      <c r="Q161" s="45" t="s">
        <v>150</v>
      </c>
      <c r="R161" s="51"/>
      <c r="S161" s="48" t="s">
        <v>269</v>
      </c>
      <c r="T161" s="51"/>
      <c r="U161" s="45" t="s">
        <v>25</v>
      </c>
      <c r="V161" s="45" t="s">
        <v>104</v>
      </c>
      <c r="W161" s="45" t="s">
        <v>2148</v>
      </c>
      <c r="X161" s="45" t="s">
        <v>2149</v>
      </c>
      <c r="Y161" s="51"/>
      <c r="Z161" s="51"/>
      <c r="AA161" s="45" t="s">
        <v>1995</v>
      </c>
      <c r="AB161" s="72"/>
      <c r="AC161" s="51"/>
      <c r="AD161" s="64" t="s">
        <v>14</v>
      </c>
      <c r="AE161" s="64" t="s">
        <v>124</v>
      </c>
    </row>
    <row r="162">
      <c r="A162" s="23" t="s">
        <v>64</v>
      </c>
      <c r="B162" s="23" t="s">
        <v>19</v>
      </c>
      <c r="C162" s="23" t="s">
        <v>91</v>
      </c>
      <c r="D162" s="23" t="s">
        <v>2151</v>
      </c>
      <c r="E162" s="23" t="s">
        <v>2153</v>
      </c>
      <c r="F162" s="26">
        <v>587.0</v>
      </c>
      <c r="G162" s="26">
        <v>600329.0</v>
      </c>
      <c r="H162" s="23" t="s">
        <v>266</v>
      </c>
      <c r="I162" s="23" t="s">
        <v>226</v>
      </c>
      <c r="J162" s="27"/>
      <c r="K162" s="29">
        <v>45376.0</v>
      </c>
      <c r="L162" s="29" t="str">
        <f t="shared" si="1"/>
        <v>2024</v>
      </c>
      <c r="M162" s="29">
        <v>45776.0</v>
      </c>
      <c r="N162" s="26" t="str">
        <f t="shared" si="2"/>
        <v>2025</v>
      </c>
      <c r="O162" s="36">
        <f t="shared" si="5"/>
        <v>400</v>
      </c>
      <c r="P162" s="36">
        <f t="shared" si="4"/>
        <v>1</v>
      </c>
      <c r="Q162" s="23" t="s">
        <v>253</v>
      </c>
      <c r="R162" s="27"/>
      <c r="S162" s="26" t="s">
        <v>269</v>
      </c>
      <c r="T162" s="27"/>
      <c r="U162" s="23" t="s">
        <v>25</v>
      </c>
      <c r="V162" s="23" t="s">
        <v>104</v>
      </c>
      <c r="W162" s="23" t="s">
        <v>2159</v>
      </c>
      <c r="X162" s="27"/>
      <c r="Y162" s="27"/>
      <c r="Z162" s="27"/>
      <c r="AA162" s="23" t="s">
        <v>1995</v>
      </c>
      <c r="AB162" s="44"/>
      <c r="AC162" s="27"/>
      <c r="AD162" s="76" t="s">
        <v>14</v>
      </c>
      <c r="AE162" s="76" t="s">
        <v>162</v>
      </c>
    </row>
    <row r="163">
      <c r="A163" s="45" t="s">
        <v>64</v>
      </c>
      <c r="B163" s="45" t="s">
        <v>67</v>
      </c>
      <c r="C163" s="45" t="s">
        <v>2160</v>
      </c>
      <c r="D163" s="45" t="s">
        <v>2161</v>
      </c>
      <c r="E163" s="45" t="s">
        <v>2162</v>
      </c>
      <c r="F163" s="48">
        <v>588.0</v>
      </c>
      <c r="G163" s="48">
        <v>600328.0</v>
      </c>
      <c r="H163" s="45" t="s">
        <v>266</v>
      </c>
      <c r="I163" s="45" t="s">
        <v>226</v>
      </c>
      <c r="J163" s="51"/>
      <c r="K163" s="55">
        <v>45376.0</v>
      </c>
      <c r="L163" s="55" t="str">
        <f t="shared" si="1"/>
        <v>2024</v>
      </c>
      <c r="M163" s="55">
        <v>45657.0</v>
      </c>
      <c r="N163" s="48" t="str">
        <f t="shared" si="2"/>
        <v>2024</v>
      </c>
      <c r="O163" s="58">
        <f t="shared" si="5"/>
        <v>281</v>
      </c>
      <c r="P163" s="58">
        <f t="shared" si="4"/>
        <v>0</v>
      </c>
      <c r="Q163" s="45" t="s">
        <v>150</v>
      </c>
      <c r="R163" s="51"/>
      <c r="S163" s="48" t="s">
        <v>269</v>
      </c>
      <c r="T163" s="51"/>
      <c r="U163" s="45" t="s">
        <v>25</v>
      </c>
      <c r="V163" s="45" t="s">
        <v>104</v>
      </c>
      <c r="W163" s="45" t="s">
        <v>2167</v>
      </c>
      <c r="X163" s="51"/>
      <c r="Y163" s="51"/>
      <c r="Z163" s="51"/>
      <c r="AA163" s="45" t="s">
        <v>1995</v>
      </c>
      <c r="AB163" s="72"/>
      <c r="AC163" s="64" t="s">
        <v>162</v>
      </c>
      <c r="AD163" s="51"/>
      <c r="AE163" s="64" t="s">
        <v>124</v>
      </c>
    </row>
    <row r="164">
      <c r="A164" s="23" t="s">
        <v>64</v>
      </c>
      <c r="B164" s="23" t="s">
        <v>19</v>
      </c>
      <c r="C164" s="23" t="s">
        <v>2170</v>
      </c>
      <c r="D164" s="23" t="s">
        <v>2171</v>
      </c>
      <c r="E164" s="23" t="s">
        <v>2172</v>
      </c>
      <c r="F164" s="26">
        <v>590.0</v>
      </c>
      <c r="G164" s="26">
        <v>600331.0</v>
      </c>
      <c r="H164" s="23" t="s">
        <v>266</v>
      </c>
      <c r="I164" s="23" t="s">
        <v>226</v>
      </c>
      <c r="J164" s="27"/>
      <c r="K164" s="29">
        <v>45376.0</v>
      </c>
      <c r="L164" s="29" t="str">
        <f t="shared" si="1"/>
        <v>2024</v>
      </c>
      <c r="M164" s="29">
        <v>45741.0</v>
      </c>
      <c r="N164" s="26" t="str">
        <f t="shared" si="2"/>
        <v>2025</v>
      </c>
      <c r="O164" s="36">
        <f t="shared" si="5"/>
        <v>365</v>
      </c>
      <c r="P164" s="36">
        <f t="shared" si="4"/>
        <v>1</v>
      </c>
      <c r="Q164" s="23" t="s">
        <v>150</v>
      </c>
      <c r="R164" s="27"/>
      <c r="S164" s="26" t="s">
        <v>269</v>
      </c>
      <c r="T164" s="23" t="s">
        <v>146</v>
      </c>
      <c r="U164" s="23" t="s">
        <v>25</v>
      </c>
      <c r="V164" s="23" t="s">
        <v>104</v>
      </c>
      <c r="W164" s="23" t="s">
        <v>2177</v>
      </c>
      <c r="X164" s="23" t="s">
        <v>2178</v>
      </c>
      <c r="Y164" s="27"/>
      <c r="Z164" s="27"/>
      <c r="AA164" s="23" t="s">
        <v>1995</v>
      </c>
      <c r="AB164" s="44"/>
      <c r="AC164" s="27"/>
      <c r="AD164" s="27"/>
      <c r="AE164" s="76" t="s">
        <v>124</v>
      </c>
    </row>
    <row r="165">
      <c r="A165" s="45" t="s">
        <v>64</v>
      </c>
      <c r="B165" s="45" t="s">
        <v>67</v>
      </c>
      <c r="C165" s="45" t="s">
        <v>2180</v>
      </c>
      <c r="D165" s="45" t="s">
        <v>2181</v>
      </c>
      <c r="E165" s="45" t="s">
        <v>2182</v>
      </c>
      <c r="F165" s="48">
        <v>574.0</v>
      </c>
      <c r="G165" s="48">
        <v>600313.0</v>
      </c>
      <c r="H165" s="45" t="s">
        <v>266</v>
      </c>
      <c r="I165" s="45" t="s">
        <v>226</v>
      </c>
      <c r="J165" s="51"/>
      <c r="K165" s="55">
        <v>45363.0</v>
      </c>
      <c r="L165" s="55" t="str">
        <f t="shared" si="1"/>
        <v>2024</v>
      </c>
      <c r="M165" s="55">
        <v>45728.0</v>
      </c>
      <c r="N165" s="48" t="str">
        <f t="shared" si="2"/>
        <v>2025</v>
      </c>
      <c r="O165" s="58">
        <f t="shared" si="5"/>
        <v>365</v>
      </c>
      <c r="P165" s="58">
        <f t="shared" si="4"/>
        <v>1</v>
      </c>
      <c r="Q165" s="45" t="s">
        <v>150</v>
      </c>
      <c r="R165" s="51"/>
      <c r="S165" s="51"/>
      <c r="T165" s="51"/>
      <c r="U165" s="45" t="s">
        <v>790</v>
      </c>
      <c r="V165" s="45" t="s">
        <v>708</v>
      </c>
      <c r="W165" s="186" t="s">
        <v>2190</v>
      </c>
      <c r="X165" s="186" t="s">
        <v>2190</v>
      </c>
      <c r="Y165" s="51"/>
      <c r="Z165" s="51"/>
      <c r="AA165" s="51"/>
      <c r="AB165" s="72"/>
      <c r="AC165" s="64" t="s">
        <v>820</v>
      </c>
      <c r="AD165" s="64" t="s">
        <v>261</v>
      </c>
      <c r="AE165" s="64" t="s">
        <v>440</v>
      </c>
    </row>
    <row r="166">
      <c r="A166" s="23" t="s">
        <v>64</v>
      </c>
      <c r="B166" s="23" t="s">
        <v>67</v>
      </c>
      <c r="C166" s="23" t="s">
        <v>2194</v>
      </c>
      <c r="D166" s="23" t="s">
        <v>2196</v>
      </c>
      <c r="E166" s="144" t="s">
        <v>2198</v>
      </c>
      <c r="F166" s="26">
        <v>596.0</v>
      </c>
      <c r="G166" s="26">
        <v>600351.0</v>
      </c>
      <c r="H166" s="23" t="s">
        <v>139</v>
      </c>
      <c r="I166" s="23" t="s">
        <v>723</v>
      </c>
      <c r="J166" s="27"/>
      <c r="K166" s="29">
        <v>45379.0</v>
      </c>
      <c r="L166" s="29" t="str">
        <f t="shared" si="1"/>
        <v>2024</v>
      </c>
      <c r="M166" s="29">
        <v>45532.0</v>
      </c>
      <c r="N166" s="26" t="str">
        <f t="shared" si="2"/>
        <v>2024</v>
      </c>
      <c r="O166" s="36">
        <f t="shared" si="5"/>
        <v>153</v>
      </c>
      <c r="P166" s="36">
        <f t="shared" si="4"/>
        <v>0</v>
      </c>
      <c r="Q166" s="23" t="s">
        <v>150</v>
      </c>
      <c r="R166" s="27"/>
      <c r="S166" s="27"/>
      <c r="T166" s="27"/>
      <c r="U166" s="23" t="s">
        <v>1244</v>
      </c>
      <c r="V166" s="23" t="s">
        <v>708</v>
      </c>
      <c r="W166" s="144" t="s">
        <v>2207</v>
      </c>
      <c r="X166" s="27"/>
      <c r="Y166" s="27"/>
      <c r="Z166" s="27"/>
      <c r="AA166" s="27"/>
      <c r="AB166" s="44"/>
      <c r="AC166" s="76" t="s">
        <v>354</v>
      </c>
      <c r="AD166" s="27"/>
      <c r="AE166" s="76" t="s">
        <v>124</v>
      </c>
    </row>
    <row r="167">
      <c r="A167" s="45" t="s">
        <v>64</v>
      </c>
      <c r="B167" s="45" t="s">
        <v>67</v>
      </c>
      <c r="C167" s="45" t="s">
        <v>2215</v>
      </c>
      <c r="D167" s="45" t="s">
        <v>2216</v>
      </c>
      <c r="E167" s="45" t="s">
        <v>2217</v>
      </c>
      <c r="F167" s="48">
        <v>591.0</v>
      </c>
      <c r="G167" s="48">
        <v>600332.0</v>
      </c>
      <c r="H167" s="45" t="s">
        <v>266</v>
      </c>
      <c r="I167" s="45" t="s">
        <v>226</v>
      </c>
      <c r="J167" s="51"/>
      <c r="K167" s="55">
        <v>45376.0</v>
      </c>
      <c r="L167" s="55" t="str">
        <f t="shared" si="1"/>
        <v>2024</v>
      </c>
      <c r="M167" s="55">
        <v>45741.0</v>
      </c>
      <c r="N167" s="48" t="str">
        <f t="shared" si="2"/>
        <v>2025</v>
      </c>
      <c r="O167" s="58">
        <f t="shared" si="5"/>
        <v>365</v>
      </c>
      <c r="P167" s="58">
        <f t="shared" si="4"/>
        <v>1</v>
      </c>
      <c r="Q167" s="45" t="s">
        <v>150</v>
      </c>
      <c r="R167" s="51"/>
      <c r="S167" s="48" t="s">
        <v>269</v>
      </c>
      <c r="T167" s="45" t="s">
        <v>146</v>
      </c>
      <c r="U167" s="45" t="s">
        <v>25</v>
      </c>
      <c r="V167" s="45" t="s">
        <v>104</v>
      </c>
      <c r="W167" s="45" t="s">
        <v>2220</v>
      </c>
      <c r="X167" s="51"/>
      <c r="Y167" s="51"/>
      <c r="Z167" s="51"/>
      <c r="AA167" s="45" t="s">
        <v>1995</v>
      </c>
      <c r="AB167" s="72"/>
      <c r="AC167" s="64" t="s">
        <v>820</v>
      </c>
      <c r="AD167" s="51"/>
      <c r="AE167" s="64" t="s">
        <v>124</v>
      </c>
    </row>
    <row r="168">
      <c r="A168" s="23" t="s">
        <v>64</v>
      </c>
      <c r="B168" s="23" t="s">
        <v>67</v>
      </c>
      <c r="C168" s="23" t="s">
        <v>2223</v>
      </c>
      <c r="D168" s="23" t="s">
        <v>2225</v>
      </c>
      <c r="E168" s="23" t="s">
        <v>2226</v>
      </c>
      <c r="F168" s="26">
        <v>605.0</v>
      </c>
      <c r="G168" s="26">
        <v>600327.0</v>
      </c>
      <c r="H168" s="23" t="s">
        <v>266</v>
      </c>
      <c r="I168" s="23" t="s">
        <v>226</v>
      </c>
      <c r="J168" s="27"/>
      <c r="K168" s="29">
        <v>45384.0</v>
      </c>
      <c r="L168" s="29" t="str">
        <f t="shared" si="1"/>
        <v>2024</v>
      </c>
      <c r="M168" s="29">
        <v>45812.0</v>
      </c>
      <c r="N168" s="26" t="str">
        <f t="shared" si="2"/>
        <v>2025</v>
      </c>
      <c r="O168" s="36">
        <f t="shared" si="5"/>
        <v>428</v>
      </c>
      <c r="P168" s="36">
        <f t="shared" si="4"/>
        <v>1</v>
      </c>
      <c r="Q168" s="23" t="s">
        <v>253</v>
      </c>
      <c r="R168" s="27"/>
      <c r="S168" s="26" t="s">
        <v>269</v>
      </c>
      <c r="T168" s="27"/>
      <c r="U168" s="23" t="s">
        <v>25</v>
      </c>
      <c r="V168" s="23" t="s">
        <v>104</v>
      </c>
      <c r="W168" s="27"/>
      <c r="X168" s="27"/>
      <c r="Y168" s="27"/>
      <c r="Z168" s="27"/>
      <c r="AA168" s="23" t="s">
        <v>1995</v>
      </c>
      <c r="AB168" s="44"/>
      <c r="AC168" s="27"/>
      <c r="AD168" s="27"/>
      <c r="AE168" s="76" t="s">
        <v>124</v>
      </c>
    </row>
    <row r="169">
      <c r="A169" s="45" t="s">
        <v>64</v>
      </c>
      <c r="B169" s="45" t="s">
        <v>67</v>
      </c>
      <c r="C169" s="45" t="s">
        <v>2234</v>
      </c>
      <c r="D169" s="45" t="s">
        <v>2235</v>
      </c>
      <c r="E169" s="45" t="s">
        <v>2236</v>
      </c>
      <c r="F169" s="48">
        <v>604.0</v>
      </c>
      <c r="G169" s="51"/>
      <c r="H169" s="45" t="s">
        <v>187</v>
      </c>
      <c r="I169" s="53"/>
      <c r="J169" s="51"/>
      <c r="K169" s="55">
        <v>45384.0</v>
      </c>
      <c r="L169" s="55" t="str">
        <f t="shared" si="1"/>
        <v>2024</v>
      </c>
      <c r="M169" s="55">
        <v>45387.0</v>
      </c>
      <c r="N169" s="48" t="str">
        <f t="shared" si="2"/>
        <v>2024</v>
      </c>
      <c r="O169" s="58">
        <f t="shared" si="5"/>
        <v>3</v>
      </c>
      <c r="P169" s="58">
        <f t="shared" si="4"/>
        <v>0</v>
      </c>
      <c r="Q169" s="45" t="s">
        <v>106</v>
      </c>
      <c r="R169" s="51"/>
      <c r="S169" s="51"/>
      <c r="T169" s="45" t="s">
        <v>233</v>
      </c>
      <c r="U169" s="45" t="s">
        <v>1244</v>
      </c>
      <c r="V169" s="51"/>
      <c r="W169" s="45" t="s">
        <v>2238</v>
      </c>
      <c r="X169" s="51"/>
      <c r="Y169" s="51"/>
      <c r="Z169" s="51"/>
      <c r="AA169" s="45" t="s">
        <v>2239</v>
      </c>
      <c r="AB169" s="72"/>
      <c r="AC169" s="64" t="s">
        <v>820</v>
      </c>
      <c r="AD169" s="51"/>
      <c r="AE169" s="64" t="s">
        <v>1996</v>
      </c>
    </row>
    <row r="170">
      <c r="A170" s="23" t="s">
        <v>64</v>
      </c>
      <c r="B170" s="23" t="s">
        <v>67</v>
      </c>
      <c r="C170" s="23" t="s">
        <v>2241</v>
      </c>
      <c r="D170" s="23" t="s">
        <v>2242</v>
      </c>
      <c r="E170" s="23" t="s">
        <v>2244</v>
      </c>
      <c r="F170" s="26">
        <v>608.0</v>
      </c>
      <c r="G170" s="26">
        <v>600356.0</v>
      </c>
      <c r="H170" s="23" t="s">
        <v>82</v>
      </c>
      <c r="I170" s="23" t="s">
        <v>84</v>
      </c>
      <c r="J170" s="27"/>
      <c r="K170" s="29">
        <v>45398.0</v>
      </c>
      <c r="L170" s="29" t="str">
        <f t="shared" si="1"/>
        <v>2024</v>
      </c>
      <c r="M170" s="29">
        <v>45404.0</v>
      </c>
      <c r="N170" s="26" t="str">
        <f t="shared" si="2"/>
        <v>2024</v>
      </c>
      <c r="O170" s="36">
        <f t="shared" si="5"/>
        <v>6</v>
      </c>
      <c r="P170" s="36">
        <f t="shared" si="4"/>
        <v>0</v>
      </c>
      <c r="Q170" s="23" t="s">
        <v>106</v>
      </c>
      <c r="R170" s="27"/>
      <c r="S170" s="27"/>
      <c r="T170" s="23" t="s">
        <v>84</v>
      </c>
      <c r="U170" s="27"/>
      <c r="V170" s="27"/>
      <c r="W170" s="144" t="s">
        <v>2251</v>
      </c>
      <c r="X170" s="27"/>
      <c r="Y170" s="27"/>
      <c r="Z170" s="27"/>
      <c r="AA170" s="23" t="s">
        <v>2256</v>
      </c>
      <c r="AB170" s="189"/>
      <c r="AC170" s="76" t="s">
        <v>820</v>
      </c>
      <c r="AD170" s="27"/>
      <c r="AE170" s="76" t="s">
        <v>124</v>
      </c>
    </row>
    <row r="171">
      <c r="A171" s="45" t="s">
        <v>64</v>
      </c>
      <c r="B171" s="45" t="s">
        <v>67</v>
      </c>
      <c r="C171" s="45" t="s">
        <v>2259</v>
      </c>
      <c r="D171" s="45" t="s">
        <v>2260</v>
      </c>
      <c r="E171" s="45" t="s">
        <v>2261</v>
      </c>
      <c r="F171" s="48">
        <v>610.0</v>
      </c>
      <c r="G171" s="48">
        <v>600358.0</v>
      </c>
      <c r="H171" s="45" t="s">
        <v>139</v>
      </c>
      <c r="I171" s="45" t="s">
        <v>1239</v>
      </c>
      <c r="J171" s="51"/>
      <c r="K171" s="55">
        <v>45390.0</v>
      </c>
      <c r="L171" s="55" t="str">
        <f t="shared" si="1"/>
        <v>2024</v>
      </c>
      <c r="M171" s="55">
        <v>45580.0</v>
      </c>
      <c r="N171" s="48" t="str">
        <f t="shared" si="2"/>
        <v>2024</v>
      </c>
      <c r="O171" s="58">
        <f t="shared" si="5"/>
        <v>190</v>
      </c>
      <c r="P171" s="58">
        <f t="shared" si="4"/>
        <v>0</v>
      </c>
      <c r="Q171" s="45" t="s">
        <v>150</v>
      </c>
      <c r="R171" s="51"/>
      <c r="S171" s="48" t="s">
        <v>113</v>
      </c>
      <c r="T171" s="45" t="s">
        <v>233</v>
      </c>
      <c r="U171" s="45" t="s">
        <v>790</v>
      </c>
      <c r="V171" s="45" t="s">
        <v>708</v>
      </c>
      <c r="W171" s="142" t="s">
        <v>2265</v>
      </c>
      <c r="X171" s="51"/>
      <c r="Y171" s="51"/>
      <c r="Z171" s="51"/>
      <c r="AA171" s="51"/>
      <c r="AB171" s="72"/>
      <c r="AC171" s="64" t="s">
        <v>820</v>
      </c>
      <c r="AD171" s="51"/>
      <c r="AE171" s="64" t="s">
        <v>124</v>
      </c>
    </row>
    <row r="172">
      <c r="A172" s="23" t="s">
        <v>64</v>
      </c>
      <c r="B172" s="23" t="s">
        <v>19</v>
      </c>
      <c r="C172" s="23" t="s">
        <v>2271</v>
      </c>
      <c r="D172" s="23" t="s">
        <v>2272</v>
      </c>
      <c r="E172" s="23" t="s">
        <v>2273</v>
      </c>
      <c r="F172" s="26">
        <v>611.0</v>
      </c>
      <c r="G172" s="26">
        <v>600368.0</v>
      </c>
      <c r="H172" s="23" t="s">
        <v>139</v>
      </c>
      <c r="I172" s="88"/>
      <c r="J172" s="27"/>
      <c r="K172" s="29">
        <v>45386.0</v>
      </c>
      <c r="L172" s="29" t="str">
        <f t="shared" si="1"/>
        <v>2024</v>
      </c>
      <c r="M172" s="29">
        <v>46130.0</v>
      </c>
      <c r="N172" s="26" t="str">
        <f t="shared" si="2"/>
        <v>2026</v>
      </c>
      <c r="O172" s="36">
        <f t="shared" si="5"/>
        <v>744</v>
      </c>
      <c r="P172" s="36">
        <f t="shared" si="4"/>
        <v>2</v>
      </c>
      <c r="Q172" s="23" t="s">
        <v>150</v>
      </c>
      <c r="R172" s="27"/>
      <c r="S172" s="27"/>
      <c r="T172" s="23" t="s">
        <v>146</v>
      </c>
      <c r="U172" s="27"/>
      <c r="V172" s="23" t="s">
        <v>104</v>
      </c>
      <c r="W172" s="23" t="s">
        <v>2277</v>
      </c>
      <c r="X172" s="23" t="s">
        <v>2277</v>
      </c>
      <c r="Y172" s="27"/>
      <c r="Z172" s="27"/>
      <c r="AA172" s="23" t="s">
        <v>2278</v>
      </c>
      <c r="AB172" s="44"/>
      <c r="AC172" s="76" t="s">
        <v>820</v>
      </c>
      <c r="AD172" s="76" t="s">
        <v>123</v>
      </c>
      <c r="AE172" s="76" t="s">
        <v>476</v>
      </c>
    </row>
    <row r="173">
      <c r="A173" s="45" t="s">
        <v>64</v>
      </c>
      <c r="B173" s="45" t="s">
        <v>67</v>
      </c>
      <c r="C173" s="45" t="s">
        <v>2280</v>
      </c>
      <c r="D173" s="45" t="s">
        <v>2283</v>
      </c>
      <c r="E173" s="142" t="s">
        <v>2285</v>
      </c>
      <c r="F173" s="48">
        <v>614.0</v>
      </c>
      <c r="G173" s="51"/>
      <c r="H173" s="45" t="s">
        <v>187</v>
      </c>
      <c r="I173" s="45" t="s">
        <v>1148</v>
      </c>
      <c r="J173" s="51"/>
      <c r="K173" s="55">
        <v>45391.0</v>
      </c>
      <c r="L173" s="55" t="str">
        <f t="shared" si="1"/>
        <v>2024</v>
      </c>
      <c r="M173" s="55">
        <v>45572.0</v>
      </c>
      <c r="N173" s="48" t="str">
        <f t="shared" si="2"/>
        <v>2024</v>
      </c>
      <c r="O173" s="58">
        <f t="shared" si="5"/>
        <v>181</v>
      </c>
      <c r="P173" s="58">
        <f t="shared" si="4"/>
        <v>0</v>
      </c>
      <c r="Q173" s="45" t="s">
        <v>150</v>
      </c>
      <c r="R173" s="51"/>
      <c r="S173" s="51"/>
      <c r="T173" s="51"/>
      <c r="U173" s="45" t="s">
        <v>1244</v>
      </c>
      <c r="V173" s="45" t="s">
        <v>104</v>
      </c>
      <c r="W173" s="142" t="s">
        <v>2292</v>
      </c>
      <c r="X173" s="51"/>
      <c r="Y173" s="51"/>
      <c r="Z173" s="51"/>
      <c r="AA173" s="51"/>
      <c r="AB173" s="72"/>
      <c r="AC173" s="64" t="s">
        <v>354</v>
      </c>
      <c r="AD173" s="51"/>
      <c r="AE173" s="64" t="s">
        <v>124</v>
      </c>
    </row>
    <row r="174">
      <c r="A174" s="23" t="s">
        <v>64</v>
      </c>
      <c r="B174" s="23" t="s">
        <v>67</v>
      </c>
      <c r="C174" s="23" t="s">
        <v>2023</v>
      </c>
      <c r="D174" s="23" t="s">
        <v>2295</v>
      </c>
      <c r="E174" s="144" t="s">
        <v>2296</v>
      </c>
      <c r="F174" s="26">
        <v>615.0</v>
      </c>
      <c r="G174" s="26">
        <v>600298.0</v>
      </c>
      <c r="H174" s="23" t="s">
        <v>139</v>
      </c>
      <c r="I174" s="23" t="s">
        <v>226</v>
      </c>
      <c r="J174" s="27"/>
      <c r="K174" s="29">
        <v>45391.0</v>
      </c>
      <c r="L174" s="29" t="str">
        <f t="shared" si="1"/>
        <v>2024</v>
      </c>
      <c r="M174" s="29">
        <v>45756.0</v>
      </c>
      <c r="N174" s="26" t="str">
        <f t="shared" si="2"/>
        <v>2025</v>
      </c>
      <c r="O174" s="36">
        <f t="shared" si="5"/>
        <v>365</v>
      </c>
      <c r="P174" s="36">
        <f t="shared" si="4"/>
        <v>1</v>
      </c>
      <c r="Q174" s="23" t="s">
        <v>150</v>
      </c>
      <c r="R174" s="27"/>
      <c r="S174" s="27"/>
      <c r="T174" s="27"/>
      <c r="U174" s="23" t="s">
        <v>1244</v>
      </c>
      <c r="V174" s="23" t="s">
        <v>104</v>
      </c>
      <c r="W174" s="144" t="s">
        <v>2299</v>
      </c>
      <c r="X174" s="27"/>
      <c r="Y174" s="27"/>
      <c r="Z174" s="27"/>
      <c r="AA174" s="27"/>
      <c r="AB174" s="44"/>
      <c r="AC174" s="76" t="s">
        <v>354</v>
      </c>
      <c r="AD174" s="27"/>
      <c r="AE174" s="76" t="s">
        <v>336</v>
      </c>
    </row>
    <row r="175">
      <c r="A175" s="45" t="s">
        <v>64</v>
      </c>
      <c r="B175" s="45" t="s">
        <v>19</v>
      </c>
      <c r="C175" s="45" t="s">
        <v>890</v>
      </c>
      <c r="D175" s="45" t="s">
        <v>2301</v>
      </c>
      <c r="E175" s="45" t="s">
        <v>2302</v>
      </c>
      <c r="F175" s="48">
        <v>616.0</v>
      </c>
      <c r="G175" s="48">
        <v>600365.0</v>
      </c>
      <c r="H175" s="45" t="s">
        <v>266</v>
      </c>
      <c r="I175" s="45" t="s">
        <v>226</v>
      </c>
      <c r="J175" s="51"/>
      <c r="K175" s="55">
        <v>45391.0</v>
      </c>
      <c r="L175" s="55" t="str">
        <f t="shared" si="1"/>
        <v>2024</v>
      </c>
      <c r="M175" s="55">
        <v>45756.0</v>
      </c>
      <c r="N175" s="48" t="str">
        <f t="shared" si="2"/>
        <v>2025</v>
      </c>
      <c r="O175" s="58">
        <f t="shared" si="5"/>
        <v>365</v>
      </c>
      <c r="P175" s="58">
        <f t="shared" si="4"/>
        <v>1</v>
      </c>
      <c r="Q175" s="45" t="s">
        <v>150</v>
      </c>
      <c r="R175" s="51"/>
      <c r="S175" s="51"/>
      <c r="T175" s="45" t="s">
        <v>146</v>
      </c>
      <c r="U175" s="45" t="s">
        <v>25</v>
      </c>
      <c r="V175" s="45" t="s">
        <v>104</v>
      </c>
      <c r="W175" s="45" t="s">
        <v>2306</v>
      </c>
      <c r="X175" s="51"/>
      <c r="Y175" s="51"/>
      <c r="Z175" s="51"/>
      <c r="AA175" s="45" t="s">
        <v>1995</v>
      </c>
      <c r="AB175" s="72"/>
      <c r="AC175" s="51"/>
      <c r="AD175" s="64" t="s">
        <v>14</v>
      </c>
      <c r="AE175" s="64" t="s">
        <v>124</v>
      </c>
    </row>
    <row r="176">
      <c r="A176" s="23" t="s">
        <v>64</v>
      </c>
      <c r="B176" s="23" t="s">
        <v>19</v>
      </c>
      <c r="C176" s="23" t="s">
        <v>925</v>
      </c>
      <c r="D176" s="23" t="s">
        <v>2308</v>
      </c>
      <c r="E176" s="23" t="s">
        <v>2309</v>
      </c>
      <c r="F176" s="26">
        <v>618.0</v>
      </c>
      <c r="G176" s="26">
        <v>600039.0</v>
      </c>
      <c r="H176" s="23" t="s">
        <v>2132</v>
      </c>
      <c r="I176" s="23" t="s">
        <v>226</v>
      </c>
      <c r="J176" s="27"/>
      <c r="K176" s="29">
        <v>45398.0</v>
      </c>
      <c r="L176" s="29" t="str">
        <f t="shared" si="1"/>
        <v>2024</v>
      </c>
      <c r="M176" s="29">
        <v>46623.0</v>
      </c>
      <c r="N176" s="26" t="str">
        <f t="shared" si="2"/>
        <v>2027</v>
      </c>
      <c r="O176" s="36">
        <f t="shared" si="5"/>
        <v>1225</v>
      </c>
      <c r="P176" s="36">
        <f t="shared" si="4"/>
        <v>3</v>
      </c>
      <c r="Q176" s="23" t="s">
        <v>348</v>
      </c>
      <c r="R176" s="27"/>
      <c r="S176" s="27"/>
      <c r="T176" s="23" t="s">
        <v>233</v>
      </c>
      <c r="U176" s="23" t="s">
        <v>1244</v>
      </c>
      <c r="V176" s="23" t="s">
        <v>104</v>
      </c>
      <c r="W176" s="23" t="s">
        <v>2312</v>
      </c>
      <c r="X176" s="27"/>
      <c r="Y176" s="27"/>
      <c r="Z176" s="27"/>
      <c r="AA176" s="23" t="s">
        <v>1995</v>
      </c>
      <c r="AB176" s="44"/>
      <c r="AC176" s="76" t="s">
        <v>777</v>
      </c>
      <c r="AD176" s="76" t="s">
        <v>14</v>
      </c>
      <c r="AE176" s="76" t="s">
        <v>124</v>
      </c>
    </row>
    <row r="177">
      <c r="A177" s="45" t="s">
        <v>64</v>
      </c>
      <c r="B177" s="45" t="s">
        <v>67</v>
      </c>
      <c r="C177" s="45" t="s">
        <v>2313</v>
      </c>
      <c r="D177" s="45" t="s">
        <v>2314</v>
      </c>
      <c r="E177" s="45" t="s">
        <v>2315</v>
      </c>
      <c r="F177" s="48">
        <v>612.0</v>
      </c>
      <c r="G177" s="48">
        <v>60388.0</v>
      </c>
      <c r="H177" s="45" t="s">
        <v>84</v>
      </c>
      <c r="I177" s="45" t="s">
        <v>84</v>
      </c>
      <c r="J177" s="51"/>
      <c r="K177" s="55">
        <v>45387.0</v>
      </c>
      <c r="L177" s="55" t="str">
        <f t="shared" si="1"/>
        <v>2024</v>
      </c>
      <c r="M177" s="55">
        <v>45812.0</v>
      </c>
      <c r="N177" s="48" t="str">
        <f t="shared" si="2"/>
        <v>2025</v>
      </c>
      <c r="O177" s="58">
        <f t="shared" si="5"/>
        <v>425</v>
      </c>
      <c r="P177" s="58">
        <f t="shared" si="4"/>
        <v>1</v>
      </c>
      <c r="Q177" s="45" t="s">
        <v>150</v>
      </c>
      <c r="R177" s="51"/>
      <c r="S177" s="48" t="s">
        <v>113</v>
      </c>
      <c r="T177" s="45" t="s">
        <v>84</v>
      </c>
      <c r="U177" s="45" t="s">
        <v>790</v>
      </c>
      <c r="V177" s="45" t="s">
        <v>104</v>
      </c>
      <c r="W177" s="45" t="s">
        <v>2320</v>
      </c>
      <c r="X177" s="45" t="s">
        <v>2320</v>
      </c>
      <c r="Y177" s="51"/>
      <c r="Z177" s="51"/>
      <c r="AA177" s="51"/>
      <c r="AB177" s="72"/>
      <c r="AC177" s="64" t="s">
        <v>820</v>
      </c>
      <c r="AD177" s="64" t="s">
        <v>14</v>
      </c>
      <c r="AE177" s="64" t="s">
        <v>336</v>
      </c>
    </row>
    <row r="178">
      <c r="A178" s="23" t="s">
        <v>64</v>
      </c>
      <c r="B178" s="23" t="s">
        <v>67</v>
      </c>
      <c r="C178" s="23" t="s">
        <v>1085</v>
      </c>
      <c r="D178" s="23" t="s">
        <v>2323</v>
      </c>
      <c r="E178" s="23" t="s">
        <v>2325</v>
      </c>
      <c r="F178" s="26">
        <v>622.0</v>
      </c>
      <c r="G178" s="26">
        <v>600370.0</v>
      </c>
      <c r="H178" s="23" t="s">
        <v>266</v>
      </c>
      <c r="I178" s="23" t="s">
        <v>226</v>
      </c>
      <c r="J178" s="27"/>
      <c r="K178" s="29">
        <v>45404.0</v>
      </c>
      <c r="L178" s="29" t="str">
        <f t="shared" si="1"/>
        <v>2024</v>
      </c>
      <c r="M178" s="29">
        <v>45769.0</v>
      </c>
      <c r="N178" s="26" t="str">
        <f t="shared" si="2"/>
        <v>2025</v>
      </c>
      <c r="O178" s="36">
        <f t="shared" si="5"/>
        <v>365</v>
      </c>
      <c r="P178" s="36">
        <f t="shared" si="4"/>
        <v>1</v>
      </c>
      <c r="Q178" s="23" t="s">
        <v>150</v>
      </c>
      <c r="R178" s="27"/>
      <c r="S178" s="27"/>
      <c r="T178" s="23" t="s">
        <v>233</v>
      </c>
      <c r="U178" s="23" t="s">
        <v>25</v>
      </c>
      <c r="V178" s="23" t="s">
        <v>104</v>
      </c>
      <c r="W178" s="23" t="s">
        <v>2326</v>
      </c>
      <c r="X178" s="23" t="s">
        <v>2326</v>
      </c>
      <c r="Y178" s="27"/>
      <c r="Z178" s="27"/>
      <c r="AA178" s="23" t="s">
        <v>1995</v>
      </c>
      <c r="AB178" s="44"/>
      <c r="AC178" s="76" t="s">
        <v>2330</v>
      </c>
      <c r="AD178" s="27"/>
      <c r="AE178" s="76" t="s">
        <v>2330</v>
      </c>
    </row>
    <row r="179">
      <c r="A179" s="45" t="s">
        <v>64</v>
      </c>
      <c r="B179" s="45" t="s">
        <v>19</v>
      </c>
      <c r="C179" s="45" t="s">
        <v>936</v>
      </c>
      <c r="D179" s="45" t="s">
        <v>2334</v>
      </c>
      <c r="E179" s="45" t="s">
        <v>2335</v>
      </c>
      <c r="F179" s="48">
        <v>625.0</v>
      </c>
      <c r="G179" s="48">
        <v>600188.0</v>
      </c>
      <c r="H179" s="45" t="s">
        <v>662</v>
      </c>
      <c r="I179" s="45" t="s">
        <v>84</v>
      </c>
      <c r="J179" s="51"/>
      <c r="K179" s="55">
        <v>45414.0</v>
      </c>
      <c r="L179" s="55" t="str">
        <f t="shared" si="1"/>
        <v>2024</v>
      </c>
      <c r="M179" s="55">
        <v>46269.0</v>
      </c>
      <c r="N179" s="48" t="str">
        <f t="shared" si="2"/>
        <v>2026</v>
      </c>
      <c r="O179" s="58">
        <f t="shared" si="5"/>
        <v>855</v>
      </c>
      <c r="P179" s="58">
        <f t="shared" si="4"/>
        <v>2</v>
      </c>
      <c r="Q179" s="45" t="s">
        <v>348</v>
      </c>
      <c r="R179" s="51"/>
      <c r="S179" s="51"/>
      <c r="T179" s="51"/>
      <c r="U179" s="45" t="s">
        <v>1244</v>
      </c>
      <c r="V179" s="45" t="s">
        <v>104</v>
      </c>
      <c r="W179" s="45" t="s">
        <v>1962</v>
      </c>
      <c r="X179" s="45" t="s">
        <v>1962</v>
      </c>
      <c r="Y179" s="51"/>
      <c r="Z179" s="51"/>
      <c r="AA179" s="45" t="s">
        <v>2339</v>
      </c>
      <c r="AB179" s="72"/>
      <c r="AC179" s="64" t="s">
        <v>777</v>
      </c>
      <c r="AD179" s="64" t="s">
        <v>261</v>
      </c>
      <c r="AE179" s="64" t="s">
        <v>1501</v>
      </c>
    </row>
    <row r="180">
      <c r="A180" s="23" t="s">
        <v>64</v>
      </c>
      <c r="B180" s="23" t="s">
        <v>67</v>
      </c>
      <c r="C180" s="23" t="s">
        <v>2344</v>
      </c>
      <c r="D180" s="23" t="s">
        <v>2345</v>
      </c>
      <c r="E180" s="23" t="s">
        <v>2346</v>
      </c>
      <c r="F180" s="26">
        <v>620.0</v>
      </c>
      <c r="G180" s="26">
        <v>600368.0</v>
      </c>
      <c r="H180" s="23" t="s">
        <v>464</v>
      </c>
      <c r="I180" s="23" t="s">
        <v>226</v>
      </c>
      <c r="J180" s="27"/>
      <c r="K180" s="29">
        <v>45404.0</v>
      </c>
      <c r="L180" s="29" t="str">
        <f t="shared" si="1"/>
        <v>2024</v>
      </c>
      <c r="M180" s="29">
        <v>45587.0</v>
      </c>
      <c r="N180" s="26" t="str">
        <f t="shared" si="2"/>
        <v>2024</v>
      </c>
      <c r="O180" s="36">
        <f t="shared" si="5"/>
        <v>183</v>
      </c>
      <c r="P180" s="36">
        <f t="shared" si="4"/>
        <v>0</v>
      </c>
      <c r="Q180" s="23" t="s">
        <v>150</v>
      </c>
      <c r="R180" s="27"/>
      <c r="S180" s="27"/>
      <c r="T180" s="23" t="s">
        <v>233</v>
      </c>
      <c r="U180" s="23" t="s">
        <v>790</v>
      </c>
      <c r="V180" s="23" t="s">
        <v>104</v>
      </c>
      <c r="W180" s="23" t="s">
        <v>2348</v>
      </c>
      <c r="X180" s="27"/>
      <c r="Y180" s="27"/>
      <c r="Z180" s="27"/>
      <c r="AA180" s="27"/>
      <c r="AB180" s="44"/>
      <c r="AC180" s="76" t="s">
        <v>820</v>
      </c>
      <c r="AD180" s="27"/>
      <c r="AE180" s="76" t="s">
        <v>476</v>
      </c>
    </row>
    <row r="181">
      <c r="A181" s="45" t="s">
        <v>64</v>
      </c>
      <c r="B181" s="45" t="s">
        <v>67</v>
      </c>
      <c r="C181" s="45" t="s">
        <v>2351</v>
      </c>
      <c r="D181" s="45" t="s">
        <v>2353</v>
      </c>
      <c r="E181" s="45" t="s">
        <v>2355</v>
      </c>
      <c r="F181" s="48">
        <v>626.0</v>
      </c>
      <c r="G181" s="51"/>
      <c r="H181" s="45" t="s">
        <v>187</v>
      </c>
      <c r="I181" s="53"/>
      <c r="J181" s="51"/>
      <c r="K181" s="55">
        <v>45414.0</v>
      </c>
      <c r="L181" s="55" t="str">
        <f t="shared" si="1"/>
        <v>2024</v>
      </c>
      <c r="M181" s="55">
        <v>45421.0</v>
      </c>
      <c r="N181" s="48" t="str">
        <f t="shared" si="2"/>
        <v>2024</v>
      </c>
      <c r="O181" s="58">
        <f t="shared" si="5"/>
        <v>7</v>
      </c>
      <c r="P181" s="58">
        <f t="shared" si="4"/>
        <v>0</v>
      </c>
      <c r="Q181" s="45" t="s">
        <v>106</v>
      </c>
      <c r="R181" s="51"/>
      <c r="S181" s="51"/>
      <c r="T181" s="45" t="s">
        <v>233</v>
      </c>
      <c r="U181" s="51"/>
      <c r="V181" s="51"/>
      <c r="W181" s="45" t="s">
        <v>2357</v>
      </c>
      <c r="X181" s="51"/>
      <c r="Y181" s="51"/>
      <c r="Z181" s="51"/>
      <c r="AA181" s="45" t="s">
        <v>2358</v>
      </c>
      <c r="AB181" s="72"/>
      <c r="AC181" s="64" t="s">
        <v>820</v>
      </c>
      <c r="AD181" s="51"/>
      <c r="AE181" s="64" t="s">
        <v>336</v>
      </c>
    </row>
    <row r="182">
      <c r="A182" s="23" t="s">
        <v>64</v>
      </c>
      <c r="B182" s="23" t="s">
        <v>19</v>
      </c>
      <c r="C182" s="23" t="s">
        <v>779</v>
      </c>
      <c r="D182" s="23" t="s">
        <v>2359</v>
      </c>
      <c r="E182" s="23" t="s">
        <v>2361</v>
      </c>
      <c r="F182" s="26">
        <v>629.0</v>
      </c>
      <c r="G182" s="26">
        <v>600130.0</v>
      </c>
      <c r="H182" s="23" t="s">
        <v>84</v>
      </c>
      <c r="I182" s="23" t="s">
        <v>84</v>
      </c>
      <c r="J182" s="27"/>
      <c r="K182" s="29">
        <v>45418.0</v>
      </c>
      <c r="L182" s="29" t="str">
        <f t="shared" si="1"/>
        <v>2024</v>
      </c>
      <c r="M182" s="29">
        <v>46022.0</v>
      </c>
      <c r="N182" s="26" t="str">
        <f t="shared" si="2"/>
        <v>2025</v>
      </c>
      <c r="O182" s="36">
        <f t="shared" si="5"/>
        <v>604</v>
      </c>
      <c r="P182" s="36">
        <f t="shared" si="4"/>
        <v>1</v>
      </c>
      <c r="Q182" s="23" t="s">
        <v>150</v>
      </c>
      <c r="R182" s="23" t="s">
        <v>2363</v>
      </c>
      <c r="S182" s="27"/>
      <c r="T182" s="23" t="s">
        <v>84</v>
      </c>
      <c r="U182" s="23" t="s">
        <v>25</v>
      </c>
      <c r="V182" s="27"/>
      <c r="W182" s="23" t="s">
        <v>2364</v>
      </c>
      <c r="X182" s="27"/>
      <c r="Y182" s="27"/>
      <c r="Z182" s="27"/>
      <c r="AA182" s="23" t="s">
        <v>2366</v>
      </c>
      <c r="AB182" s="44"/>
      <c r="AC182" s="27"/>
      <c r="AD182" s="76" t="s">
        <v>261</v>
      </c>
      <c r="AE182" s="76" t="s">
        <v>124</v>
      </c>
    </row>
    <row r="183">
      <c r="A183" s="45" t="s">
        <v>64</v>
      </c>
      <c r="B183" s="45" t="s">
        <v>19</v>
      </c>
      <c r="C183" s="45" t="s">
        <v>2368</v>
      </c>
      <c r="D183" s="45" t="s">
        <v>2369</v>
      </c>
      <c r="E183" s="45" t="s">
        <v>2370</v>
      </c>
      <c r="F183" s="48">
        <v>630.0</v>
      </c>
      <c r="G183" s="48">
        <v>600382.0</v>
      </c>
      <c r="H183" s="45" t="s">
        <v>662</v>
      </c>
      <c r="I183" s="45" t="s">
        <v>84</v>
      </c>
      <c r="J183" s="51"/>
      <c r="K183" s="55">
        <v>45422.0</v>
      </c>
      <c r="L183" s="55" t="str">
        <f t="shared" si="1"/>
        <v>2024</v>
      </c>
      <c r="M183" s="55">
        <v>46204.0</v>
      </c>
      <c r="N183" s="48" t="str">
        <f t="shared" si="2"/>
        <v>2026</v>
      </c>
      <c r="O183" s="58">
        <f t="shared" si="5"/>
        <v>782</v>
      </c>
      <c r="P183" s="58">
        <f t="shared" si="4"/>
        <v>2</v>
      </c>
      <c r="Q183" s="45" t="s">
        <v>253</v>
      </c>
      <c r="R183" s="45" t="s">
        <v>2375</v>
      </c>
      <c r="S183" s="51"/>
      <c r="T183" s="45" t="s">
        <v>84</v>
      </c>
      <c r="U183" s="45" t="s">
        <v>1244</v>
      </c>
      <c r="V183" s="45" t="s">
        <v>104</v>
      </c>
      <c r="W183" s="142" t="s">
        <v>2377</v>
      </c>
      <c r="X183" s="45" t="s">
        <v>2381</v>
      </c>
      <c r="Y183" s="51"/>
      <c r="Z183" s="51"/>
      <c r="AA183" s="45" t="s">
        <v>2382</v>
      </c>
      <c r="AB183" s="72"/>
      <c r="AC183" s="64" t="s">
        <v>777</v>
      </c>
      <c r="AD183" s="64" t="s">
        <v>261</v>
      </c>
      <c r="AE183" s="64" t="s">
        <v>124</v>
      </c>
    </row>
    <row r="184">
      <c r="A184" s="23" t="s">
        <v>64</v>
      </c>
      <c r="B184" s="23" t="s">
        <v>67</v>
      </c>
      <c r="C184" s="23" t="s">
        <v>2383</v>
      </c>
      <c r="D184" s="23" t="s">
        <v>2385</v>
      </c>
      <c r="E184" s="23" t="s">
        <v>2386</v>
      </c>
      <c r="F184" s="26">
        <v>634.0</v>
      </c>
      <c r="G184" s="26">
        <v>600391.0</v>
      </c>
      <c r="H184" s="23" t="s">
        <v>266</v>
      </c>
      <c r="I184" s="23" t="s">
        <v>226</v>
      </c>
      <c r="J184" s="27"/>
      <c r="K184" s="29">
        <v>45425.0</v>
      </c>
      <c r="L184" s="29" t="str">
        <f t="shared" si="1"/>
        <v>2024</v>
      </c>
      <c r="M184" s="29">
        <v>45789.0</v>
      </c>
      <c r="N184" s="26" t="str">
        <f t="shared" si="2"/>
        <v>2025</v>
      </c>
      <c r="O184" s="36">
        <f t="shared" si="5"/>
        <v>364</v>
      </c>
      <c r="P184" s="36">
        <f t="shared" si="4"/>
        <v>0</v>
      </c>
      <c r="Q184" s="23" t="s">
        <v>150</v>
      </c>
      <c r="R184" s="27"/>
      <c r="S184" s="27"/>
      <c r="T184" s="23" t="s">
        <v>233</v>
      </c>
      <c r="U184" s="23" t="s">
        <v>25</v>
      </c>
      <c r="V184" s="23" t="s">
        <v>104</v>
      </c>
      <c r="W184" s="23" t="s">
        <v>2390</v>
      </c>
      <c r="X184" s="27"/>
      <c r="Y184" s="27"/>
      <c r="Z184" s="27"/>
      <c r="AA184" s="23" t="s">
        <v>1995</v>
      </c>
      <c r="AB184" s="44"/>
      <c r="AC184" s="27"/>
      <c r="AD184" s="76" t="s">
        <v>2127</v>
      </c>
      <c r="AE184" s="76" t="s">
        <v>124</v>
      </c>
    </row>
    <row r="185">
      <c r="A185" s="45" t="s">
        <v>64</v>
      </c>
      <c r="B185" s="45" t="s">
        <v>67</v>
      </c>
      <c r="C185" s="45" t="s">
        <v>2391</v>
      </c>
      <c r="D185" s="45" t="s">
        <v>2392</v>
      </c>
      <c r="E185" s="45" t="s">
        <v>2394</v>
      </c>
      <c r="F185" s="48">
        <v>636.0</v>
      </c>
      <c r="G185" s="48">
        <v>11233.0</v>
      </c>
      <c r="H185" s="45" t="s">
        <v>464</v>
      </c>
      <c r="I185" s="45" t="s">
        <v>226</v>
      </c>
      <c r="J185" s="45" t="s">
        <v>243</v>
      </c>
      <c r="K185" s="55">
        <v>45427.0</v>
      </c>
      <c r="L185" s="55" t="str">
        <f t="shared" si="1"/>
        <v>2024</v>
      </c>
      <c r="M185" s="55">
        <v>45792.0</v>
      </c>
      <c r="N185" s="48" t="str">
        <f t="shared" si="2"/>
        <v>2025</v>
      </c>
      <c r="O185" s="58">
        <f t="shared" si="5"/>
        <v>365</v>
      </c>
      <c r="P185" s="58">
        <f t="shared" si="4"/>
        <v>1</v>
      </c>
      <c r="Q185" s="45" t="s">
        <v>150</v>
      </c>
      <c r="R185" s="51"/>
      <c r="S185" s="51"/>
      <c r="T185" s="45" t="s">
        <v>233</v>
      </c>
      <c r="U185" s="45" t="s">
        <v>25</v>
      </c>
      <c r="V185" s="45" t="s">
        <v>104</v>
      </c>
      <c r="W185" s="45" t="s">
        <v>2396</v>
      </c>
      <c r="X185" s="51"/>
      <c r="Y185" s="51"/>
      <c r="Z185" s="51"/>
      <c r="AA185" s="45" t="s">
        <v>2397</v>
      </c>
      <c r="AB185" s="72"/>
      <c r="AC185" s="64" t="s">
        <v>162</v>
      </c>
      <c r="AD185" s="51"/>
      <c r="AE185" s="64" t="s">
        <v>2330</v>
      </c>
    </row>
    <row r="186">
      <c r="A186" s="23" t="s">
        <v>64</v>
      </c>
      <c r="B186" s="23" t="s">
        <v>67</v>
      </c>
      <c r="C186" s="23" t="s">
        <v>2398</v>
      </c>
      <c r="D186" s="23" t="s">
        <v>2399</v>
      </c>
      <c r="E186" s="144" t="s">
        <v>2400</v>
      </c>
      <c r="F186" s="26">
        <v>639.0</v>
      </c>
      <c r="G186" s="26">
        <v>600394.0</v>
      </c>
      <c r="H186" s="23" t="s">
        <v>82</v>
      </c>
      <c r="I186" s="23" t="s">
        <v>84</v>
      </c>
      <c r="J186" s="27"/>
      <c r="K186" s="29">
        <v>45429.0</v>
      </c>
      <c r="L186" s="29" t="str">
        <f t="shared" si="1"/>
        <v>2024</v>
      </c>
      <c r="M186" s="29">
        <v>45432.0</v>
      </c>
      <c r="N186" s="26" t="str">
        <f t="shared" si="2"/>
        <v>2024</v>
      </c>
      <c r="O186" s="36">
        <f t="shared" si="5"/>
        <v>3</v>
      </c>
      <c r="P186" s="36">
        <f t="shared" si="4"/>
        <v>0</v>
      </c>
      <c r="Q186" s="23" t="s">
        <v>106</v>
      </c>
      <c r="R186" s="27"/>
      <c r="S186" s="27"/>
      <c r="T186" s="23" t="s">
        <v>84</v>
      </c>
      <c r="U186" s="23" t="s">
        <v>790</v>
      </c>
      <c r="V186" s="23" t="s">
        <v>106</v>
      </c>
      <c r="W186" s="144" t="s">
        <v>2405</v>
      </c>
      <c r="X186" s="27"/>
      <c r="Y186" s="27"/>
      <c r="Z186" s="27"/>
      <c r="AA186" s="27"/>
      <c r="AB186" s="44"/>
      <c r="AC186" s="76" t="s">
        <v>354</v>
      </c>
      <c r="AD186" s="27"/>
      <c r="AE186" s="76" t="s">
        <v>124</v>
      </c>
    </row>
    <row r="187">
      <c r="A187" s="45" t="s">
        <v>64</v>
      </c>
      <c r="B187" s="45" t="s">
        <v>67</v>
      </c>
      <c r="C187" s="45" t="s">
        <v>2407</v>
      </c>
      <c r="D187" s="45" t="s">
        <v>2408</v>
      </c>
      <c r="E187" s="142" t="s">
        <v>2409</v>
      </c>
      <c r="F187" s="48">
        <v>688.0</v>
      </c>
      <c r="G187" s="51"/>
      <c r="H187" s="45" t="s">
        <v>82</v>
      </c>
      <c r="I187" s="45" t="s">
        <v>84</v>
      </c>
      <c r="J187" s="45" t="s">
        <v>782</v>
      </c>
      <c r="K187" s="55">
        <v>45505.0</v>
      </c>
      <c r="L187" s="55" t="str">
        <f t="shared" si="1"/>
        <v>2024</v>
      </c>
      <c r="M187" s="55">
        <v>45870.0</v>
      </c>
      <c r="N187" s="48" t="str">
        <f t="shared" si="2"/>
        <v>2025</v>
      </c>
      <c r="O187" s="58">
        <f t="shared" si="5"/>
        <v>365</v>
      </c>
      <c r="P187" s="58">
        <f t="shared" si="4"/>
        <v>1</v>
      </c>
      <c r="Q187" s="45" t="s">
        <v>150</v>
      </c>
      <c r="R187" s="51"/>
      <c r="S187" s="51"/>
      <c r="T187" s="45" t="s">
        <v>84</v>
      </c>
      <c r="U187" s="45" t="s">
        <v>25</v>
      </c>
      <c r="V187" s="45" t="s">
        <v>104</v>
      </c>
      <c r="W187" s="45" t="s">
        <v>2412</v>
      </c>
      <c r="X187" s="51"/>
      <c r="Y187" s="51"/>
      <c r="Z187" s="51"/>
      <c r="AA187" s="51"/>
      <c r="AB187" s="72"/>
      <c r="AC187" s="64" t="s">
        <v>354</v>
      </c>
      <c r="AD187" s="51"/>
      <c r="AE187" s="64" t="s">
        <v>1652</v>
      </c>
    </row>
    <row r="188">
      <c r="A188" s="23" t="s">
        <v>64</v>
      </c>
      <c r="B188" s="23" t="s">
        <v>19</v>
      </c>
      <c r="C188" s="23" t="s">
        <v>297</v>
      </c>
      <c r="D188" s="23" t="s">
        <v>2415</v>
      </c>
      <c r="E188" s="23" t="s">
        <v>2416</v>
      </c>
      <c r="F188" s="26">
        <v>642.0</v>
      </c>
      <c r="G188" s="26">
        <v>600194.0</v>
      </c>
      <c r="H188" s="23" t="s">
        <v>84</v>
      </c>
      <c r="I188" s="23" t="s">
        <v>2417</v>
      </c>
      <c r="J188" s="23" t="s">
        <v>2418</v>
      </c>
      <c r="K188" s="29">
        <v>45433.0</v>
      </c>
      <c r="L188" s="29" t="str">
        <f t="shared" si="1"/>
        <v>2024</v>
      </c>
      <c r="M188" s="29">
        <v>47655.0</v>
      </c>
      <c r="N188" s="26" t="str">
        <f t="shared" si="2"/>
        <v>2030</v>
      </c>
      <c r="O188" s="36">
        <f t="shared" si="5"/>
        <v>2222</v>
      </c>
      <c r="P188" s="36">
        <f t="shared" si="4"/>
        <v>6</v>
      </c>
      <c r="Q188" s="23" t="s">
        <v>150</v>
      </c>
      <c r="R188" s="27"/>
      <c r="S188" s="27"/>
      <c r="T188" s="23" t="s">
        <v>84</v>
      </c>
      <c r="U188" s="23" t="s">
        <v>25</v>
      </c>
      <c r="V188" s="23" t="s">
        <v>104</v>
      </c>
      <c r="W188" s="144" t="s">
        <v>2419</v>
      </c>
      <c r="X188" s="23" t="s">
        <v>2420</v>
      </c>
      <c r="Y188" s="27"/>
      <c r="Z188" s="27"/>
      <c r="AA188" s="27"/>
      <c r="AB188" s="44"/>
      <c r="AC188" s="27"/>
      <c r="AD188" s="76" t="s">
        <v>38</v>
      </c>
      <c r="AE188" s="76" t="s">
        <v>476</v>
      </c>
    </row>
    <row r="189">
      <c r="A189" s="45" t="s">
        <v>64</v>
      </c>
      <c r="B189" s="45" t="s">
        <v>67</v>
      </c>
      <c r="C189" s="45" t="s">
        <v>2422</v>
      </c>
      <c r="D189" s="45" t="s">
        <v>2423</v>
      </c>
      <c r="E189" s="45" t="s">
        <v>2428</v>
      </c>
      <c r="F189" s="48">
        <v>645.0</v>
      </c>
      <c r="G189" s="48">
        <v>600401.0</v>
      </c>
      <c r="H189" s="45" t="s">
        <v>139</v>
      </c>
      <c r="I189" s="45" t="s">
        <v>248</v>
      </c>
      <c r="J189" s="45" t="s">
        <v>2429</v>
      </c>
      <c r="K189" s="55">
        <v>45439.0</v>
      </c>
      <c r="L189" s="55" t="str">
        <f t="shared" si="1"/>
        <v>2024</v>
      </c>
      <c r="M189" s="55">
        <v>45624.0</v>
      </c>
      <c r="N189" s="48" t="str">
        <f t="shared" si="2"/>
        <v>2024</v>
      </c>
      <c r="O189" s="58">
        <f t="shared" si="5"/>
        <v>185</v>
      </c>
      <c r="P189" s="58">
        <f t="shared" si="4"/>
        <v>0</v>
      </c>
      <c r="Q189" s="45" t="s">
        <v>150</v>
      </c>
      <c r="R189" s="51"/>
      <c r="S189" s="51"/>
      <c r="T189" s="45" t="s">
        <v>233</v>
      </c>
      <c r="U189" s="45" t="s">
        <v>790</v>
      </c>
      <c r="V189" s="45" t="s">
        <v>708</v>
      </c>
      <c r="W189" s="45" t="s">
        <v>2430</v>
      </c>
      <c r="X189" s="51"/>
      <c r="Y189" s="51"/>
      <c r="Z189" s="51"/>
      <c r="AA189" s="51"/>
      <c r="AB189" s="72"/>
      <c r="AC189" s="64" t="s">
        <v>162</v>
      </c>
      <c r="AD189" s="51"/>
      <c r="AE189" s="64" t="s">
        <v>336</v>
      </c>
    </row>
    <row r="190">
      <c r="A190" s="23" t="s">
        <v>64</v>
      </c>
      <c r="B190" s="23" t="s">
        <v>67</v>
      </c>
      <c r="C190" s="23" t="s">
        <v>2431</v>
      </c>
      <c r="D190" s="23" t="s">
        <v>2432</v>
      </c>
      <c r="E190" s="23" t="s">
        <v>2433</v>
      </c>
      <c r="F190" s="26">
        <v>647.0</v>
      </c>
      <c r="G190" s="26">
        <v>600402.0</v>
      </c>
      <c r="H190" s="23" t="s">
        <v>225</v>
      </c>
      <c r="I190" s="23" t="s">
        <v>226</v>
      </c>
      <c r="J190" s="27"/>
      <c r="K190" s="29">
        <v>45440.0</v>
      </c>
      <c r="L190" s="29" t="str">
        <f t="shared" si="1"/>
        <v>2024</v>
      </c>
      <c r="M190" s="29">
        <v>45473.0</v>
      </c>
      <c r="N190" s="26" t="str">
        <f t="shared" si="2"/>
        <v>2024</v>
      </c>
      <c r="O190" s="36">
        <f t="shared" si="5"/>
        <v>33</v>
      </c>
      <c r="P190" s="36">
        <f t="shared" si="4"/>
        <v>0</v>
      </c>
      <c r="Q190" s="23" t="s">
        <v>150</v>
      </c>
      <c r="R190" s="27"/>
      <c r="S190" s="27"/>
      <c r="T190" s="23" t="s">
        <v>233</v>
      </c>
      <c r="U190" s="23" t="s">
        <v>790</v>
      </c>
      <c r="V190" s="23" t="s">
        <v>708</v>
      </c>
      <c r="W190" s="144" t="s">
        <v>2435</v>
      </c>
      <c r="X190" s="27"/>
      <c r="Y190" s="27"/>
      <c r="Z190" s="27"/>
      <c r="AA190" s="23" t="s">
        <v>2437</v>
      </c>
      <c r="AB190" s="44"/>
      <c r="AC190" s="76" t="s">
        <v>2330</v>
      </c>
      <c r="AD190" s="27"/>
      <c r="AE190" s="76" t="s">
        <v>124</v>
      </c>
    </row>
    <row r="191">
      <c r="A191" s="45" t="s">
        <v>64</v>
      </c>
      <c r="B191" s="45" t="s">
        <v>19</v>
      </c>
      <c r="C191" s="45" t="s">
        <v>2438</v>
      </c>
      <c r="D191" s="45" t="s">
        <v>2439</v>
      </c>
      <c r="E191" s="142" t="s">
        <v>2440</v>
      </c>
      <c r="F191" s="48">
        <v>650.0</v>
      </c>
      <c r="G191" s="48" t="s">
        <v>2441</v>
      </c>
      <c r="H191" s="45" t="s">
        <v>139</v>
      </c>
      <c r="I191" s="45" t="s">
        <v>84</v>
      </c>
      <c r="J191" s="45" t="s">
        <v>2442</v>
      </c>
      <c r="K191" s="55">
        <v>45447.0</v>
      </c>
      <c r="L191" s="55" t="str">
        <f t="shared" si="1"/>
        <v>2024</v>
      </c>
      <c r="M191" s="55">
        <v>45812.0</v>
      </c>
      <c r="N191" s="48" t="str">
        <f t="shared" si="2"/>
        <v>2025</v>
      </c>
      <c r="O191" s="58">
        <f t="shared" si="5"/>
        <v>365</v>
      </c>
      <c r="P191" s="58">
        <f t="shared" si="4"/>
        <v>1</v>
      </c>
      <c r="Q191" s="45" t="s">
        <v>150</v>
      </c>
      <c r="R191" s="51"/>
      <c r="S191" s="51"/>
      <c r="T191" s="45" t="s">
        <v>84</v>
      </c>
      <c r="U191" s="45" t="s">
        <v>790</v>
      </c>
      <c r="V191" s="45" t="s">
        <v>104</v>
      </c>
      <c r="W191" s="142" t="s">
        <v>2443</v>
      </c>
      <c r="X191" s="142" t="s">
        <v>2443</v>
      </c>
      <c r="Y191" s="51"/>
      <c r="Z191" s="51"/>
      <c r="AA191" s="51"/>
      <c r="AB191" s="72"/>
      <c r="AC191" s="64" t="s">
        <v>354</v>
      </c>
      <c r="AD191" s="64" t="s">
        <v>261</v>
      </c>
      <c r="AE191" s="64" t="s">
        <v>124</v>
      </c>
    </row>
    <row r="192">
      <c r="A192" s="23" t="s">
        <v>64</v>
      </c>
      <c r="B192" s="23" t="s">
        <v>19</v>
      </c>
      <c r="C192" s="23" t="s">
        <v>1015</v>
      </c>
      <c r="D192" s="23" t="s">
        <v>2448</v>
      </c>
      <c r="E192" s="23" t="s">
        <v>2449</v>
      </c>
      <c r="F192" s="26">
        <v>651.0</v>
      </c>
      <c r="G192" s="26">
        <v>600407.0</v>
      </c>
      <c r="H192" s="23" t="s">
        <v>84</v>
      </c>
      <c r="I192" s="23" t="s">
        <v>84</v>
      </c>
      <c r="J192" s="23" t="s">
        <v>2442</v>
      </c>
      <c r="K192" s="29">
        <v>45440.0</v>
      </c>
      <c r="L192" s="29" t="str">
        <f t="shared" si="1"/>
        <v>2024</v>
      </c>
      <c r="M192" s="29">
        <v>46140.0</v>
      </c>
      <c r="N192" s="26" t="str">
        <f t="shared" si="2"/>
        <v>2026</v>
      </c>
      <c r="O192" s="36">
        <f t="shared" si="5"/>
        <v>700</v>
      </c>
      <c r="P192" s="36">
        <f t="shared" si="4"/>
        <v>1</v>
      </c>
      <c r="Q192" s="23" t="s">
        <v>348</v>
      </c>
      <c r="R192" s="23" t="s">
        <v>2452</v>
      </c>
      <c r="S192" s="27"/>
      <c r="T192" s="23" t="s">
        <v>84</v>
      </c>
      <c r="U192" s="23" t="s">
        <v>790</v>
      </c>
      <c r="V192" s="23" t="s">
        <v>708</v>
      </c>
      <c r="W192" s="23" t="s">
        <v>2454</v>
      </c>
      <c r="X192" s="23" t="s">
        <v>2455</v>
      </c>
      <c r="Y192" s="27"/>
      <c r="Z192" s="27"/>
      <c r="AA192" s="27"/>
      <c r="AB192" s="44"/>
      <c r="AC192" s="76" t="s">
        <v>777</v>
      </c>
      <c r="AD192" s="76" t="s">
        <v>123</v>
      </c>
      <c r="AE192" s="76" t="s">
        <v>124</v>
      </c>
    </row>
    <row r="193">
      <c r="A193" s="45" t="s">
        <v>64</v>
      </c>
      <c r="B193" s="45" t="s">
        <v>67</v>
      </c>
      <c r="C193" s="45" t="s">
        <v>2456</v>
      </c>
      <c r="D193" s="45" t="s">
        <v>2457</v>
      </c>
      <c r="E193" s="45" t="s">
        <v>2458</v>
      </c>
      <c r="F193" s="48">
        <v>652.0</v>
      </c>
      <c r="G193" s="48">
        <v>600409.0</v>
      </c>
      <c r="H193" s="45" t="s">
        <v>139</v>
      </c>
      <c r="I193" s="45" t="s">
        <v>226</v>
      </c>
      <c r="J193" s="45" t="s">
        <v>2429</v>
      </c>
      <c r="K193" s="55">
        <v>45449.0</v>
      </c>
      <c r="L193" s="55" t="str">
        <f t="shared" si="1"/>
        <v>2024</v>
      </c>
      <c r="M193" s="55">
        <v>45510.0</v>
      </c>
      <c r="N193" s="48" t="str">
        <f t="shared" si="2"/>
        <v>2024</v>
      </c>
      <c r="O193" s="58">
        <f t="shared" si="5"/>
        <v>61</v>
      </c>
      <c r="P193" s="58">
        <f t="shared" si="4"/>
        <v>0</v>
      </c>
      <c r="Q193" s="45" t="s">
        <v>150</v>
      </c>
      <c r="R193" s="51"/>
      <c r="S193" s="51"/>
      <c r="T193" s="45" t="s">
        <v>233</v>
      </c>
      <c r="U193" s="45" t="s">
        <v>790</v>
      </c>
      <c r="V193" s="45" t="s">
        <v>708</v>
      </c>
      <c r="W193" s="45" t="s">
        <v>2461</v>
      </c>
      <c r="X193" s="51"/>
      <c r="Y193" s="51"/>
      <c r="Z193" s="51"/>
      <c r="AA193" s="51"/>
      <c r="AB193" s="72"/>
      <c r="AC193" s="64" t="s">
        <v>259</v>
      </c>
      <c r="AD193" s="51"/>
      <c r="AE193" s="64" t="s">
        <v>124</v>
      </c>
    </row>
    <row r="194">
      <c r="A194" s="23" t="s">
        <v>64</v>
      </c>
      <c r="B194" s="23" t="s">
        <v>67</v>
      </c>
      <c r="C194" s="23" t="s">
        <v>2464</v>
      </c>
      <c r="D194" s="23" t="s">
        <v>2465</v>
      </c>
      <c r="E194" s="23" t="s">
        <v>2466</v>
      </c>
      <c r="F194" s="26">
        <v>656.0</v>
      </c>
      <c r="G194" s="26">
        <v>600420.0</v>
      </c>
      <c r="H194" s="23" t="s">
        <v>139</v>
      </c>
      <c r="I194" s="23" t="s">
        <v>226</v>
      </c>
      <c r="J194" s="23" t="s">
        <v>209</v>
      </c>
      <c r="K194" s="29">
        <v>45454.0</v>
      </c>
      <c r="L194" s="29" t="str">
        <f t="shared" si="1"/>
        <v>2024</v>
      </c>
      <c r="M194" s="29">
        <v>45657.0</v>
      </c>
      <c r="N194" s="26" t="str">
        <f t="shared" si="2"/>
        <v>2024</v>
      </c>
      <c r="O194" s="36">
        <f t="shared" si="5"/>
        <v>203</v>
      </c>
      <c r="P194" s="36">
        <f t="shared" si="4"/>
        <v>0</v>
      </c>
      <c r="Q194" s="23" t="s">
        <v>150</v>
      </c>
      <c r="R194" s="27"/>
      <c r="S194" s="27"/>
      <c r="T194" s="23" t="s">
        <v>233</v>
      </c>
      <c r="U194" s="23" t="s">
        <v>1244</v>
      </c>
      <c r="V194" s="23" t="s">
        <v>708</v>
      </c>
      <c r="W194" s="23" t="s">
        <v>2468</v>
      </c>
      <c r="X194" s="27"/>
      <c r="Y194" s="27"/>
      <c r="Z194" s="27"/>
      <c r="AA194" s="23" t="s">
        <v>2469</v>
      </c>
      <c r="AB194" s="44"/>
      <c r="AC194" s="76" t="s">
        <v>2330</v>
      </c>
      <c r="AD194" s="27"/>
      <c r="AE194" s="76" t="s">
        <v>679</v>
      </c>
    </row>
    <row r="195">
      <c r="A195" s="45" t="s">
        <v>64</v>
      </c>
      <c r="B195" s="45" t="s">
        <v>19</v>
      </c>
      <c r="C195" s="45" t="s">
        <v>2470</v>
      </c>
      <c r="D195" s="45" t="s">
        <v>2471</v>
      </c>
      <c r="E195" s="142" t="s">
        <v>2472</v>
      </c>
      <c r="F195" s="48">
        <v>657.0</v>
      </c>
      <c r="G195" s="48">
        <v>600422.0</v>
      </c>
      <c r="H195" s="45" t="s">
        <v>464</v>
      </c>
      <c r="I195" s="45" t="s">
        <v>1148</v>
      </c>
      <c r="J195" s="45" t="s">
        <v>86</v>
      </c>
      <c r="K195" s="55">
        <v>45455.0</v>
      </c>
      <c r="L195" s="55" t="str">
        <f t="shared" si="1"/>
        <v>2024</v>
      </c>
      <c r="M195" s="55">
        <v>45820.0</v>
      </c>
      <c r="N195" s="48" t="str">
        <f t="shared" si="2"/>
        <v>2025</v>
      </c>
      <c r="O195" s="58">
        <f t="shared" si="5"/>
        <v>365</v>
      </c>
      <c r="P195" s="58">
        <f t="shared" si="4"/>
        <v>1</v>
      </c>
      <c r="Q195" s="45" t="s">
        <v>150</v>
      </c>
      <c r="R195" s="51"/>
      <c r="S195" s="51"/>
      <c r="T195" s="45" t="s">
        <v>146</v>
      </c>
      <c r="U195" s="45" t="s">
        <v>1244</v>
      </c>
      <c r="V195" s="45" t="s">
        <v>104</v>
      </c>
      <c r="W195" s="45" t="s">
        <v>2477</v>
      </c>
      <c r="X195" s="45" t="s">
        <v>2477</v>
      </c>
      <c r="Y195" s="51"/>
      <c r="Z195" s="51"/>
      <c r="AA195" s="51"/>
      <c r="AB195" s="72"/>
      <c r="AC195" s="64" t="s">
        <v>354</v>
      </c>
      <c r="AD195" s="51"/>
      <c r="AE195" s="64" t="s">
        <v>162</v>
      </c>
    </row>
    <row r="196">
      <c r="A196" s="23" t="s">
        <v>64</v>
      </c>
      <c r="B196" s="23" t="s">
        <v>67</v>
      </c>
      <c r="C196" s="23" t="s">
        <v>2478</v>
      </c>
      <c r="D196" s="23" t="s">
        <v>2479</v>
      </c>
      <c r="E196" s="23" t="s">
        <v>2480</v>
      </c>
      <c r="F196" s="26">
        <v>659.0</v>
      </c>
      <c r="G196" s="26">
        <v>600425.0</v>
      </c>
      <c r="H196" s="23" t="s">
        <v>187</v>
      </c>
      <c r="I196" s="23" t="s">
        <v>84</v>
      </c>
      <c r="J196" s="23" t="s">
        <v>86</v>
      </c>
      <c r="K196" s="29">
        <v>45456.0</v>
      </c>
      <c r="L196" s="29" t="str">
        <f t="shared" si="1"/>
        <v>2024</v>
      </c>
      <c r="M196" s="29">
        <v>45465.0</v>
      </c>
      <c r="N196" s="26" t="str">
        <f t="shared" si="2"/>
        <v>2024</v>
      </c>
      <c r="O196" s="36">
        <f t="shared" si="5"/>
        <v>9</v>
      </c>
      <c r="P196" s="36">
        <f t="shared" si="4"/>
        <v>0</v>
      </c>
      <c r="Q196" s="23" t="s">
        <v>150</v>
      </c>
      <c r="R196" s="27"/>
      <c r="S196" s="27"/>
      <c r="T196" s="23" t="s">
        <v>84</v>
      </c>
      <c r="U196" s="23" t="s">
        <v>1244</v>
      </c>
      <c r="V196" s="27"/>
      <c r="W196" s="23" t="s">
        <v>2482</v>
      </c>
      <c r="X196" s="27"/>
      <c r="Y196" s="27"/>
      <c r="Z196" s="27"/>
      <c r="AA196" s="23" t="s">
        <v>2483</v>
      </c>
      <c r="AB196" s="44"/>
      <c r="AC196" s="76" t="s">
        <v>259</v>
      </c>
      <c r="AD196" s="27"/>
      <c r="AE196" s="76" t="s">
        <v>1875</v>
      </c>
    </row>
    <row r="197">
      <c r="A197" s="45" t="s">
        <v>64</v>
      </c>
      <c r="B197" s="45" t="s">
        <v>19</v>
      </c>
      <c r="C197" s="45" t="s">
        <v>72</v>
      </c>
      <c r="D197" s="45" t="s">
        <v>2485</v>
      </c>
      <c r="E197" s="45" t="s">
        <v>2486</v>
      </c>
      <c r="F197" s="48">
        <v>628.0</v>
      </c>
      <c r="G197" s="48">
        <v>600377.0</v>
      </c>
      <c r="H197" s="45" t="s">
        <v>84</v>
      </c>
      <c r="I197" s="45" t="s">
        <v>84</v>
      </c>
      <c r="J197" s="51"/>
      <c r="K197" s="55">
        <v>45415.0</v>
      </c>
      <c r="L197" s="55" t="str">
        <f t="shared" si="1"/>
        <v>2024</v>
      </c>
      <c r="M197" s="55">
        <v>45927.0</v>
      </c>
      <c r="N197" s="48" t="str">
        <f t="shared" si="2"/>
        <v>2025</v>
      </c>
      <c r="O197" s="58">
        <f t="shared" si="5"/>
        <v>512</v>
      </c>
      <c r="P197" s="58">
        <f t="shared" si="4"/>
        <v>1</v>
      </c>
      <c r="Q197" s="45" t="s">
        <v>150</v>
      </c>
      <c r="R197" s="51"/>
      <c r="S197" s="51"/>
      <c r="T197" s="45" t="s">
        <v>84</v>
      </c>
      <c r="U197" s="45" t="s">
        <v>2489</v>
      </c>
      <c r="V197" s="45" t="s">
        <v>104</v>
      </c>
      <c r="W197" s="45" t="s">
        <v>2490</v>
      </c>
      <c r="X197" s="45" t="s">
        <v>2490</v>
      </c>
      <c r="Y197" s="51"/>
      <c r="Z197" s="51"/>
      <c r="AA197" s="51"/>
      <c r="AB197" s="72"/>
      <c r="AC197" s="64" t="s">
        <v>820</v>
      </c>
      <c r="AD197" s="64" t="s">
        <v>14</v>
      </c>
      <c r="AE197" s="64" t="s">
        <v>124</v>
      </c>
    </row>
    <row r="198">
      <c r="A198" s="23" t="s">
        <v>64</v>
      </c>
      <c r="B198" s="23" t="s">
        <v>67</v>
      </c>
      <c r="C198" s="23" t="s">
        <v>2492</v>
      </c>
      <c r="D198" s="23" t="s">
        <v>2493</v>
      </c>
      <c r="E198" s="23" t="s">
        <v>2494</v>
      </c>
      <c r="F198" s="26">
        <v>663.0</v>
      </c>
      <c r="G198" s="26">
        <v>600431.0</v>
      </c>
      <c r="H198" s="23" t="s">
        <v>139</v>
      </c>
      <c r="I198" s="23" t="s">
        <v>1148</v>
      </c>
      <c r="J198" s="23" t="s">
        <v>2429</v>
      </c>
      <c r="K198" s="29">
        <v>45467.0</v>
      </c>
      <c r="L198" s="29" t="str">
        <f t="shared" si="1"/>
        <v>2024</v>
      </c>
      <c r="M198" s="29">
        <v>45818.0</v>
      </c>
      <c r="N198" s="26" t="str">
        <f t="shared" si="2"/>
        <v>2025</v>
      </c>
      <c r="O198" s="36">
        <f t="shared" si="5"/>
        <v>351</v>
      </c>
      <c r="P198" s="36">
        <f t="shared" si="4"/>
        <v>0</v>
      </c>
      <c r="Q198" s="23" t="s">
        <v>150</v>
      </c>
      <c r="R198" s="27"/>
      <c r="S198" s="27"/>
      <c r="T198" s="23" t="s">
        <v>146</v>
      </c>
      <c r="U198" s="23" t="s">
        <v>25</v>
      </c>
      <c r="V198" s="23" t="s">
        <v>106</v>
      </c>
      <c r="W198" s="23" t="s">
        <v>2496</v>
      </c>
      <c r="X198" s="27"/>
      <c r="Y198" s="27"/>
      <c r="Z198" s="27"/>
      <c r="AA198" s="23" t="s">
        <v>2497</v>
      </c>
      <c r="AB198" s="44"/>
      <c r="AC198" s="76" t="s">
        <v>777</v>
      </c>
      <c r="AD198" s="76" t="s">
        <v>14</v>
      </c>
      <c r="AE198" s="76" t="s">
        <v>1996</v>
      </c>
    </row>
    <row r="199">
      <c r="A199" s="45" t="s">
        <v>64</v>
      </c>
      <c r="B199" s="45" t="s">
        <v>67</v>
      </c>
      <c r="C199" s="45" t="s">
        <v>2498</v>
      </c>
      <c r="D199" s="45" t="s">
        <v>2499</v>
      </c>
      <c r="E199" s="45" t="s">
        <v>2500</v>
      </c>
      <c r="F199" s="48">
        <v>666.0</v>
      </c>
      <c r="G199" s="48">
        <v>600435.0</v>
      </c>
      <c r="H199" s="45" t="s">
        <v>82</v>
      </c>
      <c r="I199" s="45" t="s">
        <v>84</v>
      </c>
      <c r="J199" s="51"/>
      <c r="K199" s="55">
        <v>45468.0</v>
      </c>
      <c r="L199" s="55" t="str">
        <f t="shared" si="1"/>
        <v>2024</v>
      </c>
      <c r="M199" s="55">
        <v>45478.0</v>
      </c>
      <c r="N199" s="48" t="str">
        <f t="shared" si="2"/>
        <v>2024</v>
      </c>
      <c r="O199" s="58">
        <f t="shared" si="5"/>
        <v>10</v>
      </c>
      <c r="P199" s="58">
        <f t="shared" si="4"/>
        <v>0</v>
      </c>
      <c r="Q199" s="45" t="s">
        <v>106</v>
      </c>
      <c r="R199" s="51"/>
      <c r="S199" s="51"/>
      <c r="T199" s="45" t="s">
        <v>84</v>
      </c>
      <c r="U199" s="45" t="s">
        <v>25</v>
      </c>
      <c r="V199" s="45" t="s">
        <v>106</v>
      </c>
      <c r="W199" s="45" t="s">
        <v>2502</v>
      </c>
      <c r="X199" s="51"/>
      <c r="Y199" s="51"/>
      <c r="Z199" s="51"/>
      <c r="AA199" s="45" t="s">
        <v>2503</v>
      </c>
      <c r="AB199" s="72"/>
      <c r="AC199" s="64" t="s">
        <v>777</v>
      </c>
      <c r="AD199" s="51"/>
      <c r="AE199" s="64" t="s">
        <v>2504</v>
      </c>
    </row>
    <row r="200">
      <c r="A200" s="23" t="s">
        <v>64</v>
      </c>
      <c r="B200" s="23" t="s">
        <v>67</v>
      </c>
      <c r="C200" s="23" t="s">
        <v>2505</v>
      </c>
      <c r="D200" s="23" t="s">
        <v>2506</v>
      </c>
      <c r="E200" s="23" t="s">
        <v>2507</v>
      </c>
      <c r="F200" s="26">
        <v>668.0</v>
      </c>
      <c r="G200" s="26">
        <v>600437.0</v>
      </c>
      <c r="H200" s="23" t="s">
        <v>139</v>
      </c>
      <c r="I200" s="23" t="s">
        <v>226</v>
      </c>
      <c r="J200" s="23" t="s">
        <v>740</v>
      </c>
      <c r="K200" s="29">
        <v>45470.0</v>
      </c>
      <c r="L200" s="29" t="str">
        <f t="shared" si="1"/>
        <v>2024</v>
      </c>
      <c r="M200" s="29">
        <v>45829.0</v>
      </c>
      <c r="N200" s="26" t="str">
        <f t="shared" si="2"/>
        <v>2025</v>
      </c>
      <c r="O200" s="36">
        <f t="shared" si="5"/>
        <v>359</v>
      </c>
      <c r="P200" s="36">
        <f t="shared" si="4"/>
        <v>0</v>
      </c>
      <c r="Q200" s="23" t="s">
        <v>150</v>
      </c>
      <c r="R200" s="27"/>
      <c r="S200" s="27"/>
      <c r="T200" s="23" t="s">
        <v>233</v>
      </c>
      <c r="U200" s="23" t="s">
        <v>790</v>
      </c>
      <c r="V200" s="23" t="s">
        <v>104</v>
      </c>
      <c r="W200" s="23" t="s">
        <v>2508</v>
      </c>
      <c r="X200" s="27"/>
      <c r="Y200" s="23" t="s">
        <v>2510</v>
      </c>
      <c r="Z200" s="27"/>
      <c r="AA200" s="23" t="s">
        <v>2511</v>
      </c>
      <c r="AB200" s="44"/>
      <c r="AC200" s="76" t="s">
        <v>777</v>
      </c>
      <c r="AD200" s="76" t="s">
        <v>261</v>
      </c>
      <c r="AE200" s="76" t="s">
        <v>336</v>
      </c>
    </row>
    <row r="201">
      <c r="A201" s="45" t="s">
        <v>64</v>
      </c>
      <c r="B201" s="45" t="s">
        <v>67</v>
      </c>
      <c r="C201" s="45" t="s">
        <v>2512</v>
      </c>
      <c r="D201" s="45" t="s">
        <v>2514</v>
      </c>
      <c r="E201" s="45" t="s">
        <v>2515</v>
      </c>
      <c r="F201" s="48">
        <v>669.0</v>
      </c>
      <c r="G201" s="51"/>
      <c r="H201" s="45" t="s">
        <v>187</v>
      </c>
      <c r="I201" s="53"/>
      <c r="J201" s="45" t="s">
        <v>86</v>
      </c>
      <c r="K201" s="55">
        <v>45474.0</v>
      </c>
      <c r="L201" s="55" t="str">
        <f t="shared" si="1"/>
        <v>2024</v>
      </c>
      <c r="M201" s="55">
        <v>45481.0</v>
      </c>
      <c r="N201" s="48" t="str">
        <f t="shared" si="2"/>
        <v>2024</v>
      </c>
      <c r="O201" s="58">
        <f t="shared" si="5"/>
        <v>7</v>
      </c>
      <c r="P201" s="58">
        <f t="shared" si="4"/>
        <v>0</v>
      </c>
      <c r="Q201" s="45" t="s">
        <v>106</v>
      </c>
      <c r="R201" s="51"/>
      <c r="S201" s="51"/>
      <c r="T201" s="51"/>
      <c r="U201" s="51"/>
      <c r="V201" s="45" t="s">
        <v>106</v>
      </c>
      <c r="W201" s="186" t="s">
        <v>2516</v>
      </c>
      <c r="X201" s="51"/>
      <c r="Y201" s="51"/>
      <c r="Z201" s="51"/>
      <c r="AA201" s="45" t="s">
        <v>2517</v>
      </c>
      <c r="AB201" s="72"/>
      <c r="AC201" s="64" t="s">
        <v>441</v>
      </c>
      <c r="AD201" s="51"/>
      <c r="AE201" s="64" t="s">
        <v>336</v>
      </c>
    </row>
    <row r="202">
      <c r="A202" s="23" t="s">
        <v>64</v>
      </c>
      <c r="B202" s="23" t="s">
        <v>67</v>
      </c>
      <c r="C202" s="23" t="s">
        <v>2518</v>
      </c>
      <c r="D202" s="23" t="s">
        <v>2519</v>
      </c>
      <c r="E202" s="144" t="s">
        <v>2520</v>
      </c>
      <c r="F202" s="26">
        <v>671.0</v>
      </c>
      <c r="G202" s="26">
        <v>600442.0</v>
      </c>
      <c r="H202" s="23" t="s">
        <v>82</v>
      </c>
      <c r="I202" s="23" t="s">
        <v>84</v>
      </c>
      <c r="J202" s="23" t="s">
        <v>86</v>
      </c>
      <c r="K202" s="29">
        <v>45477.0</v>
      </c>
      <c r="L202" s="29" t="str">
        <f t="shared" si="1"/>
        <v>2024</v>
      </c>
      <c r="M202" s="29">
        <v>45519.0</v>
      </c>
      <c r="N202" s="26" t="str">
        <f t="shared" si="2"/>
        <v>2024</v>
      </c>
      <c r="O202" s="36">
        <f t="shared" si="5"/>
        <v>42</v>
      </c>
      <c r="P202" s="36">
        <f t="shared" si="4"/>
        <v>0</v>
      </c>
      <c r="Q202" s="23" t="s">
        <v>106</v>
      </c>
      <c r="R202" s="27"/>
      <c r="S202" s="27"/>
      <c r="T202" s="23" t="s">
        <v>84</v>
      </c>
      <c r="U202" s="23" t="s">
        <v>25</v>
      </c>
      <c r="V202" s="23" t="s">
        <v>106</v>
      </c>
      <c r="W202" s="27"/>
      <c r="X202" s="27"/>
      <c r="Y202" s="27"/>
      <c r="Z202" s="27"/>
      <c r="AA202" s="27"/>
      <c r="AB202" s="44"/>
      <c r="AC202" s="27"/>
      <c r="AD202" s="27"/>
      <c r="AE202" s="76" t="s">
        <v>336</v>
      </c>
    </row>
    <row r="203">
      <c r="A203" s="45" t="s">
        <v>64</v>
      </c>
      <c r="B203" s="45" t="s">
        <v>19</v>
      </c>
      <c r="C203" s="45" t="s">
        <v>2525</v>
      </c>
      <c r="D203" s="45" t="s">
        <v>2526</v>
      </c>
      <c r="E203" s="45" t="s">
        <v>2527</v>
      </c>
      <c r="F203" s="48">
        <v>672.0</v>
      </c>
      <c r="G203" s="48">
        <v>600445.0</v>
      </c>
      <c r="H203" s="45" t="s">
        <v>139</v>
      </c>
      <c r="I203" s="45" t="s">
        <v>226</v>
      </c>
      <c r="J203" s="45" t="s">
        <v>1660</v>
      </c>
      <c r="K203" s="55">
        <v>45478.0</v>
      </c>
      <c r="L203" s="55" t="str">
        <f t="shared" si="1"/>
        <v>2024</v>
      </c>
      <c r="M203" s="55">
        <v>46065.0</v>
      </c>
      <c r="N203" s="48" t="str">
        <f t="shared" si="2"/>
        <v>2026</v>
      </c>
      <c r="O203" s="58">
        <f t="shared" si="5"/>
        <v>587</v>
      </c>
      <c r="P203" s="58">
        <f t="shared" si="4"/>
        <v>1</v>
      </c>
      <c r="Q203" s="45" t="s">
        <v>253</v>
      </c>
      <c r="R203" s="45" t="s">
        <v>2528</v>
      </c>
      <c r="S203" s="51"/>
      <c r="T203" s="45" t="s">
        <v>233</v>
      </c>
      <c r="U203" s="45" t="s">
        <v>790</v>
      </c>
      <c r="V203" s="45" t="s">
        <v>708</v>
      </c>
      <c r="W203" s="45" t="s">
        <v>2529</v>
      </c>
      <c r="X203" s="45" t="s">
        <v>2529</v>
      </c>
      <c r="Y203" s="45" t="s">
        <v>2531</v>
      </c>
      <c r="Z203" s="51"/>
      <c r="AA203" s="45" t="s">
        <v>2532</v>
      </c>
      <c r="AB203" s="72"/>
      <c r="AC203" s="64" t="s">
        <v>777</v>
      </c>
      <c r="AD203" s="64" t="s">
        <v>123</v>
      </c>
      <c r="AE203" s="64" t="s">
        <v>124</v>
      </c>
    </row>
    <row r="204">
      <c r="A204" s="23" t="s">
        <v>64</v>
      </c>
      <c r="B204" s="23" t="s">
        <v>67</v>
      </c>
      <c r="C204" s="23" t="s">
        <v>2533</v>
      </c>
      <c r="D204" s="23" t="s">
        <v>2534</v>
      </c>
      <c r="E204" s="23" t="s">
        <v>1510</v>
      </c>
      <c r="F204" s="26">
        <v>640.0</v>
      </c>
      <c r="G204" s="26">
        <v>600396.0</v>
      </c>
      <c r="H204" s="23" t="s">
        <v>464</v>
      </c>
      <c r="I204" s="23" t="s">
        <v>1148</v>
      </c>
      <c r="J204" s="23" t="s">
        <v>740</v>
      </c>
      <c r="K204" s="29">
        <v>45429.0</v>
      </c>
      <c r="L204" s="29" t="str">
        <f t="shared" si="1"/>
        <v>2024</v>
      </c>
      <c r="M204" s="29">
        <v>45905.0</v>
      </c>
      <c r="N204" s="26" t="str">
        <f t="shared" si="2"/>
        <v>2025</v>
      </c>
      <c r="O204" s="36">
        <f t="shared" si="5"/>
        <v>476</v>
      </c>
      <c r="P204" s="36">
        <f t="shared" si="4"/>
        <v>1</v>
      </c>
      <c r="Q204" s="23" t="s">
        <v>253</v>
      </c>
      <c r="R204" s="23" t="s">
        <v>2536</v>
      </c>
      <c r="S204" s="23" t="s">
        <v>113</v>
      </c>
      <c r="T204" s="23" t="s">
        <v>233</v>
      </c>
      <c r="U204" s="23" t="s">
        <v>790</v>
      </c>
      <c r="V204" s="23" t="s">
        <v>104</v>
      </c>
      <c r="W204" s="144" t="s">
        <v>2538</v>
      </c>
      <c r="X204" s="144" t="s">
        <v>2538</v>
      </c>
      <c r="Y204" s="27"/>
      <c r="Z204" s="27"/>
      <c r="AA204" s="23" t="s">
        <v>2540</v>
      </c>
      <c r="AB204" s="44"/>
      <c r="AC204" s="76" t="s">
        <v>820</v>
      </c>
      <c r="AD204" s="76" t="s">
        <v>261</v>
      </c>
      <c r="AE204" s="76" t="s">
        <v>124</v>
      </c>
    </row>
    <row r="205">
      <c r="A205" s="45" t="s">
        <v>64</v>
      </c>
      <c r="B205" s="45" t="s">
        <v>19</v>
      </c>
      <c r="C205" s="45" t="s">
        <v>47</v>
      </c>
      <c r="D205" s="45" t="s">
        <v>2541</v>
      </c>
      <c r="E205" s="142" t="s">
        <v>2542</v>
      </c>
      <c r="F205" s="48">
        <v>674.0</v>
      </c>
      <c r="G205" s="48">
        <v>600448.0</v>
      </c>
      <c r="H205" s="45" t="s">
        <v>139</v>
      </c>
      <c r="I205" s="53"/>
      <c r="J205" s="45" t="s">
        <v>2418</v>
      </c>
      <c r="K205" s="55">
        <v>45454.0</v>
      </c>
      <c r="L205" s="55" t="str">
        <f t="shared" si="1"/>
        <v>2024</v>
      </c>
      <c r="M205" s="55">
        <v>46184.0</v>
      </c>
      <c r="N205" s="48" t="str">
        <f t="shared" si="2"/>
        <v>2026</v>
      </c>
      <c r="O205" s="58">
        <f t="shared" si="5"/>
        <v>730</v>
      </c>
      <c r="P205" s="58">
        <f t="shared" si="4"/>
        <v>2</v>
      </c>
      <c r="Q205" s="45" t="s">
        <v>253</v>
      </c>
      <c r="R205" s="51"/>
      <c r="S205" s="51"/>
      <c r="T205" s="45" t="s">
        <v>233</v>
      </c>
      <c r="U205" s="45" t="s">
        <v>1244</v>
      </c>
      <c r="V205" s="45" t="s">
        <v>104</v>
      </c>
      <c r="W205" s="142" t="s">
        <v>2543</v>
      </c>
      <c r="X205" s="142" t="s">
        <v>2543</v>
      </c>
      <c r="Y205" s="51"/>
      <c r="Z205" s="51"/>
      <c r="AA205" s="51"/>
      <c r="AB205" s="72"/>
      <c r="AC205" s="64" t="s">
        <v>354</v>
      </c>
      <c r="AD205" s="64" t="s">
        <v>261</v>
      </c>
      <c r="AE205" s="64" t="s">
        <v>2545</v>
      </c>
    </row>
    <row r="206">
      <c r="A206" s="23" t="s">
        <v>64</v>
      </c>
      <c r="B206" s="23" t="s">
        <v>19</v>
      </c>
      <c r="C206" s="23" t="s">
        <v>2546</v>
      </c>
      <c r="D206" s="23" t="s">
        <v>2547</v>
      </c>
      <c r="E206" s="23" t="s">
        <v>2548</v>
      </c>
      <c r="F206" s="26">
        <v>675.0</v>
      </c>
      <c r="G206" s="26">
        <v>600451.0</v>
      </c>
      <c r="H206" s="23" t="s">
        <v>139</v>
      </c>
      <c r="I206" s="23" t="s">
        <v>226</v>
      </c>
      <c r="J206" s="23" t="s">
        <v>2549</v>
      </c>
      <c r="K206" s="29">
        <v>45484.0</v>
      </c>
      <c r="L206" s="29" t="str">
        <f t="shared" si="1"/>
        <v>2024</v>
      </c>
      <c r="M206" s="29">
        <v>45853.0</v>
      </c>
      <c r="N206" s="26" t="str">
        <f t="shared" si="2"/>
        <v>2025</v>
      </c>
      <c r="O206" s="36">
        <f t="shared" si="5"/>
        <v>369</v>
      </c>
      <c r="P206" s="36">
        <f t="shared" si="4"/>
        <v>1</v>
      </c>
      <c r="Q206" s="23" t="s">
        <v>150</v>
      </c>
      <c r="R206" s="23" t="s">
        <v>2554</v>
      </c>
      <c r="S206" s="27"/>
      <c r="T206" s="23" t="s">
        <v>233</v>
      </c>
      <c r="U206" s="23" t="s">
        <v>790</v>
      </c>
      <c r="V206" s="23" t="s">
        <v>708</v>
      </c>
      <c r="W206" s="144" t="s">
        <v>2555</v>
      </c>
      <c r="X206" s="23" t="s">
        <v>2556</v>
      </c>
      <c r="Y206" s="23" t="s">
        <v>2557</v>
      </c>
      <c r="Z206" s="27"/>
      <c r="AA206" s="27"/>
      <c r="AB206" s="44"/>
      <c r="AC206" s="76" t="s">
        <v>777</v>
      </c>
      <c r="AD206" s="76" t="s">
        <v>14</v>
      </c>
      <c r="AE206" s="76" t="s">
        <v>124</v>
      </c>
    </row>
    <row r="207">
      <c r="A207" s="45" t="s">
        <v>64</v>
      </c>
      <c r="B207" s="45" t="s">
        <v>67</v>
      </c>
      <c r="C207" s="45" t="s">
        <v>2558</v>
      </c>
      <c r="D207" s="45" t="s">
        <v>2559</v>
      </c>
      <c r="E207" s="45" t="s">
        <v>2560</v>
      </c>
      <c r="F207" s="48">
        <v>661.0</v>
      </c>
      <c r="G207" s="48">
        <v>600446.0</v>
      </c>
      <c r="H207" s="45" t="s">
        <v>139</v>
      </c>
      <c r="I207" s="45" t="s">
        <v>226</v>
      </c>
      <c r="J207" s="45" t="s">
        <v>740</v>
      </c>
      <c r="K207" s="55">
        <v>45460.0</v>
      </c>
      <c r="L207" s="55" t="str">
        <f t="shared" si="1"/>
        <v>2024</v>
      </c>
      <c r="M207" s="55">
        <v>45826.0</v>
      </c>
      <c r="N207" s="48" t="str">
        <f t="shared" si="2"/>
        <v>2025</v>
      </c>
      <c r="O207" s="58">
        <f t="shared" si="5"/>
        <v>366</v>
      </c>
      <c r="P207" s="58">
        <f t="shared" si="4"/>
        <v>1</v>
      </c>
      <c r="Q207" s="45" t="s">
        <v>150</v>
      </c>
      <c r="R207" s="51"/>
      <c r="S207" s="51"/>
      <c r="T207" s="45" t="s">
        <v>233</v>
      </c>
      <c r="U207" s="45" t="s">
        <v>790</v>
      </c>
      <c r="V207" s="45" t="s">
        <v>104</v>
      </c>
      <c r="W207" s="142" t="s">
        <v>2562</v>
      </c>
      <c r="X207" s="142" t="s">
        <v>2562</v>
      </c>
      <c r="Y207" s="45" t="s">
        <v>2567</v>
      </c>
      <c r="Z207" s="51"/>
      <c r="AA207" s="51"/>
      <c r="AB207" s="72"/>
      <c r="AC207" s="64" t="s">
        <v>820</v>
      </c>
      <c r="AD207" s="64" t="s">
        <v>14</v>
      </c>
      <c r="AE207" s="64" t="s">
        <v>336</v>
      </c>
    </row>
    <row r="208">
      <c r="A208" s="23" t="s">
        <v>64</v>
      </c>
      <c r="B208" s="23" t="s">
        <v>67</v>
      </c>
      <c r="C208" s="23" t="s">
        <v>2568</v>
      </c>
      <c r="D208" s="23" t="s">
        <v>2569</v>
      </c>
      <c r="E208" s="23" t="s">
        <v>2570</v>
      </c>
      <c r="F208" s="26">
        <v>794.0</v>
      </c>
      <c r="G208" s="26">
        <v>600194.0</v>
      </c>
      <c r="H208" s="23" t="s">
        <v>1392</v>
      </c>
      <c r="I208" s="27"/>
      <c r="J208" s="23" t="s">
        <v>1632</v>
      </c>
      <c r="K208" s="29">
        <v>45743.0</v>
      </c>
      <c r="L208" s="26">
        <v>2025.0</v>
      </c>
      <c r="M208" s="29">
        <v>45882.0</v>
      </c>
      <c r="N208" s="26" t="str">
        <f t="shared" si="2"/>
        <v>2025</v>
      </c>
      <c r="O208" s="36">
        <f t="shared" si="5"/>
        <v>139</v>
      </c>
      <c r="P208" s="36">
        <f t="shared" si="4"/>
        <v>0</v>
      </c>
      <c r="Q208" s="23" t="s">
        <v>348</v>
      </c>
      <c r="R208" s="23" t="s">
        <v>2572</v>
      </c>
      <c r="S208" s="23" t="s">
        <v>269</v>
      </c>
      <c r="T208" s="23" t="s">
        <v>84</v>
      </c>
      <c r="U208" s="23" t="s">
        <v>790</v>
      </c>
      <c r="V208" s="23" t="s">
        <v>104</v>
      </c>
      <c r="W208" s="23" t="s">
        <v>2574</v>
      </c>
      <c r="X208" s="23" t="s">
        <v>2574</v>
      </c>
      <c r="Y208" s="23" t="s">
        <v>2575</v>
      </c>
      <c r="Z208" s="27"/>
      <c r="AA208" s="27"/>
      <c r="AB208" s="44"/>
      <c r="AC208" s="76" t="s">
        <v>777</v>
      </c>
      <c r="AD208" s="76" t="s">
        <v>261</v>
      </c>
      <c r="AE208" s="76" t="s">
        <v>476</v>
      </c>
    </row>
    <row r="209">
      <c r="A209" s="45" t="s">
        <v>64</v>
      </c>
      <c r="B209" s="45" t="s">
        <v>19</v>
      </c>
      <c r="C209" s="45" t="s">
        <v>2576</v>
      </c>
      <c r="D209" s="45" t="s">
        <v>2577</v>
      </c>
      <c r="E209" s="45" t="s">
        <v>2578</v>
      </c>
      <c r="F209" s="48">
        <v>680.0</v>
      </c>
      <c r="G209" s="48">
        <v>600456.0</v>
      </c>
      <c r="H209" s="45" t="s">
        <v>139</v>
      </c>
      <c r="I209" s="53"/>
      <c r="J209" s="45" t="s">
        <v>1525</v>
      </c>
      <c r="K209" s="55">
        <v>45495.0</v>
      </c>
      <c r="L209" s="55" t="str">
        <f t="shared" ref="L209:L234" si="7">right(K209,4)</f>
        <v>2024</v>
      </c>
      <c r="M209" s="55">
        <v>46022.0</v>
      </c>
      <c r="N209" s="48" t="str">
        <f t="shared" si="2"/>
        <v>2025</v>
      </c>
      <c r="O209" s="58">
        <f t="shared" si="5"/>
        <v>527</v>
      </c>
      <c r="P209" s="58">
        <f t="shared" si="4"/>
        <v>1</v>
      </c>
      <c r="Q209" s="45" t="s">
        <v>150</v>
      </c>
      <c r="R209" s="51"/>
      <c r="S209" s="51"/>
      <c r="T209" s="51"/>
      <c r="U209" s="51"/>
      <c r="V209" s="51"/>
      <c r="W209" s="51"/>
      <c r="X209" s="51"/>
      <c r="Y209" s="45" t="s">
        <v>2583</v>
      </c>
      <c r="Z209" s="51"/>
      <c r="AA209" s="45" t="s">
        <v>2584</v>
      </c>
      <c r="AB209" s="72"/>
      <c r="AC209" s="51"/>
      <c r="AD209" s="51"/>
      <c r="AE209" s="64" t="s">
        <v>2585</v>
      </c>
    </row>
    <row r="210">
      <c r="A210" s="23" t="s">
        <v>64</v>
      </c>
      <c r="B210" s="23" t="s">
        <v>19</v>
      </c>
      <c r="C210" s="23" t="s">
        <v>396</v>
      </c>
      <c r="D210" s="23" t="s">
        <v>2586</v>
      </c>
      <c r="E210" s="23" t="s">
        <v>2587</v>
      </c>
      <c r="F210" s="26">
        <v>682.0</v>
      </c>
      <c r="G210" s="26">
        <v>600334.0</v>
      </c>
      <c r="H210" s="23" t="s">
        <v>266</v>
      </c>
      <c r="I210" s="23" t="s">
        <v>226</v>
      </c>
      <c r="J210" s="27"/>
      <c r="K210" s="29">
        <v>45374.0</v>
      </c>
      <c r="L210" s="29" t="str">
        <f t="shared" si="7"/>
        <v>2024</v>
      </c>
      <c r="M210" s="29">
        <v>49391.0</v>
      </c>
      <c r="N210" s="26" t="str">
        <f t="shared" si="2"/>
        <v>2035</v>
      </c>
      <c r="O210" s="36">
        <f t="shared" si="5"/>
        <v>4017</v>
      </c>
      <c r="P210" s="36">
        <f t="shared" si="4"/>
        <v>11</v>
      </c>
      <c r="Q210" s="23" t="s">
        <v>150</v>
      </c>
      <c r="R210" s="27"/>
      <c r="S210" s="27"/>
      <c r="T210" s="23" t="s">
        <v>233</v>
      </c>
      <c r="U210" s="23" t="s">
        <v>25</v>
      </c>
      <c r="V210" s="27"/>
      <c r="W210" s="23" t="s">
        <v>2590</v>
      </c>
      <c r="X210" s="27"/>
      <c r="Y210" s="27"/>
      <c r="Z210" s="27"/>
      <c r="AA210" s="27"/>
      <c r="AB210" s="44"/>
      <c r="AC210" s="27"/>
      <c r="AD210" s="76" t="s">
        <v>123</v>
      </c>
      <c r="AE210" s="76" t="s">
        <v>124</v>
      </c>
    </row>
    <row r="211">
      <c r="A211" s="45" t="s">
        <v>64</v>
      </c>
      <c r="B211" s="45" t="s">
        <v>67</v>
      </c>
      <c r="C211" s="45" t="s">
        <v>2592</v>
      </c>
      <c r="D211" s="45" t="s">
        <v>2593</v>
      </c>
      <c r="E211" s="45" t="s">
        <v>2594</v>
      </c>
      <c r="F211" s="48">
        <v>673.0</v>
      </c>
      <c r="G211" s="48">
        <v>600447.0</v>
      </c>
      <c r="H211" s="45" t="s">
        <v>187</v>
      </c>
      <c r="I211" s="53"/>
      <c r="J211" s="51"/>
      <c r="K211" s="55">
        <v>45482.0</v>
      </c>
      <c r="L211" s="55" t="str">
        <f t="shared" si="7"/>
        <v>2024</v>
      </c>
      <c r="M211" s="55">
        <v>45497.0</v>
      </c>
      <c r="N211" s="48" t="str">
        <f t="shared" si="2"/>
        <v>2024</v>
      </c>
      <c r="O211" s="58">
        <f t="shared" si="5"/>
        <v>15</v>
      </c>
      <c r="P211" s="58">
        <f t="shared" si="4"/>
        <v>0</v>
      </c>
      <c r="Q211" s="45" t="s">
        <v>106</v>
      </c>
      <c r="R211" s="51"/>
      <c r="S211" s="51"/>
      <c r="T211" s="45" t="s">
        <v>233</v>
      </c>
      <c r="U211" s="51"/>
      <c r="V211" s="45" t="s">
        <v>106</v>
      </c>
      <c r="W211" s="195" t="s">
        <v>2596</v>
      </c>
      <c r="X211" s="196"/>
      <c r="Y211" s="198"/>
      <c r="Z211" s="51"/>
      <c r="AA211" s="45" t="s">
        <v>2600</v>
      </c>
      <c r="AB211" s="72"/>
      <c r="AC211" s="64" t="s">
        <v>820</v>
      </c>
      <c r="AD211" s="51"/>
      <c r="AE211" s="64" t="s">
        <v>336</v>
      </c>
    </row>
    <row r="212">
      <c r="A212" s="23" t="s">
        <v>64</v>
      </c>
      <c r="B212" s="23" t="s">
        <v>19</v>
      </c>
      <c r="C212" s="23" t="s">
        <v>2605</v>
      </c>
      <c r="D212" s="23" t="s">
        <v>2606</v>
      </c>
      <c r="E212" s="23" t="s">
        <v>2607</v>
      </c>
      <c r="F212" s="26">
        <v>684.0</v>
      </c>
      <c r="G212" s="26">
        <v>600460.0</v>
      </c>
      <c r="H212" s="23" t="s">
        <v>84</v>
      </c>
      <c r="I212" s="23" t="s">
        <v>84</v>
      </c>
      <c r="J212" s="23" t="s">
        <v>2429</v>
      </c>
      <c r="K212" s="29">
        <v>45499.0</v>
      </c>
      <c r="L212" s="29" t="str">
        <f t="shared" si="7"/>
        <v>2024</v>
      </c>
      <c r="M212" s="29">
        <v>46022.0</v>
      </c>
      <c r="N212" s="26" t="str">
        <f t="shared" si="2"/>
        <v>2025</v>
      </c>
      <c r="O212" s="36">
        <f t="shared" si="5"/>
        <v>523</v>
      </c>
      <c r="P212" s="36">
        <f t="shared" si="4"/>
        <v>1</v>
      </c>
      <c r="Q212" s="23" t="s">
        <v>150</v>
      </c>
      <c r="R212" s="27"/>
      <c r="S212" s="27"/>
      <c r="T212" s="23" t="s">
        <v>84</v>
      </c>
      <c r="U212" s="23" t="s">
        <v>790</v>
      </c>
      <c r="V212" s="23" t="s">
        <v>104</v>
      </c>
      <c r="W212" s="144" t="s">
        <v>2609</v>
      </c>
      <c r="X212" s="23" t="s">
        <v>2611</v>
      </c>
      <c r="Y212" s="23" t="s">
        <v>2612</v>
      </c>
      <c r="Z212" s="27"/>
      <c r="AA212" s="27"/>
      <c r="AB212" s="44"/>
      <c r="AC212" s="76" t="s">
        <v>777</v>
      </c>
      <c r="AD212" s="76" t="s">
        <v>123</v>
      </c>
      <c r="AE212" s="76" t="s">
        <v>124</v>
      </c>
    </row>
    <row r="213">
      <c r="A213" s="45" t="s">
        <v>64</v>
      </c>
      <c r="B213" s="45" t="s">
        <v>67</v>
      </c>
      <c r="C213" s="45" t="s">
        <v>2613</v>
      </c>
      <c r="D213" s="45" t="s">
        <v>2614</v>
      </c>
      <c r="E213" s="45" t="s">
        <v>2615</v>
      </c>
      <c r="F213" s="48">
        <v>676.0</v>
      </c>
      <c r="G213" s="48">
        <v>600452.0</v>
      </c>
      <c r="H213" s="45" t="s">
        <v>139</v>
      </c>
      <c r="I213" s="45" t="s">
        <v>226</v>
      </c>
      <c r="J213" s="45" t="s">
        <v>209</v>
      </c>
      <c r="K213" s="55">
        <v>45488.0</v>
      </c>
      <c r="L213" s="55" t="str">
        <f t="shared" si="7"/>
        <v>2024</v>
      </c>
      <c r="M213" s="55">
        <v>45565.0</v>
      </c>
      <c r="N213" s="48" t="str">
        <f t="shared" si="2"/>
        <v>2024</v>
      </c>
      <c r="O213" s="58">
        <f t="shared" si="5"/>
        <v>77</v>
      </c>
      <c r="P213" s="58">
        <f t="shared" si="4"/>
        <v>0</v>
      </c>
      <c r="Q213" s="45" t="s">
        <v>150</v>
      </c>
      <c r="R213" s="51"/>
      <c r="S213" s="51"/>
      <c r="T213" s="45" t="s">
        <v>233</v>
      </c>
      <c r="U213" s="45" t="s">
        <v>790</v>
      </c>
      <c r="V213" s="45" t="s">
        <v>104</v>
      </c>
      <c r="W213" s="142" t="s">
        <v>2620</v>
      </c>
      <c r="X213" s="51"/>
      <c r="Y213" s="51"/>
      <c r="Z213" s="51"/>
      <c r="AA213" s="51"/>
      <c r="AB213" s="72"/>
      <c r="AC213" s="64" t="s">
        <v>820</v>
      </c>
      <c r="AD213" s="64" t="s">
        <v>261</v>
      </c>
      <c r="AE213" s="64" t="s">
        <v>124</v>
      </c>
    </row>
    <row r="214">
      <c r="A214" s="23" t="s">
        <v>64</v>
      </c>
      <c r="B214" s="23" t="s">
        <v>19</v>
      </c>
      <c r="C214" s="23" t="s">
        <v>933</v>
      </c>
      <c r="D214" s="23" t="s">
        <v>2622</v>
      </c>
      <c r="E214" s="23" t="s">
        <v>2623</v>
      </c>
      <c r="F214" s="26">
        <v>686.0</v>
      </c>
      <c r="G214" s="26">
        <v>600479.0</v>
      </c>
      <c r="H214" s="23" t="s">
        <v>139</v>
      </c>
      <c r="I214" s="23" t="s">
        <v>84</v>
      </c>
      <c r="J214" s="23" t="s">
        <v>782</v>
      </c>
      <c r="K214" s="29">
        <v>45504.0</v>
      </c>
      <c r="L214" s="29" t="str">
        <f t="shared" si="7"/>
        <v>2024</v>
      </c>
      <c r="M214" s="29">
        <v>45869.0</v>
      </c>
      <c r="N214" s="26" t="str">
        <f t="shared" si="2"/>
        <v>2025</v>
      </c>
      <c r="O214" s="36">
        <f t="shared" si="5"/>
        <v>365</v>
      </c>
      <c r="P214" s="36">
        <f t="shared" si="4"/>
        <v>1</v>
      </c>
      <c r="Q214" s="23" t="s">
        <v>150</v>
      </c>
      <c r="R214" s="27"/>
      <c r="S214" s="27"/>
      <c r="T214" s="23" t="s">
        <v>146</v>
      </c>
      <c r="U214" s="23" t="s">
        <v>1244</v>
      </c>
      <c r="V214" s="23" t="s">
        <v>2628</v>
      </c>
      <c r="W214" s="23" t="s">
        <v>2629</v>
      </c>
      <c r="X214" s="23" t="s">
        <v>2629</v>
      </c>
      <c r="Y214" s="23" t="s">
        <v>2630</v>
      </c>
      <c r="Z214" s="27"/>
      <c r="AA214" s="27"/>
      <c r="AB214" s="44"/>
      <c r="AC214" s="76" t="s">
        <v>777</v>
      </c>
      <c r="AD214" s="76" t="s">
        <v>123</v>
      </c>
      <c r="AE214" s="76" t="s">
        <v>441</v>
      </c>
    </row>
    <row r="215">
      <c r="A215" s="45" t="s">
        <v>64</v>
      </c>
      <c r="B215" s="45" t="s">
        <v>67</v>
      </c>
      <c r="C215" s="45" t="s">
        <v>2632</v>
      </c>
      <c r="D215" s="45" t="s">
        <v>2633</v>
      </c>
      <c r="E215" s="45" t="s">
        <v>2634</v>
      </c>
      <c r="F215" s="48">
        <v>685.0</v>
      </c>
      <c r="G215" s="48">
        <v>600459.0</v>
      </c>
      <c r="H215" s="45" t="s">
        <v>464</v>
      </c>
      <c r="I215" s="45" t="s">
        <v>226</v>
      </c>
      <c r="J215" s="45" t="s">
        <v>209</v>
      </c>
      <c r="K215" s="55">
        <v>45499.0</v>
      </c>
      <c r="L215" s="55" t="str">
        <f t="shared" si="7"/>
        <v>2024</v>
      </c>
      <c r="M215" s="55">
        <v>45688.0</v>
      </c>
      <c r="N215" s="48" t="str">
        <f t="shared" si="2"/>
        <v>2025</v>
      </c>
      <c r="O215" s="58">
        <f t="shared" si="5"/>
        <v>189</v>
      </c>
      <c r="P215" s="58">
        <f t="shared" si="4"/>
        <v>0</v>
      </c>
      <c r="Q215" s="45" t="s">
        <v>150</v>
      </c>
      <c r="R215" s="51"/>
      <c r="S215" s="51"/>
      <c r="T215" s="45" t="s">
        <v>233</v>
      </c>
      <c r="U215" s="45" t="s">
        <v>790</v>
      </c>
      <c r="V215" s="45" t="s">
        <v>708</v>
      </c>
      <c r="W215" s="142" t="s">
        <v>2636</v>
      </c>
      <c r="X215" s="51"/>
      <c r="Y215" s="45" t="s">
        <v>2637</v>
      </c>
      <c r="Z215" s="51"/>
      <c r="AA215" s="51"/>
      <c r="AB215" s="72"/>
      <c r="AC215" s="64" t="s">
        <v>820</v>
      </c>
      <c r="AD215" s="64" t="s">
        <v>261</v>
      </c>
      <c r="AE215" s="64" t="s">
        <v>124</v>
      </c>
    </row>
    <row r="216">
      <c r="A216" s="23" t="s">
        <v>64</v>
      </c>
      <c r="B216" s="23" t="s">
        <v>67</v>
      </c>
      <c r="C216" s="23" t="s">
        <v>2639</v>
      </c>
      <c r="D216" s="23" t="s">
        <v>2640</v>
      </c>
      <c r="E216" s="23" t="s">
        <v>2641</v>
      </c>
      <c r="F216" s="26">
        <v>678.0</v>
      </c>
      <c r="G216" s="26">
        <v>600454.0</v>
      </c>
      <c r="H216" s="23" t="s">
        <v>1392</v>
      </c>
      <c r="I216" s="23" t="s">
        <v>226</v>
      </c>
      <c r="J216" s="23" t="s">
        <v>209</v>
      </c>
      <c r="K216" s="29">
        <v>45703.0</v>
      </c>
      <c r="L216" s="29" t="str">
        <f t="shared" si="7"/>
        <v>2025</v>
      </c>
      <c r="M216" s="29">
        <v>45894.0</v>
      </c>
      <c r="N216" s="26" t="str">
        <f t="shared" si="2"/>
        <v>2025</v>
      </c>
      <c r="O216" s="36">
        <f t="shared" si="5"/>
        <v>191</v>
      </c>
      <c r="P216" s="36">
        <f t="shared" si="4"/>
        <v>0</v>
      </c>
      <c r="Q216" s="23" t="s">
        <v>253</v>
      </c>
      <c r="R216" s="27"/>
      <c r="S216" s="26" t="s">
        <v>113</v>
      </c>
      <c r="T216" s="23" t="s">
        <v>233</v>
      </c>
      <c r="U216" s="23" t="s">
        <v>790</v>
      </c>
      <c r="V216" s="23" t="s">
        <v>708</v>
      </c>
      <c r="W216" s="23" t="s">
        <v>2643</v>
      </c>
      <c r="X216" s="27"/>
      <c r="Y216" s="23" t="s">
        <v>2557</v>
      </c>
      <c r="Z216" s="27"/>
      <c r="AA216" s="27"/>
      <c r="AB216" s="44"/>
      <c r="AC216" s="76" t="s">
        <v>777</v>
      </c>
      <c r="AD216" s="76" t="s">
        <v>261</v>
      </c>
      <c r="AE216" s="76" t="s">
        <v>1875</v>
      </c>
    </row>
    <row r="217">
      <c r="A217" s="45" t="s">
        <v>64</v>
      </c>
      <c r="B217" s="45" t="s">
        <v>67</v>
      </c>
      <c r="C217" s="45" t="s">
        <v>2645</v>
      </c>
      <c r="D217" s="45" t="s">
        <v>2646</v>
      </c>
      <c r="E217" s="45" t="s">
        <v>2647</v>
      </c>
      <c r="F217" s="48">
        <v>690.0</v>
      </c>
      <c r="G217" s="48">
        <v>600467.0</v>
      </c>
      <c r="H217" s="45" t="s">
        <v>187</v>
      </c>
      <c r="I217" s="53"/>
      <c r="J217" s="45" t="s">
        <v>243</v>
      </c>
      <c r="K217" s="55">
        <v>45510.0</v>
      </c>
      <c r="L217" s="55" t="str">
        <f t="shared" si="7"/>
        <v>2024</v>
      </c>
      <c r="M217" s="55">
        <v>45524.0</v>
      </c>
      <c r="N217" s="48" t="str">
        <f t="shared" si="2"/>
        <v>2024</v>
      </c>
      <c r="O217" s="58">
        <f t="shared" si="5"/>
        <v>14</v>
      </c>
      <c r="P217" s="58">
        <f t="shared" si="4"/>
        <v>0</v>
      </c>
      <c r="Q217" s="45" t="s">
        <v>106</v>
      </c>
      <c r="R217" s="51"/>
      <c r="S217" s="51"/>
      <c r="T217" s="45" t="s">
        <v>146</v>
      </c>
      <c r="U217" s="45" t="s">
        <v>790</v>
      </c>
      <c r="V217" s="51"/>
      <c r="W217" s="45" t="s">
        <v>2649</v>
      </c>
      <c r="X217" s="51"/>
      <c r="Y217" s="45" t="s">
        <v>2650</v>
      </c>
      <c r="Z217" s="51"/>
      <c r="AA217" s="45" t="s">
        <v>2651</v>
      </c>
      <c r="AB217" s="72"/>
      <c r="AC217" s="64" t="s">
        <v>2330</v>
      </c>
      <c r="AD217" s="51"/>
      <c r="AE217" s="64" t="s">
        <v>336</v>
      </c>
    </row>
    <row r="218">
      <c r="A218" s="23" t="s">
        <v>64</v>
      </c>
      <c r="B218" s="23" t="s">
        <v>67</v>
      </c>
      <c r="C218" s="23" t="s">
        <v>2652</v>
      </c>
      <c r="D218" s="23" t="s">
        <v>2653</v>
      </c>
      <c r="E218" s="23" t="s">
        <v>2654</v>
      </c>
      <c r="F218" s="26">
        <v>691.0</v>
      </c>
      <c r="G218" s="26">
        <v>600390.0</v>
      </c>
      <c r="H218" s="23" t="s">
        <v>464</v>
      </c>
      <c r="I218" s="23" t="s">
        <v>226</v>
      </c>
      <c r="J218" s="23" t="s">
        <v>2418</v>
      </c>
      <c r="K218" s="29">
        <v>45511.0</v>
      </c>
      <c r="L218" s="29" t="str">
        <f t="shared" si="7"/>
        <v>2024</v>
      </c>
      <c r="M218" s="29">
        <v>45534.0</v>
      </c>
      <c r="N218" s="26" t="str">
        <f t="shared" si="2"/>
        <v>2024</v>
      </c>
      <c r="O218" s="36">
        <f t="shared" si="5"/>
        <v>23</v>
      </c>
      <c r="P218" s="36">
        <f t="shared" si="4"/>
        <v>0</v>
      </c>
      <c r="Q218" s="23" t="s">
        <v>150</v>
      </c>
      <c r="R218" s="27"/>
      <c r="S218" s="27"/>
      <c r="T218" s="23" t="s">
        <v>233</v>
      </c>
      <c r="U218" s="23" t="s">
        <v>25</v>
      </c>
      <c r="V218" s="23" t="s">
        <v>2657</v>
      </c>
      <c r="W218" s="27"/>
      <c r="X218" s="27"/>
      <c r="Y218" s="27"/>
      <c r="Z218" s="27"/>
      <c r="AA218" s="27"/>
      <c r="AB218" s="44"/>
      <c r="AC218" s="76" t="s">
        <v>162</v>
      </c>
      <c r="AD218" s="27"/>
      <c r="AE218" s="76" t="s">
        <v>124</v>
      </c>
    </row>
    <row r="219">
      <c r="A219" s="45" t="s">
        <v>64</v>
      </c>
      <c r="B219" s="45" t="s">
        <v>67</v>
      </c>
      <c r="C219" s="45" t="s">
        <v>2658</v>
      </c>
      <c r="D219" s="45" t="s">
        <v>2660</v>
      </c>
      <c r="E219" s="45" t="s">
        <v>2661</v>
      </c>
      <c r="F219" s="48">
        <v>693.0</v>
      </c>
      <c r="G219" s="51"/>
      <c r="H219" s="45" t="s">
        <v>187</v>
      </c>
      <c r="I219" s="53"/>
      <c r="J219" s="45" t="s">
        <v>209</v>
      </c>
      <c r="K219" s="55">
        <v>45512.0</v>
      </c>
      <c r="L219" s="55" t="str">
        <f t="shared" si="7"/>
        <v>2024</v>
      </c>
      <c r="M219" s="55">
        <v>45543.0</v>
      </c>
      <c r="N219" s="48" t="str">
        <f t="shared" si="2"/>
        <v>2024</v>
      </c>
      <c r="O219" s="58">
        <f t="shared" si="5"/>
        <v>31</v>
      </c>
      <c r="P219" s="58">
        <f t="shared" si="4"/>
        <v>0</v>
      </c>
      <c r="Q219" s="45" t="s">
        <v>150</v>
      </c>
      <c r="R219" s="51"/>
      <c r="S219" s="51"/>
      <c r="T219" s="45" t="s">
        <v>233</v>
      </c>
      <c r="U219" s="51"/>
      <c r="V219" s="51"/>
      <c r="W219" s="186" t="s">
        <v>2663</v>
      </c>
      <c r="X219" s="51"/>
      <c r="Y219" s="51"/>
      <c r="Z219" s="51"/>
      <c r="AA219" s="51"/>
      <c r="AB219" s="72"/>
      <c r="AC219" s="64" t="s">
        <v>820</v>
      </c>
      <c r="AD219" s="51"/>
      <c r="AE219" s="64" t="s">
        <v>124</v>
      </c>
    </row>
    <row r="220">
      <c r="A220" s="23" t="s">
        <v>64</v>
      </c>
      <c r="B220" s="23" t="s">
        <v>19</v>
      </c>
      <c r="C220" s="144" t="s">
        <v>727</v>
      </c>
      <c r="D220" s="23" t="s">
        <v>2675</v>
      </c>
      <c r="E220" s="23" t="s">
        <v>1451</v>
      </c>
      <c r="F220" s="26">
        <v>694.0</v>
      </c>
      <c r="G220" s="26">
        <v>600472.0</v>
      </c>
      <c r="H220" s="23" t="s">
        <v>2676</v>
      </c>
      <c r="I220" s="23" t="s">
        <v>84</v>
      </c>
      <c r="J220" s="23" t="s">
        <v>1660</v>
      </c>
      <c r="K220" s="29">
        <v>45513.0</v>
      </c>
      <c r="L220" s="29" t="str">
        <f t="shared" si="7"/>
        <v>2024</v>
      </c>
      <c r="M220" s="29">
        <v>46273.0</v>
      </c>
      <c r="N220" s="26" t="str">
        <f t="shared" si="2"/>
        <v>2026</v>
      </c>
      <c r="O220" s="36">
        <f t="shared" si="5"/>
        <v>760</v>
      </c>
      <c r="P220" s="36">
        <f t="shared" si="4"/>
        <v>2</v>
      </c>
      <c r="Q220" s="23" t="s">
        <v>150</v>
      </c>
      <c r="R220" s="27"/>
      <c r="S220" s="26" t="s">
        <v>269</v>
      </c>
      <c r="T220" s="23" t="s">
        <v>84</v>
      </c>
      <c r="U220" s="23" t="s">
        <v>1244</v>
      </c>
      <c r="V220" s="23" t="s">
        <v>104</v>
      </c>
      <c r="W220" s="144" t="s">
        <v>2677</v>
      </c>
      <c r="X220" s="23" t="s">
        <v>2679</v>
      </c>
      <c r="Y220" s="27"/>
      <c r="Z220" s="27"/>
      <c r="AA220" s="23" t="s">
        <v>2680</v>
      </c>
      <c r="AB220" s="44"/>
      <c r="AC220" s="76" t="s">
        <v>777</v>
      </c>
      <c r="AD220" s="76" t="s">
        <v>261</v>
      </c>
      <c r="AE220" s="76" t="s">
        <v>124</v>
      </c>
    </row>
    <row r="221">
      <c r="A221" s="45" t="s">
        <v>64</v>
      </c>
      <c r="B221" s="45" t="s">
        <v>67</v>
      </c>
      <c r="C221" s="45" t="s">
        <v>2685</v>
      </c>
      <c r="D221" s="45" t="s">
        <v>2686</v>
      </c>
      <c r="E221" s="45" t="s">
        <v>2687</v>
      </c>
      <c r="F221" s="48">
        <v>698.0</v>
      </c>
      <c r="G221" s="51"/>
      <c r="H221" s="45" t="s">
        <v>225</v>
      </c>
      <c r="I221" s="45" t="s">
        <v>226</v>
      </c>
      <c r="J221" s="45" t="s">
        <v>2418</v>
      </c>
      <c r="K221" s="55">
        <v>45520.0</v>
      </c>
      <c r="L221" s="55" t="str">
        <f t="shared" si="7"/>
        <v>2024</v>
      </c>
      <c r="M221" s="55">
        <v>45527.0</v>
      </c>
      <c r="N221" s="48" t="str">
        <f t="shared" si="2"/>
        <v>2024</v>
      </c>
      <c r="O221" s="58">
        <f t="shared" si="5"/>
        <v>7</v>
      </c>
      <c r="P221" s="58">
        <f t="shared" si="4"/>
        <v>0</v>
      </c>
      <c r="Q221" s="45" t="s">
        <v>150</v>
      </c>
      <c r="R221" s="51"/>
      <c r="S221" s="51"/>
      <c r="T221" s="45" t="s">
        <v>233</v>
      </c>
      <c r="U221" s="45" t="s">
        <v>790</v>
      </c>
      <c r="V221" s="51"/>
      <c r="W221" s="51"/>
      <c r="X221" s="51"/>
      <c r="Y221" s="45" t="s">
        <v>2689</v>
      </c>
      <c r="Z221" s="51"/>
      <c r="AA221" s="45" t="s">
        <v>2690</v>
      </c>
      <c r="AB221" s="72"/>
      <c r="AC221" s="64" t="s">
        <v>162</v>
      </c>
      <c r="AD221" s="51"/>
      <c r="AE221" s="64" t="s">
        <v>162</v>
      </c>
    </row>
    <row r="222">
      <c r="A222" s="23" t="s">
        <v>64</v>
      </c>
      <c r="B222" s="23" t="s">
        <v>19</v>
      </c>
      <c r="C222" s="23" t="s">
        <v>328</v>
      </c>
      <c r="D222" s="23" t="s">
        <v>2695</v>
      </c>
      <c r="E222" s="144" t="s">
        <v>2696</v>
      </c>
      <c r="F222" s="26">
        <v>699.0</v>
      </c>
      <c r="G222" s="26">
        <v>600475.0</v>
      </c>
      <c r="H222" s="23" t="s">
        <v>464</v>
      </c>
      <c r="I222" s="23" t="s">
        <v>84</v>
      </c>
      <c r="J222" s="23" t="s">
        <v>2418</v>
      </c>
      <c r="K222" s="29">
        <v>45523.0</v>
      </c>
      <c r="L222" s="29" t="str">
        <f t="shared" si="7"/>
        <v>2024</v>
      </c>
      <c r="M222" s="29">
        <v>45930.0</v>
      </c>
      <c r="N222" s="26" t="str">
        <f t="shared" si="2"/>
        <v>2025</v>
      </c>
      <c r="O222" s="36">
        <f t="shared" si="5"/>
        <v>407</v>
      </c>
      <c r="P222" s="36">
        <f t="shared" si="4"/>
        <v>1</v>
      </c>
      <c r="Q222" s="23" t="s">
        <v>150</v>
      </c>
      <c r="R222" s="27"/>
      <c r="S222" s="27"/>
      <c r="T222" s="23" t="s">
        <v>146</v>
      </c>
      <c r="U222" s="23" t="s">
        <v>1244</v>
      </c>
      <c r="V222" s="27"/>
      <c r="W222" s="23" t="s">
        <v>2700</v>
      </c>
      <c r="X222" s="23" t="s">
        <v>2700</v>
      </c>
      <c r="Y222" s="27"/>
      <c r="Z222" s="27"/>
      <c r="AA222" s="27"/>
      <c r="AB222" s="44"/>
      <c r="AC222" s="76" t="s">
        <v>354</v>
      </c>
      <c r="AD222" s="76" t="s">
        <v>38</v>
      </c>
      <c r="AE222" s="76" t="s">
        <v>124</v>
      </c>
    </row>
    <row r="223">
      <c r="A223" s="45" t="s">
        <v>64</v>
      </c>
      <c r="B223" s="45" t="s">
        <v>67</v>
      </c>
      <c r="C223" s="45" t="s">
        <v>2701</v>
      </c>
      <c r="D223" s="45" t="s">
        <v>2702</v>
      </c>
      <c r="E223" s="45" t="s">
        <v>2703</v>
      </c>
      <c r="F223" s="48">
        <v>701.0</v>
      </c>
      <c r="G223" s="48">
        <v>600481.0</v>
      </c>
      <c r="H223" s="45" t="s">
        <v>139</v>
      </c>
      <c r="I223" s="45" t="s">
        <v>226</v>
      </c>
      <c r="J223" s="45" t="s">
        <v>2442</v>
      </c>
      <c r="K223" s="55">
        <v>45526.0</v>
      </c>
      <c r="L223" s="55" t="str">
        <f t="shared" si="7"/>
        <v>2024</v>
      </c>
      <c r="M223" s="55">
        <v>45626.0</v>
      </c>
      <c r="N223" s="48" t="str">
        <f t="shared" si="2"/>
        <v>2024</v>
      </c>
      <c r="O223" s="58">
        <f t="shared" si="5"/>
        <v>100</v>
      </c>
      <c r="P223" s="58">
        <f t="shared" si="4"/>
        <v>0</v>
      </c>
      <c r="Q223" s="45" t="s">
        <v>150</v>
      </c>
      <c r="R223" s="51"/>
      <c r="S223" s="51"/>
      <c r="T223" s="45" t="s">
        <v>233</v>
      </c>
      <c r="U223" s="45" t="s">
        <v>790</v>
      </c>
      <c r="V223" s="45" t="s">
        <v>2706</v>
      </c>
      <c r="W223" s="45" t="s">
        <v>2707</v>
      </c>
      <c r="X223" s="51"/>
      <c r="Y223" s="51"/>
      <c r="Z223" s="51"/>
      <c r="AA223" s="51"/>
      <c r="AB223" s="72"/>
      <c r="AC223" s="64" t="s">
        <v>820</v>
      </c>
      <c r="AD223" s="64" t="s">
        <v>1873</v>
      </c>
      <c r="AE223" s="64" t="s">
        <v>124</v>
      </c>
    </row>
    <row r="224">
      <c r="A224" s="23" t="s">
        <v>64</v>
      </c>
      <c r="B224" s="23" t="s">
        <v>19</v>
      </c>
      <c r="C224" s="23" t="s">
        <v>2712</v>
      </c>
      <c r="D224" s="23" t="s">
        <v>2713</v>
      </c>
      <c r="E224" s="23" t="s">
        <v>2714</v>
      </c>
      <c r="F224" s="26">
        <v>706.0</v>
      </c>
      <c r="G224" s="26">
        <v>600486.0</v>
      </c>
      <c r="H224" s="23" t="s">
        <v>464</v>
      </c>
      <c r="I224" s="23" t="s">
        <v>84</v>
      </c>
      <c r="J224" s="23" t="s">
        <v>2418</v>
      </c>
      <c r="K224" s="29">
        <v>45534.0</v>
      </c>
      <c r="L224" s="29" t="str">
        <f t="shared" si="7"/>
        <v>2024</v>
      </c>
      <c r="M224" s="29">
        <v>45837.0</v>
      </c>
      <c r="N224" s="26" t="str">
        <f t="shared" si="2"/>
        <v>2025</v>
      </c>
      <c r="O224" s="36">
        <f t="shared" si="5"/>
        <v>303</v>
      </c>
      <c r="P224" s="36">
        <f t="shared" si="4"/>
        <v>0</v>
      </c>
      <c r="Q224" s="23" t="s">
        <v>253</v>
      </c>
      <c r="R224" s="27"/>
      <c r="S224" s="27"/>
      <c r="T224" s="23" t="s">
        <v>84</v>
      </c>
      <c r="U224" s="23" t="s">
        <v>790</v>
      </c>
      <c r="V224" s="23" t="s">
        <v>2720</v>
      </c>
      <c r="W224" s="23" t="s">
        <v>2721</v>
      </c>
      <c r="X224" s="23" t="s">
        <v>2721</v>
      </c>
      <c r="Y224" s="23" t="s">
        <v>2722</v>
      </c>
      <c r="Z224" s="27"/>
      <c r="AA224" s="23" t="s">
        <v>2723</v>
      </c>
      <c r="AB224" s="44"/>
      <c r="AC224" s="76" t="s">
        <v>2724</v>
      </c>
      <c r="AD224" s="27"/>
      <c r="AE224" s="76" t="s">
        <v>124</v>
      </c>
    </row>
    <row r="225">
      <c r="A225" s="45" t="s">
        <v>64</v>
      </c>
      <c r="B225" s="45" t="s">
        <v>67</v>
      </c>
      <c r="C225" s="45" t="s">
        <v>2726</v>
      </c>
      <c r="D225" s="45" t="s">
        <v>2728</v>
      </c>
      <c r="E225" s="142" t="s">
        <v>2729</v>
      </c>
      <c r="F225" s="48">
        <v>707.0</v>
      </c>
      <c r="G225" s="48">
        <v>600488.0</v>
      </c>
      <c r="H225" s="45" t="s">
        <v>139</v>
      </c>
      <c r="I225" s="45" t="s">
        <v>248</v>
      </c>
      <c r="J225" s="45" t="s">
        <v>2418</v>
      </c>
      <c r="K225" s="55">
        <v>45540.0</v>
      </c>
      <c r="L225" s="55" t="str">
        <f t="shared" si="7"/>
        <v>2024</v>
      </c>
      <c r="M225" s="55">
        <v>45722.0</v>
      </c>
      <c r="N225" s="48" t="str">
        <f t="shared" si="2"/>
        <v>2025</v>
      </c>
      <c r="O225" s="58">
        <f t="shared" si="5"/>
        <v>182</v>
      </c>
      <c r="P225" s="58">
        <f t="shared" si="4"/>
        <v>0</v>
      </c>
      <c r="Q225" s="45" t="s">
        <v>150</v>
      </c>
      <c r="R225" s="51"/>
      <c r="S225" s="51"/>
      <c r="T225" s="45" t="s">
        <v>146</v>
      </c>
      <c r="U225" s="45" t="s">
        <v>790</v>
      </c>
      <c r="V225" s="45" t="s">
        <v>2740</v>
      </c>
      <c r="W225" s="142" t="s">
        <v>2741</v>
      </c>
      <c r="X225" s="142" t="s">
        <v>2741</v>
      </c>
      <c r="Y225" s="45" t="s">
        <v>2744</v>
      </c>
      <c r="Z225" s="51"/>
      <c r="AA225" s="51"/>
      <c r="AB225" s="72"/>
      <c r="AC225" s="64" t="s">
        <v>354</v>
      </c>
      <c r="AD225" s="64" t="s">
        <v>261</v>
      </c>
      <c r="AE225" s="64" t="s">
        <v>336</v>
      </c>
    </row>
    <row r="226">
      <c r="A226" s="23" t="s">
        <v>64</v>
      </c>
      <c r="B226" s="23" t="s">
        <v>67</v>
      </c>
      <c r="C226" s="23" t="s">
        <v>2749</v>
      </c>
      <c r="D226" s="23" t="s">
        <v>2750</v>
      </c>
      <c r="E226" s="23" t="s">
        <v>2751</v>
      </c>
      <c r="F226" s="26">
        <v>709.0</v>
      </c>
      <c r="G226" s="26">
        <v>600491.0</v>
      </c>
      <c r="H226" s="23" t="s">
        <v>139</v>
      </c>
      <c r="I226" s="88"/>
      <c r="J226" s="23" t="s">
        <v>740</v>
      </c>
      <c r="K226" s="29">
        <v>45544.0</v>
      </c>
      <c r="L226" s="29" t="str">
        <f t="shared" si="7"/>
        <v>2024</v>
      </c>
      <c r="M226" s="29">
        <v>45657.0</v>
      </c>
      <c r="N226" s="26" t="str">
        <f t="shared" si="2"/>
        <v>2024</v>
      </c>
      <c r="O226" s="36">
        <f t="shared" si="5"/>
        <v>113</v>
      </c>
      <c r="P226" s="36">
        <f t="shared" si="4"/>
        <v>0</v>
      </c>
      <c r="Q226" s="23" t="s">
        <v>150</v>
      </c>
      <c r="R226" s="27"/>
      <c r="S226" s="27"/>
      <c r="T226" s="23" t="s">
        <v>233</v>
      </c>
      <c r="U226" s="23" t="s">
        <v>790</v>
      </c>
      <c r="V226" s="27"/>
      <c r="W226" s="144" t="s">
        <v>2757</v>
      </c>
      <c r="X226" s="27"/>
      <c r="Y226" s="23" t="s">
        <v>2759</v>
      </c>
      <c r="Z226" s="27"/>
      <c r="AA226" s="23" t="s">
        <v>2760</v>
      </c>
      <c r="AB226" s="44"/>
      <c r="AC226" s="76" t="s">
        <v>259</v>
      </c>
      <c r="AD226" s="27"/>
      <c r="AE226" s="76" t="s">
        <v>1875</v>
      </c>
    </row>
    <row r="227">
      <c r="A227" s="45" t="s">
        <v>64</v>
      </c>
      <c r="B227" s="45" t="s">
        <v>67</v>
      </c>
      <c r="C227" s="45" t="s">
        <v>2762</v>
      </c>
      <c r="D227" s="45" t="s">
        <v>2763</v>
      </c>
      <c r="E227" s="45" t="s">
        <v>2764</v>
      </c>
      <c r="F227" s="48">
        <v>722.0</v>
      </c>
      <c r="G227" s="48">
        <v>600489.0</v>
      </c>
      <c r="H227" s="45" t="s">
        <v>84</v>
      </c>
      <c r="I227" s="45" t="s">
        <v>84</v>
      </c>
      <c r="J227" s="45" t="s">
        <v>1372</v>
      </c>
      <c r="K227" s="55">
        <v>45532.0</v>
      </c>
      <c r="L227" s="55" t="str">
        <f t="shared" si="7"/>
        <v>2024</v>
      </c>
      <c r="M227" s="55">
        <v>45897.0</v>
      </c>
      <c r="N227" s="48" t="str">
        <f t="shared" si="2"/>
        <v>2025</v>
      </c>
      <c r="O227" s="58">
        <f t="shared" si="5"/>
        <v>365</v>
      </c>
      <c r="P227" s="58">
        <f t="shared" si="4"/>
        <v>1</v>
      </c>
      <c r="Q227" s="45" t="s">
        <v>150</v>
      </c>
      <c r="R227" s="51"/>
      <c r="S227" s="48" t="s">
        <v>113</v>
      </c>
      <c r="T227" s="45" t="s">
        <v>84</v>
      </c>
      <c r="U227" s="45" t="s">
        <v>25</v>
      </c>
      <c r="V227" s="45" t="s">
        <v>104</v>
      </c>
      <c r="W227" s="45" t="s">
        <v>2769</v>
      </c>
      <c r="X227" s="51"/>
      <c r="Y227" s="51"/>
      <c r="Z227" s="51"/>
      <c r="AA227" s="51"/>
      <c r="AB227" s="203"/>
      <c r="AC227" s="64" t="s">
        <v>777</v>
      </c>
      <c r="AD227" s="51"/>
      <c r="AE227" s="64" t="s">
        <v>336</v>
      </c>
    </row>
    <row r="228">
      <c r="A228" s="23" t="s">
        <v>64</v>
      </c>
      <c r="B228" s="23" t="s">
        <v>67</v>
      </c>
      <c r="C228" s="23" t="s">
        <v>2391</v>
      </c>
      <c r="D228" s="23" t="s">
        <v>2774</v>
      </c>
      <c r="E228" s="23" t="s">
        <v>2775</v>
      </c>
      <c r="F228" s="26">
        <v>711.0</v>
      </c>
      <c r="G228" s="26">
        <v>600494.0</v>
      </c>
      <c r="H228" s="23" t="s">
        <v>139</v>
      </c>
      <c r="I228" s="88"/>
      <c r="J228" s="23" t="s">
        <v>243</v>
      </c>
      <c r="K228" s="29">
        <v>45547.0</v>
      </c>
      <c r="L228" s="29" t="str">
        <f t="shared" si="7"/>
        <v>2024</v>
      </c>
      <c r="M228" s="29">
        <v>45688.0</v>
      </c>
      <c r="N228" s="26" t="str">
        <f t="shared" si="2"/>
        <v>2025</v>
      </c>
      <c r="O228" s="36">
        <f t="shared" si="5"/>
        <v>141</v>
      </c>
      <c r="P228" s="36">
        <f t="shared" si="4"/>
        <v>0</v>
      </c>
      <c r="Q228" s="23" t="s">
        <v>150</v>
      </c>
      <c r="R228" s="27"/>
      <c r="S228" s="26" t="s">
        <v>113</v>
      </c>
      <c r="T228" s="23" t="s">
        <v>233</v>
      </c>
      <c r="U228" s="23" t="s">
        <v>25</v>
      </c>
      <c r="V228" s="23" t="s">
        <v>104</v>
      </c>
      <c r="W228" s="27"/>
      <c r="X228" s="27"/>
      <c r="Y228" s="23" t="s">
        <v>2777</v>
      </c>
      <c r="Z228" s="27"/>
      <c r="AA228" s="27"/>
      <c r="AB228" s="44"/>
      <c r="AC228" s="76" t="s">
        <v>259</v>
      </c>
      <c r="AD228" s="27"/>
      <c r="AE228" s="76" t="s">
        <v>2778</v>
      </c>
    </row>
    <row r="229">
      <c r="A229" s="45" t="s">
        <v>64</v>
      </c>
      <c r="B229" s="45" t="s">
        <v>19</v>
      </c>
      <c r="C229" s="45" t="s">
        <v>2779</v>
      </c>
      <c r="D229" s="45" t="s">
        <v>2780</v>
      </c>
      <c r="E229" s="45" t="s">
        <v>2782</v>
      </c>
      <c r="F229" s="48">
        <v>712.0</v>
      </c>
      <c r="G229" s="48">
        <v>600496.0</v>
      </c>
      <c r="H229" s="45" t="s">
        <v>266</v>
      </c>
      <c r="I229" s="45" t="s">
        <v>226</v>
      </c>
      <c r="J229" s="45" t="s">
        <v>2783</v>
      </c>
      <c r="K229" s="55">
        <v>45547.0</v>
      </c>
      <c r="L229" s="55" t="str">
        <f t="shared" si="7"/>
        <v>2024</v>
      </c>
      <c r="M229" s="55">
        <v>45930.0</v>
      </c>
      <c r="N229" s="48" t="str">
        <f t="shared" si="2"/>
        <v>2025</v>
      </c>
      <c r="O229" s="58">
        <f t="shared" si="5"/>
        <v>383</v>
      </c>
      <c r="P229" s="58">
        <f t="shared" si="4"/>
        <v>1</v>
      </c>
      <c r="Q229" s="45" t="s">
        <v>150</v>
      </c>
      <c r="R229" s="51"/>
      <c r="S229" s="51"/>
      <c r="T229" s="45" t="s">
        <v>233</v>
      </c>
      <c r="U229" s="45" t="s">
        <v>790</v>
      </c>
      <c r="V229" s="45" t="s">
        <v>708</v>
      </c>
      <c r="W229" s="45" t="s">
        <v>2784</v>
      </c>
      <c r="X229" s="45" t="s">
        <v>2784</v>
      </c>
      <c r="Y229" s="45" t="s">
        <v>2785</v>
      </c>
      <c r="Z229" s="51"/>
      <c r="AA229" s="51"/>
      <c r="AB229" s="72"/>
      <c r="AC229" s="64" t="s">
        <v>820</v>
      </c>
      <c r="AD229" s="64" t="s">
        <v>261</v>
      </c>
      <c r="AE229" s="64" t="s">
        <v>124</v>
      </c>
    </row>
    <row r="230">
      <c r="A230" s="23" t="s">
        <v>64</v>
      </c>
      <c r="B230" s="23" t="s">
        <v>67</v>
      </c>
      <c r="C230" s="23" t="s">
        <v>2391</v>
      </c>
      <c r="D230" s="23" t="s">
        <v>2786</v>
      </c>
      <c r="E230" s="23" t="s">
        <v>2787</v>
      </c>
      <c r="F230" s="26">
        <v>713.0</v>
      </c>
      <c r="G230" s="26">
        <v>600498.0</v>
      </c>
      <c r="H230" s="23" t="s">
        <v>139</v>
      </c>
      <c r="I230" s="88"/>
      <c r="J230" s="23" t="s">
        <v>243</v>
      </c>
      <c r="K230" s="29">
        <v>45552.0</v>
      </c>
      <c r="L230" s="29" t="str">
        <f t="shared" si="7"/>
        <v>2024</v>
      </c>
      <c r="M230" s="29">
        <v>45688.0</v>
      </c>
      <c r="N230" s="26" t="str">
        <f t="shared" si="2"/>
        <v>2025</v>
      </c>
      <c r="O230" s="36">
        <f t="shared" si="5"/>
        <v>136</v>
      </c>
      <c r="P230" s="36">
        <f t="shared" si="4"/>
        <v>0</v>
      </c>
      <c r="Q230" s="23" t="s">
        <v>150</v>
      </c>
      <c r="R230" s="27"/>
      <c r="S230" s="26" t="s">
        <v>113</v>
      </c>
      <c r="T230" s="23" t="s">
        <v>233</v>
      </c>
      <c r="U230" s="23" t="s">
        <v>25</v>
      </c>
      <c r="V230" s="23" t="s">
        <v>104</v>
      </c>
      <c r="W230" s="27"/>
      <c r="X230" s="27"/>
      <c r="Y230" s="23" t="s">
        <v>2777</v>
      </c>
      <c r="Z230" s="27"/>
      <c r="AA230" s="27"/>
      <c r="AB230" s="44"/>
      <c r="AC230" s="76" t="s">
        <v>259</v>
      </c>
      <c r="AD230" s="27"/>
      <c r="AE230" s="76" t="s">
        <v>2778</v>
      </c>
    </row>
    <row r="231">
      <c r="A231" s="45" t="s">
        <v>64</v>
      </c>
      <c r="B231" s="45" t="s">
        <v>19</v>
      </c>
      <c r="C231" s="45" t="s">
        <v>2794</v>
      </c>
      <c r="D231" s="45" t="s">
        <v>2795</v>
      </c>
      <c r="E231" s="45" t="s">
        <v>2796</v>
      </c>
      <c r="F231" s="48">
        <v>715.0</v>
      </c>
      <c r="G231" s="48">
        <v>600518.0</v>
      </c>
      <c r="H231" s="45" t="s">
        <v>84</v>
      </c>
      <c r="I231" s="45" t="s">
        <v>84</v>
      </c>
      <c r="J231" s="45" t="s">
        <v>86</v>
      </c>
      <c r="K231" s="55">
        <v>45553.0</v>
      </c>
      <c r="L231" s="55" t="str">
        <f t="shared" si="7"/>
        <v>2024</v>
      </c>
      <c r="M231" s="55">
        <v>45919.0</v>
      </c>
      <c r="N231" s="48" t="str">
        <f t="shared" si="2"/>
        <v>2025</v>
      </c>
      <c r="O231" s="58">
        <f t="shared" si="5"/>
        <v>366</v>
      </c>
      <c r="P231" s="58">
        <f t="shared" si="4"/>
        <v>1</v>
      </c>
      <c r="Q231" s="45" t="s">
        <v>150</v>
      </c>
      <c r="R231" s="51"/>
      <c r="S231" s="48" t="s">
        <v>113</v>
      </c>
      <c r="T231" s="45" t="s">
        <v>84</v>
      </c>
      <c r="U231" s="45" t="s">
        <v>790</v>
      </c>
      <c r="V231" s="45" t="s">
        <v>104</v>
      </c>
      <c r="W231" s="45" t="s">
        <v>2800</v>
      </c>
      <c r="X231" s="45" t="s">
        <v>2802</v>
      </c>
      <c r="Y231" s="51"/>
      <c r="Z231" s="51"/>
      <c r="AA231" s="51"/>
      <c r="AB231" s="72"/>
      <c r="AC231" s="64" t="s">
        <v>354</v>
      </c>
      <c r="AD231" s="64" t="s">
        <v>123</v>
      </c>
      <c r="AE231" s="64" t="s">
        <v>124</v>
      </c>
    </row>
    <row r="232">
      <c r="A232" s="23" t="s">
        <v>64</v>
      </c>
      <c r="B232" s="23" t="s">
        <v>67</v>
      </c>
      <c r="C232" s="23" t="s">
        <v>2805</v>
      </c>
      <c r="D232" s="23" t="s">
        <v>2806</v>
      </c>
      <c r="E232" s="23" t="s">
        <v>2807</v>
      </c>
      <c r="F232" s="26">
        <v>718.0</v>
      </c>
      <c r="G232" s="27"/>
      <c r="H232" s="23" t="s">
        <v>82</v>
      </c>
      <c r="I232" s="23" t="s">
        <v>84</v>
      </c>
      <c r="J232" s="23" t="s">
        <v>1372</v>
      </c>
      <c r="K232" s="29">
        <v>45555.0</v>
      </c>
      <c r="L232" s="29" t="str">
        <f t="shared" si="7"/>
        <v>2024</v>
      </c>
      <c r="M232" s="29">
        <v>45565.0</v>
      </c>
      <c r="N232" s="26" t="str">
        <f t="shared" si="2"/>
        <v>2024</v>
      </c>
      <c r="O232" s="36">
        <f t="shared" si="5"/>
        <v>10</v>
      </c>
      <c r="P232" s="36">
        <f t="shared" si="4"/>
        <v>0</v>
      </c>
      <c r="Q232" s="23" t="s">
        <v>150</v>
      </c>
      <c r="R232" s="27"/>
      <c r="S232" s="27"/>
      <c r="T232" s="23" t="s">
        <v>84</v>
      </c>
      <c r="U232" s="23" t="s">
        <v>790</v>
      </c>
      <c r="V232" s="23" t="s">
        <v>104</v>
      </c>
      <c r="W232" s="23" t="s">
        <v>2809</v>
      </c>
      <c r="X232" s="27"/>
      <c r="Y232" s="23" t="s">
        <v>2810</v>
      </c>
      <c r="Z232" s="27"/>
      <c r="AA232" s="27"/>
      <c r="AB232" s="44"/>
      <c r="AC232" s="76" t="s">
        <v>476</v>
      </c>
      <c r="AD232" s="27"/>
      <c r="AE232" s="76" t="s">
        <v>476</v>
      </c>
    </row>
    <row r="233">
      <c r="A233" s="45" t="s">
        <v>64</v>
      </c>
      <c r="B233" s="45" t="s">
        <v>19</v>
      </c>
      <c r="C233" s="45" t="s">
        <v>730</v>
      </c>
      <c r="D233" s="45" t="s">
        <v>2812</v>
      </c>
      <c r="E233" s="45" t="s">
        <v>2813</v>
      </c>
      <c r="F233" s="48">
        <v>719.0</v>
      </c>
      <c r="G233" s="48">
        <v>600504.0</v>
      </c>
      <c r="H233" s="45" t="s">
        <v>266</v>
      </c>
      <c r="I233" s="45" t="s">
        <v>1148</v>
      </c>
      <c r="J233" s="45" t="s">
        <v>86</v>
      </c>
      <c r="K233" s="55">
        <v>45555.0</v>
      </c>
      <c r="L233" s="55" t="str">
        <f t="shared" si="7"/>
        <v>2024</v>
      </c>
      <c r="M233" s="55">
        <v>45920.0</v>
      </c>
      <c r="N233" s="48" t="str">
        <f t="shared" si="2"/>
        <v>2025</v>
      </c>
      <c r="O233" s="58">
        <f t="shared" si="5"/>
        <v>365</v>
      </c>
      <c r="P233" s="58">
        <f t="shared" si="4"/>
        <v>1</v>
      </c>
      <c r="Q233" s="45" t="s">
        <v>150</v>
      </c>
      <c r="R233" s="51"/>
      <c r="S233" s="48" t="s">
        <v>269</v>
      </c>
      <c r="T233" s="45" t="s">
        <v>146</v>
      </c>
      <c r="U233" s="45" t="s">
        <v>25</v>
      </c>
      <c r="V233" s="45" t="s">
        <v>104</v>
      </c>
      <c r="W233" s="45" t="s">
        <v>2814</v>
      </c>
      <c r="X233" s="45" t="s">
        <v>2815</v>
      </c>
      <c r="Y233" s="51"/>
      <c r="Z233" s="51"/>
      <c r="AA233" s="51"/>
      <c r="AB233" s="72"/>
      <c r="AC233" s="51"/>
      <c r="AD233" s="64" t="s">
        <v>2816</v>
      </c>
      <c r="AE233" s="64" t="s">
        <v>1875</v>
      </c>
    </row>
    <row r="234">
      <c r="A234" s="23" t="s">
        <v>64</v>
      </c>
      <c r="B234" s="23" t="s">
        <v>19</v>
      </c>
      <c r="C234" s="23" t="s">
        <v>688</v>
      </c>
      <c r="D234" s="23" t="s">
        <v>2817</v>
      </c>
      <c r="E234" s="23" t="s">
        <v>2819</v>
      </c>
      <c r="F234" s="26">
        <v>716.0</v>
      </c>
      <c r="G234" s="26">
        <v>600501.0</v>
      </c>
      <c r="H234" s="23" t="s">
        <v>1392</v>
      </c>
      <c r="I234" s="23" t="s">
        <v>84</v>
      </c>
      <c r="J234" s="23" t="s">
        <v>86</v>
      </c>
      <c r="K234" s="29">
        <v>45590.0</v>
      </c>
      <c r="L234" s="29" t="str">
        <f t="shared" si="7"/>
        <v>2024</v>
      </c>
      <c r="M234" s="29">
        <v>45955.0</v>
      </c>
      <c r="N234" s="26" t="str">
        <f t="shared" si="2"/>
        <v>2025</v>
      </c>
      <c r="O234" s="36">
        <f t="shared" si="5"/>
        <v>365</v>
      </c>
      <c r="P234" s="36">
        <f t="shared" si="4"/>
        <v>1</v>
      </c>
      <c r="Q234" s="23" t="s">
        <v>150</v>
      </c>
      <c r="R234" s="27"/>
      <c r="S234" s="26" t="s">
        <v>113</v>
      </c>
      <c r="T234" s="23" t="s">
        <v>84</v>
      </c>
      <c r="U234" s="27"/>
      <c r="V234" s="27"/>
      <c r="W234" s="23" t="s">
        <v>2821</v>
      </c>
      <c r="X234" s="23" t="s">
        <v>2821</v>
      </c>
      <c r="Y234" s="27"/>
      <c r="Z234" s="27"/>
      <c r="AA234" s="23" t="s">
        <v>2822</v>
      </c>
      <c r="AB234" s="44"/>
      <c r="AC234" s="76" t="s">
        <v>820</v>
      </c>
      <c r="AD234" s="76" t="s">
        <v>1777</v>
      </c>
      <c r="AE234" s="76" t="s">
        <v>124</v>
      </c>
    </row>
    <row r="235">
      <c r="A235" s="45" t="s">
        <v>64</v>
      </c>
      <c r="B235" s="45" t="s">
        <v>67</v>
      </c>
      <c r="C235" s="45" t="s">
        <v>2823</v>
      </c>
      <c r="D235" s="45" t="s">
        <v>2824</v>
      </c>
      <c r="E235" s="45" t="s">
        <v>2825</v>
      </c>
      <c r="F235" s="48">
        <v>850.0</v>
      </c>
      <c r="G235" s="48">
        <v>600666.0</v>
      </c>
      <c r="H235" s="45" t="s">
        <v>2132</v>
      </c>
      <c r="I235" s="45" t="s">
        <v>84</v>
      </c>
      <c r="J235" s="45" t="s">
        <v>740</v>
      </c>
      <c r="K235" s="55">
        <v>45870.0</v>
      </c>
      <c r="L235" s="48">
        <v>2025.0</v>
      </c>
      <c r="M235" s="55">
        <v>45900.0</v>
      </c>
      <c r="N235" s="48" t="str">
        <f t="shared" si="2"/>
        <v>2025</v>
      </c>
      <c r="O235" s="58">
        <f t="shared" si="5"/>
        <v>30</v>
      </c>
      <c r="P235" s="58">
        <f t="shared" si="4"/>
        <v>0</v>
      </c>
      <c r="Q235" s="45" t="s">
        <v>150</v>
      </c>
      <c r="R235" s="51"/>
      <c r="S235" s="51"/>
      <c r="T235" s="45" t="s">
        <v>84</v>
      </c>
      <c r="U235" s="45" t="s">
        <v>1244</v>
      </c>
      <c r="V235" s="45" t="s">
        <v>106</v>
      </c>
      <c r="W235" s="45" t="s">
        <v>2827</v>
      </c>
      <c r="X235" s="51"/>
      <c r="Y235" s="51"/>
      <c r="Z235" s="51"/>
      <c r="AA235" s="51"/>
      <c r="AB235" s="72"/>
      <c r="AC235" s="64" t="s">
        <v>777</v>
      </c>
      <c r="AD235" s="51"/>
      <c r="AE235" s="64" t="s">
        <v>124</v>
      </c>
    </row>
    <row r="236">
      <c r="A236" s="23" t="s">
        <v>64</v>
      </c>
      <c r="B236" s="23" t="s">
        <v>67</v>
      </c>
      <c r="C236" s="23" t="s">
        <v>2828</v>
      </c>
      <c r="D236" s="23" t="s">
        <v>2829</v>
      </c>
      <c r="E236" s="23" t="s">
        <v>2830</v>
      </c>
      <c r="F236" s="26">
        <v>723.0</v>
      </c>
      <c r="G236" s="27"/>
      <c r="H236" s="23" t="s">
        <v>187</v>
      </c>
      <c r="I236" s="23" t="s">
        <v>1148</v>
      </c>
      <c r="J236" s="23" t="s">
        <v>1660</v>
      </c>
      <c r="K236" s="29">
        <v>45561.0</v>
      </c>
      <c r="L236" s="29" t="str">
        <f t="shared" ref="L236:L265" si="8">right(K236,4)</f>
        <v>2024</v>
      </c>
      <c r="M236" s="29">
        <v>45570.0</v>
      </c>
      <c r="N236" s="26" t="str">
        <f t="shared" si="2"/>
        <v>2024</v>
      </c>
      <c r="O236" s="36">
        <f t="shared" si="5"/>
        <v>9</v>
      </c>
      <c r="P236" s="36">
        <f t="shared" si="4"/>
        <v>0</v>
      </c>
      <c r="Q236" s="23" t="s">
        <v>150</v>
      </c>
      <c r="R236" s="27"/>
      <c r="S236" s="27"/>
      <c r="T236" s="23" t="s">
        <v>146</v>
      </c>
      <c r="U236" s="23" t="s">
        <v>1244</v>
      </c>
      <c r="V236" s="27"/>
      <c r="W236" s="134" t="s">
        <v>2835</v>
      </c>
      <c r="X236" s="27"/>
      <c r="Y236" s="27"/>
      <c r="Z236" s="27"/>
      <c r="AA236" s="27"/>
      <c r="AB236" s="44"/>
      <c r="AC236" s="76" t="s">
        <v>441</v>
      </c>
      <c r="AD236" s="27"/>
      <c r="AE236" s="76" t="s">
        <v>441</v>
      </c>
    </row>
    <row r="237">
      <c r="A237" s="45" t="s">
        <v>64</v>
      </c>
      <c r="B237" s="45" t="s">
        <v>67</v>
      </c>
      <c r="C237" s="45" t="s">
        <v>2838</v>
      </c>
      <c r="D237" s="45" t="s">
        <v>2839</v>
      </c>
      <c r="E237" s="45" t="s">
        <v>2840</v>
      </c>
      <c r="F237" s="48">
        <v>720.0</v>
      </c>
      <c r="G237" s="48">
        <v>600505.0</v>
      </c>
      <c r="H237" s="45" t="s">
        <v>464</v>
      </c>
      <c r="I237" s="45" t="s">
        <v>226</v>
      </c>
      <c r="J237" s="45" t="s">
        <v>2841</v>
      </c>
      <c r="K237" s="55">
        <v>45573.0</v>
      </c>
      <c r="L237" s="55" t="str">
        <f t="shared" si="8"/>
        <v>2024</v>
      </c>
      <c r="M237" s="55">
        <v>45938.0</v>
      </c>
      <c r="N237" s="48" t="str">
        <f t="shared" si="2"/>
        <v>2025</v>
      </c>
      <c r="O237" s="58">
        <f t="shared" si="5"/>
        <v>365</v>
      </c>
      <c r="P237" s="58">
        <f t="shared" si="4"/>
        <v>1</v>
      </c>
      <c r="Q237" s="45" t="s">
        <v>150</v>
      </c>
      <c r="R237" s="51"/>
      <c r="S237" s="51"/>
      <c r="T237" s="45" t="s">
        <v>233</v>
      </c>
      <c r="U237" s="45" t="s">
        <v>790</v>
      </c>
      <c r="V237" s="45" t="s">
        <v>708</v>
      </c>
      <c r="W237" s="205" t="s">
        <v>2842</v>
      </c>
      <c r="X237" s="205" t="s">
        <v>2842</v>
      </c>
      <c r="Y237" s="205" t="s">
        <v>2843</v>
      </c>
      <c r="Z237" s="51"/>
      <c r="AA237" s="51"/>
      <c r="AB237" s="72"/>
      <c r="AC237" s="64" t="s">
        <v>820</v>
      </c>
      <c r="AD237" s="64" t="s">
        <v>261</v>
      </c>
      <c r="AE237" s="64" t="s">
        <v>336</v>
      </c>
    </row>
    <row r="238">
      <c r="A238" s="23" t="s">
        <v>64</v>
      </c>
      <c r="B238" s="23" t="s">
        <v>67</v>
      </c>
      <c r="C238" s="23" t="s">
        <v>2845</v>
      </c>
      <c r="D238" s="23" t="s">
        <v>2846</v>
      </c>
      <c r="E238" s="144" t="s">
        <v>2847</v>
      </c>
      <c r="F238" s="26">
        <v>728.0</v>
      </c>
      <c r="G238" s="26">
        <v>600509.0</v>
      </c>
      <c r="H238" s="23" t="s">
        <v>84</v>
      </c>
      <c r="I238" s="23" t="s">
        <v>1148</v>
      </c>
      <c r="J238" s="23" t="s">
        <v>2799</v>
      </c>
      <c r="K238" s="29">
        <v>45567.0</v>
      </c>
      <c r="L238" s="29" t="str">
        <f t="shared" si="8"/>
        <v>2024</v>
      </c>
      <c r="M238" s="29">
        <v>45932.0</v>
      </c>
      <c r="N238" s="26" t="str">
        <f t="shared" si="2"/>
        <v>2025</v>
      </c>
      <c r="O238" s="36">
        <f t="shared" si="5"/>
        <v>365</v>
      </c>
      <c r="P238" s="36">
        <f t="shared" si="4"/>
        <v>1</v>
      </c>
      <c r="Q238" s="23" t="s">
        <v>150</v>
      </c>
      <c r="R238" s="27"/>
      <c r="S238" s="27"/>
      <c r="T238" s="23" t="s">
        <v>233</v>
      </c>
      <c r="U238" s="23" t="s">
        <v>790</v>
      </c>
      <c r="V238" s="23" t="s">
        <v>104</v>
      </c>
      <c r="W238" s="144" t="s">
        <v>2849</v>
      </c>
      <c r="X238" s="144" t="s">
        <v>2850</v>
      </c>
      <c r="Y238" s="27"/>
      <c r="Z238" s="27"/>
      <c r="AA238" s="27"/>
      <c r="AB238" s="44"/>
      <c r="AC238" s="76" t="s">
        <v>354</v>
      </c>
      <c r="AD238" s="27"/>
      <c r="AE238" s="76" t="s">
        <v>124</v>
      </c>
    </row>
    <row r="239">
      <c r="A239" s="45" t="s">
        <v>64</v>
      </c>
      <c r="B239" s="45" t="s">
        <v>67</v>
      </c>
      <c r="C239" s="45" t="s">
        <v>2851</v>
      </c>
      <c r="D239" s="45" t="s">
        <v>2852</v>
      </c>
      <c r="E239" s="45" t="s">
        <v>2853</v>
      </c>
      <c r="F239" s="48">
        <v>730.0</v>
      </c>
      <c r="G239" s="48">
        <v>600513.0</v>
      </c>
      <c r="H239" s="45" t="s">
        <v>84</v>
      </c>
      <c r="I239" s="45" t="s">
        <v>84</v>
      </c>
      <c r="J239" s="45" t="s">
        <v>740</v>
      </c>
      <c r="K239" s="55">
        <v>45568.0</v>
      </c>
      <c r="L239" s="55" t="str">
        <f t="shared" si="8"/>
        <v>2024</v>
      </c>
      <c r="M239" s="55">
        <v>45695.0</v>
      </c>
      <c r="N239" s="48" t="str">
        <f t="shared" si="2"/>
        <v>2025</v>
      </c>
      <c r="O239" s="58">
        <f t="shared" si="5"/>
        <v>127</v>
      </c>
      <c r="P239" s="58">
        <f t="shared" si="4"/>
        <v>0</v>
      </c>
      <c r="Q239" s="45" t="s">
        <v>150</v>
      </c>
      <c r="R239" s="51"/>
      <c r="S239" s="51"/>
      <c r="T239" s="45" t="s">
        <v>84</v>
      </c>
      <c r="U239" s="45" t="s">
        <v>790</v>
      </c>
      <c r="V239" s="45" t="s">
        <v>708</v>
      </c>
      <c r="W239" s="205" t="s">
        <v>2859</v>
      </c>
      <c r="X239" s="45" t="s">
        <v>2860</v>
      </c>
      <c r="Y239" s="51"/>
      <c r="Z239" s="51"/>
      <c r="AA239" s="51"/>
      <c r="AB239" s="72"/>
      <c r="AC239" s="64" t="s">
        <v>441</v>
      </c>
      <c r="AD239" s="64" t="s">
        <v>261</v>
      </c>
      <c r="AE239" s="64" t="s">
        <v>336</v>
      </c>
    </row>
    <row r="240">
      <c r="A240" s="23" t="s">
        <v>64</v>
      </c>
      <c r="B240" s="23" t="s">
        <v>19</v>
      </c>
      <c r="C240" s="23" t="s">
        <v>839</v>
      </c>
      <c r="D240" s="23" t="s">
        <v>2862</v>
      </c>
      <c r="E240" s="23" t="s">
        <v>2863</v>
      </c>
      <c r="F240" s="26">
        <v>732.0</v>
      </c>
      <c r="G240" s="26">
        <v>600516.0</v>
      </c>
      <c r="H240" s="23" t="s">
        <v>84</v>
      </c>
      <c r="I240" s="23" t="s">
        <v>84</v>
      </c>
      <c r="J240" s="23" t="s">
        <v>2418</v>
      </c>
      <c r="K240" s="29">
        <v>45573.0</v>
      </c>
      <c r="L240" s="29" t="str">
        <f t="shared" si="8"/>
        <v>2024</v>
      </c>
      <c r="M240" s="29">
        <v>46112.0</v>
      </c>
      <c r="N240" s="26" t="str">
        <f t="shared" si="2"/>
        <v>2026</v>
      </c>
      <c r="O240" s="36">
        <f t="shared" si="5"/>
        <v>539</v>
      </c>
      <c r="P240" s="36">
        <f t="shared" si="4"/>
        <v>1</v>
      </c>
      <c r="Q240" s="23" t="s">
        <v>253</v>
      </c>
      <c r="R240" s="23" t="s">
        <v>2865</v>
      </c>
      <c r="S240" s="27"/>
      <c r="T240" s="23" t="s">
        <v>84</v>
      </c>
      <c r="U240" s="23" t="s">
        <v>790</v>
      </c>
      <c r="V240" s="23" t="s">
        <v>104</v>
      </c>
      <c r="W240" s="145" t="s">
        <v>2866</v>
      </c>
      <c r="X240" s="145" t="s">
        <v>2866</v>
      </c>
      <c r="Y240" s="23" t="s">
        <v>2867</v>
      </c>
      <c r="Z240" s="27"/>
      <c r="AA240" s="27"/>
      <c r="AB240" s="44"/>
      <c r="AC240" s="76" t="s">
        <v>777</v>
      </c>
      <c r="AD240" s="76" t="s">
        <v>123</v>
      </c>
      <c r="AE240" s="76" t="s">
        <v>124</v>
      </c>
    </row>
    <row r="241">
      <c r="A241" s="45" t="s">
        <v>64</v>
      </c>
      <c r="B241" s="45" t="s">
        <v>67</v>
      </c>
      <c r="C241" s="45" t="s">
        <v>2872</v>
      </c>
      <c r="D241" s="45" t="s">
        <v>2873</v>
      </c>
      <c r="E241" s="45" t="s">
        <v>2874</v>
      </c>
      <c r="F241" s="48">
        <v>733.0</v>
      </c>
      <c r="G241" s="51"/>
      <c r="H241" s="45" t="s">
        <v>187</v>
      </c>
      <c r="I241" s="45" t="s">
        <v>226</v>
      </c>
      <c r="J241" s="45" t="s">
        <v>740</v>
      </c>
      <c r="K241" s="55">
        <v>45574.0</v>
      </c>
      <c r="L241" s="55" t="str">
        <f t="shared" si="8"/>
        <v>2024</v>
      </c>
      <c r="M241" s="55">
        <v>45581.0</v>
      </c>
      <c r="N241" s="48" t="str">
        <f t="shared" si="2"/>
        <v>2024</v>
      </c>
      <c r="O241" s="58">
        <f t="shared" si="5"/>
        <v>7</v>
      </c>
      <c r="P241" s="58">
        <f t="shared" si="4"/>
        <v>0</v>
      </c>
      <c r="Q241" s="45" t="s">
        <v>150</v>
      </c>
      <c r="R241" s="51"/>
      <c r="S241" s="51"/>
      <c r="T241" s="45" t="s">
        <v>233</v>
      </c>
      <c r="U241" s="45" t="s">
        <v>790</v>
      </c>
      <c r="V241" s="45" t="s">
        <v>2877</v>
      </c>
      <c r="W241" s="45" t="s">
        <v>2878</v>
      </c>
      <c r="X241" s="45" t="s">
        <v>2879</v>
      </c>
      <c r="Y241" s="45" t="s">
        <v>2880</v>
      </c>
      <c r="Z241" s="51"/>
      <c r="AA241" s="45" t="s">
        <v>2881</v>
      </c>
      <c r="AB241" s="72"/>
      <c r="AC241" s="64" t="s">
        <v>440</v>
      </c>
      <c r="AD241" s="51"/>
      <c r="AE241" s="64" t="s">
        <v>440</v>
      </c>
    </row>
    <row r="242">
      <c r="A242" s="23" t="s">
        <v>64</v>
      </c>
      <c r="B242" s="23" t="s">
        <v>19</v>
      </c>
      <c r="C242" s="23" t="s">
        <v>501</v>
      </c>
      <c r="D242" s="23" t="s">
        <v>2882</v>
      </c>
      <c r="E242" s="144" t="s">
        <v>2883</v>
      </c>
      <c r="F242" s="26">
        <v>734.0</v>
      </c>
      <c r="G242" s="26">
        <v>600333.0</v>
      </c>
      <c r="H242" s="23" t="s">
        <v>464</v>
      </c>
      <c r="I242" s="23" t="s">
        <v>226</v>
      </c>
      <c r="J242" s="23" t="s">
        <v>2442</v>
      </c>
      <c r="K242" s="29">
        <v>45574.0</v>
      </c>
      <c r="L242" s="29" t="str">
        <f t="shared" si="8"/>
        <v>2024</v>
      </c>
      <c r="M242" s="29">
        <v>46022.0</v>
      </c>
      <c r="N242" s="26" t="str">
        <f t="shared" si="2"/>
        <v>2025</v>
      </c>
      <c r="O242" s="36">
        <f t="shared" si="5"/>
        <v>448</v>
      </c>
      <c r="P242" s="36">
        <f t="shared" si="4"/>
        <v>1</v>
      </c>
      <c r="Q242" s="23" t="s">
        <v>150</v>
      </c>
      <c r="R242" s="27"/>
      <c r="S242" s="27"/>
      <c r="T242" s="23" t="s">
        <v>233</v>
      </c>
      <c r="U242" s="23" t="s">
        <v>25</v>
      </c>
      <c r="V242" s="23" t="s">
        <v>104</v>
      </c>
      <c r="W242" s="144" t="s">
        <v>2887</v>
      </c>
      <c r="X242" s="144" t="s">
        <v>2892</v>
      </c>
      <c r="Y242" s="27"/>
      <c r="Z242" s="27"/>
      <c r="AA242" s="27"/>
      <c r="AB242" s="44"/>
      <c r="AC242" s="27"/>
      <c r="AD242" s="76" t="s">
        <v>123</v>
      </c>
      <c r="AE242" s="76" t="s">
        <v>124</v>
      </c>
    </row>
    <row r="243">
      <c r="A243" s="45" t="s">
        <v>64</v>
      </c>
      <c r="B243" s="45" t="s">
        <v>67</v>
      </c>
      <c r="C243" s="45" t="s">
        <v>2893</v>
      </c>
      <c r="D243" s="45" t="s">
        <v>2894</v>
      </c>
      <c r="E243" s="45" t="s">
        <v>2895</v>
      </c>
      <c r="F243" s="48">
        <v>735.0</v>
      </c>
      <c r="G243" s="48">
        <v>600520.0</v>
      </c>
      <c r="H243" s="45" t="s">
        <v>225</v>
      </c>
      <c r="I243" s="45" t="s">
        <v>1148</v>
      </c>
      <c r="J243" s="45" t="s">
        <v>1632</v>
      </c>
      <c r="K243" s="55">
        <v>45579.0</v>
      </c>
      <c r="L243" s="55" t="str">
        <f t="shared" si="8"/>
        <v>2024</v>
      </c>
      <c r="M243" s="55">
        <v>45596.0</v>
      </c>
      <c r="N243" s="48" t="str">
        <f t="shared" si="2"/>
        <v>2024</v>
      </c>
      <c r="O243" s="58">
        <f t="shared" si="5"/>
        <v>17</v>
      </c>
      <c r="P243" s="58">
        <f t="shared" si="4"/>
        <v>0</v>
      </c>
      <c r="Q243" s="45" t="s">
        <v>150</v>
      </c>
      <c r="R243" s="51"/>
      <c r="S243" s="51"/>
      <c r="T243" s="45" t="s">
        <v>146</v>
      </c>
      <c r="U243" s="45" t="s">
        <v>790</v>
      </c>
      <c r="V243" s="45" t="s">
        <v>2877</v>
      </c>
      <c r="W243" s="205" t="s">
        <v>2902</v>
      </c>
      <c r="X243" s="51"/>
      <c r="Y243" s="45" t="s">
        <v>2903</v>
      </c>
      <c r="Z243" s="51"/>
      <c r="AA243" s="45" t="s">
        <v>2905</v>
      </c>
      <c r="AB243" s="72"/>
      <c r="AC243" s="64" t="s">
        <v>441</v>
      </c>
      <c r="AD243" s="51"/>
      <c r="AE243" s="64" t="s">
        <v>336</v>
      </c>
    </row>
    <row r="244">
      <c r="A244" s="23" t="s">
        <v>64</v>
      </c>
      <c r="B244" s="23" t="s">
        <v>67</v>
      </c>
      <c r="C244" s="23" t="s">
        <v>2907</v>
      </c>
      <c r="D244" s="23" t="s">
        <v>2908</v>
      </c>
      <c r="E244" s="23" t="s">
        <v>2909</v>
      </c>
      <c r="F244" s="26">
        <v>726.0</v>
      </c>
      <c r="G244" s="26">
        <v>600509.0</v>
      </c>
      <c r="H244" s="23" t="s">
        <v>266</v>
      </c>
      <c r="I244" s="23" t="s">
        <v>226</v>
      </c>
      <c r="J244" s="23" t="s">
        <v>782</v>
      </c>
      <c r="K244" s="29">
        <v>45565.0</v>
      </c>
      <c r="L244" s="29" t="str">
        <f t="shared" si="8"/>
        <v>2024</v>
      </c>
      <c r="M244" s="29">
        <v>45717.0</v>
      </c>
      <c r="N244" s="26" t="str">
        <f t="shared" si="2"/>
        <v>2025</v>
      </c>
      <c r="O244" s="36">
        <f t="shared" si="5"/>
        <v>152</v>
      </c>
      <c r="P244" s="36">
        <f t="shared" si="4"/>
        <v>0</v>
      </c>
      <c r="Q244" s="23" t="s">
        <v>150</v>
      </c>
      <c r="R244" s="27"/>
      <c r="S244" s="27"/>
      <c r="T244" s="23" t="s">
        <v>233</v>
      </c>
      <c r="U244" s="23" t="s">
        <v>790</v>
      </c>
      <c r="V244" s="23" t="s">
        <v>708</v>
      </c>
      <c r="W244" s="144" t="s">
        <v>2914</v>
      </c>
      <c r="X244" s="144" t="s">
        <v>2919</v>
      </c>
      <c r="Y244" s="27"/>
      <c r="Z244" s="27"/>
      <c r="AA244" s="27"/>
      <c r="AB244" s="44"/>
      <c r="AC244" s="76" t="s">
        <v>820</v>
      </c>
      <c r="AD244" s="76" t="s">
        <v>261</v>
      </c>
      <c r="AE244" s="76" t="s">
        <v>124</v>
      </c>
    </row>
    <row r="245">
      <c r="A245" s="45" t="s">
        <v>64</v>
      </c>
      <c r="B245" s="45" t="s">
        <v>19</v>
      </c>
      <c r="C245" s="45" t="s">
        <v>2924</v>
      </c>
      <c r="D245" s="45" t="s">
        <v>2925</v>
      </c>
      <c r="E245" s="45" t="s">
        <v>2926</v>
      </c>
      <c r="F245" s="48">
        <v>738.0</v>
      </c>
      <c r="G245" s="48">
        <v>600524.0</v>
      </c>
      <c r="H245" s="45" t="s">
        <v>139</v>
      </c>
      <c r="I245" s="45" t="s">
        <v>1148</v>
      </c>
      <c r="J245" s="45" t="s">
        <v>2429</v>
      </c>
      <c r="K245" s="55">
        <v>45581.0</v>
      </c>
      <c r="L245" s="55" t="str">
        <f t="shared" si="8"/>
        <v>2024</v>
      </c>
      <c r="M245" s="55">
        <v>46311.0</v>
      </c>
      <c r="N245" s="48" t="str">
        <f t="shared" si="2"/>
        <v>2026</v>
      </c>
      <c r="O245" s="58">
        <f t="shared" si="5"/>
        <v>730</v>
      </c>
      <c r="P245" s="58">
        <f t="shared" si="4"/>
        <v>2</v>
      </c>
      <c r="Q245" s="45" t="s">
        <v>253</v>
      </c>
      <c r="R245" s="51"/>
      <c r="S245" s="51"/>
      <c r="T245" s="45" t="s">
        <v>146</v>
      </c>
      <c r="U245" s="45" t="s">
        <v>790</v>
      </c>
      <c r="V245" s="45" t="s">
        <v>708</v>
      </c>
      <c r="W245" s="205" t="s">
        <v>2931</v>
      </c>
      <c r="X245" s="205" t="s">
        <v>2931</v>
      </c>
      <c r="Y245" s="51"/>
      <c r="Z245" s="51"/>
      <c r="AA245" s="51"/>
      <c r="AB245" s="72"/>
      <c r="AC245" s="64" t="s">
        <v>777</v>
      </c>
      <c r="AD245" s="64" t="s">
        <v>261</v>
      </c>
      <c r="AE245" s="64" t="s">
        <v>124</v>
      </c>
    </row>
    <row r="246">
      <c r="A246" s="23" t="s">
        <v>64</v>
      </c>
      <c r="B246" s="23" t="s">
        <v>19</v>
      </c>
      <c r="C246" s="23" t="s">
        <v>2933</v>
      </c>
      <c r="D246" s="23" t="s">
        <v>2934</v>
      </c>
      <c r="E246" s="144" t="s">
        <v>2935</v>
      </c>
      <c r="F246" s="26">
        <v>740.0</v>
      </c>
      <c r="G246" s="26">
        <v>600527.0</v>
      </c>
      <c r="H246" s="23" t="s">
        <v>464</v>
      </c>
      <c r="I246" s="23" t="s">
        <v>1148</v>
      </c>
      <c r="J246" s="23" t="s">
        <v>740</v>
      </c>
      <c r="K246" s="29">
        <v>45586.0</v>
      </c>
      <c r="L246" s="29" t="str">
        <f t="shared" si="8"/>
        <v>2024</v>
      </c>
      <c r="M246" s="29">
        <v>46053.0</v>
      </c>
      <c r="N246" s="26" t="str">
        <f t="shared" si="2"/>
        <v>2026</v>
      </c>
      <c r="O246" s="36">
        <f t="shared" si="5"/>
        <v>467</v>
      </c>
      <c r="P246" s="36">
        <f t="shared" si="4"/>
        <v>1</v>
      </c>
      <c r="Q246" s="23" t="s">
        <v>253</v>
      </c>
      <c r="R246" s="23" t="s">
        <v>2941</v>
      </c>
      <c r="S246" s="27"/>
      <c r="T246" s="23" t="s">
        <v>146</v>
      </c>
      <c r="U246" s="23" t="s">
        <v>790</v>
      </c>
      <c r="V246" s="23" t="s">
        <v>104</v>
      </c>
      <c r="W246" s="144" t="s">
        <v>2942</v>
      </c>
      <c r="X246" s="144" t="s">
        <v>2948</v>
      </c>
      <c r="Y246" s="27"/>
      <c r="Z246" s="27"/>
      <c r="AA246" s="27"/>
      <c r="AB246" s="44"/>
      <c r="AC246" s="76" t="s">
        <v>354</v>
      </c>
      <c r="AD246" s="76" t="s">
        <v>261</v>
      </c>
      <c r="AE246" s="76" t="s">
        <v>124</v>
      </c>
    </row>
    <row r="247">
      <c r="A247" s="45" t="s">
        <v>64</v>
      </c>
      <c r="B247" s="45" t="s">
        <v>19</v>
      </c>
      <c r="C247" s="45" t="s">
        <v>2949</v>
      </c>
      <c r="D247" s="45" t="s">
        <v>2950</v>
      </c>
      <c r="E247" s="45" t="s">
        <v>2951</v>
      </c>
      <c r="F247" s="48">
        <v>744.0</v>
      </c>
      <c r="G247" s="48">
        <v>600533.0</v>
      </c>
      <c r="H247" s="45" t="s">
        <v>84</v>
      </c>
      <c r="I247" s="45" t="s">
        <v>84</v>
      </c>
      <c r="J247" s="45" t="s">
        <v>1525</v>
      </c>
      <c r="K247" s="55">
        <v>45593.0</v>
      </c>
      <c r="L247" s="55" t="str">
        <f t="shared" si="8"/>
        <v>2024</v>
      </c>
      <c r="M247" s="55">
        <v>45958.0</v>
      </c>
      <c r="N247" s="48" t="str">
        <f t="shared" si="2"/>
        <v>2025</v>
      </c>
      <c r="O247" s="58">
        <f t="shared" si="5"/>
        <v>365</v>
      </c>
      <c r="P247" s="58">
        <f t="shared" si="4"/>
        <v>1</v>
      </c>
      <c r="Q247" s="45" t="s">
        <v>150</v>
      </c>
      <c r="R247" s="51"/>
      <c r="S247" s="51"/>
      <c r="T247" s="45" t="s">
        <v>84</v>
      </c>
      <c r="U247" s="45" t="s">
        <v>790</v>
      </c>
      <c r="V247" s="45" t="s">
        <v>104</v>
      </c>
      <c r="W247" s="45" t="s">
        <v>2956</v>
      </c>
      <c r="X247" s="45" t="s">
        <v>2956</v>
      </c>
      <c r="Y247" s="45" t="s">
        <v>2957</v>
      </c>
      <c r="Z247" s="51"/>
      <c r="AA247" s="51"/>
      <c r="AB247" s="72"/>
      <c r="AC247" s="64" t="s">
        <v>777</v>
      </c>
      <c r="AD247" s="64" t="s">
        <v>261</v>
      </c>
      <c r="AE247" s="64" t="s">
        <v>441</v>
      </c>
    </row>
    <row r="248">
      <c r="A248" s="23" t="s">
        <v>64</v>
      </c>
      <c r="B248" s="23" t="s">
        <v>67</v>
      </c>
      <c r="C248" s="23" t="s">
        <v>2958</v>
      </c>
      <c r="D248" s="23" t="s">
        <v>2959</v>
      </c>
      <c r="E248" s="23" t="s">
        <v>2960</v>
      </c>
      <c r="F248" s="26">
        <v>725.0</v>
      </c>
      <c r="G248" s="26">
        <v>20667.0</v>
      </c>
      <c r="H248" s="23" t="s">
        <v>464</v>
      </c>
      <c r="I248" s="23" t="s">
        <v>226</v>
      </c>
      <c r="J248" s="23" t="s">
        <v>86</v>
      </c>
      <c r="K248" s="29">
        <v>45569.0</v>
      </c>
      <c r="L248" s="29" t="str">
        <f t="shared" si="8"/>
        <v>2024</v>
      </c>
      <c r="M248" s="29">
        <v>45934.0</v>
      </c>
      <c r="N248" s="26" t="str">
        <f t="shared" si="2"/>
        <v>2025</v>
      </c>
      <c r="O248" s="36">
        <f t="shared" si="5"/>
        <v>365</v>
      </c>
      <c r="P248" s="36">
        <f t="shared" si="4"/>
        <v>1</v>
      </c>
      <c r="Q248" s="23" t="s">
        <v>150</v>
      </c>
      <c r="R248" s="27"/>
      <c r="S248" s="27"/>
      <c r="T248" s="23" t="s">
        <v>233</v>
      </c>
      <c r="U248" s="23" t="s">
        <v>25</v>
      </c>
      <c r="V248" s="23" t="s">
        <v>104</v>
      </c>
      <c r="W248" s="23" t="s">
        <v>2964</v>
      </c>
      <c r="X248" s="27"/>
      <c r="Y248" s="27"/>
      <c r="Z248" s="27"/>
      <c r="AA248" s="27"/>
      <c r="AB248" s="44"/>
      <c r="AC248" s="27"/>
      <c r="AD248" s="27"/>
      <c r="AE248" s="27"/>
    </row>
    <row r="249">
      <c r="A249" s="45" t="s">
        <v>64</v>
      </c>
      <c r="B249" s="45" t="s">
        <v>67</v>
      </c>
      <c r="C249" s="45" t="s">
        <v>2966</v>
      </c>
      <c r="D249" s="45" t="s">
        <v>2967</v>
      </c>
      <c r="E249" s="45" t="s">
        <v>2968</v>
      </c>
      <c r="F249" s="48">
        <v>736.0</v>
      </c>
      <c r="G249" s="48">
        <v>600521.0</v>
      </c>
      <c r="H249" s="45" t="s">
        <v>266</v>
      </c>
      <c r="I249" s="45" t="s">
        <v>226</v>
      </c>
      <c r="J249" s="45" t="s">
        <v>782</v>
      </c>
      <c r="K249" s="55">
        <v>45579.0</v>
      </c>
      <c r="L249" s="55" t="str">
        <f t="shared" si="8"/>
        <v>2024</v>
      </c>
      <c r="M249" s="55">
        <v>45762.0</v>
      </c>
      <c r="N249" s="48" t="str">
        <f t="shared" si="2"/>
        <v>2025</v>
      </c>
      <c r="O249" s="58">
        <f t="shared" si="5"/>
        <v>183</v>
      </c>
      <c r="P249" s="58">
        <f t="shared" si="4"/>
        <v>0</v>
      </c>
      <c r="Q249" s="45" t="s">
        <v>150</v>
      </c>
      <c r="R249" s="51"/>
      <c r="S249" s="51"/>
      <c r="T249" s="45" t="s">
        <v>233</v>
      </c>
      <c r="U249" s="45" t="s">
        <v>790</v>
      </c>
      <c r="V249" s="45" t="s">
        <v>708</v>
      </c>
      <c r="W249" s="142" t="s">
        <v>2969</v>
      </c>
      <c r="X249" s="142" t="s">
        <v>2974</v>
      </c>
      <c r="Y249" s="45" t="s">
        <v>2975</v>
      </c>
      <c r="Z249" s="51"/>
      <c r="AA249" s="51"/>
      <c r="AB249" s="72"/>
      <c r="AC249" s="64" t="s">
        <v>820</v>
      </c>
      <c r="AD249" s="64" t="s">
        <v>261</v>
      </c>
      <c r="AE249" s="64" t="s">
        <v>124</v>
      </c>
    </row>
    <row r="250">
      <c r="A250" s="23" t="s">
        <v>64</v>
      </c>
      <c r="B250" s="23" t="s">
        <v>67</v>
      </c>
      <c r="C250" s="23" t="s">
        <v>2976</v>
      </c>
      <c r="D250" s="23" t="s">
        <v>2977</v>
      </c>
      <c r="E250" s="23" t="s">
        <v>1510</v>
      </c>
      <c r="F250" s="26">
        <v>754.0</v>
      </c>
      <c r="G250" s="26">
        <v>600551.0</v>
      </c>
      <c r="H250" s="23" t="s">
        <v>2979</v>
      </c>
      <c r="I250" s="23" t="s">
        <v>1148</v>
      </c>
      <c r="J250" s="23" t="s">
        <v>740</v>
      </c>
      <c r="K250" s="29">
        <v>45618.0</v>
      </c>
      <c r="L250" s="29" t="str">
        <f t="shared" si="8"/>
        <v>2024</v>
      </c>
      <c r="M250" s="29">
        <v>45641.0</v>
      </c>
      <c r="N250" s="26" t="str">
        <f t="shared" si="2"/>
        <v>2024</v>
      </c>
      <c r="O250" s="36">
        <f t="shared" si="5"/>
        <v>23</v>
      </c>
      <c r="P250" s="36">
        <f t="shared" si="4"/>
        <v>0</v>
      </c>
      <c r="Q250" s="23" t="s">
        <v>150</v>
      </c>
      <c r="R250" s="27"/>
      <c r="S250" s="27"/>
      <c r="T250" s="23" t="s">
        <v>146</v>
      </c>
      <c r="U250" s="23" t="s">
        <v>1244</v>
      </c>
      <c r="V250" s="23" t="s">
        <v>2983</v>
      </c>
      <c r="W250" s="144" t="s">
        <v>2984</v>
      </c>
      <c r="X250" s="27"/>
      <c r="Y250" s="27"/>
      <c r="Z250" s="27"/>
      <c r="AA250" s="23" t="s">
        <v>2986</v>
      </c>
      <c r="AB250" s="44"/>
      <c r="AC250" s="76" t="s">
        <v>2330</v>
      </c>
      <c r="AD250" s="27"/>
      <c r="AE250" s="76" t="s">
        <v>124</v>
      </c>
    </row>
    <row r="251">
      <c r="A251" s="45" t="s">
        <v>64</v>
      </c>
      <c r="B251" s="45" t="s">
        <v>19</v>
      </c>
      <c r="C251" s="45" t="s">
        <v>2987</v>
      </c>
      <c r="D251" s="45" t="s">
        <v>2988</v>
      </c>
      <c r="E251" s="45" t="s">
        <v>2989</v>
      </c>
      <c r="F251" s="48">
        <v>758.0</v>
      </c>
      <c r="G251" s="48">
        <v>600556.0</v>
      </c>
      <c r="H251" s="45" t="s">
        <v>662</v>
      </c>
      <c r="I251" s="53"/>
      <c r="J251" s="45" t="s">
        <v>209</v>
      </c>
      <c r="K251" s="55">
        <v>45627.0</v>
      </c>
      <c r="L251" s="55" t="str">
        <f t="shared" si="8"/>
        <v>2024</v>
      </c>
      <c r="M251" s="55">
        <v>45992.0</v>
      </c>
      <c r="N251" s="48" t="str">
        <f t="shared" si="2"/>
        <v>2025</v>
      </c>
      <c r="O251" s="58">
        <f t="shared" si="5"/>
        <v>365</v>
      </c>
      <c r="P251" s="58">
        <f t="shared" si="4"/>
        <v>1</v>
      </c>
      <c r="Q251" s="45" t="s">
        <v>150</v>
      </c>
      <c r="R251" s="51"/>
      <c r="S251" s="51"/>
      <c r="T251" s="45" t="s">
        <v>146</v>
      </c>
      <c r="U251" s="51"/>
      <c r="V251" s="51"/>
      <c r="W251" s="45" t="s">
        <v>2991</v>
      </c>
      <c r="X251" s="45" t="s">
        <v>2991</v>
      </c>
      <c r="Y251" s="51"/>
      <c r="Z251" s="51"/>
      <c r="AA251" s="51"/>
      <c r="AB251" s="72"/>
      <c r="AC251" s="64" t="s">
        <v>820</v>
      </c>
      <c r="AD251" s="64" t="s">
        <v>261</v>
      </c>
      <c r="AE251" s="64" t="s">
        <v>124</v>
      </c>
    </row>
    <row r="252">
      <c r="A252" s="23" t="s">
        <v>64</v>
      </c>
      <c r="B252" s="23" t="s">
        <v>67</v>
      </c>
      <c r="C252" s="23" t="s">
        <v>2992</v>
      </c>
      <c r="D252" s="23" t="s">
        <v>2993</v>
      </c>
      <c r="E252" s="23" t="s">
        <v>2994</v>
      </c>
      <c r="F252" s="26">
        <v>761.0</v>
      </c>
      <c r="G252" s="26">
        <v>600562.0</v>
      </c>
      <c r="H252" s="23" t="s">
        <v>2995</v>
      </c>
      <c r="I252" s="88"/>
      <c r="J252" s="23" t="s">
        <v>2429</v>
      </c>
      <c r="K252" s="29">
        <v>45805.0</v>
      </c>
      <c r="L252" s="29" t="str">
        <f t="shared" si="8"/>
        <v>2025</v>
      </c>
      <c r="M252" s="29">
        <v>45838.0</v>
      </c>
      <c r="N252" s="26" t="str">
        <f t="shared" si="2"/>
        <v>2025</v>
      </c>
      <c r="O252" s="36">
        <f t="shared" si="5"/>
        <v>33</v>
      </c>
      <c r="P252" s="36">
        <f t="shared" si="4"/>
        <v>0</v>
      </c>
      <c r="Q252" s="23" t="s">
        <v>150</v>
      </c>
      <c r="R252" s="27"/>
      <c r="S252" s="27"/>
      <c r="T252" s="23" t="s">
        <v>84</v>
      </c>
      <c r="U252" s="23" t="s">
        <v>1244</v>
      </c>
      <c r="V252" s="23" t="s">
        <v>2983</v>
      </c>
      <c r="W252" s="144" t="s">
        <v>2998</v>
      </c>
      <c r="X252" s="27"/>
      <c r="Y252" s="27"/>
      <c r="Z252" s="27"/>
      <c r="AA252" s="23" t="s">
        <v>2999</v>
      </c>
      <c r="AB252" s="44"/>
      <c r="AC252" s="76" t="s">
        <v>820</v>
      </c>
      <c r="AD252" s="76" t="s">
        <v>261</v>
      </c>
      <c r="AE252" s="76" t="s">
        <v>124</v>
      </c>
    </row>
    <row r="253">
      <c r="A253" s="45" t="s">
        <v>64</v>
      </c>
      <c r="B253" s="45" t="s">
        <v>67</v>
      </c>
      <c r="C253" s="45" t="s">
        <v>3001</v>
      </c>
      <c r="D253" s="45" t="s">
        <v>3002</v>
      </c>
      <c r="E253" s="45" t="s">
        <v>3003</v>
      </c>
      <c r="F253" s="48">
        <v>766.0</v>
      </c>
      <c r="G253" s="48">
        <v>600679.0</v>
      </c>
      <c r="H253" s="45" t="s">
        <v>2676</v>
      </c>
      <c r="I253" s="45" t="s">
        <v>1148</v>
      </c>
      <c r="J253" s="45" t="s">
        <v>2429</v>
      </c>
      <c r="K253" s="55">
        <v>45645.0</v>
      </c>
      <c r="L253" s="55" t="str">
        <f t="shared" si="8"/>
        <v>2024</v>
      </c>
      <c r="M253" s="55">
        <v>45930.0</v>
      </c>
      <c r="N253" s="48" t="str">
        <f t="shared" si="2"/>
        <v>2025</v>
      </c>
      <c r="O253" s="58">
        <f t="shared" si="5"/>
        <v>285</v>
      </c>
      <c r="P253" s="58">
        <f t="shared" si="4"/>
        <v>0</v>
      </c>
      <c r="Q253" s="45" t="s">
        <v>150</v>
      </c>
      <c r="R253" s="51"/>
      <c r="S253" s="45" t="s">
        <v>113</v>
      </c>
      <c r="T253" s="45" t="s">
        <v>146</v>
      </c>
      <c r="U253" s="45" t="s">
        <v>1244</v>
      </c>
      <c r="V253" s="45" t="s">
        <v>2983</v>
      </c>
      <c r="W253" s="45" t="s">
        <v>3005</v>
      </c>
      <c r="X253" s="51"/>
      <c r="Y253" s="51"/>
      <c r="Z253" s="51"/>
      <c r="AA253" s="51"/>
      <c r="AB253" s="72"/>
      <c r="AC253" s="64" t="s">
        <v>777</v>
      </c>
      <c r="AD253" s="64" t="s">
        <v>2816</v>
      </c>
      <c r="AE253" s="64" t="s">
        <v>124</v>
      </c>
    </row>
    <row r="254">
      <c r="A254" s="23" t="s">
        <v>64</v>
      </c>
      <c r="B254" s="23" t="s">
        <v>67</v>
      </c>
      <c r="C254" s="23" t="s">
        <v>3007</v>
      </c>
      <c r="D254" s="144" t="s">
        <v>3008</v>
      </c>
      <c r="E254" s="144" t="s">
        <v>3009</v>
      </c>
      <c r="F254" s="26">
        <v>767.0</v>
      </c>
      <c r="G254" s="26">
        <v>600574.0</v>
      </c>
      <c r="H254" s="23" t="s">
        <v>1392</v>
      </c>
      <c r="I254" s="88"/>
      <c r="J254" s="23" t="s">
        <v>782</v>
      </c>
      <c r="K254" s="29">
        <v>45646.0</v>
      </c>
      <c r="L254" s="29" t="str">
        <f t="shared" si="8"/>
        <v>2024</v>
      </c>
      <c r="M254" s="29">
        <v>45688.0</v>
      </c>
      <c r="N254" s="26" t="str">
        <f t="shared" si="2"/>
        <v>2025</v>
      </c>
      <c r="O254" s="36">
        <f t="shared" si="5"/>
        <v>42</v>
      </c>
      <c r="P254" s="36">
        <f t="shared" si="4"/>
        <v>0</v>
      </c>
      <c r="Q254" s="23" t="s">
        <v>150</v>
      </c>
      <c r="R254" s="27"/>
      <c r="S254" s="23" t="s">
        <v>113</v>
      </c>
      <c r="T254" s="23" t="s">
        <v>233</v>
      </c>
      <c r="U254" s="23" t="s">
        <v>790</v>
      </c>
      <c r="V254" s="23" t="s">
        <v>708</v>
      </c>
      <c r="W254" s="144" t="s">
        <v>3011</v>
      </c>
      <c r="X254" s="144" t="s">
        <v>3012</v>
      </c>
      <c r="Y254" s="27"/>
      <c r="Z254" s="27"/>
      <c r="AA254" s="27"/>
      <c r="AB254" s="44"/>
      <c r="AC254" s="76" t="s">
        <v>354</v>
      </c>
      <c r="AD254" s="27"/>
      <c r="AE254" s="76" t="s">
        <v>124</v>
      </c>
    </row>
    <row r="255">
      <c r="A255" s="45" t="s">
        <v>64</v>
      </c>
      <c r="B255" s="45" t="s">
        <v>67</v>
      </c>
      <c r="C255" s="45" t="s">
        <v>3013</v>
      </c>
      <c r="D255" s="45" t="s">
        <v>3015</v>
      </c>
      <c r="E255" s="45" t="s">
        <v>3016</v>
      </c>
      <c r="F255" s="48">
        <v>769.0</v>
      </c>
      <c r="G255" s="48">
        <v>600577.0</v>
      </c>
      <c r="H255" s="45" t="s">
        <v>2995</v>
      </c>
      <c r="I255" s="53"/>
      <c r="J255" s="45" t="s">
        <v>1372</v>
      </c>
      <c r="K255" s="55">
        <v>45649.0</v>
      </c>
      <c r="L255" s="55" t="str">
        <f t="shared" si="8"/>
        <v>2024</v>
      </c>
      <c r="M255" s="55">
        <v>45711.0</v>
      </c>
      <c r="N255" s="48" t="str">
        <f t="shared" si="2"/>
        <v>2025</v>
      </c>
      <c r="O255" s="58">
        <f t="shared" si="5"/>
        <v>62</v>
      </c>
      <c r="P255" s="58">
        <f t="shared" si="4"/>
        <v>0</v>
      </c>
      <c r="Q255" s="45" t="s">
        <v>150</v>
      </c>
      <c r="R255" s="51"/>
      <c r="S255" s="51"/>
      <c r="T255" s="51"/>
      <c r="U255" s="51"/>
      <c r="V255" s="45" t="s">
        <v>2983</v>
      </c>
      <c r="W255" s="205" t="s">
        <v>3020</v>
      </c>
      <c r="X255" s="51"/>
      <c r="Y255" s="51"/>
      <c r="Z255" s="51"/>
      <c r="AA255" s="45" t="s">
        <v>3021</v>
      </c>
      <c r="AB255" s="72"/>
      <c r="AC255" s="64" t="s">
        <v>441</v>
      </c>
      <c r="AD255" s="51"/>
      <c r="AE255" s="64" t="s">
        <v>336</v>
      </c>
    </row>
    <row r="256">
      <c r="A256" s="23" t="s">
        <v>64</v>
      </c>
      <c r="B256" s="23" t="s">
        <v>19</v>
      </c>
      <c r="C256" s="23" t="s">
        <v>1079</v>
      </c>
      <c r="D256" s="23" t="s">
        <v>3023</v>
      </c>
      <c r="E256" s="144" t="s">
        <v>3025</v>
      </c>
      <c r="F256" s="26">
        <v>774.0</v>
      </c>
      <c r="G256" s="26">
        <v>600581.0</v>
      </c>
      <c r="H256" s="23" t="s">
        <v>84</v>
      </c>
      <c r="I256" s="88"/>
      <c r="J256" s="23" t="s">
        <v>1372</v>
      </c>
      <c r="K256" s="29">
        <v>45656.0</v>
      </c>
      <c r="L256" s="29" t="str">
        <f t="shared" si="8"/>
        <v>2024</v>
      </c>
      <c r="M256" s="29">
        <v>46051.0</v>
      </c>
      <c r="N256" s="26" t="str">
        <f t="shared" si="2"/>
        <v>2026</v>
      </c>
      <c r="O256" s="36">
        <f t="shared" si="5"/>
        <v>395</v>
      </c>
      <c r="P256" s="36">
        <f t="shared" si="4"/>
        <v>1</v>
      </c>
      <c r="Q256" s="23" t="s">
        <v>150</v>
      </c>
      <c r="R256" s="27"/>
      <c r="S256" s="27"/>
      <c r="T256" s="27"/>
      <c r="U256" s="27"/>
      <c r="V256" s="27"/>
      <c r="W256" s="144" t="s">
        <v>3032</v>
      </c>
      <c r="X256" s="144" t="s">
        <v>3034</v>
      </c>
      <c r="Y256" s="27"/>
      <c r="Z256" s="27"/>
      <c r="AA256" s="23" t="s">
        <v>3036</v>
      </c>
      <c r="AB256" s="44"/>
      <c r="AC256" s="76" t="s">
        <v>354</v>
      </c>
      <c r="AD256" s="76" t="s">
        <v>261</v>
      </c>
      <c r="AE256" s="76" t="s">
        <v>124</v>
      </c>
    </row>
    <row r="257">
      <c r="A257" s="45" t="s">
        <v>64</v>
      </c>
      <c r="B257" s="45" t="s">
        <v>67</v>
      </c>
      <c r="C257" s="45" t="s">
        <v>3037</v>
      </c>
      <c r="D257" s="45" t="s">
        <v>3038</v>
      </c>
      <c r="E257" s="142" t="s">
        <v>3040</v>
      </c>
      <c r="F257" s="48">
        <v>777.0</v>
      </c>
      <c r="G257" s="48">
        <v>600587.0</v>
      </c>
      <c r="H257" s="45" t="s">
        <v>82</v>
      </c>
      <c r="I257" s="53"/>
      <c r="J257" s="45" t="s">
        <v>2799</v>
      </c>
      <c r="K257" s="55">
        <v>45674.0</v>
      </c>
      <c r="L257" s="55" t="str">
        <f t="shared" si="8"/>
        <v>2025</v>
      </c>
      <c r="M257" s="55">
        <v>45705.0</v>
      </c>
      <c r="N257" s="48" t="str">
        <f t="shared" si="2"/>
        <v>2025</v>
      </c>
      <c r="O257" s="58">
        <f t="shared" si="5"/>
        <v>31</v>
      </c>
      <c r="P257" s="58">
        <f t="shared" si="4"/>
        <v>0</v>
      </c>
      <c r="Q257" s="45" t="s">
        <v>150</v>
      </c>
      <c r="R257" s="51"/>
      <c r="S257" s="51"/>
      <c r="T257" s="45" t="s">
        <v>84</v>
      </c>
      <c r="U257" s="51"/>
      <c r="V257" s="45" t="s">
        <v>2983</v>
      </c>
      <c r="W257" s="45" t="s">
        <v>3046</v>
      </c>
      <c r="X257" s="45" t="s">
        <v>3046</v>
      </c>
      <c r="Y257" s="51"/>
      <c r="Z257" s="51"/>
      <c r="AA257" s="51"/>
      <c r="AB257" s="72"/>
      <c r="AC257" s="64" t="s">
        <v>354</v>
      </c>
      <c r="AD257" s="51"/>
      <c r="AE257" s="64" t="s">
        <v>3047</v>
      </c>
    </row>
    <row r="258">
      <c r="A258" s="23" t="s">
        <v>64</v>
      </c>
      <c r="B258" s="23" t="s">
        <v>19</v>
      </c>
      <c r="C258" s="23" t="s">
        <v>3048</v>
      </c>
      <c r="D258" s="23" t="s">
        <v>3049</v>
      </c>
      <c r="E258" s="23" t="s">
        <v>3050</v>
      </c>
      <c r="F258" s="26">
        <v>778.0</v>
      </c>
      <c r="G258" s="26">
        <v>600588.0</v>
      </c>
      <c r="H258" s="23" t="s">
        <v>1392</v>
      </c>
      <c r="I258" s="23" t="s">
        <v>1148</v>
      </c>
      <c r="J258" s="23" t="s">
        <v>2429</v>
      </c>
      <c r="K258" s="29">
        <v>45679.0</v>
      </c>
      <c r="L258" s="29" t="str">
        <f t="shared" si="8"/>
        <v>2025</v>
      </c>
      <c r="M258" s="29">
        <v>45991.0</v>
      </c>
      <c r="N258" s="26" t="str">
        <f t="shared" si="2"/>
        <v>2025</v>
      </c>
      <c r="O258" s="36">
        <f t="shared" si="5"/>
        <v>312</v>
      </c>
      <c r="P258" s="36">
        <f t="shared" si="4"/>
        <v>0</v>
      </c>
      <c r="Q258" s="23" t="s">
        <v>150</v>
      </c>
      <c r="R258" s="23" t="s">
        <v>3051</v>
      </c>
      <c r="S258" s="23" t="s">
        <v>269</v>
      </c>
      <c r="T258" s="23" t="s">
        <v>146</v>
      </c>
      <c r="U258" s="23" t="s">
        <v>790</v>
      </c>
      <c r="V258" s="23" t="s">
        <v>708</v>
      </c>
      <c r="W258" s="23" t="s">
        <v>3053</v>
      </c>
      <c r="X258" s="23" t="s">
        <v>3053</v>
      </c>
      <c r="Y258" s="27"/>
      <c r="Z258" s="27"/>
      <c r="AA258" s="27"/>
      <c r="AB258" s="44"/>
      <c r="AC258" s="76" t="s">
        <v>777</v>
      </c>
      <c r="AD258" s="76" t="s">
        <v>261</v>
      </c>
      <c r="AE258" s="76" t="s">
        <v>124</v>
      </c>
    </row>
    <row r="259">
      <c r="A259" s="45" t="s">
        <v>64</v>
      </c>
      <c r="B259" s="45" t="s">
        <v>19</v>
      </c>
      <c r="C259" s="45" t="s">
        <v>3057</v>
      </c>
      <c r="D259" s="45" t="s">
        <v>3058</v>
      </c>
      <c r="E259" s="45" t="s">
        <v>3059</v>
      </c>
      <c r="F259" s="48">
        <v>781.0</v>
      </c>
      <c r="G259" s="48">
        <v>600194.0</v>
      </c>
      <c r="H259" s="45" t="s">
        <v>464</v>
      </c>
      <c r="I259" s="45" t="s">
        <v>2417</v>
      </c>
      <c r="J259" s="45" t="s">
        <v>209</v>
      </c>
      <c r="K259" s="55">
        <v>45702.0</v>
      </c>
      <c r="L259" s="55" t="str">
        <f t="shared" si="8"/>
        <v>2025</v>
      </c>
      <c r="M259" s="55">
        <v>46022.0</v>
      </c>
      <c r="N259" s="48" t="str">
        <f t="shared" si="2"/>
        <v>2025</v>
      </c>
      <c r="O259" s="58">
        <f t="shared" si="5"/>
        <v>320</v>
      </c>
      <c r="P259" s="58">
        <f t="shared" si="4"/>
        <v>0</v>
      </c>
      <c r="Q259" s="45" t="s">
        <v>150</v>
      </c>
      <c r="R259" s="51"/>
      <c r="S259" s="45" t="s">
        <v>269</v>
      </c>
      <c r="T259" s="45" t="s">
        <v>84</v>
      </c>
      <c r="U259" s="45" t="s">
        <v>790</v>
      </c>
      <c r="V259" s="45" t="s">
        <v>104</v>
      </c>
      <c r="W259" s="45" t="s">
        <v>3061</v>
      </c>
      <c r="X259" s="45" t="s">
        <v>3061</v>
      </c>
      <c r="Y259" s="45" t="s">
        <v>3063</v>
      </c>
      <c r="Z259" s="51"/>
      <c r="AA259" s="51"/>
      <c r="AB259" s="72"/>
      <c r="AC259" s="64" t="s">
        <v>777</v>
      </c>
      <c r="AD259" s="64" t="s">
        <v>261</v>
      </c>
      <c r="AE259" s="64" t="s">
        <v>476</v>
      </c>
    </row>
    <row r="260">
      <c r="A260" s="23" t="s">
        <v>64</v>
      </c>
      <c r="B260" s="23" t="s">
        <v>19</v>
      </c>
      <c r="C260" s="23" t="s">
        <v>256</v>
      </c>
      <c r="D260" s="23" t="s">
        <v>257</v>
      </c>
      <c r="E260" s="23" t="s">
        <v>258</v>
      </c>
      <c r="F260" s="26">
        <v>188.0</v>
      </c>
      <c r="G260" s="26">
        <v>600592.0</v>
      </c>
      <c r="H260" s="23" t="s">
        <v>1392</v>
      </c>
      <c r="I260" s="23" t="s">
        <v>84</v>
      </c>
      <c r="J260" s="23" t="s">
        <v>86</v>
      </c>
      <c r="K260" s="29">
        <v>44491.0</v>
      </c>
      <c r="L260" s="29" t="str">
        <f t="shared" si="8"/>
        <v>2021</v>
      </c>
      <c r="M260" s="29">
        <v>46203.0</v>
      </c>
      <c r="N260" s="26" t="str">
        <f t="shared" si="2"/>
        <v>2026</v>
      </c>
      <c r="O260" s="36">
        <f t="shared" si="5"/>
        <v>1712</v>
      </c>
      <c r="P260" s="36">
        <f t="shared" si="4"/>
        <v>4</v>
      </c>
      <c r="Q260" s="23" t="s">
        <v>150</v>
      </c>
      <c r="R260" s="23" t="s">
        <v>3067</v>
      </c>
      <c r="S260" s="23" t="s">
        <v>269</v>
      </c>
      <c r="T260" s="23" t="s">
        <v>84</v>
      </c>
      <c r="U260" s="23" t="s">
        <v>790</v>
      </c>
      <c r="V260" s="23" t="s">
        <v>104</v>
      </c>
      <c r="W260" s="23" t="s">
        <v>3069</v>
      </c>
      <c r="X260" s="23" t="s">
        <v>3069</v>
      </c>
      <c r="Y260" s="27"/>
      <c r="Z260" s="27"/>
      <c r="AA260" s="27"/>
      <c r="AB260" s="44"/>
      <c r="AC260" s="76" t="s">
        <v>777</v>
      </c>
      <c r="AD260" s="27"/>
      <c r="AE260" s="76" t="s">
        <v>124</v>
      </c>
    </row>
    <row r="261">
      <c r="A261" s="45" t="s">
        <v>64</v>
      </c>
      <c r="B261" s="45" t="s">
        <v>67</v>
      </c>
      <c r="C261" s="45" t="s">
        <v>3070</v>
      </c>
      <c r="D261" s="45" t="s">
        <v>3072</v>
      </c>
      <c r="E261" s="142" t="s">
        <v>3075</v>
      </c>
      <c r="F261" s="48">
        <v>783.0</v>
      </c>
      <c r="G261" s="48">
        <v>600593.0</v>
      </c>
      <c r="H261" s="45" t="s">
        <v>82</v>
      </c>
      <c r="I261" s="53"/>
      <c r="J261" s="51"/>
      <c r="K261" s="55">
        <v>45708.0</v>
      </c>
      <c r="L261" s="55" t="str">
        <f t="shared" si="8"/>
        <v>2025</v>
      </c>
      <c r="M261" s="55">
        <v>45767.0</v>
      </c>
      <c r="N261" s="48" t="str">
        <f t="shared" si="2"/>
        <v>2025</v>
      </c>
      <c r="O261" s="58">
        <f t="shared" si="5"/>
        <v>59</v>
      </c>
      <c r="P261" s="58">
        <f t="shared" si="4"/>
        <v>0</v>
      </c>
      <c r="Q261" s="51"/>
      <c r="R261" s="51"/>
      <c r="S261" s="51"/>
      <c r="T261" s="45" t="s">
        <v>84</v>
      </c>
      <c r="U261" s="45" t="s">
        <v>790</v>
      </c>
      <c r="V261" s="45" t="s">
        <v>2983</v>
      </c>
      <c r="W261" s="142" t="s">
        <v>3081</v>
      </c>
      <c r="X261" s="142" t="s">
        <v>3082</v>
      </c>
      <c r="Y261" s="51"/>
      <c r="Z261" s="51"/>
      <c r="AA261" s="51"/>
      <c r="AB261" s="72"/>
      <c r="AC261" s="64" t="s">
        <v>354</v>
      </c>
      <c r="AD261" s="51"/>
      <c r="AE261" s="64" t="s">
        <v>336</v>
      </c>
    </row>
    <row r="262">
      <c r="A262" s="23" t="s">
        <v>64</v>
      </c>
      <c r="B262" s="23" t="s">
        <v>67</v>
      </c>
      <c r="C262" s="23" t="s">
        <v>722</v>
      </c>
      <c r="D262" s="27"/>
      <c r="E262" s="27"/>
      <c r="F262" s="27"/>
      <c r="G262" s="27"/>
      <c r="H262" s="27"/>
      <c r="I262" s="88"/>
      <c r="J262" s="23" t="s">
        <v>740</v>
      </c>
      <c r="K262" s="88"/>
      <c r="L262" s="88" t="str">
        <f t="shared" si="8"/>
        <v/>
      </c>
      <c r="M262" s="88"/>
      <c r="N262" s="27" t="str">
        <f t="shared" si="2"/>
        <v/>
      </c>
      <c r="O262" s="36">
        <f t="shared" si="5"/>
        <v>0</v>
      </c>
      <c r="P262" s="36">
        <f t="shared" si="4"/>
        <v>0</v>
      </c>
      <c r="Q262" s="27"/>
      <c r="R262" s="27"/>
      <c r="S262" s="27"/>
      <c r="T262" s="27"/>
      <c r="U262" s="27"/>
      <c r="V262" s="27"/>
      <c r="W262" s="23" t="s">
        <v>737</v>
      </c>
      <c r="X262" s="23" t="s">
        <v>737</v>
      </c>
      <c r="Y262" s="23" t="s">
        <v>735</v>
      </c>
      <c r="Z262" s="27"/>
      <c r="AA262" s="27"/>
      <c r="AB262" s="44"/>
      <c r="AC262" s="76" t="s">
        <v>777</v>
      </c>
      <c r="AD262" s="76" t="s">
        <v>261</v>
      </c>
      <c r="AE262" s="76" t="s">
        <v>441</v>
      </c>
    </row>
    <row r="263">
      <c r="A263" s="45" t="s">
        <v>64</v>
      </c>
      <c r="B263" s="45" t="s">
        <v>67</v>
      </c>
      <c r="C263" s="45" t="s">
        <v>3089</v>
      </c>
      <c r="D263" s="142" t="s">
        <v>3090</v>
      </c>
      <c r="E263" s="142" t="s">
        <v>3091</v>
      </c>
      <c r="F263" s="48">
        <v>785.0</v>
      </c>
      <c r="G263" s="48">
        <v>600595.0</v>
      </c>
      <c r="H263" s="45" t="s">
        <v>1392</v>
      </c>
      <c r="I263" s="51"/>
      <c r="J263" s="45" t="s">
        <v>782</v>
      </c>
      <c r="K263" s="55">
        <v>45709.0</v>
      </c>
      <c r="L263" s="55" t="str">
        <f t="shared" si="8"/>
        <v>2025</v>
      </c>
      <c r="M263" s="55">
        <v>45747.0</v>
      </c>
      <c r="N263" s="48" t="str">
        <f t="shared" si="2"/>
        <v>2025</v>
      </c>
      <c r="O263" s="58">
        <f t="shared" si="5"/>
        <v>38</v>
      </c>
      <c r="P263" s="58">
        <f t="shared" si="4"/>
        <v>0</v>
      </c>
      <c r="Q263" s="45" t="s">
        <v>150</v>
      </c>
      <c r="R263" s="45" t="s">
        <v>3096</v>
      </c>
      <c r="S263" s="51"/>
      <c r="T263" s="45" t="s">
        <v>233</v>
      </c>
      <c r="U263" s="45" t="s">
        <v>790</v>
      </c>
      <c r="V263" s="45" t="s">
        <v>708</v>
      </c>
      <c r="W263" s="142" t="s">
        <v>3097</v>
      </c>
      <c r="X263" s="142" t="s">
        <v>3102</v>
      </c>
      <c r="Y263" s="51"/>
      <c r="Z263" s="51"/>
      <c r="AA263" s="51"/>
      <c r="AB263" s="72"/>
      <c r="AC263" s="64" t="s">
        <v>354</v>
      </c>
      <c r="AD263" s="64" t="s">
        <v>261</v>
      </c>
      <c r="AE263" s="64" t="s">
        <v>124</v>
      </c>
    </row>
    <row r="264">
      <c r="A264" s="23" t="s">
        <v>64</v>
      </c>
      <c r="B264" s="23" t="s">
        <v>19</v>
      </c>
      <c r="C264" s="23" t="s">
        <v>1075</v>
      </c>
      <c r="D264" s="23" t="s">
        <v>3104</v>
      </c>
      <c r="E264" s="23" t="s">
        <v>3105</v>
      </c>
      <c r="F264" s="26">
        <v>787.0</v>
      </c>
      <c r="G264" s="26">
        <v>600598.0</v>
      </c>
      <c r="H264" s="23" t="s">
        <v>1392</v>
      </c>
      <c r="I264" s="23" t="s">
        <v>84</v>
      </c>
      <c r="J264" s="23" t="s">
        <v>1525</v>
      </c>
      <c r="K264" s="29">
        <v>45715.0</v>
      </c>
      <c r="L264" s="29" t="str">
        <f t="shared" si="8"/>
        <v>2025</v>
      </c>
      <c r="M264" s="29">
        <v>46057.0</v>
      </c>
      <c r="N264" s="26" t="str">
        <f t="shared" si="2"/>
        <v>2026</v>
      </c>
      <c r="O264" s="36">
        <f t="shared" si="5"/>
        <v>342</v>
      </c>
      <c r="P264" s="36">
        <f t="shared" si="4"/>
        <v>0</v>
      </c>
      <c r="Q264" s="23" t="s">
        <v>150</v>
      </c>
      <c r="R264" s="27"/>
      <c r="S264" s="27"/>
      <c r="T264" s="23" t="s">
        <v>84</v>
      </c>
      <c r="U264" s="23" t="s">
        <v>1244</v>
      </c>
      <c r="V264" s="23" t="s">
        <v>104</v>
      </c>
      <c r="W264" s="23" t="s">
        <v>3107</v>
      </c>
      <c r="X264" s="27"/>
      <c r="Y264" s="23" t="s">
        <v>3108</v>
      </c>
      <c r="Z264" s="27"/>
      <c r="AA264" s="27"/>
      <c r="AB264" s="44"/>
      <c r="AC264" s="76" t="s">
        <v>777</v>
      </c>
      <c r="AD264" s="76" t="s">
        <v>123</v>
      </c>
      <c r="AE264" s="76" t="s">
        <v>124</v>
      </c>
    </row>
    <row r="265">
      <c r="A265" s="45" t="s">
        <v>64</v>
      </c>
      <c r="B265" s="45" t="s">
        <v>19</v>
      </c>
      <c r="C265" s="45" t="s">
        <v>3109</v>
      </c>
      <c r="D265" s="45" t="s">
        <v>3110</v>
      </c>
      <c r="E265" s="45" t="s">
        <v>3111</v>
      </c>
      <c r="F265" s="48">
        <v>788.0</v>
      </c>
      <c r="G265" s="48">
        <v>600602.0</v>
      </c>
      <c r="H265" s="45" t="s">
        <v>1392</v>
      </c>
      <c r="I265" s="45" t="s">
        <v>1148</v>
      </c>
      <c r="J265" s="45" t="s">
        <v>2418</v>
      </c>
      <c r="K265" s="55">
        <v>45775.0</v>
      </c>
      <c r="L265" s="55" t="str">
        <f t="shared" si="8"/>
        <v>2025</v>
      </c>
      <c r="M265" s="55">
        <v>46140.0</v>
      </c>
      <c r="N265" s="48" t="str">
        <f t="shared" si="2"/>
        <v>2026</v>
      </c>
      <c r="O265" s="58">
        <f t="shared" si="5"/>
        <v>365</v>
      </c>
      <c r="P265" s="58">
        <f t="shared" si="4"/>
        <v>1</v>
      </c>
      <c r="Q265" s="45" t="s">
        <v>150</v>
      </c>
      <c r="R265" s="51"/>
      <c r="S265" s="51"/>
      <c r="T265" s="45" t="s">
        <v>146</v>
      </c>
      <c r="U265" s="45" t="s">
        <v>1244</v>
      </c>
      <c r="V265" s="45" t="s">
        <v>104</v>
      </c>
      <c r="W265" s="45" t="s">
        <v>3112</v>
      </c>
      <c r="X265" s="45" t="s">
        <v>3112</v>
      </c>
      <c r="Y265" s="51"/>
      <c r="Z265" s="51"/>
      <c r="AA265" s="51"/>
      <c r="AB265" s="72"/>
      <c r="AC265" s="64" t="s">
        <v>820</v>
      </c>
      <c r="AD265" s="64" t="s">
        <v>261</v>
      </c>
      <c r="AE265" s="64" t="s">
        <v>124</v>
      </c>
    </row>
    <row r="266">
      <c r="A266" s="23" t="s">
        <v>64</v>
      </c>
      <c r="B266" s="23" t="s">
        <v>67</v>
      </c>
      <c r="C266" s="23" t="s">
        <v>3114</v>
      </c>
      <c r="D266" s="23" t="s">
        <v>3115</v>
      </c>
      <c r="E266" s="23" t="s">
        <v>3116</v>
      </c>
      <c r="F266" s="26">
        <v>790.0</v>
      </c>
      <c r="G266" s="27"/>
      <c r="H266" s="23" t="s">
        <v>2995</v>
      </c>
      <c r="I266" s="88"/>
      <c r="J266" s="23" t="s">
        <v>2418</v>
      </c>
      <c r="K266" s="29">
        <v>45726.0</v>
      </c>
      <c r="L266" s="26">
        <v>2025.0</v>
      </c>
      <c r="M266" s="29">
        <v>45747.0</v>
      </c>
      <c r="N266" s="26" t="str">
        <f t="shared" si="2"/>
        <v>2025</v>
      </c>
      <c r="O266" s="36">
        <f t="shared" si="5"/>
        <v>21</v>
      </c>
      <c r="P266" s="36">
        <f t="shared" si="4"/>
        <v>0</v>
      </c>
      <c r="Q266" s="23" t="s">
        <v>150</v>
      </c>
      <c r="R266" s="27"/>
      <c r="S266" s="27"/>
      <c r="T266" s="23" t="s">
        <v>233</v>
      </c>
      <c r="U266" s="23" t="s">
        <v>790</v>
      </c>
      <c r="V266" s="23" t="s">
        <v>106</v>
      </c>
      <c r="W266" s="206" t="s">
        <v>3119</v>
      </c>
      <c r="X266" s="207"/>
      <c r="Y266" s="27"/>
      <c r="Z266" s="27"/>
      <c r="AA266" s="27"/>
      <c r="AB266" s="44"/>
      <c r="AC266" s="76" t="s">
        <v>820</v>
      </c>
      <c r="AD266" s="27"/>
      <c r="AE266" s="76" t="s">
        <v>336</v>
      </c>
    </row>
    <row r="267">
      <c r="A267" s="45" t="s">
        <v>64</v>
      </c>
      <c r="B267" s="45" t="s">
        <v>19</v>
      </c>
      <c r="C267" s="45" t="s">
        <v>3124</v>
      </c>
      <c r="D267" s="45" t="s">
        <v>3125</v>
      </c>
      <c r="E267" s="45" t="s">
        <v>3127</v>
      </c>
      <c r="F267" s="48">
        <v>793.0</v>
      </c>
      <c r="G267" s="48">
        <v>600610.0</v>
      </c>
      <c r="H267" s="45" t="s">
        <v>1392</v>
      </c>
      <c r="I267" s="45" t="s">
        <v>226</v>
      </c>
      <c r="J267" s="45" t="s">
        <v>2418</v>
      </c>
      <c r="K267" s="55">
        <v>45740.0</v>
      </c>
      <c r="L267" s="48">
        <v>2025.0</v>
      </c>
      <c r="M267" s="55">
        <v>46105.0</v>
      </c>
      <c r="N267" s="48" t="str">
        <f t="shared" si="2"/>
        <v>2026</v>
      </c>
      <c r="O267" s="58">
        <f t="shared" si="5"/>
        <v>365</v>
      </c>
      <c r="P267" s="58">
        <f t="shared" si="4"/>
        <v>1</v>
      </c>
      <c r="Q267" s="45" t="s">
        <v>150</v>
      </c>
      <c r="R267" s="51"/>
      <c r="S267" s="45" t="s">
        <v>113</v>
      </c>
      <c r="T267" s="45" t="s">
        <v>233</v>
      </c>
      <c r="U267" s="45" t="s">
        <v>790</v>
      </c>
      <c r="V267" s="45" t="s">
        <v>708</v>
      </c>
      <c r="W267" s="45" t="s">
        <v>3131</v>
      </c>
      <c r="X267" s="195" t="s">
        <v>3132</v>
      </c>
      <c r="Y267" s="198"/>
      <c r="Z267" s="51"/>
      <c r="AA267" s="51"/>
      <c r="AB267" s="72"/>
      <c r="AC267" s="64" t="s">
        <v>820</v>
      </c>
      <c r="AD267" s="64" t="s">
        <v>261</v>
      </c>
      <c r="AE267" s="64" t="s">
        <v>124</v>
      </c>
    </row>
    <row r="268">
      <c r="A268" s="23" t="s">
        <v>64</v>
      </c>
      <c r="B268" s="23" t="s">
        <v>19</v>
      </c>
      <c r="C268" s="23" t="s">
        <v>316</v>
      </c>
      <c r="D268" s="23" t="s">
        <v>3138</v>
      </c>
      <c r="E268" s="23" t="s">
        <v>3139</v>
      </c>
      <c r="F268" s="26">
        <v>798.0</v>
      </c>
      <c r="G268" s="26">
        <v>600621.0</v>
      </c>
      <c r="H268" s="23" t="s">
        <v>1392</v>
      </c>
      <c r="I268" s="88"/>
      <c r="J268" s="23" t="s">
        <v>1372</v>
      </c>
      <c r="K268" s="29">
        <v>45757.0</v>
      </c>
      <c r="L268" s="26">
        <v>2025.0</v>
      </c>
      <c r="M268" s="29">
        <v>46143.0</v>
      </c>
      <c r="N268" s="26" t="str">
        <f t="shared" si="2"/>
        <v>2026</v>
      </c>
      <c r="O268" s="36">
        <f t="shared" si="5"/>
        <v>386</v>
      </c>
      <c r="P268" s="36">
        <f t="shared" si="4"/>
        <v>1</v>
      </c>
      <c r="Q268" s="23" t="s">
        <v>150</v>
      </c>
      <c r="R268" s="27"/>
      <c r="S268" s="27"/>
      <c r="T268" s="23" t="s">
        <v>146</v>
      </c>
      <c r="U268" s="23" t="s">
        <v>790</v>
      </c>
      <c r="V268" s="23" t="s">
        <v>104</v>
      </c>
      <c r="W268" s="144" t="s">
        <v>3142</v>
      </c>
      <c r="X268" s="27"/>
      <c r="Y268" s="23" t="s">
        <v>3143</v>
      </c>
      <c r="Z268" s="27"/>
      <c r="AA268" s="27"/>
      <c r="AB268" s="44"/>
      <c r="AC268" s="76" t="s">
        <v>820</v>
      </c>
      <c r="AD268" s="27"/>
      <c r="AE268" s="76" t="s">
        <v>124</v>
      </c>
    </row>
    <row r="269">
      <c r="A269" s="45" t="s">
        <v>64</v>
      </c>
      <c r="B269" s="45" t="s">
        <v>19</v>
      </c>
      <c r="C269" s="45" t="s">
        <v>3144</v>
      </c>
      <c r="D269" s="45" t="s">
        <v>3145</v>
      </c>
      <c r="E269" s="45" t="s">
        <v>2578</v>
      </c>
      <c r="F269" s="48">
        <v>805.0</v>
      </c>
      <c r="G269" s="51"/>
      <c r="H269" s="45" t="s">
        <v>139</v>
      </c>
      <c r="I269" s="53"/>
      <c r="J269" s="51"/>
      <c r="K269" s="55">
        <v>45772.0</v>
      </c>
      <c r="L269" s="48">
        <v>2025.0</v>
      </c>
      <c r="M269" s="55">
        <v>46137.0</v>
      </c>
      <c r="N269" s="48" t="str">
        <f t="shared" si="2"/>
        <v>2026</v>
      </c>
      <c r="O269" s="58">
        <f t="shared" si="5"/>
        <v>365</v>
      </c>
      <c r="P269" s="58">
        <f t="shared" si="4"/>
        <v>1</v>
      </c>
      <c r="Q269" s="51"/>
      <c r="R269" s="51"/>
      <c r="S269" s="51"/>
      <c r="T269" s="45" t="s">
        <v>233</v>
      </c>
      <c r="U269" s="45" t="s">
        <v>1244</v>
      </c>
      <c r="V269" s="51"/>
      <c r="W269" s="45" t="s">
        <v>3147</v>
      </c>
      <c r="X269" s="51"/>
      <c r="Y269" s="45" t="s">
        <v>3148</v>
      </c>
      <c r="Z269" s="51"/>
      <c r="AA269" s="45" t="s">
        <v>3149</v>
      </c>
      <c r="AB269" s="72"/>
      <c r="AC269" s="64" t="s">
        <v>820</v>
      </c>
      <c r="AD269" s="51"/>
      <c r="AE269" s="64" t="s">
        <v>3150</v>
      </c>
    </row>
    <row r="270">
      <c r="A270" s="23" t="s">
        <v>64</v>
      </c>
      <c r="B270" s="23" t="s">
        <v>67</v>
      </c>
      <c r="C270" s="23" t="s">
        <v>3151</v>
      </c>
      <c r="D270" s="23" t="s">
        <v>3152</v>
      </c>
      <c r="E270" s="23" t="s">
        <v>3153</v>
      </c>
      <c r="F270" s="26">
        <v>792.0</v>
      </c>
      <c r="G270" s="26">
        <v>600608.0</v>
      </c>
      <c r="H270" s="23" t="s">
        <v>2995</v>
      </c>
      <c r="I270" s="23" t="s">
        <v>226</v>
      </c>
      <c r="J270" s="23" t="s">
        <v>1372</v>
      </c>
      <c r="K270" s="29">
        <v>45740.0</v>
      </c>
      <c r="L270" s="26">
        <v>2025.0</v>
      </c>
      <c r="M270" s="29">
        <v>45801.0</v>
      </c>
      <c r="N270" s="26" t="str">
        <f t="shared" si="2"/>
        <v>2025</v>
      </c>
      <c r="O270" s="36">
        <f t="shared" si="5"/>
        <v>61</v>
      </c>
      <c r="P270" s="36">
        <f t="shared" si="4"/>
        <v>0</v>
      </c>
      <c r="Q270" s="23" t="s">
        <v>150</v>
      </c>
      <c r="R270" s="27"/>
      <c r="S270" s="27"/>
      <c r="T270" s="23" t="s">
        <v>233</v>
      </c>
      <c r="U270" s="23" t="s">
        <v>1244</v>
      </c>
      <c r="V270" s="23" t="s">
        <v>2983</v>
      </c>
      <c r="W270" s="23" t="s">
        <v>3155</v>
      </c>
      <c r="X270" s="27"/>
      <c r="Y270" s="27"/>
      <c r="Z270" s="27"/>
      <c r="AA270" s="27"/>
      <c r="AB270" s="44"/>
      <c r="AC270" s="76" t="s">
        <v>777</v>
      </c>
      <c r="AD270" s="27"/>
      <c r="AE270" s="76" t="s">
        <v>336</v>
      </c>
    </row>
    <row r="271">
      <c r="A271" s="45" t="s">
        <v>64</v>
      </c>
      <c r="B271" s="45" t="s">
        <v>19</v>
      </c>
      <c r="C271" s="45" t="s">
        <v>47</v>
      </c>
      <c r="D271" s="45" t="s">
        <v>3156</v>
      </c>
      <c r="E271" s="142" t="s">
        <v>3157</v>
      </c>
      <c r="F271" s="48">
        <v>796.0</v>
      </c>
      <c r="G271" s="48">
        <v>600448.0</v>
      </c>
      <c r="H271" s="45" t="s">
        <v>187</v>
      </c>
      <c r="I271" s="45" t="s">
        <v>84</v>
      </c>
      <c r="J271" s="45" t="s">
        <v>1632</v>
      </c>
      <c r="K271" s="55">
        <v>45744.0</v>
      </c>
      <c r="L271" s="48">
        <v>2025.0</v>
      </c>
      <c r="M271" s="55">
        <v>46109.0</v>
      </c>
      <c r="N271" s="48" t="str">
        <f t="shared" si="2"/>
        <v>2026</v>
      </c>
      <c r="O271" s="58">
        <f t="shared" si="5"/>
        <v>365</v>
      </c>
      <c r="P271" s="58">
        <f t="shared" si="4"/>
        <v>1</v>
      </c>
      <c r="Q271" s="45" t="s">
        <v>150</v>
      </c>
      <c r="R271" s="51"/>
      <c r="S271" s="45" t="s">
        <v>113</v>
      </c>
      <c r="T271" s="45" t="s">
        <v>84</v>
      </c>
      <c r="U271" s="45" t="s">
        <v>1352</v>
      </c>
      <c r="V271" s="45" t="s">
        <v>3162</v>
      </c>
      <c r="W271" s="142" t="s">
        <v>3163</v>
      </c>
      <c r="X271" s="142" t="s">
        <v>3166</v>
      </c>
      <c r="Y271" s="51"/>
      <c r="Z271" s="51"/>
      <c r="AA271" s="51"/>
      <c r="AB271" s="72"/>
      <c r="AC271" s="64" t="s">
        <v>354</v>
      </c>
      <c r="AD271" s="64" t="s">
        <v>261</v>
      </c>
      <c r="AE271" s="64" t="s">
        <v>2545</v>
      </c>
    </row>
    <row r="272">
      <c r="A272" s="23" t="s">
        <v>64</v>
      </c>
      <c r="B272" s="23" t="s">
        <v>67</v>
      </c>
      <c r="C272" s="23" t="s">
        <v>3167</v>
      </c>
      <c r="D272" s="23" t="s">
        <v>3168</v>
      </c>
      <c r="E272" s="23" t="s">
        <v>3169</v>
      </c>
      <c r="F272" s="26">
        <v>797.0</v>
      </c>
      <c r="G272" s="26">
        <v>600612.0</v>
      </c>
      <c r="H272" s="23" t="s">
        <v>2979</v>
      </c>
      <c r="I272" s="23" t="s">
        <v>84</v>
      </c>
      <c r="J272" s="23" t="s">
        <v>1632</v>
      </c>
      <c r="K272" s="29">
        <v>45755.0</v>
      </c>
      <c r="L272" s="26">
        <v>2025.0</v>
      </c>
      <c r="M272" s="29">
        <v>45785.0</v>
      </c>
      <c r="N272" s="26" t="str">
        <f t="shared" si="2"/>
        <v>2025</v>
      </c>
      <c r="O272" s="36">
        <f t="shared" si="5"/>
        <v>30</v>
      </c>
      <c r="P272" s="36">
        <f t="shared" si="4"/>
        <v>0</v>
      </c>
      <c r="Q272" s="23" t="s">
        <v>150</v>
      </c>
      <c r="R272" s="27"/>
      <c r="S272" s="27"/>
      <c r="T272" s="23" t="s">
        <v>84</v>
      </c>
      <c r="U272" s="23" t="s">
        <v>790</v>
      </c>
      <c r="V272" s="23" t="s">
        <v>2983</v>
      </c>
      <c r="W272" s="23" t="s">
        <v>3171</v>
      </c>
      <c r="X272" s="27"/>
      <c r="Y272" s="27"/>
      <c r="Z272" s="27"/>
      <c r="AA272" s="27"/>
      <c r="AB272" s="44"/>
      <c r="AC272" s="76" t="s">
        <v>777</v>
      </c>
      <c r="AD272" s="27"/>
      <c r="AE272" s="76" t="s">
        <v>336</v>
      </c>
    </row>
    <row r="273">
      <c r="A273" s="45" t="s">
        <v>64</v>
      </c>
      <c r="B273" s="45" t="s">
        <v>19</v>
      </c>
      <c r="C273" s="45" t="s">
        <v>3172</v>
      </c>
      <c r="D273" s="45" t="s">
        <v>3173</v>
      </c>
      <c r="E273" s="45" t="s">
        <v>2578</v>
      </c>
      <c r="F273" s="48">
        <v>806.0</v>
      </c>
      <c r="G273" s="51"/>
      <c r="H273" s="45" t="s">
        <v>187</v>
      </c>
      <c r="I273" s="53"/>
      <c r="J273" s="51"/>
      <c r="K273" s="53"/>
      <c r="L273" s="48">
        <v>2025.0</v>
      </c>
      <c r="M273" s="53"/>
      <c r="N273" s="51" t="str">
        <f t="shared" si="2"/>
        <v/>
      </c>
      <c r="O273" s="58">
        <f t="shared" si="5"/>
        <v>0</v>
      </c>
      <c r="P273" s="58">
        <f t="shared" si="4"/>
        <v>0</v>
      </c>
      <c r="Q273" s="51"/>
      <c r="R273" s="51"/>
      <c r="S273" s="51"/>
      <c r="T273" s="45" t="s">
        <v>233</v>
      </c>
      <c r="U273" s="45" t="s">
        <v>1244</v>
      </c>
      <c r="V273" s="51"/>
      <c r="W273" s="45" t="s">
        <v>3178</v>
      </c>
      <c r="X273" s="51"/>
      <c r="Y273" s="45" t="s">
        <v>3148</v>
      </c>
      <c r="Z273" s="51"/>
      <c r="AA273" s="45" t="s">
        <v>3149</v>
      </c>
      <c r="AB273" s="72"/>
      <c r="AC273" s="64" t="s">
        <v>820</v>
      </c>
      <c r="AD273" s="51"/>
      <c r="AE273" s="64" t="s">
        <v>3150</v>
      </c>
    </row>
    <row r="274">
      <c r="A274" s="23" t="s">
        <v>64</v>
      </c>
      <c r="B274" s="23" t="s">
        <v>67</v>
      </c>
      <c r="C274" s="23" t="s">
        <v>112</v>
      </c>
      <c r="D274" s="23" t="s">
        <v>3180</v>
      </c>
      <c r="E274" s="23" t="s">
        <v>497</v>
      </c>
      <c r="F274" s="27"/>
      <c r="G274" s="27"/>
      <c r="H274" s="23" t="s">
        <v>2995</v>
      </c>
      <c r="I274" s="88"/>
      <c r="J274" s="27"/>
      <c r="K274" s="29">
        <v>45761.0</v>
      </c>
      <c r="L274" s="26">
        <v>2025.0</v>
      </c>
      <c r="M274" s="29">
        <v>45764.0</v>
      </c>
      <c r="N274" s="26" t="str">
        <f t="shared" si="2"/>
        <v>2025</v>
      </c>
      <c r="O274" s="36">
        <f t="shared" si="5"/>
        <v>3</v>
      </c>
      <c r="P274" s="36">
        <f t="shared" si="4"/>
        <v>0</v>
      </c>
      <c r="Q274" s="23" t="s">
        <v>150</v>
      </c>
      <c r="R274" s="27"/>
      <c r="S274" s="27"/>
      <c r="T274" s="23" t="s">
        <v>233</v>
      </c>
      <c r="U274" s="23" t="s">
        <v>790</v>
      </c>
      <c r="V274" s="23" t="s">
        <v>3182</v>
      </c>
      <c r="W274" s="27"/>
      <c r="X274" s="27"/>
      <c r="Y274" s="27"/>
      <c r="Z274" s="27"/>
      <c r="AA274" s="27"/>
      <c r="AB274" s="44"/>
      <c r="AC274" s="76" t="s">
        <v>162</v>
      </c>
      <c r="AD274" s="76" t="s">
        <v>261</v>
      </c>
      <c r="AE274" s="76" t="s">
        <v>162</v>
      </c>
    </row>
    <row r="275">
      <c r="A275" s="45" t="s">
        <v>64</v>
      </c>
      <c r="B275" s="45" t="s">
        <v>19</v>
      </c>
      <c r="C275" s="45" t="s">
        <v>3183</v>
      </c>
      <c r="D275" s="45" t="s">
        <v>3184</v>
      </c>
      <c r="E275" s="45" t="s">
        <v>3185</v>
      </c>
      <c r="F275" s="48">
        <v>800.0</v>
      </c>
      <c r="G275" s="48">
        <v>600615.0</v>
      </c>
      <c r="H275" s="45" t="s">
        <v>1392</v>
      </c>
      <c r="I275" s="45" t="s">
        <v>1148</v>
      </c>
      <c r="J275" s="45" t="s">
        <v>782</v>
      </c>
      <c r="K275" s="55">
        <v>45761.0</v>
      </c>
      <c r="L275" s="48">
        <v>2025.0</v>
      </c>
      <c r="M275" s="55">
        <v>46126.0</v>
      </c>
      <c r="N275" s="48" t="str">
        <f t="shared" si="2"/>
        <v>2026</v>
      </c>
      <c r="O275" s="58">
        <f t="shared" si="5"/>
        <v>365</v>
      </c>
      <c r="P275" s="58">
        <f t="shared" si="4"/>
        <v>1</v>
      </c>
      <c r="Q275" s="45" t="s">
        <v>150</v>
      </c>
      <c r="R275" s="51"/>
      <c r="S275" s="45" t="s">
        <v>113</v>
      </c>
      <c r="T275" s="45" t="s">
        <v>146</v>
      </c>
      <c r="U275" s="45" t="s">
        <v>790</v>
      </c>
      <c r="V275" s="45" t="s">
        <v>104</v>
      </c>
      <c r="W275" s="45" t="s">
        <v>3187</v>
      </c>
      <c r="X275" s="45" t="s">
        <v>3187</v>
      </c>
      <c r="Y275" s="45" t="s">
        <v>3188</v>
      </c>
      <c r="Z275" s="51"/>
      <c r="AA275" s="51"/>
      <c r="AB275" s="72"/>
      <c r="AC275" s="64" t="s">
        <v>777</v>
      </c>
      <c r="AD275" s="64" t="s">
        <v>261</v>
      </c>
      <c r="AE275" s="64" t="s">
        <v>124</v>
      </c>
    </row>
    <row r="276">
      <c r="A276" s="23" t="s">
        <v>64</v>
      </c>
      <c r="B276" s="23" t="s">
        <v>19</v>
      </c>
      <c r="C276" s="23" t="s">
        <v>3189</v>
      </c>
      <c r="D276" s="23" t="s">
        <v>3190</v>
      </c>
      <c r="E276" s="23" t="s">
        <v>3191</v>
      </c>
      <c r="F276" s="26">
        <v>816.0</v>
      </c>
      <c r="G276" s="26">
        <v>600627.0</v>
      </c>
      <c r="H276" s="23" t="s">
        <v>2132</v>
      </c>
      <c r="I276" s="88"/>
      <c r="J276" s="27"/>
      <c r="K276" s="29">
        <v>45786.0</v>
      </c>
      <c r="L276" s="26">
        <v>2025.0</v>
      </c>
      <c r="M276" s="29">
        <v>46151.0</v>
      </c>
      <c r="N276" s="26" t="str">
        <f t="shared" si="2"/>
        <v>2026</v>
      </c>
      <c r="O276" s="36">
        <f t="shared" si="5"/>
        <v>365</v>
      </c>
      <c r="P276" s="36">
        <f t="shared" si="4"/>
        <v>1</v>
      </c>
      <c r="Q276" s="23" t="s">
        <v>150</v>
      </c>
      <c r="R276" s="27"/>
      <c r="S276" s="27"/>
      <c r="T276" s="23" t="s">
        <v>84</v>
      </c>
      <c r="U276" s="23" t="s">
        <v>1244</v>
      </c>
      <c r="V276" s="23" t="s">
        <v>104</v>
      </c>
      <c r="W276" s="144" t="s">
        <v>3196</v>
      </c>
      <c r="X276" s="144" t="s">
        <v>3200</v>
      </c>
      <c r="Y276" s="27"/>
      <c r="Z276" s="27"/>
      <c r="AA276" s="27"/>
      <c r="AB276" s="44"/>
      <c r="AC276" s="76" t="s">
        <v>820</v>
      </c>
      <c r="AD276" s="27"/>
      <c r="AE276" s="76" t="s">
        <v>124</v>
      </c>
    </row>
    <row r="277">
      <c r="A277" s="45" t="s">
        <v>64</v>
      </c>
      <c r="B277" s="45" t="s">
        <v>19</v>
      </c>
      <c r="C277" s="45" t="s">
        <v>3205</v>
      </c>
      <c r="D277" s="45" t="s">
        <v>3206</v>
      </c>
      <c r="E277" s="45" t="s">
        <v>3208</v>
      </c>
      <c r="F277" s="48">
        <v>822.0</v>
      </c>
      <c r="G277" s="51"/>
      <c r="H277" s="45" t="s">
        <v>2132</v>
      </c>
      <c r="I277" s="45" t="s">
        <v>226</v>
      </c>
      <c r="J277" s="45" t="s">
        <v>1372</v>
      </c>
      <c r="K277" s="55">
        <v>45797.0</v>
      </c>
      <c r="L277" s="48" t="str">
        <f>right(K277,4)</f>
        <v>2025</v>
      </c>
      <c r="M277" s="55">
        <v>45883.0</v>
      </c>
      <c r="N277" s="48" t="str">
        <f t="shared" si="2"/>
        <v>2025</v>
      </c>
      <c r="O277" s="58">
        <f t="shared" si="5"/>
        <v>86</v>
      </c>
      <c r="P277" s="58">
        <f t="shared" si="4"/>
        <v>0</v>
      </c>
      <c r="Q277" s="45" t="s">
        <v>150</v>
      </c>
      <c r="R277" s="51"/>
      <c r="S277" s="51"/>
      <c r="T277" s="45" t="s">
        <v>233</v>
      </c>
      <c r="U277" s="45" t="s">
        <v>1244</v>
      </c>
      <c r="V277" s="45" t="s">
        <v>104</v>
      </c>
      <c r="W277" s="142" t="s">
        <v>3213</v>
      </c>
      <c r="X277" s="142" t="s">
        <v>3214</v>
      </c>
      <c r="Y277" s="51"/>
      <c r="Z277" s="51"/>
      <c r="AA277" s="51"/>
      <c r="AB277" s="72"/>
      <c r="AC277" s="64" t="s">
        <v>820</v>
      </c>
      <c r="AD277" s="64" t="s">
        <v>2816</v>
      </c>
      <c r="AE277" s="64" t="s">
        <v>476</v>
      </c>
    </row>
    <row r="278">
      <c r="A278" s="23" t="s">
        <v>64</v>
      </c>
      <c r="B278" s="23" t="s">
        <v>67</v>
      </c>
      <c r="C278" s="23" t="s">
        <v>3216</v>
      </c>
      <c r="D278" s="23" t="s">
        <v>3217</v>
      </c>
      <c r="E278" s="23" t="s">
        <v>3218</v>
      </c>
      <c r="F278" s="26">
        <v>809.0</v>
      </c>
      <c r="G278" s="26">
        <v>600622.0</v>
      </c>
      <c r="H278" s="23" t="s">
        <v>2979</v>
      </c>
      <c r="I278" s="23" t="s">
        <v>84</v>
      </c>
      <c r="J278" s="27"/>
      <c r="K278" s="29">
        <v>45775.0</v>
      </c>
      <c r="L278" s="26">
        <v>2025.0</v>
      </c>
      <c r="M278" s="29">
        <v>45804.0</v>
      </c>
      <c r="N278" s="26" t="str">
        <f t="shared" si="2"/>
        <v>2025</v>
      </c>
      <c r="O278" s="36">
        <f t="shared" si="5"/>
        <v>29</v>
      </c>
      <c r="P278" s="36">
        <f t="shared" si="4"/>
        <v>0</v>
      </c>
      <c r="Q278" s="23" t="s">
        <v>150</v>
      </c>
      <c r="R278" s="27"/>
      <c r="S278" s="27"/>
      <c r="T278" s="23" t="s">
        <v>84</v>
      </c>
      <c r="U278" s="23" t="s">
        <v>1244</v>
      </c>
      <c r="V278" s="23" t="s">
        <v>1272</v>
      </c>
      <c r="W278" s="23" t="s">
        <v>3223</v>
      </c>
      <c r="X278" s="23" t="s">
        <v>2419</v>
      </c>
      <c r="Y278" s="27"/>
      <c r="Z278" s="27"/>
      <c r="AA278" s="27"/>
      <c r="AB278" s="44"/>
      <c r="AC278" s="76" t="s">
        <v>777</v>
      </c>
      <c r="AD278" s="27"/>
      <c r="AE278" s="76" t="s">
        <v>3225</v>
      </c>
    </row>
    <row r="279">
      <c r="A279" s="45" t="s">
        <v>64</v>
      </c>
      <c r="B279" s="45" t="s">
        <v>67</v>
      </c>
      <c r="C279" s="45" t="s">
        <v>3227</v>
      </c>
      <c r="D279" s="45" t="s">
        <v>3228</v>
      </c>
      <c r="E279" s="45" t="s">
        <v>3229</v>
      </c>
      <c r="F279" s="48">
        <v>810.0</v>
      </c>
      <c r="G279" s="51"/>
      <c r="H279" s="45" t="s">
        <v>2979</v>
      </c>
      <c r="I279" s="45" t="s">
        <v>84</v>
      </c>
      <c r="J279" s="51"/>
      <c r="K279" s="55">
        <v>45776.0</v>
      </c>
      <c r="L279" s="48">
        <v>2025.0</v>
      </c>
      <c r="M279" s="55">
        <v>45805.0</v>
      </c>
      <c r="N279" s="48" t="str">
        <f t="shared" si="2"/>
        <v>2025</v>
      </c>
      <c r="O279" s="58">
        <f t="shared" si="5"/>
        <v>29</v>
      </c>
      <c r="P279" s="58">
        <f t="shared" si="4"/>
        <v>0</v>
      </c>
      <c r="Q279" s="45" t="s">
        <v>150</v>
      </c>
      <c r="R279" s="51"/>
      <c r="S279" s="51"/>
      <c r="T279" s="45" t="s">
        <v>84</v>
      </c>
      <c r="U279" s="45" t="s">
        <v>1244</v>
      </c>
      <c r="V279" s="45" t="s">
        <v>3238</v>
      </c>
      <c r="W279" s="45" t="s">
        <v>3239</v>
      </c>
      <c r="X279" s="45" t="s">
        <v>3239</v>
      </c>
      <c r="Y279" s="51"/>
      <c r="Z279" s="51"/>
      <c r="AA279" s="51"/>
      <c r="AB279" s="72"/>
      <c r="AC279" s="64" t="s">
        <v>162</v>
      </c>
      <c r="AD279" s="51"/>
      <c r="AE279" s="64" t="s">
        <v>3225</v>
      </c>
    </row>
    <row r="280">
      <c r="A280" s="23" t="s">
        <v>64</v>
      </c>
      <c r="B280" s="23" t="s">
        <v>19</v>
      </c>
      <c r="C280" s="23" t="s">
        <v>3240</v>
      </c>
      <c r="D280" s="23" t="s">
        <v>3242</v>
      </c>
      <c r="E280" s="23" t="s">
        <v>2807</v>
      </c>
      <c r="F280" s="26">
        <v>811.0</v>
      </c>
      <c r="G280" s="26">
        <v>600624.0</v>
      </c>
      <c r="H280" s="23" t="s">
        <v>1392</v>
      </c>
      <c r="I280" s="23" t="s">
        <v>84</v>
      </c>
      <c r="J280" s="23" t="s">
        <v>1525</v>
      </c>
      <c r="K280" s="29">
        <v>45776.0</v>
      </c>
      <c r="L280" s="26">
        <v>2025.0</v>
      </c>
      <c r="M280" s="29">
        <v>46140.0</v>
      </c>
      <c r="N280" s="26" t="str">
        <f t="shared" si="2"/>
        <v>2026</v>
      </c>
      <c r="O280" s="36">
        <f t="shared" si="5"/>
        <v>364</v>
      </c>
      <c r="P280" s="36">
        <f t="shared" si="4"/>
        <v>0</v>
      </c>
      <c r="Q280" s="23" t="s">
        <v>150</v>
      </c>
      <c r="R280" s="27"/>
      <c r="S280" s="23" t="s">
        <v>113</v>
      </c>
      <c r="T280" s="23" t="s">
        <v>84</v>
      </c>
      <c r="U280" s="23" t="s">
        <v>1244</v>
      </c>
      <c r="V280" s="23" t="s">
        <v>104</v>
      </c>
      <c r="W280" s="23" t="s">
        <v>3246</v>
      </c>
      <c r="X280" s="23" t="s">
        <v>3246</v>
      </c>
      <c r="Y280" s="23" t="s">
        <v>3247</v>
      </c>
      <c r="Z280" s="27"/>
      <c r="AA280" s="27"/>
      <c r="AB280" s="44"/>
      <c r="AC280" s="76" t="s">
        <v>777</v>
      </c>
      <c r="AD280" s="27"/>
      <c r="AE280" s="76" t="s">
        <v>476</v>
      </c>
    </row>
    <row r="281">
      <c r="A281" s="45" t="s">
        <v>64</v>
      </c>
      <c r="B281" s="45" t="s">
        <v>67</v>
      </c>
      <c r="C281" s="45" t="s">
        <v>3251</v>
      </c>
      <c r="D281" s="45" t="s">
        <v>3252</v>
      </c>
      <c r="E281" s="45" t="s">
        <v>2994</v>
      </c>
      <c r="F281" s="48">
        <v>824.0</v>
      </c>
      <c r="G281" s="51"/>
      <c r="H281" s="45" t="s">
        <v>1392</v>
      </c>
      <c r="I281" s="53"/>
      <c r="J281" s="51"/>
      <c r="K281" s="55">
        <v>45805.0</v>
      </c>
      <c r="L281" s="48" t="str">
        <f t="shared" ref="L281:L282" si="9">right(K281,4)</f>
        <v>2025</v>
      </c>
      <c r="M281" s="55">
        <v>45838.0</v>
      </c>
      <c r="N281" s="48" t="str">
        <f t="shared" si="2"/>
        <v>2025</v>
      </c>
      <c r="O281" s="58">
        <f t="shared" si="5"/>
        <v>33</v>
      </c>
      <c r="P281" s="58">
        <f t="shared" si="4"/>
        <v>0</v>
      </c>
      <c r="Q281" s="45" t="s">
        <v>150</v>
      </c>
      <c r="R281" s="51"/>
      <c r="S281" s="51"/>
      <c r="T281" s="51"/>
      <c r="U281" s="51"/>
      <c r="V281" s="45" t="s">
        <v>2983</v>
      </c>
      <c r="W281" s="142" t="s">
        <v>3257</v>
      </c>
      <c r="X281" s="142" t="s">
        <v>3264</v>
      </c>
      <c r="Y281" s="51"/>
      <c r="Z281" s="51"/>
      <c r="AA281" s="51"/>
      <c r="AB281" s="72"/>
      <c r="AC281" s="64" t="s">
        <v>820</v>
      </c>
      <c r="AD281" s="51"/>
      <c r="AE281" s="64" t="s">
        <v>124</v>
      </c>
    </row>
    <row r="282">
      <c r="A282" s="23" t="s">
        <v>64</v>
      </c>
      <c r="B282" s="23" t="s">
        <v>19</v>
      </c>
      <c r="C282" s="23" t="s">
        <v>3268</v>
      </c>
      <c r="D282" s="23" t="s">
        <v>3270</v>
      </c>
      <c r="E282" s="23" t="s">
        <v>3271</v>
      </c>
      <c r="F282" s="26">
        <v>828.0</v>
      </c>
      <c r="G282" s="26">
        <v>600640.0</v>
      </c>
      <c r="H282" s="23" t="s">
        <v>2132</v>
      </c>
      <c r="I282" s="23" t="s">
        <v>3273</v>
      </c>
      <c r="J282" s="23" t="s">
        <v>782</v>
      </c>
      <c r="K282" s="29">
        <v>45814.0</v>
      </c>
      <c r="L282" s="26" t="str">
        <f t="shared" si="9"/>
        <v>2025</v>
      </c>
      <c r="M282" s="29">
        <v>46568.0</v>
      </c>
      <c r="N282" s="26" t="str">
        <f t="shared" si="2"/>
        <v>2027</v>
      </c>
      <c r="O282" s="36">
        <f t="shared" si="5"/>
        <v>754</v>
      </c>
      <c r="P282" s="36">
        <f t="shared" si="4"/>
        <v>2</v>
      </c>
      <c r="Q282" s="23" t="s">
        <v>150</v>
      </c>
      <c r="R282" s="27"/>
      <c r="S282" s="27"/>
      <c r="T282" s="27"/>
      <c r="U282" s="27"/>
      <c r="V282" s="23" t="s">
        <v>104</v>
      </c>
      <c r="W282" s="23" t="s">
        <v>3277</v>
      </c>
      <c r="X282" s="23" t="s">
        <v>3277</v>
      </c>
      <c r="Y282" s="27"/>
      <c r="Z282" s="27"/>
      <c r="AA282" s="27"/>
      <c r="AB282" s="44"/>
      <c r="AC282" s="76" t="s">
        <v>820</v>
      </c>
      <c r="AD282" s="76" t="s">
        <v>261</v>
      </c>
      <c r="AE282" s="76" t="s">
        <v>476</v>
      </c>
    </row>
    <row r="283">
      <c r="A283" s="45" t="s">
        <v>64</v>
      </c>
      <c r="B283" s="45" t="s">
        <v>67</v>
      </c>
      <c r="C283" s="45" t="s">
        <v>3278</v>
      </c>
      <c r="D283" s="45" t="s">
        <v>3279</v>
      </c>
      <c r="E283" s="45" t="s">
        <v>3280</v>
      </c>
      <c r="F283" s="48">
        <v>833.0</v>
      </c>
      <c r="G283" s="51"/>
      <c r="H283" s="51"/>
      <c r="I283" s="53"/>
      <c r="J283" s="51"/>
      <c r="K283" s="53"/>
      <c r="L283" s="53"/>
      <c r="M283" s="53"/>
      <c r="N283" s="51" t="str">
        <f t="shared" si="2"/>
        <v/>
      </c>
      <c r="O283" s="58">
        <f t="shared" si="5"/>
        <v>0</v>
      </c>
      <c r="P283" s="58">
        <f t="shared" si="4"/>
        <v>0</v>
      </c>
      <c r="Q283" s="45" t="s">
        <v>150</v>
      </c>
      <c r="R283" s="51"/>
      <c r="S283" s="51"/>
      <c r="T283" s="51"/>
      <c r="U283" s="51"/>
      <c r="V283" s="51"/>
      <c r="W283" s="186" t="s">
        <v>3282</v>
      </c>
      <c r="X283" s="51"/>
      <c r="Y283" s="51"/>
      <c r="Z283" s="51"/>
      <c r="AA283" s="51"/>
      <c r="AB283" s="72"/>
      <c r="AC283" s="64" t="s">
        <v>820</v>
      </c>
      <c r="AD283" s="64" t="s">
        <v>261</v>
      </c>
      <c r="AE283" s="64" t="s">
        <v>124</v>
      </c>
    </row>
    <row r="284">
      <c r="A284" s="23" t="s">
        <v>64</v>
      </c>
      <c r="B284" s="23" t="s">
        <v>19</v>
      </c>
      <c r="C284" s="23" t="s">
        <v>3288</v>
      </c>
      <c r="D284" s="144" t="s">
        <v>3289</v>
      </c>
      <c r="E284" s="144" t="s">
        <v>3290</v>
      </c>
      <c r="F284" s="26">
        <v>817.0</v>
      </c>
      <c r="G284" s="26">
        <v>600629.0</v>
      </c>
      <c r="H284" s="23" t="s">
        <v>1392</v>
      </c>
      <c r="I284" s="88"/>
      <c r="J284" s="27"/>
      <c r="K284" s="29">
        <v>45791.0</v>
      </c>
      <c r="L284" s="26" t="str">
        <f t="shared" ref="L284:L286" si="10">right(K284,4)</f>
        <v>2025</v>
      </c>
      <c r="M284" s="29">
        <v>46156.0</v>
      </c>
      <c r="N284" s="26" t="str">
        <f t="shared" si="2"/>
        <v>2026</v>
      </c>
      <c r="O284" s="36">
        <f t="shared" si="5"/>
        <v>365</v>
      </c>
      <c r="P284" s="36">
        <f t="shared" si="4"/>
        <v>1</v>
      </c>
      <c r="Q284" s="23" t="s">
        <v>150</v>
      </c>
      <c r="R284" s="27"/>
      <c r="S284" s="27"/>
      <c r="T284" s="27"/>
      <c r="U284" s="27"/>
      <c r="V284" s="27"/>
      <c r="W284" s="144" t="s">
        <v>3293</v>
      </c>
      <c r="X284" s="144" t="s">
        <v>3299</v>
      </c>
      <c r="Y284" s="27"/>
      <c r="Z284" s="27"/>
      <c r="AA284" s="27"/>
      <c r="AB284" s="44"/>
      <c r="AC284" s="76" t="s">
        <v>354</v>
      </c>
      <c r="AD284" s="76" t="s">
        <v>261</v>
      </c>
      <c r="AE284" s="76" t="s">
        <v>124</v>
      </c>
    </row>
    <row r="285">
      <c r="A285" s="45" t="s">
        <v>407</v>
      </c>
      <c r="B285" s="45" t="s">
        <v>19</v>
      </c>
      <c r="C285" s="45" t="s">
        <v>872</v>
      </c>
      <c r="D285" s="142" t="s">
        <v>3301</v>
      </c>
      <c r="E285" s="142" t="s">
        <v>3302</v>
      </c>
      <c r="F285" s="48">
        <v>819.0</v>
      </c>
      <c r="G285" s="48">
        <v>11321.0</v>
      </c>
      <c r="H285" s="45" t="s">
        <v>1392</v>
      </c>
      <c r="I285" s="53"/>
      <c r="J285" s="51"/>
      <c r="K285" s="55">
        <v>45796.0</v>
      </c>
      <c r="L285" s="48" t="str">
        <f t="shared" si="10"/>
        <v>2025</v>
      </c>
      <c r="M285" s="55">
        <v>46161.0</v>
      </c>
      <c r="N285" s="48" t="str">
        <f t="shared" si="2"/>
        <v>2026</v>
      </c>
      <c r="O285" s="58">
        <f t="shared" si="5"/>
        <v>365</v>
      </c>
      <c r="P285" s="58">
        <f t="shared" si="4"/>
        <v>1</v>
      </c>
      <c r="Q285" s="45" t="s">
        <v>150</v>
      </c>
      <c r="R285" s="51"/>
      <c r="S285" s="51"/>
      <c r="T285" s="51"/>
      <c r="U285" s="51"/>
      <c r="V285" s="51"/>
      <c r="W285" s="45" t="s">
        <v>3309</v>
      </c>
      <c r="X285" s="45" t="s">
        <v>3309</v>
      </c>
      <c r="Y285" s="51"/>
      <c r="Z285" s="51"/>
      <c r="AA285" s="51"/>
      <c r="AB285" s="72"/>
      <c r="AC285" s="64" t="s">
        <v>354</v>
      </c>
      <c r="AD285" s="51"/>
      <c r="AE285" s="64" t="s">
        <v>3311</v>
      </c>
    </row>
    <row r="286">
      <c r="A286" s="23" t="s">
        <v>64</v>
      </c>
      <c r="B286" s="23" t="s">
        <v>19</v>
      </c>
      <c r="C286" s="23" t="s">
        <v>3167</v>
      </c>
      <c r="D286" s="144" t="s">
        <v>3312</v>
      </c>
      <c r="E286" s="144" t="s">
        <v>3313</v>
      </c>
      <c r="F286" s="26">
        <v>825.0</v>
      </c>
      <c r="G286" s="26">
        <v>600636.0</v>
      </c>
      <c r="H286" s="23" t="s">
        <v>1392</v>
      </c>
      <c r="I286" s="88"/>
      <c r="J286" s="27"/>
      <c r="K286" s="29">
        <v>45806.0</v>
      </c>
      <c r="L286" s="26" t="str">
        <f t="shared" si="10"/>
        <v>2025</v>
      </c>
      <c r="M286" s="29">
        <v>46171.0</v>
      </c>
      <c r="N286" s="26" t="str">
        <f t="shared" si="2"/>
        <v>2026</v>
      </c>
      <c r="O286" s="36">
        <f t="shared" si="5"/>
        <v>365</v>
      </c>
      <c r="P286" s="36">
        <f t="shared" si="4"/>
        <v>1</v>
      </c>
      <c r="Q286" s="23" t="s">
        <v>150</v>
      </c>
      <c r="R286" s="27"/>
      <c r="S286" s="27"/>
      <c r="T286" s="27"/>
      <c r="U286" s="27"/>
      <c r="V286" s="27"/>
      <c r="W286" s="144" t="s">
        <v>3320</v>
      </c>
      <c r="X286" s="144" t="s">
        <v>3322</v>
      </c>
      <c r="Y286" s="27"/>
      <c r="Z286" s="27"/>
      <c r="AA286" s="27"/>
      <c r="AB286" s="44"/>
      <c r="AC286" s="76" t="s">
        <v>354</v>
      </c>
      <c r="AD286" s="76" t="s">
        <v>261</v>
      </c>
      <c r="AE286" s="76" t="s">
        <v>124</v>
      </c>
    </row>
    <row r="287">
      <c r="A287" s="45" t="s">
        <v>64</v>
      </c>
      <c r="B287" s="45" t="s">
        <v>19</v>
      </c>
      <c r="C287" s="45" t="s">
        <v>3326</v>
      </c>
      <c r="D287" s="45" t="s">
        <v>3328</v>
      </c>
      <c r="E287" s="45" t="s">
        <v>3329</v>
      </c>
      <c r="F287" s="48">
        <v>846.0</v>
      </c>
      <c r="G287" s="51"/>
      <c r="H287" s="45" t="s">
        <v>2132</v>
      </c>
      <c r="I287" s="53"/>
      <c r="J287" s="51"/>
      <c r="K287" s="55">
        <v>45867.0</v>
      </c>
      <c r="L287" s="48">
        <v>2025.0</v>
      </c>
      <c r="M287" s="55">
        <v>45961.0</v>
      </c>
      <c r="N287" s="48" t="str">
        <f t="shared" si="2"/>
        <v>2025</v>
      </c>
      <c r="O287" s="58">
        <f t="shared" si="5"/>
        <v>94</v>
      </c>
      <c r="P287" s="58">
        <f t="shared" si="4"/>
        <v>0</v>
      </c>
      <c r="Q287" s="45" t="s">
        <v>150</v>
      </c>
      <c r="R287" s="51"/>
      <c r="S287" s="51"/>
      <c r="T287" s="45" t="s">
        <v>233</v>
      </c>
      <c r="U287" s="45" t="s">
        <v>1244</v>
      </c>
      <c r="V287" s="45" t="s">
        <v>106</v>
      </c>
      <c r="W287" s="45" t="s">
        <v>3332</v>
      </c>
      <c r="X287" s="51"/>
      <c r="Y287" s="51"/>
      <c r="Z287" s="51"/>
      <c r="AA287" s="45" t="s">
        <v>3233</v>
      </c>
      <c r="AB287" s="72"/>
      <c r="AC287" s="64" t="s">
        <v>820</v>
      </c>
      <c r="AD287" s="51"/>
      <c r="AE287" s="64" t="s">
        <v>3333</v>
      </c>
    </row>
    <row r="288">
      <c r="A288" s="23" t="s">
        <v>64</v>
      </c>
      <c r="B288" s="23" t="s">
        <v>19</v>
      </c>
      <c r="C288" s="23" t="s">
        <v>3334</v>
      </c>
      <c r="D288" s="23" t="s">
        <v>3335</v>
      </c>
      <c r="E288" s="23" t="s">
        <v>3336</v>
      </c>
      <c r="F288" s="26">
        <v>830.0</v>
      </c>
      <c r="G288" s="26">
        <v>600551.0</v>
      </c>
      <c r="H288" s="23" t="s">
        <v>1392</v>
      </c>
      <c r="I288" s="23" t="s">
        <v>84</v>
      </c>
      <c r="J288" s="23" t="s">
        <v>740</v>
      </c>
      <c r="K288" s="29">
        <v>45817.0</v>
      </c>
      <c r="L288" s="26" t="str">
        <f>right(K288,4)</f>
        <v>2025</v>
      </c>
      <c r="M288" s="29">
        <v>46175.0</v>
      </c>
      <c r="N288" s="26" t="str">
        <f t="shared" si="2"/>
        <v>2026</v>
      </c>
      <c r="O288" s="36">
        <f t="shared" si="5"/>
        <v>358</v>
      </c>
      <c r="P288" s="36">
        <f t="shared" si="4"/>
        <v>0</v>
      </c>
      <c r="Q288" s="23" t="s">
        <v>150</v>
      </c>
      <c r="R288" s="27"/>
      <c r="S288" s="27"/>
      <c r="T288" s="23" t="s">
        <v>84</v>
      </c>
      <c r="U288" s="23" t="s">
        <v>790</v>
      </c>
      <c r="V288" s="23" t="s">
        <v>104</v>
      </c>
      <c r="W288" s="23" t="s">
        <v>3338</v>
      </c>
      <c r="X288" s="23" t="s">
        <v>3338</v>
      </c>
      <c r="Y288" s="27"/>
      <c r="Z288" s="27"/>
      <c r="AA288" s="27"/>
      <c r="AB288" s="44"/>
      <c r="AC288" s="76" t="s">
        <v>777</v>
      </c>
      <c r="AD288" s="76" t="s">
        <v>123</v>
      </c>
      <c r="AE288" s="76" t="s">
        <v>124</v>
      </c>
    </row>
    <row r="289">
      <c r="A289" s="45" t="s">
        <v>64</v>
      </c>
      <c r="B289" s="45" t="s">
        <v>67</v>
      </c>
      <c r="C289" s="45" t="s">
        <v>3340</v>
      </c>
      <c r="D289" s="45" t="s">
        <v>516</v>
      </c>
      <c r="E289" s="45" t="s">
        <v>516</v>
      </c>
      <c r="F289" s="48" t="s">
        <v>516</v>
      </c>
      <c r="G289" s="51"/>
      <c r="H289" s="51"/>
      <c r="I289" s="45" t="s">
        <v>724</v>
      </c>
      <c r="J289" s="45" t="s">
        <v>740</v>
      </c>
      <c r="K289" s="53"/>
      <c r="L289" s="53"/>
      <c r="M289" s="53"/>
      <c r="N289" s="51" t="str">
        <f t="shared" si="2"/>
        <v/>
      </c>
      <c r="O289" s="58">
        <f t="shared" si="5"/>
        <v>0</v>
      </c>
      <c r="P289" s="58">
        <f t="shared" si="4"/>
        <v>0</v>
      </c>
      <c r="Q289" s="45" t="s">
        <v>150</v>
      </c>
      <c r="R289" s="51"/>
      <c r="S289" s="51"/>
      <c r="T289" s="51"/>
      <c r="U289" s="51"/>
      <c r="V289" s="45" t="s">
        <v>104</v>
      </c>
      <c r="W289" s="51"/>
      <c r="X289" s="51"/>
      <c r="Y289" s="51"/>
      <c r="Z289" s="51"/>
      <c r="AA289" s="51"/>
      <c r="AB289" s="72"/>
      <c r="AC289" s="64" t="s">
        <v>777</v>
      </c>
      <c r="AD289" s="64" t="s">
        <v>261</v>
      </c>
      <c r="AE289" s="64" t="s">
        <v>440</v>
      </c>
    </row>
    <row r="290">
      <c r="A290" s="23" t="s">
        <v>64</v>
      </c>
      <c r="B290" s="23" t="s">
        <v>19</v>
      </c>
      <c r="C290" s="23" t="s">
        <v>1082</v>
      </c>
      <c r="D290" s="23" t="s">
        <v>3345</v>
      </c>
      <c r="E290" s="23" t="s">
        <v>3346</v>
      </c>
      <c r="F290" s="26">
        <v>750.0</v>
      </c>
      <c r="G290" s="26">
        <v>600536.0</v>
      </c>
      <c r="H290" s="23" t="s">
        <v>1392</v>
      </c>
      <c r="I290" s="23" t="s">
        <v>1148</v>
      </c>
      <c r="J290" s="23" t="s">
        <v>1525</v>
      </c>
      <c r="K290" s="29">
        <v>45609.0</v>
      </c>
      <c r="L290" s="26">
        <v>2024.0</v>
      </c>
      <c r="M290" s="29">
        <v>45974.0</v>
      </c>
      <c r="N290" s="26" t="str">
        <f t="shared" si="2"/>
        <v>2025</v>
      </c>
      <c r="O290" s="36">
        <f t="shared" si="5"/>
        <v>365</v>
      </c>
      <c r="P290" s="36">
        <f t="shared" si="4"/>
        <v>1</v>
      </c>
      <c r="Q290" s="23" t="s">
        <v>150</v>
      </c>
      <c r="R290" s="27"/>
      <c r="S290" s="27"/>
      <c r="T290" s="23" t="s">
        <v>233</v>
      </c>
      <c r="U290" s="23" t="s">
        <v>1244</v>
      </c>
      <c r="V290" s="23" t="s">
        <v>104</v>
      </c>
      <c r="W290" s="23" t="s">
        <v>3350</v>
      </c>
      <c r="X290" s="27"/>
      <c r="Y290" s="27"/>
      <c r="Z290" s="27"/>
      <c r="AA290" s="27"/>
      <c r="AB290" s="44"/>
      <c r="AC290" s="76" t="s">
        <v>777</v>
      </c>
      <c r="AD290" s="76" t="s">
        <v>123</v>
      </c>
      <c r="AE290" s="76" t="s">
        <v>476</v>
      </c>
    </row>
    <row r="291">
      <c r="A291" s="45" t="s">
        <v>64</v>
      </c>
      <c r="B291" s="45" t="s">
        <v>19</v>
      </c>
      <c r="C291" s="45" t="s">
        <v>3352</v>
      </c>
      <c r="D291" s="45" t="s">
        <v>3353</v>
      </c>
      <c r="E291" s="45" t="s">
        <v>2687</v>
      </c>
      <c r="F291" s="48">
        <v>853.0</v>
      </c>
      <c r="G291" s="48">
        <v>600194.0</v>
      </c>
      <c r="H291" s="45" t="s">
        <v>2676</v>
      </c>
      <c r="I291" s="53"/>
      <c r="J291" s="51"/>
      <c r="K291" s="55">
        <v>45873.0</v>
      </c>
      <c r="L291" s="48">
        <v>2025.0</v>
      </c>
      <c r="M291" s="55">
        <v>46237.0</v>
      </c>
      <c r="N291" s="48" t="str">
        <f t="shared" si="2"/>
        <v>2026</v>
      </c>
      <c r="O291" s="58">
        <f t="shared" si="5"/>
        <v>364</v>
      </c>
      <c r="P291" s="58">
        <f t="shared" si="4"/>
        <v>0</v>
      </c>
      <c r="Q291" s="45" t="s">
        <v>150</v>
      </c>
      <c r="R291" s="51"/>
      <c r="S291" s="51"/>
      <c r="T291" s="45" t="s">
        <v>84</v>
      </c>
      <c r="U291" s="45" t="s">
        <v>790</v>
      </c>
      <c r="V291" s="45" t="s">
        <v>104</v>
      </c>
      <c r="W291" s="142" t="s">
        <v>3355</v>
      </c>
      <c r="X291" s="51"/>
      <c r="Y291" s="51"/>
      <c r="Z291" s="51"/>
      <c r="AA291" s="51"/>
      <c r="AB291" s="72"/>
      <c r="AC291" s="64" t="s">
        <v>820</v>
      </c>
      <c r="AD291" s="64" t="s">
        <v>261</v>
      </c>
      <c r="AE291" s="64" t="s">
        <v>476</v>
      </c>
    </row>
    <row r="292">
      <c r="A292" s="23" t="s">
        <v>64</v>
      </c>
      <c r="B292" s="23" t="s">
        <v>19</v>
      </c>
      <c r="C292" s="23" t="s">
        <v>982</v>
      </c>
      <c r="D292" s="23" t="s">
        <v>3358</v>
      </c>
      <c r="E292" s="144" t="s">
        <v>3359</v>
      </c>
      <c r="F292" s="26">
        <v>834.0</v>
      </c>
      <c r="G292" s="26">
        <v>600648.0</v>
      </c>
      <c r="H292" s="23" t="s">
        <v>2132</v>
      </c>
      <c r="I292" s="88"/>
      <c r="J292" s="27"/>
      <c r="K292" s="29">
        <v>45840.0</v>
      </c>
      <c r="L292" s="26">
        <v>2025.0</v>
      </c>
      <c r="M292" s="29">
        <v>46213.0</v>
      </c>
      <c r="N292" s="26" t="str">
        <f t="shared" si="2"/>
        <v>2026</v>
      </c>
      <c r="O292" s="36">
        <f t="shared" si="5"/>
        <v>373</v>
      </c>
      <c r="P292" s="36">
        <f t="shared" si="4"/>
        <v>1</v>
      </c>
      <c r="Q292" s="23" t="s">
        <v>150</v>
      </c>
      <c r="R292" s="27"/>
      <c r="S292" s="27"/>
      <c r="T292" s="23" t="s">
        <v>146</v>
      </c>
      <c r="U292" s="23" t="s">
        <v>48</v>
      </c>
      <c r="V292" s="23" t="s">
        <v>708</v>
      </c>
      <c r="W292" s="23" t="s">
        <v>3372</v>
      </c>
      <c r="X292" s="23" t="s">
        <v>3372</v>
      </c>
      <c r="Y292" s="27"/>
      <c r="Z292" s="27"/>
      <c r="AA292" s="27"/>
      <c r="AB292" s="44"/>
      <c r="AC292" s="76" t="s">
        <v>354</v>
      </c>
      <c r="AD292" s="76" t="s">
        <v>123</v>
      </c>
      <c r="AE292" s="76" t="s">
        <v>124</v>
      </c>
    </row>
    <row r="293">
      <c r="A293" s="45" t="s">
        <v>64</v>
      </c>
      <c r="B293" s="45" t="s">
        <v>19</v>
      </c>
      <c r="C293" s="45" t="s">
        <v>3378</v>
      </c>
      <c r="D293" s="45" t="s">
        <v>3379</v>
      </c>
      <c r="E293" s="142" t="s">
        <v>3381</v>
      </c>
      <c r="F293" s="48">
        <v>838.0</v>
      </c>
      <c r="G293" s="48">
        <v>600650.0</v>
      </c>
      <c r="H293" s="51"/>
      <c r="I293" s="53"/>
      <c r="J293" s="45" t="s">
        <v>2799</v>
      </c>
      <c r="K293" s="55">
        <v>45847.0</v>
      </c>
      <c r="L293" s="48">
        <v>2025.0</v>
      </c>
      <c r="M293" s="55">
        <v>46218.0</v>
      </c>
      <c r="N293" s="48" t="str">
        <f t="shared" si="2"/>
        <v>2026</v>
      </c>
      <c r="O293" s="58">
        <f t="shared" si="5"/>
        <v>371</v>
      </c>
      <c r="P293" s="58">
        <f t="shared" si="4"/>
        <v>1</v>
      </c>
      <c r="Q293" s="45" t="s">
        <v>150</v>
      </c>
      <c r="R293" s="51"/>
      <c r="S293" s="51"/>
      <c r="T293" s="51"/>
      <c r="U293" s="51"/>
      <c r="V293" s="45" t="s">
        <v>708</v>
      </c>
      <c r="W293" s="142" t="s">
        <v>3397</v>
      </c>
      <c r="X293" s="51"/>
      <c r="Y293" s="51"/>
      <c r="Z293" s="51"/>
      <c r="AA293" s="51"/>
      <c r="AB293" s="72"/>
      <c r="AC293" s="64" t="s">
        <v>354</v>
      </c>
      <c r="AD293" s="64" t="s">
        <v>14</v>
      </c>
      <c r="AE293" s="64" t="s">
        <v>124</v>
      </c>
    </row>
    <row r="294">
      <c r="A294" s="23" t="s">
        <v>64</v>
      </c>
      <c r="B294" s="23" t="s">
        <v>19</v>
      </c>
      <c r="C294" s="23" t="s">
        <v>3409</v>
      </c>
      <c r="D294" s="23" t="s">
        <v>3410</v>
      </c>
      <c r="E294" s="23" t="s">
        <v>3411</v>
      </c>
      <c r="F294" s="26">
        <v>859.0</v>
      </c>
      <c r="G294" s="26">
        <v>600670.0</v>
      </c>
      <c r="H294" s="23" t="s">
        <v>1392</v>
      </c>
      <c r="I294" s="23" t="s">
        <v>84</v>
      </c>
      <c r="J294" s="23" t="s">
        <v>2418</v>
      </c>
      <c r="K294" s="29">
        <v>45877.0</v>
      </c>
      <c r="L294" s="26">
        <v>2025.0</v>
      </c>
      <c r="M294" s="29">
        <v>46249.0</v>
      </c>
      <c r="N294" s="26" t="str">
        <f t="shared" si="2"/>
        <v>2026</v>
      </c>
      <c r="O294" s="36">
        <f t="shared" si="5"/>
        <v>372</v>
      </c>
      <c r="P294" s="36">
        <f t="shared" si="4"/>
        <v>1</v>
      </c>
      <c r="Q294" s="23" t="s">
        <v>150</v>
      </c>
      <c r="R294" s="27"/>
      <c r="S294" s="27"/>
      <c r="T294" s="23" t="s">
        <v>146</v>
      </c>
      <c r="U294" s="23" t="s">
        <v>1244</v>
      </c>
      <c r="V294" s="23" t="s">
        <v>104</v>
      </c>
      <c r="W294" s="23" t="s">
        <v>3416</v>
      </c>
      <c r="X294" s="27"/>
      <c r="Y294" s="27"/>
      <c r="Z294" s="27"/>
      <c r="AA294" s="27"/>
      <c r="AB294" s="44"/>
      <c r="AC294" s="76" t="s">
        <v>820</v>
      </c>
      <c r="AD294" s="76" t="s">
        <v>38</v>
      </c>
      <c r="AE294" s="76" t="s">
        <v>124</v>
      </c>
    </row>
    <row r="295">
      <c r="A295" s="45" t="s">
        <v>64</v>
      </c>
      <c r="B295" s="45" t="s">
        <v>19</v>
      </c>
      <c r="C295" s="45" t="s">
        <v>1644</v>
      </c>
      <c r="D295" s="45" t="s">
        <v>3417</v>
      </c>
      <c r="E295" s="142" t="s">
        <v>3418</v>
      </c>
      <c r="F295" s="48">
        <v>849.0</v>
      </c>
      <c r="G295" s="48">
        <v>600664.0</v>
      </c>
      <c r="H295" s="45" t="s">
        <v>2132</v>
      </c>
      <c r="I295" s="53"/>
      <c r="J295" s="51"/>
      <c r="K295" s="55">
        <v>45870.0</v>
      </c>
      <c r="L295" s="48">
        <v>2025.0</v>
      </c>
      <c r="M295" s="55">
        <v>46239.0</v>
      </c>
      <c r="N295" s="48" t="str">
        <f t="shared" si="2"/>
        <v>2026</v>
      </c>
      <c r="O295" s="231">
        <v>371.0</v>
      </c>
      <c r="P295" s="58">
        <f t="shared" si="4"/>
        <v>1</v>
      </c>
      <c r="Q295" s="51"/>
      <c r="R295" s="51"/>
      <c r="S295" s="51"/>
      <c r="T295" s="45" t="s">
        <v>233</v>
      </c>
      <c r="U295" s="45" t="s">
        <v>1244</v>
      </c>
      <c r="V295" s="45" t="s">
        <v>708</v>
      </c>
      <c r="W295" s="45" t="s">
        <v>1648</v>
      </c>
      <c r="X295" s="45" t="s">
        <v>1648</v>
      </c>
      <c r="Y295" s="51"/>
      <c r="Z295" s="51"/>
      <c r="AA295" s="51"/>
      <c r="AB295" s="72"/>
      <c r="AC295" s="64" t="s">
        <v>354</v>
      </c>
      <c r="AD295" s="64" t="s">
        <v>261</v>
      </c>
      <c r="AE295" s="64" t="s">
        <v>3421</v>
      </c>
    </row>
    <row r="296">
      <c r="A296" s="23" t="s">
        <v>64</v>
      </c>
      <c r="B296" s="23" t="s">
        <v>19</v>
      </c>
      <c r="C296" s="23" t="s">
        <v>3422</v>
      </c>
      <c r="D296" s="23" t="s">
        <v>3423</v>
      </c>
      <c r="E296" s="23" t="s">
        <v>3424</v>
      </c>
      <c r="F296" s="26">
        <v>865.0</v>
      </c>
      <c r="G296" s="26">
        <v>600673.0</v>
      </c>
      <c r="H296" s="23" t="s">
        <v>1392</v>
      </c>
      <c r="I296" s="88"/>
      <c r="J296" s="27"/>
      <c r="K296" s="29">
        <v>45887.0</v>
      </c>
      <c r="L296" s="26">
        <v>2025.0</v>
      </c>
      <c r="M296" s="29">
        <v>46219.0</v>
      </c>
      <c r="N296" s="26" t="str">
        <f t="shared" si="2"/>
        <v>2026</v>
      </c>
      <c r="O296" s="36">
        <f t="shared" ref="O296:O569" si="11">DATEDIF(K296,M296,"d")</f>
        <v>332</v>
      </c>
      <c r="P296" s="36">
        <f t="shared" si="4"/>
        <v>0</v>
      </c>
      <c r="Q296" s="23" t="s">
        <v>150</v>
      </c>
      <c r="R296" s="27"/>
      <c r="S296" s="27"/>
      <c r="T296" s="23" t="s">
        <v>146</v>
      </c>
      <c r="U296" s="23" t="s">
        <v>1244</v>
      </c>
      <c r="V296" s="23" t="s">
        <v>104</v>
      </c>
      <c r="W296" s="23" t="s">
        <v>3434</v>
      </c>
      <c r="X296" s="23" t="s">
        <v>3434</v>
      </c>
      <c r="Y296" s="27"/>
      <c r="Z296" s="27"/>
      <c r="AA296" s="27"/>
      <c r="AB296" s="44"/>
      <c r="AC296" s="76" t="s">
        <v>820</v>
      </c>
      <c r="AD296" s="76" t="s">
        <v>261</v>
      </c>
      <c r="AE296" s="76" t="s">
        <v>124</v>
      </c>
    </row>
    <row r="297">
      <c r="A297" s="45" t="s">
        <v>64</v>
      </c>
      <c r="B297" s="45" t="s">
        <v>19</v>
      </c>
      <c r="C297" s="45" t="s">
        <v>910</v>
      </c>
      <c r="D297" s="45" t="s">
        <v>3437</v>
      </c>
      <c r="E297" s="45" t="s">
        <v>3438</v>
      </c>
      <c r="F297" s="48">
        <v>852.0</v>
      </c>
      <c r="G297" s="48">
        <v>600677.0</v>
      </c>
      <c r="H297" s="45" t="s">
        <v>1392</v>
      </c>
      <c r="I297" s="45" t="s">
        <v>1148</v>
      </c>
      <c r="J297" s="45" t="s">
        <v>2418</v>
      </c>
      <c r="K297" s="55">
        <v>45873.0</v>
      </c>
      <c r="L297" s="48">
        <v>2025.0</v>
      </c>
      <c r="M297" s="55">
        <v>46189.0</v>
      </c>
      <c r="N297" s="48" t="str">
        <f t="shared" si="2"/>
        <v>2026</v>
      </c>
      <c r="O297" s="58">
        <f t="shared" si="11"/>
        <v>316</v>
      </c>
      <c r="P297" s="58">
        <f t="shared" si="4"/>
        <v>0</v>
      </c>
      <c r="Q297" s="45" t="s">
        <v>150</v>
      </c>
      <c r="R297" s="51"/>
      <c r="S297" s="51"/>
      <c r="T297" s="45" t="s">
        <v>146</v>
      </c>
      <c r="U297" s="45" t="s">
        <v>790</v>
      </c>
      <c r="V297" s="45" t="s">
        <v>104</v>
      </c>
      <c r="W297" s="45" t="s">
        <v>3447</v>
      </c>
      <c r="X297" s="45" t="s">
        <v>3447</v>
      </c>
      <c r="Y297" s="51"/>
      <c r="Z297" s="51"/>
      <c r="AA297" s="51"/>
      <c r="AB297" s="72"/>
      <c r="AC297" s="64" t="s">
        <v>777</v>
      </c>
      <c r="AD297" s="64" t="s">
        <v>261</v>
      </c>
      <c r="AE297" s="64" t="s">
        <v>441</v>
      </c>
    </row>
    <row r="298">
      <c r="A298" s="23" t="s">
        <v>64</v>
      </c>
      <c r="B298" s="23" t="s">
        <v>19</v>
      </c>
      <c r="C298" s="23" t="s">
        <v>3456</v>
      </c>
      <c r="D298" s="23" t="s">
        <v>3458</v>
      </c>
      <c r="E298" s="23" t="s">
        <v>3459</v>
      </c>
      <c r="F298" s="26">
        <v>868.0</v>
      </c>
      <c r="G298" s="27"/>
      <c r="H298" s="23" t="s">
        <v>1392</v>
      </c>
      <c r="I298" s="88"/>
      <c r="J298" s="27"/>
      <c r="K298" s="29">
        <v>45890.0</v>
      </c>
      <c r="L298" s="26">
        <v>2025.0</v>
      </c>
      <c r="M298" s="29">
        <v>46254.0</v>
      </c>
      <c r="N298" s="26" t="str">
        <f t="shared" si="2"/>
        <v>2026</v>
      </c>
      <c r="O298" s="36">
        <f t="shared" si="11"/>
        <v>364</v>
      </c>
      <c r="P298" s="36">
        <f t="shared" si="4"/>
        <v>0</v>
      </c>
      <c r="Q298" s="23" t="s">
        <v>150</v>
      </c>
      <c r="R298" s="27"/>
      <c r="S298" s="27"/>
      <c r="T298" s="23" t="s">
        <v>84</v>
      </c>
      <c r="U298" s="23" t="s">
        <v>790</v>
      </c>
      <c r="V298" s="23" t="s">
        <v>104</v>
      </c>
      <c r="W298" s="23" t="s">
        <v>3468</v>
      </c>
      <c r="X298" s="23" t="s">
        <v>3468</v>
      </c>
      <c r="Y298" s="27"/>
      <c r="Z298" s="27"/>
      <c r="AA298" s="27"/>
      <c r="AB298" s="44"/>
      <c r="AC298" s="76" t="s">
        <v>820</v>
      </c>
      <c r="AD298" s="76" t="s">
        <v>123</v>
      </c>
      <c r="AE298" s="76" t="s">
        <v>476</v>
      </c>
    </row>
    <row r="299">
      <c r="A299" s="45" t="s">
        <v>64</v>
      </c>
      <c r="B299" s="45" t="s">
        <v>19</v>
      </c>
      <c r="C299" s="45" t="s">
        <v>3476</v>
      </c>
      <c r="D299" s="45" t="s">
        <v>3477</v>
      </c>
      <c r="E299" s="45" t="s">
        <v>3478</v>
      </c>
      <c r="F299" s="48">
        <v>854.0</v>
      </c>
      <c r="G299" s="48">
        <v>600667.0</v>
      </c>
      <c r="H299" s="45" t="s">
        <v>1392</v>
      </c>
      <c r="I299" s="45" t="s">
        <v>1148</v>
      </c>
      <c r="J299" s="51"/>
      <c r="K299" s="55">
        <v>45874.0</v>
      </c>
      <c r="L299" s="48">
        <v>2025.0</v>
      </c>
      <c r="M299" s="55">
        <v>46239.0</v>
      </c>
      <c r="N299" s="48" t="str">
        <f t="shared" si="2"/>
        <v>2026</v>
      </c>
      <c r="O299" s="58">
        <f t="shared" si="11"/>
        <v>365</v>
      </c>
      <c r="P299" s="58">
        <f t="shared" si="4"/>
        <v>1</v>
      </c>
      <c r="Q299" s="45" t="s">
        <v>150</v>
      </c>
      <c r="R299" s="51"/>
      <c r="S299" s="51"/>
      <c r="T299" s="45" t="s">
        <v>146</v>
      </c>
      <c r="U299" s="45" t="s">
        <v>790</v>
      </c>
      <c r="V299" s="45" t="s">
        <v>104</v>
      </c>
      <c r="W299" s="45" t="s">
        <v>3485</v>
      </c>
      <c r="X299" s="51"/>
      <c r="Y299" s="51"/>
      <c r="Z299" s="51"/>
      <c r="AA299" s="51"/>
      <c r="AB299" s="72"/>
      <c r="AC299" s="64" t="s">
        <v>777</v>
      </c>
      <c r="AD299" s="64" t="s">
        <v>14</v>
      </c>
      <c r="AE299" s="64" t="s">
        <v>162</v>
      </c>
    </row>
    <row r="300">
      <c r="A300" s="23" t="s">
        <v>64</v>
      </c>
      <c r="B300" s="23" t="s">
        <v>19</v>
      </c>
      <c r="C300" s="23" t="s">
        <v>3490</v>
      </c>
      <c r="D300" s="23" t="s">
        <v>3492</v>
      </c>
      <c r="E300" s="23" t="s">
        <v>3493</v>
      </c>
      <c r="F300" s="26">
        <v>869.0</v>
      </c>
      <c r="G300" s="26">
        <v>600678.0</v>
      </c>
      <c r="H300" s="23" t="s">
        <v>1392</v>
      </c>
      <c r="I300" s="88"/>
      <c r="J300" s="27"/>
      <c r="K300" s="29">
        <v>45891.0</v>
      </c>
      <c r="L300" s="26">
        <v>2025.0</v>
      </c>
      <c r="M300" s="29">
        <v>46162.0</v>
      </c>
      <c r="N300" s="26" t="str">
        <f t="shared" si="2"/>
        <v>2026</v>
      </c>
      <c r="O300" s="36">
        <f t="shared" si="11"/>
        <v>271</v>
      </c>
      <c r="P300" s="36">
        <f t="shared" si="4"/>
        <v>0</v>
      </c>
      <c r="Q300" s="23" t="s">
        <v>150</v>
      </c>
      <c r="R300" s="27"/>
      <c r="S300" s="27"/>
      <c r="T300" s="27"/>
      <c r="U300" s="27"/>
      <c r="V300" s="27"/>
      <c r="W300" s="23" t="s">
        <v>3499</v>
      </c>
      <c r="X300" s="23" t="s">
        <v>3499</v>
      </c>
      <c r="Y300" s="27"/>
      <c r="Z300" s="27"/>
      <c r="AA300" s="27"/>
      <c r="AB300" s="44"/>
      <c r="AC300" s="76" t="s">
        <v>820</v>
      </c>
      <c r="AD300" s="76" t="s">
        <v>123</v>
      </c>
      <c r="AE300" s="76" t="s">
        <v>124</v>
      </c>
    </row>
    <row r="301">
      <c r="A301" s="45" t="s">
        <v>64</v>
      </c>
      <c r="B301" s="45" t="s">
        <v>19</v>
      </c>
      <c r="C301" s="45" t="s">
        <v>3503</v>
      </c>
      <c r="D301" s="45" t="s">
        <v>3505</v>
      </c>
      <c r="E301" s="45" t="s">
        <v>3506</v>
      </c>
      <c r="F301" s="48">
        <v>861.0</v>
      </c>
      <c r="G301" s="51"/>
      <c r="H301" s="45" t="s">
        <v>2132</v>
      </c>
      <c r="I301" s="45" t="s">
        <v>1148</v>
      </c>
      <c r="J301" s="51"/>
      <c r="K301" s="55">
        <v>45881.0</v>
      </c>
      <c r="L301" s="48">
        <v>2025.0</v>
      </c>
      <c r="M301" s="55">
        <v>45972.0</v>
      </c>
      <c r="N301" s="48" t="str">
        <f t="shared" si="2"/>
        <v>2025</v>
      </c>
      <c r="O301" s="58">
        <f t="shared" si="11"/>
        <v>91</v>
      </c>
      <c r="P301" s="58">
        <f t="shared" si="4"/>
        <v>0</v>
      </c>
      <c r="Q301" s="45" t="s">
        <v>150</v>
      </c>
      <c r="R301" s="51"/>
      <c r="S301" s="51"/>
      <c r="T301" s="45" t="s">
        <v>146</v>
      </c>
      <c r="U301" s="45" t="s">
        <v>1244</v>
      </c>
      <c r="V301" s="45" t="s">
        <v>106</v>
      </c>
      <c r="W301" s="45" t="s">
        <v>3513</v>
      </c>
      <c r="X301" s="51"/>
      <c r="Y301" s="51"/>
      <c r="Z301" s="51"/>
      <c r="AA301" s="51"/>
      <c r="AB301" s="72"/>
      <c r="AC301" s="64" t="s">
        <v>777</v>
      </c>
      <c r="AD301" s="64" t="s">
        <v>261</v>
      </c>
      <c r="AE301" s="64" t="s">
        <v>476</v>
      </c>
    </row>
    <row r="302">
      <c r="A302" s="23" t="s">
        <v>64</v>
      </c>
      <c r="B302" s="23" t="s">
        <v>67</v>
      </c>
      <c r="C302" s="23" t="s">
        <v>3517</v>
      </c>
      <c r="D302" s="23" t="s">
        <v>3518</v>
      </c>
      <c r="E302" s="23" t="s">
        <v>3519</v>
      </c>
      <c r="F302" s="26">
        <v>870.0</v>
      </c>
      <c r="G302" s="27"/>
      <c r="H302" s="23" t="s">
        <v>2995</v>
      </c>
      <c r="I302" s="88"/>
      <c r="J302" s="27"/>
      <c r="K302" s="29">
        <v>45895.0</v>
      </c>
      <c r="L302" s="26">
        <v>2025.0</v>
      </c>
      <c r="M302" s="29">
        <v>45905.0</v>
      </c>
      <c r="N302" s="26" t="str">
        <f t="shared" si="2"/>
        <v>2025</v>
      </c>
      <c r="O302" s="36">
        <f t="shared" si="11"/>
        <v>10</v>
      </c>
      <c r="P302" s="36">
        <f t="shared" si="4"/>
        <v>0</v>
      </c>
      <c r="Q302" s="23" t="s">
        <v>150</v>
      </c>
      <c r="R302" s="27"/>
      <c r="S302" s="27"/>
      <c r="T302" s="27"/>
      <c r="U302" s="27"/>
      <c r="V302" s="27"/>
      <c r="W302" s="23" t="s">
        <v>3523</v>
      </c>
      <c r="X302" s="23" t="s">
        <v>3525</v>
      </c>
      <c r="Y302" s="27"/>
      <c r="Z302" s="27"/>
      <c r="AA302" s="27"/>
      <c r="AB302" s="44"/>
      <c r="AC302" s="76" t="s">
        <v>820</v>
      </c>
      <c r="AD302" s="27"/>
      <c r="AE302" s="27"/>
    </row>
    <row r="303">
      <c r="A303" s="45" t="s">
        <v>64</v>
      </c>
      <c r="B303" s="45" t="s">
        <v>19</v>
      </c>
      <c r="C303" s="45" t="s">
        <v>3528</v>
      </c>
      <c r="D303" s="45" t="s">
        <v>3529</v>
      </c>
      <c r="E303" s="45" t="s">
        <v>3530</v>
      </c>
      <c r="F303" s="48">
        <v>867.0</v>
      </c>
      <c r="G303" s="48">
        <v>600675.0</v>
      </c>
      <c r="H303" s="45" t="s">
        <v>1392</v>
      </c>
      <c r="I303" s="45" t="s">
        <v>1148</v>
      </c>
      <c r="J303" s="51"/>
      <c r="K303" s="55">
        <v>45888.0</v>
      </c>
      <c r="L303" s="48">
        <v>2025.0</v>
      </c>
      <c r="M303" s="55">
        <v>46252.0</v>
      </c>
      <c r="N303" s="48" t="str">
        <f t="shared" si="2"/>
        <v>2026</v>
      </c>
      <c r="O303" s="58">
        <f t="shared" si="11"/>
        <v>364</v>
      </c>
      <c r="P303" s="58">
        <f t="shared" si="4"/>
        <v>0</v>
      </c>
      <c r="Q303" s="45" t="s">
        <v>150</v>
      </c>
      <c r="R303" s="51"/>
      <c r="S303" s="51"/>
      <c r="T303" s="45" t="s">
        <v>146</v>
      </c>
      <c r="U303" s="45" t="s">
        <v>790</v>
      </c>
      <c r="V303" s="45" t="s">
        <v>708</v>
      </c>
      <c r="W303" s="45" t="s">
        <v>3540</v>
      </c>
      <c r="X303" s="45" t="s">
        <v>3540</v>
      </c>
      <c r="Y303" s="51"/>
      <c r="Z303" s="51"/>
      <c r="AA303" s="51"/>
      <c r="AB303" s="72"/>
      <c r="AC303" s="64" t="s">
        <v>777</v>
      </c>
      <c r="AD303" s="64" t="s">
        <v>14</v>
      </c>
      <c r="AE303" s="64" t="s">
        <v>124</v>
      </c>
    </row>
    <row r="304">
      <c r="A304" s="23" t="s">
        <v>64</v>
      </c>
      <c r="B304" s="23" t="s">
        <v>19</v>
      </c>
      <c r="C304" s="23" t="s">
        <v>746</v>
      </c>
      <c r="D304" s="23" t="s">
        <v>3544</v>
      </c>
      <c r="E304" s="23" t="s">
        <v>3546</v>
      </c>
      <c r="F304" s="26">
        <v>871.0</v>
      </c>
      <c r="G304" s="26">
        <v>600425.0</v>
      </c>
      <c r="H304" s="23" t="s">
        <v>1392</v>
      </c>
      <c r="I304" s="88"/>
      <c r="J304" s="23" t="s">
        <v>86</v>
      </c>
      <c r="K304" s="29">
        <v>45896.0</v>
      </c>
      <c r="L304" s="26" t="str">
        <f t="shared" ref="L304:L323" si="12">right(K304,4)</f>
        <v>2025</v>
      </c>
      <c r="M304" s="29">
        <v>46204.0</v>
      </c>
      <c r="N304" s="26" t="str">
        <f t="shared" si="2"/>
        <v>2026</v>
      </c>
      <c r="O304" s="36">
        <f t="shared" si="11"/>
        <v>308</v>
      </c>
      <c r="P304" s="36">
        <f t="shared" si="4"/>
        <v>0</v>
      </c>
      <c r="Q304" s="23" t="s">
        <v>150</v>
      </c>
      <c r="R304" s="27"/>
      <c r="S304" s="23" t="s">
        <v>269</v>
      </c>
      <c r="T304" s="23" t="s">
        <v>146</v>
      </c>
      <c r="U304" s="27"/>
      <c r="V304" s="23" t="s">
        <v>104</v>
      </c>
      <c r="W304" s="23" t="s">
        <v>3553</v>
      </c>
      <c r="X304" s="23" t="s">
        <v>3553</v>
      </c>
      <c r="Y304" s="27"/>
      <c r="Z304" s="27"/>
      <c r="AA304" s="27"/>
      <c r="AB304" s="44"/>
      <c r="AC304" s="76" t="s">
        <v>820</v>
      </c>
      <c r="AD304" s="76" t="s">
        <v>2816</v>
      </c>
      <c r="AE304" s="76" t="s">
        <v>124</v>
      </c>
    </row>
    <row r="305">
      <c r="A305" s="45" t="s">
        <v>64</v>
      </c>
      <c r="B305" s="45" t="s">
        <v>67</v>
      </c>
      <c r="C305" s="45" t="s">
        <v>3556</v>
      </c>
      <c r="D305" s="45" t="s">
        <v>3558</v>
      </c>
      <c r="E305" s="45" t="s">
        <v>3559</v>
      </c>
      <c r="F305" s="48">
        <v>872.0</v>
      </c>
      <c r="G305" s="48">
        <v>600680.0</v>
      </c>
      <c r="H305" s="45" t="s">
        <v>2995</v>
      </c>
      <c r="I305" s="53"/>
      <c r="J305" s="45" t="s">
        <v>2429</v>
      </c>
      <c r="K305" s="55">
        <v>45897.0</v>
      </c>
      <c r="L305" s="48" t="str">
        <f t="shared" si="12"/>
        <v>2025</v>
      </c>
      <c r="M305" s="55">
        <v>45930.0</v>
      </c>
      <c r="N305" s="48" t="str">
        <f t="shared" si="2"/>
        <v>2025</v>
      </c>
      <c r="O305" s="58">
        <f t="shared" si="11"/>
        <v>33</v>
      </c>
      <c r="P305" s="58">
        <f t="shared" si="4"/>
        <v>0</v>
      </c>
      <c r="Q305" s="51"/>
      <c r="R305" s="51"/>
      <c r="S305" s="51"/>
      <c r="T305" s="51"/>
      <c r="U305" s="51"/>
      <c r="V305" s="51"/>
      <c r="W305" s="45" t="s">
        <v>3567</v>
      </c>
      <c r="X305" s="45" t="s">
        <v>3567</v>
      </c>
      <c r="Y305" s="51"/>
      <c r="Z305" s="53"/>
      <c r="AA305" s="51"/>
      <c r="AB305" s="203"/>
      <c r="AC305" s="64" t="s">
        <v>820</v>
      </c>
      <c r="AD305" s="51"/>
      <c r="AE305" s="64" t="s">
        <v>124</v>
      </c>
    </row>
    <row r="306">
      <c r="A306" s="23" t="s">
        <v>64</v>
      </c>
      <c r="B306" s="23" t="s">
        <v>67</v>
      </c>
      <c r="C306" s="23" t="s">
        <v>3570</v>
      </c>
      <c r="D306" s="23" t="s">
        <v>3571</v>
      </c>
      <c r="E306" s="23" t="s">
        <v>3572</v>
      </c>
      <c r="F306" s="26">
        <v>710.0</v>
      </c>
      <c r="G306" s="26">
        <v>600492.0</v>
      </c>
      <c r="H306" s="23" t="s">
        <v>139</v>
      </c>
      <c r="I306" s="23" t="s">
        <v>3573</v>
      </c>
      <c r="J306" s="23" t="s">
        <v>2418</v>
      </c>
      <c r="K306" s="29">
        <v>45545.0</v>
      </c>
      <c r="L306" s="29" t="str">
        <f t="shared" si="12"/>
        <v>2024</v>
      </c>
      <c r="M306" s="29">
        <v>45910.0</v>
      </c>
      <c r="N306" s="26" t="str">
        <f t="shared" si="2"/>
        <v>2025</v>
      </c>
      <c r="O306" s="36">
        <f t="shared" si="11"/>
        <v>365</v>
      </c>
      <c r="P306" s="36">
        <f t="shared" si="4"/>
        <v>1</v>
      </c>
      <c r="Q306" s="23" t="s">
        <v>253</v>
      </c>
      <c r="R306" s="23" t="s">
        <v>3576</v>
      </c>
      <c r="S306" s="27"/>
      <c r="T306" s="23" t="s">
        <v>146</v>
      </c>
      <c r="U306" s="23" t="s">
        <v>790</v>
      </c>
      <c r="V306" s="27"/>
      <c r="W306" s="145" t="s">
        <v>3577</v>
      </c>
      <c r="X306" s="23" t="s">
        <v>3578</v>
      </c>
      <c r="Y306" s="23" t="s">
        <v>3579</v>
      </c>
      <c r="Z306" s="27"/>
      <c r="AA306" s="27"/>
      <c r="AB306" s="44"/>
      <c r="AC306" s="76" t="s">
        <v>777</v>
      </c>
      <c r="AD306" s="76" t="s">
        <v>261</v>
      </c>
      <c r="AE306" s="76" t="s">
        <v>336</v>
      </c>
    </row>
    <row r="307">
      <c r="A307" s="45" t="s">
        <v>64</v>
      </c>
      <c r="B307" s="45" t="s">
        <v>67</v>
      </c>
      <c r="C307" s="45" t="s">
        <v>3581</v>
      </c>
      <c r="D307" s="45" t="s">
        <v>3583</v>
      </c>
      <c r="E307" s="45" t="s">
        <v>1816</v>
      </c>
      <c r="F307" s="48">
        <v>875.0</v>
      </c>
      <c r="G307" s="51"/>
      <c r="H307" s="51"/>
      <c r="I307" s="53"/>
      <c r="J307" s="45" t="s">
        <v>1372</v>
      </c>
      <c r="K307" s="55">
        <v>45904.0</v>
      </c>
      <c r="L307" s="48" t="str">
        <f t="shared" si="12"/>
        <v>2025</v>
      </c>
      <c r="M307" s="55">
        <v>45911.0</v>
      </c>
      <c r="N307" s="48" t="str">
        <f t="shared" si="2"/>
        <v>2025</v>
      </c>
      <c r="O307" s="58">
        <f t="shared" si="11"/>
        <v>7</v>
      </c>
      <c r="P307" s="58">
        <f t="shared" si="4"/>
        <v>0</v>
      </c>
      <c r="Q307" s="45" t="s">
        <v>150</v>
      </c>
      <c r="R307" s="51"/>
      <c r="S307" s="51"/>
      <c r="T307" s="51"/>
      <c r="U307" s="51"/>
      <c r="V307" s="45" t="s">
        <v>106</v>
      </c>
      <c r="W307" s="45" t="s">
        <v>3586</v>
      </c>
      <c r="X307" s="186" t="s">
        <v>3586</v>
      </c>
      <c r="Y307" s="51"/>
      <c r="Z307" s="51"/>
      <c r="AA307" s="51"/>
      <c r="AB307" s="72"/>
      <c r="AC307" s="64" t="s">
        <v>820</v>
      </c>
      <c r="AD307" s="64" t="s">
        <v>261</v>
      </c>
      <c r="AE307" s="64" t="s">
        <v>124</v>
      </c>
    </row>
    <row r="308">
      <c r="A308" s="23" t="s">
        <v>64</v>
      </c>
      <c r="B308" s="23" t="s">
        <v>19</v>
      </c>
      <c r="C308" s="23" t="s">
        <v>3594</v>
      </c>
      <c r="D308" s="23" t="s">
        <v>3596</v>
      </c>
      <c r="E308" s="23" t="s">
        <v>3597</v>
      </c>
      <c r="F308" s="26">
        <v>877.0</v>
      </c>
      <c r="G308" s="26">
        <v>600194.0</v>
      </c>
      <c r="H308" s="23" t="s">
        <v>2676</v>
      </c>
      <c r="I308" s="88"/>
      <c r="J308" s="27"/>
      <c r="K308" s="29">
        <v>45909.0</v>
      </c>
      <c r="L308" s="26" t="str">
        <f t="shared" si="12"/>
        <v>2025</v>
      </c>
      <c r="M308" s="29">
        <v>46273.0</v>
      </c>
      <c r="N308" s="26" t="str">
        <f t="shared" si="2"/>
        <v>2026</v>
      </c>
      <c r="O308" s="36">
        <f t="shared" si="11"/>
        <v>364</v>
      </c>
      <c r="P308" s="36">
        <f t="shared" si="4"/>
        <v>0</v>
      </c>
      <c r="Q308" s="27"/>
      <c r="R308" s="27"/>
      <c r="S308" s="27"/>
      <c r="T308" s="27"/>
      <c r="U308" s="27"/>
      <c r="V308" s="27"/>
      <c r="W308" s="144" t="s">
        <v>3602</v>
      </c>
      <c r="X308" s="144" t="s">
        <v>3607</v>
      </c>
      <c r="Y308" s="27"/>
      <c r="Z308" s="27"/>
      <c r="AA308" s="27"/>
      <c r="AB308" s="44"/>
      <c r="AC308" s="76" t="s">
        <v>820</v>
      </c>
      <c r="AD308" s="76" t="s">
        <v>123</v>
      </c>
      <c r="AE308" s="76" t="s">
        <v>476</v>
      </c>
    </row>
    <row r="309">
      <c r="A309" s="45" t="s">
        <v>64</v>
      </c>
      <c r="B309" s="45" t="s">
        <v>19</v>
      </c>
      <c r="C309" s="45" t="s">
        <v>3611</v>
      </c>
      <c r="D309" s="45" t="s">
        <v>3612</v>
      </c>
      <c r="E309" s="45" t="s">
        <v>3613</v>
      </c>
      <c r="F309" s="48">
        <v>874.0</v>
      </c>
      <c r="G309" s="51"/>
      <c r="H309" s="45" t="s">
        <v>2979</v>
      </c>
      <c r="I309" s="45" t="s">
        <v>84</v>
      </c>
      <c r="J309" s="45" t="s">
        <v>2799</v>
      </c>
      <c r="K309" s="55">
        <v>45903.0</v>
      </c>
      <c r="L309" s="48" t="str">
        <f t="shared" si="12"/>
        <v>2025</v>
      </c>
      <c r="M309" s="55">
        <v>45961.0</v>
      </c>
      <c r="N309" s="48" t="str">
        <f t="shared" si="2"/>
        <v>2025</v>
      </c>
      <c r="O309" s="58">
        <f t="shared" si="11"/>
        <v>58</v>
      </c>
      <c r="P309" s="58">
        <f t="shared" si="4"/>
        <v>0</v>
      </c>
      <c r="Q309" s="45" t="s">
        <v>150</v>
      </c>
      <c r="R309" s="45" t="s">
        <v>3619</v>
      </c>
      <c r="S309" s="51"/>
      <c r="T309" s="45" t="s">
        <v>84</v>
      </c>
      <c r="U309" s="45" t="s">
        <v>1244</v>
      </c>
      <c r="V309" s="51"/>
      <c r="W309" s="45" t="s">
        <v>3623</v>
      </c>
      <c r="X309" s="51"/>
      <c r="Y309" s="51"/>
      <c r="Z309" s="51"/>
      <c r="AA309" s="51"/>
      <c r="AB309" s="72"/>
      <c r="AC309" s="64" t="s">
        <v>777</v>
      </c>
      <c r="AD309" s="51"/>
      <c r="AE309" s="64" t="s">
        <v>441</v>
      </c>
    </row>
    <row r="310">
      <c r="A310" s="23" t="s">
        <v>64</v>
      </c>
      <c r="B310" s="23" t="s">
        <v>19</v>
      </c>
      <c r="C310" s="23" t="s">
        <v>845</v>
      </c>
      <c r="D310" s="23" t="s">
        <v>3625</v>
      </c>
      <c r="E310" s="23" t="s">
        <v>3626</v>
      </c>
      <c r="F310" s="26">
        <v>886.0</v>
      </c>
      <c r="G310" s="26">
        <v>600695.0</v>
      </c>
      <c r="H310" s="23" t="s">
        <v>1392</v>
      </c>
      <c r="I310" s="88"/>
      <c r="J310" s="23" t="s">
        <v>1372</v>
      </c>
      <c r="K310" s="29">
        <v>45929.0</v>
      </c>
      <c r="L310" s="26" t="str">
        <f t="shared" si="12"/>
        <v>2025</v>
      </c>
      <c r="M310" s="29">
        <v>46234.0</v>
      </c>
      <c r="N310" s="26" t="str">
        <f t="shared" si="2"/>
        <v>2026</v>
      </c>
      <c r="O310" s="36">
        <f t="shared" si="11"/>
        <v>305</v>
      </c>
      <c r="P310" s="36">
        <f t="shared" si="4"/>
        <v>0</v>
      </c>
      <c r="Q310" s="23" t="s">
        <v>150</v>
      </c>
      <c r="R310" s="27"/>
      <c r="S310" s="27"/>
      <c r="T310" s="23" t="s">
        <v>146</v>
      </c>
      <c r="U310" s="27"/>
      <c r="V310" s="23" t="s">
        <v>104</v>
      </c>
      <c r="W310" s="23" t="s">
        <v>3634</v>
      </c>
      <c r="X310" s="23" t="s">
        <v>3634</v>
      </c>
      <c r="Y310" s="27"/>
      <c r="Z310" s="27"/>
      <c r="AA310" s="27"/>
      <c r="AB310" s="44"/>
      <c r="AC310" s="76" t="s">
        <v>820</v>
      </c>
      <c r="AD310" s="76" t="s">
        <v>14</v>
      </c>
      <c r="AE310" s="76" t="s">
        <v>124</v>
      </c>
    </row>
    <row r="311">
      <c r="A311" s="45" t="s">
        <v>64</v>
      </c>
      <c r="B311" s="45" t="s">
        <v>19</v>
      </c>
      <c r="C311" s="45" t="s">
        <v>849</v>
      </c>
      <c r="D311" s="45" t="s">
        <v>3638</v>
      </c>
      <c r="E311" s="45" t="s">
        <v>3639</v>
      </c>
      <c r="F311" s="48">
        <v>888.0</v>
      </c>
      <c r="G311" s="48">
        <v>600696.0</v>
      </c>
      <c r="H311" s="45" t="s">
        <v>1392</v>
      </c>
      <c r="I311" s="53"/>
      <c r="J311" s="45" t="s">
        <v>86</v>
      </c>
      <c r="K311" s="55">
        <v>45929.0</v>
      </c>
      <c r="L311" s="48" t="str">
        <f t="shared" si="12"/>
        <v>2025</v>
      </c>
      <c r="M311" s="55">
        <v>46234.0</v>
      </c>
      <c r="N311" s="48" t="str">
        <f t="shared" si="2"/>
        <v>2026</v>
      </c>
      <c r="O311" s="58">
        <f t="shared" si="11"/>
        <v>305</v>
      </c>
      <c r="P311" s="58">
        <f t="shared" si="4"/>
        <v>0</v>
      </c>
      <c r="Q311" s="45" t="s">
        <v>150</v>
      </c>
      <c r="R311" s="51"/>
      <c r="S311" s="51"/>
      <c r="T311" s="45" t="s">
        <v>146</v>
      </c>
      <c r="U311" s="51"/>
      <c r="V311" s="45" t="s">
        <v>104</v>
      </c>
      <c r="W311" s="45" t="s">
        <v>3647</v>
      </c>
      <c r="X311" s="45" t="s">
        <v>3647</v>
      </c>
      <c r="Y311" s="51"/>
      <c r="Z311" s="51"/>
      <c r="AA311" s="51"/>
      <c r="AB311" s="72"/>
      <c r="AC311" s="64" t="s">
        <v>820</v>
      </c>
      <c r="AD311" s="64" t="s">
        <v>123</v>
      </c>
      <c r="AE311" s="64" t="s">
        <v>124</v>
      </c>
    </row>
    <row r="312">
      <c r="A312" s="23" t="s">
        <v>64</v>
      </c>
      <c r="B312" s="23" t="s">
        <v>19</v>
      </c>
      <c r="C312" s="23" t="s">
        <v>519</v>
      </c>
      <c r="D312" s="23" t="s">
        <v>3651</v>
      </c>
      <c r="E312" s="23" t="s">
        <v>3652</v>
      </c>
      <c r="F312" s="26">
        <v>880.0</v>
      </c>
      <c r="G312" s="27"/>
      <c r="H312" s="23" t="s">
        <v>2676</v>
      </c>
      <c r="I312" s="88"/>
      <c r="J312" s="27"/>
      <c r="K312" s="29">
        <v>45912.0</v>
      </c>
      <c r="L312" s="26" t="str">
        <f t="shared" si="12"/>
        <v>2025</v>
      </c>
      <c r="M312" s="29">
        <v>46276.0</v>
      </c>
      <c r="N312" s="26" t="str">
        <f t="shared" si="2"/>
        <v>2026</v>
      </c>
      <c r="O312" s="36">
        <f t="shared" si="11"/>
        <v>364</v>
      </c>
      <c r="P312" s="36">
        <f t="shared" si="4"/>
        <v>0</v>
      </c>
      <c r="Q312" s="23" t="s">
        <v>150</v>
      </c>
      <c r="R312" s="27"/>
      <c r="S312" s="27"/>
      <c r="T312" s="27"/>
      <c r="U312" s="23" t="s">
        <v>25</v>
      </c>
      <c r="V312" s="27"/>
      <c r="W312" s="144" t="s">
        <v>3658</v>
      </c>
      <c r="X312" s="144" t="s">
        <v>3667</v>
      </c>
      <c r="Y312" s="27"/>
      <c r="Z312" s="27"/>
      <c r="AA312" s="27"/>
      <c r="AB312" s="44"/>
      <c r="AC312" s="27"/>
      <c r="AD312" s="76" t="s">
        <v>123</v>
      </c>
      <c r="AE312" s="76" t="s">
        <v>1610</v>
      </c>
    </row>
    <row r="313">
      <c r="A313" s="45" t="s">
        <v>64</v>
      </c>
      <c r="B313" s="45" t="s">
        <v>19</v>
      </c>
      <c r="C313" s="45" t="s">
        <v>88</v>
      </c>
      <c r="D313" s="45" t="s">
        <v>3670</v>
      </c>
      <c r="E313" s="45" t="s">
        <v>3671</v>
      </c>
      <c r="F313" s="48">
        <v>881.0</v>
      </c>
      <c r="G313" s="51"/>
      <c r="H313" s="45" t="s">
        <v>1392</v>
      </c>
      <c r="I313" s="45" t="s">
        <v>84</v>
      </c>
      <c r="J313" s="45" t="s">
        <v>1525</v>
      </c>
      <c r="K313" s="55">
        <v>45912.0</v>
      </c>
      <c r="L313" s="48" t="str">
        <f t="shared" si="12"/>
        <v>2025</v>
      </c>
      <c r="M313" s="55">
        <v>45942.0</v>
      </c>
      <c r="N313" s="48" t="str">
        <f t="shared" si="2"/>
        <v>2025</v>
      </c>
      <c r="O313" s="58">
        <f t="shared" si="11"/>
        <v>30</v>
      </c>
      <c r="P313" s="58">
        <f t="shared" si="4"/>
        <v>0</v>
      </c>
      <c r="Q313" s="45" t="s">
        <v>150</v>
      </c>
      <c r="R313" s="51"/>
      <c r="S313" s="51"/>
      <c r="T313" s="45" t="s">
        <v>84</v>
      </c>
      <c r="U313" s="45" t="s">
        <v>1244</v>
      </c>
      <c r="V313" s="45" t="s">
        <v>106</v>
      </c>
      <c r="W313" s="45" t="s">
        <v>3677</v>
      </c>
      <c r="X313" s="51"/>
      <c r="Y313" s="51"/>
      <c r="Z313" s="51"/>
      <c r="AA313" s="51"/>
      <c r="AB313" s="72"/>
      <c r="AC313" s="64" t="s">
        <v>777</v>
      </c>
      <c r="AD313" s="51"/>
      <c r="AE313" s="64" t="s">
        <v>162</v>
      </c>
    </row>
    <row r="314">
      <c r="A314" s="23" t="s">
        <v>64</v>
      </c>
      <c r="B314" s="23" t="s">
        <v>19</v>
      </c>
      <c r="C314" s="23" t="s">
        <v>3680</v>
      </c>
      <c r="D314" s="23" t="s">
        <v>3681</v>
      </c>
      <c r="E314" s="23" t="s">
        <v>3682</v>
      </c>
      <c r="F314" s="26">
        <v>883.0</v>
      </c>
      <c r="G314" s="26">
        <v>600692.0</v>
      </c>
      <c r="H314" s="23" t="s">
        <v>1392</v>
      </c>
      <c r="I314" s="23" t="s">
        <v>226</v>
      </c>
      <c r="J314" s="23" t="s">
        <v>2799</v>
      </c>
      <c r="K314" s="29">
        <v>45917.0</v>
      </c>
      <c r="L314" s="26" t="str">
        <f t="shared" si="12"/>
        <v>2025</v>
      </c>
      <c r="M314" s="29">
        <v>46275.0</v>
      </c>
      <c r="N314" s="26">
        <v>2026.0</v>
      </c>
      <c r="O314" s="36">
        <f t="shared" si="11"/>
        <v>358</v>
      </c>
      <c r="P314" s="36">
        <f t="shared" si="4"/>
        <v>0</v>
      </c>
      <c r="Q314" s="23" t="s">
        <v>150</v>
      </c>
      <c r="R314" s="27"/>
      <c r="S314" s="27"/>
      <c r="T314" s="23" t="s">
        <v>233</v>
      </c>
      <c r="U314" s="23" t="s">
        <v>790</v>
      </c>
      <c r="V314" s="23" t="s">
        <v>708</v>
      </c>
      <c r="W314" s="23" t="s">
        <v>3687</v>
      </c>
      <c r="X314" s="27"/>
      <c r="Y314" s="27"/>
      <c r="Z314" s="27"/>
      <c r="AA314" s="27"/>
      <c r="AB314" s="44"/>
      <c r="AC314" s="76" t="s">
        <v>777</v>
      </c>
      <c r="AD314" s="76" t="s">
        <v>123</v>
      </c>
      <c r="AE314" s="76" t="s">
        <v>124</v>
      </c>
    </row>
    <row r="315">
      <c r="A315" s="45" t="s">
        <v>64</v>
      </c>
      <c r="B315" s="45" t="s">
        <v>19</v>
      </c>
      <c r="C315" s="45" t="s">
        <v>977</v>
      </c>
      <c r="D315" s="45" t="s">
        <v>3694</v>
      </c>
      <c r="E315" s="45" t="s">
        <v>3695</v>
      </c>
      <c r="F315" s="48">
        <v>889.0</v>
      </c>
      <c r="G315" s="48">
        <v>600697.0</v>
      </c>
      <c r="H315" s="45" t="s">
        <v>2132</v>
      </c>
      <c r="I315" s="53"/>
      <c r="J315" s="45" t="s">
        <v>2429</v>
      </c>
      <c r="K315" s="55">
        <v>45930.0</v>
      </c>
      <c r="L315" s="48" t="str">
        <f t="shared" si="12"/>
        <v>2025</v>
      </c>
      <c r="M315" s="55">
        <v>46295.0</v>
      </c>
      <c r="N315" s="48" t="str">
        <f t="shared" ref="N315:N326" si="13">right(M315,4)</f>
        <v>2026</v>
      </c>
      <c r="O315" s="58">
        <f t="shared" si="11"/>
        <v>365</v>
      </c>
      <c r="P315" s="58">
        <f t="shared" si="4"/>
        <v>1</v>
      </c>
      <c r="Q315" s="45" t="s">
        <v>150</v>
      </c>
      <c r="R315" s="51"/>
      <c r="S315" s="51"/>
      <c r="T315" s="51"/>
      <c r="U315" s="51"/>
      <c r="V315" s="51"/>
      <c r="W315" s="45" t="s">
        <v>3702</v>
      </c>
      <c r="X315" s="45" t="s">
        <v>3702</v>
      </c>
      <c r="Y315" s="51"/>
      <c r="Z315" s="51"/>
      <c r="AA315" s="51"/>
      <c r="AB315" s="72"/>
      <c r="AC315" s="64" t="s">
        <v>820</v>
      </c>
      <c r="AD315" s="64" t="s">
        <v>123</v>
      </c>
      <c r="AE315" s="64" t="s">
        <v>124</v>
      </c>
    </row>
    <row r="316">
      <c r="A316" s="23" t="s">
        <v>64</v>
      </c>
      <c r="B316" s="23" t="s">
        <v>19</v>
      </c>
      <c r="C316" s="23" t="s">
        <v>970</v>
      </c>
      <c r="D316" s="23" t="s">
        <v>3709</v>
      </c>
      <c r="E316" s="23" t="s">
        <v>3710</v>
      </c>
      <c r="F316" s="26">
        <v>892.0</v>
      </c>
      <c r="G316" s="26">
        <v>600712.0</v>
      </c>
      <c r="H316" s="23" t="s">
        <v>2132</v>
      </c>
      <c r="I316" s="88"/>
      <c r="J316" s="23" t="s">
        <v>2429</v>
      </c>
      <c r="K316" s="29">
        <v>45938.0</v>
      </c>
      <c r="L316" s="26" t="str">
        <f t="shared" si="12"/>
        <v>2025</v>
      </c>
      <c r="M316" s="29">
        <v>46303.0</v>
      </c>
      <c r="N316" s="26" t="str">
        <f t="shared" si="13"/>
        <v>2026</v>
      </c>
      <c r="O316" s="36">
        <f t="shared" si="11"/>
        <v>365</v>
      </c>
      <c r="P316" s="36">
        <f t="shared" si="4"/>
        <v>1</v>
      </c>
      <c r="Q316" s="23" t="s">
        <v>150</v>
      </c>
      <c r="R316" s="27"/>
      <c r="S316" s="27"/>
      <c r="T316" s="27"/>
      <c r="U316" s="27"/>
      <c r="V316" s="27"/>
      <c r="W316" s="23" t="s">
        <v>3716</v>
      </c>
      <c r="X316" s="23" t="s">
        <v>3716</v>
      </c>
      <c r="Y316" s="27"/>
      <c r="Z316" s="27"/>
      <c r="AA316" s="27"/>
      <c r="AB316" s="44"/>
      <c r="AC316" s="76" t="s">
        <v>820</v>
      </c>
      <c r="AD316" s="76" t="s">
        <v>123</v>
      </c>
      <c r="AE316" s="76" t="s">
        <v>1875</v>
      </c>
    </row>
    <row r="317">
      <c r="A317" s="45" t="s">
        <v>64</v>
      </c>
      <c r="B317" s="45" t="s">
        <v>67</v>
      </c>
      <c r="C317" s="233" t="s">
        <v>2362</v>
      </c>
      <c r="D317" s="45" t="s">
        <v>20</v>
      </c>
      <c r="E317" s="45" t="s">
        <v>20</v>
      </c>
      <c r="F317" s="51"/>
      <c r="G317" s="48">
        <v>600148.0</v>
      </c>
      <c r="H317" s="45" t="s">
        <v>84</v>
      </c>
      <c r="I317" s="45" t="s">
        <v>84</v>
      </c>
      <c r="J317" s="51"/>
      <c r="K317" s="55">
        <v>45244.0</v>
      </c>
      <c r="L317" s="55" t="str">
        <f t="shared" si="12"/>
        <v>2023</v>
      </c>
      <c r="M317" s="55">
        <v>45610.0</v>
      </c>
      <c r="N317" s="48" t="str">
        <f t="shared" si="13"/>
        <v>2024</v>
      </c>
      <c r="O317" s="58">
        <f t="shared" si="11"/>
        <v>366</v>
      </c>
      <c r="P317" s="58">
        <f t="shared" si="4"/>
        <v>1</v>
      </c>
      <c r="Q317" s="45" t="s">
        <v>150</v>
      </c>
      <c r="R317" s="45" t="s">
        <v>1899</v>
      </c>
      <c r="S317" s="48" t="s">
        <v>113</v>
      </c>
      <c r="T317" s="51"/>
      <c r="U317" s="45" t="s">
        <v>790</v>
      </c>
      <c r="V317" s="45" t="s">
        <v>104</v>
      </c>
      <c r="W317" s="45" t="s">
        <v>2367</v>
      </c>
      <c r="X317" s="45" t="s">
        <v>2367</v>
      </c>
      <c r="Y317" s="51"/>
      <c r="Z317" s="51"/>
      <c r="AA317" s="45" t="s">
        <v>3728</v>
      </c>
      <c r="AB317" s="72"/>
      <c r="AC317" s="64" t="s">
        <v>820</v>
      </c>
      <c r="AD317" s="64" t="s">
        <v>261</v>
      </c>
      <c r="AE317" s="64" t="s">
        <v>1283</v>
      </c>
    </row>
    <row r="318">
      <c r="A318" s="23" t="s">
        <v>64</v>
      </c>
      <c r="B318" s="23" t="s">
        <v>19</v>
      </c>
      <c r="C318" s="23" t="s">
        <v>893</v>
      </c>
      <c r="D318" s="23" t="s">
        <v>3734</v>
      </c>
      <c r="E318" s="144" t="s">
        <v>3737</v>
      </c>
      <c r="F318" s="26">
        <v>860.0</v>
      </c>
      <c r="G318" s="27"/>
      <c r="H318" s="27"/>
      <c r="I318" s="88"/>
      <c r="J318" s="23" t="s">
        <v>86</v>
      </c>
      <c r="K318" s="29">
        <v>45877.0</v>
      </c>
      <c r="L318" s="26" t="str">
        <f t="shared" si="12"/>
        <v>2025</v>
      </c>
      <c r="M318" s="29">
        <v>46280.0</v>
      </c>
      <c r="N318" s="26" t="str">
        <f t="shared" si="13"/>
        <v>2026</v>
      </c>
      <c r="O318" s="36">
        <f t="shared" si="11"/>
        <v>403</v>
      </c>
      <c r="P318" s="36">
        <f t="shared" si="4"/>
        <v>1</v>
      </c>
      <c r="Q318" s="23" t="s">
        <v>150</v>
      </c>
      <c r="R318" s="27"/>
      <c r="S318" s="27"/>
      <c r="T318" s="27"/>
      <c r="U318" s="27"/>
      <c r="V318" s="27"/>
      <c r="W318" s="23" t="s">
        <v>3744</v>
      </c>
      <c r="X318" s="23" t="s">
        <v>3744</v>
      </c>
      <c r="Y318" s="27"/>
      <c r="Z318" s="27"/>
      <c r="AA318" s="27"/>
      <c r="AB318" s="44"/>
      <c r="AC318" s="76" t="s">
        <v>354</v>
      </c>
      <c r="AD318" s="76" t="s">
        <v>123</v>
      </c>
      <c r="AE318" s="76" t="s">
        <v>124</v>
      </c>
    </row>
    <row r="319">
      <c r="A319" s="45" t="s">
        <v>64</v>
      </c>
      <c r="B319" s="45" t="s">
        <v>19</v>
      </c>
      <c r="C319" s="45" t="s">
        <v>2280</v>
      </c>
      <c r="D319" s="45" t="s">
        <v>2283</v>
      </c>
      <c r="E319" s="45" t="s">
        <v>2285</v>
      </c>
      <c r="F319" s="48">
        <v>614.0</v>
      </c>
      <c r="G319" s="51"/>
      <c r="H319" s="51"/>
      <c r="I319" s="53"/>
      <c r="J319" s="45" t="s">
        <v>740</v>
      </c>
      <c r="K319" s="55">
        <v>45572.0</v>
      </c>
      <c r="L319" s="48" t="str">
        <f t="shared" si="12"/>
        <v>2024</v>
      </c>
      <c r="M319" s="55">
        <v>46143.0</v>
      </c>
      <c r="N319" s="48" t="str">
        <f t="shared" si="13"/>
        <v>2026</v>
      </c>
      <c r="O319" s="58">
        <f t="shared" si="11"/>
        <v>571</v>
      </c>
      <c r="P319" s="58">
        <f t="shared" si="4"/>
        <v>1</v>
      </c>
      <c r="Q319" s="45" t="s">
        <v>253</v>
      </c>
      <c r="R319" s="51"/>
      <c r="S319" s="51"/>
      <c r="T319" s="51"/>
      <c r="U319" s="51"/>
      <c r="V319" s="51"/>
      <c r="W319" s="142" t="s">
        <v>3758</v>
      </c>
      <c r="X319" s="142" t="s">
        <v>3760</v>
      </c>
      <c r="Y319" s="51"/>
      <c r="Z319" s="51"/>
      <c r="AA319" s="51"/>
      <c r="AB319" s="72"/>
      <c r="AC319" s="64" t="s">
        <v>354</v>
      </c>
      <c r="AD319" s="64" t="s">
        <v>3761</v>
      </c>
      <c r="AE319" s="64" t="s">
        <v>124</v>
      </c>
    </row>
    <row r="320">
      <c r="A320" s="23" t="s">
        <v>64</v>
      </c>
      <c r="B320" s="23" t="s">
        <v>19</v>
      </c>
      <c r="C320" s="23" t="s">
        <v>417</v>
      </c>
      <c r="D320" s="26" t="e">
        <v>#N/A</v>
      </c>
      <c r="E320" s="26" t="e">
        <v>#N/A</v>
      </c>
      <c r="F320" s="27"/>
      <c r="G320" s="27"/>
      <c r="H320" s="27"/>
      <c r="I320" s="88"/>
      <c r="J320" s="23" t="s">
        <v>1372</v>
      </c>
      <c r="K320" s="29">
        <v>45636.0</v>
      </c>
      <c r="L320" s="29" t="str">
        <f t="shared" si="12"/>
        <v>2024</v>
      </c>
      <c r="M320" s="29">
        <v>46001.0</v>
      </c>
      <c r="N320" s="26" t="str">
        <f t="shared" si="13"/>
        <v>2025</v>
      </c>
      <c r="O320" s="36">
        <f t="shared" si="11"/>
        <v>365</v>
      </c>
      <c r="P320" s="36">
        <f t="shared" si="4"/>
        <v>1</v>
      </c>
      <c r="Q320" s="23" t="s">
        <v>150</v>
      </c>
      <c r="R320" s="23" t="s">
        <v>3775</v>
      </c>
      <c r="S320" s="23" t="s">
        <v>113</v>
      </c>
      <c r="T320" s="27"/>
      <c r="U320" s="27"/>
      <c r="V320" s="27"/>
      <c r="W320" s="27"/>
      <c r="X320" s="23" t="s">
        <v>3778</v>
      </c>
      <c r="Y320" s="27"/>
      <c r="Z320" s="27"/>
      <c r="AA320" s="27"/>
      <c r="AB320" s="44"/>
      <c r="AC320" s="76" t="s">
        <v>820</v>
      </c>
      <c r="AD320" s="76" t="s">
        <v>261</v>
      </c>
      <c r="AE320" s="76" t="s">
        <v>679</v>
      </c>
    </row>
    <row r="321">
      <c r="A321" s="45" t="s">
        <v>64</v>
      </c>
      <c r="B321" s="45" t="s">
        <v>19</v>
      </c>
      <c r="C321" s="45" t="s">
        <v>806</v>
      </c>
      <c r="D321" s="45" t="s">
        <v>3781</v>
      </c>
      <c r="E321" s="45" t="s">
        <v>3782</v>
      </c>
      <c r="F321" s="48">
        <v>896.0</v>
      </c>
      <c r="G321" s="48">
        <v>600704.0</v>
      </c>
      <c r="H321" s="45" t="s">
        <v>1392</v>
      </c>
      <c r="I321" s="45" t="s">
        <v>1148</v>
      </c>
      <c r="J321" s="45" t="s">
        <v>2418</v>
      </c>
      <c r="K321" s="55">
        <v>45944.0</v>
      </c>
      <c r="L321" s="48" t="str">
        <f t="shared" si="12"/>
        <v>2025</v>
      </c>
      <c r="M321" s="55">
        <v>46676.0</v>
      </c>
      <c r="N321" s="48" t="str">
        <f t="shared" si="13"/>
        <v>2027</v>
      </c>
      <c r="O321" s="58">
        <f t="shared" si="11"/>
        <v>732</v>
      </c>
      <c r="P321" s="58">
        <f t="shared" si="4"/>
        <v>2</v>
      </c>
      <c r="Q321" s="45" t="s">
        <v>150</v>
      </c>
      <c r="R321" s="51"/>
      <c r="S321" s="51"/>
      <c r="T321" s="45" t="s">
        <v>146</v>
      </c>
      <c r="U321" s="45" t="s">
        <v>1244</v>
      </c>
      <c r="V321" s="51"/>
      <c r="W321" s="45" t="s">
        <v>3788</v>
      </c>
      <c r="X321" s="45" t="s">
        <v>3788</v>
      </c>
      <c r="Y321" s="51"/>
      <c r="Z321" s="51"/>
      <c r="AA321" s="51"/>
      <c r="AB321" s="72"/>
      <c r="AC321" s="64" t="s">
        <v>777</v>
      </c>
      <c r="AD321" s="64" t="s">
        <v>14</v>
      </c>
      <c r="AE321" s="64" t="s">
        <v>3791</v>
      </c>
    </row>
    <row r="322">
      <c r="A322" s="23" t="s">
        <v>64</v>
      </c>
      <c r="B322" s="23" t="s">
        <v>19</v>
      </c>
      <c r="C322" s="23" t="s">
        <v>3792</v>
      </c>
      <c r="D322" s="23" t="s">
        <v>3793</v>
      </c>
      <c r="E322" s="144" t="s">
        <v>3794</v>
      </c>
      <c r="F322" s="26">
        <v>899.0</v>
      </c>
      <c r="G322" s="26">
        <v>600714.0</v>
      </c>
      <c r="H322" s="23" t="s">
        <v>2979</v>
      </c>
      <c r="I322" s="88"/>
      <c r="J322" s="27"/>
      <c r="K322" s="29">
        <v>45953.0</v>
      </c>
      <c r="L322" s="26" t="str">
        <f t="shared" si="12"/>
        <v>2025</v>
      </c>
      <c r="M322" s="29">
        <v>45991.0</v>
      </c>
      <c r="N322" s="26" t="str">
        <f t="shared" si="13"/>
        <v>2025</v>
      </c>
      <c r="O322" s="36">
        <f t="shared" si="11"/>
        <v>38</v>
      </c>
      <c r="P322" s="36">
        <f t="shared" si="4"/>
        <v>0</v>
      </c>
      <c r="Q322" s="23" t="s">
        <v>150</v>
      </c>
      <c r="R322" s="27"/>
      <c r="S322" s="27"/>
      <c r="T322" s="23" t="s">
        <v>84</v>
      </c>
      <c r="U322" s="27"/>
      <c r="V322" s="27"/>
      <c r="W322" s="23" t="s">
        <v>3805</v>
      </c>
      <c r="X322" s="23" t="s">
        <v>3805</v>
      </c>
      <c r="Y322" s="27"/>
      <c r="Z322" s="27"/>
      <c r="AA322" s="27"/>
      <c r="AB322" s="44"/>
      <c r="AC322" s="76" t="s">
        <v>354</v>
      </c>
      <c r="AD322" s="27"/>
      <c r="AE322" s="76" t="s">
        <v>124</v>
      </c>
    </row>
    <row r="323">
      <c r="A323" s="45" t="s">
        <v>64</v>
      </c>
      <c r="B323" s="45" t="s">
        <v>19</v>
      </c>
      <c r="C323" s="45" t="s">
        <v>993</v>
      </c>
      <c r="D323" s="45" t="s">
        <v>3812</v>
      </c>
      <c r="E323" s="45" t="s">
        <v>3813</v>
      </c>
      <c r="F323" s="48">
        <v>900.0</v>
      </c>
      <c r="G323" s="48">
        <v>600715.0</v>
      </c>
      <c r="H323" s="45" t="s">
        <v>1392</v>
      </c>
      <c r="I323" s="45" t="s">
        <v>1148</v>
      </c>
      <c r="J323" s="51"/>
      <c r="K323" s="55">
        <v>45958.0</v>
      </c>
      <c r="L323" s="48" t="str">
        <f t="shared" si="12"/>
        <v>2025</v>
      </c>
      <c r="M323" s="55">
        <v>46163.0</v>
      </c>
      <c r="N323" s="48" t="str">
        <f t="shared" si="13"/>
        <v>2026</v>
      </c>
      <c r="O323" s="58">
        <f t="shared" si="11"/>
        <v>205</v>
      </c>
      <c r="P323" s="58">
        <f t="shared" si="4"/>
        <v>0</v>
      </c>
      <c r="Q323" s="45" t="s">
        <v>150</v>
      </c>
      <c r="R323" s="51"/>
      <c r="S323" s="51"/>
      <c r="T323" s="45" t="s">
        <v>146</v>
      </c>
      <c r="U323" s="45" t="s">
        <v>1244</v>
      </c>
      <c r="V323" s="51"/>
      <c r="W323" s="45" t="s">
        <v>3817</v>
      </c>
      <c r="X323" s="45" t="s">
        <v>3819</v>
      </c>
      <c r="Y323" s="51"/>
      <c r="Z323" s="51"/>
      <c r="AA323" s="51"/>
      <c r="AB323" s="72"/>
      <c r="AC323" s="51"/>
      <c r="AD323" s="64" t="s">
        <v>123</v>
      </c>
      <c r="AE323" s="64" t="s">
        <v>124</v>
      </c>
    </row>
    <row r="324">
      <c r="A324" s="23" t="s">
        <v>64</v>
      </c>
      <c r="B324" s="23" t="s">
        <v>19</v>
      </c>
      <c r="C324" s="23" t="s">
        <v>3821</v>
      </c>
      <c r="D324" s="23" t="s">
        <v>3822</v>
      </c>
      <c r="E324" s="23" t="s">
        <v>3824</v>
      </c>
      <c r="F324" s="26">
        <v>902.0</v>
      </c>
      <c r="G324" s="26">
        <v>600716.0</v>
      </c>
      <c r="H324" s="23" t="s">
        <v>2132</v>
      </c>
      <c r="I324" s="88"/>
      <c r="J324" s="23" t="s">
        <v>2429</v>
      </c>
      <c r="K324" s="29">
        <v>45959.0</v>
      </c>
      <c r="L324" s="88"/>
      <c r="M324" s="29">
        <v>46324.0</v>
      </c>
      <c r="N324" s="26" t="str">
        <f t="shared" si="13"/>
        <v>2026</v>
      </c>
      <c r="O324" s="36">
        <f t="shared" si="11"/>
        <v>365</v>
      </c>
      <c r="P324" s="36">
        <f t="shared" si="4"/>
        <v>1</v>
      </c>
      <c r="Q324" s="23" t="s">
        <v>150</v>
      </c>
      <c r="R324" s="27"/>
      <c r="S324" s="27"/>
      <c r="T324" s="23" t="s">
        <v>146</v>
      </c>
      <c r="U324" s="23" t="s">
        <v>3827</v>
      </c>
      <c r="V324" s="27"/>
      <c r="W324" s="23" t="s">
        <v>3829</v>
      </c>
      <c r="X324" s="134" t="s">
        <v>3829</v>
      </c>
      <c r="Y324" s="27"/>
      <c r="Z324" s="27"/>
      <c r="AA324" s="27"/>
      <c r="AB324" s="44"/>
      <c r="AC324" s="76" t="s">
        <v>820</v>
      </c>
      <c r="AD324" s="76" t="s">
        <v>123</v>
      </c>
      <c r="AE324" s="76" t="s">
        <v>124</v>
      </c>
    </row>
    <row r="325">
      <c r="A325" s="45" t="s">
        <v>64</v>
      </c>
      <c r="B325" s="45" t="s">
        <v>19</v>
      </c>
      <c r="C325" s="45" t="s">
        <v>3835</v>
      </c>
      <c r="D325" s="45" t="s">
        <v>3836</v>
      </c>
      <c r="E325" s="142" t="s">
        <v>3838</v>
      </c>
      <c r="F325" s="48">
        <v>901.0</v>
      </c>
      <c r="G325" s="48">
        <v>600548.0</v>
      </c>
      <c r="H325" s="51"/>
      <c r="I325" s="53"/>
      <c r="J325" s="51"/>
      <c r="K325" s="55">
        <v>45959.0</v>
      </c>
      <c r="L325" s="53"/>
      <c r="M325" s="55">
        <v>46323.0</v>
      </c>
      <c r="N325" s="48" t="str">
        <f t="shared" si="13"/>
        <v>2026</v>
      </c>
      <c r="O325" s="58">
        <f t="shared" si="11"/>
        <v>364</v>
      </c>
      <c r="P325" s="58">
        <f t="shared" si="4"/>
        <v>0</v>
      </c>
      <c r="Q325" s="45" t="s">
        <v>150</v>
      </c>
      <c r="R325" s="51"/>
      <c r="S325" s="51"/>
      <c r="T325" s="45" t="s">
        <v>84</v>
      </c>
      <c r="U325" s="51"/>
      <c r="V325" s="51"/>
      <c r="W325" s="142" t="s">
        <v>3848</v>
      </c>
      <c r="X325" s="142" t="s">
        <v>3855</v>
      </c>
      <c r="Y325" s="51"/>
      <c r="Z325" s="51"/>
      <c r="AA325" s="51"/>
      <c r="AB325" s="72"/>
      <c r="AC325" s="64" t="s">
        <v>354</v>
      </c>
      <c r="AD325" s="64" t="s">
        <v>14</v>
      </c>
      <c r="AE325" s="64" t="s">
        <v>476</v>
      </c>
    </row>
    <row r="326">
      <c r="A326" s="23" t="s">
        <v>64</v>
      </c>
      <c r="B326" s="27"/>
      <c r="C326" s="23" t="s">
        <v>973</v>
      </c>
      <c r="D326" s="27"/>
      <c r="E326" s="27"/>
      <c r="F326" s="27"/>
      <c r="G326" s="27"/>
      <c r="H326" s="27"/>
      <c r="I326" s="88"/>
      <c r="J326" s="27"/>
      <c r="K326" s="88"/>
      <c r="L326" s="88"/>
      <c r="M326" s="88"/>
      <c r="N326" s="27" t="str">
        <f t="shared" si="13"/>
        <v/>
      </c>
      <c r="O326" s="36">
        <f t="shared" si="11"/>
        <v>0</v>
      </c>
      <c r="P326" s="36">
        <f t="shared" si="4"/>
        <v>0</v>
      </c>
      <c r="Q326" s="27"/>
      <c r="R326" s="27"/>
      <c r="S326" s="27"/>
      <c r="T326" s="27"/>
      <c r="U326" s="27"/>
      <c r="V326" s="27"/>
      <c r="W326" s="27"/>
      <c r="X326" s="27"/>
      <c r="Y326" s="27"/>
      <c r="Z326" s="27"/>
      <c r="AA326" s="27"/>
      <c r="AB326" s="44"/>
      <c r="AC326" s="27"/>
      <c r="AD326" s="27"/>
      <c r="AE326" s="76" t="s">
        <v>124</v>
      </c>
    </row>
    <row r="327">
      <c r="A327" s="45" t="s">
        <v>64</v>
      </c>
      <c r="B327" s="45" t="s">
        <v>19</v>
      </c>
      <c r="C327" s="45" t="s">
        <v>796</v>
      </c>
      <c r="D327" s="45" t="s">
        <v>3870</v>
      </c>
      <c r="E327" s="45" t="s">
        <v>3871</v>
      </c>
      <c r="F327" s="48">
        <v>893.0</v>
      </c>
      <c r="G327" s="48">
        <v>600702.0</v>
      </c>
      <c r="H327" s="45" t="s">
        <v>1392</v>
      </c>
      <c r="I327" s="51"/>
      <c r="J327" s="51"/>
      <c r="K327" s="55">
        <v>45918.0</v>
      </c>
      <c r="L327" s="51"/>
      <c r="M327" s="55">
        <v>46282.0</v>
      </c>
      <c r="N327" s="48">
        <v>2026.0</v>
      </c>
      <c r="O327" s="58">
        <f t="shared" si="11"/>
        <v>364</v>
      </c>
      <c r="P327" s="58">
        <f t="shared" si="4"/>
        <v>0</v>
      </c>
      <c r="Q327" s="45" t="s">
        <v>150</v>
      </c>
      <c r="R327" s="51"/>
      <c r="S327" s="51"/>
      <c r="T327" s="45" t="s">
        <v>84</v>
      </c>
      <c r="U327" s="45" t="s">
        <v>25</v>
      </c>
      <c r="V327" s="45" t="s">
        <v>104</v>
      </c>
      <c r="W327" s="45" t="s">
        <v>3875</v>
      </c>
      <c r="X327" s="51"/>
      <c r="Y327" s="51"/>
      <c r="Z327" s="51"/>
      <c r="AA327" s="51"/>
      <c r="AB327" s="203"/>
      <c r="AC327" s="51"/>
      <c r="AD327" s="64" t="s">
        <v>38</v>
      </c>
      <c r="AE327" s="64" t="s">
        <v>162</v>
      </c>
    </row>
    <row r="328">
      <c r="A328" s="23" t="s">
        <v>407</v>
      </c>
      <c r="B328" s="23" t="s">
        <v>19</v>
      </c>
      <c r="C328" s="23" t="s">
        <v>1454</v>
      </c>
      <c r="D328" s="23" t="s">
        <v>1455</v>
      </c>
      <c r="E328" s="23" t="s">
        <v>1456</v>
      </c>
      <c r="F328" s="26">
        <v>431.0</v>
      </c>
      <c r="G328" s="237">
        <v>600084.0</v>
      </c>
      <c r="H328" s="23" t="s">
        <v>139</v>
      </c>
      <c r="I328" s="23" t="s">
        <v>1457</v>
      </c>
      <c r="J328" s="238"/>
      <c r="K328" s="29">
        <v>45139.0</v>
      </c>
      <c r="L328" s="239" t="str">
        <f t="shared" ref="L328:L513" si="14">right(K328,4)</f>
        <v>2023</v>
      </c>
      <c r="M328" s="29">
        <v>46054.0</v>
      </c>
      <c r="N328" s="29" t="str">
        <f t="shared" ref="N328:N569" si="15">right(M328,4)</f>
        <v>2026</v>
      </c>
      <c r="O328" s="36">
        <f t="shared" si="11"/>
        <v>915</v>
      </c>
      <c r="P328" s="36">
        <f t="shared" si="4"/>
        <v>2</v>
      </c>
      <c r="Q328" s="23" t="s">
        <v>253</v>
      </c>
      <c r="R328" s="27"/>
      <c r="S328" s="27"/>
      <c r="T328" s="27"/>
      <c r="U328" s="27"/>
      <c r="V328" s="23" t="s">
        <v>104</v>
      </c>
      <c r="W328" s="23" t="s">
        <v>1460</v>
      </c>
      <c r="X328" s="23" t="s">
        <v>1460</v>
      </c>
      <c r="Y328" s="27"/>
      <c r="Z328" s="27"/>
      <c r="AA328" s="23" t="s">
        <v>104</v>
      </c>
      <c r="AB328" s="189"/>
      <c r="AC328" s="76" t="s">
        <v>354</v>
      </c>
      <c r="AD328" s="76" t="s">
        <v>261</v>
      </c>
      <c r="AE328" s="76" t="s">
        <v>3311</v>
      </c>
    </row>
    <row r="329">
      <c r="A329" s="45" t="s">
        <v>407</v>
      </c>
      <c r="B329" s="45" t="s">
        <v>19</v>
      </c>
      <c r="C329" s="45" t="s">
        <v>1464</v>
      </c>
      <c r="D329" s="45" t="s">
        <v>1465</v>
      </c>
      <c r="E329" s="45" t="s">
        <v>1466</v>
      </c>
      <c r="F329" s="48">
        <v>432.0</v>
      </c>
      <c r="G329" s="240">
        <v>600085.0</v>
      </c>
      <c r="H329" s="45" t="s">
        <v>139</v>
      </c>
      <c r="I329" s="53"/>
      <c r="J329" s="241"/>
      <c r="K329" s="55">
        <v>45139.0</v>
      </c>
      <c r="L329" s="242" t="str">
        <f t="shared" si="14"/>
        <v>2023</v>
      </c>
      <c r="M329" s="55">
        <v>46054.0</v>
      </c>
      <c r="N329" s="55" t="str">
        <f t="shared" si="15"/>
        <v>2026</v>
      </c>
      <c r="O329" s="58">
        <f t="shared" si="11"/>
        <v>915</v>
      </c>
      <c r="P329" s="58">
        <f t="shared" si="4"/>
        <v>2</v>
      </c>
      <c r="Q329" s="45" t="s">
        <v>253</v>
      </c>
      <c r="R329" s="51"/>
      <c r="S329" s="51"/>
      <c r="T329" s="51"/>
      <c r="U329" s="51"/>
      <c r="V329" s="45" t="s">
        <v>104</v>
      </c>
      <c r="W329" s="45" t="s">
        <v>1467</v>
      </c>
      <c r="X329" s="45" t="s">
        <v>1467</v>
      </c>
      <c r="Y329" s="51"/>
      <c r="Z329" s="51"/>
      <c r="AA329" s="45" t="s">
        <v>104</v>
      </c>
      <c r="AB329" s="203"/>
      <c r="AC329" s="64" t="s">
        <v>354</v>
      </c>
      <c r="AD329" s="64" t="s">
        <v>261</v>
      </c>
      <c r="AE329" s="64" t="s">
        <v>3311</v>
      </c>
    </row>
    <row r="330">
      <c r="A330" s="23" t="s">
        <v>407</v>
      </c>
      <c r="B330" s="23" t="s">
        <v>19</v>
      </c>
      <c r="C330" s="23" t="s">
        <v>1470</v>
      </c>
      <c r="D330" s="23" t="s">
        <v>1471</v>
      </c>
      <c r="E330" s="23" t="s">
        <v>1472</v>
      </c>
      <c r="F330" s="26">
        <v>433.0</v>
      </c>
      <c r="G330" s="237">
        <v>600098.0</v>
      </c>
      <c r="H330" s="23" t="s">
        <v>139</v>
      </c>
      <c r="I330" s="88"/>
      <c r="J330" s="238"/>
      <c r="K330" s="29">
        <v>45140.0</v>
      </c>
      <c r="L330" s="239" t="str">
        <f t="shared" si="14"/>
        <v>2023</v>
      </c>
      <c r="M330" s="29">
        <v>45977.0</v>
      </c>
      <c r="N330" s="29" t="str">
        <f t="shared" si="15"/>
        <v>2025</v>
      </c>
      <c r="O330" s="36">
        <f t="shared" si="11"/>
        <v>837</v>
      </c>
      <c r="P330" s="36">
        <f t="shared" si="4"/>
        <v>2</v>
      </c>
      <c r="Q330" s="23" t="s">
        <v>348</v>
      </c>
      <c r="R330" s="23" t="s">
        <v>3910</v>
      </c>
      <c r="S330" s="27"/>
      <c r="T330" s="27"/>
      <c r="U330" s="27"/>
      <c r="V330" s="23" t="s">
        <v>104</v>
      </c>
      <c r="W330" s="23" t="s">
        <v>1477</v>
      </c>
      <c r="X330" s="23" t="s">
        <v>1477</v>
      </c>
      <c r="Y330" s="27"/>
      <c r="Z330" s="27"/>
      <c r="AA330" s="23" t="s">
        <v>3912</v>
      </c>
      <c r="AB330" s="189"/>
      <c r="AC330" s="76" t="s">
        <v>354</v>
      </c>
      <c r="AD330" s="76" t="s">
        <v>123</v>
      </c>
      <c r="AE330" s="76" t="s">
        <v>1621</v>
      </c>
    </row>
    <row r="331">
      <c r="A331" s="45" t="s">
        <v>169</v>
      </c>
      <c r="B331" s="45" t="s">
        <v>67</v>
      </c>
      <c r="C331" s="45" t="s">
        <v>1628</v>
      </c>
      <c r="D331" s="45" t="s">
        <v>1630</v>
      </c>
      <c r="E331" s="45" t="s">
        <v>1631</v>
      </c>
      <c r="F331" s="48">
        <v>436.0</v>
      </c>
      <c r="G331" s="243"/>
      <c r="H331" s="45" t="s">
        <v>139</v>
      </c>
      <c r="I331" s="53"/>
      <c r="J331" s="51"/>
      <c r="K331" s="55">
        <v>45177.0</v>
      </c>
      <c r="L331" s="242" t="str">
        <f t="shared" si="14"/>
        <v>2023</v>
      </c>
      <c r="M331" s="55">
        <v>45362.0</v>
      </c>
      <c r="N331" s="55" t="str">
        <f t="shared" si="15"/>
        <v>2024</v>
      </c>
      <c r="O331" s="58">
        <f t="shared" si="11"/>
        <v>185</v>
      </c>
      <c r="P331" s="58">
        <f t="shared" si="4"/>
        <v>0</v>
      </c>
      <c r="Q331" s="45" t="s">
        <v>150</v>
      </c>
      <c r="R331" s="51"/>
      <c r="S331" s="51"/>
      <c r="T331" s="51"/>
      <c r="U331" s="51"/>
      <c r="V331" s="45" t="s">
        <v>708</v>
      </c>
      <c r="W331" s="45" t="s">
        <v>1635</v>
      </c>
      <c r="X331" s="51"/>
      <c r="Y331" s="51"/>
      <c r="Z331" s="51"/>
      <c r="AA331" s="51"/>
      <c r="AB331" s="203"/>
      <c r="AC331" s="64" t="s">
        <v>247</v>
      </c>
      <c r="AD331" s="64" t="s">
        <v>261</v>
      </c>
      <c r="AE331" s="64" t="s">
        <v>1641</v>
      </c>
    </row>
    <row r="332">
      <c r="A332" s="23" t="s">
        <v>169</v>
      </c>
      <c r="B332" s="23" t="s">
        <v>67</v>
      </c>
      <c r="C332" s="23" t="s">
        <v>1483</v>
      </c>
      <c r="D332" s="23" t="s">
        <v>1484</v>
      </c>
      <c r="E332" s="23" t="s">
        <v>1485</v>
      </c>
      <c r="F332" s="26">
        <v>437.0</v>
      </c>
      <c r="G332" s="244"/>
      <c r="H332" s="23" t="s">
        <v>84</v>
      </c>
      <c r="I332" s="88"/>
      <c r="J332" s="238"/>
      <c r="K332" s="29">
        <v>45146.0</v>
      </c>
      <c r="L332" s="239" t="str">
        <f t="shared" si="14"/>
        <v>2023</v>
      </c>
      <c r="M332" s="29">
        <v>45363.0</v>
      </c>
      <c r="N332" s="29" t="str">
        <f t="shared" si="15"/>
        <v>2024</v>
      </c>
      <c r="O332" s="36">
        <f t="shared" si="11"/>
        <v>217</v>
      </c>
      <c r="P332" s="36">
        <f t="shared" si="4"/>
        <v>0</v>
      </c>
      <c r="Q332" s="23" t="s">
        <v>253</v>
      </c>
      <c r="R332" s="27"/>
      <c r="S332" s="27"/>
      <c r="T332" s="27"/>
      <c r="U332" s="27"/>
      <c r="V332" s="23" t="s">
        <v>3934</v>
      </c>
      <c r="W332" s="23" t="s">
        <v>1492</v>
      </c>
      <c r="X332" s="27"/>
      <c r="Y332" s="27"/>
      <c r="Z332" s="27"/>
      <c r="AA332" s="23" t="s">
        <v>1491</v>
      </c>
      <c r="AB332" s="189"/>
      <c r="AC332" s="76" t="s">
        <v>247</v>
      </c>
      <c r="AD332" s="27"/>
      <c r="AE332" s="76" t="s">
        <v>1493</v>
      </c>
    </row>
    <row r="333">
      <c r="A333" s="45" t="s">
        <v>169</v>
      </c>
      <c r="B333" s="45" t="s">
        <v>67</v>
      </c>
      <c r="C333" s="45" t="s">
        <v>3939</v>
      </c>
      <c r="D333" s="45" t="s">
        <v>3940</v>
      </c>
      <c r="E333" s="45" t="s">
        <v>3942</v>
      </c>
      <c r="F333" s="48">
        <v>832.0</v>
      </c>
      <c r="G333" s="240">
        <v>600646.0</v>
      </c>
      <c r="H333" s="45" t="s">
        <v>2676</v>
      </c>
      <c r="I333" s="45" t="s">
        <v>1148</v>
      </c>
      <c r="J333" s="45" t="s">
        <v>1525</v>
      </c>
      <c r="K333" s="55">
        <v>45835.0</v>
      </c>
      <c r="L333" s="242" t="str">
        <f t="shared" si="14"/>
        <v>2025</v>
      </c>
      <c r="M333" s="55">
        <v>45849.0</v>
      </c>
      <c r="N333" s="55" t="str">
        <f t="shared" si="15"/>
        <v>2025</v>
      </c>
      <c r="O333" s="58">
        <f t="shared" si="11"/>
        <v>14</v>
      </c>
      <c r="P333" s="58">
        <f t="shared" si="4"/>
        <v>0</v>
      </c>
      <c r="Q333" s="45" t="s">
        <v>150</v>
      </c>
      <c r="R333" s="51"/>
      <c r="S333" s="51"/>
      <c r="T333" s="45" t="s">
        <v>146</v>
      </c>
      <c r="U333" s="45" t="s">
        <v>1244</v>
      </c>
      <c r="V333" s="45" t="s">
        <v>3946</v>
      </c>
      <c r="W333" s="142" t="s">
        <v>3949</v>
      </c>
      <c r="X333" s="51"/>
      <c r="Y333" s="51"/>
      <c r="Z333" s="51"/>
      <c r="AA333" s="51"/>
      <c r="AB333" s="203"/>
      <c r="AC333" s="64" t="s">
        <v>247</v>
      </c>
      <c r="AD333" s="51"/>
      <c r="AE333" s="64" t="s">
        <v>1610</v>
      </c>
    </row>
    <row r="334">
      <c r="A334" s="23" t="s">
        <v>169</v>
      </c>
      <c r="B334" s="23" t="s">
        <v>67</v>
      </c>
      <c r="C334" s="23" t="s">
        <v>3843</v>
      </c>
      <c r="D334" s="23" t="s">
        <v>3844</v>
      </c>
      <c r="E334" s="23" t="s">
        <v>3845</v>
      </c>
      <c r="F334" s="26">
        <v>677.0</v>
      </c>
      <c r="G334" s="237">
        <v>600453.0</v>
      </c>
      <c r="H334" s="23" t="s">
        <v>464</v>
      </c>
      <c r="I334" s="23" t="s">
        <v>1148</v>
      </c>
      <c r="J334" s="23" t="s">
        <v>2413</v>
      </c>
      <c r="K334" s="29">
        <v>45489.0</v>
      </c>
      <c r="L334" s="239" t="str">
        <f t="shared" si="14"/>
        <v>2024</v>
      </c>
      <c r="M334" s="29">
        <v>45854.0</v>
      </c>
      <c r="N334" s="29" t="str">
        <f t="shared" si="15"/>
        <v>2025</v>
      </c>
      <c r="O334" s="36">
        <f t="shared" si="11"/>
        <v>365</v>
      </c>
      <c r="P334" s="36">
        <f t="shared" si="4"/>
        <v>1</v>
      </c>
      <c r="Q334" s="23" t="s">
        <v>150</v>
      </c>
      <c r="R334" s="27"/>
      <c r="S334" s="27"/>
      <c r="T334" s="23" t="s">
        <v>146</v>
      </c>
      <c r="U334" s="23" t="s">
        <v>48</v>
      </c>
      <c r="V334" s="23" t="s">
        <v>104</v>
      </c>
      <c r="W334" s="23" t="s">
        <v>3851</v>
      </c>
      <c r="X334" s="23" t="s">
        <v>3851</v>
      </c>
      <c r="Y334" s="27"/>
      <c r="Z334" s="27"/>
      <c r="AA334" s="27"/>
      <c r="AB334" s="189"/>
      <c r="AC334" s="76" t="s">
        <v>247</v>
      </c>
      <c r="AD334" s="76" t="s">
        <v>261</v>
      </c>
      <c r="AE334" s="76" t="s">
        <v>1621</v>
      </c>
    </row>
    <row r="335">
      <c r="A335" s="45" t="s">
        <v>169</v>
      </c>
      <c r="B335" s="45" t="s">
        <v>67</v>
      </c>
      <c r="C335" s="45" t="s">
        <v>667</v>
      </c>
      <c r="D335" s="45" t="s">
        <v>1519</v>
      </c>
      <c r="E335" s="45" t="s">
        <v>1520</v>
      </c>
      <c r="F335" s="48">
        <v>442.0</v>
      </c>
      <c r="G335" s="243"/>
      <c r="H335" s="45" t="s">
        <v>266</v>
      </c>
      <c r="I335" s="53"/>
      <c r="J335" s="241"/>
      <c r="K335" s="55">
        <v>45148.0</v>
      </c>
      <c r="L335" s="242" t="str">
        <f t="shared" si="14"/>
        <v>2023</v>
      </c>
      <c r="M335" s="55">
        <v>45291.0</v>
      </c>
      <c r="N335" s="55" t="str">
        <f t="shared" si="15"/>
        <v>2023</v>
      </c>
      <c r="O335" s="58">
        <f t="shared" si="11"/>
        <v>143</v>
      </c>
      <c r="P335" s="58">
        <f t="shared" si="4"/>
        <v>0</v>
      </c>
      <c r="Q335" s="45" t="s">
        <v>150</v>
      </c>
      <c r="R335" s="51"/>
      <c r="S335" s="51"/>
      <c r="T335" s="51"/>
      <c r="U335" s="51"/>
      <c r="V335" s="45" t="s">
        <v>104</v>
      </c>
      <c r="W335" s="45" t="s">
        <v>1524</v>
      </c>
      <c r="X335" s="51"/>
      <c r="Y335" s="51"/>
      <c r="Z335" s="51"/>
      <c r="AA335" s="45" t="s">
        <v>3974</v>
      </c>
      <c r="AB335" s="203"/>
      <c r="AC335" s="64" t="s">
        <v>247</v>
      </c>
      <c r="AD335" s="51"/>
      <c r="AE335" s="64" t="s">
        <v>3976</v>
      </c>
    </row>
    <row r="336">
      <c r="A336" s="23" t="s">
        <v>169</v>
      </c>
      <c r="B336" s="23" t="s">
        <v>67</v>
      </c>
      <c r="C336" s="23" t="s">
        <v>1537</v>
      </c>
      <c r="D336" s="23" t="s">
        <v>1538</v>
      </c>
      <c r="E336" s="23" t="s">
        <v>1539</v>
      </c>
      <c r="F336" s="26">
        <v>445.0</v>
      </c>
      <c r="G336" s="237">
        <v>600202.0</v>
      </c>
      <c r="H336" s="23" t="s">
        <v>266</v>
      </c>
      <c r="I336" s="88"/>
      <c r="J336" s="238"/>
      <c r="K336" s="29">
        <v>45155.0</v>
      </c>
      <c r="L336" s="239" t="str">
        <f t="shared" si="14"/>
        <v>2023</v>
      </c>
      <c r="M336" s="29">
        <v>45657.0</v>
      </c>
      <c r="N336" s="29" t="str">
        <f t="shared" si="15"/>
        <v>2024</v>
      </c>
      <c r="O336" s="36">
        <f t="shared" si="11"/>
        <v>502</v>
      </c>
      <c r="P336" s="36">
        <f t="shared" si="4"/>
        <v>1</v>
      </c>
      <c r="Q336" s="23" t="s">
        <v>150</v>
      </c>
      <c r="R336" s="27"/>
      <c r="S336" s="23" t="s">
        <v>269</v>
      </c>
      <c r="T336" s="27"/>
      <c r="U336" s="27"/>
      <c r="V336" s="23" t="s">
        <v>104</v>
      </c>
      <c r="W336" s="23" t="s">
        <v>1541</v>
      </c>
      <c r="X336" s="27"/>
      <c r="Y336" s="27"/>
      <c r="Z336" s="27"/>
      <c r="AA336" s="27"/>
      <c r="AB336" s="189"/>
      <c r="AC336" s="76" t="s">
        <v>247</v>
      </c>
      <c r="AD336" s="76" t="s">
        <v>261</v>
      </c>
      <c r="AE336" s="76" t="s">
        <v>1621</v>
      </c>
    </row>
    <row r="337">
      <c r="A337" s="45" t="s">
        <v>169</v>
      </c>
      <c r="B337" s="45" t="s">
        <v>19</v>
      </c>
      <c r="C337" s="45" t="s">
        <v>1584</v>
      </c>
      <c r="D337" s="45" t="s">
        <v>1585</v>
      </c>
      <c r="E337" s="45" t="s">
        <v>1586</v>
      </c>
      <c r="F337" s="48">
        <v>450.0</v>
      </c>
      <c r="G337" s="240">
        <v>600102.0</v>
      </c>
      <c r="H337" s="45" t="s">
        <v>139</v>
      </c>
      <c r="I337" s="53"/>
      <c r="J337" s="241"/>
      <c r="K337" s="55">
        <v>45166.0</v>
      </c>
      <c r="L337" s="242" t="str">
        <f t="shared" si="14"/>
        <v>2023</v>
      </c>
      <c r="M337" s="55">
        <v>46022.0</v>
      </c>
      <c r="N337" s="55" t="str">
        <f t="shared" si="15"/>
        <v>2025</v>
      </c>
      <c r="O337" s="58">
        <f t="shared" si="11"/>
        <v>856</v>
      </c>
      <c r="P337" s="58">
        <f t="shared" si="4"/>
        <v>2</v>
      </c>
      <c r="Q337" s="45" t="s">
        <v>253</v>
      </c>
      <c r="R337" s="51"/>
      <c r="S337" s="45" t="s">
        <v>269</v>
      </c>
      <c r="T337" s="51"/>
      <c r="U337" s="51"/>
      <c r="V337" s="45" t="s">
        <v>104</v>
      </c>
      <c r="W337" s="142" t="s">
        <v>1594</v>
      </c>
      <c r="X337" s="142" t="s">
        <v>1594</v>
      </c>
      <c r="Y337" s="51"/>
      <c r="Z337" s="51"/>
      <c r="AA337" s="51"/>
      <c r="AB337" s="203"/>
      <c r="AC337" s="64" t="s">
        <v>820</v>
      </c>
      <c r="AD337" s="64" t="s">
        <v>261</v>
      </c>
      <c r="AE337" s="64" t="s">
        <v>1621</v>
      </c>
    </row>
    <row r="338">
      <c r="A338" s="23" t="s">
        <v>169</v>
      </c>
      <c r="B338" s="23" t="s">
        <v>67</v>
      </c>
      <c r="C338" s="23" t="s">
        <v>1646</v>
      </c>
      <c r="D338" s="23" t="s">
        <v>1649</v>
      </c>
      <c r="E338" s="23" t="s">
        <v>1651</v>
      </c>
      <c r="F338" s="26">
        <v>453.0</v>
      </c>
      <c r="G338" s="237">
        <v>600200.0</v>
      </c>
      <c r="H338" s="23" t="s">
        <v>266</v>
      </c>
      <c r="I338" s="88"/>
      <c r="J338" s="238"/>
      <c r="K338" s="29">
        <v>45177.0</v>
      </c>
      <c r="L338" s="239" t="str">
        <f t="shared" si="14"/>
        <v>2023</v>
      </c>
      <c r="M338" s="29">
        <v>45359.0</v>
      </c>
      <c r="N338" s="29" t="str">
        <f t="shared" si="15"/>
        <v>2024</v>
      </c>
      <c r="O338" s="36">
        <f t="shared" si="11"/>
        <v>182</v>
      </c>
      <c r="P338" s="36">
        <f t="shared" si="4"/>
        <v>0</v>
      </c>
      <c r="Q338" s="23" t="s">
        <v>150</v>
      </c>
      <c r="R338" s="27"/>
      <c r="S338" s="27"/>
      <c r="T338" s="27"/>
      <c r="U338" s="27"/>
      <c r="V338" s="23" t="s">
        <v>4003</v>
      </c>
      <c r="W338" s="144" t="s">
        <v>1662</v>
      </c>
      <c r="X338" s="27"/>
      <c r="Y338" s="27"/>
      <c r="Z338" s="27"/>
      <c r="AA338" s="27"/>
      <c r="AB338" s="189"/>
      <c r="AC338" s="76" t="s">
        <v>247</v>
      </c>
      <c r="AD338" s="76" t="s">
        <v>261</v>
      </c>
      <c r="AE338" s="76" t="s">
        <v>1621</v>
      </c>
    </row>
    <row r="339">
      <c r="A339" s="45" t="s">
        <v>169</v>
      </c>
      <c r="B339" s="45" t="s">
        <v>67</v>
      </c>
      <c r="C339" s="45" t="s">
        <v>1674</v>
      </c>
      <c r="D339" s="45" t="s">
        <v>1676</v>
      </c>
      <c r="E339" s="45" t="s">
        <v>1678</v>
      </c>
      <c r="F339" s="48">
        <v>454.0</v>
      </c>
      <c r="G339" s="243"/>
      <c r="H339" s="45" t="s">
        <v>266</v>
      </c>
      <c r="I339" s="53"/>
      <c r="J339" s="241"/>
      <c r="K339" s="55">
        <v>45180.0</v>
      </c>
      <c r="L339" s="242" t="str">
        <f t="shared" si="14"/>
        <v>2023</v>
      </c>
      <c r="M339" s="55">
        <v>45362.0</v>
      </c>
      <c r="N339" s="55" t="str">
        <f t="shared" si="15"/>
        <v>2024</v>
      </c>
      <c r="O339" s="58">
        <f t="shared" si="11"/>
        <v>182</v>
      </c>
      <c r="P339" s="58">
        <f t="shared" si="4"/>
        <v>0</v>
      </c>
      <c r="Q339" s="45" t="s">
        <v>150</v>
      </c>
      <c r="R339" s="51"/>
      <c r="S339" s="51"/>
      <c r="T339" s="51"/>
      <c r="U339" s="51"/>
      <c r="V339" s="45" t="s">
        <v>4003</v>
      </c>
      <c r="W339" s="142" t="s">
        <v>1685</v>
      </c>
      <c r="X339" s="51"/>
      <c r="Y339" s="51"/>
      <c r="Z339" s="51"/>
      <c r="AA339" s="51"/>
      <c r="AB339" s="203"/>
      <c r="AC339" s="64" t="s">
        <v>247</v>
      </c>
      <c r="AD339" s="64" t="s">
        <v>261</v>
      </c>
      <c r="AE339" s="64" t="s">
        <v>1172</v>
      </c>
    </row>
    <row r="340">
      <c r="A340" s="23" t="s">
        <v>169</v>
      </c>
      <c r="B340" s="23" t="s">
        <v>19</v>
      </c>
      <c r="C340" s="23" t="s">
        <v>1694</v>
      </c>
      <c r="D340" s="23" t="s">
        <v>1695</v>
      </c>
      <c r="E340" s="23" t="s">
        <v>1697</v>
      </c>
      <c r="F340" s="26">
        <v>455.0</v>
      </c>
      <c r="G340" s="237">
        <v>600093.0</v>
      </c>
      <c r="H340" s="23" t="s">
        <v>139</v>
      </c>
      <c r="I340" s="88"/>
      <c r="J340" s="238"/>
      <c r="K340" s="29">
        <v>45180.0</v>
      </c>
      <c r="L340" s="239" t="str">
        <f t="shared" si="14"/>
        <v>2023</v>
      </c>
      <c r="M340" s="29">
        <v>45911.0</v>
      </c>
      <c r="N340" s="29" t="str">
        <f t="shared" si="15"/>
        <v>2025</v>
      </c>
      <c r="O340" s="36">
        <f t="shared" si="11"/>
        <v>731</v>
      </c>
      <c r="P340" s="36">
        <f t="shared" si="4"/>
        <v>2</v>
      </c>
      <c r="Q340" s="23" t="s">
        <v>253</v>
      </c>
      <c r="R340" s="23" t="s">
        <v>1706</v>
      </c>
      <c r="S340" s="27"/>
      <c r="T340" s="27"/>
      <c r="U340" s="27"/>
      <c r="V340" s="23" t="s">
        <v>104</v>
      </c>
      <c r="W340" s="144" t="s">
        <v>1709</v>
      </c>
      <c r="X340" s="144" t="s">
        <v>4035</v>
      </c>
      <c r="Y340" s="27"/>
      <c r="Z340" s="27"/>
      <c r="AA340" s="27"/>
      <c r="AB340" s="189"/>
      <c r="AC340" s="76" t="s">
        <v>354</v>
      </c>
      <c r="AD340" s="76" t="s">
        <v>2127</v>
      </c>
      <c r="AE340" s="76" t="s">
        <v>3421</v>
      </c>
    </row>
    <row r="341">
      <c r="A341" s="45" t="s">
        <v>169</v>
      </c>
      <c r="B341" s="45" t="s">
        <v>67</v>
      </c>
      <c r="C341" s="45" t="s">
        <v>1723</v>
      </c>
      <c r="D341" s="45" t="s">
        <v>1724</v>
      </c>
      <c r="E341" s="45" t="s">
        <v>1725</v>
      </c>
      <c r="F341" s="48">
        <v>456.0</v>
      </c>
      <c r="G341" s="243"/>
      <c r="H341" s="45" t="s">
        <v>266</v>
      </c>
      <c r="I341" s="53"/>
      <c r="J341" s="241"/>
      <c r="K341" s="55">
        <v>45181.0</v>
      </c>
      <c r="L341" s="242" t="str">
        <f t="shared" si="14"/>
        <v>2023</v>
      </c>
      <c r="M341" s="55">
        <v>45547.0</v>
      </c>
      <c r="N341" s="55" t="str">
        <f t="shared" si="15"/>
        <v>2024</v>
      </c>
      <c r="O341" s="58">
        <f t="shared" si="11"/>
        <v>366</v>
      </c>
      <c r="P341" s="58">
        <f t="shared" si="4"/>
        <v>1</v>
      </c>
      <c r="Q341" s="45" t="s">
        <v>150</v>
      </c>
      <c r="R341" s="51"/>
      <c r="S341" s="51"/>
      <c r="T341" s="51"/>
      <c r="U341" s="51"/>
      <c r="V341" s="45" t="s">
        <v>104</v>
      </c>
      <c r="W341" s="45" t="s">
        <v>1749</v>
      </c>
      <c r="X341" s="51"/>
      <c r="Y341" s="51"/>
      <c r="Z341" s="51"/>
      <c r="AA341" s="51"/>
      <c r="AB341" s="203"/>
      <c r="AC341" s="64" t="s">
        <v>247</v>
      </c>
      <c r="AD341" s="51"/>
      <c r="AE341" s="64" t="s">
        <v>3976</v>
      </c>
    </row>
    <row r="342">
      <c r="A342" s="23" t="s">
        <v>169</v>
      </c>
      <c r="B342" s="23" t="s">
        <v>67</v>
      </c>
      <c r="C342" s="23" t="s">
        <v>1759</v>
      </c>
      <c r="D342" s="23" t="s">
        <v>1760</v>
      </c>
      <c r="E342" s="23" t="s">
        <v>1761</v>
      </c>
      <c r="F342" s="26">
        <v>457.0</v>
      </c>
      <c r="G342" s="244"/>
      <c r="H342" s="23" t="s">
        <v>187</v>
      </c>
      <c r="I342" s="88"/>
      <c r="J342" s="238"/>
      <c r="K342" s="29">
        <v>45182.0</v>
      </c>
      <c r="L342" s="239" t="str">
        <f t="shared" si="14"/>
        <v>2023</v>
      </c>
      <c r="M342" s="29">
        <v>45188.0</v>
      </c>
      <c r="N342" s="29" t="str">
        <f t="shared" si="15"/>
        <v>2023</v>
      </c>
      <c r="O342" s="36">
        <f t="shared" si="11"/>
        <v>6</v>
      </c>
      <c r="P342" s="36">
        <f t="shared" si="4"/>
        <v>0</v>
      </c>
      <c r="Q342" s="23" t="s">
        <v>150</v>
      </c>
      <c r="R342" s="23" t="s">
        <v>1272</v>
      </c>
      <c r="S342" s="27"/>
      <c r="T342" s="27"/>
      <c r="U342" s="27"/>
      <c r="V342" s="23" t="s">
        <v>3934</v>
      </c>
      <c r="W342" s="144" t="s">
        <v>1767</v>
      </c>
      <c r="X342" s="27"/>
      <c r="Y342" s="27"/>
      <c r="Z342" s="27"/>
      <c r="AA342" s="27"/>
      <c r="AB342" s="189"/>
      <c r="AC342" s="76" t="s">
        <v>247</v>
      </c>
      <c r="AD342" s="27"/>
      <c r="AE342" s="76" t="s">
        <v>1666</v>
      </c>
    </row>
    <row r="343">
      <c r="A343" s="45" t="s">
        <v>169</v>
      </c>
      <c r="B343" s="45" t="s">
        <v>67</v>
      </c>
      <c r="C343" s="45" t="s">
        <v>1771</v>
      </c>
      <c r="D343" s="45" t="s">
        <v>1772</v>
      </c>
      <c r="E343" s="45" t="s">
        <v>1773</v>
      </c>
      <c r="F343" s="48">
        <v>458.0</v>
      </c>
      <c r="G343" s="243"/>
      <c r="H343" s="45" t="s">
        <v>266</v>
      </c>
      <c r="I343" s="53"/>
      <c r="J343" s="241"/>
      <c r="K343" s="55">
        <v>45183.0</v>
      </c>
      <c r="L343" s="242" t="str">
        <f t="shared" si="14"/>
        <v>2023</v>
      </c>
      <c r="M343" s="55">
        <v>45365.0</v>
      </c>
      <c r="N343" s="55" t="str">
        <f t="shared" si="15"/>
        <v>2024</v>
      </c>
      <c r="O343" s="58">
        <f t="shared" si="11"/>
        <v>182</v>
      </c>
      <c r="P343" s="58">
        <f t="shared" si="4"/>
        <v>0</v>
      </c>
      <c r="Q343" s="45" t="s">
        <v>150</v>
      </c>
      <c r="R343" s="51"/>
      <c r="S343" s="51"/>
      <c r="T343" s="51"/>
      <c r="U343" s="51"/>
      <c r="V343" s="45" t="s">
        <v>4003</v>
      </c>
      <c r="W343" s="142" t="s">
        <v>1781</v>
      </c>
      <c r="X343" s="51"/>
      <c r="Y343" s="51"/>
      <c r="Z343" s="51"/>
      <c r="AA343" s="51"/>
      <c r="AB343" s="203"/>
      <c r="AC343" s="64" t="s">
        <v>247</v>
      </c>
      <c r="AD343" s="64" t="s">
        <v>261</v>
      </c>
      <c r="AE343" s="64" t="s">
        <v>1610</v>
      </c>
    </row>
    <row r="344">
      <c r="A344" s="23" t="s">
        <v>169</v>
      </c>
      <c r="B344" s="23" t="s">
        <v>19</v>
      </c>
      <c r="C344" s="23" t="s">
        <v>1654</v>
      </c>
      <c r="D344" s="23" t="s">
        <v>1805</v>
      </c>
      <c r="E344" s="23" t="s">
        <v>1807</v>
      </c>
      <c r="F344" s="26">
        <v>462.0</v>
      </c>
      <c r="G344" s="237">
        <v>600089.0</v>
      </c>
      <c r="H344" s="23" t="s">
        <v>139</v>
      </c>
      <c r="I344" s="88"/>
      <c r="J344" s="238"/>
      <c r="K344" s="29">
        <v>45189.0</v>
      </c>
      <c r="L344" s="239" t="str">
        <f t="shared" si="14"/>
        <v>2023</v>
      </c>
      <c r="M344" s="29">
        <v>46294.0</v>
      </c>
      <c r="N344" s="29" t="str">
        <f t="shared" si="15"/>
        <v>2026</v>
      </c>
      <c r="O344" s="36">
        <f t="shared" si="11"/>
        <v>1105</v>
      </c>
      <c r="P344" s="36">
        <f t="shared" si="4"/>
        <v>3</v>
      </c>
      <c r="Q344" s="23" t="s">
        <v>348</v>
      </c>
      <c r="R344" s="23" t="s">
        <v>4061</v>
      </c>
      <c r="S344" s="27"/>
      <c r="T344" s="27"/>
      <c r="U344" s="27"/>
      <c r="V344" s="23" t="s">
        <v>104</v>
      </c>
      <c r="W344" s="23" t="s">
        <v>1665</v>
      </c>
      <c r="X344" s="23" t="s">
        <v>1665</v>
      </c>
      <c r="Y344" s="27"/>
      <c r="Z344" s="27"/>
      <c r="AA344" s="23" t="s">
        <v>4066</v>
      </c>
      <c r="AB344" s="189"/>
      <c r="AC344" s="76" t="s">
        <v>777</v>
      </c>
      <c r="AD344" s="76" t="s">
        <v>14</v>
      </c>
      <c r="AE344" s="76" t="s">
        <v>1610</v>
      </c>
    </row>
    <row r="345">
      <c r="A345" s="45" t="s">
        <v>169</v>
      </c>
      <c r="B345" s="45" t="s">
        <v>67</v>
      </c>
      <c r="C345" s="45" t="s">
        <v>1847</v>
      </c>
      <c r="D345" s="45" t="s">
        <v>1848</v>
      </c>
      <c r="E345" s="45" t="s">
        <v>1850</v>
      </c>
      <c r="F345" s="48">
        <v>465.0</v>
      </c>
      <c r="G345" s="240">
        <v>600103.0</v>
      </c>
      <c r="H345" s="45" t="s">
        <v>84</v>
      </c>
      <c r="I345" s="53"/>
      <c r="J345" s="241"/>
      <c r="K345" s="55">
        <v>45194.0</v>
      </c>
      <c r="L345" s="242" t="str">
        <f t="shared" si="14"/>
        <v>2023</v>
      </c>
      <c r="M345" s="55">
        <v>45657.0</v>
      </c>
      <c r="N345" s="55" t="str">
        <f t="shared" si="15"/>
        <v>2024</v>
      </c>
      <c r="O345" s="58">
        <f t="shared" si="11"/>
        <v>463</v>
      </c>
      <c r="P345" s="58">
        <f t="shared" si="4"/>
        <v>1</v>
      </c>
      <c r="Q345" s="45" t="s">
        <v>150</v>
      </c>
      <c r="R345" s="51"/>
      <c r="S345" s="51"/>
      <c r="T345" s="51"/>
      <c r="U345" s="51"/>
      <c r="V345" s="45" t="s">
        <v>104</v>
      </c>
      <c r="W345" s="45" t="s">
        <v>1855</v>
      </c>
      <c r="X345" s="51"/>
      <c r="Y345" s="51"/>
      <c r="Z345" s="51"/>
      <c r="AA345" s="51"/>
      <c r="AB345" s="203"/>
      <c r="AC345" s="64" t="s">
        <v>247</v>
      </c>
      <c r="AD345" s="64" t="s">
        <v>261</v>
      </c>
      <c r="AE345" s="64" t="s">
        <v>1610</v>
      </c>
    </row>
    <row r="346">
      <c r="A346" s="23" t="s">
        <v>169</v>
      </c>
      <c r="B346" s="23" t="s">
        <v>67</v>
      </c>
      <c r="C346" s="23" t="s">
        <v>1847</v>
      </c>
      <c r="D346" s="23" t="s">
        <v>1862</v>
      </c>
      <c r="E346" s="23" t="s">
        <v>1863</v>
      </c>
      <c r="F346" s="26">
        <v>466.0</v>
      </c>
      <c r="G346" s="244"/>
      <c r="H346" s="23" t="s">
        <v>82</v>
      </c>
      <c r="I346" s="88"/>
      <c r="J346" s="238"/>
      <c r="K346" s="29">
        <v>45194.0</v>
      </c>
      <c r="L346" s="239" t="str">
        <f t="shared" si="14"/>
        <v>2023</v>
      </c>
      <c r="M346" s="29">
        <v>45201.0</v>
      </c>
      <c r="N346" s="29" t="str">
        <f t="shared" si="15"/>
        <v>2023</v>
      </c>
      <c r="O346" s="36">
        <f t="shared" si="11"/>
        <v>7</v>
      </c>
      <c r="P346" s="36">
        <f t="shared" si="4"/>
        <v>0</v>
      </c>
      <c r="Q346" s="23" t="s">
        <v>150</v>
      </c>
      <c r="R346" s="23" t="s">
        <v>1272</v>
      </c>
      <c r="S346" s="27"/>
      <c r="T346" s="27"/>
      <c r="U346" s="27"/>
      <c r="V346" s="23" t="s">
        <v>3934</v>
      </c>
      <c r="W346" s="144" t="s">
        <v>1868</v>
      </c>
      <c r="X346" s="27"/>
      <c r="Y346" s="27"/>
      <c r="Z346" s="27"/>
      <c r="AA346" s="27"/>
      <c r="AB346" s="189"/>
      <c r="AC346" s="76" t="s">
        <v>247</v>
      </c>
      <c r="AD346" s="27"/>
      <c r="AE346" s="76" t="s">
        <v>1610</v>
      </c>
    </row>
    <row r="347">
      <c r="A347" s="45" t="s">
        <v>169</v>
      </c>
      <c r="B347" s="45" t="s">
        <v>67</v>
      </c>
      <c r="C347" s="45" t="s">
        <v>1883</v>
      </c>
      <c r="D347" s="45" t="s">
        <v>1884</v>
      </c>
      <c r="E347" s="45" t="s">
        <v>1885</v>
      </c>
      <c r="F347" s="48">
        <v>467.0</v>
      </c>
      <c r="G347" s="240">
        <v>600088.0</v>
      </c>
      <c r="H347" s="45" t="s">
        <v>139</v>
      </c>
      <c r="I347" s="53"/>
      <c r="J347" s="241"/>
      <c r="K347" s="55">
        <v>45195.0</v>
      </c>
      <c r="L347" s="242" t="str">
        <f t="shared" si="14"/>
        <v>2023</v>
      </c>
      <c r="M347" s="55">
        <v>45561.0</v>
      </c>
      <c r="N347" s="55" t="str">
        <f t="shared" si="15"/>
        <v>2024</v>
      </c>
      <c r="O347" s="58">
        <f t="shared" si="11"/>
        <v>366</v>
      </c>
      <c r="P347" s="58">
        <f t="shared" si="4"/>
        <v>1</v>
      </c>
      <c r="Q347" s="45" t="s">
        <v>150</v>
      </c>
      <c r="R347" s="51"/>
      <c r="S347" s="51"/>
      <c r="T347" s="51"/>
      <c r="U347" s="51"/>
      <c r="V347" s="45" t="s">
        <v>4103</v>
      </c>
      <c r="W347" s="45" t="s">
        <v>1890</v>
      </c>
      <c r="X347" s="51"/>
      <c r="Y347" s="51"/>
      <c r="Z347" s="51"/>
      <c r="AA347" s="51"/>
      <c r="AB347" s="203"/>
      <c r="AC347" s="64" t="s">
        <v>247</v>
      </c>
      <c r="AD347" s="64" t="s">
        <v>261</v>
      </c>
      <c r="AE347" s="64" t="s">
        <v>1666</v>
      </c>
    </row>
    <row r="348">
      <c r="A348" s="23" t="s">
        <v>169</v>
      </c>
      <c r="B348" s="23" t="s">
        <v>67</v>
      </c>
      <c r="C348" s="23" t="s">
        <v>372</v>
      </c>
      <c r="D348" s="23" t="s">
        <v>389</v>
      </c>
      <c r="E348" s="23" t="s">
        <v>375</v>
      </c>
      <c r="F348" s="26">
        <v>365.0</v>
      </c>
      <c r="G348" s="237">
        <v>600082.0</v>
      </c>
      <c r="H348" s="23" t="s">
        <v>139</v>
      </c>
      <c r="I348" s="88"/>
      <c r="J348" s="238"/>
      <c r="K348" s="29">
        <v>45195.0</v>
      </c>
      <c r="L348" s="239" t="str">
        <f t="shared" si="14"/>
        <v>2023</v>
      </c>
      <c r="M348" s="29">
        <v>45561.0</v>
      </c>
      <c r="N348" s="29" t="str">
        <f t="shared" si="15"/>
        <v>2024</v>
      </c>
      <c r="O348" s="36">
        <f t="shared" si="11"/>
        <v>366</v>
      </c>
      <c r="P348" s="36">
        <f t="shared" si="4"/>
        <v>1</v>
      </c>
      <c r="Q348" s="23" t="s">
        <v>150</v>
      </c>
      <c r="R348" s="27"/>
      <c r="S348" s="27"/>
      <c r="T348" s="27"/>
      <c r="U348" s="27"/>
      <c r="V348" s="23" t="s">
        <v>3946</v>
      </c>
      <c r="W348" s="144" t="s">
        <v>402</v>
      </c>
      <c r="X348" s="27"/>
      <c r="Y348" s="27"/>
      <c r="Z348" s="27"/>
      <c r="AA348" s="27"/>
      <c r="AB348" s="189"/>
      <c r="AC348" s="76" t="s">
        <v>247</v>
      </c>
      <c r="AD348" s="76" t="s">
        <v>261</v>
      </c>
      <c r="AE348" s="76" t="s">
        <v>1172</v>
      </c>
    </row>
    <row r="349">
      <c r="A349" s="45" t="s">
        <v>169</v>
      </c>
      <c r="B349" s="45" t="s">
        <v>19</v>
      </c>
      <c r="C349" s="45" t="s">
        <v>1039</v>
      </c>
      <c r="D349" s="45" t="s">
        <v>1832</v>
      </c>
      <c r="E349" s="45" t="s">
        <v>1834</v>
      </c>
      <c r="F349" s="48">
        <v>472.0</v>
      </c>
      <c r="G349" s="240">
        <v>600228.0</v>
      </c>
      <c r="H349" s="45" t="s">
        <v>139</v>
      </c>
      <c r="I349" s="53"/>
      <c r="J349" s="241"/>
      <c r="K349" s="55">
        <v>45197.0</v>
      </c>
      <c r="L349" s="242" t="str">
        <f t="shared" si="14"/>
        <v>2023</v>
      </c>
      <c r="M349" s="55">
        <v>46022.0</v>
      </c>
      <c r="N349" s="55" t="str">
        <f t="shared" si="15"/>
        <v>2025</v>
      </c>
      <c r="O349" s="58">
        <f t="shared" si="11"/>
        <v>825</v>
      </c>
      <c r="P349" s="58">
        <f t="shared" si="4"/>
        <v>2</v>
      </c>
      <c r="Q349" s="45" t="s">
        <v>769</v>
      </c>
      <c r="R349" s="45" t="s">
        <v>1945</v>
      </c>
      <c r="S349" s="45" t="s">
        <v>269</v>
      </c>
      <c r="T349" s="51"/>
      <c r="U349" s="51"/>
      <c r="V349" s="45" t="s">
        <v>104</v>
      </c>
      <c r="W349" s="142" t="s">
        <v>4122</v>
      </c>
      <c r="X349" s="45" t="s">
        <v>4128</v>
      </c>
      <c r="Y349" s="51"/>
      <c r="Z349" s="51"/>
      <c r="AA349" s="51"/>
      <c r="AB349" s="203"/>
      <c r="AC349" s="64" t="s">
        <v>247</v>
      </c>
      <c r="AD349" s="64" t="s">
        <v>261</v>
      </c>
      <c r="AE349" s="64" t="s">
        <v>1610</v>
      </c>
    </row>
    <row r="350">
      <c r="A350" s="23" t="s">
        <v>169</v>
      </c>
      <c r="B350" s="23" t="s">
        <v>67</v>
      </c>
      <c r="C350" s="23" t="s">
        <v>1952</v>
      </c>
      <c r="D350" s="23" t="s">
        <v>1955</v>
      </c>
      <c r="E350" s="23" t="s">
        <v>1957</v>
      </c>
      <c r="F350" s="26">
        <v>473.0</v>
      </c>
      <c r="G350" s="244"/>
      <c r="H350" s="23" t="s">
        <v>187</v>
      </c>
      <c r="I350" s="88"/>
      <c r="J350" s="238"/>
      <c r="K350" s="29">
        <v>45197.0</v>
      </c>
      <c r="L350" s="239" t="str">
        <f t="shared" si="14"/>
        <v>2023</v>
      </c>
      <c r="M350" s="29">
        <v>45205.0</v>
      </c>
      <c r="N350" s="29" t="str">
        <f t="shared" si="15"/>
        <v>2023</v>
      </c>
      <c r="O350" s="36">
        <f t="shared" si="11"/>
        <v>8</v>
      </c>
      <c r="P350" s="36">
        <f t="shared" si="4"/>
        <v>0</v>
      </c>
      <c r="Q350" s="23" t="s">
        <v>150</v>
      </c>
      <c r="R350" s="23" t="s">
        <v>1272</v>
      </c>
      <c r="S350" s="27"/>
      <c r="T350" s="27"/>
      <c r="U350" s="27"/>
      <c r="V350" s="23" t="s">
        <v>3934</v>
      </c>
      <c r="W350" s="23" t="s">
        <v>1967</v>
      </c>
      <c r="X350" s="27"/>
      <c r="Y350" s="27"/>
      <c r="Z350" s="27"/>
      <c r="AA350" s="27"/>
      <c r="AB350" s="189"/>
      <c r="AC350" s="76" t="s">
        <v>247</v>
      </c>
      <c r="AD350" s="27"/>
      <c r="AE350" s="76" t="s">
        <v>1931</v>
      </c>
    </row>
    <row r="351">
      <c r="A351" s="45" t="s">
        <v>169</v>
      </c>
      <c r="B351" s="45" t="s">
        <v>67</v>
      </c>
      <c r="C351" s="45" t="s">
        <v>2007</v>
      </c>
      <c r="D351" s="45" t="s">
        <v>2009</v>
      </c>
      <c r="E351" s="45" t="s">
        <v>2010</v>
      </c>
      <c r="F351" s="48">
        <v>475.0</v>
      </c>
      <c r="G351" s="243"/>
      <c r="H351" s="45" t="s">
        <v>187</v>
      </c>
      <c r="I351" s="53"/>
      <c r="J351" s="241"/>
      <c r="K351" s="55">
        <v>45198.0</v>
      </c>
      <c r="L351" s="242" t="str">
        <f t="shared" si="14"/>
        <v>2023</v>
      </c>
      <c r="M351" s="55">
        <v>45209.0</v>
      </c>
      <c r="N351" s="55" t="str">
        <f t="shared" si="15"/>
        <v>2023</v>
      </c>
      <c r="O351" s="58">
        <f t="shared" si="11"/>
        <v>11</v>
      </c>
      <c r="P351" s="58">
        <f t="shared" si="4"/>
        <v>0</v>
      </c>
      <c r="Q351" s="45" t="s">
        <v>150</v>
      </c>
      <c r="R351" s="45" t="s">
        <v>1272</v>
      </c>
      <c r="S351" s="51"/>
      <c r="T351" s="51"/>
      <c r="U351" s="51"/>
      <c r="V351" s="45" t="s">
        <v>4133</v>
      </c>
      <c r="W351" s="45" t="s">
        <v>2015</v>
      </c>
      <c r="X351" s="51"/>
      <c r="Y351" s="51"/>
      <c r="Z351" s="51"/>
      <c r="AA351" s="51"/>
      <c r="AB351" s="203"/>
      <c r="AC351" s="64" t="s">
        <v>247</v>
      </c>
      <c r="AD351" s="51"/>
      <c r="AE351" s="64" t="s">
        <v>1931</v>
      </c>
    </row>
    <row r="352">
      <c r="A352" s="23" t="s">
        <v>169</v>
      </c>
      <c r="B352" s="23" t="s">
        <v>67</v>
      </c>
      <c r="C352" s="23" t="s">
        <v>1990</v>
      </c>
      <c r="D352" s="23" t="s">
        <v>1991</v>
      </c>
      <c r="E352" s="23" t="s">
        <v>1992</v>
      </c>
      <c r="F352" s="26">
        <v>476.0</v>
      </c>
      <c r="G352" s="244"/>
      <c r="H352" s="23" t="s">
        <v>266</v>
      </c>
      <c r="I352" s="88"/>
      <c r="J352" s="238"/>
      <c r="K352" s="29">
        <v>45198.0</v>
      </c>
      <c r="L352" s="239" t="str">
        <f t="shared" si="14"/>
        <v>2023</v>
      </c>
      <c r="M352" s="29">
        <v>45567.0</v>
      </c>
      <c r="N352" s="29" t="str">
        <f t="shared" si="15"/>
        <v>2024</v>
      </c>
      <c r="O352" s="36">
        <f t="shared" si="11"/>
        <v>369</v>
      </c>
      <c r="P352" s="36">
        <f t="shared" si="4"/>
        <v>1</v>
      </c>
      <c r="Q352" s="23" t="s">
        <v>150</v>
      </c>
      <c r="R352" s="27"/>
      <c r="S352" s="27"/>
      <c r="T352" s="27"/>
      <c r="U352" s="27"/>
      <c r="V352" s="23" t="s">
        <v>4137</v>
      </c>
      <c r="W352" s="23" t="s">
        <v>2001</v>
      </c>
      <c r="X352" s="27"/>
      <c r="Y352" s="27"/>
      <c r="Z352" s="27"/>
      <c r="AA352" s="27"/>
      <c r="AB352" s="189"/>
      <c r="AC352" s="76" t="s">
        <v>247</v>
      </c>
      <c r="AD352" s="76" t="s">
        <v>261</v>
      </c>
      <c r="AE352" s="76" t="s">
        <v>1931</v>
      </c>
    </row>
    <row r="353">
      <c r="A353" s="45" t="s">
        <v>169</v>
      </c>
      <c r="B353" s="45" t="s">
        <v>67</v>
      </c>
      <c r="C353" s="45" t="s">
        <v>1924</v>
      </c>
      <c r="D353" s="45" t="s">
        <v>1925</v>
      </c>
      <c r="E353" s="45" t="s">
        <v>1926</v>
      </c>
      <c r="F353" s="48">
        <v>477.0</v>
      </c>
      <c r="G353" s="240">
        <v>600204.0</v>
      </c>
      <c r="H353" s="45" t="s">
        <v>266</v>
      </c>
      <c r="I353" s="53"/>
      <c r="J353" s="241"/>
      <c r="K353" s="55">
        <v>45196.0</v>
      </c>
      <c r="L353" s="242" t="str">
        <f t="shared" si="14"/>
        <v>2023</v>
      </c>
      <c r="M353" s="55">
        <v>45562.0</v>
      </c>
      <c r="N353" s="55" t="str">
        <f t="shared" si="15"/>
        <v>2024</v>
      </c>
      <c r="O353" s="58">
        <f t="shared" si="11"/>
        <v>366</v>
      </c>
      <c r="P353" s="58">
        <f t="shared" si="4"/>
        <v>1</v>
      </c>
      <c r="Q353" s="45" t="s">
        <v>150</v>
      </c>
      <c r="R353" s="51"/>
      <c r="S353" s="51"/>
      <c r="T353" s="51"/>
      <c r="U353" s="51"/>
      <c r="V353" s="45" t="s">
        <v>4137</v>
      </c>
      <c r="W353" s="45" t="s">
        <v>1930</v>
      </c>
      <c r="X353" s="51"/>
      <c r="Y353" s="51"/>
      <c r="Z353" s="51"/>
      <c r="AA353" s="51"/>
      <c r="AB353" s="203"/>
      <c r="AC353" s="64" t="s">
        <v>247</v>
      </c>
      <c r="AD353" s="64" t="s">
        <v>261</v>
      </c>
      <c r="AE353" s="64" t="s">
        <v>1931</v>
      </c>
    </row>
    <row r="354">
      <c r="A354" s="23" t="s">
        <v>169</v>
      </c>
      <c r="B354" s="23" t="s">
        <v>67</v>
      </c>
      <c r="C354" s="23" t="s">
        <v>1567</v>
      </c>
      <c r="D354" s="23" t="s">
        <v>1568</v>
      </c>
      <c r="E354" s="23" t="s">
        <v>1569</v>
      </c>
      <c r="F354" s="26">
        <v>478.0</v>
      </c>
      <c r="G354" s="237">
        <v>600310.0</v>
      </c>
      <c r="H354" s="23" t="s">
        <v>139</v>
      </c>
      <c r="I354" s="88"/>
      <c r="J354" s="27"/>
      <c r="K354" s="29">
        <v>45166.0</v>
      </c>
      <c r="L354" s="239" t="str">
        <f t="shared" si="14"/>
        <v>2023</v>
      </c>
      <c r="M354" s="29">
        <v>45734.0</v>
      </c>
      <c r="N354" s="29" t="str">
        <f t="shared" si="15"/>
        <v>2025</v>
      </c>
      <c r="O354" s="36">
        <f t="shared" si="11"/>
        <v>568</v>
      </c>
      <c r="P354" s="36">
        <f t="shared" si="4"/>
        <v>1</v>
      </c>
      <c r="Q354" s="23" t="s">
        <v>253</v>
      </c>
      <c r="R354" s="23" t="s">
        <v>1574</v>
      </c>
      <c r="S354" s="27"/>
      <c r="T354" s="27"/>
      <c r="U354" s="23" t="s">
        <v>48</v>
      </c>
      <c r="V354" s="23" t="s">
        <v>4003</v>
      </c>
      <c r="W354" s="23" t="s">
        <v>1575</v>
      </c>
      <c r="X354" s="23" t="s">
        <v>1575</v>
      </c>
      <c r="Y354" s="27"/>
      <c r="Z354" s="27"/>
      <c r="AA354" s="27"/>
      <c r="AB354" s="189"/>
      <c r="AC354" s="76" t="s">
        <v>247</v>
      </c>
      <c r="AD354" s="76" t="s">
        <v>261</v>
      </c>
      <c r="AE354" s="76" t="s">
        <v>1621</v>
      </c>
    </row>
    <row r="355">
      <c r="A355" s="45" t="s">
        <v>169</v>
      </c>
      <c r="B355" s="45" t="s">
        <v>67</v>
      </c>
      <c r="C355" s="45" t="s">
        <v>1449</v>
      </c>
      <c r="D355" s="45" t="s">
        <v>1450</v>
      </c>
      <c r="E355" s="45" t="s">
        <v>1451</v>
      </c>
      <c r="F355" s="48">
        <v>427.0</v>
      </c>
      <c r="G355" s="240">
        <v>600284.0</v>
      </c>
      <c r="H355" s="45" t="s">
        <v>266</v>
      </c>
      <c r="I355" s="45" t="s">
        <v>226</v>
      </c>
      <c r="J355" s="51"/>
      <c r="K355" s="55">
        <v>45138.0</v>
      </c>
      <c r="L355" s="242" t="str">
        <f t="shared" si="14"/>
        <v>2023</v>
      </c>
      <c r="M355" s="55">
        <v>45503.0</v>
      </c>
      <c r="N355" s="55" t="str">
        <f t="shared" si="15"/>
        <v>2024</v>
      </c>
      <c r="O355" s="58">
        <f t="shared" si="11"/>
        <v>365</v>
      </c>
      <c r="P355" s="58">
        <f t="shared" si="4"/>
        <v>0</v>
      </c>
      <c r="Q355" s="45" t="s">
        <v>253</v>
      </c>
      <c r="R355" s="51"/>
      <c r="S355" s="51"/>
      <c r="T355" s="51"/>
      <c r="U355" s="51"/>
      <c r="V355" s="45" t="s">
        <v>4003</v>
      </c>
      <c r="W355" s="51"/>
      <c r="X355" s="51"/>
      <c r="Y355" s="51"/>
      <c r="Z355" s="51"/>
      <c r="AA355" s="51"/>
      <c r="AB355" s="203"/>
      <c r="AC355" s="64" t="s">
        <v>247</v>
      </c>
      <c r="AD355" s="64" t="s">
        <v>261</v>
      </c>
      <c r="AE355" s="64" t="s">
        <v>1610</v>
      </c>
    </row>
    <row r="356">
      <c r="A356" s="23" t="s">
        <v>169</v>
      </c>
      <c r="B356" s="23" t="s">
        <v>67</v>
      </c>
      <c r="C356" s="23" t="s">
        <v>2021</v>
      </c>
      <c r="D356" s="23" t="s">
        <v>2022</v>
      </c>
      <c r="E356" s="23" t="s">
        <v>2024</v>
      </c>
      <c r="F356" s="26">
        <v>479.0</v>
      </c>
      <c r="G356" s="244"/>
      <c r="H356" s="23" t="s">
        <v>139</v>
      </c>
      <c r="I356" s="88"/>
      <c r="J356" s="238"/>
      <c r="K356" s="29">
        <v>45203.0</v>
      </c>
      <c r="L356" s="239" t="str">
        <f t="shared" si="14"/>
        <v>2023</v>
      </c>
      <c r="M356" s="29">
        <v>45504.0</v>
      </c>
      <c r="N356" s="29" t="str">
        <f t="shared" si="15"/>
        <v>2024</v>
      </c>
      <c r="O356" s="36">
        <f t="shared" si="11"/>
        <v>301</v>
      </c>
      <c r="P356" s="36">
        <f t="shared" si="4"/>
        <v>0</v>
      </c>
      <c r="Q356" s="23" t="s">
        <v>150</v>
      </c>
      <c r="R356" s="23" t="s">
        <v>1272</v>
      </c>
      <c r="S356" s="27"/>
      <c r="T356" s="27"/>
      <c r="U356" s="27"/>
      <c r="V356" s="23" t="s">
        <v>104</v>
      </c>
      <c r="W356" s="23" t="s">
        <v>2031</v>
      </c>
      <c r="X356" s="27"/>
      <c r="Y356" s="27"/>
      <c r="Z356" s="27"/>
      <c r="AA356" s="27"/>
      <c r="AB356" s="189"/>
      <c r="AC356" s="76" t="s">
        <v>247</v>
      </c>
      <c r="AD356" s="76" t="s">
        <v>261</v>
      </c>
      <c r="AE356" s="76" t="s">
        <v>1610</v>
      </c>
    </row>
    <row r="357">
      <c r="A357" s="45" t="s">
        <v>169</v>
      </c>
      <c r="B357" s="45" t="s">
        <v>67</v>
      </c>
      <c r="C357" s="45" t="s">
        <v>2051</v>
      </c>
      <c r="D357" s="45" t="s">
        <v>2052</v>
      </c>
      <c r="E357" s="45" t="s">
        <v>2054</v>
      </c>
      <c r="F357" s="48">
        <v>480.0</v>
      </c>
      <c r="G357" s="240">
        <v>600220.0</v>
      </c>
      <c r="H357" s="45" t="s">
        <v>266</v>
      </c>
      <c r="I357" s="53"/>
      <c r="J357" s="241"/>
      <c r="K357" s="55">
        <v>45208.0</v>
      </c>
      <c r="L357" s="242" t="str">
        <f t="shared" si="14"/>
        <v>2023</v>
      </c>
      <c r="M357" s="55">
        <v>45574.0</v>
      </c>
      <c r="N357" s="55" t="str">
        <f t="shared" si="15"/>
        <v>2024</v>
      </c>
      <c r="O357" s="58">
        <f t="shared" si="11"/>
        <v>366</v>
      </c>
      <c r="P357" s="58">
        <f t="shared" si="4"/>
        <v>1</v>
      </c>
      <c r="Q357" s="45" t="s">
        <v>150</v>
      </c>
      <c r="R357" s="51"/>
      <c r="S357" s="51"/>
      <c r="T357" s="51"/>
      <c r="U357" s="51"/>
      <c r="V357" s="45" t="s">
        <v>4151</v>
      </c>
      <c r="W357" s="142" t="s">
        <v>2064</v>
      </c>
      <c r="X357" s="51"/>
      <c r="Y357" s="51"/>
      <c r="Z357" s="51"/>
      <c r="AA357" s="51"/>
      <c r="AB357" s="203"/>
      <c r="AC357" s="64" t="s">
        <v>247</v>
      </c>
      <c r="AD357" s="64" t="s">
        <v>261</v>
      </c>
      <c r="AE357" s="64" t="s">
        <v>1172</v>
      </c>
    </row>
    <row r="358">
      <c r="A358" s="23" t="s">
        <v>169</v>
      </c>
      <c r="B358" s="23" t="s">
        <v>67</v>
      </c>
      <c r="C358" s="23" t="s">
        <v>2068</v>
      </c>
      <c r="D358" s="23" t="s">
        <v>2069</v>
      </c>
      <c r="E358" s="23" t="s">
        <v>2070</v>
      </c>
      <c r="F358" s="26">
        <v>481.0</v>
      </c>
      <c r="G358" s="237">
        <v>600219.0</v>
      </c>
      <c r="H358" s="23" t="s">
        <v>266</v>
      </c>
      <c r="I358" s="88"/>
      <c r="J358" s="238"/>
      <c r="K358" s="29">
        <v>45208.0</v>
      </c>
      <c r="L358" s="239" t="str">
        <f t="shared" si="14"/>
        <v>2023</v>
      </c>
      <c r="M358" s="29">
        <v>45574.0</v>
      </c>
      <c r="N358" s="29" t="str">
        <f t="shared" si="15"/>
        <v>2024</v>
      </c>
      <c r="O358" s="36">
        <f t="shared" si="11"/>
        <v>366</v>
      </c>
      <c r="P358" s="36">
        <f t="shared" si="4"/>
        <v>1</v>
      </c>
      <c r="Q358" s="23" t="s">
        <v>150</v>
      </c>
      <c r="R358" s="27"/>
      <c r="S358" s="27"/>
      <c r="T358" s="27"/>
      <c r="U358" s="27"/>
      <c r="V358" s="23" t="s">
        <v>4151</v>
      </c>
      <c r="W358" s="144" t="s">
        <v>2074</v>
      </c>
      <c r="X358" s="27"/>
      <c r="Y358" s="27"/>
      <c r="Z358" s="27"/>
      <c r="AA358" s="27"/>
      <c r="AB358" s="189"/>
      <c r="AC358" s="76" t="s">
        <v>247</v>
      </c>
      <c r="AD358" s="76" t="s">
        <v>261</v>
      </c>
      <c r="AE358" s="76" t="s">
        <v>1172</v>
      </c>
    </row>
    <row r="359">
      <c r="A359" s="45" t="s">
        <v>169</v>
      </c>
      <c r="B359" s="45" t="s">
        <v>67</v>
      </c>
      <c r="C359" s="45" t="s">
        <v>2139</v>
      </c>
      <c r="D359" s="45" t="s">
        <v>2140</v>
      </c>
      <c r="E359" s="45" t="s">
        <v>2142</v>
      </c>
      <c r="F359" s="48">
        <v>488.0</v>
      </c>
      <c r="G359" s="243"/>
      <c r="H359" s="45" t="s">
        <v>225</v>
      </c>
      <c r="I359" s="53"/>
      <c r="J359" s="241"/>
      <c r="K359" s="55">
        <v>45219.0</v>
      </c>
      <c r="L359" s="242" t="str">
        <f t="shared" si="14"/>
        <v>2023</v>
      </c>
      <c r="M359" s="55">
        <v>45230.0</v>
      </c>
      <c r="N359" s="55" t="str">
        <f t="shared" si="15"/>
        <v>2023</v>
      </c>
      <c r="O359" s="58">
        <f t="shared" si="11"/>
        <v>11</v>
      </c>
      <c r="P359" s="58">
        <f t="shared" si="4"/>
        <v>0</v>
      </c>
      <c r="Q359" s="45" t="s">
        <v>150</v>
      </c>
      <c r="R359" s="45" t="s">
        <v>1272</v>
      </c>
      <c r="S359" s="51"/>
      <c r="T359" s="51"/>
      <c r="U359" s="51"/>
      <c r="V359" s="45" t="s">
        <v>3934</v>
      </c>
      <c r="W359" s="45" t="s">
        <v>2145</v>
      </c>
      <c r="X359" s="51"/>
      <c r="Y359" s="51"/>
      <c r="Z359" s="51"/>
      <c r="AA359" s="51"/>
      <c r="AB359" s="203"/>
      <c r="AC359" s="64" t="s">
        <v>247</v>
      </c>
      <c r="AD359" s="64" t="s">
        <v>14</v>
      </c>
      <c r="AE359" s="51"/>
    </row>
    <row r="360">
      <c r="A360" s="23" t="s">
        <v>169</v>
      </c>
      <c r="B360" s="23" t="s">
        <v>67</v>
      </c>
      <c r="C360" s="23" t="s">
        <v>2152</v>
      </c>
      <c r="D360" s="23" t="s">
        <v>2154</v>
      </c>
      <c r="E360" s="23" t="s">
        <v>2155</v>
      </c>
      <c r="F360" s="26">
        <v>489.0</v>
      </c>
      <c r="G360" s="244"/>
      <c r="H360" s="23" t="s">
        <v>187</v>
      </c>
      <c r="I360" s="88"/>
      <c r="J360" s="238"/>
      <c r="K360" s="29">
        <v>45222.0</v>
      </c>
      <c r="L360" s="239" t="str">
        <f t="shared" si="14"/>
        <v>2023</v>
      </c>
      <c r="M360" s="29">
        <v>45236.0</v>
      </c>
      <c r="N360" s="29" t="str">
        <f t="shared" si="15"/>
        <v>2023</v>
      </c>
      <c r="O360" s="36">
        <f t="shared" si="11"/>
        <v>14</v>
      </c>
      <c r="P360" s="36">
        <f t="shared" si="4"/>
        <v>0</v>
      </c>
      <c r="Q360" s="23" t="s">
        <v>150</v>
      </c>
      <c r="R360" s="27"/>
      <c r="S360" s="27"/>
      <c r="T360" s="27"/>
      <c r="U360" s="27"/>
      <c r="V360" s="23" t="s">
        <v>3934</v>
      </c>
      <c r="W360" s="23" t="s">
        <v>2163</v>
      </c>
      <c r="X360" s="27"/>
      <c r="Y360" s="27"/>
      <c r="Z360" s="27"/>
      <c r="AA360" s="27"/>
      <c r="AB360" s="189"/>
      <c r="AC360" s="76" t="s">
        <v>247</v>
      </c>
      <c r="AD360" s="27"/>
      <c r="AE360" s="27"/>
    </row>
    <row r="361">
      <c r="A361" s="45" t="s">
        <v>169</v>
      </c>
      <c r="B361" s="45" t="s">
        <v>67</v>
      </c>
      <c r="C361" s="45" t="s">
        <v>833</v>
      </c>
      <c r="D361" s="45" t="s">
        <v>834</v>
      </c>
      <c r="E361" s="45" t="s">
        <v>836</v>
      </c>
      <c r="F361" s="48">
        <v>347.0</v>
      </c>
      <c r="G361" s="243"/>
      <c r="H361" s="45" t="s">
        <v>84</v>
      </c>
      <c r="I361" s="53"/>
      <c r="J361" s="241"/>
      <c r="K361" s="55">
        <v>45005.0</v>
      </c>
      <c r="L361" s="242" t="str">
        <f t="shared" si="14"/>
        <v>2023</v>
      </c>
      <c r="M361" s="55">
        <v>45391.0</v>
      </c>
      <c r="N361" s="55" t="str">
        <f t="shared" si="15"/>
        <v>2024</v>
      </c>
      <c r="O361" s="58">
        <f t="shared" si="11"/>
        <v>386</v>
      </c>
      <c r="P361" s="58">
        <f t="shared" si="4"/>
        <v>1</v>
      </c>
      <c r="Q361" s="45" t="s">
        <v>150</v>
      </c>
      <c r="R361" s="51"/>
      <c r="S361" s="51"/>
      <c r="T361" s="51"/>
      <c r="U361" s="51"/>
      <c r="V361" s="51"/>
      <c r="W361" s="51"/>
      <c r="X361" s="51"/>
      <c r="Y361" s="51"/>
      <c r="Z361" s="51"/>
      <c r="AA361" s="51"/>
      <c r="AB361" s="203"/>
      <c r="AC361" s="64" t="s">
        <v>247</v>
      </c>
      <c r="AD361" s="51"/>
      <c r="AE361" s="51"/>
    </row>
    <row r="362">
      <c r="A362" s="23" t="s">
        <v>169</v>
      </c>
      <c r="B362" s="23" t="s">
        <v>67</v>
      </c>
      <c r="C362" s="23" t="s">
        <v>2199</v>
      </c>
      <c r="D362" s="23" t="s">
        <v>2200</v>
      </c>
      <c r="E362" s="23" t="s">
        <v>2201</v>
      </c>
      <c r="F362" s="26">
        <v>492.0</v>
      </c>
      <c r="G362" s="244"/>
      <c r="H362" s="23" t="s">
        <v>266</v>
      </c>
      <c r="I362" s="88"/>
      <c r="J362" s="238"/>
      <c r="K362" s="29">
        <v>45225.0</v>
      </c>
      <c r="L362" s="239" t="str">
        <f t="shared" si="14"/>
        <v>2023</v>
      </c>
      <c r="M362" s="29">
        <v>45377.0</v>
      </c>
      <c r="N362" s="29" t="str">
        <f t="shared" si="15"/>
        <v>2024</v>
      </c>
      <c r="O362" s="36">
        <f t="shared" si="11"/>
        <v>152</v>
      </c>
      <c r="P362" s="36">
        <f t="shared" si="4"/>
        <v>0</v>
      </c>
      <c r="Q362" s="23" t="s">
        <v>150</v>
      </c>
      <c r="R362" s="27"/>
      <c r="S362" s="27"/>
      <c r="T362" s="27"/>
      <c r="U362" s="27"/>
      <c r="V362" s="23" t="s">
        <v>4151</v>
      </c>
      <c r="W362" s="23" t="s">
        <v>2205</v>
      </c>
      <c r="X362" s="27"/>
      <c r="Y362" s="27"/>
      <c r="Z362" s="27"/>
      <c r="AA362" s="27"/>
      <c r="AB362" s="189"/>
      <c r="AC362" s="76" t="s">
        <v>247</v>
      </c>
      <c r="AD362" s="76" t="s">
        <v>261</v>
      </c>
      <c r="AE362" s="76" t="s">
        <v>1621</v>
      </c>
    </row>
    <row r="363">
      <c r="A363" s="45" t="s">
        <v>169</v>
      </c>
      <c r="B363" s="45" t="s">
        <v>67</v>
      </c>
      <c r="C363" s="45" t="s">
        <v>2231</v>
      </c>
      <c r="D363" s="45" t="s">
        <v>2232</v>
      </c>
      <c r="E363" s="45" t="s">
        <v>2233</v>
      </c>
      <c r="F363" s="48">
        <v>493.0</v>
      </c>
      <c r="G363" s="243"/>
      <c r="H363" s="45" t="s">
        <v>187</v>
      </c>
      <c r="I363" s="53"/>
      <c r="J363" s="241"/>
      <c r="K363" s="55">
        <v>45229.0</v>
      </c>
      <c r="L363" s="242" t="str">
        <f t="shared" si="14"/>
        <v>2023</v>
      </c>
      <c r="M363" s="55">
        <v>45233.0</v>
      </c>
      <c r="N363" s="55" t="str">
        <f t="shared" si="15"/>
        <v>2023</v>
      </c>
      <c r="O363" s="58">
        <f t="shared" si="11"/>
        <v>4</v>
      </c>
      <c r="P363" s="58">
        <f t="shared" si="4"/>
        <v>0</v>
      </c>
      <c r="Q363" s="45" t="s">
        <v>150</v>
      </c>
      <c r="R363" s="45" t="s">
        <v>1272</v>
      </c>
      <c r="S363" s="51"/>
      <c r="T363" s="51"/>
      <c r="U363" s="51"/>
      <c r="V363" s="45" t="s">
        <v>3934</v>
      </c>
      <c r="W363" s="45" t="s">
        <v>2240</v>
      </c>
      <c r="X363" s="51"/>
      <c r="Y363" s="51"/>
      <c r="Z363" s="51"/>
      <c r="AA363" s="51"/>
      <c r="AB363" s="203"/>
      <c r="AC363" s="64" t="s">
        <v>247</v>
      </c>
      <c r="AD363" s="51"/>
      <c r="AE363" s="51"/>
    </row>
    <row r="364">
      <c r="A364" s="23" t="s">
        <v>169</v>
      </c>
      <c r="B364" s="23" t="s">
        <v>67</v>
      </c>
      <c r="C364" s="23" t="s">
        <v>606</v>
      </c>
      <c r="D364" s="23" t="s">
        <v>2213</v>
      </c>
      <c r="E364" s="23" t="s">
        <v>2214</v>
      </c>
      <c r="F364" s="26">
        <v>494.0</v>
      </c>
      <c r="G364" s="237">
        <v>600281.0</v>
      </c>
      <c r="H364" s="23" t="s">
        <v>84</v>
      </c>
      <c r="I364" s="88"/>
      <c r="J364" s="238"/>
      <c r="K364" s="29">
        <v>45229.0</v>
      </c>
      <c r="L364" s="239" t="str">
        <f t="shared" si="14"/>
        <v>2023</v>
      </c>
      <c r="M364" s="29">
        <v>45657.0</v>
      </c>
      <c r="N364" s="29" t="str">
        <f t="shared" si="15"/>
        <v>2024</v>
      </c>
      <c r="O364" s="36">
        <f t="shared" si="11"/>
        <v>428</v>
      </c>
      <c r="P364" s="36">
        <f t="shared" si="4"/>
        <v>1</v>
      </c>
      <c r="Q364" s="23" t="s">
        <v>253</v>
      </c>
      <c r="R364" s="27"/>
      <c r="S364" s="27"/>
      <c r="T364" s="27"/>
      <c r="U364" s="27"/>
      <c r="V364" s="23" t="s">
        <v>104</v>
      </c>
      <c r="W364" s="23" t="s">
        <v>2224</v>
      </c>
      <c r="X364" s="27"/>
      <c r="Y364" s="27"/>
      <c r="Z364" s="27"/>
      <c r="AA364" s="27"/>
      <c r="AB364" s="189"/>
      <c r="AC364" s="76" t="s">
        <v>247</v>
      </c>
      <c r="AD364" s="27"/>
      <c r="AE364" s="76" t="s">
        <v>4005</v>
      </c>
    </row>
    <row r="365">
      <c r="A365" s="45" t="s">
        <v>169</v>
      </c>
      <c r="B365" s="45" t="s">
        <v>19</v>
      </c>
      <c r="C365" s="45" t="s">
        <v>921</v>
      </c>
      <c r="D365" s="45" t="s">
        <v>2266</v>
      </c>
      <c r="E365" s="45" t="s">
        <v>2268</v>
      </c>
      <c r="F365" s="48">
        <v>495.0</v>
      </c>
      <c r="G365" s="240">
        <v>600436.0</v>
      </c>
      <c r="H365" s="45" t="s">
        <v>139</v>
      </c>
      <c r="I365" s="53"/>
      <c r="J365" s="241"/>
      <c r="K365" s="55">
        <v>45230.0</v>
      </c>
      <c r="L365" s="242" t="str">
        <f t="shared" si="14"/>
        <v>2023</v>
      </c>
      <c r="M365" s="55">
        <v>46169.0</v>
      </c>
      <c r="N365" s="55" t="str">
        <f t="shared" si="15"/>
        <v>2026</v>
      </c>
      <c r="O365" s="58">
        <f t="shared" si="11"/>
        <v>939</v>
      </c>
      <c r="P365" s="58">
        <f t="shared" si="4"/>
        <v>2</v>
      </c>
      <c r="Q365" s="45" t="s">
        <v>150</v>
      </c>
      <c r="R365" s="51"/>
      <c r="S365" s="51"/>
      <c r="T365" s="51"/>
      <c r="U365" s="51"/>
      <c r="V365" s="45" t="s">
        <v>104</v>
      </c>
      <c r="W365" s="142" t="s">
        <v>2275</v>
      </c>
      <c r="X365" s="142" t="s">
        <v>2275</v>
      </c>
      <c r="Y365" s="51"/>
      <c r="Z365" s="51"/>
      <c r="AA365" s="51"/>
      <c r="AB365" s="203"/>
      <c r="AC365" s="64" t="s">
        <v>247</v>
      </c>
      <c r="AD365" s="64" t="s">
        <v>123</v>
      </c>
      <c r="AE365" s="64" t="s">
        <v>1610</v>
      </c>
    </row>
    <row r="366">
      <c r="A366" s="23" t="s">
        <v>169</v>
      </c>
      <c r="B366" s="23" t="s">
        <v>67</v>
      </c>
      <c r="C366" s="23" t="s">
        <v>2287</v>
      </c>
      <c r="D366" s="23" t="s">
        <v>2288</v>
      </c>
      <c r="E366" s="23" t="s">
        <v>2289</v>
      </c>
      <c r="F366" s="26">
        <v>497.0</v>
      </c>
      <c r="G366" s="244"/>
      <c r="H366" s="23" t="s">
        <v>187</v>
      </c>
      <c r="I366" s="88"/>
      <c r="J366" s="238"/>
      <c r="K366" s="29">
        <v>45230.0</v>
      </c>
      <c r="L366" s="239" t="str">
        <f t="shared" si="14"/>
        <v>2023</v>
      </c>
      <c r="M366" s="29">
        <v>45240.0</v>
      </c>
      <c r="N366" s="29" t="str">
        <f t="shared" si="15"/>
        <v>2023</v>
      </c>
      <c r="O366" s="36">
        <f t="shared" si="11"/>
        <v>10</v>
      </c>
      <c r="P366" s="36">
        <f t="shared" si="4"/>
        <v>0</v>
      </c>
      <c r="Q366" s="23" t="s">
        <v>150</v>
      </c>
      <c r="R366" s="23" t="s">
        <v>2293</v>
      </c>
      <c r="S366" s="23" t="s">
        <v>113</v>
      </c>
      <c r="T366" s="27"/>
      <c r="U366" s="27"/>
      <c r="V366" s="23" t="s">
        <v>4214</v>
      </c>
      <c r="W366" s="23" t="s">
        <v>2294</v>
      </c>
      <c r="X366" s="27"/>
      <c r="Y366" s="27"/>
      <c r="Z366" s="27"/>
      <c r="AA366" s="27"/>
      <c r="AB366" s="189"/>
      <c r="AC366" s="76" t="s">
        <v>247</v>
      </c>
      <c r="AD366" s="27"/>
      <c r="AE366" s="27"/>
    </row>
    <row r="367">
      <c r="A367" s="45" t="s">
        <v>169</v>
      </c>
      <c r="B367" s="45" t="s">
        <v>67</v>
      </c>
      <c r="C367" s="45" t="s">
        <v>2341</v>
      </c>
      <c r="D367" s="45" t="s">
        <v>2342</v>
      </c>
      <c r="E367" s="45" t="s">
        <v>2343</v>
      </c>
      <c r="F367" s="48">
        <v>505.0</v>
      </c>
      <c r="G367" s="243"/>
      <c r="H367" s="45" t="s">
        <v>187</v>
      </c>
      <c r="I367" s="53"/>
      <c r="J367" s="241"/>
      <c r="K367" s="55">
        <v>45238.0</v>
      </c>
      <c r="L367" s="242" t="str">
        <f t="shared" si="14"/>
        <v>2023</v>
      </c>
      <c r="M367" s="55">
        <v>45250.0</v>
      </c>
      <c r="N367" s="55" t="str">
        <f t="shared" si="15"/>
        <v>2023</v>
      </c>
      <c r="O367" s="58">
        <f t="shared" si="11"/>
        <v>12</v>
      </c>
      <c r="P367" s="58">
        <f t="shared" si="4"/>
        <v>0</v>
      </c>
      <c r="Q367" s="45" t="s">
        <v>150</v>
      </c>
      <c r="R367" s="45" t="s">
        <v>1272</v>
      </c>
      <c r="S367" s="51"/>
      <c r="T367" s="51"/>
      <c r="U367" s="51"/>
      <c r="V367" s="45" t="s">
        <v>4215</v>
      </c>
      <c r="W367" s="45" t="s">
        <v>2347</v>
      </c>
      <c r="X367" s="51"/>
      <c r="Y367" s="51"/>
      <c r="Z367" s="51"/>
      <c r="AA367" s="51"/>
      <c r="AB367" s="203"/>
      <c r="AC367" s="64" t="s">
        <v>247</v>
      </c>
      <c r="AD367" s="64" t="s">
        <v>261</v>
      </c>
      <c r="AE367" s="51"/>
    </row>
    <row r="368">
      <c r="A368" s="23" t="s">
        <v>169</v>
      </c>
      <c r="B368" s="23" t="s">
        <v>67</v>
      </c>
      <c r="C368" s="23" t="s">
        <v>2328</v>
      </c>
      <c r="D368" s="23" t="s">
        <v>2329</v>
      </c>
      <c r="E368" s="23" t="s">
        <v>2331</v>
      </c>
      <c r="F368" s="26">
        <v>506.0</v>
      </c>
      <c r="G368" s="26">
        <v>600271.0</v>
      </c>
      <c r="H368" s="23" t="s">
        <v>139</v>
      </c>
      <c r="I368" s="88"/>
      <c r="J368" s="238"/>
      <c r="K368" s="29">
        <v>45238.0</v>
      </c>
      <c r="L368" s="239" t="str">
        <f t="shared" si="14"/>
        <v>2023</v>
      </c>
      <c r="M368" s="29">
        <v>45604.0</v>
      </c>
      <c r="N368" s="29" t="str">
        <f t="shared" si="15"/>
        <v>2024</v>
      </c>
      <c r="O368" s="36">
        <f t="shared" si="11"/>
        <v>366</v>
      </c>
      <c r="P368" s="36">
        <f t="shared" si="4"/>
        <v>1</v>
      </c>
      <c r="Q368" s="23" t="s">
        <v>150</v>
      </c>
      <c r="R368" s="27"/>
      <c r="S368" s="27"/>
      <c r="T368" s="27"/>
      <c r="U368" s="27"/>
      <c r="V368" s="23" t="s">
        <v>4003</v>
      </c>
      <c r="W368" s="144" t="s">
        <v>2336</v>
      </c>
      <c r="X368" s="27"/>
      <c r="Y368" s="27"/>
      <c r="Z368" s="27"/>
      <c r="AA368" s="27"/>
      <c r="AB368" s="189"/>
      <c r="AC368" s="76" t="s">
        <v>247</v>
      </c>
      <c r="AD368" s="76" t="s">
        <v>261</v>
      </c>
      <c r="AE368" s="76" t="s">
        <v>1610</v>
      </c>
    </row>
    <row r="369">
      <c r="A369" s="45" t="s">
        <v>169</v>
      </c>
      <c r="B369" s="45" t="s">
        <v>67</v>
      </c>
      <c r="C369" s="45" t="s">
        <v>2350</v>
      </c>
      <c r="D369" s="45" t="s">
        <v>2352</v>
      </c>
      <c r="E369" s="45" t="s">
        <v>2354</v>
      </c>
      <c r="F369" s="48">
        <v>507.0</v>
      </c>
      <c r="G369" s="240">
        <v>600198.0</v>
      </c>
      <c r="H369" s="45" t="s">
        <v>266</v>
      </c>
      <c r="I369" s="53"/>
      <c r="J369" s="241"/>
      <c r="K369" s="55">
        <v>45243.0</v>
      </c>
      <c r="L369" s="242" t="str">
        <f t="shared" si="14"/>
        <v>2023</v>
      </c>
      <c r="M369" s="55">
        <v>45590.0</v>
      </c>
      <c r="N369" s="55" t="str">
        <f t="shared" si="15"/>
        <v>2024</v>
      </c>
      <c r="O369" s="58">
        <f t="shared" si="11"/>
        <v>347</v>
      </c>
      <c r="P369" s="58">
        <f t="shared" si="4"/>
        <v>0</v>
      </c>
      <c r="Q369" s="45" t="s">
        <v>150</v>
      </c>
      <c r="R369" s="51"/>
      <c r="S369" s="51"/>
      <c r="T369" s="51"/>
      <c r="U369" s="51"/>
      <c r="V369" s="45" t="s">
        <v>4223</v>
      </c>
      <c r="W369" s="45" t="s">
        <v>2356</v>
      </c>
      <c r="X369" s="51"/>
      <c r="Y369" s="51"/>
      <c r="Z369" s="51"/>
      <c r="AA369" s="51"/>
      <c r="AB369" s="203"/>
      <c r="AC369" s="64" t="s">
        <v>247</v>
      </c>
      <c r="AD369" s="64" t="s">
        <v>261</v>
      </c>
      <c r="AE369" s="64" t="s">
        <v>1621</v>
      </c>
    </row>
    <row r="370">
      <c r="A370" s="23" t="s">
        <v>169</v>
      </c>
      <c r="B370" s="23" t="s">
        <v>67</v>
      </c>
      <c r="C370" s="23" t="s">
        <v>2372</v>
      </c>
      <c r="D370" s="23" t="s">
        <v>2373</v>
      </c>
      <c r="E370" s="23" t="s">
        <v>2374</v>
      </c>
      <c r="F370" s="26">
        <v>508.0</v>
      </c>
      <c r="G370" s="244"/>
      <c r="H370" s="23" t="s">
        <v>266</v>
      </c>
      <c r="I370" s="88"/>
      <c r="J370" s="238"/>
      <c r="K370" s="29">
        <v>45250.0</v>
      </c>
      <c r="L370" s="239" t="str">
        <f t="shared" si="14"/>
        <v>2023</v>
      </c>
      <c r="M370" s="29">
        <v>45432.0</v>
      </c>
      <c r="N370" s="29" t="str">
        <f t="shared" si="15"/>
        <v>2024</v>
      </c>
      <c r="O370" s="36">
        <f t="shared" si="11"/>
        <v>182</v>
      </c>
      <c r="P370" s="36">
        <f t="shared" si="4"/>
        <v>0</v>
      </c>
      <c r="Q370" s="23" t="s">
        <v>150</v>
      </c>
      <c r="R370" s="27"/>
      <c r="S370" s="27"/>
      <c r="T370" s="27"/>
      <c r="U370" s="27"/>
      <c r="V370" s="23" t="s">
        <v>4226</v>
      </c>
      <c r="W370" s="144" t="s">
        <v>2376</v>
      </c>
      <c r="X370" s="27"/>
      <c r="Y370" s="27"/>
      <c r="Z370" s="27"/>
      <c r="AA370" s="27"/>
      <c r="AB370" s="189"/>
      <c r="AC370" s="76" t="s">
        <v>247</v>
      </c>
      <c r="AD370" s="76" t="s">
        <v>261</v>
      </c>
      <c r="AE370" s="27"/>
    </row>
    <row r="371">
      <c r="A371" s="45" t="s">
        <v>169</v>
      </c>
      <c r="B371" s="45" t="s">
        <v>67</v>
      </c>
      <c r="C371" s="45" t="s">
        <v>649</v>
      </c>
      <c r="D371" s="45" t="s">
        <v>2379</v>
      </c>
      <c r="E371" s="45" t="s">
        <v>2380</v>
      </c>
      <c r="F371" s="48">
        <v>509.0</v>
      </c>
      <c r="G371" s="243"/>
      <c r="H371" s="45" t="s">
        <v>139</v>
      </c>
      <c r="I371" s="53"/>
      <c r="J371" s="241"/>
      <c r="K371" s="55">
        <v>45250.0</v>
      </c>
      <c r="L371" s="242" t="str">
        <f t="shared" si="14"/>
        <v>2023</v>
      </c>
      <c r="M371" s="55">
        <v>45432.0</v>
      </c>
      <c r="N371" s="55" t="str">
        <f t="shared" si="15"/>
        <v>2024</v>
      </c>
      <c r="O371" s="58">
        <f t="shared" si="11"/>
        <v>182</v>
      </c>
      <c r="P371" s="58">
        <f t="shared" si="4"/>
        <v>0</v>
      </c>
      <c r="Q371" s="45" t="s">
        <v>150</v>
      </c>
      <c r="R371" s="51"/>
      <c r="S371" s="51"/>
      <c r="T371" s="51"/>
      <c r="U371" s="51"/>
      <c r="V371" s="51"/>
      <c r="W371" s="45" t="s">
        <v>1749</v>
      </c>
      <c r="X371" s="51"/>
      <c r="Y371" s="51"/>
      <c r="Z371" s="51"/>
      <c r="AA371" s="51"/>
      <c r="AB371" s="257" t="s">
        <v>2384</v>
      </c>
      <c r="AC371" s="64" t="s">
        <v>247</v>
      </c>
      <c r="AD371" s="51"/>
      <c r="AE371" s="64" t="s">
        <v>1610</v>
      </c>
    </row>
    <row r="372">
      <c r="A372" s="23" t="s">
        <v>169</v>
      </c>
      <c r="B372" s="23" t="s">
        <v>67</v>
      </c>
      <c r="C372" s="23" t="s">
        <v>791</v>
      </c>
      <c r="D372" s="23" t="s">
        <v>2388</v>
      </c>
      <c r="E372" s="23" t="s">
        <v>2389</v>
      </c>
      <c r="F372" s="26">
        <v>510.0</v>
      </c>
      <c r="G372" s="244"/>
      <c r="H372" s="23" t="s">
        <v>82</v>
      </c>
      <c r="I372" s="88"/>
      <c r="J372" s="238"/>
      <c r="K372" s="29">
        <v>45250.0</v>
      </c>
      <c r="L372" s="239" t="str">
        <f t="shared" si="14"/>
        <v>2023</v>
      </c>
      <c r="M372" s="29">
        <v>45617.0</v>
      </c>
      <c r="N372" s="29" t="str">
        <f t="shared" si="15"/>
        <v>2024</v>
      </c>
      <c r="O372" s="36">
        <f t="shared" si="11"/>
        <v>367</v>
      </c>
      <c r="P372" s="36">
        <f t="shared" si="4"/>
        <v>1</v>
      </c>
      <c r="Q372" s="23" t="s">
        <v>150</v>
      </c>
      <c r="R372" s="27"/>
      <c r="S372" s="27"/>
      <c r="T372" s="27"/>
      <c r="U372" s="27"/>
      <c r="V372" s="23" t="s">
        <v>104</v>
      </c>
      <c r="W372" s="23" t="s">
        <v>2393</v>
      </c>
      <c r="X372" s="27"/>
      <c r="Y372" s="23" t="s">
        <v>4235</v>
      </c>
      <c r="Z372" s="27"/>
      <c r="AA372" s="27"/>
      <c r="AB372" s="258" t="s">
        <v>4235</v>
      </c>
      <c r="AC372" s="76" t="s">
        <v>247</v>
      </c>
      <c r="AD372" s="27"/>
      <c r="AE372" s="27"/>
    </row>
    <row r="373">
      <c r="A373" s="45" t="s">
        <v>169</v>
      </c>
      <c r="B373" s="45" t="s">
        <v>67</v>
      </c>
      <c r="C373" s="45" t="s">
        <v>2402</v>
      </c>
      <c r="D373" s="45" t="s">
        <v>2403</v>
      </c>
      <c r="E373" s="45" t="s">
        <v>2404</v>
      </c>
      <c r="F373" s="48">
        <v>512.0</v>
      </c>
      <c r="G373" s="243"/>
      <c r="H373" s="45" t="s">
        <v>82</v>
      </c>
      <c r="I373" s="53"/>
      <c r="J373" s="241"/>
      <c r="K373" s="55">
        <v>45254.0</v>
      </c>
      <c r="L373" s="242" t="str">
        <f t="shared" si="14"/>
        <v>2023</v>
      </c>
      <c r="M373" s="55">
        <v>45630.0</v>
      </c>
      <c r="N373" s="55" t="str">
        <f t="shared" si="15"/>
        <v>2024</v>
      </c>
      <c r="O373" s="58">
        <f t="shared" si="11"/>
        <v>376</v>
      </c>
      <c r="P373" s="58">
        <f t="shared" si="4"/>
        <v>1</v>
      </c>
      <c r="Q373" s="45" t="s">
        <v>150</v>
      </c>
      <c r="R373" s="51"/>
      <c r="S373" s="51"/>
      <c r="T373" s="51"/>
      <c r="U373" s="51"/>
      <c r="V373" s="45" t="s">
        <v>3934</v>
      </c>
      <c r="W373" s="45" t="s">
        <v>2406</v>
      </c>
      <c r="X373" s="51"/>
      <c r="Y373" s="51"/>
      <c r="Z373" s="51"/>
      <c r="AA373" s="51"/>
      <c r="AB373" s="203"/>
      <c r="AC373" s="64" t="s">
        <v>247</v>
      </c>
      <c r="AD373" s="51"/>
      <c r="AE373" s="51"/>
    </row>
    <row r="374">
      <c r="A374" s="23" t="s">
        <v>169</v>
      </c>
      <c r="B374" s="23" t="s">
        <v>19</v>
      </c>
      <c r="C374" s="23" t="s">
        <v>2425</v>
      </c>
      <c r="D374" s="23" t="s">
        <v>2426</v>
      </c>
      <c r="E374" s="23" t="s">
        <v>2427</v>
      </c>
      <c r="F374" s="26">
        <v>516.0</v>
      </c>
      <c r="G374" s="237">
        <v>600164.0</v>
      </c>
      <c r="H374" s="23" t="s">
        <v>84</v>
      </c>
      <c r="I374" s="88"/>
      <c r="J374" s="238"/>
      <c r="K374" s="29">
        <v>45260.0</v>
      </c>
      <c r="L374" s="239" t="str">
        <f t="shared" si="14"/>
        <v>2023</v>
      </c>
      <c r="M374" s="29">
        <v>45991.0</v>
      </c>
      <c r="N374" s="29" t="str">
        <f t="shared" si="15"/>
        <v>2025</v>
      </c>
      <c r="O374" s="36">
        <f t="shared" si="11"/>
        <v>731</v>
      </c>
      <c r="P374" s="36">
        <f t="shared" si="4"/>
        <v>2</v>
      </c>
      <c r="Q374" s="23" t="s">
        <v>253</v>
      </c>
      <c r="R374" s="27"/>
      <c r="S374" s="27"/>
      <c r="T374" s="27"/>
      <c r="U374" s="27"/>
      <c r="V374" s="23" t="s">
        <v>104</v>
      </c>
      <c r="W374" s="23" t="s">
        <v>2434</v>
      </c>
      <c r="X374" s="23" t="s">
        <v>2434</v>
      </c>
      <c r="Y374" s="238"/>
      <c r="Z374" s="27"/>
      <c r="AA374" s="23" t="s">
        <v>104</v>
      </c>
      <c r="AB374" s="259"/>
      <c r="AC374" s="76" t="s">
        <v>247</v>
      </c>
      <c r="AD374" s="76" t="s">
        <v>123</v>
      </c>
      <c r="AE374" s="76" t="s">
        <v>1621</v>
      </c>
    </row>
    <row r="375">
      <c r="A375" s="45" t="s">
        <v>169</v>
      </c>
      <c r="B375" s="45" t="s">
        <v>19</v>
      </c>
      <c r="C375" s="45" t="s">
        <v>2445</v>
      </c>
      <c r="D375" s="45" t="s">
        <v>2446</v>
      </c>
      <c r="E375" s="45" t="s">
        <v>2447</v>
      </c>
      <c r="F375" s="48">
        <v>517.0</v>
      </c>
      <c r="G375" s="48">
        <v>600166.0</v>
      </c>
      <c r="H375" s="45" t="s">
        <v>266</v>
      </c>
      <c r="I375" s="53"/>
      <c r="J375" s="241"/>
      <c r="K375" s="55">
        <v>45261.0</v>
      </c>
      <c r="L375" s="242" t="str">
        <f t="shared" si="14"/>
        <v>2023</v>
      </c>
      <c r="M375" s="55">
        <v>46142.0</v>
      </c>
      <c r="N375" s="55" t="str">
        <f t="shared" si="15"/>
        <v>2026</v>
      </c>
      <c r="O375" s="58">
        <f t="shared" si="11"/>
        <v>881</v>
      </c>
      <c r="P375" s="58">
        <f t="shared" si="4"/>
        <v>2</v>
      </c>
      <c r="Q375" s="45" t="s">
        <v>253</v>
      </c>
      <c r="R375" s="51"/>
      <c r="S375" s="51"/>
      <c r="T375" s="51"/>
      <c r="U375" s="51"/>
      <c r="V375" s="45" t="s">
        <v>4244</v>
      </c>
      <c r="W375" s="45" t="s">
        <v>2453</v>
      </c>
      <c r="X375" s="45" t="s">
        <v>2453</v>
      </c>
      <c r="Y375" s="51"/>
      <c r="Z375" s="51"/>
      <c r="AA375" s="51"/>
      <c r="AB375" s="203"/>
      <c r="AC375" s="64" t="s">
        <v>247</v>
      </c>
      <c r="AD375" s="64" t="s">
        <v>14</v>
      </c>
      <c r="AE375" s="64" t="s">
        <v>1610</v>
      </c>
    </row>
    <row r="376">
      <c r="A376" s="23" t="s">
        <v>169</v>
      </c>
      <c r="B376" s="23" t="s">
        <v>67</v>
      </c>
      <c r="C376" s="23" t="s">
        <v>2474</v>
      </c>
      <c r="D376" s="23" t="s">
        <v>2475</v>
      </c>
      <c r="E376" s="23" t="s">
        <v>2476</v>
      </c>
      <c r="F376" s="26">
        <v>520.0</v>
      </c>
      <c r="G376" s="237">
        <v>600195.0</v>
      </c>
      <c r="H376" s="23" t="s">
        <v>139</v>
      </c>
      <c r="I376" s="88"/>
      <c r="J376" s="27"/>
      <c r="K376" s="29">
        <v>45265.0</v>
      </c>
      <c r="L376" s="239" t="str">
        <f t="shared" si="14"/>
        <v>2023</v>
      </c>
      <c r="M376" s="29">
        <v>45631.0</v>
      </c>
      <c r="N376" s="29" t="str">
        <f t="shared" si="15"/>
        <v>2024</v>
      </c>
      <c r="O376" s="36">
        <f t="shared" si="11"/>
        <v>366</v>
      </c>
      <c r="P376" s="36">
        <f t="shared" si="4"/>
        <v>1</v>
      </c>
      <c r="Q376" s="23" t="s">
        <v>150</v>
      </c>
      <c r="R376" s="27"/>
      <c r="S376" s="27"/>
      <c r="T376" s="27"/>
      <c r="U376" s="27"/>
      <c r="V376" s="23" t="s">
        <v>4223</v>
      </c>
      <c r="W376" s="23" t="s">
        <v>2481</v>
      </c>
      <c r="X376" s="238"/>
      <c r="Y376" s="238"/>
      <c r="Z376" s="27"/>
      <c r="AA376" s="27"/>
      <c r="AB376" s="259"/>
      <c r="AC376" s="76" t="s">
        <v>247</v>
      </c>
      <c r="AD376" s="76" t="s">
        <v>261</v>
      </c>
      <c r="AE376" s="76" t="s">
        <v>1172</v>
      </c>
    </row>
    <row r="377">
      <c r="A377" s="45" t="s">
        <v>169</v>
      </c>
      <c r="B377" s="45" t="s">
        <v>19</v>
      </c>
      <c r="C377" s="45" t="s">
        <v>2522</v>
      </c>
      <c r="D377" s="45" t="s">
        <v>2523</v>
      </c>
      <c r="E377" s="45" t="s">
        <v>2524</v>
      </c>
      <c r="F377" s="48">
        <v>524.0</v>
      </c>
      <c r="G377" s="240">
        <v>600225.0</v>
      </c>
      <c r="H377" s="45" t="s">
        <v>139</v>
      </c>
      <c r="I377" s="53"/>
      <c r="J377" s="51"/>
      <c r="K377" s="55">
        <v>45271.0</v>
      </c>
      <c r="L377" s="242" t="str">
        <f t="shared" si="14"/>
        <v>2023</v>
      </c>
      <c r="M377" s="55">
        <v>46007.0</v>
      </c>
      <c r="N377" s="55" t="str">
        <f t="shared" si="15"/>
        <v>2025</v>
      </c>
      <c r="O377" s="58">
        <f t="shared" si="11"/>
        <v>736</v>
      </c>
      <c r="P377" s="58">
        <f t="shared" si="4"/>
        <v>2</v>
      </c>
      <c r="Q377" s="45" t="s">
        <v>253</v>
      </c>
      <c r="R377" s="51"/>
      <c r="S377" s="51"/>
      <c r="T377" s="51"/>
      <c r="U377" s="51"/>
      <c r="V377" s="45" t="s">
        <v>708</v>
      </c>
      <c r="W377" s="45" t="s">
        <v>2530</v>
      </c>
      <c r="X377" s="45" t="s">
        <v>2530</v>
      </c>
      <c r="Y377" s="51"/>
      <c r="Z377" s="51"/>
      <c r="AA377" s="51"/>
      <c r="AB377" s="203"/>
      <c r="AC377" s="64" t="s">
        <v>820</v>
      </c>
      <c r="AD377" s="64" t="s">
        <v>14</v>
      </c>
      <c r="AE377" s="64" t="s">
        <v>1610</v>
      </c>
    </row>
    <row r="378">
      <c r="A378" s="23" t="s">
        <v>169</v>
      </c>
      <c r="B378" s="23" t="s">
        <v>67</v>
      </c>
      <c r="C378" s="23" t="s">
        <v>657</v>
      </c>
      <c r="D378" s="23" t="s">
        <v>2537</v>
      </c>
      <c r="E378" s="23" t="s">
        <v>2539</v>
      </c>
      <c r="F378" s="26">
        <v>525.0</v>
      </c>
      <c r="G378" s="237">
        <v>600229.0</v>
      </c>
      <c r="H378" s="23" t="s">
        <v>84</v>
      </c>
      <c r="I378" s="88"/>
      <c r="J378" s="27"/>
      <c r="K378" s="29">
        <v>45272.0</v>
      </c>
      <c r="L378" s="239" t="str">
        <f t="shared" si="14"/>
        <v>2023</v>
      </c>
      <c r="M378" s="29">
        <v>45638.0</v>
      </c>
      <c r="N378" s="29" t="str">
        <f t="shared" si="15"/>
        <v>2024</v>
      </c>
      <c r="O378" s="36">
        <f t="shared" si="11"/>
        <v>366</v>
      </c>
      <c r="P378" s="36">
        <f t="shared" si="4"/>
        <v>1</v>
      </c>
      <c r="Q378" s="23" t="s">
        <v>150</v>
      </c>
      <c r="R378" s="27"/>
      <c r="S378" s="27"/>
      <c r="T378" s="27"/>
      <c r="U378" s="27"/>
      <c r="V378" s="23" t="s">
        <v>104</v>
      </c>
      <c r="W378" s="260" t="s">
        <v>2544</v>
      </c>
      <c r="X378" s="261"/>
      <c r="Y378" s="27"/>
      <c r="Z378" s="27"/>
      <c r="AA378" s="23" t="s">
        <v>4256</v>
      </c>
      <c r="AB378" s="189"/>
      <c r="AC378" s="76" t="s">
        <v>247</v>
      </c>
      <c r="AD378" s="27"/>
      <c r="AE378" s="76" t="s">
        <v>213</v>
      </c>
    </row>
    <row r="379">
      <c r="A379" s="45" t="s">
        <v>169</v>
      </c>
      <c r="B379" s="45" t="s">
        <v>67</v>
      </c>
      <c r="C379" s="45" t="s">
        <v>2551</v>
      </c>
      <c r="D379" s="45" t="s">
        <v>2552</v>
      </c>
      <c r="E379" s="45" t="s">
        <v>2553</v>
      </c>
      <c r="F379" s="48">
        <v>526.0</v>
      </c>
      <c r="G379" s="240">
        <v>600231.0</v>
      </c>
      <c r="H379" s="45" t="s">
        <v>139</v>
      </c>
      <c r="I379" s="53"/>
      <c r="J379" s="51"/>
      <c r="K379" s="55">
        <v>45274.0</v>
      </c>
      <c r="L379" s="242" t="str">
        <f t="shared" si="14"/>
        <v>2023</v>
      </c>
      <c r="M379" s="55">
        <v>45458.0</v>
      </c>
      <c r="N379" s="55" t="str">
        <f t="shared" si="15"/>
        <v>2024</v>
      </c>
      <c r="O379" s="58">
        <f t="shared" si="11"/>
        <v>184</v>
      </c>
      <c r="P379" s="58">
        <f t="shared" si="4"/>
        <v>0</v>
      </c>
      <c r="Q379" s="45" t="s">
        <v>150</v>
      </c>
      <c r="R379" s="51"/>
      <c r="S379" s="51"/>
      <c r="T379" s="51"/>
      <c r="U379" s="51"/>
      <c r="V379" s="45" t="s">
        <v>4259</v>
      </c>
      <c r="W379" s="45" t="s">
        <v>2561</v>
      </c>
      <c r="X379" s="241"/>
      <c r="Y379" s="241"/>
      <c r="Z379" s="51"/>
      <c r="AA379" s="51"/>
      <c r="AB379" s="263"/>
      <c r="AC379" s="64" t="s">
        <v>247</v>
      </c>
      <c r="AD379" s="51"/>
      <c r="AE379" s="64" t="s">
        <v>1621</v>
      </c>
    </row>
    <row r="380">
      <c r="A380" s="23" t="s">
        <v>169</v>
      </c>
      <c r="B380" s="23" t="s">
        <v>19</v>
      </c>
      <c r="C380" s="23" t="s">
        <v>1301</v>
      </c>
      <c r="D380" s="23" t="s">
        <v>1302</v>
      </c>
      <c r="E380" s="23" t="s">
        <v>1303</v>
      </c>
      <c r="F380" s="26">
        <v>403.0</v>
      </c>
      <c r="G380" s="237">
        <v>600180.0</v>
      </c>
      <c r="H380" s="23" t="s">
        <v>139</v>
      </c>
      <c r="I380" s="23" t="s">
        <v>84</v>
      </c>
      <c r="J380" s="238"/>
      <c r="K380" s="29">
        <v>45093.0</v>
      </c>
      <c r="L380" s="239" t="str">
        <f t="shared" si="14"/>
        <v>2023</v>
      </c>
      <c r="M380" s="29">
        <v>46022.0</v>
      </c>
      <c r="N380" s="29" t="str">
        <f t="shared" si="15"/>
        <v>2025</v>
      </c>
      <c r="O380" s="36">
        <f t="shared" si="11"/>
        <v>929</v>
      </c>
      <c r="P380" s="36">
        <f t="shared" si="4"/>
        <v>2</v>
      </c>
      <c r="Q380" s="23" t="s">
        <v>253</v>
      </c>
      <c r="R380" s="27"/>
      <c r="S380" s="27"/>
      <c r="T380" s="27"/>
      <c r="U380" s="27"/>
      <c r="V380" s="23" t="s">
        <v>104</v>
      </c>
      <c r="W380" s="23" t="s">
        <v>1305</v>
      </c>
      <c r="X380" s="23" t="s">
        <v>1305</v>
      </c>
      <c r="Y380" s="27"/>
      <c r="Z380" s="27"/>
      <c r="AA380" s="23" t="s">
        <v>4265</v>
      </c>
      <c r="AB380" s="189"/>
      <c r="AC380" s="76" t="s">
        <v>820</v>
      </c>
      <c r="AD380" s="76" t="s">
        <v>261</v>
      </c>
      <c r="AE380" s="76" t="s">
        <v>1610</v>
      </c>
    </row>
    <row r="381">
      <c r="A381" s="45" t="s">
        <v>169</v>
      </c>
      <c r="B381" s="45" t="s">
        <v>19</v>
      </c>
      <c r="C381" s="45" t="s">
        <v>657</v>
      </c>
      <c r="D381" s="45" t="s">
        <v>2581</v>
      </c>
      <c r="E381" s="45" t="s">
        <v>2582</v>
      </c>
      <c r="F381" s="48">
        <v>528.0</v>
      </c>
      <c r="G381" s="240">
        <v>600237.0</v>
      </c>
      <c r="H381" s="45" t="s">
        <v>139</v>
      </c>
      <c r="I381" s="53"/>
      <c r="J381" s="51"/>
      <c r="K381" s="55">
        <v>45280.0</v>
      </c>
      <c r="L381" s="242" t="str">
        <f t="shared" si="14"/>
        <v>2023</v>
      </c>
      <c r="M381" s="55">
        <v>46022.0</v>
      </c>
      <c r="N381" s="55" t="str">
        <f t="shared" si="15"/>
        <v>2025</v>
      </c>
      <c r="O381" s="58">
        <f t="shared" si="11"/>
        <v>742</v>
      </c>
      <c r="P381" s="58">
        <f t="shared" si="4"/>
        <v>2</v>
      </c>
      <c r="Q381" s="45" t="s">
        <v>253</v>
      </c>
      <c r="R381" s="51"/>
      <c r="S381" s="51"/>
      <c r="T381" s="51"/>
      <c r="U381" s="51"/>
      <c r="V381" s="45" t="s">
        <v>104</v>
      </c>
      <c r="W381" s="45" t="s">
        <v>4269</v>
      </c>
      <c r="X381" s="45" t="s">
        <v>4270</v>
      </c>
      <c r="Y381" s="241"/>
      <c r="Z381" s="51"/>
      <c r="AA381" s="51"/>
      <c r="AB381" s="263"/>
      <c r="AC381" s="64" t="s">
        <v>247</v>
      </c>
      <c r="AD381" s="64" t="s">
        <v>123</v>
      </c>
      <c r="AE381" s="64" t="s">
        <v>1610</v>
      </c>
    </row>
    <row r="382">
      <c r="A382" s="23" t="s">
        <v>169</v>
      </c>
      <c r="B382" s="23" t="s">
        <v>67</v>
      </c>
      <c r="C382" s="23" t="s">
        <v>627</v>
      </c>
      <c r="D382" s="23" t="s">
        <v>629</v>
      </c>
      <c r="E382" s="23" t="s">
        <v>632</v>
      </c>
      <c r="F382" s="26">
        <v>321.0</v>
      </c>
      <c r="G382" s="237">
        <v>600210.0</v>
      </c>
      <c r="H382" s="23" t="s">
        <v>84</v>
      </c>
      <c r="I382" s="88"/>
      <c r="J382" s="27"/>
      <c r="K382" s="29">
        <v>44908.0</v>
      </c>
      <c r="L382" s="239" t="str">
        <f t="shared" si="14"/>
        <v>2022</v>
      </c>
      <c r="M382" s="29">
        <v>45626.0</v>
      </c>
      <c r="N382" s="29" t="str">
        <f t="shared" si="15"/>
        <v>2024</v>
      </c>
      <c r="O382" s="36">
        <f t="shared" si="11"/>
        <v>718</v>
      </c>
      <c r="P382" s="36">
        <f t="shared" si="4"/>
        <v>1</v>
      </c>
      <c r="Q382" s="23" t="s">
        <v>253</v>
      </c>
      <c r="R382" s="23" t="s">
        <v>4272</v>
      </c>
      <c r="S382" s="27"/>
      <c r="T382" s="27"/>
      <c r="U382" s="27"/>
      <c r="V382" s="23" t="s">
        <v>104</v>
      </c>
      <c r="W382" s="27"/>
      <c r="X382" s="238"/>
      <c r="Y382" s="238"/>
      <c r="Z382" s="27"/>
      <c r="AA382" s="27"/>
      <c r="AB382" s="259"/>
      <c r="AC382" s="76" t="s">
        <v>247</v>
      </c>
      <c r="AD382" s="76" t="s">
        <v>261</v>
      </c>
      <c r="AE382" s="76" t="s">
        <v>1172</v>
      </c>
    </row>
    <row r="383">
      <c r="A383" s="45" t="s">
        <v>169</v>
      </c>
      <c r="B383" s="45" t="s">
        <v>19</v>
      </c>
      <c r="C383" s="45" t="s">
        <v>366</v>
      </c>
      <c r="D383" s="45" t="s">
        <v>368</v>
      </c>
      <c r="E383" s="45" t="s">
        <v>371</v>
      </c>
      <c r="F383" s="48">
        <v>225.0</v>
      </c>
      <c r="G383" s="240">
        <v>600169.0</v>
      </c>
      <c r="H383" s="45" t="s">
        <v>1392</v>
      </c>
      <c r="I383" s="53"/>
      <c r="J383" s="51"/>
      <c r="K383" s="55">
        <v>44547.0</v>
      </c>
      <c r="L383" s="242" t="str">
        <f t="shared" si="14"/>
        <v>2021</v>
      </c>
      <c r="M383" s="55">
        <v>45991.0</v>
      </c>
      <c r="N383" s="55" t="str">
        <f t="shared" si="15"/>
        <v>2025</v>
      </c>
      <c r="O383" s="58">
        <f t="shared" si="11"/>
        <v>1444</v>
      </c>
      <c r="P383" s="58">
        <f t="shared" si="4"/>
        <v>3</v>
      </c>
      <c r="Q383" s="45" t="s">
        <v>348</v>
      </c>
      <c r="R383" s="45" t="s">
        <v>4273</v>
      </c>
      <c r="S383" s="51"/>
      <c r="T383" s="51"/>
      <c r="U383" s="51"/>
      <c r="V383" s="45" t="s">
        <v>104</v>
      </c>
      <c r="W383" s="51"/>
      <c r="X383" s="45" t="s">
        <v>381</v>
      </c>
      <c r="Y383" s="51"/>
      <c r="Z383" s="51"/>
      <c r="AA383" s="51"/>
      <c r="AB383" s="203"/>
      <c r="AC383" s="64" t="s">
        <v>777</v>
      </c>
      <c r="AD383" s="64" t="s">
        <v>1777</v>
      </c>
      <c r="AE383" s="64" t="s">
        <v>1610</v>
      </c>
    </row>
    <row r="384">
      <c r="A384" s="23" t="s">
        <v>169</v>
      </c>
      <c r="B384" s="23" t="s">
        <v>67</v>
      </c>
      <c r="C384" s="23" t="s">
        <v>2564</v>
      </c>
      <c r="D384" s="23" t="s">
        <v>2565</v>
      </c>
      <c r="E384" s="23" t="s">
        <v>2566</v>
      </c>
      <c r="F384" s="26">
        <v>531.0</v>
      </c>
      <c r="G384" s="237">
        <v>600246.0</v>
      </c>
      <c r="H384" s="23" t="s">
        <v>139</v>
      </c>
      <c r="I384" s="88"/>
      <c r="J384" s="27"/>
      <c r="K384" s="29">
        <v>45279.0</v>
      </c>
      <c r="L384" s="239" t="str">
        <f t="shared" si="14"/>
        <v>2023</v>
      </c>
      <c r="M384" s="29">
        <v>45645.0</v>
      </c>
      <c r="N384" s="29" t="str">
        <f t="shared" si="15"/>
        <v>2024</v>
      </c>
      <c r="O384" s="36">
        <f t="shared" si="11"/>
        <v>366</v>
      </c>
      <c r="P384" s="36">
        <f t="shared" si="4"/>
        <v>1</v>
      </c>
      <c r="Q384" s="23" t="s">
        <v>150</v>
      </c>
      <c r="R384" s="27"/>
      <c r="S384" s="27"/>
      <c r="T384" s="27"/>
      <c r="U384" s="27"/>
      <c r="V384" s="23" t="s">
        <v>4280</v>
      </c>
      <c r="W384" s="144" t="s">
        <v>2571</v>
      </c>
      <c r="X384" s="27"/>
      <c r="Y384" s="27"/>
      <c r="Z384" s="27"/>
      <c r="AA384" s="27"/>
      <c r="AB384" s="189"/>
      <c r="AC384" s="76" t="s">
        <v>247</v>
      </c>
      <c r="AD384" s="76" t="s">
        <v>261</v>
      </c>
      <c r="AE384" s="76" t="s">
        <v>1666</v>
      </c>
    </row>
    <row r="385">
      <c r="A385" s="45" t="s">
        <v>169</v>
      </c>
      <c r="B385" s="45" t="s">
        <v>67</v>
      </c>
      <c r="C385" s="45" t="s">
        <v>344</v>
      </c>
      <c r="D385" s="45" t="s">
        <v>345</v>
      </c>
      <c r="E385" s="45" t="s">
        <v>346</v>
      </c>
      <c r="F385" s="48">
        <v>226.0</v>
      </c>
      <c r="G385" s="240">
        <v>600171.0</v>
      </c>
      <c r="H385" s="45" t="s">
        <v>84</v>
      </c>
      <c r="I385" s="53"/>
      <c r="J385" s="51"/>
      <c r="K385" s="55">
        <v>44547.0</v>
      </c>
      <c r="L385" s="242" t="str">
        <f t="shared" si="14"/>
        <v>2021</v>
      </c>
      <c r="M385" s="55">
        <v>45505.0</v>
      </c>
      <c r="N385" s="55" t="str">
        <f t="shared" si="15"/>
        <v>2024</v>
      </c>
      <c r="O385" s="58">
        <f t="shared" si="11"/>
        <v>958</v>
      </c>
      <c r="P385" s="58">
        <f t="shared" si="4"/>
        <v>2</v>
      </c>
      <c r="Q385" s="45" t="s">
        <v>253</v>
      </c>
      <c r="R385" s="51"/>
      <c r="S385" s="51"/>
      <c r="T385" s="51"/>
      <c r="U385" s="51"/>
      <c r="V385" s="45" t="s">
        <v>104</v>
      </c>
      <c r="W385" s="45" t="s">
        <v>359</v>
      </c>
      <c r="X385" s="51"/>
      <c r="Y385" s="51"/>
      <c r="Z385" s="51"/>
      <c r="AA385" s="51"/>
      <c r="AB385" s="203"/>
      <c r="AC385" s="64" t="s">
        <v>247</v>
      </c>
      <c r="AD385" s="64" t="s">
        <v>261</v>
      </c>
      <c r="AE385" s="64" t="s">
        <v>213</v>
      </c>
    </row>
    <row r="386">
      <c r="A386" s="23" t="s">
        <v>169</v>
      </c>
      <c r="B386" s="23" t="s">
        <v>67</v>
      </c>
      <c r="C386" s="23" t="s">
        <v>1099</v>
      </c>
      <c r="D386" s="23" t="s">
        <v>1100</v>
      </c>
      <c r="E386" s="23" t="s">
        <v>1101</v>
      </c>
      <c r="F386" s="26">
        <v>408.0</v>
      </c>
      <c r="G386" s="244"/>
      <c r="H386" s="23" t="s">
        <v>139</v>
      </c>
      <c r="I386" s="88"/>
      <c r="J386" s="238"/>
      <c r="K386" s="29">
        <v>45104.0</v>
      </c>
      <c r="L386" s="239" t="str">
        <f t="shared" si="14"/>
        <v>2023</v>
      </c>
      <c r="M386" s="29">
        <v>45287.0</v>
      </c>
      <c r="N386" s="29" t="str">
        <f t="shared" si="15"/>
        <v>2023</v>
      </c>
      <c r="O386" s="36">
        <f t="shared" si="11"/>
        <v>183</v>
      </c>
      <c r="P386" s="36">
        <f t="shared" si="4"/>
        <v>0</v>
      </c>
      <c r="Q386" s="23" t="s">
        <v>150</v>
      </c>
      <c r="R386" s="27"/>
      <c r="S386" s="23" t="s">
        <v>113</v>
      </c>
      <c r="T386" s="27"/>
      <c r="U386" s="27"/>
      <c r="V386" s="27"/>
      <c r="W386" s="27"/>
      <c r="X386" s="27"/>
      <c r="Y386" s="27"/>
      <c r="Z386" s="27"/>
      <c r="AA386" s="27"/>
      <c r="AB386" s="189"/>
      <c r="AC386" s="76" t="s">
        <v>354</v>
      </c>
      <c r="AD386" s="27"/>
      <c r="AE386" s="76" t="s">
        <v>1172</v>
      </c>
    </row>
    <row r="387">
      <c r="A387" s="45" t="s">
        <v>169</v>
      </c>
      <c r="B387" s="45" t="s">
        <v>67</v>
      </c>
      <c r="C387" s="45" t="s">
        <v>237</v>
      </c>
      <c r="D387" s="45" t="s">
        <v>1336</v>
      </c>
      <c r="E387" s="45" t="s">
        <v>1338</v>
      </c>
      <c r="F387" s="48">
        <v>409.0</v>
      </c>
      <c r="G387" s="240">
        <v>600178.0</v>
      </c>
      <c r="H387" s="45" t="s">
        <v>139</v>
      </c>
      <c r="I387" s="53"/>
      <c r="J387" s="241"/>
      <c r="K387" s="55">
        <v>45107.0</v>
      </c>
      <c r="L387" s="242" t="str">
        <f t="shared" si="14"/>
        <v>2023</v>
      </c>
      <c r="M387" s="55">
        <v>45838.0</v>
      </c>
      <c r="N387" s="55" t="str">
        <f t="shared" si="15"/>
        <v>2025</v>
      </c>
      <c r="O387" s="58">
        <f t="shared" si="11"/>
        <v>731</v>
      </c>
      <c r="P387" s="58">
        <f t="shared" si="4"/>
        <v>2</v>
      </c>
      <c r="Q387" s="45" t="s">
        <v>253</v>
      </c>
      <c r="R387" s="51"/>
      <c r="S387" s="51"/>
      <c r="T387" s="51"/>
      <c r="U387" s="51"/>
      <c r="V387" s="45" t="s">
        <v>104</v>
      </c>
      <c r="W387" s="45" t="s">
        <v>1340</v>
      </c>
      <c r="X387" s="45" t="s">
        <v>1340</v>
      </c>
      <c r="Y387" s="53"/>
      <c r="Z387" s="51"/>
      <c r="AA387" s="51"/>
      <c r="AB387" s="72"/>
      <c r="AC387" s="64" t="s">
        <v>247</v>
      </c>
      <c r="AD387" s="64" t="s">
        <v>14</v>
      </c>
      <c r="AE387" s="64" t="s">
        <v>213</v>
      </c>
    </row>
    <row r="388">
      <c r="A388" s="23" t="s">
        <v>407</v>
      </c>
      <c r="B388" s="23" t="s">
        <v>19</v>
      </c>
      <c r="C388" s="23" t="s">
        <v>1357</v>
      </c>
      <c r="D388" s="23" t="s">
        <v>1358</v>
      </c>
      <c r="E388" s="23" t="s">
        <v>1359</v>
      </c>
      <c r="F388" s="26">
        <v>417.0</v>
      </c>
      <c r="G388" s="237">
        <v>600216.0</v>
      </c>
      <c r="H388" s="23" t="s">
        <v>139</v>
      </c>
      <c r="I388" s="23" t="s">
        <v>84</v>
      </c>
      <c r="J388" s="238"/>
      <c r="K388" s="29">
        <v>45119.0</v>
      </c>
      <c r="L388" s="239" t="str">
        <f t="shared" si="14"/>
        <v>2023</v>
      </c>
      <c r="M388" s="29">
        <v>46022.0</v>
      </c>
      <c r="N388" s="29" t="str">
        <f t="shared" si="15"/>
        <v>2025</v>
      </c>
      <c r="O388" s="36">
        <f t="shared" si="11"/>
        <v>903</v>
      </c>
      <c r="P388" s="36">
        <f t="shared" si="4"/>
        <v>2</v>
      </c>
      <c r="Q388" s="23" t="s">
        <v>348</v>
      </c>
      <c r="R388" s="27"/>
      <c r="S388" s="27"/>
      <c r="T388" s="27"/>
      <c r="U388" s="27"/>
      <c r="V388" s="23" t="s">
        <v>104</v>
      </c>
      <c r="W388" s="23" t="s">
        <v>1361</v>
      </c>
      <c r="X388" s="23" t="s">
        <v>1361</v>
      </c>
      <c r="Y388" s="88"/>
      <c r="Z388" s="27"/>
      <c r="AA388" s="23" t="s">
        <v>4302</v>
      </c>
      <c r="AB388" s="44"/>
      <c r="AC388" s="76" t="s">
        <v>247</v>
      </c>
      <c r="AD388" s="76" t="s">
        <v>123</v>
      </c>
      <c r="AE388" s="76" t="s">
        <v>3311</v>
      </c>
    </row>
    <row r="389">
      <c r="A389" s="45" t="s">
        <v>169</v>
      </c>
      <c r="B389" s="45" t="s">
        <v>67</v>
      </c>
      <c r="C389" s="45" t="s">
        <v>2601</v>
      </c>
      <c r="D389" s="45" t="s">
        <v>2602</v>
      </c>
      <c r="E389" s="45" t="s">
        <v>2603</v>
      </c>
      <c r="F389" s="48">
        <v>533.0</v>
      </c>
      <c r="G389" s="240">
        <v>600251.0</v>
      </c>
      <c r="H389" s="45" t="s">
        <v>139</v>
      </c>
      <c r="I389" s="45" t="s">
        <v>4304</v>
      </c>
      <c r="J389" s="51"/>
      <c r="K389" s="55">
        <v>45294.0</v>
      </c>
      <c r="L389" s="242" t="str">
        <f t="shared" si="14"/>
        <v>2024</v>
      </c>
      <c r="M389" s="55">
        <v>45661.0</v>
      </c>
      <c r="N389" s="55" t="str">
        <f t="shared" si="15"/>
        <v>2025</v>
      </c>
      <c r="O389" s="58">
        <f t="shared" si="11"/>
        <v>367</v>
      </c>
      <c r="P389" s="58">
        <f t="shared" si="4"/>
        <v>1</v>
      </c>
      <c r="Q389" s="45" t="s">
        <v>150</v>
      </c>
      <c r="R389" s="51"/>
      <c r="S389" s="51"/>
      <c r="T389" s="51"/>
      <c r="U389" s="51"/>
      <c r="V389" s="45" t="s">
        <v>4306</v>
      </c>
      <c r="W389" s="45" t="s">
        <v>2608</v>
      </c>
      <c r="X389" s="51"/>
      <c r="Y389" s="51"/>
      <c r="Z389" s="51"/>
      <c r="AA389" s="45" t="s">
        <v>4308</v>
      </c>
      <c r="AB389" s="203"/>
      <c r="AC389" s="64" t="s">
        <v>247</v>
      </c>
      <c r="AD389" s="51"/>
      <c r="AE389" s="64" t="s">
        <v>1931</v>
      </c>
    </row>
    <row r="390">
      <c r="A390" s="23" t="s">
        <v>407</v>
      </c>
      <c r="B390" s="23" t="s">
        <v>19</v>
      </c>
      <c r="C390" s="23" t="s">
        <v>703</v>
      </c>
      <c r="D390" s="23" t="s">
        <v>705</v>
      </c>
      <c r="E390" s="23" t="s">
        <v>706</v>
      </c>
      <c r="F390" s="26">
        <v>327.0</v>
      </c>
      <c r="G390" s="237">
        <v>600243.0</v>
      </c>
      <c r="H390" s="23" t="s">
        <v>84</v>
      </c>
      <c r="I390" s="23" t="s">
        <v>84</v>
      </c>
      <c r="J390" s="27"/>
      <c r="K390" s="29">
        <v>44960.0</v>
      </c>
      <c r="L390" s="239" t="str">
        <f t="shared" si="14"/>
        <v>2023</v>
      </c>
      <c r="M390" s="29">
        <v>46082.0</v>
      </c>
      <c r="N390" s="29" t="str">
        <f t="shared" si="15"/>
        <v>2026</v>
      </c>
      <c r="O390" s="36">
        <f t="shared" si="11"/>
        <v>1122</v>
      </c>
      <c r="P390" s="36">
        <f t="shared" si="4"/>
        <v>3</v>
      </c>
      <c r="Q390" s="23" t="s">
        <v>253</v>
      </c>
      <c r="R390" s="27"/>
      <c r="S390" s="27"/>
      <c r="T390" s="27"/>
      <c r="U390" s="27"/>
      <c r="V390" s="23" t="s">
        <v>104</v>
      </c>
      <c r="W390" s="23" t="s">
        <v>713</v>
      </c>
      <c r="X390" s="23" t="s">
        <v>713</v>
      </c>
      <c r="Y390" s="27"/>
      <c r="Z390" s="27"/>
      <c r="AA390" s="27"/>
      <c r="AB390" s="189"/>
      <c r="AC390" s="76" t="s">
        <v>820</v>
      </c>
      <c r="AD390" s="27"/>
      <c r="AE390" s="76" t="s">
        <v>3311</v>
      </c>
    </row>
    <row r="391">
      <c r="A391" s="45" t="s">
        <v>169</v>
      </c>
      <c r="B391" s="45" t="s">
        <v>67</v>
      </c>
      <c r="C391" s="45" t="s">
        <v>2617</v>
      </c>
      <c r="D391" s="45" t="s">
        <v>2618</v>
      </c>
      <c r="E391" s="45" t="s">
        <v>2619</v>
      </c>
      <c r="F391" s="48">
        <v>534.0</v>
      </c>
      <c r="G391" s="240">
        <v>600261.0</v>
      </c>
      <c r="H391" s="45" t="s">
        <v>139</v>
      </c>
      <c r="I391" s="45" t="s">
        <v>4304</v>
      </c>
      <c r="J391" s="51"/>
      <c r="K391" s="55">
        <v>45299.0</v>
      </c>
      <c r="L391" s="242" t="str">
        <f t="shared" si="14"/>
        <v>2024</v>
      </c>
      <c r="M391" s="55">
        <v>45666.0</v>
      </c>
      <c r="N391" s="55" t="str">
        <f t="shared" si="15"/>
        <v>2025</v>
      </c>
      <c r="O391" s="58">
        <f t="shared" si="11"/>
        <v>367</v>
      </c>
      <c r="P391" s="58">
        <f t="shared" si="4"/>
        <v>1</v>
      </c>
      <c r="Q391" s="45" t="s">
        <v>150</v>
      </c>
      <c r="R391" s="51"/>
      <c r="S391" s="51"/>
      <c r="T391" s="51"/>
      <c r="U391" s="51"/>
      <c r="V391" s="45" t="s">
        <v>4319</v>
      </c>
      <c r="W391" s="45" t="s">
        <v>2621</v>
      </c>
      <c r="X391" s="51"/>
      <c r="Y391" s="51"/>
      <c r="Z391" s="51"/>
      <c r="AA391" s="51"/>
      <c r="AB391" s="203"/>
      <c r="AC391" s="64" t="s">
        <v>247</v>
      </c>
      <c r="AD391" s="64" t="s">
        <v>261</v>
      </c>
      <c r="AE391" s="64" t="s">
        <v>1621</v>
      </c>
    </row>
    <row r="392">
      <c r="A392" s="23" t="s">
        <v>169</v>
      </c>
      <c r="B392" s="23" t="s">
        <v>67</v>
      </c>
      <c r="C392" s="23" t="s">
        <v>2625</v>
      </c>
      <c r="D392" s="23" t="s">
        <v>2626</v>
      </c>
      <c r="E392" s="23" t="s">
        <v>2627</v>
      </c>
      <c r="F392" s="26">
        <v>535.0</v>
      </c>
      <c r="G392" s="244"/>
      <c r="H392" s="23" t="s">
        <v>187</v>
      </c>
      <c r="I392" s="23" t="s">
        <v>84</v>
      </c>
      <c r="J392" s="238"/>
      <c r="K392" s="29">
        <v>45299.0</v>
      </c>
      <c r="L392" s="239" t="str">
        <f t="shared" si="14"/>
        <v>2024</v>
      </c>
      <c r="M392" s="29">
        <v>45313.0</v>
      </c>
      <c r="N392" s="29" t="str">
        <f t="shared" si="15"/>
        <v>2024</v>
      </c>
      <c r="O392" s="36">
        <f t="shared" si="11"/>
        <v>14</v>
      </c>
      <c r="P392" s="36">
        <f t="shared" si="4"/>
        <v>0</v>
      </c>
      <c r="Q392" s="23" t="s">
        <v>150</v>
      </c>
      <c r="R392" s="27"/>
      <c r="S392" s="27"/>
      <c r="T392" s="27"/>
      <c r="U392" s="27"/>
      <c r="V392" s="23" t="s">
        <v>3934</v>
      </c>
      <c r="W392" s="23" t="s">
        <v>2631</v>
      </c>
      <c r="X392" s="27"/>
      <c r="Y392" s="27"/>
      <c r="Z392" s="27"/>
      <c r="AA392" s="23" t="s">
        <v>4324</v>
      </c>
      <c r="AB392" s="189"/>
      <c r="AC392" s="76" t="s">
        <v>247</v>
      </c>
      <c r="AD392" s="27"/>
      <c r="AE392" s="76" t="s">
        <v>1666</v>
      </c>
    </row>
    <row r="393">
      <c r="A393" s="45" t="s">
        <v>169</v>
      </c>
      <c r="B393" s="45" t="s">
        <v>67</v>
      </c>
      <c r="C393" s="45" t="s">
        <v>1430</v>
      </c>
      <c r="D393" s="45" t="s">
        <v>1431</v>
      </c>
      <c r="E393" s="45" t="s">
        <v>1434</v>
      </c>
      <c r="F393" s="48">
        <v>426.0</v>
      </c>
      <c r="G393" s="240">
        <v>600179.0</v>
      </c>
      <c r="H393" s="45" t="s">
        <v>84</v>
      </c>
      <c r="I393" s="45" t="s">
        <v>84</v>
      </c>
      <c r="J393" s="51"/>
      <c r="K393" s="55">
        <v>45135.0</v>
      </c>
      <c r="L393" s="242" t="str">
        <f t="shared" si="14"/>
        <v>2023</v>
      </c>
      <c r="M393" s="55">
        <v>46022.0</v>
      </c>
      <c r="N393" s="55" t="str">
        <f t="shared" si="15"/>
        <v>2025</v>
      </c>
      <c r="O393" s="58">
        <f t="shared" si="11"/>
        <v>887</v>
      </c>
      <c r="P393" s="58">
        <f t="shared" si="4"/>
        <v>2</v>
      </c>
      <c r="Q393" s="45" t="s">
        <v>253</v>
      </c>
      <c r="R393" s="45" t="s">
        <v>4327</v>
      </c>
      <c r="S393" s="45" t="s">
        <v>269</v>
      </c>
      <c r="T393" s="51"/>
      <c r="U393" s="51"/>
      <c r="V393" s="45" t="s">
        <v>104</v>
      </c>
      <c r="W393" s="45" t="s">
        <v>1440</v>
      </c>
      <c r="X393" s="51"/>
      <c r="Y393" s="51"/>
      <c r="Z393" s="51"/>
      <c r="AA393" s="51"/>
      <c r="AB393" s="203"/>
      <c r="AC393" s="64" t="s">
        <v>247</v>
      </c>
      <c r="AD393" s="64" t="s">
        <v>14</v>
      </c>
      <c r="AE393" s="64" t="s">
        <v>213</v>
      </c>
    </row>
    <row r="394">
      <c r="A394" s="23" t="s">
        <v>169</v>
      </c>
      <c r="B394" s="23" t="s">
        <v>67</v>
      </c>
      <c r="C394" s="23" t="s">
        <v>568</v>
      </c>
      <c r="D394" s="23" t="s">
        <v>2656</v>
      </c>
      <c r="E394" s="23" t="s">
        <v>972</v>
      </c>
      <c r="F394" s="26">
        <v>539.0</v>
      </c>
      <c r="G394" s="237">
        <v>600269.0</v>
      </c>
      <c r="H394" s="23" t="s">
        <v>82</v>
      </c>
      <c r="I394" s="23" t="s">
        <v>84</v>
      </c>
      <c r="J394" s="27"/>
      <c r="K394" s="29">
        <v>45308.0</v>
      </c>
      <c r="L394" s="239" t="str">
        <f t="shared" si="14"/>
        <v>2024</v>
      </c>
      <c r="M394" s="29">
        <v>45322.0</v>
      </c>
      <c r="N394" s="29" t="str">
        <f t="shared" si="15"/>
        <v>2024</v>
      </c>
      <c r="O394" s="36">
        <f t="shared" si="11"/>
        <v>14</v>
      </c>
      <c r="P394" s="36">
        <f t="shared" si="4"/>
        <v>0</v>
      </c>
      <c r="Q394" s="23" t="s">
        <v>150</v>
      </c>
      <c r="R394" s="27"/>
      <c r="S394" s="23" t="s">
        <v>269</v>
      </c>
      <c r="T394" s="27"/>
      <c r="U394" s="23" t="s">
        <v>25</v>
      </c>
      <c r="V394" s="23" t="s">
        <v>104</v>
      </c>
      <c r="W394" s="23" t="s">
        <v>2659</v>
      </c>
      <c r="X394" s="27"/>
      <c r="Y394" s="27"/>
      <c r="Z394" s="27"/>
      <c r="AA394" s="23" t="s">
        <v>4332</v>
      </c>
      <c r="AB394" s="189"/>
      <c r="AC394" s="27"/>
      <c r="AD394" s="27"/>
      <c r="AE394" s="76" t="s">
        <v>1576</v>
      </c>
    </row>
    <row r="395">
      <c r="A395" s="45" t="s">
        <v>169</v>
      </c>
      <c r="B395" s="45" t="s">
        <v>67</v>
      </c>
      <c r="C395" s="45" t="s">
        <v>568</v>
      </c>
      <c r="D395" s="45" t="s">
        <v>971</v>
      </c>
      <c r="E395" s="45" t="s">
        <v>972</v>
      </c>
      <c r="F395" s="48">
        <v>398.0</v>
      </c>
      <c r="G395" s="243"/>
      <c r="H395" s="45" t="s">
        <v>266</v>
      </c>
      <c r="I395" s="53"/>
      <c r="J395" s="241"/>
      <c r="K395" s="55">
        <v>45089.0</v>
      </c>
      <c r="L395" s="242" t="str">
        <f t="shared" si="14"/>
        <v>2023</v>
      </c>
      <c r="M395" s="55">
        <v>45291.0</v>
      </c>
      <c r="N395" s="55" t="str">
        <f t="shared" si="15"/>
        <v>2023</v>
      </c>
      <c r="O395" s="58">
        <f t="shared" si="11"/>
        <v>202</v>
      </c>
      <c r="P395" s="58">
        <f t="shared" si="4"/>
        <v>0</v>
      </c>
      <c r="Q395" s="45" t="s">
        <v>150</v>
      </c>
      <c r="R395" s="51"/>
      <c r="S395" s="51"/>
      <c r="T395" s="51"/>
      <c r="U395" s="51"/>
      <c r="V395" s="45" t="s">
        <v>104</v>
      </c>
      <c r="W395" s="45" t="s">
        <v>983</v>
      </c>
      <c r="X395" s="51"/>
      <c r="Y395" s="51"/>
      <c r="Z395" s="51"/>
      <c r="AA395" s="51"/>
      <c r="AB395" s="203"/>
      <c r="AC395" s="51"/>
      <c r="AD395" s="51"/>
      <c r="AE395" s="51"/>
    </row>
    <row r="396">
      <c r="A396" s="23" t="s">
        <v>169</v>
      </c>
      <c r="B396" s="23" t="s">
        <v>19</v>
      </c>
      <c r="C396" s="23" t="s">
        <v>906</v>
      </c>
      <c r="D396" s="23" t="s">
        <v>2667</v>
      </c>
      <c r="E396" s="23" t="s">
        <v>2668</v>
      </c>
      <c r="F396" s="26">
        <v>541.0</v>
      </c>
      <c r="G396" s="237">
        <v>600273.0</v>
      </c>
      <c r="H396" s="23" t="s">
        <v>139</v>
      </c>
      <c r="I396" s="23" t="s">
        <v>1148</v>
      </c>
      <c r="J396" s="27"/>
      <c r="K396" s="29">
        <v>45313.0</v>
      </c>
      <c r="L396" s="239" t="str">
        <f t="shared" si="14"/>
        <v>2024</v>
      </c>
      <c r="M396" s="29">
        <v>46044.0</v>
      </c>
      <c r="N396" s="29" t="str">
        <f t="shared" si="15"/>
        <v>2026</v>
      </c>
      <c r="O396" s="36">
        <f t="shared" si="11"/>
        <v>731</v>
      </c>
      <c r="P396" s="36">
        <f t="shared" si="4"/>
        <v>2</v>
      </c>
      <c r="Q396" s="23" t="s">
        <v>253</v>
      </c>
      <c r="R396" s="27"/>
      <c r="S396" s="27"/>
      <c r="T396" s="27"/>
      <c r="U396" s="23" t="s">
        <v>1244</v>
      </c>
      <c r="V396" s="23" t="s">
        <v>4340</v>
      </c>
      <c r="W396" s="23" t="s">
        <v>2669</v>
      </c>
      <c r="X396" s="23" t="s">
        <v>2670</v>
      </c>
      <c r="Y396" s="27"/>
      <c r="Z396" s="27"/>
      <c r="AA396" s="27"/>
      <c r="AB396" s="189"/>
      <c r="AC396" s="76" t="s">
        <v>247</v>
      </c>
      <c r="AD396" s="76" t="s">
        <v>123</v>
      </c>
      <c r="AE396" s="76" t="s">
        <v>1610</v>
      </c>
    </row>
    <row r="397">
      <c r="A397" s="45" t="s">
        <v>169</v>
      </c>
      <c r="B397" s="45" t="s">
        <v>67</v>
      </c>
      <c r="C397" s="45" t="s">
        <v>2672</v>
      </c>
      <c r="D397" s="45" t="s">
        <v>2673</v>
      </c>
      <c r="E397" s="45" t="s">
        <v>2674</v>
      </c>
      <c r="F397" s="48">
        <v>542.0</v>
      </c>
      <c r="G397" s="240">
        <v>600275.0</v>
      </c>
      <c r="H397" s="45" t="s">
        <v>139</v>
      </c>
      <c r="I397" s="45" t="s">
        <v>4304</v>
      </c>
      <c r="J397" s="51"/>
      <c r="K397" s="55">
        <v>45316.0</v>
      </c>
      <c r="L397" s="242" t="str">
        <f t="shared" si="14"/>
        <v>2024</v>
      </c>
      <c r="M397" s="55">
        <v>45682.0</v>
      </c>
      <c r="N397" s="55" t="str">
        <f t="shared" si="15"/>
        <v>2025</v>
      </c>
      <c r="O397" s="58">
        <f t="shared" si="11"/>
        <v>366</v>
      </c>
      <c r="P397" s="58">
        <f t="shared" si="4"/>
        <v>1</v>
      </c>
      <c r="Q397" s="45" t="s">
        <v>150</v>
      </c>
      <c r="R397" s="51"/>
      <c r="S397" s="51"/>
      <c r="T397" s="51"/>
      <c r="U397" s="45" t="s">
        <v>790</v>
      </c>
      <c r="V397" s="45" t="s">
        <v>4319</v>
      </c>
      <c r="W397" s="142" t="s">
        <v>2678</v>
      </c>
      <c r="X397" s="51"/>
      <c r="Y397" s="51"/>
      <c r="Z397" s="51"/>
      <c r="AA397" s="51"/>
      <c r="AB397" s="203"/>
      <c r="AC397" s="64" t="s">
        <v>247</v>
      </c>
      <c r="AD397" s="64" t="s">
        <v>261</v>
      </c>
      <c r="AE397" s="64" t="s">
        <v>1621</v>
      </c>
    </row>
    <row r="398">
      <c r="A398" s="23" t="s">
        <v>169</v>
      </c>
      <c r="B398" s="23" t="s">
        <v>67</v>
      </c>
      <c r="C398" s="23" t="s">
        <v>2682</v>
      </c>
      <c r="D398" s="23" t="s">
        <v>2683</v>
      </c>
      <c r="E398" s="23" t="s">
        <v>2684</v>
      </c>
      <c r="F398" s="26">
        <v>544.0</v>
      </c>
      <c r="G398" s="237">
        <v>600278.0</v>
      </c>
      <c r="H398" s="23" t="s">
        <v>266</v>
      </c>
      <c r="I398" s="23" t="s">
        <v>226</v>
      </c>
      <c r="J398" s="27"/>
      <c r="K398" s="29">
        <v>45317.0</v>
      </c>
      <c r="L398" s="239" t="str">
        <f t="shared" si="14"/>
        <v>2024</v>
      </c>
      <c r="M398" s="29">
        <v>45408.0</v>
      </c>
      <c r="N398" s="29" t="str">
        <f t="shared" si="15"/>
        <v>2024</v>
      </c>
      <c r="O398" s="36">
        <f t="shared" si="11"/>
        <v>91</v>
      </c>
      <c r="P398" s="36">
        <f t="shared" si="4"/>
        <v>0</v>
      </c>
      <c r="Q398" s="23" t="s">
        <v>150</v>
      </c>
      <c r="R398" s="27"/>
      <c r="S398" s="27"/>
      <c r="T398" s="27"/>
      <c r="U398" s="23" t="s">
        <v>790</v>
      </c>
      <c r="V398" s="23" t="s">
        <v>4355</v>
      </c>
      <c r="W398" s="144" t="s">
        <v>2688</v>
      </c>
      <c r="X398" s="27"/>
      <c r="Y398" s="27"/>
      <c r="Z398" s="27"/>
      <c r="AA398" s="23" t="s">
        <v>4360</v>
      </c>
      <c r="AB398" s="189"/>
      <c r="AC398" s="76" t="s">
        <v>4361</v>
      </c>
      <c r="AD398" s="76" t="s">
        <v>261</v>
      </c>
      <c r="AE398" s="76" t="s">
        <v>1172</v>
      </c>
    </row>
    <row r="399">
      <c r="A399" s="45" t="s">
        <v>169</v>
      </c>
      <c r="B399" s="45" t="s">
        <v>19</v>
      </c>
      <c r="C399" s="45" t="s">
        <v>2692</v>
      </c>
      <c r="D399" s="45" t="s">
        <v>2693</v>
      </c>
      <c r="E399" s="45" t="s">
        <v>2694</v>
      </c>
      <c r="F399" s="48">
        <v>545.0</v>
      </c>
      <c r="G399" s="240">
        <v>600274.0</v>
      </c>
      <c r="H399" s="45" t="s">
        <v>84</v>
      </c>
      <c r="I399" s="45" t="s">
        <v>84</v>
      </c>
      <c r="J399" s="51"/>
      <c r="K399" s="55">
        <v>45320.0</v>
      </c>
      <c r="L399" s="242" t="str">
        <f t="shared" si="14"/>
        <v>2024</v>
      </c>
      <c r="M399" s="55">
        <v>46052.0</v>
      </c>
      <c r="N399" s="55" t="str">
        <f t="shared" si="15"/>
        <v>2026</v>
      </c>
      <c r="O399" s="58">
        <f t="shared" si="11"/>
        <v>732</v>
      </c>
      <c r="P399" s="58">
        <f t="shared" si="4"/>
        <v>2</v>
      </c>
      <c r="Q399" s="45" t="s">
        <v>253</v>
      </c>
      <c r="R399" s="51"/>
      <c r="S399" s="51"/>
      <c r="T399" s="51"/>
      <c r="U399" s="45" t="s">
        <v>48</v>
      </c>
      <c r="V399" s="45" t="s">
        <v>104</v>
      </c>
      <c r="W399" s="142" t="s">
        <v>2697</v>
      </c>
      <c r="X399" s="45" t="s">
        <v>2698</v>
      </c>
      <c r="Y399" s="51"/>
      <c r="Z399" s="51"/>
      <c r="AA399" s="51"/>
      <c r="AB399" s="203"/>
      <c r="AC399" s="64" t="s">
        <v>247</v>
      </c>
      <c r="AD399" s="64" t="s">
        <v>261</v>
      </c>
      <c r="AE399" s="64" t="s">
        <v>1621</v>
      </c>
    </row>
    <row r="400">
      <c r="A400" s="23" t="s">
        <v>169</v>
      </c>
      <c r="B400" s="23" t="s">
        <v>67</v>
      </c>
      <c r="C400" s="23" t="s">
        <v>2709</v>
      </c>
      <c r="D400" s="23" t="s">
        <v>2710</v>
      </c>
      <c r="E400" s="23" t="s">
        <v>2711</v>
      </c>
      <c r="F400" s="26">
        <v>546.0</v>
      </c>
      <c r="G400" s="237">
        <v>600277.0</v>
      </c>
      <c r="H400" s="23" t="s">
        <v>139</v>
      </c>
      <c r="I400" s="23" t="s">
        <v>226</v>
      </c>
      <c r="J400" s="27"/>
      <c r="K400" s="29">
        <v>45321.0</v>
      </c>
      <c r="L400" s="239" t="str">
        <f t="shared" si="14"/>
        <v>2024</v>
      </c>
      <c r="M400" s="29">
        <v>45503.0</v>
      </c>
      <c r="N400" s="29" t="str">
        <f t="shared" si="15"/>
        <v>2024</v>
      </c>
      <c r="O400" s="36">
        <f t="shared" si="11"/>
        <v>182</v>
      </c>
      <c r="P400" s="36">
        <f t="shared" si="4"/>
        <v>0</v>
      </c>
      <c r="Q400" s="23" t="s">
        <v>150</v>
      </c>
      <c r="R400" s="27"/>
      <c r="S400" s="27"/>
      <c r="T400" s="27"/>
      <c r="U400" s="23" t="s">
        <v>48</v>
      </c>
      <c r="V400" s="23" t="s">
        <v>4372</v>
      </c>
      <c r="W400" s="23" t="s">
        <v>2715</v>
      </c>
      <c r="X400" s="27"/>
      <c r="Y400" s="27"/>
      <c r="Z400" s="27"/>
      <c r="AA400" s="27"/>
      <c r="AB400" s="189"/>
      <c r="AC400" s="76" t="s">
        <v>247</v>
      </c>
      <c r="AD400" s="27"/>
      <c r="AE400" s="76" t="s">
        <v>1610</v>
      </c>
    </row>
    <row r="401">
      <c r="A401" s="45" t="s">
        <v>169</v>
      </c>
      <c r="B401" s="45" t="s">
        <v>67</v>
      </c>
      <c r="C401" s="45" t="s">
        <v>2717</v>
      </c>
      <c r="D401" s="45" t="s">
        <v>2718</v>
      </c>
      <c r="E401" s="45" t="s">
        <v>2719</v>
      </c>
      <c r="F401" s="48">
        <v>548.0</v>
      </c>
      <c r="G401" s="240">
        <v>600280.0</v>
      </c>
      <c r="H401" s="45" t="s">
        <v>139</v>
      </c>
      <c r="I401" s="45" t="s">
        <v>1148</v>
      </c>
      <c r="J401" s="51"/>
      <c r="K401" s="55">
        <v>45322.0</v>
      </c>
      <c r="L401" s="242" t="str">
        <f t="shared" si="14"/>
        <v>2024</v>
      </c>
      <c r="M401" s="55">
        <v>45689.0</v>
      </c>
      <c r="N401" s="55" t="str">
        <f t="shared" si="15"/>
        <v>2025</v>
      </c>
      <c r="O401" s="58">
        <f t="shared" si="11"/>
        <v>367</v>
      </c>
      <c r="P401" s="58">
        <f t="shared" si="4"/>
        <v>1</v>
      </c>
      <c r="Q401" s="45" t="s">
        <v>150</v>
      </c>
      <c r="R401" s="51"/>
      <c r="S401" s="51"/>
      <c r="T401" s="51"/>
      <c r="U401" s="45" t="s">
        <v>48</v>
      </c>
      <c r="V401" s="45" t="s">
        <v>104</v>
      </c>
      <c r="W401" s="45" t="s">
        <v>2725</v>
      </c>
      <c r="X401" s="51"/>
      <c r="Y401" s="51"/>
      <c r="Z401" s="51"/>
      <c r="AA401" s="51"/>
      <c r="AB401" s="203"/>
      <c r="AC401" s="64" t="s">
        <v>247</v>
      </c>
      <c r="AD401" s="51"/>
      <c r="AE401" s="64" t="s">
        <v>1621</v>
      </c>
    </row>
    <row r="402">
      <c r="A402" s="23" t="s">
        <v>169</v>
      </c>
      <c r="B402" s="23" t="s">
        <v>67</v>
      </c>
      <c r="C402" s="23" t="s">
        <v>2731</v>
      </c>
      <c r="D402" s="23" t="s">
        <v>2732</v>
      </c>
      <c r="E402" s="23" t="s">
        <v>2733</v>
      </c>
      <c r="F402" s="26">
        <v>549.0</v>
      </c>
      <c r="G402" s="237">
        <v>600285.0</v>
      </c>
      <c r="H402" s="23" t="s">
        <v>139</v>
      </c>
      <c r="I402" s="23" t="s">
        <v>226</v>
      </c>
      <c r="J402" s="27"/>
      <c r="K402" s="29">
        <v>45323.0</v>
      </c>
      <c r="L402" s="239" t="str">
        <f t="shared" si="14"/>
        <v>2024</v>
      </c>
      <c r="M402" s="29">
        <v>45505.0</v>
      </c>
      <c r="N402" s="29" t="str">
        <f t="shared" si="15"/>
        <v>2024</v>
      </c>
      <c r="O402" s="36">
        <f t="shared" si="11"/>
        <v>182</v>
      </c>
      <c r="P402" s="36">
        <f t="shared" si="4"/>
        <v>0</v>
      </c>
      <c r="Q402" s="23" t="s">
        <v>150</v>
      </c>
      <c r="R402" s="27"/>
      <c r="S402" s="27"/>
      <c r="T402" s="27"/>
      <c r="U402" s="23" t="s">
        <v>48</v>
      </c>
      <c r="V402" s="23" t="s">
        <v>4375</v>
      </c>
      <c r="W402" s="23" t="s">
        <v>2734</v>
      </c>
      <c r="X402" s="27"/>
      <c r="Y402" s="27"/>
      <c r="Z402" s="27"/>
      <c r="AA402" s="27"/>
      <c r="AB402" s="189"/>
      <c r="AC402" s="76" t="s">
        <v>247</v>
      </c>
      <c r="AD402" s="27"/>
      <c r="AE402" s="76" t="s">
        <v>1172</v>
      </c>
    </row>
    <row r="403">
      <c r="A403" s="45" t="s">
        <v>169</v>
      </c>
      <c r="B403" s="45" t="s">
        <v>67</v>
      </c>
      <c r="C403" s="45" t="s">
        <v>2736</v>
      </c>
      <c r="D403" s="45" t="s">
        <v>2737</v>
      </c>
      <c r="E403" s="45" t="s">
        <v>2738</v>
      </c>
      <c r="F403" s="48">
        <v>550.0</v>
      </c>
      <c r="G403" s="243"/>
      <c r="H403" s="45" t="s">
        <v>187</v>
      </c>
      <c r="I403" s="45" t="s">
        <v>1148</v>
      </c>
      <c r="J403" s="51"/>
      <c r="K403" s="55">
        <v>45327.0</v>
      </c>
      <c r="L403" s="242" t="str">
        <f t="shared" si="14"/>
        <v>2024</v>
      </c>
      <c r="M403" s="55">
        <v>45334.0</v>
      </c>
      <c r="N403" s="55" t="str">
        <f t="shared" si="15"/>
        <v>2024</v>
      </c>
      <c r="O403" s="58">
        <f t="shared" si="11"/>
        <v>7</v>
      </c>
      <c r="P403" s="58">
        <f t="shared" si="4"/>
        <v>0</v>
      </c>
      <c r="Q403" s="45" t="s">
        <v>150</v>
      </c>
      <c r="R403" s="51"/>
      <c r="S403" s="51"/>
      <c r="T403" s="51"/>
      <c r="U403" s="45" t="s">
        <v>48</v>
      </c>
      <c r="V403" s="51"/>
      <c r="W403" s="45" t="s">
        <v>2739</v>
      </c>
      <c r="X403" s="51"/>
      <c r="Y403" s="51"/>
      <c r="Z403" s="51"/>
      <c r="AA403" s="51"/>
      <c r="AB403" s="203"/>
      <c r="AC403" s="64" t="s">
        <v>247</v>
      </c>
      <c r="AD403" s="51"/>
      <c r="AE403" s="64" t="s">
        <v>1621</v>
      </c>
    </row>
    <row r="404">
      <c r="A404" s="23" t="s">
        <v>169</v>
      </c>
      <c r="B404" s="23" t="s">
        <v>67</v>
      </c>
      <c r="C404" s="23" t="s">
        <v>2746</v>
      </c>
      <c r="D404" s="23" t="s">
        <v>2747</v>
      </c>
      <c r="E404" s="23" t="s">
        <v>2748</v>
      </c>
      <c r="F404" s="26">
        <v>551.0</v>
      </c>
      <c r="G404" s="237">
        <v>600286.0</v>
      </c>
      <c r="H404" s="23" t="s">
        <v>266</v>
      </c>
      <c r="I404" s="23" t="s">
        <v>226</v>
      </c>
      <c r="J404" s="27"/>
      <c r="K404" s="29">
        <v>45341.0</v>
      </c>
      <c r="L404" s="239" t="str">
        <f t="shared" si="14"/>
        <v>2024</v>
      </c>
      <c r="M404" s="29">
        <v>45431.0</v>
      </c>
      <c r="N404" s="29" t="str">
        <f t="shared" si="15"/>
        <v>2024</v>
      </c>
      <c r="O404" s="36">
        <f t="shared" si="11"/>
        <v>90</v>
      </c>
      <c r="P404" s="36">
        <f t="shared" si="4"/>
        <v>0</v>
      </c>
      <c r="Q404" s="23" t="s">
        <v>150</v>
      </c>
      <c r="R404" s="27"/>
      <c r="S404" s="27"/>
      <c r="T404" s="27"/>
      <c r="U404" s="23" t="s">
        <v>790</v>
      </c>
      <c r="V404" s="23" t="s">
        <v>4306</v>
      </c>
      <c r="W404" s="23" t="s">
        <v>2752</v>
      </c>
      <c r="X404" s="27"/>
      <c r="Y404" s="27"/>
      <c r="Z404" s="27"/>
      <c r="AA404" s="27"/>
      <c r="AB404" s="189"/>
      <c r="AC404" s="76" t="s">
        <v>247</v>
      </c>
      <c r="AD404" s="27"/>
      <c r="AE404" s="76" t="s">
        <v>1172</v>
      </c>
    </row>
    <row r="405">
      <c r="A405" s="45" t="s">
        <v>169</v>
      </c>
      <c r="B405" s="45" t="s">
        <v>67</v>
      </c>
      <c r="C405" s="45" t="s">
        <v>2754</v>
      </c>
      <c r="D405" s="45" t="s">
        <v>2755</v>
      </c>
      <c r="E405" s="45" t="s">
        <v>2756</v>
      </c>
      <c r="F405" s="48">
        <v>552.0</v>
      </c>
      <c r="G405" s="240">
        <v>600288.0</v>
      </c>
      <c r="H405" s="45" t="s">
        <v>139</v>
      </c>
      <c r="I405" s="45" t="s">
        <v>84</v>
      </c>
      <c r="J405" s="51"/>
      <c r="K405" s="55">
        <v>45344.0</v>
      </c>
      <c r="L405" s="242" t="str">
        <f t="shared" si="14"/>
        <v>2024</v>
      </c>
      <c r="M405" s="55">
        <v>45527.0</v>
      </c>
      <c r="N405" s="55" t="str">
        <f t="shared" si="15"/>
        <v>2024</v>
      </c>
      <c r="O405" s="58">
        <f t="shared" si="11"/>
        <v>183</v>
      </c>
      <c r="P405" s="58">
        <f t="shared" si="4"/>
        <v>0</v>
      </c>
      <c r="Q405" s="45" t="s">
        <v>150</v>
      </c>
      <c r="R405" s="51"/>
      <c r="S405" s="51"/>
      <c r="T405" s="51"/>
      <c r="U405" s="45" t="s">
        <v>48</v>
      </c>
      <c r="V405" s="45" t="s">
        <v>104</v>
      </c>
      <c r="W405" s="45" t="s">
        <v>2758</v>
      </c>
      <c r="X405" s="51"/>
      <c r="Y405" s="51"/>
      <c r="Z405" s="51"/>
      <c r="AA405" s="51"/>
      <c r="AB405" s="203"/>
      <c r="AC405" s="64" t="s">
        <v>247</v>
      </c>
      <c r="AD405" s="51"/>
      <c r="AE405" s="64" t="s">
        <v>1621</v>
      </c>
    </row>
    <row r="406">
      <c r="A406" s="23" t="s">
        <v>169</v>
      </c>
      <c r="B406" s="23" t="s">
        <v>67</v>
      </c>
      <c r="C406" s="23" t="s">
        <v>2765</v>
      </c>
      <c r="D406" s="23" t="s">
        <v>2766</v>
      </c>
      <c r="E406" s="23" t="s">
        <v>2767</v>
      </c>
      <c r="F406" s="26">
        <v>553.0</v>
      </c>
      <c r="G406" s="237">
        <v>600289.0</v>
      </c>
      <c r="H406" s="23" t="s">
        <v>139</v>
      </c>
      <c r="I406" s="23" t="s">
        <v>1114</v>
      </c>
      <c r="J406" s="27"/>
      <c r="K406" s="29">
        <v>45344.0</v>
      </c>
      <c r="L406" s="239" t="str">
        <f t="shared" si="14"/>
        <v>2024</v>
      </c>
      <c r="M406" s="29">
        <v>45711.0</v>
      </c>
      <c r="N406" s="29" t="str">
        <f t="shared" si="15"/>
        <v>2025</v>
      </c>
      <c r="O406" s="36">
        <f t="shared" si="11"/>
        <v>367</v>
      </c>
      <c r="P406" s="36">
        <f t="shared" si="4"/>
        <v>1</v>
      </c>
      <c r="Q406" s="23" t="s">
        <v>150</v>
      </c>
      <c r="R406" s="27"/>
      <c r="S406" s="27"/>
      <c r="T406" s="27"/>
      <c r="U406" s="23" t="s">
        <v>48</v>
      </c>
      <c r="V406" s="23" t="s">
        <v>4386</v>
      </c>
      <c r="W406" s="23" t="s">
        <v>2768</v>
      </c>
      <c r="X406" s="27"/>
      <c r="Y406" s="27"/>
      <c r="Z406" s="27"/>
      <c r="AA406" s="27"/>
      <c r="AB406" s="189"/>
      <c r="AC406" s="76" t="s">
        <v>247</v>
      </c>
      <c r="AD406" s="76" t="s">
        <v>261</v>
      </c>
      <c r="AE406" s="76" t="s">
        <v>1621</v>
      </c>
    </row>
    <row r="407">
      <c r="A407" s="45" t="s">
        <v>169</v>
      </c>
      <c r="B407" s="45" t="s">
        <v>67</v>
      </c>
      <c r="C407" s="45" t="s">
        <v>2771</v>
      </c>
      <c r="D407" s="45" t="s">
        <v>2772</v>
      </c>
      <c r="E407" s="45" t="s">
        <v>2773</v>
      </c>
      <c r="F407" s="48">
        <v>555.0</v>
      </c>
      <c r="G407" s="240">
        <v>600061.0</v>
      </c>
      <c r="H407" s="45" t="s">
        <v>266</v>
      </c>
      <c r="I407" s="45" t="s">
        <v>226</v>
      </c>
      <c r="J407" s="51"/>
      <c r="K407" s="55">
        <v>45348.0</v>
      </c>
      <c r="L407" s="242" t="str">
        <f t="shared" si="14"/>
        <v>2024</v>
      </c>
      <c r="M407" s="55">
        <v>45444.0</v>
      </c>
      <c r="N407" s="55" t="str">
        <f t="shared" si="15"/>
        <v>2024</v>
      </c>
      <c r="O407" s="58">
        <f t="shared" si="11"/>
        <v>96</v>
      </c>
      <c r="P407" s="58">
        <f t="shared" si="4"/>
        <v>0</v>
      </c>
      <c r="Q407" s="45" t="s">
        <v>150</v>
      </c>
      <c r="R407" s="51"/>
      <c r="S407" s="51"/>
      <c r="T407" s="51"/>
      <c r="U407" s="45" t="s">
        <v>790</v>
      </c>
      <c r="V407" s="45" t="s">
        <v>4306</v>
      </c>
      <c r="W407" s="142" t="s">
        <v>4396</v>
      </c>
      <c r="X407" s="51"/>
      <c r="Y407" s="51"/>
      <c r="Z407" s="51"/>
      <c r="AA407" s="51"/>
      <c r="AB407" s="203"/>
      <c r="AC407" s="64" t="s">
        <v>247</v>
      </c>
      <c r="AD407" s="51"/>
      <c r="AE407" s="64" t="s">
        <v>1931</v>
      </c>
    </row>
    <row r="408">
      <c r="A408" s="23" t="s">
        <v>169</v>
      </c>
      <c r="B408" s="23" t="s">
        <v>19</v>
      </c>
      <c r="C408" s="23" t="s">
        <v>657</v>
      </c>
      <c r="D408" s="23" t="s">
        <v>2803</v>
      </c>
      <c r="E408" s="23" t="s">
        <v>2804</v>
      </c>
      <c r="F408" s="26">
        <v>556.0</v>
      </c>
      <c r="G408" s="237">
        <v>600291.0</v>
      </c>
      <c r="H408" s="23" t="s">
        <v>139</v>
      </c>
      <c r="I408" s="23" t="s">
        <v>226</v>
      </c>
      <c r="J408" s="27"/>
      <c r="K408" s="29">
        <v>45351.0</v>
      </c>
      <c r="L408" s="239" t="str">
        <f t="shared" si="14"/>
        <v>2024</v>
      </c>
      <c r="M408" s="29">
        <v>46094.0</v>
      </c>
      <c r="N408" s="29" t="str">
        <f t="shared" si="15"/>
        <v>2026</v>
      </c>
      <c r="O408" s="36">
        <f t="shared" si="11"/>
        <v>743</v>
      </c>
      <c r="P408" s="36">
        <f t="shared" si="4"/>
        <v>2</v>
      </c>
      <c r="Q408" s="23" t="s">
        <v>348</v>
      </c>
      <c r="R408" s="27"/>
      <c r="S408" s="27"/>
      <c r="T408" s="27"/>
      <c r="U408" s="23" t="s">
        <v>48</v>
      </c>
      <c r="V408" s="23" t="s">
        <v>104</v>
      </c>
      <c r="W408" s="144" t="s">
        <v>2808</v>
      </c>
      <c r="X408" s="144" t="s">
        <v>2808</v>
      </c>
      <c r="Y408" s="27"/>
      <c r="Z408" s="27"/>
      <c r="AA408" s="27"/>
      <c r="AB408" s="189"/>
      <c r="AC408" s="76" t="s">
        <v>247</v>
      </c>
      <c r="AD408" s="27"/>
      <c r="AE408" s="76" t="s">
        <v>1621</v>
      </c>
    </row>
    <row r="409">
      <c r="A409" s="45" t="s">
        <v>169</v>
      </c>
      <c r="B409" s="45" t="s">
        <v>67</v>
      </c>
      <c r="C409" s="45" t="s">
        <v>4367</v>
      </c>
      <c r="D409" s="45" t="s">
        <v>2792</v>
      </c>
      <c r="E409" s="45" t="s">
        <v>2793</v>
      </c>
      <c r="F409" s="48">
        <v>558.0</v>
      </c>
      <c r="G409" s="240">
        <v>600293.0</v>
      </c>
      <c r="H409" s="45" t="s">
        <v>139</v>
      </c>
      <c r="I409" s="45" t="s">
        <v>84</v>
      </c>
      <c r="J409" s="51"/>
      <c r="K409" s="55">
        <v>45351.0</v>
      </c>
      <c r="L409" s="242" t="str">
        <f t="shared" si="14"/>
        <v>2024</v>
      </c>
      <c r="M409" s="55">
        <v>45549.0</v>
      </c>
      <c r="N409" s="55" t="str">
        <f t="shared" si="15"/>
        <v>2024</v>
      </c>
      <c r="O409" s="58">
        <f t="shared" si="11"/>
        <v>198</v>
      </c>
      <c r="P409" s="58">
        <f t="shared" si="4"/>
        <v>0</v>
      </c>
      <c r="Q409" s="45" t="s">
        <v>253</v>
      </c>
      <c r="R409" s="51"/>
      <c r="S409" s="51"/>
      <c r="T409" s="51"/>
      <c r="U409" s="45" t="s">
        <v>48</v>
      </c>
      <c r="V409" s="45" t="s">
        <v>3934</v>
      </c>
      <c r="W409" s="45" t="s">
        <v>2798</v>
      </c>
      <c r="X409" s="51"/>
      <c r="Y409" s="51"/>
      <c r="Z409" s="51"/>
      <c r="AA409" s="51"/>
      <c r="AB409" s="203"/>
      <c r="AC409" s="64" t="s">
        <v>247</v>
      </c>
      <c r="AD409" s="51"/>
      <c r="AE409" s="64" t="s">
        <v>1621</v>
      </c>
    </row>
    <row r="410">
      <c r="A410" s="23" t="s">
        <v>169</v>
      </c>
      <c r="B410" s="23" t="s">
        <v>67</v>
      </c>
      <c r="C410" s="23" t="s">
        <v>2832</v>
      </c>
      <c r="D410" s="23" t="s">
        <v>2833</v>
      </c>
      <c r="E410" s="23" t="s">
        <v>2834</v>
      </c>
      <c r="F410" s="26">
        <v>564.0</v>
      </c>
      <c r="G410" s="237">
        <v>600299.0</v>
      </c>
      <c r="H410" s="23" t="s">
        <v>139</v>
      </c>
      <c r="I410" s="23" t="s">
        <v>1148</v>
      </c>
      <c r="J410" s="27"/>
      <c r="K410" s="29">
        <v>45352.0</v>
      </c>
      <c r="L410" s="239" t="str">
        <f t="shared" si="14"/>
        <v>2024</v>
      </c>
      <c r="M410" s="29">
        <v>45717.0</v>
      </c>
      <c r="N410" s="29" t="str">
        <f t="shared" si="15"/>
        <v>2025</v>
      </c>
      <c r="O410" s="36">
        <f t="shared" si="11"/>
        <v>365</v>
      </c>
      <c r="P410" s="36">
        <f t="shared" si="4"/>
        <v>1</v>
      </c>
      <c r="Q410" s="23" t="s">
        <v>150</v>
      </c>
      <c r="R410" s="27"/>
      <c r="S410" s="27"/>
      <c r="T410" s="27"/>
      <c r="U410" s="23" t="s">
        <v>48</v>
      </c>
      <c r="V410" s="23" t="s">
        <v>4386</v>
      </c>
      <c r="W410" s="23" t="s">
        <v>2836</v>
      </c>
      <c r="X410" s="23" t="s">
        <v>2836</v>
      </c>
      <c r="Y410" s="27"/>
      <c r="Z410" s="27"/>
      <c r="AA410" s="27"/>
      <c r="AB410" s="189"/>
      <c r="AC410" s="76" t="s">
        <v>247</v>
      </c>
      <c r="AD410" s="76" t="s">
        <v>261</v>
      </c>
      <c r="AE410" s="76" t="s">
        <v>1666</v>
      </c>
    </row>
    <row r="411">
      <c r="A411" s="45" t="s">
        <v>169</v>
      </c>
      <c r="B411" s="45" t="s">
        <v>67</v>
      </c>
      <c r="C411" s="45" t="s">
        <v>2855</v>
      </c>
      <c r="D411" s="45" t="s">
        <v>2856</v>
      </c>
      <c r="E411" s="45" t="s">
        <v>2857</v>
      </c>
      <c r="F411" s="48">
        <v>566.0</v>
      </c>
      <c r="G411" s="240">
        <v>600300.0</v>
      </c>
      <c r="H411" s="45" t="s">
        <v>139</v>
      </c>
      <c r="I411" s="45" t="s">
        <v>1148</v>
      </c>
      <c r="J411" s="51"/>
      <c r="K411" s="55">
        <v>45355.0</v>
      </c>
      <c r="L411" s="242" t="str">
        <f t="shared" si="14"/>
        <v>2024</v>
      </c>
      <c r="M411" s="55">
        <v>45720.0</v>
      </c>
      <c r="N411" s="55" t="str">
        <f t="shared" si="15"/>
        <v>2025</v>
      </c>
      <c r="O411" s="58">
        <f t="shared" si="11"/>
        <v>365</v>
      </c>
      <c r="P411" s="58">
        <f t="shared" si="4"/>
        <v>1</v>
      </c>
      <c r="Q411" s="45" t="s">
        <v>150</v>
      </c>
      <c r="R411" s="51"/>
      <c r="S411" s="51"/>
      <c r="T411" s="51"/>
      <c r="U411" s="45" t="s">
        <v>48</v>
      </c>
      <c r="V411" s="45" t="s">
        <v>4411</v>
      </c>
      <c r="W411" s="45" t="s">
        <v>2858</v>
      </c>
      <c r="X411" s="45" t="s">
        <v>2858</v>
      </c>
      <c r="Y411" s="51"/>
      <c r="Z411" s="51"/>
      <c r="AA411" s="51"/>
      <c r="AB411" s="203"/>
      <c r="AC411" s="64" t="s">
        <v>247</v>
      </c>
      <c r="AD411" s="51"/>
      <c r="AE411" s="64" t="s">
        <v>1621</v>
      </c>
    </row>
    <row r="412">
      <c r="A412" s="23" t="s">
        <v>169</v>
      </c>
      <c r="B412" s="23" t="s">
        <v>67</v>
      </c>
      <c r="C412" s="23" t="s">
        <v>2869</v>
      </c>
      <c r="D412" s="23" t="s">
        <v>2870</v>
      </c>
      <c r="E412" s="23" t="s">
        <v>2871</v>
      </c>
      <c r="F412" s="26">
        <v>569.0</v>
      </c>
      <c r="G412" s="237">
        <v>600304.0</v>
      </c>
      <c r="H412" s="23" t="s">
        <v>84</v>
      </c>
      <c r="I412" s="23" t="s">
        <v>84</v>
      </c>
      <c r="J412" s="27"/>
      <c r="K412" s="29">
        <v>45362.0</v>
      </c>
      <c r="L412" s="239" t="str">
        <f t="shared" si="14"/>
        <v>2024</v>
      </c>
      <c r="M412" s="29">
        <v>45740.0</v>
      </c>
      <c r="N412" s="29" t="str">
        <f t="shared" si="15"/>
        <v>2025</v>
      </c>
      <c r="O412" s="36">
        <f t="shared" si="11"/>
        <v>378</v>
      </c>
      <c r="P412" s="36">
        <f t="shared" si="4"/>
        <v>1</v>
      </c>
      <c r="Q412" s="23" t="s">
        <v>150</v>
      </c>
      <c r="R412" s="27"/>
      <c r="S412" s="27"/>
      <c r="T412" s="27"/>
      <c r="U412" s="23" t="s">
        <v>48</v>
      </c>
      <c r="V412" s="23" t="s">
        <v>104</v>
      </c>
      <c r="W412" s="23" t="s">
        <v>2875</v>
      </c>
      <c r="X412" s="23" t="s">
        <v>2875</v>
      </c>
      <c r="Y412" s="27"/>
      <c r="Z412" s="27"/>
      <c r="AA412" s="27"/>
      <c r="AB412" s="189"/>
      <c r="AC412" s="76" t="s">
        <v>247</v>
      </c>
      <c r="AD412" s="27"/>
      <c r="AE412" s="76" t="s">
        <v>213</v>
      </c>
    </row>
    <row r="413">
      <c r="A413" s="45" t="s">
        <v>169</v>
      </c>
      <c r="B413" s="45" t="s">
        <v>67</v>
      </c>
      <c r="C413" s="45" t="s">
        <v>2889</v>
      </c>
      <c r="D413" s="45" t="s">
        <v>2890</v>
      </c>
      <c r="E413" s="45" t="s">
        <v>2891</v>
      </c>
      <c r="F413" s="48">
        <v>570.0</v>
      </c>
      <c r="G413" s="240">
        <v>600311.0</v>
      </c>
      <c r="H413" s="45" t="s">
        <v>139</v>
      </c>
      <c r="I413" s="45" t="s">
        <v>1148</v>
      </c>
      <c r="J413" s="51"/>
      <c r="K413" s="55">
        <v>45369.0</v>
      </c>
      <c r="L413" s="242" t="str">
        <f t="shared" si="14"/>
        <v>2024</v>
      </c>
      <c r="M413" s="55">
        <v>45734.0</v>
      </c>
      <c r="N413" s="55" t="str">
        <f t="shared" si="15"/>
        <v>2025</v>
      </c>
      <c r="O413" s="58">
        <f t="shared" si="11"/>
        <v>365</v>
      </c>
      <c r="P413" s="58">
        <f t="shared" si="4"/>
        <v>1</v>
      </c>
      <c r="Q413" s="45" t="s">
        <v>150</v>
      </c>
      <c r="R413" s="51"/>
      <c r="S413" s="51"/>
      <c r="T413" s="51"/>
      <c r="U413" s="45" t="s">
        <v>48</v>
      </c>
      <c r="V413" s="45" t="s">
        <v>4306</v>
      </c>
      <c r="W413" s="45" t="s">
        <v>2896</v>
      </c>
      <c r="X413" s="45" t="s">
        <v>2896</v>
      </c>
      <c r="Y413" s="51"/>
      <c r="Z413" s="51"/>
      <c r="AA413" s="51"/>
      <c r="AB413" s="203"/>
      <c r="AC413" s="64" t="s">
        <v>247</v>
      </c>
      <c r="AD413" s="64" t="s">
        <v>261</v>
      </c>
      <c r="AE413" s="64" t="s">
        <v>1621</v>
      </c>
    </row>
    <row r="414">
      <c r="A414" s="23" t="s">
        <v>169</v>
      </c>
      <c r="B414" s="23" t="s">
        <v>67</v>
      </c>
      <c r="C414" s="23" t="s">
        <v>2898</v>
      </c>
      <c r="D414" s="23" t="s">
        <v>2899</v>
      </c>
      <c r="E414" s="23" t="s">
        <v>2900</v>
      </c>
      <c r="F414" s="26">
        <v>571.0</v>
      </c>
      <c r="G414" s="237">
        <v>600308.0</v>
      </c>
      <c r="H414" s="23" t="s">
        <v>139</v>
      </c>
      <c r="I414" s="23" t="s">
        <v>1148</v>
      </c>
      <c r="J414" s="27"/>
      <c r="K414" s="29">
        <v>45369.0</v>
      </c>
      <c r="L414" s="239" t="str">
        <f t="shared" si="14"/>
        <v>2024</v>
      </c>
      <c r="M414" s="29">
        <v>45734.0</v>
      </c>
      <c r="N414" s="29" t="str">
        <f t="shared" si="15"/>
        <v>2025</v>
      </c>
      <c r="O414" s="36">
        <f t="shared" si="11"/>
        <v>365</v>
      </c>
      <c r="P414" s="36">
        <f t="shared" si="4"/>
        <v>1</v>
      </c>
      <c r="Q414" s="23" t="s">
        <v>150</v>
      </c>
      <c r="R414" s="27"/>
      <c r="S414" s="27"/>
      <c r="T414" s="27"/>
      <c r="U414" s="23" t="s">
        <v>48</v>
      </c>
      <c r="V414" s="23" t="s">
        <v>4306</v>
      </c>
      <c r="W414" s="23" t="s">
        <v>2901</v>
      </c>
      <c r="X414" s="23" t="s">
        <v>2901</v>
      </c>
      <c r="Y414" s="27"/>
      <c r="Z414" s="27"/>
      <c r="AA414" s="27"/>
      <c r="AB414" s="189"/>
      <c r="AC414" s="76" t="s">
        <v>247</v>
      </c>
      <c r="AD414" s="27"/>
      <c r="AE414" s="76" t="s">
        <v>2904</v>
      </c>
    </row>
    <row r="415">
      <c r="A415" s="45" t="s">
        <v>169</v>
      </c>
      <c r="B415" s="45" t="s">
        <v>67</v>
      </c>
      <c r="C415" s="45" t="s">
        <v>2911</v>
      </c>
      <c r="D415" s="45" t="s">
        <v>2912</v>
      </c>
      <c r="E415" s="45" t="s">
        <v>2913</v>
      </c>
      <c r="F415" s="48">
        <v>575.0</v>
      </c>
      <c r="G415" s="240">
        <v>600314.0</v>
      </c>
      <c r="H415" s="45" t="s">
        <v>266</v>
      </c>
      <c r="I415" s="45" t="s">
        <v>226</v>
      </c>
      <c r="J415" s="51"/>
      <c r="K415" s="55">
        <v>45370.0</v>
      </c>
      <c r="L415" s="242" t="str">
        <f t="shared" si="14"/>
        <v>2024</v>
      </c>
      <c r="M415" s="55">
        <v>45443.0</v>
      </c>
      <c r="N415" s="55" t="str">
        <f t="shared" si="15"/>
        <v>2024</v>
      </c>
      <c r="O415" s="58">
        <f t="shared" si="11"/>
        <v>73</v>
      </c>
      <c r="P415" s="58">
        <f t="shared" si="4"/>
        <v>0</v>
      </c>
      <c r="Q415" s="45" t="s">
        <v>150</v>
      </c>
      <c r="R415" s="51"/>
      <c r="S415" s="51"/>
      <c r="T415" s="51"/>
      <c r="U415" s="45" t="s">
        <v>48</v>
      </c>
      <c r="V415" s="45" t="s">
        <v>104</v>
      </c>
      <c r="W415" s="45" t="s">
        <v>2915</v>
      </c>
      <c r="X415" s="51"/>
      <c r="Y415" s="51"/>
      <c r="Z415" s="51"/>
      <c r="AA415" s="51"/>
      <c r="AB415" s="203"/>
      <c r="AC415" s="64" t="s">
        <v>247</v>
      </c>
      <c r="AD415" s="51"/>
      <c r="AE415" s="64" t="s">
        <v>1666</v>
      </c>
    </row>
    <row r="416">
      <c r="A416" s="23" t="s">
        <v>169</v>
      </c>
      <c r="B416" s="23" t="s">
        <v>19</v>
      </c>
      <c r="C416" s="23" t="s">
        <v>519</v>
      </c>
      <c r="D416" s="23" t="s">
        <v>2917</v>
      </c>
      <c r="E416" s="23" t="s">
        <v>2918</v>
      </c>
      <c r="F416" s="26">
        <v>576.0</v>
      </c>
      <c r="G416" s="237">
        <v>600312.0</v>
      </c>
      <c r="H416" s="23" t="s">
        <v>464</v>
      </c>
      <c r="I416" s="23" t="s">
        <v>84</v>
      </c>
      <c r="J416" s="27"/>
      <c r="K416" s="29">
        <v>45370.0</v>
      </c>
      <c r="L416" s="239" t="str">
        <f t="shared" si="14"/>
        <v>2024</v>
      </c>
      <c r="M416" s="29">
        <v>46112.0</v>
      </c>
      <c r="N416" s="29" t="str">
        <f t="shared" si="15"/>
        <v>2026</v>
      </c>
      <c r="O416" s="36">
        <f t="shared" si="11"/>
        <v>742</v>
      </c>
      <c r="P416" s="36">
        <f t="shared" si="4"/>
        <v>2</v>
      </c>
      <c r="Q416" s="23" t="s">
        <v>150</v>
      </c>
      <c r="R416" s="27"/>
      <c r="S416" s="27"/>
      <c r="T416" s="27"/>
      <c r="U416" s="23" t="s">
        <v>48</v>
      </c>
      <c r="V416" s="23" t="s">
        <v>104</v>
      </c>
      <c r="W416" s="23" t="s">
        <v>2922</v>
      </c>
      <c r="X416" s="27"/>
      <c r="Y416" s="27"/>
      <c r="Z416" s="27"/>
      <c r="AA416" s="27"/>
      <c r="AB416" s="189"/>
      <c r="AC416" s="27"/>
      <c r="AD416" s="76" t="s">
        <v>123</v>
      </c>
      <c r="AE416" s="76" t="s">
        <v>1501</v>
      </c>
    </row>
    <row r="417">
      <c r="A417" s="45" t="s">
        <v>169</v>
      </c>
      <c r="B417" s="45" t="s">
        <v>67</v>
      </c>
      <c r="C417" s="45" t="s">
        <v>263</v>
      </c>
      <c r="D417" s="45" t="s">
        <v>264</v>
      </c>
      <c r="E417" s="45" t="s">
        <v>265</v>
      </c>
      <c r="F417" s="48">
        <v>357.0</v>
      </c>
      <c r="G417" s="240">
        <v>600215.0</v>
      </c>
      <c r="H417" s="45" t="s">
        <v>84</v>
      </c>
      <c r="I417" s="45" t="s">
        <v>84</v>
      </c>
      <c r="J417" s="51"/>
      <c r="K417" s="55">
        <v>45016.0</v>
      </c>
      <c r="L417" s="242" t="str">
        <f t="shared" si="14"/>
        <v>2023</v>
      </c>
      <c r="M417" s="55">
        <v>45657.0</v>
      </c>
      <c r="N417" s="55" t="str">
        <f t="shared" si="15"/>
        <v>2024</v>
      </c>
      <c r="O417" s="58">
        <f t="shared" si="11"/>
        <v>641</v>
      </c>
      <c r="P417" s="58">
        <f t="shared" si="4"/>
        <v>1</v>
      </c>
      <c r="Q417" s="45" t="s">
        <v>253</v>
      </c>
      <c r="R417" s="45" t="s">
        <v>4422</v>
      </c>
      <c r="S417" s="45" t="s">
        <v>269</v>
      </c>
      <c r="T417" s="51"/>
      <c r="U417" s="45" t="s">
        <v>48</v>
      </c>
      <c r="V417" s="45" t="s">
        <v>104</v>
      </c>
      <c r="W417" s="45" t="s">
        <v>275</v>
      </c>
      <c r="X417" s="51"/>
      <c r="Y417" s="51"/>
      <c r="Z417" s="51"/>
      <c r="AA417" s="51"/>
      <c r="AB417" s="203"/>
      <c r="AC417" s="64" t="s">
        <v>247</v>
      </c>
      <c r="AD417" s="64" t="s">
        <v>261</v>
      </c>
      <c r="AE417" s="64" t="s">
        <v>1172</v>
      </c>
    </row>
    <row r="418">
      <c r="A418" s="23" t="s">
        <v>169</v>
      </c>
      <c r="B418" s="23" t="s">
        <v>67</v>
      </c>
      <c r="C418" s="23" t="s">
        <v>2928</v>
      </c>
      <c r="D418" s="23" t="s">
        <v>2929</v>
      </c>
      <c r="E418" s="23" t="s">
        <v>2930</v>
      </c>
      <c r="F418" s="26">
        <v>578.0</v>
      </c>
      <c r="G418" s="237">
        <v>600326.0</v>
      </c>
      <c r="H418" s="23" t="s">
        <v>139</v>
      </c>
      <c r="I418" s="23" t="s">
        <v>84</v>
      </c>
      <c r="J418" s="27"/>
      <c r="K418" s="29">
        <v>45373.0</v>
      </c>
      <c r="L418" s="239" t="str">
        <f t="shared" si="14"/>
        <v>2024</v>
      </c>
      <c r="M418" s="29">
        <v>45546.0</v>
      </c>
      <c r="N418" s="29" t="str">
        <f t="shared" si="15"/>
        <v>2024</v>
      </c>
      <c r="O418" s="36">
        <f t="shared" si="11"/>
        <v>173</v>
      </c>
      <c r="P418" s="36">
        <f t="shared" si="4"/>
        <v>0</v>
      </c>
      <c r="Q418" s="23" t="s">
        <v>150</v>
      </c>
      <c r="R418" s="27"/>
      <c r="S418" s="27"/>
      <c r="T418" s="27"/>
      <c r="U418" s="23" t="s">
        <v>48</v>
      </c>
      <c r="V418" s="23" t="s">
        <v>4427</v>
      </c>
      <c r="W418" s="23" t="s">
        <v>2932</v>
      </c>
      <c r="X418" s="27"/>
      <c r="Y418" s="27"/>
      <c r="Z418" s="27"/>
      <c r="AA418" s="27"/>
      <c r="AB418" s="189"/>
      <c r="AC418" s="76" t="s">
        <v>247</v>
      </c>
      <c r="AD418" s="27"/>
      <c r="AE418" s="76" t="s">
        <v>1621</v>
      </c>
    </row>
    <row r="419">
      <c r="A419" s="45" t="s">
        <v>169</v>
      </c>
      <c r="B419" s="45" t="s">
        <v>67</v>
      </c>
      <c r="C419" s="45" t="s">
        <v>2938</v>
      </c>
      <c r="D419" s="45" t="s">
        <v>2939</v>
      </c>
      <c r="E419" s="45" t="s">
        <v>2940</v>
      </c>
      <c r="F419" s="48">
        <v>579.0</v>
      </c>
      <c r="G419" s="240">
        <v>600316.0</v>
      </c>
      <c r="H419" s="45" t="s">
        <v>266</v>
      </c>
      <c r="I419" s="45" t="s">
        <v>226</v>
      </c>
      <c r="J419" s="51"/>
      <c r="K419" s="55">
        <v>45375.0</v>
      </c>
      <c r="L419" s="242" t="str">
        <f t="shared" si="14"/>
        <v>2024</v>
      </c>
      <c r="M419" s="55">
        <v>45741.0</v>
      </c>
      <c r="N419" s="55" t="str">
        <f t="shared" si="15"/>
        <v>2025</v>
      </c>
      <c r="O419" s="58">
        <f t="shared" si="11"/>
        <v>366</v>
      </c>
      <c r="P419" s="58">
        <f t="shared" si="4"/>
        <v>1</v>
      </c>
      <c r="Q419" s="45" t="s">
        <v>150</v>
      </c>
      <c r="R419" s="51"/>
      <c r="S419" s="51"/>
      <c r="T419" s="51"/>
      <c r="U419" s="45" t="s">
        <v>48</v>
      </c>
      <c r="V419" s="45" t="s">
        <v>104</v>
      </c>
      <c r="W419" s="45" t="s">
        <v>2943</v>
      </c>
      <c r="X419" s="51"/>
      <c r="Y419" s="51"/>
      <c r="Z419" s="51"/>
      <c r="AA419" s="51"/>
      <c r="AB419" s="203"/>
      <c r="AC419" s="64" t="s">
        <v>247</v>
      </c>
      <c r="AD419" s="51"/>
      <c r="AE419" s="64" t="s">
        <v>1493</v>
      </c>
    </row>
    <row r="420">
      <c r="A420" s="23" t="s">
        <v>169</v>
      </c>
      <c r="B420" s="23" t="s">
        <v>67</v>
      </c>
      <c r="C420" s="23" t="s">
        <v>2945</v>
      </c>
      <c r="D420" s="23" t="s">
        <v>2946</v>
      </c>
      <c r="E420" s="23" t="s">
        <v>2947</v>
      </c>
      <c r="F420" s="26">
        <v>580.0</v>
      </c>
      <c r="G420" s="237">
        <v>600318.0</v>
      </c>
      <c r="H420" s="23" t="s">
        <v>266</v>
      </c>
      <c r="I420" s="23" t="s">
        <v>226</v>
      </c>
      <c r="J420" s="27"/>
      <c r="K420" s="29">
        <v>45375.0</v>
      </c>
      <c r="L420" s="239" t="str">
        <f t="shared" si="14"/>
        <v>2024</v>
      </c>
      <c r="M420" s="29">
        <v>45741.0</v>
      </c>
      <c r="N420" s="29" t="str">
        <f t="shared" si="15"/>
        <v>2025</v>
      </c>
      <c r="O420" s="36">
        <f t="shared" si="11"/>
        <v>366</v>
      </c>
      <c r="P420" s="36">
        <f t="shared" si="4"/>
        <v>1</v>
      </c>
      <c r="Q420" s="23" t="s">
        <v>150</v>
      </c>
      <c r="R420" s="27"/>
      <c r="S420" s="27"/>
      <c r="T420" s="27"/>
      <c r="U420" s="23" t="s">
        <v>48</v>
      </c>
      <c r="V420" s="23" t="s">
        <v>104</v>
      </c>
      <c r="W420" s="144" t="s">
        <v>4441</v>
      </c>
      <c r="X420" s="27"/>
      <c r="Y420" s="27"/>
      <c r="Z420" s="27"/>
      <c r="AA420" s="27"/>
      <c r="AB420" s="189"/>
      <c r="AC420" s="76" t="s">
        <v>247</v>
      </c>
      <c r="AD420" s="27"/>
      <c r="AE420" s="76" t="s">
        <v>1493</v>
      </c>
    </row>
    <row r="421">
      <c r="A421" s="45" t="s">
        <v>169</v>
      </c>
      <c r="B421" s="45" t="s">
        <v>67</v>
      </c>
      <c r="C421" s="45" t="s">
        <v>2953</v>
      </c>
      <c r="D421" s="45" t="s">
        <v>2954</v>
      </c>
      <c r="E421" s="45" t="s">
        <v>2955</v>
      </c>
      <c r="F421" s="48">
        <v>581.0</v>
      </c>
      <c r="G421" s="240">
        <v>600319.0</v>
      </c>
      <c r="H421" s="45" t="s">
        <v>266</v>
      </c>
      <c r="I421" s="45" t="s">
        <v>226</v>
      </c>
      <c r="J421" s="51"/>
      <c r="K421" s="55">
        <v>45375.0</v>
      </c>
      <c r="L421" s="242" t="str">
        <f t="shared" si="14"/>
        <v>2024</v>
      </c>
      <c r="M421" s="55">
        <v>45741.0</v>
      </c>
      <c r="N421" s="55" t="str">
        <f t="shared" si="15"/>
        <v>2025</v>
      </c>
      <c r="O421" s="58">
        <f t="shared" si="11"/>
        <v>366</v>
      </c>
      <c r="P421" s="58">
        <f t="shared" si="4"/>
        <v>1</v>
      </c>
      <c r="Q421" s="45" t="s">
        <v>150</v>
      </c>
      <c r="R421" s="51"/>
      <c r="S421" s="51"/>
      <c r="T421" s="51"/>
      <c r="U421" s="45" t="s">
        <v>48</v>
      </c>
      <c r="V421" s="45" t="s">
        <v>104</v>
      </c>
      <c r="W421" s="142" t="s">
        <v>4449</v>
      </c>
      <c r="X421" s="51"/>
      <c r="Y421" s="51"/>
      <c r="Z421" s="51"/>
      <c r="AA421" s="51"/>
      <c r="AB421" s="203"/>
      <c r="AC421" s="64" t="s">
        <v>247</v>
      </c>
      <c r="AD421" s="51"/>
      <c r="AE421" s="64" t="s">
        <v>1493</v>
      </c>
    </row>
    <row r="422">
      <c r="A422" s="23" t="s">
        <v>169</v>
      </c>
      <c r="B422" s="23" t="s">
        <v>67</v>
      </c>
      <c r="C422" s="23" t="s">
        <v>2962</v>
      </c>
      <c r="D422" s="23" t="s">
        <v>2963</v>
      </c>
      <c r="E422" s="23" t="s">
        <v>2965</v>
      </c>
      <c r="F422" s="26">
        <v>582.0</v>
      </c>
      <c r="G422" s="237">
        <v>600320.0</v>
      </c>
      <c r="H422" s="23" t="s">
        <v>266</v>
      </c>
      <c r="I422" s="23" t="s">
        <v>226</v>
      </c>
      <c r="J422" s="27"/>
      <c r="K422" s="29">
        <v>45375.0</v>
      </c>
      <c r="L422" s="239" t="str">
        <f t="shared" si="14"/>
        <v>2024</v>
      </c>
      <c r="M422" s="29">
        <v>45741.0</v>
      </c>
      <c r="N422" s="29" t="str">
        <f t="shared" si="15"/>
        <v>2025</v>
      </c>
      <c r="O422" s="36">
        <f t="shared" si="11"/>
        <v>366</v>
      </c>
      <c r="P422" s="36">
        <f t="shared" si="4"/>
        <v>1</v>
      </c>
      <c r="Q422" s="23" t="s">
        <v>150</v>
      </c>
      <c r="R422" s="27"/>
      <c r="S422" s="27"/>
      <c r="T422" s="27"/>
      <c r="U422" s="23" t="s">
        <v>48</v>
      </c>
      <c r="V422" s="23" t="s">
        <v>104</v>
      </c>
      <c r="W422" s="144" t="s">
        <v>4457</v>
      </c>
      <c r="X422" s="27"/>
      <c r="Y422" s="27"/>
      <c r="Z422" s="27"/>
      <c r="AA422" s="27"/>
      <c r="AB422" s="189"/>
      <c r="AC422" s="76" t="s">
        <v>247</v>
      </c>
      <c r="AD422" s="27"/>
      <c r="AE422" s="76" t="s">
        <v>1493</v>
      </c>
    </row>
    <row r="423">
      <c r="A423" s="45" t="s">
        <v>169</v>
      </c>
      <c r="B423" s="45" t="s">
        <v>67</v>
      </c>
      <c r="C423" s="45" t="s">
        <v>2971</v>
      </c>
      <c r="D423" s="45" t="s">
        <v>2972</v>
      </c>
      <c r="E423" s="45" t="s">
        <v>2973</v>
      </c>
      <c r="F423" s="48">
        <v>583.0</v>
      </c>
      <c r="G423" s="240">
        <v>600321.0</v>
      </c>
      <c r="H423" s="45" t="s">
        <v>266</v>
      </c>
      <c r="I423" s="45" t="s">
        <v>226</v>
      </c>
      <c r="J423" s="51"/>
      <c r="K423" s="55">
        <v>45375.0</v>
      </c>
      <c r="L423" s="242" t="str">
        <f t="shared" si="14"/>
        <v>2024</v>
      </c>
      <c r="M423" s="55">
        <v>45741.0</v>
      </c>
      <c r="N423" s="55" t="str">
        <f t="shared" si="15"/>
        <v>2025</v>
      </c>
      <c r="O423" s="58">
        <f t="shared" si="11"/>
        <v>366</v>
      </c>
      <c r="P423" s="58">
        <f t="shared" si="4"/>
        <v>1</v>
      </c>
      <c r="Q423" s="45" t="s">
        <v>150</v>
      </c>
      <c r="R423" s="51"/>
      <c r="S423" s="51"/>
      <c r="T423" s="51"/>
      <c r="U423" s="45" t="s">
        <v>48</v>
      </c>
      <c r="V423" s="45" t="s">
        <v>104</v>
      </c>
      <c r="W423" s="142" t="s">
        <v>4463</v>
      </c>
      <c r="X423" s="51"/>
      <c r="Y423" s="51"/>
      <c r="Z423" s="51"/>
      <c r="AA423" s="51"/>
      <c r="AB423" s="203"/>
      <c r="AC423" s="64" t="s">
        <v>247</v>
      </c>
      <c r="AD423" s="51"/>
      <c r="AE423" s="64" t="s">
        <v>1493</v>
      </c>
    </row>
    <row r="424">
      <c r="A424" s="23" t="s">
        <v>169</v>
      </c>
      <c r="B424" s="23" t="s">
        <v>67</v>
      </c>
      <c r="C424" s="23" t="s">
        <v>2980</v>
      </c>
      <c r="D424" s="23" t="s">
        <v>2981</v>
      </c>
      <c r="E424" s="23" t="s">
        <v>2982</v>
      </c>
      <c r="F424" s="26">
        <v>584.0</v>
      </c>
      <c r="G424" s="237">
        <v>600322.0</v>
      </c>
      <c r="H424" s="23" t="s">
        <v>266</v>
      </c>
      <c r="I424" s="23" t="s">
        <v>84</v>
      </c>
      <c r="J424" s="27"/>
      <c r="K424" s="29">
        <v>45375.0</v>
      </c>
      <c r="L424" s="239" t="str">
        <f t="shared" si="14"/>
        <v>2024</v>
      </c>
      <c r="M424" s="29">
        <v>45741.0</v>
      </c>
      <c r="N424" s="29" t="str">
        <f t="shared" si="15"/>
        <v>2025</v>
      </c>
      <c r="O424" s="36">
        <f t="shared" si="11"/>
        <v>366</v>
      </c>
      <c r="P424" s="36">
        <f t="shared" si="4"/>
        <v>1</v>
      </c>
      <c r="Q424" s="23" t="s">
        <v>150</v>
      </c>
      <c r="R424" s="27"/>
      <c r="S424" s="27"/>
      <c r="T424" s="27"/>
      <c r="U424" s="23" t="s">
        <v>48</v>
      </c>
      <c r="V424" s="23" t="s">
        <v>104</v>
      </c>
      <c r="W424" s="144" t="s">
        <v>4469</v>
      </c>
      <c r="X424" s="27"/>
      <c r="Y424" s="27"/>
      <c r="Z424" s="27"/>
      <c r="AA424" s="27"/>
      <c r="AB424" s="189"/>
      <c r="AC424" s="76" t="s">
        <v>247</v>
      </c>
      <c r="AD424" s="27"/>
      <c r="AE424" s="76" t="s">
        <v>1493</v>
      </c>
    </row>
    <row r="425">
      <c r="A425" s="45" t="s">
        <v>169</v>
      </c>
      <c r="B425" s="45" t="s">
        <v>67</v>
      </c>
      <c r="C425" s="45" t="s">
        <v>3024</v>
      </c>
      <c r="D425" s="45" t="s">
        <v>3026</v>
      </c>
      <c r="E425" s="45" t="s">
        <v>3027</v>
      </c>
      <c r="F425" s="48">
        <v>592.0</v>
      </c>
      <c r="G425" s="243"/>
      <c r="H425" s="45" t="s">
        <v>187</v>
      </c>
      <c r="I425" s="45" t="s">
        <v>84</v>
      </c>
      <c r="J425" s="51"/>
      <c r="K425" s="55">
        <v>45376.0</v>
      </c>
      <c r="L425" s="242" t="str">
        <f t="shared" si="14"/>
        <v>2024</v>
      </c>
      <c r="M425" s="55">
        <v>45382.0</v>
      </c>
      <c r="N425" s="55" t="str">
        <f t="shared" si="15"/>
        <v>2024</v>
      </c>
      <c r="O425" s="58">
        <f t="shared" si="11"/>
        <v>6</v>
      </c>
      <c r="P425" s="58">
        <f t="shared" si="4"/>
        <v>0</v>
      </c>
      <c r="Q425" s="45" t="s">
        <v>150</v>
      </c>
      <c r="R425" s="51"/>
      <c r="S425" s="51"/>
      <c r="T425" s="51"/>
      <c r="U425" s="45" t="s">
        <v>48</v>
      </c>
      <c r="V425" s="45" t="s">
        <v>3934</v>
      </c>
      <c r="W425" s="45" t="s">
        <v>3028</v>
      </c>
      <c r="X425" s="51"/>
      <c r="Y425" s="51"/>
      <c r="Z425" s="51"/>
      <c r="AA425" s="51"/>
      <c r="AB425" s="203"/>
      <c r="AC425" s="64" t="s">
        <v>247</v>
      </c>
      <c r="AD425" s="51"/>
      <c r="AE425" s="64" t="s">
        <v>1621</v>
      </c>
    </row>
    <row r="426">
      <c r="A426" s="23" t="s">
        <v>169</v>
      </c>
      <c r="B426" s="23" t="s">
        <v>67</v>
      </c>
      <c r="C426" s="23" t="s">
        <v>3017</v>
      </c>
      <c r="D426" s="23" t="s">
        <v>3018</v>
      </c>
      <c r="E426" s="23" t="s">
        <v>3019</v>
      </c>
      <c r="F426" s="26">
        <v>593.0</v>
      </c>
      <c r="G426" s="237">
        <v>600317.0</v>
      </c>
      <c r="H426" s="23" t="s">
        <v>266</v>
      </c>
      <c r="I426" s="23" t="s">
        <v>226</v>
      </c>
      <c r="J426" s="27"/>
      <c r="K426" s="29">
        <v>45376.0</v>
      </c>
      <c r="L426" s="239" t="str">
        <f t="shared" si="14"/>
        <v>2024</v>
      </c>
      <c r="M426" s="29">
        <v>45741.0</v>
      </c>
      <c r="N426" s="29" t="str">
        <f t="shared" si="15"/>
        <v>2025</v>
      </c>
      <c r="O426" s="36">
        <f t="shared" si="11"/>
        <v>365</v>
      </c>
      <c r="P426" s="36">
        <f t="shared" si="4"/>
        <v>1</v>
      </c>
      <c r="Q426" s="23" t="s">
        <v>150</v>
      </c>
      <c r="R426" s="27"/>
      <c r="S426" s="27"/>
      <c r="T426" s="27"/>
      <c r="U426" s="23" t="s">
        <v>48</v>
      </c>
      <c r="V426" s="23" t="s">
        <v>104</v>
      </c>
      <c r="W426" s="23" t="s">
        <v>4477</v>
      </c>
      <c r="X426" s="27"/>
      <c r="Y426" s="27"/>
      <c r="Z426" s="27"/>
      <c r="AA426" s="27"/>
      <c r="AB426" s="189"/>
      <c r="AC426" s="76" t="s">
        <v>247</v>
      </c>
      <c r="AD426" s="27"/>
      <c r="AE426" s="76" t="s">
        <v>1493</v>
      </c>
    </row>
    <row r="427">
      <c r="A427" s="45" t="s">
        <v>169</v>
      </c>
      <c r="B427" s="45" t="s">
        <v>67</v>
      </c>
      <c r="C427" s="45" t="s">
        <v>3030</v>
      </c>
      <c r="D427" s="45" t="s">
        <v>3031</v>
      </c>
      <c r="E427" s="45" t="s">
        <v>3033</v>
      </c>
      <c r="F427" s="48">
        <v>594.0</v>
      </c>
      <c r="G427" s="240">
        <v>600341.0</v>
      </c>
      <c r="H427" s="45" t="s">
        <v>139</v>
      </c>
      <c r="I427" s="45" t="s">
        <v>723</v>
      </c>
      <c r="J427" s="51"/>
      <c r="K427" s="55">
        <v>45378.0</v>
      </c>
      <c r="L427" s="242" t="str">
        <f t="shared" si="14"/>
        <v>2024</v>
      </c>
      <c r="M427" s="55">
        <v>45743.0</v>
      </c>
      <c r="N427" s="55" t="str">
        <f t="shared" si="15"/>
        <v>2025</v>
      </c>
      <c r="O427" s="58">
        <f t="shared" si="11"/>
        <v>365</v>
      </c>
      <c r="P427" s="58">
        <f t="shared" si="4"/>
        <v>1</v>
      </c>
      <c r="Q427" s="45" t="s">
        <v>150</v>
      </c>
      <c r="R427" s="51"/>
      <c r="S427" s="51"/>
      <c r="T427" s="51"/>
      <c r="U427" s="45" t="s">
        <v>48</v>
      </c>
      <c r="V427" s="268" t="s">
        <v>4306</v>
      </c>
      <c r="W427" s="45" t="s">
        <v>3035</v>
      </c>
      <c r="X427" s="45" t="s">
        <v>3035</v>
      </c>
      <c r="Y427" s="51"/>
      <c r="Z427" s="51"/>
      <c r="AA427" s="51"/>
      <c r="AB427" s="203"/>
      <c r="AC427" s="64" t="s">
        <v>4486</v>
      </c>
      <c r="AD427" s="64" t="s">
        <v>261</v>
      </c>
      <c r="AE427" s="64" t="s">
        <v>1621</v>
      </c>
    </row>
    <row r="428">
      <c r="A428" s="23" t="s">
        <v>169</v>
      </c>
      <c r="B428" s="23" t="s">
        <v>67</v>
      </c>
      <c r="C428" s="23" t="s">
        <v>3041</v>
      </c>
      <c r="D428" s="23" t="s">
        <v>3042</v>
      </c>
      <c r="E428" s="23" t="s">
        <v>3043</v>
      </c>
      <c r="F428" s="26">
        <v>595.0</v>
      </c>
      <c r="G428" s="237">
        <v>600340.0</v>
      </c>
      <c r="H428" s="23" t="s">
        <v>139</v>
      </c>
      <c r="I428" s="23" t="s">
        <v>248</v>
      </c>
      <c r="J428" s="27"/>
      <c r="K428" s="29">
        <v>45378.0</v>
      </c>
      <c r="L428" s="239" t="str">
        <f t="shared" si="14"/>
        <v>2024</v>
      </c>
      <c r="M428" s="29">
        <v>45743.0</v>
      </c>
      <c r="N428" s="29" t="str">
        <f t="shared" si="15"/>
        <v>2025</v>
      </c>
      <c r="O428" s="36">
        <f t="shared" si="11"/>
        <v>365</v>
      </c>
      <c r="P428" s="36">
        <f t="shared" si="4"/>
        <v>1</v>
      </c>
      <c r="Q428" s="23" t="s">
        <v>150</v>
      </c>
      <c r="R428" s="27"/>
      <c r="S428" s="27"/>
      <c r="T428" s="27"/>
      <c r="U428" s="23" t="s">
        <v>48</v>
      </c>
      <c r="V428" s="23" t="s">
        <v>4493</v>
      </c>
      <c r="W428" s="23" t="s">
        <v>3044</v>
      </c>
      <c r="X428" s="23" t="s">
        <v>3044</v>
      </c>
      <c r="Y428" s="27"/>
      <c r="Z428" s="27"/>
      <c r="AA428" s="27"/>
      <c r="AB428" s="189"/>
      <c r="AC428" s="76" t="s">
        <v>247</v>
      </c>
      <c r="AD428" s="76" t="s">
        <v>261</v>
      </c>
      <c r="AE428" s="76" t="s">
        <v>1172</v>
      </c>
    </row>
    <row r="429">
      <c r="A429" s="45" t="s">
        <v>169</v>
      </c>
      <c r="B429" s="45" t="s">
        <v>19</v>
      </c>
      <c r="C429" s="45" t="s">
        <v>3073</v>
      </c>
      <c r="D429" s="45" t="s">
        <v>3074</v>
      </c>
      <c r="E429" s="45" t="s">
        <v>3076</v>
      </c>
      <c r="F429" s="48">
        <v>597.0</v>
      </c>
      <c r="G429" s="240">
        <v>600348.0</v>
      </c>
      <c r="H429" s="45" t="s">
        <v>266</v>
      </c>
      <c r="I429" s="45" t="s">
        <v>226</v>
      </c>
      <c r="J429" s="51"/>
      <c r="K429" s="55">
        <v>45379.0</v>
      </c>
      <c r="L429" s="242" t="str">
        <f t="shared" si="14"/>
        <v>2024</v>
      </c>
      <c r="M429" s="55">
        <v>46109.0</v>
      </c>
      <c r="N429" s="55" t="str">
        <f t="shared" si="15"/>
        <v>2026</v>
      </c>
      <c r="O429" s="58">
        <f t="shared" si="11"/>
        <v>730</v>
      </c>
      <c r="P429" s="58">
        <f t="shared" si="4"/>
        <v>2</v>
      </c>
      <c r="Q429" s="45" t="s">
        <v>253</v>
      </c>
      <c r="R429" s="51"/>
      <c r="S429" s="51"/>
      <c r="T429" s="51"/>
      <c r="U429" s="45" t="s">
        <v>48</v>
      </c>
      <c r="V429" s="45" t="s">
        <v>4499</v>
      </c>
      <c r="W429" s="45" t="s">
        <v>3077</v>
      </c>
      <c r="X429" s="51"/>
      <c r="Y429" s="51"/>
      <c r="Z429" s="51"/>
      <c r="AA429" s="51"/>
      <c r="AB429" s="203"/>
      <c r="AC429" s="51"/>
      <c r="AD429" s="64" t="s">
        <v>38</v>
      </c>
      <c r="AE429" s="64" t="s">
        <v>4500</v>
      </c>
    </row>
    <row r="430">
      <c r="A430" s="23" t="s">
        <v>169</v>
      </c>
      <c r="B430" s="23" t="s">
        <v>67</v>
      </c>
      <c r="C430" s="23" t="s">
        <v>3054</v>
      </c>
      <c r="D430" s="23" t="s">
        <v>3055</v>
      </c>
      <c r="E430" s="23" t="s">
        <v>3056</v>
      </c>
      <c r="F430" s="26">
        <v>598.0</v>
      </c>
      <c r="G430" s="237">
        <v>600343.0</v>
      </c>
      <c r="H430" s="23" t="s">
        <v>266</v>
      </c>
      <c r="I430" s="23" t="s">
        <v>226</v>
      </c>
      <c r="J430" s="27"/>
      <c r="K430" s="29">
        <v>45379.0</v>
      </c>
      <c r="L430" s="239" t="str">
        <f t="shared" si="14"/>
        <v>2024</v>
      </c>
      <c r="M430" s="29">
        <v>45744.0</v>
      </c>
      <c r="N430" s="29" t="str">
        <f t="shared" si="15"/>
        <v>2025</v>
      </c>
      <c r="O430" s="36">
        <f t="shared" si="11"/>
        <v>365</v>
      </c>
      <c r="P430" s="36">
        <f t="shared" si="4"/>
        <v>1</v>
      </c>
      <c r="Q430" s="23" t="s">
        <v>150</v>
      </c>
      <c r="R430" s="27"/>
      <c r="S430" s="27"/>
      <c r="T430" s="27"/>
      <c r="U430" s="23" t="s">
        <v>48</v>
      </c>
      <c r="V430" s="23" t="s">
        <v>104</v>
      </c>
      <c r="W430" s="23" t="s">
        <v>3060</v>
      </c>
      <c r="X430" s="27"/>
      <c r="Y430" s="27"/>
      <c r="Z430" s="27"/>
      <c r="AA430" s="27"/>
      <c r="AB430" s="189"/>
      <c r="AC430" s="76" t="s">
        <v>247</v>
      </c>
      <c r="AD430" s="27"/>
      <c r="AE430" s="76" t="s">
        <v>1493</v>
      </c>
    </row>
    <row r="431">
      <c r="A431" s="45" t="s">
        <v>169</v>
      </c>
      <c r="B431" s="45" t="s">
        <v>19</v>
      </c>
      <c r="C431" s="45" t="s">
        <v>351</v>
      </c>
      <c r="D431" s="45" t="s">
        <v>3079</v>
      </c>
      <c r="E431" s="45" t="s">
        <v>3080</v>
      </c>
      <c r="F431" s="48">
        <v>599.0</v>
      </c>
      <c r="G431" s="240">
        <v>600345.0</v>
      </c>
      <c r="H431" s="45" t="s">
        <v>139</v>
      </c>
      <c r="I431" s="45" t="s">
        <v>1148</v>
      </c>
      <c r="J431" s="51"/>
      <c r="K431" s="55">
        <v>45379.0</v>
      </c>
      <c r="L431" s="242" t="str">
        <f t="shared" si="14"/>
        <v>2024</v>
      </c>
      <c r="M431" s="55">
        <v>49396.0</v>
      </c>
      <c r="N431" s="55" t="str">
        <f t="shared" si="15"/>
        <v>2035</v>
      </c>
      <c r="O431" s="58">
        <f t="shared" si="11"/>
        <v>4017</v>
      </c>
      <c r="P431" s="58">
        <f t="shared" si="4"/>
        <v>11</v>
      </c>
      <c r="Q431" s="45" t="s">
        <v>150</v>
      </c>
      <c r="R431" s="51"/>
      <c r="S431" s="51"/>
      <c r="T431" s="51"/>
      <c r="U431" s="45" t="s">
        <v>48</v>
      </c>
      <c r="V431" s="45" t="s">
        <v>104</v>
      </c>
      <c r="W431" s="45" t="s">
        <v>3083</v>
      </c>
      <c r="X431" s="51"/>
      <c r="Y431" s="51"/>
      <c r="Z431" s="51"/>
      <c r="AA431" s="51"/>
      <c r="AB431" s="203"/>
      <c r="AC431" s="51"/>
      <c r="AD431" s="64" t="s">
        <v>123</v>
      </c>
      <c r="AE431" s="64" t="s">
        <v>1501</v>
      </c>
    </row>
    <row r="432">
      <c r="A432" s="23" t="s">
        <v>169</v>
      </c>
      <c r="B432" s="23" t="s">
        <v>67</v>
      </c>
      <c r="C432" s="23" t="s">
        <v>3064</v>
      </c>
      <c r="D432" s="23" t="s">
        <v>3065</v>
      </c>
      <c r="E432" s="23" t="s">
        <v>3066</v>
      </c>
      <c r="F432" s="26">
        <v>600.0</v>
      </c>
      <c r="G432" s="237">
        <v>600350.0</v>
      </c>
      <c r="H432" s="23" t="s">
        <v>139</v>
      </c>
      <c r="I432" s="23" t="s">
        <v>1148</v>
      </c>
      <c r="J432" s="27"/>
      <c r="K432" s="29">
        <v>45379.0</v>
      </c>
      <c r="L432" s="239" t="str">
        <f t="shared" si="14"/>
        <v>2024</v>
      </c>
      <c r="M432" s="29">
        <v>45744.0</v>
      </c>
      <c r="N432" s="29" t="str">
        <f t="shared" si="15"/>
        <v>2025</v>
      </c>
      <c r="O432" s="36">
        <f t="shared" si="11"/>
        <v>365</v>
      </c>
      <c r="P432" s="36">
        <f t="shared" si="4"/>
        <v>1</v>
      </c>
      <c r="Q432" s="23" t="s">
        <v>150</v>
      </c>
      <c r="R432" s="27"/>
      <c r="S432" s="27"/>
      <c r="T432" s="27"/>
      <c r="U432" s="23" t="s">
        <v>48</v>
      </c>
      <c r="V432" s="23" t="s">
        <v>104</v>
      </c>
      <c r="W432" s="144" t="s">
        <v>3068</v>
      </c>
      <c r="X432" s="27"/>
      <c r="Y432" s="27"/>
      <c r="Z432" s="27"/>
      <c r="AA432" s="27"/>
      <c r="AB432" s="189"/>
      <c r="AC432" s="76" t="s">
        <v>247</v>
      </c>
      <c r="AD432" s="27"/>
      <c r="AE432" s="76" t="s">
        <v>1493</v>
      </c>
    </row>
    <row r="433">
      <c r="A433" s="45" t="s">
        <v>169</v>
      </c>
      <c r="B433" s="45" t="s">
        <v>67</v>
      </c>
      <c r="C433" s="45" t="s">
        <v>3086</v>
      </c>
      <c r="D433" s="45" t="s">
        <v>3087</v>
      </c>
      <c r="E433" s="45" t="s">
        <v>3088</v>
      </c>
      <c r="F433" s="48">
        <v>601.0</v>
      </c>
      <c r="G433" s="240">
        <v>600352.0</v>
      </c>
      <c r="H433" s="45" t="s">
        <v>266</v>
      </c>
      <c r="I433" s="45" t="s">
        <v>1148</v>
      </c>
      <c r="J433" s="51"/>
      <c r="K433" s="55">
        <v>45383.0</v>
      </c>
      <c r="L433" s="242" t="str">
        <f t="shared" si="14"/>
        <v>2024</v>
      </c>
      <c r="M433" s="55">
        <v>45748.0</v>
      </c>
      <c r="N433" s="55" t="str">
        <f t="shared" si="15"/>
        <v>2025</v>
      </c>
      <c r="O433" s="58">
        <f t="shared" si="11"/>
        <v>365</v>
      </c>
      <c r="P433" s="58">
        <f t="shared" si="4"/>
        <v>1</v>
      </c>
      <c r="Q433" s="45" t="s">
        <v>150</v>
      </c>
      <c r="R433" s="51"/>
      <c r="S433" s="51"/>
      <c r="T433" s="51"/>
      <c r="U433" s="45" t="s">
        <v>48</v>
      </c>
      <c r="V433" s="45" t="s">
        <v>104</v>
      </c>
      <c r="W433" s="45" t="s">
        <v>3092</v>
      </c>
      <c r="X433" s="51"/>
      <c r="Y433" s="51"/>
      <c r="Z433" s="51"/>
      <c r="AA433" s="51"/>
      <c r="AB433" s="203"/>
      <c r="AC433" s="64" t="s">
        <v>247</v>
      </c>
      <c r="AD433" s="51"/>
      <c r="AE433" s="64" t="s">
        <v>1493</v>
      </c>
    </row>
    <row r="434">
      <c r="A434" s="23" t="s">
        <v>169</v>
      </c>
      <c r="B434" s="23" t="s">
        <v>19</v>
      </c>
      <c r="C434" s="23" t="s">
        <v>1025</v>
      </c>
      <c r="D434" s="23" t="s">
        <v>3094</v>
      </c>
      <c r="E434" s="23" t="s">
        <v>3095</v>
      </c>
      <c r="F434" s="26">
        <v>602.0</v>
      </c>
      <c r="G434" s="237">
        <v>600347.0</v>
      </c>
      <c r="H434" s="23" t="s">
        <v>266</v>
      </c>
      <c r="I434" s="23" t="s">
        <v>226</v>
      </c>
      <c r="J434" s="27"/>
      <c r="K434" s="29">
        <v>45383.0</v>
      </c>
      <c r="L434" s="239" t="str">
        <f t="shared" si="14"/>
        <v>2024</v>
      </c>
      <c r="M434" s="29">
        <v>46113.0</v>
      </c>
      <c r="N434" s="29" t="str">
        <f t="shared" si="15"/>
        <v>2026</v>
      </c>
      <c r="O434" s="36">
        <f t="shared" si="11"/>
        <v>730</v>
      </c>
      <c r="P434" s="36">
        <f t="shared" si="4"/>
        <v>2</v>
      </c>
      <c r="Q434" s="23" t="s">
        <v>253</v>
      </c>
      <c r="R434" s="27"/>
      <c r="S434" s="27"/>
      <c r="T434" s="27"/>
      <c r="U434" s="23" t="s">
        <v>48</v>
      </c>
      <c r="V434" s="23" t="s">
        <v>4530</v>
      </c>
      <c r="W434" s="23" t="s">
        <v>3098</v>
      </c>
      <c r="X434" s="27"/>
      <c r="Y434" s="27"/>
      <c r="Z434" s="27"/>
      <c r="AA434" s="27"/>
      <c r="AB434" s="189"/>
      <c r="AC434" s="27"/>
      <c r="AD434" s="76" t="s">
        <v>123</v>
      </c>
      <c r="AE434" s="76" t="s">
        <v>4500</v>
      </c>
    </row>
    <row r="435">
      <c r="A435" s="45" t="s">
        <v>169</v>
      </c>
      <c r="B435" s="45" t="s">
        <v>19</v>
      </c>
      <c r="C435" s="45" t="s">
        <v>428</v>
      </c>
      <c r="D435" s="45" t="s">
        <v>575</v>
      </c>
      <c r="E435" s="45" t="s">
        <v>576</v>
      </c>
      <c r="F435" s="48">
        <v>312.0</v>
      </c>
      <c r="G435" s="240">
        <v>600170.0</v>
      </c>
      <c r="H435" s="45" t="s">
        <v>266</v>
      </c>
      <c r="I435" s="45" t="s">
        <v>226</v>
      </c>
      <c r="J435" s="51"/>
      <c r="K435" s="55">
        <v>44867.0</v>
      </c>
      <c r="L435" s="242" t="str">
        <f t="shared" si="14"/>
        <v>2022</v>
      </c>
      <c r="M435" s="55">
        <v>45748.0</v>
      </c>
      <c r="N435" s="55" t="str">
        <f t="shared" si="15"/>
        <v>2025</v>
      </c>
      <c r="O435" s="58">
        <f t="shared" si="11"/>
        <v>881</v>
      </c>
      <c r="P435" s="58">
        <f t="shared" si="4"/>
        <v>2</v>
      </c>
      <c r="Q435" s="45" t="s">
        <v>253</v>
      </c>
      <c r="R435" s="51"/>
      <c r="S435" s="51"/>
      <c r="T435" s="51"/>
      <c r="U435" s="45" t="s">
        <v>48</v>
      </c>
      <c r="V435" s="45" t="s">
        <v>104</v>
      </c>
      <c r="W435" s="45" t="s">
        <v>586</v>
      </c>
      <c r="X435" s="51"/>
      <c r="Y435" s="51"/>
      <c r="Z435" s="51"/>
      <c r="AA435" s="51"/>
      <c r="AB435" s="203"/>
      <c r="AC435" s="64" t="s">
        <v>247</v>
      </c>
      <c r="AD435" s="64" t="s">
        <v>123</v>
      </c>
      <c r="AE435" s="64" t="s">
        <v>1610</v>
      </c>
    </row>
    <row r="436">
      <c r="A436" s="23" t="s">
        <v>169</v>
      </c>
      <c r="B436" s="23" t="s">
        <v>19</v>
      </c>
      <c r="C436" s="23" t="s">
        <v>1030</v>
      </c>
      <c r="D436" s="23" t="s">
        <v>3100</v>
      </c>
      <c r="E436" s="23" t="s">
        <v>3101</v>
      </c>
      <c r="F436" s="26">
        <v>603.0</v>
      </c>
      <c r="G436" s="237">
        <v>600346.0</v>
      </c>
      <c r="H436" s="23" t="s">
        <v>266</v>
      </c>
      <c r="I436" s="23" t="s">
        <v>226</v>
      </c>
      <c r="J436" s="27"/>
      <c r="K436" s="29">
        <v>45383.0</v>
      </c>
      <c r="L436" s="239" t="str">
        <f t="shared" si="14"/>
        <v>2024</v>
      </c>
      <c r="M436" s="29">
        <v>46113.0</v>
      </c>
      <c r="N436" s="29" t="str">
        <f t="shared" si="15"/>
        <v>2026</v>
      </c>
      <c r="O436" s="36">
        <f t="shared" si="11"/>
        <v>730</v>
      </c>
      <c r="P436" s="36">
        <f t="shared" si="4"/>
        <v>2</v>
      </c>
      <c r="Q436" s="23" t="s">
        <v>253</v>
      </c>
      <c r="R436" s="27"/>
      <c r="S436" s="27"/>
      <c r="T436" s="27"/>
      <c r="U436" s="23" t="s">
        <v>48</v>
      </c>
      <c r="V436" s="23" t="s">
        <v>4530</v>
      </c>
      <c r="W436" s="144" t="s">
        <v>3103</v>
      </c>
      <c r="X436" s="27"/>
      <c r="Y436" s="27"/>
      <c r="Z436" s="27"/>
      <c r="AA436" s="27"/>
      <c r="AB436" s="189"/>
      <c r="AC436" s="27"/>
      <c r="AD436" s="76" t="s">
        <v>123</v>
      </c>
      <c r="AE436" s="76" t="s">
        <v>4500</v>
      </c>
    </row>
    <row r="437">
      <c r="A437" s="45" t="s">
        <v>169</v>
      </c>
      <c r="B437" s="45" t="s">
        <v>67</v>
      </c>
      <c r="C437" s="45" t="s">
        <v>3120</v>
      </c>
      <c r="D437" s="45" t="s">
        <v>3121</v>
      </c>
      <c r="E437" s="45" t="s">
        <v>3122</v>
      </c>
      <c r="F437" s="48">
        <v>606.0</v>
      </c>
      <c r="G437" s="240">
        <v>600354.0</v>
      </c>
      <c r="H437" s="45" t="s">
        <v>139</v>
      </c>
      <c r="I437" s="45" t="s">
        <v>226</v>
      </c>
      <c r="J437" s="51"/>
      <c r="K437" s="55">
        <v>45384.0</v>
      </c>
      <c r="L437" s="242" t="str">
        <f t="shared" si="14"/>
        <v>2024</v>
      </c>
      <c r="M437" s="55">
        <v>45568.0</v>
      </c>
      <c r="N437" s="55" t="str">
        <f t="shared" si="15"/>
        <v>2024</v>
      </c>
      <c r="O437" s="58">
        <f t="shared" si="11"/>
        <v>184</v>
      </c>
      <c r="P437" s="58">
        <f t="shared" si="4"/>
        <v>0</v>
      </c>
      <c r="Q437" s="45" t="s">
        <v>150</v>
      </c>
      <c r="R437" s="51"/>
      <c r="S437" s="51"/>
      <c r="T437" s="51"/>
      <c r="U437" s="45" t="s">
        <v>48</v>
      </c>
      <c r="V437" s="268" t="s">
        <v>4306</v>
      </c>
      <c r="W437" s="45" t="s">
        <v>3123</v>
      </c>
      <c r="X437" s="51"/>
      <c r="Y437" s="51"/>
      <c r="Z437" s="51"/>
      <c r="AA437" s="51"/>
      <c r="AB437" s="203"/>
      <c r="AC437" s="64" t="s">
        <v>247</v>
      </c>
      <c r="AD437" s="64" t="s">
        <v>261</v>
      </c>
      <c r="AE437" s="64" t="s">
        <v>1610</v>
      </c>
    </row>
    <row r="438">
      <c r="A438" s="23" t="s">
        <v>169</v>
      </c>
      <c r="B438" s="23" t="s">
        <v>67</v>
      </c>
      <c r="C438" s="23" t="s">
        <v>3135</v>
      </c>
      <c r="D438" s="23" t="s">
        <v>3136</v>
      </c>
      <c r="E438" s="23" t="s">
        <v>3137</v>
      </c>
      <c r="F438" s="26">
        <v>607.0</v>
      </c>
      <c r="G438" s="237">
        <v>600355.0</v>
      </c>
      <c r="H438" s="23" t="s">
        <v>187</v>
      </c>
      <c r="I438" s="23" t="s">
        <v>1148</v>
      </c>
      <c r="J438" s="27"/>
      <c r="K438" s="29">
        <v>45385.0</v>
      </c>
      <c r="L438" s="239" t="str">
        <f t="shared" si="14"/>
        <v>2024</v>
      </c>
      <c r="M438" s="29">
        <v>45395.0</v>
      </c>
      <c r="N438" s="29" t="str">
        <f t="shared" si="15"/>
        <v>2024</v>
      </c>
      <c r="O438" s="36">
        <f t="shared" si="11"/>
        <v>10</v>
      </c>
      <c r="P438" s="36">
        <f t="shared" si="4"/>
        <v>0</v>
      </c>
      <c r="Q438" s="23" t="s">
        <v>150</v>
      </c>
      <c r="R438" s="27"/>
      <c r="S438" s="27"/>
      <c r="T438" s="27"/>
      <c r="U438" s="23" t="s">
        <v>48</v>
      </c>
      <c r="V438" s="23" t="s">
        <v>436</v>
      </c>
      <c r="W438" s="23" t="s">
        <v>3140</v>
      </c>
      <c r="X438" s="27"/>
      <c r="Y438" s="27"/>
      <c r="Z438" s="27"/>
      <c r="AA438" s="27"/>
      <c r="AB438" s="189"/>
      <c r="AC438" s="76" t="s">
        <v>247</v>
      </c>
      <c r="AD438" s="27"/>
      <c r="AE438" s="76" t="s">
        <v>1172</v>
      </c>
    </row>
    <row r="439">
      <c r="A439" s="45" t="s">
        <v>169</v>
      </c>
      <c r="B439" s="45" t="s">
        <v>67</v>
      </c>
      <c r="C439" s="45" t="s">
        <v>3128</v>
      </c>
      <c r="D439" s="45" t="s">
        <v>3129</v>
      </c>
      <c r="E439" s="45" t="s">
        <v>3130</v>
      </c>
      <c r="F439" s="48">
        <v>609.0</v>
      </c>
      <c r="G439" s="240">
        <v>600357.0</v>
      </c>
      <c r="H439" s="45" t="s">
        <v>266</v>
      </c>
      <c r="I439" s="45" t="s">
        <v>226</v>
      </c>
      <c r="J439" s="51"/>
      <c r="K439" s="55">
        <v>45385.0</v>
      </c>
      <c r="L439" s="242" t="str">
        <f t="shared" si="14"/>
        <v>2024</v>
      </c>
      <c r="M439" s="55">
        <v>45750.0</v>
      </c>
      <c r="N439" s="55" t="str">
        <f t="shared" si="15"/>
        <v>2025</v>
      </c>
      <c r="O439" s="58">
        <f t="shared" si="11"/>
        <v>365</v>
      </c>
      <c r="P439" s="58">
        <f t="shared" si="4"/>
        <v>1</v>
      </c>
      <c r="Q439" s="45" t="s">
        <v>150</v>
      </c>
      <c r="R439" s="51"/>
      <c r="S439" s="51"/>
      <c r="T439" s="51"/>
      <c r="U439" s="45" t="s">
        <v>48</v>
      </c>
      <c r="V439" s="45" t="s">
        <v>104</v>
      </c>
      <c r="W439" s="45" t="s">
        <v>3133</v>
      </c>
      <c r="X439" s="51"/>
      <c r="Y439" s="51"/>
      <c r="Z439" s="51"/>
      <c r="AA439" s="51"/>
      <c r="AB439" s="203"/>
      <c r="AC439" s="64" t="s">
        <v>247</v>
      </c>
      <c r="AD439" s="51"/>
      <c r="AE439" s="64" t="s">
        <v>3976</v>
      </c>
    </row>
    <row r="440">
      <c r="A440" s="23" t="s">
        <v>169</v>
      </c>
      <c r="B440" s="23" t="s">
        <v>67</v>
      </c>
      <c r="C440" s="23" t="s">
        <v>3159</v>
      </c>
      <c r="D440" s="23" t="s">
        <v>3160</v>
      </c>
      <c r="E440" s="23" t="s">
        <v>3161</v>
      </c>
      <c r="F440" s="26">
        <v>613.0</v>
      </c>
      <c r="G440" s="237">
        <v>600361.0</v>
      </c>
      <c r="H440" s="23" t="s">
        <v>139</v>
      </c>
      <c r="I440" s="23" t="s">
        <v>1148</v>
      </c>
      <c r="J440" s="27"/>
      <c r="K440" s="29">
        <v>45390.0</v>
      </c>
      <c r="L440" s="239" t="str">
        <f t="shared" si="14"/>
        <v>2024</v>
      </c>
      <c r="M440" s="29">
        <v>45755.0</v>
      </c>
      <c r="N440" s="29" t="str">
        <f t="shared" si="15"/>
        <v>2025</v>
      </c>
      <c r="O440" s="36">
        <f t="shared" si="11"/>
        <v>365</v>
      </c>
      <c r="P440" s="36">
        <f t="shared" si="4"/>
        <v>1</v>
      </c>
      <c r="Q440" s="23" t="s">
        <v>150</v>
      </c>
      <c r="R440" s="27"/>
      <c r="S440" s="27"/>
      <c r="T440" s="27"/>
      <c r="U440" s="23" t="s">
        <v>48</v>
      </c>
      <c r="V440" s="23" t="s">
        <v>4574</v>
      </c>
      <c r="W440" s="23" t="s">
        <v>3164</v>
      </c>
      <c r="X440" s="23" t="s">
        <v>3164</v>
      </c>
      <c r="Y440" s="27"/>
      <c r="Z440" s="27"/>
      <c r="AA440" s="27"/>
      <c r="AB440" s="189"/>
      <c r="AC440" s="76" t="s">
        <v>247</v>
      </c>
      <c r="AD440" s="27"/>
      <c r="AE440" s="76" t="s">
        <v>1172</v>
      </c>
    </row>
    <row r="441">
      <c r="A441" s="45" t="s">
        <v>169</v>
      </c>
      <c r="B441" s="45" t="s">
        <v>67</v>
      </c>
      <c r="C441" s="45" t="s">
        <v>3175</v>
      </c>
      <c r="D441" s="45" t="s">
        <v>3176</v>
      </c>
      <c r="E441" s="45" t="s">
        <v>3177</v>
      </c>
      <c r="F441" s="48">
        <v>617.0</v>
      </c>
      <c r="G441" s="240">
        <v>600366.0</v>
      </c>
      <c r="H441" s="45" t="s">
        <v>464</v>
      </c>
      <c r="I441" s="45" t="s">
        <v>226</v>
      </c>
      <c r="J441" s="51"/>
      <c r="K441" s="55">
        <v>45397.0</v>
      </c>
      <c r="L441" s="242" t="str">
        <f t="shared" si="14"/>
        <v>2024</v>
      </c>
      <c r="M441" s="55">
        <v>45762.0</v>
      </c>
      <c r="N441" s="55" t="str">
        <f t="shared" si="15"/>
        <v>2025</v>
      </c>
      <c r="O441" s="58">
        <f t="shared" si="11"/>
        <v>365</v>
      </c>
      <c r="P441" s="58">
        <f t="shared" si="4"/>
        <v>1</v>
      </c>
      <c r="Q441" s="45" t="s">
        <v>150</v>
      </c>
      <c r="R441" s="51"/>
      <c r="S441" s="51"/>
      <c r="T441" s="51"/>
      <c r="U441" s="45" t="s">
        <v>48</v>
      </c>
      <c r="V441" s="45" t="s">
        <v>104</v>
      </c>
      <c r="W441" s="45" t="s">
        <v>3179</v>
      </c>
      <c r="X441" s="51"/>
      <c r="Y441" s="51"/>
      <c r="Z441" s="51"/>
      <c r="AA441" s="51"/>
      <c r="AB441" s="203"/>
      <c r="AC441" s="64" t="s">
        <v>247</v>
      </c>
      <c r="AD441" s="51"/>
      <c r="AE441" s="64" t="s">
        <v>1610</v>
      </c>
    </row>
    <row r="442">
      <c r="A442" s="23" t="s">
        <v>169</v>
      </c>
      <c r="B442" s="23" t="s">
        <v>67</v>
      </c>
      <c r="C442" s="23" t="s">
        <v>3193</v>
      </c>
      <c r="D442" s="23" t="s">
        <v>3194</v>
      </c>
      <c r="E442" s="23" t="s">
        <v>3195</v>
      </c>
      <c r="F442" s="26">
        <v>619.0</v>
      </c>
      <c r="G442" s="237">
        <v>600367.0</v>
      </c>
      <c r="H442" s="23" t="s">
        <v>266</v>
      </c>
      <c r="I442" s="23" t="s">
        <v>226</v>
      </c>
      <c r="J442" s="27"/>
      <c r="K442" s="29">
        <v>45398.0</v>
      </c>
      <c r="L442" s="239" t="str">
        <f t="shared" si="14"/>
        <v>2024</v>
      </c>
      <c r="M442" s="29">
        <v>45504.0</v>
      </c>
      <c r="N442" s="29" t="str">
        <f t="shared" si="15"/>
        <v>2024</v>
      </c>
      <c r="O442" s="36">
        <f t="shared" si="11"/>
        <v>106</v>
      </c>
      <c r="P442" s="36">
        <f t="shared" si="4"/>
        <v>0</v>
      </c>
      <c r="Q442" s="23" t="s">
        <v>150</v>
      </c>
      <c r="R442" s="27"/>
      <c r="S442" s="27"/>
      <c r="T442" s="27"/>
      <c r="U442" s="23" t="s">
        <v>48</v>
      </c>
      <c r="V442" s="23" t="s">
        <v>4596</v>
      </c>
      <c r="W442" s="23" t="s">
        <v>3198</v>
      </c>
      <c r="X442" s="27"/>
      <c r="Y442" s="27"/>
      <c r="Z442" s="27"/>
      <c r="AA442" s="27"/>
      <c r="AB442" s="258" t="s">
        <v>3197</v>
      </c>
      <c r="AC442" s="76" t="s">
        <v>247</v>
      </c>
      <c r="AD442" s="27"/>
      <c r="AE442" s="76" t="s">
        <v>1610</v>
      </c>
    </row>
    <row r="443">
      <c r="A443" s="45" t="s">
        <v>169</v>
      </c>
      <c r="B443" s="45" t="s">
        <v>19</v>
      </c>
      <c r="C443" s="45" t="s">
        <v>3201</v>
      </c>
      <c r="D443" s="45" t="s">
        <v>3203</v>
      </c>
      <c r="E443" s="45" t="s">
        <v>3204</v>
      </c>
      <c r="F443" s="48">
        <v>621.0</v>
      </c>
      <c r="G443" s="240">
        <v>600369.0</v>
      </c>
      <c r="H443" s="45" t="s">
        <v>139</v>
      </c>
      <c r="I443" s="45" t="s">
        <v>226</v>
      </c>
      <c r="J443" s="51"/>
      <c r="K443" s="55">
        <v>45402.0</v>
      </c>
      <c r="L443" s="242" t="str">
        <f t="shared" si="14"/>
        <v>2024</v>
      </c>
      <c r="M443" s="55">
        <v>46134.0</v>
      </c>
      <c r="N443" s="55" t="str">
        <f t="shared" si="15"/>
        <v>2026</v>
      </c>
      <c r="O443" s="58">
        <f t="shared" si="11"/>
        <v>732</v>
      </c>
      <c r="P443" s="58">
        <f t="shared" si="4"/>
        <v>2</v>
      </c>
      <c r="Q443" s="45" t="s">
        <v>253</v>
      </c>
      <c r="R443" s="51"/>
      <c r="S443" s="51"/>
      <c r="T443" s="51"/>
      <c r="U443" s="45" t="s">
        <v>48</v>
      </c>
      <c r="V443" s="268" t="s">
        <v>4600</v>
      </c>
      <c r="W443" s="45" t="s">
        <v>3209</v>
      </c>
      <c r="X443" s="45" t="s">
        <v>3209</v>
      </c>
      <c r="Y443" s="51"/>
      <c r="Z443" s="51"/>
      <c r="AA443" s="51"/>
      <c r="AB443" s="203"/>
      <c r="AC443" s="64" t="s">
        <v>777</v>
      </c>
      <c r="AD443" s="64" t="s">
        <v>261</v>
      </c>
      <c r="AE443" s="64" t="s">
        <v>1621</v>
      </c>
    </row>
    <row r="444">
      <c r="A444" s="23" t="s">
        <v>169</v>
      </c>
      <c r="B444" s="23" t="s">
        <v>67</v>
      </c>
      <c r="C444" s="23" t="s">
        <v>1021</v>
      </c>
      <c r="D444" s="23" t="s">
        <v>3220</v>
      </c>
      <c r="E444" s="23" t="s">
        <v>3221</v>
      </c>
      <c r="F444" s="26">
        <v>623.0</v>
      </c>
      <c r="G444" s="237">
        <v>600371.0</v>
      </c>
      <c r="H444" s="23" t="s">
        <v>266</v>
      </c>
      <c r="I444" s="23" t="s">
        <v>226</v>
      </c>
      <c r="J444" s="27"/>
      <c r="K444" s="29">
        <v>45405.0</v>
      </c>
      <c r="L444" s="239" t="str">
        <f t="shared" si="14"/>
        <v>2024</v>
      </c>
      <c r="M444" s="29">
        <v>45770.0</v>
      </c>
      <c r="N444" s="29" t="str">
        <f t="shared" si="15"/>
        <v>2025</v>
      </c>
      <c r="O444" s="36">
        <f t="shared" si="11"/>
        <v>365</v>
      </c>
      <c r="P444" s="36">
        <f t="shared" si="4"/>
        <v>1</v>
      </c>
      <c r="Q444" s="23" t="s">
        <v>150</v>
      </c>
      <c r="R444" s="27"/>
      <c r="S444" s="27"/>
      <c r="T444" s="27"/>
      <c r="U444" s="23" t="s">
        <v>25</v>
      </c>
      <c r="V444" s="23" t="s">
        <v>104</v>
      </c>
      <c r="W444" s="23" t="s">
        <v>3226</v>
      </c>
      <c r="X444" s="27"/>
      <c r="Y444" s="27"/>
      <c r="Z444" s="27"/>
      <c r="AA444" s="27"/>
      <c r="AB444" s="189"/>
      <c r="AC444" s="27"/>
      <c r="AD444" s="76" t="s">
        <v>1873</v>
      </c>
      <c r="AE444" s="76" t="s">
        <v>3976</v>
      </c>
    </row>
    <row r="445">
      <c r="A445" s="45" t="s">
        <v>169</v>
      </c>
      <c r="B445" s="45" t="s">
        <v>67</v>
      </c>
      <c r="C445" s="45" t="s">
        <v>3232</v>
      </c>
      <c r="D445" s="45" t="s">
        <v>3235</v>
      </c>
      <c r="E445" s="45" t="s">
        <v>3236</v>
      </c>
      <c r="F445" s="48">
        <v>624.0</v>
      </c>
      <c r="G445" s="240">
        <v>600372.0</v>
      </c>
      <c r="H445" s="45" t="s">
        <v>266</v>
      </c>
      <c r="I445" s="45" t="s">
        <v>226</v>
      </c>
      <c r="J445" s="51"/>
      <c r="K445" s="55">
        <v>45407.0</v>
      </c>
      <c r="L445" s="242" t="str">
        <f t="shared" si="14"/>
        <v>2024</v>
      </c>
      <c r="M445" s="55">
        <v>45772.0</v>
      </c>
      <c r="N445" s="55" t="str">
        <f t="shared" si="15"/>
        <v>2025</v>
      </c>
      <c r="O445" s="58">
        <f t="shared" si="11"/>
        <v>365</v>
      </c>
      <c r="P445" s="58">
        <f t="shared" si="4"/>
        <v>1</v>
      </c>
      <c r="Q445" s="45" t="s">
        <v>150</v>
      </c>
      <c r="R445" s="51"/>
      <c r="S445" s="51"/>
      <c r="T445" s="51"/>
      <c r="U445" s="45" t="s">
        <v>25</v>
      </c>
      <c r="V445" s="45" t="s">
        <v>104</v>
      </c>
      <c r="W445" s="45" t="s">
        <v>3241</v>
      </c>
      <c r="X445" s="51"/>
      <c r="Y445" s="51"/>
      <c r="Z445" s="51"/>
      <c r="AA445" s="51"/>
      <c r="AB445" s="203"/>
      <c r="AC445" s="64" t="s">
        <v>1873</v>
      </c>
      <c r="AD445" s="51"/>
      <c r="AE445" s="64" t="s">
        <v>3976</v>
      </c>
    </row>
    <row r="446">
      <c r="A446" s="23" t="s">
        <v>169</v>
      </c>
      <c r="B446" s="23" t="s">
        <v>67</v>
      </c>
      <c r="C446" s="23" t="s">
        <v>4220</v>
      </c>
      <c r="D446" s="23" t="s">
        <v>4221</v>
      </c>
      <c r="E446" s="23" t="s">
        <v>4222</v>
      </c>
      <c r="F446" s="26">
        <v>731.0</v>
      </c>
      <c r="G446" s="237">
        <v>600514.0</v>
      </c>
      <c r="H446" s="23" t="s">
        <v>139</v>
      </c>
      <c r="I446" s="23" t="s">
        <v>1148</v>
      </c>
      <c r="J446" s="23" t="s">
        <v>740</v>
      </c>
      <c r="K446" s="29">
        <v>45572.0</v>
      </c>
      <c r="L446" s="239" t="str">
        <f t="shared" si="14"/>
        <v>2024</v>
      </c>
      <c r="M446" s="29">
        <v>45838.0</v>
      </c>
      <c r="N446" s="29" t="str">
        <f t="shared" si="15"/>
        <v>2025</v>
      </c>
      <c r="O446" s="36">
        <f t="shared" si="11"/>
        <v>266</v>
      </c>
      <c r="P446" s="36">
        <f t="shared" si="4"/>
        <v>0</v>
      </c>
      <c r="Q446" s="23" t="s">
        <v>253</v>
      </c>
      <c r="R446" s="27"/>
      <c r="S446" s="27"/>
      <c r="T446" s="23" t="s">
        <v>146</v>
      </c>
      <c r="U446" s="23" t="s">
        <v>48</v>
      </c>
      <c r="V446" s="23" t="s">
        <v>104</v>
      </c>
      <c r="W446" s="23" t="s">
        <v>4224</v>
      </c>
      <c r="X446" s="27"/>
      <c r="Y446" s="27"/>
      <c r="Z446" s="27"/>
      <c r="AA446" s="27"/>
      <c r="AB446" s="189"/>
      <c r="AC446" s="76" t="s">
        <v>247</v>
      </c>
      <c r="AD446" s="76" t="s">
        <v>261</v>
      </c>
      <c r="AE446" s="76" t="s">
        <v>1610</v>
      </c>
    </row>
    <row r="447">
      <c r="A447" s="45" t="s">
        <v>169</v>
      </c>
      <c r="B447" s="45" t="s">
        <v>19</v>
      </c>
      <c r="C447" s="45" t="s">
        <v>568</v>
      </c>
      <c r="D447" s="45" t="s">
        <v>3286</v>
      </c>
      <c r="E447" s="45" t="s">
        <v>3287</v>
      </c>
      <c r="F447" s="48">
        <v>631.0</v>
      </c>
      <c r="G447" s="240">
        <v>600383.0</v>
      </c>
      <c r="H447" s="45" t="s">
        <v>139</v>
      </c>
      <c r="I447" s="45" t="s">
        <v>1148</v>
      </c>
      <c r="J447" s="51"/>
      <c r="K447" s="55">
        <v>45421.0</v>
      </c>
      <c r="L447" s="242" t="str">
        <f t="shared" si="14"/>
        <v>2024</v>
      </c>
      <c r="M447" s="55">
        <v>46176.0</v>
      </c>
      <c r="N447" s="55" t="str">
        <f t="shared" si="15"/>
        <v>2026</v>
      </c>
      <c r="O447" s="58">
        <f t="shared" si="11"/>
        <v>755</v>
      </c>
      <c r="P447" s="58">
        <f t="shared" si="4"/>
        <v>2</v>
      </c>
      <c r="Q447" s="45" t="s">
        <v>348</v>
      </c>
      <c r="R447" s="51"/>
      <c r="S447" s="51"/>
      <c r="T447" s="51"/>
      <c r="U447" s="45" t="s">
        <v>48</v>
      </c>
      <c r="V447" s="45" t="s">
        <v>104</v>
      </c>
      <c r="W447" s="45" t="s">
        <v>4606</v>
      </c>
      <c r="X447" s="51"/>
      <c r="Y447" s="51"/>
      <c r="Z447" s="51"/>
      <c r="AA447" s="51"/>
      <c r="AB447" s="203"/>
      <c r="AC447" s="64" t="s">
        <v>247</v>
      </c>
      <c r="AD447" s="64" t="s">
        <v>123</v>
      </c>
      <c r="AE447" s="64" t="s">
        <v>1621</v>
      </c>
    </row>
    <row r="448">
      <c r="A448" s="23" t="s">
        <v>407</v>
      </c>
      <c r="B448" s="23" t="s">
        <v>19</v>
      </c>
      <c r="C448" s="23" t="s">
        <v>3305</v>
      </c>
      <c r="D448" s="23" t="s">
        <v>3306</v>
      </c>
      <c r="E448" s="23" t="s">
        <v>3307</v>
      </c>
      <c r="F448" s="26">
        <v>632.0</v>
      </c>
      <c r="G448" s="237">
        <v>600386.0</v>
      </c>
      <c r="H448" s="23" t="s">
        <v>266</v>
      </c>
      <c r="I448" s="23" t="s">
        <v>226</v>
      </c>
      <c r="J448" s="27"/>
      <c r="K448" s="29">
        <v>45422.0</v>
      </c>
      <c r="L448" s="239" t="str">
        <f t="shared" si="14"/>
        <v>2024</v>
      </c>
      <c r="M448" s="29">
        <v>46152.0</v>
      </c>
      <c r="N448" s="29" t="str">
        <f t="shared" si="15"/>
        <v>2026</v>
      </c>
      <c r="O448" s="36">
        <f t="shared" si="11"/>
        <v>730</v>
      </c>
      <c r="P448" s="36">
        <f t="shared" si="4"/>
        <v>2</v>
      </c>
      <c r="Q448" s="23" t="s">
        <v>150</v>
      </c>
      <c r="R448" s="27"/>
      <c r="S448" s="27"/>
      <c r="T448" s="27"/>
      <c r="U448" s="23" t="s">
        <v>48</v>
      </c>
      <c r="V448" s="23" t="s">
        <v>104</v>
      </c>
      <c r="W448" s="144" t="s">
        <v>3308</v>
      </c>
      <c r="X448" s="144" t="s">
        <v>3308</v>
      </c>
      <c r="Y448" s="27"/>
      <c r="Z448" s="27"/>
      <c r="AA448" s="27"/>
      <c r="AB448" s="189"/>
      <c r="AC448" s="76" t="s">
        <v>354</v>
      </c>
      <c r="AD448" s="76" t="s">
        <v>261</v>
      </c>
      <c r="AE448" s="76" t="s">
        <v>3311</v>
      </c>
    </row>
    <row r="449">
      <c r="A449" s="45" t="s">
        <v>169</v>
      </c>
      <c r="B449" s="45" t="s">
        <v>67</v>
      </c>
      <c r="C449" s="45" t="s">
        <v>3297</v>
      </c>
      <c r="D449" s="45" t="s">
        <v>3298</v>
      </c>
      <c r="E449" s="45" t="s">
        <v>3300</v>
      </c>
      <c r="F449" s="48">
        <v>633.0</v>
      </c>
      <c r="G449" s="240">
        <v>600387.0</v>
      </c>
      <c r="H449" s="45" t="s">
        <v>464</v>
      </c>
      <c r="I449" s="45" t="s">
        <v>1148</v>
      </c>
      <c r="J449" s="51"/>
      <c r="K449" s="55">
        <v>45422.0</v>
      </c>
      <c r="L449" s="242" t="str">
        <f t="shared" si="14"/>
        <v>2024</v>
      </c>
      <c r="M449" s="55">
        <v>45787.0</v>
      </c>
      <c r="N449" s="55" t="str">
        <f t="shared" si="15"/>
        <v>2025</v>
      </c>
      <c r="O449" s="58">
        <f t="shared" si="11"/>
        <v>365</v>
      </c>
      <c r="P449" s="58">
        <f t="shared" si="4"/>
        <v>1</v>
      </c>
      <c r="Q449" s="45" t="s">
        <v>150</v>
      </c>
      <c r="R449" s="51"/>
      <c r="S449" s="51"/>
      <c r="T449" s="51"/>
      <c r="U449" s="45" t="s">
        <v>48</v>
      </c>
      <c r="V449" s="45" t="s">
        <v>4619</v>
      </c>
      <c r="W449" s="45" t="s">
        <v>3303</v>
      </c>
      <c r="X449" s="45" t="s">
        <v>3303</v>
      </c>
      <c r="Y449" s="51"/>
      <c r="Z449" s="51"/>
      <c r="AA449" s="51"/>
      <c r="AB449" s="203"/>
      <c r="AC449" s="64" t="s">
        <v>247</v>
      </c>
      <c r="AD449" s="51"/>
      <c r="AE449" s="64" t="s">
        <v>1610</v>
      </c>
    </row>
    <row r="450">
      <c r="A450" s="23" t="s">
        <v>169</v>
      </c>
      <c r="B450" s="23" t="s">
        <v>67</v>
      </c>
      <c r="C450" s="23" t="s">
        <v>3315</v>
      </c>
      <c r="D450" s="23" t="s">
        <v>3316</v>
      </c>
      <c r="E450" s="23" t="s">
        <v>3317</v>
      </c>
      <c r="F450" s="26">
        <v>635.0</v>
      </c>
      <c r="G450" s="237">
        <v>600385.0</v>
      </c>
      <c r="H450" s="23" t="s">
        <v>464</v>
      </c>
      <c r="I450" s="23" t="s">
        <v>226</v>
      </c>
      <c r="J450" s="27"/>
      <c r="K450" s="29">
        <v>45425.0</v>
      </c>
      <c r="L450" s="239" t="str">
        <f t="shared" si="14"/>
        <v>2024</v>
      </c>
      <c r="M450" s="29">
        <v>45688.0</v>
      </c>
      <c r="N450" s="29" t="str">
        <f t="shared" si="15"/>
        <v>2025</v>
      </c>
      <c r="O450" s="36">
        <f t="shared" si="11"/>
        <v>263</v>
      </c>
      <c r="P450" s="36">
        <f t="shared" si="4"/>
        <v>0</v>
      </c>
      <c r="Q450" s="23" t="s">
        <v>253</v>
      </c>
      <c r="R450" s="27"/>
      <c r="S450" s="27"/>
      <c r="T450" s="27"/>
      <c r="U450" s="23" t="s">
        <v>48</v>
      </c>
      <c r="V450" s="23" t="s">
        <v>104</v>
      </c>
      <c r="W450" s="23" t="s">
        <v>3318</v>
      </c>
      <c r="X450" s="27"/>
      <c r="Y450" s="27"/>
      <c r="Z450" s="27"/>
      <c r="AA450" s="27"/>
      <c r="AB450" s="258" t="s">
        <v>3197</v>
      </c>
      <c r="AC450" s="76" t="s">
        <v>247</v>
      </c>
      <c r="AD450" s="27"/>
      <c r="AE450" s="76" t="s">
        <v>1621</v>
      </c>
    </row>
    <row r="451">
      <c r="A451" s="45" t="s">
        <v>407</v>
      </c>
      <c r="B451" s="45" t="s">
        <v>19</v>
      </c>
      <c r="C451" s="45" t="s">
        <v>3323</v>
      </c>
      <c r="D451" s="45" t="s">
        <v>3324</v>
      </c>
      <c r="E451" s="45" t="s">
        <v>3325</v>
      </c>
      <c r="F451" s="48">
        <v>637.0</v>
      </c>
      <c r="G451" s="240">
        <v>600392.0</v>
      </c>
      <c r="H451" s="45" t="s">
        <v>139</v>
      </c>
      <c r="I451" s="45" t="s">
        <v>226</v>
      </c>
      <c r="J451" s="51"/>
      <c r="K451" s="55">
        <v>45428.0</v>
      </c>
      <c r="L451" s="242" t="str">
        <f t="shared" si="14"/>
        <v>2024</v>
      </c>
      <c r="M451" s="55">
        <v>46086.0</v>
      </c>
      <c r="N451" s="55" t="str">
        <f t="shared" si="15"/>
        <v>2026</v>
      </c>
      <c r="O451" s="58">
        <f t="shared" si="11"/>
        <v>658</v>
      </c>
      <c r="P451" s="58">
        <f t="shared" si="4"/>
        <v>1</v>
      </c>
      <c r="Q451" s="45" t="s">
        <v>253</v>
      </c>
      <c r="R451" s="51"/>
      <c r="S451" s="51"/>
      <c r="T451" s="51"/>
      <c r="U451" s="45" t="s">
        <v>48</v>
      </c>
      <c r="V451" s="45" t="s">
        <v>104</v>
      </c>
      <c r="W451" s="45" t="s">
        <v>4627</v>
      </c>
      <c r="X451" s="45" t="s">
        <v>4627</v>
      </c>
      <c r="Y451" s="51"/>
      <c r="Z451" s="51"/>
      <c r="AA451" s="51"/>
      <c r="AB451" s="203"/>
      <c r="AC451" s="64" t="s">
        <v>354</v>
      </c>
      <c r="AD451" s="64" t="s">
        <v>14</v>
      </c>
      <c r="AE451" s="64" t="s">
        <v>3311</v>
      </c>
    </row>
    <row r="452">
      <c r="A452" s="23" t="s">
        <v>169</v>
      </c>
      <c r="B452" s="23" t="s">
        <v>67</v>
      </c>
      <c r="C452" s="23" t="s">
        <v>634</v>
      </c>
      <c r="D452" s="23" t="s">
        <v>3342</v>
      </c>
      <c r="E452" s="23" t="s">
        <v>3343</v>
      </c>
      <c r="F452" s="26">
        <v>638.0</v>
      </c>
      <c r="G452" s="237">
        <v>600395.0</v>
      </c>
      <c r="H452" s="23" t="s">
        <v>464</v>
      </c>
      <c r="I452" s="23" t="s">
        <v>226</v>
      </c>
      <c r="J452" s="27"/>
      <c r="K452" s="29">
        <v>45429.0</v>
      </c>
      <c r="L452" s="239" t="str">
        <f t="shared" si="14"/>
        <v>2024</v>
      </c>
      <c r="M452" s="29">
        <v>45794.0</v>
      </c>
      <c r="N452" s="29" t="str">
        <f t="shared" si="15"/>
        <v>2025</v>
      </c>
      <c r="O452" s="36">
        <f t="shared" si="11"/>
        <v>365</v>
      </c>
      <c r="P452" s="36">
        <f t="shared" si="4"/>
        <v>1</v>
      </c>
      <c r="Q452" s="23" t="s">
        <v>150</v>
      </c>
      <c r="R452" s="27"/>
      <c r="S452" s="27"/>
      <c r="T452" s="27"/>
      <c r="U452" s="23" t="s">
        <v>48</v>
      </c>
      <c r="V452" s="23" t="s">
        <v>104</v>
      </c>
      <c r="W452" s="23" t="s">
        <v>3344</v>
      </c>
      <c r="X452" s="27"/>
      <c r="Y452" s="27"/>
      <c r="Z452" s="27"/>
      <c r="AA452" s="27"/>
      <c r="AB452" s="189"/>
      <c r="AC452" s="76" t="s">
        <v>247</v>
      </c>
      <c r="AD452" s="27"/>
      <c r="AE452" s="76" t="s">
        <v>1610</v>
      </c>
    </row>
    <row r="453">
      <c r="A453" s="45" t="s">
        <v>169</v>
      </c>
      <c r="B453" s="45" t="s">
        <v>19</v>
      </c>
      <c r="C453" s="45" t="s">
        <v>1018</v>
      </c>
      <c r="D453" s="45" t="s">
        <v>3348</v>
      </c>
      <c r="E453" s="45" t="s">
        <v>3349</v>
      </c>
      <c r="F453" s="48">
        <v>641.0</v>
      </c>
      <c r="G453" s="240">
        <v>600399.0</v>
      </c>
      <c r="H453" s="45" t="s">
        <v>464</v>
      </c>
      <c r="I453" s="45" t="s">
        <v>1148</v>
      </c>
      <c r="J453" s="51"/>
      <c r="K453" s="55">
        <v>45432.0</v>
      </c>
      <c r="L453" s="242" t="str">
        <f t="shared" si="14"/>
        <v>2024</v>
      </c>
      <c r="M453" s="55">
        <v>45797.0</v>
      </c>
      <c r="N453" s="55" t="str">
        <f t="shared" si="15"/>
        <v>2025</v>
      </c>
      <c r="O453" s="58">
        <f t="shared" si="11"/>
        <v>365</v>
      </c>
      <c r="P453" s="58">
        <f t="shared" si="4"/>
        <v>1</v>
      </c>
      <c r="Q453" s="45" t="s">
        <v>150</v>
      </c>
      <c r="R453" s="51"/>
      <c r="S453" s="51"/>
      <c r="T453" s="51"/>
      <c r="U453" s="45" t="s">
        <v>48</v>
      </c>
      <c r="V453" s="45" t="s">
        <v>4633</v>
      </c>
      <c r="W453" s="45" t="s">
        <v>3351</v>
      </c>
      <c r="X453" s="51"/>
      <c r="Y453" s="51"/>
      <c r="Z453" s="51"/>
      <c r="AA453" s="51"/>
      <c r="AB453" s="203"/>
      <c r="AC453" s="51"/>
      <c r="AD453" s="64" t="s">
        <v>123</v>
      </c>
      <c r="AE453" s="64" t="s">
        <v>4500</v>
      </c>
    </row>
    <row r="454">
      <c r="A454" s="23" t="s">
        <v>169</v>
      </c>
      <c r="B454" s="23" t="s">
        <v>67</v>
      </c>
      <c r="C454" s="23" t="s">
        <v>3370</v>
      </c>
      <c r="D454" s="23" t="s">
        <v>3371</v>
      </c>
      <c r="E454" s="23" t="s">
        <v>3373</v>
      </c>
      <c r="F454" s="26">
        <v>643.0</v>
      </c>
      <c r="G454" s="237">
        <v>600400.0</v>
      </c>
      <c r="H454" s="23" t="s">
        <v>266</v>
      </c>
      <c r="I454" s="23" t="s">
        <v>226</v>
      </c>
      <c r="J454" s="27"/>
      <c r="K454" s="29">
        <v>45434.0</v>
      </c>
      <c r="L454" s="239" t="str">
        <f t="shared" si="14"/>
        <v>2024</v>
      </c>
      <c r="M454" s="29">
        <v>45799.0</v>
      </c>
      <c r="N454" s="29" t="str">
        <f t="shared" si="15"/>
        <v>2025</v>
      </c>
      <c r="O454" s="36">
        <f t="shared" si="11"/>
        <v>365</v>
      </c>
      <c r="P454" s="36">
        <f t="shared" si="4"/>
        <v>1</v>
      </c>
      <c r="Q454" s="23" t="s">
        <v>150</v>
      </c>
      <c r="R454" s="27"/>
      <c r="S454" s="27"/>
      <c r="T454" s="27"/>
      <c r="U454" s="23" t="s">
        <v>48</v>
      </c>
      <c r="V454" s="23" t="s">
        <v>104</v>
      </c>
      <c r="W454" s="23" t="s">
        <v>3383</v>
      </c>
      <c r="X454" s="27"/>
      <c r="Y454" s="27"/>
      <c r="Z454" s="27"/>
      <c r="AA454" s="27"/>
      <c r="AB454" s="189"/>
      <c r="AC454" s="76" t="s">
        <v>1873</v>
      </c>
      <c r="AD454" s="27"/>
      <c r="AE454" s="76" t="s">
        <v>3976</v>
      </c>
    </row>
    <row r="455">
      <c r="A455" s="45" t="s">
        <v>169</v>
      </c>
      <c r="B455" s="45" t="s">
        <v>19</v>
      </c>
      <c r="C455" s="45" t="s">
        <v>207</v>
      </c>
      <c r="D455" s="45" t="s">
        <v>3391</v>
      </c>
      <c r="E455" s="45" t="s">
        <v>3392</v>
      </c>
      <c r="F455" s="48">
        <v>644.0</v>
      </c>
      <c r="G455" s="240">
        <v>600423.0</v>
      </c>
      <c r="H455" s="45" t="s">
        <v>464</v>
      </c>
      <c r="I455" s="45" t="s">
        <v>1148</v>
      </c>
      <c r="J455" s="51"/>
      <c r="K455" s="55">
        <v>45436.0</v>
      </c>
      <c r="L455" s="242" t="str">
        <f t="shared" si="14"/>
        <v>2024</v>
      </c>
      <c r="M455" s="55">
        <v>46094.0</v>
      </c>
      <c r="N455" s="55" t="str">
        <f t="shared" si="15"/>
        <v>2026</v>
      </c>
      <c r="O455" s="58">
        <f t="shared" si="11"/>
        <v>658</v>
      </c>
      <c r="P455" s="58">
        <f t="shared" si="4"/>
        <v>1</v>
      </c>
      <c r="Q455" s="45" t="s">
        <v>150</v>
      </c>
      <c r="R455" s="51"/>
      <c r="S455" s="51"/>
      <c r="T455" s="51"/>
      <c r="U455" s="45" t="s">
        <v>48</v>
      </c>
      <c r="V455" s="45" t="s">
        <v>104</v>
      </c>
      <c r="W455" s="45" t="s">
        <v>4640</v>
      </c>
      <c r="X455" s="51"/>
      <c r="Y455" s="51"/>
      <c r="Z455" s="51"/>
      <c r="AA455" s="51"/>
      <c r="AB455" s="203"/>
      <c r="AC455" s="64" t="s">
        <v>777</v>
      </c>
      <c r="AD455" s="64" t="s">
        <v>123</v>
      </c>
      <c r="AE455" s="64" t="s">
        <v>1501</v>
      </c>
    </row>
    <row r="456">
      <c r="A456" s="23" t="s">
        <v>169</v>
      </c>
      <c r="B456" s="23" t="s">
        <v>67</v>
      </c>
      <c r="C456" s="23" t="s">
        <v>3449</v>
      </c>
      <c r="D456" s="23" t="s">
        <v>3450</v>
      </c>
      <c r="E456" s="23" t="s">
        <v>3453</v>
      </c>
      <c r="F456" s="26">
        <v>648.0</v>
      </c>
      <c r="G456" s="244"/>
      <c r="H456" s="23" t="s">
        <v>187</v>
      </c>
      <c r="I456" s="88"/>
      <c r="J456" s="27"/>
      <c r="K456" s="29">
        <v>45441.0</v>
      </c>
      <c r="L456" s="239" t="str">
        <f t="shared" si="14"/>
        <v>2024</v>
      </c>
      <c r="M456" s="29">
        <v>45472.0</v>
      </c>
      <c r="N456" s="29" t="str">
        <f t="shared" si="15"/>
        <v>2024</v>
      </c>
      <c r="O456" s="36">
        <f t="shared" si="11"/>
        <v>31</v>
      </c>
      <c r="P456" s="36">
        <f t="shared" si="4"/>
        <v>0</v>
      </c>
      <c r="Q456" s="23" t="s">
        <v>150</v>
      </c>
      <c r="R456" s="27"/>
      <c r="S456" s="27"/>
      <c r="T456" s="27"/>
      <c r="U456" s="27"/>
      <c r="V456" s="27"/>
      <c r="W456" s="23" t="s">
        <v>3465</v>
      </c>
      <c r="X456" s="27"/>
      <c r="Y456" s="27"/>
      <c r="Z456" s="27"/>
      <c r="AA456" s="27"/>
      <c r="AB456" s="189"/>
      <c r="AC456" s="27"/>
      <c r="AD456" s="27"/>
      <c r="AE456" s="27"/>
    </row>
    <row r="457">
      <c r="A457" s="45" t="s">
        <v>169</v>
      </c>
      <c r="B457" s="45" t="s">
        <v>67</v>
      </c>
      <c r="C457" s="45" t="s">
        <v>3472</v>
      </c>
      <c r="D457" s="45" t="s">
        <v>3473</v>
      </c>
      <c r="E457" s="45" t="s">
        <v>3475</v>
      </c>
      <c r="F457" s="48">
        <v>649.0</v>
      </c>
      <c r="G457" s="240">
        <v>600405.0</v>
      </c>
      <c r="H457" s="45" t="s">
        <v>139</v>
      </c>
      <c r="I457" s="45" t="s">
        <v>1148</v>
      </c>
      <c r="J457" s="51"/>
      <c r="K457" s="55">
        <v>45442.0</v>
      </c>
      <c r="L457" s="242" t="str">
        <f t="shared" si="14"/>
        <v>2024</v>
      </c>
      <c r="M457" s="55">
        <v>45807.0</v>
      </c>
      <c r="N457" s="55" t="str">
        <f t="shared" si="15"/>
        <v>2025</v>
      </c>
      <c r="O457" s="58">
        <f t="shared" si="11"/>
        <v>365</v>
      </c>
      <c r="P457" s="58">
        <f t="shared" si="4"/>
        <v>1</v>
      </c>
      <c r="Q457" s="45" t="s">
        <v>150</v>
      </c>
      <c r="R457" s="51"/>
      <c r="S457" s="51"/>
      <c r="T457" s="51"/>
      <c r="U457" s="45" t="s">
        <v>48</v>
      </c>
      <c r="V457" s="45" t="s">
        <v>4646</v>
      </c>
      <c r="W457" s="45" t="s">
        <v>3487</v>
      </c>
      <c r="X457" s="45" t="s">
        <v>3487</v>
      </c>
      <c r="Y457" s="51"/>
      <c r="Z457" s="51"/>
      <c r="AA457" s="51"/>
      <c r="AB457" s="203"/>
      <c r="AC457" s="64" t="s">
        <v>247</v>
      </c>
      <c r="AD457" s="64" t="s">
        <v>14</v>
      </c>
      <c r="AE457" s="64" t="s">
        <v>1172</v>
      </c>
    </row>
    <row r="458">
      <c r="A458" s="23" t="s">
        <v>169</v>
      </c>
      <c r="B458" s="23" t="s">
        <v>67</v>
      </c>
      <c r="C458" s="23" t="s">
        <v>3537</v>
      </c>
      <c r="D458" s="23" t="s">
        <v>3538</v>
      </c>
      <c r="E458" s="23" t="s">
        <v>3539</v>
      </c>
      <c r="F458" s="26">
        <v>654.0</v>
      </c>
      <c r="G458" s="237">
        <v>600412.0</v>
      </c>
      <c r="H458" s="23" t="s">
        <v>139</v>
      </c>
      <c r="I458" s="23" t="s">
        <v>1148</v>
      </c>
      <c r="J458" s="23" t="s">
        <v>4649</v>
      </c>
      <c r="K458" s="29">
        <v>45450.0</v>
      </c>
      <c r="L458" s="239" t="str">
        <f t="shared" si="14"/>
        <v>2024</v>
      </c>
      <c r="M458" s="29">
        <v>45815.0</v>
      </c>
      <c r="N458" s="29" t="str">
        <f t="shared" si="15"/>
        <v>2025</v>
      </c>
      <c r="O458" s="36">
        <f t="shared" si="11"/>
        <v>365</v>
      </c>
      <c r="P458" s="36">
        <f t="shared" si="4"/>
        <v>1</v>
      </c>
      <c r="Q458" s="23" t="s">
        <v>150</v>
      </c>
      <c r="R458" s="27"/>
      <c r="S458" s="27"/>
      <c r="T458" s="27"/>
      <c r="U458" s="23" t="s">
        <v>48</v>
      </c>
      <c r="V458" s="23" t="s">
        <v>104</v>
      </c>
      <c r="W458" s="23" t="s">
        <v>3545</v>
      </c>
      <c r="X458" s="23" t="s">
        <v>3545</v>
      </c>
      <c r="Y458" s="27"/>
      <c r="Z458" s="27"/>
      <c r="AA458" s="27"/>
      <c r="AB458" s="189"/>
      <c r="AC458" s="76" t="s">
        <v>247</v>
      </c>
      <c r="AD458" s="76" t="s">
        <v>261</v>
      </c>
      <c r="AE458" s="76" t="s">
        <v>1610</v>
      </c>
    </row>
    <row r="459">
      <c r="A459" s="45" t="s">
        <v>169</v>
      </c>
      <c r="B459" s="45" t="s">
        <v>19</v>
      </c>
      <c r="C459" s="45" t="s">
        <v>3449</v>
      </c>
      <c r="D459" s="45" t="s">
        <v>3550</v>
      </c>
      <c r="E459" s="45" t="s">
        <v>3551</v>
      </c>
      <c r="F459" s="48">
        <v>655.0</v>
      </c>
      <c r="G459" s="240">
        <v>600415.0</v>
      </c>
      <c r="H459" s="45" t="s">
        <v>139</v>
      </c>
      <c r="I459" s="45" t="s">
        <v>84</v>
      </c>
      <c r="J459" s="45" t="s">
        <v>243</v>
      </c>
      <c r="K459" s="55">
        <v>45453.0</v>
      </c>
      <c r="L459" s="242" t="str">
        <f t="shared" si="14"/>
        <v>2024</v>
      </c>
      <c r="M459" s="55">
        <v>46023.0</v>
      </c>
      <c r="N459" s="55" t="str">
        <f t="shared" si="15"/>
        <v>2026</v>
      </c>
      <c r="O459" s="58">
        <f t="shared" si="11"/>
        <v>570</v>
      </c>
      <c r="P459" s="58">
        <f t="shared" si="4"/>
        <v>1</v>
      </c>
      <c r="Q459" s="45" t="s">
        <v>253</v>
      </c>
      <c r="R459" s="51"/>
      <c r="S459" s="51"/>
      <c r="T459" s="51"/>
      <c r="U459" s="45" t="s">
        <v>48</v>
      </c>
      <c r="V459" s="45" t="s">
        <v>104</v>
      </c>
      <c r="W459" s="45" t="s">
        <v>3560</v>
      </c>
      <c r="X459" s="51"/>
      <c r="Y459" s="51"/>
      <c r="Z459" s="51"/>
      <c r="AA459" s="51"/>
      <c r="AB459" s="203"/>
      <c r="AC459" s="64" t="s">
        <v>247</v>
      </c>
      <c r="AD459" s="51"/>
      <c r="AE459" s="64" t="s">
        <v>1610</v>
      </c>
    </row>
    <row r="460">
      <c r="A460" s="23" t="s">
        <v>169</v>
      </c>
      <c r="B460" s="23" t="s">
        <v>19</v>
      </c>
      <c r="C460" s="23" t="s">
        <v>985</v>
      </c>
      <c r="D460" s="23" t="s">
        <v>3620</v>
      </c>
      <c r="E460" s="23" t="s">
        <v>3621</v>
      </c>
      <c r="F460" s="26">
        <v>658.0</v>
      </c>
      <c r="G460" s="237">
        <v>600424.0</v>
      </c>
      <c r="H460" s="23" t="s">
        <v>464</v>
      </c>
      <c r="I460" s="23" t="s">
        <v>4304</v>
      </c>
      <c r="J460" s="23" t="s">
        <v>4657</v>
      </c>
      <c r="K460" s="29">
        <v>45456.0</v>
      </c>
      <c r="L460" s="239" t="str">
        <f t="shared" si="14"/>
        <v>2024</v>
      </c>
      <c r="M460" s="29">
        <v>46004.0</v>
      </c>
      <c r="N460" s="29" t="str">
        <f t="shared" si="15"/>
        <v>2025</v>
      </c>
      <c r="O460" s="36">
        <f t="shared" si="11"/>
        <v>548</v>
      </c>
      <c r="P460" s="36">
        <f t="shared" si="4"/>
        <v>1</v>
      </c>
      <c r="Q460" s="23" t="s">
        <v>253</v>
      </c>
      <c r="R460" s="27"/>
      <c r="S460" s="27"/>
      <c r="T460" s="27"/>
      <c r="U460" s="23" t="s">
        <v>48</v>
      </c>
      <c r="V460" s="23" t="s">
        <v>104</v>
      </c>
      <c r="W460" s="144" t="s">
        <v>3628</v>
      </c>
      <c r="X460" s="144" t="s">
        <v>3628</v>
      </c>
      <c r="Y460" s="27"/>
      <c r="Z460" s="27"/>
      <c r="AA460" s="27"/>
      <c r="AB460" s="189"/>
      <c r="AC460" s="76" t="s">
        <v>247</v>
      </c>
      <c r="AD460" s="76" t="s">
        <v>123</v>
      </c>
      <c r="AE460" s="76" t="s">
        <v>1621</v>
      </c>
    </row>
    <row r="461">
      <c r="A461" s="45" t="s">
        <v>169</v>
      </c>
      <c r="B461" s="45" t="s">
        <v>19</v>
      </c>
      <c r="C461" s="45" t="s">
        <v>841</v>
      </c>
      <c r="D461" s="45" t="s">
        <v>3632</v>
      </c>
      <c r="E461" s="45" t="s">
        <v>3635</v>
      </c>
      <c r="F461" s="48">
        <v>660.0</v>
      </c>
      <c r="G461" s="240">
        <v>600429.0</v>
      </c>
      <c r="H461" s="45" t="s">
        <v>266</v>
      </c>
      <c r="I461" s="45" t="s">
        <v>226</v>
      </c>
      <c r="J461" s="51"/>
      <c r="K461" s="55">
        <v>45457.0</v>
      </c>
      <c r="L461" s="242" t="str">
        <f t="shared" si="14"/>
        <v>2024</v>
      </c>
      <c r="M461" s="55">
        <v>45822.0</v>
      </c>
      <c r="N461" s="55" t="str">
        <f t="shared" si="15"/>
        <v>2025</v>
      </c>
      <c r="O461" s="58">
        <f t="shared" si="11"/>
        <v>365</v>
      </c>
      <c r="P461" s="58">
        <f t="shared" si="4"/>
        <v>1</v>
      </c>
      <c r="Q461" s="45" t="s">
        <v>150</v>
      </c>
      <c r="R461" s="51"/>
      <c r="S461" s="51"/>
      <c r="T461" s="51"/>
      <c r="U461" s="45" t="s">
        <v>48</v>
      </c>
      <c r="V461" s="45" t="s">
        <v>104</v>
      </c>
      <c r="W461" s="45" t="s">
        <v>3641</v>
      </c>
      <c r="X461" s="51"/>
      <c r="Y461" s="51"/>
      <c r="Z461" s="51"/>
      <c r="AA461" s="51"/>
      <c r="AB461" s="203"/>
      <c r="AC461" s="64" t="s">
        <v>247</v>
      </c>
      <c r="AD461" s="64" t="s">
        <v>123</v>
      </c>
      <c r="AE461" s="64" t="s">
        <v>4500</v>
      </c>
    </row>
    <row r="462">
      <c r="A462" s="23" t="s">
        <v>169</v>
      </c>
      <c r="B462" s="23" t="s">
        <v>67</v>
      </c>
      <c r="C462" s="23" t="s">
        <v>3663</v>
      </c>
      <c r="D462" s="23" t="s">
        <v>3665</v>
      </c>
      <c r="E462" s="23" t="s">
        <v>3666</v>
      </c>
      <c r="F462" s="26">
        <v>662.0</v>
      </c>
      <c r="G462" s="237">
        <v>600430.0</v>
      </c>
      <c r="H462" s="23" t="s">
        <v>266</v>
      </c>
      <c r="I462" s="23" t="s">
        <v>226</v>
      </c>
      <c r="J462" s="27"/>
      <c r="K462" s="29">
        <v>45461.0</v>
      </c>
      <c r="L462" s="239" t="str">
        <f t="shared" si="14"/>
        <v>2024</v>
      </c>
      <c r="M462" s="29">
        <v>45826.0</v>
      </c>
      <c r="N462" s="29" t="str">
        <f t="shared" si="15"/>
        <v>2025</v>
      </c>
      <c r="O462" s="36">
        <f t="shared" si="11"/>
        <v>365</v>
      </c>
      <c r="P462" s="36">
        <f t="shared" si="4"/>
        <v>1</v>
      </c>
      <c r="Q462" s="23" t="s">
        <v>150</v>
      </c>
      <c r="R462" s="27"/>
      <c r="S462" s="27"/>
      <c r="T462" s="27"/>
      <c r="U462" s="23" t="s">
        <v>48</v>
      </c>
      <c r="V462" s="23" t="s">
        <v>4665</v>
      </c>
      <c r="W462" s="23" t="s">
        <v>3672</v>
      </c>
      <c r="X462" s="27"/>
      <c r="Y462" s="27"/>
      <c r="Z462" s="27"/>
      <c r="AA462" s="27"/>
      <c r="AB462" s="189"/>
      <c r="AC462" s="76" t="s">
        <v>1873</v>
      </c>
      <c r="AD462" s="27"/>
      <c r="AE462" s="76" t="s">
        <v>1621</v>
      </c>
    </row>
    <row r="463">
      <c r="A463" s="45" t="s">
        <v>169</v>
      </c>
      <c r="B463" s="45" t="s">
        <v>19</v>
      </c>
      <c r="C463" s="45" t="s">
        <v>4667</v>
      </c>
      <c r="D463" s="45" t="s">
        <v>3705</v>
      </c>
      <c r="E463" s="45" t="s">
        <v>3706</v>
      </c>
      <c r="F463" s="48">
        <v>664.0</v>
      </c>
      <c r="G463" s="240">
        <v>600434.0</v>
      </c>
      <c r="H463" s="45" t="s">
        <v>464</v>
      </c>
      <c r="I463" s="45" t="s">
        <v>226</v>
      </c>
      <c r="J463" s="51"/>
      <c r="K463" s="55">
        <v>45468.0</v>
      </c>
      <c r="L463" s="242" t="str">
        <f t="shared" si="14"/>
        <v>2024</v>
      </c>
      <c r="M463" s="55">
        <v>46112.0</v>
      </c>
      <c r="N463" s="55" t="str">
        <f t="shared" si="15"/>
        <v>2026</v>
      </c>
      <c r="O463" s="58">
        <f t="shared" si="11"/>
        <v>644</v>
      </c>
      <c r="P463" s="58">
        <f t="shared" si="4"/>
        <v>1</v>
      </c>
      <c r="Q463" s="45" t="s">
        <v>150</v>
      </c>
      <c r="R463" s="51"/>
      <c r="S463" s="51"/>
      <c r="T463" s="51"/>
      <c r="U463" s="45" t="s">
        <v>48</v>
      </c>
      <c r="V463" s="45" t="s">
        <v>104</v>
      </c>
      <c r="W463" s="45" t="s">
        <v>3713</v>
      </c>
      <c r="X463" s="51"/>
      <c r="Y463" s="51"/>
      <c r="Z463" s="51"/>
      <c r="AA463" s="51"/>
      <c r="AB463" s="203"/>
      <c r="AC463" s="51"/>
      <c r="AD463" s="64" t="s">
        <v>123</v>
      </c>
      <c r="AE463" s="64" t="s">
        <v>4671</v>
      </c>
    </row>
    <row r="464">
      <c r="A464" s="23" t="s">
        <v>169</v>
      </c>
      <c r="B464" s="23" t="s">
        <v>67</v>
      </c>
      <c r="C464" s="23" t="s">
        <v>3690</v>
      </c>
      <c r="D464" s="23" t="s">
        <v>3691</v>
      </c>
      <c r="E464" s="23" t="s">
        <v>3692</v>
      </c>
      <c r="F464" s="26">
        <v>665.0</v>
      </c>
      <c r="G464" s="237">
        <v>600432.0</v>
      </c>
      <c r="H464" s="23" t="s">
        <v>139</v>
      </c>
      <c r="I464" s="23" t="s">
        <v>226</v>
      </c>
      <c r="J464" s="23" t="s">
        <v>4676</v>
      </c>
      <c r="K464" s="29">
        <v>45468.0</v>
      </c>
      <c r="L464" s="239" t="str">
        <f t="shared" si="14"/>
        <v>2024</v>
      </c>
      <c r="M464" s="29">
        <v>45833.0</v>
      </c>
      <c r="N464" s="29" t="str">
        <f t="shared" si="15"/>
        <v>2025</v>
      </c>
      <c r="O464" s="36">
        <f t="shared" si="11"/>
        <v>365</v>
      </c>
      <c r="P464" s="36">
        <f t="shared" si="4"/>
        <v>1</v>
      </c>
      <c r="Q464" s="23" t="s">
        <v>150</v>
      </c>
      <c r="R464" s="27"/>
      <c r="S464" s="27"/>
      <c r="T464" s="27"/>
      <c r="U464" s="23" t="s">
        <v>48</v>
      </c>
      <c r="V464" s="23" t="s">
        <v>708</v>
      </c>
      <c r="W464" s="23" t="s">
        <v>3699</v>
      </c>
      <c r="X464" s="23" t="s">
        <v>3699</v>
      </c>
      <c r="Y464" s="27"/>
      <c r="Z464" s="27"/>
      <c r="AA464" s="27"/>
      <c r="AB464" s="189"/>
      <c r="AC464" s="76" t="s">
        <v>820</v>
      </c>
      <c r="AD464" s="76" t="s">
        <v>4678</v>
      </c>
      <c r="AE464" s="76" t="s">
        <v>2504</v>
      </c>
    </row>
    <row r="465">
      <c r="A465" s="45" t="s">
        <v>169</v>
      </c>
      <c r="B465" s="45" t="s">
        <v>67</v>
      </c>
      <c r="C465" s="45" t="s">
        <v>2498</v>
      </c>
      <c r="D465" s="45" t="s">
        <v>2499</v>
      </c>
      <c r="E465" s="45" t="s">
        <v>2500</v>
      </c>
      <c r="F465" s="48">
        <v>666.0</v>
      </c>
      <c r="G465" s="240">
        <v>600435.0</v>
      </c>
      <c r="H465" s="45" t="s">
        <v>82</v>
      </c>
      <c r="I465" s="45" t="s">
        <v>84</v>
      </c>
      <c r="J465" s="51"/>
      <c r="K465" s="55">
        <v>45468.0</v>
      </c>
      <c r="L465" s="242" t="str">
        <f t="shared" si="14"/>
        <v>2024</v>
      </c>
      <c r="M465" s="55">
        <v>45478.0</v>
      </c>
      <c r="N465" s="55" t="str">
        <f t="shared" si="15"/>
        <v>2024</v>
      </c>
      <c r="O465" s="58">
        <f t="shared" si="11"/>
        <v>10</v>
      </c>
      <c r="P465" s="58">
        <f t="shared" si="4"/>
        <v>0</v>
      </c>
      <c r="Q465" s="45" t="s">
        <v>150</v>
      </c>
      <c r="R465" s="51"/>
      <c r="S465" s="51"/>
      <c r="T465" s="45" t="s">
        <v>84</v>
      </c>
      <c r="U465" s="45" t="s">
        <v>48</v>
      </c>
      <c r="V465" s="45" t="s">
        <v>106</v>
      </c>
      <c r="W465" s="45" t="s">
        <v>2502</v>
      </c>
      <c r="X465" s="51"/>
      <c r="Y465" s="51"/>
      <c r="Z465" s="51"/>
      <c r="AA465" s="45" t="s">
        <v>2503</v>
      </c>
      <c r="AB465" s="203"/>
      <c r="AC465" s="64" t="s">
        <v>777</v>
      </c>
      <c r="AD465" s="51"/>
      <c r="AE465" s="64" t="s">
        <v>2504</v>
      </c>
    </row>
    <row r="466">
      <c r="A466" s="23" t="s">
        <v>407</v>
      </c>
      <c r="B466" s="23" t="s">
        <v>19</v>
      </c>
      <c r="C466" s="23" t="s">
        <v>97</v>
      </c>
      <c r="D466" s="23" t="s">
        <v>3731</v>
      </c>
      <c r="E466" s="23" t="s">
        <v>3732</v>
      </c>
      <c r="F466" s="26">
        <v>667.0</v>
      </c>
      <c r="G466" s="237">
        <v>600389.0</v>
      </c>
      <c r="H466" s="23" t="s">
        <v>84</v>
      </c>
      <c r="I466" s="23" t="s">
        <v>84</v>
      </c>
      <c r="J466" s="27"/>
      <c r="K466" s="29">
        <v>45469.0</v>
      </c>
      <c r="L466" s="239" t="str">
        <f t="shared" si="14"/>
        <v>2024</v>
      </c>
      <c r="M466" s="29">
        <v>45970.0</v>
      </c>
      <c r="N466" s="29" t="str">
        <f t="shared" si="15"/>
        <v>2025</v>
      </c>
      <c r="O466" s="36">
        <f t="shared" si="11"/>
        <v>501</v>
      </c>
      <c r="P466" s="36">
        <f t="shared" si="4"/>
        <v>1</v>
      </c>
      <c r="Q466" s="23" t="s">
        <v>253</v>
      </c>
      <c r="R466" s="27"/>
      <c r="S466" s="27"/>
      <c r="T466" s="23" t="s">
        <v>84</v>
      </c>
      <c r="U466" s="23" t="s">
        <v>48</v>
      </c>
      <c r="V466" s="23" t="s">
        <v>104</v>
      </c>
      <c r="W466" s="23" t="s">
        <v>3739</v>
      </c>
      <c r="X466" s="27"/>
      <c r="Y466" s="27"/>
      <c r="Z466" s="27"/>
      <c r="AA466" s="27"/>
      <c r="AB466" s="189"/>
      <c r="AC466" s="27"/>
      <c r="AD466" s="76" t="s">
        <v>2127</v>
      </c>
      <c r="AE466" s="76" t="s">
        <v>3311</v>
      </c>
    </row>
    <row r="467">
      <c r="A467" s="45" t="s">
        <v>169</v>
      </c>
      <c r="B467" s="45" t="s">
        <v>67</v>
      </c>
      <c r="C467" s="45" t="s">
        <v>3771</v>
      </c>
      <c r="D467" s="45" t="s">
        <v>3772</v>
      </c>
      <c r="E467" s="45" t="s">
        <v>3773</v>
      </c>
      <c r="F467" s="48">
        <v>670.0</v>
      </c>
      <c r="G467" s="240">
        <v>600439.0</v>
      </c>
      <c r="H467" s="45" t="s">
        <v>139</v>
      </c>
      <c r="I467" s="45" t="s">
        <v>1148</v>
      </c>
      <c r="J467" s="45" t="s">
        <v>740</v>
      </c>
      <c r="K467" s="55">
        <v>45474.0</v>
      </c>
      <c r="L467" s="242" t="str">
        <f t="shared" si="14"/>
        <v>2024</v>
      </c>
      <c r="M467" s="55">
        <v>45566.0</v>
      </c>
      <c r="N467" s="55" t="str">
        <f t="shared" si="15"/>
        <v>2024</v>
      </c>
      <c r="O467" s="58">
        <f t="shared" si="11"/>
        <v>92</v>
      </c>
      <c r="P467" s="58">
        <f t="shared" si="4"/>
        <v>0</v>
      </c>
      <c r="Q467" s="45" t="s">
        <v>150</v>
      </c>
      <c r="R467" s="51"/>
      <c r="S467" s="51"/>
      <c r="T467" s="45" t="s">
        <v>146</v>
      </c>
      <c r="U467" s="45" t="s">
        <v>48</v>
      </c>
      <c r="V467" s="45" t="s">
        <v>104</v>
      </c>
      <c r="W467" s="45" t="s">
        <v>3780</v>
      </c>
      <c r="X467" s="51"/>
      <c r="Y467" s="51"/>
      <c r="Z467" s="51"/>
      <c r="AA467" s="51"/>
      <c r="AB467" s="203"/>
      <c r="AC467" s="64" t="s">
        <v>247</v>
      </c>
      <c r="AD467" s="64" t="s">
        <v>261</v>
      </c>
      <c r="AE467" s="64" t="s">
        <v>1610</v>
      </c>
    </row>
    <row r="468">
      <c r="A468" s="23" t="s">
        <v>169</v>
      </c>
      <c r="B468" s="23" t="s">
        <v>67</v>
      </c>
      <c r="C468" s="23" t="s">
        <v>4485</v>
      </c>
      <c r="D468" s="23" t="s">
        <v>4609</v>
      </c>
      <c r="E468" s="23" t="s">
        <v>4610</v>
      </c>
      <c r="F468" s="26">
        <v>812.0</v>
      </c>
      <c r="G468" s="237">
        <v>600626.0</v>
      </c>
      <c r="H468" s="23" t="s">
        <v>84</v>
      </c>
      <c r="I468" s="23" t="s">
        <v>84</v>
      </c>
      <c r="J468" s="23" t="s">
        <v>2442</v>
      </c>
      <c r="K468" s="29">
        <v>45784.0</v>
      </c>
      <c r="L468" s="239" t="str">
        <f t="shared" si="14"/>
        <v>2025</v>
      </c>
      <c r="M468" s="29">
        <v>45838.0</v>
      </c>
      <c r="N468" s="29" t="str">
        <f t="shared" si="15"/>
        <v>2025</v>
      </c>
      <c r="O468" s="36">
        <f t="shared" si="11"/>
        <v>54</v>
      </c>
      <c r="P468" s="36">
        <f t="shared" si="4"/>
        <v>0</v>
      </c>
      <c r="Q468" s="23" t="s">
        <v>150</v>
      </c>
      <c r="R468" s="27"/>
      <c r="S468" s="23" t="s">
        <v>113</v>
      </c>
      <c r="T468" s="23" t="s">
        <v>84</v>
      </c>
      <c r="U468" s="23" t="s">
        <v>48</v>
      </c>
      <c r="V468" s="23" t="s">
        <v>104</v>
      </c>
      <c r="W468" s="23" t="s">
        <v>4611</v>
      </c>
      <c r="X468" s="23" t="s">
        <v>4611</v>
      </c>
      <c r="Y468" s="27"/>
      <c r="Z468" s="27"/>
      <c r="AA468" s="27"/>
      <c r="AB468" s="189"/>
      <c r="AC468" s="76" t="s">
        <v>247</v>
      </c>
      <c r="AD468" s="27"/>
      <c r="AE468" s="76" t="s">
        <v>4005</v>
      </c>
    </row>
    <row r="469">
      <c r="A469" s="45" t="s">
        <v>407</v>
      </c>
      <c r="B469" s="45" t="s">
        <v>19</v>
      </c>
      <c r="C469" s="45" t="s">
        <v>916</v>
      </c>
      <c r="D469" s="45" t="s">
        <v>3857</v>
      </c>
      <c r="E469" s="45" t="s">
        <v>3858</v>
      </c>
      <c r="F469" s="48">
        <v>679.0</v>
      </c>
      <c r="G469" s="240">
        <v>600455.0</v>
      </c>
      <c r="H469" s="45" t="s">
        <v>2676</v>
      </c>
      <c r="I469" s="45" t="s">
        <v>226</v>
      </c>
      <c r="J469" s="45" t="s">
        <v>209</v>
      </c>
      <c r="K469" s="55">
        <v>45491.0</v>
      </c>
      <c r="L469" s="242" t="str">
        <f t="shared" si="14"/>
        <v>2024</v>
      </c>
      <c r="M469" s="55">
        <v>46218.0</v>
      </c>
      <c r="N469" s="55" t="str">
        <f t="shared" si="15"/>
        <v>2026</v>
      </c>
      <c r="O469" s="58">
        <f t="shared" si="11"/>
        <v>727</v>
      </c>
      <c r="P469" s="58">
        <f t="shared" si="4"/>
        <v>1</v>
      </c>
      <c r="Q469" s="45" t="s">
        <v>253</v>
      </c>
      <c r="R469" s="45" t="s">
        <v>4692</v>
      </c>
      <c r="S469" s="51"/>
      <c r="T469" s="45" t="s">
        <v>233</v>
      </c>
      <c r="U469" s="45" t="s">
        <v>48</v>
      </c>
      <c r="V469" s="45" t="s">
        <v>4695</v>
      </c>
      <c r="W469" s="45" t="s">
        <v>3863</v>
      </c>
      <c r="X469" s="45" t="s">
        <v>3863</v>
      </c>
      <c r="Y469" s="51"/>
      <c r="Z469" s="51"/>
      <c r="AA469" s="51"/>
      <c r="AB469" s="203"/>
      <c r="AC469" s="64" t="s">
        <v>777</v>
      </c>
      <c r="AD469" s="64" t="s">
        <v>261</v>
      </c>
      <c r="AE469" s="64" t="s">
        <v>3311</v>
      </c>
    </row>
    <row r="470">
      <c r="A470" s="23" t="s">
        <v>169</v>
      </c>
      <c r="B470" s="23" t="s">
        <v>67</v>
      </c>
      <c r="C470" s="23" t="s">
        <v>3429</v>
      </c>
      <c r="D470" s="23" t="s">
        <v>3430</v>
      </c>
      <c r="E470" s="23" t="s">
        <v>3431</v>
      </c>
      <c r="F470" s="26">
        <v>646.0</v>
      </c>
      <c r="G470" s="237">
        <v>600403.0</v>
      </c>
      <c r="H470" s="23" t="s">
        <v>139</v>
      </c>
      <c r="I470" s="23" t="s">
        <v>226</v>
      </c>
      <c r="J470" s="282" t="s">
        <v>3233</v>
      </c>
      <c r="K470" s="29">
        <v>45440.0</v>
      </c>
      <c r="L470" s="239" t="str">
        <f t="shared" si="14"/>
        <v>2024</v>
      </c>
      <c r="M470" s="29">
        <v>45813.0</v>
      </c>
      <c r="N470" s="29" t="str">
        <f t="shared" si="15"/>
        <v>2025</v>
      </c>
      <c r="O470" s="36">
        <f t="shared" si="11"/>
        <v>373</v>
      </c>
      <c r="P470" s="36">
        <f t="shared" si="4"/>
        <v>1</v>
      </c>
      <c r="Q470" s="23" t="s">
        <v>150</v>
      </c>
      <c r="R470" s="27"/>
      <c r="S470" s="27"/>
      <c r="T470" s="23" t="s">
        <v>233</v>
      </c>
      <c r="U470" s="23" t="s">
        <v>790</v>
      </c>
      <c r="V470" s="23" t="s">
        <v>104</v>
      </c>
      <c r="W470" s="144" t="s">
        <v>3441</v>
      </c>
      <c r="X470" s="27"/>
      <c r="Y470" s="27"/>
      <c r="Z470" s="27"/>
      <c r="AA470" s="27"/>
      <c r="AB470" s="189"/>
      <c r="AC470" s="76" t="s">
        <v>820</v>
      </c>
      <c r="AD470" s="76" t="s">
        <v>261</v>
      </c>
      <c r="AE470" s="76" t="s">
        <v>3443</v>
      </c>
    </row>
    <row r="471">
      <c r="A471" s="45" t="s">
        <v>169</v>
      </c>
      <c r="B471" s="45" t="s">
        <v>67</v>
      </c>
      <c r="C471" s="45" t="s">
        <v>3920</v>
      </c>
      <c r="D471" s="45" t="s">
        <v>3921</v>
      </c>
      <c r="E471" s="45" t="s">
        <v>3922</v>
      </c>
      <c r="F471" s="48">
        <v>338.0</v>
      </c>
      <c r="G471" s="240">
        <v>600464.0</v>
      </c>
      <c r="H471" s="45" t="s">
        <v>464</v>
      </c>
      <c r="I471" s="53"/>
      <c r="J471" s="45" t="s">
        <v>2418</v>
      </c>
      <c r="K471" s="55">
        <v>45504.0</v>
      </c>
      <c r="L471" s="242" t="str">
        <f t="shared" si="14"/>
        <v>2024</v>
      </c>
      <c r="M471" s="55">
        <v>45657.0</v>
      </c>
      <c r="N471" s="55" t="str">
        <f t="shared" si="15"/>
        <v>2024</v>
      </c>
      <c r="O471" s="58">
        <f t="shared" si="11"/>
        <v>153</v>
      </c>
      <c r="P471" s="58">
        <f t="shared" si="4"/>
        <v>0</v>
      </c>
      <c r="Q471" s="45" t="s">
        <v>150</v>
      </c>
      <c r="R471" s="51"/>
      <c r="S471" s="51"/>
      <c r="T471" s="45" t="s">
        <v>146</v>
      </c>
      <c r="U471" s="45" t="s">
        <v>790</v>
      </c>
      <c r="V471" s="45" t="s">
        <v>104</v>
      </c>
      <c r="W471" s="45" t="s">
        <v>3924</v>
      </c>
      <c r="X471" s="51"/>
      <c r="Y471" s="51"/>
      <c r="Z471" s="51"/>
      <c r="AA471" s="51"/>
      <c r="AB471" s="203"/>
      <c r="AC471" s="64" t="s">
        <v>247</v>
      </c>
      <c r="AD471" s="51"/>
      <c r="AE471" s="64" t="s">
        <v>1610</v>
      </c>
    </row>
    <row r="472">
      <c r="A472" s="23" t="s">
        <v>169</v>
      </c>
      <c r="B472" s="23" t="s">
        <v>67</v>
      </c>
      <c r="C472" s="23" t="s">
        <v>3958</v>
      </c>
      <c r="D472" s="23" t="s">
        <v>3959</v>
      </c>
      <c r="E472" s="23" t="s">
        <v>3961</v>
      </c>
      <c r="F472" s="26">
        <v>689.0</v>
      </c>
      <c r="G472" s="237">
        <v>600466.0</v>
      </c>
      <c r="H472" s="23" t="s">
        <v>187</v>
      </c>
      <c r="I472" s="88"/>
      <c r="J472" s="27"/>
      <c r="K472" s="29">
        <v>45509.0</v>
      </c>
      <c r="L472" s="239" t="str">
        <f t="shared" si="14"/>
        <v>2024</v>
      </c>
      <c r="M472" s="29">
        <v>45523.0</v>
      </c>
      <c r="N472" s="29" t="str">
        <f t="shared" si="15"/>
        <v>2024</v>
      </c>
      <c r="O472" s="36">
        <f t="shared" si="11"/>
        <v>14</v>
      </c>
      <c r="P472" s="36">
        <f t="shared" si="4"/>
        <v>0</v>
      </c>
      <c r="Q472" s="23" t="s">
        <v>150</v>
      </c>
      <c r="R472" s="27"/>
      <c r="S472" s="27"/>
      <c r="T472" s="23" t="s">
        <v>146</v>
      </c>
      <c r="U472" s="23" t="s">
        <v>48</v>
      </c>
      <c r="V472" s="23" t="s">
        <v>4706</v>
      </c>
      <c r="W472" s="144" t="s">
        <v>3967</v>
      </c>
      <c r="X472" s="27"/>
      <c r="Y472" s="27"/>
      <c r="Z472" s="27"/>
      <c r="AA472" s="27"/>
      <c r="AB472" s="189"/>
      <c r="AC472" s="76" t="s">
        <v>247</v>
      </c>
      <c r="AD472" s="27"/>
      <c r="AE472" s="76" t="s">
        <v>1610</v>
      </c>
    </row>
    <row r="473">
      <c r="A473" s="45" t="s">
        <v>169</v>
      </c>
      <c r="B473" s="45" t="s">
        <v>67</v>
      </c>
      <c r="C473" s="45" t="s">
        <v>3997</v>
      </c>
      <c r="D473" s="45" t="s">
        <v>3998</v>
      </c>
      <c r="E473" s="45" t="s">
        <v>4000</v>
      </c>
      <c r="F473" s="48">
        <v>692.0</v>
      </c>
      <c r="G473" s="240">
        <v>600281.0</v>
      </c>
      <c r="H473" s="45" t="s">
        <v>187</v>
      </c>
      <c r="I473" s="53"/>
      <c r="J473" s="51"/>
      <c r="K473" s="55">
        <v>45512.0</v>
      </c>
      <c r="L473" s="242" t="str">
        <f t="shared" si="14"/>
        <v>2024</v>
      </c>
      <c r="M473" s="55">
        <v>45523.0</v>
      </c>
      <c r="N473" s="55" t="str">
        <f t="shared" si="15"/>
        <v>2024</v>
      </c>
      <c r="O473" s="58">
        <f t="shared" si="11"/>
        <v>11</v>
      </c>
      <c r="P473" s="58">
        <f t="shared" si="4"/>
        <v>0</v>
      </c>
      <c r="Q473" s="45" t="s">
        <v>150</v>
      </c>
      <c r="R473" s="51"/>
      <c r="S473" s="51"/>
      <c r="T473" s="45" t="s">
        <v>146</v>
      </c>
      <c r="U473" s="45" t="s">
        <v>48</v>
      </c>
      <c r="V473" s="45" t="s">
        <v>4706</v>
      </c>
      <c r="W473" s="45" t="s">
        <v>1066</v>
      </c>
      <c r="X473" s="51"/>
      <c r="Y473" s="51"/>
      <c r="Z473" s="51"/>
      <c r="AA473" s="51"/>
      <c r="AB473" s="203"/>
      <c r="AC473" s="64" t="s">
        <v>247</v>
      </c>
      <c r="AD473" s="51"/>
      <c r="AE473" s="64" t="s">
        <v>4005</v>
      </c>
    </row>
    <row r="474">
      <c r="A474" s="23" t="s">
        <v>169</v>
      </c>
      <c r="B474" s="23" t="s">
        <v>67</v>
      </c>
      <c r="C474" s="23" t="s">
        <v>4502</v>
      </c>
      <c r="D474" s="23" t="s">
        <v>4702</v>
      </c>
      <c r="E474" s="23" t="s">
        <v>4703</v>
      </c>
      <c r="F474" s="26">
        <v>831.0</v>
      </c>
      <c r="G474" s="237">
        <v>600635.0</v>
      </c>
      <c r="H474" s="23" t="s">
        <v>2676</v>
      </c>
      <c r="I474" s="88"/>
      <c r="J474" s="27"/>
      <c r="K474" s="29">
        <v>45831.0</v>
      </c>
      <c r="L474" s="239" t="str">
        <f t="shared" si="14"/>
        <v>2025</v>
      </c>
      <c r="M474" s="29">
        <v>45861.0</v>
      </c>
      <c r="N474" s="29" t="str">
        <f t="shared" si="15"/>
        <v>2025</v>
      </c>
      <c r="O474" s="36">
        <f t="shared" si="11"/>
        <v>30</v>
      </c>
      <c r="P474" s="36">
        <f t="shared" si="4"/>
        <v>0</v>
      </c>
      <c r="Q474" s="23" t="s">
        <v>150</v>
      </c>
      <c r="R474" s="27"/>
      <c r="S474" s="27"/>
      <c r="T474" s="23" t="s">
        <v>233</v>
      </c>
      <c r="U474" s="23" t="s">
        <v>1244</v>
      </c>
      <c r="V474" s="27"/>
      <c r="W474" s="144" t="s">
        <v>4716</v>
      </c>
      <c r="X474" s="27"/>
      <c r="Y474" s="27"/>
      <c r="Z474" s="27"/>
      <c r="AA474" s="27"/>
      <c r="AB474" s="189"/>
      <c r="AC474" s="76" t="s">
        <v>247</v>
      </c>
      <c r="AD474" s="27"/>
      <c r="AE474" s="76" t="s">
        <v>1621</v>
      </c>
    </row>
    <row r="475">
      <c r="A475" s="45" t="s">
        <v>169</v>
      </c>
      <c r="B475" s="45" t="s">
        <v>67</v>
      </c>
      <c r="C475" s="45" t="s">
        <v>4516</v>
      </c>
      <c r="D475" s="45" t="s">
        <v>4717</v>
      </c>
      <c r="E475" s="45" t="s">
        <v>4718</v>
      </c>
      <c r="F475" s="48">
        <v>844.0</v>
      </c>
      <c r="G475" s="240">
        <v>600657.0</v>
      </c>
      <c r="H475" s="45" t="s">
        <v>2132</v>
      </c>
      <c r="I475" s="45" t="s">
        <v>1148</v>
      </c>
      <c r="J475" s="45" t="s">
        <v>4649</v>
      </c>
      <c r="K475" s="55">
        <v>45860.0</v>
      </c>
      <c r="L475" s="242" t="str">
        <f t="shared" si="14"/>
        <v>2025</v>
      </c>
      <c r="M475" s="55">
        <v>45869.0</v>
      </c>
      <c r="N475" s="55" t="str">
        <f t="shared" si="15"/>
        <v>2025</v>
      </c>
      <c r="O475" s="58">
        <f t="shared" si="11"/>
        <v>9</v>
      </c>
      <c r="P475" s="58">
        <f t="shared" si="4"/>
        <v>0</v>
      </c>
      <c r="Q475" s="45" t="s">
        <v>150</v>
      </c>
      <c r="R475" s="45" t="s">
        <v>106</v>
      </c>
      <c r="S475" s="51"/>
      <c r="T475" s="45" t="s">
        <v>146</v>
      </c>
      <c r="U475" s="45" t="s">
        <v>48</v>
      </c>
      <c r="V475" s="45" t="s">
        <v>4722</v>
      </c>
      <c r="W475" s="45" t="s">
        <v>4723</v>
      </c>
      <c r="X475" s="51"/>
      <c r="Y475" s="51"/>
      <c r="Z475" s="51"/>
      <c r="AA475" s="51"/>
      <c r="AB475" s="203"/>
      <c r="AC475" s="64" t="s">
        <v>777</v>
      </c>
      <c r="AD475" s="51"/>
      <c r="AE475" s="64" t="s">
        <v>1621</v>
      </c>
    </row>
    <row r="476">
      <c r="A476" s="23" t="s">
        <v>407</v>
      </c>
      <c r="B476" s="23" t="s">
        <v>19</v>
      </c>
      <c r="C476" s="23" t="s">
        <v>4018</v>
      </c>
      <c r="D476" s="23" t="s">
        <v>4019</v>
      </c>
      <c r="E476" s="23" t="s">
        <v>4020</v>
      </c>
      <c r="F476" s="26">
        <v>695.0</v>
      </c>
      <c r="G476" s="237">
        <v>600474.0</v>
      </c>
      <c r="H476" s="23" t="s">
        <v>464</v>
      </c>
      <c r="I476" s="23" t="s">
        <v>226</v>
      </c>
      <c r="J476" s="23" t="s">
        <v>2442</v>
      </c>
      <c r="K476" s="29">
        <v>45518.0</v>
      </c>
      <c r="L476" s="239" t="str">
        <f t="shared" si="14"/>
        <v>2024</v>
      </c>
      <c r="M476" s="29">
        <v>46130.0</v>
      </c>
      <c r="N476" s="29" t="str">
        <f t="shared" si="15"/>
        <v>2026</v>
      </c>
      <c r="O476" s="36">
        <f t="shared" si="11"/>
        <v>612</v>
      </c>
      <c r="P476" s="36">
        <f t="shared" si="4"/>
        <v>1</v>
      </c>
      <c r="Q476" s="23" t="s">
        <v>253</v>
      </c>
      <c r="R476" s="27"/>
      <c r="S476" s="27"/>
      <c r="T476" s="23" t="s">
        <v>233</v>
      </c>
      <c r="U476" s="23" t="s">
        <v>790</v>
      </c>
      <c r="V476" s="284" t="s">
        <v>4726</v>
      </c>
      <c r="W476" s="23" t="s">
        <v>4028</v>
      </c>
      <c r="X476" s="23" t="s">
        <v>4028</v>
      </c>
      <c r="Y476" s="23" t="s">
        <v>4026</v>
      </c>
      <c r="Z476" s="27"/>
      <c r="AA476" s="23" t="s">
        <v>1639</v>
      </c>
      <c r="AB476" s="189"/>
      <c r="AC476" s="76" t="s">
        <v>777</v>
      </c>
      <c r="AD476" s="76" t="s">
        <v>123</v>
      </c>
      <c r="AE476" s="76" t="s">
        <v>3311</v>
      </c>
    </row>
    <row r="477">
      <c r="A477" s="45" t="s">
        <v>169</v>
      </c>
      <c r="B477" s="45" t="s">
        <v>67</v>
      </c>
      <c r="C477" s="45" t="s">
        <v>4113</v>
      </c>
      <c r="D477" s="45" t="s">
        <v>4114</v>
      </c>
      <c r="E477" s="45" t="s">
        <v>4115</v>
      </c>
      <c r="F477" s="48">
        <v>700.0</v>
      </c>
      <c r="G477" s="240">
        <v>600478.0</v>
      </c>
      <c r="H477" s="45" t="s">
        <v>139</v>
      </c>
      <c r="I477" s="45" t="s">
        <v>1148</v>
      </c>
      <c r="J477" s="45" t="s">
        <v>740</v>
      </c>
      <c r="K477" s="55">
        <v>45534.0</v>
      </c>
      <c r="L477" s="242" t="str">
        <f t="shared" si="14"/>
        <v>2024</v>
      </c>
      <c r="M477" s="55">
        <v>45716.0</v>
      </c>
      <c r="N477" s="55" t="str">
        <f t="shared" si="15"/>
        <v>2025</v>
      </c>
      <c r="O477" s="58">
        <f t="shared" si="11"/>
        <v>182</v>
      </c>
      <c r="P477" s="58">
        <f t="shared" si="4"/>
        <v>0</v>
      </c>
      <c r="Q477" s="45" t="s">
        <v>150</v>
      </c>
      <c r="R477" s="51"/>
      <c r="S477" s="51"/>
      <c r="T477" s="45" t="s">
        <v>146</v>
      </c>
      <c r="U477" s="45" t="s">
        <v>48</v>
      </c>
      <c r="V477" s="45" t="s">
        <v>104</v>
      </c>
      <c r="W477" s="45" t="s">
        <v>4116</v>
      </c>
      <c r="X477" s="45" t="s">
        <v>4116</v>
      </c>
      <c r="Y477" s="51"/>
      <c r="Z477" s="51"/>
      <c r="AA477" s="51"/>
      <c r="AB477" s="203"/>
      <c r="AC477" s="64" t="s">
        <v>247</v>
      </c>
      <c r="AD477" s="51"/>
      <c r="AE477" s="64" t="s">
        <v>1610</v>
      </c>
    </row>
    <row r="478">
      <c r="A478" s="23" t="s">
        <v>169</v>
      </c>
      <c r="B478" s="23" t="s">
        <v>19</v>
      </c>
      <c r="C478" s="23" t="s">
        <v>4064</v>
      </c>
      <c r="D478" s="23" t="s">
        <v>4065</v>
      </c>
      <c r="E478" s="23" t="s">
        <v>4067</v>
      </c>
      <c r="F478" s="26">
        <v>702.0</v>
      </c>
      <c r="G478" s="237">
        <v>600482.0</v>
      </c>
      <c r="H478" s="23" t="s">
        <v>139</v>
      </c>
      <c r="I478" s="23" t="s">
        <v>1148</v>
      </c>
      <c r="J478" s="23" t="s">
        <v>2418</v>
      </c>
      <c r="K478" s="29">
        <v>45527.0</v>
      </c>
      <c r="L478" s="239" t="str">
        <f t="shared" si="14"/>
        <v>2024</v>
      </c>
      <c r="M478" s="29">
        <v>45896.0</v>
      </c>
      <c r="N478" s="29" t="str">
        <f t="shared" si="15"/>
        <v>2025</v>
      </c>
      <c r="O478" s="36">
        <f t="shared" si="11"/>
        <v>369</v>
      </c>
      <c r="P478" s="36">
        <f t="shared" si="4"/>
        <v>1</v>
      </c>
      <c r="Q478" s="23" t="s">
        <v>150</v>
      </c>
      <c r="R478" s="27"/>
      <c r="S478" s="27"/>
      <c r="T478" s="23" t="s">
        <v>146</v>
      </c>
      <c r="U478" s="23" t="s">
        <v>48</v>
      </c>
      <c r="V478" s="23" t="s">
        <v>104</v>
      </c>
      <c r="W478" s="144" t="s">
        <v>4072</v>
      </c>
      <c r="X478" s="144" t="s">
        <v>4734</v>
      </c>
      <c r="Y478" s="27"/>
      <c r="Z478" s="27"/>
      <c r="AA478" s="27"/>
      <c r="AB478" s="189"/>
      <c r="AC478" s="76" t="s">
        <v>247</v>
      </c>
      <c r="AD478" s="76" t="s">
        <v>261</v>
      </c>
      <c r="AE478" s="76" t="s">
        <v>1621</v>
      </c>
    </row>
    <row r="479">
      <c r="A479" s="45" t="s">
        <v>169</v>
      </c>
      <c r="B479" s="45" t="s">
        <v>67</v>
      </c>
      <c r="C479" s="45" t="s">
        <v>4517</v>
      </c>
      <c r="D479" s="45" t="s">
        <v>4738</v>
      </c>
      <c r="E479" s="45" t="s">
        <v>4739</v>
      </c>
      <c r="F479" s="48">
        <v>845.0</v>
      </c>
      <c r="G479" s="240">
        <v>600659.0</v>
      </c>
      <c r="H479" s="45" t="s">
        <v>2132</v>
      </c>
      <c r="I479" s="53"/>
      <c r="J479" s="45" t="s">
        <v>1478</v>
      </c>
      <c r="K479" s="55">
        <v>45861.0</v>
      </c>
      <c r="L479" s="242" t="str">
        <f t="shared" si="14"/>
        <v>2025</v>
      </c>
      <c r="M479" s="55">
        <v>45869.0</v>
      </c>
      <c r="N479" s="55" t="str">
        <f t="shared" si="15"/>
        <v>2025</v>
      </c>
      <c r="O479" s="58">
        <f t="shared" si="11"/>
        <v>8</v>
      </c>
      <c r="P479" s="58">
        <f t="shared" si="4"/>
        <v>0</v>
      </c>
      <c r="Q479" s="45" t="s">
        <v>150</v>
      </c>
      <c r="R479" s="45" t="s">
        <v>106</v>
      </c>
      <c r="S479" s="51"/>
      <c r="T479" s="45" t="s">
        <v>146</v>
      </c>
      <c r="U479" s="51"/>
      <c r="V479" s="51"/>
      <c r="W479" s="45" t="s">
        <v>4741</v>
      </c>
      <c r="X479" s="51"/>
      <c r="Y479" s="51"/>
      <c r="Z479" s="51"/>
      <c r="AA479" s="45" t="s">
        <v>4742</v>
      </c>
      <c r="AB479" s="203"/>
      <c r="AC479" s="64" t="s">
        <v>820</v>
      </c>
      <c r="AD479" s="51"/>
      <c r="AE479" s="64" t="s">
        <v>1621</v>
      </c>
    </row>
    <row r="480">
      <c r="A480" s="23" t="s">
        <v>169</v>
      </c>
      <c r="B480" s="23" t="s">
        <v>67</v>
      </c>
      <c r="C480" s="23" t="s">
        <v>4085</v>
      </c>
      <c r="D480" s="23" t="s">
        <v>4086</v>
      </c>
      <c r="E480" s="23" t="s">
        <v>4087</v>
      </c>
      <c r="F480" s="26">
        <v>705.0</v>
      </c>
      <c r="G480" s="237">
        <v>600485.0</v>
      </c>
      <c r="H480" s="23" t="s">
        <v>187</v>
      </c>
      <c r="I480" s="23" t="s">
        <v>1148</v>
      </c>
      <c r="J480" s="23" t="s">
        <v>2783</v>
      </c>
      <c r="K480" s="29">
        <v>45533.0</v>
      </c>
      <c r="L480" s="239" t="str">
        <f t="shared" si="14"/>
        <v>2024</v>
      </c>
      <c r="M480" s="29">
        <v>45541.0</v>
      </c>
      <c r="N480" s="29" t="str">
        <f t="shared" si="15"/>
        <v>2024</v>
      </c>
      <c r="O480" s="36">
        <f t="shared" si="11"/>
        <v>8</v>
      </c>
      <c r="P480" s="36">
        <f t="shared" si="4"/>
        <v>0</v>
      </c>
      <c r="Q480" s="23" t="s">
        <v>150</v>
      </c>
      <c r="R480" s="27"/>
      <c r="S480" s="27"/>
      <c r="T480" s="23" t="s">
        <v>146</v>
      </c>
      <c r="U480" s="23" t="s">
        <v>48</v>
      </c>
      <c r="V480" s="23" t="s">
        <v>3934</v>
      </c>
      <c r="W480" s="23" t="s">
        <v>4093</v>
      </c>
      <c r="X480" s="27"/>
      <c r="Y480" s="27"/>
      <c r="Z480" s="27"/>
      <c r="AA480" s="27"/>
      <c r="AB480" s="189"/>
      <c r="AC480" s="76" t="s">
        <v>247</v>
      </c>
      <c r="AD480" s="27"/>
      <c r="AE480" s="76" t="s">
        <v>4095</v>
      </c>
    </row>
    <row r="481">
      <c r="A481" s="45" t="s">
        <v>169</v>
      </c>
      <c r="B481" s="45" t="s">
        <v>67</v>
      </c>
      <c r="C481" s="45" t="s">
        <v>4498</v>
      </c>
      <c r="D481" s="45" t="s">
        <v>4682</v>
      </c>
      <c r="E481" s="45" t="s">
        <v>4683</v>
      </c>
      <c r="F481" s="48">
        <v>826.0</v>
      </c>
      <c r="G481" s="240">
        <v>600637.0</v>
      </c>
      <c r="H481" s="45" t="s">
        <v>84</v>
      </c>
      <c r="I481" s="45" t="s">
        <v>84</v>
      </c>
      <c r="J481" s="45" t="s">
        <v>2442</v>
      </c>
      <c r="K481" s="55">
        <v>45806.0</v>
      </c>
      <c r="L481" s="242" t="str">
        <f t="shared" si="14"/>
        <v>2025</v>
      </c>
      <c r="M481" s="55">
        <v>45869.0</v>
      </c>
      <c r="N481" s="55" t="str">
        <f t="shared" si="15"/>
        <v>2025</v>
      </c>
      <c r="O481" s="58">
        <f t="shared" si="11"/>
        <v>63</v>
      </c>
      <c r="P481" s="58">
        <f t="shared" si="4"/>
        <v>0</v>
      </c>
      <c r="Q481" s="45" t="s">
        <v>150</v>
      </c>
      <c r="R481" s="51"/>
      <c r="S481" s="45" t="s">
        <v>113</v>
      </c>
      <c r="T481" s="45" t="s">
        <v>84</v>
      </c>
      <c r="U481" s="45" t="s">
        <v>48</v>
      </c>
      <c r="V481" s="45" t="s">
        <v>104</v>
      </c>
      <c r="W481" s="45" t="s">
        <v>4685</v>
      </c>
      <c r="X481" s="45" t="s">
        <v>4685</v>
      </c>
      <c r="Y481" s="51"/>
      <c r="Z481" s="51"/>
      <c r="AA481" s="51"/>
      <c r="AB481" s="203"/>
      <c r="AC481" s="64" t="s">
        <v>247</v>
      </c>
      <c r="AD481" s="64" t="s">
        <v>261</v>
      </c>
      <c r="AE481" s="64" t="s">
        <v>4005</v>
      </c>
    </row>
    <row r="482">
      <c r="A482" s="23" t="s">
        <v>169</v>
      </c>
      <c r="B482" s="23" t="s">
        <v>67</v>
      </c>
      <c r="C482" s="23" t="s">
        <v>4148</v>
      </c>
      <c r="D482" s="23" t="s">
        <v>4149</v>
      </c>
      <c r="E482" s="23" t="s">
        <v>4150</v>
      </c>
      <c r="F482" s="26">
        <v>714.0</v>
      </c>
      <c r="G482" s="237">
        <v>600499.0</v>
      </c>
      <c r="H482" s="23" t="s">
        <v>139</v>
      </c>
      <c r="I482" s="23" t="s">
        <v>226</v>
      </c>
      <c r="J482" s="23" t="s">
        <v>243</v>
      </c>
      <c r="K482" s="29">
        <v>45553.0</v>
      </c>
      <c r="L482" s="239" t="str">
        <f t="shared" si="14"/>
        <v>2024</v>
      </c>
      <c r="M482" s="29">
        <v>45688.0</v>
      </c>
      <c r="N482" s="29" t="str">
        <f t="shared" si="15"/>
        <v>2025</v>
      </c>
      <c r="O482" s="36">
        <f t="shared" si="11"/>
        <v>135</v>
      </c>
      <c r="P482" s="36">
        <f t="shared" si="4"/>
        <v>0</v>
      </c>
      <c r="Q482" s="23" t="s">
        <v>150</v>
      </c>
      <c r="R482" s="27"/>
      <c r="S482" s="27"/>
      <c r="T482" s="23" t="s">
        <v>233</v>
      </c>
      <c r="U482" s="23" t="s">
        <v>48</v>
      </c>
      <c r="V482" s="23" t="s">
        <v>104</v>
      </c>
      <c r="W482" s="144" t="s">
        <v>4755</v>
      </c>
      <c r="X482" s="27"/>
      <c r="Y482" s="27"/>
      <c r="Z482" s="27"/>
      <c r="AA482" s="27"/>
      <c r="AB482" s="189"/>
      <c r="AC482" s="76" t="s">
        <v>247</v>
      </c>
      <c r="AD482" s="27"/>
      <c r="AE482" s="76" t="s">
        <v>1621</v>
      </c>
    </row>
    <row r="483">
      <c r="A483" s="45" t="s">
        <v>169</v>
      </c>
      <c r="B483" s="45" t="s">
        <v>67</v>
      </c>
      <c r="C483" s="45" t="s">
        <v>4125</v>
      </c>
      <c r="D483" s="45" t="s">
        <v>4126</v>
      </c>
      <c r="E483" s="45" t="s">
        <v>4127</v>
      </c>
      <c r="F483" s="48">
        <v>708.0</v>
      </c>
      <c r="G483" s="240">
        <v>600490.0</v>
      </c>
      <c r="H483" s="45" t="s">
        <v>1392</v>
      </c>
      <c r="I483" s="45" t="s">
        <v>1148</v>
      </c>
      <c r="J483" s="45" t="s">
        <v>2429</v>
      </c>
      <c r="K483" s="55">
        <v>45544.0</v>
      </c>
      <c r="L483" s="242" t="str">
        <f t="shared" si="14"/>
        <v>2024</v>
      </c>
      <c r="M483" s="55">
        <v>45870.0</v>
      </c>
      <c r="N483" s="55" t="str">
        <f t="shared" si="15"/>
        <v>2025</v>
      </c>
      <c r="O483" s="58">
        <f t="shared" si="11"/>
        <v>326</v>
      </c>
      <c r="P483" s="58">
        <f t="shared" si="4"/>
        <v>0</v>
      </c>
      <c r="Q483" s="45" t="s">
        <v>150</v>
      </c>
      <c r="R483" s="51"/>
      <c r="S483" s="51"/>
      <c r="T483" s="45" t="s">
        <v>146</v>
      </c>
      <c r="U483" s="45" t="s">
        <v>48</v>
      </c>
      <c r="V483" s="45" t="s">
        <v>104</v>
      </c>
      <c r="W483" s="45" t="s">
        <v>4129</v>
      </c>
      <c r="X483" s="45" t="s">
        <v>4129</v>
      </c>
      <c r="Y483" s="51"/>
      <c r="Z483" s="51"/>
      <c r="AA483" s="51"/>
      <c r="AB483" s="203"/>
      <c r="AC483" s="64" t="s">
        <v>247</v>
      </c>
      <c r="AD483" s="51"/>
      <c r="AE483" s="64" t="s">
        <v>1610</v>
      </c>
    </row>
    <row r="484">
      <c r="A484" s="23" t="s">
        <v>169</v>
      </c>
      <c r="B484" s="23" t="s">
        <v>67</v>
      </c>
      <c r="C484" s="23" t="s">
        <v>4196</v>
      </c>
      <c r="D484" s="23" t="s">
        <v>4197</v>
      </c>
      <c r="E484" s="23" t="s">
        <v>4198</v>
      </c>
      <c r="F484" s="26">
        <v>727.0</v>
      </c>
      <c r="G484" s="237">
        <v>600450.0</v>
      </c>
      <c r="H484" s="23" t="s">
        <v>266</v>
      </c>
      <c r="I484" s="23" t="s">
        <v>226</v>
      </c>
      <c r="J484" s="23" t="s">
        <v>243</v>
      </c>
      <c r="K484" s="29">
        <v>45566.0</v>
      </c>
      <c r="L484" s="239" t="str">
        <f t="shared" si="14"/>
        <v>2024</v>
      </c>
      <c r="M484" s="29">
        <v>45657.0</v>
      </c>
      <c r="N484" s="29" t="str">
        <f t="shared" si="15"/>
        <v>2024</v>
      </c>
      <c r="O484" s="36">
        <f t="shared" si="11"/>
        <v>91</v>
      </c>
      <c r="P484" s="36">
        <f t="shared" si="4"/>
        <v>0</v>
      </c>
      <c r="Q484" s="23" t="s">
        <v>150</v>
      </c>
      <c r="R484" s="27"/>
      <c r="S484" s="27"/>
      <c r="T484" s="23" t="s">
        <v>233</v>
      </c>
      <c r="U484" s="23" t="s">
        <v>25</v>
      </c>
      <c r="V484" s="23" t="s">
        <v>104</v>
      </c>
      <c r="W484" s="23" t="s">
        <v>4200</v>
      </c>
      <c r="X484" s="27"/>
      <c r="Y484" s="27"/>
      <c r="Z484" s="27"/>
      <c r="AA484" s="23" t="s">
        <v>4199</v>
      </c>
      <c r="AB484" s="189"/>
      <c r="AC484" s="27"/>
      <c r="AD484" s="76" t="s">
        <v>1873</v>
      </c>
      <c r="AE484" s="76" t="s">
        <v>3976</v>
      </c>
    </row>
    <row r="485">
      <c r="A485" s="45" t="s">
        <v>169</v>
      </c>
      <c r="B485" s="45" t="s">
        <v>67</v>
      </c>
      <c r="C485" s="45" t="s">
        <v>4178</v>
      </c>
      <c r="D485" s="45" t="s">
        <v>4179</v>
      </c>
      <c r="E485" s="45" t="s">
        <v>4180</v>
      </c>
      <c r="F485" s="48">
        <v>721.0</v>
      </c>
      <c r="G485" s="240">
        <v>600506.0</v>
      </c>
      <c r="H485" s="45" t="s">
        <v>84</v>
      </c>
      <c r="I485" s="45" t="s">
        <v>84</v>
      </c>
      <c r="J485" s="45" t="s">
        <v>243</v>
      </c>
      <c r="K485" s="55">
        <v>45559.0</v>
      </c>
      <c r="L485" s="242" t="str">
        <f t="shared" si="14"/>
        <v>2024</v>
      </c>
      <c r="M485" s="55">
        <v>45650.0</v>
      </c>
      <c r="N485" s="55" t="str">
        <f t="shared" si="15"/>
        <v>2024</v>
      </c>
      <c r="O485" s="58">
        <f t="shared" si="11"/>
        <v>91</v>
      </c>
      <c r="P485" s="58">
        <f t="shared" si="4"/>
        <v>0</v>
      </c>
      <c r="Q485" s="45" t="s">
        <v>150</v>
      </c>
      <c r="R485" s="51"/>
      <c r="S485" s="51"/>
      <c r="T485" s="45" t="s">
        <v>84</v>
      </c>
      <c r="U485" s="45" t="s">
        <v>48</v>
      </c>
      <c r="V485" s="45" t="s">
        <v>104</v>
      </c>
      <c r="W485" s="45" t="s">
        <v>4187</v>
      </c>
      <c r="X485" s="51"/>
      <c r="Y485" s="51"/>
      <c r="Z485" s="51"/>
      <c r="AA485" s="45" t="s">
        <v>4186</v>
      </c>
      <c r="AB485" s="203"/>
      <c r="AC485" s="51"/>
      <c r="AD485" s="64" t="s">
        <v>1873</v>
      </c>
      <c r="AE485" s="64" t="s">
        <v>1621</v>
      </c>
    </row>
    <row r="486">
      <c r="A486" s="23" t="s">
        <v>169</v>
      </c>
      <c r="B486" s="23" t="s">
        <v>19</v>
      </c>
      <c r="C486" s="23" t="s">
        <v>931</v>
      </c>
      <c r="D486" s="23" t="s">
        <v>4209</v>
      </c>
      <c r="E486" s="23" t="s">
        <v>4210</v>
      </c>
      <c r="F486" s="26">
        <v>729.0</v>
      </c>
      <c r="G486" s="237">
        <v>600512.0</v>
      </c>
      <c r="H486" s="23" t="s">
        <v>139</v>
      </c>
      <c r="I486" s="23" t="s">
        <v>1148</v>
      </c>
      <c r="J486" s="27"/>
      <c r="K486" s="29">
        <v>45568.0</v>
      </c>
      <c r="L486" s="239" t="str">
        <f t="shared" si="14"/>
        <v>2024</v>
      </c>
      <c r="M486" s="29">
        <v>45933.0</v>
      </c>
      <c r="N486" s="29" t="str">
        <f t="shared" si="15"/>
        <v>2025</v>
      </c>
      <c r="O486" s="36">
        <f t="shared" si="11"/>
        <v>365</v>
      </c>
      <c r="P486" s="36">
        <f t="shared" si="4"/>
        <v>1</v>
      </c>
      <c r="Q486" s="23" t="s">
        <v>150</v>
      </c>
      <c r="R486" s="27"/>
      <c r="S486" s="27"/>
      <c r="T486" s="23" t="s">
        <v>146</v>
      </c>
      <c r="U486" s="23" t="s">
        <v>48</v>
      </c>
      <c r="V486" s="23" t="s">
        <v>104</v>
      </c>
      <c r="W486" s="23" t="s">
        <v>4211</v>
      </c>
      <c r="X486" s="23" t="s">
        <v>4211</v>
      </c>
      <c r="Y486" s="27"/>
      <c r="Z486" s="27"/>
      <c r="AA486" s="27"/>
      <c r="AB486" s="189"/>
      <c r="AC486" s="76" t="s">
        <v>247</v>
      </c>
      <c r="AD486" s="76" t="s">
        <v>123</v>
      </c>
      <c r="AE486" s="76" t="s">
        <v>1610</v>
      </c>
    </row>
    <row r="487">
      <c r="A487" s="45" t="s">
        <v>169</v>
      </c>
      <c r="B487" s="45" t="s">
        <v>67</v>
      </c>
      <c r="C487" s="45" t="s">
        <v>4518</v>
      </c>
      <c r="D487" s="45" t="s">
        <v>4765</v>
      </c>
      <c r="E487" s="45" t="s">
        <v>4766</v>
      </c>
      <c r="F487" s="48">
        <v>847.0</v>
      </c>
      <c r="G487" s="240">
        <v>600663.0</v>
      </c>
      <c r="H487" s="45" t="s">
        <v>2132</v>
      </c>
      <c r="I487" s="45" t="s">
        <v>1148</v>
      </c>
      <c r="J487" s="45" t="s">
        <v>2549</v>
      </c>
      <c r="K487" s="55">
        <v>45869.0</v>
      </c>
      <c r="L487" s="242" t="str">
        <f t="shared" si="14"/>
        <v>2025</v>
      </c>
      <c r="M487" s="55">
        <v>45874.0</v>
      </c>
      <c r="N487" s="55" t="str">
        <f t="shared" si="15"/>
        <v>2025</v>
      </c>
      <c r="O487" s="58">
        <f t="shared" si="11"/>
        <v>5</v>
      </c>
      <c r="P487" s="58">
        <f t="shared" si="4"/>
        <v>0</v>
      </c>
      <c r="Q487" s="45" t="s">
        <v>150</v>
      </c>
      <c r="R487" s="45" t="s">
        <v>106</v>
      </c>
      <c r="S487" s="51"/>
      <c r="T487" s="45" t="s">
        <v>146</v>
      </c>
      <c r="U487" s="51"/>
      <c r="V487" s="45" t="s">
        <v>4767</v>
      </c>
      <c r="W487" s="45" t="s">
        <v>4768</v>
      </c>
      <c r="X487" s="51"/>
      <c r="Y487" s="51"/>
      <c r="Z487" s="51"/>
      <c r="AA487" s="51"/>
      <c r="AB487" s="203"/>
      <c r="AC487" s="64" t="s">
        <v>777</v>
      </c>
      <c r="AD487" s="51"/>
      <c r="AE487" s="64" t="s">
        <v>1172</v>
      </c>
    </row>
    <row r="488">
      <c r="A488" s="23" t="s">
        <v>169</v>
      </c>
      <c r="B488" s="23" t="s">
        <v>67</v>
      </c>
      <c r="C488" s="23" t="s">
        <v>4242</v>
      </c>
      <c r="D488" s="23" t="s">
        <v>4243</v>
      </c>
      <c r="E488" s="23" t="s">
        <v>4245</v>
      </c>
      <c r="F488" s="26">
        <v>737.0</v>
      </c>
      <c r="G488" s="237">
        <v>600522.0</v>
      </c>
      <c r="H488" s="23" t="s">
        <v>139</v>
      </c>
      <c r="I488" s="23" t="s">
        <v>1148</v>
      </c>
      <c r="J488" s="23" t="s">
        <v>2783</v>
      </c>
      <c r="K488" s="29">
        <v>45580.0</v>
      </c>
      <c r="L488" s="239" t="str">
        <f t="shared" si="14"/>
        <v>2024</v>
      </c>
      <c r="M488" s="29">
        <v>45946.0</v>
      </c>
      <c r="N488" s="29" t="str">
        <f t="shared" si="15"/>
        <v>2025</v>
      </c>
      <c r="O488" s="36">
        <f t="shared" si="11"/>
        <v>366</v>
      </c>
      <c r="P488" s="36">
        <f t="shared" si="4"/>
        <v>1</v>
      </c>
      <c r="Q488" s="23" t="s">
        <v>150</v>
      </c>
      <c r="R488" s="27"/>
      <c r="S488" s="27"/>
      <c r="T488" s="23" t="s">
        <v>146</v>
      </c>
      <c r="U488" s="23" t="s">
        <v>48</v>
      </c>
      <c r="V488" s="23" t="s">
        <v>4770</v>
      </c>
      <c r="W488" s="23" t="s">
        <v>4246</v>
      </c>
      <c r="X488" s="23" t="s">
        <v>4246</v>
      </c>
      <c r="Y488" s="27"/>
      <c r="Z488" s="27"/>
      <c r="AA488" s="27"/>
      <c r="AB488" s="189"/>
      <c r="AC488" s="76" t="s">
        <v>354</v>
      </c>
      <c r="AD488" s="76" t="s">
        <v>261</v>
      </c>
      <c r="AE488" s="76" t="s">
        <v>1172</v>
      </c>
    </row>
    <row r="489">
      <c r="A489" s="45" t="s">
        <v>169</v>
      </c>
      <c r="B489" s="45" t="s">
        <v>67</v>
      </c>
      <c r="C489" s="45" t="s">
        <v>4249</v>
      </c>
      <c r="D489" s="45" t="s">
        <v>4250</v>
      </c>
      <c r="E489" s="45" t="s">
        <v>4251</v>
      </c>
      <c r="F489" s="48">
        <v>739.0</v>
      </c>
      <c r="G489" s="240">
        <v>600523.0</v>
      </c>
      <c r="H489" s="45" t="s">
        <v>139</v>
      </c>
      <c r="I489" s="45" t="s">
        <v>226</v>
      </c>
      <c r="J489" s="45" t="s">
        <v>243</v>
      </c>
      <c r="K489" s="55">
        <v>45581.0</v>
      </c>
      <c r="L489" s="242" t="str">
        <f t="shared" si="14"/>
        <v>2024</v>
      </c>
      <c r="M489" s="55">
        <v>45688.0</v>
      </c>
      <c r="N489" s="55" t="str">
        <f t="shared" si="15"/>
        <v>2025</v>
      </c>
      <c r="O489" s="58">
        <f t="shared" si="11"/>
        <v>107</v>
      </c>
      <c r="P489" s="58">
        <f t="shared" si="4"/>
        <v>0</v>
      </c>
      <c r="Q489" s="45" t="s">
        <v>253</v>
      </c>
      <c r="R489" s="51"/>
      <c r="S489" s="51"/>
      <c r="T489" s="45" t="s">
        <v>146</v>
      </c>
      <c r="U489" s="45" t="s">
        <v>48</v>
      </c>
      <c r="V489" s="45" t="s">
        <v>104</v>
      </c>
      <c r="W489" s="45" t="s">
        <v>4253</v>
      </c>
      <c r="X489" s="51"/>
      <c r="Y489" s="51"/>
      <c r="Z489" s="51"/>
      <c r="AA489" s="45" t="s">
        <v>4252</v>
      </c>
      <c r="AB489" s="203"/>
      <c r="AC489" s="64" t="s">
        <v>247</v>
      </c>
      <c r="AD489" s="51"/>
      <c r="AE489" s="64" t="s">
        <v>1621</v>
      </c>
    </row>
    <row r="490">
      <c r="A490" s="23" t="s">
        <v>169</v>
      </c>
      <c r="B490" s="23" t="s">
        <v>67</v>
      </c>
      <c r="C490" s="23" t="s">
        <v>4261</v>
      </c>
      <c r="D490" s="23" t="s">
        <v>4262</v>
      </c>
      <c r="E490" s="23" t="s">
        <v>4263</v>
      </c>
      <c r="F490" s="26">
        <v>742.0</v>
      </c>
      <c r="G490" s="237">
        <v>600530.0</v>
      </c>
      <c r="H490" s="23" t="s">
        <v>84</v>
      </c>
      <c r="I490" s="23" t="s">
        <v>84</v>
      </c>
      <c r="J490" s="23" t="s">
        <v>243</v>
      </c>
      <c r="K490" s="29">
        <v>45589.0</v>
      </c>
      <c r="L490" s="239" t="str">
        <f t="shared" si="14"/>
        <v>2024</v>
      </c>
      <c r="M490" s="29">
        <v>45658.0</v>
      </c>
      <c r="N490" s="29" t="str">
        <f t="shared" si="15"/>
        <v>2025</v>
      </c>
      <c r="O490" s="36">
        <f t="shared" si="11"/>
        <v>69</v>
      </c>
      <c r="P490" s="36">
        <f t="shared" si="4"/>
        <v>0</v>
      </c>
      <c r="Q490" s="23" t="s">
        <v>150</v>
      </c>
      <c r="R490" s="27"/>
      <c r="S490" s="27"/>
      <c r="T490" s="23" t="s">
        <v>84</v>
      </c>
      <c r="U490" s="23" t="s">
        <v>25</v>
      </c>
      <c r="V490" s="23" t="s">
        <v>104</v>
      </c>
      <c r="W490" s="23" t="s">
        <v>4264</v>
      </c>
      <c r="X490" s="27"/>
      <c r="Y490" s="27"/>
      <c r="Z490" s="27"/>
      <c r="AA490" s="27"/>
      <c r="AB490" s="189"/>
      <c r="AC490" s="76" t="s">
        <v>1873</v>
      </c>
      <c r="AD490" s="27"/>
      <c r="AE490" s="76" t="s">
        <v>1610</v>
      </c>
    </row>
    <row r="491">
      <c r="A491" s="45" t="s">
        <v>169</v>
      </c>
      <c r="B491" s="45" t="s">
        <v>19</v>
      </c>
      <c r="C491" s="45" t="s">
        <v>4276</v>
      </c>
      <c r="D491" s="45" t="s">
        <v>4277</v>
      </c>
      <c r="E491" s="45" t="s">
        <v>4278</v>
      </c>
      <c r="F491" s="48">
        <v>745.0</v>
      </c>
      <c r="G491" s="240">
        <v>600537.0</v>
      </c>
      <c r="H491" s="45" t="s">
        <v>4777</v>
      </c>
      <c r="I491" s="45" t="s">
        <v>226</v>
      </c>
      <c r="J491" s="45" t="s">
        <v>2442</v>
      </c>
      <c r="K491" s="55">
        <v>45597.0</v>
      </c>
      <c r="L491" s="242" t="str">
        <f t="shared" si="14"/>
        <v>2024</v>
      </c>
      <c r="M491" s="55">
        <v>45962.0</v>
      </c>
      <c r="N491" s="55" t="str">
        <f t="shared" si="15"/>
        <v>2025</v>
      </c>
      <c r="O491" s="58">
        <f t="shared" si="11"/>
        <v>365</v>
      </c>
      <c r="P491" s="58">
        <f t="shared" si="4"/>
        <v>1</v>
      </c>
      <c r="Q491" s="45" t="s">
        <v>150</v>
      </c>
      <c r="R491" s="51"/>
      <c r="S491" s="51"/>
      <c r="T491" s="45" t="s">
        <v>146</v>
      </c>
      <c r="U491" s="45" t="s">
        <v>48</v>
      </c>
      <c r="V491" s="45" t="s">
        <v>104</v>
      </c>
      <c r="W491" s="45" t="s">
        <v>4281</v>
      </c>
      <c r="X491" s="45" t="s">
        <v>4281</v>
      </c>
      <c r="Y491" s="51"/>
      <c r="Z491" s="51"/>
      <c r="AA491" s="51"/>
      <c r="AB491" s="203"/>
      <c r="AC491" s="64" t="s">
        <v>777</v>
      </c>
      <c r="AD491" s="64" t="s">
        <v>261</v>
      </c>
      <c r="AE491" s="64" t="s">
        <v>1621</v>
      </c>
    </row>
    <row r="492">
      <c r="A492" s="23" t="s">
        <v>169</v>
      </c>
      <c r="B492" s="23" t="s">
        <v>19</v>
      </c>
      <c r="C492" s="23" t="s">
        <v>887</v>
      </c>
      <c r="D492" s="23" t="s">
        <v>4283</v>
      </c>
      <c r="E492" s="23" t="s">
        <v>4284</v>
      </c>
      <c r="F492" s="26">
        <v>746.0</v>
      </c>
      <c r="G492" s="237">
        <v>600538.0</v>
      </c>
      <c r="H492" s="23" t="s">
        <v>2132</v>
      </c>
      <c r="I492" s="23" t="s">
        <v>84</v>
      </c>
      <c r="J492" s="23" t="s">
        <v>740</v>
      </c>
      <c r="K492" s="29">
        <v>45597.0</v>
      </c>
      <c r="L492" s="239" t="str">
        <f t="shared" si="14"/>
        <v>2024</v>
      </c>
      <c r="M492" s="29">
        <v>46113.0</v>
      </c>
      <c r="N492" s="29" t="str">
        <f t="shared" si="15"/>
        <v>2026</v>
      </c>
      <c r="O492" s="36">
        <f t="shared" si="11"/>
        <v>516</v>
      </c>
      <c r="P492" s="36">
        <f t="shared" si="4"/>
        <v>1</v>
      </c>
      <c r="Q492" s="23" t="s">
        <v>150</v>
      </c>
      <c r="R492" s="27"/>
      <c r="S492" s="27"/>
      <c r="T492" s="23" t="s">
        <v>84</v>
      </c>
      <c r="U492" s="23" t="s">
        <v>48</v>
      </c>
      <c r="V492" s="23" t="s">
        <v>104</v>
      </c>
      <c r="W492" s="23" t="s">
        <v>4285</v>
      </c>
      <c r="X492" s="23" t="s">
        <v>4285</v>
      </c>
      <c r="Y492" s="27"/>
      <c r="Z492" s="27"/>
      <c r="AA492" s="27"/>
      <c r="AB492" s="189"/>
      <c r="AC492" s="76" t="s">
        <v>247</v>
      </c>
      <c r="AD492" s="76" t="s">
        <v>2816</v>
      </c>
      <c r="AE492" s="76" t="s">
        <v>1610</v>
      </c>
    </row>
    <row r="493">
      <c r="A493" s="45" t="s">
        <v>169</v>
      </c>
      <c r="B493" s="45" t="s">
        <v>67</v>
      </c>
      <c r="C493" s="45" t="s">
        <v>4288</v>
      </c>
      <c r="D493" s="45" t="s">
        <v>4289</v>
      </c>
      <c r="E493" s="45" t="s">
        <v>4290</v>
      </c>
      <c r="F493" s="48">
        <v>747.0</v>
      </c>
      <c r="G493" s="240">
        <v>600539.0</v>
      </c>
      <c r="H493" s="45" t="s">
        <v>1392</v>
      </c>
      <c r="I493" s="45" t="s">
        <v>1148</v>
      </c>
      <c r="J493" s="45" t="s">
        <v>2429</v>
      </c>
      <c r="K493" s="55">
        <v>45600.0</v>
      </c>
      <c r="L493" s="242" t="str">
        <f t="shared" si="14"/>
        <v>2024</v>
      </c>
      <c r="M493" s="55">
        <v>45966.0</v>
      </c>
      <c r="N493" s="55" t="str">
        <f t="shared" si="15"/>
        <v>2025</v>
      </c>
      <c r="O493" s="58">
        <f t="shared" si="11"/>
        <v>366</v>
      </c>
      <c r="P493" s="58">
        <f t="shared" si="4"/>
        <v>1</v>
      </c>
      <c r="Q493" s="45" t="s">
        <v>150</v>
      </c>
      <c r="R493" s="51"/>
      <c r="S493" s="51"/>
      <c r="T493" s="45" t="s">
        <v>146</v>
      </c>
      <c r="U493" s="45" t="s">
        <v>48</v>
      </c>
      <c r="V493" s="45" t="s">
        <v>4780</v>
      </c>
      <c r="W493" s="45" t="s">
        <v>4291</v>
      </c>
      <c r="X493" s="45" t="s">
        <v>4291</v>
      </c>
      <c r="Y493" s="51"/>
      <c r="Z493" s="51"/>
      <c r="AA493" s="51"/>
      <c r="AB493" s="203"/>
      <c r="AC493" s="64" t="s">
        <v>247</v>
      </c>
      <c r="AD493" s="51"/>
      <c r="AE493" s="64" t="s">
        <v>1172</v>
      </c>
    </row>
    <row r="494">
      <c r="A494" s="23" t="s">
        <v>169</v>
      </c>
      <c r="B494" s="23" t="s">
        <v>19</v>
      </c>
      <c r="C494" s="23" t="s">
        <v>4293</v>
      </c>
      <c r="D494" s="23" t="s">
        <v>4294</v>
      </c>
      <c r="E494" s="23" t="s">
        <v>4295</v>
      </c>
      <c r="F494" s="26">
        <v>748.0</v>
      </c>
      <c r="G494" s="237">
        <v>600541.0</v>
      </c>
      <c r="H494" s="23" t="s">
        <v>4777</v>
      </c>
      <c r="I494" s="23" t="s">
        <v>3827</v>
      </c>
      <c r="J494" s="23" t="s">
        <v>1525</v>
      </c>
      <c r="K494" s="29">
        <v>45600.0</v>
      </c>
      <c r="L494" s="239" t="str">
        <f t="shared" si="14"/>
        <v>2024</v>
      </c>
      <c r="M494" s="29">
        <v>45966.0</v>
      </c>
      <c r="N494" s="29" t="str">
        <f t="shared" si="15"/>
        <v>2025</v>
      </c>
      <c r="O494" s="36">
        <f t="shared" si="11"/>
        <v>366</v>
      </c>
      <c r="P494" s="36">
        <f t="shared" si="4"/>
        <v>1</v>
      </c>
      <c r="Q494" s="23" t="s">
        <v>150</v>
      </c>
      <c r="R494" s="27"/>
      <c r="S494" s="27"/>
      <c r="T494" s="23" t="s">
        <v>146</v>
      </c>
      <c r="U494" s="23" t="s">
        <v>48</v>
      </c>
      <c r="V494" s="23" t="s">
        <v>4770</v>
      </c>
      <c r="W494" s="23" t="s">
        <v>4296</v>
      </c>
      <c r="X494" s="23" t="s">
        <v>4296</v>
      </c>
      <c r="Y494" s="27"/>
      <c r="Z494" s="27"/>
      <c r="AA494" s="27"/>
      <c r="AB494" s="189"/>
      <c r="AC494" s="76" t="s">
        <v>247</v>
      </c>
      <c r="AD494" s="76" t="s">
        <v>123</v>
      </c>
      <c r="AE494" s="76" t="s">
        <v>1610</v>
      </c>
    </row>
    <row r="495">
      <c r="A495" s="45" t="s">
        <v>169</v>
      </c>
      <c r="B495" s="45" t="s">
        <v>19</v>
      </c>
      <c r="C495" s="45" t="s">
        <v>4342</v>
      </c>
      <c r="D495" s="45" t="s">
        <v>4343</v>
      </c>
      <c r="E495" s="45" t="s">
        <v>4344</v>
      </c>
      <c r="F495" s="48">
        <v>749.0</v>
      </c>
      <c r="G495" s="240">
        <v>600544.0</v>
      </c>
      <c r="H495" s="45" t="s">
        <v>139</v>
      </c>
      <c r="I495" s="45" t="s">
        <v>1148</v>
      </c>
      <c r="J495" s="45" t="s">
        <v>782</v>
      </c>
      <c r="K495" s="55">
        <v>45635.0</v>
      </c>
      <c r="L495" s="242" t="str">
        <f t="shared" si="14"/>
        <v>2024</v>
      </c>
      <c r="M495" s="55">
        <v>46000.0</v>
      </c>
      <c r="N495" s="55" t="str">
        <f t="shared" si="15"/>
        <v>2025</v>
      </c>
      <c r="O495" s="58">
        <f t="shared" si="11"/>
        <v>365</v>
      </c>
      <c r="P495" s="58">
        <f t="shared" si="4"/>
        <v>1</v>
      </c>
      <c r="Q495" s="45" t="s">
        <v>150</v>
      </c>
      <c r="R495" s="51"/>
      <c r="S495" s="51"/>
      <c r="T495" s="45" t="s">
        <v>84</v>
      </c>
      <c r="U495" s="45" t="s">
        <v>48</v>
      </c>
      <c r="V495" s="45" t="s">
        <v>4785</v>
      </c>
      <c r="W495" s="45" t="s">
        <v>4345</v>
      </c>
      <c r="X495" s="45" t="s">
        <v>4345</v>
      </c>
      <c r="Y495" s="51"/>
      <c r="Z495" s="51"/>
      <c r="AA495" s="45" t="s">
        <v>1716</v>
      </c>
      <c r="AB495" s="203"/>
      <c r="AC495" s="64" t="s">
        <v>247</v>
      </c>
      <c r="AD495" s="64" t="s">
        <v>261</v>
      </c>
      <c r="AE495" s="64" t="s">
        <v>1621</v>
      </c>
    </row>
    <row r="496">
      <c r="A496" s="23" t="s">
        <v>169</v>
      </c>
      <c r="B496" s="23" t="s">
        <v>67</v>
      </c>
      <c r="C496" s="23" t="s">
        <v>4299</v>
      </c>
      <c r="D496" s="23" t="s">
        <v>4300</v>
      </c>
      <c r="E496" s="23" t="s">
        <v>4301</v>
      </c>
      <c r="F496" s="26">
        <v>751.0</v>
      </c>
      <c r="G496" s="237">
        <v>600547.0</v>
      </c>
      <c r="H496" s="23" t="s">
        <v>2995</v>
      </c>
      <c r="I496" s="23" t="s">
        <v>1148</v>
      </c>
      <c r="J496" s="23" t="s">
        <v>2418</v>
      </c>
      <c r="K496" s="29">
        <v>45614.0</v>
      </c>
      <c r="L496" s="239" t="str">
        <f t="shared" si="14"/>
        <v>2024</v>
      </c>
      <c r="M496" s="29">
        <v>45626.0</v>
      </c>
      <c r="N496" s="29" t="str">
        <f t="shared" si="15"/>
        <v>2024</v>
      </c>
      <c r="O496" s="36">
        <f t="shared" si="11"/>
        <v>12</v>
      </c>
      <c r="P496" s="36">
        <f t="shared" si="4"/>
        <v>0</v>
      </c>
      <c r="Q496" s="23" t="s">
        <v>150</v>
      </c>
      <c r="R496" s="27"/>
      <c r="S496" s="27"/>
      <c r="T496" s="23" t="s">
        <v>146</v>
      </c>
      <c r="U496" s="23" t="s">
        <v>48</v>
      </c>
      <c r="V496" s="23" t="s">
        <v>4788</v>
      </c>
      <c r="W496" s="23" t="s">
        <v>4303</v>
      </c>
      <c r="X496" s="27"/>
      <c r="Y496" s="27"/>
      <c r="Z496" s="27"/>
      <c r="AA496" s="27"/>
      <c r="AB496" s="189"/>
      <c r="AC496" s="76" t="s">
        <v>247</v>
      </c>
      <c r="AD496" s="27"/>
      <c r="AE496" s="76" t="s">
        <v>4095</v>
      </c>
    </row>
    <row r="497">
      <c r="A497" s="45" t="s">
        <v>169</v>
      </c>
      <c r="B497" s="45" t="s">
        <v>67</v>
      </c>
      <c r="C497" s="45" t="s">
        <v>4310</v>
      </c>
      <c r="D497" s="45" t="s">
        <v>4311</v>
      </c>
      <c r="E497" s="45" t="s">
        <v>4312</v>
      </c>
      <c r="F497" s="48">
        <v>753.0</v>
      </c>
      <c r="G497" s="240">
        <v>600550.0</v>
      </c>
      <c r="H497" s="45" t="s">
        <v>1392</v>
      </c>
      <c r="I497" s="45" t="s">
        <v>1148</v>
      </c>
      <c r="J497" s="45" t="s">
        <v>209</v>
      </c>
      <c r="K497" s="55">
        <v>45618.0</v>
      </c>
      <c r="L497" s="242" t="str">
        <f t="shared" si="14"/>
        <v>2024</v>
      </c>
      <c r="M497" s="55">
        <v>45799.0</v>
      </c>
      <c r="N497" s="55" t="str">
        <f t="shared" si="15"/>
        <v>2025</v>
      </c>
      <c r="O497" s="58">
        <f t="shared" si="11"/>
        <v>181</v>
      </c>
      <c r="P497" s="58">
        <f t="shared" si="4"/>
        <v>0</v>
      </c>
      <c r="Q497" s="45" t="s">
        <v>253</v>
      </c>
      <c r="R497" s="51"/>
      <c r="S497" s="51"/>
      <c r="T497" s="45" t="s">
        <v>146</v>
      </c>
      <c r="U497" s="45" t="s">
        <v>48</v>
      </c>
      <c r="V497" s="45" t="s">
        <v>4790</v>
      </c>
      <c r="W497" s="45" t="s">
        <v>4313</v>
      </c>
      <c r="X497" s="45" t="s">
        <v>4313</v>
      </c>
      <c r="Y497" s="51"/>
      <c r="Z497" s="51"/>
      <c r="AA497" s="51"/>
      <c r="AB497" s="203"/>
      <c r="AC497" s="64" t="s">
        <v>247</v>
      </c>
      <c r="AD497" s="64" t="s">
        <v>261</v>
      </c>
      <c r="AE497" s="64" t="s">
        <v>1172</v>
      </c>
    </row>
    <row r="498">
      <c r="A498" s="23" t="s">
        <v>169</v>
      </c>
      <c r="B498" s="23" t="s">
        <v>67</v>
      </c>
      <c r="C498" s="23" t="s">
        <v>4315</v>
      </c>
      <c r="D498" s="23" t="s">
        <v>4316</v>
      </c>
      <c r="E498" s="23" t="s">
        <v>4317</v>
      </c>
      <c r="F498" s="26">
        <v>755.0</v>
      </c>
      <c r="G498" s="237">
        <v>600552.0</v>
      </c>
      <c r="H498" s="23" t="s">
        <v>84</v>
      </c>
      <c r="I498" s="23" t="s">
        <v>84</v>
      </c>
      <c r="J498" s="27"/>
      <c r="K498" s="29">
        <v>45622.0</v>
      </c>
      <c r="L498" s="239" t="str">
        <f t="shared" si="14"/>
        <v>2024</v>
      </c>
      <c r="M498" s="29">
        <v>45686.0</v>
      </c>
      <c r="N498" s="29" t="str">
        <f t="shared" si="15"/>
        <v>2025</v>
      </c>
      <c r="O498" s="36">
        <f t="shared" si="11"/>
        <v>64</v>
      </c>
      <c r="P498" s="36">
        <f t="shared" si="4"/>
        <v>0</v>
      </c>
      <c r="Q498" s="23" t="s">
        <v>150</v>
      </c>
      <c r="R498" s="27"/>
      <c r="S498" s="27"/>
      <c r="T498" s="23" t="s">
        <v>84</v>
      </c>
      <c r="U498" s="23" t="s">
        <v>25</v>
      </c>
      <c r="V498" s="23" t="s">
        <v>104</v>
      </c>
      <c r="W498" s="23" t="s">
        <v>4318</v>
      </c>
      <c r="X498" s="27"/>
      <c r="Y498" s="27"/>
      <c r="Z498" s="27"/>
      <c r="AA498" s="27"/>
      <c r="AB498" s="189"/>
      <c r="AC498" s="76" t="s">
        <v>1873</v>
      </c>
      <c r="AD498" s="27"/>
      <c r="AE498" s="76" t="s">
        <v>4320</v>
      </c>
    </row>
    <row r="499">
      <c r="A499" s="45" t="s">
        <v>169</v>
      </c>
      <c r="B499" s="45" t="s">
        <v>67</v>
      </c>
      <c r="C499" s="45" t="s">
        <v>1166</v>
      </c>
      <c r="D499" s="45" t="s">
        <v>4322</v>
      </c>
      <c r="E499" s="45" t="s">
        <v>4323</v>
      </c>
      <c r="F499" s="48">
        <v>756.0</v>
      </c>
      <c r="G499" s="240">
        <v>600553.0</v>
      </c>
      <c r="H499" s="45" t="s">
        <v>1392</v>
      </c>
      <c r="I499" s="45" t="s">
        <v>226</v>
      </c>
      <c r="J499" s="45" t="s">
        <v>2549</v>
      </c>
      <c r="K499" s="55">
        <v>45622.0</v>
      </c>
      <c r="L499" s="242" t="str">
        <f t="shared" si="14"/>
        <v>2024</v>
      </c>
      <c r="M499" s="55">
        <v>45728.0</v>
      </c>
      <c r="N499" s="55" t="str">
        <f t="shared" si="15"/>
        <v>2025</v>
      </c>
      <c r="O499" s="58">
        <f t="shared" si="11"/>
        <v>106</v>
      </c>
      <c r="P499" s="58">
        <f t="shared" si="4"/>
        <v>0</v>
      </c>
      <c r="Q499" s="45" t="s">
        <v>150</v>
      </c>
      <c r="R499" s="51"/>
      <c r="S499" s="51"/>
      <c r="T499" s="45" t="s">
        <v>233</v>
      </c>
      <c r="U499" s="45" t="s">
        <v>48</v>
      </c>
      <c r="V499" s="45" t="s">
        <v>104</v>
      </c>
      <c r="W499" s="45" t="s">
        <v>4325</v>
      </c>
      <c r="X499" s="45" t="s">
        <v>4325</v>
      </c>
      <c r="Y499" s="51"/>
      <c r="Z499" s="51"/>
      <c r="AA499" s="51"/>
      <c r="AB499" s="203"/>
      <c r="AC499" s="64" t="s">
        <v>247</v>
      </c>
      <c r="AD499" s="64" t="s">
        <v>261</v>
      </c>
      <c r="AE499" s="64" t="s">
        <v>1172</v>
      </c>
    </row>
    <row r="500">
      <c r="A500" s="23" t="s">
        <v>169</v>
      </c>
      <c r="B500" s="23" t="s">
        <v>67</v>
      </c>
      <c r="C500" s="23" t="s">
        <v>4329</v>
      </c>
      <c r="D500" s="23" t="s">
        <v>4330</v>
      </c>
      <c r="E500" s="23" t="s">
        <v>4331</v>
      </c>
      <c r="F500" s="26">
        <v>759.0</v>
      </c>
      <c r="G500" s="237">
        <v>600559.0</v>
      </c>
      <c r="H500" s="23" t="s">
        <v>139</v>
      </c>
      <c r="I500" s="88"/>
      <c r="J500" s="23" t="s">
        <v>243</v>
      </c>
      <c r="K500" s="29">
        <v>45631.0</v>
      </c>
      <c r="L500" s="239" t="str">
        <f t="shared" si="14"/>
        <v>2024</v>
      </c>
      <c r="M500" s="29">
        <v>45688.0</v>
      </c>
      <c r="N500" s="29" t="str">
        <f t="shared" si="15"/>
        <v>2025</v>
      </c>
      <c r="O500" s="36">
        <f t="shared" si="11"/>
        <v>57</v>
      </c>
      <c r="P500" s="36">
        <f t="shared" si="4"/>
        <v>0</v>
      </c>
      <c r="Q500" s="23" t="s">
        <v>150</v>
      </c>
      <c r="R500" s="27"/>
      <c r="S500" s="27"/>
      <c r="T500" s="23" t="s">
        <v>146</v>
      </c>
      <c r="U500" s="23" t="s">
        <v>48</v>
      </c>
      <c r="V500" s="23" t="s">
        <v>3934</v>
      </c>
      <c r="W500" s="23" t="s">
        <v>4334</v>
      </c>
      <c r="X500" s="27"/>
      <c r="Y500" s="27"/>
      <c r="Z500" s="27"/>
      <c r="AA500" s="23" t="s">
        <v>4333</v>
      </c>
      <c r="AB500" s="189"/>
      <c r="AC500" s="76" t="s">
        <v>247</v>
      </c>
      <c r="AD500" s="76" t="s">
        <v>1873</v>
      </c>
      <c r="AE500" s="76" t="s">
        <v>1621</v>
      </c>
    </row>
    <row r="501">
      <c r="A501" s="45" t="s">
        <v>169</v>
      </c>
      <c r="B501" s="45" t="s">
        <v>67</v>
      </c>
      <c r="C501" s="45" t="s">
        <v>4350</v>
      </c>
      <c r="D501" s="45" t="s">
        <v>4351</v>
      </c>
      <c r="E501" s="45" t="s">
        <v>4352</v>
      </c>
      <c r="F501" s="48">
        <v>760.0</v>
      </c>
      <c r="G501" s="240">
        <v>600233.0</v>
      </c>
      <c r="H501" s="45" t="s">
        <v>266</v>
      </c>
      <c r="I501" s="45" t="s">
        <v>226</v>
      </c>
      <c r="J501" s="45" t="s">
        <v>243</v>
      </c>
      <c r="K501" s="55">
        <v>45636.0</v>
      </c>
      <c r="L501" s="242" t="str">
        <f t="shared" si="14"/>
        <v>2024</v>
      </c>
      <c r="M501" s="55">
        <v>46022.0</v>
      </c>
      <c r="N501" s="55" t="str">
        <f t="shared" si="15"/>
        <v>2025</v>
      </c>
      <c r="O501" s="58">
        <f t="shared" si="11"/>
        <v>386</v>
      </c>
      <c r="P501" s="58">
        <f t="shared" si="4"/>
        <v>1</v>
      </c>
      <c r="Q501" s="45" t="s">
        <v>150</v>
      </c>
      <c r="R501" s="51"/>
      <c r="S501" s="45" t="s">
        <v>113</v>
      </c>
      <c r="T501" s="45" t="s">
        <v>233</v>
      </c>
      <c r="U501" s="45" t="s">
        <v>48</v>
      </c>
      <c r="V501" s="45" t="s">
        <v>4794</v>
      </c>
      <c r="W501" s="45" t="s">
        <v>4354</v>
      </c>
      <c r="X501" s="51"/>
      <c r="Y501" s="51"/>
      <c r="Z501" s="51"/>
      <c r="AA501" s="45" t="s">
        <v>4353</v>
      </c>
      <c r="AB501" s="203"/>
      <c r="AC501" s="51"/>
      <c r="AD501" s="64" t="s">
        <v>1873</v>
      </c>
      <c r="AE501" s="64" t="s">
        <v>1610</v>
      </c>
    </row>
    <row r="502">
      <c r="A502" s="23" t="s">
        <v>169</v>
      </c>
      <c r="B502" s="23" t="s">
        <v>67</v>
      </c>
      <c r="C502" s="23" t="s">
        <v>4336</v>
      </c>
      <c r="D502" s="23" t="s">
        <v>4337</v>
      </c>
      <c r="E502" s="23" t="s">
        <v>4338</v>
      </c>
      <c r="F502" s="26">
        <v>762.0</v>
      </c>
      <c r="G502" s="237">
        <v>600564.0</v>
      </c>
      <c r="H502" s="23" t="s">
        <v>139</v>
      </c>
      <c r="I502" s="88"/>
      <c r="J502" s="23" t="s">
        <v>243</v>
      </c>
      <c r="K502" s="29">
        <v>45631.0</v>
      </c>
      <c r="L502" s="239" t="str">
        <f t="shared" si="14"/>
        <v>2024</v>
      </c>
      <c r="M502" s="29">
        <v>45688.0</v>
      </c>
      <c r="N502" s="29" t="str">
        <f t="shared" si="15"/>
        <v>2025</v>
      </c>
      <c r="O502" s="36">
        <f t="shared" si="11"/>
        <v>57</v>
      </c>
      <c r="P502" s="36">
        <f t="shared" si="4"/>
        <v>0</v>
      </c>
      <c r="Q502" s="23" t="s">
        <v>150</v>
      </c>
      <c r="R502" s="27"/>
      <c r="S502" s="27"/>
      <c r="T502" s="23" t="s">
        <v>146</v>
      </c>
      <c r="U502" s="23" t="s">
        <v>48</v>
      </c>
      <c r="V502" s="23" t="s">
        <v>104</v>
      </c>
      <c r="W502" s="23" t="s">
        <v>4339</v>
      </c>
      <c r="X502" s="27"/>
      <c r="Y502" s="27"/>
      <c r="Z502" s="27"/>
      <c r="AA502" s="23" t="s">
        <v>4333</v>
      </c>
      <c r="AB502" s="189"/>
      <c r="AC502" s="76" t="s">
        <v>247</v>
      </c>
      <c r="AD502" s="76" t="s">
        <v>1873</v>
      </c>
      <c r="AE502" s="76" t="s">
        <v>1621</v>
      </c>
    </row>
    <row r="503">
      <c r="A503" s="45" t="s">
        <v>169</v>
      </c>
      <c r="B503" s="45" t="s">
        <v>67</v>
      </c>
      <c r="C503" s="45" t="s">
        <v>4357</v>
      </c>
      <c r="D503" s="45" t="s">
        <v>4358</v>
      </c>
      <c r="E503" s="45" t="s">
        <v>4359</v>
      </c>
      <c r="F503" s="48">
        <v>763.0</v>
      </c>
      <c r="G503" s="243"/>
      <c r="H503" s="45" t="s">
        <v>2979</v>
      </c>
      <c r="I503" s="53"/>
      <c r="J503" s="51"/>
      <c r="K503" s="55">
        <v>45637.0</v>
      </c>
      <c r="L503" s="242" t="str">
        <f t="shared" si="14"/>
        <v>2024</v>
      </c>
      <c r="M503" s="55">
        <v>45668.0</v>
      </c>
      <c r="N503" s="55" t="str">
        <f t="shared" si="15"/>
        <v>2025</v>
      </c>
      <c r="O503" s="58">
        <f t="shared" si="11"/>
        <v>31</v>
      </c>
      <c r="P503" s="58">
        <f t="shared" si="4"/>
        <v>0</v>
      </c>
      <c r="Q503" s="45" t="s">
        <v>150</v>
      </c>
      <c r="R503" s="51"/>
      <c r="S503" s="51"/>
      <c r="T503" s="45" t="s">
        <v>146</v>
      </c>
      <c r="U503" s="45" t="s">
        <v>48</v>
      </c>
      <c r="V503" s="45" t="s">
        <v>3934</v>
      </c>
      <c r="W503" s="45" t="s">
        <v>4362</v>
      </c>
      <c r="X503" s="51"/>
      <c r="Y503" s="51"/>
      <c r="Z503" s="51"/>
      <c r="AA503" s="51"/>
      <c r="AB503" s="203"/>
      <c r="AC503" s="64" t="s">
        <v>247</v>
      </c>
      <c r="AD503" s="51"/>
      <c r="AE503" s="64" t="s">
        <v>1172</v>
      </c>
    </row>
    <row r="504">
      <c r="A504" s="23" t="s">
        <v>169</v>
      </c>
      <c r="B504" s="23" t="s">
        <v>19</v>
      </c>
      <c r="C504" s="23" t="s">
        <v>837</v>
      </c>
      <c r="D504" s="23" t="s">
        <v>4364</v>
      </c>
      <c r="E504" s="23" t="s">
        <v>4365</v>
      </c>
      <c r="F504" s="26">
        <v>764.0</v>
      </c>
      <c r="G504" s="237">
        <v>600558.0</v>
      </c>
      <c r="H504" s="23" t="s">
        <v>1392</v>
      </c>
      <c r="I504" s="88"/>
      <c r="J504" s="27"/>
      <c r="K504" s="29">
        <v>45637.0</v>
      </c>
      <c r="L504" s="239" t="str">
        <f t="shared" si="14"/>
        <v>2024</v>
      </c>
      <c r="M504" s="29">
        <v>46002.0</v>
      </c>
      <c r="N504" s="29" t="str">
        <f t="shared" si="15"/>
        <v>2025</v>
      </c>
      <c r="O504" s="36">
        <f t="shared" si="11"/>
        <v>365</v>
      </c>
      <c r="P504" s="36">
        <f t="shared" si="4"/>
        <v>1</v>
      </c>
      <c r="Q504" s="23" t="s">
        <v>150</v>
      </c>
      <c r="R504" s="27"/>
      <c r="S504" s="27"/>
      <c r="T504" s="23" t="s">
        <v>146</v>
      </c>
      <c r="U504" s="23" t="s">
        <v>48</v>
      </c>
      <c r="V504" s="23" t="s">
        <v>104</v>
      </c>
      <c r="W504" s="23" t="s">
        <v>4366</v>
      </c>
      <c r="X504" s="27"/>
      <c r="Y504" s="27"/>
      <c r="Z504" s="27"/>
      <c r="AA504" s="27"/>
      <c r="AB504" s="189"/>
      <c r="AC504" s="27"/>
      <c r="AD504" s="76" t="s">
        <v>123</v>
      </c>
      <c r="AE504" s="76" t="s">
        <v>1501</v>
      </c>
    </row>
    <row r="505">
      <c r="A505" s="45" t="s">
        <v>169</v>
      </c>
      <c r="B505" s="45" t="s">
        <v>19</v>
      </c>
      <c r="C505" s="45" t="s">
        <v>808</v>
      </c>
      <c r="D505" s="45" t="s">
        <v>4369</v>
      </c>
      <c r="E505" s="45" t="s">
        <v>4370</v>
      </c>
      <c r="F505" s="48">
        <v>765.0</v>
      </c>
      <c r="G505" s="240">
        <v>600569.0</v>
      </c>
      <c r="H505" s="45" t="s">
        <v>1392</v>
      </c>
      <c r="I505" s="45" t="s">
        <v>226</v>
      </c>
      <c r="J505" s="45" t="s">
        <v>2549</v>
      </c>
      <c r="K505" s="55">
        <v>45644.0</v>
      </c>
      <c r="L505" s="242" t="str">
        <f t="shared" si="14"/>
        <v>2024</v>
      </c>
      <c r="M505" s="55">
        <v>45974.0</v>
      </c>
      <c r="N505" s="55" t="str">
        <f t="shared" si="15"/>
        <v>2025</v>
      </c>
      <c r="O505" s="58">
        <f t="shared" si="11"/>
        <v>330</v>
      </c>
      <c r="P505" s="58">
        <f t="shared" si="4"/>
        <v>0</v>
      </c>
      <c r="Q505" s="45" t="s">
        <v>150</v>
      </c>
      <c r="R505" s="51"/>
      <c r="S505" s="51"/>
      <c r="T505" s="45" t="s">
        <v>233</v>
      </c>
      <c r="U505" s="45" t="s">
        <v>48</v>
      </c>
      <c r="V505" s="45" t="s">
        <v>104</v>
      </c>
      <c r="W505" s="45" t="s">
        <v>4371</v>
      </c>
      <c r="X505" s="51"/>
      <c r="Y505" s="51"/>
      <c r="Z505" s="51"/>
      <c r="AA505" s="51"/>
      <c r="AB505" s="203"/>
      <c r="AC505" s="51"/>
      <c r="AD505" s="64" t="s">
        <v>123</v>
      </c>
      <c r="AE505" s="64" t="s">
        <v>1501</v>
      </c>
    </row>
    <row r="506">
      <c r="A506" s="23" t="s">
        <v>169</v>
      </c>
      <c r="B506" s="23" t="s">
        <v>67</v>
      </c>
      <c r="C506" s="23" t="s">
        <v>4382</v>
      </c>
      <c r="D506" s="23" t="s">
        <v>4383</v>
      </c>
      <c r="E506" s="23" t="s">
        <v>4384</v>
      </c>
      <c r="F506" s="26">
        <v>770.0</v>
      </c>
      <c r="G506" s="237">
        <v>600575.0</v>
      </c>
      <c r="H506" s="23" t="s">
        <v>1392</v>
      </c>
      <c r="I506" s="23" t="s">
        <v>84</v>
      </c>
      <c r="J506" s="23" t="s">
        <v>243</v>
      </c>
      <c r="K506" s="29">
        <v>45649.0</v>
      </c>
      <c r="L506" s="239" t="str">
        <f t="shared" si="14"/>
        <v>2024</v>
      </c>
      <c r="M506" s="29">
        <v>45716.0</v>
      </c>
      <c r="N506" s="29" t="str">
        <f t="shared" si="15"/>
        <v>2025</v>
      </c>
      <c r="O506" s="36">
        <f t="shared" si="11"/>
        <v>67</v>
      </c>
      <c r="P506" s="36">
        <f t="shared" si="4"/>
        <v>0</v>
      </c>
      <c r="Q506" s="23" t="s">
        <v>150</v>
      </c>
      <c r="R506" s="27"/>
      <c r="S506" s="27"/>
      <c r="T506" s="23" t="s">
        <v>146</v>
      </c>
      <c r="U506" s="23" t="s">
        <v>48</v>
      </c>
      <c r="V506" s="23" t="s">
        <v>104</v>
      </c>
      <c r="W506" s="23" t="s">
        <v>4385</v>
      </c>
      <c r="X506" s="27"/>
      <c r="Y506" s="27"/>
      <c r="Z506" s="27"/>
      <c r="AA506" s="27"/>
      <c r="AB506" s="189"/>
      <c r="AC506" s="76" t="s">
        <v>247</v>
      </c>
      <c r="AD506" s="76" t="s">
        <v>2127</v>
      </c>
      <c r="AE506" s="76" t="s">
        <v>3443</v>
      </c>
    </row>
    <row r="507">
      <c r="A507" s="45" t="s">
        <v>169</v>
      </c>
      <c r="B507" s="45" t="s">
        <v>19</v>
      </c>
      <c r="C507" s="45" t="s">
        <v>4388</v>
      </c>
      <c r="D507" s="45" t="s">
        <v>4389</v>
      </c>
      <c r="E507" s="45" t="s">
        <v>4390</v>
      </c>
      <c r="F507" s="48">
        <v>771.0</v>
      </c>
      <c r="G507" s="240">
        <v>600578.0</v>
      </c>
      <c r="H507" s="45" t="s">
        <v>2132</v>
      </c>
      <c r="I507" s="45" t="s">
        <v>1148</v>
      </c>
      <c r="J507" s="45" t="s">
        <v>243</v>
      </c>
      <c r="K507" s="55">
        <v>45650.0</v>
      </c>
      <c r="L507" s="242" t="str">
        <f t="shared" si="14"/>
        <v>2024</v>
      </c>
      <c r="M507" s="55">
        <v>46015.0</v>
      </c>
      <c r="N507" s="55" t="str">
        <f t="shared" si="15"/>
        <v>2025</v>
      </c>
      <c r="O507" s="58">
        <f t="shared" si="11"/>
        <v>365</v>
      </c>
      <c r="P507" s="58">
        <f t="shared" si="4"/>
        <v>1</v>
      </c>
      <c r="Q507" s="45" t="s">
        <v>150</v>
      </c>
      <c r="R507" s="51"/>
      <c r="S507" s="51"/>
      <c r="T507" s="45" t="s">
        <v>146</v>
      </c>
      <c r="U507" s="45" t="s">
        <v>48</v>
      </c>
      <c r="V507" s="45" t="s">
        <v>708</v>
      </c>
      <c r="W507" s="45" t="s">
        <v>4391</v>
      </c>
      <c r="X507" s="45" t="s">
        <v>4391</v>
      </c>
      <c r="Y507" s="51"/>
      <c r="Z507" s="51"/>
      <c r="AA507" s="51"/>
      <c r="AB507" s="203"/>
      <c r="AC507" s="64" t="s">
        <v>820</v>
      </c>
      <c r="AD507" s="64" t="s">
        <v>261</v>
      </c>
      <c r="AE507" s="64" t="s">
        <v>1621</v>
      </c>
    </row>
    <row r="508">
      <c r="A508" s="23" t="s">
        <v>169</v>
      </c>
      <c r="B508" s="23" t="s">
        <v>67</v>
      </c>
      <c r="C508" s="23" t="s">
        <v>4393</v>
      </c>
      <c r="D508" s="23" t="s">
        <v>4394</v>
      </c>
      <c r="E508" s="23" t="s">
        <v>4395</v>
      </c>
      <c r="F508" s="26">
        <v>772.0</v>
      </c>
      <c r="G508" s="237">
        <v>600579.0</v>
      </c>
      <c r="H508" s="23" t="s">
        <v>2132</v>
      </c>
      <c r="I508" s="23" t="s">
        <v>1148</v>
      </c>
      <c r="J508" s="27"/>
      <c r="K508" s="29">
        <v>45652.0</v>
      </c>
      <c r="L508" s="239" t="str">
        <f t="shared" si="14"/>
        <v>2024</v>
      </c>
      <c r="M508" s="29">
        <v>45659.0</v>
      </c>
      <c r="N508" s="29" t="str">
        <f t="shared" si="15"/>
        <v>2025</v>
      </c>
      <c r="O508" s="36">
        <f t="shared" si="11"/>
        <v>7</v>
      </c>
      <c r="P508" s="36">
        <f t="shared" si="4"/>
        <v>0</v>
      </c>
      <c r="Q508" s="23" t="s">
        <v>150</v>
      </c>
      <c r="R508" s="27"/>
      <c r="S508" s="27"/>
      <c r="T508" s="23" t="s">
        <v>146</v>
      </c>
      <c r="U508" s="23" t="s">
        <v>48</v>
      </c>
      <c r="V508" s="23" t="s">
        <v>4808</v>
      </c>
      <c r="W508" s="23" t="s">
        <v>4397</v>
      </c>
      <c r="X508" s="27"/>
      <c r="Y508" s="27"/>
      <c r="Z508" s="27"/>
      <c r="AA508" s="27"/>
      <c r="AB508" s="189"/>
      <c r="AC508" s="76" t="s">
        <v>247</v>
      </c>
      <c r="AD508" s="27"/>
      <c r="AE508" s="76" t="s">
        <v>1610</v>
      </c>
    </row>
    <row r="509">
      <c r="A509" s="45" t="s">
        <v>169</v>
      </c>
      <c r="B509" s="45" t="s">
        <v>19</v>
      </c>
      <c r="C509" s="45" t="s">
        <v>631</v>
      </c>
      <c r="D509" s="45" t="s">
        <v>4399</v>
      </c>
      <c r="E509" s="45" t="s">
        <v>4400</v>
      </c>
      <c r="F509" s="48">
        <v>773.0</v>
      </c>
      <c r="G509" s="240">
        <v>600580.0</v>
      </c>
      <c r="H509" s="45" t="s">
        <v>1392</v>
      </c>
      <c r="I509" s="45" t="s">
        <v>226</v>
      </c>
      <c r="J509" s="45" t="s">
        <v>243</v>
      </c>
      <c r="K509" s="55">
        <v>45653.0</v>
      </c>
      <c r="L509" s="242" t="str">
        <f t="shared" si="14"/>
        <v>2024</v>
      </c>
      <c r="M509" s="55">
        <v>46022.0</v>
      </c>
      <c r="N509" s="55" t="str">
        <f t="shared" si="15"/>
        <v>2025</v>
      </c>
      <c r="O509" s="58">
        <f t="shared" si="11"/>
        <v>369</v>
      </c>
      <c r="P509" s="58">
        <f t="shared" si="4"/>
        <v>1</v>
      </c>
      <c r="Q509" s="45" t="s">
        <v>150</v>
      </c>
      <c r="R509" s="51"/>
      <c r="S509" s="51"/>
      <c r="T509" s="45" t="s">
        <v>233</v>
      </c>
      <c r="U509" s="45" t="s">
        <v>48</v>
      </c>
      <c r="V509" s="45" t="s">
        <v>104</v>
      </c>
      <c r="W509" s="45" t="s">
        <v>4401</v>
      </c>
      <c r="X509" s="51"/>
      <c r="Y509" s="51"/>
      <c r="Z509" s="51"/>
      <c r="AA509" s="51"/>
      <c r="AB509" s="203"/>
      <c r="AC509" s="51"/>
      <c r="AD509" s="64" t="s">
        <v>123</v>
      </c>
      <c r="AE509" s="64" t="s">
        <v>1610</v>
      </c>
    </row>
    <row r="510">
      <c r="A510" s="23" t="s">
        <v>169</v>
      </c>
      <c r="B510" s="23" t="s">
        <v>19</v>
      </c>
      <c r="C510" s="23" t="s">
        <v>811</v>
      </c>
      <c r="D510" s="23" t="s">
        <v>4405</v>
      </c>
      <c r="E510" s="23" t="s">
        <v>4406</v>
      </c>
      <c r="F510" s="26">
        <v>775.0</v>
      </c>
      <c r="G510" s="237">
        <v>600583.0</v>
      </c>
      <c r="H510" s="23" t="s">
        <v>1392</v>
      </c>
      <c r="I510" s="23" t="s">
        <v>226</v>
      </c>
      <c r="J510" s="23" t="s">
        <v>2549</v>
      </c>
      <c r="K510" s="29">
        <v>45659.0</v>
      </c>
      <c r="L510" s="239" t="str">
        <f t="shared" si="14"/>
        <v>2025</v>
      </c>
      <c r="M510" s="29">
        <v>46015.0</v>
      </c>
      <c r="N510" s="29" t="str">
        <f t="shared" si="15"/>
        <v>2025</v>
      </c>
      <c r="O510" s="36">
        <f t="shared" si="11"/>
        <v>356</v>
      </c>
      <c r="P510" s="36">
        <f t="shared" si="4"/>
        <v>0</v>
      </c>
      <c r="Q510" s="23" t="s">
        <v>150</v>
      </c>
      <c r="R510" s="27"/>
      <c r="S510" s="27"/>
      <c r="T510" s="23" t="s">
        <v>233</v>
      </c>
      <c r="U510" s="23" t="s">
        <v>48</v>
      </c>
      <c r="V510" s="23" t="s">
        <v>104</v>
      </c>
      <c r="W510" s="23" t="s">
        <v>4407</v>
      </c>
      <c r="X510" s="27"/>
      <c r="Y510" s="27"/>
      <c r="Z510" s="27"/>
      <c r="AA510" s="27"/>
      <c r="AB510" s="189"/>
      <c r="AC510" s="27"/>
      <c r="AD510" s="76" t="s">
        <v>123</v>
      </c>
      <c r="AE510" s="76" t="s">
        <v>1501</v>
      </c>
    </row>
    <row r="511">
      <c r="A511" s="45" t="s">
        <v>169</v>
      </c>
      <c r="B511" s="45" t="s">
        <v>19</v>
      </c>
      <c r="C511" s="45" t="s">
        <v>1010</v>
      </c>
      <c r="D511" s="45" t="s">
        <v>4409</v>
      </c>
      <c r="E511" s="45" t="s">
        <v>4410</v>
      </c>
      <c r="F511" s="48">
        <v>776.0</v>
      </c>
      <c r="G511" s="240">
        <v>600584.0</v>
      </c>
      <c r="H511" s="45" t="s">
        <v>1392</v>
      </c>
      <c r="I511" s="45" t="s">
        <v>226</v>
      </c>
      <c r="J511" s="45" t="s">
        <v>2549</v>
      </c>
      <c r="K511" s="55">
        <v>45659.0</v>
      </c>
      <c r="L511" s="242" t="str">
        <f t="shared" si="14"/>
        <v>2025</v>
      </c>
      <c r="M511" s="55">
        <v>46015.0</v>
      </c>
      <c r="N511" s="55" t="str">
        <f t="shared" si="15"/>
        <v>2025</v>
      </c>
      <c r="O511" s="58">
        <f t="shared" si="11"/>
        <v>356</v>
      </c>
      <c r="P511" s="58">
        <f t="shared" si="4"/>
        <v>0</v>
      </c>
      <c r="Q511" s="45" t="s">
        <v>150</v>
      </c>
      <c r="R511" s="51"/>
      <c r="S511" s="51"/>
      <c r="T511" s="45" t="s">
        <v>233</v>
      </c>
      <c r="U511" s="45" t="s">
        <v>48</v>
      </c>
      <c r="V511" s="45" t="s">
        <v>104</v>
      </c>
      <c r="W511" s="45" t="s">
        <v>4412</v>
      </c>
      <c r="X511" s="51"/>
      <c r="Y511" s="51"/>
      <c r="Z511" s="51"/>
      <c r="AA511" s="51"/>
      <c r="AB511" s="203"/>
      <c r="AC511" s="51"/>
      <c r="AD511" s="64" t="s">
        <v>123</v>
      </c>
      <c r="AE511" s="64" t="s">
        <v>1501</v>
      </c>
    </row>
    <row r="512">
      <c r="A512" s="23" t="s">
        <v>169</v>
      </c>
      <c r="B512" s="23" t="s">
        <v>67</v>
      </c>
      <c r="C512" s="23" t="s">
        <v>4424</v>
      </c>
      <c r="D512" s="23" t="s">
        <v>4425</v>
      </c>
      <c r="E512" s="23" t="s">
        <v>4426</v>
      </c>
      <c r="F512" s="26">
        <v>782.0</v>
      </c>
      <c r="G512" s="237">
        <v>600591.0</v>
      </c>
      <c r="H512" s="23" t="s">
        <v>187</v>
      </c>
      <c r="I512" s="23" t="s">
        <v>1148</v>
      </c>
      <c r="J512" s="23" t="s">
        <v>2799</v>
      </c>
      <c r="K512" s="29">
        <v>45706.0</v>
      </c>
      <c r="L512" s="239" t="str">
        <f t="shared" si="14"/>
        <v>2025</v>
      </c>
      <c r="M512" s="29">
        <v>45716.0</v>
      </c>
      <c r="N512" s="29" t="str">
        <f t="shared" si="15"/>
        <v>2025</v>
      </c>
      <c r="O512" s="36">
        <f t="shared" si="11"/>
        <v>10</v>
      </c>
      <c r="P512" s="36">
        <f t="shared" si="4"/>
        <v>0</v>
      </c>
      <c r="Q512" s="23" t="s">
        <v>150</v>
      </c>
      <c r="R512" s="27"/>
      <c r="S512" s="27"/>
      <c r="T512" s="23" t="s">
        <v>146</v>
      </c>
      <c r="U512" s="23" t="s">
        <v>48</v>
      </c>
      <c r="V512" s="23" t="s">
        <v>4813</v>
      </c>
      <c r="W512" s="23" t="s">
        <v>4429</v>
      </c>
      <c r="X512" s="27"/>
      <c r="Y512" s="27"/>
      <c r="Z512" s="27"/>
      <c r="AA512" s="27"/>
      <c r="AB512" s="189"/>
      <c r="AC512" s="76" t="s">
        <v>247</v>
      </c>
      <c r="AD512" s="27"/>
      <c r="AE512" s="76" t="s">
        <v>4431</v>
      </c>
    </row>
    <row r="513">
      <c r="A513" s="45" t="s">
        <v>169</v>
      </c>
      <c r="B513" s="45" t="s">
        <v>19</v>
      </c>
      <c r="C513" s="45" t="s">
        <v>1005</v>
      </c>
      <c r="D513" s="45" t="s">
        <v>4439</v>
      </c>
      <c r="E513" s="45" t="s">
        <v>4440</v>
      </c>
      <c r="F513" s="48">
        <v>784.0</v>
      </c>
      <c r="G513" s="240">
        <v>600594.0</v>
      </c>
      <c r="H513" s="45" t="s">
        <v>84</v>
      </c>
      <c r="I513" s="45" t="s">
        <v>84</v>
      </c>
      <c r="J513" s="45" t="s">
        <v>2799</v>
      </c>
      <c r="K513" s="55">
        <v>45708.0</v>
      </c>
      <c r="L513" s="242" t="str">
        <f t="shared" si="14"/>
        <v>2025</v>
      </c>
      <c r="M513" s="55">
        <v>46087.0</v>
      </c>
      <c r="N513" s="55" t="str">
        <f t="shared" si="15"/>
        <v>2026</v>
      </c>
      <c r="O513" s="58">
        <f t="shared" si="11"/>
        <v>379</v>
      </c>
      <c r="P513" s="58">
        <f t="shared" si="4"/>
        <v>1</v>
      </c>
      <c r="Q513" s="45" t="s">
        <v>150</v>
      </c>
      <c r="R513" s="51"/>
      <c r="S513" s="51"/>
      <c r="T513" s="45" t="s">
        <v>84</v>
      </c>
      <c r="U513" s="45" t="s">
        <v>48</v>
      </c>
      <c r="V513" s="45" t="s">
        <v>104</v>
      </c>
      <c r="W513" s="45" t="s">
        <v>4443</v>
      </c>
      <c r="X513" s="45" t="s">
        <v>4443</v>
      </c>
      <c r="Y513" s="51"/>
      <c r="Z513" s="51"/>
      <c r="AA513" s="45" t="s">
        <v>104</v>
      </c>
      <c r="AB513" s="203"/>
      <c r="AC513" s="64" t="s">
        <v>247</v>
      </c>
      <c r="AD513" s="64" t="s">
        <v>261</v>
      </c>
      <c r="AE513" s="64" t="s">
        <v>1610</v>
      </c>
    </row>
    <row r="514">
      <c r="A514" s="23" t="s">
        <v>169</v>
      </c>
      <c r="B514" s="23" t="s">
        <v>67</v>
      </c>
      <c r="C514" s="23" t="s">
        <v>1310</v>
      </c>
      <c r="D514" s="23" t="s">
        <v>1311</v>
      </c>
      <c r="E514" s="23" t="s">
        <v>1312</v>
      </c>
      <c r="F514" s="26">
        <v>404.0</v>
      </c>
      <c r="G514" s="244"/>
      <c r="H514" s="23" t="s">
        <v>139</v>
      </c>
      <c r="I514" s="88"/>
      <c r="J514" s="23" t="s">
        <v>243</v>
      </c>
      <c r="K514" s="29">
        <v>45093.0</v>
      </c>
      <c r="L514" s="293"/>
      <c r="M514" s="29">
        <v>45825.0</v>
      </c>
      <c r="N514" s="29" t="str">
        <f t="shared" si="15"/>
        <v>2025</v>
      </c>
      <c r="O514" s="36">
        <f t="shared" si="11"/>
        <v>732</v>
      </c>
      <c r="P514" s="36">
        <f t="shared" si="4"/>
        <v>2</v>
      </c>
      <c r="Q514" s="23" t="s">
        <v>253</v>
      </c>
      <c r="R514" s="27"/>
      <c r="S514" s="27"/>
      <c r="T514" s="27"/>
      <c r="U514" s="23" t="s">
        <v>48</v>
      </c>
      <c r="V514" s="27"/>
      <c r="W514" s="23" t="s">
        <v>1318</v>
      </c>
      <c r="X514" s="23" t="s">
        <v>1318</v>
      </c>
      <c r="Y514" s="27"/>
      <c r="Z514" s="27"/>
      <c r="AA514" s="23" t="s">
        <v>708</v>
      </c>
      <c r="AB514" s="189"/>
      <c r="AC514" s="76" t="s">
        <v>354</v>
      </c>
      <c r="AD514" s="76" t="s">
        <v>261</v>
      </c>
      <c r="AE514" s="76" t="s">
        <v>1319</v>
      </c>
    </row>
    <row r="515">
      <c r="A515" s="45" t="s">
        <v>407</v>
      </c>
      <c r="B515" s="45" t="s">
        <v>19</v>
      </c>
      <c r="C515" s="45" t="s">
        <v>413</v>
      </c>
      <c r="D515" s="45" t="s">
        <v>4816</v>
      </c>
      <c r="E515" s="45" t="s">
        <v>4816</v>
      </c>
      <c r="F515" s="48">
        <v>247.0</v>
      </c>
      <c r="G515" s="243"/>
      <c r="H515" s="45" t="s">
        <v>464</v>
      </c>
      <c r="I515" s="53"/>
      <c r="J515" s="51"/>
      <c r="K515" s="55">
        <v>44677.0</v>
      </c>
      <c r="L515" s="294"/>
      <c r="M515" s="55">
        <v>46280.0</v>
      </c>
      <c r="N515" s="55" t="str">
        <f t="shared" si="15"/>
        <v>2026</v>
      </c>
      <c r="O515" s="58">
        <f t="shared" si="11"/>
        <v>1603</v>
      </c>
      <c r="P515" s="58">
        <f t="shared" si="4"/>
        <v>4</v>
      </c>
      <c r="Q515" s="45" t="s">
        <v>348</v>
      </c>
      <c r="R515" s="51"/>
      <c r="S515" s="51"/>
      <c r="T515" s="51"/>
      <c r="U515" s="45" t="s">
        <v>48</v>
      </c>
      <c r="V515" s="51"/>
      <c r="W515" s="45" t="s">
        <v>516</v>
      </c>
      <c r="X515" s="45" t="s">
        <v>516</v>
      </c>
      <c r="Y515" s="51"/>
      <c r="Z515" s="51"/>
      <c r="AA515" s="51"/>
      <c r="AB515" s="203"/>
      <c r="AC515" s="64" t="s">
        <v>354</v>
      </c>
      <c r="AD515" s="64" t="s">
        <v>261</v>
      </c>
      <c r="AE515" s="64" t="s">
        <v>3311</v>
      </c>
    </row>
    <row r="516">
      <c r="A516" s="23" t="s">
        <v>169</v>
      </c>
      <c r="B516" s="23" t="s">
        <v>19</v>
      </c>
      <c r="C516" s="23" t="s">
        <v>4451</v>
      </c>
      <c r="D516" s="23" t="s">
        <v>4452</v>
      </c>
      <c r="E516" s="23" t="s">
        <v>4453</v>
      </c>
      <c r="F516" s="26">
        <v>786.0</v>
      </c>
      <c r="G516" s="237">
        <v>600596.0</v>
      </c>
      <c r="H516" s="23" t="s">
        <v>2132</v>
      </c>
      <c r="I516" s="23" t="s">
        <v>3827</v>
      </c>
      <c r="J516" s="23" t="s">
        <v>2799</v>
      </c>
      <c r="K516" s="29">
        <v>45712.0</v>
      </c>
      <c r="L516" s="293"/>
      <c r="M516" s="29">
        <v>46077.0</v>
      </c>
      <c r="N516" s="29" t="str">
        <f t="shared" si="15"/>
        <v>2026</v>
      </c>
      <c r="O516" s="36">
        <f t="shared" si="11"/>
        <v>365</v>
      </c>
      <c r="P516" s="36">
        <f t="shared" si="4"/>
        <v>1</v>
      </c>
      <c r="Q516" s="23" t="s">
        <v>150</v>
      </c>
      <c r="R516" s="27"/>
      <c r="S516" s="27"/>
      <c r="T516" s="23" t="s">
        <v>84</v>
      </c>
      <c r="U516" s="23" t="s">
        <v>3827</v>
      </c>
      <c r="V516" s="23" t="s">
        <v>4821</v>
      </c>
      <c r="W516" s="23" t="s">
        <v>4454</v>
      </c>
      <c r="X516" s="23" t="s">
        <v>4454</v>
      </c>
      <c r="Y516" s="27"/>
      <c r="Z516" s="27"/>
      <c r="AA516" s="27"/>
      <c r="AB516" s="189"/>
      <c r="AC516" s="76" t="s">
        <v>354</v>
      </c>
      <c r="AD516" s="76" t="s">
        <v>261</v>
      </c>
      <c r="AE516" s="76" t="s">
        <v>1610</v>
      </c>
    </row>
    <row r="517">
      <c r="A517" s="45" t="s">
        <v>169</v>
      </c>
      <c r="B517" s="45" t="s">
        <v>67</v>
      </c>
      <c r="C517" s="45" t="s">
        <v>3260</v>
      </c>
      <c r="D517" s="45" t="s">
        <v>3261</v>
      </c>
      <c r="E517" s="45" t="s">
        <v>3262</v>
      </c>
      <c r="F517" s="48">
        <v>627.0</v>
      </c>
      <c r="G517" s="240">
        <v>600510.0</v>
      </c>
      <c r="H517" s="45" t="s">
        <v>464</v>
      </c>
      <c r="I517" s="45" t="s">
        <v>1148</v>
      </c>
      <c r="J517" s="51"/>
      <c r="K517" s="55">
        <v>45414.0</v>
      </c>
      <c r="L517" s="242" t="str">
        <f t="shared" ref="L517:L569" si="16">right(K517,4)</f>
        <v>2024</v>
      </c>
      <c r="M517" s="55">
        <v>45880.0</v>
      </c>
      <c r="N517" s="55" t="str">
        <f t="shared" si="15"/>
        <v>2025</v>
      </c>
      <c r="O517" s="58">
        <f t="shared" si="11"/>
        <v>466</v>
      </c>
      <c r="P517" s="58">
        <f t="shared" si="4"/>
        <v>1</v>
      </c>
      <c r="Q517" s="45" t="s">
        <v>150</v>
      </c>
      <c r="R517" s="51"/>
      <c r="S517" s="51"/>
      <c r="T517" s="51"/>
      <c r="U517" s="45" t="s">
        <v>48</v>
      </c>
      <c r="V517" s="45" t="s">
        <v>104</v>
      </c>
      <c r="W517" s="45" t="s">
        <v>3265</v>
      </c>
      <c r="X517" s="45" t="s">
        <v>3265</v>
      </c>
      <c r="Y517" s="51"/>
      <c r="Z517" s="51"/>
      <c r="AA517" s="51"/>
      <c r="AB517" s="203"/>
      <c r="AC517" s="64" t="s">
        <v>247</v>
      </c>
      <c r="AD517" s="64" t="s">
        <v>261</v>
      </c>
      <c r="AE517" s="64" t="s">
        <v>1610</v>
      </c>
    </row>
    <row r="518">
      <c r="A518" s="23" t="s">
        <v>169</v>
      </c>
      <c r="B518" s="23" t="s">
        <v>67</v>
      </c>
      <c r="C518" s="23" t="s">
        <v>4473</v>
      </c>
      <c r="D518" s="23" t="s">
        <v>4489</v>
      </c>
      <c r="E518" s="23" t="s">
        <v>4490</v>
      </c>
      <c r="F518" s="26">
        <v>795.0</v>
      </c>
      <c r="G518" s="244"/>
      <c r="H518" s="23" t="s">
        <v>4825</v>
      </c>
      <c r="I518" s="23" t="s">
        <v>1148</v>
      </c>
      <c r="J518" s="23" t="s">
        <v>4657</v>
      </c>
      <c r="K518" s="29">
        <v>45744.0</v>
      </c>
      <c r="L518" s="239" t="str">
        <f t="shared" si="16"/>
        <v>2025</v>
      </c>
      <c r="M518" s="29">
        <v>45975.0</v>
      </c>
      <c r="N518" s="29" t="str">
        <f t="shared" si="15"/>
        <v>2025</v>
      </c>
      <c r="O518" s="36">
        <f t="shared" si="11"/>
        <v>231</v>
      </c>
      <c r="P518" s="36">
        <f t="shared" si="4"/>
        <v>0</v>
      </c>
      <c r="Q518" s="23" t="s">
        <v>150</v>
      </c>
      <c r="R518" s="27"/>
      <c r="S518" s="27"/>
      <c r="T518" s="23" t="s">
        <v>146</v>
      </c>
      <c r="U518" s="23" t="s">
        <v>48</v>
      </c>
      <c r="V518" s="23" t="s">
        <v>4829</v>
      </c>
      <c r="W518" s="23" t="s">
        <v>4494</v>
      </c>
      <c r="X518" s="27"/>
      <c r="Y518" s="27"/>
      <c r="Z518" s="27"/>
      <c r="AA518" s="27"/>
      <c r="AB518" s="189"/>
      <c r="AC518" s="76" t="s">
        <v>247</v>
      </c>
      <c r="AD518" s="27"/>
      <c r="AE518" s="76" t="s">
        <v>1172</v>
      </c>
    </row>
    <row r="519">
      <c r="A519" s="45" t="s">
        <v>169</v>
      </c>
      <c r="B519" s="45" t="s">
        <v>19</v>
      </c>
      <c r="C519" s="45" t="s">
        <v>4478</v>
      </c>
      <c r="D519" s="45" t="s">
        <v>4534</v>
      </c>
      <c r="E519" s="45" t="s">
        <v>4535</v>
      </c>
      <c r="F519" s="48">
        <v>802.0</v>
      </c>
      <c r="G519" s="240">
        <v>600617.0</v>
      </c>
      <c r="H519" s="45" t="s">
        <v>2676</v>
      </c>
      <c r="I519" s="45" t="s">
        <v>226</v>
      </c>
      <c r="J519" s="45" t="s">
        <v>2799</v>
      </c>
      <c r="K519" s="55">
        <v>45768.0</v>
      </c>
      <c r="L519" s="242" t="str">
        <f t="shared" si="16"/>
        <v>2025</v>
      </c>
      <c r="M519" s="55">
        <v>46133.0</v>
      </c>
      <c r="N519" s="55" t="str">
        <f t="shared" si="15"/>
        <v>2026</v>
      </c>
      <c r="O519" s="58">
        <f t="shared" si="11"/>
        <v>365</v>
      </c>
      <c r="P519" s="58">
        <f t="shared" si="4"/>
        <v>1</v>
      </c>
      <c r="Q519" s="45" t="s">
        <v>150</v>
      </c>
      <c r="R519" s="51"/>
      <c r="S519" s="45" t="s">
        <v>113</v>
      </c>
      <c r="T519" s="45" t="s">
        <v>233</v>
      </c>
      <c r="U519" s="45" t="s">
        <v>48</v>
      </c>
      <c r="V519" s="45" t="s">
        <v>4832</v>
      </c>
      <c r="W519" s="45" t="s">
        <v>4536</v>
      </c>
      <c r="X519" s="45" t="s">
        <v>4536</v>
      </c>
      <c r="Y519" s="51"/>
      <c r="Z519" s="51"/>
      <c r="AA519" s="45" t="s">
        <v>708</v>
      </c>
      <c r="AB519" s="203"/>
      <c r="AC519" s="64" t="s">
        <v>777</v>
      </c>
      <c r="AD519" s="64" t="s">
        <v>123</v>
      </c>
      <c r="AE519" s="64" t="s">
        <v>1610</v>
      </c>
    </row>
    <row r="520">
      <c r="A520" s="23" t="s">
        <v>169</v>
      </c>
      <c r="B520" s="23" t="s">
        <v>67</v>
      </c>
      <c r="C520" s="23" t="s">
        <v>4479</v>
      </c>
      <c r="D520" s="23" t="s">
        <v>4540</v>
      </c>
      <c r="E520" s="23" t="s">
        <v>4541</v>
      </c>
      <c r="F520" s="26">
        <v>803.0</v>
      </c>
      <c r="G520" s="237">
        <v>600616.0</v>
      </c>
      <c r="H520" s="23" t="s">
        <v>139</v>
      </c>
      <c r="I520" s="23" t="s">
        <v>226</v>
      </c>
      <c r="J520" s="23" t="s">
        <v>243</v>
      </c>
      <c r="K520" s="29">
        <v>45768.0</v>
      </c>
      <c r="L520" s="239" t="str">
        <f t="shared" si="16"/>
        <v>2025</v>
      </c>
      <c r="M520" s="29">
        <v>46133.0</v>
      </c>
      <c r="N520" s="29" t="str">
        <f t="shared" si="15"/>
        <v>2026</v>
      </c>
      <c r="O520" s="36">
        <f t="shared" si="11"/>
        <v>365</v>
      </c>
      <c r="P520" s="36">
        <f t="shared" si="4"/>
        <v>1</v>
      </c>
      <c r="Q520" s="23" t="s">
        <v>150</v>
      </c>
      <c r="R520" s="27"/>
      <c r="S520" s="23" t="s">
        <v>113</v>
      </c>
      <c r="T520" s="23" t="s">
        <v>233</v>
      </c>
      <c r="U520" s="23" t="s">
        <v>48</v>
      </c>
      <c r="V520" s="23" t="s">
        <v>4835</v>
      </c>
      <c r="W520" s="23" t="s">
        <v>4545</v>
      </c>
      <c r="X520" s="27"/>
      <c r="Y520" s="27"/>
      <c r="Z520" s="27"/>
      <c r="AA520" s="23" t="s">
        <v>4544</v>
      </c>
      <c r="AB520" s="189"/>
      <c r="AC520" s="76" t="s">
        <v>247</v>
      </c>
      <c r="AD520" s="27"/>
      <c r="AE520" s="76" t="s">
        <v>1621</v>
      </c>
    </row>
    <row r="521">
      <c r="A521" s="45" t="s">
        <v>169</v>
      </c>
      <c r="B521" s="45" t="s">
        <v>19</v>
      </c>
      <c r="C521" s="45" t="s">
        <v>4480</v>
      </c>
      <c r="D521" s="45" t="s">
        <v>4549</v>
      </c>
      <c r="E521" s="45" t="s">
        <v>4550</v>
      </c>
      <c r="F521" s="48">
        <v>804.0</v>
      </c>
      <c r="G521" s="240">
        <v>600618.0</v>
      </c>
      <c r="H521" s="45" t="s">
        <v>2132</v>
      </c>
      <c r="I521" s="233" t="s">
        <v>723</v>
      </c>
      <c r="J521" s="45" t="s">
        <v>1478</v>
      </c>
      <c r="K521" s="55">
        <v>45769.0</v>
      </c>
      <c r="L521" s="242" t="str">
        <f t="shared" si="16"/>
        <v>2025</v>
      </c>
      <c r="M521" s="55">
        <v>45953.0</v>
      </c>
      <c r="N521" s="55" t="str">
        <f t="shared" si="15"/>
        <v>2025</v>
      </c>
      <c r="O521" s="58">
        <f t="shared" si="11"/>
        <v>184</v>
      </c>
      <c r="P521" s="58">
        <f t="shared" si="4"/>
        <v>0</v>
      </c>
      <c r="Q521" s="45" t="s">
        <v>150</v>
      </c>
      <c r="R521" s="51"/>
      <c r="S521" s="45" t="s">
        <v>113</v>
      </c>
      <c r="T521" s="45" t="s">
        <v>233</v>
      </c>
      <c r="U521" s="45" t="s">
        <v>48</v>
      </c>
      <c r="V521" s="45" t="s">
        <v>708</v>
      </c>
      <c r="W521" s="45" t="s">
        <v>4555</v>
      </c>
      <c r="X521" s="45" t="s">
        <v>4555</v>
      </c>
      <c r="Y521" s="51"/>
      <c r="Z521" s="51"/>
      <c r="AA521" s="45" t="s">
        <v>708</v>
      </c>
      <c r="AB521" s="72"/>
      <c r="AC521" s="64" t="s">
        <v>820</v>
      </c>
      <c r="AD521" s="64" t="s">
        <v>261</v>
      </c>
      <c r="AE521" s="64" t="s">
        <v>1610</v>
      </c>
    </row>
    <row r="522">
      <c r="A522" s="23" t="s">
        <v>169</v>
      </c>
      <c r="B522" s="23" t="s">
        <v>19</v>
      </c>
      <c r="C522" s="23" t="s">
        <v>690</v>
      </c>
      <c r="D522" s="23" t="s">
        <v>4578</v>
      </c>
      <c r="E522" s="23" t="s">
        <v>4579</v>
      </c>
      <c r="F522" s="26">
        <v>808.0</v>
      </c>
      <c r="G522" s="237">
        <v>600620.0</v>
      </c>
      <c r="H522" s="23" t="s">
        <v>1392</v>
      </c>
      <c r="I522" s="23" t="s">
        <v>84</v>
      </c>
      <c r="J522" s="23" t="s">
        <v>1525</v>
      </c>
      <c r="K522" s="29">
        <v>45772.0</v>
      </c>
      <c r="L522" s="239" t="str">
        <f t="shared" si="16"/>
        <v>2025</v>
      </c>
      <c r="M522" s="29">
        <v>46136.0</v>
      </c>
      <c r="N522" s="29" t="str">
        <f t="shared" si="15"/>
        <v>2026</v>
      </c>
      <c r="O522" s="36">
        <f t="shared" si="11"/>
        <v>364</v>
      </c>
      <c r="P522" s="36">
        <f t="shared" si="4"/>
        <v>0</v>
      </c>
      <c r="Q522" s="23" t="s">
        <v>150</v>
      </c>
      <c r="R522" s="27"/>
      <c r="S522" s="23" t="s">
        <v>269</v>
      </c>
      <c r="T522" s="23" t="s">
        <v>84</v>
      </c>
      <c r="U522" s="23" t="s">
        <v>790</v>
      </c>
      <c r="V522" s="23" t="s">
        <v>104</v>
      </c>
      <c r="W522" s="23" t="s">
        <v>4585</v>
      </c>
      <c r="X522" s="23" t="s">
        <v>4585</v>
      </c>
      <c r="Y522" s="27"/>
      <c r="Z522" s="27"/>
      <c r="AA522" s="23" t="s">
        <v>4583</v>
      </c>
      <c r="AB522" s="44"/>
      <c r="AC522" s="76" t="s">
        <v>777</v>
      </c>
      <c r="AD522" s="76" t="s">
        <v>4203</v>
      </c>
      <c r="AE522" s="76" t="s">
        <v>3421</v>
      </c>
    </row>
    <row r="523">
      <c r="A523" s="45" t="s">
        <v>169</v>
      </c>
      <c r="B523" s="45" t="s">
        <v>67</v>
      </c>
      <c r="C523" s="45" t="s">
        <v>1495</v>
      </c>
      <c r="D523" s="45" t="s">
        <v>1496</v>
      </c>
      <c r="E523" s="45" t="s">
        <v>1497</v>
      </c>
      <c r="F523" s="48">
        <v>438.0</v>
      </c>
      <c r="G523" s="240">
        <v>600205.0</v>
      </c>
      <c r="H523" s="45" t="s">
        <v>266</v>
      </c>
      <c r="I523" s="53"/>
      <c r="J523" s="241"/>
      <c r="K523" s="55">
        <v>45146.0</v>
      </c>
      <c r="L523" s="242" t="str">
        <f t="shared" si="16"/>
        <v>2023</v>
      </c>
      <c r="M523" s="55">
        <v>45882.0</v>
      </c>
      <c r="N523" s="55" t="str">
        <f t="shared" si="15"/>
        <v>2025</v>
      </c>
      <c r="O523" s="58">
        <f t="shared" si="11"/>
        <v>736</v>
      </c>
      <c r="P523" s="58">
        <f t="shared" si="4"/>
        <v>2</v>
      </c>
      <c r="Q523" s="45" t="s">
        <v>253</v>
      </c>
      <c r="R523" s="45" t="s">
        <v>4841</v>
      </c>
      <c r="S523" s="45" t="s">
        <v>269</v>
      </c>
      <c r="T523" s="294"/>
      <c r="U523" s="294"/>
      <c r="V523" s="268" t="s">
        <v>4003</v>
      </c>
      <c r="W523" s="45" t="s">
        <v>1498</v>
      </c>
      <c r="X523" s="45" t="s">
        <v>1498</v>
      </c>
      <c r="Y523" s="51"/>
      <c r="Z523" s="51"/>
      <c r="AA523" s="51"/>
      <c r="AB523" s="203"/>
      <c r="AC523" s="64" t="s">
        <v>354</v>
      </c>
      <c r="AD523" s="64" t="s">
        <v>261</v>
      </c>
      <c r="AE523" s="64" t="s">
        <v>1621</v>
      </c>
    </row>
    <row r="524">
      <c r="A524" s="23" t="s">
        <v>169</v>
      </c>
      <c r="B524" s="23" t="s">
        <v>67</v>
      </c>
      <c r="C524" s="23" t="s">
        <v>4488</v>
      </c>
      <c r="D524" s="23" t="s">
        <v>4613</v>
      </c>
      <c r="E524" s="23" t="s">
        <v>4614</v>
      </c>
      <c r="F524" s="26">
        <v>813.0</v>
      </c>
      <c r="G524" s="244"/>
      <c r="H524" s="23" t="s">
        <v>2132</v>
      </c>
      <c r="I524" s="23" t="s">
        <v>1148</v>
      </c>
      <c r="J524" s="23" t="s">
        <v>209</v>
      </c>
      <c r="K524" s="29">
        <v>45784.0</v>
      </c>
      <c r="L524" s="239" t="str">
        <f t="shared" si="16"/>
        <v>2025</v>
      </c>
      <c r="M524" s="29">
        <v>45791.0</v>
      </c>
      <c r="N524" s="29" t="str">
        <f t="shared" si="15"/>
        <v>2025</v>
      </c>
      <c r="O524" s="36">
        <f t="shared" si="11"/>
        <v>7</v>
      </c>
      <c r="P524" s="36">
        <f t="shared" si="4"/>
        <v>0</v>
      </c>
      <c r="Q524" s="23" t="s">
        <v>150</v>
      </c>
      <c r="R524" s="27"/>
      <c r="S524" s="23" t="s">
        <v>113</v>
      </c>
      <c r="T524" s="23" t="s">
        <v>146</v>
      </c>
      <c r="U524" s="23" t="s">
        <v>48</v>
      </c>
      <c r="V524" s="23" t="s">
        <v>3934</v>
      </c>
      <c r="W524" s="23" t="s">
        <v>4615</v>
      </c>
      <c r="X524" s="23" t="s">
        <v>4615</v>
      </c>
      <c r="Y524" s="27"/>
      <c r="Z524" s="27"/>
      <c r="AA524" s="27"/>
      <c r="AB524" s="189"/>
      <c r="AC524" s="76" t="s">
        <v>247</v>
      </c>
      <c r="AD524" s="27"/>
      <c r="AE524" s="76" t="s">
        <v>1610</v>
      </c>
    </row>
    <row r="525">
      <c r="A525" s="45" t="s">
        <v>169</v>
      </c>
      <c r="B525" s="45" t="s">
        <v>19</v>
      </c>
      <c r="C525" s="45" t="s">
        <v>649</v>
      </c>
      <c r="D525" s="45" t="s">
        <v>4617</v>
      </c>
      <c r="E525" s="45" t="s">
        <v>4618</v>
      </c>
      <c r="F525" s="48">
        <v>814.0</v>
      </c>
      <c r="G525" s="243"/>
      <c r="H525" s="51"/>
      <c r="I525" s="45" t="s">
        <v>84</v>
      </c>
      <c r="J525" s="45" t="s">
        <v>243</v>
      </c>
      <c r="K525" s="55">
        <v>45784.0</v>
      </c>
      <c r="L525" s="242" t="str">
        <f t="shared" si="16"/>
        <v>2025</v>
      </c>
      <c r="M525" s="55">
        <v>46022.0</v>
      </c>
      <c r="N525" s="55" t="str">
        <f t="shared" si="15"/>
        <v>2025</v>
      </c>
      <c r="O525" s="58">
        <f t="shared" si="11"/>
        <v>238</v>
      </c>
      <c r="P525" s="58">
        <f t="shared" si="4"/>
        <v>0</v>
      </c>
      <c r="Q525" s="45" t="s">
        <v>150</v>
      </c>
      <c r="R525" s="51"/>
      <c r="S525" s="45" t="s">
        <v>113</v>
      </c>
      <c r="T525" s="51"/>
      <c r="U525" s="45" t="s">
        <v>48</v>
      </c>
      <c r="V525" s="45" t="s">
        <v>1634</v>
      </c>
      <c r="W525" s="51"/>
      <c r="X525" s="51"/>
      <c r="Y525" s="51"/>
      <c r="Z525" s="51"/>
      <c r="AA525" s="51"/>
      <c r="AB525" s="203"/>
      <c r="AC525" s="64" t="s">
        <v>247</v>
      </c>
      <c r="AD525" s="51"/>
      <c r="AE525" s="64" t="s">
        <v>1621</v>
      </c>
    </row>
    <row r="526">
      <c r="A526" s="23" t="s">
        <v>169</v>
      </c>
      <c r="B526" s="23" t="s">
        <v>67</v>
      </c>
      <c r="C526" s="23" t="s">
        <v>4492</v>
      </c>
      <c r="D526" s="23" t="s">
        <v>4621</v>
      </c>
      <c r="E526" s="23" t="s">
        <v>4622</v>
      </c>
      <c r="F526" s="26">
        <v>815.0</v>
      </c>
      <c r="G526" s="244"/>
      <c r="H526" s="23" t="s">
        <v>2979</v>
      </c>
      <c r="I526" s="23" t="s">
        <v>226</v>
      </c>
      <c r="J526" s="23" t="s">
        <v>2442</v>
      </c>
      <c r="K526" s="29">
        <v>45784.0</v>
      </c>
      <c r="L526" s="239" t="str">
        <f t="shared" si="16"/>
        <v>2025</v>
      </c>
      <c r="M526" s="29">
        <v>45791.0</v>
      </c>
      <c r="N526" s="29" t="str">
        <f t="shared" si="15"/>
        <v>2025</v>
      </c>
      <c r="O526" s="36">
        <f t="shared" si="11"/>
        <v>7</v>
      </c>
      <c r="P526" s="36">
        <f t="shared" si="4"/>
        <v>0</v>
      </c>
      <c r="Q526" s="23" t="s">
        <v>150</v>
      </c>
      <c r="R526" s="27"/>
      <c r="S526" s="23" t="s">
        <v>113</v>
      </c>
      <c r="T526" s="23" t="s">
        <v>233</v>
      </c>
      <c r="U526" s="23" t="s">
        <v>48</v>
      </c>
      <c r="V526" s="23" t="s">
        <v>3934</v>
      </c>
      <c r="W526" s="23" t="s">
        <v>4623</v>
      </c>
      <c r="X526" s="23" t="s">
        <v>4623</v>
      </c>
      <c r="Y526" s="27"/>
      <c r="Z526" s="27"/>
      <c r="AA526" s="27"/>
      <c r="AB526" s="189"/>
      <c r="AC526" s="76" t="s">
        <v>247</v>
      </c>
      <c r="AD526" s="76" t="s">
        <v>261</v>
      </c>
      <c r="AE526" s="76" t="s">
        <v>3443</v>
      </c>
    </row>
    <row r="527">
      <c r="A527" s="45" t="s">
        <v>169</v>
      </c>
      <c r="B527" s="45" t="s">
        <v>67</v>
      </c>
      <c r="C527" s="45" t="s">
        <v>649</v>
      </c>
      <c r="D527" s="45" t="s">
        <v>4625</v>
      </c>
      <c r="E527" s="45" t="s">
        <v>4626</v>
      </c>
      <c r="F527" s="48">
        <v>820.0</v>
      </c>
      <c r="G527" s="243"/>
      <c r="H527" s="51"/>
      <c r="I527" s="45" t="s">
        <v>84</v>
      </c>
      <c r="J527" s="45" t="s">
        <v>243</v>
      </c>
      <c r="K527" s="55">
        <v>45784.0</v>
      </c>
      <c r="L527" s="242" t="str">
        <f t="shared" si="16"/>
        <v>2025</v>
      </c>
      <c r="M527" s="55">
        <v>46022.0</v>
      </c>
      <c r="N527" s="55" t="str">
        <f t="shared" si="15"/>
        <v>2025</v>
      </c>
      <c r="O527" s="58">
        <f t="shared" si="11"/>
        <v>238</v>
      </c>
      <c r="P527" s="58">
        <f t="shared" si="4"/>
        <v>0</v>
      </c>
      <c r="Q527" s="45" t="s">
        <v>150</v>
      </c>
      <c r="R527" s="51"/>
      <c r="S527" s="45" t="s">
        <v>113</v>
      </c>
      <c r="T527" s="51"/>
      <c r="U527" s="45" t="s">
        <v>48</v>
      </c>
      <c r="V527" s="45" t="s">
        <v>1634</v>
      </c>
      <c r="W527" s="45" t="s">
        <v>4628</v>
      </c>
      <c r="X527" s="51"/>
      <c r="Y527" s="51"/>
      <c r="Z527" s="51"/>
      <c r="AA527" s="51"/>
      <c r="AB527" s="203"/>
      <c r="AC527" s="64" t="s">
        <v>247</v>
      </c>
      <c r="AD527" s="51"/>
      <c r="AE527" s="64" t="s">
        <v>1621</v>
      </c>
    </row>
    <row r="528">
      <c r="A528" s="23" t="s">
        <v>169</v>
      </c>
      <c r="B528" s="23" t="s">
        <v>67</v>
      </c>
      <c r="C528" s="23" t="s">
        <v>649</v>
      </c>
      <c r="D528" s="23" t="s">
        <v>4630</v>
      </c>
      <c r="E528" s="23" t="s">
        <v>4631</v>
      </c>
      <c r="F528" s="26">
        <v>821.0</v>
      </c>
      <c r="G528" s="244"/>
      <c r="H528" s="27"/>
      <c r="I528" s="23" t="s">
        <v>84</v>
      </c>
      <c r="J528" s="23" t="s">
        <v>243</v>
      </c>
      <c r="K528" s="29">
        <v>45784.0</v>
      </c>
      <c r="L528" s="239" t="str">
        <f t="shared" si="16"/>
        <v>2025</v>
      </c>
      <c r="M528" s="29">
        <v>46022.0</v>
      </c>
      <c r="N528" s="29" t="str">
        <f t="shared" si="15"/>
        <v>2025</v>
      </c>
      <c r="O528" s="36">
        <f t="shared" si="11"/>
        <v>238</v>
      </c>
      <c r="P528" s="36">
        <f t="shared" si="4"/>
        <v>0</v>
      </c>
      <c r="Q528" s="23" t="s">
        <v>150</v>
      </c>
      <c r="R528" s="27"/>
      <c r="S528" s="23" t="s">
        <v>113</v>
      </c>
      <c r="T528" s="27"/>
      <c r="U528" s="23" t="s">
        <v>48</v>
      </c>
      <c r="V528" s="23" t="s">
        <v>1634</v>
      </c>
      <c r="W528" s="23" t="s">
        <v>4632</v>
      </c>
      <c r="X528" s="27"/>
      <c r="Y528" s="27"/>
      <c r="Z528" s="27"/>
      <c r="AA528" s="27"/>
      <c r="AB528" s="189"/>
      <c r="AC528" s="76" t="s">
        <v>247</v>
      </c>
      <c r="AD528" s="27"/>
      <c r="AE528" s="76" t="s">
        <v>1621</v>
      </c>
    </row>
    <row r="529">
      <c r="A529" s="45" t="s">
        <v>169</v>
      </c>
      <c r="B529" s="45" t="s">
        <v>19</v>
      </c>
      <c r="C529" s="45" t="s">
        <v>4495</v>
      </c>
      <c r="D529" s="45" t="s">
        <v>4660</v>
      </c>
      <c r="E529" s="45" t="s">
        <v>4661</v>
      </c>
      <c r="F529" s="48">
        <v>823.0</v>
      </c>
      <c r="G529" s="243"/>
      <c r="H529" s="51"/>
      <c r="I529" s="53"/>
      <c r="J529" s="51"/>
      <c r="K529" s="55">
        <v>45799.0</v>
      </c>
      <c r="L529" s="242" t="str">
        <f t="shared" si="16"/>
        <v>2025</v>
      </c>
      <c r="M529" s="55">
        <v>46022.0</v>
      </c>
      <c r="N529" s="55" t="str">
        <f t="shared" si="15"/>
        <v>2025</v>
      </c>
      <c r="O529" s="58">
        <f t="shared" si="11"/>
        <v>223</v>
      </c>
      <c r="P529" s="58">
        <f t="shared" si="4"/>
        <v>0</v>
      </c>
      <c r="Q529" s="45" t="s">
        <v>150</v>
      </c>
      <c r="R529" s="51"/>
      <c r="S529" s="45" t="s">
        <v>113</v>
      </c>
      <c r="T529" s="51"/>
      <c r="U529" s="45" t="s">
        <v>48</v>
      </c>
      <c r="V529" s="45" t="s">
        <v>1634</v>
      </c>
      <c r="W529" s="45" t="s">
        <v>1946</v>
      </c>
      <c r="X529" s="51"/>
      <c r="Y529" s="51"/>
      <c r="Z529" s="51"/>
      <c r="AA529" s="51"/>
      <c r="AB529" s="203"/>
      <c r="AC529" s="64" t="s">
        <v>247</v>
      </c>
      <c r="AD529" s="64" t="s">
        <v>261</v>
      </c>
      <c r="AE529" s="64" t="s">
        <v>1610</v>
      </c>
    </row>
    <row r="530">
      <c r="A530" s="23" t="s">
        <v>169</v>
      </c>
      <c r="B530" s="23" t="s">
        <v>67</v>
      </c>
      <c r="C530" s="23" t="s">
        <v>1503</v>
      </c>
      <c r="D530" s="23" t="s">
        <v>1504</v>
      </c>
      <c r="E530" s="23" t="s">
        <v>1505</v>
      </c>
      <c r="F530" s="26">
        <v>440.0</v>
      </c>
      <c r="G530" s="237">
        <v>600201.0</v>
      </c>
      <c r="H530" s="23" t="s">
        <v>266</v>
      </c>
      <c r="I530" s="88"/>
      <c r="J530" s="238"/>
      <c r="K530" s="29">
        <v>45147.0</v>
      </c>
      <c r="L530" s="239" t="str">
        <f t="shared" si="16"/>
        <v>2023</v>
      </c>
      <c r="M530" s="29">
        <v>45882.0</v>
      </c>
      <c r="N530" s="29" t="str">
        <f t="shared" si="15"/>
        <v>2025</v>
      </c>
      <c r="O530" s="36">
        <f t="shared" si="11"/>
        <v>735</v>
      </c>
      <c r="P530" s="36">
        <f t="shared" si="4"/>
        <v>2</v>
      </c>
      <c r="Q530" s="23" t="s">
        <v>253</v>
      </c>
      <c r="R530" s="27"/>
      <c r="S530" s="23" t="s">
        <v>269</v>
      </c>
      <c r="T530" s="27"/>
      <c r="U530" s="27"/>
      <c r="V530" s="23" t="s">
        <v>104</v>
      </c>
      <c r="W530" s="23" t="s">
        <v>1506</v>
      </c>
      <c r="X530" s="23" t="s">
        <v>1506</v>
      </c>
      <c r="Y530" s="27"/>
      <c r="Z530" s="27"/>
      <c r="AA530" s="27"/>
      <c r="AB530" s="189"/>
      <c r="AC530" s="76" t="s">
        <v>777</v>
      </c>
      <c r="AD530" s="76" t="s">
        <v>261</v>
      </c>
      <c r="AE530" s="76" t="s">
        <v>1621</v>
      </c>
    </row>
    <row r="531">
      <c r="A531" s="45" t="s">
        <v>169</v>
      </c>
      <c r="B531" s="45" t="s">
        <v>67</v>
      </c>
      <c r="C531" s="45" t="s">
        <v>4501</v>
      </c>
      <c r="D531" s="45" t="s">
        <v>4696</v>
      </c>
      <c r="E531" s="45" t="s">
        <v>4697</v>
      </c>
      <c r="F531" s="48">
        <v>829.0</v>
      </c>
      <c r="G531" s="243"/>
      <c r="H531" s="51"/>
      <c r="I531" s="53"/>
      <c r="J531" s="51"/>
      <c r="K531" s="53"/>
      <c r="L531" s="294" t="str">
        <f t="shared" si="16"/>
        <v/>
      </c>
      <c r="M531" s="53"/>
      <c r="N531" s="53" t="str">
        <f t="shared" si="15"/>
        <v/>
      </c>
      <c r="O531" s="58">
        <f t="shared" si="11"/>
        <v>0</v>
      </c>
      <c r="P531" s="58">
        <f t="shared" si="4"/>
        <v>0</v>
      </c>
      <c r="Q531" s="51"/>
      <c r="R531" s="51"/>
      <c r="S531" s="51"/>
      <c r="T531" s="51"/>
      <c r="U531" s="51"/>
      <c r="V531" s="51"/>
      <c r="W531" s="45" t="s">
        <v>4698</v>
      </c>
      <c r="X531" s="45" t="s">
        <v>4698</v>
      </c>
      <c r="Y531" s="51"/>
      <c r="Z531" s="51"/>
      <c r="AA531" s="51"/>
      <c r="AB531" s="203"/>
      <c r="AC531" s="64" t="s">
        <v>820</v>
      </c>
      <c r="AD531" s="64" t="s">
        <v>261</v>
      </c>
      <c r="AE531" s="64" t="s">
        <v>1172</v>
      </c>
    </row>
    <row r="532">
      <c r="A532" s="23" t="s">
        <v>407</v>
      </c>
      <c r="B532" s="23" t="s">
        <v>19</v>
      </c>
      <c r="C532" s="23" t="s">
        <v>999</v>
      </c>
      <c r="D532" s="23" t="s">
        <v>4650</v>
      </c>
      <c r="E532" s="23" t="s">
        <v>4651</v>
      </c>
      <c r="F532" s="26">
        <v>818.0</v>
      </c>
      <c r="G532" s="237">
        <v>600632.0</v>
      </c>
      <c r="H532" s="23" t="s">
        <v>139</v>
      </c>
      <c r="I532" s="23" t="s">
        <v>1148</v>
      </c>
      <c r="J532" s="23" t="s">
        <v>2418</v>
      </c>
      <c r="K532" s="29">
        <v>45796.0</v>
      </c>
      <c r="L532" s="239" t="str">
        <f t="shared" si="16"/>
        <v>2025</v>
      </c>
      <c r="M532" s="29">
        <v>46161.0</v>
      </c>
      <c r="N532" s="29" t="str">
        <f t="shared" si="15"/>
        <v>2026</v>
      </c>
      <c r="O532" s="36">
        <f t="shared" si="11"/>
        <v>365</v>
      </c>
      <c r="P532" s="36">
        <f t="shared" si="4"/>
        <v>1</v>
      </c>
      <c r="Q532" s="23" t="s">
        <v>150</v>
      </c>
      <c r="R532" s="27"/>
      <c r="S532" s="23" t="s">
        <v>269</v>
      </c>
      <c r="T532" s="23" t="s">
        <v>146</v>
      </c>
      <c r="U532" s="23" t="s">
        <v>1244</v>
      </c>
      <c r="V532" s="23" t="s">
        <v>708</v>
      </c>
      <c r="W532" s="23" t="s">
        <v>4653</v>
      </c>
      <c r="X532" s="23" t="s">
        <v>4653</v>
      </c>
      <c r="Y532" s="27"/>
      <c r="Z532" s="27"/>
      <c r="AA532" s="27"/>
      <c r="AB532" s="189"/>
      <c r="AC532" s="76" t="s">
        <v>777</v>
      </c>
      <c r="AD532" s="76" t="s">
        <v>123</v>
      </c>
      <c r="AE532" s="76" t="s">
        <v>3311</v>
      </c>
    </row>
    <row r="533">
      <c r="A533" s="45" t="s">
        <v>169</v>
      </c>
      <c r="B533" s="45" t="s">
        <v>19</v>
      </c>
      <c r="C533" s="45" t="s">
        <v>997</v>
      </c>
      <c r="D533" s="45" t="s">
        <v>4687</v>
      </c>
      <c r="E533" s="45" t="s">
        <v>4688</v>
      </c>
      <c r="F533" s="48">
        <v>827.0</v>
      </c>
      <c r="G533" s="240">
        <v>600639.0</v>
      </c>
      <c r="H533" s="45" t="s">
        <v>2132</v>
      </c>
      <c r="I533" s="45" t="s">
        <v>1148</v>
      </c>
      <c r="J533" s="45" t="s">
        <v>2418</v>
      </c>
      <c r="K533" s="55">
        <v>45811.0</v>
      </c>
      <c r="L533" s="242" t="str">
        <f t="shared" si="16"/>
        <v>2025</v>
      </c>
      <c r="M533" s="55">
        <v>46017.0</v>
      </c>
      <c r="N533" s="55" t="str">
        <f t="shared" si="15"/>
        <v>2025</v>
      </c>
      <c r="O533" s="58">
        <f t="shared" si="11"/>
        <v>206</v>
      </c>
      <c r="P533" s="58">
        <f t="shared" si="4"/>
        <v>0</v>
      </c>
      <c r="Q533" s="45" t="s">
        <v>253</v>
      </c>
      <c r="R533" s="51"/>
      <c r="S533" s="51"/>
      <c r="T533" s="45" t="s">
        <v>146</v>
      </c>
      <c r="U533" s="45" t="s">
        <v>1244</v>
      </c>
      <c r="V533" s="45" t="s">
        <v>104</v>
      </c>
      <c r="W533" s="45" t="s">
        <v>4690</v>
      </c>
      <c r="X533" s="45" t="s">
        <v>4690</v>
      </c>
      <c r="Y533" s="51"/>
      <c r="Z533" s="51"/>
      <c r="AA533" s="51"/>
      <c r="AB533" s="203"/>
      <c r="AC533" s="64" t="s">
        <v>777</v>
      </c>
      <c r="AD533" s="64" t="s">
        <v>14</v>
      </c>
      <c r="AE533" s="64" t="s">
        <v>1621</v>
      </c>
    </row>
    <row r="534">
      <c r="A534" s="23" t="s">
        <v>169</v>
      </c>
      <c r="B534" s="23" t="s">
        <v>67</v>
      </c>
      <c r="C534" s="23" t="s">
        <v>4509</v>
      </c>
      <c r="D534" s="23" t="s">
        <v>4744</v>
      </c>
      <c r="E534" s="23" t="s">
        <v>4745</v>
      </c>
      <c r="F534" s="26">
        <v>841.0</v>
      </c>
      <c r="G534" s="237">
        <v>600652.0</v>
      </c>
      <c r="H534" s="23" t="s">
        <v>1392</v>
      </c>
      <c r="I534" s="23" t="s">
        <v>1148</v>
      </c>
      <c r="J534" s="23" t="s">
        <v>782</v>
      </c>
      <c r="K534" s="29">
        <v>45853.0</v>
      </c>
      <c r="L534" s="239" t="str">
        <f t="shared" si="16"/>
        <v>2025</v>
      </c>
      <c r="M534" s="29">
        <v>45884.0</v>
      </c>
      <c r="N534" s="29" t="str">
        <f t="shared" si="15"/>
        <v>2025</v>
      </c>
      <c r="O534" s="36">
        <f t="shared" si="11"/>
        <v>31</v>
      </c>
      <c r="P534" s="36">
        <f t="shared" si="4"/>
        <v>0</v>
      </c>
      <c r="Q534" s="23" t="s">
        <v>150</v>
      </c>
      <c r="R534" s="23" t="s">
        <v>106</v>
      </c>
      <c r="S534" s="27"/>
      <c r="T534" s="23" t="s">
        <v>146</v>
      </c>
      <c r="U534" s="23" t="s">
        <v>48</v>
      </c>
      <c r="V534" s="23" t="s">
        <v>4858</v>
      </c>
      <c r="W534" s="23" t="s">
        <v>4746</v>
      </c>
      <c r="X534" s="23" t="s">
        <v>4746</v>
      </c>
      <c r="Y534" s="27"/>
      <c r="Z534" s="27"/>
      <c r="AA534" s="27"/>
      <c r="AB534" s="189"/>
      <c r="AC534" s="76" t="s">
        <v>777</v>
      </c>
      <c r="AD534" s="27"/>
      <c r="AE534" s="76" t="s">
        <v>3421</v>
      </c>
    </row>
    <row r="535">
      <c r="A535" s="45" t="s">
        <v>169</v>
      </c>
      <c r="B535" s="45" t="s">
        <v>67</v>
      </c>
      <c r="C535" s="45" t="s">
        <v>4032</v>
      </c>
      <c r="D535" s="45" t="s">
        <v>4033</v>
      </c>
      <c r="E535" s="45" t="s">
        <v>4034</v>
      </c>
      <c r="F535" s="48">
        <v>697.0</v>
      </c>
      <c r="G535" s="240">
        <v>600477.0</v>
      </c>
      <c r="H535" s="45" t="s">
        <v>139</v>
      </c>
      <c r="I535" s="45" t="s">
        <v>1148</v>
      </c>
      <c r="J535" s="45" t="s">
        <v>2783</v>
      </c>
      <c r="K535" s="55">
        <v>45520.0</v>
      </c>
      <c r="L535" s="242" t="str">
        <f t="shared" si="16"/>
        <v>2024</v>
      </c>
      <c r="M535" s="55">
        <v>45885.0</v>
      </c>
      <c r="N535" s="55" t="str">
        <f t="shared" si="15"/>
        <v>2025</v>
      </c>
      <c r="O535" s="58">
        <f t="shared" si="11"/>
        <v>365</v>
      </c>
      <c r="P535" s="58">
        <f t="shared" si="4"/>
        <v>1</v>
      </c>
      <c r="Q535" s="45" t="s">
        <v>150</v>
      </c>
      <c r="R535" s="51"/>
      <c r="S535" s="51"/>
      <c r="T535" s="45" t="s">
        <v>146</v>
      </c>
      <c r="U535" s="45" t="s">
        <v>48</v>
      </c>
      <c r="V535" s="268" t="s">
        <v>4863</v>
      </c>
      <c r="W535" s="142" t="s">
        <v>4865</v>
      </c>
      <c r="X535" s="142" t="s">
        <v>4867</v>
      </c>
      <c r="Y535" s="51"/>
      <c r="Z535" s="51"/>
      <c r="AA535" s="51"/>
      <c r="AB535" s="203"/>
      <c r="AC535" s="64" t="s">
        <v>354</v>
      </c>
      <c r="AD535" s="51"/>
      <c r="AE535" s="64" t="s">
        <v>1621</v>
      </c>
    </row>
    <row r="536">
      <c r="A536" s="23" t="s">
        <v>169</v>
      </c>
      <c r="B536" s="23" t="s">
        <v>19</v>
      </c>
      <c r="C536" s="23" t="s">
        <v>4503</v>
      </c>
      <c r="D536" s="23" t="s">
        <v>4709</v>
      </c>
      <c r="E536" s="23" t="s">
        <v>4710</v>
      </c>
      <c r="F536" s="26">
        <v>837.0</v>
      </c>
      <c r="G536" s="237">
        <v>600647.0</v>
      </c>
      <c r="H536" s="27"/>
      <c r="I536" s="88"/>
      <c r="J536" s="27"/>
      <c r="K536" s="29">
        <v>45838.0</v>
      </c>
      <c r="L536" s="239" t="str">
        <f t="shared" si="16"/>
        <v>2025</v>
      </c>
      <c r="M536" s="29">
        <v>46022.0</v>
      </c>
      <c r="N536" s="29" t="str">
        <f t="shared" si="15"/>
        <v>2025</v>
      </c>
      <c r="O536" s="36">
        <f t="shared" si="11"/>
        <v>184</v>
      </c>
      <c r="P536" s="36">
        <f t="shared" si="4"/>
        <v>0</v>
      </c>
      <c r="Q536" s="27"/>
      <c r="R536" s="27"/>
      <c r="S536" s="27"/>
      <c r="T536" s="27"/>
      <c r="U536" s="27"/>
      <c r="V536" s="27"/>
      <c r="W536" s="23" t="s">
        <v>4712</v>
      </c>
      <c r="X536" s="23" t="s">
        <v>4712</v>
      </c>
      <c r="Y536" s="27"/>
      <c r="Z536" s="27"/>
      <c r="AA536" s="23" t="s">
        <v>4711</v>
      </c>
      <c r="AB536" s="189"/>
      <c r="AC536" s="76" t="s">
        <v>820</v>
      </c>
      <c r="AD536" s="76" t="s">
        <v>14</v>
      </c>
      <c r="AE536" s="76" t="s">
        <v>1621</v>
      </c>
    </row>
    <row r="537">
      <c r="A537" s="45" t="s">
        <v>169</v>
      </c>
      <c r="B537" s="45" t="s">
        <v>19</v>
      </c>
      <c r="C537" s="45" t="s">
        <v>4505</v>
      </c>
      <c r="D537" s="45" t="s">
        <v>4720</v>
      </c>
      <c r="E537" s="45" t="s">
        <v>4721</v>
      </c>
      <c r="F537" s="48">
        <v>836.0</v>
      </c>
      <c r="G537" s="243"/>
      <c r="H537" s="45" t="s">
        <v>84</v>
      </c>
      <c r="I537" s="53"/>
      <c r="J537" s="51"/>
      <c r="K537" s="55">
        <v>45842.0</v>
      </c>
      <c r="L537" s="242" t="str">
        <f t="shared" si="16"/>
        <v>2025</v>
      </c>
      <c r="M537" s="55">
        <v>46022.0</v>
      </c>
      <c r="N537" s="55" t="str">
        <f t="shared" si="15"/>
        <v>2025</v>
      </c>
      <c r="O537" s="58">
        <f t="shared" si="11"/>
        <v>180</v>
      </c>
      <c r="P537" s="58">
        <f t="shared" si="4"/>
        <v>0</v>
      </c>
      <c r="Q537" s="45" t="s">
        <v>150</v>
      </c>
      <c r="R537" s="51"/>
      <c r="S537" s="51"/>
      <c r="T537" s="45" t="s">
        <v>84</v>
      </c>
      <c r="U537" s="45" t="s">
        <v>48</v>
      </c>
      <c r="V537" s="45" t="s">
        <v>104</v>
      </c>
      <c r="W537" s="45" t="s">
        <v>4724</v>
      </c>
      <c r="X537" s="45" t="s">
        <v>4724</v>
      </c>
      <c r="Y537" s="51"/>
      <c r="Z537" s="51"/>
      <c r="AA537" s="51"/>
      <c r="AB537" s="203"/>
      <c r="AC537" s="64" t="s">
        <v>247</v>
      </c>
      <c r="AD537" s="51"/>
      <c r="AE537" s="64" t="s">
        <v>4500</v>
      </c>
    </row>
    <row r="538">
      <c r="A538" s="23" t="s">
        <v>169</v>
      </c>
      <c r="B538" s="23" t="s">
        <v>19</v>
      </c>
      <c r="C538" s="23" t="s">
        <v>4507</v>
      </c>
      <c r="D538" s="23" t="s">
        <v>4736</v>
      </c>
      <c r="E538" s="23" t="s">
        <v>4737</v>
      </c>
      <c r="F538" s="26">
        <v>839.0</v>
      </c>
      <c r="G538" s="237">
        <v>600651.0</v>
      </c>
      <c r="H538" s="27"/>
      <c r="I538" s="88"/>
      <c r="J538" s="27"/>
      <c r="K538" s="29">
        <v>45852.0</v>
      </c>
      <c r="L538" s="239" t="str">
        <f t="shared" si="16"/>
        <v>2025</v>
      </c>
      <c r="M538" s="29">
        <v>46022.0</v>
      </c>
      <c r="N538" s="29" t="str">
        <f t="shared" si="15"/>
        <v>2025</v>
      </c>
      <c r="O538" s="36">
        <f t="shared" si="11"/>
        <v>170</v>
      </c>
      <c r="P538" s="36">
        <f t="shared" si="4"/>
        <v>0</v>
      </c>
      <c r="Q538" s="23" t="s">
        <v>150</v>
      </c>
      <c r="R538" s="27"/>
      <c r="S538" s="27"/>
      <c r="T538" s="27"/>
      <c r="U538" s="27"/>
      <c r="V538" s="23" t="s">
        <v>104</v>
      </c>
      <c r="W538" s="23" t="s">
        <v>4740</v>
      </c>
      <c r="X538" s="27"/>
      <c r="Y538" s="27"/>
      <c r="Z538" s="27"/>
      <c r="AA538" s="27"/>
      <c r="AB538" s="189"/>
      <c r="AC538" s="76" t="s">
        <v>247</v>
      </c>
      <c r="AD538" s="76" t="s">
        <v>2816</v>
      </c>
      <c r="AE538" s="76" t="s">
        <v>1621</v>
      </c>
    </row>
    <row r="539">
      <c r="A539" s="45" t="s">
        <v>169</v>
      </c>
      <c r="B539" s="45" t="s">
        <v>67</v>
      </c>
      <c r="C539" s="45" t="s">
        <v>4510</v>
      </c>
      <c r="D539" s="45" t="s">
        <v>4749</v>
      </c>
      <c r="E539" s="45" t="s">
        <v>4750</v>
      </c>
      <c r="F539" s="48">
        <v>840.0</v>
      </c>
      <c r="G539" s="240">
        <v>600653.0</v>
      </c>
      <c r="H539" s="45" t="s">
        <v>84</v>
      </c>
      <c r="I539" s="45" t="s">
        <v>1148</v>
      </c>
      <c r="J539" s="45" t="s">
        <v>243</v>
      </c>
      <c r="K539" s="55">
        <v>45853.0</v>
      </c>
      <c r="L539" s="242" t="str">
        <f t="shared" si="16"/>
        <v>2025</v>
      </c>
      <c r="M539" s="55">
        <v>45930.0</v>
      </c>
      <c r="N539" s="55" t="str">
        <f t="shared" si="15"/>
        <v>2025</v>
      </c>
      <c r="O539" s="58">
        <f t="shared" si="11"/>
        <v>77</v>
      </c>
      <c r="P539" s="58">
        <f t="shared" si="4"/>
        <v>0</v>
      </c>
      <c r="Q539" s="45" t="s">
        <v>150</v>
      </c>
      <c r="R539" s="51"/>
      <c r="S539" s="51"/>
      <c r="T539" s="45" t="s">
        <v>84</v>
      </c>
      <c r="U539" s="45" t="s">
        <v>48</v>
      </c>
      <c r="V539" s="45" t="s">
        <v>104</v>
      </c>
      <c r="W539" s="45" t="s">
        <v>4751</v>
      </c>
      <c r="X539" s="51"/>
      <c r="Y539" s="51"/>
      <c r="Z539" s="51"/>
      <c r="AA539" s="51"/>
      <c r="AB539" s="203"/>
      <c r="AC539" s="64" t="s">
        <v>247</v>
      </c>
      <c r="AD539" s="64" t="s">
        <v>261</v>
      </c>
      <c r="AE539" s="64" t="s">
        <v>1621</v>
      </c>
    </row>
    <row r="540">
      <c r="A540" s="23" t="s">
        <v>169</v>
      </c>
      <c r="B540" s="23" t="s">
        <v>67</v>
      </c>
      <c r="C540" s="23" t="s">
        <v>4040</v>
      </c>
      <c r="D540" s="23" t="s">
        <v>4041</v>
      </c>
      <c r="E540" s="23" t="s">
        <v>4042</v>
      </c>
      <c r="F540" s="26">
        <v>696.0</v>
      </c>
      <c r="G540" s="237">
        <v>600476.0</v>
      </c>
      <c r="H540" s="23" t="s">
        <v>139</v>
      </c>
      <c r="I540" s="23" t="s">
        <v>1148</v>
      </c>
      <c r="J540" s="23" t="s">
        <v>740</v>
      </c>
      <c r="K540" s="29">
        <v>45520.0</v>
      </c>
      <c r="L540" s="239" t="str">
        <f t="shared" si="16"/>
        <v>2024</v>
      </c>
      <c r="M540" s="29">
        <v>45885.0</v>
      </c>
      <c r="N540" s="29" t="str">
        <f t="shared" si="15"/>
        <v>2025</v>
      </c>
      <c r="O540" s="36">
        <f t="shared" si="11"/>
        <v>365</v>
      </c>
      <c r="P540" s="36">
        <f t="shared" si="4"/>
        <v>1</v>
      </c>
      <c r="Q540" s="23" t="s">
        <v>150</v>
      </c>
      <c r="R540" s="27"/>
      <c r="S540" s="27"/>
      <c r="T540" s="23" t="s">
        <v>146</v>
      </c>
      <c r="U540" s="23" t="s">
        <v>48</v>
      </c>
      <c r="V540" s="23" t="s">
        <v>104</v>
      </c>
      <c r="W540" s="23" t="s">
        <v>4043</v>
      </c>
      <c r="X540" s="23" t="s">
        <v>4043</v>
      </c>
      <c r="Y540" s="27"/>
      <c r="Z540" s="27"/>
      <c r="AA540" s="27"/>
      <c r="AB540" s="189"/>
      <c r="AC540" s="76" t="s">
        <v>247</v>
      </c>
      <c r="AD540" s="76" t="s">
        <v>261</v>
      </c>
      <c r="AE540" s="76" t="s">
        <v>3443</v>
      </c>
    </row>
    <row r="541">
      <c r="A541" s="45" t="s">
        <v>169</v>
      </c>
      <c r="B541" s="45" t="s">
        <v>67</v>
      </c>
      <c r="C541" s="45" t="s">
        <v>4511</v>
      </c>
      <c r="D541" s="45" t="s">
        <v>4753</v>
      </c>
      <c r="E541" s="45" t="s">
        <v>4754</v>
      </c>
      <c r="F541" s="48">
        <v>842.0</v>
      </c>
      <c r="G541" s="240">
        <v>600654.0</v>
      </c>
      <c r="H541" s="45" t="s">
        <v>1392</v>
      </c>
      <c r="I541" s="45" t="s">
        <v>1148</v>
      </c>
      <c r="J541" s="45" t="s">
        <v>3210</v>
      </c>
      <c r="K541" s="55">
        <v>45855.0</v>
      </c>
      <c r="L541" s="242" t="str">
        <f t="shared" si="16"/>
        <v>2025</v>
      </c>
      <c r="M541" s="55">
        <v>45886.0</v>
      </c>
      <c r="N541" s="55" t="str">
        <f t="shared" si="15"/>
        <v>2025</v>
      </c>
      <c r="O541" s="58">
        <f t="shared" si="11"/>
        <v>31</v>
      </c>
      <c r="P541" s="58">
        <f t="shared" si="4"/>
        <v>0</v>
      </c>
      <c r="Q541" s="45" t="s">
        <v>150</v>
      </c>
      <c r="R541" s="51"/>
      <c r="S541" s="51"/>
      <c r="T541" s="45" t="s">
        <v>146</v>
      </c>
      <c r="U541" s="45" t="s">
        <v>48</v>
      </c>
      <c r="V541" s="45" t="s">
        <v>4832</v>
      </c>
      <c r="W541" s="45" t="s">
        <v>4756</v>
      </c>
      <c r="X541" s="45" t="s">
        <v>4756</v>
      </c>
      <c r="Y541" s="51"/>
      <c r="Z541" s="51"/>
      <c r="AA541" s="51"/>
      <c r="AB541" s="203"/>
      <c r="AC541" s="64" t="s">
        <v>247</v>
      </c>
      <c r="AD541" s="51"/>
      <c r="AE541" s="64" t="s">
        <v>3421</v>
      </c>
    </row>
    <row r="542">
      <c r="A542" s="23" t="s">
        <v>169</v>
      </c>
      <c r="B542" s="23" t="s">
        <v>67</v>
      </c>
      <c r="C542" s="23" t="s">
        <v>4513</v>
      </c>
      <c r="D542" s="23" t="s">
        <v>4758</v>
      </c>
      <c r="E542" s="23" t="s">
        <v>4759</v>
      </c>
      <c r="F542" s="26">
        <v>843.0</v>
      </c>
      <c r="G542" s="244"/>
      <c r="H542" s="23" t="s">
        <v>2676</v>
      </c>
      <c r="I542" s="88"/>
      <c r="J542" s="27"/>
      <c r="K542" s="29">
        <v>45856.0</v>
      </c>
      <c r="L542" s="239" t="str">
        <f t="shared" si="16"/>
        <v>2025</v>
      </c>
      <c r="M542" s="29">
        <v>45870.0</v>
      </c>
      <c r="N542" s="29" t="str">
        <f t="shared" si="15"/>
        <v>2025</v>
      </c>
      <c r="O542" s="36">
        <f t="shared" si="11"/>
        <v>14</v>
      </c>
      <c r="P542" s="36">
        <f t="shared" si="4"/>
        <v>0</v>
      </c>
      <c r="Q542" s="27"/>
      <c r="R542" s="23" t="s">
        <v>106</v>
      </c>
      <c r="S542" s="27"/>
      <c r="T542" s="23" t="s">
        <v>84</v>
      </c>
      <c r="U542" s="27"/>
      <c r="V542" s="23" t="s">
        <v>4832</v>
      </c>
      <c r="W542" s="23" t="s">
        <v>4760</v>
      </c>
      <c r="X542" s="27"/>
      <c r="Y542" s="27"/>
      <c r="Z542" s="27"/>
      <c r="AA542" s="27"/>
      <c r="AB542" s="189"/>
      <c r="AC542" s="27"/>
      <c r="AD542" s="27"/>
      <c r="AE542" s="27"/>
    </row>
    <row r="543">
      <c r="A543" s="45" t="s">
        <v>169</v>
      </c>
      <c r="B543" s="45" t="s">
        <v>67</v>
      </c>
      <c r="C543" s="45" t="s">
        <v>4524</v>
      </c>
      <c r="D543" s="45" t="s">
        <v>4798</v>
      </c>
      <c r="E543" s="45" t="s">
        <v>4799</v>
      </c>
      <c r="F543" s="48">
        <v>863.0</v>
      </c>
      <c r="G543" s="240">
        <v>600672.0</v>
      </c>
      <c r="H543" s="45" t="s">
        <v>2132</v>
      </c>
      <c r="I543" s="45" t="s">
        <v>1148</v>
      </c>
      <c r="J543" s="45" t="s">
        <v>4649</v>
      </c>
      <c r="K543" s="55">
        <v>45881.0</v>
      </c>
      <c r="L543" s="242" t="str">
        <f t="shared" si="16"/>
        <v>2025</v>
      </c>
      <c r="M543" s="55">
        <v>45891.0</v>
      </c>
      <c r="N543" s="55" t="str">
        <f t="shared" si="15"/>
        <v>2025</v>
      </c>
      <c r="O543" s="58">
        <f t="shared" si="11"/>
        <v>10</v>
      </c>
      <c r="P543" s="58">
        <f t="shared" si="4"/>
        <v>0</v>
      </c>
      <c r="Q543" s="45" t="s">
        <v>150</v>
      </c>
      <c r="R543" s="45" t="s">
        <v>106</v>
      </c>
      <c r="S543" s="51"/>
      <c r="T543" s="45" t="s">
        <v>146</v>
      </c>
      <c r="U543" s="51"/>
      <c r="V543" s="45" t="s">
        <v>4889</v>
      </c>
      <c r="W543" s="45" t="s">
        <v>4800</v>
      </c>
      <c r="X543" s="51"/>
      <c r="Y543" s="51"/>
      <c r="Z543" s="51"/>
      <c r="AA543" s="51"/>
      <c r="AB543" s="203"/>
      <c r="AC543" s="64" t="s">
        <v>777</v>
      </c>
      <c r="AD543" s="51"/>
      <c r="AE543" s="64" t="s">
        <v>1172</v>
      </c>
    </row>
    <row r="544">
      <c r="A544" s="23" t="s">
        <v>169</v>
      </c>
      <c r="B544" s="23" t="s">
        <v>67</v>
      </c>
      <c r="C544" s="23" t="s">
        <v>4097</v>
      </c>
      <c r="D544" s="23" t="s">
        <v>4098</v>
      </c>
      <c r="E544" s="23" t="s">
        <v>4100</v>
      </c>
      <c r="F544" s="26">
        <v>704.0</v>
      </c>
      <c r="G544" s="237">
        <v>600484.0</v>
      </c>
      <c r="H544" s="23" t="s">
        <v>139</v>
      </c>
      <c r="I544" s="23" t="s">
        <v>1148</v>
      </c>
      <c r="J544" s="23" t="s">
        <v>2429</v>
      </c>
      <c r="K544" s="29">
        <v>45533.0</v>
      </c>
      <c r="L544" s="239" t="str">
        <f t="shared" si="16"/>
        <v>2024</v>
      </c>
      <c r="M544" s="29">
        <v>45904.0</v>
      </c>
      <c r="N544" s="29" t="str">
        <f t="shared" si="15"/>
        <v>2025</v>
      </c>
      <c r="O544" s="36">
        <f t="shared" si="11"/>
        <v>371</v>
      </c>
      <c r="P544" s="36">
        <f t="shared" si="4"/>
        <v>1</v>
      </c>
      <c r="Q544" s="23" t="s">
        <v>150</v>
      </c>
      <c r="R544" s="27"/>
      <c r="S544" s="27"/>
      <c r="T544" s="23" t="s">
        <v>146</v>
      </c>
      <c r="U544" s="23" t="s">
        <v>48</v>
      </c>
      <c r="V544" s="284" t="s">
        <v>708</v>
      </c>
      <c r="W544" s="23" t="s">
        <v>4104</v>
      </c>
      <c r="X544" s="23" t="s">
        <v>4104</v>
      </c>
      <c r="Y544" s="27"/>
      <c r="Z544" s="27"/>
      <c r="AA544" s="27"/>
      <c r="AB544" s="189"/>
      <c r="AC544" s="76" t="s">
        <v>820</v>
      </c>
      <c r="AD544" s="27"/>
      <c r="AE544" s="76" t="s">
        <v>3443</v>
      </c>
    </row>
    <row r="545">
      <c r="A545" s="45" t="s">
        <v>169</v>
      </c>
      <c r="B545" s="51"/>
      <c r="C545" s="45" t="s">
        <v>4519</v>
      </c>
      <c r="D545" s="45" t="s">
        <v>4772</v>
      </c>
      <c r="E545" s="45" t="s">
        <v>4773</v>
      </c>
      <c r="F545" s="48">
        <v>848.0</v>
      </c>
      <c r="G545" s="240">
        <v>600662.0</v>
      </c>
      <c r="H545" s="51"/>
      <c r="I545" s="53"/>
      <c r="J545" s="51"/>
      <c r="K545" s="55">
        <v>45869.0</v>
      </c>
      <c r="L545" s="242" t="str">
        <f t="shared" si="16"/>
        <v>2025</v>
      </c>
      <c r="M545" s="55">
        <v>45883.0</v>
      </c>
      <c r="N545" s="55" t="str">
        <f t="shared" si="15"/>
        <v>2025</v>
      </c>
      <c r="O545" s="58">
        <f t="shared" si="11"/>
        <v>14</v>
      </c>
      <c r="P545" s="58">
        <f t="shared" si="4"/>
        <v>0</v>
      </c>
      <c r="Q545" s="51"/>
      <c r="R545" s="51"/>
      <c r="S545" s="51"/>
      <c r="T545" s="51"/>
      <c r="U545" s="51"/>
      <c r="V545" s="51"/>
      <c r="W545" s="142" t="s">
        <v>4891</v>
      </c>
      <c r="X545" s="51"/>
      <c r="Y545" s="51"/>
      <c r="Z545" s="51"/>
      <c r="AA545" s="51"/>
      <c r="AB545" s="203"/>
      <c r="AC545" s="51"/>
      <c r="AD545" s="51"/>
      <c r="AE545" s="64" t="s">
        <v>1172</v>
      </c>
    </row>
    <row r="546">
      <c r="A546" s="23" t="s">
        <v>169</v>
      </c>
      <c r="B546" s="23" t="s">
        <v>67</v>
      </c>
      <c r="C546" s="23" t="s">
        <v>4459</v>
      </c>
      <c r="D546" s="23" t="s">
        <v>4460</v>
      </c>
      <c r="E546" s="23" t="s">
        <v>4461</v>
      </c>
      <c r="F546" s="26">
        <v>789.0</v>
      </c>
      <c r="G546" s="237">
        <v>600601.0</v>
      </c>
      <c r="H546" s="23" t="s">
        <v>2132</v>
      </c>
      <c r="I546" s="23" t="s">
        <v>226</v>
      </c>
      <c r="J546" s="23" t="s">
        <v>2799</v>
      </c>
      <c r="K546" s="29">
        <v>45719.0</v>
      </c>
      <c r="L546" s="239" t="str">
        <f t="shared" si="16"/>
        <v>2025</v>
      </c>
      <c r="M546" s="29">
        <v>45904.0</v>
      </c>
      <c r="N546" s="29" t="str">
        <f t="shared" si="15"/>
        <v>2025</v>
      </c>
      <c r="O546" s="36">
        <f t="shared" si="11"/>
        <v>185</v>
      </c>
      <c r="P546" s="36">
        <f t="shared" si="4"/>
        <v>0</v>
      </c>
      <c r="Q546" s="23" t="s">
        <v>150</v>
      </c>
      <c r="R546" s="27"/>
      <c r="S546" s="23" t="s">
        <v>113</v>
      </c>
      <c r="T546" s="23" t="s">
        <v>146</v>
      </c>
      <c r="U546" s="23" t="s">
        <v>48</v>
      </c>
      <c r="V546" s="23" t="s">
        <v>4897</v>
      </c>
      <c r="W546" s="23" t="s">
        <v>4462</v>
      </c>
      <c r="X546" s="23" t="s">
        <v>4462</v>
      </c>
      <c r="Y546" s="27"/>
      <c r="Z546" s="27"/>
      <c r="AA546" s="23" t="s">
        <v>708</v>
      </c>
      <c r="AB546" s="189"/>
      <c r="AC546" s="76" t="s">
        <v>354</v>
      </c>
      <c r="AD546" s="76" t="s">
        <v>261</v>
      </c>
      <c r="AE546" s="76" t="s">
        <v>1172</v>
      </c>
    </row>
    <row r="547">
      <c r="A547" s="45" t="s">
        <v>169</v>
      </c>
      <c r="B547" s="45" t="s">
        <v>19</v>
      </c>
      <c r="C547" s="45" t="s">
        <v>4900</v>
      </c>
      <c r="D547" s="45" t="s">
        <v>4782</v>
      </c>
      <c r="E547" s="45" t="s">
        <v>4783</v>
      </c>
      <c r="F547" s="48">
        <v>851.0</v>
      </c>
      <c r="G547" s="240">
        <v>600665.0</v>
      </c>
      <c r="H547" s="45" t="s">
        <v>1392</v>
      </c>
      <c r="I547" s="53"/>
      <c r="J547" s="45" t="s">
        <v>243</v>
      </c>
      <c r="K547" s="55">
        <v>45870.0</v>
      </c>
      <c r="L547" s="242" t="str">
        <f t="shared" si="16"/>
        <v>2025</v>
      </c>
      <c r="M547" s="55">
        <v>45885.0</v>
      </c>
      <c r="N547" s="55" t="str">
        <f t="shared" si="15"/>
        <v>2025</v>
      </c>
      <c r="O547" s="58">
        <f t="shared" si="11"/>
        <v>15</v>
      </c>
      <c r="P547" s="58">
        <f t="shared" si="4"/>
        <v>0</v>
      </c>
      <c r="Q547" s="45" t="s">
        <v>150</v>
      </c>
      <c r="R547" s="45" t="s">
        <v>106</v>
      </c>
      <c r="S547" s="51"/>
      <c r="T547" s="45" t="s">
        <v>146</v>
      </c>
      <c r="U547" s="51"/>
      <c r="V547" s="45" t="s">
        <v>4902</v>
      </c>
      <c r="W547" s="45" t="s">
        <v>2544</v>
      </c>
      <c r="X547" s="51"/>
      <c r="Y547" s="51"/>
      <c r="Z547" s="51"/>
      <c r="AA547" s="51"/>
      <c r="AB547" s="203"/>
      <c r="AC547" s="64" t="s">
        <v>247</v>
      </c>
      <c r="AD547" s="64" t="s">
        <v>2816</v>
      </c>
      <c r="AE547" s="64" t="s">
        <v>1621</v>
      </c>
    </row>
    <row r="548">
      <c r="A548" s="23" t="s">
        <v>169</v>
      </c>
      <c r="B548" s="23" t="s">
        <v>67</v>
      </c>
      <c r="C548" s="23" t="s">
        <v>4528</v>
      </c>
      <c r="D548" s="23" t="s">
        <v>4818</v>
      </c>
      <c r="E548" s="23" t="s">
        <v>4819</v>
      </c>
      <c r="F548" s="26">
        <v>873.0</v>
      </c>
      <c r="G548" s="237">
        <v>600681.0</v>
      </c>
      <c r="H548" s="23" t="s">
        <v>2676</v>
      </c>
      <c r="I548" s="23" t="s">
        <v>84</v>
      </c>
      <c r="J548" s="23" t="s">
        <v>4906</v>
      </c>
      <c r="K548" s="29">
        <v>45898.0</v>
      </c>
      <c r="L548" s="239" t="str">
        <f t="shared" si="16"/>
        <v>2025</v>
      </c>
      <c r="M548" s="29">
        <v>45910.0</v>
      </c>
      <c r="N548" s="29" t="str">
        <f t="shared" si="15"/>
        <v>2025</v>
      </c>
      <c r="O548" s="36">
        <f t="shared" si="11"/>
        <v>12</v>
      </c>
      <c r="P548" s="36">
        <f t="shared" si="4"/>
        <v>0</v>
      </c>
      <c r="Q548" s="23" t="s">
        <v>150</v>
      </c>
      <c r="R548" s="27"/>
      <c r="S548" s="27"/>
      <c r="T548" s="23" t="s">
        <v>146</v>
      </c>
      <c r="U548" s="27"/>
      <c r="V548" s="27"/>
      <c r="W548" s="23" t="s">
        <v>4820</v>
      </c>
      <c r="X548" s="27"/>
      <c r="Y548" s="27"/>
      <c r="Z548" s="27"/>
      <c r="AA548" s="27"/>
      <c r="AB548" s="189"/>
      <c r="AC548" s="76" t="s">
        <v>247</v>
      </c>
      <c r="AD548" s="27"/>
      <c r="AE548" s="76" t="s">
        <v>3421</v>
      </c>
    </row>
    <row r="549">
      <c r="A549" s="45" t="s">
        <v>169</v>
      </c>
      <c r="B549" s="45" t="s">
        <v>67</v>
      </c>
      <c r="C549" s="45" t="s">
        <v>4803</v>
      </c>
      <c r="D549" s="45" t="s">
        <v>4804</v>
      </c>
      <c r="E549" s="45" t="s">
        <v>4805</v>
      </c>
      <c r="F549" s="48">
        <v>864.0</v>
      </c>
      <c r="G549" s="240">
        <v>600674.0</v>
      </c>
      <c r="H549" s="45" t="s">
        <v>2676</v>
      </c>
      <c r="I549" s="45" t="s">
        <v>226</v>
      </c>
      <c r="J549" s="45" t="s">
        <v>243</v>
      </c>
      <c r="K549" s="55">
        <v>45887.0</v>
      </c>
      <c r="L549" s="242" t="str">
        <f t="shared" si="16"/>
        <v>2025</v>
      </c>
      <c r="M549" s="55">
        <v>45918.0</v>
      </c>
      <c r="N549" s="55" t="str">
        <f t="shared" si="15"/>
        <v>2025</v>
      </c>
      <c r="O549" s="58">
        <f t="shared" si="11"/>
        <v>31</v>
      </c>
      <c r="P549" s="58">
        <f t="shared" si="4"/>
        <v>0</v>
      </c>
      <c r="Q549" s="45" t="s">
        <v>150</v>
      </c>
      <c r="R549" s="51"/>
      <c r="S549" s="51"/>
      <c r="T549" s="45" t="s">
        <v>84</v>
      </c>
      <c r="U549" s="51"/>
      <c r="V549" s="51"/>
      <c r="W549" s="45" t="s">
        <v>4806</v>
      </c>
      <c r="X549" s="51"/>
      <c r="Y549" s="51"/>
      <c r="Z549" s="51"/>
      <c r="AA549" s="51"/>
      <c r="AB549" s="203"/>
      <c r="AC549" s="64" t="s">
        <v>247</v>
      </c>
      <c r="AD549" s="64" t="s">
        <v>2816</v>
      </c>
      <c r="AE549" s="64" t="s">
        <v>1621</v>
      </c>
    </row>
    <row r="550">
      <c r="A550" s="23" t="s">
        <v>169</v>
      </c>
      <c r="B550" s="23" t="s">
        <v>67</v>
      </c>
      <c r="C550" s="23" t="s">
        <v>640</v>
      </c>
      <c r="D550" s="23" t="s">
        <v>4154</v>
      </c>
      <c r="E550" s="23" t="s">
        <v>4155</v>
      </c>
      <c r="F550" s="26">
        <v>717.0</v>
      </c>
      <c r="G550" s="237">
        <v>600503.0</v>
      </c>
      <c r="H550" s="23" t="s">
        <v>266</v>
      </c>
      <c r="I550" s="23" t="s">
        <v>226</v>
      </c>
      <c r="J550" s="27"/>
      <c r="K550" s="29">
        <v>45554.0</v>
      </c>
      <c r="L550" s="239" t="str">
        <f t="shared" si="16"/>
        <v>2024</v>
      </c>
      <c r="M550" s="29">
        <v>45919.0</v>
      </c>
      <c r="N550" s="29" t="str">
        <f t="shared" si="15"/>
        <v>2025</v>
      </c>
      <c r="O550" s="36">
        <f t="shared" si="11"/>
        <v>365</v>
      </c>
      <c r="P550" s="36">
        <f t="shared" si="4"/>
        <v>1</v>
      </c>
      <c r="Q550" s="23" t="s">
        <v>150</v>
      </c>
      <c r="R550" s="27"/>
      <c r="S550" s="27"/>
      <c r="T550" s="23" t="s">
        <v>233</v>
      </c>
      <c r="U550" s="23" t="s">
        <v>48</v>
      </c>
      <c r="V550" s="23" t="s">
        <v>104</v>
      </c>
      <c r="W550" s="23" t="s">
        <v>4156</v>
      </c>
      <c r="X550" s="27"/>
      <c r="Y550" s="27"/>
      <c r="Z550" s="27"/>
      <c r="AA550" s="27"/>
      <c r="AB550" s="189"/>
      <c r="AC550" s="27"/>
      <c r="AD550" s="76" t="s">
        <v>123</v>
      </c>
      <c r="AE550" s="76" t="s">
        <v>3976</v>
      </c>
    </row>
    <row r="551">
      <c r="A551" s="45" t="s">
        <v>169</v>
      </c>
      <c r="B551" s="45" t="s">
        <v>19</v>
      </c>
      <c r="C551" s="45" t="s">
        <v>606</v>
      </c>
      <c r="D551" s="45" t="s">
        <v>4827</v>
      </c>
      <c r="E551" s="45" t="s">
        <v>4828</v>
      </c>
      <c r="F551" s="48">
        <v>876.0</v>
      </c>
      <c r="G551" s="240">
        <v>600683.0</v>
      </c>
      <c r="H551" s="45" t="s">
        <v>1392</v>
      </c>
      <c r="I551" s="45" t="s">
        <v>84</v>
      </c>
      <c r="J551" s="45" t="s">
        <v>2442</v>
      </c>
      <c r="K551" s="55">
        <v>45908.0</v>
      </c>
      <c r="L551" s="242" t="str">
        <f t="shared" si="16"/>
        <v>2025</v>
      </c>
      <c r="M551" s="55">
        <v>45976.0</v>
      </c>
      <c r="N551" s="55" t="str">
        <f t="shared" si="15"/>
        <v>2025</v>
      </c>
      <c r="O551" s="58">
        <f t="shared" si="11"/>
        <v>68</v>
      </c>
      <c r="P551" s="58">
        <f t="shared" si="4"/>
        <v>0</v>
      </c>
      <c r="Q551" s="45" t="s">
        <v>150</v>
      </c>
      <c r="R551" s="51"/>
      <c r="S551" s="51"/>
      <c r="T551" s="45" t="s">
        <v>146</v>
      </c>
      <c r="U551" s="51"/>
      <c r="V551" s="45" t="s">
        <v>4920</v>
      </c>
      <c r="W551" s="45" t="s">
        <v>4830</v>
      </c>
      <c r="X551" s="51"/>
      <c r="Y551" s="51"/>
      <c r="Z551" s="51"/>
      <c r="AA551" s="51"/>
      <c r="AB551" s="203"/>
      <c r="AC551" s="64" t="s">
        <v>247</v>
      </c>
      <c r="AD551" s="64" t="s">
        <v>123</v>
      </c>
      <c r="AE551" s="64" t="s">
        <v>4500</v>
      </c>
    </row>
    <row r="552">
      <c r="A552" s="23" t="s">
        <v>169</v>
      </c>
      <c r="B552" s="23" t="s">
        <v>67</v>
      </c>
      <c r="C552" s="23" t="s">
        <v>172</v>
      </c>
      <c r="D552" s="23" t="s">
        <v>173</v>
      </c>
      <c r="E552" s="27"/>
      <c r="F552" s="26">
        <v>119.0</v>
      </c>
      <c r="G552" s="237">
        <v>600684.0</v>
      </c>
      <c r="H552" s="23" t="s">
        <v>2676</v>
      </c>
      <c r="I552" s="23" t="s">
        <v>1148</v>
      </c>
      <c r="J552" s="23" t="s">
        <v>209</v>
      </c>
      <c r="K552" s="29">
        <v>44397.0</v>
      </c>
      <c r="L552" s="239" t="str">
        <f t="shared" si="16"/>
        <v>2021</v>
      </c>
      <c r="M552" s="29">
        <v>45922.0</v>
      </c>
      <c r="N552" s="29" t="str">
        <f t="shared" si="15"/>
        <v>2025</v>
      </c>
      <c r="O552" s="36">
        <f t="shared" si="11"/>
        <v>1525</v>
      </c>
      <c r="P552" s="36">
        <f t="shared" si="4"/>
        <v>4</v>
      </c>
      <c r="Q552" s="23" t="s">
        <v>150</v>
      </c>
      <c r="R552" s="23" t="s">
        <v>106</v>
      </c>
      <c r="S552" s="27"/>
      <c r="T552" s="23" t="s">
        <v>146</v>
      </c>
      <c r="U552" s="27"/>
      <c r="V552" s="27"/>
      <c r="W552" s="23" t="s">
        <v>205</v>
      </c>
      <c r="X552" s="27"/>
      <c r="Y552" s="27"/>
      <c r="Z552" s="27"/>
      <c r="AA552" s="27"/>
      <c r="AB552" s="189"/>
      <c r="AC552" s="76" t="s">
        <v>777</v>
      </c>
      <c r="AD552" s="27"/>
      <c r="AE552" s="76" t="s">
        <v>1610</v>
      </c>
    </row>
    <row r="553">
      <c r="A553" s="45" t="s">
        <v>169</v>
      </c>
      <c r="B553" s="45" t="s">
        <v>19</v>
      </c>
      <c r="C553" s="45" t="s">
        <v>228</v>
      </c>
      <c r="D553" s="45" t="s">
        <v>230</v>
      </c>
      <c r="E553" s="45" t="s">
        <v>231</v>
      </c>
      <c r="F553" s="48">
        <v>878.0</v>
      </c>
      <c r="G553" s="240">
        <v>600656.0</v>
      </c>
      <c r="H553" s="45" t="s">
        <v>1392</v>
      </c>
      <c r="I553" s="45" t="s">
        <v>226</v>
      </c>
      <c r="J553" s="45" t="s">
        <v>243</v>
      </c>
      <c r="K553" s="55">
        <v>44449.0</v>
      </c>
      <c r="L553" s="242" t="str">
        <f t="shared" si="16"/>
        <v>2021</v>
      </c>
      <c r="M553" s="55">
        <v>44530.0</v>
      </c>
      <c r="N553" s="55" t="str">
        <f t="shared" si="15"/>
        <v>2021</v>
      </c>
      <c r="O553" s="58">
        <f t="shared" si="11"/>
        <v>81</v>
      </c>
      <c r="P553" s="58">
        <f t="shared" si="4"/>
        <v>0</v>
      </c>
      <c r="Q553" s="45" t="s">
        <v>150</v>
      </c>
      <c r="R553" s="51"/>
      <c r="S553" s="51"/>
      <c r="T553" s="45" t="s">
        <v>233</v>
      </c>
      <c r="U553" s="51"/>
      <c r="V553" s="45" t="s">
        <v>104</v>
      </c>
      <c r="W553" s="45" t="s">
        <v>241</v>
      </c>
      <c r="X553" s="51"/>
      <c r="Y553" s="51"/>
      <c r="Z553" s="51"/>
      <c r="AA553" s="51"/>
      <c r="AB553" s="203"/>
      <c r="AC553" s="64" t="s">
        <v>247</v>
      </c>
      <c r="AD553" s="64" t="s">
        <v>123</v>
      </c>
      <c r="AE553" s="64" t="s">
        <v>4500</v>
      </c>
    </row>
    <row r="554">
      <c r="A554" s="23" t="s">
        <v>407</v>
      </c>
      <c r="B554" s="23" t="s">
        <v>19</v>
      </c>
      <c r="C554" s="23" t="s">
        <v>980</v>
      </c>
      <c r="D554" s="23" t="s">
        <v>4836</v>
      </c>
      <c r="E554" s="23" t="s">
        <v>4837</v>
      </c>
      <c r="F554" s="26">
        <v>879.0</v>
      </c>
      <c r="G554" s="237">
        <v>600688.0</v>
      </c>
      <c r="H554" s="23" t="s">
        <v>2676</v>
      </c>
      <c r="I554" s="23" t="s">
        <v>1148</v>
      </c>
      <c r="J554" s="23" t="s">
        <v>4657</v>
      </c>
      <c r="K554" s="29">
        <v>45910.0</v>
      </c>
      <c r="L554" s="239" t="str">
        <f t="shared" si="16"/>
        <v>2025</v>
      </c>
      <c r="M554" s="29">
        <v>46275.0</v>
      </c>
      <c r="N554" s="29" t="str">
        <f t="shared" si="15"/>
        <v>2026</v>
      </c>
      <c r="O554" s="36">
        <f t="shared" si="11"/>
        <v>365</v>
      </c>
      <c r="P554" s="36">
        <f t="shared" si="4"/>
        <v>1</v>
      </c>
      <c r="Q554" s="23" t="s">
        <v>150</v>
      </c>
      <c r="R554" s="27"/>
      <c r="S554" s="23" t="s">
        <v>113</v>
      </c>
      <c r="T554" s="23" t="s">
        <v>146</v>
      </c>
      <c r="U554" s="23" t="s">
        <v>1244</v>
      </c>
      <c r="V554" s="23" t="s">
        <v>104</v>
      </c>
      <c r="W554" s="23" t="s">
        <v>4839</v>
      </c>
      <c r="X554" s="23" t="s">
        <v>4839</v>
      </c>
      <c r="Y554" s="27"/>
      <c r="Z554" s="27"/>
      <c r="AA554" s="27"/>
      <c r="AB554" s="189"/>
      <c r="AC554" s="76" t="s">
        <v>777</v>
      </c>
      <c r="AD554" s="76" t="s">
        <v>2816</v>
      </c>
      <c r="AE554" s="76" t="s">
        <v>3311</v>
      </c>
    </row>
    <row r="555">
      <c r="A555" s="45" t="s">
        <v>169</v>
      </c>
      <c r="B555" s="45" t="s">
        <v>19</v>
      </c>
      <c r="C555" s="45" t="s">
        <v>4531</v>
      </c>
      <c r="D555" s="45" t="s">
        <v>4846</v>
      </c>
      <c r="E555" s="45" t="s">
        <v>4847</v>
      </c>
      <c r="F555" s="48">
        <v>882.0</v>
      </c>
      <c r="G555" s="240">
        <v>600691.0</v>
      </c>
      <c r="H555" s="45" t="s">
        <v>1392</v>
      </c>
      <c r="I555" s="45" t="s">
        <v>1148</v>
      </c>
      <c r="J555" s="45" t="s">
        <v>4938</v>
      </c>
      <c r="K555" s="55">
        <v>45916.0</v>
      </c>
      <c r="L555" s="242" t="str">
        <f t="shared" si="16"/>
        <v>2025</v>
      </c>
      <c r="M555" s="55">
        <v>46097.0</v>
      </c>
      <c r="N555" s="55" t="str">
        <f t="shared" si="15"/>
        <v>2026</v>
      </c>
      <c r="O555" s="58">
        <f t="shared" si="11"/>
        <v>181</v>
      </c>
      <c r="P555" s="58">
        <f t="shared" si="4"/>
        <v>0</v>
      </c>
      <c r="Q555" s="45" t="s">
        <v>150</v>
      </c>
      <c r="R555" s="51"/>
      <c r="S555" s="51"/>
      <c r="T555" s="45" t="s">
        <v>146</v>
      </c>
      <c r="U555" s="51"/>
      <c r="V555" s="45" t="s">
        <v>104</v>
      </c>
      <c r="W555" s="45" t="s">
        <v>4848</v>
      </c>
      <c r="X555" s="51"/>
      <c r="Y555" s="51"/>
      <c r="Z555" s="51"/>
      <c r="AA555" s="51"/>
      <c r="AB555" s="203"/>
      <c r="AC555" s="64" t="s">
        <v>247</v>
      </c>
      <c r="AD555" s="64" t="s">
        <v>261</v>
      </c>
      <c r="AE555" s="64" t="s">
        <v>1621</v>
      </c>
    </row>
    <row r="556">
      <c r="A556" s="23" t="s">
        <v>407</v>
      </c>
      <c r="B556" s="23" t="s">
        <v>19</v>
      </c>
      <c r="C556" s="23" t="s">
        <v>4506</v>
      </c>
      <c r="D556" s="23" t="s">
        <v>4731</v>
      </c>
      <c r="E556" s="23" t="s">
        <v>4732</v>
      </c>
      <c r="F556" s="26">
        <v>884.0</v>
      </c>
      <c r="G556" s="237">
        <v>600693.0</v>
      </c>
      <c r="H556" s="23" t="s">
        <v>1392</v>
      </c>
      <c r="I556" s="88"/>
      <c r="J556" s="23" t="s">
        <v>2783</v>
      </c>
      <c r="K556" s="29">
        <v>45847.0</v>
      </c>
      <c r="L556" s="239" t="str">
        <f t="shared" si="16"/>
        <v>2025</v>
      </c>
      <c r="M556" s="29">
        <v>46212.0</v>
      </c>
      <c r="N556" s="29" t="str">
        <f t="shared" si="15"/>
        <v>2026</v>
      </c>
      <c r="O556" s="36">
        <f t="shared" si="11"/>
        <v>365</v>
      </c>
      <c r="P556" s="36">
        <f t="shared" si="4"/>
        <v>1</v>
      </c>
      <c r="Q556" s="23" t="s">
        <v>150</v>
      </c>
      <c r="R556" s="27"/>
      <c r="S556" s="23" t="s">
        <v>269</v>
      </c>
      <c r="T556" s="27"/>
      <c r="U556" s="27"/>
      <c r="V556" s="23" t="s">
        <v>104</v>
      </c>
      <c r="W556" s="23" t="s">
        <v>4733</v>
      </c>
      <c r="X556" s="23" t="s">
        <v>4733</v>
      </c>
      <c r="Y556" s="27"/>
      <c r="Z556" s="27"/>
      <c r="AA556" s="27"/>
      <c r="AB556" s="189"/>
      <c r="AC556" s="76" t="s">
        <v>777</v>
      </c>
      <c r="AD556" s="76" t="s">
        <v>14</v>
      </c>
      <c r="AE556" s="76" t="s">
        <v>3311</v>
      </c>
    </row>
    <row r="557">
      <c r="A557" s="45" t="s">
        <v>169</v>
      </c>
      <c r="B557" s="45" t="s">
        <v>19</v>
      </c>
      <c r="C557" s="45" t="s">
        <v>1046</v>
      </c>
      <c r="D557" s="45" t="s">
        <v>4856</v>
      </c>
      <c r="E557" s="45" t="s">
        <v>4857</v>
      </c>
      <c r="F557" s="48">
        <v>890.0</v>
      </c>
      <c r="G557" s="240">
        <v>600699.0</v>
      </c>
      <c r="H557" s="45" t="s">
        <v>2132</v>
      </c>
      <c r="I557" s="45" t="s">
        <v>1148</v>
      </c>
      <c r="J557" s="45" t="s">
        <v>4938</v>
      </c>
      <c r="K557" s="55">
        <v>45932.0</v>
      </c>
      <c r="L557" s="242" t="str">
        <f t="shared" si="16"/>
        <v>2025</v>
      </c>
      <c r="M557" s="55">
        <v>45945.0</v>
      </c>
      <c r="N557" s="55" t="str">
        <f t="shared" si="15"/>
        <v>2025</v>
      </c>
      <c r="O557" s="58">
        <f t="shared" si="11"/>
        <v>13</v>
      </c>
      <c r="P557" s="58">
        <f t="shared" si="4"/>
        <v>0</v>
      </c>
      <c r="Q557" s="45" t="s">
        <v>150</v>
      </c>
      <c r="R557" s="51"/>
      <c r="S557" s="45" t="s">
        <v>113</v>
      </c>
      <c r="T557" s="45" t="s">
        <v>146</v>
      </c>
      <c r="U557" s="45" t="s">
        <v>1244</v>
      </c>
      <c r="V557" s="45" t="s">
        <v>3934</v>
      </c>
      <c r="W557" s="45" t="s">
        <v>4859</v>
      </c>
      <c r="X557" s="45" t="s">
        <v>4859</v>
      </c>
      <c r="Y557" s="51"/>
      <c r="Z557" s="51"/>
      <c r="AA557" s="51"/>
      <c r="AB557" s="203"/>
      <c r="AC557" s="64" t="s">
        <v>247</v>
      </c>
      <c r="AD557" s="51"/>
      <c r="AE557" s="64" t="s">
        <v>1621</v>
      </c>
    </row>
    <row r="558">
      <c r="A558" s="23" t="s">
        <v>169</v>
      </c>
      <c r="B558" s="23" t="s">
        <v>19</v>
      </c>
      <c r="C558" s="23" t="s">
        <v>4537</v>
      </c>
      <c r="D558" s="23" t="s">
        <v>4861</v>
      </c>
      <c r="E558" s="23" t="s">
        <v>4862</v>
      </c>
      <c r="F558" s="26">
        <v>891.0</v>
      </c>
      <c r="G558" s="237">
        <v>600700.0</v>
      </c>
      <c r="H558" s="23" t="s">
        <v>2676</v>
      </c>
      <c r="I558" s="23" t="s">
        <v>84</v>
      </c>
      <c r="J558" s="27"/>
      <c r="K558" s="29">
        <v>45936.0</v>
      </c>
      <c r="L558" s="239" t="str">
        <f t="shared" si="16"/>
        <v>2025</v>
      </c>
      <c r="M558" s="29">
        <v>45992.0</v>
      </c>
      <c r="N558" s="29" t="str">
        <f t="shared" si="15"/>
        <v>2025</v>
      </c>
      <c r="O558" s="36">
        <f t="shared" si="11"/>
        <v>56</v>
      </c>
      <c r="P558" s="36">
        <f t="shared" si="4"/>
        <v>0</v>
      </c>
      <c r="Q558" s="23" t="s">
        <v>150</v>
      </c>
      <c r="R558" s="27"/>
      <c r="S558" s="27"/>
      <c r="T558" s="23" t="s">
        <v>84</v>
      </c>
      <c r="U558" s="23" t="s">
        <v>790</v>
      </c>
      <c r="V558" s="23" t="s">
        <v>104</v>
      </c>
      <c r="W558" s="23" t="s">
        <v>4864</v>
      </c>
      <c r="X558" s="27"/>
      <c r="Y558" s="27"/>
      <c r="Z558" s="27"/>
      <c r="AA558" s="27"/>
      <c r="AB558" s="189"/>
      <c r="AC558" s="76" t="s">
        <v>3489</v>
      </c>
      <c r="AD558" s="76" t="s">
        <v>261</v>
      </c>
      <c r="AE558" s="76" t="s">
        <v>1610</v>
      </c>
    </row>
    <row r="559">
      <c r="A559" s="45" t="s">
        <v>169</v>
      </c>
      <c r="B559" s="45" t="s">
        <v>19</v>
      </c>
      <c r="C559" s="45" t="s">
        <v>4539</v>
      </c>
      <c r="D559" s="45" t="s">
        <v>4869</v>
      </c>
      <c r="E559" s="45" t="s">
        <v>4870</v>
      </c>
      <c r="F559" s="48">
        <v>895.0</v>
      </c>
      <c r="G559" s="240">
        <v>600706.0</v>
      </c>
      <c r="H559" s="45" t="s">
        <v>1392</v>
      </c>
      <c r="I559" s="45" t="s">
        <v>84</v>
      </c>
      <c r="J559" s="51"/>
      <c r="K559" s="55">
        <v>45943.0</v>
      </c>
      <c r="L559" s="242" t="str">
        <f t="shared" si="16"/>
        <v>2025</v>
      </c>
      <c r="M559" s="55">
        <v>45961.0</v>
      </c>
      <c r="N559" s="55" t="str">
        <f t="shared" si="15"/>
        <v>2025</v>
      </c>
      <c r="O559" s="58">
        <f t="shared" si="11"/>
        <v>18</v>
      </c>
      <c r="P559" s="58">
        <f t="shared" si="4"/>
        <v>0</v>
      </c>
      <c r="Q559" s="45" t="s">
        <v>150</v>
      </c>
      <c r="R559" s="51"/>
      <c r="S559" s="51"/>
      <c r="T559" s="45" t="s">
        <v>84</v>
      </c>
      <c r="U559" s="45" t="s">
        <v>25</v>
      </c>
      <c r="V559" s="45" t="s">
        <v>3934</v>
      </c>
      <c r="W559" s="142" t="s">
        <v>4871</v>
      </c>
      <c r="X559" s="51"/>
      <c r="Y559" s="51"/>
      <c r="Z559" s="51"/>
      <c r="AA559" s="51"/>
      <c r="AB559" s="203"/>
      <c r="AC559" s="64" t="s">
        <v>3489</v>
      </c>
      <c r="AD559" s="64" t="s">
        <v>261</v>
      </c>
      <c r="AE559" s="64" t="s">
        <v>1610</v>
      </c>
    </row>
    <row r="560">
      <c r="A560" s="23" t="s">
        <v>169</v>
      </c>
      <c r="B560" s="23" t="s">
        <v>19</v>
      </c>
      <c r="C560" s="23" t="s">
        <v>825</v>
      </c>
      <c r="D560" s="23" t="s">
        <v>4873</v>
      </c>
      <c r="E560" s="23" t="s">
        <v>4874</v>
      </c>
      <c r="F560" s="26">
        <v>894.0</v>
      </c>
      <c r="G560" s="237">
        <v>600705.0</v>
      </c>
      <c r="H560" s="23" t="s">
        <v>2676</v>
      </c>
      <c r="I560" s="23" t="s">
        <v>84</v>
      </c>
      <c r="J560" s="27"/>
      <c r="K560" s="29">
        <v>45943.0</v>
      </c>
      <c r="L560" s="239" t="str">
        <f t="shared" si="16"/>
        <v>2025</v>
      </c>
      <c r="M560" s="29">
        <v>46022.0</v>
      </c>
      <c r="N560" s="29" t="str">
        <f t="shared" si="15"/>
        <v>2025</v>
      </c>
      <c r="O560" s="36">
        <f t="shared" si="11"/>
        <v>79</v>
      </c>
      <c r="P560" s="36">
        <f t="shared" si="4"/>
        <v>0</v>
      </c>
      <c r="Q560" s="23" t="s">
        <v>150</v>
      </c>
      <c r="R560" s="27"/>
      <c r="S560" s="27"/>
      <c r="T560" s="23" t="s">
        <v>84</v>
      </c>
      <c r="U560" s="23" t="s">
        <v>25</v>
      </c>
      <c r="V560" s="23" t="s">
        <v>3934</v>
      </c>
      <c r="W560" s="144" t="s">
        <v>4957</v>
      </c>
      <c r="X560" s="27"/>
      <c r="Y560" s="27"/>
      <c r="Z560" s="27"/>
      <c r="AA560" s="27"/>
      <c r="AB560" s="189"/>
      <c r="AC560" s="76" t="s">
        <v>123</v>
      </c>
      <c r="AD560" s="76" t="s">
        <v>123</v>
      </c>
      <c r="AE560" s="76" t="s">
        <v>1610</v>
      </c>
    </row>
    <row r="561">
      <c r="A561" s="45" t="s">
        <v>169</v>
      </c>
      <c r="B561" s="45" t="s">
        <v>19</v>
      </c>
      <c r="C561" s="45" t="s">
        <v>4542</v>
      </c>
      <c r="D561" s="45" t="s">
        <v>4878</v>
      </c>
      <c r="E561" s="45" t="s">
        <v>4879</v>
      </c>
      <c r="F561" s="48">
        <v>897.0</v>
      </c>
      <c r="G561" s="240">
        <v>600707.0</v>
      </c>
      <c r="H561" s="45" t="s">
        <v>2132</v>
      </c>
      <c r="I561" s="45" t="s">
        <v>1148</v>
      </c>
      <c r="J561" s="45" t="s">
        <v>243</v>
      </c>
      <c r="K561" s="55">
        <v>45945.0</v>
      </c>
      <c r="L561" s="242" t="str">
        <f t="shared" si="16"/>
        <v>2025</v>
      </c>
      <c r="M561" s="55">
        <v>46101.0</v>
      </c>
      <c r="N561" s="55" t="str">
        <f t="shared" si="15"/>
        <v>2026</v>
      </c>
      <c r="O561" s="58">
        <f t="shared" si="11"/>
        <v>156</v>
      </c>
      <c r="P561" s="58">
        <f t="shared" si="4"/>
        <v>0</v>
      </c>
      <c r="Q561" s="45" t="s">
        <v>150</v>
      </c>
      <c r="R561" s="51"/>
      <c r="S561" s="51"/>
      <c r="T561" s="45" t="s">
        <v>146</v>
      </c>
      <c r="U561" s="45" t="s">
        <v>790</v>
      </c>
      <c r="V561" s="45" t="s">
        <v>4832</v>
      </c>
      <c r="W561" s="45" t="s">
        <v>4880</v>
      </c>
      <c r="X561" s="45" t="s">
        <v>4880</v>
      </c>
      <c r="Y561" s="51"/>
      <c r="Z561" s="51"/>
      <c r="AA561" s="51"/>
      <c r="AB561" s="203"/>
      <c r="AC561" s="64" t="s">
        <v>247</v>
      </c>
      <c r="AD561" s="64" t="s">
        <v>123</v>
      </c>
      <c r="AE561" s="64" t="s">
        <v>3421</v>
      </c>
    </row>
    <row r="562">
      <c r="A562" s="23" t="s">
        <v>169</v>
      </c>
      <c r="B562" s="23" t="s">
        <v>19</v>
      </c>
      <c r="C562" s="23" t="s">
        <v>647</v>
      </c>
      <c r="D562" s="23" t="s">
        <v>4882</v>
      </c>
      <c r="E562" s="23" t="s">
        <v>4883</v>
      </c>
      <c r="F562" s="26">
        <v>898.0</v>
      </c>
      <c r="G562" s="237">
        <v>600710.0</v>
      </c>
      <c r="H562" s="23" t="s">
        <v>2132</v>
      </c>
      <c r="I562" s="23" t="s">
        <v>1148</v>
      </c>
      <c r="J562" s="23" t="s">
        <v>243</v>
      </c>
      <c r="K562" s="29">
        <v>45945.0</v>
      </c>
      <c r="L562" s="239" t="str">
        <f t="shared" si="16"/>
        <v>2025</v>
      </c>
      <c r="M562" s="29">
        <v>46113.0</v>
      </c>
      <c r="N562" s="29" t="str">
        <f t="shared" si="15"/>
        <v>2026</v>
      </c>
      <c r="O562" s="36">
        <f t="shared" si="11"/>
        <v>168</v>
      </c>
      <c r="P562" s="36">
        <f t="shared" si="4"/>
        <v>0</v>
      </c>
      <c r="Q562" s="23" t="s">
        <v>150</v>
      </c>
      <c r="R562" s="27"/>
      <c r="S562" s="27"/>
      <c r="T562" s="23" t="s">
        <v>146</v>
      </c>
      <c r="U562" s="23" t="s">
        <v>25</v>
      </c>
      <c r="V562" s="23" t="s">
        <v>4966</v>
      </c>
      <c r="W562" s="23" t="s">
        <v>4884</v>
      </c>
      <c r="X562" s="23" t="s">
        <v>487</v>
      </c>
      <c r="Y562" s="27"/>
      <c r="Z562" s="27"/>
      <c r="AA562" s="27"/>
      <c r="AB562" s="189"/>
      <c r="AC562" s="76" t="s">
        <v>247</v>
      </c>
      <c r="AD562" s="76" t="s">
        <v>38</v>
      </c>
      <c r="AE562" s="76" t="s">
        <v>4500</v>
      </c>
    </row>
    <row r="563">
      <c r="A563" s="45" t="s">
        <v>169</v>
      </c>
      <c r="B563" s="45" t="s">
        <v>19</v>
      </c>
      <c r="C563" s="45" t="s">
        <v>4543</v>
      </c>
      <c r="D563" s="45" t="s">
        <v>4898</v>
      </c>
      <c r="E563" s="45" t="s">
        <v>4969</v>
      </c>
      <c r="F563" s="48">
        <v>903.0</v>
      </c>
      <c r="G563" s="240">
        <v>600719.0</v>
      </c>
      <c r="H563" s="45" t="s">
        <v>1392</v>
      </c>
      <c r="I563" s="45" t="s">
        <v>4970</v>
      </c>
      <c r="J563" s="45" t="s">
        <v>1632</v>
      </c>
      <c r="K563" s="55">
        <v>45965.0</v>
      </c>
      <c r="L563" s="242" t="str">
        <f t="shared" si="16"/>
        <v>2025</v>
      </c>
      <c r="M563" s="55">
        <v>46330.0</v>
      </c>
      <c r="N563" s="55" t="str">
        <f t="shared" si="15"/>
        <v>2026</v>
      </c>
      <c r="O563" s="58">
        <f t="shared" si="11"/>
        <v>365</v>
      </c>
      <c r="P563" s="58">
        <f t="shared" si="4"/>
        <v>1</v>
      </c>
      <c r="Q563" s="45" t="s">
        <v>150</v>
      </c>
      <c r="R563" s="51"/>
      <c r="S563" s="45" t="s">
        <v>113</v>
      </c>
      <c r="T563" s="45" t="s">
        <v>233</v>
      </c>
      <c r="U563" s="45" t="s">
        <v>790</v>
      </c>
      <c r="V563" s="51"/>
      <c r="W563" s="45" t="s">
        <v>4976</v>
      </c>
      <c r="X563" s="51"/>
      <c r="Y563" s="51"/>
      <c r="Z563" s="51"/>
      <c r="AA563" s="51"/>
      <c r="AB563" s="72"/>
      <c r="AC563" s="64" t="s">
        <v>354</v>
      </c>
      <c r="AD563" s="64" t="s">
        <v>14</v>
      </c>
      <c r="AE563" s="64" t="s">
        <v>3421</v>
      </c>
    </row>
    <row r="564">
      <c r="A564" s="23" t="s">
        <v>64</v>
      </c>
      <c r="B564" s="23" t="s">
        <v>19</v>
      </c>
      <c r="C564" s="23" t="s">
        <v>4475</v>
      </c>
      <c r="D564" s="23" t="s">
        <v>4514</v>
      </c>
      <c r="E564" s="23" t="s">
        <v>4515</v>
      </c>
      <c r="F564" s="26">
        <v>757.0</v>
      </c>
      <c r="G564" s="26">
        <v>600554.0</v>
      </c>
      <c r="H564" s="23" t="s">
        <v>1392</v>
      </c>
      <c r="I564" s="23" t="s">
        <v>1148</v>
      </c>
      <c r="J564" s="23" t="s">
        <v>782</v>
      </c>
      <c r="K564" s="29">
        <v>45757.0</v>
      </c>
      <c r="L564" s="239" t="str">
        <f t="shared" si="16"/>
        <v>2025</v>
      </c>
      <c r="M564" s="29">
        <v>46093.0</v>
      </c>
      <c r="N564" s="29" t="str">
        <f t="shared" si="15"/>
        <v>2026</v>
      </c>
      <c r="O564" s="36">
        <f t="shared" si="11"/>
        <v>336</v>
      </c>
      <c r="P564" s="36">
        <f t="shared" si="4"/>
        <v>0</v>
      </c>
      <c r="Q564" s="23" t="s">
        <v>150</v>
      </c>
      <c r="R564" s="27"/>
      <c r="S564" s="23" t="s">
        <v>113</v>
      </c>
      <c r="T564" s="23" t="s">
        <v>84</v>
      </c>
      <c r="U564" s="23" t="s">
        <v>790</v>
      </c>
      <c r="V564" s="27"/>
      <c r="W564" s="23" t="s">
        <v>4522</v>
      </c>
      <c r="X564" s="27"/>
      <c r="Y564" s="27"/>
      <c r="Z564" s="27"/>
      <c r="AA564" s="27"/>
      <c r="AB564" s="44"/>
      <c r="AC564" s="76" t="s">
        <v>354</v>
      </c>
      <c r="AD564" s="76" t="s">
        <v>261</v>
      </c>
      <c r="AE564" s="76" t="s">
        <v>124</v>
      </c>
    </row>
    <row r="565">
      <c r="A565" s="45" t="s">
        <v>64</v>
      </c>
      <c r="B565" s="45" t="s">
        <v>19</v>
      </c>
      <c r="C565" s="45" t="s">
        <v>973</v>
      </c>
      <c r="D565" s="45" t="s">
        <v>4908</v>
      </c>
      <c r="E565" s="45" t="s">
        <v>3824</v>
      </c>
      <c r="F565" s="48">
        <v>904.0</v>
      </c>
      <c r="G565" s="48">
        <v>600711.0</v>
      </c>
      <c r="H565" s="45" t="s">
        <v>2132</v>
      </c>
      <c r="I565" s="53"/>
      <c r="J565" s="45" t="s">
        <v>2429</v>
      </c>
      <c r="K565" s="55">
        <v>45968.0</v>
      </c>
      <c r="L565" s="242" t="str">
        <f t="shared" si="16"/>
        <v>2025</v>
      </c>
      <c r="M565" s="55">
        <v>46333.0</v>
      </c>
      <c r="N565" s="55" t="str">
        <f t="shared" si="15"/>
        <v>2026</v>
      </c>
      <c r="O565" s="58">
        <f t="shared" si="11"/>
        <v>365</v>
      </c>
      <c r="P565" s="58">
        <f t="shared" si="4"/>
        <v>1</v>
      </c>
      <c r="Q565" s="45" t="s">
        <v>150</v>
      </c>
      <c r="R565" s="51"/>
      <c r="S565" s="51"/>
      <c r="T565" s="51"/>
      <c r="U565" s="51"/>
      <c r="V565" s="51"/>
      <c r="W565" s="51"/>
      <c r="X565" s="51"/>
      <c r="Y565" s="51"/>
      <c r="Z565" s="51"/>
      <c r="AA565" s="51"/>
      <c r="AB565" s="72"/>
      <c r="AC565" s="64" t="s">
        <v>820</v>
      </c>
      <c r="AD565" s="51"/>
      <c r="AE565" s="64" t="s">
        <v>124</v>
      </c>
    </row>
    <row r="566">
      <c r="A566" s="23" t="s">
        <v>64</v>
      </c>
      <c r="B566" s="23" t="s">
        <v>19</v>
      </c>
      <c r="C566" s="23" t="s">
        <v>4546</v>
      </c>
      <c r="D566" s="23" t="s">
        <v>4913</v>
      </c>
      <c r="E566" s="23" t="s">
        <v>4914</v>
      </c>
      <c r="F566" s="26">
        <v>905.0</v>
      </c>
      <c r="G566" s="27"/>
      <c r="H566" s="23" t="s">
        <v>1392</v>
      </c>
      <c r="I566" s="143" t="s">
        <v>84</v>
      </c>
      <c r="J566" s="23" t="s">
        <v>1632</v>
      </c>
      <c r="K566" s="88"/>
      <c r="L566" s="293" t="str">
        <f t="shared" si="16"/>
        <v/>
      </c>
      <c r="M566" s="88"/>
      <c r="N566" s="88" t="str">
        <f t="shared" si="15"/>
        <v/>
      </c>
      <c r="O566" s="36">
        <f t="shared" si="11"/>
        <v>0</v>
      </c>
      <c r="P566" s="36">
        <f t="shared" si="4"/>
        <v>0</v>
      </c>
      <c r="Q566" s="27"/>
      <c r="R566" s="27"/>
      <c r="S566" s="27"/>
      <c r="T566" s="27"/>
      <c r="U566" s="27"/>
      <c r="V566" s="27"/>
      <c r="W566" s="27"/>
      <c r="X566" s="27"/>
      <c r="Y566" s="27"/>
      <c r="Z566" s="27"/>
      <c r="AA566" s="27"/>
      <c r="AB566" s="44"/>
      <c r="AC566" s="27"/>
      <c r="AD566" s="27"/>
      <c r="AE566" s="27"/>
    </row>
    <row r="567">
      <c r="A567" s="45" t="s">
        <v>64</v>
      </c>
      <c r="B567" s="45" t="s">
        <v>19</v>
      </c>
      <c r="C567" s="45" t="s">
        <v>4547</v>
      </c>
      <c r="D567" s="306" t="s">
        <v>4918</v>
      </c>
      <c r="E567" s="306" t="s">
        <v>4919</v>
      </c>
      <c r="F567" s="48">
        <v>907.0</v>
      </c>
      <c r="G567" s="51"/>
      <c r="H567" s="45" t="s">
        <v>2132</v>
      </c>
      <c r="I567" s="53"/>
      <c r="J567" s="51"/>
      <c r="K567" s="55">
        <v>45975.0</v>
      </c>
      <c r="L567" s="242" t="str">
        <f t="shared" si="16"/>
        <v>2025</v>
      </c>
      <c r="M567" s="55">
        <v>46006.0</v>
      </c>
      <c r="N567" s="55" t="str">
        <f t="shared" si="15"/>
        <v>2025</v>
      </c>
      <c r="O567" s="58">
        <f t="shared" si="11"/>
        <v>31</v>
      </c>
      <c r="P567" s="58">
        <f t="shared" si="4"/>
        <v>0</v>
      </c>
      <c r="Q567" s="51"/>
      <c r="R567" s="51"/>
      <c r="S567" s="51"/>
      <c r="T567" s="51"/>
      <c r="U567" s="51"/>
      <c r="V567" s="51"/>
      <c r="W567" s="307" t="s">
        <v>4988</v>
      </c>
      <c r="X567" s="51"/>
      <c r="Y567" s="51"/>
      <c r="Z567" s="51"/>
      <c r="AA567" s="51"/>
      <c r="AB567" s="72"/>
      <c r="AC567" s="64" t="s">
        <v>354</v>
      </c>
      <c r="AD567" s="64" t="s">
        <v>123</v>
      </c>
      <c r="AE567" s="64" t="s">
        <v>476</v>
      </c>
    </row>
    <row r="568">
      <c r="A568" s="23" t="s">
        <v>169</v>
      </c>
      <c r="B568" s="23" t="s">
        <v>19</v>
      </c>
      <c r="C568" s="23" t="s">
        <v>4551</v>
      </c>
      <c r="D568" s="23" t="s">
        <v>4936</v>
      </c>
      <c r="E568" s="23" t="s">
        <v>4937</v>
      </c>
      <c r="F568" s="26">
        <v>908.0</v>
      </c>
      <c r="G568" s="27"/>
      <c r="H568" s="23" t="s">
        <v>4825</v>
      </c>
      <c r="I568" s="143" t="s">
        <v>4970</v>
      </c>
      <c r="J568" s="23" t="s">
        <v>1372</v>
      </c>
      <c r="K568" s="29">
        <v>45980.0</v>
      </c>
      <c r="L568" s="239" t="str">
        <f t="shared" si="16"/>
        <v>2025</v>
      </c>
      <c r="M568" s="29">
        <v>45992.0</v>
      </c>
      <c r="N568" s="29" t="str">
        <f t="shared" si="15"/>
        <v>2025</v>
      </c>
      <c r="O568" s="36">
        <f t="shared" si="11"/>
        <v>12</v>
      </c>
      <c r="P568" s="36">
        <f t="shared" si="4"/>
        <v>0</v>
      </c>
      <c r="Q568" s="23" t="s">
        <v>106</v>
      </c>
      <c r="R568" s="27"/>
      <c r="S568" s="27"/>
      <c r="T568" s="23" t="s">
        <v>233</v>
      </c>
      <c r="U568" s="23" t="s">
        <v>484</v>
      </c>
      <c r="V568" s="27"/>
      <c r="W568" s="23" t="s">
        <v>4939</v>
      </c>
      <c r="X568" s="27"/>
      <c r="Y568" s="27"/>
      <c r="Z568" s="27"/>
      <c r="AA568" s="27"/>
      <c r="AB568" s="44"/>
      <c r="AC568" s="76" t="s">
        <v>777</v>
      </c>
      <c r="AD568" s="27"/>
      <c r="AE568" s="76" t="s">
        <v>1610</v>
      </c>
    </row>
    <row r="569">
      <c r="A569" s="45" t="s">
        <v>169</v>
      </c>
      <c r="B569" s="45" t="s">
        <v>19</v>
      </c>
      <c r="C569" s="45" t="s">
        <v>4552</v>
      </c>
      <c r="D569" s="45" t="s">
        <v>4941</v>
      </c>
      <c r="E569" s="45" t="s">
        <v>4942</v>
      </c>
      <c r="F569" s="48">
        <v>909.0</v>
      </c>
      <c r="G569" s="48">
        <v>600725.0</v>
      </c>
      <c r="H569" s="45" t="s">
        <v>2132</v>
      </c>
      <c r="I569" s="233" t="s">
        <v>1148</v>
      </c>
      <c r="J569" s="45" t="s">
        <v>2799</v>
      </c>
      <c r="K569" s="55">
        <v>45981.0</v>
      </c>
      <c r="L569" s="242" t="str">
        <f t="shared" si="16"/>
        <v>2025</v>
      </c>
      <c r="M569" s="55">
        <v>45991.0</v>
      </c>
      <c r="N569" s="55" t="str">
        <f t="shared" si="15"/>
        <v>2025</v>
      </c>
      <c r="O569" s="58">
        <f t="shared" si="11"/>
        <v>10</v>
      </c>
      <c r="P569" s="58">
        <f t="shared" si="4"/>
        <v>0</v>
      </c>
      <c r="Q569" s="45" t="s">
        <v>106</v>
      </c>
      <c r="R569" s="51"/>
      <c r="S569" s="51"/>
      <c r="T569" s="45" t="s">
        <v>146</v>
      </c>
      <c r="U569" s="45" t="s">
        <v>105</v>
      </c>
      <c r="V569" s="51"/>
      <c r="W569" s="45" t="s">
        <v>4943</v>
      </c>
      <c r="X569" s="51"/>
      <c r="Y569" s="51"/>
      <c r="Z569" s="51"/>
      <c r="AA569" s="51"/>
      <c r="AB569" s="72"/>
      <c r="AC569" s="64" t="s">
        <v>3489</v>
      </c>
      <c r="AD569" s="51"/>
      <c r="AE569" s="64" t="s">
        <v>1501</v>
      </c>
    </row>
    <row r="570">
      <c r="A570" s="308" t="s">
        <v>5004</v>
      </c>
      <c r="B570" s="308" t="s">
        <v>67</v>
      </c>
      <c r="C570" s="309" t="s">
        <v>5005</v>
      </c>
      <c r="D570" s="308" t="s">
        <v>5007</v>
      </c>
      <c r="E570" s="308" t="s">
        <v>5009</v>
      </c>
      <c r="F570" s="310">
        <v>999.0</v>
      </c>
      <c r="G570" s="310">
        <v>98764.0</v>
      </c>
      <c r="H570" s="308" t="s">
        <v>232</v>
      </c>
      <c r="I570" s="308" t="s">
        <v>3256</v>
      </c>
      <c r="J570" s="308" t="s">
        <v>86</v>
      </c>
      <c r="K570" s="311">
        <v>45987.29166666667</v>
      </c>
      <c r="L570" s="310">
        <v>2025.0</v>
      </c>
      <c r="M570" s="311">
        <v>45998.29166666667</v>
      </c>
      <c r="N570" s="310">
        <v>2025.0</v>
      </c>
      <c r="O570" s="312">
        <v>11.0</v>
      </c>
      <c r="P570" s="312">
        <v>1.0</v>
      </c>
      <c r="Q570" s="308" t="s">
        <v>150</v>
      </c>
      <c r="R570" s="147"/>
      <c r="S570" s="313" t="s">
        <v>113</v>
      </c>
      <c r="T570" s="308" t="s">
        <v>233</v>
      </c>
      <c r="U570" s="308" t="s">
        <v>484</v>
      </c>
      <c r="V570" s="313" t="s">
        <v>106</v>
      </c>
      <c r="W570" s="308" t="s">
        <v>5014</v>
      </c>
      <c r="X570" s="313" t="s">
        <v>5014</v>
      </c>
      <c r="Y570" s="147"/>
      <c r="Z570" s="313" t="s">
        <v>5016</v>
      </c>
      <c r="AA570" s="313" t="s">
        <v>5017</v>
      </c>
      <c r="AB570" s="314" t="s">
        <v>5018</v>
      </c>
      <c r="AC570" s="315" t="s">
        <v>276</v>
      </c>
      <c r="AD570" s="313">
        <v>121.0</v>
      </c>
      <c r="AE570" s="316"/>
    </row>
    <row r="571">
      <c r="A571" s="317" t="s">
        <v>5019</v>
      </c>
      <c r="B571" s="317" t="s">
        <v>67</v>
      </c>
      <c r="C571" s="318" t="s">
        <v>5021</v>
      </c>
      <c r="D571" s="317" t="s">
        <v>5022</v>
      </c>
      <c r="E571" s="317" t="s">
        <v>5023</v>
      </c>
      <c r="F571" s="319">
        <v>369874.0</v>
      </c>
      <c r="G571" s="319">
        <v>7.9326547E7</v>
      </c>
      <c r="H571" s="317" t="s">
        <v>232</v>
      </c>
      <c r="I571" s="317" t="s">
        <v>84</v>
      </c>
      <c r="J571" s="317" t="s">
        <v>1372</v>
      </c>
      <c r="K571" s="320">
        <v>45988.29166666667</v>
      </c>
      <c r="L571" s="321">
        <v>2025.0</v>
      </c>
      <c r="M571" s="322">
        <v>45991.29166666667</v>
      </c>
      <c r="N571" s="321">
        <v>2025.0</v>
      </c>
      <c r="O571" s="324">
        <v>3.0</v>
      </c>
      <c r="P571" s="324">
        <v>1.0</v>
      </c>
      <c r="Q571" s="317" t="s">
        <v>150</v>
      </c>
      <c r="R571" s="326"/>
      <c r="S571" s="327" t="s">
        <v>113</v>
      </c>
      <c r="T571" s="317" t="s">
        <v>84</v>
      </c>
      <c r="U571" s="317" t="s">
        <v>484</v>
      </c>
      <c r="V571" s="327" t="s">
        <v>106</v>
      </c>
      <c r="W571" s="317" t="s">
        <v>5028</v>
      </c>
      <c r="X571" s="327" t="s">
        <v>5030</v>
      </c>
      <c r="Y571" s="326"/>
      <c r="Z571" s="327" t="s">
        <v>5016</v>
      </c>
      <c r="AA571" s="327" t="s">
        <v>5031</v>
      </c>
      <c r="AB571" s="329" t="s">
        <v>3791</v>
      </c>
      <c r="AC571" s="331" t="s">
        <v>276</v>
      </c>
      <c r="AD571" s="332"/>
      <c r="AE571" s="334"/>
    </row>
    <row r="572">
      <c r="A572" s="308" t="s">
        <v>5019</v>
      </c>
      <c r="B572" s="308" t="s">
        <v>19</v>
      </c>
      <c r="C572" s="309" t="s">
        <v>845</v>
      </c>
      <c r="D572" s="308" t="s">
        <v>5032</v>
      </c>
      <c r="E572" s="308" t="s">
        <v>5033</v>
      </c>
      <c r="F572" s="310">
        <v>12345.0</v>
      </c>
      <c r="G572" s="310">
        <v>600695.0</v>
      </c>
      <c r="H572" s="308" t="s">
        <v>232</v>
      </c>
      <c r="I572" s="308" t="s">
        <v>1809</v>
      </c>
      <c r="J572" s="308" t="s">
        <v>1372</v>
      </c>
      <c r="K572" s="311">
        <v>45989.29166666667</v>
      </c>
      <c r="L572" s="338">
        <v>2025.0</v>
      </c>
      <c r="M572" s="311">
        <v>46234.29166666667</v>
      </c>
      <c r="N572" s="338">
        <v>2026.0</v>
      </c>
      <c r="O572" s="312">
        <v>245.0</v>
      </c>
      <c r="P572" s="312">
        <v>1.0</v>
      </c>
      <c r="Q572" s="308" t="s">
        <v>150</v>
      </c>
      <c r="R572" s="147"/>
      <c r="S572" s="313" t="s">
        <v>113</v>
      </c>
      <c r="T572" s="308" t="s">
        <v>146</v>
      </c>
      <c r="U572" s="308" t="s">
        <v>484</v>
      </c>
      <c r="V572" s="313" t="s">
        <v>104</v>
      </c>
      <c r="W572" s="308" t="s">
        <v>3634</v>
      </c>
      <c r="X572" s="340"/>
      <c r="Y572" s="147"/>
      <c r="Z572" s="313" t="s">
        <v>5036</v>
      </c>
      <c r="AA572" s="313" t="s">
        <v>5037</v>
      </c>
      <c r="AB572" s="314" t="s">
        <v>5038</v>
      </c>
      <c r="AC572" s="315" t="s">
        <v>164</v>
      </c>
      <c r="AD572" s="340"/>
      <c r="AE572" s="316"/>
    </row>
    <row r="573">
      <c r="A573" s="308" t="s">
        <v>5019</v>
      </c>
      <c r="B573" s="308" t="s">
        <v>19</v>
      </c>
      <c r="C573" s="309" t="s">
        <v>5039</v>
      </c>
      <c r="D573" s="308" t="s">
        <v>5040</v>
      </c>
      <c r="E573" s="308" t="s">
        <v>5033</v>
      </c>
      <c r="F573" s="310">
        <v>12345.0</v>
      </c>
      <c r="G573" s="310">
        <v>600695.0</v>
      </c>
      <c r="H573" s="308" t="s">
        <v>232</v>
      </c>
      <c r="I573" s="308" t="s">
        <v>1809</v>
      </c>
      <c r="J573" s="308" t="s">
        <v>1372</v>
      </c>
      <c r="K573" s="311">
        <v>45989.29166666667</v>
      </c>
      <c r="L573" s="338">
        <v>2025.0</v>
      </c>
      <c r="M573" s="311">
        <v>46234.29166666667</v>
      </c>
      <c r="N573" s="338">
        <v>2026.0</v>
      </c>
      <c r="O573" s="312">
        <v>245.0</v>
      </c>
      <c r="P573" s="312">
        <v>1.0</v>
      </c>
      <c r="Q573" s="308" t="s">
        <v>150</v>
      </c>
      <c r="R573" s="147"/>
      <c r="S573" s="313" t="s">
        <v>113</v>
      </c>
      <c r="T573" s="308" t="s">
        <v>146</v>
      </c>
      <c r="U573" s="308" t="s">
        <v>484</v>
      </c>
      <c r="V573" s="313" t="s">
        <v>104</v>
      </c>
      <c r="W573" s="308" t="s">
        <v>3634</v>
      </c>
      <c r="X573" s="340"/>
      <c r="Y573" s="147"/>
      <c r="Z573" s="313" t="s">
        <v>5036</v>
      </c>
      <c r="AA573" s="313" t="s">
        <v>5037</v>
      </c>
      <c r="AB573" s="314" t="s">
        <v>5038</v>
      </c>
      <c r="AC573" s="315" t="s">
        <v>164</v>
      </c>
      <c r="AD573" s="340"/>
      <c r="AE573" s="316"/>
    </row>
    <row r="574">
      <c r="A574" s="317" t="s">
        <v>5004</v>
      </c>
      <c r="B574" s="317" t="s">
        <v>19</v>
      </c>
      <c r="C574" s="318" t="s">
        <v>845</v>
      </c>
      <c r="D574" s="317" t="s">
        <v>5044</v>
      </c>
      <c r="E574" s="317" t="s">
        <v>5023</v>
      </c>
      <c r="F574" s="319">
        <v>123456.0</v>
      </c>
      <c r="G574" s="319">
        <v>6006998.0</v>
      </c>
      <c r="H574" s="317" t="s">
        <v>232</v>
      </c>
      <c r="I574" s="317" t="s">
        <v>1225</v>
      </c>
      <c r="J574" s="317" t="s">
        <v>1372</v>
      </c>
      <c r="K574" s="320">
        <v>45989.29166666667</v>
      </c>
      <c r="L574" s="321">
        <v>2025.0</v>
      </c>
      <c r="M574" s="320">
        <v>45997.29166666667</v>
      </c>
      <c r="N574" s="321">
        <v>2025.0</v>
      </c>
      <c r="O574" s="324">
        <v>8.0</v>
      </c>
      <c r="P574" s="324">
        <v>1.0</v>
      </c>
      <c r="Q574" s="317" t="s">
        <v>150</v>
      </c>
      <c r="R574" s="326"/>
      <c r="S574" s="327" t="s">
        <v>113</v>
      </c>
      <c r="T574" s="317" t="s">
        <v>233</v>
      </c>
      <c r="U574" s="317" t="s">
        <v>484</v>
      </c>
      <c r="V574" s="327" t="s">
        <v>104</v>
      </c>
      <c r="W574" s="317" t="s">
        <v>3634</v>
      </c>
      <c r="X574" s="332"/>
      <c r="Y574" s="327" t="s">
        <v>5046</v>
      </c>
      <c r="Z574" s="327" t="s">
        <v>5047</v>
      </c>
      <c r="AA574" s="327" t="s">
        <v>3502</v>
      </c>
      <c r="AB574" s="329" t="s">
        <v>3421</v>
      </c>
      <c r="AC574" s="331" t="s">
        <v>337</v>
      </c>
      <c r="AD574" s="332"/>
      <c r="AE574" s="334"/>
    </row>
    <row r="575">
      <c r="A575" s="308" t="s">
        <v>5004</v>
      </c>
      <c r="B575" s="308" t="s">
        <v>19</v>
      </c>
      <c r="C575" s="309" t="s">
        <v>5049</v>
      </c>
      <c r="D575" s="308" t="s">
        <v>5050</v>
      </c>
      <c r="E575" s="308" t="s">
        <v>5051</v>
      </c>
      <c r="F575" s="310">
        <v>111.0</v>
      </c>
      <c r="G575" s="310">
        <v>156354.0</v>
      </c>
      <c r="H575" s="308" t="s">
        <v>232</v>
      </c>
      <c r="I575" s="308" t="s">
        <v>3256</v>
      </c>
      <c r="J575" s="308" t="s">
        <v>2549</v>
      </c>
      <c r="K575" s="311">
        <v>45994.29166666667</v>
      </c>
      <c r="L575" s="338">
        <v>2025.0</v>
      </c>
      <c r="M575" s="311">
        <v>46016.29166666667</v>
      </c>
      <c r="N575" s="338">
        <v>2025.0</v>
      </c>
      <c r="O575" s="312">
        <v>22.0</v>
      </c>
      <c r="P575" s="312">
        <v>1.0</v>
      </c>
      <c r="Q575" s="308" t="s">
        <v>5054</v>
      </c>
      <c r="R575" s="147"/>
      <c r="S575" s="313" t="s">
        <v>269</v>
      </c>
      <c r="T575" s="308" t="s">
        <v>84</v>
      </c>
      <c r="U575" s="308" t="s">
        <v>25</v>
      </c>
      <c r="V575" s="313" t="s">
        <v>106</v>
      </c>
      <c r="W575" s="308" t="s">
        <v>5055</v>
      </c>
      <c r="X575" s="313" t="s">
        <v>5055</v>
      </c>
      <c r="Y575" s="340"/>
      <c r="Z575" s="313" t="s">
        <v>5047</v>
      </c>
      <c r="AA575" s="340"/>
      <c r="AB575" s="314" t="s">
        <v>1576</v>
      </c>
      <c r="AC575" s="315" t="s">
        <v>276</v>
      </c>
      <c r="AD575" s="340"/>
      <c r="AE575" s="316"/>
    </row>
    <row r="576">
      <c r="A576" s="317" t="s">
        <v>5004</v>
      </c>
      <c r="B576" s="317" t="s">
        <v>19</v>
      </c>
      <c r="C576" s="318" t="s">
        <v>5058</v>
      </c>
      <c r="D576" s="317" t="s">
        <v>5059</v>
      </c>
      <c r="E576" s="317" t="s">
        <v>5060</v>
      </c>
      <c r="F576" s="319">
        <v>222.0</v>
      </c>
      <c r="G576" s="319">
        <v>6131264.0</v>
      </c>
      <c r="H576" s="317" t="s">
        <v>232</v>
      </c>
      <c r="I576" s="317" t="s">
        <v>1225</v>
      </c>
      <c r="J576" s="317" t="s">
        <v>1525</v>
      </c>
      <c r="K576" s="354">
        <v>45997.29166666667</v>
      </c>
      <c r="L576" s="321">
        <v>2025.0</v>
      </c>
      <c r="M576" s="354">
        <v>46017.29166666667</v>
      </c>
      <c r="N576" s="321">
        <v>2025.0</v>
      </c>
      <c r="O576" s="324">
        <v>20.0</v>
      </c>
      <c r="P576" s="324">
        <v>1.0</v>
      </c>
      <c r="Q576" s="317" t="s">
        <v>150</v>
      </c>
      <c r="R576" s="326"/>
      <c r="S576" s="327" t="s">
        <v>113</v>
      </c>
      <c r="T576" s="317" t="s">
        <v>233</v>
      </c>
      <c r="U576" s="317" t="s">
        <v>484</v>
      </c>
      <c r="V576" s="327" t="s">
        <v>106</v>
      </c>
      <c r="W576" s="317" t="s">
        <v>5064</v>
      </c>
      <c r="X576" s="332"/>
      <c r="Y576" s="332"/>
      <c r="Z576" s="327" t="s">
        <v>5016</v>
      </c>
      <c r="AA576" s="327" t="s">
        <v>5066</v>
      </c>
      <c r="AB576" s="329" t="s">
        <v>3421</v>
      </c>
      <c r="AC576" s="331" t="s">
        <v>161</v>
      </c>
      <c r="AD576" s="332"/>
      <c r="AE576" s="334"/>
    </row>
    <row r="577">
      <c r="A577" s="308" t="s">
        <v>407</v>
      </c>
      <c r="B577" s="308" t="s">
        <v>19</v>
      </c>
      <c r="C577" s="309">
        <v>231312.0</v>
      </c>
      <c r="D577" s="308">
        <v>3.123123123E9</v>
      </c>
      <c r="E577" s="308" t="s">
        <v>5023</v>
      </c>
      <c r="F577" s="310">
        <v>2.13123213E8</v>
      </c>
      <c r="G577" s="310">
        <v>1.2312313E7</v>
      </c>
      <c r="H577" s="308" t="s">
        <v>232</v>
      </c>
      <c r="I577" s="308" t="s">
        <v>2583</v>
      </c>
      <c r="J577" s="308" t="s">
        <v>782</v>
      </c>
      <c r="K577" s="356">
        <v>45993.29166666667</v>
      </c>
      <c r="L577" s="338">
        <v>2025.0</v>
      </c>
      <c r="M577" s="356">
        <v>46018.29166666667</v>
      </c>
      <c r="N577" s="338">
        <v>2025.0</v>
      </c>
      <c r="O577" s="312">
        <v>25.0</v>
      </c>
      <c r="P577" s="312">
        <v>1.0</v>
      </c>
      <c r="Q577" s="308" t="s">
        <v>5054</v>
      </c>
      <c r="R577" s="147"/>
      <c r="S577" s="313" t="s">
        <v>269</v>
      </c>
      <c r="T577" s="308" t="s">
        <v>84</v>
      </c>
      <c r="U577" s="308" t="s">
        <v>484</v>
      </c>
      <c r="V577" s="313" t="s">
        <v>708</v>
      </c>
      <c r="W577" s="308" t="s">
        <v>3451</v>
      </c>
      <c r="X577" s="340"/>
      <c r="Y577" s="340"/>
      <c r="Z577" s="313" t="s">
        <v>5047</v>
      </c>
      <c r="AA577" s="313" t="s">
        <v>211</v>
      </c>
      <c r="AB577" s="314" t="s">
        <v>5018</v>
      </c>
      <c r="AC577" s="315" t="s">
        <v>337</v>
      </c>
      <c r="AD577" s="340"/>
      <c r="AE577" s="316"/>
    </row>
    <row r="578">
      <c r="A578" s="317" t="s">
        <v>407</v>
      </c>
      <c r="B578" s="317" t="s">
        <v>67</v>
      </c>
      <c r="C578" s="318" t="s">
        <v>5074</v>
      </c>
      <c r="D578" s="317" t="s">
        <v>5075</v>
      </c>
      <c r="E578" s="317" t="s">
        <v>5076</v>
      </c>
      <c r="F578" s="319">
        <v>2.3232323E7</v>
      </c>
      <c r="G578" s="319">
        <v>2.3232323E7</v>
      </c>
      <c r="H578" s="317" t="s">
        <v>232</v>
      </c>
      <c r="I578" s="317" t="s">
        <v>3256</v>
      </c>
      <c r="J578" s="317" t="s">
        <v>2799</v>
      </c>
      <c r="K578" s="354">
        <v>45993.29166666667</v>
      </c>
      <c r="L578" s="321">
        <v>2025.0</v>
      </c>
      <c r="M578" s="354">
        <v>46023.29166666667</v>
      </c>
      <c r="N578" s="321">
        <v>2026.0</v>
      </c>
      <c r="O578" s="324">
        <v>30.0</v>
      </c>
      <c r="P578" s="324">
        <v>1.0</v>
      </c>
      <c r="Q578" s="317" t="s">
        <v>150</v>
      </c>
      <c r="R578" s="326"/>
      <c r="S578" s="327" t="s">
        <v>269</v>
      </c>
      <c r="T578" s="317" t="s">
        <v>84</v>
      </c>
      <c r="U578" s="317" t="s">
        <v>25</v>
      </c>
      <c r="V578" s="327" t="s">
        <v>708</v>
      </c>
      <c r="W578" s="317" t="s">
        <v>3451</v>
      </c>
      <c r="X578" s="332"/>
      <c r="Y578" s="332"/>
      <c r="Z578" s="327" t="s">
        <v>1652</v>
      </c>
      <c r="AA578" s="327" t="s">
        <v>5080</v>
      </c>
      <c r="AB578" s="329" t="s">
        <v>5081</v>
      </c>
      <c r="AC578" s="331" t="s">
        <v>276</v>
      </c>
      <c r="AD578" s="332"/>
      <c r="AE578" s="334"/>
    </row>
    <row r="579">
      <c r="A579" s="308" t="s">
        <v>407</v>
      </c>
      <c r="B579" s="308" t="s">
        <v>19</v>
      </c>
      <c r="C579" s="309" t="s">
        <v>5082</v>
      </c>
      <c r="D579" s="308">
        <v>1.211231232E9</v>
      </c>
      <c r="E579" s="308" t="s">
        <v>5083</v>
      </c>
      <c r="F579" s="310">
        <v>111.0</v>
      </c>
      <c r="G579" s="310">
        <v>2.3232323E7</v>
      </c>
      <c r="H579" s="308" t="s">
        <v>232</v>
      </c>
      <c r="I579" s="308" t="s">
        <v>1809</v>
      </c>
      <c r="J579" s="308" t="s">
        <v>1372</v>
      </c>
      <c r="K579" s="358">
        <v>45993.0</v>
      </c>
      <c r="L579" s="310">
        <v>2025.0</v>
      </c>
      <c r="M579" s="358">
        <v>46030.0</v>
      </c>
      <c r="N579" s="310">
        <v>2026.0</v>
      </c>
      <c r="O579" s="312">
        <v>37.0</v>
      </c>
      <c r="P579" s="312">
        <v>1.0</v>
      </c>
      <c r="Q579" s="308">
        <v>1.0</v>
      </c>
      <c r="R579" s="147"/>
      <c r="S579" s="313" t="s">
        <v>269</v>
      </c>
      <c r="T579" s="308" t="s">
        <v>233</v>
      </c>
      <c r="U579" s="308" t="s">
        <v>484</v>
      </c>
      <c r="V579" s="313" t="s">
        <v>708</v>
      </c>
      <c r="W579" s="308" t="s">
        <v>3451</v>
      </c>
      <c r="X579" s="340"/>
      <c r="Y579" s="340"/>
      <c r="Z579" s="313" t="s">
        <v>1652</v>
      </c>
      <c r="AA579" s="313" t="s">
        <v>5066</v>
      </c>
      <c r="AB579" s="314" t="s">
        <v>5018</v>
      </c>
      <c r="AC579" s="315" t="s">
        <v>337</v>
      </c>
      <c r="AD579" s="340"/>
      <c r="AE579" s="316"/>
    </row>
    <row r="580">
      <c r="A580" s="359"/>
      <c r="B580" s="317" t="s">
        <v>67</v>
      </c>
      <c r="C580" s="318" t="s">
        <v>5087</v>
      </c>
      <c r="D580" s="317" t="s">
        <v>5088</v>
      </c>
      <c r="E580" s="317" t="s">
        <v>5060</v>
      </c>
      <c r="F580" s="319">
        <v>444.0</v>
      </c>
      <c r="G580" s="319">
        <v>54515.0</v>
      </c>
      <c r="H580" s="317" t="s">
        <v>232</v>
      </c>
      <c r="I580" s="317" t="s">
        <v>236</v>
      </c>
      <c r="J580" s="317" t="s">
        <v>2841</v>
      </c>
      <c r="K580" s="320"/>
      <c r="L580" s="321"/>
      <c r="M580" s="354">
        <v>45997.29166666667</v>
      </c>
      <c r="N580" s="319">
        <v>2025.0</v>
      </c>
      <c r="O580" s="324">
        <v>3.0</v>
      </c>
      <c r="P580" s="324">
        <v>1.0</v>
      </c>
      <c r="Q580" s="317" t="s">
        <v>150</v>
      </c>
      <c r="R580" s="326"/>
      <c r="S580" s="332"/>
      <c r="T580" s="317" t="s">
        <v>146</v>
      </c>
      <c r="U580" s="317" t="s">
        <v>70</v>
      </c>
      <c r="V580" s="327" t="s">
        <v>106</v>
      </c>
      <c r="W580" s="317" t="s">
        <v>5092</v>
      </c>
      <c r="X580" s="327" t="s">
        <v>5094</v>
      </c>
      <c r="Y580" s="332"/>
      <c r="Z580" s="327" t="s">
        <v>5047</v>
      </c>
      <c r="AA580" s="327" t="s">
        <v>5095</v>
      </c>
      <c r="AB580" s="329" t="s">
        <v>1621</v>
      </c>
      <c r="AC580" s="331" t="s">
        <v>164</v>
      </c>
      <c r="AD580" s="332"/>
      <c r="AE580" s="334"/>
    </row>
    <row r="581">
      <c r="A581" s="360"/>
      <c r="B581" s="360"/>
      <c r="C581" s="360"/>
      <c r="D581" s="360"/>
      <c r="E581" s="360"/>
      <c r="F581" s="360"/>
      <c r="G581" s="360"/>
      <c r="H581" s="360"/>
      <c r="I581" s="360"/>
      <c r="J581" s="360"/>
      <c r="K581" s="361"/>
      <c r="L581" s="360"/>
      <c r="M581" s="361"/>
      <c r="N581" s="360"/>
      <c r="O581" s="360"/>
      <c r="P581" s="360"/>
      <c r="Q581" s="360"/>
      <c r="R581" s="360"/>
      <c r="S581" s="360"/>
      <c r="T581" s="360"/>
      <c r="U581" s="360"/>
      <c r="V581" s="360"/>
      <c r="W581" s="360"/>
      <c r="X581" s="360"/>
      <c r="Y581" s="360"/>
      <c r="Z581" s="360"/>
      <c r="AA581" s="360"/>
      <c r="AB581" s="362"/>
      <c r="AC581" s="360"/>
      <c r="AD581" s="360"/>
      <c r="AE581" s="360"/>
    </row>
    <row r="582">
      <c r="A582" s="360"/>
      <c r="B582" s="360"/>
      <c r="C582" s="360"/>
      <c r="D582" s="360"/>
      <c r="E582" s="360"/>
      <c r="F582" s="360"/>
      <c r="G582" s="360"/>
      <c r="H582" s="360"/>
      <c r="I582" s="360"/>
      <c r="J582" s="360"/>
      <c r="K582" s="361"/>
      <c r="L582" s="360"/>
      <c r="M582" s="361"/>
      <c r="N582" s="360"/>
      <c r="O582" s="360"/>
      <c r="P582" s="360"/>
      <c r="Q582" s="360"/>
      <c r="R582" s="360"/>
      <c r="S582" s="360"/>
      <c r="T582" s="360"/>
      <c r="U582" s="360"/>
      <c r="V582" s="360"/>
      <c r="W582" s="360"/>
      <c r="X582" s="360"/>
      <c r="Y582" s="360"/>
      <c r="Z582" s="360"/>
      <c r="AA582" s="360"/>
      <c r="AB582" s="362"/>
      <c r="AC582" s="360"/>
      <c r="AD582" s="360"/>
      <c r="AE582" s="360"/>
    </row>
    <row r="583">
      <c r="A583" s="360"/>
      <c r="B583" s="360"/>
      <c r="C583" s="360"/>
      <c r="D583" s="360"/>
      <c r="E583" s="360"/>
      <c r="F583" s="360"/>
      <c r="G583" s="360"/>
      <c r="H583" s="360"/>
      <c r="I583" s="360"/>
      <c r="J583" s="360"/>
      <c r="K583" s="361"/>
      <c r="L583" s="360"/>
      <c r="M583" s="361"/>
      <c r="N583" s="360"/>
      <c r="O583" s="360"/>
      <c r="P583" s="360"/>
      <c r="Q583" s="360"/>
      <c r="R583" s="360"/>
      <c r="S583" s="360"/>
      <c r="T583" s="360"/>
      <c r="U583" s="360"/>
      <c r="V583" s="360"/>
      <c r="W583" s="360"/>
      <c r="X583" s="360"/>
      <c r="Y583" s="360"/>
      <c r="Z583" s="360"/>
      <c r="AA583" s="360"/>
      <c r="AB583" s="362"/>
      <c r="AC583" s="360"/>
      <c r="AD583" s="360"/>
      <c r="AE583" s="360"/>
    </row>
    <row r="584">
      <c r="A584" s="360"/>
      <c r="B584" s="360"/>
      <c r="C584" s="360"/>
      <c r="D584" s="360"/>
      <c r="E584" s="360"/>
      <c r="F584" s="360"/>
      <c r="G584" s="360"/>
      <c r="H584" s="360"/>
      <c r="I584" s="360"/>
      <c r="J584" s="360"/>
      <c r="K584" s="361"/>
      <c r="L584" s="360"/>
      <c r="M584" s="361"/>
      <c r="N584" s="360"/>
      <c r="O584" s="360"/>
      <c r="P584" s="360"/>
      <c r="Q584" s="360"/>
      <c r="R584" s="360"/>
      <c r="S584" s="360"/>
      <c r="T584" s="360"/>
      <c r="U584" s="360"/>
      <c r="V584" s="360"/>
      <c r="W584" s="360"/>
      <c r="X584" s="360"/>
      <c r="Y584" s="360"/>
      <c r="Z584" s="360"/>
      <c r="AA584" s="360"/>
      <c r="AB584" s="362"/>
      <c r="AC584" s="360"/>
      <c r="AD584" s="360"/>
      <c r="AE584" s="360"/>
    </row>
    <row r="585">
      <c r="A585" s="360"/>
      <c r="B585" s="360"/>
      <c r="C585" s="360"/>
      <c r="D585" s="360"/>
      <c r="E585" s="360"/>
      <c r="F585" s="360"/>
      <c r="G585" s="360"/>
      <c r="H585" s="360"/>
      <c r="I585" s="360"/>
      <c r="J585" s="360"/>
      <c r="K585" s="361"/>
      <c r="L585" s="360"/>
      <c r="M585" s="361"/>
      <c r="N585" s="360"/>
      <c r="O585" s="360"/>
      <c r="P585" s="360"/>
      <c r="Q585" s="360"/>
      <c r="R585" s="360"/>
      <c r="S585" s="360"/>
      <c r="T585" s="360"/>
      <c r="U585" s="360"/>
      <c r="V585" s="360"/>
      <c r="W585" s="360"/>
      <c r="X585" s="360"/>
      <c r="Y585" s="360"/>
      <c r="Z585" s="360"/>
      <c r="AA585" s="360"/>
      <c r="AB585" s="362"/>
      <c r="AC585" s="360"/>
      <c r="AD585" s="360"/>
      <c r="AE585" s="360"/>
    </row>
    <row r="586">
      <c r="A586" s="360"/>
      <c r="B586" s="360"/>
      <c r="C586" s="360"/>
      <c r="D586" s="360"/>
      <c r="E586" s="360"/>
      <c r="F586" s="360"/>
      <c r="G586" s="360"/>
      <c r="H586" s="360"/>
      <c r="I586" s="360"/>
      <c r="J586" s="360"/>
      <c r="K586" s="361"/>
      <c r="L586" s="360"/>
      <c r="M586" s="361"/>
      <c r="N586" s="360"/>
      <c r="O586" s="360"/>
      <c r="P586" s="360"/>
      <c r="Q586" s="360"/>
      <c r="R586" s="360"/>
      <c r="S586" s="360"/>
      <c r="T586" s="360"/>
      <c r="U586" s="360"/>
      <c r="V586" s="360"/>
      <c r="W586" s="360"/>
      <c r="X586" s="360"/>
      <c r="Y586" s="360"/>
      <c r="Z586" s="360"/>
      <c r="AA586" s="360"/>
      <c r="AB586" s="362"/>
      <c r="AC586" s="360"/>
      <c r="AD586" s="360"/>
      <c r="AE586" s="360"/>
    </row>
    <row r="587">
      <c r="A587" s="360"/>
      <c r="B587" s="360"/>
      <c r="C587" s="360"/>
      <c r="D587" s="360"/>
      <c r="E587" s="360"/>
      <c r="F587" s="360"/>
      <c r="G587" s="360"/>
      <c r="H587" s="360"/>
      <c r="I587" s="360"/>
      <c r="J587" s="360"/>
      <c r="K587" s="361"/>
      <c r="L587" s="360"/>
      <c r="M587" s="361"/>
      <c r="N587" s="360"/>
      <c r="O587" s="360"/>
      <c r="P587" s="360"/>
      <c r="Q587" s="360"/>
      <c r="R587" s="360"/>
      <c r="S587" s="360"/>
      <c r="T587" s="360"/>
      <c r="U587" s="360"/>
      <c r="V587" s="360"/>
      <c r="W587" s="360"/>
      <c r="X587" s="360"/>
      <c r="Y587" s="360"/>
      <c r="Z587" s="360"/>
      <c r="AA587" s="360"/>
      <c r="AB587" s="362"/>
      <c r="AC587" s="360"/>
      <c r="AD587" s="360"/>
      <c r="AE587" s="360"/>
    </row>
    <row r="588">
      <c r="A588" s="360"/>
      <c r="B588" s="360"/>
      <c r="C588" s="360"/>
      <c r="D588" s="360"/>
      <c r="E588" s="360"/>
      <c r="F588" s="360"/>
      <c r="G588" s="360"/>
      <c r="H588" s="360"/>
      <c r="I588" s="360"/>
      <c r="J588" s="360"/>
      <c r="K588" s="361"/>
      <c r="L588" s="360"/>
      <c r="M588" s="361"/>
      <c r="N588" s="360"/>
      <c r="O588" s="360"/>
      <c r="P588" s="360"/>
      <c r="Q588" s="360"/>
      <c r="R588" s="360"/>
      <c r="S588" s="360"/>
      <c r="T588" s="360"/>
      <c r="U588" s="360"/>
      <c r="V588" s="360"/>
      <c r="W588" s="360"/>
      <c r="X588" s="360"/>
      <c r="Y588" s="360"/>
      <c r="Z588" s="360"/>
      <c r="AA588" s="360"/>
      <c r="AB588" s="362"/>
      <c r="AC588" s="360"/>
      <c r="AD588" s="360"/>
      <c r="AE588" s="360"/>
    </row>
    <row r="589">
      <c r="A589" s="360"/>
      <c r="B589" s="360"/>
      <c r="C589" s="360"/>
      <c r="D589" s="360"/>
      <c r="E589" s="360"/>
      <c r="F589" s="360"/>
      <c r="G589" s="360"/>
      <c r="H589" s="360"/>
      <c r="I589" s="360"/>
      <c r="J589" s="360"/>
      <c r="K589" s="361"/>
      <c r="L589" s="360"/>
      <c r="M589" s="361"/>
      <c r="N589" s="360"/>
      <c r="O589" s="360"/>
      <c r="P589" s="360"/>
      <c r="Q589" s="360"/>
      <c r="R589" s="360"/>
      <c r="S589" s="360"/>
      <c r="T589" s="360"/>
      <c r="U589" s="360"/>
      <c r="V589" s="360"/>
      <c r="W589" s="360"/>
      <c r="X589" s="360"/>
      <c r="Y589" s="360"/>
      <c r="Z589" s="360"/>
      <c r="AA589" s="360"/>
      <c r="AB589" s="362"/>
      <c r="AC589" s="360"/>
      <c r="AD589" s="360"/>
      <c r="AE589" s="360"/>
    </row>
    <row r="590">
      <c r="A590" s="360"/>
      <c r="B590" s="360"/>
      <c r="C590" s="360"/>
      <c r="D590" s="360"/>
      <c r="E590" s="360"/>
      <c r="F590" s="360"/>
      <c r="G590" s="360"/>
      <c r="H590" s="360"/>
      <c r="I590" s="360"/>
      <c r="J590" s="360"/>
      <c r="K590" s="361"/>
      <c r="L590" s="360"/>
      <c r="M590" s="361"/>
      <c r="N590" s="360"/>
      <c r="O590" s="360"/>
      <c r="P590" s="360"/>
      <c r="Q590" s="360"/>
      <c r="R590" s="360"/>
      <c r="S590" s="360"/>
      <c r="T590" s="360"/>
      <c r="U590" s="360"/>
      <c r="V590" s="360"/>
      <c r="W590" s="360"/>
      <c r="X590" s="360"/>
      <c r="Y590" s="360"/>
      <c r="Z590" s="360"/>
      <c r="AA590" s="360"/>
      <c r="AB590" s="362"/>
      <c r="AC590" s="360"/>
      <c r="AD590" s="360"/>
      <c r="AE590" s="360"/>
    </row>
    <row r="591">
      <c r="A591" s="360"/>
      <c r="B591" s="360"/>
      <c r="C591" s="360"/>
      <c r="D591" s="360"/>
      <c r="E591" s="360"/>
      <c r="F591" s="360"/>
      <c r="G591" s="360"/>
      <c r="H591" s="360"/>
      <c r="I591" s="360"/>
      <c r="J591" s="360"/>
      <c r="K591" s="361"/>
      <c r="L591" s="360"/>
      <c r="M591" s="361"/>
      <c r="N591" s="360"/>
      <c r="O591" s="360"/>
      <c r="P591" s="360"/>
      <c r="Q591" s="360"/>
      <c r="R591" s="360"/>
      <c r="S591" s="360"/>
      <c r="T591" s="360"/>
      <c r="U591" s="360"/>
      <c r="V591" s="360"/>
      <c r="W591" s="360"/>
      <c r="X591" s="360"/>
      <c r="Y591" s="360"/>
      <c r="Z591" s="360"/>
      <c r="AA591" s="360"/>
      <c r="AB591" s="362"/>
      <c r="AC591" s="360"/>
      <c r="AD591" s="360"/>
      <c r="AE591" s="360"/>
    </row>
    <row r="592">
      <c r="A592" s="360"/>
      <c r="B592" s="360"/>
      <c r="C592" s="360"/>
      <c r="D592" s="360"/>
      <c r="E592" s="360"/>
      <c r="F592" s="360"/>
      <c r="G592" s="360"/>
      <c r="H592" s="360"/>
      <c r="I592" s="360"/>
      <c r="J592" s="360"/>
      <c r="K592" s="361"/>
      <c r="L592" s="360"/>
      <c r="M592" s="361"/>
      <c r="N592" s="360"/>
      <c r="O592" s="360"/>
      <c r="P592" s="360"/>
      <c r="Q592" s="360"/>
      <c r="R592" s="360"/>
      <c r="S592" s="360"/>
      <c r="T592" s="360"/>
      <c r="U592" s="360"/>
      <c r="V592" s="360"/>
      <c r="W592" s="360"/>
      <c r="X592" s="360"/>
      <c r="Y592" s="360"/>
      <c r="Z592" s="360"/>
      <c r="AA592" s="360"/>
      <c r="AB592" s="362"/>
      <c r="AC592" s="360"/>
      <c r="AD592" s="360"/>
      <c r="AE592" s="360"/>
    </row>
    <row r="593">
      <c r="A593" s="360"/>
      <c r="B593" s="360"/>
      <c r="C593" s="360"/>
      <c r="D593" s="360"/>
      <c r="E593" s="360"/>
      <c r="F593" s="360"/>
      <c r="G593" s="360"/>
      <c r="H593" s="360"/>
      <c r="I593" s="360"/>
      <c r="J593" s="360"/>
      <c r="K593" s="361"/>
      <c r="L593" s="360"/>
      <c r="M593" s="361"/>
      <c r="N593" s="360"/>
      <c r="O593" s="360"/>
      <c r="P593" s="360"/>
      <c r="Q593" s="360"/>
      <c r="R593" s="360"/>
      <c r="S593" s="360"/>
      <c r="T593" s="360"/>
      <c r="U593" s="360"/>
      <c r="V593" s="360"/>
      <c r="W593" s="360"/>
      <c r="X593" s="360"/>
      <c r="Y593" s="360"/>
      <c r="Z593" s="360"/>
      <c r="AA593" s="360"/>
      <c r="AB593" s="362"/>
      <c r="AC593" s="360"/>
      <c r="AD593" s="360"/>
      <c r="AE593" s="360"/>
    </row>
    <row r="594">
      <c r="A594" s="360"/>
      <c r="B594" s="360"/>
      <c r="C594" s="360"/>
      <c r="D594" s="360"/>
      <c r="E594" s="360"/>
      <c r="F594" s="360"/>
      <c r="G594" s="360"/>
      <c r="H594" s="360"/>
      <c r="I594" s="360"/>
      <c r="J594" s="360"/>
      <c r="K594" s="361"/>
      <c r="L594" s="360"/>
      <c r="M594" s="361"/>
      <c r="N594" s="360"/>
      <c r="O594" s="360"/>
      <c r="P594" s="360"/>
      <c r="Q594" s="360"/>
      <c r="R594" s="360"/>
      <c r="S594" s="360"/>
      <c r="T594" s="360"/>
      <c r="U594" s="360"/>
      <c r="V594" s="360"/>
      <c r="W594" s="360"/>
      <c r="X594" s="360"/>
      <c r="Y594" s="360"/>
      <c r="Z594" s="360"/>
      <c r="AA594" s="360"/>
      <c r="AB594" s="362"/>
      <c r="AC594" s="360"/>
      <c r="AD594" s="360"/>
      <c r="AE594" s="360"/>
    </row>
    <row r="595">
      <c r="A595" s="360"/>
      <c r="B595" s="360"/>
      <c r="C595" s="360"/>
      <c r="D595" s="360"/>
      <c r="E595" s="360"/>
      <c r="F595" s="360"/>
      <c r="G595" s="360"/>
      <c r="H595" s="360"/>
      <c r="I595" s="360"/>
      <c r="J595" s="360"/>
      <c r="K595" s="361"/>
      <c r="L595" s="360"/>
      <c r="M595" s="361"/>
      <c r="N595" s="360"/>
      <c r="O595" s="360"/>
      <c r="P595" s="360"/>
      <c r="Q595" s="360"/>
      <c r="R595" s="360"/>
      <c r="S595" s="360"/>
      <c r="T595" s="360"/>
      <c r="U595" s="360"/>
      <c r="V595" s="360"/>
      <c r="W595" s="360"/>
      <c r="X595" s="360"/>
      <c r="Y595" s="360"/>
      <c r="Z595" s="360"/>
      <c r="AA595" s="360"/>
      <c r="AB595" s="362"/>
      <c r="AC595" s="360"/>
      <c r="AD595" s="360"/>
      <c r="AE595" s="360"/>
    </row>
    <row r="596">
      <c r="A596" s="360"/>
      <c r="B596" s="360"/>
      <c r="C596" s="360"/>
      <c r="D596" s="360"/>
      <c r="E596" s="360"/>
      <c r="F596" s="360"/>
      <c r="G596" s="360"/>
      <c r="H596" s="360"/>
      <c r="I596" s="360"/>
      <c r="J596" s="360"/>
      <c r="K596" s="361"/>
      <c r="L596" s="360"/>
      <c r="M596" s="361"/>
      <c r="N596" s="360"/>
      <c r="O596" s="360"/>
      <c r="P596" s="360"/>
      <c r="Q596" s="360"/>
      <c r="R596" s="360"/>
      <c r="S596" s="360"/>
      <c r="T596" s="360"/>
      <c r="U596" s="360"/>
      <c r="V596" s="360"/>
      <c r="W596" s="360"/>
      <c r="X596" s="360"/>
      <c r="Y596" s="360"/>
      <c r="Z596" s="360"/>
      <c r="AA596" s="360"/>
      <c r="AB596" s="362"/>
      <c r="AC596" s="360"/>
      <c r="AD596" s="360"/>
      <c r="AE596" s="360"/>
    </row>
    <row r="597">
      <c r="A597" s="360"/>
      <c r="B597" s="360"/>
      <c r="C597" s="360"/>
      <c r="D597" s="360"/>
      <c r="E597" s="360"/>
      <c r="F597" s="360"/>
      <c r="G597" s="360"/>
      <c r="H597" s="360"/>
      <c r="I597" s="360"/>
      <c r="J597" s="360"/>
      <c r="K597" s="361"/>
      <c r="L597" s="360"/>
      <c r="M597" s="361"/>
      <c r="N597" s="360"/>
      <c r="O597" s="360"/>
      <c r="P597" s="360"/>
      <c r="Q597" s="360"/>
      <c r="R597" s="360"/>
      <c r="S597" s="360"/>
      <c r="T597" s="360"/>
      <c r="U597" s="360"/>
      <c r="V597" s="360"/>
      <c r="W597" s="360"/>
      <c r="X597" s="360"/>
      <c r="Y597" s="360"/>
      <c r="Z597" s="360"/>
      <c r="AA597" s="360"/>
      <c r="AB597" s="362"/>
      <c r="AC597" s="360"/>
      <c r="AD597" s="360"/>
      <c r="AE597" s="360"/>
    </row>
    <row r="598">
      <c r="A598" s="360"/>
      <c r="B598" s="360"/>
      <c r="C598" s="360"/>
      <c r="D598" s="360"/>
      <c r="E598" s="360"/>
      <c r="F598" s="360"/>
      <c r="G598" s="360"/>
      <c r="H598" s="360"/>
      <c r="I598" s="360"/>
      <c r="J598" s="360"/>
      <c r="K598" s="361"/>
      <c r="L598" s="360"/>
      <c r="M598" s="361"/>
      <c r="N598" s="360"/>
      <c r="O598" s="360"/>
      <c r="P598" s="360"/>
      <c r="Q598" s="360"/>
      <c r="R598" s="360"/>
      <c r="S598" s="360"/>
      <c r="T598" s="360"/>
      <c r="U598" s="360"/>
      <c r="V598" s="360"/>
      <c r="W598" s="360"/>
      <c r="X598" s="360"/>
      <c r="Y598" s="360"/>
      <c r="Z598" s="360"/>
      <c r="AA598" s="360"/>
      <c r="AB598" s="362"/>
      <c r="AC598" s="360"/>
      <c r="AD598" s="360"/>
      <c r="AE598" s="360"/>
    </row>
    <row r="599">
      <c r="A599" s="360"/>
      <c r="B599" s="360"/>
      <c r="C599" s="360"/>
      <c r="D599" s="360"/>
      <c r="E599" s="360"/>
      <c r="F599" s="360"/>
      <c r="G599" s="360"/>
      <c r="H599" s="360"/>
      <c r="I599" s="360"/>
      <c r="J599" s="360"/>
      <c r="K599" s="361"/>
      <c r="L599" s="360"/>
      <c r="M599" s="361"/>
      <c r="N599" s="360"/>
      <c r="O599" s="360"/>
      <c r="P599" s="360"/>
      <c r="Q599" s="360"/>
      <c r="R599" s="360"/>
      <c r="S599" s="360"/>
      <c r="T599" s="360"/>
      <c r="U599" s="360"/>
      <c r="V599" s="360"/>
      <c r="W599" s="360"/>
      <c r="X599" s="360"/>
      <c r="Y599" s="360"/>
      <c r="Z599" s="360"/>
      <c r="AA599" s="360"/>
      <c r="AB599" s="362"/>
      <c r="AC599" s="360"/>
      <c r="AD599" s="360"/>
      <c r="AE599" s="360"/>
    </row>
    <row r="600">
      <c r="A600" s="360"/>
      <c r="B600" s="360"/>
      <c r="C600" s="360"/>
      <c r="D600" s="360"/>
      <c r="E600" s="360"/>
      <c r="F600" s="360"/>
      <c r="G600" s="360"/>
      <c r="H600" s="360"/>
      <c r="I600" s="360"/>
      <c r="J600" s="360"/>
      <c r="K600" s="361"/>
      <c r="L600" s="360"/>
      <c r="M600" s="361"/>
      <c r="N600" s="360"/>
      <c r="O600" s="360"/>
      <c r="P600" s="360"/>
      <c r="Q600" s="360"/>
      <c r="R600" s="360"/>
      <c r="S600" s="360"/>
      <c r="T600" s="360"/>
      <c r="U600" s="360"/>
      <c r="V600" s="360"/>
      <c r="W600" s="360"/>
      <c r="X600" s="360"/>
      <c r="Y600" s="360"/>
      <c r="Z600" s="360"/>
      <c r="AA600" s="360"/>
      <c r="AB600" s="362"/>
      <c r="AC600" s="360"/>
      <c r="AD600" s="360"/>
      <c r="AE600" s="360"/>
    </row>
    <row r="601">
      <c r="A601" s="360"/>
      <c r="B601" s="360"/>
      <c r="C601" s="360"/>
      <c r="D601" s="360"/>
      <c r="E601" s="360"/>
      <c r="F601" s="360"/>
      <c r="G601" s="360"/>
      <c r="H601" s="360"/>
      <c r="I601" s="360"/>
      <c r="J601" s="360"/>
      <c r="K601" s="361"/>
      <c r="L601" s="360"/>
      <c r="M601" s="361"/>
      <c r="N601" s="360"/>
      <c r="O601" s="360"/>
      <c r="P601" s="360"/>
      <c r="Q601" s="360"/>
      <c r="R601" s="360"/>
      <c r="S601" s="360"/>
      <c r="T601" s="360"/>
      <c r="U601" s="360"/>
      <c r="V601" s="360"/>
      <c r="W601" s="360"/>
      <c r="X601" s="360"/>
      <c r="Y601" s="360"/>
      <c r="Z601" s="360"/>
      <c r="AA601" s="360"/>
      <c r="AB601" s="362"/>
      <c r="AC601" s="360"/>
      <c r="AD601" s="360"/>
      <c r="AE601" s="360"/>
    </row>
    <row r="602">
      <c r="A602" s="360"/>
      <c r="B602" s="360"/>
      <c r="C602" s="360"/>
      <c r="D602" s="360"/>
      <c r="E602" s="360"/>
      <c r="F602" s="360"/>
      <c r="G602" s="360"/>
      <c r="H602" s="360"/>
      <c r="I602" s="360"/>
      <c r="J602" s="360"/>
      <c r="K602" s="361"/>
      <c r="L602" s="360"/>
      <c r="M602" s="361"/>
      <c r="N602" s="360"/>
      <c r="O602" s="360"/>
      <c r="P602" s="360"/>
      <c r="Q602" s="360"/>
      <c r="R602" s="360"/>
      <c r="S602" s="360"/>
      <c r="T602" s="360"/>
      <c r="U602" s="360"/>
      <c r="V602" s="360"/>
      <c r="W602" s="360"/>
      <c r="X602" s="360"/>
      <c r="Y602" s="360"/>
      <c r="Z602" s="360"/>
      <c r="AA602" s="360"/>
      <c r="AB602" s="362"/>
      <c r="AC602" s="360"/>
      <c r="AD602" s="360"/>
      <c r="AE602" s="360"/>
    </row>
    <row r="603">
      <c r="A603" s="360"/>
      <c r="B603" s="360"/>
      <c r="C603" s="360"/>
      <c r="D603" s="360"/>
      <c r="E603" s="360"/>
      <c r="F603" s="360"/>
      <c r="G603" s="360"/>
      <c r="H603" s="360"/>
      <c r="I603" s="360"/>
      <c r="J603" s="360"/>
      <c r="K603" s="361"/>
      <c r="L603" s="360"/>
      <c r="M603" s="361"/>
      <c r="N603" s="360"/>
      <c r="O603" s="360"/>
      <c r="P603" s="360"/>
      <c r="Q603" s="360"/>
      <c r="R603" s="360"/>
      <c r="S603" s="360"/>
      <c r="T603" s="360"/>
      <c r="U603" s="360"/>
      <c r="V603" s="360"/>
      <c r="W603" s="360"/>
      <c r="X603" s="360"/>
      <c r="Y603" s="360"/>
      <c r="Z603" s="360"/>
      <c r="AA603" s="360"/>
      <c r="AB603" s="362"/>
      <c r="AC603" s="360"/>
      <c r="AD603" s="360"/>
      <c r="AE603" s="360"/>
    </row>
    <row r="604">
      <c r="A604" s="360"/>
      <c r="B604" s="360"/>
      <c r="C604" s="360"/>
      <c r="D604" s="360"/>
      <c r="E604" s="360"/>
      <c r="F604" s="360"/>
      <c r="G604" s="360"/>
      <c r="H604" s="360"/>
      <c r="I604" s="360"/>
      <c r="J604" s="360"/>
      <c r="K604" s="361"/>
      <c r="L604" s="360"/>
      <c r="M604" s="361"/>
      <c r="N604" s="360"/>
      <c r="O604" s="360"/>
      <c r="P604" s="360"/>
      <c r="Q604" s="360"/>
      <c r="R604" s="360"/>
      <c r="S604" s="360"/>
      <c r="T604" s="360"/>
      <c r="U604" s="360"/>
      <c r="V604" s="360"/>
      <c r="W604" s="360"/>
      <c r="X604" s="360"/>
      <c r="Y604" s="360"/>
      <c r="Z604" s="360"/>
      <c r="AA604" s="360"/>
      <c r="AB604" s="362"/>
      <c r="AC604" s="360"/>
      <c r="AD604" s="360"/>
      <c r="AE604" s="360"/>
    </row>
    <row r="605">
      <c r="A605" s="360"/>
      <c r="B605" s="360"/>
      <c r="C605" s="360"/>
      <c r="D605" s="360"/>
      <c r="E605" s="360"/>
      <c r="F605" s="360"/>
      <c r="G605" s="360"/>
      <c r="H605" s="360"/>
      <c r="I605" s="360"/>
      <c r="J605" s="360"/>
      <c r="K605" s="361"/>
      <c r="L605" s="360"/>
      <c r="M605" s="361"/>
      <c r="N605" s="360"/>
      <c r="O605" s="360"/>
      <c r="P605" s="360"/>
      <c r="Q605" s="360"/>
      <c r="R605" s="360"/>
      <c r="S605" s="360"/>
      <c r="T605" s="360"/>
      <c r="U605" s="360"/>
      <c r="V605" s="360"/>
      <c r="W605" s="360"/>
      <c r="X605" s="360"/>
      <c r="Y605" s="360"/>
      <c r="Z605" s="360"/>
      <c r="AA605" s="360"/>
      <c r="AB605" s="362"/>
      <c r="AC605" s="360"/>
      <c r="AD605" s="360"/>
      <c r="AE605" s="360"/>
    </row>
    <row r="606">
      <c r="A606" s="360"/>
      <c r="B606" s="360"/>
      <c r="C606" s="360"/>
      <c r="D606" s="360"/>
      <c r="E606" s="360"/>
      <c r="F606" s="360"/>
      <c r="G606" s="360"/>
      <c r="H606" s="360"/>
      <c r="I606" s="360"/>
      <c r="J606" s="360"/>
      <c r="K606" s="361"/>
      <c r="L606" s="360"/>
      <c r="M606" s="361"/>
      <c r="N606" s="360"/>
      <c r="O606" s="360"/>
      <c r="P606" s="360"/>
      <c r="Q606" s="360"/>
      <c r="R606" s="360"/>
      <c r="S606" s="360"/>
      <c r="T606" s="360"/>
      <c r="U606" s="360"/>
      <c r="V606" s="360"/>
      <c r="W606" s="360"/>
      <c r="X606" s="360"/>
      <c r="Y606" s="360"/>
      <c r="Z606" s="360"/>
      <c r="AA606" s="360"/>
      <c r="AB606" s="362"/>
      <c r="AC606" s="360"/>
      <c r="AD606" s="360"/>
      <c r="AE606" s="360"/>
    </row>
    <row r="607">
      <c r="A607" s="360"/>
      <c r="B607" s="360"/>
      <c r="C607" s="360"/>
      <c r="D607" s="360"/>
      <c r="E607" s="360"/>
      <c r="F607" s="360"/>
      <c r="G607" s="360"/>
      <c r="H607" s="360"/>
      <c r="I607" s="360"/>
      <c r="J607" s="360"/>
      <c r="K607" s="361"/>
      <c r="L607" s="360"/>
      <c r="M607" s="361"/>
      <c r="N607" s="360"/>
      <c r="O607" s="360"/>
      <c r="P607" s="360"/>
      <c r="Q607" s="360"/>
      <c r="R607" s="360"/>
      <c r="S607" s="360"/>
      <c r="T607" s="360"/>
      <c r="U607" s="360"/>
      <c r="V607" s="360"/>
      <c r="W607" s="360"/>
      <c r="X607" s="360"/>
      <c r="Y607" s="360"/>
      <c r="Z607" s="360"/>
      <c r="AA607" s="360"/>
      <c r="AB607" s="362"/>
      <c r="AC607" s="360"/>
      <c r="AD607" s="360"/>
      <c r="AE607" s="360"/>
    </row>
    <row r="608">
      <c r="A608" s="360"/>
      <c r="B608" s="360"/>
      <c r="C608" s="360"/>
      <c r="D608" s="360"/>
      <c r="E608" s="360"/>
      <c r="F608" s="360"/>
      <c r="G608" s="360"/>
      <c r="H608" s="360"/>
      <c r="I608" s="360"/>
      <c r="J608" s="360"/>
      <c r="K608" s="361"/>
      <c r="L608" s="360"/>
      <c r="M608" s="361"/>
      <c r="N608" s="360"/>
      <c r="O608" s="360"/>
      <c r="P608" s="360"/>
      <c r="Q608" s="360"/>
      <c r="R608" s="360"/>
      <c r="S608" s="360"/>
      <c r="T608" s="360"/>
      <c r="U608" s="360"/>
      <c r="V608" s="360"/>
      <c r="W608" s="360"/>
      <c r="X608" s="360"/>
      <c r="Y608" s="360"/>
      <c r="Z608" s="360"/>
      <c r="AA608" s="360"/>
      <c r="AB608" s="362"/>
      <c r="AC608" s="360"/>
      <c r="AD608" s="360"/>
      <c r="AE608" s="360"/>
    </row>
    <row r="609">
      <c r="A609" s="360"/>
      <c r="B609" s="360"/>
      <c r="C609" s="360"/>
      <c r="D609" s="360"/>
      <c r="E609" s="360"/>
      <c r="F609" s="360"/>
      <c r="G609" s="360"/>
      <c r="H609" s="360"/>
      <c r="I609" s="360"/>
      <c r="J609" s="360"/>
      <c r="K609" s="361"/>
      <c r="L609" s="360"/>
      <c r="M609" s="361"/>
      <c r="N609" s="360"/>
      <c r="O609" s="360"/>
      <c r="P609" s="360"/>
      <c r="Q609" s="360"/>
      <c r="R609" s="360"/>
      <c r="S609" s="360"/>
      <c r="T609" s="360"/>
      <c r="U609" s="360"/>
      <c r="V609" s="360"/>
      <c r="W609" s="360"/>
      <c r="X609" s="360"/>
      <c r="Y609" s="360"/>
      <c r="Z609" s="360"/>
      <c r="AA609" s="360"/>
      <c r="AB609" s="362"/>
      <c r="AC609" s="360"/>
      <c r="AD609" s="360"/>
      <c r="AE609" s="360"/>
    </row>
    <row r="610">
      <c r="A610" s="360"/>
      <c r="B610" s="360"/>
      <c r="C610" s="360"/>
      <c r="D610" s="360"/>
      <c r="E610" s="360"/>
      <c r="F610" s="360"/>
      <c r="G610" s="360"/>
      <c r="H610" s="360"/>
      <c r="I610" s="360"/>
      <c r="J610" s="360"/>
      <c r="K610" s="361"/>
      <c r="L610" s="360"/>
      <c r="M610" s="361"/>
      <c r="N610" s="360"/>
      <c r="O610" s="360"/>
      <c r="P610" s="360"/>
      <c r="Q610" s="360"/>
      <c r="R610" s="360"/>
      <c r="S610" s="360"/>
      <c r="T610" s="360"/>
      <c r="U610" s="360"/>
      <c r="V610" s="360"/>
      <c r="W610" s="360"/>
      <c r="X610" s="360"/>
      <c r="Y610" s="360"/>
      <c r="Z610" s="360"/>
      <c r="AA610" s="360"/>
      <c r="AB610" s="362"/>
      <c r="AC610" s="360"/>
      <c r="AD610" s="360"/>
      <c r="AE610" s="360"/>
    </row>
    <row r="611">
      <c r="A611" s="360"/>
      <c r="B611" s="360"/>
      <c r="C611" s="360"/>
      <c r="D611" s="360"/>
      <c r="E611" s="360"/>
      <c r="F611" s="360"/>
      <c r="G611" s="360"/>
      <c r="H611" s="360"/>
      <c r="I611" s="360"/>
      <c r="J611" s="360"/>
      <c r="K611" s="361"/>
      <c r="L611" s="360"/>
      <c r="M611" s="361"/>
      <c r="N611" s="360"/>
      <c r="O611" s="360"/>
      <c r="P611" s="360"/>
      <c r="Q611" s="360"/>
      <c r="R611" s="360"/>
      <c r="S611" s="360"/>
      <c r="T611" s="360"/>
      <c r="U611" s="360"/>
      <c r="V611" s="360"/>
      <c r="W611" s="360"/>
      <c r="X611" s="360"/>
      <c r="Y611" s="360"/>
      <c r="Z611" s="360"/>
      <c r="AA611" s="360"/>
      <c r="AB611" s="362"/>
      <c r="AC611" s="360"/>
      <c r="AD611" s="360"/>
      <c r="AE611" s="360"/>
    </row>
    <row r="612">
      <c r="A612" s="360"/>
      <c r="B612" s="360"/>
      <c r="C612" s="360"/>
      <c r="D612" s="360"/>
      <c r="E612" s="360"/>
      <c r="F612" s="360"/>
      <c r="G612" s="360"/>
      <c r="H612" s="360"/>
      <c r="I612" s="360"/>
      <c r="J612" s="360"/>
      <c r="K612" s="361"/>
      <c r="L612" s="360"/>
      <c r="M612" s="361"/>
      <c r="N612" s="360"/>
      <c r="O612" s="360"/>
      <c r="P612" s="360"/>
      <c r="Q612" s="360"/>
      <c r="R612" s="360"/>
      <c r="S612" s="360"/>
      <c r="T612" s="360"/>
      <c r="U612" s="360"/>
      <c r="V612" s="360"/>
      <c r="W612" s="360"/>
      <c r="X612" s="360"/>
      <c r="Y612" s="360"/>
      <c r="Z612" s="360"/>
      <c r="AA612" s="360"/>
      <c r="AB612" s="362"/>
      <c r="AC612" s="360"/>
      <c r="AD612" s="360"/>
      <c r="AE612" s="360"/>
    </row>
    <row r="613">
      <c r="A613" s="360"/>
      <c r="B613" s="360"/>
      <c r="C613" s="360"/>
      <c r="D613" s="360"/>
      <c r="E613" s="360"/>
      <c r="F613" s="360"/>
      <c r="G613" s="360"/>
      <c r="H613" s="360"/>
      <c r="I613" s="360"/>
      <c r="J613" s="360"/>
      <c r="K613" s="361"/>
      <c r="L613" s="360"/>
      <c r="M613" s="361"/>
      <c r="N613" s="360"/>
      <c r="O613" s="360"/>
      <c r="P613" s="360"/>
      <c r="Q613" s="360"/>
      <c r="R613" s="360"/>
      <c r="S613" s="360"/>
      <c r="T613" s="360"/>
      <c r="U613" s="360"/>
      <c r="V613" s="360"/>
      <c r="W613" s="360"/>
      <c r="X613" s="360"/>
      <c r="Y613" s="360"/>
      <c r="Z613" s="360"/>
      <c r="AA613" s="360"/>
      <c r="AB613" s="362"/>
      <c r="AC613" s="360"/>
      <c r="AD613" s="360"/>
      <c r="AE613" s="360"/>
    </row>
    <row r="614">
      <c r="A614" s="360"/>
      <c r="B614" s="360"/>
      <c r="C614" s="360"/>
      <c r="D614" s="360"/>
      <c r="E614" s="360"/>
      <c r="F614" s="360"/>
      <c r="G614" s="360"/>
      <c r="H614" s="360"/>
      <c r="I614" s="360"/>
      <c r="J614" s="360"/>
      <c r="K614" s="361"/>
      <c r="L614" s="360"/>
      <c r="M614" s="361"/>
      <c r="N614" s="360"/>
      <c r="O614" s="360"/>
      <c r="P614" s="360"/>
      <c r="Q614" s="360"/>
      <c r="R614" s="360"/>
      <c r="S614" s="360"/>
      <c r="T614" s="360"/>
      <c r="U614" s="360"/>
      <c r="V614" s="360"/>
      <c r="W614" s="360"/>
      <c r="X614" s="360"/>
      <c r="Y614" s="360"/>
      <c r="Z614" s="360"/>
      <c r="AA614" s="360"/>
      <c r="AB614" s="362"/>
      <c r="AC614" s="360"/>
      <c r="AD614" s="360"/>
      <c r="AE614" s="360"/>
    </row>
    <row r="615">
      <c r="A615" s="360"/>
      <c r="B615" s="360"/>
      <c r="C615" s="360"/>
      <c r="D615" s="360"/>
      <c r="E615" s="360"/>
      <c r="F615" s="360"/>
      <c r="G615" s="360"/>
      <c r="H615" s="360"/>
      <c r="I615" s="360"/>
      <c r="J615" s="360"/>
      <c r="K615" s="361"/>
      <c r="L615" s="360"/>
      <c r="M615" s="361"/>
      <c r="N615" s="360"/>
      <c r="O615" s="360"/>
      <c r="P615" s="360"/>
      <c r="Q615" s="360"/>
      <c r="R615" s="360"/>
      <c r="S615" s="360"/>
      <c r="T615" s="360"/>
      <c r="U615" s="360"/>
      <c r="V615" s="360"/>
      <c r="W615" s="360"/>
      <c r="X615" s="360"/>
      <c r="Y615" s="360"/>
      <c r="Z615" s="360"/>
      <c r="AA615" s="360"/>
      <c r="AB615" s="362"/>
      <c r="AC615" s="360"/>
      <c r="AD615" s="360"/>
      <c r="AE615" s="360"/>
    </row>
    <row r="616">
      <c r="A616" s="360"/>
      <c r="B616" s="360"/>
      <c r="C616" s="360"/>
      <c r="D616" s="360"/>
      <c r="E616" s="360"/>
      <c r="F616" s="360"/>
      <c r="G616" s="360"/>
      <c r="H616" s="360"/>
      <c r="I616" s="360"/>
      <c r="J616" s="360"/>
      <c r="K616" s="361"/>
      <c r="L616" s="360"/>
      <c r="M616" s="361"/>
      <c r="N616" s="360"/>
      <c r="O616" s="360"/>
      <c r="P616" s="360"/>
      <c r="Q616" s="360"/>
      <c r="R616" s="360"/>
      <c r="S616" s="360"/>
      <c r="T616" s="360"/>
      <c r="U616" s="360"/>
      <c r="V616" s="360"/>
      <c r="W616" s="360"/>
      <c r="X616" s="360"/>
      <c r="Y616" s="360"/>
      <c r="Z616" s="360"/>
      <c r="AA616" s="360"/>
      <c r="AB616" s="362"/>
      <c r="AC616" s="360"/>
      <c r="AD616" s="360"/>
      <c r="AE616" s="360"/>
    </row>
    <row r="617">
      <c r="A617" s="360"/>
      <c r="B617" s="360"/>
      <c r="C617" s="360"/>
      <c r="D617" s="360"/>
      <c r="E617" s="360"/>
      <c r="F617" s="360"/>
      <c r="G617" s="360"/>
      <c r="H617" s="360"/>
      <c r="I617" s="360"/>
      <c r="J617" s="360"/>
      <c r="K617" s="361"/>
      <c r="L617" s="360"/>
      <c r="M617" s="361"/>
      <c r="N617" s="360"/>
      <c r="O617" s="360"/>
      <c r="P617" s="360"/>
      <c r="Q617" s="360"/>
      <c r="R617" s="360"/>
      <c r="S617" s="360"/>
      <c r="T617" s="360"/>
      <c r="U617" s="360"/>
      <c r="V617" s="360"/>
      <c r="W617" s="360"/>
      <c r="X617" s="360"/>
      <c r="Y617" s="360"/>
      <c r="Z617" s="360"/>
      <c r="AA617" s="360"/>
      <c r="AB617" s="362"/>
      <c r="AC617" s="360"/>
      <c r="AD617" s="360"/>
      <c r="AE617" s="360"/>
    </row>
    <row r="618">
      <c r="A618" s="360"/>
      <c r="B618" s="360"/>
      <c r="C618" s="360"/>
      <c r="D618" s="360"/>
      <c r="E618" s="360"/>
      <c r="F618" s="360"/>
      <c r="G618" s="360"/>
      <c r="H618" s="360"/>
      <c r="I618" s="360"/>
      <c r="J618" s="360"/>
      <c r="K618" s="361"/>
      <c r="L618" s="360"/>
      <c r="M618" s="361"/>
      <c r="N618" s="360"/>
      <c r="O618" s="360"/>
      <c r="P618" s="360"/>
      <c r="Q618" s="360"/>
      <c r="R618" s="360"/>
      <c r="S618" s="360"/>
      <c r="T618" s="360"/>
      <c r="U618" s="360"/>
      <c r="V618" s="360"/>
      <c r="W618" s="360"/>
      <c r="X618" s="360"/>
      <c r="Y618" s="360"/>
      <c r="Z618" s="360"/>
      <c r="AA618" s="360"/>
      <c r="AB618" s="362"/>
      <c r="AC618" s="360"/>
      <c r="AD618" s="360"/>
      <c r="AE618" s="360"/>
    </row>
    <row r="619">
      <c r="A619" s="360"/>
      <c r="B619" s="360"/>
      <c r="C619" s="360"/>
      <c r="D619" s="360"/>
      <c r="E619" s="360"/>
      <c r="F619" s="360"/>
      <c r="G619" s="360"/>
      <c r="H619" s="360"/>
      <c r="I619" s="360"/>
      <c r="J619" s="360"/>
      <c r="K619" s="361"/>
      <c r="L619" s="360"/>
      <c r="M619" s="361"/>
      <c r="N619" s="360"/>
      <c r="O619" s="360"/>
      <c r="P619" s="360"/>
      <c r="Q619" s="360"/>
      <c r="R619" s="360"/>
      <c r="S619" s="360"/>
      <c r="T619" s="360"/>
      <c r="U619" s="360"/>
      <c r="V619" s="360"/>
      <c r="W619" s="360"/>
      <c r="X619" s="360"/>
      <c r="Y619" s="360"/>
      <c r="Z619" s="360"/>
      <c r="AA619" s="360"/>
      <c r="AB619" s="362"/>
      <c r="AC619" s="360"/>
      <c r="AD619" s="360"/>
      <c r="AE619" s="360"/>
    </row>
    <row r="620">
      <c r="A620" s="360"/>
      <c r="B620" s="360"/>
      <c r="C620" s="360"/>
      <c r="D620" s="360"/>
      <c r="E620" s="360"/>
      <c r="F620" s="360"/>
      <c r="G620" s="360"/>
      <c r="H620" s="360"/>
      <c r="I620" s="360"/>
      <c r="J620" s="360"/>
      <c r="K620" s="361"/>
      <c r="L620" s="360"/>
      <c r="M620" s="361"/>
      <c r="N620" s="360"/>
      <c r="O620" s="360"/>
      <c r="P620" s="360"/>
      <c r="Q620" s="360"/>
      <c r="R620" s="360"/>
      <c r="S620" s="360"/>
      <c r="T620" s="360"/>
      <c r="U620" s="360"/>
      <c r="V620" s="360"/>
      <c r="W620" s="360"/>
      <c r="X620" s="360"/>
      <c r="Y620" s="360"/>
      <c r="Z620" s="360"/>
      <c r="AA620" s="360"/>
      <c r="AB620" s="362"/>
      <c r="AC620" s="360"/>
      <c r="AD620" s="360"/>
      <c r="AE620" s="360"/>
    </row>
    <row r="621">
      <c r="A621" s="360"/>
      <c r="B621" s="360"/>
      <c r="C621" s="360"/>
      <c r="D621" s="360"/>
      <c r="E621" s="360"/>
      <c r="F621" s="360"/>
      <c r="G621" s="360"/>
      <c r="H621" s="360"/>
      <c r="I621" s="360"/>
      <c r="J621" s="360"/>
      <c r="K621" s="361"/>
      <c r="L621" s="360"/>
      <c r="M621" s="361"/>
      <c r="N621" s="360"/>
      <c r="O621" s="360"/>
      <c r="P621" s="360"/>
      <c r="Q621" s="360"/>
      <c r="R621" s="360"/>
      <c r="S621" s="360"/>
      <c r="T621" s="360"/>
      <c r="U621" s="360"/>
      <c r="V621" s="360"/>
      <c r="W621" s="360"/>
      <c r="X621" s="360"/>
      <c r="Y621" s="360"/>
      <c r="Z621" s="360"/>
      <c r="AA621" s="360"/>
      <c r="AB621" s="362"/>
      <c r="AC621" s="360"/>
      <c r="AD621" s="360"/>
      <c r="AE621" s="360"/>
    </row>
    <row r="622">
      <c r="A622" s="360"/>
      <c r="B622" s="360"/>
      <c r="C622" s="360"/>
      <c r="D622" s="360"/>
      <c r="E622" s="360"/>
      <c r="F622" s="360"/>
      <c r="G622" s="360"/>
      <c r="H622" s="360"/>
      <c r="I622" s="360"/>
      <c r="J622" s="360"/>
      <c r="K622" s="361"/>
      <c r="L622" s="360"/>
      <c r="M622" s="361"/>
      <c r="N622" s="360"/>
      <c r="O622" s="360"/>
      <c r="P622" s="360"/>
      <c r="Q622" s="360"/>
      <c r="R622" s="360"/>
      <c r="S622" s="360"/>
      <c r="T622" s="360"/>
      <c r="U622" s="360"/>
      <c r="V622" s="360"/>
      <c r="W622" s="360"/>
      <c r="X622" s="360"/>
      <c r="Y622" s="360"/>
      <c r="Z622" s="360"/>
      <c r="AA622" s="360"/>
      <c r="AB622" s="362"/>
      <c r="AC622" s="360"/>
      <c r="AD622" s="360"/>
      <c r="AE622" s="360"/>
    </row>
    <row r="623">
      <c r="A623" s="360"/>
      <c r="B623" s="360"/>
      <c r="C623" s="360"/>
      <c r="D623" s="360"/>
      <c r="E623" s="360"/>
      <c r="F623" s="360"/>
      <c r="G623" s="360"/>
      <c r="H623" s="360"/>
      <c r="I623" s="360"/>
      <c r="J623" s="360"/>
      <c r="K623" s="361"/>
      <c r="L623" s="360"/>
      <c r="M623" s="361"/>
      <c r="N623" s="360"/>
      <c r="O623" s="360"/>
      <c r="P623" s="360"/>
      <c r="Q623" s="360"/>
      <c r="R623" s="360"/>
      <c r="S623" s="360"/>
      <c r="T623" s="360"/>
      <c r="U623" s="360"/>
      <c r="V623" s="360"/>
      <c r="W623" s="360"/>
      <c r="X623" s="360"/>
      <c r="Y623" s="360"/>
      <c r="Z623" s="360"/>
      <c r="AA623" s="360"/>
      <c r="AB623" s="362"/>
      <c r="AC623" s="360"/>
      <c r="AD623" s="360"/>
      <c r="AE623" s="360"/>
    </row>
    <row r="624">
      <c r="A624" s="360"/>
      <c r="B624" s="360"/>
      <c r="C624" s="360"/>
      <c r="D624" s="360"/>
      <c r="E624" s="360"/>
      <c r="F624" s="360"/>
      <c r="G624" s="360"/>
      <c r="H624" s="360"/>
      <c r="I624" s="360"/>
      <c r="J624" s="360"/>
      <c r="K624" s="361"/>
      <c r="L624" s="360"/>
      <c r="M624" s="361"/>
      <c r="N624" s="360"/>
      <c r="O624" s="360"/>
      <c r="P624" s="360"/>
      <c r="Q624" s="360"/>
      <c r="R624" s="360"/>
      <c r="S624" s="360"/>
      <c r="T624" s="360"/>
      <c r="U624" s="360"/>
      <c r="V624" s="360"/>
      <c r="W624" s="360"/>
      <c r="X624" s="360"/>
      <c r="Y624" s="360"/>
      <c r="Z624" s="360"/>
      <c r="AA624" s="360"/>
      <c r="AB624" s="362"/>
      <c r="AC624" s="360"/>
      <c r="AD624" s="360"/>
      <c r="AE624" s="360"/>
    </row>
    <row r="625">
      <c r="A625" s="360"/>
      <c r="B625" s="360"/>
      <c r="C625" s="360"/>
      <c r="D625" s="360"/>
      <c r="E625" s="360"/>
      <c r="F625" s="360"/>
      <c r="G625" s="360"/>
      <c r="H625" s="360"/>
      <c r="I625" s="360"/>
      <c r="J625" s="360"/>
      <c r="K625" s="361"/>
      <c r="L625" s="360"/>
      <c r="M625" s="361"/>
      <c r="N625" s="360"/>
      <c r="O625" s="360"/>
      <c r="P625" s="360"/>
      <c r="Q625" s="360"/>
      <c r="R625" s="360"/>
      <c r="S625" s="360"/>
      <c r="T625" s="360"/>
      <c r="U625" s="360"/>
      <c r="V625" s="360"/>
      <c r="W625" s="360"/>
      <c r="X625" s="360"/>
      <c r="Y625" s="360"/>
      <c r="Z625" s="360"/>
      <c r="AA625" s="360"/>
      <c r="AB625" s="362"/>
      <c r="AC625" s="360"/>
      <c r="AD625" s="360"/>
      <c r="AE625" s="360"/>
    </row>
    <row r="626">
      <c r="A626" s="360"/>
      <c r="B626" s="360"/>
      <c r="C626" s="360"/>
      <c r="D626" s="360"/>
      <c r="E626" s="360"/>
      <c r="F626" s="360"/>
      <c r="G626" s="360"/>
      <c r="H626" s="360"/>
      <c r="I626" s="360"/>
      <c r="J626" s="360"/>
      <c r="K626" s="361"/>
      <c r="L626" s="360"/>
      <c r="M626" s="361"/>
      <c r="N626" s="360"/>
      <c r="O626" s="360"/>
      <c r="P626" s="360"/>
      <c r="Q626" s="360"/>
      <c r="R626" s="360"/>
      <c r="S626" s="360"/>
      <c r="T626" s="360"/>
      <c r="U626" s="360"/>
      <c r="V626" s="360"/>
      <c r="W626" s="360"/>
      <c r="X626" s="360"/>
      <c r="Y626" s="360"/>
      <c r="Z626" s="360"/>
      <c r="AA626" s="360"/>
      <c r="AB626" s="362"/>
      <c r="AC626" s="360"/>
      <c r="AD626" s="360"/>
      <c r="AE626" s="360"/>
    </row>
    <row r="627">
      <c r="A627" s="360"/>
      <c r="B627" s="360"/>
      <c r="C627" s="360"/>
      <c r="D627" s="360"/>
      <c r="E627" s="360"/>
      <c r="F627" s="360"/>
      <c r="G627" s="360"/>
      <c r="H627" s="360"/>
      <c r="I627" s="360"/>
      <c r="J627" s="360"/>
      <c r="K627" s="361"/>
      <c r="L627" s="360"/>
      <c r="M627" s="361"/>
      <c r="N627" s="360"/>
      <c r="O627" s="360"/>
      <c r="P627" s="360"/>
      <c r="Q627" s="360"/>
      <c r="R627" s="360"/>
      <c r="S627" s="360"/>
      <c r="T627" s="360"/>
      <c r="U627" s="360"/>
      <c r="V627" s="360"/>
      <c r="W627" s="360"/>
      <c r="X627" s="360"/>
      <c r="Y627" s="360"/>
      <c r="Z627" s="360"/>
      <c r="AA627" s="360"/>
      <c r="AB627" s="362"/>
      <c r="AC627" s="360"/>
      <c r="AD627" s="360"/>
      <c r="AE627" s="360"/>
    </row>
    <row r="628">
      <c r="A628" s="360"/>
      <c r="B628" s="360"/>
      <c r="C628" s="360"/>
      <c r="D628" s="360"/>
      <c r="E628" s="360"/>
      <c r="F628" s="360"/>
      <c r="G628" s="360"/>
      <c r="H628" s="360"/>
      <c r="I628" s="360"/>
      <c r="J628" s="360"/>
      <c r="K628" s="361"/>
      <c r="L628" s="360"/>
      <c r="M628" s="361"/>
      <c r="N628" s="360"/>
      <c r="O628" s="360"/>
      <c r="P628" s="360"/>
      <c r="Q628" s="360"/>
      <c r="R628" s="360"/>
      <c r="S628" s="360"/>
      <c r="T628" s="360"/>
      <c r="U628" s="360"/>
      <c r="V628" s="360"/>
      <c r="W628" s="360"/>
      <c r="X628" s="360"/>
      <c r="Y628" s="360"/>
      <c r="Z628" s="360"/>
      <c r="AA628" s="360"/>
      <c r="AB628" s="362"/>
      <c r="AC628" s="360"/>
      <c r="AD628" s="360"/>
      <c r="AE628" s="360"/>
    </row>
    <row r="629">
      <c r="A629" s="360"/>
      <c r="B629" s="360"/>
      <c r="C629" s="360"/>
      <c r="D629" s="360"/>
      <c r="E629" s="360"/>
      <c r="F629" s="360"/>
      <c r="G629" s="360"/>
      <c r="H629" s="360"/>
      <c r="I629" s="360"/>
      <c r="J629" s="360"/>
      <c r="K629" s="361"/>
      <c r="L629" s="360"/>
      <c r="M629" s="361"/>
      <c r="N629" s="360"/>
      <c r="O629" s="360"/>
      <c r="P629" s="360"/>
      <c r="Q629" s="360"/>
      <c r="R629" s="360"/>
      <c r="S629" s="360"/>
      <c r="T629" s="360"/>
      <c r="U629" s="360"/>
      <c r="V629" s="360"/>
      <c r="W629" s="360"/>
      <c r="X629" s="360"/>
      <c r="Y629" s="360"/>
      <c r="Z629" s="360"/>
      <c r="AA629" s="360"/>
      <c r="AB629" s="362"/>
      <c r="AC629" s="360"/>
      <c r="AD629" s="360"/>
      <c r="AE629" s="360"/>
    </row>
    <row r="630">
      <c r="A630" s="360"/>
      <c r="B630" s="360"/>
      <c r="C630" s="360"/>
      <c r="D630" s="360"/>
      <c r="E630" s="360"/>
      <c r="F630" s="360"/>
      <c r="G630" s="360"/>
      <c r="H630" s="360"/>
      <c r="I630" s="360"/>
      <c r="J630" s="360"/>
      <c r="K630" s="361"/>
      <c r="L630" s="360"/>
      <c r="M630" s="361"/>
      <c r="N630" s="360"/>
      <c r="O630" s="360"/>
      <c r="P630" s="360"/>
      <c r="Q630" s="360"/>
      <c r="R630" s="360"/>
      <c r="S630" s="360"/>
      <c r="T630" s="360"/>
      <c r="U630" s="360"/>
      <c r="V630" s="360"/>
      <c r="W630" s="360"/>
      <c r="X630" s="360"/>
      <c r="Y630" s="360"/>
      <c r="Z630" s="360"/>
      <c r="AA630" s="360"/>
      <c r="AB630" s="362"/>
      <c r="AC630" s="360"/>
      <c r="AD630" s="360"/>
      <c r="AE630" s="360"/>
    </row>
    <row r="631">
      <c r="A631" s="360"/>
      <c r="B631" s="360"/>
      <c r="C631" s="360"/>
      <c r="D631" s="360"/>
      <c r="E631" s="360"/>
      <c r="F631" s="360"/>
      <c r="G631" s="360"/>
      <c r="H631" s="360"/>
      <c r="I631" s="360"/>
      <c r="J631" s="360"/>
      <c r="K631" s="361"/>
      <c r="L631" s="360"/>
      <c r="M631" s="361"/>
      <c r="N631" s="360"/>
      <c r="O631" s="360"/>
      <c r="P631" s="360"/>
      <c r="Q631" s="360"/>
      <c r="R631" s="360"/>
      <c r="S631" s="360"/>
      <c r="T631" s="360"/>
      <c r="U631" s="360"/>
      <c r="V631" s="360"/>
      <c r="W631" s="360"/>
      <c r="X631" s="360"/>
      <c r="Y631" s="360"/>
      <c r="Z631" s="360"/>
      <c r="AA631" s="360"/>
      <c r="AB631" s="362"/>
      <c r="AC631" s="360"/>
      <c r="AD631" s="360"/>
      <c r="AE631" s="360"/>
    </row>
    <row r="632">
      <c r="A632" s="360"/>
      <c r="B632" s="360"/>
      <c r="C632" s="360"/>
      <c r="D632" s="360"/>
      <c r="E632" s="360"/>
      <c r="F632" s="360"/>
      <c r="G632" s="360"/>
      <c r="H632" s="360"/>
      <c r="I632" s="360"/>
      <c r="J632" s="360"/>
      <c r="K632" s="361"/>
      <c r="L632" s="360"/>
      <c r="M632" s="361"/>
      <c r="N632" s="360"/>
      <c r="O632" s="360"/>
      <c r="P632" s="360"/>
      <c r="Q632" s="360"/>
      <c r="R632" s="360"/>
      <c r="S632" s="360"/>
      <c r="T632" s="360"/>
      <c r="U632" s="360"/>
      <c r="V632" s="360"/>
      <c r="W632" s="360"/>
      <c r="X632" s="360"/>
      <c r="Y632" s="360"/>
      <c r="Z632" s="360"/>
      <c r="AA632" s="360"/>
      <c r="AB632" s="362"/>
      <c r="AC632" s="360"/>
      <c r="AD632" s="360"/>
      <c r="AE632" s="360"/>
    </row>
    <row r="633">
      <c r="A633" s="360"/>
      <c r="B633" s="360"/>
      <c r="C633" s="360"/>
      <c r="D633" s="360"/>
      <c r="E633" s="360"/>
      <c r="F633" s="360"/>
      <c r="G633" s="360"/>
      <c r="H633" s="360"/>
      <c r="I633" s="360"/>
      <c r="J633" s="360"/>
      <c r="K633" s="361"/>
      <c r="L633" s="360"/>
      <c r="M633" s="361"/>
      <c r="N633" s="360"/>
      <c r="O633" s="360"/>
      <c r="P633" s="360"/>
      <c r="Q633" s="360"/>
      <c r="R633" s="360"/>
      <c r="S633" s="360"/>
      <c r="T633" s="360"/>
      <c r="U633" s="360"/>
      <c r="V633" s="360"/>
      <c r="W633" s="360"/>
      <c r="X633" s="360"/>
      <c r="Y633" s="360"/>
      <c r="Z633" s="360"/>
      <c r="AA633" s="360"/>
      <c r="AB633" s="362"/>
      <c r="AC633" s="360"/>
      <c r="AD633" s="360"/>
      <c r="AE633" s="360"/>
    </row>
    <row r="634">
      <c r="A634" s="360"/>
      <c r="B634" s="360"/>
      <c r="C634" s="360"/>
      <c r="D634" s="360"/>
      <c r="E634" s="360"/>
      <c r="F634" s="360"/>
      <c r="G634" s="360"/>
      <c r="H634" s="360"/>
      <c r="I634" s="360"/>
      <c r="J634" s="360"/>
      <c r="K634" s="361"/>
      <c r="L634" s="360"/>
      <c r="M634" s="361"/>
      <c r="N634" s="360"/>
      <c r="O634" s="360"/>
      <c r="P634" s="360"/>
      <c r="Q634" s="360"/>
      <c r="R634" s="360"/>
      <c r="S634" s="360"/>
      <c r="T634" s="360"/>
      <c r="U634" s="360"/>
      <c r="V634" s="360"/>
      <c r="W634" s="360"/>
      <c r="X634" s="360"/>
      <c r="Y634" s="360"/>
      <c r="Z634" s="360"/>
      <c r="AA634" s="360"/>
      <c r="AB634" s="362"/>
      <c r="AC634" s="360"/>
      <c r="AD634" s="360"/>
      <c r="AE634" s="360"/>
    </row>
    <row r="635">
      <c r="A635" s="360"/>
      <c r="B635" s="360"/>
      <c r="C635" s="360"/>
      <c r="D635" s="360"/>
      <c r="E635" s="360"/>
      <c r="F635" s="360"/>
      <c r="G635" s="360"/>
      <c r="H635" s="360"/>
      <c r="I635" s="360"/>
      <c r="J635" s="360"/>
      <c r="K635" s="361"/>
      <c r="L635" s="360"/>
      <c r="M635" s="361"/>
      <c r="N635" s="360"/>
      <c r="O635" s="360"/>
      <c r="P635" s="360"/>
      <c r="Q635" s="360"/>
      <c r="R635" s="360"/>
      <c r="S635" s="360"/>
      <c r="T635" s="360"/>
      <c r="U635" s="360"/>
      <c r="V635" s="360"/>
      <c r="W635" s="360"/>
      <c r="X635" s="360"/>
      <c r="Y635" s="360"/>
      <c r="Z635" s="360"/>
      <c r="AA635" s="360"/>
      <c r="AB635" s="362"/>
      <c r="AC635" s="360"/>
      <c r="AD635" s="360"/>
      <c r="AE635" s="360"/>
    </row>
    <row r="636">
      <c r="A636" s="360"/>
      <c r="B636" s="360"/>
      <c r="C636" s="360"/>
      <c r="D636" s="360"/>
      <c r="E636" s="360"/>
      <c r="F636" s="360"/>
      <c r="G636" s="360"/>
      <c r="H636" s="360"/>
      <c r="I636" s="360"/>
      <c r="J636" s="360"/>
      <c r="K636" s="361"/>
      <c r="L636" s="360"/>
      <c r="M636" s="361"/>
      <c r="N636" s="360"/>
      <c r="O636" s="360"/>
      <c r="P636" s="360"/>
      <c r="Q636" s="360"/>
      <c r="R636" s="360"/>
      <c r="S636" s="360"/>
      <c r="T636" s="360"/>
      <c r="U636" s="360"/>
      <c r="V636" s="360"/>
      <c r="W636" s="360"/>
      <c r="X636" s="360"/>
      <c r="Y636" s="360"/>
      <c r="Z636" s="360"/>
      <c r="AA636" s="360"/>
      <c r="AB636" s="362"/>
      <c r="AC636" s="360"/>
      <c r="AD636" s="360"/>
      <c r="AE636" s="360"/>
    </row>
    <row r="637">
      <c r="A637" s="360"/>
      <c r="B637" s="360"/>
      <c r="C637" s="360"/>
      <c r="D637" s="360"/>
      <c r="E637" s="360"/>
      <c r="F637" s="360"/>
      <c r="G637" s="360"/>
      <c r="H637" s="360"/>
      <c r="I637" s="360"/>
      <c r="J637" s="360"/>
      <c r="K637" s="361"/>
      <c r="L637" s="360"/>
      <c r="M637" s="361"/>
      <c r="N637" s="360"/>
      <c r="O637" s="360"/>
      <c r="P637" s="360"/>
      <c r="Q637" s="360"/>
      <c r="R637" s="360"/>
      <c r="S637" s="360"/>
      <c r="T637" s="360"/>
      <c r="U637" s="360"/>
      <c r="V637" s="360"/>
      <c r="W637" s="360"/>
      <c r="X637" s="360"/>
      <c r="Y637" s="360"/>
      <c r="Z637" s="360"/>
      <c r="AA637" s="360"/>
      <c r="AB637" s="362"/>
      <c r="AC637" s="360"/>
      <c r="AD637" s="360"/>
      <c r="AE637" s="360"/>
    </row>
    <row r="638">
      <c r="A638" s="360"/>
      <c r="B638" s="360"/>
      <c r="C638" s="360"/>
      <c r="D638" s="360"/>
      <c r="E638" s="360"/>
      <c r="F638" s="360"/>
      <c r="G638" s="360"/>
      <c r="H638" s="360"/>
      <c r="I638" s="360"/>
      <c r="J638" s="360"/>
      <c r="K638" s="361"/>
      <c r="L638" s="360"/>
      <c r="M638" s="361"/>
      <c r="N638" s="360"/>
      <c r="O638" s="360"/>
      <c r="P638" s="360"/>
      <c r="Q638" s="360"/>
      <c r="R638" s="360"/>
      <c r="S638" s="360"/>
      <c r="T638" s="360"/>
      <c r="U638" s="360"/>
      <c r="V638" s="360"/>
      <c r="W638" s="360"/>
      <c r="X638" s="360"/>
      <c r="Y638" s="360"/>
      <c r="Z638" s="360"/>
      <c r="AA638" s="360"/>
      <c r="AB638" s="362"/>
      <c r="AC638" s="360"/>
      <c r="AD638" s="360"/>
      <c r="AE638" s="360"/>
    </row>
    <row r="639">
      <c r="A639" s="360"/>
      <c r="B639" s="360"/>
      <c r="C639" s="360"/>
      <c r="D639" s="360"/>
      <c r="E639" s="360"/>
      <c r="F639" s="360"/>
      <c r="G639" s="360"/>
      <c r="H639" s="360"/>
      <c r="I639" s="360"/>
      <c r="J639" s="360"/>
      <c r="K639" s="361"/>
      <c r="L639" s="360"/>
      <c r="M639" s="361"/>
      <c r="N639" s="360"/>
      <c r="O639" s="360"/>
      <c r="P639" s="360"/>
      <c r="Q639" s="360"/>
      <c r="R639" s="360"/>
      <c r="S639" s="360"/>
      <c r="T639" s="360"/>
      <c r="U639" s="360"/>
      <c r="V639" s="360"/>
      <c r="W639" s="360"/>
      <c r="X639" s="360"/>
      <c r="Y639" s="360"/>
      <c r="Z639" s="360"/>
      <c r="AA639" s="360"/>
      <c r="AB639" s="362"/>
      <c r="AC639" s="360"/>
      <c r="AD639" s="360"/>
      <c r="AE639" s="360"/>
    </row>
    <row r="640">
      <c r="A640" s="360"/>
      <c r="B640" s="360"/>
      <c r="C640" s="360"/>
      <c r="D640" s="360"/>
      <c r="E640" s="360"/>
      <c r="F640" s="360"/>
      <c r="G640" s="360"/>
      <c r="H640" s="360"/>
      <c r="I640" s="360"/>
      <c r="J640" s="360"/>
      <c r="K640" s="361"/>
      <c r="L640" s="360"/>
      <c r="M640" s="361"/>
      <c r="N640" s="360"/>
      <c r="O640" s="360"/>
      <c r="P640" s="360"/>
      <c r="Q640" s="360"/>
      <c r="R640" s="360"/>
      <c r="S640" s="360"/>
      <c r="T640" s="360"/>
      <c r="U640" s="360"/>
      <c r="V640" s="360"/>
      <c r="W640" s="360"/>
      <c r="X640" s="360"/>
      <c r="Y640" s="360"/>
      <c r="Z640" s="360"/>
      <c r="AA640" s="360"/>
      <c r="AB640" s="362"/>
      <c r="AC640" s="360"/>
      <c r="AD640" s="360"/>
      <c r="AE640" s="360"/>
    </row>
    <row r="641">
      <c r="A641" s="360"/>
      <c r="B641" s="360"/>
      <c r="C641" s="360"/>
      <c r="D641" s="360"/>
      <c r="E641" s="360"/>
      <c r="F641" s="360"/>
      <c r="G641" s="360"/>
      <c r="H641" s="360"/>
      <c r="I641" s="360"/>
      <c r="J641" s="360"/>
      <c r="K641" s="361"/>
      <c r="L641" s="360"/>
      <c r="M641" s="361"/>
      <c r="N641" s="360"/>
      <c r="O641" s="360"/>
      <c r="P641" s="360"/>
      <c r="Q641" s="360"/>
      <c r="R641" s="360"/>
      <c r="S641" s="360"/>
      <c r="T641" s="360"/>
      <c r="U641" s="360"/>
      <c r="V641" s="360"/>
      <c r="W641" s="360"/>
      <c r="X641" s="360"/>
      <c r="Y641" s="360"/>
      <c r="Z641" s="360"/>
      <c r="AA641" s="360"/>
      <c r="AB641" s="362"/>
      <c r="AC641" s="360"/>
      <c r="AD641" s="360"/>
      <c r="AE641" s="360"/>
    </row>
    <row r="642">
      <c r="A642" s="360"/>
      <c r="B642" s="360"/>
      <c r="C642" s="360"/>
      <c r="D642" s="360"/>
      <c r="E642" s="360"/>
      <c r="F642" s="360"/>
      <c r="G642" s="360"/>
      <c r="H642" s="360"/>
      <c r="I642" s="360"/>
      <c r="J642" s="360"/>
      <c r="K642" s="361"/>
      <c r="L642" s="360"/>
      <c r="M642" s="361"/>
      <c r="N642" s="360"/>
      <c r="O642" s="360"/>
      <c r="P642" s="360"/>
      <c r="Q642" s="360"/>
      <c r="R642" s="360"/>
      <c r="S642" s="360"/>
      <c r="T642" s="360"/>
      <c r="U642" s="360"/>
      <c r="V642" s="360"/>
      <c r="W642" s="360"/>
      <c r="X642" s="360"/>
      <c r="Y642" s="360"/>
      <c r="Z642" s="360"/>
      <c r="AA642" s="360"/>
      <c r="AB642" s="362"/>
      <c r="AC642" s="360"/>
      <c r="AD642" s="360"/>
      <c r="AE642" s="360"/>
    </row>
    <row r="643">
      <c r="A643" s="360"/>
      <c r="B643" s="360"/>
      <c r="C643" s="360"/>
      <c r="D643" s="360"/>
      <c r="E643" s="360"/>
      <c r="F643" s="360"/>
      <c r="G643" s="360"/>
      <c r="H643" s="360"/>
      <c r="I643" s="360"/>
      <c r="J643" s="360"/>
      <c r="K643" s="361"/>
      <c r="L643" s="360"/>
      <c r="M643" s="361"/>
      <c r="N643" s="360"/>
      <c r="O643" s="360"/>
      <c r="P643" s="360"/>
      <c r="Q643" s="360"/>
      <c r="R643" s="360"/>
      <c r="S643" s="360"/>
      <c r="T643" s="360"/>
      <c r="U643" s="360"/>
      <c r="V643" s="360"/>
      <c r="W643" s="360"/>
      <c r="X643" s="360"/>
      <c r="Y643" s="360"/>
      <c r="Z643" s="360"/>
      <c r="AA643" s="360"/>
      <c r="AB643" s="362"/>
      <c r="AC643" s="360"/>
      <c r="AD643" s="360"/>
      <c r="AE643" s="360"/>
    </row>
    <row r="644">
      <c r="A644" s="360"/>
      <c r="B644" s="360"/>
      <c r="C644" s="360"/>
      <c r="D644" s="360"/>
      <c r="E644" s="360"/>
      <c r="F644" s="360"/>
      <c r="G644" s="360"/>
      <c r="H644" s="360"/>
      <c r="I644" s="360"/>
      <c r="J644" s="360"/>
      <c r="K644" s="361"/>
      <c r="L644" s="360"/>
      <c r="M644" s="361"/>
      <c r="N644" s="360"/>
      <c r="O644" s="360"/>
      <c r="P644" s="360"/>
      <c r="Q644" s="360"/>
      <c r="R644" s="360"/>
      <c r="S644" s="360"/>
      <c r="T644" s="360"/>
      <c r="U644" s="360"/>
      <c r="V644" s="360"/>
      <c r="W644" s="360"/>
      <c r="X644" s="360"/>
      <c r="Y644" s="360"/>
      <c r="Z644" s="360"/>
      <c r="AA644" s="360"/>
      <c r="AB644" s="362"/>
      <c r="AC644" s="360"/>
      <c r="AD644" s="360"/>
      <c r="AE644" s="360"/>
    </row>
    <row r="645">
      <c r="A645" s="360"/>
      <c r="B645" s="360"/>
      <c r="C645" s="360"/>
      <c r="D645" s="360"/>
      <c r="E645" s="360"/>
      <c r="F645" s="360"/>
      <c r="G645" s="360"/>
      <c r="H645" s="360"/>
      <c r="I645" s="360"/>
      <c r="J645" s="360"/>
      <c r="K645" s="361"/>
      <c r="L645" s="360"/>
      <c r="M645" s="361"/>
      <c r="N645" s="360"/>
      <c r="O645" s="360"/>
      <c r="P645" s="360"/>
      <c r="Q645" s="360"/>
      <c r="R645" s="360"/>
      <c r="S645" s="360"/>
      <c r="T645" s="360"/>
      <c r="U645" s="360"/>
      <c r="V645" s="360"/>
      <c r="W645" s="360"/>
      <c r="X645" s="360"/>
      <c r="Y645" s="360"/>
      <c r="Z645" s="360"/>
      <c r="AA645" s="360"/>
      <c r="AB645" s="362"/>
      <c r="AC645" s="360"/>
      <c r="AD645" s="360"/>
      <c r="AE645" s="360"/>
    </row>
    <row r="646">
      <c r="A646" s="360"/>
      <c r="B646" s="360"/>
      <c r="C646" s="360"/>
      <c r="D646" s="360"/>
      <c r="E646" s="360"/>
      <c r="F646" s="360"/>
      <c r="G646" s="360"/>
      <c r="H646" s="360"/>
      <c r="I646" s="360"/>
      <c r="J646" s="360"/>
      <c r="K646" s="361"/>
      <c r="L646" s="360"/>
      <c r="M646" s="361"/>
      <c r="N646" s="360"/>
      <c r="O646" s="360"/>
      <c r="P646" s="360"/>
      <c r="Q646" s="360"/>
      <c r="R646" s="360"/>
      <c r="S646" s="360"/>
      <c r="T646" s="360"/>
      <c r="U646" s="360"/>
      <c r="V646" s="360"/>
      <c r="W646" s="360"/>
      <c r="X646" s="360"/>
      <c r="Y646" s="360"/>
      <c r="Z646" s="360"/>
      <c r="AA646" s="360"/>
      <c r="AB646" s="362"/>
      <c r="AC646" s="360"/>
      <c r="AD646" s="360"/>
      <c r="AE646" s="360"/>
    </row>
    <row r="647">
      <c r="A647" s="360"/>
      <c r="B647" s="360"/>
      <c r="C647" s="360"/>
      <c r="D647" s="360"/>
      <c r="E647" s="360"/>
      <c r="F647" s="360"/>
      <c r="G647" s="360"/>
      <c r="H647" s="360"/>
      <c r="I647" s="360"/>
      <c r="J647" s="360"/>
      <c r="K647" s="361"/>
      <c r="L647" s="360"/>
      <c r="M647" s="361"/>
      <c r="N647" s="360"/>
      <c r="O647" s="360"/>
      <c r="P647" s="360"/>
      <c r="Q647" s="360"/>
      <c r="R647" s="360"/>
      <c r="S647" s="360"/>
      <c r="T647" s="360"/>
      <c r="U647" s="360"/>
      <c r="V647" s="360"/>
      <c r="W647" s="360"/>
      <c r="X647" s="360"/>
      <c r="Y647" s="360"/>
      <c r="Z647" s="360"/>
      <c r="AA647" s="360"/>
      <c r="AB647" s="362"/>
      <c r="AC647" s="360"/>
      <c r="AD647" s="360"/>
      <c r="AE647" s="360"/>
    </row>
    <row r="648">
      <c r="A648" s="360"/>
      <c r="B648" s="360"/>
      <c r="C648" s="360"/>
      <c r="D648" s="360"/>
      <c r="E648" s="360"/>
      <c r="F648" s="360"/>
      <c r="G648" s="360"/>
      <c r="H648" s="360"/>
      <c r="I648" s="360"/>
      <c r="J648" s="360"/>
      <c r="K648" s="361"/>
      <c r="L648" s="360"/>
      <c r="M648" s="361"/>
      <c r="N648" s="360"/>
      <c r="O648" s="360"/>
      <c r="P648" s="360"/>
      <c r="Q648" s="360"/>
      <c r="R648" s="360"/>
      <c r="S648" s="360"/>
      <c r="T648" s="360"/>
      <c r="U648" s="360"/>
      <c r="V648" s="360"/>
      <c r="W648" s="360"/>
      <c r="X648" s="360"/>
      <c r="Y648" s="360"/>
      <c r="Z648" s="360"/>
      <c r="AA648" s="360"/>
      <c r="AB648" s="362"/>
      <c r="AC648" s="360"/>
      <c r="AD648" s="360"/>
      <c r="AE648" s="360"/>
    </row>
    <row r="649">
      <c r="A649" s="360"/>
      <c r="B649" s="360"/>
      <c r="C649" s="360"/>
      <c r="D649" s="360"/>
      <c r="E649" s="360"/>
      <c r="F649" s="360"/>
      <c r="G649" s="360"/>
      <c r="H649" s="360"/>
      <c r="I649" s="360"/>
      <c r="J649" s="360"/>
      <c r="K649" s="361"/>
      <c r="L649" s="360"/>
      <c r="M649" s="361"/>
      <c r="N649" s="360"/>
      <c r="O649" s="360"/>
      <c r="P649" s="360"/>
      <c r="Q649" s="360"/>
      <c r="R649" s="360"/>
      <c r="S649" s="360"/>
      <c r="T649" s="360"/>
      <c r="U649" s="360"/>
      <c r="V649" s="360"/>
      <c r="W649" s="360"/>
      <c r="X649" s="360"/>
      <c r="Y649" s="360"/>
      <c r="Z649" s="360"/>
      <c r="AA649" s="360"/>
      <c r="AB649" s="362"/>
      <c r="AC649" s="360"/>
      <c r="AD649" s="360"/>
      <c r="AE649" s="360"/>
    </row>
    <row r="650">
      <c r="A650" s="360"/>
      <c r="B650" s="360"/>
      <c r="C650" s="360"/>
      <c r="D650" s="360"/>
      <c r="E650" s="360"/>
      <c r="F650" s="360"/>
      <c r="G650" s="360"/>
      <c r="H650" s="360"/>
      <c r="I650" s="360"/>
      <c r="J650" s="360"/>
      <c r="K650" s="361"/>
      <c r="L650" s="360"/>
      <c r="M650" s="361"/>
      <c r="N650" s="360"/>
      <c r="O650" s="360"/>
      <c r="P650" s="360"/>
      <c r="Q650" s="360"/>
      <c r="R650" s="360"/>
      <c r="S650" s="360"/>
      <c r="T650" s="360"/>
      <c r="U650" s="360"/>
      <c r="V650" s="360"/>
      <c r="W650" s="360"/>
      <c r="X650" s="360"/>
      <c r="Y650" s="360"/>
      <c r="Z650" s="360"/>
      <c r="AA650" s="360"/>
      <c r="AB650" s="362"/>
      <c r="AC650" s="360"/>
      <c r="AD650" s="360"/>
      <c r="AE650" s="360"/>
    </row>
    <row r="651">
      <c r="A651" s="360"/>
      <c r="B651" s="360"/>
      <c r="C651" s="360"/>
      <c r="D651" s="360"/>
      <c r="E651" s="360"/>
      <c r="F651" s="360"/>
      <c r="G651" s="360"/>
      <c r="H651" s="360"/>
      <c r="I651" s="360"/>
      <c r="J651" s="360"/>
      <c r="K651" s="361"/>
      <c r="L651" s="360"/>
      <c r="M651" s="361"/>
      <c r="N651" s="360"/>
      <c r="O651" s="360"/>
      <c r="P651" s="360"/>
      <c r="Q651" s="360"/>
      <c r="R651" s="360"/>
      <c r="S651" s="360"/>
      <c r="T651" s="360"/>
      <c r="U651" s="360"/>
      <c r="V651" s="360"/>
      <c r="W651" s="360"/>
      <c r="X651" s="360"/>
      <c r="Y651" s="360"/>
      <c r="Z651" s="360"/>
      <c r="AA651" s="360"/>
      <c r="AB651" s="362"/>
      <c r="AC651" s="360"/>
      <c r="AD651" s="360"/>
      <c r="AE651" s="360"/>
    </row>
    <row r="652">
      <c r="A652" s="360"/>
      <c r="B652" s="360"/>
      <c r="C652" s="360"/>
      <c r="D652" s="360"/>
      <c r="E652" s="360"/>
      <c r="F652" s="360"/>
      <c r="G652" s="360"/>
      <c r="H652" s="360"/>
      <c r="I652" s="360"/>
      <c r="J652" s="360"/>
      <c r="K652" s="361"/>
      <c r="L652" s="360"/>
      <c r="M652" s="361"/>
      <c r="N652" s="360"/>
      <c r="O652" s="360"/>
      <c r="P652" s="360"/>
      <c r="Q652" s="360"/>
      <c r="R652" s="360"/>
      <c r="S652" s="360"/>
      <c r="T652" s="360"/>
      <c r="U652" s="360"/>
      <c r="V652" s="360"/>
      <c r="W652" s="360"/>
      <c r="X652" s="360"/>
      <c r="Y652" s="360"/>
      <c r="Z652" s="360"/>
      <c r="AA652" s="360"/>
      <c r="AB652" s="362"/>
      <c r="AC652" s="360"/>
      <c r="AD652" s="360"/>
      <c r="AE652" s="360"/>
    </row>
    <row r="653">
      <c r="A653" s="360"/>
      <c r="B653" s="360"/>
      <c r="C653" s="360"/>
      <c r="D653" s="360"/>
      <c r="E653" s="360"/>
      <c r="F653" s="360"/>
      <c r="G653" s="360"/>
      <c r="H653" s="360"/>
      <c r="I653" s="360"/>
      <c r="J653" s="360"/>
      <c r="K653" s="361"/>
      <c r="L653" s="360"/>
      <c r="M653" s="361"/>
      <c r="N653" s="360"/>
      <c r="O653" s="360"/>
      <c r="P653" s="360"/>
      <c r="Q653" s="360"/>
      <c r="R653" s="360"/>
      <c r="S653" s="360"/>
      <c r="T653" s="360"/>
      <c r="U653" s="360"/>
      <c r="V653" s="360"/>
      <c r="W653" s="360"/>
      <c r="X653" s="360"/>
      <c r="Y653" s="360"/>
      <c r="Z653" s="360"/>
      <c r="AA653" s="360"/>
      <c r="AB653" s="362"/>
      <c r="AC653" s="360"/>
      <c r="AD653" s="360"/>
      <c r="AE653" s="360"/>
    </row>
    <row r="654">
      <c r="A654" s="360"/>
      <c r="B654" s="360"/>
      <c r="C654" s="360"/>
      <c r="D654" s="360"/>
      <c r="E654" s="360"/>
      <c r="F654" s="360"/>
      <c r="G654" s="360"/>
      <c r="H654" s="360"/>
      <c r="I654" s="360"/>
      <c r="J654" s="360"/>
      <c r="K654" s="361"/>
      <c r="L654" s="360"/>
      <c r="M654" s="361"/>
      <c r="N654" s="360"/>
      <c r="O654" s="360"/>
      <c r="P654" s="360"/>
      <c r="Q654" s="360"/>
      <c r="R654" s="360"/>
      <c r="S654" s="360"/>
      <c r="T654" s="360"/>
      <c r="U654" s="360"/>
      <c r="V654" s="360"/>
      <c r="W654" s="360"/>
      <c r="X654" s="360"/>
      <c r="Y654" s="360"/>
      <c r="Z654" s="360"/>
      <c r="AA654" s="360"/>
      <c r="AB654" s="362"/>
      <c r="AC654" s="360"/>
      <c r="AD654" s="360"/>
      <c r="AE654" s="360"/>
    </row>
    <row r="655">
      <c r="A655" s="360"/>
      <c r="B655" s="360"/>
      <c r="C655" s="360"/>
      <c r="D655" s="360"/>
      <c r="E655" s="360"/>
      <c r="F655" s="360"/>
      <c r="G655" s="360"/>
      <c r="H655" s="360"/>
      <c r="I655" s="360"/>
      <c r="J655" s="360"/>
      <c r="K655" s="361"/>
      <c r="L655" s="360"/>
      <c r="M655" s="361"/>
      <c r="N655" s="360"/>
      <c r="O655" s="360"/>
      <c r="P655" s="360"/>
      <c r="Q655" s="360"/>
      <c r="R655" s="360"/>
      <c r="S655" s="360"/>
      <c r="T655" s="360"/>
      <c r="U655" s="360"/>
      <c r="V655" s="360"/>
      <c r="W655" s="360"/>
      <c r="X655" s="360"/>
      <c r="Y655" s="360"/>
      <c r="Z655" s="360"/>
      <c r="AA655" s="360"/>
      <c r="AB655" s="362"/>
      <c r="AC655" s="360"/>
      <c r="AD655" s="360"/>
      <c r="AE655" s="360"/>
    </row>
    <row r="656">
      <c r="A656" s="360"/>
      <c r="B656" s="360"/>
      <c r="C656" s="360"/>
      <c r="D656" s="360"/>
      <c r="E656" s="360"/>
      <c r="F656" s="360"/>
      <c r="G656" s="360"/>
      <c r="H656" s="360"/>
      <c r="I656" s="360"/>
      <c r="J656" s="360"/>
      <c r="K656" s="361"/>
      <c r="L656" s="360"/>
      <c r="M656" s="361"/>
      <c r="N656" s="360"/>
      <c r="O656" s="360"/>
      <c r="P656" s="360"/>
      <c r="Q656" s="360"/>
      <c r="R656" s="360"/>
      <c r="S656" s="360"/>
      <c r="T656" s="360"/>
      <c r="U656" s="360"/>
      <c r="V656" s="360"/>
      <c r="W656" s="360"/>
      <c r="X656" s="360"/>
      <c r="Y656" s="360"/>
      <c r="Z656" s="360"/>
      <c r="AA656" s="360"/>
      <c r="AB656" s="362"/>
      <c r="AC656" s="360"/>
      <c r="AD656" s="360"/>
      <c r="AE656" s="360"/>
    </row>
    <row r="657">
      <c r="A657" s="360"/>
      <c r="B657" s="360"/>
      <c r="C657" s="360"/>
      <c r="D657" s="360"/>
      <c r="E657" s="360"/>
      <c r="F657" s="360"/>
      <c r="G657" s="360"/>
      <c r="H657" s="360"/>
      <c r="I657" s="360"/>
      <c r="J657" s="360"/>
      <c r="K657" s="361"/>
      <c r="L657" s="360"/>
      <c r="M657" s="361"/>
      <c r="N657" s="360"/>
      <c r="O657" s="360"/>
      <c r="P657" s="360"/>
      <c r="Q657" s="360"/>
      <c r="R657" s="360"/>
      <c r="S657" s="360"/>
      <c r="T657" s="360"/>
      <c r="U657" s="360"/>
      <c r="V657" s="360"/>
      <c r="W657" s="360"/>
      <c r="X657" s="360"/>
      <c r="Y657" s="360"/>
      <c r="Z657" s="360"/>
      <c r="AA657" s="360"/>
      <c r="AB657" s="362"/>
      <c r="AC657" s="360"/>
      <c r="AD657" s="360"/>
      <c r="AE657" s="360"/>
    </row>
    <row r="658">
      <c r="A658" s="360"/>
      <c r="B658" s="360"/>
      <c r="C658" s="360"/>
      <c r="D658" s="360"/>
      <c r="E658" s="360"/>
      <c r="F658" s="360"/>
      <c r="G658" s="360"/>
      <c r="H658" s="360"/>
      <c r="I658" s="360"/>
      <c r="J658" s="360"/>
      <c r="K658" s="361"/>
      <c r="L658" s="360"/>
      <c r="M658" s="361"/>
      <c r="N658" s="360"/>
      <c r="O658" s="360"/>
      <c r="P658" s="360"/>
      <c r="Q658" s="360"/>
      <c r="R658" s="360"/>
      <c r="S658" s="360"/>
      <c r="T658" s="360"/>
      <c r="U658" s="360"/>
      <c r="V658" s="360"/>
      <c r="W658" s="360"/>
      <c r="X658" s="360"/>
      <c r="Y658" s="360"/>
      <c r="Z658" s="360"/>
      <c r="AA658" s="360"/>
      <c r="AB658" s="362"/>
      <c r="AC658" s="360"/>
      <c r="AD658" s="360"/>
      <c r="AE658" s="360"/>
    </row>
    <row r="659">
      <c r="A659" s="360"/>
      <c r="B659" s="360"/>
      <c r="C659" s="360"/>
      <c r="D659" s="360"/>
      <c r="E659" s="360"/>
      <c r="F659" s="360"/>
      <c r="G659" s="360"/>
      <c r="H659" s="360"/>
      <c r="I659" s="360"/>
      <c r="J659" s="360"/>
      <c r="K659" s="361"/>
      <c r="L659" s="360"/>
      <c r="M659" s="361"/>
      <c r="N659" s="360"/>
      <c r="O659" s="360"/>
      <c r="P659" s="360"/>
      <c r="Q659" s="360"/>
      <c r="R659" s="360"/>
      <c r="S659" s="360"/>
      <c r="T659" s="360"/>
      <c r="U659" s="360"/>
      <c r="V659" s="360"/>
      <c r="W659" s="360"/>
      <c r="X659" s="360"/>
      <c r="Y659" s="360"/>
      <c r="Z659" s="360"/>
      <c r="AA659" s="360"/>
      <c r="AB659" s="362"/>
      <c r="AC659" s="360"/>
      <c r="AD659" s="360"/>
      <c r="AE659" s="360"/>
    </row>
    <row r="660">
      <c r="A660" s="360"/>
      <c r="B660" s="360"/>
      <c r="C660" s="360"/>
      <c r="D660" s="360"/>
      <c r="E660" s="360"/>
      <c r="F660" s="360"/>
      <c r="G660" s="360"/>
      <c r="H660" s="360"/>
      <c r="I660" s="360"/>
      <c r="J660" s="360"/>
      <c r="K660" s="361"/>
      <c r="L660" s="360"/>
      <c r="M660" s="361"/>
      <c r="N660" s="360"/>
      <c r="O660" s="360"/>
      <c r="P660" s="360"/>
      <c r="Q660" s="360"/>
      <c r="R660" s="360"/>
      <c r="S660" s="360"/>
      <c r="T660" s="360"/>
      <c r="U660" s="360"/>
      <c r="V660" s="360"/>
      <c r="W660" s="360"/>
      <c r="X660" s="360"/>
      <c r="Y660" s="360"/>
      <c r="Z660" s="360"/>
      <c r="AA660" s="360"/>
      <c r="AB660" s="362"/>
      <c r="AC660" s="360"/>
      <c r="AD660" s="360"/>
      <c r="AE660" s="360"/>
    </row>
    <row r="661">
      <c r="A661" s="360"/>
      <c r="B661" s="360"/>
      <c r="C661" s="360"/>
      <c r="D661" s="360"/>
      <c r="E661" s="360"/>
      <c r="F661" s="360"/>
      <c r="G661" s="360"/>
      <c r="H661" s="360"/>
      <c r="I661" s="360"/>
      <c r="J661" s="360"/>
      <c r="K661" s="361"/>
      <c r="L661" s="360"/>
      <c r="M661" s="361"/>
      <c r="N661" s="360"/>
      <c r="O661" s="360"/>
      <c r="P661" s="360"/>
      <c r="Q661" s="360"/>
      <c r="R661" s="360"/>
      <c r="S661" s="360"/>
      <c r="T661" s="360"/>
      <c r="U661" s="360"/>
      <c r="V661" s="360"/>
      <c r="W661" s="360"/>
      <c r="X661" s="360"/>
      <c r="Y661" s="360"/>
      <c r="Z661" s="360"/>
      <c r="AA661" s="360"/>
      <c r="AB661" s="362"/>
      <c r="AC661" s="360"/>
      <c r="AD661" s="360"/>
      <c r="AE661" s="360"/>
    </row>
    <row r="662">
      <c r="A662" s="360"/>
      <c r="B662" s="360"/>
      <c r="C662" s="360"/>
      <c r="D662" s="360"/>
      <c r="E662" s="360"/>
      <c r="F662" s="360"/>
      <c r="G662" s="360"/>
      <c r="H662" s="360"/>
      <c r="I662" s="360"/>
      <c r="J662" s="360"/>
      <c r="K662" s="361"/>
      <c r="L662" s="360"/>
      <c r="M662" s="361"/>
      <c r="N662" s="360"/>
      <c r="O662" s="360"/>
      <c r="P662" s="360"/>
      <c r="Q662" s="360"/>
      <c r="R662" s="360"/>
      <c r="S662" s="360"/>
      <c r="T662" s="360"/>
      <c r="U662" s="360"/>
      <c r="V662" s="360"/>
      <c r="W662" s="360"/>
      <c r="X662" s="360"/>
      <c r="Y662" s="360"/>
      <c r="Z662" s="360"/>
      <c r="AA662" s="360"/>
      <c r="AB662" s="362"/>
      <c r="AC662" s="360"/>
      <c r="AD662" s="360"/>
      <c r="AE662" s="360"/>
    </row>
    <row r="663">
      <c r="A663" s="360"/>
      <c r="B663" s="360"/>
      <c r="C663" s="360"/>
      <c r="D663" s="360"/>
      <c r="E663" s="360"/>
      <c r="F663" s="360"/>
      <c r="G663" s="360"/>
      <c r="H663" s="360"/>
      <c r="I663" s="360"/>
      <c r="J663" s="360"/>
      <c r="K663" s="361"/>
      <c r="L663" s="360"/>
      <c r="M663" s="361"/>
      <c r="N663" s="360"/>
      <c r="O663" s="360"/>
      <c r="P663" s="360"/>
      <c r="Q663" s="360"/>
      <c r="R663" s="360"/>
      <c r="S663" s="360"/>
      <c r="T663" s="360"/>
      <c r="U663" s="360"/>
      <c r="V663" s="360"/>
      <c r="W663" s="360"/>
      <c r="X663" s="360"/>
      <c r="Y663" s="360"/>
      <c r="Z663" s="360"/>
      <c r="AA663" s="360"/>
      <c r="AB663" s="362"/>
      <c r="AC663" s="360"/>
      <c r="AD663" s="360"/>
      <c r="AE663" s="360"/>
    </row>
    <row r="664">
      <c r="A664" s="360"/>
      <c r="B664" s="360"/>
      <c r="C664" s="360"/>
      <c r="D664" s="360"/>
      <c r="E664" s="360"/>
      <c r="F664" s="360"/>
      <c r="G664" s="360"/>
      <c r="H664" s="360"/>
      <c r="I664" s="360"/>
      <c r="J664" s="360"/>
      <c r="K664" s="361"/>
      <c r="L664" s="360"/>
      <c r="M664" s="361"/>
      <c r="N664" s="360"/>
      <c r="O664" s="360"/>
      <c r="P664" s="360"/>
      <c r="Q664" s="360"/>
      <c r="R664" s="360"/>
      <c r="S664" s="360"/>
      <c r="T664" s="360"/>
      <c r="U664" s="360"/>
      <c r="V664" s="360"/>
      <c r="W664" s="360"/>
      <c r="X664" s="360"/>
      <c r="Y664" s="360"/>
      <c r="Z664" s="360"/>
      <c r="AA664" s="360"/>
      <c r="AB664" s="362"/>
      <c r="AC664" s="360"/>
      <c r="AD664" s="360"/>
      <c r="AE664" s="360"/>
    </row>
    <row r="665">
      <c r="A665" s="360"/>
      <c r="B665" s="360"/>
      <c r="C665" s="360"/>
      <c r="D665" s="360"/>
      <c r="E665" s="360"/>
      <c r="F665" s="360"/>
      <c r="G665" s="360"/>
      <c r="H665" s="360"/>
      <c r="I665" s="360"/>
      <c r="J665" s="360"/>
      <c r="K665" s="361"/>
      <c r="L665" s="360"/>
      <c r="M665" s="361"/>
      <c r="N665" s="360"/>
      <c r="O665" s="360"/>
      <c r="P665" s="360"/>
      <c r="Q665" s="360"/>
      <c r="R665" s="360"/>
      <c r="S665" s="360"/>
      <c r="T665" s="360"/>
      <c r="U665" s="360"/>
      <c r="V665" s="360"/>
      <c r="W665" s="360"/>
      <c r="X665" s="360"/>
      <c r="Y665" s="360"/>
      <c r="Z665" s="360"/>
      <c r="AA665" s="360"/>
      <c r="AB665" s="362"/>
      <c r="AC665" s="360"/>
      <c r="AD665" s="360"/>
      <c r="AE665" s="360"/>
    </row>
    <row r="666">
      <c r="A666" s="360"/>
      <c r="B666" s="360"/>
      <c r="C666" s="360"/>
      <c r="D666" s="360"/>
      <c r="E666" s="360"/>
      <c r="F666" s="360"/>
      <c r="G666" s="360"/>
      <c r="H666" s="360"/>
      <c r="I666" s="360"/>
      <c r="J666" s="360"/>
      <c r="K666" s="361"/>
      <c r="L666" s="360"/>
      <c r="M666" s="361"/>
      <c r="N666" s="360"/>
      <c r="O666" s="360"/>
      <c r="P666" s="360"/>
      <c r="Q666" s="360"/>
      <c r="R666" s="360"/>
      <c r="S666" s="360"/>
      <c r="T666" s="360"/>
      <c r="U666" s="360"/>
      <c r="V666" s="360"/>
      <c r="W666" s="360"/>
      <c r="X666" s="360"/>
      <c r="Y666" s="360"/>
      <c r="Z666" s="360"/>
      <c r="AA666" s="360"/>
      <c r="AB666" s="362"/>
      <c r="AC666" s="360"/>
      <c r="AD666" s="360"/>
      <c r="AE666" s="360"/>
    </row>
    <row r="667">
      <c r="A667" s="360"/>
      <c r="B667" s="360"/>
      <c r="C667" s="360"/>
      <c r="D667" s="360"/>
      <c r="E667" s="360"/>
      <c r="F667" s="360"/>
      <c r="G667" s="360"/>
      <c r="H667" s="360"/>
      <c r="I667" s="360"/>
      <c r="J667" s="360"/>
      <c r="K667" s="361"/>
      <c r="L667" s="360"/>
      <c r="M667" s="361"/>
      <c r="N667" s="360"/>
      <c r="O667" s="360"/>
      <c r="P667" s="360"/>
      <c r="Q667" s="360"/>
      <c r="R667" s="360"/>
      <c r="S667" s="360"/>
      <c r="T667" s="360"/>
      <c r="U667" s="360"/>
      <c r="V667" s="360"/>
      <c r="W667" s="360"/>
      <c r="X667" s="360"/>
      <c r="Y667" s="360"/>
      <c r="Z667" s="360"/>
      <c r="AA667" s="360"/>
      <c r="AB667" s="362"/>
      <c r="AC667" s="360"/>
      <c r="AD667" s="360"/>
      <c r="AE667" s="360"/>
    </row>
    <row r="668">
      <c r="A668" s="360"/>
      <c r="B668" s="360"/>
      <c r="C668" s="360"/>
      <c r="D668" s="360"/>
      <c r="E668" s="360"/>
      <c r="F668" s="360"/>
      <c r="G668" s="360"/>
      <c r="H668" s="360"/>
      <c r="I668" s="360"/>
      <c r="J668" s="360"/>
      <c r="K668" s="361"/>
      <c r="L668" s="360"/>
      <c r="M668" s="361"/>
      <c r="N668" s="360"/>
      <c r="O668" s="360"/>
      <c r="P668" s="360"/>
      <c r="Q668" s="360"/>
      <c r="R668" s="360"/>
      <c r="S668" s="360"/>
      <c r="T668" s="360"/>
      <c r="U668" s="360"/>
      <c r="V668" s="360"/>
      <c r="W668" s="360"/>
      <c r="X668" s="360"/>
      <c r="Y668" s="360"/>
      <c r="Z668" s="360"/>
      <c r="AA668" s="360"/>
      <c r="AB668" s="362"/>
      <c r="AC668" s="360"/>
      <c r="AD668" s="360"/>
      <c r="AE668" s="360"/>
    </row>
    <row r="669">
      <c r="A669" s="360"/>
      <c r="B669" s="360"/>
      <c r="C669" s="360"/>
      <c r="D669" s="360"/>
      <c r="E669" s="360"/>
      <c r="F669" s="360"/>
      <c r="G669" s="360"/>
      <c r="H669" s="360"/>
      <c r="I669" s="360"/>
      <c r="J669" s="360"/>
      <c r="K669" s="361"/>
      <c r="L669" s="360"/>
      <c r="M669" s="361"/>
      <c r="N669" s="360"/>
      <c r="O669" s="360"/>
      <c r="P669" s="360"/>
      <c r="Q669" s="360"/>
      <c r="R669" s="360"/>
      <c r="S669" s="360"/>
      <c r="T669" s="360"/>
      <c r="U669" s="360"/>
      <c r="V669" s="360"/>
      <c r="W669" s="360"/>
      <c r="X669" s="360"/>
      <c r="Y669" s="360"/>
      <c r="Z669" s="360"/>
      <c r="AA669" s="360"/>
      <c r="AB669" s="362"/>
      <c r="AC669" s="360"/>
      <c r="AD669" s="360"/>
      <c r="AE669" s="360"/>
    </row>
    <row r="670">
      <c r="A670" s="360"/>
      <c r="B670" s="360"/>
      <c r="C670" s="360"/>
      <c r="D670" s="360"/>
      <c r="E670" s="360"/>
      <c r="F670" s="360"/>
      <c r="G670" s="360"/>
      <c r="H670" s="360"/>
      <c r="I670" s="360"/>
      <c r="J670" s="360"/>
      <c r="K670" s="361"/>
      <c r="L670" s="360"/>
      <c r="M670" s="361"/>
      <c r="N670" s="360"/>
      <c r="O670" s="360"/>
      <c r="P670" s="360"/>
      <c r="Q670" s="360"/>
      <c r="R670" s="360"/>
      <c r="S670" s="360"/>
      <c r="T670" s="360"/>
      <c r="U670" s="360"/>
      <c r="V670" s="360"/>
      <c r="W670" s="360"/>
      <c r="X670" s="360"/>
      <c r="Y670" s="360"/>
      <c r="Z670" s="360"/>
      <c r="AA670" s="360"/>
      <c r="AB670" s="362"/>
      <c r="AC670" s="360"/>
      <c r="AD670" s="360"/>
      <c r="AE670" s="360"/>
    </row>
    <row r="671">
      <c r="A671" s="360"/>
      <c r="B671" s="360"/>
      <c r="C671" s="360"/>
      <c r="D671" s="360"/>
      <c r="E671" s="360"/>
      <c r="F671" s="360"/>
      <c r="G671" s="360"/>
      <c r="H671" s="360"/>
      <c r="I671" s="360"/>
      <c r="J671" s="360"/>
      <c r="K671" s="361"/>
      <c r="L671" s="360"/>
      <c r="M671" s="361"/>
      <c r="N671" s="360"/>
      <c r="O671" s="360"/>
      <c r="P671" s="360"/>
      <c r="Q671" s="360"/>
      <c r="R671" s="360"/>
      <c r="S671" s="360"/>
      <c r="T671" s="360"/>
      <c r="U671" s="360"/>
      <c r="V671" s="360"/>
      <c r="W671" s="360"/>
      <c r="X671" s="360"/>
      <c r="Y671" s="360"/>
      <c r="Z671" s="360"/>
      <c r="AA671" s="360"/>
      <c r="AB671" s="362"/>
      <c r="AC671" s="360"/>
      <c r="AD671" s="360"/>
      <c r="AE671" s="360"/>
    </row>
    <row r="672">
      <c r="A672" s="360"/>
      <c r="B672" s="360"/>
      <c r="C672" s="360"/>
      <c r="D672" s="360"/>
      <c r="E672" s="360"/>
      <c r="F672" s="360"/>
      <c r="G672" s="360"/>
      <c r="H672" s="360"/>
      <c r="I672" s="360"/>
      <c r="J672" s="360"/>
      <c r="K672" s="361"/>
      <c r="L672" s="360"/>
      <c r="M672" s="361"/>
      <c r="N672" s="360"/>
      <c r="O672" s="360"/>
      <c r="P672" s="360"/>
      <c r="Q672" s="360"/>
      <c r="R672" s="360"/>
      <c r="S672" s="360"/>
      <c r="T672" s="360"/>
      <c r="U672" s="360"/>
      <c r="V672" s="360"/>
      <c r="W672" s="360"/>
      <c r="X672" s="360"/>
      <c r="Y672" s="360"/>
      <c r="Z672" s="360"/>
      <c r="AA672" s="360"/>
      <c r="AB672" s="362"/>
      <c r="AC672" s="360"/>
      <c r="AD672" s="360"/>
      <c r="AE672" s="360"/>
    </row>
    <row r="673">
      <c r="A673" s="360"/>
      <c r="B673" s="360"/>
      <c r="C673" s="360"/>
      <c r="D673" s="360"/>
      <c r="E673" s="360"/>
      <c r="F673" s="360"/>
      <c r="G673" s="360"/>
      <c r="H673" s="360"/>
      <c r="I673" s="360"/>
      <c r="J673" s="360"/>
      <c r="K673" s="361"/>
      <c r="L673" s="360"/>
      <c r="M673" s="361"/>
      <c r="N673" s="360"/>
      <c r="O673" s="360"/>
      <c r="P673" s="360"/>
      <c r="Q673" s="360"/>
      <c r="R673" s="360"/>
      <c r="S673" s="360"/>
      <c r="T673" s="360"/>
      <c r="U673" s="360"/>
      <c r="V673" s="360"/>
      <c r="W673" s="360"/>
      <c r="X673" s="360"/>
      <c r="Y673" s="360"/>
      <c r="Z673" s="360"/>
      <c r="AA673" s="360"/>
      <c r="AB673" s="362"/>
      <c r="AC673" s="360"/>
      <c r="AD673" s="360"/>
      <c r="AE673" s="360"/>
    </row>
    <row r="674">
      <c r="A674" s="360"/>
      <c r="B674" s="360"/>
      <c r="C674" s="360"/>
      <c r="D674" s="360"/>
      <c r="E674" s="360"/>
      <c r="F674" s="360"/>
      <c r="G674" s="360"/>
      <c r="H674" s="360"/>
      <c r="I674" s="360"/>
      <c r="J674" s="360"/>
      <c r="K674" s="361"/>
      <c r="L674" s="360"/>
      <c r="M674" s="361"/>
      <c r="N674" s="360"/>
      <c r="O674" s="360"/>
      <c r="P674" s="360"/>
      <c r="Q674" s="360"/>
      <c r="R674" s="360"/>
      <c r="S674" s="360"/>
      <c r="T674" s="360"/>
      <c r="U674" s="360"/>
      <c r="V674" s="360"/>
      <c r="W674" s="360"/>
      <c r="X674" s="360"/>
      <c r="Y674" s="360"/>
      <c r="Z674" s="360"/>
      <c r="AA674" s="360"/>
      <c r="AB674" s="362"/>
      <c r="AC674" s="360"/>
      <c r="AD674" s="360"/>
      <c r="AE674" s="360"/>
    </row>
    <row r="675">
      <c r="A675" s="360"/>
      <c r="B675" s="360"/>
      <c r="C675" s="360"/>
      <c r="D675" s="360"/>
      <c r="E675" s="360"/>
      <c r="F675" s="360"/>
      <c r="G675" s="360"/>
      <c r="H675" s="360"/>
      <c r="I675" s="360"/>
      <c r="J675" s="360"/>
      <c r="K675" s="361"/>
      <c r="L675" s="360"/>
      <c r="M675" s="361"/>
      <c r="N675" s="360"/>
      <c r="O675" s="360"/>
      <c r="P675" s="360"/>
      <c r="Q675" s="360"/>
      <c r="R675" s="360"/>
      <c r="S675" s="360"/>
      <c r="T675" s="360"/>
      <c r="U675" s="360"/>
      <c r="V675" s="360"/>
      <c r="W675" s="360"/>
      <c r="X675" s="360"/>
      <c r="Y675" s="360"/>
      <c r="Z675" s="360"/>
      <c r="AA675" s="360"/>
      <c r="AB675" s="362"/>
      <c r="AC675" s="360"/>
      <c r="AD675" s="360"/>
      <c r="AE675" s="360"/>
    </row>
    <row r="676">
      <c r="A676" s="360"/>
      <c r="B676" s="360"/>
      <c r="C676" s="360"/>
      <c r="D676" s="360"/>
      <c r="E676" s="360"/>
      <c r="F676" s="360"/>
      <c r="G676" s="360"/>
      <c r="H676" s="360"/>
      <c r="I676" s="360"/>
      <c r="J676" s="360"/>
      <c r="K676" s="361"/>
      <c r="L676" s="360"/>
      <c r="M676" s="361"/>
      <c r="N676" s="360"/>
      <c r="O676" s="360"/>
      <c r="P676" s="360"/>
      <c r="Q676" s="360"/>
      <c r="R676" s="360"/>
      <c r="S676" s="360"/>
      <c r="T676" s="360"/>
      <c r="U676" s="360"/>
      <c r="V676" s="360"/>
      <c r="W676" s="360"/>
      <c r="X676" s="360"/>
      <c r="Y676" s="360"/>
      <c r="Z676" s="360"/>
      <c r="AA676" s="360"/>
      <c r="AB676" s="362"/>
      <c r="AC676" s="360"/>
      <c r="AD676" s="360"/>
      <c r="AE676" s="360"/>
    </row>
    <row r="677">
      <c r="A677" s="360"/>
      <c r="B677" s="360"/>
      <c r="C677" s="360"/>
      <c r="D677" s="360"/>
      <c r="E677" s="360"/>
      <c r="F677" s="360"/>
      <c r="G677" s="360"/>
      <c r="H677" s="360"/>
      <c r="I677" s="360"/>
      <c r="J677" s="360"/>
      <c r="K677" s="361"/>
      <c r="L677" s="360"/>
      <c r="M677" s="361"/>
      <c r="N677" s="360"/>
      <c r="O677" s="360"/>
      <c r="P677" s="360"/>
      <c r="Q677" s="360"/>
      <c r="R677" s="360"/>
      <c r="S677" s="360"/>
      <c r="T677" s="360"/>
      <c r="U677" s="360"/>
      <c r="V677" s="360"/>
      <c r="W677" s="360"/>
      <c r="X677" s="360"/>
      <c r="Y677" s="360"/>
      <c r="Z677" s="360"/>
      <c r="AA677" s="360"/>
      <c r="AB677" s="362"/>
      <c r="AC677" s="360"/>
      <c r="AD677" s="360"/>
      <c r="AE677" s="360"/>
    </row>
    <row r="678">
      <c r="A678" s="360"/>
      <c r="B678" s="360"/>
      <c r="C678" s="360"/>
      <c r="D678" s="360"/>
      <c r="E678" s="360"/>
      <c r="F678" s="360"/>
      <c r="G678" s="360"/>
      <c r="H678" s="360"/>
      <c r="I678" s="360"/>
      <c r="J678" s="360"/>
      <c r="K678" s="361"/>
      <c r="L678" s="360"/>
      <c r="M678" s="361"/>
      <c r="N678" s="360"/>
      <c r="O678" s="360"/>
      <c r="P678" s="360"/>
      <c r="Q678" s="360"/>
      <c r="R678" s="360"/>
      <c r="S678" s="360"/>
      <c r="T678" s="360"/>
      <c r="U678" s="360"/>
      <c r="V678" s="360"/>
      <c r="W678" s="360"/>
      <c r="X678" s="360"/>
      <c r="Y678" s="360"/>
      <c r="Z678" s="360"/>
      <c r="AA678" s="360"/>
      <c r="AB678" s="362"/>
      <c r="AC678" s="360"/>
      <c r="AD678" s="360"/>
      <c r="AE678" s="360"/>
    </row>
    <row r="679">
      <c r="A679" s="360"/>
      <c r="B679" s="360"/>
      <c r="C679" s="360"/>
      <c r="D679" s="360"/>
      <c r="E679" s="360"/>
      <c r="F679" s="360"/>
      <c r="G679" s="360"/>
      <c r="H679" s="360"/>
      <c r="I679" s="360"/>
      <c r="J679" s="360"/>
      <c r="K679" s="361"/>
      <c r="L679" s="360"/>
      <c r="M679" s="361"/>
      <c r="N679" s="360"/>
      <c r="O679" s="360"/>
      <c r="P679" s="360"/>
      <c r="Q679" s="360"/>
      <c r="R679" s="360"/>
      <c r="S679" s="360"/>
      <c r="T679" s="360"/>
      <c r="U679" s="360"/>
      <c r="V679" s="360"/>
      <c r="W679" s="360"/>
      <c r="X679" s="360"/>
      <c r="Y679" s="360"/>
      <c r="Z679" s="360"/>
      <c r="AA679" s="360"/>
      <c r="AB679" s="362"/>
      <c r="AC679" s="360"/>
      <c r="AD679" s="360"/>
      <c r="AE679" s="360"/>
    </row>
    <row r="680">
      <c r="A680" s="360"/>
      <c r="B680" s="360"/>
      <c r="C680" s="360"/>
      <c r="D680" s="360"/>
      <c r="E680" s="360"/>
      <c r="F680" s="360"/>
      <c r="G680" s="360"/>
      <c r="H680" s="360"/>
      <c r="I680" s="360"/>
      <c r="J680" s="360"/>
      <c r="K680" s="361"/>
      <c r="L680" s="360"/>
      <c r="M680" s="361"/>
      <c r="N680" s="360"/>
      <c r="O680" s="360"/>
      <c r="P680" s="360"/>
      <c r="Q680" s="360"/>
      <c r="R680" s="360"/>
      <c r="S680" s="360"/>
      <c r="T680" s="360"/>
      <c r="U680" s="360"/>
      <c r="V680" s="360"/>
      <c r="W680" s="360"/>
      <c r="X680" s="360"/>
      <c r="Y680" s="360"/>
      <c r="Z680" s="360"/>
      <c r="AA680" s="360"/>
      <c r="AB680" s="362"/>
      <c r="AC680" s="360"/>
      <c r="AD680" s="360"/>
      <c r="AE680" s="360"/>
    </row>
    <row r="681">
      <c r="A681" s="360"/>
      <c r="B681" s="360"/>
      <c r="C681" s="360"/>
      <c r="D681" s="360"/>
      <c r="E681" s="360"/>
      <c r="F681" s="360"/>
      <c r="G681" s="360"/>
      <c r="H681" s="360"/>
      <c r="I681" s="360"/>
      <c r="J681" s="360"/>
      <c r="K681" s="361"/>
      <c r="L681" s="360"/>
      <c r="M681" s="361"/>
      <c r="N681" s="360"/>
      <c r="O681" s="360"/>
      <c r="P681" s="360"/>
      <c r="Q681" s="360"/>
      <c r="R681" s="360"/>
      <c r="S681" s="360"/>
      <c r="T681" s="360"/>
      <c r="U681" s="360"/>
      <c r="V681" s="360"/>
      <c r="W681" s="360"/>
      <c r="X681" s="360"/>
      <c r="Y681" s="360"/>
      <c r="Z681" s="360"/>
      <c r="AA681" s="360"/>
      <c r="AB681" s="362"/>
      <c r="AC681" s="360"/>
      <c r="AD681" s="360"/>
      <c r="AE681" s="360"/>
    </row>
    <row r="682">
      <c r="A682" s="360"/>
      <c r="B682" s="360"/>
      <c r="C682" s="360"/>
      <c r="D682" s="360"/>
      <c r="E682" s="360"/>
      <c r="F682" s="360"/>
      <c r="G682" s="360"/>
      <c r="H682" s="360"/>
      <c r="I682" s="360"/>
      <c r="J682" s="360"/>
      <c r="K682" s="361"/>
      <c r="L682" s="360"/>
      <c r="M682" s="361"/>
      <c r="N682" s="360"/>
      <c r="O682" s="360"/>
      <c r="P682" s="360"/>
      <c r="Q682" s="360"/>
      <c r="R682" s="360"/>
      <c r="S682" s="360"/>
      <c r="T682" s="360"/>
      <c r="U682" s="360"/>
      <c r="V682" s="360"/>
      <c r="W682" s="360"/>
      <c r="X682" s="360"/>
      <c r="Y682" s="360"/>
      <c r="Z682" s="360"/>
      <c r="AA682" s="360"/>
      <c r="AB682" s="362"/>
      <c r="AC682" s="360"/>
      <c r="AD682" s="360"/>
      <c r="AE682" s="360"/>
    </row>
    <row r="683">
      <c r="A683" s="360"/>
      <c r="B683" s="360"/>
      <c r="C683" s="360"/>
      <c r="D683" s="360"/>
      <c r="E683" s="360"/>
      <c r="F683" s="360"/>
      <c r="G683" s="360"/>
      <c r="H683" s="360"/>
      <c r="I683" s="360"/>
      <c r="J683" s="360"/>
      <c r="K683" s="361"/>
      <c r="L683" s="360"/>
      <c r="M683" s="361"/>
      <c r="N683" s="360"/>
      <c r="O683" s="360"/>
      <c r="P683" s="360"/>
      <c r="Q683" s="360"/>
      <c r="R683" s="360"/>
      <c r="S683" s="360"/>
      <c r="T683" s="360"/>
      <c r="U683" s="360"/>
      <c r="V683" s="360"/>
      <c r="W683" s="360"/>
      <c r="X683" s="360"/>
      <c r="Y683" s="360"/>
      <c r="Z683" s="360"/>
      <c r="AA683" s="360"/>
      <c r="AB683" s="362"/>
      <c r="AC683" s="360"/>
      <c r="AD683" s="360"/>
      <c r="AE683" s="360"/>
    </row>
    <row r="684">
      <c r="A684" s="360"/>
      <c r="B684" s="360"/>
      <c r="C684" s="360"/>
      <c r="D684" s="360"/>
      <c r="E684" s="360"/>
      <c r="F684" s="360"/>
      <c r="G684" s="360"/>
      <c r="H684" s="360"/>
      <c r="I684" s="360"/>
      <c r="J684" s="360"/>
      <c r="K684" s="361"/>
      <c r="L684" s="360"/>
      <c r="M684" s="361"/>
      <c r="N684" s="360"/>
      <c r="O684" s="360"/>
      <c r="P684" s="360"/>
      <c r="Q684" s="360"/>
      <c r="R684" s="360"/>
      <c r="S684" s="360"/>
      <c r="T684" s="360"/>
      <c r="U684" s="360"/>
      <c r="V684" s="360"/>
      <c r="W684" s="360"/>
      <c r="X684" s="360"/>
      <c r="Y684" s="360"/>
      <c r="Z684" s="360"/>
      <c r="AA684" s="360"/>
      <c r="AB684" s="362"/>
      <c r="AC684" s="360"/>
      <c r="AD684" s="360"/>
      <c r="AE684" s="360"/>
    </row>
    <row r="685">
      <c r="A685" s="360"/>
      <c r="B685" s="360"/>
      <c r="C685" s="360"/>
      <c r="D685" s="360"/>
      <c r="E685" s="360"/>
      <c r="F685" s="360"/>
      <c r="G685" s="360"/>
      <c r="H685" s="360"/>
      <c r="I685" s="360"/>
      <c r="J685" s="360"/>
      <c r="K685" s="361"/>
      <c r="L685" s="360"/>
      <c r="M685" s="361"/>
      <c r="N685" s="360"/>
      <c r="O685" s="360"/>
      <c r="P685" s="360"/>
      <c r="Q685" s="360"/>
      <c r="R685" s="360"/>
      <c r="S685" s="360"/>
      <c r="T685" s="360"/>
      <c r="U685" s="360"/>
      <c r="V685" s="360"/>
      <c r="W685" s="360"/>
      <c r="X685" s="360"/>
      <c r="Y685" s="360"/>
      <c r="Z685" s="360"/>
      <c r="AA685" s="360"/>
      <c r="AB685" s="362"/>
      <c r="AC685" s="360"/>
      <c r="AD685" s="360"/>
      <c r="AE685" s="360"/>
    </row>
    <row r="686">
      <c r="A686" s="360"/>
      <c r="B686" s="360"/>
      <c r="C686" s="360"/>
      <c r="D686" s="360"/>
      <c r="E686" s="360"/>
      <c r="F686" s="360"/>
      <c r="G686" s="360"/>
      <c r="H686" s="360"/>
      <c r="I686" s="360"/>
      <c r="J686" s="360"/>
      <c r="K686" s="361"/>
      <c r="L686" s="360"/>
      <c r="M686" s="361"/>
      <c r="N686" s="360"/>
      <c r="O686" s="360"/>
      <c r="P686" s="360"/>
      <c r="Q686" s="360"/>
      <c r="R686" s="360"/>
      <c r="S686" s="360"/>
      <c r="T686" s="360"/>
      <c r="U686" s="360"/>
      <c r="V686" s="360"/>
      <c r="W686" s="360"/>
      <c r="X686" s="360"/>
      <c r="Y686" s="360"/>
      <c r="Z686" s="360"/>
      <c r="AA686" s="360"/>
      <c r="AB686" s="362"/>
      <c r="AC686" s="360"/>
      <c r="AD686" s="360"/>
      <c r="AE686" s="360"/>
    </row>
    <row r="687">
      <c r="A687" s="360"/>
      <c r="B687" s="360"/>
      <c r="C687" s="360"/>
      <c r="D687" s="360"/>
      <c r="E687" s="360"/>
      <c r="F687" s="360"/>
      <c r="G687" s="360"/>
      <c r="H687" s="360"/>
      <c r="I687" s="360"/>
      <c r="J687" s="360"/>
      <c r="K687" s="361"/>
      <c r="L687" s="360"/>
      <c r="M687" s="361"/>
      <c r="N687" s="360"/>
      <c r="O687" s="360"/>
      <c r="P687" s="360"/>
      <c r="Q687" s="360"/>
      <c r="R687" s="360"/>
      <c r="S687" s="360"/>
      <c r="T687" s="360"/>
      <c r="U687" s="360"/>
      <c r="V687" s="360"/>
      <c r="W687" s="360"/>
      <c r="X687" s="360"/>
      <c r="Y687" s="360"/>
      <c r="Z687" s="360"/>
      <c r="AA687" s="360"/>
      <c r="AB687" s="362"/>
      <c r="AC687" s="360"/>
      <c r="AD687" s="360"/>
      <c r="AE687" s="360"/>
    </row>
    <row r="688">
      <c r="A688" s="360"/>
      <c r="B688" s="360"/>
      <c r="C688" s="360"/>
      <c r="D688" s="360"/>
      <c r="E688" s="360"/>
      <c r="F688" s="360"/>
      <c r="G688" s="360"/>
      <c r="H688" s="360"/>
      <c r="I688" s="360"/>
      <c r="J688" s="360"/>
      <c r="K688" s="361"/>
      <c r="L688" s="360"/>
      <c r="M688" s="361"/>
      <c r="N688" s="360"/>
      <c r="O688" s="360"/>
      <c r="P688" s="360"/>
      <c r="Q688" s="360"/>
      <c r="R688" s="360"/>
      <c r="S688" s="360"/>
      <c r="T688" s="360"/>
      <c r="U688" s="360"/>
      <c r="V688" s="360"/>
      <c r="W688" s="360"/>
      <c r="X688" s="360"/>
      <c r="Y688" s="360"/>
      <c r="Z688" s="360"/>
      <c r="AA688" s="360"/>
      <c r="AB688" s="362"/>
      <c r="AC688" s="360"/>
      <c r="AD688" s="360"/>
      <c r="AE688" s="360"/>
    </row>
    <row r="689">
      <c r="A689" s="360"/>
      <c r="B689" s="360"/>
      <c r="C689" s="360"/>
      <c r="D689" s="360"/>
      <c r="E689" s="360"/>
      <c r="F689" s="360"/>
      <c r="G689" s="360"/>
      <c r="H689" s="360"/>
      <c r="I689" s="360"/>
      <c r="J689" s="360"/>
      <c r="K689" s="361"/>
      <c r="L689" s="360"/>
      <c r="M689" s="361"/>
      <c r="N689" s="360"/>
      <c r="O689" s="360"/>
      <c r="P689" s="360"/>
      <c r="Q689" s="360"/>
      <c r="R689" s="360"/>
      <c r="S689" s="360"/>
      <c r="T689" s="360"/>
      <c r="U689" s="360"/>
      <c r="V689" s="360"/>
      <c r="W689" s="360"/>
      <c r="X689" s="360"/>
      <c r="Y689" s="360"/>
      <c r="Z689" s="360"/>
      <c r="AA689" s="360"/>
      <c r="AB689" s="362"/>
      <c r="AC689" s="360"/>
      <c r="AD689" s="360"/>
      <c r="AE689" s="360"/>
    </row>
    <row r="690">
      <c r="A690" s="360"/>
      <c r="B690" s="360"/>
      <c r="C690" s="360"/>
      <c r="D690" s="360"/>
      <c r="E690" s="360"/>
      <c r="F690" s="360"/>
      <c r="G690" s="360"/>
      <c r="H690" s="360"/>
      <c r="I690" s="360"/>
      <c r="J690" s="360"/>
      <c r="K690" s="361"/>
      <c r="L690" s="360"/>
      <c r="M690" s="361"/>
      <c r="N690" s="360"/>
      <c r="O690" s="360"/>
      <c r="P690" s="360"/>
      <c r="Q690" s="360"/>
      <c r="R690" s="360"/>
      <c r="S690" s="360"/>
      <c r="T690" s="360"/>
      <c r="U690" s="360"/>
      <c r="V690" s="360"/>
      <c r="W690" s="360"/>
      <c r="X690" s="360"/>
      <c r="Y690" s="360"/>
      <c r="Z690" s="360"/>
      <c r="AA690" s="360"/>
      <c r="AB690" s="362"/>
      <c r="AC690" s="360"/>
      <c r="AD690" s="360"/>
      <c r="AE690" s="360"/>
    </row>
    <row r="691">
      <c r="A691" s="360"/>
      <c r="B691" s="360"/>
      <c r="C691" s="360"/>
      <c r="D691" s="360"/>
      <c r="E691" s="360"/>
      <c r="F691" s="360"/>
      <c r="G691" s="360"/>
      <c r="H691" s="360"/>
      <c r="I691" s="360"/>
      <c r="J691" s="360"/>
      <c r="K691" s="361"/>
      <c r="L691" s="360"/>
      <c r="M691" s="361"/>
      <c r="N691" s="360"/>
      <c r="O691" s="360"/>
      <c r="P691" s="360"/>
      <c r="Q691" s="360"/>
      <c r="R691" s="360"/>
      <c r="S691" s="360"/>
      <c r="T691" s="360"/>
      <c r="U691" s="360"/>
      <c r="V691" s="360"/>
      <c r="W691" s="360"/>
      <c r="X691" s="360"/>
      <c r="Y691" s="360"/>
      <c r="Z691" s="360"/>
      <c r="AA691" s="360"/>
      <c r="AB691" s="362"/>
      <c r="AC691" s="360"/>
      <c r="AD691" s="360"/>
      <c r="AE691" s="360"/>
    </row>
    <row r="692">
      <c r="A692" s="360"/>
      <c r="B692" s="360"/>
      <c r="C692" s="360"/>
      <c r="D692" s="360"/>
      <c r="E692" s="360"/>
      <c r="F692" s="360"/>
      <c r="G692" s="360"/>
      <c r="H692" s="360"/>
      <c r="I692" s="360"/>
      <c r="J692" s="360"/>
      <c r="K692" s="361"/>
      <c r="L692" s="360"/>
      <c r="M692" s="361"/>
      <c r="N692" s="360"/>
      <c r="O692" s="360"/>
      <c r="P692" s="360"/>
      <c r="Q692" s="360"/>
      <c r="R692" s="360"/>
      <c r="S692" s="360"/>
      <c r="T692" s="360"/>
      <c r="U692" s="360"/>
      <c r="V692" s="360"/>
      <c r="W692" s="360"/>
      <c r="X692" s="360"/>
      <c r="Y692" s="360"/>
      <c r="Z692" s="360"/>
      <c r="AA692" s="360"/>
      <c r="AB692" s="362"/>
      <c r="AC692" s="360"/>
      <c r="AD692" s="360"/>
      <c r="AE692" s="360"/>
    </row>
    <row r="693">
      <c r="A693" s="360"/>
      <c r="B693" s="360"/>
      <c r="C693" s="360"/>
      <c r="D693" s="360"/>
      <c r="E693" s="360"/>
      <c r="F693" s="360"/>
      <c r="G693" s="360"/>
      <c r="H693" s="360"/>
      <c r="I693" s="360"/>
      <c r="J693" s="360"/>
      <c r="K693" s="361"/>
      <c r="L693" s="360"/>
      <c r="M693" s="361"/>
      <c r="N693" s="360"/>
      <c r="O693" s="360"/>
      <c r="P693" s="360"/>
      <c r="Q693" s="360"/>
      <c r="R693" s="360"/>
      <c r="S693" s="360"/>
      <c r="T693" s="360"/>
      <c r="U693" s="360"/>
      <c r="V693" s="360"/>
      <c r="W693" s="360"/>
      <c r="X693" s="360"/>
      <c r="Y693" s="360"/>
      <c r="Z693" s="360"/>
      <c r="AA693" s="360"/>
      <c r="AB693" s="362"/>
      <c r="AC693" s="360"/>
      <c r="AD693" s="360"/>
      <c r="AE693" s="360"/>
    </row>
    <row r="694">
      <c r="A694" s="360"/>
      <c r="B694" s="360"/>
      <c r="C694" s="360"/>
      <c r="D694" s="360"/>
      <c r="E694" s="360"/>
      <c r="F694" s="360"/>
      <c r="G694" s="360"/>
      <c r="H694" s="360"/>
      <c r="I694" s="360"/>
      <c r="J694" s="360"/>
      <c r="K694" s="361"/>
      <c r="L694" s="360"/>
      <c r="M694" s="361"/>
      <c r="N694" s="360"/>
      <c r="O694" s="360"/>
      <c r="P694" s="360"/>
      <c r="Q694" s="360"/>
      <c r="R694" s="360"/>
      <c r="S694" s="360"/>
      <c r="T694" s="360"/>
      <c r="U694" s="360"/>
      <c r="V694" s="360"/>
      <c r="W694" s="360"/>
      <c r="X694" s="360"/>
      <c r="Y694" s="360"/>
      <c r="Z694" s="360"/>
      <c r="AA694" s="360"/>
      <c r="AB694" s="362"/>
      <c r="AC694" s="360"/>
      <c r="AD694" s="360"/>
      <c r="AE694" s="360"/>
    </row>
    <row r="695">
      <c r="A695" s="360"/>
      <c r="B695" s="360"/>
      <c r="C695" s="360"/>
      <c r="D695" s="360"/>
      <c r="E695" s="360"/>
      <c r="F695" s="360"/>
      <c r="G695" s="360"/>
      <c r="H695" s="360"/>
      <c r="I695" s="360"/>
      <c r="J695" s="360"/>
      <c r="K695" s="361"/>
      <c r="L695" s="360"/>
      <c r="M695" s="361"/>
      <c r="N695" s="360"/>
      <c r="O695" s="360"/>
      <c r="P695" s="360"/>
      <c r="Q695" s="360"/>
      <c r="R695" s="360"/>
      <c r="S695" s="360"/>
      <c r="T695" s="360"/>
      <c r="U695" s="360"/>
      <c r="V695" s="360"/>
      <c r="W695" s="360"/>
      <c r="X695" s="360"/>
      <c r="Y695" s="360"/>
      <c r="Z695" s="360"/>
      <c r="AA695" s="360"/>
      <c r="AB695" s="362"/>
      <c r="AC695" s="360"/>
      <c r="AD695" s="360"/>
      <c r="AE695" s="360"/>
    </row>
    <row r="696">
      <c r="A696" s="360"/>
      <c r="B696" s="360"/>
      <c r="C696" s="360"/>
      <c r="D696" s="360"/>
      <c r="E696" s="360"/>
      <c r="F696" s="360"/>
      <c r="G696" s="360"/>
      <c r="H696" s="360"/>
      <c r="I696" s="360"/>
      <c r="J696" s="360"/>
      <c r="K696" s="361"/>
      <c r="L696" s="360"/>
      <c r="M696" s="361"/>
      <c r="N696" s="360"/>
      <c r="O696" s="360"/>
      <c r="P696" s="360"/>
      <c r="Q696" s="360"/>
      <c r="R696" s="360"/>
      <c r="S696" s="360"/>
      <c r="T696" s="360"/>
      <c r="U696" s="360"/>
      <c r="V696" s="360"/>
      <c r="W696" s="360"/>
      <c r="X696" s="360"/>
      <c r="Y696" s="360"/>
      <c r="Z696" s="360"/>
      <c r="AA696" s="360"/>
      <c r="AB696" s="362"/>
      <c r="AC696" s="360"/>
      <c r="AD696" s="360"/>
      <c r="AE696" s="360"/>
    </row>
    <row r="697">
      <c r="A697" s="360"/>
      <c r="B697" s="360"/>
      <c r="C697" s="360"/>
      <c r="D697" s="360"/>
      <c r="E697" s="360"/>
      <c r="F697" s="360"/>
      <c r="G697" s="360"/>
      <c r="H697" s="360"/>
      <c r="I697" s="360"/>
      <c r="J697" s="360"/>
      <c r="K697" s="361"/>
      <c r="L697" s="360"/>
      <c r="M697" s="361"/>
      <c r="N697" s="360"/>
      <c r="O697" s="360"/>
      <c r="P697" s="360"/>
      <c r="Q697" s="360"/>
      <c r="R697" s="360"/>
      <c r="S697" s="360"/>
      <c r="T697" s="360"/>
      <c r="U697" s="360"/>
      <c r="V697" s="360"/>
      <c r="W697" s="360"/>
      <c r="X697" s="360"/>
      <c r="Y697" s="360"/>
      <c r="Z697" s="360"/>
      <c r="AA697" s="360"/>
      <c r="AB697" s="362"/>
      <c r="AC697" s="360"/>
      <c r="AD697" s="360"/>
      <c r="AE697" s="360"/>
    </row>
    <row r="698">
      <c r="A698" s="360"/>
      <c r="B698" s="360"/>
      <c r="C698" s="360"/>
      <c r="D698" s="360"/>
      <c r="E698" s="360"/>
      <c r="F698" s="360"/>
      <c r="G698" s="360"/>
      <c r="H698" s="360"/>
      <c r="I698" s="360"/>
      <c r="J698" s="360"/>
      <c r="K698" s="361"/>
      <c r="L698" s="360"/>
      <c r="M698" s="361"/>
      <c r="N698" s="360"/>
      <c r="O698" s="360"/>
      <c r="P698" s="360"/>
      <c r="Q698" s="360"/>
      <c r="R698" s="360"/>
      <c r="S698" s="360"/>
      <c r="T698" s="360"/>
      <c r="U698" s="360"/>
      <c r="V698" s="360"/>
      <c r="W698" s="360"/>
      <c r="X698" s="360"/>
      <c r="Y698" s="360"/>
      <c r="Z698" s="360"/>
      <c r="AA698" s="360"/>
      <c r="AB698" s="362"/>
      <c r="AC698" s="360"/>
      <c r="AD698" s="360"/>
      <c r="AE698" s="360"/>
    </row>
    <row r="699">
      <c r="A699" s="360"/>
      <c r="B699" s="360"/>
      <c r="C699" s="360"/>
      <c r="D699" s="360"/>
      <c r="E699" s="360"/>
      <c r="F699" s="360"/>
      <c r="G699" s="360"/>
      <c r="H699" s="360"/>
      <c r="I699" s="360"/>
      <c r="J699" s="360"/>
      <c r="K699" s="361"/>
      <c r="L699" s="360"/>
      <c r="M699" s="361"/>
      <c r="N699" s="360"/>
      <c r="O699" s="360"/>
      <c r="P699" s="360"/>
      <c r="Q699" s="360"/>
      <c r="R699" s="360"/>
      <c r="S699" s="360"/>
      <c r="T699" s="360"/>
      <c r="U699" s="360"/>
      <c r="V699" s="360"/>
      <c r="W699" s="360"/>
      <c r="X699" s="360"/>
      <c r="Y699" s="360"/>
      <c r="Z699" s="360"/>
      <c r="AA699" s="360"/>
      <c r="AB699" s="362"/>
      <c r="AC699" s="360"/>
      <c r="AD699" s="360"/>
      <c r="AE699" s="360"/>
    </row>
    <row r="700">
      <c r="A700" s="360"/>
      <c r="B700" s="360"/>
      <c r="C700" s="360"/>
      <c r="D700" s="360"/>
      <c r="E700" s="360"/>
      <c r="F700" s="360"/>
      <c r="G700" s="360"/>
      <c r="H700" s="360"/>
      <c r="I700" s="360"/>
      <c r="J700" s="360"/>
      <c r="K700" s="361"/>
      <c r="L700" s="360"/>
      <c r="M700" s="361"/>
      <c r="N700" s="360"/>
      <c r="O700" s="360"/>
      <c r="P700" s="360"/>
      <c r="Q700" s="360"/>
      <c r="R700" s="360"/>
      <c r="S700" s="360"/>
      <c r="T700" s="360"/>
      <c r="U700" s="360"/>
      <c r="V700" s="360"/>
      <c r="W700" s="360"/>
      <c r="X700" s="360"/>
      <c r="Y700" s="360"/>
      <c r="Z700" s="360"/>
      <c r="AA700" s="360"/>
      <c r="AB700" s="362"/>
      <c r="AC700" s="360"/>
      <c r="AD700" s="360"/>
      <c r="AE700" s="360"/>
    </row>
    <row r="701">
      <c r="A701" s="360"/>
      <c r="B701" s="360"/>
      <c r="C701" s="360"/>
      <c r="D701" s="360"/>
      <c r="E701" s="360"/>
      <c r="F701" s="360"/>
      <c r="G701" s="360"/>
      <c r="H701" s="360"/>
      <c r="I701" s="360"/>
      <c r="J701" s="360"/>
      <c r="K701" s="361"/>
      <c r="L701" s="360"/>
      <c r="M701" s="361"/>
      <c r="N701" s="360"/>
      <c r="O701" s="360"/>
      <c r="P701" s="360"/>
      <c r="Q701" s="360"/>
      <c r="R701" s="360"/>
      <c r="S701" s="360"/>
      <c r="T701" s="360"/>
      <c r="U701" s="360"/>
      <c r="V701" s="360"/>
      <c r="W701" s="360"/>
      <c r="X701" s="360"/>
      <c r="Y701" s="360"/>
      <c r="Z701" s="360"/>
      <c r="AA701" s="360"/>
      <c r="AB701" s="362"/>
      <c r="AC701" s="360"/>
      <c r="AD701" s="360"/>
      <c r="AE701" s="360"/>
    </row>
    <row r="702">
      <c r="A702" s="360"/>
      <c r="B702" s="360"/>
      <c r="C702" s="360"/>
      <c r="D702" s="360"/>
      <c r="E702" s="360"/>
      <c r="F702" s="360"/>
      <c r="G702" s="360"/>
      <c r="H702" s="360"/>
      <c r="I702" s="360"/>
      <c r="J702" s="360"/>
      <c r="K702" s="361"/>
      <c r="L702" s="360"/>
      <c r="M702" s="361"/>
      <c r="N702" s="360"/>
      <c r="O702" s="360"/>
      <c r="P702" s="360"/>
      <c r="Q702" s="360"/>
      <c r="R702" s="360"/>
      <c r="S702" s="360"/>
      <c r="T702" s="360"/>
      <c r="U702" s="360"/>
      <c r="V702" s="360"/>
      <c r="W702" s="360"/>
      <c r="X702" s="360"/>
      <c r="Y702" s="360"/>
      <c r="Z702" s="360"/>
      <c r="AA702" s="360"/>
      <c r="AB702" s="362"/>
      <c r="AC702" s="360"/>
      <c r="AD702" s="360"/>
      <c r="AE702" s="360"/>
    </row>
    <row r="703">
      <c r="A703" s="360"/>
      <c r="B703" s="360"/>
      <c r="C703" s="360"/>
      <c r="D703" s="360"/>
      <c r="E703" s="360"/>
      <c r="F703" s="360"/>
      <c r="G703" s="360"/>
      <c r="H703" s="360"/>
      <c r="I703" s="360"/>
      <c r="J703" s="360"/>
      <c r="K703" s="361"/>
      <c r="L703" s="360"/>
      <c r="M703" s="361"/>
      <c r="N703" s="360"/>
      <c r="O703" s="360"/>
      <c r="P703" s="360"/>
      <c r="Q703" s="360"/>
      <c r="R703" s="360"/>
      <c r="S703" s="360"/>
      <c r="T703" s="360"/>
      <c r="U703" s="360"/>
      <c r="V703" s="360"/>
      <c r="W703" s="360"/>
      <c r="X703" s="360"/>
      <c r="Y703" s="360"/>
      <c r="Z703" s="360"/>
      <c r="AA703" s="360"/>
      <c r="AB703" s="362"/>
      <c r="AC703" s="360"/>
      <c r="AD703" s="360"/>
      <c r="AE703" s="360"/>
    </row>
    <row r="704">
      <c r="A704" s="360"/>
      <c r="B704" s="360"/>
      <c r="C704" s="360"/>
      <c r="D704" s="360"/>
      <c r="E704" s="360"/>
      <c r="F704" s="360"/>
      <c r="G704" s="360"/>
      <c r="H704" s="360"/>
      <c r="I704" s="360"/>
      <c r="J704" s="360"/>
      <c r="K704" s="361"/>
      <c r="L704" s="360"/>
      <c r="M704" s="361"/>
      <c r="N704" s="360"/>
      <c r="O704" s="360"/>
      <c r="P704" s="360"/>
      <c r="Q704" s="360"/>
      <c r="R704" s="360"/>
      <c r="S704" s="360"/>
      <c r="T704" s="360"/>
      <c r="U704" s="360"/>
      <c r="V704" s="360"/>
      <c r="W704" s="360"/>
      <c r="X704" s="360"/>
      <c r="Y704" s="360"/>
      <c r="Z704" s="360"/>
      <c r="AA704" s="360"/>
      <c r="AB704" s="362"/>
      <c r="AC704" s="360"/>
      <c r="AD704" s="360"/>
      <c r="AE704" s="360"/>
    </row>
    <row r="705">
      <c r="A705" s="360"/>
      <c r="B705" s="360"/>
      <c r="C705" s="360"/>
      <c r="D705" s="360"/>
      <c r="E705" s="360"/>
      <c r="F705" s="360"/>
      <c r="G705" s="360"/>
      <c r="H705" s="360"/>
      <c r="I705" s="360"/>
      <c r="J705" s="360"/>
      <c r="K705" s="361"/>
      <c r="L705" s="360"/>
      <c r="M705" s="361"/>
      <c r="N705" s="360"/>
      <c r="O705" s="360"/>
      <c r="P705" s="360"/>
      <c r="Q705" s="360"/>
      <c r="R705" s="360"/>
      <c r="S705" s="360"/>
      <c r="T705" s="360"/>
      <c r="U705" s="360"/>
      <c r="V705" s="360"/>
      <c r="W705" s="360"/>
      <c r="X705" s="360"/>
      <c r="Y705" s="360"/>
      <c r="Z705" s="360"/>
      <c r="AA705" s="360"/>
      <c r="AB705" s="362"/>
      <c r="AC705" s="360"/>
      <c r="AD705" s="360"/>
      <c r="AE705" s="360"/>
    </row>
    <row r="706">
      <c r="A706" s="360"/>
      <c r="B706" s="360"/>
      <c r="C706" s="360"/>
      <c r="D706" s="360"/>
      <c r="E706" s="360"/>
      <c r="F706" s="360"/>
      <c r="G706" s="360"/>
      <c r="H706" s="360"/>
      <c r="I706" s="360"/>
      <c r="J706" s="360"/>
      <c r="K706" s="361"/>
      <c r="L706" s="360"/>
      <c r="M706" s="361"/>
      <c r="N706" s="360"/>
      <c r="O706" s="360"/>
      <c r="P706" s="360"/>
      <c r="Q706" s="360"/>
      <c r="R706" s="360"/>
      <c r="S706" s="360"/>
      <c r="T706" s="360"/>
      <c r="U706" s="360"/>
      <c r="V706" s="360"/>
      <c r="W706" s="360"/>
      <c r="X706" s="360"/>
      <c r="Y706" s="360"/>
      <c r="Z706" s="360"/>
      <c r="AA706" s="360"/>
      <c r="AB706" s="362"/>
      <c r="AC706" s="360"/>
      <c r="AD706" s="360"/>
      <c r="AE706" s="360"/>
    </row>
    <row r="707">
      <c r="A707" s="360"/>
      <c r="B707" s="360"/>
      <c r="C707" s="360"/>
      <c r="D707" s="360"/>
      <c r="E707" s="360"/>
      <c r="F707" s="360"/>
      <c r="G707" s="360"/>
      <c r="H707" s="360"/>
      <c r="I707" s="360"/>
      <c r="J707" s="360"/>
      <c r="K707" s="361"/>
      <c r="L707" s="360"/>
      <c r="M707" s="361"/>
      <c r="N707" s="360"/>
      <c r="O707" s="360"/>
      <c r="P707" s="360"/>
      <c r="Q707" s="360"/>
      <c r="R707" s="360"/>
      <c r="S707" s="360"/>
      <c r="T707" s="360"/>
      <c r="U707" s="360"/>
      <c r="V707" s="360"/>
      <c r="W707" s="360"/>
      <c r="X707" s="360"/>
      <c r="Y707" s="360"/>
      <c r="Z707" s="360"/>
      <c r="AA707" s="360"/>
      <c r="AB707" s="362"/>
      <c r="AC707" s="360"/>
      <c r="AD707" s="360"/>
      <c r="AE707" s="360"/>
    </row>
    <row r="708">
      <c r="A708" s="360"/>
      <c r="B708" s="360"/>
      <c r="C708" s="360"/>
      <c r="D708" s="360"/>
      <c r="E708" s="360"/>
      <c r="F708" s="360"/>
      <c r="G708" s="360"/>
      <c r="H708" s="360"/>
      <c r="I708" s="360"/>
      <c r="J708" s="360"/>
      <c r="K708" s="361"/>
      <c r="L708" s="360"/>
      <c r="M708" s="361"/>
      <c r="N708" s="360"/>
      <c r="O708" s="360"/>
      <c r="P708" s="360"/>
      <c r="Q708" s="360"/>
      <c r="R708" s="360"/>
      <c r="S708" s="360"/>
      <c r="T708" s="360"/>
      <c r="U708" s="360"/>
      <c r="V708" s="360"/>
      <c r="W708" s="360"/>
      <c r="X708" s="360"/>
      <c r="Y708" s="360"/>
      <c r="Z708" s="360"/>
      <c r="AA708" s="360"/>
      <c r="AB708" s="362"/>
      <c r="AC708" s="360"/>
      <c r="AD708" s="360"/>
      <c r="AE708" s="360"/>
    </row>
    <row r="709">
      <c r="A709" s="360"/>
      <c r="B709" s="360"/>
      <c r="C709" s="360"/>
      <c r="D709" s="360"/>
      <c r="E709" s="360"/>
      <c r="F709" s="360"/>
      <c r="G709" s="360"/>
      <c r="H709" s="360"/>
      <c r="I709" s="360"/>
      <c r="J709" s="360"/>
      <c r="K709" s="361"/>
      <c r="L709" s="360"/>
      <c r="M709" s="361"/>
      <c r="N709" s="360"/>
      <c r="O709" s="360"/>
      <c r="P709" s="360"/>
      <c r="Q709" s="360"/>
      <c r="R709" s="360"/>
      <c r="S709" s="360"/>
      <c r="T709" s="360"/>
      <c r="U709" s="360"/>
      <c r="V709" s="360"/>
      <c r="W709" s="360"/>
      <c r="X709" s="360"/>
      <c r="Y709" s="360"/>
      <c r="Z709" s="360"/>
      <c r="AA709" s="360"/>
      <c r="AB709" s="362"/>
      <c r="AC709" s="360"/>
      <c r="AD709" s="360"/>
      <c r="AE709" s="360"/>
    </row>
    <row r="710">
      <c r="A710" s="360"/>
      <c r="B710" s="360"/>
      <c r="C710" s="360"/>
      <c r="D710" s="360"/>
      <c r="E710" s="360"/>
      <c r="F710" s="360"/>
      <c r="G710" s="360"/>
      <c r="H710" s="360"/>
      <c r="I710" s="360"/>
      <c r="J710" s="360"/>
      <c r="K710" s="361"/>
      <c r="L710" s="360"/>
      <c r="M710" s="361"/>
      <c r="N710" s="360"/>
      <c r="O710" s="360"/>
      <c r="P710" s="360"/>
      <c r="Q710" s="360"/>
      <c r="R710" s="360"/>
      <c r="S710" s="360"/>
      <c r="T710" s="360"/>
      <c r="U710" s="360"/>
      <c r="V710" s="360"/>
      <c r="W710" s="360"/>
      <c r="X710" s="360"/>
      <c r="Y710" s="360"/>
      <c r="Z710" s="360"/>
      <c r="AA710" s="360"/>
      <c r="AB710" s="362"/>
      <c r="AC710" s="360"/>
      <c r="AD710" s="360"/>
      <c r="AE710" s="360"/>
    </row>
    <row r="711">
      <c r="A711" s="360"/>
      <c r="B711" s="360"/>
      <c r="C711" s="360"/>
      <c r="D711" s="360"/>
      <c r="E711" s="360"/>
      <c r="F711" s="360"/>
      <c r="G711" s="360"/>
      <c r="H711" s="360"/>
      <c r="I711" s="360"/>
      <c r="J711" s="360"/>
      <c r="K711" s="361"/>
      <c r="L711" s="360"/>
      <c r="M711" s="361"/>
      <c r="N711" s="360"/>
      <c r="O711" s="360"/>
      <c r="P711" s="360"/>
      <c r="Q711" s="360"/>
      <c r="R711" s="360"/>
      <c r="S711" s="360"/>
      <c r="T711" s="360"/>
      <c r="U711" s="360"/>
      <c r="V711" s="360"/>
      <c r="W711" s="360"/>
      <c r="X711" s="360"/>
      <c r="Y711" s="360"/>
      <c r="Z711" s="360"/>
      <c r="AA711" s="360"/>
      <c r="AB711" s="362"/>
      <c r="AC711" s="360"/>
      <c r="AD711" s="360"/>
      <c r="AE711" s="360"/>
    </row>
    <row r="712">
      <c r="A712" s="360"/>
      <c r="B712" s="360"/>
      <c r="C712" s="360"/>
      <c r="D712" s="360"/>
      <c r="E712" s="360"/>
      <c r="F712" s="360"/>
      <c r="G712" s="360"/>
      <c r="H712" s="360"/>
      <c r="I712" s="360"/>
      <c r="J712" s="360"/>
      <c r="K712" s="361"/>
      <c r="L712" s="360"/>
      <c r="M712" s="361"/>
      <c r="N712" s="360"/>
      <c r="O712" s="360"/>
      <c r="P712" s="360"/>
      <c r="Q712" s="360"/>
      <c r="R712" s="360"/>
      <c r="S712" s="360"/>
      <c r="T712" s="360"/>
      <c r="U712" s="360"/>
      <c r="V712" s="360"/>
      <c r="W712" s="360"/>
      <c r="X712" s="360"/>
      <c r="Y712" s="360"/>
      <c r="Z712" s="360"/>
      <c r="AA712" s="360"/>
      <c r="AB712" s="362"/>
      <c r="AC712" s="360"/>
      <c r="AD712" s="360"/>
      <c r="AE712" s="360"/>
    </row>
    <row r="713">
      <c r="A713" s="360"/>
      <c r="B713" s="360"/>
      <c r="C713" s="360"/>
      <c r="D713" s="360"/>
      <c r="E713" s="360"/>
      <c r="F713" s="360"/>
      <c r="G713" s="360"/>
      <c r="H713" s="360"/>
      <c r="I713" s="360"/>
      <c r="J713" s="360"/>
      <c r="K713" s="361"/>
      <c r="L713" s="360"/>
      <c r="M713" s="361"/>
      <c r="N713" s="360"/>
      <c r="O713" s="360"/>
      <c r="P713" s="360"/>
      <c r="Q713" s="360"/>
      <c r="R713" s="360"/>
      <c r="S713" s="360"/>
      <c r="T713" s="360"/>
      <c r="U713" s="360"/>
      <c r="V713" s="360"/>
      <c r="W713" s="360"/>
      <c r="X713" s="360"/>
      <c r="Y713" s="360"/>
      <c r="Z713" s="360"/>
      <c r="AA713" s="360"/>
      <c r="AB713" s="362"/>
      <c r="AC713" s="360"/>
      <c r="AD713" s="360"/>
      <c r="AE713" s="360"/>
    </row>
    <row r="714">
      <c r="A714" s="360"/>
      <c r="B714" s="360"/>
      <c r="C714" s="360"/>
      <c r="D714" s="360"/>
      <c r="E714" s="360"/>
      <c r="F714" s="360"/>
      <c r="G714" s="360"/>
      <c r="H714" s="360"/>
      <c r="I714" s="360"/>
      <c r="J714" s="360"/>
      <c r="K714" s="361"/>
      <c r="L714" s="360"/>
      <c r="M714" s="361"/>
      <c r="N714" s="360"/>
      <c r="O714" s="360"/>
      <c r="P714" s="360"/>
      <c r="Q714" s="360"/>
      <c r="R714" s="360"/>
      <c r="S714" s="360"/>
      <c r="T714" s="360"/>
      <c r="U714" s="360"/>
      <c r="V714" s="360"/>
      <c r="W714" s="360"/>
      <c r="X714" s="360"/>
      <c r="Y714" s="360"/>
      <c r="Z714" s="360"/>
      <c r="AA714" s="360"/>
      <c r="AB714" s="362"/>
      <c r="AC714" s="360"/>
      <c r="AD714" s="360"/>
      <c r="AE714" s="360"/>
    </row>
    <row r="715">
      <c r="A715" s="360"/>
      <c r="B715" s="360"/>
      <c r="C715" s="360"/>
      <c r="D715" s="360"/>
      <c r="E715" s="360"/>
      <c r="F715" s="360"/>
      <c r="G715" s="360"/>
      <c r="H715" s="360"/>
      <c r="I715" s="360"/>
      <c r="J715" s="360"/>
      <c r="K715" s="361"/>
      <c r="L715" s="360"/>
      <c r="M715" s="361"/>
      <c r="N715" s="360"/>
      <c r="O715" s="360"/>
      <c r="P715" s="360"/>
      <c r="Q715" s="360"/>
      <c r="R715" s="360"/>
      <c r="S715" s="360"/>
      <c r="T715" s="360"/>
      <c r="U715" s="360"/>
      <c r="V715" s="360"/>
      <c r="W715" s="360"/>
      <c r="X715" s="360"/>
      <c r="Y715" s="360"/>
      <c r="Z715" s="360"/>
      <c r="AA715" s="360"/>
      <c r="AB715" s="362"/>
      <c r="AC715" s="360"/>
      <c r="AD715" s="360"/>
      <c r="AE715" s="360"/>
    </row>
    <row r="716">
      <c r="A716" s="360"/>
      <c r="B716" s="360"/>
      <c r="C716" s="360"/>
      <c r="D716" s="360"/>
      <c r="E716" s="360"/>
      <c r="F716" s="360"/>
      <c r="G716" s="360"/>
      <c r="H716" s="360"/>
      <c r="I716" s="360"/>
      <c r="J716" s="360"/>
      <c r="K716" s="361"/>
      <c r="L716" s="360"/>
      <c r="M716" s="361"/>
      <c r="N716" s="360"/>
      <c r="O716" s="360"/>
      <c r="P716" s="360"/>
      <c r="Q716" s="360"/>
      <c r="R716" s="360"/>
      <c r="S716" s="360"/>
      <c r="T716" s="360"/>
      <c r="U716" s="360"/>
      <c r="V716" s="360"/>
      <c r="W716" s="360"/>
      <c r="X716" s="360"/>
      <c r="Y716" s="360"/>
      <c r="Z716" s="360"/>
      <c r="AA716" s="360"/>
      <c r="AB716" s="362"/>
      <c r="AC716" s="360"/>
      <c r="AD716" s="360"/>
      <c r="AE716" s="360"/>
    </row>
    <row r="717">
      <c r="A717" s="360"/>
      <c r="B717" s="360"/>
      <c r="C717" s="360"/>
      <c r="D717" s="360"/>
      <c r="E717" s="360"/>
      <c r="F717" s="360"/>
      <c r="G717" s="360"/>
      <c r="H717" s="360"/>
      <c r="I717" s="360"/>
      <c r="J717" s="360"/>
      <c r="K717" s="361"/>
      <c r="L717" s="360"/>
      <c r="M717" s="361"/>
      <c r="N717" s="360"/>
      <c r="O717" s="360"/>
      <c r="P717" s="360"/>
      <c r="Q717" s="360"/>
      <c r="R717" s="360"/>
      <c r="S717" s="360"/>
      <c r="T717" s="360"/>
      <c r="U717" s="360"/>
      <c r="V717" s="360"/>
      <c r="W717" s="360"/>
      <c r="X717" s="360"/>
      <c r="Y717" s="360"/>
      <c r="Z717" s="360"/>
      <c r="AA717" s="360"/>
      <c r="AB717" s="362"/>
      <c r="AC717" s="360"/>
      <c r="AD717" s="360"/>
      <c r="AE717" s="360"/>
    </row>
    <row r="718">
      <c r="A718" s="360"/>
      <c r="B718" s="360"/>
      <c r="C718" s="360"/>
      <c r="D718" s="360"/>
      <c r="E718" s="360"/>
      <c r="F718" s="360"/>
      <c r="G718" s="360"/>
      <c r="H718" s="360"/>
      <c r="I718" s="360"/>
      <c r="J718" s="360"/>
      <c r="K718" s="361"/>
      <c r="L718" s="360"/>
      <c r="M718" s="361"/>
      <c r="N718" s="360"/>
      <c r="O718" s="360"/>
      <c r="P718" s="360"/>
      <c r="Q718" s="360"/>
      <c r="R718" s="360"/>
      <c r="S718" s="360"/>
      <c r="T718" s="360"/>
      <c r="U718" s="360"/>
      <c r="V718" s="360"/>
      <c r="W718" s="360"/>
      <c r="X718" s="360"/>
      <c r="Y718" s="360"/>
      <c r="Z718" s="360"/>
      <c r="AA718" s="360"/>
      <c r="AB718" s="362"/>
      <c r="AC718" s="360"/>
      <c r="AD718" s="360"/>
      <c r="AE718" s="360"/>
    </row>
    <row r="719">
      <c r="A719" s="360"/>
      <c r="B719" s="360"/>
      <c r="C719" s="360"/>
      <c r="D719" s="360"/>
      <c r="E719" s="360"/>
      <c r="F719" s="360"/>
      <c r="G719" s="360"/>
      <c r="H719" s="360"/>
      <c r="I719" s="360"/>
      <c r="J719" s="360"/>
      <c r="K719" s="361"/>
      <c r="L719" s="360"/>
      <c r="M719" s="361"/>
      <c r="N719" s="360"/>
      <c r="O719" s="360"/>
      <c r="P719" s="360"/>
      <c r="Q719" s="360"/>
      <c r="R719" s="360"/>
      <c r="S719" s="360"/>
      <c r="T719" s="360"/>
      <c r="U719" s="360"/>
      <c r="V719" s="360"/>
      <c r="W719" s="360"/>
      <c r="X719" s="360"/>
      <c r="Y719" s="360"/>
      <c r="Z719" s="360"/>
      <c r="AA719" s="360"/>
      <c r="AB719" s="362"/>
      <c r="AC719" s="360"/>
      <c r="AD719" s="360"/>
      <c r="AE719" s="360"/>
    </row>
    <row r="720">
      <c r="A720" s="360"/>
      <c r="B720" s="360"/>
      <c r="C720" s="360"/>
      <c r="D720" s="360"/>
      <c r="E720" s="360"/>
      <c r="F720" s="360"/>
      <c r="G720" s="360"/>
      <c r="H720" s="360"/>
      <c r="I720" s="360"/>
      <c r="J720" s="360"/>
      <c r="K720" s="361"/>
      <c r="L720" s="360"/>
      <c r="M720" s="361"/>
      <c r="N720" s="360"/>
      <c r="O720" s="360"/>
      <c r="P720" s="360"/>
      <c r="Q720" s="360"/>
      <c r="R720" s="360"/>
      <c r="S720" s="360"/>
      <c r="T720" s="360"/>
      <c r="U720" s="360"/>
      <c r="V720" s="360"/>
      <c r="W720" s="360"/>
      <c r="X720" s="360"/>
      <c r="Y720" s="360"/>
      <c r="Z720" s="360"/>
      <c r="AA720" s="360"/>
      <c r="AB720" s="362"/>
      <c r="AC720" s="360"/>
      <c r="AD720" s="360"/>
      <c r="AE720" s="360"/>
    </row>
    <row r="721">
      <c r="A721" s="360"/>
      <c r="B721" s="360"/>
      <c r="C721" s="360"/>
      <c r="D721" s="360"/>
      <c r="E721" s="360"/>
      <c r="F721" s="360"/>
      <c r="G721" s="360"/>
      <c r="H721" s="360"/>
      <c r="I721" s="360"/>
      <c r="J721" s="360"/>
      <c r="K721" s="361"/>
      <c r="L721" s="360"/>
      <c r="M721" s="361"/>
      <c r="N721" s="360"/>
      <c r="O721" s="360"/>
      <c r="P721" s="360"/>
      <c r="Q721" s="360"/>
      <c r="R721" s="360"/>
      <c r="S721" s="360"/>
      <c r="T721" s="360"/>
      <c r="U721" s="360"/>
      <c r="V721" s="360"/>
      <c r="W721" s="360"/>
      <c r="X721" s="360"/>
      <c r="Y721" s="360"/>
      <c r="Z721" s="360"/>
      <c r="AA721" s="360"/>
      <c r="AB721" s="362"/>
      <c r="AC721" s="360"/>
      <c r="AD721" s="360"/>
      <c r="AE721" s="360"/>
    </row>
    <row r="722">
      <c r="A722" s="360"/>
      <c r="B722" s="360"/>
      <c r="C722" s="360"/>
      <c r="D722" s="360"/>
      <c r="E722" s="360"/>
      <c r="F722" s="360"/>
      <c r="G722" s="360"/>
      <c r="H722" s="360"/>
      <c r="I722" s="360"/>
      <c r="J722" s="360"/>
      <c r="K722" s="361"/>
      <c r="L722" s="360"/>
      <c r="M722" s="361"/>
      <c r="N722" s="360"/>
      <c r="O722" s="360"/>
      <c r="P722" s="360"/>
      <c r="Q722" s="360"/>
      <c r="R722" s="360"/>
      <c r="S722" s="360"/>
      <c r="T722" s="360"/>
      <c r="U722" s="360"/>
      <c r="V722" s="360"/>
      <c r="W722" s="360"/>
      <c r="X722" s="360"/>
      <c r="Y722" s="360"/>
      <c r="Z722" s="360"/>
      <c r="AA722" s="360"/>
      <c r="AB722" s="362"/>
      <c r="AC722" s="360"/>
      <c r="AD722" s="360"/>
      <c r="AE722" s="360"/>
    </row>
    <row r="723">
      <c r="A723" s="360"/>
      <c r="B723" s="360"/>
      <c r="C723" s="360"/>
      <c r="D723" s="360"/>
      <c r="E723" s="360"/>
      <c r="F723" s="360"/>
      <c r="G723" s="360"/>
      <c r="H723" s="360"/>
      <c r="I723" s="360"/>
      <c r="J723" s="360"/>
      <c r="K723" s="361"/>
      <c r="L723" s="360"/>
      <c r="M723" s="361"/>
      <c r="N723" s="360"/>
      <c r="O723" s="360"/>
      <c r="P723" s="360"/>
      <c r="Q723" s="360"/>
      <c r="R723" s="360"/>
      <c r="S723" s="360"/>
      <c r="T723" s="360"/>
      <c r="U723" s="360"/>
      <c r="V723" s="360"/>
      <c r="W723" s="360"/>
      <c r="X723" s="360"/>
      <c r="Y723" s="360"/>
      <c r="Z723" s="360"/>
      <c r="AA723" s="360"/>
      <c r="AB723" s="362"/>
      <c r="AC723" s="360"/>
      <c r="AD723" s="360"/>
      <c r="AE723" s="360"/>
    </row>
    <row r="724">
      <c r="A724" s="360"/>
      <c r="B724" s="360"/>
      <c r="C724" s="360"/>
      <c r="D724" s="360"/>
      <c r="E724" s="360"/>
      <c r="F724" s="360"/>
      <c r="G724" s="360"/>
      <c r="H724" s="360"/>
      <c r="I724" s="360"/>
      <c r="J724" s="360"/>
      <c r="K724" s="361"/>
      <c r="L724" s="360"/>
      <c r="M724" s="361"/>
      <c r="N724" s="360"/>
      <c r="O724" s="360"/>
      <c r="P724" s="360"/>
      <c r="Q724" s="360"/>
      <c r="R724" s="360"/>
      <c r="S724" s="360"/>
      <c r="T724" s="360"/>
      <c r="U724" s="360"/>
      <c r="V724" s="360"/>
      <c r="W724" s="360"/>
      <c r="X724" s="360"/>
      <c r="Y724" s="360"/>
      <c r="Z724" s="360"/>
      <c r="AA724" s="360"/>
      <c r="AB724" s="362"/>
      <c r="AC724" s="360"/>
      <c r="AD724" s="360"/>
      <c r="AE724" s="360"/>
    </row>
    <row r="725">
      <c r="A725" s="360"/>
      <c r="B725" s="360"/>
      <c r="C725" s="360"/>
      <c r="D725" s="360"/>
      <c r="E725" s="360"/>
      <c r="F725" s="360"/>
      <c r="G725" s="360"/>
      <c r="H725" s="360"/>
      <c r="I725" s="360"/>
      <c r="J725" s="360"/>
      <c r="K725" s="361"/>
      <c r="L725" s="360"/>
      <c r="M725" s="361"/>
      <c r="N725" s="360"/>
      <c r="O725" s="360"/>
      <c r="P725" s="360"/>
      <c r="Q725" s="360"/>
      <c r="R725" s="360"/>
      <c r="S725" s="360"/>
      <c r="T725" s="360"/>
      <c r="U725" s="360"/>
      <c r="V725" s="360"/>
      <c r="W725" s="360"/>
      <c r="X725" s="360"/>
      <c r="Y725" s="360"/>
      <c r="Z725" s="360"/>
      <c r="AA725" s="360"/>
      <c r="AB725" s="362"/>
      <c r="AC725" s="360"/>
      <c r="AD725" s="360"/>
      <c r="AE725" s="360"/>
    </row>
    <row r="726">
      <c r="A726" s="360"/>
      <c r="B726" s="360"/>
      <c r="C726" s="360"/>
      <c r="D726" s="360"/>
      <c r="E726" s="360"/>
      <c r="F726" s="360"/>
      <c r="G726" s="360"/>
      <c r="H726" s="360"/>
      <c r="I726" s="360"/>
      <c r="J726" s="360"/>
      <c r="K726" s="361"/>
      <c r="L726" s="360"/>
      <c r="M726" s="361"/>
      <c r="N726" s="360"/>
      <c r="O726" s="360"/>
      <c r="P726" s="360"/>
      <c r="Q726" s="360"/>
      <c r="R726" s="360"/>
      <c r="S726" s="360"/>
      <c r="T726" s="360"/>
      <c r="U726" s="360"/>
      <c r="V726" s="360"/>
      <c r="W726" s="360"/>
      <c r="X726" s="360"/>
      <c r="Y726" s="360"/>
      <c r="Z726" s="360"/>
      <c r="AA726" s="360"/>
      <c r="AB726" s="362"/>
      <c r="AC726" s="360"/>
      <c r="AD726" s="360"/>
      <c r="AE726" s="360"/>
    </row>
    <row r="727">
      <c r="A727" s="360"/>
      <c r="B727" s="360"/>
      <c r="C727" s="360"/>
      <c r="D727" s="360"/>
      <c r="E727" s="360"/>
      <c r="F727" s="360"/>
      <c r="G727" s="360"/>
      <c r="H727" s="360"/>
      <c r="I727" s="360"/>
      <c r="J727" s="360"/>
      <c r="K727" s="361"/>
      <c r="L727" s="360"/>
      <c r="M727" s="361"/>
      <c r="N727" s="360"/>
      <c r="O727" s="360"/>
      <c r="P727" s="360"/>
      <c r="Q727" s="360"/>
      <c r="R727" s="360"/>
      <c r="S727" s="360"/>
      <c r="T727" s="360"/>
      <c r="U727" s="360"/>
      <c r="V727" s="360"/>
      <c r="W727" s="360"/>
      <c r="X727" s="360"/>
      <c r="Y727" s="360"/>
      <c r="Z727" s="360"/>
      <c r="AA727" s="360"/>
      <c r="AB727" s="362"/>
      <c r="AC727" s="360"/>
      <c r="AD727" s="360"/>
      <c r="AE727" s="360"/>
    </row>
    <row r="728">
      <c r="A728" s="360"/>
      <c r="B728" s="360"/>
      <c r="C728" s="360"/>
      <c r="D728" s="360"/>
      <c r="E728" s="360"/>
      <c r="F728" s="360"/>
      <c r="G728" s="360"/>
      <c r="H728" s="360"/>
      <c r="I728" s="360"/>
      <c r="J728" s="360"/>
      <c r="K728" s="361"/>
      <c r="L728" s="360"/>
      <c r="M728" s="361"/>
      <c r="N728" s="360"/>
      <c r="O728" s="360"/>
      <c r="P728" s="360"/>
      <c r="Q728" s="360"/>
      <c r="R728" s="360"/>
      <c r="S728" s="360"/>
      <c r="T728" s="360"/>
      <c r="U728" s="360"/>
      <c r="V728" s="360"/>
      <c r="W728" s="360"/>
      <c r="X728" s="360"/>
      <c r="Y728" s="360"/>
      <c r="Z728" s="360"/>
      <c r="AA728" s="360"/>
      <c r="AB728" s="362"/>
      <c r="AC728" s="360"/>
      <c r="AD728" s="360"/>
      <c r="AE728" s="360"/>
    </row>
    <row r="729">
      <c r="A729" s="360"/>
      <c r="B729" s="360"/>
      <c r="C729" s="360"/>
      <c r="D729" s="360"/>
      <c r="E729" s="360"/>
      <c r="F729" s="360"/>
      <c r="G729" s="360"/>
      <c r="H729" s="360"/>
      <c r="I729" s="360"/>
      <c r="J729" s="360"/>
      <c r="K729" s="361"/>
      <c r="L729" s="360"/>
      <c r="M729" s="361"/>
      <c r="N729" s="360"/>
      <c r="O729" s="360"/>
      <c r="P729" s="360"/>
      <c r="Q729" s="360"/>
      <c r="R729" s="360"/>
      <c r="S729" s="360"/>
      <c r="T729" s="360"/>
      <c r="U729" s="360"/>
      <c r="V729" s="360"/>
      <c r="W729" s="360"/>
      <c r="X729" s="360"/>
      <c r="Y729" s="360"/>
      <c r="Z729" s="360"/>
      <c r="AA729" s="360"/>
      <c r="AB729" s="362"/>
      <c r="AC729" s="360"/>
      <c r="AD729" s="360"/>
      <c r="AE729" s="360"/>
    </row>
    <row r="730">
      <c r="A730" s="360"/>
      <c r="B730" s="360"/>
      <c r="C730" s="360"/>
      <c r="D730" s="360"/>
      <c r="E730" s="360"/>
      <c r="F730" s="360"/>
      <c r="G730" s="360"/>
      <c r="H730" s="360"/>
      <c r="I730" s="360"/>
      <c r="J730" s="360"/>
      <c r="K730" s="361"/>
      <c r="L730" s="360"/>
      <c r="M730" s="361"/>
      <c r="N730" s="360"/>
      <c r="O730" s="360"/>
      <c r="P730" s="360"/>
      <c r="Q730" s="360"/>
      <c r="R730" s="360"/>
      <c r="S730" s="360"/>
      <c r="T730" s="360"/>
      <c r="U730" s="360"/>
      <c r="V730" s="360"/>
      <c r="W730" s="360"/>
      <c r="X730" s="360"/>
      <c r="Y730" s="360"/>
      <c r="Z730" s="360"/>
      <c r="AA730" s="360"/>
      <c r="AB730" s="362"/>
      <c r="AC730" s="360"/>
      <c r="AD730" s="360"/>
      <c r="AE730" s="360"/>
    </row>
    <row r="731">
      <c r="A731" s="360"/>
      <c r="B731" s="360"/>
      <c r="C731" s="360"/>
      <c r="D731" s="360"/>
      <c r="E731" s="360"/>
      <c r="F731" s="360"/>
      <c r="G731" s="360"/>
      <c r="H731" s="360"/>
      <c r="I731" s="360"/>
      <c r="J731" s="360"/>
      <c r="K731" s="361"/>
      <c r="L731" s="360"/>
      <c r="M731" s="361"/>
      <c r="N731" s="360"/>
      <c r="O731" s="360"/>
      <c r="P731" s="360"/>
      <c r="Q731" s="360"/>
      <c r="R731" s="360"/>
      <c r="S731" s="360"/>
      <c r="T731" s="360"/>
      <c r="U731" s="360"/>
      <c r="V731" s="360"/>
      <c r="W731" s="360"/>
      <c r="X731" s="360"/>
      <c r="Y731" s="360"/>
      <c r="Z731" s="360"/>
      <c r="AA731" s="360"/>
      <c r="AB731" s="362"/>
      <c r="AC731" s="360"/>
      <c r="AD731" s="360"/>
      <c r="AE731" s="360"/>
    </row>
    <row r="732">
      <c r="A732" s="360"/>
      <c r="B732" s="360"/>
      <c r="C732" s="360"/>
      <c r="D732" s="360"/>
      <c r="E732" s="360"/>
      <c r="F732" s="360"/>
      <c r="G732" s="360"/>
      <c r="H732" s="360"/>
      <c r="I732" s="360"/>
      <c r="J732" s="360"/>
      <c r="K732" s="361"/>
      <c r="L732" s="360"/>
      <c r="M732" s="361"/>
      <c r="N732" s="360"/>
      <c r="O732" s="360"/>
      <c r="P732" s="360"/>
      <c r="Q732" s="360"/>
      <c r="R732" s="360"/>
      <c r="S732" s="360"/>
      <c r="T732" s="360"/>
      <c r="U732" s="360"/>
      <c r="V732" s="360"/>
      <c r="W732" s="360"/>
      <c r="X732" s="360"/>
      <c r="Y732" s="360"/>
      <c r="Z732" s="360"/>
      <c r="AA732" s="360"/>
      <c r="AB732" s="362"/>
      <c r="AC732" s="360"/>
      <c r="AD732" s="360"/>
      <c r="AE732" s="360"/>
    </row>
    <row r="733">
      <c r="A733" s="360"/>
      <c r="B733" s="360"/>
      <c r="C733" s="360"/>
      <c r="D733" s="360"/>
      <c r="E733" s="360"/>
      <c r="F733" s="360"/>
      <c r="G733" s="360"/>
      <c r="H733" s="360"/>
      <c r="I733" s="360"/>
      <c r="J733" s="360"/>
      <c r="K733" s="361"/>
      <c r="L733" s="360"/>
      <c r="M733" s="361"/>
      <c r="N733" s="360"/>
      <c r="O733" s="360"/>
      <c r="P733" s="360"/>
      <c r="Q733" s="360"/>
      <c r="R733" s="360"/>
      <c r="S733" s="360"/>
      <c r="T733" s="360"/>
      <c r="U733" s="360"/>
      <c r="V733" s="360"/>
      <c r="W733" s="360"/>
      <c r="X733" s="360"/>
      <c r="Y733" s="360"/>
      <c r="Z733" s="360"/>
      <c r="AA733" s="360"/>
      <c r="AB733" s="362"/>
      <c r="AC733" s="360"/>
      <c r="AD733" s="360"/>
      <c r="AE733" s="360"/>
    </row>
    <row r="734">
      <c r="A734" s="360"/>
      <c r="B734" s="360"/>
      <c r="C734" s="360"/>
      <c r="D734" s="360"/>
      <c r="E734" s="360"/>
      <c r="F734" s="360"/>
      <c r="G734" s="360"/>
      <c r="H734" s="360"/>
      <c r="I734" s="360"/>
      <c r="J734" s="360"/>
      <c r="K734" s="361"/>
      <c r="L734" s="360"/>
      <c r="M734" s="361"/>
      <c r="N734" s="360"/>
      <c r="O734" s="360"/>
      <c r="P734" s="360"/>
      <c r="Q734" s="360"/>
      <c r="R734" s="360"/>
      <c r="S734" s="360"/>
      <c r="T734" s="360"/>
      <c r="U734" s="360"/>
      <c r="V734" s="360"/>
      <c r="W734" s="360"/>
      <c r="X734" s="360"/>
      <c r="Y734" s="360"/>
      <c r="Z734" s="360"/>
      <c r="AA734" s="360"/>
      <c r="AB734" s="362"/>
      <c r="AC734" s="360"/>
      <c r="AD734" s="360"/>
      <c r="AE734" s="360"/>
    </row>
    <row r="735">
      <c r="A735" s="360"/>
      <c r="B735" s="360"/>
      <c r="C735" s="360"/>
      <c r="D735" s="360"/>
      <c r="E735" s="360"/>
      <c r="F735" s="360"/>
      <c r="G735" s="360"/>
      <c r="H735" s="360"/>
      <c r="I735" s="360"/>
      <c r="J735" s="360"/>
      <c r="K735" s="361"/>
      <c r="L735" s="360"/>
      <c r="M735" s="361"/>
      <c r="N735" s="360"/>
      <c r="O735" s="360"/>
      <c r="P735" s="360"/>
      <c r="Q735" s="360"/>
      <c r="R735" s="360"/>
      <c r="S735" s="360"/>
      <c r="T735" s="360"/>
      <c r="U735" s="360"/>
      <c r="V735" s="360"/>
      <c r="W735" s="360"/>
      <c r="X735" s="360"/>
      <c r="Y735" s="360"/>
      <c r="Z735" s="360"/>
      <c r="AA735" s="360"/>
      <c r="AB735" s="362"/>
      <c r="AC735" s="360"/>
      <c r="AD735" s="360"/>
      <c r="AE735" s="360"/>
    </row>
    <row r="736">
      <c r="A736" s="360"/>
      <c r="B736" s="360"/>
      <c r="C736" s="360"/>
      <c r="D736" s="360"/>
      <c r="E736" s="360"/>
      <c r="F736" s="360"/>
      <c r="G736" s="360"/>
      <c r="H736" s="360"/>
      <c r="I736" s="360"/>
      <c r="J736" s="360"/>
      <c r="K736" s="361"/>
      <c r="L736" s="360"/>
      <c r="M736" s="361"/>
      <c r="N736" s="360"/>
      <c r="O736" s="360"/>
      <c r="P736" s="360"/>
      <c r="Q736" s="360"/>
      <c r="R736" s="360"/>
      <c r="S736" s="360"/>
      <c r="T736" s="360"/>
      <c r="U736" s="360"/>
      <c r="V736" s="360"/>
      <c r="W736" s="360"/>
      <c r="X736" s="360"/>
      <c r="Y736" s="360"/>
      <c r="Z736" s="360"/>
      <c r="AA736" s="360"/>
      <c r="AB736" s="362"/>
      <c r="AC736" s="360"/>
      <c r="AD736" s="360"/>
      <c r="AE736" s="360"/>
    </row>
    <row r="737">
      <c r="A737" s="360"/>
      <c r="B737" s="360"/>
      <c r="C737" s="360"/>
      <c r="D737" s="360"/>
      <c r="E737" s="360"/>
      <c r="F737" s="360"/>
      <c r="G737" s="360"/>
      <c r="H737" s="360"/>
      <c r="I737" s="360"/>
      <c r="J737" s="360"/>
      <c r="K737" s="361"/>
      <c r="L737" s="360"/>
      <c r="M737" s="361"/>
      <c r="N737" s="360"/>
      <c r="O737" s="360"/>
      <c r="P737" s="360"/>
      <c r="Q737" s="360"/>
      <c r="R737" s="360"/>
      <c r="S737" s="360"/>
      <c r="T737" s="360"/>
      <c r="U737" s="360"/>
      <c r="V737" s="360"/>
      <c r="W737" s="360"/>
      <c r="X737" s="360"/>
      <c r="Y737" s="360"/>
      <c r="Z737" s="360"/>
      <c r="AA737" s="360"/>
      <c r="AB737" s="362"/>
      <c r="AC737" s="360"/>
      <c r="AD737" s="360"/>
      <c r="AE737" s="360"/>
    </row>
    <row r="738">
      <c r="A738" s="360"/>
      <c r="B738" s="360"/>
      <c r="C738" s="360"/>
      <c r="D738" s="360"/>
      <c r="E738" s="360"/>
      <c r="F738" s="360"/>
      <c r="G738" s="360"/>
      <c r="H738" s="360"/>
      <c r="I738" s="360"/>
      <c r="J738" s="360"/>
      <c r="K738" s="361"/>
      <c r="L738" s="360"/>
      <c r="M738" s="361"/>
      <c r="N738" s="360"/>
      <c r="O738" s="360"/>
      <c r="P738" s="360"/>
      <c r="Q738" s="360"/>
      <c r="R738" s="360"/>
      <c r="S738" s="360"/>
      <c r="T738" s="360"/>
      <c r="U738" s="360"/>
      <c r="V738" s="360"/>
      <c r="W738" s="360"/>
      <c r="X738" s="360"/>
      <c r="Y738" s="360"/>
      <c r="Z738" s="360"/>
      <c r="AA738" s="360"/>
      <c r="AB738" s="362"/>
      <c r="AC738" s="360"/>
      <c r="AD738" s="360"/>
      <c r="AE738" s="360"/>
    </row>
    <row r="739">
      <c r="A739" s="360"/>
      <c r="B739" s="360"/>
      <c r="C739" s="360"/>
      <c r="D739" s="360"/>
      <c r="E739" s="360"/>
      <c r="F739" s="360"/>
      <c r="G739" s="360"/>
      <c r="H739" s="360"/>
      <c r="I739" s="360"/>
      <c r="J739" s="360"/>
      <c r="K739" s="361"/>
      <c r="L739" s="360"/>
      <c r="M739" s="361"/>
      <c r="N739" s="360"/>
      <c r="O739" s="360"/>
      <c r="P739" s="360"/>
      <c r="Q739" s="360"/>
      <c r="R739" s="360"/>
      <c r="S739" s="360"/>
      <c r="T739" s="360"/>
      <c r="U739" s="360"/>
      <c r="V739" s="360"/>
      <c r="W739" s="360"/>
      <c r="X739" s="360"/>
      <c r="Y739" s="360"/>
      <c r="Z739" s="360"/>
      <c r="AA739" s="360"/>
      <c r="AB739" s="362"/>
      <c r="AC739" s="360"/>
      <c r="AD739" s="360"/>
      <c r="AE739" s="360"/>
    </row>
    <row r="740">
      <c r="A740" s="360"/>
      <c r="B740" s="360"/>
      <c r="C740" s="360"/>
      <c r="D740" s="360"/>
      <c r="E740" s="360"/>
      <c r="F740" s="360"/>
      <c r="G740" s="360"/>
      <c r="H740" s="360"/>
      <c r="I740" s="360"/>
      <c r="J740" s="360"/>
      <c r="K740" s="361"/>
      <c r="L740" s="360"/>
      <c r="M740" s="361"/>
      <c r="N740" s="360"/>
      <c r="O740" s="360"/>
      <c r="P740" s="360"/>
      <c r="Q740" s="360"/>
      <c r="R740" s="360"/>
      <c r="S740" s="360"/>
      <c r="T740" s="360"/>
      <c r="U740" s="360"/>
      <c r="V740" s="360"/>
      <c r="W740" s="360"/>
      <c r="X740" s="360"/>
      <c r="Y740" s="360"/>
      <c r="Z740" s="360"/>
      <c r="AA740" s="360"/>
      <c r="AB740" s="362"/>
      <c r="AC740" s="360"/>
      <c r="AD740" s="360"/>
      <c r="AE740" s="360"/>
    </row>
    <row r="741">
      <c r="A741" s="360"/>
      <c r="B741" s="360"/>
      <c r="C741" s="360"/>
      <c r="D741" s="360"/>
      <c r="E741" s="360"/>
      <c r="F741" s="360"/>
      <c r="G741" s="360"/>
      <c r="H741" s="360"/>
      <c r="I741" s="360"/>
      <c r="J741" s="360"/>
      <c r="K741" s="361"/>
      <c r="L741" s="360"/>
      <c r="M741" s="361"/>
      <c r="N741" s="360"/>
      <c r="O741" s="360"/>
      <c r="P741" s="360"/>
      <c r="Q741" s="360"/>
      <c r="R741" s="360"/>
      <c r="S741" s="360"/>
      <c r="T741" s="360"/>
      <c r="U741" s="360"/>
      <c r="V741" s="360"/>
      <c r="W741" s="360"/>
      <c r="X741" s="360"/>
      <c r="Y741" s="360"/>
      <c r="Z741" s="360"/>
      <c r="AA741" s="360"/>
      <c r="AB741" s="362"/>
      <c r="AC741" s="360"/>
      <c r="AD741" s="360"/>
      <c r="AE741" s="360"/>
    </row>
    <row r="742">
      <c r="A742" s="360"/>
      <c r="B742" s="360"/>
      <c r="C742" s="360"/>
      <c r="D742" s="360"/>
      <c r="E742" s="360"/>
      <c r="F742" s="360"/>
      <c r="G742" s="360"/>
      <c r="H742" s="360"/>
      <c r="I742" s="360"/>
      <c r="J742" s="360"/>
      <c r="K742" s="361"/>
      <c r="L742" s="360"/>
      <c r="M742" s="361"/>
      <c r="N742" s="360"/>
      <c r="O742" s="360"/>
      <c r="P742" s="360"/>
      <c r="Q742" s="360"/>
      <c r="R742" s="360"/>
      <c r="S742" s="360"/>
      <c r="T742" s="360"/>
      <c r="U742" s="360"/>
      <c r="V742" s="360"/>
      <c r="W742" s="360"/>
      <c r="X742" s="360"/>
      <c r="Y742" s="360"/>
      <c r="Z742" s="360"/>
      <c r="AA742" s="360"/>
      <c r="AB742" s="362"/>
      <c r="AC742" s="360"/>
      <c r="AD742" s="360"/>
      <c r="AE742" s="360"/>
    </row>
    <row r="743">
      <c r="A743" s="360"/>
      <c r="B743" s="360"/>
      <c r="C743" s="360"/>
      <c r="D743" s="360"/>
      <c r="E743" s="360"/>
      <c r="F743" s="360"/>
      <c r="G743" s="360"/>
      <c r="H743" s="360"/>
      <c r="I743" s="360"/>
      <c r="J743" s="360"/>
      <c r="K743" s="361"/>
      <c r="L743" s="360"/>
      <c r="M743" s="361"/>
      <c r="N743" s="360"/>
      <c r="O743" s="360"/>
      <c r="P743" s="360"/>
      <c r="Q743" s="360"/>
      <c r="R743" s="360"/>
      <c r="S743" s="360"/>
      <c r="T743" s="360"/>
      <c r="U743" s="360"/>
      <c r="V743" s="360"/>
      <c r="W743" s="360"/>
      <c r="X743" s="360"/>
      <c r="Y743" s="360"/>
      <c r="Z743" s="360"/>
      <c r="AA743" s="360"/>
      <c r="AB743" s="362"/>
      <c r="AC743" s="360"/>
      <c r="AD743" s="360"/>
      <c r="AE743" s="360"/>
    </row>
    <row r="744">
      <c r="A744" s="360"/>
      <c r="B744" s="360"/>
      <c r="C744" s="360"/>
      <c r="D744" s="360"/>
      <c r="E744" s="360"/>
      <c r="F744" s="360"/>
      <c r="G744" s="360"/>
      <c r="H744" s="360"/>
      <c r="I744" s="360"/>
      <c r="J744" s="360"/>
      <c r="K744" s="361"/>
      <c r="L744" s="360"/>
      <c r="M744" s="361"/>
      <c r="N744" s="360"/>
      <c r="O744" s="360"/>
      <c r="P744" s="360"/>
      <c r="Q744" s="360"/>
      <c r="R744" s="360"/>
      <c r="S744" s="360"/>
      <c r="T744" s="360"/>
      <c r="U744" s="360"/>
      <c r="V744" s="360"/>
      <c r="W744" s="360"/>
      <c r="X744" s="360"/>
      <c r="Y744" s="360"/>
      <c r="Z744" s="360"/>
      <c r="AA744" s="360"/>
      <c r="AB744" s="362"/>
      <c r="AC744" s="360"/>
      <c r="AD744" s="360"/>
      <c r="AE744" s="360"/>
    </row>
    <row r="745">
      <c r="A745" s="360"/>
      <c r="B745" s="360"/>
      <c r="C745" s="360"/>
      <c r="D745" s="360"/>
      <c r="E745" s="360"/>
      <c r="F745" s="360"/>
      <c r="G745" s="360"/>
      <c r="H745" s="360"/>
      <c r="I745" s="360"/>
      <c r="J745" s="360"/>
      <c r="K745" s="361"/>
      <c r="L745" s="360"/>
      <c r="M745" s="361"/>
      <c r="N745" s="360"/>
      <c r="O745" s="360"/>
      <c r="P745" s="360"/>
      <c r="Q745" s="360"/>
      <c r="R745" s="360"/>
      <c r="S745" s="360"/>
      <c r="T745" s="360"/>
      <c r="U745" s="360"/>
      <c r="V745" s="360"/>
      <c r="W745" s="360"/>
      <c r="X745" s="360"/>
      <c r="Y745" s="360"/>
      <c r="Z745" s="360"/>
      <c r="AA745" s="360"/>
      <c r="AB745" s="362"/>
      <c r="AC745" s="360"/>
      <c r="AD745" s="360"/>
      <c r="AE745" s="360"/>
    </row>
    <row r="746">
      <c r="A746" s="360"/>
      <c r="B746" s="360"/>
      <c r="C746" s="360"/>
      <c r="D746" s="360"/>
      <c r="E746" s="360"/>
      <c r="F746" s="360"/>
      <c r="G746" s="360"/>
      <c r="H746" s="360"/>
      <c r="I746" s="360"/>
      <c r="J746" s="360"/>
      <c r="K746" s="361"/>
      <c r="L746" s="360"/>
      <c r="M746" s="361"/>
      <c r="N746" s="360"/>
      <c r="O746" s="360"/>
      <c r="P746" s="360"/>
      <c r="Q746" s="360"/>
      <c r="R746" s="360"/>
      <c r="S746" s="360"/>
      <c r="T746" s="360"/>
      <c r="U746" s="360"/>
      <c r="V746" s="360"/>
      <c r="W746" s="360"/>
      <c r="X746" s="360"/>
      <c r="Y746" s="360"/>
      <c r="Z746" s="360"/>
      <c r="AA746" s="360"/>
      <c r="AB746" s="362"/>
      <c r="AC746" s="360"/>
      <c r="AD746" s="360"/>
      <c r="AE746" s="360"/>
    </row>
    <row r="747">
      <c r="A747" s="360"/>
      <c r="B747" s="360"/>
      <c r="C747" s="360"/>
      <c r="D747" s="360"/>
      <c r="E747" s="360"/>
      <c r="F747" s="360"/>
      <c r="G747" s="360"/>
      <c r="H747" s="360"/>
      <c r="I747" s="360"/>
      <c r="J747" s="360"/>
      <c r="K747" s="361"/>
      <c r="L747" s="360"/>
      <c r="M747" s="361"/>
      <c r="N747" s="360"/>
      <c r="O747" s="360"/>
      <c r="P747" s="360"/>
      <c r="Q747" s="360"/>
      <c r="R747" s="360"/>
      <c r="S747" s="360"/>
      <c r="T747" s="360"/>
      <c r="U747" s="360"/>
      <c r="V747" s="360"/>
      <c r="W747" s="360"/>
      <c r="X747" s="360"/>
      <c r="Y747" s="360"/>
      <c r="Z747" s="360"/>
      <c r="AA747" s="360"/>
      <c r="AB747" s="362"/>
      <c r="AC747" s="360"/>
      <c r="AD747" s="360"/>
      <c r="AE747" s="360"/>
    </row>
    <row r="748">
      <c r="A748" s="360"/>
      <c r="B748" s="360"/>
      <c r="C748" s="360"/>
      <c r="D748" s="360"/>
      <c r="E748" s="360"/>
      <c r="F748" s="360"/>
      <c r="G748" s="360"/>
      <c r="H748" s="360"/>
      <c r="I748" s="360"/>
      <c r="J748" s="360"/>
      <c r="K748" s="361"/>
      <c r="L748" s="360"/>
      <c r="M748" s="361"/>
      <c r="N748" s="360"/>
      <c r="O748" s="360"/>
      <c r="P748" s="360"/>
      <c r="Q748" s="360"/>
      <c r="R748" s="360"/>
      <c r="S748" s="360"/>
      <c r="T748" s="360"/>
      <c r="U748" s="360"/>
      <c r="V748" s="360"/>
      <c r="W748" s="360"/>
      <c r="X748" s="360"/>
      <c r="Y748" s="360"/>
      <c r="Z748" s="360"/>
      <c r="AA748" s="360"/>
      <c r="AB748" s="362"/>
      <c r="AC748" s="360"/>
      <c r="AD748" s="360"/>
      <c r="AE748" s="360"/>
    </row>
    <row r="749">
      <c r="A749" s="360"/>
      <c r="B749" s="360"/>
      <c r="C749" s="360"/>
      <c r="D749" s="360"/>
      <c r="E749" s="360"/>
      <c r="F749" s="360"/>
      <c r="G749" s="360"/>
      <c r="H749" s="360"/>
      <c r="I749" s="360"/>
      <c r="J749" s="360"/>
      <c r="K749" s="361"/>
      <c r="L749" s="360"/>
      <c r="M749" s="361"/>
      <c r="N749" s="360"/>
      <c r="O749" s="360"/>
      <c r="P749" s="360"/>
      <c r="Q749" s="360"/>
      <c r="R749" s="360"/>
      <c r="S749" s="360"/>
      <c r="T749" s="360"/>
      <c r="U749" s="360"/>
      <c r="V749" s="360"/>
      <c r="W749" s="360"/>
      <c r="X749" s="360"/>
      <c r="Y749" s="360"/>
      <c r="Z749" s="360"/>
      <c r="AA749" s="360"/>
      <c r="AB749" s="362"/>
      <c r="AC749" s="360"/>
      <c r="AD749" s="360"/>
      <c r="AE749" s="360"/>
    </row>
    <row r="750">
      <c r="A750" s="360"/>
      <c r="B750" s="360"/>
      <c r="C750" s="360"/>
      <c r="D750" s="360"/>
      <c r="E750" s="360"/>
      <c r="F750" s="360"/>
      <c r="G750" s="360"/>
      <c r="H750" s="360"/>
      <c r="I750" s="360"/>
      <c r="J750" s="360"/>
      <c r="K750" s="361"/>
      <c r="L750" s="360"/>
      <c r="M750" s="361"/>
      <c r="N750" s="360"/>
      <c r="O750" s="360"/>
      <c r="P750" s="360"/>
      <c r="Q750" s="360"/>
      <c r="R750" s="360"/>
      <c r="S750" s="360"/>
      <c r="T750" s="360"/>
      <c r="U750" s="360"/>
      <c r="V750" s="360"/>
      <c r="W750" s="360"/>
      <c r="X750" s="360"/>
      <c r="Y750" s="360"/>
      <c r="Z750" s="360"/>
      <c r="AA750" s="360"/>
      <c r="AB750" s="362"/>
      <c r="AC750" s="360"/>
      <c r="AD750" s="360"/>
      <c r="AE750" s="360"/>
    </row>
    <row r="751">
      <c r="A751" s="360"/>
      <c r="B751" s="360"/>
      <c r="C751" s="360"/>
      <c r="D751" s="360"/>
      <c r="E751" s="360"/>
      <c r="F751" s="360"/>
      <c r="G751" s="360"/>
      <c r="H751" s="360"/>
      <c r="I751" s="360"/>
      <c r="J751" s="360"/>
      <c r="K751" s="361"/>
      <c r="L751" s="360"/>
      <c r="M751" s="361"/>
      <c r="N751" s="360"/>
      <c r="O751" s="360"/>
      <c r="P751" s="360"/>
      <c r="Q751" s="360"/>
      <c r="R751" s="360"/>
      <c r="S751" s="360"/>
      <c r="T751" s="360"/>
      <c r="U751" s="360"/>
      <c r="V751" s="360"/>
      <c r="W751" s="360"/>
      <c r="X751" s="360"/>
      <c r="Y751" s="360"/>
      <c r="Z751" s="360"/>
      <c r="AA751" s="360"/>
      <c r="AB751" s="362"/>
      <c r="AC751" s="360"/>
      <c r="AD751" s="360"/>
      <c r="AE751" s="360"/>
    </row>
    <row r="752">
      <c r="A752" s="360"/>
      <c r="B752" s="360"/>
      <c r="C752" s="360"/>
      <c r="D752" s="360"/>
      <c r="E752" s="360"/>
      <c r="F752" s="360"/>
      <c r="G752" s="360"/>
      <c r="H752" s="360"/>
      <c r="I752" s="360"/>
      <c r="J752" s="360"/>
      <c r="K752" s="361"/>
      <c r="L752" s="360"/>
      <c r="M752" s="361"/>
      <c r="N752" s="360"/>
      <c r="O752" s="360"/>
      <c r="P752" s="360"/>
      <c r="Q752" s="360"/>
      <c r="R752" s="360"/>
      <c r="S752" s="360"/>
      <c r="T752" s="360"/>
      <c r="U752" s="360"/>
      <c r="V752" s="360"/>
      <c r="W752" s="360"/>
      <c r="X752" s="360"/>
      <c r="Y752" s="360"/>
      <c r="Z752" s="360"/>
      <c r="AA752" s="360"/>
      <c r="AB752" s="362"/>
      <c r="AC752" s="360"/>
      <c r="AD752" s="360"/>
      <c r="AE752" s="360"/>
    </row>
    <row r="753">
      <c r="A753" s="360"/>
      <c r="B753" s="360"/>
      <c r="C753" s="360"/>
      <c r="D753" s="360"/>
      <c r="E753" s="360"/>
      <c r="F753" s="360"/>
      <c r="G753" s="360"/>
      <c r="H753" s="360"/>
      <c r="I753" s="360"/>
      <c r="J753" s="360"/>
      <c r="K753" s="361"/>
      <c r="L753" s="360"/>
      <c r="M753" s="361"/>
      <c r="N753" s="360"/>
      <c r="O753" s="360"/>
      <c r="P753" s="360"/>
      <c r="Q753" s="360"/>
      <c r="R753" s="360"/>
      <c r="S753" s="360"/>
      <c r="T753" s="360"/>
      <c r="U753" s="360"/>
      <c r="V753" s="360"/>
      <c r="W753" s="360"/>
      <c r="X753" s="360"/>
      <c r="Y753" s="360"/>
      <c r="Z753" s="360"/>
      <c r="AA753" s="360"/>
      <c r="AB753" s="362"/>
      <c r="AC753" s="360"/>
      <c r="AD753" s="360"/>
      <c r="AE753" s="360"/>
    </row>
    <row r="754">
      <c r="A754" s="360"/>
      <c r="B754" s="360"/>
      <c r="C754" s="360"/>
      <c r="D754" s="360"/>
      <c r="E754" s="360"/>
      <c r="F754" s="360"/>
      <c r="G754" s="360"/>
      <c r="H754" s="360"/>
      <c r="I754" s="360"/>
      <c r="J754" s="360"/>
      <c r="K754" s="361"/>
      <c r="L754" s="360"/>
      <c r="M754" s="361"/>
      <c r="N754" s="360"/>
      <c r="O754" s="360"/>
      <c r="P754" s="360"/>
      <c r="Q754" s="360"/>
      <c r="R754" s="360"/>
      <c r="S754" s="360"/>
      <c r="T754" s="360"/>
      <c r="U754" s="360"/>
      <c r="V754" s="360"/>
      <c r="W754" s="360"/>
      <c r="X754" s="360"/>
      <c r="Y754" s="360"/>
      <c r="Z754" s="360"/>
      <c r="AA754" s="360"/>
      <c r="AB754" s="362"/>
      <c r="AC754" s="360"/>
      <c r="AD754" s="360"/>
      <c r="AE754" s="360"/>
    </row>
    <row r="755">
      <c r="A755" s="360"/>
      <c r="B755" s="360"/>
      <c r="C755" s="360"/>
      <c r="D755" s="360"/>
      <c r="E755" s="360"/>
      <c r="F755" s="360"/>
      <c r="G755" s="360"/>
      <c r="H755" s="360"/>
      <c r="I755" s="360"/>
      <c r="J755" s="360"/>
      <c r="K755" s="361"/>
      <c r="L755" s="360"/>
      <c r="M755" s="361"/>
      <c r="N755" s="360"/>
      <c r="O755" s="360"/>
      <c r="P755" s="360"/>
      <c r="Q755" s="360"/>
      <c r="R755" s="360"/>
      <c r="S755" s="360"/>
      <c r="T755" s="360"/>
      <c r="U755" s="360"/>
      <c r="V755" s="360"/>
      <c r="W755" s="360"/>
      <c r="X755" s="360"/>
      <c r="Y755" s="360"/>
      <c r="Z755" s="360"/>
      <c r="AA755" s="360"/>
      <c r="AB755" s="362"/>
      <c r="AC755" s="360"/>
      <c r="AD755" s="360"/>
      <c r="AE755" s="360"/>
    </row>
    <row r="756">
      <c r="A756" s="360"/>
      <c r="B756" s="360"/>
      <c r="C756" s="360"/>
      <c r="D756" s="360"/>
      <c r="E756" s="360"/>
      <c r="F756" s="360"/>
      <c r="G756" s="360"/>
      <c r="H756" s="360"/>
      <c r="I756" s="360"/>
      <c r="J756" s="360"/>
      <c r="K756" s="361"/>
      <c r="L756" s="360"/>
      <c r="M756" s="361"/>
      <c r="N756" s="360"/>
      <c r="O756" s="360"/>
      <c r="P756" s="360"/>
      <c r="Q756" s="360"/>
      <c r="R756" s="360"/>
      <c r="S756" s="360"/>
      <c r="T756" s="360"/>
      <c r="U756" s="360"/>
      <c r="V756" s="360"/>
      <c r="W756" s="360"/>
      <c r="X756" s="360"/>
      <c r="Y756" s="360"/>
      <c r="Z756" s="360"/>
      <c r="AA756" s="360"/>
      <c r="AB756" s="362"/>
      <c r="AC756" s="360"/>
      <c r="AD756" s="360"/>
      <c r="AE756" s="360"/>
    </row>
    <row r="757">
      <c r="A757" s="360"/>
      <c r="B757" s="360"/>
      <c r="C757" s="360"/>
      <c r="D757" s="360"/>
      <c r="E757" s="360"/>
      <c r="F757" s="360"/>
      <c r="G757" s="360"/>
      <c r="H757" s="360"/>
      <c r="I757" s="360"/>
      <c r="J757" s="360"/>
      <c r="K757" s="361"/>
      <c r="L757" s="360"/>
      <c r="M757" s="361"/>
      <c r="N757" s="360"/>
      <c r="O757" s="360"/>
      <c r="P757" s="360"/>
      <c r="Q757" s="360"/>
      <c r="R757" s="360"/>
      <c r="S757" s="360"/>
      <c r="T757" s="360"/>
      <c r="U757" s="360"/>
      <c r="V757" s="360"/>
      <c r="W757" s="360"/>
      <c r="X757" s="360"/>
      <c r="Y757" s="360"/>
      <c r="Z757" s="360"/>
      <c r="AA757" s="360"/>
      <c r="AB757" s="362"/>
      <c r="AC757" s="360"/>
      <c r="AD757" s="360"/>
      <c r="AE757" s="360"/>
    </row>
    <row r="758">
      <c r="A758" s="360"/>
      <c r="B758" s="360"/>
      <c r="C758" s="360"/>
      <c r="D758" s="360"/>
      <c r="E758" s="360"/>
      <c r="F758" s="360"/>
      <c r="G758" s="360"/>
      <c r="H758" s="360"/>
      <c r="I758" s="360"/>
      <c r="J758" s="360"/>
      <c r="K758" s="361"/>
      <c r="L758" s="360"/>
      <c r="M758" s="361"/>
      <c r="N758" s="360"/>
      <c r="O758" s="360"/>
      <c r="P758" s="360"/>
      <c r="Q758" s="360"/>
      <c r="R758" s="360"/>
      <c r="S758" s="360"/>
      <c r="T758" s="360"/>
      <c r="U758" s="360"/>
      <c r="V758" s="360"/>
      <c r="W758" s="360"/>
      <c r="X758" s="360"/>
      <c r="Y758" s="360"/>
      <c r="Z758" s="360"/>
      <c r="AA758" s="360"/>
      <c r="AB758" s="362"/>
      <c r="AC758" s="360"/>
      <c r="AD758" s="360"/>
      <c r="AE758" s="360"/>
    </row>
    <row r="759">
      <c r="A759" s="360"/>
      <c r="B759" s="360"/>
      <c r="C759" s="360"/>
      <c r="D759" s="360"/>
      <c r="E759" s="360"/>
      <c r="F759" s="360"/>
      <c r="G759" s="360"/>
      <c r="H759" s="360"/>
      <c r="I759" s="360"/>
      <c r="J759" s="360"/>
      <c r="K759" s="361"/>
      <c r="L759" s="360"/>
      <c r="M759" s="361"/>
      <c r="N759" s="360"/>
      <c r="O759" s="360"/>
      <c r="P759" s="360"/>
      <c r="Q759" s="360"/>
      <c r="R759" s="360"/>
      <c r="S759" s="360"/>
      <c r="T759" s="360"/>
      <c r="U759" s="360"/>
      <c r="V759" s="360"/>
      <c r="W759" s="360"/>
      <c r="X759" s="360"/>
      <c r="Y759" s="360"/>
      <c r="Z759" s="360"/>
      <c r="AA759" s="360"/>
      <c r="AB759" s="362"/>
      <c r="AC759" s="360"/>
      <c r="AD759" s="360"/>
      <c r="AE759" s="360"/>
    </row>
    <row r="760">
      <c r="A760" s="360"/>
      <c r="B760" s="360"/>
      <c r="C760" s="360"/>
      <c r="D760" s="360"/>
      <c r="E760" s="360"/>
      <c r="F760" s="360"/>
      <c r="G760" s="360"/>
      <c r="H760" s="360"/>
      <c r="I760" s="360"/>
      <c r="J760" s="360"/>
      <c r="K760" s="361"/>
      <c r="L760" s="360"/>
      <c r="M760" s="361"/>
      <c r="N760" s="360"/>
      <c r="O760" s="360"/>
      <c r="P760" s="360"/>
      <c r="Q760" s="360"/>
      <c r="R760" s="360"/>
      <c r="S760" s="360"/>
      <c r="T760" s="360"/>
      <c r="U760" s="360"/>
      <c r="V760" s="360"/>
      <c r="W760" s="360"/>
      <c r="X760" s="360"/>
      <c r="Y760" s="360"/>
      <c r="Z760" s="360"/>
      <c r="AA760" s="360"/>
      <c r="AB760" s="362"/>
      <c r="AC760" s="360"/>
      <c r="AD760" s="360"/>
      <c r="AE760" s="360"/>
    </row>
    <row r="761">
      <c r="A761" s="360"/>
      <c r="B761" s="360"/>
      <c r="C761" s="360"/>
      <c r="D761" s="360"/>
      <c r="E761" s="360"/>
      <c r="F761" s="360"/>
      <c r="G761" s="360"/>
      <c r="H761" s="360"/>
      <c r="I761" s="360"/>
      <c r="J761" s="360"/>
      <c r="K761" s="361"/>
      <c r="L761" s="360"/>
      <c r="M761" s="361"/>
      <c r="N761" s="360"/>
      <c r="O761" s="360"/>
      <c r="P761" s="360"/>
      <c r="Q761" s="360"/>
      <c r="R761" s="360"/>
      <c r="S761" s="360"/>
      <c r="T761" s="360"/>
      <c r="U761" s="360"/>
      <c r="V761" s="360"/>
      <c r="W761" s="360"/>
      <c r="X761" s="360"/>
      <c r="Y761" s="360"/>
      <c r="Z761" s="360"/>
      <c r="AA761" s="360"/>
      <c r="AB761" s="362"/>
      <c r="AC761" s="360"/>
      <c r="AD761" s="360"/>
      <c r="AE761" s="360"/>
    </row>
    <row r="762">
      <c r="A762" s="360"/>
      <c r="B762" s="360"/>
      <c r="C762" s="360"/>
      <c r="D762" s="360"/>
      <c r="E762" s="360"/>
      <c r="F762" s="360"/>
      <c r="G762" s="360"/>
      <c r="H762" s="360"/>
      <c r="I762" s="360"/>
      <c r="J762" s="360"/>
      <c r="K762" s="361"/>
      <c r="L762" s="360"/>
      <c r="M762" s="361"/>
      <c r="N762" s="360"/>
      <c r="O762" s="360"/>
      <c r="P762" s="360"/>
      <c r="Q762" s="360"/>
      <c r="R762" s="360"/>
      <c r="S762" s="360"/>
      <c r="T762" s="360"/>
      <c r="U762" s="360"/>
      <c r="V762" s="360"/>
      <c r="W762" s="360"/>
      <c r="X762" s="360"/>
      <c r="Y762" s="360"/>
      <c r="Z762" s="360"/>
      <c r="AA762" s="360"/>
      <c r="AB762" s="362"/>
      <c r="AC762" s="360"/>
      <c r="AD762" s="360"/>
      <c r="AE762" s="360"/>
    </row>
    <row r="763">
      <c r="A763" s="360"/>
      <c r="B763" s="360"/>
      <c r="C763" s="360"/>
      <c r="D763" s="360"/>
      <c r="E763" s="360"/>
      <c r="F763" s="360"/>
      <c r="G763" s="360"/>
      <c r="H763" s="360"/>
      <c r="I763" s="360"/>
      <c r="J763" s="360"/>
      <c r="K763" s="361"/>
      <c r="L763" s="360"/>
      <c r="M763" s="361"/>
      <c r="N763" s="360"/>
      <c r="O763" s="360"/>
      <c r="P763" s="360"/>
      <c r="Q763" s="360"/>
      <c r="R763" s="360"/>
      <c r="S763" s="360"/>
      <c r="T763" s="360"/>
      <c r="U763" s="360"/>
      <c r="V763" s="360"/>
      <c r="W763" s="360"/>
      <c r="X763" s="360"/>
      <c r="Y763" s="360"/>
      <c r="Z763" s="360"/>
      <c r="AA763" s="360"/>
      <c r="AB763" s="362"/>
      <c r="AC763" s="360"/>
      <c r="AD763" s="360"/>
      <c r="AE763" s="360"/>
    </row>
    <row r="764">
      <c r="A764" s="360"/>
      <c r="B764" s="360"/>
      <c r="C764" s="360"/>
      <c r="D764" s="360"/>
      <c r="E764" s="360"/>
      <c r="F764" s="360"/>
      <c r="G764" s="360"/>
      <c r="H764" s="360"/>
      <c r="I764" s="360"/>
      <c r="J764" s="360"/>
      <c r="K764" s="361"/>
      <c r="L764" s="360"/>
      <c r="M764" s="361"/>
      <c r="N764" s="360"/>
      <c r="O764" s="360"/>
      <c r="P764" s="360"/>
      <c r="Q764" s="360"/>
      <c r="R764" s="360"/>
      <c r="S764" s="360"/>
      <c r="T764" s="360"/>
      <c r="U764" s="360"/>
      <c r="V764" s="360"/>
      <c r="W764" s="360"/>
      <c r="X764" s="360"/>
      <c r="Y764" s="360"/>
      <c r="Z764" s="360"/>
      <c r="AA764" s="360"/>
      <c r="AB764" s="362"/>
      <c r="AC764" s="360"/>
      <c r="AD764" s="360"/>
      <c r="AE764" s="360"/>
    </row>
    <row r="765">
      <c r="A765" s="360"/>
      <c r="B765" s="360"/>
      <c r="C765" s="360"/>
      <c r="D765" s="360"/>
      <c r="E765" s="360"/>
      <c r="F765" s="360"/>
      <c r="G765" s="360"/>
      <c r="H765" s="360"/>
      <c r="I765" s="360"/>
      <c r="J765" s="360"/>
      <c r="K765" s="361"/>
      <c r="L765" s="360"/>
      <c r="M765" s="361"/>
      <c r="N765" s="360"/>
      <c r="O765" s="360"/>
      <c r="P765" s="360"/>
      <c r="Q765" s="360"/>
      <c r="R765" s="360"/>
      <c r="S765" s="360"/>
      <c r="T765" s="360"/>
      <c r="U765" s="360"/>
      <c r="V765" s="360"/>
      <c r="W765" s="360"/>
      <c r="X765" s="360"/>
      <c r="Y765" s="360"/>
      <c r="Z765" s="360"/>
      <c r="AA765" s="360"/>
      <c r="AB765" s="362"/>
      <c r="AC765" s="360"/>
      <c r="AD765" s="360"/>
      <c r="AE765" s="360"/>
    </row>
    <row r="766">
      <c r="A766" s="360"/>
      <c r="B766" s="360"/>
      <c r="C766" s="360"/>
      <c r="D766" s="360"/>
      <c r="E766" s="360"/>
      <c r="F766" s="360"/>
      <c r="G766" s="360"/>
      <c r="H766" s="360"/>
      <c r="I766" s="360"/>
      <c r="J766" s="360"/>
      <c r="K766" s="361"/>
      <c r="L766" s="360"/>
      <c r="M766" s="361"/>
      <c r="N766" s="360"/>
      <c r="O766" s="360"/>
      <c r="P766" s="360"/>
      <c r="Q766" s="360"/>
      <c r="R766" s="360"/>
      <c r="S766" s="360"/>
      <c r="T766" s="360"/>
      <c r="U766" s="360"/>
      <c r="V766" s="360"/>
      <c r="W766" s="360"/>
      <c r="X766" s="360"/>
      <c r="Y766" s="360"/>
      <c r="Z766" s="360"/>
      <c r="AA766" s="360"/>
      <c r="AB766" s="362"/>
      <c r="AC766" s="360"/>
      <c r="AD766" s="360"/>
      <c r="AE766" s="360"/>
    </row>
    <row r="767">
      <c r="A767" s="360"/>
      <c r="B767" s="360"/>
      <c r="C767" s="360"/>
      <c r="D767" s="360"/>
      <c r="E767" s="360"/>
      <c r="F767" s="360"/>
      <c r="G767" s="360"/>
      <c r="H767" s="360"/>
      <c r="I767" s="360"/>
      <c r="J767" s="360"/>
      <c r="K767" s="361"/>
      <c r="L767" s="360"/>
      <c r="M767" s="361"/>
      <c r="N767" s="360"/>
      <c r="O767" s="360"/>
      <c r="P767" s="360"/>
      <c r="Q767" s="360"/>
      <c r="R767" s="360"/>
      <c r="S767" s="360"/>
      <c r="T767" s="360"/>
      <c r="U767" s="360"/>
      <c r="V767" s="360"/>
      <c r="W767" s="360"/>
      <c r="X767" s="360"/>
      <c r="Y767" s="360"/>
      <c r="Z767" s="360"/>
      <c r="AA767" s="360"/>
      <c r="AB767" s="362"/>
      <c r="AC767" s="360"/>
      <c r="AD767" s="360"/>
      <c r="AE767" s="360"/>
    </row>
    <row r="768">
      <c r="A768" s="360"/>
      <c r="B768" s="360"/>
      <c r="C768" s="360"/>
      <c r="D768" s="360"/>
      <c r="E768" s="360"/>
      <c r="F768" s="360"/>
      <c r="G768" s="360"/>
      <c r="H768" s="360"/>
      <c r="I768" s="360"/>
      <c r="J768" s="360"/>
      <c r="K768" s="361"/>
      <c r="L768" s="360"/>
      <c r="M768" s="361"/>
      <c r="N768" s="360"/>
      <c r="O768" s="360"/>
      <c r="P768" s="360"/>
      <c r="Q768" s="360"/>
      <c r="R768" s="360"/>
      <c r="S768" s="360"/>
      <c r="T768" s="360"/>
      <c r="U768" s="360"/>
      <c r="V768" s="360"/>
      <c r="W768" s="360"/>
      <c r="X768" s="360"/>
      <c r="Y768" s="360"/>
      <c r="Z768" s="360"/>
      <c r="AA768" s="360"/>
      <c r="AB768" s="362"/>
      <c r="AC768" s="360"/>
      <c r="AD768" s="360"/>
      <c r="AE768" s="360"/>
    </row>
    <row r="769">
      <c r="A769" s="360"/>
      <c r="B769" s="360"/>
      <c r="C769" s="360"/>
      <c r="D769" s="360"/>
      <c r="E769" s="360"/>
      <c r="F769" s="360"/>
      <c r="G769" s="360"/>
      <c r="H769" s="360"/>
      <c r="I769" s="360"/>
      <c r="J769" s="360"/>
      <c r="K769" s="361"/>
      <c r="L769" s="360"/>
      <c r="M769" s="361"/>
      <c r="N769" s="360"/>
      <c r="O769" s="360"/>
      <c r="P769" s="360"/>
      <c r="Q769" s="360"/>
      <c r="R769" s="360"/>
      <c r="S769" s="360"/>
      <c r="T769" s="360"/>
      <c r="U769" s="360"/>
      <c r="V769" s="360"/>
      <c r="W769" s="360"/>
      <c r="X769" s="360"/>
      <c r="Y769" s="360"/>
      <c r="Z769" s="360"/>
      <c r="AA769" s="360"/>
      <c r="AB769" s="362"/>
      <c r="AC769" s="360"/>
      <c r="AD769" s="360"/>
      <c r="AE769" s="360"/>
    </row>
    <row r="770">
      <c r="A770" s="360"/>
      <c r="B770" s="360"/>
      <c r="C770" s="360"/>
      <c r="D770" s="360"/>
      <c r="E770" s="360"/>
      <c r="F770" s="360"/>
      <c r="G770" s="360"/>
      <c r="H770" s="360"/>
      <c r="I770" s="360"/>
      <c r="J770" s="360"/>
      <c r="K770" s="361"/>
      <c r="L770" s="360"/>
      <c r="M770" s="361"/>
      <c r="N770" s="360"/>
      <c r="O770" s="360"/>
      <c r="P770" s="360"/>
      <c r="Q770" s="360"/>
      <c r="R770" s="360"/>
      <c r="S770" s="360"/>
      <c r="T770" s="360"/>
      <c r="U770" s="360"/>
      <c r="V770" s="360"/>
      <c r="W770" s="360"/>
      <c r="X770" s="360"/>
      <c r="Y770" s="360"/>
      <c r="Z770" s="360"/>
      <c r="AA770" s="360"/>
      <c r="AB770" s="362"/>
      <c r="AC770" s="360"/>
      <c r="AD770" s="360"/>
      <c r="AE770" s="360"/>
    </row>
    <row r="771">
      <c r="A771" s="360"/>
      <c r="B771" s="360"/>
      <c r="C771" s="360"/>
      <c r="D771" s="360"/>
      <c r="E771" s="360"/>
      <c r="F771" s="360"/>
      <c r="G771" s="360"/>
      <c r="H771" s="360"/>
      <c r="I771" s="360"/>
      <c r="J771" s="360"/>
      <c r="K771" s="361"/>
      <c r="L771" s="360"/>
      <c r="M771" s="361"/>
      <c r="N771" s="360"/>
      <c r="O771" s="360"/>
      <c r="P771" s="360"/>
      <c r="Q771" s="360"/>
      <c r="R771" s="360"/>
      <c r="S771" s="360"/>
      <c r="T771" s="360"/>
      <c r="U771" s="360"/>
      <c r="V771" s="360"/>
      <c r="W771" s="360"/>
      <c r="X771" s="360"/>
      <c r="Y771" s="360"/>
      <c r="Z771" s="360"/>
      <c r="AA771" s="360"/>
      <c r="AB771" s="362"/>
      <c r="AC771" s="360"/>
      <c r="AD771" s="360"/>
      <c r="AE771" s="360"/>
    </row>
    <row r="772">
      <c r="A772" s="360"/>
      <c r="B772" s="360"/>
      <c r="C772" s="360"/>
      <c r="D772" s="360"/>
      <c r="E772" s="360"/>
      <c r="F772" s="360"/>
      <c r="G772" s="360"/>
      <c r="H772" s="360"/>
      <c r="I772" s="360"/>
      <c r="J772" s="360"/>
      <c r="K772" s="361"/>
      <c r="L772" s="360"/>
      <c r="M772" s="361"/>
      <c r="N772" s="360"/>
      <c r="O772" s="360"/>
      <c r="P772" s="360"/>
      <c r="Q772" s="360"/>
      <c r="R772" s="360"/>
      <c r="S772" s="360"/>
      <c r="T772" s="360"/>
      <c r="U772" s="360"/>
      <c r="V772" s="360"/>
      <c r="W772" s="360"/>
      <c r="X772" s="360"/>
      <c r="Y772" s="360"/>
      <c r="Z772" s="360"/>
      <c r="AA772" s="360"/>
      <c r="AB772" s="362"/>
      <c r="AC772" s="360"/>
      <c r="AD772" s="360"/>
      <c r="AE772" s="360"/>
    </row>
    <row r="773">
      <c r="A773" s="360"/>
      <c r="B773" s="360"/>
      <c r="C773" s="360"/>
      <c r="D773" s="360"/>
      <c r="E773" s="360"/>
      <c r="F773" s="360"/>
      <c r="G773" s="360"/>
      <c r="H773" s="360"/>
      <c r="I773" s="360"/>
      <c r="J773" s="360"/>
      <c r="K773" s="361"/>
      <c r="L773" s="360"/>
      <c r="M773" s="361"/>
      <c r="N773" s="360"/>
      <c r="O773" s="360"/>
      <c r="P773" s="360"/>
      <c r="Q773" s="360"/>
      <c r="R773" s="360"/>
      <c r="S773" s="360"/>
      <c r="T773" s="360"/>
      <c r="U773" s="360"/>
      <c r="V773" s="360"/>
      <c r="W773" s="360"/>
      <c r="X773" s="360"/>
      <c r="Y773" s="360"/>
      <c r="Z773" s="360"/>
      <c r="AA773" s="360"/>
      <c r="AB773" s="362"/>
      <c r="AC773" s="360"/>
      <c r="AD773" s="360"/>
      <c r="AE773" s="360"/>
    </row>
    <row r="774">
      <c r="A774" s="360"/>
      <c r="B774" s="360"/>
      <c r="C774" s="360"/>
      <c r="D774" s="360"/>
      <c r="E774" s="360"/>
      <c r="F774" s="360"/>
      <c r="G774" s="360"/>
      <c r="H774" s="360"/>
      <c r="I774" s="360"/>
      <c r="J774" s="360"/>
      <c r="K774" s="361"/>
      <c r="L774" s="360"/>
      <c r="M774" s="361"/>
      <c r="N774" s="360"/>
      <c r="O774" s="360"/>
      <c r="P774" s="360"/>
      <c r="Q774" s="360"/>
      <c r="R774" s="360"/>
      <c r="S774" s="360"/>
      <c r="T774" s="360"/>
      <c r="U774" s="360"/>
      <c r="V774" s="360"/>
      <c r="W774" s="360"/>
      <c r="X774" s="360"/>
      <c r="Y774" s="360"/>
      <c r="Z774" s="360"/>
      <c r="AA774" s="360"/>
      <c r="AB774" s="362"/>
      <c r="AC774" s="360"/>
      <c r="AD774" s="360"/>
      <c r="AE774" s="360"/>
    </row>
    <row r="775">
      <c r="A775" s="360"/>
      <c r="B775" s="360"/>
      <c r="C775" s="360"/>
      <c r="D775" s="360"/>
      <c r="E775" s="360"/>
      <c r="F775" s="360"/>
      <c r="G775" s="360"/>
      <c r="H775" s="360"/>
      <c r="I775" s="360"/>
      <c r="J775" s="360"/>
      <c r="K775" s="361"/>
      <c r="L775" s="360"/>
      <c r="M775" s="361"/>
      <c r="N775" s="360"/>
      <c r="O775" s="360"/>
      <c r="P775" s="360"/>
      <c r="Q775" s="360"/>
      <c r="R775" s="360"/>
      <c r="S775" s="360"/>
      <c r="T775" s="360"/>
      <c r="U775" s="360"/>
      <c r="V775" s="360"/>
      <c r="W775" s="360"/>
      <c r="X775" s="360"/>
      <c r="Y775" s="360"/>
      <c r="Z775" s="360"/>
      <c r="AA775" s="360"/>
      <c r="AB775" s="362"/>
      <c r="AC775" s="360"/>
      <c r="AD775" s="360"/>
      <c r="AE775" s="360"/>
    </row>
    <row r="776">
      <c r="A776" s="360"/>
      <c r="B776" s="360"/>
      <c r="C776" s="360"/>
      <c r="D776" s="360"/>
      <c r="E776" s="360"/>
      <c r="F776" s="360"/>
      <c r="G776" s="360"/>
      <c r="H776" s="360"/>
      <c r="I776" s="360"/>
      <c r="J776" s="360"/>
      <c r="K776" s="361"/>
      <c r="L776" s="360"/>
      <c r="M776" s="361"/>
      <c r="N776" s="360"/>
      <c r="O776" s="360"/>
      <c r="P776" s="360"/>
      <c r="Q776" s="360"/>
      <c r="R776" s="360"/>
      <c r="S776" s="360"/>
      <c r="T776" s="360"/>
      <c r="U776" s="360"/>
      <c r="V776" s="360"/>
      <c r="W776" s="360"/>
      <c r="X776" s="360"/>
      <c r="Y776" s="360"/>
      <c r="Z776" s="360"/>
      <c r="AA776" s="360"/>
      <c r="AB776" s="362"/>
      <c r="AC776" s="360"/>
      <c r="AD776" s="360"/>
      <c r="AE776" s="360"/>
    </row>
    <row r="777">
      <c r="A777" s="360"/>
      <c r="B777" s="360"/>
      <c r="C777" s="360"/>
      <c r="D777" s="360"/>
      <c r="E777" s="360"/>
      <c r="F777" s="360"/>
      <c r="G777" s="360"/>
      <c r="H777" s="360"/>
      <c r="I777" s="360"/>
      <c r="J777" s="360"/>
      <c r="K777" s="361"/>
      <c r="L777" s="360"/>
      <c r="M777" s="361"/>
      <c r="N777" s="360"/>
      <c r="O777" s="360"/>
      <c r="P777" s="360"/>
      <c r="Q777" s="360"/>
      <c r="R777" s="360"/>
      <c r="S777" s="360"/>
      <c r="T777" s="360"/>
      <c r="U777" s="360"/>
      <c r="V777" s="360"/>
      <c r="W777" s="360"/>
      <c r="X777" s="360"/>
      <c r="Y777" s="360"/>
      <c r="Z777" s="360"/>
      <c r="AA777" s="360"/>
      <c r="AB777" s="362"/>
      <c r="AC777" s="360"/>
      <c r="AD777" s="360"/>
      <c r="AE777" s="360"/>
    </row>
    <row r="778">
      <c r="A778" s="360"/>
      <c r="B778" s="360"/>
      <c r="C778" s="360"/>
      <c r="D778" s="360"/>
      <c r="E778" s="360"/>
      <c r="F778" s="360"/>
      <c r="G778" s="360"/>
      <c r="H778" s="360"/>
      <c r="I778" s="360"/>
      <c r="J778" s="360"/>
      <c r="K778" s="361"/>
      <c r="L778" s="360"/>
      <c r="M778" s="361"/>
      <c r="N778" s="360"/>
      <c r="O778" s="360"/>
      <c r="P778" s="360"/>
      <c r="Q778" s="360"/>
      <c r="R778" s="360"/>
      <c r="S778" s="360"/>
      <c r="T778" s="360"/>
      <c r="U778" s="360"/>
      <c r="V778" s="360"/>
      <c r="W778" s="360"/>
      <c r="X778" s="360"/>
      <c r="Y778" s="360"/>
      <c r="Z778" s="360"/>
      <c r="AA778" s="360"/>
      <c r="AB778" s="362"/>
      <c r="AC778" s="360"/>
      <c r="AD778" s="360"/>
      <c r="AE778" s="360"/>
    </row>
    <row r="779">
      <c r="A779" s="360"/>
      <c r="B779" s="360"/>
      <c r="C779" s="360"/>
      <c r="D779" s="360"/>
      <c r="E779" s="360"/>
      <c r="F779" s="360"/>
      <c r="G779" s="360"/>
      <c r="H779" s="360"/>
      <c r="I779" s="360"/>
      <c r="J779" s="360"/>
      <c r="K779" s="361"/>
      <c r="L779" s="360"/>
      <c r="M779" s="361"/>
      <c r="N779" s="360"/>
      <c r="O779" s="360"/>
      <c r="P779" s="360"/>
      <c r="Q779" s="360"/>
      <c r="R779" s="360"/>
      <c r="S779" s="360"/>
      <c r="T779" s="360"/>
      <c r="U779" s="360"/>
      <c r="V779" s="360"/>
      <c r="W779" s="360"/>
      <c r="X779" s="360"/>
      <c r="Y779" s="360"/>
      <c r="Z779" s="360"/>
      <c r="AA779" s="360"/>
      <c r="AB779" s="362"/>
      <c r="AC779" s="360"/>
      <c r="AD779" s="360"/>
      <c r="AE779" s="360"/>
    </row>
    <row r="780">
      <c r="A780" s="360"/>
      <c r="B780" s="360"/>
      <c r="C780" s="360"/>
      <c r="D780" s="360"/>
      <c r="E780" s="360"/>
      <c r="F780" s="360"/>
      <c r="G780" s="360"/>
      <c r="H780" s="360"/>
      <c r="I780" s="360"/>
      <c r="J780" s="360"/>
      <c r="K780" s="361"/>
      <c r="L780" s="360"/>
      <c r="M780" s="361"/>
      <c r="N780" s="360"/>
      <c r="O780" s="360"/>
      <c r="P780" s="360"/>
      <c r="Q780" s="360"/>
      <c r="R780" s="360"/>
      <c r="S780" s="360"/>
      <c r="T780" s="360"/>
      <c r="U780" s="360"/>
      <c r="V780" s="360"/>
      <c r="W780" s="360"/>
      <c r="X780" s="360"/>
      <c r="Y780" s="360"/>
      <c r="Z780" s="360"/>
      <c r="AA780" s="360"/>
      <c r="AB780" s="362"/>
      <c r="AC780" s="360"/>
      <c r="AD780" s="360"/>
      <c r="AE780" s="360"/>
    </row>
    <row r="781">
      <c r="A781" s="360"/>
      <c r="B781" s="360"/>
      <c r="C781" s="360"/>
      <c r="D781" s="360"/>
      <c r="E781" s="360"/>
      <c r="F781" s="360"/>
      <c r="G781" s="360"/>
      <c r="H781" s="360"/>
      <c r="I781" s="360"/>
      <c r="J781" s="360"/>
      <c r="K781" s="361"/>
      <c r="L781" s="360"/>
      <c r="M781" s="361"/>
      <c r="N781" s="360"/>
      <c r="O781" s="360"/>
      <c r="P781" s="360"/>
      <c r="Q781" s="360"/>
      <c r="R781" s="360"/>
      <c r="S781" s="360"/>
      <c r="T781" s="360"/>
      <c r="U781" s="360"/>
      <c r="V781" s="360"/>
      <c r="W781" s="360"/>
      <c r="X781" s="360"/>
      <c r="Y781" s="360"/>
      <c r="Z781" s="360"/>
      <c r="AA781" s="360"/>
      <c r="AB781" s="362"/>
      <c r="AC781" s="360"/>
      <c r="AD781" s="360"/>
      <c r="AE781" s="360"/>
    </row>
    <row r="782">
      <c r="A782" s="360"/>
      <c r="B782" s="360"/>
      <c r="C782" s="360"/>
      <c r="D782" s="360"/>
      <c r="E782" s="360"/>
      <c r="F782" s="360"/>
      <c r="G782" s="360"/>
      <c r="H782" s="360"/>
      <c r="I782" s="360"/>
      <c r="J782" s="360"/>
      <c r="K782" s="361"/>
      <c r="L782" s="360"/>
      <c r="M782" s="361"/>
      <c r="N782" s="360"/>
      <c r="O782" s="360"/>
      <c r="P782" s="360"/>
      <c r="Q782" s="360"/>
      <c r="R782" s="360"/>
      <c r="S782" s="360"/>
      <c r="T782" s="360"/>
      <c r="U782" s="360"/>
      <c r="V782" s="360"/>
      <c r="W782" s="360"/>
      <c r="X782" s="360"/>
      <c r="Y782" s="360"/>
      <c r="Z782" s="360"/>
      <c r="AA782" s="360"/>
      <c r="AB782" s="362"/>
      <c r="AC782" s="360"/>
      <c r="AD782" s="360"/>
      <c r="AE782" s="360"/>
    </row>
    <row r="783">
      <c r="A783" s="360"/>
      <c r="B783" s="360"/>
      <c r="C783" s="360"/>
      <c r="D783" s="360"/>
      <c r="E783" s="360"/>
      <c r="F783" s="360"/>
      <c r="G783" s="360"/>
      <c r="H783" s="360"/>
      <c r="I783" s="360"/>
      <c r="J783" s="360"/>
      <c r="K783" s="361"/>
      <c r="L783" s="360"/>
      <c r="M783" s="361"/>
      <c r="N783" s="360"/>
      <c r="O783" s="360"/>
      <c r="P783" s="360"/>
      <c r="Q783" s="360"/>
      <c r="R783" s="360"/>
      <c r="S783" s="360"/>
      <c r="T783" s="360"/>
      <c r="U783" s="360"/>
      <c r="V783" s="360"/>
      <c r="W783" s="360"/>
      <c r="X783" s="360"/>
      <c r="Y783" s="360"/>
      <c r="Z783" s="360"/>
      <c r="AA783" s="360"/>
      <c r="AB783" s="362"/>
      <c r="AC783" s="360"/>
      <c r="AD783" s="360"/>
      <c r="AE783" s="360"/>
    </row>
    <row r="784">
      <c r="A784" s="360"/>
      <c r="B784" s="360"/>
      <c r="C784" s="360"/>
      <c r="D784" s="360"/>
      <c r="E784" s="360"/>
      <c r="F784" s="360"/>
      <c r="G784" s="360"/>
      <c r="H784" s="360"/>
      <c r="I784" s="360"/>
      <c r="J784" s="360"/>
      <c r="K784" s="361"/>
      <c r="L784" s="360"/>
      <c r="M784" s="361"/>
      <c r="N784" s="360"/>
      <c r="O784" s="360"/>
      <c r="P784" s="360"/>
      <c r="Q784" s="360"/>
      <c r="R784" s="360"/>
      <c r="S784" s="360"/>
      <c r="T784" s="360"/>
      <c r="U784" s="360"/>
      <c r="V784" s="360"/>
      <c r="W784" s="360"/>
      <c r="X784" s="360"/>
      <c r="Y784" s="360"/>
      <c r="Z784" s="360"/>
      <c r="AA784" s="360"/>
      <c r="AB784" s="362"/>
      <c r="AC784" s="360"/>
      <c r="AD784" s="360"/>
      <c r="AE784" s="360"/>
    </row>
    <row r="785">
      <c r="A785" s="360"/>
      <c r="B785" s="360"/>
      <c r="C785" s="360"/>
      <c r="D785" s="360"/>
      <c r="E785" s="360"/>
      <c r="F785" s="360"/>
      <c r="G785" s="360"/>
      <c r="H785" s="360"/>
      <c r="I785" s="360"/>
      <c r="J785" s="360"/>
      <c r="K785" s="361"/>
      <c r="L785" s="360"/>
      <c r="M785" s="361"/>
      <c r="N785" s="360"/>
      <c r="O785" s="360"/>
      <c r="P785" s="360"/>
      <c r="Q785" s="360"/>
      <c r="R785" s="360"/>
      <c r="S785" s="360"/>
      <c r="T785" s="360"/>
      <c r="U785" s="360"/>
      <c r="V785" s="360"/>
      <c r="W785" s="360"/>
      <c r="X785" s="360"/>
      <c r="Y785" s="360"/>
      <c r="Z785" s="360"/>
      <c r="AA785" s="360"/>
      <c r="AB785" s="362"/>
      <c r="AC785" s="360"/>
      <c r="AD785" s="360"/>
      <c r="AE785" s="360"/>
    </row>
    <row r="786">
      <c r="A786" s="360"/>
      <c r="B786" s="360"/>
      <c r="C786" s="360"/>
      <c r="D786" s="360"/>
      <c r="E786" s="360"/>
      <c r="F786" s="360"/>
      <c r="G786" s="360"/>
      <c r="H786" s="360"/>
      <c r="I786" s="360"/>
      <c r="J786" s="360"/>
      <c r="K786" s="361"/>
      <c r="L786" s="360"/>
      <c r="M786" s="361"/>
      <c r="N786" s="360"/>
      <c r="O786" s="360"/>
      <c r="P786" s="360"/>
      <c r="Q786" s="360"/>
      <c r="R786" s="360"/>
      <c r="S786" s="360"/>
      <c r="T786" s="360"/>
      <c r="U786" s="360"/>
      <c r="V786" s="360"/>
      <c r="W786" s="360"/>
      <c r="X786" s="360"/>
      <c r="Y786" s="360"/>
      <c r="Z786" s="360"/>
      <c r="AA786" s="360"/>
      <c r="AB786" s="362"/>
      <c r="AC786" s="360"/>
      <c r="AD786" s="360"/>
      <c r="AE786" s="360"/>
    </row>
    <row r="787">
      <c r="A787" s="360"/>
      <c r="B787" s="360"/>
      <c r="C787" s="360"/>
      <c r="D787" s="360"/>
      <c r="E787" s="360"/>
      <c r="F787" s="360"/>
      <c r="G787" s="360"/>
      <c r="H787" s="360"/>
      <c r="I787" s="360"/>
      <c r="J787" s="360"/>
      <c r="K787" s="361"/>
      <c r="L787" s="360"/>
      <c r="M787" s="361"/>
      <c r="N787" s="360"/>
      <c r="O787" s="360"/>
      <c r="P787" s="360"/>
      <c r="Q787" s="360"/>
      <c r="R787" s="360"/>
      <c r="S787" s="360"/>
      <c r="T787" s="360"/>
      <c r="U787" s="360"/>
      <c r="V787" s="360"/>
      <c r="W787" s="360"/>
      <c r="X787" s="360"/>
      <c r="Y787" s="360"/>
      <c r="Z787" s="360"/>
      <c r="AA787" s="360"/>
      <c r="AB787" s="362"/>
      <c r="AC787" s="360"/>
      <c r="AD787" s="360"/>
      <c r="AE787" s="360"/>
    </row>
    <row r="788">
      <c r="A788" s="360"/>
      <c r="B788" s="360"/>
      <c r="C788" s="360"/>
      <c r="D788" s="360"/>
      <c r="E788" s="360"/>
      <c r="F788" s="360"/>
      <c r="G788" s="360"/>
      <c r="H788" s="360"/>
      <c r="I788" s="360"/>
      <c r="J788" s="360"/>
      <c r="K788" s="361"/>
      <c r="L788" s="360"/>
      <c r="M788" s="361"/>
      <c r="N788" s="360"/>
      <c r="O788" s="360"/>
      <c r="P788" s="360"/>
      <c r="Q788" s="360"/>
      <c r="R788" s="360"/>
      <c r="S788" s="360"/>
      <c r="T788" s="360"/>
      <c r="U788" s="360"/>
      <c r="V788" s="360"/>
      <c r="W788" s="360"/>
      <c r="X788" s="360"/>
      <c r="Y788" s="360"/>
      <c r="Z788" s="360"/>
      <c r="AA788" s="360"/>
      <c r="AB788" s="362"/>
      <c r="AC788" s="360"/>
      <c r="AD788" s="360"/>
      <c r="AE788" s="360"/>
    </row>
    <row r="789">
      <c r="A789" s="360"/>
      <c r="B789" s="360"/>
      <c r="C789" s="360"/>
      <c r="D789" s="360"/>
      <c r="E789" s="360"/>
      <c r="F789" s="360"/>
      <c r="G789" s="360"/>
      <c r="H789" s="360"/>
      <c r="I789" s="360"/>
      <c r="J789" s="360"/>
      <c r="K789" s="361"/>
      <c r="L789" s="360"/>
      <c r="M789" s="361"/>
      <c r="N789" s="360"/>
      <c r="O789" s="360"/>
      <c r="P789" s="360"/>
      <c r="Q789" s="360"/>
      <c r="R789" s="360"/>
      <c r="S789" s="360"/>
      <c r="T789" s="360"/>
      <c r="U789" s="360"/>
      <c r="V789" s="360"/>
      <c r="W789" s="360"/>
      <c r="X789" s="360"/>
      <c r="Y789" s="360"/>
      <c r="Z789" s="360"/>
      <c r="AA789" s="360"/>
      <c r="AB789" s="362"/>
      <c r="AC789" s="360"/>
      <c r="AD789" s="360"/>
      <c r="AE789" s="360"/>
    </row>
    <row r="790">
      <c r="A790" s="360"/>
      <c r="B790" s="360"/>
      <c r="C790" s="360"/>
      <c r="D790" s="360"/>
      <c r="E790" s="360"/>
      <c r="F790" s="360"/>
      <c r="G790" s="360"/>
      <c r="H790" s="360"/>
      <c r="I790" s="360"/>
      <c r="J790" s="360"/>
      <c r="K790" s="361"/>
      <c r="L790" s="360"/>
      <c r="M790" s="361"/>
      <c r="N790" s="360"/>
      <c r="O790" s="360"/>
      <c r="P790" s="360"/>
      <c r="Q790" s="360"/>
      <c r="R790" s="360"/>
      <c r="S790" s="360"/>
      <c r="T790" s="360"/>
      <c r="U790" s="360"/>
      <c r="V790" s="360"/>
      <c r="W790" s="360"/>
      <c r="X790" s="360"/>
      <c r="Y790" s="360"/>
      <c r="Z790" s="360"/>
      <c r="AA790" s="360"/>
      <c r="AB790" s="362"/>
      <c r="AC790" s="360"/>
      <c r="AD790" s="360"/>
      <c r="AE790" s="360"/>
    </row>
    <row r="791">
      <c r="A791" s="360"/>
      <c r="B791" s="360"/>
      <c r="C791" s="360"/>
      <c r="D791" s="360"/>
      <c r="E791" s="360"/>
      <c r="F791" s="360"/>
      <c r="G791" s="360"/>
      <c r="H791" s="360"/>
      <c r="I791" s="360"/>
      <c r="J791" s="360"/>
      <c r="K791" s="361"/>
      <c r="L791" s="360"/>
      <c r="M791" s="361"/>
      <c r="N791" s="360"/>
      <c r="O791" s="360"/>
      <c r="P791" s="360"/>
      <c r="Q791" s="360"/>
      <c r="R791" s="360"/>
      <c r="S791" s="360"/>
      <c r="T791" s="360"/>
      <c r="U791" s="360"/>
      <c r="V791" s="360"/>
      <c r="W791" s="360"/>
      <c r="X791" s="360"/>
      <c r="Y791" s="360"/>
      <c r="Z791" s="360"/>
      <c r="AA791" s="360"/>
      <c r="AB791" s="362"/>
      <c r="AC791" s="360"/>
      <c r="AD791" s="360"/>
      <c r="AE791" s="360"/>
    </row>
    <row r="792">
      <c r="A792" s="360"/>
      <c r="B792" s="360"/>
      <c r="C792" s="360"/>
      <c r="D792" s="360"/>
      <c r="E792" s="360"/>
      <c r="F792" s="360"/>
      <c r="G792" s="360"/>
      <c r="H792" s="360"/>
      <c r="I792" s="360"/>
      <c r="J792" s="360"/>
      <c r="K792" s="361"/>
      <c r="L792" s="360"/>
      <c r="M792" s="361"/>
      <c r="N792" s="360"/>
      <c r="O792" s="360"/>
      <c r="P792" s="360"/>
      <c r="Q792" s="360"/>
      <c r="R792" s="360"/>
      <c r="S792" s="360"/>
      <c r="T792" s="360"/>
      <c r="U792" s="360"/>
      <c r="V792" s="360"/>
      <c r="W792" s="360"/>
      <c r="X792" s="360"/>
      <c r="Y792" s="360"/>
      <c r="Z792" s="360"/>
      <c r="AA792" s="360"/>
      <c r="AB792" s="362"/>
      <c r="AC792" s="360"/>
      <c r="AD792" s="360"/>
      <c r="AE792" s="360"/>
    </row>
    <row r="793">
      <c r="A793" s="360"/>
      <c r="B793" s="360"/>
      <c r="C793" s="360"/>
      <c r="D793" s="360"/>
      <c r="E793" s="360"/>
      <c r="F793" s="360"/>
      <c r="G793" s="360"/>
      <c r="H793" s="360"/>
      <c r="I793" s="360"/>
      <c r="J793" s="360"/>
      <c r="K793" s="361"/>
      <c r="L793" s="360"/>
      <c r="M793" s="361"/>
      <c r="N793" s="360"/>
      <c r="O793" s="360"/>
      <c r="P793" s="360"/>
      <c r="Q793" s="360"/>
      <c r="R793" s="360"/>
      <c r="S793" s="360"/>
      <c r="T793" s="360"/>
      <c r="U793" s="360"/>
      <c r="V793" s="360"/>
      <c r="W793" s="360"/>
      <c r="X793" s="360"/>
      <c r="Y793" s="360"/>
      <c r="Z793" s="360"/>
      <c r="AA793" s="360"/>
      <c r="AB793" s="362"/>
      <c r="AC793" s="360"/>
      <c r="AD793" s="360"/>
      <c r="AE793" s="360"/>
    </row>
    <row r="794">
      <c r="A794" s="360"/>
      <c r="B794" s="360"/>
      <c r="C794" s="360"/>
      <c r="D794" s="360"/>
      <c r="E794" s="360"/>
      <c r="F794" s="360"/>
      <c r="G794" s="360"/>
      <c r="H794" s="360"/>
      <c r="I794" s="360"/>
      <c r="J794" s="360"/>
      <c r="K794" s="361"/>
      <c r="L794" s="360"/>
      <c r="M794" s="361"/>
      <c r="N794" s="360"/>
      <c r="O794" s="360"/>
      <c r="P794" s="360"/>
      <c r="Q794" s="360"/>
      <c r="R794" s="360"/>
      <c r="S794" s="360"/>
      <c r="T794" s="360"/>
      <c r="U794" s="360"/>
      <c r="V794" s="360"/>
      <c r="W794" s="360"/>
      <c r="X794" s="360"/>
      <c r="Y794" s="360"/>
      <c r="Z794" s="360"/>
      <c r="AA794" s="360"/>
      <c r="AB794" s="362"/>
      <c r="AC794" s="360"/>
      <c r="AD794" s="360"/>
      <c r="AE794" s="360"/>
    </row>
    <row r="795">
      <c r="A795" s="360"/>
      <c r="B795" s="360"/>
      <c r="C795" s="360"/>
      <c r="D795" s="360"/>
      <c r="E795" s="360"/>
      <c r="F795" s="360"/>
      <c r="G795" s="360"/>
      <c r="H795" s="360"/>
      <c r="I795" s="360"/>
      <c r="J795" s="360"/>
      <c r="K795" s="361"/>
      <c r="L795" s="360"/>
      <c r="M795" s="361"/>
      <c r="N795" s="360"/>
      <c r="O795" s="360"/>
      <c r="P795" s="360"/>
      <c r="Q795" s="360"/>
      <c r="R795" s="360"/>
      <c r="S795" s="360"/>
      <c r="T795" s="360"/>
      <c r="U795" s="360"/>
      <c r="V795" s="360"/>
      <c r="W795" s="360"/>
      <c r="X795" s="360"/>
      <c r="Y795" s="360"/>
      <c r="Z795" s="360"/>
      <c r="AA795" s="360"/>
      <c r="AB795" s="362"/>
      <c r="AC795" s="360"/>
      <c r="AD795" s="360"/>
      <c r="AE795" s="360"/>
    </row>
    <row r="796">
      <c r="A796" s="360"/>
      <c r="B796" s="360"/>
      <c r="C796" s="360"/>
      <c r="D796" s="360"/>
      <c r="E796" s="360"/>
      <c r="F796" s="360"/>
      <c r="G796" s="360"/>
      <c r="H796" s="360"/>
      <c r="I796" s="360"/>
      <c r="J796" s="360"/>
      <c r="K796" s="361"/>
      <c r="L796" s="360"/>
      <c r="M796" s="361"/>
      <c r="N796" s="360"/>
      <c r="O796" s="360"/>
      <c r="P796" s="360"/>
      <c r="Q796" s="360"/>
      <c r="R796" s="360"/>
      <c r="S796" s="360"/>
      <c r="T796" s="360"/>
      <c r="U796" s="360"/>
      <c r="V796" s="360"/>
      <c r="W796" s="360"/>
      <c r="X796" s="360"/>
      <c r="Y796" s="360"/>
      <c r="Z796" s="360"/>
      <c r="AA796" s="360"/>
      <c r="AB796" s="362"/>
      <c r="AC796" s="360"/>
      <c r="AD796" s="360"/>
      <c r="AE796" s="360"/>
    </row>
    <row r="797">
      <c r="A797" s="360"/>
      <c r="B797" s="360"/>
      <c r="C797" s="360"/>
      <c r="D797" s="360"/>
      <c r="E797" s="360"/>
      <c r="F797" s="360"/>
      <c r="G797" s="360"/>
      <c r="H797" s="360"/>
      <c r="I797" s="360"/>
      <c r="J797" s="360"/>
      <c r="K797" s="361"/>
      <c r="L797" s="360"/>
      <c r="M797" s="361"/>
      <c r="N797" s="360"/>
      <c r="O797" s="360"/>
      <c r="P797" s="360"/>
      <c r="Q797" s="360"/>
      <c r="R797" s="360"/>
      <c r="S797" s="360"/>
      <c r="T797" s="360"/>
      <c r="U797" s="360"/>
      <c r="V797" s="360"/>
      <c r="W797" s="360"/>
      <c r="X797" s="360"/>
      <c r="Y797" s="360"/>
      <c r="Z797" s="360"/>
      <c r="AA797" s="360"/>
      <c r="AB797" s="362"/>
      <c r="AC797" s="360"/>
      <c r="AD797" s="360"/>
      <c r="AE797" s="360"/>
    </row>
    <row r="798">
      <c r="A798" s="360"/>
      <c r="B798" s="360"/>
      <c r="C798" s="360"/>
      <c r="D798" s="360"/>
      <c r="E798" s="360"/>
      <c r="F798" s="360"/>
      <c r="G798" s="360"/>
      <c r="H798" s="360"/>
      <c r="I798" s="360"/>
      <c r="J798" s="360"/>
      <c r="K798" s="361"/>
      <c r="L798" s="360"/>
      <c r="M798" s="361"/>
      <c r="N798" s="360"/>
      <c r="O798" s="360"/>
      <c r="P798" s="360"/>
      <c r="Q798" s="360"/>
      <c r="R798" s="360"/>
      <c r="S798" s="360"/>
      <c r="T798" s="360"/>
      <c r="U798" s="360"/>
      <c r="V798" s="360"/>
      <c r="W798" s="360"/>
      <c r="X798" s="360"/>
      <c r="Y798" s="360"/>
      <c r="Z798" s="360"/>
      <c r="AA798" s="360"/>
      <c r="AB798" s="362"/>
      <c r="AC798" s="360"/>
      <c r="AD798" s="360"/>
      <c r="AE798" s="360"/>
    </row>
    <row r="799">
      <c r="A799" s="360"/>
      <c r="B799" s="360"/>
      <c r="C799" s="360"/>
      <c r="D799" s="360"/>
      <c r="E799" s="360"/>
      <c r="F799" s="360"/>
      <c r="G799" s="360"/>
      <c r="H799" s="360"/>
      <c r="I799" s="360"/>
      <c r="J799" s="360"/>
      <c r="K799" s="361"/>
      <c r="L799" s="360"/>
      <c r="M799" s="361"/>
      <c r="N799" s="360"/>
      <c r="O799" s="360"/>
      <c r="P799" s="360"/>
      <c r="Q799" s="360"/>
      <c r="R799" s="360"/>
      <c r="S799" s="360"/>
      <c r="T799" s="360"/>
      <c r="U799" s="360"/>
      <c r="V799" s="360"/>
      <c r="W799" s="360"/>
      <c r="X799" s="360"/>
      <c r="Y799" s="360"/>
      <c r="Z799" s="360"/>
      <c r="AA799" s="360"/>
      <c r="AB799" s="362"/>
      <c r="AC799" s="360"/>
      <c r="AD799" s="360"/>
      <c r="AE799" s="360"/>
    </row>
    <row r="800">
      <c r="A800" s="360"/>
      <c r="B800" s="360"/>
      <c r="C800" s="360"/>
      <c r="D800" s="360"/>
      <c r="E800" s="360"/>
      <c r="F800" s="360"/>
      <c r="G800" s="360"/>
      <c r="H800" s="360"/>
      <c r="I800" s="360"/>
      <c r="J800" s="360"/>
      <c r="K800" s="361"/>
      <c r="L800" s="360"/>
      <c r="M800" s="361"/>
      <c r="N800" s="360"/>
      <c r="O800" s="360"/>
      <c r="P800" s="360"/>
      <c r="Q800" s="360"/>
      <c r="R800" s="360"/>
      <c r="S800" s="360"/>
      <c r="T800" s="360"/>
      <c r="U800" s="360"/>
      <c r="V800" s="360"/>
      <c r="W800" s="360"/>
      <c r="X800" s="360"/>
      <c r="Y800" s="360"/>
      <c r="Z800" s="360"/>
      <c r="AA800" s="360"/>
      <c r="AB800" s="362"/>
      <c r="AC800" s="360"/>
      <c r="AD800" s="360"/>
      <c r="AE800" s="360"/>
    </row>
    <row r="801">
      <c r="A801" s="360"/>
      <c r="B801" s="360"/>
      <c r="C801" s="360"/>
      <c r="D801" s="360"/>
      <c r="E801" s="360"/>
      <c r="F801" s="360"/>
      <c r="G801" s="360"/>
      <c r="H801" s="360"/>
      <c r="I801" s="360"/>
      <c r="J801" s="360"/>
      <c r="K801" s="361"/>
      <c r="L801" s="360"/>
      <c r="M801" s="361"/>
      <c r="N801" s="360"/>
      <c r="O801" s="360"/>
      <c r="P801" s="360"/>
      <c r="Q801" s="360"/>
      <c r="R801" s="360"/>
      <c r="S801" s="360"/>
      <c r="T801" s="360"/>
      <c r="U801" s="360"/>
      <c r="V801" s="360"/>
      <c r="W801" s="360"/>
      <c r="X801" s="360"/>
      <c r="Y801" s="360"/>
      <c r="Z801" s="360"/>
      <c r="AA801" s="360"/>
      <c r="AB801" s="362"/>
      <c r="AC801" s="360"/>
      <c r="AD801" s="360"/>
      <c r="AE801" s="360"/>
    </row>
    <row r="802">
      <c r="A802" s="360"/>
      <c r="B802" s="360"/>
      <c r="C802" s="360"/>
      <c r="D802" s="360"/>
      <c r="E802" s="360"/>
      <c r="F802" s="360"/>
      <c r="G802" s="360"/>
      <c r="H802" s="360"/>
      <c r="I802" s="360"/>
      <c r="J802" s="360"/>
      <c r="K802" s="361"/>
      <c r="L802" s="360"/>
      <c r="M802" s="361"/>
      <c r="N802" s="360"/>
      <c r="O802" s="360"/>
      <c r="P802" s="360"/>
      <c r="Q802" s="360"/>
      <c r="R802" s="360"/>
      <c r="S802" s="360"/>
      <c r="T802" s="360"/>
      <c r="U802" s="360"/>
      <c r="V802" s="360"/>
      <c r="W802" s="360"/>
      <c r="X802" s="360"/>
      <c r="Y802" s="360"/>
      <c r="Z802" s="360"/>
      <c r="AA802" s="360"/>
      <c r="AB802" s="362"/>
      <c r="AC802" s="360"/>
      <c r="AD802" s="360"/>
      <c r="AE802" s="360"/>
    </row>
    <row r="803">
      <c r="A803" s="360"/>
      <c r="B803" s="360"/>
      <c r="C803" s="360"/>
      <c r="D803" s="360"/>
      <c r="E803" s="360"/>
      <c r="F803" s="360"/>
      <c r="G803" s="360"/>
      <c r="H803" s="360"/>
      <c r="I803" s="360"/>
      <c r="J803" s="360"/>
      <c r="K803" s="361"/>
      <c r="L803" s="360"/>
      <c r="M803" s="361"/>
      <c r="N803" s="360"/>
      <c r="O803" s="360"/>
      <c r="P803" s="360"/>
      <c r="Q803" s="360"/>
      <c r="R803" s="360"/>
      <c r="S803" s="360"/>
      <c r="T803" s="360"/>
      <c r="U803" s="360"/>
      <c r="V803" s="360"/>
      <c r="W803" s="360"/>
      <c r="X803" s="360"/>
      <c r="Y803" s="360"/>
      <c r="Z803" s="360"/>
      <c r="AA803" s="360"/>
      <c r="AB803" s="362"/>
      <c r="AC803" s="360"/>
      <c r="AD803" s="360"/>
      <c r="AE803" s="360"/>
    </row>
    <row r="804">
      <c r="A804" s="360"/>
      <c r="B804" s="360"/>
      <c r="C804" s="360"/>
      <c r="D804" s="360"/>
      <c r="E804" s="360"/>
      <c r="F804" s="360"/>
      <c r="G804" s="360"/>
      <c r="H804" s="360"/>
      <c r="I804" s="360"/>
      <c r="J804" s="360"/>
      <c r="K804" s="361"/>
      <c r="L804" s="360"/>
      <c r="M804" s="361"/>
      <c r="N804" s="360"/>
      <c r="O804" s="360"/>
      <c r="P804" s="360"/>
      <c r="Q804" s="360"/>
      <c r="R804" s="360"/>
      <c r="S804" s="360"/>
      <c r="T804" s="360"/>
      <c r="U804" s="360"/>
      <c r="V804" s="360"/>
      <c r="W804" s="360"/>
      <c r="X804" s="360"/>
      <c r="Y804" s="360"/>
      <c r="Z804" s="360"/>
      <c r="AA804" s="360"/>
      <c r="AB804" s="362"/>
      <c r="AC804" s="360"/>
      <c r="AD804" s="360"/>
      <c r="AE804" s="360"/>
    </row>
    <row r="805">
      <c r="A805" s="360"/>
      <c r="B805" s="360"/>
      <c r="C805" s="360"/>
      <c r="D805" s="360"/>
      <c r="E805" s="360"/>
      <c r="F805" s="360"/>
      <c r="G805" s="360"/>
      <c r="H805" s="360"/>
      <c r="I805" s="360"/>
      <c r="J805" s="360"/>
      <c r="K805" s="361"/>
      <c r="L805" s="360"/>
      <c r="M805" s="361"/>
      <c r="N805" s="360"/>
      <c r="O805" s="360"/>
      <c r="P805" s="360"/>
      <c r="Q805" s="360"/>
      <c r="R805" s="360"/>
      <c r="S805" s="360"/>
      <c r="T805" s="360"/>
      <c r="U805" s="360"/>
      <c r="V805" s="360"/>
      <c r="W805" s="360"/>
      <c r="X805" s="360"/>
      <c r="Y805" s="360"/>
      <c r="Z805" s="360"/>
      <c r="AA805" s="360"/>
      <c r="AB805" s="362"/>
      <c r="AC805" s="360"/>
      <c r="AD805" s="360"/>
      <c r="AE805" s="360"/>
    </row>
    <row r="806">
      <c r="A806" s="360"/>
      <c r="B806" s="360"/>
      <c r="C806" s="360"/>
      <c r="D806" s="360"/>
      <c r="E806" s="360"/>
      <c r="F806" s="360"/>
      <c r="G806" s="360"/>
      <c r="H806" s="360"/>
      <c r="I806" s="360"/>
      <c r="J806" s="360"/>
      <c r="K806" s="361"/>
      <c r="L806" s="360"/>
      <c r="M806" s="361"/>
      <c r="N806" s="360"/>
      <c r="O806" s="360"/>
      <c r="P806" s="360"/>
      <c r="Q806" s="360"/>
      <c r="R806" s="360"/>
      <c r="S806" s="360"/>
      <c r="T806" s="360"/>
      <c r="U806" s="360"/>
      <c r="V806" s="360"/>
      <c r="W806" s="360"/>
      <c r="X806" s="360"/>
      <c r="Y806" s="360"/>
      <c r="Z806" s="360"/>
      <c r="AA806" s="360"/>
      <c r="AB806" s="362"/>
      <c r="AC806" s="360"/>
      <c r="AD806" s="360"/>
      <c r="AE806" s="360"/>
    </row>
    <row r="807">
      <c r="A807" s="360"/>
      <c r="B807" s="360"/>
      <c r="C807" s="360"/>
      <c r="D807" s="360"/>
      <c r="E807" s="360"/>
      <c r="F807" s="360"/>
      <c r="G807" s="360"/>
      <c r="H807" s="360"/>
      <c r="I807" s="360"/>
      <c r="J807" s="360"/>
      <c r="K807" s="361"/>
      <c r="L807" s="360"/>
      <c r="M807" s="361"/>
      <c r="N807" s="360"/>
      <c r="O807" s="360"/>
      <c r="P807" s="360"/>
      <c r="Q807" s="360"/>
      <c r="R807" s="360"/>
      <c r="S807" s="360"/>
      <c r="T807" s="360"/>
      <c r="U807" s="360"/>
      <c r="V807" s="360"/>
      <c r="W807" s="360"/>
      <c r="X807" s="360"/>
      <c r="Y807" s="360"/>
      <c r="Z807" s="360"/>
      <c r="AA807" s="360"/>
      <c r="AB807" s="362"/>
      <c r="AC807" s="360"/>
      <c r="AD807" s="360"/>
      <c r="AE807" s="360"/>
    </row>
    <row r="808">
      <c r="A808" s="360"/>
      <c r="B808" s="360"/>
      <c r="C808" s="360"/>
      <c r="D808" s="360"/>
      <c r="E808" s="360"/>
      <c r="F808" s="360"/>
      <c r="G808" s="360"/>
      <c r="H808" s="360"/>
      <c r="I808" s="360"/>
      <c r="J808" s="360"/>
      <c r="K808" s="361"/>
      <c r="L808" s="360"/>
      <c r="M808" s="361"/>
      <c r="N808" s="360"/>
      <c r="O808" s="360"/>
      <c r="P808" s="360"/>
      <c r="Q808" s="360"/>
      <c r="R808" s="360"/>
      <c r="S808" s="360"/>
      <c r="T808" s="360"/>
      <c r="U808" s="360"/>
      <c r="V808" s="360"/>
      <c r="W808" s="360"/>
      <c r="X808" s="360"/>
      <c r="Y808" s="360"/>
      <c r="Z808" s="360"/>
      <c r="AA808" s="360"/>
      <c r="AB808" s="362"/>
      <c r="AC808" s="360"/>
      <c r="AD808" s="360"/>
      <c r="AE808" s="360"/>
    </row>
    <row r="809">
      <c r="A809" s="360"/>
      <c r="B809" s="360"/>
      <c r="C809" s="360"/>
      <c r="D809" s="360"/>
      <c r="E809" s="360"/>
      <c r="F809" s="360"/>
      <c r="G809" s="360"/>
      <c r="H809" s="360"/>
      <c r="I809" s="360"/>
      <c r="J809" s="360"/>
      <c r="K809" s="361"/>
      <c r="L809" s="360"/>
      <c r="M809" s="361"/>
      <c r="N809" s="360"/>
      <c r="O809" s="360"/>
      <c r="P809" s="360"/>
      <c r="Q809" s="360"/>
      <c r="R809" s="360"/>
      <c r="S809" s="360"/>
      <c r="T809" s="360"/>
      <c r="U809" s="360"/>
      <c r="V809" s="360"/>
      <c r="W809" s="360"/>
      <c r="X809" s="360"/>
      <c r="Y809" s="360"/>
      <c r="Z809" s="360"/>
      <c r="AA809" s="360"/>
      <c r="AB809" s="362"/>
      <c r="AC809" s="360"/>
      <c r="AD809" s="360"/>
      <c r="AE809" s="360"/>
    </row>
    <row r="810">
      <c r="A810" s="360"/>
      <c r="B810" s="360"/>
      <c r="C810" s="360"/>
      <c r="D810" s="360"/>
      <c r="E810" s="360"/>
      <c r="F810" s="360"/>
      <c r="G810" s="360"/>
      <c r="H810" s="360"/>
      <c r="I810" s="360"/>
      <c r="J810" s="360"/>
      <c r="K810" s="361"/>
      <c r="L810" s="360"/>
      <c r="M810" s="361"/>
      <c r="N810" s="360"/>
      <c r="O810" s="360"/>
      <c r="P810" s="360"/>
      <c r="Q810" s="360"/>
      <c r="R810" s="360"/>
      <c r="S810" s="360"/>
      <c r="T810" s="360"/>
      <c r="U810" s="360"/>
      <c r="V810" s="360"/>
      <c r="W810" s="360"/>
      <c r="X810" s="360"/>
      <c r="Y810" s="360"/>
      <c r="Z810" s="360"/>
      <c r="AA810" s="360"/>
      <c r="AB810" s="362"/>
      <c r="AC810" s="360"/>
      <c r="AD810" s="360"/>
      <c r="AE810" s="360"/>
    </row>
    <row r="811">
      <c r="A811" s="360"/>
      <c r="B811" s="360"/>
      <c r="C811" s="360"/>
      <c r="D811" s="360"/>
      <c r="E811" s="360"/>
      <c r="F811" s="360"/>
      <c r="G811" s="360"/>
      <c r="H811" s="360"/>
      <c r="I811" s="360"/>
      <c r="J811" s="360"/>
      <c r="K811" s="361"/>
      <c r="L811" s="360"/>
      <c r="M811" s="361"/>
      <c r="N811" s="360"/>
      <c r="O811" s="360"/>
      <c r="P811" s="360"/>
      <c r="Q811" s="360"/>
      <c r="R811" s="360"/>
      <c r="S811" s="360"/>
      <c r="T811" s="360"/>
      <c r="U811" s="360"/>
      <c r="V811" s="360"/>
      <c r="W811" s="360"/>
      <c r="X811" s="360"/>
      <c r="Y811" s="360"/>
      <c r="Z811" s="360"/>
      <c r="AA811" s="360"/>
      <c r="AB811" s="362"/>
      <c r="AC811" s="360"/>
      <c r="AD811" s="360"/>
      <c r="AE811" s="360"/>
    </row>
    <row r="812">
      <c r="A812" s="360"/>
      <c r="B812" s="360"/>
      <c r="C812" s="360"/>
      <c r="D812" s="360"/>
      <c r="E812" s="360"/>
      <c r="F812" s="360"/>
      <c r="G812" s="360"/>
      <c r="H812" s="360"/>
      <c r="I812" s="360"/>
      <c r="J812" s="360"/>
      <c r="K812" s="361"/>
      <c r="L812" s="360"/>
      <c r="M812" s="361"/>
      <c r="N812" s="360"/>
      <c r="O812" s="360"/>
      <c r="P812" s="360"/>
      <c r="Q812" s="360"/>
      <c r="R812" s="360"/>
      <c r="S812" s="360"/>
      <c r="T812" s="360"/>
      <c r="U812" s="360"/>
      <c r="V812" s="360"/>
      <c r="W812" s="360"/>
      <c r="X812" s="360"/>
      <c r="Y812" s="360"/>
      <c r="Z812" s="360"/>
      <c r="AA812" s="360"/>
      <c r="AB812" s="362"/>
      <c r="AC812" s="360"/>
      <c r="AD812" s="360"/>
      <c r="AE812" s="360"/>
    </row>
    <row r="813">
      <c r="A813" s="360"/>
      <c r="B813" s="360"/>
      <c r="C813" s="360"/>
      <c r="D813" s="360"/>
      <c r="E813" s="360"/>
      <c r="F813" s="360"/>
      <c r="G813" s="360"/>
      <c r="H813" s="360"/>
      <c r="I813" s="360"/>
      <c r="J813" s="360"/>
      <c r="K813" s="361"/>
      <c r="L813" s="360"/>
      <c r="M813" s="361"/>
      <c r="N813" s="360"/>
      <c r="O813" s="360"/>
      <c r="P813" s="360"/>
      <c r="Q813" s="360"/>
      <c r="R813" s="360"/>
      <c r="S813" s="360"/>
      <c r="T813" s="360"/>
      <c r="U813" s="360"/>
      <c r="V813" s="360"/>
      <c r="W813" s="360"/>
      <c r="X813" s="360"/>
      <c r="Y813" s="360"/>
      <c r="Z813" s="360"/>
      <c r="AA813" s="360"/>
      <c r="AB813" s="362"/>
      <c r="AC813" s="360"/>
      <c r="AD813" s="360"/>
      <c r="AE813" s="360"/>
    </row>
    <row r="814">
      <c r="A814" s="360"/>
      <c r="B814" s="360"/>
      <c r="C814" s="360"/>
      <c r="D814" s="360"/>
      <c r="E814" s="360"/>
      <c r="F814" s="360"/>
      <c r="G814" s="360"/>
      <c r="H814" s="360"/>
      <c r="I814" s="360"/>
      <c r="J814" s="360"/>
      <c r="K814" s="361"/>
      <c r="L814" s="360"/>
      <c r="M814" s="361"/>
      <c r="N814" s="360"/>
      <c r="O814" s="360"/>
      <c r="P814" s="360"/>
      <c r="Q814" s="360"/>
      <c r="R814" s="360"/>
      <c r="S814" s="360"/>
      <c r="T814" s="360"/>
      <c r="U814" s="360"/>
      <c r="V814" s="360"/>
      <c r="W814" s="360"/>
      <c r="X814" s="360"/>
      <c r="Y814" s="360"/>
      <c r="Z814" s="360"/>
      <c r="AA814" s="360"/>
      <c r="AB814" s="362"/>
      <c r="AC814" s="360"/>
      <c r="AD814" s="360"/>
      <c r="AE814" s="360"/>
    </row>
    <row r="815">
      <c r="A815" s="360"/>
      <c r="B815" s="360"/>
      <c r="C815" s="360"/>
      <c r="D815" s="360"/>
      <c r="E815" s="360"/>
      <c r="F815" s="360"/>
      <c r="G815" s="360"/>
      <c r="H815" s="360"/>
      <c r="I815" s="360"/>
      <c r="J815" s="360"/>
      <c r="K815" s="361"/>
      <c r="L815" s="360"/>
      <c r="M815" s="361"/>
      <c r="N815" s="360"/>
      <c r="O815" s="360"/>
      <c r="P815" s="360"/>
      <c r="Q815" s="360"/>
      <c r="R815" s="360"/>
      <c r="S815" s="360"/>
      <c r="T815" s="360"/>
      <c r="U815" s="360"/>
      <c r="V815" s="360"/>
      <c r="W815" s="360"/>
      <c r="X815" s="360"/>
      <c r="Y815" s="360"/>
      <c r="Z815" s="360"/>
      <c r="AA815" s="360"/>
      <c r="AB815" s="362"/>
      <c r="AC815" s="360"/>
      <c r="AD815" s="360"/>
      <c r="AE815" s="360"/>
    </row>
    <row r="816">
      <c r="A816" s="360"/>
      <c r="B816" s="360"/>
      <c r="C816" s="360"/>
      <c r="D816" s="360"/>
      <c r="E816" s="360"/>
      <c r="F816" s="360"/>
      <c r="G816" s="360"/>
      <c r="H816" s="360"/>
      <c r="I816" s="360"/>
      <c r="J816" s="360"/>
      <c r="K816" s="361"/>
      <c r="L816" s="360"/>
      <c r="M816" s="361"/>
      <c r="N816" s="360"/>
      <c r="O816" s="360"/>
      <c r="P816" s="360"/>
      <c r="Q816" s="360"/>
      <c r="R816" s="360"/>
      <c r="S816" s="360"/>
      <c r="T816" s="360"/>
      <c r="U816" s="360"/>
      <c r="V816" s="360"/>
      <c r="W816" s="360"/>
      <c r="X816" s="360"/>
      <c r="Y816" s="360"/>
      <c r="Z816" s="360"/>
      <c r="AA816" s="360"/>
      <c r="AB816" s="362"/>
      <c r="AC816" s="360"/>
      <c r="AD816" s="360"/>
      <c r="AE816" s="360"/>
    </row>
    <row r="817">
      <c r="A817" s="360"/>
      <c r="B817" s="360"/>
      <c r="C817" s="360"/>
      <c r="D817" s="360"/>
      <c r="E817" s="360"/>
      <c r="F817" s="360"/>
      <c r="G817" s="360"/>
      <c r="H817" s="360"/>
      <c r="I817" s="360"/>
      <c r="J817" s="360"/>
      <c r="K817" s="361"/>
      <c r="L817" s="360"/>
      <c r="M817" s="361"/>
      <c r="N817" s="360"/>
      <c r="O817" s="360"/>
      <c r="P817" s="360"/>
      <c r="Q817" s="360"/>
      <c r="R817" s="360"/>
      <c r="S817" s="360"/>
      <c r="T817" s="360"/>
      <c r="U817" s="360"/>
      <c r="V817" s="360"/>
      <c r="W817" s="360"/>
      <c r="X817" s="360"/>
      <c r="Y817" s="360"/>
      <c r="Z817" s="360"/>
      <c r="AA817" s="360"/>
      <c r="AB817" s="362"/>
      <c r="AC817" s="360"/>
      <c r="AD817" s="360"/>
      <c r="AE817" s="360"/>
    </row>
    <row r="818">
      <c r="A818" s="360"/>
      <c r="B818" s="360"/>
      <c r="C818" s="360"/>
      <c r="D818" s="360"/>
      <c r="E818" s="360"/>
      <c r="F818" s="360"/>
      <c r="G818" s="360"/>
      <c r="H818" s="360"/>
      <c r="I818" s="360"/>
      <c r="J818" s="360"/>
      <c r="K818" s="361"/>
      <c r="L818" s="360"/>
      <c r="M818" s="361"/>
      <c r="N818" s="360"/>
      <c r="O818" s="360"/>
      <c r="P818" s="360"/>
      <c r="Q818" s="360"/>
      <c r="R818" s="360"/>
      <c r="S818" s="360"/>
      <c r="T818" s="360"/>
      <c r="U818" s="360"/>
      <c r="V818" s="360"/>
      <c r="W818" s="360"/>
      <c r="X818" s="360"/>
      <c r="Y818" s="360"/>
      <c r="Z818" s="360"/>
      <c r="AA818" s="360"/>
      <c r="AB818" s="362"/>
      <c r="AC818" s="360"/>
      <c r="AD818" s="360"/>
      <c r="AE818" s="360"/>
    </row>
    <row r="819">
      <c r="A819" s="360"/>
      <c r="B819" s="360"/>
      <c r="C819" s="360"/>
      <c r="D819" s="360"/>
      <c r="E819" s="360"/>
      <c r="F819" s="360"/>
      <c r="G819" s="360"/>
      <c r="H819" s="360"/>
      <c r="I819" s="360"/>
      <c r="J819" s="360"/>
      <c r="K819" s="361"/>
      <c r="L819" s="360"/>
      <c r="M819" s="361"/>
      <c r="N819" s="360"/>
      <c r="O819" s="360"/>
      <c r="P819" s="360"/>
      <c r="Q819" s="360"/>
      <c r="R819" s="360"/>
      <c r="S819" s="360"/>
      <c r="T819" s="360"/>
      <c r="U819" s="360"/>
      <c r="V819" s="360"/>
      <c r="W819" s="360"/>
      <c r="X819" s="360"/>
      <c r="Y819" s="360"/>
      <c r="Z819" s="360"/>
      <c r="AA819" s="360"/>
      <c r="AB819" s="362"/>
      <c r="AC819" s="360"/>
      <c r="AD819" s="360"/>
      <c r="AE819" s="360"/>
    </row>
    <row r="820">
      <c r="A820" s="360"/>
      <c r="B820" s="360"/>
      <c r="C820" s="360"/>
      <c r="D820" s="360"/>
      <c r="E820" s="360"/>
      <c r="F820" s="360"/>
      <c r="G820" s="360"/>
      <c r="H820" s="360"/>
      <c r="I820" s="360"/>
      <c r="J820" s="360"/>
      <c r="K820" s="361"/>
      <c r="L820" s="360"/>
      <c r="M820" s="361"/>
      <c r="N820" s="360"/>
      <c r="O820" s="360"/>
      <c r="P820" s="360"/>
      <c r="Q820" s="360"/>
      <c r="R820" s="360"/>
      <c r="S820" s="360"/>
      <c r="T820" s="360"/>
      <c r="U820" s="360"/>
      <c r="V820" s="360"/>
      <c r="W820" s="360"/>
      <c r="X820" s="360"/>
      <c r="Y820" s="360"/>
      <c r="Z820" s="360"/>
      <c r="AA820" s="360"/>
      <c r="AB820" s="362"/>
      <c r="AC820" s="360"/>
      <c r="AD820" s="360"/>
      <c r="AE820" s="360"/>
    </row>
    <row r="821">
      <c r="A821" s="360"/>
      <c r="B821" s="360"/>
      <c r="C821" s="360"/>
      <c r="D821" s="360"/>
      <c r="E821" s="360"/>
      <c r="F821" s="360"/>
      <c r="G821" s="360"/>
      <c r="H821" s="360"/>
      <c r="I821" s="360"/>
      <c r="J821" s="360"/>
      <c r="K821" s="361"/>
      <c r="L821" s="360"/>
      <c r="M821" s="361"/>
      <c r="N821" s="360"/>
      <c r="O821" s="360"/>
      <c r="P821" s="360"/>
      <c r="Q821" s="360"/>
      <c r="R821" s="360"/>
      <c r="S821" s="360"/>
      <c r="T821" s="360"/>
      <c r="U821" s="360"/>
      <c r="V821" s="360"/>
      <c r="W821" s="360"/>
      <c r="X821" s="360"/>
      <c r="Y821" s="360"/>
      <c r="Z821" s="360"/>
      <c r="AA821" s="360"/>
      <c r="AB821" s="362"/>
      <c r="AC821" s="360"/>
      <c r="AD821" s="360"/>
      <c r="AE821" s="360"/>
    </row>
    <row r="822">
      <c r="A822" s="360"/>
      <c r="B822" s="360"/>
      <c r="C822" s="360"/>
      <c r="D822" s="360"/>
      <c r="E822" s="360"/>
      <c r="F822" s="360"/>
      <c r="G822" s="360"/>
      <c r="H822" s="360"/>
      <c r="I822" s="360"/>
      <c r="J822" s="360"/>
      <c r="K822" s="361"/>
      <c r="L822" s="360"/>
      <c r="M822" s="361"/>
      <c r="N822" s="360"/>
      <c r="O822" s="360"/>
      <c r="P822" s="360"/>
      <c r="Q822" s="360"/>
      <c r="R822" s="360"/>
      <c r="S822" s="360"/>
      <c r="T822" s="360"/>
      <c r="U822" s="360"/>
      <c r="V822" s="360"/>
      <c r="W822" s="360"/>
      <c r="X822" s="360"/>
      <c r="Y822" s="360"/>
      <c r="Z822" s="360"/>
      <c r="AA822" s="360"/>
      <c r="AB822" s="362"/>
      <c r="AC822" s="360"/>
      <c r="AD822" s="360"/>
      <c r="AE822" s="360"/>
    </row>
    <row r="823">
      <c r="A823" s="360"/>
      <c r="B823" s="360"/>
      <c r="C823" s="360"/>
      <c r="D823" s="360"/>
      <c r="E823" s="360"/>
      <c r="F823" s="360"/>
      <c r="G823" s="360"/>
      <c r="H823" s="360"/>
      <c r="I823" s="360"/>
      <c r="J823" s="360"/>
      <c r="K823" s="361"/>
      <c r="L823" s="360"/>
      <c r="M823" s="361"/>
      <c r="N823" s="360"/>
      <c r="O823" s="360"/>
      <c r="P823" s="360"/>
      <c r="Q823" s="360"/>
      <c r="R823" s="360"/>
      <c r="S823" s="360"/>
      <c r="T823" s="360"/>
      <c r="U823" s="360"/>
      <c r="V823" s="360"/>
      <c r="W823" s="360"/>
      <c r="X823" s="360"/>
      <c r="Y823" s="360"/>
      <c r="Z823" s="360"/>
      <c r="AA823" s="360"/>
      <c r="AB823" s="362"/>
      <c r="AC823" s="360"/>
      <c r="AD823" s="360"/>
      <c r="AE823" s="360"/>
    </row>
    <row r="824">
      <c r="A824" s="360"/>
      <c r="B824" s="360"/>
      <c r="C824" s="360"/>
      <c r="D824" s="360"/>
      <c r="E824" s="360"/>
      <c r="F824" s="360"/>
      <c r="G824" s="360"/>
      <c r="H824" s="360"/>
      <c r="I824" s="360"/>
      <c r="J824" s="360"/>
      <c r="K824" s="361"/>
      <c r="L824" s="360"/>
      <c r="M824" s="361"/>
      <c r="N824" s="360"/>
      <c r="O824" s="360"/>
      <c r="P824" s="360"/>
      <c r="Q824" s="360"/>
      <c r="R824" s="360"/>
      <c r="S824" s="360"/>
      <c r="T824" s="360"/>
      <c r="U824" s="360"/>
      <c r="V824" s="360"/>
      <c r="W824" s="360"/>
      <c r="X824" s="360"/>
      <c r="Y824" s="360"/>
      <c r="Z824" s="360"/>
      <c r="AA824" s="360"/>
      <c r="AB824" s="362"/>
      <c r="AC824" s="360"/>
      <c r="AD824" s="360"/>
      <c r="AE824" s="360"/>
    </row>
    <row r="825">
      <c r="A825" s="360"/>
      <c r="B825" s="360"/>
      <c r="C825" s="360"/>
      <c r="D825" s="360"/>
      <c r="E825" s="360"/>
      <c r="F825" s="360"/>
      <c r="G825" s="360"/>
      <c r="H825" s="360"/>
      <c r="I825" s="360"/>
      <c r="J825" s="360"/>
      <c r="K825" s="361"/>
      <c r="L825" s="360"/>
      <c r="M825" s="361"/>
      <c r="N825" s="360"/>
      <c r="O825" s="360"/>
      <c r="P825" s="360"/>
      <c r="Q825" s="360"/>
      <c r="R825" s="360"/>
      <c r="S825" s="360"/>
      <c r="T825" s="360"/>
      <c r="U825" s="360"/>
      <c r="V825" s="360"/>
      <c r="W825" s="360"/>
      <c r="X825" s="360"/>
      <c r="Y825" s="360"/>
      <c r="Z825" s="360"/>
      <c r="AA825" s="360"/>
      <c r="AB825" s="362"/>
      <c r="AC825" s="360"/>
      <c r="AD825" s="360"/>
      <c r="AE825" s="360"/>
    </row>
    <row r="826">
      <c r="A826" s="360"/>
      <c r="B826" s="360"/>
      <c r="C826" s="360"/>
      <c r="D826" s="360"/>
      <c r="E826" s="360"/>
      <c r="F826" s="360"/>
      <c r="G826" s="360"/>
      <c r="H826" s="360"/>
      <c r="I826" s="360"/>
      <c r="J826" s="360"/>
      <c r="K826" s="361"/>
      <c r="L826" s="360"/>
      <c r="M826" s="361"/>
      <c r="N826" s="360"/>
      <c r="O826" s="360"/>
      <c r="P826" s="360"/>
      <c r="Q826" s="360"/>
      <c r="R826" s="360"/>
      <c r="S826" s="360"/>
      <c r="T826" s="360"/>
      <c r="U826" s="360"/>
      <c r="V826" s="360"/>
      <c r="W826" s="360"/>
      <c r="X826" s="360"/>
      <c r="Y826" s="360"/>
      <c r="Z826" s="360"/>
      <c r="AA826" s="360"/>
      <c r="AB826" s="362"/>
      <c r="AC826" s="360"/>
      <c r="AD826" s="360"/>
      <c r="AE826" s="360"/>
    </row>
    <row r="827">
      <c r="A827" s="360"/>
      <c r="B827" s="360"/>
      <c r="C827" s="360"/>
      <c r="D827" s="360"/>
      <c r="E827" s="360"/>
      <c r="F827" s="360"/>
      <c r="G827" s="360"/>
      <c r="H827" s="360"/>
      <c r="I827" s="360"/>
      <c r="J827" s="360"/>
      <c r="K827" s="361"/>
      <c r="L827" s="360"/>
      <c r="M827" s="361"/>
      <c r="N827" s="360"/>
      <c r="O827" s="360"/>
      <c r="P827" s="360"/>
      <c r="Q827" s="360"/>
      <c r="R827" s="360"/>
      <c r="S827" s="360"/>
      <c r="T827" s="360"/>
      <c r="U827" s="360"/>
      <c r="V827" s="360"/>
      <c r="W827" s="360"/>
      <c r="X827" s="360"/>
      <c r="Y827" s="360"/>
      <c r="Z827" s="360"/>
      <c r="AA827" s="360"/>
      <c r="AB827" s="362"/>
      <c r="AC827" s="360"/>
      <c r="AD827" s="360"/>
      <c r="AE827" s="360"/>
    </row>
    <row r="828">
      <c r="A828" s="360"/>
      <c r="B828" s="360"/>
      <c r="C828" s="360"/>
      <c r="D828" s="360"/>
      <c r="E828" s="360"/>
      <c r="F828" s="360"/>
      <c r="G828" s="360"/>
      <c r="H828" s="360"/>
      <c r="I828" s="360"/>
      <c r="J828" s="360"/>
      <c r="K828" s="361"/>
      <c r="L828" s="360"/>
      <c r="M828" s="361"/>
      <c r="N828" s="360"/>
      <c r="O828" s="360"/>
      <c r="P828" s="360"/>
      <c r="Q828" s="360"/>
      <c r="R828" s="360"/>
      <c r="S828" s="360"/>
      <c r="T828" s="360"/>
      <c r="U828" s="360"/>
      <c r="V828" s="360"/>
      <c r="W828" s="360"/>
      <c r="X828" s="360"/>
      <c r="Y828" s="360"/>
      <c r="Z828" s="360"/>
      <c r="AA828" s="360"/>
      <c r="AB828" s="362"/>
      <c r="AC828" s="360"/>
      <c r="AD828" s="360"/>
      <c r="AE828" s="360"/>
    </row>
    <row r="829">
      <c r="A829" s="360"/>
      <c r="B829" s="360"/>
      <c r="C829" s="360"/>
      <c r="D829" s="360"/>
      <c r="E829" s="360"/>
      <c r="F829" s="360"/>
      <c r="G829" s="360"/>
      <c r="H829" s="360"/>
      <c r="I829" s="360"/>
      <c r="J829" s="360"/>
      <c r="K829" s="361"/>
      <c r="L829" s="360"/>
      <c r="M829" s="361"/>
      <c r="N829" s="360"/>
      <c r="O829" s="360"/>
      <c r="P829" s="360"/>
      <c r="Q829" s="360"/>
      <c r="R829" s="360"/>
      <c r="S829" s="360"/>
      <c r="T829" s="360"/>
      <c r="U829" s="360"/>
      <c r="V829" s="360"/>
      <c r="W829" s="360"/>
      <c r="X829" s="360"/>
      <c r="Y829" s="360"/>
      <c r="Z829" s="360"/>
      <c r="AA829" s="360"/>
      <c r="AB829" s="362"/>
      <c r="AC829" s="360"/>
      <c r="AD829" s="360"/>
      <c r="AE829" s="360"/>
    </row>
    <row r="830">
      <c r="A830" s="360"/>
      <c r="B830" s="360"/>
      <c r="C830" s="360"/>
      <c r="D830" s="360"/>
      <c r="E830" s="360"/>
      <c r="F830" s="360"/>
      <c r="G830" s="360"/>
      <c r="H830" s="360"/>
      <c r="I830" s="360"/>
      <c r="J830" s="360"/>
      <c r="K830" s="361"/>
      <c r="L830" s="360"/>
      <c r="M830" s="361"/>
      <c r="N830" s="360"/>
      <c r="O830" s="360"/>
      <c r="P830" s="360"/>
      <c r="Q830" s="360"/>
      <c r="R830" s="360"/>
      <c r="S830" s="360"/>
      <c r="T830" s="360"/>
      <c r="U830" s="360"/>
      <c r="V830" s="360"/>
      <c r="W830" s="360"/>
      <c r="X830" s="360"/>
      <c r="Y830" s="360"/>
      <c r="Z830" s="360"/>
      <c r="AA830" s="360"/>
      <c r="AB830" s="362"/>
      <c r="AC830" s="360"/>
      <c r="AD830" s="360"/>
      <c r="AE830" s="360"/>
    </row>
    <row r="831">
      <c r="A831" s="360"/>
      <c r="B831" s="360"/>
      <c r="C831" s="360"/>
      <c r="D831" s="360"/>
      <c r="E831" s="360"/>
      <c r="F831" s="360"/>
      <c r="G831" s="360"/>
      <c r="H831" s="360"/>
      <c r="I831" s="360"/>
      <c r="J831" s="360"/>
      <c r="K831" s="361"/>
      <c r="L831" s="360"/>
      <c r="M831" s="361"/>
      <c r="N831" s="360"/>
      <c r="O831" s="360"/>
      <c r="P831" s="360"/>
      <c r="Q831" s="360"/>
      <c r="R831" s="360"/>
      <c r="S831" s="360"/>
      <c r="T831" s="360"/>
      <c r="U831" s="360"/>
      <c r="V831" s="360"/>
      <c r="W831" s="360"/>
      <c r="X831" s="360"/>
      <c r="Y831" s="360"/>
      <c r="Z831" s="360"/>
      <c r="AA831" s="360"/>
      <c r="AB831" s="362"/>
      <c r="AC831" s="360"/>
      <c r="AD831" s="360"/>
      <c r="AE831" s="360"/>
    </row>
    <row r="832">
      <c r="A832" s="360"/>
      <c r="B832" s="360"/>
      <c r="C832" s="360"/>
      <c r="D832" s="360"/>
      <c r="E832" s="360"/>
      <c r="F832" s="360"/>
      <c r="G832" s="360"/>
      <c r="H832" s="360"/>
      <c r="I832" s="360"/>
      <c r="J832" s="360"/>
      <c r="K832" s="361"/>
      <c r="L832" s="360"/>
      <c r="M832" s="361"/>
      <c r="N832" s="360"/>
      <c r="O832" s="360"/>
      <c r="P832" s="360"/>
      <c r="Q832" s="360"/>
      <c r="R832" s="360"/>
      <c r="S832" s="360"/>
      <c r="T832" s="360"/>
      <c r="U832" s="360"/>
      <c r="V832" s="360"/>
      <c r="W832" s="360"/>
      <c r="X832" s="360"/>
      <c r="Y832" s="360"/>
      <c r="Z832" s="360"/>
      <c r="AA832" s="360"/>
      <c r="AB832" s="362"/>
      <c r="AC832" s="360"/>
      <c r="AD832" s="360"/>
      <c r="AE832" s="360"/>
    </row>
    <row r="833">
      <c r="A833" s="360"/>
      <c r="B833" s="360"/>
      <c r="C833" s="360"/>
      <c r="D833" s="360"/>
      <c r="E833" s="360"/>
      <c r="F833" s="360"/>
      <c r="G833" s="360"/>
      <c r="H833" s="360"/>
      <c r="I833" s="360"/>
      <c r="J833" s="360"/>
      <c r="K833" s="361"/>
      <c r="L833" s="360"/>
      <c r="M833" s="361"/>
      <c r="N833" s="360"/>
      <c r="O833" s="360"/>
      <c r="P833" s="360"/>
      <c r="Q833" s="360"/>
      <c r="R833" s="360"/>
      <c r="S833" s="360"/>
      <c r="T833" s="360"/>
      <c r="U833" s="360"/>
      <c r="V833" s="360"/>
      <c r="W833" s="360"/>
      <c r="X833" s="360"/>
      <c r="Y833" s="360"/>
      <c r="Z833" s="360"/>
      <c r="AA833" s="360"/>
      <c r="AB833" s="362"/>
      <c r="AC833" s="360"/>
      <c r="AD833" s="360"/>
      <c r="AE833" s="360"/>
    </row>
    <row r="834">
      <c r="A834" s="360"/>
      <c r="B834" s="360"/>
      <c r="C834" s="360"/>
      <c r="D834" s="360"/>
      <c r="E834" s="360"/>
      <c r="F834" s="360"/>
      <c r="G834" s="360"/>
      <c r="H834" s="360"/>
      <c r="I834" s="360"/>
      <c r="J834" s="360"/>
      <c r="K834" s="361"/>
      <c r="L834" s="360"/>
      <c r="M834" s="361"/>
      <c r="N834" s="360"/>
      <c r="O834" s="360"/>
      <c r="P834" s="360"/>
      <c r="Q834" s="360"/>
      <c r="R834" s="360"/>
      <c r="S834" s="360"/>
      <c r="T834" s="360"/>
      <c r="U834" s="360"/>
      <c r="V834" s="360"/>
      <c r="W834" s="360"/>
      <c r="X834" s="360"/>
      <c r="Y834" s="360"/>
      <c r="Z834" s="360"/>
      <c r="AA834" s="360"/>
      <c r="AB834" s="362"/>
      <c r="AC834" s="360"/>
      <c r="AD834" s="360"/>
      <c r="AE834" s="360"/>
    </row>
    <row r="835">
      <c r="A835" s="360"/>
      <c r="B835" s="360"/>
      <c r="C835" s="360"/>
      <c r="D835" s="360"/>
      <c r="E835" s="360"/>
      <c r="F835" s="360"/>
      <c r="G835" s="360"/>
      <c r="H835" s="360"/>
      <c r="I835" s="360"/>
      <c r="J835" s="360"/>
      <c r="K835" s="361"/>
      <c r="L835" s="360"/>
      <c r="M835" s="361"/>
      <c r="N835" s="360"/>
      <c r="O835" s="360"/>
      <c r="P835" s="360"/>
      <c r="Q835" s="360"/>
      <c r="R835" s="360"/>
      <c r="S835" s="360"/>
      <c r="T835" s="360"/>
      <c r="U835" s="360"/>
      <c r="V835" s="360"/>
      <c r="W835" s="360"/>
      <c r="X835" s="360"/>
      <c r="Y835" s="360"/>
      <c r="Z835" s="360"/>
      <c r="AA835" s="360"/>
      <c r="AB835" s="362"/>
      <c r="AC835" s="360"/>
      <c r="AD835" s="360"/>
      <c r="AE835" s="360"/>
    </row>
    <row r="836">
      <c r="A836" s="360"/>
      <c r="B836" s="360"/>
      <c r="C836" s="360"/>
      <c r="D836" s="360"/>
      <c r="E836" s="360"/>
      <c r="F836" s="360"/>
      <c r="G836" s="360"/>
      <c r="H836" s="360"/>
      <c r="I836" s="360"/>
      <c r="J836" s="360"/>
      <c r="K836" s="361"/>
      <c r="L836" s="360"/>
      <c r="M836" s="361"/>
      <c r="N836" s="360"/>
      <c r="O836" s="360"/>
      <c r="P836" s="360"/>
      <c r="Q836" s="360"/>
      <c r="R836" s="360"/>
      <c r="S836" s="360"/>
      <c r="T836" s="360"/>
      <c r="U836" s="360"/>
      <c r="V836" s="360"/>
      <c r="W836" s="360"/>
      <c r="X836" s="360"/>
      <c r="Y836" s="360"/>
      <c r="Z836" s="360"/>
      <c r="AA836" s="360"/>
      <c r="AB836" s="362"/>
      <c r="AC836" s="360"/>
      <c r="AD836" s="360"/>
      <c r="AE836" s="360"/>
    </row>
    <row r="837">
      <c r="A837" s="360"/>
      <c r="B837" s="360"/>
      <c r="C837" s="360"/>
      <c r="D837" s="360"/>
      <c r="E837" s="360"/>
      <c r="F837" s="360"/>
      <c r="G837" s="360"/>
      <c r="H837" s="360"/>
      <c r="I837" s="360"/>
      <c r="J837" s="360"/>
      <c r="K837" s="361"/>
      <c r="L837" s="360"/>
      <c r="M837" s="361"/>
      <c r="N837" s="360"/>
      <c r="O837" s="360"/>
      <c r="P837" s="360"/>
      <c r="Q837" s="360"/>
      <c r="R837" s="360"/>
      <c r="S837" s="360"/>
      <c r="T837" s="360"/>
      <c r="U837" s="360"/>
      <c r="V837" s="360"/>
      <c r="W837" s="360"/>
      <c r="X837" s="360"/>
      <c r="Y837" s="360"/>
      <c r="Z837" s="360"/>
      <c r="AA837" s="360"/>
      <c r="AB837" s="362"/>
      <c r="AC837" s="360"/>
      <c r="AD837" s="360"/>
      <c r="AE837" s="360"/>
    </row>
    <row r="838">
      <c r="A838" s="360"/>
      <c r="B838" s="360"/>
      <c r="C838" s="360"/>
      <c r="D838" s="360"/>
      <c r="E838" s="360"/>
      <c r="F838" s="360"/>
      <c r="G838" s="360"/>
      <c r="H838" s="360"/>
      <c r="I838" s="360"/>
      <c r="J838" s="360"/>
      <c r="K838" s="361"/>
      <c r="L838" s="360"/>
      <c r="M838" s="361"/>
      <c r="N838" s="360"/>
      <c r="O838" s="360"/>
      <c r="P838" s="360"/>
      <c r="Q838" s="360"/>
      <c r="R838" s="360"/>
      <c r="S838" s="360"/>
      <c r="T838" s="360"/>
      <c r="U838" s="360"/>
      <c r="V838" s="360"/>
      <c r="W838" s="360"/>
      <c r="X838" s="360"/>
      <c r="Y838" s="360"/>
      <c r="Z838" s="360"/>
      <c r="AA838" s="360"/>
      <c r="AB838" s="362"/>
      <c r="AC838" s="360"/>
      <c r="AD838" s="360"/>
      <c r="AE838" s="360"/>
    </row>
    <row r="839">
      <c r="A839" s="360"/>
      <c r="B839" s="360"/>
      <c r="C839" s="360"/>
      <c r="D839" s="360"/>
      <c r="E839" s="360"/>
      <c r="F839" s="360"/>
      <c r="G839" s="360"/>
      <c r="H839" s="360"/>
      <c r="I839" s="360"/>
      <c r="J839" s="360"/>
      <c r="K839" s="361"/>
      <c r="L839" s="360"/>
      <c r="M839" s="361"/>
      <c r="N839" s="360"/>
      <c r="O839" s="360"/>
      <c r="P839" s="360"/>
      <c r="Q839" s="360"/>
      <c r="R839" s="360"/>
      <c r="S839" s="360"/>
      <c r="T839" s="360"/>
      <c r="U839" s="360"/>
      <c r="V839" s="360"/>
      <c r="W839" s="360"/>
      <c r="X839" s="360"/>
      <c r="Y839" s="360"/>
      <c r="Z839" s="360"/>
      <c r="AA839" s="360"/>
      <c r="AB839" s="362"/>
      <c r="AC839" s="360"/>
      <c r="AD839" s="360"/>
      <c r="AE839" s="360"/>
    </row>
    <row r="840">
      <c r="A840" s="360"/>
      <c r="B840" s="360"/>
      <c r="C840" s="360"/>
      <c r="D840" s="360"/>
      <c r="E840" s="360"/>
      <c r="F840" s="360"/>
      <c r="G840" s="360"/>
      <c r="H840" s="360"/>
      <c r="I840" s="360"/>
      <c r="J840" s="360"/>
      <c r="K840" s="361"/>
      <c r="L840" s="360"/>
      <c r="M840" s="361"/>
      <c r="N840" s="360"/>
      <c r="O840" s="360"/>
      <c r="P840" s="360"/>
      <c r="Q840" s="360"/>
      <c r="R840" s="360"/>
      <c r="S840" s="360"/>
      <c r="T840" s="360"/>
      <c r="U840" s="360"/>
      <c r="V840" s="360"/>
      <c r="W840" s="360"/>
      <c r="X840" s="360"/>
      <c r="Y840" s="360"/>
      <c r="Z840" s="360"/>
      <c r="AA840" s="360"/>
      <c r="AB840" s="362"/>
      <c r="AC840" s="360"/>
      <c r="AD840" s="360"/>
      <c r="AE840" s="360"/>
    </row>
    <row r="841">
      <c r="A841" s="360"/>
      <c r="B841" s="360"/>
      <c r="C841" s="360"/>
      <c r="D841" s="360"/>
      <c r="E841" s="360"/>
      <c r="F841" s="360"/>
      <c r="G841" s="360"/>
      <c r="H841" s="360"/>
      <c r="I841" s="360"/>
      <c r="J841" s="360"/>
      <c r="K841" s="361"/>
      <c r="L841" s="360"/>
      <c r="M841" s="361"/>
      <c r="N841" s="360"/>
      <c r="O841" s="360"/>
      <c r="P841" s="360"/>
      <c r="Q841" s="360"/>
      <c r="R841" s="360"/>
      <c r="S841" s="360"/>
      <c r="T841" s="360"/>
      <c r="U841" s="360"/>
      <c r="V841" s="360"/>
      <c r="W841" s="360"/>
      <c r="X841" s="360"/>
      <c r="Y841" s="360"/>
      <c r="Z841" s="360"/>
      <c r="AA841" s="360"/>
      <c r="AB841" s="362"/>
      <c r="AC841" s="360"/>
      <c r="AD841" s="360"/>
      <c r="AE841" s="360"/>
    </row>
    <row r="842">
      <c r="A842" s="360"/>
      <c r="B842" s="360"/>
      <c r="C842" s="360"/>
      <c r="D842" s="360"/>
      <c r="E842" s="360"/>
      <c r="F842" s="360"/>
      <c r="G842" s="360"/>
      <c r="H842" s="360"/>
      <c r="I842" s="360"/>
      <c r="J842" s="360"/>
      <c r="K842" s="361"/>
      <c r="L842" s="360"/>
      <c r="M842" s="361"/>
      <c r="N842" s="360"/>
      <c r="O842" s="360"/>
      <c r="P842" s="360"/>
      <c r="Q842" s="360"/>
      <c r="R842" s="360"/>
      <c r="S842" s="360"/>
      <c r="T842" s="360"/>
      <c r="U842" s="360"/>
      <c r="V842" s="360"/>
      <c r="W842" s="360"/>
      <c r="X842" s="360"/>
      <c r="Y842" s="360"/>
      <c r="Z842" s="360"/>
      <c r="AA842" s="360"/>
      <c r="AB842" s="362"/>
      <c r="AC842" s="360"/>
      <c r="AD842" s="360"/>
      <c r="AE842" s="360"/>
    </row>
    <row r="843">
      <c r="A843" s="360"/>
      <c r="B843" s="360"/>
      <c r="C843" s="360"/>
      <c r="D843" s="360"/>
      <c r="E843" s="360"/>
      <c r="F843" s="360"/>
      <c r="G843" s="360"/>
      <c r="H843" s="360"/>
      <c r="I843" s="360"/>
      <c r="J843" s="360"/>
      <c r="K843" s="361"/>
      <c r="L843" s="360"/>
      <c r="M843" s="361"/>
      <c r="N843" s="360"/>
      <c r="O843" s="360"/>
      <c r="P843" s="360"/>
      <c r="Q843" s="360"/>
      <c r="R843" s="360"/>
      <c r="S843" s="360"/>
      <c r="T843" s="360"/>
      <c r="U843" s="360"/>
      <c r="V843" s="360"/>
      <c r="W843" s="360"/>
      <c r="X843" s="360"/>
      <c r="Y843" s="360"/>
      <c r="Z843" s="360"/>
      <c r="AA843" s="360"/>
      <c r="AB843" s="362"/>
      <c r="AC843" s="360"/>
      <c r="AD843" s="360"/>
      <c r="AE843" s="360"/>
    </row>
    <row r="844">
      <c r="A844" s="360"/>
      <c r="B844" s="360"/>
      <c r="C844" s="360"/>
      <c r="D844" s="360"/>
      <c r="E844" s="360"/>
      <c r="F844" s="360"/>
      <c r="G844" s="360"/>
      <c r="H844" s="360"/>
      <c r="I844" s="360"/>
      <c r="J844" s="360"/>
      <c r="K844" s="361"/>
      <c r="L844" s="360"/>
      <c r="M844" s="361"/>
      <c r="N844" s="360"/>
      <c r="O844" s="360"/>
      <c r="P844" s="360"/>
      <c r="Q844" s="360"/>
      <c r="R844" s="360"/>
      <c r="S844" s="360"/>
      <c r="T844" s="360"/>
      <c r="U844" s="360"/>
      <c r="V844" s="360"/>
      <c r="W844" s="360"/>
      <c r="X844" s="360"/>
      <c r="Y844" s="360"/>
      <c r="Z844" s="360"/>
      <c r="AA844" s="360"/>
      <c r="AB844" s="362"/>
      <c r="AC844" s="360"/>
      <c r="AD844" s="360"/>
      <c r="AE844" s="360"/>
    </row>
    <row r="845">
      <c r="A845" s="360"/>
      <c r="B845" s="360"/>
      <c r="C845" s="360"/>
      <c r="D845" s="360"/>
      <c r="E845" s="360"/>
      <c r="F845" s="360"/>
      <c r="G845" s="360"/>
      <c r="H845" s="360"/>
      <c r="I845" s="360"/>
      <c r="J845" s="360"/>
      <c r="K845" s="361"/>
      <c r="L845" s="360"/>
      <c r="M845" s="361"/>
      <c r="N845" s="360"/>
      <c r="O845" s="360"/>
      <c r="P845" s="360"/>
      <c r="Q845" s="360"/>
      <c r="R845" s="360"/>
      <c r="S845" s="360"/>
      <c r="T845" s="360"/>
      <c r="U845" s="360"/>
      <c r="V845" s="360"/>
      <c r="W845" s="360"/>
      <c r="X845" s="360"/>
      <c r="Y845" s="360"/>
      <c r="Z845" s="360"/>
      <c r="AA845" s="360"/>
      <c r="AB845" s="362"/>
      <c r="AC845" s="360"/>
      <c r="AD845" s="360"/>
      <c r="AE845" s="360"/>
    </row>
    <row r="846">
      <c r="A846" s="360"/>
      <c r="B846" s="360"/>
      <c r="C846" s="360"/>
      <c r="D846" s="360"/>
      <c r="E846" s="360"/>
      <c r="F846" s="360"/>
      <c r="G846" s="360"/>
      <c r="H846" s="360"/>
      <c r="I846" s="360"/>
      <c r="J846" s="360"/>
      <c r="K846" s="361"/>
      <c r="L846" s="360"/>
      <c r="M846" s="361"/>
      <c r="N846" s="360"/>
      <c r="O846" s="360"/>
      <c r="P846" s="360"/>
      <c r="Q846" s="360"/>
      <c r="R846" s="360"/>
      <c r="S846" s="360"/>
      <c r="T846" s="360"/>
      <c r="U846" s="360"/>
      <c r="V846" s="360"/>
      <c r="W846" s="360"/>
      <c r="X846" s="360"/>
      <c r="Y846" s="360"/>
      <c r="Z846" s="360"/>
      <c r="AA846" s="360"/>
      <c r="AB846" s="362"/>
      <c r="AC846" s="360"/>
      <c r="AD846" s="360"/>
      <c r="AE846" s="360"/>
    </row>
    <row r="847">
      <c r="A847" s="360"/>
      <c r="B847" s="360"/>
      <c r="C847" s="360"/>
      <c r="D847" s="360"/>
      <c r="E847" s="360"/>
      <c r="F847" s="360"/>
      <c r="G847" s="360"/>
      <c r="H847" s="360"/>
      <c r="I847" s="360"/>
      <c r="J847" s="360"/>
      <c r="K847" s="361"/>
      <c r="L847" s="360"/>
      <c r="M847" s="361"/>
      <c r="N847" s="360"/>
      <c r="O847" s="360"/>
      <c r="P847" s="360"/>
      <c r="Q847" s="360"/>
      <c r="R847" s="360"/>
      <c r="S847" s="360"/>
      <c r="T847" s="360"/>
      <c r="U847" s="360"/>
      <c r="V847" s="360"/>
      <c r="W847" s="360"/>
      <c r="X847" s="360"/>
      <c r="Y847" s="360"/>
      <c r="Z847" s="360"/>
      <c r="AA847" s="360"/>
      <c r="AB847" s="362"/>
      <c r="AC847" s="360"/>
      <c r="AD847" s="360"/>
      <c r="AE847" s="360"/>
    </row>
    <row r="848">
      <c r="A848" s="360"/>
      <c r="B848" s="360"/>
      <c r="C848" s="360"/>
      <c r="D848" s="360"/>
      <c r="E848" s="360"/>
      <c r="F848" s="360"/>
      <c r="G848" s="360"/>
      <c r="H848" s="360"/>
      <c r="I848" s="360"/>
      <c r="J848" s="360"/>
      <c r="K848" s="361"/>
      <c r="L848" s="360"/>
      <c r="M848" s="361"/>
      <c r="N848" s="360"/>
      <c r="O848" s="360"/>
      <c r="P848" s="360"/>
      <c r="Q848" s="360"/>
      <c r="R848" s="360"/>
      <c r="S848" s="360"/>
      <c r="T848" s="360"/>
      <c r="U848" s="360"/>
      <c r="V848" s="360"/>
      <c r="W848" s="360"/>
      <c r="X848" s="360"/>
      <c r="Y848" s="360"/>
      <c r="Z848" s="360"/>
      <c r="AA848" s="360"/>
      <c r="AB848" s="362"/>
      <c r="AC848" s="360"/>
      <c r="AD848" s="360"/>
      <c r="AE848" s="360"/>
    </row>
    <row r="849">
      <c r="A849" s="360"/>
      <c r="B849" s="360"/>
      <c r="C849" s="360"/>
      <c r="D849" s="360"/>
      <c r="E849" s="360"/>
      <c r="F849" s="360"/>
      <c r="G849" s="360"/>
      <c r="H849" s="360"/>
      <c r="I849" s="360"/>
      <c r="J849" s="360"/>
      <c r="K849" s="361"/>
      <c r="L849" s="360"/>
      <c r="M849" s="361"/>
      <c r="N849" s="360"/>
      <c r="O849" s="360"/>
      <c r="P849" s="360"/>
      <c r="Q849" s="360"/>
      <c r="R849" s="360"/>
      <c r="S849" s="360"/>
      <c r="T849" s="360"/>
      <c r="U849" s="360"/>
      <c r="V849" s="360"/>
      <c r="W849" s="360"/>
      <c r="X849" s="360"/>
      <c r="Y849" s="360"/>
      <c r="Z849" s="360"/>
      <c r="AA849" s="360"/>
      <c r="AB849" s="362"/>
      <c r="AC849" s="360"/>
      <c r="AD849" s="360"/>
      <c r="AE849" s="360"/>
    </row>
    <row r="850">
      <c r="A850" s="360"/>
      <c r="B850" s="360"/>
      <c r="C850" s="360"/>
      <c r="D850" s="360"/>
      <c r="E850" s="360"/>
      <c r="F850" s="360"/>
      <c r="G850" s="360"/>
      <c r="H850" s="360"/>
      <c r="I850" s="360"/>
      <c r="J850" s="360"/>
      <c r="K850" s="361"/>
      <c r="L850" s="360"/>
      <c r="M850" s="361"/>
      <c r="N850" s="360"/>
      <c r="O850" s="360"/>
      <c r="P850" s="360"/>
      <c r="Q850" s="360"/>
      <c r="R850" s="360"/>
      <c r="S850" s="360"/>
      <c r="T850" s="360"/>
      <c r="U850" s="360"/>
      <c r="V850" s="360"/>
      <c r="W850" s="360"/>
      <c r="X850" s="360"/>
      <c r="Y850" s="360"/>
      <c r="Z850" s="360"/>
      <c r="AA850" s="360"/>
      <c r="AB850" s="362"/>
      <c r="AC850" s="360"/>
      <c r="AD850" s="360"/>
      <c r="AE850" s="360"/>
    </row>
    <row r="851">
      <c r="A851" s="360"/>
      <c r="B851" s="360"/>
      <c r="C851" s="360"/>
      <c r="D851" s="360"/>
      <c r="E851" s="360"/>
      <c r="F851" s="360"/>
      <c r="G851" s="360"/>
      <c r="H851" s="360"/>
      <c r="I851" s="360"/>
      <c r="J851" s="360"/>
      <c r="K851" s="361"/>
      <c r="L851" s="360"/>
      <c r="M851" s="361"/>
      <c r="N851" s="360"/>
      <c r="O851" s="360"/>
      <c r="P851" s="360"/>
      <c r="Q851" s="360"/>
      <c r="R851" s="360"/>
      <c r="S851" s="360"/>
      <c r="T851" s="360"/>
      <c r="U851" s="360"/>
      <c r="V851" s="360"/>
      <c r="W851" s="360"/>
      <c r="X851" s="360"/>
      <c r="Y851" s="360"/>
      <c r="Z851" s="360"/>
      <c r="AA851" s="360"/>
      <c r="AB851" s="362"/>
      <c r="AC851" s="360"/>
      <c r="AD851" s="360"/>
      <c r="AE851" s="360"/>
    </row>
    <row r="852">
      <c r="A852" s="360"/>
      <c r="B852" s="360"/>
      <c r="C852" s="360"/>
      <c r="D852" s="360"/>
      <c r="E852" s="360"/>
      <c r="F852" s="360"/>
      <c r="G852" s="360"/>
      <c r="H852" s="360"/>
      <c r="I852" s="360"/>
      <c r="J852" s="360"/>
      <c r="K852" s="361"/>
      <c r="L852" s="360"/>
      <c r="M852" s="361"/>
      <c r="N852" s="360"/>
      <c r="O852" s="360"/>
      <c r="P852" s="360"/>
      <c r="Q852" s="360"/>
      <c r="R852" s="360"/>
      <c r="S852" s="360"/>
      <c r="T852" s="360"/>
      <c r="U852" s="360"/>
      <c r="V852" s="360"/>
      <c r="W852" s="360"/>
      <c r="X852" s="360"/>
      <c r="Y852" s="360"/>
      <c r="Z852" s="360"/>
      <c r="AA852" s="360"/>
      <c r="AB852" s="362"/>
      <c r="AC852" s="360"/>
      <c r="AD852" s="360"/>
      <c r="AE852" s="360"/>
    </row>
    <row r="853">
      <c r="A853" s="360"/>
      <c r="B853" s="360"/>
      <c r="C853" s="360"/>
      <c r="D853" s="360"/>
      <c r="E853" s="360"/>
      <c r="F853" s="360"/>
      <c r="G853" s="360"/>
      <c r="H853" s="360"/>
      <c r="I853" s="360"/>
      <c r="J853" s="360"/>
      <c r="K853" s="361"/>
      <c r="L853" s="360"/>
      <c r="M853" s="361"/>
      <c r="N853" s="360"/>
      <c r="O853" s="360"/>
      <c r="P853" s="360"/>
      <c r="Q853" s="360"/>
      <c r="R853" s="360"/>
      <c r="S853" s="360"/>
      <c r="T853" s="360"/>
      <c r="U853" s="360"/>
      <c r="V853" s="360"/>
      <c r="W853" s="360"/>
      <c r="X853" s="360"/>
      <c r="Y853" s="360"/>
      <c r="Z853" s="360"/>
      <c r="AA853" s="360"/>
      <c r="AB853" s="362"/>
      <c r="AC853" s="360"/>
      <c r="AD853" s="360"/>
      <c r="AE853" s="360"/>
    </row>
    <row r="854">
      <c r="A854" s="360"/>
      <c r="B854" s="360"/>
      <c r="C854" s="360"/>
      <c r="D854" s="360"/>
      <c r="E854" s="360"/>
      <c r="F854" s="360"/>
      <c r="G854" s="360"/>
      <c r="H854" s="360"/>
      <c r="I854" s="360"/>
      <c r="J854" s="360"/>
      <c r="K854" s="361"/>
      <c r="L854" s="360"/>
      <c r="M854" s="361"/>
      <c r="N854" s="360"/>
      <c r="O854" s="360"/>
      <c r="P854" s="360"/>
      <c r="Q854" s="360"/>
      <c r="R854" s="360"/>
      <c r="S854" s="360"/>
      <c r="T854" s="360"/>
      <c r="U854" s="360"/>
      <c r="V854" s="360"/>
      <c r="W854" s="360"/>
      <c r="X854" s="360"/>
      <c r="Y854" s="360"/>
      <c r="Z854" s="360"/>
      <c r="AA854" s="360"/>
      <c r="AB854" s="362"/>
      <c r="AC854" s="360"/>
      <c r="AD854" s="360"/>
      <c r="AE854" s="360"/>
    </row>
    <row r="855">
      <c r="A855" s="360"/>
      <c r="B855" s="360"/>
      <c r="C855" s="360"/>
      <c r="D855" s="360"/>
      <c r="E855" s="360"/>
      <c r="F855" s="360"/>
      <c r="G855" s="360"/>
      <c r="H855" s="360"/>
      <c r="I855" s="360"/>
      <c r="J855" s="360"/>
      <c r="K855" s="361"/>
      <c r="L855" s="360"/>
      <c r="M855" s="361"/>
      <c r="N855" s="360"/>
      <c r="O855" s="360"/>
      <c r="P855" s="360"/>
      <c r="Q855" s="360"/>
      <c r="R855" s="360"/>
      <c r="S855" s="360"/>
      <c r="T855" s="360"/>
      <c r="U855" s="360"/>
      <c r="V855" s="360"/>
      <c r="W855" s="360"/>
      <c r="X855" s="360"/>
      <c r="Y855" s="360"/>
      <c r="Z855" s="360"/>
      <c r="AA855" s="360"/>
      <c r="AB855" s="362"/>
      <c r="AC855" s="360"/>
      <c r="AD855" s="360"/>
      <c r="AE855" s="360"/>
    </row>
    <row r="856">
      <c r="A856" s="360"/>
      <c r="B856" s="360"/>
      <c r="C856" s="360"/>
      <c r="D856" s="360"/>
      <c r="E856" s="360"/>
      <c r="F856" s="360"/>
      <c r="G856" s="360"/>
      <c r="H856" s="360"/>
      <c r="I856" s="360"/>
      <c r="J856" s="360"/>
      <c r="K856" s="361"/>
      <c r="L856" s="360"/>
      <c r="M856" s="361"/>
      <c r="N856" s="360"/>
      <c r="O856" s="360"/>
      <c r="P856" s="360"/>
      <c r="Q856" s="360"/>
      <c r="R856" s="360"/>
      <c r="S856" s="360"/>
      <c r="T856" s="360"/>
      <c r="U856" s="360"/>
      <c r="V856" s="360"/>
      <c r="W856" s="360"/>
      <c r="X856" s="360"/>
      <c r="Y856" s="360"/>
      <c r="Z856" s="360"/>
      <c r="AA856" s="360"/>
      <c r="AB856" s="362"/>
      <c r="AC856" s="360"/>
      <c r="AD856" s="360"/>
      <c r="AE856" s="360"/>
    </row>
    <row r="857">
      <c r="A857" s="360"/>
      <c r="B857" s="360"/>
      <c r="C857" s="360"/>
      <c r="D857" s="360"/>
      <c r="E857" s="360"/>
      <c r="F857" s="360"/>
      <c r="G857" s="360"/>
      <c r="H857" s="360"/>
      <c r="I857" s="360"/>
      <c r="J857" s="360"/>
      <c r="K857" s="361"/>
      <c r="L857" s="360"/>
      <c r="M857" s="361"/>
      <c r="N857" s="360"/>
      <c r="O857" s="360"/>
      <c r="P857" s="360"/>
      <c r="Q857" s="360"/>
      <c r="R857" s="360"/>
      <c r="S857" s="360"/>
      <c r="T857" s="360"/>
      <c r="U857" s="360"/>
      <c r="V857" s="360"/>
      <c r="W857" s="360"/>
      <c r="X857" s="360"/>
      <c r="Y857" s="360"/>
      <c r="Z857" s="360"/>
      <c r="AA857" s="360"/>
      <c r="AB857" s="362"/>
      <c r="AC857" s="360"/>
      <c r="AD857" s="360"/>
      <c r="AE857" s="360"/>
    </row>
    <row r="858">
      <c r="A858" s="360"/>
      <c r="B858" s="360"/>
      <c r="C858" s="360"/>
      <c r="D858" s="360"/>
      <c r="E858" s="360"/>
      <c r="F858" s="360"/>
      <c r="G858" s="360"/>
      <c r="H858" s="360"/>
      <c r="I858" s="360"/>
      <c r="J858" s="360"/>
      <c r="K858" s="361"/>
      <c r="L858" s="360"/>
      <c r="M858" s="361"/>
      <c r="N858" s="360"/>
      <c r="O858" s="360"/>
      <c r="P858" s="360"/>
      <c r="Q858" s="360"/>
      <c r="R858" s="360"/>
      <c r="S858" s="360"/>
      <c r="T858" s="360"/>
      <c r="U858" s="360"/>
      <c r="V858" s="360"/>
      <c r="W858" s="360"/>
      <c r="X858" s="360"/>
      <c r="Y858" s="360"/>
      <c r="Z858" s="360"/>
      <c r="AA858" s="360"/>
      <c r="AB858" s="362"/>
      <c r="AC858" s="360"/>
      <c r="AD858" s="360"/>
      <c r="AE858" s="360"/>
    </row>
    <row r="859">
      <c r="A859" s="360"/>
      <c r="B859" s="360"/>
      <c r="C859" s="360"/>
      <c r="D859" s="360"/>
      <c r="E859" s="360"/>
      <c r="F859" s="360"/>
      <c r="G859" s="360"/>
      <c r="H859" s="360"/>
      <c r="I859" s="360"/>
      <c r="J859" s="360"/>
      <c r="K859" s="361"/>
      <c r="L859" s="360"/>
      <c r="M859" s="361"/>
      <c r="N859" s="360"/>
      <c r="O859" s="360"/>
      <c r="P859" s="360"/>
      <c r="Q859" s="360"/>
      <c r="R859" s="360"/>
      <c r="S859" s="360"/>
      <c r="T859" s="360"/>
      <c r="U859" s="360"/>
      <c r="V859" s="360"/>
      <c r="W859" s="360"/>
      <c r="X859" s="360"/>
      <c r="Y859" s="360"/>
      <c r="Z859" s="360"/>
      <c r="AA859" s="360"/>
      <c r="AB859" s="362"/>
      <c r="AC859" s="360"/>
      <c r="AD859" s="360"/>
      <c r="AE859" s="360"/>
    </row>
    <row r="860">
      <c r="A860" s="360"/>
      <c r="B860" s="360"/>
      <c r="C860" s="360"/>
      <c r="D860" s="360"/>
      <c r="E860" s="360"/>
      <c r="F860" s="360"/>
      <c r="G860" s="360"/>
      <c r="H860" s="360"/>
      <c r="I860" s="360"/>
      <c r="J860" s="360"/>
      <c r="K860" s="361"/>
      <c r="L860" s="360"/>
      <c r="M860" s="361"/>
      <c r="N860" s="360"/>
      <c r="O860" s="360"/>
      <c r="P860" s="360"/>
      <c r="Q860" s="360"/>
      <c r="R860" s="360"/>
      <c r="S860" s="360"/>
      <c r="T860" s="360"/>
      <c r="U860" s="360"/>
      <c r="V860" s="360"/>
      <c r="W860" s="360"/>
      <c r="X860" s="360"/>
      <c r="Y860" s="360"/>
      <c r="Z860" s="360"/>
      <c r="AA860" s="360"/>
      <c r="AB860" s="362"/>
      <c r="AC860" s="360"/>
      <c r="AD860" s="360"/>
      <c r="AE860" s="360"/>
    </row>
    <row r="861">
      <c r="A861" s="360"/>
      <c r="B861" s="360"/>
      <c r="C861" s="360"/>
      <c r="D861" s="360"/>
      <c r="E861" s="360"/>
      <c r="F861" s="360"/>
      <c r="G861" s="360"/>
      <c r="H861" s="360"/>
      <c r="I861" s="360"/>
      <c r="J861" s="360"/>
      <c r="K861" s="361"/>
      <c r="L861" s="360"/>
      <c r="M861" s="361"/>
      <c r="N861" s="360"/>
      <c r="O861" s="360"/>
      <c r="P861" s="360"/>
      <c r="Q861" s="360"/>
      <c r="R861" s="360"/>
      <c r="S861" s="360"/>
      <c r="T861" s="360"/>
      <c r="U861" s="360"/>
      <c r="V861" s="360"/>
      <c r="W861" s="360"/>
      <c r="X861" s="360"/>
      <c r="Y861" s="360"/>
      <c r="Z861" s="360"/>
      <c r="AA861" s="360"/>
      <c r="AB861" s="362"/>
      <c r="AC861" s="360"/>
      <c r="AD861" s="360"/>
      <c r="AE861" s="360"/>
    </row>
    <row r="862">
      <c r="A862" s="360"/>
      <c r="B862" s="360"/>
      <c r="C862" s="360"/>
      <c r="D862" s="360"/>
      <c r="E862" s="360"/>
      <c r="F862" s="360"/>
      <c r="G862" s="360"/>
      <c r="H862" s="360"/>
      <c r="I862" s="360"/>
      <c r="J862" s="360"/>
      <c r="K862" s="361"/>
      <c r="L862" s="360"/>
      <c r="M862" s="361"/>
      <c r="N862" s="360"/>
      <c r="O862" s="360"/>
      <c r="P862" s="360"/>
      <c r="Q862" s="360"/>
      <c r="R862" s="360"/>
      <c r="S862" s="360"/>
      <c r="T862" s="360"/>
      <c r="U862" s="360"/>
      <c r="V862" s="360"/>
      <c r="W862" s="360"/>
      <c r="X862" s="360"/>
      <c r="Y862" s="360"/>
      <c r="Z862" s="360"/>
      <c r="AA862" s="360"/>
      <c r="AB862" s="362"/>
      <c r="AC862" s="360"/>
      <c r="AD862" s="360"/>
      <c r="AE862" s="360"/>
    </row>
    <row r="863">
      <c r="A863" s="360"/>
      <c r="B863" s="360"/>
      <c r="C863" s="360"/>
      <c r="D863" s="360"/>
      <c r="E863" s="360"/>
      <c r="F863" s="360"/>
      <c r="G863" s="360"/>
      <c r="H863" s="360"/>
      <c r="I863" s="360"/>
      <c r="J863" s="360"/>
      <c r="K863" s="361"/>
      <c r="L863" s="360"/>
      <c r="M863" s="361"/>
      <c r="N863" s="360"/>
      <c r="O863" s="360"/>
      <c r="P863" s="360"/>
      <c r="Q863" s="360"/>
      <c r="R863" s="360"/>
      <c r="S863" s="360"/>
      <c r="T863" s="360"/>
      <c r="U863" s="360"/>
      <c r="V863" s="360"/>
      <c r="W863" s="360"/>
      <c r="X863" s="360"/>
      <c r="Y863" s="360"/>
      <c r="Z863" s="360"/>
      <c r="AA863" s="360"/>
      <c r="AB863" s="362"/>
      <c r="AC863" s="360"/>
      <c r="AD863" s="360"/>
      <c r="AE863" s="360"/>
    </row>
    <row r="864">
      <c r="A864" s="360"/>
      <c r="B864" s="360"/>
      <c r="C864" s="360"/>
      <c r="D864" s="360"/>
      <c r="E864" s="360"/>
      <c r="F864" s="360"/>
      <c r="G864" s="360"/>
      <c r="H864" s="360"/>
      <c r="I864" s="360"/>
      <c r="J864" s="360"/>
      <c r="K864" s="361"/>
      <c r="L864" s="360"/>
      <c r="M864" s="361"/>
      <c r="N864" s="360"/>
      <c r="O864" s="360"/>
      <c r="P864" s="360"/>
      <c r="Q864" s="360"/>
      <c r="R864" s="360"/>
      <c r="S864" s="360"/>
      <c r="T864" s="360"/>
      <c r="U864" s="360"/>
      <c r="V864" s="360"/>
      <c r="W864" s="360"/>
      <c r="X864" s="360"/>
      <c r="Y864" s="360"/>
      <c r="Z864" s="360"/>
      <c r="AA864" s="360"/>
      <c r="AB864" s="362"/>
      <c r="AC864" s="360"/>
      <c r="AD864" s="360"/>
      <c r="AE864" s="360"/>
    </row>
    <row r="865">
      <c r="A865" s="360"/>
      <c r="B865" s="360"/>
      <c r="C865" s="360"/>
      <c r="D865" s="360"/>
      <c r="E865" s="360"/>
      <c r="F865" s="360"/>
      <c r="G865" s="360"/>
      <c r="H865" s="360"/>
      <c r="I865" s="360"/>
      <c r="J865" s="360"/>
      <c r="K865" s="361"/>
      <c r="L865" s="360"/>
      <c r="M865" s="361"/>
      <c r="N865" s="360"/>
      <c r="O865" s="360"/>
      <c r="P865" s="360"/>
      <c r="Q865" s="360"/>
      <c r="R865" s="360"/>
      <c r="S865" s="360"/>
      <c r="T865" s="360"/>
      <c r="U865" s="360"/>
      <c r="V865" s="360"/>
      <c r="W865" s="360"/>
      <c r="X865" s="360"/>
      <c r="Y865" s="360"/>
      <c r="Z865" s="360"/>
      <c r="AA865" s="360"/>
      <c r="AB865" s="362"/>
      <c r="AC865" s="360"/>
      <c r="AD865" s="360"/>
      <c r="AE865" s="360"/>
    </row>
    <row r="866">
      <c r="A866" s="360"/>
      <c r="B866" s="360"/>
      <c r="C866" s="360"/>
      <c r="D866" s="360"/>
      <c r="E866" s="360"/>
      <c r="F866" s="360"/>
      <c r="G866" s="360"/>
      <c r="H866" s="360"/>
      <c r="I866" s="360"/>
      <c r="J866" s="360"/>
      <c r="K866" s="361"/>
      <c r="L866" s="360"/>
      <c r="M866" s="361"/>
      <c r="N866" s="360"/>
      <c r="O866" s="360"/>
      <c r="P866" s="360"/>
      <c r="Q866" s="360"/>
      <c r="R866" s="360"/>
      <c r="S866" s="360"/>
      <c r="T866" s="360"/>
      <c r="U866" s="360"/>
      <c r="V866" s="360"/>
      <c r="W866" s="360"/>
      <c r="X866" s="360"/>
      <c r="Y866" s="360"/>
      <c r="Z866" s="360"/>
      <c r="AA866" s="360"/>
      <c r="AB866" s="362"/>
      <c r="AC866" s="360"/>
      <c r="AD866" s="360"/>
      <c r="AE866" s="360"/>
    </row>
    <row r="867">
      <c r="A867" s="360"/>
      <c r="B867" s="360"/>
      <c r="C867" s="360"/>
      <c r="D867" s="360"/>
      <c r="E867" s="360"/>
      <c r="F867" s="360"/>
      <c r="G867" s="360"/>
      <c r="H867" s="360"/>
      <c r="I867" s="360"/>
      <c r="J867" s="360"/>
      <c r="K867" s="361"/>
      <c r="L867" s="360"/>
      <c r="M867" s="361"/>
      <c r="N867" s="360"/>
      <c r="O867" s="360"/>
      <c r="P867" s="360"/>
      <c r="Q867" s="360"/>
      <c r="R867" s="360"/>
      <c r="S867" s="360"/>
      <c r="T867" s="360"/>
      <c r="U867" s="360"/>
      <c r="V867" s="360"/>
      <c r="W867" s="360"/>
      <c r="X867" s="360"/>
      <c r="Y867" s="360"/>
      <c r="Z867" s="360"/>
      <c r="AA867" s="360"/>
      <c r="AB867" s="362"/>
      <c r="AC867" s="360"/>
      <c r="AD867" s="360"/>
      <c r="AE867" s="360"/>
    </row>
    <row r="868">
      <c r="A868" s="360"/>
      <c r="B868" s="360"/>
      <c r="C868" s="360"/>
      <c r="D868" s="360"/>
      <c r="E868" s="360"/>
      <c r="F868" s="360"/>
      <c r="G868" s="360"/>
      <c r="H868" s="360"/>
      <c r="I868" s="360"/>
      <c r="J868" s="360"/>
      <c r="K868" s="361"/>
      <c r="L868" s="360"/>
      <c r="M868" s="361"/>
      <c r="N868" s="360"/>
      <c r="O868" s="360"/>
      <c r="P868" s="360"/>
      <c r="Q868" s="360"/>
      <c r="R868" s="360"/>
      <c r="S868" s="360"/>
      <c r="T868" s="360"/>
      <c r="U868" s="360"/>
      <c r="V868" s="360"/>
      <c r="W868" s="360"/>
      <c r="X868" s="360"/>
      <c r="Y868" s="360"/>
      <c r="Z868" s="360"/>
      <c r="AA868" s="360"/>
      <c r="AB868" s="362"/>
      <c r="AC868" s="360"/>
      <c r="AD868" s="360"/>
      <c r="AE868" s="360"/>
    </row>
    <row r="869">
      <c r="A869" s="360"/>
      <c r="B869" s="360"/>
      <c r="C869" s="360"/>
      <c r="D869" s="360"/>
      <c r="E869" s="360"/>
      <c r="F869" s="360"/>
      <c r="G869" s="360"/>
      <c r="H869" s="360"/>
      <c r="I869" s="360"/>
      <c r="J869" s="360"/>
      <c r="K869" s="361"/>
      <c r="L869" s="360"/>
      <c r="M869" s="361"/>
      <c r="N869" s="360"/>
      <c r="O869" s="360"/>
      <c r="P869" s="360"/>
      <c r="Q869" s="360"/>
      <c r="R869" s="360"/>
      <c r="S869" s="360"/>
      <c r="T869" s="360"/>
      <c r="U869" s="360"/>
      <c r="V869" s="360"/>
      <c r="W869" s="360"/>
      <c r="X869" s="360"/>
      <c r="Y869" s="360"/>
      <c r="Z869" s="360"/>
      <c r="AA869" s="360"/>
      <c r="AB869" s="362"/>
      <c r="AC869" s="360"/>
      <c r="AD869" s="360"/>
      <c r="AE869" s="360"/>
    </row>
    <row r="870">
      <c r="A870" s="360"/>
      <c r="B870" s="360"/>
      <c r="C870" s="360"/>
      <c r="D870" s="360"/>
      <c r="E870" s="360"/>
      <c r="F870" s="360"/>
      <c r="G870" s="360"/>
      <c r="H870" s="360"/>
      <c r="I870" s="360"/>
      <c r="J870" s="360"/>
      <c r="K870" s="361"/>
      <c r="L870" s="360"/>
      <c r="M870" s="361"/>
      <c r="N870" s="360"/>
      <c r="O870" s="360"/>
      <c r="P870" s="360"/>
      <c r="Q870" s="360"/>
      <c r="R870" s="360"/>
      <c r="S870" s="360"/>
      <c r="T870" s="360"/>
      <c r="U870" s="360"/>
      <c r="V870" s="360"/>
      <c r="W870" s="360"/>
      <c r="X870" s="360"/>
      <c r="Y870" s="360"/>
      <c r="Z870" s="360"/>
      <c r="AA870" s="360"/>
      <c r="AB870" s="362"/>
      <c r="AC870" s="360"/>
      <c r="AD870" s="360"/>
      <c r="AE870" s="360"/>
    </row>
    <row r="871">
      <c r="A871" s="360"/>
      <c r="B871" s="360"/>
      <c r="C871" s="360"/>
      <c r="D871" s="360"/>
      <c r="E871" s="360"/>
      <c r="F871" s="360"/>
      <c r="G871" s="360"/>
      <c r="H871" s="360"/>
      <c r="I871" s="360"/>
      <c r="J871" s="360"/>
      <c r="K871" s="361"/>
      <c r="L871" s="360"/>
      <c r="M871" s="361"/>
      <c r="N871" s="360"/>
      <c r="O871" s="360"/>
      <c r="P871" s="360"/>
      <c r="Q871" s="360"/>
      <c r="R871" s="360"/>
      <c r="S871" s="360"/>
      <c r="T871" s="360"/>
      <c r="U871" s="360"/>
      <c r="V871" s="360"/>
      <c r="W871" s="360"/>
      <c r="X871" s="360"/>
      <c r="Y871" s="360"/>
      <c r="Z871" s="360"/>
      <c r="AA871" s="360"/>
      <c r="AB871" s="362"/>
      <c r="AC871" s="360"/>
      <c r="AD871" s="360"/>
      <c r="AE871" s="360"/>
    </row>
    <row r="872">
      <c r="A872" s="360"/>
      <c r="B872" s="360"/>
      <c r="C872" s="360"/>
      <c r="D872" s="360"/>
      <c r="E872" s="360"/>
      <c r="F872" s="360"/>
      <c r="G872" s="360"/>
      <c r="H872" s="360"/>
      <c r="I872" s="360"/>
      <c r="J872" s="360"/>
      <c r="K872" s="361"/>
      <c r="L872" s="360"/>
      <c r="M872" s="361"/>
      <c r="N872" s="360"/>
      <c r="O872" s="360"/>
      <c r="P872" s="360"/>
      <c r="Q872" s="360"/>
      <c r="R872" s="360"/>
      <c r="S872" s="360"/>
      <c r="T872" s="360"/>
      <c r="U872" s="360"/>
      <c r="V872" s="360"/>
      <c r="W872" s="360"/>
      <c r="X872" s="360"/>
      <c r="Y872" s="360"/>
      <c r="Z872" s="360"/>
      <c r="AA872" s="360"/>
      <c r="AB872" s="362"/>
      <c r="AC872" s="360"/>
      <c r="AD872" s="360"/>
      <c r="AE872" s="360"/>
    </row>
    <row r="873">
      <c r="A873" s="360"/>
      <c r="B873" s="360"/>
      <c r="C873" s="360"/>
      <c r="D873" s="360"/>
      <c r="E873" s="360"/>
      <c r="F873" s="360"/>
      <c r="G873" s="360"/>
      <c r="H873" s="360"/>
      <c r="I873" s="360"/>
      <c r="J873" s="360"/>
      <c r="K873" s="361"/>
      <c r="L873" s="360"/>
      <c r="M873" s="361"/>
      <c r="N873" s="360"/>
      <c r="O873" s="360"/>
      <c r="P873" s="360"/>
      <c r="Q873" s="360"/>
      <c r="R873" s="360"/>
      <c r="S873" s="360"/>
      <c r="T873" s="360"/>
      <c r="U873" s="360"/>
      <c r="V873" s="360"/>
      <c r="W873" s="360"/>
      <c r="X873" s="360"/>
      <c r="Y873" s="360"/>
      <c r="Z873" s="360"/>
      <c r="AA873" s="360"/>
      <c r="AB873" s="362"/>
      <c r="AC873" s="360"/>
      <c r="AD873" s="360"/>
      <c r="AE873" s="360"/>
    </row>
    <row r="874">
      <c r="A874" s="360"/>
      <c r="B874" s="360"/>
      <c r="C874" s="360"/>
      <c r="D874" s="360"/>
      <c r="E874" s="360"/>
      <c r="F874" s="360"/>
      <c r="G874" s="360"/>
      <c r="H874" s="360"/>
      <c r="I874" s="360"/>
      <c r="J874" s="360"/>
      <c r="K874" s="361"/>
      <c r="L874" s="360"/>
      <c r="M874" s="361"/>
      <c r="N874" s="360"/>
      <c r="O874" s="360"/>
      <c r="P874" s="360"/>
      <c r="Q874" s="360"/>
      <c r="R874" s="360"/>
      <c r="S874" s="360"/>
      <c r="T874" s="360"/>
      <c r="U874" s="360"/>
      <c r="V874" s="360"/>
      <c r="W874" s="360"/>
      <c r="X874" s="360"/>
      <c r="Y874" s="360"/>
      <c r="Z874" s="360"/>
      <c r="AA874" s="360"/>
      <c r="AB874" s="362"/>
      <c r="AC874" s="360"/>
      <c r="AD874" s="360"/>
      <c r="AE874" s="360"/>
    </row>
    <row r="875">
      <c r="A875" s="360"/>
      <c r="B875" s="360"/>
      <c r="C875" s="360"/>
      <c r="D875" s="360"/>
      <c r="E875" s="360"/>
      <c r="F875" s="360"/>
      <c r="G875" s="360"/>
      <c r="H875" s="360"/>
      <c r="I875" s="360"/>
      <c r="J875" s="360"/>
      <c r="K875" s="361"/>
      <c r="L875" s="360"/>
      <c r="M875" s="361"/>
      <c r="N875" s="360"/>
      <c r="O875" s="360"/>
      <c r="P875" s="360"/>
      <c r="Q875" s="360"/>
      <c r="R875" s="360"/>
      <c r="S875" s="360"/>
      <c r="T875" s="360"/>
      <c r="U875" s="360"/>
      <c r="V875" s="360"/>
      <c r="W875" s="360"/>
      <c r="X875" s="360"/>
      <c r="Y875" s="360"/>
      <c r="Z875" s="360"/>
      <c r="AA875" s="360"/>
      <c r="AB875" s="362"/>
      <c r="AC875" s="360"/>
      <c r="AD875" s="360"/>
      <c r="AE875" s="360"/>
    </row>
    <row r="876">
      <c r="A876" s="360"/>
      <c r="B876" s="360"/>
      <c r="C876" s="360"/>
      <c r="D876" s="360"/>
      <c r="E876" s="360"/>
      <c r="F876" s="360"/>
      <c r="G876" s="360"/>
      <c r="H876" s="360"/>
      <c r="I876" s="360"/>
      <c r="J876" s="360"/>
      <c r="K876" s="361"/>
      <c r="L876" s="360"/>
      <c r="M876" s="361"/>
      <c r="N876" s="360"/>
      <c r="O876" s="360"/>
      <c r="P876" s="360"/>
      <c r="Q876" s="360"/>
      <c r="R876" s="360"/>
      <c r="S876" s="360"/>
      <c r="T876" s="360"/>
      <c r="U876" s="360"/>
      <c r="V876" s="360"/>
      <c r="W876" s="360"/>
      <c r="X876" s="360"/>
      <c r="Y876" s="360"/>
      <c r="Z876" s="360"/>
      <c r="AA876" s="360"/>
      <c r="AB876" s="362"/>
      <c r="AC876" s="360"/>
      <c r="AD876" s="360"/>
      <c r="AE876" s="360"/>
    </row>
    <row r="877">
      <c r="A877" s="360"/>
      <c r="B877" s="360"/>
      <c r="C877" s="360"/>
      <c r="D877" s="360"/>
      <c r="E877" s="360"/>
      <c r="F877" s="360"/>
      <c r="G877" s="360"/>
      <c r="H877" s="360"/>
      <c r="I877" s="360"/>
      <c r="J877" s="360"/>
      <c r="K877" s="361"/>
      <c r="L877" s="360"/>
      <c r="M877" s="361"/>
      <c r="N877" s="360"/>
      <c r="O877" s="360"/>
      <c r="P877" s="360"/>
      <c r="Q877" s="360"/>
      <c r="R877" s="360"/>
      <c r="S877" s="360"/>
      <c r="T877" s="360"/>
      <c r="U877" s="360"/>
      <c r="V877" s="360"/>
      <c r="W877" s="360"/>
      <c r="X877" s="360"/>
      <c r="Y877" s="360"/>
      <c r="Z877" s="360"/>
      <c r="AA877" s="360"/>
      <c r="AB877" s="362"/>
      <c r="AC877" s="360"/>
      <c r="AD877" s="360"/>
      <c r="AE877" s="360"/>
    </row>
    <row r="878">
      <c r="A878" s="360"/>
      <c r="B878" s="360"/>
      <c r="C878" s="360"/>
      <c r="D878" s="360"/>
      <c r="E878" s="360"/>
      <c r="F878" s="360"/>
      <c r="G878" s="360"/>
      <c r="H878" s="360"/>
      <c r="I878" s="360"/>
      <c r="J878" s="360"/>
      <c r="K878" s="361"/>
      <c r="L878" s="360"/>
      <c r="M878" s="361"/>
      <c r="N878" s="360"/>
      <c r="O878" s="360"/>
      <c r="P878" s="360"/>
      <c r="Q878" s="360"/>
      <c r="R878" s="360"/>
      <c r="S878" s="360"/>
      <c r="T878" s="360"/>
      <c r="U878" s="360"/>
      <c r="V878" s="360"/>
      <c r="W878" s="360"/>
      <c r="X878" s="360"/>
      <c r="Y878" s="360"/>
      <c r="Z878" s="360"/>
      <c r="AA878" s="360"/>
      <c r="AB878" s="362"/>
      <c r="AC878" s="360"/>
      <c r="AD878" s="360"/>
      <c r="AE878" s="360"/>
    </row>
    <row r="879">
      <c r="A879" s="360"/>
      <c r="B879" s="360"/>
      <c r="C879" s="360"/>
      <c r="D879" s="360"/>
      <c r="E879" s="360"/>
      <c r="F879" s="360"/>
      <c r="G879" s="360"/>
      <c r="H879" s="360"/>
      <c r="I879" s="360"/>
      <c r="J879" s="360"/>
      <c r="K879" s="361"/>
      <c r="L879" s="360"/>
      <c r="M879" s="361"/>
      <c r="N879" s="360"/>
      <c r="O879" s="360"/>
      <c r="P879" s="360"/>
      <c r="Q879" s="360"/>
      <c r="R879" s="360"/>
      <c r="S879" s="360"/>
      <c r="T879" s="360"/>
      <c r="U879" s="360"/>
      <c r="V879" s="360"/>
      <c r="W879" s="360"/>
      <c r="X879" s="360"/>
      <c r="Y879" s="360"/>
      <c r="Z879" s="360"/>
      <c r="AA879" s="360"/>
      <c r="AB879" s="362"/>
      <c r="AC879" s="360"/>
      <c r="AD879" s="360"/>
      <c r="AE879" s="360"/>
    </row>
    <row r="880">
      <c r="A880" s="360"/>
      <c r="B880" s="360"/>
      <c r="C880" s="360"/>
      <c r="D880" s="360"/>
      <c r="E880" s="360"/>
      <c r="F880" s="360"/>
      <c r="G880" s="360"/>
      <c r="H880" s="360"/>
      <c r="I880" s="360"/>
      <c r="J880" s="360"/>
      <c r="K880" s="361"/>
      <c r="L880" s="360"/>
      <c r="M880" s="361"/>
      <c r="N880" s="360"/>
      <c r="O880" s="360"/>
      <c r="P880" s="360"/>
      <c r="Q880" s="360"/>
      <c r="R880" s="360"/>
      <c r="S880" s="360"/>
      <c r="T880" s="360"/>
      <c r="U880" s="360"/>
      <c r="V880" s="360"/>
      <c r="W880" s="360"/>
      <c r="X880" s="360"/>
      <c r="Y880" s="360"/>
      <c r="Z880" s="360"/>
      <c r="AA880" s="360"/>
      <c r="AB880" s="362"/>
      <c r="AC880" s="360"/>
      <c r="AD880" s="360"/>
      <c r="AE880" s="360"/>
    </row>
    <row r="881">
      <c r="A881" s="360"/>
      <c r="B881" s="360"/>
      <c r="C881" s="360"/>
      <c r="D881" s="360"/>
      <c r="E881" s="360"/>
      <c r="F881" s="360"/>
      <c r="G881" s="360"/>
      <c r="H881" s="360"/>
      <c r="I881" s="360"/>
      <c r="J881" s="360"/>
      <c r="K881" s="361"/>
      <c r="L881" s="360"/>
      <c r="M881" s="361"/>
      <c r="N881" s="360"/>
      <c r="O881" s="360"/>
      <c r="P881" s="360"/>
      <c r="Q881" s="360"/>
      <c r="R881" s="360"/>
      <c r="S881" s="360"/>
      <c r="T881" s="360"/>
      <c r="U881" s="360"/>
      <c r="V881" s="360"/>
      <c r="W881" s="360"/>
      <c r="X881" s="360"/>
      <c r="Y881" s="360"/>
      <c r="Z881" s="360"/>
      <c r="AA881" s="360"/>
      <c r="AB881" s="362"/>
      <c r="AC881" s="360"/>
      <c r="AD881" s="360"/>
      <c r="AE881" s="360"/>
    </row>
    <row r="882">
      <c r="A882" s="360"/>
      <c r="B882" s="360"/>
      <c r="C882" s="360"/>
      <c r="D882" s="360"/>
      <c r="E882" s="360"/>
      <c r="F882" s="360"/>
      <c r="G882" s="360"/>
      <c r="H882" s="360"/>
      <c r="I882" s="360"/>
      <c r="J882" s="360"/>
      <c r="K882" s="361"/>
      <c r="L882" s="360"/>
      <c r="M882" s="361"/>
      <c r="N882" s="360"/>
      <c r="O882" s="360"/>
      <c r="P882" s="360"/>
      <c r="Q882" s="360"/>
      <c r="R882" s="360"/>
      <c r="S882" s="360"/>
      <c r="T882" s="360"/>
      <c r="U882" s="360"/>
      <c r="V882" s="360"/>
      <c r="W882" s="360"/>
      <c r="X882" s="360"/>
      <c r="Y882" s="360"/>
      <c r="Z882" s="360"/>
      <c r="AA882" s="360"/>
      <c r="AB882" s="362"/>
      <c r="AC882" s="360"/>
      <c r="AD882" s="360"/>
      <c r="AE882" s="360"/>
    </row>
    <row r="883">
      <c r="A883" s="360"/>
      <c r="B883" s="360"/>
      <c r="C883" s="360"/>
      <c r="D883" s="360"/>
      <c r="E883" s="360"/>
      <c r="F883" s="360"/>
      <c r="G883" s="360"/>
      <c r="H883" s="360"/>
      <c r="I883" s="360"/>
      <c r="J883" s="360"/>
      <c r="K883" s="361"/>
      <c r="L883" s="360"/>
      <c r="M883" s="361"/>
      <c r="N883" s="360"/>
      <c r="O883" s="360"/>
      <c r="P883" s="360"/>
      <c r="Q883" s="360"/>
      <c r="R883" s="360"/>
      <c r="S883" s="360"/>
      <c r="T883" s="360"/>
      <c r="U883" s="360"/>
      <c r="V883" s="360"/>
      <c r="W883" s="360"/>
      <c r="X883" s="360"/>
      <c r="Y883" s="360"/>
      <c r="Z883" s="360"/>
      <c r="AA883" s="360"/>
      <c r="AB883" s="362"/>
      <c r="AC883" s="360"/>
      <c r="AD883" s="360"/>
      <c r="AE883" s="360"/>
    </row>
    <row r="884">
      <c r="A884" s="360"/>
      <c r="B884" s="360"/>
      <c r="C884" s="360"/>
      <c r="D884" s="360"/>
      <c r="E884" s="360"/>
      <c r="F884" s="360"/>
      <c r="G884" s="360"/>
      <c r="H884" s="360"/>
      <c r="I884" s="360"/>
      <c r="J884" s="360"/>
      <c r="K884" s="361"/>
      <c r="L884" s="360"/>
      <c r="M884" s="361"/>
      <c r="N884" s="360"/>
      <c r="O884" s="360"/>
      <c r="P884" s="360"/>
      <c r="Q884" s="360"/>
      <c r="R884" s="360"/>
      <c r="S884" s="360"/>
      <c r="T884" s="360"/>
      <c r="U884" s="360"/>
      <c r="V884" s="360"/>
      <c r="W884" s="360"/>
      <c r="X884" s="360"/>
      <c r="Y884" s="360"/>
      <c r="Z884" s="360"/>
      <c r="AA884" s="360"/>
      <c r="AB884" s="362"/>
      <c r="AC884" s="360"/>
      <c r="AD884" s="360"/>
      <c r="AE884" s="360"/>
    </row>
    <row r="885">
      <c r="A885" s="360"/>
      <c r="B885" s="360"/>
      <c r="C885" s="360"/>
      <c r="D885" s="360"/>
      <c r="E885" s="360"/>
      <c r="F885" s="360"/>
      <c r="G885" s="360"/>
      <c r="H885" s="360"/>
      <c r="I885" s="360"/>
      <c r="J885" s="360"/>
      <c r="K885" s="361"/>
      <c r="L885" s="360"/>
      <c r="M885" s="361"/>
      <c r="N885" s="360"/>
      <c r="O885" s="360"/>
      <c r="P885" s="360"/>
      <c r="Q885" s="360"/>
      <c r="R885" s="360"/>
      <c r="S885" s="360"/>
      <c r="T885" s="360"/>
      <c r="U885" s="360"/>
      <c r="V885" s="360"/>
      <c r="W885" s="360"/>
      <c r="X885" s="360"/>
      <c r="Y885" s="360"/>
      <c r="Z885" s="360"/>
      <c r="AA885" s="360"/>
      <c r="AB885" s="362"/>
      <c r="AC885" s="360"/>
      <c r="AD885" s="360"/>
      <c r="AE885" s="360"/>
    </row>
    <row r="886">
      <c r="A886" s="360"/>
      <c r="B886" s="360"/>
      <c r="C886" s="360"/>
      <c r="D886" s="360"/>
      <c r="E886" s="360"/>
      <c r="F886" s="360"/>
      <c r="G886" s="360"/>
      <c r="H886" s="360"/>
      <c r="I886" s="360"/>
      <c r="J886" s="360"/>
      <c r="K886" s="361"/>
      <c r="L886" s="360"/>
      <c r="M886" s="361"/>
      <c r="N886" s="360"/>
      <c r="O886" s="360"/>
      <c r="P886" s="360"/>
      <c r="Q886" s="360"/>
      <c r="R886" s="360"/>
      <c r="S886" s="360"/>
      <c r="T886" s="360"/>
      <c r="U886" s="360"/>
      <c r="V886" s="360"/>
      <c r="W886" s="360"/>
      <c r="X886" s="360"/>
      <c r="Y886" s="360"/>
      <c r="Z886" s="360"/>
      <c r="AA886" s="360"/>
      <c r="AB886" s="362"/>
      <c r="AC886" s="360"/>
      <c r="AD886" s="360"/>
      <c r="AE886" s="360"/>
    </row>
    <row r="887">
      <c r="A887" s="360"/>
      <c r="B887" s="360"/>
      <c r="C887" s="360"/>
      <c r="D887" s="360"/>
      <c r="E887" s="360"/>
      <c r="F887" s="360"/>
      <c r="G887" s="360"/>
      <c r="H887" s="360"/>
      <c r="I887" s="360"/>
      <c r="J887" s="360"/>
      <c r="K887" s="361"/>
      <c r="L887" s="360"/>
      <c r="M887" s="361"/>
      <c r="N887" s="360"/>
      <c r="O887" s="360"/>
      <c r="P887" s="360"/>
      <c r="Q887" s="360"/>
      <c r="R887" s="360"/>
      <c r="S887" s="360"/>
      <c r="T887" s="360"/>
      <c r="U887" s="360"/>
      <c r="V887" s="360"/>
      <c r="W887" s="360"/>
      <c r="X887" s="360"/>
      <c r="Y887" s="360"/>
      <c r="Z887" s="360"/>
      <c r="AA887" s="360"/>
      <c r="AB887" s="362"/>
      <c r="AC887" s="360"/>
      <c r="AD887" s="360"/>
      <c r="AE887" s="360"/>
    </row>
    <row r="888">
      <c r="A888" s="360"/>
      <c r="B888" s="360"/>
      <c r="C888" s="360"/>
      <c r="D888" s="360"/>
      <c r="E888" s="360"/>
      <c r="F888" s="360"/>
      <c r="G888" s="360"/>
      <c r="H888" s="360"/>
      <c r="I888" s="360"/>
      <c r="J888" s="360"/>
      <c r="K888" s="361"/>
      <c r="L888" s="360"/>
      <c r="M888" s="361"/>
      <c r="N888" s="360"/>
      <c r="O888" s="360"/>
      <c r="P888" s="360"/>
      <c r="Q888" s="360"/>
      <c r="R888" s="360"/>
      <c r="S888" s="360"/>
      <c r="T888" s="360"/>
      <c r="U888" s="360"/>
      <c r="V888" s="360"/>
      <c r="W888" s="360"/>
      <c r="X888" s="360"/>
      <c r="Y888" s="360"/>
      <c r="Z888" s="360"/>
      <c r="AA888" s="360"/>
      <c r="AB888" s="362"/>
      <c r="AC888" s="360"/>
      <c r="AD888" s="360"/>
      <c r="AE888" s="360"/>
    </row>
    <row r="889">
      <c r="A889" s="360"/>
      <c r="B889" s="360"/>
      <c r="C889" s="360"/>
      <c r="D889" s="360"/>
      <c r="E889" s="360"/>
      <c r="F889" s="360"/>
      <c r="G889" s="360"/>
      <c r="H889" s="360"/>
      <c r="I889" s="360"/>
      <c r="J889" s="360"/>
      <c r="K889" s="361"/>
      <c r="L889" s="360"/>
      <c r="M889" s="361"/>
      <c r="N889" s="360"/>
      <c r="O889" s="360"/>
      <c r="P889" s="360"/>
      <c r="Q889" s="360"/>
      <c r="R889" s="360"/>
      <c r="S889" s="360"/>
      <c r="T889" s="360"/>
      <c r="U889" s="360"/>
      <c r="V889" s="360"/>
      <c r="W889" s="360"/>
      <c r="X889" s="360"/>
      <c r="Y889" s="360"/>
      <c r="Z889" s="360"/>
      <c r="AA889" s="360"/>
      <c r="AB889" s="362"/>
      <c r="AC889" s="360"/>
      <c r="AD889" s="360"/>
      <c r="AE889" s="360"/>
    </row>
    <row r="890">
      <c r="A890" s="360"/>
      <c r="B890" s="360"/>
      <c r="C890" s="360"/>
      <c r="D890" s="360"/>
      <c r="E890" s="360"/>
      <c r="F890" s="360"/>
      <c r="G890" s="360"/>
      <c r="H890" s="360"/>
      <c r="I890" s="360"/>
      <c r="J890" s="360"/>
      <c r="K890" s="361"/>
      <c r="L890" s="360"/>
      <c r="M890" s="361"/>
      <c r="N890" s="360"/>
      <c r="O890" s="360"/>
      <c r="P890" s="360"/>
      <c r="Q890" s="360"/>
      <c r="R890" s="360"/>
      <c r="S890" s="360"/>
      <c r="T890" s="360"/>
      <c r="U890" s="360"/>
      <c r="V890" s="360"/>
      <c r="W890" s="360"/>
      <c r="X890" s="360"/>
      <c r="Y890" s="360"/>
      <c r="Z890" s="360"/>
      <c r="AA890" s="360"/>
      <c r="AB890" s="362"/>
      <c r="AC890" s="360"/>
      <c r="AD890" s="360"/>
      <c r="AE890" s="360"/>
    </row>
    <row r="891">
      <c r="A891" s="360"/>
      <c r="B891" s="360"/>
      <c r="C891" s="360"/>
      <c r="D891" s="360"/>
      <c r="E891" s="360"/>
      <c r="F891" s="360"/>
      <c r="G891" s="360"/>
      <c r="H891" s="360"/>
      <c r="I891" s="360"/>
      <c r="J891" s="360"/>
      <c r="K891" s="361"/>
      <c r="L891" s="360"/>
      <c r="M891" s="361"/>
      <c r="N891" s="360"/>
      <c r="O891" s="360"/>
      <c r="P891" s="360"/>
      <c r="Q891" s="360"/>
      <c r="R891" s="360"/>
      <c r="S891" s="360"/>
      <c r="T891" s="360"/>
      <c r="U891" s="360"/>
      <c r="V891" s="360"/>
      <c r="W891" s="360"/>
      <c r="X891" s="360"/>
      <c r="Y891" s="360"/>
      <c r="Z891" s="360"/>
      <c r="AA891" s="360"/>
      <c r="AB891" s="362"/>
      <c r="AC891" s="360"/>
      <c r="AD891" s="360"/>
      <c r="AE891" s="360"/>
    </row>
    <row r="892">
      <c r="A892" s="360"/>
      <c r="B892" s="360"/>
      <c r="C892" s="360"/>
      <c r="D892" s="360"/>
      <c r="E892" s="360"/>
      <c r="F892" s="360"/>
      <c r="G892" s="360"/>
      <c r="H892" s="360"/>
      <c r="I892" s="360"/>
      <c r="J892" s="360"/>
      <c r="K892" s="361"/>
      <c r="L892" s="360"/>
      <c r="M892" s="361"/>
      <c r="N892" s="360"/>
      <c r="O892" s="360"/>
      <c r="P892" s="360"/>
      <c r="Q892" s="360"/>
      <c r="R892" s="360"/>
      <c r="S892" s="360"/>
      <c r="T892" s="360"/>
      <c r="U892" s="360"/>
      <c r="V892" s="360"/>
      <c r="W892" s="360"/>
      <c r="X892" s="360"/>
      <c r="Y892" s="360"/>
      <c r="Z892" s="360"/>
      <c r="AA892" s="360"/>
      <c r="AB892" s="362"/>
      <c r="AC892" s="360"/>
      <c r="AD892" s="360"/>
      <c r="AE892" s="360"/>
    </row>
    <row r="893">
      <c r="A893" s="360"/>
      <c r="B893" s="360"/>
      <c r="C893" s="360"/>
      <c r="D893" s="360"/>
      <c r="E893" s="360"/>
      <c r="F893" s="360"/>
      <c r="G893" s="360"/>
      <c r="H893" s="360"/>
      <c r="I893" s="360"/>
      <c r="J893" s="360"/>
      <c r="K893" s="361"/>
      <c r="L893" s="360"/>
      <c r="M893" s="361"/>
      <c r="N893" s="360"/>
      <c r="O893" s="360"/>
      <c r="P893" s="360"/>
      <c r="Q893" s="360"/>
      <c r="R893" s="360"/>
      <c r="S893" s="360"/>
      <c r="T893" s="360"/>
      <c r="U893" s="360"/>
      <c r="V893" s="360"/>
      <c r="W893" s="360"/>
      <c r="X893" s="360"/>
      <c r="Y893" s="360"/>
      <c r="Z893" s="360"/>
      <c r="AA893" s="360"/>
      <c r="AB893" s="362"/>
      <c r="AC893" s="360"/>
      <c r="AD893" s="360"/>
      <c r="AE893" s="360"/>
    </row>
    <row r="894">
      <c r="A894" s="360"/>
      <c r="B894" s="360"/>
      <c r="C894" s="360"/>
      <c r="D894" s="360"/>
      <c r="E894" s="360"/>
      <c r="F894" s="360"/>
      <c r="G894" s="360"/>
      <c r="H894" s="360"/>
      <c r="I894" s="360"/>
      <c r="J894" s="360"/>
      <c r="K894" s="361"/>
      <c r="L894" s="360"/>
      <c r="M894" s="361"/>
      <c r="N894" s="360"/>
      <c r="O894" s="360"/>
      <c r="P894" s="360"/>
      <c r="Q894" s="360"/>
      <c r="R894" s="360"/>
      <c r="S894" s="360"/>
      <c r="T894" s="360"/>
      <c r="U894" s="360"/>
      <c r="V894" s="360"/>
      <c r="W894" s="360"/>
      <c r="X894" s="360"/>
      <c r="Y894" s="360"/>
      <c r="Z894" s="360"/>
      <c r="AA894" s="360"/>
      <c r="AB894" s="362"/>
      <c r="AC894" s="360"/>
      <c r="AD894" s="360"/>
      <c r="AE894" s="360"/>
    </row>
    <row r="895">
      <c r="A895" s="360"/>
      <c r="B895" s="360"/>
      <c r="C895" s="360"/>
      <c r="D895" s="360"/>
      <c r="E895" s="360"/>
      <c r="F895" s="360"/>
      <c r="G895" s="360"/>
      <c r="H895" s="360"/>
      <c r="I895" s="360"/>
      <c r="J895" s="360"/>
      <c r="K895" s="361"/>
      <c r="L895" s="360"/>
      <c r="M895" s="361"/>
      <c r="N895" s="360"/>
      <c r="O895" s="360"/>
      <c r="P895" s="360"/>
      <c r="Q895" s="360"/>
      <c r="R895" s="360"/>
      <c r="S895" s="360"/>
      <c r="T895" s="360"/>
      <c r="U895" s="360"/>
      <c r="V895" s="360"/>
      <c r="W895" s="360"/>
      <c r="X895" s="360"/>
      <c r="Y895" s="360"/>
      <c r="Z895" s="360"/>
      <c r="AA895" s="360"/>
      <c r="AB895" s="362"/>
      <c r="AC895" s="360"/>
      <c r="AD895" s="360"/>
      <c r="AE895" s="360"/>
    </row>
    <row r="896">
      <c r="A896" s="360"/>
      <c r="B896" s="360"/>
      <c r="C896" s="360"/>
      <c r="D896" s="360"/>
      <c r="E896" s="360"/>
      <c r="F896" s="360"/>
      <c r="G896" s="360"/>
      <c r="H896" s="360"/>
      <c r="I896" s="360"/>
      <c r="J896" s="360"/>
      <c r="K896" s="361"/>
      <c r="L896" s="360"/>
      <c r="M896" s="361"/>
      <c r="N896" s="360"/>
      <c r="O896" s="360"/>
      <c r="P896" s="360"/>
      <c r="Q896" s="360"/>
      <c r="R896" s="360"/>
      <c r="S896" s="360"/>
      <c r="T896" s="360"/>
      <c r="U896" s="360"/>
      <c r="V896" s="360"/>
      <c r="W896" s="360"/>
      <c r="X896" s="360"/>
      <c r="Y896" s="360"/>
      <c r="Z896" s="360"/>
      <c r="AA896" s="360"/>
      <c r="AB896" s="362"/>
      <c r="AC896" s="360"/>
      <c r="AD896" s="360"/>
      <c r="AE896" s="360"/>
    </row>
    <row r="897">
      <c r="A897" s="360"/>
      <c r="B897" s="360"/>
      <c r="C897" s="360"/>
      <c r="D897" s="360"/>
      <c r="E897" s="360"/>
      <c r="F897" s="360"/>
      <c r="G897" s="360"/>
      <c r="H897" s="360"/>
      <c r="I897" s="360"/>
      <c r="J897" s="360"/>
      <c r="K897" s="361"/>
      <c r="L897" s="360"/>
      <c r="M897" s="361"/>
      <c r="N897" s="360"/>
      <c r="O897" s="360"/>
      <c r="P897" s="360"/>
      <c r="Q897" s="360"/>
      <c r="R897" s="360"/>
      <c r="S897" s="360"/>
      <c r="T897" s="360"/>
      <c r="U897" s="360"/>
      <c r="V897" s="360"/>
      <c r="W897" s="360"/>
      <c r="X897" s="360"/>
      <c r="Y897" s="360"/>
      <c r="Z897" s="360"/>
      <c r="AA897" s="360"/>
      <c r="AB897" s="362"/>
      <c r="AC897" s="360"/>
      <c r="AD897" s="360"/>
      <c r="AE897" s="360"/>
    </row>
    <row r="898">
      <c r="A898" s="360"/>
      <c r="B898" s="360"/>
      <c r="C898" s="360"/>
      <c r="D898" s="360"/>
      <c r="E898" s="360"/>
      <c r="F898" s="360"/>
      <c r="G898" s="360"/>
      <c r="H898" s="360"/>
      <c r="I898" s="360"/>
      <c r="J898" s="360"/>
      <c r="K898" s="361"/>
      <c r="L898" s="360"/>
      <c r="M898" s="361"/>
      <c r="N898" s="360"/>
      <c r="O898" s="360"/>
      <c r="P898" s="360"/>
      <c r="Q898" s="360"/>
      <c r="R898" s="360"/>
      <c r="S898" s="360"/>
      <c r="T898" s="360"/>
      <c r="U898" s="360"/>
      <c r="V898" s="360"/>
      <c r="W898" s="360"/>
      <c r="X898" s="360"/>
      <c r="Y898" s="360"/>
      <c r="Z898" s="360"/>
      <c r="AA898" s="360"/>
      <c r="AB898" s="362"/>
      <c r="AC898" s="360"/>
      <c r="AD898" s="360"/>
      <c r="AE898" s="360"/>
    </row>
    <row r="899">
      <c r="A899" s="360"/>
      <c r="B899" s="360"/>
      <c r="C899" s="360"/>
      <c r="D899" s="360"/>
      <c r="E899" s="360"/>
      <c r="F899" s="360"/>
      <c r="G899" s="360"/>
      <c r="H899" s="360"/>
      <c r="I899" s="360"/>
      <c r="J899" s="360"/>
      <c r="K899" s="361"/>
      <c r="L899" s="360"/>
      <c r="M899" s="361"/>
      <c r="N899" s="360"/>
      <c r="O899" s="360"/>
      <c r="P899" s="360"/>
      <c r="Q899" s="360"/>
      <c r="R899" s="360"/>
      <c r="S899" s="360"/>
      <c r="T899" s="360"/>
      <c r="U899" s="360"/>
      <c r="V899" s="360"/>
      <c r="W899" s="360"/>
      <c r="X899" s="360"/>
      <c r="Y899" s="360"/>
      <c r="Z899" s="360"/>
      <c r="AA899" s="360"/>
      <c r="AB899" s="362"/>
      <c r="AC899" s="360"/>
      <c r="AD899" s="360"/>
      <c r="AE899" s="360"/>
    </row>
    <row r="900">
      <c r="A900" s="360"/>
      <c r="B900" s="360"/>
      <c r="C900" s="360"/>
      <c r="D900" s="360"/>
      <c r="E900" s="360"/>
      <c r="F900" s="360"/>
      <c r="G900" s="360"/>
      <c r="H900" s="360"/>
      <c r="I900" s="360"/>
      <c r="J900" s="360"/>
      <c r="K900" s="361"/>
      <c r="L900" s="360"/>
      <c r="M900" s="361"/>
      <c r="N900" s="360"/>
      <c r="O900" s="360"/>
      <c r="P900" s="360"/>
      <c r="Q900" s="360"/>
      <c r="R900" s="360"/>
      <c r="S900" s="360"/>
      <c r="T900" s="360"/>
      <c r="U900" s="360"/>
      <c r="V900" s="360"/>
      <c r="W900" s="360"/>
      <c r="X900" s="360"/>
      <c r="Y900" s="360"/>
      <c r="Z900" s="360"/>
      <c r="AA900" s="360"/>
      <c r="AB900" s="362"/>
      <c r="AC900" s="360"/>
      <c r="AD900" s="360"/>
      <c r="AE900" s="360"/>
    </row>
    <row r="901">
      <c r="A901" s="360"/>
      <c r="B901" s="360"/>
      <c r="C901" s="360"/>
      <c r="D901" s="360"/>
      <c r="E901" s="360"/>
      <c r="F901" s="360"/>
      <c r="G901" s="360"/>
      <c r="H901" s="360"/>
      <c r="I901" s="360"/>
      <c r="J901" s="360"/>
      <c r="K901" s="361"/>
      <c r="L901" s="360"/>
      <c r="M901" s="361"/>
      <c r="N901" s="360"/>
      <c r="O901" s="360"/>
      <c r="P901" s="360"/>
      <c r="Q901" s="360"/>
      <c r="R901" s="360"/>
      <c r="S901" s="360"/>
      <c r="T901" s="360"/>
      <c r="U901" s="360"/>
      <c r="V901" s="360"/>
      <c r="W901" s="360"/>
      <c r="X901" s="360"/>
      <c r="Y901" s="360"/>
      <c r="Z901" s="360"/>
      <c r="AA901" s="360"/>
      <c r="AB901" s="362"/>
      <c r="AC901" s="360"/>
      <c r="AD901" s="360"/>
      <c r="AE901" s="360"/>
    </row>
    <row r="902">
      <c r="A902" s="360"/>
      <c r="B902" s="360"/>
      <c r="C902" s="360"/>
      <c r="D902" s="360"/>
      <c r="E902" s="360"/>
      <c r="F902" s="360"/>
      <c r="G902" s="360"/>
      <c r="H902" s="360"/>
      <c r="I902" s="360"/>
      <c r="J902" s="360"/>
      <c r="K902" s="361"/>
      <c r="L902" s="360"/>
      <c r="M902" s="361"/>
      <c r="N902" s="360"/>
      <c r="O902" s="360"/>
      <c r="P902" s="360"/>
      <c r="Q902" s="360"/>
      <c r="R902" s="360"/>
      <c r="S902" s="360"/>
      <c r="T902" s="360"/>
      <c r="U902" s="360"/>
      <c r="V902" s="360"/>
      <c r="W902" s="360"/>
      <c r="X902" s="360"/>
      <c r="Y902" s="360"/>
      <c r="Z902" s="360"/>
      <c r="AA902" s="360"/>
      <c r="AB902" s="362"/>
      <c r="AC902" s="360"/>
      <c r="AD902" s="360"/>
      <c r="AE902" s="360"/>
    </row>
    <row r="903">
      <c r="A903" s="360"/>
      <c r="B903" s="360"/>
      <c r="C903" s="360"/>
      <c r="D903" s="360"/>
      <c r="E903" s="360"/>
      <c r="F903" s="360"/>
      <c r="G903" s="360"/>
      <c r="H903" s="360"/>
      <c r="I903" s="360"/>
      <c r="J903" s="360"/>
      <c r="K903" s="361"/>
      <c r="L903" s="360"/>
      <c r="M903" s="361"/>
      <c r="N903" s="360"/>
      <c r="O903" s="360"/>
      <c r="P903" s="360"/>
      <c r="Q903" s="360"/>
      <c r="R903" s="360"/>
      <c r="S903" s="360"/>
      <c r="T903" s="360"/>
      <c r="U903" s="360"/>
      <c r="V903" s="360"/>
      <c r="W903" s="360"/>
      <c r="X903" s="360"/>
      <c r="Y903" s="360"/>
      <c r="Z903" s="360"/>
      <c r="AA903" s="360"/>
      <c r="AB903" s="362"/>
      <c r="AC903" s="360"/>
      <c r="AD903" s="360"/>
      <c r="AE903" s="360"/>
    </row>
    <row r="904">
      <c r="A904" s="360"/>
      <c r="B904" s="360"/>
      <c r="C904" s="360"/>
      <c r="D904" s="360"/>
      <c r="E904" s="360"/>
      <c r="F904" s="360"/>
      <c r="G904" s="360"/>
      <c r="H904" s="360"/>
      <c r="I904" s="360"/>
      <c r="J904" s="360"/>
      <c r="K904" s="361"/>
      <c r="L904" s="360"/>
      <c r="M904" s="361"/>
      <c r="N904" s="360"/>
      <c r="O904" s="360"/>
      <c r="P904" s="360"/>
      <c r="Q904" s="360"/>
      <c r="R904" s="360"/>
      <c r="S904" s="360"/>
      <c r="T904" s="360"/>
      <c r="U904" s="360"/>
      <c r="V904" s="360"/>
      <c r="W904" s="360"/>
      <c r="X904" s="360"/>
      <c r="Y904" s="360"/>
      <c r="Z904" s="360"/>
      <c r="AA904" s="360"/>
      <c r="AB904" s="362"/>
      <c r="AC904" s="360"/>
      <c r="AD904" s="360"/>
      <c r="AE904" s="360"/>
    </row>
    <row r="905">
      <c r="A905" s="360"/>
      <c r="B905" s="360"/>
      <c r="C905" s="360"/>
      <c r="D905" s="360"/>
      <c r="E905" s="360"/>
      <c r="F905" s="360"/>
      <c r="G905" s="360"/>
      <c r="H905" s="360"/>
      <c r="I905" s="360"/>
      <c r="J905" s="360"/>
      <c r="K905" s="361"/>
      <c r="L905" s="360"/>
      <c r="M905" s="361"/>
      <c r="N905" s="360"/>
      <c r="O905" s="360"/>
      <c r="P905" s="360"/>
      <c r="Q905" s="360"/>
      <c r="R905" s="360"/>
      <c r="S905" s="360"/>
      <c r="T905" s="360"/>
      <c r="U905" s="360"/>
      <c r="V905" s="360"/>
      <c r="W905" s="360"/>
      <c r="X905" s="360"/>
      <c r="Y905" s="360"/>
      <c r="Z905" s="360"/>
      <c r="AA905" s="360"/>
      <c r="AB905" s="362"/>
      <c r="AC905" s="360"/>
      <c r="AD905" s="360"/>
      <c r="AE905" s="360"/>
    </row>
    <row r="906">
      <c r="A906" s="360"/>
      <c r="B906" s="360"/>
      <c r="C906" s="360"/>
      <c r="D906" s="360"/>
      <c r="E906" s="360"/>
      <c r="F906" s="360"/>
      <c r="G906" s="360"/>
      <c r="H906" s="360"/>
      <c r="I906" s="360"/>
      <c r="J906" s="360"/>
      <c r="K906" s="361"/>
      <c r="L906" s="360"/>
      <c r="M906" s="361"/>
      <c r="N906" s="360"/>
      <c r="O906" s="360"/>
      <c r="P906" s="360"/>
      <c r="Q906" s="360"/>
      <c r="R906" s="360"/>
      <c r="S906" s="360"/>
      <c r="T906" s="360"/>
      <c r="U906" s="360"/>
      <c r="V906" s="360"/>
      <c r="W906" s="360"/>
      <c r="X906" s="360"/>
      <c r="Y906" s="360"/>
      <c r="Z906" s="360"/>
      <c r="AA906" s="360"/>
      <c r="AB906" s="362"/>
      <c r="AC906" s="360"/>
      <c r="AD906" s="360"/>
      <c r="AE906" s="360"/>
    </row>
    <row r="907">
      <c r="A907" s="360"/>
      <c r="B907" s="360"/>
      <c r="C907" s="360"/>
      <c r="D907" s="360"/>
      <c r="E907" s="360"/>
      <c r="F907" s="360"/>
      <c r="G907" s="360"/>
      <c r="H907" s="360"/>
      <c r="I907" s="360"/>
      <c r="J907" s="360"/>
      <c r="K907" s="361"/>
      <c r="L907" s="360"/>
      <c r="M907" s="361"/>
      <c r="N907" s="360"/>
      <c r="O907" s="360"/>
      <c r="P907" s="360"/>
      <c r="Q907" s="360"/>
      <c r="R907" s="360"/>
      <c r="S907" s="360"/>
      <c r="T907" s="360"/>
      <c r="U907" s="360"/>
      <c r="V907" s="360"/>
      <c r="W907" s="360"/>
      <c r="X907" s="360"/>
      <c r="Y907" s="360"/>
      <c r="Z907" s="360"/>
      <c r="AA907" s="360"/>
      <c r="AB907" s="362"/>
      <c r="AC907" s="360"/>
      <c r="AD907" s="360"/>
      <c r="AE907" s="360"/>
    </row>
    <row r="908">
      <c r="A908" s="360"/>
      <c r="B908" s="360"/>
      <c r="C908" s="360"/>
      <c r="D908" s="360"/>
      <c r="E908" s="360"/>
      <c r="F908" s="360"/>
      <c r="G908" s="360"/>
      <c r="H908" s="360"/>
      <c r="I908" s="360"/>
      <c r="J908" s="360"/>
      <c r="K908" s="361"/>
      <c r="L908" s="360"/>
      <c r="M908" s="361"/>
      <c r="N908" s="360"/>
      <c r="O908" s="360"/>
      <c r="P908" s="360"/>
      <c r="Q908" s="360"/>
      <c r="R908" s="360"/>
      <c r="S908" s="360"/>
      <c r="T908" s="360"/>
      <c r="U908" s="360"/>
      <c r="V908" s="360"/>
      <c r="W908" s="360"/>
      <c r="X908" s="360"/>
      <c r="Y908" s="360"/>
      <c r="Z908" s="360"/>
      <c r="AA908" s="360"/>
      <c r="AB908" s="362"/>
      <c r="AC908" s="360"/>
      <c r="AD908" s="360"/>
      <c r="AE908" s="360"/>
    </row>
    <row r="909">
      <c r="A909" s="360"/>
      <c r="B909" s="360"/>
      <c r="C909" s="360"/>
      <c r="D909" s="360"/>
      <c r="E909" s="360"/>
      <c r="F909" s="360"/>
      <c r="G909" s="360"/>
      <c r="H909" s="360"/>
      <c r="I909" s="360"/>
      <c r="J909" s="360"/>
      <c r="K909" s="361"/>
      <c r="L909" s="360"/>
      <c r="M909" s="361"/>
      <c r="N909" s="360"/>
      <c r="O909" s="360"/>
      <c r="P909" s="360"/>
      <c r="Q909" s="360"/>
      <c r="R909" s="360"/>
      <c r="S909" s="360"/>
      <c r="T909" s="360"/>
      <c r="U909" s="360"/>
      <c r="V909" s="360"/>
      <c r="W909" s="360"/>
      <c r="X909" s="360"/>
      <c r="Y909" s="360"/>
      <c r="Z909" s="360"/>
      <c r="AA909" s="360"/>
      <c r="AB909" s="362"/>
      <c r="AC909" s="360"/>
      <c r="AD909" s="360"/>
      <c r="AE909" s="360"/>
    </row>
    <row r="910">
      <c r="A910" s="360"/>
      <c r="B910" s="360"/>
      <c r="C910" s="360"/>
      <c r="D910" s="360"/>
      <c r="E910" s="360"/>
      <c r="F910" s="360"/>
      <c r="G910" s="360"/>
      <c r="H910" s="360"/>
      <c r="I910" s="360"/>
      <c r="J910" s="360"/>
      <c r="K910" s="361"/>
      <c r="L910" s="360"/>
      <c r="M910" s="361"/>
      <c r="N910" s="360"/>
      <c r="O910" s="360"/>
      <c r="P910" s="360"/>
      <c r="Q910" s="360"/>
      <c r="R910" s="360"/>
      <c r="S910" s="360"/>
      <c r="T910" s="360"/>
      <c r="U910" s="360"/>
      <c r="V910" s="360"/>
      <c r="W910" s="360"/>
      <c r="X910" s="360"/>
      <c r="Y910" s="360"/>
      <c r="Z910" s="360"/>
      <c r="AA910" s="360"/>
      <c r="AB910" s="362"/>
      <c r="AC910" s="360"/>
      <c r="AD910" s="360"/>
      <c r="AE910" s="360"/>
    </row>
    <row r="911">
      <c r="A911" s="360"/>
      <c r="B911" s="360"/>
      <c r="C911" s="360"/>
      <c r="D911" s="360"/>
      <c r="E911" s="360"/>
      <c r="F911" s="360"/>
      <c r="G911" s="360"/>
      <c r="H911" s="360"/>
      <c r="I911" s="360"/>
      <c r="J911" s="360"/>
      <c r="K911" s="361"/>
      <c r="L911" s="360"/>
      <c r="M911" s="361"/>
      <c r="N911" s="360"/>
      <c r="O911" s="360"/>
      <c r="P911" s="360"/>
      <c r="Q911" s="360"/>
      <c r="R911" s="360"/>
      <c r="S911" s="360"/>
      <c r="T911" s="360"/>
      <c r="U911" s="360"/>
      <c r="V911" s="360"/>
      <c r="W911" s="360"/>
      <c r="X911" s="360"/>
      <c r="Y911" s="360"/>
      <c r="Z911" s="360"/>
      <c r="AA911" s="360"/>
      <c r="AB911" s="362"/>
      <c r="AC911" s="360"/>
      <c r="AD911" s="360"/>
      <c r="AE911" s="360"/>
    </row>
    <row r="912">
      <c r="A912" s="360"/>
      <c r="B912" s="360"/>
      <c r="C912" s="360"/>
      <c r="D912" s="360"/>
      <c r="E912" s="360"/>
      <c r="F912" s="360"/>
      <c r="G912" s="360"/>
      <c r="H912" s="360"/>
      <c r="I912" s="360"/>
      <c r="J912" s="360"/>
      <c r="K912" s="361"/>
      <c r="L912" s="360"/>
      <c r="M912" s="361"/>
      <c r="N912" s="360"/>
      <c r="O912" s="360"/>
      <c r="P912" s="360"/>
      <c r="Q912" s="360"/>
      <c r="R912" s="360"/>
      <c r="S912" s="360"/>
      <c r="T912" s="360"/>
      <c r="U912" s="360"/>
      <c r="V912" s="360"/>
      <c r="W912" s="360"/>
      <c r="X912" s="360"/>
      <c r="Y912" s="360"/>
      <c r="Z912" s="360"/>
      <c r="AA912" s="360"/>
      <c r="AB912" s="362"/>
      <c r="AC912" s="360"/>
      <c r="AD912" s="360"/>
      <c r="AE912" s="360"/>
    </row>
    <row r="913">
      <c r="A913" s="360"/>
      <c r="B913" s="360"/>
      <c r="C913" s="360"/>
      <c r="D913" s="360"/>
      <c r="E913" s="360"/>
      <c r="F913" s="360"/>
      <c r="G913" s="360"/>
      <c r="H913" s="360"/>
      <c r="I913" s="360"/>
      <c r="J913" s="360"/>
      <c r="K913" s="361"/>
      <c r="L913" s="360"/>
      <c r="M913" s="361"/>
      <c r="N913" s="360"/>
      <c r="O913" s="360"/>
      <c r="P913" s="360"/>
      <c r="Q913" s="360"/>
      <c r="R913" s="360"/>
      <c r="S913" s="360"/>
      <c r="T913" s="360"/>
      <c r="U913" s="360"/>
      <c r="V913" s="360"/>
      <c r="W913" s="360"/>
      <c r="X913" s="360"/>
      <c r="Y913" s="360"/>
      <c r="Z913" s="360"/>
      <c r="AA913" s="360"/>
      <c r="AB913" s="362"/>
      <c r="AC913" s="360"/>
      <c r="AD913" s="360"/>
      <c r="AE913" s="360"/>
    </row>
    <row r="914">
      <c r="A914" s="360"/>
      <c r="B914" s="360"/>
      <c r="C914" s="360"/>
      <c r="D914" s="360"/>
      <c r="E914" s="360"/>
      <c r="F914" s="360"/>
      <c r="G914" s="360"/>
      <c r="H914" s="360"/>
      <c r="I914" s="360"/>
      <c r="J914" s="360"/>
      <c r="K914" s="361"/>
      <c r="L914" s="360"/>
      <c r="M914" s="361"/>
      <c r="N914" s="360"/>
      <c r="O914" s="360"/>
      <c r="P914" s="360"/>
      <c r="Q914" s="360"/>
      <c r="R914" s="360"/>
      <c r="S914" s="360"/>
      <c r="T914" s="360"/>
      <c r="U914" s="360"/>
      <c r="V914" s="360"/>
      <c r="W914" s="360"/>
      <c r="X914" s="360"/>
      <c r="Y914" s="360"/>
      <c r="Z914" s="360"/>
      <c r="AA914" s="360"/>
      <c r="AB914" s="362"/>
      <c r="AC914" s="360"/>
      <c r="AD914" s="360"/>
      <c r="AE914" s="360"/>
    </row>
    <row r="915">
      <c r="A915" s="360"/>
      <c r="B915" s="360"/>
      <c r="C915" s="360"/>
      <c r="D915" s="360"/>
      <c r="E915" s="360"/>
      <c r="F915" s="360"/>
      <c r="G915" s="360"/>
      <c r="H915" s="360"/>
      <c r="I915" s="360"/>
      <c r="J915" s="360"/>
      <c r="K915" s="361"/>
      <c r="L915" s="360"/>
      <c r="M915" s="361"/>
      <c r="N915" s="360"/>
      <c r="O915" s="360"/>
      <c r="P915" s="360"/>
      <c r="Q915" s="360"/>
      <c r="R915" s="360"/>
      <c r="S915" s="360"/>
      <c r="T915" s="360"/>
      <c r="U915" s="360"/>
      <c r="V915" s="360"/>
      <c r="W915" s="360"/>
      <c r="X915" s="360"/>
      <c r="Y915" s="360"/>
      <c r="Z915" s="360"/>
      <c r="AA915" s="360"/>
      <c r="AB915" s="362"/>
      <c r="AC915" s="360"/>
      <c r="AD915" s="360"/>
      <c r="AE915" s="360"/>
    </row>
    <row r="916">
      <c r="A916" s="360"/>
      <c r="B916" s="360"/>
      <c r="C916" s="360"/>
      <c r="D916" s="360"/>
      <c r="E916" s="360"/>
      <c r="F916" s="360"/>
      <c r="G916" s="360"/>
      <c r="H916" s="360"/>
      <c r="I916" s="360"/>
      <c r="J916" s="360"/>
      <c r="K916" s="361"/>
      <c r="L916" s="360"/>
      <c r="M916" s="361"/>
      <c r="N916" s="360"/>
      <c r="O916" s="360"/>
      <c r="P916" s="360"/>
      <c r="Q916" s="360"/>
      <c r="R916" s="360"/>
      <c r="S916" s="360"/>
      <c r="T916" s="360"/>
      <c r="U916" s="360"/>
      <c r="V916" s="360"/>
      <c r="W916" s="360"/>
      <c r="X916" s="360"/>
      <c r="Y916" s="360"/>
      <c r="Z916" s="360"/>
      <c r="AA916" s="360"/>
      <c r="AB916" s="362"/>
      <c r="AC916" s="360"/>
      <c r="AD916" s="360"/>
      <c r="AE916" s="360"/>
    </row>
    <row r="917">
      <c r="A917" s="360"/>
      <c r="B917" s="360"/>
      <c r="C917" s="360"/>
      <c r="D917" s="360"/>
      <c r="E917" s="360"/>
      <c r="F917" s="360"/>
      <c r="G917" s="360"/>
      <c r="H917" s="360"/>
      <c r="I917" s="360"/>
      <c r="J917" s="360"/>
      <c r="K917" s="361"/>
      <c r="L917" s="360"/>
      <c r="M917" s="361"/>
      <c r="N917" s="360"/>
      <c r="O917" s="360"/>
      <c r="P917" s="360"/>
      <c r="Q917" s="360"/>
      <c r="R917" s="360"/>
      <c r="S917" s="360"/>
      <c r="T917" s="360"/>
      <c r="U917" s="360"/>
      <c r="V917" s="360"/>
      <c r="W917" s="360"/>
      <c r="X917" s="360"/>
      <c r="Y917" s="360"/>
      <c r="Z917" s="360"/>
      <c r="AA917" s="360"/>
      <c r="AB917" s="362"/>
      <c r="AC917" s="360"/>
      <c r="AD917" s="360"/>
      <c r="AE917" s="360"/>
    </row>
    <row r="918">
      <c r="A918" s="360"/>
      <c r="B918" s="360"/>
      <c r="C918" s="360"/>
      <c r="D918" s="360"/>
      <c r="E918" s="360"/>
      <c r="F918" s="360"/>
      <c r="G918" s="360"/>
      <c r="H918" s="360"/>
      <c r="I918" s="360"/>
      <c r="J918" s="360"/>
      <c r="K918" s="361"/>
      <c r="L918" s="360"/>
      <c r="M918" s="361"/>
      <c r="N918" s="360"/>
      <c r="O918" s="360"/>
      <c r="P918" s="360"/>
      <c r="Q918" s="360"/>
      <c r="R918" s="360"/>
      <c r="S918" s="360"/>
      <c r="T918" s="360"/>
      <c r="U918" s="360"/>
      <c r="V918" s="360"/>
      <c r="W918" s="360"/>
      <c r="X918" s="360"/>
      <c r="Y918" s="360"/>
      <c r="Z918" s="360"/>
      <c r="AA918" s="360"/>
      <c r="AB918" s="362"/>
      <c r="AC918" s="360"/>
      <c r="AD918" s="360"/>
      <c r="AE918" s="360"/>
    </row>
    <row r="919">
      <c r="A919" s="360"/>
      <c r="B919" s="360"/>
      <c r="C919" s="360"/>
      <c r="D919" s="360"/>
      <c r="E919" s="360"/>
      <c r="F919" s="360"/>
      <c r="G919" s="360"/>
      <c r="H919" s="360"/>
      <c r="I919" s="360"/>
      <c r="J919" s="360"/>
      <c r="K919" s="361"/>
      <c r="L919" s="360"/>
      <c r="M919" s="361"/>
      <c r="N919" s="360"/>
      <c r="O919" s="360"/>
      <c r="P919" s="360"/>
      <c r="Q919" s="360"/>
      <c r="R919" s="360"/>
      <c r="S919" s="360"/>
      <c r="T919" s="360"/>
      <c r="U919" s="360"/>
      <c r="V919" s="360"/>
      <c r="W919" s="360"/>
      <c r="X919" s="360"/>
      <c r="Y919" s="360"/>
      <c r="Z919" s="360"/>
      <c r="AA919" s="360"/>
      <c r="AB919" s="362"/>
      <c r="AC919" s="360"/>
      <c r="AD919" s="360"/>
      <c r="AE919" s="360"/>
    </row>
    <row r="920">
      <c r="A920" s="360"/>
      <c r="B920" s="360"/>
      <c r="C920" s="360"/>
      <c r="D920" s="360"/>
      <c r="E920" s="360"/>
      <c r="F920" s="360"/>
      <c r="G920" s="360"/>
      <c r="H920" s="360"/>
      <c r="I920" s="360"/>
      <c r="J920" s="360"/>
      <c r="K920" s="361"/>
      <c r="L920" s="360"/>
      <c r="M920" s="361"/>
      <c r="N920" s="360"/>
      <c r="O920" s="360"/>
      <c r="P920" s="360"/>
      <c r="Q920" s="360"/>
      <c r="R920" s="360"/>
      <c r="S920" s="360"/>
      <c r="T920" s="360"/>
      <c r="U920" s="360"/>
      <c r="V920" s="360"/>
      <c r="W920" s="360"/>
      <c r="X920" s="360"/>
      <c r="Y920" s="360"/>
      <c r="Z920" s="360"/>
      <c r="AA920" s="360"/>
      <c r="AB920" s="362"/>
      <c r="AC920" s="360"/>
      <c r="AD920" s="360"/>
      <c r="AE920" s="360"/>
    </row>
    <row r="921">
      <c r="A921" s="360"/>
      <c r="B921" s="360"/>
      <c r="C921" s="360"/>
      <c r="D921" s="360"/>
      <c r="E921" s="360"/>
      <c r="F921" s="360"/>
      <c r="G921" s="360"/>
      <c r="H921" s="360"/>
      <c r="I921" s="360"/>
      <c r="J921" s="360"/>
      <c r="K921" s="361"/>
      <c r="L921" s="360"/>
      <c r="M921" s="361"/>
      <c r="N921" s="360"/>
      <c r="O921" s="360"/>
      <c r="P921" s="360"/>
      <c r="Q921" s="360"/>
      <c r="R921" s="360"/>
      <c r="S921" s="360"/>
      <c r="T921" s="360"/>
      <c r="U921" s="360"/>
      <c r="V921" s="360"/>
      <c r="W921" s="360"/>
      <c r="X921" s="360"/>
      <c r="Y921" s="360"/>
      <c r="Z921" s="360"/>
      <c r="AA921" s="360"/>
      <c r="AB921" s="362"/>
      <c r="AC921" s="360"/>
      <c r="AD921" s="360"/>
      <c r="AE921" s="360"/>
    </row>
    <row r="922">
      <c r="A922" s="360"/>
      <c r="B922" s="360"/>
      <c r="C922" s="360"/>
      <c r="D922" s="360"/>
      <c r="E922" s="360"/>
      <c r="F922" s="360"/>
      <c r="G922" s="360"/>
      <c r="H922" s="360"/>
      <c r="I922" s="360"/>
      <c r="J922" s="360"/>
      <c r="K922" s="361"/>
      <c r="L922" s="360"/>
      <c r="M922" s="361"/>
      <c r="N922" s="360"/>
      <c r="O922" s="360"/>
      <c r="P922" s="360"/>
      <c r="Q922" s="360"/>
      <c r="R922" s="360"/>
      <c r="S922" s="360"/>
      <c r="T922" s="360"/>
      <c r="U922" s="360"/>
      <c r="V922" s="360"/>
      <c r="W922" s="360"/>
      <c r="X922" s="360"/>
      <c r="Y922" s="360"/>
      <c r="Z922" s="360"/>
      <c r="AA922" s="360"/>
      <c r="AB922" s="362"/>
      <c r="AC922" s="360"/>
      <c r="AD922" s="360"/>
      <c r="AE922" s="360"/>
    </row>
    <row r="923">
      <c r="A923" s="360"/>
      <c r="B923" s="360"/>
      <c r="C923" s="360"/>
      <c r="D923" s="360"/>
      <c r="E923" s="360"/>
      <c r="F923" s="360"/>
      <c r="G923" s="360"/>
      <c r="H923" s="360"/>
      <c r="I923" s="360"/>
      <c r="J923" s="360"/>
      <c r="K923" s="361"/>
      <c r="L923" s="360"/>
      <c r="M923" s="361"/>
      <c r="N923" s="360"/>
      <c r="O923" s="360"/>
      <c r="P923" s="360"/>
      <c r="Q923" s="360"/>
      <c r="R923" s="360"/>
      <c r="S923" s="360"/>
      <c r="T923" s="360"/>
      <c r="U923" s="360"/>
      <c r="V923" s="360"/>
      <c r="W923" s="360"/>
      <c r="X923" s="360"/>
      <c r="Y923" s="360"/>
      <c r="Z923" s="360"/>
      <c r="AA923" s="360"/>
      <c r="AB923" s="362"/>
      <c r="AC923" s="360"/>
      <c r="AD923" s="360"/>
      <c r="AE923" s="360"/>
    </row>
    <row r="924">
      <c r="A924" s="360"/>
      <c r="B924" s="360"/>
      <c r="C924" s="360"/>
      <c r="D924" s="360"/>
      <c r="E924" s="360"/>
      <c r="F924" s="360"/>
      <c r="G924" s="360"/>
      <c r="H924" s="360"/>
      <c r="I924" s="360"/>
      <c r="J924" s="360"/>
      <c r="K924" s="361"/>
      <c r="L924" s="360"/>
      <c r="M924" s="361"/>
      <c r="N924" s="360"/>
      <c r="O924" s="360"/>
      <c r="P924" s="360"/>
      <c r="Q924" s="360"/>
      <c r="R924" s="360"/>
      <c r="S924" s="360"/>
      <c r="T924" s="360"/>
      <c r="U924" s="360"/>
      <c r="V924" s="360"/>
      <c r="W924" s="360"/>
      <c r="X924" s="360"/>
      <c r="Y924" s="360"/>
      <c r="Z924" s="360"/>
      <c r="AA924" s="360"/>
      <c r="AB924" s="362"/>
      <c r="AC924" s="360"/>
      <c r="AD924" s="360"/>
      <c r="AE924" s="360"/>
    </row>
    <row r="925">
      <c r="A925" s="360"/>
      <c r="B925" s="360"/>
      <c r="C925" s="360"/>
      <c r="D925" s="360"/>
      <c r="E925" s="360"/>
      <c r="F925" s="360"/>
      <c r="G925" s="360"/>
      <c r="H925" s="360"/>
      <c r="I925" s="360"/>
      <c r="J925" s="360"/>
      <c r="K925" s="361"/>
      <c r="L925" s="360"/>
      <c r="M925" s="361"/>
      <c r="N925" s="360"/>
      <c r="O925" s="360"/>
      <c r="P925" s="360"/>
      <c r="Q925" s="360"/>
      <c r="R925" s="360"/>
      <c r="S925" s="360"/>
      <c r="T925" s="360"/>
      <c r="U925" s="360"/>
      <c r="V925" s="360"/>
      <c r="W925" s="360"/>
      <c r="X925" s="360"/>
      <c r="Y925" s="360"/>
      <c r="Z925" s="360"/>
      <c r="AA925" s="360"/>
      <c r="AB925" s="362"/>
      <c r="AC925" s="360"/>
      <c r="AD925" s="360"/>
      <c r="AE925" s="360"/>
    </row>
    <row r="926">
      <c r="A926" s="360"/>
      <c r="B926" s="360"/>
      <c r="C926" s="360"/>
      <c r="D926" s="360"/>
      <c r="E926" s="360"/>
      <c r="F926" s="360"/>
      <c r="G926" s="360"/>
      <c r="H926" s="360"/>
      <c r="I926" s="360"/>
      <c r="J926" s="360"/>
      <c r="K926" s="361"/>
      <c r="L926" s="360"/>
      <c r="M926" s="361"/>
      <c r="N926" s="360"/>
      <c r="O926" s="360"/>
      <c r="P926" s="360"/>
      <c r="Q926" s="360"/>
      <c r="R926" s="360"/>
      <c r="S926" s="360"/>
      <c r="T926" s="360"/>
      <c r="U926" s="360"/>
      <c r="V926" s="360"/>
      <c r="W926" s="360"/>
      <c r="X926" s="360"/>
      <c r="Y926" s="360"/>
      <c r="Z926" s="360"/>
      <c r="AA926" s="360"/>
      <c r="AB926" s="362"/>
      <c r="AC926" s="360"/>
      <c r="AD926" s="360"/>
      <c r="AE926" s="360"/>
    </row>
    <row r="927">
      <c r="A927" s="360"/>
      <c r="B927" s="360"/>
      <c r="C927" s="360"/>
      <c r="D927" s="360"/>
      <c r="E927" s="360"/>
      <c r="F927" s="360"/>
      <c r="G927" s="360"/>
      <c r="H927" s="360"/>
      <c r="I927" s="360"/>
      <c r="J927" s="360"/>
      <c r="K927" s="361"/>
      <c r="L927" s="360"/>
      <c r="M927" s="361"/>
      <c r="N927" s="360"/>
      <c r="O927" s="360"/>
      <c r="P927" s="360"/>
      <c r="Q927" s="360"/>
      <c r="R927" s="360"/>
      <c r="S927" s="360"/>
      <c r="T927" s="360"/>
      <c r="U927" s="360"/>
      <c r="V927" s="360"/>
      <c r="W927" s="360"/>
      <c r="X927" s="360"/>
      <c r="Y927" s="360"/>
      <c r="Z927" s="360"/>
      <c r="AA927" s="360"/>
      <c r="AB927" s="362"/>
      <c r="AC927" s="360"/>
      <c r="AD927" s="360"/>
      <c r="AE927" s="360"/>
    </row>
    <row r="928">
      <c r="A928" s="360"/>
      <c r="B928" s="360"/>
      <c r="C928" s="360"/>
      <c r="D928" s="360"/>
      <c r="E928" s="360"/>
      <c r="F928" s="360"/>
      <c r="G928" s="360"/>
      <c r="H928" s="360"/>
      <c r="I928" s="360"/>
      <c r="J928" s="360"/>
      <c r="K928" s="361"/>
      <c r="L928" s="360"/>
      <c r="M928" s="361"/>
      <c r="N928" s="360"/>
      <c r="O928" s="360"/>
      <c r="P928" s="360"/>
      <c r="Q928" s="360"/>
      <c r="R928" s="360"/>
      <c r="S928" s="360"/>
      <c r="T928" s="360"/>
      <c r="U928" s="360"/>
      <c r="V928" s="360"/>
      <c r="W928" s="360"/>
      <c r="X928" s="360"/>
      <c r="Y928" s="360"/>
      <c r="Z928" s="360"/>
      <c r="AA928" s="360"/>
      <c r="AB928" s="362"/>
      <c r="AC928" s="360"/>
      <c r="AD928" s="360"/>
      <c r="AE928" s="360"/>
    </row>
    <row r="929">
      <c r="A929" s="360"/>
      <c r="B929" s="360"/>
      <c r="C929" s="360"/>
      <c r="D929" s="360"/>
      <c r="E929" s="360"/>
      <c r="F929" s="360"/>
      <c r="G929" s="360"/>
      <c r="H929" s="360"/>
      <c r="I929" s="360"/>
      <c r="J929" s="360"/>
      <c r="K929" s="361"/>
      <c r="L929" s="360"/>
      <c r="M929" s="361"/>
      <c r="N929" s="360"/>
      <c r="O929" s="360"/>
      <c r="P929" s="360"/>
      <c r="Q929" s="360"/>
      <c r="R929" s="360"/>
      <c r="S929" s="360"/>
      <c r="T929" s="360"/>
      <c r="U929" s="360"/>
      <c r="V929" s="360"/>
      <c r="W929" s="360"/>
      <c r="X929" s="360"/>
      <c r="Y929" s="360"/>
      <c r="Z929" s="360"/>
      <c r="AA929" s="360"/>
      <c r="AB929" s="362"/>
      <c r="AC929" s="360"/>
      <c r="AD929" s="360"/>
      <c r="AE929" s="360"/>
    </row>
    <row r="930">
      <c r="A930" s="360"/>
      <c r="B930" s="360"/>
      <c r="C930" s="360"/>
      <c r="D930" s="360"/>
      <c r="E930" s="360"/>
      <c r="F930" s="360"/>
      <c r="G930" s="360"/>
      <c r="H930" s="360"/>
      <c r="I930" s="360"/>
      <c r="J930" s="360"/>
      <c r="K930" s="361"/>
      <c r="L930" s="360"/>
      <c r="M930" s="361"/>
      <c r="N930" s="360"/>
      <c r="O930" s="360"/>
      <c r="P930" s="360"/>
      <c r="Q930" s="360"/>
      <c r="R930" s="360"/>
      <c r="S930" s="360"/>
      <c r="T930" s="360"/>
      <c r="U930" s="360"/>
      <c r="V930" s="360"/>
      <c r="W930" s="360"/>
      <c r="X930" s="360"/>
      <c r="Y930" s="360"/>
      <c r="Z930" s="360"/>
      <c r="AA930" s="360"/>
      <c r="AB930" s="362"/>
      <c r="AC930" s="360"/>
      <c r="AD930" s="360"/>
      <c r="AE930" s="360"/>
    </row>
    <row r="931">
      <c r="A931" s="360"/>
      <c r="B931" s="360"/>
      <c r="C931" s="360"/>
      <c r="D931" s="360"/>
      <c r="E931" s="360"/>
      <c r="F931" s="360"/>
      <c r="G931" s="360"/>
      <c r="H931" s="360"/>
      <c r="I931" s="360"/>
      <c r="J931" s="360"/>
      <c r="K931" s="361"/>
      <c r="L931" s="360"/>
      <c r="M931" s="361"/>
      <c r="N931" s="360"/>
      <c r="O931" s="360"/>
      <c r="P931" s="360"/>
      <c r="Q931" s="360"/>
      <c r="R931" s="360"/>
      <c r="S931" s="360"/>
      <c r="T931" s="360"/>
      <c r="U931" s="360"/>
      <c r="V931" s="360"/>
      <c r="W931" s="360"/>
      <c r="X931" s="360"/>
      <c r="Y931" s="360"/>
      <c r="Z931" s="360"/>
      <c r="AA931" s="360"/>
      <c r="AB931" s="362"/>
      <c r="AC931" s="360"/>
      <c r="AD931" s="360"/>
      <c r="AE931" s="360"/>
    </row>
    <row r="932">
      <c r="A932" s="360"/>
      <c r="B932" s="360"/>
      <c r="C932" s="360"/>
      <c r="D932" s="360"/>
      <c r="E932" s="360"/>
      <c r="F932" s="360"/>
      <c r="G932" s="360"/>
      <c r="H932" s="360"/>
      <c r="I932" s="360"/>
      <c r="J932" s="360"/>
      <c r="K932" s="361"/>
      <c r="L932" s="360"/>
      <c r="M932" s="361"/>
      <c r="N932" s="360"/>
      <c r="O932" s="360"/>
      <c r="P932" s="360"/>
      <c r="Q932" s="360"/>
      <c r="R932" s="360"/>
      <c r="S932" s="360"/>
      <c r="T932" s="360"/>
      <c r="U932" s="360"/>
      <c r="V932" s="360"/>
      <c r="W932" s="360"/>
      <c r="X932" s="360"/>
      <c r="Y932" s="360"/>
      <c r="Z932" s="360"/>
      <c r="AA932" s="360"/>
      <c r="AB932" s="362"/>
      <c r="AC932" s="360"/>
      <c r="AD932" s="360"/>
      <c r="AE932" s="360"/>
    </row>
    <row r="933">
      <c r="A933" s="360"/>
      <c r="B933" s="360"/>
      <c r="C933" s="360"/>
      <c r="D933" s="360"/>
      <c r="E933" s="360"/>
      <c r="F933" s="360"/>
      <c r="G933" s="360"/>
      <c r="H933" s="360"/>
      <c r="I933" s="360"/>
      <c r="J933" s="360"/>
      <c r="K933" s="361"/>
      <c r="L933" s="360"/>
      <c r="M933" s="361"/>
      <c r="N933" s="360"/>
      <c r="O933" s="360"/>
      <c r="P933" s="360"/>
      <c r="Q933" s="360"/>
      <c r="R933" s="360"/>
      <c r="S933" s="360"/>
      <c r="T933" s="360"/>
      <c r="U933" s="360"/>
      <c r="V933" s="360"/>
      <c r="W933" s="360"/>
      <c r="X933" s="360"/>
      <c r="Y933" s="360"/>
      <c r="Z933" s="360"/>
      <c r="AA933" s="360"/>
      <c r="AB933" s="362"/>
      <c r="AC933" s="360"/>
      <c r="AD933" s="360"/>
      <c r="AE933" s="360"/>
    </row>
    <row r="934">
      <c r="A934" s="360"/>
      <c r="B934" s="360"/>
      <c r="C934" s="360"/>
      <c r="D934" s="360"/>
      <c r="E934" s="360"/>
      <c r="F934" s="360"/>
      <c r="G934" s="360"/>
      <c r="H934" s="360"/>
      <c r="I934" s="360"/>
      <c r="J934" s="360"/>
      <c r="K934" s="361"/>
      <c r="L934" s="360"/>
      <c r="M934" s="361"/>
      <c r="N934" s="360"/>
      <c r="O934" s="360"/>
      <c r="P934" s="360"/>
      <c r="Q934" s="360"/>
      <c r="R934" s="360"/>
      <c r="S934" s="360"/>
      <c r="T934" s="360"/>
      <c r="U934" s="360"/>
      <c r="V934" s="360"/>
      <c r="W934" s="360"/>
      <c r="X934" s="360"/>
      <c r="Y934" s="360"/>
      <c r="Z934" s="360"/>
      <c r="AA934" s="360"/>
      <c r="AB934" s="362"/>
      <c r="AC934" s="360"/>
      <c r="AD934" s="360"/>
      <c r="AE934" s="360"/>
    </row>
    <row r="935">
      <c r="A935" s="360"/>
      <c r="B935" s="360"/>
      <c r="C935" s="360"/>
      <c r="D935" s="360"/>
      <c r="E935" s="360"/>
      <c r="F935" s="360"/>
      <c r="G935" s="360"/>
      <c r="H935" s="360"/>
      <c r="I935" s="360"/>
      <c r="J935" s="360"/>
      <c r="K935" s="361"/>
      <c r="L935" s="360"/>
      <c r="M935" s="361"/>
      <c r="N935" s="360"/>
      <c r="O935" s="360"/>
      <c r="P935" s="360"/>
      <c r="Q935" s="360"/>
      <c r="R935" s="360"/>
      <c r="S935" s="360"/>
      <c r="T935" s="360"/>
      <c r="U935" s="360"/>
      <c r="V935" s="360"/>
      <c r="W935" s="360"/>
      <c r="X935" s="360"/>
      <c r="Y935" s="360"/>
      <c r="Z935" s="360"/>
      <c r="AA935" s="360"/>
      <c r="AB935" s="362"/>
      <c r="AC935" s="360"/>
      <c r="AD935" s="360"/>
      <c r="AE935" s="360"/>
    </row>
    <row r="936">
      <c r="A936" s="360"/>
      <c r="B936" s="360"/>
      <c r="C936" s="360"/>
      <c r="D936" s="360"/>
      <c r="E936" s="360"/>
      <c r="F936" s="360"/>
      <c r="G936" s="360"/>
      <c r="H936" s="360"/>
      <c r="I936" s="360"/>
      <c r="J936" s="360"/>
      <c r="K936" s="361"/>
      <c r="L936" s="360"/>
      <c r="M936" s="361"/>
      <c r="N936" s="360"/>
      <c r="O936" s="360"/>
      <c r="P936" s="360"/>
      <c r="Q936" s="360"/>
      <c r="R936" s="360"/>
      <c r="S936" s="360"/>
      <c r="T936" s="360"/>
      <c r="U936" s="360"/>
      <c r="V936" s="360"/>
      <c r="W936" s="360"/>
      <c r="X936" s="360"/>
      <c r="Y936" s="360"/>
      <c r="Z936" s="360"/>
      <c r="AA936" s="360"/>
      <c r="AB936" s="362"/>
      <c r="AC936" s="360"/>
      <c r="AD936" s="360"/>
      <c r="AE936" s="360"/>
    </row>
    <row r="937">
      <c r="A937" s="360"/>
      <c r="B937" s="360"/>
      <c r="C937" s="360"/>
      <c r="D937" s="360"/>
      <c r="E937" s="360"/>
      <c r="F937" s="360"/>
      <c r="G937" s="360"/>
      <c r="H937" s="360"/>
      <c r="I937" s="360"/>
      <c r="J937" s="360"/>
      <c r="K937" s="361"/>
      <c r="L937" s="360"/>
      <c r="M937" s="361"/>
      <c r="N937" s="360"/>
      <c r="O937" s="360"/>
      <c r="P937" s="360"/>
      <c r="Q937" s="360"/>
      <c r="R937" s="360"/>
      <c r="S937" s="360"/>
      <c r="T937" s="360"/>
      <c r="U937" s="360"/>
      <c r="V937" s="360"/>
      <c r="W937" s="360"/>
      <c r="X937" s="360"/>
      <c r="Y937" s="360"/>
      <c r="Z937" s="360"/>
      <c r="AA937" s="360"/>
      <c r="AB937" s="362"/>
      <c r="AC937" s="360"/>
      <c r="AD937" s="360"/>
      <c r="AE937" s="360"/>
    </row>
    <row r="938">
      <c r="A938" s="360"/>
      <c r="B938" s="360"/>
      <c r="C938" s="360"/>
      <c r="D938" s="360"/>
      <c r="E938" s="360"/>
      <c r="F938" s="360"/>
      <c r="G938" s="360"/>
      <c r="H938" s="360"/>
      <c r="I938" s="360"/>
      <c r="J938" s="360"/>
      <c r="K938" s="361"/>
      <c r="L938" s="360"/>
      <c r="M938" s="361"/>
      <c r="N938" s="360"/>
      <c r="O938" s="360"/>
      <c r="P938" s="360"/>
      <c r="Q938" s="360"/>
      <c r="R938" s="360"/>
      <c r="S938" s="360"/>
      <c r="T938" s="360"/>
      <c r="U938" s="360"/>
      <c r="V938" s="360"/>
      <c r="W938" s="360"/>
      <c r="X938" s="360"/>
      <c r="Y938" s="360"/>
      <c r="Z938" s="360"/>
      <c r="AA938" s="360"/>
      <c r="AB938" s="362"/>
      <c r="AC938" s="360"/>
      <c r="AD938" s="360"/>
      <c r="AE938" s="360"/>
    </row>
    <row r="939">
      <c r="A939" s="360"/>
      <c r="B939" s="360"/>
      <c r="C939" s="360"/>
      <c r="D939" s="360"/>
      <c r="E939" s="360"/>
      <c r="F939" s="360"/>
      <c r="G939" s="360"/>
      <c r="H939" s="360"/>
      <c r="I939" s="360"/>
      <c r="J939" s="360"/>
      <c r="K939" s="361"/>
      <c r="L939" s="360"/>
      <c r="M939" s="361"/>
      <c r="N939" s="360"/>
      <c r="O939" s="360"/>
      <c r="P939" s="360"/>
      <c r="Q939" s="360"/>
      <c r="R939" s="360"/>
      <c r="S939" s="360"/>
      <c r="T939" s="360"/>
      <c r="U939" s="360"/>
      <c r="V939" s="360"/>
      <c r="W939" s="360"/>
      <c r="X939" s="360"/>
      <c r="Y939" s="360"/>
      <c r="Z939" s="360"/>
      <c r="AA939" s="360"/>
      <c r="AB939" s="362"/>
      <c r="AC939" s="360"/>
      <c r="AD939" s="360"/>
      <c r="AE939" s="360"/>
    </row>
    <row r="940">
      <c r="A940" s="360"/>
      <c r="B940" s="360"/>
      <c r="C940" s="360"/>
      <c r="D940" s="360"/>
      <c r="E940" s="360"/>
      <c r="F940" s="360"/>
      <c r="G940" s="360"/>
      <c r="H940" s="360"/>
      <c r="I940" s="360"/>
      <c r="J940" s="360"/>
      <c r="K940" s="361"/>
      <c r="L940" s="360"/>
      <c r="M940" s="361"/>
      <c r="N940" s="360"/>
      <c r="O940" s="360"/>
      <c r="P940" s="360"/>
      <c r="Q940" s="360"/>
      <c r="R940" s="360"/>
      <c r="S940" s="360"/>
      <c r="T940" s="360"/>
      <c r="U940" s="360"/>
      <c r="V940" s="360"/>
      <c r="W940" s="360"/>
      <c r="X940" s="360"/>
      <c r="Y940" s="360"/>
      <c r="Z940" s="360"/>
      <c r="AA940" s="360"/>
      <c r="AB940" s="362"/>
      <c r="AC940" s="360"/>
      <c r="AD940" s="360"/>
      <c r="AE940" s="360"/>
    </row>
    <row r="941">
      <c r="A941" s="360"/>
      <c r="B941" s="360"/>
      <c r="C941" s="360"/>
      <c r="D941" s="360"/>
      <c r="E941" s="360"/>
      <c r="F941" s="360"/>
      <c r="G941" s="360"/>
      <c r="H941" s="360"/>
      <c r="I941" s="360"/>
      <c r="J941" s="360"/>
      <c r="K941" s="361"/>
      <c r="L941" s="360"/>
      <c r="M941" s="361"/>
      <c r="N941" s="360"/>
      <c r="O941" s="360"/>
      <c r="P941" s="360"/>
      <c r="Q941" s="360"/>
      <c r="R941" s="360"/>
      <c r="S941" s="360"/>
      <c r="T941" s="360"/>
      <c r="U941" s="360"/>
      <c r="V941" s="360"/>
      <c r="W941" s="360"/>
      <c r="X941" s="360"/>
      <c r="Y941" s="360"/>
      <c r="Z941" s="360"/>
      <c r="AA941" s="360"/>
      <c r="AB941" s="362"/>
      <c r="AC941" s="360"/>
      <c r="AD941" s="360"/>
      <c r="AE941" s="360"/>
    </row>
    <row r="942">
      <c r="A942" s="360"/>
      <c r="B942" s="360"/>
      <c r="C942" s="360"/>
      <c r="D942" s="360"/>
      <c r="E942" s="360"/>
      <c r="F942" s="360"/>
      <c r="G942" s="360"/>
      <c r="H942" s="360"/>
      <c r="I942" s="360"/>
      <c r="J942" s="360"/>
      <c r="K942" s="361"/>
      <c r="L942" s="360"/>
      <c r="M942" s="361"/>
      <c r="N942" s="360"/>
      <c r="O942" s="360"/>
      <c r="P942" s="360"/>
      <c r="Q942" s="360"/>
      <c r="R942" s="360"/>
      <c r="S942" s="360"/>
      <c r="T942" s="360"/>
      <c r="U942" s="360"/>
      <c r="V942" s="360"/>
      <c r="W942" s="360"/>
      <c r="X942" s="360"/>
      <c r="Y942" s="360"/>
      <c r="Z942" s="360"/>
      <c r="AA942" s="360"/>
      <c r="AB942" s="362"/>
      <c r="AC942" s="360"/>
      <c r="AD942" s="360"/>
      <c r="AE942" s="360"/>
    </row>
    <row r="943">
      <c r="A943" s="360"/>
      <c r="B943" s="360"/>
      <c r="C943" s="360"/>
      <c r="D943" s="360"/>
      <c r="E943" s="360"/>
      <c r="F943" s="360"/>
      <c r="G943" s="360"/>
      <c r="H943" s="360"/>
      <c r="I943" s="360"/>
      <c r="J943" s="360"/>
      <c r="K943" s="361"/>
      <c r="L943" s="360"/>
      <c r="M943" s="361"/>
      <c r="N943" s="360"/>
      <c r="O943" s="360"/>
      <c r="P943" s="360"/>
      <c r="Q943" s="360"/>
      <c r="R943" s="360"/>
      <c r="S943" s="360"/>
      <c r="T943" s="360"/>
      <c r="U943" s="360"/>
      <c r="V943" s="360"/>
      <c r="W943" s="360"/>
      <c r="X943" s="360"/>
      <c r="Y943" s="360"/>
      <c r="Z943" s="360"/>
      <c r="AA943" s="360"/>
      <c r="AB943" s="362"/>
      <c r="AC943" s="360"/>
      <c r="AD943" s="360"/>
      <c r="AE943" s="360"/>
    </row>
    <row r="944">
      <c r="A944" s="360"/>
      <c r="B944" s="360"/>
      <c r="C944" s="360"/>
      <c r="D944" s="360"/>
      <c r="E944" s="360"/>
      <c r="F944" s="360"/>
      <c r="G944" s="360"/>
      <c r="H944" s="360"/>
      <c r="I944" s="360"/>
      <c r="J944" s="360"/>
      <c r="K944" s="361"/>
      <c r="L944" s="360"/>
      <c r="M944" s="361"/>
      <c r="N944" s="360"/>
      <c r="O944" s="360"/>
      <c r="P944" s="360"/>
      <c r="Q944" s="360"/>
      <c r="R944" s="360"/>
      <c r="S944" s="360"/>
      <c r="T944" s="360"/>
      <c r="U944" s="360"/>
      <c r="V944" s="360"/>
      <c r="W944" s="360"/>
      <c r="X944" s="360"/>
      <c r="Y944" s="360"/>
      <c r="Z944" s="360"/>
      <c r="AA944" s="360"/>
      <c r="AB944" s="362"/>
      <c r="AC944" s="360"/>
      <c r="AD944" s="360"/>
      <c r="AE944" s="360"/>
    </row>
    <row r="945">
      <c r="A945" s="360"/>
      <c r="B945" s="360"/>
      <c r="C945" s="360"/>
      <c r="D945" s="360"/>
      <c r="E945" s="360"/>
      <c r="F945" s="360"/>
      <c r="G945" s="360"/>
      <c r="H945" s="360"/>
      <c r="I945" s="360"/>
      <c r="J945" s="360"/>
      <c r="K945" s="361"/>
      <c r="L945" s="360"/>
      <c r="M945" s="361"/>
      <c r="N945" s="360"/>
      <c r="O945" s="360"/>
      <c r="P945" s="360"/>
      <c r="Q945" s="360"/>
      <c r="R945" s="360"/>
      <c r="S945" s="360"/>
      <c r="T945" s="360"/>
      <c r="U945" s="360"/>
      <c r="V945" s="360"/>
      <c r="W945" s="360"/>
      <c r="X945" s="360"/>
      <c r="Y945" s="360"/>
      <c r="Z945" s="360"/>
      <c r="AA945" s="360"/>
      <c r="AB945" s="362"/>
      <c r="AC945" s="360"/>
      <c r="AD945" s="360"/>
      <c r="AE945" s="360"/>
    </row>
    <row r="946">
      <c r="A946" s="360"/>
      <c r="B946" s="360"/>
      <c r="C946" s="360"/>
      <c r="D946" s="360"/>
      <c r="E946" s="360"/>
      <c r="F946" s="360"/>
      <c r="G946" s="360"/>
      <c r="H946" s="360"/>
      <c r="I946" s="360"/>
      <c r="J946" s="360"/>
      <c r="K946" s="361"/>
      <c r="L946" s="360"/>
      <c r="M946" s="361"/>
      <c r="N946" s="360"/>
      <c r="O946" s="360"/>
      <c r="P946" s="360"/>
      <c r="Q946" s="360"/>
      <c r="R946" s="360"/>
      <c r="S946" s="360"/>
      <c r="T946" s="360"/>
      <c r="U946" s="360"/>
      <c r="V946" s="360"/>
      <c r="W946" s="360"/>
      <c r="X946" s="360"/>
      <c r="Y946" s="360"/>
      <c r="Z946" s="360"/>
      <c r="AA946" s="360"/>
      <c r="AB946" s="362"/>
      <c r="AC946" s="360"/>
      <c r="AD946" s="360"/>
      <c r="AE946" s="360"/>
    </row>
    <row r="947">
      <c r="A947" s="360"/>
      <c r="B947" s="360"/>
      <c r="C947" s="360"/>
      <c r="D947" s="360"/>
      <c r="E947" s="360"/>
      <c r="F947" s="360"/>
      <c r="G947" s="360"/>
      <c r="H947" s="360"/>
      <c r="I947" s="360"/>
      <c r="J947" s="360"/>
      <c r="K947" s="361"/>
      <c r="L947" s="360"/>
      <c r="M947" s="361"/>
      <c r="N947" s="360"/>
      <c r="O947" s="360"/>
      <c r="P947" s="360"/>
      <c r="Q947" s="360"/>
      <c r="R947" s="360"/>
      <c r="S947" s="360"/>
      <c r="T947" s="360"/>
      <c r="U947" s="360"/>
      <c r="V947" s="360"/>
      <c r="W947" s="360"/>
      <c r="X947" s="360"/>
      <c r="Y947" s="360"/>
      <c r="Z947" s="360"/>
      <c r="AA947" s="360"/>
      <c r="AB947" s="362"/>
      <c r="AC947" s="360"/>
      <c r="AD947" s="360"/>
      <c r="AE947" s="360"/>
    </row>
    <row r="948">
      <c r="A948" s="360"/>
      <c r="B948" s="360"/>
      <c r="C948" s="360"/>
      <c r="D948" s="360"/>
      <c r="E948" s="360"/>
      <c r="F948" s="360"/>
      <c r="G948" s="360"/>
      <c r="H948" s="360"/>
      <c r="I948" s="360"/>
      <c r="J948" s="360"/>
      <c r="K948" s="361"/>
      <c r="L948" s="360"/>
      <c r="M948" s="361"/>
      <c r="N948" s="360"/>
      <c r="O948" s="360"/>
      <c r="P948" s="360"/>
      <c r="Q948" s="360"/>
      <c r="R948" s="360"/>
      <c r="S948" s="360"/>
      <c r="T948" s="360"/>
      <c r="U948" s="360"/>
      <c r="V948" s="360"/>
      <c r="W948" s="360"/>
      <c r="X948" s="360"/>
      <c r="Y948" s="360"/>
      <c r="Z948" s="360"/>
      <c r="AA948" s="360"/>
      <c r="AB948" s="362"/>
      <c r="AC948" s="360"/>
      <c r="AD948" s="360"/>
      <c r="AE948" s="360"/>
    </row>
    <row r="949">
      <c r="A949" s="360"/>
      <c r="B949" s="360"/>
      <c r="C949" s="360"/>
      <c r="D949" s="360"/>
      <c r="E949" s="360"/>
      <c r="F949" s="360"/>
      <c r="G949" s="360"/>
      <c r="H949" s="360"/>
      <c r="I949" s="360"/>
      <c r="J949" s="360"/>
      <c r="K949" s="361"/>
      <c r="L949" s="360"/>
      <c r="M949" s="361"/>
      <c r="N949" s="360"/>
      <c r="O949" s="360"/>
      <c r="P949" s="360"/>
      <c r="Q949" s="360"/>
      <c r="R949" s="360"/>
      <c r="S949" s="360"/>
      <c r="T949" s="360"/>
      <c r="U949" s="360"/>
      <c r="V949" s="360"/>
      <c r="W949" s="360"/>
      <c r="X949" s="360"/>
      <c r="Y949" s="360"/>
      <c r="Z949" s="360"/>
      <c r="AA949" s="360"/>
      <c r="AB949" s="362"/>
      <c r="AC949" s="360"/>
      <c r="AD949" s="360"/>
      <c r="AE949" s="360"/>
    </row>
    <row r="950">
      <c r="A950" s="360"/>
      <c r="B950" s="360"/>
      <c r="C950" s="360"/>
      <c r="D950" s="360"/>
      <c r="E950" s="360"/>
      <c r="F950" s="360"/>
      <c r="G950" s="360"/>
      <c r="H950" s="360"/>
      <c r="I950" s="360"/>
      <c r="J950" s="360"/>
      <c r="K950" s="361"/>
      <c r="L950" s="360"/>
      <c r="M950" s="361"/>
      <c r="N950" s="360"/>
      <c r="O950" s="360"/>
      <c r="P950" s="360"/>
      <c r="Q950" s="360"/>
      <c r="R950" s="360"/>
      <c r="S950" s="360"/>
      <c r="T950" s="360"/>
      <c r="U950" s="360"/>
      <c r="V950" s="360"/>
      <c r="W950" s="360"/>
      <c r="X950" s="360"/>
      <c r="Y950" s="360"/>
      <c r="Z950" s="360"/>
      <c r="AA950" s="360"/>
      <c r="AB950" s="362"/>
      <c r="AC950" s="360"/>
      <c r="AD950" s="360"/>
      <c r="AE950" s="360"/>
    </row>
    <row r="951">
      <c r="A951" s="360"/>
      <c r="B951" s="360"/>
      <c r="C951" s="360"/>
      <c r="D951" s="360"/>
      <c r="E951" s="360"/>
      <c r="F951" s="360"/>
      <c r="G951" s="360"/>
      <c r="H951" s="360"/>
      <c r="I951" s="360"/>
      <c r="J951" s="360"/>
      <c r="K951" s="361"/>
      <c r="L951" s="360"/>
      <c r="M951" s="361"/>
      <c r="N951" s="360"/>
      <c r="O951" s="360"/>
      <c r="P951" s="360"/>
      <c r="Q951" s="360"/>
      <c r="R951" s="360"/>
      <c r="S951" s="360"/>
      <c r="T951" s="360"/>
      <c r="U951" s="360"/>
      <c r="V951" s="360"/>
      <c r="W951" s="360"/>
      <c r="X951" s="360"/>
      <c r="Y951" s="360"/>
      <c r="Z951" s="360"/>
      <c r="AA951" s="360"/>
      <c r="AB951" s="362"/>
      <c r="AC951" s="360"/>
      <c r="AD951" s="360"/>
      <c r="AE951" s="360"/>
    </row>
    <row r="952">
      <c r="A952" s="360"/>
      <c r="B952" s="360"/>
      <c r="C952" s="360"/>
      <c r="D952" s="360"/>
      <c r="E952" s="360"/>
      <c r="F952" s="360"/>
      <c r="G952" s="360"/>
      <c r="H952" s="360"/>
      <c r="I952" s="360"/>
      <c r="J952" s="360"/>
      <c r="K952" s="361"/>
      <c r="L952" s="360"/>
      <c r="M952" s="361"/>
      <c r="N952" s="360"/>
      <c r="O952" s="360"/>
      <c r="P952" s="360"/>
      <c r="Q952" s="360"/>
      <c r="R952" s="360"/>
      <c r="S952" s="360"/>
      <c r="T952" s="360"/>
      <c r="U952" s="360"/>
      <c r="V952" s="360"/>
      <c r="W952" s="360"/>
      <c r="X952" s="360"/>
      <c r="Y952" s="360"/>
      <c r="Z952" s="360"/>
      <c r="AA952" s="360"/>
      <c r="AB952" s="362"/>
      <c r="AC952" s="360"/>
      <c r="AD952" s="360"/>
      <c r="AE952" s="360"/>
    </row>
    <row r="953">
      <c r="A953" s="360"/>
      <c r="B953" s="360"/>
      <c r="C953" s="360"/>
      <c r="D953" s="360"/>
      <c r="E953" s="360"/>
      <c r="F953" s="360"/>
      <c r="G953" s="360"/>
      <c r="H953" s="360"/>
      <c r="I953" s="360"/>
      <c r="J953" s="360"/>
      <c r="K953" s="361"/>
      <c r="L953" s="360"/>
      <c r="M953" s="361"/>
      <c r="N953" s="360"/>
      <c r="O953" s="360"/>
      <c r="P953" s="360"/>
      <c r="Q953" s="360"/>
      <c r="R953" s="360"/>
      <c r="S953" s="360"/>
      <c r="T953" s="360"/>
      <c r="U953" s="360"/>
      <c r="V953" s="360"/>
      <c r="W953" s="360"/>
      <c r="X953" s="360"/>
      <c r="Y953" s="360"/>
      <c r="Z953" s="360"/>
      <c r="AA953" s="360"/>
      <c r="AB953" s="362"/>
      <c r="AC953" s="360"/>
      <c r="AD953" s="360"/>
      <c r="AE953" s="360"/>
    </row>
    <row r="954">
      <c r="A954" s="360"/>
      <c r="B954" s="360"/>
      <c r="C954" s="360"/>
      <c r="D954" s="360"/>
      <c r="E954" s="360"/>
      <c r="F954" s="360"/>
      <c r="G954" s="360"/>
      <c r="H954" s="360"/>
      <c r="I954" s="360"/>
      <c r="J954" s="360"/>
      <c r="K954" s="361"/>
      <c r="L954" s="360"/>
      <c r="M954" s="361"/>
      <c r="N954" s="360"/>
      <c r="O954" s="360"/>
      <c r="P954" s="360"/>
      <c r="Q954" s="360"/>
      <c r="R954" s="360"/>
      <c r="S954" s="360"/>
      <c r="T954" s="360"/>
      <c r="U954" s="360"/>
      <c r="V954" s="360"/>
      <c r="W954" s="360"/>
      <c r="X954" s="360"/>
      <c r="Y954" s="360"/>
      <c r="Z954" s="360"/>
      <c r="AA954" s="360"/>
      <c r="AB954" s="362"/>
      <c r="AC954" s="360"/>
      <c r="AD954" s="360"/>
      <c r="AE954" s="360"/>
    </row>
    <row r="955">
      <c r="A955" s="360"/>
      <c r="B955" s="360"/>
      <c r="C955" s="360"/>
      <c r="D955" s="360"/>
      <c r="E955" s="360"/>
      <c r="F955" s="360"/>
      <c r="G955" s="360"/>
      <c r="H955" s="360"/>
      <c r="I955" s="360"/>
      <c r="J955" s="360"/>
      <c r="K955" s="361"/>
      <c r="L955" s="360"/>
      <c r="M955" s="361"/>
      <c r="N955" s="360"/>
      <c r="O955" s="360"/>
      <c r="P955" s="360"/>
      <c r="Q955" s="360"/>
      <c r="R955" s="360"/>
      <c r="S955" s="360"/>
      <c r="T955" s="360"/>
      <c r="U955" s="360"/>
      <c r="V955" s="360"/>
      <c r="W955" s="360"/>
      <c r="X955" s="360"/>
      <c r="Y955" s="360"/>
      <c r="Z955" s="360"/>
      <c r="AA955" s="360"/>
      <c r="AB955" s="362"/>
      <c r="AC955" s="360"/>
      <c r="AD955" s="360"/>
      <c r="AE955" s="360"/>
    </row>
    <row r="956">
      <c r="A956" s="360"/>
      <c r="B956" s="360"/>
      <c r="C956" s="360"/>
      <c r="D956" s="360"/>
      <c r="E956" s="360"/>
      <c r="F956" s="360"/>
      <c r="G956" s="360"/>
      <c r="H956" s="360"/>
      <c r="I956" s="360"/>
      <c r="J956" s="360"/>
      <c r="K956" s="361"/>
      <c r="L956" s="360"/>
      <c r="M956" s="361"/>
      <c r="N956" s="360"/>
      <c r="O956" s="360"/>
      <c r="P956" s="360"/>
      <c r="Q956" s="360"/>
      <c r="R956" s="360"/>
      <c r="S956" s="360"/>
      <c r="T956" s="360"/>
      <c r="U956" s="360"/>
      <c r="V956" s="360"/>
      <c r="W956" s="360"/>
      <c r="X956" s="360"/>
      <c r="Y956" s="360"/>
      <c r="Z956" s="360"/>
      <c r="AA956" s="360"/>
      <c r="AB956" s="362"/>
      <c r="AC956" s="360"/>
      <c r="AD956" s="360"/>
      <c r="AE956" s="360"/>
    </row>
    <row r="957">
      <c r="A957" s="360"/>
      <c r="B957" s="360"/>
      <c r="C957" s="360"/>
      <c r="D957" s="360"/>
      <c r="E957" s="360"/>
      <c r="F957" s="360"/>
      <c r="G957" s="360"/>
      <c r="H957" s="360"/>
      <c r="I957" s="360"/>
      <c r="J957" s="360"/>
      <c r="K957" s="361"/>
      <c r="L957" s="360"/>
      <c r="M957" s="361"/>
      <c r="N957" s="360"/>
      <c r="O957" s="360"/>
      <c r="P957" s="360"/>
      <c r="Q957" s="360"/>
      <c r="R957" s="360"/>
      <c r="S957" s="360"/>
      <c r="T957" s="360"/>
      <c r="U957" s="360"/>
      <c r="V957" s="360"/>
      <c r="W957" s="360"/>
      <c r="X957" s="360"/>
      <c r="Y957" s="360"/>
      <c r="Z957" s="360"/>
      <c r="AA957" s="360"/>
      <c r="AB957" s="362"/>
      <c r="AC957" s="360"/>
      <c r="AD957" s="360"/>
      <c r="AE957" s="360"/>
    </row>
    <row r="958">
      <c r="A958" s="360"/>
      <c r="B958" s="360"/>
      <c r="C958" s="360"/>
      <c r="D958" s="360"/>
      <c r="E958" s="360"/>
      <c r="F958" s="360"/>
      <c r="G958" s="360"/>
      <c r="H958" s="360"/>
      <c r="I958" s="360"/>
      <c r="J958" s="360"/>
      <c r="K958" s="361"/>
      <c r="L958" s="360"/>
      <c r="M958" s="361"/>
      <c r="N958" s="360"/>
      <c r="O958" s="360"/>
      <c r="P958" s="360"/>
      <c r="Q958" s="360"/>
      <c r="R958" s="360"/>
      <c r="S958" s="360"/>
      <c r="T958" s="360"/>
      <c r="U958" s="360"/>
      <c r="V958" s="360"/>
      <c r="W958" s="360"/>
      <c r="X958" s="360"/>
      <c r="Y958" s="360"/>
      <c r="Z958" s="360"/>
      <c r="AA958" s="360"/>
      <c r="AB958" s="362"/>
      <c r="AC958" s="360"/>
      <c r="AD958" s="360"/>
      <c r="AE958" s="360"/>
    </row>
    <row r="959">
      <c r="A959" s="360"/>
      <c r="B959" s="360"/>
      <c r="C959" s="360"/>
      <c r="D959" s="360"/>
      <c r="E959" s="360"/>
      <c r="F959" s="360"/>
      <c r="G959" s="360"/>
      <c r="H959" s="360"/>
      <c r="I959" s="360"/>
      <c r="J959" s="360"/>
      <c r="K959" s="361"/>
      <c r="L959" s="360"/>
      <c r="M959" s="361"/>
      <c r="N959" s="360"/>
      <c r="O959" s="360"/>
      <c r="P959" s="360"/>
      <c r="Q959" s="360"/>
      <c r="R959" s="360"/>
      <c r="S959" s="360"/>
      <c r="T959" s="360"/>
      <c r="U959" s="360"/>
      <c r="V959" s="360"/>
      <c r="W959" s="360"/>
      <c r="X959" s="360"/>
      <c r="Y959" s="360"/>
      <c r="Z959" s="360"/>
      <c r="AA959" s="360"/>
      <c r="AB959" s="362"/>
      <c r="AC959" s="360"/>
      <c r="AD959" s="360"/>
      <c r="AE959" s="360"/>
    </row>
    <row r="960">
      <c r="A960" s="360"/>
      <c r="B960" s="360"/>
      <c r="C960" s="360"/>
      <c r="D960" s="360"/>
      <c r="E960" s="360"/>
      <c r="F960" s="360"/>
      <c r="G960" s="360"/>
      <c r="H960" s="360"/>
      <c r="I960" s="360"/>
      <c r="J960" s="360"/>
      <c r="K960" s="361"/>
      <c r="L960" s="360"/>
      <c r="M960" s="361"/>
      <c r="N960" s="360"/>
      <c r="O960" s="360"/>
      <c r="P960" s="360"/>
      <c r="Q960" s="360"/>
      <c r="R960" s="360"/>
      <c r="S960" s="360"/>
      <c r="T960" s="360"/>
      <c r="U960" s="360"/>
      <c r="V960" s="360"/>
      <c r="W960" s="360"/>
      <c r="X960" s="360"/>
      <c r="Y960" s="360"/>
      <c r="Z960" s="360"/>
      <c r="AA960" s="360"/>
      <c r="AB960" s="362"/>
      <c r="AC960" s="360"/>
      <c r="AD960" s="360"/>
      <c r="AE960" s="360"/>
    </row>
    <row r="961">
      <c r="A961" s="360"/>
      <c r="B961" s="360"/>
      <c r="C961" s="360"/>
      <c r="D961" s="360"/>
      <c r="E961" s="360"/>
      <c r="F961" s="360"/>
      <c r="G961" s="360"/>
      <c r="H961" s="360"/>
      <c r="I961" s="360"/>
      <c r="J961" s="360"/>
      <c r="K961" s="361"/>
      <c r="L961" s="360"/>
      <c r="M961" s="361"/>
      <c r="N961" s="360"/>
      <c r="O961" s="360"/>
      <c r="P961" s="360"/>
      <c r="Q961" s="360"/>
      <c r="R961" s="360"/>
      <c r="S961" s="360"/>
      <c r="T961" s="360"/>
      <c r="U961" s="360"/>
      <c r="V961" s="360"/>
      <c r="W961" s="360"/>
      <c r="X961" s="360"/>
      <c r="Y961" s="360"/>
      <c r="Z961" s="360"/>
      <c r="AA961" s="360"/>
      <c r="AB961" s="362"/>
      <c r="AC961" s="360"/>
      <c r="AD961" s="360"/>
      <c r="AE961" s="360"/>
    </row>
    <row r="962">
      <c r="A962" s="360"/>
      <c r="B962" s="360"/>
      <c r="C962" s="360"/>
      <c r="D962" s="360"/>
      <c r="E962" s="360"/>
      <c r="F962" s="360"/>
      <c r="G962" s="360"/>
      <c r="H962" s="360"/>
      <c r="I962" s="360"/>
      <c r="J962" s="360"/>
      <c r="K962" s="361"/>
      <c r="L962" s="360"/>
      <c r="M962" s="361"/>
      <c r="N962" s="360"/>
      <c r="O962" s="360"/>
      <c r="P962" s="360"/>
      <c r="Q962" s="360"/>
      <c r="R962" s="360"/>
      <c r="S962" s="360"/>
      <c r="T962" s="360"/>
      <c r="U962" s="360"/>
      <c r="V962" s="360"/>
      <c r="W962" s="360"/>
      <c r="X962" s="360"/>
      <c r="Y962" s="360"/>
      <c r="Z962" s="360"/>
      <c r="AA962" s="360"/>
      <c r="AB962" s="362"/>
      <c r="AC962" s="360"/>
      <c r="AD962" s="360"/>
      <c r="AE962" s="360"/>
    </row>
    <row r="963">
      <c r="A963" s="360"/>
      <c r="B963" s="360"/>
      <c r="C963" s="360"/>
      <c r="D963" s="360"/>
      <c r="E963" s="360"/>
      <c r="F963" s="360"/>
      <c r="G963" s="360"/>
      <c r="H963" s="360"/>
      <c r="I963" s="360"/>
      <c r="J963" s="360"/>
      <c r="K963" s="361"/>
      <c r="L963" s="360"/>
      <c r="M963" s="361"/>
      <c r="N963" s="360"/>
      <c r="O963" s="360"/>
      <c r="P963" s="360"/>
      <c r="Q963" s="360"/>
      <c r="R963" s="360"/>
      <c r="S963" s="360"/>
      <c r="T963" s="360"/>
      <c r="U963" s="360"/>
      <c r="V963" s="360"/>
      <c r="W963" s="360"/>
      <c r="X963" s="360"/>
      <c r="Y963" s="360"/>
      <c r="Z963" s="360"/>
      <c r="AA963" s="360"/>
      <c r="AB963" s="362"/>
      <c r="AC963" s="360"/>
      <c r="AD963" s="360"/>
      <c r="AE963" s="360"/>
    </row>
    <row r="964">
      <c r="A964" s="360"/>
      <c r="B964" s="360"/>
      <c r="C964" s="360"/>
      <c r="D964" s="360"/>
      <c r="E964" s="360"/>
      <c r="F964" s="360"/>
      <c r="G964" s="360"/>
      <c r="H964" s="360"/>
      <c r="I964" s="360"/>
      <c r="J964" s="360"/>
      <c r="K964" s="361"/>
      <c r="L964" s="360"/>
      <c r="M964" s="361"/>
      <c r="N964" s="360"/>
      <c r="O964" s="360"/>
      <c r="P964" s="360"/>
      <c r="Q964" s="360"/>
      <c r="R964" s="360"/>
      <c r="S964" s="360"/>
      <c r="T964" s="360"/>
      <c r="U964" s="360"/>
      <c r="V964" s="360"/>
      <c r="W964" s="360"/>
      <c r="X964" s="360"/>
      <c r="Y964" s="360"/>
      <c r="Z964" s="360"/>
      <c r="AA964" s="360"/>
      <c r="AB964" s="362"/>
      <c r="AC964" s="360"/>
      <c r="AD964" s="360"/>
      <c r="AE964" s="360"/>
    </row>
    <row r="965">
      <c r="A965" s="360"/>
      <c r="B965" s="360"/>
      <c r="C965" s="360"/>
      <c r="D965" s="360"/>
      <c r="E965" s="360"/>
      <c r="F965" s="360"/>
      <c r="G965" s="360"/>
      <c r="H965" s="360"/>
      <c r="I965" s="360"/>
      <c r="J965" s="360"/>
      <c r="K965" s="361"/>
      <c r="L965" s="360"/>
      <c r="M965" s="361"/>
      <c r="N965" s="360"/>
      <c r="O965" s="360"/>
      <c r="P965" s="360"/>
      <c r="Q965" s="360"/>
      <c r="R965" s="360"/>
      <c r="S965" s="360"/>
      <c r="T965" s="360"/>
      <c r="U965" s="360"/>
      <c r="V965" s="360"/>
      <c r="W965" s="360"/>
      <c r="X965" s="360"/>
      <c r="Y965" s="360"/>
      <c r="Z965" s="360"/>
      <c r="AA965" s="360"/>
      <c r="AB965" s="362"/>
      <c r="AC965" s="360"/>
      <c r="AD965" s="360"/>
      <c r="AE965" s="360"/>
    </row>
    <row r="966">
      <c r="A966" s="360"/>
      <c r="B966" s="360"/>
      <c r="C966" s="360"/>
      <c r="D966" s="360"/>
      <c r="E966" s="360"/>
      <c r="F966" s="360"/>
      <c r="G966" s="360"/>
      <c r="H966" s="360"/>
      <c r="I966" s="360"/>
      <c r="J966" s="360"/>
      <c r="K966" s="361"/>
      <c r="L966" s="360"/>
      <c r="M966" s="361"/>
      <c r="N966" s="360"/>
      <c r="O966" s="360"/>
      <c r="P966" s="360"/>
      <c r="Q966" s="360"/>
      <c r="R966" s="360"/>
      <c r="S966" s="360"/>
      <c r="T966" s="360"/>
      <c r="U966" s="360"/>
      <c r="V966" s="360"/>
      <c r="W966" s="360"/>
      <c r="X966" s="360"/>
      <c r="Y966" s="360"/>
      <c r="Z966" s="360"/>
      <c r="AA966" s="360"/>
      <c r="AB966" s="362"/>
      <c r="AC966" s="360"/>
      <c r="AD966" s="360"/>
      <c r="AE966" s="360"/>
    </row>
    <row r="967">
      <c r="A967" s="360"/>
      <c r="B967" s="360"/>
      <c r="C967" s="360"/>
      <c r="D967" s="360"/>
      <c r="E967" s="360"/>
      <c r="F967" s="360"/>
      <c r="G967" s="360"/>
      <c r="H967" s="360"/>
      <c r="I967" s="360"/>
      <c r="J967" s="360"/>
      <c r="K967" s="361"/>
      <c r="L967" s="360"/>
      <c r="M967" s="361"/>
      <c r="N967" s="360"/>
      <c r="O967" s="360"/>
      <c r="P967" s="360"/>
      <c r="Q967" s="360"/>
      <c r="R967" s="360"/>
      <c r="S967" s="360"/>
      <c r="T967" s="360"/>
      <c r="U967" s="360"/>
      <c r="V967" s="360"/>
      <c r="W967" s="360"/>
      <c r="X967" s="360"/>
      <c r="Y967" s="360"/>
      <c r="Z967" s="360"/>
      <c r="AA967" s="360"/>
      <c r="AB967" s="362"/>
      <c r="AC967" s="360"/>
      <c r="AD967" s="360"/>
      <c r="AE967" s="360"/>
    </row>
    <row r="968">
      <c r="A968" s="360"/>
      <c r="B968" s="360"/>
      <c r="C968" s="360"/>
      <c r="D968" s="360"/>
      <c r="E968" s="360"/>
      <c r="F968" s="360"/>
      <c r="G968" s="360"/>
      <c r="H968" s="360"/>
      <c r="I968" s="360"/>
      <c r="J968" s="360"/>
      <c r="K968" s="361"/>
      <c r="L968" s="360"/>
      <c r="M968" s="361"/>
      <c r="N968" s="360"/>
      <c r="O968" s="360"/>
      <c r="P968" s="360"/>
      <c r="Q968" s="360"/>
      <c r="R968" s="360"/>
      <c r="S968" s="360"/>
      <c r="T968" s="360"/>
      <c r="U968" s="360"/>
      <c r="V968" s="360"/>
      <c r="W968" s="360"/>
      <c r="X968" s="360"/>
      <c r="Y968" s="360"/>
      <c r="Z968" s="360"/>
      <c r="AA968" s="360"/>
      <c r="AB968" s="362"/>
      <c r="AC968" s="360"/>
      <c r="AD968" s="360"/>
      <c r="AE968" s="360"/>
    </row>
    <row r="969">
      <c r="A969" s="360"/>
      <c r="B969" s="360"/>
      <c r="C969" s="360"/>
      <c r="D969" s="360"/>
      <c r="E969" s="360"/>
      <c r="F969" s="360"/>
      <c r="G969" s="360"/>
      <c r="H969" s="360"/>
      <c r="I969" s="360"/>
      <c r="J969" s="360"/>
      <c r="K969" s="361"/>
      <c r="L969" s="360"/>
      <c r="M969" s="361"/>
      <c r="N969" s="360"/>
      <c r="O969" s="360"/>
      <c r="P969" s="360"/>
      <c r="Q969" s="360"/>
      <c r="R969" s="360"/>
      <c r="S969" s="360"/>
      <c r="T969" s="360"/>
      <c r="U969" s="360"/>
      <c r="V969" s="360"/>
      <c r="W969" s="360"/>
      <c r="X969" s="360"/>
      <c r="Y969" s="360"/>
      <c r="Z969" s="360"/>
      <c r="AA969" s="360"/>
      <c r="AB969" s="362"/>
      <c r="AC969" s="360"/>
      <c r="AD969" s="360"/>
      <c r="AE969" s="360"/>
    </row>
    <row r="970">
      <c r="A970" s="360"/>
      <c r="B970" s="360"/>
      <c r="C970" s="360"/>
      <c r="D970" s="360"/>
      <c r="E970" s="360"/>
      <c r="F970" s="360"/>
      <c r="G970" s="360"/>
      <c r="H970" s="360"/>
      <c r="I970" s="360"/>
      <c r="J970" s="360"/>
      <c r="K970" s="361"/>
      <c r="L970" s="360"/>
      <c r="M970" s="361"/>
      <c r="N970" s="360"/>
      <c r="O970" s="360"/>
      <c r="P970" s="360"/>
      <c r="Q970" s="360"/>
      <c r="R970" s="360"/>
      <c r="S970" s="360"/>
      <c r="T970" s="360"/>
      <c r="U970" s="360"/>
      <c r="V970" s="360"/>
      <c r="W970" s="360"/>
      <c r="X970" s="360"/>
      <c r="Y970" s="360"/>
      <c r="Z970" s="360"/>
      <c r="AA970" s="360"/>
      <c r="AB970" s="362"/>
      <c r="AC970" s="360"/>
      <c r="AD970" s="360"/>
      <c r="AE970" s="360"/>
    </row>
    <row r="971">
      <c r="A971" s="360"/>
      <c r="B971" s="360"/>
      <c r="C971" s="360"/>
      <c r="D971" s="360"/>
      <c r="E971" s="360"/>
      <c r="F971" s="360"/>
      <c r="G971" s="360"/>
      <c r="H971" s="360"/>
      <c r="I971" s="360"/>
      <c r="J971" s="360"/>
      <c r="K971" s="361"/>
      <c r="L971" s="360"/>
      <c r="M971" s="361"/>
      <c r="N971" s="360"/>
      <c r="O971" s="360"/>
      <c r="P971" s="360"/>
      <c r="Q971" s="360"/>
      <c r="R971" s="360"/>
      <c r="S971" s="360"/>
      <c r="T971" s="360"/>
      <c r="U971" s="360"/>
      <c r="V971" s="360"/>
      <c r="W971" s="360"/>
      <c r="X971" s="360"/>
      <c r="Y971" s="360"/>
      <c r="Z971" s="360"/>
      <c r="AA971" s="360"/>
      <c r="AB971" s="362"/>
      <c r="AC971" s="360"/>
      <c r="AD971" s="360"/>
      <c r="AE971" s="360"/>
    </row>
    <row r="972">
      <c r="A972" s="360"/>
      <c r="B972" s="360"/>
      <c r="C972" s="360"/>
      <c r="D972" s="360"/>
      <c r="E972" s="360"/>
      <c r="F972" s="360"/>
      <c r="G972" s="360"/>
      <c r="H972" s="360"/>
      <c r="I972" s="360"/>
      <c r="J972" s="360"/>
      <c r="K972" s="361"/>
      <c r="L972" s="360"/>
      <c r="M972" s="361"/>
      <c r="N972" s="360"/>
      <c r="O972" s="360"/>
      <c r="P972" s="360"/>
      <c r="Q972" s="360"/>
      <c r="R972" s="360"/>
      <c r="S972" s="360"/>
      <c r="T972" s="360"/>
      <c r="U972" s="360"/>
      <c r="V972" s="360"/>
      <c r="W972" s="360"/>
      <c r="X972" s="360"/>
      <c r="Y972" s="360"/>
      <c r="Z972" s="360"/>
      <c r="AA972" s="360"/>
      <c r="AB972" s="362"/>
      <c r="AC972" s="360"/>
      <c r="AD972" s="360"/>
      <c r="AE972" s="360"/>
    </row>
    <row r="973">
      <c r="A973" s="360"/>
      <c r="B973" s="360"/>
      <c r="C973" s="360"/>
      <c r="D973" s="360"/>
      <c r="E973" s="360"/>
      <c r="F973" s="360"/>
      <c r="G973" s="360"/>
      <c r="H973" s="360"/>
      <c r="I973" s="360"/>
      <c r="J973" s="360"/>
      <c r="K973" s="361"/>
      <c r="L973" s="360"/>
      <c r="M973" s="361"/>
      <c r="N973" s="360"/>
      <c r="O973" s="360"/>
      <c r="P973" s="360"/>
      <c r="Q973" s="360"/>
      <c r="R973" s="360"/>
      <c r="S973" s="360"/>
      <c r="T973" s="360"/>
      <c r="U973" s="360"/>
      <c r="V973" s="360"/>
      <c r="W973" s="360"/>
      <c r="X973" s="360"/>
      <c r="Y973" s="360"/>
      <c r="Z973" s="360"/>
      <c r="AA973" s="360"/>
      <c r="AB973" s="362"/>
      <c r="AC973" s="360"/>
      <c r="AD973" s="360"/>
      <c r="AE973" s="360"/>
    </row>
    <row r="974">
      <c r="A974" s="360"/>
      <c r="B974" s="360"/>
      <c r="C974" s="360"/>
      <c r="D974" s="360"/>
      <c r="E974" s="360"/>
      <c r="F974" s="360"/>
      <c r="G974" s="360"/>
      <c r="H974" s="360"/>
      <c r="I974" s="360"/>
      <c r="J974" s="360"/>
      <c r="K974" s="361"/>
      <c r="L974" s="360"/>
      <c r="M974" s="361"/>
      <c r="N974" s="360"/>
      <c r="O974" s="360"/>
      <c r="P974" s="360"/>
      <c r="Q974" s="360"/>
      <c r="R974" s="360"/>
      <c r="S974" s="360"/>
      <c r="T974" s="360"/>
      <c r="U974" s="360"/>
      <c r="V974" s="360"/>
      <c r="W974" s="360"/>
      <c r="X974" s="360"/>
      <c r="Y974" s="360"/>
      <c r="Z974" s="360"/>
      <c r="AA974" s="360"/>
      <c r="AB974" s="362"/>
      <c r="AC974" s="360"/>
      <c r="AD974" s="360"/>
      <c r="AE974" s="360"/>
    </row>
    <row r="975">
      <c r="A975" s="360"/>
      <c r="B975" s="360"/>
      <c r="C975" s="360"/>
      <c r="D975" s="360"/>
      <c r="E975" s="360"/>
      <c r="F975" s="360"/>
      <c r="G975" s="360"/>
      <c r="H975" s="360"/>
      <c r="I975" s="360"/>
      <c r="J975" s="360"/>
      <c r="K975" s="361"/>
      <c r="L975" s="360"/>
      <c r="M975" s="361"/>
      <c r="N975" s="360"/>
      <c r="O975" s="360"/>
      <c r="P975" s="360"/>
      <c r="Q975" s="360"/>
      <c r="R975" s="360"/>
      <c r="S975" s="360"/>
      <c r="T975" s="360"/>
      <c r="U975" s="360"/>
      <c r="V975" s="360"/>
      <c r="W975" s="360"/>
      <c r="X975" s="360"/>
      <c r="Y975" s="360"/>
      <c r="Z975" s="360"/>
      <c r="AA975" s="360"/>
      <c r="AB975" s="362"/>
      <c r="AC975" s="360"/>
      <c r="AD975" s="360"/>
      <c r="AE975" s="360"/>
    </row>
    <row r="976">
      <c r="A976" s="360"/>
      <c r="B976" s="360"/>
      <c r="C976" s="360"/>
      <c r="D976" s="360"/>
      <c r="E976" s="360"/>
      <c r="F976" s="360"/>
      <c r="G976" s="360"/>
      <c r="H976" s="360"/>
      <c r="I976" s="360"/>
      <c r="J976" s="360"/>
      <c r="K976" s="361"/>
      <c r="L976" s="360"/>
      <c r="M976" s="361"/>
      <c r="N976" s="360"/>
      <c r="O976" s="360"/>
      <c r="P976" s="360"/>
      <c r="Q976" s="360"/>
      <c r="R976" s="360"/>
      <c r="S976" s="360"/>
      <c r="T976" s="360"/>
      <c r="U976" s="360"/>
      <c r="V976" s="360"/>
      <c r="W976" s="360"/>
      <c r="X976" s="360"/>
      <c r="Y976" s="360"/>
      <c r="Z976" s="360"/>
      <c r="AA976" s="360"/>
      <c r="AB976" s="362"/>
      <c r="AC976" s="360"/>
      <c r="AD976" s="360"/>
      <c r="AE976" s="360"/>
    </row>
    <row r="977">
      <c r="A977" s="360"/>
      <c r="B977" s="360"/>
      <c r="C977" s="360"/>
      <c r="D977" s="360"/>
      <c r="E977" s="360"/>
      <c r="F977" s="360"/>
      <c r="G977" s="360"/>
      <c r="H977" s="360"/>
      <c r="I977" s="360"/>
      <c r="J977" s="360"/>
      <c r="K977" s="361"/>
      <c r="L977" s="360"/>
      <c r="M977" s="361"/>
      <c r="N977" s="360"/>
      <c r="O977" s="360"/>
      <c r="P977" s="360"/>
      <c r="Q977" s="360"/>
      <c r="R977" s="360"/>
      <c r="S977" s="360"/>
      <c r="T977" s="360"/>
      <c r="U977" s="360"/>
      <c r="V977" s="360"/>
      <c r="W977" s="360"/>
      <c r="X977" s="360"/>
      <c r="Y977" s="360"/>
      <c r="Z977" s="360"/>
      <c r="AA977" s="360"/>
      <c r="AB977" s="362"/>
      <c r="AC977" s="360"/>
      <c r="AD977" s="360"/>
      <c r="AE977" s="360"/>
    </row>
    <row r="978">
      <c r="A978" s="360"/>
      <c r="B978" s="360"/>
      <c r="C978" s="360"/>
      <c r="D978" s="360"/>
      <c r="E978" s="360"/>
      <c r="F978" s="360"/>
      <c r="G978" s="360"/>
      <c r="H978" s="360"/>
      <c r="I978" s="360"/>
      <c r="J978" s="360"/>
      <c r="K978" s="361"/>
      <c r="L978" s="360"/>
      <c r="M978" s="361"/>
      <c r="N978" s="360"/>
      <c r="O978" s="360"/>
      <c r="P978" s="360"/>
      <c r="Q978" s="360"/>
      <c r="R978" s="360"/>
      <c r="S978" s="360"/>
      <c r="T978" s="360"/>
      <c r="U978" s="360"/>
      <c r="V978" s="360"/>
      <c r="W978" s="360"/>
      <c r="X978" s="360"/>
      <c r="Y978" s="360"/>
      <c r="Z978" s="360"/>
      <c r="AA978" s="360"/>
      <c r="AB978" s="362"/>
      <c r="AC978" s="360"/>
      <c r="AD978" s="360"/>
      <c r="AE978" s="360"/>
    </row>
    <row r="979">
      <c r="A979" s="360"/>
      <c r="B979" s="360"/>
      <c r="C979" s="360"/>
      <c r="D979" s="360"/>
      <c r="E979" s="360"/>
      <c r="F979" s="360"/>
      <c r="G979" s="360"/>
      <c r="H979" s="360"/>
      <c r="I979" s="360"/>
      <c r="J979" s="360"/>
      <c r="K979" s="361"/>
      <c r="L979" s="360"/>
      <c r="M979" s="361"/>
      <c r="N979" s="360"/>
      <c r="O979" s="360"/>
      <c r="P979" s="360"/>
      <c r="Q979" s="360"/>
      <c r="R979" s="360"/>
      <c r="S979" s="360"/>
      <c r="T979" s="360"/>
      <c r="U979" s="360"/>
      <c r="V979" s="360"/>
      <c r="W979" s="360"/>
      <c r="X979" s="360"/>
      <c r="Y979" s="360"/>
      <c r="Z979" s="360"/>
      <c r="AA979" s="360"/>
      <c r="AB979" s="362"/>
      <c r="AC979" s="360"/>
      <c r="AD979" s="360"/>
      <c r="AE979" s="360"/>
    </row>
    <row r="980">
      <c r="A980" s="360"/>
      <c r="B980" s="360"/>
      <c r="C980" s="360"/>
      <c r="D980" s="360"/>
      <c r="E980" s="360"/>
      <c r="F980" s="360"/>
      <c r="G980" s="360"/>
      <c r="H980" s="360"/>
      <c r="I980" s="360"/>
      <c r="J980" s="360"/>
      <c r="K980" s="361"/>
      <c r="L980" s="360"/>
      <c r="M980" s="361"/>
      <c r="N980" s="360"/>
      <c r="O980" s="360"/>
      <c r="P980" s="360"/>
      <c r="Q980" s="360"/>
      <c r="R980" s="360"/>
      <c r="S980" s="360"/>
      <c r="T980" s="360"/>
      <c r="U980" s="360"/>
      <c r="V980" s="360"/>
      <c r="W980" s="360"/>
      <c r="X980" s="360"/>
      <c r="Y980" s="360"/>
      <c r="Z980" s="360"/>
      <c r="AA980" s="360"/>
      <c r="AB980" s="362"/>
      <c r="AC980" s="360"/>
      <c r="AD980" s="360"/>
      <c r="AE980" s="360"/>
    </row>
    <row r="981">
      <c r="A981" s="360"/>
      <c r="B981" s="360"/>
      <c r="C981" s="360"/>
      <c r="D981" s="360"/>
      <c r="E981" s="360"/>
      <c r="F981" s="360"/>
      <c r="G981" s="360"/>
      <c r="H981" s="360"/>
      <c r="I981" s="360"/>
      <c r="J981" s="360"/>
      <c r="K981" s="361"/>
      <c r="L981" s="360"/>
      <c r="M981" s="361"/>
      <c r="N981" s="360"/>
      <c r="O981" s="360"/>
      <c r="P981" s="360"/>
      <c r="Q981" s="360"/>
      <c r="R981" s="360"/>
      <c r="S981" s="360"/>
      <c r="T981" s="360"/>
      <c r="U981" s="360"/>
      <c r="V981" s="360"/>
      <c r="W981" s="360"/>
      <c r="X981" s="360"/>
      <c r="Y981" s="360"/>
      <c r="Z981" s="360"/>
      <c r="AA981" s="360"/>
      <c r="AB981" s="362"/>
      <c r="AC981" s="360"/>
      <c r="AD981" s="360"/>
      <c r="AE981" s="360"/>
    </row>
    <row r="982">
      <c r="A982" s="360"/>
      <c r="B982" s="360"/>
      <c r="C982" s="360"/>
      <c r="D982" s="360"/>
      <c r="E982" s="360"/>
      <c r="F982" s="360"/>
      <c r="G982" s="360"/>
      <c r="H982" s="360"/>
      <c r="I982" s="360"/>
      <c r="J982" s="360"/>
      <c r="K982" s="361"/>
      <c r="L982" s="360"/>
      <c r="M982" s="361"/>
      <c r="N982" s="360"/>
      <c r="O982" s="360"/>
      <c r="P982" s="360"/>
      <c r="Q982" s="360"/>
      <c r="R982" s="360"/>
      <c r="S982" s="360"/>
      <c r="T982" s="360"/>
      <c r="U982" s="360"/>
      <c r="V982" s="360"/>
      <c r="W982" s="360"/>
      <c r="X982" s="360"/>
      <c r="Y982" s="360"/>
      <c r="Z982" s="360"/>
      <c r="AA982" s="360"/>
      <c r="AB982" s="362"/>
      <c r="AC982" s="360"/>
      <c r="AD982" s="360"/>
      <c r="AE982" s="360"/>
    </row>
    <row r="983">
      <c r="A983" s="360"/>
      <c r="B983" s="360"/>
      <c r="C983" s="360"/>
      <c r="D983" s="360"/>
      <c r="E983" s="360"/>
      <c r="F983" s="360"/>
      <c r="G983" s="360"/>
      <c r="H983" s="360"/>
      <c r="I983" s="360"/>
      <c r="J983" s="360"/>
      <c r="K983" s="361"/>
      <c r="L983" s="360"/>
      <c r="M983" s="361"/>
      <c r="N983" s="360"/>
      <c r="O983" s="360"/>
      <c r="P983" s="360"/>
      <c r="Q983" s="360"/>
      <c r="R983" s="360"/>
      <c r="S983" s="360"/>
      <c r="T983" s="360"/>
      <c r="U983" s="360"/>
      <c r="V983" s="360"/>
      <c r="W983" s="360"/>
      <c r="X983" s="360"/>
      <c r="Y983" s="360"/>
      <c r="Z983" s="360"/>
      <c r="AA983" s="360"/>
      <c r="AB983" s="362"/>
      <c r="AC983" s="360"/>
      <c r="AD983" s="360"/>
      <c r="AE983" s="360"/>
    </row>
    <row r="984">
      <c r="A984" s="360"/>
      <c r="B984" s="360"/>
      <c r="C984" s="360"/>
      <c r="D984" s="360"/>
      <c r="E984" s="360"/>
      <c r="F984" s="360"/>
      <c r="G984" s="360"/>
      <c r="H984" s="360"/>
      <c r="I984" s="360"/>
      <c r="J984" s="360"/>
      <c r="K984" s="361"/>
      <c r="L984" s="360"/>
      <c r="M984" s="361"/>
      <c r="N984" s="360"/>
      <c r="O984" s="360"/>
      <c r="P984" s="360"/>
      <c r="Q984" s="360"/>
      <c r="R984" s="360"/>
      <c r="S984" s="360"/>
      <c r="T984" s="360"/>
      <c r="U984" s="360"/>
      <c r="V984" s="360"/>
      <c r="W984" s="360"/>
      <c r="X984" s="360"/>
      <c r="Y984" s="360"/>
      <c r="Z984" s="360"/>
      <c r="AA984" s="360"/>
      <c r="AB984" s="362"/>
      <c r="AC984" s="360"/>
      <c r="AD984" s="360"/>
      <c r="AE984" s="360"/>
    </row>
    <row r="985">
      <c r="A985" s="360"/>
      <c r="B985" s="360"/>
      <c r="C985" s="360"/>
      <c r="D985" s="360"/>
      <c r="E985" s="360"/>
      <c r="F985" s="360"/>
      <c r="G985" s="360"/>
      <c r="H985" s="360"/>
      <c r="I985" s="360"/>
      <c r="J985" s="360"/>
      <c r="K985" s="361"/>
      <c r="L985" s="360"/>
      <c r="M985" s="361"/>
      <c r="N985" s="360"/>
      <c r="O985" s="360"/>
      <c r="P985" s="360"/>
      <c r="Q985" s="360"/>
      <c r="R985" s="360"/>
      <c r="S985" s="360"/>
      <c r="T985" s="360"/>
      <c r="U985" s="360"/>
      <c r="V985" s="360"/>
      <c r="W985" s="360"/>
      <c r="X985" s="360"/>
      <c r="Y985" s="360"/>
      <c r="Z985" s="360"/>
      <c r="AA985" s="360"/>
      <c r="AB985" s="362"/>
      <c r="AC985" s="360"/>
      <c r="AD985" s="360"/>
      <c r="AE985" s="360"/>
    </row>
    <row r="986">
      <c r="A986" s="360"/>
      <c r="B986" s="360"/>
      <c r="C986" s="360"/>
      <c r="D986" s="360"/>
      <c r="E986" s="360"/>
      <c r="F986" s="360"/>
      <c r="G986" s="360"/>
      <c r="H986" s="360"/>
      <c r="I986" s="360"/>
      <c r="J986" s="360"/>
      <c r="K986" s="361"/>
      <c r="L986" s="360"/>
      <c r="M986" s="361"/>
      <c r="N986" s="360"/>
      <c r="O986" s="360"/>
      <c r="P986" s="360"/>
      <c r="Q986" s="360"/>
      <c r="R986" s="360"/>
      <c r="S986" s="360"/>
      <c r="T986" s="360"/>
      <c r="U986" s="360"/>
      <c r="V986" s="360"/>
      <c r="W986" s="360"/>
      <c r="X986" s="360"/>
      <c r="Y986" s="360"/>
      <c r="Z986" s="360"/>
      <c r="AA986" s="360"/>
      <c r="AB986" s="362"/>
      <c r="AC986" s="360"/>
      <c r="AD986" s="360"/>
      <c r="AE986" s="360"/>
    </row>
    <row r="987">
      <c r="A987" s="360"/>
      <c r="B987" s="360"/>
      <c r="C987" s="360"/>
      <c r="D987" s="360"/>
      <c r="E987" s="360"/>
      <c r="F987" s="360"/>
      <c r="G987" s="360"/>
      <c r="H987" s="360"/>
      <c r="I987" s="360"/>
      <c r="J987" s="360"/>
      <c r="K987" s="361"/>
      <c r="L987" s="360"/>
      <c r="M987" s="361"/>
      <c r="N987" s="360"/>
      <c r="O987" s="360"/>
      <c r="P987" s="360"/>
      <c r="Q987" s="360"/>
      <c r="R987" s="360"/>
      <c r="S987" s="360"/>
      <c r="T987" s="360"/>
      <c r="U987" s="360"/>
      <c r="V987" s="360"/>
      <c r="W987" s="360"/>
      <c r="X987" s="360"/>
      <c r="Y987" s="360"/>
      <c r="Z987" s="360"/>
      <c r="AA987" s="360"/>
      <c r="AB987" s="362"/>
      <c r="AC987" s="360"/>
      <c r="AD987" s="360"/>
      <c r="AE987" s="360"/>
    </row>
    <row r="988">
      <c r="A988" s="360"/>
      <c r="B988" s="360"/>
      <c r="C988" s="360"/>
      <c r="D988" s="360"/>
      <c r="E988" s="360"/>
      <c r="F988" s="360"/>
      <c r="G988" s="360"/>
      <c r="H988" s="360"/>
      <c r="I988" s="360"/>
      <c r="J988" s="360"/>
      <c r="K988" s="361"/>
      <c r="L988" s="360"/>
      <c r="M988" s="361"/>
      <c r="N988" s="360"/>
      <c r="O988" s="360"/>
      <c r="P988" s="360"/>
      <c r="Q988" s="360"/>
      <c r="R988" s="360"/>
      <c r="S988" s="360"/>
      <c r="T988" s="360"/>
      <c r="U988" s="360"/>
      <c r="V988" s="360"/>
      <c r="W988" s="360"/>
      <c r="X988" s="360"/>
      <c r="Y988" s="360"/>
      <c r="Z988" s="360"/>
      <c r="AA988" s="360"/>
      <c r="AB988" s="362"/>
      <c r="AC988" s="360"/>
      <c r="AD988" s="360"/>
      <c r="AE988" s="360"/>
    </row>
    <row r="989">
      <c r="A989" s="360"/>
      <c r="B989" s="360"/>
      <c r="C989" s="360"/>
      <c r="D989" s="360"/>
      <c r="E989" s="360"/>
      <c r="F989" s="360"/>
      <c r="G989" s="360"/>
      <c r="H989" s="360"/>
      <c r="I989" s="360"/>
      <c r="J989" s="360"/>
      <c r="K989" s="361"/>
      <c r="L989" s="360"/>
      <c r="M989" s="361"/>
      <c r="N989" s="360"/>
      <c r="O989" s="360"/>
      <c r="P989" s="360"/>
      <c r="Q989" s="360"/>
      <c r="R989" s="360"/>
      <c r="S989" s="360"/>
      <c r="T989" s="360"/>
      <c r="U989" s="360"/>
      <c r="V989" s="360"/>
      <c r="W989" s="360"/>
      <c r="X989" s="360"/>
      <c r="Y989" s="360"/>
      <c r="Z989" s="360"/>
      <c r="AA989" s="360"/>
      <c r="AB989" s="362"/>
      <c r="AC989" s="360"/>
      <c r="AD989" s="360"/>
      <c r="AE989" s="360"/>
    </row>
    <row r="990">
      <c r="A990" s="360"/>
      <c r="B990" s="360"/>
      <c r="C990" s="360"/>
      <c r="D990" s="360"/>
      <c r="E990" s="360"/>
      <c r="F990" s="360"/>
      <c r="G990" s="360"/>
      <c r="H990" s="360"/>
      <c r="I990" s="360"/>
      <c r="J990" s="360"/>
      <c r="K990" s="361"/>
      <c r="L990" s="360"/>
      <c r="M990" s="361"/>
      <c r="N990" s="360"/>
      <c r="O990" s="360"/>
      <c r="P990" s="360"/>
      <c r="Q990" s="360"/>
      <c r="R990" s="360"/>
      <c r="S990" s="360"/>
      <c r="T990" s="360"/>
      <c r="U990" s="360"/>
      <c r="V990" s="360"/>
      <c r="W990" s="360"/>
      <c r="X990" s="360"/>
      <c r="Y990" s="360"/>
      <c r="Z990" s="360"/>
      <c r="AA990" s="360"/>
      <c r="AB990" s="362"/>
      <c r="AC990" s="360"/>
      <c r="AD990" s="360"/>
      <c r="AE990" s="360"/>
    </row>
    <row r="991">
      <c r="A991" s="360"/>
      <c r="B991" s="360"/>
      <c r="C991" s="360"/>
      <c r="D991" s="360"/>
      <c r="E991" s="360"/>
      <c r="F991" s="360"/>
      <c r="G991" s="360"/>
      <c r="H991" s="360"/>
      <c r="I991" s="360"/>
      <c r="J991" s="360"/>
      <c r="K991" s="361"/>
      <c r="L991" s="360"/>
      <c r="M991" s="361"/>
      <c r="N991" s="360"/>
      <c r="O991" s="360"/>
      <c r="P991" s="360"/>
      <c r="Q991" s="360"/>
      <c r="R991" s="360"/>
      <c r="S991" s="360"/>
      <c r="T991" s="360"/>
      <c r="U991" s="360"/>
      <c r="V991" s="360"/>
      <c r="W991" s="360"/>
      <c r="X991" s="360"/>
      <c r="Y991" s="360"/>
      <c r="Z991" s="360"/>
      <c r="AA991" s="360"/>
      <c r="AB991" s="362"/>
      <c r="AC991" s="360"/>
      <c r="AD991" s="360"/>
      <c r="AE991" s="360"/>
    </row>
    <row r="992">
      <c r="A992" s="360"/>
      <c r="B992" s="360"/>
      <c r="C992" s="360"/>
      <c r="D992" s="360"/>
      <c r="E992" s="360"/>
      <c r="F992" s="360"/>
      <c r="G992" s="360"/>
      <c r="H992" s="360"/>
      <c r="I992" s="360"/>
      <c r="J992" s="360"/>
      <c r="K992" s="361"/>
      <c r="L992" s="360"/>
      <c r="M992" s="361"/>
      <c r="N992" s="360"/>
      <c r="O992" s="360"/>
      <c r="P992" s="360"/>
      <c r="Q992" s="360"/>
      <c r="R992" s="360"/>
      <c r="S992" s="360"/>
      <c r="T992" s="360"/>
      <c r="U992" s="360"/>
      <c r="V992" s="360"/>
      <c r="W992" s="360"/>
      <c r="X992" s="360"/>
      <c r="Y992" s="360"/>
      <c r="Z992" s="360"/>
      <c r="AA992" s="360"/>
      <c r="AB992" s="362"/>
      <c r="AC992" s="360"/>
      <c r="AD992" s="360"/>
      <c r="AE992" s="360"/>
    </row>
    <row r="993">
      <c r="A993" s="360"/>
      <c r="B993" s="360"/>
      <c r="C993" s="360"/>
      <c r="D993" s="360"/>
      <c r="E993" s="360"/>
      <c r="F993" s="360"/>
      <c r="G993" s="360"/>
      <c r="H993" s="360"/>
      <c r="I993" s="360"/>
      <c r="J993" s="360"/>
      <c r="K993" s="361"/>
      <c r="L993" s="360"/>
      <c r="M993" s="361"/>
      <c r="N993" s="360"/>
      <c r="O993" s="360"/>
      <c r="P993" s="360"/>
      <c r="Q993" s="360"/>
      <c r="R993" s="360"/>
      <c r="S993" s="360"/>
      <c r="T993" s="360"/>
      <c r="U993" s="360"/>
      <c r="V993" s="360"/>
      <c r="W993" s="360"/>
      <c r="X993" s="360"/>
      <c r="Y993" s="360"/>
      <c r="Z993" s="360"/>
      <c r="AA993" s="360"/>
      <c r="AB993" s="362"/>
      <c r="AC993" s="360"/>
      <c r="AD993" s="360"/>
      <c r="AE993" s="360"/>
    </row>
    <row r="994">
      <c r="A994" s="360"/>
      <c r="B994" s="360"/>
      <c r="C994" s="360"/>
      <c r="D994" s="360"/>
      <c r="E994" s="360"/>
      <c r="F994" s="360"/>
      <c r="G994" s="360"/>
      <c r="H994" s="360"/>
      <c r="I994" s="360"/>
      <c r="J994" s="360"/>
      <c r="K994" s="361"/>
      <c r="L994" s="360"/>
      <c r="M994" s="361"/>
      <c r="N994" s="360"/>
      <c r="O994" s="360"/>
      <c r="P994" s="360"/>
      <c r="Q994" s="360"/>
      <c r="R994" s="360"/>
      <c r="S994" s="360"/>
      <c r="T994" s="360"/>
      <c r="U994" s="360"/>
      <c r="V994" s="360"/>
      <c r="W994" s="360"/>
      <c r="X994" s="360"/>
      <c r="Y994" s="360"/>
      <c r="Z994" s="360"/>
      <c r="AA994" s="360"/>
      <c r="AB994" s="362"/>
      <c r="AC994" s="360"/>
      <c r="AD994" s="360"/>
      <c r="AE994" s="360"/>
    </row>
    <row r="995">
      <c r="A995" s="360"/>
      <c r="B995" s="360"/>
      <c r="C995" s="360"/>
      <c r="D995" s="360"/>
      <c r="E995" s="360"/>
      <c r="F995" s="360"/>
      <c r="G995" s="360"/>
      <c r="H995" s="360"/>
      <c r="I995" s="360"/>
      <c r="J995" s="360"/>
      <c r="K995" s="361"/>
      <c r="L995" s="360"/>
      <c r="M995" s="361"/>
      <c r="N995" s="360"/>
      <c r="O995" s="360"/>
      <c r="P995" s="360"/>
      <c r="Q995" s="360"/>
      <c r="R995" s="360"/>
      <c r="S995" s="360"/>
      <c r="T995" s="360"/>
      <c r="U995" s="360"/>
      <c r="V995" s="360"/>
      <c r="W995" s="360"/>
      <c r="X995" s="360"/>
      <c r="Y995" s="360"/>
      <c r="Z995" s="360"/>
      <c r="AA995" s="360"/>
      <c r="AB995" s="362"/>
      <c r="AC995" s="360"/>
      <c r="AD995" s="360"/>
      <c r="AE995" s="360"/>
    </row>
    <row r="996">
      <c r="A996" s="360"/>
      <c r="B996" s="360"/>
      <c r="C996" s="360"/>
      <c r="D996" s="360"/>
      <c r="E996" s="360"/>
      <c r="F996" s="360"/>
      <c r="G996" s="360"/>
      <c r="H996" s="360"/>
      <c r="I996" s="360"/>
      <c r="J996" s="360"/>
      <c r="K996" s="361"/>
      <c r="L996" s="360"/>
      <c r="M996" s="361"/>
      <c r="N996" s="360"/>
      <c r="O996" s="360"/>
      <c r="P996" s="360"/>
      <c r="Q996" s="360"/>
      <c r="R996" s="360"/>
      <c r="S996" s="360"/>
      <c r="T996" s="360"/>
      <c r="U996" s="360"/>
      <c r="V996" s="360"/>
      <c r="W996" s="360"/>
      <c r="X996" s="360"/>
      <c r="Y996" s="360"/>
      <c r="Z996" s="360"/>
      <c r="AA996" s="360"/>
      <c r="AB996" s="362"/>
      <c r="AC996" s="360"/>
      <c r="AD996" s="360"/>
      <c r="AE996" s="360"/>
    </row>
    <row r="997">
      <c r="A997" s="360"/>
      <c r="B997" s="360"/>
      <c r="C997" s="360"/>
      <c r="D997" s="360"/>
      <c r="E997" s="360"/>
      <c r="F997" s="360"/>
      <c r="G997" s="360"/>
      <c r="H997" s="360"/>
      <c r="I997" s="360"/>
      <c r="J997" s="360"/>
      <c r="K997" s="361"/>
      <c r="L997" s="360"/>
      <c r="M997" s="361"/>
      <c r="N997" s="360"/>
      <c r="O997" s="360"/>
      <c r="P997" s="360"/>
      <c r="Q997" s="360"/>
      <c r="R997" s="360"/>
      <c r="S997" s="360"/>
      <c r="T997" s="360"/>
      <c r="U997" s="360"/>
      <c r="V997" s="360"/>
      <c r="W997" s="360"/>
      <c r="X997" s="360"/>
      <c r="Y997" s="360"/>
      <c r="Z997" s="360"/>
      <c r="AA997" s="360"/>
      <c r="AB997" s="362"/>
      <c r="AC997" s="360"/>
      <c r="AD997" s="360"/>
      <c r="AE997" s="360"/>
    </row>
    <row r="998">
      <c r="A998" s="360"/>
      <c r="B998" s="360"/>
      <c r="C998" s="360"/>
      <c r="D998" s="360"/>
      <c r="E998" s="360"/>
      <c r="F998" s="360"/>
      <c r="G998" s="360"/>
      <c r="H998" s="360"/>
      <c r="I998" s="360"/>
      <c r="J998" s="360"/>
      <c r="K998" s="361"/>
      <c r="L998" s="360"/>
      <c r="M998" s="361"/>
      <c r="N998" s="360"/>
      <c r="O998" s="360"/>
      <c r="P998" s="360"/>
      <c r="Q998" s="360"/>
      <c r="R998" s="360"/>
      <c r="S998" s="360"/>
      <c r="T998" s="360"/>
      <c r="U998" s="360"/>
      <c r="V998" s="360"/>
      <c r="W998" s="360"/>
      <c r="X998" s="360"/>
      <c r="Y998" s="360"/>
      <c r="Z998" s="360"/>
      <c r="AA998" s="360"/>
      <c r="AB998" s="362"/>
      <c r="AC998" s="360"/>
      <c r="AD998" s="360"/>
      <c r="AE998" s="360"/>
    </row>
    <row r="999">
      <c r="A999" s="360"/>
      <c r="B999" s="360"/>
      <c r="C999" s="360"/>
      <c r="D999" s="360"/>
      <c r="E999" s="360"/>
      <c r="F999" s="360"/>
      <c r="G999" s="360"/>
      <c r="H999" s="360"/>
      <c r="I999" s="360"/>
      <c r="J999" s="360"/>
      <c r="K999" s="361"/>
      <c r="L999" s="360"/>
      <c r="M999" s="361"/>
      <c r="N999" s="360"/>
      <c r="O999" s="360"/>
      <c r="P999" s="360"/>
      <c r="Q999" s="360"/>
      <c r="R999" s="360"/>
      <c r="S999" s="360"/>
      <c r="T999" s="360"/>
      <c r="U999" s="360"/>
      <c r="V999" s="360"/>
      <c r="W999" s="360"/>
      <c r="X999" s="360"/>
      <c r="Y999" s="360"/>
      <c r="Z999" s="360"/>
      <c r="AA999" s="360"/>
      <c r="AB999" s="362"/>
      <c r="AC999" s="360"/>
      <c r="AD999" s="360"/>
      <c r="AE999" s="360"/>
    </row>
    <row r="1000">
      <c r="A1000" s="360"/>
      <c r="B1000" s="360"/>
      <c r="C1000" s="360"/>
      <c r="D1000" s="360"/>
      <c r="E1000" s="360"/>
      <c r="F1000" s="360"/>
      <c r="G1000" s="360"/>
      <c r="H1000" s="360"/>
      <c r="I1000" s="360"/>
      <c r="J1000" s="360"/>
      <c r="K1000" s="361"/>
      <c r="L1000" s="360"/>
      <c r="M1000" s="361"/>
      <c r="N1000" s="360"/>
      <c r="O1000" s="360"/>
      <c r="P1000" s="360"/>
      <c r="Q1000" s="360"/>
      <c r="R1000" s="360"/>
      <c r="S1000" s="360"/>
      <c r="T1000" s="360"/>
      <c r="U1000" s="360"/>
      <c r="V1000" s="360"/>
      <c r="W1000" s="360"/>
      <c r="X1000" s="360"/>
      <c r="Y1000" s="360"/>
      <c r="Z1000" s="360"/>
      <c r="AA1000" s="360"/>
      <c r="AB1000" s="362"/>
      <c r="AC1000" s="360"/>
      <c r="AD1000" s="360"/>
      <c r="AE1000" s="360"/>
    </row>
  </sheetData>
  <autoFilter ref="$A$1:$AE$580"/>
  <mergeCells count="3">
    <mergeCell ref="W211:Y211"/>
    <mergeCell ref="W266:X266"/>
    <mergeCell ref="X267:Y267"/>
  </mergeCells>
  <hyperlinks>
    <hyperlink r:id="rId2" ref="X40"/>
    <hyperlink r:id="rId3" ref="X65"/>
    <hyperlink r:id="rId4" ref="E76"/>
    <hyperlink r:id="rId5" ref="W76"/>
    <hyperlink r:id="rId6" ref="X76"/>
    <hyperlink r:id="rId7" ref="T86"/>
    <hyperlink r:id="rId8" ref="E90"/>
    <hyperlink r:id="rId9" ref="W90"/>
    <hyperlink r:id="rId10" ref="W91"/>
    <hyperlink r:id="rId11" ref="W92"/>
    <hyperlink r:id="rId12" ref="E93"/>
    <hyperlink r:id="rId13" ref="E94"/>
    <hyperlink r:id="rId14" ref="W94"/>
    <hyperlink r:id="rId15" ref="W101"/>
    <hyperlink r:id="rId16" ref="W103"/>
    <hyperlink r:id="rId17" ref="E106"/>
    <hyperlink r:id="rId18" ref="W106"/>
    <hyperlink r:id="rId19" ref="X106"/>
    <hyperlink r:id="rId20" ref="E116"/>
    <hyperlink r:id="rId21" ref="E117"/>
    <hyperlink r:id="rId22" ref="W117"/>
    <hyperlink r:id="rId23" ref="X117"/>
    <hyperlink r:id="rId24" ref="E118"/>
    <hyperlink r:id="rId25" ref="W125"/>
    <hyperlink r:id="rId26" ref="E130"/>
    <hyperlink r:id="rId27" ref="W130"/>
    <hyperlink r:id="rId28" ref="X130"/>
    <hyperlink r:id="rId29" ref="W132"/>
    <hyperlink r:id="rId30" ref="E134"/>
    <hyperlink r:id="rId31" ref="W134"/>
    <hyperlink r:id="rId32" ref="W139"/>
    <hyperlink r:id="rId33" ref="W140"/>
    <hyperlink r:id="rId34" ref="X140"/>
    <hyperlink r:id="rId35" ref="W141"/>
    <hyperlink r:id="rId36" ref="W142"/>
    <hyperlink r:id="rId37" ref="E144"/>
    <hyperlink r:id="rId38" ref="W144"/>
    <hyperlink r:id="rId39" ref="W145"/>
    <hyperlink r:id="rId40" ref="X145"/>
    <hyperlink r:id="rId41" ref="W148"/>
    <hyperlink r:id="rId42" ref="X148"/>
    <hyperlink r:id="rId43" ref="X151"/>
    <hyperlink r:id="rId44" ref="E152"/>
    <hyperlink r:id="rId45" ref="W152"/>
    <hyperlink r:id="rId46" ref="E153"/>
    <hyperlink r:id="rId47" ref="W153"/>
    <hyperlink r:id="rId48" ref="X153"/>
    <hyperlink r:id="rId49" ref="W154"/>
    <hyperlink r:id="rId50" ref="X154"/>
    <hyperlink r:id="rId51" ref="E155"/>
    <hyperlink r:id="rId52" ref="W155"/>
    <hyperlink r:id="rId53" ref="X155"/>
    <hyperlink r:id="rId54" ref="W165"/>
    <hyperlink r:id="rId55" ref="X165"/>
    <hyperlink r:id="rId56" ref="E166"/>
    <hyperlink r:id="rId57" ref="W166"/>
    <hyperlink r:id="rId58" ref="W170"/>
    <hyperlink r:id="rId59" ref="W171"/>
    <hyperlink r:id="rId60" ref="E173"/>
    <hyperlink r:id="rId61" ref="W173"/>
    <hyperlink r:id="rId62" ref="E174"/>
    <hyperlink r:id="rId63" ref="W174"/>
    <hyperlink r:id="rId64" ref="W183"/>
    <hyperlink r:id="rId65" ref="E186"/>
    <hyperlink r:id="rId66" ref="W186"/>
    <hyperlink r:id="rId67" ref="E187"/>
    <hyperlink r:id="rId68" ref="W188"/>
    <hyperlink r:id="rId69" ref="W190"/>
    <hyperlink r:id="rId70" ref="E191"/>
    <hyperlink r:id="rId71" ref="W191"/>
    <hyperlink r:id="rId72" ref="X191"/>
    <hyperlink r:id="rId73" ref="E195"/>
    <hyperlink r:id="rId74" ref="W201"/>
    <hyperlink r:id="rId75" ref="E202"/>
    <hyperlink r:id="rId76" ref="W204"/>
    <hyperlink r:id="rId77" ref="X204"/>
    <hyperlink r:id="rId78" ref="E205"/>
    <hyperlink r:id="rId79" ref="W205"/>
    <hyperlink r:id="rId80" ref="X205"/>
    <hyperlink r:id="rId81" ref="W206"/>
    <hyperlink r:id="rId82" ref="W207"/>
    <hyperlink r:id="rId83" ref="X207"/>
    <hyperlink r:id="rId84" ref="W211"/>
    <hyperlink r:id="rId85" ref="W212"/>
    <hyperlink r:id="rId86" ref="W213"/>
    <hyperlink r:id="rId87" ref="W215"/>
    <hyperlink r:id="rId88" ref="W219"/>
    <hyperlink r:id="rId89" ref="C220"/>
    <hyperlink r:id="rId90" ref="W220"/>
    <hyperlink r:id="rId91" ref="E222"/>
    <hyperlink r:id="rId92" ref="E225"/>
    <hyperlink r:id="rId93" ref="W225"/>
    <hyperlink r:id="rId94" ref="X225"/>
    <hyperlink r:id="rId95" ref="W226"/>
    <hyperlink r:id="rId96" ref="W236"/>
    <hyperlink r:id="rId97" ref="E238"/>
    <hyperlink r:id="rId98" ref="W238"/>
    <hyperlink r:id="rId99" ref="X238"/>
    <hyperlink r:id="rId100" ref="E242"/>
    <hyperlink r:id="rId101" ref="W242"/>
    <hyperlink r:id="rId102" ref="X242"/>
    <hyperlink r:id="rId103" ref="W244"/>
    <hyperlink r:id="rId104" ref="X244"/>
    <hyperlink r:id="rId105" ref="E246"/>
    <hyperlink r:id="rId106" ref="W246"/>
    <hyperlink r:id="rId107" ref="X246"/>
    <hyperlink r:id="rId108" ref="W249"/>
    <hyperlink r:id="rId109" ref="X249"/>
    <hyperlink r:id="rId110" ref="W250"/>
    <hyperlink r:id="rId111" ref="W252"/>
    <hyperlink r:id="rId112" ref="D254"/>
    <hyperlink r:id="rId113" ref="E254"/>
    <hyperlink r:id="rId114" ref="W254"/>
    <hyperlink r:id="rId115" ref="X254"/>
    <hyperlink r:id="rId116" ref="E256"/>
    <hyperlink r:id="rId117" ref="W256"/>
    <hyperlink r:id="rId118" ref="X256"/>
    <hyperlink r:id="rId119" ref="E257"/>
    <hyperlink r:id="rId120" ref="E261"/>
    <hyperlink r:id="rId121" ref="W261"/>
    <hyperlink r:id="rId122" ref="X261"/>
    <hyperlink r:id="rId123" ref="D263"/>
    <hyperlink r:id="rId124" ref="E263"/>
    <hyperlink r:id="rId125" ref="W263"/>
    <hyperlink r:id="rId126" ref="X263"/>
    <hyperlink r:id="rId127" ref="W266"/>
    <hyperlink r:id="rId128" ref="X267"/>
    <hyperlink r:id="rId129" ref="W268"/>
    <hyperlink r:id="rId130" ref="E271"/>
    <hyperlink r:id="rId131" ref="W271"/>
    <hyperlink r:id="rId132" ref="X271"/>
    <hyperlink r:id="rId133" ref="W276"/>
    <hyperlink r:id="rId134" ref="X276"/>
    <hyperlink r:id="rId135" ref="W277"/>
    <hyperlink r:id="rId136" ref="X277"/>
    <hyperlink r:id="rId137" ref="W281"/>
    <hyperlink r:id="rId138" ref="X281"/>
    <hyperlink r:id="rId139" ref="W283"/>
    <hyperlink r:id="rId140" ref="D284"/>
    <hyperlink r:id="rId141" ref="E284"/>
    <hyperlink r:id="rId142" ref="W284"/>
    <hyperlink r:id="rId143" ref="X284"/>
    <hyperlink r:id="rId144" ref="D285"/>
    <hyperlink r:id="rId145" ref="E285"/>
    <hyperlink r:id="rId146" ref="D286"/>
    <hyperlink r:id="rId147" ref="E286"/>
    <hyperlink r:id="rId148" ref="W286"/>
    <hyperlink r:id="rId149" ref="X286"/>
    <hyperlink r:id="rId150" ref="W291"/>
    <hyperlink r:id="rId151" ref="E292"/>
    <hyperlink r:id="rId152" ref="E293"/>
    <hyperlink r:id="rId153" ref="W293"/>
    <hyperlink r:id="rId154" ref="E295"/>
    <hyperlink r:id="rId155" ref="X307"/>
    <hyperlink r:id="rId156" ref="W308"/>
    <hyperlink r:id="rId157" ref="X308"/>
    <hyperlink r:id="rId158" ref="W312"/>
    <hyperlink r:id="rId159" ref="X312"/>
    <hyperlink r:id="rId160" ref="E318"/>
    <hyperlink r:id="rId161" ref="W319"/>
    <hyperlink r:id="rId162" ref="X319"/>
    <hyperlink r:id="rId163" ref="E322"/>
    <hyperlink r:id="rId164" ref="X324"/>
    <hyperlink r:id="rId165" ref="E325"/>
    <hyperlink r:id="rId166" ref="W325"/>
    <hyperlink r:id="rId167" ref="X325"/>
    <hyperlink r:id="rId168" ref="W333"/>
    <hyperlink r:id="rId169" ref="W337"/>
    <hyperlink r:id="rId170" ref="X337"/>
    <hyperlink r:id="rId171" ref="W338"/>
    <hyperlink r:id="rId172" ref="W339"/>
    <hyperlink r:id="rId173" ref="W340"/>
    <hyperlink r:id="rId174" ref="X340"/>
    <hyperlink r:id="rId175" ref="W342"/>
    <hyperlink r:id="rId176" ref="W343"/>
    <hyperlink r:id="rId177" ref="W346"/>
    <hyperlink r:id="rId178" ref="W348"/>
    <hyperlink r:id="rId179" ref="W349"/>
    <hyperlink r:id="rId180" ref="W357"/>
    <hyperlink r:id="rId181" ref="W358"/>
    <hyperlink r:id="rId182" ref="W365"/>
    <hyperlink r:id="rId183" ref="X365"/>
    <hyperlink r:id="rId184" ref="W368"/>
    <hyperlink r:id="rId185" ref="W370"/>
    <hyperlink r:id="rId186" ref="W384"/>
    <hyperlink r:id="rId187" ref="W397"/>
    <hyperlink r:id="rId188" ref="W398"/>
    <hyperlink r:id="rId189" ref="W399"/>
    <hyperlink r:id="rId190" ref="W407"/>
    <hyperlink r:id="rId191" ref="W408"/>
    <hyperlink r:id="rId192" ref="X408"/>
    <hyperlink r:id="rId193" ref="W420"/>
    <hyperlink r:id="rId194" ref="W421"/>
    <hyperlink r:id="rId195" ref="W422"/>
    <hyperlink r:id="rId196" ref="W423"/>
    <hyperlink r:id="rId197" ref="W424"/>
    <hyperlink r:id="rId198" ref="W432"/>
    <hyperlink r:id="rId199" ref="W436"/>
    <hyperlink r:id="rId200" ref="W448"/>
    <hyperlink r:id="rId201" ref="X448"/>
    <hyperlink r:id="rId202" ref="W460"/>
    <hyperlink r:id="rId203" ref="X460"/>
    <hyperlink r:id="rId204" ref="W470"/>
    <hyperlink r:id="rId205" ref="W472"/>
    <hyperlink r:id="rId206" ref="W474"/>
    <hyperlink r:id="rId207" ref="W478"/>
    <hyperlink r:id="rId208" ref="X478"/>
    <hyperlink r:id="rId209" ref="W482"/>
    <hyperlink r:id="rId210" ref="W535"/>
    <hyperlink r:id="rId211" ref="X535"/>
    <hyperlink r:id="rId212" ref="W545"/>
    <hyperlink r:id="rId213" ref="W559"/>
    <hyperlink r:id="rId214" ref="W560"/>
    <hyperlink r:id="rId215" ref="W567"/>
  </hyperlinks>
  <drawing r:id="rId216"/>
  <legacyDrawing r:id="rId2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ht="27.75" customHeight="1">
      <c r="B1" s="1"/>
      <c r="C1" s="1"/>
      <c r="D1" s="1"/>
      <c r="E1" s="1"/>
      <c r="F1" s="1"/>
      <c r="G1" s="1"/>
      <c r="H1" s="1"/>
      <c r="I1" s="1"/>
      <c r="J1" s="1"/>
      <c r="K1" s="1"/>
      <c r="L1" s="1"/>
      <c r="M1" s="1"/>
      <c r="N1" s="1"/>
      <c r="O1" s="1"/>
      <c r="P1" s="1"/>
      <c r="Q1" s="1"/>
      <c r="R1" s="1"/>
      <c r="S1" s="1"/>
      <c r="T1" s="1"/>
      <c r="U1" s="1"/>
      <c r="V1" s="1"/>
      <c r="W1" s="1"/>
      <c r="X1" s="1"/>
      <c r="Y1" s="1"/>
      <c r="Z1" s="1"/>
    </row>
    <row r="2">
      <c r="A2" s="1"/>
      <c r="B2" s="3"/>
      <c r="C2" s="1"/>
      <c r="D2" s="1"/>
      <c r="E2" s="1"/>
      <c r="F2" s="1"/>
      <c r="G2" s="1"/>
      <c r="H2" s="1"/>
      <c r="I2" s="1"/>
      <c r="J2" s="1"/>
      <c r="K2" s="1"/>
      <c r="L2" s="1"/>
      <c r="M2" s="1"/>
      <c r="N2" s="1"/>
      <c r="O2" s="1"/>
      <c r="P2" s="1"/>
      <c r="Q2" s="1"/>
      <c r="R2" s="1"/>
      <c r="S2" s="1"/>
      <c r="T2" s="1"/>
      <c r="U2" s="1"/>
      <c r="V2" s="1"/>
      <c r="W2" s="1"/>
      <c r="X2" s="1"/>
      <c r="Y2" s="1"/>
      <c r="Z2" s="1"/>
    </row>
    <row r="3">
      <c r="A3" s="1"/>
      <c r="B3" s="16" t="s">
        <v>12</v>
      </c>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25" t="s">
        <v>56</v>
      </c>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28" t="s">
        <v>85</v>
      </c>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34" t="s">
        <v>94</v>
      </c>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3:G3"/>
    <mergeCell ref="B5:E5"/>
    <mergeCell ref="B7:E7"/>
    <mergeCell ref="B9:E9"/>
  </mergeCells>
  <hyperlinks>
    <hyperlink r:id="rId1" ref="B3"/>
    <hyperlink r:id="rId2" ref="B5"/>
    <hyperlink r:id="rId3" ref="B7"/>
    <hyperlink display="Sheet dữ liệu Tài khoản GapOne đã nhập" location="'Acc GapOne ver2'!A1" ref="B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9.63"/>
    <col customWidth="1" min="2" max="3" width="8.88"/>
    <col customWidth="1" min="4" max="4" width="13.13"/>
    <col customWidth="1" min="5" max="5" width="42.63"/>
    <col customWidth="1" min="6" max="6" width="22.0"/>
    <col customWidth="1" min="7" max="7" width="20.88"/>
    <col customWidth="1" min="9" max="9" width="17.5"/>
    <col customWidth="1" min="10" max="10" width="16.38"/>
    <col customWidth="1" min="11" max="11" width="14.25"/>
    <col customWidth="1" min="12" max="13" width="16.38"/>
    <col customWidth="1" min="14" max="14" width="10.88"/>
    <col customWidth="1" min="16" max="16" width="15.88"/>
    <col customWidth="1" min="19" max="19" width="28.38"/>
    <col customWidth="1" min="20" max="20" width="16.88"/>
    <col customWidth="1" min="22" max="22" width="16.63"/>
    <col customWidth="1" min="23" max="23" width="19.38"/>
    <col customWidth="1" min="24" max="24" width="25.75"/>
    <col customWidth="1" min="25" max="25" width="16.63"/>
    <col customWidth="1" min="26" max="27" width="12.0"/>
  </cols>
  <sheetData>
    <row r="1" ht="72.0" customHeight="1">
      <c r="A1" s="7" t="s">
        <v>11</v>
      </c>
      <c r="B1" s="10" t="s">
        <v>15</v>
      </c>
      <c r="C1" s="12" t="s">
        <v>3</v>
      </c>
      <c r="D1" s="10" t="s">
        <v>4</v>
      </c>
      <c r="E1" s="10" t="s">
        <v>16</v>
      </c>
      <c r="F1" s="10" t="s">
        <v>17</v>
      </c>
      <c r="G1" s="10" t="s">
        <v>21</v>
      </c>
      <c r="H1" s="10" t="s">
        <v>26</v>
      </c>
      <c r="I1" s="7" t="s">
        <v>32</v>
      </c>
      <c r="J1" s="19" t="s">
        <v>35</v>
      </c>
      <c r="K1" s="10" t="s">
        <v>28</v>
      </c>
      <c r="L1" s="19" t="s">
        <v>44</v>
      </c>
      <c r="M1" s="19" t="s">
        <v>30</v>
      </c>
      <c r="N1" s="10" t="s">
        <v>31</v>
      </c>
      <c r="O1" s="19" t="s">
        <v>33</v>
      </c>
      <c r="P1" s="22" t="s">
        <v>34</v>
      </c>
      <c r="Q1" s="24" t="s">
        <v>37</v>
      </c>
      <c r="R1" s="22" t="s">
        <v>39</v>
      </c>
      <c r="S1" s="7" t="s">
        <v>78</v>
      </c>
      <c r="T1" s="7" t="s">
        <v>79</v>
      </c>
      <c r="U1" s="7" t="s">
        <v>80</v>
      </c>
      <c r="V1" s="7" t="s">
        <v>81</v>
      </c>
      <c r="W1" s="10" t="s">
        <v>49</v>
      </c>
      <c r="X1" s="10" t="s">
        <v>52</v>
      </c>
      <c r="Y1" s="10" t="s">
        <v>29</v>
      </c>
      <c r="Z1" s="10" t="s">
        <v>54</v>
      </c>
      <c r="AA1" s="10" t="s">
        <v>55</v>
      </c>
      <c r="AB1" s="10" t="s">
        <v>57</v>
      </c>
      <c r="AC1" s="10" t="s">
        <v>58</v>
      </c>
      <c r="AD1" s="10" t="s">
        <v>61</v>
      </c>
      <c r="AE1" s="30" t="s">
        <v>92</v>
      </c>
    </row>
    <row r="2">
      <c r="A2" s="31" t="s">
        <v>64</v>
      </c>
      <c r="B2" s="31" t="s">
        <v>19</v>
      </c>
      <c r="C2" s="32" t="s">
        <v>98</v>
      </c>
      <c r="D2" s="33">
        <v>600256.0</v>
      </c>
      <c r="E2" s="31" t="s">
        <v>100</v>
      </c>
      <c r="F2" s="31" t="s">
        <v>101</v>
      </c>
      <c r="G2" s="31" t="s">
        <v>102</v>
      </c>
      <c r="H2" s="31" t="s">
        <v>103</v>
      </c>
      <c r="I2" s="35" t="s">
        <v>104</v>
      </c>
      <c r="J2" s="31" t="s">
        <v>84</v>
      </c>
      <c r="K2" s="31" t="s">
        <v>84</v>
      </c>
      <c r="L2" s="31" t="s">
        <v>105</v>
      </c>
      <c r="M2" s="37">
        <v>44103.0</v>
      </c>
      <c r="N2" s="33">
        <v>2020.0</v>
      </c>
      <c r="O2" s="37">
        <v>46508.0</v>
      </c>
      <c r="P2" s="39">
        <v>2027.0</v>
      </c>
      <c r="Q2" s="40">
        <v>2405.0</v>
      </c>
      <c r="R2" s="39">
        <v>7.0</v>
      </c>
      <c r="S2" s="41"/>
      <c r="T2" s="33" t="s">
        <v>113</v>
      </c>
      <c r="U2" s="43">
        <v>4.0</v>
      </c>
      <c r="V2" s="31" t="s">
        <v>115</v>
      </c>
      <c r="W2" s="31" t="s">
        <v>117</v>
      </c>
      <c r="X2" s="31" t="s">
        <v>117</v>
      </c>
      <c r="Y2" s="31" t="s">
        <v>121</v>
      </c>
      <c r="Z2" s="31" t="s">
        <v>122</v>
      </c>
      <c r="AA2" s="31" t="s">
        <v>123</v>
      </c>
      <c r="AB2" s="31" t="s">
        <v>124</v>
      </c>
      <c r="AC2" s="46" t="s">
        <v>128</v>
      </c>
      <c r="AD2" s="47"/>
      <c r="AE2" s="49"/>
    </row>
    <row r="3">
      <c r="A3" s="50" t="s">
        <v>64</v>
      </c>
      <c r="B3" s="50" t="s">
        <v>19</v>
      </c>
      <c r="C3" s="52" t="s">
        <v>138</v>
      </c>
      <c r="D3" s="54">
        <v>600410.0</v>
      </c>
      <c r="E3" s="50" t="s">
        <v>142</v>
      </c>
      <c r="F3" s="50" t="s">
        <v>143</v>
      </c>
      <c r="G3" s="50" t="s">
        <v>144</v>
      </c>
      <c r="H3" s="50" t="s">
        <v>103</v>
      </c>
      <c r="I3" s="56" t="s">
        <v>104</v>
      </c>
      <c r="J3" s="56" t="s">
        <v>146</v>
      </c>
      <c r="K3" s="50" t="s">
        <v>147</v>
      </c>
      <c r="L3" s="50" t="s">
        <v>105</v>
      </c>
      <c r="M3" s="57">
        <v>44347.0</v>
      </c>
      <c r="N3" s="54">
        <v>2021.0</v>
      </c>
      <c r="O3" s="57">
        <v>46539.0</v>
      </c>
      <c r="P3" s="59">
        <v>2027.0</v>
      </c>
      <c r="Q3" s="60">
        <v>2192.0</v>
      </c>
      <c r="R3" s="59">
        <v>7.0</v>
      </c>
      <c r="S3" s="61"/>
      <c r="T3" s="54" t="s">
        <v>113</v>
      </c>
      <c r="U3" s="62">
        <v>2.0</v>
      </c>
      <c r="V3" s="50" t="s">
        <v>156</v>
      </c>
      <c r="W3" s="50" t="s">
        <v>158</v>
      </c>
      <c r="X3" s="50" t="s">
        <v>159</v>
      </c>
      <c r="Y3" s="50" t="s">
        <v>161</v>
      </c>
      <c r="Z3" s="50" t="s">
        <v>122</v>
      </c>
      <c r="AA3" s="50" t="s">
        <v>14</v>
      </c>
      <c r="AB3" s="50" t="s">
        <v>124</v>
      </c>
      <c r="AC3" s="65" t="s">
        <v>164</v>
      </c>
      <c r="AD3" s="66"/>
      <c r="AE3" s="67"/>
    </row>
    <row r="4">
      <c r="A4" s="41" t="s">
        <v>169</v>
      </c>
      <c r="B4" s="41" t="s">
        <v>67</v>
      </c>
      <c r="C4" s="68" t="s">
        <v>171</v>
      </c>
      <c r="D4" s="69">
        <v>600684.0</v>
      </c>
      <c r="E4" s="41" t="s">
        <v>172</v>
      </c>
      <c r="F4" s="41" t="s">
        <v>173</v>
      </c>
      <c r="G4" s="31" t="s">
        <v>175</v>
      </c>
      <c r="H4" s="31" t="s">
        <v>178</v>
      </c>
      <c r="I4" s="35" t="s">
        <v>106</v>
      </c>
      <c r="J4" s="31" t="s">
        <v>146</v>
      </c>
      <c r="K4" s="31" t="s">
        <v>147</v>
      </c>
      <c r="L4" s="31" t="s">
        <v>181</v>
      </c>
      <c r="M4" s="70">
        <v>44397.0</v>
      </c>
      <c r="N4" s="70" t="str">
        <f>right(M4,4)</f>
        <v>2021</v>
      </c>
      <c r="O4" s="70">
        <v>45922.0</v>
      </c>
      <c r="P4" s="71" t="str">
        <f>right(O4,4)</f>
        <v>2025</v>
      </c>
      <c r="Q4" s="73">
        <f>DATEDIF(M4,O4,"d")</f>
        <v>1525</v>
      </c>
      <c r="R4" s="73">
        <f>DATEDIF(M4,O4,"y")</f>
        <v>4</v>
      </c>
      <c r="S4" s="41"/>
      <c r="T4" s="74"/>
      <c r="U4" s="75">
        <v>0.0</v>
      </c>
      <c r="V4" s="41" t="s">
        <v>106</v>
      </c>
      <c r="W4" s="41" t="s">
        <v>205</v>
      </c>
      <c r="X4" s="41"/>
      <c r="Y4" s="41" t="s">
        <v>209</v>
      </c>
      <c r="Z4" s="31" t="s">
        <v>210</v>
      </c>
      <c r="AA4" s="35" t="s">
        <v>211</v>
      </c>
      <c r="AB4" s="31" t="s">
        <v>213</v>
      </c>
      <c r="AC4" s="46" t="s">
        <v>161</v>
      </c>
      <c r="AD4" s="77"/>
      <c r="AE4" s="78" t="s">
        <v>220</v>
      </c>
    </row>
    <row r="5">
      <c r="A5" s="50" t="s">
        <v>169</v>
      </c>
      <c r="B5" s="50" t="s">
        <v>67</v>
      </c>
      <c r="C5" s="52" t="s">
        <v>224</v>
      </c>
      <c r="D5" s="79">
        <v>600656.0</v>
      </c>
      <c r="E5" s="50" t="s">
        <v>228</v>
      </c>
      <c r="F5" s="50" t="s">
        <v>230</v>
      </c>
      <c r="G5" s="50" t="s">
        <v>231</v>
      </c>
      <c r="H5" s="50" t="s">
        <v>232</v>
      </c>
      <c r="I5" s="56" t="s">
        <v>104</v>
      </c>
      <c r="J5" s="50" t="s">
        <v>233</v>
      </c>
      <c r="K5" s="50" t="s">
        <v>236</v>
      </c>
      <c r="L5" s="50" t="s">
        <v>25</v>
      </c>
      <c r="M5" s="57">
        <v>44449.0</v>
      </c>
      <c r="N5" s="54">
        <v>2021.0</v>
      </c>
      <c r="O5" s="57">
        <v>44530.0</v>
      </c>
      <c r="P5" s="59">
        <v>2021.0</v>
      </c>
      <c r="Q5" s="60">
        <v>81.0</v>
      </c>
      <c r="R5" s="59">
        <v>1.0</v>
      </c>
      <c r="S5" s="61"/>
      <c r="T5" s="54" t="s">
        <v>113</v>
      </c>
      <c r="U5" s="62">
        <v>0.0</v>
      </c>
      <c r="V5" s="61"/>
      <c r="W5" s="50" t="s">
        <v>241</v>
      </c>
      <c r="X5" s="50" t="s">
        <v>241</v>
      </c>
      <c r="Y5" s="50" t="s">
        <v>243</v>
      </c>
      <c r="Z5" s="80" t="s">
        <v>247</v>
      </c>
      <c r="AA5" s="50" t="s">
        <v>123</v>
      </c>
      <c r="AB5" s="50" t="s">
        <v>249</v>
      </c>
      <c r="AC5" s="65" t="s">
        <v>164</v>
      </c>
      <c r="AD5" s="65" t="s">
        <v>251</v>
      </c>
      <c r="AE5" s="81" t="s">
        <v>220</v>
      </c>
    </row>
    <row r="6">
      <c r="A6" s="31" t="s">
        <v>64</v>
      </c>
      <c r="B6" s="31" t="s">
        <v>19</v>
      </c>
      <c r="C6" s="32" t="s">
        <v>254</v>
      </c>
      <c r="D6" s="33">
        <v>600592.0</v>
      </c>
      <c r="E6" s="31" t="s">
        <v>256</v>
      </c>
      <c r="F6" s="31" t="s">
        <v>257</v>
      </c>
      <c r="G6" s="31" t="s">
        <v>258</v>
      </c>
      <c r="H6" s="31" t="s">
        <v>232</v>
      </c>
      <c r="I6" s="35" t="s">
        <v>104</v>
      </c>
      <c r="J6" s="31" t="s">
        <v>84</v>
      </c>
      <c r="K6" s="31" t="s">
        <v>84</v>
      </c>
      <c r="L6" s="31" t="s">
        <v>181</v>
      </c>
      <c r="M6" s="37">
        <v>44491.0</v>
      </c>
      <c r="N6" s="33">
        <v>2021.0</v>
      </c>
      <c r="O6" s="37">
        <v>46567.0</v>
      </c>
      <c r="P6" s="33">
        <v>2027.0</v>
      </c>
      <c r="Q6" s="40">
        <v>2076.0</v>
      </c>
      <c r="R6" s="40">
        <v>6.0</v>
      </c>
      <c r="S6" s="41"/>
      <c r="T6" s="33" t="s">
        <v>269</v>
      </c>
      <c r="U6" s="75">
        <v>1.0</v>
      </c>
      <c r="V6" s="31" t="s">
        <v>272</v>
      </c>
      <c r="W6" s="31" t="s">
        <v>273</v>
      </c>
      <c r="X6" s="31" t="s">
        <v>273</v>
      </c>
      <c r="Y6" s="31" t="s">
        <v>86</v>
      </c>
      <c r="Z6" s="31" t="s">
        <v>210</v>
      </c>
      <c r="AA6" s="31" t="s">
        <v>211</v>
      </c>
      <c r="AB6" s="31" t="s">
        <v>124</v>
      </c>
      <c r="AC6" s="46" t="s">
        <v>276</v>
      </c>
      <c r="AD6" s="47"/>
      <c r="AE6" s="49"/>
    </row>
    <row r="7">
      <c r="A7" s="61" t="s">
        <v>64</v>
      </c>
      <c r="B7" s="61" t="s">
        <v>67</v>
      </c>
      <c r="C7" s="82" t="s">
        <v>278</v>
      </c>
      <c r="D7" s="83"/>
      <c r="E7" s="61" t="s">
        <v>285</v>
      </c>
      <c r="F7" s="61" t="s">
        <v>286</v>
      </c>
      <c r="G7" s="61" t="s">
        <v>287</v>
      </c>
      <c r="H7" s="50" t="s">
        <v>103</v>
      </c>
      <c r="I7" s="50" t="s">
        <v>289</v>
      </c>
      <c r="J7" s="50" t="s">
        <v>289</v>
      </c>
      <c r="K7" s="50" t="s">
        <v>289</v>
      </c>
      <c r="L7" s="50" t="s">
        <v>289</v>
      </c>
      <c r="M7" s="84">
        <v>44523.0</v>
      </c>
      <c r="N7" s="84" t="str">
        <f t="shared" ref="N7:N13" si="1">right(M7,4)</f>
        <v>2021</v>
      </c>
      <c r="O7" s="84">
        <v>45267.0</v>
      </c>
      <c r="P7" s="85" t="str">
        <f t="shared" ref="P7:P13" si="2">right(O7,4)</f>
        <v>2023</v>
      </c>
      <c r="Q7" s="86">
        <f t="shared" ref="Q7:Q13" si="3">DATEDIF(M7,O7,"d")</f>
        <v>744</v>
      </c>
      <c r="R7" s="85">
        <f t="shared" ref="R7:R13" si="4">DATEDIF(M7,O7,"y")</f>
        <v>2</v>
      </c>
      <c r="S7" s="61"/>
      <c r="T7" s="87"/>
      <c r="U7" s="62">
        <v>0.0</v>
      </c>
      <c r="V7" s="61" t="s">
        <v>307</v>
      </c>
      <c r="W7" s="61" t="s">
        <v>309</v>
      </c>
      <c r="X7" s="61"/>
      <c r="Y7" s="50" t="s">
        <v>161</v>
      </c>
      <c r="Z7" s="50" t="s">
        <v>311</v>
      </c>
      <c r="AA7" s="50" t="s">
        <v>289</v>
      </c>
      <c r="AB7" s="50" t="s">
        <v>289</v>
      </c>
      <c r="AC7" s="65" t="s">
        <v>161</v>
      </c>
      <c r="AD7" s="66"/>
      <c r="AE7" s="67"/>
    </row>
    <row r="8">
      <c r="A8" s="41" t="s">
        <v>64</v>
      </c>
      <c r="B8" s="41" t="s">
        <v>67</v>
      </c>
      <c r="C8" s="68" t="s">
        <v>317</v>
      </c>
      <c r="D8" s="89"/>
      <c r="E8" s="41" t="s">
        <v>319</v>
      </c>
      <c r="F8" s="41" t="s">
        <v>320</v>
      </c>
      <c r="G8" s="41" t="s">
        <v>321</v>
      </c>
      <c r="H8" s="41" t="s">
        <v>84</v>
      </c>
      <c r="I8" s="35" t="s">
        <v>104</v>
      </c>
      <c r="J8" s="91" t="s">
        <v>84</v>
      </c>
      <c r="K8" s="41" t="s">
        <v>84</v>
      </c>
      <c r="L8" s="92" t="s">
        <v>25</v>
      </c>
      <c r="M8" s="70">
        <v>44544.0</v>
      </c>
      <c r="N8" s="70" t="str">
        <f t="shared" si="1"/>
        <v>2021</v>
      </c>
      <c r="O8" s="70">
        <v>45884.0</v>
      </c>
      <c r="P8" s="93" t="str">
        <f t="shared" si="2"/>
        <v>2025</v>
      </c>
      <c r="Q8" s="73">
        <f t="shared" si="3"/>
        <v>1340</v>
      </c>
      <c r="R8" s="93">
        <f t="shared" si="4"/>
        <v>3</v>
      </c>
      <c r="S8" s="41"/>
      <c r="T8" s="74" t="s">
        <v>269</v>
      </c>
      <c r="U8" s="43">
        <v>3.0</v>
      </c>
      <c r="V8" s="31" t="s">
        <v>331</v>
      </c>
      <c r="W8" s="41" t="s">
        <v>333</v>
      </c>
      <c r="X8" s="41" t="s">
        <v>333</v>
      </c>
      <c r="Y8" s="31" t="s">
        <v>161</v>
      </c>
      <c r="Z8" s="31" t="s">
        <v>122</v>
      </c>
      <c r="AA8" s="31" t="s">
        <v>261</v>
      </c>
      <c r="AB8" s="41" t="s">
        <v>336</v>
      </c>
      <c r="AC8" s="46" t="s">
        <v>337</v>
      </c>
      <c r="AD8" s="47"/>
      <c r="AE8" s="49"/>
    </row>
    <row r="9">
      <c r="A9" s="61" t="s">
        <v>169</v>
      </c>
      <c r="B9" s="61" t="s">
        <v>67</v>
      </c>
      <c r="C9" s="82" t="s">
        <v>338</v>
      </c>
      <c r="D9" s="94">
        <v>600171.0</v>
      </c>
      <c r="E9" s="61" t="s">
        <v>344</v>
      </c>
      <c r="F9" s="61" t="s">
        <v>345</v>
      </c>
      <c r="G9" s="61" t="s">
        <v>346</v>
      </c>
      <c r="H9" s="61" t="s">
        <v>84</v>
      </c>
      <c r="I9" s="50" t="s">
        <v>289</v>
      </c>
      <c r="J9" s="50" t="s">
        <v>289</v>
      </c>
      <c r="K9" s="50" t="s">
        <v>289</v>
      </c>
      <c r="L9" s="50" t="s">
        <v>289</v>
      </c>
      <c r="M9" s="84">
        <v>44547.0</v>
      </c>
      <c r="N9" s="84" t="str">
        <f t="shared" si="1"/>
        <v>2021</v>
      </c>
      <c r="O9" s="84">
        <v>45505.0</v>
      </c>
      <c r="P9" s="95" t="str">
        <f t="shared" si="2"/>
        <v>2024</v>
      </c>
      <c r="Q9" s="86">
        <f t="shared" si="3"/>
        <v>958</v>
      </c>
      <c r="R9" s="85">
        <f t="shared" si="4"/>
        <v>2</v>
      </c>
      <c r="S9" s="61"/>
      <c r="T9" s="87"/>
      <c r="U9" s="96">
        <v>1.0</v>
      </c>
      <c r="V9" s="97"/>
      <c r="W9" s="61" t="s">
        <v>359</v>
      </c>
      <c r="X9" s="61"/>
      <c r="Y9" s="50" t="s">
        <v>161</v>
      </c>
      <c r="Z9" s="80" t="s">
        <v>247</v>
      </c>
      <c r="AA9" s="50" t="s">
        <v>261</v>
      </c>
      <c r="AB9" s="50" t="s">
        <v>213</v>
      </c>
      <c r="AC9" s="65" t="s">
        <v>161</v>
      </c>
      <c r="AD9" s="61"/>
      <c r="AE9" s="98"/>
    </row>
    <row r="10">
      <c r="A10" s="41" t="s">
        <v>169</v>
      </c>
      <c r="B10" s="41" t="s">
        <v>19</v>
      </c>
      <c r="C10" s="68" t="s">
        <v>363</v>
      </c>
      <c r="D10" s="69">
        <v>600169.0</v>
      </c>
      <c r="E10" s="41" t="s">
        <v>366</v>
      </c>
      <c r="F10" s="41" t="s">
        <v>368</v>
      </c>
      <c r="G10" s="41" t="s">
        <v>371</v>
      </c>
      <c r="H10" s="31" t="s">
        <v>232</v>
      </c>
      <c r="I10" s="35" t="s">
        <v>104</v>
      </c>
      <c r="J10" s="31" t="s">
        <v>146</v>
      </c>
      <c r="K10" s="31" t="s">
        <v>147</v>
      </c>
      <c r="L10" s="31" t="s">
        <v>105</v>
      </c>
      <c r="M10" s="70">
        <v>44547.0</v>
      </c>
      <c r="N10" s="70" t="str">
        <f t="shared" si="1"/>
        <v>2021</v>
      </c>
      <c r="O10" s="37">
        <v>46356.0</v>
      </c>
      <c r="P10" s="71" t="str">
        <f t="shared" si="2"/>
        <v>2026</v>
      </c>
      <c r="Q10" s="73">
        <f t="shared" si="3"/>
        <v>1809</v>
      </c>
      <c r="R10" s="73">
        <f t="shared" si="4"/>
        <v>4</v>
      </c>
      <c r="S10" s="41"/>
      <c r="T10" s="74"/>
      <c r="U10" s="75">
        <v>3.0</v>
      </c>
      <c r="V10" s="77"/>
      <c r="W10" s="31" t="s">
        <v>381</v>
      </c>
      <c r="X10" s="41" t="s">
        <v>381</v>
      </c>
      <c r="Y10" s="31" t="s">
        <v>161</v>
      </c>
      <c r="Z10" s="31" t="s">
        <v>210</v>
      </c>
      <c r="AA10" s="31" t="s">
        <v>382</v>
      </c>
      <c r="AB10" s="31" t="s">
        <v>249</v>
      </c>
      <c r="AC10" s="46" t="s">
        <v>164</v>
      </c>
      <c r="AD10" s="41"/>
      <c r="AE10" s="99"/>
    </row>
    <row r="11">
      <c r="A11" s="61" t="s">
        <v>64</v>
      </c>
      <c r="B11" s="61" t="s">
        <v>67</v>
      </c>
      <c r="C11" s="82" t="s">
        <v>386</v>
      </c>
      <c r="D11" s="87">
        <v>600138.0</v>
      </c>
      <c r="E11" s="61" t="s">
        <v>390</v>
      </c>
      <c r="F11" s="61" t="s">
        <v>391</v>
      </c>
      <c r="G11" s="61" t="s">
        <v>394</v>
      </c>
      <c r="H11" s="50" t="s">
        <v>103</v>
      </c>
      <c r="I11" s="50" t="s">
        <v>289</v>
      </c>
      <c r="J11" s="50" t="s">
        <v>289</v>
      </c>
      <c r="K11" s="61" t="s">
        <v>84</v>
      </c>
      <c r="L11" s="50" t="s">
        <v>289</v>
      </c>
      <c r="M11" s="84">
        <v>44643.0</v>
      </c>
      <c r="N11" s="84" t="str">
        <f t="shared" si="1"/>
        <v>2022</v>
      </c>
      <c r="O11" s="84">
        <v>45657.0</v>
      </c>
      <c r="P11" s="85" t="str">
        <f t="shared" si="2"/>
        <v>2024</v>
      </c>
      <c r="Q11" s="86">
        <f t="shared" si="3"/>
        <v>1014</v>
      </c>
      <c r="R11" s="85">
        <f t="shared" si="4"/>
        <v>2</v>
      </c>
      <c r="S11" s="61"/>
      <c r="T11" s="87" t="s">
        <v>269</v>
      </c>
      <c r="U11" s="62">
        <v>1.0</v>
      </c>
      <c r="V11" s="61" t="s">
        <v>401</v>
      </c>
      <c r="W11" s="61" t="s">
        <v>403</v>
      </c>
      <c r="X11" s="61"/>
      <c r="Y11" s="50" t="s">
        <v>161</v>
      </c>
      <c r="Z11" s="61" t="s">
        <v>162</v>
      </c>
      <c r="AA11" s="50" t="s">
        <v>261</v>
      </c>
      <c r="AB11" s="50" t="s">
        <v>124</v>
      </c>
      <c r="AC11" s="65" t="s">
        <v>337</v>
      </c>
      <c r="AD11" s="66"/>
      <c r="AE11" s="67"/>
    </row>
    <row r="12">
      <c r="A12" s="41" t="s">
        <v>407</v>
      </c>
      <c r="B12" s="41" t="s">
        <v>19</v>
      </c>
      <c r="C12" s="68" t="s">
        <v>410</v>
      </c>
      <c r="D12" s="69">
        <v>600733.0</v>
      </c>
      <c r="E12" s="41" t="s">
        <v>413</v>
      </c>
      <c r="F12" s="31" t="s">
        <v>414</v>
      </c>
      <c r="G12" s="31" t="s">
        <v>415</v>
      </c>
      <c r="H12" s="31" t="s">
        <v>232</v>
      </c>
      <c r="I12" s="100" t="s">
        <v>104</v>
      </c>
      <c r="J12" s="101" t="s">
        <v>146</v>
      </c>
      <c r="K12" s="31" t="s">
        <v>147</v>
      </c>
      <c r="L12" s="31" t="s">
        <v>181</v>
      </c>
      <c r="M12" s="70">
        <v>44677.0</v>
      </c>
      <c r="N12" s="70" t="str">
        <f t="shared" si="1"/>
        <v>2022</v>
      </c>
      <c r="O12" s="70">
        <v>46280.0</v>
      </c>
      <c r="P12" s="102" t="str">
        <f t="shared" si="2"/>
        <v>2026</v>
      </c>
      <c r="Q12" s="73">
        <f t="shared" si="3"/>
        <v>1603</v>
      </c>
      <c r="R12" s="93">
        <f t="shared" si="4"/>
        <v>4</v>
      </c>
      <c r="S12" s="41"/>
      <c r="T12" s="74"/>
      <c r="U12" s="75">
        <v>3.0</v>
      </c>
      <c r="V12" s="41"/>
      <c r="W12" s="31" t="s">
        <v>429</v>
      </c>
      <c r="X12" s="103" t="s">
        <v>438</v>
      </c>
      <c r="Y12" s="31" t="s">
        <v>161</v>
      </c>
      <c r="Z12" s="31" t="s">
        <v>261</v>
      </c>
      <c r="AA12" s="31" t="s">
        <v>14</v>
      </c>
      <c r="AB12" s="104" t="s">
        <v>442</v>
      </c>
      <c r="AC12" s="46" t="s">
        <v>337</v>
      </c>
      <c r="AD12" s="46"/>
      <c r="AE12" s="99"/>
    </row>
    <row r="13">
      <c r="A13" s="61" t="s">
        <v>64</v>
      </c>
      <c r="B13" s="61" t="s">
        <v>67</v>
      </c>
      <c r="C13" s="82" t="s">
        <v>449</v>
      </c>
      <c r="D13" s="83"/>
      <c r="E13" s="61" t="s">
        <v>450</v>
      </c>
      <c r="F13" s="61" t="s">
        <v>451</v>
      </c>
      <c r="G13" s="61" t="s">
        <v>453</v>
      </c>
      <c r="H13" s="50" t="s">
        <v>103</v>
      </c>
      <c r="I13" s="105" t="s">
        <v>106</v>
      </c>
      <c r="J13" s="106" t="s">
        <v>175</v>
      </c>
      <c r="K13" s="106" t="s">
        <v>175</v>
      </c>
      <c r="L13" s="106" t="s">
        <v>175</v>
      </c>
      <c r="M13" s="84">
        <v>44708.0</v>
      </c>
      <c r="N13" s="84" t="str">
        <f t="shared" si="1"/>
        <v>2022</v>
      </c>
      <c r="O13" s="84">
        <v>44743.0</v>
      </c>
      <c r="P13" s="85" t="str">
        <f t="shared" si="2"/>
        <v>2022</v>
      </c>
      <c r="Q13" s="86">
        <f t="shared" si="3"/>
        <v>35</v>
      </c>
      <c r="R13" s="85">
        <f t="shared" si="4"/>
        <v>0</v>
      </c>
      <c r="S13" s="61"/>
      <c r="T13" s="87"/>
      <c r="U13" s="96">
        <v>0.0</v>
      </c>
      <c r="V13" s="61" t="s">
        <v>307</v>
      </c>
      <c r="W13" s="61"/>
      <c r="X13" s="61"/>
      <c r="Y13" s="50" t="s">
        <v>161</v>
      </c>
      <c r="Z13" s="50" t="s">
        <v>311</v>
      </c>
      <c r="AA13" s="50" t="s">
        <v>175</v>
      </c>
      <c r="AB13" s="50" t="s">
        <v>175</v>
      </c>
      <c r="AC13" s="65" t="s">
        <v>161</v>
      </c>
      <c r="AD13" s="66"/>
      <c r="AE13" s="108" t="s">
        <v>220</v>
      </c>
    </row>
    <row r="14">
      <c r="A14" s="31" t="s">
        <v>169</v>
      </c>
      <c r="B14" s="31" t="s">
        <v>19</v>
      </c>
      <c r="C14" s="32" t="s">
        <v>466</v>
      </c>
      <c r="D14" s="33">
        <v>600173.0</v>
      </c>
      <c r="E14" s="31" t="s">
        <v>469</v>
      </c>
      <c r="F14" s="31" t="s">
        <v>470</v>
      </c>
      <c r="G14" s="31" t="s">
        <v>472</v>
      </c>
      <c r="H14" s="31" t="s">
        <v>103</v>
      </c>
      <c r="I14" s="35" t="s">
        <v>104</v>
      </c>
      <c r="J14" s="35" t="s">
        <v>233</v>
      </c>
      <c r="K14" s="31" t="s">
        <v>236</v>
      </c>
      <c r="L14" s="92" t="s">
        <v>475</v>
      </c>
      <c r="M14" s="37">
        <v>44736.0</v>
      </c>
      <c r="N14" s="33">
        <v>2022.0</v>
      </c>
      <c r="O14" s="37">
        <v>46387.0</v>
      </c>
      <c r="P14" s="40">
        <v>2026.0</v>
      </c>
      <c r="Q14" s="40">
        <v>1651.0</v>
      </c>
      <c r="R14" s="40">
        <v>5.0</v>
      </c>
      <c r="S14" s="41"/>
      <c r="T14" s="33" t="s">
        <v>269</v>
      </c>
      <c r="U14" s="43">
        <v>3.0</v>
      </c>
      <c r="V14" s="31" t="s">
        <v>486</v>
      </c>
      <c r="W14" s="31" t="s">
        <v>487</v>
      </c>
      <c r="X14" s="31" t="s">
        <v>487</v>
      </c>
      <c r="Y14" s="31" t="s">
        <v>161</v>
      </c>
      <c r="Z14" s="31" t="s">
        <v>210</v>
      </c>
      <c r="AA14" s="31" t="s">
        <v>123</v>
      </c>
      <c r="AB14" s="31" t="s">
        <v>489</v>
      </c>
      <c r="AC14" s="46" t="s">
        <v>276</v>
      </c>
      <c r="AD14" s="47"/>
      <c r="AE14" s="109"/>
    </row>
    <row r="15">
      <c r="A15" s="50" t="s">
        <v>64</v>
      </c>
      <c r="B15" s="50" t="s">
        <v>19</v>
      </c>
      <c r="C15" s="52" t="s">
        <v>492</v>
      </c>
      <c r="D15" s="54">
        <v>600417.0</v>
      </c>
      <c r="E15" s="50" t="s">
        <v>494</v>
      </c>
      <c r="F15" s="50" t="s">
        <v>495</v>
      </c>
      <c r="G15" s="50" t="s">
        <v>497</v>
      </c>
      <c r="H15" s="50" t="s">
        <v>232</v>
      </c>
      <c r="I15" s="56" t="s">
        <v>104</v>
      </c>
      <c r="J15" s="56" t="s">
        <v>84</v>
      </c>
      <c r="K15" s="50" t="s">
        <v>84</v>
      </c>
      <c r="L15" s="50" t="s">
        <v>181</v>
      </c>
      <c r="M15" s="57">
        <v>44770.0</v>
      </c>
      <c r="N15" s="54">
        <v>2022.0</v>
      </c>
      <c r="O15" s="57">
        <v>46387.0</v>
      </c>
      <c r="P15" s="59">
        <v>2026.0</v>
      </c>
      <c r="Q15" s="60">
        <v>1617.0</v>
      </c>
      <c r="R15" s="59">
        <v>5.0</v>
      </c>
      <c r="S15" s="61"/>
      <c r="T15" s="54" t="s">
        <v>269</v>
      </c>
      <c r="U15" s="62">
        <v>4.0</v>
      </c>
      <c r="V15" s="50" t="s">
        <v>505</v>
      </c>
      <c r="W15" s="50" t="s">
        <v>507</v>
      </c>
      <c r="X15" s="50" t="s">
        <v>507</v>
      </c>
      <c r="Y15" s="50" t="s">
        <v>161</v>
      </c>
      <c r="Z15" s="50" t="s">
        <v>122</v>
      </c>
      <c r="AA15" s="50" t="s">
        <v>123</v>
      </c>
      <c r="AB15" s="50" t="s">
        <v>508</v>
      </c>
      <c r="AC15" s="65" t="s">
        <v>128</v>
      </c>
      <c r="AD15" s="66"/>
      <c r="AE15" s="67"/>
    </row>
    <row r="16">
      <c r="A16" s="31" t="s">
        <v>407</v>
      </c>
      <c r="B16" s="41" t="s">
        <v>67</v>
      </c>
      <c r="C16" s="68" t="s">
        <v>511</v>
      </c>
      <c r="D16" s="110"/>
      <c r="E16" s="41" t="s">
        <v>513</v>
      </c>
      <c r="F16" s="41" t="s">
        <v>516</v>
      </c>
      <c r="G16" s="41" t="s">
        <v>516</v>
      </c>
      <c r="H16" s="31" t="s">
        <v>103</v>
      </c>
      <c r="I16" s="31" t="s">
        <v>289</v>
      </c>
      <c r="J16" s="31" t="s">
        <v>289</v>
      </c>
      <c r="K16" s="31" t="s">
        <v>289</v>
      </c>
      <c r="L16" s="31" t="s">
        <v>289</v>
      </c>
      <c r="M16" s="70">
        <v>44783.0</v>
      </c>
      <c r="N16" s="70" t="str">
        <f>right(M16,4)</f>
        <v>2022</v>
      </c>
      <c r="O16" s="70">
        <v>45148.0</v>
      </c>
      <c r="P16" s="93" t="str">
        <f>right(O16,4)</f>
        <v>2023</v>
      </c>
      <c r="Q16" s="73">
        <f>DATEDIF(M16,O16,"d")</f>
        <v>365</v>
      </c>
      <c r="R16" s="93">
        <f>DATEDIF(M16,O16,"y")</f>
        <v>1</v>
      </c>
      <c r="S16" s="41"/>
      <c r="T16" s="74"/>
      <c r="U16" s="43">
        <v>0.0</v>
      </c>
      <c r="V16" s="41" t="s">
        <v>534</v>
      </c>
      <c r="W16" s="41" t="s">
        <v>537</v>
      </c>
      <c r="X16" s="41"/>
      <c r="Y16" s="31" t="s">
        <v>161</v>
      </c>
      <c r="Z16" s="31" t="s">
        <v>311</v>
      </c>
      <c r="AA16" s="31" t="s">
        <v>289</v>
      </c>
      <c r="AB16" s="104" t="s">
        <v>442</v>
      </c>
      <c r="AC16" s="46" t="s">
        <v>337</v>
      </c>
      <c r="AD16" s="47"/>
      <c r="AE16" s="111"/>
    </row>
    <row r="17">
      <c r="A17" s="50" t="s">
        <v>64</v>
      </c>
      <c r="B17" s="50" t="s">
        <v>19</v>
      </c>
      <c r="C17" s="52" t="s">
        <v>547</v>
      </c>
      <c r="D17" s="54">
        <v>600257.0</v>
      </c>
      <c r="E17" s="50" t="s">
        <v>550</v>
      </c>
      <c r="F17" s="50" t="s">
        <v>551</v>
      </c>
      <c r="G17" s="50" t="s">
        <v>553</v>
      </c>
      <c r="H17" s="50" t="s">
        <v>232</v>
      </c>
      <c r="I17" s="56" t="s">
        <v>104</v>
      </c>
      <c r="J17" s="50" t="s">
        <v>84</v>
      </c>
      <c r="K17" s="50" t="s">
        <v>84</v>
      </c>
      <c r="L17" s="112" t="s">
        <v>105</v>
      </c>
      <c r="M17" s="57">
        <v>44819.0</v>
      </c>
      <c r="N17" s="54">
        <v>2022.0</v>
      </c>
      <c r="O17" s="57">
        <v>46253.0</v>
      </c>
      <c r="P17" s="59">
        <v>2026.0</v>
      </c>
      <c r="Q17" s="60">
        <v>1434.0</v>
      </c>
      <c r="R17" s="59">
        <v>4.0</v>
      </c>
      <c r="S17" s="61"/>
      <c r="T17" s="54" t="s">
        <v>269</v>
      </c>
      <c r="U17" s="62">
        <v>3.0</v>
      </c>
      <c r="V17" s="50" t="s">
        <v>563</v>
      </c>
      <c r="W17" s="50" t="s">
        <v>564</v>
      </c>
      <c r="X17" s="50" t="s">
        <v>564</v>
      </c>
      <c r="Y17" s="50" t="s">
        <v>161</v>
      </c>
      <c r="Z17" s="50" t="s">
        <v>122</v>
      </c>
      <c r="AA17" s="50" t="s">
        <v>123</v>
      </c>
      <c r="AB17" s="50" t="s">
        <v>124</v>
      </c>
      <c r="AC17" s="65" t="s">
        <v>337</v>
      </c>
      <c r="AD17" s="66"/>
      <c r="AE17" s="67"/>
    </row>
    <row r="18">
      <c r="A18" s="31" t="s">
        <v>169</v>
      </c>
      <c r="B18" s="31" t="s">
        <v>19</v>
      </c>
      <c r="C18" s="32" t="s">
        <v>572</v>
      </c>
      <c r="D18" s="113">
        <v>600170.0</v>
      </c>
      <c r="E18" s="31" t="s">
        <v>428</v>
      </c>
      <c r="F18" s="31" t="s">
        <v>575</v>
      </c>
      <c r="G18" s="31" t="s">
        <v>576</v>
      </c>
      <c r="H18" s="31" t="s">
        <v>232</v>
      </c>
      <c r="I18" s="31" t="s">
        <v>104</v>
      </c>
      <c r="J18" s="31" t="s">
        <v>233</v>
      </c>
      <c r="K18" s="31" t="s">
        <v>236</v>
      </c>
      <c r="L18" s="31" t="s">
        <v>155</v>
      </c>
      <c r="M18" s="37">
        <v>44867.0</v>
      </c>
      <c r="N18" s="33">
        <v>2022.0</v>
      </c>
      <c r="O18" s="37">
        <v>46335.0</v>
      </c>
      <c r="P18" s="39">
        <v>2026.0</v>
      </c>
      <c r="Q18" s="40">
        <v>1468.0</v>
      </c>
      <c r="R18" s="39">
        <v>5.0</v>
      </c>
      <c r="S18" s="41"/>
      <c r="T18" s="33" t="s">
        <v>269</v>
      </c>
      <c r="U18" s="114">
        <v>3.0</v>
      </c>
      <c r="V18" s="46" t="s">
        <v>585</v>
      </c>
      <c r="W18" s="31" t="s">
        <v>586</v>
      </c>
      <c r="X18" s="31" t="s">
        <v>586</v>
      </c>
      <c r="Y18" s="31" t="s">
        <v>590</v>
      </c>
      <c r="Z18" s="101" t="s">
        <v>261</v>
      </c>
      <c r="AA18" s="31" t="s">
        <v>123</v>
      </c>
      <c r="AB18" s="31" t="s">
        <v>489</v>
      </c>
      <c r="AC18" s="46" t="s">
        <v>276</v>
      </c>
      <c r="AD18" s="31"/>
      <c r="AE18" s="99"/>
    </row>
    <row r="19">
      <c r="A19" s="50" t="s">
        <v>169</v>
      </c>
      <c r="B19" s="61" t="s">
        <v>67</v>
      </c>
      <c r="C19" s="82" t="s">
        <v>595</v>
      </c>
      <c r="D19" s="83"/>
      <c r="E19" s="61" t="s">
        <v>597</v>
      </c>
      <c r="F19" s="61" t="s">
        <v>599</v>
      </c>
      <c r="G19" s="61" t="s">
        <v>602</v>
      </c>
      <c r="H19" s="61" t="s">
        <v>84</v>
      </c>
      <c r="I19" s="50" t="s">
        <v>289</v>
      </c>
      <c r="J19" s="50" t="s">
        <v>289</v>
      </c>
      <c r="K19" s="50" t="s">
        <v>289</v>
      </c>
      <c r="L19" s="50" t="s">
        <v>289</v>
      </c>
      <c r="M19" s="84">
        <v>44874.0</v>
      </c>
      <c r="N19" s="84" t="str">
        <f t="shared" ref="N19:N21" si="5">right(M19,4)</f>
        <v>2022</v>
      </c>
      <c r="O19" s="84">
        <v>45291.0</v>
      </c>
      <c r="P19" s="85" t="str">
        <f t="shared" ref="P19:P21" si="6">right(O19,4)</f>
        <v>2023</v>
      </c>
      <c r="Q19" s="86">
        <f t="shared" ref="Q19:Q21" si="7">DATEDIF(M19,O19,"d")</f>
        <v>417</v>
      </c>
      <c r="R19" s="85">
        <f t="shared" ref="R19:R21" si="8">DATEDIF(M19,O19,"y")</f>
        <v>1</v>
      </c>
      <c r="S19" s="61"/>
      <c r="T19" s="87"/>
      <c r="U19" s="62">
        <v>0.0</v>
      </c>
      <c r="V19" s="61" t="s">
        <v>307</v>
      </c>
      <c r="W19" s="61"/>
      <c r="X19" s="61"/>
      <c r="Y19" s="50" t="s">
        <v>161</v>
      </c>
      <c r="Z19" s="50" t="s">
        <v>311</v>
      </c>
      <c r="AA19" s="50" t="s">
        <v>289</v>
      </c>
      <c r="AB19" s="50" t="s">
        <v>621</v>
      </c>
      <c r="AC19" s="65" t="s">
        <v>161</v>
      </c>
      <c r="AD19" s="66"/>
      <c r="AE19" s="98"/>
    </row>
    <row r="20">
      <c r="A20" s="41" t="s">
        <v>169</v>
      </c>
      <c r="B20" s="41" t="s">
        <v>67</v>
      </c>
      <c r="C20" s="68" t="s">
        <v>626</v>
      </c>
      <c r="D20" s="69">
        <v>600210.0</v>
      </c>
      <c r="E20" s="41" t="s">
        <v>627</v>
      </c>
      <c r="F20" s="41" t="s">
        <v>629</v>
      </c>
      <c r="G20" s="41" t="s">
        <v>632</v>
      </c>
      <c r="H20" s="41" t="s">
        <v>84</v>
      </c>
      <c r="I20" s="31" t="s">
        <v>289</v>
      </c>
      <c r="J20" s="31" t="s">
        <v>289</v>
      </c>
      <c r="K20" s="31" t="s">
        <v>289</v>
      </c>
      <c r="L20" s="31" t="s">
        <v>289</v>
      </c>
      <c r="M20" s="70">
        <v>44908.0</v>
      </c>
      <c r="N20" s="70" t="str">
        <f t="shared" si="5"/>
        <v>2022</v>
      </c>
      <c r="O20" s="70">
        <v>45626.0</v>
      </c>
      <c r="P20" s="102" t="str">
        <f t="shared" si="6"/>
        <v>2024</v>
      </c>
      <c r="Q20" s="73">
        <f t="shared" si="7"/>
        <v>718</v>
      </c>
      <c r="R20" s="93">
        <f t="shared" si="8"/>
        <v>1</v>
      </c>
      <c r="S20" s="115"/>
      <c r="T20" s="74"/>
      <c r="U20" s="75">
        <v>0.0</v>
      </c>
      <c r="V20" s="116"/>
      <c r="W20" s="41"/>
      <c r="X20" s="115"/>
      <c r="Y20" s="31" t="s">
        <v>161</v>
      </c>
      <c r="Z20" s="101" t="s">
        <v>247</v>
      </c>
      <c r="AA20" s="31" t="s">
        <v>261</v>
      </c>
      <c r="AB20" s="104" t="s">
        <v>442</v>
      </c>
      <c r="AC20" s="46" t="s">
        <v>337</v>
      </c>
      <c r="AD20" s="41"/>
      <c r="AE20" s="109"/>
    </row>
    <row r="21">
      <c r="A21" s="61" t="s">
        <v>64</v>
      </c>
      <c r="B21" s="61" t="s">
        <v>67</v>
      </c>
      <c r="C21" s="52" t="s">
        <v>652</v>
      </c>
      <c r="D21" s="117"/>
      <c r="E21" s="61" t="s">
        <v>658</v>
      </c>
      <c r="F21" s="50" t="s">
        <v>289</v>
      </c>
      <c r="G21" s="50" t="s">
        <v>289</v>
      </c>
      <c r="H21" s="61" t="s">
        <v>662</v>
      </c>
      <c r="I21" s="50" t="s">
        <v>289</v>
      </c>
      <c r="J21" s="50" t="s">
        <v>289</v>
      </c>
      <c r="K21" s="61" t="s">
        <v>84</v>
      </c>
      <c r="L21" s="50" t="s">
        <v>289</v>
      </c>
      <c r="M21" s="84">
        <v>44927.0</v>
      </c>
      <c r="N21" s="84" t="str">
        <f t="shared" si="5"/>
        <v>2023</v>
      </c>
      <c r="O21" s="84">
        <v>45291.0</v>
      </c>
      <c r="P21" s="85" t="str">
        <f t="shared" si="6"/>
        <v>2023</v>
      </c>
      <c r="Q21" s="86">
        <f t="shared" si="7"/>
        <v>364</v>
      </c>
      <c r="R21" s="85">
        <f t="shared" si="8"/>
        <v>0</v>
      </c>
      <c r="S21" s="61"/>
      <c r="T21" s="87" t="s">
        <v>269</v>
      </c>
      <c r="U21" s="62">
        <v>0.0</v>
      </c>
      <c r="V21" s="61"/>
      <c r="W21" s="61" t="s">
        <v>671</v>
      </c>
      <c r="X21" s="61"/>
      <c r="Y21" s="50" t="s">
        <v>161</v>
      </c>
      <c r="Z21" s="61" t="s">
        <v>162</v>
      </c>
      <c r="AA21" s="50" t="s">
        <v>289</v>
      </c>
      <c r="AB21" s="50" t="s">
        <v>124</v>
      </c>
      <c r="AC21" s="65" t="s">
        <v>161</v>
      </c>
      <c r="AD21" s="66"/>
      <c r="AE21" s="67"/>
    </row>
    <row r="22">
      <c r="A22" s="31" t="s">
        <v>64</v>
      </c>
      <c r="B22" s="31" t="s">
        <v>19</v>
      </c>
      <c r="C22" s="32" t="s">
        <v>676</v>
      </c>
      <c r="D22" s="33">
        <v>600263.0</v>
      </c>
      <c r="E22" s="31" t="s">
        <v>678</v>
      </c>
      <c r="F22" s="31" t="s">
        <v>680</v>
      </c>
      <c r="G22" s="31" t="s">
        <v>681</v>
      </c>
      <c r="H22" s="31" t="s">
        <v>103</v>
      </c>
      <c r="I22" s="35" t="s">
        <v>104</v>
      </c>
      <c r="J22" s="35" t="s">
        <v>84</v>
      </c>
      <c r="K22" s="31" t="s">
        <v>84</v>
      </c>
      <c r="L22" s="92" t="s">
        <v>105</v>
      </c>
      <c r="M22" s="37">
        <v>44929.0</v>
      </c>
      <c r="N22" s="33">
        <v>2023.0</v>
      </c>
      <c r="O22" s="37">
        <v>46387.0</v>
      </c>
      <c r="P22" s="40">
        <v>2026.0</v>
      </c>
      <c r="Q22" s="40">
        <v>1458.0</v>
      </c>
      <c r="R22" s="40">
        <v>4.0</v>
      </c>
      <c r="S22" s="41"/>
      <c r="T22" s="33" t="s">
        <v>269</v>
      </c>
      <c r="U22" s="43">
        <v>3.0</v>
      </c>
      <c r="V22" s="31" t="s">
        <v>691</v>
      </c>
      <c r="W22" s="31" t="s">
        <v>693</v>
      </c>
      <c r="X22" s="31" t="s">
        <v>695</v>
      </c>
      <c r="Y22" s="31" t="s">
        <v>161</v>
      </c>
      <c r="Z22" s="31" t="s">
        <v>210</v>
      </c>
      <c r="AA22" s="31" t="s">
        <v>65</v>
      </c>
      <c r="AB22" s="31" t="s">
        <v>124</v>
      </c>
      <c r="AC22" s="46" t="s">
        <v>128</v>
      </c>
      <c r="AD22" s="47"/>
      <c r="AE22" s="49"/>
    </row>
    <row r="23">
      <c r="A23" s="50" t="s">
        <v>407</v>
      </c>
      <c r="B23" s="50" t="s">
        <v>19</v>
      </c>
      <c r="C23" s="52" t="s">
        <v>699</v>
      </c>
      <c r="D23" s="79">
        <v>600243.0</v>
      </c>
      <c r="E23" s="50" t="s">
        <v>703</v>
      </c>
      <c r="F23" s="50" t="s">
        <v>705</v>
      </c>
      <c r="G23" s="50" t="s">
        <v>706</v>
      </c>
      <c r="H23" s="50" t="s">
        <v>232</v>
      </c>
      <c r="I23" s="56" t="s">
        <v>708</v>
      </c>
      <c r="J23" s="56" t="s">
        <v>84</v>
      </c>
      <c r="K23" s="50" t="s">
        <v>84</v>
      </c>
      <c r="L23" s="112" t="s">
        <v>181</v>
      </c>
      <c r="M23" s="57">
        <v>44960.0</v>
      </c>
      <c r="N23" s="54">
        <v>2023.0</v>
      </c>
      <c r="O23" s="57">
        <v>46447.0</v>
      </c>
      <c r="P23" s="59">
        <v>2027.0</v>
      </c>
      <c r="Q23" s="60">
        <v>1487.0</v>
      </c>
      <c r="R23" s="59">
        <v>5.0</v>
      </c>
      <c r="S23" s="61"/>
      <c r="T23" s="54" t="s">
        <v>113</v>
      </c>
      <c r="U23" s="96">
        <v>3.0</v>
      </c>
      <c r="V23" s="97"/>
      <c r="W23" s="50" t="s">
        <v>713</v>
      </c>
      <c r="X23" s="50" t="s">
        <v>713</v>
      </c>
      <c r="Y23" s="50" t="s">
        <v>161</v>
      </c>
      <c r="Z23" s="50" t="s">
        <v>122</v>
      </c>
      <c r="AA23" s="119" t="s">
        <v>14</v>
      </c>
      <c r="AB23" s="106" t="s">
        <v>442</v>
      </c>
      <c r="AC23" s="65" t="s">
        <v>276</v>
      </c>
      <c r="AD23" s="61"/>
      <c r="AE23" s="120"/>
    </row>
    <row r="24">
      <c r="A24" s="41" t="s">
        <v>64</v>
      </c>
      <c r="B24" s="41" t="s">
        <v>67</v>
      </c>
      <c r="C24" s="32" t="s">
        <v>718</v>
      </c>
      <c r="D24" s="33" t="s">
        <v>720</v>
      </c>
      <c r="E24" s="41" t="s">
        <v>722</v>
      </c>
      <c r="F24" s="41" t="s">
        <v>516</v>
      </c>
      <c r="G24" s="41" t="s">
        <v>516</v>
      </c>
      <c r="H24" s="41" t="s">
        <v>516</v>
      </c>
      <c r="I24" s="35" t="s">
        <v>104</v>
      </c>
      <c r="J24" s="104" t="s">
        <v>84</v>
      </c>
      <c r="K24" s="104" t="s">
        <v>724</v>
      </c>
      <c r="L24" s="31" t="s">
        <v>181</v>
      </c>
      <c r="M24" s="70">
        <v>44974.0</v>
      </c>
      <c r="N24" s="70" t="str">
        <f>right(M24,4)</f>
        <v>2023</v>
      </c>
      <c r="O24" s="122">
        <v>45919.0</v>
      </c>
      <c r="P24" s="93" t="str">
        <f>right(O24,4)</f>
        <v>2025</v>
      </c>
      <c r="Q24" s="73">
        <f>DATEDIF(M24,O24,"d")</f>
        <v>945</v>
      </c>
      <c r="R24" s="73">
        <f>DATEDIF(M24,O24,"y")</f>
        <v>2</v>
      </c>
      <c r="S24" s="41" t="s">
        <v>735</v>
      </c>
      <c r="T24" s="104"/>
      <c r="U24" s="75">
        <v>1.0</v>
      </c>
      <c r="V24" s="104"/>
      <c r="W24" s="41" t="s">
        <v>737</v>
      </c>
      <c r="X24" s="41" t="s">
        <v>737</v>
      </c>
      <c r="Y24" s="41" t="s">
        <v>740</v>
      </c>
      <c r="Z24" s="31" t="s">
        <v>210</v>
      </c>
      <c r="AA24" s="31" t="s">
        <v>261</v>
      </c>
      <c r="AB24" s="31" t="s">
        <v>741</v>
      </c>
      <c r="AC24" s="46" t="s">
        <v>276</v>
      </c>
      <c r="AD24" s="47"/>
      <c r="AE24" s="78" t="s">
        <v>220</v>
      </c>
    </row>
    <row r="25">
      <c r="A25" s="80" t="s">
        <v>64</v>
      </c>
      <c r="B25" s="80" t="s">
        <v>19</v>
      </c>
      <c r="C25" s="123" t="s">
        <v>744</v>
      </c>
      <c r="D25" s="124">
        <v>600155.0</v>
      </c>
      <c r="E25" s="80" t="s">
        <v>60</v>
      </c>
      <c r="F25" s="80" t="s">
        <v>752</v>
      </c>
      <c r="G25" s="80" t="s">
        <v>753</v>
      </c>
      <c r="H25" s="80" t="s">
        <v>103</v>
      </c>
      <c r="I25" s="125" t="s">
        <v>104</v>
      </c>
      <c r="J25" s="125" t="s">
        <v>146</v>
      </c>
      <c r="K25" s="80" t="s">
        <v>84</v>
      </c>
      <c r="L25" s="112" t="s">
        <v>155</v>
      </c>
      <c r="M25" s="126">
        <v>44979.0</v>
      </c>
      <c r="N25" s="124">
        <v>2023.0</v>
      </c>
      <c r="O25" s="126">
        <v>46387.0</v>
      </c>
      <c r="P25" s="127">
        <v>2026.0</v>
      </c>
      <c r="Q25" s="127">
        <v>1408.0</v>
      </c>
      <c r="R25" s="127">
        <v>4.0</v>
      </c>
      <c r="S25" s="128"/>
      <c r="T25" s="124" t="s">
        <v>269</v>
      </c>
      <c r="U25" s="129">
        <v>2.0</v>
      </c>
      <c r="V25" s="128"/>
      <c r="W25" s="50" t="s">
        <v>765</v>
      </c>
      <c r="X25" s="130" t="s">
        <v>766</v>
      </c>
      <c r="Y25" s="80" t="s">
        <v>161</v>
      </c>
      <c r="Z25" s="80" t="s">
        <v>210</v>
      </c>
      <c r="AA25" s="80" t="s">
        <v>767</v>
      </c>
      <c r="AB25" s="50" t="s">
        <v>768</v>
      </c>
      <c r="AC25" s="65" t="s">
        <v>164</v>
      </c>
      <c r="AD25" s="65"/>
      <c r="AE25" s="81"/>
    </row>
    <row r="26">
      <c r="A26" s="41" t="s">
        <v>64</v>
      </c>
      <c r="B26" s="41" t="s">
        <v>67</v>
      </c>
      <c r="C26" s="68" t="s">
        <v>770</v>
      </c>
      <c r="D26" s="110"/>
      <c r="E26" s="41" t="s">
        <v>772</v>
      </c>
      <c r="F26" s="41" t="s">
        <v>773</v>
      </c>
      <c r="G26" s="41" t="s">
        <v>775</v>
      </c>
      <c r="H26" s="31" t="s">
        <v>103</v>
      </c>
      <c r="I26" s="31" t="s">
        <v>106</v>
      </c>
      <c r="J26" s="31" t="s">
        <v>289</v>
      </c>
      <c r="K26" s="31" t="s">
        <v>236</v>
      </c>
      <c r="L26" s="31" t="s">
        <v>289</v>
      </c>
      <c r="M26" s="70">
        <v>44979.0</v>
      </c>
      <c r="N26" s="70" t="str">
        <f t="shared" ref="N26:N35" si="9">right(M26,4)</f>
        <v>2023</v>
      </c>
      <c r="O26" s="70">
        <v>45046.0</v>
      </c>
      <c r="P26" s="93" t="str">
        <f t="shared" ref="P26:P35" si="10">right(O26,4)</f>
        <v>2023</v>
      </c>
      <c r="Q26" s="73">
        <f t="shared" ref="Q26:Q35" si="11">DATEDIF(M26,O26,"d")</f>
        <v>67</v>
      </c>
      <c r="R26" s="93">
        <f t="shared" ref="R26:R35" si="12">DATEDIF(M26,O26,"y")</f>
        <v>0</v>
      </c>
      <c r="S26" s="41"/>
      <c r="T26" s="74"/>
      <c r="U26" s="43">
        <v>0.0</v>
      </c>
      <c r="V26" s="41" t="s">
        <v>787</v>
      </c>
      <c r="W26" s="41"/>
      <c r="X26" s="41"/>
      <c r="Y26" s="31" t="s">
        <v>161</v>
      </c>
      <c r="Z26" s="31" t="s">
        <v>311</v>
      </c>
      <c r="AA26" s="31" t="s">
        <v>289</v>
      </c>
      <c r="AB26" s="41" t="s">
        <v>440</v>
      </c>
      <c r="AC26" s="46" t="s">
        <v>161</v>
      </c>
      <c r="AD26" s="47"/>
      <c r="AE26" s="78" t="s">
        <v>220</v>
      </c>
    </row>
    <row r="27">
      <c r="A27" s="61" t="s">
        <v>64</v>
      </c>
      <c r="B27" s="50" t="s">
        <v>67</v>
      </c>
      <c r="C27" s="82" t="s">
        <v>793</v>
      </c>
      <c r="D27" s="87">
        <v>600029.0</v>
      </c>
      <c r="E27" s="61" t="s">
        <v>491</v>
      </c>
      <c r="F27" s="61" t="s">
        <v>794</v>
      </c>
      <c r="G27" s="61" t="s">
        <v>797</v>
      </c>
      <c r="H27" s="50" t="s">
        <v>103</v>
      </c>
      <c r="I27" s="56" t="s">
        <v>104</v>
      </c>
      <c r="J27" s="50" t="s">
        <v>146</v>
      </c>
      <c r="K27" s="61" t="s">
        <v>84</v>
      </c>
      <c r="L27" s="50" t="s">
        <v>484</v>
      </c>
      <c r="M27" s="84">
        <v>45000.0</v>
      </c>
      <c r="N27" s="84" t="str">
        <f t="shared" si="9"/>
        <v>2023</v>
      </c>
      <c r="O27" s="84">
        <v>46179.0</v>
      </c>
      <c r="P27" s="85" t="str">
        <f t="shared" si="10"/>
        <v>2026</v>
      </c>
      <c r="Q27" s="86">
        <f t="shared" si="11"/>
        <v>1179</v>
      </c>
      <c r="R27" s="85">
        <f t="shared" si="12"/>
        <v>3</v>
      </c>
      <c r="S27" s="61"/>
      <c r="T27" s="87"/>
      <c r="U27" s="62">
        <v>0.0</v>
      </c>
      <c r="V27" s="61"/>
      <c r="W27" s="61" t="s">
        <v>801</v>
      </c>
      <c r="X27" s="61" t="s">
        <v>804</v>
      </c>
      <c r="Y27" s="50" t="s">
        <v>161</v>
      </c>
      <c r="Z27" s="50" t="s">
        <v>122</v>
      </c>
      <c r="AA27" s="50" t="s">
        <v>123</v>
      </c>
      <c r="AB27" s="50" t="s">
        <v>124</v>
      </c>
      <c r="AC27" s="65" t="s">
        <v>161</v>
      </c>
      <c r="AD27" s="65" t="s">
        <v>481</v>
      </c>
      <c r="AE27" s="131" t="s">
        <v>220</v>
      </c>
    </row>
    <row r="28">
      <c r="A28" s="31" t="s">
        <v>64</v>
      </c>
      <c r="B28" s="31" t="s">
        <v>19</v>
      </c>
      <c r="C28" s="132" t="s">
        <v>809</v>
      </c>
      <c r="D28" s="33">
        <v>600158.0</v>
      </c>
      <c r="E28" s="31" t="s">
        <v>812</v>
      </c>
      <c r="F28" s="31" t="s">
        <v>813</v>
      </c>
      <c r="G28" s="133"/>
      <c r="H28" s="31" t="s">
        <v>84</v>
      </c>
      <c r="I28" s="46" t="s">
        <v>104</v>
      </c>
      <c r="J28" s="31" t="s">
        <v>84</v>
      </c>
      <c r="K28" s="31" t="s">
        <v>84</v>
      </c>
      <c r="L28" s="31" t="s">
        <v>25</v>
      </c>
      <c r="M28" s="37">
        <v>45000.0</v>
      </c>
      <c r="N28" s="70" t="str">
        <f t="shared" si="9"/>
        <v>2023</v>
      </c>
      <c r="O28" s="37">
        <v>46387.0</v>
      </c>
      <c r="P28" s="102" t="str">
        <f t="shared" si="10"/>
        <v>2026</v>
      </c>
      <c r="Q28" s="73">
        <f t="shared" si="11"/>
        <v>1387</v>
      </c>
      <c r="R28" s="93">
        <f t="shared" si="12"/>
        <v>3</v>
      </c>
      <c r="S28" s="133"/>
      <c r="T28" s="135"/>
      <c r="U28" s="31">
        <v>0.0</v>
      </c>
      <c r="V28" s="41"/>
      <c r="W28" s="31" t="s">
        <v>823</v>
      </c>
      <c r="X28" s="31" t="s">
        <v>823</v>
      </c>
      <c r="Y28" s="31" t="s">
        <v>161</v>
      </c>
      <c r="Z28" s="101" t="s">
        <v>211</v>
      </c>
      <c r="AA28" s="31" t="s">
        <v>123</v>
      </c>
      <c r="AB28" s="46" t="s">
        <v>175</v>
      </c>
      <c r="AC28" s="46" t="s">
        <v>161</v>
      </c>
      <c r="AD28" s="136"/>
      <c r="AE28" s="111"/>
    </row>
    <row r="29">
      <c r="A29" s="61" t="s">
        <v>169</v>
      </c>
      <c r="B29" s="61" t="s">
        <v>67</v>
      </c>
      <c r="C29" s="82" t="s">
        <v>830</v>
      </c>
      <c r="D29" s="137"/>
      <c r="E29" s="61" t="s">
        <v>833</v>
      </c>
      <c r="F29" s="61" t="s">
        <v>834</v>
      </c>
      <c r="G29" s="61" t="s">
        <v>836</v>
      </c>
      <c r="H29" s="61" t="s">
        <v>84</v>
      </c>
      <c r="I29" s="50" t="s">
        <v>289</v>
      </c>
      <c r="J29" s="50" t="s">
        <v>289</v>
      </c>
      <c r="K29" s="50" t="s">
        <v>289</v>
      </c>
      <c r="L29" s="50" t="s">
        <v>289</v>
      </c>
      <c r="M29" s="84">
        <v>45005.0</v>
      </c>
      <c r="N29" s="84" t="str">
        <f t="shared" si="9"/>
        <v>2023</v>
      </c>
      <c r="O29" s="84">
        <v>45391.0</v>
      </c>
      <c r="P29" s="95" t="str">
        <f t="shared" si="10"/>
        <v>2024</v>
      </c>
      <c r="Q29" s="86">
        <f t="shared" si="11"/>
        <v>386</v>
      </c>
      <c r="R29" s="85">
        <f t="shared" si="12"/>
        <v>1</v>
      </c>
      <c r="S29" s="61"/>
      <c r="T29" s="87"/>
      <c r="U29" s="96">
        <v>0.0</v>
      </c>
      <c r="V29" s="61"/>
      <c r="W29" s="61"/>
      <c r="X29" s="61"/>
      <c r="Y29" s="50" t="s">
        <v>161</v>
      </c>
      <c r="Z29" s="80" t="s">
        <v>247</v>
      </c>
      <c r="AA29" s="50" t="s">
        <v>289</v>
      </c>
      <c r="AB29" s="50" t="s">
        <v>289</v>
      </c>
      <c r="AC29" s="65" t="s">
        <v>161</v>
      </c>
      <c r="AD29" s="97"/>
      <c r="AE29" s="98"/>
    </row>
    <row r="30">
      <c r="A30" s="41" t="s">
        <v>64</v>
      </c>
      <c r="B30" s="41" t="s">
        <v>67</v>
      </c>
      <c r="C30" s="68" t="s">
        <v>846</v>
      </c>
      <c r="D30" s="110"/>
      <c r="E30" s="41" t="s">
        <v>72</v>
      </c>
      <c r="F30" s="41" t="s">
        <v>73</v>
      </c>
      <c r="G30" s="41" t="s">
        <v>75</v>
      </c>
      <c r="H30" s="31" t="s">
        <v>84</v>
      </c>
      <c r="I30" s="77" t="s">
        <v>106</v>
      </c>
      <c r="J30" s="104" t="s">
        <v>84</v>
      </c>
      <c r="K30" s="41" t="s">
        <v>84</v>
      </c>
      <c r="L30" s="104" t="s">
        <v>175</v>
      </c>
      <c r="M30" s="70">
        <v>45007.0</v>
      </c>
      <c r="N30" s="70" t="str">
        <f t="shared" si="9"/>
        <v>2023</v>
      </c>
      <c r="O30" s="70">
        <v>45291.0</v>
      </c>
      <c r="P30" s="93" t="str">
        <f t="shared" si="10"/>
        <v>2023</v>
      </c>
      <c r="Q30" s="73">
        <f t="shared" si="11"/>
        <v>284</v>
      </c>
      <c r="R30" s="93">
        <f t="shared" si="12"/>
        <v>0</v>
      </c>
      <c r="S30" s="41"/>
      <c r="T30" s="74"/>
      <c r="U30" s="75">
        <v>0.0</v>
      </c>
      <c r="V30" s="41"/>
      <c r="W30" s="41" t="s">
        <v>111</v>
      </c>
      <c r="X30" s="41"/>
      <c r="Y30" s="41" t="s">
        <v>86</v>
      </c>
      <c r="Z30" s="31" t="s">
        <v>175</v>
      </c>
      <c r="AA30" s="31" t="s">
        <v>175</v>
      </c>
      <c r="AB30" s="31" t="s">
        <v>175</v>
      </c>
      <c r="AC30" s="46" t="s">
        <v>164</v>
      </c>
      <c r="AD30" s="46"/>
      <c r="AE30" s="78" t="s">
        <v>220</v>
      </c>
    </row>
    <row r="31">
      <c r="A31" s="61" t="s">
        <v>64</v>
      </c>
      <c r="B31" s="61" t="s">
        <v>67</v>
      </c>
      <c r="C31" s="82" t="s">
        <v>862</v>
      </c>
      <c r="D31" s="83"/>
      <c r="E31" s="61" t="s">
        <v>129</v>
      </c>
      <c r="F31" s="61" t="s">
        <v>130</v>
      </c>
      <c r="G31" s="61" t="s">
        <v>132</v>
      </c>
      <c r="H31" s="50" t="s">
        <v>103</v>
      </c>
      <c r="I31" s="50" t="s">
        <v>289</v>
      </c>
      <c r="J31" s="50" t="s">
        <v>289</v>
      </c>
      <c r="K31" s="50" t="s">
        <v>289</v>
      </c>
      <c r="L31" s="50" t="s">
        <v>289</v>
      </c>
      <c r="M31" s="84">
        <v>45007.0</v>
      </c>
      <c r="N31" s="84" t="str">
        <f t="shared" si="9"/>
        <v>2023</v>
      </c>
      <c r="O31" s="84">
        <v>45291.0</v>
      </c>
      <c r="P31" s="85" t="str">
        <f t="shared" si="10"/>
        <v>2023</v>
      </c>
      <c r="Q31" s="86">
        <f t="shared" si="11"/>
        <v>284</v>
      </c>
      <c r="R31" s="85">
        <f t="shared" si="12"/>
        <v>0</v>
      </c>
      <c r="S31" s="61"/>
      <c r="T31" s="87"/>
      <c r="U31" s="62">
        <v>0.0</v>
      </c>
      <c r="V31" s="61"/>
      <c r="W31" s="61" t="s">
        <v>153</v>
      </c>
      <c r="X31" s="61"/>
      <c r="Y31" s="50" t="s">
        <v>161</v>
      </c>
      <c r="Z31" s="61" t="s">
        <v>162</v>
      </c>
      <c r="AA31" s="50" t="s">
        <v>289</v>
      </c>
      <c r="AB31" s="50" t="s">
        <v>876</v>
      </c>
      <c r="AC31" s="65" t="s">
        <v>161</v>
      </c>
      <c r="AD31" s="66"/>
      <c r="AE31" s="67"/>
    </row>
    <row r="32">
      <c r="A32" s="41" t="s">
        <v>64</v>
      </c>
      <c r="B32" s="41" t="s">
        <v>67</v>
      </c>
      <c r="C32" s="68" t="s">
        <v>879</v>
      </c>
      <c r="D32" s="110"/>
      <c r="E32" s="41" t="s">
        <v>165</v>
      </c>
      <c r="F32" s="41" t="s">
        <v>166</v>
      </c>
      <c r="G32" s="41" t="s">
        <v>168</v>
      </c>
      <c r="H32" s="41" t="s">
        <v>84</v>
      </c>
      <c r="I32" s="31" t="s">
        <v>289</v>
      </c>
      <c r="J32" s="104" t="s">
        <v>84</v>
      </c>
      <c r="K32" s="41" t="s">
        <v>84</v>
      </c>
      <c r="L32" s="31" t="s">
        <v>289</v>
      </c>
      <c r="M32" s="70">
        <v>45008.0</v>
      </c>
      <c r="N32" s="70" t="str">
        <f t="shared" si="9"/>
        <v>2023</v>
      </c>
      <c r="O32" s="70">
        <v>45291.0</v>
      </c>
      <c r="P32" s="93" t="str">
        <f t="shared" si="10"/>
        <v>2023</v>
      </c>
      <c r="Q32" s="73">
        <f t="shared" si="11"/>
        <v>283</v>
      </c>
      <c r="R32" s="93">
        <f t="shared" si="12"/>
        <v>0</v>
      </c>
      <c r="S32" s="41"/>
      <c r="T32" s="74"/>
      <c r="U32" s="43">
        <v>0.0</v>
      </c>
      <c r="V32" s="41"/>
      <c r="W32" s="41" t="s">
        <v>179</v>
      </c>
      <c r="X32" s="41"/>
      <c r="Y32" s="31" t="s">
        <v>161</v>
      </c>
      <c r="Z32" s="31" t="s">
        <v>289</v>
      </c>
      <c r="AA32" s="31" t="s">
        <v>289</v>
      </c>
      <c r="AB32" s="31" t="s">
        <v>891</v>
      </c>
      <c r="AC32" s="46" t="s">
        <v>161</v>
      </c>
      <c r="AD32" s="47"/>
      <c r="AE32" s="49"/>
    </row>
    <row r="33">
      <c r="A33" s="61" t="s">
        <v>64</v>
      </c>
      <c r="B33" s="61" t="s">
        <v>67</v>
      </c>
      <c r="C33" s="82" t="s">
        <v>894</v>
      </c>
      <c r="D33" s="83"/>
      <c r="E33" s="61" t="s">
        <v>182</v>
      </c>
      <c r="F33" s="61" t="s">
        <v>183</v>
      </c>
      <c r="G33" s="61" t="s">
        <v>184</v>
      </c>
      <c r="H33" s="50" t="s">
        <v>103</v>
      </c>
      <c r="I33" s="97" t="s">
        <v>106</v>
      </c>
      <c r="J33" s="106" t="s">
        <v>175</v>
      </c>
      <c r="K33" s="106" t="s">
        <v>175</v>
      </c>
      <c r="L33" s="106" t="s">
        <v>175</v>
      </c>
      <c r="M33" s="84">
        <v>45009.0</v>
      </c>
      <c r="N33" s="84" t="str">
        <f t="shared" si="9"/>
        <v>2023</v>
      </c>
      <c r="O33" s="84">
        <v>45016.0</v>
      </c>
      <c r="P33" s="85" t="str">
        <f t="shared" si="10"/>
        <v>2023</v>
      </c>
      <c r="Q33" s="86">
        <f t="shared" si="11"/>
        <v>7</v>
      </c>
      <c r="R33" s="85">
        <f t="shared" si="12"/>
        <v>0</v>
      </c>
      <c r="S33" s="61"/>
      <c r="T33" s="87"/>
      <c r="U33" s="96">
        <v>0.0</v>
      </c>
      <c r="V33" s="61"/>
      <c r="W33" s="61" t="s">
        <v>193</v>
      </c>
      <c r="X33" s="61"/>
      <c r="Y33" s="50" t="s">
        <v>161</v>
      </c>
      <c r="Z33" s="50" t="s">
        <v>175</v>
      </c>
      <c r="AA33" s="50" t="s">
        <v>175</v>
      </c>
      <c r="AB33" s="50" t="s">
        <v>175</v>
      </c>
      <c r="AC33" s="65" t="s">
        <v>161</v>
      </c>
      <c r="AD33" s="66"/>
      <c r="AE33" s="108" t="s">
        <v>220</v>
      </c>
    </row>
    <row r="34">
      <c r="A34" s="31" t="s">
        <v>169</v>
      </c>
      <c r="B34" s="41" t="s">
        <v>67</v>
      </c>
      <c r="C34" s="68" t="s">
        <v>911</v>
      </c>
      <c r="D34" s="110"/>
      <c r="E34" s="41" t="s">
        <v>197</v>
      </c>
      <c r="F34" s="41" t="s">
        <v>198</v>
      </c>
      <c r="G34" s="41" t="s">
        <v>199</v>
      </c>
      <c r="H34" s="31" t="s">
        <v>103</v>
      </c>
      <c r="I34" s="31" t="s">
        <v>289</v>
      </c>
      <c r="J34" s="31" t="s">
        <v>289</v>
      </c>
      <c r="K34" s="41" t="s">
        <v>84</v>
      </c>
      <c r="L34" s="31" t="s">
        <v>289</v>
      </c>
      <c r="M34" s="70">
        <v>45011.0</v>
      </c>
      <c r="N34" s="70" t="str">
        <f t="shared" si="9"/>
        <v>2023</v>
      </c>
      <c r="O34" s="70">
        <v>45377.0</v>
      </c>
      <c r="P34" s="93" t="str">
        <f t="shared" si="10"/>
        <v>2024</v>
      </c>
      <c r="Q34" s="73">
        <f t="shared" si="11"/>
        <v>366</v>
      </c>
      <c r="R34" s="93">
        <f t="shared" si="12"/>
        <v>1</v>
      </c>
      <c r="S34" s="41"/>
      <c r="T34" s="74"/>
      <c r="U34" s="43">
        <v>0.0</v>
      </c>
      <c r="V34" s="41" t="s">
        <v>212</v>
      </c>
      <c r="W34" s="41" t="s">
        <v>208</v>
      </c>
      <c r="X34" s="41"/>
      <c r="Y34" s="31" t="s">
        <v>161</v>
      </c>
      <c r="Z34" s="41" t="s">
        <v>216</v>
      </c>
      <c r="AA34" s="31" t="s">
        <v>289</v>
      </c>
      <c r="AB34" s="41" t="s">
        <v>217</v>
      </c>
      <c r="AC34" s="46" t="s">
        <v>161</v>
      </c>
      <c r="AD34" s="47"/>
      <c r="AE34" s="49"/>
    </row>
    <row r="35">
      <c r="A35" s="61" t="s">
        <v>64</v>
      </c>
      <c r="B35" s="61" t="s">
        <v>67</v>
      </c>
      <c r="C35" s="82" t="s">
        <v>942</v>
      </c>
      <c r="D35" s="83"/>
      <c r="E35" s="61" t="s">
        <v>219</v>
      </c>
      <c r="F35" s="61" t="s">
        <v>221</v>
      </c>
      <c r="G35" s="61" t="s">
        <v>222</v>
      </c>
      <c r="H35" s="50" t="s">
        <v>266</v>
      </c>
      <c r="I35" s="97" t="s">
        <v>106</v>
      </c>
      <c r="J35" s="106" t="s">
        <v>233</v>
      </c>
      <c r="K35" s="50" t="s">
        <v>236</v>
      </c>
      <c r="L35" s="106" t="s">
        <v>175</v>
      </c>
      <c r="M35" s="84">
        <v>45013.0</v>
      </c>
      <c r="N35" s="84" t="str">
        <f t="shared" si="9"/>
        <v>2023</v>
      </c>
      <c r="O35" s="84">
        <v>45016.0</v>
      </c>
      <c r="P35" s="85" t="str">
        <f t="shared" si="10"/>
        <v>2023</v>
      </c>
      <c r="Q35" s="86">
        <f t="shared" si="11"/>
        <v>3</v>
      </c>
      <c r="R35" s="85">
        <f t="shared" si="12"/>
        <v>0</v>
      </c>
      <c r="S35" s="61"/>
      <c r="T35" s="87"/>
      <c r="U35" s="96">
        <v>0.0</v>
      </c>
      <c r="V35" s="61"/>
      <c r="W35" s="61" t="s">
        <v>238</v>
      </c>
      <c r="X35" s="61"/>
      <c r="Y35" s="50" t="s">
        <v>161</v>
      </c>
      <c r="Z35" s="50" t="s">
        <v>175</v>
      </c>
      <c r="AA35" s="50" t="s">
        <v>175</v>
      </c>
      <c r="AB35" s="50" t="s">
        <v>175</v>
      </c>
      <c r="AC35" s="65" t="s">
        <v>337</v>
      </c>
      <c r="AD35" s="66"/>
      <c r="AE35" s="108" t="s">
        <v>220</v>
      </c>
    </row>
    <row r="36">
      <c r="A36" s="31" t="s">
        <v>169</v>
      </c>
      <c r="B36" s="31" t="s">
        <v>19</v>
      </c>
      <c r="C36" s="32" t="s">
        <v>959</v>
      </c>
      <c r="D36" s="33">
        <v>600087.0</v>
      </c>
      <c r="E36" s="31" t="s">
        <v>242</v>
      </c>
      <c r="F36" s="31" t="s">
        <v>244</v>
      </c>
      <c r="G36" s="31" t="s">
        <v>246</v>
      </c>
      <c r="H36" s="31" t="s">
        <v>178</v>
      </c>
      <c r="I36" s="31" t="s">
        <v>104</v>
      </c>
      <c r="J36" s="31" t="s">
        <v>146</v>
      </c>
      <c r="K36" s="31" t="s">
        <v>248</v>
      </c>
      <c r="L36" s="31" t="s">
        <v>181</v>
      </c>
      <c r="M36" s="37">
        <v>45013.0</v>
      </c>
      <c r="N36" s="33">
        <v>2023.0</v>
      </c>
      <c r="O36" s="37">
        <v>46480.0</v>
      </c>
      <c r="P36" s="39">
        <v>2027.0</v>
      </c>
      <c r="Q36" s="40">
        <v>1467.0</v>
      </c>
      <c r="R36" s="39">
        <v>5.0</v>
      </c>
      <c r="S36" s="41"/>
      <c r="T36" s="33" t="s">
        <v>113</v>
      </c>
      <c r="U36" s="43">
        <v>2.0</v>
      </c>
      <c r="V36" s="41"/>
      <c r="W36" s="31" t="s">
        <v>255</v>
      </c>
      <c r="X36" s="31" t="s">
        <v>255</v>
      </c>
      <c r="Y36" s="31" t="s">
        <v>161</v>
      </c>
      <c r="Z36" s="31" t="s">
        <v>210</v>
      </c>
      <c r="AA36" s="31" t="s">
        <v>14</v>
      </c>
      <c r="AB36" s="31" t="s">
        <v>975</v>
      </c>
      <c r="AC36" s="46" t="s">
        <v>128</v>
      </c>
      <c r="AD36" s="46"/>
      <c r="AE36" s="109"/>
    </row>
    <row r="37">
      <c r="A37" s="61" t="s">
        <v>64</v>
      </c>
      <c r="B37" s="61" t="s">
        <v>67</v>
      </c>
      <c r="C37" s="82" t="s">
        <v>978</v>
      </c>
      <c r="D37" s="83"/>
      <c r="E37" s="61" t="s">
        <v>298</v>
      </c>
      <c r="F37" s="61" t="s">
        <v>299</v>
      </c>
      <c r="G37" s="61" t="s">
        <v>300</v>
      </c>
      <c r="H37" s="50" t="s">
        <v>103</v>
      </c>
      <c r="I37" s="97" t="s">
        <v>106</v>
      </c>
      <c r="J37" s="106" t="s">
        <v>175</v>
      </c>
      <c r="K37" s="106" t="s">
        <v>175</v>
      </c>
      <c r="L37" s="106" t="s">
        <v>175</v>
      </c>
      <c r="M37" s="84">
        <v>45016.0</v>
      </c>
      <c r="N37" s="84" t="str">
        <f t="shared" ref="N37:N40" si="13">right(M37,4)</f>
        <v>2023</v>
      </c>
      <c r="O37" s="84">
        <v>45023.0</v>
      </c>
      <c r="P37" s="85" t="str">
        <f t="shared" ref="P37:P40" si="14">right(O37,4)</f>
        <v>2023</v>
      </c>
      <c r="Q37" s="86">
        <f t="shared" ref="Q37:Q40" si="15">DATEDIF(M37,O37,"d")</f>
        <v>7</v>
      </c>
      <c r="R37" s="85">
        <f t="shared" ref="R37:R40" si="16">DATEDIF(M37,O37,"y")</f>
        <v>0</v>
      </c>
      <c r="S37" s="61"/>
      <c r="T37" s="87"/>
      <c r="U37" s="96">
        <v>0.0</v>
      </c>
      <c r="V37" s="61"/>
      <c r="W37" s="61" t="s">
        <v>304</v>
      </c>
      <c r="X37" s="61"/>
      <c r="Y37" s="50" t="s">
        <v>161</v>
      </c>
      <c r="Z37" s="50" t="s">
        <v>175</v>
      </c>
      <c r="AA37" s="50" t="s">
        <v>175</v>
      </c>
      <c r="AB37" s="50" t="s">
        <v>175</v>
      </c>
      <c r="AC37" s="65" t="s">
        <v>161</v>
      </c>
      <c r="AD37" s="66"/>
      <c r="AE37" s="108" t="s">
        <v>220</v>
      </c>
    </row>
    <row r="38">
      <c r="A38" s="31" t="s">
        <v>169</v>
      </c>
      <c r="B38" s="41" t="s">
        <v>67</v>
      </c>
      <c r="C38" s="68" t="s">
        <v>1003</v>
      </c>
      <c r="D38" s="110"/>
      <c r="E38" s="41" t="s">
        <v>279</v>
      </c>
      <c r="F38" s="41" t="s">
        <v>280</v>
      </c>
      <c r="G38" s="41" t="s">
        <v>281</v>
      </c>
      <c r="H38" s="41" t="s">
        <v>84</v>
      </c>
      <c r="I38" s="31" t="s">
        <v>289</v>
      </c>
      <c r="J38" s="31" t="s">
        <v>289</v>
      </c>
      <c r="K38" s="41" t="s">
        <v>84</v>
      </c>
      <c r="L38" s="31" t="s">
        <v>289</v>
      </c>
      <c r="M38" s="70">
        <v>45016.0</v>
      </c>
      <c r="N38" s="70" t="str">
        <f t="shared" si="13"/>
        <v>2023</v>
      </c>
      <c r="O38" s="70">
        <v>45291.0</v>
      </c>
      <c r="P38" s="93" t="str">
        <f t="shared" si="14"/>
        <v>2023</v>
      </c>
      <c r="Q38" s="73">
        <f t="shared" si="15"/>
        <v>275</v>
      </c>
      <c r="R38" s="93">
        <f t="shared" si="16"/>
        <v>0</v>
      </c>
      <c r="S38" s="41"/>
      <c r="T38" s="74"/>
      <c r="U38" s="43">
        <v>0.0</v>
      </c>
      <c r="V38" s="41"/>
      <c r="W38" s="41" t="s">
        <v>292</v>
      </c>
      <c r="X38" s="41"/>
      <c r="Y38" s="31" t="s">
        <v>161</v>
      </c>
      <c r="Z38" s="31" t="s">
        <v>289</v>
      </c>
      <c r="AA38" s="31" t="s">
        <v>261</v>
      </c>
      <c r="AB38" s="31" t="s">
        <v>891</v>
      </c>
      <c r="AC38" s="46" t="s">
        <v>161</v>
      </c>
      <c r="AD38" s="47"/>
      <c r="AE38" s="109"/>
    </row>
    <row r="39">
      <c r="A39" s="50" t="s">
        <v>407</v>
      </c>
      <c r="B39" s="61" t="s">
        <v>67</v>
      </c>
      <c r="C39" s="82" t="s">
        <v>1022</v>
      </c>
      <c r="D39" s="94">
        <v>600215.0</v>
      </c>
      <c r="E39" s="61" t="s">
        <v>263</v>
      </c>
      <c r="F39" s="61" t="s">
        <v>264</v>
      </c>
      <c r="G39" s="61" t="s">
        <v>265</v>
      </c>
      <c r="H39" s="61" t="s">
        <v>84</v>
      </c>
      <c r="I39" s="50" t="s">
        <v>289</v>
      </c>
      <c r="J39" s="50" t="s">
        <v>289</v>
      </c>
      <c r="K39" s="61" t="s">
        <v>84</v>
      </c>
      <c r="L39" s="138" t="s">
        <v>48</v>
      </c>
      <c r="M39" s="84">
        <v>45016.0</v>
      </c>
      <c r="N39" s="84" t="str">
        <f t="shared" si="13"/>
        <v>2023</v>
      </c>
      <c r="O39" s="84">
        <v>45657.0</v>
      </c>
      <c r="P39" s="95" t="str">
        <f t="shared" si="14"/>
        <v>2024</v>
      </c>
      <c r="Q39" s="86">
        <f t="shared" si="15"/>
        <v>641</v>
      </c>
      <c r="R39" s="85">
        <f t="shared" si="16"/>
        <v>1</v>
      </c>
      <c r="S39" s="61"/>
      <c r="T39" s="87" t="s">
        <v>269</v>
      </c>
      <c r="U39" s="96">
        <v>0.0</v>
      </c>
      <c r="V39" s="97"/>
      <c r="W39" s="61" t="s">
        <v>275</v>
      </c>
      <c r="X39" s="61"/>
      <c r="Y39" s="50" t="s">
        <v>161</v>
      </c>
      <c r="Z39" s="80" t="s">
        <v>247</v>
      </c>
      <c r="AA39" s="50" t="s">
        <v>261</v>
      </c>
      <c r="AB39" s="106" t="s">
        <v>442</v>
      </c>
      <c r="AC39" s="65" t="s">
        <v>161</v>
      </c>
      <c r="AD39" s="61"/>
      <c r="AE39" s="120"/>
    </row>
    <row r="40">
      <c r="A40" s="41" t="s">
        <v>64</v>
      </c>
      <c r="B40" s="41" t="s">
        <v>67</v>
      </c>
      <c r="C40" s="68" t="s">
        <v>1047</v>
      </c>
      <c r="D40" s="110"/>
      <c r="E40" s="41" t="s">
        <v>310</v>
      </c>
      <c r="F40" s="41" t="s">
        <v>312</v>
      </c>
      <c r="G40" s="41" t="s">
        <v>313</v>
      </c>
      <c r="H40" s="41" t="s">
        <v>266</v>
      </c>
      <c r="I40" s="31" t="s">
        <v>289</v>
      </c>
      <c r="J40" s="31" t="s">
        <v>289</v>
      </c>
      <c r="K40" s="31" t="s">
        <v>289</v>
      </c>
      <c r="L40" s="31" t="s">
        <v>289</v>
      </c>
      <c r="M40" s="70">
        <v>45019.0</v>
      </c>
      <c r="N40" s="70" t="str">
        <f t="shared" si="13"/>
        <v>2023</v>
      </c>
      <c r="O40" s="70">
        <v>45291.0</v>
      </c>
      <c r="P40" s="93" t="str">
        <f t="shared" si="14"/>
        <v>2023</v>
      </c>
      <c r="Q40" s="73">
        <f t="shared" si="15"/>
        <v>272</v>
      </c>
      <c r="R40" s="93">
        <f t="shared" si="16"/>
        <v>0</v>
      </c>
      <c r="S40" s="41"/>
      <c r="T40" s="74"/>
      <c r="U40" s="43">
        <v>0.0</v>
      </c>
      <c r="V40" s="41"/>
      <c r="W40" s="41" t="s">
        <v>323</v>
      </c>
      <c r="X40" s="41"/>
      <c r="Y40" s="31" t="s">
        <v>161</v>
      </c>
      <c r="Z40" s="31" t="s">
        <v>289</v>
      </c>
      <c r="AA40" s="31" t="s">
        <v>261</v>
      </c>
      <c r="AB40" s="31" t="s">
        <v>289</v>
      </c>
      <c r="AC40" s="46" t="s">
        <v>337</v>
      </c>
      <c r="AD40" s="47"/>
      <c r="AE40" s="49"/>
    </row>
    <row r="41" ht="82.5" customHeight="1">
      <c r="A41" s="50" t="s">
        <v>64</v>
      </c>
      <c r="B41" s="50" t="s">
        <v>19</v>
      </c>
      <c r="C41" s="52" t="s">
        <v>1063</v>
      </c>
      <c r="D41" s="54">
        <v>600113.0</v>
      </c>
      <c r="E41" s="50" t="s">
        <v>340</v>
      </c>
      <c r="F41" s="50" t="s">
        <v>342</v>
      </c>
      <c r="G41" s="50" t="s">
        <v>343</v>
      </c>
      <c r="H41" s="50" t="s">
        <v>232</v>
      </c>
      <c r="I41" s="125" t="s">
        <v>104</v>
      </c>
      <c r="J41" s="125" t="s">
        <v>84</v>
      </c>
      <c r="K41" s="50" t="s">
        <v>84</v>
      </c>
      <c r="L41" s="112" t="s">
        <v>25</v>
      </c>
      <c r="M41" s="57">
        <v>45022.0</v>
      </c>
      <c r="N41" s="54">
        <v>2023.0</v>
      </c>
      <c r="O41" s="57">
        <v>46266.0</v>
      </c>
      <c r="P41" s="59">
        <v>2026.0</v>
      </c>
      <c r="Q41" s="60">
        <v>1244.0</v>
      </c>
      <c r="R41" s="59">
        <v>4.0</v>
      </c>
      <c r="S41" s="61"/>
      <c r="T41" s="54" t="s">
        <v>269</v>
      </c>
      <c r="U41" s="62">
        <v>2.0</v>
      </c>
      <c r="V41" s="50" t="s">
        <v>349</v>
      </c>
      <c r="W41" s="50" t="s">
        <v>352</v>
      </c>
      <c r="X41" s="50" t="s">
        <v>1072</v>
      </c>
      <c r="Y41" s="50" t="s">
        <v>161</v>
      </c>
      <c r="Z41" s="50" t="s">
        <v>261</v>
      </c>
      <c r="AA41" s="50" t="s">
        <v>14</v>
      </c>
      <c r="AB41" s="50" t="s">
        <v>124</v>
      </c>
      <c r="AC41" s="65" t="s">
        <v>337</v>
      </c>
      <c r="AD41" s="66"/>
      <c r="AE41" s="67"/>
    </row>
    <row r="42">
      <c r="A42" s="41" t="s">
        <v>64</v>
      </c>
      <c r="B42" s="41" t="s">
        <v>67</v>
      </c>
      <c r="C42" s="68" t="s">
        <v>1081</v>
      </c>
      <c r="D42" s="110"/>
      <c r="E42" s="41" t="s">
        <v>326</v>
      </c>
      <c r="F42" s="41" t="s">
        <v>327</v>
      </c>
      <c r="G42" s="41" t="s">
        <v>329</v>
      </c>
      <c r="H42" s="31" t="s">
        <v>103</v>
      </c>
      <c r="I42" s="31" t="s">
        <v>289</v>
      </c>
      <c r="J42" s="31" t="s">
        <v>289</v>
      </c>
      <c r="K42" s="31" t="s">
        <v>289</v>
      </c>
      <c r="L42" s="31" t="s">
        <v>289</v>
      </c>
      <c r="M42" s="70">
        <v>45022.0</v>
      </c>
      <c r="N42" s="70" t="str">
        <f t="shared" ref="N42:N47" si="17">right(M42,4)</f>
        <v>2023</v>
      </c>
      <c r="O42" s="70">
        <v>45205.0</v>
      </c>
      <c r="P42" s="93" t="str">
        <f t="shared" ref="P42:P47" si="18">right(O42,4)</f>
        <v>2023</v>
      </c>
      <c r="Q42" s="73">
        <f t="shared" ref="Q42:Q47" si="19">DATEDIF(M42,O42,"d")</f>
        <v>183</v>
      </c>
      <c r="R42" s="93">
        <f t="shared" ref="R42:R47" si="20">DATEDIF(M42,O42,"y")</f>
        <v>0</v>
      </c>
      <c r="S42" s="41"/>
      <c r="T42" s="74"/>
      <c r="U42" s="43">
        <v>0.0</v>
      </c>
      <c r="V42" s="41"/>
      <c r="W42" s="41" t="s">
        <v>335</v>
      </c>
      <c r="X42" s="41"/>
      <c r="Y42" s="31" t="s">
        <v>161</v>
      </c>
      <c r="Z42" s="31" t="s">
        <v>289</v>
      </c>
      <c r="AA42" s="31" t="s">
        <v>261</v>
      </c>
      <c r="AB42" s="31" t="s">
        <v>289</v>
      </c>
      <c r="AC42" s="46" t="s">
        <v>161</v>
      </c>
      <c r="AD42" s="47"/>
      <c r="AE42" s="49"/>
    </row>
    <row r="43">
      <c r="A43" s="61" t="s">
        <v>64</v>
      </c>
      <c r="B43" s="61" t="s">
        <v>67</v>
      </c>
      <c r="C43" s="82" t="s">
        <v>1096</v>
      </c>
      <c r="D43" s="83"/>
      <c r="E43" s="61" t="s">
        <v>355</v>
      </c>
      <c r="F43" s="61" t="s">
        <v>356</v>
      </c>
      <c r="G43" s="61" t="s">
        <v>357</v>
      </c>
      <c r="H43" s="61" t="s">
        <v>266</v>
      </c>
      <c r="I43" s="50" t="s">
        <v>289</v>
      </c>
      <c r="J43" s="50" t="s">
        <v>289</v>
      </c>
      <c r="K43" s="50" t="s">
        <v>236</v>
      </c>
      <c r="L43" s="50" t="s">
        <v>289</v>
      </c>
      <c r="M43" s="84">
        <v>45022.0</v>
      </c>
      <c r="N43" s="84" t="str">
        <f t="shared" si="17"/>
        <v>2023</v>
      </c>
      <c r="O43" s="84">
        <v>45352.0</v>
      </c>
      <c r="P43" s="85" t="str">
        <f t="shared" si="18"/>
        <v>2024</v>
      </c>
      <c r="Q43" s="86">
        <f t="shared" si="19"/>
        <v>330</v>
      </c>
      <c r="R43" s="85">
        <f t="shared" si="20"/>
        <v>0</v>
      </c>
      <c r="S43" s="61"/>
      <c r="T43" s="87"/>
      <c r="U43" s="62">
        <v>0.0</v>
      </c>
      <c r="V43" s="61" t="s">
        <v>364</v>
      </c>
      <c r="W43" s="61" t="s">
        <v>362</v>
      </c>
      <c r="X43" s="61"/>
      <c r="Y43" s="50" t="s">
        <v>161</v>
      </c>
      <c r="Z43" s="61" t="s">
        <v>259</v>
      </c>
      <c r="AA43" s="50" t="s">
        <v>289</v>
      </c>
      <c r="AB43" s="61" t="s">
        <v>370</v>
      </c>
      <c r="AC43" s="65" t="s">
        <v>337</v>
      </c>
      <c r="AD43" s="66"/>
      <c r="AE43" s="67"/>
    </row>
    <row r="44">
      <c r="A44" s="41" t="s">
        <v>64</v>
      </c>
      <c r="B44" s="41" t="s">
        <v>67</v>
      </c>
      <c r="C44" s="68" t="s">
        <v>1102</v>
      </c>
      <c r="D44" s="110"/>
      <c r="E44" s="41" t="s">
        <v>372</v>
      </c>
      <c r="F44" s="41" t="s">
        <v>374</v>
      </c>
      <c r="G44" s="41" t="s">
        <v>375</v>
      </c>
      <c r="H44" s="41" t="s">
        <v>84</v>
      </c>
      <c r="I44" s="31" t="s">
        <v>289</v>
      </c>
      <c r="J44" s="31" t="s">
        <v>289</v>
      </c>
      <c r="K44" s="41" t="s">
        <v>84</v>
      </c>
      <c r="L44" s="31" t="s">
        <v>289</v>
      </c>
      <c r="M44" s="70">
        <v>45023.0</v>
      </c>
      <c r="N44" s="70" t="str">
        <f t="shared" si="17"/>
        <v>2023</v>
      </c>
      <c r="O44" s="70">
        <v>45291.0</v>
      </c>
      <c r="P44" s="93" t="str">
        <f t="shared" si="18"/>
        <v>2023</v>
      </c>
      <c r="Q44" s="73">
        <f t="shared" si="19"/>
        <v>268</v>
      </c>
      <c r="R44" s="93">
        <f t="shared" si="20"/>
        <v>0</v>
      </c>
      <c r="S44" s="41"/>
      <c r="T44" s="74"/>
      <c r="U44" s="43">
        <v>0.0</v>
      </c>
      <c r="V44" s="41"/>
      <c r="W44" s="41" t="s">
        <v>383</v>
      </c>
      <c r="X44" s="41"/>
      <c r="Y44" s="31" t="s">
        <v>161</v>
      </c>
      <c r="Z44" s="31" t="s">
        <v>289</v>
      </c>
      <c r="AA44" s="31" t="s">
        <v>289</v>
      </c>
      <c r="AB44" s="104" t="s">
        <v>442</v>
      </c>
      <c r="AC44" s="46" t="s">
        <v>337</v>
      </c>
      <c r="AD44" s="47"/>
      <c r="AE44" s="49"/>
    </row>
    <row r="45">
      <c r="A45" s="61" t="s">
        <v>64</v>
      </c>
      <c r="B45" s="61" t="s">
        <v>67</v>
      </c>
      <c r="C45" s="82" t="s">
        <v>1108</v>
      </c>
      <c r="D45" s="87" t="s">
        <v>411</v>
      </c>
      <c r="E45" s="61" t="s">
        <v>405</v>
      </c>
      <c r="F45" s="61" t="s">
        <v>408</v>
      </c>
      <c r="G45" s="61" t="s">
        <v>409</v>
      </c>
      <c r="H45" s="61" t="s">
        <v>84</v>
      </c>
      <c r="I45" s="50" t="s">
        <v>289</v>
      </c>
      <c r="J45" s="50" t="s">
        <v>289</v>
      </c>
      <c r="K45" s="61" t="s">
        <v>84</v>
      </c>
      <c r="L45" s="50" t="s">
        <v>289</v>
      </c>
      <c r="M45" s="84">
        <v>45026.0</v>
      </c>
      <c r="N45" s="84" t="str">
        <f t="shared" si="17"/>
        <v>2023</v>
      </c>
      <c r="O45" s="84">
        <v>45291.0</v>
      </c>
      <c r="P45" s="85" t="str">
        <f t="shared" si="18"/>
        <v>2023</v>
      </c>
      <c r="Q45" s="86">
        <f t="shared" si="19"/>
        <v>265</v>
      </c>
      <c r="R45" s="85">
        <f t="shared" si="20"/>
        <v>0</v>
      </c>
      <c r="S45" s="61"/>
      <c r="T45" s="87"/>
      <c r="U45" s="62">
        <v>0.0</v>
      </c>
      <c r="V45" s="61"/>
      <c r="W45" s="61" t="s">
        <v>420</v>
      </c>
      <c r="X45" s="61"/>
      <c r="Y45" s="50" t="s">
        <v>161</v>
      </c>
      <c r="Z45" s="50" t="s">
        <v>289</v>
      </c>
      <c r="AA45" s="50" t="s">
        <v>289</v>
      </c>
      <c r="AB45" s="50" t="s">
        <v>289</v>
      </c>
      <c r="AC45" s="65" t="s">
        <v>161</v>
      </c>
      <c r="AD45" s="66"/>
      <c r="AE45" s="67"/>
    </row>
    <row r="46">
      <c r="A46" s="41" t="s">
        <v>64</v>
      </c>
      <c r="B46" s="31" t="s">
        <v>67</v>
      </c>
      <c r="C46" s="68" t="s">
        <v>1115</v>
      </c>
      <c r="D46" s="74">
        <v>600159.0</v>
      </c>
      <c r="E46" s="31" t="s">
        <v>1116</v>
      </c>
      <c r="F46" s="41" t="s">
        <v>424</v>
      </c>
      <c r="G46" s="41" t="s">
        <v>426</v>
      </c>
      <c r="H46" s="41" t="s">
        <v>84</v>
      </c>
      <c r="I46" s="35" t="s">
        <v>104</v>
      </c>
      <c r="J46" s="35" t="s">
        <v>84</v>
      </c>
      <c r="K46" s="41" t="s">
        <v>84</v>
      </c>
      <c r="L46" s="31" t="s">
        <v>181</v>
      </c>
      <c r="M46" s="70">
        <v>45028.0</v>
      </c>
      <c r="N46" s="70" t="str">
        <f t="shared" si="17"/>
        <v>2023</v>
      </c>
      <c r="O46" s="70">
        <v>46022.0</v>
      </c>
      <c r="P46" s="93" t="str">
        <f t="shared" si="18"/>
        <v>2025</v>
      </c>
      <c r="Q46" s="73">
        <f t="shared" si="19"/>
        <v>994</v>
      </c>
      <c r="R46" s="93">
        <f t="shared" si="20"/>
        <v>2</v>
      </c>
      <c r="S46" s="41"/>
      <c r="T46" s="74" t="s">
        <v>269</v>
      </c>
      <c r="U46" s="43">
        <v>1.0</v>
      </c>
      <c r="V46" s="31" t="s">
        <v>1121</v>
      </c>
      <c r="W46" s="41" t="s">
        <v>439</v>
      </c>
      <c r="X46" s="41" t="s">
        <v>439</v>
      </c>
      <c r="Y46" s="31" t="s">
        <v>161</v>
      </c>
      <c r="Z46" s="31" t="s">
        <v>261</v>
      </c>
      <c r="AA46" s="31" t="s">
        <v>123</v>
      </c>
      <c r="AB46" s="31" t="s">
        <v>741</v>
      </c>
      <c r="AC46" s="46" t="s">
        <v>161</v>
      </c>
      <c r="AD46" s="47"/>
      <c r="AE46" s="78" t="s">
        <v>220</v>
      </c>
    </row>
    <row r="47">
      <c r="A47" s="61" t="s">
        <v>64</v>
      </c>
      <c r="B47" s="61" t="s">
        <v>67</v>
      </c>
      <c r="C47" s="82" t="s">
        <v>1122</v>
      </c>
      <c r="D47" s="83"/>
      <c r="E47" s="61" t="s">
        <v>444</v>
      </c>
      <c r="F47" s="61" t="s">
        <v>445</v>
      </c>
      <c r="G47" s="61" t="s">
        <v>446</v>
      </c>
      <c r="H47" s="50" t="s">
        <v>103</v>
      </c>
      <c r="I47" s="97" t="s">
        <v>106</v>
      </c>
      <c r="J47" s="106" t="s">
        <v>175</v>
      </c>
      <c r="K47" s="106" t="s">
        <v>175</v>
      </c>
      <c r="L47" s="106" t="s">
        <v>175</v>
      </c>
      <c r="M47" s="84">
        <v>45028.0</v>
      </c>
      <c r="N47" s="84" t="str">
        <f t="shared" si="17"/>
        <v>2023</v>
      </c>
      <c r="O47" s="84">
        <v>45038.0</v>
      </c>
      <c r="P47" s="85" t="str">
        <f t="shared" si="18"/>
        <v>2023</v>
      </c>
      <c r="Q47" s="86">
        <f t="shared" si="19"/>
        <v>10</v>
      </c>
      <c r="R47" s="85">
        <f t="shared" si="20"/>
        <v>0</v>
      </c>
      <c r="S47" s="61"/>
      <c r="T47" s="87"/>
      <c r="U47" s="96">
        <v>0.0</v>
      </c>
      <c r="V47" s="61"/>
      <c r="W47" s="61" t="s">
        <v>455</v>
      </c>
      <c r="X47" s="61"/>
      <c r="Y47" s="50" t="s">
        <v>161</v>
      </c>
      <c r="Z47" s="50" t="s">
        <v>175</v>
      </c>
      <c r="AA47" s="50" t="s">
        <v>175</v>
      </c>
      <c r="AB47" s="50" t="s">
        <v>175</v>
      </c>
      <c r="AC47" s="65" t="s">
        <v>161</v>
      </c>
      <c r="AD47" s="66"/>
      <c r="AE47" s="108" t="s">
        <v>220</v>
      </c>
    </row>
    <row r="48">
      <c r="A48" s="31" t="s">
        <v>64</v>
      </c>
      <c r="B48" s="31" t="s">
        <v>19</v>
      </c>
      <c r="C48" s="32" t="s">
        <v>1130</v>
      </c>
      <c r="D48" s="33">
        <v>600731.0</v>
      </c>
      <c r="E48" s="31" t="s">
        <v>460</v>
      </c>
      <c r="F48" s="31" t="s">
        <v>461</v>
      </c>
      <c r="G48" s="31" t="s">
        <v>462</v>
      </c>
      <c r="H48" s="31" t="s">
        <v>232</v>
      </c>
      <c r="I48" s="100" t="s">
        <v>104</v>
      </c>
      <c r="J48" s="100" t="s">
        <v>84</v>
      </c>
      <c r="K48" s="31" t="s">
        <v>84</v>
      </c>
      <c r="L48" s="31" t="s">
        <v>181</v>
      </c>
      <c r="M48" s="37">
        <v>45034.0</v>
      </c>
      <c r="N48" s="33">
        <v>2023.0</v>
      </c>
      <c r="O48" s="37">
        <v>46387.0</v>
      </c>
      <c r="P48" s="39">
        <v>2026.0</v>
      </c>
      <c r="Q48" s="40">
        <v>1353.0</v>
      </c>
      <c r="R48" s="39">
        <v>4.0</v>
      </c>
      <c r="S48" s="41"/>
      <c r="T48" s="74"/>
      <c r="U48" s="43">
        <v>1.0</v>
      </c>
      <c r="V48" s="41"/>
      <c r="W48" s="31" t="s">
        <v>474</v>
      </c>
      <c r="X48" s="31" t="s">
        <v>474</v>
      </c>
      <c r="Y48" s="31" t="s">
        <v>161</v>
      </c>
      <c r="Z48" s="31" t="s">
        <v>777</v>
      </c>
      <c r="AA48" s="31" t="s">
        <v>14</v>
      </c>
      <c r="AB48" s="31" t="s">
        <v>768</v>
      </c>
      <c r="AC48" s="46" t="s">
        <v>128</v>
      </c>
      <c r="AD48" s="46" t="s">
        <v>1136</v>
      </c>
      <c r="AE48" s="49"/>
    </row>
    <row r="49">
      <c r="A49" s="61" t="s">
        <v>64</v>
      </c>
      <c r="B49" s="61" t="s">
        <v>67</v>
      </c>
      <c r="C49" s="82" t="s">
        <v>1137</v>
      </c>
      <c r="D49" s="83"/>
      <c r="E49" s="61" t="s">
        <v>479</v>
      </c>
      <c r="F49" s="61" t="s">
        <v>480</v>
      </c>
      <c r="G49" s="61" t="s">
        <v>482</v>
      </c>
      <c r="H49" s="50" t="s">
        <v>103</v>
      </c>
      <c r="I49" s="50" t="s">
        <v>289</v>
      </c>
      <c r="J49" s="50" t="s">
        <v>289</v>
      </c>
      <c r="K49" s="50" t="s">
        <v>289</v>
      </c>
      <c r="L49" s="50" t="s">
        <v>289</v>
      </c>
      <c r="M49" s="84">
        <v>45035.0</v>
      </c>
      <c r="N49" s="84" t="str">
        <f t="shared" ref="N49:N57" si="21">right(M49,4)</f>
        <v>2023</v>
      </c>
      <c r="O49" s="84">
        <v>45218.0</v>
      </c>
      <c r="P49" s="85" t="str">
        <f t="shared" ref="P49:P57" si="22">right(O49,4)</f>
        <v>2023</v>
      </c>
      <c r="Q49" s="86">
        <f t="shared" ref="Q49:Q57" si="23">DATEDIF(M49,O49,"d")</f>
        <v>183</v>
      </c>
      <c r="R49" s="85">
        <f t="shared" ref="R49:R57" si="24">DATEDIF(M49,O49,"y")</f>
        <v>0</v>
      </c>
      <c r="S49" s="61"/>
      <c r="T49" s="87"/>
      <c r="U49" s="62">
        <v>0.0</v>
      </c>
      <c r="V49" s="61"/>
      <c r="W49" s="61" t="s">
        <v>493</v>
      </c>
      <c r="X49" s="61"/>
      <c r="Y49" s="50" t="s">
        <v>161</v>
      </c>
      <c r="Z49" s="50" t="s">
        <v>289</v>
      </c>
      <c r="AA49" s="50" t="s">
        <v>289</v>
      </c>
      <c r="AB49" s="50" t="s">
        <v>289</v>
      </c>
      <c r="AC49" s="65" t="s">
        <v>161</v>
      </c>
      <c r="AD49" s="66"/>
      <c r="AE49" s="67"/>
    </row>
    <row r="50">
      <c r="A50" s="41" t="s">
        <v>64</v>
      </c>
      <c r="B50" s="41" t="s">
        <v>67</v>
      </c>
      <c r="C50" s="68" t="s">
        <v>1146</v>
      </c>
      <c r="D50" s="110"/>
      <c r="E50" s="41" t="s">
        <v>512</v>
      </c>
      <c r="F50" s="41" t="s">
        <v>514</v>
      </c>
      <c r="G50" s="41" t="s">
        <v>517</v>
      </c>
      <c r="H50" s="31" t="s">
        <v>103</v>
      </c>
      <c r="I50" s="77" t="s">
        <v>106</v>
      </c>
      <c r="J50" s="104" t="s">
        <v>175</v>
      </c>
      <c r="K50" s="104" t="s">
        <v>175</v>
      </c>
      <c r="L50" s="104" t="s">
        <v>175</v>
      </c>
      <c r="M50" s="70">
        <v>45041.0</v>
      </c>
      <c r="N50" s="70" t="str">
        <f t="shared" si="21"/>
        <v>2023</v>
      </c>
      <c r="O50" s="70">
        <v>45048.0</v>
      </c>
      <c r="P50" s="93" t="str">
        <f t="shared" si="22"/>
        <v>2023</v>
      </c>
      <c r="Q50" s="73">
        <f t="shared" si="23"/>
        <v>7</v>
      </c>
      <c r="R50" s="93">
        <f t="shared" si="24"/>
        <v>0</v>
      </c>
      <c r="S50" s="41"/>
      <c r="T50" s="74"/>
      <c r="U50" s="75">
        <v>0.0</v>
      </c>
      <c r="V50" s="41"/>
      <c r="W50" s="41" t="s">
        <v>523</v>
      </c>
      <c r="X50" s="41"/>
      <c r="Y50" s="31" t="s">
        <v>161</v>
      </c>
      <c r="Z50" s="31" t="s">
        <v>175</v>
      </c>
      <c r="AA50" s="31" t="s">
        <v>175</v>
      </c>
      <c r="AB50" s="31" t="s">
        <v>175</v>
      </c>
      <c r="AC50" s="46" t="s">
        <v>161</v>
      </c>
      <c r="AD50" s="47"/>
      <c r="AE50" s="78" t="s">
        <v>220</v>
      </c>
    </row>
    <row r="51">
      <c r="A51" s="61" t="s">
        <v>64</v>
      </c>
      <c r="B51" s="61" t="s">
        <v>67</v>
      </c>
      <c r="C51" s="82" t="s">
        <v>1150</v>
      </c>
      <c r="D51" s="83"/>
      <c r="E51" s="61" t="s">
        <v>525</v>
      </c>
      <c r="F51" s="61" t="s">
        <v>527</v>
      </c>
      <c r="G51" s="61" t="s">
        <v>528</v>
      </c>
      <c r="H51" s="50" t="s">
        <v>103</v>
      </c>
      <c r="I51" s="97" t="s">
        <v>106</v>
      </c>
      <c r="J51" s="106" t="s">
        <v>175</v>
      </c>
      <c r="K51" s="61" t="s">
        <v>84</v>
      </c>
      <c r="L51" s="106" t="s">
        <v>175</v>
      </c>
      <c r="M51" s="84">
        <v>45043.0</v>
      </c>
      <c r="N51" s="84" t="str">
        <f t="shared" si="21"/>
        <v>2023</v>
      </c>
      <c r="O51" s="84">
        <v>45291.0</v>
      </c>
      <c r="P51" s="85" t="str">
        <f t="shared" si="22"/>
        <v>2023</v>
      </c>
      <c r="Q51" s="86">
        <f t="shared" si="23"/>
        <v>248</v>
      </c>
      <c r="R51" s="85">
        <f t="shared" si="24"/>
        <v>0</v>
      </c>
      <c r="S51" s="61"/>
      <c r="T51" s="87"/>
      <c r="U51" s="96">
        <v>0.0</v>
      </c>
      <c r="V51" s="61"/>
      <c r="W51" s="61" t="s">
        <v>532</v>
      </c>
      <c r="X51" s="61"/>
      <c r="Y51" s="50" t="s">
        <v>161</v>
      </c>
      <c r="Z51" s="50" t="s">
        <v>175</v>
      </c>
      <c r="AA51" s="50" t="s">
        <v>175</v>
      </c>
      <c r="AB51" s="50" t="s">
        <v>175</v>
      </c>
      <c r="AC51" s="65" t="s">
        <v>161</v>
      </c>
      <c r="AD51" s="66"/>
      <c r="AE51" s="108" t="s">
        <v>220</v>
      </c>
    </row>
    <row r="52">
      <c r="A52" s="41" t="s">
        <v>64</v>
      </c>
      <c r="B52" s="41" t="s">
        <v>67</v>
      </c>
      <c r="C52" s="68" t="s">
        <v>1155</v>
      </c>
      <c r="D52" s="110"/>
      <c r="E52" s="41" t="s">
        <v>555</v>
      </c>
      <c r="F52" s="41" t="s">
        <v>557</v>
      </c>
      <c r="G52" s="41" t="s">
        <v>559</v>
      </c>
      <c r="H52" s="31" t="s">
        <v>103</v>
      </c>
      <c r="I52" s="77" t="s">
        <v>106</v>
      </c>
      <c r="J52" s="104" t="s">
        <v>175</v>
      </c>
      <c r="K52" s="104" t="s">
        <v>175</v>
      </c>
      <c r="L52" s="104" t="s">
        <v>175</v>
      </c>
      <c r="M52" s="70">
        <v>45054.0</v>
      </c>
      <c r="N52" s="70" t="str">
        <f t="shared" si="21"/>
        <v>2023</v>
      </c>
      <c r="O52" s="70">
        <v>45061.0</v>
      </c>
      <c r="P52" s="93" t="str">
        <f t="shared" si="22"/>
        <v>2023</v>
      </c>
      <c r="Q52" s="73">
        <f t="shared" si="23"/>
        <v>7</v>
      </c>
      <c r="R52" s="93">
        <f t="shared" si="24"/>
        <v>0</v>
      </c>
      <c r="S52" s="41"/>
      <c r="T52" s="74"/>
      <c r="U52" s="75">
        <v>0.0</v>
      </c>
      <c r="V52" s="41"/>
      <c r="W52" s="41" t="s">
        <v>565</v>
      </c>
      <c r="X52" s="41"/>
      <c r="Y52" s="31" t="s">
        <v>161</v>
      </c>
      <c r="Z52" s="31" t="s">
        <v>175</v>
      </c>
      <c r="AA52" s="31" t="s">
        <v>175</v>
      </c>
      <c r="AB52" s="31" t="s">
        <v>175</v>
      </c>
      <c r="AC52" s="46" t="s">
        <v>161</v>
      </c>
      <c r="AD52" s="47"/>
      <c r="AE52" s="78" t="s">
        <v>220</v>
      </c>
    </row>
    <row r="53">
      <c r="A53" s="50" t="s">
        <v>169</v>
      </c>
      <c r="B53" s="61" t="s">
        <v>67</v>
      </c>
      <c r="C53" s="82" t="s">
        <v>1157</v>
      </c>
      <c r="D53" s="83"/>
      <c r="E53" s="61" t="s">
        <v>538</v>
      </c>
      <c r="F53" s="61" t="s">
        <v>539</v>
      </c>
      <c r="G53" s="61" t="s">
        <v>540</v>
      </c>
      <c r="H53" s="50" t="s">
        <v>103</v>
      </c>
      <c r="I53" s="50" t="s">
        <v>289</v>
      </c>
      <c r="J53" s="50" t="s">
        <v>289</v>
      </c>
      <c r="K53" s="61" t="s">
        <v>84</v>
      </c>
      <c r="L53" s="50" t="s">
        <v>289</v>
      </c>
      <c r="M53" s="84">
        <v>45054.0</v>
      </c>
      <c r="N53" s="84" t="str">
        <f t="shared" si="21"/>
        <v>2023</v>
      </c>
      <c r="O53" s="84">
        <v>45498.0</v>
      </c>
      <c r="P53" s="85" t="str">
        <f t="shared" si="22"/>
        <v>2024</v>
      </c>
      <c r="Q53" s="86">
        <f t="shared" si="23"/>
        <v>444</v>
      </c>
      <c r="R53" s="85">
        <f t="shared" si="24"/>
        <v>1</v>
      </c>
      <c r="S53" s="61"/>
      <c r="T53" s="87"/>
      <c r="U53" s="62">
        <v>0.0</v>
      </c>
      <c r="V53" s="61" t="s">
        <v>548</v>
      </c>
      <c r="W53" s="61" t="s">
        <v>546</v>
      </c>
      <c r="X53" s="61"/>
      <c r="Y53" s="50" t="s">
        <v>161</v>
      </c>
      <c r="Z53" s="61" t="s">
        <v>259</v>
      </c>
      <c r="AA53" s="50" t="s">
        <v>289</v>
      </c>
      <c r="AB53" s="61" t="s">
        <v>552</v>
      </c>
      <c r="AC53" s="65" t="s">
        <v>161</v>
      </c>
      <c r="AD53" s="66"/>
      <c r="AE53" s="67"/>
    </row>
    <row r="54">
      <c r="A54" s="41" t="s">
        <v>64</v>
      </c>
      <c r="B54" s="41" t="s">
        <v>67</v>
      </c>
      <c r="C54" s="68" t="s">
        <v>1159</v>
      </c>
      <c r="D54" s="110"/>
      <c r="E54" s="41" t="s">
        <v>571</v>
      </c>
      <c r="F54" s="41" t="s">
        <v>573</v>
      </c>
      <c r="G54" s="41" t="s">
        <v>574</v>
      </c>
      <c r="H54" s="31" t="s">
        <v>103</v>
      </c>
      <c r="I54" s="77" t="s">
        <v>106</v>
      </c>
      <c r="J54" s="104" t="s">
        <v>175</v>
      </c>
      <c r="K54" s="104" t="s">
        <v>175</v>
      </c>
      <c r="L54" s="104" t="s">
        <v>175</v>
      </c>
      <c r="M54" s="70">
        <v>45056.0</v>
      </c>
      <c r="N54" s="70" t="str">
        <f t="shared" si="21"/>
        <v>2023</v>
      </c>
      <c r="O54" s="70">
        <v>45063.0</v>
      </c>
      <c r="P54" s="93" t="str">
        <f t="shared" si="22"/>
        <v>2023</v>
      </c>
      <c r="Q54" s="73">
        <f t="shared" si="23"/>
        <v>7</v>
      </c>
      <c r="R54" s="93">
        <f t="shared" si="24"/>
        <v>0</v>
      </c>
      <c r="S54" s="41"/>
      <c r="T54" s="74"/>
      <c r="U54" s="75">
        <v>0.0</v>
      </c>
      <c r="V54" s="41"/>
      <c r="W54" s="41" t="s">
        <v>582</v>
      </c>
      <c r="X54" s="41"/>
      <c r="Y54" s="31" t="s">
        <v>161</v>
      </c>
      <c r="Z54" s="31" t="s">
        <v>175</v>
      </c>
      <c r="AA54" s="31" t="s">
        <v>175</v>
      </c>
      <c r="AB54" s="31" t="s">
        <v>175</v>
      </c>
      <c r="AC54" s="46" t="s">
        <v>161</v>
      </c>
      <c r="AD54" s="47"/>
      <c r="AE54" s="78" t="s">
        <v>220</v>
      </c>
    </row>
    <row r="55">
      <c r="A55" s="61" t="s">
        <v>64</v>
      </c>
      <c r="B55" s="61" t="s">
        <v>67</v>
      </c>
      <c r="C55" s="82" t="s">
        <v>1161</v>
      </c>
      <c r="D55" s="83"/>
      <c r="E55" s="61" t="s">
        <v>588</v>
      </c>
      <c r="F55" s="61" t="s">
        <v>592</v>
      </c>
      <c r="G55" s="61" t="s">
        <v>593</v>
      </c>
      <c r="H55" s="50" t="s">
        <v>84</v>
      </c>
      <c r="I55" s="97" t="s">
        <v>106</v>
      </c>
      <c r="J55" s="106" t="s">
        <v>175</v>
      </c>
      <c r="K55" s="61" t="s">
        <v>84</v>
      </c>
      <c r="L55" s="106" t="s">
        <v>175</v>
      </c>
      <c r="M55" s="84">
        <v>45056.0</v>
      </c>
      <c r="N55" s="84" t="str">
        <f t="shared" si="21"/>
        <v>2023</v>
      </c>
      <c r="O55" s="84">
        <v>45291.0</v>
      </c>
      <c r="P55" s="85" t="str">
        <f t="shared" si="22"/>
        <v>2023</v>
      </c>
      <c r="Q55" s="86">
        <f t="shared" si="23"/>
        <v>235</v>
      </c>
      <c r="R55" s="85">
        <f t="shared" si="24"/>
        <v>0</v>
      </c>
      <c r="S55" s="61"/>
      <c r="T55" s="87"/>
      <c r="U55" s="96">
        <v>0.0</v>
      </c>
      <c r="V55" s="61"/>
      <c r="W55" s="61" t="s">
        <v>603</v>
      </c>
      <c r="X55" s="61"/>
      <c r="Y55" s="50" t="s">
        <v>161</v>
      </c>
      <c r="Z55" s="50" t="s">
        <v>175</v>
      </c>
      <c r="AA55" s="50" t="s">
        <v>175</v>
      </c>
      <c r="AB55" s="50" t="s">
        <v>175</v>
      </c>
      <c r="AC55" s="65" t="s">
        <v>161</v>
      </c>
      <c r="AD55" s="66"/>
      <c r="AE55" s="108" t="s">
        <v>220</v>
      </c>
    </row>
    <row r="56">
      <c r="A56" s="41" t="s">
        <v>64</v>
      </c>
      <c r="B56" s="41" t="s">
        <v>67</v>
      </c>
      <c r="C56" s="68" t="s">
        <v>1163</v>
      </c>
      <c r="D56" s="110"/>
      <c r="E56" s="41" t="s">
        <v>608</v>
      </c>
      <c r="F56" s="41" t="s">
        <v>611</v>
      </c>
      <c r="G56" s="41" t="s">
        <v>612</v>
      </c>
      <c r="H56" s="31" t="s">
        <v>266</v>
      </c>
      <c r="I56" s="77" t="s">
        <v>106</v>
      </c>
      <c r="J56" s="104" t="s">
        <v>175</v>
      </c>
      <c r="K56" s="31" t="s">
        <v>236</v>
      </c>
      <c r="L56" s="104" t="s">
        <v>175</v>
      </c>
      <c r="M56" s="70">
        <v>45057.0</v>
      </c>
      <c r="N56" s="70" t="str">
        <f t="shared" si="21"/>
        <v>2023</v>
      </c>
      <c r="O56" s="70">
        <v>45092.0</v>
      </c>
      <c r="P56" s="93" t="str">
        <f t="shared" si="22"/>
        <v>2023</v>
      </c>
      <c r="Q56" s="73">
        <f t="shared" si="23"/>
        <v>35</v>
      </c>
      <c r="R56" s="93">
        <f t="shared" si="24"/>
        <v>0</v>
      </c>
      <c r="S56" s="41"/>
      <c r="T56" s="74"/>
      <c r="U56" s="75">
        <v>0.0</v>
      </c>
      <c r="V56" s="41" t="s">
        <v>616</v>
      </c>
      <c r="W56" s="41" t="s">
        <v>617</v>
      </c>
      <c r="X56" s="41"/>
      <c r="Y56" s="31" t="s">
        <v>161</v>
      </c>
      <c r="Z56" s="31" t="s">
        <v>175</v>
      </c>
      <c r="AA56" s="31" t="s">
        <v>175</v>
      </c>
      <c r="AB56" s="31" t="s">
        <v>175</v>
      </c>
      <c r="AC56" s="46" t="s">
        <v>161</v>
      </c>
      <c r="AD56" s="47"/>
      <c r="AE56" s="78" t="s">
        <v>220</v>
      </c>
    </row>
    <row r="57">
      <c r="A57" s="61" t="s">
        <v>64</v>
      </c>
      <c r="B57" s="61" t="s">
        <v>67</v>
      </c>
      <c r="C57" s="82" t="s">
        <v>1169</v>
      </c>
      <c r="D57" s="83"/>
      <c r="E57" s="61" t="s">
        <v>620</v>
      </c>
      <c r="F57" s="61" t="s">
        <v>622</v>
      </c>
      <c r="G57" s="61" t="s">
        <v>624</v>
      </c>
      <c r="H57" s="50" t="s">
        <v>103</v>
      </c>
      <c r="I57" s="97" t="s">
        <v>106</v>
      </c>
      <c r="J57" s="106" t="s">
        <v>175</v>
      </c>
      <c r="K57" s="106" t="s">
        <v>175</v>
      </c>
      <c r="L57" s="106" t="s">
        <v>175</v>
      </c>
      <c r="M57" s="84">
        <v>45057.0</v>
      </c>
      <c r="N57" s="84" t="str">
        <f t="shared" si="21"/>
        <v>2023</v>
      </c>
      <c r="O57" s="84">
        <v>45064.0</v>
      </c>
      <c r="P57" s="85" t="str">
        <f t="shared" si="22"/>
        <v>2023</v>
      </c>
      <c r="Q57" s="86">
        <f t="shared" si="23"/>
        <v>7</v>
      </c>
      <c r="R57" s="85">
        <f t="shared" si="24"/>
        <v>0</v>
      </c>
      <c r="S57" s="61"/>
      <c r="T57" s="87"/>
      <c r="U57" s="96">
        <v>0.0</v>
      </c>
      <c r="V57" s="61" t="s">
        <v>106</v>
      </c>
      <c r="W57" s="61" t="s">
        <v>635</v>
      </c>
      <c r="X57" s="61"/>
      <c r="Y57" s="50" t="s">
        <v>161</v>
      </c>
      <c r="Z57" s="50" t="s">
        <v>175</v>
      </c>
      <c r="AA57" s="50" t="s">
        <v>175</v>
      </c>
      <c r="AB57" s="50" t="s">
        <v>175</v>
      </c>
      <c r="AC57" s="65" t="s">
        <v>161</v>
      </c>
      <c r="AD57" s="66"/>
      <c r="AE57" s="108" t="s">
        <v>220</v>
      </c>
    </row>
    <row r="58">
      <c r="A58" s="31" t="s">
        <v>64</v>
      </c>
      <c r="B58" s="31" t="s">
        <v>19</v>
      </c>
      <c r="C58" s="32" t="s">
        <v>1171</v>
      </c>
      <c r="D58" s="33">
        <v>600157.0</v>
      </c>
      <c r="E58" s="31" t="s">
        <v>664</v>
      </c>
      <c r="F58" s="31" t="s">
        <v>666</v>
      </c>
      <c r="G58" s="31" t="s">
        <v>668</v>
      </c>
      <c r="H58" s="31" t="s">
        <v>103</v>
      </c>
      <c r="I58" s="35" t="s">
        <v>104</v>
      </c>
      <c r="J58" s="35" t="s">
        <v>84</v>
      </c>
      <c r="K58" s="31" t="s">
        <v>84</v>
      </c>
      <c r="L58" s="31" t="s">
        <v>181</v>
      </c>
      <c r="M58" s="37">
        <v>45061.0</v>
      </c>
      <c r="N58" s="33">
        <v>2023.0</v>
      </c>
      <c r="O58" s="37">
        <v>46387.0</v>
      </c>
      <c r="P58" s="39">
        <v>2026.0</v>
      </c>
      <c r="Q58" s="40">
        <v>1326.0</v>
      </c>
      <c r="R58" s="39">
        <v>4.0</v>
      </c>
      <c r="S58" s="31" t="s">
        <v>1177</v>
      </c>
      <c r="T58" s="33" t="s">
        <v>113</v>
      </c>
      <c r="U58" s="43">
        <v>2.0</v>
      </c>
      <c r="V58" s="31" t="s">
        <v>673</v>
      </c>
      <c r="W58" s="31" t="s">
        <v>675</v>
      </c>
      <c r="X58" s="31" t="s">
        <v>675</v>
      </c>
      <c r="Y58" s="31"/>
      <c r="Z58" s="103" t="s">
        <v>210</v>
      </c>
      <c r="AA58" s="31" t="s">
        <v>123</v>
      </c>
      <c r="AB58" s="31" t="s">
        <v>768</v>
      </c>
      <c r="AC58" s="46" t="s">
        <v>164</v>
      </c>
      <c r="AD58" s="47"/>
      <c r="AE58" s="49"/>
    </row>
    <row r="59">
      <c r="A59" s="61" t="s">
        <v>64</v>
      </c>
      <c r="B59" s="61" t="s">
        <v>67</v>
      </c>
      <c r="C59" s="82" t="s">
        <v>1181</v>
      </c>
      <c r="D59" s="83"/>
      <c r="E59" s="61" t="s">
        <v>639</v>
      </c>
      <c r="F59" s="61" t="s">
        <v>641</v>
      </c>
      <c r="G59" s="61" t="s">
        <v>642</v>
      </c>
      <c r="H59" s="61" t="s">
        <v>84</v>
      </c>
      <c r="I59" s="50" t="s">
        <v>289</v>
      </c>
      <c r="J59" s="50" t="s">
        <v>289</v>
      </c>
      <c r="K59" s="61" t="s">
        <v>84</v>
      </c>
      <c r="L59" s="50" t="s">
        <v>289</v>
      </c>
      <c r="M59" s="84">
        <v>45061.0</v>
      </c>
      <c r="N59" s="84" t="str">
        <f t="shared" ref="N59:N63" si="25">right(M59,4)</f>
        <v>2023</v>
      </c>
      <c r="O59" s="84">
        <v>45291.0</v>
      </c>
      <c r="P59" s="85" t="str">
        <f t="shared" ref="P59:P63" si="26">right(O59,4)</f>
        <v>2023</v>
      </c>
      <c r="Q59" s="86">
        <f t="shared" ref="Q59:Q63" si="27">DATEDIF(M59,O59,"d")</f>
        <v>230</v>
      </c>
      <c r="R59" s="85">
        <f t="shared" ref="R59:R63" si="28">DATEDIF(M59,O59,"y")</f>
        <v>0</v>
      </c>
      <c r="S59" s="61"/>
      <c r="T59" s="87"/>
      <c r="U59" s="62">
        <v>0.0</v>
      </c>
      <c r="V59" s="61" t="s">
        <v>654</v>
      </c>
      <c r="W59" s="61" t="s">
        <v>656</v>
      </c>
      <c r="X59" s="61"/>
      <c r="Y59" s="50" t="s">
        <v>161</v>
      </c>
      <c r="Z59" s="50" t="s">
        <v>289</v>
      </c>
      <c r="AA59" s="50" t="s">
        <v>289</v>
      </c>
      <c r="AB59" s="50" t="s">
        <v>289</v>
      </c>
      <c r="AC59" s="65" t="s">
        <v>161</v>
      </c>
      <c r="AD59" s="66"/>
      <c r="AE59" s="67"/>
    </row>
    <row r="60">
      <c r="A60" s="41" t="s">
        <v>64</v>
      </c>
      <c r="B60" s="41" t="s">
        <v>67</v>
      </c>
      <c r="C60" s="68" t="s">
        <v>1191</v>
      </c>
      <c r="D60" s="110"/>
      <c r="E60" s="41" t="s">
        <v>683</v>
      </c>
      <c r="F60" s="41" t="s">
        <v>684</v>
      </c>
      <c r="G60" s="41" t="s">
        <v>685</v>
      </c>
      <c r="H60" s="41" t="s">
        <v>84</v>
      </c>
      <c r="I60" s="35" t="s">
        <v>104</v>
      </c>
      <c r="J60" s="31" t="s">
        <v>289</v>
      </c>
      <c r="K60" s="31" t="s">
        <v>289</v>
      </c>
      <c r="L60" s="31" t="s">
        <v>289</v>
      </c>
      <c r="M60" s="70">
        <v>45065.0</v>
      </c>
      <c r="N60" s="70" t="str">
        <f t="shared" si="25"/>
        <v>2023</v>
      </c>
      <c r="O60" s="70">
        <v>45291.0</v>
      </c>
      <c r="P60" s="93" t="str">
        <f t="shared" si="26"/>
        <v>2023</v>
      </c>
      <c r="Q60" s="73">
        <f t="shared" si="27"/>
        <v>226</v>
      </c>
      <c r="R60" s="93">
        <f t="shared" si="28"/>
        <v>0</v>
      </c>
      <c r="S60" s="41"/>
      <c r="T60" s="74"/>
      <c r="U60" s="43">
        <v>0.0</v>
      </c>
      <c r="V60" s="41" t="s">
        <v>692</v>
      </c>
      <c r="W60" s="41" t="s">
        <v>697</v>
      </c>
      <c r="X60" s="41"/>
      <c r="Y60" s="31" t="s">
        <v>161</v>
      </c>
      <c r="Z60" s="41" t="s">
        <v>162</v>
      </c>
      <c r="AA60" s="31" t="s">
        <v>289</v>
      </c>
      <c r="AB60" s="31" t="s">
        <v>876</v>
      </c>
      <c r="AC60" s="46" t="s">
        <v>161</v>
      </c>
      <c r="AD60" s="46" t="s">
        <v>251</v>
      </c>
      <c r="AE60" s="111" t="s">
        <v>220</v>
      </c>
    </row>
    <row r="61">
      <c r="A61" s="61" t="s">
        <v>64</v>
      </c>
      <c r="B61" s="61" t="s">
        <v>67</v>
      </c>
      <c r="C61" s="82" t="s">
        <v>1198</v>
      </c>
      <c r="D61" s="83"/>
      <c r="E61" s="61" t="s">
        <v>700</v>
      </c>
      <c r="F61" s="61" t="s">
        <v>702</v>
      </c>
      <c r="G61" s="61" t="s">
        <v>704</v>
      </c>
      <c r="H61" s="61" t="s">
        <v>266</v>
      </c>
      <c r="I61" s="50" t="s">
        <v>289</v>
      </c>
      <c r="J61" s="50" t="s">
        <v>289</v>
      </c>
      <c r="K61" s="50" t="s">
        <v>289</v>
      </c>
      <c r="L61" s="50" t="s">
        <v>289</v>
      </c>
      <c r="M61" s="84">
        <v>45065.0</v>
      </c>
      <c r="N61" s="84" t="str">
        <f t="shared" si="25"/>
        <v>2023</v>
      </c>
      <c r="O61" s="84">
        <v>45291.0</v>
      </c>
      <c r="P61" s="85" t="str">
        <f t="shared" si="26"/>
        <v>2023</v>
      </c>
      <c r="Q61" s="86">
        <f t="shared" si="27"/>
        <v>226</v>
      </c>
      <c r="R61" s="85">
        <f t="shared" si="28"/>
        <v>0</v>
      </c>
      <c r="S61" s="61"/>
      <c r="T61" s="87"/>
      <c r="U61" s="62">
        <v>0.0</v>
      </c>
      <c r="V61" s="61"/>
      <c r="W61" s="61" t="s">
        <v>714</v>
      </c>
      <c r="X61" s="61"/>
      <c r="Y61" s="50" t="s">
        <v>161</v>
      </c>
      <c r="Z61" s="50" t="s">
        <v>289</v>
      </c>
      <c r="AA61" s="50" t="s">
        <v>289</v>
      </c>
      <c r="AB61" s="50" t="s">
        <v>289</v>
      </c>
      <c r="AC61" s="65" t="s">
        <v>161</v>
      </c>
      <c r="AD61" s="66"/>
      <c r="AE61" s="67"/>
    </row>
    <row r="62">
      <c r="A62" s="41" t="s">
        <v>64</v>
      </c>
      <c r="B62" s="41" t="s">
        <v>67</v>
      </c>
      <c r="C62" s="68" t="s">
        <v>1203</v>
      </c>
      <c r="D62" s="110"/>
      <c r="E62" s="41" t="s">
        <v>731</v>
      </c>
      <c r="F62" s="41" t="s">
        <v>732</v>
      </c>
      <c r="G62" s="41" t="s">
        <v>734</v>
      </c>
      <c r="H62" s="31" t="s">
        <v>103</v>
      </c>
      <c r="I62" s="77" t="s">
        <v>106</v>
      </c>
      <c r="J62" s="104" t="s">
        <v>175</v>
      </c>
      <c r="K62" s="104" t="s">
        <v>175</v>
      </c>
      <c r="L62" s="104" t="s">
        <v>175</v>
      </c>
      <c r="M62" s="70">
        <v>45071.0</v>
      </c>
      <c r="N62" s="70" t="str">
        <f t="shared" si="25"/>
        <v>2023</v>
      </c>
      <c r="O62" s="70">
        <v>45078.0</v>
      </c>
      <c r="P62" s="93" t="str">
        <f t="shared" si="26"/>
        <v>2023</v>
      </c>
      <c r="Q62" s="73">
        <f t="shared" si="27"/>
        <v>7</v>
      </c>
      <c r="R62" s="93">
        <f t="shared" si="28"/>
        <v>0</v>
      </c>
      <c r="S62" s="41"/>
      <c r="T62" s="74"/>
      <c r="U62" s="75">
        <v>0.0</v>
      </c>
      <c r="V62" s="41"/>
      <c r="W62" s="41" t="s">
        <v>743</v>
      </c>
      <c r="X62" s="41"/>
      <c r="Y62" s="31" t="s">
        <v>161</v>
      </c>
      <c r="Z62" s="31" t="s">
        <v>175</v>
      </c>
      <c r="AA62" s="31" t="s">
        <v>175</v>
      </c>
      <c r="AB62" s="31" t="s">
        <v>175</v>
      </c>
      <c r="AC62" s="46" t="s">
        <v>161</v>
      </c>
      <c r="AD62" s="47"/>
      <c r="AE62" s="78" t="s">
        <v>220</v>
      </c>
    </row>
    <row r="63">
      <c r="A63" s="61" t="s">
        <v>64</v>
      </c>
      <c r="B63" s="61" t="s">
        <v>67</v>
      </c>
      <c r="C63" s="82" t="s">
        <v>1207</v>
      </c>
      <c r="D63" s="83"/>
      <c r="E63" s="61" t="s">
        <v>747</v>
      </c>
      <c r="F63" s="61" t="s">
        <v>750</v>
      </c>
      <c r="G63" s="61" t="s">
        <v>751</v>
      </c>
      <c r="H63" s="50" t="s">
        <v>103</v>
      </c>
      <c r="I63" s="97" t="s">
        <v>106</v>
      </c>
      <c r="J63" s="106" t="s">
        <v>175</v>
      </c>
      <c r="K63" s="106" t="s">
        <v>175</v>
      </c>
      <c r="L63" s="106" t="s">
        <v>175</v>
      </c>
      <c r="M63" s="84">
        <v>45075.0</v>
      </c>
      <c r="N63" s="84" t="str">
        <f t="shared" si="25"/>
        <v>2023</v>
      </c>
      <c r="O63" s="84">
        <v>45082.0</v>
      </c>
      <c r="P63" s="85" t="str">
        <f t="shared" si="26"/>
        <v>2023</v>
      </c>
      <c r="Q63" s="86">
        <f t="shared" si="27"/>
        <v>7</v>
      </c>
      <c r="R63" s="85">
        <f t="shared" si="28"/>
        <v>0</v>
      </c>
      <c r="S63" s="61"/>
      <c r="T63" s="87"/>
      <c r="U63" s="96">
        <v>0.0</v>
      </c>
      <c r="V63" s="61"/>
      <c r="W63" s="61" t="s">
        <v>757</v>
      </c>
      <c r="X63" s="61"/>
      <c r="Y63" s="50" t="s">
        <v>161</v>
      </c>
      <c r="Z63" s="50" t="s">
        <v>175</v>
      </c>
      <c r="AA63" s="50" t="s">
        <v>175</v>
      </c>
      <c r="AB63" s="50" t="s">
        <v>175</v>
      </c>
      <c r="AC63" s="65" t="s">
        <v>161</v>
      </c>
      <c r="AD63" s="66"/>
      <c r="AE63" s="108" t="s">
        <v>220</v>
      </c>
    </row>
    <row r="64">
      <c r="A64" s="31" t="s">
        <v>64</v>
      </c>
      <c r="B64" s="31" t="s">
        <v>19</v>
      </c>
      <c r="C64" s="32" t="s">
        <v>1211</v>
      </c>
      <c r="D64" s="33">
        <v>600114.0</v>
      </c>
      <c r="E64" s="31" t="s">
        <v>760</v>
      </c>
      <c r="F64" s="31" t="s">
        <v>761</v>
      </c>
      <c r="G64" s="31" t="s">
        <v>762</v>
      </c>
      <c r="H64" s="31" t="s">
        <v>178</v>
      </c>
      <c r="I64" s="35" t="s">
        <v>708</v>
      </c>
      <c r="J64" s="35" t="s">
        <v>84</v>
      </c>
      <c r="K64" s="31" t="s">
        <v>84</v>
      </c>
      <c r="L64" s="31" t="s">
        <v>181</v>
      </c>
      <c r="M64" s="37">
        <v>45077.0</v>
      </c>
      <c r="N64" s="33">
        <v>2023.0</v>
      </c>
      <c r="O64" s="37">
        <v>46568.0</v>
      </c>
      <c r="P64" s="40">
        <v>2027.0</v>
      </c>
      <c r="Q64" s="40">
        <v>1491.0</v>
      </c>
      <c r="R64" s="40">
        <v>5.0</v>
      </c>
      <c r="S64" s="41"/>
      <c r="T64" s="33" t="s">
        <v>113</v>
      </c>
      <c r="U64" s="43">
        <v>4.0</v>
      </c>
      <c r="V64" s="31" t="s">
        <v>1214</v>
      </c>
      <c r="W64" s="31" t="s">
        <v>776</v>
      </c>
      <c r="X64" s="31" t="s">
        <v>776</v>
      </c>
      <c r="Y64" s="31" t="s">
        <v>161</v>
      </c>
      <c r="Z64" s="31" t="s">
        <v>210</v>
      </c>
      <c r="AA64" s="31" t="s">
        <v>14</v>
      </c>
      <c r="AB64" s="31" t="s">
        <v>124</v>
      </c>
      <c r="AC64" s="46" t="s">
        <v>337</v>
      </c>
      <c r="AD64" s="47"/>
      <c r="AE64" s="49"/>
    </row>
    <row r="65">
      <c r="A65" s="50" t="s">
        <v>169</v>
      </c>
      <c r="B65" s="61" t="s">
        <v>67</v>
      </c>
      <c r="C65" s="82" t="s">
        <v>1215</v>
      </c>
      <c r="D65" s="87">
        <v>600094.0</v>
      </c>
      <c r="E65" s="61" t="s">
        <v>717</v>
      </c>
      <c r="F65" s="61" t="s">
        <v>719</v>
      </c>
      <c r="G65" s="61" t="s">
        <v>721</v>
      </c>
      <c r="H65" s="50" t="s">
        <v>103</v>
      </c>
      <c r="I65" s="50" t="s">
        <v>289</v>
      </c>
      <c r="J65" s="50" t="s">
        <v>289</v>
      </c>
      <c r="K65" s="61" t="s">
        <v>723</v>
      </c>
      <c r="L65" s="50" t="s">
        <v>289</v>
      </c>
      <c r="M65" s="84">
        <v>45077.0</v>
      </c>
      <c r="N65" s="84" t="str">
        <f t="shared" ref="N65:N74" si="29">right(M65,4)</f>
        <v>2023</v>
      </c>
      <c r="O65" s="84">
        <v>45808.0</v>
      </c>
      <c r="P65" s="85" t="str">
        <f t="shared" ref="P65:P74" si="30">right(O65,4)</f>
        <v>2025</v>
      </c>
      <c r="Q65" s="86">
        <f t="shared" ref="Q65:Q74" si="31">DATEDIF(M65,O65,"d")</f>
        <v>731</v>
      </c>
      <c r="R65" s="85">
        <f t="shared" ref="R65:R74" si="32">DATEDIF(M65,O65,"y")</f>
        <v>2</v>
      </c>
      <c r="S65" s="61"/>
      <c r="T65" s="87"/>
      <c r="U65" s="62">
        <v>2.0</v>
      </c>
      <c r="V65" s="61" t="s">
        <v>725</v>
      </c>
      <c r="W65" s="61" t="s">
        <v>726</v>
      </c>
      <c r="X65" s="61" t="s">
        <v>726</v>
      </c>
      <c r="Y65" s="50" t="s">
        <v>161</v>
      </c>
      <c r="Z65" s="50" t="s">
        <v>311</v>
      </c>
      <c r="AA65" s="50" t="s">
        <v>261</v>
      </c>
      <c r="AB65" s="61" t="s">
        <v>552</v>
      </c>
      <c r="AC65" s="65" t="s">
        <v>276</v>
      </c>
      <c r="AD65" s="66"/>
      <c r="AE65" s="67"/>
    </row>
    <row r="66">
      <c r="A66" s="31" t="s">
        <v>169</v>
      </c>
      <c r="B66" s="41" t="s">
        <v>67</v>
      </c>
      <c r="C66" s="68" t="s">
        <v>1217</v>
      </c>
      <c r="D66" s="110"/>
      <c r="E66" s="41" t="s">
        <v>826</v>
      </c>
      <c r="F66" s="41" t="s">
        <v>827</v>
      </c>
      <c r="G66" s="41" t="s">
        <v>828</v>
      </c>
      <c r="H66" s="31" t="s">
        <v>103</v>
      </c>
      <c r="I66" s="31" t="s">
        <v>289</v>
      </c>
      <c r="J66" s="31" t="s">
        <v>289</v>
      </c>
      <c r="K66" s="41" t="s">
        <v>84</v>
      </c>
      <c r="L66" s="31" t="s">
        <v>289</v>
      </c>
      <c r="M66" s="70">
        <v>45078.0</v>
      </c>
      <c r="N66" s="70" t="str">
        <f t="shared" si="29"/>
        <v>2023</v>
      </c>
      <c r="O66" s="70">
        <v>45490.0</v>
      </c>
      <c r="P66" s="93" t="str">
        <f t="shared" si="30"/>
        <v>2024</v>
      </c>
      <c r="Q66" s="73">
        <f t="shared" si="31"/>
        <v>412</v>
      </c>
      <c r="R66" s="93">
        <f t="shared" si="32"/>
        <v>1</v>
      </c>
      <c r="S66" s="41"/>
      <c r="T66" s="74"/>
      <c r="U66" s="43">
        <v>1.0</v>
      </c>
      <c r="V66" s="41" t="s">
        <v>843</v>
      </c>
      <c r="W66" s="41" t="s">
        <v>847</v>
      </c>
      <c r="X66" s="41"/>
      <c r="Y66" s="31" t="s">
        <v>161</v>
      </c>
      <c r="Z66" s="41" t="s">
        <v>259</v>
      </c>
      <c r="AA66" s="31" t="s">
        <v>261</v>
      </c>
      <c r="AB66" s="41" t="s">
        <v>262</v>
      </c>
      <c r="AC66" s="46" t="s">
        <v>161</v>
      </c>
      <c r="AD66" s="47"/>
      <c r="AE66" s="49"/>
    </row>
    <row r="67">
      <c r="A67" s="50" t="s">
        <v>169</v>
      </c>
      <c r="B67" s="61" t="s">
        <v>67</v>
      </c>
      <c r="C67" s="82" t="s">
        <v>1219</v>
      </c>
      <c r="D67" s="83"/>
      <c r="E67" s="61" t="s">
        <v>853</v>
      </c>
      <c r="F67" s="61" t="s">
        <v>855</v>
      </c>
      <c r="G67" s="61" t="s">
        <v>856</v>
      </c>
      <c r="H67" s="50" t="s">
        <v>103</v>
      </c>
      <c r="I67" s="50" t="s">
        <v>289</v>
      </c>
      <c r="J67" s="50" t="s">
        <v>289</v>
      </c>
      <c r="K67" s="61" t="s">
        <v>248</v>
      </c>
      <c r="L67" s="50" t="s">
        <v>289</v>
      </c>
      <c r="M67" s="84">
        <v>45079.0</v>
      </c>
      <c r="N67" s="84" t="str">
        <f t="shared" si="29"/>
        <v>2023</v>
      </c>
      <c r="O67" s="84">
        <v>45444.0</v>
      </c>
      <c r="P67" s="85" t="str">
        <f t="shared" si="30"/>
        <v>2024</v>
      </c>
      <c r="Q67" s="86">
        <f t="shared" si="31"/>
        <v>365</v>
      </c>
      <c r="R67" s="85">
        <f t="shared" si="32"/>
        <v>0</v>
      </c>
      <c r="S67" s="61"/>
      <c r="T67" s="87"/>
      <c r="U67" s="62">
        <v>0.0</v>
      </c>
      <c r="V67" s="61"/>
      <c r="W67" s="61" t="s">
        <v>864</v>
      </c>
      <c r="X67" s="61"/>
      <c r="Y67" s="50" t="s">
        <v>161</v>
      </c>
      <c r="Z67" s="61" t="s">
        <v>259</v>
      </c>
      <c r="AA67" s="50" t="s">
        <v>261</v>
      </c>
      <c r="AB67" s="61" t="s">
        <v>370</v>
      </c>
      <c r="AC67" s="65" t="s">
        <v>161</v>
      </c>
      <c r="AD67" s="66"/>
      <c r="AE67" s="67"/>
    </row>
    <row r="68">
      <c r="A68" s="41" t="s">
        <v>64</v>
      </c>
      <c r="B68" s="41" t="s">
        <v>67</v>
      </c>
      <c r="C68" s="68" t="s">
        <v>1224</v>
      </c>
      <c r="D68" s="110"/>
      <c r="E68" s="41" t="s">
        <v>868</v>
      </c>
      <c r="F68" s="41" t="s">
        <v>869</v>
      </c>
      <c r="G68" s="41" t="s">
        <v>870</v>
      </c>
      <c r="H68" s="31" t="s">
        <v>103</v>
      </c>
      <c r="I68" s="31" t="s">
        <v>289</v>
      </c>
      <c r="J68" s="31" t="s">
        <v>289</v>
      </c>
      <c r="K68" s="31" t="s">
        <v>1225</v>
      </c>
      <c r="L68" s="31" t="s">
        <v>289</v>
      </c>
      <c r="M68" s="70">
        <v>45079.0</v>
      </c>
      <c r="N68" s="70" t="str">
        <f t="shared" si="29"/>
        <v>2023</v>
      </c>
      <c r="O68" s="70">
        <v>45445.0</v>
      </c>
      <c r="P68" s="93" t="str">
        <f t="shared" si="30"/>
        <v>2024</v>
      </c>
      <c r="Q68" s="73">
        <f t="shared" si="31"/>
        <v>366</v>
      </c>
      <c r="R68" s="93">
        <f t="shared" si="32"/>
        <v>1</v>
      </c>
      <c r="S68" s="41"/>
      <c r="T68" s="74"/>
      <c r="U68" s="43">
        <v>0.0</v>
      </c>
      <c r="V68" s="41" t="s">
        <v>895</v>
      </c>
      <c r="W68" s="41" t="s">
        <v>884</v>
      </c>
      <c r="X68" s="41"/>
      <c r="Y68" s="31" t="s">
        <v>161</v>
      </c>
      <c r="Z68" s="41" t="s">
        <v>162</v>
      </c>
      <c r="AA68" s="31" t="s">
        <v>261</v>
      </c>
      <c r="AB68" s="31" t="s">
        <v>124</v>
      </c>
      <c r="AC68" s="46" t="s">
        <v>337</v>
      </c>
      <c r="AD68" s="47"/>
      <c r="AE68" s="49"/>
    </row>
    <row r="69">
      <c r="A69" s="61" t="s">
        <v>64</v>
      </c>
      <c r="B69" s="61" t="s">
        <v>67</v>
      </c>
      <c r="C69" s="82" t="s">
        <v>1231</v>
      </c>
      <c r="D69" s="87">
        <v>600116.0</v>
      </c>
      <c r="E69" s="61" t="s">
        <v>899</v>
      </c>
      <c r="F69" s="61" t="s">
        <v>900</v>
      </c>
      <c r="G69" s="61" t="s">
        <v>901</v>
      </c>
      <c r="H69" s="50" t="s">
        <v>103</v>
      </c>
      <c r="I69" s="50" t="s">
        <v>289</v>
      </c>
      <c r="J69" s="50" t="s">
        <v>289</v>
      </c>
      <c r="K69" s="50" t="s">
        <v>236</v>
      </c>
      <c r="L69" s="50" t="s">
        <v>289</v>
      </c>
      <c r="M69" s="84">
        <v>45079.0</v>
      </c>
      <c r="N69" s="84" t="str">
        <f t="shared" si="29"/>
        <v>2023</v>
      </c>
      <c r="O69" s="84">
        <v>45262.0</v>
      </c>
      <c r="P69" s="85" t="str">
        <f t="shared" si="30"/>
        <v>2023</v>
      </c>
      <c r="Q69" s="86">
        <f t="shared" si="31"/>
        <v>183</v>
      </c>
      <c r="R69" s="85">
        <f t="shared" si="32"/>
        <v>0</v>
      </c>
      <c r="S69" s="61"/>
      <c r="T69" s="87"/>
      <c r="U69" s="62">
        <v>0.0</v>
      </c>
      <c r="V69" s="61" t="s">
        <v>908</v>
      </c>
      <c r="W69" s="61" t="s">
        <v>912</v>
      </c>
      <c r="X69" s="61"/>
      <c r="Y69" s="50" t="s">
        <v>161</v>
      </c>
      <c r="Z69" s="61" t="s">
        <v>162</v>
      </c>
      <c r="AA69" s="50" t="s">
        <v>261</v>
      </c>
      <c r="AB69" s="50" t="s">
        <v>124</v>
      </c>
      <c r="AC69" s="65" t="s">
        <v>337</v>
      </c>
      <c r="AD69" s="66"/>
      <c r="AE69" s="67"/>
    </row>
    <row r="70">
      <c r="A70" s="41" t="s">
        <v>64</v>
      </c>
      <c r="B70" s="41" t="s">
        <v>67</v>
      </c>
      <c r="C70" s="68" t="s">
        <v>1240</v>
      </c>
      <c r="D70" s="110"/>
      <c r="E70" s="41" t="s">
        <v>916</v>
      </c>
      <c r="F70" s="41" t="s">
        <v>918</v>
      </c>
      <c r="G70" s="41" t="s">
        <v>919</v>
      </c>
      <c r="H70" s="41" t="s">
        <v>266</v>
      </c>
      <c r="I70" s="31" t="s">
        <v>289</v>
      </c>
      <c r="J70" s="31" t="s">
        <v>289</v>
      </c>
      <c r="K70" s="31" t="s">
        <v>236</v>
      </c>
      <c r="L70" s="31" t="s">
        <v>289</v>
      </c>
      <c r="M70" s="70">
        <v>45083.0</v>
      </c>
      <c r="N70" s="70" t="str">
        <f t="shared" si="29"/>
        <v>2023</v>
      </c>
      <c r="O70" s="70">
        <v>45291.0</v>
      </c>
      <c r="P70" s="93" t="str">
        <f t="shared" si="30"/>
        <v>2023</v>
      </c>
      <c r="Q70" s="73">
        <f t="shared" si="31"/>
        <v>208</v>
      </c>
      <c r="R70" s="93">
        <f t="shared" si="32"/>
        <v>0</v>
      </c>
      <c r="S70" s="41"/>
      <c r="T70" s="74"/>
      <c r="U70" s="43">
        <v>0.0</v>
      </c>
      <c r="V70" s="41" t="s">
        <v>928</v>
      </c>
      <c r="W70" s="41" t="s">
        <v>929</v>
      </c>
      <c r="X70" s="41"/>
      <c r="Y70" s="31" t="s">
        <v>161</v>
      </c>
      <c r="Z70" s="31" t="s">
        <v>289</v>
      </c>
      <c r="AA70" s="31" t="s">
        <v>261</v>
      </c>
      <c r="AB70" s="104" t="s">
        <v>442</v>
      </c>
      <c r="AC70" s="46" t="s">
        <v>337</v>
      </c>
      <c r="AD70" s="47"/>
      <c r="AE70" s="49"/>
    </row>
    <row r="71">
      <c r="A71" s="61" t="s">
        <v>64</v>
      </c>
      <c r="B71" s="61" t="s">
        <v>67</v>
      </c>
      <c r="C71" s="82" t="s">
        <v>1243</v>
      </c>
      <c r="D71" s="83"/>
      <c r="E71" s="61" t="s">
        <v>934</v>
      </c>
      <c r="F71" s="61" t="s">
        <v>937</v>
      </c>
      <c r="G71" s="61" t="s">
        <v>939</v>
      </c>
      <c r="H71" s="61" t="s">
        <v>84</v>
      </c>
      <c r="I71" s="50" t="s">
        <v>289</v>
      </c>
      <c r="J71" s="50" t="s">
        <v>289</v>
      </c>
      <c r="K71" s="50" t="s">
        <v>289</v>
      </c>
      <c r="L71" s="50" t="s">
        <v>289</v>
      </c>
      <c r="M71" s="84">
        <v>45084.0</v>
      </c>
      <c r="N71" s="84" t="str">
        <f t="shared" si="29"/>
        <v>2023</v>
      </c>
      <c r="O71" s="84">
        <v>45291.0</v>
      </c>
      <c r="P71" s="85" t="str">
        <f t="shared" si="30"/>
        <v>2023</v>
      </c>
      <c r="Q71" s="86">
        <f t="shared" si="31"/>
        <v>207</v>
      </c>
      <c r="R71" s="85">
        <f t="shared" si="32"/>
        <v>0</v>
      </c>
      <c r="S71" s="61"/>
      <c r="T71" s="87"/>
      <c r="U71" s="62">
        <v>0.0</v>
      </c>
      <c r="V71" s="61" t="s">
        <v>945</v>
      </c>
      <c r="W71" s="61" t="s">
        <v>947</v>
      </c>
      <c r="X71" s="61"/>
      <c r="Y71" s="50" t="s">
        <v>161</v>
      </c>
      <c r="Z71" s="61" t="s">
        <v>162</v>
      </c>
      <c r="AA71" s="50" t="s">
        <v>289</v>
      </c>
      <c r="AB71" s="50" t="s">
        <v>876</v>
      </c>
      <c r="AC71" s="65" t="s">
        <v>161</v>
      </c>
      <c r="AD71" s="66"/>
      <c r="AE71" s="67"/>
    </row>
    <row r="72">
      <c r="A72" s="41" t="s">
        <v>64</v>
      </c>
      <c r="B72" s="41" t="s">
        <v>67</v>
      </c>
      <c r="C72" s="68" t="s">
        <v>1250</v>
      </c>
      <c r="D72" s="74">
        <v>600373.0</v>
      </c>
      <c r="E72" s="41" t="s">
        <v>952</v>
      </c>
      <c r="F72" s="41" t="s">
        <v>953</v>
      </c>
      <c r="G72" s="41" t="s">
        <v>954</v>
      </c>
      <c r="H72" s="31" t="s">
        <v>103</v>
      </c>
      <c r="I72" s="31" t="s">
        <v>289</v>
      </c>
      <c r="J72" s="31" t="s">
        <v>289</v>
      </c>
      <c r="K72" s="31" t="s">
        <v>236</v>
      </c>
      <c r="L72" s="31" t="s">
        <v>289</v>
      </c>
      <c r="M72" s="70">
        <v>45084.0</v>
      </c>
      <c r="N72" s="70" t="str">
        <f t="shared" si="29"/>
        <v>2023</v>
      </c>
      <c r="O72" s="70">
        <v>45595.0</v>
      </c>
      <c r="P72" s="93" t="str">
        <f t="shared" si="30"/>
        <v>2024</v>
      </c>
      <c r="Q72" s="73">
        <f t="shared" si="31"/>
        <v>511</v>
      </c>
      <c r="R72" s="93">
        <f t="shared" si="32"/>
        <v>1</v>
      </c>
      <c r="S72" s="41"/>
      <c r="T72" s="74"/>
      <c r="U72" s="43">
        <v>1.0</v>
      </c>
      <c r="V72" s="31" t="s">
        <v>1255</v>
      </c>
      <c r="W72" s="41" t="s">
        <v>964</v>
      </c>
      <c r="X72" s="41"/>
      <c r="Y72" s="31" t="s">
        <v>161</v>
      </c>
      <c r="Z72" s="41" t="s">
        <v>162</v>
      </c>
      <c r="AA72" s="31" t="s">
        <v>261</v>
      </c>
      <c r="AB72" s="31" t="s">
        <v>124</v>
      </c>
      <c r="AC72" s="46" t="s">
        <v>337</v>
      </c>
      <c r="AD72" s="47"/>
      <c r="AE72" s="111"/>
    </row>
    <row r="73">
      <c r="A73" s="61" t="s">
        <v>169</v>
      </c>
      <c r="B73" s="61" t="s">
        <v>67</v>
      </c>
      <c r="C73" s="82" t="s">
        <v>1262</v>
      </c>
      <c r="D73" s="83"/>
      <c r="E73" s="61" t="s">
        <v>568</v>
      </c>
      <c r="F73" s="61" t="s">
        <v>971</v>
      </c>
      <c r="G73" s="61" t="s">
        <v>972</v>
      </c>
      <c r="H73" s="61" t="s">
        <v>266</v>
      </c>
      <c r="I73" s="50" t="s">
        <v>106</v>
      </c>
      <c r="J73" s="50" t="s">
        <v>289</v>
      </c>
      <c r="K73" s="50" t="s">
        <v>236</v>
      </c>
      <c r="L73" s="50" t="s">
        <v>289</v>
      </c>
      <c r="M73" s="84">
        <v>45089.0</v>
      </c>
      <c r="N73" s="84" t="str">
        <f t="shared" si="29"/>
        <v>2023</v>
      </c>
      <c r="O73" s="84">
        <v>45291.0</v>
      </c>
      <c r="P73" s="85" t="str">
        <f t="shared" si="30"/>
        <v>2023</v>
      </c>
      <c r="Q73" s="86">
        <f t="shared" si="31"/>
        <v>202</v>
      </c>
      <c r="R73" s="85">
        <f t="shared" si="32"/>
        <v>0</v>
      </c>
      <c r="S73" s="61"/>
      <c r="T73" s="87"/>
      <c r="U73" s="62">
        <v>0.0</v>
      </c>
      <c r="V73" s="61"/>
      <c r="W73" s="50" t="s">
        <v>1268</v>
      </c>
      <c r="X73" s="61"/>
      <c r="Y73" s="50" t="s">
        <v>161</v>
      </c>
      <c r="Z73" s="50" t="s">
        <v>289</v>
      </c>
      <c r="AA73" s="50" t="s">
        <v>289</v>
      </c>
      <c r="AB73" s="50" t="s">
        <v>1269</v>
      </c>
      <c r="AC73" s="65" t="s">
        <v>164</v>
      </c>
      <c r="AD73" s="65" t="s">
        <v>1270</v>
      </c>
      <c r="AE73" s="108" t="s">
        <v>220</v>
      </c>
    </row>
    <row r="74">
      <c r="A74" s="41" t="s">
        <v>64</v>
      </c>
      <c r="B74" s="41" t="s">
        <v>67</v>
      </c>
      <c r="C74" s="132" t="s">
        <v>1271</v>
      </c>
      <c r="D74" s="146"/>
      <c r="E74" s="31" t="s">
        <v>499</v>
      </c>
      <c r="F74" s="41" t="s">
        <v>500</v>
      </c>
      <c r="G74" s="41" t="s">
        <v>502</v>
      </c>
      <c r="H74" s="31" t="s">
        <v>103</v>
      </c>
      <c r="I74" s="31" t="s">
        <v>104</v>
      </c>
      <c r="J74" s="31" t="s">
        <v>146</v>
      </c>
      <c r="K74" s="31" t="s">
        <v>236</v>
      </c>
      <c r="L74" s="31" t="s">
        <v>1275</v>
      </c>
      <c r="M74" s="70">
        <v>45089.0</v>
      </c>
      <c r="N74" s="70" t="str">
        <f t="shared" si="29"/>
        <v>2023</v>
      </c>
      <c r="O74" s="70">
        <v>45260.0</v>
      </c>
      <c r="P74" s="93" t="str">
        <f t="shared" si="30"/>
        <v>2023</v>
      </c>
      <c r="Q74" s="73">
        <f t="shared" si="31"/>
        <v>171</v>
      </c>
      <c r="R74" s="93">
        <f t="shared" si="32"/>
        <v>0</v>
      </c>
      <c r="S74" s="41"/>
      <c r="T74" s="74"/>
      <c r="U74" s="43">
        <v>0.0</v>
      </c>
      <c r="V74" s="41" t="s">
        <v>787</v>
      </c>
      <c r="W74" s="41"/>
      <c r="X74" s="41"/>
      <c r="Y74" s="31" t="s">
        <v>161</v>
      </c>
      <c r="Z74" s="31" t="s">
        <v>311</v>
      </c>
      <c r="AA74" s="31" t="s">
        <v>289</v>
      </c>
      <c r="AB74" s="31" t="s">
        <v>289</v>
      </c>
      <c r="AC74" s="46" t="s">
        <v>161</v>
      </c>
      <c r="AD74" s="47"/>
      <c r="AE74" s="49"/>
    </row>
    <row r="75">
      <c r="A75" s="50" t="s">
        <v>64</v>
      </c>
      <c r="B75" s="50" t="s">
        <v>67</v>
      </c>
      <c r="C75" s="52" t="s">
        <v>1280</v>
      </c>
      <c r="D75" s="106">
        <v>0.0</v>
      </c>
      <c r="E75" s="50" t="s">
        <v>987</v>
      </c>
      <c r="F75" s="50" t="s">
        <v>988</v>
      </c>
      <c r="G75" s="50" t="s">
        <v>989</v>
      </c>
      <c r="H75" s="50" t="s">
        <v>232</v>
      </c>
      <c r="I75" s="50" t="s">
        <v>106</v>
      </c>
      <c r="J75" s="50" t="s">
        <v>84</v>
      </c>
      <c r="K75" s="50" t="s">
        <v>84</v>
      </c>
      <c r="L75" s="50" t="s">
        <v>181</v>
      </c>
      <c r="M75" s="57">
        <v>45090.0</v>
      </c>
      <c r="N75" s="54">
        <v>2023.0</v>
      </c>
      <c r="O75" s="57">
        <v>46127.0</v>
      </c>
      <c r="P75" s="59">
        <v>2026.0</v>
      </c>
      <c r="Q75" s="60">
        <v>1037.0</v>
      </c>
      <c r="R75" s="59">
        <v>3.0</v>
      </c>
      <c r="S75" s="61"/>
      <c r="T75" s="54" t="s">
        <v>113</v>
      </c>
      <c r="U75" s="62">
        <v>0.0</v>
      </c>
      <c r="V75" s="50" t="s">
        <v>1002</v>
      </c>
      <c r="W75" s="50" t="s">
        <v>1000</v>
      </c>
      <c r="X75" s="61"/>
      <c r="Y75" s="50" t="s">
        <v>161</v>
      </c>
      <c r="Z75" s="50" t="s">
        <v>210</v>
      </c>
      <c r="AA75" s="50" t="s">
        <v>211</v>
      </c>
      <c r="AB75" s="50" t="s">
        <v>124</v>
      </c>
      <c r="AC75" s="65" t="s">
        <v>161</v>
      </c>
      <c r="AD75" s="66"/>
      <c r="AE75" s="131" t="s">
        <v>220</v>
      </c>
    </row>
    <row r="76">
      <c r="A76" s="31" t="s">
        <v>407</v>
      </c>
      <c r="B76" s="41" t="s">
        <v>67</v>
      </c>
      <c r="C76" s="68" t="s">
        <v>1282</v>
      </c>
      <c r="D76" s="74">
        <v>600218.0</v>
      </c>
      <c r="E76" s="41" t="s">
        <v>1006</v>
      </c>
      <c r="F76" s="41" t="s">
        <v>1007</v>
      </c>
      <c r="G76" s="41" t="s">
        <v>1008</v>
      </c>
      <c r="H76" s="31" t="s">
        <v>103</v>
      </c>
      <c r="I76" s="31" t="s">
        <v>289</v>
      </c>
      <c r="J76" s="31" t="s">
        <v>289</v>
      </c>
      <c r="K76" s="41" t="s">
        <v>84</v>
      </c>
      <c r="L76" s="31" t="s">
        <v>289</v>
      </c>
      <c r="M76" s="70">
        <v>45091.0</v>
      </c>
      <c r="N76" s="70" t="str">
        <f t="shared" ref="N76:N77" si="33">right(M76,4)</f>
        <v>2023</v>
      </c>
      <c r="O76" s="70">
        <v>45456.0</v>
      </c>
      <c r="P76" s="93" t="str">
        <f t="shared" ref="P76:P77" si="34">right(O76,4)</f>
        <v>2024</v>
      </c>
      <c r="Q76" s="73">
        <f t="shared" ref="Q76:Q77" si="35">DATEDIF(M76,O76,"d")</f>
        <v>365</v>
      </c>
      <c r="R76" s="93">
        <f t="shared" ref="R76:R77" si="36">DATEDIF(M76,O76,"y")</f>
        <v>0</v>
      </c>
      <c r="S76" s="41"/>
      <c r="T76" s="74" t="s">
        <v>113</v>
      </c>
      <c r="U76" s="43">
        <v>0.0</v>
      </c>
      <c r="V76" s="41" t="s">
        <v>1016</v>
      </c>
      <c r="W76" s="41" t="s">
        <v>1019</v>
      </c>
      <c r="X76" s="41"/>
      <c r="Y76" s="31" t="s">
        <v>161</v>
      </c>
      <c r="Z76" s="41" t="s">
        <v>162</v>
      </c>
      <c r="AA76" s="31" t="s">
        <v>261</v>
      </c>
      <c r="AB76" s="104" t="s">
        <v>442</v>
      </c>
      <c r="AC76" s="46" t="s">
        <v>161</v>
      </c>
      <c r="AD76" s="47"/>
      <c r="AE76" s="49"/>
    </row>
    <row r="77">
      <c r="A77" s="61" t="s">
        <v>64</v>
      </c>
      <c r="B77" s="61" t="s">
        <v>67</v>
      </c>
      <c r="C77" s="82" t="s">
        <v>1290</v>
      </c>
      <c r="D77" s="83"/>
      <c r="E77" s="61" t="s">
        <v>1026</v>
      </c>
      <c r="F77" s="61" t="s">
        <v>1027</v>
      </c>
      <c r="G77" s="61" t="s">
        <v>1029</v>
      </c>
      <c r="H77" s="50" t="s">
        <v>103</v>
      </c>
      <c r="I77" s="50" t="s">
        <v>289</v>
      </c>
      <c r="J77" s="50" t="s">
        <v>289</v>
      </c>
      <c r="K77" s="50" t="s">
        <v>289</v>
      </c>
      <c r="L77" s="50" t="s">
        <v>289</v>
      </c>
      <c r="M77" s="84">
        <v>45091.0</v>
      </c>
      <c r="N77" s="84" t="str">
        <f t="shared" si="33"/>
        <v>2023</v>
      </c>
      <c r="O77" s="84">
        <v>45290.0</v>
      </c>
      <c r="P77" s="85" t="str">
        <f t="shared" si="34"/>
        <v>2023</v>
      </c>
      <c r="Q77" s="86">
        <f t="shared" si="35"/>
        <v>199</v>
      </c>
      <c r="R77" s="85">
        <f t="shared" si="36"/>
        <v>0</v>
      </c>
      <c r="S77" s="61"/>
      <c r="T77" s="87"/>
      <c r="U77" s="62">
        <v>0.0</v>
      </c>
      <c r="V77" s="61" t="s">
        <v>908</v>
      </c>
      <c r="W77" s="61" t="s">
        <v>1037</v>
      </c>
      <c r="X77" s="61"/>
      <c r="Y77" s="50" t="s">
        <v>161</v>
      </c>
      <c r="Z77" s="61" t="s">
        <v>162</v>
      </c>
      <c r="AA77" s="50" t="s">
        <v>289</v>
      </c>
      <c r="AB77" s="50" t="s">
        <v>124</v>
      </c>
      <c r="AC77" s="65" t="s">
        <v>161</v>
      </c>
      <c r="AD77" s="66"/>
      <c r="AE77" s="67"/>
    </row>
    <row r="78">
      <c r="A78" s="31" t="s">
        <v>169</v>
      </c>
      <c r="B78" s="31" t="s">
        <v>19</v>
      </c>
      <c r="C78" s="32" t="s">
        <v>1300</v>
      </c>
      <c r="D78" s="113">
        <v>600180.0</v>
      </c>
      <c r="E78" s="31" t="s">
        <v>1301</v>
      </c>
      <c r="F78" s="31" t="s">
        <v>1302</v>
      </c>
      <c r="G78" s="31" t="s">
        <v>1303</v>
      </c>
      <c r="H78" s="31" t="s">
        <v>103</v>
      </c>
      <c r="I78" s="35" t="s">
        <v>104</v>
      </c>
      <c r="J78" s="35" t="s">
        <v>84</v>
      </c>
      <c r="K78" s="31" t="s">
        <v>84</v>
      </c>
      <c r="L78" s="92" t="s">
        <v>181</v>
      </c>
      <c r="M78" s="37">
        <v>45093.0</v>
      </c>
      <c r="N78" s="33">
        <v>2023.0</v>
      </c>
      <c r="O78" s="37">
        <v>46387.0</v>
      </c>
      <c r="P78" s="39">
        <v>2026.0</v>
      </c>
      <c r="Q78" s="40">
        <v>1294.0</v>
      </c>
      <c r="R78" s="39">
        <v>4.0</v>
      </c>
      <c r="S78" s="41"/>
      <c r="T78" s="33" t="s">
        <v>269</v>
      </c>
      <c r="U78" s="75">
        <v>2.0</v>
      </c>
      <c r="V78" s="77"/>
      <c r="W78" s="31" t="s">
        <v>1305</v>
      </c>
      <c r="X78" s="31" t="s">
        <v>1305</v>
      </c>
      <c r="Y78" s="31" t="s">
        <v>161</v>
      </c>
      <c r="Z78" s="31" t="s">
        <v>122</v>
      </c>
      <c r="AA78" s="31" t="s">
        <v>14</v>
      </c>
      <c r="AB78" s="31" t="s">
        <v>213</v>
      </c>
      <c r="AC78" s="46" t="s">
        <v>128</v>
      </c>
      <c r="AD78" s="41"/>
      <c r="AE78" s="99"/>
    </row>
    <row r="79">
      <c r="A79" s="61" t="s">
        <v>169</v>
      </c>
      <c r="B79" s="61" t="s">
        <v>67</v>
      </c>
      <c r="C79" s="82" t="s">
        <v>1309</v>
      </c>
      <c r="D79" s="137"/>
      <c r="E79" s="61" t="s">
        <v>1310</v>
      </c>
      <c r="F79" s="61" t="s">
        <v>1311</v>
      </c>
      <c r="G79" s="61" t="s">
        <v>1312</v>
      </c>
      <c r="H79" s="50" t="s">
        <v>103</v>
      </c>
      <c r="I79" s="105" t="s">
        <v>708</v>
      </c>
      <c r="J79" s="125" t="s">
        <v>289</v>
      </c>
      <c r="K79" s="50" t="s">
        <v>289</v>
      </c>
      <c r="L79" s="138" t="s">
        <v>48</v>
      </c>
      <c r="M79" s="84">
        <v>45093.0</v>
      </c>
      <c r="N79" s="84" t="str">
        <f t="shared" ref="N79:N87" si="37">right(M79,4)</f>
        <v>2023</v>
      </c>
      <c r="O79" s="84">
        <v>45825.0</v>
      </c>
      <c r="P79" s="95" t="str">
        <f t="shared" ref="P79:P87" si="38">right(O79,4)</f>
        <v>2025</v>
      </c>
      <c r="Q79" s="86">
        <f t="shared" ref="Q79:Q87" si="39">DATEDIF(M79,O79,"d")</f>
        <v>732</v>
      </c>
      <c r="R79" s="85">
        <f t="shared" ref="R79:R87" si="40">DATEDIF(M79,O79,"y")</f>
        <v>2</v>
      </c>
      <c r="S79" s="61"/>
      <c r="T79" s="87"/>
      <c r="U79" s="96">
        <v>1.0</v>
      </c>
      <c r="V79" s="61"/>
      <c r="W79" s="61" t="s">
        <v>1318</v>
      </c>
      <c r="X79" s="61" t="s">
        <v>1318</v>
      </c>
      <c r="Y79" s="61" t="s">
        <v>243</v>
      </c>
      <c r="Z79" s="50" t="s">
        <v>311</v>
      </c>
      <c r="AA79" s="50" t="s">
        <v>261</v>
      </c>
      <c r="AB79" s="61" t="s">
        <v>1319</v>
      </c>
      <c r="AC79" s="65" t="s">
        <v>276</v>
      </c>
      <c r="AD79" s="97"/>
      <c r="AE79" s="120"/>
    </row>
    <row r="80">
      <c r="A80" s="41" t="s">
        <v>64</v>
      </c>
      <c r="B80" s="41" t="s">
        <v>67</v>
      </c>
      <c r="C80" s="68" t="s">
        <v>1320</v>
      </c>
      <c r="D80" s="110"/>
      <c r="E80" s="41" t="s">
        <v>1059</v>
      </c>
      <c r="F80" s="41" t="s">
        <v>1060</v>
      </c>
      <c r="G80" s="41" t="s">
        <v>836</v>
      </c>
      <c r="H80" s="31" t="s">
        <v>103</v>
      </c>
      <c r="I80" s="77" t="s">
        <v>106</v>
      </c>
      <c r="J80" s="104" t="s">
        <v>175</v>
      </c>
      <c r="K80" s="104" t="s">
        <v>175</v>
      </c>
      <c r="L80" s="104" t="s">
        <v>175</v>
      </c>
      <c r="M80" s="70">
        <v>45096.0</v>
      </c>
      <c r="N80" s="70" t="str">
        <f t="shared" si="37"/>
        <v>2023</v>
      </c>
      <c r="O80" s="70">
        <v>45099.0</v>
      </c>
      <c r="P80" s="93" t="str">
        <f t="shared" si="38"/>
        <v>2023</v>
      </c>
      <c r="Q80" s="73">
        <f t="shared" si="39"/>
        <v>3</v>
      </c>
      <c r="R80" s="93">
        <f t="shared" si="40"/>
        <v>0</v>
      </c>
      <c r="S80" s="41"/>
      <c r="T80" s="74"/>
      <c r="U80" s="75">
        <v>0.0</v>
      </c>
      <c r="V80" s="41"/>
      <c r="W80" s="41" t="s">
        <v>1066</v>
      </c>
      <c r="X80" s="41"/>
      <c r="Y80" s="31" t="s">
        <v>161</v>
      </c>
      <c r="Z80" s="31" t="s">
        <v>175</v>
      </c>
      <c r="AA80" s="31" t="s">
        <v>175</v>
      </c>
      <c r="AB80" s="31" t="s">
        <v>175</v>
      </c>
      <c r="AC80" s="46" t="s">
        <v>161</v>
      </c>
      <c r="AD80" s="47"/>
      <c r="AE80" s="78" t="s">
        <v>220</v>
      </c>
    </row>
    <row r="81">
      <c r="A81" s="50" t="s">
        <v>169</v>
      </c>
      <c r="B81" s="61" t="s">
        <v>67</v>
      </c>
      <c r="C81" s="82" t="s">
        <v>1322</v>
      </c>
      <c r="D81" s="87">
        <v>600099.0</v>
      </c>
      <c r="E81" s="61" t="s">
        <v>1091</v>
      </c>
      <c r="F81" s="61" t="s">
        <v>1092</v>
      </c>
      <c r="G81" s="61" t="s">
        <v>1093</v>
      </c>
      <c r="H81" s="50" t="s">
        <v>103</v>
      </c>
      <c r="I81" s="50" t="s">
        <v>289</v>
      </c>
      <c r="J81" s="50" t="s">
        <v>289</v>
      </c>
      <c r="K81" s="50" t="s">
        <v>289</v>
      </c>
      <c r="L81" s="50" t="s">
        <v>289</v>
      </c>
      <c r="M81" s="84">
        <v>45100.0</v>
      </c>
      <c r="N81" s="84" t="str">
        <f t="shared" si="37"/>
        <v>2023</v>
      </c>
      <c r="O81" s="84">
        <v>45466.0</v>
      </c>
      <c r="P81" s="85" t="str">
        <f t="shared" si="38"/>
        <v>2024</v>
      </c>
      <c r="Q81" s="86">
        <f t="shared" si="39"/>
        <v>366</v>
      </c>
      <c r="R81" s="85">
        <f t="shared" si="40"/>
        <v>1</v>
      </c>
      <c r="S81" s="61"/>
      <c r="T81" s="87"/>
      <c r="U81" s="62">
        <v>0.0</v>
      </c>
      <c r="V81" s="61" t="s">
        <v>1097</v>
      </c>
      <c r="W81" s="61" t="s">
        <v>1098</v>
      </c>
      <c r="X81" s="61"/>
      <c r="Y81" s="50" t="s">
        <v>161</v>
      </c>
      <c r="Z81" s="61" t="s">
        <v>162</v>
      </c>
      <c r="AA81" s="50" t="s">
        <v>261</v>
      </c>
      <c r="AB81" s="61" t="s">
        <v>370</v>
      </c>
      <c r="AC81" s="65" t="s">
        <v>161</v>
      </c>
      <c r="AD81" s="66"/>
      <c r="AE81" s="67"/>
    </row>
    <row r="82">
      <c r="A82" s="31" t="s">
        <v>407</v>
      </c>
      <c r="B82" s="41" t="s">
        <v>67</v>
      </c>
      <c r="C82" s="68" t="s">
        <v>1327</v>
      </c>
      <c r="D82" s="148"/>
      <c r="E82" s="41" t="s">
        <v>1099</v>
      </c>
      <c r="F82" s="41" t="s">
        <v>1100</v>
      </c>
      <c r="G82" s="41" t="s">
        <v>1101</v>
      </c>
      <c r="H82" s="31" t="s">
        <v>103</v>
      </c>
      <c r="I82" s="31" t="s">
        <v>289</v>
      </c>
      <c r="J82" s="31" t="s">
        <v>289</v>
      </c>
      <c r="K82" s="31" t="s">
        <v>289</v>
      </c>
      <c r="L82" s="31" t="s">
        <v>289</v>
      </c>
      <c r="M82" s="70">
        <v>45104.0</v>
      </c>
      <c r="N82" s="70" t="str">
        <f t="shared" si="37"/>
        <v>2023</v>
      </c>
      <c r="O82" s="70">
        <v>45287.0</v>
      </c>
      <c r="P82" s="102" t="str">
        <f t="shared" si="38"/>
        <v>2023</v>
      </c>
      <c r="Q82" s="73">
        <f t="shared" si="39"/>
        <v>183</v>
      </c>
      <c r="R82" s="93">
        <f t="shared" si="40"/>
        <v>0</v>
      </c>
      <c r="S82" s="41"/>
      <c r="T82" s="74" t="s">
        <v>113</v>
      </c>
      <c r="U82" s="75">
        <v>0.0</v>
      </c>
      <c r="V82" s="77"/>
      <c r="W82" s="41"/>
      <c r="X82" s="41"/>
      <c r="Y82" s="31" t="s">
        <v>161</v>
      </c>
      <c r="Z82" s="31" t="s">
        <v>311</v>
      </c>
      <c r="AA82" s="31" t="s">
        <v>289</v>
      </c>
      <c r="AB82" s="104" t="s">
        <v>442</v>
      </c>
      <c r="AC82" s="46" t="s">
        <v>161</v>
      </c>
      <c r="AD82" s="41"/>
      <c r="AE82" s="109"/>
    </row>
    <row r="83">
      <c r="A83" s="61" t="s">
        <v>64</v>
      </c>
      <c r="B83" s="61" t="s">
        <v>67</v>
      </c>
      <c r="C83" s="82" t="s">
        <v>1331</v>
      </c>
      <c r="D83" s="83"/>
      <c r="E83" s="61" t="s">
        <v>1105</v>
      </c>
      <c r="F83" s="61" t="s">
        <v>1106</v>
      </c>
      <c r="G83" s="61" t="s">
        <v>1107</v>
      </c>
      <c r="H83" s="50" t="s">
        <v>103</v>
      </c>
      <c r="I83" s="50" t="s">
        <v>289</v>
      </c>
      <c r="J83" s="50" t="s">
        <v>289</v>
      </c>
      <c r="K83" s="61" t="s">
        <v>723</v>
      </c>
      <c r="L83" s="50" t="s">
        <v>289</v>
      </c>
      <c r="M83" s="84">
        <v>45107.0</v>
      </c>
      <c r="N83" s="84" t="str">
        <f t="shared" si="37"/>
        <v>2023</v>
      </c>
      <c r="O83" s="84">
        <v>45301.0</v>
      </c>
      <c r="P83" s="85" t="str">
        <f t="shared" si="38"/>
        <v>2024</v>
      </c>
      <c r="Q83" s="86">
        <f t="shared" si="39"/>
        <v>194</v>
      </c>
      <c r="R83" s="85">
        <f t="shared" si="40"/>
        <v>0</v>
      </c>
      <c r="S83" s="61"/>
      <c r="T83" s="87"/>
      <c r="U83" s="62">
        <v>0.0</v>
      </c>
      <c r="V83" s="50" t="s">
        <v>1333</v>
      </c>
      <c r="W83" s="61" t="s">
        <v>1109</v>
      </c>
      <c r="X83" s="61"/>
      <c r="Y83" s="50" t="s">
        <v>161</v>
      </c>
      <c r="Z83" s="61" t="s">
        <v>162</v>
      </c>
      <c r="AA83" s="50" t="s">
        <v>289</v>
      </c>
      <c r="AB83" s="50" t="s">
        <v>124</v>
      </c>
      <c r="AC83" s="65" t="s">
        <v>337</v>
      </c>
      <c r="AD83" s="66"/>
      <c r="AE83" s="67"/>
    </row>
    <row r="84">
      <c r="A84" s="41" t="s">
        <v>169</v>
      </c>
      <c r="B84" s="41" t="s">
        <v>67</v>
      </c>
      <c r="C84" s="68" t="s">
        <v>1335</v>
      </c>
      <c r="D84" s="69">
        <v>600178.0</v>
      </c>
      <c r="E84" s="41" t="s">
        <v>237</v>
      </c>
      <c r="F84" s="41" t="s">
        <v>1336</v>
      </c>
      <c r="G84" s="41" t="s">
        <v>1338</v>
      </c>
      <c r="H84" s="31" t="s">
        <v>103</v>
      </c>
      <c r="I84" s="31" t="s">
        <v>289</v>
      </c>
      <c r="J84" s="31" t="s">
        <v>289</v>
      </c>
      <c r="K84" s="31" t="s">
        <v>289</v>
      </c>
      <c r="L84" s="31" t="s">
        <v>289</v>
      </c>
      <c r="M84" s="70">
        <v>45107.0</v>
      </c>
      <c r="N84" s="70" t="str">
        <f t="shared" si="37"/>
        <v>2023</v>
      </c>
      <c r="O84" s="70">
        <v>45838.0</v>
      </c>
      <c r="P84" s="102" t="str">
        <f t="shared" si="38"/>
        <v>2025</v>
      </c>
      <c r="Q84" s="73">
        <f t="shared" si="39"/>
        <v>731</v>
      </c>
      <c r="R84" s="93">
        <f t="shared" si="40"/>
        <v>2</v>
      </c>
      <c r="S84" s="91"/>
      <c r="T84" s="74"/>
      <c r="U84" s="75">
        <v>1.0</v>
      </c>
      <c r="V84" s="47"/>
      <c r="W84" s="41" t="s">
        <v>1340</v>
      </c>
      <c r="X84" s="41" t="s">
        <v>1340</v>
      </c>
      <c r="Y84" s="31" t="s">
        <v>161</v>
      </c>
      <c r="Z84" s="101" t="s">
        <v>247</v>
      </c>
      <c r="AA84" s="31" t="s">
        <v>14</v>
      </c>
      <c r="AB84" s="31" t="s">
        <v>213</v>
      </c>
      <c r="AC84" s="46" t="s">
        <v>128</v>
      </c>
      <c r="AD84" s="41"/>
      <c r="AE84" s="111" t="s">
        <v>220</v>
      </c>
    </row>
    <row r="85">
      <c r="A85" s="50" t="s">
        <v>169</v>
      </c>
      <c r="B85" s="61" t="s">
        <v>67</v>
      </c>
      <c r="C85" s="82" t="s">
        <v>1341</v>
      </c>
      <c r="D85" s="87">
        <v>600086.0</v>
      </c>
      <c r="E85" s="61" t="s">
        <v>1118</v>
      </c>
      <c r="F85" s="61" t="s">
        <v>1119</v>
      </c>
      <c r="G85" s="61" t="s">
        <v>1120</v>
      </c>
      <c r="H85" s="50" t="s">
        <v>103</v>
      </c>
      <c r="I85" s="50" t="s">
        <v>289</v>
      </c>
      <c r="J85" s="50" t="s">
        <v>289</v>
      </c>
      <c r="K85" s="61" t="s">
        <v>84</v>
      </c>
      <c r="L85" s="50" t="s">
        <v>289</v>
      </c>
      <c r="M85" s="84">
        <v>45111.0</v>
      </c>
      <c r="N85" s="84" t="str">
        <f t="shared" si="37"/>
        <v>2023</v>
      </c>
      <c r="O85" s="84">
        <v>45485.0</v>
      </c>
      <c r="P85" s="85" t="str">
        <f t="shared" si="38"/>
        <v>2024</v>
      </c>
      <c r="Q85" s="86">
        <f t="shared" si="39"/>
        <v>374</v>
      </c>
      <c r="R85" s="85">
        <f t="shared" si="40"/>
        <v>1</v>
      </c>
      <c r="S85" s="61"/>
      <c r="T85" s="87"/>
      <c r="U85" s="62">
        <v>0.0</v>
      </c>
      <c r="V85" s="61"/>
      <c r="W85" s="61" t="s">
        <v>1123</v>
      </c>
      <c r="X85" s="61"/>
      <c r="Y85" s="50" t="s">
        <v>161</v>
      </c>
      <c r="Z85" s="50" t="s">
        <v>311</v>
      </c>
      <c r="AA85" s="50" t="s">
        <v>289</v>
      </c>
      <c r="AB85" s="61" t="s">
        <v>262</v>
      </c>
      <c r="AC85" s="65" t="s">
        <v>161</v>
      </c>
      <c r="AD85" s="66"/>
      <c r="AE85" s="67"/>
    </row>
    <row r="86">
      <c r="A86" s="41" t="s">
        <v>64</v>
      </c>
      <c r="B86" s="41" t="s">
        <v>67</v>
      </c>
      <c r="C86" s="68" t="s">
        <v>1345</v>
      </c>
      <c r="D86" s="110"/>
      <c r="E86" s="41" t="s">
        <v>1124</v>
      </c>
      <c r="F86" s="41" t="s">
        <v>1125</v>
      </c>
      <c r="G86" s="41" t="s">
        <v>1126</v>
      </c>
      <c r="H86" s="41" t="s">
        <v>84</v>
      </c>
      <c r="I86" s="35" t="s">
        <v>104</v>
      </c>
      <c r="J86" s="31" t="s">
        <v>289</v>
      </c>
      <c r="K86" s="31" t="s">
        <v>289</v>
      </c>
      <c r="L86" s="31" t="s">
        <v>289</v>
      </c>
      <c r="M86" s="70">
        <v>45113.0</v>
      </c>
      <c r="N86" s="70" t="str">
        <f t="shared" si="37"/>
        <v>2023</v>
      </c>
      <c r="O86" s="70">
        <v>45291.0</v>
      </c>
      <c r="P86" s="93" t="str">
        <f t="shared" si="38"/>
        <v>2023</v>
      </c>
      <c r="Q86" s="73">
        <f t="shared" si="39"/>
        <v>178</v>
      </c>
      <c r="R86" s="93">
        <f t="shared" si="40"/>
        <v>0</v>
      </c>
      <c r="S86" s="41"/>
      <c r="T86" s="74"/>
      <c r="U86" s="43">
        <v>0.0</v>
      </c>
      <c r="V86" s="31" t="s">
        <v>1349</v>
      </c>
      <c r="W86" s="41" t="s">
        <v>1129</v>
      </c>
      <c r="X86" s="41"/>
      <c r="Y86" s="31" t="s">
        <v>161</v>
      </c>
      <c r="Z86" s="41" t="s">
        <v>162</v>
      </c>
      <c r="AA86" s="31" t="s">
        <v>289</v>
      </c>
      <c r="AB86" s="31" t="s">
        <v>891</v>
      </c>
      <c r="AC86" s="46" t="s">
        <v>164</v>
      </c>
      <c r="AD86" s="31" t="s">
        <v>251</v>
      </c>
      <c r="AE86" s="111" t="s">
        <v>220</v>
      </c>
    </row>
    <row r="87">
      <c r="A87" s="61" t="s">
        <v>64</v>
      </c>
      <c r="B87" s="61" t="s">
        <v>67</v>
      </c>
      <c r="C87" s="82" t="s">
        <v>1350</v>
      </c>
      <c r="D87" s="83"/>
      <c r="E87" s="61" t="s">
        <v>1138</v>
      </c>
      <c r="F87" s="61" t="s">
        <v>1139</v>
      </c>
      <c r="G87" s="61" t="s">
        <v>1140</v>
      </c>
      <c r="H87" s="61" t="s">
        <v>84</v>
      </c>
      <c r="I87" s="56" t="s">
        <v>104</v>
      </c>
      <c r="J87" s="50" t="s">
        <v>289</v>
      </c>
      <c r="K87" s="61" t="s">
        <v>84</v>
      </c>
      <c r="L87" s="50" t="s">
        <v>289</v>
      </c>
      <c r="M87" s="84">
        <v>45119.0</v>
      </c>
      <c r="N87" s="84" t="str">
        <f t="shared" si="37"/>
        <v>2023</v>
      </c>
      <c r="O87" s="84">
        <v>45291.0</v>
      </c>
      <c r="P87" s="85" t="str">
        <f t="shared" si="38"/>
        <v>2023</v>
      </c>
      <c r="Q87" s="86">
        <f t="shared" si="39"/>
        <v>172</v>
      </c>
      <c r="R87" s="85">
        <f t="shared" si="40"/>
        <v>0</v>
      </c>
      <c r="S87" s="61"/>
      <c r="T87" s="87"/>
      <c r="U87" s="62">
        <v>0.0</v>
      </c>
      <c r="V87" s="61"/>
      <c r="W87" s="61" t="s">
        <v>1141</v>
      </c>
      <c r="X87" s="61"/>
      <c r="Y87" s="50" t="s">
        <v>161</v>
      </c>
      <c r="Z87" s="50" t="s">
        <v>289</v>
      </c>
      <c r="AA87" s="50" t="s">
        <v>289</v>
      </c>
      <c r="AB87" s="50" t="s">
        <v>289</v>
      </c>
      <c r="AC87" s="65" t="s">
        <v>161</v>
      </c>
      <c r="AD87" s="50" t="s">
        <v>251</v>
      </c>
      <c r="AE87" s="81" t="s">
        <v>220</v>
      </c>
    </row>
    <row r="88">
      <c r="A88" s="31" t="s">
        <v>407</v>
      </c>
      <c r="B88" s="31" t="s">
        <v>19</v>
      </c>
      <c r="C88" s="32" t="s">
        <v>1356</v>
      </c>
      <c r="D88" s="113">
        <v>600216.0</v>
      </c>
      <c r="E88" s="31" t="s">
        <v>1357</v>
      </c>
      <c r="F88" s="31" t="s">
        <v>1358</v>
      </c>
      <c r="G88" s="31" t="s">
        <v>1359</v>
      </c>
      <c r="H88" s="31" t="s">
        <v>103</v>
      </c>
      <c r="I88" s="100" t="s">
        <v>104</v>
      </c>
      <c r="J88" s="31" t="s">
        <v>146</v>
      </c>
      <c r="K88" s="31" t="s">
        <v>84</v>
      </c>
      <c r="L88" s="31" t="s">
        <v>1360</v>
      </c>
      <c r="M88" s="37">
        <v>45119.0</v>
      </c>
      <c r="N88" s="33">
        <v>2023.0</v>
      </c>
      <c r="O88" s="37">
        <v>46571.0</v>
      </c>
      <c r="P88" s="39">
        <v>2026.0</v>
      </c>
      <c r="Q88" s="40">
        <v>1087.0</v>
      </c>
      <c r="R88" s="39">
        <v>3.0</v>
      </c>
      <c r="S88" s="91"/>
      <c r="T88" s="33" t="s">
        <v>269</v>
      </c>
      <c r="U88" s="75">
        <v>3.0</v>
      </c>
      <c r="V88" s="47"/>
      <c r="W88" s="31" t="s">
        <v>1361</v>
      </c>
      <c r="X88" s="103" t="s">
        <v>1363</v>
      </c>
      <c r="Y88" s="31" t="s">
        <v>740</v>
      </c>
      <c r="Z88" s="101" t="s">
        <v>261</v>
      </c>
      <c r="AA88" s="31" t="s">
        <v>123</v>
      </c>
      <c r="AB88" s="104" t="s">
        <v>442</v>
      </c>
      <c r="AC88" s="46" t="s">
        <v>276</v>
      </c>
      <c r="AD88" s="31"/>
      <c r="AE88" s="99"/>
    </row>
    <row r="89">
      <c r="A89" s="61" t="s">
        <v>64</v>
      </c>
      <c r="B89" s="61" t="s">
        <v>67</v>
      </c>
      <c r="C89" s="82" t="s">
        <v>1364</v>
      </c>
      <c r="D89" s="83"/>
      <c r="E89" s="61" t="s">
        <v>1142</v>
      </c>
      <c r="F89" s="61" t="s">
        <v>1143</v>
      </c>
      <c r="G89" s="61" t="s">
        <v>1144</v>
      </c>
      <c r="H89" s="50" t="s">
        <v>103</v>
      </c>
      <c r="I89" s="97" t="s">
        <v>106</v>
      </c>
      <c r="J89" s="106" t="s">
        <v>175</v>
      </c>
      <c r="K89" s="106" t="s">
        <v>175</v>
      </c>
      <c r="L89" s="106" t="s">
        <v>175</v>
      </c>
      <c r="M89" s="84">
        <v>45125.0</v>
      </c>
      <c r="N89" s="84" t="str">
        <f>right(M89,4)</f>
        <v>2023</v>
      </c>
      <c r="O89" s="84">
        <v>45128.0</v>
      </c>
      <c r="P89" s="85" t="str">
        <f>right(O89,4)</f>
        <v>2023</v>
      </c>
      <c r="Q89" s="86">
        <f>DATEDIF(M89,O89,"d")</f>
        <v>3</v>
      </c>
      <c r="R89" s="85">
        <f>DATEDIF(M89,O89,"y")</f>
        <v>0</v>
      </c>
      <c r="S89" s="61"/>
      <c r="T89" s="87"/>
      <c r="U89" s="96">
        <v>0.0</v>
      </c>
      <c r="V89" s="61"/>
      <c r="W89" s="61" t="s">
        <v>1145</v>
      </c>
      <c r="X89" s="61"/>
      <c r="Y89" s="50" t="s">
        <v>161</v>
      </c>
      <c r="Z89" s="50" t="s">
        <v>175</v>
      </c>
      <c r="AA89" s="50" t="s">
        <v>175</v>
      </c>
      <c r="AB89" s="50" t="s">
        <v>175</v>
      </c>
      <c r="AC89" s="65" t="s">
        <v>161</v>
      </c>
      <c r="AD89" s="66"/>
      <c r="AE89" s="108" t="s">
        <v>220</v>
      </c>
    </row>
    <row r="90">
      <c r="A90" s="31" t="s">
        <v>64</v>
      </c>
      <c r="B90" s="31" t="s">
        <v>19</v>
      </c>
      <c r="C90" s="32" t="s">
        <v>1366</v>
      </c>
      <c r="D90" s="33">
        <v>600029.0</v>
      </c>
      <c r="E90" s="31" t="s">
        <v>1367</v>
      </c>
      <c r="F90" s="31" t="s">
        <v>1370</v>
      </c>
      <c r="G90" s="31" t="s">
        <v>1371</v>
      </c>
      <c r="H90" s="31" t="s">
        <v>103</v>
      </c>
      <c r="I90" s="35" t="s">
        <v>104</v>
      </c>
      <c r="J90" s="31" t="s">
        <v>146</v>
      </c>
      <c r="K90" s="31" t="s">
        <v>84</v>
      </c>
      <c r="L90" s="31" t="s">
        <v>484</v>
      </c>
      <c r="M90" s="37">
        <v>45126.0</v>
      </c>
      <c r="N90" s="33">
        <v>2023.0</v>
      </c>
      <c r="O90" s="37">
        <v>46544.0</v>
      </c>
      <c r="P90" s="39">
        <v>2027.0</v>
      </c>
      <c r="Q90" s="40">
        <v>1418.0</v>
      </c>
      <c r="R90" s="39">
        <v>4.0</v>
      </c>
      <c r="S90" s="41"/>
      <c r="T90" s="33" t="s">
        <v>269</v>
      </c>
      <c r="U90" s="43">
        <v>3.0</v>
      </c>
      <c r="V90" s="31" t="s">
        <v>353</v>
      </c>
      <c r="W90" s="31" t="s">
        <v>1373</v>
      </c>
      <c r="X90" s="31" t="s">
        <v>804</v>
      </c>
      <c r="Y90" s="31" t="s">
        <v>161</v>
      </c>
      <c r="Z90" s="31" t="s">
        <v>122</v>
      </c>
      <c r="AA90" s="31" t="s">
        <v>123</v>
      </c>
      <c r="AB90" s="31" t="s">
        <v>124</v>
      </c>
      <c r="AC90" s="46" t="s">
        <v>164</v>
      </c>
      <c r="AD90" s="46"/>
      <c r="AE90" s="111"/>
    </row>
    <row r="91">
      <c r="A91" s="61" t="s">
        <v>64</v>
      </c>
      <c r="B91" s="50" t="s">
        <v>67</v>
      </c>
      <c r="C91" s="82" t="s">
        <v>1375</v>
      </c>
      <c r="D91" s="87">
        <v>600226.0</v>
      </c>
      <c r="E91" s="61" t="s">
        <v>483</v>
      </c>
      <c r="F91" s="61" t="s">
        <v>1378</v>
      </c>
      <c r="G91" s="61" t="s">
        <v>1379</v>
      </c>
      <c r="H91" s="50" t="s">
        <v>103</v>
      </c>
      <c r="I91" s="56" t="s">
        <v>104</v>
      </c>
      <c r="J91" s="50" t="s">
        <v>146</v>
      </c>
      <c r="K91" s="61" t="s">
        <v>84</v>
      </c>
      <c r="L91" s="50" t="s">
        <v>484</v>
      </c>
      <c r="M91" s="84">
        <v>45126.0</v>
      </c>
      <c r="N91" s="84" t="str">
        <f t="shared" ref="N91:N95" si="41">right(M91,4)</f>
        <v>2023</v>
      </c>
      <c r="O91" s="84">
        <v>46179.0</v>
      </c>
      <c r="P91" s="85" t="str">
        <f t="shared" ref="P91:P95" si="42">right(O91,4)</f>
        <v>2026</v>
      </c>
      <c r="Q91" s="86">
        <f t="shared" ref="Q91:Q95" si="43">DATEDIF(M91,O91,"d")</f>
        <v>1053</v>
      </c>
      <c r="R91" s="85">
        <f t="shared" ref="R91:R95" si="44">DATEDIF(M91,O91,"y")</f>
        <v>2</v>
      </c>
      <c r="S91" s="61"/>
      <c r="T91" s="87" t="s">
        <v>269</v>
      </c>
      <c r="U91" s="62">
        <v>0.0</v>
      </c>
      <c r="V91" s="61" t="s">
        <v>353</v>
      </c>
      <c r="W91" s="61" t="s">
        <v>1383</v>
      </c>
      <c r="X91" s="61" t="s">
        <v>804</v>
      </c>
      <c r="Y91" s="50" t="s">
        <v>161</v>
      </c>
      <c r="Z91" s="50" t="s">
        <v>122</v>
      </c>
      <c r="AA91" s="50" t="s">
        <v>123</v>
      </c>
      <c r="AB91" s="50" t="s">
        <v>124</v>
      </c>
      <c r="AC91" s="65" t="s">
        <v>164</v>
      </c>
      <c r="AD91" s="65" t="s">
        <v>481</v>
      </c>
      <c r="AE91" s="131" t="s">
        <v>220</v>
      </c>
    </row>
    <row r="92">
      <c r="A92" s="41" t="s">
        <v>64</v>
      </c>
      <c r="B92" s="31" t="s">
        <v>67</v>
      </c>
      <c r="C92" s="68" t="s">
        <v>1385</v>
      </c>
      <c r="D92" s="74">
        <v>600227.0</v>
      </c>
      <c r="E92" s="41" t="s">
        <v>1388</v>
      </c>
      <c r="F92" s="41" t="s">
        <v>1390</v>
      </c>
      <c r="G92" s="41" t="s">
        <v>1391</v>
      </c>
      <c r="H92" s="31" t="s">
        <v>103</v>
      </c>
      <c r="I92" s="35" t="s">
        <v>104</v>
      </c>
      <c r="J92" s="31" t="s">
        <v>146</v>
      </c>
      <c r="K92" s="41" t="s">
        <v>84</v>
      </c>
      <c r="L92" s="31" t="s">
        <v>484</v>
      </c>
      <c r="M92" s="70">
        <v>45126.0</v>
      </c>
      <c r="N92" s="70" t="str">
        <f t="shared" si="41"/>
        <v>2023</v>
      </c>
      <c r="O92" s="70">
        <v>46179.0</v>
      </c>
      <c r="P92" s="93" t="str">
        <f t="shared" si="42"/>
        <v>2026</v>
      </c>
      <c r="Q92" s="73">
        <f t="shared" si="43"/>
        <v>1053</v>
      </c>
      <c r="R92" s="93">
        <f t="shared" si="44"/>
        <v>2</v>
      </c>
      <c r="S92" s="41"/>
      <c r="T92" s="74" t="s">
        <v>269</v>
      </c>
      <c r="U92" s="43">
        <v>0.0</v>
      </c>
      <c r="V92" s="41" t="s">
        <v>353</v>
      </c>
      <c r="W92" s="41" t="s">
        <v>1395</v>
      </c>
      <c r="X92" s="41" t="s">
        <v>804</v>
      </c>
      <c r="Y92" s="31" t="s">
        <v>161</v>
      </c>
      <c r="Z92" s="31" t="s">
        <v>122</v>
      </c>
      <c r="AA92" s="31" t="s">
        <v>123</v>
      </c>
      <c r="AB92" s="31" t="s">
        <v>124</v>
      </c>
      <c r="AC92" s="46" t="s">
        <v>164</v>
      </c>
      <c r="AD92" s="46" t="s">
        <v>481</v>
      </c>
      <c r="AE92" s="149" t="s">
        <v>220</v>
      </c>
    </row>
    <row r="93">
      <c r="A93" s="61" t="s">
        <v>64</v>
      </c>
      <c r="B93" s="50" t="s">
        <v>67</v>
      </c>
      <c r="C93" s="82" t="s">
        <v>1396</v>
      </c>
      <c r="D93" s="87">
        <v>600193.0</v>
      </c>
      <c r="E93" s="61" t="s">
        <v>488</v>
      </c>
      <c r="F93" s="61" t="s">
        <v>1397</v>
      </c>
      <c r="G93" s="61" t="s">
        <v>1398</v>
      </c>
      <c r="H93" s="50" t="s">
        <v>103</v>
      </c>
      <c r="I93" s="56" t="s">
        <v>104</v>
      </c>
      <c r="J93" s="50" t="s">
        <v>146</v>
      </c>
      <c r="K93" s="50" t="s">
        <v>236</v>
      </c>
      <c r="L93" s="50" t="s">
        <v>484</v>
      </c>
      <c r="M93" s="84">
        <v>45126.0</v>
      </c>
      <c r="N93" s="84" t="str">
        <f t="shared" si="41"/>
        <v>2023</v>
      </c>
      <c r="O93" s="84">
        <v>46179.0</v>
      </c>
      <c r="P93" s="85" t="str">
        <f t="shared" si="42"/>
        <v>2026</v>
      </c>
      <c r="Q93" s="86">
        <f t="shared" si="43"/>
        <v>1053</v>
      </c>
      <c r="R93" s="85">
        <f t="shared" si="44"/>
        <v>2</v>
      </c>
      <c r="S93" s="61"/>
      <c r="T93" s="87" t="s">
        <v>269</v>
      </c>
      <c r="U93" s="62">
        <v>0.0</v>
      </c>
      <c r="V93" s="61" t="s">
        <v>353</v>
      </c>
      <c r="W93" s="61" t="s">
        <v>1403</v>
      </c>
      <c r="X93" s="61" t="s">
        <v>1403</v>
      </c>
      <c r="Y93" s="50" t="s">
        <v>161</v>
      </c>
      <c r="Z93" s="50" t="s">
        <v>122</v>
      </c>
      <c r="AA93" s="50" t="s">
        <v>123</v>
      </c>
      <c r="AB93" s="50" t="s">
        <v>124</v>
      </c>
      <c r="AC93" s="65" t="s">
        <v>128</v>
      </c>
      <c r="AD93" s="65" t="s">
        <v>481</v>
      </c>
      <c r="AE93" s="131" t="s">
        <v>220</v>
      </c>
    </row>
    <row r="94">
      <c r="A94" s="31" t="s">
        <v>407</v>
      </c>
      <c r="B94" s="41" t="s">
        <v>67</v>
      </c>
      <c r="C94" s="68" t="s">
        <v>1406</v>
      </c>
      <c r="D94" s="110"/>
      <c r="E94" s="41" t="s">
        <v>1166</v>
      </c>
      <c r="F94" s="41" t="s">
        <v>1167</v>
      </c>
      <c r="G94" s="41" t="s">
        <v>1168</v>
      </c>
      <c r="H94" s="31" t="s">
        <v>103</v>
      </c>
      <c r="I94" s="31" t="s">
        <v>289</v>
      </c>
      <c r="J94" s="31" t="s">
        <v>289</v>
      </c>
      <c r="K94" s="31" t="s">
        <v>289</v>
      </c>
      <c r="L94" s="31" t="s">
        <v>289</v>
      </c>
      <c r="M94" s="70">
        <v>45127.0</v>
      </c>
      <c r="N94" s="70" t="str">
        <f t="shared" si="41"/>
        <v>2023</v>
      </c>
      <c r="O94" s="70">
        <v>45291.0</v>
      </c>
      <c r="P94" s="93" t="str">
        <f t="shared" si="42"/>
        <v>2023</v>
      </c>
      <c r="Q94" s="73">
        <f t="shared" si="43"/>
        <v>164</v>
      </c>
      <c r="R94" s="93">
        <f t="shared" si="44"/>
        <v>0</v>
      </c>
      <c r="S94" s="41"/>
      <c r="T94" s="74"/>
      <c r="U94" s="43">
        <v>0.0</v>
      </c>
      <c r="V94" s="41"/>
      <c r="W94" s="41" t="s">
        <v>1170</v>
      </c>
      <c r="X94" s="41"/>
      <c r="Y94" s="31" t="s">
        <v>161</v>
      </c>
      <c r="Z94" s="41" t="s">
        <v>216</v>
      </c>
      <c r="AA94" s="31" t="s">
        <v>289</v>
      </c>
      <c r="AB94" s="104" t="s">
        <v>442</v>
      </c>
      <c r="AC94" s="46" t="s">
        <v>161</v>
      </c>
      <c r="AD94" s="47"/>
      <c r="AE94" s="49"/>
    </row>
    <row r="95">
      <c r="A95" s="61" t="s">
        <v>64</v>
      </c>
      <c r="B95" s="50" t="s">
        <v>19</v>
      </c>
      <c r="C95" s="82" t="s">
        <v>1413</v>
      </c>
      <c r="D95" s="54">
        <v>600154.0</v>
      </c>
      <c r="E95" s="50" t="s">
        <v>1414</v>
      </c>
      <c r="F95" s="61" t="s">
        <v>1174</v>
      </c>
      <c r="G95" s="61" t="s">
        <v>1175</v>
      </c>
      <c r="H95" s="50" t="s">
        <v>232</v>
      </c>
      <c r="I95" s="50" t="s">
        <v>104</v>
      </c>
      <c r="J95" s="50" t="s">
        <v>84</v>
      </c>
      <c r="K95" s="50" t="s">
        <v>1416</v>
      </c>
      <c r="L95" s="50" t="s">
        <v>181</v>
      </c>
      <c r="M95" s="84">
        <v>45131.0</v>
      </c>
      <c r="N95" s="84" t="str">
        <f t="shared" si="41"/>
        <v>2023</v>
      </c>
      <c r="O95" s="57">
        <v>46490.0</v>
      </c>
      <c r="P95" s="85" t="str">
        <f t="shared" si="42"/>
        <v>2027</v>
      </c>
      <c r="Q95" s="86">
        <f t="shared" si="43"/>
        <v>1359</v>
      </c>
      <c r="R95" s="85">
        <f t="shared" si="44"/>
        <v>3</v>
      </c>
      <c r="S95" s="61"/>
      <c r="T95" s="54" t="s">
        <v>113</v>
      </c>
      <c r="U95" s="62">
        <v>0.0</v>
      </c>
      <c r="V95" s="50" t="s">
        <v>1417</v>
      </c>
      <c r="W95" s="61" t="s">
        <v>1178</v>
      </c>
      <c r="X95" s="119" t="s">
        <v>1418</v>
      </c>
      <c r="Y95" s="50" t="s">
        <v>1419</v>
      </c>
      <c r="Z95" s="50" t="s">
        <v>261</v>
      </c>
      <c r="AA95" s="50" t="s">
        <v>123</v>
      </c>
      <c r="AB95" s="50" t="s">
        <v>876</v>
      </c>
      <c r="AC95" s="65" t="s">
        <v>276</v>
      </c>
      <c r="AD95" s="66"/>
      <c r="AE95" s="67"/>
    </row>
    <row r="96">
      <c r="A96" s="31" t="s">
        <v>64</v>
      </c>
      <c r="B96" s="31" t="s">
        <v>19</v>
      </c>
      <c r="C96" s="32" t="s">
        <v>1420</v>
      </c>
      <c r="D96" s="33">
        <v>600421.0</v>
      </c>
      <c r="E96" s="31" t="s">
        <v>1324</v>
      </c>
      <c r="F96" s="31" t="s">
        <v>1325</v>
      </c>
      <c r="G96" s="31" t="s">
        <v>1326</v>
      </c>
      <c r="H96" s="31" t="s">
        <v>1421</v>
      </c>
      <c r="I96" s="100" t="s">
        <v>104</v>
      </c>
      <c r="J96" s="104" t="s">
        <v>146</v>
      </c>
      <c r="K96" s="31" t="s">
        <v>84</v>
      </c>
      <c r="L96" s="92" t="s">
        <v>1275</v>
      </c>
      <c r="M96" s="37">
        <v>45135.0</v>
      </c>
      <c r="N96" s="33">
        <v>2023.0</v>
      </c>
      <c r="O96" s="37">
        <v>46266.0</v>
      </c>
      <c r="P96" s="39">
        <v>2026.0</v>
      </c>
      <c r="Q96" s="40">
        <v>1131.0</v>
      </c>
      <c r="R96" s="39">
        <v>4.0</v>
      </c>
      <c r="S96" s="41"/>
      <c r="T96" s="74"/>
      <c r="U96" s="43">
        <v>2.0</v>
      </c>
      <c r="V96" s="31" t="s">
        <v>1425</v>
      </c>
      <c r="W96" s="150" t="s">
        <v>1330</v>
      </c>
      <c r="X96" s="31" t="s">
        <v>1427</v>
      </c>
      <c r="Y96" s="31" t="s">
        <v>161</v>
      </c>
      <c r="Z96" s="31" t="s">
        <v>261</v>
      </c>
      <c r="AA96" s="31" t="s">
        <v>14</v>
      </c>
      <c r="AB96" s="31" t="s">
        <v>162</v>
      </c>
      <c r="AC96" s="46" t="s">
        <v>276</v>
      </c>
      <c r="AD96" s="47"/>
      <c r="AE96" s="49"/>
    </row>
    <row r="97">
      <c r="A97" s="61" t="s">
        <v>169</v>
      </c>
      <c r="B97" s="61" t="s">
        <v>67</v>
      </c>
      <c r="C97" s="82" t="s">
        <v>1429</v>
      </c>
      <c r="D97" s="94">
        <v>600179.0</v>
      </c>
      <c r="E97" s="61" t="s">
        <v>1430</v>
      </c>
      <c r="F97" s="61" t="s">
        <v>1431</v>
      </c>
      <c r="G97" s="61" t="s">
        <v>1434</v>
      </c>
      <c r="H97" s="61" t="s">
        <v>84</v>
      </c>
      <c r="I97" s="56" t="s">
        <v>104</v>
      </c>
      <c r="J97" s="56" t="s">
        <v>84</v>
      </c>
      <c r="K97" s="61" t="s">
        <v>84</v>
      </c>
      <c r="L97" s="50" t="s">
        <v>181</v>
      </c>
      <c r="M97" s="84">
        <v>45135.0</v>
      </c>
      <c r="N97" s="84" t="str">
        <f t="shared" ref="N97:N99" si="45">right(M97,4)</f>
        <v>2023</v>
      </c>
      <c r="O97" s="84">
        <v>46022.0</v>
      </c>
      <c r="P97" s="95" t="str">
        <f t="shared" ref="P97:P99" si="46">right(O97,4)</f>
        <v>2025</v>
      </c>
      <c r="Q97" s="86">
        <f t="shared" ref="Q97:Q99" si="47">DATEDIF(M97,O97,"d")</f>
        <v>887</v>
      </c>
      <c r="R97" s="85">
        <f t="shared" ref="R97:R99" si="48">DATEDIF(M97,O97,"y")</f>
        <v>2</v>
      </c>
      <c r="S97" s="61"/>
      <c r="T97" s="87" t="s">
        <v>269</v>
      </c>
      <c r="U97" s="96">
        <v>2.0</v>
      </c>
      <c r="V97" s="97"/>
      <c r="W97" s="61" t="s">
        <v>1440</v>
      </c>
      <c r="X97" s="61"/>
      <c r="Y97" s="50" t="s">
        <v>161</v>
      </c>
      <c r="Z97" s="80" t="s">
        <v>247</v>
      </c>
      <c r="AA97" s="50" t="s">
        <v>14</v>
      </c>
      <c r="AB97" s="50" t="s">
        <v>213</v>
      </c>
      <c r="AC97" s="65" t="s">
        <v>161</v>
      </c>
      <c r="AD97" s="61"/>
      <c r="AE97" s="120"/>
    </row>
    <row r="98">
      <c r="A98" s="41" t="s">
        <v>64</v>
      </c>
      <c r="B98" s="41" t="s">
        <v>67</v>
      </c>
      <c r="C98" s="68" t="s">
        <v>1442</v>
      </c>
      <c r="D98" s="110"/>
      <c r="E98" s="41" t="s">
        <v>1182</v>
      </c>
      <c r="F98" s="41" t="s">
        <v>1183</v>
      </c>
      <c r="G98" s="41" t="s">
        <v>1184</v>
      </c>
      <c r="H98" s="31" t="s">
        <v>103</v>
      </c>
      <c r="I98" s="31" t="s">
        <v>289</v>
      </c>
      <c r="J98" s="31" t="s">
        <v>289</v>
      </c>
      <c r="K98" s="31" t="s">
        <v>236</v>
      </c>
      <c r="L98" s="31" t="s">
        <v>289</v>
      </c>
      <c r="M98" s="70">
        <v>45138.0</v>
      </c>
      <c r="N98" s="70" t="str">
        <f t="shared" si="45"/>
        <v>2023</v>
      </c>
      <c r="O98" s="70">
        <v>45322.0</v>
      </c>
      <c r="P98" s="93" t="str">
        <f t="shared" si="46"/>
        <v>2024</v>
      </c>
      <c r="Q98" s="73">
        <f t="shared" si="47"/>
        <v>184</v>
      </c>
      <c r="R98" s="93">
        <f t="shared" si="48"/>
        <v>0</v>
      </c>
      <c r="S98" s="41"/>
      <c r="T98" s="74"/>
      <c r="U98" s="43">
        <v>0.0</v>
      </c>
      <c r="V98" s="31" t="s">
        <v>1447</v>
      </c>
      <c r="W98" s="41" t="s">
        <v>1186</v>
      </c>
      <c r="X98" s="41"/>
      <c r="Y98" s="31" t="s">
        <v>161</v>
      </c>
      <c r="Z98" s="41" t="s">
        <v>259</v>
      </c>
      <c r="AA98" s="31" t="s">
        <v>289</v>
      </c>
      <c r="AB98" s="31" t="s">
        <v>124</v>
      </c>
      <c r="AC98" s="46" t="s">
        <v>161</v>
      </c>
      <c r="AD98" s="47"/>
      <c r="AE98" s="49"/>
    </row>
    <row r="99">
      <c r="A99" s="61" t="s">
        <v>169</v>
      </c>
      <c r="B99" s="61" t="s">
        <v>67</v>
      </c>
      <c r="C99" s="82" t="s">
        <v>1448</v>
      </c>
      <c r="D99" s="94">
        <v>600284.0</v>
      </c>
      <c r="E99" s="61" t="s">
        <v>1449</v>
      </c>
      <c r="F99" s="61" t="s">
        <v>1450</v>
      </c>
      <c r="G99" s="61" t="s">
        <v>1451</v>
      </c>
      <c r="H99" s="61" t="s">
        <v>266</v>
      </c>
      <c r="I99" s="50" t="s">
        <v>289</v>
      </c>
      <c r="J99" s="50" t="s">
        <v>289</v>
      </c>
      <c r="K99" s="50" t="s">
        <v>236</v>
      </c>
      <c r="L99" s="50" t="s">
        <v>289</v>
      </c>
      <c r="M99" s="84">
        <v>45138.0</v>
      </c>
      <c r="N99" s="84" t="str">
        <f t="shared" si="45"/>
        <v>2023</v>
      </c>
      <c r="O99" s="84">
        <v>45503.0</v>
      </c>
      <c r="P99" s="95" t="str">
        <f t="shared" si="46"/>
        <v>2024</v>
      </c>
      <c r="Q99" s="86">
        <f t="shared" si="47"/>
        <v>365</v>
      </c>
      <c r="R99" s="85">
        <f t="shared" si="48"/>
        <v>0</v>
      </c>
      <c r="S99" s="61"/>
      <c r="T99" s="87"/>
      <c r="U99" s="96">
        <v>0.0</v>
      </c>
      <c r="V99" s="61"/>
      <c r="W99" s="61"/>
      <c r="X99" s="61"/>
      <c r="Y99" s="50" t="s">
        <v>161</v>
      </c>
      <c r="Z99" s="80" t="s">
        <v>247</v>
      </c>
      <c r="AA99" s="50" t="s">
        <v>261</v>
      </c>
      <c r="AB99" s="50" t="s">
        <v>213</v>
      </c>
      <c r="AC99" s="65" t="s">
        <v>337</v>
      </c>
      <c r="AD99" s="97"/>
      <c r="AE99" s="98"/>
    </row>
    <row r="100">
      <c r="A100" s="31" t="s">
        <v>407</v>
      </c>
      <c r="B100" s="31" t="s">
        <v>19</v>
      </c>
      <c r="C100" s="32" t="s">
        <v>1453</v>
      </c>
      <c r="D100" s="113">
        <v>600084.0</v>
      </c>
      <c r="E100" s="31" t="s">
        <v>1454</v>
      </c>
      <c r="F100" s="31" t="s">
        <v>1455</v>
      </c>
      <c r="G100" s="31" t="s">
        <v>1456</v>
      </c>
      <c r="H100" s="31" t="s">
        <v>103</v>
      </c>
      <c r="I100" s="151" t="s">
        <v>104</v>
      </c>
      <c r="J100" s="104" t="s">
        <v>146</v>
      </c>
      <c r="K100" s="31" t="s">
        <v>1457</v>
      </c>
      <c r="L100" s="92" t="s">
        <v>181</v>
      </c>
      <c r="M100" s="37">
        <v>45139.0</v>
      </c>
      <c r="N100" s="33">
        <v>2023.0</v>
      </c>
      <c r="O100" s="37">
        <v>46429.0</v>
      </c>
      <c r="P100" s="39">
        <v>2027.0</v>
      </c>
      <c r="Q100" s="40">
        <v>1290.0</v>
      </c>
      <c r="R100" s="39">
        <v>4.0</v>
      </c>
      <c r="S100" s="41"/>
      <c r="T100" s="33" t="s">
        <v>113</v>
      </c>
      <c r="U100" s="75">
        <v>3.0</v>
      </c>
      <c r="V100" s="41"/>
      <c r="W100" s="31" t="s">
        <v>1460</v>
      </c>
      <c r="X100" s="31" t="s">
        <v>1461</v>
      </c>
      <c r="Y100" s="31" t="s">
        <v>161</v>
      </c>
      <c r="Z100" s="31" t="s">
        <v>261</v>
      </c>
      <c r="AA100" s="31" t="s">
        <v>123</v>
      </c>
      <c r="AB100" s="104" t="s">
        <v>442</v>
      </c>
      <c r="AC100" s="46" t="s">
        <v>128</v>
      </c>
      <c r="AD100" s="77"/>
      <c r="AE100" s="99"/>
    </row>
    <row r="101">
      <c r="A101" s="50" t="s">
        <v>407</v>
      </c>
      <c r="B101" s="50" t="s">
        <v>19</v>
      </c>
      <c r="C101" s="52" t="s">
        <v>1463</v>
      </c>
      <c r="D101" s="79">
        <v>600085.0</v>
      </c>
      <c r="E101" s="50" t="s">
        <v>1464</v>
      </c>
      <c r="F101" s="50" t="s">
        <v>1465</v>
      </c>
      <c r="G101" s="50" t="s">
        <v>1466</v>
      </c>
      <c r="H101" s="50" t="s">
        <v>103</v>
      </c>
      <c r="I101" s="152" t="s">
        <v>104</v>
      </c>
      <c r="J101" s="106" t="s">
        <v>146</v>
      </c>
      <c r="K101" s="50" t="s">
        <v>147</v>
      </c>
      <c r="L101" s="112" t="s">
        <v>181</v>
      </c>
      <c r="M101" s="57">
        <v>45139.0</v>
      </c>
      <c r="N101" s="54">
        <v>2023.0</v>
      </c>
      <c r="O101" s="57">
        <v>46429.0</v>
      </c>
      <c r="P101" s="59">
        <v>2027.0</v>
      </c>
      <c r="Q101" s="60">
        <v>1290.0</v>
      </c>
      <c r="R101" s="59">
        <v>4.0</v>
      </c>
      <c r="S101" s="61"/>
      <c r="T101" s="54" t="s">
        <v>113</v>
      </c>
      <c r="U101" s="96">
        <v>3.0</v>
      </c>
      <c r="V101" s="61"/>
      <c r="W101" s="50" t="s">
        <v>1467</v>
      </c>
      <c r="X101" s="50" t="s">
        <v>1468</v>
      </c>
      <c r="Y101" s="50" t="s">
        <v>161</v>
      </c>
      <c r="Z101" s="50" t="s">
        <v>261</v>
      </c>
      <c r="AA101" s="50" t="s">
        <v>14</v>
      </c>
      <c r="AB101" s="106" t="s">
        <v>442</v>
      </c>
      <c r="AC101" s="65" t="s">
        <v>276</v>
      </c>
      <c r="AD101" s="97"/>
      <c r="AE101" s="120"/>
    </row>
    <row r="102">
      <c r="A102" s="31" t="s">
        <v>169</v>
      </c>
      <c r="B102" s="31" t="s">
        <v>19</v>
      </c>
      <c r="C102" s="32" t="s">
        <v>1469</v>
      </c>
      <c r="D102" s="113">
        <v>600098.0</v>
      </c>
      <c r="E102" s="31" t="s">
        <v>1470</v>
      </c>
      <c r="F102" s="31" t="s">
        <v>1471</v>
      </c>
      <c r="G102" s="31" t="s">
        <v>1472</v>
      </c>
      <c r="H102" s="31" t="s">
        <v>103</v>
      </c>
      <c r="I102" s="100" t="s">
        <v>708</v>
      </c>
      <c r="J102" s="104" t="s">
        <v>146</v>
      </c>
      <c r="K102" s="31" t="s">
        <v>147</v>
      </c>
      <c r="L102" s="92" t="s">
        <v>181</v>
      </c>
      <c r="M102" s="37">
        <v>45140.0</v>
      </c>
      <c r="N102" s="33">
        <v>2023.0</v>
      </c>
      <c r="O102" s="37">
        <v>46282.0</v>
      </c>
      <c r="P102" s="39">
        <v>2026.0</v>
      </c>
      <c r="Q102" s="40">
        <v>1142.0</v>
      </c>
      <c r="R102" s="39">
        <v>4.0</v>
      </c>
      <c r="S102" s="41"/>
      <c r="T102" s="74"/>
      <c r="U102" s="75">
        <v>2.0</v>
      </c>
      <c r="V102" s="31" t="s">
        <v>1476</v>
      </c>
      <c r="W102" s="31" t="s">
        <v>1477</v>
      </c>
      <c r="X102" s="31" t="s">
        <v>1479</v>
      </c>
      <c r="Y102" s="31" t="s">
        <v>161</v>
      </c>
      <c r="Z102" s="31" t="s">
        <v>261</v>
      </c>
      <c r="AA102" s="31" t="s">
        <v>123</v>
      </c>
      <c r="AB102" s="153" t="s">
        <v>975</v>
      </c>
      <c r="AC102" s="46" t="s">
        <v>276</v>
      </c>
      <c r="AD102" s="77"/>
      <c r="AE102" s="99"/>
    </row>
    <row r="103">
      <c r="A103" s="61" t="s">
        <v>169</v>
      </c>
      <c r="B103" s="61" t="s">
        <v>67</v>
      </c>
      <c r="C103" s="82" t="s">
        <v>1482</v>
      </c>
      <c r="D103" s="137"/>
      <c r="E103" s="61" t="s">
        <v>1483</v>
      </c>
      <c r="F103" s="61" t="s">
        <v>1484</v>
      </c>
      <c r="G103" s="61" t="s">
        <v>1485</v>
      </c>
      <c r="H103" s="61" t="s">
        <v>84</v>
      </c>
      <c r="I103" s="50" t="s">
        <v>289</v>
      </c>
      <c r="J103" s="50" t="s">
        <v>289</v>
      </c>
      <c r="K103" s="50" t="s">
        <v>289</v>
      </c>
      <c r="L103" s="50" t="s">
        <v>289</v>
      </c>
      <c r="M103" s="84">
        <v>45146.0</v>
      </c>
      <c r="N103" s="84" t="str">
        <f t="shared" ref="N103:N108" si="49">right(M103,4)</f>
        <v>2023</v>
      </c>
      <c r="O103" s="84">
        <v>45363.0</v>
      </c>
      <c r="P103" s="95" t="str">
        <f t="shared" ref="P103:P108" si="50">right(O103,4)</f>
        <v>2024</v>
      </c>
      <c r="Q103" s="86">
        <f t="shared" ref="Q103:Q108" si="51">DATEDIF(M103,O103,"d")</f>
        <v>217</v>
      </c>
      <c r="R103" s="85">
        <f t="shared" ref="R103:R108" si="52">DATEDIF(M103,O103,"y")</f>
        <v>0</v>
      </c>
      <c r="S103" s="61"/>
      <c r="T103" s="87"/>
      <c r="U103" s="96">
        <v>0.0</v>
      </c>
      <c r="V103" s="61" t="s">
        <v>1491</v>
      </c>
      <c r="W103" s="61" t="s">
        <v>1492</v>
      </c>
      <c r="X103" s="61"/>
      <c r="Y103" s="50" t="s">
        <v>161</v>
      </c>
      <c r="Z103" s="80" t="s">
        <v>247</v>
      </c>
      <c r="AA103" s="50" t="s">
        <v>289</v>
      </c>
      <c r="AB103" s="61" t="s">
        <v>1493</v>
      </c>
      <c r="AC103" s="65" t="s">
        <v>161</v>
      </c>
      <c r="AD103" s="97"/>
      <c r="AE103" s="98"/>
    </row>
    <row r="104">
      <c r="A104" s="41" t="s">
        <v>169</v>
      </c>
      <c r="B104" s="41" t="s">
        <v>67</v>
      </c>
      <c r="C104" s="68" t="s">
        <v>1494</v>
      </c>
      <c r="D104" s="69">
        <v>600205.0</v>
      </c>
      <c r="E104" s="41" t="s">
        <v>1495</v>
      </c>
      <c r="F104" s="41" t="s">
        <v>1496</v>
      </c>
      <c r="G104" s="41" t="s">
        <v>1497</v>
      </c>
      <c r="H104" s="41" t="s">
        <v>266</v>
      </c>
      <c r="I104" s="31" t="s">
        <v>289</v>
      </c>
      <c r="J104" s="31" t="s">
        <v>289</v>
      </c>
      <c r="K104" s="31" t="s">
        <v>289</v>
      </c>
      <c r="L104" s="31" t="s">
        <v>289</v>
      </c>
      <c r="M104" s="70">
        <v>45146.0</v>
      </c>
      <c r="N104" s="70" t="str">
        <f t="shared" si="49"/>
        <v>2023</v>
      </c>
      <c r="O104" s="70">
        <v>45882.0</v>
      </c>
      <c r="P104" s="102" t="str">
        <f t="shared" si="50"/>
        <v>2025</v>
      </c>
      <c r="Q104" s="73">
        <f t="shared" si="51"/>
        <v>736</v>
      </c>
      <c r="R104" s="93">
        <f t="shared" si="52"/>
        <v>2</v>
      </c>
      <c r="S104" s="41"/>
      <c r="T104" s="74" t="s">
        <v>269</v>
      </c>
      <c r="U104" s="75">
        <v>1.0</v>
      </c>
      <c r="V104" s="41"/>
      <c r="W104" s="41" t="s">
        <v>1498</v>
      </c>
      <c r="X104" s="41" t="s">
        <v>1498</v>
      </c>
      <c r="Y104" s="31" t="s">
        <v>161</v>
      </c>
      <c r="Z104" s="31" t="s">
        <v>311</v>
      </c>
      <c r="AA104" s="31" t="s">
        <v>261</v>
      </c>
      <c r="AB104" s="31" t="s">
        <v>1499</v>
      </c>
      <c r="AC104" s="46" t="s">
        <v>337</v>
      </c>
      <c r="AD104" s="77"/>
      <c r="AE104" s="109"/>
    </row>
    <row r="105">
      <c r="A105" s="61" t="s">
        <v>64</v>
      </c>
      <c r="B105" s="61" t="s">
        <v>67</v>
      </c>
      <c r="C105" s="82" t="s">
        <v>1500</v>
      </c>
      <c r="D105" s="83"/>
      <c r="E105" s="61" t="s">
        <v>1187</v>
      </c>
      <c r="F105" s="61" t="s">
        <v>1188</v>
      </c>
      <c r="G105" s="61" t="s">
        <v>1189</v>
      </c>
      <c r="H105" s="50" t="s">
        <v>103</v>
      </c>
      <c r="I105" s="97" t="s">
        <v>106</v>
      </c>
      <c r="J105" s="106" t="s">
        <v>175</v>
      </c>
      <c r="K105" s="106" t="s">
        <v>175</v>
      </c>
      <c r="L105" s="106" t="s">
        <v>175</v>
      </c>
      <c r="M105" s="84">
        <v>45147.0</v>
      </c>
      <c r="N105" s="84" t="str">
        <f t="shared" si="49"/>
        <v>2023</v>
      </c>
      <c r="O105" s="84">
        <v>45154.0</v>
      </c>
      <c r="P105" s="85" t="str">
        <f t="shared" si="50"/>
        <v>2023</v>
      </c>
      <c r="Q105" s="86">
        <f t="shared" si="51"/>
        <v>7</v>
      </c>
      <c r="R105" s="85">
        <f t="shared" si="52"/>
        <v>0</v>
      </c>
      <c r="S105" s="61"/>
      <c r="T105" s="87"/>
      <c r="U105" s="96">
        <v>0.0</v>
      </c>
      <c r="V105" s="61" t="s">
        <v>1192</v>
      </c>
      <c r="W105" s="61" t="s">
        <v>1190</v>
      </c>
      <c r="X105" s="61"/>
      <c r="Y105" s="50" t="s">
        <v>161</v>
      </c>
      <c r="Z105" s="61" t="s">
        <v>259</v>
      </c>
      <c r="AA105" s="50" t="s">
        <v>175</v>
      </c>
      <c r="AB105" s="50" t="s">
        <v>124</v>
      </c>
      <c r="AC105" s="65" t="s">
        <v>161</v>
      </c>
      <c r="AD105" s="66"/>
      <c r="AE105" s="108" t="s">
        <v>220</v>
      </c>
    </row>
    <row r="106">
      <c r="A106" s="41" t="s">
        <v>169</v>
      </c>
      <c r="B106" s="41" t="s">
        <v>67</v>
      </c>
      <c r="C106" s="68" t="s">
        <v>1502</v>
      </c>
      <c r="D106" s="69">
        <v>600201.0</v>
      </c>
      <c r="E106" s="41" t="s">
        <v>1503</v>
      </c>
      <c r="F106" s="41" t="s">
        <v>1504</v>
      </c>
      <c r="G106" s="41" t="s">
        <v>1505</v>
      </c>
      <c r="H106" s="41" t="s">
        <v>266</v>
      </c>
      <c r="I106" s="31" t="s">
        <v>289</v>
      </c>
      <c r="J106" s="31" t="s">
        <v>289</v>
      </c>
      <c r="K106" s="31" t="s">
        <v>289</v>
      </c>
      <c r="L106" s="31" t="s">
        <v>289</v>
      </c>
      <c r="M106" s="70">
        <v>45147.0</v>
      </c>
      <c r="N106" s="70" t="str">
        <f t="shared" si="49"/>
        <v>2023</v>
      </c>
      <c r="O106" s="70">
        <v>45882.0</v>
      </c>
      <c r="P106" s="71" t="str">
        <f t="shared" si="50"/>
        <v>2025</v>
      </c>
      <c r="Q106" s="73">
        <f t="shared" si="51"/>
        <v>735</v>
      </c>
      <c r="R106" s="73">
        <f t="shared" si="52"/>
        <v>2</v>
      </c>
      <c r="S106" s="41"/>
      <c r="T106" s="74" t="s">
        <v>269</v>
      </c>
      <c r="U106" s="75">
        <v>1.0</v>
      </c>
      <c r="V106" s="41"/>
      <c r="W106" s="41" t="s">
        <v>1506</v>
      </c>
      <c r="X106" s="41" t="s">
        <v>1506</v>
      </c>
      <c r="Y106" s="31" t="s">
        <v>161</v>
      </c>
      <c r="Z106" s="31" t="s">
        <v>210</v>
      </c>
      <c r="AA106" s="31" t="s">
        <v>261</v>
      </c>
      <c r="AB106" s="31" t="s">
        <v>1499</v>
      </c>
      <c r="AC106" s="46" t="s">
        <v>337</v>
      </c>
      <c r="AD106" s="77"/>
      <c r="AE106" s="109"/>
    </row>
    <row r="107">
      <c r="A107" s="61" t="s">
        <v>64</v>
      </c>
      <c r="B107" s="61" t="s">
        <v>67</v>
      </c>
      <c r="C107" s="82" t="s">
        <v>1507</v>
      </c>
      <c r="D107" s="83"/>
      <c r="E107" s="61" t="s">
        <v>1193</v>
      </c>
      <c r="F107" s="61" t="s">
        <v>1194</v>
      </c>
      <c r="G107" s="61" t="s">
        <v>1195</v>
      </c>
      <c r="H107" s="61" t="s">
        <v>84</v>
      </c>
      <c r="I107" s="50" t="s">
        <v>289</v>
      </c>
      <c r="J107" s="50" t="s">
        <v>289</v>
      </c>
      <c r="K107" s="61" t="s">
        <v>84</v>
      </c>
      <c r="L107" s="50" t="s">
        <v>289</v>
      </c>
      <c r="M107" s="84">
        <v>45148.0</v>
      </c>
      <c r="N107" s="84" t="str">
        <f t="shared" si="49"/>
        <v>2023</v>
      </c>
      <c r="O107" s="84">
        <v>45657.0</v>
      </c>
      <c r="P107" s="85" t="str">
        <f t="shared" si="50"/>
        <v>2024</v>
      </c>
      <c r="Q107" s="86">
        <f t="shared" si="51"/>
        <v>509</v>
      </c>
      <c r="R107" s="85">
        <f t="shared" si="52"/>
        <v>1</v>
      </c>
      <c r="S107" s="61"/>
      <c r="T107" s="87"/>
      <c r="U107" s="62">
        <v>0.0</v>
      </c>
      <c r="V107" s="61" t="s">
        <v>1197</v>
      </c>
      <c r="W107" s="61" t="s">
        <v>1196</v>
      </c>
      <c r="X107" s="61"/>
      <c r="Y107" s="50" t="s">
        <v>161</v>
      </c>
      <c r="Z107" s="61" t="s">
        <v>216</v>
      </c>
      <c r="AA107" s="50" t="s">
        <v>289</v>
      </c>
      <c r="AB107" s="61" t="s">
        <v>261</v>
      </c>
      <c r="AC107" s="65" t="s">
        <v>161</v>
      </c>
      <c r="AD107" s="66"/>
      <c r="AE107" s="67"/>
    </row>
    <row r="108">
      <c r="A108" s="41" t="s">
        <v>64</v>
      </c>
      <c r="B108" s="41" t="s">
        <v>67</v>
      </c>
      <c r="C108" s="68" t="s">
        <v>1513</v>
      </c>
      <c r="D108" s="74">
        <v>600151.0</v>
      </c>
      <c r="E108" s="41" t="s">
        <v>549</v>
      </c>
      <c r="F108" s="41" t="s">
        <v>1337</v>
      </c>
      <c r="G108" s="41" t="s">
        <v>1339</v>
      </c>
      <c r="H108" s="41" t="s">
        <v>84</v>
      </c>
      <c r="I108" s="31" t="s">
        <v>289</v>
      </c>
      <c r="J108" s="31" t="s">
        <v>289</v>
      </c>
      <c r="K108" s="41" t="s">
        <v>84</v>
      </c>
      <c r="L108" s="41" t="s">
        <v>181</v>
      </c>
      <c r="M108" s="70">
        <v>45148.0</v>
      </c>
      <c r="N108" s="70" t="str">
        <f t="shared" si="49"/>
        <v>2023</v>
      </c>
      <c r="O108" s="70">
        <v>45657.0</v>
      </c>
      <c r="P108" s="93" t="str">
        <f t="shared" si="50"/>
        <v>2024</v>
      </c>
      <c r="Q108" s="73">
        <f t="shared" si="51"/>
        <v>509</v>
      </c>
      <c r="R108" s="93">
        <f t="shared" si="52"/>
        <v>1</v>
      </c>
      <c r="S108" s="41"/>
      <c r="T108" s="74"/>
      <c r="U108" s="43">
        <v>0.0</v>
      </c>
      <c r="V108" s="41"/>
      <c r="W108" s="154" t="s">
        <v>1343</v>
      </c>
      <c r="X108" s="41"/>
      <c r="Y108" s="31" t="s">
        <v>161</v>
      </c>
      <c r="Z108" s="31" t="s">
        <v>311</v>
      </c>
      <c r="AA108" s="31" t="s">
        <v>289</v>
      </c>
      <c r="AB108" s="41" t="s">
        <v>1283</v>
      </c>
      <c r="AC108" s="46" t="s">
        <v>337</v>
      </c>
      <c r="AD108" s="47"/>
      <c r="AE108" s="49"/>
    </row>
    <row r="109">
      <c r="A109" s="50" t="s">
        <v>169</v>
      </c>
      <c r="B109" s="50" t="s">
        <v>67</v>
      </c>
      <c r="C109" s="52" t="s">
        <v>1517</v>
      </c>
      <c r="D109" s="56" t="s">
        <v>1518</v>
      </c>
      <c r="E109" s="50" t="s">
        <v>667</v>
      </c>
      <c r="F109" s="50" t="s">
        <v>1519</v>
      </c>
      <c r="G109" s="50" t="s">
        <v>1520</v>
      </c>
      <c r="H109" s="50" t="s">
        <v>232</v>
      </c>
      <c r="I109" s="50" t="s">
        <v>104</v>
      </c>
      <c r="J109" s="50" t="s">
        <v>84</v>
      </c>
      <c r="K109" s="50" t="s">
        <v>84</v>
      </c>
      <c r="L109" s="50" t="s">
        <v>25</v>
      </c>
      <c r="M109" s="57">
        <v>45148.0</v>
      </c>
      <c r="N109" s="54">
        <v>2023.0</v>
      </c>
      <c r="O109" s="57">
        <v>46203.0</v>
      </c>
      <c r="P109" s="59">
        <v>2026.0</v>
      </c>
      <c r="Q109" s="60">
        <v>1055.0</v>
      </c>
      <c r="R109" s="59">
        <v>3.0</v>
      </c>
      <c r="S109" s="50" t="s">
        <v>1522</v>
      </c>
      <c r="T109" s="54" t="s">
        <v>269</v>
      </c>
      <c r="U109" s="96">
        <v>0.0</v>
      </c>
      <c r="V109" s="61"/>
      <c r="W109" s="50" t="s">
        <v>1524</v>
      </c>
      <c r="X109" s="61"/>
      <c r="Y109" s="50" t="s">
        <v>1525</v>
      </c>
      <c r="Z109" s="80" t="s">
        <v>211</v>
      </c>
      <c r="AA109" s="50" t="s">
        <v>123</v>
      </c>
      <c r="AB109" s="50" t="s">
        <v>249</v>
      </c>
      <c r="AC109" s="65" t="s">
        <v>164</v>
      </c>
      <c r="AD109" s="65" t="s">
        <v>251</v>
      </c>
      <c r="AE109" s="106" t="s">
        <v>220</v>
      </c>
    </row>
    <row r="110">
      <c r="A110" s="41" t="s">
        <v>64</v>
      </c>
      <c r="B110" s="41" t="s">
        <v>67</v>
      </c>
      <c r="C110" s="68" t="s">
        <v>1528</v>
      </c>
      <c r="D110" s="74">
        <v>600123.0</v>
      </c>
      <c r="E110" s="41" t="s">
        <v>1199</v>
      </c>
      <c r="F110" s="41" t="s">
        <v>1200</v>
      </c>
      <c r="G110" s="41" t="s">
        <v>1201</v>
      </c>
      <c r="H110" s="31" t="s">
        <v>103</v>
      </c>
      <c r="I110" s="31" t="s">
        <v>289</v>
      </c>
      <c r="J110" s="31" t="s">
        <v>289</v>
      </c>
      <c r="K110" s="31" t="s">
        <v>236</v>
      </c>
      <c r="L110" s="31" t="s">
        <v>289</v>
      </c>
      <c r="M110" s="70">
        <v>45152.0</v>
      </c>
      <c r="N110" s="70" t="str">
        <f t="shared" ref="N110:N112" si="53">right(M110,4)</f>
        <v>2023</v>
      </c>
      <c r="O110" s="70">
        <v>45536.0</v>
      </c>
      <c r="P110" s="93" t="str">
        <f t="shared" ref="P110:P112" si="54">right(O110,4)</f>
        <v>2024</v>
      </c>
      <c r="Q110" s="73">
        <f t="shared" ref="Q110:Q112" si="55">DATEDIF(M110,O110,"d")</f>
        <v>384</v>
      </c>
      <c r="R110" s="93">
        <f t="shared" ref="R110:R112" si="56">DATEDIF(M110,O110,"y")</f>
        <v>1</v>
      </c>
      <c r="S110" s="41"/>
      <c r="T110" s="74"/>
      <c r="U110" s="43">
        <v>0.0</v>
      </c>
      <c r="V110" s="41" t="s">
        <v>1204</v>
      </c>
      <c r="W110" s="41" t="s">
        <v>1202</v>
      </c>
      <c r="X110" s="41"/>
      <c r="Y110" s="31" t="s">
        <v>161</v>
      </c>
      <c r="Z110" s="31" t="s">
        <v>311</v>
      </c>
      <c r="AA110" s="31" t="s">
        <v>289</v>
      </c>
      <c r="AB110" s="31" t="s">
        <v>124</v>
      </c>
      <c r="AC110" s="46" t="s">
        <v>337</v>
      </c>
      <c r="AD110" s="47"/>
      <c r="AE110" s="49"/>
    </row>
    <row r="111">
      <c r="A111" s="61" t="s">
        <v>64</v>
      </c>
      <c r="B111" s="61" t="s">
        <v>19</v>
      </c>
      <c r="C111" s="82" t="s">
        <v>1530</v>
      </c>
      <c r="D111" s="87">
        <v>600125.0</v>
      </c>
      <c r="E111" s="61" t="s">
        <v>858</v>
      </c>
      <c r="F111" s="61" t="s">
        <v>1205</v>
      </c>
      <c r="G111" s="61" t="s">
        <v>1206</v>
      </c>
      <c r="H111" s="61" t="s">
        <v>84</v>
      </c>
      <c r="I111" s="56" t="s">
        <v>104</v>
      </c>
      <c r="J111" s="56" t="s">
        <v>84</v>
      </c>
      <c r="K111" s="61" t="s">
        <v>84</v>
      </c>
      <c r="L111" s="50" t="s">
        <v>25</v>
      </c>
      <c r="M111" s="84">
        <v>45155.0</v>
      </c>
      <c r="N111" s="84" t="str">
        <f t="shared" si="53"/>
        <v>2023</v>
      </c>
      <c r="O111" s="84">
        <v>46251.0</v>
      </c>
      <c r="P111" s="86" t="str">
        <f t="shared" si="54"/>
        <v>2026</v>
      </c>
      <c r="Q111" s="86">
        <f t="shared" si="55"/>
        <v>1096</v>
      </c>
      <c r="R111" s="86">
        <f t="shared" si="56"/>
        <v>3</v>
      </c>
      <c r="S111" s="61"/>
      <c r="T111" s="87" t="s">
        <v>269</v>
      </c>
      <c r="U111" s="62">
        <v>2.0</v>
      </c>
      <c r="V111" s="50" t="s">
        <v>1534</v>
      </c>
      <c r="W111" s="61" t="s">
        <v>1209</v>
      </c>
      <c r="X111" s="61" t="s">
        <v>1209</v>
      </c>
      <c r="Y111" s="50" t="s">
        <v>161</v>
      </c>
      <c r="Z111" s="50" t="s">
        <v>210</v>
      </c>
      <c r="AA111" s="50" t="s">
        <v>38</v>
      </c>
      <c r="AB111" s="50" t="s">
        <v>124</v>
      </c>
      <c r="AC111" s="65" t="s">
        <v>337</v>
      </c>
      <c r="AD111" s="66"/>
      <c r="AE111" s="67"/>
    </row>
    <row r="112">
      <c r="A112" s="41" t="s">
        <v>169</v>
      </c>
      <c r="B112" s="41" t="s">
        <v>67</v>
      </c>
      <c r="C112" s="68" t="s">
        <v>1536</v>
      </c>
      <c r="D112" s="69">
        <v>600202.0</v>
      </c>
      <c r="E112" s="41" t="s">
        <v>1537</v>
      </c>
      <c r="F112" s="41" t="s">
        <v>1538</v>
      </c>
      <c r="G112" s="41" t="s">
        <v>1539</v>
      </c>
      <c r="H112" s="41" t="s">
        <v>266</v>
      </c>
      <c r="I112" s="31" t="s">
        <v>289</v>
      </c>
      <c r="J112" s="31" t="s">
        <v>289</v>
      </c>
      <c r="K112" s="31" t="s">
        <v>289</v>
      </c>
      <c r="L112" s="31" t="s">
        <v>289</v>
      </c>
      <c r="M112" s="70">
        <v>45155.0</v>
      </c>
      <c r="N112" s="70" t="str">
        <f t="shared" si="53"/>
        <v>2023</v>
      </c>
      <c r="O112" s="70">
        <v>45657.0</v>
      </c>
      <c r="P112" s="102" t="str">
        <f t="shared" si="54"/>
        <v>2024</v>
      </c>
      <c r="Q112" s="73">
        <f t="shared" si="55"/>
        <v>502</v>
      </c>
      <c r="R112" s="93">
        <f t="shared" si="56"/>
        <v>1</v>
      </c>
      <c r="S112" s="41"/>
      <c r="T112" s="74" t="s">
        <v>269</v>
      </c>
      <c r="U112" s="75">
        <v>0.0</v>
      </c>
      <c r="V112" s="41"/>
      <c r="W112" s="41" t="s">
        <v>1541</v>
      </c>
      <c r="X112" s="41"/>
      <c r="Y112" s="31" t="s">
        <v>161</v>
      </c>
      <c r="Z112" s="101" t="s">
        <v>247</v>
      </c>
      <c r="AA112" s="31" t="s">
        <v>261</v>
      </c>
      <c r="AB112" s="31" t="s">
        <v>1499</v>
      </c>
      <c r="AC112" s="46" t="s">
        <v>161</v>
      </c>
      <c r="AD112" s="77"/>
      <c r="AE112" s="109"/>
    </row>
    <row r="113">
      <c r="A113" s="50" t="s">
        <v>64</v>
      </c>
      <c r="B113" s="50" t="s">
        <v>19</v>
      </c>
      <c r="C113" s="52" t="s">
        <v>1543</v>
      </c>
      <c r="D113" s="54">
        <v>600189.0</v>
      </c>
      <c r="E113" s="50" t="s">
        <v>867</v>
      </c>
      <c r="F113" s="50" t="s">
        <v>1212</v>
      </c>
      <c r="G113" s="159" t="s">
        <v>1213</v>
      </c>
      <c r="H113" s="50" t="s">
        <v>178</v>
      </c>
      <c r="I113" s="125" t="s">
        <v>104</v>
      </c>
      <c r="J113" s="125" t="s">
        <v>233</v>
      </c>
      <c r="K113" s="50" t="s">
        <v>236</v>
      </c>
      <c r="L113" s="50" t="s">
        <v>105</v>
      </c>
      <c r="M113" s="57">
        <v>45156.0</v>
      </c>
      <c r="N113" s="54">
        <v>2023.0</v>
      </c>
      <c r="O113" s="57">
        <v>46296.0</v>
      </c>
      <c r="P113" s="59">
        <v>2026.0</v>
      </c>
      <c r="Q113" s="60">
        <v>957.0</v>
      </c>
      <c r="R113" s="59">
        <v>3.0</v>
      </c>
      <c r="S113" s="61"/>
      <c r="T113" s="87"/>
      <c r="U113" s="62">
        <v>2.0</v>
      </c>
      <c r="V113" s="50" t="s">
        <v>1547</v>
      </c>
      <c r="W113" s="159" t="s">
        <v>1218</v>
      </c>
      <c r="X113" s="159" t="s">
        <v>1550</v>
      </c>
      <c r="Y113" s="50" t="s">
        <v>161</v>
      </c>
      <c r="Z113" s="50" t="s">
        <v>261</v>
      </c>
      <c r="AA113" s="50" t="s">
        <v>14</v>
      </c>
      <c r="AB113" s="50" t="s">
        <v>124</v>
      </c>
      <c r="AC113" s="65" t="s">
        <v>276</v>
      </c>
      <c r="AD113" s="66"/>
      <c r="AE113" s="67"/>
    </row>
    <row r="114">
      <c r="A114" s="41" t="s">
        <v>64</v>
      </c>
      <c r="B114" s="41" t="s">
        <v>67</v>
      </c>
      <c r="C114" s="68" t="s">
        <v>1551</v>
      </c>
      <c r="D114" s="110"/>
      <c r="E114" s="41" t="s">
        <v>1221</v>
      </c>
      <c r="F114" s="41" t="s">
        <v>1222</v>
      </c>
      <c r="G114" s="41" t="s">
        <v>1223</v>
      </c>
      <c r="H114" s="31" t="s">
        <v>103</v>
      </c>
      <c r="I114" s="31" t="s">
        <v>289</v>
      </c>
      <c r="J114" s="31" t="s">
        <v>289</v>
      </c>
      <c r="K114" s="31" t="s">
        <v>289</v>
      </c>
      <c r="L114" s="31" t="s">
        <v>289</v>
      </c>
      <c r="M114" s="70">
        <v>45161.0</v>
      </c>
      <c r="N114" s="70" t="str">
        <f t="shared" ref="N114:N116" si="57">right(M114,4)</f>
        <v>2023</v>
      </c>
      <c r="O114" s="70">
        <v>45527.0</v>
      </c>
      <c r="P114" s="93" t="str">
        <f t="shared" ref="P114:P116" si="58">right(O114,4)</f>
        <v>2024</v>
      </c>
      <c r="Q114" s="73">
        <f t="shared" ref="Q114:Q116" si="59">DATEDIF(M114,O114,"d")</f>
        <v>366</v>
      </c>
      <c r="R114" s="93">
        <f t="shared" ref="R114:R116" si="60">DATEDIF(M114,O114,"y")</f>
        <v>1</v>
      </c>
      <c r="S114" s="41"/>
      <c r="T114" s="74"/>
      <c r="U114" s="43">
        <v>0.0</v>
      </c>
      <c r="V114" s="41" t="s">
        <v>1227</v>
      </c>
      <c r="W114" s="41" t="s">
        <v>1226</v>
      </c>
      <c r="X114" s="41"/>
      <c r="Y114" s="31" t="s">
        <v>161</v>
      </c>
      <c r="Z114" s="41" t="s">
        <v>259</v>
      </c>
      <c r="AA114" s="31" t="s">
        <v>289</v>
      </c>
      <c r="AB114" s="31" t="s">
        <v>124</v>
      </c>
      <c r="AC114" s="46" t="s">
        <v>337</v>
      </c>
      <c r="AD114" s="47"/>
      <c r="AE114" s="78" t="s">
        <v>220</v>
      </c>
    </row>
    <row r="115">
      <c r="A115" s="61" t="s">
        <v>64</v>
      </c>
      <c r="B115" s="61" t="s">
        <v>67</v>
      </c>
      <c r="C115" s="82" t="s">
        <v>1556</v>
      </c>
      <c r="D115" s="83"/>
      <c r="E115" s="61" t="s">
        <v>1228</v>
      </c>
      <c r="F115" s="61" t="s">
        <v>1229</v>
      </c>
      <c r="G115" s="61" t="s">
        <v>1230</v>
      </c>
      <c r="H115" s="61" t="s">
        <v>84</v>
      </c>
      <c r="I115" s="50" t="s">
        <v>289</v>
      </c>
      <c r="J115" s="50" t="s">
        <v>289</v>
      </c>
      <c r="K115" s="50" t="s">
        <v>289</v>
      </c>
      <c r="L115" s="138" t="s">
        <v>25</v>
      </c>
      <c r="M115" s="84">
        <v>45162.0</v>
      </c>
      <c r="N115" s="84" t="str">
        <f t="shared" si="57"/>
        <v>2023</v>
      </c>
      <c r="O115" s="84">
        <v>45323.0</v>
      </c>
      <c r="P115" s="85" t="str">
        <f t="shared" si="58"/>
        <v>2024</v>
      </c>
      <c r="Q115" s="86">
        <f t="shared" si="59"/>
        <v>161</v>
      </c>
      <c r="R115" s="85">
        <f t="shared" si="60"/>
        <v>0</v>
      </c>
      <c r="S115" s="61"/>
      <c r="T115" s="87" t="s">
        <v>269</v>
      </c>
      <c r="U115" s="62">
        <v>0.0</v>
      </c>
      <c r="V115" s="50" t="s">
        <v>1563</v>
      </c>
      <c r="W115" s="61" t="s">
        <v>1234</v>
      </c>
      <c r="X115" s="61"/>
      <c r="Y115" s="50" t="s">
        <v>161</v>
      </c>
      <c r="Z115" s="61" t="s">
        <v>162</v>
      </c>
      <c r="AA115" s="50" t="s">
        <v>289</v>
      </c>
      <c r="AB115" s="50" t="s">
        <v>124</v>
      </c>
      <c r="AC115" s="65" t="s">
        <v>161</v>
      </c>
      <c r="AD115" s="66"/>
      <c r="AE115" s="67"/>
    </row>
    <row r="116">
      <c r="A116" s="41" t="s">
        <v>169</v>
      </c>
      <c r="B116" s="41" t="s">
        <v>67</v>
      </c>
      <c r="C116" s="68" t="s">
        <v>1565</v>
      </c>
      <c r="D116" s="69">
        <v>600310.0</v>
      </c>
      <c r="E116" s="41" t="s">
        <v>1567</v>
      </c>
      <c r="F116" s="41" t="s">
        <v>1568</v>
      </c>
      <c r="G116" s="41" t="s">
        <v>1569</v>
      </c>
      <c r="H116" s="31" t="s">
        <v>103</v>
      </c>
      <c r="I116" s="31" t="s">
        <v>289</v>
      </c>
      <c r="J116" s="31" t="s">
        <v>289</v>
      </c>
      <c r="K116" s="31" t="s">
        <v>289</v>
      </c>
      <c r="L116" s="91" t="s">
        <v>48</v>
      </c>
      <c r="M116" s="70">
        <v>45166.0</v>
      </c>
      <c r="N116" s="70" t="str">
        <f t="shared" si="57"/>
        <v>2023</v>
      </c>
      <c r="O116" s="70">
        <v>45734.0</v>
      </c>
      <c r="P116" s="102" t="str">
        <f t="shared" si="58"/>
        <v>2025</v>
      </c>
      <c r="Q116" s="73">
        <f t="shared" si="59"/>
        <v>568</v>
      </c>
      <c r="R116" s="93">
        <f t="shared" si="60"/>
        <v>1</v>
      </c>
      <c r="S116" s="41"/>
      <c r="T116" s="74"/>
      <c r="U116" s="75">
        <v>0.0</v>
      </c>
      <c r="V116" s="41" t="s">
        <v>1574</v>
      </c>
      <c r="W116" s="41" t="s">
        <v>1575</v>
      </c>
      <c r="X116" s="41" t="s">
        <v>1575</v>
      </c>
      <c r="Y116" s="31" t="s">
        <v>161</v>
      </c>
      <c r="Z116" s="101" t="s">
        <v>247</v>
      </c>
      <c r="AA116" s="31" t="s">
        <v>261</v>
      </c>
      <c r="AB116" s="31" t="s">
        <v>1499</v>
      </c>
      <c r="AC116" s="46" t="s">
        <v>276</v>
      </c>
      <c r="AD116" s="77"/>
      <c r="AE116" s="109"/>
    </row>
    <row r="117">
      <c r="A117" s="50" t="s">
        <v>169</v>
      </c>
      <c r="B117" s="50" t="s">
        <v>19</v>
      </c>
      <c r="C117" s="52" t="s">
        <v>1582</v>
      </c>
      <c r="D117" s="79">
        <v>800069.0</v>
      </c>
      <c r="E117" s="50" t="s">
        <v>1584</v>
      </c>
      <c r="F117" s="50" t="s">
        <v>1585</v>
      </c>
      <c r="G117" s="50" t="s">
        <v>1586</v>
      </c>
      <c r="H117" s="50" t="s">
        <v>103</v>
      </c>
      <c r="I117" s="56" t="s">
        <v>104</v>
      </c>
      <c r="J117" s="56" t="s">
        <v>233</v>
      </c>
      <c r="K117" s="56" t="s">
        <v>236</v>
      </c>
      <c r="L117" s="112" t="s">
        <v>181</v>
      </c>
      <c r="M117" s="57">
        <v>45166.0</v>
      </c>
      <c r="N117" s="54">
        <v>2023.0</v>
      </c>
      <c r="O117" s="57">
        <v>46393.0</v>
      </c>
      <c r="P117" s="59">
        <v>2027.0</v>
      </c>
      <c r="Q117" s="60">
        <v>1227.0</v>
      </c>
      <c r="R117" s="59">
        <v>4.0</v>
      </c>
      <c r="S117" s="61"/>
      <c r="T117" s="54" t="s">
        <v>113</v>
      </c>
      <c r="U117" s="96">
        <v>1.0</v>
      </c>
      <c r="V117" s="61"/>
      <c r="W117" s="159" t="s">
        <v>1594</v>
      </c>
      <c r="X117" s="159" t="s">
        <v>1594</v>
      </c>
      <c r="Y117" s="50" t="s">
        <v>161</v>
      </c>
      <c r="Z117" s="50" t="s">
        <v>122</v>
      </c>
      <c r="AA117" s="50" t="s">
        <v>14</v>
      </c>
      <c r="AB117" s="50" t="s">
        <v>975</v>
      </c>
      <c r="AC117" s="65" t="s">
        <v>337</v>
      </c>
      <c r="AD117" s="97"/>
      <c r="AE117" s="120"/>
    </row>
    <row r="118">
      <c r="A118" s="41" t="s">
        <v>64</v>
      </c>
      <c r="B118" s="41" t="s">
        <v>67</v>
      </c>
      <c r="C118" s="68" t="s">
        <v>1597</v>
      </c>
      <c r="D118" s="74">
        <v>600127.0</v>
      </c>
      <c r="E118" s="41" t="s">
        <v>1236</v>
      </c>
      <c r="F118" s="41" t="s">
        <v>1237</v>
      </c>
      <c r="G118" s="41" t="s">
        <v>1238</v>
      </c>
      <c r="H118" s="31" t="s">
        <v>103</v>
      </c>
      <c r="I118" s="31" t="s">
        <v>289</v>
      </c>
      <c r="J118" s="31" t="s">
        <v>289</v>
      </c>
      <c r="K118" s="41" t="s">
        <v>1239</v>
      </c>
      <c r="L118" s="41" t="s">
        <v>1242</v>
      </c>
      <c r="M118" s="70">
        <v>45167.0</v>
      </c>
      <c r="N118" s="70" t="str">
        <f t="shared" ref="N118:N122" si="61">right(M118,4)</f>
        <v>2023</v>
      </c>
      <c r="O118" s="70">
        <v>45550.0</v>
      </c>
      <c r="P118" s="93" t="str">
        <f t="shared" ref="P118:P122" si="62">right(O118,4)</f>
        <v>2024</v>
      </c>
      <c r="Q118" s="73">
        <f t="shared" ref="Q118:Q122" si="63">DATEDIF(M118,O118,"d")</f>
        <v>383</v>
      </c>
      <c r="R118" s="93">
        <f t="shared" ref="R118:R122" si="64">DATEDIF(M118,O118,"y")</f>
        <v>1</v>
      </c>
      <c r="S118" s="41"/>
      <c r="T118" s="74"/>
      <c r="U118" s="43">
        <v>0.0</v>
      </c>
      <c r="V118" s="41"/>
      <c r="W118" s="41" t="s">
        <v>1241</v>
      </c>
      <c r="X118" s="41"/>
      <c r="Y118" s="31" t="s">
        <v>161</v>
      </c>
      <c r="Z118" s="31" t="s">
        <v>311</v>
      </c>
      <c r="AA118" s="31" t="s">
        <v>289</v>
      </c>
      <c r="AB118" s="31" t="s">
        <v>124</v>
      </c>
      <c r="AC118" s="46" t="s">
        <v>337</v>
      </c>
      <c r="AD118" s="47"/>
      <c r="AE118" s="49"/>
    </row>
    <row r="119">
      <c r="A119" s="61" t="s">
        <v>64</v>
      </c>
      <c r="B119" s="61" t="s">
        <v>67</v>
      </c>
      <c r="C119" s="82" t="s">
        <v>1605</v>
      </c>
      <c r="D119" s="83"/>
      <c r="E119" s="61" t="s">
        <v>1606</v>
      </c>
      <c r="F119" s="61" t="s">
        <v>1607</v>
      </c>
      <c r="G119" s="61" t="s">
        <v>1609</v>
      </c>
      <c r="H119" s="50" t="s">
        <v>103</v>
      </c>
      <c r="I119" s="50" t="s">
        <v>289</v>
      </c>
      <c r="J119" s="50" t="s">
        <v>233</v>
      </c>
      <c r="K119" s="50" t="s">
        <v>1613</v>
      </c>
      <c r="L119" s="50" t="s">
        <v>289</v>
      </c>
      <c r="M119" s="84">
        <v>45175.0</v>
      </c>
      <c r="N119" s="84" t="str">
        <f t="shared" si="61"/>
        <v>2023</v>
      </c>
      <c r="O119" s="84">
        <v>45540.0</v>
      </c>
      <c r="P119" s="85" t="str">
        <f t="shared" si="62"/>
        <v>2024</v>
      </c>
      <c r="Q119" s="86">
        <f t="shared" si="63"/>
        <v>365</v>
      </c>
      <c r="R119" s="85">
        <f t="shared" si="64"/>
        <v>0</v>
      </c>
      <c r="S119" s="61"/>
      <c r="T119" s="87"/>
      <c r="U119" s="62">
        <v>0.0</v>
      </c>
      <c r="V119" s="61"/>
      <c r="W119" s="61" t="s">
        <v>1622</v>
      </c>
      <c r="X119" s="61" t="s">
        <v>1622</v>
      </c>
      <c r="Y119" s="50" t="s">
        <v>161</v>
      </c>
      <c r="Z119" s="50" t="s">
        <v>122</v>
      </c>
      <c r="AA119" s="50" t="s">
        <v>261</v>
      </c>
      <c r="AB119" s="50" t="s">
        <v>124</v>
      </c>
      <c r="AC119" s="65" t="s">
        <v>337</v>
      </c>
      <c r="AD119" s="66"/>
      <c r="AE119" s="67"/>
    </row>
    <row r="120">
      <c r="A120" s="41" t="s">
        <v>169</v>
      </c>
      <c r="B120" s="41" t="s">
        <v>67</v>
      </c>
      <c r="C120" s="68" t="s">
        <v>1625</v>
      </c>
      <c r="D120" s="148"/>
      <c r="E120" s="41" t="s">
        <v>1628</v>
      </c>
      <c r="F120" s="41" t="s">
        <v>1630</v>
      </c>
      <c r="G120" s="41" t="s">
        <v>1631</v>
      </c>
      <c r="H120" s="31" t="s">
        <v>103</v>
      </c>
      <c r="I120" s="31" t="s">
        <v>289</v>
      </c>
      <c r="J120" s="31" t="s">
        <v>289</v>
      </c>
      <c r="K120" s="31" t="s">
        <v>289</v>
      </c>
      <c r="L120" s="31" t="s">
        <v>289</v>
      </c>
      <c r="M120" s="70">
        <v>45177.0</v>
      </c>
      <c r="N120" s="70" t="str">
        <f t="shared" si="61"/>
        <v>2023</v>
      </c>
      <c r="O120" s="70">
        <v>45362.0</v>
      </c>
      <c r="P120" s="102" t="str">
        <f t="shared" si="62"/>
        <v>2024</v>
      </c>
      <c r="Q120" s="73">
        <f t="shared" si="63"/>
        <v>185</v>
      </c>
      <c r="R120" s="93">
        <f t="shared" si="64"/>
        <v>0</v>
      </c>
      <c r="S120" s="41"/>
      <c r="T120" s="74"/>
      <c r="U120" s="75">
        <v>0.0</v>
      </c>
      <c r="V120" s="41"/>
      <c r="W120" s="41" t="s">
        <v>1635</v>
      </c>
      <c r="X120" s="41"/>
      <c r="Y120" s="31" t="s">
        <v>161</v>
      </c>
      <c r="Z120" s="101" t="s">
        <v>247</v>
      </c>
      <c r="AA120" s="31" t="s">
        <v>261</v>
      </c>
      <c r="AB120" s="41" t="s">
        <v>1641</v>
      </c>
      <c r="AC120" s="46" t="s">
        <v>337</v>
      </c>
      <c r="AD120" s="77"/>
      <c r="AE120" s="109"/>
    </row>
    <row r="121">
      <c r="A121" s="61" t="s">
        <v>169</v>
      </c>
      <c r="B121" s="61" t="s">
        <v>67</v>
      </c>
      <c r="C121" s="82" t="s">
        <v>1645</v>
      </c>
      <c r="D121" s="94">
        <v>600200.0</v>
      </c>
      <c r="E121" s="61" t="s">
        <v>1646</v>
      </c>
      <c r="F121" s="61" t="s">
        <v>1649</v>
      </c>
      <c r="G121" s="61" t="s">
        <v>1651</v>
      </c>
      <c r="H121" s="61" t="s">
        <v>266</v>
      </c>
      <c r="I121" s="50" t="s">
        <v>289</v>
      </c>
      <c r="J121" s="50" t="s">
        <v>289</v>
      </c>
      <c r="K121" s="50" t="s">
        <v>289</v>
      </c>
      <c r="L121" s="50" t="s">
        <v>289</v>
      </c>
      <c r="M121" s="84">
        <v>45177.0</v>
      </c>
      <c r="N121" s="84" t="str">
        <f t="shared" si="61"/>
        <v>2023</v>
      </c>
      <c r="O121" s="84">
        <v>45359.0</v>
      </c>
      <c r="P121" s="95" t="str">
        <f t="shared" si="62"/>
        <v>2024</v>
      </c>
      <c r="Q121" s="86">
        <f t="shared" si="63"/>
        <v>182</v>
      </c>
      <c r="R121" s="85">
        <f t="shared" si="64"/>
        <v>0</v>
      </c>
      <c r="S121" s="61"/>
      <c r="T121" s="87"/>
      <c r="U121" s="96">
        <v>0.0</v>
      </c>
      <c r="V121" s="61"/>
      <c r="W121" s="174" t="s">
        <v>1662</v>
      </c>
      <c r="X121" s="61"/>
      <c r="Y121" s="50" t="s">
        <v>161</v>
      </c>
      <c r="Z121" s="80" t="s">
        <v>247</v>
      </c>
      <c r="AA121" s="50" t="s">
        <v>261</v>
      </c>
      <c r="AB121" s="50" t="s">
        <v>1499</v>
      </c>
      <c r="AC121" s="65" t="s">
        <v>161</v>
      </c>
      <c r="AD121" s="97"/>
      <c r="AE121" s="98"/>
    </row>
    <row r="122">
      <c r="A122" s="41" t="s">
        <v>169</v>
      </c>
      <c r="B122" s="41" t="s">
        <v>67</v>
      </c>
      <c r="C122" s="68" t="s">
        <v>1673</v>
      </c>
      <c r="D122" s="148"/>
      <c r="E122" s="41" t="s">
        <v>1674</v>
      </c>
      <c r="F122" s="41" t="s">
        <v>1676</v>
      </c>
      <c r="G122" s="41" t="s">
        <v>1678</v>
      </c>
      <c r="H122" s="41" t="s">
        <v>266</v>
      </c>
      <c r="I122" s="31" t="s">
        <v>289</v>
      </c>
      <c r="J122" s="31" t="s">
        <v>289</v>
      </c>
      <c r="K122" s="31" t="s">
        <v>289</v>
      </c>
      <c r="L122" s="31" t="s">
        <v>289</v>
      </c>
      <c r="M122" s="70">
        <v>45180.0</v>
      </c>
      <c r="N122" s="70" t="str">
        <f t="shared" si="61"/>
        <v>2023</v>
      </c>
      <c r="O122" s="70">
        <v>45362.0</v>
      </c>
      <c r="P122" s="102" t="str">
        <f t="shared" si="62"/>
        <v>2024</v>
      </c>
      <c r="Q122" s="73">
        <f t="shared" si="63"/>
        <v>182</v>
      </c>
      <c r="R122" s="93">
        <f t="shared" si="64"/>
        <v>0</v>
      </c>
      <c r="S122" s="41"/>
      <c r="T122" s="74"/>
      <c r="U122" s="75">
        <v>0.0</v>
      </c>
      <c r="V122" s="41"/>
      <c r="W122" s="154" t="s">
        <v>1685</v>
      </c>
      <c r="X122" s="41"/>
      <c r="Y122" s="31" t="s">
        <v>161</v>
      </c>
      <c r="Z122" s="101" t="s">
        <v>247</v>
      </c>
      <c r="AA122" s="31" t="s">
        <v>261</v>
      </c>
      <c r="AB122" s="104" t="s">
        <v>442</v>
      </c>
      <c r="AC122" s="46" t="s">
        <v>161</v>
      </c>
      <c r="AD122" s="77"/>
      <c r="AE122" s="99"/>
    </row>
    <row r="123">
      <c r="A123" s="50" t="s">
        <v>169</v>
      </c>
      <c r="B123" s="50" t="s">
        <v>19</v>
      </c>
      <c r="C123" s="52" t="s">
        <v>1692</v>
      </c>
      <c r="D123" s="79">
        <v>600093.0</v>
      </c>
      <c r="E123" s="50" t="s">
        <v>1694</v>
      </c>
      <c r="F123" s="50" t="s">
        <v>1695</v>
      </c>
      <c r="G123" s="50" t="s">
        <v>1697</v>
      </c>
      <c r="H123" s="50" t="s">
        <v>103</v>
      </c>
      <c r="I123" s="125" t="s">
        <v>104</v>
      </c>
      <c r="J123" s="106" t="s">
        <v>146</v>
      </c>
      <c r="K123" s="50" t="s">
        <v>147</v>
      </c>
      <c r="L123" s="112" t="s">
        <v>181</v>
      </c>
      <c r="M123" s="57">
        <v>45180.0</v>
      </c>
      <c r="N123" s="54">
        <v>2023.0</v>
      </c>
      <c r="O123" s="57">
        <v>46276.0</v>
      </c>
      <c r="P123" s="59">
        <v>2026.0</v>
      </c>
      <c r="Q123" s="60">
        <v>1096.0</v>
      </c>
      <c r="R123" s="59">
        <v>4.0</v>
      </c>
      <c r="S123" s="61"/>
      <c r="T123" s="87"/>
      <c r="U123" s="96">
        <v>3.0</v>
      </c>
      <c r="V123" s="50" t="s">
        <v>1706</v>
      </c>
      <c r="W123" s="159" t="s">
        <v>1709</v>
      </c>
      <c r="X123" s="180" t="s">
        <v>1713</v>
      </c>
      <c r="Y123" s="50" t="s">
        <v>161</v>
      </c>
      <c r="Z123" s="50" t="s">
        <v>261</v>
      </c>
      <c r="AA123" s="50" t="s">
        <v>14</v>
      </c>
      <c r="AB123" s="50" t="s">
        <v>621</v>
      </c>
      <c r="AC123" s="65" t="s">
        <v>276</v>
      </c>
      <c r="AD123" s="97"/>
      <c r="AE123" s="120"/>
    </row>
    <row r="124">
      <c r="A124" s="41" t="s">
        <v>169</v>
      </c>
      <c r="B124" s="41" t="s">
        <v>67</v>
      </c>
      <c r="C124" s="68" t="s">
        <v>1722</v>
      </c>
      <c r="D124" s="148"/>
      <c r="E124" s="41" t="s">
        <v>1723</v>
      </c>
      <c r="F124" s="41" t="s">
        <v>1724</v>
      </c>
      <c r="G124" s="41" t="s">
        <v>1725</v>
      </c>
      <c r="H124" s="41" t="s">
        <v>266</v>
      </c>
      <c r="I124" s="31" t="s">
        <v>289</v>
      </c>
      <c r="J124" s="31" t="s">
        <v>289</v>
      </c>
      <c r="K124" s="31" t="s">
        <v>289</v>
      </c>
      <c r="L124" s="31" t="s">
        <v>289</v>
      </c>
      <c r="M124" s="70">
        <v>45181.0</v>
      </c>
      <c r="N124" s="70" t="str">
        <f t="shared" ref="N124:N127" si="65">right(M124,4)</f>
        <v>2023</v>
      </c>
      <c r="O124" s="70">
        <v>45547.0</v>
      </c>
      <c r="P124" s="102" t="str">
        <f t="shared" ref="P124:P127" si="66">right(O124,4)</f>
        <v>2024</v>
      </c>
      <c r="Q124" s="73">
        <f t="shared" ref="Q124:Q127" si="67">DATEDIF(M124,O124,"d")</f>
        <v>366</v>
      </c>
      <c r="R124" s="93">
        <f t="shared" ref="R124:R127" si="68">DATEDIF(M124,O124,"y")</f>
        <v>1</v>
      </c>
      <c r="S124" s="41"/>
      <c r="T124" s="74"/>
      <c r="U124" s="75">
        <v>0.0</v>
      </c>
      <c r="V124" s="41"/>
      <c r="W124" s="41" t="s">
        <v>1749</v>
      </c>
      <c r="X124" s="41"/>
      <c r="Y124" s="31" t="s">
        <v>161</v>
      </c>
      <c r="Z124" s="101" t="s">
        <v>247</v>
      </c>
      <c r="AA124" s="31" t="s">
        <v>289</v>
      </c>
      <c r="AB124" s="31" t="s">
        <v>1753</v>
      </c>
      <c r="AC124" s="46" t="s">
        <v>161</v>
      </c>
      <c r="AD124" s="77"/>
      <c r="AE124" s="78" t="s">
        <v>220</v>
      </c>
    </row>
    <row r="125">
      <c r="A125" s="61" t="s">
        <v>169</v>
      </c>
      <c r="B125" s="61" t="s">
        <v>67</v>
      </c>
      <c r="C125" s="82" t="s">
        <v>1758</v>
      </c>
      <c r="D125" s="137"/>
      <c r="E125" s="61" t="s">
        <v>1759</v>
      </c>
      <c r="F125" s="61" t="s">
        <v>1760</v>
      </c>
      <c r="G125" s="61" t="s">
        <v>1761</v>
      </c>
      <c r="H125" s="50" t="s">
        <v>103</v>
      </c>
      <c r="I125" s="97" t="s">
        <v>106</v>
      </c>
      <c r="J125" s="106" t="s">
        <v>175</v>
      </c>
      <c r="K125" s="106" t="s">
        <v>175</v>
      </c>
      <c r="L125" s="106" t="s">
        <v>175</v>
      </c>
      <c r="M125" s="84">
        <v>45182.0</v>
      </c>
      <c r="N125" s="84" t="str">
        <f t="shared" si="65"/>
        <v>2023</v>
      </c>
      <c r="O125" s="84">
        <v>45188.0</v>
      </c>
      <c r="P125" s="95" t="str">
        <f t="shared" si="66"/>
        <v>2023</v>
      </c>
      <c r="Q125" s="86">
        <f t="shared" si="67"/>
        <v>6</v>
      </c>
      <c r="R125" s="85">
        <f t="shared" si="68"/>
        <v>0</v>
      </c>
      <c r="S125" s="61"/>
      <c r="T125" s="87"/>
      <c r="U125" s="96">
        <v>0.0</v>
      </c>
      <c r="V125" s="61" t="s">
        <v>1272</v>
      </c>
      <c r="W125" s="174" t="s">
        <v>1767</v>
      </c>
      <c r="X125" s="61"/>
      <c r="Y125" s="50" t="s">
        <v>161</v>
      </c>
      <c r="Z125" s="80" t="s">
        <v>247</v>
      </c>
      <c r="AA125" s="50" t="s">
        <v>175</v>
      </c>
      <c r="AB125" s="61" t="s">
        <v>1666</v>
      </c>
      <c r="AC125" s="65" t="s">
        <v>161</v>
      </c>
      <c r="AD125" s="97"/>
      <c r="AE125" s="108" t="s">
        <v>220</v>
      </c>
    </row>
    <row r="126">
      <c r="A126" s="41" t="s">
        <v>169</v>
      </c>
      <c r="B126" s="41" t="s">
        <v>67</v>
      </c>
      <c r="C126" s="68" t="s">
        <v>1770</v>
      </c>
      <c r="D126" s="148"/>
      <c r="E126" s="41" t="s">
        <v>1771</v>
      </c>
      <c r="F126" s="41" t="s">
        <v>1772</v>
      </c>
      <c r="G126" s="41" t="s">
        <v>1773</v>
      </c>
      <c r="H126" s="41" t="s">
        <v>266</v>
      </c>
      <c r="I126" s="31" t="s">
        <v>289</v>
      </c>
      <c r="J126" s="31" t="s">
        <v>289</v>
      </c>
      <c r="K126" s="31" t="s">
        <v>289</v>
      </c>
      <c r="L126" s="31" t="s">
        <v>289</v>
      </c>
      <c r="M126" s="70">
        <v>45183.0</v>
      </c>
      <c r="N126" s="70" t="str">
        <f t="shared" si="65"/>
        <v>2023</v>
      </c>
      <c r="O126" s="70">
        <v>45365.0</v>
      </c>
      <c r="P126" s="102" t="str">
        <f t="shared" si="66"/>
        <v>2024</v>
      </c>
      <c r="Q126" s="73">
        <f t="shared" si="67"/>
        <v>182</v>
      </c>
      <c r="R126" s="93">
        <f t="shared" si="68"/>
        <v>0</v>
      </c>
      <c r="S126" s="41"/>
      <c r="T126" s="74"/>
      <c r="U126" s="75">
        <v>0.0</v>
      </c>
      <c r="V126" s="41"/>
      <c r="W126" s="154" t="s">
        <v>1781</v>
      </c>
      <c r="X126" s="41"/>
      <c r="Y126" s="31" t="s">
        <v>161</v>
      </c>
      <c r="Z126" s="101" t="s">
        <v>247</v>
      </c>
      <c r="AA126" s="31" t="s">
        <v>261</v>
      </c>
      <c r="AB126" s="31" t="s">
        <v>213</v>
      </c>
      <c r="AC126" s="46" t="s">
        <v>161</v>
      </c>
      <c r="AD126" s="77"/>
      <c r="AE126" s="109"/>
    </row>
    <row r="127">
      <c r="A127" s="61" t="s">
        <v>64</v>
      </c>
      <c r="B127" s="61" t="s">
        <v>67</v>
      </c>
      <c r="C127" s="82" t="s">
        <v>1782</v>
      </c>
      <c r="D127" s="83"/>
      <c r="E127" s="61" t="s">
        <v>1245</v>
      </c>
      <c r="F127" s="61" t="s">
        <v>1246</v>
      </c>
      <c r="G127" s="61" t="s">
        <v>1247</v>
      </c>
      <c r="H127" s="50" t="s">
        <v>84</v>
      </c>
      <c r="I127" s="97" t="s">
        <v>106</v>
      </c>
      <c r="J127" s="106" t="s">
        <v>175</v>
      </c>
      <c r="K127" s="106" t="s">
        <v>175</v>
      </c>
      <c r="L127" s="106" t="s">
        <v>175</v>
      </c>
      <c r="M127" s="84">
        <v>45187.0</v>
      </c>
      <c r="N127" s="84" t="str">
        <f t="shared" si="65"/>
        <v>2023</v>
      </c>
      <c r="O127" s="84">
        <v>45196.0</v>
      </c>
      <c r="P127" s="85" t="str">
        <f t="shared" si="66"/>
        <v>2023</v>
      </c>
      <c r="Q127" s="86">
        <f t="shared" si="67"/>
        <v>9</v>
      </c>
      <c r="R127" s="85">
        <f t="shared" si="68"/>
        <v>0</v>
      </c>
      <c r="S127" s="61"/>
      <c r="T127" s="87"/>
      <c r="U127" s="96">
        <v>0.0</v>
      </c>
      <c r="V127" s="50" t="s">
        <v>1787</v>
      </c>
      <c r="W127" s="61" t="s">
        <v>1249</v>
      </c>
      <c r="X127" s="61"/>
      <c r="Y127" s="50" t="s">
        <v>161</v>
      </c>
      <c r="Z127" s="61" t="s">
        <v>259</v>
      </c>
      <c r="AA127" s="50" t="s">
        <v>175</v>
      </c>
      <c r="AB127" s="61" t="s">
        <v>440</v>
      </c>
      <c r="AC127" s="65" t="s">
        <v>161</v>
      </c>
      <c r="AD127" s="66"/>
      <c r="AE127" s="108" t="s">
        <v>220</v>
      </c>
    </row>
    <row r="128">
      <c r="A128" s="31" t="s">
        <v>64</v>
      </c>
      <c r="B128" s="31" t="s">
        <v>19</v>
      </c>
      <c r="C128" s="32" t="s">
        <v>1790</v>
      </c>
      <c r="D128" s="33">
        <v>600124.0</v>
      </c>
      <c r="E128" s="31" t="s">
        <v>1315</v>
      </c>
      <c r="F128" s="31" t="s">
        <v>1316</v>
      </c>
      <c r="G128" s="150" t="s">
        <v>1317</v>
      </c>
      <c r="H128" s="31" t="s">
        <v>232</v>
      </c>
      <c r="I128" s="100" t="s">
        <v>104</v>
      </c>
      <c r="J128" s="100" t="s">
        <v>84</v>
      </c>
      <c r="K128" s="31" t="s">
        <v>84</v>
      </c>
      <c r="L128" s="92" t="s">
        <v>181</v>
      </c>
      <c r="M128" s="37">
        <v>45187.0</v>
      </c>
      <c r="N128" s="33">
        <v>2023.0</v>
      </c>
      <c r="O128" s="37">
        <v>46387.0</v>
      </c>
      <c r="P128" s="39">
        <v>2026.0</v>
      </c>
      <c r="Q128" s="40">
        <v>1200.0</v>
      </c>
      <c r="R128" s="39">
        <v>4.0</v>
      </c>
      <c r="S128" s="41"/>
      <c r="T128" s="74"/>
      <c r="U128" s="43">
        <v>2.0</v>
      </c>
      <c r="V128" s="31" t="s">
        <v>1321</v>
      </c>
      <c r="W128" s="150" t="s">
        <v>1798</v>
      </c>
      <c r="X128" s="150" t="s">
        <v>1798</v>
      </c>
      <c r="Y128" s="31" t="s">
        <v>161</v>
      </c>
      <c r="Z128" s="31" t="s">
        <v>261</v>
      </c>
      <c r="AA128" s="31" t="s">
        <v>123</v>
      </c>
      <c r="AB128" s="31" t="s">
        <v>124</v>
      </c>
      <c r="AC128" s="46" t="s">
        <v>337</v>
      </c>
      <c r="AD128" s="47"/>
      <c r="AE128" s="49"/>
    </row>
    <row r="129">
      <c r="A129" s="61" t="s">
        <v>169</v>
      </c>
      <c r="B129" s="61" t="s">
        <v>19</v>
      </c>
      <c r="C129" s="82" t="s">
        <v>1802</v>
      </c>
      <c r="D129" s="94">
        <v>600089.0</v>
      </c>
      <c r="E129" s="61" t="s">
        <v>1654</v>
      </c>
      <c r="F129" s="61" t="s">
        <v>1805</v>
      </c>
      <c r="G129" s="61" t="s">
        <v>1807</v>
      </c>
      <c r="H129" s="50" t="s">
        <v>103</v>
      </c>
      <c r="I129" s="56" t="s">
        <v>104</v>
      </c>
      <c r="J129" s="50" t="s">
        <v>84</v>
      </c>
      <c r="K129" s="50" t="s">
        <v>1809</v>
      </c>
      <c r="L129" s="112" t="s">
        <v>181</v>
      </c>
      <c r="M129" s="84">
        <v>45189.0</v>
      </c>
      <c r="N129" s="84" t="str">
        <f t="shared" ref="N129:N139" si="69">right(M129,4)</f>
        <v>2023</v>
      </c>
      <c r="O129" s="84">
        <v>46294.0</v>
      </c>
      <c r="P129" s="184" t="str">
        <f t="shared" ref="P129:P139" si="70">right(O129,4)</f>
        <v>2026</v>
      </c>
      <c r="Q129" s="86">
        <f t="shared" ref="Q129:Q139" si="71">DATEDIF(M129,O129,"d")</f>
        <v>1105</v>
      </c>
      <c r="R129" s="86">
        <f t="shared" ref="R129:R139" si="72">DATEDIF(M129,O129,"y")</f>
        <v>3</v>
      </c>
      <c r="S129" s="61"/>
      <c r="T129" s="87"/>
      <c r="U129" s="96">
        <v>2.0</v>
      </c>
      <c r="V129" s="50" t="s">
        <v>1817</v>
      </c>
      <c r="W129" s="61" t="s">
        <v>1665</v>
      </c>
      <c r="X129" s="61" t="s">
        <v>1665</v>
      </c>
      <c r="Y129" s="50" t="s">
        <v>161</v>
      </c>
      <c r="Z129" s="50" t="s">
        <v>210</v>
      </c>
      <c r="AA129" s="50" t="s">
        <v>14</v>
      </c>
      <c r="AB129" s="50" t="s">
        <v>489</v>
      </c>
      <c r="AC129" s="65" t="s">
        <v>276</v>
      </c>
      <c r="AD129" s="97"/>
      <c r="AE129" s="120"/>
    </row>
    <row r="130">
      <c r="A130" s="41" t="s">
        <v>64</v>
      </c>
      <c r="B130" s="31" t="s">
        <v>67</v>
      </c>
      <c r="C130" s="68" t="s">
        <v>1820</v>
      </c>
      <c r="D130" s="74">
        <v>600160.0</v>
      </c>
      <c r="E130" s="41" t="s">
        <v>1259</v>
      </c>
      <c r="F130" s="41" t="s">
        <v>1260</v>
      </c>
      <c r="G130" s="41" t="s">
        <v>1261</v>
      </c>
      <c r="H130" s="31" t="s">
        <v>103</v>
      </c>
      <c r="I130" s="100" t="s">
        <v>104</v>
      </c>
      <c r="J130" s="100" t="s">
        <v>84</v>
      </c>
      <c r="K130" s="41" t="s">
        <v>84</v>
      </c>
      <c r="L130" s="41" t="s">
        <v>181</v>
      </c>
      <c r="M130" s="70">
        <v>45190.0</v>
      </c>
      <c r="N130" s="70" t="str">
        <f t="shared" si="69"/>
        <v>2023</v>
      </c>
      <c r="O130" s="70">
        <v>46022.0</v>
      </c>
      <c r="P130" s="93" t="str">
        <f t="shared" si="70"/>
        <v>2025</v>
      </c>
      <c r="Q130" s="73">
        <f t="shared" si="71"/>
        <v>832</v>
      </c>
      <c r="R130" s="93">
        <f t="shared" si="72"/>
        <v>2</v>
      </c>
      <c r="S130" s="41"/>
      <c r="T130" s="74" t="s">
        <v>269</v>
      </c>
      <c r="U130" s="43">
        <v>1.0</v>
      </c>
      <c r="V130" s="31" t="s">
        <v>1828</v>
      </c>
      <c r="W130" s="41" t="s">
        <v>1263</v>
      </c>
      <c r="X130" s="41" t="s">
        <v>1263</v>
      </c>
      <c r="Y130" s="31" t="s">
        <v>161</v>
      </c>
      <c r="Z130" s="31" t="s">
        <v>311</v>
      </c>
      <c r="AA130" s="31" t="s">
        <v>211</v>
      </c>
      <c r="AB130" s="31" t="s">
        <v>768</v>
      </c>
      <c r="AC130" s="46" t="s">
        <v>337</v>
      </c>
      <c r="AD130" s="46" t="s">
        <v>1829</v>
      </c>
      <c r="AE130" s="78" t="s">
        <v>220</v>
      </c>
    </row>
    <row r="131">
      <c r="A131" s="61" t="s">
        <v>64</v>
      </c>
      <c r="B131" s="61" t="s">
        <v>67</v>
      </c>
      <c r="C131" s="82" t="s">
        <v>1831</v>
      </c>
      <c r="D131" s="83"/>
      <c r="E131" s="61" t="s">
        <v>1252</v>
      </c>
      <c r="F131" s="61" t="s">
        <v>1253</v>
      </c>
      <c r="G131" s="61" t="s">
        <v>1254</v>
      </c>
      <c r="H131" s="50" t="s">
        <v>103</v>
      </c>
      <c r="I131" s="50" t="s">
        <v>289</v>
      </c>
      <c r="J131" s="50" t="s">
        <v>289</v>
      </c>
      <c r="K131" s="50" t="s">
        <v>236</v>
      </c>
      <c r="L131" s="50" t="s">
        <v>289</v>
      </c>
      <c r="M131" s="84">
        <v>45190.0</v>
      </c>
      <c r="N131" s="84" t="str">
        <f t="shared" si="69"/>
        <v>2023</v>
      </c>
      <c r="O131" s="84">
        <v>45281.0</v>
      </c>
      <c r="P131" s="85" t="str">
        <f t="shared" si="70"/>
        <v>2023</v>
      </c>
      <c r="Q131" s="86">
        <f t="shared" si="71"/>
        <v>91</v>
      </c>
      <c r="R131" s="85">
        <f t="shared" si="72"/>
        <v>0</v>
      </c>
      <c r="S131" s="61"/>
      <c r="T131" s="87"/>
      <c r="U131" s="62">
        <v>0.0</v>
      </c>
      <c r="V131" s="50" t="s">
        <v>1841</v>
      </c>
      <c r="W131" s="61" t="s">
        <v>1257</v>
      </c>
      <c r="X131" s="61"/>
      <c r="Y131" s="50" t="s">
        <v>161</v>
      </c>
      <c r="Z131" s="61" t="s">
        <v>162</v>
      </c>
      <c r="AA131" s="50" t="s">
        <v>289</v>
      </c>
      <c r="AB131" s="61" t="s">
        <v>440</v>
      </c>
      <c r="AC131" s="65" t="s">
        <v>161</v>
      </c>
      <c r="AD131" s="66"/>
      <c r="AE131" s="67"/>
    </row>
    <row r="132">
      <c r="A132" s="41" t="s">
        <v>169</v>
      </c>
      <c r="B132" s="41" t="s">
        <v>67</v>
      </c>
      <c r="C132" s="68" t="s">
        <v>1845</v>
      </c>
      <c r="D132" s="69">
        <v>600103.0</v>
      </c>
      <c r="E132" s="41" t="s">
        <v>1847</v>
      </c>
      <c r="F132" s="41" t="s">
        <v>1848</v>
      </c>
      <c r="G132" s="41" t="s">
        <v>1850</v>
      </c>
      <c r="H132" s="41" t="s">
        <v>84</v>
      </c>
      <c r="I132" s="35" t="s">
        <v>104</v>
      </c>
      <c r="J132" s="31" t="s">
        <v>289</v>
      </c>
      <c r="K132" s="31" t="s">
        <v>289</v>
      </c>
      <c r="L132" s="31" t="s">
        <v>289</v>
      </c>
      <c r="M132" s="70">
        <v>45194.0</v>
      </c>
      <c r="N132" s="70" t="str">
        <f t="shared" si="69"/>
        <v>2023</v>
      </c>
      <c r="O132" s="70">
        <v>45657.0</v>
      </c>
      <c r="P132" s="102" t="str">
        <f t="shared" si="70"/>
        <v>2024</v>
      </c>
      <c r="Q132" s="73">
        <f t="shared" si="71"/>
        <v>463</v>
      </c>
      <c r="R132" s="93">
        <f t="shared" si="72"/>
        <v>1</v>
      </c>
      <c r="S132" s="41"/>
      <c r="T132" s="74"/>
      <c r="U132" s="75">
        <v>0.0</v>
      </c>
      <c r="V132" s="41"/>
      <c r="W132" s="41" t="s">
        <v>1855</v>
      </c>
      <c r="X132" s="41"/>
      <c r="Y132" s="31" t="s">
        <v>161</v>
      </c>
      <c r="Z132" s="101" t="s">
        <v>247</v>
      </c>
      <c r="AA132" s="31" t="s">
        <v>261</v>
      </c>
      <c r="AB132" s="31" t="s">
        <v>213</v>
      </c>
      <c r="AC132" s="46" t="s">
        <v>164</v>
      </c>
      <c r="AD132" s="31" t="s">
        <v>251</v>
      </c>
      <c r="AE132" s="111" t="s">
        <v>220</v>
      </c>
    </row>
    <row r="133">
      <c r="A133" s="61" t="s">
        <v>169</v>
      </c>
      <c r="B133" s="61" t="s">
        <v>67</v>
      </c>
      <c r="C133" s="82" t="s">
        <v>1861</v>
      </c>
      <c r="D133" s="137"/>
      <c r="E133" s="61" t="s">
        <v>1847</v>
      </c>
      <c r="F133" s="61" t="s">
        <v>1862</v>
      </c>
      <c r="G133" s="61" t="s">
        <v>1863</v>
      </c>
      <c r="H133" s="50" t="s">
        <v>84</v>
      </c>
      <c r="I133" s="97" t="s">
        <v>106</v>
      </c>
      <c r="J133" s="106" t="s">
        <v>175</v>
      </c>
      <c r="K133" s="106" t="s">
        <v>175</v>
      </c>
      <c r="L133" s="106" t="s">
        <v>175</v>
      </c>
      <c r="M133" s="84">
        <v>45194.0</v>
      </c>
      <c r="N133" s="84" t="str">
        <f t="shared" si="69"/>
        <v>2023</v>
      </c>
      <c r="O133" s="84">
        <v>45201.0</v>
      </c>
      <c r="P133" s="95" t="str">
        <f t="shared" si="70"/>
        <v>2023</v>
      </c>
      <c r="Q133" s="86">
        <f t="shared" si="71"/>
        <v>7</v>
      </c>
      <c r="R133" s="85">
        <f t="shared" si="72"/>
        <v>0</v>
      </c>
      <c r="S133" s="61"/>
      <c r="T133" s="87"/>
      <c r="U133" s="96">
        <v>0.0</v>
      </c>
      <c r="V133" s="61" t="s">
        <v>1272</v>
      </c>
      <c r="W133" s="174" t="s">
        <v>1868</v>
      </c>
      <c r="X133" s="61"/>
      <c r="Y133" s="50" t="s">
        <v>161</v>
      </c>
      <c r="Z133" s="80" t="s">
        <v>247</v>
      </c>
      <c r="AA133" s="50" t="s">
        <v>175</v>
      </c>
      <c r="AB133" s="50" t="s">
        <v>213</v>
      </c>
      <c r="AC133" s="65" t="s">
        <v>164</v>
      </c>
      <c r="AD133" s="50" t="s">
        <v>251</v>
      </c>
      <c r="AE133" s="81" t="s">
        <v>220</v>
      </c>
    </row>
    <row r="134">
      <c r="A134" s="41" t="s">
        <v>64</v>
      </c>
      <c r="B134" s="41" t="s">
        <v>67</v>
      </c>
      <c r="C134" s="68" t="s">
        <v>1869</v>
      </c>
      <c r="D134" s="110"/>
      <c r="E134" s="41" t="s">
        <v>1265</v>
      </c>
      <c r="F134" s="41" t="s">
        <v>1266</v>
      </c>
      <c r="G134" s="41" t="s">
        <v>1267</v>
      </c>
      <c r="H134" s="31" t="s">
        <v>266</v>
      </c>
      <c r="I134" s="77" t="s">
        <v>106</v>
      </c>
      <c r="J134" s="104" t="s">
        <v>175</v>
      </c>
      <c r="K134" s="104" t="s">
        <v>175</v>
      </c>
      <c r="L134" s="104" t="s">
        <v>175</v>
      </c>
      <c r="M134" s="70">
        <v>45195.0</v>
      </c>
      <c r="N134" s="70" t="str">
        <f t="shared" si="69"/>
        <v>2023</v>
      </c>
      <c r="O134" s="70">
        <v>45282.0</v>
      </c>
      <c r="P134" s="93" t="str">
        <f t="shared" si="70"/>
        <v>2023</v>
      </c>
      <c r="Q134" s="73">
        <f t="shared" si="71"/>
        <v>87</v>
      </c>
      <c r="R134" s="93">
        <f t="shared" si="72"/>
        <v>0</v>
      </c>
      <c r="S134" s="41"/>
      <c r="T134" s="74"/>
      <c r="U134" s="75">
        <v>0.0</v>
      </c>
      <c r="V134" s="31" t="s">
        <v>1874</v>
      </c>
      <c r="W134" s="41" t="s">
        <v>1274</v>
      </c>
      <c r="X134" s="41"/>
      <c r="Y134" s="31" t="s">
        <v>161</v>
      </c>
      <c r="Z134" s="31" t="s">
        <v>175</v>
      </c>
      <c r="AA134" s="31" t="s">
        <v>175</v>
      </c>
      <c r="AB134" s="31" t="s">
        <v>175</v>
      </c>
      <c r="AC134" s="46" t="s">
        <v>161</v>
      </c>
      <c r="AD134" s="47"/>
      <c r="AE134" s="78" t="s">
        <v>220</v>
      </c>
    </row>
    <row r="135">
      <c r="A135" s="61" t="s">
        <v>169</v>
      </c>
      <c r="B135" s="61" t="s">
        <v>67</v>
      </c>
      <c r="C135" s="82" t="s">
        <v>1881</v>
      </c>
      <c r="D135" s="94">
        <v>600088.0</v>
      </c>
      <c r="E135" s="61" t="s">
        <v>1883</v>
      </c>
      <c r="F135" s="61" t="s">
        <v>1884</v>
      </c>
      <c r="G135" s="61" t="s">
        <v>1885</v>
      </c>
      <c r="H135" s="50" t="s">
        <v>103</v>
      </c>
      <c r="I135" s="50" t="s">
        <v>289</v>
      </c>
      <c r="J135" s="50" t="s">
        <v>289</v>
      </c>
      <c r="K135" s="50" t="s">
        <v>289</v>
      </c>
      <c r="L135" s="50" t="s">
        <v>289</v>
      </c>
      <c r="M135" s="84">
        <v>45195.0</v>
      </c>
      <c r="N135" s="84" t="str">
        <f t="shared" si="69"/>
        <v>2023</v>
      </c>
      <c r="O135" s="84">
        <v>45561.0</v>
      </c>
      <c r="P135" s="95" t="str">
        <f t="shared" si="70"/>
        <v>2024</v>
      </c>
      <c r="Q135" s="86">
        <f t="shared" si="71"/>
        <v>366</v>
      </c>
      <c r="R135" s="85">
        <f t="shared" si="72"/>
        <v>1</v>
      </c>
      <c r="S135" s="61"/>
      <c r="T135" s="87"/>
      <c r="U135" s="96">
        <v>0.0</v>
      </c>
      <c r="V135" s="61"/>
      <c r="W135" s="61" t="s">
        <v>1890</v>
      </c>
      <c r="X135" s="61"/>
      <c r="Y135" s="50" t="s">
        <v>161</v>
      </c>
      <c r="Z135" s="80" t="s">
        <v>247</v>
      </c>
      <c r="AA135" s="50" t="s">
        <v>261</v>
      </c>
      <c r="AB135" s="61" t="s">
        <v>1666</v>
      </c>
      <c r="AC135" s="65" t="s">
        <v>161</v>
      </c>
      <c r="AD135" s="97"/>
      <c r="AE135" s="98"/>
    </row>
    <row r="136">
      <c r="A136" s="31" t="s">
        <v>407</v>
      </c>
      <c r="B136" s="41" t="s">
        <v>67</v>
      </c>
      <c r="C136" s="68" t="s">
        <v>1893</v>
      </c>
      <c r="D136" s="69">
        <v>600082.0</v>
      </c>
      <c r="E136" s="41" t="s">
        <v>372</v>
      </c>
      <c r="F136" s="41" t="s">
        <v>389</v>
      </c>
      <c r="G136" s="41" t="s">
        <v>375</v>
      </c>
      <c r="H136" s="31" t="s">
        <v>103</v>
      </c>
      <c r="I136" s="31" t="s">
        <v>289</v>
      </c>
      <c r="J136" s="31" t="s">
        <v>289</v>
      </c>
      <c r="K136" s="31" t="s">
        <v>289</v>
      </c>
      <c r="L136" s="31" t="s">
        <v>289</v>
      </c>
      <c r="M136" s="70">
        <v>45195.0</v>
      </c>
      <c r="N136" s="70" t="str">
        <f t="shared" si="69"/>
        <v>2023</v>
      </c>
      <c r="O136" s="70">
        <v>45561.0</v>
      </c>
      <c r="P136" s="102" t="str">
        <f t="shared" si="70"/>
        <v>2024</v>
      </c>
      <c r="Q136" s="73">
        <f t="shared" si="71"/>
        <v>366</v>
      </c>
      <c r="R136" s="93">
        <f t="shared" si="72"/>
        <v>1</v>
      </c>
      <c r="S136" s="41"/>
      <c r="T136" s="74"/>
      <c r="U136" s="75">
        <v>0.0</v>
      </c>
      <c r="V136" s="41"/>
      <c r="W136" s="154" t="s">
        <v>402</v>
      </c>
      <c r="X136" s="41"/>
      <c r="Y136" s="31" t="s">
        <v>161</v>
      </c>
      <c r="Z136" s="101" t="s">
        <v>247</v>
      </c>
      <c r="AA136" s="31" t="s">
        <v>261</v>
      </c>
      <c r="AB136" s="104" t="s">
        <v>442</v>
      </c>
      <c r="AC136" s="46" t="s">
        <v>337</v>
      </c>
      <c r="AD136" s="77"/>
      <c r="AE136" s="109"/>
    </row>
    <row r="137">
      <c r="A137" s="61" t="s">
        <v>64</v>
      </c>
      <c r="B137" s="61" t="s">
        <v>67</v>
      </c>
      <c r="C137" s="82" t="s">
        <v>1909</v>
      </c>
      <c r="D137" s="87">
        <v>600145.0</v>
      </c>
      <c r="E137" s="61" t="s">
        <v>1277</v>
      </c>
      <c r="F137" s="61" t="s">
        <v>1278</v>
      </c>
      <c r="G137" s="61" t="s">
        <v>1279</v>
      </c>
      <c r="H137" s="61" t="s">
        <v>84</v>
      </c>
      <c r="I137" s="50" t="s">
        <v>104</v>
      </c>
      <c r="J137" s="50" t="s">
        <v>289</v>
      </c>
      <c r="K137" s="61" t="s">
        <v>84</v>
      </c>
      <c r="L137" s="50" t="s">
        <v>289</v>
      </c>
      <c r="M137" s="84">
        <v>45196.0</v>
      </c>
      <c r="N137" s="84" t="str">
        <f t="shared" si="69"/>
        <v>2023</v>
      </c>
      <c r="O137" s="84">
        <v>45561.0</v>
      </c>
      <c r="P137" s="85" t="str">
        <f t="shared" si="70"/>
        <v>2024</v>
      </c>
      <c r="Q137" s="86">
        <f t="shared" si="71"/>
        <v>365</v>
      </c>
      <c r="R137" s="85">
        <f t="shared" si="72"/>
        <v>0</v>
      </c>
      <c r="S137" s="61"/>
      <c r="T137" s="87"/>
      <c r="U137" s="62">
        <v>0.0</v>
      </c>
      <c r="V137" s="61" t="s">
        <v>1251</v>
      </c>
      <c r="W137" s="61" t="s">
        <v>1281</v>
      </c>
      <c r="X137" s="61"/>
      <c r="Y137" s="50" t="s">
        <v>161</v>
      </c>
      <c r="Z137" s="61" t="s">
        <v>162</v>
      </c>
      <c r="AA137" s="50" t="s">
        <v>289</v>
      </c>
      <c r="AB137" s="61" t="s">
        <v>1283</v>
      </c>
      <c r="AC137" s="65" t="s">
        <v>161</v>
      </c>
      <c r="AD137" s="66"/>
      <c r="AE137" s="108" t="s">
        <v>220</v>
      </c>
    </row>
    <row r="138">
      <c r="A138" s="41" t="s">
        <v>64</v>
      </c>
      <c r="B138" s="41" t="s">
        <v>67</v>
      </c>
      <c r="C138" s="68" t="s">
        <v>1916</v>
      </c>
      <c r="D138" s="110"/>
      <c r="E138" s="41" t="s">
        <v>1284</v>
      </c>
      <c r="F138" s="41" t="s">
        <v>1285</v>
      </c>
      <c r="G138" s="41" t="s">
        <v>1286</v>
      </c>
      <c r="H138" s="31" t="s">
        <v>103</v>
      </c>
      <c r="I138" s="77" t="s">
        <v>106</v>
      </c>
      <c r="J138" s="104" t="s">
        <v>175</v>
      </c>
      <c r="K138" s="41" t="s">
        <v>84</v>
      </c>
      <c r="L138" s="104" t="s">
        <v>175</v>
      </c>
      <c r="M138" s="70">
        <v>45196.0</v>
      </c>
      <c r="N138" s="70" t="str">
        <f t="shared" si="69"/>
        <v>2023</v>
      </c>
      <c r="O138" s="70">
        <v>45561.0</v>
      </c>
      <c r="P138" s="93" t="str">
        <f t="shared" si="70"/>
        <v>2024</v>
      </c>
      <c r="Q138" s="73">
        <f t="shared" si="71"/>
        <v>365</v>
      </c>
      <c r="R138" s="93">
        <f t="shared" si="72"/>
        <v>0</v>
      </c>
      <c r="S138" s="41"/>
      <c r="T138" s="74"/>
      <c r="U138" s="75">
        <v>0.0</v>
      </c>
      <c r="V138" s="41" t="s">
        <v>1289</v>
      </c>
      <c r="W138" s="31" t="s">
        <v>1920</v>
      </c>
      <c r="X138" s="31" t="s">
        <v>1287</v>
      </c>
      <c r="Y138" s="31" t="s">
        <v>161</v>
      </c>
      <c r="Z138" s="41" t="s">
        <v>440</v>
      </c>
      <c r="AA138" s="31" t="s">
        <v>175</v>
      </c>
      <c r="AB138" s="41" t="s">
        <v>440</v>
      </c>
      <c r="AC138" s="46" t="s">
        <v>161</v>
      </c>
      <c r="AD138" s="47"/>
      <c r="AE138" s="78" t="s">
        <v>220</v>
      </c>
    </row>
    <row r="139">
      <c r="A139" s="61" t="s">
        <v>169</v>
      </c>
      <c r="B139" s="61" t="s">
        <v>67</v>
      </c>
      <c r="C139" s="82" t="s">
        <v>1923</v>
      </c>
      <c r="D139" s="94">
        <v>600204.0</v>
      </c>
      <c r="E139" s="61" t="s">
        <v>1924</v>
      </c>
      <c r="F139" s="61" t="s">
        <v>1925</v>
      </c>
      <c r="G139" s="61" t="s">
        <v>1926</v>
      </c>
      <c r="H139" s="61" t="s">
        <v>266</v>
      </c>
      <c r="I139" s="50" t="s">
        <v>289</v>
      </c>
      <c r="J139" s="50" t="s">
        <v>289</v>
      </c>
      <c r="K139" s="50" t="s">
        <v>289</v>
      </c>
      <c r="L139" s="50" t="s">
        <v>289</v>
      </c>
      <c r="M139" s="84">
        <v>45196.0</v>
      </c>
      <c r="N139" s="84" t="str">
        <f t="shared" si="69"/>
        <v>2023</v>
      </c>
      <c r="O139" s="84">
        <v>45562.0</v>
      </c>
      <c r="P139" s="95" t="str">
        <f t="shared" si="70"/>
        <v>2024</v>
      </c>
      <c r="Q139" s="86">
        <f t="shared" si="71"/>
        <v>366</v>
      </c>
      <c r="R139" s="85">
        <f t="shared" si="72"/>
        <v>1</v>
      </c>
      <c r="S139" s="61"/>
      <c r="T139" s="87"/>
      <c r="U139" s="96">
        <v>0.0</v>
      </c>
      <c r="V139" s="61"/>
      <c r="W139" s="61" t="s">
        <v>1930</v>
      </c>
      <c r="X139" s="61"/>
      <c r="Y139" s="50" t="s">
        <v>161</v>
      </c>
      <c r="Z139" s="80" t="s">
        <v>247</v>
      </c>
      <c r="AA139" s="50" t="s">
        <v>261</v>
      </c>
      <c r="AB139" s="61" t="s">
        <v>1931</v>
      </c>
      <c r="AC139" s="65" t="s">
        <v>161</v>
      </c>
      <c r="AD139" s="97"/>
      <c r="AE139" s="98"/>
    </row>
    <row r="140">
      <c r="A140" s="31" t="s">
        <v>169</v>
      </c>
      <c r="B140" s="31" t="s">
        <v>19</v>
      </c>
      <c r="C140" s="32" t="s">
        <v>1934</v>
      </c>
      <c r="D140" s="113">
        <v>600228.0</v>
      </c>
      <c r="E140" s="31" t="s">
        <v>1039</v>
      </c>
      <c r="F140" s="31" t="s">
        <v>1832</v>
      </c>
      <c r="G140" s="31" t="s">
        <v>1834</v>
      </c>
      <c r="H140" s="31" t="s">
        <v>103</v>
      </c>
      <c r="I140" s="35" t="s">
        <v>104</v>
      </c>
      <c r="J140" s="31" t="s">
        <v>146</v>
      </c>
      <c r="K140" s="31" t="s">
        <v>147</v>
      </c>
      <c r="L140" s="92" t="s">
        <v>1940</v>
      </c>
      <c r="M140" s="37">
        <v>45197.0</v>
      </c>
      <c r="N140" s="33">
        <v>2023.0</v>
      </c>
      <c r="O140" s="37">
        <v>46387.0</v>
      </c>
      <c r="P140" s="39">
        <v>2026.0</v>
      </c>
      <c r="Q140" s="40">
        <v>1190.0</v>
      </c>
      <c r="R140" s="39">
        <v>4.0</v>
      </c>
      <c r="S140" s="41"/>
      <c r="T140" s="33" t="s">
        <v>269</v>
      </c>
      <c r="U140" s="75">
        <v>4.0</v>
      </c>
      <c r="V140" s="31" t="s">
        <v>1945</v>
      </c>
      <c r="W140" s="150" t="s">
        <v>1946</v>
      </c>
      <c r="X140" s="31" t="s">
        <v>1947</v>
      </c>
      <c r="Y140" s="31" t="s">
        <v>161</v>
      </c>
      <c r="Z140" s="101" t="s">
        <v>122</v>
      </c>
      <c r="AA140" s="31" t="s">
        <v>14</v>
      </c>
      <c r="AB140" s="153" t="s">
        <v>975</v>
      </c>
      <c r="AC140" s="46" t="s">
        <v>164</v>
      </c>
      <c r="AD140" s="46"/>
      <c r="AE140" s="99"/>
    </row>
    <row r="141">
      <c r="A141" s="61" t="s">
        <v>169</v>
      </c>
      <c r="B141" s="61" t="s">
        <v>67</v>
      </c>
      <c r="C141" s="82" t="s">
        <v>1951</v>
      </c>
      <c r="D141" s="137"/>
      <c r="E141" s="61" t="s">
        <v>1952</v>
      </c>
      <c r="F141" s="61" t="s">
        <v>1955</v>
      </c>
      <c r="G141" s="61" t="s">
        <v>1957</v>
      </c>
      <c r="H141" s="50" t="s">
        <v>103</v>
      </c>
      <c r="I141" s="97" t="s">
        <v>106</v>
      </c>
      <c r="J141" s="106" t="s">
        <v>175</v>
      </c>
      <c r="K141" s="106" t="s">
        <v>175</v>
      </c>
      <c r="L141" s="106" t="s">
        <v>175</v>
      </c>
      <c r="M141" s="84">
        <v>45197.0</v>
      </c>
      <c r="N141" s="84" t="str">
        <f>right(M141,4)</f>
        <v>2023</v>
      </c>
      <c r="O141" s="84">
        <v>45205.0</v>
      </c>
      <c r="P141" s="95" t="str">
        <f>right(O141,4)</f>
        <v>2023</v>
      </c>
      <c r="Q141" s="86">
        <f>DATEDIF(M141,O141,"d")</f>
        <v>8</v>
      </c>
      <c r="R141" s="85">
        <f>DATEDIF(M141,O141,"y")</f>
        <v>0</v>
      </c>
      <c r="S141" s="61"/>
      <c r="T141" s="87"/>
      <c r="U141" s="96">
        <v>0.0</v>
      </c>
      <c r="V141" s="61" t="s">
        <v>1272</v>
      </c>
      <c r="W141" s="61" t="s">
        <v>1967</v>
      </c>
      <c r="X141" s="61"/>
      <c r="Y141" s="50" t="s">
        <v>161</v>
      </c>
      <c r="Z141" s="80" t="s">
        <v>247</v>
      </c>
      <c r="AA141" s="50" t="s">
        <v>175</v>
      </c>
      <c r="AB141" s="61" t="s">
        <v>1931</v>
      </c>
      <c r="AC141" s="65" t="s">
        <v>161</v>
      </c>
      <c r="AD141" s="97"/>
      <c r="AE141" s="108" t="s">
        <v>220</v>
      </c>
    </row>
    <row r="142">
      <c r="A142" s="31" t="s">
        <v>64</v>
      </c>
      <c r="B142" s="31" t="s">
        <v>19</v>
      </c>
      <c r="C142" s="32" t="s">
        <v>1971</v>
      </c>
      <c r="D142" s="33">
        <v>600548.0</v>
      </c>
      <c r="E142" s="31" t="s">
        <v>1346</v>
      </c>
      <c r="F142" s="31" t="s">
        <v>1347</v>
      </c>
      <c r="G142" s="150" t="s">
        <v>1348</v>
      </c>
      <c r="H142" s="31" t="s">
        <v>232</v>
      </c>
      <c r="I142" s="100" t="s">
        <v>104</v>
      </c>
      <c r="J142" s="100" t="s">
        <v>84</v>
      </c>
      <c r="K142" s="31" t="s">
        <v>84</v>
      </c>
      <c r="L142" s="31" t="s">
        <v>105</v>
      </c>
      <c r="M142" s="37">
        <v>45198.0</v>
      </c>
      <c r="N142" s="33">
        <v>2023.0</v>
      </c>
      <c r="O142" s="37">
        <v>46548.0</v>
      </c>
      <c r="P142" s="39">
        <v>2027.0</v>
      </c>
      <c r="Q142" s="40">
        <v>1350.0</v>
      </c>
      <c r="R142" s="39">
        <v>4.0</v>
      </c>
      <c r="S142" s="41"/>
      <c r="T142" s="33" t="s">
        <v>113</v>
      </c>
      <c r="U142" s="43">
        <v>2.0</v>
      </c>
      <c r="V142" s="31" t="s">
        <v>1979</v>
      </c>
      <c r="W142" s="31" t="s">
        <v>1351</v>
      </c>
      <c r="X142" s="31" t="s">
        <v>1351</v>
      </c>
      <c r="Y142" s="31" t="s">
        <v>161</v>
      </c>
      <c r="Z142" s="101" t="s">
        <v>210</v>
      </c>
      <c r="AA142" s="31" t="s">
        <v>14</v>
      </c>
      <c r="AB142" s="31" t="s">
        <v>768</v>
      </c>
      <c r="AC142" s="46" t="s">
        <v>128</v>
      </c>
      <c r="AD142" s="46" t="s">
        <v>1983</v>
      </c>
      <c r="AE142" s="49"/>
    </row>
    <row r="143">
      <c r="A143" s="61" t="s">
        <v>169</v>
      </c>
      <c r="B143" s="61" t="s">
        <v>67</v>
      </c>
      <c r="C143" s="82" t="s">
        <v>1986</v>
      </c>
      <c r="D143" s="137"/>
      <c r="E143" s="61" t="s">
        <v>1990</v>
      </c>
      <c r="F143" s="61" t="s">
        <v>1991</v>
      </c>
      <c r="G143" s="61" t="s">
        <v>1992</v>
      </c>
      <c r="H143" s="61" t="s">
        <v>266</v>
      </c>
      <c r="I143" s="50" t="s">
        <v>289</v>
      </c>
      <c r="J143" s="50" t="s">
        <v>289</v>
      </c>
      <c r="K143" s="50" t="s">
        <v>289</v>
      </c>
      <c r="L143" s="50" t="s">
        <v>289</v>
      </c>
      <c r="M143" s="84">
        <v>45198.0</v>
      </c>
      <c r="N143" s="84" t="str">
        <f t="shared" ref="N143:N150" si="73">right(M143,4)</f>
        <v>2023</v>
      </c>
      <c r="O143" s="84">
        <v>45567.0</v>
      </c>
      <c r="P143" s="95" t="str">
        <f t="shared" ref="P143:P150" si="74">right(O143,4)</f>
        <v>2024</v>
      </c>
      <c r="Q143" s="86">
        <f t="shared" ref="Q143:Q150" si="75">DATEDIF(M143,O143,"d")</f>
        <v>369</v>
      </c>
      <c r="R143" s="85">
        <f t="shared" ref="R143:R150" si="76">DATEDIF(M143,O143,"y")</f>
        <v>1</v>
      </c>
      <c r="S143" s="61"/>
      <c r="T143" s="87"/>
      <c r="U143" s="96">
        <v>0.0</v>
      </c>
      <c r="V143" s="61"/>
      <c r="W143" s="61" t="s">
        <v>2001</v>
      </c>
      <c r="X143" s="61"/>
      <c r="Y143" s="50" t="s">
        <v>161</v>
      </c>
      <c r="Z143" s="80" t="s">
        <v>247</v>
      </c>
      <c r="AA143" s="50" t="s">
        <v>261</v>
      </c>
      <c r="AB143" s="61" t="s">
        <v>1931</v>
      </c>
      <c r="AC143" s="65" t="s">
        <v>161</v>
      </c>
      <c r="AD143" s="97"/>
      <c r="AE143" s="98"/>
    </row>
    <row r="144">
      <c r="A144" s="41" t="s">
        <v>169</v>
      </c>
      <c r="B144" s="41" t="s">
        <v>67</v>
      </c>
      <c r="C144" s="68" t="s">
        <v>2005</v>
      </c>
      <c r="D144" s="148"/>
      <c r="E144" s="41" t="s">
        <v>2007</v>
      </c>
      <c r="F144" s="41" t="s">
        <v>2009</v>
      </c>
      <c r="G144" s="41" t="s">
        <v>2010</v>
      </c>
      <c r="H144" s="31" t="s">
        <v>103</v>
      </c>
      <c r="I144" s="77" t="s">
        <v>106</v>
      </c>
      <c r="J144" s="104" t="s">
        <v>175</v>
      </c>
      <c r="K144" s="104" t="s">
        <v>175</v>
      </c>
      <c r="L144" s="104" t="s">
        <v>175</v>
      </c>
      <c r="M144" s="70">
        <v>45198.0</v>
      </c>
      <c r="N144" s="70" t="str">
        <f t="shared" si="73"/>
        <v>2023</v>
      </c>
      <c r="O144" s="70">
        <v>45209.0</v>
      </c>
      <c r="P144" s="102" t="str">
        <f t="shared" si="74"/>
        <v>2023</v>
      </c>
      <c r="Q144" s="73">
        <f t="shared" si="75"/>
        <v>11</v>
      </c>
      <c r="R144" s="93">
        <f t="shared" si="76"/>
        <v>0</v>
      </c>
      <c r="S144" s="41"/>
      <c r="T144" s="74"/>
      <c r="U144" s="75">
        <v>0.0</v>
      </c>
      <c r="V144" s="41" t="s">
        <v>1272</v>
      </c>
      <c r="W144" s="41" t="s">
        <v>2015</v>
      </c>
      <c r="X144" s="41"/>
      <c r="Y144" s="31" t="s">
        <v>161</v>
      </c>
      <c r="Z144" s="101" t="s">
        <v>247</v>
      </c>
      <c r="AA144" s="31" t="s">
        <v>175</v>
      </c>
      <c r="AB144" s="41" t="s">
        <v>1931</v>
      </c>
      <c r="AC144" s="46" t="s">
        <v>161</v>
      </c>
      <c r="AD144" s="77"/>
      <c r="AE144" s="78" t="s">
        <v>220</v>
      </c>
    </row>
    <row r="145">
      <c r="A145" s="61" t="s">
        <v>169</v>
      </c>
      <c r="B145" s="61" t="s">
        <v>67</v>
      </c>
      <c r="C145" s="82" t="s">
        <v>2020</v>
      </c>
      <c r="D145" s="137"/>
      <c r="E145" s="61" t="s">
        <v>2021</v>
      </c>
      <c r="F145" s="61" t="s">
        <v>2022</v>
      </c>
      <c r="G145" s="61" t="s">
        <v>2024</v>
      </c>
      <c r="H145" s="50" t="s">
        <v>103</v>
      </c>
      <c r="I145" s="50" t="s">
        <v>289</v>
      </c>
      <c r="J145" s="50" t="s">
        <v>289</v>
      </c>
      <c r="K145" s="50" t="s">
        <v>289</v>
      </c>
      <c r="L145" s="50" t="s">
        <v>289</v>
      </c>
      <c r="M145" s="84">
        <v>45203.0</v>
      </c>
      <c r="N145" s="84" t="str">
        <f t="shared" si="73"/>
        <v>2023</v>
      </c>
      <c r="O145" s="84">
        <v>45504.0</v>
      </c>
      <c r="P145" s="95" t="str">
        <f t="shared" si="74"/>
        <v>2024</v>
      </c>
      <c r="Q145" s="86">
        <f t="shared" si="75"/>
        <v>301</v>
      </c>
      <c r="R145" s="85">
        <f t="shared" si="76"/>
        <v>0</v>
      </c>
      <c r="S145" s="61"/>
      <c r="T145" s="87"/>
      <c r="U145" s="96">
        <v>0.0</v>
      </c>
      <c r="V145" s="61" t="s">
        <v>1272</v>
      </c>
      <c r="W145" s="61" t="s">
        <v>2031</v>
      </c>
      <c r="X145" s="61"/>
      <c r="Y145" s="50" t="s">
        <v>161</v>
      </c>
      <c r="Z145" s="80" t="s">
        <v>247</v>
      </c>
      <c r="AA145" s="50" t="s">
        <v>261</v>
      </c>
      <c r="AB145" s="50" t="s">
        <v>213</v>
      </c>
      <c r="AC145" s="65" t="s">
        <v>161</v>
      </c>
      <c r="AD145" s="97"/>
      <c r="AE145" s="98"/>
    </row>
    <row r="146">
      <c r="A146" s="41" t="s">
        <v>64</v>
      </c>
      <c r="B146" s="41" t="s">
        <v>67</v>
      </c>
      <c r="C146" s="68" t="s">
        <v>2035</v>
      </c>
      <c r="D146" s="74">
        <v>600128.0</v>
      </c>
      <c r="E146" s="41" t="s">
        <v>1291</v>
      </c>
      <c r="F146" s="41" t="s">
        <v>1292</v>
      </c>
      <c r="G146" s="41" t="s">
        <v>1293</v>
      </c>
      <c r="H146" s="31" t="s">
        <v>103</v>
      </c>
      <c r="I146" s="31" t="s">
        <v>289</v>
      </c>
      <c r="J146" s="31" t="s">
        <v>289</v>
      </c>
      <c r="K146" s="41" t="s">
        <v>248</v>
      </c>
      <c r="L146" s="31" t="s">
        <v>289</v>
      </c>
      <c r="M146" s="70">
        <v>45208.0</v>
      </c>
      <c r="N146" s="70" t="str">
        <f t="shared" si="73"/>
        <v>2023</v>
      </c>
      <c r="O146" s="70">
        <v>45626.0</v>
      </c>
      <c r="P146" s="93" t="str">
        <f t="shared" si="74"/>
        <v>2024</v>
      </c>
      <c r="Q146" s="73">
        <f t="shared" si="75"/>
        <v>418</v>
      </c>
      <c r="R146" s="93">
        <f t="shared" si="76"/>
        <v>1</v>
      </c>
      <c r="S146" s="41"/>
      <c r="T146" s="74"/>
      <c r="U146" s="43">
        <v>0.0</v>
      </c>
      <c r="V146" s="31" t="s">
        <v>2046</v>
      </c>
      <c r="W146" s="41" t="s">
        <v>1295</v>
      </c>
      <c r="X146" s="41"/>
      <c r="Y146" s="31" t="s">
        <v>161</v>
      </c>
      <c r="Z146" s="41" t="s">
        <v>162</v>
      </c>
      <c r="AA146" s="31" t="s">
        <v>289</v>
      </c>
      <c r="AB146" s="31" t="s">
        <v>124</v>
      </c>
      <c r="AC146" s="46" t="s">
        <v>337</v>
      </c>
      <c r="AD146" s="47"/>
      <c r="AE146" s="49"/>
    </row>
    <row r="147">
      <c r="A147" s="61" t="s">
        <v>169</v>
      </c>
      <c r="B147" s="61" t="s">
        <v>67</v>
      </c>
      <c r="C147" s="82" t="s">
        <v>2048</v>
      </c>
      <c r="D147" s="94">
        <v>600220.0</v>
      </c>
      <c r="E147" s="61" t="s">
        <v>2051</v>
      </c>
      <c r="F147" s="61" t="s">
        <v>2052</v>
      </c>
      <c r="G147" s="61" t="s">
        <v>2054</v>
      </c>
      <c r="H147" s="61" t="s">
        <v>266</v>
      </c>
      <c r="I147" s="50" t="s">
        <v>289</v>
      </c>
      <c r="J147" s="50" t="s">
        <v>289</v>
      </c>
      <c r="K147" s="50" t="s">
        <v>289</v>
      </c>
      <c r="L147" s="50" t="s">
        <v>289</v>
      </c>
      <c r="M147" s="84">
        <v>45208.0</v>
      </c>
      <c r="N147" s="84" t="str">
        <f t="shared" si="73"/>
        <v>2023</v>
      </c>
      <c r="O147" s="84">
        <v>45574.0</v>
      </c>
      <c r="P147" s="95" t="str">
        <f t="shared" si="74"/>
        <v>2024</v>
      </c>
      <c r="Q147" s="86">
        <f t="shared" si="75"/>
        <v>366</v>
      </c>
      <c r="R147" s="85">
        <f t="shared" si="76"/>
        <v>1</v>
      </c>
      <c r="S147" s="61"/>
      <c r="T147" s="87"/>
      <c r="U147" s="96">
        <v>0.0</v>
      </c>
      <c r="V147" s="61"/>
      <c r="W147" s="174" t="s">
        <v>2064</v>
      </c>
      <c r="X147" s="61"/>
      <c r="Y147" s="50" t="s">
        <v>161</v>
      </c>
      <c r="Z147" s="80" t="s">
        <v>247</v>
      </c>
      <c r="AA147" s="50" t="s">
        <v>261</v>
      </c>
      <c r="AB147" s="106" t="s">
        <v>442</v>
      </c>
      <c r="AC147" s="65" t="s">
        <v>161</v>
      </c>
      <c r="AD147" s="97"/>
      <c r="AE147" s="98"/>
    </row>
    <row r="148">
      <c r="A148" s="41" t="s">
        <v>169</v>
      </c>
      <c r="B148" s="41" t="s">
        <v>67</v>
      </c>
      <c r="C148" s="68" t="s">
        <v>2067</v>
      </c>
      <c r="D148" s="69">
        <v>600219.0</v>
      </c>
      <c r="E148" s="41" t="s">
        <v>2068</v>
      </c>
      <c r="F148" s="41" t="s">
        <v>2069</v>
      </c>
      <c r="G148" s="41" t="s">
        <v>2070</v>
      </c>
      <c r="H148" s="41" t="s">
        <v>266</v>
      </c>
      <c r="I148" s="31" t="s">
        <v>289</v>
      </c>
      <c r="J148" s="31" t="s">
        <v>289</v>
      </c>
      <c r="K148" s="31" t="s">
        <v>289</v>
      </c>
      <c r="L148" s="31" t="s">
        <v>289</v>
      </c>
      <c r="M148" s="70">
        <v>45208.0</v>
      </c>
      <c r="N148" s="70" t="str">
        <f t="shared" si="73"/>
        <v>2023</v>
      </c>
      <c r="O148" s="70">
        <v>45574.0</v>
      </c>
      <c r="P148" s="102" t="str">
        <f t="shared" si="74"/>
        <v>2024</v>
      </c>
      <c r="Q148" s="73">
        <f t="shared" si="75"/>
        <v>366</v>
      </c>
      <c r="R148" s="93">
        <f t="shared" si="76"/>
        <v>1</v>
      </c>
      <c r="S148" s="41"/>
      <c r="T148" s="74"/>
      <c r="U148" s="75">
        <v>0.0</v>
      </c>
      <c r="V148" s="41"/>
      <c r="W148" s="154" t="s">
        <v>2074</v>
      </c>
      <c r="X148" s="41"/>
      <c r="Y148" s="31" t="s">
        <v>161</v>
      </c>
      <c r="Z148" s="101" t="s">
        <v>247</v>
      </c>
      <c r="AA148" s="31" t="s">
        <v>261</v>
      </c>
      <c r="AB148" s="104" t="s">
        <v>442</v>
      </c>
      <c r="AC148" s="46" t="s">
        <v>161</v>
      </c>
      <c r="AD148" s="77"/>
      <c r="AE148" s="109"/>
    </row>
    <row r="149">
      <c r="A149" s="61" t="s">
        <v>64</v>
      </c>
      <c r="B149" s="61" t="s">
        <v>67</v>
      </c>
      <c r="C149" s="82" t="s">
        <v>2079</v>
      </c>
      <c r="D149" s="83"/>
      <c r="E149" s="61" t="s">
        <v>1297</v>
      </c>
      <c r="F149" s="61" t="s">
        <v>1298</v>
      </c>
      <c r="G149" s="61" t="s">
        <v>1299</v>
      </c>
      <c r="H149" s="50" t="s">
        <v>103</v>
      </c>
      <c r="I149" s="97" t="s">
        <v>106</v>
      </c>
      <c r="J149" s="106" t="s">
        <v>175</v>
      </c>
      <c r="K149" s="61" t="s">
        <v>84</v>
      </c>
      <c r="L149" s="106" t="s">
        <v>175</v>
      </c>
      <c r="M149" s="84">
        <v>45209.0</v>
      </c>
      <c r="N149" s="84" t="str">
        <f t="shared" si="73"/>
        <v>2023</v>
      </c>
      <c r="O149" s="84">
        <v>45575.0</v>
      </c>
      <c r="P149" s="85" t="str">
        <f t="shared" si="74"/>
        <v>2024</v>
      </c>
      <c r="Q149" s="86">
        <f t="shared" si="75"/>
        <v>366</v>
      </c>
      <c r="R149" s="85">
        <f t="shared" si="76"/>
        <v>1</v>
      </c>
      <c r="S149" s="61"/>
      <c r="T149" s="87"/>
      <c r="U149" s="96">
        <v>0.0</v>
      </c>
      <c r="V149" s="61"/>
      <c r="W149" s="61" t="s">
        <v>1304</v>
      </c>
      <c r="X149" s="61"/>
      <c r="Y149" s="50" t="s">
        <v>161</v>
      </c>
      <c r="Z149" s="61" t="s">
        <v>440</v>
      </c>
      <c r="AA149" s="50" t="s">
        <v>175</v>
      </c>
      <c r="AB149" s="61" t="s">
        <v>1283</v>
      </c>
      <c r="AC149" s="65" t="s">
        <v>161</v>
      </c>
      <c r="AD149" s="65" t="s">
        <v>2088</v>
      </c>
      <c r="AE149" s="108" t="s">
        <v>220</v>
      </c>
    </row>
    <row r="150">
      <c r="A150" s="41" t="s">
        <v>64</v>
      </c>
      <c r="B150" s="41" t="s">
        <v>67</v>
      </c>
      <c r="C150" s="68" t="s">
        <v>2089</v>
      </c>
      <c r="D150" s="110"/>
      <c r="E150" s="41" t="s">
        <v>1306</v>
      </c>
      <c r="F150" s="41" t="s">
        <v>1307</v>
      </c>
      <c r="G150" s="41" t="s">
        <v>1308</v>
      </c>
      <c r="H150" s="41" t="s">
        <v>84</v>
      </c>
      <c r="I150" s="31" t="s">
        <v>289</v>
      </c>
      <c r="J150" s="31" t="s">
        <v>289</v>
      </c>
      <c r="K150" s="41" t="s">
        <v>84</v>
      </c>
      <c r="L150" s="31" t="s">
        <v>289</v>
      </c>
      <c r="M150" s="70">
        <v>45216.0</v>
      </c>
      <c r="N150" s="70" t="str">
        <f t="shared" si="73"/>
        <v>2023</v>
      </c>
      <c r="O150" s="70">
        <v>45582.0</v>
      </c>
      <c r="P150" s="93" t="str">
        <f t="shared" si="74"/>
        <v>2024</v>
      </c>
      <c r="Q150" s="73">
        <f t="shared" si="75"/>
        <v>366</v>
      </c>
      <c r="R150" s="93">
        <f t="shared" si="76"/>
        <v>1</v>
      </c>
      <c r="S150" s="41"/>
      <c r="T150" s="74"/>
      <c r="U150" s="43">
        <v>0.0</v>
      </c>
      <c r="V150" s="41" t="s">
        <v>1313</v>
      </c>
      <c r="W150" s="41" t="s">
        <v>1314</v>
      </c>
      <c r="X150" s="41"/>
      <c r="Y150" s="31" t="s">
        <v>161</v>
      </c>
      <c r="Z150" s="41" t="s">
        <v>259</v>
      </c>
      <c r="AA150" s="31" t="s">
        <v>261</v>
      </c>
      <c r="AB150" s="31" t="s">
        <v>124</v>
      </c>
      <c r="AC150" s="46" t="s">
        <v>161</v>
      </c>
      <c r="AD150" s="47"/>
      <c r="AE150" s="78" t="s">
        <v>220</v>
      </c>
    </row>
    <row r="151">
      <c r="A151" s="50" t="s">
        <v>64</v>
      </c>
      <c r="B151" s="50" t="s">
        <v>19</v>
      </c>
      <c r="C151" s="52" t="s">
        <v>2096</v>
      </c>
      <c r="D151" s="54">
        <v>600573.0</v>
      </c>
      <c r="E151" s="50" t="s">
        <v>267</v>
      </c>
      <c r="F151" s="50" t="s">
        <v>1368</v>
      </c>
      <c r="G151" s="50" t="s">
        <v>1369</v>
      </c>
      <c r="H151" s="50" t="s">
        <v>232</v>
      </c>
      <c r="I151" s="56" t="s">
        <v>708</v>
      </c>
      <c r="J151" s="56" t="s">
        <v>84</v>
      </c>
      <c r="K151" s="50" t="s">
        <v>84</v>
      </c>
      <c r="L151" s="112" t="s">
        <v>181</v>
      </c>
      <c r="M151" s="57">
        <v>45216.0</v>
      </c>
      <c r="N151" s="54">
        <v>2023.0</v>
      </c>
      <c r="O151" s="57">
        <v>46387.0</v>
      </c>
      <c r="P151" s="60">
        <v>2026.0</v>
      </c>
      <c r="Q151" s="60">
        <v>1171.0</v>
      </c>
      <c r="R151" s="60">
        <v>4.0</v>
      </c>
      <c r="S151" s="61"/>
      <c r="T151" s="54" t="s">
        <v>269</v>
      </c>
      <c r="U151" s="62">
        <v>2.0</v>
      </c>
      <c r="V151" s="50"/>
      <c r="W151" s="50" t="s">
        <v>1377</v>
      </c>
      <c r="X151" s="50" t="s">
        <v>1377</v>
      </c>
      <c r="Y151" s="50" t="s">
        <v>2103</v>
      </c>
      <c r="Z151" s="50" t="s">
        <v>210</v>
      </c>
      <c r="AA151" s="50" t="s">
        <v>14</v>
      </c>
      <c r="AB151" s="50" t="s">
        <v>508</v>
      </c>
      <c r="AC151" s="65" t="s">
        <v>128</v>
      </c>
      <c r="AD151" s="65" t="s">
        <v>2105</v>
      </c>
      <c r="AE151" s="108"/>
    </row>
    <row r="152">
      <c r="A152" s="41" t="s">
        <v>64</v>
      </c>
      <c r="B152" s="41" t="s">
        <v>67</v>
      </c>
      <c r="C152" s="68" t="s">
        <v>2109</v>
      </c>
      <c r="D152" s="110"/>
      <c r="E152" s="41" t="s">
        <v>1353</v>
      </c>
      <c r="F152" s="41" t="s">
        <v>1354</v>
      </c>
      <c r="G152" s="154" t="s">
        <v>1355</v>
      </c>
      <c r="H152" s="31" t="s">
        <v>103</v>
      </c>
      <c r="I152" s="185" t="s">
        <v>106</v>
      </c>
      <c r="J152" s="104" t="s">
        <v>175</v>
      </c>
      <c r="K152" s="104" t="s">
        <v>175</v>
      </c>
      <c r="L152" s="104" t="s">
        <v>175</v>
      </c>
      <c r="M152" s="70">
        <v>45217.0</v>
      </c>
      <c r="N152" s="70" t="str">
        <f t="shared" ref="N152:N161" si="77">right(M152,4)</f>
        <v>2023</v>
      </c>
      <c r="O152" s="70">
        <v>45245.0</v>
      </c>
      <c r="P152" s="93" t="str">
        <f t="shared" ref="P152:P161" si="78">right(O152,4)</f>
        <v>2023</v>
      </c>
      <c r="Q152" s="73">
        <f t="shared" ref="Q152:Q161" si="79">DATEDIF(M152,O152,"d")</f>
        <v>28</v>
      </c>
      <c r="R152" s="93">
        <f t="shared" ref="R152:R161" si="80">DATEDIF(M152,O152,"y")</f>
        <v>0</v>
      </c>
      <c r="S152" s="41"/>
      <c r="T152" s="74"/>
      <c r="U152" s="75">
        <v>0.0</v>
      </c>
      <c r="V152" s="31" t="s">
        <v>1979</v>
      </c>
      <c r="W152" s="154" t="s">
        <v>1362</v>
      </c>
      <c r="X152" s="41"/>
      <c r="Y152" s="31" t="s">
        <v>161</v>
      </c>
      <c r="Z152" s="31" t="s">
        <v>311</v>
      </c>
      <c r="AA152" s="31" t="s">
        <v>175</v>
      </c>
      <c r="AB152" s="31" t="s">
        <v>175</v>
      </c>
      <c r="AC152" s="46" t="s">
        <v>161</v>
      </c>
      <c r="AD152" s="46" t="s">
        <v>2120</v>
      </c>
      <c r="AE152" s="78" t="s">
        <v>220</v>
      </c>
    </row>
    <row r="153">
      <c r="A153" s="61" t="s">
        <v>64</v>
      </c>
      <c r="B153" s="61" t="s">
        <v>67</v>
      </c>
      <c r="C153" s="82" t="s">
        <v>2124</v>
      </c>
      <c r="D153" s="87">
        <v>600272.0</v>
      </c>
      <c r="E153" s="61" t="s">
        <v>1380</v>
      </c>
      <c r="F153" s="61" t="s">
        <v>1381</v>
      </c>
      <c r="G153" s="61" t="s">
        <v>1382</v>
      </c>
      <c r="H153" s="50" t="s">
        <v>103</v>
      </c>
      <c r="I153" s="50" t="s">
        <v>289</v>
      </c>
      <c r="J153" s="50" t="s">
        <v>289</v>
      </c>
      <c r="K153" s="50" t="s">
        <v>289</v>
      </c>
      <c r="L153" s="50" t="s">
        <v>484</v>
      </c>
      <c r="M153" s="84">
        <v>45218.0</v>
      </c>
      <c r="N153" s="84" t="str">
        <f t="shared" si="77"/>
        <v>2023</v>
      </c>
      <c r="O153" s="84">
        <v>45688.0</v>
      </c>
      <c r="P153" s="85" t="str">
        <f t="shared" si="78"/>
        <v>2025</v>
      </c>
      <c r="Q153" s="86">
        <f t="shared" si="79"/>
        <v>470</v>
      </c>
      <c r="R153" s="85">
        <f t="shared" si="80"/>
        <v>1</v>
      </c>
      <c r="S153" s="61"/>
      <c r="T153" s="87" t="s">
        <v>269</v>
      </c>
      <c r="U153" s="62">
        <v>0.0</v>
      </c>
      <c r="V153" s="61"/>
      <c r="W153" s="61" t="s">
        <v>1384</v>
      </c>
      <c r="X153" s="61" t="s">
        <v>1384</v>
      </c>
      <c r="Y153" s="50" t="s">
        <v>161</v>
      </c>
      <c r="Z153" s="61" t="s">
        <v>259</v>
      </c>
      <c r="AA153" s="50" t="s">
        <v>261</v>
      </c>
      <c r="AB153" s="50" t="s">
        <v>124</v>
      </c>
      <c r="AC153" s="65" t="s">
        <v>276</v>
      </c>
      <c r="AD153" s="66"/>
      <c r="AE153" s="67"/>
    </row>
    <row r="154">
      <c r="A154" s="41" t="s">
        <v>169</v>
      </c>
      <c r="B154" s="41" t="s">
        <v>67</v>
      </c>
      <c r="C154" s="68" t="s">
        <v>2138</v>
      </c>
      <c r="D154" s="148"/>
      <c r="E154" s="41" t="s">
        <v>2139</v>
      </c>
      <c r="F154" s="41" t="s">
        <v>2140</v>
      </c>
      <c r="G154" s="41" t="s">
        <v>2142</v>
      </c>
      <c r="H154" s="31" t="s">
        <v>266</v>
      </c>
      <c r="I154" s="77" t="s">
        <v>106</v>
      </c>
      <c r="J154" s="104" t="s">
        <v>175</v>
      </c>
      <c r="K154" s="104" t="s">
        <v>175</v>
      </c>
      <c r="L154" s="104" t="s">
        <v>175</v>
      </c>
      <c r="M154" s="70">
        <v>45219.0</v>
      </c>
      <c r="N154" s="70" t="str">
        <f t="shared" si="77"/>
        <v>2023</v>
      </c>
      <c r="O154" s="70">
        <v>45230.0</v>
      </c>
      <c r="P154" s="102" t="str">
        <f t="shared" si="78"/>
        <v>2023</v>
      </c>
      <c r="Q154" s="73">
        <f t="shared" si="79"/>
        <v>11</v>
      </c>
      <c r="R154" s="93">
        <f t="shared" si="80"/>
        <v>0</v>
      </c>
      <c r="S154" s="41"/>
      <c r="T154" s="74"/>
      <c r="U154" s="75">
        <v>0.0</v>
      </c>
      <c r="V154" s="41" t="s">
        <v>1272</v>
      </c>
      <c r="W154" s="41" t="s">
        <v>2145</v>
      </c>
      <c r="X154" s="41"/>
      <c r="Y154" s="31" t="s">
        <v>161</v>
      </c>
      <c r="Z154" s="101" t="s">
        <v>247</v>
      </c>
      <c r="AA154" s="31" t="s">
        <v>14</v>
      </c>
      <c r="AB154" s="31" t="s">
        <v>175</v>
      </c>
      <c r="AC154" s="46" t="s">
        <v>161</v>
      </c>
      <c r="AD154" s="77"/>
      <c r="AE154" s="78" t="s">
        <v>220</v>
      </c>
    </row>
    <row r="155">
      <c r="A155" s="61" t="s">
        <v>169</v>
      </c>
      <c r="B155" s="61" t="s">
        <v>67</v>
      </c>
      <c r="C155" s="82" t="s">
        <v>2150</v>
      </c>
      <c r="D155" s="137"/>
      <c r="E155" s="61" t="s">
        <v>2152</v>
      </c>
      <c r="F155" s="61" t="s">
        <v>2154</v>
      </c>
      <c r="G155" s="61" t="s">
        <v>2155</v>
      </c>
      <c r="H155" s="50" t="s">
        <v>103</v>
      </c>
      <c r="I155" s="97" t="s">
        <v>106</v>
      </c>
      <c r="J155" s="106" t="s">
        <v>175</v>
      </c>
      <c r="K155" s="106" t="s">
        <v>175</v>
      </c>
      <c r="L155" s="106" t="s">
        <v>175</v>
      </c>
      <c r="M155" s="84">
        <v>45222.0</v>
      </c>
      <c r="N155" s="84" t="str">
        <f t="shared" si="77"/>
        <v>2023</v>
      </c>
      <c r="O155" s="84">
        <v>45236.0</v>
      </c>
      <c r="P155" s="95" t="str">
        <f t="shared" si="78"/>
        <v>2023</v>
      </c>
      <c r="Q155" s="86">
        <f t="shared" si="79"/>
        <v>14</v>
      </c>
      <c r="R155" s="85">
        <f t="shared" si="80"/>
        <v>0</v>
      </c>
      <c r="S155" s="61"/>
      <c r="T155" s="87"/>
      <c r="U155" s="96">
        <v>0.0</v>
      </c>
      <c r="V155" s="61"/>
      <c r="W155" s="61" t="s">
        <v>2163</v>
      </c>
      <c r="X155" s="61"/>
      <c r="Y155" s="50" t="s">
        <v>161</v>
      </c>
      <c r="Z155" s="80" t="s">
        <v>247</v>
      </c>
      <c r="AA155" s="50" t="s">
        <v>175</v>
      </c>
      <c r="AB155" s="50" t="s">
        <v>175</v>
      </c>
      <c r="AC155" s="65" t="s">
        <v>161</v>
      </c>
      <c r="AD155" s="97"/>
      <c r="AE155" s="108" t="s">
        <v>220</v>
      </c>
    </row>
    <row r="156">
      <c r="A156" s="41" t="s">
        <v>64</v>
      </c>
      <c r="B156" s="41" t="s">
        <v>67</v>
      </c>
      <c r="C156" s="68" t="s">
        <v>2166</v>
      </c>
      <c r="D156" s="74">
        <v>600131.0</v>
      </c>
      <c r="E156" s="41" t="s">
        <v>1401</v>
      </c>
      <c r="F156" s="41" t="s">
        <v>1402</v>
      </c>
      <c r="G156" s="41" t="s">
        <v>1404</v>
      </c>
      <c r="H156" s="31" t="s">
        <v>103</v>
      </c>
      <c r="I156" s="31" t="s">
        <v>289</v>
      </c>
      <c r="J156" s="31" t="s">
        <v>289</v>
      </c>
      <c r="K156" s="41" t="s">
        <v>248</v>
      </c>
      <c r="L156" s="31" t="s">
        <v>289</v>
      </c>
      <c r="M156" s="70">
        <v>45223.0</v>
      </c>
      <c r="N156" s="70" t="str">
        <f t="shared" si="77"/>
        <v>2023</v>
      </c>
      <c r="O156" s="70">
        <v>45838.0</v>
      </c>
      <c r="P156" s="73" t="str">
        <f t="shared" si="78"/>
        <v>2025</v>
      </c>
      <c r="Q156" s="73">
        <f t="shared" si="79"/>
        <v>615</v>
      </c>
      <c r="R156" s="73">
        <f t="shared" si="80"/>
        <v>1</v>
      </c>
      <c r="S156" s="41"/>
      <c r="T156" s="74"/>
      <c r="U156" s="43">
        <v>2.0</v>
      </c>
      <c r="V156" s="31" t="s">
        <v>2179</v>
      </c>
      <c r="W156" s="41" t="s">
        <v>1407</v>
      </c>
      <c r="X156" s="41" t="s">
        <v>1407</v>
      </c>
      <c r="Y156" s="31" t="s">
        <v>161</v>
      </c>
      <c r="Z156" s="31" t="s">
        <v>210</v>
      </c>
      <c r="AA156" s="31" t="s">
        <v>261</v>
      </c>
      <c r="AB156" s="31" t="s">
        <v>124</v>
      </c>
      <c r="AC156" s="46" t="s">
        <v>276</v>
      </c>
      <c r="AD156" s="47"/>
      <c r="AE156" s="49"/>
    </row>
    <row r="157">
      <c r="A157" s="61" t="s">
        <v>64</v>
      </c>
      <c r="B157" s="61" t="s">
        <v>67</v>
      </c>
      <c r="C157" s="82" t="s">
        <v>2187</v>
      </c>
      <c r="D157" s="83"/>
      <c r="E157" s="61" t="s">
        <v>1409</v>
      </c>
      <c r="F157" s="61" t="s">
        <v>1410</v>
      </c>
      <c r="G157" s="61" t="s">
        <v>1411</v>
      </c>
      <c r="H157" s="50" t="s">
        <v>84</v>
      </c>
      <c r="I157" s="97" t="s">
        <v>106</v>
      </c>
      <c r="J157" s="106" t="s">
        <v>175</v>
      </c>
      <c r="K157" s="61" t="s">
        <v>84</v>
      </c>
      <c r="L157" s="106" t="s">
        <v>175</v>
      </c>
      <c r="M157" s="84">
        <v>45224.0</v>
      </c>
      <c r="N157" s="84" t="str">
        <f t="shared" si="77"/>
        <v>2023</v>
      </c>
      <c r="O157" s="84">
        <v>45230.0</v>
      </c>
      <c r="P157" s="85" t="str">
        <f t="shared" si="78"/>
        <v>2023</v>
      </c>
      <c r="Q157" s="86">
        <f t="shared" si="79"/>
        <v>6</v>
      </c>
      <c r="R157" s="85">
        <f t="shared" si="80"/>
        <v>0</v>
      </c>
      <c r="S157" s="61"/>
      <c r="T157" s="87"/>
      <c r="U157" s="96">
        <v>0.0</v>
      </c>
      <c r="V157" s="61" t="s">
        <v>1415</v>
      </c>
      <c r="W157" s="174" t="s">
        <v>1412</v>
      </c>
      <c r="X157" s="61"/>
      <c r="Y157" s="50" t="s">
        <v>161</v>
      </c>
      <c r="Z157" s="50" t="s">
        <v>175</v>
      </c>
      <c r="AA157" s="50" t="s">
        <v>261</v>
      </c>
      <c r="AB157" s="50" t="s">
        <v>124</v>
      </c>
      <c r="AC157" s="65" t="s">
        <v>161</v>
      </c>
      <c r="AD157" s="66"/>
      <c r="AE157" s="108" t="s">
        <v>220</v>
      </c>
    </row>
    <row r="158">
      <c r="A158" s="41" t="s">
        <v>169</v>
      </c>
      <c r="B158" s="41" t="s">
        <v>67</v>
      </c>
      <c r="C158" s="68" t="s">
        <v>2197</v>
      </c>
      <c r="D158" s="148"/>
      <c r="E158" s="41" t="s">
        <v>2199</v>
      </c>
      <c r="F158" s="41" t="s">
        <v>2200</v>
      </c>
      <c r="G158" s="41" t="s">
        <v>2201</v>
      </c>
      <c r="H158" s="41" t="s">
        <v>266</v>
      </c>
      <c r="I158" s="31" t="s">
        <v>289</v>
      </c>
      <c r="J158" s="31" t="s">
        <v>289</v>
      </c>
      <c r="K158" s="31" t="s">
        <v>289</v>
      </c>
      <c r="L158" s="31" t="s">
        <v>289</v>
      </c>
      <c r="M158" s="70">
        <v>45225.0</v>
      </c>
      <c r="N158" s="70" t="str">
        <f t="shared" si="77"/>
        <v>2023</v>
      </c>
      <c r="O158" s="70">
        <v>45377.0</v>
      </c>
      <c r="P158" s="102" t="str">
        <f t="shared" si="78"/>
        <v>2024</v>
      </c>
      <c r="Q158" s="73">
        <f t="shared" si="79"/>
        <v>152</v>
      </c>
      <c r="R158" s="93">
        <f t="shared" si="80"/>
        <v>0</v>
      </c>
      <c r="S158" s="41"/>
      <c r="T158" s="74"/>
      <c r="U158" s="75">
        <v>0.0</v>
      </c>
      <c r="V158" s="41"/>
      <c r="W158" s="41" t="s">
        <v>2205</v>
      </c>
      <c r="X158" s="41"/>
      <c r="Y158" s="31" t="s">
        <v>161</v>
      </c>
      <c r="Z158" s="101" t="s">
        <v>247</v>
      </c>
      <c r="AA158" s="31" t="s">
        <v>261</v>
      </c>
      <c r="AB158" s="31" t="s">
        <v>1499</v>
      </c>
      <c r="AC158" s="46" t="s">
        <v>161</v>
      </c>
      <c r="AD158" s="77"/>
      <c r="AE158" s="99"/>
    </row>
    <row r="159">
      <c r="A159" s="61" t="s">
        <v>169</v>
      </c>
      <c r="B159" s="61" t="s">
        <v>67</v>
      </c>
      <c r="C159" s="82" t="s">
        <v>2210</v>
      </c>
      <c r="D159" s="94">
        <v>600281.0</v>
      </c>
      <c r="E159" s="61" t="s">
        <v>606</v>
      </c>
      <c r="F159" s="61" t="s">
        <v>2213</v>
      </c>
      <c r="G159" s="61" t="s">
        <v>2214</v>
      </c>
      <c r="H159" s="61" t="s">
        <v>84</v>
      </c>
      <c r="I159" s="56" t="s">
        <v>104</v>
      </c>
      <c r="J159" s="50" t="s">
        <v>289</v>
      </c>
      <c r="K159" s="50" t="s">
        <v>289</v>
      </c>
      <c r="L159" s="50" t="s">
        <v>289</v>
      </c>
      <c r="M159" s="84">
        <v>45229.0</v>
      </c>
      <c r="N159" s="84" t="str">
        <f t="shared" si="77"/>
        <v>2023</v>
      </c>
      <c r="O159" s="84">
        <v>45657.0</v>
      </c>
      <c r="P159" s="95" t="str">
        <f t="shared" si="78"/>
        <v>2024</v>
      </c>
      <c r="Q159" s="86">
        <f t="shared" si="79"/>
        <v>428</v>
      </c>
      <c r="R159" s="85">
        <f t="shared" si="80"/>
        <v>1</v>
      </c>
      <c r="S159" s="61"/>
      <c r="T159" s="87"/>
      <c r="U159" s="96">
        <v>0.0</v>
      </c>
      <c r="V159" s="61"/>
      <c r="W159" s="61" t="s">
        <v>2224</v>
      </c>
      <c r="X159" s="61"/>
      <c r="Y159" s="50" t="s">
        <v>161</v>
      </c>
      <c r="Z159" s="80" t="s">
        <v>247</v>
      </c>
      <c r="AA159" s="50" t="s">
        <v>289</v>
      </c>
      <c r="AB159" s="50" t="s">
        <v>249</v>
      </c>
      <c r="AC159" s="65" t="s">
        <v>164</v>
      </c>
      <c r="AD159" s="50" t="s">
        <v>251</v>
      </c>
      <c r="AE159" s="81" t="s">
        <v>220</v>
      </c>
    </row>
    <row r="160">
      <c r="A160" s="41" t="s">
        <v>169</v>
      </c>
      <c r="B160" s="41" t="s">
        <v>67</v>
      </c>
      <c r="C160" s="68" t="s">
        <v>2227</v>
      </c>
      <c r="D160" s="148"/>
      <c r="E160" s="41" t="s">
        <v>2231</v>
      </c>
      <c r="F160" s="41" t="s">
        <v>2232</v>
      </c>
      <c r="G160" s="41" t="s">
        <v>2233</v>
      </c>
      <c r="H160" s="31" t="s">
        <v>103</v>
      </c>
      <c r="I160" s="77" t="s">
        <v>106</v>
      </c>
      <c r="J160" s="104" t="s">
        <v>175</v>
      </c>
      <c r="K160" s="104" t="s">
        <v>175</v>
      </c>
      <c r="L160" s="104" t="s">
        <v>175</v>
      </c>
      <c r="M160" s="70">
        <v>45229.0</v>
      </c>
      <c r="N160" s="70" t="str">
        <f t="shared" si="77"/>
        <v>2023</v>
      </c>
      <c r="O160" s="70">
        <v>45233.0</v>
      </c>
      <c r="P160" s="102" t="str">
        <f t="shared" si="78"/>
        <v>2023</v>
      </c>
      <c r="Q160" s="73">
        <f t="shared" si="79"/>
        <v>4</v>
      </c>
      <c r="R160" s="93">
        <f t="shared" si="80"/>
        <v>0</v>
      </c>
      <c r="S160" s="41"/>
      <c r="T160" s="74"/>
      <c r="U160" s="75">
        <v>0.0</v>
      </c>
      <c r="V160" s="41" t="s">
        <v>1272</v>
      </c>
      <c r="W160" s="41" t="s">
        <v>2240</v>
      </c>
      <c r="X160" s="41"/>
      <c r="Y160" s="31" t="s">
        <v>161</v>
      </c>
      <c r="Z160" s="101" t="s">
        <v>247</v>
      </c>
      <c r="AA160" s="31" t="s">
        <v>175</v>
      </c>
      <c r="AB160" s="31" t="s">
        <v>175</v>
      </c>
      <c r="AC160" s="46" t="s">
        <v>161</v>
      </c>
      <c r="AD160" s="77"/>
      <c r="AE160" s="78" t="s">
        <v>220</v>
      </c>
    </row>
    <row r="161">
      <c r="A161" s="61" t="s">
        <v>64</v>
      </c>
      <c r="B161" s="61" t="s">
        <v>67</v>
      </c>
      <c r="C161" s="82" t="s">
        <v>2248</v>
      </c>
      <c r="D161" s="83"/>
      <c r="E161" s="61" t="s">
        <v>1531</v>
      </c>
      <c r="F161" s="61" t="s">
        <v>1532</v>
      </c>
      <c r="G161" s="174" t="s">
        <v>1533</v>
      </c>
      <c r="H161" s="50" t="s">
        <v>103</v>
      </c>
      <c r="I161" s="105" t="s">
        <v>106</v>
      </c>
      <c r="J161" s="106" t="s">
        <v>175</v>
      </c>
      <c r="K161" s="106" t="s">
        <v>175</v>
      </c>
      <c r="L161" s="106" t="s">
        <v>175</v>
      </c>
      <c r="M161" s="84">
        <v>45230.0</v>
      </c>
      <c r="N161" s="84" t="str">
        <f t="shared" si="77"/>
        <v>2023</v>
      </c>
      <c r="O161" s="84">
        <v>45238.0</v>
      </c>
      <c r="P161" s="85" t="str">
        <f t="shared" si="78"/>
        <v>2023</v>
      </c>
      <c r="Q161" s="86">
        <f t="shared" si="79"/>
        <v>8</v>
      </c>
      <c r="R161" s="85">
        <f t="shared" si="80"/>
        <v>0</v>
      </c>
      <c r="S161" s="61"/>
      <c r="T161" s="87"/>
      <c r="U161" s="96">
        <v>0.0</v>
      </c>
      <c r="V161" s="61" t="s">
        <v>1521</v>
      </c>
      <c r="W161" s="61" t="s">
        <v>1535</v>
      </c>
      <c r="X161" s="61"/>
      <c r="Y161" s="50" t="s">
        <v>161</v>
      </c>
      <c r="Z161" s="50" t="s">
        <v>311</v>
      </c>
      <c r="AA161" s="50" t="s">
        <v>175</v>
      </c>
      <c r="AB161" s="50" t="s">
        <v>175</v>
      </c>
      <c r="AC161" s="65" t="s">
        <v>161</v>
      </c>
      <c r="AD161" s="66"/>
      <c r="AE161" s="108" t="s">
        <v>220</v>
      </c>
    </row>
    <row r="162">
      <c r="A162" s="31" t="s">
        <v>169</v>
      </c>
      <c r="B162" s="31" t="s">
        <v>19</v>
      </c>
      <c r="C162" s="32" t="s">
        <v>2264</v>
      </c>
      <c r="D162" s="113">
        <v>600436.0</v>
      </c>
      <c r="E162" s="31" t="s">
        <v>921</v>
      </c>
      <c r="F162" s="31" t="s">
        <v>2266</v>
      </c>
      <c r="G162" s="31" t="s">
        <v>2268</v>
      </c>
      <c r="H162" s="31" t="s">
        <v>103</v>
      </c>
      <c r="I162" s="35" t="s">
        <v>104</v>
      </c>
      <c r="J162" s="31" t="s">
        <v>146</v>
      </c>
      <c r="K162" s="31" t="s">
        <v>147</v>
      </c>
      <c r="L162" s="31" t="s">
        <v>2270</v>
      </c>
      <c r="M162" s="37">
        <v>45230.0</v>
      </c>
      <c r="N162" s="33">
        <v>2023.0</v>
      </c>
      <c r="O162" s="37">
        <v>46534.0</v>
      </c>
      <c r="P162" s="39">
        <v>2027.0</v>
      </c>
      <c r="Q162" s="40">
        <v>1304.0</v>
      </c>
      <c r="R162" s="39">
        <v>4.0</v>
      </c>
      <c r="S162" s="41"/>
      <c r="T162" s="33" t="s">
        <v>269</v>
      </c>
      <c r="U162" s="75">
        <v>2.0</v>
      </c>
      <c r="V162" s="41"/>
      <c r="W162" s="150" t="s">
        <v>2275</v>
      </c>
      <c r="X162" s="150" t="s">
        <v>2276</v>
      </c>
      <c r="Y162" s="31" t="s">
        <v>161</v>
      </c>
      <c r="Z162" s="101" t="s">
        <v>122</v>
      </c>
      <c r="AA162" s="31" t="s">
        <v>123</v>
      </c>
      <c r="AB162" s="31" t="s">
        <v>621</v>
      </c>
      <c r="AC162" s="46" t="s">
        <v>164</v>
      </c>
      <c r="AD162" s="77"/>
      <c r="AE162" s="99"/>
    </row>
    <row r="163">
      <c r="A163" s="61" t="s">
        <v>169</v>
      </c>
      <c r="B163" s="61" t="s">
        <v>67</v>
      </c>
      <c r="C163" s="82" t="s">
        <v>2286</v>
      </c>
      <c r="D163" s="137"/>
      <c r="E163" s="61" t="s">
        <v>2287</v>
      </c>
      <c r="F163" s="61" t="s">
        <v>2288</v>
      </c>
      <c r="G163" s="61" t="s">
        <v>2289</v>
      </c>
      <c r="H163" s="50" t="s">
        <v>103</v>
      </c>
      <c r="I163" s="97" t="s">
        <v>106</v>
      </c>
      <c r="J163" s="106" t="s">
        <v>175</v>
      </c>
      <c r="K163" s="106" t="s">
        <v>175</v>
      </c>
      <c r="L163" s="106" t="s">
        <v>175</v>
      </c>
      <c r="M163" s="84">
        <v>45230.0</v>
      </c>
      <c r="N163" s="84" t="str">
        <f t="shared" ref="N163:N164" si="81">right(M163,4)</f>
        <v>2023</v>
      </c>
      <c r="O163" s="84">
        <v>45240.0</v>
      </c>
      <c r="P163" s="95" t="str">
        <f t="shared" ref="P163:P164" si="82">right(O163,4)</f>
        <v>2023</v>
      </c>
      <c r="Q163" s="86">
        <f t="shared" ref="Q163:Q164" si="83">DATEDIF(M163,O163,"d")</f>
        <v>10</v>
      </c>
      <c r="R163" s="85">
        <f t="shared" ref="R163:R164" si="84">DATEDIF(M163,O163,"y")</f>
        <v>0</v>
      </c>
      <c r="S163" s="61"/>
      <c r="T163" s="87" t="s">
        <v>113</v>
      </c>
      <c r="U163" s="96">
        <v>0.0</v>
      </c>
      <c r="V163" s="61" t="s">
        <v>2293</v>
      </c>
      <c r="W163" s="61" t="s">
        <v>2294</v>
      </c>
      <c r="X163" s="61"/>
      <c r="Y163" s="50" t="s">
        <v>161</v>
      </c>
      <c r="Z163" s="80" t="s">
        <v>247</v>
      </c>
      <c r="AA163" s="50" t="s">
        <v>175</v>
      </c>
      <c r="AB163" s="50" t="s">
        <v>175</v>
      </c>
      <c r="AC163" s="65" t="s">
        <v>161</v>
      </c>
      <c r="AD163" s="97"/>
      <c r="AE163" s="108" t="s">
        <v>220</v>
      </c>
    </row>
    <row r="164">
      <c r="A164" s="41" t="s">
        <v>64</v>
      </c>
      <c r="B164" s="41" t="s">
        <v>67</v>
      </c>
      <c r="C164" s="68" t="s">
        <v>2297</v>
      </c>
      <c r="D164" s="110"/>
      <c r="E164" s="41" t="s">
        <v>1422</v>
      </c>
      <c r="F164" s="41" t="s">
        <v>1423</v>
      </c>
      <c r="G164" s="41" t="s">
        <v>1424</v>
      </c>
      <c r="H164" s="31" t="s">
        <v>84</v>
      </c>
      <c r="I164" s="77" t="s">
        <v>106</v>
      </c>
      <c r="J164" s="104" t="s">
        <v>175</v>
      </c>
      <c r="K164" s="104" t="s">
        <v>175</v>
      </c>
      <c r="L164" s="104" t="s">
        <v>175</v>
      </c>
      <c r="M164" s="70">
        <v>45232.0</v>
      </c>
      <c r="N164" s="70" t="str">
        <f t="shared" si="81"/>
        <v>2023</v>
      </c>
      <c r="O164" s="70">
        <v>45239.0</v>
      </c>
      <c r="P164" s="93" t="str">
        <f t="shared" si="82"/>
        <v>2023</v>
      </c>
      <c r="Q164" s="73">
        <f t="shared" si="83"/>
        <v>7</v>
      </c>
      <c r="R164" s="93">
        <f t="shared" si="84"/>
        <v>0</v>
      </c>
      <c r="S164" s="41"/>
      <c r="T164" s="74"/>
      <c r="U164" s="75">
        <v>0.0</v>
      </c>
      <c r="V164" s="41" t="s">
        <v>1428</v>
      </c>
      <c r="W164" s="154" t="s">
        <v>1426</v>
      </c>
      <c r="X164" s="41"/>
      <c r="Y164" s="31" t="s">
        <v>161</v>
      </c>
      <c r="Z164" s="31" t="s">
        <v>175</v>
      </c>
      <c r="AA164" s="31" t="s">
        <v>261</v>
      </c>
      <c r="AB164" s="31" t="s">
        <v>124</v>
      </c>
      <c r="AC164" s="46" t="s">
        <v>161</v>
      </c>
      <c r="AD164" s="47"/>
      <c r="AE164" s="78" t="s">
        <v>220</v>
      </c>
    </row>
    <row r="165">
      <c r="A165" s="50" t="s">
        <v>64</v>
      </c>
      <c r="B165" s="50" t="s">
        <v>67</v>
      </c>
      <c r="C165" s="52" t="s">
        <v>2300</v>
      </c>
      <c r="D165" s="54">
        <v>600186.0</v>
      </c>
      <c r="E165" s="50" t="s">
        <v>1041</v>
      </c>
      <c r="F165" s="50" t="s">
        <v>1526</v>
      </c>
      <c r="G165" s="159" t="s">
        <v>1527</v>
      </c>
      <c r="H165" s="50" t="s">
        <v>103</v>
      </c>
      <c r="I165" s="125" t="s">
        <v>708</v>
      </c>
      <c r="J165" s="125" t="s">
        <v>84</v>
      </c>
      <c r="K165" s="106" t="s">
        <v>2304</v>
      </c>
      <c r="L165" s="50" t="s">
        <v>105</v>
      </c>
      <c r="M165" s="57">
        <v>45233.0</v>
      </c>
      <c r="N165" s="54">
        <v>2023.0</v>
      </c>
      <c r="O165" s="57">
        <v>46127.0</v>
      </c>
      <c r="P165" s="59">
        <v>2026.0</v>
      </c>
      <c r="Q165" s="60">
        <v>894.0</v>
      </c>
      <c r="R165" s="59">
        <v>3.0</v>
      </c>
      <c r="S165" s="61"/>
      <c r="T165" s="87"/>
      <c r="U165" s="62">
        <v>1.0</v>
      </c>
      <c r="V165" s="50" t="s">
        <v>2305</v>
      </c>
      <c r="W165" s="159" t="s">
        <v>1529</v>
      </c>
      <c r="X165" s="159" t="s">
        <v>1529</v>
      </c>
      <c r="Y165" s="50" t="s">
        <v>161</v>
      </c>
      <c r="Z165" s="50" t="s">
        <v>261</v>
      </c>
      <c r="AA165" s="50" t="s">
        <v>123</v>
      </c>
      <c r="AB165" s="50" t="s">
        <v>124</v>
      </c>
      <c r="AC165" s="65" t="s">
        <v>128</v>
      </c>
      <c r="AD165" s="66"/>
      <c r="AE165" s="67"/>
    </row>
    <row r="166">
      <c r="A166" s="41" t="s">
        <v>64</v>
      </c>
      <c r="B166" s="41" t="s">
        <v>67</v>
      </c>
      <c r="C166" s="68" t="s">
        <v>2307</v>
      </c>
      <c r="D166" s="74">
        <v>600149.0</v>
      </c>
      <c r="E166" s="41" t="s">
        <v>1514</v>
      </c>
      <c r="F166" s="41" t="s">
        <v>1515</v>
      </c>
      <c r="G166" s="154" t="s">
        <v>1516</v>
      </c>
      <c r="H166" s="31" t="s">
        <v>103</v>
      </c>
      <c r="I166" s="31" t="s">
        <v>289</v>
      </c>
      <c r="J166" s="31" t="s">
        <v>289</v>
      </c>
      <c r="K166" s="41" t="s">
        <v>248</v>
      </c>
      <c r="L166" s="31" t="s">
        <v>289</v>
      </c>
      <c r="M166" s="70">
        <v>45236.0</v>
      </c>
      <c r="N166" s="70" t="str">
        <f t="shared" ref="N166:N173" si="85">right(M166,4)</f>
        <v>2023</v>
      </c>
      <c r="O166" s="70">
        <v>45603.0</v>
      </c>
      <c r="P166" s="93" t="str">
        <f t="shared" ref="P166:P173" si="86">right(O166,4)</f>
        <v>2024</v>
      </c>
      <c r="Q166" s="73">
        <f t="shared" ref="Q166:Q173" si="87">DATEDIF(M166,O166,"d")</f>
        <v>367</v>
      </c>
      <c r="R166" s="93">
        <f t="shared" ref="R166:R173" si="88">DATEDIF(M166,O166,"y")</f>
        <v>1</v>
      </c>
      <c r="S166" s="41"/>
      <c r="T166" s="74"/>
      <c r="U166" s="43">
        <v>0.0</v>
      </c>
      <c r="V166" s="31" t="s">
        <v>2316</v>
      </c>
      <c r="W166" s="41"/>
      <c r="X166" s="41"/>
      <c r="Y166" s="31" t="s">
        <v>161</v>
      </c>
      <c r="Z166" s="31" t="s">
        <v>311</v>
      </c>
      <c r="AA166" s="31" t="s">
        <v>289</v>
      </c>
      <c r="AB166" s="31" t="s">
        <v>124</v>
      </c>
      <c r="AC166" s="46" t="s">
        <v>337</v>
      </c>
      <c r="AD166" s="47"/>
      <c r="AE166" s="111"/>
    </row>
    <row r="167">
      <c r="A167" s="61" t="s">
        <v>64</v>
      </c>
      <c r="B167" s="61" t="s">
        <v>67</v>
      </c>
      <c r="C167" s="82" t="s">
        <v>2319</v>
      </c>
      <c r="D167" s="83"/>
      <c r="E167" s="61" t="s">
        <v>1438</v>
      </c>
      <c r="F167" s="61" t="s">
        <v>1439</v>
      </c>
      <c r="G167" s="61" t="s">
        <v>1441</v>
      </c>
      <c r="H167" s="61" t="s">
        <v>266</v>
      </c>
      <c r="I167" s="50" t="s">
        <v>289</v>
      </c>
      <c r="J167" s="50" t="s">
        <v>289</v>
      </c>
      <c r="K167" s="50" t="s">
        <v>236</v>
      </c>
      <c r="L167" s="50" t="s">
        <v>181</v>
      </c>
      <c r="M167" s="84">
        <v>45238.0</v>
      </c>
      <c r="N167" s="84" t="str">
        <f t="shared" si="85"/>
        <v>2023</v>
      </c>
      <c r="O167" s="84">
        <v>45337.0</v>
      </c>
      <c r="P167" s="85" t="str">
        <f t="shared" si="86"/>
        <v>2024</v>
      </c>
      <c r="Q167" s="86">
        <f t="shared" si="87"/>
        <v>99</v>
      </c>
      <c r="R167" s="85">
        <f t="shared" si="88"/>
        <v>0</v>
      </c>
      <c r="S167" s="61"/>
      <c r="T167" s="87"/>
      <c r="U167" s="62">
        <v>0.0</v>
      </c>
      <c r="V167" s="61" t="s">
        <v>1437</v>
      </c>
      <c r="W167" s="61" t="s">
        <v>1443</v>
      </c>
      <c r="X167" s="61"/>
      <c r="Y167" s="50" t="s">
        <v>161</v>
      </c>
      <c r="Z167" s="61" t="s">
        <v>259</v>
      </c>
      <c r="AA167" s="50" t="s">
        <v>289</v>
      </c>
      <c r="AB167" s="50" t="s">
        <v>124</v>
      </c>
      <c r="AC167" s="65" t="s">
        <v>161</v>
      </c>
      <c r="AD167" s="66"/>
      <c r="AE167" s="67"/>
    </row>
    <row r="168">
      <c r="A168" s="41" t="s">
        <v>169</v>
      </c>
      <c r="B168" s="41" t="s">
        <v>67</v>
      </c>
      <c r="C168" s="68" t="s">
        <v>2327</v>
      </c>
      <c r="D168" s="74">
        <v>600271.0</v>
      </c>
      <c r="E168" s="41" t="s">
        <v>2328</v>
      </c>
      <c r="F168" s="41" t="s">
        <v>2329</v>
      </c>
      <c r="G168" s="41" t="s">
        <v>2331</v>
      </c>
      <c r="H168" s="31" t="s">
        <v>103</v>
      </c>
      <c r="I168" s="31" t="s">
        <v>289</v>
      </c>
      <c r="J168" s="31" t="s">
        <v>289</v>
      </c>
      <c r="K168" s="31" t="s">
        <v>289</v>
      </c>
      <c r="L168" s="31" t="s">
        <v>289</v>
      </c>
      <c r="M168" s="70">
        <v>45238.0</v>
      </c>
      <c r="N168" s="70" t="str">
        <f t="shared" si="85"/>
        <v>2023</v>
      </c>
      <c r="O168" s="70">
        <v>45604.0</v>
      </c>
      <c r="P168" s="102" t="str">
        <f t="shared" si="86"/>
        <v>2024</v>
      </c>
      <c r="Q168" s="73">
        <f t="shared" si="87"/>
        <v>366</v>
      </c>
      <c r="R168" s="93">
        <f t="shared" si="88"/>
        <v>1</v>
      </c>
      <c r="S168" s="41"/>
      <c r="T168" s="74"/>
      <c r="U168" s="75">
        <v>0.0</v>
      </c>
      <c r="V168" s="41"/>
      <c r="W168" s="154" t="s">
        <v>2336</v>
      </c>
      <c r="X168" s="41"/>
      <c r="Y168" s="31" t="s">
        <v>161</v>
      </c>
      <c r="Z168" s="101" t="s">
        <v>247</v>
      </c>
      <c r="AA168" s="31" t="s">
        <v>261</v>
      </c>
      <c r="AB168" s="31" t="s">
        <v>213</v>
      </c>
      <c r="AC168" s="46" t="s">
        <v>337</v>
      </c>
      <c r="AD168" s="77"/>
      <c r="AE168" s="109"/>
    </row>
    <row r="169">
      <c r="A169" s="61" t="s">
        <v>169</v>
      </c>
      <c r="B169" s="61" t="s">
        <v>67</v>
      </c>
      <c r="C169" s="82" t="s">
        <v>2340</v>
      </c>
      <c r="D169" s="137"/>
      <c r="E169" s="61" t="s">
        <v>2341</v>
      </c>
      <c r="F169" s="61" t="s">
        <v>2342</v>
      </c>
      <c r="G169" s="61" t="s">
        <v>2343</v>
      </c>
      <c r="H169" s="50" t="s">
        <v>103</v>
      </c>
      <c r="I169" s="97" t="s">
        <v>106</v>
      </c>
      <c r="J169" s="106" t="s">
        <v>175</v>
      </c>
      <c r="K169" s="106" t="s">
        <v>175</v>
      </c>
      <c r="L169" s="106" t="s">
        <v>175</v>
      </c>
      <c r="M169" s="84">
        <v>45238.0</v>
      </c>
      <c r="N169" s="84" t="str">
        <f t="shared" si="85"/>
        <v>2023</v>
      </c>
      <c r="O169" s="84">
        <v>45250.0</v>
      </c>
      <c r="P169" s="95" t="str">
        <f t="shared" si="86"/>
        <v>2023</v>
      </c>
      <c r="Q169" s="86">
        <f t="shared" si="87"/>
        <v>12</v>
      </c>
      <c r="R169" s="85">
        <f t="shared" si="88"/>
        <v>0</v>
      </c>
      <c r="S169" s="61"/>
      <c r="T169" s="87"/>
      <c r="U169" s="96">
        <v>0.0</v>
      </c>
      <c r="V169" s="61" t="s">
        <v>1272</v>
      </c>
      <c r="W169" s="61" t="s">
        <v>2347</v>
      </c>
      <c r="X169" s="61"/>
      <c r="Y169" s="50" t="s">
        <v>161</v>
      </c>
      <c r="Z169" s="80" t="s">
        <v>247</v>
      </c>
      <c r="AA169" s="50" t="s">
        <v>261</v>
      </c>
      <c r="AB169" s="50" t="s">
        <v>175</v>
      </c>
      <c r="AC169" s="65" t="s">
        <v>161</v>
      </c>
      <c r="AD169" s="97"/>
      <c r="AE169" s="108" t="s">
        <v>220</v>
      </c>
    </row>
    <row r="170">
      <c r="A170" s="41" t="s">
        <v>169</v>
      </c>
      <c r="B170" s="41" t="s">
        <v>67</v>
      </c>
      <c r="C170" s="68" t="s">
        <v>2349</v>
      </c>
      <c r="D170" s="69">
        <v>600198.0</v>
      </c>
      <c r="E170" s="41" t="s">
        <v>2350</v>
      </c>
      <c r="F170" s="41" t="s">
        <v>2352</v>
      </c>
      <c r="G170" s="41" t="s">
        <v>2354</v>
      </c>
      <c r="H170" s="41" t="s">
        <v>266</v>
      </c>
      <c r="I170" s="31" t="s">
        <v>289</v>
      </c>
      <c r="J170" s="31" t="s">
        <v>289</v>
      </c>
      <c r="K170" s="31" t="s">
        <v>289</v>
      </c>
      <c r="L170" s="31" t="s">
        <v>289</v>
      </c>
      <c r="M170" s="70">
        <v>45243.0</v>
      </c>
      <c r="N170" s="70" t="str">
        <f t="shared" si="85"/>
        <v>2023</v>
      </c>
      <c r="O170" s="70">
        <v>45590.0</v>
      </c>
      <c r="P170" s="102" t="str">
        <f t="shared" si="86"/>
        <v>2024</v>
      </c>
      <c r="Q170" s="73">
        <f t="shared" si="87"/>
        <v>347</v>
      </c>
      <c r="R170" s="93">
        <f t="shared" si="88"/>
        <v>0</v>
      </c>
      <c r="S170" s="41"/>
      <c r="T170" s="74"/>
      <c r="U170" s="75">
        <v>0.0</v>
      </c>
      <c r="V170" s="41"/>
      <c r="W170" s="41" t="s">
        <v>2356</v>
      </c>
      <c r="X170" s="41"/>
      <c r="Y170" s="31" t="s">
        <v>161</v>
      </c>
      <c r="Z170" s="101" t="s">
        <v>247</v>
      </c>
      <c r="AA170" s="31" t="s">
        <v>261</v>
      </c>
      <c r="AB170" s="31" t="s">
        <v>1499</v>
      </c>
      <c r="AC170" s="46" t="s">
        <v>161</v>
      </c>
      <c r="AD170" s="77"/>
      <c r="AE170" s="99"/>
    </row>
    <row r="171">
      <c r="A171" s="61" t="s">
        <v>64</v>
      </c>
      <c r="B171" s="61" t="s">
        <v>67</v>
      </c>
      <c r="C171" s="52" t="s">
        <v>2360</v>
      </c>
      <c r="D171" s="84"/>
      <c r="E171" s="138" t="s">
        <v>2362</v>
      </c>
      <c r="F171" s="50" t="s">
        <v>289</v>
      </c>
      <c r="G171" s="50" t="s">
        <v>289</v>
      </c>
      <c r="H171" s="61" t="s">
        <v>84</v>
      </c>
      <c r="I171" s="50" t="s">
        <v>289</v>
      </c>
      <c r="J171" s="50" t="s">
        <v>289</v>
      </c>
      <c r="K171" s="61" t="s">
        <v>84</v>
      </c>
      <c r="L171" s="50" t="s">
        <v>181</v>
      </c>
      <c r="M171" s="84">
        <v>45244.0</v>
      </c>
      <c r="N171" s="84" t="str">
        <f t="shared" si="85"/>
        <v>2023</v>
      </c>
      <c r="O171" s="84">
        <v>45610.0</v>
      </c>
      <c r="P171" s="85" t="str">
        <f t="shared" si="86"/>
        <v>2024</v>
      </c>
      <c r="Q171" s="86">
        <f t="shared" si="87"/>
        <v>366</v>
      </c>
      <c r="R171" s="85">
        <f t="shared" si="88"/>
        <v>1</v>
      </c>
      <c r="S171" s="61"/>
      <c r="T171" s="87" t="s">
        <v>113</v>
      </c>
      <c r="U171" s="96">
        <v>0.0</v>
      </c>
      <c r="V171" s="50" t="s">
        <v>2365</v>
      </c>
      <c r="W171" s="61" t="s">
        <v>2367</v>
      </c>
      <c r="X171" s="61" t="s">
        <v>2367</v>
      </c>
      <c r="Y171" s="50" t="s">
        <v>161</v>
      </c>
      <c r="Z171" s="50" t="s">
        <v>211</v>
      </c>
      <c r="AA171" s="50" t="s">
        <v>261</v>
      </c>
      <c r="AB171" s="61" t="s">
        <v>1283</v>
      </c>
      <c r="AC171" s="65" t="s">
        <v>161</v>
      </c>
      <c r="AD171" s="66"/>
      <c r="AE171" s="81"/>
    </row>
    <row r="172">
      <c r="A172" s="41" t="s">
        <v>169</v>
      </c>
      <c r="B172" s="41" t="s">
        <v>67</v>
      </c>
      <c r="C172" s="68" t="s">
        <v>2371</v>
      </c>
      <c r="D172" s="148"/>
      <c r="E172" s="41" t="s">
        <v>2372</v>
      </c>
      <c r="F172" s="41" t="s">
        <v>2373</v>
      </c>
      <c r="G172" s="41" t="s">
        <v>2374</v>
      </c>
      <c r="H172" s="41" t="s">
        <v>266</v>
      </c>
      <c r="I172" s="31" t="s">
        <v>289</v>
      </c>
      <c r="J172" s="31" t="s">
        <v>289</v>
      </c>
      <c r="K172" s="31" t="s">
        <v>289</v>
      </c>
      <c r="L172" s="31" t="s">
        <v>289</v>
      </c>
      <c r="M172" s="70">
        <v>45250.0</v>
      </c>
      <c r="N172" s="70" t="str">
        <f t="shared" si="85"/>
        <v>2023</v>
      </c>
      <c r="O172" s="70">
        <v>45432.0</v>
      </c>
      <c r="P172" s="102" t="str">
        <f t="shared" si="86"/>
        <v>2024</v>
      </c>
      <c r="Q172" s="73">
        <f t="shared" si="87"/>
        <v>182</v>
      </c>
      <c r="R172" s="93">
        <f t="shared" si="88"/>
        <v>0</v>
      </c>
      <c r="S172" s="41"/>
      <c r="T172" s="74"/>
      <c r="U172" s="75">
        <v>0.0</v>
      </c>
      <c r="V172" s="41"/>
      <c r="W172" s="154" t="s">
        <v>2376</v>
      </c>
      <c r="X172" s="41"/>
      <c r="Y172" s="31" t="s">
        <v>161</v>
      </c>
      <c r="Z172" s="101" t="s">
        <v>247</v>
      </c>
      <c r="AA172" s="31" t="s">
        <v>261</v>
      </c>
      <c r="AB172" s="31" t="s">
        <v>289</v>
      </c>
      <c r="AC172" s="46" t="s">
        <v>337</v>
      </c>
      <c r="AD172" s="77"/>
      <c r="AE172" s="99"/>
    </row>
    <row r="173">
      <c r="A173" s="61" t="s">
        <v>169</v>
      </c>
      <c r="B173" s="61" t="s">
        <v>67</v>
      </c>
      <c r="C173" s="82" t="s">
        <v>2378</v>
      </c>
      <c r="D173" s="137"/>
      <c r="E173" s="61" t="s">
        <v>649</v>
      </c>
      <c r="F173" s="61" t="s">
        <v>2379</v>
      </c>
      <c r="G173" s="61" t="s">
        <v>2380</v>
      </c>
      <c r="H173" s="50" t="s">
        <v>103</v>
      </c>
      <c r="I173" s="138" t="s">
        <v>104</v>
      </c>
      <c r="J173" s="50" t="s">
        <v>289</v>
      </c>
      <c r="K173" s="50" t="s">
        <v>289</v>
      </c>
      <c r="L173" s="50" t="s">
        <v>289</v>
      </c>
      <c r="M173" s="84">
        <v>45250.0</v>
      </c>
      <c r="N173" s="84" t="str">
        <f t="shared" si="85"/>
        <v>2023</v>
      </c>
      <c r="O173" s="84">
        <v>45432.0</v>
      </c>
      <c r="P173" s="95" t="str">
        <f t="shared" si="86"/>
        <v>2024</v>
      </c>
      <c r="Q173" s="86">
        <f t="shared" si="87"/>
        <v>182</v>
      </c>
      <c r="R173" s="85">
        <f t="shared" si="88"/>
        <v>0</v>
      </c>
      <c r="S173" s="61"/>
      <c r="T173" s="87"/>
      <c r="U173" s="96">
        <v>0.0</v>
      </c>
      <c r="V173" s="97" t="s">
        <v>2384</v>
      </c>
      <c r="W173" s="61" t="s">
        <v>1749</v>
      </c>
      <c r="X173" s="61"/>
      <c r="Y173" s="50" t="s">
        <v>161</v>
      </c>
      <c r="Z173" s="80" t="s">
        <v>247</v>
      </c>
      <c r="AA173" s="50" t="s">
        <v>289</v>
      </c>
      <c r="AB173" s="50" t="s">
        <v>213</v>
      </c>
      <c r="AC173" s="65" t="s">
        <v>161</v>
      </c>
      <c r="AD173" s="50" t="s">
        <v>251</v>
      </c>
      <c r="AE173" s="81" t="s">
        <v>220</v>
      </c>
    </row>
    <row r="174">
      <c r="A174" s="31" t="s">
        <v>169</v>
      </c>
      <c r="B174" s="31" t="s">
        <v>67</v>
      </c>
      <c r="C174" s="32" t="s">
        <v>2387</v>
      </c>
      <c r="D174" s="35">
        <v>600030.0</v>
      </c>
      <c r="E174" s="31" t="s">
        <v>791</v>
      </c>
      <c r="F174" s="31" t="s">
        <v>2388</v>
      </c>
      <c r="G174" s="31" t="s">
        <v>2389</v>
      </c>
      <c r="H174" s="31" t="s">
        <v>232</v>
      </c>
      <c r="I174" s="46" t="s">
        <v>104</v>
      </c>
      <c r="J174" s="104" t="s">
        <v>84</v>
      </c>
      <c r="K174" s="104" t="s">
        <v>84</v>
      </c>
      <c r="L174" s="104" t="s">
        <v>25</v>
      </c>
      <c r="M174" s="37">
        <v>45250.0</v>
      </c>
      <c r="N174" s="33">
        <v>2023.0</v>
      </c>
      <c r="O174" s="37">
        <v>46203.0</v>
      </c>
      <c r="P174" s="39">
        <v>2026.0</v>
      </c>
      <c r="Q174" s="40">
        <v>953.0</v>
      </c>
      <c r="R174" s="39">
        <v>3.0</v>
      </c>
      <c r="S174" s="31" t="s">
        <v>1522</v>
      </c>
      <c r="T174" s="33" t="s">
        <v>269</v>
      </c>
      <c r="U174" s="75">
        <v>0.0</v>
      </c>
      <c r="V174" s="77"/>
      <c r="W174" s="31" t="s">
        <v>2393</v>
      </c>
      <c r="X174" s="41"/>
      <c r="Y174" s="31" t="s">
        <v>161</v>
      </c>
      <c r="Z174" s="101" t="s">
        <v>211</v>
      </c>
      <c r="AA174" s="31" t="s">
        <v>123</v>
      </c>
      <c r="AB174" s="153" t="s">
        <v>2291</v>
      </c>
      <c r="AC174" s="46" t="s">
        <v>161</v>
      </c>
      <c r="AD174" s="41"/>
      <c r="AE174" s="78"/>
    </row>
    <row r="175">
      <c r="A175" s="61" t="s">
        <v>64</v>
      </c>
      <c r="B175" s="61" t="s">
        <v>67</v>
      </c>
      <c r="C175" s="82" t="s">
        <v>2395</v>
      </c>
      <c r="D175" s="87">
        <v>600147.0</v>
      </c>
      <c r="E175" s="61" t="s">
        <v>1444</v>
      </c>
      <c r="F175" s="61" t="s">
        <v>1445</v>
      </c>
      <c r="G175" s="174" t="s">
        <v>1446</v>
      </c>
      <c r="H175" s="61" t="s">
        <v>266</v>
      </c>
      <c r="I175" s="50" t="s">
        <v>104</v>
      </c>
      <c r="J175" s="50" t="s">
        <v>289</v>
      </c>
      <c r="K175" s="50" t="s">
        <v>236</v>
      </c>
      <c r="L175" s="50" t="s">
        <v>181</v>
      </c>
      <c r="M175" s="84">
        <v>45251.0</v>
      </c>
      <c r="N175" s="84" t="str">
        <f t="shared" ref="N175:N176" si="89">right(M175,4)</f>
        <v>2023</v>
      </c>
      <c r="O175" s="84">
        <v>45657.0</v>
      </c>
      <c r="P175" s="85" t="str">
        <f t="shared" ref="P175:P176" si="90">right(O175,4)</f>
        <v>2024</v>
      </c>
      <c r="Q175" s="86">
        <f t="shared" ref="Q175:Q176" si="91">DATEDIF(M175,O175,"d")</f>
        <v>406</v>
      </c>
      <c r="R175" s="85">
        <f t="shared" ref="R175:R176" si="92">DATEDIF(M175,O175,"y")</f>
        <v>1</v>
      </c>
      <c r="S175" s="61"/>
      <c r="T175" s="87"/>
      <c r="U175" s="62">
        <v>0.0</v>
      </c>
      <c r="V175" s="61"/>
      <c r="W175" s="174" t="s">
        <v>1452</v>
      </c>
      <c r="X175" s="174" t="s">
        <v>1452</v>
      </c>
      <c r="Y175" s="50" t="s">
        <v>161</v>
      </c>
      <c r="Z175" s="50" t="s">
        <v>311</v>
      </c>
      <c r="AA175" s="50" t="s">
        <v>261</v>
      </c>
      <c r="AB175" s="50" t="s">
        <v>124</v>
      </c>
      <c r="AC175" s="65" t="s">
        <v>161</v>
      </c>
      <c r="AD175" s="66"/>
      <c r="AE175" s="108" t="s">
        <v>220</v>
      </c>
    </row>
    <row r="176">
      <c r="A176" s="41" t="s">
        <v>169</v>
      </c>
      <c r="B176" s="41" t="s">
        <v>67</v>
      </c>
      <c r="C176" s="68" t="s">
        <v>2401</v>
      </c>
      <c r="D176" s="148"/>
      <c r="E176" s="41" t="s">
        <v>2402</v>
      </c>
      <c r="F176" s="41" t="s">
        <v>2403</v>
      </c>
      <c r="G176" s="41" t="s">
        <v>2404</v>
      </c>
      <c r="H176" s="31" t="s">
        <v>84</v>
      </c>
      <c r="I176" s="77" t="s">
        <v>106</v>
      </c>
      <c r="J176" s="104" t="s">
        <v>175</v>
      </c>
      <c r="K176" s="104" t="s">
        <v>175</v>
      </c>
      <c r="L176" s="104" t="s">
        <v>175</v>
      </c>
      <c r="M176" s="70">
        <v>45254.0</v>
      </c>
      <c r="N176" s="70" t="str">
        <f t="shared" si="89"/>
        <v>2023</v>
      </c>
      <c r="O176" s="70">
        <v>45630.0</v>
      </c>
      <c r="P176" s="102" t="str">
        <f t="shared" si="90"/>
        <v>2024</v>
      </c>
      <c r="Q176" s="73">
        <f t="shared" si="91"/>
        <v>376</v>
      </c>
      <c r="R176" s="93">
        <f t="shared" si="92"/>
        <v>1</v>
      </c>
      <c r="S176" s="41"/>
      <c r="T176" s="74"/>
      <c r="U176" s="75">
        <v>0.0</v>
      </c>
      <c r="V176" s="77"/>
      <c r="W176" s="41" t="s">
        <v>2406</v>
      </c>
      <c r="X176" s="41"/>
      <c r="Y176" s="31" t="s">
        <v>161</v>
      </c>
      <c r="Z176" s="101" t="s">
        <v>247</v>
      </c>
      <c r="AA176" s="31" t="s">
        <v>175</v>
      </c>
      <c r="AB176" s="31" t="s">
        <v>175</v>
      </c>
      <c r="AC176" s="46" t="s">
        <v>161</v>
      </c>
      <c r="AD176" s="41"/>
      <c r="AE176" s="78" t="s">
        <v>220</v>
      </c>
    </row>
    <row r="177">
      <c r="A177" s="50" t="s">
        <v>64</v>
      </c>
      <c r="B177" s="50" t="s">
        <v>19</v>
      </c>
      <c r="C177" s="52" t="s">
        <v>2410</v>
      </c>
      <c r="D177" s="54">
        <v>600150.0</v>
      </c>
      <c r="E177" s="50" t="s">
        <v>1778</v>
      </c>
      <c r="F177" s="50" t="s">
        <v>1779</v>
      </c>
      <c r="G177" s="159" t="s">
        <v>1780</v>
      </c>
      <c r="H177" s="50" t="s">
        <v>103</v>
      </c>
      <c r="I177" s="56" t="s">
        <v>104</v>
      </c>
      <c r="J177" s="56" t="s">
        <v>146</v>
      </c>
      <c r="K177" s="50" t="s">
        <v>147</v>
      </c>
      <c r="L177" s="50" t="s">
        <v>181</v>
      </c>
      <c r="M177" s="57">
        <v>45258.0</v>
      </c>
      <c r="N177" s="54">
        <v>2023.0</v>
      </c>
      <c r="O177" s="57">
        <v>46371.0</v>
      </c>
      <c r="P177" s="59">
        <v>2026.0</v>
      </c>
      <c r="Q177" s="60">
        <v>1113.0</v>
      </c>
      <c r="R177" s="59">
        <v>4.0</v>
      </c>
      <c r="S177" s="61"/>
      <c r="T177" s="54" t="s">
        <v>113</v>
      </c>
      <c r="U177" s="62">
        <v>2.0</v>
      </c>
      <c r="V177" s="50" t="s">
        <v>2411</v>
      </c>
      <c r="W177" s="159" t="s">
        <v>1785</v>
      </c>
      <c r="X177" s="159" t="s">
        <v>1785</v>
      </c>
      <c r="Y177" s="50" t="s">
        <v>2413</v>
      </c>
      <c r="Z177" s="50" t="s">
        <v>122</v>
      </c>
      <c r="AA177" s="50" t="s">
        <v>123</v>
      </c>
      <c r="AB177" s="50" t="s">
        <v>124</v>
      </c>
      <c r="AC177" s="65" t="s">
        <v>276</v>
      </c>
      <c r="AD177" s="66"/>
      <c r="AE177" s="67"/>
    </row>
    <row r="178">
      <c r="A178" s="31" t="s">
        <v>64</v>
      </c>
      <c r="B178" s="31" t="s">
        <v>19</v>
      </c>
      <c r="C178" s="32" t="s">
        <v>2414</v>
      </c>
      <c r="D178" s="33">
        <v>600134.0</v>
      </c>
      <c r="E178" s="31" t="s">
        <v>1508</v>
      </c>
      <c r="F178" s="31" t="s">
        <v>1509</v>
      </c>
      <c r="G178" s="31" t="s">
        <v>1510</v>
      </c>
      <c r="H178" s="31" t="s">
        <v>232</v>
      </c>
      <c r="I178" s="100" t="s">
        <v>104</v>
      </c>
      <c r="J178" s="100" t="s">
        <v>233</v>
      </c>
      <c r="K178" s="31" t="s">
        <v>147</v>
      </c>
      <c r="L178" s="92" t="s">
        <v>181</v>
      </c>
      <c r="M178" s="37">
        <v>45259.0</v>
      </c>
      <c r="N178" s="33">
        <v>2023.0</v>
      </c>
      <c r="O178" s="37">
        <v>46387.0</v>
      </c>
      <c r="P178" s="39">
        <v>2026.0</v>
      </c>
      <c r="Q178" s="40">
        <v>1128.0</v>
      </c>
      <c r="R178" s="39">
        <v>4.0</v>
      </c>
      <c r="S178" s="41"/>
      <c r="T178" s="74"/>
      <c r="U178" s="43">
        <v>2.0</v>
      </c>
      <c r="V178" s="31" t="s">
        <v>1511</v>
      </c>
      <c r="W178" s="31" t="s">
        <v>1512</v>
      </c>
      <c r="X178" s="31" t="s">
        <v>2421</v>
      </c>
      <c r="Y178" s="31" t="s">
        <v>161</v>
      </c>
      <c r="Z178" s="31" t="s">
        <v>261</v>
      </c>
      <c r="AA178" s="31" t="s">
        <v>14</v>
      </c>
      <c r="AB178" s="31" t="s">
        <v>124</v>
      </c>
      <c r="AC178" s="46" t="s">
        <v>128</v>
      </c>
      <c r="AD178" s="47"/>
      <c r="AE178" s="49"/>
    </row>
    <row r="179">
      <c r="A179" s="50" t="s">
        <v>169</v>
      </c>
      <c r="B179" s="50" t="s">
        <v>19</v>
      </c>
      <c r="C179" s="52" t="s">
        <v>2424</v>
      </c>
      <c r="D179" s="79">
        <v>600164.0</v>
      </c>
      <c r="E179" s="50" t="s">
        <v>2425</v>
      </c>
      <c r="F179" s="50" t="s">
        <v>2426</v>
      </c>
      <c r="G179" s="50" t="s">
        <v>2427</v>
      </c>
      <c r="H179" s="50" t="s">
        <v>1421</v>
      </c>
      <c r="I179" s="65" t="s">
        <v>104</v>
      </c>
      <c r="J179" s="50" t="s">
        <v>146</v>
      </c>
      <c r="K179" s="50" t="s">
        <v>147</v>
      </c>
      <c r="L179" s="50" t="s">
        <v>25</v>
      </c>
      <c r="M179" s="57">
        <v>45260.0</v>
      </c>
      <c r="N179" s="54">
        <v>2023.0</v>
      </c>
      <c r="O179" s="57">
        <v>46350.0</v>
      </c>
      <c r="P179" s="59">
        <v>2026.0</v>
      </c>
      <c r="Q179" s="60">
        <v>1090.0</v>
      </c>
      <c r="R179" s="59">
        <v>3.0</v>
      </c>
      <c r="S179" s="191"/>
      <c r="T179" s="54" t="s">
        <v>269</v>
      </c>
      <c r="U179" s="96">
        <v>2.0</v>
      </c>
      <c r="V179" s="192"/>
      <c r="W179" s="50" t="s">
        <v>2434</v>
      </c>
      <c r="X179" s="50" t="s">
        <v>2434</v>
      </c>
      <c r="Y179" s="50" t="s">
        <v>161</v>
      </c>
      <c r="Z179" s="80" t="s">
        <v>210</v>
      </c>
      <c r="AA179" s="50" t="s">
        <v>123</v>
      </c>
      <c r="AB179" s="193" t="s">
        <v>975</v>
      </c>
      <c r="AC179" s="65" t="s">
        <v>128</v>
      </c>
      <c r="AD179" s="50"/>
      <c r="AE179" s="120"/>
    </row>
    <row r="180">
      <c r="A180" s="41" t="s">
        <v>64</v>
      </c>
      <c r="B180" s="41" t="s">
        <v>67</v>
      </c>
      <c r="C180" s="68" t="s">
        <v>2436</v>
      </c>
      <c r="D180" s="110"/>
      <c r="E180" s="41" t="s">
        <v>883</v>
      </c>
      <c r="F180" s="41" t="s">
        <v>1458</v>
      </c>
      <c r="G180" s="41" t="s">
        <v>1459</v>
      </c>
      <c r="H180" s="31" t="s">
        <v>103</v>
      </c>
      <c r="I180" s="31" t="s">
        <v>289</v>
      </c>
      <c r="J180" s="31" t="s">
        <v>289</v>
      </c>
      <c r="K180" s="31" t="s">
        <v>236</v>
      </c>
      <c r="L180" s="31" t="s">
        <v>289</v>
      </c>
      <c r="M180" s="70">
        <v>45261.0</v>
      </c>
      <c r="N180" s="70" t="str">
        <f>right(M180,4)</f>
        <v>2023</v>
      </c>
      <c r="O180" s="70">
        <v>45382.0</v>
      </c>
      <c r="P180" s="93" t="str">
        <f>right(O180,4)</f>
        <v>2024</v>
      </c>
      <c r="Q180" s="73">
        <f>DATEDIF(M180,O180,"d")</f>
        <v>121</v>
      </c>
      <c r="R180" s="93">
        <f>DATEDIF(M180,O180,"y")</f>
        <v>0</v>
      </c>
      <c r="S180" s="41"/>
      <c r="T180" s="74"/>
      <c r="U180" s="43">
        <v>0.0</v>
      </c>
      <c r="V180" s="41"/>
      <c r="W180" s="41" t="s">
        <v>1462</v>
      </c>
      <c r="X180" s="41"/>
      <c r="Y180" s="31" t="s">
        <v>161</v>
      </c>
      <c r="Z180" s="41" t="s">
        <v>162</v>
      </c>
      <c r="AA180" s="31" t="s">
        <v>14</v>
      </c>
      <c r="AB180" s="31" t="s">
        <v>124</v>
      </c>
      <c r="AC180" s="46" t="s">
        <v>161</v>
      </c>
      <c r="AD180" s="47"/>
      <c r="AE180" s="111"/>
    </row>
    <row r="181">
      <c r="A181" s="50" t="s">
        <v>169</v>
      </c>
      <c r="B181" s="50" t="s">
        <v>19</v>
      </c>
      <c r="C181" s="52" t="s">
        <v>2444</v>
      </c>
      <c r="D181" s="54">
        <v>600166.0</v>
      </c>
      <c r="E181" s="50" t="s">
        <v>2445</v>
      </c>
      <c r="F181" s="50" t="s">
        <v>2446</v>
      </c>
      <c r="G181" s="50" t="s">
        <v>2447</v>
      </c>
      <c r="H181" s="50" t="s">
        <v>232</v>
      </c>
      <c r="I181" s="125" t="s">
        <v>708</v>
      </c>
      <c r="J181" s="50" t="s">
        <v>146</v>
      </c>
      <c r="K181" s="50" t="s">
        <v>147</v>
      </c>
      <c r="L181" s="194" t="s">
        <v>181</v>
      </c>
      <c r="M181" s="57">
        <v>45261.0</v>
      </c>
      <c r="N181" s="54">
        <v>2023.0</v>
      </c>
      <c r="O181" s="57">
        <v>46326.0</v>
      </c>
      <c r="P181" s="59">
        <v>2026.0</v>
      </c>
      <c r="Q181" s="60">
        <v>1065.0</v>
      </c>
      <c r="R181" s="59">
        <v>3.0</v>
      </c>
      <c r="S181" s="50" t="s">
        <v>2450</v>
      </c>
      <c r="T181" s="54" t="s">
        <v>269</v>
      </c>
      <c r="U181" s="96">
        <v>2.0</v>
      </c>
      <c r="V181" s="65" t="s">
        <v>2451</v>
      </c>
      <c r="W181" s="50" t="s">
        <v>2453</v>
      </c>
      <c r="X181" s="50" t="s">
        <v>2453</v>
      </c>
      <c r="Y181" s="50" t="s">
        <v>161</v>
      </c>
      <c r="Z181" s="80" t="s">
        <v>210</v>
      </c>
      <c r="AA181" s="50" t="s">
        <v>14</v>
      </c>
      <c r="AB181" s="193" t="s">
        <v>975</v>
      </c>
      <c r="AC181" s="65" t="s">
        <v>276</v>
      </c>
      <c r="AD181" s="61"/>
      <c r="AE181" s="120"/>
    </row>
    <row r="182">
      <c r="A182" s="31" t="s">
        <v>64</v>
      </c>
      <c r="B182" s="31" t="s">
        <v>19</v>
      </c>
      <c r="C182" s="32" t="s">
        <v>2459</v>
      </c>
      <c r="D182" s="33">
        <v>600177.0</v>
      </c>
      <c r="E182" s="31" t="s">
        <v>1473</v>
      </c>
      <c r="F182" s="31" t="s">
        <v>1474</v>
      </c>
      <c r="G182" s="31" t="s">
        <v>1475</v>
      </c>
      <c r="H182" s="31" t="s">
        <v>103</v>
      </c>
      <c r="I182" s="35" t="s">
        <v>104</v>
      </c>
      <c r="J182" s="35" t="s">
        <v>146</v>
      </c>
      <c r="K182" s="31" t="s">
        <v>724</v>
      </c>
      <c r="L182" s="92" t="s">
        <v>181</v>
      </c>
      <c r="M182" s="37">
        <v>45264.0</v>
      </c>
      <c r="N182" s="33">
        <v>2023.0</v>
      </c>
      <c r="O182" s="37">
        <v>46356.0</v>
      </c>
      <c r="P182" s="40">
        <v>2026.0</v>
      </c>
      <c r="Q182" s="40">
        <v>1092.0</v>
      </c>
      <c r="R182" s="40">
        <v>3.0</v>
      </c>
      <c r="S182" s="31" t="s">
        <v>2460</v>
      </c>
      <c r="T182" s="33" t="s">
        <v>269</v>
      </c>
      <c r="U182" s="43">
        <v>2.0</v>
      </c>
      <c r="V182" s="31" t="s">
        <v>2462</v>
      </c>
      <c r="W182" s="31" t="s">
        <v>1480</v>
      </c>
      <c r="X182" s="31" t="s">
        <v>2463</v>
      </c>
      <c r="Y182" s="31" t="s">
        <v>1478</v>
      </c>
      <c r="Z182" s="31" t="s">
        <v>210</v>
      </c>
      <c r="AA182" s="31" t="s">
        <v>14</v>
      </c>
      <c r="AB182" s="31" t="s">
        <v>876</v>
      </c>
      <c r="AC182" s="46" t="s">
        <v>128</v>
      </c>
      <c r="AD182" s="47"/>
      <c r="AE182" s="49"/>
    </row>
    <row r="183">
      <c r="A183" s="50" t="s">
        <v>169</v>
      </c>
      <c r="B183" s="50" t="s">
        <v>19</v>
      </c>
      <c r="C183" s="52" t="s">
        <v>2467</v>
      </c>
      <c r="D183" s="54">
        <v>600194.0</v>
      </c>
      <c r="E183" s="50" t="s">
        <v>303</v>
      </c>
      <c r="F183" s="50" t="s">
        <v>1486</v>
      </c>
      <c r="G183" s="50" t="s">
        <v>1487</v>
      </c>
      <c r="H183" s="50" t="s">
        <v>232</v>
      </c>
      <c r="I183" s="56" t="s">
        <v>104</v>
      </c>
      <c r="J183" s="56" t="s">
        <v>146</v>
      </c>
      <c r="K183" s="50" t="s">
        <v>84</v>
      </c>
      <c r="L183" s="50" t="s">
        <v>105</v>
      </c>
      <c r="M183" s="57">
        <v>45265.0</v>
      </c>
      <c r="N183" s="54">
        <v>2023.0</v>
      </c>
      <c r="O183" s="57">
        <v>46518.0</v>
      </c>
      <c r="P183" s="60">
        <v>2027.0</v>
      </c>
      <c r="Q183" s="60">
        <v>1253.0</v>
      </c>
      <c r="R183" s="60">
        <v>4.0</v>
      </c>
      <c r="S183" s="61"/>
      <c r="T183" s="54" t="s">
        <v>269</v>
      </c>
      <c r="U183" s="62">
        <v>3.0</v>
      </c>
      <c r="V183" s="50" t="s">
        <v>1489</v>
      </c>
      <c r="W183" s="50" t="s">
        <v>1490</v>
      </c>
      <c r="X183" s="50" t="s">
        <v>1490</v>
      </c>
      <c r="Y183" s="50" t="s">
        <v>161</v>
      </c>
      <c r="Z183" s="50" t="s">
        <v>210</v>
      </c>
      <c r="AA183" s="50" t="s">
        <v>14</v>
      </c>
      <c r="AB183" s="50" t="s">
        <v>621</v>
      </c>
      <c r="AC183" s="65" t="s">
        <v>276</v>
      </c>
      <c r="AD183" s="65" t="s">
        <v>295</v>
      </c>
      <c r="AE183" s="120"/>
    </row>
    <row r="184">
      <c r="A184" s="41" t="s">
        <v>169</v>
      </c>
      <c r="B184" s="41" t="s">
        <v>67</v>
      </c>
      <c r="C184" s="68" t="s">
        <v>2473</v>
      </c>
      <c r="D184" s="69">
        <v>600195.0</v>
      </c>
      <c r="E184" s="41" t="s">
        <v>2474</v>
      </c>
      <c r="F184" s="41" t="s">
        <v>2475</v>
      </c>
      <c r="G184" s="41" t="s">
        <v>2476</v>
      </c>
      <c r="H184" s="31" t="s">
        <v>103</v>
      </c>
      <c r="I184" s="31" t="s">
        <v>289</v>
      </c>
      <c r="J184" s="31" t="s">
        <v>289</v>
      </c>
      <c r="K184" s="31" t="s">
        <v>289</v>
      </c>
      <c r="L184" s="31" t="s">
        <v>289</v>
      </c>
      <c r="M184" s="70">
        <v>45265.0</v>
      </c>
      <c r="N184" s="70" t="str">
        <f>right(M184,4)</f>
        <v>2023</v>
      </c>
      <c r="O184" s="70">
        <v>45631.0</v>
      </c>
      <c r="P184" s="102" t="str">
        <f>right(O184,4)</f>
        <v>2024</v>
      </c>
      <c r="Q184" s="73">
        <f>DATEDIF(M184,O184,"d")</f>
        <v>366</v>
      </c>
      <c r="R184" s="93">
        <f>DATEDIF(M184,O184,"y")</f>
        <v>1</v>
      </c>
      <c r="S184" s="115"/>
      <c r="T184" s="74"/>
      <c r="U184" s="75">
        <v>0.0</v>
      </c>
      <c r="V184" s="116"/>
      <c r="W184" s="41" t="s">
        <v>2481</v>
      </c>
      <c r="X184" s="115"/>
      <c r="Y184" s="31" t="s">
        <v>161</v>
      </c>
      <c r="Z184" s="101" t="s">
        <v>247</v>
      </c>
      <c r="AA184" s="31" t="s">
        <v>261</v>
      </c>
      <c r="AB184" s="104" t="s">
        <v>442</v>
      </c>
      <c r="AC184" s="46" t="s">
        <v>337</v>
      </c>
      <c r="AD184" s="41"/>
      <c r="AE184" s="99"/>
    </row>
    <row r="185">
      <c r="A185" s="50" t="s">
        <v>64</v>
      </c>
      <c r="B185" s="50" t="s">
        <v>19</v>
      </c>
      <c r="C185" s="52" t="s">
        <v>2484</v>
      </c>
      <c r="D185" s="54">
        <v>600232.0</v>
      </c>
      <c r="E185" s="50" t="s">
        <v>1894</v>
      </c>
      <c r="F185" s="50" t="s">
        <v>1895</v>
      </c>
      <c r="G185" s="50" t="s">
        <v>1897</v>
      </c>
      <c r="H185" s="50" t="s">
        <v>232</v>
      </c>
      <c r="I185" s="56" t="s">
        <v>104</v>
      </c>
      <c r="J185" s="50" t="s">
        <v>84</v>
      </c>
      <c r="K185" s="50" t="s">
        <v>84</v>
      </c>
      <c r="L185" s="50" t="s">
        <v>155</v>
      </c>
      <c r="M185" s="57">
        <v>45266.0</v>
      </c>
      <c r="N185" s="54">
        <v>2023.0</v>
      </c>
      <c r="O185" s="57">
        <v>46332.0</v>
      </c>
      <c r="P185" s="59">
        <v>2026.0</v>
      </c>
      <c r="Q185" s="60">
        <v>1066.0</v>
      </c>
      <c r="R185" s="59">
        <v>3.0</v>
      </c>
      <c r="S185" s="61"/>
      <c r="T185" s="54" t="s">
        <v>269</v>
      </c>
      <c r="U185" s="62">
        <v>2.0</v>
      </c>
      <c r="V185" s="50" t="s">
        <v>2487</v>
      </c>
      <c r="W185" s="50" t="s">
        <v>2488</v>
      </c>
      <c r="X185" s="50" t="s">
        <v>2488</v>
      </c>
      <c r="Y185" s="50" t="s">
        <v>161</v>
      </c>
      <c r="Z185" s="50" t="s">
        <v>122</v>
      </c>
      <c r="AA185" s="50" t="s">
        <v>14</v>
      </c>
      <c r="AB185" s="50" t="s">
        <v>124</v>
      </c>
      <c r="AC185" s="65" t="s">
        <v>337</v>
      </c>
      <c r="AD185" s="66"/>
      <c r="AE185" s="67"/>
    </row>
    <row r="186">
      <c r="A186" s="41" t="s">
        <v>64</v>
      </c>
      <c r="B186" s="41" t="s">
        <v>67</v>
      </c>
      <c r="C186" s="68" t="s">
        <v>2491</v>
      </c>
      <c r="D186" s="74">
        <v>600223.0</v>
      </c>
      <c r="E186" s="41" t="s">
        <v>1578</v>
      </c>
      <c r="F186" s="41" t="s">
        <v>1579</v>
      </c>
      <c r="G186" s="41" t="s">
        <v>1580</v>
      </c>
      <c r="H186" s="31" t="s">
        <v>103</v>
      </c>
      <c r="I186" s="31" t="s">
        <v>289</v>
      </c>
      <c r="J186" s="31" t="s">
        <v>289</v>
      </c>
      <c r="K186" s="41" t="s">
        <v>248</v>
      </c>
      <c r="L186" s="31" t="s">
        <v>289</v>
      </c>
      <c r="M186" s="70">
        <v>45267.0</v>
      </c>
      <c r="N186" s="70" t="str">
        <f t="shared" ref="N186:N188" si="93">right(M186,4)</f>
        <v>2023</v>
      </c>
      <c r="O186" s="70">
        <v>45545.0</v>
      </c>
      <c r="P186" s="93" t="str">
        <f t="shared" ref="P186:P188" si="94">right(O186,4)</f>
        <v>2024</v>
      </c>
      <c r="Q186" s="73">
        <f t="shared" ref="Q186:Q188" si="95">DATEDIF(M186,O186,"d")</f>
        <v>278</v>
      </c>
      <c r="R186" s="93">
        <f t="shared" ref="R186:R188" si="96">DATEDIF(M186,O186,"y")</f>
        <v>0</v>
      </c>
      <c r="S186" s="41"/>
      <c r="T186" s="74"/>
      <c r="U186" s="43">
        <v>1.0</v>
      </c>
      <c r="V186" s="31" t="s">
        <v>2495</v>
      </c>
      <c r="W186" s="154" t="s">
        <v>1593</v>
      </c>
      <c r="X186" s="41"/>
      <c r="Y186" s="31" t="s">
        <v>161</v>
      </c>
      <c r="Z186" s="31" t="s">
        <v>311</v>
      </c>
      <c r="AA186" s="31" t="s">
        <v>261</v>
      </c>
      <c r="AB186" s="31" t="s">
        <v>124</v>
      </c>
      <c r="AC186" s="46" t="s">
        <v>337</v>
      </c>
      <c r="AD186" s="47"/>
      <c r="AE186" s="111"/>
    </row>
    <row r="187">
      <c r="A187" s="61" t="s">
        <v>64</v>
      </c>
      <c r="B187" s="61" t="s">
        <v>67</v>
      </c>
      <c r="C187" s="82" t="s">
        <v>2501</v>
      </c>
      <c r="D187" s="83"/>
      <c r="E187" s="61" t="s">
        <v>1791</v>
      </c>
      <c r="F187" s="61" t="s">
        <v>1792</v>
      </c>
      <c r="G187" s="61" t="s">
        <v>1793</v>
      </c>
      <c r="H187" s="50" t="s">
        <v>84</v>
      </c>
      <c r="I187" s="97" t="s">
        <v>106</v>
      </c>
      <c r="J187" s="138" t="s">
        <v>84</v>
      </c>
      <c r="K187" s="61" t="s">
        <v>84</v>
      </c>
      <c r="L187" s="106" t="s">
        <v>175</v>
      </c>
      <c r="M187" s="84">
        <v>45268.0</v>
      </c>
      <c r="N187" s="84" t="str">
        <f t="shared" si="93"/>
        <v>2023</v>
      </c>
      <c r="O187" s="84">
        <v>45657.0</v>
      </c>
      <c r="P187" s="85" t="str">
        <f t="shared" si="94"/>
        <v>2024</v>
      </c>
      <c r="Q187" s="86">
        <f t="shared" si="95"/>
        <v>389</v>
      </c>
      <c r="R187" s="85">
        <f t="shared" si="96"/>
        <v>1</v>
      </c>
      <c r="S187" s="61"/>
      <c r="T187" s="87" t="s">
        <v>113</v>
      </c>
      <c r="U187" s="96">
        <v>0.0</v>
      </c>
      <c r="V187" s="61"/>
      <c r="W187" s="61" t="s">
        <v>1799</v>
      </c>
      <c r="X187" s="61"/>
      <c r="Y187" s="50" t="s">
        <v>161</v>
      </c>
      <c r="Z187" s="50" t="s">
        <v>122</v>
      </c>
      <c r="AA187" s="50" t="s">
        <v>175</v>
      </c>
      <c r="AB187" s="50" t="s">
        <v>768</v>
      </c>
      <c r="AC187" s="65" t="s">
        <v>161</v>
      </c>
      <c r="AD187" s="65" t="s">
        <v>2509</v>
      </c>
      <c r="AE187" s="108" t="s">
        <v>220</v>
      </c>
    </row>
    <row r="188">
      <c r="A188" s="41" t="s">
        <v>64</v>
      </c>
      <c r="B188" s="41" t="s">
        <v>67</v>
      </c>
      <c r="C188" s="32" t="s">
        <v>2513</v>
      </c>
      <c r="D188" s="33">
        <v>600224.0</v>
      </c>
      <c r="E188" s="91" t="s">
        <v>369</v>
      </c>
      <c r="F188" s="41" t="s">
        <v>1806</v>
      </c>
      <c r="G188" s="41" t="s">
        <v>1808</v>
      </c>
      <c r="H188" s="41" t="s">
        <v>84</v>
      </c>
      <c r="I188" s="35" t="s">
        <v>104</v>
      </c>
      <c r="J188" s="31" t="s">
        <v>146</v>
      </c>
      <c r="K188" s="41" t="s">
        <v>84</v>
      </c>
      <c r="L188" s="31" t="s">
        <v>484</v>
      </c>
      <c r="M188" s="70">
        <v>45268.0</v>
      </c>
      <c r="N188" s="70" t="str">
        <f t="shared" si="93"/>
        <v>2023</v>
      </c>
      <c r="O188" s="70">
        <v>45839.0</v>
      </c>
      <c r="P188" s="93" t="str">
        <f t="shared" si="94"/>
        <v>2025</v>
      </c>
      <c r="Q188" s="73">
        <f t="shared" si="95"/>
        <v>571</v>
      </c>
      <c r="R188" s="93">
        <f t="shared" si="96"/>
        <v>1</v>
      </c>
      <c r="S188" s="41"/>
      <c r="T188" s="74" t="s">
        <v>113</v>
      </c>
      <c r="U188" s="43">
        <v>0.0</v>
      </c>
      <c r="V188" s="41"/>
      <c r="W188" s="41" t="s">
        <v>1810</v>
      </c>
      <c r="X188" s="41" t="s">
        <v>1811</v>
      </c>
      <c r="Y188" s="31" t="s">
        <v>161</v>
      </c>
      <c r="Z188" s="31" t="s">
        <v>122</v>
      </c>
      <c r="AA188" s="31" t="s">
        <v>261</v>
      </c>
      <c r="AB188" s="31" t="s">
        <v>124</v>
      </c>
      <c r="AC188" s="46" t="s">
        <v>337</v>
      </c>
      <c r="AD188" s="47"/>
      <c r="AE188" s="49"/>
    </row>
    <row r="189">
      <c r="A189" s="50" t="s">
        <v>169</v>
      </c>
      <c r="B189" s="50" t="s">
        <v>19</v>
      </c>
      <c r="C189" s="52" t="s">
        <v>2521</v>
      </c>
      <c r="D189" s="79">
        <v>600225.0</v>
      </c>
      <c r="E189" s="50" t="s">
        <v>2522</v>
      </c>
      <c r="F189" s="50" t="s">
        <v>2523</v>
      </c>
      <c r="G189" s="50" t="s">
        <v>2524</v>
      </c>
      <c r="H189" s="50" t="s">
        <v>103</v>
      </c>
      <c r="I189" s="56" t="s">
        <v>708</v>
      </c>
      <c r="J189" s="56" t="s">
        <v>146</v>
      </c>
      <c r="K189" s="56" t="s">
        <v>248</v>
      </c>
      <c r="L189" s="112" t="s">
        <v>181</v>
      </c>
      <c r="M189" s="57">
        <v>45271.0</v>
      </c>
      <c r="N189" s="54">
        <v>2023.0</v>
      </c>
      <c r="O189" s="57">
        <v>46361.0</v>
      </c>
      <c r="P189" s="59">
        <v>2026.0</v>
      </c>
      <c r="Q189" s="60">
        <v>1090.0</v>
      </c>
      <c r="R189" s="59">
        <v>3.0</v>
      </c>
      <c r="S189" s="61"/>
      <c r="T189" s="54" t="s">
        <v>113</v>
      </c>
      <c r="U189" s="96">
        <v>2.0</v>
      </c>
      <c r="V189" s="97"/>
      <c r="W189" s="50" t="s">
        <v>2530</v>
      </c>
      <c r="X189" s="50" t="s">
        <v>2530</v>
      </c>
      <c r="Y189" s="50" t="s">
        <v>2418</v>
      </c>
      <c r="Z189" s="50" t="s">
        <v>122</v>
      </c>
      <c r="AA189" s="50" t="s">
        <v>14</v>
      </c>
      <c r="AB189" s="193" t="s">
        <v>489</v>
      </c>
      <c r="AC189" s="65" t="s">
        <v>276</v>
      </c>
      <c r="AD189" s="61"/>
      <c r="AE189" s="120"/>
    </row>
    <row r="190">
      <c r="A190" s="41" t="s">
        <v>169</v>
      </c>
      <c r="B190" s="41" t="s">
        <v>67</v>
      </c>
      <c r="C190" s="68" t="s">
        <v>2535</v>
      </c>
      <c r="D190" s="69">
        <v>600229.0</v>
      </c>
      <c r="E190" s="41" t="s">
        <v>657</v>
      </c>
      <c r="F190" s="41" t="s">
        <v>2537</v>
      </c>
      <c r="G190" s="41" t="s">
        <v>2539</v>
      </c>
      <c r="H190" s="41" t="s">
        <v>84</v>
      </c>
      <c r="I190" s="35" t="s">
        <v>104</v>
      </c>
      <c r="J190" s="31" t="s">
        <v>289</v>
      </c>
      <c r="K190" s="31" t="s">
        <v>289</v>
      </c>
      <c r="L190" s="31" t="s">
        <v>289</v>
      </c>
      <c r="M190" s="70">
        <v>45272.0</v>
      </c>
      <c r="N190" s="70" t="str">
        <f t="shared" ref="N190:N193" si="97">right(M190,4)</f>
        <v>2023</v>
      </c>
      <c r="O190" s="70">
        <v>45638.0</v>
      </c>
      <c r="P190" s="102" t="str">
        <f t="shared" ref="P190:P193" si="98">right(O190,4)</f>
        <v>2024</v>
      </c>
      <c r="Q190" s="73">
        <f t="shared" ref="Q190:Q193" si="99">DATEDIF(M190,O190,"d")</f>
        <v>366</v>
      </c>
      <c r="R190" s="93">
        <f t="shared" ref="R190:R193" si="100">DATEDIF(M190,O190,"y")</f>
        <v>1</v>
      </c>
      <c r="S190" s="41"/>
      <c r="T190" s="74"/>
      <c r="U190" s="75">
        <v>0.0</v>
      </c>
      <c r="V190" s="77"/>
      <c r="W190" s="41" t="s">
        <v>2544</v>
      </c>
      <c r="X190" s="41"/>
      <c r="Y190" s="31" t="s">
        <v>161</v>
      </c>
      <c r="Z190" s="101" t="s">
        <v>247</v>
      </c>
      <c r="AA190" s="31" t="s">
        <v>289</v>
      </c>
      <c r="AB190" s="31" t="s">
        <v>249</v>
      </c>
      <c r="AC190" s="46" t="s">
        <v>164</v>
      </c>
      <c r="AD190" s="31" t="s">
        <v>251</v>
      </c>
      <c r="AE190" s="111" t="s">
        <v>220</v>
      </c>
    </row>
    <row r="191">
      <c r="A191" s="61" t="s">
        <v>169</v>
      </c>
      <c r="B191" s="61" t="s">
        <v>67</v>
      </c>
      <c r="C191" s="82" t="s">
        <v>2550</v>
      </c>
      <c r="D191" s="94">
        <v>600231.0</v>
      </c>
      <c r="E191" s="61" t="s">
        <v>2551</v>
      </c>
      <c r="F191" s="61" t="s">
        <v>2552</v>
      </c>
      <c r="G191" s="61" t="s">
        <v>2553</v>
      </c>
      <c r="H191" s="50" t="s">
        <v>103</v>
      </c>
      <c r="I191" s="50" t="s">
        <v>289</v>
      </c>
      <c r="J191" s="50" t="s">
        <v>289</v>
      </c>
      <c r="K191" s="50" t="s">
        <v>289</v>
      </c>
      <c r="L191" s="50" t="s">
        <v>289</v>
      </c>
      <c r="M191" s="84">
        <v>45274.0</v>
      </c>
      <c r="N191" s="84" t="str">
        <f t="shared" si="97"/>
        <v>2023</v>
      </c>
      <c r="O191" s="84">
        <v>45458.0</v>
      </c>
      <c r="P191" s="95" t="str">
        <f t="shared" si="98"/>
        <v>2024</v>
      </c>
      <c r="Q191" s="86">
        <f t="shared" si="99"/>
        <v>184</v>
      </c>
      <c r="R191" s="85">
        <f t="shared" si="100"/>
        <v>0</v>
      </c>
      <c r="S191" s="191"/>
      <c r="T191" s="87"/>
      <c r="U191" s="96">
        <v>0.0</v>
      </c>
      <c r="V191" s="192"/>
      <c r="W191" s="61" t="s">
        <v>2561</v>
      </c>
      <c r="X191" s="191"/>
      <c r="Y191" s="50" t="s">
        <v>161</v>
      </c>
      <c r="Z191" s="80" t="s">
        <v>247</v>
      </c>
      <c r="AA191" s="50" t="s">
        <v>289</v>
      </c>
      <c r="AB191" s="50" t="s">
        <v>1499</v>
      </c>
      <c r="AC191" s="65" t="s">
        <v>337</v>
      </c>
      <c r="AD191" s="61"/>
      <c r="AE191" s="120"/>
    </row>
    <row r="192">
      <c r="A192" s="41" t="s">
        <v>169</v>
      </c>
      <c r="B192" s="41" t="s">
        <v>67</v>
      </c>
      <c r="C192" s="68" t="s">
        <v>2563</v>
      </c>
      <c r="D192" s="69">
        <v>600246.0</v>
      </c>
      <c r="E192" s="41" t="s">
        <v>2564</v>
      </c>
      <c r="F192" s="41" t="s">
        <v>2565</v>
      </c>
      <c r="G192" s="41" t="s">
        <v>2566</v>
      </c>
      <c r="H192" s="31" t="s">
        <v>103</v>
      </c>
      <c r="I192" s="31" t="s">
        <v>289</v>
      </c>
      <c r="J192" s="31" t="s">
        <v>289</v>
      </c>
      <c r="K192" s="31" t="s">
        <v>289</v>
      </c>
      <c r="L192" s="31" t="s">
        <v>289</v>
      </c>
      <c r="M192" s="70">
        <v>45279.0</v>
      </c>
      <c r="N192" s="70" t="str">
        <f t="shared" si="97"/>
        <v>2023</v>
      </c>
      <c r="O192" s="70">
        <v>45645.0</v>
      </c>
      <c r="P192" s="102" t="str">
        <f t="shared" si="98"/>
        <v>2024</v>
      </c>
      <c r="Q192" s="73">
        <f t="shared" si="99"/>
        <v>366</v>
      </c>
      <c r="R192" s="93">
        <f t="shared" si="100"/>
        <v>1</v>
      </c>
      <c r="S192" s="41"/>
      <c r="T192" s="74"/>
      <c r="U192" s="75">
        <v>0.0</v>
      </c>
      <c r="V192" s="77"/>
      <c r="W192" s="154" t="s">
        <v>2571</v>
      </c>
      <c r="X192" s="41"/>
      <c r="Y192" s="31" t="s">
        <v>161</v>
      </c>
      <c r="Z192" s="101" t="s">
        <v>247</v>
      </c>
      <c r="AA192" s="31" t="s">
        <v>261</v>
      </c>
      <c r="AB192" s="41" t="s">
        <v>1666</v>
      </c>
      <c r="AC192" s="46" t="s">
        <v>161</v>
      </c>
      <c r="AD192" s="41"/>
      <c r="AE192" s="99"/>
    </row>
    <row r="193">
      <c r="A193" s="61" t="s">
        <v>64</v>
      </c>
      <c r="B193" s="50" t="s">
        <v>67</v>
      </c>
      <c r="C193" s="82" t="s">
        <v>2573</v>
      </c>
      <c r="D193" s="87">
        <v>600236.0</v>
      </c>
      <c r="E193" s="61" t="s">
        <v>1814</v>
      </c>
      <c r="F193" s="61" t="s">
        <v>1815</v>
      </c>
      <c r="G193" s="61" t="s">
        <v>1816</v>
      </c>
      <c r="H193" s="50" t="s">
        <v>103</v>
      </c>
      <c r="I193" s="56" t="s">
        <v>708</v>
      </c>
      <c r="J193" s="50" t="s">
        <v>146</v>
      </c>
      <c r="K193" s="50" t="s">
        <v>236</v>
      </c>
      <c r="L193" s="50" t="s">
        <v>181</v>
      </c>
      <c r="M193" s="84">
        <v>45280.0</v>
      </c>
      <c r="N193" s="84" t="str">
        <f t="shared" si="97"/>
        <v>2023</v>
      </c>
      <c r="O193" s="84">
        <v>46022.0</v>
      </c>
      <c r="P193" s="85" t="str">
        <f t="shared" si="98"/>
        <v>2025</v>
      </c>
      <c r="Q193" s="86">
        <f t="shared" si="99"/>
        <v>742</v>
      </c>
      <c r="R193" s="85">
        <f t="shared" si="100"/>
        <v>2</v>
      </c>
      <c r="S193" s="61"/>
      <c r="T193" s="54" t="s">
        <v>113</v>
      </c>
      <c r="U193" s="62">
        <v>1.0</v>
      </c>
      <c r="V193" s="50" t="s">
        <v>2579</v>
      </c>
      <c r="W193" s="61" t="s">
        <v>1822</v>
      </c>
      <c r="X193" s="61" t="s">
        <v>1823</v>
      </c>
      <c r="Y193" s="50" t="s">
        <v>2103</v>
      </c>
      <c r="Z193" s="50" t="s">
        <v>122</v>
      </c>
      <c r="AA193" s="50" t="s">
        <v>123</v>
      </c>
      <c r="AB193" s="50" t="s">
        <v>124</v>
      </c>
      <c r="AC193" s="65" t="s">
        <v>276</v>
      </c>
      <c r="AD193" s="66"/>
      <c r="AE193" s="67"/>
    </row>
    <row r="194">
      <c r="A194" s="31" t="s">
        <v>169</v>
      </c>
      <c r="B194" s="31" t="s">
        <v>19</v>
      </c>
      <c r="C194" s="32" t="s">
        <v>2580</v>
      </c>
      <c r="D194" s="113">
        <v>600237.0</v>
      </c>
      <c r="E194" s="31" t="s">
        <v>657</v>
      </c>
      <c r="F194" s="31" t="s">
        <v>2581</v>
      </c>
      <c r="G194" s="31" t="s">
        <v>2582</v>
      </c>
      <c r="H194" s="31" t="s">
        <v>103</v>
      </c>
      <c r="I194" s="35" t="s">
        <v>104</v>
      </c>
      <c r="J194" s="31" t="s">
        <v>233</v>
      </c>
      <c r="K194" s="100" t="s">
        <v>236</v>
      </c>
      <c r="L194" s="31" t="s">
        <v>105</v>
      </c>
      <c r="M194" s="37">
        <v>45280.0</v>
      </c>
      <c r="N194" s="33">
        <v>2023.0</v>
      </c>
      <c r="O194" s="37">
        <v>46387.0</v>
      </c>
      <c r="P194" s="39">
        <v>2026.0</v>
      </c>
      <c r="Q194" s="40">
        <v>1107.0</v>
      </c>
      <c r="R194" s="39">
        <v>4.0</v>
      </c>
      <c r="S194" s="115"/>
      <c r="T194" s="33" t="s">
        <v>113</v>
      </c>
      <c r="U194" s="75">
        <v>2.0</v>
      </c>
      <c r="V194" s="116"/>
      <c r="W194" s="31" t="s">
        <v>2588</v>
      </c>
      <c r="X194" s="31" t="s">
        <v>2589</v>
      </c>
      <c r="Y194" s="31" t="s">
        <v>161</v>
      </c>
      <c r="Z194" s="101" t="s">
        <v>210</v>
      </c>
      <c r="AA194" s="31" t="s">
        <v>123</v>
      </c>
      <c r="AB194" s="31" t="s">
        <v>249</v>
      </c>
      <c r="AC194" s="46" t="s">
        <v>164</v>
      </c>
      <c r="AD194" s="31" t="s">
        <v>251</v>
      </c>
      <c r="AE194" s="99"/>
    </row>
    <row r="195">
      <c r="A195" s="61" t="s">
        <v>64</v>
      </c>
      <c r="B195" s="61" t="s">
        <v>67</v>
      </c>
      <c r="C195" s="82" t="s">
        <v>2591</v>
      </c>
      <c r="D195" s="87">
        <v>600241.0</v>
      </c>
      <c r="E195" s="61" t="s">
        <v>1740</v>
      </c>
      <c r="F195" s="61" t="s">
        <v>1741</v>
      </c>
      <c r="G195" s="61" t="s">
        <v>1743</v>
      </c>
      <c r="H195" s="50" t="s">
        <v>103</v>
      </c>
      <c r="I195" s="50" t="s">
        <v>289</v>
      </c>
      <c r="J195" s="50" t="s">
        <v>289</v>
      </c>
      <c r="K195" s="50" t="s">
        <v>236</v>
      </c>
      <c r="L195" s="50" t="s">
        <v>484</v>
      </c>
      <c r="M195" s="84">
        <v>45282.0</v>
      </c>
      <c r="N195" s="84" t="str">
        <f t="shared" ref="N195:N204" si="101">right(M195,4)</f>
        <v>2023</v>
      </c>
      <c r="O195" s="84">
        <v>45473.0</v>
      </c>
      <c r="P195" s="85" t="str">
        <f t="shared" ref="P195:P204" si="102">right(O195,4)</f>
        <v>2024</v>
      </c>
      <c r="Q195" s="86">
        <f t="shared" ref="Q195:Q204" si="103">DATEDIF(M195,O195,"d")</f>
        <v>191</v>
      </c>
      <c r="R195" s="85">
        <f t="shared" ref="R195:R204" si="104">DATEDIF(M195,O195,"y")</f>
        <v>0</v>
      </c>
      <c r="S195" s="61"/>
      <c r="T195" s="87" t="s">
        <v>113</v>
      </c>
      <c r="U195" s="62">
        <v>0.0</v>
      </c>
      <c r="V195" s="50" t="s">
        <v>2595</v>
      </c>
      <c r="W195" s="174" t="s">
        <v>1756</v>
      </c>
      <c r="X195" s="61"/>
      <c r="Y195" s="50" t="s">
        <v>161</v>
      </c>
      <c r="Z195" s="50" t="s">
        <v>311</v>
      </c>
      <c r="AA195" s="50" t="s">
        <v>289</v>
      </c>
      <c r="AB195" s="50" t="s">
        <v>124</v>
      </c>
      <c r="AC195" s="65" t="s">
        <v>337</v>
      </c>
      <c r="AD195" s="66"/>
      <c r="AE195" s="81"/>
    </row>
    <row r="196">
      <c r="A196" s="31" t="s">
        <v>169</v>
      </c>
      <c r="B196" s="41" t="s">
        <v>19</v>
      </c>
      <c r="C196" s="68" t="s">
        <v>2597</v>
      </c>
      <c r="D196" s="74">
        <v>600194.0</v>
      </c>
      <c r="E196" s="41" t="s">
        <v>1825</v>
      </c>
      <c r="F196" s="41" t="s">
        <v>1826</v>
      </c>
      <c r="G196" s="41" t="s">
        <v>1827</v>
      </c>
      <c r="H196" s="41" t="s">
        <v>84</v>
      </c>
      <c r="I196" s="35" t="s">
        <v>104</v>
      </c>
      <c r="J196" s="91" t="s">
        <v>84</v>
      </c>
      <c r="K196" s="41" t="s">
        <v>84</v>
      </c>
      <c r="L196" s="31" t="s">
        <v>105</v>
      </c>
      <c r="M196" s="70">
        <v>45288.0</v>
      </c>
      <c r="N196" s="70" t="str">
        <f t="shared" si="101"/>
        <v>2023</v>
      </c>
      <c r="O196" s="70">
        <v>46293.0</v>
      </c>
      <c r="P196" s="93" t="str">
        <f t="shared" si="102"/>
        <v>2026</v>
      </c>
      <c r="Q196" s="73">
        <f t="shared" si="103"/>
        <v>1005</v>
      </c>
      <c r="R196" s="93">
        <f t="shared" si="104"/>
        <v>2</v>
      </c>
      <c r="S196" s="41"/>
      <c r="T196" s="74" t="s">
        <v>269</v>
      </c>
      <c r="U196" s="43">
        <v>2.0</v>
      </c>
      <c r="V196" s="31" t="s">
        <v>2598</v>
      </c>
      <c r="W196" s="41" t="s">
        <v>1833</v>
      </c>
      <c r="X196" s="41" t="s">
        <v>1833</v>
      </c>
      <c r="Y196" s="31" t="s">
        <v>2103</v>
      </c>
      <c r="Z196" s="31" t="s">
        <v>122</v>
      </c>
      <c r="AA196" s="31" t="s">
        <v>123</v>
      </c>
      <c r="AB196" s="197" t="s">
        <v>621</v>
      </c>
      <c r="AC196" s="46" t="s">
        <v>276</v>
      </c>
      <c r="AD196" s="46" t="s">
        <v>295</v>
      </c>
      <c r="AE196" s="111"/>
    </row>
    <row r="197">
      <c r="A197" s="61" t="s">
        <v>169</v>
      </c>
      <c r="B197" s="61" t="s">
        <v>67</v>
      </c>
      <c r="C197" s="82" t="s">
        <v>2599</v>
      </c>
      <c r="D197" s="94">
        <v>600251.0</v>
      </c>
      <c r="E197" s="61" t="s">
        <v>2601</v>
      </c>
      <c r="F197" s="61" t="s">
        <v>2602</v>
      </c>
      <c r="G197" s="61" t="s">
        <v>2603</v>
      </c>
      <c r="H197" s="50" t="s">
        <v>103</v>
      </c>
      <c r="I197" s="50" t="s">
        <v>289</v>
      </c>
      <c r="J197" s="50" t="s">
        <v>289</v>
      </c>
      <c r="K197" s="50" t="s">
        <v>2604</v>
      </c>
      <c r="L197" s="50" t="s">
        <v>289</v>
      </c>
      <c r="M197" s="84">
        <v>45294.0</v>
      </c>
      <c r="N197" s="84" t="str">
        <f t="shared" si="101"/>
        <v>2024</v>
      </c>
      <c r="O197" s="84">
        <v>45661.0</v>
      </c>
      <c r="P197" s="95" t="str">
        <f t="shared" si="102"/>
        <v>2025</v>
      </c>
      <c r="Q197" s="86">
        <f t="shared" si="103"/>
        <v>367</v>
      </c>
      <c r="R197" s="85">
        <f t="shared" si="104"/>
        <v>1</v>
      </c>
      <c r="S197" s="61"/>
      <c r="T197" s="87"/>
      <c r="U197" s="96">
        <v>0.0</v>
      </c>
      <c r="V197" s="97"/>
      <c r="W197" s="61" t="s">
        <v>2608</v>
      </c>
      <c r="X197" s="61"/>
      <c r="Y197" s="50" t="s">
        <v>161</v>
      </c>
      <c r="Z197" s="80" t="s">
        <v>247</v>
      </c>
      <c r="AA197" s="50" t="s">
        <v>289</v>
      </c>
      <c r="AB197" s="61" t="s">
        <v>1931</v>
      </c>
      <c r="AC197" s="65" t="s">
        <v>337</v>
      </c>
      <c r="AD197" s="61"/>
      <c r="AE197" s="120"/>
    </row>
    <row r="198">
      <c r="A198" s="41" t="s">
        <v>64</v>
      </c>
      <c r="B198" s="41" t="s">
        <v>67</v>
      </c>
      <c r="C198" s="68" t="s">
        <v>2610</v>
      </c>
      <c r="D198" s="74">
        <v>600249.0</v>
      </c>
      <c r="E198" s="41" t="s">
        <v>1836</v>
      </c>
      <c r="F198" s="41" t="s">
        <v>1837</v>
      </c>
      <c r="G198" s="41" t="s">
        <v>1838</v>
      </c>
      <c r="H198" s="31" t="s">
        <v>103</v>
      </c>
      <c r="I198" s="77" t="s">
        <v>106</v>
      </c>
      <c r="J198" s="35" t="s">
        <v>233</v>
      </c>
      <c r="K198" s="35" t="s">
        <v>236</v>
      </c>
      <c r="L198" s="35" t="s">
        <v>181</v>
      </c>
      <c r="M198" s="70">
        <v>45299.0</v>
      </c>
      <c r="N198" s="70" t="str">
        <f t="shared" si="101"/>
        <v>2024</v>
      </c>
      <c r="O198" s="70">
        <v>45665.0</v>
      </c>
      <c r="P198" s="93" t="str">
        <f t="shared" si="102"/>
        <v>2025</v>
      </c>
      <c r="Q198" s="73">
        <f t="shared" si="103"/>
        <v>366</v>
      </c>
      <c r="R198" s="93">
        <f t="shared" si="104"/>
        <v>1</v>
      </c>
      <c r="S198" s="41"/>
      <c r="T198" s="74"/>
      <c r="U198" s="75">
        <v>0.0</v>
      </c>
      <c r="V198" s="41" t="s">
        <v>1851</v>
      </c>
      <c r="W198" s="154" t="s">
        <v>1844</v>
      </c>
      <c r="X198" s="154" t="s">
        <v>1844</v>
      </c>
      <c r="Y198" s="31" t="s">
        <v>161</v>
      </c>
      <c r="Z198" s="31" t="s">
        <v>122</v>
      </c>
      <c r="AA198" s="31" t="s">
        <v>175</v>
      </c>
      <c r="AB198" s="31" t="s">
        <v>124</v>
      </c>
      <c r="AC198" s="46" t="s">
        <v>161</v>
      </c>
      <c r="AD198" s="47"/>
      <c r="AE198" s="78" t="s">
        <v>220</v>
      </c>
    </row>
    <row r="199">
      <c r="A199" s="61" t="s">
        <v>169</v>
      </c>
      <c r="B199" s="61" t="s">
        <v>67</v>
      </c>
      <c r="C199" s="82" t="s">
        <v>2616</v>
      </c>
      <c r="D199" s="94">
        <v>600261.0</v>
      </c>
      <c r="E199" s="61" t="s">
        <v>2617</v>
      </c>
      <c r="F199" s="61" t="s">
        <v>2618</v>
      </c>
      <c r="G199" s="61" t="s">
        <v>2619</v>
      </c>
      <c r="H199" s="50" t="s">
        <v>103</v>
      </c>
      <c r="I199" s="50" t="s">
        <v>289</v>
      </c>
      <c r="J199" s="50" t="s">
        <v>289</v>
      </c>
      <c r="K199" s="50" t="s">
        <v>2604</v>
      </c>
      <c r="L199" s="50" t="s">
        <v>289</v>
      </c>
      <c r="M199" s="84">
        <v>45299.0</v>
      </c>
      <c r="N199" s="84" t="str">
        <f t="shared" si="101"/>
        <v>2024</v>
      </c>
      <c r="O199" s="84">
        <v>45666.0</v>
      </c>
      <c r="P199" s="95" t="str">
        <f t="shared" si="102"/>
        <v>2025</v>
      </c>
      <c r="Q199" s="86">
        <f t="shared" si="103"/>
        <v>367</v>
      </c>
      <c r="R199" s="85">
        <f t="shared" si="104"/>
        <v>1</v>
      </c>
      <c r="S199" s="61"/>
      <c r="T199" s="87"/>
      <c r="U199" s="96">
        <v>0.0</v>
      </c>
      <c r="V199" s="97"/>
      <c r="W199" s="61" t="s">
        <v>2621</v>
      </c>
      <c r="X199" s="61"/>
      <c r="Y199" s="50" t="s">
        <v>161</v>
      </c>
      <c r="Z199" s="80" t="s">
        <v>247</v>
      </c>
      <c r="AA199" s="50" t="s">
        <v>261</v>
      </c>
      <c r="AB199" s="50" t="s">
        <v>1499</v>
      </c>
      <c r="AC199" s="65" t="s">
        <v>337</v>
      </c>
      <c r="AD199" s="61"/>
      <c r="AE199" s="120"/>
    </row>
    <row r="200">
      <c r="A200" s="41" t="s">
        <v>169</v>
      </c>
      <c r="B200" s="41" t="s">
        <v>67</v>
      </c>
      <c r="C200" s="68" t="s">
        <v>2624</v>
      </c>
      <c r="D200" s="148"/>
      <c r="E200" s="41" t="s">
        <v>2625</v>
      </c>
      <c r="F200" s="41" t="s">
        <v>2626</v>
      </c>
      <c r="G200" s="41" t="s">
        <v>2627</v>
      </c>
      <c r="H200" s="31" t="s">
        <v>103</v>
      </c>
      <c r="I200" s="77" t="s">
        <v>106</v>
      </c>
      <c r="J200" s="104" t="s">
        <v>175</v>
      </c>
      <c r="K200" s="41" t="s">
        <v>84</v>
      </c>
      <c r="L200" s="104" t="s">
        <v>175</v>
      </c>
      <c r="M200" s="70">
        <v>45299.0</v>
      </c>
      <c r="N200" s="70" t="str">
        <f t="shared" si="101"/>
        <v>2024</v>
      </c>
      <c r="O200" s="70">
        <v>45313.0</v>
      </c>
      <c r="P200" s="102" t="str">
        <f t="shared" si="102"/>
        <v>2024</v>
      </c>
      <c r="Q200" s="73">
        <f t="shared" si="103"/>
        <v>14</v>
      </c>
      <c r="R200" s="93">
        <f t="shared" si="104"/>
        <v>0</v>
      </c>
      <c r="S200" s="41"/>
      <c r="T200" s="74"/>
      <c r="U200" s="75">
        <v>0.0</v>
      </c>
      <c r="V200" s="77"/>
      <c r="W200" s="41" t="s">
        <v>2631</v>
      </c>
      <c r="X200" s="41"/>
      <c r="Y200" s="31" t="s">
        <v>161</v>
      </c>
      <c r="Z200" s="101" t="s">
        <v>247</v>
      </c>
      <c r="AA200" s="31" t="s">
        <v>175</v>
      </c>
      <c r="AB200" s="41" t="s">
        <v>1666</v>
      </c>
      <c r="AC200" s="46" t="s">
        <v>161</v>
      </c>
      <c r="AD200" s="41"/>
      <c r="AE200" s="78" t="s">
        <v>220</v>
      </c>
    </row>
    <row r="201">
      <c r="A201" s="61" t="s">
        <v>64</v>
      </c>
      <c r="B201" s="61" t="s">
        <v>19</v>
      </c>
      <c r="C201" s="82" t="s">
        <v>2635</v>
      </c>
      <c r="D201" s="87">
        <v>600302.0</v>
      </c>
      <c r="E201" s="61" t="s">
        <v>1852</v>
      </c>
      <c r="F201" s="61" t="s">
        <v>1853</v>
      </c>
      <c r="G201" s="61" t="s">
        <v>1854</v>
      </c>
      <c r="H201" s="61" t="s">
        <v>84</v>
      </c>
      <c r="I201" s="56" t="s">
        <v>104</v>
      </c>
      <c r="J201" s="138" t="s">
        <v>84</v>
      </c>
      <c r="K201" s="61" t="s">
        <v>84</v>
      </c>
      <c r="L201" s="138" t="s">
        <v>25</v>
      </c>
      <c r="M201" s="84">
        <v>45303.0</v>
      </c>
      <c r="N201" s="84" t="str">
        <f t="shared" si="101"/>
        <v>2024</v>
      </c>
      <c r="O201" s="84">
        <v>46418.0</v>
      </c>
      <c r="P201" s="85" t="str">
        <f t="shared" si="102"/>
        <v>2027</v>
      </c>
      <c r="Q201" s="86">
        <f t="shared" si="103"/>
        <v>1115</v>
      </c>
      <c r="R201" s="85">
        <f t="shared" si="104"/>
        <v>3</v>
      </c>
      <c r="S201" s="61"/>
      <c r="T201" s="87"/>
      <c r="U201" s="62">
        <v>0.0</v>
      </c>
      <c r="V201" s="61" t="s">
        <v>1864</v>
      </c>
      <c r="W201" s="174" t="s">
        <v>1858</v>
      </c>
      <c r="X201" s="174" t="s">
        <v>1858</v>
      </c>
      <c r="Y201" s="50" t="s">
        <v>161</v>
      </c>
      <c r="Z201" s="50" t="s">
        <v>122</v>
      </c>
      <c r="AA201" s="50" t="s">
        <v>211</v>
      </c>
      <c r="AB201" s="50" t="s">
        <v>768</v>
      </c>
      <c r="AC201" s="65" t="s">
        <v>276</v>
      </c>
      <c r="AD201" s="65" t="s">
        <v>2638</v>
      </c>
      <c r="AE201" s="81"/>
    </row>
    <row r="202">
      <c r="A202" s="41" t="s">
        <v>64</v>
      </c>
      <c r="B202" s="41" t="s">
        <v>67</v>
      </c>
      <c r="C202" s="68" t="s">
        <v>2642</v>
      </c>
      <c r="D202" s="74">
        <v>600268.0</v>
      </c>
      <c r="E202" s="41" t="s">
        <v>1865</v>
      </c>
      <c r="F202" s="41" t="s">
        <v>1866</v>
      </c>
      <c r="G202" s="41" t="s">
        <v>1867</v>
      </c>
      <c r="H202" s="41" t="s">
        <v>84</v>
      </c>
      <c r="I202" s="31" t="s">
        <v>289</v>
      </c>
      <c r="J202" s="31" t="s">
        <v>146</v>
      </c>
      <c r="K202" s="41" t="s">
        <v>84</v>
      </c>
      <c r="L202" s="31" t="s">
        <v>181</v>
      </c>
      <c r="M202" s="70">
        <v>45306.0</v>
      </c>
      <c r="N202" s="70" t="str">
        <f t="shared" si="101"/>
        <v>2024</v>
      </c>
      <c r="O202" s="70">
        <v>45488.0</v>
      </c>
      <c r="P202" s="93" t="str">
        <f t="shared" si="102"/>
        <v>2024</v>
      </c>
      <c r="Q202" s="73">
        <f t="shared" si="103"/>
        <v>182</v>
      </c>
      <c r="R202" s="93">
        <f t="shared" si="104"/>
        <v>0</v>
      </c>
      <c r="S202" s="41"/>
      <c r="T202" s="74"/>
      <c r="U202" s="43">
        <v>0.0</v>
      </c>
      <c r="V202" s="41"/>
      <c r="W202" s="154" t="s">
        <v>1870</v>
      </c>
      <c r="X202" s="41"/>
      <c r="Y202" s="31" t="s">
        <v>161</v>
      </c>
      <c r="Z202" s="31" t="s">
        <v>122</v>
      </c>
      <c r="AA202" s="31" t="s">
        <v>2644</v>
      </c>
      <c r="AB202" s="31" t="s">
        <v>124</v>
      </c>
      <c r="AC202" s="46" t="s">
        <v>337</v>
      </c>
      <c r="AD202" s="46" t="s">
        <v>295</v>
      </c>
      <c r="AE202" s="111"/>
    </row>
    <row r="203">
      <c r="A203" s="61" t="s">
        <v>64</v>
      </c>
      <c r="B203" s="61" t="s">
        <v>67</v>
      </c>
      <c r="C203" s="82" t="s">
        <v>2648</v>
      </c>
      <c r="D203" s="83"/>
      <c r="E203" s="61" t="s">
        <v>1876</v>
      </c>
      <c r="F203" s="61" t="s">
        <v>1877</v>
      </c>
      <c r="G203" s="61" t="s">
        <v>1878</v>
      </c>
      <c r="H203" s="50" t="s">
        <v>103</v>
      </c>
      <c r="I203" s="97" t="s">
        <v>106</v>
      </c>
      <c r="J203" s="50" t="s">
        <v>233</v>
      </c>
      <c r="K203" s="50" t="s">
        <v>236</v>
      </c>
      <c r="L203" s="106" t="s">
        <v>175</v>
      </c>
      <c r="M203" s="84">
        <v>45308.0</v>
      </c>
      <c r="N203" s="84" t="str">
        <f t="shared" si="101"/>
        <v>2024</v>
      </c>
      <c r="O203" s="84">
        <v>45315.0</v>
      </c>
      <c r="P203" s="85" t="str">
        <f t="shared" si="102"/>
        <v>2024</v>
      </c>
      <c r="Q203" s="86">
        <f t="shared" si="103"/>
        <v>7</v>
      </c>
      <c r="R203" s="85">
        <f t="shared" si="104"/>
        <v>0</v>
      </c>
      <c r="S203" s="61"/>
      <c r="T203" s="87"/>
      <c r="U203" s="96">
        <v>0.0</v>
      </c>
      <c r="V203" s="61"/>
      <c r="W203" s="174" t="s">
        <v>1886</v>
      </c>
      <c r="X203" s="61"/>
      <c r="Y203" s="50" t="s">
        <v>161</v>
      </c>
      <c r="Z203" s="50" t="s">
        <v>122</v>
      </c>
      <c r="AA203" s="50" t="s">
        <v>175</v>
      </c>
      <c r="AB203" s="50" t="s">
        <v>124</v>
      </c>
      <c r="AC203" s="65" t="s">
        <v>161</v>
      </c>
      <c r="AD203" s="66"/>
      <c r="AE203" s="108" t="s">
        <v>220</v>
      </c>
    </row>
    <row r="204">
      <c r="A204" s="41" t="s">
        <v>169</v>
      </c>
      <c r="B204" s="41" t="s">
        <v>67</v>
      </c>
      <c r="C204" s="68" t="s">
        <v>2655</v>
      </c>
      <c r="D204" s="69">
        <v>600269.0</v>
      </c>
      <c r="E204" s="41" t="s">
        <v>568</v>
      </c>
      <c r="F204" s="41" t="s">
        <v>2656</v>
      </c>
      <c r="G204" s="41" t="s">
        <v>972</v>
      </c>
      <c r="H204" s="31" t="s">
        <v>84</v>
      </c>
      <c r="I204" s="77" t="s">
        <v>106</v>
      </c>
      <c r="J204" s="104" t="s">
        <v>175</v>
      </c>
      <c r="K204" s="41" t="s">
        <v>84</v>
      </c>
      <c r="L204" s="91" t="s">
        <v>25</v>
      </c>
      <c r="M204" s="70">
        <v>45308.0</v>
      </c>
      <c r="N204" s="70" t="str">
        <f t="shared" si="101"/>
        <v>2024</v>
      </c>
      <c r="O204" s="70">
        <v>45322.0</v>
      </c>
      <c r="P204" s="102" t="str">
        <f t="shared" si="102"/>
        <v>2024</v>
      </c>
      <c r="Q204" s="73">
        <f t="shared" si="103"/>
        <v>14</v>
      </c>
      <c r="R204" s="93">
        <f t="shared" si="104"/>
        <v>0</v>
      </c>
      <c r="S204" s="41"/>
      <c r="T204" s="74" t="s">
        <v>269</v>
      </c>
      <c r="U204" s="75">
        <v>0.0</v>
      </c>
      <c r="V204" s="77"/>
      <c r="W204" s="41" t="s">
        <v>2659</v>
      </c>
      <c r="X204" s="41"/>
      <c r="Y204" s="31" t="s">
        <v>161</v>
      </c>
      <c r="Z204" s="31" t="s">
        <v>175</v>
      </c>
      <c r="AA204" s="31" t="s">
        <v>175</v>
      </c>
      <c r="AB204" s="153" t="s">
        <v>975</v>
      </c>
      <c r="AC204" s="46" t="s">
        <v>164</v>
      </c>
      <c r="AD204" s="46" t="s">
        <v>1270</v>
      </c>
      <c r="AE204" s="78" t="s">
        <v>220</v>
      </c>
    </row>
    <row r="205">
      <c r="A205" s="50" t="s">
        <v>64</v>
      </c>
      <c r="B205" s="50" t="s">
        <v>19</v>
      </c>
      <c r="C205" s="52" t="s">
        <v>2662</v>
      </c>
      <c r="D205" s="54">
        <v>600260.0</v>
      </c>
      <c r="E205" s="50" t="s">
        <v>851</v>
      </c>
      <c r="F205" s="50" t="s">
        <v>1151</v>
      </c>
      <c r="G205" s="50" t="s">
        <v>1152</v>
      </c>
      <c r="H205" s="50" t="s">
        <v>103</v>
      </c>
      <c r="I205" s="56" t="s">
        <v>104</v>
      </c>
      <c r="J205" s="50" t="s">
        <v>146</v>
      </c>
      <c r="K205" s="50" t="s">
        <v>236</v>
      </c>
      <c r="L205" s="50" t="s">
        <v>25</v>
      </c>
      <c r="M205" s="57">
        <v>45309.0</v>
      </c>
      <c r="N205" s="54">
        <v>2024.0</v>
      </c>
      <c r="O205" s="57">
        <v>46388.0</v>
      </c>
      <c r="P205" s="59">
        <v>2027.0</v>
      </c>
      <c r="Q205" s="60">
        <v>1079.0</v>
      </c>
      <c r="R205" s="59">
        <v>3.0</v>
      </c>
      <c r="S205" s="61"/>
      <c r="T205" s="54" t="s">
        <v>269</v>
      </c>
      <c r="U205" s="62">
        <v>2.0</v>
      </c>
      <c r="V205" s="50" t="s">
        <v>2664</v>
      </c>
      <c r="W205" s="50" t="s">
        <v>1154</v>
      </c>
      <c r="X205" s="159" t="s">
        <v>2665</v>
      </c>
      <c r="Y205" s="50" t="s">
        <v>161</v>
      </c>
      <c r="Z205" s="50" t="s">
        <v>211</v>
      </c>
      <c r="AA205" s="50" t="s">
        <v>123</v>
      </c>
      <c r="AB205" s="50" t="s">
        <v>124</v>
      </c>
      <c r="AC205" s="65" t="s">
        <v>337</v>
      </c>
      <c r="AD205" s="66"/>
      <c r="AE205" s="67"/>
    </row>
    <row r="206">
      <c r="A206" s="31" t="s">
        <v>169</v>
      </c>
      <c r="B206" s="31" t="s">
        <v>19</v>
      </c>
      <c r="C206" s="32" t="s">
        <v>2666</v>
      </c>
      <c r="D206" s="113">
        <v>600273.0</v>
      </c>
      <c r="E206" s="31" t="s">
        <v>906</v>
      </c>
      <c r="F206" s="31" t="s">
        <v>2667</v>
      </c>
      <c r="G206" s="31" t="s">
        <v>2668</v>
      </c>
      <c r="H206" s="31" t="s">
        <v>103</v>
      </c>
      <c r="I206" s="100" t="s">
        <v>104</v>
      </c>
      <c r="J206" s="31" t="s">
        <v>146</v>
      </c>
      <c r="K206" s="31" t="s">
        <v>147</v>
      </c>
      <c r="L206" s="31" t="s">
        <v>155</v>
      </c>
      <c r="M206" s="37">
        <v>45313.0</v>
      </c>
      <c r="N206" s="33">
        <v>2024.0</v>
      </c>
      <c r="O206" s="37">
        <v>46409.0</v>
      </c>
      <c r="P206" s="39">
        <v>2027.0</v>
      </c>
      <c r="Q206" s="40">
        <v>1096.0</v>
      </c>
      <c r="R206" s="39">
        <v>4.0</v>
      </c>
      <c r="S206" s="41"/>
      <c r="T206" s="33" t="s">
        <v>113</v>
      </c>
      <c r="U206" s="114">
        <v>2.0</v>
      </c>
      <c r="V206" s="77"/>
      <c r="W206" s="31" t="s">
        <v>2669</v>
      </c>
      <c r="X206" s="31" t="s">
        <v>2670</v>
      </c>
      <c r="Y206" s="31" t="s">
        <v>161</v>
      </c>
      <c r="Z206" s="101" t="s">
        <v>261</v>
      </c>
      <c r="AA206" s="31" t="s">
        <v>123</v>
      </c>
      <c r="AB206" s="31" t="s">
        <v>489</v>
      </c>
      <c r="AC206" s="46" t="s">
        <v>128</v>
      </c>
      <c r="AD206" s="41"/>
      <c r="AE206" s="99"/>
    </row>
    <row r="207">
      <c r="A207" s="61" t="s">
        <v>169</v>
      </c>
      <c r="B207" s="61" t="s">
        <v>67</v>
      </c>
      <c r="C207" s="82" t="s">
        <v>2671</v>
      </c>
      <c r="D207" s="94">
        <v>600275.0</v>
      </c>
      <c r="E207" s="61" t="s">
        <v>2672</v>
      </c>
      <c r="F207" s="61" t="s">
        <v>2673</v>
      </c>
      <c r="G207" s="61" t="s">
        <v>2674</v>
      </c>
      <c r="H207" s="50" t="s">
        <v>103</v>
      </c>
      <c r="I207" s="50" t="s">
        <v>289</v>
      </c>
      <c r="J207" s="50" t="s">
        <v>289</v>
      </c>
      <c r="K207" s="50" t="s">
        <v>2604</v>
      </c>
      <c r="L207" s="50" t="s">
        <v>181</v>
      </c>
      <c r="M207" s="84">
        <v>45316.0</v>
      </c>
      <c r="N207" s="84" t="str">
        <f t="shared" ref="N207:N215" si="105">right(M207,4)</f>
        <v>2024</v>
      </c>
      <c r="O207" s="84">
        <v>45682.0</v>
      </c>
      <c r="P207" s="95" t="str">
        <f t="shared" ref="P207:P215" si="106">right(O207,4)</f>
        <v>2025</v>
      </c>
      <c r="Q207" s="86">
        <f t="shared" ref="Q207:Q215" si="107">DATEDIF(M207,O207,"d")</f>
        <v>366</v>
      </c>
      <c r="R207" s="85">
        <f t="shared" ref="R207:R215" si="108">DATEDIF(M207,O207,"y")</f>
        <v>1</v>
      </c>
      <c r="S207" s="61"/>
      <c r="T207" s="87"/>
      <c r="U207" s="96">
        <v>0.0</v>
      </c>
      <c r="V207" s="97"/>
      <c r="W207" s="174" t="s">
        <v>2678</v>
      </c>
      <c r="X207" s="174" t="s">
        <v>2678</v>
      </c>
      <c r="Y207" s="50" t="s">
        <v>161</v>
      </c>
      <c r="Z207" s="80" t="s">
        <v>247</v>
      </c>
      <c r="AA207" s="50" t="s">
        <v>261</v>
      </c>
      <c r="AB207" s="50" t="s">
        <v>1499</v>
      </c>
      <c r="AC207" s="65" t="s">
        <v>161</v>
      </c>
      <c r="AD207" s="61"/>
      <c r="AE207" s="120"/>
    </row>
    <row r="208">
      <c r="A208" s="41" t="s">
        <v>169</v>
      </c>
      <c r="B208" s="41" t="s">
        <v>67</v>
      </c>
      <c r="C208" s="68" t="s">
        <v>2681</v>
      </c>
      <c r="D208" s="69">
        <v>600278.0</v>
      </c>
      <c r="E208" s="41" t="s">
        <v>2682</v>
      </c>
      <c r="F208" s="41" t="s">
        <v>2683</v>
      </c>
      <c r="G208" s="41" t="s">
        <v>2684</v>
      </c>
      <c r="H208" s="41" t="s">
        <v>266</v>
      </c>
      <c r="I208" s="31" t="s">
        <v>289</v>
      </c>
      <c r="J208" s="31" t="s">
        <v>289</v>
      </c>
      <c r="K208" s="31" t="s">
        <v>236</v>
      </c>
      <c r="L208" s="31" t="s">
        <v>181</v>
      </c>
      <c r="M208" s="70">
        <v>45317.0</v>
      </c>
      <c r="N208" s="70" t="str">
        <f t="shared" si="105"/>
        <v>2024</v>
      </c>
      <c r="O208" s="70">
        <v>45408.0</v>
      </c>
      <c r="P208" s="102" t="str">
        <f t="shared" si="106"/>
        <v>2024</v>
      </c>
      <c r="Q208" s="73">
        <f t="shared" si="107"/>
        <v>91</v>
      </c>
      <c r="R208" s="93">
        <f t="shared" si="108"/>
        <v>0</v>
      </c>
      <c r="S208" s="41"/>
      <c r="T208" s="74"/>
      <c r="U208" s="75">
        <v>0.0</v>
      </c>
      <c r="V208" s="77"/>
      <c r="W208" s="154" t="s">
        <v>2688</v>
      </c>
      <c r="X208" s="41"/>
      <c r="Y208" s="31" t="s">
        <v>161</v>
      </c>
      <c r="Z208" s="31" t="s">
        <v>122</v>
      </c>
      <c r="AA208" s="31" t="s">
        <v>261</v>
      </c>
      <c r="AB208" s="104" t="s">
        <v>442</v>
      </c>
      <c r="AC208" s="46" t="s">
        <v>161</v>
      </c>
      <c r="AD208" s="41"/>
      <c r="AE208" s="99"/>
    </row>
    <row r="209">
      <c r="A209" s="61" t="s">
        <v>169</v>
      </c>
      <c r="B209" s="50" t="s">
        <v>67</v>
      </c>
      <c r="C209" s="82" t="s">
        <v>2691</v>
      </c>
      <c r="D209" s="94">
        <v>600274.0</v>
      </c>
      <c r="E209" s="61" t="s">
        <v>2692</v>
      </c>
      <c r="F209" s="61" t="s">
        <v>2693</v>
      </c>
      <c r="G209" s="61" t="s">
        <v>2694</v>
      </c>
      <c r="H209" s="61" t="s">
        <v>84</v>
      </c>
      <c r="I209" s="125" t="s">
        <v>104</v>
      </c>
      <c r="J209" s="50" t="s">
        <v>146</v>
      </c>
      <c r="K209" s="61" t="s">
        <v>84</v>
      </c>
      <c r="L209" s="50" t="s">
        <v>181</v>
      </c>
      <c r="M209" s="84">
        <v>45320.0</v>
      </c>
      <c r="N209" s="84" t="str">
        <f t="shared" si="105"/>
        <v>2024</v>
      </c>
      <c r="O209" s="84">
        <v>46052.0</v>
      </c>
      <c r="P209" s="95" t="str">
        <f t="shared" si="106"/>
        <v>2026</v>
      </c>
      <c r="Q209" s="86">
        <f t="shared" si="107"/>
        <v>732</v>
      </c>
      <c r="R209" s="85">
        <f t="shared" si="108"/>
        <v>2</v>
      </c>
      <c r="S209" s="61"/>
      <c r="T209" s="87"/>
      <c r="U209" s="199">
        <v>1.0</v>
      </c>
      <c r="V209" s="97"/>
      <c r="W209" s="174" t="s">
        <v>2697</v>
      </c>
      <c r="X209" s="61" t="s">
        <v>2698</v>
      </c>
      <c r="Y209" s="50" t="s">
        <v>161</v>
      </c>
      <c r="Z209" s="80" t="s">
        <v>247</v>
      </c>
      <c r="AA209" s="50" t="s">
        <v>261</v>
      </c>
      <c r="AB209" s="200" t="s">
        <v>621</v>
      </c>
      <c r="AC209" s="65" t="s">
        <v>128</v>
      </c>
      <c r="AD209" s="50" t="s">
        <v>251</v>
      </c>
      <c r="AE209" s="81" t="s">
        <v>220</v>
      </c>
    </row>
    <row r="210">
      <c r="A210" s="41" t="s">
        <v>64</v>
      </c>
      <c r="B210" s="41" t="s">
        <v>19</v>
      </c>
      <c r="C210" s="68" t="s">
        <v>2699</v>
      </c>
      <c r="D210" s="74">
        <v>600283.0</v>
      </c>
      <c r="E210" s="41" t="s">
        <v>294</v>
      </c>
      <c r="F210" s="41" t="s">
        <v>1907</v>
      </c>
      <c r="G210" s="201" t="s">
        <v>1908</v>
      </c>
      <c r="H210" s="41" t="s">
        <v>84</v>
      </c>
      <c r="I210" s="35" t="s">
        <v>104</v>
      </c>
      <c r="J210" s="35" t="s">
        <v>84</v>
      </c>
      <c r="K210" s="41" t="s">
        <v>84</v>
      </c>
      <c r="L210" s="31" t="s">
        <v>105</v>
      </c>
      <c r="M210" s="70">
        <v>45321.0</v>
      </c>
      <c r="N210" s="70" t="str">
        <f t="shared" si="105"/>
        <v>2024</v>
      </c>
      <c r="O210" s="70">
        <v>47085.0</v>
      </c>
      <c r="P210" s="93" t="str">
        <f t="shared" si="106"/>
        <v>2028</v>
      </c>
      <c r="Q210" s="73">
        <f t="shared" si="107"/>
        <v>1764</v>
      </c>
      <c r="R210" s="93">
        <f t="shared" si="108"/>
        <v>4</v>
      </c>
      <c r="S210" s="41"/>
      <c r="T210" s="74" t="s">
        <v>113</v>
      </c>
      <c r="U210" s="43">
        <v>1.0</v>
      </c>
      <c r="V210" s="41" t="s">
        <v>1913</v>
      </c>
      <c r="W210" s="154" t="s">
        <v>1915</v>
      </c>
      <c r="X210" s="154" t="s">
        <v>1915</v>
      </c>
      <c r="Y210" s="31" t="s">
        <v>161</v>
      </c>
      <c r="Z210" s="31" t="s">
        <v>122</v>
      </c>
      <c r="AA210" s="101" t="s">
        <v>123</v>
      </c>
      <c r="AB210" s="31" t="s">
        <v>768</v>
      </c>
      <c r="AC210" s="46" t="s">
        <v>128</v>
      </c>
      <c r="AD210" s="46" t="s">
        <v>291</v>
      </c>
      <c r="AE210" s="49"/>
    </row>
    <row r="211">
      <c r="A211" s="61" t="s">
        <v>64</v>
      </c>
      <c r="B211" s="61" t="s">
        <v>67</v>
      </c>
      <c r="C211" s="52" t="s">
        <v>720</v>
      </c>
      <c r="D211" s="202"/>
      <c r="E211" s="61" t="s">
        <v>1927</v>
      </c>
      <c r="F211" s="56" t="s">
        <v>289</v>
      </c>
      <c r="G211" s="50" t="s">
        <v>289</v>
      </c>
      <c r="H211" s="61" t="s">
        <v>84</v>
      </c>
      <c r="I211" s="56" t="s">
        <v>104</v>
      </c>
      <c r="J211" s="50" t="s">
        <v>84</v>
      </c>
      <c r="K211" s="83" t="s">
        <v>724</v>
      </c>
      <c r="L211" s="50" t="s">
        <v>2704</v>
      </c>
      <c r="M211" s="84">
        <v>45321.0</v>
      </c>
      <c r="N211" s="84" t="str">
        <f t="shared" si="105"/>
        <v>2024</v>
      </c>
      <c r="O211" s="84">
        <v>45686.0</v>
      </c>
      <c r="P211" s="86" t="str">
        <f t="shared" si="106"/>
        <v>2025</v>
      </c>
      <c r="Q211" s="86">
        <f t="shared" si="107"/>
        <v>365</v>
      </c>
      <c r="R211" s="86">
        <f t="shared" si="108"/>
        <v>0</v>
      </c>
      <c r="S211" s="61"/>
      <c r="T211" s="87" t="s">
        <v>113</v>
      </c>
      <c r="U211" s="62">
        <v>0.0</v>
      </c>
      <c r="V211" s="50" t="s">
        <v>2705</v>
      </c>
      <c r="W211" s="50"/>
      <c r="X211" s="61" t="s">
        <v>1936</v>
      </c>
      <c r="Y211" s="50" t="s">
        <v>161</v>
      </c>
      <c r="Z211" s="50" t="s">
        <v>210</v>
      </c>
      <c r="AA211" s="50" t="s">
        <v>261</v>
      </c>
      <c r="AB211" s="61" t="s">
        <v>440</v>
      </c>
      <c r="AC211" s="65" t="s">
        <v>337</v>
      </c>
      <c r="AD211" s="66"/>
      <c r="AE211" s="108" t="s">
        <v>220</v>
      </c>
    </row>
    <row r="212">
      <c r="A212" s="41" t="s">
        <v>169</v>
      </c>
      <c r="B212" s="41" t="s">
        <v>67</v>
      </c>
      <c r="C212" s="68" t="s">
        <v>2708</v>
      </c>
      <c r="D212" s="69">
        <v>600277.0</v>
      </c>
      <c r="E212" s="41" t="s">
        <v>2709</v>
      </c>
      <c r="F212" s="41" t="s">
        <v>2710</v>
      </c>
      <c r="G212" s="41" t="s">
        <v>2711</v>
      </c>
      <c r="H212" s="31" t="s">
        <v>103</v>
      </c>
      <c r="I212" s="31" t="s">
        <v>289</v>
      </c>
      <c r="J212" s="31" t="s">
        <v>289</v>
      </c>
      <c r="K212" s="31" t="s">
        <v>236</v>
      </c>
      <c r="L212" s="91" t="s">
        <v>48</v>
      </c>
      <c r="M212" s="70">
        <v>45321.0</v>
      </c>
      <c r="N212" s="70" t="str">
        <f t="shared" si="105"/>
        <v>2024</v>
      </c>
      <c r="O212" s="70">
        <v>45503.0</v>
      </c>
      <c r="P212" s="102" t="str">
        <f t="shared" si="106"/>
        <v>2024</v>
      </c>
      <c r="Q212" s="73">
        <f t="shared" si="107"/>
        <v>182</v>
      </c>
      <c r="R212" s="93">
        <f t="shared" si="108"/>
        <v>0</v>
      </c>
      <c r="S212" s="41"/>
      <c r="T212" s="74"/>
      <c r="U212" s="75">
        <v>0.0</v>
      </c>
      <c r="V212" s="77"/>
      <c r="W212" s="41" t="s">
        <v>2715</v>
      </c>
      <c r="X212" s="41"/>
      <c r="Y212" s="31" t="s">
        <v>161</v>
      </c>
      <c r="Z212" s="101" t="s">
        <v>247</v>
      </c>
      <c r="AA212" s="31" t="s">
        <v>289</v>
      </c>
      <c r="AB212" s="31" t="s">
        <v>213</v>
      </c>
      <c r="AC212" s="46" t="s">
        <v>337</v>
      </c>
      <c r="AD212" s="41"/>
      <c r="AE212" s="99"/>
    </row>
    <row r="213">
      <c r="A213" s="61" t="s">
        <v>169</v>
      </c>
      <c r="B213" s="61" t="s">
        <v>67</v>
      </c>
      <c r="C213" s="82" t="s">
        <v>2716</v>
      </c>
      <c r="D213" s="94">
        <v>600280.0</v>
      </c>
      <c r="E213" s="61" t="s">
        <v>2717</v>
      </c>
      <c r="F213" s="61" t="s">
        <v>2718</v>
      </c>
      <c r="G213" s="61" t="s">
        <v>2719</v>
      </c>
      <c r="H213" s="50" t="s">
        <v>103</v>
      </c>
      <c r="I213" s="50" t="s">
        <v>289</v>
      </c>
      <c r="J213" s="50" t="s">
        <v>289</v>
      </c>
      <c r="K213" s="50" t="s">
        <v>147</v>
      </c>
      <c r="L213" s="138" t="s">
        <v>48</v>
      </c>
      <c r="M213" s="84">
        <v>45322.0</v>
      </c>
      <c r="N213" s="84" t="str">
        <f t="shared" si="105"/>
        <v>2024</v>
      </c>
      <c r="O213" s="84">
        <v>45689.0</v>
      </c>
      <c r="P213" s="95" t="str">
        <f t="shared" si="106"/>
        <v>2025</v>
      </c>
      <c r="Q213" s="86">
        <f t="shared" si="107"/>
        <v>367</v>
      </c>
      <c r="R213" s="85">
        <f t="shared" si="108"/>
        <v>1</v>
      </c>
      <c r="S213" s="61"/>
      <c r="T213" s="87"/>
      <c r="U213" s="96">
        <v>0.0</v>
      </c>
      <c r="V213" s="97"/>
      <c r="W213" s="61" t="s">
        <v>2725</v>
      </c>
      <c r="X213" s="61" t="s">
        <v>2725</v>
      </c>
      <c r="Y213" s="50" t="s">
        <v>161</v>
      </c>
      <c r="Z213" s="80" t="s">
        <v>247</v>
      </c>
      <c r="AA213" s="50" t="s">
        <v>289</v>
      </c>
      <c r="AB213" s="200" t="s">
        <v>249</v>
      </c>
      <c r="AC213" s="65" t="s">
        <v>161</v>
      </c>
      <c r="AD213" s="50" t="s">
        <v>2727</v>
      </c>
      <c r="AE213" s="108" t="s">
        <v>220</v>
      </c>
    </row>
    <row r="214">
      <c r="A214" s="41" t="s">
        <v>169</v>
      </c>
      <c r="B214" s="41" t="s">
        <v>67</v>
      </c>
      <c r="C214" s="68" t="s">
        <v>2730</v>
      </c>
      <c r="D214" s="69">
        <v>600285.0</v>
      </c>
      <c r="E214" s="41" t="s">
        <v>2731</v>
      </c>
      <c r="F214" s="41" t="s">
        <v>2732</v>
      </c>
      <c r="G214" s="41" t="s">
        <v>2733</v>
      </c>
      <c r="H214" s="31" t="s">
        <v>103</v>
      </c>
      <c r="I214" s="31" t="s">
        <v>289</v>
      </c>
      <c r="J214" s="31" t="s">
        <v>289</v>
      </c>
      <c r="K214" s="31" t="s">
        <v>236</v>
      </c>
      <c r="L214" s="91" t="s">
        <v>48</v>
      </c>
      <c r="M214" s="70">
        <v>45323.0</v>
      </c>
      <c r="N214" s="70" t="str">
        <f t="shared" si="105"/>
        <v>2024</v>
      </c>
      <c r="O214" s="70">
        <v>45505.0</v>
      </c>
      <c r="P214" s="102" t="str">
        <f t="shared" si="106"/>
        <v>2024</v>
      </c>
      <c r="Q214" s="73">
        <f t="shared" si="107"/>
        <v>182</v>
      </c>
      <c r="R214" s="93">
        <f t="shared" si="108"/>
        <v>0</v>
      </c>
      <c r="S214" s="41"/>
      <c r="T214" s="74"/>
      <c r="U214" s="75">
        <v>0.0</v>
      </c>
      <c r="V214" s="77"/>
      <c r="W214" s="41" t="s">
        <v>2734</v>
      </c>
      <c r="X214" s="41"/>
      <c r="Y214" s="31" t="s">
        <v>161</v>
      </c>
      <c r="Z214" s="101" t="s">
        <v>247</v>
      </c>
      <c r="AA214" s="31" t="s">
        <v>289</v>
      </c>
      <c r="AB214" s="104" t="s">
        <v>442</v>
      </c>
      <c r="AC214" s="46" t="s">
        <v>161</v>
      </c>
      <c r="AD214" s="41"/>
      <c r="AE214" s="99"/>
    </row>
    <row r="215">
      <c r="A215" s="61" t="s">
        <v>169</v>
      </c>
      <c r="B215" s="61" t="s">
        <v>67</v>
      </c>
      <c r="C215" s="82" t="s">
        <v>2735</v>
      </c>
      <c r="D215" s="137"/>
      <c r="E215" s="61" t="s">
        <v>2736</v>
      </c>
      <c r="F215" s="61" t="s">
        <v>2737</v>
      </c>
      <c r="G215" s="61" t="s">
        <v>2738</v>
      </c>
      <c r="H215" s="50" t="s">
        <v>103</v>
      </c>
      <c r="I215" s="97" t="s">
        <v>106</v>
      </c>
      <c r="J215" s="106" t="s">
        <v>175</v>
      </c>
      <c r="K215" s="50" t="s">
        <v>147</v>
      </c>
      <c r="L215" s="138" t="s">
        <v>48</v>
      </c>
      <c r="M215" s="84">
        <v>45327.0</v>
      </c>
      <c r="N215" s="84" t="str">
        <f t="shared" si="105"/>
        <v>2024</v>
      </c>
      <c r="O215" s="84">
        <v>45334.0</v>
      </c>
      <c r="P215" s="95" t="str">
        <f t="shared" si="106"/>
        <v>2024</v>
      </c>
      <c r="Q215" s="86">
        <f t="shared" si="107"/>
        <v>7</v>
      </c>
      <c r="R215" s="85">
        <f t="shared" si="108"/>
        <v>0</v>
      </c>
      <c r="S215" s="61"/>
      <c r="T215" s="87"/>
      <c r="U215" s="96">
        <v>0.0</v>
      </c>
      <c r="V215" s="97"/>
      <c r="W215" s="61" t="s">
        <v>2739</v>
      </c>
      <c r="X215" s="61"/>
      <c r="Y215" s="50" t="s">
        <v>161</v>
      </c>
      <c r="Z215" s="80" t="s">
        <v>247</v>
      </c>
      <c r="AA215" s="50" t="s">
        <v>175</v>
      </c>
      <c r="AB215" s="50" t="s">
        <v>1499</v>
      </c>
      <c r="AC215" s="65" t="s">
        <v>161</v>
      </c>
      <c r="AD215" s="61"/>
      <c r="AE215" s="108" t="s">
        <v>220</v>
      </c>
    </row>
    <row r="216">
      <c r="A216" s="31" t="s">
        <v>64</v>
      </c>
      <c r="B216" s="31" t="s">
        <v>19</v>
      </c>
      <c r="C216" s="32" t="s">
        <v>2742</v>
      </c>
      <c r="D216" s="33">
        <v>600287.0</v>
      </c>
      <c r="E216" s="31" t="s">
        <v>1034</v>
      </c>
      <c r="F216" s="31" t="s">
        <v>1999</v>
      </c>
      <c r="G216" s="31" t="s">
        <v>2000</v>
      </c>
      <c r="H216" s="31" t="s">
        <v>103</v>
      </c>
      <c r="I216" s="35" t="s">
        <v>104</v>
      </c>
      <c r="J216" s="31" t="s">
        <v>146</v>
      </c>
      <c r="K216" s="31" t="s">
        <v>236</v>
      </c>
      <c r="L216" s="31" t="s">
        <v>155</v>
      </c>
      <c r="M216" s="37">
        <v>45341.0</v>
      </c>
      <c r="N216" s="33">
        <v>2024.0</v>
      </c>
      <c r="O216" s="37">
        <v>46434.0</v>
      </c>
      <c r="P216" s="39">
        <v>2027.0</v>
      </c>
      <c r="Q216" s="40">
        <v>1093.0</v>
      </c>
      <c r="R216" s="39">
        <v>3.0</v>
      </c>
      <c r="S216" s="41"/>
      <c r="T216" s="33" t="s">
        <v>269</v>
      </c>
      <c r="U216" s="43">
        <v>2.0</v>
      </c>
      <c r="V216" s="41"/>
      <c r="W216" s="31" t="s">
        <v>2008</v>
      </c>
      <c r="X216" s="150" t="s">
        <v>2743</v>
      </c>
      <c r="Y216" s="31" t="s">
        <v>1525</v>
      </c>
      <c r="Z216" s="31" t="s">
        <v>122</v>
      </c>
      <c r="AA216" s="31" t="s">
        <v>14</v>
      </c>
      <c r="AB216" s="31" t="s">
        <v>124</v>
      </c>
      <c r="AC216" s="46" t="s">
        <v>276</v>
      </c>
      <c r="AD216" s="47"/>
      <c r="AE216" s="49"/>
    </row>
    <row r="217">
      <c r="A217" s="61" t="s">
        <v>169</v>
      </c>
      <c r="B217" s="61" t="s">
        <v>67</v>
      </c>
      <c r="C217" s="82" t="s">
        <v>2745</v>
      </c>
      <c r="D217" s="94">
        <v>600286.0</v>
      </c>
      <c r="E217" s="61" t="s">
        <v>2746</v>
      </c>
      <c r="F217" s="61" t="s">
        <v>2747</v>
      </c>
      <c r="G217" s="61" t="s">
        <v>2748</v>
      </c>
      <c r="H217" s="61" t="s">
        <v>266</v>
      </c>
      <c r="I217" s="50" t="s">
        <v>289</v>
      </c>
      <c r="J217" s="50" t="s">
        <v>289</v>
      </c>
      <c r="K217" s="50" t="s">
        <v>236</v>
      </c>
      <c r="L217" s="50" t="s">
        <v>181</v>
      </c>
      <c r="M217" s="84">
        <v>45341.0</v>
      </c>
      <c r="N217" s="84" t="str">
        <f t="shared" ref="N217:N221" si="109">right(M217,4)</f>
        <v>2024</v>
      </c>
      <c r="O217" s="84">
        <v>45431.0</v>
      </c>
      <c r="P217" s="95" t="str">
        <f t="shared" ref="P217:P221" si="110">right(O217,4)</f>
        <v>2024</v>
      </c>
      <c r="Q217" s="86">
        <f t="shared" ref="Q217:Q221" si="111">DATEDIF(M217,O217,"d")</f>
        <v>90</v>
      </c>
      <c r="R217" s="85">
        <f t="shared" ref="R217:R221" si="112">DATEDIF(M217,O217,"y")</f>
        <v>0</v>
      </c>
      <c r="S217" s="61"/>
      <c r="T217" s="87"/>
      <c r="U217" s="96">
        <v>0.0</v>
      </c>
      <c r="V217" s="97"/>
      <c r="W217" s="61" t="s">
        <v>2752</v>
      </c>
      <c r="X217" s="61"/>
      <c r="Y217" s="50" t="s">
        <v>161</v>
      </c>
      <c r="Z217" s="80" t="s">
        <v>247</v>
      </c>
      <c r="AA217" s="50" t="s">
        <v>289</v>
      </c>
      <c r="AB217" s="106" t="s">
        <v>442</v>
      </c>
      <c r="AC217" s="65" t="s">
        <v>161</v>
      </c>
      <c r="AD217" s="61"/>
      <c r="AE217" s="120"/>
    </row>
    <row r="218">
      <c r="A218" s="41" t="s">
        <v>169</v>
      </c>
      <c r="B218" s="41" t="s">
        <v>67</v>
      </c>
      <c r="C218" s="68" t="s">
        <v>2753</v>
      </c>
      <c r="D218" s="69">
        <v>600288.0</v>
      </c>
      <c r="E218" s="41" t="s">
        <v>2754</v>
      </c>
      <c r="F218" s="41" t="s">
        <v>2755</v>
      </c>
      <c r="G218" s="41" t="s">
        <v>2756</v>
      </c>
      <c r="H218" s="31" t="s">
        <v>103</v>
      </c>
      <c r="I218" s="35" t="s">
        <v>104</v>
      </c>
      <c r="J218" s="31" t="s">
        <v>289</v>
      </c>
      <c r="K218" s="41" t="s">
        <v>84</v>
      </c>
      <c r="L218" s="91" t="s">
        <v>48</v>
      </c>
      <c r="M218" s="70">
        <v>45344.0</v>
      </c>
      <c r="N218" s="70" t="str">
        <f t="shared" si="109"/>
        <v>2024</v>
      </c>
      <c r="O218" s="70">
        <v>45527.0</v>
      </c>
      <c r="P218" s="102" t="str">
        <f t="shared" si="110"/>
        <v>2024</v>
      </c>
      <c r="Q218" s="73">
        <f t="shared" si="111"/>
        <v>183</v>
      </c>
      <c r="R218" s="93">
        <f t="shared" si="112"/>
        <v>0</v>
      </c>
      <c r="S218" s="41"/>
      <c r="T218" s="74"/>
      <c r="U218" s="75">
        <v>0.0</v>
      </c>
      <c r="V218" s="77"/>
      <c r="W218" s="41" t="s">
        <v>2758</v>
      </c>
      <c r="X218" s="41"/>
      <c r="Y218" s="31" t="s">
        <v>161</v>
      </c>
      <c r="Z218" s="101" t="s">
        <v>247</v>
      </c>
      <c r="AA218" s="31" t="s">
        <v>289</v>
      </c>
      <c r="AB218" s="153" t="s">
        <v>891</v>
      </c>
      <c r="AC218" s="46" t="s">
        <v>128</v>
      </c>
      <c r="AD218" s="31" t="s">
        <v>251</v>
      </c>
      <c r="AE218" s="78" t="s">
        <v>220</v>
      </c>
    </row>
    <row r="219">
      <c r="A219" s="61" t="s">
        <v>169</v>
      </c>
      <c r="B219" s="61" t="s">
        <v>67</v>
      </c>
      <c r="C219" s="82" t="s">
        <v>2761</v>
      </c>
      <c r="D219" s="94">
        <v>600289.0</v>
      </c>
      <c r="E219" s="61" t="s">
        <v>2765</v>
      </c>
      <c r="F219" s="61" t="s">
        <v>2766</v>
      </c>
      <c r="G219" s="61" t="s">
        <v>2767</v>
      </c>
      <c r="H219" s="50" t="s">
        <v>103</v>
      </c>
      <c r="I219" s="50" t="s">
        <v>289</v>
      </c>
      <c r="J219" s="50" t="s">
        <v>289</v>
      </c>
      <c r="K219" s="61" t="s">
        <v>1114</v>
      </c>
      <c r="L219" s="138" t="s">
        <v>48</v>
      </c>
      <c r="M219" s="84">
        <v>45344.0</v>
      </c>
      <c r="N219" s="84" t="str">
        <f t="shared" si="109"/>
        <v>2024</v>
      </c>
      <c r="O219" s="84">
        <v>45711.0</v>
      </c>
      <c r="P219" s="95" t="str">
        <f t="shared" si="110"/>
        <v>2025</v>
      </c>
      <c r="Q219" s="86">
        <f t="shared" si="111"/>
        <v>367</v>
      </c>
      <c r="R219" s="85">
        <f t="shared" si="112"/>
        <v>1</v>
      </c>
      <c r="S219" s="61"/>
      <c r="T219" s="87"/>
      <c r="U219" s="96">
        <v>0.0</v>
      </c>
      <c r="V219" s="97"/>
      <c r="W219" s="61" t="s">
        <v>2768</v>
      </c>
      <c r="X219" s="61" t="s">
        <v>2768</v>
      </c>
      <c r="Y219" s="50" t="s">
        <v>161</v>
      </c>
      <c r="Z219" s="80" t="s">
        <v>247</v>
      </c>
      <c r="AA219" s="50" t="s">
        <v>261</v>
      </c>
      <c r="AB219" s="50" t="s">
        <v>1499</v>
      </c>
      <c r="AC219" s="65" t="s">
        <v>161</v>
      </c>
      <c r="AD219" s="61"/>
      <c r="AE219" s="120"/>
    </row>
    <row r="220">
      <c r="A220" s="41" t="s">
        <v>169</v>
      </c>
      <c r="B220" s="41" t="s">
        <v>67</v>
      </c>
      <c r="C220" s="68" t="s">
        <v>2770</v>
      </c>
      <c r="D220" s="69">
        <v>600061.0</v>
      </c>
      <c r="E220" s="41" t="s">
        <v>2771</v>
      </c>
      <c r="F220" s="41" t="s">
        <v>2772</v>
      </c>
      <c r="G220" s="41" t="s">
        <v>2773</v>
      </c>
      <c r="H220" s="41" t="s">
        <v>266</v>
      </c>
      <c r="I220" s="31" t="s">
        <v>289</v>
      </c>
      <c r="J220" s="31" t="s">
        <v>289</v>
      </c>
      <c r="K220" s="31" t="s">
        <v>236</v>
      </c>
      <c r="L220" s="31" t="s">
        <v>181</v>
      </c>
      <c r="M220" s="70">
        <v>45348.0</v>
      </c>
      <c r="N220" s="70" t="str">
        <f t="shared" si="109"/>
        <v>2024</v>
      </c>
      <c r="O220" s="70">
        <v>45444.0</v>
      </c>
      <c r="P220" s="102" t="str">
        <f t="shared" si="110"/>
        <v>2024</v>
      </c>
      <c r="Q220" s="73">
        <f t="shared" si="111"/>
        <v>96</v>
      </c>
      <c r="R220" s="93">
        <f t="shared" si="112"/>
        <v>0</v>
      </c>
      <c r="S220" s="41"/>
      <c r="T220" s="74"/>
      <c r="U220" s="75">
        <v>0.0</v>
      </c>
      <c r="V220" s="77"/>
      <c r="W220" s="204" t="s">
        <v>2776</v>
      </c>
      <c r="X220" s="41"/>
      <c r="Y220" s="31" t="s">
        <v>161</v>
      </c>
      <c r="Z220" s="101" t="s">
        <v>247</v>
      </c>
      <c r="AA220" s="31" t="s">
        <v>289</v>
      </c>
      <c r="AB220" s="41" t="s">
        <v>1931</v>
      </c>
      <c r="AC220" s="46" t="s">
        <v>161</v>
      </c>
      <c r="AD220" s="41"/>
      <c r="AE220" s="99"/>
    </row>
    <row r="221">
      <c r="A221" s="61" t="s">
        <v>64</v>
      </c>
      <c r="B221" s="61" t="s">
        <v>67</v>
      </c>
      <c r="C221" s="82" t="s">
        <v>2781</v>
      </c>
      <c r="D221" s="87">
        <v>600132.0</v>
      </c>
      <c r="E221" s="61" t="s">
        <v>1432</v>
      </c>
      <c r="F221" s="61" t="s">
        <v>1433</v>
      </c>
      <c r="G221" s="61" t="s">
        <v>1435</v>
      </c>
      <c r="H221" s="61" t="s">
        <v>266</v>
      </c>
      <c r="I221" s="50" t="s">
        <v>289</v>
      </c>
      <c r="J221" s="50" t="s">
        <v>289</v>
      </c>
      <c r="K221" s="50" t="s">
        <v>236</v>
      </c>
      <c r="L221" s="50" t="s">
        <v>181</v>
      </c>
      <c r="M221" s="84">
        <v>45349.0</v>
      </c>
      <c r="N221" s="84" t="str">
        <f t="shared" si="109"/>
        <v>2024</v>
      </c>
      <c r="O221" s="84">
        <v>45504.0</v>
      </c>
      <c r="P221" s="85" t="str">
        <f t="shared" si="110"/>
        <v>2024</v>
      </c>
      <c r="Q221" s="86">
        <f t="shared" si="111"/>
        <v>155</v>
      </c>
      <c r="R221" s="85">
        <f t="shared" si="112"/>
        <v>0</v>
      </c>
      <c r="S221" s="61"/>
      <c r="T221" s="87"/>
      <c r="U221" s="62">
        <v>1.0</v>
      </c>
      <c r="V221" s="61" t="s">
        <v>1437</v>
      </c>
      <c r="W221" s="61" t="s">
        <v>1436</v>
      </c>
      <c r="X221" s="61"/>
      <c r="Y221" s="50" t="s">
        <v>161</v>
      </c>
      <c r="Z221" s="61" t="s">
        <v>259</v>
      </c>
      <c r="AA221" s="50" t="s">
        <v>289</v>
      </c>
      <c r="AB221" s="50" t="s">
        <v>124</v>
      </c>
      <c r="AC221" s="65" t="s">
        <v>161</v>
      </c>
      <c r="AD221" s="66"/>
      <c r="AE221" s="81"/>
    </row>
    <row r="222">
      <c r="A222" s="31" t="s">
        <v>64</v>
      </c>
      <c r="B222" s="31" t="s">
        <v>19</v>
      </c>
      <c r="C222" s="32" t="s">
        <v>2788</v>
      </c>
      <c r="D222" s="33">
        <v>600292.0</v>
      </c>
      <c r="E222" s="31" t="s">
        <v>1917</v>
      </c>
      <c r="F222" s="31" t="s">
        <v>1918</v>
      </c>
      <c r="G222" s="31" t="s">
        <v>1919</v>
      </c>
      <c r="H222" s="31" t="s">
        <v>232</v>
      </c>
      <c r="I222" s="100" t="s">
        <v>104</v>
      </c>
      <c r="J222" s="100" t="s">
        <v>84</v>
      </c>
      <c r="K222" s="31" t="s">
        <v>84</v>
      </c>
      <c r="L222" s="31" t="s">
        <v>181</v>
      </c>
      <c r="M222" s="37">
        <v>45351.0</v>
      </c>
      <c r="N222" s="33">
        <v>2024.0</v>
      </c>
      <c r="O222" s="37">
        <v>46437.0</v>
      </c>
      <c r="P222" s="39">
        <v>2027.0</v>
      </c>
      <c r="Q222" s="40">
        <v>1086.0</v>
      </c>
      <c r="R222" s="39">
        <v>3.0</v>
      </c>
      <c r="S222" s="41"/>
      <c r="T222" s="33" t="s">
        <v>113</v>
      </c>
      <c r="U222" s="43">
        <v>2.0</v>
      </c>
      <c r="V222" s="31" t="s">
        <v>1921</v>
      </c>
      <c r="W222" s="150" t="s">
        <v>1922</v>
      </c>
      <c r="X222" s="150" t="s">
        <v>2789</v>
      </c>
      <c r="Y222" s="31" t="s">
        <v>161</v>
      </c>
      <c r="Z222" s="31" t="s">
        <v>261</v>
      </c>
      <c r="AA222" s="31" t="s">
        <v>14</v>
      </c>
      <c r="AB222" s="31" t="s">
        <v>124</v>
      </c>
      <c r="AC222" s="46" t="s">
        <v>337</v>
      </c>
      <c r="AD222" s="47"/>
      <c r="AE222" s="49"/>
    </row>
    <row r="223">
      <c r="A223" s="50" t="s">
        <v>169</v>
      </c>
      <c r="B223" s="50" t="s">
        <v>19</v>
      </c>
      <c r="C223" s="52" t="s">
        <v>2790</v>
      </c>
      <c r="D223" s="79">
        <v>800065.0</v>
      </c>
      <c r="E223" s="50" t="s">
        <v>2791</v>
      </c>
      <c r="F223" s="50" t="s">
        <v>2792</v>
      </c>
      <c r="G223" s="50" t="s">
        <v>2793</v>
      </c>
      <c r="H223" s="50" t="s">
        <v>103</v>
      </c>
      <c r="I223" s="50" t="s">
        <v>104</v>
      </c>
      <c r="J223" s="50" t="s">
        <v>233</v>
      </c>
      <c r="K223" s="50" t="s">
        <v>236</v>
      </c>
      <c r="L223" s="50" t="s">
        <v>181</v>
      </c>
      <c r="M223" s="57">
        <v>45351.0</v>
      </c>
      <c r="N223" s="54">
        <v>2024.0</v>
      </c>
      <c r="O223" s="57">
        <v>46361.0</v>
      </c>
      <c r="P223" s="59">
        <v>2026.0</v>
      </c>
      <c r="Q223" s="60">
        <v>1010.0</v>
      </c>
      <c r="R223" s="59">
        <v>3.0</v>
      </c>
      <c r="S223" s="61"/>
      <c r="T223" s="54" t="s">
        <v>113</v>
      </c>
      <c r="U223" s="96">
        <v>1.0</v>
      </c>
      <c r="V223" s="65" t="s">
        <v>2797</v>
      </c>
      <c r="W223" s="50" t="s">
        <v>2798</v>
      </c>
      <c r="X223" s="50" t="s">
        <v>2798</v>
      </c>
      <c r="Y223" s="50" t="s">
        <v>2799</v>
      </c>
      <c r="Z223" s="80" t="s">
        <v>210</v>
      </c>
      <c r="AA223" s="50"/>
      <c r="AB223" s="50" t="s">
        <v>489</v>
      </c>
      <c r="AC223" s="65" t="s">
        <v>276</v>
      </c>
      <c r="AD223" s="61"/>
      <c r="AE223" s="120"/>
    </row>
    <row r="224">
      <c r="A224" s="31" t="s">
        <v>169</v>
      </c>
      <c r="B224" s="31" t="s">
        <v>19</v>
      </c>
      <c r="C224" s="32" t="s">
        <v>2801</v>
      </c>
      <c r="D224" s="113">
        <v>600291.0</v>
      </c>
      <c r="E224" s="31" t="s">
        <v>657</v>
      </c>
      <c r="F224" s="31" t="s">
        <v>2803</v>
      </c>
      <c r="G224" s="31" t="s">
        <v>2804</v>
      </c>
      <c r="H224" s="31" t="s">
        <v>103</v>
      </c>
      <c r="I224" s="100" t="s">
        <v>104</v>
      </c>
      <c r="J224" s="31" t="s">
        <v>233</v>
      </c>
      <c r="K224" s="31" t="s">
        <v>236</v>
      </c>
      <c r="L224" s="31" t="s">
        <v>181</v>
      </c>
      <c r="M224" s="37">
        <v>45351.0</v>
      </c>
      <c r="N224" s="33">
        <v>2024.0</v>
      </c>
      <c r="O224" s="37">
        <v>46459.0</v>
      </c>
      <c r="P224" s="39">
        <v>2027.0</v>
      </c>
      <c r="Q224" s="40">
        <v>1108.0</v>
      </c>
      <c r="R224" s="39">
        <v>4.0</v>
      </c>
      <c r="S224" s="41"/>
      <c r="T224" s="33" t="s">
        <v>113</v>
      </c>
      <c r="U224" s="114">
        <v>3.0</v>
      </c>
      <c r="V224" s="77"/>
      <c r="W224" s="150" t="s">
        <v>2808</v>
      </c>
      <c r="X224" s="150" t="s">
        <v>2808</v>
      </c>
      <c r="Y224" s="31" t="s">
        <v>161</v>
      </c>
      <c r="Z224" s="101" t="s">
        <v>210</v>
      </c>
      <c r="AA224" s="31" t="s">
        <v>123</v>
      </c>
      <c r="AB224" s="31" t="s">
        <v>249</v>
      </c>
      <c r="AC224" s="46" t="s">
        <v>164</v>
      </c>
      <c r="AD224" s="31" t="s">
        <v>251</v>
      </c>
      <c r="AE224" s="99"/>
    </row>
    <row r="225">
      <c r="A225" s="61" t="s">
        <v>64</v>
      </c>
      <c r="B225" s="61" t="s">
        <v>19</v>
      </c>
      <c r="C225" s="82" t="s">
        <v>2811</v>
      </c>
      <c r="D225" s="87">
        <v>600294.0</v>
      </c>
      <c r="E225" s="61" t="s">
        <v>284</v>
      </c>
      <c r="F225" s="61" t="s">
        <v>1943</v>
      </c>
      <c r="G225" s="61" t="s">
        <v>1944</v>
      </c>
      <c r="H225" s="61" t="s">
        <v>266</v>
      </c>
      <c r="I225" s="138" t="s">
        <v>104</v>
      </c>
      <c r="J225" s="50" t="s">
        <v>233</v>
      </c>
      <c r="K225" s="50" t="s">
        <v>236</v>
      </c>
      <c r="L225" s="138" t="s">
        <v>25</v>
      </c>
      <c r="M225" s="84">
        <v>45352.0</v>
      </c>
      <c r="N225" s="84" t="str">
        <f>right(M225,4)</f>
        <v>2024</v>
      </c>
      <c r="O225" s="84">
        <v>46387.0</v>
      </c>
      <c r="P225" s="85" t="str">
        <f>right(O225,4)</f>
        <v>2026</v>
      </c>
      <c r="Q225" s="86">
        <f>DATEDIF(M225,O225,"d")</f>
        <v>1035</v>
      </c>
      <c r="R225" s="85">
        <f>DATEDIF(M225,O225,"y")</f>
        <v>2</v>
      </c>
      <c r="S225" s="61"/>
      <c r="T225" s="87" t="s">
        <v>269</v>
      </c>
      <c r="U225" s="62">
        <v>0.0</v>
      </c>
      <c r="V225" s="61" t="s">
        <v>1953</v>
      </c>
      <c r="W225" s="61" t="s">
        <v>1950</v>
      </c>
      <c r="X225" s="50" t="s">
        <v>2818</v>
      </c>
      <c r="Y225" s="50" t="s">
        <v>161</v>
      </c>
      <c r="Z225" s="50" t="s">
        <v>211</v>
      </c>
      <c r="AA225" s="50" t="s">
        <v>123</v>
      </c>
      <c r="AB225" s="50" t="s">
        <v>124</v>
      </c>
      <c r="AC225" s="65" t="s">
        <v>337</v>
      </c>
      <c r="AD225" s="66"/>
      <c r="AE225" s="67"/>
    </row>
    <row r="226">
      <c r="A226" s="31" t="s">
        <v>64</v>
      </c>
      <c r="B226" s="31" t="s">
        <v>19</v>
      </c>
      <c r="C226" s="32" t="s">
        <v>2820</v>
      </c>
      <c r="D226" s="33">
        <v>600295.0</v>
      </c>
      <c r="E226" s="31" t="s">
        <v>271</v>
      </c>
      <c r="F226" s="31" t="s">
        <v>1958</v>
      </c>
      <c r="G226" s="31" t="s">
        <v>1959</v>
      </c>
      <c r="H226" s="31" t="s">
        <v>232</v>
      </c>
      <c r="I226" s="31" t="s">
        <v>104</v>
      </c>
      <c r="J226" s="31" t="s">
        <v>146</v>
      </c>
      <c r="K226" s="31" t="s">
        <v>236</v>
      </c>
      <c r="L226" s="31" t="s">
        <v>25</v>
      </c>
      <c r="M226" s="37">
        <v>45352.0</v>
      </c>
      <c r="N226" s="33">
        <v>2024.0</v>
      </c>
      <c r="O226" s="37">
        <v>46324.0</v>
      </c>
      <c r="P226" s="39">
        <v>2026.0</v>
      </c>
      <c r="Q226" s="40">
        <v>972.0</v>
      </c>
      <c r="R226" s="39">
        <v>3.0</v>
      </c>
      <c r="S226" s="41"/>
      <c r="T226" s="33" t="s">
        <v>113</v>
      </c>
      <c r="U226" s="43">
        <v>2.0</v>
      </c>
      <c r="V226" s="31" t="s">
        <v>1970</v>
      </c>
      <c r="W226" s="150" t="s">
        <v>1966</v>
      </c>
      <c r="X226" s="150" t="s">
        <v>1966</v>
      </c>
      <c r="Y226" s="31" t="s">
        <v>209</v>
      </c>
      <c r="Z226" s="31" t="s">
        <v>211</v>
      </c>
      <c r="AA226" s="31" t="s">
        <v>14</v>
      </c>
      <c r="AB226" s="31" t="s">
        <v>124</v>
      </c>
      <c r="AC226" s="46" t="s">
        <v>337</v>
      </c>
      <c r="AD226" s="47"/>
      <c r="AE226" s="49"/>
    </row>
    <row r="227">
      <c r="A227" s="50" t="s">
        <v>64</v>
      </c>
      <c r="B227" s="50" t="s">
        <v>67</v>
      </c>
      <c r="C227" s="52" t="s">
        <v>2826</v>
      </c>
      <c r="D227" s="54">
        <v>600296.0</v>
      </c>
      <c r="E227" s="50" t="s">
        <v>135</v>
      </c>
      <c r="F227" s="50" t="s">
        <v>1974</v>
      </c>
      <c r="G227" s="50" t="s">
        <v>1975</v>
      </c>
      <c r="H227" s="50" t="s">
        <v>232</v>
      </c>
      <c r="I227" s="50" t="s">
        <v>104</v>
      </c>
      <c r="J227" s="50" t="s">
        <v>233</v>
      </c>
      <c r="K227" s="50" t="s">
        <v>236</v>
      </c>
      <c r="L227" s="50" t="s">
        <v>25</v>
      </c>
      <c r="M227" s="57">
        <v>45352.0</v>
      </c>
      <c r="N227" s="54">
        <v>2024.0</v>
      </c>
      <c r="O227" s="57">
        <v>46203.0</v>
      </c>
      <c r="P227" s="59">
        <v>2026.0</v>
      </c>
      <c r="Q227" s="60">
        <v>851.0</v>
      </c>
      <c r="R227" s="59">
        <v>3.0</v>
      </c>
      <c r="S227" s="61"/>
      <c r="T227" s="54" t="s">
        <v>113</v>
      </c>
      <c r="U227" s="62">
        <v>2.0</v>
      </c>
      <c r="V227" s="50" t="s">
        <v>1953</v>
      </c>
      <c r="W227" s="50" t="s">
        <v>1980</v>
      </c>
      <c r="X227" s="50" t="s">
        <v>1980</v>
      </c>
      <c r="Y227" s="50" t="s">
        <v>161</v>
      </c>
      <c r="Z227" s="50" t="s">
        <v>211</v>
      </c>
      <c r="AA227" s="50" t="s">
        <v>14</v>
      </c>
      <c r="AB227" s="50" t="s">
        <v>124</v>
      </c>
      <c r="AC227" s="65" t="s">
        <v>337</v>
      </c>
      <c r="AD227" s="66"/>
      <c r="AE227" s="67"/>
    </row>
    <row r="228">
      <c r="A228" s="41" t="s">
        <v>169</v>
      </c>
      <c r="B228" s="41" t="s">
        <v>67</v>
      </c>
      <c r="C228" s="68" t="s">
        <v>2831</v>
      </c>
      <c r="D228" s="69">
        <v>600299.0</v>
      </c>
      <c r="E228" s="41" t="s">
        <v>2832</v>
      </c>
      <c r="F228" s="41" t="s">
        <v>2833</v>
      </c>
      <c r="G228" s="41" t="s">
        <v>2834</v>
      </c>
      <c r="H228" s="31" t="s">
        <v>103</v>
      </c>
      <c r="I228" s="31" t="s">
        <v>289</v>
      </c>
      <c r="J228" s="31" t="s">
        <v>289</v>
      </c>
      <c r="K228" s="31" t="s">
        <v>147</v>
      </c>
      <c r="L228" s="91" t="s">
        <v>48</v>
      </c>
      <c r="M228" s="70">
        <v>45352.0</v>
      </c>
      <c r="N228" s="70" t="str">
        <f t="shared" ref="N228:N236" si="113">right(M228,4)</f>
        <v>2024</v>
      </c>
      <c r="O228" s="70">
        <v>45717.0</v>
      </c>
      <c r="P228" s="102" t="str">
        <f t="shared" ref="P228:P236" si="114">right(O228,4)</f>
        <v>2025</v>
      </c>
      <c r="Q228" s="73">
        <f t="shared" ref="Q228:Q236" si="115">DATEDIF(M228,O228,"d")</f>
        <v>365</v>
      </c>
      <c r="R228" s="93">
        <f t="shared" ref="R228:R236" si="116">DATEDIF(M228,O228,"y")</f>
        <v>1</v>
      </c>
      <c r="S228" s="41"/>
      <c r="T228" s="74"/>
      <c r="U228" s="75">
        <v>0.0</v>
      </c>
      <c r="V228" s="77"/>
      <c r="W228" s="41" t="s">
        <v>2836</v>
      </c>
      <c r="X228" s="41" t="s">
        <v>2836</v>
      </c>
      <c r="Y228" s="31" t="s">
        <v>161</v>
      </c>
      <c r="Z228" s="101" t="s">
        <v>247</v>
      </c>
      <c r="AA228" s="31" t="s">
        <v>261</v>
      </c>
      <c r="AB228" s="41" t="s">
        <v>1666</v>
      </c>
      <c r="AC228" s="46" t="s">
        <v>337</v>
      </c>
      <c r="AD228" s="41"/>
      <c r="AE228" s="99"/>
    </row>
    <row r="229">
      <c r="A229" s="61" t="s">
        <v>64</v>
      </c>
      <c r="B229" s="61" t="s">
        <v>67</v>
      </c>
      <c r="C229" s="52" t="s">
        <v>2837</v>
      </c>
      <c r="D229" s="67"/>
      <c r="E229" s="138" t="s">
        <v>2090</v>
      </c>
      <c r="F229" s="61" t="s">
        <v>2091</v>
      </c>
      <c r="G229" s="61" t="s">
        <v>2092</v>
      </c>
      <c r="H229" s="50" t="s">
        <v>103</v>
      </c>
      <c r="I229" s="97" t="s">
        <v>106</v>
      </c>
      <c r="J229" s="50" t="s">
        <v>233</v>
      </c>
      <c r="K229" s="50" t="s">
        <v>147</v>
      </c>
      <c r="L229" s="50" t="s">
        <v>484</v>
      </c>
      <c r="M229" s="84">
        <v>45355.0</v>
      </c>
      <c r="N229" s="84" t="str">
        <f t="shared" si="113"/>
        <v>2024</v>
      </c>
      <c r="O229" s="84">
        <v>45358.0</v>
      </c>
      <c r="P229" s="85" t="str">
        <f t="shared" si="114"/>
        <v>2024</v>
      </c>
      <c r="Q229" s="86">
        <f t="shared" si="115"/>
        <v>3</v>
      </c>
      <c r="R229" s="85">
        <f t="shared" si="116"/>
        <v>0</v>
      </c>
      <c r="S229" s="61"/>
      <c r="T229" s="87"/>
      <c r="U229" s="96">
        <v>0.0</v>
      </c>
      <c r="V229" s="61" t="s">
        <v>2095</v>
      </c>
      <c r="W229" s="61" t="s">
        <v>2093</v>
      </c>
      <c r="X229" s="61"/>
      <c r="Y229" s="50" t="s">
        <v>161</v>
      </c>
      <c r="Z229" s="50" t="s">
        <v>122</v>
      </c>
      <c r="AA229" s="50" t="s">
        <v>175</v>
      </c>
      <c r="AB229" s="61" t="s">
        <v>1996</v>
      </c>
      <c r="AC229" s="65" t="s">
        <v>161</v>
      </c>
      <c r="AD229" s="66"/>
      <c r="AE229" s="108" t="s">
        <v>220</v>
      </c>
    </row>
    <row r="230">
      <c r="A230" s="41" t="s">
        <v>64</v>
      </c>
      <c r="B230" s="41" t="s">
        <v>67</v>
      </c>
      <c r="C230" s="68" t="s">
        <v>2844</v>
      </c>
      <c r="D230" s="74">
        <v>600297.0</v>
      </c>
      <c r="E230" s="41" t="s">
        <v>1984</v>
      </c>
      <c r="F230" s="41" t="s">
        <v>1987</v>
      </c>
      <c r="G230" s="41" t="s">
        <v>1989</v>
      </c>
      <c r="H230" s="41" t="s">
        <v>266</v>
      </c>
      <c r="I230" s="31" t="s">
        <v>289</v>
      </c>
      <c r="J230" s="31" t="s">
        <v>289</v>
      </c>
      <c r="K230" s="31" t="s">
        <v>236</v>
      </c>
      <c r="L230" s="91" t="s">
        <v>25</v>
      </c>
      <c r="M230" s="70">
        <v>45355.0</v>
      </c>
      <c r="N230" s="70" t="str">
        <f t="shared" si="113"/>
        <v>2024</v>
      </c>
      <c r="O230" s="70">
        <v>45657.0</v>
      </c>
      <c r="P230" s="93" t="str">
        <f t="shared" si="114"/>
        <v>2024</v>
      </c>
      <c r="Q230" s="73">
        <f t="shared" si="115"/>
        <v>302</v>
      </c>
      <c r="R230" s="93">
        <f t="shared" si="116"/>
        <v>0</v>
      </c>
      <c r="S230" s="41"/>
      <c r="T230" s="74" t="s">
        <v>269</v>
      </c>
      <c r="U230" s="43">
        <v>0.0</v>
      </c>
      <c r="V230" s="41" t="s">
        <v>1995</v>
      </c>
      <c r="W230" s="41" t="s">
        <v>1993</v>
      </c>
      <c r="X230" s="41"/>
      <c r="Y230" s="31" t="s">
        <v>161</v>
      </c>
      <c r="Z230" s="41" t="s">
        <v>162</v>
      </c>
      <c r="AA230" s="31" t="s">
        <v>289</v>
      </c>
      <c r="AB230" s="41" t="s">
        <v>1996</v>
      </c>
      <c r="AC230" s="46" t="s">
        <v>161</v>
      </c>
      <c r="AD230" s="47"/>
      <c r="AE230" s="111"/>
    </row>
    <row r="231">
      <c r="A231" s="61" t="s">
        <v>64</v>
      </c>
      <c r="B231" s="61" t="s">
        <v>67</v>
      </c>
      <c r="C231" s="82" t="s">
        <v>2848</v>
      </c>
      <c r="D231" s="87">
        <v>600298.0</v>
      </c>
      <c r="E231" s="61" t="s">
        <v>2023</v>
      </c>
      <c r="F231" s="61" t="s">
        <v>2025</v>
      </c>
      <c r="G231" s="174" t="s">
        <v>2026</v>
      </c>
      <c r="H231" s="61" t="s">
        <v>266</v>
      </c>
      <c r="I231" s="50" t="s">
        <v>289</v>
      </c>
      <c r="J231" s="50" t="s">
        <v>289</v>
      </c>
      <c r="K231" s="50" t="s">
        <v>236</v>
      </c>
      <c r="L231" s="138" t="s">
        <v>25</v>
      </c>
      <c r="M231" s="84">
        <v>45355.0</v>
      </c>
      <c r="N231" s="84" t="str">
        <f t="shared" si="113"/>
        <v>2024</v>
      </c>
      <c r="O231" s="84">
        <v>45747.0</v>
      </c>
      <c r="P231" s="85" t="str">
        <f t="shared" si="114"/>
        <v>2025</v>
      </c>
      <c r="Q231" s="86">
        <f t="shared" si="115"/>
        <v>392</v>
      </c>
      <c r="R231" s="85">
        <f t="shared" si="116"/>
        <v>1</v>
      </c>
      <c r="S231" s="61"/>
      <c r="T231" s="87"/>
      <c r="U231" s="62">
        <v>0.0</v>
      </c>
      <c r="V231" s="61"/>
      <c r="W231" s="174" t="s">
        <v>2036</v>
      </c>
      <c r="X231" s="174" t="s">
        <v>2036</v>
      </c>
      <c r="Y231" s="50" t="s">
        <v>161</v>
      </c>
      <c r="Z231" s="50" t="s">
        <v>311</v>
      </c>
      <c r="AA231" s="50" t="s">
        <v>289</v>
      </c>
      <c r="AB231" s="61" t="s">
        <v>1996</v>
      </c>
      <c r="AC231" s="65" t="s">
        <v>276</v>
      </c>
      <c r="AD231" s="66"/>
      <c r="AE231" s="81"/>
    </row>
    <row r="232">
      <c r="A232" s="41" t="s">
        <v>169</v>
      </c>
      <c r="B232" s="41" t="s">
        <v>67</v>
      </c>
      <c r="C232" s="68" t="s">
        <v>2854</v>
      </c>
      <c r="D232" s="69">
        <v>600300.0</v>
      </c>
      <c r="E232" s="41" t="s">
        <v>2855</v>
      </c>
      <c r="F232" s="41" t="s">
        <v>2856</v>
      </c>
      <c r="G232" s="41" t="s">
        <v>2857</v>
      </c>
      <c r="H232" s="31" t="s">
        <v>103</v>
      </c>
      <c r="I232" s="31" t="s">
        <v>289</v>
      </c>
      <c r="J232" s="31" t="s">
        <v>289</v>
      </c>
      <c r="K232" s="31" t="s">
        <v>147</v>
      </c>
      <c r="L232" s="91" t="s">
        <v>48</v>
      </c>
      <c r="M232" s="70">
        <v>45355.0</v>
      </c>
      <c r="N232" s="70" t="str">
        <f t="shared" si="113"/>
        <v>2024</v>
      </c>
      <c r="O232" s="70">
        <v>45720.0</v>
      </c>
      <c r="P232" s="102" t="str">
        <f t="shared" si="114"/>
        <v>2025</v>
      </c>
      <c r="Q232" s="73">
        <f t="shared" si="115"/>
        <v>365</v>
      </c>
      <c r="R232" s="93">
        <f t="shared" si="116"/>
        <v>1</v>
      </c>
      <c r="S232" s="41"/>
      <c r="T232" s="74"/>
      <c r="U232" s="75">
        <v>0.0</v>
      </c>
      <c r="V232" s="77"/>
      <c r="W232" s="41" t="s">
        <v>2858</v>
      </c>
      <c r="X232" s="41" t="s">
        <v>2858</v>
      </c>
      <c r="Y232" s="31" t="s">
        <v>161</v>
      </c>
      <c r="Z232" s="101" t="s">
        <v>247</v>
      </c>
      <c r="AA232" s="31" t="s">
        <v>289</v>
      </c>
      <c r="AB232" s="31" t="s">
        <v>1499</v>
      </c>
      <c r="AC232" s="46" t="s">
        <v>161</v>
      </c>
      <c r="AD232" s="41"/>
      <c r="AE232" s="99"/>
    </row>
    <row r="233">
      <c r="A233" s="61" t="s">
        <v>64</v>
      </c>
      <c r="B233" s="61" t="s">
        <v>67</v>
      </c>
      <c r="C233" s="82" t="s">
        <v>2861</v>
      </c>
      <c r="D233" s="87">
        <v>600301.0</v>
      </c>
      <c r="E233" s="61" t="s">
        <v>2041</v>
      </c>
      <c r="F233" s="61" t="s">
        <v>2044</v>
      </c>
      <c r="G233" s="174" t="s">
        <v>2045</v>
      </c>
      <c r="H233" s="61" t="s">
        <v>266</v>
      </c>
      <c r="I233" s="50" t="s">
        <v>289</v>
      </c>
      <c r="J233" s="50" t="s">
        <v>289</v>
      </c>
      <c r="K233" s="50" t="s">
        <v>236</v>
      </c>
      <c r="L233" s="138" t="s">
        <v>25</v>
      </c>
      <c r="M233" s="84">
        <v>45357.0</v>
      </c>
      <c r="N233" s="84" t="str">
        <f t="shared" si="113"/>
        <v>2024</v>
      </c>
      <c r="O233" s="84">
        <v>45722.0</v>
      </c>
      <c r="P233" s="85" t="str">
        <f t="shared" si="114"/>
        <v>2025</v>
      </c>
      <c r="Q233" s="86">
        <f t="shared" si="115"/>
        <v>365</v>
      </c>
      <c r="R233" s="85">
        <f t="shared" si="116"/>
        <v>1</v>
      </c>
      <c r="S233" s="61"/>
      <c r="T233" s="87"/>
      <c r="U233" s="62">
        <v>0.0</v>
      </c>
      <c r="V233" s="61"/>
      <c r="W233" s="174" t="s">
        <v>2053</v>
      </c>
      <c r="X233" s="174" t="s">
        <v>2053</v>
      </c>
      <c r="Y233" s="50" t="s">
        <v>161</v>
      </c>
      <c r="Z233" s="50" t="s">
        <v>311</v>
      </c>
      <c r="AA233" s="50" t="s">
        <v>289</v>
      </c>
      <c r="AB233" s="61" t="s">
        <v>1996</v>
      </c>
      <c r="AC233" s="65" t="s">
        <v>161</v>
      </c>
      <c r="AD233" s="66"/>
      <c r="AE233" s="81"/>
    </row>
    <row r="234">
      <c r="A234" s="41" t="s">
        <v>64</v>
      </c>
      <c r="B234" s="41" t="s">
        <v>67</v>
      </c>
      <c r="C234" s="68" t="s">
        <v>2864</v>
      </c>
      <c r="D234" s="74">
        <v>600303.0</v>
      </c>
      <c r="E234" s="41" t="s">
        <v>2061</v>
      </c>
      <c r="F234" s="41" t="s">
        <v>2062</v>
      </c>
      <c r="G234" s="41" t="s">
        <v>2063</v>
      </c>
      <c r="H234" s="41" t="s">
        <v>266</v>
      </c>
      <c r="I234" s="31" t="s">
        <v>289</v>
      </c>
      <c r="J234" s="31" t="s">
        <v>289</v>
      </c>
      <c r="K234" s="31" t="s">
        <v>236</v>
      </c>
      <c r="L234" s="91" t="s">
        <v>25</v>
      </c>
      <c r="M234" s="70">
        <v>45362.0</v>
      </c>
      <c r="N234" s="70" t="str">
        <f t="shared" si="113"/>
        <v>2024</v>
      </c>
      <c r="O234" s="70">
        <v>45727.0</v>
      </c>
      <c r="P234" s="93" t="str">
        <f t="shared" si="114"/>
        <v>2025</v>
      </c>
      <c r="Q234" s="73">
        <f t="shared" si="115"/>
        <v>365</v>
      </c>
      <c r="R234" s="93">
        <f t="shared" si="116"/>
        <v>1</v>
      </c>
      <c r="S234" s="41"/>
      <c r="T234" s="74" t="s">
        <v>269</v>
      </c>
      <c r="U234" s="43">
        <v>0.0</v>
      </c>
      <c r="V234" s="41"/>
      <c r="W234" s="154" t="s">
        <v>2071</v>
      </c>
      <c r="X234" s="154" t="s">
        <v>2071</v>
      </c>
      <c r="Y234" s="31" t="s">
        <v>161</v>
      </c>
      <c r="Z234" s="31" t="s">
        <v>311</v>
      </c>
      <c r="AA234" s="31" t="s">
        <v>261</v>
      </c>
      <c r="AB234" s="41" t="s">
        <v>1996</v>
      </c>
      <c r="AC234" s="46" t="s">
        <v>161</v>
      </c>
      <c r="AD234" s="47"/>
      <c r="AE234" s="111"/>
    </row>
    <row r="235">
      <c r="A235" s="61" t="s">
        <v>169</v>
      </c>
      <c r="B235" s="61" t="s">
        <v>67</v>
      </c>
      <c r="C235" s="82" t="s">
        <v>2868</v>
      </c>
      <c r="D235" s="94">
        <v>600304.0</v>
      </c>
      <c r="E235" s="61" t="s">
        <v>2869</v>
      </c>
      <c r="F235" s="61" t="s">
        <v>2870</v>
      </c>
      <c r="G235" s="61" t="s">
        <v>2871</v>
      </c>
      <c r="H235" s="61" t="s">
        <v>84</v>
      </c>
      <c r="I235" s="50" t="s">
        <v>289</v>
      </c>
      <c r="J235" s="50" t="s">
        <v>289</v>
      </c>
      <c r="K235" s="61" t="s">
        <v>84</v>
      </c>
      <c r="L235" s="138" t="s">
        <v>48</v>
      </c>
      <c r="M235" s="84">
        <v>45362.0</v>
      </c>
      <c r="N235" s="84" t="str">
        <f t="shared" si="113"/>
        <v>2024</v>
      </c>
      <c r="O235" s="84">
        <v>45740.0</v>
      </c>
      <c r="P235" s="95" t="str">
        <f t="shared" si="114"/>
        <v>2025</v>
      </c>
      <c r="Q235" s="86">
        <f t="shared" si="115"/>
        <v>378</v>
      </c>
      <c r="R235" s="85">
        <f t="shared" si="116"/>
        <v>1</v>
      </c>
      <c r="S235" s="61"/>
      <c r="T235" s="87"/>
      <c r="U235" s="96">
        <v>0.0</v>
      </c>
      <c r="V235" s="97"/>
      <c r="W235" s="61" t="s">
        <v>2875</v>
      </c>
      <c r="X235" s="61" t="s">
        <v>2875</v>
      </c>
      <c r="Y235" s="50" t="s">
        <v>161</v>
      </c>
      <c r="Z235" s="80" t="s">
        <v>247</v>
      </c>
      <c r="AA235" s="50" t="s">
        <v>289</v>
      </c>
      <c r="AB235" s="50" t="s">
        <v>213</v>
      </c>
      <c r="AC235" s="65" t="s">
        <v>161</v>
      </c>
      <c r="AD235" s="61"/>
      <c r="AE235" s="120"/>
    </row>
    <row r="236">
      <c r="A236" s="41" t="s">
        <v>64</v>
      </c>
      <c r="B236" s="41" t="s">
        <v>67</v>
      </c>
      <c r="C236" s="68" t="s">
        <v>2876</v>
      </c>
      <c r="D236" s="74">
        <v>600313.0</v>
      </c>
      <c r="E236" s="41" t="s">
        <v>2180</v>
      </c>
      <c r="F236" s="41" t="s">
        <v>2181</v>
      </c>
      <c r="G236" s="41" t="s">
        <v>2182</v>
      </c>
      <c r="H236" s="41" t="s">
        <v>266</v>
      </c>
      <c r="I236" s="35" t="s">
        <v>104</v>
      </c>
      <c r="J236" s="104" t="s">
        <v>233</v>
      </c>
      <c r="K236" s="31" t="s">
        <v>236</v>
      </c>
      <c r="L236" s="31" t="s">
        <v>181</v>
      </c>
      <c r="M236" s="70">
        <v>45363.0</v>
      </c>
      <c r="N236" s="70" t="str">
        <f t="shared" si="113"/>
        <v>2024</v>
      </c>
      <c r="O236" s="70">
        <v>45728.0</v>
      </c>
      <c r="P236" s="93" t="str">
        <f t="shared" si="114"/>
        <v>2025</v>
      </c>
      <c r="Q236" s="73">
        <f t="shared" si="115"/>
        <v>365</v>
      </c>
      <c r="R236" s="93">
        <f t="shared" si="116"/>
        <v>1</v>
      </c>
      <c r="S236" s="41"/>
      <c r="T236" s="74"/>
      <c r="U236" s="43">
        <v>0.0</v>
      </c>
      <c r="V236" s="41"/>
      <c r="W236" s="31" t="s">
        <v>2190</v>
      </c>
      <c r="X236" s="31" t="s">
        <v>2190</v>
      </c>
      <c r="Y236" s="31" t="s">
        <v>161</v>
      </c>
      <c r="Z236" s="31" t="s">
        <v>122</v>
      </c>
      <c r="AA236" s="31" t="s">
        <v>261</v>
      </c>
      <c r="AB236" s="41" t="s">
        <v>440</v>
      </c>
      <c r="AC236" s="46" t="s">
        <v>161</v>
      </c>
      <c r="AD236" s="47"/>
      <c r="AE236" s="49"/>
    </row>
    <row r="237">
      <c r="A237" s="50" t="s">
        <v>64</v>
      </c>
      <c r="B237" s="50" t="s">
        <v>19</v>
      </c>
      <c r="C237" s="52" t="s">
        <v>2884</v>
      </c>
      <c r="D237" s="54">
        <v>600309.0</v>
      </c>
      <c r="E237" s="50" t="s">
        <v>544</v>
      </c>
      <c r="F237" s="50" t="s">
        <v>2077</v>
      </c>
      <c r="G237" s="159" t="s">
        <v>2078</v>
      </c>
      <c r="H237" s="50" t="s">
        <v>232</v>
      </c>
      <c r="I237" s="125" t="s">
        <v>104</v>
      </c>
      <c r="J237" s="80" t="s">
        <v>146</v>
      </c>
      <c r="K237" s="50" t="s">
        <v>236</v>
      </c>
      <c r="L237" s="50" t="s">
        <v>25</v>
      </c>
      <c r="M237" s="57">
        <v>45369.0</v>
      </c>
      <c r="N237" s="54">
        <v>2024.0</v>
      </c>
      <c r="O237" s="57">
        <v>46910.0</v>
      </c>
      <c r="P237" s="59">
        <v>2026.0</v>
      </c>
      <c r="Q237" s="60">
        <v>810.0</v>
      </c>
      <c r="R237" s="59">
        <v>3.0</v>
      </c>
      <c r="S237" s="50" t="s">
        <v>2885</v>
      </c>
      <c r="T237" s="54" t="s">
        <v>269</v>
      </c>
      <c r="U237" s="62">
        <v>2.0</v>
      </c>
      <c r="V237" s="61"/>
      <c r="W237" s="159" t="s">
        <v>2084</v>
      </c>
      <c r="X237" s="159" t="s">
        <v>2886</v>
      </c>
      <c r="Y237" s="50" t="s">
        <v>590</v>
      </c>
      <c r="Z237" s="50" t="s">
        <v>261</v>
      </c>
      <c r="AA237" s="50" t="s">
        <v>767</v>
      </c>
      <c r="AB237" s="50" t="s">
        <v>124</v>
      </c>
      <c r="AC237" s="65" t="s">
        <v>128</v>
      </c>
      <c r="AD237" s="66"/>
      <c r="AE237" s="67"/>
    </row>
    <row r="238">
      <c r="A238" s="41" t="s">
        <v>169</v>
      </c>
      <c r="B238" s="41" t="s">
        <v>67</v>
      </c>
      <c r="C238" s="68" t="s">
        <v>2888</v>
      </c>
      <c r="D238" s="69">
        <v>600311.0</v>
      </c>
      <c r="E238" s="41" t="s">
        <v>2889</v>
      </c>
      <c r="F238" s="41" t="s">
        <v>2890</v>
      </c>
      <c r="G238" s="41" t="s">
        <v>2891</v>
      </c>
      <c r="H238" s="31" t="s">
        <v>103</v>
      </c>
      <c r="I238" s="31" t="s">
        <v>289</v>
      </c>
      <c r="J238" s="31" t="s">
        <v>289</v>
      </c>
      <c r="K238" s="31" t="s">
        <v>147</v>
      </c>
      <c r="L238" s="91" t="s">
        <v>48</v>
      </c>
      <c r="M238" s="70">
        <v>45369.0</v>
      </c>
      <c r="N238" s="70" t="str">
        <f t="shared" ref="N238:N241" si="117">right(M238,4)</f>
        <v>2024</v>
      </c>
      <c r="O238" s="70">
        <v>45734.0</v>
      </c>
      <c r="P238" s="102" t="str">
        <f t="shared" ref="P238:P241" si="118">right(O238,4)</f>
        <v>2025</v>
      </c>
      <c r="Q238" s="73">
        <f t="shared" ref="Q238:Q241" si="119">DATEDIF(M238,O238,"d")</f>
        <v>365</v>
      </c>
      <c r="R238" s="93">
        <f t="shared" ref="R238:R241" si="120">DATEDIF(M238,O238,"y")</f>
        <v>1</v>
      </c>
      <c r="S238" s="41"/>
      <c r="T238" s="74"/>
      <c r="U238" s="75">
        <v>0.0</v>
      </c>
      <c r="V238" s="77"/>
      <c r="W238" s="41" t="s">
        <v>2896</v>
      </c>
      <c r="X238" s="41" t="s">
        <v>2896</v>
      </c>
      <c r="Y238" s="31" t="s">
        <v>161</v>
      </c>
      <c r="Z238" s="101" t="s">
        <v>247</v>
      </c>
      <c r="AA238" s="31" t="s">
        <v>261</v>
      </c>
      <c r="AB238" s="31" t="s">
        <v>1499</v>
      </c>
      <c r="AC238" s="46" t="s">
        <v>161</v>
      </c>
      <c r="AD238" s="41"/>
      <c r="AE238" s="99"/>
    </row>
    <row r="239">
      <c r="A239" s="61" t="s">
        <v>169</v>
      </c>
      <c r="B239" s="61" t="s">
        <v>67</v>
      </c>
      <c r="C239" s="82" t="s">
        <v>2897</v>
      </c>
      <c r="D239" s="94">
        <v>600308.0</v>
      </c>
      <c r="E239" s="61" t="s">
        <v>2898</v>
      </c>
      <c r="F239" s="61" t="s">
        <v>2899</v>
      </c>
      <c r="G239" s="61" t="s">
        <v>2900</v>
      </c>
      <c r="H239" s="50" t="s">
        <v>103</v>
      </c>
      <c r="I239" s="50" t="s">
        <v>289</v>
      </c>
      <c r="J239" s="50" t="s">
        <v>289</v>
      </c>
      <c r="K239" s="50" t="s">
        <v>147</v>
      </c>
      <c r="L239" s="138" t="s">
        <v>48</v>
      </c>
      <c r="M239" s="84">
        <v>45369.0</v>
      </c>
      <c r="N239" s="84" t="str">
        <f t="shared" si="117"/>
        <v>2024</v>
      </c>
      <c r="O239" s="84">
        <v>45734.0</v>
      </c>
      <c r="P239" s="95" t="str">
        <f t="shared" si="118"/>
        <v>2025</v>
      </c>
      <c r="Q239" s="86">
        <f t="shared" si="119"/>
        <v>365</v>
      </c>
      <c r="R239" s="85">
        <f t="shared" si="120"/>
        <v>1</v>
      </c>
      <c r="S239" s="61"/>
      <c r="T239" s="87"/>
      <c r="U239" s="96">
        <v>0.0</v>
      </c>
      <c r="V239" s="97"/>
      <c r="W239" s="61" t="s">
        <v>2901</v>
      </c>
      <c r="X239" s="61" t="s">
        <v>2901</v>
      </c>
      <c r="Y239" s="50" t="s">
        <v>161</v>
      </c>
      <c r="Z239" s="80" t="s">
        <v>247</v>
      </c>
      <c r="AA239" s="50" t="s">
        <v>289</v>
      </c>
      <c r="AB239" s="61" t="s">
        <v>2904</v>
      </c>
      <c r="AC239" s="65" t="s">
        <v>337</v>
      </c>
      <c r="AD239" s="61"/>
      <c r="AE239" s="120"/>
    </row>
    <row r="240">
      <c r="A240" s="41" t="s">
        <v>64</v>
      </c>
      <c r="B240" s="41" t="s">
        <v>67</v>
      </c>
      <c r="C240" s="68" t="s">
        <v>2906</v>
      </c>
      <c r="D240" s="110"/>
      <c r="E240" s="41" t="s">
        <v>2097</v>
      </c>
      <c r="F240" s="41" t="s">
        <v>2098</v>
      </c>
      <c r="G240" s="41" t="s">
        <v>2100</v>
      </c>
      <c r="H240" s="31" t="s">
        <v>84</v>
      </c>
      <c r="I240" s="77" t="s">
        <v>106</v>
      </c>
      <c r="J240" s="91" t="s">
        <v>84</v>
      </c>
      <c r="K240" s="41" t="s">
        <v>84</v>
      </c>
      <c r="L240" s="31" t="s">
        <v>105</v>
      </c>
      <c r="M240" s="70">
        <v>45370.0</v>
      </c>
      <c r="N240" s="70" t="str">
        <f t="shared" si="117"/>
        <v>2024</v>
      </c>
      <c r="O240" s="70">
        <v>45377.0</v>
      </c>
      <c r="P240" s="93" t="str">
        <f t="shared" si="118"/>
        <v>2024</v>
      </c>
      <c r="Q240" s="73">
        <f t="shared" si="119"/>
        <v>7</v>
      </c>
      <c r="R240" s="93">
        <f t="shared" si="120"/>
        <v>0</v>
      </c>
      <c r="S240" s="41"/>
      <c r="T240" s="74"/>
      <c r="U240" s="75">
        <v>0.0</v>
      </c>
      <c r="V240" s="41" t="s">
        <v>2104</v>
      </c>
      <c r="W240" s="41" t="s">
        <v>2102</v>
      </c>
      <c r="X240" s="41"/>
      <c r="Y240" s="31" t="s">
        <v>161</v>
      </c>
      <c r="Z240" s="31" t="s">
        <v>122</v>
      </c>
      <c r="AA240" s="31" t="s">
        <v>175</v>
      </c>
      <c r="AB240" s="31" t="s">
        <v>124</v>
      </c>
      <c r="AC240" s="46" t="s">
        <v>161</v>
      </c>
      <c r="AD240" s="47"/>
      <c r="AE240" s="78" t="s">
        <v>220</v>
      </c>
    </row>
    <row r="241">
      <c r="A241" s="61" t="s">
        <v>169</v>
      </c>
      <c r="B241" s="61" t="s">
        <v>67</v>
      </c>
      <c r="C241" s="82" t="s">
        <v>2910</v>
      </c>
      <c r="D241" s="94">
        <v>600314.0</v>
      </c>
      <c r="E241" s="61" t="s">
        <v>2911</v>
      </c>
      <c r="F241" s="61" t="s">
        <v>2912</v>
      </c>
      <c r="G241" s="61" t="s">
        <v>2913</v>
      </c>
      <c r="H241" s="61" t="s">
        <v>266</v>
      </c>
      <c r="I241" s="56" t="s">
        <v>104</v>
      </c>
      <c r="J241" s="50" t="s">
        <v>289</v>
      </c>
      <c r="K241" s="50" t="s">
        <v>236</v>
      </c>
      <c r="L241" s="138" t="s">
        <v>48</v>
      </c>
      <c r="M241" s="84">
        <v>45370.0</v>
      </c>
      <c r="N241" s="84" t="str">
        <f t="shared" si="117"/>
        <v>2024</v>
      </c>
      <c r="O241" s="84">
        <v>45443.0</v>
      </c>
      <c r="P241" s="95" t="str">
        <f t="shared" si="118"/>
        <v>2024</v>
      </c>
      <c r="Q241" s="86">
        <f t="shared" si="119"/>
        <v>73</v>
      </c>
      <c r="R241" s="85">
        <f t="shared" si="120"/>
        <v>0</v>
      </c>
      <c r="S241" s="61"/>
      <c r="T241" s="87"/>
      <c r="U241" s="96">
        <v>0.0</v>
      </c>
      <c r="V241" s="97"/>
      <c r="W241" s="61" t="s">
        <v>2915</v>
      </c>
      <c r="X241" s="61"/>
      <c r="Y241" s="50" t="s">
        <v>161</v>
      </c>
      <c r="Z241" s="80" t="s">
        <v>247</v>
      </c>
      <c r="AA241" s="50" t="s">
        <v>289</v>
      </c>
      <c r="AB241" s="193" t="s">
        <v>891</v>
      </c>
      <c r="AC241" s="65" t="s">
        <v>164</v>
      </c>
      <c r="AD241" s="65" t="s">
        <v>251</v>
      </c>
      <c r="AE241" s="81" t="s">
        <v>220</v>
      </c>
    </row>
    <row r="242">
      <c r="A242" s="31" t="s">
        <v>169</v>
      </c>
      <c r="B242" s="31" t="s">
        <v>19</v>
      </c>
      <c r="C242" s="32" t="s">
        <v>2916</v>
      </c>
      <c r="D242" s="113">
        <v>600312.0</v>
      </c>
      <c r="E242" s="31" t="s">
        <v>519</v>
      </c>
      <c r="F242" s="31" t="s">
        <v>2917</v>
      </c>
      <c r="G242" s="31" t="s">
        <v>2918</v>
      </c>
      <c r="H242" s="31" t="s">
        <v>232</v>
      </c>
      <c r="I242" s="31" t="s">
        <v>104</v>
      </c>
      <c r="J242" s="31" t="s">
        <v>84</v>
      </c>
      <c r="K242" s="31" t="s">
        <v>84</v>
      </c>
      <c r="L242" s="31" t="s">
        <v>25</v>
      </c>
      <c r="M242" s="37">
        <v>45370.0</v>
      </c>
      <c r="N242" s="33">
        <v>2024.0</v>
      </c>
      <c r="O242" s="37">
        <v>46550.0</v>
      </c>
      <c r="P242" s="39">
        <v>2027.0</v>
      </c>
      <c r="Q242" s="40">
        <v>1180.0</v>
      </c>
      <c r="R242" s="39">
        <v>4.0</v>
      </c>
      <c r="S242" s="41"/>
      <c r="T242" s="33" t="s">
        <v>269</v>
      </c>
      <c r="U242" s="43">
        <v>4.0</v>
      </c>
      <c r="V242" s="46" t="s">
        <v>2920</v>
      </c>
      <c r="W242" s="31" t="s">
        <v>2921</v>
      </c>
      <c r="X242" s="31" t="s">
        <v>2922</v>
      </c>
      <c r="Y242" s="31" t="s">
        <v>161</v>
      </c>
      <c r="Z242" s="31" t="s">
        <v>211</v>
      </c>
      <c r="AA242" s="31" t="s">
        <v>123</v>
      </c>
      <c r="AB242" s="31" t="s">
        <v>891</v>
      </c>
      <c r="AC242" s="46" t="s">
        <v>128</v>
      </c>
      <c r="AD242" s="46"/>
      <c r="AE242" s="111"/>
    </row>
    <row r="243">
      <c r="A243" s="61" t="s">
        <v>64</v>
      </c>
      <c r="B243" s="61" t="s">
        <v>67</v>
      </c>
      <c r="C243" s="82" t="s">
        <v>2923</v>
      </c>
      <c r="D243" s="87">
        <v>600323.0</v>
      </c>
      <c r="E243" s="61" t="s">
        <v>2106</v>
      </c>
      <c r="F243" s="61" t="s">
        <v>2107</v>
      </c>
      <c r="G243" s="61" t="s">
        <v>2108</v>
      </c>
      <c r="H243" s="50" t="s">
        <v>103</v>
      </c>
      <c r="I243" s="50" t="s">
        <v>289</v>
      </c>
      <c r="J243" s="50" t="s">
        <v>289</v>
      </c>
      <c r="K243" s="61" t="s">
        <v>248</v>
      </c>
      <c r="L243" s="50" t="s">
        <v>181</v>
      </c>
      <c r="M243" s="84">
        <v>45373.0</v>
      </c>
      <c r="N243" s="84" t="str">
        <f t="shared" ref="N243:N251" si="121">right(M243,4)</f>
        <v>2024</v>
      </c>
      <c r="O243" s="84">
        <v>45560.0</v>
      </c>
      <c r="P243" s="85" t="str">
        <f t="shared" ref="P243:P251" si="122">right(O243,4)</f>
        <v>2024</v>
      </c>
      <c r="Q243" s="86">
        <f t="shared" ref="Q243:Q251" si="123">DATEDIF(M243,O243,"d")</f>
        <v>187</v>
      </c>
      <c r="R243" s="85">
        <f t="shared" ref="R243:R251" si="124">DATEDIF(M243,O243,"y")</f>
        <v>0</v>
      </c>
      <c r="S243" s="61"/>
      <c r="T243" s="87"/>
      <c r="U243" s="62">
        <v>0.0</v>
      </c>
      <c r="V243" s="61"/>
      <c r="W243" s="61" t="s">
        <v>2114</v>
      </c>
      <c r="X243" s="61"/>
      <c r="Y243" s="50" t="s">
        <v>161</v>
      </c>
      <c r="Z243" s="61" t="s">
        <v>162</v>
      </c>
      <c r="AA243" s="50" t="s">
        <v>289</v>
      </c>
      <c r="AB243" s="50" t="s">
        <v>124</v>
      </c>
      <c r="AC243" s="65" t="s">
        <v>337</v>
      </c>
      <c r="AD243" s="66"/>
      <c r="AE243" s="81"/>
    </row>
    <row r="244">
      <c r="A244" s="41" t="s">
        <v>169</v>
      </c>
      <c r="B244" s="41" t="s">
        <v>67</v>
      </c>
      <c r="C244" s="68" t="s">
        <v>2927</v>
      </c>
      <c r="D244" s="69">
        <v>600326.0</v>
      </c>
      <c r="E244" s="41" t="s">
        <v>2928</v>
      </c>
      <c r="F244" s="41" t="s">
        <v>2929</v>
      </c>
      <c r="G244" s="41" t="s">
        <v>2930</v>
      </c>
      <c r="H244" s="31" t="s">
        <v>103</v>
      </c>
      <c r="I244" s="31" t="s">
        <v>106</v>
      </c>
      <c r="J244" s="31" t="s">
        <v>289</v>
      </c>
      <c r="K244" s="41" t="s">
        <v>84</v>
      </c>
      <c r="L244" s="91" t="s">
        <v>48</v>
      </c>
      <c r="M244" s="70">
        <v>45373.0</v>
      </c>
      <c r="N244" s="70" t="str">
        <f t="shared" si="121"/>
        <v>2024</v>
      </c>
      <c r="O244" s="70">
        <v>45546.0</v>
      </c>
      <c r="P244" s="102" t="str">
        <f t="shared" si="122"/>
        <v>2024</v>
      </c>
      <c r="Q244" s="73">
        <f t="shared" si="123"/>
        <v>173</v>
      </c>
      <c r="R244" s="93">
        <f t="shared" si="124"/>
        <v>0</v>
      </c>
      <c r="S244" s="41"/>
      <c r="T244" s="74"/>
      <c r="U244" s="75">
        <v>0.0</v>
      </c>
      <c r="V244" s="77"/>
      <c r="W244" s="41" t="s">
        <v>2932</v>
      </c>
      <c r="X244" s="41"/>
      <c r="Y244" s="31" t="s">
        <v>161</v>
      </c>
      <c r="Z244" s="101" t="s">
        <v>247</v>
      </c>
      <c r="AA244" s="31" t="s">
        <v>289</v>
      </c>
      <c r="AB244" s="31" t="s">
        <v>1499</v>
      </c>
      <c r="AC244" s="46" t="s">
        <v>161</v>
      </c>
      <c r="AD244" s="41"/>
      <c r="AE244" s="111" t="s">
        <v>220</v>
      </c>
    </row>
    <row r="245">
      <c r="A245" s="61" t="s">
        <v>64</v>
      </c>
      <c r="B245" s="61" t="s">
        <v>19</v>
      </c>
      <c r="C245" s="82" t="s">
        <v>2936</v>
      </c>
      <c r="D245" s="87">
        <v>600334.0</v>
      </c>
      <c r="E245" s="61" t="s">
        <v>396</v>
      </c>
      <c r="F245" s="61" t="s">
        <v>2586</v>
      </c>
      <c r="G245" s="61" t="s">
        <v>2587</v>
      </c>
      <c r="H245" s="61" t="s">
        <v>266</v>
      </c>
      <c r="I245" s="138" t="s">
        <v>104</v>
      </c>
      <c r="J245" s="50" t="s">
        <v>233</v>
      </c>
      <c r="K245" s="50" t="s">
        <v>236</v>
      </c>
      <c r="L245" s="138" t="s">
        <v>25</v>
      </c>
      <c r="M245" s="84">
        <v>45374.0</v>
      </c>
      <c r="N245" s="84" t="str">
        <f t="shared" si="121"/>
        <v>2024</v>
      </c>
      <c r="O245" s="84">
        <v>46367.0</v>
      </c>
      <c r="P245" s="85" t="str">
        <f t="shared" si="122"/>
        <v>2026</v>
      </c>
      <c r="Q245" s="86">
        <f t="shared" si="123"/>
        <v>993</v>
      </c>
      <c r="R245" s="85">
        <f t="shared" si="124"/>
        <v>2</v>
      </c>
      <c r="S245" s="61"/>
      <c r="T245" s="87"/>
      <c r="U245" s="62">
        <v>0.0</v>
      </c>
      <c r="V245" s="61"/>
      <c r="W245" s="61" t="s">
        <v>2590</v>
      </c>
      <c r="X245" s="61" t="s">
        <v>2590</v>
      </c>
      <c r="Y245" s="50" t="s">
        <v>161</v>
      </c>
      <c r="Z245" s="50" t="s">
        <v>211</v>
      </c>
      <c r="AA245" s="50" t="s">
        <v>123</v>
      </c>
      <c r="AB245" s="50" t="s">
        <v>124</v>
      </c>
      <c r="AC245" s="65" t="s">
        <v>337</v>
      </c>
      <c r="AD245" s="66"/>
      <c r="AE245" s="67"/>
    </row>
    <row r="246">
      <c r="A246" s="41" t="s">
        <v>169</v>
      </c>
      <c r="B246" s="41" t="s">
        <v>67</v>
      </c>
      <c r="C246" s="68" t="s">
        <v>2937</v>
      </c>
      <c r="D246" s="69">
        <v>600316.0</v>
      </c>
      <c r="E246" s="41" t="s">
        <v>2938</v>
      </c>
      <c r="F246" s="41" t="s">
        <v>2939</v>
      </c>
      <c r="G246" s="41" t="s">
        <v>2940</v>
      </c>
      <c r="H246" s="41" t="s">
        <v>266</v>
      </c>
      <c r="I246" s="35" t="s">
        <v>104</v>
      </c>
      <c r="J246" s="31" t="s">
        <v>289</v>
      </c>
      <c r="K246" s="31" t="s">
        <v>236</v>
      </c>
      <c r="L246" s="91" t="s">
        <v>48</v>
      </c>
      <c r="M246" s="70">
        <v>45375.0</v>
      </c>
      <c r="N246" s="70" t="str">
        <f t="shared" si="121"/>
        <v>2024</v>
      </c>
      <c r="O246" s="70">
        <v>45741.0</v>
      </c>
      <c r="P246" s="102" t="str">
        <f t="shared" si="122"/>
        <v>2025</v>
      </c>
      <c r="Q246" s="73">
        <f t="shared" si="123"/>
        <v>366</v>
      </c>
      <c r="R246" s="93">
        <f t="shared" si="124"/>
        <v>1</v>
      </c>
      <c r="S246" s="41"/>
      <c r="T246" s="74"/>
      <c r="U246" s="75">
        <v>0.0</v>
      </c>
      <c r="V246" s="77"/>
      <c r="W246" s="41" t="s">
        <v>2943</v>
      </c>
      <c r="X246" s="41" t="s">
        <v>2943</v>
      </c>
      <c r="Y246" s="31" t="s">
        <v>161</v>
      </c>
      <c r="Z246" s="101" t="s">
        <v>247</v>
      </c>
      <c r="AA246" s="31" t="s">
        <v>289</v>
      </c>
      <c r="AB246" s="41" t="s">
        <v>1493</v>
      </c>
      <c r="AC246" s="46" t="s">
        <v>164</v>
      </c>
      <c r="AD246" s="31" t="s">
        <v>251</v>
      </c>
      <c r="AE246" s="111" t="s">
        <v>220</v>
      </c>
    </row>
    <row r="247">
      <c r="A247" s="61" t="s">
        <v>169</v>
      </c>
      <c r="B247" s="61" t="s">
        <v>67</v>
      </c>
      <c r="C247" s="82" t="s">
        <v>2944</v>
      </c>
      <c r="D247" s="94">
        <v>600318.0</v>
      </c>
      <c r="E247" s="61" t="s">
        <v>2945</v>
      </c>
      <c r="F247" s="61" t="s">
        <v>2946</v>
      </c>
      <c r="G247" s="61" t="s">
        <v>2947</v>
      </c>
      <c r="H247" s="61" t="s">
        <v>266</v>
      </c>
      <c r="I247" s="56" t="s">
        <v>104</v>
      </c>
      <c r="J247" s="50" t="s">
        <v>289</v>
      </c>
      <c r="K247" s="50" t="s">
        <v>236</v>
      </c>
      <c r="L247" s="138" t="s">
        <v>48</v>
      </c>
      <c r="M247" s="84">
        <v>45375.0</v>
      </c>
      <c r="N247" s="84" t="str">
        <f t="shared" si="121"/>
        <v>2024</v>
      </c>
      <c r="O247" s="84">
        <v>45741.0</v>
      </c>
      <c r="P247" s="95" t="str">
        <f t="shared" si="122"/>
        <v>2025</v>
      </c>
      <c r="Q247" s="86">
        <f t="shared" si="123"/>
        <v>366</v>
      </c>
      <c r="R247" s="85">
        <f t="shared" si="124"/>
        <v>1</v>
      </c>
      <c r="S247" s="61"/>
      <c r="T247" s="87"/>
      <c r="U247" s="96">
        <v>0.0</v>
      </c>
      <c r="V247" s="97"/>
      <c r="W247" s="61" t="s">
        <v>2943</v>
      </c>
      <c r="X247" s="61" t="s">
        <v>2943</v>
      </c>
      <c r="Y247" s="50" t="s">
        <v>161</v>
      </c>
      <c r="Z247" s="80" t="s">
        <v>247</v>
      </c>
      <c r="AA247" s="50" t="s">
        <v>289</v>
      </c>
      <c r="AB247" s="61" t="s">
        <v>1493</v>
      </c>
      <c r="AC247" s="65" t="s">
        <v>164</v>
      </c>
      <c r="AD247" s="50" t="s">
        <v>251</v>
      </c>
      <c r="AE247" s="81" t="s">
        <v>220</v>
      </c>
    </row>
    <row r="248">
      <c r="A248" s="41" t="s">
        <v>169</v>
      </c>
      <c r="B248" s="41" t="s">
        <v>67</v>
      </c>
      <c r="C248" s="68" t="s">
        <v>2952</v>
      </c>
      <c r="D248" s="69">
        <v>600319.0</v>
      </c>
      <c r="E248" s="41" t="s">
        <v>2953</v>
      </c>
      <c r="F248" s="41" t="s">
        <v>2954</v>
      </c>
      <c r="G248" s="41" t="s">
        <v>2955</v>
      </c>
      <c r="H248" s="41" t="s">
        <v>266</v>
      </c>
      <c r="I248" s="35" t="s">
        <v>104</v>
      </c>
      <c r="J248" s="31" t="s">
        <v>289</v>
      </c>
      <c r="K248" s="31" t="s">
        <v>236</v>
      </c>
      <c r="L248" s="91" t="s">
        <v>48</v>
      </c>
      <c r="M248" s="70">
        <v>45375.0</v>
      </c>
      <c r="N248" s="70" t="str">
        <f t="shared" si="121"/>
        <v>2024</v>
      </c>
      <c r="O248" s="70">
        <v>45741.0</v>
      </c>
      <c r="P248" s="102" t="str">
        <f t="shared" si="122"/>
        <v>2025</v>
      </c>
      <c r="Q248" s="73">
        <f t="shared" si="123"/>
        <v>366</v>
      </c>
      <c r="R248" s="93">
        <f t="shared" si="124"/>
        <v>1</v>
      </c>
      <c r="S248" s="41"/>
      <c r="T248" s="74"/>
      <c r="U248" s="75">
        <v>0.0</v>
      </c>
      <c r="V248" s="77"/>
      <c r="W248" s="41" t="s">
        <v>2943</v>
      </c>
      <c r="X248" s="41" t="s">
        <v>2943</v>
      </c>
      <c r="Y248" s="31" t="s">
        <v>161</v>
      </c>
      <c r="Z248" s="101" t="s">
        <v>247</v>
      </c>
      <c r="AA248" s="31" t="s">
        <v>289</v>
      </c>
      <c r="AB248" s="41" t="s">
        <v>1493</v>
      </c>
      <c r="AC248" s="46" t="s">
        <v>164</v>
      </c>
      <c r="AD248" s="31" t="s">
        <v>251</v>
      </c>
      <c r="AE248" s="111" t="s">
        <v>220</v>
      </c>
    </row>
    <row r="249">
      <c r="A249" s="61" t="s">
        <v>169</v>
      </c>
      <c r="B249" s="61" t="s">
        <v>67</v>
      </c>
      <c r="C249" s="82" t="s">
        <v>2961</v>
      </c>
      <c r="D249" s="94">
        <v>600320.0</v>
      </c>
      <c r="E249" s="61" t="s">
        <v>2962</v>
      </c>
      <c r="F249" s="61" t="s">
        <v>2963</v>
      </c>
      <c r="G249" s="61" t="s">
        <v>2965</v>
      </c>
      <c r="H249" s="61" t="s">
        <v>266</v>
      </c>
      <c r="I249" s="56" t="s">
        <v>104</v>
      </c>
      <c r="J249" s="50" t="s">
        <v>289</v>
      </c>
      <c r="K249" s="50" t="s">
        <v>236</v>
      </c>
      <c r="L249" s="138" t="s">
        <v>48</v>
      </c>
      <c r="M249" s="84">
        <v>45375.0</v>
      </c>
      <c r="N249" s="84" t="str">
        <f t="shared" si="121"/>
        <v>2024</v>
      </c>
      <c r="O249" s="84">
        <v>45741.0</v>
      </c>
      <c r="P249" s="95" t="str">
        <f t="shared" si="122"/>
        <v>2025</v>
      </c>
      <c r="Q249" s="86">
        <f t="shared" si="123"/>
        <v>366</v>
      </c>
      <c r="R249" s="85">
        <f t="shared" si="124"/>
        <v>1</v>
      </c>
      <c r="S249" s="61"/>
      <c r="T249" s="87"/>
      <c r="U249" s="96">
        <v>0.0</v>
      </c>
      <c r="V249" s="97"/>
      <c r="W249" s="61" t="s">
        <v>2943</v>
      </c>
      <c r="X249" s="61" t="s">
        <v>2943</v>
      </c>
      <c r="Y249" s="50" t="s">
        <v>161</v>
      </c>
      <c r="Z249" s="80" t="s">
        <v>247</v>
      </c>
      <c r="AA249" s="50" t="s">
        <v>289</v>
      </c>
      <c r="AB249" s="61" t="s">
        <v>1493</v>
      </c>
      <c r="AC249" s="65" t="s">
        <v>164</v>
      </c>
      <c r="AD249" s="50" t="s">
        <v>251</v>
      </c>
      <c r="AE249" s="81" t="s">
        <v>220</v>
      </c>
    </row>
    <row r="250">
      <c r="A250" s="41" t="s">
        <v>169</v>
      </c>
      <c r="B250" s="41" t="s">
        <v>67</v>
      </c>
      <c r="C250" s="68" t="s">
        <v>2970</v>
      </c>
      <c r="D250" s="69">
        <v>600321.0</v>
      </c>
      <c r="E250" s="41" t="s">
        <v>2971</v>
      </c>
      <c r="F250" s="41" t="s">
        <v>2972</v>
      </c>
      <c r="G250" s="41" t="s">
        <v>2973</v>
      </c>
      <c r="H250" s="41" t="s">
        <v>266</v>
      </c>
      <c r="I250" s="35" t="s">
        <v>104</v>
      </c>
      <c r="J250" s="31" t="s">
        <v>289</v>
      </c>
      <c r="K250" s="31" t="s">
        <v>236</v>
      </c>
      <c r="L250" s="91" t="s">
        <v>48</v>
      </c>
      <c r="M250" s="70">
        <v>45375.0</v>
      </c>
      <c r="N250" s="70" t="str">
        <f t="shared" si="121"/>
        <v>2024</v>
      </c>
      <c r="O250" s="70">
        <v>45741.0</v>
      </c>
      <c r="P250" s="102" t="str">
        <f t="shared" si="122"/>
        <v>2025</v>
      </c>
      <c r="Q250" s="73">
        <f t="shared" si="123"/>
        <v>366</v>
      </c>
      <c r="R250" s="93">
        <f t="shared" si="124"/>
        <v>1</v>
      </c>
      <c r="S250" s="41"/>
      <c r="T250" s="74"/>
      <c r="U250" s="75">
        <v>0.0</v>
      </c>
      <c r="V250" s="77"/>
      <c r="W250" s="41" t="s">
        <v>2943</v>
      </c>
      <c r="X250" s="41" t="s">
        <v>2943</v>
      </c>
      <c r="Y250" s="31" t="s">
        <v>161</v>
      </c>
      <c r="Z250" s="101" t="s">
        <v>247</v>
      </c>
      <c r="AA250" s="31" t="s">
        <v>289</v>
      </c>
      <c r="AB250" s="41" t="s">
        <v>1493</v>
      </c>
      <c r="AC250" s="46" t="s">
        <v>164</v>
      </c>
      <c r="AD250" s="31" t="s">
        <v>251</v>
      </c>
      <c r="AE250" s="111" t="s">
        <v>220</v>
      </c>
    </row>
    <row r="251">
      <c r="A251" s="61" t="s">
        <v>169</v>
      </c>
      <c r="B251" s="61" t="s">
        <v>67</v>
      </c>
      <c r="C251" s="82" t="s">
        <v>2978</v>
      </c>
      <c r="D251" s="94">
        <v>600322.0</v>
      </c>
      <c r="E251" s="61" t="s">
        <v>2980</v>
      </c>
      <c r="F251" s="61" t="s">
        <v>2981</v>
      </c>
      <c r="G251" s="61" t="s">
        <v>2982</v>
      </c>
      <c r="H251" s="61" t="s">
        <v>266</v>
      </c>
      <c r="I251" s="56" t="s">
        <v>104</v>
      </c>
      <c r="J251" s="50" t="s">
        <v>289</v>
      </c>
      <c r="K251" s="61" t="s">
        <v>84</v>
      </c>
      <c r="L251" s="138" t="s">
        <v>48</v>
      </c>
      <c r="M251" s="84">
        <v>45375.0</v>
      </c>
      <c r="N251" s="84" t="str">
        <f t="shared" si="121"/>
        <v>2024</v>
      </c>
      <c r="O251" s="84">
        <v>45741.0</v>
      </c>
      <c r="P251" s="95" t="str">
        <f t="shared" si="122"/>
        <v>2025</v>
      </c>
      <c r="Q251" s="86">
        <f t="shared" si="123"/>
        <v>366</v>
      </c>
      <c r="R251" s="85">
        <f t="shared" si="124"/>
        <v>1</v>
      </c>
      <c r="S251" s="61"/>
      <c r="T251" s="87"/>
      <c r="U251" s="96">
        <v>0.0</v>
      </c>
      <c r="V251" s="97"/>
      <c r="W251" s="61" t="s">
        <v>2943</v>
      </c>
      <c r="X251" s="61" t="s">
        <v>2943</v>
      </c>
      <c r="Y251" s="50" t="s">
        <v>161</v>
      </c>
      <c r="Z251" s="80" t="s">
        <v>247</v>
      </c>
      <c r="AA251" s="50" t="s">
        <v>289</v>
      </c>
      <c r="AB251" s="61" t="s">
        <v>1493</v>
      </c>
      <c r="AC251" s="65" t="s">
        <v>164</v>
      </c>
      <c r="AD251" s="50" t="s">
        <v>251</v>
      </c>
      <c r="AE251" s="81" t="s">
        <v>220</v>
      </c>
    </row>
    <row r="252">
      <c r="A252" s="31" t="s">
        <v>64</v>
      </c>
      <c r="B252" s="31" t="s">
        <v>19</v>
      </c>
      <c r="C252" s="32" t="s">
        <v>2985</v>
      </c>
      <c r="D252" s="33">
        <v>600335.0</v>
      </c>
      <c r="E252" s="31" t="s">
        <v>1032</v>
      </c>
      <c r="F252" s="31" t="s">
        <v>2116</v>
      </c>
      <c r="G252" s="31" t="s">
        <v>2117</v>
      </c>
      <c r="H252" s="31" t="s">
        <v>232</v>
      </c>
      <c r="I252" s="35" t="s">
        <v>104</v>
      </c>
      <c r="J252" s="31" t="s">
        <v>233</v>
      </c>
      <c r="K252" s="31" t="s">
        <v>236</v>
      </c>
      <c r="L252" s="31" t="s">
        <v>25</v>
      </c>
      <c r="M252" s="37">
        <v>45376.0</v>
      </c>
      <c r="N252" s="33">
        <v>2024.0</v>
      </c>
      <c r="O252" s="37">
        <v>46373.0</v>
      </c>
      <c r="P252" s="39">
        <v>2026.0</v>
      </c>
      <c r="Q252" s="40">
        <v>997.0</v>
      </c>
      <c r="R252" s="39">
        <v>3.0</v>
      </c>
      <c r="S252" s="41"/>
      <c r="T252" s="33" t="s">
        <v>269</v>
      </c>
      <c r="U252" s="43">
        <v>1.0</v>
      </c>
      <c r="V252" s="31" t="s">
        <v>1995</v>
      </c>
      <c r="W252" s="31" t="s">
        <v>2123</v>
      </c>
      <c r="X252" s="31" t="s">
        <v>2123</v>
      </c>
      <c r="Y252" s="31" t="s">
        <v>161</v>
      </c>
      <c r="Z252" s="31" t="s">
        <v>211</v>
      </c>
      <c r="AA252" s="31" t="s">
        <v>14</v>
      </c>
      <c r="AB252" s="31" t="s">
        <v>124</v>
      </c>
      <c r="AC252" s="46" t="s">
        <v>337</v>
      </c>
      <c r="AD252" s="47"/>
      <c r="AE252" s="49"/>
    </row>
    <row r="253">
      <c r="A253" s="50" t="s">
        <v>64</v>
      </c>
      <c r="B253" s="50" t="s">
        <v>19</v>
      </c>
      <c r="C253" s="52" t="s">
        <v>2990</v>
      </c>
      <c r="D253" s="54">
        <v>600330.0</v>
      </c>
      <c r="E253" s="50" t="s">
        <v>468</v>
      </c>
      <c r="F253" s="50" t="s">
        <v>2128</v>
      </c>
      <c r="G253" s="50" t="s">
        <v>2130</v>
      </c>
      <c r="H253" s="50" t="s">
        <v>1421</v>
      </c>
      <c r="I253" s="56" t="s">
        <v>104</v>
      </c>
      <c r="J253" s="50" t="s">
        <v>233</v>
      </c>
      <c r="K253" s="50" t="s">
        <v>236</v>
      </c>
      <c r="L253" s="50" t="s">
        <v>105</v>
      </c>
      <c r="M253" s="57">
        <v>45376.0</v>
      </c>
      <c r="N253" s="54">
        <v>2024.0</v>
      </c>
      <c r="O253" s="57">
        <v>46623.0</v>
      </c>
      <c r="P253" s="60">
        <v>2027.0</v>
      </c>
      <c r="Q253" s="60">
        <v>1247.0</v>
      </c>
      <c r="R253" s="60">
        <v>4.0</v>
      </c>
      <c r="S253" s="61"/>
      <c r="T253" s="54" t="s">
        <v>269</v>
      </c>
      <c r="U253" s="62">
        <v>2.0</v>
      </c>
      <c r="V253" s="50" t="s">
        <v>1995</v>
      </c>
      <c r="W253" s="50" t="s">
        <v>2137</v>
      </c>
      <c r="X253" s="50" t="s">
        <v>2137</v>
      </c>
      <c r="Y253" s="50" t="s">
        <v>161</v>
      </c>
      <c r="Z253" s="50" t="s">
        <v>210</v>
      </c>
      <c r="AA253" s="50" t="s">
        <v>14</v>
      </c>
      <c r="AB253" s="50" t="s">
        <v>124</v>
      </c>
      <c r="AC253" s="65" t="s">
        <v>128</v>
      </c>
      <c r="AD253" s="66"/>
      <c r="AE253" s="67"/>
    </row>
    <row r="254">
      <c r="A254" s="41" t="s">
        <v>64</v>
      </c>
      <c r="B254" s="41" t="s">
        <v>19</v>
      </c>
      <c r="C254" s="68" t="s">
        <v>2996</v>
      </c>
      <c r="D254" s="74">
        <v>600336.0</v>
      </c>
      <c r="E254" s="41" t="s">
        <v>881</v>
      </c>
      <c r="F254" s="41" t="s">
        <v>2141</v>
      </c>
      <c r="G254" s="41" t="s">
        <v>2143</v>
      </c>
      <c r="H254" s="41" t="s">
        <v>266</v>
      </c>
      <c r="I254" s="35" t="s">
        <v>104</v>
      </c>
      <c r="J254" s="31" t="s">
        <v>233</v>
      </c>
      <c r="K254" s="31" t="s">
        <v>236</v>
      </c>
      <c r="L254" s="91" t="s">
        <v>25</v>
      </c>
      <c r="M254" s="70">
        <v>45376.0</v>
      </c>
      <c r="N254" s="70" t="str">
        <f>right(M254,4)</f>
        <v>2024</v>
      </c>
      <c r="O254" s="70">
        <v>46387.0</v>
      </c>
      <c r="P254" s="93" t="str">
        <f>right(O254,4)</f>
        <v>2026</v>
      </c>
      <c r="Q254" s="73">
        <f>DATEDIF(M254,O254,"d")</f>
        <v>1011</v>
      </c>
      <c r="R254" s="93">
        <f>DATEDIF(M254,O254,"y")</f>
        <v>2</v>
      </c>
      <c r="S254" s="41"/>
      <c r="T254" s="74" t="s">
        <v>269</v>
      </c>
      <c r="U254" s="43">
        <v>0.0</v>
      </c>
      <c r="V254" s="41" t="s">
        <v>1995</v>
      </c>
      <c r="W254" s="41" t="s">
        <v>2148</v>
      </c>
      <c r="X254" s="41" t="s">
        <v>2149</v>
      </c>
      <c r="Y254" s="31" t="s">
        <v>161</v>
      </c>
      <c r="Z254" s="31" t="s">
        <v>211</v>
      </c>
      <c r="AA254" s="31" t="s">
        <v>14</v>
      </c>
      <c r="AB254" s="31" t="s">
        <v>124</v>
      </c>
      <c r="AC254" s="46" t="s">
        <v>337</v>
      </c>
      <c r="AD254" s="47"/>
      <c r="AE254" s="49"/>
    </row>
    <row r="255">
      <c r="A255" s="50" t="s">
        <v>64</v>
      </c>
      <c r="B255" s="50" t="s">
        <v>19</v>
      </c>
      <c r="C255" s="52" t="s">
        <v>2997</v>
      </c>
      <c r="D255" s="54">
        <v>600329.0</v>
      </c>
      <c r="E255" s="50" t="s">
        <v>91</v>
      </c>
      <c r="F255" s="50" t="s">
        <v>2151</v>
      </c>
      <c r="G255" s="50" t="s">
        <v>2153</v>
      </c>
      <c r="H255" s="50" t="s">
        <v>232</v>
      </c>
      <c r="I255" s="56" t="s">
        <v>104</v>
      </c>
      <c r="J255" s="119" t="s">
        <v>233</v>
      </c>
      <c r="K255" s="50" t="s">
        <v>236</v>
      </c>
      <c r="L255" s="50" t="s">
        <v>25</v>
      </c>
      <c r="M255" s="57">
        <v>45376.0</v>
      </c>
      <c r="N255" s="54">
        <v>2024.0</v>
      </c>
      <c r="O255" s="57">
        <v>47237.0</v>
      </c>
      <c r="P255" s="59">
        <v>2029.0</v>
      </c>
      <c r="Q255" s="60">
        <v>1861.0</v>
      </c>
      <c r="R255" s="59">
        <v>6.0</v>
      </c>
      <c r="S255" s="61"/>
      <c r="T255" s="54" t="s">
        <v>269</v>
      </c>
      <c r="U255" s="62">
        <v>2.0</v>
      </c>
      <c r="V255" s="50" t="s">
        <v>1995</v>
      </c>
      <c r="W255" s="50" t="s">
        <v>2159</v>
      </c>
      <c r="X255" s="50" t="s">
        <v>2159</v>
      </c>
      <c r="Y255" s="50" t="s">
        <v>161</v>
      </c>
      <c r="Z255" s="50" t="s">
        <v>211</v>
      </c>
      <c r="AA255" s="50" t="s">
        <v>14</v>
      </c>
      <c r="AB255" s="50" t="s">
        <v>876</v>
      </c>
      <c r="AC255" s="65" t="s">
        <v>276</v>
      </c>
      <c r="AD255" s="66"/>
      <c r="AE255" s="67"/>
    </row>
    <row r="256">
      <c r="A256" s="31" t="s">
        <v>64</v>
      </c>
      <c r="B256" s="31" t="s">
        <v>19</v>
      </c>
      <c r="C256" s="32" t="s">
        <v>3000</v>
      </c>
      <c r="D256" s="33">
        <v>600331.0</v>
      </c>
      <c r="E256" s="31" t="s">
        <v>127</v>
      </c>
      <c r="F256" s="31" t="s">
        <v>2171</v>
      </c>
      <c r="G256" s="31" t="s">
        <v>2172</v>
      </c>
      <c r="H256" s="31" t="s">
        <v>232</v>
      </c>
      <c r="I256" s="35" t="s">
        <v>104</v>
      </c>
      <c r="J256" s="31" t="s">
        <v>146</v>
      </c>
      <c r="K256" s="31" t="s">
        <v>236</v>
      </c>
      <c r="L256" s="31" t="s">
        <v>25</v>
      </c>
      <c r="M256" s="37">
        <v>45376.0</v>
      </c>
      <c r="N256" s="33">
        <v>2024.0</v>
      </c>
      <c r="O256" s="37">
        <v>46281.0</v>
      </c>
      <c r="P256" s="39">
        <v>2026.0</v>
      </c>
      <c r="Q256" s="40">
        <v>905.0</v>
      </c>
      <c r="R256" s="39">
        <v>3.0</v>
      </c>
      <c r="S256" s="41"/>
      <c r="T256" s="33" t="s">
        <v>269</v>
      </c>
      <c r="U256" s="43">
        <v>1.0</v>
      </c>
      <c r="V256" s="31" t="s">
        <v>1995</v>
      </c>
      <c r="W256" s="31" t="s">
        <v>2177</v>
      </c>
      <c r="X256" s="31" t="s">
        <v>3004</v>
      </c>
      <c r="Y256" s="31" t="s">
        <v>161</v>
      </c>
      <c r="Z256" s="31" t="s">
        <v>211</v>
      </c>
      <c r="AA256" s="31" t="s">
        <v>14</v>
      </c>
      <c r="AB256" s="31" t="s">
        <v>124</v>
      </c>
      <c r="AC256" s="46" t="s">
        <v>337</v>
      </c>
      <c r="AD256" s="47"/>
      <c r="AE256" s="49"/>
    </row>
    <row r="257">
      <c r="A257" s="61" t="s">
        <v>64</v>
      </c>
      <c r="B257" s="61" t="s">
        <v>67</v>
      </c>
      <c r="C257" s="82" t="s">
        <v>3006</v>
      </c>
      <c r="D257" s="87">
        <v>600328.0</v>
      </c>
      <c r="E257" s="61" t="s">
        <v>2160</v>
      </c>
      <c r="F257" s="61" t="s">
        <v>2161</v>
      </c>
      <c r="G257" s="61" t="s">
        <v>2162</v>
      </c>
      <c r="H257" s="61" t="s">
        <v>266</v>
      </c>
      <c r="I257" s="50" t="s">
        <v>289</v>
      </c>
      <c r="J257" s="50" t="s">
        <v>289</v>
      </c>
      <c r="K257" s="50" t="s">
        <v>236</v>
      </c>
      <c r="L257" s="138" t="s">
        <v>25</v>
      </c>
      <c r="M257" s="84">
        <v>45376.0</v>
      </c>
      <c r="N257" s="84" t="str">
        <f t="shared" ref="N257:N265" si="125">right(M257,4)</f>
        <v>2024</v>
      </c>
      <c r="O257" s="84">
        <v>45657.0</v>
      </c>
      <c r="P257" s="85" t="str">
        <f t="shared" ref="P257:P265" si="126">right(O257,4)</f>
        <v>2024</v>
      </c>
      <c r="Q257" s="86">
        <f t="shared" ref="Q257:Q265" si="127">DATEDIF(M257,O257,"d")</f>
        <v>281</v>
      </c>
      <c r="R257" s="85">
        <f t="shared" ref="R257:R265" si="128">DATEDIF(M257,O257,"y")</f>
        <v>0</v>
      </c>
      <c r="S257" s="61"/>
      <c r="T257" s="87" t="s">
        <v>269</v>
      </c>
      <c r="U257" s="62">
        <v>0.0</v>
      </c>
      <c r="V257" s="61" t="s">
        <v>1995</v>
      </c>
      <c r="W257" s="61" t="s">
        <v>2167</v>
      </c>
      <c r="X257" s="61"/>
      <c r="Y257" s="50" t="s">
        <v>161</v>
      </c>
      <c r="Z257" s="61" t="s">
        <v>162</v>
      </c>
      <c r="AA257" s="50" t="s">
        <v>289</v>
      </c>
      <c r="AB257" s="50" t="s">
        <v>124</v>
      </c>
      <c r="AC257" s="65" t="s">
        <v>276</v>
      </c>
      <c r="AD257" s="66"/>
      <c r="AE257" s="81"/>
    </row>
    <row r="258">
      <c r="A258" s="41" t="s">
        <v>64</v>
      </c>
      <c r="B258" s="41" t="s">
        <v>67</v>
      </c>
      <c r="C258" s="68" t="s">
        <v>3010</v>
      </c>
      <c r="D258" s="74">
        <v>600332.0</v>
      </c>
      <c r="E258" s="41" t="s">
        <v>2215</v>
      </c>
      <c r="F258" s="41" t="s">
        <v>2216</v>
      </c>
      <c r="G258" s="41" t="s">
        <v>2217</v>
      </c>
      <c r="H258" s="41" t="s">
        <v>266</v>
      </c>
      <c r="I258" s="31" t="s">
        <v>289</v>
      </c>
      <c r="J258" s="31" t="s">
        <v>146</v>
      </c>
      <c r="K258" s="31" t="s">
        <v>236</v>
      </c>
      <c r="L258" s="91" t="s">
        <v>25</v>
      </c>
      <c r="M258" s="70">
        <v>45376.0</v>
      </c>
      <c r="N258" s="70" t="str">
        <f t="shared" si="125"/>
        <v>2024</v>
      </c>
      <c r="O258" s="70">
        <v>45741.0</v>
      </c>
      <c r="P258" s="93" t="str">
        <f t="shared" si="126"/>
        <v>2025</v>
      </c>
      <c r="Q258" s="73">
        <f t="shared" si="127"/>
        <v>365</v>
      </c>
      <c r="R258" s="93">
        <f t="shared" si="128"/>
        <v>1</v>
      </c>
      <c r="S258" s="41"/>
      <c r="T258" s="74" t="s">
        <v>269</v>
      </c>
      <c r="U258" s="43">
        <v>0.0</v>
      </c>
      <c r="V258" s="41" t="s">
        <v>1995</v>
      </c>
      <c r="W258" s="41" t="s">
        <v>2220</v>
      </c>
      <c r="X258" s="41" t="s">
        <v>2220</v>
      </c>
      <c r="Y258" s="31" t="s">
        <v>161</v>
      </c>
      <c r="Z258" s="31" t="s">
        <v>122</v>
      </c>
      <c r="AA258" s="31" t="s">
        <v>289</v>
      </c>
      <c r="AB258" s="31" t="s">
        <v>124</v>
      </c>
      <c r="AC258" s="46" t="s">
        <v>161</v>
      </c>
      <c r="AD258" s="47"/>
      <c r="AE258" s="111"/>
    </row>
    <row r="259">
      <c r="A259" s="61" t="s">
        <v>169</v>
      </c>
      <c r="B259" s="61" t="s">
        <v>67</v>
      </c>
      <c r="C259" s="82" t="s">
        <v>3014</v>
      </c>
      <c r="D259" s="94">
        <v>600317.0</v>
      </c>
      <c r="E259" s="61" t="s">
        <v>3017</v>
      </c>
      <c r="F259" s="61" t="s">
        <v>3018</v>
      </c>
      <c r="G259" s="61" t="s">
        <v>3019</v>
      </c>
      <c r="H259" s="61" t="s">
        <v>266</v>
      </c>
      <c r="I259" s="56" t="s">
        <v>104</v>
      </c>
      <c r="J259" s="50" t="s">
        <v>289</v>
      </c>
      <c r="K259" s="50" t="s">
        <v>236</v>
      </c>
      <c r="L259" s="138" t="s">
        <v>48</v>
      </c>
      <c r="M259" s="84">
        <v>45376.0</v>
      </c>
      <c r="N259" s="84" t="str">
        <f t="shared" si="125"/>
        <v>2024</v>
      </c>
      <c r="O259" s="84">
        <v>45741.0</v>
      </c>
      <c r="P259" s="95" t="str">
        <f t="shared" si="126"/>
        <v>2025</v>
      </c>
      <c r="Q259" s="86">
        <f t="shared" si="127"/>
        <v>365</v>
      </c>
      <c r="R259" s="85">
        <f t="shared" si="128"/>
        <v>1</v>
      </c>
      <c r="S259" s="61"/>
      <c r="T259" s="87"/>
      <c r="U259" s="96">
        <v>0.0</v>
      </c>
      <c r="V259" s="97"/>
      <c r="W259" s="61" t="s">
        <v>2943</v>
      </c>
      <c r="X259" s="61" t="s">
        <v>2943</v>
      </c>
      <c r="Y259" s="50" t="s">
        <v>161</v>
      </c>
      <c r="Z259" s="80" t="s">
        <v>247</v>
      </c>
      <c r="AA259" s="50" t="s">
        <v>289</v>
      </c>
      <c r="AB259" s="61" t="s">
        <v>1493</v>
      </c>
      <c r="AC259" s="65" t="s">
        <v>164</v>
      </c>
      <c r="AD259" s="50" t="s">
        <v>251</v>
      </c>
      <c r="AE259" s="81" t="s">
        <v>220</v>
      </c>
    </row>
    <row r="260">
      <c r="A260" s="41" t="s">
        <v>169</v>
      </c>
      <c r="B260" s="41" t="s">
        <v>67</v>
      </c>
      <c r="C260" s="68" t="s">
        <v>3022</v>
      </c>
      <c r="D260" s="148"/>
      <c r="E260" s="41" t="s">
        <v>3024</v>
      </c>
      <c r="F260" s="41" t="s">
        <v>3026</v>
      </c>
      <c r="G260" s="41" t="s">
        <v>3027</v>
      </c>
      <c r="H260" s="31" t="s">
        <v>103</v>
      </c>
      <c r="I260" s="77" t="s">
        <v>106</v>
      </c>
      <c r="J260" s="104" t="s">
        <v>175</v>
      </c>
      <c r="K260" s="41" t="s">
        <v>84</v>
      </c>
      <c r="L260" s="91" t="s">
        <v>48</v>
      </c>
      <c r="M260" s="70">
        <v>45376.0</v>
      </c>
      <c r="N260" s="70" t="str">
        <f t="shared" si="125"/>
        <v>2024</v>
      </c>
      <c r="O260" s="70">
        <v>45382.0</v>
      </c>
      <c r="P260" s="102" t="str">
        <f t="shared" si="126"/>
        <v>2024</v>
      </c>
      <c r="Q260" s="73">
        <f t="shared" si="127"/>
        <v>6</v>
      </c>
      <c r="R260" s="93">
        <f t="shared" si="128"/>
        <v>0</v>
      </c>
      <c r="S260" s="41"/>
      <c r="T260" s="74"/>
      <c r="U260" s="75">
        <v>0.0</v>
      </c>
      <c r="V260" s="77"/>
      <c r="W260" s="41" t="s">
        <v>3028</v>
      </c>
      <c r="X260" s="41"/>
      <c r="Y260" s="31" t="s">
        <v>161</v>
      </c>
      <c r="Z260" s="101" t="s">
        <v>247</v>
      </c>
      <c r="AA260" s="31" t="s">
        <v>175</v>
      </c>
      <c r="AB260" s="31" t="s">
        <v>1499</v>
      </c>
      <c r="AC260" s="46" t="s">
        <v>161</v>
      </c>
      <c r="AD260" s="41"/>
      <c r="AE260" s="78" t="s">
        <v>220</v>
      </c>
    </row>
    <row r="261">
      <c r="A261" s="61" t="s">
        <v>169</v>
      </c>
      <c r="B261" s="61" t="s">
        <v>67</v>
      </c>
      <c r="C261" s="82" t="s">
        <v>3029</v>
      </c>
      <c r="D261" s="94">
        <v>600341.0</v>
      </c>
      <c r="E261" s="61" t="s">
        <v>3030</v>
      </c>
      <c r="F261" s="61" t="s">
        <v>3031</v>
      </c>
      <c r="G261" s="61" t="s">
        <v>3033</v>
      </c>
      <c r="H261" s="50" t="s">
        <v>103</v>
      </c>
      <c r="I261" s="50" t="s">
        <v>289</v>
      </c>
      <c r="J261" s="50" t="s">
        <v>289</v>
      </c>
      <c r="K261" s="61" t="s">
        <v>723</v>
      </c>
      <c r="L261" s="138" t="s">
        <v>48</v>
      </c>
      <c r="M261" s="84">
        <v>45378.0</v>
      </c>
      <c r="N261" s="84" t="str">
        <f t="shared" si="125"/>
        <v>2024</v>
      </c>
      <c r="O261" s="84">
        <v>45743.0</v>
      </c>
      <c r="P261" s="95" t="str">
        <f t="shared" si="126"/>
        <v>2025</v>
      </c>
      <c r="Q261" s="86">
        <f t="shared" si="127"/>
        <v>365</v>
      </c>
      <c r="R261" s="85">
        <f t="shared" si="128"/>
        <v>1</v>
      </c>
      <c r="S261" s="61"/>
      <c r="T261" s="87"/>
      <c r="U261" s="96">
        <v>0.0</v>
      </c>
      <c r="V261" s="97"/>
      <c r="W261" s="61" t="s">
        <v>3035</v>
      </c>
      <c r="X261" s="61" t="s">
        <v>3035</v>
      </c>
      <c r="Y261" s="50" t="s">
        <v>161</v>
      </c>
      <c r="Z261" s="80" t="s">
        <v>247</v>
      </c>
      <c r="AA261" s="50" t="s">
        <v>261</v>
      </c>
      <c r="AB261" s="50" t="s">
        <v>1499</v>
      </c>
      <c r="AC261" s="65" t="s">
        <v>276</v>
      </c>
      <c r="AD261" s="61"/>
      <c r="AE261" s="120"/>
    </row>
    <row r="262">
      <c r="A262" s="41" t="s">
        <v>169</v>
      </c>
      <c r="B262" s="41" t="s">
        <v>67</v>
      </c>
      <c r="C262" s="68" t="s">
        <v>3039</v>
      </c>
      <c r="D262" s="69">
        <v>600340.0</v>
      </c>
      <c r="E262" s="41" t="s">
        <v>3041</v>
      </c>
      <c r="F262" s="41" t="s">
        <v>3042</v>
      </c>
      <c r="G262" s="41" t="s">
        <v>3043</v>
      </c>
      <c r="H262" s="31" t="s">
        <v>103</v>
      </c>
      <c r="I262" s="31" t="s">
        <v>289</v>
      </c>
      <c r="J262" s="31" t="s">
        <v>289</v>
      </c>
      <c r="K262" s="41" t="s">
        <v>248</v>
      </c>
      <c r="L262" s="91" t="s">
        <v>48</v>
      </c>
      <c r="M262" s="70">
        <v>45378.0</v>
      </c>
      <c r="N262" s="70" t="str">
        <f t="shared" si="125"/>
        <v>2024</v>
      </c>
      <c r="O262" s="70">
        <v>45743.0</v>
      </c>
      <c r="P262" s="102" t="str">
        <f t="shared" si="126"/>
        <v>2025</v>
      </c>
      <c r="Q262" s="73">
        <f t="shared" si="127"/>
        <v>365</v>
      </c>
      <c r="R262" s="93">
        <f t="shared" si="128"/>
        <v>1</v>
      </c>
      <c r="S262" s="41"/>
      <c r="T262" s="74"/>
      <c r="U262" s="75">
        <v>0.0</v>
      </c>
      <c r="V262" s="77"/>
      <c r="W262" s="41" t="s">
        <v>3044</v>
      </c>
      <c r="X262" s="41" t="s">
        <v>3044</v>
      </c>
      <c r="Y262" s="31" t="s">
        <v>161</v>
      </c>
      <c r="Z262" s="101" t="s">
        <v>247</v>
      </c>
      <c r="AA262" s="31" t="s">
        <v>261</v>
      </c>
      <c r="AB262" s="104" t="s">
        <v>442</v>
      </c>
      <c r="AC262" s="46" t="s">
        <v>337</v>
      </c>
      <c r="AD262" s="41"/>
      <c r="AE262" s="99"/>
    </row>
    <row r="263">
      <c r="A263" s="61" t="s">
        <v>64</v>
      </c>
      <c r="B263" s="61" t="s">
        <v>67</v>
      </c>
      <c r="C263" s="82" t="s">
        <v>3045</v>
      </c>
      <c r="D263" s="87">
        <v>600351.0</v>
      </c>
      <c r="E263" s="61" t="s">
        <v>2194</v>
      </c>
      <c r="F263" s="61" t="s">
        <v>2196</v>
      </c>
      <c r="G263" s="174" t="s">
        <v>2198</v>
      </c>
      <c r="H263" s="50" t="s">
        <v>103</v>
      </c>
      <c r="I263" s="50" t="s">
        <v>289</v>
      </c>
      <c r="J263" s="50" t="s">
        <v>289</v>
      </c>
      <c r="K263" s="61" t="s">
        <v>723</v>
      </c>
      <c r="L263" s="50" t="s">
        <v>484</v>
      </c>
      <c r="M263" s="84">
        <v>45379.0</v>
      </c>
      <c r="N263" s="84" t="str">
        <f t="shared" si="125"/>
        <v>2024</v>
      </c>
      <c r="O263" s="84">
        <v>45532.0</v>
      </c>
      <c r="P263" s="85" t="str">
        <f t="shared" si="126"/>
        <v>2024</v>
      </c>
      <c r="Q263" s="86">
        <f t="shared" si="127"/>
        <v>153</v>
      </c>
      <c r="R263" s="85">
        <f t="shared" si="128"/>
        <v>0</v>
      </c>
      <c r="S263" s="61"/>
      <c r="T263" s="87"/>
      <c r="U263" s="62">
        <v>0.0</v>
      </c>
      <c r="V263" s="61"/>
      <c r="W263" s="174" t="s">
        <v>2207</v>
      </c>
      <c r="X263" s="61"/>
      <c r="Y263" s="50" t="s">
        <v>161</v>
      </c>
      <c r="Z263" s="50" t="s">
        <v>311</v>
      </c>
      <c r="AA263" s="50" t="s">
        <v>289</v>
      </c>
      <c r="AB263" s="50" t="s">
        <v>124</v>
      </c>
      <c r="AC263" s="65" t="s">
        <v>337</v>
      </c>
      <c r="AD263" s="66"/>
      <c r="AE263" s="81"/>
    </row>
    <row r="264">
      <c r="A264" s="41" t="s">
        <v>169</v>
      </c>
      <c r="B264" s="41" t="s">
        <v>67</v>
      </c>
      <c r="C264" s="68" t="s">
        <v>3052</v>
      </c>
      <c r="D264" s="69">
        <v>600343.0</v>
      </c>
      <c r="E264" s="41" t="s">
        <v>3054</v>
      </c>
      <c r="F264" s="41" t="s">
        <v>3055</v>
      </c>
      <c r="G264" s="41" t="s">
        <v>3056</v>
      </c>
      <c r="H264" s="41" t="s">
        <v>266</v>
      </c>
      <c r="I264" s="31" t="s">
        <v>289</v>
      </c>
      <c r="J264" s="31" t="s">
        <v>289</v>
      </c>
      <c r="K264" s="31" t="s">
        <v>236</v>
      </c>
      <c r="L264" s="91" t="s">
        <v>48</v>
      </c>
      <c r="M264" s="70">
        <v>45379.0</v>
      </c>
      <c r="N264" s="70" t="str">
        <f t="shared" si="125"/>
        <v>2024</v>
      </c>
      <c r="O264" s="70">
        <v>45744.0</v>
      </c>
      <c r="P264" s="102" t="str">
        <f t="shared" si="126"/>
        <v>2025</v>
      </c>
      <c r="Q264" s="73">
        <f t="shared" si="127"/>
        <v>365</v>
      </c>
      <c r="R264" s="93">
        <f t="shared" si="128"/>
        <v>1</v>
      </c>
      <c r="S264" s="41"/>
      <c r="T264" s="74"/>
      <c r="U264" s="75">
        <v>0.0</v>
      </c>
      <c r="V264" s="77"/>
      <c r="W264" s="41" t="s">
        <v>3060</v>
      </c>
      <c r="X264" s="41" t="s">
        <v>3060</v>
      </c>
      <c r="Y264" s="31" t="s">
        <v>161</v>
      </c>
      <c r="Z264" s="101" t="s">
        <v>247</v>
      </c>
      <c r="AA264" s="31" t="s">
        <v>289</v>
      </c>
      <c r="AB264" s="153" t="s">
        <v>489</v>
      </c>
      <c r="AC264" s="46" t="s">
        <v>276</v>
      </c>
      <c r="AD264" s="41"/>
      <c r="AE264" s="99"/>
    </row>
    <row r="265">
      <c r="A265" s="61" t="s">
        <v>169</v>
      </c>
      <c r="B265" s="61" t="s">
        <v>67</v>
      </c>
      <c r="C265" s="82" t="s">
        <v>3062</v>
      </c>
      <c r="D265" s="94">
        <v>600350.0</v>
      </c>
      <c r="E265" s="61" t="s">
        <v>3064</v>
      </c>
      <c r="F265" s="61" t="s">
        <v>3065</v>
      </c>
      <c r="G265" s="61" t="s">
        <v>3066</v>
      </c>
      <c r="H265" s="50" t="s">
        <v>103</v>
      </c>
      <c r="I265" s="50" t="s">
        <v>289</v>
      </c>
      <c r="J265" s="50" t="s">
        <v>289</v>
      </c>
      <c r="K265" s="50" t="s">
        <v>147</v>
      </c>
      <c r="L265" s="138" t="s">
        <v>48</v>
      </c>
      <c r="M265" s="84">
        <v>45379.0</v>
      </c>
      <c r="N265" s="84" t="str">
        <f t="shared" si="125"/>
        <v>2024</v>
      </c>
      <c r="O265" s="84">
        <v>45744.0</v>
      </c>
      <c r="P265" s="95" t="str">
        <f t="shared" si="126"/>
        <v>2025</v>
      </c>
      <c r="Q265" s="86">
        <f t="shared" si="127"/>
        <v>365</v>
      </c>
      <c r="R265" s="85">
        <f t="shared" si="128"/>
        <v>1</v>
      </c>
      <c r="S265" s="61"/>
      <c r="T265" s="87"/>
      <c r="U265" s="96">
        <v>0.0</v>
      </c>
      <c r="V265" s="97"/>
      <c r="W265" s="174" t="s">
        <v>3068</v>
      </c>
      <c r="X265" s="174" t="s">
        <v>3068</v>
      </c>
      <c r="Y265" s="50" t="s">
        <v>161</v>
      </c>
      <c r="Z265" s="80" t="s">
        <v>247</v>
      </c>
      <c r="AA265" s="50" t="s">
        <v>289</v>
      </c>
      <c r="AB265" s="193" t="s">
        <v>1753</v>
      </c>
      <c r="AC265" s="65" t="s">
        <v>276</v>
      </c>
      <c r="AD265" s="61"/>
      <c r="AE265" s="120"/>
    </row>
    <row r="266">
      <c r="A266" s="31" t="s">
        <v>169</v>
      </c>
      <c r="B266" s="31" t="s">
        <v>19</v>
      </c>
      <c r="C266" s="32" t="s">
        <v>3071</v>
      </c>
      <c r="D266" s="113">
        <v>600348.0</v>
      </c>
      <c r="E266" s="31" t="s">
        <v>3073</v>
      </c>
      <c r="F266" s="31" t="s">
        <v>3074</v>
      </c>
      <c r="G266" s="31" t="s">
        <v>3076</v>
      </c>
      <c r="H266" s="31" t="s">
        <v>178</v>
      </c>
      <c r="I266" s="31" t="s">
        <v>708</v>
      </c>
      <c r="J266" s="31" t="s">
        <v>233</v>
      </c>
      <c r="K266" s="31" t="s">
        <v>236</v>
      </c>
      <c r="L266" s="31" t="s">
        <v>25</v>
      </c>
      <c r="M266" s="37">
        <v>45379.0</v>
      </c>
      <c r="N266" s="33">
        <v>2024.0</v>
      </c>
      <c r="O266" s="37">
        <v>46295.0</v>
      </c>
      <c r="P266" s="39">
        <v>2026.0</v>
      </c>
      <c r="Q266" s="40">
        <v>916.0</v>
      </c>
      <c r="R266" s="39">
        <v>3.0</v>
      </c>
      <c r="S266" s="41"/>
      <c r="T266" s="33" t="s">
        <v>113</v>
      </c>
      <c r="U266" s="114">
        <v>2.0</v>
      </c>
      <c r="V266" s="77"/>
      <c r="W266" s="31" t="s">
        <v>3077</v>
      </c>
      <c r="X266" s="31" t="s">
        <v>3077</v>
      </c>
      <c r="Y266" s="31" t="s">
        <v>161</v>
      </c>
      <c r="Z266" s="101" t="s">
        <v>211</v>
      </c>
      <c r="AA266" s="31" t="s">
        <v>38</v>
      </c>
      <c r="AB266" s="31" t="s">
        <v>249</v>
      </c>
      <c r="AC266" s="46" t="s">
        <v>276</v>
      </c>
      <c r="AD266" s="41"/>
      <c r="AE266" s="99"/>
    </row>
    <row r="267">
      <c r="A267" s="61" t="s">
        <v>169</v>
      </c>
      <c r="B267" s="61" t="s">
        <v>19</v>
      </c>
      <c r="C267" s="82" t="s">
        <v>3078</v>
      </c>
      <c r="D267" s="94">
        <v>600345.0</v>
      </c>
      <c r="E267" s="61" t="s">
        <v>351</v>
      </c>
      <c r="F267" s="61" t="s">
        <v>3079</v>
      </c>
      <c r="G267" s="61" t="s">
        <v>3080</v>
      </c>
      <c r="H267" s="50" t="s">
        <v>103</v>
      </c>
      <c r="I267" s="138" t="s">
        <v>104</v>
      </c>
      <c r="J267" s="50" t="s">
        <v>233</v>
      </c>
      <c r="K267" s="50" t="s">
        <v>147</v>
      </c>
      <c r="L267" s="138" t="s">
        <v>25</v>
      </c>
      <c r="M267" s="84">
        <v>45379.0</v>
      </c>
      <c r="N267" s="84" t="str">
        <f t="shared" ref="N267:N268" si="129">right(M267,4)</f>
        <v>2024</v>
      </c>
      <c r="O267" s="84">
        <v>49396.0</v>
      </c>
      <c r="P267" s="95" t="str">
        <f t="shared" ref="P267:P268" si="130">right(O267,4)</f>
        <v>2035</v>
      </c>
      <c r="Q267" s="86">
        <f t="shared" ref="Q267:Q268" si="131">DATEDIF(M267,O267,"d")</f>
        <v>4017</v>
      </c>
      <c r="R267" s="85">
        <f t="shared" ref="R267:R268" si="132">DATEDIF(M267,O267,"y")</f>
        <v>11</v>
      </c>
      <c r="S267" s="61"/>
      <c r="T267" s="87"/>
      <c r="U267" s="62">
        <v>0.0</v>
      </c>
      <c r="V267" s="97"/>
      <c r="W267" s="61" t="s">
        <v>3083</v>
      </c>
      <c r="X267" s="61" t="s">
        <v>3083</v>
      </c>
      <c r="Y267" s="50" t="s">
        <v>161</v>
      </c>
      <c r="Z267" s="50" t="s">
        <v>211</v>
      </c>
      <c r="AA267" s="50" t="s">
        <v>123</v>
      </c>
      <c r="AB267" s="193" t="s">
        <v>2291</v>
      </c>
      <c r="AC267" s="65" t="s">
        <v>164</v>
      </c>
      <c r="AD267" s="50" t="s">
        <v>3084</v>
      </c>
      <c r="AE267" s="120"/>
    </row>
    <row r="268">
      <c r="A268" s="41" t="s">
        <v>169</v>
      </c>
      <c r="B268" s="41" t="s">
        <v>67</v>
      </c>
      <c r="C268" s="68" t="s">
        <v>3085</v>
      </c>
      <c r="D268" s="69">
        <v>600352.0</v>
      </c>
      <c r="E268" s="41" t="s">
        <v>3086</v>
      </c>
      <c r="F268" s="41" t="s">
        <v>3087</v>
      </c>
      <c r="G268" s="41" t="s">
        <v>3088</v>
      </c>
      <c r="H268" s="41" t="s">
        <v>266</v>
      </c>
      <c r="I268" s="31" t="s">
        <v>289</v>
      </c>
      <c r="J268" s="31" t="s">
        <v>289</v>
      </c>
      <c r="K268" s="31" t="s">
        <v>147</v>
      </c>
      <c r="L268" s="91" t="s">
        <v>48</v>
      </c>
      <c r="M268" s="70">
        <v>45383.0</v>
      </c>
      <c r="N268" s="70" t="str">
        <f t="shared" si="129"/>
        <v>2024</v>
      </c>
      <c r="O268" s="70">
        <v>45748.0</v>
      </c>
      <c r="P268" s="102" t="str">
        <f t="shared" si="130"/>
        <v>2025</v>
      </c>
      <c r="Q268" s="73">
        <f t="shared" si="131"/>
        <v>365</v>
      </c>
      <c r="R268" s="93">
        <f t="shared" si="132"/>
        <v>1</v>
      </c>
      <c r="S268" s="41"/>
      <c r="T268" s="74"/>
      <c r="U268" s="75">
        <v>0.0</v>
      </c>
      <c r="V268" s="77"/>
      <c r="W268" s="41" t="s">
        <v>3092</v>
      </c>
      <c r="X268" s="41" t="s">
        <v>3092</v>
      </c>
      <c r="Y268" s="31" t="s">
        <v>161</v>
      </c>
      <c r="Z268" s="101" t="s">
        <v>247</v>
      </c>
      <c r="AA268" s="31" t="s">
        <v>289</v>
      </c>
      <c r="AB268" s="41" t="s">
        <v>1493</v>
      </c>
      <c r="AC268" s="46" t="s">
        <v>161</v>
      </c>
      <c r="AD268" s="41"/>
      <c r="AE268" s="78" t="s">
        <v>220</v>
      </c>
    </row>
    <row r="269">
      <c r="A269" s="50" t="s">
        <v>169</v>
      </c>
      <c r="B269" s="50" t="s">
        <v>67</v>
      </c>
      <c r="C269" s="52" t="s">
        <v>3093</v>
      </c>
      <c r="D269" s="79">
        <v>600347.0</v>
      </c>
      <c r="E269" s="50" t="s">
        <v>1025</v>
      </c>
      <c r="F269" s="50" t="s">
        <v>3094</v>
      </c>
      <c r="G269" s="50" t="s">
        <v>3095</v>
      </c>
      <c r="H269" s="50" t="s">
        <v>232</v>
      </c>
      <c r="I269" s="50" t="s">
        <v>708</v>
      </c>
      <c r="J269" s="50" t="s">
        <v>233</v>
      </c>
      <c r="K269" s="50" t="s">
        <v>236</v>
      </c>
      <c r="L269" s="50" t="s">
        <v>25</v>
      </c>
      <c r="M269" s="57">
        <v>45383.0</v>
      </c>
      <c r="N269" s="54">
        <v>2024.0</v>
      </c>
      <c r="O269" s="57">
        <v>46218.0</v>
      </c>
      <c r="P269" s="59">
        <v>2026.0</v>
      </c>
      <c r="Q269" s="60">
        <v>835.0</v>
      </c>
      <c r="R269" s="59">
        <v>3.0</v>
      </c>
      <c r="S269" s="61"/>
      <c r="T269" s="54" t="s">
        <v>113</v>
      </c>
      <c r="U269" s="62">
        <v>0.0</v>
      </c>
      <c r="V269" s="97"/>
      <c r="W269" s="50" t="s">
        <v>3098</v>
      </c>
      <c r="X269" s="50" t="s">
        <v>3098</v>
      </c>
      <c r="Y269" s="50" t="s">
        <v>161</v>
      </c>
      <c r="Z269" s="50" t="s">
        <v>211</v>
      </c>
      <c r="AA269" s="50" t="s">
        <v>123</v>
      </c>
      <c r="AB269" s="50" t="s">
        <v>249</v>
      </c>
      <c r="AC269" s="65" t="s">
        <v>337</v>
      </c>
      <c r="AD269" s="61"/>
      <c r="AE269" s="120"/>
    </row>
    <row r="270">
      <c r="A270" s="31" t="s">
        <v>169</v>
      </c>
      <c r="B270" s="31" t="s">
        <v>67</v>
      </c>
      <c r="C270" s="32" t="s">
        <v>3099</v>
      </c>
      <c r="D270" s="113">
        <v>600346.0</v>
      </c>
      <c r="E270" s="31" t="s">
        <v>1030</v>
      </c>
      <c r="F270" s="31" t="s">
        <v>3100</v>
      </c>
      <c r="G270" s="31" t="s">
        <v>3101</v>
      </c>
      <c r="H270" s="31" t="s">
        <v>232</v>
      </c>
      <c r="I270" s="31" t="s">
        <v>708</v>
      </c>
      <c r="J270" s="31" t="s">
        <v>233</v>
      </c>
      <c r="K270" s="31" t="s">
        <v>236</v>
      </c>
      <c r="L270" s="31" t="s">
        <v>25</v>
      </c>
      <c r="M270" s="37">
        <v>45383.0</v>
      </c>
      <c r="N270" s="33">
        <v>2024.0</v>
      </c>
      <c r="O270" s="37">
        <v>46218.0</v>
      </c>
      <c r="P270" s="39">
        <v>2026.0</v>
      </c>
      <c r="Q270" s="40">
        <v>730.0</v>
      </c>
      <c r="R270" s="39">
        <v>2.0</v>
      </c>
      <c r="S270" s="41"/>
      <c r="T270" s="33" t="s">
        <v>113</v>
      </c>
      <c r="U270" s="43">
        <v>0.0</v>
      </c>
      <c r="V270" s="77"/>
      <c r="W270" s="150" t="s">
        <v>3103</v>
      </c>
      <c r="X270" s="150" t="s">
        <v>3103</v>
      </c>
      <c r="Y270" s="31" t="s">
        <v>161</v>
      </c>
      <c r="Z270" s="31" t="s">
        <v>211</v>
      </c>
      <c r="AA270" s="31" t="s">
        <v>123</v>
      </c>
      <c r="AB270" s="31" t="s">
        <v>249</v>
      </c>
      <c r="AC270" s="46" t="s">
        <v>337</v>
      </c>
      <c r="AD270" s="41"/>
      <c r="AE270" s="99"/>
    </row>
    <row r="271">
      <c r="A271" s="61" t="s">
        <v>64</v>
      </c>
      <c r="B271" s="61" t="s">
        <v>67</v>
      </c>
      <c r="C271" s="82" t="s">
        <v>3106</v>
      </c>
      <c r="D271" s="83"/>
      <c r="E271" s="61" t="s">
        <v>2234</v>
      </c>
      <c r="F271" s="61" t="s">
        <v>2235</v>
      </c>
      <c r="G271" s="61" t="s">
        <v>2236</v>
      </c>
      <c r="H271" s="50" t="s">
        <v>103</v>
      </c>
      <c r="I271" s="97" t="s">
        <v>106</v>
      </c>
      <c r="J271" s="50" t="s">
        <v>233</v>
      </c>
      <c r="K271" s="106" t="s">
        <v>175</v>
      </c>
      <c r="L271" s="50" t="s">
        <v>484</v>
      </c>
      <c r="M271" s="84">
        <v>45384.0</v>
      </c>
      <c r="N271" s="84" t="str">
        <f>right(M271,4)</f>
        <v>2024</v>
      </c>
      <c r="O271" s="84">
        <v>45387.0</v>
      </c>
      <c r="P271" s="85" t="str">
        <f>right(O271,4)</f>
        <v>2024</v>
      </c>
      <c r="Q271" s="86">
        <f>DATEDIF(M271,O271,"d")</f>
        <v>3</v>
      </c>
      <c r="R271" s="85">
        <f>DATEDIF(M271,O271,"y")</f>
        <v>0</v>
      </c>
      <c r="S271" s="61"/>
      <c r="T271" s="87"/>
      <c r="U271" s="96">
        <v>0.0</v>
      </c>
      <c r="V271" s="61" t="s">
        <v>2239</v>
      </c>
      <c r="W271" s="61" t="s">
        <v>2238</v>
      </c>
      <c r="X271" s="61"/>
      <c r="Y271" s="50" t="s">
        <v>161</v>
      </c>
      <c r="Z271" s="50" t="s">
        <v>122</v>
      </c>
      <c r="AA271" s="50" t="s">
        <v>175</v>
      </c>
      <c r="AB271" s="61" t="s">
        <v>1996</v>
      </c>
      <c r="AC271" s="65" t="s">
        <v>161</v>
      </c>
      <c r="AD271" s="66"/>
      <c r="AE271" s="108" t="s">
        <v>220</v>
      </c>
    </row>
    <row r="272">
      <c r="A272" s="31" t="s">
        <v>64</v>
      </c>
      <c r="B272" s="31" t="s">
        <v>19</v>
      </c>
      <c r="C272" s="32" t="s">
        <v>3113</v>
      </c>
      <c r="D272" s="33">
        <v>600327.0</v>
      </c>
      <c r="E272" s="31" t="s">
        <v>2223</v>
      </c>
      <c r="F272" s="31" t="s">
        <v>2225</v>
      </c>
      <c r="G272" s="31" t="s">
        <v>2226</v>
      </c>
      <c r="H272" s="31" t="s">
        <v>232</v>
      </c>
      <c r="I272" s="31" t="s">
        <v>104</v>
      </c>
      <c r="J272" s="31" t="s">
        <v>84</v>
      </c>
      <c r="K272" s="31" t="s">
        <v>84</v>
      </c>
      <c r="L272" s="31" t="s">
        <v>25</v>
      </c>
      <c r="M272" s="37">
        <v>45384.0</v>
      </c>
      <c r="N272" s="33">
        <v>2024.0</v>
      </c>
      <c r="O272" s="37">
        <v>46387.0</v>
      </c>
      <c r="P272" s="39">
        <v>2026.0</v>
      </c>
      <c r="Q272" s="40">
        <v>1003.0</v>
      </c>
      <c r="R272" s="39">
        <v>3.0</v>
      </c>
      <c r="S272" s="41"/>
      <c r="T272" s="33" t="s">
        <v>269</v>
      </c>
      <c r="U272" s="43">
        <v>1.0</v>
      </c>
      <c r="V272" s="31" t="s">
        <v>1995</v>
      </c>
      <c r="W272" s="89" t="s">
        <v>3117</v>
      </c>
      <c r="X272" s="89"/>
      <c r="Y272" s="31" t="s">
        <v>161</v>
      </c>
      <c r="Z272" s="31" t="s">
        <v>211</v>
      </c>
      <c r="AA272" s="31" t="s">
        <v>14</v>
      </c>
      <c r="AB272" s="31" t="s">
        <v>124</v>
      </c>
      <c r="AC272" s="46" t="s">
        <v>337</v>
      </c>
      <c r="AD272" s="47"/>
      <c r="AE272" s="111"/>
    </row>
    <row r="273">
      <c r="A273" s="61" t="s">
        <v>169</v>
      </c>
      <c r="B273" s="61" t="s">
        <v>67</v>
      </c>
      <c r="C273" s="82" t="s">
        <v>3118</v>
      </c>
      <c r="D273" s="94">
        <v>600354.0</v>
      </c>
      <c r="E273" s="61" t="s">
        <v>3120</v>
      </c>
      <c r="F273" s="61" t="s">
        <v>3121</v>
      </c>
      <c r="G273" s="61" t="s">
        <v>3122</v>
      </c>
      <c r="H273" s="50" t="s">
        <v>103</v>
      </c>
      <c r="I273" s="50" t="s">
        <v>289</v>
      </c>
      <c r="J273" s="50" t="s">
        <v>289</v>
      </c>
      <c r="K273" s="50" t="s">
        <v>236</v>
      </c>
      <c r="L273" s="138" t="s">
        <v>48</v>
      </c>
      <c r="M273" s="84">
        <v>45384.0</v>
      </c>
      <c r="N273" s="84" t="str">
        <f t="shared" ref="N273:N275" si="133">right(M273,4)</f>
        <v>2024</v>
      </c>
      <c r="O273" s="84">
        <v>45568.0</v>
      </c>
      <c r="P273" s="95" t="str">
        <f t="shared" ref="P273:P275" si="134">right(O273,4)</f>
        <v>2024</v>
      </c>
      <c r="Q273" s="86">
        <f t="shared" ref="Q273:Q275" si="135">DATEDIF(M273,O273,"d")</f>
        <v>184</v>
      </c>
      <c r="R273" s="85">
        <f t="shared" ref="R273:R275" si="136">DATEDIF(M273,O273,"y")</f>
        <v>0</v>
      </c>
      <c r="S273" s="61"/>
      <c r="T273" s="87"/>
      <c r="U273" s="96">
        <v>0.0</v>
      </c>
      <c r="V273" s="97"/>
      <c r="W273" s="61" t="s">
        <v>3123</v>
      </c>
      <c r="X273" s="61"/>
      <c r="Y273" s="50" t="s">
        <v>161</v>
      </c>
      <c r="Z273" s="80" t="s">
        <v>247</v>
      </c>
      <c r="AA273" s="50" t="s">
        <v>261</v>
      </c>
      <c r="AB273" s="50" t="s">
        <v>213</v>
      </c>
      <c r="AC273" s="65" t="s">
        <v>337</v>
      </c>
      <c r="AD273" s="61"/>
      <c r="AE273" s="120"/>
    </row>
    <row r="274">
      <c r="A274" s="41" t="s">
        <v>169</v>
      </c>
      <c r="B274" s="41" t="s">
        <v>67</v>
      </c>
      <c r="C274" s="68" t="s">
        <v>3126</v>
      </c>
      <c r="D274" s="69">
        <v>600357.0</v>
      </c>
      <c r="E274" s="41" t="s">
        <v>3128</v>
      </c>
      <c r="F274" s="41" t="s">
        <v>3129</v>
      </c>
      <c r="G274" s="41" t="s">
        <v>3130</v>
      </c>
      <c r="H274" s="41" t="s">
        <v>266</v>
      </c>
      <c r="I274" s="31" t="s">
        <v>289</v>
      </c>
      <c r="J274" s="31" t="s">
        <v>289</v>
      </c>
      <c r="K274" s="31" t="s">
        <v>236</v>
      </c>
      <c r="L274" s="91" t="s">
        <v>48</v>
      </c>
      <c r="M274" s="70">
        <v>45385.0</v>
      </c>
      <c r="N274" s="70" t="str">
        <f t="shared" si="133"/>
        <v>2024</v>
      </c>
      <c r="O274" s="70">
        <v>45750.0</v>
      </c>
      <c r="P274" s="102" t="str">
        <f t="shared" si="134"/>
        <v>2025</v>
      </c>
      <c r="Q274" s="73">
        <f t="shared" si="135"/>
        <v>365</v>
      </c>
      <c r="R274" s="93">
        <f t="shared" si="136"/>
        <v>1</v>
      </c>
      <c r="S274" s="41"/>
      <c r="T274" s="74"/>
      <c r="U274" s="75">
        <v>0.0</v>
      </c>
      <c r="V274" s="77"/>
      <c r="W274" s="41" t="s">
        <v>3133</v>
      </c>
      <c r="X274" s="41" t="s">
        <v>3133</v>
      </c>
      <c r="Y274" s="31" t="s">
        <v>161</v>
      </c>
      <c r="Z274" s="101" t="s">
        <v>247</v>
      </c>
      <c r="AA274" s="31" t="s">
        <v>289</v>
      </c>
      <c r="AB274" s="31" t="s">
        <v>1753</v>
      </c>
      <c r="AC274" s="46" t="s">
        <v>128</v>
      </c>
      <c r="AD274" s="41"/>
      <c r="AE274" s="99"/>
    </row>
    <row r="275">
      <c r="A275" s="61" t="s">
        <v>169</v>
      </c>
      <c r="B275" s="61" t="s">
        <v>67</v>
      </c>
      <c r="C275" s="82" t="s">
        <v>3134</v>
      </c>
      <c r="D275" s="94">
        <v>600355.0</v>
      </c>
      <c r="E275" s="61" t="s">
        <v>3135</v>
      </c>
      <c r="F275" s="61" t="s">
        <v>3136</v>
      </c>
      <c r="G275" s="61" t="s">
        <v>3137</v>
      </c>
      <c r="H275" s="50" t="s">
        <v>103</v>
      </c>
      <c r="I275" s="97" t="s">
        <v>106</v>
      </c>
      <c r="J275" s="106" t="s">
        <v>175</v>
      </c>
      <c r="K275" s="50" t="s">
        <v>147</v>
      </c>
      <c r="L275" s="138" t="s">
        <v>48</v>
      </c>
      <c r="M275" s="84">
        <v>45385.0</v>
      </c>
      <c r="N275" s="84" t="str">
        <f t="shared" si="133"/>
        <v>2024</v>
      </c>
      <c r="O275" s="84">
        <v>45395.0</v>
      </c>
      <c r="P275" s="95" t="str">
        <f t="shared" si="134"/>
        <v>2024</v>
      </c>
      <c r="Q275" s="86">
        <f t="shared" si="135"/>
        <v>10</v>
      </c>
      <c r="R275" s="85">
        <f t="shared" si="136"/>
        <v>0</v>
      </c>
      <c r="S275" s="61"/>
      <c r="T275" s="87"/>
      <c r="U275" s="96">
        <v>0.0</v>
      </c>
      <c r="V275" s="97"/>
      <c r="W275" s="61" t="s">
        <v>3140</v>
      </c>
      <c r="X275" s="61"/>
      <c r="Y275" s="50" t="s">
        <v>161</v>
      </c>
      <c r="Z275" s="80" t="s">
        <v>247</v>
      </c>
      <c r="AA275" s="50" t="s">
        <v>175</v>
      </c>
      <c r="AB275" s="106" t="s">
        <v>442</v>
      </c>
      <c r="AC275" s="65" t="s">
        <v>161</v>
      </c>
      <c r="AD275" s="61"/>
      <c r="AE275" s="108" t="s">
        <v>220</v>
      </c>
    </row>
    <row r="276">
      <c r="A276" s="31" t="s">
        <v>64</v>
      </c>
      <c r="B276" s="31" t="s">
        <v>19</v>
      </c>
      <c r="C276" s="32" t="s">
        <v>3141</v>
      </c>
      <c r="D276" s="33">
        <v>600368.0</v>
      </c>
      <c r="E276" s="31" t="s">
        <v>2271</v>
      </c>
      <c r="F276" s="31" t="s">
        <v>2272</v>
      </c>
      <c r="G276" s="31" t="s">
        <v>2273</v>
      </c>
      <c r="H276" s="31" t="s">
        <v>103</v>
      </c>
      <c r="I276" s="35" t="s">
        <v>708</v>
      </c>
      <c r="J276" s="31" t="s">
        <v>146</v>
      </c>
      <c r="K276" s="35" t="s">
        <v>84</v>
      </c>
      <c r="L276" s="31" t="s">
        <v>181</v>
      </c>
      <c r="M276" s="37">
        <v>45386.0</v>
      </c>
      <c r="N276" s="33">
        <v>2024.0</v>
      </c>
      <c r="O276" s="37">
        <v>46495.0</v>
      </c>
      <c r="P276" s="39">
        <v>2027.0</v>
      </c>
      <c r="Q276" s="40">
        <v>1109.0</v>
      </c>
      <c r="R276" s="39">
        <v>4.0</v>
      </c>
      <c r="S276" s="41"/>
      <c r="T276" s="33" t="s">
        <v>269</v>
      </c>
      <c r="U276" s="75">
        <v>1.0</v>
      </c>
      <c r="V276" s="31" t="s">
        <v>2278</v>
      </c>
      <c r="W276" s="31" t="s">
        <v>2277</v>
      </c>
      <c r="X276" s="31" t="s">
        <v>2277</v>
      </c>
      <c r="Y276" s="31" t="s">
        <v>161</v>
      </c>
      <c r="Z276" s="31" t="s">
        <v>122</v>
      </c>
      <c r="AA276" s="31" t="s">
        <v>65</v>
      </c>
      <c r="AB276" s="31" t="s">
        <v>768</v>
      </c>
      <c r="AC276" s="46" t="s">
        <v>276</v>
      </c>
      <c r="AD276" s="46"/>
      <c r="AE276" s="111"/>
    </row>
    <row r="277">
      <c r="A277" s="61" t="s">
        <v>64</v>
      </c>
      <c r="B277" s="61" t="s">
        <v>67</v>
      </c>
      <c r="C277" s="82" t="s">
        <v>3146</v>
      </c>
      <c r="D277" s="87">
        <v>60388.0</v>
      </c>
      <c r="E277" s="61" t="s">
        <v>2313</v>
      </c>
      <c r="F277" s="61" t="s">
        <v>2314</v>
      </c>
      <c r="G277" s="61" t="s">
        <v>2315</v>
      </c>
      <c r="H277" s="61" t="s">
        <v>84</v>
      </c>
      <c r="I277" s="56" t="s">
        <v>104</v>
      </c>
      <c r="J277" s="138" t="s">
        <v>84</v>
      </c>
      <c r="K277" s="61" t="s">
        <v>84</v>
      </c>
      <c r="L277" s="50" t="s">
        <v>181</v>
      </c>
      <c r="M277" s="84">
        <v>45387.0</v>
      </c>
      <c r="N277" s="84" t="str">
        <f t="shared" ref="N277:N279" si="137">right(M277,4)</f>
        <v>2024</v>
      </c>
      <c r="O277" s="84">
        <v>45812.0</v>
      </c>
      <c r="P277" s="85" t="str">
        <f t="shared" ref="P277:P279" si="138">right(O277,4)</f>
        <v>2025</v>
      </c>
      <c r="Q277" s="86">
        <f t="shared" ref="Q277:Q279" si="139">DATEDIF(M277,O277,"d")</f>
        <v>425</v>
      </c>
      <c r="R277" s="85">
        <f t="shared" ref="R277:R279" si="140">DATEDIF(M277,O277,"y")</f>
        <v>1</v>
      </c>
      <c r="S277" s="61"/>
      <c r="T277" s="87" t="s">
        <v>113</v>
      </c>
      <c r="U277" s="96">
        <v>0.0</v>
      </c>
      <c r="V277" s="61"/>
      <c r="W277" s="61" t="s">
        <v>2320</v>
      </c>
      <c r="X277" s="61" t="s">
        <v>2320</v>
      </c>
      <c r="Y277" s="50" t="s">
        <v>161</v>
      </c>
      <c r="Z277" s="50" t="s">
        <v>122</v>
      </c>
      <c r="AA277" s="50" t="s">
        <v>14</v>
      </c>
      <c r="AB277" s="61" t="s">
        <v>336</v>
      </c>
      <c r="AC277" s="65" t="s">
        <v>161</v>
      </c>
      <c r="AD277" s="66"/>
      <c r="AE277" s="67"/>
    </row>
    <row r="278">
      <c r="A278" s="41" t="s">
        <v>64</v>
      </c>
      <c r="B278" s="41" t="s">
        <v>67</v>
      </c>
      <c r="C278" s="68" t="s">
        <v>3154</v>
      </c>
      <c r="D278" s="74">
        <v>600358.0</v>
      </c>
      <c r="E278" s="41" t="s">
        <v>2259</v>
      </c>
      <c r="F278" s="41" t="s">
        <v>2260</v>
      </c>
      <c r="G278" s="41" t="s">
        <v>2261</v>
      </c>
      <c r="H278" s="31" t="s">
        <v>103</v>
      </c>
      <c r="I278" s="208" t="s">
        <v>708</v>
      </c>
      <c r="J278" s="31" t="s">
        <v>233</v>
      </c>
      <c r="K278" s="41" t="s">
        <v>1239</v>
      </c>
      <c r="L278" s="31" t="s">
        <v>181</v>
      </c>
      <c r="M278" s="70">
        <v>45390.0</v>
      </c>
      <c r="N278" s="70" t="str">
        <f t="shared" si="137"/>
        <v>2024</v>
      </c>
      <c r="O278" s="70">
        <v>45580.0</v>
      </c>
      <c r="P278" s="93" t="str">
        <f t="shared" si="138"/>
        <v>2024</v>
      </c>
      <c r="Q278" s="73">
        <f t="shared" si="139"/>
        <v>190</v>
      </c>
      <c r="R278" s="93">
        <f t="shared" si="140"/>
        <v>0</v>
      </c>
      <c r="S278" s="41"/>
      <c r="T278" s="74" t="s">
        <v>113</v>
      </c>
      <c r="U278" s="75">
        <v>0.0</v>
      </c>
      <c r="V278" s="41"/>
      <c r="W278" s="154" t="s">
        <v>2265</v>
      </c>
      <c r="X278" s="41"/>
      <c r="Y278" s="31" t="s">
        <v>161</v>
      </c>
      <c r="Z278" s="31" t="s">
        <v>122</v>
      </c>
      <c r="AA278" s="31" t="s">
        <v>289</v>
      </c>
      <c r="AB278" s="31" t="s">
        <v>124</v>
      </c>
      <c r="AC278" s="46" t="s">
        <v>337</v>
      </c>
      <c r="AD278" s="47"/>
      <c r="AE278" s="49"/>
    </row>
    <row r="279">
      <c r="A279" s="61" t="s">
        <v>169</v>
      </c>
      <c r="B279" s="61" t="s">
        <v>67</v>
      </c>
      <c r="C279" s="82" t="s">
        <v>3158</v>
      </c>
      <c r="D279" s="94">
        <v>600361.0</v>
      </c>
      <c r="E279" s="61" t="s">
        <v>3159</v>
      </c>
      <c r="F279" s="61" t="s">
        <v>3160</v>
      </c>
      <c r="G279" s="61" t="s">
        <v>3161</v>
      </c>
      <c r="H279" s="50" t="s">
        <v>103</v>
      </c>
      <c r="I279" s="50" t="s">
        <v>289</v>
      </c>
      <c r="J279" s="50" t="s">
        <v>289</v>
      </c>
      <c r="K279" s="50" t="s">
        <v>147</v>
      </c>
      <c r="L279" s="138" t="s">
        <v>48</v>
      </c>
      <c r="M279" s="84">
        <v>45390.0</v>
      </c>
      <c r="N279" s="84" t="str">
        <f t="shared" si="137"/>
        <v>2024</v>
      </c>
      <c r="O279" s="84">
        <v>45755.0</v>
      </c>
      <c r="P279" s="95" t="str">
        <f t="shared" si="138"/>
        <v>2025</v>
      </c>
      <c r="Q279" s="86">
        <f t="shared" si="139"/>
        <v>365</v>
      </c>
      <c r="R279" s="85">
        <f t="shared" si="140"/>
        <v>1</v>
      </c>
      <c r="S279" s="61"/>
      <c r="T279" s="87"/>
      <c r="U279" s="96">
        <v>0.0</v>
      </c>
      <c r="V279" s="97"/>
      <c r="W279" s="61" t="s">
        <v>3164</v>
      </c>
      <c r="X279" s="61" t="s">
        <v>3164</v>
      </c>
      <c r="Y279" s="50" t="s">
        <v>161</v>
      </c>
      <c r="Z279" s="80" t="s">
        <v>247</v>
      </c>
      <c r="AA279" s="50" t="s">
        <v>289</v>
      </c>
      <c r="AB279" s="106" t="s">
        <v>442</v>
      </c>
      <c r="AC279" s="65" t="s">
        <v>161</v>
      </c>
      <c r="AD279" s="61"/>
      <c r="AE279" s="120"/>
    </row>
    <row r="280">
      <c r="A280" s="31" t="s">
        <v>64</v>
      </c>
      <c r="B280" s="31" t="s">
        <v>67</v>
      </c>
      <c r="C280" s="32" t="s">
        <v>3165</v>
      </c>
      <c r="D280" s="33">
        <v>600365.0</v>
      </c>
      <c r="E280" s="31" t="s">
        <v>890</v>
      </c>
      <c r="F280" s="31" t="s">
        <v>2301</v>
      </c>
      <c r="G280" s="31" t="s">
        <v>2302</v>
      </c>
      <c r="H280" s="31" t="s">
        <v>103</v>
      </c>
      <c r="I280" s="35" t="s">
        <v>104</v>
      </c>
      <c r="J280" s="31" t="s">
        <v>146</v>
      </c>
      <c r="K280" s="31" t="s">
        <v>236</v>
      </c>
      <c r="L280" s="31" t="s">
        <v>25</v>
      </c>
      <c r="M280" s="37">
        <v>45391.0</v>
      </c>
      <c r="N280" s="33">
        <v>2024.0</v>
      </c>
      <c r="O280" s="37">
        <v>46121.0</v>
      </c>
      <c r="P280" s="39">
        <v>2026.0</v>
      </c>
      <c r="Q280" s="40">
        <v>730.0</v>
      </c>
      <c r="R280" s="39">
        <v>2.0</v>
      </c>
      <c r="S280" s="41"/>
      <c r="T280" s="74"/>
      <c r="U280" s="75">
        <v>1.0</v>
      </c>
      <c r="V280" s="31" t="s">
        <v>1995</v>
      </c>
      <c r="W280" s="31" t="s">
        <v>2306</v>
      </c>
      <c r="X280" s="31" t="s">
        <v>2306</v>
      </c>
      <c r="Y280" s="31" t="s">
        <v>161</v>
      </c>
      <c r="Z280" s="101" t="s">
        <v>211</v>
      </c>
      <c r="AA280" s="31" t="s">
        <v>14</v>
      </c>
      <c r="AB280" s="31" t="s">
        <v>124</v>
      </c>
      <c r="AC280" s="46" t="s">
        <v>337</v>
      </c>
      <c r="AD280" s="47"/>
      <c r="AE280" s="49"/>
    </row>
    <row r="281">
      <c r="A281" s="61" t="s">
        <v>64</v>
      </c>
      <c r="B281" s="61" t="s">
        <v>67</v>
      </c>
      <c r="C281" s="82" t="s">
        <v>3170</v>
      </c>
      <c r="D281" s="87">
        <v>600298.0</v>
      </c>
      <c r="E281" s="61" t="s">
        <v>2023</v>
      </c>
      <c r="F281" s="61" t="s">
        <v>2295</v>
      </c>
      <c r="G281" s="174" t="s">
        <v>2296</v>
      </c>
      <c r="H281" s="50" t="s">
        <v>103</v>
      </c>
      <c r="I281" s="50" t="s">
        <v>289</v>
      </c>
      <c r="J281" s="50" t="s">
        <v>289</v>
      </c>
      <c r="K281" s="50" t="s">
        <v>236</v>
      </c>
      <c r="L281" s="50" t="s">
        <v>484</v>
      </c>
      <c r="M281" s="84">
        <v>45391.0</v>
      </c>
      <c r="N281" s="84" t="str">
        <f t="shared" ref="N281:N285" si="141">right(M281,4)</f>
        <v>2024</v>
      </c>
      <c r="O281" s="84">
        <v>45756.0</v>
      </c>
      <c r="P281" s="85" t="str">
        <f t="shared" ref="P281:P285" si="142">right(O281,4)</f>
        <v>2025</v>
      </c>
      <c r="Q281" s="86">
        <f t="shared" ref="Q281:Q285" si="143">DATEDIF(M281,O281,"d")</f>
        <v>365</v>
      </c>
      <c r="R281" s="85">
        <f t="shared" ref="R281:R285" si="144">DATEDIF(M281,O281,"y")</f>
        <v>1</v>
      </c>
      <c r="S281" s="61"/>
      <c r="T281" s="87"/>
      <c r="U281" s="96">
        <v>0.0</v>
      </c>
      <c r="V281" s="61"/>
      <c r="W281" s="174" t="s">
        <v>2299</v>
      </c>
      <c r="X281" s="174" t="s">
        <v>2299</v>
      </c>
      <c r="Y281" s="50" t="s">
        <v>161</v>
      </c>
      <c r="Z281" s="50" t="s">
        <v>311</v>
      </c>
      <c r="AA281" s="50" t="s">
        <v>289</v>
      </c>
      <c r="AB281" s="61" t="s">
        <v>336</v>
      </c>
      <c r="AC281" s="65" t="s">
        <v>276</v>
      </c>
      <c r="AD281" s="66"/>
      <c r="AE281" s="81"/>
    </row>
    <row r="282">
      <c r="A282" s="41" t="s">
        <v>169</v>
      </c>
      <c r="B282" s="41" t="s">
        <v>67</v>
      </c>
      <c r="C282" s="68" t="s">
        <v>3174</v>
      </c>
      <c r="D282" s="69">
        <v>600366.0</v>
      </c>
      <c r="E282" s="41" t="s">
        <v>3175</v>
      </c>
      <c r="F282" s="41" t="s">
        <v>3176</v>
      </c>
      <c r="G282" s="41" t="s">
        <v>3177</v>
      </c>
      <c r="H282" s="41" t="s">
        <v>464</v>
      </c>
      <c r="I282" s="35" t="s">
        <v>104</v>
      </c>
      <c r="J282" s="31" t="s">
        <v>289</v>
      </c>
      <c r="K282" s="31" t="s">
        <v>236</v>
      </c>
      <c r="L282" s="91" t="s">
        <v>48</v>
      </c>
      <c r="M282" s="70">
        <v>45397.0</v>
      </c>
      <c r="N282" s="70" t="str">
        <f t="shared" si="141"/>
        <v>2024</v>
      </c>
      <c r="O282" s="70">
        <v>45762.0</v>
      </c>
      <c r="P282" s="102" t="str">
        <f t="shared" si="142"/>
        <v>2025</v>
      </c>
      <c r="Q282" s="73">
        <f t="shared" si="143"/>
        <v>365</v>
      </c>
      <c r="R282" s="93">
        <f t="shared" si="144"/>
        <v>1</v>
      </c>
      <c r="S282" s="41"/>
      <c r="T282" s="74"/>
      <c r="U282" s="75">
        <v>0.0</v>
      </c>
      <c r="V282" s="77"/>
      <c r="W282" s="41" t="s">
        <v>3179</v>
      </c>
      <c r="X282" s="41" t="s">
        <v>3179</v>
      </c>
      <c r="Y282" s="31" t="s">
        <v>161</v>
      </c>
      <c r="Z282" s="101" t="s">
        <v>247</v>
      </c>
      <c r="AA282" s="31" t="s">
        <v>289</v>
      </c>
      <c r="AB282" s="31" t="s">
        <v>213</v>
      </c>
      <c r="AC282" s="46" t="s">
        <v>164</v>
      </c>
      <c r="AD282" s="31" t="s">
        <v>251</v>
      </c>
      <c r="AE282" s="111" t="s">
        <v>220</v>
      </c>
    </row>
    <row r="283">
      <c r="A283" s="61" t="s">
        <v>64</v>
      </c>
      <c r="B283" s="61" t="s">
        <v>67</v>
      </c>
      <c r="C283" s="82" t="s">
        <v>3181</v>
      </c>
      <c r="D283" s="87">
        <v>600356.0</v>
      </c>
      <c r="E283" s="61" t="s">
        <v>2241</v>
      </c>
      <c r="F283" s="61" t="s">
        <v>2242</v>
      </c>
      <c r="G283" s="61" t="s">
        <v>2244</v>
      </c>
      <c r="H283" s="50" t="s">
        <v>84</v>
      </c>
      <c r="I283" s="97" t="s">
        <v>106</v>
      </c>
      <c r="J283" s="138" t="s">
        <v>84</v>
      </c>
      <c r="K283" s="61" t="s">
        <v>84</v>
      </c>
      <c r="L283" s="106" t="s">
        <v>175</v>
      </c>
      <c r="M283" s="84">
        <v>45398.0</v>
      </c>
      <c r="N283" s="84" t="str">
        <f t="shared" si="141"/>
        <v>2024</v>
      </c>
      <c r="O283" s="84">
        <v>45404.0</v>
      </c>
      <c r="P283" s="85" t="str">
        <f t="shared" si="142"/>
        <v>2024</v>
      </c>
      <c r="Q283" s="86">
        <f t="shared" si="143"/>
        <v>6</v>
      </c>
      <c r="R283" s="85">
        <f t="shared" si="144"/>
        <v>0</v>
      </c>
      <c r="S283" s="61"/>
      <c r="T283" s="87"/>
      <c r="U283" s="96">
        <v>0.0</v>
      </c>
      <c r="V283" s="61" t="s">
        <v>2256</v>
      </c>
      <c r="W283" s="174" t="s">
        <v>2251</v>
      </c>
      <c r="X283" s="61"/>
      <c r="Y283" s="50" t="s">
        <v>161</v>
      </c>
      <c r="Z283" s="50" t="s">
        <v>122</v>
      </c>
      <c r="AA283" s="50" t="s">
        <v>175</v>
      </c>
      <c r="AB283" s="50" t="s">
        <v>124</v>
      </c>
      <c r="AC283" s="65" t="s">
        <v>161</v>
      </c>
      <c r="AD283" s="97"/>
      <c r="AE283" s="108" t="s">
        <v>220</v>
      </c>
    </row>
    <row r="284">
      <c r="A284" s="41" t="s">
        <v>64</v>
      </c>
      <c r="B284" s="41" t="s">
        <v>19</v>
      </c>
      <c r="C284" s="68" t="s">
        <v>3186</v>
      </c>
      <c r="D284" s="74">
        <v>600039.0</v>
      </c>
      <c r="E284" s="41" t="s">
        <v>925</v>
      </c>
      <c r="F284" s="41" t="s">
        <v>2308</v>
      </c>
      <c r="G284" s="41" t="s">
        <v>2309</v>
      </c>
      <c r="H284" s="31" t="s">
        <v>1421</v>
      </c>
      <c r="I284" s="35" t="s">
        <v>104</v>
      </c>
      <c r="J284" s="31" t="s">
        <v>233</v>
      </c>
      <c r="K284" s="31" t="s">
        <v>236</v>
      </c>
      <c r="L284" s="31" t="s">
        <v>105</v>
      </c>
      <c r="M284" s="70">
        <v>45398.0</v>
      </c>
      <c r="N284" s="70" t="str">
        <f t="shared" si="141"/>
        <v>2024</v>
      </c>
      <c r="O284" s="70">
        <v>46623.0</v>
      </c>
      <c r="P284" s="73" t="str">
        <f t="shared" si="142"/>
        <v>2027</v>
      </c>
      <c r="Q284" s="73">
        <f t="shared" si="143"/>
        <v>1225</v>
      </c>
      <c r="R284" s="73">
        <f t="shared" si="144"/>
        <v>3</v>
      </c>
      <c r="S284" s="41"/>
      <c r="T284" s="74" t="s">
        <v>269</v>
      </c>
      <c r="U284" s="43">
        <v>2.0</v>
      </c>
      <c r="V284" s="41" t="s">
        <v>1995</v>
      </c>
      <c r="W284" s="41" t="s">
        <v>2312</v>
      </c>
      <c r="X284" s="41" t="s">
        <v>2312</v>
      </c>
      <c r="Y284" s="31" t="s">
        <v>161</v>
      </c>
      <c r="Z284" s="31" t="s">
        <v>210</v>
      </c>
      <c r="AA284" s="31" t="s">
        <v>14</v>
      </c>
      <c r="AB284" s="31" t="s">
        <v>124</v>
      </c>
      <c r="AC284" s="46" t="s">
        <v>128</v>
      </c>
      <c r="AD284" s="47"/>
      <c r="AE284" s="49"/>
    </row>
    <row r="285">
      <c r="A285" s="61" t="s">
        <v>169</v>
      </c>
      <c r="B285" s="61" t="s">
        <v>67</v>
      </c>
      <c r="C285" s="82" t="s">
        <v>3192</v>
      </c>
      <c r="D285" s="94">
        <v>600367.0</v>
      </c>
      <c r="E285" s="61" t="s">
        <v>3193</v>
      </c>
      <c r="F285" s="61" t="s">
        <v>3194</v>
      </c>
      <c r="G285" s="61" t="s">
        <v>3195</v>
      </c>
      <c r="H285" s="61" t="s">
        <v>266</v>
      </c>
      <c r="I285" s="50" t="s">
        <v>289</v>
      </c>
      <c r="J285" s="50" t="s">
        <v>289</v>
      </c>
      <c r="K285" s="50" t="s">
        <v>236</v>
      </c>
      <c r="L285" s="138" t="s">
        <v>48</v>
      </c>
      <c r="M285" s="84">
        <v>45398.0</v>
      </c>
      <c r="N285" s="84" t="str">
        <f t="shared" si="141"/>
        <v>2024</v>
      </c>
      <c r="O285" s="84">
        <v>45504.0</v>
      </c>
      <c r="P285" s="95" t="str">
        <f t="shared" si="142"/>
        <v>2024</v>
      </c>
      <c r="Q285" s="86">
        <f t="shared" si="143"/>
        <v>106</v>
      </c>
      <c r="R285" s="85">
        <f t="shared" si="144"/>
        <v>0</v>
      </c>
      <c r="S285" s="61"/>
      <c r="T285" s="87"/>
      <c r="U285" s="96">
        <v>0.0</v>
      </c>
      <c r="V285" s="97" t="s">
        <v>3197</v>
      </c>
      <c r="W285" s="61" t="s">
        <v>3198</v>
      </c>
      <c r="X285" s="61"/>
      <c r="Y285" s="50" t="s">
        <v>161</v>
      </c>
      <c r="Z285" s="80" t="s">
        <v>247</v>
      </c>
      <c r="AA285" s="50" t="s">
        <v>289</v>
      </c>
      <c r="AB285" s="50" t="s">
        <v>213</v>
      </c>
      <c r="AC285" s="65" t="s">
        <v>161</v>
      </c>
      <c r="AD285" s="61"/>
      <c r="AE285" s="120"/>
    </row>
    <row r="286">
      <c r="A286" s="31" t="s">
        <v>169</v>
      </c>
      <c r="B286" s="31" t="s">
        <v>19</v>
      </c>
      <c r="C286" s="32" t="s">
        <v>3199</v>
      </c>
      <c r="D286" s="113">
        <v>600369.0</v>
      </c>
      <c r="E286" s="31" t="s">
        <v>3201</v>
      </c>
      <c r="F286" s="31" t="s">
        <v>3203</v>
      </c>
      <c r="G286" s="31" t="s">
        <v>3204</v>
      </c>
      <c r="H286" s="31" t="s">
        <v>103</v>
      </c>
      <c r="I286" s="104" t="s">
        <v>708</v>
      </c>
      <c r="J286" s="35" t="s">
        <v>233</v>
      </c>
      <c r="K286" s="31" t="s">
        <v>236</v>
      </c>
      <c r="L286" s="92" t="s">
        <v>181</v>
      </c>
      <c r="M286" s="37">
        <v>45402.0</v>
      </c>
      <c r="N286" s="33">
        <v>2024.0</v>
      </c>
      <c r="O286" s="37">
        <v>46504.0</v>
      </c>
      <c r="P286" s="40">
        <v>2027.0</v>
      </c>
      <c r="Q286" s="40">
        <v>1102.0</v>
      </c>
      <c r="R286" s="40">
        <v>4.0</v>
      </c>
      <c r="S286" s="41"/>
      <c r="T286" s="33" t="s">
        <v>113</v>
      </c>
      <c r="U286" s="75">
        <v>2.0</v>
      </c>
      <c r="V286" s="77"/>
      <c r="W286" s="31" t="s">
        <v>3209</v>
      </c>
      <c r="X286" s="31" t="s">
        <v>3209</v>
      </c>
      <c r="Y286" s="31" t="s">
        <v>161</v>
      </c>
      <c r="Z286" s="31" t="s">
        <v>210</v>
      </c>
      <c r="AA286" s="31" t="s">
        <v>14</v>
      </c>
      <c r="AB286" s="153" t="s">
        <v>975</v>
      </c>
      <c r="AC286" s="46" t="s">
        <v>337</v>
      </c>
      <c r="AD286" s="41"/>
      <c r="AE286" s="99"/>
    </row>
    <row r="287">
      <c r="A287" s="61" t="s">
        <v>64</v>
      </c>
      <c r="B287" s="61" t="s">
        <v>67</v>
      </c>
      <c r="C287" s="82" t="s">
        <v>3211</v>
      </c>
      <c r="D287" s="87">
        <v>600370.0</v>
      </c>
      <c r="E287" s="61" t="s">
        <v>1085</v>
      </c>
      <c r="F287" s="61" t="s">
        <v>2323</v>
      </c>
      <c r="G287" s="61" t="s">
        <v>2325</v>
      </c>
      <c r="H287" s="61" t="s">
        <v>266</v>
      </c>
      <c r="I287" s="50" t="s">
        <v>289</v>
      </c>
      <c r="J287" s="50" t="s">
        <v>233</v>
      </c>
      <c r="K287" s="50" t="s">
        <v>236</v>
      </c>
      <c r="L287" s="138" t="s">
        <v>25</v>
      </c>
      <c r="M287" s="84">
        <v>45404.0</v>
      </c>
      <c r="N287" s="84" t="str">
        <f t="shared" ref="N287:N292" si="145">right(M287,4)</f>
        <v>2024</v>
      </c>
      <c r="O287" s="84">
        <v>45769.0</v>
      </c>
      <c r="P287" s="85" t="str">
        <f t="shared" ref="P287:P292" si="146">right(O287,4)</f>
        <v>2025</v>
      </c>
      <c r="Q287" s="86">
        <f t="shared" ref="Q287:Q292" si="147">DATEDIF(M287,O287,"d")</f>
        <v>365</v>
      </c>
      <c r="R287" s="85">
        <f t="shared" ref="R287:R292" si="148">DATEDIF(M287,O287,"y")</f>
        <v>1</v>
      </c>
      <c r="S287" s="61"/>
      <c r="T287" s="87"/>
      <c r="U287" s="96">
        <v>0.0</v>
      </c>
      <c r="V287" s="61" t="s">
        <v>1995</v>
      </c>
      <c r="W287" s="61" t="s">
        <v>2326</v>
      </c>
      <c r="X287" s="61" t="s">
        <v>2326</v>
      </c>
      <c r="Y287" s="50" t="s">
        <v>161</v>
      </c>
      <c r="Z287" s="61" t="s">
        <v>2330</v>
      </c>
      <c r="AA287" s="50" t="s">
        <v>289</v>
      </c>
      <c r="AB287" s="61" t="s">
        <v>2330</v>
      </c>
      <c r="AC287" s="65" t="s">
        <v>161</v>
      </c>
      <c r="AD287" s="66"/>
      <c r="AE287" s="81"/>
    </row>
    <row r="288">
      <c r="A288" s="41" t="s">
        <v>64</v>
      </c>
      <c r="B288" s="41" t="s">
        <v>67</v>
      </c>
      <c r="C288" s="68" t="s">
        <v>3215</v>
      </c>
      <c r="D288" s="74">
        <v>600368.0</v>
      </c>
      <c r="E288" s="41" t="s">
        <v>2344</v>
      </c>
      <c r="F288" s="41" t="s">
        <v>2345</v>
      </c>
      <c r="G288" s="41" t="s">
        <v>2346</v>
      </c>
      <c r="H288" s="41" t="s">
        <v>464</v>
      </c>
      <c r="I288" s="31" t="s">
        <v>289</v>
      </c>
      <c r="J288" s="31" t="s">
        <v>233</v>
      </c>
      <c r="K288" s="31" t="s">
        <v>236</v>
      </c>
      <c r="L288" s="31" t="s">
        <v>181</v>
      </c>
      <c r="M288" s="70">
        <v>45404.0</v>
      </c>
      <c r="N288" s="70" t="str">
        <f t="shared" si="145"/>
        <v>2024</v>
      </c>
      <c r="O288" s="70">
        <v>45587.0</v>
      </c>
      <c r="P288" s="93" t="str">
        <f t="shared" si="146"/>
        <v>2024</v>
      </c>
      <c r="Q288" s="73">
        <f t="shared" si="147"/>
        <v>183</v>
      </c>
      <c r="R288" s="93">
        <f t="shared" si="148"/>
        <v>0</v>
      </c>
      <c r="S288" s="41"/>
      <c r="T288" s="74"/>
      <c r="U288" s="75">
        <v>0.0</v>
      </c>
      <c r="V288" s="41"/>
      <c r="W288" s="41" t="s">
        <v>2348</v>
      </c>
      <c r="X288" s="41"/>
      <c r="Y288" s="31" t="s">
        <v>161</v>
      </c>
      <c r="Z288" s="31" t="s">
        <v>122</v>
      </c>
      <c r="AA288" s="31" t="s">
        <v>289</v>
      </c>
      <c r="AB288" s="31" t="s">
        <v>768</v>
      </c>
      <c r="AC288" s="46" t="s">
        <v>161</v>
      </c>
      <c r="AD288" s="47"/>
      <c r="AE288" s="111"/>
    </row>
    <row r="289">
      <c r="A289" s="61" t="s">
        <v>169</v>
      </c>
      <c r="B289" s="50" t="s">
        <v>67</v>
      </c>
      <c r="C289" s="82" t="s">
        <v>3219</v>
      </c>
      <c r="D289" s="94">
        <v>600371.0</v>
      </c>
      <c r="E289" s="61" t="s">
        <v>1021</v>
      </c>
      <c r="F289" s="61" t="s">
        <v>3220</v>
      </c>
      <c r="G289" s="61" t="s">
        <v>3221</v>
      </c>
      <c r="H289" s="61" t="s">
        <v>266</v>
      </c>
      <c r="I289" s="138" t="s">
        <v>104</v>
      </c>
      <c r="J289" s="50" t="s">
        <v>289</v>
      </c>
      <c r="K289" s="50" t="s">
        <v>236</v>
      </c>
      <c r="L289" s="138" t="s">
        <v>25</v>
      </c>
      <c r="M289" s="84">
        <v>45405.0</v>
      </c>
      <c r="N289" s="84" t="str">
        <f t="shared" si="145"/>
        <v>2024</v>
      </c>
      <c r="O289" s="57">
        <v>46135.0</v>
      </c>
      <c r="P289" s="95" t="str">
        <f t="shared" si="146"/>
        <v>2026</v>
      </c>
      <c r="Q289" s="86">
        <f t="shared" si="147"/>
        <v>730</v>
      </c>
      <c r="R289" s="85">
        <f t="shared" si="148"/>
        <v>2</v>
      </c>
      <c r="S289" s="61"/>
      <c r="T289" s="87"/>
      <c r="U289" s="96">
        <v>1.0</v>
      </c>
      <c r="V289" s="97"/>
      <c r="W289" s="61" t="s">
        <v>3226</v>
      </c>
      <c r="X289" s="61" t="s">
        <v>3226</v>
      </c>
      <c r="Y289" s="50" t="s">
        <v>161</v>
      </c>
      <c r="Z289" s="50" t="s">
        <v>247</v>
      </c>
      <c r="AA289" s="50" t="s">
        <v>123</v>
      </c>
      <c r="AB289" s="50" t="s">
        <v>1753</v>
      </c>
      <c r="AC289" s="65" t="s">
        <v>161</v>
      </c>
      <c r="AD289" s="50" t="s">
        <v>251</v>
      </c>
      <c r="AE289" s="131" t="s">
        <v>220</v>
      </c>
    </row>
    <row r="290">
      <c r="A290" s="41" t="s">
        <v>169</v>
      </c>
      <c r="B290" s="41" t="s">
        <v>67</v>
      </c>
      <c r="C290" s="68" t="s">
        <v>3231</v>
      </c>
      <c r="D290" s="69">
        <v>600372.0</v>
      </c>
      <c r="E290" s="41" t="s">
        <v>3232</v>
      </c>
      <c r="F290" s="41" t="s">
        <v>3235</v>
      </c>
      <c r="G290" s="41" t="s">
        <v>3236</v>
      </c>
      <c r="H290" s="41" t="s">
        <v>266</v>
      </c>
      <c r="I290" s="31" t="s">
        <v>289</v>
      </c>
      <c r="J290" s="31" t="s">
        <v>289</v>
      </c>
      <c r="K290" s="31" t="s">
        <v>236</v>
      </c>
      <c r="L290" s="91" t="s">
        <v>25</v>
      </c>
      <c r="M290" s="70">
        <v>45407.0</v>
      </c>
      <c r="N290" s="70" t="str">
        <f t="shared" si="145"/>
        <v>2024</v>
      </c>
      <c r="O290" s="70">
        <v>45772.0</v>
      </c>
      <c r="P290" s="102" t="str">
        <f t="shared" si="146"/>
        <v>2025</v>
      </c>
      <c r="Q290" s="73">
        <f t="shared" si="147"/>
        <v>365</v>
      </c>
      <c r="R290" s="93">
        <f t="shared" si="148"/>
        <v>1</v>
      </c>
      <c r="S290" s="41"/>
      <c r="T290" s="74"/>
      <c r="U290" s="75">
        <v>0.0</v>
      </c>
      <c r="V290" s="77"/>
      <c r="W290" s="41" t="s">
        <v>3241</v>
      </c>
      <c r="X290" s="41" t="s">
        <v>3241</v>
      </c>
      <c r="Y290" s="31" t="s">
        <v>161</v>
      </c>
      <c r="Z290" s="31" t="s">
        <v>2644</v>
      </c>
      <c r="AA290" s="31" t="s">
        <v>2644</v>
      </c>
      <c r="AB290" s="31" t="s">
        <v>1753</v>
      </c>
      <c r="AC290" s="46" t="s">
        <v>161</v>
      </c>
      <c r="AD290" s="41"/>
      <c r="AE290" s="99"/>
    </row>
    <row r="291">
      <c r="A291" s="50" t="s">
        <v>169</v>
      </c>
      <c r="B291" s="61" t="s">
        <v>19</v>
      </c>
      <c r="C291" s="82" t="s">
        <v>3245</v>
      </c>
      <c r="D291" s="87">
        <v>600188.0</v>
      </c>
      <c r="E291" s="61" t="s">
        <v>936</v>
      </c>
      <c r="F291" s="61" t="s">
        <v>2334</v>
      </c>
      <c r="G291" s="61" t="s">
        <v>2335</v>
      </c>
      <c r="H291" s="61" t="s">
        <v>662</v>
      </c>
      <c r="I291" s="56" t="s">
        <v>104</v>
      </c>
      <c r="J291" s="56" t="s">
        <v>84</v>
      </c>
      <c r="K291" s="56" t="s">
        <v>2304</v>
      </c>
      <c r="L291" s="50" t="s">
        <v>484</v>
      </c>
      <c r="M291" s="84">
        <v>45414.0</v>
      </c>
      <c r="N291" s="84" t="str">
        <f t="shared" si="145"/>
        <v>2024</v>
      </c>
      <c r="O291" s="84">
        <v>46269.0</v>
      </c>
      <c r="P291" s="86" t="str">
        <f t="shared" si="146"/>
        <v>2026</v>
      </c>
      <c r="Q291" s="86">
        <f t="shared" si="147"/>
        <v>855</v>
      </c>
      <c r="R291" s="86">
        <f t="shared" si="148"/>
        <v>2</v>
      </c>
      <c r="S291" s="61"/>
      <c r="T291" s="87"/>
      <c r="U291" s="96">
        <v>1.0</v>
      </c>
      <c r="V291" s="61" t="s">
        <v>2339</v>
      </c>
      <c r="W291" s="61" t="s">
        <v>1962</v>
      </c>
      <c r="X291" s="61" t="s">
        <v>1962</v>
      </c>
      <c r="Y291" s="50" t="s">
        <v>161</v>
      </c>
      <c r="Z291" s="50" t="s">
        <v>210</v>
      </c>
      <c r="AA291" s="50" t="s">
        <v>14</v>
      </c>
      <c r="AB291" s="223" t="s">
        <v>975</v>
      </c>
      <c r="AC291" s="65" t="s">
        <v>128</v>
      </c>
      <c r="AD291" s="66"/>
      <c r="AE291" s="67"/>
    </row>
    <row r="292">
      <c r="A292" s="41" t="s">
        <v>64</v>
      </c>
      <c r="B292" s="41" t="s">
        <v>67</v>
      </c>
      <c r="C292" s="68" t="s">
        <v>3255</v>
      </c>
      <c r="D292" s="110"/>
      <c r="E292" s="41" t="s">
        <v>2351</v>
      </c>
      <c r="F292" s="41" t="s">
        <v>2353</v>
      </c>
      <c r="G292" s="41" t="s">
        <v>2355</v>
      </c>
      <c r="H292" s="31" t="s">
        <v>103</v>
      </c>
      <c r="I292" s="77" t="s">
        <v>106</v>
      </c>
      <c r="J292" s="31" t="s">
        <v>233</v>
      </c>
      <c r="K292" s="104" t="s">
        <v>175</v>
      </c>
      <c r="L292" s="104" t="s">
        <v>175</v>
      </c>
      <c r="M292" s="70">
        <v>45414.0</v>
      </c>
      <c r="N292" s="70" t="str">
        <f t="shared" si="145"/>
        <v>2024</v>
      </c>
      <c r="O292" s="70">
        <v>45421.0</v>
      </c>
      <c r="P292" s="93" t="str">
        <f t="shared" si="146"/>
        <v>2024</v>
      </c>
      <c r="Q292" s="73">
        <f t="shared" si="147"/>
        <v>7</v>
      </c>
      <c r="R292" s="93">
        <f t="shared" si="148"/>
        <v>0</v>
      </c>
      <c r="S292" s="41"/>
      <c r="T292" s="74"/>
      <c r="U292" s="75">
        <v>0.0</v>
      </c>
      <c r="V292" s="41" t="s">
        <v>2358</v>
      </c>
      <c r="W292" s="41" t="s">
        <v>2357</v>
      </c>
      <c r="X292" s="41"/>
      <c r="Y292" s="31" t="s">
        <v>161</v>
      </c>
      <c r="Z292" s="31" t="s">
        <v>122</v>
      </c>
      <c r="AA292" s="31" t="s">
        <v>175</v>
      </c>
      <c r="AB292" s="41" t="s">
        <v>336</v>
      </c>
      <c r="AC292" s="46" t="s">
        <v>161</v>
      </c>
      <c r="AD292" s="47"/>
      <c r="AE292" s="78" t="s">
        <v>220</v>
      </c>
    </row>
    <row r="293">
      <c r="A293" s="50" t="s">
        <v>169</v>
      </c>
      <c r="B293" s="50" t="s">
        <v>19</v>
      </c>
      <c r="C293" s="52" t="s">
        <v>3258</v>
      </c>
      <c r="D293" s="79">
        <v>600510.0</v>
      </c>
      <c r="E293" s="50" t="s">
        <v>3260</v>
      </c>
      <c r="F293" s="50" t="s">
        <v>3261</v>
      </c>
      <c r="G293" s="50" t="s">
        <v>3262</v>
      </c>
      <c r="H293" s="50" t="s">
        <v>232</v>
      </c>
      <c r="I293" s="50" t="s">
        <v>104</v>
      </c>
      <c r="J293" s="50" t="s">
        <v>146</v>
      </c>
      <c r="K293" s="50" t="s">
        <v>147</v>
      </c>
      <c r="L293" s="50" t="s">
        <v>181</v>
      </c>
      <c r="M293" s="57">
        <v>45414.0</v>
      </c>
      <c r="N293" s="54">
        <v>2024.0</v>
      </c>
      <c r="O293" s="57">
        <v>46360.0</v>
      </c>
      <c r="P293" s="59">
        <v>2026.0</v>
      </c>
      <c r="Q293" s="60">
        <v>946.0</v>
      </c>
      <c r="R293" s="59">
        <v>3.0</v>
      </c>
      <c r="S293" s="61"/>
      <c r="T293" s="54" t="s">
        <v>113</v>
      </c>
      <c r="U293" s="96">
        <v>1.0</v>
      </c>
      <c r="V293" s="61"/>
      <c r="W293" s="50" t="s">
        <v>3265</v>
      </c>
      <c r="X293" s="50" t="s">
        <v>3265</v>
      </c>
      <c r="Y293" s="50" t="s">
        <v>161</v>
      </c>
      <c r="Z293" s="80" t="s">
        <v>122</v>
      </c>
      <c r="AA293" s="50" t="s">
        <v>123</v>
      </c>
      <c r="AB293" s="50" t="s">
        <v>621</v>
      </c>
      <c r="AC293" s="65" t="s">
        <v>337</v>
      </c>
      <c r="AD293" s="97"/>
      <c r="AE293" s="120"/>
    </row>
    <row r="294">
      <c r="A294" s="31" t="s">
        <v>64</v>
      </c>
      <c r="B294" s="31" t="s">
        <v>67</v>
      </c>
      <c r="C294" s="32" t="s">
        <v>3267</v>
      </c>
      <c r="D294" s="33">
        <v>600377.0</v>
      </c>
      <c r="E294" s="31" t="s">
        <v>72</v>
      </c>
      <c r="F294" s="31" t="s">
        <v>2485</v>
      </c>
      <c r="G294" s="31" t="s">
        <v>2486</v>
      </c>
      <c r="H294" s="31" t="s">
        <v>232</v>
      </c>
      <c r="I294" s="46" t="s">
        <v>104</v>
      </c>
      <c r="J294" s="31" t="s">
        <v>84</v>
      </c>
      <c r="K294" s="31" t="s">
        <v>84</v>
      </c>
      <c r="L294" s="31" t="s">
        <v>105</v>
      </c>
      <c r="M294" s="37">
        <v>45415.0</v>
      </c>
      <c r="N294" s="33">
        <v>2024.0</v>
      </c>
      <c r="O294" s="37">
        <v>46228.0</v>
      </c>
      <c r="P294" s="39">
        <v>2026.0</v>
      </c>
      <c r="Q294" s="40">
        <v>813.0</v>
      </c>
      <c r="R294" s="39">
        <v>3.0</v>
      </c>
      <c r="S294" s="41"/>
      <c r="T294" s="33" t="s">
        <v>113</v>
      </c>
      <c r="U294" s="75">
        <v>1.0</v>
      </c>
      <c r="V294" s="41"/>
      <c r="W294" s="31" t="s">
        <v>2490</v>
      </c>
      <c r="X294" s="31" t="s">
        <v>2490</v>
      </c>
      <c r="Y294" s="31" t="s">
        <v>3210</v>
      </c>
      <c r="Z294" s="31" t="s">
        <v>122</v>
      </c>
      <c r="AA294" s="31" t="s">
        <v>14</v>
      </c>
      <c r="AB294" s="31" t="s">
        <v>124</v>
      </c>
      <c r="AC294" s="46" t="s">
        <v>164</v>
      </c>
      <c r="AD294" s="47"/>
      <c r="AE294" s="49"/>
    </row>
    <row r="295">
      <c r="A295" s="50" t="s">
        <v>64</v>
      </c>
      <c r="B295" s="50" t="s">
        <v>67</v>
      </c>
      <c r="C295" s="52" t="s">
        <v>3275</v>
      </c>
      <c r="D295" s="54">
        <v>600111.0</v>
      </c>
      <c r="E295" s="50" t="s">
        <v>1386</v>
      </c>
      <c r="F295" s="50" t="s">
        <v>1387</v>
      </c>
      <c r="G295" s="50" t="s">
        <v>1389</v>
      </c>
      <c r="H295" s="50" t="s">
        <v>232</v>
      </c>
      <c r="I295" s="50" t="s">
        <v>708</v>
      </c>
      <c r="J295" s="50" t="s">
        <v>233</v>
      </c>
      <c r="K295" s="50" t="s">
        <v>236</v>
      </c>
      <c r="L295" s="50" t="s">
        <v>1275</v>
      </c>
      <c r="M295" s="57">
        <v>45418.0</v>
      </c>
      <c r="N295" s="54">
        <v>2024.0</v>
      </c>
      <c r="O295" s="57">
        <v>46155.0</v>
      </c>
      <c r="P295" s="60">
        <v>2026.0</v>
      </c>
      <c r="Q295" s="60">
        <v>737.0</v>
      </c>
      <c r="R295" s="60">
        <v>3.0</v>
      </c>
      <c r="S295" s="61"/>
      <c r="T295" s="54" t="s">
        <v>113</v>
      </c>
      <c r="U295" s="62">
        <v>3.0</v>
      </c>
      <c r="V295" s="50" t="s">
        <v>1393</v>
      </c>
      <c r="W295" s="50" t="s">
        <v>1394</v>
      </c>
      <c r="X295" s="50" t="s">
        <v>1394</v>
      </c>
      <c r="Y295" s="50" t="s">
        <v>161</v>
      </c>
      <c r="Z295" s="50" t="s">
        <v>210</v>
      </c>
      <c r="AA295" s="50" t="s">
        <v>211</v>
      </c>
      <c r="AB295" s="50" t="s">
        <v>124</v>
      </c>
      <c r="AC295" s="65" t="s">
        <v>337</v>
      </c>
      <c r="AD295" s="66"/>
      <c r="AE295" s="67"/>
    </row>
    <row r="296">
      <c r="A296" s="31" t="s">
        <v>64</v>
      </c>
      <c r="B296" s="31" t="s">
        <v>19</v>
      </c>
      <c r="C296" s="32" t="s">
        <v>3281</v>
      </c>
      <c r="D296" s="33">
        <v>600130.0</v>
      </c>
      <c r="E296" s="31" t="s">
        <v>779</v>
      </c>
      <c r="F296" s="31" t="s">
        <v>2359</v>
      </c>
      <c r="G296" s="31" t="s">
        <v>2361</v>
      </c>
      <c r="H296" s="31" t="s">
        <v>232</v>
      </c>
      <c r="I296" s="35" t="s">
        <v>104</v>
      </c>
      <c r="J296" s="31" t="s">
        <v>84</v>
      </c>
      <c r="K296" s="31" t="s">
        <v>84</v>
      </c>
      <c r="L296" s="31" t="s">
        <v>25</v>
      </c>
      <c r="M296" s="37">
        <v>45418.0</v>
      </c>
      <c r="N296" s="33">
        <v>2024.0</v>
      </c>
      <c r="O296" s="37">
        <v>46249.0</v>
      </c>
      <c r="P296" s="39">
        <v>2026.0</v>
      </c>
      <c r="Q296" s="40">
        <v>831.0</v>
      </c>
      <c r="R296" s="39">
        <v>3.0</v>
      </c>
      <c r="S296" s="41"/>
      <c r="T296" s="33" t="s">
        <v>269</v>
      </c>
      <c r="U296" s="75">
        <v>1.0</v>
      </c>
      <c r="V296" s="31" t="s">
        <v>3283</v>
      </c>
      <c r="W296" s="31" t="s">
        <v>2364</v>
      </c>
      <c r="X296" s="31" t="s">
        <v>3284</v>
      </c>
      <c r="Y296" s="31" t="s">
        <v>161</v>
      </c>
      <c r="Z296" s="31" t="s">
        <v>211</v>
      </c>
      <c r="AA296" s="31" t="s">
        <v>65</v>
      </c>
      <c r="AB296" s="31" t="s">
        <v>124</v>
      </c>
      <c r="AC296" s="46" t="s">
        <v>337</v>
      </c>
      <c r="AD296" s="47"/>
      <c r="AE296" s="49"/>
    </row>
    <row r="297">
      <c r="A297" s="61" t="s">
        <v>169</v>
      </c>
      <c r="B297" s="61" t="s">
        <v>19</v>
      </c>
      <c r="C297" s="82" t="s">
        <v>3285</v>
      </c>
      <c r="D297" s="94">
        <v>600383.0</v>
      </c>
      <c r="E297" s="61" t="s">
        <v>568</v>
      </c>
      <c r="F297" s="61" t="s">
        <v>3286</v>
      </c>
      <c r="G297" s="61" t="s">
        <v>3287</v>
      </c>
      <c r="H297" s="50" t="s">
        <v>103</v>
      </c>
      <c r="I297" s="138" t="s">
        <v>104</v>
      </c>
      <c r="J297" s="125" t="s">
        <v>84</v>
      </c>
      <c r="K297" s="50" t="s">
        <v>147</v>
      </c>
      <c r="L297" s="50" t="s">
        <v>105</v>
      </c>
      <c r="M297" s="84">
        <v>45421.0</v>
      </c>
      <c r="N297" s="84" t="str">
        <f>right(M297,4)</f>
        <v>2024</v>
      </c>
      <c r="O297" s="57">
        <v>46541.0</v>
      </c>
      <c r="P297" s="95" t="str">
        <f>right(O297,4)</f>
        <v>2027</v>
      </c>
      <c r="Q297" s="86">
        <f>DATEDIF(M297,O297,"d")</f>
        <v>1120</v>
      </c>
      <c r="R297" s="85">
        <f>DATEDIF(M297,O297,"y")</f>
        <v>3</v>
      </c>
      <c r="S297" s="61"/>
      <c r="T297" s="54" t="s">
        <v>269</v>
      </c>
      <c r="U297" s="199">
        <v>1.0</v>
      </c>
      <c r="V297" s="97"/>
      <c r="W297" s="50" t="s">
        <v>3291</v>
      </c>
      <c r="X297" s="50" t="s">
        <v>3291</v>
      </c>
      <c r="Y297" s="50" t="s">
        <v>161</v>
      </c>
      <c r="Z297" s="80" t="s">
        <v>261</v>
      </c>
      <c r="AA297" s="50" t="s">
        <v>123</v>
      </c>
      <c r="AB297" s="193" t="s">
        <v>975</v>
      </c>
      <c r="AC297" s="65" t="s">
        <v>164</v>
      </c>
      <c r="AD297" s="65" t="s">
        <v>1270</v>
      </c>
      <c r="AE297" s="120"/>
    </row>
    <row r="298">
      <c r="A298" s="31" t="s">
        <v>64</v>
      </c>
      <c r="B298" s="31" t="s">
        <v>19</v>
      </c>
      <c r="C298" s="32" t="s">
        <v>3292</v>
      </c>
      <c r="D298" s="33">
        <v>600382.0</v>
      </c>
      <c r="E298" s="31" t="s">
        <v>2368</v>
      </c>
      <c r="F298" s="31" t="s">
        <v>2369</v>
      </c>
      <c r="G298" s="31" t="s">
        <v>2370</v>
      </c>
      <c r="H298" s="31" t="s">
        <v>232</v>
      </c>
      <c r="I298" s="46" t="s">
        <v>104</v>
      </c>
      <c r="J298" s="31" t="s">
        <v>84</v>
      </c>
      <c r="K298" s="31" t="s">
        <v>84</v>
      </c>
      <c r="L298" s="31" t="s">
        <v>484</v>
      </c>
      <c r="M298" s="37">
        <v>45422.0</v>
      </c>
      <c r="N298" s="33">
        <v>2024.0</v>
      </c>
      <c r="O298" s="37">
        <v>46569.0</v>
      </c>
      <c r="P298" s="40">
        <v>2027.0</v>
      </c>
      <c r="Q298" s="40">
        <v>1147.0</v>
      </c>
      <c r="R298" s="40">
        <v>4.0</v>
      </c>
      <c r="S298" s="41"/>
      <c r="T298" s="33" t="s">
        <v>113</v>
      </c>
      <c r="U298" s="75">
        <v>2.0</v>
      </c>
      <c r="V298" s="31" t="s">
        <v>3294</v>
      </c>
      <c r="W298" s="150" t="s">
        <v>2377</v>
      </c>
      <c r="X298" s="31" t="s">
        <v>3295</v>
      </c>
      <c r="Y298" s="31" t="s">
        <v>161</v>
      </c>
      <c r="Z298" s="31" t="s">
        <v>210</v>
      </c>
      <c r="AA298" s="31" t="s">
        <v>14</v>
      </c>
      <c r="AB298" s="31" t="s">
        <v>124</v>
      </c>
      <c r="AC298" s="46" t="s">
        <v>128</v>
      </c>
      <c r="AD298" s="47"/>
      <c r="AE298" s="49"/>
    </row>
    <row r="299">
      <c r="A299" s="61" t="s">
        <v>169</v>
      </c>
      <c r="B299" s="61" t="s">
        <v>67</v>
      </c>
      <c r="C299" s="82" t="s">
        <v>3296</v>
      </c>
      <c r="D299" s="94">
        <v>600387.0</v>
      </c>
      <c r="E299" s="61" t="s">
        <v>3297</v>
      </c>
      <c r="F299" s="61" t="s">
        <v>3298</v>
      </c>
      <c r="G299" s="61" t="s">
        <v>3300</v>
      </c>
      <c r="H299" s="61" t="s">
        <v>464</v>
      </c>
      <c r="I299" s="50" t="s">
        <v>289</v>
      </c>
      <c r="J299" s="50" t="s">
        <v>289</v>
      </c>
      <c r="K299" s="50" t="s">
        <v>147</v>
      </c>
      <c r="L299" s="138" t="s">
        <v>48</v>
      </c>
      <c r="M299" s="84">
        <v>45422.0</v>
      </c>
      <c r="N299" s="84" t="str">
        <f t="shared" ref="N299:N303" si="149">right(M299,4)</f>
        <v>2024</v>
      </c>
      <c r="O299" s="84">
        <v>45787.0</v>
      </c>
      <c r="P299" s="95" t="str">
        <f t="shared" ref="P299:P303" si="150">right(O299,4)</f>
        <v>2025</v>
      </c>
      <c r="Q299" s="86">
        <f t="shared" ref="Q299:Q303" si="151">DATEDIF(M299,O299,"d")</f>
        <v>365</v>
      </c>
      <c r="R299" s="85">
        <f t="shared" ref="R299:R303" si="152">DATEDIF(M299,O299,"y")</f>
        <v>1</v>
      </c>
      <c r="S299" s="61"/>
      <c r="T299" s="87"/>
      <c r="U299" s="96">
        <v>0.0</v>
      </c>
      <c r="V299" s="97"/>
      <c r="W299" s="61" t="s">
        <v>3303</v>
      </c>
      <c r="X299" s="61" t="s">
        <v>3303</v>
      </c>
      <c r="Y299" s="50" t="s">
        <v>161</v>
      </c>
      <c r="Z299" s="80" t="s">
        <v>247</v>
      </c>
      <c r="AA299" s="50" t="s">
        <v>289</v>
      </c>
      <c r="AB299" s="50" t="s">
        <v>213</v>
      </c>
      <c r="AC299" s="65" t="s">
        <v>161</v>
      </c>
      <c r="AD299" s="61"/>
      <c r="AE299" s="120"/>
    </row>
    <row r="300">
      <c r="A300" s="41" t="s">
        <v>407</v>
      </c>
      <c r="B300" s="41" t="s">
        <v>19</v>
      </c>
      <c r="C300" s="68" t="s">
        <v>3304</v>
      </c>
      <c r="D300" s="69">
        <v>600386.0</v>
      </c>
      <c r="E300" s="41" t="s">
        <v>3305</v>
      </c>
      <c r="F300" s="41" t="s">
        <v>3306</v>
      </c>
      <c r="G300" s="41" t="s">
        <v>3307</v>
      </c>
      <c r="H300" s="31" t="s">
        <v>1421</v>
      </c>
      <c r="I300" s="100" t="s">
        <v>104</v>
      </c>
      <c r="J300" s="100" t="s">
        <v>233</v>
      </c>
      <c r="K300" s="31" t="s">
        <v>236</v>
      </c>
      <c r="L300" s="92" t="s">
        <v>181</v>
      </c>
      <c r="M300" s="70">
        <v>45422.0</v>
      </c>
      <c r="N300" s="70" t="str">
        <f t="shared" si="149"/>
        <v>2024</v>
      </c>
      <c r="O300" s="37">
        <v>46518.0</v>
      </c>
      <c r="P300" s="102" t="str">
        <f t="shared" si="150"/>
        <v>2027</v>
      </c>
      <c r="Q300" s="73">
        <f t="shared" si="151"/>
        <v>1096</v>
      </c>
      <c r="R300" s="93">
        <f t="shared" si="152"/>
        <v>3</v>
      </c>
      <c r="S300" s="41"/>
      <c r="T300" s="74"/>
      <c r="U300" s="43">
        <v>2.0</v>
      </c>
      <c r="V300" s="46"/>
      <c r="W300" s="154" t="s">
        <v>3308</v>
      </c>
      <c r="X300" s="154" t="s">
        <v>3308</v>
      </c>
      <c r="Y300" s="31" t="s">
        <v>161</v>
      </c>
      <c r="Z300" s="31" t="s">
        <v>261</v>
      </c>
      <c r="AA300" s="31" t="s">
        <v>65</v>
      </c>
      <c r="AB300" s="104" t="s">
        <v>442</v>
      </c>
      <c r="AC300" s="46" t="s">
        <v>276</v>
      </c>
      <c r="AD300" s="41"/>
      <c r="AE300" s="149"/>
    </row>
    <row r="301">
      <c r="A301" s="61" t="s">
        <v>64</v>
      </c>
      <c r="B301" s="61" t="s">
        <v>67</v>
      </c>
      <c r="C301" s="82" t="s">
        <v>3310</v>
      </c>
      <c r="D301" s="87">
        <v>600391.0</v>
      </c>
      <c r="E301" s="61" t="s">
        <v>2383</v>
      </c>
      <c r="F301" s="61" t="s">
        <v>2385</v>
      </c>
      <c r="G301" s="61" t="s">
        <v>2386</v>
      </c>
      <c r="H301" s="61" t="s">
        <v>266</v>
      </c>
      <c r="I301" s="97" t="s">
        <v>104</v>
      </c>
      <c r="J301" s="50" t="s">
        <v>233</v>
      </c>
      <c r="K301" s="50" t="s">
        <v>236</v>
      </c>
      <c r="L301" s="138" t="s">
        <v>25</v>
      </c>
      <c r="M301" s="84">
        <v>45425.0</v>
      </c>
      <c r="N301" s="84" t="str">
        <f t="shared" si="149"/>
        <v>2024</v>
      </c>
      <c r="O301" s="84">
        <v>45789.0</v>
      </c>
      <c r="P301" s="85" t="str">
        <f t="shared" si="150"/>
        <v>2025</v>
      </c>
      <c r="Q301" s="86">
        <f t="shared" si="151"/>
        <v>364</v>
      </c>
      <c r="R301" s="85">
        <f t="shared" si="152"/>
        <v>0</v>
      </c>
      <c r="S301" s="61"/>
      <c r="T301" s="87"/>
      <c r="U301" s="96">
        <v>0.0</v>
      </c>
      <c r="V301" s="61" t="s">
        <v>1995</v>
      </c>
      <c r="W301" s="61" t="s">
        <v>2390</v>
      </c>
      <c r="X301" s="61" t="s">
        <v>2390</v>
      </c>
      <c r="Y301" s="50" t="s">
        <v>161</v>
      </c>
      <c r="Z301" s="50" t="s">
        <v>289</v>
      </c>
      <c r="AA301" s="50" t="s">
        <v>2127</v>
      </c>
      <c r="AB301" s="50" t="s">
        <v>124</v>
      </c>
      <c r="AC301" s="65" t="s">
        <v>161</v>
      </c>
      <c r="AD301" s="66"/>
      <c r="AE301" s="67"/>
    </row>
    <row r="302">
      <c r="A302" s="41" t="s">
        <v>169</v>
      </c>
      <c r="B302" s="41" t="s">
        <v>67</v>
      </c>
      <c r="C302" s="68" t="s">
        <v>3314</v>
      </c>
      <c r="D302" s="69">
        <v>600385.0</v>
      </c>
      <c r="E302" s="41" t="s">
        <v>3315</v>
      </c>
      <c r="F302" s="41" t="s">
        <v>3316</v>
      </c>
      <c r="G302" s="41" t="s">
        <v>3317</v>
      </c>
      <c r="H302" s="41" t="s">
        <v>464</v>
      </c>
      <c r="I302" s="91" t="s">
        <v>104</v>
      </c>
      <c r="J302" s="31" t="s">
        <v>289</v>
      </c>
      <c r="K302" s="31" t="s">
        <v>236</v>
      </c>
      <c r="L302" s="91" t="s">
        <v>48</v>
      </c>
      <c r="M302" s="70">
        <v>45425.0</v>
      </c>
      <c r="N302" s="70" t="str">
        <f t="shared" si="149"/>
        <v>2024</v>
      </c>
      <c r="O302" s="70">
        <v>45688.0</v>
      </c>
      <c r="P302" s="102" t="str">
        <f t="shared" si="150"/>
        <v>2025</v>
      </c>
      <c r="Q302" s="73">
        <f t="shared" si="151"/>
        <v>263</v>
      </c>
      <c r="R302" s="93">
        <f t="shared" si="152"/>
        <v>0</v>
      </c>
      <c r="S302" s="41"/>
      <c r="T302" s="74"/>
      <c r="U302" s="75">
        <v>0.0</v>
      </c>
      <c r="V302" s="77" t="s">
        <v>3197</v>
      </c>
      <c r="W302" s="41" t="s">
        <v>3318</v>
      </c>
      <c r="X302" s="41" t="s">
        <v>3318</v>
      </c>
      <c r="Y302" s="31" t="s">
        <v>161</v>
      </c>
      <c r="Z302" s="101" t="s">
        <v>247</v>
      </c>
      <c r="AA302" s="31" t="s">
        <v>289</v>
      </c>
      <c r="AB302" s="31" t="s">
        <v>1499</v>
      </c>
      <c r="AC302" s="46" t="s">
        <v>161</v>
      </c>
      <c r="AD302" s="31" t="s">
        <v>251</v>
      </c>
      <c r="AE302" s="111" t="s">
        <v>220</v>
      </c>
    </row>
    <row r="303">
      <c r="A303" s="61" t="s">
        <v>64</v>
      </c>
      <c r="B303" s="61" t="s">
        <v>67</v>
      </c>
      <c r="C303" s="82" t="s">
        <v>3319</v>
      </c>
      <c r="D303" s="87">
        <v>11233.0</v>
      </c>
      <c r="E303" s="61" t="s">
        <v>2391</v>
      </c>
      <c r="F303" s="61" t="s">
        <v>2392</v>
      </c>
      <c r="G303" s="61" t="s">
        <v>2394</v>
      </c>
      <c r="H303" s="61" t="s">
        <v>464</v>
      </c>
      <c r="I303" s="97" t="s">
        <v>104</v>
      </c>
      <c r="J303" s="50" t="s">
        <v>233</v>
      </c>
      <c r="K303" s="50" t="s">
        <v>236</v>
      </c>
      <c r="L303" s="138" t="s">
        <v>25</v>
      </c>
      <c r="M303" s="84">
        <v>45427.0</v>
      </c>
      <c r="N303" s="84" t="str">
        <f t="shared" si="149"/>
        <v>2024</v>
      </c>
      <c r="O303" s="84">
        <v>45792.0</v>
      </c>
      <c r="P303" s="85" t="str">
        <f t="shared" si="150"/>
        <v>2025</v>
      </c>
      <c r="Q303" s="86">
        <f t="shared" si="151"/>
        <v>365</v>
      </c>
      <c r="R303" s="85">
        <f t="shared" si="152"/>
        <v>1</v>
      </c>
      <c r="S303" s="61"/>
      <c r="T303" s="87"/>
      <c r="U303" s="96">
        <v>0.0</v>
      </c>
      <c r="V303" s="61" t="s">
        <v>2397</v>
      </c>
      <c r="W303" s="61" t="s">
        <v>2396</v>
      </c>
      <c r="X303" s="61" t="s">
        <v>2396</v>
      </c>
      <c r="Y303" s="61" t="s">
        <v>243</v>
      </c>
      <c r="Z303" s="61" t="s">
        <v>162</v>
      </c>
      <c r="AA303" s="50" t="s">
        <v>289</v>
      </c>
      <c r="AB303" s="61" t="s">
        <v>2330</v>
      </c>
      <c r="AC303" s="65" t="s">
        <v>161</v>
      </c>
      <c r="AD303" s="65" t="s">
        <v>251</v>
      </c>
      <c r="AE303" s="81" t="s">
        <v>220</v>
      </c>
    </row>
    <row r="304">
      <c r="A304" s="31" t="s">
        <v>407</v>
      </c>
      <c r="B304" s="31" t="s">
        <v>19</v>
      </c>
      <c r="C304" s="32" t="s">
        <v>3321</v>
      </c>
      <c r="D304" s="113">
        <v>600392.0</v>
      </c>
      <c r="E304" s="31" t="s">
        <v>3323</v>
      </c>
      <c r="F304" s="31" t="s">
        <v>3324</v>
      </c>
      <c r="G304" s="31" t="s">
        <v>3325</v>
      </c>
      <c r="H304" s="31" t="s">
        <v>103</v>
      </c>
      <c r="I304" s="100" t="s">
        <v>104</v>
      </c>
      <c r="J304" s="35" t="s">
        <v>233</v>
      </c>
      <c r="K304" s="31" t="s">
        <v>236</v>
      </c>
      <c r="L304" s="92" t="s">
        <v>181</v>
      </c>
      <c r="M304" s="37">
        <v>45428.0</v>
      </c>
      <c r="N304" s="33">
        <v>2024.0</v>
      </c>
      <c r="O304" s="37">
        <v>46457.0</v>
      </c>
      <c r="P304" s="39">
        <v>2027.0</v>
      </c>
      <c r="Q304" s="40">
        <v>1029.0</v>
      </c>
      <c r="R304" s="39">
        <v>3.0</v>
      </c>
      <c r="S304" s="41"/>
      <c r="T304" s="33" t="s">
        <v>113</v>
      </c>
      <c r="U304" s="75">
        <v>3.0</v>
      </c>
      <c r="V304" s="41"/>
      <c r="W304" s="31" t="s">
        <v>3327</v>
      </c>
      <c r="X304" s="31" t="s">
        <v>3330</v>
      </c>
      <c r="Y304" s="31" t="s">
        <v>161</v>
      </c>
      <c r="Z304" s="31" t="s">
        <v>261</v>
      </c>
      <c r="AA304" s="31" t="s">
        <v>14</v>
      </c>
      <c r="AB304" s="104" t="s">
        <v>442</v>
      </c>
      <c r="AC304" s="46" t="s">
        <v>276</v>
      </c>
      <c r="AD304" s="77"/>
      <c r="AE304" s="99"/>
    </row>
    <row r="305">
      <c r="A305" s="61" t="s">
        <v>64</v>
      </c>
      <c r="B305" s="61" t="s">
        <v>67</v>
      </c>
      <c r="C305" s="82" t="s">
        <v>3331</v>
      </c>
      <c r="D305" s="87">
        <v>600394.0</v>
      </c>
      <c r="E305" s="61" t="s">
        <v>2398</v>
      </c>
      <c r="F305" s="61" t="s">
        <v>2399</v>
      </c>
      <c r="G305" s="174" t="s">
        <v>2400</v>
      </c>
      <c r="H305" s="50" t="s">
        <v>84</v>
      </c>
      <c r="I305" s="105" t="s">
        <v>106</v>
      </c>
      <c r="J305" s="224" t="s">
        <v>84</v>
      </c>
      <c r="K305" s="61" t="s">
        <v>84</v>
      </c>
      <c r="L305" s="50" t="s">
        <v>181</v>
      </c>
      <c r="M305" s="84">
        <v>45429.0</v>
      </c>
      <c r="N305" s="84" t="str">
        <f t="shared" ref="N305:N307" si="153">right(M305,4)</f>
        <v>2024</v>
      </c>
      <c r="O305" s="84">
        <v>45432.0</v>
      </c>
      <c r="P305" s="85" t="str">
        <f t="shared" ref="P305:P307" si="154">right(O305,4)</f>
        <v>2024</v>
      </c>
      <c r="Q305" s="86">
        <f t="shared" ref="Q305:Q307" si="155">DATEDIF(M305,O305,"d")</f>
        <v>3</v>
      </c>
      <c r="R305" s="85">
        <f t="shared" ref="R305:R307" si="156">DATEDIF(M305,O305,"y")</f>
        <v>0</v>
      </c>
      <c r="S305" s="61"/>
      <c r="T305" s="87"/>
      <c r="U305" s="96">
        <v>0.0</v>
      </c>
      <c r="V305" s="61"/>
      <c r="W305" s="174" t="s">
        <v>2405</v>
      </c>
      <c r="X305" s="61"/>
      <c r="Y305" s="50" t="s">
        <v>161</v>
      </c>
      <c r="Z305" s="50" t="s">
        <v>311</v>
      </c>
      <c r="AA305" s="50" t="s">
        <v>175</v>
      </c>
      <c r="AB305" s="50" t="s">
        <v>124</v>
      </c>
      <c r="AC305" s="65" t="s">
        <v>161</v>
      </c>
      <c r="AD305" s="66"/>
      <c r="AE305" s="108" t="s">
        <v>220</v>
      </c>
    </row>
    <row r="306">
      <c r="A306" s="41" t="s">
        <v>64</v>
      </c>
      <c r="B306" s="41" t="s">
        <v>67</v>
      </c>
      <c r="C306" s="68" t="s">
        <v>3337</v>
      </c>
      <c r="D306" s="74">
        <v>600396.0</v>
      </c>
      <c r="E306" s="41" t="s">
        <v>2533</v>
      </c>
      <c r="F306" s="41" t="s">
        <v>2534</v>
      </c>
      <c r="G306" s="41" t="s">
        <v>1510</v>
      </c>
      <c r="H306" s="41" t="s">
        <v>464</v>
      </c>
      <c r="I306" s="77" t="s">
        <v>104</v>
      </c>
      <c r="J306" s="31" t="s">
        <v>233</v>
      </c>
      <c r="K306" s="31" t="s">
        <v>147</v>
      </c>
      <c r="L306" s="31" t="s">
        <v>181</v>
      </c>
      <c r="M306" s="70">
        <v>45429.0</v>
      </c>
      <c r="N306" s="70" t="str">
        <f t="shared" si="153"/>
        <v>2024</v>
      </c>
      <c r="O306" s="70">
        <v>45905.0</v>
      </c>
      <c r="P306" s="93" t="str">
        <f t="shared" si="154"/>
        <v>2025</v>
      </c>
      <c r="Q306" s="73">
        <f t="shared" si="155"/>
        <v>476</v>
      </c>
      <c r="R306" s="93">
        <f t="shared" si="156"/>
        <v>1</v>
      </c>
      <c r="S306" s="41"/>
      <c r="T306" s="74" t="s">
        <v>113</v>
      </c>
      <c r="U306" s="225">
        <v>1.0</v>
      </c>
      <c r="V306" s="31" t="s">
        <v>3339</v>
      </c>
      <c r="W306" s="154" t="s">
        <v>2538</v>
      </c>
      <c r="X306" s="154" t="s">
        <v>2538</v>
      </c>
      <c r="Y306" s="41" t="s">
        <v>740</v>
      </c>
      <c r="Z306" s="31" t="s">
        <v>122</v>
      </c>
      <c r="AA306" s="31" t="s">
        <v>261</v>
      </c>
      <c r="AB306" s="31" t="s">
        <v>124</v>
      </c>
      <c r="AC306" s="46" t="s">
        <v>128</v>
      </c>
      <c r="AD306" s="47"/>
      <c r="AE306" s="78" t="s">
        <v>220</v>
      </c>
    </row>
    <row r="307">
      <c r="A307" s="61" t="s">
        <v>169</v>
      </c>
      <c r="B307" s="61" t="s">
        <v>67</v>
      </c>
      <c r="C307" s="82" t="s">
        <v>3341</v>
      </c>
      <c r="D307" s="94">
        <v>600395.0</v>
      </c>
      <c r="E307" s="61" t="s">
        <v>634</v>
      </c>
      <c r="F307" s="61" t="s">
        <v>3342</v>
      </c>
      <c r="G307" s="61" t="s">
        <v>3343</v>
      </c>
      <c r="H307" s="61" t="s">
        <v>464</v>
      </c>
      <c r="I307" s="56" t="s">
        <v>104</v>
      </c>
      <c r="J307" s="50" t="s">
        <v>289</v>
      </c>
      <c r="K307" s="50" t="s">
        <v>236</v>
      </c>
      <c r="L307" s="138" t="s">
        <v>48</v>
      </c>
      <c r="M307" s="84">
        <v>45429.0</v>
      </c>
      <c r="N307" s="84" t="str">
        <f t="shared" si="153"/>
        <v>2024</v>
      </c>
      <c r="O307" s="84">
        <v>45794.0</v>
      </c>
      <c r="P307" s="95" t="str">
        <f t="shared" si="154"/>
        <v>2025</v>
      </c>
      <c r="Q307" s="86">
        <f t="shared" si="155"/>
        <v>365</v>
      </c>
      <c r="R307" s="85">
        <f t="shared" si="156"/>
        <v>1</v>
      </c>
      <c r="S307" s="61"/>
      <c r="T307" s="87"/>
      <c r="U307" s="96">
        <v>0.0</v>
      </c>
      <c r="V307" s="61"/>
      <c r="W307" s="61" t="s">
        <v>3344</v>
      </c>
      <c r="X307" s="61" t="s">
        <v>3344</v>
      </c>
      <c r="Y307" s="50" t="s">
        <v>161</v>
      </c>
      <c r="Z307" s="80" t="s">
        <v>247</v>
      </c>
      <c r="AA307" s="50" t="s">
        <v>289</v>
      </c>
      <c r="AB307" s="50" t="s">
        <v>213</v>
      </c>
      <c r="AC307" s="65" t="s">
        <v>164</v>
      </c>
      <c r="AD307" s="65" t="s">
        <v>251</v>
      </c>
      <c r="AE307" s="81" t="s">
        <v>220</v>
      </c>
    </row>
    <row r="308">
      <c r="A308" s="31" t="s">
        <v>169</v>
      </c>
      <c r="B308" s="31" t="s">
        <v>19</v>
      </c>
      <c r="C308" s="32" t="s">
        <v>3347</v>
      </c>
      <c r="D308" s="113">
        <v>600399.0</v>
      </c>
      <c r="E308" s="31" t="s">
        <v>1018</v>
      </c>
      <c r="F308" s="31" t="s">
        <v>3348</v>
      </c>
      <c r="G308" s="31" t="s">
        <v>3349</v>
      </c>
      <c r="H308" s="31" t="s">
        <v>232</v>
      </c>
      <c r="I308" s="31" t="s">
        <v>104</v>
      </c>
      <c r="J308" s="31" t="s">
        <v>233</v>
      </c>
      <c r="K308" s="31" t="s">
        <v>147</v>
      </c>
      <c r="L308" s="31" t="s">
        <v>25</v>
      </c>
      <c r="M308" s="37">
        <v>45432.0</v>
      </c>
      <c r="N308" s="33">
        <v>2024.0</v>
      </c>
      <c r="O308" s="37">
        <v>46527.0</v>
      </c>
      <c r="P308" s="39">
        <v>2027.0</v>
      </c>
      <c r="Q308" s="40">
        <v>1095.0</v>
      </c>
      <c r="R308" s="39">
        <v>3.0</v>
      </c>
      <c r="S308" s="41"/>
      <c r="T308" s="33" t="s">
        <v>269</v>
      </c>
      <c r="U308" s="43">
        <v>2.0</v>
      </c>
      <c r="V308" s="41"/>
      <c r="W308" s="31" t="s">
        <v>3351</v>
      </c>
      <c r="X308" s="31" t="s">
        <v>3351</v>
      </c>
      <c r="Y308" s="31" t="s">
        <v>161</v>
      </c>
      <c r="Z308" s="31" t="s">
        <v>211</v>
      </c>
      <c r="AA308" s="31" t="s">
        <v>123</v>
      </c>
      <c r="AB308" s="31" t="s">
        <v>249</v>
      </c>
      <c r="AC308" s="46" t="s">
        <v>276</v>
      </c>
      <c r="AD308" s="77"/>
      <c r="AE308" s="99"/>
    </row>
    <row r="309">
      <c r="A309" s="50" t="s">
        <v>64</v>
      </c>
      <c r="B309" s="50" t="s">
        <v>67</v>
      </c>
      <c r="C309" s="52" t="s">
        <v>3354</v>
      </c>
      <c r="D309" s="54">
        <v>600194.0</v>
      </c>
      <c r="E309" s="50" t="s">
        <v>297</v>
      </c>
      <c r="F309" s="50" t="s">
        <v>2415</v>
      </c>
      <c r="G309" s="50" t="s">
        <v>2416</v>
      </c>
      <c r="H309" s="50" t="s">
        <v>232</v>
      </c>
      <c r="I309" s="65" t="s">
        <v>104</v>
      </c>
      <c r="J309" s="50" t="s">
        <v>84</v>
      </c>
      <c r="K309" s="119" t="s">
        <v>1809</v>
      </c>
      <c r="L309" s="50" t="s">
        <v>25</v>
      </c>
      <c r="M309" s="57">
        <v>45433.0</v>
      </c>
      <c r="N309" s="54">
        <v>2024.0</v>
      </c>
      <c r="O309" s="57">
        <v>46194.0</v>
      </c>
      <c r="P309" s="59">
        <v>2026.0</v>
      </c>
      <c r="Q309" s="60">
        <v>761.0</v>
      </c>
      <c r="R309" s="59">
        <v>3.0</v>
      </c>
      <c r="S309" s="50" t="s">
        <v>3356</v>
      </c>
      <c r="T309" s="54" t="s">
        <v>113</v>
      </c>
      <c r="U309" s="96">
        <v>2.0</v>
      </c>
      <c r="V309" s="61"/>
      <c r="W309" s="159" t="s">
        <v>2419</v>
      </c>
      <c r="X309" s="50" t="s">
        <v>2420</v>
      </c>
      <c r="Y309" s="50" t="s">
        <v>2418</v>
      </c>
      <c r="Z309" s="50" t="s">
        <v>211</v>
      </c>
      <c r="AA309" s="50" t="s">
        <v>38</v>
      </c>
      <c r="AB309" s="50" t="s">
        <v>768</v>
      </c>
      <c r="AC309" s="65" t="s">
        <v>276</v>
      </c>
      <c r="AD309" s="65" t="s">
        <v>295</v>
      </c>
      <c r="AE309" s="81"/>
    </row>
    <row r="310">
      <c r="A310" s="41" t="s">
        <v>64</v>
      </c>
      <c r="B310" s="41" t="s">
        <v>67</v>
      </c>
      <c r="C310" s="68" t="s">
        <v>3357</v>
      </c>
      <c r="D310" s="74">
        <v>600235.0</v>
      </c>
      <c r="E310" s="41" t="s">
        <v>1042</v>
      </c>
      <c r="F310" s="41" t="s">
        <v>1043</v>
      </c>
      <c r="G310" s="41" t="s">
        <v>1044</v>
      </c>
      <c r="H310" s="41" t="s">
        <v>84</v>
      </c>
      <c r="I310" s="31" t="s">
        <v>289</v>
      </c>
      <c r="J310" s="31" t="s">
        <v>289</v>
      </c>
      <c r="K310" s="41" t="s">
        <v>84</v>
      </c>
      <c r="L310" s="31" t="s">
        <v>289</v>
      </c>
      <c r="M310" s="70">
        <v>45433.0</v>
      </c>
      <c r="N310" s="70" t="str">
        <f t="shared" ref="N310:N311" si="157">right(M310,4)</f>
        <v>2024</v>
      </c>
      <c r="O310" s="70">
        <v>45798.0</v>
      </c>
      <c r="P310" s="93" t="str">
        <f t="shared" ref="P310:P311" si="158">right(O310,4)</f>
        <v>2025</v>
      </c>
      <c r="Q310" s="73">
        <f t="shared" ref="Q310:Q311" si="159">DATEDIF(M310,O310,"d")</f>
        <v>365</v>
      </c>
      <c r="R310" s="93">
        <f t="shared" ref="R310:R311" si="160">DATEDIF(M310,O310,"y")</f>
        <v>1</v>
      </c>
      <c r="S310" s="41"/>
      <c r="T310" s="74"/>
      <c r="U310" s="43">
        <v>1.0</v>
      </c>
      <c r="V310" s="41" t="s">
        <v>1053</v>
      </c>
      <c r="W310" s="41" t="s">
        <v>1056</v>
      </c>
      <c r="X310" s="41" t="s">
        <v>1056</v>
      </c>
      <c r="Y310" s="31" t="s">
        <v>161</v>
      </c>
      <c r="Z310" s="31" t="s">
        <v>311</v>
      </c>
      <c r="AA310" s="35" t="s">
        <v>65</v>
      </c>
      <c r="AB310" s="41" t="s">
        <v>259</v>
      </c>
      <c r="AC310" s="46" t="s">
        <v>128</v>
      </c>
      <c r="AD310" s="47"/>
      <c r="AE310" s="111" t="s">
        <v>220</v>
      </c>
    </row>
    <row r="311">
      <c r="A311" s="61" t="s">
        <v>169</v>
      </c>
      <c r="B311" s="61" t="s">
        <v>67</v>
      </c>
      <c r="C311" s="82" t="s">
        <v>3369</v>
      </c>
      <c r="D311" s="94">
        <v>600400.0</v>
      </c>
      <c r="E311" s="61" t="s">
        <v>3370</v>
      </c>
      <c r="F311" s="61" t="s">
        <v>3371</v>
      </c>
      <c r="G311" s="61" t="s">
        <v>3373</v>
      </c>
      <c r="H311" s="61" t="s">
        <v>266</v>
      </c>
      <c r="I311" s="50" t="s">
        <v>289</v>
      </c>
      <c r="J311" s="50" t="s">
        <v>289</v>
      </c>
      <c r="K311" s="50" t="s">
        <v>236</v>
      </c>
      <c r="L311" s="138" t="s">
        <v>48</v>
      </c>
      <c r="M311" s="84">
        <v>45434.0</v>
      </c>
      <c r="N311" s="84" t="str">
        <f t="shared" si="157"/>
        <v>2024</v>
      </c>
      <c r="O311" s="84">
        <v>45799.0</v>
      </c>
      <c r="P311" s="95" t="str">
        <f t="shared" si="158"/>
        <v>2025</v>
      </c>
      <c r="Q311" s="86">
        <f t="shared" si="159"/>
        <v>365</v>
      </c>
      <c r="R311" s="85">
        <f t="shared" si="160"/>
        <v>1</v>
      </c>
      <c r="S311" s="61"/>
      <c r="T311" s="87"/>
      <c r="U311" s="96">
        <v>0.0</v>
      </c>
      <c r="V311" s="61"/>
      <c r="W311" s="61" t="s">
        <v>3383</v>
      </c>
      <c r="X311" s="61" t="s">
        <v>3383</v>
      </c>
      <c r="Y311" s="50" t="s">
        <v>161</v>
      </c>
      <c r="Z311" s="50" t="s">
        <v>2644</v>
      </c>
      <c r="AA311" s="50" t="s">
        <v>2644</v>
      </c>
      <c r="AB311" s="50" t="s">
        <v>1753</v>
      </c>
      <c r="AC311" s="65" t="s">
        <v>161</v>
      </c>
      <c r="AD311" s="97"/>
      <c r="AE311" s="120"/>
    </row>
    <row r="312">
      <c r="A312" s="31" t="s">
        <v>169</v>
      </c>
      <c r="B312" s="31" t="s">
        <v>19</v>
      </c>
      <c r="C312" s="32" t="s">
        <v>3389</v>
      </c>
      <c r="D312" s="113">
        <v>600423.0</v>
      </c>
      <c r="E312" s="31" t="s">
        <v>207</v>
      </c>
      <c r="F312" s="31" t="s">
        <v>3391</v>
      </c>
      <c r="G312" s="31" t="s">
        <v>3392</v>
      </c>
      <c r="H312" s="31" t="s">
        <v>232</v>
      </c>
      <c r="I312" s="35" t="s">
        <v>104</v>
      </c>
      <c r="J312" s="35" t="s">
        <v>233</v>
      </c>
      <c r="K312" s="31" t="s">
        <v>147</v>
      </c>
      <c r="L312" s="92" t="s">
        <v>155</v>
      </c>
      <c r="M312" s="37">
        <v>45436.0</v>
      </c>
      <c r="N312" s="33">
        <v>2024.0</v>
      </c>
      <c r="O312" s="37">
        <v>46555.0</v>
      </c>
      <c r="P312" s="40">
        <v>2027.0</v>
      </c>
      <c r="Q312" s="40">
        <v>1119.0</v>
      </c>
      <c r="R312" s="40">
        <v>4.0</v>
      </c>
      <c r="S312" s="41"/>
      <c r="T312" s="33" t="s">
        <v>113</v>
      </c>
      <c r="U312" s="75">
        <v>2.0</v>
      </c>
      <c r="V312" s="41"/>
      <c r="W312" s="31" t="s">
        <v>3398</v>
      </c>
      <c r="X312" s="31" t="s">
        <v>3400</v>
      </c>
      <c r="Y312" s="31" t="s">
        <v>161</v>
      </c>
      <c r="Z312" s="31" t="s">
        <v>210</v>
      </c>
      <c r="AA312" s="31" t="s">
        <v>123</v>
      </c>
      <c r="AB312" s="31" t="s">
        <v>621</v>
      </c>
      <c r="AC312" s="46" t="s">
        <v>128</v>
      </c>
      <c r="AD312" s="77"/>
      <c r="AE312" s="99"/>
    </row>
    <row r="313">
      <c r="A313" s="61" t="s">
        <v>64</v>
      </c>
      <c r="B313" s="61" t="s">
        <v>67</v>
      </c>
      <c r="C313" s="82" t="s">
        <v>3404</v>
      </c>
      <c r="D313" s="87">
        <v>600401.0</v>
      </c>
      <c r="E313" s="61" t="s">
        <v>2422</v>
      </c>
      <c r="F313" s="61" t="s">
        <v>2423</v>
      </c>
      <c r="G313" s="61" t="s">
        <v>2428</v>
      </c>
      <c r="H313" s="50" t="s">
        <v>103</v>
      </c>
      <c r="I313" s="97" t="s">
        <v>708</v>
      </c>
      <c r="J313" s="50" t="s">
        <v>233</v>
      </c>
      <c r="K313" s="61" t="s">
        <v>248</v>
      </c>
      <c r="L313" s="50" t="s">
        <v>181</v>
      </c>
      <c r="M313" s="84">
        <v>45439.0</v>
      </c>
      <c r="N313" s="84" t="str">
        <f t="shared" ref="N313:N314" si="161">right(M313,4)</f>
        <v>2024</v>
      </c>
      <c r="O313" s="84">
        <v>45624.0</v>
      </c>
      <c r="P313" s="85" t="str">
        <f t="shared" ref="P313:P314" si="162">right(O313,4)</f>
        <v>2024</v>
      </c>
      <c r="Q313" s="86">
        <f t="shared" ref="Q313:Q314" si="163">DATEDIF(M313,O313,"d")</f>
        <v>185</v>
      </c>
      <c r="R313" s="85">
        <f t="shared" ref="R313:R314" si="164">DATEDIF(M313,O313,"y")</f>
        <v>0</v>
      </c>
      <c r="S313" s="61"/>
      <c r="T313" s="87"/>
      <c r="U313" s="96">
        <v>0.0</v>
      </c>
      <c r="V313" s="61"/>
      <c r="W313" s="61" t="s">
        <v>2430</v>
      </c>
      <c r="X313" s="61"/>
      <c r="Y313" s="61" t="s">
        <v>2429</v>
      </c>
      <c r="Z313" s="61" t="s">
        <v>162</v>
      </c>
      <c r="AA313" s="50" t="s">
        <v>289</v>
      </c>
      <c r="AB313" s="61" t="s">
        <v>336</v>
      </c>
      <c r="AC313" s="65" t="s">
        <v>337</v>
      </c>
      <c r="AD313" s="66"/>
      <c r="AE313" s="67"/>
    </row>
    <row r="314">
      <c r="A314" s="41" t="s">
        <v>64</v>
      </c>
      <c r="B314" s="41" t="s">
        <v>67</v>
      </c>
      <c r="C314" s="68" t="s">
        <v>3419</v>
      </c>
      <c r="D314" s="74">
        <v>600402.0</v>
      </c>
      <c r="E314" s="41" t="s">
        <v>2431</v>
      </c>
      <c r="F314" s="41" t="s">
        <v>2432</v>
      </c>
      <c r="G314" s="41" t="s">
        <v>2433</v>
      </c>
      <c r="H314" s="31" t="s">
        <v>266</v>
      </c>
      <c r="I314" s="46" t="s">
        <v>106</v>
      </c>
      <c r="J314" s="31" t="s">
        <v>233</v>
      </c>
      <c r="K314" s="31" t="s">
        <v>236</v>
      </c>
      <c r="L314" s="31" t="s">
        <v>181</v>
      </c>
      <c r="M314" s="70">
        <v>45440.0</v>
      </c>
      <c r="N314" s="70" t="str">
        <f t="shared" si="161"/>
        <v>2024</v>
      </c>
      <c r="O314" s="70">
        <v>45473.0</v>
      </c>
      <c r="P314" s="93" t="str">
        <f t="shared" si="162"/>
        <v>2024</v>
      </c>
      <c r="Q314" s="73">
        <f t="shared" si="163"/>
        <v>33</v>
      </c>
      <c r="R314" s="93">
        <f t="shared" si="164"/>
        <v>0</v>
      </c>
      <c r="S314" s="41"/>
      <c r="T314" s="74"/>
      <c r="U314" s="75">
        <v>0.0</v>
      </c>
      <c r="V314" s="41" t="s">
        <v>2437</v>
      </c>
      <c r="W314" s="154" t="s">
        <v>2435</v>
      </c>
      <c r="X314" s="41"/>
      <c r="Y314" s="31" t="s">
        <v>161</v>
      </c>
      <c r="Z314" s="41" t="s">
        <v>2330</v>
      </c>
      <c r="AA314" s="31" t="s">
        <v>175</v>
      </c>
      <c r="AB314" s="31" t="s">
        <v>124</v>
      </c>
      <c r="AC314" s="46" t="s">
        <v>161</v>
      </c>
      <c r="AD314" s="47"/>
      <c r="AE314" s="78" t="s">
        <v>220</v>
      </c>
    </row>
    <row r="315">
      <c r="A315" s="50" t="s">
        <v>64</v>
      </c>
      <c r="B315" s="50" t="s">
        <v>19</v>
      </c>
      <c r="C315" s="52" t="s">
        <v>3420</v>
      </c>
      <c r="D315" s="54">
        <v>600407.0</v>
      </c>
      <c r="E315" s="50" t="s">
        <v>1015</v>
      </c>
      <c r="F315" s="50" t="s">
        <v>2448</v>
      </c>
      <c r="G315" s="50" t="s">
        <v>2449</v>
      </c>
      <c r="H315" s="50" t="s">
        <v>178</v>
      </c>
      <c r="I315" s="65" t="s">
        <v>708</v>
      </c>
      <c r="J315" s="50" t="s">
        <v>146</v>
      </c>
      <c r="K315" s="50" t="s">
        <v>147</v>
      </c>
      <c r="L315" s="50" t="s">
        <v>155</v>
      </c>
      <c r="M315" s="57">
        <v>45440.0</v>
      </c>
      <c r="N315" s="54">
        <v>2024.0</v>
      </c>
      <c r="O315" s="57">
        <v>46387.0</v>
      </c>
      <c r="P315" s="60">
        <v>2026.0</v>
      </c>
      <c r="Q315" s="60">
        <v>947.0</v>
      </c>
      <c r="R315" s="60">
        <v>3.0</v>
      </c>
      <c r="S315" s="61"/>
      <c r="T315" s="54" t="s">
        <v>113</v>
      </c>
      <c r="U315" s="96">
        <v>2.0</v>
      </c>
      <c r="V315" s="61"/>
      <c r="W315" s="50" t="s">
        <v>2454</v>
      </c>
      <c r="X315" s="50" t="s">
        <v>2455</v>
      </c>
      <c r="Y315" s="50" t="s">
        <v>2442</v>
      </c>
      <c r="Z315" s="50" t="s">
        <v>210</v>
      </c>
      <c r="AA315" s="50" t="s">
        <v>123</v>
      </c>
      <c r="AB315" s="50" t="s">
        <v>124</v>
      </c>
      <c r="AC315" s="65" t="s">
        <v>337</v>
      </c>
      <c r="AD315" s="66"/>
      <c r="AE315" s="67"/>
    </row>
    <row r="316">
      <c r="A316" s="41" t="s">
        <v>169</v>
      </c>
      <c r="B316" s="41" t="s">
        <v>67</v>
      </c>
      <c r="C316" s="68" t="s">
        <v>3427</v>
      </c>
      <c r="D316" s="69">
        <v>600403.0</v>
      </c>
      <c r="E316" s="41" t="s">
        <v>3429</v>
      </c>
      <c r="F316" s="41" t="s">
        <v>3430</v>
      </c>
      <c r="G316" s="41" t="s">
        <v>3431</v>
      </c>
      <c r="H316" s="31" t="s">
        <v>103</v>
      </c>
      <c r="I316" s="31" t="s">
        <v>289</v>
      </c>
      <c r="J316" s="31" t="s">
        <v>233</v>
      </c>
      <c r="K316" s="31" t="s">
        <v>236</v>
      </c>
      <c r="L316" s="31" t="s">
        <v>181</v>
      </c>
      <c r="M316" s="70">
        <v>45440.0</v>
      </c>
      <c r="N316" s="70" t="str">
        <f t="shared" ref="N316:N318" si="165">right(M316,4)</f>
        <v>2024</v>
      </c>
      <c r="O316" s="70">
        <v>45813.0</v>
      </c>
      <c r="P316" s="102" t="str">
        <f t="shared" ref="P316:P318" si="166">right(O316,4)</f>
        <v>2025</v>
      </c>
      <c r="Q316" s="73">
        <f t="shared" ref="Q316:Q318" si="167">DATEDIF(M316,O316,"d")</f>
        <v>373</v>
      </c>
      <c r="R316" s="93">
        <f t="shared" ref="R316:R318" si="168">DATEDIF(M316,O316,"y")</f>
        <v>1</v>
      </c>
      <c r="S316" s="41"/>
      <c r="T316" s="74"/>
      <c r="U316" s="75">
        <v>0.0</v>
      </c>
      <c r="V316" s="41"/>
      <c r="W316" s="154" t="s">
        <v>3441</v>
      </c>
      <c r="X316" s="154" t="s">
        <v>3441</v>
      </c>
      <c r="Y316" s="104" t="s">
        <v>3233</v>
      </c>
      <c r="Z316" s="31" t="s">
        <v>122</v>
      </c>
      <c r="AA316" s="31" t="s">
        <v>261</v>
      </c>
      <c r="AB316" s="41" t="s">
        <v>3443</v>
      </c>
      <c r="AC316" s="46" t="s">
        <v>128</v>
      </c>
      <c r="AD316" s="77"/>
      <c r="AE316" s="99"/>
    </row>
    <row r="317">
      <c r="A317" s="61" t="s">
        <v>169</v>
      </c>
      <c r="B317" s="61" t="s">
        <v>67</v>
      </c>
      <c r="C317" s="82" t="s">
        <v>3446</v>
      </c>
      <c r="D317" s="137"/>
      <c r="E317" s="61" t="s">
        <v>3449</v>
      </c>
      <c r="F317" s="61" t="s">
        <v>3450</v>
      </c>
      <c r="G317" s="61" t="s">
        <v>3453</v>
      </c>
      <c r="H317" s="50" t="s">
        <v>103</v>
      </c>
      <c r="I317" s="97" t="s">
        <v>106</v>
      </c>
      <c r="J317" s="106" t="s">
        <v>175</v>
      </c>
      <c r="K317" s="106" t="s">
        <v>175</v>
      </c>
      <c r="L317" s="106" t="s">
        <v>175</v>
      </c>
      <c r="M317" s="84">
        <v>45441.0</v>
      </c>
      <c r="N317" s="84" t="str">
        <f t="shared" si="165"/>
        <v>2024</v>
      </c>
      <c r="O317" s="84">
        <v>45472.0</v>
      </c>
      <c r="P317" s="95" t="str">
        <f t="shared" si="166"/>
        <v>2024</v>
      </c>
      <c r="Q317" s="86">
        <f t="shared" si="167"/>
        <v>31</v>
      </c>
      <c r="R317" s="85">
        <f t="shared" si="168"/>
        <v>0</v>
      </c>
      <c r="S317" s="61"/>
      <c r="T317" s="87"/>
      <c r="U317" s="96">
        <v>0.0</v>
      </c>
      <c r="V317" s="61"/>
      <c r="W317" s="61" t="s">
        <v>3465</v>
      </c>
      <c r="X317" s="61"/>
      <c r="Y317" s="50" t="s">
        <v>161</v>
      </c>
      <c r="Z317" s="50" t="s">
        <v>175</v>
      </c>
      <c r="AA317" s="50" t="s">
        <v>175</v>
      </c>
      <c r="AB317" s="193" t="s">
        <v>975</v>
      </c>
      <c r="AC317" s="65" t="s">
        <v>164</v>
      </c>
      <c r="AD317" s="97"/>
      <c r="AE317" s="108" t="s">
        <v>220</v>
      </c>
    </row>
    <row r="318">
      <c r="A318" s="41" t="s">
        <v>169</v>
      </c>
      <c r="B318" s="41" t="s">
        <v>67</v>
      </c>
      <c r="C318" s="68" t="s">
        <v>3470</v>
      </c>
      <c r="D318" s="69">
        <v>600405.0</v>
      </c>
      <c r="E318" s="41" t="s">
        <v>3472</v>
      </c>
      <c r="F318" s="41" t="s">
        <v>3473</v>
      </c>
      <c r="G318" s="41" t="s">
        <v>3475</v>
      </c>
      <c r="H318" s="31" t="s">
        <v>103</v>
      </c>
      <c r="I318" s="31" t="s">
        <v>289</v>
      </c>
      <c r="J318" s="31" t="s">
        <v>289</v>
      </c>
      <c r="K318" s="31" t="s">
        <v>147</v>
      </c>
      <c r="L318" s="91" t="s">
        <v>48</v>
      </c>
      <c r="M318" s="70">
        <v>45442.0</v>
      </c>
      <c r="N318" s="70" t="str">
        <f t="shared" si="165"/>
        <v>2024</v>
      </c>
      <c r="O318" s="70">
        <v>45807.0</v>
      </c>
      <c r="P318" s="102" t="str">
        <f t="shared" si="166"/>
        <v>2025</v>
      </c>
      <c r="Q318" s="73">
        <f t="shared" si="167"/>
        <v>365</v>
      </c>
      <c r="R318" s="93">
        <f t="shared" si="168"/>
        <v>1</v>
      </c>
      <c r="S318" s="41"/>
      <c r="T318" s="74"/>
      <c r="U318" s="75">
        <v>0.0</v>
      </c>
      <c r="V318" s="41"/>
      <c r="W318" s="41" t="s">
        <v>3487</v>
      </c>
      <c r="X318" s="41" t="s">
        <v>3487</v>
      </c>
      <c r="Y318" s="31" t="s">
        <v>161</v>
      </c>
      <c r="Z318" s="101" t="s">
        <v>247</v>
      </c>
      <c r="AA318" s="31" t="s">
        <v>14</v>
      </c>
      <c r="AB318" s="104" t="s">
        <v>442</v>
      </c>
      <c r="AC318" s="46" t="s">
        <v>276</v>
      </c>
      <c r="AD318" s="77"/>
      <c r="AE318" s="99"/>
    </row>
    <row r="319">
      <c r="A319" s="50" t="s">
        <v>64</v>
      </c>
      <c r="B319" s="50" t="s">
        <v>19</v>
      </c>
      <c r="C319" s="52" t="s">
        <v>3494</v>
      </c>
      <c r="D319" s="232" t="s">
        <v>652</v>
      </c>
      <c r="E319" s="50" t="s">
        <v>2438</v>
      </c>
      <c r="F319" s="50" t="s">
        <v>2439</v>
      </c>
      <c r="G319" s="159" t="s">
        <v>2440</v>
      </c>
      <c r="H319" s="50" t="s">
        <v>1421</v>
      </c>
      <c r="I319" s="152" t="s">
        <v>104</v>
      </c>
      <c r="J319" s="80" t="s">
        <v>84</v>
      </c>
      <c r="K319" s="50" t="s">
        <v>84</v>
      </c>
      <c r="L319" s="50" t="s">
        <v>181</v>
      </c>
      <c r="M319" s="57">
        <v>45447.0</v>
      </c>
      <c r="N319" s="54">
        <v>2024.0</v>
      </c>
      <c r="O319" s="57">
        <v>46542.0</v>
      </c>
      <c r="P319" s="59">
        <v>2026.0</v>
      </c>
      <c r="Q319" s="60">
        <v>730.0</v>
      </c>
      <c r="R319" s="59">
        <v>2.0</v>
      </c>
      <c r="S319" s="61"/>
      <c r="T319" s="54" t="s">
        <v>113</v>
      </c>
      <c r="U319" s="62">
        <v>1.0</v>
      </c>
      <c r="V319" s="61"/>
      <c r="W319" s="159" t="s">
        <v>2443</v>
      </c>
      <c r="X319" s="159" t="s">
        <v>3511</v>
      </c>
      <c r="Y319" s="50" t="s">
        <v>2442</v>
      </c>
      <c r="Z319" s="50" t="s">
        <v>261</v>
      </c>
      <c r="AA319" s="50" t="s">
        <v>123</v>
      </c>
      <c r="AB319" s="50" t="s">
        <v>124</v>
      </c>
      <c r="AC319" s="65" t="s">
        <v>337</v>
      </c>
      <c r="AD319" s="66"/>
      <c r="AE319" s="67"/>
    </row>
    <row r="320">
      <c r="A320" s="41" t="s">
        <v>64</v>
      </c>
      <c r="B320" s="41" t="s">
        <v>67</v>
      </c>
      <c r="C320" s="68" t="s">
        <v>3516</v>
      </c>
      <c r="D320" s="74">
        <v>600409.0</v>
      </c>
      <c r="E320" s="41" t="s">
        <v>2456</v>
      </c>
      <c r="F320" s="41" t="s">
        <v>2457</v>
      </c>
      <c r="G320" s="41" t="s">
        <v>2458</v>
      </c>
      <c r="H320" s="31" t="s">
        <v>103</v>
      </c>
      <c r="I320" s="77" t="s">
        <v>708</v>
      </c>
      <c r="J320" s="31" t="s">
        <v>233</v>
      </c>
      <c r="K320" s="31" t="s">
        <v>236</v>
      </c>
      <c r="L320" s="31" t="s">
        <v>181</v>
      </c>
      <c r="M320" s="70">
        <v>45449.0</v>
      </c>
      <c r="N320" s="70" t="str">
        <f t="shared" ref="N320:N321" si="169">right(M320,4)</f>
        <v>2024</v>
      </c>
      <c r="O320" s="70">
        <v>45510.0</v>
      </c>
      <c r="P320" s="93" t="str">
        <f t="shared" ref="P320:P321" si="170">right(O320,4)</f>
        <v>2024</v>
      </c>
      <c r="Q320" s="73">
        <f t="shared" ref="Q320:Q321" si="171">DATEDIF(M320,O320,"d")</f>
        <v>61</v>
      </c>
      <c r="R320" s="93">
        <f t="shared" ref="R320:R321" si="172">DATEDIF(M320,O320,"y")</f>
        <v>0</v>
      </c>
      <c r="S320" s="41"/>
      <c r="T320" s="74"/>
      <c r="U320" s="75">
        <v>0.0</v>
      </c>
      <c r="V320" s="41"/>
      <c r="W320" s="41" t="s">
        <v>2461</v>
      </c>
      <c r="X320" s="41"/>
      <c r="Y320" s="41" t="s">
        <v>2429</v>
      </c>
      <c r="Z320" s="41" t="s">
        <v>259</v>
      </c>
      <c r="AA320" s="31" t="s">
        <v>289</v>
      </c>
      <c r="AB320" s="31" t="s">
        <v>124</v>
      </c>
      <c r="AC320" s="46" t="s">
        <v>161</v>
      </c>
      <c r="AD320" s="47"/>
      <c r="AE320" s="49"/>
    </row>
    <row r="321">
      <c r="A321" s="61" t="s">
        <v>169</v>
      </c>
      <c r="B321" s="61" t="s">
        <v>67</v>
      </c>
      <c r="C321" s="82" t="s">
        <v>3536</v>
      </c>
      <c r="D321" s="94">
        <v>600412.0</v>
      </c>
      <c r="E321" s="61" t="s">
        <v>3537</v>
      </c>
      <c r="F321" s="61" t="s">
        <v>3538</v>
      </c>
      <c r="G321" s="61" t="s">
        <v>3539</v>
      </c>
      <c r="H321" s="50" t="s">
        <v>103</v>
      </c>
      <c r="I321" s="50" t="s">
        <v>104</v>
      </c>
      <c r="J321" s="50" t="s">
        <v>146</v>
      </c>
      <c r="K321" s="50" t="s">
        <v>147</v>
      </c>
      <c r="L321" s="138" t="s">
        <v>48</v>
      </c>
      <c r="M321" s="84">
        <v>45450.0</v>
      </c>
      <c r="N321" s="84" t="str">
        <f t="shared" si="169"/>
        <v>2024</v>
      </c>
      <c r="O321" s="84">
        <v>45815.0</v>
      </c>
      <c r="P321" s="95" t="str">
        <f t="shared" si="170"/>
        <v>2025</v>
      </c>
      <c r="Q321" s="86">
        <f t="shared" si="171"/>
        <v>365</v>
      </c>
      <c r="R321" s="85">
        <f t="shared" si="172"/>
        <v>1</v>
      </c>
      <c r="S321" s="61"/>
      <c r="T321" s="87"/>
      <c r="U321" s="96">
        <v>0.0</v>
      </c>
      <c r="V321" s="61"/>
      <c r="W321" s="61" t="s">
        <v>3545</v>
      </c>
      <c r="X321" s="61" t="s">
        <v>3545</v>
      </c>
      <c r="Y321" s="106" t="s">
        <v>740</v>
      </c>
      <c r="Z321" s="80" t="s">
        <v>247</v>
      </c>
      <c r="AA321" s="50" t="s">
        <v>261</v>
      </c>
      <c r="AB321" s="50" t="s">
        <v>213</v>
      </c>
      <c r="AC321" s="65" t="s">
        <v>161</v>
      </c>
      <c r="AD321" s="97"/>
      <c r="AE321" s="108" t="s">
        <v>220</v>
      </c>
    </row>
    <row r="322" ht="23.25" customHeight="1">
      <c r="A322" s="31" t="s">
        <v>169</v>
      </c>
      <c r="B322" s="31" t="s">
        <v>19</v>
      </c>
      <c r="C322" s="32" t="s">
        <v>3549</v>
      </c>
      <c r="D322" s="113">
        <v>600415.0</v>
      </c>
      <c r="E322" s="31" t="s">
        <v>3449</v>
      </c>
      <c r="F322" s="31" t="s">
        <v>3550</v>
      </c>
      <c r="G322" s="31" t="s">
        <v>3551</v>
      </c>
      <c r="H322" s="31" t="s">
        <v>103</v>
      </c>
      <c r="I322" s="31" t="s">
        <v>104</v>
      </c>
      <c r="J322" s="31" t="s">
        <v>84</v>
      </c>
      <c r="K322" s="31" t="s">
        <v>2304</v>
      </c>
      <c r="L322" s="92" t="s">
        <v>181</v>
      </c>
      <c r="M322" s="37">
        <v>45453.0</v>
      </c>
      <c r="N322" s="33">
        <v>2024.0</v>
      </c>
      <c r="O322" s="37">
        <v>46380.0</v>
      </c>
      <c r="P322" s="39">
        <v>2026.0</v>
      </c>
      <c r="Q322" s="40">
        <v>927.0</v>
      </c>
      <c r="R322" s="39">
        <v>3.0</v>
      </c>
      <c r="S322" s="41"/>
      <c r="T322" s="33" t="s">
        <v>113</v>
      </c>
      <c r="U322" s="114">
        <v>2.0</v>
      </c>
      <c r="V322" s="41"/>
      <c r="W322" s="31" t="s">
        <v>3560</v>
      </c>
      <c r="X322" s="31" t="s">
        <v>3560</v>
      </c>
      <c r="Y322" s="31" t="s">
        <v>243</v>
      </c>
      <c r="Z322" s="101" t="s">
        <v>122</v>
      </c>
      <c r="AA322" s="31" t="s">
        <v>211</v>
      </c>
      <c r="AB322" s="153" t="s">
        <v>975</v>
      </c>
      <c r="AC322" s="46" t="s">
        <v>164</v>
      </c>
      <c r="AD322" s="77"/>
      <c r="AE322" s="99"/>
    </row>
    <row r="323">
      <c r="A323" s="61" t="s">
        <v>64</v>
      </c>
      <c r="B323" s="61" t="s">
        <v>67</v>
      </c>
      <c r="C323" s="82" t="s">
        <v>3565</v>
      </c>
      <c r="D323" s="87">
        <v>600420.0</v>
      </c>
      <c r="E323" s="61" t="s">
        <v>2464</v>
      </c>
      <c r="F323" s="61" t="s">
        <v>2465</v>
      </c>
      <c r="G323" s="61" t="s">
        <v>2466</v>
      </c>
      <c r="H323" s="50" t="s">
        <v>103</v>
      </c>
      <c r="I323" s="97" t="s">
        <v>708</v>
      </c>
      <c r="J323" s="50" t="s">
        <v>233</v>
      </c>
      <c r="K323" s="50" t="s">
        <v>236</v>
      </c>
      <c r="L323" s="50" t="s">
        <v>484</v>
      </c>
      <c r="M323" s="84">
        <v>45454.0</v>
      </c>
      <c r="N323" s="84" t="str">
        <f>right(M323,4)</f>
        <v>2024</v>
      </c>
      <c r="O323" s="84">
        <v>45657.0</v>
      </c>
      <c r="P323" s="85" t="str">
        <f>right(O323,4)</f>
        <v>2024</v>
      </c>
      <c r="Q323" s="86">
        <f>DATEDIF(M323,O323,"d")</f>
        <v>203</v>
      </c>
      <c r="R323" s="85">
        <f>DATEDIF(M323,O323,"y")</f>
        <v>0</v>
      </c>
      <c r="S323" s="61"/>
      <c r="T323" s="87"/>
      <c r="U323" s="96">
        <v>0.0</v>
      </c>
      <c r="V323" s="61" t="s">
        <v>2469</v>
      </c>
      <c r="W323" s="61" t="s">
        <v>2468</v>
      </c>
      <c r="X323" s="61"/>
      <c r="Y323" s="61" t="s">
        <v>209</v>
      </c>
      <c r="Z323" s="61" t="s">
        <v>2330</v>
      </c>
      <c r="AA323" s="50" t="s">
        <v>289</v>
      </c>
      <c r="AB323" s="50" t="s">
        <v>508</v>
      </c>
      <c r="AC323" s="65" t="s">
        <v>161</v>
      </c>
      <c r="AD323" s="66"/>
      <c r="AE323" s="67"/>
    </row>
    <row r="324">
      <c r="A324" s="31" t="s">
        <v>64</v>
      </c>
      <c r="B324" s="31" t="s">
        <v>19</v>
      </c>
      <c r="C324" s="32" t="s">
        <v>3582</v>
      </c>
      <c r="D324" s="33">
        <v>600448.0</v>
      </c>
      <c r="E324" s="31" t="s">
        <v>47</v>
      </c>
      <c r="F324" s="31" t="s">
        <v>2541</v>
      </c>
      <c r="G324" s="150" t="s">
        <v>2542</v>
      </c>
      <c r="H324" s="31" t="s">
        <v>103</v>
      </c>
      <c r="I324" s="151" t="s">
        <v>104</v>
      </c>
      <c r="J324" s="101" t="s">
        <v>233</v>
      </c>
      <c r="K324" s="31" t="s">
        <v>236</v>
      </c>
      <c r="L324" s="31" t="s">
        <v>484</v>
      </c>
      <c r="M324" s="37">
        <v>45454.0</v>
      </c>
      <c r="N324" s="33">
        <v>2024.0</v>
      </c>
      <c r="O324" s="37">
        <v>46549.0</v>
      </c>
      <c r="P324" s="39">
        <v>2027.0</v>
      </c>
      <c r="Q324" s="40">
        <v>1095.0</v>
      </c>
      <c r="R324" s="39">
        <v>3.0</v>
      </c>
      <c r="S324" s="41"/>
      <c r="T324" s="33" t="s">
        <v>269</v>
      </c>
      <c r="U324" s="43">
        <v>2.0</v>
      </c>
      <c r="V324" s="41"/>
      <c r="W324" s="150" t="s">
        <v>2543</v>
      </c>
      <c r="X324" s="150" t="s">
        <v>2543</v>
      </c>
      <c r="Y324" s="31" t="s">
        <v>2418</v>
      </c>
      <c r="Z324" s="31" t="s">
        <v>210</v>
      </c>
      <c r="AA324" s="31" t="s">
        <v>14</v>
      </c>
      <c r="AB324" s="31" t="s">
        <v>440</v>
      </c>
      <c r="AC324" s="46" t="s">
        <v>164</v>
      </c>
      <c r="AD324" s="46"/>
      <c r="AE324" s="111"/>
    </row>
    <row r="325">
      <c r="A325" s="50" t="s">
        <v>64</v>
      </c>
      <c r="B325" s="50" t="s">
        <v>67</v>
      </c>
      <c r="C325" s="52" t="s">
        <v>3590</v>
      </c>
      <c r="D325" s="54">
        <v>600422.0</v>
      </c>
      <c r="E325" s="50" t="s">
        <v>3591</v>
      </c>
      <c r="F325" s="50" t="s">
        <v>2471</v>
      </c>
      <c r="G325" s="159" t="s">
        <v>2472</v>
      </c>
      <c r="H325" s="50" t="s">
        <v>232</v>
      </c>
      <c r="I325" s="152" t="s">
        <v>104</v>
      </c>
      <c r="J325" s="80" t="s">
        <v>146</v>
      </c>
      <c r="K325" s="50" t="s">
        <v>147</v>
      </c>
      <c r="L325" s="50" t="s">
        <v>484</v>
      </c>
      <c r="M325" s="57">
        <v>45455.0</v>
      </c>
      <c r="N325" s="54">
        <v>2024.0</v>
      </c>
      <c r="O325" s="57">
        <v>46184.0</v>
      </c>
      <c r="P325" s="59">
        <v>2026.0</v>
      </c>
      <c r="Q325" s="60">
        <v>729.0</v>
      </c>
      <c r="R325" s="59">
        <v>2.0</v>
      </c>
      <c r="S325" s="61"/>
      <c r="T325" s="54" t="s">
        <v>269</v>
      </c>
      <c r="U325" s="62">
        <v>1.0</v>
      </c>
      <c r="V325" s="61"/>
      <c r="W325" s="50" t="s">
        <v>2477</v>
      </c>
      <c r="X325" s="50" t="s">
        <v>2477</v>
      </c>
      <c r="Y325" s="50" t="s">
        <v>86</v>
      </c>
      <c r="Z325" s="50" t="s">
        <v>261</v>
      </c>
      <c r="AA325" s="50"/>
      <c r="AB325" s="50" t="s">
        <v>876</v>
      </c>
      <c r="AC325" s="65" t="s">
        <v>276</v>
      </c>
      <c r="AD325" s="66"/>
      <c r="AE325" s="67"/>
    </row>
    <row r="326">
      <c r="A326" s="41" t="s">
        <v>64</v>
      </c>
      <c r="B326" s="41" t="s">
        <v>67</v>
      </c>
      <c r="C326" s="68" t="s">
        <v>3600</v>
      </c>
      <c r="D326" s="74">
        <v>600425.0</v>
      </c>
      <c r="E326" s="41" t="s">
        <v>2478</v>
      </c>
      <c r="F326" s="41" t="s">
        <v>2479</v>
      </c>
      <c r="G326" s="41" t="s">
        <v>2480</v>
      </c>
      <c r="H326" s="31" t="s">
        <v>103</v>
      </c>
      <c r="I326" s="77" t="s">
        <v>106</v>
      </c>
      <c r="J326" s="91" t="s">
        <v>84</v>
      </c>
      <c r="K326" s="41" t="s">
        <v>84</v>
      </c>
      <c r="L326" s="31" t="s">
        <v>484</v>
      </c>
      <c r="M326" s="70">
        <v>45456.0</v>
      </c>
      <c r="N326" s="70" t="str">
        <f>right(M326,4)</f>
        <v>2024</v>
      </c>
      <c r="O326" s="70">
        <v>45465.0</v>
      </c>
      <c r="P326" s="93" t="str">
        <f>right(O326,4)</f>
        <v>2024</v>
      </c>
      <c r="Q326" s="73">
        <f>DATEDIF(M326,O326,"d")</f>
        <v>9</v>
      </c>
      <c r="R326" s="93">
        <f>DATEDIF(M326,O326,"y")</f>
        <v>0</v>
      </c>
      <c r="S326" s="41"/>
      <c r="T326" s="74"/>
      <c r="U326" s="75">
        <v>0.0</v>
      </c>
      <c r="V326" s="41" t="s">
        <v>2483</v>
      </c>
      <c r="W326" s="41" t="s">
        <v>2482</v>
      </c>
      <c r="X326" s="41"/>
      <c r="Y326" s="41" t="s">
        <v>86</v>
      </c>
      <c r="Z326" s="41" t="s">
        <v>259</v>
      </c>
      <c r="AA326" s="31" t="s">
        <v>65</v>
      </c>
      <c r="AB326" s="31" t="s">
        <v>124</v>
      </c>
      <c r="AC326" s="46" t="s">
        <v>161</v>
      </c>
      <c r="AD326" s="47"/>
      <c r="AE326" s="78" t="s">
        <v>220</v>
      </c>
    </row>
    <row r="327">
      <c r="A327" s="50" t="s">
        <v>169</v>
      </c>
      <c r="B327" s="50" t="s">
        <v>19</v>
      </c>
      <c r="C327" s="52" t="s">
        <v>3617</v>
      </c>
      <c r="D327" s="79">
        <v>600424.0</v>
      </c>
      <c r="E327" s="50" t="s">
        <v>985</v>
      </c>
      <c r="F327" s="50" t="s">
        <v>3620</v>
      </c>
      <c r="G327" s="50" t="s">
        <v>3621</v>
      </c>
      <c r="H327" s="50" t="s">
        <v>1421</v>
      </c>
      <c r="I327" s="50" t="s">
        <v>104</v>
      </c>
      <c r="J327" s="50" t="s">
        <v>84</v>
      </c>
      <c r="K327" s="50" t="s">
        <v>147</v>
      </c>
      <c r="L327" s="112" t="s">
        <v>181</v>
      </c>
      <c r="M327" s="57">
        <v>45456.0</v>
      </c>
      <c r="N327" s="54">
        <v>2024.0</v>
      </c>
      <c r="O327" s="57">
        <v>46579.0</v>
      </c>
      <c r="P327" s="59">
        <v>2027.0</v>
      </c>
      <c r="Q327" s="60">
        <v>1123.0</v>
      </c>
      <c r="R327" s="59">
        <v>4.0</v>
      </c>
      <c r="S327" s="61"/>
      <c r="T327" s="54" t="s">
        <v>269</v>
      </c>
      <c r="U327" s="199">
        <v>2.0</v>
      </c>
      <c r="V327" s="61"/>
      <c r="W327" s="159" t="s">
        <v>3628</v>
      </c>
      <c r="X327" s="159" t="s">
        <v>3628</v>
      </c>
      <c r="Y327" s="50" t="s">
        <v>2103</v>
      </c>
      <c r="Z327" s="80" t="s">
        <v>210</v>
      </c>
      <c r="AA327" s="50" t="s">
        <v>123</v>
      </c>
      <c r="AB327" s="193" t="s">
        <v>975</v>
      </c>
      <c r="AC327" s="65" t="s">
        <v>128</v>
      </c>
      <c r="AD327" s="65"/>
      <c r="AE327" s="120"/>
    </row>
    <row r="328">
      <c r="A328" s="31" t="s">
        <v>169</v>
      </c>
      <c r="B328" s="31" t="s">
        <v>19</v>
      </c>
      <c r="C328" s="32" t="s">
        <v>3631</v>
      </c>
      <c r="D328" s="113">
        <v>600429.0</v>
      </c>
      <c r="E328" s="31" t="s">
        <v>841</v>
      </c>
      <c r="F328" s="31" t="s">
        <v>3632</v>
      </c>
      <c r="G328" s="31" t="s">
        <v>3635</v>
      </c>
      <c r="H328" s="31" t="s">
        <v>232</v>
      </c>
      <c r="I328" s="31" t="s">
        <v>104</v>
      </c>
      <c r="J328" s="31" t="s">
        <v>233</v>
      </c>
      <c r="K328" s="31" t="s">
        <v>147</v>
      </c>
      <c r="L328" s="92" t="s">
        <v>155</v>
      </c>
      <c r="M328" s="37">
        <v>45457.0</v>
      </c>
      <c r="N328" s="33">
        <v>2024.0</v>
      </c>
      <c r="O328" s="37">
        <v>46465.0</v>
      </c>
      <c r="P328" s="39">
        <v>2027.0</v>
      </c>
      <c r="Q328" s="40">
        <v>1008.0</v>
      </c>
      <c r="R328" s="39">
        <v>3.0</v>
      </c>
      <c r="S328" s="41"/>
      <c r="T328" s="33" t="s">
        <v>269</v>
      </c>
      <c r="U328" s="114">
        <v>2.0</v>
      </c>
      <c r="V328" s="41"/>
      <c r="W328" s="31" t="s">
        <v>3641</v>
      </c>
      <c r="X328" s="31" t="s">
        <v>3641</v>
      </c>
      <c r="Y328" s="31" t="s">
        <v>161</v>
      </c>
      <c r="Z328" s="101" t="s">
        <v>122</v>
      </c>
      <c r="AA328" s="31" t="s">
        <v>123</v>
      </c>
      <c r="AB328" s="31" t="s">
        <v>249</v>
      </c>
      <c r="AC328" s="46" t="s">
        <v>164</v>
      </c>
      <c r="AD328" s="31"/>
      <c r="AE328" s="111"/>
    </row>
    <row r="329">
      <c r="A329" s="61" t="s">
        <v>64</v>
      </c>
      <c r="B329" s="61" t="s">
        <v>67</v>
      </c>
      <c r="C329" s="82" t="s">
        <v>3646</v>
      </c>
      <c r="D329" s="87">
        <v>600446.0</v>
      </c>
      <c r="E329" s="61" t="s">
        <v>2558</v>
      </c>
      <c r="F329" s="61" t="s">
        <v>2559</v>
      </c>
      <c r="G329" s="61" t="s">
        <v>2560</v>
      </c>
      <c r="H329" s="50" t="s">
        <v>103</v>
      </c>
      <c r="I329" s="97" t="s">
        <v>104</v>
      </c>
      <c r="J329" s="50" t="s">
        <v>233</v>
      </c>
      <c r="K329" s="50" t="s">
        <v>236</v>
      </c>
      <c r="L329" s="50" t="s">
        <v>181</v>
      </c>
      <c r="M329" s="84">
        <v>45460.0</v>
      </c>
      <c r="N329" s="84" t="str">
        <f t="shared" ref="N329:N332" si="173">right(M329,4)</f>
        <v>2024</v>
      </c>
      <c r="O329" s="84">
        <v>45826.0</v>
      </c>
      <c r="P329" s="85" t="str">
        <f t="shared" ref="P329:P332" si="174">right(O329,4)</f>
        <v>2025</v>
      </c>
      <c r="Q329" s="86">
        <f t="shared" ref="Q329:Q332" si="175">DATEDIF(M329,O329,"d")</f>
        <v>366</v>
      </c>
      <c r="R329" s="85">
        <f t="shared" ref="R329:R332" si="176">DATEDIF(M329,O329,"y")</f>
        <v>1</v>
      </c>
      <c r="S329" s="61" t="s">
        <v>2567</v>
      </c>
      <c r="T329" s="87"/>
      <c r="U329" s="96">
        <v>0.0</v>
      </c>
      <c r="V329" s="61"/>
      <c r="W329" s="174" t="s">
        <v>2562</v>
      </c>
      <c r="X329" s="174" t="s">
        <v>2562</v>
      </c>
      <c r="Y329" s="61" t="s">
        <v>740</v>
      </c>
      <c r="Z329" s="50" t="s">
        <v>122</v>
      </c>
      <c r="AA329" s="50" t="s">
        <v>14</v>
      </c>
      <c r="AB329" s="61" t="s">
        <v>336</v>
      </c>
      <c r="AC329" s="65" t="s">
        <v>128</v>
      </c>
      <c r="AD329" s="66"/>
      <c r="AE329" s="108" t="s">
        <v>220</v>
      </c>
    </row>
    <row r="330">
      <c r="A330" s="41" t="s">
        <v>169</v>
      </c>
      <c r="B330" s="41" t="s">
        <v>67</v>
      </c>
      <c r="C330" s="68" t="s">
        <v>3662</v>
      </c>
      <c r="D330" s="69">
        <v>600430.0</v>
      </c>
      <c r="E330" s="41" t="s">
        <v>3663</v>
      </c>
      <c r="F330" s="41" t="s">
        <v>3665</v>
      </c>
      <c r="G330" s="41" t="s">
        <v>3666</v>
      </c>
      <c r="H330" s="41" t="s">
        <v>266</v>
      </c>
      <c r="I330" s="91" t="s">
        <v>104</v>
      </c>
      <c r="J330" s="31" t="s">
        <v>289</v>
      </c>
      <c r="K330" s="31" t="s">
        <v>236</v>
      </c>
      <c r="L330" s="91" t="s">
        <v>48</v>
      </c>
      <c r="M330" s="70">
        <v>45461.0</v>
      </c>
      <c r="N330" s="70" t="str">
        <f t="shared" si="173"/>
        <v>2024</v>
      </c>
      <c r="O330" s="70">
        <v>45826.0</v>
      </c>
      <c r="P330" s="102" t="str">
        <f t="shared" si="174"/>
        <v>2025</v>
      </c>
      <c r="Q330" s="73">
        <f t="shared" si="175"/>
        <v>365</v>
      </c>
      <c r="R330" s="93">
        <f t="shared" si="176"/>
        <v>1</v>
      </c>
      <c r="S330" s="41"/>
      <c r="T330" s="74"/>
      <c r="U330" s="75">
        <v>0.0</v>
      </c>
      <c r="V330" s="41"/>
      <c r="W330" s="41" t="s">
        <v>3672</v>
      </c>
      <c r="X330" s="41" t="s">
        <v>3672</v>
      </c>
      <c r="Y330" s="31" t="s">
        <v>161</v>
      </c>
      <c r="Z330" s="31" t="s">
        <v>2644</v>
      </c>
      <c r="AA330" s="31" t="s">
        <v>2644</v>
      </c>
      <c r="AB330" s="31" t="s">
        <v>1499</v>
      </c>
      <c r="AC330" s="46" t="s">
        <v>161</v>
      </c>
      <c r="AD330" s="31" t="s">
        <v>251</v>
      </c>
      <c r="AE330" s="111" t="s">
        <v>220</v>
      </c>
    </row>
    <row r="331">
      <c r="A331" s="61" t="s">
        <v>64</v>
      </c>
      <c r="B331" s="61" t="s">
        <v>67</v>
      </c>
      <c r="C331" s="82" t="s">
        <v>3675</v>
      </c>
      <c r="D331" s="87">
        <v>600431.0</v>
      </c>
      <c r="E331" s="61" t="s">
        <v>2492</v>
      </c>
      <c r="F331" s="61" t="s">
        <v>2493</v>
      </c>
      <c r="G331" s="61" t="s">
        <v>2494</v>
      </c>
      <c r="H331" s="50" t="s">
        <v>103</v>
      </c>
      <c r="I331" s="97" t="s">
        <v>106</v>
      </c>
      <c r="J331" s="50" t="s">
        <v>146</v>
      </c>
      <c r="K331" s="50" t="s">
        <v>147</v>
      </c>
      <c r="L331" s="138" t="s">
        <v>25</v>
      </c>
      <c r="M331" s="84">
        <v>45467.0</v>
      </c>
      <c r="N331" s="84" t="str">
        <f t="shared" si="173"/>
        <v>2024</v>
      </c>
      <c r="O331" s="84">
        <v>45818.0</v>
      </c>
      <c r="P331" s="86" t="str">
        <f t="shared" si="174"/>
        <v>2025</v>
      </c>
      <c r="Q331" s="86">
        <f t="shared" si="175"/>
        <v>351</v>
      </c>
      <c r="R331" s="86">
        <f t="shared" si="176"/>
        <v>0</v>
      </c>
      <c r="S331" s="61"/>
      <c r="T331" s="87"/>
      <c r="U331" s="96">
        <v>0.0</v>
      </c>
      <c r="V331" s="61" t="s">
        <v>2497</v>
      </c>
      <c r="W331" s="61" t="s">
        <v>2496</v>
      </c>
      <c r="X331" s="61" t="s">
        <v>2496</v>
      </c>
      <c r="Y331" s="61" t="s">
        <v>2429</v>
      </c>
      <c r="Z331" s="50" t="s">
        <v>210</v>
      </c>
      <c r="AA331" s="50" t="s">
        <v>14</v>
      </c>
      <c r="AB331" s="61" t="s">
        <v>1996</v>
      </c>
      <c r="AC331" s="65" t="s">
        <v>161</v>
      </c>
      <c r="AD331" s="66"/>
      <c r="AE331" s="108" t="s">
        <v>220</v>
      </c>
    </row>
    <row r="332">
      <c r="A332" s="41" t="s">
        <v>169</v>
      </c>
      <c r="B332" s="41" t="s">
        <v>67</v>
      </c>
      <c r="C332" s="68" t="s">
        <v>3688</v>
      </c>
      <c r="D332" s="69">
        <v>600432.0</v>
      </c>
      <c r="E332" s="41" t="s">
        <v>3690</v>
      </c>
      <c r="F332" s="41" t="s">
        <v>3691</v>
      </c>
      <c r="G332" s="41" t="s">
        <v>3692</v>
      </c>
      <c r="H332" s="31" t="s">
        <v>103</v>
      </c>
      <c r="I332" s="31" t="s">
        <v>289</v>
      </c>
      <c r="J332" s="31" t="s">
        <v>289</v>
      </c>
      <c r="K332" s="31" t="s">
        <v>236</v>
      </c>
      <c r="L332" s="31" t="s">
        <v>181</v>
      </c>
      <c r="M332" s="70">
        <v>45468.0</v>
      </c>
      <c r="N332" s="70" t="str">
        <f t="shared" si="173"/>
        <v>2024</v>
      </c>
      <c r="O332" s="70">
        <v>45833.0</v>
      </c>
      <c r="P332" s="102" t="str">
        <f t="shared" si="174"/>
        <v>2025</v>
      </c>
      <c r="Q332" s="73">
        <f t="shared" si="175"/>
        <v>365</v>
      </c>
      <c r="R332" s="93">
        <f t="shared" si="176"/>
        <v>1</v>
      </c>
      <c r="S332" s="41"/>
      <c r="T332" s="74"/>
      <c r="U332" s="75">
        <v>0.0</v>
      </c>
      <c r="V332" s="41"/>
      <c r="W332" s="41" t="s">
        <v>3699</v>
      </c>
      <c r="X332" s="41" t="s">
        <v>3699</v>
      </c>
      <c r="Y332" s="31" t="s">
        <v>2103</v>
      </c>
      <c r="Z332" s="31" t="s">
        <v>122</v>
      </c>
      <c r="AA332" s="31" t="s">
        <v>2127</v>
      </c>
      <c r="AB332" s="31" t="s">
        <v>1499</v>
      </c>
      <c r="AC332" s="46" t="s">
        <v>337</v>
      </c>
      <c r="AD332" s="77"/>
      <c r="AE332" s="99"/>
    </row>
    <row r="333">
      <c r="A333" s="50" t="s">
        <v>169</v>
      </c>
      <c r="B333" s="50" t="s">
        <v>67</v>
      </c>
      <c r="C333" s="52" t="s">
        <v>3701</v>
      </c>
      <c r="D333" s="79">
        <v>600434.0</v>
      </c>
      <c r="E333" s="50" t="s">
        <v>3703</v>
      </c>
      <c r="F333" s="50" t="s">
        <v>3705</v>
      </c>
      <c r="G333" s="50" t="s">
        <v>3706</v>
      </c>
      <c r="H333" s="50" t="s">
        <v>464</v>
      </c>
      <c r="I333" s="50" t="s">
        <v>104</v>
      </c>
      <c r="J333" s="50" t="s">
        <v>84</v>
      </c>
      <c r="K333" s="50" t="s">
        <v>236</v>
      </c>
      <c r="L333" s="50" t="s">
        <v>25</v>
      </c>
      <c r="M333" s="57">
        <v>45468.0</v>
      </c>
      <c r="N333" s="54">
        <v>2024.0</v>
      </c>
      <c r="O333" s="57">
        <v>46112.0</v>
      </c>
      <c r="P333" s="59">
        <v>2026.0</v>
      </c>
      <c r="Q333" s="60">
        <v>644.0</v>
      </c>
      <c r="R333" s="59">
        <v>2.0</v>
      </c>
      <c r="S333" s="61"/>
      <c r="T333" s="54" t="s">
        <v>113</v>
      </c>
      <c r="U333" s="62">
        <v>1.0</v>
      </c>
      <c r="V333" s="61"/>
      <c r="W333" s="50" t="s">
        <v>3712</v>
      </c>
      <c r="X333" s="50" t="s">
        <v>3713</v>
      </c>
      <c r="Y333" s="50" t="s">
        <v>161</v>
      </c>
      <c r="Z333" s="50" t="s">
        <v>211</v>
      </c>
      <c r="AA333" s="50" t="s">
        <v>123</v>
      </c>
      <c r="AB333" s="50" t="s">
        <v>213</v>
      </c>
      <c r="AC333" s="65" t="s">
        <v>161</v>
      </c>
      <c r="AD333" s="65"/>
      <c r="AE333" s="108" t="s">
        <v>220</v>
      </c>
    </row>
    <row r="334">
      <c r="A334" s="41" t="s">
        <v>169</v>
      </c>
      <c r="B334" s="41" t="s">
        <v>67</v>
      </c>
      <c r="C334" s="68" t="s">
        <v>3718</v>
      </c>
      <c r="D334" s="69">
        <v>600435.0</v>
      </c>
      <c r="E334" s="41" t="s">
        <v>2498</v>
      </c>
      <c r="F334" s="41" t="s">
        <v>2499</v>
      </c>
      <c r="G334" s="41" t="s">
        <v>2500</v>
      </c>
      <c r="H334" s="31" t="s">
        <v>84</v>
      </c>
      <c r="I334" s="77" t="s">
        <v>106</v>
      </c>
      <c r="J334" s="91" t="s">
        <v>84</v>
      </c>
      <c r="K334" s="41" t="s">
        <v>84</v>
      </c>
      <c r="L334" s="31" t="s">
        <v>25</v>
      </c>
      <c r="M334" s="70">
        <v>45468.0</v>
      </c>
      <c r="N334" s="70" t="str">
        <f>right(M334,4)</f>
        <v>2024</v>
      </c>
      <c r="O334" s="70">
        <v>45478.0</v>
      </c>
      <c r="P334" s="71" t="str">
        <f>right(O334,4)</f>
        <v>2024</v>
      </c>
      <c r="Q334" s="73">
        <f>DATEDIF(M334,O334,"d")</f>
        <v>10</v>
      </c>
      <c r="R334" s="73">
        <f>DATEDIF(M334,O334,"y")</f>
        <v>0</v>
      </c>
      <c r="S334" s="41"/>
      <c r="T334" s="74"/>
      <c r="U334" s="75">
        <v>0.0</v>
      </c>
      <c r="V334" s="41" t="s">
        <v>2503</v>
      </c>
      <c r="W334" s="41" t="s">
        <v>2502</v>
      </c>
      <c r="X334" s="41"/>
      <c r="Y334" s="31" t="s">
        <v>161</v>
      </c>
      <c r="Z334" s="31" t="s">
        <v>210</v>
      </c>
      <c r="AA334" s="31" t="s">
        <v>175</v>
      </c>
      <c r="AB334" s="31" t="s">
        <v>1499</v>
      </c>
      <c r="AC334" s="46" t="s">
        <v>161</v>
      </c>
      <c r="AD334" s="77"/>
      <c r="AE334" s="78" t="s">
        <v>220</v>
      </c>
    </row>
    <row r="335">
      <c r="A335" s="50" t="s">
        <v>407</v>
      </c>
      <c r="B335" s="50" t="s">
        <v>19</v>
      </c>
      <c r="C335" s="52" t="s">
        <v>3729</v>
      </c>
      <c r="D335" s="79">
        <v>600389.0</v>
      </c>
      <c r="E335" s="50" t="s">
        <v>97</v>
      </c>
      <c r="F335" s="50" t="s">
        <v>3731</v>
      </c>
      <c r="G335" s="50" t="s">
        <v>3732</v>
      </c>
      <c r="H335" s="50" t="s">
        <v>178</v>
      </c>
      <c r="I335" s="106" t="s">
        <v>708</v>
      </c>
      <c r="J335" s="50" t="s">
        <v>84</v>
      </c>
      <c r="K335" s="50" t="s">
        <v>84</v>
      </c>
      <c r="L335" s="50" t="s">
        <v>25</v>
      </c>
      <c r="M335" s="57">
        <v>45469.0</v>
      </c>
      <c r="N335" s="54">
        <v>2024.0</v>
      </c>
      <c r="O335" s="57">
        <v>46318.0</v>
      </c>
      <c r="P335" s="59">
        <v>2026.0</v>
      </c>
      <c r="Q335" s="60">
        <v>849.0</v>
      </c>
      <c r="R335" s="59">
        <v>3.0</v>
      </c>
      <c r="S335" s="61"/>
      <c r="T335" s="54" t="s">
        <v>113</v>
      </c>
      <c r="U335" s="96">
        <v>2.0</v>
      </c>
      <c r="V335" s="61"/>
      <c r="W335" s="50" t="s">
        <v>3739</v>
      </c>
      <c r="X335" s="50" t="s">
        <v>3739</v>
      </c>
      <c r="Y335" s="50" t="s">
        <v>161</v>
      </c>
      <c r="Z335" s="80" t="s">
        <v>211</v>
      </c>
      <c r="AA335" s="80" t="s">
        <v>14</v>
      </c>
      <c r="AB335" s="106" t="s">
        <v>442</v>
      </c>
      <c r="AC335" s="65" t="s">
        <v>128</v>
      </c>
      <c r="AD335" s="97"/>
      <c r="AE335" s="120"/>
    </row>
    <row r="336">
      <c r="A336" s="41" t="s">
        <v>64</v>
      </c>
      <c r="B336" s="41" t="s">
        <v>67</v>
      </c>
      <c r="C336" s="68" t="s">
        <v>3742</v>
      </c>
      <c r="D336" s="74">
        <v>600437.0</v>
      </c>
      <c r="E336" s="41" t="s">
        <v>2505</v>
      </c>
      <c r="F336" s="41" t="s">
        <v>2506</v>
      </c>
      <c r="G336" s="41" t="s">
        <v>2507</v>
      </c>
      <c r="H336" s="31" t="s">
        <v>103</v>
      </c>
      <c r="I336" s="77" t="s">
        <v>104</v>
      </c>
      <c r="J336" s="31" t="s">
        <v>233</v>
      </c>
      <c r="K336" s="31" t="s">
        <v>236</v>
      </c>
      <c r="L336" s="31" t="s">
        <v>181</v>
      </c>
      <c r="M336" s="70">
        <v>45470.0</v>
      </c>
      <c r="N336" s="70" t="str">
        <f t="shared" ref="N336:N342" si="177">right(M336,4)</f>
        <v>2024</v>
      </c>
      <c r="O336" s="70">
        <v>45829.0</v>
      </c>
      <c r="P336" s="73" t="str">
        <f t="shared" ref="P336:P342" si="178">right(O336,4)</f>
        <v>2025</v>
      </c>
      <c r="Q336" s="73">
        <f t="shared" ref="Q336:Q342" si="179">DATEDIF(M336,O336,"d")</f>
        <v>359</v>
      </c>
      <c r="R336" s="73">
        <f t="shared" ref="R336:R342" si="180">DATEDIF(M336,O336,"y")</f>
        <v>0</v>
      </c>
      <c r="S336" s="41" t="s">
        <v>2510</v>
      </c>
      <c r="T336" s="74"/>
      <c r="U336" s="75">
        <v>0.0</v>
      </c>
      <c r="V336" s="41" t="s">
        <v>2511</v>
      </c>
      <c r="W336" s="41" t="s">
        <v>2508</v>
      </c>
      <c r="X336" s="41" t="s">
        <v>2508</v>
      </c>
      <c r="Y336" s="41" t="s">
        <v>740</v>
      </c>
      <c r="Z336" s="31" t="s">
        <v>210</v>
      </c>
      <c r="AA336" s="31" t="s">
        <v>261</v>
      </c>
      <c r="AB336" s="41" t="s">
        <v>336</v>
      </c>
      <c r="AC336" s="46" t="s">
        <v>128</v>
      </c>
      <c r="AD336" s="47"/>
      <c r="AE336" s="78" t="s">
        <v>220</v>
      </c>
    </row>
    <row r="337">
      <c r="A337" s="61" t="s">
        <v>64</v>
      </c>
      <c r="B337" s="61" t="s">
        <v>67</v>
      </c>
      <c r="C337" s="82" t="s">
        <v>3753</v>
      </c>
      <c r="D337" s="83"/>
      <c r="E337" s="61" t="s">
        <v>2512</v>
      </c>
      <c r="F337" s="61" t="s">
        <v>2514</v>
      </c>
      <c r="G337" s="61" t="s">
        <v>2515</v>
      </c>
      <c r="H337" s="50" t="s">
        <v>103</v>
      </c>
      <c r="I337" s="97" t="s">
        <v>106</v>
      </c>
      <c r="J337" s="106" t="s">
        <v>175</v>
      </c>
      <c r="K337" s="106" t="s">
        <v>175</v>
      </c>
      <c r="L337" s="106" t="s">
        <v>175</v>
      </c>
      <c r="M337" s="84">
        <v>45474.0</v>
      </c>
      <c r="N337" s="84" t="str">
        <f t="shared" si="177"/>
        <v>2024</v>
      </c>
      <c r="O337" s="84">
        <v>45481.0</v>
      </c>
      <c r="P337" s="85" t="str">
        <f t="shared" si="178"/>
        <v>2024</v>
      </c>
      <c r="Q337" s="86">
        <f t="shared" si="179"/>
        <v>7</v>
      </c>
      <c r="R337" s="85">
        <f t="shared" si="180"/>
        <v>0</v>
      </c>
      <c r="S337" s="61"/>
      <c r="T337" s="87"/>
      <c r="U337" s="96">
        <v>0.0</v>
      </c>
      <c r="V337" s="61" t="s">
        <v>2517</v>
      </c>
      <c r="W337" s="234" t="s">
        <v>2516</v>
      </c>
      <c r="X337" s="61"/>
      <c r="Y337" s="61" t="s">
        <v>86</v>
      </c>
      <c r="Z337" s="61" t="s">
        <v>441</v>
      </c>
      <c r="AA337" s="50" t="s">
        <v>175</v>
      </c>
      <c r="AB337" s="61" t="s">
        <v>336</v>
      </c>
      <c r="AC337" s="65" t="s">
        <v>161</v>
      </c>
      <c r="AD337" s="66"/>
      <c r="AE337" s="108" t="s">
        <v>220</v>
      </c>
    </row>
    <row r="338">
      <c r="A338" s="41" t="s">
        <v>169</v>
      </c>
      <c r="B338" s="41" t="s">
        <v>67</v>
      </c>
      <c r="C338" s="68" t="s">
        <v>3770</v>
      </c>
      <c r="D338" s="69">
        <v>600439.0</v>
      </c>
      <c r="E338" s="41" t="s">
        <v>3771</v>
      </c>
      <c r="F338" s="41" t="s">
        <v>3772</v>
      </c>
      <c r="G338" s="41" t="s">
        <v>3773</v>
      </c>
      <c r="H338" s="31" t="s">
        <v>103</v>
      </c>
      <c r="I338" s="31" t="s">
        <v>289</v>
      </c>
      <c r="J338" s="31" t="s">
        <v>146</v>
      </c>
      <c r="K338" s="31" t="s">
        <v>147</v>
      </c>
      <c r="L338" s="91" t="s">
        <v>48</v>
      </c>
      <c r="M338" s="70">
        <v>45474.0</v>
      </c>
      <c r="N338" s="70" t="str">
        <f t="shared" si="177"/>
        <v>2024</v>
      </c>
      <c r="O338" s="70">
        <v>45566.0</v>
      </c>
      <c r="P338" s="102" t="str">
        <f t="shared" si="178"/>
        <v>2024</v>
      </c>
      <c r="Q338" s="73">
        <f t="shared" si="179"/>
        <v>92</v>
      </c>
      <c r="R338" s="93">
        <f t="shared" si="180"/>
        <v>0</v>
      </c>
      <c r="S338" s="41"/>
      <c r="T338" s="74"/>
      <c r="U338" s="75">
        <v>0.0</v>
      </c>
      <c r="V338" s="41"/>
      <c r="W338" s="41" t="s">
        <v>3780</v>
      </c>
      <c r="X338" s="41"/>
      <c r="Y338" s="41" t="s">
        <v>740</v>
      </c>
      <c r="Z338" s="101" t="s">
        <v>247</v>
      </c>
      <c r="AA338" s="31" t="s">
        <v>261</v>
      </c>
      <c r="AB338" s="31" t="s">
        <v>213</v>
      </c>
      <c r="AC338" s="46" t="s">
        <v>161</v>
      </c>
      <c r="AD338" s="77"/>
      <c r="AE338" s="99"/>
    </row>
    <row r="339">
      <c r="A339" s="50" t="s">
        <v>169</v>
      </c>
      <c r="B339" s="61" t="s">
        <v>67</v>
      </c>
      <c r="C339" s="82" t="s">
        <v>3786</v>
      </c>
      <c r="D339" s="87">
        <v>600092.0</v>
      </c>
      <c r="E339" s="61" t="s">
        <v>1111</v>
      </c>
      <c r="F339" s="61" t="s">
        <v>1112</v>
      </c>
      <c r="G339" s="61" t="s">
        <v>1113</v>
      </c>
      <c r="H339" s="50" t="s">
        <v>103</v>
      </c>
      <c r="I339" s="50" t="s">
        <v>289</v>
      </c>
      <c r="J339" s="50" t="s">
        <v>289</v>
      </c>
      <c r="K339" s="61" t="s">
        <v>1114</v>
      </c>
      <c r="L339" s="50" t="s">
        <v>289</v>
      </c>
      <c r="M339" s="84">
        <v>45476.0</v>
      </c>
      <c r="N339" s="84" t="str">
        <f t="shared" si="177"/>
        <v>2024</v>
      </c>
      <c r="O339" s="84">
        <v>45841.0</v>
      </c>
      <c r="P339" s="86" t="str">
        <f t="shared" si="178"/>
        <v>2025</v>
      </c>
      <c r="Q339" s="86">
        <f t="shared" si="179"/>
        <v>365</v>
      </c>
      <c r="R339" s="86">
        <f t="shared" si="180"/>
        <v>1</v>
      </c>
      <c r="S339" s="61"/>
      <c r="T339" s="87"/>
      <c r="U339" s="62">
        <v>1.0</v>
      </c>
      <c r="V339" s="61"/>
      <c r="W339" s="61" t="s">
        <v>1117</v>
      </c>
      <c r="X339" s="61" t="s">
        <v>1117</v>
      </c>
      <c r="Y339" s="50" t="s">
        <v>161</v>
      </c>
      <c r="Z339" s="50" t="s">
        <v>210</v>
      </c>
      <c r="AA339" s="50" t="s">
        <v>261</v>
      </c>
      <c r="AB339" s="223" t="s">
        <v>975</v>
      </c>
      <c r="AC339" s="65" t="s">
        <v>276</v>
      </c>
      <c r="AD339" s="66"/>
      <c r="AE339" s="81"/>
    </row>
    <row r="340">
      <c r="A340" s="41" t="s">
        <v>64</v>
      </c>
      <c r="B340" s="41" t="s">
        <v>67</v>
      </c>
      <c r="C340" s="68" t="s">
        <v>3796</v>
      </c>
      <c r="D340" s="74">
        <v>600442.0</v>
      </c>
      <c r="E340" s="41" t="s">
        <v>2518</v>
      </c>
      <c r="F340" s="41" t="s">
        <v>2519</v>
      </c>
      <c r="G340" s="154" t="s">
        <v>2520</v>
      </c>
      <c r="H340" s="31" t="s">
        <v>84</v>
      </c>
      <c r="I340" s="77" t="s">
        <v>106</v>
      </c>
      <c r="J340" s="91" t="s">
        <v>84</v>
      </c>
      <c r="K340" s="41" t="s">
        <v>84</v>
      </c>
      <c r="L340" s="91" t="s">
        <v>25</v>
      </c>
      <c r="M340" s="70">
        <v>45477.0</v>
      </c>
      <c r="N340" s="70" t="str">
        <f t="shared" si="177"/>
        <v>2024</v>
      </c>
      <c r="O340" s="70">
        <v>45519.0</v>
      </c>
      <c r="P340" s="93" t="str">
        <f t="shared" si="178"/>
        <v>2024</v>
      </c>
      <c r="Q340" s="73">
        <f t="shared" si="179"/>
        <v>42</v>
      </c>
      <c r="R340" s="93">
        <f t="shared" si="180"/>
        <v>0</v>
      </c>
      <c r="S340" s="41"/>
      <c r="T340" s="74"/>
      <c r="U340" s="75">
        <v>0.0</v>
      </c>
      <c r="V340" s="41"/>
      <c r="W340" s="41"/>
      <c r="X340" s="41"/>
      <c r="Y340" s="41" t="s">
        <v>86</v>
      </c>
      <c r="Z340" s="31" t="s">
        <v>175</v>
      </c>
      <c r="AA340" s="31" t="s">
        <v>175</v>
      </c>
      <c r="AB340" s="41" t="s">
        <v>336</v>
      </c>
      <c r="AC340" s="46" t="s">
        <v>161</v>
      </c>
      <c r="AD340" s="47"/>
      <c r="AE340" s="78" t="s">
        <v>220</v>
      </c>
    </row>
    <row r="341">
      <c r="A341" s="61" t="s">
        <v>64</v>
      </c>
      <c r="B341" s="50" t="s">
        <v>67</v>
      </c>
      <c r="C341" s="82" t="s">
        <v>3801</v>
      </c>
      <c r="D341" s="87">
        <v>600445.0</v>
      </c>
      <c r="E341" s="61" t="s">
        <v>2525</v>
      </c>
      <c r="F341" s="61" t="s">
        <v>2526</v>
      </c>
      <c r="G341" s="61" t="s">
        <v>2527</v>
      </c>
      <c r="H341" s="50" t="s">
        <v>103</v>
      </c>
      <c r="I341" s="97" t="s">
        <v>708</v>
      </c>
      <c r="J341" s="50" t="s">
        <v>233</v>
      </c>
      <c r="K341" s="50" t="s">
        <v>236</v>
      </c>
      <c r="L341" s="50" t="s">
        <v>181</v>
      </c>
      <c r="M341" s="84">
        <v>45478.0</v>
      </c>
      <c r="N341" s="84" t="str">
        <f t="shared" si="177"/>
        <v>2024</v>
      </c>
      <c r="O341" s="84">
        <v>46065.0</v>
      </c>
      <c r="P341" s="86" t="str">
        <f t="shared" si="178"/>
        <v>2026</v>
      </c>
      <c r="Q341" s="86">
        <f t="shared" si="179"/>
        <v>587</v>
      </c>
      <c r="R341" s="86">
        <f t="shared" si="180"/>
        <v>1</v>
      </c>
      <c r="S341" s="61" t="s">
        <v>2531</v>
      </c>
      <c r="T341" s="87"/>
      <c r="U341" s="96">
        <v>1.0</v>
      </c>
      <c r="V341" s="50" t="s">
        <v>3807</v>
      </c>
      <c r="W341" s="61" t="s">
        <v>2529</v>
      </c>
      <c r="X341" s="61" t="s">
        <v>2529</v>
      </c>
      <c r="Y341" s="61" t="s">
        <v>1660</v>
      </c>
      <c r="Z341" s="50" t="s">
        <v>210</v>
      </c>
      <c r="AA341" s="50" t="s">
        <v>123</v>
      </c>
      <c r="AB341" s="50" t="s">
        <v>124</v>
      </c>
      <c r="AC341" s="65" t="s">
        <v>337</v>
      </c>
      <c r="AD341" s="66"/>
      <c r="AE341" s="67"/>
    </row>
    <row r="342">
      <c r="A342" s="41" t="s">
        <v>64</v>
      </c>
      <c r="B342" s="41" t="s">
        <v>67</v>
      </c>
      <c r="C342" s="68" t="s">
        <v>3814</v>
      </c>
      <c r="D342" s="74">
        <v>600447.0</v>
      </c>
      <c r="E342" s="41" t="s">
        <v>2592</v>
      </c>
      <c r="F342" s="41" t="s">
        <v>2593</v>
      </c>
      <c r="G342" s="41" t="s">
        <v>2594</v>
      </c>
      <c r="H342" s="31" t="s">
        <v>103</v>
      </c>
      <c r="I342" s="77" t="s">
        <v>106</v>
      </c>
      <c r="J342" s="31" t="s">
        <v>233</v>
      </c>
      <c r="K342" s="104" t="s">
        <v>175</v>
      </c>
      <c r="L342" s="104" t="s">
        <v>175</v>
      </c>
      <c r="M342" s="70">
        <v>45482.0</v>
      </c>
      <c r="N342" s="70" t="str">
        <f t="shared" si="177"/>
        <v>2024</v>
      </c>
      <c r="O342" s="70">
        <v>45497.0</v>
      </c>
      <c r="P342" s="93" t="str">
        <f t="shared" si="178"/>
        <v>2024</v>
      </c>
      <c r="Q342" s="73">
        <f t="shared" si="179"/>
        <v>15</v>
      </c>
      <c r="R342" s="93">
        <f t="shared" si="180"/>
        <v>0</v>
      </c>
      <c r="S342" s="110"/>
      <c r="T342" s="74"/>
      <c r="U342" s="75">
        <v>0.0</v>
      </c>
      <c r="V342" s="41" t="s">
        <v>2600</v>
      </c>
      <c r="W342" s="154" t="s">
        <v>2596</v>
      </c>
      <c r="X342" s="235"/>
      <c r="Y342" s="31" t="s">
        <v>161</v>
      </c>
      <c r="Z342" s="31" t="s">
        <v>122</v>
      </c>
      <c r="AA342" s="31" t="s">
        <v>175</v>
      </c>
      <c r="AB342" s="41" t="s">
        <v>336</v>
      </c>
      <c r="AC342" s="46" t="s">
        <v>161</v>
      </c>
      <c r="AD342" s="47"/>
      <c r="AE342" s="78" t="s">
        <v>220</v>
      </c>
    </row>
    <row r="343">
      <c r="A343" s="50" t="s">
        <v>64</v>
      </c>
      <c r="B343" s="50" t="s">
        <v>19</v>
      </c>
      <c r="C343" s="52" t="s">
        <v>3820</v>
      </c>
      <c r="D343" s="54">
        <v>600451.0</v>
      </c>
      <c r="E343" s="50" t="s">
        <v>2546</v>
      </c>
      <c r="F343" s="50" t="s">
        <v>2547</v>
      </c>
      <c r="G343" s="50" t="s">
        <v>2548</v>
      </c>
      <c r="H343" s="50" t="s">
        <v>178</v>
      </c>
      <c r="I343" s="65" t="s">
        <v>708</v>
      </c>
      <c r="J343" s="50" t="s">
        <v>233</v>
      </c>
      <c r="K343" s="50" t="s">
        <v>236</v>
      </c>
      <c r="L343" s="50" t="s">
        <v>181</v>
      </c>
      <c r="M343" s="57">
        <v>45484.0</v>
      </c>
      <c r="N343" s="54">
        <v>2024.0</v>
      </c>
      <c r="O343" s="57">
        <v>46275.0</v>
      </c>
      <c r="P343" s="60">
        <v>2026.0</v>
      </c>
      <c r="Q343" s="60">
        <v>791.0</v>
      </c>
      <c r="R343" s="60">
        <v>3.0</v>
      </c>
      <c r="S343" s="50" t="s">
        <v>2557</v>
      </c>
      <c r="T343" s="54" t="s">
        <v>113</v>
      </c>
      <c r="U343" s="96">
        <v>1.0</v>
      </c>
      <c r="V343" s="61"/>
      <c r="W343" s="159" t="s">
        <v>2555</v>
      </c>
      <c r="X343" s="50" t="s">
        <v>2556</v>
      </c>
      <c r="Y343" s="50" t="s">
        <v>2549</v>
      </c>
      <c r="Z343" s="50" t="s">
        <v>210</v>
      </c>
      <c r="AA343" s="50" t="s">
        <v>14</v>
      </c>
      <c r="AB343" s="50" t="s">
        <v>124</v>
      </c>
      <c r="AC343" s="65" t="s">
        <v>337</v>
      </c>
      <c r="AD343" s="66"/>
      <c r="AE343" s="67"/>
    </row>
    <row r="344">
      <c r="A344" s="41" t="s">
        <v>64</v>
      </c>
      <c r="B344" s="41" t="s">
        <v>67</v>
      </c>
      <c r="C344" s="68" t="s">
        <v>3830</v>
      </c>
      <c r="D344" s="74">
        <v>600452.0</v>
      </c>
      <c r="E344" s="41" t="s">
        <v>2613</v>
      </c>
      <c r="F344" s="41" t="s">
        <v>2614</v>
      </c>
      <c r="G344" s="41" t="s">
        <v>2615</v>
      </c>
      <c r="H344" s="31" t="s">
        <v>103</v>
      </c>
      <c r="I344" s="77" t="s">
        <v>104</v>
      </c>
      <c r="J344" s="31" t="s">
        <v>233</v>
      </c>
      <c r="K344" s="31" t="s">
        <v>236</v>
      </c>
      <c r="L344" s="31" t="s">
        <v>181</v>
      </c>
      <c r="M344" s="70">
        <v>45488.0</v>
      </c>
      <c r="N344" s="70" t="str">
        <f t="shared" ref="N344:N345" si="181">right(M344,4)</f>
        <v>2024</v>
      </c>
      <c r="O344" s="70">
        <v>45565.0</v>
      </c>
      <c r="P344" s="93" t="str">
        <f t="shared" ref="P344:P345" si="182">right(O344,4)</f>
        <v>2024</v>
      </c>
      <c r="Q344" s="73">
        <f t="shared" ref="Q344:Q345" si="183">DATEDIF(M344,O344,"d")</f>
        <v>77</v>
      </c>
      <c r="R344" s="93">
        <f t="shared" ref="R344:R345" si="184">DATEDIF(M344,O344,"y")</f>
        <v>0</v>
      </c>
      <c r="S344" s="41"/>
      <c r="T344" s="74"/>
      <c r="U344" s="75">
        <v>0.0</v>
      </c>
      <c r="V344" s="41"/>
      <c r="W344" s="154" t="s">
        <v>2620</v>
      </c>
      <c r="X344" s="41"/>
      <c r="Y344" s="41" t="s">
        <v>209</v>
      </c>
      <c r="Z344" s="31" t="s">
        <v>122</v>
      </c>
      <c r="AA344" s="31" t="s">
        <v>261</v>
      </c>
      <c r="AB344" s="31" t="s">
        <v>124</v>
      </c>
      <c r="AC344" s="46" t="s">
        <v>161</v>
      </c>
      <c r="AD344" s="46" t="s">
        <v>251</v>
      </c>
      <c r="AE344" s="78" t="s">
        <v>220</v>
      </c>
    </row>
    <row r="345">
      <c r="A345" s="61" t="s">
        <v>169</v>
      </c>
      <c r="B345" s="61" t="s">
        <v>67</v>
      </c>
      <c r="C345" s="82" t="s">
        <v>3842</v>
      </c>
      <c r="D345" s="94">
        <v>600453.0</v>
      </c>
      <c r="E345" s="61" t="s">
        <v>3843</v>
      </c>
      <c r="F345" s="61" t="s">
        <v>3844</v>
      </c>
      <c r="G345" s="61" t="s">
        <v>3845</v>
      </c>
      <c r="H345" s="61" t="s">
        <v>464</v>
      </c>
      <c r="I345" s="50" t="s">
        <v>289</v>
      </c>
      <c r="J345" s="50" t="s">
        <v>146</v>
      </c>
      <c r="K345" s="50" t="s">
        <v>147</v>
      </c>
      <c r="L345" s="138" t="s">
        <v>48</v>
      </c>
      <c r="M345" s="84">
        <v>45489.0</v>
      </c>
      <c r="N345" s="84" t="str">
        <f t="shared" si="181"/>
        <v>2024</v>
      </c>
      <c r="O345" s="84">
        <v>45854.0</v>
      </c>
      <c r="P345" s="95" t="str">
        <f t="shared" si="182"/>
        <v>2025</v>
      </c>
      <c r="Q345" s="86">
        <f t="shared" si="183"/>
        <v>365</v>
      </c>
      <c r="R345" s="85">
        <f t="shared" si="184"/>
        <v>1</v>
      </c>
      <c r="S345" s="61"/>
      <c r="T345" s="87"/>
      <c r="U345" s="96">
        <v>0.0</v>
      </c>
      <c r="V345" s="61"/>
      <c r="W345" s="61" t="s">
        <v>3851</v>
      </c>
      <c r="X345" s="61" t="s">
        <v>3851</v>
      </c>
      <c r="Y345" s="61" t="s">
        <v>2413</v>
      </c>
      <c r="Z345" s="80" t="s">
        <v>247</v>
      </c>
      <c r="AA345" s="50" t="s">
        <v>261</v>
      </c>
      <c r="AB345" s="50" t="s">
        <v>1499</v>
      </c>
      <c r="AC345" s="65" t="s">
        <v>337</v>
      </c>
      <c r="AD345" s="97"/>
      <c r="AE345" s="120"/>
    </row>
    <row r="346">
      <c r="A346" s="31" t="s">
        <v>407</v>
      </c>
      <c r="B346" s="31" t="s">
        <v>19</v>
      </c>
      <c r="C346" s="32" t="s">
        <v>3854</v>
      </c>
      <c r="D346" s="113">
        <v>600455.0</v>
      </c>
      <c r="E346" s="31" t="s">
        <v>916</v>
      </c>
      <c r="F346" s="31" t="s">
        <v>3857</v>
      </c>
      <c r="G346" s="31" t="s">
        <v>3858</v>
      </c>
      <c r="H346" s="31" t="s">
        <v>178</v>
      </c>
      <c r="I346" s="104" t="s">
        <v>708</v>
      </c>
      <c r="J346" s="31" t="s">
        <v>233</v>
      </c>
      <c r="K346" s="31" t="s">
        <v>236</v>
      </c>
      <c r="L346" s="92" t="s">
        <v>181</v>
      </c>
      <c r="M346" s="37">
        <v>45491.0</v>
      </c>
      <c r="N346" s="33">
        <v>2024.0</v>
      </c>
      <c r="O346" s="37">
        <v>46584.0</v>
      </c>
      <c r="P346" s="40">
        <v>2027.0</v>
      </c>
      <c r="Q346" s="40">
        <v>1093.0</v>
      </c>
      <c r="R346" s="40">
        <v>3.0</v>
      </c>
      <c r="S346" s="41"/>
      <c r="T346" s="33" t="s">
        <v>113</v>
      </c>
      <c r="U346" s="75">
        <v>2.0</v>
      </c>
      <c r="V346" s="41"/>
      <c r="W346" s="31" t="s">
        <v>3861</v>
      </c>
      <c r="X346" s="31" t="s">
        <v>3863</v>
      </c>
      <c r="Y346" s="31" t="s">
        <v>209</v>
      </c>
      <c r="Z346" s="31" t="s">
        <v>210</v>
      </c>
      <c r="AA346" s="31" t="s">
        <v>123</v>
      </c>
      <c r="AB346" s="104" t="s">
        <v>442</v>
      </c>
      <c r="AC346" s="46" t="s">
        <v>337</v>
      </c>
      <c r="AD346" s="77"/>
      <c r="AE346" s="99"/>
    </row>
    <row r="347">
      <c r="A347" s="61" t="s">
        <v>64</v>
      </c>
      <c r="B347" s="61" t="s">
        <v>19</v>
      </c>
      <c r="C347" s="82" t="s">
        <v>3866</v>
      </c>
      <c r="D347" s="87">
        <v>600456.0</v>
      </c>
      <c r="E347" s="61" t="s">
        <v>2576</v>
      </c>
      <c r="F347" s="61" t="s">
        <v>2577</v>
      </c>
      <c r="G347" s="61" t="s">
        <v>2578</v>
      </c>
      <c r="H347" s="50" t="s">
        <v>103</v>
      </c>
      <c r="I347" s="236" t="s">
        <v>104</v>
      </c>
      <c r="J347" s="50" t="s">
        <v>146</v>
      </c>
      <c r="K347" s="236" t="s">
        <v>3872</v>
      </c>
      <c r="L347" s="112" t="s">
        <v>484</v>
      </c>
      <c r="M347" s="84">
        <v>45495.0</v>
      </c>
      <c r="N347" s="84" t="str">
        <f>right(M347,4)</f>
        <v>2024</v>
      </c>
      <c r="O347" s="57">
        <v>46387.0</v>
      </c>
      <c r="P347" s="85" t="str">
        <f>right(O347,4)</f>
        <v>2026</v>
      </c>
      <c r="Q347" s="86">
        <f>DATEDIF(M347,O347,"d")</f>
        <v>892</v>
      </c>
      <c r="R347" s="85">
        <f>DATEDIF(M347,O347,"y")</f>
        <v>2</v>
      </c>
      <c r="S347" s="61" t="s">
        <v>2583</v>
      </c>
      <c r="T347" s="87"/>
      <c r="U347" s="96">
        <v>0.0</v>
      </c>
      <c r="V347" s="61" t="s">
        <v>2584</v>
      </c>
      <c r="W347" s="119" t="s">
        <v>3872</v>
      </c>
      <c r="X347" s="119" t="s">
        <v>3872</v>
      </c>
      <c r="Y347" s="61" t="s">
        <v>1525</v>
      </c>
      <c r="Z347" s="50" t="s">
        <v>211</v>
      </c>
      <c r="AA347" s="50" t="s">
        <v>211</v>
      </c>
      <c r="AB347" s="61" t="s">
        <v>2585</v>
      </c>
      <c r="AC347" s="65" t="s">
        <v>161</v>
      </c>
      <c r="AD347" s="65" t="s">
        <v>3272</v>
      </c>
      <c r="AE347" s="67"/>
    </row>
    <row r="348">
      <c r="A348" s="31" t="s">
        <v>64</v>
      </c>
      <c r="B348" s="31" t="s">
        <v>19</v>
      </c>
      <c r="C348" s="32" t="s">
        <v>3881</v>
      </c>
      <c r="D348" s="33">
        <v>600119.0</v>
      </c>
      <c r="E348" s="31" t="s">
        <v>854</v>
      </c>
      <c r="F348" s="31" t="s">
        <v>1132</v>
      </c>
      <c r="G348" s="31" t="s">
        <v>1133</v>
      </c>
      <c r="H348" s="31" t="s">
        <v>103</v>
      </c>
      <c r="I348" s="35" t="s">
        <v>708</v>
      </c>
      <c r="J348" s="35" t="s">
        <v>84</v>
      </c>
      <c r="K348" s="31" t="s">
        <v>84</v>
      </c>
      <c r="L348" s="31" t="s">
        <v>105</v>
      </c>
      <c r="M348" s="37">
        <v>45499.0</v>
      </c>
      <c r="N348" s="33">
        <v>2024.0</v>
      </c>
      <c r="O348" s="37">
        <v>46599.0</v>
      </c>
      <c r="P348" s="40">
        <v>2027.0</v>
      </c>
      <c r="Q348" s="40">
        <v>1100.0</v>
      </c>
      <c r="R348" s="40">
        <v>4.0</v>
      </c>
      <c r="S348" s="41"/>
      <c r="T348" s="33" t="s">
        <v>113</v>
      </c>
      <c r="U348" s="43">
        <v>4.0</v>
      </c>
      <c r="V348" s="31" t="s">
        <v>3887</v>
      </c>
      <c r="W348" s="31" t="s">
        <v>1135</v>
      </c>
      <c r="X348" s="31" t="s">
        <v>1135</v>
      </c>
      <c r="Y348" s="31" t="s">
        <v>161</v>
      </c>
      <c r="Z348" s="31" t="s">
        <v>210</v>
      </c>
      <c r="AA348" s="31" t="s">
        <v>123</v>
      </c>
      <c r="AB348" s="31" t="s">
        <v>124</v>
      </c>
      <c r="AC348" s="46" t="s">
        <v>337</v>
      </c>
      <c r="AD348" s="47"/>
      <c r="AE348" s="49"/>
    </row>
    <row r="349">
      <c r="A349" s="61" t="s">
        <v>64</v>
      </c>
      <c r="B349" s="61" t="s">
        <v>67</v>
      </c>
      <c r="C349" s="82" t="s">
        <v>3892</v>
      </c>
      <c r="D349" s="87">
        <v>600458.0</v>
      </c>
      <c r="E349" s="61" t="s">
        <v>1626</v>
      </c>
      <c r="F349" s="61" t="s">
        <v>1627</v>
      </c>
      <c r="G349" s="61" t="s">
        <v>1629</v>
      </c>
      <c r="H349" s="50" t="s">
        <v>103</v>
      </c>
      <c r="I349" s="97" t="s">
        <v>106</v>
      </c>
      <c r="J349" s="50" t="s">
        <v>233</v>
      </c>
      <c r="K349" s="50" t="s">
        <v>236</v>
      </c>
      <c r="L349" s="138" t="s">
        <v>25</v>
      </c>
      <c r="M349" s="84">
        <v>45499.0</v>
      </c>
      <c r="N349" s="84" t="str">
        <f>right(M349,4)</f>
        <v>2024</v>
      </c>
      <c r="O349" s="84">
        <v>45869.0</v>
      </c>
      <c r="P349" s="85" t="str">
        <f>right(O349,4)</f>
        <v>2025</v>
      </c>
      <c r="Q349" s="86">
        <f>DATEDIF(M349,O349,"d")</f>
        <v>370</v>
      </c>
      <c r="R349" s="85">
        <f>DATEDIF(M349,O349,"y")</f>
        <v>1</v>
      </c>
      <c r="S349" s="61" t="s">
        <v>1636</v>
      </c>
      <c r="T349" s="87"/>
      <c r="U349" s="96">
        <v>0.0</v>
      </c>
      <c r="V349" s="61" t="s">
        <v>1639</v>
      </c>
      <c r="W349" s="61" t="s">
        <v>1633</v>
      </c>
      <c r="X349" s="61" t="s">
        <v>1633</v>
      </c>
      <c r="Y349" s="61" t="s">
        <v>1632</v>
      </c>
      <c r="Z349" s="61" t="s">
        <v>441</v>
      </c>
      <c r="AA349" s="50" t="s">
        <v>175</v>
      </c>
      <c r="AB349" s="50" t="s">
        <v>124</v>
      </c>
      <c r="AC349" s="65" t="s">
        <v>161</v>
      </c>
      <c r="AD349" s="66"/>
      <c r="AE349" s="108" t="s">
        <v>220</v>
      </c>
    </row>
    <row r="350">
      <c r="A350" s="31" t="s">
        <v>64</v>
      </c>
      <c r="B350" s="31" t="s">
        <v>19</v>
      </c>
      <c r="C350" s="32" t="s">
        <v>3902</v>
      </c>
      <c r="D350" s="33">
        <v>600460.0</v>
      </c>
      <c r="E350" s="31" t="s">
        <v>2605</v>
      </c>
      <c r="F350" s="31" t="s">
        <v>2606</v>
      </c>
      <c r="G350" s="31" t="s">
        <v>2607</v>
      </c>
      <c r="H350" s="31" t="s">
        <v>232</v>
      </c>
      <c r="I350" s="46" t="s">
        <v>104</v>
      </c>
      <c r="J350" s="31" t="s">
        <v>84</v>
      </c>
      <c r="K350" s="31" t="s">
        <v>84</v>
      </c>
      <c r="L350" s="31" t="s">
        <v>181</v>
      </c>
      <c r="M350" s="37">
        <v>45499.0</v>
      </c>
      <c r="N350" s="33">
        <v>2024.0</v>
      </c>
      <c r="O350" s="37">
        <v>46447.0</v>
      </c>
      <c r="P350" s="40">
        <v>2027.0</v>
      </c>
      <c r="Q350" s="40">
        <v>948.0</v>
      </c>
      <c r="R350" s="40">
        <v>3.0</v>
      </c>
      <c r="S350" s="31" t="s">
        <v>2612</v>
      </c>
      <c r="T350" s="33" t="s">
        <v>113</v>
      </c>
      <c r="U350" s="75">
        <v>1.0</v>
      </c>
      <c r="V350" s="41"/>
      <c r="W350" s="150" t="s">
        <v>2609</v>
      </c>
      <c r="X350" s="31" t="s">
        <v>2611</v>
      </c>
      <c r="Y350" s="31" t="s">
        <v>2429</v>
      </c>
      <c r="Z350" s="31" t="s">
        <v>210</v>
      </c>
      <c r="AA350" s="31" t="s">
        <v>123</v>
      </c>
      <c r="AB350" s="31" t="s">
        <v>124</v>
      </c>
      <c r="AC350" s="46" t="s">
        <v>276</v>
      </c>
      <c r="AD350" s="47"/>
      <c r="AE350" s="49"/>
    </row>
    <row r="351">
      <c r="A351" s="61" t="s">
        <v>64</v>
      </c>
      <c r="B351" s="61" t="s">
        <v>67</v>
      </c>
      <c r="C351" s="82" t="s">
        <v>3907</v>
      </c>
      <c r="D351" s="87">
        <v>600459.0</v>
      </c>
      <c r="E351" s="61" t="s">
        <v>2632</v>
      </c>
      <c r="F351" s="61" t="s">
        <v>2633</v>
      </c>
      <c r="G351" s="61" t="s">
        <v>2634</v>
      </c>
      <c r="H351" s="61" t="s">
        <v>464</v>
      </c>
      <c r="I351" s="97" t="s">
        <v>708</v>
      </c>
      <c r="J351" s="50" t="s">
        <v>233</v>
      </c>
      <c r="K351" s="50" t="s">
        <v>236</v>
      </c>
      <c r="L351" s="50" t="s">
        <v>181</v>
      </c>
      <c r="M351" s="84">
        <v>45499.0</v>
      </c>
      <c r="N351" s="84" t="str">
        <f>right(M351,4)</f>
        <v>2024</v>
      </c>
      <c r="O351" s="84">
        <v>45688.0</v>
      </c>
      <c r="P351" s="85" t="str">
        <f>right(O351,4)</f>
        <v>2025</v>
      </c>
      <c r="Q351" s="86">
        <f>DATEDIF(M351,O351,"d")</f>
        <v>189</v>
      </c>
      <c r="R351" s="85">
        <f>DATEDIF(M351,O351,"y")</f>
        <v>0</v>
      </c>
      <c r="S351" s="61" t="s">
        <v>2637</v>
      </c>
      <c r="T351" s="87"/>
      <c r="U351" s="96">
        <v>0.0</v>
      </c>
      <c r="V351" s="61"/>
      <c r="W351" s="174" t="s">
        <v>2636</v>
      </c>
      <c r="X351" s="174" t="s">
        <v>2636</v>
      </c>
      <c r="Y351" s="61" t="s">
        <v>209</v>
      </c>
      <c r="Z351" s="50" t="s">
        <v>122</v>
      </c>
      <c r="AA351" s="50" t="s">
        <v>261</v>
      </c>
      <c r="AB351" s="50" t="s">
        <v>124</v>
      </c>
      <c r="AC351" s="65" t="s">
        <v>161</v>
      </c>
      <c r="AD351" s="66"/>
      <c r="AE351" s="67"/>
    </row>
    <row r="352">
      <c r="A352" s="31" t="s">
        <v>64</v>
      </c>
      <c r="B352" s="31" t="s">
        <v>67</v>
      </c>
      <c r="C352" s="32" t="s">
        <v>3915</v>
      </c>
      <c r="D352" s="33">
        <v>600479.0</v>
      </c>
      <c r="E352" s="31" t="s">
        <v>933</v>
      </c>
      <c r="F352" s="31" t="s">
        <v>2622</v>
      </c>
      <c r="G352" s="31" t="s">
        <v>2623</v>
      </c>
      <c r="H352" s="31" t="s">
        <v>103</v>
      </c>
      <c r="I352" s="46" t="s">
        <v>708</v>
      </c>
      <c r="J352" s="31" t="s">
        <v>146</v>
      </c>
      <c r="K352" s="31" t="s">
        <v>84</v>
      </c>
      <c r="L352" s="31" t="s">
        <v>484</v>
      </c>
      <c r="M352" s="37">
        <v>45504.0</v>
      </c>
      <c r="N352" s="33">
        <v>2024.0</v>
      </c>
      <c r="O352" s="37">
        <v>46234.0</v>
      </c>
      <c r="P352" s="40">
        <v>2026.0</v>
      </c>
      <c r="Q352" s="40">
        <v>730.0</v>
      </c>
      <c r="R352" s="40">
        <v>2.0</v>
      </c>
      <c r="S352" s="31" t="s">
        <v>3916</v>
      </c>
      <c r="T352" s="33" t="s">
        <v>113</v>
      </c>
      <c r="U352" s="75">
        <v>1.0</v>
      </c>
      <c r="V352" s="31" t="s">
        <v>3917</v>
      </c>
      <c r="W352" s="31" t="s">
        <v>2629</v>
      </c>
      <c r="X352" s="31" t="s">
        <v>3918</v>
      </c>
      <c r="Y352" s="31" t="s">
        <v>121</v>
      </c>
      <c r="Z352" s="31" t="s">
        <v>210</v>
      </c>
      <c r="AA352" s="31" t="s">
        <v>123</v>
      </c>
      <c r="AB352" s="31" t="s">
        <v>741</v>
      </c>
      <c r="AC352" s="46" t="s">
        <v>164</v>
      </c>
      <c r="AD352" s="47"/>
      <c r="AE352" s="49"/>
    </row>
    <row r="353">
      <c r="A353" s="61" t="s">
        <v>169</v>
      </c>
      <c r="B353" s="61" t="s">
        <v>67</v>
      </c>
      <c r="C353" s="82" t="s">
        <v>3919</v>
      </c>
      <c r="D353" s="94">
        <v>600464.0</v>
      </c>
      <c r="E353" s="61" t="s">
        <v>3920</v>
      </c>
      <c r="F353" s="61" t="s">
        <v>3921</v>
      </c>
      <c r="G353" s="61" t="s">
        <v>3922</v>
      </c>
      <c r="H353" s="61" t="s">
        <v>464</v>
      </c>
      <c r="I353" s="50" t="s">
        <v>289</v>
      </c>
      <c r="J353" s="50" t="s">
        <v>146</v>
      </c>
      <c r="K353" s="50" t="s">
        <v>289</v>
      </c>
      <c r="L353" s="50" t="s">
        <v>181</v>
      </c>
      <c r="M353" s="84">
        <v>45504.0</v>
      </c>
      <c r="N353" s="84" t="str">
        <f t="shared" ref="N353:N361" si="185">right(M353,4)</f>
        <v>2024</v>
      </c>
      <c r="O353" s="84">
        <v>45657.0</v>
      </c>
      <c r="P353" s="95" t="str">
        <f t="shared" ref="P353:P361" si="186">right(O353,4)</f>
        <v>2024</v>
      </c>
      <c r="Q353" s="86">
        <f t="shared" ref="Q353:Q361" si="187">DATEDIF(M353,O353,"d")</f>
        <v>153</v>
      </c>
      <c r="R353" s="85">
        <f t="shared" ref="R353:R361" si="188">DATEDIF(M353,O353,"y")</f>
        <v>0</v>
      </c>
      <c r="S353" s="61"/>
      <c r="T353" s="87"/>
      <c r="U353" s="96">
        <v>0.0</v>
      </c>
      <c r="V353" s="61"/>
      <c r="W353" s="61" t="s">
        <v>3924</v>
      </c>
      <c r="X353" s="61"/>
      <c r="Y353" s="61" t="s">
        <v>2418</v>
      </c>
      <c r="Z353" s="80" t="s">
        <v>247</v>
      </c>
      <c r="AA353" s="50" t="s">
        <v>289</v>
      </c>
      <c r="AB353" s="50" t="s">
        <v>213</v>
      </c>
      <c r="AC353" s="65" t="s">
        <v>161</v>
      </c>
      <c r="AD353" s="97"/>
      <c r="AE353" s="120"/>
    </row>
    <row r="354">
      <c r="A354" s="41" t="s">
        <v>64</v>
      </c>
      <c r="B354" s="41" t="s">
        <v>67</v>
      </c>
      <c r="C354" s="68" t="s">
        <v>3927</v>
      </c>
      <c r="D354" s="89"/>
      <c r="E354" s="41" t="s">
        <v>2407</v>
      </c>
      <c r="F354" s="41" t="s">
        <v>2408</v>
      </c>
      <c r="G354" s="154" t="s">
        <v>2409</v>
      </c>
      <c r="H354" s="31" t="s">
        <v>84</v>
      </c>
      <c r="I354" s="151" t="s">
        <v>106</v>
      </c>
      <c r="J354" s="245" t="s">
        <v>84</v>
      </c>
      <c r="K354" s="41" t="s">
        <v>84</v>
      </c>
      <c r="L354" s="91" t="s">
        <v>25</v>
      </c>
      <c r="M354" s="70">
        <v>45505.0</v>
      </c>
      <c r="N354" s="70" t="str">
        <f t="shared" si="185"/>
        <v>2024</v>
      </c>
      <c r="O354" s="70">
        <v>45870.0</v>
      </c>
      <c r="P354" s="93" t="str">
        <f t="shared" si="186"/>
        <v>2025</v>
      </c>
      <c r="Q354" s="73">
        <f t="shared" si="187"/>
        <v>365</v>
      </c>
      <c r="R354" s="93">
        <f t="shared" si="188"/>
        <v>1</v>
      </c>
      <c r="S354" s="41"/>
      <c r="T354" s="74"/>
      <c r="U354" s="75">
        <v>0.0</v>
      </c>
      <c r="V354" s="41"/>
      <c r="W354" s="41" t="s">
        <v>2412</v>
      </c>
      <c r="X354" s="41" t="s">
        <v>2412</v>
      </c>
      <c r="Y354" s="31" t="s">
        <v>121</v>
      </c>
      <c r="Z354" s="31" t="s">
        <v>311</v>
      </c>
      <c r="AA354" s="31" t="s">
        <v>175</v>
      </c>
      <c r="AB354" s="41" t="s">
        <v>354</v>
      </c>
      <c r="AC354" s="46" t="s">
        <v>161</v>
      </c>
      <c r="AD354" s="47"/>
      <c r="AE354" s="78" t="s">
        <v>220</v>
      </c>
    </row>
    <row r="355">
      <c r="A355" s="61" t="s">
        <v>64</v>
      </c>
      <c r="B355" s="61" t="s">
        <v>67</v>
      </c>
      <c r="C355" s="82" t="s">
        <v>3937</v>
      </c>
      <c r="D355" s="83"/>
      <c r="E355" s="61" t="s">
        <v>1680</v>
      </c>
      <c r="F355" s="61" t="s">
        <v>1681</v>
      </c>
      <c r="G355" s="174" t="s">
        <v>1553</v>
      </c>
      <c r="H355" s="61" t="s">
        <v>84</v>
      </c>
      <c r="I355" s="50" t="s">
        <v>289</v>
      </c>
      <c r="J355" s="138" t="s">
        <v>84</v>
      </c>
      <c r="K355" s="61" t="s">
        <v>84</v>
      </c>
      <c r="L355" s="50" t="s">
        <v>181</v>
      </c>
      <c r="M355" s="84">
        <v>45505.0</v>
      </c>
      <c r="N355" s="84" t="str">
        <f t="shared" si="185"/>
        <v>2024</v>
      </c>
      <c r="O355" s="84">
        <v>45870.0</v>
      </c>
      <c r="P355" s="85" t="str">
        <f t="shared" si="186"/>
        <v>2025</v>
      </c>
      <c r="Q355" s="86">
        <f t="shared" si="187"/>
        <v>365</v>
      </c>
      <c r="R355" s="85">
        <f t="shared" si="188"/>
        <v>1</v>
      </c>
      <c r="S355" s="61"/>
      <c r="T355" s="87"/>
      <c r="U355" s="62">
        <v>0.0</v>
      </c>
      <c r="V355" s="61"/>
      <c r="W355" s="174" t="s">
        <v>1701</v>
      </c>
      <c r="X355" s="174" t="s">
        <v>1701</v>
      </c>
      <c r="Y355" s="50" t="s">
        <v>121</v>
      </c>
      <c r="Z355" s="50" t="s">
        <v>311</v>
      </c>
      <c r="AA355" s="50" t="s">
        <v>289</v>
      </c>
      <c r="AB355" s="50" t="s">
        <v>124</v>
      </c>
      <c r="AC355" s="65" t="s">
        <v>161</v>
      </c>
      <c r="AD355" s="66"/>
      <c r="AE355" s="81"/>
    </row>
    <row r="356">
      <c r="A356" s="41" t="s">
        <v>64</v>
      </c>
      <c r="B356" s="41" t="s">
        <v>67</v>
      </c>
      <c r="C356" s="68" t="s">
        <v>3947</v>
      </c>
      <c r="D356" s="74">
        <v>600115.0</v>
      </c>
      <c r="E356" s="41" t="s">
        <v>1643</v>
      </c>
      <c r="F356" s="41" t="s">
        <v>1655</v>
      </c>
      <c r="G356" s="41" t="s">
        <v>1657</v>
      </c>
      <c r="H356" s="31" t="s">
        <v>103</v>
      </c>
      <c r="I356" s="31" t="s">
        <v>289</v>
      </c>
      <c r="J356" s="31" t="s">
        <v>289</v>
      </c>
      <c r="K356" s="31" t="s">
        <v>236</v>
      </c>
      <c r="L356" s="31" t="s">
        <v>289</v>
      </c>
      <c r="M356" s="70">
        <v>45506.0</v>
      </c>
      <c r="N356" s="70" t="str">
        <f t="shared" si="185"/>
        <v>2024</v>
      </c>
      <c r="O356" s="70">
        <v>45870.0</v>
      </c>
      <c r="P356" s="73" t="str">
        <f t="shared" si="186"/>
        <v>2025</v>
      </c>
      <c r="Q356" s="73">
        <f t="shared" si="187"/>
        <v>364</v>
      </c>
      <c r="R356" s="73">
        <f t="shared" si="188"/>
        <v>0</v>
      </c>
      <c r="S356" s="41"/>
      <c r="T356" s="74"/>
      <c r="U356" s="43">
        <v>1.0</v>
      </c>
      <c r="V356" s="41" t="s">
        <v>1667</v>
      </c>
      <c r="W356" s="41" t="s">
        <v>1671</v>
      </c>
      <c r="X356" s="41" t="s">
        <v>1672</v>
      </c>
      <c r="Y356" s="41" t="s">
        <v>1660</v>
      </c>
      <c r="Z356" s="31" t="s">
        <v>210</v>
      </c>
      <c r="AA356" s="31" t="s">
        <v>261</v>
      </c>
      <c r="AB356" s="31" t="s">
        <v>124</v>
      </c>
      <c r="AC356" s="46" t="s">
        <v>337</v>
      </c>
      <c r="AD356" s="47"/>
      <c r="AE356" s="111"/>
    </row>
    <row r="357">
      <c r="A357" s="61" t="s">
        <v>169</v>
      </c>
      <c r="B357" s="61" t="s">
        <v>67</v>
      </c>
      <c r="C357" s="82" t="s">
        <v>3957</v>
      </c>
      <c r="D357" s="94">
        <v>600466.0</v>
      </c>
      <c r="E357" s="61" t="s">
        <v>3958</v>
      </c>
      <c r="F357" s="61" t="s">
        <v>3959</v>
      </c>
      <c r="G357" s="61" t="s">
        <v>3961</v>
      </c>
      <c r="H357" s="50" t="s">
        <v>103</v>
      </c>
      <c r="I357" s="97" t="s">
        <v>106</v>
      </c>
      <c r="J357" s="50" t="s">
        <v>146</v>
      </c>
      <c r="K357" s="106" t="s">
        <v>175</v>
      </c>
      <c r="L357" s="138" t="s">
        <v>48</v>
      </c>
      <c r="M357" s="84">
        <v>45509.0</v>
      </c>
      <c r="N357" s="84" t="str">
        <f t="shared" si="185"/>
        <v>2024</v>
      </c>
      <c r="O357" s="84">
        <v>45523.0</v>
      </c>
      <c r="P357" s="95" t="str">
        <f t="shared" si="186"/>
        <v>2024</v>
      </c>
      <c r="Q357" s="86">
        <f t="shared" si="187"/>
        <v>14</v>
      </c>
      <c r="R357" s="85">
        <f t="shared" si="188"/>
        <v>0</v>
      </c>
      <c r="S357" s="61"/>
      <c r="T357" s="87"/>
      <c r="U357" s="96">
        <v>0.0</v>
      </c>
      <c r="V357" s="61"/>
      <c r="W357" s="174" t="s">
        <v>3967</v>
      </c>
      <c r="X357" s="61"/>
      <c r="Y357" s="50" t="s">
        <v>161</v>
      </c>
      <c r="Z357" s="80" t="s">
        <v>247</v>
      </c>
      <c r="AA357" s="50" t="s">
        <v>175</v>
      </c>
      <c r="AB357" s="50" t="s">
        <v>213</v>
      </c>
      <c r="AC357" s="65" t="s">
        <v>161</v>
      </c>
      <c r="AD357" s="97"/>
      <c r="AE357" s="108" t="s">
        <v>220</v>
      </c>
    </row>
    <row r="358">
      <c r="A358" s="41" t="s">
        <v>64</v>
      </c>
      <c r="B358" s="41" t="s">
        <v>67</v>
      </c>
      <c r="C358" s="68" t="s">
        <v>3971</v>
      </c>
      <c r="D358" s="74">
        <v>600467.0</v>
      </c>
      <c r="E358" s="41" t="s">
        <v>2645</v>
      </c>
      <c r="F358" s="41" t="s">
        <v>2646</v>
      </c>
      <c r="G358" s="41" t="s">
        <v>2647</v>
      </c>
      <c r="H358" s="31" t="s">
        <v>103</v>
      </c>
      <c r="I358" s="77" t="s">
        <v>106</v>
      </c>
      <c r="J358" s="31" t="s">
        <v>146</v>
      </c>
      <c r="K358" s="104" t="s">
        <v>175</v>
      </c>
      <c r="L358" s="31" t="s">
        <v>181</v>
      </c>
      <c r="M358" s="70">
        <v>45510.0</v>
      </c>
      <c r="N358" s="70" t="str">
        <f t="shared" si="185"/>
        <v>2024</v>
      </c>
      <c r="O358" s="70">
        <v>45524.0</v>
      </c>
      <c r="P358" s="93" t="str">
        <f t="shared" si="186"/>
        <v>2024</v>
      </c>
      <c r="Q358" s="73">
        <f t="shared" si="187"/>
        <v>14</v>
      </c>
      <c r="R358" s="93">
        <f t="shared" si="188"/>
        <v>0</v>
      </c>
      <c r="S358" s="41" t="s">
        <v>2650</v>
      </c>
      <c r="T358" s="74"/>
      <c r="U358" s="75">
        <v>0.0</v>
      </c>
      <c r="V358" s="41" t="s">
        <v>2651</v>
      </c>
      <c r="W358" s="41" t="s">
        <v>2649</v>
      </c>
      <c r="X358" s="41"/>
      <c r="Y358" s="41" t="s">
        <v>243</v>
      </c>
      <c r="Z358" s="41" t="s">
        <v>2330</v>
      </c>
      <c r="AA358" s="31" t="s">
        <v>175</v>
      </c>
      <c r="AB358" s="41" t="s">
        <v>336</v>
      </c>
      <c r="AC358" s="46" t="s">
        <v>161</v>
      </c>
      <c r="AD358" s="47"/>
      <c r="AE358" s="78" t="s">
        <v>220</v>
      </c>
    </row>
    <row r="359">
      <c r="A359" s="61" t="s">
        <v>64</v>
      </c>
      <c r="B359" s="61" t="s">
        <v>67</v>
      </c>
      <c r="C359" s="82" t="s">
        <v>3979</v>
      </c>
      <c r="D359" s="87">
        <v>600390.0</v>
      </c>
      <c r="E359" s="61" t="s">
        <v>2652</v>
      </c>
      <c r="F359" s="61" t="s">
        <v>2653</v>
      </c>
      <c r="G359" s="61" t="s">
        <v>2654</v>
      </c>
      <c r="H359" s="61" t="s">
        <v>464</v>
      </c>
      <c r="I359" s="50" t="s">
        <v>106</v>
      </c>
      <c r="J359" s="50" t="s">
        <v>233</v>
      </c>
      <c r="K359" s="50" t="s">
        <v>236</v>
      </c>
      <c r="L359" s="138" t="s">
        <v>25</v>
      </c>
      <c r="M359" s="84">
        <v>45511.0</v>
      </c>
      <c r="N359" s="84" t="str">
        <f t="shared" si="185"/>
        <v>2024</v>
      </c>
      <c r="O359" s="84">
        <v>45534.0</v>
      </c>
      <c r="P359" s="85" t="str">
        <f t="shared" si="186"/>
        <v>2024</v>
      </c>
      <c r="Q359" s="86">
        <f t="shared" si="187"/>
        <v>23</v>
      </c>
      <c r="R359" s="85">
        <f t="shared" si="188"/>
        <v>0</v>
      </c>
      <c r="S359" s="61"/>
      <c r="T359" s="87"/>
      <c r="U359" s="96">
        <v>0.0</v>
      </c>
      <c r="V359" s="61"/>
      <c r="W359" s="61"/>
      <c r="X359" s="61"/>
      <c r="Y359" s="61" t="s">
        <v>2418</v>
      </c>
      <c r="Z359" s="61" t="s">
        <v>162</v>
      </c>
      <c r="AA359" s="50" t="s">
        <v>289</v>
      </c>
      <c r="AB359" s="50" t="s">
        <v>124</v>
      </c>
      <c r="AC359" s="65" t="s">
        <v>128</v>
      </c>
      <c r="AD359" s="65" t="s">
        <v>251</v>
      </c>
      <c r="AE359" s="108" t="s">
        <v>220</v>
      </c>
    </row>
    <row r="360">
      <c r="A360" s="41" t="s">
        <v>64</v>
      </c>
      <c r="B360" s="41" t="s">
        <v>67</v>
      </c>
      <c r="C360" s="68" t="s">
        <v>3985</v>
      </c>
      <c r="D360" s="110"/>
      <c r="E360" s="41" t="s">
        <v>2658</v>
      </c>
      <c r="F360" s="41" t="s">
        <v>2660</v>
      </c>
      <c r="G360" s="41" t="s">
        <v>2661</v>
      </c>
      <c r="H360" s="31" t="s">
        <v>103</v>
      </c>
      <c r="I360" s="77" t="s">
        <v>106</v>
      </c>
      <c r="J360" s="31" t="s">
        <v>233</v>
      </c>
      <c r="K360" s="104" t="s">
        <v>175</v>
      </c>
      <c r="L360" s="104" t="s">
        <v>175</v>
      </c>
      <c r="M360" s="70">
        <v>45512.0</v>
      </c>
      <c r="N360" s="70" t="str">
        <f t="shared" si="185"/>
        <v>2024</v>
      </c>
      <c r="O360" s="70">
        <v>45543.0</v>
      </c>
      <c r="P360" s="93" t="str">
        <f t="shared" si="186"/>
        <v>2024</v>
      </c>
      <c r="Q360" s="73">
        <f t="shared" si="187"/>
        <v>31</v>
      </c>
      <c r="R360" s="93">
        <f t="shared" si="188"/>
        <v>0</v>
      </c>
      <c r="S360" s="41"/>
      <c r="T360" s="74"/>
      <c r="U360" s="75">
        <v>0.0</v>
      </c>
      <c r="V360" s="41"/>
      <c r="W360" s="235" t="s">
        <v>2663</v>
      </c>
      <c r="X360" s="41"/>
      <c r="Y360" s="41" t="s">
        <v>209</v>
      </c>
      <c r="Z360" s="31" t="s">
        <v>122</v>
      </c>
      <c r="AA360" s="31" t="s">
        <v>175</v>
      </c>
      <c r="AB360" s="31" t="s">
        <v>124</v>
      </c>
      <c r="AC360" s="46" t="s">
        <v>161</v>
      </c>
      <c r="AD360" s="47"/>
      <c r="AE360" s="78" t="s">
        <v>220</v>
      </c>
    </row>
    <row r="361">
      <c r="A361" s="61" t="s">
        <v>169</v>
      </c>
      <c r="B361" s="61" t="s">
        <v>67</v>
      </c>
      <c r="C361" s="82" t="s">
        <v>3996</v>
      </c>
      <c r="D361" s="94">
        <v>600281.0</v>
      </c>
      <c r="E361" s="61" t="s">
        <v>3997</v>
      </c>
      <c r="F361" s="61" t="s">
        <v>3998</v>
      </c>
      <c r="G361" s="61" t="s">
        <v>4000</v>
      </c>
      <c r="H361" s="50" t="s">
        <v>103</v>
      </c>
      <c r="I361" s="97" t="s">
        <v>106</v>
      </c>
      <c r="J361" s="50" t="s">
        <v>146</v>
      </c>
      <c r="K361" s="106" t="s">
        <v>175</v>
      </c>
      <c r="L361" s="138" t="s">
        <v>48</v>
      </c>
      <c r="M361" s="84">
        <v>45512.0</v>
      </c>
      <c r="N361" s="84" t="str">
        <f t="shared" si="185"/>
        <v>2024</v>
      </c>
      <c r="O361" s="84">
        <v>45523.0</v>
      </c>
      <c r="P361" s="95" t="str">
        <f t="shared" si="186"/>
        <v>2024</v>
      </c>
      <c r="Q361" s="86">
        <f t="shared" si="187"/>
        <v>11</v>
      </c>
      <c r="R361" s="85">
        <f t="shared" si="188"/>
        <v>0</v>
      </c>
      <c r="S361" s="61"/>
      <c r="T361" s="87"/>
      <c r="U361" s="96">
        <v>0.0</v>
      </c>
      <c r="V361" s="61"/>
      <c r="W361" s="61" t="s">
        <v>1066</v>
      </c>
      <c r="X361" s="61"/>
      <c r="Y361" s="50" t="s">
        <v>161</v>
      </c>
      <c r="Z361" s="80" t="s">
        <v>247</v>
      </c>
      <c r="AA361" s="50" t="s">
        <v>175</v>
      </c>
      <c r="AB361" s="61" t="s">
        <v>4005</v>
      </c>
      <c r="AC361" s="65" t="s">
        <v>161</v>
      </c>
      <c r="AD361" s="65" t="s">
        <v>251</v>
      </c>
      <c r="AE361" s="108" t="s">
        <v>220</v>
      </c>
    </row>
    <row r="362">
      <c r="A362" s="31" t="s">
        <v>64</v>
      </c>
      <c r="B362" s="31" t="s">
        <v>19</v>
      </c>
      <c r="C362" s="32" t="s">
        <v>4007</v>
      </c>
      <c r="D362" s="33">
        <v>600472.0</v>
      </c>
      <c r="E362" s="150" t="s">
        <v>727</v>
      </c>
      <c r="F362" s="31" t="s">
        <v>2675</v>
      </c>
      <c r="G362" s="31" t="s">
        <v>1451</v>
      </c>
      <c r="H362" s="31" t="s">
        <v>178</v>
      </c>
      <c r="I362" s="35" t="s">
        <v>104</v>
      </c>
      <c r="J362" s="31" t="s">
        <v>84</v>
      </c>
      <c r="K362" s="31" t="s">
        <v>84</v>
      </c>
      <c r="L362" s="31" t="s">
        <v>484</v>
      </c>
      <c r="M362" s="37">
        <v>45513.0</v>
      </c>
      <c r="N362" s="33">
        <v>2024.0</v>
      </c>
      <c r="O362" s="37">
        <v>46273.0</v>
      </c>
      <c r="P362" s="40">
        <v>2026.0</v>
      </c>
      <c r="Q362" s="40">
        <v>760.0</v>
      </c>
      <c r="R362" s="40">
        <v>3.0</v>
      </c>
      <c r="S362" s="41"/>
      <c r="T362" s="33" t="s">
        <v>269</v>
      </c>
      <c r="U362" s="75">
        <v>1.0</v>
      </c>
      <c r="V362" s="31" t="s">
        <v>2680</v>
      </c>
      <c r="W362" s="150" t="s">
        <v>2677</v>
      </c>
      <c r="X362" s="31" t="s">
        <v>2679</v>
      </c>
      <c r="Y362" s="31" t="s">
        <v>1660</v>
      </c>
      <c r="Z362" s="31" t="s">
        <v>210</v>
      </c>
      <c r="AA362" s="31" t="s">
        <v>14</v>
      </c>
      <c r="AB362" s="31" t="s">
        <v>124</v>
      </c>
      <c r="AC362" s="46" t="s">
        <v>164</v>
      </c>
      <c r="AD362" s="47"/>
      <c r="AE362" s="49"/>
    </row>
    <row r="363">
      <c r="A363" s="61" t="s">
        <v>407</v>
      </c>
      <c r="B363" s="50" t="s">
        <v>67</v>
      </c>
      <c r="C363" s="82" t="s">
        <v>4017</v>
      </c>
      <c r="D363" s="94">
        <v>600474.0</v>
      </c>
      <c r="E363" s="61" t="s">
        <v>4018</v>
      </c>
      <c r="F363" s="61" t="s">
        <v>4019</v>
      </c>
      <c r="G363" s="61" t="s">
        <v>4020</v>
      </c>
      <c r="H363" s="61" t="s">
        <v>464</v>
      </c>
      <c r="I363" s="106" t="s">
        <v>708</v>
      </c>
      <c r="J363" s="50" t="s">
        <v>233</v>
      </c>
      <c r="K363" s="50" t="s">
        <v>236</v>
      </c>
      <c r="L363" s="50" t="s">
        <v>181</v>
      </c>
      <c r="M363" s="84">
        <v>45518.0</v>
      </c>
      <c r="N363" s="84" t="str">
        <f t="shared" ref="N363:N366" si="189">right(M363,4)</f>
        <v>2024</v>
      </c>
      <c r="O363" s="84">
        <v>46130.0</v>
      </c>
      <c r="P363" s="184" t="str">
        <f t="shared" ref="P363:P366" si="190">right(O363,4)</f>
        <v>2026</v>
      </c>
      <c r="Q363" s="86">
        <f t="shared" ref="Q363:Q366" si="191">DATEDIF(M363,O363,"d")</f>
        <v>612</v>
      </c>
      <c r="R363" s="86">
        <f t="shared" ref="R363:R366" si="192">DATEDIF(M363,O363,"y")</f>
        <v>1</v>
      </c>
      <c r="S363" s="61" t="s">
        <v>4026</v>
      </c>
      <c r="T363" s="87"/>
      <c r="U363" s="96">
        <v>1.0</v>
      </c>
      <c r="V363" s="61" t="s">
        <v>1639</v>
      </c>
      <c r="W363" s="61" t="s">
        <v>4028</v>
      </c>
      <c r="X363" s="61" t="s">
        <v>4028</v>
      </c>
      <c r="Y363" s="61" t="s">
        <v>2442</v>
      </c>
      <c r="Z363" s="50" t="s">
        <v>210</v>
      </c>
      <c r="AA363" s="50" t="s">
        <v>123</v>
      </c>
      <c r="AB363" s="106" t="s">
        <v>442</v>
      </c>
      <c r="AC363" s="65" t="s">
        <v>337</v>
      </c>
      <c r="AD363" s="97"/>
      <c r="AE363" s="120"/>
    </row>
    <row r="364">
      <c r="A364" s="41" t="s">
        <v>64</v>
      </c>
      <c r="B364" s="41" t="s">
        <v>67</v>
      </c>
      <c r="C364" s="68" t="s">
        <v>4030</v>
      </c>
      <c r="D364" s="110"/>
      <c r="E364" s="41" t="s">
        <v>2685</v>
      </c>
      <c r="F364" s="41" t="s">
        <v>2686</v>
      </c>
      <c r="G364" s="41" t="s">
        <v>2687</v>
      </c>
      <c r="H364" s="31" t="s">
        <v>266</v>
      </c>
      <c r="I364" s="77" t="s">
        <v>106</v>
      </c>
      <c r="J364" s="31" t="s">
        <v>233</v>
      </c>
      <c r="K364" s="31" t="s">
        <v>236</v>
      </c>
      <c r="L364" s="31" t="s">
        <v>181</v>
      </c>
      <c r="M364" s="70">
        <v>45520.0</v>
      </c>
      <c r="N364" s="70" t="str">
        <f t="shared" si="189"/>
        <v>2024</v>
      </c>
      <c r="O364" s="70">
        <v>45527.0</v>
      </c>
      <c r="P364" s="93" t="str">
        <f t="shared" si="190"/>
        <v>2024</v>
      </c>
      <c r="Q364" s="73">
        <f t="shared" si="191"/>
        <v>7</v>
      </c>
      <c r="R364" s="93">
        <f t="shared" si="192"/>
        <v>0</v>
      </c>
      <c r="S364" s="41" t="s">
        <v>2689</v>
      </c>
      <c r="T364" s="74"/>
      <c r="U364" s="75">
        <v>0.0</v>
      </c>
      <c r="V364" s="41" t="s">
        <v>2690</v>
      </c>
      <c r="W364" s="41"/>
      <c r="X364" s="41"/>
      <c r="Y364" s="41" t="s">
        <v>2418</v>
      </c>
      <c r="Z364" s="41" t="s">
        <v>162</v>
      </c>
      <c r="AA364" s="31" t="s">
        <v>175</v>
      </c>
      <c r="AB364" s="31" t="s">
        <v>876</v>
      </c>
      <c r="AC364" s="46" t="s">
        <v>337</v>
      </c>
      <c r="AD364" s="47"/>
      <c r="AE364" s="78" t="s">
        <v>220</v>
      </c>
    </row>
    <row r="365">
      <c r="A365" s="61" t="s">
        <v>169</v>
      </c>
      <c r="B365" s="61" t="s">
        <v>67</v>
      </c>
      <c r="C365" s="82" t="s">
        <v>4031</v>
      </c>
      <c r="D365" s="94">
        <v>600477.0</v>
      </c>
      <c r="E365" s="61" t="s">
        <v>4032</v>
      </c>
      <c r="F365" s="61" t="s">
        <v>4033</v>
      </c>
      <c r="G365" s="61" t="s">
        <v>4034</v>
      </c>
      <c r="H365" s="50" t="s">
        <v>103</v>
      </c>
      <c r="I365" s="50" t="s">
        <v>289</v>
      </c>
      <c r="J365" s="50" t="s">
        <v>146</v>
      </c>
      <c r="K365" s="50" t="s">
        <v>147</v>
      </c>
      <c r="L365" s="106" t="s">
        <v>181</v>
      </c>
      <c r="M365" s="84">
        <v>45520.0</v>
      </c>
      <c r="N365" s="84" t="str">
        <f t="shared" si="189"/>
        <v>2024</v>
      </c>
      <c r="O365" s="84">
        <v>45885.0</v>
      </c>
      <c r="P365" s="95" t="str">
        <f t="shared" si="190"/>
        <v>2025</v>
      </c>
      <c r="Q365" s="86">
        <f t="shared" si="191"/>
        <v>365</v>
      </c>
      <c r="R365" s="85">
        <f t="shared" si="192"/>
        <v>1</v>
      </c>
      <c r="S365" s="61"/>
      <c r="T365" s="87"/>
      <c r="U365" s="96">
        <v>0.0</v>
      </c>
      <c r="V365" s="61"/>
      <c r="W365" s="174" t="s">
        <v>4036</v>
      </c>
      <c r="X365" s="174" t="s">
        <v>4037</v>
      </c>
      <c r="Y365" s="61" t="s">
        <v>2783</v>
      </c>
      <c r="Z365" s="80" t="s">
        <v>247</v>
      </c>
      <c r="AA365" s="125" t="s">
        <v>4038</v>
      </c>
      <c r="AB365" s="50" t="s">
        <v>1499</v>
      </c>
      <c r="AC365" s="65" t="s">
        <v>337</v>
      </c>
      <c r="AD365" s="97"/>
      <c r="AE365" s="120"/>
    </row>
    <row r="366">
      <c r="A366" s="41" t="s">
        <v>169</v>
      </c>
      <c r="B366" s="41" t="s">
        <v>67</v>
      </c>
      <c r="C366" s="68" t="s">
        <v>4039</v>
      </c>
      <c r="D366" s="69">
        <v>600476.0</v>
      </c>
      <c r="E366" s="41" t="s">
        <v>4040</v>
      </c>
      <c r="F366" s="41" t="s">
        <v>4041</v>
      </c>
      <c r="G366" s="41" t="s">
        <v>4042</v>
      </c>
      <c r="H366" s="31" t="s">
        <v>103</v>
      </c>
      <c r="I366" s="31" t="s">
        <v>289</v>
      </c>
      <c r="J366" s="31" t="s">
        <v>146</v>
      </c>
      <c r="K366" s="31" t="s">
        <v>147</v>
      </c>
      <c r="L366" s="91" t="s">
        <v>48</v>
      </c>
      <c r="M366" s="70">
        <v>45520.0</v>
      </c>
      <c r="N366" s="70" t="str">
        <f t="shared" si="189"/>
        <v>2024</v>
      </c>
      <c r="O366" s="70">
        <v>45885.0</v>
      </c>
      <c r="P366" s="102" t="str">
        <f t="shared" si="190"/>
        <v>2025</v>
      </c>
      <c r="Q366" s="73">
        <f t="shared" si="191"/>
        <v>365</v>
      </c>
      <c r="R366" s="93">
        <f t="shared" si="192"/>
        <v>1</v>
      </c>
      <c r="S366" s="41"/>
      <c r="T366" s="74"/>
      <c r="U366" s="75">
        <v>0.0</v>
      </c>
      <c r="V366" s="41"/>
      <c r="W366" s="41" t="s">
        <v>4043</v>
      </c>
      <c r="X366" s="41" t="s">
        <v>4043</v>
      </c>
      <c r="Y366" s="41" t="s">
        <v>740</v>
      </c>
      <c r="Z366" s="101" t="s">
        <v>247</v>
      </c>
      <c r="AA366" s="31" t="s">
        <v>261</v>
      </c>
      <c r="AB366" s="41" t="s">
        <v>3443</v>
      </c>
      <c r="AC366" s="46" t="s">
        <v>128</v>
      </c>
      <c r="AD366" s="77"/>
      <c r="AE366" s="111" t="s">
        <v>220</v>
      </c>
    </row>
    <row r="367">
      <c r="A367" s="50" t="s">
        <v>64</v>
      </c>
      <c r="B367" s="50" t="s">
        <v>19</v>
      </c>
      <c r="C367" s="52" t="s">
        <v>4044</v>
      </c>
      <c r="D367" s="54">
        <v>600475.0</v>
      </c>
      <c r="E367" s="50" t="s">
        <v>328</v>
      </c>
      <c r="F367" s="50" t="s">
        <v>2695</v>
      </c>
      <c r="G367" s="159" t="s">
        <v>4047</v>
      </c>
      <c r="H367" s="80" t="s">
        <v>232</v>
      </c>
      <c r="I367" s="125" t="s">
        <v>104</v>
      </c>
      <c r="J367" s="80" t="s">
        <v>146</v>
      </c>
      <c r="K367" s="50" t="s">
        <v>84</v>
      </c>
      <c r="L367" s="50" t="s">
        <v>484</v>
      </c>
      <c r="M367" s="57">
        <v>45523.0</v>
      </c>
      <c r="N367" s="54">
        <v>2024.0</v>
      </c>
      <c r="O367" s="57">
        <v>46295.0</v>
      </c>
      <c r="P367" s="59">
        <v>2026.0</v>
      </c>
      <c r="Q367" s="60">
        <v>772.0</v>
      </c>
      <c r="R367" s="59">
        <v>3.0</v>
      </c>
      <c r="S367" s="61"/>
      <c r="T367" s="87"/>
      <c r="U367" s="96">
        <v>1.0</v>
      </c>
      <c r="V367" s="61"/>
      <c r="W367" s="50" t="s">
        <v>2700</v>
      </c>
      <c r="X367" s="50" t="s">
        <v>2700</v>
      </c>
      <c r="Y367" s="50" t="s">
        <v>121</v>
      </c>
      <c r="Z367" s="50" t="s">
        <v>261</v>
      </c>
      <c r="AA367" s="50" t="s">
        <v>4052</v>
      </c>
      <c r="AB367" s="50" t="s">
        <v>124</v>
      </c>
      <c r="AC367" s="65" t="s">
        <v>276</v>
      </c>
      <c r="AD367" s="66"/>
      <c r="AE367" s="67"/>
    </row>
    <row r="368">
      <c r="A368" s="41" t="s">
        <v>64</v>
      </c>
      <c r="B368" s="41" t="s">
        <v>67</v>
      </c>
      <c r="C368" s="68" t="s">
        <v>4053</v>
      </c>
      <c r="D368" s="74">
        <v>600481.0</v>
      </c>
      <c r="E368" s="41" t="s">
        <v>2701</v>
      </c>
      <c r="F368" s="41" t="s">
        <v>2702</v>
      </c>
      <c r="G368" s="41" t="s">
        <v>2703</v>
      </c>
      <c r="H368" s="31" t="s">
        <v>103</v>
      </c>
      <c r="I368" s="31" t="s">
        <v>289</v>
      </c>
      <c r="J368" s="31" t="s">
        <v>233</v>
      </c>
      <c r="K368" s="31" t="s">
        <v>236</v>
      </c>
      <c r="L368" s="31" t="s">
        <v>181</v>
      </c>
      <c r="M368" s="70">
        <v>45526.0</v>
      </c>
      <c r="N368" s="70" t="str">
        <f>right(M368,4)</f>
        <v>2024</v>
      </c>
      <c r="O368" s="70">
        <v>45626.0</v>
      </c>
      <c r="P368" s="93" t="str">
        <f>right(O368,4)</f>
        <v>2024</v>
      </c>
      <c r="Q368" s="73">
        <f>DATEDIF(M368,O368,"d")</f>
        <v>100</v>
      </c>
      <c r="R368" s="93">
        <f>DATEDIF(M368,O368,"y")</f>
        <v>0</v>
      </c>
      <c r="S368" s="41"/>
      <c r="T368" s="74"/>
      <c r="U368" s="75">
        <v>0.0</v>
      </c>
      <c r="V368" s="41"/>
      <c r="W368" s="41" t="s">
        <v>2707</v>
      </c>
      <c r="X368" s="41"/>
      <c r="Y368" s="41" t="s">
        <v>2442</v>
      </c>
      <c r="Z368" s="31" t="s">
        <v>122</v>
      </c>
      <c r="AA368" s="31" t="s">
        <v>2644</v>
      </c>
      <c r="AB368" s="31" t="s">
        <v>124</v>
      </c>
      <c r="AC368" s="46" t="s">
        <v>161</v>
      </c>
      <c r="AD368" s="47"/>
      <c r="AE368" s="111"/>
    </row>
    <row r="369">
      <c r="A369" s="50" t="s">
        <v>169</v>
      </c>
      <c r="B369" s="50" t="s">
        <v>19</v>
      </c>
      <c r="C369" s="52" t="s">
        <v>4063</v>
      </c>
      <c r="D369" s="79">
        <v>600482.0</v>
      </c>
      <c r="E369" s="50" t="s">
        <v>4064</v>
      </c>
      <c r="F369" s="50" t="s">
        <v>4065</v>
      </c>
      <c r="G369" s="50" t="s">
        <v>4067</v>
      </c>
      <c r="H369" s="50" t="s">
        <v>103</v>
      </c>
      <c r="I369" s="50" t="s">
        <v>104</v>
      </c>
      <c r="J369" s="50" t="s">
        <v>146</v>
      </c>
      <c r="K369" s="50" t="s">
        <v>147</v>
      </c>
      <c r="L369" s="112" t="s">
        <v>181</v>
      </c>
      <c r="M369" s="57">
        <v>45527.0</v>
      </c>
      <c r="N369" s="54">
        <v>2024.0</v>
      </c>
      <c r="O369" s="57">
        <v>46282.0</v>
      </c>
      <c r="P369" s="59">
        <v>2026.0</v>
      </c>
      <c r="Q369" s="60">
        <v>755.0</v>
      </c>
      <c r="R369" s="59">
        <v>3.0</v>
      </c>
      <c r="S369" s="61"/>
      <c r="T369" s="54" t="s">
        <v>269</v>
      </c>
      <c r="U369" s="199">
        <v>1.0</v>
      </c>
      <c r="V369" s="61"/>
      <c r="W369" s="159" t="s">
        <v>4072</v>
      </c>
      <c r="X369" s="180" t="s">
        <v>4073</v>
      </c>
      <c r="Y369" s="50" t="s">
        <v>2418</v>
      </c>
      <c r="Z369" s="80" t="s">
        <v>210</v>
      </c>
      <c r="AA369" s="50" t="s">
        <v>14</v>
      </c>
      <c r="AB369" s="193" t="s">
        <v>975</v>
      </c>
      <c r="AC369" s="65" t="s">
        <v>276</v>
      </c>
      <c r="AD369" s="97"/>
      <c r="AE369" s="120"/>
    </row>
    <row r="370">
      <c r="A370" s="41" t="s">
        <v>64</v>
      </c>
      <c r="B370" s="41" t="s">
        <v>67</v>
      </c>
      <c r="C370" s="68" t="s">
        <v>4074</v>
      </c>
      <c r="D370" s="74">
        <v>600489.0</v>
      </c>
      <c r="E370" s="41" t="s">
        <v>2762</v>
      </c>
      <c r="F370" s="41" t="s">
        <v>2763</v>
      </c>
      <c r="G370" s="41" t="s">
        <v>2764</v>
      </c>
      <c r="H370" s="41" t="s">
        <v>84</v>
      </c>
      <c r="I370" s="31" t="s">
        <v>289</v>
      </c>
      <c r="J370" s="91" t="s">
        <v>84</v>
      </c>
      <c r="K370" s="41" t="s">
        <v>84</v>
      </c>
      <c r="L370" s="91" t="s">
        <v>25</v>
      </c>
      <c r="M370" s="70">
        <v>45532.0</v>
      </c>
      <c r="N370" s="70" t="str">
        <f t="shared" ref="N370:N372" si="193">right(M370,4)</f>
        <v>2024</v>
      </c>
      <c r="O370" s="70">
        <v>45897.0</v>
      </c>
      <c r="P370" s="73" t="str">
        <f t="shared" ref="P370:P372" si="194">right(O370,4)</f>
        <v>2025</v>
      </c>
      <c r="Q370" s="73">
        <f t="shared" ref="Q370:Q372" si="195">DATEDIF(M370,O370,"d")</f>
        <v>365</v>
      </c>
      <c r="R370" s="73">
        <f t="shared" ref="R370:R372" si="196">DATEDIF(M370,O370,"y")</f>
        <v>1</v>
      </c>
      <c r="S370" s="41"/>
      <c r="T370" s="74" t="s">
        <v>113</v>
      </c>
      <c r="U370" s="75">
        <v>0.0</v>
      </c>
      <c r="V370" s="41"/>
      <c r="W370" s="41" t="s">
        <v>2769</v>
      </c>
      <c r="X370" s="41" t="s">
        <v>2769</v>
      </c>
      <c r="Y370" s="31" t="s">
        <v>2103</v>
      </c>
      <c r="Z370" s="31" t="s">
        <v>210</v>
      </c>
      <c r="AA370" s="31" t="s">
        <v>289</v>
      </c>
      <c r="AB370" s="41" t="s">
        <v>336</v>
      </c>
      <c r="AC370" s="46" t="s">
        <v>337</v>
      </c>
      <c r="AD370" s="77"/>
      <c r="AE370" s="111"/>
    </row>
    <row r="371">
      <c r="A371" s="61" t="s">
        <v>169</v>
      </c>
      <c r="B371" s="61" t="s">
        <v>67</v>
      </c>
      <c r="C371" s="82" t="s">
        <v>4084</v>
      </c>
      <c r="D371" s="94">
        <v>600485.0</v>
      </c>
      <c r="E371" s="61" t="s">
        <v>4085</v>
      </c>
      <c r="F371" s="61" t="s">
        <v>4086</v>
      </c>
      <c r="G371" s="61" t="s">
        <v>4087</v>
      </c>
      <c r="H371" s="50" t="s">
        <v>103</v>
      </c>
      <c r="I371" s="97" t="s">
        <v>106</v>
      </c>
      <c r="J371" s="50" t="s">
        <v>146</v>
      </c>
      <c r="K371" s="50" t="s">
        <v>147</v>
      </c>
      <c r="L371" s="138" t="s">
        <v>48</v>
      </c>
      <c r="M371" s="84">
        <v>45533.0</v>
      </c>
      <c r="N371" s="84" t="str">
        <f t="shared" si="193"/>
        <v>2024</v>
      </c>
      <c r="O371" s="84">
        <v>45541.0</v>
      </c>
      <c r="P371" s="95" t="str">
        <f t="shared" si="194"/>
        <v>2024</v>
      </c>
      <c r="Q371" s="86">
        <f t="shared" si="195"/>
        <v>8</v>
      </c>
      <c r="R371" s="85">
        <f t="shared" si="196"/>
        <v>0</v>
      </c>
      <c r="S371" s="61"/>
      <c r="T371" s="87"/>
      <c r="U371" s="96">
        <v>0.0</v>
      </c>
      <c r="V371" s="61"/>
      <c r="W371" s="61" t="s">
        <v>4093</v>
      </c>
      <c r="X371" s="61"/>
      <c r="Y371" s="61" t="s">
        <v>2783</v>
      </c>
      <c r="Z371" s="80" t="s">
        <v>247</v>
      </c>
      <c r="AA371" s="50" t="s">
        <v>175</v>
      </c>
      <c r="AB371" s="61" t="s">
        <v>4095</v>
      </c>
      <c r="AC371" s="65" t="s">
        <v>161</v>
      </c>
      <c r="AD371" s="97"/>
      <c r="AE371" s="108" t="s">
        <v>220</v>
      </c>
    </row>
    <row r="372">
      <c r="A372" s="41" t="s">
        <v>169</v>
      </c>
      <c r="B372" s="41" t="s">
        <v>67</v>
      </c>
      <c r="C372" s="68" t="s">
        <v>4096</v>
      </c>
      <c r="D372" s="69">
        <v>600484.0</v>
      </c>
      <c r="E372" s="41" t="s">
        <v>4097</v>
      </c>
      <c r="F372" s="41" t="s">
        <v>4098</v>
      </c>
      <c r="G372" s="41" t="s">
        <v>4100</v>
      </c>
      <c r="H372" s="31" t="s">
        <v>103</v>
      </c>
      <c r="I372" s="35" t="s">
        <v>104</v>
      </c>
      <c r="J372" s="31" t="s">
        <v>146</v>
      </c>
      <c r="K372" s="31" t="s">
        <v>147</v>
      </c>
      <c r="L372" s="31" t="s">
        <v>181</v>
      </c>
      <c r="M372" s="70">
        <v>45533.0</v>
      </c>
      <c r="N372" s="70" t="str">
        <f t="shared" si="193"/>
        <v>2024</v>
      </c>
      <c r="O372" s="70">
        <v>45904.0</v>
      </c>
      <c r="P372" s="102" t="str">
        <f t="shared" si="194"/>
        <v>2025</v>
      </c>
      <c r="Q372" s="73">
        <f t="shared" si="195"/>
        <v>371</v>
      </c>
      <c r="R372" s="93">
        <f t="shared" si="196"/>
        <v>1</v>
      </c>
      <c r="S372" s="41"/>
      <c r="T372" s="74"/>
      <c r="U372" s="75">
        <v>0.0</v>
      </c>
      <c r="V372" s="41"/>
      <c r="W372" s="41" t="s">
        <v>4104</v>
      </c>
      <c r="X372" s="41" t="s">
        <v>4104</v>
      </c>
      <c r="Y372" s="41" t="s">
        <v>2429</v>
      </c>
      <c r="Z372" s="31" t="s">
        <v>122</v>
      </c>
      <c r="AA372" s="103" t="s">
        <v>211</v>
      </c>
      <c r="AB372" s="41" t="s">
        <v>3443</v>
      </c>
      <c r="AC372" s="46" t="s">
        <v>337</v>
      </c>
      <c r="AD372" s="46"/>
      <c r="AE372" s="99"/>
    </row>
    <row r="373">
      <c r="A373" s="50" t="s">
        <v>64</v>
      </c>
      <c r="B373" s="50" t="s">
        <v>67</v>
      </c>
      <c r="C373" s="52" t="s">
        <v>4107</v>
      </c>
      <c r="D373" s="54">
        <v>600486.0</v>
      </c>
      <c r="E373" s="50" t="s">
        <v>2712</v>
      </c>
      <c r="F373" s="50" t="s">
        <v>2713</v>
      </c>
      <c r="G373" s="50" t="s">
        <v>2714</v>
      </c>
      <c r="H373" s="50" t="s">
        <v>232</v>
      </c>
      <c r="I373" s="56" t="s">
        <v>104</v>
      </c>
      <c r="J373" s="50" t="s">
        <v>84</v>
      </c>
      <c r="K373" s="50" t="s">
        <v>84</v>
      </c>
      <c r="L373" s="50" t="s">
        <v>181</v>
      </c>
      <c r="M373" s="57">
        <v>45534.0</v>
      </c>
      <c r="N373" s="54">
        <v>2024.0</v>
      </c>
      <c r="O373" s="57">
        <v>45837.0</v>
      </c>
      <c r="P373" s="59">
        <v>2025.0</v>
      </c>
      <c r="Q373" s="60">
        <v>303.0</v>
      </c>
      <c r="R373" s="59">
        <v>1.0</v>
      </c>
      <c r="S373" s="50" t="s">
        <v>2722</v>
      </c>
      <c r="T373" s="54" t="s">
        <v>113</v>
      </c>
      <c r="U373" s="96">
        <v>0.0</v>
      </c>
      <c r="V373" s="50" t="s">
        <v>2723</v>
      </c>
      <c r="W373" s="50" t="s">
        <v>2721</v>
      </c>
      <c r="X373" s="50" t="s">
        <v>2721</v>
      </c>
      <c r="Y373" s="50" t="s">
        <v>2418</v>
      </c>
      <c r="Z373" s="50" t="s">
        <v>122</v>
      </c>
      <c r="AA373" s="50" t="s">
        <v>38</v>
      </c>
      <c r="AB373" s="50" t="s">
        <v>124</v>
      </c>
      <c r="AC373" s="65" t="s">
        <v>164</v>
      </c>
      <c r="AD373" s="50" t="s">
        <v>251</v>
      </c>
      <c r="AE373" s="81" t="s">
        <v>220</v>
      </c>
    </row>
    <row r="374">
      <c r="A374" s="41" t="s">
        <v>169</v>
      </c>
      <c r="B374" s="41" t="s">
        <v>67</v>
      </c>
      <c r="C374" s="68" t="s">
        <v>4112</v>
      </c>
      <c r="D374" s="69">
        <v>600478.0</v>
      </c>
      <c r="E374" s="41" t="s">
        <v>4113</v>
      </c>
      <c r="F374" s="41" t="s">
        <v>4114</v>
      </c>
      <c r="G374" s="41" t="s">
        <v>4115</v>
      </c>
      <c r="H374" s="31" t="s">
        <v>103</v>
      </c>
      <c r="I374" s="31" t="s">
        <v>289</v>
      </c>
      <c r="J374" s="31" t="s">
        <v>146</v>
      </c>
      <c r="K374" s="31" t="s">
        <v>147</v>
      </c>
      <c r="L374" s="91" t="s">
        <v>48</v>
      </c>
      <c r="M374" s="70">
        <v>45534.0</v>
      </c>
      <c r="N374" s="70" t="str">
        <f t="shared" ref="N374:N378" si="197">right(M374,4)</f>
        <v>2024</v>
      </c>
      <c r="O374" s="70">
        <v>45716.0</v>
      </c>
      <c r="P374" s="102" t="str">
        <f t="shared" ref="P374:P378" si="198">right(O374,4)</f>
        <v>2025</v>
      </c>
      <c r="Q374" s="73">
        <f t="shared" ref="Q374:Q378" si="199">DATEDIF(M374,O374,"d")</f>
        <v>182</v>
      </c>
      <c r="R374" s="93">
        <f t="shared" ref="R374:R378" si="200">DATEDIF(M374,O374,"y")</f>
        <v>0</v>
      </c>
      <c r="S374" s="41"/>
      <c r="T374" s="74"/>
      <c r="U374" s="75">
        <v>0.0</v>
      </c>
      <c r="V374" s="41"/>
      <c r="W374" s="41" t="s">
        <v>4116</v>
      </c>
      <c r="X374" s="41" t="s">
        <v>4116</v>
      </c>
      <c r="Y374" s="41" t="s">
        <v>740</v>
      </c>
      <c r="Z374" s="101" t="s">
        <v>247</v>
      </c>
      <c r="AA374" s="31" t="s">
        <v>289</v>
      </c>
      <c r="AB374" s="31" t="s">
        <v>213</v>
      </c>
      <c r="AC374" s="46" t="s">
        <v>161</v>
      </c>
      <c r="AD374" s="77"/>
      <c r="AE374" s="99"/>
    </row>
    <row r="375">
      <c r="A375" s="61" t="s">
        <v>64</v>
      </c>
      <c r="B375" s="61" t="s">
        <v>67</v>
      </c>
      <c r="C375" s="82" t="s">
        <v>4117</v>
      </c>
      <c r="D375" s="87">
        <v>600488.0</v>
      </c>
      <c r="E375" s="61" t="s">
        <v>2726</v>
      </c>
      <c r="F375" s="61" t="s">
        <v>2728</v>
      </c>
      <c r="G375" s="174" t="s">
        <v>2729</v>
      </c>
      <c r="H375" s="50" t="s">
        <v>103</v>
      </c>
      <c r="I375" s="50" t="s">
        <v>289</v>
      </c>
      <c r="J375" s="50" t="s">
        <v>146</v>
      </c>
      <c r="K375" s="61" t="s">
        <v>248</v>
      </c>
      <c r="L375" s="50" t="s">
        <v>181</v>
      </c>
      <c r="M375" s="84">
        <v>45540.0</v>
      </c>
      <c r="N375" s="84" t="str">
        <f t="shared" si="197"/>
        <v>2024</v>
      </c>
      <c r="O375" s="84">
        <v>45722.0</v>
      </c>
      <c r="P375" s="85" t="str">
        <f t="shared" si="198"/>
        <v>2025</v>
      </c>
      <c r="Q375" s="86">
        <f t="shared" si="199"/>
        <v>182</v>
      </c>
      <c r="R375" s="85">
        <f t="shared" si="200"/>
        <v>0</v>
      </c>
      <c r="S375" s="61" t="s">
        <v>2744</v>
      </c>
      <c r="T375" s="87"/>
      <c r="U375" s="96">
        <v>0.0</v>
      </c>
      <c r="V375" s="61"/>
      <c r="W375" s="174" t="s">
        <v>2741</v>
      </c>
      <c r="X375" s="174" t="s">
        <v>2741</v>
      </c>
      <c r="Y375" s="61" t="s">
        <v>2418</v>
      </c>
      <c r="Z375" s="50" t="s">
        <v>311</v>
      </c>
      <c r="AA375" s="50" t="s">
        <v>261</v>
      </c>
      <c r="AB375" s="61" t="s">
        <v>336</v>
      </c>
      <c r="AC375" s="65" t="s">
        <v>337</v>
      </c>
      <c r="AD375" s="66"/>
      <c r="AE375" s="81"/>
    </row>
    <row r="376">
      <c r="A376" s="41" t="s">
        <v>64</v>
      </c>
      <c r="B376" s="41" t="s">
        <v>67</v>
      </c>
      <c r="C376" s="68" t="s">
        <v>4118</v>
      </c>
      <c r="D376" s="74">
        <v>600491.0</v>
      </c>
      <c r="E376" s="41" t="s">
        <v>4119</v>
      </c>
      <c r="F376" s="41" t="s">
        <v>4120</v>
      </c>
      <c r="G376" s="41" t="s">
        <v>4121</v>
      </c>
      <c r="H376" s="31" t="s">
        <v>103</v>
      </c>
      <c r="I376" s="31" t="s">
        <v>106</v>
      </c>
      <c r="J376" s="31" t="s">
        <v>233</v>
      </c>
      <c r="K376" s="31" t="s">
        <v>289</v>
      </c>
      <c r="L376" s="31" t="s">
        <v>181</v>
      </c>
      <c r="M376" s="70">
        <v>45544.0</v>
      </c>
      <c r="N376" s="70" t="str">
        <f t="shared" si="197"/>
        <v>2024</v>
      </c>
      <c r="O376" s="70">
        <v>45657.0</v>
      </c>
      <c r="P376" s="93" t="str">
        <f t="shared" si="198"/>
        <v>2024</v>
      </c>
      <c r="Q376" s="73">
        <f t="shared" si="199"/>
        <v>113</v>
      </c>
      <c r="R376" s="93">
        <f t="shared" si="200"/>
        <v>0</v>
      </c>
      <c r="S376" s="41" t="s">
        <v>2759</v>
      </c>
      <c r="T376" s="74"/>
      <c r="U376" s="75">
        <v>0.0</v>
      </c>
      <c r="V376" s="41" t="s">
        <v>2760</v>
      </c>
      <c r="W376" s="154" t="s">
        <v>4123</v>
      </c>
      <c r="X376" s="41"/>
      <c r="Y376" s="41" t="s">
        <v>740</v>
      </c>
      <c r="Z376" s="41" t="s">
        <v>259</v>
      </c>
      <c r="AA376" s="31" t="s">
        <v>289</v>
      </c>
      <c r="AB376" s="31" t="s">
        <v>124</v>
      </c>
      <c r="AC376" s="46" t="s">
        <v>161</v>
      </c>
      <c r="AD376" s="47"/>
      <c r="AE376" s="78" t="s">
        <v>220</v>
      </c>
    </row>
    <row r="377">
      <c r="A377" s="61" t="s">
        <v>169</v>
      </c>
      <c r="B377" s="61" t="s">
        <v>67</v>
      </c>
      <c r="C377" s="82" t="s">
        <v>4124</v>
      </c>
      <c r="D377" s="94">
        <v>600490.0</v>
      </c>
      <c r="E377" s="61" t="s">
        <v>4125</v>
      </c>
      <c r="F377" s="61" t="s">
        <v>4126</v>
      </c>
      <c r="G377" s="61" t="s">
        <v>4127</v>
      </c>
      <c r="H377" s="50" t="s">
        <v>232</v>
      </c>
      <c r="I377" s="50" t="s">
        <v>289</v>
      </c>
      <c r="J377" s="50" t="s">
        <v>146</v>
      </c>
      <c r="K377" s="50" t="s">
        <v>147</v>
      </c>
      <c r="L377" s="138" t="s">
        <v>48</v>
      </c>
      <c r="M377" s="84">
        <v>45544.0</v>
      </c>
      <c r="N377" s="84" t="str">
        <f t="shared" si="197"/>
        <v>2024</v>
      </c>
      <c r="O377" s="84">
        <v>45870.0</v>
      </c>
      <c r="P377" s="95" t="str">
        <f t="shared" si="198"/>
        <v>2025</v>
      </c>
      <c r="Q377" s="86">
        <f t="shared" si="199"/>
        <v>326</v>
      </c>
      <c r="R377" s="85">
        <f t="shared" si="200"/>
        <v>0</v>
      </c>
      <c r="S377" s="61"/>
      <c r="T377" s="87"/>
      <c r="U377" s="96">
        <v>0.0</v>
      </c>
      <c r="V377" s="61"/>
      <c r="W377" s="61" t="s">
        <v>4129</v>
      </c>
      <c r="X377" s="61" t="s">
        <v>4129</v>
      </c>
      <c r="Y377" s="61" t="s">
        <v>2429</v>
      </c>
      <c r="Z377" s="80" t="s">
        <v>247</v>
      </c>
      <c r="AA377" s="50" t="s">
        <v>289</v>
      </c>
      <c r="AB377" s="50" t="s">
        <v>213</v>
      </c>
      <c r="AC377" s="65" t="s">
        <v>128</v>
      </c>
      <c r="AD377" s="97"/>
      <c r="AE377" s="120"/>
    </row>
    <row r="378">
      <c r="A378" s="41" t="s">
        <v>64</v>
      </c>
      <c r="B378" s="41" t="s">
        <v>67</v>
      </c>
      <c r="C378" s="68" t="s">
        <v>4130</v>
      </c>
      <c r="D378" s="74">
        <v>600492.0</v>
      </c>
      <c r="E378" s="41" t="s">
        <v>3570</v>
      </c>
      <c r="F378" s="41" t="s">
        <v>3571</v>
      </c>
      <c r="G378" s="41" t="s">
        <v>3572</v>
      </c>
      <c r="H378" s="31" t="s">
        <v>103</v>
      </c>
      <c r="I378" s="35" t="s">
        <v>708</v>
      </c>
      <c r="J378" s="31" t="s">
        <v>146</v>
      </c>
      <c r="K378" s="31" t="s">
        <v>4131</v>
      </c>
      <c r="L378" s="31" t="s">
        <v>181</v>
      </c>
      <c r="M378" s="70">
        <v>45545.0</v>
      </c>
      <c r="N378" s="70" t="str">
        <f t="shared" si="197"/>
        <v>2024</v>
      </c>
      <c r="O378" s="70">
        <v>45910.0</v>
      </c>
      <c r="P378" s="73" t="str">
        <f t="shared" si="198"/>
        <v>2025</v>
      </c>
      <c r="Q378" s="73">
        <f t="shared" si="199"/>
        <v>365</v>
      </c>
      <c r="R378" s="73">
        <f t="shared" si="200"/>
        <v>1</v>
      </c>
      <c r="S378" s="41" t="s">
        <v>3579</v>
      </c>
      <c r="T378" s="74"/>
      <c r="U378" s="75">
        <v>1.0</v>
      </c>
      <c r="V378" s="41" t="s">
        <v>3576</v>
      </c>
      <c r="W378" s="246" t="s">
        <v>3577</v>
      </c>
      <c r="X378" s="41" t="s">
        <v>3578</v>
      </c>
      <c r="Y378" s="41" t="s">
        <v>2418</v>
      </c>
      <c r="Z378" s="31" t="s">
        <v>210</v>
      </c>
      <c r="AA378" s="31" t="s">
        <v>261</v>
      </c>
      <c r="AB378" s="41" t="s">
        <v>336</v>
      </c>
      <c r="AC378" s="46" t="s">
        <v>337</v>
      </c>
      <c r="AD378" s="47"/>
      <c r="AE378" s="49"/>
    </row>
    <row r="379">
      <c r="A379" s="50" t="s">
        <v>64</v>
      </c>
      <c r="B379" s="50" t="s">
        <v>67</v>
      </c>
      <c r="C379" s="52" t="s">
        <v>4132</v>
      </c>
      <c r="D379" s="54">
        <v>600496.0</v>
      </c>
      <c r="E379" s="50" t="s">
        <v>2779</v>
      </c>
      <c r="F379" s="50" t="s">
        <v>2780</v>
      </c>
      <c r="G379" s="50" t="s">
        <v>2782</v>
      </c>
      <c r="H379" s="50" t="s">
        <v>103</v>
      </c>
      <c r="I379" s="56" t="s">
        <v>708</v>
      </c>
      <c r="J379" s="50" t="s">
        <v>233</v>
      </c>
      <c r="K379" s="50" t="s">
        <v>236</v>
      </c>
      <c r="L379" s="50" t="s">
        <v>181</v>
      </c>
      <c r="M379" s="57">
        <v>45547.0</v>
      </c>
      <c r="N379" s="54">
        <v>2024.0</v>
      </c>
      <c r="O379" s="57">
        <v>45930.0</v>
      </c>
      <c r="P379" s="59">
        <v>2025.0</v>
      </c>
      <c r="Q379" s="60">
        <v>383.0</v>
      </c>
      <c r="R379" s="59">
        <v>2.0</v>
      </c>
      <c r="S379" s="50" t="s">
        <v>4135</v>
      </c>
      <c r="T379" s="54" t="s">
        <v>113</v>
      </c>
      <c r="U379" s="96">
        <v>0.0</v>
      </c>
      <c r="V379" s="61"/>
      <c r="W379" s="50" t="s">
        <v>4136</v>
      </c>
      <c r="X379" s="50" t="s">
        <v>4136</v>
      </c>
      <c r="Y379" s="50" t="s">
        <v>2783</v>
      </c>
      <c r="Z379" s="50" t="s">
        <v>122</v>
      </c>
      <c r="AA379" s="50" t="s">
        <v>14</v>
      </c>
      <c r="AB379" s="50" t="s">
        <v>124</v>
      </c>
      <c r="AC379" s="65" t="s">
        <v>276</v>
      </c>
      <c r="AD379" s="66"/>
      <c r="AE379" s="67"/>
    </row>
    <row r="380">
      <c r="A380" s="41" t="s">
        <v>64</v>
      </c>
      <c r="B380" s="41" t="s">
        <v>67</v>
      </c>
      <c r="C380" s="68" t="s">
        <v>4138</v>
      </c>
      <c r="D380" s="74">
        <v>600494.0</v>
      </c>
      <c r="E380" s="41" t="s">
        <v>2391</v>
      </c>
      <c r="F380" s="41" t="s">
        <v>4139</v>
      </c>
      <c r="G380" s="41" t="s">
        <v>4140</v>
      </c>
      <c r="H380" s="31" t="s">
        <v>103</v>
      </c>
      <c r="I380" s="31" t="s">
        <v>104</v>
      </c>
      <c r="J380" s="31" t="s">
        <v>233</v>
      </c>
      <c r="K380" s="31" t="s">
        <v>289</v>
      </c>
      <c r="L380" s="91" t="s">
        <v>25</v>
      </c>
      <c r="M380" s="70">
        <v>45547.0</v>
      </c>
      <c r="N380" s="70" t="str">
        <f t="shared" ref="N380:N381" si="201">right(M380,4)</f>
        <v>2024</v>
      </c>
      <c r="O380" s="70">
        <v>45688.0</v>
      </c>
      <c r="P380" s="93" t="str">
        <f t="shared" ref="P380:P381" si="202">right(O380,4)</f>
        <v>2025</v>
      </c>
      <c r="Q380" s="73">
        <f t="shared" ref="Q380:Q381" si="203">DATEDIF(M380,O380,"d")</f>
        <v>141</v>
      </c>
      <c r="R380" s="93">
        <f t="shared" ref="R380:R381" si="204">DATEDIF(M380,O380,"y")</f>
        <v>0</v>
      </c>
      <c r="S380" s="41" t="s">
        <v>2777</v>
      </c>
      <c r="T380" s="74" t="s">
        <v>113</v>
      </c>
      <c r="U380" s="75">
        <v>0.0</v>
      </c>
      <c r="V380" s="41"/>
      <c r="W380" s="89"/>
      <c r="X380" s="89"/>
      <c r="Y380" s="41" t="s">
        <v>243</v>
      </c>
      <c r="Z380" s="41" t="s">
        <v>259</v>
      </c>
      <c r="AA380" s="31" t="s">
        <v>289</v>
      </c>
      <c r="AB380" s="41" t="s">
        <v>2778</v>
      </c>
      <c r="AC380" s="46" t="s">
        <v>161</v>
      </c>
      <c r="AD380" s="46" t="s">
        <v>251</v>
      </c>
      <c r="AE380" s="111" t="s">
        <v>220</v>
      </c>
    </row>
    <row r="381">
      <c r="A381" s="61" t="s">
        <v>64</v>
      </c>
      <c r="B381" s="61" t="s">
        <v>67</v>
      </c>
      <c r="C381" s="82" t="s">
        <v>4143</v>
      </c>
      <c r="D381" s="87">
        <v>600498.0</v>
      </c>
      <c r="E381" s="61" t="s">
        <v>2391</v>
      </c>
      <c r="F381" s="61" t="s">
        <v>2786</v>
      </c>
      <c r="G381" s="61" t="s">
        <v>2787</v>
      </c>
      <c r="H381" s="50" t="s">
        <v>103</v>
      </c>
      <c r="I381" s="50" t="s">
        <v>104</v>
      </c>
      <c r="J381" s="50" t="s">
        <v>233</v>
      </c>
      <c r="K381" s="50" t="s">
        <v>289</v>
      </c>
      <c r="L381" s="138" t="s">
        <v>25</v>
      </c>
      <c r="M381" s="84">
        <v>45552.0</v>
      </c>
      <c r="N381" s="84" t="str">
        <f t="shared" si="201"/>
        <v>2024</v>
      </c>
      <c r="O381" s="84">
        <v>45688.0</v>
      </c>
      <c r="P381" s="85" t="str">
        <f t="shared" si="202"/>
        <v>2025</v>
      </c>
      <c r="Q381" s="86">
        <f t="shared" si="203"/>
        <v>136</v>
      </c>
      <c r="R381" s="85">
        <f t="shared" si="204"/>
        <v>0</v>
      </c>
      <c r="S381" s="61" t="s">
        <v>2777</v>
      </c>
      <c r="T381" s="87" t="s">
        <v>113</v>
      </c>
      <c r="U381" s="96">
        <v>0.0</v>
      </c>
      <c r="V381" s="61"/>
      <c r="W381" s="236"/>
      <c r="X381" s="236"/>
      <c r="Y381" s="61" t="s">
        <v>243</v>
      </c>
      <c r="Z381" s="61" t="s">
        <v>259</v>
      </c>
      <c r="AA381" s="50" t="s">
        <v>289</v>
      </c>
      <c r="AB381" s="61" t="s">
        <v>2778</v>
      </c>
      <c r="AC381" s="65" t="s">
        <v>161</v>
      </c>
      <c r="AD381" s="65" t="s">
        <v>251</v>
      </c>
      <c r="AE381" s="81" t="s">
        <v>220</v>
      </c>
    </row>
    <row r="382">
      <c r="A382" s="31" t="s">
        <v>64</v>
      </c>
      <c r="B382" s="31" t="s">
        <v>19</v>
      </c>
      <c r="C382" s="32" t="s">
        <v>4145</v>
      </c>
      <c r="D382" s="33">
        <v>600518.0</v>
      </c>
      <c r="E382" s="31" t="s">
        <v>4146</v>
      </c>
      <c r="F382" s="31" t="s">
        <v>2795</v>
      </c>
      <c r="G382" s="31" t="s">
        <v>2796</v>
      </c>
      <c r="H382" s="31" t="s">
        <v>232</v>
      </c>
      <c r="I382" s="100" t="s">
        <v>104</v>
      </c>
      <c r="J382" s="101" t="s">
        <v>84</v>
      </c>
      <c r="K382" s="31" t="s">
        <v>84</v>
      </c>
      <c r="L382" s="31" t="s">
        <v>181</v>
      </c>
      <c r="M382" s="37">
        <v>45553.0</v>
      </c>
      <c r="N382" s="33">
        <v>2024.0</v>
      </c>
      <c r="O382" s="37">
        <v>46284.0</v>
      </c>
      <c r="P382" s="39">
        <v>2026.0</v>
      </c>
      <c r="Q382" s="40">
        <v>731.0</v>
      </c>
      <c r="R382" s="39">
        <v>3.0</v>
      </c>
      <c r="S382" s="41"/>
      <c r="T382" s="33" t="s">
        <v>113</v>
      </c>
      <c r="U382" s="43">
        <v>1.0</v>
      </c>
      <c r="V382" s="41"/>
      <c r="W382" s="31" t="s">
        <v>2800</v>
      </c>
      <c r="X382" s="31" t="s">
        <v>2802</v>
      </c>
      <c r="Y382" s="31" t="s">
        <v>86</v>
      </c>
      <c r="Z382" s="31" t="s">
        <v>261</v>
      </c>
      <c r="AA382" s="31" t="s">
        <v>123</v>
      </c>
      <c r="AB382" s="31" t="s">
        <v>124</v>
      </c>
      <c r="AC382" s="46" t="s">
        <v>161</v>
      </c>
      <c r="AD382" s="47"/>
      <c r="AE382" s="49"/>
    </row>
    <row r="383">
      <c r="A383" s="61" t="s">
        <v>169</v>
      </c>
      <c r="B383" s="61" t="s">
        <v>67</v>
      </c>
      <c r="C383" s="82" t="s">
        <v>4147</v>
      </c>
      <c r="D383" s="94">
        <v>600499.0</v>
      </c>
      <c r="E383" s="61" t="s">
        <v>4148</v>
      </c>
      <c r="F383" s="61" t="s">
        <v>4149</v>
      </c>
      <c r="G383" s="61" t="s">
        <v>4150</v>
      </c>
      <c r="H383" s="50" t="s">
        <v>103</v>
      </c>
      <c r="I383" s="138" t="s">
        <v>104</v>
      </c>
      <c r="J383" s="50" t="s">
        <v>233</v>
      </c>
      <c r="K383" s="50" t="s">
        <v>236</v>
      </c>
      <c r="L383" s="138" t="s">
        <v>48</v>
      </c>
      <c r="M383" s="84">
        <v>45553.0</v>
      </c>
      <c r="N383" s="84" t="str">
        <f t="shared" ref="N383:N385" si="205">right(M383,4)</f>
        <v>2024</v>
      </c>
      <c r="O383" s="84">
        <v>45688.0</v>
      </c>
      <c r="P383" s="95" t="str">
        <f t="shared" ref="P383:P385" si="206">right(O383,4)</f>
        <v>2025</v>
      </c>
      <c r="Q383" s="86">
        <f t="shared" ref="Q383:Q385" si="207">DATEDIF(M383,O383,"d")</f>
        <v>135</v>
      </c>
      <c r="R383" s="85">
        <f t="shared" ref="R383:R385" si="208">DATEDIF(M383,O383,"y")</f>
        <v>0</v>
      </c>
      <c r="S383" s="61"/>
      <c r="T383" s="87"/>
      <c r="U383" s="96">
        <v>0.0</v>
      </c>
      <c r="V383" s="61"/>
      <c r="W383" s="174" t="s">
        <v>4152</v>
      </c>
      <c r="X383" s="61"/>
      <c r="Y383" s="61" t="s">
        <v>243</v>
      </c>
      <c r="Z383" s="80" t="s">
        <v>247</v>
      </c>
      <c r="AA383" s="50" t="s">
        <v>289</v>
      </c>
      <c r="AB383" s="50" t="s">
        <v>1499</v>
      </c>
      <c r="AC383" s="65" t="s">
        <v>161</v>
      </c>
      <c r="AD383" s="50" t="s">
        <v>251</v>
      </c>
      <c r="AE383" s="81" t="s">
        <v>220</v>
      </c>
    </row>
    <row r="384">
      <c r="A384" s="41" t="s">
        <v>169</v>
      </c>
      <c r="B384" s="41" t="s">
        <v>67</v>
      </c>
      <c r="C384" s="68" t="s">
        <v>4153</v>
      </c>
      <c r="D384" s="69">
        <v>600503.0</v>
      </c>
      <c r="E384" s="41" t="s">
        <v>640</v>
      </c>
      <c r="F384" s="41" t="s">
        <v>4154</v>
      </c>
      <c r="G384" s="41" t="s">
        <v>4155</v>
      </c>
      <c r="H384" s="41" t="s">
        <v>266</v>
      </c>
      <c r="I384" s="91" t="s">
        <v>708</v>
      </c>
      <c r="J384" s="31" t="s">
        <v>233</v>
      </c>
      <c r="K384" s="31" t="s">
        <v>236</v>
      </c>
      <c r="L384" s="31" t="s">
        <v>25</v>
      </c>
      <c r="M384" s="70">
        <v>45554.0</v>
      </c>
      <c r="N384" s="70" t="str">
        <f t="shared" si="205"/>
        <v>2024</v>
      </c>
      <c r="O384" s="70">
        <v>45919.0</v>
      </c>
      <c r="P384" s="102" t="str">
        <f t="shared" si="206"/>
        <v>2025</v>
      </c>
      <c r="Q384" s="73">
        <f t="shared" si="207"/>
        <v>365</v>
      </c>
      <c r="R384" s="93">
        <f t="shared" si="208"/>
        <v>1</v>
      </c>
      <c r="S384" s="41"/>
      <c r="T384" s="74"/>
      <c r="U384" s="43">
        <v>0.0</v>
      </c>
      <c r="V384" s="41"/>
      <c r="W384" s="41" t="s">
        <v>4156</v>
      </c>
      <c r="X384" s="41"/>
      <c r="Y384" s="31" t="s">
        <v>161</v>
      </c>
      <c r="Z384" s="31" t="s">
        <v>211</v>
      </c>
      <c r="AA384" s="31" t="s">
        <v>123</v>
      </c>
      <c r="AB384" s="31" t="s">
        <v>1753</v>
      </c>
      <c r="AC384" s="46" t="s">
        <v>161</v>
      </c>
      <c r="AD384" s="31" t="s">
        <v>251</v>
      </c>
      <c r="AE384" s="111" t="s">
        <v>220</v>
      </c>
    </row>
    <row r="385">
      <c r="A385" s="61" t="s">
        <v>64</v>
      </c>
      <c r="B385" s="61" t="s">
        <v>67</v>
      </c>
      <c r="C385" s="82" t="s">
        <v>4157</v>
      </c>
      <c r="D385" s="83"/>
      <c r="E385" s="61" t="s">
        <v>2805</v>
      </c>
      <c r="F385" s="61" t="s">
        <v>2806</v>
      </c>
      <c r="G385" s="61" t="s">
        <v>2807</v>
      </c>
      <c r="H385" s="50" t="s">
        <v>84</v>
      </c>
      <c r="I385" s="97" t="s">
        <v>106</v>
      </c>
      <c r="J385" s="138" t="s">
        <v>84</v>
      </c>
      <c r="K385" s="61" t="s">
        <v>84</v>
      </c>
      <c r="L385" s="50" t="s">
        <v>181</v>
      </c>
      <c r="M385" s="84">
        <v>45555.0</v>
      </c>
      <c r="N385" s="84" t="str">
        <f t="shared" si="205"/>
        <v>2024</v>
      </c>
      <c r="O385" s="84">
        <v>45565.0</v>
      </c>
      <c r="P385" s="85" t="str">
        <f t="shared" si="206"/>
        <v>2024</v>
      </c>
      <c r="Q385" s="86">
        <f t="shared" si="207"/>
        <v>10</v>
      </c>
      <c r="R385" s="85">
        <f t="shared" si="208"/>
        <v>0</v>
      </c>
      <c r="S385" s="61" t="s">
        <v>2810</v>
      </c>
      <c r="T385" s="87"/>
      <c r="U385" s="96">
        <v>0.0</v>
      </c>
      <c r="V385" s="61"/>
      <c r="W385" s="61" t="s">
        <v>2809</v>
      </c>
      <c r="X385" s="61"/>
      <c r="Y385" s="50" t="s">
        <v>2103</v>
      </c>
      <c r="Z385" s="61" t="s">
        <v>476</v>
      </c>
      <c r="AA385" s="50" t="s">
        <v>175</v>
      </c>
      <c r="AB385" s="50" t="s">
        <v>768</v>
      </c>
      <c r="AC385" s="65" t="s">
        <v>161</v>
      </c>
      <c r="AD385" s="66"/>
      <c r="AE385" s="108" t="s">
        <v>220</v>
      </c>
    </row>
    <row r="386">
      <c r="A386" s="31" t="s">
        <v>64</v>
      </c>
      <c r="B386" s="31" t="s">
        <v>19</v>
      </c>
      <c r="C386" s="32" t="s">
        <v>4158</v>
      </c>
      <c r="D386" s="33">
        <v>600504.0</v>
      </c>
      <c r="E386" s="31" t="s">
        <v>730</v>
      </c>
      <c r="F386" s="31" t="s">
        <v>2812</v>
      </c>
      <c r="G386" s="31" t="s">
        <v>2813</v>
      </c>
      <c r="H386" s="31" t="s">
        <v>232</v>
      </c>
      <c r="I386" s="35" t="s">
        <v>104</v>
      </c>
      <c r="J386" s="31" t="s">
        <v>146</v>
      </c>
      <c r="K386" s="31" t="s">
        <v>147</v>
      </c>
      <c r="L386" s="31" t="s">
        <v>25</v>
      </c>
      <c r="M386" s="37">
        <v>45555.0</v>
      </c>
      <c r="N386" s="33">
        <v>2024.0</v>
      </c>
      <c r="O386" s="37">
        <v>46447.0</v>
      </c>
      <c r="P386" s="39">
        <v>2027.0</v>
      </c>
      <c r="Q386" s="40">
        <v>892.0</v>
      </c>
      <c r="R386" s="39">
        <v>3.0</v>
      </c>
      <c r="S386" s="41"/>
      <c r="T386" s="33" t="s">
        <v>269</v>
      </c>
      <c r="U386" s="75">
        <v>9.0</v>
      </c>
      <c r="V386" s="41"/>
      <c r="W386" s="31" t="s">
        <v>4173</v>
      </c>
      <c r="X386" s="31" t="s">
        <v>4173</v>
      </c>
      <c r="Y386" s="31" t="s">
        <v>86</v>
      </c>
      <c r="Z386" s="31" t="s">
        <v>211</v>
      </c>
      <c r="AA386" s="31" t="s">
        <v>65</v>
      </c>
      <c r="AB386" s="31" t="s">
        <v>124</v>
      </c>
      <c r="AC386" s="46" t="s">
        <v>161</v>
      </c>
      <c r="AD386" s="47"/>
      <c r="AE386" s="49"/>
    </row>
    <row r="387">
      <c r="A387" s="61" t="s">
        <v>169</v>
      </c>
      <c r="B387" s="61" t="s">
        <v>67</v>
      </c>
      <c r="C387" s="82" t="s">
        <v>4177</v>
      </c>
      <c r="D387" s="94">
        <v>600506.0</v>
      </c>
      <c r="E387" s="61" t="s">
        <v>4178</v>
      </c>
      <c r="F387" s="61" t="s">
        <v>4179</v>
      </c>
      <c r="G387" s="61" t="s">
        <v>4180</v>
      </c>
      <c r="H387" s="61" t="s">
        <v>84</v>
      </c>
      <c r="I387" s="138" t="s">
        <v>104</v>
      </c>
      <c r="J387" s="138" t="s">
        <v>84</v>
      </c>
      <c r="K387" s="61" t="s">
        <v>84</v>
      </c>
      <c r="L387" s="138" t="s">
        <v>48</v>
      </c>
      <c r="M387" s="84">
        <v>45559.0</v>
      </c>
      <c r="N387" s="84" t="str">
        <f t="shared" ref="N387:N392" si="209">right(M387,4)</f>
        <v>2024</v>
      </c>
      <c r="O387" s="84">
        <v>45650.0</v>
      </c>
      <c r="P387" s="95" t="str">
        <f t="shared" ref="P387:P392" si="210">right(O387,4)</f>
        <v>2024</v>
      </c>
      <c r="Q387" s="86">
        <f t="shared" ref="Q387:Q392" si="211">DATEDIF(M387,O387,"d")</f>
        <v>91</v>
      </c>
      <c r="R387" s="85">
        <f t="shared" ref="R387:R392" si="212">DATEDIF(M387,O387,"y")</f>
        <v>0</v>
      </c>
      <c r="S387" s="61"/>
      <c r="T387" s="87"/>
      <c r="U387" s="96">
        <v>0.0</v>
      </c>
      <c r="V387" s="61" t="s">
        <v>4186</v>
      </c>
      <c r="W387" s="61" t="s">
        <v>4187</v>
      </c>
      <c r="X387" s="61"/>
      <c r="Y387" s="61" t="s">
        <v>243</v>
      </c>
      <c r="Z387" s="50" t="s">
        <v>289</v>
      </c>
      <c r="AA387" s="50" t="s">
        <v>2644</v>
      </c>
      <c r="AB387" s="50" t="s">
        <v>1499</v>
      </c>
      <c r="AC387" s="65" t="s">
        <v>161</v>
      </c>
      <c r="AD387" s="50" t="s">
        <v>251</v>
      </c>
      <c r="AE387" s="81" t="s">
        <v>220</v>
      </c>
    </row>
    <row r="388">
      <c r="A388" s="41" t="s">
        <v>64</v>
      </c>
      <c r="B388" s="41" t="s">
        <v>67</v>
      </c>
      <c r="C388" s="68" t="s">
        <v>4189</v>
      </c>
      <c r="D388" s="110"/>
      <c r="E388" s="41" t="s">
        <v>2828</v>
      </c>
      <c r="F388" s="41" t="s">
        <v>2829</v>
      </c>
      <c r="G388" s="41" t="s">
        <v>2830</v>
      </c>
      <c r="H388" s="31" t="s">
        <v>103</v>
      </c>
      <c r="I388" s="77" t="s">
        <v>106</v>
      </c>
      <c r="J388" s="31" t="s">
        <v>146</v>
      </c>
      <c r="K388" s="31" t="s">
        <v>147</v>
      </c>
      <c r="L388" s="31" t="s">
        <v>484</v>
      </c>
      <c r="M388" s="70">
        <v>45561.0</v>
      </c>
      <c r="N388" s="70" t="str">
        <f t="shared" si="209"/>
        <v>2024</v>
      </c>
      <c r="O388" s="70">
        <v>45570.0</v>
      </c>
      <c r="P388" s="93" t="str">
        <f t="shared" si="210"/>
        <v>2024</v>
      </c>
      <c r="Q388" s="73">
        <f t="shared" si="211"/>
        <v>9</v>
      </c>
      <c r="R388" s="93">
        <f t="shared" si="212"/>
        <v>0</v>
      </c>
      <c r="S388" s="41"/>
      <c r="T388" s="74"/>
      <c r="U388" s="75">
        <v>0.0</v>
      </c>
      <c r="V388" s="41"/>
      <c r="W388" s="251" t="s">
        <v>2835</v>
      </c>
      <c r="X388" s="41"/>
      <c r="Y388" s="41" t="s">
        <v>1660</v>
      </c>
      <c r="Z388" s="41" t="s">
        <v>441</v>
      </c>
      <c r="AA388" s="31" t="s">
        <v>175</v>
      </c>
      <c r="AB388" s="31" t="s">
        <v>741</v>
      </c>
      <c r="AC388" s="46" t="s">
        <v>161</v>
      </c>
      <c r="AD388" s="47"/>
      <c r="AE388" s="78" t="s">
        <v>220</v>
      </c>
    </row>
    <row r="389">
      <c r="A389" s="61" t="s">
        <v>64</v>
      </c>
      <c r="B389" s="61" t="s">
        <v>67</v>
      </c>
      <c r="C389" s="82" t="s">
        <v>4191</v>
      </c>
      <c r="D389" s="87">
        <v>600509.0</v>
      </c>
      <c r="E389" s="61" t="s">
        <v>2907</v>
      </c>
      <c r="F389" s="61" t="s">
        <v>2908</v>
      </c>
      <c r="G389" s="61" t="s">
        <v>2909</v>
      </c>
      <c r="H389" s="61" t="s">
        <v>266</v>
      </c>
      <c r="I389" s="56" t="s">
        <v>708</v>
      </c>
      <c r="J389" s="50" t="s">
        <v>233</v>
      </c>
      <c r="K389" s="50" t="s">
        <v>236</v>
      </c>
      <c r="L389" s="50" t="s">
        <v>181</v>
      </c>
      <c r="M389" s="84">
        <v>45565.0</v>
      </c>
      <c r="N389" s="84" t="str">
        <f t="shared" si="209"/>
        <v>2024</v>
      </c>
      <c r="O389" s="84">
        <v>45717.0</v>
      </c>
      <c r="P389" s="85" t="str">
        <f t="shared" si="210"/>
        <v>2025</v>
      </c>
      <c r="Q389" s="86">
        <f t="shared" si="211"/>
        <v>152</v>
      </c>
      <c r="R389" s="85">
        <f t="shared" si="212"/>
        <v>0</v>
      </c>
      <c r="S389" s="61"/>
      <c r="T389" s="87"/>
      <c r="U389" s="96">
        <v>0.0</v>
      </c>
      <c r="V389" s="61"/>
      <c r="W389" s="174" t="s">
        <v>4193</v>
      </c>
      <c r="X389" s="174" t="s">
        <v>4194</v>
      </c>
      <c r="Y389" s="50" t="s">
        <v>121</v>
      </c>
      <c r="Z389" s="50" t="s">
        <v>122</v>
      </c>
      <c r="AA389" s="50" t="s">
        <v>261</v>
      </c>
      <c r="AB389" s="50" t="s">
        <v>124</v>
      </c>
      <c r="AC389" s="65" t="s">
        <v>337</v>
      </c>
      <c r="AD389" s="66"/>
      <c r="AE389" s="67"/>
    </row>
    <row r="390">
      <c r="A390" s="41" t="s">
        <v>169</v>
      </c>
      <c r="B390" s="41" t="s">
        <v>67</v>
      </c>
      <c r="C390" s="68" t="s">
        <v>4195</v>
      </c>
      <c r="D390" s="69">
        <v>600450.0</v>
      </c>
      <c r="E390" s="41" t="s">
        <v>4196</v>
      </c>
      <c r="F390" s="41" t="s">
        <v>4197</v>
      </c>
      <c r="G390" s="41" t="s">
        <v>4198</v>
      </c>
      <c r="H390" s="41" t="s">
        <v>266</v>
      </c>
      <c r="I390" s="91" t="s">
        <v>104</v>
      </c>
      <c r="J390" s="31" t="s">
        <v>233</v>
      </c>
      <c r="K390" s="31" t="s">
        <v>236</v>
      </c>
      <c r="L390" s="91" t="s">
        <v>25</v>
      </c>
      <c r="M390" s="70">
        <v>45566.0</v>
      </c>
      <c r="N390" s="70" t="str">
        <f t="shared" si="209"/>
        <v>2024</v>
      </c>
      <c r="O390" s="70">
        <v>45657.0</v>
      </c>
      <c r="P390" s="102" t="str">
        <f t="shared" si="210"/>
        <v>2024</v>
      </c>
      <c r="Q390" s="73">
        <f t="shared" si="211"/>
        <v>91</v>
      </c>
      <c r="R390" s="93">
        <f t="shared" si="212"/>
        <v>0</v>
      </c>
      <c r="S390" s="41"/>
      <c r="T390" s="74"/>
      <c r="U390" s="75">
        <v>0.0</v>
      </c>
      <c r="V390" s="41" t="s">
        <v>4199</v>
      </c>
      <c r="W390" s="41" t="s">
        <v>4200</v>
      </c>
      <c r="X390" s="41"/>
      <c r="Y390" s="41" t="s">
        <v>243</v>
      </c>
      <c r="Z390" s="31" t="s">
        <v>289</v>
      </c>
      <c r="AA390" s="31" t="s">
        <v>2644</v>
      </c>
      <c r="AB390" s="31" t="s">
        <v>1753</v>
      </c>
      <c r="AC390" s="46" t="s">
        <v>161</v>
      </c>
      <c r="AD390" s="31" t="s">
        <v>251</v>
      </c>
      <c r="AE390" s="111" t="s">
        <v>220</v>
      </c>
    </row>
    <row r="391">
      <c r="A391" s="61" t="s">
        <v>64</v>
      </c>
      <c r="B391" s="61" t="s">
        <v>67</v>
      </c>
      <c r="C391" s="82" t="s">
        <v>4201</v>
      </c>
      <c r="D391" s="87">
        <v>600509.0</v>
      </c>
      <c r="E391" s="61" t="s">
        <v>2845</v>
      </c>
      <c r="F391" s="61" t="s">
        <v>2846</v>
      </c>
      <c r="G391" s="174" t="s">
        <v>4202</v>
      </c>
      <c r="H391" s="61" t="s">
        <v>84</v>
      </c>
      <c r="I391" s="152" t="s">
        <v>106</v>
      </c>
      <c r="J391" s="50" t="s">
        <v>233</v>
      </c>
      <c r="K391" s="50" t="s">
        <v>147</v>
      </c>
      <c r="L391" s="50" t="s">
        <v>181</v>
      </c>
      <c r="M391" s="84">
        <v>45567.0</v>
      </c>
      <c r="N391" s="84" t="str">
        <f t="shared" si="209"/>
        <v>2024</v>
      </c>
      <c r="O391" s="84">
        <v>45932.0</v>
      </c>
      <c r="P391" s="85" t="str">
        <f t="shared" si="210"/>
        <v>2025</v>
      </c>
      <c r="Q391" s="86">
        <f t="shared" si="211"/>
        <v>365</v>
      </c>
      <c r="R391" s="85">
        <f t="shared" si="212"/>
        <v>1</v>
      </c>
      <c r="S391" s="61"/>
      <c r="T391" s="87"/>
      <c r="U391" s="96">
        <v>0.0</v>
      </c>
      <c r="V391" s="61"/>
      <c r="W391" s="174" t="s">
        <v>4204</v>
      </c>
      <c r="X391" s="174" t="s">
        <v>4205</v>
      </c>
      <c r="Y391" s="61" t="s">
        <v>2799</v>
      </c>
      <c r="Z391" s="50" t="s">
        <v>311</v>
      </c>
      <c r="AA391" s="50" t="s">
        <v>175</v>
      </c>
      <c r="AB391" s="50" t="s">
        <v>124</v>
      </c>
      <c r="AC391" s="65" t="s">
        <v>161</v>
      </c>
      <c r="AD391" s="66"/>
      <c r="AE391" s="108" t="s">
        <v>220</v>
      </c>
    </row>
    <row r="392">
      <c r="A392" s="41" t="s">
        <v>64</v>
      </c>
      <c r="B392" s="41" t="s">
        <v>67</v>
      </c>
      <c r="C392" s="68" t="s">
        <v>4206</v>
      </c>
      <c r="D392" s="74">
        <v>600513.0</v>
      </c>
      <c r="E392" s="41" t="s">
        <v>2851</v>
      </c>
      <c r="F392" s="41" t="s">
        <v>2852</v>
      </c>
      <c r="G392" s="41" t="s">
        <v>2853</v>
      </c>
      <c r="H392" s="41" t="s">
        <v>84</v>
      </c>
      <c r="I392" s="31" t="s">
        <v>4207</v>
      </c>
      <c r="J392" s="91" t="s">
        <v>84</v>
      </c>
      <c r="K392" s="41" t="s">
        <v>84</v>
      </c>
      <c r="L392" s="31" t="s">
        <v>181</v>
      </c>
      <c r="M392" s="70">
        <v>45568.0</v>
      </c>
      <c r="N392" s="70" t="str">
        <f t="shared" si="209"/>
        <v>2024</v>
      </c>
      <c r="O392" s="70">
        <v>45695.0</v>
      </c>
      <c r="P392" s="93" t="str">
        <f t="shared" si="210"/>
        <v>2025</v>
      </c>
      <c r="Q392" s="73">
        <f t="shared" si="211"/>
        <v>127</v>
      </c>
      <c r="R392" s="93">
        <f t="shared" si="212"/>
        <v>0</v>
      </c>
      <c r="S392" s="41"/>
      <c r="T392" s="74"/>
      <c r="U392" s="75">
        <v>0.0</v>
      </c>
      <c r="V392" s="41"/>
      <c r="W392" s="246" t="s">
        <v>2859</v>
      </c>
      <c r="X392" s="41" t="s">
        <v>2860</v>
      </c>
      <c r="Y392" s="41" t="s">
        <v>740</v>
      </c>
      <c r="Z392" s="41" t="s">
        <v>441</v>
      </c>
      <c r="AA392" s="31" t="s">
        <v>261</v>
      </c>
      <c r="AB392" s="41" t="s">
        <v>336</v>
      </c>
      <c r="AC392" s="46" t="s">
        <v>161</v>
      </c>
      <c r="AD392" s="47"/>
      <c r="AE392" s="78" t="s">
        <v>220</v>
      </c>
    </row>
    <row r="393">
      <c r="A393" s="50" t="s">
        <v>169</v>
      </c>
      <c r="B393" s="50" t="s">
        <v>19</v>
      </c>
      <c r="C393" s="52" t="s">
        <v>4208</v>
      </c>
      <c r="D393" s="79">
        <v>600512.0</v>
      </c>
      <c r="E393" s="50" t="s">
        <v>931</v>
      </c>
      <c r="F393" s="50" t="s">
        <v>4209</v>
      </c>
      <c r="G393" s="50" t="s">
        <v>4210</v>
      </c>
      <c r="H393" s="50" t="s">
        <v>103</v>
      </c>
      <c r="I393" s="56" t="s">
        <v>104</v>
      </c>
      <c r="J393" s="50" t="s">
        <v>146</v>
      </c>
      <c r="K393" s="50" t="s">
        <v>147</v>
      </c>
      <c r="L393" s="112" t="s">
        <v>155</v>
      </c>
      <c r="M393" s="57">
        <v>45568.0</v>
      </c>
      <c r="N393" s="54">
        <v>2024.0</v>
      </c>
      <c r="O393" s="57">
        <v>46298.0</v>
      </c>
      <c r="P393" s="59">
        <v>2026.0</v>
      </c>
      <c r="Q393" s="60">
        <v>730.0</v>
      </c>
      <c r="R393" s="59">
        <v>2.0</v>
      </c>
      <c r="S393" s="61"/>
      <c r="T393" s="54" t="s">
        <v>113</v>
      </c>
      <c r="U393" s="199">
        <v>1.0</v>
      </c>
      <c r="V393" s="61"/>
      <c r="W393" s="50" t="s">
        <v>4211</v>
      </c>
      <c r="X393" s="50" t="s">
        <v>4212</v>
      </c>
      <c r="Y393" s="50" t="s">
        <v>161</v>
      </c>
      <c r="Z393" s="80" t="s">
        <v>261</v>
      </c>
      <c r="AA393" s="50" t="s">
        <v>123</v>
      </c>
      <c r="AB393" s="50" t="s">
        <v>975</v>
      </c>
      <c r="AC393" s="65" t="s">
        <v>128</v>
      </c>
      <c r="AD393" s="65"/>
      <c r="AE393" s="120"/>
    </row>
    <row r="394">
      <c r="A394" s="41" t="s">
        <v>64</v>
      </c>
      <c r="B394" s="41" t="s">
        <v>67</v>
      </c>
      <c r="C394" s="68" t="s">
        <v>4213</v>
      </c>
      <c r="D394" s="74">
        <v>20667.0</v>
      </c>
      <c r="E394" s="41" t="s">
        <v>2958</v>
      </c>
      <c r="F394" s="41" t="s">
        <v>2959</v>
      </c>
      <c r="G394" s="41" t="s">
        <v>2960</v>
      </c>
      <c r="H394" s="41" t="s">
        <v>464</v>
      </c>
      <c r="I394" s="77" t="s">
        <v>104</v>
      </c>
      <c r="J394" s="31" t="s">
        <v>233</v>
      </c>
      <c r="K394" s="31" t="s">
        <v>236</v>
      </c>
      <c r="L394" s="91" t="s">
        <v>25</v>
      </c>
      <c r="M394" s="70">
        <v>45569.0</v>
      </c>
      <c r="N394" s="70" t="str">
        <f>right(M394,4)</f>
        <v>2024</v>
      </c>
      <c r="O394" s="70">
        <v>45934.0</v>
      </c>
      <c r="P394" s="93" t="str">
        <f>right(O394,4)</f>
        <v>2025</v>
      </c>
      <c r="Q394" s="73">
        <f>DATEDIF(M394,O394,"d")</f>
        <v>365</v>
      </c>
      <c r="R394" s="93">
        <f>DATEDIF(M394,O394,"y")</f>
        <v>1</v>
      </c>
      <c r="S394" s="41"/>
      <c r="T394" s="74"/>
      <c r="U394" s="43">
        <v>0.0</v>
      </c>
      <c r="V394" s="41"/>
      <c r="W394" s="41" t="s">
        <v>2964</v>
      </c>
      <c r="X394" s="41" t="s">
        <v>2964</v>
      </c>
      <c r="Y394" s="41" t="s">
        <v>86</v>
      </c>
      <c r="Z394" s="101" t="s">
        <v>211</v>
      </c>
      <c r="AA394" s="101" t="s">
        <v>14</v>
      </c>
      <c r="AB394" s="92" t="s">
        <v>289</v>
      </c>
      <c r="AC394" s="46" t="s">
        <v>161</v>
      </c>
      <c r="AD394" s="47"/>
      <c r="AE394" s="49"/>
    </row>
    <row r="395">
      <c r="A395" s="80" t="s">
        <v>64</v>
      </c>
      <c r="B395" s="80" t="s">
        <v>19</v>
      </c>
      <c r="C395" s="123" t="s">
        <v>4216</v>
      </c>
      <c r="D395" s="252" t="s">
        <v>4217</v>
      </c>
      <c r="E395" s="80" t="s">
        <v>2280</v>
      </c>
      <c r="F395" s="80" t="s">
        <v>2283</v>
      </c>
      <c r="G395" s="80" t="s">
        <v>2285</v>
      </c>
      <c r="H395" s="125" t="s">
        <v>232</v>
      </c>
      <c r="I395" s="152" t="s">
        <v>106</v>
      </c>
      <c r="J395" s="125" t="s">
        <v>233</v>
      </c>
      <c r="K395" s="125" t="s">
        <v>84</v>
      </c>
      <c r="L395" s="50" t="s">
        <v>105</v>
      </c>
      <c r="M395" s="126">
        <v>45572.0</v>
      </c>
      <c r="N395" s="124">
        <v>2024.0</v>
      </c>
      <c r="O395" s="126">
        <v>46508.0</v>
      </c>
      <c r="P395" s="127">
        <v>2027.0</v>
      </c>
      <c r="Q395" s="127">
        <v>936.0</v>
      </c>
      <c r="R395" s="127">
        <v>3.0</v>
      </c>
      <c r="S395" s="80" t="s">
        <v>4218</v>
      </c>
      <c r="T395" s="124" t="s">
        <v>113</v>
      </c>
      <c r="U395" s="199">
        <v>2.0</v>
      </c>
      <c r="V395" s="128"/>
      <c r="W395" s="253" t="s">
        <v>2292</v>
      </c>
      <c r="X395" s="253" t="s">
        <v>2292</v>
      </c>
      <c r="Y395" s="80" t="s">
        <v>740</v>
      </c>
      <c r="Z395" s="50" t="s">
        <v>211</v>
      </c>
      <c r="AA395" s="80" t="s">
        <v>38</v>
      </c>
      <c r="AB395" s="80" t="s">
        <v>508</v>
      </c>
      <c r="AC395" s="152" t="s">
        <v>161</v>
      </c>
      <c r="AD395" s="254"/>
      <c r="AE395" s="67"/>
    </row>
    <row r="396">
      <c r="A396" s="41" t="s">
        <v>169</v>
      </c>
      <c r="B396" s="41" t="s">
        <v>67</v>
      </c>
      <c r="C396" s="68" t="s">
        <v>4219</v>
      </c>
      <c r="D396" s="69">
        <v>600514.0</v>
      </c>
      <c r="E396" s="41" t="s">
        <v>4220</v>
      </c>
      <c r="F396" s="41" t="s">
        <v>4221</v>
      </c>
      <c r="G396" s="41" t="s">
        <v>4222</v>
      </c>
      <c r="H396" s="31" t="s">
        <v>103</v>
      </c>
      <c r="I396" s="31" t="s">
        <v>289</v>
      </c>
      <c r="J396" s="31" t="s">
        <v>146</v>
      </c>
      <c r="K396" s="31" t="s">
        <v>147</v>
      </c>
      <c r="L396" s="91" t="s">
        <v>48</v>
      </c>
      <c r="M396" s="70">
        <v>45572.0</v>
      </c>
      <c r="N396" s="70" t="str">
        <f t="shared" ref="N396:N397" si="213">right(M396,4)</f>
        <v>2024</v>
      </c>
      <c r="O396" s="70">
        <v>45838.0</v>
      </c>
      <c r="P396" s="102" t="str">
        <f t="shared" ref="P396:P397" si="214">right(O396,4)</f>
        <v>2025</v>
      </c>
      <c r="Q396" s="73">
        <f t="shared" ref="Q396:Q397" si="215">DATEDIF(M396,O396,"d")</f>
        <v>266</v>
      </c>
      <c r="R396" s="93">
        <f t="shared" ref="R396:R397" si="216">DATEDIF(M396,O396,"y")</f>
        <v>0</v>
      </c>
      <c r="S396" s="41"/>
      <c r="T396" s="74"/>
      <c r="U396" s="75">
        <v>0.0</v>
      </c>
      <c r="V396" s="77"/>
      <c r="W396" s="41" t="s">
        <v>4224</v>
      </c>
      <c r="X396" s="41" t="s">
        <v>4224</v>
      </c>
      <c r="Y396" s="41" t="s">
        <v>740</v>
      </c>
      <c r="Z396" s="101" t="s">
        <v>247</v>
      </c>
      <c r="AA396" s="31" t="s">
        <v>261</v>
      </c>
      <c r="AB396" s="31" t="s">
        <v>213</v>
      </c>
      <c r="AC396" s="46" t="s">
        <v>128</v>
      </c>
      <c r="AD396" s="41"/>
      <c r="AE396" s="149" t="s">
        <v>220</v>
      </c>
    </row>
    <row r="397">
      <c r="A397" s="61" t="s">
        <v>64</v>
      </c>
      <c r="B397" s="61" t="s">
        <v>67</v>
      </c>
      <c r="C397" s="82" t="s">
        <v>4225</v>
      </c>
      <c r="D397" s="87">
        <v>600505.0</v>
      </c>
      <c r="E397" s="61" t="s">
        <v>2838</v>
      </c>
      <c r="F397" s="61" t="s">
        <v>2839</v>
      </c>
      <c r="G397" s="61" t="s">
        <v>2840</v>
      </c>
      <c r="H397" s="61" t="s">
        <v>464</v>
      </c>
      <c r="I397" s="56" t="s">
        <v>708</v>
      </c>
      <c r="J397" s="50" t="s">
        <v>233</v>
      </c>
      <c r="K397" s="50" t="s">
        <v>236</v>
      </c>
      <c r="L397" s="50" t="s">
        <v>181</v>
      </c>
      <c r="M397" s="84">
        <v>45573.0</v>
      </c>
      <c r="N397" s="84" t="str">
        <f t="shared" si="213"/>
        <v>2024</v>
      </c>
      <c r="O397" s="84">
        <v>45938.0</v>
      </c>
      <c r="P397" s="85" t="str">
        <f t="shared" si="214"/>
        <v>2025</v>
      </c>
      <c r="Q397" s="86">
        <f t="shared" si="215"/>
        <v>365</v>
      </c>
      <c r="R397" s="85">
        <f t="shared" si="216"/>
        <v>1</v>
      </c>
      <c r="S397" s="61"/>
      <c r="T397" s="87"/>
      <c r="U397" s="96">
        <v>0.0</v>
      </c>
      <c r="V397" s="61"/>
      <c r="W397" s="255" t="s">
        <v>2842</v>
      </c>
      <c r="X397" s="255" t="s">
        <v>2842</v>
      </c>
      <c r="Y397" s="61" t="s">
        <v>2841</v>
      </c>
      <c r="Z397" s="50" t="s">
        <v>122</v>
      </c>
      <c r="AA397" s="50" t="s">
        <v>261</v>
      </c>
      <c r="AB397" s="61" t="s">
        <v>336</v>
      </c>
      <c r="AC397" s="65" t="s">
        <v>337</v>
      </c>
      <c r="AD397" s="66"/>
      <c r="AE397" s="67"/>
    </row>
    <row r="398">
      <c r="A398" s="31" t="s">
        <v>64</v>
      </c>
      <c r="B398" s="31" t="s">
        <v>19</v>
      </c>
      <c r="C398" s="32" t="s">
        <v>4227</v>
      </c>
      <c r="D398" s="33">
        <v>600516.0</v>
      </c>
      <c r="E398" s="31" t="s">
        <v>839</v>
      </c>
      <c r="F398" s="31" t="s">
        <v>2862</v>
      </c>
      <c r="G398" s="31" t="s">
        <v>2863</v>
      </c>
      <c r="H398" s="31" t="s">
        <v>232</v>
      </c>
      <c r="I398" s="35" t="s">
        <v>104</v>
      </c>
      <c r="J398" s="31" t="s">
        <v>84</v>
      </c>
      <c r="K398" s="31" t="s">
        <v>84</v>
      </c>
      <c r="L398" s="31" t="s">
        <v>181</v>
      </c>
      <c r="M398" s="37">
        <v>45573.0</v>
      </c>
      <c r="N398" s="33">
        <v>2024.0</v>
      </c>
      <c r="O398" s="37">
        <v>46477.0</v>
      </c>
      <c r="P398" s="40">
        <v>2027.0</v>
      </c>
      <c r="Q398" s="40">
        <v>904.0</v>
      </c>
      <c r="R398" s="40">
        <v>3.0</v>
      </c>
      <c r="S398" s="31" t="s">
        <v>2867</v>
      </c>
      <c r="T398" s="33" t="s">
        <v>113</v>
      </c>
      <c r="U398" s="75">
        <v>2.0</v>
      </c>
      <c r="V398" s="31" t="s">
        <v>4228</v>
      </c>
      <c r="W398" s="31" t="s">
        <v>2866</v>
      </c>
      <c r="X398" s="31" t="s">
        <v>2866</v>
      </c>
      <c r="Y398" s="31" t="s">
        <v>2418</v>
      </c>
      <c r="Z398" s="31" t="s">
        <v>210</v>
      </c>
      <c r="AA398" s="31" t="s">
        <v>123</v>
      </c>
      <c r="AB398" s="31" t="s">
        <v>124</v>
      </c>
      <c r="AC398" s="46" t="s">
        <v>337</v>
      </c>
      <c r="AD398" s="47"/>
      <c r="AE398" s="49"/>
    </row>
    <row r="399">
      <c r="A399" s="50" t="s">
        <v>64</v>
      </c>
      <c r="B399" s="50" t="s">
        <v>19</v>
      </c>
      <c r="C399" s="52" t="s">
        <v>4229</v>
      </c>
      <c r="D399" s="256" t="s">
        <v>4230</v>
      </c>
      <c r="E399" s="50" t="s">
        <v>2872</v>
      </c>
      <c r="F399" s="50" t="s">
        <v>2873</v>
      </c>
      <c r="G399" s="50" t="s">
        <v>2874</v>
      </c>
      <c r="H399" s="50" t="s">
        <v>103</v>
      </c>
      <c r="I399" s="65" t="s">
        <v>104</v>
      </c>
      <c r="J399" s="50" t="s">
        <v>233</v>
      </c>
      <c r="K399" s="50" t="s">
        <v>4231</v>
      </c>
      <c r="L399" s="50" t="s">
        <v>181</v>
      </c>
      <c r="M399" s="57">
        <v>45574.0</v>
      </c>
      <c r="N399" s="54">
        <v>2024.0</v>
      </c>
      <c r="O399" s="57">
        <v>46332.0</v>
      </c>
      <c r="P399" s="59">
        <v>2026.0</v>
      </c>
      <c r="Q399" s="60">
        <v>758.0</v>
      </c>
      <c r="R399" s="59">
        <v>3.0</v>
      </c>
      <c r="S399" s="50" t="s">
        <v>4232</v>
      </c>
      <c r="T399" s="54" t="s">
        <v>113</v>
      </c>
      <c r="U399" s="96">
        <v>1.0</v>
      </c>
      <c r="V399" s="50" t="s">
        <v>2881</v>
      </c>
      <c r="W399" s="50" t="s">
        <v>2878</v>
      </c>
      <c r="X399" s="50" t="s">
        <v>2879</v>
      </c>
      <c r="Y399" s="50" t="s">
        <v>740</v>
      </c>
      <c r="Z399" s="50" t="s">
        <v>210</v>
      </c>
      <c r="AA399" s="50" t="s">
        <v>14</v>
      </c>
      <c r="AB399" s="50" t="s">
        <v>741</v>
      </c>
      <c r="AC399" s="65" t="s">
        <v>164</v>
      </c>
      <c r="AD399" s="66"/>
      <c r="AE399" s="81"/>
    </row>
    <row r="400">
      <c r="A400" s="31" t="s">
        <v>64</v>
      </c>
      <c r="B400" s="31" t="s">
        <v>19</v>
      </c>
      <c r="C400" s="32" t="s">
        <v>4233</v>
      </c>
      <c r="D400" s="33">
        <v>600333.0</v>
      </c>
      <c r="E400" s="31" t="s">
        <v>501</v>
      </c>
      <c r="F400" s="31" t="s">
        <v>2882</v>
      </c>
      <c r="G400" s="150" t="s">
        <v>4234</v>
      </c>
      <c r="H400" s="31" t="s">
        <v>232</v>
      </c>
      <c r="I400" s="31" t="s">
        <v>104</v>
      </c>
      <c r="J400" s="31" t="s">
        <v>233</v>
      </c>
      <c r="K400" s="31" t="s">
        <v>236</v>
      </c>
      <c r="L400" s="31" t="s">
        <v>25</v>
      </c>
      <c r="M400" s="37">
        <v>45574.0</v>
      </c>
      <c r="N400" s="33">
        <v>2024.0</v>
      </c>
      <c r="O400" s="37">
        <v>46387.0</v>
      </c>
      <c r="P400" s="39">
        <v>2026.0</v>
      </c>
      <c r="Q400" s="40">
        <v>813.0</v>
      </c>
      <c r="R400" s="39">
        <v>3.0</v>
      </c>
      <c r="S400" s="41"/>
      <c r="T400" s="33" t="s">
        <v>113</v>
      </c>
      <c r="U400" s="43">
        <v>1.0</v>
      </c>
      <c r="V400" s="41"/>
      <c r="W400" s="150" t="s">
        <v>4236</v>
      </c>
      <c r="X400" s="150" t="s">
        <v>4236</v>
      </c>
      <c r="Y400" s="31" t="s">
        <v>2442</v>
      </c>
      <c r="Z400" s="31" t="s">
        <v>211</v>
      </c>
      <c r="AA400" s="31" t="s">
        <v>123</v>
      </c>
      <c r="AB400" s="31" t="s">
        <v>124</v>
      </c>
      <c r="AC400" s="46" t="s">
        <v>337</v>
      </c>
      <c r="AD400" s="47"/>
      <c r="AE400" s="49"/>
    </row>
    <row r="401">
      <c r="A401" s="61" t="s">
        <v>64</v>
      </c>
      <c r="B401" s="61" t="s">
        <v>67</v>
      </c>
      <c r="C401" s="82" t="s">
        <v>4237</v>
      </c>
      <c r="D401" s="87">
        <v>600520.0</v>
      </c>
      <c r="E401" s="61" t="s">
        <v>2893</v>
      </c>
      <c r="F401" s="61" t="s">
        <v>2894</v>
      </c>
      <c r="G401" s="61" t="s">
        <v>2895</v>
      </c>
      <c r="H401" s="50" t="s">
        <v>266</v>
      </c>
      <c r="I401" s="97" t="s">
        <v>106</v>
      </c>
      <c r="J401" s="50" t="s">
        <v>146</v>
      </c>
      <c r="K401" s="50" t="s">
        <v>147</v>
      </c>
      <c r="L401" s="50" t="s">
        <v>181</v>
      </c>
      <c r="M401" s="84">
        <v>45579.0</v>
      </c>
      <c r="N401" s="84" t="str">
        <f t="shared" ref="N401:N404" si="217">right(M401,4)</f>
        <v>2024</v>
      </c>
      <c r="O401" s="84">
        <v>45596.0</v>
      </c>
      <c r="P401" s="85" t="str">
        <f t="shared" ref="P401:P404" si="218">right(O401,4)</f>
        <v>2024</v>
      </c>
      <c r="Q401" s="86">
        <f t="shared" ref="Q401:Q404" si="219">DATEDIF(M401,O401,"d")</f>
        <v>17</v>
      </c>
      <c r="R401" s="85">
        <f t="shared" ref="R401:R404" si="220">DATEDIF(M401,O401,"y")</f>
        <v>0</v>
      </c>
      <c r="S401" s="61" t="s">
        <v>2903</v>
      </c>
      <c r="T401" s="87"/>
      <c r="U401" s="96">
        <v>0.0</v>
      </c>
      <c r="V401" s="61" t="s">
        <v>2905</v>
      </c>
      <c r="W401" s="255" t="s">
        <v>2902</v>
      </c>
      <c r="X401" s="61"/>
      <c r="Y401" s="61" t="s">
        <v>1632</v>
      </c>
      <c r="Z401" s="61" t="s">
        <v>441</v>
      </c>
      <c r="AA401" s="50" t="s">
        <v>175</v>
      </c>
      <c r="AB401" s="61" t="s">
        <v>336</v>
      </c>
      <c r="AC401" s="65" t="s">
        <v>161</v>
      </c>
      <c r="AD401" s="66"/>
      <c r="AE401" s="108" t="s">
        <v>220</v>
      </c>
    </row>
    <row r="402">
      <c r="A402" s="41" t="s">
        <v>64</v>
      </c>
      <c r="B402" s="41" t="s">
        <v>67</v>
      </c>
      <c r="C402" s="68" t="s">
        <v>4238</v>
      </c>
      <c r="D402" s="74">
        <v>600521.0</v>
      </c>
      <c r="E402" s="41" t="s">
        <v>2966</v>
      </c>
      <c r="F402" s="41" t="s">
        <v>2967</v>
      </c>
      <c r="G402" s="41" t="s">
        <v>2968</v>
      </c>
      <c r="H402" s="41" t="s">
        <v>266</v>
      </c>
      <c r="I402" s="35" t="s">
        <v>708</v>
      </c>
      <c r="J402" s="31" t="s">
        <v>233</v>
      </c>
      <c r="K402" s="31" t="s">
        <v>236</v>
      </c>
      <c r="L402" s="31" t="s">
        <v>181</v>
      </c>
      <c r="M402" s="70">
        <v>45579.0</v>
      </c>
      <c r="N402" s="70" t="str">
        <f t="shared" si="217"/>
        <v>2024</v>
      </c>
      <c r="O402" s="70">
        <v>45762.0</v>
      </c>
      <c r="P402" s="93" t="str">
        <f t="shared" si="218"/>
        <v>2025</v>
      </c>
      <c r="Q402" s="73">
        <f t="shared" si="219"/>
        <v>183</v>
      </c>
      <c r="R402" s="93">
        <f t="shared" si="220"/>
        <v>0</v>
      </c>
      <c r="S402" s="41" t="s">
        <v>2975</v>
      </c>
      <c r="T402" s="74"/>
      <c r="U402" s="75">
        <v>0.0</v>
      </c>
      <c r="V402" s="41"/>
      <c r="W402" s="154" t="s">
        <v>4239</v>
      </c>
      <c r="X402" s="154" t="s">
        <v>4240</v>
      </c>
      <c r="Y402" s="31" t="s">
        <v>121</v>
      </c>
      <c r="Z402" s="31" t="s">
        <v>122</v>
      </c>
      <c r="AA402" s="31" t="s">
        <v>261</v>
      </c>
      <c r="AB402" s="31" t="s">
        <v>124</v>
      </c>
      <c r="AC402" s="46" t="s">
        <v>337</v>
      </c>
      <c r="AD402" s="47"/>
      <c r="AE402" s="49"/>
    </row>
    <row r="403">
      <c r="A403" s="61" t="s">
        <v>169</v>
      </c>
      <c r="B403" s="61" t="s">
        <v>67</v>
      </c>
      <c r="C403" s="82" t="s">
        <v>4241</v>
      </c>
      <c r="D403" s="94">
        <v>600522.0</v>
      </c>
      <c r="E403" s="61" t="s">
        <v>4242</v>
      </c>
      <c r="F403" s="61" t="s">
        <v>4243</v>
      </c>
      <c r="G403" s="61" t="s">
        <v>4245</v>
      </c>
      <c r="H403" s="50" t="s">
        <v>103</v>
      </c>
      <c r="I403" s="56" t="s">
        <v>708</v>
      </c>
      <c r="J403" s="80" t="s">
        <v>146</v>
      </c>
      <c r="K403" s="50" t="s">
        <v>147</v>
      </c>
      <c r="L403" s="50" t="s">
        <v>181</v>
      </c>
      <c r="M403" s="84">
        <v>45580.0</v>
      </c>
      <c r="N403" s="84" t="str">
        <f t="shared" si="217"/>
        <v>2024</v>
      </c>
      <c r="O403" s="84">
        <v>45946.0</v>
      </c>
      <c r="P403" s="95" t="str">
        <f t="shared" si="218"/>
        <v>2025</v>
      </c>
      <c r="Q403" s="86">
        <f t="shared" si="219"/>
        <v>366</v>
      </c>
      <c r="R403" s="85">
        <f t="shared" si="220"/>
        <v>1</v>
      </c>
      <c r="S403" s="61"/>
      <c r="T403" s="87"/>
      <c r="U403" s="62">
        <v>0.0</v>
      </c>
      <c r="V403" s="61"/>
      <c r="W403" s="61" t="s">
        <v>4246</v>
      </c>
      <c r="X403" s="61" t="s">
        <v>4246</v>
      </c>
      <c r="Y403" s="61" t="s">
        <v>2783</v>
      </c>
      <c r="Z403" s="50" t="s">
        <v>311</v>
      </c>
      <c r="AA403" s="50" t="s">
        <v>261</v>
      </c>
      <c r="AB403" s="106" t="s">
        <v>442</v>
      </c>
      <c r="AC403" s="65" t="s">
        <v>161</v>
      </c>
      <c r="AD403" s="97"/>
      <c r="AE403" s="120"/>
    </row>
    <row r="404">
      <c r="A404" s="41" t="s">
        <v>64</v>
      </c>
      <c r="B404" s="41" t="s">
        <v>19</v>
      </c>
      <c r="C404" s="68" t="s">
        <v>4247</v>
      </c>
      <c r="D404" s="74">
        <v>600524.0</v>
      </c>
      <c r="E404" s="41" t="s">
        <v>2924</v>
      </c>
      <c r="F404" s="41" t="s">
        <v>2925</v>
      </c>
      <c r="G404" s="41" t="s">
        <v>2926</v>
      </c>
      <c r="H404" s="31" t="s">
        <v>103</v>
      </c>
      <c r="I404" s="35" t="s">
        <v>708</v>
      </c>
      <c r="J404" s="31" t="s">
        <v>146</v>
      </c>
      <c r="K404" s="31" t="s">
        <v>147</v>
      </c>
      <c r="L404" s="31" t="s">
        <v>181</v>
      </c>
      <c r="M404" s="70">
        <v>45581.0</v>
      </c>
      <c r="N404" s="70" t="str">
        <f t="shared" si="217"/>
        <v>2024</v>
      </c>
      <c r="O404" s="70">
        <v>46311.0</v>
      </c>
      <c r="P404" s="73" t="str">
        <f t="shared" si="218"/>
        <v>2026</v>
      </c>
      <c r="Q404" s="73">
        <f t="shared" si="219"/>
        <v>730</v>
      </c>
      <c r="R404" s="73">
        <f t="shared" si="220"/>
        <v>2</v>
      </c>
      <c r="S404" s="41"/>
      <c r="T404" s="74"/>
      <c r="U404" s="75">
        <v>1.0</v>
      </c>
      <c r="V404" s="41"/>
      <c r="W404" s="246" t="s">
        <v>2931</v>
      </c>
      <c r="X404" s="246" t="s">
        <v>2931</v>
      </c>
      <c r="Y404" s="41" t="s">
        <v>2429</v>
      </c>
      <c r="Z404" s="31" t="s">
        <v>210</v>
      </c>
      <c r="AA404" s="31" t="s">
        <v>14</v>
      </c>
      <c r="AB404" s="31" t="s">
        <v>124</v>
      </c>
      <c r="AC404" s="46" t="s">
        <v>276</v>
      </c>
      <c r="AD404" s="47"/>
      <c r="AE404" s="49"/>
    </row>
    <row r="405">
      <c r="A405" s="50" t="s">
        <v>169</v>
      </c>
      <c r="B405" s="50" t="s">
        <v>19</v>
      </c>
      <c r="C405" s="52" t="s">
        <v>4248</v>
      </c>
      <c r="D405" s="79">
        <v>600523.0</v>
      </c>
      <c r="E405" s="50" t="s">
        <v>4249</v>
      </c>
      <c r="F405" s="50" t="s">
        <v>4250</v>
      </c>
      <c r="G405" s="50" t="s">
        <v>4251</v>
      </c>
      <c r="H405" s="50" t="s">
        <v>103</v>
      </c>
      <c r="I405" s="50" t="s">
        <v>104</v>
      </c>
      <c r="J405" s="50" t="s">
        <v>146</v>
      </c>
      <c r="K405" s="50" t="s">
        <v>236</v>
      </c>
      <c r="L405" s="50" t="s">
        <v>3222</v>
      </c>
      <c r="M405" s="57">
        <v>45581.0</v>
      </c>
      <c r="N405" s="54">
        <v>2024.0</v>
      </c>
      <c r="O405" s="57">
        <v>46387.0</v>
      </c>
      <c r="P405" s="59">
        <v>2026.0</v>
      </c>
      <c r="Q405" s="60">
        <v>806.0</v>
      </c>
      <c r="R405" s="59">
        <v>3.0</v>
      </c>
      <c r="S405" s="61"/>
      <c r="T405" s="54" t="s">
        <v>113</v>
      </c>
      <c r="U405" s="96">
        <v>1.0</v>
      </c>
      <c r="V405" s="50" t="s">
        <v>4252</v>
      </c>
      <c r="W405" s="50" t="s">
        <v>4253</v>
      </c>
      <c r="X405" s="50" t="s">
        <v>4253</v>
      </c>
      <c r="Y405" s="50" t="s">
        <v>243</v>
      </c>
      <c r="Z405" s="80" t="s">
        <v>211</v>
      </c>
      <c r="AA405" s="50" t="s">
        <v>123</v>
      </c>
      <c r="AB405" s="50" t="s">
        <v>621</v>
      </c>
      <c r="AC405" s="65" t="s">
        <v>161</v>
      </c>
      <c r="AD405" s="50"/>
      <c r="AE405" s="81"/>
    </row>
    <row r="406">
      <c r="A406" s="31" t="s">
        <v>64</v>
      </c>
      <c r="B406" s="31" t="s">
        <v>67</v>
      </c>
      <c r="C406" s="32" t="s">
        <v>4254</v>
      </c>
      <c r="D406" s="33">
        <v>600527.0</v>
      </c>
      <c r="E406" s="31" t="s">
        <v>2933</v>
      </c>
      <c r="F406" s="31" t="s">
        <v>2934</v>
      </c>
      <c r="G406" s="150" t="s">
        <v>4255</v>
      </c>
      <c r="H406" s="31" t="s">
        <v>178</v>
      </c>
      <c r="I406" s="100" t="s">
        <v>104</v>
      </c>
      <c r="J406" s="101" t="s">
        <v>146</v>
      </c>
      <c r="K406" s="31" t="s">
        <v>147</v>
      </c>
      <c r="L406" s="31" t="s">
        <v>181</v>
      </c>
      <c r="M406" s="37">
        <v>45586.0</v>
      </c>
      <c r="N406" s="33">
        <v>2024.0</v>
      </c>
      <c r="O406" s="37">
        <v>46053.0</v>
      </c>
      <c r="P406" s="39">
        <v>2026.0</v>
      </c>
      <c r="Q406" s="40">
        <v>467.0</v>
      </c>
      <c r="R406" s="39">
        <v>2.0</v>
      </c>
      <c r="S406" s="41"/>
      <c r="T406" s="33" t="s">
        <v>113</v>
      </c>
      <c r="U406" s="75">
        <v>0.0</v>
      </c>
      <c r="V406" s="31" t="s">
        <v>4257</v>
      </c>
      <c r="W406" s="150" t="s">
        <v>4258</v>
      </c>
      <c r="X406" s="262" t="s">
        <v>4258</v>
      </c>
      <c r="Y406" s="31" t="s">
        <v>740</v>
      </c>
      <c r="Z406" s="31" t="s">
        <v>311</v>
      </c>
      <c r="AA406" s="31" t="s">
        <v>261</v>
      </c>
      <c r="AB406" s="31" t="s">
        <v>124</v>
      </c>
      <c r="AC406" s="46" t="s">
        <v>128</v>
      </c>
      <c r="AD406" s="47"/>
      <c r="AE406" s="149" t="s">
        <v>220</v>
      </c>
    </row>
    <row r="407">
      <c r="A407" s="61" t="s">
        <v>169</v>
      </c>
      <c r="B407" s="61" t="s">
        <v>67</v>
      </c>
      <c r="C407" s="82" t="s">
        <v>4260</v>
      </c>
      <c r="D407" s="94">
        <v>600530.0</v>
      </c>
      <c r="E407" s="61" t="s">
        <v>4261</v>
      </c>
      <c r="F407" s="61" t="s">
        <v>4262</v>
      </c>
      <c r="G407" s="61" t="s">
        <v>4263</v>
      </c>
      <c r="H407" s="61" t="s">
        <v>84</v>
      </c>
      <c r="I407" s="50" t="s">
        <v>104</v>
      </c>
      <c r="J407" s="138" t="s">
        <v>84</v>
      </c>
      <c r="K407" s="61" t="s">
        <v>84</v>
      </c>
      <c r="L407" s="138" t="s">
        <v>25</v>
      </c>
      <c r="M407" s="84">
        <v>45589.0</v>
      </c>
      <c r="N407" s="84" t="str">
        <f>right(M407,4)</f>
        <v>2024</v>
      </c>
      <c r="O407" s="84">
        <v>45658.0</v>
      </c>
      <c r="P407" s="95" t="str">
        <f>right(O407,4)</f>
        <v>2025</v>
      </c>
      <c r="Q407" s="86">
        <f>DATEDIF(M407,O407,"d")</f>
        <v>69</v>
      </c>
      <c r="R407" s="85">
        <f>DATEDIF(M407,O407,"y")</f>
        <v>0</v>
      </c>
      <c r="S407" s="61"/>
      <c r="T407" s="87"/>
      <c r="U407" s="96">
        <v>0.0</v>
      </c>
      <c r="V407" s="61"/>
      <c r="W407" s="61" t="s">
        <v>4264</v>
      </c>
      <c r="X407" s="61" t="s">
        <v>4264</v>
      </c>
      <c r="Y407" s="61" t="s">
        <v>243</v>
      </c>
      <c r="Z407" s="50" t="s">
        <v>2644</v>
      </c>
      <c r="AA407" s="50" t="s">
        <v>2644</v>
      </c>
      <c r="AB407" s="193" t="s">
        <v>891</v>
      </c>
      <c r="AC407" s="65" t="s">
        <v>128</v>
      </c>
      <c r="AD407" s="65" t="s">
        <v>251</v>
      </c>
      <c r="AE407" s="81" t="s">
        <v>220</v>
      </c>
    </row>
    <row r="408">
      <c r="A408" s="31" t="s">
        <v>64</v>
      </c>
      <c r="B408" s="31" t="s">
        <v>19</v>
      </c>
      <c r="C408" s="32" t="s">
        <v>4266</v>
      </c>
      <c r="D408" s="33">
        <v>600501.0</v>
      </c>
      <c r="E408" s="31" t="s">
        <v>688</v>
      </c>
      <c r="F408" s="31" t="s">
        <v>2817</v>
      </c>
      <c r="G408" s="31" t="s">
        <v>2819</v>
      </c>
      <c r="H408" s="31" t="s">
        <v>232</v>
      </c>
      <c r="I408" s="35" t="s">
        <v>104</v>
      </c>
      <c r="J408" s="31" t="s">
        <v>84</v>
      </c>
      <c r="K408" s="31" t="s">
        <v>84</v>
      </c>
      <c r="L408" s="31" t="s">
        <v>105</v>
      </c>
      <c r="M408" s="37">
        <v>45590.0</v>
      </c>
      <c r="N408" s="33">
        <v>2024.0</v>
      </c>
      <c r="O408" s="37">
        <v>46316.0</v>
      </c>
      <c r="P408" s="39">
        <v>2026.0</v>
      </c>
      <c r="Q408" s="40">
        <v>726.0</v>
      </c>
      <c r="R408" s="39">
        <v>2.0</v>
      </c>
      <c r="S408" s="41"/>
      <c r="T408" s="33" t="s">
        <v>113</v>
      </c>
      <c r="U408" s="75">
        <v>1.0</v>
      </c>
      <c r="V408" s="31" t="s">
        <v>2822</v>
      </c>
      <c r="W408" s="31" t="s">
        <v>4267</v>
      </c>
      <c r="X408" s="31" t="s">
        <v>4268</v>
      </c>
      <c r="Y408" s="31" t="s">
        <v>86</v>
      </c>
      <c r="Z408" s="31" t="s">
        <v>122</v>
      </c>
      <c r="AA408" s="31" t="s">
        <v>14</v>
      </c>
      <c r="AB408" s="31" t="s">
        <v>124</v>
      </c>
      <c r="AC408" s="46" t="s">
        <v>337</v>
      </c>
      <c r="AD408" s="47"/>
      <c r="AE408" s="49"/>
    </row>
    <row r="409">
      <c r="A409" s="61" t="s">
        <v>64</v>
      </c>
      <c r="B409" s="50" t="s">
        <v>67</v>
      </c>
      <c r="C409" s="82" t="s">
        <v>4271</v>
      </c>
      <c r="D409" s="87">
        <v>600533.0</v>
      </c>
      <c r="E409" s="61" t="s">
        <v>2949</v>
      </c>
      <c r="F409" s="61" t="s">
        <v>2950</v>
      </c>
      <c r="G409" s="61" t="s">
        <v>2951</v>
      </c>
      <c r="H409" s="61" t="s">
        <v>84</v>
      </c>
      <c r="I409" s="56" t="s">
        <v>104</v>
      </c>
      <c r="J409" s="138" t="s">
        <v>84</v>
      </c>
      <c r="K409" s="61" t="s">
        <v>84</v>
      </c>
      <c r="L409" s="50" t="s">
        <v>181</v>
      </c>
      <c r="M409" s="84">
        <v>45593.0</v>
      </c>
      <c r="N409" s="84" t="str">
        <f t="shared" ref="N409:N410" si="221">right(M409,4)</f>
        <v>2024</v>
      </c>
      <c r="O409" s="84">
        <v>45958.0</v>
      </c>
      <c r="P409" s="86" t="str">
        <f t="shared" ref="P409:P410" si="222">right(O409,4)</f>
        <v>2025</v>
      </c>
      <c r="Q409" s="86">
        <f t="shared" ref="Q409:Q410" si="223">DATEDIF(M409,O409,"d")</f>
        <v>365</v>
      </c>
      <c r="R409" s="86">
        <f t="shared" ref="R409:R410" si="224">DATEDIF(M409,O409,"y")</f>
        <v>1</v>
      </c>
      <c r="S409" s="61" t="s">
        <v>2957</v>
      </c>
      <c r="T409" s="87"/>
      <c r="U409" s="96">
        <v>0.0</v>
      </c>
      <c r="V409" s="50" t="s">
        <v>4274</v>
      </c>
      <c r="W409" s="61" t="s">
        <v>2956</v>
      </c>
      <c r="X409" s="61" t="s">
        <v>2956</v>
      </c>
      <c r="Y409" s="61" t="s">
        <v>1525</v>
      </c>
      <c r="Z409" s="50" t="s">
        <v>210</v>
      </c>
      <c r="AA409" s="50" t="s">
        <v>261</v>
      </c>
      <c r="AB409" s="50" t="s">
        <v>741</v>
      </c>
      <c r="AC409" s="65" t="s">
        <v>161</v>
      </c>
      <c r="AD409" s="66"/>
      <c r="AE409" s="67"/>
    </row>
    <row r="410">
      <c r="A410" s="41" t="s">
        <v>169</v>
      </c>
      <c r="B410" s="41" t="s">
        <v>19</v>
      </c>
      <c r="C410" s="68" t="s">
        <v>4275</v>
      </c>
      <c r="D410" s="69">
        <v>600537.0</v>
      </c>
      <c r="E410" s="41" t="s">
        <v>4276</v>
      </c>
      <c r="F410" s="41" t="s">
        <v>4277</v>
      </c>
      <c r="G410" s="41" t="s">
        <v>4278</v>
      </c>
      <c r="H410" s="31" t="s">
        <v>4279</v>
      </c>
      <c r="I410" s="35" t="s">
        <v>104</v>
      </c>
      <c r="J410" s="31" t="s">
        <v>146</v>
      </c>
      <c r="K410" s="31" t="s">
        <v>236</v>
      </c>
      <c r="L410" s="92" t="s">
        <v>181</v>
      </c>
      <c r="M410" s="70">
        <v>45597.0</v>
      </c>
      <c r="N410" s="70" t="str">
        <f t="shared" si="221"/>
        <v>2024</v>
      </c>
      <c r="O410" s="37">
        <v>46359.0</v>
      </c>
      <c r="P410" s="71" t="str">
        <f t="shared" si="222"/>
        <v>2026</v>
      </c>
      <c r="Q410" s="73">
        <f t="shared" si="223"/>
        <v>762</v>
      </c>
      <c r="R410" s="73">
        <f t="shared" si="224"/>
        <v>2</v>
      </c>
      <c r="S410" s="41"/>
      <c r="T410" s="74"/>
      <c r="U410" s="75">
        <v>1.0</v>
      </c>
      <c r="V410" s="41"/>
      <c r="W410" s="41" t="s">
        <v>4281</v>
      </c>
      <c r="X410" s="41" t="s">
        <v>4281</v>
      </c>
      <c r="Y410" s="41" t="s">
        <v>2442</v>
      </c>
      <c r="Z410" s="31" t="s">
        <v>210</v>
      </c>
      <c r="AA410" s="31" t="s">
        <v>14</v>
      </c>
      <c r="AB410" s="153" t="s">
        <v>975</v>
      </c>
      <c r="AC410" s="46" t="s">
        <v>337</v>
      </c>
      <c r="AD410" s="77"/>
      <c r="AE410" s="99"/>
    </row>
    <row r="411">
      <c r="A411" s="50" t="s">
        <v>169</v>
      </c>
      <c r="B411" s="50" t="s">
        <v>19</v>
      </c>
      <c r="C411" s="52" t="s">
        <v>4282</v>
      </c>
      <c r="D411" s="79">
        <v>600538.0</v>
      </c>
      <c r="E411" s="50" t="s">
        <v>887</v>
      </c>
      <c r="F411" s="50" t="s">
        <v>4283</v>
      </c>
      <c r="G411" s="50" t="s">
        <v>4284</v>
      </c>
      <c r="H411" s="50" t="s">
        <v>1421</v>
      </c>
      <c r="I411" s="56" t="s">
        <v>104</v>
      </c>
      <c r="J411" s="50" t="s">
        <v>84</v>
      </c>
      <c r="K411" s="50" t="s">
        <v>84</v>
      </c>
      <c r="L411" s="80" t="s">
        <v>1275</v>
      </c>
      <c r="M411" s="57">
        <v>45597.0</v>
      </c>
      <c r="N411" s="54">
        <v>2024.0</v>
      </c>
      <c r="O411" s="57">
        <v>46477.0</v>
      </c>
      <c r="P411" s="59">
        <v>2027.0</v>
      </c>
      <c r="Q411" s="60">
        <v>880.0</v>
      </c>
      <c r="R411" s="59">
        <v>3.0</v>
      </c>
      <c r="S411" s="61"/>
      <c r="T411" s="54" t="s">
        <v>113</v>
      </c>
      <c r="U411" s="96">
        <v>1.0</v>
      </c>
      <c r="V411" s="61"/>
      <c r="W411" s="50" t="s">
        <v>4285</v>
      </c>
      <c r="X411" s="50" t="s">
        <v>4285</v>
      </c>
      <c r="Y411" s="50" t="s">
        <v>740</v>
      </c>
      <c r="Z411" s="80" t="s">
        <v>122</v>
      </c>
      <c r="AA411" s="50" t="s">
        <v>65</v>
      </c>
      <c r="AB411" s="193" t="s">
        <v>621</v>
      </c>
      <c r="AC411" s="65" t="s">
        <v>128</v>
      </c>
      <c r="AD411" s="97"/>
      <c r="AE411" s="120"/>
    </row>
    <row r="412">
      <c r="A412" s="41" t="s">
        <v>64</v>
      </c>
      <c r="B412" s="41" t="s">
        <v>67</v>
      </c>
      <c r="C412" s="68" t="s">
        <v>4286</v>
      </c>
      <c r="D412" s="74">
        <v>600416.0</v>
      </c>
      <c r="E412" s="41" t="s">
        <v>1083</v>
      </c>
      <c r="F412" s="41" t="s">
        <v>1765</v>
      </c>
      <c r="G412" s="41" t="s">
        <v>1766</v>
      </c>
      <c r="H412" s="31" t="s">
        <v>103</v>
      </c>
      <c r="I412" s="35" t="s">
        <v>104</v>
      </c>
      <c r="J412" s="35" t="s">
        <v>233</v>
      </c>
      <c r="K412" s="31" t="s">
        <v>236</v>
      </c>
      <c r="L412" s="35" t="s">
        <v>181</v>
      </c>
      <c r="M412" s="70">
        <v>45598.0</v>
      </c>
      <c r="N412" s="70" t="str">
        <f t="shared" ref="N412:N414" si="225">right(M412,4)</f>
        <v>2024</v>
      </c>
      <c r="O412" s="70">
        <v>45963.0</v>
      </c>
      <c r="P412" s="93" t="str">
        <f t="shared" ref="P412:P414" si="226">right(O412,4)</f>
        <v>2025</v>
      </c>
      <c r="Q412" s="73">
        <f t="shared" ref="Q412:Q414" si="227">DATEDIF(M412,O412,"d")</f>
        <v>365</v>
      </c>
      <c r="R412" s="93">
        <f t="shared" ref="R412:R414" si="228">DATEDIF(M412,O412,"y")</f>
        <v>1</v>
      </c>
      <c r="S412" s="41"/>
      <c r="T412" s="74" t="s">
        <v>269</v>
      </c>
      <c r="U412" s="43">
        <v>1.0</v>
      </c>
      <c r="V412" s="41" t="s">
        <v>1776</v>
      </c>
      <c r="W412" s="41" t="s">
        <v>1775</v>
      </c>
      <c r="X412" s="41" t="s">
        <v>1775</v>
      </c>
      <c r="Y412" s="31" t="s">
        <v>161</v>
      </c>
      <c r="Z412" s="31" t="s">
        <v>122</v>
      </c>
      <c r="AA412" s="31" t="s">
        <v>1777</v>
      </c>
      <c r="AB412" s="31" t="s">
        <v>124</v>
      </c>
      <c r="AC412" s="46" t="s">
        <v>337</v>
      </c>
      <c r="AD412" s="47"/>
      <c r="AE412" s="49"/>
    </row>
    <row r="413">
      <c r="A413" s="61" t="s">
        <v>169</v>
      </c>
      <c r="B413" s="61" t="s">
        <v>67</v>
      </c>
      <c r="C413" s="82" t="s">
        <v>4287</v>
      </c>
      <c r="D413" s="94">
        <v>600539.0</v>
      </c>
      <c r="E413" s="61" t="s">
        <v>4288</v>
      </c>
      <c r="F413" s="61" t="s">
        <v>4289</v>
      </c>
      <c r="G413" s="61" t="s">
        <v>4290</v>
      </c>
      <c r="H413" s="50" t="s">
        <v>232</v>
      </c>
      <c r="I413" s="56" t="s">
        <v>708</v>
      </c>
      <c r="J413" s="50" t="s">
        <v>146</v>
      </c>
      <c r="K413" s="50" t="s">
        <v>147</v>
      </c>
      <c r="L413" s="112" t="s">
        <v>181</v>
      </c>
      <c r="M413" s="84">
        <v>45600.0</v>
      </c>
      <c r="N413" s="84" t="str">
        <f t="shared" si="225"/>
        <v>2024</v>
      </c>
      <c r="O413" s="84">
        <v>45966.0</v>
      </c>
      <c r="P413" s="95" t="str">
        <f t="shared" si="226"/>
        <v>2025</v>
      </c>
      <c r="Q413" s="86">
        <f t="shared" si="227"/>
        <v>366</v>
      </c>
      <c r="R413" s="85">
        <f t="shared" si="228"/>
        <v>1</v>
      </c>
      <c r="S413" s="61"/>
      <c r="T413" s="87"/>
      <c r="U413" s="96">
        <v>0.0</v>
      </c>
      <c r="V413" s="61"/>
      <c r="W413" s="61" t="s">
        <v>4291</v>
      </c>
      <c r="X413" s="61" t="s">
        <v>4291</v>
      </c>
      <c r="Y413" s="61" t="s">
        <v>2429</v>
      </c>
      <c r="Z413" s="80" t="s">
        <v>247</v>
      </c>
      <c r="AA413" s="50" t="s">
        <v>14</v>
      </c>
      <c r="AB413" s="106" t="s">
        <v>442</v>
      </c>
      <c r="AC413" s="65" t="s">
        <v>161</v>
      </c>
      <c r="AD413" s="97"/>
      <c r="AE413" s="120"/>
    </row>
    <row r="414">
      <c r="A414" s="41" t="s">
        <v>169</v>
      </c>
      <c r="B414" s="41" t="s">
        <v>67</v>
      </c>
      <c r="C414" s="68" t="s">
        <v>4292</v>
      </c>
      <c r="D414" s="69">
        <v>600541.0</v>
      </c>
      <c r="E414" s="41" t="s">
        <v>4293</v>
      </c>
      <c r="F414" s="41" t="s">
        <v>4294</v>
      </c>
      <c r="G414" s="41" t="s">
        <v>4295</v>
      </c>
      <c r="H414" s="31" t="s">
        <v>4279</v>
      </c>
      <c r="I414" s="35" t="s">
        <v>708</v>
      </c>
      <c r="J414" s="31" t="s">
        <v>146</v>
      </c>
      <c r="K414" s="31" t="s">
        <v>2304</v>
      </c>
      <c r="L414" s="92" t="s">
        <v>181</v>
      </c>
      <c r="M414" s="70">
        <v>45600.0</v>
      </c>
      <c r="N414" s="70" t="str">
        <f t="shared" si="225"/>
        <v>2024</v>
      </c>
      <c r="O414" s="70">
        <v>45966.0</v>
      </c>
      <c r="P414" s="102" t="str">
        <f t="shared" si="226"/>
        <v>2025</v>
      </c>
      <c r="Q414" s="73">
        <f t="shared" si="227"/>
        <v>366</v>
      </c>
      <c r="R414" s="93">
        <f t="shared" si="228"/>
        <v>1</v>
      </c>
      <c r="S414" s="41"/>
      <c r="T414" s="74"/>
      <c r="U414" s="75">
        <v>0.0</v>
      </c>
      <c r="V414" s="41"/>
      <c r="W414" s="41" t="s">
        <v>4296</v>
      </c>
      <c r="X414" s="41" t="s">
        <v>4296</v>
      </c>
      <c r="Y414" s="41" t="s">
        <v>1525</v>
      </c>
      <c r="Z414" s="101" t="s">
        <v>247</v>
      </c>
      <c r="AA414" s="31" t="s">
        <v>123</v>
      </c>
      <c r="AB414" s="153" t="s">
        <v>975</v>
      </c>
      <c r="AC414" s="46" t="s">
        <v>128</v>
      </c>
      <c r="AD414" s="77"/>
      <c r="AE414" s="99"/>
    </row>
    <row r="415">
      <c r="A415" s="50" t="s">
        <v>64</v>
      </c>
      <c r="B415" s="50" t="s">
        <v>67</v>
      </c>
      <c r="C415" s="52" t="s">
        <v>4297</v>
      </c>
      <c r="D415" s="54">
        <v>600536.0</v>
      </c>
      <c r="E415" s="50" t="s">
        <v>1082</v>
      </c>
      <c r="F415" s="50" t="s">
        <v>3345</v>
      </c>
      <c r="G415" s="50" t="s">
        <v>3346</v>
      </c>
      <c r="H415" s="50" t="s">
        <v>232</v>
      </c>
      <c r="I415" s="56" t="s">
        <v>104</v>
      </c>
      <c r="J415" s="50" t="s">
        <v>146</v>
      </c>
      <c r="K415" s="50" t="s">
        <v>147</v>
      </c>
      <c r="L415" s="50" t="s">
        <v>484</v>
      </c>
      <c r="M415" s="57">
        <v>45609.0</v>
      </c>
      <c r="N415" s="54">
        <v>2024.0</v>
      </c>
      <c r="O415" s="57">
        <v>45974.0</v>
      </c>
      <c r="P415" s="60">
        <v>2025.0</v>
      </c>
      <c r="Q415" s="60">
        <v>365.0</v>
      </c>
      <c r="R415" s="60">
        <v>1.0</v>
      </c>
      <c r="S415" s="61"/>
      <c r="T415" s="54" t="s">
        <v>113</v>
      </c>
      <c r="U415" s="96">
        <v>0.0</v>
      </c>
      <c r="V415" s="61"/>
      <c r="W415" s="50" t="s">
        <v>3350</v>
      </c>
      <c r="X415" s="50" t="s">
        <v>3350</v>
      </c>
      <c r="Y415" s="50" t="s">
        <v>1525</v>
      </c>
      <c r="Z415" s="50" t="s">
        <v>210</v>
      </c>
      <c r="AA415" s="50" t="s">
        <v>123</v>
      </c>
      <c r="AB415" s="50" t="s">
        <v>768</v>
      </c>
      <c r="AC415" s="65" t="s">
        <v>337</v>
      </c>
      <c r="AD415" s="66"/>
      <c r="AE415" s="67"/>
    </row>
    <row r="416">
      <c r="A416" s="41" t="s">
        <v>169</v>
      </c>
      <c r="B416" s="41" t="s">
        <v>67</v>
      </c>
      <c r="C416" s="68" t="s">
        <v>4298</v>
      </c>
      <c r="D416" s="69">
        <v>600547.0</v>
      </c>
      <c r="E416" s="41" t="s">
        <v>4299</v>
      </c>
      <c r="F416" s="41" t="s">
        <v>4300</v>
      </c>
      <c r="G416" s="41" t="s">
        <v>4301</v>
      </c>
      <c r="H416" s="31" t="s">
        <v>1421</v>
      </c>
      <c r="I416" s="77" t="s">
        <v>106</v>
      </c>
      <c r="J416" s="31" t="s">
        <v>146</v>
      </c>
      <c r="K416" s="31" t="s">
        <v>147</v>
      </c>
      <c r="L416" s="91" t="s">
        <v>48</v>
      </c>
      <c r="M416" s="70">
        <v>45614.0</v>
      </c>
      <c r="N416" s="70" t="str">
        <f t="shared" ref="N416:N420" si="229">right(M416,4)</f>
        <v>2024</v>
      </c>
      <c r="O416" s="70">
        <v>45626.0</v>
      </c>
      <c r="P416" s="102" t="str">
        <f t="shared" ref="P416:P420" si="230">right(O416,4)</f>
        <v>2024</v>
      </c>
      <c r="Q416" s="73">
        <f t="shared" ref="Q416:Q420" si="231">DATEDIF(M416,O416,"d")</f>
        <v>12</v>
      </c>
      <c r="R416" s="93">
        <f t="shared" ref="R416:R420" si="232">DATEDIF(M416,O416,"y")</f>
        <v>0</v>
      </c>
      <c r="S416" s="41"/>
      <c r="T416" s="74"/>
      <c r="U416" s="75">
        <v>0.0</v>
      </c>
      <c r="V416" s="41"/>
      <c r="W416" s="41" t="s">
        <v>4303</v>
      </c>
      <c r="X416" s="41"/>
      <c r="Y416" s="41" t="s">
        <v>2418</v>
      </c>
      <c r="Z416" s="101" t="s">
        <v>247</v>
      </c>
      <c r="AA416" s="31" t="s">
        <v>175</v>
      </c>
      <c r="AB416" s="41" t="s">
        <v>4095</v>
      </c>
      <c r="AC416" s="46" t="s">
        <v>161</v>
      </c>
      <c r="AD416" s="77"/>
      <c r="AE416" s="78" t="s">
        <v>220</v>
      </c>
    </row>
    <row r="417">
      <c r="A417" s="61" t="s">
        <v>64</v>
      </c>
      <c r="B417" s="61" t="s">
        <v>67</v>
      </c>
      <c r="C417" s="82" t="s">
        <v>4305</v>
      </c>
      <c r="D417" s="87">
        <v>600551.0</v>
      </c>
      <c r="E417" s="61" t="s">
        <v>2976</v>
      </c>
      <c r="F417" s="61" t="s">
        <v>2977</v>
      </c>
      <c r="G417" s="61" t="s">
        <v>1510</v>
      </c>
      <c r="H417" s="50" t="s">
        <v>232</v>
      </c>
      <c r="I417" s="97" t="s">
        <v>106</v>
      </c>
      <c r="J417" s="50" t="s">
        <v>146</v>
      </c>
      <c r="K417" s="50" t="s">
        <v>147</v>
      </c>
      <c r="L417" s="50" t="s">
        <v>484</v>
      </c>
      <c r="M417" s="84">
        <v>45618.0</v>
      </c>
      <c r="N417" s="84" t="str">
        <f t="shared" si="229"/>
        <v>2024</v>
      </c>
      <c r="O417" s="84">
        <v>45641.0</v>
      </c>
      <c r="P417" s="85" t="str">
        <f t="shared" si="230"/>
        <v>2024</v>
      </c>
      <c r="Q417" s="86">
        <f t="shared" si="231"/>
        <v>23</v>
      </c>
      <c r="R417" s="85">
        <f t="shared" si="232"/>
        <v>0</v>
      </c>
      <c r="S417" s="61"/>
      <c r="T417" s="87"/>
      <c r="U417" s="96">
        <v>0.0</v>
      </c>
      <c r="V417" s="61" t="s">
        <v>2986</v>
      </c>
      <c r="W417" s="174" t="s">
        <v>4307</v>
      </c>
      <c r="X417" s="61"/>
      <c r="Y417" s="61" t="s">
        <v>740</v>
      </c>
      <c r="Z417" s="61" t="s">
        <v>2330</v>
      </c>
      <c r="AA417" s="50" t="s">
        <v>175</v>
      </c>
      <c r="AB417" s="50" t="s">
        <v>124</v>
      </c>
      <c r="AC417" s="65" t="s">
        <v>161</v>
      </c>
      <c r="AD417" s="66"/>
      <c r="AE417" s="108" t="s">
        <v>220</v>
      </c>
    </row>
    <row r="418">
      <c r="A418" s="41" t="s">
        <v>169</v>
      </c>
      <c r="B418" s="41" t="s">
        <v>67</v>
      </c>
      <c r="C418" s="68" t="s">
        <v>4309</v>
      </c>
      <c r="D418" s="69">
        <v>600550.0</v>
      </c>
      <c r="E418" s="41" t="s">
        <v>4310</v>
      </c>
      <c r="F418" s="41" t="s">
        <v>4311</v>
      </c>
      <c r="G418" s="41" t="s">
        <v>4312</v>
      </c>
      <c r="H418" s="31" t="s">
        <v>232</v>
      </c>
      <c r="I418" s="31" t="s">
        <v>289</v>
      </c>
      <c r="J418" s="31" t="s">
        <v>146</v>
      </c>
      <c r="K418" s="31" t="s">
        <v>147</v>
      </c>
      <c r="L418" s="91" t="s">
        <v>48</v>
      </c>
      <c r="M418" s="70">
        <v>45618.0</v>
      </c>
      <c r="N418" s="70" t="str">
        <f t="shared" si="229"/>
        <v>2024</v>
      </c>
      <c r="O418" s="70">
        <v>45799.0</v>
      </c>
      <c r="P418" s="102" t="str">
        <f t="shared" si="230"/>
        <v>2025</v>
      </c>
      <c r="Q418" s="73">
        <f t="shared" si="231"/>
        <v>181</v>
      </c>
      <c r="R418" s="93">
        <f t="shared" si="232"/>
        <v>0</v>
      </c>
      <c r="S418" s="41"/>
      <c r="T418" s="74"/>
      <c r="U418" s="75">
        <v>0.0</v>
      </c>
      <c r="V418" s="41"/>
      <c r="W418" s="41" t="s">
        <v>4313</v>
      </c>
      <c r="X418" s="41" t="s">
        <v>4313</v>
      </c>
      <c r="Y418" s="41" t="s">
        <v>209</v>
      </c>
      <c r="Z418" s="101" t="s">
        <v>247</v>
      </c>
      <c r="AA418" s="31" t="s">
        <v>261</v>
      </c>
      <c r="AB418" s="104" t="s">
        <v>442</v>
      </c>
      <c r="AC418" s="46" t="s">
        <v>337</v>
      </c>
      <c r="AD418" s="77"/>
      <c r="AE418" s="78" t="s">
        <v>220</v>
      </c>
    </row>
    <row r="419">
      <c r="A419" s="61" t="s">
        <v>169</v>
      </c>
      <c r="B419" s="61" t="s">
        <v>67</v>
      </c>
      <c r="C419" s="82" t="s">
        <v>4314</v>
      </c>
      <c r="D419" s="94">
        <v>600552.0</v>
      </c>
      <c r="E419" s="61" t="s">
        <v>4315</v>
      </c>
      <c r="F419" s="61" t="s">
        <v>4316</v>
      </c>
      <c r="G419" s="61" t="s">
        <v>4317</v>
      </c>
      <c r="H419" s="61" t="s">
        <v>84</v>
      </c>
      <c r="I419" s="50" t="s">
        <v>708</v>
      </c>
      <c r="J419" s="138" t="s">
        <v>84</v>
      </c>
      <c r="K419" s="61" t="s">
        <v>84</v>
      </c>
      <c r="L419" s="138" t="s">
        <v>25</v>
      </c>
      <c r="M419" s="84">
        <v>45622.0</v>
      </c>
      <c r="N419" s="84" t="str">
        <f t="shared" si="229"/>
        <v>2024</v>
      </c>
      <c r="O419" s="84">
        <v>45686.0</v>
      </c>
      <c r="P419" s="95" t="str">
        <f t="shared" si="230"/>
        <v>2025</v>
      </c>
      <c r="Q419" s="86">
        <f t="shared" si="231"/>
        <v>64</v>
      </c>
      <c r="R419" s="85">
        <f t="shared" si="232"/>
        <v>0</v>
      </c>
      <c r="S419" s="61"/>
      <c r="T419" s="87"/>
      <c r="U419" s="96">
        <v>0.0</v>
      </c>
      <c r="V419" s="61"/>
      <c r="W419" s="61" t="s">
        <v>4318</v>
      </c>
      <c r="X419" s="61" t="s">
        <v>4318</v>
      </c>
      <c r="Y419" s="50" t="s">
        <v>161</v>
      </c>
      <c r="Z419" s="50" t="s">
        <v>2644</v>
      </c>
      <c r="AA419" s="50" t="s">
        <v>2644</v>
      </c>
      <c r="AB419" s="61" t="s">
        <v>4320</v>
      </c>
      <c r="AC419" s="65" t="s">
        <v>337</v>
      </c>
      <c r="AD419" s="65" t="s">
        <v>251</v>
      </c>
      <c r="AE419" s="81" t="s">
        <v>220</v>
      </c>
    </row>
    <row r="420">
      <c r="A420" s="41" t="s">
        <v>169</v>
      </c>
      <c r="B420" s="41" t="s">
        <v>67</v>
      </c>
      <c r="C420" s="68" t="s">
        <v>4321</v>
      </c>
      <c r="D420" s="69">
        <v>600553.0</v>
      </c>
      <c r="E420" s="41" t="s">
        <v>1166</v>
      </c>
      <c r="F420" s="41" t="s">
        <v>4322</v>
      </c>
      <c r="G420" s="41" t="s">
        <v>4323</v>
      </c>
      <c r="H420" s="31" t="s">
        <v>232</v>
      </c>
      <c r="I420" s="31" t="s">
        <v>289</v>
      </c>
      <c r="J420" s="31" t="s">
        <v>233</v>
      </c>
      <c r="K420" s="31" t="s">
        <v>236</v>
      </c>
      <c r="L420" s="91" t="s">
        <v>48</v>
      </c>
      <c r="M420" s="70">
        <v>45622.0</v>
      </c>
      <c r="N420" s="70" t="str">
        <f t="shared" si="229"/>
        <v>2024</v>
      </c>
      <c r="O420" s="70">
        <v>45728.0</v>
      </c>
      <c r="P420" s="102" t="str">
        <f t="shared" si="230"/>
        <v>2025</v>
      </c>
      <c r="Q420" s="73">
        <f t="shared" si="231"/>
        <v>106</v>
      </c>
      <c r="R420" s="93">
        <f t="shared" si="232"/>
        <v>0</v>
      </c>
      <c r="S420" s="41"/>
      <c r="T420" s="74"/>
      <c r="U420" s="75">
        <v>0.0</v>
      </c>
      <c r="V420" s="41"/>
      <c r="W420" s="41" t="s">
        <v>4325</v>
      </c>
      <c r="X420" s="41" t="s">
        <v>4325</v>
      </c>
      <c r="Y420" s="41" t="s">
        <v>2549</v>
      </c>
      <c r="Z420" s="101" t="s">
        <v>247</v>
      </c>
      <c r="AA420" s="31" t="s">
        <v>261</v>
      </c>
      <c r="AB420" s="104" t="s">
        <v>442</v>
      </c>
      <c r="AC420" s="46" t="s">
        <v>161</v>
      </c>
      <c r="AD420" s="77"/>
      <c r="AE420" s="111" t="s">
        <v>220</v>
      </c>
    </row>
    <row r="421">
      <c r="A421" s="50" t="s">
        <v>64</v>
      </c>
      <c r="B421" s="50" t="s">
        <v>19</v>
      </c>
      <c r="C421" s="52" t="s">
        <v>4326</v>
      </c>
      <c r="D421" s="54">
        <v>600556.0</v>
      </c>
      <c r="E421" s="50" t="s">
        <v>2987</v>
      </c>
      <c r="F421" s="50" t="s">
        <v>2988</v>
      </c>
      <c r="G421" s="50" t="s">
        <v>2989</v>
      </c>
      <c r="H421" s="50" t="s">
        <v>1421</v>
      </c>
      <c r="I421" s="56" t="s">
        <v>104</v>
      </c>
      <c r="J421" s="50" t="s">
        <v>146</v>
      </c>
      <c r="K421" s="56" t="s">
        <v>2304</v>
      </c>
      <c r="L421" s="112" t="s">
        <v>181</v>
      </c>
      <c r="M421" s="57">
        <v>45627.0</v>
      </c>
      <c r="N421" s="54">
        <v>2024.0</v>
      </c>
      <c r="O421" s="57">
        <v>46357.0</v>
      </c>
      <c r="P421" s="59">
        <v>2026.0</v>
      </c>
      <c r="Q421" s="60">
        <v>730.0</v>
      </c>
      <c r="R421" s="59">
        <v>2.0</v>
      </c>
      <c r="S421" s="61"/>
      <c r="T421" s="54" t="s">
        <v>113</v>
      </c>
      <c r="U421" s="96">
        <v>1.0</v>
      </c>
      <c r="V421" s="61"/>
      <c r="W421" s="50" t="s">
        <v>2991</v>
      </c>
      <c r="X421" s="50" t="s">
        <v>2991</v>
      </c>
      <c r="Y421" s="50" t="s">
        <v>209</v>
      </c>
      <c r="Z421" s="50" t="s">
        <v>122</v>
      </c>
      <c r="AA421" s="50" t="s">
        <v>14</v>
      </c>
      <c r="AB421" s="50" t="s">
        <v>124</v>
      </c>
      <c r="AC421" s="65" t="s">
        <v>276</v>
      </c>
      <c r="AD421" s="66"/>
      <c r="AE421" s="67"/>
    </row>
    <row r="422">
      <c r="A422" s="41" t="s">
        <v>169</v>
      </c>
      <c r="B422" s="41" t="s">
        <v>67</v>
      </c>
      <c r="C422" s="68" t="s">
        <v>4328</v>
      </c>
      <c r="D422" s="69">
        <v>600559.0</v>
      </c>
      <c r="E422" s="41" t="s">
        <v>4329</v>
      </c>
      <c r="F422" s="41" t="s">
        <v>4330</v>
      </c>
      <c r="G422" s="41" t="s">
        <v>4331</v>
      </c>
      <c r="H422" s="31" t="s">
        <v>103</v>
      </c>
      <c r="I422" s="91" t="s">
        <v>104</v>
      </c>
      <c r="J422" s="31" t="s">
        <v>146</v>
      </c>
      <c r="K422" s="31" t="s">
        <v>289</v>
      </c>
      <c r="L422" s="91" t="s">
        <v>48</v>
      </c>
      <c r="M422" s="70">
        <v>45631.0</v>
      </c>
      <c r="N422" s="70" t="str">
        <f t="shared" ref="N422:N423" si="233">right(M422,4)</f>
        <v>2024</v>
      </c>
      <c r="O422" s="70">
        <v>45688.0</v>
      </c>
      <c r="P422" s="102" t="str">
        <f t="shared" ref="P422:P423" si="234">right(O422,4)</f>
        <v>2025</v>
      </c>
      <c r="Q422" s="73">
        <f t="shared" ref="Q422:Q423" si="235">DATEDIF(M422,O422,"d")</f>
        <v>57</v>
      </c>
      <c r="R422" s="93">
        <f t="shared" ref="R422:R423" si="236">DATEDIF(M422,O422,"y")</f>
        <v>0</v>
      </c>
      <c r="S422" s="41"/>
      <c r="T422" s="74"/>
      <c r="U422" s="75">
        <v>0.0</v>
      </c>
      <c r="V422" s="41" t="s">
        <v>4333</v>
      </c>
      <c r="W422" s="41" t="s">
        <v>4334</v>
      </c>
      <c r="X422" s="41" t="s">
        <v>4334</v>
      </c>
      <c r="Y422" s="41" t="s">
        <v>243</v>
      </c>
      <c r="Z422" s="101" t="s">
        <v>247</v>
      </c>
      <c r="AA422" s="31" t="s">
        <v>2644</v>
      </c>
      <c r="AB422" s="31" t="s">
        <v>1499</v>
      </c>
      <c r="AC422" s="46" t="s">
        <v>161</v>
      </c>
      <c r="AD422" s="31" t="s">
        <v>251</v>
      </c>
      <c r="AE422" s="111" t="s">
        <v>220</v>
      </c>
    </row>
    <row r="423">
      <c r="A423" s="61" t="s">
        <v>169</v>
      </c>
      <c r="B423" s="61" t="s">
        <v>67</v>
      </c>
      <c r="C423" s="82" t="s">
        <v>4335</v>
      </c>
      <c r="D423" s="94">
        <v>600564.0</v>
      </c>
      <c r="E423" s="61" t="s">
        <v>4336</v>
      </c>
      <c r="F423" s="61" t="s">
        <v>4337</v>
      </c>
      <c r="G423" s="61" t="s">
        <v>4338</v>
      </c>
      <c r="H423" s="50" t="s">
        <v>103</v>
      </c>
      <c r="I423" s="138" t="s">
        <v>104</v>
      </c>
      <c r="J423" s="50" t="s">
        <v>146</v>
      </c>
      <c r="K423" s="50" t="s">
        <v>289</v>
      </c>
      <c r="L423" s="138" t="s">
        <v>48</v>
      </c>
      <c r="M423" s="84">
        <v>45631.0</v>
      </c>
      <c r="N423" s="84" t="str">
        <f t="shared" si="233"/>
        <v>2024</v>
      </c>
      <c r="O423" s="84">
        <v>45688.0</v>
      </c>
      <c r="P423" s="95" t="str">
        <f t="shared" si="234"/>
        <v>2025</v>
      </c>
      <c r="Q423" s="86">
        <f t="shared" si="235"/>
        <v>57</v>
      </c>
      <c r="R423" s="85">
        <f t="shared" si="236"/>
        <v>0</v>
      </c>
      <c r="S423" s="61"/>
      <c r="T423" s="87"/>
      <c r="U423" s="96">
        <v>0.0</v>
      </c>
      <c r="V423" s="61" t="s">
        <v>4333</v>
      </c>
      <c r="W423" s="61" t="s">
        <v>4339</v>
      </c>
      <c r="X423" s="61" t="s">
        <v>4339</v>
      </c>
      <c r="Y423" s="61" t="s">
        <v>243</v>
      </c>
      <c r="Z423" s="80" t="s">
        <v>247</v>
      </c>
      <c r="AA423" s="50" t="s">
        <v>123</v>
      </c>
      <c r="AB423" s="50" t="s">
        <v>1499</v>
      </c>
      <c r="AC423" s="65" t="s">
        <v>161</v>
      </c>
      <c r="AD423" s="50" t="s">
        <v>251</v>
      </c>
      <c r="AE423" s="81" t="s">
        <v>220</v>
      </c>
    </row>
    <row r="424">
      <c r="A424" s="31" t="s">
        <v>169</v>
      </c>
      <c r="B424" s="31" t="s">
        <v>19</v>
      </c>
      <c r="C424" s="32" t="s">
        <v>4341</v>
      </c>
      <c r="D424" s="113">
        <v>600544.0</v>
      </c>
      <c r="E424" s="31" t="s">
        <v>4342</v>
      </c>
      <c r="F424" s="31" t="s">
        <v>4343</v>
      </c>
      <c r="G424" s="31" t="s">
        <v>4344</v>
      </c>
      <c r="H424" s="31" t="s">
        <v>103</v>
      </c>
      <c r="I424" s="35" t="s">
        <v>708</v>
      </c>
      <c r="J424" s="31" t="s">
        <v>146</v>
      </c>
      <c r="K424" s="31" t="s">
        <v>147</v>
      </c>
      <c r="L424" s="92" t="s">
        <v>181</v>
      </c>
      <c r="M424" s="37">
        <v>45635.0</v>
      </c>
      <c r="N424" s="33">
        <v>2024.0</v>
      </c>
      <c r="O424" s="37">
        <v>46354.0</v>
      </c>
      <c r="P424" s="39">
        <v>2026.0</v>
      </c>
      <c r="Q424" s="40">
        <v>719.0</v>
      </c>
      <c r="R424" s="39">
        <v>2.0</v>
      </c>
      <c r="S424" s="41"/>
      <c r="T424" s="33" t="s">
        <v>113</v>
      </c>
      <c r="U424" s="114">
        <v>1.0</v>
      </c>
      <c r="V424" s="31" t="s">
        <v>1716</v>
      </c>
      <c r="W424" s="31" t="s">
        <v>4345</v>
      </c>
      <c r="X424" s="31" t="s">
        <v>4345</v>
      </c>
      <c r="Y424" s="31" t="s">
        <v>121</v>
      </c>
      <c r="Z424" s="101" t="s">
        <v>261</v>
      </c>
      <c r="AA424" s="31" t="s">
        <v>123</v>
      </c>
      <c r="AB424" s="153" t="s">
        <v>621</v>
      </c>
      <c r="AC424" s="46" t="s">
        <v>276</v>
      </c>
      <c r="AD424" s="46"/>
      <c r="AE424" s="99"/>
    </row>
    <row r="425">
      <c r="A425" s="50" t="s">
        <v>64</v>
      </c>
      <c r="B425" s="50" t="s">
        <v>19</v>
      </c>
      <c r="C425" s="264" t="s">
        <v>3375</v>
      </c>
      <c r="D425" s="202">
        <v>10516.0</v>
      </c>
      <c r="E425" s="50" t="s">
        <v>417</v>
      </c>
      <c r="F425" s="56" t="s">
        <v>4346</v>
      </c>
      <c r="G425" s="56" t="s">
        <v>516</v>
      </c>
      <c r="H425" s="56" t="s">
        <v>232</v>
      </c>
      <c r="I425" s="56" t="s">
        <v>104</v>
      </c>
      <c r="J425" s="56" t="s">
        <v>84</v>
      </c>
      <c r="K425" s="106" t="s">
        <v>724</v>
      </c>
      <c r="L425" s="112" t="s">
        <v>181</v>
      </c>
      <c r="M425" s="57">
        <v>45636.0</v>
      </c>
      <c r="N425" s="54">
        <v>2024.0</v>
      </c>
      <c r="O425" s="57">
        <v>46366.0</v>
      </c>
      <c r="P425" s="59">
        <v>2026.0</v>
      </c>
      <c r="Q425" s="60">
        <v>730.0</v>
      </c>
      <c r="R425" s="59">
        <v>2.0</v>
      </c>
      <c r="S425" s="61"/>
      <c r="T425" s="54" t="s">
        <v>269</v>
      </c>
      <c r="U425" s="96">
        <v>1.0</v>
      </c>
      <c r="V425" s="50" t="s">
        <v>3775</v>
      </c>
      <c r="W425" s="50" t="s">
        <v>4347</v>
      </c>
      <c r="X425" s="50" t="s">
        <v>4348</v>
      </c>
      <c r="Y425" s="50" t="s">
        <v>2103</v>
      </c>
      <c r="Z425" s="50" t="s">
        <v>122</v>
      </c>
      <c r="AA425" s="50" t="s">
        <v>14</v>
      </c>
      <c r="AB425" s="50" t="s">
        <v>508</v>
      </c>
      <c r="AC425" s="65" t="s">
        <v>164</v>
      </c>
      <c r="AD425" s="66"/>
      <c r="AE425" s="67"/>
    </row>
    <row r="426">
      <c r="A426" s="41" t="s">
        <v>169</v>
      </c>
      <c r="B426" s="41" t="s">
        <v>67</v>
      </c>
      <c r="C426" s="68" t="s">
        <v>4349</v>
      </c>
      <c r="D426" s="69">
        <v>600233.0</v>
      </c>
      <c r="E426" s="41" t="s">
        <v>4350</v>
      </c>
      <c r="F426" s="41" t="s">
        <v>4351</v>
      </c>
      <c r="G426" s="41" t="s">
        <v>4352</v>
      </c>
      <c r="H426" s="41" t="s">
        <v>266</v>
      </c>
      <c r="I426" s="35" t="s">
        <v>708</v>
      </c>
      <c r="J426" s="31" t="s">
        <v>233</v>
      </c>
      <c r="K426" s="31" t="s">
        <v>236</v>
      </c>
      <c r="L426" s="91" t="s">
        <v>25</v>
      </c>
      <c r="M426" s="70">
        <v>45636.0</v>
      </c>
      <c r="N426" s="70" t="str">
        <f t="shared" ref="N426:N427" si="237">right(M426,4)</f>
        <v>2024</v>
      </c>
      <c r="O426" s="70">
        <v>46022.0</v>
      </c>
      <c r="P426" s="102" t="str">
        <f t="shared" ref="P426:P427" si="238">right(O426,4)</f>
        <v>2025</v>
      </c>
      <c r="Q426" s="73">
        <f t="shared" ref="Q426:Q427" si="239">DATEDIF(M426,O426,"d")</f>
        <v>386</v>
      </c>
      <c r="R426" s="93">
        <f t="shared" ref="R426:R427" si="240">DATEDIF(M426,O426,"y")</f>
        <v>1</v>
      </c>
      <c r="S426" s="41"/>
      <c r="T426" s="74" t="s">
        <v>113</v>
      </c>
      <c r="U426" s="75">
        <v>0.0</v>
      </c>
      <c r="V426" s="41" t="s">
        <v>4353</v>
      </c>
      <c r="W426" s="41" t="s">
        <v>4354</v>
      </c>
      <c r="X426" s="41" t="s">
        <v>4354</v>
      </c>
      <c r="Y426" s="41" t="s">
        <v>243</v>
      </c>
      <c r="Z426" s="101" t="s">
        <v>247</v>
      </c>
      <c r="AA426" s="31" t="s">
        <v>2644</v>
      </c>
      <c r="AB426" s="31" t="s">
        <v>213</v>
      </c>
      <c r="AC426" s="46" t="s">
        <v>164</v>
      </c>
      <c r="AD426" s="46" t="s">
        <v>251</v>
      </c>
      <c r="AE426" s="111" t="s">
        <v>220</v>
      </c>
    </row>
    <row r="427">
      <c r="A427" s="61" t="s">
        <v>169</v>
      </c>
      <c r="B427" s="61" t="s">
        <v>67</v>
      </c>
      <c r="C427" s="82" t="s">
        <v>4356</v>
      </c>
      <c r="D427" s="137"/>
      <c r="E427" s="61" t="s">
        <v>4357</v>
      </c>
      <c r="F427" s="61" t="s">
        <v>4358</v>
      </c>
      <c r="G427" s="61" t="s">
        <v>4359</v>
      </c>
      <c r="H427" s="50" t="s">
        <v>232</v>
      </c>
      <c r="I427" s="97" t="s">
        <v>106</v>
      </c>
      <c r="J427" s="50" t="s">
        <v>146</v>
      </c>
      <c r="K427" s="106" t="s">
        <v>175</v>
      </c>
      <c r="L427" s="138" t="s">
        <v>48</v>
      </c>
      <c r="M427" s="84">
        <v>45637.0</v>
      </c>
      <c r="N427" s="84" t="str">
        <f t="shared" si="237"/>
        <v>2024</v>
      </c>
      <c r="O427" s="84">
        <v>45668.0</v>
      </c>
      <c r="P427" s="95" t="str">
        <f t="shared" si="238"/>
        <v>2025</v>
      </c>
      <c r="Q427" s="86">
        <f t="shared" si="239"/>
        <v>31</v>
      </c>
      <c r="R427" s="85">
        <f t="shared" si="240"/>
        <v>0</v>
      </c>
      <c r="S427" s="61"/>
      <c r="T427" s="87"/>
      <c r="U427" s="96">
        <v>0.0</v>
      </c>
      <c r="V427" s="61"/>
      <c r="W427" s="61" t="s">
        <v>4362</v>
      </c>
      <c r="X427" s="61" t="s">
        <v>4362</v>
      </c>
      <c r="Y427" s="50" t="s">
        <v>161</v>
      </c>
      <c r="Z427" s="80" t="s">
        <v>247</v>
      </c>
      <c r="AA427" s="50" t="s">
        <v>175</v>
      </c>
      <c r="AB427" s="106" t="s">
        <v>442</v>
      </c>
      <c r="AC427" s="65" t="s">
        <v>161</v>
      </c>
      <c r="AD427" s="97"/>
      <c r="AE427" s="108" t="s">
        <v>220</v>
      </c>
    </row>
    <row r="428">
      <c r="A428" s="31" t="s">
        <v>169</v>
      </c>
      <c r="B428" s="31" t="s">
        <v>19</v>
      </c>
      <c r="C428" s="32" t="s">
        <v>4363</v>
      </c>
      <c r="D428" s="113">
        <v>600558.0</v>
      </c>
      <c r="E428" s="31" t="s">
        <v>837</v>
      </c>
      <c r="F428" s="31" t="s">
        <v>4364</v>
      </c>
      <c r="G428" s="31" t="s">
        <v>4365</v>
      </c>
      <c r="H428" s="31" t="s">
        <v>232</v>
      </c>
      <c r="I428" s="31" t="s">
        <v>104</v>
      </c>
      <c r="J428" s="31" t="s">
        <v>146</v>
      </c>
      <c r="K428" s="31" t="s">
        <v>236</v>
      </c>
      <c r="L428" s="31" t="s">
        <v>25</v>
      </c>
      <c r="M428" s="37">
        <v>45637.0</v>
      </c>
      <c r="N428" s="33">
        <v>2024.0</v>
      </c>
      <c r="O428" s="37">
        <v>46367.0</v>
      </c>
      <c r="P428" s="39">
        <v>2026.0</v>
      </c>
      <c r="Q428" s="40">
        <v>730.0</v>
      </c>
      <c r="R428" s="39">
        <v>2.0</v>
      </c>
      <c r="S428" s="41"/>
      <c r="T428" s="74"/>
      <c r="U428" s="43">
        <v>3.0</v>
      </c>
      <c r="V428" s="41"/>
      <c r="W428" s="31" t="s">
        <v>4366</v>
      </c>
      <c r="X428" s="31" t="s">
        <v>4366</v>
      </c>
      <c r="Y428" s="31" t="s">
        <v>161</v>
      </c>
      <c r="Z428" s="31" t="s">
        <v>211</v>
      </c>
      <c r="AA428" s="31" t="s">
        <v>123</v>
      </c>
      <c r="AB428" s="153" t="s">
        <v>489</v>
      </c>
      <c r="AC428" s="46" t="s">
        <v>337</v>
      </c>
      <c r="AD428" s="77"/>
      <c r="AE428" s="99"/>
    </row>
    <row r="429">
      <c r="A429" s="50" t="s">
        <v>169</v>
      </c>
      <c r="B429" s="50" t="s">
        <v>19</v>
      </c>
      <c r="C429" s="52" t="s">
        <v>4368</v>
      </c>
      <c r="D429" s="79">
        <v>600569.0</v>
      </c>
      <c r="E429" s="50" t="s">
        <v>808</v>
      </c>
      <c r="F429" s="50" t="s">
        <v>4369</v>
      </c>
      <c r="G429" s="50" t="s">
        <v>4370</v>
      </c>
      <c r="H429" s="50" t="s">
        <v>232</v>
      </c>
      <c r="I429" s="50" t="s">
        <v>104</v>
      </c>
      <c r="J429" s="50" t="s">
        <v>233</v>
      </c>
      <c r="K429" s="50" t="s">
        <v>236</v>
      </c>
      <c r="L429" s="50" t="s">
        <v>25</v>
      </c>
      <c r="M429" s="57">
        <v>45644.0</v>
      </c>
      <c r="N429" s="54">
        <v>2024.0</v>
      </c>
      <c r="O429" s="57">
        <v>46339.0</v>
      </c>
      <c r="P429" s="59">
        <v>2026.0</v>
      </c>
      <c r="Q429" s="60">
        <v>695.0</v>
      </c>
      <c r="R429" s="59">
        <v>2.0</v>
      </c>
      <c r="S429" s="61"/>
      <c r="T429" s="87"/>
      <c r="U429" s="62">
        <v>3.0</v>
      </c>
      <c r="V429" s="61"/>
      <c r="W429" s="50" t="s">
        <v>4371</v>
      </c>
      <c r="X429" s="50" t="s">
        <v>4371</v>
      </c>
      <c r="Y429" s="50" t="s">
        <v>2549</v>
      </c>
      <c r="Z429" s="50" t="s">
        <v>211</v>
      </c>
      <c r="AA429" s="50" t="s">
        <v>123</v>
      </c>
      <c r="AB429" s="193" t="s">
        <v>489</v>
      </c>
      <c r="AC429" s="65" t="s">
        <v>337</v>
      </c>
      <c r="AD429" s="97"/>
      <c r="AE429" s="120"/>
    </row>
    <row r="430">
      <c r="A430" s="31" t="s">
        <v>64</v>
      </c>
      <c r="B430" s="31" t="s">
        <v>67</v>
      </c>
      <c r="C430" s="32" t="s">
        <v>4373</v>
      </c>
      <c r="D430" s="33">
        <v>600679.0</v>
      </c>
      <c r="E430" s="31" t="s">
        <v>3001</v>
      </c>
      <c r="F430" s="31" t="s">
        <v>3002</v>
      </c>
      <c r="G430" s="31" t="s">
        <v>3003</v>
      </c>
      <c r="H430" s="31" t="s">
        <v>178</v>
      </c>
      <c r="I430" s="35" t="s">
        <v>104</v>
      </c>
      <c r="J430" s="31" t="s">
        <v>84</v>
      </c>
      <c r="K430" s="31" t="s">
        <v>84</v>
      </c>
      <c r="L430" s="31" t="s">
        <v>25</v>
      </c>
      <c r="M430" s="37">
        <v>45645.0</v>
      </c>
      <c r="N430" s="33">
        <v>2024.0</v>
      </c>
      <c r="O430" s="37">
        <v>46203.0</v>
      </c>
      <c r="P430" s="40">
        <v>2026.0</v>
      </c>
      <c r="Q430" s="40">
        <v>558.0</v>
      </c>
      <c r="R430" s="40">
        <v>2.0</v>
      </c>
      <c r="S430" s="41"/>
      <c r="T430" s="33" t="s">
        <v>269</v>
      </c>
      <c r="U430" s="75">
        <v>0.0</v>
      </c>
      <c r="V430" s="31" t="s">
        <v>1522</v>
      </c>
      <c r="W430" s="31" t="s">
        <v>3005</v>
      </c>
      <c r="X430" s="31" t="s">
        <v>3005</v>
      </c>
      <c r="Y430" s="31" t="s">
        <v>2429</v>
      </c>
      <c r="Z430" s="31" t="s">
        <v>210</v>
      </c>
      <c r="AA430" s="31" t="s">
        <v>65</v>
      </c>
      <c r="AB430" s="31" t="s">
        <v>124</v>
      </c>
      <c r="AC430" s="46" t="s">
        <v>276</v>
      </c>
      <c r="AD430" s="47"/>
      <c r="AE430" s="49"/>
    </row>
    <row r="431">
      <c r="A431" s="61" t="s">
        <v>64</v>
      </c>
      <c r="B431" s="61" t="s">
        <v>67</v>
      </c>
      <c r="C431" s="82" t="s">
        <v>4374</v>
      </c>
      <c r="D431" s="87">
        <v>600574.0</v>
      </c>
      <c r="E431" s="61" t="s">
        <v>3007</v>
      </c>
      <c r="F431" s="174" t="s">
        <v>4376</v>
      </c>
      <c r="G431" s="174" t="s">
        <v>4377</v>
      </c>
      <c r="H431" s="50" t="s">
        <v>232</v>
      </c>
      <c r="I431" s="125" t="s">
        <v>708</v>
      </c>
      <c r="J431" s="50" t="s">
        <v>233</v>
      </c>
      <c r="K431" s="50" t="s">
        <v>289</v>
      </c>
      <c r="L431" s="50" t="s">
        <v>181</v>
      </c>
      <c r="M431" s="84">
        <v>45646.0</v>
      </c>
      <c r="N431" s="84" t="str">
        <f t="shared" ref="N431:N433" si="241">right(M431,4)</f>
        <v>2024</v>
      </c>
      <c r="O431" s="84">
        <v>45688.0</v>
      </c>
      <c r="P431" s="85" t="str">
        <f t="shared" ref="P431:P433" si="242">right(O431,4)</f>
        <v>2025</v>
      </c>
      <c r="Q431" s="86">
        <f t="shared" ref="Q431:Q433" si="243">DATEDIF(M431,O431,"d")</f>
        <v>42</v>
      </c>
      <c r="R431" s="85">
        <f t="shared" ref="R431:R433" si="244">DATEDIF(M431,O431,"y")</f>
        <v>0</v>
      </c>
      <c r="S431" s="61"/>
      <c r="T431" s="87" t="s">
        <v>113</v>
      </c>
      <c r="U431" s="62">
        <v>0.0</v>
      </c>
      <c r="V431" s="61"/>
      <c r="W431" s="174" t="s">
        <v>4378</v>
      </c>
      <c r="X431" s="174" t="s">
        <v>4379</v>
      </c>
      <c r="Y431" s="50" t="s">
        <v>121</v>
      </c>
      <c r="Z431" s="50" t="s">
        <v>311</v>
      </c>
      <c r="AA431" s="50" t="s">
        <v>289</v>
      </c>
      <c r="AB431" s="50" t="s">
        <v>124</v>
      </c>
      <c r="AC431" s="65" t="s">
        <v>161</v>
      </c>
      <c r="AD431" s="66"/>
      <c r="AE431" s="108" t="s">
        <v>220</v>
      </c>
    </row>
    <row r="432">
      <c r="A432" s="41" t="s">
        <v>64</v>
      </c>
      <c r="B432" s="41" t="s">
        <v>67</v>
      </c>
      <c r="C432" s="68" t="s">
        <v>4380</v>
      </c>
      <c r="D432" s="74">
        <v>600577.0</v>
      </c>
      <c r="E432" s="41" t="s">
        <v>3013</v>
      </c>
      <c r="F432" s="41" t="s">
        <v>3015</v>
      </c>
      <c r="G432" s="41" t="s">
        <v>3016</v>
      </c>
      <c r="H432" s="31" t="s">
        <v>1421</v>
      </c>
      <c r="I432" s="77" t="s">
        <v>106</v>
      </c>
      <c r="J432" s="104" t="s">
        <v>175</v>
      </c>
      <c r="K432" s="104" t="s">
        <v>175</v>
      </c>
      <c r="L432" s="104" t="s">
        <v>175</v>
      </c>
      <c r="M432" s="70">
        <v>45649.0</v>
      </c>
      <c r="N432" s="70" t="str">
        <f t="shared" si="241"/>
        <v>2024</v>
      </c>
      <c r="O432" s="70">
        <v>45711.0</v>
      </c>
      <c r="P432" s="93" t="str">
        <f t="shared" si="242"/>
        <v>2025</v>
      </c>
      <c r="Q432" s="73">
        <f t="shared" si="243"/>
        <v>62</v>
      </c>
      <c r="R432" s="93">
        <f t="shared" si="244"/>
        <v>0</v>
      </c>
      <c r="S432" s="41"/>
      <c r="T432" s="74"/>
      <c r="U432" s="75">
        <v>0.0</v>
      </c>
      <c r="V432" s="41" t="s">
        <v>3021</v>
      </c>
      <c r="W432" s="246" t="s">
        <v>3020</v>
      </c>
      <c r="X432" s="246" t="s">
        <v>3020</v>
      </c>
      <c r="Y432" s="31" t="s">
        <v>2103</v>
      </c>
      <c r="Z432" s="41" t="s">
        <v>441</v>
      </c>
      <c r="AA432" s="31" t="s">
        <v>175</v>
      </c>
      <c r="AB432" s="41" t="s">
        <v>336</v>
      </c>
      <c r="AC432" s="46" t="s">
        <v>161</v>
      </c>
      <c r="AD432" s="47"/>
      <c r="AE432" s="78" t="s">
        <v>220</v>
      </c>
    </row>
    <row r="433">
      <c r="A433" s="61" t="s">
        <v>169</v>
      </c>
      <c r="B433" s="61" t="s">
        <v>67</v>
      </c>
      <c r="C433" s="82" t="s">
        <v>4381</v>
      </c>
      <c r="D433" s="94">
        <v>600575.0</v>
      </c>
      <c r="E433" s="61" t="s">
        <v>4382</v>
      </c>
      <c r="F433" s="61" t="s">
        <v>4383</v>
      </c>
      <c r="G433" s="61" t="s">
        <v>4384</v>
      </c>
      <c r="H433" s="50" t="s">
        <v>232</v>
      </c>
      <c r="I433" s="50" t="s">
        <v>104</v>
      </c>
      <c r="J433" s="50" t="s">
        <v>146</v>
      </c>
      <c r="K433" s="61" t="s">
        <v>84</v>
      </c>
      <c r="L433" s="138" t="s">
        <v>48</v>
      </c>
      <c r="M433" s="84">
        <v>45649.0</v>
      </c>
      <c r="N433" s="84" t="str">
        <f t="shared" si="241"/>
        <v>2024</v>
      </c>
      <c r="O433" s="84">
        <v>45716.0</v>
      </c>
      <c r="P433" s="95" t="str">
        <f t="shared" si="242"/>
        <v>2025</v>
      </c>
      <c r="Q433" s="86">
        <f t="shared" si="243"/>
        <v>67</v>
      </c>
      <c r="R433" s="85">
        <f t="shared" si="244"/>
        <v>0</v>
      </c>
      <c r="S433" s="61"/>
      <c r="T433" s="87"/>
      <c r="U433" s="96">
        <v>0.0</v>
      </c>
      <c r="V433" s="61"/>
      <c r="W433" s="61" t="s">
        <v>4385</v>
      </c>
      <c r="X433" s="61" t="s">
        <v>4385</v>
      </c>
      <c r="Y433" s="61" t="s">
        <v>243</v>
      </c>
      <c r="Z433" s="80" t="s">
        <v>247</v>
      </c>
      <c r="AA433" s="50" t="s">
        <v>2127</v>
      </c>
      <c r="AB433" s="61" t="s">
        <v>3443</v>
      </c>
      <c r="AC433" s="65" t="s">
        <v>164</v>
      </c>
      <c r="AD433" s="65" t="s">
        <v>251</v>
      </c>
      <c r="AE433" s="81" t="s">
        <v>220</v>
      </c>
    </row>
    <row r="434">
      <c r="A434" s="31" t="s">
        <v>169</v>
      </c>
      <c r="B434" s="31" t="s">
        <v>67</v>
      </c>
      <c r="C434" s="32" t="s">
        <v>4387</v>
      </c>
      <c r="D434" s="113">
        <v>600578.0</v>
      </c>
      <c r="E434" s="31" t="s">
        <v>4388</v>
      </c>
      <c r="F434" s="31" t="s">
        <v>4389</v>
      </c>
      <c r="G434" s="31" t="s">
        <v>4390</v>
      </c>
      <c r="H434" s="31" t="s">
        <v>1421</v>
      </c>
      <c r="I434" s="35" t="s">
        <v>708</v>
      </c>
      <c r="J434" s="31" t="s">
        <v>146</v>
      </c>
      <c r="K434" s="31" t="s">
        <v>147</v>
      </c>
      <c r="L434" s="31" t="s">
        <v>181</v>
      </c>
      <c r="M434" s="37">
        <v>45650.0</v>
      </c>
      <c r="N434" s="33">
        <v>2024.0</v>
      </c>
      <c r="O434" s="37">
        <v>46015.0</v>
      </c>
      <c r="P434" s="39">
        <v>2025.0</v>
      </c>
      <c r="Q434" s="40">
        <v>365.0</v>
      </c>
      <c r="R434" s="39">
        <v>1.0</v>
      </c>
      <c r="S434" s="41"/>
      <c r="T434" s="33" t="s">
        <v>113</v>
      </c>
      <c r="U434" s="75">
        <v>0.0</v>
      </c>
      <c r="V434" s="41"/>
      <c r="W434" s="31" t="s">
        <v>4391</v>
      </c>
      <c r="X434" s="31" t="s">
        <v>4391</v>
      </c>
      <c r="Y434" s="31" t="s">
        <v>243</v>
      </c>
      <c r="Z434" s="31" t="s">
        <v>122</v>
      </c>
      <c r="AA434" s="31" t="s">
        <v>261</v>
      </c>
      <c r="AB434" s="31" t="s">
        <v>1499</v>
      </c>
      <c r="AC434" s="46" t="s">
        <v>128</v>
      </c>
      <c r="AD434" s="77"/>
      <c r="AE434" s="99"/>
    </row>
    <row r="435">
      <c r="A435" s="61" t="s">
        <v>169</v>
      </c>
      <c r="B435" s="61" t="s">
        <v>67</v>
      </c>
      <c r="C435" s="82" t="s">
        <v>4392</v>
      </c>
      <c r="D435" s="94">
        <v>600579.0</v>
      </c>
      <c r="E435" s="61" t="s">
        <v>4393</v>
      </c>
      <c r="F435" s="61" t="s">
        <v>4394</v>
      </c>
      <c r="G435" s="61" t="s">
        <v>4395</v>
      </c>
      <c r="H435" s="50" t="s">
        <v>1421</v>
      </c>
      <c r="I435" s="106" t="s">
        <v>106</v>
      </c>
      <c r="J435" s="50" t="s">
        <v>146</v>
      </c>
      <c r="K435" s="50" t="s">
        <v>147</v>
      </c>
      <c r="L435" s="138" t="s">
        <v>48</v>
      </c>
      <c r="M435" s="84">
        <v>45652.0</v>
      </c>
      <c r="N435" s="84" t="str">
        <f t="shared" ref="N435:N436" si="245">right(M435,4)</f>
        <v>2024</v>
      </c>
      <c r="O435" s="84">
        <v>45659.0</v>
      </c>
      <c r="P435" s="95" t="str">
        <f t="shared" ref="P435:P436" si="246">right(O435,4)</f>
        <v>2025</v>
      </c>
      <c r="Q435" s="86">
        <f t="shared" ref="Q435:Q436" si="247">DATEDIF(M435,O435,"d")</f>
        <v>7</v>
      </c>
      <c r="R435" s="85">
        <f t="shared" ref="R435:R436" si="248">DATEDIF(M435,O435,"y")</f>
        <v>0</v>
      </c>
      <c r="S435" s="61"/>
      <c r="T435" s="87"/>
      <c r="U435" s="96">
        <v>0.0</v>
      </c>
      <c r="V435" s="61"/>
      <c r="W435" s="61" t="s">
        <v>4397</v>
      </c>
      <c r="X435" s="61" t="s">
        <v>4397</v>
      </c>
      <c r="Y435" s="50" t="s">
        <v>161</v>
      </c>
      <c r="Z435" s="80" t="s">
        <v>247</v>
      </c>
      <c r="AA435" s="50" t="s">
        <v>289</v>
      </c>
      <c r="AB435" s="50" t="s">
        <v>213</v>
      </c>
      <c r="AC435" s="65" t="s">
        <v>161</v>
      </c>
      <c r="AD435" s="97"/>
      <c r="AE435" s="108" t="s">
        <v>220</v>
      </c>
    </row>
    <row r="436">
      <c r="A436" s="41" t="s">
        <v>169</v>
      </c>
      <c r="B436" s="31" t="s">
        <v>67</v>
      </c>
      <c r="C436" s="68" t="s">
        <v>4398</v>
      </c>
      <c r="D436" s="69">
        <v>600580.0</v>
      </c>
      <c r="E436" s="41" t="s">
        <v>631</v>
      </c>
      <c r="F436" s="41" t="s">
        <v>4399</v>
      </c>
      <c r="G436" s="41" t="s">
        <v>4400</v>
      </c>
      <c r="H436" s="31" t="s">
        <v>232</v>
      </c>
      <c r="I436" s="91" t="s">
        <v>104</v>
      </c>
      <c r="J436" s="31" t="s">
        <v>233</v>
      </c>
      <c r="K436" s="31" t="s">
        <v>236</v>
      </c>
      <c r="L436" s="91" t="s">
        <v>25</v>
      </c>
      <c r="M436" s="70">
        <v>45653.0</v>
      </c>
      <c r="N436" s="70" t="str">
        <f t="shared" si="245"/>
        <v>2024</v>
      </c>
      <c r="O436" s="70">
        <v>46022.0</v>
      </c>
      <c r="P436" s="102" t="str">
        <f t="shared" si="246"/>
        <v>2025</v>
      </c>
      <c r="Q436" s="73">
        <f t="shared" si="247"/>
        <v>369</v>
      </c>
      <c r="R436" s="93">
        <f t="shared" si="248"/>
        <v>1</v>
      </c>
      <c r="S436" s="41"/>
      <c r="T436" s="74"/>
      <c r="U436" s="43">
        <v>0.0</v>
      </c>
      <c r="V436" s="41"/>
      <c r="W436" s="41" t="s">
        <v>4401</v>
      </c>
      <c r="X436" s="41" t="s">
        <v>4401</v>
      </c>
      <c r="Y436" s="41" t="s">
        <v>243</v>
      </c>
      <c r="Z436" s="31" t="s">
        <v>211</v>
      </c>
      <c r="AA436" s="31" t="s">
        <v>123</v>
      </c>
      <c r="AB436" s="31" t="s">
        <v>213</v>
      </c>
      <c r="AC436" s="46" t="s">
        <v>161</v>
      </c>
      <c r="AD436" s="46" t="s">
        <v>251</v>
      </c>
      <c r="AE436" s="111" t="s">
        <v>220</v>
      </c>
    </row>
    <row r="437">
      <c r="A437" s="50" t="s">
        <v>64</v>
      </c>
      <c r="B437" s="50" t="s">
        <v>19</v>
      </c>
      <c r="C437" s="52" t="s">
        <v>4402</v>
      </c>
      <c r="D437" s="54">
        <v>600581.0</v>
      </c>
      <c r="E437" s="50" t="s">
        <v>1079</v>
      </c>
      <c r="F437" s="50" t="s">
        <v>3023</v>
      </c>
      <c r="G437" s="159" t="s">
        <v>3025</v>
      </c>
      <c r="H437" s="50" t="s">
        <v>232</v>
      </c>
      <c r="I437" s="125" t="s">
        <v>104</v>
      </c>
      <c r="J437" s="125" t="s">
        <v>233</v>
      </c>
      <c r="K437" s="50" t="s">
        <v>236</v>
      </c>
      <c r="L437" s="50" t="s">
        <v>105</v>
      </c>
      <c r="M437" s="57">
        <v>45656.0</v>
      </c>
      <c r="N437" s="54">
        <v>2024.0</v>
      </c>
      <c r="O437" s="57">
        <v>46375.0</v>
      </c>
      <c r="P437" s="59">
        <v>2026.0</v>
      </c>
      <c r="Q437" s="60">
        <v>719.0</v>
      </c>
      <c r="R437" s="59">
        <v>2.0</v>
      </c>
      <c r="S437" s="61"/>
      <c r="T437" s="54" t="s">
        <v>113</v>
      </c>
      <c r="U437" s="62">
        <v>1.0</v>
      </c>
      <c r="V437" s="50" t="s">
        <v>3036</v>
      </c>
      <c r="W437" s="159" t="s">
        <v>4403</v>
      </c>
      <c r="X437" s="159" t="s">
        <v>4403</v>
      </c>
      <c r="Y437" s="50" t="s">
        <v>2103</v>
      </c>
      <c r="Z437" s="50" t="s">
        <v>261</v>
      </c>
      <c r="AA437" s="50"/>
      <c r="AB437" s="50" t="s">
        <v>124</v>
      </c>
      <c r="AC437" s="65" t="s">
        <v>337</v>
      </c>
      <c r="AD437" s="66"/>
      <c r="AE437" s="67"/>
    </row>
    <row r="438">
      <c r="A438" s="31" t="s">
        <v>169</v>
      </c>
      <c r="B438" s="31" t="s">
        <v>19</v>
      </c>
      <c r="C438" s="32" t="s">
        <v>4404</v>
      </c>
      <c r="D438" s="113">
        <v>600583.0</v>
      </c>
      <c r="E438" s="31" t="s">
        <v>811</v>
      </c>
      <c r="F438" s="31" t="s">
        <v>4405</v>
      </c>
      <c r="G438" s="31" t="s">
        <v>4406</v>
      </c>
      <c r="H438" s="31" t="s">
        <v>232</v>
      </c>
      <c r="I438" s="31" t="s">
        <v>104</v>
      </c>
      <c r="J438" s="31" t="s">
        <v>233</v>
      </c>
      <c r="K438" s="31" t="s">
        <v>236</v>
      </c>
      <c r="L438" s="31" t="s">
        <v>25</v>
      </c>
      <c r="M438" s="37">
        <v>45659.0</v>
      </c>
      <c r="N438" s="33">
        <v>2025.0</v>
      </c>
      <c r="O438" s="37">
        <v>46380.0</v>
      </c>
      <c r="P438" s="39">
        <v>2026.0</v>
      </c>
      <c r="Q438" s="40">
        <v>721.0</v>
      </c>
      <c r="R438" s="39">
        <v>2.0</v>
      </c>
      <c r="S438" s="41"/>
      <c r="T438" s="74"/>
      <c r="U438" s="43">
        <v>3.0</v>
      </c>
      <c r="V438" s="41"/>
      <c r="W438" s="31" t="s">
        <v>4407</v>
      </c>
      <c r="X438" s="31" t="s">
        <v>4407</v>
      </c>
      <c r="Y438" s="31" t="s">
        <v>2549</v>
      </c>
      <c r="Z438" s="31" t="s">
        <v>211</v>
      </c>
      <c r="AA438" s="31" t="s">
        <v>123</v>
      </c>
      <c r="AB438" s="153" t="s">
        <v>489</v>
      </c>
      <c r="AC438" s="46" t="s">
        <v>337</v>
      </c>
      <c r="AD438" s="46"/>
      <c r="AE438" s="99"/>
    </row>
    <row r="439">
      <c r="A439" s="61" t="s">
        <v>169</v>
      </c>
      <c r="B439" s="61" t="s">
        <v>19</v>
      </c>
      <c r="C439" s="82" t="s">
        <v>4408</v>
      </c>
      <c r="D439" s="94">
        <v>600584.0</v>
      </c>
      <c r="E439" s="61" t="s">
        <v>1010</v>
      </c>
      <c r="F439" s="61" t="s">
        <v>4409</v>
      </c>
      <c r="G439" s="61" t="s">
        <v>4410</v>
      </c>
      <c r="H439" s="50" t="s">
        <v>232</v>
      </c>
      <c r="I439" s="138" t="s">
        <v>104</v>
      </c>
      <c r="J439" s="50" t="s">
        <v>233</v>
      </c>
      <c r="K439" s="50" t="s">
        <v>236</v>
      </c>
      <c r="L439" s="138" t="s">
        <v>25</v>
      </c>
      <c r="M439" s="84">
        <v>45659.0</v>
      </c>
      <c r="N439" s="84" t="str">
        <f t="shared" ref="N439:N441" si="249">right(M439,4)</f>
        <v>2025</v>
      </c>
      <c r="O439" s="57">
        <v>46380.0</v>
      </c>
      <c r="P439" s="95" t="str">
        <f t="shared" ref="P439:P441" si="250">right(O439,4)</f>
        <v>2026</v>
      </c>
      <c r="Q439" s="86">
        <f t="shared" ref="Q439:Q441" si="251">DATEDIF(M439,O439,"d")</f>
        <v>721</v>
      </c>
      <c r="R439" s="85">
        <f t="shared" ref="R439:R441" si="252">DATEDIF(M439,O439,"y")</f>
        <v>1</v>
      </c>
      <c r="S439" s="61"/>
      <c r="T439" s="87"/>
      <c r="U439" s="62">
        <v>2.0</v>
      </c>
      <c r="V439" s="61"/>
      <c r="W439" s="61" t="s">
        <v>4412</v>
      </c>
      <c r="X439" s="61" t="s">
        <v>4412</v>
      </c>
      <c r="Y439" s="61" t="s">
        <v>2549</v>
      </c>
      <c r="Z439" s="50" t="s">
        <v>211</v>
      </c>
      <c r="AA439" s="50" t="s">
        <v>123</v>
      </c>
      <c r="AB439" s="193" t="s">
        <v>489</v>
      </c>
      <c r="AC439" s="65" t="s">
        <v>337</v>
      </c>
      <c r="AD439" s="65"/>
      <c r="AE439" s="120"/>
    </row>
    <row r="440">
      <c r="A440" s="41" t="s">
        <v>64</v>
      </c>
      <c r="B440" s="41" t="s">
        <v>67</v>
      </c>
      <c r="C440" s="68" t="s">
        <v>4413</v>
      </c>
      <c r="D440" s="74">
        <v>600587.0</v>
      </c>
      <c r="E440" s="41" t="s">
        <v>3037</v>
      </c>
      <c r="F440" s="41" t="s">
        <v>3038</v>
      </c>
      <c r="G440" s="154" t="s">
        <v>4414</v>
      </c>
      <c r="H440" s="31" t="s">
        <v>84</v>
      </c>
      <c r="I440" s="185" t="s">
        <v>106</v>
      </c>
      <c r="J440" s="245" t="s">
        <v>84</v>
      </c>
      <c r="K440" s="104" t="s">
        <v>175</v>
      </c>
      <c r="L440" s="104" t="s">
        <v>175</v>
      </c>
      <c r="M440" s="70">
        <v>45674.0</v>
      </c>
      <c r="N440" s="70" t="str">
        <f t="shared" si="249"/>
        <v>2025</v>
      </c>
      <c r="O440" s="70">
        <v>45705.0</v>
      </c>
      <c r="P440" s="93" t="str">
        <f t="shared" si="250"/>
        <v>2025</v>
      </c>
      <c r="Q440" s="73">
        <f t="shared" si="251"/>
        <v>31</v>
      </c>
      <c r="R440" s="93">
        <f t="shared" si="252"/>
        <v>0</v>
      </c>
      <c r="S440" s="41"/>
      <c r="T440" s="74"/>
      <c r="U440" s="75">
        <v>0.0</v>
      </c>
      <c r="V440" s="41"/>
      <c r="W440" s="41" t="s">
        <v>3046</v>
      </c>
      <c r="X440" s="41" t="s">
        <v>3046</v>
      </c>
      <c r="Y440" s="41" t="s">
        <v>2799</v>
      </c>
      <c r="Z440" s="31" t="s">
        <v>311</v>
      </c>
      <c r="AA440" s="31" t="s">
        <v>175</v>
      </c>
      <c r="AB440" s="41" t="s">
        <v>336</v>
      </c>
      <c r="AC440" s="46" t="s">
        <v>161</v>
      </c>
      <c r="AD440" s="47"/>
      <c r="AE440" s="78" t="s">
        <v>220</v>
      </c>
    </row>
    <row r="441">
      <c r="A441" s="61" t="s">
        <v>64</v>
      </c>
      <c r="B441" s="61" t="s">
        <v>67</v>
      </c>
      <c r="C441" s="82" t="s">
        <v>4415</v>
      </c>
      <c r="D441" s="87">
        <v>600588.0</v>
      </c>
      <c r="E441" s="61" t="s">
        <v>3048</v>
      </c>
      <c r="F441" s="61" t="s">
        <v>3049</v>
      </c>
      <c r="G441" s="61" t="s">
        <v>3050</v>
      </c>
      <c r="H441" s="50" t="s">
        <v>232</v>
      </c>
      <c r="I441" s="56" t="s">
        <v>708</v>
      </c>
      <c r="J441" s="50" t="s">
        <v>146</v>
      </c>
      <c r="K441" s="50" t="s">
        <v>147</v>
      </c>
      <c r="L441" s="50" t="s">
        <v>181</v>
      </c>
      <c r="M441" s="84">
        <v>45679.0</v>
      </c>
      <c r="N441" s="84" t="str">
        <f t="shared" si="249"/>
        <v>2025</v>
      </c>
      <c r="O441" s="84">
        <v>45991.0</v>
      </c>
      <c r="P441" s="86" t="str">
        <f t="shared" si="250"/>
        <v>2025</v>
      </c>
      <c r="Q441" s="86">
        <f t="shared" si="251"/>
        <v>312</v>
      </c>
      <c r="R441" s="86">
        <f t="shared" si="252"/>
        <v>0</v>
      </c>
      <c r="S441" s="61"/>
      <c r="T441" s="87" t="s">
        <v>269</v>
      </c>
      <c r="U441" s="96">
        <v>0.0</v>
      </c>
      <c r="V441" s="50" t="s">
        <v>4416</v>
      </c>
      <c r="W441" s="61" t="s">
        <v>3053</v>
      </c>
      <c r="X441" s="61" t="s">
        <v>3053</v>
      </c>
      <c r="Y441" s="61" t="s">
        <v>2429</v>
      </c>
      <c r="Z441" s="50" t="s">
        <v>210</v>
      </c>
      <c r="AA441" s="50" t="s">
        <v>261</v>
      </c>
      <c r="AB441" s="50" t="s">
        <v>124</v>
      </c>
      <c r="AC441" s="65" t="s">
        <v>337</v>
      </c>
      <c r="AD441" s="66"/>
      <c r="AE441" s="67"/>
    </row>
    <row r="442">
      <c r="A442" s="31" t="s">
        <v>169</v>
      </c>
      <c r="B442" s="31" t="s">
        <v>19</v>
      </c>
      <c r="C442" s="32" t="s">
        <v>4417</v>
      </c>
      <c r="D442" s="33" t="s">
        <v>4418</v>
      </c>
      <c r="E442" s="31" t="s">
        <v>4419</v>
      </c>
      <c r="F442" s="31" t="s">
        <v>3058</v>
      </c>
      <c r="G442" s="31" t="s">
        <v>3059</v>
      </c>
      <c r="H442" s="31" t="s">
        <v>232</v>
      </c>
      <c r="I442" s="35" t="s">
        <v>104</v>
      </c>
      <c r="J442" s="31" t="s">
        <v>84</v>
      </c>
      <c r="K442" s="31" t="s">
        <v>1809</v>
      </c>
      <c r="L442" s="31" t="s">
        <v>181</v>
      </c>
      <c r="M442" s="37">
        <v>45702.0</v>
      </c>
      <c r="N442" s="33">
        <v>2025.0</v>
      </c>
      <c r="O442" s="37">
        <v>46387.0</v>
      </c>
      <c r="P442" s="40">
        <v>2026.0</v>
      </c>
      <c r="Q442" s="40">
        <v>685.0</v>
      </c>
      <c r="R442" s="40">
        <v>2.0</v>
      </c>
      <c r="S442" s="31" t="s">
        <v>3063</v>
      </c>
      <c r="T442" s="33" t="s">
        <v>269</v>
      </c>
      <c r="U442" s="75">
        <v>2.0</v>
      </c>
      <c r="V442" s="41"/>
      <c r="W442" s="31" t="s">
        <v>3061</v>
      </c>
      <c r="X442" s="31"/>
      <c r="Y442" s="31" t="s">
        <v>209</v>
      </c>
      <c r="Z442" s="31" t="s">
        <v>210</v>
      </c>
      <c r="AA442" s="31" t="s">
        <v>123</v>
      </c>
      <c r="AB442" s="31" t="s">
        <v>621</v>
      </c>
      <c r="AC442" s="46" t="s">
        <v>276</v>
      </c>
      <c r="AD442" s="46" t="s">
        <v>295</v>
      </c>
      <c r="AE442" s="99"/>
    </row>
    <row r="443">
      <c r="A443" s="61" t="s">
        <v>64</v>
      </c>
      <c r="B443" s="61" t="s">
        <v>67</v>
      </c>
      <c r="C443" s="82" t="s">
        <v>4420</v>
      </c>
      <c r="D443" s="87">
        <v>600454.0</v>
      </c>
      <c r="E443" s="61" t="s">
        <v>2639</v>
      </c>
      <c r="F443" s="61" t="s">
        <v>2640</v>
      </c>
      <c r="G443" s="61" t="s">
        <v>2641</v>
      </c>
      <c r="H443" s="50" t="s">
        <v>232</v>
      </c>
      <c r="I443" s="97" t="s">
        <v>708</v>
      </c>
      <c r="J443" s="50" t="s">
        <v>233</v>
      </c>
      <c r="K443" s="50" t="s">
        <v>236</v>
      </c>
      <c r="L443" s="50" t="s">
        <v>181</v>
      </c>
      <c r="M443" s="84">
        <v>45703.0</v>
      </c>
      <c r="N443" s="84" t="str">
        <f t="shared" ref="N443:N445" si="253">right(M443,4)</f>
        <v>2025</v>
      </c>
      <c r="O443" s="84">
        <v>45894.0</v>
      </c>
      <c r="P443" s="86" t="str">
        <f t="shared" ref="P443:P445" si="254">right(O443,4)</f>
        <v>2025</v>
      </c>
      <c r="Q443" s="86">
        <f t="shared" ref="Q443:Q445" si="255">DATEDIF(M443,O443,"d")</f>
        <v>191</v>
      </c>
      <c r="R443" s="86">
        <f t="shared" ref="R443:R445" si="256">DATEDIF(M443,O443,"y")</f>
        <v>0</v>
      </c>
      <c r="S443" s="61" t="s">
        <v>2557</v>
      </c>
      <c r="T443" s="87" t="s">
        <v>113</v>
      </c>
      <c r="U443" s="96">
        <v>0.0</v>
      </c>
      <c r="V443" s="61"/>
      <c r="W443" s="61" t="s">
        <v>2643</v>
      </c>
      <c r="X443" s="61" t="s">
        <v>2643</v>
      </c>
      <c r="Y443" s="61" t="s">
        <v>209</v>
      </c>
      <c r="Z443" s="50" t="s">
        <v>210</v>
      </c>
      <c r="AA443" s="50" t="s">
        <v>261</v>
      </c>
      <c r="AB443" s="50" t="s">
        <v>124</v>
      </c>
      <c r="AC443" s="65" t="s">
        <v>337</v>
      </c>
      <c r="AD443" s="66"/>
      <c r="AE443" s="67"/>
    </row>
    <row r="444">
      <c r="A444" s="41" t="s">
        <v>169</v>
      </c>
      <c r="B444" s="41" t="s">
        <v>67</v>
      </c>
      <c r="C444" s="68" t="s">
        <v>4423</v>
      </c>
      <c r="D444" s="69">
        <v>600591.0</v>
      </c>
      <c r="E444" s="41" t="s">
        <v>4424</v>
      </c>
      <c r="F444" s="41" t="s">
        <v>4425</v>
      </c>
      <c r="G444" s="41" t="s">
        <v>4426</v>
      </c>
      <c r="H444" s="31" t="s">
        <v>103</v>
      </c>
      <c r="I444" s="77" t="s">
        <v>106</v>
      </c>
      <c r="J444" s="31" t="s">
        <v>146</v>
      </c>
      <c r="K444" s="31" t="s">
        <v>147</v>
      </c>
      <c r="L444" s="266" t="s">
        <v>48</v>
      </c>
      <c r="M444" s="70">
        <v>45706.0</v>
      </c>
      <c r="N444" s="70" t="str">
        <f t="shared" si="253"/>
        <v>2025</v>
      </c>
      <c r="O444" s="70">
        <v>45716.0</v>
      </c>
      <c r="P444" s="102" t="str">
        <f t="shared" si="254"/>
        <v>2025</v>
      </c>
      <c r="Q444" s="73">
        <f t="shared" si="255"/>
        <v>10</v>
      </c>
      <c r="R444" s="93">
        <f t="shared" si="256"/>
        <v>0</v>
      </c>
      <c r="S444" s="41"/>
      <c r="T444" s="74"/>
      <c r="U444" s="75">
        <v>0.0</v>
      </c>
      <c r="V444" s="41"/>
      <c r="W444" s="41" t="s">
        <v>4429</v>
      </c>
      <c r="X444" s="41" t="s">
        <v>4429</v>
      </c>
      <c r="Y444" s="41" t="s">
        <v>2799</v>
      </c>
      <c r="Z444" s="101" t="s">
        <v>247</v>
      </c>
      <c r="AA444" s="31" t="s">
        <v>175</v>
      </c>
      <c r="AB444" s="41" t="s">
        <v>4431</v>
      </c>
      <c r="AC444" s="46" t="s">
        <v>161</v>
      </c>
      <c r="AD444" s="77"/>
      <c r="AE444" s="78" t="s">
        <v>220</v>
      </c>
    </row>
    <row r="445">
      <c r="A445" s="61" t="s">
        <v>64</v>
      </c>
      <c r="B445" s="61" t="s">
        <v>67</v>
      </c>
      <c r="C445" s="82" t="s">
        <v>4432</v>
      </c>
      <c r="D445" s="87">
        <v>600593.0</v>
      </c>
      <c r="E445" s="61" t="s">
        <v>3070</v>
      </c>
      <c r="F445" s="61" t="s">
        <v>3072</v>
      </c>
      <c r="G445" s="174" t="s">
        <v>4435</v>
      </c>
      <c r="H445" s="50" t="s">
        <v>84</v>
      </c>
      <c r="I445" s="105" t="s">
        <v>106</v>
      </c>
      <c r="J445" s="224" t="s">
        <v>84</v>
      </c>
      <c r="K445" s="106" t="s">
        <v>175</v>
      </c>
      <c r="L445" s="50" t="s">
        <v>181</v>
      </c>
      <c r="M445" s="84">
        <v>45708.0</v>
      </c>
      <c r="N445" s="84" t="str">
        <f t="shared" si="253"/>
        <v>2025</v>
      </c>
      <c r="O445" s="84">
        <v>45767.0</v>
      </c>
      <c r="P445" s="85" t="str">
        <f t="shared" si="254"/>
        <v>2025</v>
      </c>
      <c r="Q445" s="86">
        <f t="shared" si="255"/>
        <v>59</v>
      </c>
      <c r="R445" s="85">
        <f t="shared" si="256"/>
        <v>0</v>
      </c>
      <c r="S445" s="61"/>
      <c r="T445" s="87"/>
      <c r="U445" s="96">
        <v>0.0</v>
      </c>
      <c r="V445" s="61"/>
      <c r="W445" s="174" t="s">
        <v>4436</v>
      </c>
      <c r="X445" s="174" t="s">
        <v>4437</v>
      </c>
      <c r="Y445" s="50" t="s">
        <v>161</v>
      </c>
      <c r="Z445" s="50" t="s">
        <v>311</v>
      </c>
      <c r="AA445" s="50" t="s">
        <v>175</v>
      </c>
      <c r="AB445" s="61" t="s">
        <v>336</v>
      </c>
      <c r="AC445" s="65" t="s">
        <v>161</v>
      </c>
      <c r="AD445" s="66"/>
      <c r="AE445" s="108" t="s">
        <v>220</v>
      </c>
    </row>
    <row r="446">
      <c r="A446" s="31" t="s">
        <v>169</v>
      </c>
      <c r="B446" s="31" t="s">
        <v>19</v>
      </c>
      <c r="C446" s="32" t="s">
        <v>4438</v>
      </c>
      <c r="D446" s="113">
        <v>600594.0</v>
      </c>
      <c r="E446" s="31" t="s">
        <v>1005</v>
      </c>
      <c r="F446" s="31" t="s">
        <v>4439</v>
      </c>
      <c r="G446" s="31" t="s">
        <v>4440</v>
      </c>
      <c r="H446" s="31" t="s">
        <v>232</v>
      </c>
      <c r="I446" s="46" t="s">
        <v>104</v>
      </c>
      <c r="J446" s="31" t="s">
        <v>84</v>
      </c>
      <c r="K446" s="31" t="s">
        <v>84</v>
      </c>
      <c r="L446" s="31" t="s">
        <v>105</v>
      </c>
      <c r="M446" s="37">
        <v>45708.0</v>
      </c>
      <c r="N446" s="33">
        <v>2025.0</v>
      </c>
      <c r="O446" s="37">
        <v>46451.0</v>
      </c>
      <c r="P446" s="39">
        <v>2027.0</v>
      </c>
      <c r="Q446" s="40">
        <v>743.0</v>
      </c>
      <c r="R446" s="39">
        <v>3.0</v>
      </c>
      <c r="S446" s="41"/>
      <c r="T446" s="33" t="s">
        <v>113</v>
      </c>
      <c r="U446" s="114">
        <v>2.0</v>
      </c>
      <c r="V446" s="41"/>
      <c r="W446" s="31" t="s">
        <v>4443</v>
      </c>
      <c r="X446" s="31" t="s">
        <v>4443</v>
      </c>
      <c r="Y446" s="31" t="s">
        <v>2799</v>
      </c>
      <c r="Z446" s="101" t="s">
        <v>261</v>
      </c>
      <c r="AA446" s="31" t="s">
        <v>123</v>
      </c>
      <c r="AB446" s="153" t="s">
        <v>2291</v>
      </c>
      <c r="AC446" s="46" t="s">
        <v>276</v>
      </c>
      <c r="AD446" s="46"/>
      <c r="AE446" s="99"/>
    </row>
    <row r="447">
      <c r="A447" s="50" t="s">
        <v>64</v>
      </c>
      <c r="B447" s="50" t="s">
        <v>19</v>
      </c>
      <c r="C447" s="52" t="s">
        <v>4444</v>
      </c>
      <c r="D447" s="54">
        <v>600595.0</v>
      </c>
      <c r="E447" s="50" t="s">
        <v>3089</v>
      </c>
      <c r="F447" s="159" t="s">
        <v>4445</v>
      </c>
      <c r="G447" s="159" t="s">
        <v>4446</v>
      </c>
      <c r="H447" s="50" t="s">
        <v>232</v>
      </c>
      <c r="I447" s="50" t="s">
        <v>708</v>
      </c>
      <c r="J447" s="50" t="s">
        <v>233</v>
      </c>
      <c r="K447" s="50"/>
      <c r="L447" s="50" t="s">
        <v>181</v>
      </c>
      <c r="M447" s="57">
        <v>45709.0</v>
      </c>
      <c r="N447" s="54">
        <v>2025.0</v>
      </c>
      <c r="O447" s="57">
        <v>46511.0</v>
      </c>
      <c r="P447" s="59">
        <v>2026.0</v>
      </c>
      <c r="Q447" s="60">
        <v>587.0</v>
      </c>
      <c r="R447" s="59">
        <v>2.0</v>
      </c>
      <c r="S447" s="61"/>
      <c r="T447" s="54" t="s">
        <v>113</v>
      </c>
      <c r="U447" s="96">
        <v>3.0</v>
      </c>
      <c r="V447" s="61"/>
      <c r="W447" s="159" t="s">
        <v>4447</v>
      </c>
      <c r="X447" s="159" t="s">
        <v>4447</v>
      </c>
      <c r="Y447" s="50" t="s">
        <v>121</v>
      </c>
      <c r="Z447" s="50" t="s">
        <v>261</v>
      </c>
      <c r="AA447" s="50" t="s">
        <v>123</v>
      </c>
      <c r="AB447" s="50" t="s">
        <v>124</v>
      </c>
      <c r="AC447" s="65" t="s">
        <v>161</v>
      </c>
      <c r="AD447" s="66"/>
      <c r="AE447" s="81"/>
    </row>
    <row r="448">
      <c r="A448" s="31" t="s">
        <v>169</v>
      </c>
      <c r="B448" s="31" t="s">
        <v>19</v>
      </c>
      <c r="C448" s="32" t="s">
        <v>4450</v>
      </c>
      <c r="D448" s="113">
        <v>600596.0</v>
      </c>
      <c r="E448" s="31" t="s">
        <v>4451</v>
      </c>
      <c r="F448" s="31" t="s">
        <v>4452</v>
      </c>
      <c r="G448" s="31" t="s">
        <v>4453</v>
      </c>
      <c r="H448" s="31" t="s">
        <v>1421</v>
      </c>
      <c r="I448" s="151" t="s">
        <v>708</v>
      </c>
      <c r="J448" s="101" t="s">
        <v>84</v>
      </c>
      <c r="K448" s="31" t="s">
        <v>2304</v>
      </c>
      <c r="L448" s="31" t="s">
        <v>181</v>
      </c>
      <c r="M448" s="37">
        <v>45712.0</v>
      </c>
      <c r="N448" s="33">
        <v>2025.0</v>
      </c>
      <c r="O448" s="37">
        <v>46450.0</v>
      </c>
      <c r="P448" s="39">
        <v>2027.0</v>
      </c>
      <c r="Q448" s="40">
        <v>738.0</v>
      </c>
      <c r="R448" s="39">
        <v>3.0</v>
      </c>
      <c r="S448" s="41"/>
      <c r="T448" s="33" t="s">
        <v>113</v>
      </c>
      <c r="U448" s="43">
        <v>1.0</v>
      </c>
      <c r="V448" s="41"/>
      <c r="W448" s="31" t="s">
        <v>4454</v>
      </c>
      <c r="X448" s="31" t="s">
        <v>4454</v>
      </c>
      <c r="Y448" s="31" t="s">
        <v>2799</v>
      </c>
      <c r="Z448" s="31" t="s">
        <v>261</v>
      </c>
      <c r="AA448" s="31" t="s">
        <v>123</v>
      </c>
      <c r="AB448" s="31" t="s">
        <v>489</v>
      </c>
      <c r="AC448" s="46" t="s">
        <v>337</v>
      </c>
      <c r="AD448" s="46"/>
      <c r="AE448" s="99"/>
    </row>
    <row r="449">
      <c r="A449" s="50" t="s">
        <v>64</v>
      </c>
      <c r="B449" s="50" t="s">
        <v>67</v>
      </c>
      <c r="C449" s="52" t="s">
        <v>4455</v>
      </c>
      <c r="D449" s="54">
        <v>600598.0</v>
      </c>
      <c r="E449" s="50" t="s">
        <v>1075</v>
      </c>
      <c r="F449" s="50" t="s">
        <v>3104</v>
      </c>
      <c r="G449" s="50" t="s">
        <v>3105</v>
      </c>
      <c r="H449" s="50" t="s">
        <v>232</v>
      </c>
      <c r="I449" s="56" t="s">
        <v>104</v>
      </c>
      <c r="J449" s="50" t="s">
        <v>84</v>
      </c>
      <c r="K449" s="50" t="s">
        <v>4456</v>
      </c>
      <c r="L449" s="50" t="s">
        <v>484</v>
      </c>
      <c r="M449" s="57">
        <v>45715.0</v>
      </c>
      <c r="N449" s="54">
        <v>2025.0</v>
      </c>
      <c r="O449" s="57">
        <v>46057.0</v>
      </c>
      <c r="P449" s="60">
        <v>2026.0</v>
      </c>
      <c r="Q449" s="60">
        <v>342.0</v>
      </c>
      <c r="R449" s="60">
        <v>1.0</v>
      </c>
      <c r="S449" s="50" t="s">
        <v>3108</v>
      </c>
      <c r="T449" s="54" t="s">
        <v>113</v>
      </c>
      <c r="U449" s="96">
        <v>0.0</v>
      </c>
      <c r="V449" s="61"/>
      <c r="W449" s="50" t="s">
        <v>3107</v>
      </c>
      <c r="X449" s="50" t="s">
        <v>3107</v>
      </c>
      <c r="Y449" s="50" t="s">
        <v>1525</v>
      </c>
      <c r="Z449" s="50" t="s">
        <v>210</v>
      </c>
      <c r="AA449" s="50" t="s">
        <v>123</v>
      </c>
      <c r="AB449" s="50" t="s">
        <v>124</v>
      </c>
      <c r="AC449" s="65" t="s">
        <v>128</v>
      </c>
      <c r="AD449" s="66"/>
      <c r="AE449" s="67"/>
    </row>
    <row r="450">
      <c r="A450" s="41" t="s">
        <v>169</v>
      </c>
      <c r="B450" s="41" t="s">
        <v>67</v>
      </c>
      <c r="C450" s="68" t="s">
        <v>4458</v>
      </c>
      <c r="D450" s="69">
        <v>600601.0</v>
      </c>
      <c r="E450" s="41" t="s">
        <v>4459</v>
      </c>
      <c r="F450" s="41" t="s">
        <v>4460</v>
      </c>
      <c r="G450" s="41" t="s">
        <v>4461</v>
      </c>
      <c r="H450" s="31" t="s">
        <v>1421</v>
      </c>
      <c r="I450" s="185" t="s">
        <v>708</v>
      </c>
      <c r="J450" s="101" t="s">
        <v>146</v>
      </c>
      <c r="K450" s="31" t="s">
        <v>236</v>
      </c>
      <c r="L450" s="31" t="s">
        <v>181</v>
      </c>
      <c r="M450" s="70">
        <v>45719.0</v>
      </c>
      <c r="N450" s="70" t="str">
        <f t="shared" ref="N450:N454" si="257">right(M450,4)</f>
        <v>2025</v>
      </c>
      <c r="O450" s="70">
        <v>45904.0</v>
      </c>
      <c r="P450" s="102" t="str">
        <f t="shared" ref="P450:P454" si="258">right(O450,4)</f>
        <v>2025</v>
      </c>
      <c r="Q450" s="73">
        <f t="shared" ref="Q450:Q454" si="259">DATEDIF(M450,O450,"d")</f>
        <v>185</v>
      </c>
      <c r="R450" s="93">
        <f t="shared" ref="R450:R454" si="260">DATEDIF(M450,O450,"y")</f>
        <v>0</v>
      </c>
      <c r="S450" s="41"/>
      <c r="T450" s="74" t="s">
        <v>113</v>
      </c>
      <c r="U450" s="75">
        <v>0.0</v>
      </c>
      <c r="V450" s="41"/>
      <c r="W450" s="41" t="s">
        <v>4462</v>
      </c>
      <c r="X450" s="41" t="s">
        <v>4462</v>
      </c>
      <c r="Y450" s="41" t="s">
        <v>2799</v>
      </c>
      <c r="Z450" s="31" t="s">
        <v>311</v>
      </c>
      <c r="AA450" s="31" t="s">
        <v>261</v>
      </c>
      <c r="AB450" s="104" t="s">
        <v>442</v>
      </c>
      <c r="AC450" s="46" t="s">
        <v>161</v>
      </c>
      <c r="AD450" s="46"/>
      <c r="AE450" s="99"/>
    </row>
    <row r="451">
      <c r="A451" s="61" t="s">
        <v>64</v>
      </c>
      <c r="B451" s="61" t="s">
        <v>67</v>
      </c>
      <c r="C451" s="82" t="s">
        <v>4464</v>
      </c>
      <c r="D451" s="267"/>
      <c r="E451" s="61" t="s">
        <v>3114</v>
      </c>
      <c r="F451" s="61" t="s">
        <v>3115</v>
      </c>
      <c r="G451" s="61" t="s">
        <v>3116</v>
      </c>
      <c r="H451" s="50" t="s">
        <v>1421</v>
      </c>
      <c r="I451" s="97" t="s">
        <v>106</v>
      </c>
      <c r="J451" s="50" t="s">
        <v>233</v>
      </c>
      <c r="K451" s="56" t="s">
        <v>236</v>
      </c>
      <c r="L451" s="50" t="s">
        <v>181</v>
      </c>
      <c r="M451" s="84">
        <v>45726.0</v>
      </c>
      <c r="N451" s="84" t="str">
        <f t="shared" si="257"/>
        <v>2025</v>
      </c>
      <c r="O451" s="84">
        <v>45747.0</v>
      </c>
      <c r="P451" s="85" t="str">
        <f t="shared" si="258"/>
        <v>2025</v>
      </c>
      <c r="Q451" s="86">
        <f t="shared" si="259"/>
        <v>21</v>
      </c>
      <c r="R451" s="85">
        <f t="shared" si="260"/>
        <v>0</v>
      </c>
      <c r="S451" s="61"/>
      <c r="T451" s="87"/>
      <c r="U451" s="96">
        <v>0.0</v>
      </c>
      <c r="V451" s="61"/>
      <c r="W451" s="174" t="s">
        <v>4465</v>
      </c>
      <c r="X451" s="174" t="s">
        <v>4466</v>
      </c>
      <c r="Y451" s="61" t="s">
        <v>2418</v>
      </c>
      <c r="Z451" s="50" t="s">
        <v>122</v>
      </c>
      <c r="AA451" s="50" t="s">
        <v>175</v>
      </c>
      <c r="AB451" s="61" t="s">
        <v>336</v>
      </c>
      <c r="AC451" s="65" t="s">
        <v>161</v>
      </c>
      <c r="AD451" s="66"/>
      <c r="AE451" s="108" t="s">
        <v>220</v>
      </c>
    </row>
    <row r="452">
      <c r="A452" s="41" t="s">
        <v>64</v>
      </c>
      <c r="B452" s="41" t="s">
        <v>67</v>
      </c>
      <c r="C452" s="32" t="s">
        <v>4467</v>
      </c>
      <c r="D452" s="33" t="s">
        <v>4468</v>
      </c>
      <c r="E452" s="41" t="s">
        <v>3340</v>
      </c>
      <c r="F452" s="41" t="s">
        <v>516</v>
      </c>
      <c r="G452" s="41" t="s">
        <v>516</v>
      </c>
      <c r="H452" s="104" t="s">
        <v>516</v>
      </c>
      <c r="I452" s="35" t="s">
        <v>104</v>
      </c>
      <c r="J452" s="91" t="s">
        <v>84</v>
      </c>
      <c r="K452" s="41" t="s">
        <v>724</v>
      </c>
      <c r="L452" s="31" t="s">
        <v>181</v>
      </c>
      <c r="M452" s="70">
        <v>45730.0</v>
      </c>
      <c r="N452" s="70" t="str">
        <f t="shared" si="257"/>
        <v>2025</v>
      </c>
      <c r="O452" s="122">
        <v>46095.0</v>
      </c>
      <c r="P452" s="93" t="str">
        <f t="shared" si="258"/>
        <v>2026</v>
      </c>
      <c r="Q452" s="73">
        <f t="shared" si="259"/>
        <v>365</v>
      </c>
      <c r="R452" s="73">
        <f t="shared" si="260"/>
        <v>1</v>
      </c>
      <c r="S452" s="41"/>
      <c r="T452" s="74"/>
      <c r="U452" s="75">
        <v>0.0</v>
      </c>
      <c r="V452" s="41"/>
      <c r="W452" s="41" t="s">
        <v>516</v>
      </c>
      <c r="X452" s="41" t="s">
        <v>516</v>
      </c>
      <c r="Y452" s="41" t="s">
        <v>740</v>
      </c>
      <c r="Z452" s="31" t="s">
        <v>210</v>
      </c>
      <c r="AA452" s="31" t="s">
        <v>261</v>
      </c>
      <c r="AB452" s="41" t="s">
        <v>440</v>
      </c>
      <c r="AC452" s="46" t="s">
        <v>128</v>
      </c>
      <c r="AD452" s="47"/>
      <c r="AE452" s="78" t="s">
        <v>220</v>
      </c>
    </row>
    <row r="453">
      <c r="A453" s="61" t="s">
        <v>64</v>
      </c>
      <c r="B453" s="50" t="s">
        <v>67</v>
      </c>
      <c r="C453" s="82" t="s">
        <v>4470</v>
      </c>
      <c r="D453" s="87">
        <v>600610.0</v>
      </c>
      <c r="E453" s="61" t="s">
        <v>3124</v>
      </c>
      <c r="F453" s="61" t="s">
        <v>3125</v>
      </c>
      <c r="G453" s="61" t="s">
        <v>3127</v>
      </c>
      <c r="H453" s="50" t="s">
        <v>232</v>
      </c>
      <c r="I453" s="106" t="s">
        <v>708</v>
      </c>
      <c r="J453" s="50" t="s">
        <v>233</v>
      </c>
      <c r="K453" s="50" t="s">
        <v>236</v>
      </c>
      <c r="L453" s="50" t="s">
        <v>181</v>
      </c>
      <c r="M453" s="84">
        <v>45740.0</v>
      </c>
      <c r="N453" s="84" t="str">
        <f t="shared" si="257"/>
        <v>2025</v>
      </c>
      <c r="O453" s="84">
        <v>46105.0</v>
      </c>
      <c r="P453" s="85" t="str">
        <f t="shared" si="258"/>
        <v>2026</v>
      </c>
      <c r="Q453" s="86">
        <f t="shared" si="259"/>
        <v>365</v>
      </c>
      <c r="R453" s="85">
        <f t="shared" si="260"/>
        <v>1</v>
      </c>
      <c r="S453" s="83"/>
      <c r="T453" s="87" t="s">
        <v>113</v>
      </c>
      <c r="U453" s="96">
        <v>0.0</v>
      </c>
      <c r="V453" s="61"/>
      <c r="W453" s="61" t="s">
        <v>3131</v>
      </c>
      <c r="X453" s="174" t="s">
        <v>4471</v>
      </c>
      <c r="Y453" s="61" t="s">
        <v>2418</v>
      </c>
      <c r="Z453" s="50" t="s">
        <v>122</v>
      </c>
      <c r="AA453" s="50" t="s">
        <v>123</v>
      </c>
      <c r="AB453" s="50" t="s">
        <v>124</v>
      </c>
      <c r="AC453" s="65" t="s">
        <v>337</v>
      </c>
      <c r="AD453" s="66"/>
      <c r="AE453" s="67"/>
    </row>
    <row r="454">
      <c r="A454" s="41" t="s">
        <v>64</v>
      </c>
      <c r="B454" s="41" t="s">
        <v>67</v>
      </c>
      <c r="C454" s="68" t="s">
        <v>4472</v>
      </c>
      <c r="D454" s="74">
        <v>600608.0</v>
      </c>
      <c r="E454" s="41" t="s">
        <v>3151</v>
      </c>
      <c r="F454" s="41" t="s">
        <v>3152</v>
      </c>
      <c r="G454" s="41" t="s">
        <v>3153</v>
      </c>
      <c r="H454" s="31" t="s">
        <v>1421</v>
      </c>
      <c r="I454" s="77" t="s">
        <v>106</v>
      </c>
      <c r="J454" s="31" t="s">
        <v>233</v>
      </c>
      <c r="K454" s="31" t="s">
        <v>236</v>
      </c>
      <c r="L454" s="31" t="s">
        <v>484</v>
      </c>
      <c r="M454" s="70">
        <v>45740.0</v>
      </c>
      <c r="N454" s="70" t="str">
        <f t="shared" si="257"/>
        <v>2025</v>
      </c>
      <c r="O454" s="70">
        <v>45801.0</v>
      </c>
      <c r="P454" s="73" t="str">
        <f t="shared" si="258"/>
        <v>2025</v>
      </c>
      <c r="Q454" s="73">
        <f t="shared" si="259"/>
        <v>61</v>
      </c>
      <c r="R454" s="73">
        <f t="shared" si="260"/>
        <v>0</v>
      </c>
      <c r="S454" s="41"/>
      <c r="T454" s="74"/>
      <c r="U454" s="75">
        <v>0.0</v>
      </c>
      <c r="V454" s="41"/>
      <c r="W454" s="41" t="s">
        <v>3155</v>
      </c>
      <c r="X454" s="41" t="s">
        <v>3155</v>
      </c>
      <c r="Y454" s="31" t="s">
        <v>2103</v>
      </c>
      <c r="Z454" s="31" t="s">
        <v>210</v>
      </c>
      <c r="AA454" s="31" t="s">
        <v>175</v>
      </c>
      <c r="AB454" s="41" t="s">
        <v>336</v>
      </c>
      <c r="AC454" s="46" t="s">
        <v>161</v>
      </c>
      <c r="AD454" s="47"/>
      <c r="AE454" s="78" t="s">
        <v>220</v>
      </c>
    </row>
    <row r="455">
      <c r="A455" s="50" t="s">
        <v>64</v>
      </c>
      <c r="B455" s="50" t="s">
        <v>67</v>
      </c>
      <c r="C455" s="52" t="s">
        <v>4474</v>
      </c>
      <c r="D455" s="54">
        <v>600194.0</v>
      </c>
      <c r="E455" s="50" t="s">
        <v>4476</v>
      </c>
      <c r="F455" s="50" t="s">
        <v>2569</v>
      </c>
      <c r="G455" s="50" t="s">
        <v>2570</v>
      </c>
      <c r="H455" s="50" t="s">
        <v>232</v>
      </c>
      <c r="I455" s="65" t="s">
        <v>104</v>
      </c>
      <c r="J455" s="50" t="s">
        <v>84</v>
      </c>
      <c r="K455" s="50"/>
      <c r="L455" s="50" t="s">
        <v>181</v>
      </c>
      <c r="M455" s="57">
        <v>45743.0</v>
      </c>
      <c r="N455" s="54">
        <v>2025.0</v>
      </c>
      <c r="O455" s="57">
        <v>45882.0</v>
      </c>
      <c r="P455" s="60">
        <v>2025.0</v>
      </c>
      <c r="Q455" s="60">
        <v>139.0</v>
      </c>
      <c r="R455" s="60">
        <v>1.0</v>
      </c>
      <c r="S455" s="50" t="s">
        <v>2575</v>
      </c>
      <c r="T455" s="54" t="s">
        <v>269</v>
      </c>
      <c r="U455" s="96">
        <v>0.0</v>
      </c>
      <c r="V455" s="50" t="s">
        <v>2572</v>
      </c>
      <c r="W455" s="50" t="s">
        <v>2574</v>
      </c>
      <c r="X455" s="50" t="s">
        <v>2574</v>
      </c>
      <c r="Y455" s="50" t="s">
        <v>1632</v>
      </c>
      <c r="Z455" s="50" t="s">
        <v>210</v>
      </c>
      <c r="AA455" s="50" t="s">
        <v>261</v>
      </c>
      <c r="AB455" s="50" t="s">
        <v>768</v>
      </c>
      <c r="AC455" s="65" t="s">
        <v>337</v>
      </c>
      <c r="AD455" s="65" t="s">
        <v>295</v>
      </c>
      <c r="AE455" s="81"/>
    </row>
    <row r="456">
      <c r="A456" s="31" t="s">
        <v>64</v>
      </c>
      <c r="B456" s="31" t="s">
        <v>67</v>
      </c>
      <c r="C456" s="32" t="s">
        <v>4481</v>
      </c>
      <c r="D456" s="33" t="s">
        <v>4482</v>
      </c>
      <c r="E456" s="31" t="s">
        <v>47</v>
      </c>
      <c r="F456" s="31" t="s">
        <v>3156</v>
      </c>
      <c r="G456" s="150" t="s">
        <v>3157</v>
      </c>
      <c r="H456" s="31" t="s">
        <v>103</v>
      </c>
      <c r="I456" s="151" t="s">
        <v>106</v>
      </c>
      <c r="J456" s="101" t="s">
        <v>84</v>
      </c>
      <c r="K456" s="31" t="s">
        <v>84</v>
      </c>
      <c r="L456" s="31" t="s">
        <v>105</v>
      </c>
      <c r="M456" s="37">
        <v>45744.0</v>
      </c>
      <c r="N456" s="33">
        <v>2025.0</v>
      </c>
      <c r="O456" s="37">
        <v>46109.0</v>
      </c>
      <c r="P456" s="39">
        <v>2026.0</v>
      </c>
      <c r="Q456" s="40">
        <v>365.0</v>
      </c>
      <c r="R456" s="39">
        <v>1.0</v>
      </c>
      <c r="S456" s="41"/>
      <c r="T456" s="33" t="s">
        <v>113</v>
      </c>
      <c r="U456" s="75">
        <v>0.0</v>
      </c>
      <c r="V456" s="31" t="s">
        <v>4483</v>
      </c>
      <c r="W456" s="150" t="s">
        <v>4484</v>
      </c>
      <c r="X456" s="150" t="s">
        <v>4484</v>
      </c>
      <c r="Y456" s="31" t="s">
        <v>1632</v>
      </c>
      <c r="Z456" s="31" t="s">
        <v>210</v>
      </c>
      <c r="AA456" s="31" t="s">
        <v>123</v>
      </c>
      <c r="AB456" s="31" t="s">
        <v>440</v>
      </c>
      <c r="AC456" s="46" t="s">
        <v>164</v>
      </c>
      <c r="AD456" s="46"/>
      <c r="AE456" s="78" t="s">
        <v>220</v>
      </c>
    </row>
    <row r="457">
      <c r="A457" s="61" t="s">
        <v>169</v>
      </c>
      <c r="B457" s="61" t="s">
        <v>67</v>
      </c>
      <c r="C457" s="82" t="s">
        <v>4487</v>
      </c>
      <c r="D457" s="137"/>
      <c r="E457" s="61" t="s">
        <v>4473</v>
      </c>
      <c r="F457" s="61" t="s">
        <v>4489</v>
      </c>
      <c r="G457" s="61" t="s">
        <v>4490</v>
      </c>
      <c r="H457" s="50" t="s">
        <v>178</v>
      </c>
      <c r="I457" s="97" t="s">
        <v>106</v>
      </c>
      <c r="J457" s="50" t="s">
        <v>146</v>
      </c>
      <c r="K457" s="50" t="s">
        <v>147</v>
      </c>
      <c r="L457" s="50" t="s">
        <v>181</v>
      </c>
      <c r="M457" s="84">
        <v>45744.0</v>
      </c>
      <c r="N457" s="84" t="str">
        <f t="shared" ref="N457:N458" si="261">right(M457,4)</f>
        <v>2025</v>
      </c>
      <c r="O457" s="84">
        <v>45975.0</v>
      </c>
      <c r="P457" s="95" t="str">
        <f t="shared" ref="P457:P458" si="262">right(O457,4)</f>
        <v>2025</v>
      </c>
      <c r="Q457" s="86">
        <f t="shared" ref="Q457:Q458" si="263">DATEDIF(M457,O457,"d")</f>
        <v>231</v>
      </c>
      <c r="R457" s="85">
        <f t="shared" ref="R457:R458" si="264">DATEDIF(M457,O457,"y")</f>
        <v>0</v>
      </c>
      <c r="S457" s="61"/>
      <c r="T457" s="87"/>
      <c r="U457" s="96">
        <v>0.0</v>
      </c>
      <c r="V457" s="61"/>
      <c r="W457" s="61" t="s">
        <v>4494</v>
      </c>
      <c r="X457" s="61" t="s">
        <v>4494</v>
      </c>
      <c r="Y457" s="50" t="s">
        <v>2103</v>
      </c>
      <c r="Z457" s="80" t="s">
        <v>247</v>
      </c>
      <c r="AA457" s="125" t="s">
        <v>4038</v>
      </c>
      <c r="AB457" s="106" t="s">
        <v>442</v>
      </c>
      <c r="AC457" s="65" t="s">
        <v>161</v>
      </c>
      <c r="AD457" s="65"/>
      <c r="AE457" s="108" t="s">
        <v>220</v>
      </c>
    </row>
    <row r="458">
      <c r="A458" s="41" t="s">
        <v>64</v>
      </c>
      <c r="B458" s="41" t="s">
        <v>67</v>
      </c>
      <c r="C458" s="68" t="s">
        <v>4497</v>
      </c>
      <c r="D458" s="74">
        <v>600612.0</v>
      </c>
      <c r="E458" s="41" t="s">
        <v>3167</v>
      </c>
      <c r="F458" s="41" t="s">
        <v>3168</v>
      </c>
      <c r="G458" s="41" t="s">
        <v>3169</v>
      </c>
      <c r="H458" s="31" t="s">
        <v>232</v>
      </c>
      <c r="I458" s="77" t="s">
        <v>106</v>
      </c>
      <c r="J458" s="91" t="s">
        <v>84</v>
      </c>
      <c r="K458" s="41" t="s">
        <v>84</v>
      </c>
      <c r="L458" s="31" t="s">
        <v>181</v>
      </c>
      <c r="M458" s="70">
        <v>45755.0</v>
      </c>
      <c r="N458" s="70" t="str">
        <f t="shared" si="261"/>
        <v>2025</v>
      </c>
      <c r="O458" s="70">
        <v>45785.0</v>
      </c>
      <c r="P458" s="73" t="str">
        <f t="shared" si="262"/>
        <v>2025</v>
      </c>
      <c r="Q458" s="73">
        <f t="shared" si="263"/>
        <v>30</v>
      </c>
      <c r="R458" s="73">
        <f t="shared" si="264"/>
        <v>0</v>
      </c>
      <c r="S458" s="41"/>
      <c r="T458" s="74"/>
      <c r="U458" s="75">
        <v>0.0</v>
      </c>
      <c r="V458" s="41"/>
      <c r="W458" s="41" t="s">
        <v>3171</v>
      </c>
      <c r="X458" s="41" t="s">
        <v>3171</v>
      </c>
      <c r="Y458" s="41" t="s">
        <v>1632</v>
      </c>
      <c r="Z458" s="31" t="s">
        <v>210</v>
      </c>
      <c r="AA458" s="31" t="s">
        <v>175</v>
      </c>
      <c r="AB458" s="41" t="s">
        <v>336</v>
      </c>
      <c r="AC458" s="46" t="s">
        <v>276</v>
      </c>
      <c r="AD458" s="47"/>
      <c r="AE458" s="78" t="s">
        <v>220</v>
      </c>
    </row>
    <row r="459">
      <c r="A459" s="50" t="s">
        <v>64</v>
      </c>
      <c r="B459" s="50" t="s">
        <v>19</v>
      </c>
      <c r="C459" s="52" t="s">
        <v>4504</v>
      </c>
      <c r="D459" s="54">
        <v>600621.0</v>
      </c>
      <c r="E459" s="50" t="s">
        <v>316</v>
      </c>
      <c r="F459" s="50" t="s">
        <v>3138</v>
      </c>
      <c r="G459" s="50" t="s">
        <v>3139</v>
      </c>
      <c r="H459" s="50" t="s">
        <v>232</v>
      </c>
      <c r="I459" s="106" t="s">
        <v>104</v>
      </c>
      <c r="J459" s="50" t="s">
        <v>146</v>
      </c>
      <c r="K459" s="106" t="s">
        <v>84</v>
      </c>
      <c r="L459" s="50" t="s">
        <v>105</v>
      </c>
      <c r="M459" s="57">
        <v>45757.0</v>
      </c>
      <c r="N459" s="54">
        <v>2025.0</v>
      </c>
      <c r="O459" s="57">
        <v>46313.0</v>
      </c>
      <c r="P459" s="59">
        <v>2026.0</v>
      </c>
      <c r="Q459" s="60">
        <v>556.0</v>
      </c>
      <c r="R459" s="59">
        <v>2.0</v>
      </c>
      <c r="S459" s="50" t="s">
        <v>3143</v>
      </c>
      <c r="T459" s="54" t="s">
        <v>113</v>
      </c>
      <c r="U459" s="96">
        <v>1.0</v>
      </c>
      <c r="V459" s="61"/>
      <c r="W459" s="159" t="s">
        <v>4508</v>
      </c>
      <c r="X459" s="159" t="s">
        <v>4508</v>
      </c>
      <c r="Y459" s="50" t="s">
        <v>2103</v>
      </c>
      <c r="Z459" s="50" t="s">
        <v>122</v>
      </c>
      <c r="AA459" s="50" t="s">
        <v>767</v>
      </c>
      <c r="AB459" s="50" t="s">
        <v>124</v>
      </c>
      <c r="AC459" s="65" t="s">
        <v>128</v>
      </c>
      <c r="AD459" s="66"/>
      <c r="AE459" s="67"/>
    </row>
    <row r="460">
      <c r="A460" s="41" t="s">
        <v>64</v>
      </c>
      <c r="B460" s="31" t="s">
        <v>19</v>
      </c>
      <c r="C460" s="68" t="s">
        <v>4512</v>
      </c>
      <c r="D460" s="74">
        <v>600554.0</v>
      </c>
      <c r="E460" s="41" t="s">
        <v>4475</v>
      </c>
      <c r="F460" s="41" t="s">
        <v>4514</v>
      </c>
      <c r="G460" s="41" t="s">
        <v>4515</v>
      </c>
      <c r="H460" s="31" t="s">
        <v>232</v>
      </c>
      <c r="I460" s="269" t="s">
        <v>104</v>
      </c>
      <c r="J460" s="245" t="s">
        <v>84</v>
      </c>
      <c r="K460" s="31" t="s">
        <v>147</v>
      </c>
      <c r="L460" s="31" t="s">
        <v>181</v>
      </c>
      <c r="M460" s="70">
        <v>45757.0</v>
      </c>
      <c r="N460" s="70" t="str">
        <f t="shared" ref="N460:N461" si="265">right(M460,4)</f>
        <v>2025</v>
      </c>
      <c r="O460" s="37">
        <v>46458.0</v>
      </c>
      <c r="P460" s="102" t="str">
        <f t="shared" ref="P460:P461" si="266">right(O460,4)</f>
        <v>2027</v>
      </c>
      <c r="Q460" s="73">
        <f t="shared" ref="Q460:Q461" si="267">DATEDIF(M460,O460,"d")</f>
        <v>701</v>
      </c>
      <c r="R460" s="93">
        <f t="shared" ref="R460:R461" si="268">DATEDIF(M460,O460,"y")</f>
        <v>1</v>
      </c>
      <c r="S460" s="41"/>
      <c r="T460" s="74" t="s">
        <v>113</v>
      </c>
      <c r="U460" s="43">
        <v>1.0</v>
      </c>
      <c r="V460" s="41"/>
      <c r="W460" s="41" t="s">
        <v>4522</v>
      </c>
      <c r="X460" s="41" t="s">
        <v>4522</v>
      </c>
      <c r="Y460" s="31" t="s">
        <v>121</v>
      </c>
      <c r="Z460" s="31" t="s">
        <v>261</v>
      </c>
      <c r="AA460" s="31" t="s">
        <v>14</v>
      </c>
      <c r="AB460" s="31" t="s">
        <v>124</v>
      </c>
      <c r="AC460" s="46" t="s">
        <v>161</v>
      </c>
      <c r="AD460" s="47"/>
      <c r="AE460" s="49"/>
    </row>
    <row r="461">
      <c r="A461" s="61" t="s">
        <v>64</v>
      </c>
      <c r="B461" s="61" t="s">
        <v>67</v>
      </c>
      <c r="C461" s="270" t="s">
        <v>4523</v>
      </c>
      <c r="D461" s="267"/>
      <c r="E461" s="61" t="s">
        <v>112</v>
      </c>
      <c r="F461" s="61" t="s">
        <v>3180</v>
      </c>
      <c r="G461" s="61" t="s">
        <v>497</v>
      </c>
      <c r="H461" s="50" t="s">
        <v>1421</v>
      </c>
      <c r="I461" s="97" t="s">
        <v>106</v>
      </c>
      <c r="J461" s="50" t="s">
        <v>233</v>
      </c>
      <c r="K461" s="106" t="s">
        <v>84</v>
      </c>
      <c r="L461" s="50" t="s">
        <v>181</v>
      </c>
      <c r="M461" s="84">
        <v>45761.0</v>
      </c>
      <c r="N461" s="84" t="str">
        <f t="shared" si="265"/>
        <v>2025</v>
      </c>
      <c r="O461" s="84">
        <v>45764.0</v>
      </c>
      <c r="P461" s="85" t="str">
        <f t="shared" si="266"/>
        <v>2025</v>
      </c>
      <c r="Q461" s="86">
        <f t="shared" si="267"/>
        <v>3</v>
      </c>
      <c r="R461" s="85">
        <f t="shared" si="268"/>
        <v>0</v>
      </c>
      <c r="S461" s="61"/>
      <c r="T461" s="87"/>
      <c r="U461" s="96">
        <v>0.0</v>
      </c>
      <c r="V461" s="61"/>
      <c r="W461" s="119"/>
      <c r="X461" s="119"/>
      <c r="Y461" s="50" t="s">
        <v>161</v>
      </c>
      <c r="Z461" s="61" t="s">
        <v>162</v>
      </c>
      <c r="AA461" s="50" t="s">
        <v>261</v>
      </c>
      <c r="AB461" s="50" t="s">
        <v>876</v>
      </c>
      <c r="AC461" s="65" t="s">
        <v>161</v>
      </c>
      <c r="AD461" s="66"/>
      <c r="AE461" s="108" t="s">
        <v>220</v>
      </c>
    </row>
    <row r="462">
      <c r="A462" s="31" t="s">
        <v>64</v>
      </c>
      <c r="B462" s="31" t="s">
        <v>19</v>
      </c>
      <c r="C462" s="32" t="s">
        <v>4527</v>
      </c>
      <c r="D462" s="33">
        <v>600615.0</v>
      </c>
      <c r="E462" s="31" t="s">
        <v>3183</v>
      </c>
      <c r="F462" s="31" t="s">
        <v>3184</v>
      </c>
      <c r="G462" s="31" t="s">
        <v>3185</v>
      </c>
      <c r="H462" s="31" t="s">
        <v>232</v>
      </c>
      <c r="I462" s="35" t="s">
        <v>104</v>
      </c>
      <c r="J462" s="31" t="s">
        <v>146</v>
      </c>
      <c r="K462" s="31" t="s">
        <v>147</v>
      </c>
      <c r="L462" s="31" t="s">
        <v>181</v>
      </c>
      <c r="M462" s="37">
        <v>45761.0</v>
      </c>
      <c r="N462" s="33">
        <v>2025.0</v>
      </c>
      <c r="O462" s="37">
        <v>46488.0</v>
      </c>
      <c r="P462" s="40">
        <v>2027.0</v>
      </c>
      <c r="Q462" s="40">
        <v>727.0</v>
      </c>
      <c r="R462" s="40">
        <v>2.0</v>
      </c>
      <c r="S462" s="31" t="s">
        <v>3188</v>
      </c>
      <c r="T462" s="33" t="s">
        <v>113</v>
      </c>
      <c r="U462" s="75">
        <v>1.0</v>
      </c>
      <c r="V462" s="41"/>
      <c r="W462" s="31" t="s">
        <v>3187</v>
      </c>
      <c r="X462" s="31" t="s">
        <v>3187</v>
      </c>
      <c r="Y462" s="31" t="s">
        <v>121</v>
      </c>
      <c r="Z462" s="31" t="s">
        <v>210</v>
      </c>
      <c r="AA462" s="31" t="s">
        <v>14</v>
      </c>
      <c r="AB462" s="31" t="s">
        <v>2254</v>
      </c>
      <c r="AC462" s="46" t="s">
        <v>128</v>
      </c>
      <c r="AD462" s="47"/>
      <c r="AE462" s="49"/>
    </row>
    <row r="463">
      <c r="A463" s="50" t="s">
        <v>169</v>
      </c>
      <c r="B463" s="50" t="s">
        <v>19</v>
      </c>
      <c r="C463" s="52" t="s">
        <v>4532</v>
      </c>
      <c r="D463" s="79">
        <v>600617.0</v>
      </c>
      <c r="E463" s="50" t="s">
        <v>4478</v>
      </c>
      <c r="F463" s="50" t="s">
        <v>4534</v>
      </c>
      <c r="G463" s="50" t="s">
        <v>4535</v>
      </c>
      <c r="H463" s="50" t="s">
        <v>178</v>
      </c>
      <c r="I463" s="65" t="s">
        <v>708</v>
      </c>
      <c r="J463" s="50" t="s">
        <v>233</v>
      </c>
      <c r="K463" s="50" t="s">
        <v>236</v>
      </c>
      <c r="L463" s="50" t="s">
        <v>181</v>
      </c>
      <c r="M463" s="57">
        <v>45768.0</v>
      </c>
      <c r="N463" s="54">
        <v>2025.0</v>
      </c>
      <c r="O463" s="57">
        <v>46498.0</v>
      </c>
      <c r="P463" s="60">
        <v>2027.0</v>
      </c>
      <c r="Q463" s="60">
        <v>730.0</v>
      </c>
      <c r="R463" s="60">
        <v>2.0</v>
      </c>
      <c r="S463" s="61"/>
      <c r="T463" s="54" t="s">
        <v>113</v>
      </c>
      <c r="U463" s="96">
        <v>2.0</v>
      </c>
      <c r="V463" s="61"/>
      <c r="W463" s="50" t="s">
        <v>4536</v>
      </c>
      <c r="X463" s="50" t="s">
        <v>4536</v>
      </c>
      <c r="Y463" s="50" t="s">
        <v>2799</v>
      </c>
      <c r="Z463" s="50" t="s">
        <v>210</v>
      </c>
      <c r="AA463" s="50" t="s">
        <v>123</v>
      </c>
      <c r="AB463" s="50" t="s">
        <v>975</v>
      </c>
      <c r="AC463" s="65" t="s">
        <v>276</v>
      </c>
      <c r="AD463" s="65"/>
      <c r="AE463" s="120"/>
    </row>
    <row r="464">
      <c r="A464" s="41" t="s">
        <v>169</v>
      </c>
      <c r="B464" s="41" t="s">
        <v>67</v>
      </c>
      <c r="C464" s="68" t="s">
        <v>4538</v>
      </c>
      <c r="D464" s="69">
        <v>600616.0</v>
      </c>
      <c r="E464" s="41" t="s">
        <v>4479</v>
      </c>
      <c r="F464" s="41" t="s">
        <v>4540</v>
      </c>
      <c r="G464" s="41" t="s">
        <v>4541</v>
      </c>
      <c r="H464" s="31" t="s">
        <v>103</v>
      </c>
      <c r="I464" s="91" t="s">
        <v>104</v>
      </c>
      <c r="J464" s="31" t="s">
        <v>233</v>
      </c>
      <c r="K464" s="31" t="s">
        <v>236</v>
      </c>
      <c r="L464" s="31" t="s">
        <v>181</v>
      </c>
      <c r="M464" s="70">
        <v>45768.0</v>
      </c>
      <c r="N464" s="70" t="str">
        <f>right(M464,4)</f>
        <v>2025</v>
      </c>
      <c r="O464" s="70">
        <v>46133.0</v>
      </c>
      <c r="P464" s="102" t="str">
        <f>right(O464,4)</f>
        <v>2026</v>
      </c>
      <c r="Q464" s="73">
        <f>DATEDIF(M464,O464,"d")</f>
        <v>365</v>
      </c>
      <c r="R464" s="93">
        <f>DATEDIF(M464,O464,"y")</f>
        <v>1</v>
      </c>
      <c r="S464" s="41"/>
      <c r="T464" s="74" t="s">
        <v>113</v>
      </c>
      <c r="U464" s="75">
        <v>0.0</v>
      </c>
      <c r="V464" s="41" t="s">
        <v>4544</v>
      </c>
      <c r="W464" s="41" t="s">
        <v>4545</v>
      </c>
      <c r="X464" s="41" t="s">
        <v>4545</v>
      </c>
      <c r="Y464" s="41" t="s">
        <v>243</v>
      </c>
      <c r="Z464" s="101" t="s">
        <v>247</v>
      </c>
      <c r="AA464" s="31" t="s">
        <v>289</v>
      </c>
      <c r="AB464" s="31" t="s">
        <v>1499</v>
      </c>
      <c r="AC464" s="46" t="s">
        <v>161</v>
      </c>
      <c r="AD464" s="46" t="s">
        <v>251</v>
      </c>
      <c r="AE464" s="111" t="s">
        <v>220</v>
      </c>
    </row>
    <row r="465">
      <c r="A465" s="50" t="s">
        <v>169</v>
      </c>
      <c r="B465" s="50" t="s">
        <v>19</v>
      </c>
      <c r="C465" s="52" t="s">
        <v>4548</v>
      </c>
      <c r="D465" s="79">
        <v>600618.0</v>
      </c>
      <c r="E465" s="50" t="s">
        <v>4480</v>
      </c>
      <c r="F465" s="50" t="s">
        <v>4549</v>
      </c>
      <c r="G465" s="50" t="s">
        <v>4550</v>
      </c>
      <c r="H465" s="50" t="s">
        <v>1421</v>
      </c>
      <c r="I465" s="65" t="s">
        <v>708</v>
      </c>
      <c r="J465" s="50" t="s">
        <v>233</v>
      </c>
      <c r="K465" s="50" t="s">
        <v>723</v>
      </c>
      <c r="L465" s="50" t="s">
        <v>181</v>
      </c>
      <c r="M465" s="57">
        <v>45769.0</v>
      </c>
      <c r="N465" s="54">
        <v>2025.0</v>
      </c>
      <c r="O465" s="57">
        <v>46333.0</v>
      </c>
      <c r="P465" s="59">
        <v>2026.0</v>
      </c>
      <c r="Q465" s="60">
        <v>564.0</v>
      </c>
      <c r="R465" s="59">
        <v>2.0</v>
      </c>
      <c r="S465" s="61"/>
      <c r="T465" s="54" t="s">
        <v>113</v>
      </c>
      <c r="U465" s="96">
        <v>2.0</v>
      </c>
      <c r="V465" s="61"/>
      <c r="W465" s="50" t="s">
        <v>4555</v>
      </c>
      <c r="X465" s="50" t="s">
        <v>4555</v>
      </c>
      <c r="Y465" s="50" t="s">
        <v>1478</v>
      </c>
      <c r="Z465" s="50" t="s">
        <v>122</v>
      </c>
      <c r="AA465" s="50" t="s">
        <v>65</v>
      </c>
      <c r="AB465" s="50" t="s">
        <v>621</v>
      </c>
      <c r="AC465" s="65" t="s">
        <v>276</v>
      </c>
      <c r="AD465" s="65"/>
      <c r="AE465" s="120"/>
    </row>
    <row r="466">
      <c r="A466" s="31" t="s">
        <v>64</v>
      </c>
      <c r="B466" s="31" t="s">
        <v>67</v>
      </c>
      <c r="C466" s="32" t="s">
        <v>4559</v>
      </c>
      <c r="D466" s="271" t="s">
        <v>718</v>
      </c>
      <c r="E466" s="31" t="s">
        <v>3144</v>
      </c>
      <c r="F466" s="31" t="s">
        <v>3145</v>
      </c>
      <c r="G466" s="31" t="s">
        <v>2578</v>
      </c>
      <c r="H466" s="31" t="s">
        <v>103</v>
      </c>
      <c r="I466" s="104" t="s">
        <v>104</v>
      </c>
      <c r="J466" s="31" t="s">
        <v>233</v>
      </c>
      <c r="K466" s="104" t="s">
        <v>236</v>
      </c>
      <c r="L466" s="31" t="s">
        <v>484</v>
      </c>
      <c r="M466" s="37">
        <v>45772.0</v>
      </c>
      <c r="N466" s="33">
        <v>2025.0</v>
      </c>
      <c r="O466" s="37">
        <v>46137.0</v>
      </c>
      <c r="P466" s="39">
        <v>2026.0</v>
      </c>
      <c r="Q466" s="40">
        <v>365.0</v>
      </c>
      <c r="R466" s="39">
        <v>1.0</v>
      </c>
      <c r="S466" s="31" t="s">
        <v>3148</v>
      </c>
      <c r="T466" s="33" t="s">
        <v>113</v>
      </c>
      <c r="U466" s="75">
        <v>0.0</v>
      </c>
      <c r="V466" s="31" t="s">
        <v>3149</v>
      </c>
      <c r="W466" s="31" t="s">
        <v>3147</v>
      </c>
      <c r="X466" s="31" t="s">
        <v>3147</v>
      </c>
      <c r="Y466" s="31" t="s">
        <v>161</v>
      </c>
      <c r="Z466" s="31" t="s">
        <v>122</v>
      </c>
      <c r="AA466" s="31" t="s">
        <v>211</v>
      </c>
      <c r="AB466" s="31" t="s">
        <v>124</v>
      </c>
      <c r="AC466" s="46" t="s">
        <v>161</v>
      </c>
      <c r="AD466" s="46" t="s">
        <v>3272</v>
      </c>
      <c r="AE466" s="149" t="s">
        <v>220</v>
      </c>
    </row>
    <row r="467">
      <c r="A467" s="50" t="s">
        <v>64</v>
      </c>
      <c r="B467" s="50" t="s">
        <v>67</v>
      </c>
      <c r="C467" s="52" t="s">
        <v>4566</v>
      </c>
      <c r="D467" s="232" t="s">
        <v>4467</v>
      </c>
      <c r="E467" s="50" t="s">
        <v>3172</v>
      </c>
      <c r="F467" s="50" t="s">
        <v>3173</v>
      </c>
      <c r="G467" s="50" t="s">
        <v>2578</v>
      </c>
      <c r="H467" s="50" t="s">
        <v>103</v>
      </c>
      <c r="I467" s="65" t="s">
        <v>104</v>
      </c>
      <c r="J467" s="50" t="s">
        <v>233</v>
      </c>
      <c r="K467" s="106" t="s">
        <v>236</v>
      </c>
      <c r="L467" s="50" t="s">
        <v>484</v>
      </c>
      <c r="M467" s="57">
        <v>45772.0</v>
      </c>
      <c r="N467" s="54">
        <v>2025.0</v>
      </c>
      <c r="O467" s="57">
        <v>46137.0</v>
      </c>
      <c r="P467" s="59">
        <v>2026.0</v>
      </c>
      <c r="Q467" s="60">
        <v>365.0</v>
      </c>
      <c r="R467" s="59">
        <v>1.0</v>
      </c>
      <c r="S467" s="50" t="s">
        <v>3148</v>
      </c>
      <c r="T467" s="54" t="s">
        <v>113</v>
      </c>
      <c r="U467" s="96">
        <v>0.0</v>
      </c>
      <c r="V467" s="50" t="s">
        <v>3149</v>
      </c>
      <c r="W467" s="50" t="s">
        <v>3178</v>
      </c>
      <c r="X467" s="50" t="s">
        <v>3178</v>
      </c>
      <c r="Y467" s="50" t="s">
        <v>161</v>
      </c>
      <c r="Z467" s="50" t="s">
        <v>122</v>
      </c>
      <c r="AA467" s="50" t="s">
        <v>211</v>
      </c>
      <c r="AB467" s="50" t="s">
        <v>124</v>
      </c>
      <c r="AC467" s="65" t="s">
        <v>161</v>
      </c>
      <c r="AD467" s="65" t="s">
        <v>3272</v>
      </c>
      <c r="AE467" s="131" t="s">
        <v>220</v>
      </c>
    </row>
    <row r="468">
      <c r="A468" s="31" t="s">
        <v>169</v>
      </c>
      <c r="B468" s="31" t="s">
        <v>19</v>
      </c>
      <c r="C468" s="32" t="s">
        <v>4576</v>
      </c>
      <c r="D468" s="113">
        <v>600519.0</v>
      </c>
      <c r="E468" s="31" t="s">
        <v>690</v>
      </c>
      <c r="F468" s="31" t="s">
        <v>4578</v>
      </c>
      <c r="G468" s="31" t="s">
        <v>4579</v>
      </c>
      <c r="H468" s="31" t="s">
        <v>232</v>
      </c>
      <c r="I468" s="35" t="s">
        <v>104</v>
      </c>
      <c r="J468" s="31" t="s">
        <v>84</v>
      </c>
      <c r="K468" s="31" t="s">
        <v>4456</v>
      </c>
      <c r="L468" s="31" t="s">
        <v>181</v>
      </c>
      <c r="M468" s="37">
        <v>45772.0</v>
      </c>
      <c r="N468" s="33">
        <v>2025.0</v>
      </c>
      <c r="O468" s="37">
        <v>46387.0</v>
      </c>
      <c r="P468" s="40">
        <v>2026.0</v>
      </c>
      <c r="Q468" s="40">
        <v>615.0</v>
      </c>
      <c r="R468" s="40">
        <v>2.0</v>
      </c>
      <c r="S468" s="41"/>
      <c r="T468" s="33" t="s">
        <v>269</v>
      </c>
      <c r="U468" s="75">
        <v>1.0</v>
      </c>
      <c r="V468" s="31" t="s">
        <v>4583</v>
      </c>
      <c r="W468" s="31" t="s">
        <v>4585</v>
      </c>
      <c r="X468" s="31" t="s">
        <v>4585</v>
      </c>
      <c r="Y468" s="31" t="s">
        <v>1525</v>
      </c>
      <c r="Z468" s="31" t="s">
        <v>210</v>
      </c>
      <c r="AA468" s="31" t="s">
        <v>14</v>
      </c>
      <c r="AB468" s="31" t="s">
        <v>621</v>
      </c>
      <c r="AC468" s="46" t="s">
        <v>337</v>
      </c>
      <c r="AD468" s="46"/>
      <c r="AE468" s="99"/>
    </row>
    <row r="469">
      <c r="A469" s="50" t="s">
        <v>64</v>
      </c>
      <c r="B469" s="50" t="s">
        <v>19</v>
      </c>
      <c r="C469" s="264" t="s">
        <v>4588</v>
      </c>
      <c r="D469" s="54">
        <v>600020.0</v>
      </c>
      <c r="E469" s="50" t="s">
        <v>832</v>
      </c>
      <c r="F469" s="50" t="s">
        <v>4590</v>
      </c>
      <c r="G469" s="272"/>
      <c r="H469" s="50" t="s">
        <v>84</v>
      </c>
      <c r="I469" s="65" t="s">
        <v>104</v>
      </c>
      <c r="J469" s="50" t="s">
        <v>84</v>
      </c>
      <c r="K469" s="50" t="s">
        <v>84</v>
      </c>
      <c r="L469" s="50" t="s">
        <v>25</v>
      </c>
      <c r="M469" s="57">
        <v>45772.0</v>
      </c>
      <c r="N469" s="84" t="str">
        <f>right(M469,4)</f>
        <v>2025</v>
      </c>
      <c r="O469" s="273">
        <v>47848.0</v>
      </c>
      <c r="P469" s="95" t="str">
        <f>right(O469,4)</f>
        <v>2030</v>
      </c>
      <c r="Q469" s="86">
        <f>DATEDIF(M469,O469,"d")</f>
        <v>2076</v>
      </c>
      <c r="R469" s="85">
        <f>DATEDIF(M469,O469,"y")</f>
        <v>5</v>
      </c>
      <c r="S469" s="272"/>
      <c r="T469" s="276"/>
      <c r="U469" s="50">
        <v>0.0</v>
      </c>
      <c r="V469" s="61"/>
      <c r="W469" s="50" t="s">
        <v>4602</v>
      </c>
      <c r="X469" s="50" t="s">
        <v>4602</v>
      </c>
      <c r="Y469" s="50" t="s">
        <v>2103</v>
      </c>
      <c r="Z469" s="80" t="s">
        <v>211</v>
      </c>
      <c r="AA469" s="50" t="s">
        <v>38</v>
      </c>
      <c r="AB469" s="65" t="s">
        <v>768</v>
      </c>
      <c r="AC469" s="65" t="s">
        <v>276</v>
      </c>
      <c r="AD469" s="277"/>
      <c r="AE469" s="81"/>
    </row>
    <row r="470">
      <c r="A470" s="31" t="s">
        <v>64</v>
      </c>
      <c r="B470" s="31" t="s">
        <v>19</v>
      </c>
      <c r="C470" s="32" t="s">
        <v>4603</v>
      </c>
      <c r="D470" s="33">
        <v>600602.0</v>
      </c>
      <c r="E470" s="31" t="s">
        <v>3109</v>
      </c>
      <c r="F470" s="31" t="s">
        <v>3110</v>
      </c>
      <c r="G470" s="31" t="s">
        <v>3111</v>
      </c>
      <c r="H470" s="31" t="s">
        <v>232</v>
      </c>
      <c r="I470" s="104" t="s">
        <v>104</v>
      </c>
      <c r="J470" s="31" t="s">
        <v>146</v>
      </c>
      <c r="K470" s="31" t="s">
        <v>147</v>
      </c>
      <c r="L470" s="31" t="s">
        <v>484</v>
      </c>
      <c r="M470" s="37">
        <v>45775.0</v>
      </c>
      <c r="N470" s="33">
        <v>2025.0</v>
      </c>
      <c r="O470" s="37">
        <v>46471.0</v>
      </c>
      <c r="P470" s="39">
        <v>2027.0</v>
      </c>
      <c r="Q470" s="40">
        <v>696.0</v>
      </c>
      <c r="R470" s="39">
        <v>2.0</v>
      </c>
      <c r="S470" s="41"/>
      <c r="T470" s="33" t="s">
        <v>113</v>
      </c>
      <c r="U470" s="75">
        <v>1.0</v>
      </c>
      <c r="V470" s="41"/>
      <c r="W470" s="31" t="s">
        <v>3112</v>
      </c>
      <c r="X470" s="31" t="s">
        <v>3112</v>
      </c>
      <c r="Y470" s="31" t="s">
        <v>2418</v>
      </c>
      <c r="Z470" s="31" t="s">
        <v>122</v>
      </c>
      <c r="AA470" s="31" t="s">
        <v>14</v>
      </c>
      <c r="AB470" s="31" t="s">
        <v>124</v>
      </c>
      <c r="AC470" s="46" t="s">
        <v>337</v>
      </c>
      <c r="AD470" s="47"/>
      <c r="AE470" s="49"/>
    </row>
    <row r="471">
      <c r="A471" s="61" t="s">
        <v>64</v>
      </c>
      <c r="B471" s="61" t="s">
        <v>67</v>
      </c>
      <c r="C471" s="82" t="s">
        <v>4604</v>
      </c>
      <c r="D471" s="87">
        <v>600622.0</v>
      </c>
      <c r="E471" s="61" t="s">
        <v>3216</v>
      </c>
      <c r="F471" s="61" t="s">
        <v>3217</v>
      </c>
      <c r="G471" s="61" t="s">
        <v>3218</v>
      </c>
      <c r="H471" s="50" t="s">
        <v>232</v>
      </c>
      <c r="I471" s="97" t="s">
        <v>106</v>
      </c>
      <c r="J471" s="138" t="s">
        <v>84</v>
      </c>
      <c r="K471" s="61" t="s">
        <v>84</v>
      </c>
      <c r="L471" s="50" t="s">
        <v>484</v>
      </c>
      <c r="M471" s="84">
        <v>45775.0</v>
      </c>
      <c r="N471" s="84" t="str">
        <f t="shared" ref="N471:N472" si="269">right(M471,4)</f>
        <v>2025</v>
      </c>
      <c r="O471" s="84">
        <v>45804.0</v>
      </c>
      <c r="P471" s="86" t="str">
        <f t="shared" ref="P471:P472" si="270">right(O471,4)</f>
        <v>2025</v>
      </c>
      <c r="Q471" s="86">
        <f t="shared" ref="Q471:Q472" si="271">DATEDIF(M471,O471,"d")</f>
        <v>29</v>
      </c>
      <c r="R471" s="86">
        <f t="shared" ref="R471:R472" si="272">DATEDIF(M471,O471,"y")</f>
        <v>0</v>
      </c>
      <c r="S471" s="61"/>
      <c r="T471" s="87"/>
      <c r="U471" s="96">
        <v>0.0</v>
      </c>
      <c r="V471" s="61"/>
      <c r="W471" s="61" t="s">
        <v>3223</v>
      </c>
      <c r="X471" s="61" t="s">
        <v>2419</v>
      </c>
      <c r="Y471" s="50" t="s">
        <v>161</v>
      </c>
      <c r="Z471" s="50" t="s">
        <v>210</v>
      </c>
      <c r="AA471" s="50" t="s">
        <v>175</v>
      </c>
      <c r="AB471" s="61" t="s">
        <v>336</v>
      </c>
      <c r="AC471" s="65" t="s">
        <v>276</v>
      </c>
      <c r="AD471" s="66"/>
      <c r="AE471" s="108" t="s">
        <v>220</v>
      </c>
    </row>
    <row r="472">
      <c r="A472" s="41" t="s">
        <v>64</v>
      </c>
      <c r="B472" s="41" t="s">
        <v>67</v>
      </c>
      <c r="C472" s="68" t="s">
        <v>4605</v>
      </c>
      <c r="D472" s="278"/>
      <c r="E472" s="41" t="s">
        <v>3227</v>
      </c>
      <c r="F472" s="41" t="s">
        <v>3228</v>
      </c>
      <c r="G472" s="41" t="s">
        <v>3229</v>
      </c>
      <c r="H472" s="31" t="s">
        <v>232</v>
      </c>
      <c r="I472" s="77" t="s">
        <v>106</v>
      </c>
      <c r="J472" s="91" t="s">
        <v>84</v>
      </c>
      <c r="K472" s="41" t="s">
        <v>84</v>
      </c>
      <c r="L472" s="31" t="s">
        <v>484</v>
      </c>
      <c r="M472" s="70">
        <v>45776.0</v>
      </c>
      <c r="N472" s="70" t="str">
        <f t="shared" si="269"/>
        <v>2025</v>
      </c>
      <c r="O472" s="70">
        <v>45805.0</v>
      </c>
      <c r="P472" s="93" t="str">
        <f t="shared" si="270"/>
        <v>2025</v>
      </c>
      <c r="Q472" s="73">
        <f t="shared" si="271"/>
        <v>29</v>
      </c>
      <c r="R472" s="93">
        <f t="shared" si="272"/>
        <v>0</v>
      </c>
      <c r="S472" s="41"/>
      <c r="T472" s="74"/>
      <c r="U472" s="75">
        <v>0.0</v>
      </c>
      <c r="V472" s="41"/>
      <c r="W472" s="41" t="s">
        <v>3239</v>
      </c>
      <c r="X472" s="41" t="s">
        <v>3239</v>
      </c>
      <c r="Y472" s="31" t="s">
        <v>161</v>
      </c>
      <c r="Z472" s="41" t="s">
        <v>162</v>
      </c>
      <c r="AA472" s="31" t="s">
        <v>175</v>
      </c>
      <c r="AB472" s="41" t="s">
        <v>336</v>
      </c>
      <c r="AC472" s="46" t="s">
        <v>161</v>
      </c>
      <c r="AD472" s="47"/>
      <c r="AE472" s="78" t="s">
        <v>220</v>
      </c>
    </row>
    <row r="473">
      <c r="A473" s="50" t="s">
        <v>64</v>
      </c>
      <c r="B473" s="50" t="s">
        <v>19</v>
      </c>
      <c r="C473" s="52" t="s">
        <v>4607</v>
      </c>
      <c r="D473" s="54">
        <v>600624.0</v>
      </c>
      <c r="E473" s="50" t="s">
        <v>3240</v>
      </c>
      <c r="F473" s="50" t="s">
        <v>3242</v>
      </c>
      <c r="G473" s="50" t="s">
        <v>2807</v>
      </c>
      <c r="H473" s="50" t="s">
        <v>232</v>
      </c>
      <c r="I473" s="56" t="s">
        <v>104</v>
      </c>
      <c r="J473" s="50" t="s">
        <v>84</v>
      </c>
      <c r="K473" s="50" t="s">
        <v>84</v>
      </c>
      <c r="L473" s="50" t="s">
        <v>484</v>
      </c>
      <c r="M473" s="57">
        <v>45776.0</v>
      </c>
      <c r="N473" s="54">
        <v>2025.0</v>
      </c>
      <c r="O473" s="57">
        <v>46504.0</v>
      </c>
      <c r="P473" s="60">
        <v>2027.0</v>
      </c>
      <c r="Q473" s="60">
        <v>728.0</v>
      </c>
      <c r="R473" s="60">
        <v>2.0</v>
      </c>
      <c r="S473" s="50" t="s">
        <v>3247</v>
      </c>
      <c r="T473" s="54" t="s">
        <v>113</v>
      </c>
      <c r="U473" s="96">
        <v>1.0</v>
      </c>
      <c r="V473" s="61"/>
      <c r="W473" s="50" t="s">
        <v>3246</v>
      </c>
      <c r="X473" s="50" t="s">
        <v>3246</v>
      </c>
      <c r="Y473" s="50" t="s">
        <v>1525</v>
      </c>
      <c r="Z473" s="50" t="s">
        <v>210</v>
      </c>
      <c r="AA473" s="50" t="s">
        <v>211</v>
      </c>
      <c r="AB473" s="50" t="s">
        <v>768</v>
      </c>
      <c r="AC473" s="65" t="s">
        <v>337</v>
      </c>
      <c r="AD473" s="66"/>
      <c r="AE473" s="67"/>
    </row>
    <row r="474">
      <c r="A474" s="41" t="s">
        <v>169</v>
      </c>
      <c r="B474" s="41" t="s">
        <v>67</v>
      </c>
      <c r="C474" s="68" t="s">
        <v>4608</v>
      </c>
      <c r="D474" s="69">
        <v>600626.0</v>
      </c>
      <c r="E474" s="41" t="s">
        <v>4485</v>
      </c>
      <c r="F474" s="41" t="s">
        <v>4609</v>
      </c>
      <c r="G474" s="41" t="s">
        <v>4610</v>
      </c>
      <c r="H474" s="41" t="s">
        <v>84</v>
      </c>
      <c r="I474" s="31" t="s">
        <v>104</v>
      </c>
      <c r="J474" s="91" t="s">
        <v>84</v>
      </c>
      <c r="K474" s="41" t="s">
        <v>84</v>
      </c>
      <c r="L474" s="91" t="s">
        <v>48</v>
      </c>
      <c r="M474" s="70">
        <v>45784.0</v>
      </c>
      <c r="N474" s="70" t="str">
        <f t="shared" ref="N474:N475" si="273">right(M474,4)</f>
        <v>2025</v>
      </c>
      <c r="O474" s="70">
        <v>45838.0</v>
      </c>
      <c r="P474" s="102" t="str">
        <f t="shared" ref="P474:P475" si="274">right(O474,4)</f>
        <v>2025</v>
      </c>
      <c r="Q474" s="73">
        <f t="shared" ref="Q474:Q475" si="275">DATEDIF(M474,O474,"d")</f>
        <v>54</v>
      </c>
      <c r="R474" s="93">
        <f t="shared" ref="R474:R475" si="276">DATEDIF(M474,O474,"y")</f>
        <v>0</v>
      </c>
      <c r="S474" s="41"/>
      <c r="T474" s="74" t="s">
        <v>113</v>
      </c>
      <c r="U474" s="75">
        <v>0.0</v>
      </c>
      <c r="V474" s="41"/>
      <c r="W474" s="41" t="s">
        <v>4611</v>
      </c>
      <c r="X474" s="41" t="s">
        <v>4611</v>
      </c>
      <c r="Y474" s="41" t="s">
        <v>2442</v>
      </c>
      <c r="Z474" s="101" t="s">
        <v>247</v>
      </c>
      <c r="AA474" s="31" t="s">
        <v>289</v>
      </c>
      <c r="AB474" s="41" t="s">
        <v>4005</v>
      </c>
      <c r="AC474" s="46" t="s">
        <v>161</v>
      </c>
      <c r="AD474" s="46" t="s">
        <v>251</v>
      </c>
      <c r="AE474" s="111" t="s">
        <v>220</v>
      </c>
    </row>
    <row r="475">
      <c r="A475" s="61" t="s">
        <v>169</v>
      </c>
      <c r="B475" s="61" t="s">
        <v>67</v>
      </c>
      <c r="C475" s="82" t="s">
        <v>4612</v>
      </c>
      <c r="D475" s="267"/>
      <c r="E475" s="61" t="s">
        <v>4488</v>
      </c>
      <c r="F475" s="61" t="s">
        <v>4613</v>
      </c>
      <c r="G475" s="61" t="s">
        <v>4614</v>
      </c>
      <c r="H475" s="50" t="s">
        <v>1421</v>
      </c>
      <c r="I475" s="50" t="s">
        <v>106</v>
      </c>
      <c r="J475" s="50" t="s">
        <v>146</v>
      </c>
      <c r="K475" s="50" t="s">
        <v>147</v>
      </c>
      <c r="L475" s="50" t="s">
        <v>181</v>
      </c>
      <c r="M475" s="84">
        <v>45784.0</v>
      </c>
      <c r="N475" s="84" t="str">
        <f t="shared" si="273"/>
        <v>2025</v>
      </c>
      <c r="O475" s="84">
        <v>45791.0</v>
      </c>
      <c r="P475" s="95" t="str">
        <f t="shared" si="274"/>
        <v>2025</v>
      </c>
      <c r="Q475" s="86">
        <f t="shared" si="275"/>
        <v>7</v>
      </c>
      <c r="R475" s="85">
        <f t="shared" si="276"/>
        <v>0</v>
      </c>
      <c r="S475" s="61"/>
      <c r="T475" s="87" t="s">
        <v>113</v>
      </c>
      <c r="U475" s="96">
        <v>0.0</v>
      </c>
      <c r="V475" s="61"/>
      <c r="W475" s="61" t="s">
        <v>4615</v>
      </c>
      <c r="X475" s="61" t="s">
        <v>4615</v>
      </c>
      <c r="Y475" s="61" t="s">
        <v>209</v>
      </c>
      <c r="Z475" s="80" t="s">
        <v>247</v>
      </c>
      <c r="AA475" s="50" t="s">
        <v>289</v>
      </c>
      <c r="AB475" s="50" t="s">
        <v>213</v>
      </c>
      <c r="AC475" s="65" t="s">
        <v>161</v>
      </c>
      <c r="AD475" s="97"/>
      <c r="AE475" s="108" t="s">
        <v>220</v>
      </c>
    </row>
    <row r="476">
      <c r="A476" s="31" t="s">
        <v>169</v>
      </c>
      <c r="B476" s="31" t="s">
        <v>19</v>
      </c>
      <c r="C476" s="32" t="s">
        <v>4616</v>
      </c>
      <c r="D476" s="113">
        <v>600641.0</v>
      </c>
      <c r="E476" s="31" t="s">
        <v>4491</v>
      </c>
      <c r="F476" s="31" t="s">
        <v>4617</v>
      </c>
      <c r="G476" s="31" t="s">
        <v>4618</v>
      </c>
      <c r="H476" s="31" t="s">
        <v>103</v>
      </c>
      <c r="I476" s="31" t="s">
        <v>104</v>
      </c>
      <c r="J476" s="31" t="s">
        <v>146</v>
      </c>
      <c r="K476" s="31" t="s">
        <v>84</v>
      </c>
      <c r="L476" s="101" t="s">
        <v>2704</v>
      </c>
      <c r="M476" s="37">
        <v>45784.0</v>
      </c>
      <c r="N476" s="33">
        <v>2025.0</v>
      </c>
      <c r="O476" s="37">
        <v>46387.0</v>
      </c>
      <c r="P476" s="39">
        <v>2026.0</v>
      </c>
      <c r="Q476" s="40">
        <v>603.0</v>
      </c>
      <c r="R476" s="39">
        <v>2.0</v>
      </c>
      <c r="S476" s="41"/>
      <c r="T476" s="33" t="s">
        <v>113</v>
      </c>
      <c r="U476" s="114">
        <v>1.0</v>
      </c>
      <c r="V476" s="41"/>
      <c r="W476" s="269" t="s">
        <v>3524</v>
      </c>
      <c r="X476" s="269" t="s">
        <v>3524</v>
      </c>
      <c r="Y476" s="31" t="s">
        <v>243</v>
      </c>
      <c r="Z476" s="101" t="s">
        <v>3237</v>
      </c>
      <c r="AA476" s="31" t="s">
        <v>211</v>
      </c>
      <c r="AB476" s="31" t="s">
        <v>621</v>
      </c>
      <c r="AC476" s="46" t="s">
        <v>164</v>
      </c>
      <c r="AD476" s="46" t="s">
        <v>251</v>
      </c>
      <c r="AE476" s="111"/>
    </row>
    <row r="477">
      <c r="A477" s="61" t="s">
        <v>169</v>
      </c>
      <c r="B477" s="61" t="s">
        <v>67</v>
      </c>
      <c r="C477" s="82" t="s">
        <v>4620</v>
      </c>
      <c r="D477" s="267"/>
      <c r="E477" s="61" t="s">
        <v>4492</v>
      </c>
      <c r="F477" s="61" t="s">
        <v>4621</v>
      </c>
      <c r="G477" s="61" t="s">
        <v>4622</v>
      </c>
      <c r="H477" s="50" t="s">
        <v>232</v>
      </c>
      <c r="I477" s="97" t="s">
        <v>106</v>
      </c>
      <c r="J477" s="50" t="s">
        <v>233</v>
      </c>
      <c r="K477" s="50" t="s">
        <v>236</v>
      </c>
      <c r="L477" s="50" t="s">
        <v>181</v>
      </c>
      <c r="M477" s="84">
        <v>45784.0</v>
      </c>
      <c r="N477" s="84" t="str">
        <f t="shared" ref="N477:N482" si="277">right(M477,4)</f>
        <v>2025</v>
      </c>
      <c r="O477" s="84">
        <v>45791.0</v>
      </c>
      <c r="P477" s="95" t="str">
        <f t="shared" ref="P477:P482" si="278">right(O477,4)</f>
        <v>2025</v>
      </c>
      <c r="Q477" s="86">
        <f t="shared" ref="Q477:Q482" si="279">DATEDIF(M477,O477,"d")</f>
        <v>7</v>
      </c>
      <c r="R477" s="85">
        <f t="shared" ref="R477:R482" si="280">DATEDIF(M477,O477,"y")</f>
        <v>0</v>
      </c>
      <c r="S477" s="61"/>
      <c r="T477" s="87" t="s">
        <v>113</v>
      </c>
      <c r="U477" s="96">
        <v>0.0</v>
      </c>
      <c r="V477" s="61"/>
      <c r="W477" s="61" t="s">
        <v>4623</v>
      </c>
      <c r="X477" s="61" t="s">
        <v>4623</v>
      </c>
      <c r="Y477" s="61" t="s">
        <v>2442</v>
      </c>
      <c r="Z477" s="80" t="s">
        <v>247</v>
      </c>
      <c r="AA477" s="50" t="s">
        <v>261</v>
      </c>
      <c r="AB477" s="61" t="s">
        <v>3443</v>
      </c>
      <c r="AC477" s="65" t="s">
        <v>276</v>
      </c>
      <c r="AD477" s="97"/>
      <c r="AE477" s="108" t="s">
        <v>220</v>
      </c>
    </row>
    <row r="478">
      <c r="A478" s="41" t="s">
        <v>169</v>
      </c>
      <c r="B478" s="41" t="s">
        <v>67</v>
      </c>
      <c r="C478" s="68" t="s">
        <v>4624</v>
      </c>
      <c r="D478" s="69">
        <v>600651.0</v>
      </c>
      <c r="E478" s="41" t="s">
        <v>649</v>
      </c>
      <c r="F478" s="41" t="s">
        <v>4625</v>
      </c>
      <c r="G478" s="41" t="s">
        <v>4626</v>
      </c>
      <c r="H478" s="31" t="s">
        <v>103</v>
      </c>
      <c r="I478" s="91" t="s">
        <v>104</v>
      </c>
      <c r="J478" s="31" t="s">
        <v>146</v>
      </c>
      <c r="K478" s="41" t="s">
        <v>84</v>
      </c>
      <c r="L478" s="31" t="s">
        <v>181</v>
      </c>
      <c r="M478" s="70">
        <v>45784.0</v>
      </c>
      <c r="N478" s="70" t="str">
        <f t="shared" si="277"/>
        <v>2025</v>
      </c>
      <c r="O478" s="70">
        <v>46022.0</v>
      </c>
      <c r="P478" s="102" t="str">
        <f t="shared" si="278"/>
        <v>2025</v>
      </c>
      <c r="Q478" s="73">
        <f t="shared" si="279"/>
        <v>238</v>
      </c>
      <c r="R478" s="93">
        <f t="shared" si="280"/>
        <v>0</v>
      </c>
      <c r="S478" s="41"/>
      <c r="T478" s="74" t="s">
        <v>113</v>
      </c>
      <c r="U478" s="114">
        <v>0.0</v>
      </c>
      <c r="V478" s="41"/>
      <c r="W478" s="41" t="s">
        <v>4628</v>
      </c>
      <c r="X478" s="41" t="s">
        <v>4628</v>
      </c>
      <c r="Y478" s="41" t="s">
        <v>243</v>
      </c>
      <c r="Z478" s="101" t="s">
        <v>247</v>
      </c>
      <c r="AA478" s="100" t="s">
        <v>65</v>
      </c>
      <c r="AB478" s="31" t="s">
        <v>1499</v>
      </c>
      <c r="AC478" s="46" t="s">
        <v>161</v>
      </c>
      <c r="AD478" s="46" t="s">
        <v>251</v>
      </c>
      <c r="AE478" s="111" t="s">
        <v>220</v>
      </c>
    </row>
    <row r="479">
      <c r="A479" s="61" t="s">
        <v>169</v>
      </c>
      <c r="B479" s="61" t="s">
        <v>67</v>
      </c>
      <c r="C479" s="82" t="s">
        <v>4629</v>
      </c>
      <c r="D479" s="94">
        <v>600651.0</v>
      </c>
      <c r="E479" s="61" t="s">
        <v>649</v>
      </c>
      <c r="F479" s="61" t="s">
        <v>4630</v>
      </c>
      <c r="G479" s="61" t="s">
        <v>4631</v>
      </c>
      <c r="H479" s="50" t="s">
        <v>103</v>
      </c>
      <c r="I479" s="97" t="s">
        <v>104</v>
      </c>
      <c r="J479" s="50" t="s">
        <v>146</v>
      </c>
      <c r="K479" s="61" t="s">
        <v>84</v>
      </c>
      <c r="L479" s="50" t="s">
        <v>181</v>
      </c>
      <c r="M479" s="84">
        <v>45784.0</v>
      </c>
      <c r="N479" s="84" t="str">
        <f t="shared" si="277"/>
        <v>2025</v>
      </c>
      <c r="O479" s="84">
        <v>46022.0</v>
      </c>
      <c r="P479" s="95" t="str">
        <f t="shared" si="278"/>
        <v>2025</v>
      </c>
      <c r="Q479" s="86">
        <f t="shared" si="279"/>
        <v>238</v>
      </c>
      <c r="R479" s="85">
        <f t="shared" si="280"/>
        <v>0</v>
      </c>
      <c r="S479" s="61"/>
      <c r="T479" s="87" t="s">
        <v>113</v>
      </c>
      <c r="U479" s="199">
        <v>0.0</v>
      </c>
      <c r="V479" s="61"/>
      <c r="W479" s="61" t="s">
        <v>4632</v>
      </c>
      <c r="X479" s="61" t="s">
        <v>4632</v>
      </c>
      <c r="Y479" s="61" t="s">
        <v>243</v>
      </c>
      <c r="Z479" s="80" t="s">
        <v>247</v>
      </c>
      <c r="AA479" s="125" t="s">
        <v>65</v>
      </c>
      <c r="AB479" s="50" t="s">
        <v>1499</v>
      </c>
      <c r="AC479" s="65" t="s">
        <v>161</v>
      </c>
      <c r="AD479" s="65" t="s">
        <v>251</v>
      </c>
      <c r="AE479" s="81" t="s">
        <v>220</v>
      </c>
    </row>
    <row r="480">
      <c r="A480" s="41" t="s">
        <v>64</v>
      </c>
      <c r="B480" s="31" t="s">
        <v>67</v>
      </c>
      <c r="C480" s="68" t="s">
        <v>4634</v>
      </c>
      <c r="D480" s="74">
        <v>600627.0</v>
      </c>
      <c r="E480" s="41" t="s">
        <v>3189</v>
      </c>
      <c r="F480" s="41" t="s">
        <v>3190</v>
      </c>
      <c r="G480" s="41" t="s">
        <v>3191</v>
      </c>
      <c r="H480" s="31" t="s">
        <v>1421</v>
      </c>
      <c r="I480" s="104" t="s">
        <v>104</v>
      </c>
      <c r="J480" s="91" t="s">
        <v>84</v>
      </c>
      <c r="K480" s="104" t="s">
        <v>2304</v>
      </c>
      <c r="L480" s="31" t="s">
        <v>484</v>
      </c>
      <c r="M480" s="70">
        <v>45786.0</v>
      </c>
      <c r="N480" s="70" t="str">
        <f t="shared" si="277"/>
        <v>2025</v>
      </c>
      <c r="O480" s="70">
        <v>46151.0</v>
      </c>
      <c r="P480" s="93" t="str">
        <f t="shared" si="278"/>
        <v>2026</v>
      </c>
      <c r="Q480" s="73">
        <f t="shared" si="279"/>
        <v>365</v>
      </c>
      <c r="R480" s="93">
        <f t="shared" si="280"/>
        <v>1</v>
      </c>
      <c r="S480" s="41"/>
      <c r="T480" s="74"/>
      <c r="U480" s="75">
        <v>0.0</v>
      </c>
      <c r="V480" s="41"/>
      <c r="W480" s="154" t="s">
        <v>4635</v>
      </c>
      <c r="X480" s="154" t="s">
        <v>4636</v>
      </c>
      <c r="Y480" s="31" t="s">
        <v>161</v>
      </c>
      <c r="Z480" s="31" t="s">
        <v>122</v>
      </c>
      <c r="AA480" s="31" t="s">
        <v>65</v>
      </c>
      <c r="AB480" s="31" t="s">
        <v>124</v>
      </c>
      <c r="AC480" s="46" t="s">
        <v>128</v>
      </c>
      <c r="AD480" s="47"/>
      <c r="AE480" s="111" t="s">
        <v>220</v>
      </c>
    </row>
    <row r="481">
      <c r="A481" s="61" t="s">
        <v>64</v>
      </c>
      <c r="B481" s="50" t="s">
        <v>67</v>
      </c>
      <c r="C481" s="82" t="s">
        <v>4637</v>
      </c>
      <c r="D481" s="87">
        <v>600629.0</v>
      </c>
      <c r="E481" s="61" t="s">
        <v>3288</v>
      </c>
      <c r="F481" s="174" t="s">
        <v>4638</v>
      </c>
      <c r="G481" s="174" t="s">
        <v>4639</v>
      </c>
      <c r="H481" s="50" t="s">
        <v>232</v>
      </c>
      <c r="I481" s="279" t="s">
        <v>708</v>
      </c>
      <c r="J481" s="279" t="s">
        <v>233</v>
      </c>
      <c r="K481" s="50" t="s">
        <v>236</v>
      </c>
      <c r="L481" s="50" t="s">
        <v>181</v>
      </c>
      <c r="M481" s="84">
        <v>45791.0</v>
      </c>
      <c r="N481" s="84" t="str">
        <f t="shared" si="277"/>
        <v>2025</v>
      </c>
      <c r="O481" s="84">
        <v>46156.0</v>
      </c>
      <c r="P481" s="85" t="str">
        <f t="shared" si="278"/>
        <v>2026</v>
      </c>
      <c r="Q481" s="86">
        <f t="shared" si="279"/>
        <v>365</v>
      </c>
      <c r="R481" s="85">
        <f t="shared" si="280"/>
        <v>1</v>
      </c>
      <c r="S481" s="61"/>
      <c r="T481" s="87"/>
      <c r="U481" s="62">
        <v>0.0</v>
      </c>
      <c r="V481" s="61"/>
      <c r="W481" s="174" t="s">
        <v>4641</v>
      </c>
      <c r="X481" s="174" t="s">
        <v>4642</v>
      </c>
      <c r="Y481" s="50" t="s">
        <v>161</v>
      </c>
      <c r="Z481" s="50" t="s">
        <v>261</v>
      </c>
      <c r="AA481" s="50" t="s">
        <v>123</v>
      </c>
      <c r="AB481" s="50" t="s">
        <v>124</v>
      </c>
      <c r="AC481" s="65" t="s">
        <v>337</v>
      </c>
      <c r="AD481" s="66"/>
      <c r="AE481" s="67"/>
    </row>
    <row r="482">
      <c r="A482" s="41" t="s">
        <v>407</v>
      </c>
      <c r="B482" s="41" t="s">
        <v>19</v>
      </c>
      <c r="C482" s="68" t="s">
        <v>4643</v>
      </c>
      <c r="D482" s="74">
        <v>11321.0</v>
      </c>
      <c r="E482" s="41" t="s">
        <v>872</v>
      </c>
      <c r="F482" s="154" t="s">
        <v>4644</v>
      </c>
      <c r="G482" s="154" t="s">
        <v>4645</v>
      </c>
      <c r="H482" s="31" t="s">
        <v>232</v>
      </c>
      <c r="I482" s="269" t="s">
        <v>104</v>
      </c>
      <c r="J482" s="269" t="s">
        <v>84</v>
      </c>
      <c r="K482" s="104" t="s">
        <v>84</v>
      </c>
      <c r="L482" s="31" t="s">
        <v>25</v>
      </c>
      <c r="M482" s="70">
        <v>45796.0</v>
      </c>
      <c r="N482" s="70" t="str">
        <f t="shared" si="277"/>
        <v>2025</v>
      </c>
      <c r="O482" s="37">
        <v>46892.0</v>
      </c>
      <c r="P482" s="93" t="str">
        <f t="shared" si="278"/>
        <v>2028</v>
      </c>
      <c r="Q482" s="73">
        <f t="shared" si="279"/>
        <v>1096</v>
      </c>
      <c r="R482" s="93">
        <f t="shared" si="280"/>
        <v>3</v>
      </c>
      <c r="S482" s="41"/>
      <c r="T482" s="74"/>
      <c r="U482" s="43">
        <v>0.0</v>
      </c>
      <c r="V482" s="31" t="s">
        <v>4647</v>
      </c>
      <c r="W482" s="41" t="s">
        <v>3309</v>
      </c>
      <c r="X482" s="41" t="s">
        <v>3309</v>
      </c>
      <c r="Y482" s="31" t="s">
        <v>161</v>
      </c>
      <c r="Z482" s="31" t="s">
        <v>261</v>
      </c>
      <c r="AA482" s="31" t="s">
        <v>14</v>
      </c>
      <c r="AB482" s="104" t="s">
        <v>442</v>
      </c>
      <c r="AC482" s="46" t="s">
        <v>337</v>
      </c>
      <c r="AD482" s="47"/>
      <c r="AE482" s="109"/>
    </row>
    <row r="483">
      <c r="A483" s="50" t="s">
        <v>407</v>
      </c>
      <c r="B483" s="50" t="s">
        <v>67</v>
      </c>
      <c r="C483" s="52" t="s">
        <v>4648</v>
      </c>
      <c r="D483" s="79">
        <v>600632.0</v>
      </c>
      <c r="E483" s="50" t="s">
        <v>999</v>
      </c>
      <c r="F483" s="50" t="s">
        <v>4650</v>
      </c>
      <c r="G483" s="50" t="s">
        <v>4651</v>
      </c>
      <c r="H483" s="50" t="s">
        <v>103</v>
      </c>
      <c r="I483" s="106" t="s">
        <v>708</v>
      </c>
      <c r="J483" s="50" t="s">
        <v>146</v>
      </c>
      <c r="K483" s="50" t="s">
        <v>147</v>
      </c>
      <c r="L483" s="50" t="s">
        <v>484</v>
      </c>
      <c r="M483" s="57">
        <v>45796.0</v>
      </c>
      <c r="N483" s="54">
        <v>2025.0</v>
      </c>
      <c r="O483" s="57">
        <v>46161.0</v>
      </c>
      <c r="P483" s="60">
        <v>2026.0</v>
      </c>
      <c r="Q483" s="60">
        <v>365.0</v>
      </c>
      <c r="R483" s="60">
        <v>1.0</v>
      </c>
      <c r="S483" s="61"/>
      <c r="T483" s="54" t="s">
        <v>269</v>
      </c>
      <c r="U483" s="96">
        <v>0.0</v>
      </c>
      <c r="V483" s="50" t="s">
        <v>4652</v>
      </c>
      <c r="W483" s="50" t="s">
        <v>4653</v>
      </c>
      <c r="X483" s="50" t="s">
        <v>4653</v>
      </c>
      <c r="Y483" s="50" t="s">
        <v>2418</v>
      </c>
      <c r="Z483" s="50" t="s">
        <v>210</v>
      </c>
      <c r="AA483" s="50" t="s">
        <v>123</v>
      </c>
      <c r="AB483" s="106" t="s">
        <v>442</v>
      </c>
      <c r="AC483" s="65" t="s">
        <v>128</v>
      </c>
      <c r="AD483" s="65"/>
      <c r="AE483" s="131" t="s">
        <v>220</v>
      </c>
    </row>
    <row r="484">
      <c r="A484" s="31" t="s">
        <v>64</v>
      </c>
      <c r="B484" s="31" t="s">
        <v>19</v>
      </c>
      <c r="C484" s="32" t="s">
        <v>4654</v>
      </c>
      <c r="D484" s="280">
        <v>600732.0</v>
      </c>
      <c r="E484" s="31" t="s">
        <v>4655</v>
      </c>
      <c r="F484" s="31" t="s">
        <v>3206</v>
      </c>
      <c r="G484" s="31" t="s">
        <v>3208</v>
      </c>
      <c r="H484" s="31" t="s">
        <v>1421</v>
      </c>
      <c r="I484" s="104" t="s">
        <v>104</v>
      </c>
      <c r="J484" s="31" t="s">
        <v>233</v>
      </c>
      <c r="K484" s="31" t="s">
        <v>236</v>
      </c>
      <c r="L484" s="31" t="s">
        <v>4656</v>
      </c>
      <c r="M484" s="37">
        <v>45797.0</v>
      </c>
      <c r="N484" s="33">
        <v>2025.0</v>
      </c>
      <c r="O484" s="37">
        <v>46284.0</v>
      </c>
      <c r="P484" s="39">
        <v>2026.0</v>
      </c>
      <c r="Q484" s="40">
        <v>487.0</v>
      </c>
      <c r="R484" s="39">
        <v>2.0</v>
      </c>
      <c r="S484" s="41"/>
      <c r="T484" s="33" t="s">
        <v>113</v>
      </c>
      <c r="U484" s="75">
        <v>1.0</v>
      </c>
      <c r="V484" s="41"/>
      <c r="W484" s="150" t="s">
        <v>4658</v>
      </c>
      <c r="X484" s="150" t="s">
        <v>4658</v>
      </c>
      <c r="Y484" s="31" t="s">
        <v>2103</v>
      </c>
      <c r="Z484" s="31" t="s">
        <v>122</v>
      </c>
      <c r="AA484" s="31" t="s">
        <v>65</v>
      </c>
      <c r="AB484" s="31" t="s">
        <v>768</v>
      </c>
      <c r="AC484" s="46" t="s">
        <v>276</v>
      </c>
      <c r="AD484" s="281"/>
      <c r="AE484" s="78"/>
    </row>
    <row r="485">
      <c r="A485" s="50" t="s">
        <v>169</v>
      </c>
      <c r="B485" s="50" t="s">
        <v>19</v>
      </c>
      <c r="C485" s="52" t="s">
        <v>4659</v>
      </c>
      <c r="D485" s="79">
        <v>600734.0</v>
      </c>
      <c r="E485" s="50" t="s">
        <v>4495</v>
      </c>
      <c r="F485" s="50" t="s">
        <v>4660</v>
      </c>
      <c r="G485" s="50" t="s">
        <v>4661</v>
      </c>
      <c r="H485" s="50" t="s">
        <v>103</v>
      </c>
      <c r="I485" s="56" t="s">
        <v>104</v>
      </c>
      <c r="J485" s="50" t="s">
        <v>146</v>
      </c>
      <c r="K485" s="50" t="s">
        <v>147</v>
      </c>
      <c r="L485" s="80" t="s">
        <v>2704</v>
      </c>
      <c r="M485" s="57">
        <v>45799.0</v>
      </c>
      <c r="N485" s="54">
        <v>2025.0</v>
      </c>
      <c r="O485" s="57">
        <v>46387.0</v>
      </c>
      <c r="P485" s="59">
        <v>2026.0</v>
      </c>
      <c r="Q485" s="60">
        <v>588.0</v>
      </c>
      <c r="R485" s="59">
        <v>2.0</v>
      </c>
      <c r="S485" s="61"/>
      <c r="T485" s="54" t="s">
        <v>113</v>
      </c>
      <c r="U485" s="199">
        <v>1.0</v>
      </c>
      <c r="V485" s="61"/>
      <c r="W485" s="50" t="s">
        <v>1946</v>
      </c>
      <c r="X485" s="50" t="s">
        <v>1946</v>
      </c>
      <c r="Y485" s="50" t="s">
        <v>161</v>
      </c>
      <c r="Z485" s="80" t="s">
        <v>122</v>
      </c>
      <c r="AA485" s="50" t="s">
        <v>211</v>
      </c>
      <c r="AB485" s="61" t="s">
        <v>4005</v>
      </c>
      <c r="AC485" s="65" t="s">
        <v>164</v>
      </c>
      <c r="AD485" s="65"/>
      <c r="AE485" s="81"/>
    </row>
    <row r="486">
      <c r="A486" s="41" t="s">
        <v>64</v>
      </c>
      <c r="B486" s="41" t="s">
        <v>67</v>
      </c>
      <c r="C486" s="68" t="s">
        <v>4662</v>
      </c>
      <c r="D486" s="74">
        <v>600562.0</v>
      </c>
      <c r="E486" s="41" t="s">
        <v>2992</v>
      </c>
      <c r="F486" s="41" t="s">
        <v>2993</v>
      </c>
      <c r="G486" s="41" t="s">
        <v>2994</v>
      </c>
      <c r="H486" s="31" t="s">
        <v>1421</v>
      </c>
      <c r="I486" s="77" t="s">
        <v>106</v>
      </c>
      <c r="J486" s="91" t="s">
        <v>84</v>
      </c>
      <c r="K486" s="31" t="s">
        <v>2304</v>
      </c>
      <c r="L486" s="31" t="s">
        <v>484</v>
      </c>
      <c r="M486" s="70">
        <v>45805.0</v>
      </c>
      <c r="N486" s="70" t="str">
        <f t="shared" ref="N486:N489" si="281">right(M486,4)</f>
        <v>2025</v>
      </c>
      <c r="O486" s="70">
        <v>45838.0</v>
      </c>
      <c r="P486" s="93" t="str">
        <f t="shared" ref="P486:P489" si="282">right(O486,4)</f>
        <v>2025</v>
      </c>
      <c r="Q486" s="73">
        <f t="shared" ref="Q486:Q489" si="283">DATEDIF(M486,O486,"d")</f>
        <v>33</v>
      </c>
      <c r="R486" s="93">
        <f t="shared" ref="R486:R489" si="284">DATEDIF(M486,O486,"y")</f>
        <v>0</v>
      </c>
      <c r="S486" s="41"/>
      <c r="T486" s="74"/>
      <c r="U486" s="75">
        <v>0.0</v>
      </c>
      <c r="V486" s="41" t="s">
        <v>2999</v>
      </c>
      <c r="W486" s="154" t="s">
        <v>4663</v>
      </c>
      <c r="X486" s="154" t="s">
        <v>4664</v>
      </c>
      <c r="Y486" s="41" t="s">
        <v>2429</v>
      </c>
      <c r="Z486" s="31" t="s">
        <v>122</v>
      </c>
      <c r="AA486" s="31" t="s">
        <v>261</v>
      </c>
      <c r="AB486" s="31" t="s">
        <v>124</v>
      </c>
      <c r="AC486" s="46" t="s">
        <v>161</v>
      </c>
      <c r="AD486" s="46" t="s">
        <v>3263</v>
      </c>
      <c r="AE486" s="78" t="s">
        <v>220</v>
      </c>
    </row>
    <row r="487">
      <c r="A487" s="61" t="s">
        <v>64</v>
      </c>
      <c r="B487" s="61" t="s">
        <v>67</v>
      </c>
      <c r="C487" s="82" t="s">
        <v>4666</v>
      </c>
      <c r="D487" s="232" t="s">
        <v>2360</v>
      </c>
      <c r="E487" s="61" t="s">
        <v>3251</v>
      </c>
      <c r="F487" s="61" t="s">
        <v>3252</v>
      </c>
      <c r="G487" s="61" t="s">
        <v>2994</v>
      </c>
      <c r="H487" s="50" t="s">
        <v>232</v>
      </c>
      <c r="I487" s="106" t="s">
        <v>106</v>
      </c>
      <c r="J487" s="106" t="s">
        <v>233</v>
      </c>
      <c r="K487" s="106" t="s">
        <v>2304</v>
      </c>
      <c r="L487" s="50" t="s">
        <v>484</v>
      </c>
      <c r="M487" s="84">
        <v>45805.0</v>
      </c>
      <c r="N487" s="84" t="str">
        <f t="shared" si="281"/>
        <v>2025</v>
      </c>
      <c r="O487" s="84">
        <v>45838.0</v>
      </c>
      <c r="P487" s="85" t="str">
        <f t="shared" si="282"/>
        <v>2025</v>
      </c>
      <c r="Q487" s="86">
        <f t="shared" si="283"/>
        <v>33</v>
      </c>
      <c r="R487" s="85">
        <f t="shared" si="284"/>
        <v>0</v>
      </c>
      <c r="S487" s="61"/>
      <c r="T487" s="87"/>
      <c r="U487" s="96">
        <v>0.0</v>
      </c>
      <c r="V487" s="61"/>
      <c r="W487" s="174" t="s">
        <v>4669</v>
      </c>
      <c r="X487" s="174" t="s">
        <v>4670</v>
      </c>
      <c r="Y487" s="50" t="s">
        <v>161</v>
      </c>
      <c r="Z487" s="50" t="s">
        <v>122</v>
      </c>
      <c r="AA487" s="50" t="s">
        <v>175</v>
      </c>
      <c r="AB487" s="50" t="s">
        <v>124</v>
      </c>
      <c r="AC487" s="65" t="s">
        <v>164</v>
      </c>
      <c r="AD487" s="65" t="s">
        <v>3263</v>
      </c>
      <c r="AE487" s="108" t="s">
        <v>220</v>
      </c>
    </row>
    <row r="488">
      <c r="A488" s="41" t="s">
        <v>64</v>
      </c>
      <c r="B488" s="41" t="s">
        <v>19</v>
      </c>
      <c r="C488" s="68" t="s">
        <v>4672</v>
      </c>
      <c r="D488" s="74">
        <v>600636.0</v>
      </c>
      <c r="E488" s="31" t="s">
        <v>4673</v>
      </c>
      <c r="F488" s="154" t="s">
        <v>4674</v>
      </c>
      <c r="G488" s="154" t="s">
        <v>4675</v>
      </c>
      <c r="H488" s="31" t="s">
        <v>232</v>
      </c>
      <c r="I488" s="269" t="s">
        <v>708</v>
      </c>
      <c r="J488" s="269" t="s">
        <v>233</v>
      </c>
      <c r="K488" s="31" t="s">
        <v>236</v>
      </c>
      <c r="L488" s="31" t="s">
        <v>181</v>
      </c>
      <c r="M488" s="70">
        <v>45806.0</v>
      </c>
      <c r="N488" s="70" t="str">
        <f t="shared" si="281"/>
        <v>2025</v>
      </c>
      <c r="O488" s="37">
        <v>46854.0</v>
      </c>
      <c r="P488" s="93" t="str">
        <f t="shared" si="282"/>
        <v>2028</v>
      </c>
      <c r="Q488" s="73">
        <f t="shared" si="283"/>
        <v>1048</v>
      </c>
      <c r="R488" s="93">
        <f t="shared" si="284"/>
        <v>2</v>
      </c>
      <c r="S488" s="31" t="s">
        <v>4677</v>
      </c>
      <c r="T488" s="33" t="s">
        <v>269</v>
      </c>
      <c r="U488" s="43">
        <v>1.0</v>
      </c>
      <c r="V488" s="41"/>
      <c r="W488" s="154" t="s">
        <v>4679</v>
      </c>
      <c r="X488" s="150" t="s">
        <v>4680</v>
      </c>
      <c r="Y488" s="31" t="s">
        <v>161</v>
      </c>
      <c r="Z488" s="31" t="s">
        <v>261</v>
      </c>
      <c r="AA488" s="31" t="s">
        <v>65</v>
      </c>
      <c r="AB488" s="31" t="s">
        <v>124</v>
      </c>
      <c r="AC488" s="46" t="s">
        <v>276</v>
      </c>
      <c r="AD488" s="47"/>
      <c r="AE488" s="49"/>
    </row>
    <row r="489">
      <c r="A489" s="61" t="s">
        <v>169</v>
      </c>
      <c r="B489" s="61" t="s">
        <v>67</v>
      </c>
      <c r="C489" s="82" t="s">
        <v>4681</v>
      </c>
      <c r="D489" s="94">
        <v>600637.0</v>
      </c>
      <c r="E489" s="61" t="s">
        <v>4498</v>
      </c>
      <c r="F489" s="61" t="s">
        <v>4682</v>
      </c>
      <c r="G489" s="61" t="s">
        <v>4683</v>
      </c>
      <c r="H489" s="61" t="s">
        <v>84</v>
      </c>
      <c r="I489" s="56" t="s">
        <v>708</v>
      </c>
      <c r="J489" s="138" t="s">
        <v>84</v>
      </c>
      <c r="K489" s="61" t="s">
        <v>84</v>
      </c>
      <c r="L489" s="138" t="s">
        <v>48</v>
      </c>
      <c r="M489" s="84">
        <v>45806.0</v>
      </c>
      <c r="N489" s="84" t="str">
        <f t="shared" si="281"/>
        <v>2025</v>
      </c>
      <c r="O489" s="84">
        <v>45869.0</v>
      </c>
      <c r="P489" s="95" t="str">
        <f t="shared" si="282"/>
        <v>2025</v>
      </c>
      <c r="Q489" s="86">
        <f t="shared" si="283"/>
        <v>63</v>
      </c>
      <c r="R489" s="85">
        <f t="shared" si="284"/>
        <v>0</v>
      </c>
      <c r="S489" s="50"/>
      <c r="T489" s="87" t="s">
        <v>113</v>
      </c>
      <c r="U489" s="96">
        <v>0.0</v>
      </c>
      <c r="V489" s="61"/>
      <c r="W489" s="61" t="s">
        <v>4685</v>
      </c>
      <c r="X489" s="61" t="s">
        <v>4685</v>
      </c>
      <c r="Y489" s="61" t="s">
        <v>2442</v>
      </c>
      <c r="Z489" s="80" t="s">
        <v>247</v>
      </c>
      <c r="AA489" s="50" t="s">
        <v>261</v>
      </c>
      <c r="AB489" s="61" t="s">
        <v>4005</v>
      </c>
      <c r="AC489" s="65" t="s">
        <v>161</v>
      </c>
      <c r="AD489" s="65" t="s">
        <v>251</v>
      </c>
      <c r="AE489" s="81" t="s">
        <v>220</v>
      </c>
    </row>
    <row r="490">
      <c r="A490" s="31" t="s">
        <v>169</v>
      </c>
      <c r="B490" s="31" t="s">
        <v>67</v>
      </c>
      <c r="C490" s="32" t="s">
        <v>4686</v>
      </c>
      <c r="D490" s="113">
        <v>600639.0</v>
      </c>
      <c r="E490" s="31" t="s">
        <v>997</v>
      </c>
      <c r="F490" s="31" t="s">
        <v>4687</v>
      </c>
      <c r="G490" s="31" t="s">
        <v>4688</v>
      </c>
      <c r="H490" s="31" t="s">
        <v>1421</v>
      </c>
      <c r="I490" s="35" t="s">
        <v>104</v>
      </c>
      <c r="J490" s="31" t="s">
        <v>146</v>
      </c>
      <c r="K490" s="31" t="s">
        <v>147</v>
      </c>
      <c r="L490" s="31" t="s">
        <v>484</v>
      </c>
      <c r="M490" s="37">
        <v>45811.0</v>
      </c>
      <c r="N490" s="33">
        <v>2025.0</v>
      </c>
      <c r="O490" s="37">
        <v>46203.0</v>
      </c>
      <c r="P490" s="40">
        <v>2026.0</v>
      </c>
      <c r="Q490" s="40">
        <v>392.0</v>
      </c>
      <c r="R490" s="40">
        <v>2.0</v>
      </c>
      <c r="S490" s="41"/>
      <c r="T490" s="33" t="s">
        <v>113</v>
      </c>
      <c r="U490" s="75">
        <v>1.0</v>
      </c>
      <c r="V490" s="31" t="s">
        <v>4689</v>
      </c>
      <c r="W490" s="31" t="s">
        <v>4690</v>
      </c>
      <c r="X490" s="31" t="s">
        <v>4690</v>
      </c>
      <c r="Y490" s="31" t="s">
        <v>2418</v>
      </c>
      <c r="Z490" s="31" t="s">
        <v>210</v>
      </c>
      <c r="AA490" s="31" t="s">
        <v>14</v>
      </c>
      <c r="AB490" s="31" t="s">
        <v>975</v>
      </c>
      <c r="AC490" s="46" t="s">
        <v>276</v>
      </c>
      <c r="AD490" s="46"/>
      <c r="AE490" s="111"/>
    </row>
    <row r="491">
      <c r="A491" s="61" t="s">
        <v>64</v>
      </c>
      <c r="B491" s="61" t="s">
        <v>19</v>
      </c>
      <c r="C491" s="82" t="s">
        <v>4691</v>
      </c>
      <c r="D491" s="87">
        <v>600640.0</v>
      </c>
      <c r="E491" s="61" t="s">
        <v>3268</v>
      </c>
      <c r="F491" s="61" t="s">
        <v>3270</v>
      </c>
      <c r="G491" s="61" t="s">
        <v>3271</v>
      </c>
      <c r="H491" s="50" t="s">
        <v>1421</v>
      </c>
      <c r="I491" s="106" t="s">
        <v>104</v>
      </c>
      <c r="J491" s="106" t="s">
        <v>146</v>
      </c>
      <c r="K491" s="50" t="s">
        <v>84</v>
      </c>
      <c r="L491" s="50" t="s">
        <v>484</v>
      </c>
      <c r="M491" s="84">
        <v>45814.0</v>
      </c>
      <c r="N491" s="84" t="str">
        <f t="shared" ref="N491:N492" si="285">right(M491,4)</f>
        <v>2025</v>
      </c>
      <c r="O491" s="84">
        <v>46568.0</v>
      </c>
      <c r="P491" s="85" t="str">
        <f t="shared" ref="P491:P492" si="286">right(O491,4)</f>
        <v>2027</v>
      </c>
      <c r="Q491" s="86">
        <f t="shared" ref="Q491:Q492" si="287">DATEDIF(M491,O491,"d")</f>
        <v>754</v>
      </c>
      <c r="R491" s="85">
        <f t="shared" ref="R491:R492" si="288">DATEDIF(M491,O491,"y")</f>
        <v>2</v>
      </c>
      <c r="S491" s="61"/>
      <c r="T491" s="87"/>
      <c r="U491" s="96">
        <v>0.0</v>
      </c>
      <c r="V491" s="61"/>
      <c r="W491" s="61" t="s">
        <v>3277</v>
      </c>
      <c r="X491" s="61" t="s">
        <v>3277</v>
      </c>
      <c r="Y491" s="50" t="s">
        <v>121</v>
      </c>
      <c r="Z491" s="50" t="s">
        <v>122</v>
      </c>
      <c r="AA491" s="50" t="s">
        <v>14</v>
      </c>
      <c r="AB491" s="50" t="s">
        <v>768</v>
      </c>
      <c r="AC491" s="65" t="s">
        <v>276</v>
      </c>
      <c r="AD491" s="66"/>
      <c r="AE491" s="67"/>
    </row>
    <row r="492">
      <c r="A492" s="41" t="s">
        <v>169</v>
      </c>
      <c r="B492" s="41" t="s">
        <v>67</v>
      </c>
      <c r="C492" s="68" t="s">
        <v>4693</v>
      </c>
      <c r="D492" s="271" t="s">
        <v>4694</v>
      </c>
      <c r="E492" s="41" t="s">
        <v>4501</v>
      </c>
      <c r="F492" s="41" t="s">
        <v>4696</v>
      </c>
      <c r="G492" s="41" t="s">
        <v>4697</v>
      </c>
      <c r="H492" s="104" t="s">
        <v>232</v>
      </c>
      <c r="I492" s="104" t="s">
        <v>106</v>
      </c>
      <c r="J492" s="104" t="s">
        <v>84</v>
      </c>
      <c r="K492" s="104" t="s">
        <v>84</v>
      </c>
      <c r="L492" s="104" t="s">
        <v>181</v>
      </c>
      <c r="M492" s="70">
        <v>45814.0</v>
      </c>
      <c r="N492" s="70" t="str">
        <f t="shared" si="285"/>
        <v>2025</v>
      </c>
      <c r="O492" s="37">
        <v>45844.0</v>
      </c>
      <c r="P492" s="102" t="str">
        <f t="shared" si="286"/>
        <v>2025</v>
      </c>
      <c r="Q492" s="73">
        <f t="shared" si="287"/>
        <v>30</v>
      </c>
      <c r="R492" s="93">
        <f t="shared" si="288"/>
        <v>0</v>
      </c>
      <c r="S492" s="41"/>
      <c r="T492" s="74"/>
      <c r="U492" s="75">
        <v>0.0</v>
      </c>
      <c r="V492" s="41"/>
      <c r="W492" s="41" t="s">
        <v>4698</v>
      </c>
      <c r="X492" s="41" t="s">
        <v>4698</v>
      </c>
      <c r="Y492" s="31" t="s">
        <v>161</v>
      </c>
      <c r="Z492" s="31" t="s">
        <v>122</v>
      </c>
      <c r="AA492" s="31" t="s">
        <v>261</v>
      </c>
      <c r="AB492" s="104" t="s">
        <v>442</v>
      </c>
      <c r="AC492" s="46" t="s">
        <v>276</v>
      </c>
      <c r="AD492" s="77"/>
      <c r="AE492" s="78" t="s">
        <v>220</v>
      </c>
    </row>
    <row r="493">
      <c r="A493" s="50" t="s">
        <v>64</v>
      </c>
      <c r="B493" s="50" t="s">
        <v>67</v>
      </c>
      <c r="C493" s="52" t="s">
        <v>4699</v>
      </c>
      <c r="D493" s="54">
        <v>600551.0</v>
      </c>
      <c r="E493" s="50" t="s">
        <v>3334</v>
      </c>
      <c r="F493" s="50" t="s">
        <v>3335</v>
      </c>
      <c r="G493" s="50" t="s">
        <v>3336</v>
      </c>
      <c r="H493" s="50" t="s">
        <v>232</v>
      </c>
      <c r="I493" s="56" t="s">
        <v>104</v>
      </c>
      <c r="J493" s="50" t="s">
        <v>84</v>
      </c>
      <c r="K493" s="50" t="s">
        <v>84</v>
      </c>
      <c r="L493" s="50" t="s">
        <v>181</v>
      </c>
      <c r="M493" s="57">
        <v>45817.0</v>
      </c>
      <c r="N493" s="54">
        <v>2025.0</v>
      </c>
      <c r="O493" s="57">
        <v>46175.0</v>
      </c>
      <c r="P493" s="60">
        <v>2026.0</v>
      </c>
      <c r="Q493" s="60">
        <v>358.0</v>
      </c>
      <c r="R493" s="60">
        <v>1.0</v>
      </c>
      <c r="S493" s="61"/>
      <c r="T493" s="54" t="s">
        <v>113</v>
      </c>
      <c r="U493" s="96">
        <v>0.0</v>
      </c>
      <c r="V493" s="50" t="s">
        <v>4700</v>
      </c>
      <c r="W493" s="50" t="s">
        <v>3338</v>
      </c>
      <c r="X493" s="50" t="s">
        <v>3338</v>
      </c>
      <c r="Y493" s="50" t="s">
        <v>740</v>
      </c>
      <c r="Z493" s="50" t="s">
        <v>210</v>
      </c>
      <c r="AA493" s="50" t="s">
        <v>123</v>
      </c>
      <c r="AB493" s="50" t="s">
        <v>124</v>
      </c>
      <c r="AC493" s="65" t="s">
        <v>128</v>
      </c>
      <c r="AD493" s="66"/>
      <c r="AE493" s="131" t="s">
        <v>220</v>
      </c>
    </row>
    <row r="494">
      <c r="A494" s="31" t="s">
        <v>169</v>
      </c>
      <c r="B494" s="31" t="s">
        <v>67</v>
      </c>
      <c r="C494" s="32" t="s">
        <v>4701</v>
      </c>
      <c r="D494" s="113">
        <v>600635.0</v>
      </c>
      <c r="E494" s="31" t="s">
        <v>4502</v>
      </c>
      <c r="F494" s="31" t="s">
        <v>4702</v>
      </c>
      <c r="G494" s="31" t="s">
        <v>4703</v>
      </c>
      <c r="H494" s="31" t="s">
        <v>178</v>
      </c>
      <c r="I494" s="35" t="s">
        <v>708</v>
      </c>
      <c r="J494" s="31" t="s">
        <v>233</v>
      </c>
      <c r="K494" s="104" t="s">
        <v>236</v>
      </c>
      <c r="L494" s="31" t="s">
        <v>181</v>
      </c>
      <c r="M494" s="37">
        <v>45831.0</v>
      </c>
      <c r="N494" s="33">
        <v>2025.0</v>
      </c>
      <c r="O494" s="37">
        <v>45861.0</v>
      </c>
      <c r="P494" s="39">
        <v>2025.0</v>
      </c>
      <c r="Q494" s="40">
        <v>30.0</v>
      </c>
      <c r="R494" s="39">
        <v>1.0</v>
      </c>
      <c r="S494" s="41"/>
      <c r="T494" s="33" t="s">
        <v>113</v>
      </c>
      <c r="U494" s="75">
        <v>0.0</v>
      </c>
      <c r="V494" s="41"/>
      <c r="W494" s="150" t="s">
        <v>4704</v>
      </c>
      <c r="X494" s="150" t="s">
        <v>4704</v>
      </c>
      <c r="Y494" s="31" t="s">
        <v>161</v>
      </c>
      <c r="Z494" s="101" t="s">
        <v>247</v>
      </c>
      <c r="AA494" s="31"/>
      <c r="AB494" s="31" t="s">
        <v>1499</v>
      </c>
      <c r="AC494" s="46" t="s">
        <v>164</v>
      </c>
      <c r="AD494" s="46"/>
      <c r="AE494" s="111" t="s">
        <v>220</v>
      </c>
    </row>
    <row r="495">
      <c r="A495" s="50" t="s">
        <v>169</v>
      </c>
      <c r="B495" s="50" t="s">
        <v>67</v>
      </c>
      <c r="C495" s="52" t="s">
        <v>4705</v>
      </c>
      <c r="D495" s="79">
        <v>600646.0</v>
      </c>
      <c r="E495" s="50" t="s">
        <v>3939</v>
      </c>
      <c r="F495" s="50" t="s">
        <v>3940</v>
      </c>
      <c r="G495" s="50" t="s">
        <v>3942</v>
      </c>
      <c r="H495" s="50" t="s">
        <v>178</v>
      </c>
      <c r="I495" s="50" t="s">
        <v>106</v>
      </c>
      <c r="J495" s="50" t="s">
        <v>146</v>
      </c>
      <c r="K495" s="50" t="s">
        <v>147</v>
      </c>
      <c r="L495" s="50" t="s">
        <v>484</v>
      </c>
      <c r="M495" s="57">
        <v>45835.0</v>
      </c>
      <c r="N495" s="54">
        <v>2025.0</v>
      </c>
      <c r="O495" s="57">
        <v>45849.0</v>
      </c>
      <c r="P495" s="59">
        <v>2025.0</v>
      </c>
      <c r="Q495" s="60">
        <v>14.0</v>
      </c>
      <c r="R495" s="59">
        <v>1.0</v>
      </c>
      <c r="S495" s="61"/>
      <c r="T495" s="54" t="s">
        <v>113</v>
      </c>
      <c r="U495" s="96">
        <v>0.0</v>
      </c>
      <c r="V495" s="61"/>
      <c r="W495" s="159" t="s">
        <v>4707</v>
      </c>
      <c r="X495" s="159" t="s">
        <v>4707</v>
      </c>
      <c r="Y495" s="50" t="s">
        <v>1525</v>
      </c>
      <c r="Z495" s="80" t="s">
        <v>247</v>
      </c>
      <c r="AA495" s="50"/>
      <c r="AB495" s="50" t="s">
        <v>213</v>
      </c>
      <c r="AC495" s="65" t="s">
        <v>161</v>
      </c>
      <c r="AD495" s="97"/>
      <c r="AE495" s="108" t="s">
        <v>220</v>
      </c>
    </row>
    <row r="496">
      <c r="A496" s="41" t="s">
        <v>169</v>
      </c>
      <c r="B496" s="31" t="s">
        <v>67</v>
      </c>
      <c r="C496" s="68" t="s">
        <v>4708</v>
      </c>
      <c r="D496" s="69">
        <v>600647.0</v>
      </c>
      <c r="E496" s="41" t="s">
        <v>4503</v>
      </c>
      <c r="F496" s="41" t="s">
        <v>4709</v>
      </c>
      <c r="G496" s="41" t="s">
        <v>4710</v>
      </c>
      <c r="H496" s="104" t="s">
        <v>1421</v>
      </c>
      <c r="I496" s="104" t="s">
        <v>104</v>
      </c>
      <c r="J496" s="104" t="s">
        <v>84</v>
      </c>
      <c r="K496" s="31" t="s">
        <v>724</v>
      </c>
      <c r="L496" s="31" t="s">
        <v>181</v>
      </c>
      <c r="M496" s="70">
        <v>45838.0</v>
      </c>
      <c r="N496" s="70" t="str">
        <f t="shared" ref="N496:N511" si="289">right(M496,4)</f>
        <v>2025</v>
      </c>
      <c r="O496" s="70">
        <v>46022.0</v>
      </c>
      <c r="P496" s="102" t="str">
        <f t="shared" ref="P496:P511" si="290">right(O496,4)</f>
        <v>2025</v>
      </c>
      <c r="Q496" s="73">
        <f t="shared" ref="Q496:Q511" si="291">DATEDIF(M496,O496,"d")</f>
        <v>184</v>
      </c>
      <c r="R496" s="93">
        <f t="shared" ref="R496:R511" si="292">DATEDIF(M496,O496,"y")</f>
        <v>0</v>
      </c>
      <c r="S496" s="41"/>
      <c r="T496" s="74"/>
      <c r="U496" s="75">
        <v>0.0</v>
      </c>
      <c r="V496" s="41" t="s">
        <v>4711</v>
      </c>
      <c r="W496" s="41" t="s">
        <v>4712</v>
      </c>
      <c r="X496" s="41" t="s">
        <v>4712</v>
      </c>
      <c r="Y496" s="31" t="s">
        <v>161</v>
      </c>
      <c r="Z496" s="31" t="s">
        <v>122</v>
      </c>
      <c r="AA496" s="31" t="s">
        <v>14</v>
      </c>
      <c r="AB496" s="31" t="s">
        <v>1499</v>
      </c>
      <c r="AC496" s="46" t="s">
        <v>128</v>
      </c>
      <c r="AD496" s="46"/>
      <c r="AE496" s="78" t="s">
        <v>220</v>
      </c>
    </row>
    <row r="497">
      <c r="A497" s="61" t="s">
        <v>64</v>
      </c>
      <c r="B497" s="61" t="s">
        <v>67</v>
      </c>
      <c r="C497" s="82" t="s">
        <v>4713</v>
      </c>
      <c r="D497" s="232" t="s">
        <v>3375</v>
      </c>
      <c r="E497" s="61" t="s">
        <v>3278</v>
      </c>
      <c r="F497" s="61" t="s">
        <v>3279</v>
      </c>
      <c r="G497" s="61" t="s">
        <v>3280</v>
      </c>
      <c r="H497" s="50" t="s">
        <v>175</v>
      </c>
      <c r="I497" s="106" t="s">
        <v>106</v>
      </c>
      <c r="J497" s="106" t="s">
        <v>84</v>
      </c>
      <c r="K497" s="106" t="s">
        <v>84</v>
      </c>
      <c r="L497" s="50" t="s">
        <v>1360</v>
      </c>
      <c r="M497" s="84">
        <v>45840.0</v>
      </c>
      <c r="N497" s="84" t="str">
        <f t="shared" si="289"/>
        <v>2025</v>
      </c>
      <c r="O497" s="84">
        <v>45871.0</v>
      </c>
      <c r="P497" s="85" t="str">
        <f t="shared" si="290"/>
        <v>2025</v>
      </c>
      <c r="Q497" s="86">
        <f t="shared" si="291"/>
        <v>31</v>
      </c>
      <c r="R497" s="85">
        <f t="shared" si="292"/>
        <v>0</v>
      </c>
      <c r="S497" s="61"/>
      <c r="T497" s="87"/>
      <c r="U497" s="96">
        <v>0.0</v>
      </c>
      <c r="V497" s="61"/>
      <c r="W497" s="50" t="s">
        <v>3282</v>
      </c>
      <c r="X497" s="50" t="s">
        <v>3282</v>
      </c>
      <c r="Y497" s="50" t="s">
        <v>161</v>
      </c>
      <c r="Z497" s="50" t="s">
        <v>122</v>
      </c>
      <c r="AA497" s="50" t="s">
        <v>261</v>
      </c>
      <c r="AB497" s="50" t="s">
        <v>124</v>
      </c>
      <c r="AC497" s="65" t="s">
        <v>161</v>
      </c>
      <c r="AD497" s="66"/>
      <c r="AE497" s="108" t="s">
        <v>220</v>
      </c>
    </row>
    <row r="498">
      <c r="A498" s="41" t="s">
        <v>64</v>
      </c>
      <c r="B498" s="31" t="s">
        <v>67</v>
      </c>
      <c r="C498" s="68" t="s">
        <v>4714</v>
      </c>
      <c r="D498" s="74">
        <v>600648.0</v>
      </c>
      <c r="E498" s="41" t="s">
        <v>982</v>
      </c>
      <c r="F498" s="41" t="s">
        <v>3358</v>
      </c>
      <c r="G498" s="154" t="s">
        <v>4715</v>
      </c>
      <c r="H498" s="31" t="s">
        <v>1421</v>
      </c>
      <c r="I498" s="269" t="s">
        <v>708</v>
      </c>
      <c r="J498" s="101" t="s">
        <v>146</v>
      </c>
      <c r="K498" s="31" t="s">
        <v>147</v>
      </c>
      <c r="L498" s="31" t="s">
        <v>181</v>
      </c>
      <c r="M498" s="70">
        <v>45840.0</v>
      </c>
      <c r="N498" s="70" t="str">
        <f t="shared" si="289"/>
        <v>2025</v>
      </c>
      <c r="O498" s="70">
        <v>46213.0</v>
      </c>
      <c r="P498" s="93" t="str">
        <f t="shared" si="290"/>
        <v>2026</v>
      </c>
      <c r="Q498" s="73">
        <f t="shared" si="291"/>
        <v>373</v>
      </c>
      <c r="R498" s="93">
        <f t="shared" si="292"/>
        <v>1</v>
      </c>
      <c r="S498" s="41"/>
      <c r="T498" s="74"/>
      <c r="U498" s="43">
        <v>0.0</v>
      </c>
      <c r="V498" s="41"/>
      <c r="W498" s="41" t="s">
        <v>3372</v>
      </c>
      <c r="X498" s="283" t="s">
        <v>3372</v>
      </c>
      <c r="Y498" s="31" t="s">
        <v>161</v>
      </c>
      <c r="Z498" s="31" t="s">
        <v>261</v>
      </c>
      <c r="AA498" s="31" t="s">
        <v>123</v>
      </c>
      <c r="AB498" s="31" t="s">
        <v>124</v>
      </c>
      <c r="AC498" s="46" t="s">
        <v>161</v>
      </c>
      <c r="AD498" s="47"/>
      <c r="AE498" s="49"/>
    </row>
    <row r="499">
      <c r="A499" s="61" t="s">
        <v>169</v>
      </c>
      <c r="B499" s="50" t="s">
        <v>67</v>
      </c>
      <c r="C499" s="82" t="s">
        <v>4719</v>
      </c>
      <c r="D499" s="94">
        <v>600649.0</v>
      </c>
      <c r="E499" s="61" t="s">
        <v>4505</v>
      </c>
      <c r="F499" s="61" t="s">
        <v>4720</v>
      </c>
      <c r="G499" s="61" t="s">
        <v>4721</v>
      </c>
      <c r="H499" s="61" t="s">
        <v>84</v>
      </c>
      <c r="I499" s="56" t="s">
        <v>708</v>
      </c>
      <c r="J499" s="138" t="s">
        <v>84</v>
      </c>
      <c r="K499" s="50" t="s">
        <v>147</v>
      </c>
      <c r="L499" s="80" t="s">
        <v>2704</v>
      </c>
      <c r="M499" s="84">
        <v>45842.0</v>
      </c>
      <c r="N499" s="84" t="str">
        <f t="shared" si="289"/>
        <v>2025</v>
      </c>
      <c r="O499" s="84">
        <v>46022.0</v>
      </c>
      <c r="P499" s="95" t="str">
        <f t="shared" si="290"/>
        <v>2025</v>
      </c>
      <c r="Q499" s="86">
        <f t="shared" si="291"/>
        <v>180</v>
      </c>
      <c r="R499" s="85">
        <f t="shared" si="292"/>
        <v>0</v>
      </c>
      <c r="S499" s="61"/>
      <c r="T499" s="87"/>
      <c r="U499" s="199">
        <v>0.0</v>
      </c>
      <c r="V499" s="61"/>
      <c r="W499" s="61" t="s">
        <v>4724</v>
      </c>
      <c r="X499" s="61" t="s">
        <v>4724</v>
      </c>
      <c r="Y499" s="50" t="s">
        <v>161</v>
      </c>
      <c r="Z499" s="80" t="s">
        <v>247</v>
      </c>
      <c r="AA499" s="50" t="s">
        <v>123</v>
      </c>
      <c r="AB499" s="50" t="s">
        <v>249</v>
      </c>
      <c r="AC499" s="65" t="s">
        <v>164</v>
      </c>
      <c r="AD499" s="65" t="s">
        <v>251</v>
      </c>
      <c r="AE499" s="81" t="s">
        <v>220</v>
      </c>
    </row>
    <row r="500">
      <c r="A500" s="41" t="s">
        <v>64</v>
      </c>
      <c r="B500" s="31" t="s">
        <v>67</v>
      </c>
      <c r="C500" s="68" t="s">
        <v>4725</v>
      </c>
      <c r="D500" s="74">
        <v>600650.0</v>
      </c>
      <c r="E500" s="41" t="s">
        <v>3378</v>
      </c>
      <c r="F500" s="41" t="s">
        <v>3379</v>
      </c>
      <c r="G500" s="154" t="s">
        <v>4727</v>
      </c>
      <c r="H500" s="31" t="s">
        <v>1421</v>
      </c>
      <c r="I500" s="269" t="s">
        <v>708</v>
      </c>
      <c r="J500" s="101" t="s">
        <v>146</v>
      </c>
      <c r="K500" s="31" t="s">
        <v>147</v>
      </c>
      <c r="L500" s="92" t="s">
        <v>181</v>
      </c>
      <c r="M500" s="70">
        <v>45847.0</v>
      </c>
      <c r="N500" s="70" t="str">
        <f t="shared" si="289"/>
        <v>2025</v>
      </c>
      <c r="O500" s="70">
        <v>46218.0</v>
      </c>
      <c r="P500" s="93" t="str">
        <f t="shared" si="290"/>
        <v>2026</v>
      </c>
      <c r="Q500" s="73">
        <f t="shared" si="291"/>
        <v>371</v>
      </c>
      <c r="R500" s="93">
        <f t="shared" si="292"/>
        <v>1</v>
      </c>
      <c r="S500" s="41"/>
      <c r="T500" s="74"/>
      <c r="U500" s="43">
        <v>0.0</v>
      </c>
      <c r="V500" s="41"/>
      <c r="W500" s="154" t="s">
        <v>4728</v>
      </c>
      <c r="X500" s="285" t="s">
        <v>4729</v>
      </c>
      <c r="Y500" s="41" t="s">
        <v>2799</v>
      </c>
      <c r="Z500" s="31" t="s">
        <v>261</v>
      </c>
      <c r="AA500" s="31" t="s">
        <v>14</v>
      </c>
      <c r="AB500" s="31" t="s">
        <v>124</v>
      </c>
      <c r="AC500" s="46" t="s">
        <v>161</v>
      </c>
      <c r="AD500" s="47"/>
      <c r="AE500" s="49"/>
    </row>
    <row r="501">
      <c r="A501" s="61" t="s">
        <v>407</v>
      </c>
      <c r="B501" s="50" t="s">
        <v>67</v>
      </c>
      <c r="C501" s="82" t="s">
        <v>4730</v>
      </c>
      <c r="D501" s="94">
        <v>600693.0</v>
      </c>
      <c r="E501" s="61" t="s">
        <v>4506</v>
      </c>
      <c r="F501" s="61" t="s">
        <v>4731</v>
      </c>
      <c r="G501" s="61" t="s">
        <v>4732</v>
      </c>
      <c r="H501" s="50" t="s">
        <v>232</v>
      </c>
      <c r="I501" s="56" t="s">
        <v>104</v>
      </c>
      <c r="J501" s="50" t="s">
        <v>233</v>
      </c>
      <c r="K501" s="50" t="s">
        <v>236</v>
      </c>
      <c r="L501" s="112" t="s">
        <v>181</v>
      </c>
      <c r="M501" s="84">
        <v>45847.0</v>
      </c>
      <c r="N501" s="84" t="str">
        <f t="shared" si="289"/>
        <v>2025</v>
      </c>
      <c r="O501" s="84">
        <v>46212.0</v>
      </c>
      <c r="P501" s="184" t="str">
        <f t="shared" si="290"/>
        <v>2026</v>
      </c>
      <c r="Q501" s="86">
        <f t="shared" si="291"/>
        <v>365</v>
      </c>
      <c r="R501" s="86">
        <f t="shared" si="292"/>
        <v>1</v>
      </c>
      <c r="S501" s="61"/>
      <c r="T501" s="87" t="s">
        <v>269</v>
      </c>
      <c r="U501" s="62">
        <v>0.0</v>
      </c>
      <c r="V501" s="61"/>
      <c r="W501" s="61" t="s">
        <v>4733</v>
      </c>
      <c r="X501" s="61" t="s">
        <v>4733</v>
      </c>
      <c r="Y501" s="61" t="s">
        <v>2783</v>
      </c>
      <c r="Z501" s="50" t="s">
        <v>210</v>
      </c>
      <c r="AA501" s="50" t="s">
        <v>14</v>
      </c>
      <c r="AB501" s="106" t="s">
        <v>442</v>
      </c>
      <c r="AC501" s="65" t="s">
        <v>337</v>
      </c>
      <c r="AD501" s="97"/>
      <c r="AE501" s="120"/>
    </row>
    <row r="502">
      <c r="A502" s="41" t="s">
        <v>169</v>
      </c>
      <c r="B502" s="31" t="s">
        <v>67</v>
      </c>
      <c r="C502" s="68" t="s">
        <v>4735</v>
      </c>
      <c r="D502" s="69">
        <v>600651.0</v>
      </c>
      <c r="E502" s="41" t="s">
        <v>4507</v>
      </c>
      <c r="F502" s="41" t="s">
        <v>4736</v>
      </c>
      <c r="G502" s="41" t="s">
        <v>4737</v>
      </c>
      <c r="H502" s="31" t="s">
        <v>103</v>
      </c>
      <c r="I502" s="35" t="s">
        <v>104</v>
      </c>
      <c r="J502" s="31" t="s">
        <v>233</v>
      </c>
      <c r="K502" s="31" t="s">
        <v>236</v>
      </c>
      <c r="L502" s="31" t="s">
        <v>181</v>
      </c>
      <c r="M502" s="70">
        <v>45852.0</v>
      </c>
      <c r="N502" s="70" t="str">
        <f t="shared" si="289"/>
        <v>2025</v>
      </c>
      <c r="O502" s="70">
        <v>46022.0</v>
      </c>
      <c r="P502" s="102" t="str">
        <f t="shared" si="290"/>
        <v>2025</v>
      </c>
      <c r="Q502" s="73">
        <f t="shared" si="291"/>
        <v>170</v>
      </c>
      <c r="R502" s="93">
        <f t="shared" si="292"/>
        <v>0</v>
      </c>
      <c r="S502" s="41"/>
      <c r="T502" s="74"/>
      <c r="U502" s="114">
        <v>0.0</v>
      </c>
      <c r="V502" s="41"/>
      <c r="W502" s="41" t="s">
        <v>4740</v>
      </c>
      <c r="X502" s="41" t="s">
        <v>4740</v>
      </c>
      <c r="Y502" s="31" t="s">
        <v>161</v>
      </c>
      <c r="Z502" s="101" t="s">
        <v>247</v>
      </c>
      <c r="AA502" s="31" t="s">
        <v>65</v>
      </c>
      <c r="AB502" s="31" t="s">
        <v>1499</v>
      </c>
      <c r="AC502" s="46" t="s">
        <v>164</v>
      </c>
      <c r="AD502" s="46" t="s">
        <v>251</v>
      </c>
      <c r="AE502" s="111" t="s">
        <v>220</v>
      </c>
    </row>
    <row r="503">
      <c r="A503" s="61" t="s">
        <v>169</v>
      </c>
      <c r="B503" s="61" t="s">
        <v>67</v>
      </c>
      <c r="C503" s="82" t="s">
        <v>4743</v>
      </c>
      <c r="D503" s="94">
        <v>600652.0</v>
      </c>
      <c r="E503" s="61" t="s">
        <v>4509</v>
      </c>
      <c r="F503" s="61" t="s">
        <v>4744</v>
      </c>
      <c r="G503" s="61" t="s">
        <v>4745</v>
      </c>
      <c r="H503" s="50" t="s">
        <v>232</v>
      </c>
      <c r="I503" s="97" t="s">
        <v>106</v>
      </c>
      <c r="J503" s="50" t="s">
        <v>146</v>
      </c>
      <c r="K503" s="50" t="s">
        <v>147</v>
      </c>
      <c r="L503" s="50" t="s">
        <v>1360</v>
      </c>
      <c r="M503" s="84">
        <v>45853.0</v>
      </c>
      <c r="N503" s="84" t="str">
        <f t="shared" si="289"/>
        <v>2025</v>
      </c>
      <c r="O503" s="84">
        <v>45884.0</v>
      </c>
      <c r="P503" s="184" t="str">
        <f t="shared" si="290"/>
        <v>2025</v>
      </c>
      <c r="Q503" s="86">
        <f t="shared" si="291"/>
        <v>31</v>
      </c>
      <c r="R503" s="86">
        <f t="shared" si="292"/>
        <v>0</v>
      </c>
      <c r="S503" s="61"/>
      <c r="T503" s="87"/>
      <c r="U503" s="96">
        <v>0.0</v>
      </c>
      <c r="V503" s="61"/>
      <c r="W503" s="61" t="s">
        <v>4746</v>
      </c>
      <c r="X503" s="61" t="s">
        <v>4746</v>
      </c>
      <c r="Y503" s="50" t="s">
        <v>121</v>
      </c>
      <c r="Z503" s="50" t="s">
        <v>210</v>
      </c>
      <c r="AA503" s="50" t="s">
        <v>175</v>
      </c>
      <c r="AB503" s="50" t="s">
        <v>4747</v>
      </c>
      <c r="AC503" s="65" t="s">
        <v>161</v>
      </c>
      <c r="AD503" s="97"/>
      <c r="AE503" s="108" t="s">
        <v>220</v>
      </c>
    </row>
    <row r="504">
      <c r="A504" s="41" t="s">
        <v>169</v>
      </c>
      <c r="B504" s="41" t="s">
        <v>67</v>
      </c>
      <c r="C504" s="68" t="s">
        <v>4748</v>
      </c>
      <c r="D504" s="69">
        <v>600653.0</v>
      </c>
      <c r="E504" s="41" t="s">
        <v>4510</v>
      </c>
      <c r="F504" s="41" t="s">
        <v>4749</v>
      </c>
      <c r="G504" s="41" t="s">
        <v>4750</v>
      </c>
      <c r="H504" s="41" t="s">
        <v>84</v>
      </c>
      <c r="I504" s="35" t="s">
        <v>104</v>
      </c>
      <c r="J504" s="91" t="s">
        <v>84</v>
      </c>
      <c r="K504" s="31" t="s">
        <v>147</v>
      </c>
      <c r="L504" s="31" t="s">
        <v>181</v>
      </c>
      <c r="M504" s="70">
        <v>45853.0</v>
      </c>
      <c r="N504" s="70" t="str">
        <f t="shared" si="289"/>
        <v>2025</v>
      </c>
      <c r="O504" s="70">
        <v>45930.0</v>
      </c>
      <c r="P504" s="102" t="str">
        <f t="shared" si="290"/>
        <v>2025</v>
      </c>
      <c r="Q504" s="73">
        <f t="shared" si="291"/>
        <v>77</v>
      </c>
      <c r="R504" s="93">
        <f t="shared" si="292"/>
        <v>0</v>
      </c>
      <c r="S504" s="41"/>
      <c r="T504" s="74"/>
      <c r="U504" s="75">
        <v>0.0</v>
      </c>
      <c r="V504" s="41"/>
      <c r="W504" s="41" t="s">
        <v>4751</v>
      </c>
      <c r="X504" s="41" t="s">
        <v>4751</v>
      </c>
      <c r="Y504" s="41" t="s">
        <v>243</v>
      </c>
      <c r="Z504" s="101" t="s">
        <v>247</v>
      </c>
      <c r="AA504" s="31" t="s">
        <v>261</v>
      </c>
      <c r="AB504" s="31" t="s">
        <v>1499</v>
      </c>
      <c r="AC504" s="46" t="s">
        <v>128</v>
      </c>
      <c r="AD504" s="46"/>
      <c r="AE504" s="149" t="s">
        <v>220</v>
      </c>
    </row>
    <row r="505">
      <c r="A505" s="61" t="s">
        <v>169</v>
      </c>
      <c r="B505" s="61" t="s">
        <v>67</v>
      </c>
      <c r="C505" s="82" t="s">
        <v>4752</v>
      </c>
      <c r="D505" s="94">
        <v>600654.0</v>
      </c>
      <c r="E505" s="61" t="s">
        <v>4511</v>
      </c>
      <c r="F505" s="61" t="s">
        <v>4753</v>
      </c>
      <c r="G505" s="61" t="s">
        <v>4754</v>
      </c>
      <c r="H505" s="50" t="s">
        <v>232</v>
      </c>
      <c r="I505" s="50" t="s">
        <v>106</v>
      </c>
      <c r="J505" s="50" t="s">
        <v>146</v>
      </c>
      <c r="K505" s="50" t="s">
        <v>147</v>
      </c>
      <c r="L505" s="286" t="s">
        <v>48</v>
      </c>
      <c r="M505" s="84">
        <v>45855.0</v>
      </c>
      <c r="N505" s="84" t="str">
        <f t="shared" si="289"/>
        <v>2025</v>
      </c>
      <c r="O505" s="84">
        <v>45886.0</v>
      </c>
      <c r="P505" s="95" t="str">
        <f t="shared" si="290"/>
        <v>2025</v>
      </c>
      <c r="Q505" s="86">
        <f t="shared" si="291"/>
        <v>31</v>
      </c>
      <c r="R505" s="85">
        <f t="shared" si="292"/>
        <v>0</v>
      </c>
      <c r="S505" s="61"/>
      <c r="T505" s="87"/>
      <c r="U505" s="96">
        <v>0.0</v>
      </c>
      <c r="V505" s="61"/>
      <c r="W505" s="61" t="s">
        <v>4756</v>
      </c>
      <c r="X505" s="61" t="s">
        <v>4756</v>
      </c>
      <c r="Y505" s="61" t="s">
        <v>3210</v>
      </c>
      <c r="Z505" s="80" t="s">
        <v>247</v>
      </c>
      <c r="AA505" s="50" t="s">
        <v>289</v>
      </c>
      <c r="AB505" s="50" t="s">
        <v>4747</v>
      </c>
      <c r="AC505" s="65" t="s">
        <v>161</v>
      </c>
      <c r="AD505" s="97"/>
      <c r="AE505" s="108" t="s">
        <v>220</v>
      </c>
    </row>
    <row r="506">
      <c r="A506" s="41" t="s">
        <v>169</v>
      </c>
      <c r="B506" s="41" t="s">
        <v>67</v>
      </c>
      <c r="C506" s="68" t="s">
        <v>4757</v>
      </c>
      <c r="D506" s="278"/>
      <c r="E506" s="41" t="s">
        <v>4513</v>
      </c>
      <c r="F506" s="41" t="s">
        <v>4758</v>
      </c>
      <c r="G506" s="41" t="s">
        <v>4759</v>
      </c>
      <c r="H506" s="31" t="s">
        <v>178</v>
      </c>
      <c r="I506" s="31" t="s">
        <v>106</v>
      </c>
      <c r="J506" s="91" t="s">
        <v>84</v>
      </c>
      <c r="K506" s="31" t="s">
        <v>289</v>
      </c>
      <c r="L506" s="31" t="s">
        <v>289</v>
      </c>
      <c r="M506" s="70">
        <v>45856.0</v>
      </c>
      <c r="N506" s="70" t="str">
        <f t="shared" si="289"/>
        <v>2025</v>
      </c>
      <c r="O506" s="70">
        <v>45870.0</v>
      </c>
      <c r="P506" s="102" t="str">
        <f t="shared" si="290"/>
        <v>2025</v>
      </c>
      <c r="Q506" s="73">
        <f t="shared" si="291"/>
        <v>14</v>
      </c>
      <c r="R506" s="93">
        <f t="shared" si="292"/>
        <v>0</v>
      </c>
      <c r="S506" s="41"/>
      <c r="T506" s="74"/>
      <c r="U506" s="75">
        <v>0.0</v>
      </c>
      <c r="V506" s="41" t="s">
        <v>106</v>
      </c>
      <c r="W506" s="41" t="s">
        <v>4760</v>
      </c>
      <c r="X506" s="41" t="s">
        <v>4760</v>
      </c>
      <c r="Y506" s="31" t="s">
        <v>161</v>
      </c>
      <c r="Z506" s="31" t="s">
        <v>289</v>
      </c>
      <c r="AA506" s="31" t="s">
        <v>289</v>
      </c>
      <c r="AB506" s="31" t="s">
        <v>289</v>
      </c>
      <c r="AC506" s="46" t="s">
        <v>161</v>
      </c>
      <c r="AD506" s="77"/>
      <c r="AE506" s="78" t="s">
        <v>220</v>
      </c>
    </row>
    <row r="507">
      <c r="A507" s="61" t="s">
        <v>169</v>
      </c>
      <c r="B507" s="61" t="s">
        <v>67</v>
      </c>
      <c r="C507" s="82" t="s">
        <v>4761</v>
      </c>
      <c r="D507" s="94">
        <v>600657.0</v>
      </c>
      <c r="E507" s="61" t="s">
        <v>4516</v>
      </c>
      <c r="F507" s="61" t="s">
        <v>4717</v>
      </c>
      <c r="G507" s="61" t="s">
        <v>4718</v>
      </c>
      <c r="H507" s="50" t="s">
        <v>1421</v>
      </c>
      <c r="I507" s="97" t="s">
        <v>106</v>
      </c>
      <c r="J507" s="50" t="s">
        <v>146</v>
      </c>
      <c r="K507" s="50" t="s">
        <v>147</v>
      </c>
      <c r="L507" s="50" t="s">
        <v>181</v>
      </c>
      <c r="M507" s="84">
        <v>45860.0</v>
      </c>
      <c r="N507" s="84" t="str">
        <f t="shared" si="289"/>
        <v>2025</v>
      </c>
      <c r="O507" s="84">
        <v>45869.0</v>
      </c>
      <c r="P507" s="184" t="str">
        <f t="shared" si="290"/>
        <v>2025</v>
      </c>
      <c r="Q507" s="86">
        <f t="shared" si="291"/>
        <v>9</v>
      </c>
      <c r="R507" s="86">
        <f t="shared" si="292"/>
        <v>0</v>
      </c>
      <c r="S507" s="61"/>
      <c r="T507" s="87"/>
      <c r="U507" s="96">
        <v>0.0</v>
      </c>
      <c r="V507" s="61"/>
      <c r="W507" s="61" t="s">
        <v>4723</v>
      </c>
      <c r="X507" s="61" t="s">
        <v>4723</v>
      </c>
      <c r="Y507" s="106" t="s">
        <v>2418</v>
      </c>
      <c r="Z507" s="50" t="s">
        <v>210</v>
      </c>
      <c r="AA507" s="50" t="s">
        <v>175</v>
      </c>
      <c r="AB507" s="50" t="s">
        <v>1499</v>
      </c>
      <c r="AC507" s="65" t="s">
        <v>161</v>
      </c>
      <c r="AD507" s="97"/>
      <c r="AE507" s="108" t="s">
        <v>220</v>
      </c>
    </row>
    <row r="508">
      <c r="A508" s="41" t="s">
        <v>169</v>
      </c>
      <c r="B508" s="41" t="s">
        <v>67</v>
      </c>
      <c r="C508" s="68" t="s">
        <v>4762</v>
      </c>
      <c r="D508" s="69">
        <v>600659.0</v>
      </c>
      <c r="E508" s="41" t="s">
        <v>4517</v>
      </c>
      <c r="F508" s="41" t="s">
        <v>4738</v>
      </c>
      <c r="G508" s="41" t="s">
        <v>4739</v>
      </c>
      <c r="H508" s="31" t="s">
        <v>1421</v>
      </c>
      <c r="I508" s="104" t="s">
        <v>106</v>
      </c>
      <c r="J508" s="31" t="s">
        <v>146</v>
      </c>
      <c r="K508" s="104" t="s">
        <v>236</v>
      </c>
      <c r="L508" s="104" t="s">
        <v>181</v>
      </c>
      <c r="M508" s="70">
        <v>45861.0</v>
      </c>
      <c r="N508" s="70" t="str">
        <f t="shared" si="289"/>
        <v>2025</v>
      </c>
      <c r="O508" s="70">
        <v>45869.0</v>
      </c>
      <c r="P508" s="102" t="str">
        <f t="shared" si="290"/>
        <v>2025</v>
      </c>
      <c r="Q508" s="73">
        <f t="shared" si="291"/>
        <v>8</v>
      </c>
      <c r="R508" s="93">
        <f t="shared" si="292"/>
        <v>0</v>
      </c>
      <c r="S508" s="41"/>
      <c r="T508" s="74"/>
      <c r="U508" s="75">
        <v>0.0</v>
      </c>
      <c r="V508" s="31" t="s">
        <v>4763</v>
      </c>
      <c r="W508" s="41" t="s">
        <v>4741</v>
      </c>
      <c r="X508" s="41" t="s">
        <v>4741</v>
      </c>
      <c r="Y508" s="41" t="s">
        <v>1478</v>
      </c>
      <c r="Z508" s="31" t="s">
        <v>122</v>
      </c>
      <c r="AA508" s="92" t="s">
        <v>211</v>
      </c>
      <c r="AB508" s="31" t="s">
        <v>1499</v>
      </c>
      <c r="AC508" s="46" t="s">
        <v>161</v>
      </c>
      <c r="AD508" s="77"/>
      <c r="AE508" s="78" t="s">
        <v>220</v>
      </c>
    </row>
    <row r="509">
      <c r="A509" s="61" t="s">
        <v>64</v>
      </c>
      <c r="B509" s="50" t="s">
        <v>67</v>
      </c>
      <c r="C509" s="82" t="s">
        <v>4764</v>
      </c>
      <c r="D509" s="87">
        <v>600661.0</v>
      </c>
      <c r="E509" s="61" t="s">
        <v>3326</v>
      </c>
      <c r="F509" s="61" t="s">
        <v>3328</v>
      </c>
      <c r="G509" s="61" t="s">
        <v>3329</v>
      </c>
      <c r="H509" s="50" t="s">
        <v>1421</v>
      </c>
      <c r="I509" s="106" t="s">
        <v>708</v>
      </c>
      <c r="J509" s="50" t="s">
        <v>233</v>
      </c>
      <c r="K509" s="106" t="s">
        <v>84</v>
      </c>
      <c r="L509" s="50" t="s">
        <v>484</v>
      </c>
      <c r="M509" s="84">
        <v>45867.0</v>
      </c>
      <c r="N509" s="84" t="str">
        <f t="shared" si="289"/>
        <v>2025</v>
      </c>
      <c r="O509" s="84">
        <v>45961.0</v>
      </c>
      <c r="P509" s="85" t="str">
        <f t="shared" si="290"/>
        <v>2025</v>
      </c>
      <c r="Q509" s="86">
        <f t="shared" si="291"/>
        <v>94</v>
      </c>
      <c r="R509" s="85">
        <f t="shared" si="292"/>
        <v>0</v>
      </c>
      <c r="S509" s="61"/>
      <c r="T509" s="87"/>
      <c r="U509" s="96">
        <v>0.0</v>
      </c>
      <c r="V509" s="61"/>
      <c r="W509" s="61" t="s">
        <v>3332</v>
      </c>
      <c r="X509" s="61" t="s">
        <v>3332</v>
      </c>
      <c r="Y509" s="61" t="s">
        <v>3233</v>
      </c>
      <c r="Z509" s="50" t="s">
        <v>122</v>
      </c>
      <c r="AA509" s="50" t="s">
        <v>211</v>
      </c>
      <c r="AB509" s="50" t="s">
        <v>2247</v>
      </c>
      <c r="AC509" s="65" t="s">
        <v>337</v>
      </c>
      <c r="AD509" s="66"/>
      <c r="AE509" s="67"/>
    </row>
    <row r="510">
      <c r="A510" s="41" t="s">
        <v>169</v>
      </c>
      <c r="B510" s="41" t="s">
        <v>67</v>
      </c>
      <c r="C510" s="68" t="s">
        <v>4769</v>
      </c>
      <c r="D510" s="69">
        <v>600663.0</v>
      </c>
      <c r="E510" s="41" t="s">
        <v>4518</v>
      </c>
      <c r="F510" s="41" t="s">
        <v>4765</v>
      </c>
      <c r="G510" s="41" t="s">
        <v>4766</v>
      </c>
      <c r="H510" s="31" t="s">
        <v>1421</v>
      </c>
      <c r="I510" s="104" t="s">
        <v>106</v>
      </c>
      <c r="J510" s="31" t="s">
        <v>146</v>
      </c>
      <c r="K510" s="31" t="s">
        <v>147</v>
      </c>
      <c r="L510" s="104" t="s">
        <v>1360</v>
      </c>
      <c r="M510" s="70">
        <v>45869.0</v>
      </c>
      <c r="N510" s="70" t="str">
        <f t="shared" si="289"/>
        <v>2025</v>
      </c>
      <c r="O510" s="70">
        <v>45874.0</v>
      </c>
      <c r="P510" s="71" t="str">
        <f t="shared" si="290"/>
        <v>2025</v>
      </c>
      <c r="Q510" s="73">
        <f t="shared" si="291"/>
        <v>5</v>
      </c>
      <c r="R510" s="73">
        <f t="shared" si="292"/>
        <v>0</v>
      </c>
      <c r="S510" s="41"/>
      <c r="T510" s="74"/>
      <c r="U510" s="75">
        <v>0.0</v>
      </c>
      <c r="V510" s="41"/>
      <c r="W510" s="41" t="s">
        <v>4768</v>
      </c>
      <c r="X510" s="41" t="s">
        <v>4768</v>
      </c>
      <c r="Y510" s="41" t="s">
        <v>2549</v>
      </c>
      <c r="Z510" s="31" t="s">
        <v>210</v>
      </c>
      <c r="AA510" s="31" t="s">
        <v>175</v>
      </c>
      <c r="AB510" s="104" t="s">
        <v>442</v>
      </c>
      <c r="AC510" s="46" t="s">
        <v>161</v>
      </c>
      <c r="AD510" s="77"/>
      <c r="AE510" s="78" t="s">
        <v>220</v>
      </c>
    </row>
    <row r="511">
      <c r="A511" s="61" t="s">
        <v>169</v>
      </c>
      <c r="B511" s="50" t="s">
        <v>67</v>
      </c>
      <c r="C511" s="82" t="s">
        <v>4771</v>
      </c>
      <c r="D511" s="94">
        <v>600662.0</v>
      </c>
      <c r="E511" s="61" t="s">
        <v>4519</v>
      </c>
      <c r="F511" s="61" t="s">
        <v>4772</v>
      </c>
      <c r="G511" s="61" t="s">
        <v>4773</v>
      </c>
      <c r="H511" s="50" t="s">
        <v>289</v>
      </c>
      <c r="I511" s="50" t="s">
        <v>106</v>
      </c>
      <c r="J511" s="50" t="s">
        <v>289</v>
      </c>
      <c r="K511" s="50" t="s">
        <v>289</v>
      </c>
      <c r="L511" s="50" t="s">
        <v>289</v>
      </c>
      <c r="M511" s="84">
        <v>45869.0</v>
      </c>
      <c r="N511" s="84" t="str">
        <f t="shared" si="289"/>
        <v>2025</v>
      </c>
      <c r="O511" s="84">
        <v>45883.0</v>
      </c>
      <c r="P511" s="184" t="str">
        <f t="shared" si="290"/>
        <v>2025</v>
      </c>
      <c r="Q511" s="86">
        <f t="shared" si="291"/>
        <v>14</v>
      </c>
      <c r="R511" s="86">
        <f t="shared" si="292"/>
        <v>0</v>
      </c>
      <c r="S511" s="61"/>
      <c r="T511" s="87"/>
      <c r="U511" s="96">
        <v>0.0</v>
      </c>
      <c r="V511" s="61"/>
      <c r="W511" s="174" t="s">
        <v>4774</v>
      </c>
      <c r="X511" s="174" t="s">
        <v>4775</v>
      </c>
      <c r="Y511" s="50" t="s">
        <v>161</v>
      </c>
      <c r="Z511" s="50" t="s">
        <v>289</v>
      </c>
      <c r="AA511" s="50" t="s">
        <v>289</v>
      </c>
      <c r="AB511" s="106" t="s">
        <v>442</v>
      </c>
      <c r="AC511" s="65" t="s">
        <v>161</v>
      </c>
      <c r="AD511" s="97"/>
      <c r="AE511" s="108" t="s">
        <v>220</v>
      </c>
    </row>
    <row r="512">
      <c r="A512" s="31" t="s">
        <v>64</v>
      </c>
      <c r="B512" s="31" t="s">
        <v>67</v>
      </c>
      <c r="C512" s="32" t="s">
        <v>4776</v>
      </c>
      <c r="D512" s="33">
        <v>600666.0</v>
      </c>
      <c r="E512" s="31" t="s">
        <v>2823</v>
      </c>
      <c r="F512" s="31" t="s">
        <v>2824</v>
      </c>
      <c r="G512" s="31" t="s">
        <v>2825</v>
      </c>
      <c r="H512" s="31" t="s">
        <v>1421</v>
      </c>
      <c r="I512" s="31" t="s">
        <v>106</v>
      </c>
      <c r="J512" s="31" t="s">
        <v>84</v>
      </c>
      <c r="K512" s="31" t="s">
        <v>84</v>
      </c>
      <c r="L512" s="31" t="s">
        <v>484</v>
      </c>
      <c r="M512" s="37">
        <v>45870.0</v>
      </c>
      <c r="N512" s="33">
        <v>2025.0</v>
      </c>
      <c r="O512" s="37">
        <v>46112.0</v>
      </c>
      <c r="P512" s="40">
        <v>2026.0</v>
      </c>
      <c r="Q512" s="40">
        <v>242.0</v>
      </c>
      <c r="R512" s="40">
        <v>1.0</v>
      </c>
      <c r="S512" s="41"/>
      <c r="T512" s="33" t="s">
        <v>113</v>
      </c>
      <c r="U512" s="75">
        <v>0.0</v>
      </c>
      <c r="V512" s="41"/>
      <c r="W512" s="31" t="s">
        <v>2827</v>
      </c>
      <c r="X512" s="31" t="s">
        <v>2827</v>
      </c>
      <c r="Y512" s="31" t="s">
        <v>740</v>
      </c>
      <c r="Z512" s="31" t="s">
        <v>210</v>
      </c>
      <c r="AA512" s="31" t="s">
        <v>211</v>
      </c>
      <c r="AB512" s="31" t="s">
        <v>124</v>
      </c>
      <c r="AC512" s="46" t="s">
        <v>161</v>
      </c>
      <c r="AD512" s="47"/>
      <c r="AE512" s="149" t="s">
        <v>220</v>
      </c>
    </row>
    <row r="513">
      <c r="A513" s="61" t="s">
        <v>64</v>
      </c>
      <c r="B513" s="50" t="s">
        <v>67</v>
      </c>
      <c r="C513" s="82" t="s">
        <v>4778</v>
      </c>
      <c r="D513" s="87">
        <v>600664.0</v>
      </c>
      <c r="E513" s="61" t="s">
        <v>1644</v>
      </c>
      <c r="F513" s="61" t="s">
        <v>3417</v>
      </c>
      <c r="G513" s="174" t="s">
        <v>4779</v>
      </c>
      <c r="H513" s="50" t="s">
        <v>1421</v>
      </c>
      <c r="I513" s="279" t="s">
        <v>708</v>
      </c>
      <c r="J513" s="80" t="s">
        <v>233</v>
      </c>
      <c r="K513" s="50" t="s">
        <v>236</v>
      </c>
      <c r="L513" s="50" t="s">
        <v>484</v>
      </c>
      <c r="M513" s="84">
        <v>45870.0</v>
      </c>
      <c r="N513" s="84" t="str">
        <f>right(M513,4)</f>
        <v>2025</v>
      </c>
      <c r="O513" s="84">
        <v>46239.0</v>
      </c>
      <c r="P513" s="85" t="str">
        <f>right(O513,4)</f>
        <v>2026</v>
      </c>
      <c r="Q513" s="287">
        <v>371.0</v>
      </c>
      <c r="R513" s="85">
        <f>DATEDIF(M513,O513,"y")</f>
        <v>1</v>
      </c>
      <c r="S513" s="61"/>
      <c r="T513" s="87"/>
      <c r="U513" s="62">
        <v>0.0</v>
      </c>
      <c r="V513" s="61"/>
      <c r="W513" s="61" t="s">
        <v>1648</v>
      </c>
      <c r="X513" s="61" t="s">
        <v>1648</v>
      </c>
      <c r="Y513" s="50" t="s">
        <v>161</v>
      </c>
      <c r="Z513" s="50" t="s">
        <v>261</v>
      </c>
      <c r="AA513" s="50" t="s">
        <v>123</v>
      </c>
      <c r="AB513" s="50" t="s">
        <v>4747</v>
      </c>
      <c r="AC513" s="65" t="s">
        <v>276</v>
      </c>
      <c r="AD513" s="66"/>
      <c r="AE513" s="67"/>
    </row>
    <row r="514">
      <c r="A514" s="31" t="s">
        <v>169</v>
      </c>
      <c r="B514" s="31" t="s">
        <v>67</v>
      </c>
      <c r="C514" s="32" t="s">
        <v>4781</v>
      </c>
      <c r="D514" s="113">
        <v>600665.0</v>
      </c>
      <c r="E514" s="31" t="s">
        <v>4520</v>
      </c>
      <c r="F514" s="31" t="s">
        <v>4782</v>
      </c>
      <c r="G514" s="31" t="s">
        <v>4783</v>
      </c>
      <c r="H514" s="31" t="s">
        <v>232</v>
      </c>
      <c r="I514" s="35" t="s">
        <v>708</v>
      </c>
      <c r="J514" s="31" t="s">
        <v>146</v>
      </c>
      <c r="K514" s="31" t="s">
        <v>236</v>
      </c>
      <c r="L514" s="31" t="s">
        <v>25</v>
      </c>
      <c r="M514" s="37">
        <v>45870.0</v>
      </c>
      <c r="N514" s="33">
        <v>2025.0</v>
      </c>
      <c r="O514" s="37">
        <v>45991.0</v>
      </c>
      <c r="P514" s="39">
        <v>2025.0</v>
      </c>
      <c r="Q514" s="40">
        <v>121.0</v>
      </c>
      <c r="R514" s="39">
        <v>1.0</v>
      </c>
      <c r="S514" s="41"/>
      <c r="T514" s="33" t="s">
        <v>113</v>
      </c>
      <c r="U514" s="288">
        <v>0.0</v>
      </c>
      <c r="V514" s="41"/>
      <c r="W514" s="31" t="s">
        <v>2544</v>
      </c>
      <c r="X514" s="31" t="s">
        <v>2544</v>
      </c>
      <c r="Y514" s="31" t="s">
        <v>243</v>
      </c>
      <c r="Z514" s="101" t="s">
        <v>247</v>
      </c>
      <c r="AA514" s="31" t="s">
        <v>65</v>
      </c>
      <c r="AB514" s="31" t="s">
        <v>1499</v>
      </c>
      <c r="AC514" s="46" t="s">
        <v>164</v>
      </c>
      <c r="AD514" s="46" t="s">
        <v>251</v>
      </c>
      <c r="AE514" s="111" t="s">
        <v>220</v>
      </c>
    </row>
    <row r="515">
      <c r="A515" s="50" t="s">
        <v>169</v>
      </c>
      <c r="B515" s="50" t="s">
        <v>19</v>
      </c>
      <c r="C515" s="52" t="s">
        <v>4784</v>
      </c>
      <c r="D515" s="54">
        <v>600194.0</v>
      </c>
      <c r="E515" s="50" t="s">
        <v>4521</v>
      </c>
      <c r="F515" s="50" t="s">
        <v>3353</v>
      </c>
      <c r="G515" s="50" t="s">
        <v>2687</v>
      </c>
      <c r="H515" s="50" t="s">
        <v>178</v>
      </c>
      <c r="I515" s="106" t="s">
        <v>104</v>
      </c>
      <c r="J515" s="50" t="s">
        <v>84</v>
      </c>
      <c r="K515" s="106" t="s">
        <v>1809</v>
      </c>
      <c r="L515" s="50" t="s">
        <v>181</v>
      </c>
      <c r="M515" s="57">
        <v>45873.0</v>
      </c>
      <c r="N515" s="54">
        <v>2025.0</v>
      </c>
      <c r="O515" s="57">
        <v>46601.0</v>
      </c>
      <c r="P515" s="59">
        <v>2027.0</v>
      </c>
      <c r="Q515" s="60">
        <v>728.0</v>
      </c>
      <c r="R515" s="59">
        <v>2.0</v>
      </c>
      <c r="S515" s="61"/>
      <c r="T515" s="54" t="s">
        <v>113</v>
      </c>
      <c r="U515" s="96">
        <v>1.0</v>
      </c>
      <c r="V515" s="61"/>
      <c r="W515" s="159" t="s">
        <v>2420</v>
      </c>
      <c r="X515" s="159" t="s">
        <v>2420</v>
      </c>
      <c r="Y515" s="50" t="s">
        <v>161</v>
      </c>
      <c r="Z515" s="50" t="s">
        <v>122</v>
      </c>
      <c r="AA515" s="50" t="s">
        <v>65</v>
      </c>
      <c r="AB515" s="50" t="s">
        <v>621</v>
      </c>
      <c r="AC515" s="65" t="s">
        <v>276</v>
      </c>
      <c r="AD515" s="200"/>
      <c r="AE515" s="120"/>
    </row>
    <row r="516">
      <c r="A516" s="31" t="s">
        <v>64</v>
      </c>
      <c r="B516" s="31" t="s">
        <v>19</v>
      </c>
      <c r="C516" s="32" t="s">
        <v>4786</v>
      </c>
      <c r="D516" s="33">
        <v>600677.0</v>
      </c>
      <c r="E516" s="31" t="s">
        <v>910</v>
      </c>
      <c r="F516" s="31" t="s">
        <v>3437</v>
      </c>
      <c r="G516" s="31" t="s">
        <v>3438</v>
      </c>
      <c r="H516" s="31" t="s">
        <v>232</v>
      </c>
      <c r="I516" s="35" t="s">
        <v>104</v>
      </c>
      <c r="J516" s="31" t="s">
        <v>146</v>
      </c>
      <c r="K516" s="31" t="s">
        <v>147</v>
      </c>
      <c r="L516" s="31" t="s">
        <v>105</v>
      </c>
      <c r="M516" s="37">
        <v>45873.0</v>
      </c>
      <c r="N516" s="33">
        <v>2025.0</v>
      </c>
      <c r="O516" s="37">
        <v>46554.0</v>
      </c>
      <c r="P516" s="40">
        <v>2027.0</v>
      </c>
      <c r="Q516" s="40">
        <v>681.0</v>
      </c>
      <c r="R516" s="40">
        <v>2.0</v>
      </c>
      <c r="S516" s="41"/>
      <c r="T516" s="33" t="s">
        <v>269</v>
      </c>
      <c r="U516" s="75">
        <v>2.0</v>
      </c>
      <c r="V516" s="31" t="s">
        <v>4787</v>
      </c>
      <c r="W516" s="31" t="s">
        <v>3447</v>
      </c>
      <c r="X516" s="31" t="s">
        <v>3447</v>
      </c>
      <c r="Y516" s="31" t="s">
        <v>2418</v>
      </c>
      <c r="Z516" s="31" t="s">
        <v>210</v>
      </c>
      <c r="AA516" s="31" t="s">
        <v>123</v>
      </c>
      <c r="AB516" s="31" t="s">
        <v>741</v>
      </c>
      <c r="AC516" s="46" t="s">
        <v>128</v>
      </c>
      <c r="AD516" s="47"/>
      <c r="AE516" s="49"/>
    </row>
    <row r="517">
      <c r="A517" s="50" t="s">
        <v>64</v>
      </c>
      <c r="B517" s="50" t="s">
        <v>19</v>
      </c>
      <c r="C517" s="52" t="s">
        <v>4789</v>
      </c>
      <c r="D517" s="54">
        <v>600667.0</v>
      </c>
      <c r="E517" s="50" t="s">
        <v>995</v>
      </c>
      <c r="F517" s="50" t="s">
        <v>3477</v>
      </c>
      <c r="G517" s="50" t="s">
        <v>3478</v>
      </c>
      <c r="H517" s="50" t="s">
        <v>232</v>
      </c>
      <c r="I517" s="56" t="s">
        <v>104</v>
      </c>
      <c r="J517" s="50" t="s">
        <v>146</v>
      </c>
      <c r="K517" s="50" t="s">
        <v>147</v>
      </c>
      <c r="L517" s="50" t="s">
        <v>181</v>
      </c>
      <c r="M517" s="57">
        <v>45874.0</v>
      </c>
      <c r="N517" s="54">
        <v>2025.0</v>
      </c>
      <c r="O517" s="57">
        <v>46603.0</v>
      </c>
      <c r="P517" s="60">
        <v>2027.0</v>
      </c>
      <c r="Q517" s="60">
        <v>729.0</v>
      </c>
      <c r="R517" s="60">
        <v>2.0</v>
      </c>
      <c r="S517" s="61"/>
      <c r="T517" s="54" t="s">
        <v>269</v>
      </c>
      <c r="U517" s="96">
        <v>1.0</v>
      </c>
      <c r="V517" s="61"/>
      <c r="W517" s="50" t="s">
        <v>3485</v>
      </c>
      <c r="X517" s="50" t="s">
        <v>3485</v>
      </c>
      <c r="Y517" s="50" t="s">
        <v>161</v>
      </c>
      <c r="Z517" s="50" t="s">
        <v>210</v>
      </c>
      <c r="AA517" s="50" t="s">
        <v>14</v>
      </c>
      <c r="AB517" s="50" t="s">
        <v>876</v>
      </c>
      <c r="AC517" s="65" t="s">
        <v>337</v>
      </c>
      <c r="AD517" s="66"/>
      <c r="AE517" s="67"/>
    </row>
    <row r="518">
      <c r="A518" s="41" t="s">
        <v>64</v>
      </c>
      <c r="B518" s="41" t="s">
        <v>19</v>
      </c>
      <c r="C518" s="68" t="s">
        <v>4791</v>
      </c>
      <c r="D518" s="74">
        <v>600670.0</v>
      </c>
      <c r="E518" s="41" t="s">
        <v>3409</v>
      </c>
      <c r="F518" s="41" t="s">
        <v>3410</v>
      </c>
      <c r="G518" s="41" t="s">
        <v>3411</v>
      </c>
      <c r="H518" s="101" t="s">
        <v>232</v>
      </c>
      <c r="I518" s="269" t="s">
        <v>104</v>
      </c>
      <c r="J518" s="101" t="s">
        <v>146</v>
      </c>
      <c r="K518" s="289" t="s">
        <v>84</v>
      </c>
      <c r="L518" s="101" t="s">
        <v>484</v>
      </c>
      <c r="M518" s="290">
        <v>45877.0</v>
      </c>
      <c r="N518" s="290" t="str">
        <f t="shared" ref="N518:N521" si="293">right(M518,4)</f>
        <v>2025</v>
      </c>
      <c r="O518" s="290">
        <v>46249.0</v>
      </c>
      <c r="P518" s="291" t="str">
        <f t="shared" ref="P518:P521" si="294">right(O518,4)</f>
        <v>2026</v>
      </c>
      <c r="Q518" s="291">
        <f t="shared" ref="Q518:Q521" si="295">DATEDIF(M518,O518,"d")</f>
        <v>372</v>
      </c>
      <c r="R518" s="291">
        <f t="shared" ref="R518:R521" si="296">DATEDIF(M518,O518,"y")</f>
        <v>1</v>
      </c>
      <c r="S518" s="289"/>
      <c r="T518" s="292"/>
      <c r="U518" s="75">
        <v>0.0</v>
      </c>
      <c r="V518" s="41"/>
      <c r="W518" s="41" t="s">
        <v>3416</v>
      </c>
      <c r="X518" s="41" t="s">
        <v>3416</v>
      </c>
      <c r="Y518" s="41" t="s">
        <v>2418</v>
      </c>
      <c r="Z518" s="31" t="s">
        <v>122</v>
      </c>
      <c r="AA518" s="31" t="s">
        <v>38</v>
      </c>
      <c r="AB518" s="31" t="s">
        <v>124</v>
      </c>
      <c r="AC518" s="46" t="s">
        <v>337</v>
      </c>
      <c r="AD518" s="47"/>
      <c r="AE518" s="49"/>
    </row>
    <row r="519">
      <c r="A519" s="61" t="s">
        <v>64</v>
      </c>
      <c r="B519" s="61" t="s">
        <v>19</v>
      </c>
      <c r="C519" s="82" t="s">
        <v>4792</v>
      </c>
      <c r="D519" s="87">
        <v>600671.0</v>
      </c>
      <c r="E519" s="61" t="s">
        <v>893</v>
      </c>
      <c r="F519" s="61" t="s">
        <v>3734</v>
      </c>
      <c r="G519" s="174" t="s">
        <v>4793</v>
      </c>
      <c r="H519" s="106" t="s">
        <v>232</v>
      </c>
      <c r="I519" s="279" t="s">
        <v>104</v>
      </c>
      <c r="J519" s="279" t="s">
        <v>84</v>
      </c>
      <c r="K519" s="106" t="s">
        <v>84</v>
      </c>
      <c r="L519" s="50" t="s">
        <v>25</v>
      </c>
      <c r="M519" s="84">
        <v>45877.0</v>
      </c>
      <c r="N519" s="84" t="str">
        <f t="shared" si="293"/>
        <v>2025</v>
      </c>
      <c r="O519" s="84">
        <v>46280.0</v>
      </c>
      <c r="P519" s="85" t="str">
        <f t="shared" si="294"/>
        <v>2026</v>
      </c>
      <c r="Q519" s="86">
        <f t="shared" si="295"/>
        <v>403</v>
      </c>
      <c r="R519" s="85">
        <f t="shared" si="296"/>
        <v>1</v>
      </c>
      <c r="S519" s="61"/>
      <c r="T519" s="87"/>
      <c r="U519" s="62">
        <v>0.0</v>
      </c>
      <c r="V519" s="61"/>
      <c r="W519" s="61" t="s">
        <v>3744</v>
      </c>
      <c r="X519" s="61" t="s">
        <v>3744</v>
      </c>
      <c r="Y519" s="61" t="s">
        <v>86</v>
      </c>
      <c r="Z519" s="50" t="s">
        <v>261</v>
      </c>
      <c r="AA519" s="50" t="s">
        <v>123</v>
      </c>
      <c r="AB519" s="50" t="s">
        <v>124</v>
      </c>
      <c r="AC519" s="65" t="s">
        <v>161</v>
      </c>
      <c r="AD519" s="66"/>
      <c r="AE519" s="67"/>
    </row>
    <row r="520">
      <c r="A520" s="41" t="s">
        <v>64</v>
      </c>
      <c r="B520" s="31" t="s">
        <v>67</v>
      </c>
      <c r="C520" s="68" t="s">
        <v>4795</v>
      </c>
      <c r="D520" s="280" t="s">
        <v>4796</v>
      </c>
      <c r="E520" s="41" t="s">
        <v>3503</v>
      </c>
      <c r="F520" s="41" t="s">
        <v>3505</v>
      </c>
      <c r="G520" s="41" t="s">
        <v>3506</v>
      </c>
      <c r="H520" s="31" t="s">
        <v>1421</v>
      </c>
      <c r="I520" s="104" t="s">
        <v>106</v>
      </c>
      <c r="J520" s="31" t="s">
        <v>146</v>
      </c>
      <c r="K520" s="31" t="s">
        <v>147</v>
      </c>
      <c r="L520" s="31" t="s">
        <v>484</v>
      </c>
      <c r="M520" s="70">
        <v>45881.0</v>
      </c>
      <c r="N520" s="70" t="str">
        <f t="shared" si="293"/>
        <v>2025</v>
      </c>
      <c r="O520" s="70">
        <v>45972.0</v>
      </c>
      <c r="P520" s="73" t="str">
        <f t="shared" si="294"/>
        <v>2025</v>
      </c>
      <c r="Q520" s="73">
        <f t="shared" si="295"/>
        <v>91</v>
      </c>
      <c r="R520" s="73">
        <f t="shared" si="296"/>
        <v>0</v>
      </c>
      <c r="S520" s="41"/>
      <c r="T520" s="74"/>
      <c r="U520" s="75">
        <v>0.0</v>
      </c>
      <c r="V520" s="41"/>
      <c r="W520" s="41" t="s">
        <v>3513</v>
      </c>
      <c r="X520" s="41" t="s">
        <v>3513</v>
      </c>
      <c r="Y520" s="31" t="s">
        <v>161</v>
      </c>
      <c r="Z520" s="31" t="s">
        <v>210</v>
      </c>
      <c r="AA520" s="31" t="s">
        <v>211</v>
      </c>
      <c r="AB520" s="31" t="s">
        <v>768</v>
      </c>
      <c r="AC520" s="46" t="s">
        <v>164</v>
      </c>
      <c r="AD520" s="46"/>
      <c r="AE520" s="78" t="s">
        <v>220</v>
      </c>
    </row>
    <row r="521">
      <c r="A521" s="61" t="s">
        <v>169</v>
      </c>
      <c r="B521" s="61" t="s">
        <v>67</v>
      </c>
      <c r="C521" s="82" t="s">
        <v>4797</v>
      </c>
      <c r="D521" s="94">
        <v>600672.0</v>
      </c>
      <c r="E521" s="61" t="s">
        <v>4524</v>
      </c>
      <c r="F521" s="61" t="s">
        <v>4798</v>
      </c>
      <c r="G521" s="61" t="s">
        <v>4799</v>
      </c>
      <c r="H521" s="50" t="s">
        <v>1421</v>
      </c>
      <c r="I521" s="50" t="s">
        <v>106</v>
      </c>
      <c r="J521" s="50" t="s">
        <v>146</v>
      </c>
      <c r="K521" s="50" t="s">
        <v>147</v>
      </c>
      <c r="L521" s="50" t="s">
        <v>289</v>
      </c>
      <c r="M521" s="84">
        <v>45881.0</v>
      </c>
      <c r="N521" s="84" t="str">
        <f t="shared" si="293"/>
        <v>2025</v>
      </c>
      <c r="O521" s="84">
        <v>45891.0</v>
      </c>
      <c r="P521" s="184" t="str">
        <f t="shared" si="294"/>
        <v>2025</v>
      </c>
      <c r="Q521" s="86">
        <f t="shared" si="295"/>
        <v>10</v>
      </c>
      <c r="R521" s="86">
        <f t="shared" si="296"/>
        <v>0</v>
      </c>
      <c r="S521" s="61"/>
      <c r="T521" s="87"/>
      <c r="U521" s="96">
        <v>0.0</v>
      </c>
      <c r="V521" s="61" t="s">
        <v>106</v>
      </c>
      <c r="W521" s="61" t="s">
        <v>4800</v>
      </c>
      <c r="X521" s="61" t="s">
        <v>4800</v>
      </c>
      <c r="Y521" s="50" t="s">
        <v>2103</v>
      </c>
      <c r="Z521" s="50" t="s">
        <v>210</v>
      </c>
      <c r="AA521" s="50" t="s">
        <v>289</v>
      </c>
      <c r="AB521" s="106" t="s">
        <v>442</v>
      </c>
      <c r="AC521" s="65" t="s">
        <v>161</v>
      </c>
      <c r="AD521" s="97"/>
      <c r="AE521" s="108" t="s">
        <v>220</v>
      </c>
    </row>
    <row r="522">
      <c r="A522" s="31" t="s">
        <v>64</v>
      </c>
      <c r="B522" s="31" t="s">
        <v>19</v>
      </c>
      <c r="C522" s="32" t="s">
        <v>4801</v>
      </c>
      <c r="D522" s="33">
        <v>600673.0</v>
      </c>
      <c r="E522" s="31" t="s">
        <v>4525</v>
      </c>
      <c r="F522" s="31" t="s">
        <v>3423</v>
      </c>
      <c r="G522" s="31" t="s">
        <v>3424</v>
      </c>
      <c r="H522" s="31" t="s">
        <v>232</v>
      </c>
      <c r="I522" s="104" t="s">
        <v>104</v>
      </c>
      <c r="J522" s="31" t="s">
        <v>146</v>
      </c>
      <c r="K522" s="104" t="s">
        <v>84</v>
      </c>
      <c r="L522" s="31" t="s">
        <v>484</v>
      </c>
      <c r="M522" s="37">
        <v>45887.0</v>
      </c>
      <c r="N522" s="33">
        <v>2025.0</v>
      </c>
      <c r="O522" s="37">
        <v>46584.0</v>
      </c>
      <c r="P522" s="39">
        <v>2027.0</v>
      </c>
      <c r="Q522" s="40">
        <v>697.0</v>
      </c>
      <c r="R522" s="39">
        <v>2.0</v>
      </c>
      <c r="S522" s="41"/>
      <c r="T522" s="33" t="s">
        <v>113</v>
      </c>
      <c r="U522" s="75">
        <v>1.0</v>
      </c>
      <c r="V522" s="41"/>
      <c r="W522" s="31" t="s">
        <v>3434</v>
      </c>
      <c r="X522" s="31" t="s">
        <v>3434</v>
      </c>
      <c r="Y522" s="31" t="s">
        <v>161</v>
      </c>
      <c r="Z522" s="31" t="s">
        <v>122</v>
      </c>
      <c r="AA522" s="31" t="s">
        <v>14</v>
      </c>
      <c r="AB522" s="31" t="s">
        <v>124</v>
      </c>
      <c r="AC522" s="46" t="s">
        <v>337</v>
      </c>
      <c r="AD522" s="47"/>
      <c r="AE522" s="49"/>
    </row>
    <row r="523">
      <c r="A523" s="61" t="s">
        <v>169</v>
      </c>
      <c r="B523" s="61" t="s">
        <v>67</v>
      </c>
      <c r="C523" s="82" t="s">
        <v>4802</v>
      </c>
      <c r="D523" s="94">
        <v>600674.0</v>
      </c>
      <c r="E523" s="61" t="s">
        <v>4803</v>
      </c>
      <c r="F523" s="61" t="s">
        <v>4804</v>
      </c>
      <c r="G523" s="61" t="s">
        <v>4805</v>
      </c>
      <c r="H523" s="50" t="s">
        <v>178</v>
      </c>
      <c r="I523" s="97" t="s">
        <v>104</v>
      </c>
      <c r="J523" s="138" t="s">
        <v>84</v>
      </c>
      <c r="K523" s="50" t="s">
        <v>236</v>
      </c>
      <c r="L523" s="50" t="s">
        <v>181</v>
      </c>
      <c r="M523" s="84">
        <v>45887.0</v>
      </c>
      <c r="N523" s="84" t="str">
        <f t="shared" ref="N523:N524" si="297">right(M523,4)</f>
        <v>2025</v>
      </c>
      <c r="O523" s="84">
        <v>45918.0</v>
      </c>
      <c r="P523" s="95" t="str">
        <f t="shared" ref="P523:P524" si="298">right(O523,4)</f>
        <v>2025</v>
      </c>
      <c r="Q523" s="86">
        <f t="shared" ref="Q523:Q524" si="299">DATEDIF(M523,O523,"d")</f>
        <v>31</v>
      </c>
      <c r="R523" s="85">
        <f t="shared" ref="R523:R524" si="300">DATEDIF(M523,O523,"y")</f>
        <v>0</v>
      </c>
      <c r="S523" s="61"/>
      <c r="T523" s="87"/>
      <c r="U523" s="62">
        <v>0.0</v>
      </c>
      <c r="V523" s="61"/>
      <c r="W523" s="61" t="s">
        <v>4806</v>
      </c>
      <c r="X523" s="61" t="s">
        <v>4806</v>
      </c>
      <c r="Y523" s="61" t="s">
        <v>243</v>
      </c>
      <c r="Z523" s="80" t="s">
        <v>247</v>
      </c>
      <c r="AA523" s="50" t="s">
        <v>65</v>
      </c>
      <c r="AB523" s="50" t="s">
        <v>1499</v>
      </c>
      <c r="AC523" s="65" t="s">
        <v>164</v>
      </c>
      <c r="AD523" s="65" t="s">
        <v>251</v>
      </c>
      <c r="AE523" s="81" t="s">
        <v>220</v>
      </c>
    </row>
    <row r="524">
      <c r="A524" s="41" t="s">
        <v>64</v>
      </c>
      <c r="B524" s="41" t="s">
        <v>19</v>
      </c>
      <c r="C524" s="68" t="s">
        <v>4807</v>
      </c>
      <c r="D524" s="74">
        <v>600675.0</v>
      </c>
      <c r="E524" s="41" t="s">
        <v>3528</v>
      </c>
      <c r="F524" s="41" t="s">
        <v>3529</v>
      </c>
      <c r="G524" s="41" t="s">
        <v>3530</v>
      </c>
      <c r="H524" s="31" t="s">
        <v>232</v>
      </c>
      <c r="I524" s="104" t="s">
        <v>708</v>
      </c>
      <c r="J524" s="31" t="s">
        <v>146</v>
      </c>
      <c r="K524" s="31" t="s">
        <v>147</v>
      </c>
      <c r="L524" s="31" t="s">
        <v>181</v>
      </c>
      <c r="M524" s="70">
        <v>45888.0</v>
      </c>
      <c r="N524" s="70" t="str">
        <f t="shared" si="297"/>
        <v>2025</v>
      </c>
      <c r="O524" s="70">
        <v>46252.0</v>
      </c>
      <c r="P524" s="73" t="str">
        <f t="shared" si="298"/>
        <v>2026</v>
      </c>
      <c r="Q524" s="73">
        <f t="shared" si="299"/>
        <v>364</v>
      </c>
      <c r="R524" s="73">
        <f t="shared" si="300"/>
        <v>0</v>
      </c>
      <c r="S524" s="41"/>
      <c r="T524" s="74"/>
      <c r="U524" s="75">
        <v>0.0</v>
      </c>
      <c r="V524" s="41"/>
      <c r="W524" s="41" t="s">
        <v>3540</v>
      </c>
      <c r="X524" s="41" t="s">
        <v>3540</v>
      </c>
      <c r="Y524" s="31" t="s">
        <v>161</v>
      </c>
      <c r="Z524" s="31" t="s">
        <v>210</v>
      </c>
      <c r="AA524" s="31" t="s">
        <v>14</v>
      </c>
      <c r="AB524" s="31" t="s">
        <v>124</v>
      </c>
      <c r="AC524" s="46" t="s">
        <v>337</v>
      </c>
      <c r="AD524" s="47"/>
      <c r="AE524" s="49"/>
    </row>
    <row r="525">
      <c r="A525" s="50" t="s">
        <v>64</v>
      </c>
      <c r="B525" s="50" t="s">
        <v>19</v>
      </c>
      <c r="C525" s="52" t="s">
        <v>4809</v>
      </c>
      <c r="D525" s="256">
        <v>600368.0</v>
      </c>
      <c r="E525" s="50" t="s">
        <v>3456</v>
      </c>
      <c r="F525" s="50" t="s">
        <v>3458</v>
      </c>
      <c r="G525" s="50" t="s">
        <v>3459</v>
      </c>
      <c r="H525" s="50" t="s">
        <v>232</v>
      </c>
      <c r="I525" s="106" t="s">
        <v>104</v>
      </c>
      <c r="J525" s="50" t="s">
        <v>84</v>
      </c>
      <c r="K525" s="106" t="s">
        <v>84</v>
      </c>
      <c r="L525" s="50" t="s">
        <v>181</v>
      </c>
      <c r="M525" s="57">
        <v>45890.0</v>
      </c>
      <c r="N525" s="54">
        <v>2025.0</v>
      </c>
      <c r="O525" s="57">
        <v>46618.0</v>
      </c>
      <c r="P525" s="59">
        <v>2027.0</v>
      </c>
      <c r="Q525" s="60">
        <v>728.0</v>
      </c>
      <c r="R525" s="59">
        <v>2.0</v>
      </c>
      <c r="S525" s="61"/>
      <c r="T525" s="54" t="s">
        <v>113</v>
      </c>
      <c r="U525" s="96">
        <v>1.0</v>
      </c>
      <c r="V525" s="61"/>
      <c r="W525" s="50" t="s">
        <v>3468</v>
      </c>
      <c r="X525" s="50" t="s">
        <v>3468</v>
      </c>
      <c r="Y525" s="50" t="s">
        <v>161</v>
      </c>
      <c r="Z525" s="50" t="s">
        <v>122</v>
      </c>
      <c r="AA525" s="50" t="s">
        <v>123</v>
      </c>
      <c r="AB525" s="50" t="s">
        <v>768</v>
      </c>
      <c r="AC525" s="65" t="s">
        <v>276</v>
      </c>
      <c r="AD525" s="65"/>
      <c r="AE525" s="81"/>
    </row>
    <row r="526">
      <c r="A526" s="31" t="s">
        <v>64</v>
      </c>
      <c r="B526" s="31" t="s">
        <v>19</v>
      </c>
      <c r="C526" s="32" t="s">
        <v>4810</v>
      </c>
      <c r="D526" s="33" t="s">
        <v>4811</v>
      </c>
      <c r="E526" s="31" t="s">
        <v>3490</v>
      </c>
      <c r="F526" s="31" t="s">
        <v>3492</v>
      </c>
      <c r="G526" s="31" t="s">
        <v>3493</v>
      </c>
      <c r="H526" s="31" t="s">
        <v>232</v>
      </c>
      <c r="I526" s="104" t="s">
        <v>104</v>
      </c>
      <c r="J526" s="104" t="s">
        <v>84</v>
      </c>
      <c r="K526" s="104" t="s">
        <v>84</v>
      </c>
      <c r="L526" s="31" t="s">
        <v>105</v>
      </c>
      <c r="M526" s="37">
        <v>45891.0</v>
      </c>
      <c r="N526" s="33">
        <v>2025.0</v>
      </c>
      <c r="O526" s="37">
        <v>46527.0</v>
      </c>
      <c r="P526" s="39">
        <v>2027.0</v>
      </c>
      <c r="Q526" s="40">
        <v>636.0</v>
      </c>
      <c r="R526" s="39">
        <v>2.0</v>
      </c>
      <c r="S526" s="31" t="s">
        <v>1522</v>
      </c>
      <c r="T526" s="33" t="s">
        <v>269</v>
      </c>
      <c r="U526" s="75">
        <v>1.0</v>
      </c>
      <c r="V526" s="41"/>
      <c r="W526" s="31" t="s">
        <v>3499</v>
      </c>
      <c r="X526" s="31" t="s">
        <v>3499</v>
      </c>
      <c r="Y526" s="31" t="s">
        <v>161</v>
      </c>
      <c r="Z526" s="31" t="s">
        <v>122</v>
      </c>
      <c r="AA526" s="31" t="s">
        <v>123</v>
      </c>
      <c r="AB526" s="31" t="s">
        <v>124</v>
      </c>
      <c r="AC526" s="46" t="s">
        <v>276</v>
      </c>
      <c r="AD526" s="47"/>
      <c r="AE526" s="49"/>
    </row>
    <row r="527">
      <c r="A527" s="61" t="s">
        <v>64</v>
      </c>
      <c r="B527" s="61" t="s">
        <v>67</v>
      </c>
      <c r="C527" s="82" t="s">
        <v>4812</v>
      </c>
      <c r="D527" s="83"/>
      <c r="E527" s="61" t="s">
        <v>3517</v>
      </c>
      <c r="F527" s="61" t="s">
        <v>3518</v>
      </c>
      <c r="G527" s="61" t="s">
        <v>3519</v>
      </c>
      <c r="H527" s="50" t="s">
        <v>1421</v>
      </c>
      <c r="I527" s="97" t="s">
        <v>106</v>
      </c>
      <c r="J527" s="106" t="s">
        <v>233</v>
      </c>
      <c r="K527" s="106" t="s">
        <v>84</v>
      </c>
      <c r="L527" s="106" t="s">
        <v>484</v>
      </c>
      <c r="M527" s="84">
        <v>45895.0</v>
      </c>
      <c r="N527" s="84" t="str">
        <f>right(M527,4)</f>
        <v>2025</v>
      </c>
      <c r="O527" s="84">
        <v>45905.0</v>
      </c>
      <c r="P527" s="85" t="str">
        <f>right(O527,4)</f>
        <v>2025</v>
      </c>
      <c r="Q527" s="86">
        <f>DATEDIF(M527,O527,"d")</f>
        <v>10</v>
      </c>
      <c r="R527" s="85">
        <f>DATEDIF(M527,O527,"y")</f>
        <v>0</v>
      </c>
      <c r="S527" s="61"/>
      <c r="T527" s="87"/>
      <c r="U527" s="96">
        <v>0.0</v>
      </c>
      <c r="V527" s="61"/>
      <c r="W527" s="61" t="s">
        <v>3523</v>
      </c>
      <c r="X527" s="61" t="s">
        <v>3525</v>
      </c>
      <c r="Y527" s="50" t="s">
        <v>161</v>
      </c>
      <c r="Z527" s="50" t="s">
        <v>122</v>
      </c>
      <c r="AA527" s="112" t="s">
        <v>211</v>
      </c>
      <c r="AB527" s="50" t="s">
        <v>175</v>
      </c>
      <c r="AC527" s="65" t="s">
        <v>161</v>
      </c>
      <c r="AD527" s="66"/>
      <c r="AE527" s="108" t="s">
        <v>220</v>
      </c>
    </row>
    <row r="528">
      <c r="A528" s="31" t="s">
        <v>64</v>
      </c>
      <c r="B528" s="31" t="s">
        <v>19</v>
      </c>
      <c r="C528" s="32" t="s">
        <v>4814</v>
      </c>
      <c r="D528" s="33">
        <v>600425.0</v>
      </c>
      <c r="E528" s="31" t="s">
        <v>746</v>
      </c>
      <c r="F528" s="31" t="s">
        <v>3544</v>
      </c>
      <c r="G528" s="31" t="s">
        <v>3546</v>
      </c>
      <c r="H528" s="31" t="s">
        <v>232</v>
      </c>
      <c r="I528" s="104" t="s">
        <v>104</v>
      </c>
      <c r="J528" s="31" t="s">
        <v>146</v>
      </c>
      <c r="K528" s="104" t="s">
        <v>84</v>
      </c>
      <c r="L528" s="31" t="s">
        <v>105</v>
      </c>
      <c r="M528" s="37">
        <v>45896.0</v>
      </c>
      <c r="N528" s="33">
        <v>2025.0</v>
      </c>
      <c r="O528" s="37">
        <v>46569.0</v>
      </c>
      <c r="P528" s="39">
        <v>2027.0</v>
      </c>
      <c r="Q528" s="40">
        <v>673.0</v>
      </c>
      <c r="R528" s="39">
        <v>2.0</v>
      </c>
      <c r="S528" s="41"/>
      <c r="T528" s="33" t="s">
        <v>269</v>
      </c>
      <c r="U528" s="75">
        <v>1.0</v>
      </c>
      <c r="V528" s="41"/>
      <c r="W528" s="31" t="s">
        <v>3553</v>
      </c>
      <c r="X528" s="31" t="s">
        <v>3553</v>
      </c>
      <c r="Y528" s="31" t="s">
        <v>86</v>
      </c>
      <c r="Z528" s="31" t="s">
        <v>122</v>
      </c>
      <c r="AA528" s="31" t="s">
        <v>65</v>
      </c>
      <c r="AB528" s="31" t="s">
        <v>124</v>
      </c>
      <c r="AC528" s="46" t="s">
        <v>164</v>
      </c>
      <c r="AD528" s="47"/>
      <c r="AE528" s="49"/>
    </row>
    <row r="529">
      <c r="A529" s="61" t="s">
        <v>64</v>
      </c>
      <c r="B529" s="61" t="s">
        <v>67</v>
      </c>
      <c r="C529" s="82" t="s">
        <v>4815</v>
      </c>
      <c r="D529" s="87">
        <v>600680.0</v>
      </c>
      <c r="E529" s="61" t="s">
        <v>3556</v>
      </c>
      <c r="F529" s="61" t="s">
        <v>3558</v>
      </c>
      <c r="G529" s="61" t="s">
        <v>3559</v>
      </c>
      <c r="H529" s="50" t="s">
        <v>1421</v>
      </c>
      <c r="I529" s="97" t="s">
        <v>106</v>
      </c>
      <c r="J529" s="106" t="s">
        <v>84</v>
      </c>
      <c r="K529" s="106" t="s">
        <v>84</v>
      </c>
      <c r="L529" s="106" t="s">
        <v>484</v>
      </c>
      <c r="M529" s="84">
        <v>45897.0</v>
      </c>
      <c r="N529" s="84" t="str">
        <f t="shared" ref="N529:N531" si="301">right(M529,4)</f>
        <v>2025</v>
      </c>
      <c r="O529" s="84">
        <v>45930.0</v>
      </c>
      <c r="P529" s="85" t="str">
        <f t="shared" ref="P529:P531" si="302">right(O529,4)</f>
        <v>2025</v>
      </c>
      <c r="Q529" s="86">
        <f t="shared" ref="Q529:Q531" si="303">DATEDIF(M529,O529,"d")</f>
        <v>33</v>
      </c>
      <c r="R529" s="85">
        <f t="shared" ref="R529:R531" si="304">DATEDIF(M529,O529,"y")</f>
        <v>0</v>
      </c>
      <c r="S529" s="61"/>
      <c r="T529" s="87"/>
      <c r="U529" s="96">
        <v>0.0</v>
      </c>
      <c r="V529" s="61"/>
      <c r="W529" s="61" t="s">
        <v>3567</v>
      </c>
      <c r="X529" s="61" t="s">
        <v>3567</v>
      </c>
      <c r="Y529" s="61" t="s">
        <v>2429</v>
      </c>
      <c r="Z529" s="50" t="s">
        <v>122</v>
      </c>
      <c r="AA529" s="112" t="s">
        <v>211</v>
      </c>
      <c r="AB529" s="50" t="s">
        <v>124</v>
      </c>
      <c r="AC529" s="65" t="s">
        <v>161</v>
      </c>
      <c r="AD529" s="97"/>
      <c r="AE529" s="108" t="s">
        <v>220</v>
      </c>
    </row>
    <row r="530">
      <c r="A530" s="41" t="s">
        <v>169</v>
      </c>
      <c r="B530" s="41" t="s">
        <v>67</v>
      </c>
      <c r="C530" s="68" t="s">
        <v>4817</v>
      </c>
      <c r="D530" s="69">
        <v>600681.0</v>
      </c>
      <c r="E530" s="41" t="s">
        <v>4528</v>
      </c>
      <c r="F530" s="41" t="s">
        <v>4818</v>
      </c>
      <c r="G530" s="41" t="s">
        <v>4819</v>
      </c>
      <c r="H530" s="31" t="s">
        <v>178</v>
      </c>
      <c r="I530" s="104" t="s">
        <v>106</v>
      </c>
      <c r="J530" s="31" t="s">
        <v>146</v>
      </c>
      <c r="K530" s="41" t="s">
        <v>84</v>
      </c>
      <c r="L530" s="104" t="s">
        <v>4684</v>
      </c>
      <c r="M530" s="70">
        <v>45898.0</v>
      </c>
      <c r="N530" s="70" t="str">
        <f t="shared" si="301"/>
        <v>2025</v>
      </c>
      <c r="O530" s="70">
        <v>45910.0</v>
      </c>
      <c r="P530" s="102" t="str">
        <f t="shared" si="302"/>
        <v>2025</v>
      </c>
      <c r="Q530" s="73">
        <f t="shared" si="303"/>
        <v>12</v>
      </c>
      <c r="R530" s="93">
        <f t="shared" si="304"/>
        <v>0</v>
      </c>
      <c r="S530" s="41"/>
      <c r="T530" s="74"/>
      <c r="U530" s="75">
        <v>0.0</v>
      </c>
      <c r="V530" s="41"/>
      <c r="W530" s="41" t="s">
        <v>4820</v>
      </c>
      <c r="X530" s="41" t="s">
        <v>4820</v>
      </c>
      <c r="Y530" s="104" t="s">
        <v>2799</v>
      </c>
      <c r="Z530" s="101" t="s">
        <v>122</v>
      </c>
      <c r="AA530" s="31" t="s">
        <v>65</v>
      </c>
      <c r="AB530" s="31" t="s">
        <v>4747</v>
      </c>
      <c r="AC530" s="46" t="s">
        <v>161</v>
      </c>
      <c r="AD530" s="46"/>
      <c r="AE530" s="78" t="s">
        <v>220</v>
      </c>
    </row>
    <row r="531">
      <c r="A531" s="61" t="s">
        <v>64</v>
      </c>
      <c r="B531" s="50" t="s">
        <v>67</v>
      </c>
      <c r="C531" s="82" t="s">
        <v>4822</v>
      </c>
      <c r="D531" s="256" t="s">
        <v>4823</v>
      </c>
      <c r="E531" s="61" t="s">
        <v>3611</v>
      </c>
      <c r="F531" s="61" t="s">
        <v>3612</v>
      </c>
      <c r="G531" s="61" t="s">
        <v>3613</v>
      </c>
      <c r="H531" s="50" t="s">
        <v>232</v>
      </c>
      <c r="I531" s="97" t="s">
        <v>106</v>
      </c>
      <c r="J531" s="138" t="s">
        <v>84</v>
      </c>
      <c r="K531" s="61" t="s">
        <v>84</v>
      </c>
      <c r="L531" s="50" t="s">
        <v>484</v>
      </c>
      <c r="M531" s="84">
        <v>45903.0</v>
      </c>
      <c r="N531" s="84" t="str">
        <f t="shared" si="301"/>
        <v>2025</v>
      </c>
      <c r="O531" s="84">
        <v>45961.0</v>
      </c>
      <c r="P531" s="86" t="str">
        <f t="shared" si="302"/>
        <v>2025</v>
      </c>
      <c r="Q531" s="86">
        <f t="shared" si="303"/>
        <v>58</v>
      </c>
      <c r="R531" s="86">
        <f t="shared" si="304"/>
        <v>0</v>
      </c>
      <c r="S531" s="61"/>
      <c r="T531" s="87"/>
      <c r="U531" s="96">
        <v>0.0</v>
      </c>
      <c r="V531" s="61" t="s">
        <v>3619</v>
      </c>
      <c r="W531" s="61" t="s">
        <v>3623</v>
      </c>
      <c r="X531" s="61" t="s">
        <v>3623</v>
      </c>
      <c r="Y531" s="61" t="s">
        <v>2799</v>
      </c>
      <c r="Z531" s="50" t="s">
        <v>210</v>
      </c>
      <c r="AA531" s="50" t="s">
        <v>211</v>
      </c>
      <c r="AB531" s="50" t="s">
        <v>741</v>
      </c>
      <c r="AC531" s="65" t="s">
        <v>161</v>
      </c>
      <c r="AD531" s="66"/>
      <c r="AE531" s="108" t="s">
        <v>220</v>
      </c>
    </row>
    <row r="532">
      <c r="A532" s="31" t="s">
        <v>64</v>
      </c>
      <c r="B532" s="31" t="s">
        <v>19</v>
      </c>
      <c r="C532" s="32" t="s">
        <v>4824</v>
      </c>
      <c r="D532" s="271">
        <v>800018.0</v>
      </c>
      <c r="E532" s="31" t="s">
        <v>4529</v>
      </c>
      <c r="F532" s="31" t="s">
        <v>3583</v>
      </c>
      <c r="G532" s="31" t="s">
        <v>1816</v>
      </c>
      <c r="H532" s="31" t="s">
        <v>232</v>
      </c>
      <c r="I532" s="104" t="s">
        <v>104</v>
      </c>
      <c r="J532" s="104" t="s">
        <v>84</v>
      </c>
      <c r="K532" s="104" t="s">
        <v>84</v>
      </c>
      <c r="L532" s="104" t="s">
        <v>181</v>
      </c>
      <c r="M532" s="37">
        <v>45904.0</v>
      </c>
      <c r="N532" s="33">
        <v>2025.0</v>
      </c>
      <c r="O532" s="37">
        <v>46388.0</v>
      </c>
      <c r="P532" s="39">
        <v>2027.0</v>
      </c>
      <c r="Q532" s="40">
        <v>484.0</v>
      </c>
      <c r="R532" s="39">
        <v>2.0</v>
      </c>
      <c r="S532" s="41"/>
      <c r="T532" s="33" t="s">
        <v>113</v>
      </c>
      <c r="U532" s="75">
        <v>0.0</v>
      </c>
      <c r="V532" s="41"/>
      <c r="W532" s="31" t="s">
        <v>3586</v>
      </c>
      <c r="X532" s="31" t="s">
        <v>3586</v>
      </c>
      <c r="Y532" s="31" t="s">
        <v>2103</v>
      </c>
      <c r="Z532" s="31" t="s">
        <v>122</v>
      </c>
      <c r="AA532" s="31" t="s">
        <v>65</v>
      </c>
      <c r="AB532" s="31" t="s">
        <v>124</v>
      </c>
      <c r="AC532" s="46" t="s">
        <v>161</v>
      </c>
      <c r="AD532" s="47"/>
      <c r="AE532" s="78"/>
    </row>
    <row r="533">
      <c r="A533" s="50" t="s">
        <v>169</v>
      </c>
      <c r="B533" s="50" t="s">
        <v>67</v>
      </c>
      <c r="C533" s="52" t="s">
        <v>4826</v>
      </c>
      <c r="D533" s="79">
        <v>600683.0</v>
      </c>
      <c r="E533" s="50" t="s">
        <v>606</v>
      </c>
      <c r="F533" s="50" t="s">
        <v>4827</v>
      </c>
      <c r="G533" s="50" t="s">
        <v>4828</v>
      </c>
      <c r="H533" s="50" t="s">
        <v>232</v>
      </c>
      <c r="I533" s="56" t="s">
        <v>708</v>
      </c>
      <c r="J533" s="50" t="s">
        <v>146</v>
      </c>
      <c r="K533" s="50" t="s">
        <v>84</v>
      </c>
      <c r="L533" s="50" t="s">
        <v>105</v>
      </c>
      <c r="M533" s="57">
        <v>45908.0</v>
      </c>
      <c r="N533" s="54">
        <v>2025.0</v>
      </c>
      <c r="O533" s="57">
        <v>45976.0</v>
      </c>
      <c r="P533" s="59">
        <v>2025.0</v>
      </c>
      <c r="Q533" s="60">
        <v>68.0</v>
      </c>
      <c r="R533" s="59">
        <v>1.0</v>
      </c>
      <c r="S533" s="61"/>
      <c r="T533" s="54" t="s">
        <v>113</v>
      </c>
      <c r="U533" s="62">
        <v>0.0</v>
      </c>
      <c r="V533" s="61"/>
      <c r="W533" s="50" t="s">
        <v>4830</v>
      </c>
      <c r="X533" s="50" t="s">
        <v>4830</v>
      </c>
      <c r="Y533" s="50" t="s">
        <v>2442</v>
      </c>
      <c r="Z533" s="80" t="s">
        <v>247</v>
      </c>
      <c r="AA533" s="50" t="s">
        <v>123</v>
      </c>
      <c r="AB533" s="50" t="s">
        <v>249</v>
      </c>
      <c r="AC533" s="65" t="s">
        <v>164</v>
      </c>
      <c r="AD533" s="65" t="s">
        <v>251</v>
      </c>
      <c r="AE533" s="81" t="s">
        <v>220</v>
      </c>
    </row>
    <row r="534">
      <c r="A534" s="31" t="s">
        <v>169</v>
      </c>
      <c r="B534" s="31" t="s">
        <v>19</v>
      </c>
      <c r="C534" s="32" t="s">
        <v>4831</v>
      </c>
      <c r="D534" s="33">
        <v>600194.0</v>
      </c>
      <c r="E534" s="31" t="s">
        <v>302</v>
      </c>
      <c r="F534" s="31" t="s">
        <v>3596</v>
      </c>
      <c r="G534" s="31" t="s">
        <v>3597</v>
      </c>
      <c r="H534" s="31" t="s">
        <v>178</v>
      </c>
      <c r="I534" s="104" t="s">
        <v>104</v>
      </c>
      <c r="J534" s="104" t="s">
        <v>84</v>
      </c>
      <c r="K534" s="104" t="s">
        <v>84</v>
      </c>
      <c r="L534" s="31" t="s">
        <v>105</v>
      </c>
      <c r="M534" s="37">
        <v>45909.0</v>
      </c>
      <c r="N534" s="33">
        <v>2025.0</v>
      </c>
      <c r="O534" s="37">
        <v>46273.0</v>
      </c>
      <c r="P534" s="39">
        <v>2026.0</v>
      </c>
      <c r="Q534" s="40">
        <v>364.0</v>
      </c>
      <c r="R534" s="39">
        <v>1.0</v>
      </c>
      <c r="S534" s="41"/>
      <c r="T534" s="33" t="s">
        <v>113</v>
      </c>
      <c r="U534" s="75">
        <v>0.0</v>
      </c>
      <c r="V534" s="41"/>
      <c r="W534" s="150" t="s">
        <v>4833</v>
      </c>
      <c r="X534" s="150" t="s">
        <v>4833</v>
      </c>
      <c r="Y534" s="31" t="s">
        <v>161</v>
      </c>
      <c r="Z534" s="31" t="s">
        <v>122</v>
      </c>
      <c r="AA534" s="31" t="s">
        <v>123</v>
      </c>
      <c r="AB534" s="31" t="s">
        <v>621</v>
      </c>
      <c r="AC534" s="46" t="s">
        <v>128</v>
      </c>
      <c r="AD534" s="295" t="s">
        <v>295</v>
      </c>
      <c r="AE534" s="99"/>
    </row>
    <row r="535">
      <c r="A535" s="50" t="s">
        <v>407</v>
      </c>
      <c r="B535" s="50" t="s">
        <v>19</v>
      </c>
      <c r="C535" s="52" t="s">
        <v>4834</v>
      </c>
      <c r="D535" s="79">
        <v>600688.0</v>
      </c>
      <c r="E535" s="50" t="s">
        <v>980</v>
      </c>
      <c r="F535" s="50" t="s">
        <v>4836</v>
      </c>
      <c r="G535" s="50" t="s">
        <v>4837</v>
      </c>
      <c r="H535" s="50" t="s">
        <v>178</v>
      </c>
      <c r="I535" s="56" t="s">
        <v>104</v>
      </c>
      <c r="J535" s="50" t="s">
        <v>146</v>
      </c>
      <c r="K535" s="50" t="s">
        <v>147</v>
      </c>
      <c r="L535" s="50" t="s">
        <v>484</v>
      </c>
      <c r="M535" s="57">
        <v>45910.0</v>
      </c>
      <c r="N535" s="54">
        <v>2025.0</v>
      </c>
      <c r="O535" s="57">
        <v>46381.0</v>
      </c>
      <c r="P535" s="60">
        <v>2026.0</v>
      </c>
      <c r="Q535" s="60">
        <v>471.0</v>
      </c>
      <c r="R535" s="60">
        <v>2.0</v>
      </c>
      <c r="S535" s="61"/>
      <c r="T535" s="54" t="s">
        <v>113</v>
      </c>
      <c r="U535" s="62">
        <v>0.0</v>
      </c>
      <c r="V535" s="50" t="s">
        <v>4838</v>
      </c>
      <c r="W535" s="50" t="s">
        <v>4839</v>
      </c>
      <c r="X535" s="50" t="s">
        <v>4839</v>
      </c>
      <c r="Y535" s="50" t="s">
        <v>2103</v>
      </c>
      <c r="Z535" s="50" t="s">
        <v>210</v>
      </c>
      <c r="AA535" s="50" t="s">
        <v>65</v>
      </c>
      <c r="AB535" s="106" t="s">
        <v>442</v>
      </c>
      <c r="AC535" s="65" t="s">
        <v>276</v>
      </c>
      <c r="AD535" s="97"/>
      <c r="AE535" s="131"/>
    </row>
    <row r="536">
      <c r="A536" s="41" t="s">
        <v>169</v>
      </c>
      <c r="B536" s="41" t="s">
        <v>19</v>
      </c>
      <c r="C536" s="68" t="s">
        <v>4840</v>
      </c>
      <c r="D536" s="74">
        <v>10755.0</v>
      </c>
      <c r="E536" s="41" t="s">
        <v>519</v>
      </c>
      <c r="F536" s="41" t="s">
        <v>3651</v>
      </c>
      <c r="G536" s="41" t="s">
        <v>3652</v>
      </c>
      <c r="H536" s="31" t="s">
        <v>178</v>
      </c>
      <c r="I536" s="91" t="s">
        <v>104</v>
      </c>
      <c r="J536" s="41" t="s">
        <v>84</v>
      </c>
      <c r="K536" s="41" t="s">
        <v>84</v>
      </c>
      <c r="L536" s="91" t="s">
        <v>25</v>
      </c>
      <c r="M536" s="70">
        <v>45912.0</v>
      </c>
      <c r="N536" s="70" t="str">
        <f>right(M536,4)</f>
        <v>2025</v>
      </c>
      <c r="O536" s="70">
        <v>46276.0</v>
      </c>
      <c r="P536" s="93" t="str">
        <f>right(O536,4)</f>
        <v>2026</v>
      </c>
      <c r="Q536" s="73">
        <f>DATEDIF(M536,O536,"d")</f>
        <v>364</v>
      </c>
      <c r="R536" s="93">
        <f>DATEDIF(M536,O536,"y")</f>
        <v>0</v>
      </c>
      <c r="S536" s="41"/>
      <c r="T536" s="74"/>
      <c r="U536" s="43">
        <v>0.0</v>
      </c>
      <c r="V536" s="41"/>
      <c r="W536" s="154" t="s">
        <v>4842</v>
      </c>
      <c r="X536" s="150" t="s">
        <v>4843</v>
      </c>
      <c r="Y536" s="31" t="s">
        <v>161</v>
      </c>
      <c r="Z536" s="31" t="s">
        <v>211</v>
      </c>
      <c r="AA536" s="31" t="s">
        <v>123</v>
      </c>
      <c r="AB536" s="31" t="s">
        <v>975</v>
      </c>
      <c r="AC536" s="46" t="s">
        <v>128</v>
      </c>
      <c r="AD536" s="46" t="s">
        <v>3269</v>
      </c>
      <c r="AE536" s="109"/>
    </row>
    <row r="537">
      <c r="A537" s="50" t="s">
        <v>64</v>
      </c>
      <c r="B537" s="50" t="s">
        <v>19</v>
      </c>
      <c r="C537" s="52" t="s">
        <v>4844</v>
      </c>
      <c r="D537" s="256">
        <v>600703.0</v>
      </c>
      <c r="E537" s="50" t="s">
        <v>88</v>
      </c>
      <c r="F537" s="50" t="s">
        <v>3670</v>
      </c>
      <c r="G537" s="50" t="s">
        <v>3671</v>
      </c>
      <c r="H537" s="50" t="s">
        <v>232</v>
      </c>
      <c r="I537" s="56" t="s">
        <v>708</v>
      </c>
      <c r="J537" s="50" t="s">
        <v>84</v>
      </c>
      <c r="K537" s="50" t="s">
        <v>84</v>
      </c>
      <c r="L537" s="50" t="s">
        <v>105</v>
      </c>
      <c r="M537" s="57">
        <v>45912.0</v>
      </c>
      <c r="N537" s="54">
        <v>2025.0</v>
      </c>
      <c r="O537" s="57">
        <v>46397.0</v>
      </c>
      <c r="P537" s="60">
        <v>2027.0</v>
      </c>
      <c r="Q537" s="60">
        <v>485.0</v>
      </c>
      <c r="R537" s="60">
        <v>2.0</v>
      </c>
      <c r="S537" s="61"/>
      <c r="T537" s="54" t="s">
        <v>113</v>
      </c>
      <c r="U537" s="96">
        <v>0.0</v>
      </c>
      <c r="V537" s="61"/>
      <c r="W537" s="50" t="s">
        <v>3677</v>
      </c>
      <c r="X537" s="50" t="s">
        <v>3677</v>
      </c>
      <c r="Y537" s="50" t="s">
        <v>1525</v>
      </c>
      <c r="Z537" s="50" t="s">
        <v>210</v>
      </c>
      <c r="AA537" s="50" t="s">
        <v>38</v>
      </c>
      <c r="AB537" s="50" t="s">
        <v>876</v>
      </c>
      <c r="AC537" s="65" t="s">
        <v>128</v>
      </c>
      <c r="AD537" s="66"/>
      <c r="AE537" s="67"/>
    </row>
    <row r="538">
      <c r="A538" s="31" t="s">
        <v>169</v>
      </c>
      <c r="B538" s="31" t="s">
        <v>19</v>
      </c>
      <c r="C538" s="32" t="s">
        <v>4845</v>
      </c>
      <c r="D538" s="113">
        <v>600691.0</v>
      </c>
      <c r="E538" s="31" t="s">
        <v>4531</v>
      </c>
      <c r="F538" s="31" t="s">
        <v>4846</v>
      </c>
      <c r="G538" s="31" t="s">
        <v>4847</v>
      </c>
      <c r="H538" s="31" t="s">
        <v>232</v>
      </c>
      <c r="I538" s="35" t="s">
        <v>104</v>
      </c>
      <c r="J538" s="31" t="s">
        <v>146</v>
      </c>
      <c r="K538" s="31" t="s">
        <v>147</v>
      </c>
      <c r="L538" s="31" t="s">
        <v>181</v>
      </c>
      <c r="M538" s="37">
        <v>45916.0</v>
      </c>
      <c r="N538" s="33">
        <v>2025.0</v>
      </c>
      <c r="O538" s="37">
        <v>46535.0</v>
      </c>
      <c r="P538" s="39">
        <v>2026.0</v>
      </c>
      <c r="Q538" s="40">
        <v>268.0</v>
      </c>
      <c r="R538" s="39">
        <v>1.0</v>
      </c>
      <c r="S538" s="41"/>
      <c r="T538" s="33" t="s">
        <v>113</v>
      </c>
      <c r="U538" s="43">
        <v>2.0</v>
      </c>
      <c r="V538" s="41"/>
      <c r="W538" s="31" t="s">
        <v>4848</v>
      </c>
      <c r="X538" s="31" t="s">
        <v>4848</v>
      </c>
      <c r="Y538" s="31" t="s">
        <v>2103</v>
      </c>
      <c r="Z538" s="101" t="s">
        <v>261</v>
      </c>
      <c r="AA538" s="31" t="s">
        <v>14</v>
      </c>
      <c r="AB538" s="31" t="s">
        <v>975</v>
      </c>
      <c r="AC538" s="46" t="s">
        <v>128</v>
      </c>
      <c r="AD538" s="77"/>
      <c r="AE538" s="149"/>
    </row>
    <row r="539">
      <c r="A539" s="61" t="s">
        <v>64</v>
      </c>
      <c r="B539" s="61" t="s">
        <v>19</v>
      </c>
      <c r="C539" s="82" t="s">
        <v>4849</v>
      </c>
      <c r="D539" s="87">
        <v>600692.0</v>
      </c>
      <c r="E539" s="61" t="s">
        <v>3680</v>
      </c>
      <c r="F539" s="61" t="s">
        <v>3681</v>
      </c>
      <c r="G539" s="61" t="s">
        <v>3682</v>
      </c>
      <c r="H539" s="50" t="s">
        <v>232</v>
      </c>
      <c r="I539" s="106" t="s">
        <v>708</v>
      </c>
      <c r="J539" s="50" t="s">
        <v>233</v>
      </c>
      <c r="K539" s="50" t="s">
        <v>236</v>
      </c>
      <c r="L539" s="50" t="s">
        <v>181</v>
      </c>
      <c r="M539" s="84">
        <v>45917.0</v>
      </c>
      <c r="N539" s="84" t="str">
        <f t="shared" ref="N539:N540" si="305">right(M539,4)</f>
        <v>2025</v>
      </c>
      <c r="O539" s="84">
        <v>46275.0</v>
      </c>
      <c r="P539" s="86" t="str">
        <f t="shared" ref="P539:P540" si="306">right(O539,4)</f>
        <v>2026</v>
      </c>
      <c r="Q539" s="86">
        <f t="shared" ref="Q539:Q540" si="307">DATEDIF(M539,O539,"d")</f>
        <v>358</v>
      </c>
      <c r="R539" s="86">
        <f t="shared" ref="R539:R540" si="308">DATEDIF(M539,O539,"y")</f>
        <v>0</v>
      </c>
      <c r="S539" s="61"/>
      <c r="T539" s="87"/>
      <c r="U539" s="96">
        <v>0.0</v>
      </c>
      <c r="V539" s="61"/>
      <c r="W539" s="61" t="s">
        <v>3687</v>
      </c>
      <c r="X539" s="61" t="s">
        <v>3687</v>
      </c>
      <c r="Y539" s="61" t="s">
        <v>2799</v>
      </c>
      <c r="Z539" s="50" t="s">
        <v>210</v>
      </c>
      <c r="AA539" s="50" t="s">
        <v>123</v>
      </c>
      <c r="AB539" s="50" t="s">
        <v>124</v>
      </c>
      <c r="AC539" s="65" t="s">
        <v>276</v>
      </c>
      <c r="AD539" s="66"/>
      <c r="AE539" s="67"/>
    </row>
    <row r="540">
      <c r="A540" s="41" t="s">
        <v>64</v>
      </c>
      <c r="B540" s="41" t="s">
        <v>19</v>
      </c>
      <c r="C540" s="68" t="s">
        <v>4850</v>
      </c>
      <c r="D540" s="74">
        <v>600702.0</v>
      </c>
      <c r="E540" s="41" t="s">
        <v>796</v>
      </c>
      <c r="F540" s="41" t="s">
        <v>3870</v>
      </c>
      <c r="G540" s="41" t="s">
        <v>3871</v>
      </c>
      <c r="H540" s="31" t="s">
        <v>232</v>
      </c>
      <c r="I540" s="104" t="s">
        <v>104</v>
      </c>
      <c r="J540" s="91" t="s">
        <v>84</v>
      </c>
      <c r="K540" s="104" t="s">
        <v>84</v>
      </c>
      <c r="L540" s="91" t="s">
        <v>25</v>
      </c>
      <c r="M540" s="70">
        <v>45918.0</v>
      </c>
      <c r="N540" s="70" t="str">
        <f t="shared" si="305"/>
        <v>2025</v>
      </c>
      <c r="O540" s="70">
        <v>46282.0</v>
      </c>
      <c r="P540" s="93" t="str">
        <f t="shared" si="306"/>
        <v>2026</v>
      </c>
      <c r="Q540" s="73">
        <f t="shared" si="307"/>
        <v>364</v>
      </c>
      <c r="R540" s="93">
        <f t="shared" si="308"/>
        <v>0</v>
      </c>
      <c r="S540" s="41"/>
      <c r="T540" s="74"/>
      <c r="U540" s="75">
        <v>0.0</v>
      </c>
      <c r="V540" s="41"/>
      <c r="W540" s="41" t="s">
        <v>3875</v>
      </c>
      <c r="X540" s="41" t="s">
        <v>3875</v>
      </c>
      <c r="Y540" s="31" t="s">
        <v>161</v>
      </c>
      <c r="Z540" s="31" t="s">
        <v>211</v>
      </c>
      <c r="AA540" s="31" t="s">
        <v>38</v>
      </c>
      <c r="AB540" s="31" t="s">
        <v>876</v>
      </c>
      <c r="AC540" s="46" t="s">
        <v>161</v>
      </c>
      <c r="AD540" s="77"/>
      <c r="AE540" s="111"/>
    </row>
    <row r="541">
      <c r="A541" s="50" t="s">
        <v>64</v>
      </c>
      <c r="B541" s="50" t="s">
        <v>19</v>
      </c>
      <c r="C541" s="52" t="s">
        <v>4851</v>
      </c>
      <c r="D541" s="54">
        <v>600695.0</v>
      </c>
      <c r="E541" s="50" t="s">
        <v>845</v>
      </c>
      <c r="F541" s="50" t="s">
        <v>3625</v>
      </c>
      <c r="G541" s="50" t="s">
        <v>3626</v>
      </c>
      <c r="H541" s="50" t="s">
        <v>232</v>
      </c>
      <c r="I541" s="106" t="s">
        <v>104</v>
      </c>
      <c r="J541" s="50" t="s">
        <v>146</v>
      </c>
      <c r="K541" s="106" t="s">
        <v>84</v>
      </c>
      <c r="L541" s="50" t="s">
        <v>105</v>
      </c>
      <c r="M541" s="57">
        <v>45929.0</v>
      </c>
      <c r="N541" s="54">
        <v>2025.0</v>
      </c>
      <c r="O541" s="57">
        <v>46599.0</v>
      </c>
      <c r="P541" s="59">
        <v>2027.0</v>
      </c>
      <c r="Q541" s="60">
        <v>670.0</v>
      </c>
      <c r="R541" s="59">
        <v>2.0</v>
      </c>
      <c r="S541" s="61"/>
      <c r="T541" s="54" t="s">
        <v>269</v>
      </c>
      <c r="U541" s="96">
        <v>1.0</v>
      </c>
      <c r="V541" s="61"/>
      <c r="W541" s="50" t="s">
        <v>3634</v>
      </c>
      <c r="X541" s="50" t="s">
        <v>3634</v>
      </c>
      <c r="Y541" s="50" t="s">
        <v>2103</v>
      </c>
      <c r="Z541" s="50" t="s">
        <v>122</v>
      </c>
      <c r="AA541" s="50" t="s">
        <v>14</v>
      </c>
      <c r="AB541" s="50" t="s">
        <v>124</v>
      </c>
      <c r="AC541" s="65" t="s">
        <v>337</v>
      </c>
      <c r="AD541" s="66"/>
      <c r="AE541" s="67"/>
    </row>
    <row r="542">
      <c r="A542" s="31" t="s">
        <v>64</v>
      </c>
      <c r="B542" s="31" t="s">
        <v>19</v>
      </c>
      <c r="C542" s="32" t="s">
        <v>4852</v>
      </c>
      <c r="D542" s="33">
        <v>600696.0</v>
      </c>
      <c r="E542" s="31" t="s">
        <v>849</v>
      </c>
      <c r="F542" s="31" t="s">
        <v>3638</v>
      </c>
      <c r="G542" s="31" t="s">
        <v>3639</v>
      </c>
      <c r="H542" s="31" t="s">
        <v>232</v>
      </c>
      <c r="I542" s="104" t="s">
        <v>104</v>
      </c>
      <c r="J542" s="31" t="s">
        <v>146</v>
      </c>
      <c r="K542" s="104" t="s">
        <v>84</v>
      </c>
      <c r="L542" s="31" t="s">
        <v>25</v>
      </c>
      <c r="M542" s="37">
        <v>45929.0</v>
      </c>
      <c r="N542" s="33">
        <v>2025.0</v>
      </c>
      <c r="O542" s="37">
        <v>46296.0</v>
      </c>
      <c r="P542" s="39">
        <v>2026.0</v>
      </c>
      <c r="Q542" s="40">
        <v>367.0</v>
      </c>
      <c r="R542" s="39">
        <v>2.0</v>
      </c>
      <c r="S542" s="41"/>
      <c r="T542" s="33" t="s">
        <v>113</v>
      </c>
      <c r="U542" s="75">
        <v>0.0</v>
      </c>
      <c r="V542" s="41"/>
      <c r="W542" s="31" t="s">
        <v>3647</v>
      </c>
      <c r="X542" s="31" t="s">
        <v>3647</v>
      </c>
      <c r="Y542" s="31" t="s">
        <v>86</v>
      </c>
      <c r="Z542" s="31" t="s">
        <v>122</v>
      </c>
      <c r="AA542" s="31" t="s">
        <v>123</v>
      </c>
      <c r="AB542" s="31" t="s">
        <v>2254</v>
      </c>
      <c r="AC542" s="46" t="s">
        <v>276</v>
      </c>
      <c r="AD542" s="47"/>
      <c r="AE542" s="49"/>
    </row>
    <row r="543">
      <c r="A543" s="50" t="s">
        <v>64</v>
      </c>
      <c r="B543" s="50" t="s">
        <v>19</v>
      </c>
      <c r="C543" s="52" t="s">
        <v>4853</v>
      </c>
      <c r="D543" s="54">
        <v>600697.0</v>
      </c>
      <c r="E543" s="50" t="s">
        <v>977</v>
      </c>
      <c r="F543" s="50" t="s">
        <v>3694</v>
      </c>
      <c r="G543" s="50" t="s">
        <v>3695</v>
      </c>
      <c r="H543" s="50" t="s">
        <v>1421</v>
      </c>
      <c r="I543" s="106" t="s">
        <v>104</v>
      </c>
      <c r="J543" s="106" t="s">
        <v>146</v>
      </c>
      <c r="K543" s="106" t="s">
        <v>4854</v>
      </c>
      <c r="L543" s="50" t="s">
        <v>181</v>
      </c>
      <c r="M543" s="57">
        <v>45930.0</v>
      </c>
      <c r="N543" s="54">
        <v>2025.0</v>
      </c>
      <c r="O543" s="57">
        <v>46295.0</v>
      </c>
      <c r="P543" s="59">
        <v>2026.0</v>
      </c>
      <c r="Q543" s="60">
        <v>365.0</v>
      </c>
      <c r="R543" s="59">
        <v>1.0</v>
      </c>
      <c r="S543" s="61"/>
      <c r="T543" s="54" t="s">
        <v>113</v>
      </c>
      <c r="U543" s="96">
        <v>0.0</v>
      </c>
      <c r="V543" s="61"/>
      <c r="W543" s="50" t="s">
        <v>3702</v>
      </c>
      <c r="X543" s="50" t="s">
        <v>3702</v>
      </c>
      <c r="Y543" s="50" t="s">
        <v>2429</v>
      </c>
      <c r="Z543" s="50" t="s">
        <v>122</v>
      </c>
      <c r="AA543" s="50" t="s">
        <v>123</v>
      </c>
      <c r="AB543" s="50" t="s">
        <v>124</v>
      </c>
      <c r="AC543" s="65" t="s">
        <v>128</v>
      </c>
      <c r="AD543" s="65" t="s">
        <v>3263</v>
      </c>
      <c r="AE543" s="81"/>
    </row>
    <row r="544">
      <c r="A544" s="31" t="s">
        <v>169</v>
      </c>
      <c r="B544" s="31" t="s">
        <v>19</v>
      </c>
      <c r="C544" s="32" t="s">
        <v>4855</v>
      </c>
      <c r="D544" s="113">
        <v>600699.0</v>
      </c>
      <c r="E544" s="31" t="s">
        <v>1046</v>
      </c>
      <c r="F544" s="31" t="s">
        <v>4856</v>
      </c>
      <c r="G544" s="31" t="s">
        <v>4857</v>
      </c>
      <c r="H544" s="31" t="s">
        <v>232</v>
      </c>
      <c r="I544" s="35" t="s">
        <v>104</v>
      </c>
      <c r="J544" s="31" t="s">
        <v>146</v>
      </c>
      <c r="K544" s="31" t="s">
        <v>84</v>
      </c>
      <c r="L544" s="31" t="s">
        <v>181</v>
      </c>
      <c r="M544" s="37">
        <v>45932.0</v>
      </c>
      <c r="N544" s="33">
        <v>2025.0</v>
      </c>
      <c r="O544" s="37">
        <v>46583.0</v>
      </c>
      <c r="P544" s="39">
        <v>2027.0</v>
      </c>
      <c r="Q544" s="40">
        <v>651.0</v>
      </c>
      <c r="R544" s="39">
        <v>2.0</v>
      </c>
      <c r="S544" s="41"/>
      <c r="T544" s="33" t="s">
        <v>113</v>
      </c>
      <c r="U544" s="43">
        <v>1.0</v>
      </c>
      <c r="V544" s="31"/>
      <c r="W544" s="31" t="s">
        <v>4859</v>
      </c>
      <c r="X544" s="31" t="s">
        <v>4859</v>
      </c>
      <c r="Y544" s="31" t="s">
        <v>2103</v>
      </c>
      <c r="Z544" s="101" t="s">
        <v>210</v>
      </c>
      <c r="AA544" s="31" t="s">
        <v>123</v>
      </c>
      <c r="AB544" s="31" t="s">
        <v>975</v>
      </c>
      <c r="AC544" s="46" t="s">
        <v>128</v>
      </c>
      <c r="AD544" s="46"/>
      <c r="AE544" s="149"/>
    </row>
    <row r="545">
      <c r="A545" s="50" t="s">
        <v>169</v>
      </c>
      <c r="B545" s="50" t="s">
        <v>67</v>
      </c>
      <c r="C545" s="52" t="s">
        <v>4860</v>
      </c>
      <c r="D545" s="79">
        <v>600700.0</v>
      </c>
      <c r="E545" s="50" t="s">
        <v>4537</v>
      </c>
      <c r="F545" s="50" t="s">
        <v>4861</v>
      </c>
      <c r="G545" s="50" t="s">
        <v>4862</v>
      </c>
      <c r="H545" s="50" t="s">
        <v>178</v>
      </c>
      <c r="I545" s="50" t="s">
        <v>106</v>
      </c>
      <c r="J545" s="50" t="s">
        <v>84</v>
      </c>
      <c r="K545" s="50" t="s">
        <v>84</v>
      </c>
      <c r="L545" s="50" t="s">
        <v>181</v>
      </c>
      <c r="M545" s="57">
        <v>45936.0</v>
      </c>
      <c r="N545" s="54">
        <v>2025.0</v>
      </c>
      <c r="O545" s="57">
        <v>45992.0</v>
      </c>
      <c r="P545" s="59">
        <v>2025.0</v>
      </c>
      <c r="Q545" s="60">
        <v>56.0</v>
      </c>
      <c r="R545" s="59">
        <v>1.0</v>
      </c>
      <c r="S545" s="61"/>
      <c r="T545" s="54" t="s">
        <v>113</v>
      </c>
      <c r="U545" s="62">
        <v>0.0</v>
      </c>
      <c r="V545" s="61"/>
      <c r="W545" s="50" t="s">
        <v>4864</v>
      </c>
      <c r="X545" s="50" t="s">
        <v>4864</v>
      </c>
      <c r="Y545" s="50" t="s">
        <v>161</v>
      </c>
      <c r="Z545" s="50" t="s">
        <v>261</v>
      </c>
      <c r="AA545" s="50" t="s">
        <v>211</v>
      </c>
      <c r="AB545" s="50" t="s">
        <v>213</v>
      </c>
      <c r="AC545" s="65" t="s">
        <v>161</v>
      </c>
      <c r="AD545" s="97"/>
      <c r="AE545" s="108" t="s">
        <v>220</v>
      </c>
    </row>
    <row r="546">
      <c r="A546" s="41" t="s">
        <v>64</v>
      </c>
      <c r="B546" s="41" t="s">
        <v>19</v>
      </c>
      <c r="C546" s="68" t="s">
        <v>4866</v>
      </c>
      <c r="D546" s="74">
        <v>600712.0</v>
      </c>
      <c r="E546" s="41" t="s">
        <v>970</v>
      </c>
      <c r="F546" s="41" t="s">
        <v>3709</v>
      </c>
      <c r="G546" s="41" t="s">
        <v>3710</v>
      </c>
      <c r="H546" s="31" t="s">
        <v>1421</v>
      </c>
      <c r="I546" s="104" t="s">
        <v>104</v>
      </c>
      <c r="J546" s="104" t="s">
        <v>146</v>
      </c>
      <c r="K546" s="104" t="s">
        <v>4854</v>
      </c>
      <c r="L546" s="31" t="s">
        <v>105</v>
      </c>
      <c r="M546" s="70">
        <v>45938.0</v>
      </c>
      <c r="N546" s="70" t="str">
        <f>right(M546,4)</f>
        <v>2025</v>
      </c>
      <c r="O546" s="70">
        <v>46303.0</v>
      </c>
      <c r="P546" s="93" t="str">
        <f>right(O546,4)</f>
        <v>2026</v>
      </c>
      <c r="Q546" s="73">
        <f>DATEDIF(M546,O546,"d")</f>
        <v>365</v>
      </c>
      <c r="R546" s="93">
        <f>DATEDIF(M546,O546,"y")</f>
        <v>1</v>
      </c>
      <c r="S546" s="41"/>
      <c r="T546" s="74"/>
      <c r="U546" s="75">
        <v>0.0</v>
      </c>
      <c r="V546" s="41"/>
      <c r="W546" s="41" t="s">
        <v>3716</v>
      </c>
      <c r="X546" s="41" t="s">
        <v>3716</v>
      </c>
      <c r="Y546" s="41" t="s">
        <v>2429</v>
      </c>
      <c r="Z546" s="31" t="s">
        <v>122</v>
      </c>
      <c r="AA546" s="31" t="s">
        <v>123</v>
      </c>
      <c r="AB546" s="31" t="s">
        <v>124</v>
      </c>
      <c r="AC546" s="46" t="s">
        <v>128</v>
      </c>
      <c r="AD546" s="47"/>
      <c r="AE546" s="49"/>
    </row>
    <row r="547">
      <c r="A547" s="50" t="s">
        <v>169</v>
      </c>
      <c r="B547" s="50" t="s">
        <v>67</v>
      </c>
      <c r="C547" s="52" t="s">
        <v>4868</v>
      </c>
      <c r="D547" s="79">
        <v>600706.0</v>
      </c>
      <c r="E547" s="50" t="s">
        <v>4539</v>
      </c>
      <c r="F547" s="50" t="s">
        <v>4869</v>
      </c>
      <c r="G547" s="50" t="s">
        <v>4870</v>
      </c>
      <c r="H547" s="50" t="s">
        <v>232</v>
      </c>
      <c r="I547" s="279" t="s">
        <v>106</v>
      </c>
      <c r="J547" s="50" t="s">
        <v>84</v>
      </c>
      <c r="K547" s="50" t="s">
        <v>84</v>
      </c>
      <c r="L547" s="50" t="s">
        <v>25</v>
      </c>
      <c r="M547" s="57">
        <v>45943.0</v>
      </c>
      <c r="N547" s="54">
        <v>2025.0</v>
      </c>
      <c r="O547" s="57">
        <v>45961.0</v>
      </c>
      <c r="P547" s="59">
        <v>2025.0</v>
      </c>
      <c r="Q547" s="60">
        <v>18.0</v>
      </c>
      <c r="R547" s="59">
        <v>1.0</v>
      </c>
      <c r="S547" s="61"/>
      <c r="T547" s="54" t="s">
        <v>113</v>
      </c>
      <c r="U547" s="96">
        <v>0.0</v>
      </c>
      <c r="V547" s="61"/>
      <c r="W547" s="159" t="s">
        <v>4871</v>
      </c>
      <c r="X547" s="159" t="s">
        <v>4871</v>
      </c>
      <c r="Y547" s="50" t="s">
        <v>161</v>
      </c>
      <c r="Z547" s="50" t="s">
        <v>261</v>
      </c>
      <c r="AA547" s="50" t="s">
        <v>211</v>
      </c>
      <c r="AB547" s="50" t="s">
        <v>213</v>
      </c>
      <c r="AC547" s="65" t="s">
        <v>161</v>
      </c>
      <c r="AD547" s="97"/>
      <c r="AE547" s="108" t="s">
        <v>220</v>
      </c>
    </row>
    <row r="548">
      <c r="A548" s="31" t="s">
        <v>169</v>
      </c>
      <c r="B548" s="31" t="s">
        <v>19</v>
      </c>
      <c r="C548" s="32" t="s">
        <v>4872</v>
      </c>
      <c r="D548" s="113">
        <v>600705.0</v>
      </c>
      <c r="E548" s="31" t="s">
        <v>825</v>
      </c>
      <c r="F548" s="31" t="s">
        <v>4873</v>
      </c>
      <c r="G548" s="31" t="s">
        <v>4874</v>
      </c>
      <c r="H548" s="31" t="s">
        <v>178</v>
      </c>
      <c r="I548" s="31" t="s">
        <v>708</v>
      </c>
      <c r="J548" s="31" t="s">
        <v>84</v>
      </c>
      <c r="K548" s="31" t="s">
        <v>84</v>
      </c>
      <c r="L548" s="31" t="s">
        <v>25</v>
      </c>
      <c r="M548" s="37">
        <v>45943.0</v>
      </c>
      <c r="N548" s="33">
        <v>2025.0</v>
      </c>
      <c r="O548" s="37">
        <v>46295.0</v>
      </c>
      <c r="P548" s="39">
        <v>2026.0</v>
      </c>
      <c r="Q548" s="40">
        <v>352.0</v>
      </c>
      <c r="R548" s="39">
        <v>1.0</v>
      </c>
      <c r="S548" s="41"/>
      <c r="T548" s="33" t="s">
        <v>113</v>
      </c>
      <c r="U548" s="43">
        <v>1.0</v>
      </c>
      <c r="V548" s="41"/>
      <c r="W548" s="150" t="s">
        <v>4875</v>
      </c>
      <c r="X548" s="150" t="s">
        <v>4875</v>
      </c>
      <c r="Y548" s="31" t="s">
        <v>161</v>
      </c>
      <c r="Z548" s="31" t="s">
        <v>211</v>
      </c>
      <c r="AA548" s="31" t="s">
        <v>123</v>
      </c>
      <c r="AB548" s="31" t="s">
        <v>249</v>
      </c>
      <c r="AC548" s="46" t="s">
        <v>164</v>
      </c>
      <c r="AD548" s="46"/>
      <c r="AE548" s="78"/>
    </row>
    <row r="549">
      <c r="A549" s="61" t="s">
        <v>64</v>
      </c>
      <c r="B549" s="61" t="s">
        <v>19</v>
      </c>
      <c r="C549" s="82" t="s">
        <v>4876</v>
      </c>
      <c r="D549" s="87">
        <v>600704.0</v>
      </c>
      <c r="E549" s="61" t="s">
        <v>806</v>
      </c>
      <c r="F549" s="61" t="s">
        <v>3781</v>
      </c>
      <c r="G549" s="61" t="s">
        <v>3782</v>
      </c>
      <c r="H549" s="50" t="s">
        <v>232</v>
      </c>
      <c r="I549" s="56" t="s">
        <v>104</v>
      </c>
      <c r="J549" s="50" t="s">
        <v>146</v>
      </c>
      <c r="K549" s="50" t="s">
        <v>147</v>
      </c>
      <c r="L549" s="50" t="s">
        <v>484</v>
      </c>
      <c r="M549" s="84">
        <v>45944.0</v>
      </c>
      <c r="N549" s="84" t="str">
        <f t="shared" ref="N549:N552" si="309">right(M549,4)</f>
        <v>2025</v>
      </c>
      <c r="O549" s="84">
        <v>46676.0</v>
      </c>
      <c r="P549" s="86" t="str">
        <f t="shared" ref="P549:P552" si="310">right(O549,4)</f>
        <v>2027</v>
      </c>
      <c r="Q549" s="86">
        <f t="shared" ref="Q549:Q552" si="311">DATEDIF(M549,O549,"d")</f>
        <v>732</v>
      </c>
      <c r="R549" s="86">
        <f t="shared" ref="R549:R552" si="312">DATEDIF(M549,O549,"y")</f>
        <v>2</v>
      </c>
      <c r="S549" s="61"/>
      <c r="T549" s="87"/>
      <c r="U549" s="96">
        <v>0.0</v>
      </c>
      <c r="V549" s="61"/>
      <c r="W549" s="61" t="s">
        <v>3788</v>
      </c>
      <c r="X549" s="61" t="s">
        <v>3788</v>
      </c>
      <c r="Y549" s="61" t="s">
        <v>2418</v>
      </c>
      <c r="Z549" s="50" t="s">
        <v>210</v>
      </c>
      <c r="AA549" s="50" t="s">
        <v>14</v>
      </c>
      <c r="AB549" s="50" t="s">
        <v>2254</v>
      </c>
      <c r="AC549" s="65" t="s">
        <v>337</v>
      </c>
      <c r="AD549" s="66"/>
      <c r="AE549" s="67"/>
    </row>
    <row r="550">
      <c r="A550" s="41" t="s">
        <v>169</v>
      </c>
      <c r="B550" s="31" t="s">
        <v>67</v>
      </c>
      <c r="C550" s="68" t="s">
        <v>4877</v>
      </c>
      <c r="D550" s="69">
        <v>600707.0</v>
      </c>
      <c r="E550" s="41" t="s">
        <v>4542</v>
      </c>
      <c r="F550" s="41" t="s">
        <v>4878</v>
      </c>
      <c r="G550" s="41" t="s">
        <v>4879</v>
      </c>
      <c r="H550" s="31" t="s">
        <v>1421</v>
      </c>
      <c r="I550" s="35" t="s">
        <v>708</v>
      </c>
      <c r="J550" s="31" t="s">
        <v>146</v>
      </c>
      <c r="K550" s="31" t="s">
        <v>147</v>
      </c>
      <c r="L550" s="31" t="s">
        <v>181</v>
      </c>
      <c r="M550" s="70">
        <v>45945.0</v>
      </c>
      <c r="N550" s="70" t="str">
        <f t="shared" si="309"/>
        <v>2025</v>
      </c>
      <c r="O550" s="70">
        <v>46101.0</v>
      </c>
      <c r="P550" s="102" t="str">
        <f t="shared" si="310"/>
        <v>2026</v>
      </c>
      <c r="Q550" s="73">
        <f t="shared" si="311"/>
        <v>156</v>
      </c>
      <c r="R550" s="93">
        <f t="shared" si="312"/>
        <v>0</v>
      </c>
      <c r="S550" s="41"/>
      <c r="T550" s="74"/>
      <c r="U550" s="43">
        <v>0.0</v>
      </c>
      <c r="V550" s="41"/>
      <c r="W550" s="41" t="s">
        <v>4880</v>
      </c>
      <c r="X550" s="41" t="s">
        <v>4880</v>
      </c>
      <c r="Y550" s="41" t="s">
        <v>243</v>
      </c>
      <c r="Z550" s="101" t="s">
        <v>247</v>
      </c>
      <c r="AA550" s="31" t="s">
        <v>123</v>
      </c>
      <c r="AB550" s="31" t="s">
        <v>4747</v>
      </c>
      <c r="AC550" s="46" t="s">
        <v>164</v>
      </c>
      <c r="AD550" s="46" t="s">
        <v>251</v>
      </c>
      <c r="AE550" s="111" t="s">
        <v>220</v>
      </c>
    </row>
    <row r="551">
      <c r="A551" s="61" t="s">
        <v>169</v>
      </c>
      <c r="B551" s="50" t="s">
        <v>67</v>
      </c>
      <c r="C551" s="82" t="s">
        <v>4881</v>
      </c>
      <c r="D551" s="94">
        <v>600710.0</v>
      </c>
      <c r="E551" s="61" t="s">
        <v>647</v>
      </c>
      <c r="F551" s="61" t="s">
        <v>4882</v>
      </c>
      <c r="G551" s="61" t="s">
        <v>4883</v>
      </c>
      <c r="H551" s="50" t="s">
        <v>1421</v>
      </c>
      <c r="I551" s="56" t="s">
        <v>104</v>
      </c>
      <c r="J551" s="50" t="s">
        <v>146</v>
      </c>
      <c r="K551" s="50" t="s">
        <v>147</v>
      </c>
      <c r="L551" s="138" t="s">
        <v>25</v>
      </c>
      <c r="M551" s="84">
        <v>45945.0</v>
      </c>
      <c r="N551" s="84" t="str">
        <f t="shared" si="309"/>
        <v>2025</v>
      </c>
      <c r="O551" s="84">
        <v>46113.0</v>
      </c>
      <c r="P551" s="95" t="str">
        <f t="shared" si="310"/>
        <v>2026</v>
      </c>
      <c r="Q551" s="86">
        <f t="shared" si="311"/>
        <v>168</v>
      </c>
      <c r="R551" s="85">
        <f t="shared" si="312"/>
        <v>0</v>
      </c>
      <c r="S551" s="61"/>
      <c r="T551" s="87"/>
      <c r="U551" s="62">
        <v>0.0</v>
      </c>
      <c r="V551" s="61"/>
      <c r="W551" s="61" t="s">
        <v>4884</v>
      </c>
      <c r="X551" s="61" t="s">
        <v>487</v>
      </c>
      <c r="Y551" s="61" t="s">
        <v>243</v>
      </c>
      <c r="Z551" s="80" t="s">
        <v>247</v>
      </c>
      <c r="AA551" s="50" t="s">
        <v>38</v>
      </c>
      <c r="AB551" s="50" t="s">
        <v>249</v>
      </c>
      <c r="AC551" s="65" t="s">
        <v>164</v>
      </c>
      <c r="AD551" s="65" t="s">
        <v>251</v>
      </c>
      <c r="AE551" s="131" t="s">
        <v>220</v>
      </c>
    </row>
    <row r="552">
      <c r="A552" s="41" t="s">
        <v>64</v>
      </c>
      <c r="B552" s="31" t="s">
        <v>19</v>
      </c>
      <c r="C552" s="68" t="s">
        <v>4885</v>
      </c>
      <c r="D552" s="74">
        <v>600714.0</v>
      </c>
      <c r="E552" s="41" t="s">
        <v>3792</v>
      </c>
      <c r="F552" s="41" t="s">
        <v>3793</v>
      </c>
      <c r="G552" s="154" t="s">
        <v>4886</v>
      </c>
      <c r="H552" s="31" t="s">
        <v>232</v>
      </c>
      <c r="I552" s="35" t="s">
        <v>708</v>
      </c>
      <c r="J552" s="245" t="s">
        <v>84</v>
      </c>
      <c r="K552" s="104" t="s">
        <v>84</v>
      </c>
      <c r="L552" s="92" t="s">
        <v>181</v>
      </c>
      <c r="M552" s="70">
        <v>45953.0</v>
      </c>
      <c r="N552" s="70" t="str">
        <f t="shared" si="309"/>
        <v>2025</v>
      </c>
      <c r="O552" s="37">
        <v>46568.0</v>
      </c>
      <c r="P552" s="93" t="str">
        <f t="shared" si="310"/>
        <v>2027</v>
      </c>
      <c r="Q552" s="73">
        <f t="shared" si="311"/>
        <v>615</v>
      </c>
      <c r="R552" s="93">
        <f t="shared" si="312"/>
        <v>1</v>
      </c>
      <c r="S552" s="31"/>
      <c r="T552" s="74"/>
      <c r="U552" s="75">
        <v>0.0</v>
      </c>
      <c r="V552" s="31" t="s">
        <v>4887</v>
      </c>
      <c r="W552" s="41" t="s">
        <v>3805</v>
      </c>
      <c r="X552" s="41" t="s">
        <v>3805</v>
      </c>
      <c r="Y552" s="31" t="s">
        <v>161</v>
      </c>
      <c r="Z552" s="31" t="s">
        <v>261</v>
      </c>
      <c r="AA552" s="31" t="s">
        <v>123</v>
      </c>
      <c r="AB552" s="31" t="s">
        <v>124</v>
      </c>
      <c r="AC552" s="46" t="s">
        <v>337</v>
      </c>
      <c r="AD552" s="47"/>
      <c r="AE552" s="78"/>
    </row>
    <row r="553">
      <c r="A553" s="50" t="s">
        <v>64</v>
      </c>
      <c r="B553" s="50" t="s">
        <v>19</v>
      </c>
      <c r="C553" s="52" t="s">
        <v>4888</v>
      </c>
      <c r="D553" s="54">
        <v>600715.0</v>
      </c>
      <c r="E553" s="50" t="s">
        <v>993</v>
      </c>
      <c r="F553" s="50" t="s">
        <v>3812</v>
      </c>
      <c r="G553" s="50" t="s">
        <v>3813</v>
      </c>
      <c r="H553" s="50" t="s">
        <v>232</v>
      </c>
      <c r="I553" s="50" t="s">
        <v>104</v>
      </c>
      <c r="J553" s="50" t="s">
        <v>146</v>
      </c>
      <c r="K553" s="50" t="s">
        <v>147</v>
      </c>
      <c r="L553" s="50" t="s">
        <v>25</v>
      </c>
      <c r="M553" s="57">
        <v>45958.0</v>
      </c>
      <c r="N553" s="54">
        <v>2025.0</v>
      </c>
      <c r="O553" s="57">
        <v>46528.0</v>
      </c>
      <c r="P553" s="59">
        <v>2027.0</v>
      </c>
      <c r="Q553" s="60">
        <v>570.0</v>
      </c>
      <c r="R553" s="59">
        <v>2.0</v>
      </c>
      <c r="S553" s="61"/>
      <c r="T553" s="54" t="s">
        <v>113</v>
      </c>
      <c r="U553" s="62">
        <v>1.0</v>
      </c>
      <c r="V553" s="61"/>
      <c r="W553" s="50" t="s">
        <v>3817</v>
      </c>
      <c r="X553" s="50" t="s">
        <v>3819</v>
      </c>
      <c r="Y553" s="50" t="s">
        <v>161</v>
      </c>
      <c r="Z553" s="50" t="s">
        <v>211</v>
      </c>
      <c r="AA553" s="50" t="s">
        <v>123</v>
      </c>
      <c r="AB553" s="50" t="s">
        <v>124</v>
      </c>
      <c r="AC553" s="65" t="s">
        <v>161</v>
      </c>
      <c r="AD553" s="66"/>
      <c r="AE553" s="67"/>
    </row>
    <row r="554">
      <c r="A554" s="41" t="s">
        <v>64</v>
      </c>
      <c r="B554" s="41" t="s">
        <v>19</v>
      </c>
      <c r="C554" s="68" t="s">
        <v>4890</v>
      </c>
      <c r="D554" s="74">
        <v>600716.0</v>
      </c>
      <c r="E554" s="41" t="s">
        <v>3821</v>
      </c>
      <c r="F554" s="41" t="s">
        <v>3822</v>
      </c>
      <c r="G554" s="41" t="s">
        <v>3824</v>
      </c>
      <c r="H554" s="31" t="s">
        <v>1421</v>
      </c>
      <c r="I554" s="104" t="s">
        <v>104</v>
      </c>
      <c r="J554" s="31" t="s">
        <v>146</v>
      </c>
      <c r="K554" s="31" t="s">
        <v>2304</v>
      </c>
      <c r="L554" s="31" t="s">
        <v>181</v>
      </c>
      <c r="M554" s="70">
        <v>45959.0</v>
      </c>
      <c r="N554" s="70" t="str">
        <f>right(M554,4)</f>
        <v>2025</v>
      </c>
      <c r="O554" s="70">
        <v>46324.0</v>
      </c>
      <c r="P554" s="93" t="str">
        <f>right(O554,4)</f>
        <v>2026</v>
      </c>
      <c r="Q554" s="73">
        <f>DATEDIF(M554,O554,"d")</f>
        <v>365</v>
      </c>
      <c r="R554" s="93">
        <f>DATEDIF(M554,O554,"y")</f>
        <v>1</v>
      </c>
      <c r="S554" s="41"/>
      <c r="T554" s="74"/>
      <c r="U554" s="75">
        <v>0.0</v>
      </c>
      <c r="V554" s="41"/>
      <c r="W554" s="41" t="s">
        <v>3829</v>
      </c>
      <c r="X554" s="41" t="s">
        <v>3829</v>
      </c>
      <c r="Y554" s="41" t="s">
        <v>2429</v>
      </c>
      <c r="Z554" s="31" t="s">
        <v>122</v>
      </c>
      <c r="AA554" s="31" t="s">
        <v>123</v>
      </c>
      <c r="AB554" s="31" t="s">
        <v>124</v>
      </c>
      <c r="AC554" s="46" t="s">
        <v>128</v>
      </c>
      <c r="AD554" s="46" t="s">
        <v>3263</v>
      </c>
      <c r="AE554" s="111"/>
    </row>
    <row r="555">
      <c r="A555" s="50" t="s">
        <v>64</v>
      </c>
      <c r="B555" s="50" t="s">
        <v>67</v>
      </c>
      <c r="C555" s="52" t="s">
        <v>4892</v>
      </c>
      <c r="D555" s="54" t="s">
        <v>4893</v>
      </c>
      <c r="E555" s="50" t="s">
        <v>3835</v>
      </c>
      <c r="F555" s="50" t="s">
        <v>3836</v>
      </c>
      <c r="G555" s="159" t="s">
        <v>4894</v>
      </c>
      <c r="H555" s="50" t="s">
        <v>103</v>
      </c>
      <c r="I555" s="152" t="s">
        <v>106</v>
      </c>
      <c r="J555" s="80" t="s">
        <v>84</v>
      </c>
      <c r="K555" s="106" t="s">
        <v>84</v>
      </c>
      <c r="L555" s="112" t="s">
        <v>181</v>
      </c>
      <c r="M555" s="57">
        <v>45959.0</v>
      </c>
      <c r="N555" s="54">
        <v>2025.0</v>
      </c>
      <c r="O555" s="57">
        <v>46323.0</v>
      </c>
      <c r="P555" s="59">
        <v>2026.0</v>
      </c>
      <c r="Q555" s="60">
        <v>364.0</v>
      </c>
      <c r="R555" s="59">
        <v>1.0</v>
      </c>
      <c r="S555" s="61"/>
      <c r="T555" s="87"/>
      <c r="U555" s="96">
        <v>0.0</v>
      </c>
      <c r="V555" s="61"/>
      <c r="W555" s="159" t="s">
        <v>4895</v>
      </c>
      <c r="X555" s="159" t="s">
        <v>4895</v>
      </c>
      <c r="Y555" s="50" t="s">
        <v>161</v>
      </c>
      <c r="Z555" s="50" t="s">
        <v>311</v>
      </c>
      <c r="AA555" s="50" t="s">
        <v>14</v>
      </c>
      <c r="AB555" s="50" t="s">
        <v>768</v>
      </c>
      <c r="AC555" s="65" t="s">
        <v>161</v>
      </c>
      <c r="AD555" s="65" t="s">
        <v>1983</v>
      </c>
      <c r="AE555" s="108" t="s">
        <v>220</v>
      </c>
    </row>
    <row r="556">
      <c r="A556" s="31" t="s">
        <v>169</v>
      </c>
      <c r="B556" s="31" t="s">
        <v>19</v>
      </c>
      <c r="C556" s="32" t="s">
        <v>4896</v>
      </c>
      <c r="D556" s="113">
        <v>600719.0</v>
      </c>
      <c r="E556" s="31" t="s">
        <v>4543</v>
      </c>
      <c r="F556" s="31" t="s">
        <v>4898</v>
      </c>
      <c r="G556" s="296" t="s">
        <v>4899</v>
      </c>
      <c r="H556" s="31" t="s">
        <v>178</v>
      </c>
      <c r="I556" s="151" t="s">
        <v>708</v>
      </c>
      <c r="J556" s="101" t="s">
        <v>233</v>
      </c>
      <c r="K556" s="31" t="s">
        <v>236</v>
      </c>
      <c r="L556" s="31" t="s">
        <v>4901</v>
      </c>
      <c r="M556" s="37">
        <v>45965.0</v>
      </c>
      <c r="N556" s="33">
        <v>2025.0</v>
      </c>
      <c r="O556" s="37">
        <v>46330.0</v>
      </c>
      <c r="P556" s="39">
        <v>2026.0</v>
      </c>
      <c r="Q556" s="40">
        <v>365.0</v>
      </c>
      <c r="R556" s="39">
        <v>1.0</v>
      </c>
      <c r="S556" s="41"/>
      <c r="T556" s="33" t="s">
        <v>113</v>
      </c>
      <c r="U556" s="43">
        <v>0.0</v>
      </c>
      <c r="V556" s="31" t="s">
        <v>4903</v>
      </c>
      <c r="W556" s="31" t="s">
        <v>4904</v>
      </c>
      <c r="X556" s="31" t="s">
        <v>4905</v>
      </c>
      <c r="Y556" s="31" t="s">
        <v>1632</v>
      </c>
      <c r="Z556" s="31" t="s">
        <v>261</v>
      </c>
      <c r="AA556" s="31" t="s">
        <v>123</v>
      </c>
      <c r="AB556" s="31" t="s">
        <v>621</v>
      </c>
      <c r="AC556" s="46" t="s">
        <v>276</v>
      </c>
      <c r="AD556" s="46"/>
      <c r="AE556" s="99"/>
    </row>
    <row r="557">
      <c r="A557" s="50" t="s">
        <v>64</v>
      </c>
      <c r="B557" s="50" t="s">
        <v>19</v>
      </c>
      <c r="C557" s="52" t="s">
        <v>4907</v>
      </c>
      <c r="D557" s="54">
        <v>600711.0</v>
      </c>
      <c r="E557" s="50" t="s">
        <v>973</v>
      </c>
      <c r="F557" s="50" t="s">
        <v>4908</v>
      </c>
      <c r="G557" s="50" t="s">
        <v>3824</v>
      </c>
      <c r="H557" s="50" t="s">
        <v>1421</v>
      </c>
      <c r="I557" s="106" t="s">
        <v>104</v>
      </c>
      <c r="J557" s="106" t="s">
        <v>146</v>
      </c>
      <c r="K557" s="50" t="s">
        <v>4909</v>
      </c>
      <c r="L557" s="50" t="s">
        <v>974</v>
      </c>
      <c r="M557" s="57">
        <v>45968.0</v>
      </c>
      <c r="N557" s="54">
        <v>2025.0</v>
      </c>
      <c r="O557" s="57">
        <v>46333.0</v>
      </c>
      <c r="P557" s="95" t="str">
        <f t="shared" ref="P557:P558" si="313">right(O557,4)</f>
        <v>2026</v>
      </c>
      <c r="Q557" s="60">
        <v>365.0</v>
      </c>
      <c r="R557" s="59">
        <v>1.0</v>
      </c>
      <c r="S557" s="61"/>
      <c r="T557" s="54" t="s">
        <v>113</v>
      </c>
      <c r="U557" s="62">
        <v>0.0</v>
      </c>
      <c r="V557" s="61"/>
      <c r="W557" s="106" t="s">
        <v>4910</v>
      </c>
      <c r="X557" s="106" t="s">
        <v>4911</v>
      </c>
      <c r="Y557" s="50" t="s">
        <v>2429</v>
      </c>
      <c r="Z557" s="50" t="s">
        <v>122</v>
      </c>
      <c r="AA557" s="50" t="s">
        <v>123</v>
      </c>
      <c r="AB557" s="50" t="s">
        <v>124</v>
      </c>
      <c r="AC557" s="65" t="s">
        <v>128</v>
      </c>
      <c r="AD557" s="65" t="s">
        <v>3263</v>
      </c>
      <c r="AE557" s="81"/>
    </row>
    <row r="558">
      <c r="A558" s="41" t="s">
        <v>64</v>
      </c>
      <c r="B558" s="31" t="s">
        <v>67</v>
      </c>
      <c r="C558" s="68" t="s">
        <v>4912</v>
      </c>
      <c r="D558" s="33">
        <v>600717.0</v>
      </c>
      <c r="E558" s="41" t="s">
        <v>4546</v>
      </c>
      <c r="F558" s="41" t="s">
        <v>4913</v>
      </c>
      <c r="G558" s="41" t="s">
        <v>4914</v>
      </c>
      <c r="H558" s="31" t="s">
        <v>232</v>
      </c>
      <c r="I558" s="104" t="s">
        <v>104</v>
      </c>
      <c r="J558" s="104" t="s">
        <v>84</v>
      </c>
      <c r="K558" s="91" t="s">
        <v>84</v>
      </c>
      <c r="L558" s="31" t="s">
        <v>181</v>
      </c>
      <c r="M558" s="70">
        <v>45968.0</v>
      </c>
      <c r="N558" s="70" t="str">
        <f>right(M558,4)</f>
        <v>2025</v>
      </c>
      <c r="O558" s="37">
        <v>46073.0</v>
      </c>
      <c r="P558" s="102" t="str">
        <f t="shared" si="313"/>
        <v>2026</v>
      </c>
      <c r="Q558" s="73">
        <f>DATEDIF(M558,O558,"d")</f>
        <v>105</v>
      </c>
      <c r="R558" s="93">
        <f>DATEDIF(M558,O558,"y")</f>
        <v>0</v>
      </c>
      <c r="S558" s="41"/>
      <c r="T558" s="74"/>
      <c r="U558" s="75">
        <v>0.0</v>
      </c>
      <c r="V558" s="41"/>
      <c r="W558" s="104" t="s">
        <v>4915</v>
      </c>
      <c r="X558" s="104" t="s">
        <v>4915</v>
      </c>
      <c r="Y558" s="41" t="s">
        <v>1632</v>
      </c>
      <c r="Z558" s="31" t="s">
        <v>122</v>
      </c>
      <c r="AA558" s="31" t="s">
        <v>123</v>
      </c>
      <c r="AB558" s="31" t="s">
        <v>122</v>
      </c>
      <c r="AC558" s="46" t="s">
        <v>161</v>
      </c>
      <c r="AD558" s="46" t="s">
        <v>251</v>
      </c>
      <c r="AE558" s="111" t="s">
        <v>220</v>
      </c>
    </row>
    <row r="559">
      <c r="A559" s="50" t="s">
        <v>64</v>
      </c>
      <c r="B559" s="50" t="s">
        <v>67</v>
      </c>
      <c r="C559" s="52" t="s">
        <v>4916</v>
      </c>
      <c r="D559" s="252" t="s">
        <v>4917</v>
      </c>
      <c r="E559" s="50" t="s">
        <v>4547</v>
      </c>
      <c r="F559" s="50" t="s">
        <v>4918</v>
      </c>
      <c r="G559" s="50" t="s">
        <v>4919</v>
      </c>
      <c r="H559" s="50" t="s">
        <v>1421</v>
      </c>
      <c r="I559" s="106" t="s">
        <v>106</v>
      </c>
      <c r="J559" s="106" t="s">
        <v>84</v>
      </c>
      <c r="K559" s="106" t="s">
        <v>84</v>
      </c>
      <c r="L559" s="50" t="s">
        <v>181</v>
      </c>
      <c r="M559" s="57">
        <v>45975.0</v>
      </c>
      <c r="N559" s="54">
        <v>2025.0</v>
      </c>
      <c r="O559" s="57">
        <v>46006.0</v>
      </c>
      <c r="P559" s="59">
        <v>2025.0</v>
      </c>
      <c r="Q559" s="60">
        <v>31.0</v>
      </c>
      <c r="R559" s="59">
        <v>1.0</v>
      </c>
      <c r="S559" s="61"/>
      <c r="T559" s="87"/>
      <c r="U559" s="96">
        <v>0.0</v>
      </c>
      <c r="V559" s="61"/>
      <c r="W559" s="297" t="s">
        <v>4921</v>
      </c>
      <c r="X559" s="297" t="s">
        <v>4921</v>
      </c>
      <c r="Y559" s="50" t="s">
        <v>161</v>
      </c>
      <c r="Z559" s="50" t="s">
        <v>311</v>
      </c>
      <c r="AA559" s="50" t="s">
        <v>123</v>
      </c>
      <c r="AB559" s="50" t="s">
        <v>768</v>
      </c>
      <c r="AC559" s="65" t="s">
        <v>161</v>
      </c>
      <c r="AD559" s="65" t="s">
        <v>1983</v>
      </c>
      <c r="AE559" s="108" t="s">
        <v>220</v>
      </c>
    </row>
    <row r="560">
      <c r="A560" s="31" t="s">
        <v>169</v>
      </c>
      <c r="B560" s="31" t="s">
        <v>67</v>
      </c>
      <c r="C560" s="132" t="s">
        <v>4922</v>
      </c>
      <c r="D560" s="298">
        <v>600729.0</v>
      </c>
      <c r="E560" s="31" t="s">
        <v>1070</v>
      </c>
      <c r="F560" s="31" t="s">
        <v>4923</v>
      </c>
      <c r="G560" s="31" t="s">
        <v>4924</v>
      </c>
      <c r="H560" s="31" t="s">
        <v>178</v>
      </c>
      <c r="I560" s="46" t="s">
        <v>104</v>
      </c>
      <c r="J560" s="31" t="s">
        <v>146</v>
      </c>
      <c r="K560" s="31" t="s">
        <v>147</v>
      </c>
      <c r="L560" s="31" t="s">
        <v>1071</v>
      </c>
      <c r="M560" s="299">
        <v>45978.0</v>
      </c>
      <c r="N560" s="33">
        <v>2025.0</v>
      </c>
      <c r="O560" s="299">
        <v>46343.0</v>
      </c>
      <c r="P560" s="39">
        <v>2026.0</v>
      </c>
      <c r="Q560" s="40">
        <v>365.0</v>
      </c>
      <c r="R560" s="39">
        <v>1.0</v>
      </c>
      <c r="S560" s="31" t="s">
        <v>4925</v>
      </c>
      <c r="T560" s="33" t="s">
        <v>113</v>
      </c>
      <c r="U560" s="43">
        <v>0.0</v>
      </c>
      <c r="V560" s="31" t="s">
        <v>4926</v>
      </c>
      <c r="W560" s="31" t="s">
        <v>4927</v>
      </c>
      <c r="X560" s="41"/>
      <c r="Y560" s="31" t="s">
        <v>2799</v>
      </c>
      <c r="Z560" s="31" t="s">
        <v>261</v>
      </c>
      <c r="AA560" s="101" t="s">
        <v>4052</v>
      </c>
      <c r="AB560" s="31" t="s">
        <v>213</v>
      </c>
      <c r="AC560" s="46" t="s">
        <v>128</v>
      </c>
      <c r="AD560" s="77"/>
      <c r="AE560" s="149" t="s">
        <v>220</v>
      </c>
    </row>
    <row r="561">
      <c r="A561" s="50" t="s">
        <v>64</v>
      </c>
      <c r="B561" s="50" t="s">
        <v>19</v>
      </c>
      <c r="C561" s="264" t="s">
        <v>4928</v>
      </c>
      <c r="D561" s="124">
        <v>600722.0</v>
      </c>
      <c r="E561" s="50" t="s">
        <v>961</v>
      </c>
      <c r="F561" s="50" t="s">
        <v>4929</v>
      </c>
      <c r="G561" s="50" t="s">
        <v>4930</v>
      </c>
      <c r="H561" s="50" t="s">
        <v>232</v>
      </c>
      <c r="I561" s="65" t="s">
        <v>104</v>
      </c>
      <c r="J561" s="50" t="s">
        <v>146</v>
      </c>
      <c r="K561" s="50"/>
      <c r="L561" s="50" t="s">
        <v>25</v>
      </c>
      <c r="M561" s="273">
        <v>45978.0</v>
      </c>
      <c r="N561" s="54">
        <v>2025.0</v>
      </c>
      <c r="O561" s="273">
        <v>46343.0</v>
      </c>
      <c r="P561" s="59">
        <v>2026.0</v>
      </c>
      <c r="Q561" s="60">
        <v>365.0</v>
      </c>
      <c r="R561" s="59">
        <v>1.0</v>
      </c>
      <c r="S561" s="50" t="s">
        <v>4931</v>
      </c>
      <c r="T561" s="54" t="s">
        <v>113</v>
      </c>
      <c r="U561" s="62">
        <v>0.0</v>
      </c>
      <c r="V561" s="61"/>
      <c r="W561" s="50" t="s">
        <v>4932</v>
      </c>
      <c r="X561" s="50" t="s">
        <v>4933</v>
      </c>
      <c r="Y561" s="50" t="s">
        <v>2103</v>
      </c>
      <c r="Z561" s="50" t="s">
        <v>211</v>
      </c>
      <c r="AA561" s="50" t="s">
        <v>14</v>
      </c>
      <c r="AB561" s="65" t="s">
        <v>2254</v>
      </c>
      <c r="AC561" s="65" t="s">
        <v>337</v>
      </c>
      <c r="AD561" s="97"/>
      <c r="AE561" s="81"/>
    </row>
    <row r="562">
      <c r="A562" s="31" t="s">
        <v>169</v>
      </c>
      <c r="B562" s="31" t="s">
        <v>67</v>
      </c>
      <c r="C562" s="32" t="s">
        <v>4934</v>
      </c>
      <c r="D562" s="280" t="s">
        <v>4935</v>
      </c>
      <c r="E562" s="31" t="s">
        <v>4551</v>
      </c>
      <c r="F562" s="31" t="s">
        <v>4936</v>
      </c>
      <c r="G562" s="31" t="s">
        <v>4937</v>
      </c>
      <c r="H562" s="31" t="s">
        <v>178</v>
      </c>
      <c r="I562" s="46" t="s">
        <v>106</v>
      </c>
      <c r="J562" s="31" t="s">
        <v>233</v>
      </c>
      <c r="K562" s="31" t="s">
        <v>236</v>
      </c>
      <c r="L562" s="31" t="s">
        <v>484</v>
      </c>
      <c r="M562" s="37">
        <v>45980.0</v>
      </c>
      <c r="N562" s="33">
        <v>2025.0</v>
      </c>
      <c r="O562" s="37">
        <v>45992.0</v>
      </c>
      <c r="P562" s="40">
        <v>2025.0</v>
      </c>
      <c r="Q562" s="40">
        <v>12.0</v>
      </c>
      <c r="R562" s="40">
        <v>1.0</v>
      </c>
      <c r="S562" s="41"/>
      <c r="T562" s="74"/>
      <c r="U562" s="75">
        <v>0.0</v>
      </c>
      <c r="V562" s="41"/>
      <c r="W562" s="31" t="s">
        <v>4939</v>
      </c>
      <c r="X562" s="31" t="s">
        <v>4939</v>
      </c>
      <c r="Y562" s="31" t="s">
        <v>2103</v>
      </c>
      <c r="Z562" s="31" t="s">
        <v>210</v>
      </c>
      <c r="AA562" s="31" t="s">
        <v>211</v>
      </c>
      <c r="AB562" s="153" t="s">
        <v>891</v>
      </c>
      <c r="AC562" s="46" t="s">
        <v>128</v>
      </c>
      <c r="AD562" s="47"/>
      <c r="AE562" s="78" t="s">
        <v>220</v>
      </c>
    </row>
    <row r="563">
      <c r="A563" s="50" t="s">
        <v>169</v>
      </c>
      <c r="B563" s="50" t="s">
        <v>67</v>
      </c>
      <c r="C563" s="52" t="s">
        <v>4940</v>
      </c>
      <c r="D563" s="54">
        <v>600725.0</v>
      </c>
      <c r="E563" s="50" t="s">
        <v>4552</v>
      </c>
      <c r="F563" s="50" t="s">
        <v>4941</v>
      </c>
      <c r="G563" s="50" t="s">
        <v>4942</v>
      </c>
      <c r="H563" s="50" t="s">
        <v>1421</v>
      </c>
      <c r="I563" s="65" t="s">
        <v>106</v>
      </c>
      <c r="J563" s="50" t="s">
        <v>146</v>
      </c>
      <c r="K563" s="50" t="s">
        <v>147</v>
      </c>
      <c r="L563" s="50" t="s">
        <v>105</v>
      </c>
      <c r="M563" s="57">
        <v>45981.0</v>
      </c>
      <c r="N563" s="54">
        <v>2025.0</v>
      </c>
      <c r="O563" s="57">
        <v>45991.0</v>
      </c>
      <c r="P563" s="59">
        <v>2025.0</v>
      </c>
      <c r="Q563" s="60">
        <v>10.0</v>
      </c>
      <c r="R563" s="59">
        <v>1.0</v>
      </c>
      <c r="S563" s="61"/>
      <c r="T563" s="54" t="s">
        <v>113</v>
      </c>
      <c r="U563" s="96">
        <v>0.0</v>
      </c>
      <c r="V563" s="61"/>
      <c r="W563" s="50" t="s">
        <v>4943</v>
      </c>
      <c r="X563" s="50" t="s">
        <v>4943</v>
      </c>
      <c r="Y563" s="50" t="s">
        <v>2799</v>
      </c>
      <c r="Z563" s="50" t="s">
        <v>261</v>
      </c>
      <c r="AA563" s="50" t="s">
        <v>211</v>
      </c>
      <c r="AB563" s="50" t="s">
        <v>1499</v>
      </c>
      <c r="AC563" s="65" t="s">
        <v>161</v>
      </c>
      <c r="AD563" s="66"/>
      <c r="AE563" s="108" t="s">
        <v>220</v>
      </c>
    </row>
    <row r="564">
      <c r="A564" s="41" t="s">
        <v>169</v>
      </c>
      <c r="B564" s="31" t="s">
        <v>67</v>
      </c>
      <c r="C564" s="300" t="s">
        <v>4944</v>
      </c>
      <c r="D564" s="146">
        <v>600727.0</v>
      </c>
      <c r="E564" s="31" t="s">
        <v>4945</v>
      </c>
      <c r="F564" s="110" t="s">
        <v>4946</v>
      </c>
      <c r="G564" s="110" t="s">
        <v>4947</v>
      </c>
      <c r="H564" s="31" t="s">
        <v>1421</v>
      </c>
      <c r="I564" s="35" t="s">
        <v>708</v>
      </c>
      <c r="J564" s="31" t="s">
        <v>233</v>
      </c>
      <c r="K564" s="31" t="s">
        <v>236</v>
      </c>
      <c r="L564" s="31" t="s">
        <v>181</v>
      </c>
      <c r="M564" s="301">
        <v>45986.0</v>
      </c>
      <c r="N564" s="70" t="str">
        <f>right(M564,4)</f>
        <v>2025</v>
      </c>
      <c r="O564" s="70">
        <v>46022.0</v>
      </c>
      <c r="P564" s="102" t="str">
        <f>right(O564,4)</f>
        <v>2025</v>
      </c>
      <c r="Q564" s="73">
        <f>DATEDIF(M564,O564,"d")</f>
        <v>36</v>
      </c>
      <c r="R564" s="93">
        <f>DATEDIF(M564,O564,"y")</f>
        <v>0</v>
      </c>
      <c r="S564" s="41"/>
      <c r="T564" s="74"/>
      <c r="U564" s="43">
        <v>0.0</v>
      </c>
      <c r="V564" s="41"/>
      <c r="W564" s="41" t="s">
        <v>4948</v>
      </c>
      <c r="X564" s="41" t="s">
        <v>4948</v>
      </c>
      <c r="Y564" s="104" t="s">
        <v>243</v>
      </c>
      <c r="Z564" s="101" t="s">
        <v>247</v>
      </c>
      <c r="AA564" s="31" t="s">
        <v>65</v>
      </c>
      <c r="AB564" s="31" t="s">
        <v>1499</v>
      </c>
      <c r="AC564" s="46" t="s">
        <v>161</v>
      </c>
      <c r="AD564" s="46" t="s">
        <v>251</v>
      </c>
      <c r="AE564" s="111" t="s">
        <v>220</v>
      </c>
    </row>
    <row r="565">
      <c r="A565" s="50" t="s">
        <v>169</v>
      </c>
      <c r="B565" s="50" t="s">
        <v>67</v>
      </c>
      <c r="C565" s="264" t="s">
        <v>4949</v>
      </c>
      <c r="D565" s="256">
        <v>600728.0</v>
      </c>
      <c r="E565" s="50" t="s">
        <v>4554</v>
      </c>
      <c r="F565" s="106" t="s">
        <v>4950</v>
      </c>
      <c r="G565" s="106" t="s">
        <v>4951</v>
      </c>
      <c r="H565" s="50" t="s">
        <v>178</v>
      </c>
      <c r="I565" s="65" t="s">
        <v>106</v>
      </c>
      <c r="J565" s="50" t="s">
        <v>146</v>
      </c>
      <c r="K565" s="50" t="s">
        <v>147</v>
      </c>
      <c r="L565" s="50" t="s">
        <v>484</v>
      </c>
      <c r="M565" s="302">
        <v>45989.0</v>
      </c>
      <c r="N565" s="54">
        <v>2025.0</v>
      </c>
      <c r="O565" s="302">
        <v>46003.0</v>
      </c>
      <c r="P565" s="59">
        <v>2025.0</v>
      </c>
      <c r="Q565" s="60">
        <v>14.0</v>
      </c>
      <c r="R565" s="59">
        <v>1.0</v>
      </c>
      <c r="S565" s="61"/>
      <c r="T565" s="87"/>
      <c r="U565" s="96">
        <v>0.0</v>
      </c>
      <c r="V565" s="61"/>
      <c r="W565" s="50" t="s">
        <v>4952</v>
      </c>
      <c r="X565" s="50" t="s">
        <v>4953</v>
      </c>
      <c r="Y565" s="106" t="s">
        <v>1525</v>
      </c>
      <c r="Z565" s="50" t="s">
        <v>261</v>
      </c>
      <c r="AA565" s="50" t="s">
        <v>211</v>
      </c>
      <c r="AB565" s="106" t="s">
        <v>975</v>
      </c>
      <c r="AC565" s="65" t="s">
        <v>161</v>
      </c>
      <c r="AD565" s="97"/>
      <c r="AE565" s="108" t="s">
        <v>220</v>
      </c>
    </row>
    <row r="566">
      <c r="A566" s="41" t="s">
        <v>64</v>
      </c>
      <c r="B566" s="31" t="s">
        <v>67</v>
      </c>
      <c r="C566" s="300" t="s">
        <v>4954</v>
      </c>
      <c r="D566" s="303" t="s">
        <v>4955</v>
      </c>
      <c r="E566" s="41" t="s">
        <v>4556</v>
      </c>
      <c r="F566" s="110" t="s">
        <v>4956</v>
      </c>
      <c r="G566" s="110" t="s">
        <v>2386</v>
      </c>
      <c r="H566" s="104" t="s">
        <v>1421</v>
      </c>
      <c r="I566" s="77" t="s">
        <v>106</v>
      </c>
      <c r="J566" s="31" t="s">
        <v>146</v>
      </c>
      <c r="K566" s="91" t="s">
        <v>84</v>
      </c>
      <c r="L566" s="91" t="s">
        <v>105</v>
      </c>
      <c r="M566" s="301">
        <v>45994.0</v>
      </c>
      <c r="N566" s="70" t="str">
        <f>right(M566,4)</f>
        <v>2025</v>
      </c>
      <c r="O566" s="301">
        <v>46024.0</v>
      </c>
      <c r="P566" s="102" t="str">
        <f>right(O566,4)</f>
        <v>2026</v>
      </c>
      <c r="Q566" s="73">
        <f>DATEDIF(M566,O566,"d")</f>
        <v>30</v>
      </c>
      <c r="R566" s="93">
        <f>DATEDIF(M566,O566,"y")</f>
        <v>0</v>
      </c>
      <c r="S566" s="41"/>
      <c r="T566" s="74"/>
      <c r="U566" s="75">
        <v>0.0</v>
      </c>
      <c r="V566" s="41"/>
      <c r="W566" s="41" t="s">
        <v>4958</v>
      </c>
      <c r="X566" s="41" t="s">
        <v>4958</v>
      </c>
      <c r="Y566" s="31" t="s">
        <v>2103</v>
      </c>
      <c r="Z566" s="31" t="s">
        <v>261</v>
      </c>
      <c r="AA566" s="31" t="s">
        <v>211</v>
      </c>
      <c r="AB566" s="104" t="s">
        <v>2254</v>
      </c>
      <c r="AC566" s="46" t="s">
        <v>161</v>
      </c>
      <c r="AD566" s="77"/>
      <c r="AE566" s="78" t="s">
        <v>220</v>
      </c>
    </row>
    <row r="567">
      <c r="A567" s="50" t="s">
        <v>407</v>
      </c>
      <c r="B567" s="50" t="s">
        <v>67</v>
      </c>
      <c r="C567" s="264" t="s">
        <v>4959</v>
      </c>
      <c r="D567" s="124">
        <v>6.0</v>
      </c>
      <c r="E567" s="50" t="s">
        <v>4557</v>
      </c>
      <c r="F567" s="50" t="s">
        <v>4960</v>
      </c>
      <c r="G567" s="50" t="s">
        <v>4961</v>
      </c>
      <c r="H567" s="50" t="s">
        <v>1421</v>
      </c>
      <c r="I567" s="65" t="s">
        <v>106</v>
      </c>
      <c r="J567" s="50" t="s">
        <v>233</v>
      </c>
      <c r="K567" s="50" t="s">
        <v>236</v>
      </c>
      <c r="L567" s="50" t="s">
        <v>181</v>
      </c>
      <c r="M567" s="304">
        <v>46000.0</v>
      </c>
      <c r="N567" s="54">
        <v>2025.0</v>
      </c>
      <c r="O567" s="273">
        <v>46002.0</v>
      </c>
      <c r="P567" s="59">
        <v>2025.0</v>
      </c>
      <c r="Q567" s="60">
        <v>2.0</v>
      </c>
      <c r="R567" s="59">
        <v>1.0</v>
      </c>
      <c r="S567" s="272"/>
      <c r="T567" s="54" t="s">
        <v>113</v>
      </c>
      <c r="U567" s="96">
        <v>0.0</v>
      </c>
      <c r="V567" s="61"/>
      <c r="W567" s="50" t="s">
        <v>4962</v>
      </c>
      <c r="X567" s="61"/>
      <c r="Y567" s="50" t="s">
        <v>2783</v>
      </c>
      <c r="Z567" s="50" t="s">
        <v>261</v>
      </c>
      <c r="AA567" s="50" t="s">
        <v>211</v>
      </c>
      <c r="AB567" s="65" t="s">
        <v>2281</v>
      </c>
      <c r="AC567" s="65" t="s">
        <v>161</v>
      </c>
      <c r="AD567" s="97"/>
      <c r="AE567" s="108" t="s">
        <v>220</v>
      </c>
    </row>
    <row r="568">
      <c r="A568" s="31" t="s">
        <v>64</v>
      </c>
      <c r="B568" s="31" t="s">
        <v>67</v>
      </c>
      <c r="C568" s="132" t="s">
        <v>4963</v>
      </c>
      <c r="D568" s="303">
        <v>600194.0</v>
      </c>
      <c r="E568" s="31" t="s">
        <v>4558</v>
      </c>
      <c r="F568" s="31" t="s">
        <v>4964</v>
      </c>
      <c r="G568" s="31" t="s">
        <v>4965</v>
      </c>
      <c r="H568" s="31" t="s">
        <v>178</v>
      </c>
      <c r="I568" s="104" t="s">
        <v>106</v>
      </c>
      <c r="J568" s="31" t="s">
        <v>146</v>
      </c>
      <c r="K568" s="31" t="s">
        <v>147</v>
      </c>
      <c r="L568" s="31" t="s">
        <v>2704</v>
      </c>
      <c r="M568" s="299">
        <v>46002.0</v>
      </c>
      <c r="N568" s="33">
        <v>2025.0</v>
      </c>
      <c r="O568" s="305">
        <v>46054.0</v>
      </c>
      <c r="P568" s="39">
        <v>2026.0</v>
      </c>
      <c r="Q568" s="40">
        <v>52.0</v>
      </c>
      <c r="R568" s="39">
        <v>1.0</v>
      </c>
      <c r="S568" s="31" t="s">
        <v>4967</v>
      </c>
      <c r="T568" s="33" t="s">
        <v>113</v>
      </c>
      <c r="U568" s="43">
        <v>0.0</v>
      </c>
      <c r="V568" s="41"/>
      <c r="W568" s="31" t="s">
        <v>4968</v>
      </c>
      <c r="X568" s="31" t="s">
        <v>4968</v>
      </c>
      <c r="Y568" s="31" t="s">
        <v>161</v>
      </c>
      <c r="Z568" s="31" t="s">
        <v>122</v>
      </c>
      <c r="AA568" s="31" t="s">
        <v>211</v>
      </c>
      <c r="AB568" s="46" t="s">
        <v>768</v>
      </c>
      <c r="AC568" s="46" t="s">
        <v>161</v>
      </c>
      <c r="AD568" s="295" t="s">
        <v>295</v>
      </c>
      <c r="AE568" s="78" t="s">
        <v>220</v>
      </c>
    </row>
    <row r="569">
      <c r="A569" s="50" t="s">
        <v>169</v>
      </c>
      <c r="B569" s="50" t="s">
        <v>67</v>
      </c>
      <c r="C569" s="264" t="s">
        <v>4971</v>
      </c>
      <c r="D569" s="252" t="s">
        <v>4972</v>
      </c>
      <c r="E569" s="50" t="s">
        <v>4973</v>
      </c>
      <c r="F569" s="50" t="s">
        <v>4974</v>
      </c>
      <c r="G569" s="50" t="s">
        <v>4975</v>
      </c>
      <c r="H569" s="50" t="s">
        <v>232</v>
      </c>
      <c r="I569" s="65" t="s">
        <v>708</v>
      </c>
      <c r="J569" s="50" t="s">
        <v>84</v>
      </c>
      <c r="K569" s="50" t="s">
        <v>84</v>
      </c>
      <c r="L569" s="50" t="s">
        <v>25</v>
      </c>
      <c r="M569" s="273">
        <v>46003.0</v>
      </c>
      <c r="N569" s="54">
        <v>2025.0</v>
      </c>
      <c r="O569" s="273">
        <v>46081.0</v>
      </c>
      <c r="P569" s="59">
        <v>2026.0</v>
      </c>
      <c r="Q569" s="60">
        <v>78.0</v>
      </c>
      <c r="R569" s="59">
        <v>1.0</v>
      </c>
      <c r="S569" s="50" t="s">
        <v>4977</v>
      </c>
      <c r="T569" s="54" t="s">
        <v>113</v>
      </c>
      <c r="U569" s="96">
        <v>0.0</v>
      </c>
      <c r="V569" s="50" t="s">
        <v>4978</v>
      </c>
      <c r="W569" s="50" t="s">
        <v>4979</v>
      </c>
      <c r="X569" s="50" t="s">
        <v>4979</v>
      </c>
      <c r="Y569" s="50" t="s">
        <v>243</v>
      </c>
      <c r="Z569" s="50" t="s">
        <v>247</v>
      </c>
      <c r="AA569" s="50" t="s">
        <v>65</v>
      </c>
      <c r="AB569" s="65" t="s">
        <v>1499</v>
      </c>
      <c r="AC569" s="65" t="s">
        <v>164</v>
      </c>
      <c r="AD569" s="65" t="s">
        <v>251</v>
      </c>
      <c r="AE569" s="81" t="s">
        <v>220</v>
      </c>
    </row>
    <row r="570">
      <c r="A570" s="31" t="s">
        <v>169</v>
      </c>
      <c r="B570" s="31" t="s">
        <v>67</v>
      </c>
      <c r="C570" s="132" t="s">
        <v>4980</v>
      </c>
      <c r="D570" s="33">
        <v>600730.0</v>
      </c>
      <c r="E570" s="31" t="s">
        <v>4560</v>
      </c>
      <c r="F570" s="31" t="s">
        <v>4981</v>
      </c>
      <c r="G570" s="133"/>
      <c r="H570" s="31" t="s">
        <v>103</v>
      </c>
      <c r="I570" s="46" t="s">
        <v>708</v>
      </c>
      <c r="J570" s="31" t="s">
        <v>146</v>
      </c>
      <c r="K570" s="41" t="s">
        <v>84</v>
      </c>
      <c r="L570" s="31" t="s">
        <v>181</v>
      </c>
      <c r="M570" s="37">
        <v>46003.0</v>
      </c>
      <c r="N570" s="70" t="str">
        <f>right(M570,4)</f>
        <v>2025</v>
      </c>
      <c r="O570" s="37">
        <v>46072.0</v>
      </c>
      <c r="P570" s="102" t="str">
        <f>right(O570,4)</f>
        <v>2026</v>
      </c>
      <c r="Q570" s="73">
        <f>DATEDIF(M570,O570,"d")</f>
        <v>69</v>
      </c>
      <c r="R570" s="93">
        <f>DATEDIF(M570,O570,"y")</f>
        <v>0</v>
      </c>
      <c r="S570" s="133"/>
      <c r="T570" s="135"/>
      <c r="U570" s="31">
        <v>0.0</v>
      </c>
      <c r="V570" s="41"/>
      <c r="W570" s="31" t="s">
        <v>4982</v>
      </c>
      <c r="X570" s="31" t="s">
        <v>4982</v>
      </c>
      <c r="Y570" s="41" t="s">
        <v>243</v>
      </c>
      <c r="Z570" s="101" t="s">
        <v>247</v>
      </c>
      <c r="AA570" s="31" t="s">
        <v>123</v>
      </c>
      <c r="AB570" s="31" t="s">
        <v>213</v>
      </c>
      <c r="AC570" s="46" t="s">
        <v>164</v>
      </c>
      <c r="AD570" s="46" t="s">
        <v>251</v>
      </c>
      <c r="AE570" s="111" t="s">
        <v>220</v>
      </c>
    </row>
    <row r="571">
      <c r="A571" s="50" t="s">
        <v>64</v>
      </c>
      <c r="B571" s="50" t="s">
        <v>67</v>
      </c>
      <c r="C571" s="52" t="s">
        <v>4983</v>
      </c>
      <c r="D571" s="54">
        <v>600117.0</v>
      </c>
      <c r="E571" s="50" t="s">
        <v>1073</v>
      </c>
      <c r="F571" s="50" t="s">
        <v>1076</v>
      </c>
      <c r="G571" s="50" t="s">
        <v>1077</v>
      </c>
      <c r="H571" s="50" t="s">
        <v>1421</v>
      </c>
      <c r="I571" s="50" t="s">
        <v>708</v>
      </c>
      <c r="J571" s="50" t="s">
        <v>233</v>
      </c>
      <c r="K571" s="50" t="s">
        <v>248</v>
      </c>
      <c r="L571" s="50" t="s">
        <v>181</v>
      </c>
      <c r="M571" s="57">
        <v>46006.0</v>
      </c>
      <c r="N571" s="54">
        <v>2025.0</v>
      </c>
      <c r="O571" s="57">
        <v>46188.0</v>
      </c>
      <c r="P571" s="59">
        <v>2026.0</v>
      </c>
      <c r="Q571" s="60">
        <v>182.0</v>
      </c>
      <c r="R571" s="59">
        <v>1.0</v>
      </c>
      <c r="S571" s="61"/>
      <c r="T571" s="54" t="s">
        <v>113</v>
      </c>
      <c r="U571" s="62">
        <v>1.0</v>
      </c>
      <c r="V571" s="61"/>
      <c r="W571" s="50" t="s">
        <v>1086</v>
      </c>
      <c r="X571" s="50" t="s">
        <v>1086</v>
      </c>
      <c r="Y571" s="50" t="s">
        <v>2783</v>
      </c>
      <c r="Z571" s="50" t="s">
        <v>261</v>
      </c>
      <c r="AA571" s="50" t="s">
        <v>14</v>
      </c>
      <c r="AB571" s="50" t="s">
        <v>124</v>
      </c>
      <c r="AC571" s="65" t="s">
        <v>337</v>
      </c>
      <c r="AD571" s="66"/>
      <c r="AE571" s="67"/>
    </row>
    <row r="572">
      <c r="A572" s="31" t="s">
        <v>64</v>
      </c>
      <c r="B572" s="31" t="s">
        <v>19</v>
      </c>
      <c r="C572" s="132" t="s">
        <v>4984</v>
      </c>
      <c r="D572" s="303">
        <v>600739.0</v>
      </c>
      <c r="E572" s="31" t="s">
        <v>4561</v>
      </c>
      <c r="F572" s="31" t="s">
        <v>4985</v>
      </c>
      <c r="G572" s="31" t="s">
        <v>4986</v>
      </c>
      <c r="H572" s="31" t="s">
        <v>232</v>
      </c>
      <c r="I572" s="46" t="s">
        <v>104</v>
      </c>
      <c r="J572" s="31" t="s">
        <v>146</v>
      </c>
      <c r="K572" s="31" t="s">
        <v>147</v>
      </c>
      <c r="L572" s="31" t="s">
        <v>181</v>
      </c>
      <c r="M572" s="299">
        <v>46006.0</v>
      </c>
      <c r="N572" s="33">
        <v>2025.0</v>
      </c>
      <c r="O572" s="305">
        <v>46375.0</v>
      </c>
      <c r="P572" s="39">
        <v>2026.0</v>
      </c>
      <c r="Q572" s="40">
        <v>369.0</v>
      </c>
      <c r="R572" s="39">
        <v>2.0</v>
      </c>
      <c r="S572" s="133"/>
      <c r="T572" s="33" t="s">
        <v>113</v>
      </c>
      <c r="U572" s="43">
        <v>0.0</v>
      </c>
      <c r="V572" s="41"/>
      <c r="W572" s="31" t="s">
        <v>4987</v>
      </c>
      <c r="X572" s="31" t="s">
        <v>4989</v>
      </c>
      <c r="Y572" s="31" t="s">
        <v>2103</v>
      </c>
      <c r="Z572" s="31" t="s">
        <v>261</v>
      </c>
      <c r="AA572" s="31" t="s">
        <v>123</v>
      </c>
      <c r="AB572" s="46" t="s">
        <v>124</v>
      </c>
      <c r="AC572" s="46" t="s">
        <v>276</v>
      </c>
      <c r="AD572" s="136"/>
      <c r="AE572" s="111"/>
    </row>
    <row r="573">
      <c r="A573" s="50" t="s">
        <v>169</v>
      </c>
      <c r="B573" s="50" t="s">
        <v>67</v>
      </c>
      <c r="C573" s="264" t="s">
        <v>4990</v>
      </c>
      <c r="D573" s="252">
        <v>600736.0</v>
      </c>
      <c r="E573" s="50" t="s">
        <v>4562</v>
      </c>
      <c r="F573" s="50" t="s">
        <v>4991</v>
      </c>
      <c r="G573" s="50" t="s">
        <v>4992</v>
      </c>
      <c r="H573" s="50" t="s">
        <v>232</v>
      </c>
      <c r="I573" s="65" t="s">
        <v>104</v>
      </c>
      <c r="J573" s="50" t="s">
        <v>233</v>
      </c>
      <c r="K573" s="50" t="s">
        <v>236</v>
      </c>
      <c r="L573" s="50" t="s">
        <v>181</v>
      </c>
      <c r="M573" s="273">
        <v>46008.0</v>
      </c>
      <c r="N573" s="54">
        <v>2025.0</v>
      </c>
      <c r="O573" s="273">
        <v>46022.0</v>
      </c>
      <c r="P573" s="59">
        <v>2025.0</v>
      </c>
      <c r="Q573" s="60">
        <v>14.0</v>
      </c>
      <c r="R573" s="59">
        <v>1.0</v>
      </c>
      <c r="S573" s="50" t="s">
        <v>4993</v>
      </c>
      <c r="T573" s="54" t="s">
        <v>113</v>
      </c>
      <c r="U573" s="50">
        <v>0.0</v>
      </c>
      <c r="V573" s="61"/>
      <c r="W573" s="50" t="s">
        <v>4994</v>
      </c>
      <c r="X573" s="50" t="s">
        <v>4994</v>
      </c>
      <c r="Y573" s="50" t="s">
        <v>243</v>
      </c>
      <c r="Z573" s="50" t="s">
        <v>247</v>
      </c>
      <c r="AA573" s="50" t="s">
        <v>65</v>
      </c>
      <c r="AB573" s="65" t="s">
        <v>1499</v>
      </c>
      <c r="AC573" s="65" t="s">
        <v>164</v>
      </c>
      <c r="AD573" s="65" t="s">
        <v>251</v>
      </c>
      <c r="AE573" s="81" t="s">
        <v>220</v>
      </c>
    </row>
    <row r="574">
      <c r="A574" s="31" t="s">
        <v>169</v>
      </c>
      <c r="B574" s="31" t="s">
        <v>19</v>
      </c>
      <c r="C574" s="280">
        <v>922.0</v>
      </c>
      <c r="D574" s="303">
        <v>600741.0</v>
      </c>
      <c r="E574" s="31" t="s">
        <v>4563</v>
      </c>
      <c r="F574" s="31" t="s">
        <v>4995</v>
      </c>
      <c r="G574" s="31" t="s">
        <v>4996</v>
      </c>
      <c r="H574" s="31" t="s">
        <v>178</v>
      </c>
      <c r="I574" s="46" t="s">
        <v>708</v>
      </c>
      <c r="J574" s="31" t="s">
        <v>233</v>
      </c>
      <c r="K574" s="31" t="s">
        <v>236</v>
      </c>
      <c r="L574" s="31" t="s">
        <v>181</v>
      </c>
      <c r="M574" s="299">
        <v>46013.0</v>
      </c>
      <c r="N574" s="33">
        <v>2025.0</v>
      </c>
      <c r="O574" s="305">
        <v>46387.0</v>
      </c>
      <c r="P574" s="39">
        <v>2026.0</v>
      </c>
      <c r="Q574" s="40">
        <v>374.0</v>
      </c>
      <c r="R574" s="39">
        <v>2.0</v>
      </c>
      <c r="S574" s="31" t="s">
        <v>4997</v>
      </c>
      <c r="T574" s="33" t="s">
        <v>113</v>
      </c>
      <c r="U574" s="31">
        <v>2.0</v>
      </c>
      <c r="V574" s="41"/>
      <c r="W574" s="31" t="s">
        <v>4998</v>
      </c>
      <c r="X574" s="31" t="s">
        <v>4998</v>
      </c>
      <c r="Y574" s="31" t="s">
        <v>740</v>
      </c>
      <c r="Z574" s="31" t="s">
        <v>210</v>
      </c>
      <c r="AA574" s="31" t="s">
        <v>14</v>
      </c>
      <c r="AB574" s="46" t="s">
        <v>975</v>
      </c>
      <c r="AC574" s="46" t="s">
        <v>128</v>
      </c>
      <c r="AD574" s="46"/>
      <c r="AE574" s="111"/>
    </row>
    <row r="575">
      <c r="A575" s="50" t="s">
        <v>64</v>
      </c>
      <c r="B575" s="50" t="s">
        <v>67</v>
      </c>
      <c r="C575" s="256">
        <v>923.0</v>
      </c>
      <c r="D575" s="252" t="s">
        <v>4999</v>
      </c>
      <c r="E575" s="50" t="s">
        <v>4564</v>
      </c>
      <c r="F575" s="50" t="s">
        <v>5000</v>
      </c>
      <c r="G575" s="50" t="s">
        <v>5001</v>
      </c>
      <c r="H575" s="50" t="s">
        <v>1421</v>
      </c>
      <c r="I575" s="65" t="s">
        <v>106</v>
      </c>
      <c r="J575" s="50" t="s">
        <v>146</v>
      </c>
      <c r="K575" s="50" t="s">
        <v>147</v>
      </c>
      <c r="L575" s="50" t="s">
        <v>5002</v>
      </c>
      <c r="M575" s="273">
        <v>46014.0</v>
      </c>
      <c r="N575" s="54">
        <v>2025.0</v>
      </c>
      <c r="O575" s="304">
        <v>46177.0</v>
      </c>
      <c r="P575" s="59">
        <v>2026.0</v>
      </c>
      <c r="Q575" s="60">
        <v>30.0</v>
      </c>
      <c r="R575" s="59">
        <v>1.0</v>
      </c>
      <c r="S575" s="50" t="s">
        <v>4931</v>
      </c>
      <c r="T575" s="54" t="s">
        <v>113</v>
      </c>
      <c r="U575" s="50">
        <v>0.0</v>
      </c>
      <c r="V575" s="61"/>
      <c r="W575" s="50" t="s">
        <v>5003</v>
      </c>
      <c r="X575" s="50" t="s">
        <v>5003</v>
      </c>
      <c r="Y575" s="50" t="s">
        <v>121</v>
      </c>
      <c r="Z575" s="50" t="s">
        <v>261</v>
      </c>
      <c r="AA575" s="50" t="s">
        <v>211</v>
      </c>
      <c r="AB575" s="65" t="s">
        <v>2254</v>
      </c>
      <c r="AC575" s="65" t="s">
        <v>337</v>
      </c>
      <c r="AD575" s="277"/>
      <c r="AE575" s="108" t="s">
        <v>220</v>
      </c>
    </row>
    <row r="576">
      <c r="A576" s="31" t="s">
        <v>64</v>
      </c>
      <c r="B576" s="31" t="s">
        <v>19</v>
      </c>
      <c r="C576" s="132" t="s">
        <v>5006</v>
      </c>
      <c r="D576" s="303">
        <v>600745.0</v>
      </c>
      <c r="E576" s="31" t="s">
        <v>986</v>
      </c>
      <c r="F576" s="31" t="s">
        <v>5008</v>
      </c>
      <c r="G576" s="31" t="s">
        <v>5010</v>
      </c>
      <c r="H576" s="31" t="s">
        <v>232</v>
      </c>
      <c r="I576" s="46" t="s">
        <v>104</v>
      </c>
      <c r="J576" s="31" t="s">
        <v>146</v>
      </c>
      <c r="K576" s="31" t="s">
        <v>147</v>
      </c>
      <c r="L576" s="31" t="s">
        <v>105</v>
      </c>
      <c r="M576" s="299">
        <v>46023.0</v>
      </c>
      <c r="N576" s="33">
        <v>2026.0</v>
      </c>
      <c r="O576" s="305">
        <v>46387.0</v>
      </c>
      <c r="P576" s="39">
        <v>2026.0</v>
      </c>
      <c r="Q576" s="40">
        <v>364.0</v>
      </c>
      <c r="R576" s="39">
        <v>1.0</v>
      </c>
      <c r="S576" s="31"/>
      <c r="T576" s="33" t="s">
        <v>269</v>
      </c>
      <c r="U576" s="75">
        <v>0.0</v>
      </c>
      <c r="V576" s="41"/>
      <c r="W576" s="31" t="s">
        <v>5011</v>
      </c>
      <c r="X576" s="31" t="s">
        <v>5012</v>
      </c>
      <c r="Y576" s="31" t="s">
        <v>2103</v>
      </c>
      <c r="Z576" s="31" t="s">
        <v>261</v>
      </c>
      <c r="AA576" s="31" t="s">
        <v>38</v>
      </c>
      <c r="AB576" s="46" t="s">
        <v>2254</v>
      </c>
      <c r="AC576" s="46" t="s">
        <v>128</v>
      </c>
      <c r="AD576" s="77"/>
      <c r="AE576" s="111"/>
    </row>
    <row r="577">
      <c r="A577" s="50" t="s">
        <v>64</v>
      </c>
      <c r="B577" s="50" t="s">
        <v>19</v>
      </c>
      <c r="C577" s="256">
        <v>924.0</v>
      </c>
      <c r="D577" s="252">
        <v>600744.0</v>
      </c>
      <c r="E577" s="50" t="s">
        <v>991</v>
      </c>
      <c r="F577" s="50" t="s">
        <v>5013</v>
      </c>
      <c r="G577" s="50" t="s">
        <v>5015</v>
      </c>
      <c r="H577" s="50" t="s">
        <v>232</v>
      </c>
      <c r="I577" s="65" t="s">
        <v>104</v>
      </c>
      <c r="J577" s="50" t="s">
        <v>146</v>
      </c>
      <c r="K577" s="50" t="s">
        <v>147</v>
      </c>
      <c r="L577" s="50" t="s">
        <v>25</v>
      </c>
      <c r="M577" s="304">
        <v>46030.0</v>
      </c>
      <c r="N577" s="54">
        <v>2026.0</v>
      </c>
      <c r="O577" s="304">
        <v>46397.0</v>
      </c>
      <c r="P577" s="59">
        <v>2027.0</v>
      </c>
      <c r="Q577" s="60">
        <v>367.0</v>
      </c>
      <c r="R577" s="59">
        <v>2.0</v>
      </c>
      <c r="S577" s="272"/>
      <c r="T577" s="54" t="s">
        <v>113</v>
      </c>
      <c r="U577" s="50">
        <v>0.0</v>
      </c>
      <c r="V577" s="61"/>
      <c r="W577" s="50" t="s">
        <v>5020</v>
      </c>
      <c r="X577" s="50" t="s">
        <v>5024</v>
      </c>
      <c r="Y577" s="50" t="s">
        <v>2799</v>
      </c>
      <c r="Z577" s="50" t="s">
        <v>261</v>
      </c>
      <c r="AA577" s="50" t="s">
        <v>38</v>
      </c>
      <c r="AB577" s="65" t="s">
        <v>124</v>
      </c>
      <c r="AC577" s="65" t="s">
        <v>276</v>
      </c>
      <c r="AD577" s="277"/>
      <c r="AE577" s="81"/>
    </row>
    <row r="578">
      <c r="A578" s="323" t="s">
        <v>64</v>
      </c>
      <c r="B578" s="323" t="s">
        <v>19</v>
      </c>
      <c r="C578" s="325">
        <v>925.0</v>
      </c>
      <c r="D578" s="328" t="s">
        <v>5025</v>
      </c>
      <c r="E578" s="323" t="s">
        <v>5026</v>
      </c>
      <c r="F578" s="323" t="s">
        <v>5027</v>
      </c>
      <c r="G578" s="323" t="s">
        <v>5029</v>
      </c>
      <c r="H578" s="323" t="s">
        <v>232</v>
      </c>
      <c r="I578" s="295" t="s">
        <v>708</v>
      </c>
      <c r="J578" s="323" t="s">
        <v>84</v>
      </c>
      <c r="K578" s="330"/>
      <c r="L578" s="323" t="s">
        <v>181</v>
      </c>
      <c r="M578" s="333">
        <v>46035.0</v>
      </c>
      <c r="N578" s="335">
        <v>2026.0</v>
      </c>
      <c r="O578" s="333">
        <v>46399.0</v>
      </c>
      <c r="P578" s="336">
        <v>2027.0</v>
      </c>
      <c r="Q578" s="337">
        <v>364.0</v>
      </c>
      <c r="R578" s="336">
        <v>1.0</v>
      </c>
      <c r="S578" s="330"/>
      <c r="T578" s="335" t="s">
        <v>113</v>
      </c>
      <c r="U578" s="323">
        <v>0.0</v>
      </c>
      <c r="V578" s="339"/>
      <c r="W578" s="323" t="s">
        <v>5034</v>
      </c>
      <c r="X578" s="323" t="s">
        <v>5035</v>
      </c>
      <c r="Y578" s="323" t="s">
        <v>2799</v>
      </c>
      <c r="Z578" s="101" t="s">
        <v>777</v>
      </c>
      <c r="AA578" s="31" t="s">
        <v>211</v>
      </c>
      <c r="AB578" s="295" t="s">
        <v>768</v>
      </c>
      <c r="AC578" s="295" t="s">
        <v>164</v>
      </c>
      <c r="AD578" s="295" t="s">
        <v>1983</v>
      </c>
      <c r="AE578" s="341"/>
    </row>
    <row r="579">
      <c r="A579" s="342" t="s">
        <v>64</v>
      </c>
      <c r="B579" s="342" t="s">
        <v>19</v>
      </c>
      <c r="C579" s="343">
        <v>926.0</v>
      </c>
      <c r="D579" s="344">
        <v>600548.0</v>
      </c>
      <c r="E579" s="342" t="s">
        <v>4567</v>
      </c>
      <c r="F579" s="342" t="s">
        <v>5041</v>
      </c>
      <c r="G579" s="342" t="s">
        <v>5042</v>
      </c>
      <c r="H579" s="342" t="s">
        <v>232</v>
      </c>
      <c r="I579" s="200" t="s">
        <v>104</v>
      </c>
      <c r="J579" s="342" t="s">
        <v>84</v>
      </c>
      <c r="K579" s="342" t="s">
        <v>84</v>
      </c>
      <c r="L579" s="342" t="s">
        <v>181</v>
      </c>
      <c r="M579" s="345">
        <v>46037.0</v>
      </c>
      <c r="N579" s="346">
        <v>2026.0</v>
      </c>
      <c r="O579" s="345">
        <v>46401.0</v>
      </c>
      <c r="P579" s="347">
        <v>2027.0</v>
      </c>
      <c r="Q579" s="348">
        <v>364.0</v>
      </c>
      <c r="R579" s="347">
        <v>1.0</v>
      </c>
      <c r="S579" s="349"/>
      <c r="T579" s="346" t="s">
        <v>113</v>
      </c>
      <c r="U579" s="342">
        <v>0.0</v>
      </c>
      <c r="V579" s="350"/>
      <c r="W579" s="342" t="s">
        <v>5043</v>
      </c>
      <c r="X579" s="342" t="s">
        <v>5043</v>
      </c>
      <c r="Y579" s="342" t="s">
        <v>2418</v>
      </c>
      <c r="Z579" s="80" t="s">
        <v>210</v>
      </c>
      <c r="AA579" s="50" t="s">
        <v>14</v>
      </c>
      <c r="AB579" s="200" t="s">
        <v>768</v>
      </c>
      <c r="AC579" s="200" t="s">
        <v>161</v>
      </c>
      <c r="AD579" s="200" t="s">
        <v>1983</v>
      </c>
      <c r="AE579" s="351"/>
    </row>
    <row r="580">
      <c r="A580" s="323" t="s">
        <v>64</v>
      </c>
      <c r="B580" s="323" t="s">
        <v>19</v>
      </c>
      <c r="C580" s="325">
        <v>927.0</v>
      </c>
      <c r="D580" s="328">
        <v>800052.0</v>
      </c>
      <c r="E580" s="323" t="s">
        <v>4568</v>
      </c>
      <c r="F580" s="323" t="s">
        <v>5045</v>
      </c>
      <c r="G580" s="323" t="s">
        <v>4697</v>
      </c>
      <c r="H580" s="323" t="s">
        <v>103</v>
      </c>
      <c r="I580" s="295" t="s">
        <v>104</v>
      </c>
      <c r="J580" s="323" t="s">
        <v>146</v>
      </c>
      <c r="K580" s="323" t="s">
        <v>147</v>
      </c>
      <c r="L580" s="323" t="s">
        <v>484</v>
      </c>
      <c r="M580" s="333">
        <v>46042.0</v>
      </c>
      <c r="N580" s="335">
        <v>2026.0</v>
      </c>
      <c r="O580" s="333">
        <v>46511.0</v>
      </c>
      <c r="P580" s="336">
        <v>2027.0</v>
      </c>
      <c r="Q580" s="337">
        <v>469.0</v>
      </c>
      <c r="R580" s="336">
        <v>2.0</v>
      </c>
      <c r="S580" s="330"/>
      <c r="T580" s="335" t="s">
        <v>113</v>
      </c>
      <c r="U580" s="323">
        <v>0.0</v>
      </c>
      <c r="V580" s="339"/>
      <c r="W580" s="323" t="s">
        <v>5048</v>
      </c>
      <c r="X580" s="323" t="s">
        <v>5048</v>
      </c>
      <c r="Y580" s="323" t="s">
        <v>740</v>
      </c>
      <c r="Z580" s="323" t="s">
        <v>122</v>
      </c>
      <c r="AA580" s="323" t="s">
        <v>65</v>
      </c>
      <c r="AB580" s="295" t="s">
        <v>768</v>
      </c>
      <c r="AC580" s="295" t="s">
        <v>128</v>
      </c>
      <c r="AD580" s="352"/>
      <c r="AE580" s="78"/>
    </row>
    <row r="581">
      <c r="A581" s="342" t="s">
        <v>64</v>
      </c>
      <c r="B581" s="342" t="s">
        <v>67</v>
      </c>
      <c r="C581" s="343">
        <v>928.0</v>
      </c>
      <c r="D581" s="344">
        <v>0.0</v>
      </c>
      <c r="E581" s="342" t="s">
        <v>4569</v>
      </c>
      <c r="F581" s="342" t="s">
        <v>5052</v>
      </c>
      <c r="G581" s="342" t="s">
        <v>5053</v>
      </c>
      <c r="H581" s="342" t="s">
        <v>178</v>
      </c>
      <c r="I581" s="200" t="s">
        <v>106</v>
      </c>
      <c r="J581" s="342" t="s">
        <v>84</v>
      </c>
      <c r="K581" s="342" t="s">
        <v>84</v>
      </c>
      <c r="L581" s="342" t="s">
        <v>3234</v>
      </c>
      <c r="M581" s="345">
        <v>46042.0</v>
      </c>
      <c r="N581" s="346">
        <v>2026.0</v>
      </c>
      <c r="O581" s="345">
        <v>46058.0</v>
      </c>
      <c r="P581" s="347">
        <v>2026.0</v>
      </c>
      <c r="Q581" s="348">
        <v>16.0</v>
      </c>
      <c r="R581" s="347">
        <v>1.0</v>
      </c>
      <c r="S581" s="342" t="s">
        <v>5056</v>
      </c>
      <c r="T581" s="346" t="s">
        <v>113</v>
      </c>
      <c r="U581" s="342">
        <v>0.0</v>
      </c>
      <c r="V581" s="350"/>
      <c r="W581" s="342" t="s">
        <v>5057</v>
      </c>
      <c r="X581" s="342" t="s">
        <v>5057</v>
      </c>
      <c r="Y581" s="342" t="s">
        <v>2103</v>
      </c>
      <c r="Z581" s="342" t="s">
        <v>261</v>
      </c>
      <c r="AA581" s="342" t="s">
        <v>211</v>
      </c>
      <c r="AB581" s="200" t="s">
        <v>2290</v>
      </c>
      <c r="AC581" s="200" t="s">
        <v>337</v>
      </c>
      <c r="AD581" s="353"/>
      <c r="AE581" s="108" t="s">
        <v>220</v>
      </c>
    </row>
    <row r="582">
      <c r="A582" s="323" t="s">
        <v>169</v>
      </c>
      <c r="B582" s="323" t="s">
        <v>19</v>
      </c>
      <c r="C582" s="325">
        <v>929.0</v>
      </c>
      <c r="D582" s="328" t="s">
        <v>5061</v>
      </c>
      <c r="E582" s="323" t="s">
        <v>4570</v>
      </c>
      <c r="F582" s="323" t="s">
        <v>5062</v>
      </c>
      <c r="G582" s="323" t="s">
        <v>5063</v>
      </c>
      <c r="H582" s="323" t="s">
        <v>232</v>
      </c>
      <c r="I582" s="295" t="s">
        <v>104</v>
      </c>
      <c r="J582" s="323" t="s">
        <v>84</v>
      </c>
      <c r="K582" s="323" t="s">
        <v>1809</v>
      </c>
      <c r="L582" s="323" t="s">
        <v>181</v>
      </c>
      <c r="M582" s="333">
        <v>46048.0</v>
      </c>
      <c r="N582" s="335">
        <v>2026.0</v>
      </c>
      <c r="O582" s="333">
        <v>46412.0</v>
      </c>
      <c r="P582" s="336">
        <v>2027.0</v>
      </c>
      <c r="Q582" s="337">
        <v>364.0</v>
      </c>
      <c r="R582" s="336">
        <v>1.0</v>
      </c>
      <c r="S582" s="323" t="s">
        <v>5065</v>
      </c>
      <c r="T582" s="335" t="s">
        <v>113</v>
      </c>
      <c r="U582" s="323">
        <v>0.0</v>
      </c>
      <c r="V582" s="339"/>
      <c r="W582" s="323" t="s">
        <v>5067</v>
      </c>
      <c r="X582" s="323" t="s">
        <v>5067</v>
      </c>
      <c r="Y582" s="323" t="s">
        <v>209</v>
      </c>
      <c r="Z582" s="323" t="s">
        <v>122</v>
      </c>
      <c r="AA582" s="323" t="s">
        <v>14</v>
      </c>
      <c r="AB582" s="295" t="s">
        <v>621</v>
      </c>
      <c r="AC582" s="46" t="s">
        <v>276</v>
      </c>
      <c r="AD582" s="295" t="s">
        <v>295</v>
      </c>
      <c r="AE582" s="355"/>
    </row>
    <row r="583">
      <c r="A583" s="342" t="s">
        <v>64</v>
      </c>
      <c r="B583" s="342" t="s">
        <v>67</v>
      </c>
      <c r="C583" s="343">
        <v>930.0</v>
      </c>
      <c r="D583" s="344" t="s">
        <v>5068</v>
      </c>
      <c r="E583" s="342" t="s">
        <v>4571</v>
      </c>
      <c r="F583" s="342" t="s">
        <v>5069</v>
      </c>
      <c r="G583" s="342" t="s">
        <v>5070</v>
      </c>
      <c r="H583" s="342" t="s">
        <v>1421</v>
      </c>
      <c r="I583" s="200" t="s">
        <v>106</v>
      </c>
      <c r="J583" s="342" t="s">
        <v>84</v>
      </c>
      <c r="K583" s="342" t="s">
        <v>84</v>
      </c>
      <c r="L583" s="342" t="s">
        <v>5071</v>
      </c>
      <c r="M583" s="345">
        <v>46049.0</v>
      </c>
      <c r="N583" s="346">
        <v>2026.0</v>
      </c>
      <c r="O583" s="345">
        <v>46173.0</v>
      </c>
      <c r="P583" s="347">
        <v>2026.0</v>
      </c>
      <c r="Q583" s="348">
        <v>124.0</v>
      </c>
      <c r="R583" s="347">
        <v>1.0</v>
      </c>
      <c r="S583" s="342" t="s">
        <v>5072</v>
      </c>
      <c r="T583" s="346" t="s">
        <v>113</v>
      </c>
      <c r="U583" s="342">
        <v>0.0</v>
      </c>
      <c r="V583" s="350"/>
      <c r="W583" s="342" t="s">
        <v>5073</v>
      </c>
      <c r="X583" s="349"/>
      <c r="Y583" s="342" t="s">
        <v>2799</v>
      </c>
      <c r="Z583" s="342" t="s">
        <v>122</v>
      </c>
      <c r="AA583" s="342" t="s">
        <v>211</v>
      </c>
      <c r="AB583" s="200" t="s">
        <v>768</v>
      </c>
      <c r="AC583" s="200" t="s">
        <v>164</v>
      </c>
      <c r="AD583" s="353"/>
      <c r="AE583" s="108" t="s">
        <v>220</v>
      </c>
    </row>
    <row r="584">
      <c r="A584" s="323" t="s">
        <v>64</v>
      </c>
      <c r="B584" s="323" t="s">
        <v>19</v>
      </c>
      <c r="C584" s="325">
        <v>931.0</v>
      </c>
      <c r="D584" s="328">
        <v>600749.0</v>
      </c>
      <c r="E584" s="323" t="s">
        <v>803</v>
      </c>
      <c r="F584" s="323" t="s">
        <v>5077</v>
      </c>
      <c r="G584" s="323" t="s">
        <v>5078</v>
      </c>
      <c r="H584" s="323" t="s">
        <v>232</v>
      </c>
      <c r="I584" s="295" t="s">
        <v>104</v>
      </c>
      <c r="J584" s="323" t="s">
        <v>146</v>
      </c>
      <c r="K584" s="323" t="s">
        <v>147</v>
      </c>
      <c r="L584" s="323" t="s">
        <v>105</v>
      </c>
      <c r="M584" s="333">
        <v>46050.0</v>
      </c>
      <c r="N584" s="335">
        <v>2026.0</v>
      </c>
      <c r="O584" s="333">
        <v>46413.0</v>
      </c>
      <c r="P584" s="336">
        <v>172027.0</v>
      </c>
      <c r="Q584" s="337">
        <v>6.2091588E7</v>
      </c>
      <c r="R584" s="336">
        <v>170114.0</v>
      </c>
      <c r="S584" s="330"/>
      <c r="T584" s="335" t="s">
        <v>113</v>
      </c>
      <c r="U584" s="323">
        <v>0.0</v>
      </c>
      <c r="V584" s="339"/>
      <c r="W584" s="323" t="s">
        <v>5079</v>
      </c>
      <c r="X584" s="357" t="s">
        <v>5079</v>
      </c>
      <c r="Y584" s="323" t="s">
        <v>2103</v>
      </c>
      <c r="Z584" s="323" t="s">
        <v>261</v>
      </c>
      <c r="AA584" s="323" t="s">
        <v>14</v>
      </c>
      <c r="AB584" s="295" t="s">
        <v>124</v>
      </c>
      <c r="AC584" s="46" t="s">
        <v>276</v>
      </c>
      <c r="AD584" s="352"/>
      <c r="AE584" s="341"/>
    </row>
    <row r="585">
      <c r="A585" s="342" t="s">
        <v>64</v>
      </c>
      <c r="B585" s="342" t="s">
        <v>19</v>
      </c>
      <c r="C585" s="343">
        <v>932.0</v>
      </c>
      <c r="D585" s="344" t="s">
        <v>4571</v>
      </c>
      <c r="E585" s="342" t="s">
        <v>4572</v>
      </c>
      <c r="F585" s="342" t="s">
        <v>5084</v>
      </c>
      <c r="G585" s="342" t="s">
        <v>5085</v>
      </c>
      <c r="H585" s="342" t="s">
        <v>232</v>
      </c>
      <c r="I585" s="200" t="s">
        <v>104</v>
      </c>
      <c r="J585" s="342" t="s">
        <v>146</v>
      </c>
      <c r="K585" s="342" t="s">
        <v>147</v>
      </c>
      <c r="L585" s="342" t="s">
        <v>1275</v>
      </c>
      <c r="M585" s="345">
        <v>46050.0</v>
      </c>
      <c r="N585" s="346">
        <v>2026.0</v>
      </c>
      <c r="O585" s="345">
        <v>46387.0</v>
      </c>
      <c r="P585" s="347">
        <v>2026.0</v>
      </c>
      <c r="Q585" s="348">
        <v>337.0</v>
      </c>
      <c r="R585" s="347">
        <v>1.0</v>
      </c>
      <c r="S585" s="342" t="s">
        <v>4931</v>
      </c>
      <c r="T585" s="346" t="s">
        <v>113</v>
      </c>
      <c r="U585" s="342">
        <v>0.0</v>
      </c>
      <c r="V585" s="350"/>
      <c r="W585" s="342" t="s">
        <v>5086</v>
      </c>
      <c r="X585" s="342" t="s">
        <v>5086</v>
      </c>
      <c r="Y585" s="342" t="s">
        <v>209</v>
      </c>
      <c r="Z585" s="342" t="s">
        <v>261</v>
      </c>
      <c r="AA585" s="342" t="s">
        <v>211</v>
      </c>
      <c r="AB585" s="200" t="s">
        <v>2254</v>
      </c>
      <c r="AC585" s="65" t="s">
        <v>276</v>
      </c>
      <c r="AD585" s="353"/>
      <c r="AE585" s="351"/>
    </row>
    <row r="586">
      <c r="A586" s="323" t="s">
        <v>64</v>
      </c>
      <c r="B586" s="323" t="s">
        <v>67</v>
      </c>
      <c r="C586" s="325">
        <v>933.0</v>
      </c>
      <c r="D586" s="328">
        <v>20650.0</v>
      </c>
      <c r="E586" s="323" t="s">
        <v>927</v>
      </c>
      <c r="F586" s="323" t="s">
        <v>5089</v>
      </c>
      <c r="G586" s="323" t="s">
        <v>5090</v>
      </c>
      <c r="H586" s="323" t="s">
        <v>232</v>
      </c>
      <c r="I586" s="295" t="s">
        <v>104</v>
      </c>
      <c r="J586" s="323" t="s">
        <v>84</v>
      </c>
      <c r="K586" s="323" t="s">
        <v>84</v>
      </c>
      <c r="L586" s="323" t="s">
        <v>25</v>
      </c>
      <c r="M586" s="333">
        <v>46056.0</v>
      </c>
      <c r="N586" s="335">
        <v>2026.0</v>
      </c>
      <c r="O586" s="333">
        <v>46203.0</v>
      </c>
      <c r="P586" s="336">
        <v>2026.0</v>
      </c>
      <c r="Q586" s="337">
        <v>147.0</v>
      </c>
      <c r="R586" s="336">
        <v>1.0</v>
      </c>
      <c r="S586" s="330"/>
      <c r="T586" s="335" t="s">
        <v>113</v>
      </c>
      <c r="U586" s="323" t="s">
        <v>5091</v>
      </c>
      <c r="V586" s="323" t="s">
        <v>1522</v>
      </c>
      <c r="W586" s="323" t="s">
        <v>5093</v>
      </c>
      <c r="X586" s="323" t="s">
        <v>5093</v>
      </c>
      <c r="Y586" s="323" t="s">
        <v>121</v>
      </c>
      <c r="Z586" s="323" t="s">
        <v>211</v>
      </c>
      <c r="AA586" s="323" t="s">
        <v>38</v>
      </c>
      <c r="AB586" s="295" t="s">
        <v>2254</v>
      </c>
      <c r="AC586" s="295" t="s">
        <v>337</v>
      </c>
      <c r="AD586" s="352"/>
      <c r="AE586" s="78"/>
    </row>
    <row r="587">
      <c r="A587" s="342" t="s">
        <v>407</v>
      </c>
      <c r="B587" s="342" t="s">
        <v>67</v>
      </c>
      <c r="C587" s="343">
        <v>934.0</v>
      </c>
      <c r="D587" s="344" t="s">
        <v>5096</v>
      </c>
      <c r="E587" s="342" t="s">
        <v>4575</v>
      </c>
      <c r="F587" s="342" t="s">
        <v>5097</v>
      </c>
      <c r="G587" s="342" t="s">
        <v>5098</v>
      </c>
      <c r="H587" s="342" t="s">
        <v>1421</v>
      </c>
      <c r="I587" s="200" t="s">
        <v>106</v>
      </c>
      <c r="J587" s="342" t="s">
        <v>146</v>
      </c>
      <c r="K587" s="342" t="s">
        <v>84</v>
      </c>
      <c r="L587" s="342" t="s">
        <v>105</v>
      </c>
      <c r="M587" s="345">
        <v>46057.0</v>
      </c>
      <c r="N587" s="346">
        <v>2026.0</v>
      </c>
      <c r="O587" s="345">
        <v>46087.0</v>
      </c>
      <c r="P587" s="347">
        <v>2026.0</v>
      </c>
      <c r="Q587" s="348">
        <v>30.0</v>
      </c>
      <c r="R587" s="347">
        <v>1.0</v>
      </c>
      <c r="S587" s="342" t="s">
        <v>5099</v>
      </c>
      <c r="T587" s="346" t="s">
        <v>113</v>
      </c>
      <c r="U587" s="342">
        <v>0.0</v>
      </c>
      <c r="V587" s="350"/>
      <c r="W587" s="342" t="s">
        <v>5100</v>
      </c>
      <c r="X587" s="349"/>
      <c r="Y587" s="342" t="s">
        <v>86</v>
      </c>
      <c r="Z587" s="342" t="s">
        <v>122</v>
      </c>
      <c r="AA587" s="342" t="s">
        <v>211</v>
      </c>
      <c r="AB587" s="200" t="s">
        <v>2281</v>
      </c>
      <c r="AC587" s="200" t="s">
        <v>164</v>
      </c>
      <c r="AD587" s="353"/>
      <c r="AE587" s="108" t="s">
        <v>220</v>
      </c>
    </row>
    <row r="588">
      <c r="A588" s="323" t="s">
        <v>407</v>
      </c>
      <c r="B588" s="323" t="s">
        <v>67</v>
      </c>
      <c r="C588" s="325">
        <v>935.0</v>
      </c>
      <c r="D588" s="328" t="s">
        <v>5101</v>
      </c>
      <c r="E588" s="323" t="s">
        <v>4577</v>
      </c>
      <c r="F588" s="323" t="s">
        <v>5102</v>
      </c>
      <c r="G588" s="323" t="s">
        <v>5103</v>
      </c>
      <c r="H588" s="323" t="s">
        <v>1421</v>
      </c>
      <c r="I588" s="295" t="s">
        <v>106</v>
      </c>
      <c r="J588" s="323" t="s">
        <v>146</v>
      </c>
      <c r="K588" s="323" t="s">
        <v>84</v>
      </c>
      <c r="L588" s="323" t="s">
        <v>105</v>
      </c>
      <c r="M588" s="333">
        <v>46057.0</v>
      </c>
      <c r="N588" s="335">
        <v>2026.0</v>
      </c>
      <c r="O588" s="333">
        <v>46087.0</v>
      </c>
      <c r="P588" s="336">
        <v>2026.0</v>
      </c>
      <c r="Q588" s="337">
        <v>30.0</v>
      </c>
      <c r="R588" s="336">
        <v>1.0</v>
      </c>
      <c r="S588" s="323" t="s">
        <v>5104</v>
      </c>
      <c r="T588" s="335" t="s">
        <v>113</v>
      </c>
      <c r="U588" s="323">
        <v>0.0</v>
      </c>
      <c r="V588" s="339"/>
      <c r="W588" s="323" t="s">
        <v>5105</v>
      </c>
      <c r="X588" s="330"/>
      <c r="Y588" s="323" t="s">
        <v>2799</v>
      </c>
      <c r="Z588" s="323" t="s">
        <v>122</v>
      </c>
      <c r="AA588" s="323" t="s">
        <v>211</v>
      </c>
      <c r="AB588" s="295" t="s">
        <v>2281</v>
      </c>
      <c r="AC588" s="295" t="s">
        <v>164</v>
      </c>
      <c r="AD588" s="352"/>
      <c r="AE588" s="78" t="s">
        <v>220</v>
      </c>
    </row>
    <row r="589">
      <c r="A589" s="342" t="s">
        <v>169</v>
      </c>
      <c r="B589" s="342" t="s">
        <v>67</v>
      </c>
      <c r="C589" s="343">
        <v>936.0</v>
      </c>
      <c r="D589" s="344">
        <v>600750.0</v>
      </c>
      <c r="E589" s="342" t="s">
        <v>5106</v>
      </c>
      <c r="F589" s="342" t="s">
        <v>5107</v>
      </c>
      <c r="G589" s="342" t="s">
        <v>5108</v>
      </c>
      <c r="H589" s="342" t="s">
        <v>232</v>
      </c>
      <c r="I589" s="200" t="s">
        <v>708</v>
      </c>
      <c r="J589" s="342" t="s">
        <v>233</v>
      </c>
      <c r="K589" s="342" t="s">
        <v>236</v>
      </c>
      <c r="L589" s="342" t="s">
        <v>181</v>
      </c>
      <c r="M589" s="345">
        <v>46057.0</v>
      </c>
      <c r="N589" s="346">
        <v>2026.0</v>
      </c>
      <c r="O589" s="345">
        <v>46081.0</v>
      </c>
      <c r="P589" s="347">
        <v>2026.0</v>
      </c>
      <c r="Q589" s="348">
        <v>24.0</v>
      </c>
      <c r="R589" s="347">
        <v>1.0</v>
      </c>
      <c r="S589" s="342" t="s">
        <v>5109</v>
      </c>
      <c r="T589" s="346" t="s">
        <v>113</v>
      </c>
      <c r="U589" s="342">
        <v>0.0</v>
      </c>
      <c r="V589" s="350"/>
      <c r="W589" s="342" t="s">
        <v>5110</v>
      </c>
      <c r="X589" s="349"/>
      <c r="Y589" s="342" t="s">
        <v>243</v>
      </c>
      <c r="Z589" s="342" t="s">
        <v>247</v>
      </c>
      <c r="AA589" s="342" t="s">
        <v>65</v>
      </c>
      <c r="AB589" s="200" t="s">
        <v>1499</v>
      </c>
      <c r="AC589" s="200" t="s">
        <v>164</v>
      </c>
      <c r="AD589" s="200" t="s">
        <v>251</v>
      </c>
      <c r="AE589" s="81" t="s">
        <v>220</v>
      </c>
    </row>
    <row r="590">
      <c r="A590" s="323" t="s">
        <v>64</v>
      </c>
      <c r="B590" s="323" t="s">
        <v>19</v>
      </c>
      <c r="C590" s="325">
        <v>937.0</v>
      </c>
      <c r="D590" s="328">
        <v>800017.0</v>
      </c>
      <c r="E590" s="323" t="s">
        <v>4581</v>
      </c>
      <c r="F590" s="323" t="s">
        <v>5111</v>
      </c>
      <c r="G590" s="323" t="s">
        <v>3824</v>
      </c>
      <c r="H590" s="323" t="s">
        <v>1421</v>
      </c>
      <c r="I590" s="295" t="s">
        <v>104</v>
      </c>
      <c r="J590" s="323" t="s">
        <v>146</v>
      </c>
      <c r="K590" s="323" t="s">
        <v>4854</v>
      </c>
      <c r="L590" s="323" t="s">
        <v>181</v>
      </c>
      <c r="M590" s="333">
        <v>46063.0</v>
      </c>
      <c r="N590" s="335">
        <v>2026.0</v>
      </c>
      <c r="O590" s="333">
        <v>46420.0</v>
      </c>
      <c r="P590" s="336">
        <v>2027.0</v>
      </c>
      <c r="Q590" s="337">
        <v>357.0</v>
      </c>
      <c r="R590" s="336">
        <v>1.0</v>
      </c>
      <c r="S590" s="330"/>
      <c r="T590" s="335" t="s">
        <v>113</v>
      </c>
      <c r="U590" s="323">
        <v>0.0</v>
      </c>
      <c r="V590" s="339"/>
      <c r="W590" s="323" t="s">
        <v>5112</v>
      </c>
      <c r="X590" s="330"/>
      <c r="Y590" s="323" t="s">
        <v>2429</v>
      </c>
      <c r="Z590" s="323" t="s">
        <v>122</v>
      </c>
      <c r="AA590" s="323" t="s">
        <v>123</v>
      </c>
      <c r="AB590" s="295" t="s">
        <v>124</v>
      </c>
      <c r="AC590" s="295" t="s">
        <v>161</v>
      </c>
      <c r="AD590" s="352"/>
      <c r="AE590" s="341"/>
    </row>
    <row r="591">
      <c r="A591" s="342" t="s">
        <v>64</v>
      </c>
      <c r="B591" s="342" t="s">
        <v>19</v>
      </c>
      <c r="C591" s="343">
        <v>938.0</v>
      </c>
      <c r="D591" s="344" t="s">
        <v>5113</v>
      </c>
      <c r="E591" s="342" t="s">
        <v>2872</v>
      </c>
      <c r="F591" s="342" t="s">
        <v>5114</v>
      </c>
      <c r="G591" s="342" t="s">
        <v>2874</v>
      </c>
      <c r="H591" s="342" t="s">
        <v>232</v>
      </c>
      <c r="I591" s="200" t="s">
        <v>104</v>
      </c>
      <c r="J591" s="342" t="s">
        <v>146</v>
      </c>
      <c r="K591" s="342" t="s">
        <v>5115</v>
      </c>
      <c r="L591" s="342" t="s">
        <v>2704</v>
      </c>
      <c r="M591" s="345">
        <v>45574.0</v>
      </c>
      <c r="N591" s="346">
        <v>2024.0</v>
      </c>
      <c r="O591" s="345">
        <v>46332.0</v>
      </c>
      <c r="P591" s="347">
        <v>2026.0</v>
      </c>
      <c r="Q591" s="348">
        <v>758.0</v>
      </c>
      <c r="R591" s="347">
        <v>3.0</v>
      </c>
      <c r="S591" s="349"/>
      <c r="T591" s="346" t="s">
        <v>113</v>
      </c>
      <c r="U591" s="342">
        <v>1.0</v>
      </c>
      <c r="V591" s="342" t="s">
        <v>5116</v>
      </c>
      <c r="W591" s="342" t="s">
        <v>5117</v>
      </c>
      <c r="X591" s="342" t="s">
        <v>5117</v>
      </c>
      <c r="Y591" s="342" t="s">
        <v>740</v>
      </c>
      <c r="Z591" s="342" t="s">
        <v>210</v>
      </c>
      <c r="AA591" s="342" t="s">
        <v>14</v>
      </c>
      <c r="AB591" s="200" t="s">
        <v>741</v>
      </c>
      <c r="AC591" s="200" t="s">
        <v>164</v>
      </c>
      <c r="AD591" s="353"/>
      <c r="AE591" s="351"/>
    </row>
    <row r="592">
      <c r="A592" s="323" t="s">
        <v>64</v>
      </c>
      <c r="B592" s="323" t="s">
        <v>19</v>
      </c>
      <c r="C592" s="325">
        <v>939.0</v>
      </c>
      <c r="D592" s="328">
        <v>800047.0</v>
      </c>
      <c r="E592" s="323" t="s">
        <v>4582</v>
      </c>
      <c r="F592" s="323" t="s">
        <v>5118</v>
      </c>
      <c r="G592" s="323" t="s">
        <v>5119</v>
      </c>
      <c r="H592" s="323" t="s">
        <v>232</v>
      </c>
      <c r="I592" s="295" t="s">
        <v>104</v>
      </c>
      <c r="J592" s="323" t="s">
        <v>84</v>
      </c>
      <c r="K592" s="323" t="s">
        <v>84</v>
      </c>
      <c r="L592" s="323" t="s">
        <v>25</v>
      </c>
      <c r="M592" s="333">
        <v>46064.0</v>
      </c>
      <c r="N592" s="335">
        <v>2026.0</v>
      </c>
      <c r="O592" s="333">
        <v>46505.0</v>
      </c>
      <c r="P592" s="336">
        <v>2027.0</v>
      </c>
      <c r="Q592" s="337">
        <v>441.0</v>
      </c>
      <c r="R592" s="336">
        <v>2.0</v>
      </c>
      <c r="S592" s="330"/>
      <c r="T592" s="335" t="s">
        <v>113</v>
      </c>
      <c r="U592" s="323">
        <v>0.0</v>
      </c>
      <c r="V592" s="330"/>
      <c r="W592" s="323" t="s">
        <v>5120</v>
      </c>
      <c r="X592" s="323" t="s">
        <v>5120</v>
      </c>
      <c r="Y592" s="323" t="s">
        <v>1525</v>
      </c>
      <c r="Z592" s="323" t="s">
        <v>210</v>
      </c>
      <c r="AA592" s="323" t="s">
        <v>211</v>
      </c>
      <c r="AB592" s="295" t="s">
        <v>2290</v>
      </c>
      <c r="AC592" s="46" t="s">
        <v>276</v>
      </c>
      <c r="AD592" s="352"/>
      <c r="AE592" s="78"/>
    </row>
    <row r="593">
      <c r="A593" s="342" t="s">
        <v>64</v>
      </c>
      <c r="B593" s="342" t="s">
        <v>19</v>
      </c>
      <c r="C593" s="343">
        <v>940.0</v>
      </c>
      <c r="D593" s="344">
        <v>800003.0</v>
      </c>
      <c r="E593" s="342" t="s">
        <v>4584</v>
      </c>
      <c r="F593" s="342" t="s">
        <v>5121</v>
      </c>
      <c r="G593" s="342" t="s">
        <v>5122</v>
      </c>
      <c r="H593" s="342" t="s">
        <v>232</v>
      </c>
      <c r="I593" s="200" t="s">
        <v>104</v>
      </c>
      <c r="J593" s="342" t="s">
        <v>233</v>
      </c>
      <c r="K593" s="342" t="s">
        <v>236</v>
      </c>
      <c r="L593" s="342" t="s">
        <v>25</v>
      </c>
      <c r="M593" s="345">
        <v>46059.0</v>
      </c>
      <c r="N593" s="346">
        <v>2026.0</v>
      </c>
      <c r="O593" s="345">
        <v>46424.0</v>
      </c>
      <c r="P593" s="347">
        <v>2027.0</v>
      </c>
      <c r="Q593" s="348">
        <v>365.0</v>
      </c>
      <c r="R593" s="347">
        <v>1.0</v>
      </c>
      <c r="S593" s="349"/>
      <c r="T593" s="346" t="s">
        <v>113</v>
      </c>
      <c r="U593" s="342">
        <v>0.0</v>
      </c>
      <c r="V593" s="349"/>
      <c r="W593" s="342" t="s">
        <v>5123</v>
      </c>
      <c r="X593" s="342" t="s">
        <v>5123</v>
      </c>
      <c r="Y593" s="342" t="s">
        <v>2429</v>
      </c>
      <c r="Z593" s="342" t="s">
        <v>211</v>
      </c>
      <c r="AA593" s="342" t="s">
        <v>14</v>
      </c>
      <c r="AB593" s="200" t="s">
        <v>124</v>
      </c>
      <c r="AC593" s="65" t="s">
        <v>276</v>
      </c>
      <c r="AD593" s="353"/>
      <c r="AE593" s="351"/>
    </row>
    <row r="594">
      <c r="A594" s="323" t="s">
        <v>64</v>
      </c>
      <c r="B594" s="323" t="s">
        <v>19</v>
      </c>
      <c r="C594" s="325">
        <v>941.0</v>
      </c>
      <c r="D594" s="328">
        <v>800076.0</v>
      </c>
      <c r="E594" s="323" t="s">
        <v>4586</v>
      </c>
      <c r="F594" s="323" t="s">
        <v>5124</v>
      </c>
      <c r="G594" s="323" t="s">
        <v>5125</v>
      </c>
      <c r="H594" s="323" t="s">
        <v>232</v>
      </c>
      <c r="I594" s="295" t="s">
        <v>104</v>
      </c>
      <c r="J594" s="323" t="s">
        <v>84</v>
      </c>
      <c r="K594" s="323" t="s">
        <v>147</v>
      </c>
      <c r="L594" s="323" t="s">
        <v>105</v>
      </c>
      <c r="M594" s="333">
        <v>46185.0</v>
      </c>
      <c r="N594" s="335">
        <v>2026.0</v>
      </c>
      <c r="O594" s="333">
        <v>46550.0</v>
      </c>
      <c r="P594" s="336">
        <v>2027.0</v>
      </c>
      <c r="Q594" s="337">
        <v>365.0</v>
      </c>
      <c r="R594" s="336">
        <v>1.0</v>
      </c>
      <c r="S594" s="323" t="s">
        <v>5126</v>
      </c>
      <c r="T594" s="335" t="s">
        <v>113</v>
      </c>
      <c r="U594" s="323">
        <v>1.0</v>
      </c>
      <c r="V594" s="330"/>
      <c r="W594" s="323" t="s">
        <v>5127</v>
      </c>
      <c r="X594" s="323" t="s">
        <v>5128</v>
      </c>
      <c r="Y594" s="323" t="s">
        <v>209</v>
      </c>
      <c r="Z594" s="323" t="s">
        <v>261</v>
      </c>
      <c r="AA594" s="323" t="s">
        <v>5129</v>
      </c>
      <c r="AB594" s="295" t="s">
        <v>2254</v>
      </c>
      <c r="AC594" s="295" t="s">
        <v>337</v>
      </c>
      <c r="AD594" s="352"/>
      <c r="AE594" s="78"/>
    </row>
    <row r="595">
      <c r="A595" s="342" t="s">
        <v>169</v>
      </c>
      <c r="B595" s="342" t="s">
        <v>19</v>
      </c>
      <c r="C595" s="343">
        <v>942.0</v>
      </c>
      <c r="D595" s="344">
        <v>800012.0</v>
      </c>
      <c r="E595" s="342" t="s">
        <v>4587</v>
      </c>
      <c r="F595" s="342" t="s">
        <v>5130</v>
      </c>
      <c r="G595" s="342" t="s">
        <v>5131</v>
      </c>
      <c r="H595" s="342" t="s">
        <v>1421</v>
      </c>
      <c r="I595" s="200" t="s">
        <v>104</v>
      </c>
      <c r="J595" s="342" t="s">
        <v>146</v>
      </c>
      <c r="K595" s="342" t="s">
        <v>147</v>
      </c>
      <c r="L595" s="342" t="s">
        <v>181</v>
      </c>
      <c r="M595" s="345">
        <v>46066.0</v>
      </c>
      <c r="N595" s="346">
        <v>2026.0</v>
      </c>
      <c r="O595" s="345">
        <v>46387.0</v>
      </c>
      <c r="P595" s="347">
        <v>2026.0</v>
      </c>
      <c r="Q595" s="348">
        <v>40.0</v>
      </c>
      <c r="R595" s="347">
        <v>1.0</v>
      </c>
      <c r="S595" s="349"/>
      <c r="T595" s="346" t="s">
        <v>113</v>
      </c>
      <c r="U595" s="342">
        <v>0.0</v>
      </c>
      <c r="V595" s="349"/>
      <c r="W595" s="342" t="s">
        <v>5132</v>
      </c>
      <c r="X595" s="342" t="s">
        <v>5132</v>
      </c>
      <c r="Y595" s="342" t="s">
        <v>740</v>
      </c>
      <c r="Z595" s="342" t="s">
        <v>261</v>
      </c>
      <c r="AA595" s="342" t="s">
        <v>14</v>
      </c>
      <c r="AB595" s="193" t="s">
        <v>249</v>
      </c>
      <c r="AC595" s="200" t="s">
        <v>128</v>
      </c>
      <c r="AD595" s="353"/>
      <c r="AE595" s="363"/>
    </row>
    <row r="596">
      <c r="A596" s="323" t="s">
        <v>64</v>
      </c>
      <c r="B596" s="323" t="s">
        <v>19</v>
      </c>
      <c r="C596" s="325">
        <v>943.0</v>
      </c>
      <c r="D596" s="328">
        <v>600194.0</v>
      </c>
      <c r="E596" s="323" t="s">
        <v>301</v>
      </c>
      <c r="F596" s="323" t="s">
        <v>5133</v>
      </c>
      <c r="G596" s="323" t="s">
        <v>5134</v>
      </c>
      <c r="H596" s="323" t="s">
        <v>232</v>
      </c>
      <c r="I596" s="295" t="s">
        <v>104</v>
      </c>
      <c r="J596" s="323" t="s">
        <v>84</v>
      </c>
      <c r="K596" s="323" t="s">
        <v>5135</v>
      </c>
      <c r="L596" s="323" t="s">
        <v>70</v>
      </c>
      <c r="M596" s="333">
        <v>46079.0</v>
      </c>
      <c r="N596" s="335">
        <v>2026.0</v>
      </c>
      <c r="O596" s="333">
        <v>46443.0</v>
      </c>
      <c r="P596" s="336">
        <v>2027.0</v>
      </c>
      <c r="Q596" s="337">
        <v>364.0</v>
      </c>
      <c r="R596" s="336">
        <v>1.0</v>
      </c>
      <c r="S596" s="323" t="s">
        <v>5136</v>
      </c>
      <c r="T596" s="335" t="s">
        <v>113</v>
      </c>
      <c r="U596" s="323">
        <v>0.0</v>
      </c>
      <c r="V596" s="330"/>
      <c r="W596" s="323" t="s">
        <v>5137</v>
      </c>
      <c r="X596" s="323" t="s">
        <v>5137</v>
      </c>
      <c r="Y596" s="323" t="s">
        <v>1660</v>
      </c>
      <c r="Z596" s="323" t="s">
        <v>122</v>
      </c>
      <c r="AA596" s="323" t="s">
        <v>38</v>
      </c>
      <c r="AB596" s="295" t="s">
        <v>768</v>
      </c>
      <c r="AC596" s="46" t="s">
        <v>276</v>
      </c>
      <c r="AD596" s="295" t="s">
        <v>295</v>
      </c>
      <c r="AE596" s="341"/>
    </row>
    <row r="597">
      <c r="A597" s="342" t="s">
        <v>169</v>
      </c>
      <c r="B597" s="342" t="s">
        <v>19</v>
      </c>
      <c r="C597" s="343">
        <v>944.0</v>
      </c>
      <c r="D597" s="344">
        <v>800016.0</v>
      </c>
      <c r="E597" s="342" t="s">
        <v>4589</v>
      </c>
      <c r="F597" s="342" t="s">
        <v>5138</v>
      </c>
      <c r="G597" s="342" t="s">
        <v>5139</v>
      </c>
      <c r="H597" s="342" t="s">
        <v>178</v>
      </c>
      <c r="I597" s="200" t="s">
        <v>708</v>
      </c>
      <c r="J597" s="342" t="s">
        <v>146</v>
      </c>
      <c r="K597" s="342" t="s">
        <v>236</v>
      </c>
      <c r="L597" s="342" t="s">
        <v>181</v>
      </c>
      <c r="M597" s="345">
        <v>46079.0</v>
      </c>
      <c r="N597" s="346">
        <v>2026.0</v>
      </c>
      <c r="O597" s="345">
        <v>46478.0</v>
      </c>
      <c r="P597" s="347">
        <v>2027.0</v>
      </c>
      <c r="Q597" s="348">
        <v>399.0</v>
      </c>
      <c r="R597" s="347">
        <v>2.0</v>
      </c>
      <c r="S597" s="342" t="s">
        <v>5140</v>
      </c>
      <c r="T597" s="346" t="s">
        <v>269</v>
      </c>
      <c r="U597" s="342">
        <v>0.0</v>
      </c>
      <c r="V597" s="349"/>
      <c r="W597" s="342" t="s">
        <v>5141</v>
      </c>
      <c r="X597" s="342" t="s">
        <v>5141</v>
      </c>
      <c r="Y597" s="342" t="s">
        <v>3233</v>
      </c>
      <c r="Z597" s="342" t="s">
        <v>210</v>
      </c>
      <c r="AA597" s="342" t="s">
        <v>65</v>
      </c>
      <c r="AB597" s="200" t="s">
        <v>975</v>
      </c>
      <c r="AC597" s="200" t="s">
        <v>337</v>
      </c>
      <c r="AD597" s="353"/>
      <c r="AE597" s="363"/>
    </row>
    <row r="598">
      <c r="A598" s="323" t="s">
        <v>169</v>
      </c>
      <c r="B598" s="323" t="s">
        <v>67</v>
      </c>
      <c r="C598" s="325">
        <v>945.0</v>
      </c>
      <c r="D598" s="328" t="s">
        <v>5142</v>
      </c>
      <c r="E598" s="323" t="s">
        <v>4591</v>
      </c>
      <c r="F598" s="323" t="s">
        <v>5143</v>
      </c>
      <c r="G598" s="323" t="s">
        <v>5144</v>
      </c>
      <c r="H598" s="323" t="s">
        <v>232</v>
      </c>
      <c r="I598" s="295" t="s">
        <v>104</v>
      </c>
      <c r="J598" s="323" t="s">
        <v>146</v>
      </c>
      <c r="K598" s="323" t="s">
        <v>84</v>
      </c>
      <c r="L598" s="323" t="s">
        <v>181</v>
      </c>
      <c r="M598" s="333">
        <v>46080.0</v>
      </c>
      <c r="N598" s="335">
        <v>2026.0</v>
      </c>
      <c r="O598" s="333">
        <v>46135.0</v>
      </c>
      <c r="P598" s="336">
        <v>2026.0</v>
      </c>
      <c r="Q598" s="337">
        <v>55.0</v>
      </c>
      <c r="R598" s="336">
        <v>1.0</v>
      </c>
      <c r="S598" s="323" t="s">
        <v>4993</v>
      </c>
      <c r="T598" s="335" t="s">
        <v>113</v>
      </c>
      <c r="U598" s="323">
        <v>0.0</v>
      </c>
      <c r="V598" s="330"/>
      <c r="W598" s="323" t="s">
        <v>5145</v>
      </c>
      <c r="X598" s="323" t="s">
        <v>5145</v>
      </c>
      <c r="Y598" s="323" t="s">
        <v>2442</v>
      </c>
      <c r="Z598" s="323" t="s">
        <v>247</v>
      </c>
      <c r="AA598" s="323" t="s">
        <v>211</v>
      </c>
      <c r="AB598" s="295" t="s">
        <v>1499</v>
      </c>
      <c r="AC598" s="295" t="s">
        <v>128</v>
      </c>
      <c r="AD598" s="295" t="s">
        <v>251</v>
      </c>
      <c r="AE598" s="364" t="s">
        <v>220</v>
      </c>
    </row>
    <row r="599">
      <c r="A599" s="342" t="s">
        <v>64</v>
      </c>
      <c r="B599" s="342" t="s">
        <v>19</v>
      </c>
      <c r="C599" s="343">
        <v>946.0</v>
      </c>
      <c r="D599" s="344">
        <v>600548.0</v>
      </c>
      <c r="E599" s="342" t="s">
        <v>4592</v>
      </c>
      <c r="F599" s="342" t="s">
        <v>5146</v>
      </c>
      <c r="G599" s="342" t="s">
        <v>5147</v>
      </c>
      <c r="H599" s="342" t="s">
        <v>232</v>
      </c>
      <c r="I599" s="200" t="s">
        <v>104</v>
      </c>
      <c r="J599" s="342" t="s">
        <v>84</v>
      </c>
      <c r="K599" s="342" t="s">
        <v>84</v>
      </c>
      <c r="L599" s="342" t="s">
        <v>181</v>
      </c>
      <c r="M599" s="345">
        <v>46087.0</v>
      </c>
      <c r="N599" s="346">
        <v>2026.0</v>
      </c>
      <c r="O599" s="345">
        <v>46451.0</v>
      </c>
      <c r="P599" s="347">
        <v>2027.0</v>
      </c>
      <c r="Q599" s="348">
        <v>364.0</v>
      </c>
      <c r="R599" s="347">
        <v>1.0</v>
      </c>
      <c r="S599" s="342" t="s">
        <v>5148</v>
      </c>
      <c r="T599" s="346" t="s">
        <v>113</v>
      </c>
      <c r="U599" s="342">
        <v>0.0</v>
      </c>
      <c r="V599" s="349"/>
      <c r="W599" s="342" t="s">
        <v>5149</v>
      </c>
      <c r="X599" s="342" t="s">
        <v>5149</v>
      </c>
      <c r="Y599" s="342" t="s">
        <v>2418</v>
      </c>
      <c r="Z599" s="342" t="s">
        <v>210</v>
      </c>
      <c r="AA599" s="349"/>
      <c r="AB599" s="200" t="s">
        <v>768</v>
      </c>
      <c r="AC599" s="200" t="s">
        <v>164</v>
      </c>
      <c r="AD599" s="200" t="s">
        <v>1983</v>
      </c>
      <c r="AE599" s="351"/>
    </row>
    <row r="600">
      <c r="A600" s="323" t="s">
        <v>169</v>
      </c>
      <c r="B600" s="323" t="s">
        <v>67</v>
      </c>
      <c r="C600" s="325">
        <v>947.0</v>
      </c>
      <c r="D600" s="328" t="s">
        <v>516</v>
      </c>
      <c r="E600" s="323" t="s">
        <v>4593</v>
      </c>
      <c r="F600" s="323" t="s">
        <v>5150</v>
      </c>
      <c r="G600" s="323" t="s">
        <v>5151</v>
      </c>
      <c r="H600" s="323" t="s">
        <v>178</v>
      </c>
      <c r="I600" s="295" t="s">
        <v>106</v>
      </c>
      <c r="J600" s="323" t="s">
        <v>146</v>
      </c>
      <c r="K600" s="323" t="s">
        <v>84</v>
      </c>
      <c r="L600" s="323" t="s">
        <v>105</v>
      </c>
      <c r="M600" s="333">
        <v>46090.0</v>
      </c>
      <c r="N600" s="335">
        <v>2026.0</v>
      </c>
      <c r="O600" s="333">
        <v>46112.0</v>
      </c>
      <c r="P600" s="336">
        <v>2026.0</v>
      </c>
      <c r="Q600" s="337">
        <v>22.0</v>
      </c>
      <c r="R600" s="336">
        <v>1.0</v>
      </c>
      <c r="S600" s="323" t="s">
        <v>5152</v>
      </c>
      <c r="T600" s="335" t="s">
        <v>113</v>
      </c>
      <c r="U600" s="323">
        <v>0.0</v>
      </c>
      <c r="V600" s="330"/>
      <c r="W600" s="323" t="s">
        <v>5153</v>
      </c>
      <c r="X600" s="330"/>
      <c r="Y600" s="323" t="s">
        <v>2841</v>
      </c>
      <c r="Z600" s="323" t="s">
        <v>122</v>
      </c>
      <c r="AA600" s="323" t="s">
        <v>123</v>
      </c>
      <c r="AB600" s="295" t="s">
        <v>249</v>
      </c>
      <c r="AC600" s="295" t="s">
        <v>164</v>
      </c>
      <c r="AD600" s="352"/>
      <c r="AE600" s="149" t="s">
        <v>220</v>
      </c>
    </row>
    <row r="601">
      <c r="A601" s="342" t="s">
        <v>169</v>
      </c>
      <c r="B601" s="342" t="s">
        <v>67</v>
      </c>
      <c r="C601" s="343">
        <v>948.0</v>
      </c>
      <c r="D601" s="344">
        <v>0.0</v>
      </c>
      <c r="E601" s="342" t="s">
        <v>4594</v>
      </c>
      <c r="F601" s="342" t="s">
        <v>5154</v>
      </c>
      <c r="G601" s="342" t="s">
        <v>5155</v>
      </c>
      <c r="H601" s="342" t="s">
        <v>178</v>
      </c>
      <c r="I601" s="200" t="s">
        <v>106</v>
      </c>
      <c r="J601" s="342" t="s">
        <v>233</v>
      </c>
      <c r="K601" s="342" t="s">
        <v>236</v>
      </c>
      <c r="L601" s="342" t="s">
        <v>181</v>
      </c>
      <c r="M601" s="345">
        <v>46092.0</v>
      </c>
      <c r="N601" s="346">
        <v>2026.0</v>
      </c>
      <c r="O601" s="345">
        <v>46117.0</v>
      </c>
      <c r="P601" s="347">
        <v>2026.0</v>
      </c>
      <c r="Q601" s="348">
        <v>25.0</v>
      </c>
      <c r="R601" s="347">
        <v>1.0</v>
      </c>
      <c r="S601" s="342" t="s">
        <v>5156</v>
      </c>
      <c r="T601" s="346" t="s">
        <v>113</v>
      </c>
      <c r="U601" s="342">
        <v>0.0</v>
      </c>
      <c r="V601" s="349"/>
      <c r="W601" s="342" t="s">
        <v>5157</v>
      </c>
      <c r="X601" s="342" t="s">
        <v>5157</v>
      </c>
      <c r="Y601" s="342" t="s">
        <v>161</v>
      </c>
      <c r="Z601" s="342" t="s">
        <v>211</v>
      </c>
      <c r="AA601" s="342" t="s">
        <v>123</v>
      </c>
      <c r="AB601" s="200" t="s">
        <v>975</v>
      </c>
      <c r="AC601" s="200" t="s">
        <v>161</v>
      </c>
      <c r="AD601" s="353"/>
      <c r="AE601" s="108" t="s">
        <v>220</v>
      </c>
    </row>
    <row r="602">
      <c r="A602" s="323" t="s">
        <v>64</v>
      </c>
      <c r="B602" s="323" t="s">
        <v>67</v>
      </c>
      <c r="C602" s="325">
        <v>949.0</v>
      </c>
      <c r="D602" s="328" t="s">
        <v>5158</v>
      </c>
      <c r="E602" s="323" t="s">
        <v>4595</v>
      </c>
      <c r="F602" s="323" t="s">
        <v>5159</v>
      </c>
      <c r="G602" s="323" t="s">
        <v>5160</v>
      </c>
      <c r="H602" s="323" t="s">
        <v>1421</v>
      </c>
      <c r="I602" s="295" t="s">
        <v>106</v>
      </c>
      <c r="J602" s="323" t="s">
        <v>146</v>
      </c>
      <c r="K602" s="323" t="s">
        <v>147</v>
      </c>
      <c r="L602" s="323" t="s">
        <v>105</v>
      </c>
      <c r="M602" s="333">
        <v>46097.0</v>
      </c>
      <c r="N602" s="335">
        <v>2026.0</v>
      </c>
      <c r="O602" s="333">
        <v>46112.0</v>
      </c>
      <c r="P602" s="336">
        <v>2026.0</v>
      </c>
      <c r="Q602" s="337">
        <v>15.0</v>
      </c>
      <c r="R602" s="336">
        <v>1.0</v>
      </c>
      <c r="S602" s="330"/>
      <c r="T602" s="335" t="s">
        <v>113</v>
      </c>
      <c r="U602" s="323">
        <v>0.0</v>
      </c>
      <c r="V602" s="330"/>
      <c r="W602" s="323" t="s">
        <v>5161</v>
      </c>
      <c r="X602" s="323" t="s">
        <v>5161</v>
      </c>
      <c r="Y602" s="323" t="s">
        <v>2418</v>
      </c>
      <c r="Z602" s="323" t="s">
        <v>261</v>
      </c>
      <c r="AA602" s="323" t="s">
        <v>211</v>
      </c>
      <c r="AB602" s="295" t="s">
        <v>2254</v>
      </c>
      <c r="AC602" s="295" t="s">
        <v>337</v>
      </c>
      <c r="AD602" s="352"/>
      <c r="AE602" s="149" t="s">
        <v>220</v>
      </c>
    </row>
    <row r="603">
      <c r="A603" s="342" t="s">
        <v>169</v>
      </c>
      <c r="B603" s="342" t="s">
        <v>19</v>
      </c>
      <c r="C603" s="343">
        <v>950.0</v>
      </c>
      <c r="D603" s="344">
        <v>800026.0</v>
      </c>
      <c r="E603" s="342" t="s">
        <v>4597</v>
      </c>
      <c r="F603" s="342" t="s">
        <v>5162</v>
      </c>
      <c r="G603" s="342" t="s">
        <v>5163</v>
      </c>
      <c r="H603" s="342" t="s">
        <v>232</v>
      </c>
      <c r="I603" s="200" t="s">
        <v>104</v>
      </c>
      <c r="J603" s="342" t="s">
        <v>84</v>
      </c>
      <c r="K603" s="342" t="s">
        <v>84</v>
      </c>
      <c r="L603" s="342" t="s">
        <v>25</v>
      </c>
      <c r="M603" s="345">
        <v>46099.0</v>
      </c>
      <c r="N603" s="346">
        <v>2026.0</v>
      </c>
      <c r="O603" s="345">
        <v>46463.0</v>
      </c>
      <c r="P603" s="347">
        <v>2027.0</v>
      </c>
      <c r="Q603" s="348">
        <v>364.0</v>
      </c>
      <c r="R603" s="347">
        <v>1.0</v>
      </c>
      <c r="S603" s="349"/>
      <c r="T603" s="346" t="s">
        <v>113</v>
      </c>
      <c r="U603" s="342">
        <v>0.0</v>
      </c>
      <c r="V603" s="349"/>
      <c r="W603" s="342" t="s">
        <v>5164</v>
      </c>
      <c r="X603" s="342" t="s">
        <v>5164</v>
      </c>
      <c r="Y603" s="342" t="s">
        <v>243</v>
      </c>
      <c r="Z603" s="342" t="s">
        <v>211</v>
      </c>
      <c r="AA603" s="342" t="s">
        <v>123</v>
      </c>
      <c r="AB603" s="200" t="s">
        <v>975</v>
      </c>
      <c r="AC603" s="200" t="s">
        <v>128</v>
      </c>
      <c r="AD603" s="353"/>
      <c r="AE603" s="363"/>
    </row>
    <row r="604">
      <c r="A604" s="323" t="s">
        <v>64</v>
      </c>
      <c r="B604" s="323" t="s">
        <v>19</v>
      </c>
      <c r="C604" s="325">
        <v>951.0</v>
      </c>
      <c r="D604" s="365">
        <v>800020.0</v>
      </c>
      <c r="E604" s="323" t="s">
        <v>4598</v>
      </c>
      <c r="F604" s="323" t="s">
        <v>5165</v>
      </c>
      <c r="G604" s="323" t="s">
        <v>5166</v>
      </c>
      <c r="H604" s="323" t="s">
        <v>232</v>
      </c>
      <c r="I604" s="295" t="s">
        <v>708</v>
      </c>
      <c r="J604" s="323" t="s">
        <v>233</v>
      </c>
      <c r="K604" s="323" t="s">
        <v>236</v>
      </c>
      <c r="L604" s="323" t="s">
        <v>181</v>
      </c>
      <c r="M604" s="333">
        <v>46104.0</v>
      </c>
      <c r="N604" s="335">
        <v>2026.0</v>
      </c>
      <c r="O604" s="333">
        <v>46295.0</v>
      </c>
      <c r="P604" s="336">
        <v>2026.0</v>
      </c>
      <c r="Q604" s="337">
        <v>191.0</v>
      </c>
      <c r="R604" s="336">
        <v>1.0</v>
      </c>
      <c r="S604" s="330"/>
      <c r="T604" s="335" t="s">
        <v>113</v>
      </c>
      <c r="U604" s="323">
        <v>0.0</v>
      </c>
      <c r="V604" s="330"/>
      <c r="W604" s="323" t="s">
        <v>5167</v>
      </c>
      <c r="X604" s="323" t="s">
        <v>5167</v>
      </c>
      <c r="Y604" s="323" t="s">
        <v>121</v>
      </c>
      <c r="Z604" s="323" t="s">
        <v>210</v>
      </c>
      <c r="AA604" s="323" t="s">
        <v>14</v>
      </c>
      <c r="AB604" s="295" t="s">
        <v>124</v>
      </c>
      <c r="AC604" s="46" t="s">
        <v>276</v>
      </c>
      <c r="AD604" s="352"/>
      <c r="AE604" s="341"/>
    </row>
    <row r="605">
      <c r="A605" s="342" t="s">
        <v>169</v>
      </c>
      <c r="B605" s="342" t="s">
        <v>67</v>
      </c>
      <c r="C605" s="343">
        <v>952.0</v>
      </c>
      <c r="D605" s="344">
        <v>800029.0</v>
      </c>
      <c r="E605" s="342" t="s">
        <v>4599</v>
      </c>
      <c r="F605" s="342" t="s">
        <v>5168</v>
      </c>
      <c r="G605" s="342" t="s">
        <v>5169</v>
      </c>
      <c r="H605" s="342" t="s">
        <v>178</v>
      </c>
      <c r="I605" s="200" t="s">
        <v>708</v>
      </c>
      <c r="J605" s="342" t="s">
        <v>233</v>
      </c>
      <c r="K605" s="342" t="s">
        <v>236</v>
      </c>
      <c r="L605" s="342" t="s">
        <v>181</v>
      </c>
      <c r="M605" s="345">
        <v>46105.0</v>
      </c>
      <c r="N605" s="346">
        <v>2026.0</v>
      </c>
      <c r="O605" s="345">
        <v>46117.0</v>
      </c>
      <c r="P605" s="347">
        <v>2026.0</v>
      </c>
      <c r="Q605" s="348">
        <v>12.0</v>
      </c>
      <c r="R605" s="347">
        <v>1.0</v>
      </c>
      <c r="S605" s="349"/>
      <c r="T605" s="346" t="s">
        <v>113</v>
      </c>
      <c r="U605" s="342">
        <v>0.0</v>
      </c>
      <c r="V605" s="349"/>
      <c r="W605" s="342" t="s">
        <v>5170</v>
      </c>
      <c r="X605" s="342" t="s">
        <v>5170</v>
      </c>
      <c r="Y605" s="342" t="s">
        <v>243</v>
      </c>
      <c r="Z605" s="342" t="s">
        <v>210</v>
      </c>
      <c r="AA605" s="342" t="s">
        <v>123</v>
      </c>
      <c r="AB605" s="200" t="s">
        <v>249</v>
      </c>
      <c r="AC605" s="200" t="s">
        <v>128</v>
      </c>
      <c r="AD605" s="200" t="s">
        <v>251</v>
      </c>
      <c r="AE605" s="366" t="s">
        <v>220</v>
      </c>
    </row>
    <row r="606">
      <c r="A606" s="323" t="s">
        <v>169</v>
      </c>
      <c r="B606" s="323" t="s">
        <v>67</v>
      </c>
      <c r="C606" s="325">
        <v>953.0</v>
      </c>
      <c r="D606" s="328">
        <v>0.0</v>
      </c>
      <c r="E606" s="323" t="s">
        <v>5171</v>
      </c>
      <c r="F606" s="323" t="s">
        <v>5172</v>
      </c>
      <c r="G606" s="323" t="s">
        <v>5173</v>
      </c>
      <c r="H606" s="323" t="s">
        <v>232</v>
      </c>
      <c r="I606" s="295" t="s">
        <v>106</v>
      </c>
      <c r="J606" s="323" t="s">
        <v>233</v>
      </c>
      <c r="K606" s="323" t="s">
        <v>236</v>
      </c>
      <c r="L606" s="323" t="s">
        <v>181</v>
      </c>
      <c r="M606" s="333">
        <v>46108.0</v>
      </c>
      <c r="N606" s="335">
        <v>2026.0</v>
      </c>
      <c r="O606" s="333">
        <v>46122.0</v>
      </c>
      <c r="P606" s="336">
        <v>2026.0</v>
      </c>
      <c r="Q606" s="337">
        <v>14.0</v>
      </c>
      <c r="R606" s="336">
        <v>1.0</v>
      </c>
      <c r="S606" s="330"/>
      <c r="T606" s="335" t="s">
        <v>113</v>
      </c>
      <c r="U606" s="323">
        <v>0.0</v>
      </c>
      <c r="V606" s="330"/>
      <c r="W606" s="323" t="s">
        <v>5174</v>
      </c>
      <c r="X606" s="323" t="s">
        <v>5174</v>
      </c>
      <c r="Y606" s="323" t="s">
        <v>243</v>
      </c>
      <c r="Z606" s="323" t="s">
        <v>210</v>
      </c>
      <c r="AA606" s="323" t="s">
        <v>14</v>
      </c>
      <c r="AB606" s="295" t="s">
        <v>249</v>
      </c>
      <c r="AC606" s="295" t="s">
        <v>164</v>
      </c>
      <c r="AD606" s="295" t="s">
        <v>251</v>
      </c>
      <c r="AE606" s="78" t="s">
        <v>220</v>
      </c>
    </row>
    <row r="607">
      <c r="A607" s="342" t="s">
        <v>64</v>
      </c>
      <c r="B607" s="342" t="s">
        <v>67</v>
      </c>
      <c r="C607" s="343">
        <v>954.0</v>
      </c>
      <c r="D607" s="344">
        <v>6.0</v>
      </c>
      <c r="E607" s="342" t="s">
        <v>5175</v>
      </c>
      <c r="F607" s="342" t="s">
        <v>5176</v>
      </c>
      <c r="G607" s="342" t="s">
        <v>5177</v>
      </c>
      <c r="H607" s="342" t="s">
        <v>1421</v>
      </c>
      <c r="I607" s="200" t="s">
        <v>106</v>
      </c>
      <c r="J607" s="342" t="s">
        <v>146</v>
      </c>
      <c r="K607" s="342" t="s">
        <v>147</v>
      </c>
      <c r="L607" s="342" t="s">
        <v>105</v>
      </c>
      <c r="M607" s="345">
        <v>46108.0</v>
      </c>
      <c r="N607" s="346">
        <v>2026.0</v>
      </c>
      <c r="O607" s="345">
        <v>46122.0</v>
      </c>
      <c r="P607" s="347">
        <v>2026.0</v>
      </c>
      <c r="Q607" s="348">
        <v>14.0</v>
      </c>
      <c r="R607" s="347">
        <v>1.0</v>
      </c>
      <c r="S607" s="349"/>
      <c r="T607" s="346" t="s">
        <v>113</v>
      </c>
      <c r="U607" s="342">
        <v>0.0</v>
      </c>
      <c r="V607" s="349"/>
      <c r="W607" s="342" t="s">
        <v>5178</v>
      </c>
      <c r="X607" s="342" t="s">
        <v>5178</v>
      </c>
      <c r="Y607" s="342" t="s">
        <v>2799</v>
      </c>
      <c r="Z607" s="342" t="s">
        <v>210</v>
      </c>
      <c r="AA607" s="342" t="s">
        <v>211</v>
      </c>
      <c r="AB607" s="200" t="s">
        <v>2254</v>
      </c>
      <c r="AC607" s="200" t="s">
        <v>337</v>
      </c>
      <c r="AD607" s="353"/>
      <c r="AE607" s="108" t="s">
        <v>220</v>
      </c>
    </row>
    <row r="608">
      <c r="A608" s="323" t="s">
        <v>407</v>
      </c>
      <c r="B608" s="323" t="s">
        <v>67</v>
      </c>
      <c r="C608" s="325">
        <v>955.0</v>
      </c>
      <c r="D608" s="328">
        <v>6.0</v>
      </c>
      <c r="E608" s="323" t="s">
        <v>5179</v>
      </c>
      <c r="F608" s="323" t="s">
        <v>5180</v>
      </c>
      <c r="G608" s="323" t="s">
        <v>5181</v>
      </c>
      <c r="H608" s="323" t="s">
        <v>1421</v>
      </c>
      <c r="I608" s="295" t="s">
        <v>106</v>
      </c>
      <c r="J608" s="323" t="s">
        <v>146</v>
      </c>
      <c r="K608" s="323" t="s">
        <v>84</v>
      </c>
      <c r="L608" s="323" t="s">
        <v>5182</v>
      </c>
      <c r="M608" s="333">
        <v>46108.0</v>
      </c>
      <c r="N608" s="335">
        <v>2026.0</v>
      </c>
      <c r="O608" s="333">
        <v>46139.0</v>
      </c>
      <c r="P608" s="336">
        <v>2026.0</v>
      </c>
      <c r="Q608" s="337">
        <v>31.0</v>
      </c>
      <c r="R608" s="336">
        <v>1.0</v>
      </c>
      <c r="S608" s="323" t="s">
        <v>5183</v>
      </c>
      <c r="T608" s="335" t="s">
        <v>113</v>
      </c>
      <c r="U608" s="323">
        <v>0.0</v>
      </c>
      <c r="V608" s="330"/>
      <c r="W608" s="323" t="s">
        <v>5184</v>
      </c>
      <c r="X608" s="330"/>
      <c r="Y608" s="323" t="s">
        <v>2103</v>
      </c>
      <c r="Z608" s="323" t="s">
        <v>122</v>
      </c>
      <c r="AA608" s="330"/>
      <c r="AB608" s="295" t="s">
        <v>442</v>
      </c>
      <c r="AC608" s="295" t="s">
        <v>128</v>
      </c>
      <c r="AD608" s="352"/>
      <c r="AE608" s="78" t="s">
        <v>220</v>
      </c>
    </row>
    <row r="609">
      <c r="A609" s="342" t="s">
        <v>64</v>
      </c>
      <c r="B609" s="342" t="s">
        <v>19</v>
      </c>
      <c r="C609" s="343">
        <v>956.0</v>
      </c>
      <c r="D609" s="344">
        <v>800057.0</v>
      </c>
      <c r="E609" s="342" t="s">
        <v>5185</v>
      </c>
      <c r="F609" s="342" t="s">
        <v>5186</v>
      </c>
      <c r="G609" s="342" t="s">
        <v>1988</v>
      </c>
      <c r="H609" s="342" t="s">
        <v>232</v>
      </c>
      <c r="I609" s="200" t="s">
        <v>104</v>
      </c>
      <c r="J609" s="342" t="s">
        <v>146</v>
      </c>
      <c r="K609" s="342" t="s">
        <v>147</v>
      </c>
      <c r="L609" s="342" t="s">
        <v>105</v>
      </c>
      <c r="M609" s="345">
        <v>46108.0</v>
      </c>
      <c r="N609" s="346">
        <v>2026.0</v>
      </c>
      <c r="O609" s="345">
        <v>46519.0</v>
      </c>
      <c r="P609" s="347">
        <v>2026.0</v>
      </c>
      <c r="Q609" s="348">
        <v>14.0</v>
      </c>
      <c r="R609" s="347">
        <v>1.0</v>
      </c>
      <c r="S609" s="349"/>
      <c r="T609" s="346" t="s">
        <v>113</v>
      </c>
      <c r="U609" s="342">
        <v>0.0</v>
      </c>
      <c r="V609" s="349"/>
      <c r="W609" s="342" t="s">
        <v>5187</v>
      </c>
      <c r="X609" s="342" t="s">
        <v>5188</v>
      </c>
      <c r="Y609" s="342" t="s">
        <v>2799</v>
      </c>
      <c r="Z609" s="342" t="s">
        <v>261</v>
      </c>
      <c r="AA609" s="342" t="s">
        <v>14</v>
      </c>
      <c r="AB609" s="200" t="s">
        <v>2254</v>
      </c>
      <c r="AC609" s="200" t="s">
        <v>337</v>
      </c>
      <c r="AD609" s="353"/>
      <c r="AE609" s="106"/>
    </row>
    <row r="610">
      <c r="A610" s="323" t="s">
        <v>169</v>
      </c>
      <c r="B610" s="323" t="s">
        <v>19</v>
      </c>
      <c r="C610" s="325">
        <v>957.0</v>
      </c>
      <c r="D610" s="328">
        <v>800030.0</v>
      </c>
      <c r="E610" s="323" t="s">
        <v>5189</v>
      </c>
      <c r="F610" s="323" t="s">
        <v>5190</v>
      </c>
      <c r="G610" s="323" t="s">
        <v>5191</v>
      </c>
      <c r="H610" s="323" t="s">
        <v>178</v>
      </c>
      <c r="I610" s="295" t="s">
        <v>708</v>
      </c>
      <c r="J610" s="323" t="s">
        <v>146</v>
      </c>
      <c r="K610" s="323" t="s">
        <v>236</v>
      </c>
      <c r="L610" s="323" t="s">
        <v>1275</v>
      </c>
      <c r="M610" s="333">
        <v>46112.0</v>
      </c>
      <c r="N610" s="335">
        <v>2026.0</v>
      </c>
      <c r="O610" s="333">
        <v>46295.0</v>
      </c>
      <c r="P610" s="336">
        <v>2026.0</v>
      </c>
      <c r="Q610" s="337">
        <v>183.0</v>
      </c>
      <c r="R610" s="336">
        <v>1.0</v>
      </c>
      <c r="S610" s="330"/>
      <c r="T610" s="335" t="s">
        <v>113</v>
      </c>
      <c r="U610" s="323">
        <v>0.0</v>
      </c>
      <c r="V610" s="330"/>
      <c r="W610" s="323" t="s">
        <v>5192</v>
      </c>
      <c r="X610" s="357" t="s">
        <v>5192</v>
      </c>
      <c r="Y610" s="323" t="s">
        <v>1525</v>
      </c>
      <c r="Z610" s="323" t="s">
        <v>261</v>
      </c>
      <c r="AA610" s="330"/>
      <c r="AB610" s="295" t="s">
        <v>975</v>
      </c>
      <c r="AC610" s="295" t="s">
        <v>337</v>
      </c>
      <c r="AD610" s="352"/>
      <c r="AE610" s="367"/>
    </row>
    <row r="611">
      <c r="A611" s="342" t="s">
        <v>64</v>
      </c>
      <c r="B611" s="342" t="s">
        <v>19</v>
      </c>
      <c r="C611" s="343">
        <v>958.0</v>
      </c>
      <c r="D611" s="344">
        <v>800034.0</v>
      </c>
      <c r="E611" s="342" t="s">
        <v>5193</v>
      </c>
      <c r="F611" s="342" t="s">
        <v>5194</v>
      </c>
      <c r="G611" s="342" t="s">
        <v>5195</v>
      </c>
      <c r="H611" s="342" t="s">
        <v>1421</v>
      </c>
      <c r="I611" s="200" t="s">
        <v>708</v>
      </c>
      <c r="J611" s="342" t="s">
        <v>84</v>
      </c>
      <c r="K611" s="342" t="s">
        <v>2304</v>
      </c>
      <c r="L611" s="342" t="s">
        <v>3230</v>
      </c>
      <c r="M611" s="345">
        <v>46118.0</v>
      </c>
      <c r="N611" s="346">
        <v>2026.0</v>
      </c>
      <c r="O611" s="345">
        <v>46805.0</v>
      </c>
      <c r="P611" s="347">
        <v>2028.0</v>
      </c>
      <c r="Q611" s="348">
        <v>687.0</v>
      </c>
      <c r="R611" s="347">
        <v>2.0</v>
      </c>
      <c r="S611" s="349"/>
      <c r="T611" s="346" t="s">
        <v>113</v>
      </c>
      <c r="U611" s="342">
        <v>0.0</v>
      </c>
      <c r="V611" s="349"/>
      <c r="W611" s="342" t="s">
        <v>5196</v>
      </c>
      <c r="X611" s="342" t="s">
        <v>5196</v>
      </c>
      <c r="Y611" s="342" t="s">
        <v>2549</v>
      </c>
      <c r="Z611" s="342" t="s">
        <v>122</v>
      </c>
      <c r="AA611" s="349"/>
      <c r="AB611" s="200" t="s">
        <v>124</v>
      </c>
      <c r="AC611" s="200" t="s">
        <v>128</v>
      </c>
      <c r="AD611" s="353"/>
      <c r="AE611" s="368"/>
    </row>
    <row r="612">
      <c r="A612" s="323" t="s">
        <v>169</v>
      </c>
      <c r="B612" s="323" t="s">
        <v>67</v>
      </c>
      <c r="C612" s="325">
        <v>960.0</v>
      </c>
      <c r="D612" s="328">
        <v>800039.0</v>
      </c>
      <c r="E612" s="323" t="s">
        <v>5197</v>
      </c>
      <c r="F612" s="323" t="s">
        <v>5198</v>
      </c>
      <c r="G612" s="323" t="s">
        <v>5199</v>
      </c>
      <c r="H612" s="323" t="s">
        <v>1421</v>
      </c>
      <c r="I612" s="295" t="s">
        <v>106</v>
      </c>
      <c r="J612" s="323" t="s">
        <v>233</v>
      </c>
      <c r="K612" s="323" t="s">
        <v>236</v>
      </c>
      <c r="L612" s="323" t="s">
        <v>484</v>
      </c>
      <c r="M612" s="333">
        <v>46119.0</v>
      </c>
      <c r="N612" s="335">
        <v>2026.0</v>
      </c>
      <c r="O612" s="333">
        <v>46149.0</v>
      </c>
      <c r="P612" s="336">
        <v>2026.0</v>
      </c>
      <c r="Q612" s="337">
        <v>30.0</v>
      </c>
      <c r="R612" s="336">
        <v>1.0</v>
      </c>
      <c r="S612" s="330"/>
      <c r="T612" s="335" t="s">
        <v>113</v>
      </c>
      <c r="U612" s="323">
        <v>0.0</v>
      </c>
      <c r="V612" s="330"/>
      <c r="W612" s="323" t="s">
        <v>5200</v>
      </c>
      <c r="X612" s="330"/>
      <c r="Y612" s="323" t="s">
        <v>740</v>
      </c>
      <c r="Z612" s="323" t="s">
        <v>210</v>
      </c>
      <c r="AA612" s="330"/>
      <c r="AB612" s="295" t="s">
        <v>975</v>
      </c>
      <c r="AC612" s="295" t="s">
        <v>128</v>
      </c>
      <c r="AD612" s="352"/>
      <c r="AE612" s="364" t="s">
        <v>220</v>
      </c>
    </row>
    <row r="613">
      <c r="A613" s="342" t="s">
        <v>169</v>
      </c>
      <c r="B613" s="342" t="s">
        <v>67</v>
      </c>
      <c r="C613" s="343">
        <v>961.0</v>
      </c>
      <c r="D613" s="344">
        <v>800038.0</v>
      </c>
      <c r="E613" s="342" t="s">
        <v>5201</v>
      </c>
      <c r="F613" s="342" t="s">
        <v>5202</v>
      </c>
      <c r="G613" s="342" t="s">
        <v>5203</v>
      </c>
      <c r="H613" s="342" t="s">
        <v>178</v>
      </c>
      <c r="I613" s="200" t="s">
        <v>708</v>
      </c>
      <c r="J613" s="342" t="s">
        <v>146</v>
      </c>
      <c r="K613" s="342" t="s">
        <v>147</v>
      </c>
      <c r="L613" s="342" t="s">
        <v>181</v>
      </c>
      <c r="M613" s="345">
        <v>46120.0</v>
      </c>
      <c r="N613" s="346">
        <v>2026.0</v>
      </c>
      <c r="O613" s="345">
        <v>46160.0</v>
      </c>
      <c r="P613" s="347">
        <v>2026.0</v>
      </c>
      <c r="Q613" s="348">
        <v>40.0</v>
      </c>
      <c r="R613" s="347">
        <v>1.0</v>
      </c>
      <c r="S613" s="349"/>
      <c r="T613" s="346" t="s">
        <v>113</v>
      </c>
      <c r="U613" s="342">
        <v>0.0</v>
      </c>
      <c r="V613" s="349"/>
      <c r="W613" s="342" t="s">
        <v>5204</v>
      </c>
      <c r="X613" s="342" t="s">
        <v>5204</v>
      </c>
      <c r="Y613" s="342" t="s">
        <v>2418</v>
      </c>
      <c r="Z613" s="342" t="s">
        <v>3237</v>
      </c>
      <c r="AA613" s="342" t="s">
        <v>14</v>
      </c>
      <c r="AB613" s="200" t="s">
        <v>621</v>
      </c>
      <c r="AC613" s="200" t="s">
        <v>161</v>
      </c>
      <c r="AD613" s="200" t="s">
        <v>251</v>
      </c>
      <c r="AE613" s="366" t="s">
        <v>220</v>
      </c>
    </row>
    <row r="614">
      <c r="A614" s="323" t="s">
        <v>64</v>
      </c>
      <c r="B614" s="323" t="s">
        <v>19</v>
      </c>
      <c r="C614" s="325">
        <v>962.0</v>
      </c>
      <c r="D614" s="328">
        <v>800049.0</v>
      </c>
      <c r="E614" s="323" t="s">
        <v>5205</v>
      </c>
      <c r="F614" s="323" t="s">
        <v>5206</v>
      </c>
      <c r="G614" s="323" t="s">
        <v>5207</v>
      </c>
      <c r="H614" s="323" t="s">
        <v>232</v>
      </c>
      <c r="I614" s="295" t="s">
        <v>104</v>
      </c>
      <c r="J614" s="323" t="s">
        <v>84</v>
      </c>
      <c r="K614" s="323" t="s">
        <v>84</v>
      </c>
      <c r="L614" s="323" t="s">
        <v>25</v>
      </c>
      <c r="M614" s="333">
        <v>46121.0</v>
      </c>
      <c r="N614" s="335">
        <v>2026.0</v>
      </c>
      <c r="O614" s="333">
        <v>46499.0</v>
      </c>
      <c r="P614" s="336">
        <v>2026.0</v>
      </c>
      <c r="Q614" s="337">
        <v>29.0</v>
      </c>
      <c r="R614" s="336">
        <v>1.0</v>
      </c>
      <c r="S614" s="330"/>
      <c r="T614" s="335" t="s">
        <v>269</v>
      </c>
      <c r="U614" s="323">
        <v>0.0</v>
      </c>
      <c r="V614" s="330"/>
      <c r="W614" s="323" t="s">
        <v>5208</v>
      </c>
      <c r="X614" s="323" t="s">
        <v>5208</v>
      </c>
      <c r="Y614" s="323" t="s">
        <v>740</v>
      </c>
      <c r="Z614" s="323" t="s">
        <v>261</v>
      </c>
      <c r="AA614" s="323" t="s">
        <v>14</v>
      </c>
      <c r="AB614" s="295" t="s">
        <v>876</v>
      </c>
      <c r="AC614" s="295" t="s">
        <v>337</v>
      </c>
      <c r="AD614" s="352"/>
      <c r="AE614" s="369"/>
    </row>
    <row r="615">
      <c r="A615" s="342" t="s">
        <v>64</v>
      </c>
      <c r="B615" s="342" t="s">
        <v>67</v>
      </c>
      <c r="C615" s="343">
        <v>963.0</v>
      </c>
      <c r="D615" s="344">
        <v>6.0</v>
      </c>
      <c r="E615" s="342" t="s">
        <v>5209</v>
      </c>
      <c r="F615" s="342" t="s">
        <v>5210</v>
      </c>
      <c r="G615" s="342" t="s">
        <v>5211</v>
      </c>
      <c r="H615" s="342" t="s">
        <v>1421</v>
      </c>
      <c r="I615" s="200" t="s">
        <v>106</v>
      </c>
      <c r="J615" s="342" t="s">
        <v>146</v>
      </c>
      <c r="K615" s="342" t="s">
        <v>147</v>
      </c>
      <c r="L615" s="342" t="s">
        <v>181</v>
      </c>
      <c r="M615" s="345">
        <v>46121.0</v>
      </c>
      <c r="N615" s="346">
        <v>2026.0</v>
      </c>
      <c r="O615" s="345">
        <v>46142.0</v>
      </c>
      <c r="P615" s="347">
        <v>2026.0</v>
      </c>
      <c r="Q615" s="348">
        <v>21.0</v>
      </c>
      <c r="R615" s="347">
        <v>1.0</v>
      </c>
      <c r="S615" s="349"/>
      <c r="T615" s="346" t="s">
        <v>113</v>
      </c>
      <c r="U615" s="342">
        <v>0.0</v>
      </c>
      <c r="V615" s="349"/>
      <c r="W615" s="342" t="s">
        <v>5212</v>
      </c>
      <c r="X615" s="349"/>
      <c r="Y615" s="342" t="s">
        <v>243</v>
      </c>
      <c r="Z615" s="342" t="s">
        <v>210</v>
      </c>
      <c r="AA615" s="349"/>
      <c r="AB615" s="200" t="s">
        <v>2254</v>
      </c>
      <c r="AC615" s="200" t="s">
        <v>337</v>
      </c>
      <c r="AD615" s="353"/>
      <c r="AE615" s="108" t="s">
        <v>220</v>
      </c>
    </row>
    <row r="616">
      <c r="A616" s="323" t="s">
        <v>169</v>
      </c>
      <c r="B616" s="323" t="s">
        <v>19</v>
      </c>
      <c r="C616" s="325">
        <v>964.0</v>
      </c>
      <c r="D616" s="328">
        <v>800040.0</v>
      </c>
      <c r="E616" s="323" t="s">
        <v>667</v>
      </c>
      <c r="F616" s="323" t="s">
        <v>5213</v>
      </c>
      <c r="G616" s="323" t="s">
        <v>5214</v>
      </c>
      <c r="H616" s="323" t="s">
        <v>232</v>
      </c>
      <c r="I616" s="295" t="s">
        <v>104</v>
      </c>
      <c r="J616" s="323" t="s">
        <v>84</v>
      </c>
      <c r="K616" s="330"/>
      <c r="L616" s="323" t="s">
        <v>25</v>
      </c>
      <c r="M616" s="333">
        <v>46125.0</v>
      </c>
      <c r="N616" s="335">
        <v>2026.0</v>
      </c>
      <c r="O616" s="333">
        <v>46297.0</v>
      </c>
      <c r="P616" s="336">
        <v>2026.0</v>
      </c>
      <c r="Q616" s="337">
        <v>172.0</v>
      </c>
      <c r="R616" s="336">
        <v>1.0</v>
      </c>
      <c r="S616" s="323" t="s">
        <v>5215</v>
      </c>
      <c r="T616" s="335" t="s">
        <v>113</v>
      </c>
      <c r="U616" s="323">
        <v>1.0</v>
      </c>
      <c r="V616" s="330"/>
      <c r="W616" s="323" t="s">
        <v>5216</v>
      </c>
      <c r="X616" s="323" t="s">
        <v>5216</v>
      </c>
      <c r="Y616" s="323" t="s">
        <v>2799</v>
      </c>
      <c r="Z616" s="323" t="s">
        <v>211</v>
      </c>
      <c r="AA616" s="323" t="s">
        <v>38</v>
      </c>
      <c r="AB616" s="295" t="s">
        <v>249</v>
      </c>
      <c r="AC616" s="295" t="s">
        <v>164</v>
      </c>
      <c r="AD616" s="295" t="s">
        <v>251</v>
      </c>
      <c r="AE616" s="367"/>
    </row>
    <row r="617">
      <c r="A617" s="342" t="s">
        <v>64</v>
      </c>
      <c r="B617" s="342" t="s">
        <v>19</v>
      </c>
      <c r="C617" s="343">
        <v>965.0</v>
      </c>
      <c r="D617" s="344">
        <v>800041.0</v>
      </c>
      <c r="E617" s="342" t="s">
        <v>5217</v>
      </c>
      <c r="F617" s="342" t="s">
        <v>5218</v>
      </c>
      <c r="G617" s="342" t="s">
        <v>1267</v>
      </c>
      <c r="H617" s="342" t="s">
        <v>1421</v>
      </c>
      <c r="I617" s="200" t="s">
        <v>104</v>
      </c>
      <c r="J617" s="342" t="s">
        <v>146</v>
      </c>
      <c r="K617" s="342" t="s">
        <v>84</v>
      </c>
      <c r="L617" s="342" t="s">
        <v>181</v>
      </c>
      <c r="M617" s="345">
        <v>46125.0</v>
      </c>
      <c r="N617" s="346">
        <v>2026.0</v>
      </c>
      <c r="O617" s="345">
        <v>46490.0</v>
      </c>
      <c r="P617" s="347">
        <v>2027.0</v>
      </c>
      <c r="Q617" s="348">
        <v>365.0</v>
      </c>
      <c r="R617" s="347">
        <v>1.0</v>
      </c>
      <c r="S617" s="349"/>
      <c r="T617" s="346" t="s">
        <v>113</v>
      </c>
      <c r="U617" s="342">
        <v>0.0</v>
      </c>
      <c r="V617" s="349"/>
      <c r="W617" s="342" t="s">
        <v>5219</v>
      </c>
      <c r="X617" s="342" t="s">
        <v>5219</v>
      </c>
      <c r="Y617" s="342" t="s">
        <v>86</v>
      </c>
      <c r="Z617" s="342" t="s">
        <v>122</v>
      </c>
      <c r="AA617" s="342" t="s">
        <v>123</v>
      </c>
      <c r="AB617" s="200" t="s">
        <v>768</v>
      </c>
      <c r="AC617" s="200" t="s">
        <v>164</v>
      </c>
      <c r="AD617" s="353"/>
      <c r="AE617" s="368"/>
    </row>
    <row r="618">
      <c r="A618" s="323" t="s">
        <v>169</v>
      </c>
      <c r="B618" s="323" t="s">
        <v>19</v>
      </c>
      <c r="C618" s="325">
        <v>966.0</v>
      </c>
      <c r="D618" s="328">
        <v>10527.0</v>
      </c>
      <c r="E618" s="323" t="s">
        <v>949</v>
      </c>
      <c r="F618" s="323" t="s">
        <v>5220</v>
      </c>
      <c r="G618" s="323" t="s">
        <v>5221</v>
      </c>
      <c r="H618" s="323" t="s">
        <v>232</v>
      </c>
      <c r="I618" s="295" t="s">
        <v>104</v>
      </c>
      <c r="J618" s="323" t="s">
        <v>84</v>
      </c>
      <c r="K618" s="323" t="s">
        <v>84</v>
      </c>
      <c r="L618" s="323" t="s">
        <v>25</v>
      </c>
      <c r="M618" s="333">
        <v>46127.0</v>
      </c>
      <c r="N618" s="335">
        <v>2026.0</v>
      </c>
      <c r="O618" s="333">
        <v>46468.0</v>
      </c>
      <c r="P618" s="336">
        <v>2027.0</v>
      </c>
      <c r="Q618" s="337">
        <v>341.0</v>
      </c>
      <c r="R618" s="336">
        <v>1.0</v>
      </c>
      <c r="S618" s="330"/>
      <c r="T618" s="335" t="s">
        <v>269</v>
      </c>
      <c r="U618" s="323">
        <v>1.0</v>
      </c>
      <c r="V618" s="330"/>
      <c r="W618" s="323" t="s">
        <v>5222</v>
      </c>
      <c r="X618" s="323" t="s">
        <v>5222</v>
      </c>
      <c r="Y618" s="323" t="s">
        <v>121</v>
      </c>
      <c r="Z618" s="323" t="s">
        <v>211</v>
      </c>
      <c r="AA618" s="323" t="s">
        <v>123</v>
      </c>
      <c r="AB618" s="295" t="s">
        <v>249</v>
      </c>
      <c r="AC618" s="295" t="s">
        <v>128</v>
      </c>
      <c r="AD618" s="352"/>
      <c r="AE618" s="367"/>
    </row>
    <row r="619">
      <c r="A619" s="342" t="s">
        <v>64</v>
      </c>
      <c r="B619" s="342" t="s">
        <v>19</v>
      </c>
      <c r="C619" s="343">
        <v>970.0</v>
      </c>
      <c r="D619" s="344">
        <v>800055.0</v>
      </c>
      <c r="E619" s="342" t="s">
        <v>5223</v>
      </c>
      <c r="F619" s="342" t="s">
        <v>5224</v>
      </c>
      <c r="G619" s="342" t="s">
        <v>5225</v>
      </c>
      <c r="H619" s="342" t="s">
        <v>232</v>
      </c>
      <c r="I619" s="200" t="s">
        <v>104</v>
      </c>
      <c r="J619" s="342" t="s">
        <v>146</v>
      </c>
      <c r="K619" s="342" t="s">
        <v>147</v>
      </c>
      <c r="L619" s="342" t="s">
        <v>181</v>
      </c>
      <c r="M619" s="345">
        <v>46127.0</v>
      </c>
      <c r="N619" s="346">
        <v>2026.0</v>
      </c>
      <c r="O619" s="345">
        <v>46487.0</v>
      </c>
      <c r="P619" s="347">
        <v>2027.0</v>
      </c>
      <c r="Q619" s="348">
        <v>360.0</v>
      </c>
      <c r="R619" s="347">
        <v>1.0</v>
      </c>
      <c r="S619" s="349"/>
      <c r="T619" s="346" t="s">
        <v>113</v>
      </c>
      <c r="U619" s="342">
        <v>0.0</v>
      </c>
      <c r="V619" s="349"/>
      <c r="W619" s="342" t="s">
        <v>5226</v>
      </c>
      <c r="X619" s="342" t="s">
        <v>5226</v>
      </c>
      <c r="Y619" s="342" t="s">
        <v>1660</v>
      </c>
      <c r="Z619" s="342" t="s">
        <v>122</v>
      </c>
      <c r="AA619" s="342" t="s">
        <v>14</v>
      </c>
      <c r="AB619" s="200" t="s">
        <v>124</v>
      </c>
      <c r="AC619" s="200" t="s">
        <v>128</v>
      </c>
      <c r="AD619" s="353"/>
      <c r="AE619" s="368"/>
    </row>
    <row r="620">
      <c r="A620" s="323" t="s">
        <v>64</v>
      </c>
      <c r="B620" s="323" t="s">
        <v>19</v>
      </c>
      <c r="C620" s="325">
        <v>969.0</v>
      </c>
      <c r="D620" s="328">
        <v>800042.0</v>
      </c>
      <c r="E620" s="323" t="s">
        <v>5227</v>
      </c>
      <c r="F620" s="323" t="s">
        <v>5228</v>
      </c>
      <c r="G620" s="323" t="s">
        <v>5229</v>
      </c>
      <c r="H620" s="323" t="s">
        <v>232</v>
      </c>
      <c r="I620" s="295" t="s">
        <v>104</v>
      </c>
      <c r="J620" s="323" t="s">
        <v>146</v>
      </c>
      <c r="K620" s="323" t="s">
        <v>147</v>
      </c>
      <c r="L620" s="323" t="s">
        <v>181</v>
      </c>
      <c r="M620" s="333">
        <v>46128.0</v>
      </c>
      <c r="N620" s="335">
        <v>2026.0</v>
      </c>
      <c r="O620" s="370">
        <v>46311.0</v>
      </c>
      <c r="P620" s="336">
        <v>2026.0</v>
      </c>
      <c r="Q620" s="337">
        <v>183.0</v>
      </c>
      <c r="R620" s="336">
        <v>1.0</v>
      </c>
      <c r="S620" s="330"/>
      <c r="T620" s="335" t="s">
        <v>113</v>
      </c>
      <c r="U620" s="323">
        <v>0.0</v>
      </c>
      <c r="V620" s="330"/>
      <c r="W620" s="323" t="s">
        <v>5230</v>
      </c>
      <c r="X620" s="323" t="s">
        <v>5230</v>
      </c>
      <c r="Y620" s="323" t="s">
        <v>2418</v>
      </c>
      <c r="Z620" s="323" t="s">
        <v>210</v>
      </c>
      <c r="AA620" s="323" t="s">
        <v>65</v>
      </c>
      <c r="AB620" s="295" t="s">
        <v>2254</v>
      </c>
      <c r="AC620" s="295" t="s">
        <v>337</v>
      </c>
      <c r="AD620" s="352"/>
      <c r="AE620" s="369"/>
    </row>
    <row r="621">
      <c r="A621" s="342" t="s">
        <v>169</v>
      </c>
      <c r="B621" s="342" t="s">
        <v>67</v>
      </c>
      <c r="C621" s="343">
        <v>971.0</v>
      </c>
      <c r="D621" s="344">
        <v>800043.0</v>
      </c>
      <c r="E621" s="342" t="s">
        <v>5231</v>
      </c>
      <c r="F621" s="342" t="s">
        <v>5232</v>
      </c>
      <c r="G621" s="342" t="s">
        <v>5233</v>
      </c>
      <c r="H621" s="342" t="s">
        <v>178</v>
      </c>
      <c r="I621" s="200" t="s">
        <v>106</v>
      </c>
      <c r="J621" s="342" t="s">
        <v>146</v>
      </c>
      <c r="K621" s="342" t="s">
        <v>147</v>
      </c>
      <c r="L621" s="342" t="s">
        <v>25</v>
      </c>
      <c r="M621" s="345">
        <v>46129.0</v>
      </c>
      <c r="N621" s="346">
        <v>2026.0</v>
      </c>
      <c r="O621" s="345">
        <v>46147.0</v>
      </c>
      <c r="P621" s="347">
        <v>2026.0</v>
      </c>
      <c r="Q621" s="348">
        <v>18.0</v>
      </c>
      <c r="R621" s="347">
        <v>1.0</v>
      </c>
      <c r="S621" s="349"/>
      <c r="T621" s="346" t="s">
        <v>113</v>
      </c>
      <c r="U621" s="342">
        <v>0.0</v>
      </c>
      <c r="V621" s="349"/>
      <c r="W621" s="342" t="s">
        <v>5234</v>
      </c>
      <c r="X621" s="342" t="s">
        <v>5234</v>
      </c>
      <c r="Y621" s="342" t="s">
        <v>2799</v>
      </c>
      <c r="Z621" s="342" t="s">
        <v>261</v>
      </c>
      <c r="AA621" s="349"/>
      <c r="AB621" s="200" t="s">
        <v>213</v>
      </c>
      <c r="AC621" s="200" t="s">
        <v>128</v>
      </c>
      <c r="AD621" s="353"/>
      <c r="AE621" s="108" t="s">
        <v>220</v>
      </c>
    </row>
    <row r="622">
      <c r="A622" s="323" t="s">
        <v>169</v>
      </c>
      <c r="B622" s="323" t="s">
        <v>67</v>
      </c>
      <c r="C622" s="325">
        <v>972.0</v>
      </c>
      <c r="D622" s="328">
        <v>800046.0</v>
      </c>
      <c r="E622" s="323" t="s">
        <v>5235</v>
      </c>
      <c r="F622" s="323" t="s">
        <v>5236</v>
      </c>
      <c r="G622" s="323" t="s">
        <v>5237</v>
      </c>
      <c r="H622" s="323" t="s">
        <v>232</v>
      </c>
      <c r="I622" s="295" t="s">
        <v>106</v>
      </c>
      <c r="J622" s="323" t="s">
        <v>84</v>
      </c>
      <c r="K622" s="323" t="s">
        <v>84</v>
      </c>
      <c r="L622" s="323" t="s">
        <v>181</v>
      </c>
      <c r="M622" s="333">
        <v>46133.0</v>
      </c>
      <c r="N622" s="335">
        <v>2026.0</v>
      </c>
      <c r="O622" s="333">
        <v>46163.0</v>
      </c>
      <c r="P622" s="336">
        <v>2026.0</v>
      </c>
      <c r="Q622" s="337">
        <v>30.0</v>
      </c>
      <c r="R622" s="336">
        <v>1.0</v>
      </c>
      <c r="S622" s="330"/>
      <c r="T622" s="335" t="s">
        <v>113</v>
      </c>
      <c r="U622" s="323">
        <v>0.0</v>
      </c>
      <c r="V622" s="330"/>
      <c r="W622" s="323" t="s">
        <v>5238</v>
      </c>
      <c r="X622" s="323" t="s">
        <v>5238</v>
      </c>
      <c r="Y622" s="323" t="s">
        <v>2418</v>
      </c>
      <c r="Z622" s="323" t="s">
        <v>261</v>
      </c>
      <c r="AA622" s="323" t="s">
        <v>211</v>
      </c>
      <c r="AB622" s="295" t="s">
        <v>975</v>
      </c>
      <c r="AC622" s="295" t="s">
        <v>337</v>
      </c>
      <c r="AD622" s="352"/>
      <c r="AE622" s="78" t="s">
        <v>220</v>
      </c>
    </row>
    <row r="623">
      <c r="A623" s="342" t="s">
        <v>64</v>
      </c>
      <c r="B623" s="342" t="s">
        <v>67</v>
      </c>
      <c r="C623" s="343">
        <v>973.0</v>
      </c>
      <c r="D623" s="344">
        <v>10849.0</v>
      </c>
      <c r="E623" s="342" t="s">
        <v>5239</v>
      </c>
      <c r="F623" s="342" t="s">
        <v>5240</v>
      </c>
      <c r="G623" s="342" t="s">
        <v>5241</v>
      </c>
      <c r="H623" s="342" t="s">
        <v>232</v>
      </c>
      <c r="I623" s="200" t="s">
        <v>104</v>
      </c>
      <c r="J623" s="342" t="s">
        <v>84</v>
      </c>
      <c r="K623" s="342" t="s">
        <v>84</v>
      </c>
      <c r="L623" s="342" t="s">
        <v>25</v>
      </c>
      <c r="M623" s="345">
        <v>46133.0</v>
      </c>
      <c r="N623" s="346">
        <v>2026.0</v>
      </c>
      <c r="O623" s="345">
        <v>46216.0</v>
      </c>
      <c r="P623" s="347">
        <v>2026.0</v>
      </c>
      <c r="Q623" s="348">
        <v>83.0</v>
      </c>
      <c r="R623" s="347">
        <v>1.0</v>
      </c>
      <c r="S623" s="349"/>
      <c r="T623" s="346" t="s">
        <v>269</v>
      </c>
      <c r="U623" s="342">
        <v>1.0</v>
      </c>
      <c r="V623" s="342" t="s">
        <v>433</v>
      </c>
      <c r="W623" s="342" t="s">
        <v>5242</v>
      </c>
      <c r="X623" s="342" t="s">
        <v>5242</v>
      </c>
      <c r="Y623" s="342" t="s">
        <v>121</v>
      </c>
      <c r="Z623" s="342" t="s">
        <v>211</v>
      </c>
      <c r="AA623" s="342" t="s">
        <v>38</v>
      </c>
      <c r="AB623" s="200" t="s">
        <v>124</v>
      </c>
      <c r="AC623" s="65" t="s">
        <v>276</v>
      </c>
      <c r="AD623" s="353"/>
      <c r="AE623" s="368"/>
    </row>
    <row r="624">
      <c r="A624" s="323" t="s">
        <v>407</v>
      </c>
      <c r="B624" s="323" t="s">
        <v>19</v>
      </c>
      <c r="C624" s="325">
        <v>974.0</v>
      </c>
      <c r="D624" s="328">
        <v>11363.0</v>
      </c>
      <c r="E624" s="323" t="s">
        <v>5243</v>
      </c>
      <c r="F624" s="323" t="s">
        <v>865</v>
      </c>
      <c r="G624" s="323" t="s">
        <v>5244</v>
      </c>
      <c r="H624" s="323" t="s">
        <v>232</v>
      </c>
      <c r="I624" s="295" t="s">
        <v>104</v>
      </c>
      <c r="J624" s="323" t="s">
        <v>84</v>
      </c>
      <c r="K624" s="323" t="s">
        <v>84</v>
      </c>
      <c r="L624" s="323" t="s">
        <v>25</v>
      </c>
      <c r="M624" s="333">
        <v>46133.0</v>
      </c>
      <c r="N624" s="335">
        <v>2026.0</v>
      </c>
      <c r="O624" s="333">
        <v>46399.0</v>
      </c>
      <c r="P624" s="336">
        <v>2027.0</v>
      </c>
      <c r="Q624" s="337">
        <v>266.0</v>
      </c>
      <c r="R624" s="336">
        <v>1.0</v>
      </c>
      <c r="S624" s="323" t="s">
        <v>1522</v>
      </c>
      <c r="T624" s="335" t="s">
        <v>269</v>
      </c>
      <c r="U624" s="323">
        <v>1.0</v>
      </c>
      <c r="V624" s="330"/>
      <c r="W624" s="323" t="s">
        <v>5245</v>
      </c>
      <c r="X624" s="323" t="s">
        <v>5246</v>
      </c>
      <c r="Y624" s="323" t="s">
        <v>161</v>
      </c>
      <c r="Z624" s="323" t="s">
        <v>211</v>
      </c>
      <c r="AA624" s="323" t="s">
        <v>38</v>
      </c>
      <c r="AB624" s="295" t="s">
        <v>442</v>
      </c>
      <c r="AC624" s="46" t="s">
        <v>276</v>
      </c>
      <c r="AD624" s="352"/>
      <c r="AE624" s="367"/>
    </row>
    <row r="625">
      <c r="A625" s="342" t="s">
        <v>64</v>
      </c>
      <c r="B625" s="342" t="s">
        <v>19</v>
      </c>
      <c r="C625" s="343">
        <v>975.0</v>
      </c>
      <c r="D625" s="344">
        <v>800048.0</v>
      </c>
      <c r="E625" s="342" t="s">
        <v>5247</v>
      </c>
      <c r="F625" s="342" t="s">
        <v>5248</v>
      </c>
      <c r="G625" s="342" t="s">
        <v>5249</v>
      </c>
      <c r="H625" s="342" t="s">
        <v>232</v>
      </c>
      <c r="I625" s="200" t="s">
        <v>104</v>
      </c>
      <c r="J625" s="342" t="s">
        <v>84</v>
      </c>
      <c r="K625" s="342" t="s">
        <v>84</v>
      </c>
      <c r="L625" s="342" t="s">
        <v>25</v>
      </c>
      <c r="M625" s="345">
        <v>46135.0</v>
      </c>
      <c r="N625" s="346">
        <v>2026.0</v>
      </c>
      <c r="O625" s="345">
        <v>46522.0</v>
      </c>
      <c r="P625" s="347">
        <v>2027.0</v>
      </c>
      <c r="Q625" s="348">
        <v>387.0</v>
      </c>
      <c r="R625" s="347">
        <v>2.0</v>
      </c>
      <c r="S625" s="349"/>
      <c r="T625" s="346" t="s">
        <v>113</v>
      </c>
      <c r="U625" s="342">
        <v>0.0</v>
      </c>
      <c r="V625" s="349"/>
      <c r="W625" s="342" t="s">
        <v>5250</v>
      </c>
      <c r="X625" s="342" t="s">
        <v>5250</v>
      </c>
      <c r="Y625" s="342" t="s">
        <v>86</v>
      </c>
      <c r="Z625" s="342" t="s">
        <v>210</v>
      </c>
      <c r="AA625" s="342" t="s">
        <v>38</v>
      </c>
      <c r="AB625" s="200" t="s">
        <v>124</v>
      </c>
      <c r="AC625" s="200" t="s">
        <v>337</v>
      </c>
      <c r="AD625" s="353"/>
      <c r="AE625" s="368"/>
    </row>
    <row r="626">
      <c r="A626" s="323" t="s">
        <v>64</v>
      </c>
      <c r="B626" s="323" t="s">
        <v>67</v>
      </c>
      <c r="C626" s="325">
        <v>976.0</v>
      </c>
      <c r="D626" s="328" t="s">
        <v>5251</v>
      </c>
      <c r="E626" s="323" t="s">
        <v>5252</v>
      </c>
      <c r="F626" s="323" t="s">
        <v>5253</v>
      </c>
      <c r="G626" s="323" t="s">
        <v>5254</v>
      </c>
      <c r="H626" s="323" t="s">
        <v>1421</v>
      </c>
      <c r="I626" s="295" t="s">
        <v>106</v>
      </c>
      <c r="J626" s="323" t="s">
        <v>146</v>
      </c>
      <c r="K626" s="323" t="s">
        <v>147</v>
      </c>
      <c r="L626" s="323" t="s">
        <v>4656</v>
      </c>
      <c r="M626" s="333">
        <v>46141.0</v>
      </c>
      <c r="N626" s="335">
        <v>2026.0</v>
      </c>
      <c r="O626" s="333">
        <v>46185.0</v>
      </c>
      <c r="P626" s="336">
        <v>2026.0</v>
      </c>
      <c r="Q626" s="337">
        <v>30.0</v>
      </c>
      <c r="R626" s="336">
        <v>1.0</v>
      </c>
      <c r="S626" s="330"/>
      <c r="T626" s="335" t="s">
        <v>113</v>
      </c>
      <c r="U626" s="323">
        <v>0.0</v>
      </c>
      <c r="V626" s="330"/>
      <c r="W626" s="323" t="s">
        <v>5255</v>
      </c>
      <c r="X626" s="323" t="s">
        <v>5255</v>
      </c>
      <c r="Y626" s="323" t="s">
        <v>2549</v>
      </c>
      <c r="Z626" s="323" t="s">
        <v>261</v>
      </c>
      <c r="AA626" s="330"/>
      <c r="AB626" s="295" t="s">
        <v>2254</v>
      </c>
      <c r="AC626" s="295" t="s">
        <v>276</v>
      </c>
      <c r="AD626" s="352"/>
      <c r="AE626" s="78" t="s">
        <v>220</v>
      </c>
    </row>
    <row r="627">
      <c r="A627" s="342" t="s">
        <v>169</v>
      </c>
      <c r="B627" s="342" t="s">
        <v>19</v>
      </c>
      <c r="C627" s="343">
        <v>977.0</v>
      </c>
      <c r="D627" s="344">
        <v>800051.0</v>
      </c>
      <c r="E627" s="342" t="s">
        <v>5256</v>
      </c>
      <c r="F627" s="342" t="s">
        <v>5257</v>
      </c>
      <c r="G627" s="342" t="s">
        <v>5258</v>
      </c>
      <c r="H627" s="342" t="s">
        <v>232</v>
      </c>
      <c r="I627" s="200" t="s">
        <v>104</v>
      </c>
      <c r="J627" s="342" t="s">
        <v>233</v>
      </c>
      <c r="K627" s="342" t="s">
        <v>147</v>
      </c>
      <c r="L627" s="342" t="s">
        <v>2704</v>
      </c>
      <c r="M627" s="345">
        <v>46141.0</v>
      </c>
      <c r="N627" s="346">
        <v>2026.0</v>
      </c>
      <c r="O627" s="345">
        <v>46506.0</v>
      </c>
      <c r="P627" s="347">
        <v>2027.0</v>
      </c>
      <c r="Q627" s="348">
        <v>365.0</v>
      </c>
      <c r="R627" s="347">
        <v>1.0</v>
      </c>
      <c r="S627" s="349"/>
      <c r="T627" s="346" t="s">
        <v>113</v>
      </c>
      <c r="U627" s="342">
        <v>0.0</v>
      </c>
      <c r="V627" s="349"/>
      <c r="W627" s="342" t="s">
        <v>5259</v>
      </c>
      <c r="X627" s="342" t="s">
        <v>5259</v>
      </c>
      <c r="Y627" s="342" t="s">
        <v>243</v>
      </c>
      <c r="Z627" s="342" t="s">
        <v>3237</v>
      </c>
      <c r="AA627" s="342" t="s">
        <v>123</v>
      </c>
      <c r="AB627" s="200" t="s">
        <v>249</v>
      </c>
      <c r="AC627" s="200" t="s">
        <v>161</v>
      </c>
      <c r="AD627" s="200"/>
      <c r="AE627" s="371"/>
    </row>
    <row r="628">
      <c r="A628" s="323" t="s">
        <v>64</v>
      </c>
      <c r="B628" s="323" t="s">
        <v>19</v>
      </c>
      <c r="C628" s="325">
        <v>978.0</v>
      </c>
      <c r="D628" s="328">
        <v>10264.0</v>
      </c>
      <c r="E628" s="323" t="s">
        <v>5260</v>
      </c>
      <c r="F628" s="323" t="s">
        <v>5261</v>
      </c>
      <c r="G628" s="323" t="s">
        <v>5262</v>
      </c>
      <c r="H628" s="323" t="s">
        <v>178</v>
      </c>
      <c r="I628" s="295" t="s">
        <v>104</v>
      </c>
      <c r="J628" s="323" t="s">
        <v>84</v>
      </c>
      <c r="K628" s="323" t="s">
        <v>84</v>
      </c>
      <c r="L628" s="323" t="s">
        <v>5263</v>
      </c>
      <c r="M628" s="333">
        <v>46147.0</v>
      </c>
      <c r="N628" s="335">
        <v>2026.0</v>
      </c>
      <c r="O628" s="333">
        <v>46580.0</v>
      </c>
      <c r="P628" s="336">
        <v>2027.0</v>
      </c>
      <c r="Q628" s="337">
        <v>433.0</v>
      </c>
      <c r="R628" s="336">
        <v>2.0</v>
      </c>
      <c r="S628" s="323" t="s">
        <v>5264</v>
      </c>
      <c r="T628" s="335" t="s">
        <v>113</v>
      </c>
      <c r="U628" s="323">
        <v>1.0</v>
      </c>
      <c r="V628" s="330"/>
      <c r="W628" s="323" t="s">
        <v>5265</v>
      </c>
      <c r="X628" s="323" t="s">
        <v>5265</v>
      </c>
      <c r="Y628" s="323" t="s">
        <v>86</v>
      </c>
      <c r="Z628" s="323" t="s">
        <v>122</v>
      </c>
      <c r="AA628" s="323" t="s">
        <v>5266</v>
      </c>
      <c r="AB628" s="295" t="s">
        <v>768</v>
      </c>
      <c r="AC628" s="295" t="s">
        <v>164</v>
      </c>
      <c r="AD628" s="352"/>
      <c r="AE628" s="369"/>
    </row>
    <row r="629">
      <c r="A629" s="342" t="s">
        <v>169</v>
      </c>
      <c r="B629" s="342" t="s">
        <v>19</v>
      </c>
      <c r="C629" s="343">
        <v>979.0</v>
      </c>
      <c r="D629" s="344">
        <v>800053.0</v>
      </c>
      <c r="E629" s="342" t="s">
        <v>5267</v>
      </c>
      <c r="F629" s="342" t="s">
        <v>5268</v>
      </c>
      <c r="G629" s="342" t="s">
        <v>528</v>
      </c>
      <c r="H629" s="342" t="s">
        <v>103</v>
      </c>
      <c r="I629" s="200" t="s">
        <v>708</v>
      </c>
      <c r="J629" s="342" t="s">
        <v>233</v>
      </c>
      <c r="K629" s="342" t="s">
        <v>236</v>
      </c>
      <c r="L629" s="342" t="s">
        <v>181</v>
      </c>
      <c r="M629" s="345">
        <v>46149.0</v>
      </c>
      <c r="N629" s="346">
        <v>2026.0</v>
      </c>
      <c r="O629" s="372">
        <v>46387.0</v>
      </c>
      <c r="P629" s="347">
        <v>2026.0</v>
      </c>
      <c r="Q629" s="348">
        <v>238.0</v>
      </c>
      <c r="R629" s="347">
        <v>1.0</v>
      </c>
      <c r="S629" s="349"/>
      <c r="T629" s="346" t="s">
        <v>113</v>
      </c>
      <c r="U629" s="342">
        <v>0.0</v>
      </c>
      <c r="V629" s="349"/>
      <c r="W629" s="342" t="s">
        <v>5269</v>
      </c>
      <c r="X629" s="342" t="s">
        <v>5269</v>
      </c>
      <c r="Y629" s="342" t="s">
        <v>243</v>
      </c>
      <c r="Z629" s="342" t="s">
        <v>3237</v>
      </c>
      <c r="AA629" s="342" t="s">
        <v>123</v>
      </c>
      <c r="AB629" s="200" t="s">
        <v>621</v>
      </c>
      <c r="AC629" s="65" t="s">
        <v>164</v>
      </c>
      <c r="AD629" s="200" t="s">
        <v>251</v>
      </c>
      <c r="AE629" s="371"/>
    </row>
    <row r="630">
      <c r="A630" s="323" t="s">
        <v>169</v>
      </c>
      <c r="B630" s="323" t="s">
        <v>19</v>
      </c>
      <c r="C630" s="325">
        <v>959.0</v>
      </c>
      <c r="D630" s="328">
        <v>600194.0</v>
      </c>
      <c r="E630" s="323" t="s">
        <v>5270</v>
      </c>
      <c r="F630" s="323" t="s">
        <v>5271</v>
      </c>
      <c r="G630" s="323" t="s">
        <v>5272</v>
      </c>
      <c r="H630" s="323" t="s">
        <v>232</v>
      </c>
      <c r="I630" s="295" t="s">
        <v>104</v>
      </c>
      <c r="J630" s="323" t="s">
        <v>84</v>
      </c>
      <c r="K630" s="323" t="s">
        <v>84</v>
      </c>
      <c r="L630" s="323" t="s">
        <v>181</v>
      </c>
      <c r="M630" s="333">
        <v>46118.0</v>
      </c>
      <c r="N630" s="335">
        <v>2026.0</v>
      </c>
      <c r="O630" s="333">
        <v>46482.0</v>
      </c>
      <c r="P630" s="336">
        <v>2027.0</v>
      </c>
      <c r="Q630" s="337">
        <v>364.0</v>
      </c>
      <c r="R630" s="336">
        <v>1.0</v>
      </c>
      <c r="S630" s="330"/>
      <c r="T630" s="335" t="s">
        <v>113</v>
      </c>
      <c r="U630" s="323">
        <v>0.0</v>
      </c>
      <c r="V630" s="330"/>
      <c r="W630" s="323" t="s">
        <v>5273</v>
      </c>
      <c r="X630" s="323" t="s">
        <v>5273</v>
      </c>
      <c r="Y630" s="323" t="s">
        <v>2799</v>
      </c>
      <c r="Z630" s="323" t="s">
        <v>210</v>
      </c>
      <c r="AA630" s="323" t="s">
        <v>14</v>
      </c>
      <c r="AB630" s="295" t="s">
        <v>621</v>
      </c>
      <c r="AC630" s="295" t="s">
        <v>276</v>
      </c>
      <c r="AD630" s="295" t="s">
        <v>295</v>
      </c>
      <c r="AE630" s="367"/>
    </row>
    <row r="631">
      <c r="A631" s="342" t="s">
        <v>169</v>
      </c>
      <c r="B631" s="342" t="s">
        <v>19</v>
      </c>
      <c r="C631" s="343">
        <v>968.0</v>
      </c>
      <c r="D631" s="344">
        <v>10847.0</v>
      </c>
      <c r="E631" s="342" t="s">
        <v>5274</v>
      </c>
      <c r="F631" s="342" t="s">
        <v>5275</v>
      </c>
      <c r="G631" s="342" t="s">
        <v>5276</v>
      </c>
      <c r="H631" s="342" t="s">
        <v>232</v>
      </c>
      <c r="I631" s="200" t="s">
        <v>106</v>
      </c>
      <c r="J631" s="342" t="s">
        <v>84</v>
      </c>
      <c r="K631" s="342" t="s">
        <v>84</v>
      </c>
      <c r="L631" s="342" t="s">
        <v>25</v>
      </c>
      <c r="M631" s="345">
        <v>46127.0</v>
      </c>
      <c r="N631" s="346">
        <v>2026.0</v>
      </c>
      <c r="O631" s="345">
        <v>46388.0</v>
      </c>
      <c r="P631" s="347">
        <v>2027.0</v>
      </c>
      <c r="Q631" s="348">
        <v>261.0</v>
      </c>
      <c r="R631" s="347">
        <v>1.0</v>
      </c>
      <c r="S631" s="342" t="s">
        <v>1522</v>
      </c>
      <c r="T631" s="346" t="s">
        <v>269</v>
      </c>
      <c r="U631" s="342">
        <v>5.0</v>
      </c>
      <c r="V631" s="342" t="s">
        <v>5277</v>
      </c>
      <c r="W631" s="342" t="s">
        <v>5278</v>
      </c>
      <c r="X631" s="349"/>
      <c r="Y631" s="342" t="s">
        <v>2799</v>
      </c>
      <c r="Z631" s="342" t="s">
        <v>211</v>
      </c>
      <c r="AA631" s="342" t="s">
        <v>65</v>
      </c>
      <c r="AB631" s="200" t="s">
        <v>249</v>
      </c>
      <c r="AC631" s="200" t="s">
        <v>128</v>
      </c>
      <c r="AD631" s="353"/>
      <c r="AE631" s="371"/>
    </row>
    <row r="632">
      <c r="A632" s="323" t="s">
        <v>169</v>
      </c>
      <c r="B632" s="323" t="s">
        <v>67</v>
      </c>
      <c r="C632" s="325">
        <v>980.0</v>
      </c>
      <c r="D632" s="328">
        <v>800059.0</v>
      </c>
      <c r="E632" s="323" t="s">
        <v>667</v>
      </c>
      <c r="F632" s="323" t="s">
        <v>5279</v>
      </c>
      <c r="G632" s="323" t="s">
        <v>5280</v>
      </c>
      <c r="H632" s="323" t="s">
        <v>232</v>
      </c>
      <c r="I632" s="295" t="s">
        <v>106</v>
      </c>
      <c r="J632" s="323" t="s">
        <v>84</v>
      </c>
      <c r="K632" s="323" t="s">
        <v>84</v>
      </c>
      <c r="L632" s="323" t="s">
        <v>25</v>
      </c>
      <c r="M632" s="333">
        <v>46157.0</v>
      </c>
      <c r="N632" s="335">
        <v>2026.0</v>
      </c>
      <c r="O632" s="333">
        <v>46166.0</v>
      </c>
      <c r="P632" s="336">
        <v>2026.0</v>
      </c>
      <c r="Q632" s="337">
        <v>9.0</v>
      </c>
      <c r="R632" s="336">
        <v>1.0</v>
      </c>
      <c r="S632" s="330"/>
      <c r="T632" s="335" t="s">
        <v>113</v>
      </c>
      <c r="U632" s="323">
        <v>1.0</v>
      </c>
      <c r="V632" s="330"/>
      <c r="W632" s="323" t="s">
        <v>5281</v>
      </c>
      <c r="X632" s="323" t="s">
        <v>5281</v>
      </c>
      <c r="Y632" s="323" t="s">
        <v>2799</v>
      </c>
      <c r="Z632" s="323" t="s">
        <v>211</v>
      </c>
      <c r="AA632" s="323" t="s">
        <v>38</v>
      </c>
      <c r="AB632" s="295" t="s">
        <v>249</v>
      </c>
      <c r="AC632" s="295" t="s">
        <v>164</v>
      </c>
      <c r="AD632" s="295" t="s">
        <v>251</v>
      </c>
      <c r="AE632" s="78" t="s">
        <v>220</v>
      </c>
    </row>
    <row r="633">
      <c r="A633" s="342" t="s">
        <v>169</v>
      </c>
      <c r="B633" s="342" t="s">
        <v>19</v>
      </c>
      <c r="C633" s="343">
        <v>981.0</v>
      </c>
      <c r="D633" s="344">
        <v>800061.0</v>
      </c>
      <c r="E633" s="342" t="s">
        <v>667</v>
      </c>
      <c r="F633" s="342" t="s">
        <v>5282</v>
      </c>
      <c r="G633" s="342" t="s">
        <v>5283</v>
      </c>
      <c r="H633" s="342" t="s">
        <v>232</v>
      </c>
      <c r="I633" s="200" t="s">
        <v>708</v>
      </c>
      <c r="J633" s="342" t="s">
        <v>84</v>
      </c>
      <c r="K633" s="342" t="s">
        <v>84</v>
      </c>
      <c r="L633" s="342" t="s">
        <v>25</v>
      </c>
      <c r="M633" s="345">
        <v>46160.0</v>
      </c>
      <c r="N633" s="346">
        <v>2026.0</v>
      </c>
      <c r="O633" s="345">
        <v>46525.0</v>
      </c>
      <c r="P633" s="347">
        <v>2027.0</v>
      </c>
      <c r="Q633" s="348">
        <v>365.0</v>
      </c>
      <c r="R633" s="347">
        <v>1.0</v>
      </c>
      <c r="S633" s="349"/>
      <c r="T633" s="346" t="s">
        <v>269</v>
      </c>
      <c r="U633" s="342">
        <v>0.0</v>
      </c>
      <c r="V633" s="342" t="s">
        <v>5284</v>
      </c>
      <c r="W633" s="342" t="s">
        <v>5285</v>
      </c>
      <c r="X633" s="342" t="s">
        <v>5285</v>
      </c>
      <c r="Y633" s="342" t="s">
        <v>1525</v>
      </c>
      <c r="Z633" s="342" t="s">
        <v>211</v>
      </c>
      <c r="AA633" s="342" t="s">
        <v>38</v>
      </c>
      <c r="AB633" s="200" t="s">
        <v>249</v>
      </c>
      <c r="AC633" s="200" t="s">
        <v>164</v>
      </c>
      <c r="AD633" s="200" t="s">
        <v>251</v>
      </c>
      <c r="AE633" s="371"/>
    </row>
    <row r="634">
      <c r="A634" s="323" t="s">
        <v>64</v>
      </c>
      <c r="B634" s="323" t="s">
        <v>67</v>
      </c>
      <c r="C634" s="325">
        <v>982.0</v>
      </c>
      <c r="D634" s="328">
        <v>11248.0</v>
      </c>
      <c r="E634" s="323" t="s">
        <v>951</v>
      </c>
      <c r="F634" s="323" t="s">
        <v>5286</v>
      </c>
      <c r="G634" s="323" t="s">
        <v>5287</v>
      </c>
      <c r="H634" s="323" t="s">
        <v>232</v>
      </c>
      <c r="I634" s="295" t="s">
        <v>104</v>
      </c>
      <c r="J634" s="323" t="s">
        <v>84</v>
      </c>
      <c r="K634" s="323" t="s">
        <v>84</v>
      </c>
      <c r="L634" s="323" t="s">
        <v>25</v>
      </c>
      <c r="M634" s="333">
        <v>46160.0</v>
      </c>
      <c r="N634" s="335">
        <v>2026.0</v>
      </c>
      <c r="O634" s="333">
        <v>46203.0</v>
      </c>
      <c r="P634" s="336">
        <v>2026.0</v>
      </c>
      <c r="Q634" s="337">
        <v>43.0</v>
      </c>
      <c r="R634" s="336">
        <v>1.0</v>
      </c>
      <c r="S634" s="323" t="s">
        <v>1522</v>
      </c>
      <c r="T634" s="335" t="s">
        <v>269</v>
      </c>
      <c r="U634" s="323">
        <v>0.0</v>
      </c>
      <c r="V634" s="330"/>
      <c r="W634" s="323" t="s">
        <v>5288</v>
      </c>
      <c r="X634" s="330"/>
      <c r="Y634" s="323" t="s">
        <v>121</v>
      </c>
      <c r="Z634" s="323" t="s">
        <v>211</v>
      </c>
      <c r="AA634" s="323" t="s">
        <v>123</v>
      </c>
      <c r="AB634" s="295" t="s">
        <v>741</v>
      </c>
      <c r="AC634" s="295" t="s">
        <v>161</v>
      </c>
      <c r="AD634" s="352"/>
      <c r="AE634" s="369"/>
    </row>
    <row r="635">
      <c r="A635" s="342" t="s">
        <v>169</v>
      </c>
      <c r="B635" s="342" t="s">
        <v>67</v>
      </c>
      <c r="C635" s="343">
        <v>983.0</v>
      </c>
      <c r="D635" s="344">
        <v>11305.0</v>
      </c>
      <c r="E635" s="342" t="s">
        <v>941</v>
      </c>
      <c r="F635" s="342" t="s">
        <v>5289</v>
      </c>
      <c r="G635" s="342" t="s">
        <v>5290</v>
      </c>
      <c r="H635" s="342" t="s">
        <v>232</v>
      </c>
      <c r="I635" s="200" t="s">
        <v>104</v>
      </c>
      <c r="J635" s="342" t="s">
        <v>84</v>
      </c>
      <c r="K635" s="342" t="s">
        <v>84</v>
      </c>
      <c r="L635" s="342" t="s">
        <v>25</v>
      </c>
      <c r="M635" s="345">
        <v>46160.0</v>
      </c>
      <c r="N635" s="346">
        <v>2026.0</v>
      </c>
      <c r="O635" s="345">
        <v>46203.0</v>
      </c>
      <c r="P635" s="347">
        <v>2026.0</v>
      </c>
      <c r="Q635" s="348">
        <v>43.0</v>
      </c>
      <c r="R635" s="347">
        <v>1.0</v>
      </c>
      <c r="S635" s="342" t="s">
        <v>1522</v>
      </c>
      <c r="T635" s="346" t="s">
        <v>269</v>
      </c>
      <c r="U635" s="342">
        <v>0.0</v>
      </c>
      <c r="V635" s="349"/>
      <c r="W635" s="342" t="s">
        <v>5291</v>
      </c>
      <c r="X635" s="349"/>
      <c r="Y635" s="342" t="s">
        <v>2413</v>
      </c>
      <c r="Z635" s="342" t="s">
        <v>211</v>
      </c>
      <c r="AA635" s="342" t="s">
        <v>123</v>
      </c>
      <c r="AB635" s="200" t="s">
        <v>975</v>
      </c>
      <c r="AC635" s="200" t="s">
        <v>161</v>
      </c>
      <c r="AD635" s="353"/>
      <c r="AE635" s="371"/>
    </row>
    <row r="636">
      <c r="A636" s="323" t="s">
        <v>169</v>
      </c>
      <c r="B636" s="323" t="s">
        <v>67</v>
      </c>
      <c r="C636" s="325">
        <v>984.0</v>
      </c>
      <c r="D636" s="328">
        <v>10859.0</v>
      </c>
      <c r="E636" s="323" t="s">
        <v>378</v>
      </c>
      <c r="F636" s="323" t="s">
        <v>5292</v>
      </c>
      <c r="G636" s="323" t="s">
        <v>5293</v>
      </c>
      <c r="H636" s="323" t="s">
        <v>232</v>
      </c>
      <c r="I636" s="295" t="s">
        <v>104</v>
      </c>
      <c r="J636" s="323" t="s">
        <v>84</v>
      </c>
      <c r="K636" s="323" t="s">
        <v>84</v>
      </c>
      <c r="L636" s="323" t="s">
        <v>25</v>
      </c>
      <c r="M636" s="333">
        <v>46161.0</v>
      </c>
      <c r="N636" s="335">
        <v>2026.0</v>
      </c>
      <c r="O636" s="333">
        <v>46203.0</v>
      </c>
      <c r="P636" s="336">
        <v>2026.0</v>
      </c>
      <c r="Q636" s="337">
        <v>42.0</v>
      </c>
      <c r="R636" s="336">
        <v>1.0</v>
      </c>
      <c r="S636" s="323" t="s">
        <v>1522</v>
      </c>
      <c r="T636" s="335" t="s">
        <v>269</v>
      </c>
      <c r="U636" s="323">
        <v>0.0</v>
      </c>
      <c r="V636" s="330"/>
      <c r="W636" s="323" t="s">
        <v>5294</v>
      </c>
      <c r="X636" s="323" t="s">
        <v>5294</v>
      </c>
      <c r="Y636" s="323" t="s">
        <v>1660</v>
      </c>
      <c r="Z636" s="323" t="s">
        <v>211</v>
      </c>
      <c r="AA636" s="323" t="s">
        <v>123</v>
      </c>
      <c r="AB636" s="295" t="s">
        <v>249</v>
      </c>
      <c r="AC636" s="295" t="s">
        <v>161</v>
      </c>
      <c r="AD636" s="352"/>
      <c r="AE636" s="367"/>
    </row>
    <row r="637">
      <c r="A637" s="342" t="s">
        <v>64</v>
      </c>
      <c r="B637" s="342" t="s">
        <v>67</v>
      </c>
      <c r="C637" s="343">
        <v>985.0</v>
      </c>
      <c r="D637" s="344">
        <v>600004.0</v>
      </c>
      <c r="E637" s="342" t="s">
        <v>5295</v>
      </c>
      <c r="F637" s="342" t="s">
        <v>5296</v>
      </c>
      <c r="G637" s="342" t="s">
        <v>5297</v>
      </c>
      <c r="H637" s="342" t="s">
        <v>232</v>
      </c>
      <c r="I637" s="200" t="s">
        <v>104</v>
      </c>
      <c r="J637" s="342" t="s">
        <v>84</v>
      </c>
      <c r="K637" s="342" t="s">
        <v>84</v>
      </c>
      <c r="L637" s="342" t="s">
        <v>25</v>
      </c>
      <c r="M637" s="345">
        <v>46161.0</v>
      </c>
      <c r="N637" s="346">
        <v>2026.0</v>
      </c>
      <c r="O637" s="345">
        <v>46203.0</v>
      </c>
      <c r="P637" s="347">
        <v>2026.0</v>
      </c>
      <c r="Q637" s="348">
        <v>42.0</v>
      </c>
      <c r="R637" s="347">
        <v>1.0</v>
      </c>
      <c r="S637" s="342" t="s">
        <v>1522</v>
      </c>
      <c r="T637" s="346" t="s">
        <v>269</v>
      </c>
      <c r="U637" s="342">
        <v>0.0</v>
      </c>
      <c r="V637" s="349"/>
      <c r="W637" s="342" t="s">
        <v>5298</v>
      </c>
      <c r="X637" s="349"/>
      <c r="Y637" s="342" t="s">
        <v>161</v>
      </c>
      <c r="Z637" s="342" t="s">
        <v>211</v>
      </c>
      <c r="AA637" s="342" t="s">
        <v>123</v>
      </c>
      <c r="AB637" s="200" t="s">
        <v>768</v>
      </c>
      <c r="AC637" s="200" t="s">
        <v>161</v>
      </c>
      <c r="AD637" s="353"/>
      <c r="AE637" s="368"/>
    </row>
    <row r="638">
      <c r="A638" s="323" t="s">
        <v>64</v>
      </c>
      <c r="B638" s="323" t="s">
        <v>67</v>
      </c>
      <c r="C638" s="325">
        <v>986.0</v>
      </c>
      <c r="D638" s="328">
        <v>11343.0</v>
      </c>
      <c r="E638" s="323" t="s">
        <v>5299</v>
      </c>
      <c r="F638" s="323" t="s">
        <v>5300</v>
      </c>
      <c r="G638" s="323" t="s">
        <v>5301</v>
      </c>
      <c r="H638" s="323" t="s">
        <v>232</v>
      </c>
      <c r="I638" s="295" t="s">
        <v>104</v>
      </c>
      <c r="J638" s="323" t="s">
        <v>84</v>
      </c>
      <c r="K638" s="323" t="s">
        <v>84</v>
      </c>
      <c r="L638" s="323" t="s">
        <v>25</v>
      </c>
      <c r="M638" s="333">
        <v>46161.0</v>
      </c>
      <c r="N638" s="335">
        <v>2026.0</v>
      </c>
      <c r="O638" s="333">
        <v>46203.0</v>
      </c>
      <c r="P638" s="336">
        <v>2026.0</v>
      </c>
      <c r="Q638" s="337">
        <v>42.0</v>
      </c>
      <c r="R638" s="336">
        <v>1.0</v>
      </c>
      <c r="S638" s="323" t="s">
        <v>1522</v>
      </c>
      <c r="T638" s="335" t="s">
        <v>269</v>
      </c>
      <c r="U638" s="323">
        <v>0.0</v>
      </c>
      <c r="V638" s="330"/>
      <c r="W638" s="323" t="s">
        <v>5302</v>
      </c>
      <c r="X638" s="330"/>
      <c r="Y638" s="323" t="s">
        <v>1632</v>
      </c>
      <c r="Z638" s="323" t="s">
        <v>211</v>
      </c>
      <c r="AA638" s="323" t="s">
        <v>123</v>
      </c>
      <c r="AB638" s="295" t="s">
        <v>768</v>
      </c>
      <c r="AC638" s="295" t="s">
        <v>161</v>
      </c>
      <c r="AD638" s="352"/>
      <c r="AE638" s="369"/>
    </row>
    <row r="639">
      <c r="A639" s="342" t="s">
        <v>64</v>
      </c>
      <c r="B639" s="342" t="s">
        <v>67</v>
      </c>
      <c r="C639" s="343">
        <v>987.0</v>
      </c>
      <c r="D639" s="344">
        <v>10808.0</v>
      </c>
      <c r="E639" s="342" t="s">
        <v>818</v>
      </c>
      <c r="F639" s="342" t="s">
        <v>5303</v>
      </c>
      <c r="G639" s="342" t="s">
        <v>5304</v>
      </c>
      <c r="H639" s="342" t="s">
        <v>232</v>
      </c>
      <c r="I639" s="200" t="s">
        <v>104</v>
      </c>
      <c r="J639" s="342" t="s">
        <v>84</v>
      </c>
      <c r="K639" s="342" t="s">
        <v>84</v>
      </c>
      <c r="L639" s="342" t="s">
        <v>25</v>
      </c>
      <c r="M639" s="345">
        <v>46161.0</v>
      </c>
      <c r="N639" s="346">
        <v>2026.0</v>
      </c>
      <c r="O639" s="345">
        <v>46203.0</v>
      </c>
      <c r="P639" s="347">
        <v>2026.0</v>
      </c>
      <c r="Q639" s="348">
        <v>42.0</v>
      </c>
      <c r="R639" s="347">
        <v>1.0</v>
      </c>
      <c r="S639" s="342" t="s">
        <v>1522</v>
      </c>
      <c r="T639" s="346" t="s">
        <v>269</v>
      </c>
      <c r="U639" s="342">
        <v>0.0</v>
      </c>
      <c r="V639" s="349"/>
      <c r="W639" s="342" t="s">
        <v>5305</v>
      </c>
      <c r="X639" s="349"/>
      <c r="Y639" s="342" t="s">
        <v>161</v>
      </c>
      <c r="Z639" s="342" t="s">
        <v>211</v>
      </c>
      <c r="AA639" s="342" t="s">
        <v>123</v>
      </c>
      <c r="AB639" s="200" t="s">
        <v>124</v>
      </c>
      <c r="AC639" s="200" t="s">
        <v>161</v>
      </c>
      <c r="AD639" s="353"/>
      <c r="AE639" s="368"/>
    </row>
    <row r="640">
      <c r="A640" s="323" t="s">
        <v>64</v>
      </c>
      <c r="B640" s="323" t="s">
        <v>67</v>
      </c>
      <c r="C640" s="325">
        <v>989.0</v>
      </c>
      <c r="D640" s="328">
        <v>10362.0</v>
      </c>
      <c r="E640" s="323" t="s">
        <v>5306</v>
      </c>
      <c r="F640" s="323" t="s">
        <v>5307</v>
      </c>
      <c r="G640" s="323" t="s">
        <v>5308</v>
      </c>
      <c r="H640" s="323" t="s">
        <v>232</v>
      </c>
      <c r="I640" s="295" t="s">
        <v>104</v>
      </c>
      <c r="J640" s="323" t="s">
        <v>84</v>
      </c>
      <c r="K640" s="323" t="s">
        <v>84</v>
      </c>
      <c r="L640" s="323" t="s">
        <v>25</v>
      </c>
      <c r="M640" s="333">
        <v>46161.0</v>
      </c>
      <c r="N640" s="335">
        <v>2026.0</v>
      </c>
      <c r="O640" s="333">
        <v>46203.0</v>
      </c>
      <c r="P640" s="336">
        <v>2026.0</v>
      </c>
      <c r="Q640" s="337">
        <v>42.0</v>
      </c>
      <c r="R640" s="336">
        <v>1.0</v>
      </c>
      <c r="S640" s="323" t="s">
        <v>1522</v>
      </c>
      <c r="T640" s="335" t="s">
        <v>269</v>
      </c>
      <c r="U640" s="323">
        <v>0.0</v>
      </c>
      <c r="V640" s="330"/>
      <c r="W640" s="323" t="s">
        <v>5309</v>
      </c>
      <c r="X640" s="330"/>
      <c r="Y640" s="323" t="s">
        <v>740</v>
      </c>
      <c r="Z640" s="323" t="s">
        <v>211</v>
      </c>
      <c r="AA640" s="323" t="s">
        <v>123</v>
      </c>
      <c r="AB640" s="295" t="s">
        <v>876</v>
      </c>
      <c r="AC640" s="295" t="s">
        <v>161</v>
      </c>
      <c r="AD640" s="352"/>
      <c r="AE640" s="369"/>
    </row>
    <row r="641">
      <c r="A641" s="342" t="s">
        <v>64</v>
      </c>
      <c r="B641" s="342" t="s">
        <v>19</v>
      </c>
      <c r="C641" s="343">
        <v>988.0</v>
      </c>
      <c r="D641" s="344">
        <v>10441.0</v>
      </c>
      <c r="E641" s="342" t="s">
        <v>5310</v>
      </c>
      <c r="F641" s="342" t="s">
        <v>5311</v>
      </c>
      <c r="G641" s="342" t="s">
        <v>5312</v>
      </c>
      <c r="H641" s="342" t="s">
        <v>232</v>
      </c>
      <c r="I641" s="200" t="s">
        <v>104</v>
      </c>
      <c r="J641" s="342" t="s">
        <v>84</v>
      </c>
      <c r="K641" s="342" t="s">
        <v>84</v>
      </c>
      <c r="L641" s="342" t="s">
        <v>25</v>
      </c>
      <c r="M641" s="345">
        <v>46161.0</v>
      </c>
      <c r="N641" s="346">
        <v>2026.0</v>
      </c>
      <c r="O641" s="345">
        <v>47847.0</v>
      </c>
      <c r="P641" s="347">
        <v>2026.0</v>
      </c>
      <c r="Q641" s="348">
        <v>104.0</v>
      </c>
      <c r="R641" s="347">
        <v>1.0</v>
      </c>
      <c r="S641" s="342" t="s">
        <v>1522</v>
      </c>
      <c r="T641" s="346" t="s">
        <v>269</v>
      </c>
      <c r="U641" s="342">
        <v>1.0</v>
      </c>
      <c r="V641" s="349"/>
      <c r="W641" s="342" t="s">
        <v>5313</v>
      </c>
      <c r="X641" s="342" t="s">
        <v>5313</v>
      </c>
      <c r="Y641" s="342" t="s">
        <v>740</v>
      </c>
      <c r="Z641" s="342" t="s">
        <v>211</v>
      </c>
      <c r="AA641" s="342" t="s">
        <v>14</v>
      </c>
      <c r="AB641" s="200" t="s">
        <v>508</v>
      </c>
      <c r="AC641" s="200" t="s">
        <v>161</v>
      </c>
      <c r="AD641" s="353"/>
      <c r="AE641" s="368"/>
    </row>
    <row r="642">
      <c r="A642" s="323" t="s">
        <v>169</v>
      </c>
      <c r="B642" s="323" t="s">
        <v>67</v>
      </c>
      <c r="C642" s="325">
        <v>990.0</v>
      </c>
      <c r="D642" s="328">
        <v>10737.0</v>
      </c>
      <c r="E642" s="323" t="s">
        <v>904</v>
      </c>
      <c r="F642" s="323" t="s">
        <v>5314</v>
      </c>
      <c r="G642" s="323" t="s">
        <v>5315</v>
      </c>
      <c r="H642" s="323" t="s">
        <v>232</v>
      </c>
      <c r="I642" s="295" t="s">
        <v>104</v>
      </c>
      <c r="J642" s="323" t="s">
        <v>84</v>
      </c>
      <c r="K642" s="323" t="s">
        <v>84</v>
      </c>
      <c r="L642" s="323" t="s">
        <v>25</v>
      </c>
      <c r="M642" s="333">
        <v>46161.0</v>
      </c>
      <c r="N642" s="335">
        <v>2026.0</v>
      </c>
      <c r="O642" s="333">
        <v>46203.0</v>
      </c>
      <c r="P642" s="336">
        <v>2026.0</v>
      </c>
      <c r="Q642" s="337">
        <v>42.0</v>
      </c>
      <c r="R642" s="336">
        <v>1.0</v>
      </c>
      <c r="S642" s="323" t="s">
        <v>1522</v>
      </c>
      <c r="T642" s="335" t="s">
        <v>269</v>
      </c>
      <c r="U642" s="323">
        <v>0.0</v>
      </c>
      <c r="V642" s="330"/>
      <c r="W642" s="323" t="s">
        <v>5316</v>
      </c>
      <c r="X642" s="330"/>
      <c r="Y642" s="323" t="s">
        <v>161</v>
      </c>
      <c r="Z642" s="323" t="s">
        <v>211</v>
      </c>
      <c r="AA642" s="323" t="s">
        <v>123</v>
      </c>
      <c r="AB642" s="295" t="s">
        <v>2291</v>
      </c>
      <c r="AC642" s="295" t="s">
        <v>161</v>
      </c>
      <c r="AD642" s="352"/>
      <c r="AE642" s="367"/>
    </row>
    <row r="643">
      <c r="A643" s="342" t="s">
        <v>64</v>
      </c>
      <c r="B643" s="342" t="s">
        <v>67</v>
      </c>
      <c r="C643" s="343">
        <v>991.0</v>
      </c>
      <c r="D643" s="344">
        <v>10627.0</v>
      </c>
      <c r="E643" s="342" t="s">
        <v>5317</v>
      </c>
      <c r="F643" s="342" t="s">
        <v>5318</v>
      </c>
      <c r="G643" s="342" t="s">
        <v>5319</v>
      </c>
      <c r="H643" s="342" t="s">
        <v>232</v>
      </c>
      <c r="I643" s="200" t="s">
        <v>104</v>
      </c>
      <c r="J643" s="342" t="s">
        <v>84</v>
      </c>
      <c r="K643" s="342" t="s">
        <v>84</v>
      </c>
      <c r="L643" s="342" t="s">
        <v>25</v>
      </c>
      <c r="M643" s="345">
        <v>46161.0</v>
      </c>
      <c r="N643" s="346">
        <v>2026.0</v>
      </c>
      <c r="O643" s="345">
        <v>46203.0</v>
      </c>
      <c r="P643" s="347">
        <v>2026.0</v>
      </c>
      <c r="Q643" s="348">
        <v>42.0</v>
      </c>
      <c r="R643" s="347">
        <v>1.0</v>
      </c>
      <c r="S643" s="342" t="s">
        <v>1522</v>
      </c>
      <c r="T643" s="346" t="s">
        <v>269</v>
      </c>
      <c r="U643" s="342">
        <v>0.0</v>
      </c>
      <c r="V643" s="349"/>
      <c r="W643" s="342" t="s">
        <v>5320</v>
      </c>
      <c r="X643" s="342" t="s">
        <v>5320</v>
      </c>
      <c r="Y643" s="342" t="s">
        <v>740</v>
      </c>
      <c r="Z643" s="342" t="s">
        <v>211</v>
      </c>
      <c r="AA643" s="342" t="s">
        <v>14</v>
      </c>
      <c r="AB643" s="200" t="s">
        <v>508</v>
      </c>
      <c r="AC643" s="200" t="s">
        <v>161</v>
      </c>
      <c r="AD643" s="353"/>
      <c r="AE643" s="368"/>
    </row>
    <row r="644">
      <c r="A644" s="323" t="s">
        <v>64</v>
      </c>
      <c r="B644" s="323" t="s">
        <v>67</v>
      </c>
      <c r="C644" s="325">
        <v>992.0</v>
      </c>
      <c r="D644" s="328">
        <v>11290.0</v>
      </c>
      <c r="E644" s="323" t="s">
        <v>5321</v>
      </c>
      <c r="F644" s="323" t="s">
        <v>5322</v>
      </c>
      <c r="G644" s="323" t="s">
        <v>5323</v>
      </c>
      <c r="H644" s="323" t="s">
        <v>232</v>
      </c>
      <c r="I644" s="295" t="s">
        <v>104</v>
      </c>
      <c r="J644" s="323" t="s">
        <v>84</v>
      </c>
      <c r="K644" s="323" t="s">
        <v>84</v>
      </c>
      <c r="L644" s="323" t="s">
        <v>25</v>
      </c>
      <c r="M644" s="333">
        <v>46161.0</v>
      </c>
      <c r="N644" s="335">
        <v>2026.0</v>
      </c>
      <c r="O644" s="333">
        <v>46203.0</v>
      </c>
      <c r="P644" s="336">
        <v>2026.0</v>
      </c>
      <c r="Q644" s="337">
        <v>42.0</v>
      </c>
      <c r="R644" s="336">
        <v>1.0</v>
      </c>
      <c r="S644" s="323" t="s">
        <v>1522</v>
      </c>
      <c r="T644" s="335" t="s">
        <v>269</v>
      </c>
      <c r="U644" s="323">
        <v>0.0</v>
      </c>
      <c r="V644" s="330"/>
      <c r="W644" s="323" t="s">
        <v>5324</v>
      </c>
      <c r="X644" s="330"/>
      <c r="Y644" s="323" t="s">
        <v>161</v>
      </c>
      <c r="Z644" s="323" t="s">
        <v>211</v>
      </c>
      <c r="AA644" s="323" t="s">
        <v>123</v>
      </c>
      <c r="AB644" s="295" t="s">
        <v>508</v>
      </c>
      <c r="AC644" s="295" t="s">
        <v>161</v>
      </c>
      <c r="AD644" s="352"/>
      <c r="AE644" s="369"/>
    </row>
    <row r="645">
      <c r="A645" s="342" t="s">
        <v>64</v>
      </c>
      <c r="B645" s="342" t="s">
        <v>67</v>
      </c>
      <c r="C645" s="343">
        <v>993.0</v>
      </c>
      <c r="D645" s="344">
        <v>10816.0</v>
      </c>
      <c r="E645" s="342" t="s">
        <v>5325</v>
      </c>
      <c r="F645" s="342" t="s">
        <v>5326</v>
      </c>
      <c r="G645" s="342" t="s">
        <v>5327</v>
      </c>
      <c r="H645" s="342" t="s">
        <v>232</v>
      </c>
      <c r="I645" s="200" t="s">
        <v>104</v>
      </c>
      <c r="J645" s="342" t="s">
        <v>84</v>
      </c>
      <c r="K645" s="342" t="s">
        <v>84</v>
      </c>
      <c r="L645" s="342" t="s">
        <v>25</v>
      </c>
      <c r="M645" s="345">
        <v>46161.0</v>
      </c>
      <c r="N645" s="346">
        <v>2026.0</v>
      </c>
      <c r="O645" s="345">
        <v>46203.0</v>
      </c>
      <c r="P645" s="347">
        <v>2026.0</v>
      </c>
      <c r="Q645" s="348">
        <v>42.0</v>
      </c>
      <c r="R645" s="347">
        <v>1.0</v>
      </c>
      <c r="S645" s="342" t="s">
        <v>1522</v>
      </c>
      <c r="T645" s="346" t="s">
        <v>269</v>
      </c>
      <c r="U645" s="342">
        <v>0.0</v>
      </c>
      <c r="V645" s="349"/>
      <c r="W645" s="342" t="s">
        <v>5328</v>
      </c>
      <c r="X645" s="342" t="s">
        <v>5328</v>
      </c>
      <c r="Y645" s="342" t="s">
        <v>740</v>
      </c>
      <c r="Z645" s="342" t="s">
        <v>211</v>
      </c>
      <c r="AA645" s="342" t="s">
        <v>14</v>
      </c>
      <c r="AB645" s="200" t="s">
        <v>508</v>
      </c>
      <c r="AC645" s="200" t="s">
        <v>161</v>
      </c>
      <c r="AD645" s="353"/>
      <c r="AE645" s="368"/>
    </row>
    <row r="646">
      <c r="A646" s="323" t="s">
        <v>64</v>
      </c>
      <c r="B646" s="323" t="s">
        <v>67</v>
      </c>
      <c r="C646" s="325">
        <v>994.0</v>
      </c>
      <c r="D646" s="328">
        <v>10649.0</v>
      </c>
      <c r="E646" s="323" t="s">
        <v>883</v>
      </c>
      <c r="F646" s="323" t="s">
        <v>5329</v>
      </c>
      <c r="G646" s="323" t="s">
        <v>1459</v>
      </c>
      <c r="H646" s="323" t="s">
        <v>232</v>
      </c>
      <c r="I646" s="295" t="s">
        <v>104</v>
      </c>
      <c r="J646" s="323" t="s">
        <v>84</v>
      </c>
      <c r="K646" s="323" t="s">
        <v>84</v>
      </c>
      <c r="L646" s="323" t="s">
        <v>25</v>
      </c>
      <c r="M646" s="333">
        <v>46161.0</v>
      </c>
      <c r="N646" s="335">
        <v>2026.0</v>
      </c>
      <c r="O646" s="333">
        <v>46203.0</v>
      </c>
      <c r="P646" s="336">
        <v>2026.0</v>
      </c>
      <c r="Q646" s="337">
        <v>42.0</v>
      </c>
      <c r="R646" s="336">
        <v>1.0</v>
      </c>
      <c r="S646" s="323" t="s">
        <v>1522</v>
      </c>
      <c r="T646" s="335" t="s">
        <v>269</v>
      </c>
      <c r="U646" s="323">
        <v>0.0</v>
      </c>
      <c r="V646" s="330"/>
      <c r="W646" s="323" t="s">
        <v>5330</v>
      </c>
      <c r="X646" s="323" t="s">
        <v>5330</v>
      </c>
      <c r="Y646" s="323" t="s">
        <v>2799</v>
      </c>
      <c r="Z646" s="323" t="s">
        <v>211</v>
      </c>
      <c r="AA646" s="323" t="s">
        <v>14</v>
      </c>
      <c r="AB646" s="295" t="s">
        <v>124</v>
      </c>
      <c r="AC646" s="295" t="s">
        <v>161</v>
      </c>
      <c r="AD646" s="352"/>
      <c r="AE646" s="369"/>
    </row>
    <row r="647">
      <c r="A647" s="342" t="s">
        <v>64</v>
      </c>
      <c r="B647" s="342" t="s">
        <v>67</v>
      </c>
      <c r="C647" s="343">
        <v>995.0</v>
      </c>
      <c r="D647" s="344">
        <v>10446.0</v>
      </c>
      <c r="E647" s="342" t="s">
        <v>5331</v>
      </c>
      <c r="F647" s="342" t="s">
        <v>5332</v>
      </c>
      <c r="G647" s="342" t="s">
        <v>1793</v>
      </c>
      <c r="H647" s="342" t="s">
        <v>232</v>
      </c>
      <c r="I647" s="200" t="s">
        <v>104</v>
      </c>
      <c r="J647" s="342" t="s">
        <v>84</v>
      </c>
      <c r="K647" s="342" t="s">
        <v>84</v>
      </c>
      <c r="L647" s="342" t="s">
        <v>25</v>
      </c>
      <c r="M647" s="345">
        <v>46161.0</v>
      </c>
      <c r="N647" s="346">
        <v>2026.0</v>
      </c>
      <c r="O647" s="345">
        <v>46203.0</v>
      </c>
      <c r="P647" s="347">
        <v>2026.0</v>
      </c>
      <c r="Q647" s="348">
        <v>42.0</v>
      </c>
      <c r="R647" s="347">
        <v>1.0</v>
      </c>
      <c r="S647" s="342" t="s">
        <v>1522</v>
      </c>
      <c r="T647" s="346" t="s">
        <v>269</v>
      </c>
      <c r="U647" s="342">
        <v>0.0</v>
      </c>
      <c r="V647" s="349"/>
      <c r="W647" s="342" t="s">
        <v>5333</v>
      </c>
      <c r="X647" s="342" t="s">
        <v>5333</v>
      </c>
      <c r="Y647" s="342" t="s">
        <v>740</v>
      </c>
      <c r="Z647" s="342" t="s">
        <v>211</v>
      </c>
      <c r="AA647" s="342" t="s">
        <v>14</v>
      </c>
      <c r="AB647" s="200" t="s">
        <v>508</v>
      </c>
      <c r="AC647" s="200" t="s">
        <v>161</v>
      </c>
      <c r="AD647" s="353"/>
      <c r="AE647" s="368"/>
    </row>
    <row r="648">
      <c r="A648" s="323" t="s">
        <v>169</v>
      </c>
      <c r="B648" s="323" t="s">
        <v>19</v>
      </c>
      <c r="C648" s="325">
        <v>996.0</v>
      </c>
      <c r="D648" s="328">
        <v>800062.0</v>
      </c>
      <c r="E648" s="323" t="s">
        <v>5334</v>
      </c>
      <c r="F648" s="323" t="s">
        <v>5335</v>
      </c>
      <c r="G648" s="323" t="s">
        <v>5336</v>
      </c>
      <c r="H648" s="323" t="s">
        <v>178</v>
      </c>
      <c r="I648" s="295" t="s">
        <v>104</v>
      </c>
      <c r="J648" s="323" t="s">
        <v>233</v>
      </c>
      <c r="K648" s="323" t="s">
        <v>236</v>
      </c>
      <c r="L648" s="323" t="s">
        <v>3222</v>
      </c>
      <c r="M648" s="333">
        <v>46183.0</v>
      </c>
      <c r="N648" s="335">
        <v>2026.0</v>
      </c>
      <c r="O648" s="370">
        <v>46387.0</v>
      </c>
      <c r="P648" s="336">
        <v>2026.0</v>
      </c>
      <c r="Q648" s="337">
        <v>204.0</v>
      </c>
      <c r="R648" s="336">
        <v>1.0</v>
      </c>
      <c r="S648" s="330"/>
      <c r="T648" s="335" t="s">
        <v>113</v>
      </c>
      <c r="U648" s="323">
        <v>0.0</v>
      </c>
      <c r="V648" s="330"/>
      <c r="W648" s="323" t="s">
        <v>5337</v>
      </c>
      <c r="X648" s="323" t="s">
        <v>5337</v>
      </c>
      <c r="Y648" s="323" t="s">
        <v>2799</v>
      </c>
      <c r="Z648" s="323" t="s">
        <v>211</v>
      </c>
      <c r="AA648" s="323" t="s">
        <v>14</v>
      </c>
      <c r="AB648" s="295" t="s">
        <v>2291</v>
      </c>
      <c r="AC648" s="295" t="s">
        <v>276</v>
      </c>
      <c r="AD648" s="352"/>
      <c r="AE648" s="367"/>
    </row>
    <row r="649">
      <c r="A649" s="342" t="s">
        <v>64</v>
      </c>
      <c r="B649" s="342" t="s">
        <v>67</v>
      </c>
      <c r="C649" s="343">
        <v>997.0</v>
      </c>
      <c r="D649" s="344">
        <v>10600.0</v>
      </c>
      <c r="E649" s="342" t="s">
        <v>5338</v>
      </c>
      <c r="F649" s="342" t="s">
        <v>5339</v>
      </c>
      <c r="G649" s="342" t="s">
        <v>5340</v>
      </c>
      <c r="H649" s="342" t="s">
        <v>232</v>
      </c>
      <c r="I649" s="200" t="s">
        <v>104</v>
      </c>
      <c r="J649" s="342" t="s">
        <v>84</v>
      </c>
      <c r="K649" s="342" t="s">
        <v>84</v>
      </c>
      <c r="L649" s="342" t="s">
        <v>25</v>
      </c>
      <c r="M649" s="345">
        <v>46161.0</v>
      </c>
      <c r="N649" s="346">
        <v>2026.0</v>
      </c>
      <c r="O649" s="345">
        <v>46203.0</v>
      </c>
      <c r="P649" s="347">
        <v>2026.0</v>
      </c>
      <c r="Q649" s="348">
        <v>42.0</v>
      </c>
      <c r="R649" s="347">
        <v>1.0</v>
      </c>
      <c r="S649" s="342" t="s">
        <v>1522</v>
      </c>
      <c r="T649" s="346" t="s">
        <v>269</v>
      </c>
      <c r="U649" s="342">
        <v>0.0</v>
      </c>
      <c r="V649" s="349"/>
      <c r="W649" s="342" t="s">
        <v>5341</v>
      </c>
      <c r="X649" s="342" t="s">
        <v>5341</v>
      </c>
      <c r="Y649" s="342" t="s">
        <v>2799</v>
      </c>
      <c r="Z649" s="342" t="s">
        <v>211</v>
      </c>
      <c r="AA649" s="342" t="s">
        <v>14</v>
      </c>
      <c r="AB649" s="200"/>
      <c r="AC649" s="200" t="s">
        <v>161</v>
      </c>
      <c r="AD649" s="353"/>
      <c r="AE649" s="368"/>
    </row>
    <row r="650">
      <c r="A650" s="323" t="s">
        <v>64</v>
      </c>
      <c r="B650" s="323" t="s">
        <v>67</v>
      </c>
      <c r="C650" s="325">
        <v>998.0</v>
      </c>
      <c r="D650" s="328">
        <v>10781.0</v>
      </c>
      <c r="E650" s="323" t="s">
        <v>591</v>
      </c>
      <c r="F650" s="323" t="s">
        <v>5342</v>
      </c>
      <c r="G650" s="323" t="s">
        <v>5343</v>
      </c>
      <c r="H650" s="323" t="s">
        <v>232</v>
      </c>
      <c r="I650" s="295" t="s">
        <v>104</v>
      </c>
      <c r="J650" s="323" t="s">
        <v>84</v>
      </c>
      <c r="K650" s="323" t="s">
        <v>84</v>
      </c>
      <c r="L650" s="323" t="s">
        <v>25</v>
      </c>
      <c r="M650" s="333">
        <v>46161.0</v>
      </c>
      <c r="N650" s="335">
        <v>2026.0</v>
      </c>
      <c r="O650" s="333">
        <v>46203.0</v>
      </c>
      <c r="P650" s="336">
        <v>2026.0</v>
      </c>
      <c r="Q650" s="337">
        <v>42.0</v>
      </c>
      <c r="R650" s="336">
        <v>1.0</v>
      </c>
      <c r="S650" s="323" t="s">
        <v>1522</v>
      </c>
      <c r="T650" s="335" t="s">
        <v>269</v>
      </c>
      <c r="U650" s="323">
        <v>1.0</v>
      </c>
      <c r="V650" s="323" t="s">
        <v>1522</v>
      </c>
      <c r="W650" s="323" t="s">
        <v>5344</v>
      </c>
      <c r="X650" s="323" t="s">
        <v>5344</v>
      </c>
      <c r="Y650" s="323" t="s">
        <v>1525</v>
      </c>
      <c r="Z650" s="323" t="s">
        <v>211</v>
      </c>
      <c r="AA650" s="323" t="s">
        <v>38</v>
      </c>
      <c r="AB650" s="295" t="s">
        <v>508</v>
      </c>
      <c r="AC650" s="295" t="s">
        <v>276</v>
      </c>
      <c r="AD650" s="352"/>
      <c r="AE650" s="369"/>
    </row>
    <row r="651">
      <c r="A651" s="342" t="s">
        <v>64</v>
      </c>
      <c r="B651" s="342" t="s">
        <v>67</v>
      </c>
      <c r="C651" s="343">
        <v>999.0</v>
      </c>
      <c r="D651" s="344">
        <v>10493.0</v>
      </c>
      <c r="E651" s="342" t="s">
        <v>5345</v>
      </c>
      <c r="F651" s="342" t="s">
        <v>5346</v>
      </c>
      <c r="G651" s="342" t="s">
        <v>5347</v>
      </c>
      <c r="H651" s="342" t="s">
        <v>232</v>
      </c>
      <c r="I651" s="200" t="s">
        <v>104</v>
      </c>
      <c r="J651" s="342" t="s">
        <v>84</v>
      </c>
      <c r="K651" s="342" t="s">
        <v>236</v>
      </c>
      <c r="L651" s="342" t="s">
        <v>25</v>
      </c>
      <c r="M651" s="345">
        <v>46161.0</v>
      </c>
      <c r="N651" s="346">
        <v>2026.0</v>
      </c>
      <c r="O651" s="345">
        <v>46203.0</v>
      </c>
      <c r="P651" s="347">
        <v>2026.0</v>
      </c>
      <c r="Q651" s="348">
        <v>42.0</v>
      </c>
      <c r="R651" s="347">
        <v>1.0</v>
      </c>
      <c r="S651" s="342" t="s">
        <v>1522</v>
      </c>
      <c r="T651" s="346" t="s">
        <v>269</v>
      </c>
      <c r="U651" s="342">
        <v>1.0</v>
      </c>
      <c r="V651" s="349"/>
      <c r="W651" s="342" t="s">
        <v>5348</v>
      </c>
      <c r="X651" s="349"/>
      <c r="Y651" s="342" t="s">
        <v>2799</v>
      </c>
      <c r="Z651" s="342" t="s">
        <v>211</v>
      </c>
      <c r="AA651" s="342" t="s">
        <v>65</v>
      </c>
      <c r="AB651" s="200" t="s">
        <v>508</v>
      </c>
      <c r="AC651" s="200" t="s">
        <v>161</v>
      </c>
      <c r="AD651" s="200" t="s">
        <v>3274</v>
      </c>
      <c r="AE651" s="368"/>
    </row>
    <row r="652">
      <c r="A652" s="323" t="s">
        <v>64</v>
      </c>
      <c r="B652" s="323" t="s">
        <v>67</v>
      </c>
      <c r="C652" s="325">
        <v>1001.0</v>
      </c>
      <c r="D652" s="328">
        <v>11214.0</v>
      </c>
      <c r="E652" s="323" t="s">
        <v>956</v>
      </c>
      <c r="F652" s="323" t="s">
        <v>955</v>
      </c>
      <c r="G652" s="323" t="s">
        <v>5349</v>
      </c>
      <c r="H652" s="323" t="s">
        <v>232</v>
      </c>
      <c r="I652" s="295" t="s">
        <v>104</v>
      </c>
      <c r="J652" s="323" t="s">
        <v>84</v>
      </c>
      <c r="K652" s="323" t="s">
        <v>84</v>
      </c>
      <c r="L652" s="323" t="s">
        <v>25</v>
      </c>
      <c r="M652" s="333">
        <v>46160.0</v>
      </c>
      <c r="N652" s="335">
        <v>2026.0</v>
      </c>
      <c r="O652" s="333">
        <v>46203.0</v>
      </c>
      <c r="P652" s="336">
        <v>2026.0</v>
      </c>
      <c r="Q652" s="337">
        <v>43.0</v>
      </c>
      <c r="R652" s="336">
        <v>1.0</v>
      </c>
      <c r="S652" s="323" t="s">
        <v>1522</v>
      </c>
      <c r="T652" s="335" t="s">
        <v>269</v>
      </c>
      <c r="U652" s="323">
        <v>1.0</v>
      </c>
      <c r="V652" s="330"/>
      <c r="W652" s="323" t="s">
        <v>5350</v>
      </c>
      <c r="X652" s="323" t="s">
        <v>5350</v>
      </c>
      <c r="Y652" s="323" t="s">
        <v>1525</v>
      </c>
      <c r="Z652" s="323" t="s">
        <v>211</v>
      </c>
      <c r="AA652" s="323" t="s">
        <v>38</v>
      </c>
      <c r="AB652" s="295" t="s">
        <v>124</v>
      </c>
      <c r="AC652" s="295" t="s">
        <v>276</v>
      </c>
      <c r="AD652" s="352"/>
      <c r="AE652" s="369"/>
    </row>
    <row r="653">
      <c r="A653" s="342" t="s">
        <v>64</v>
      </c>
      <c r="B653" s="342" t="s">
        <v>67</v>
      </c>
      <c r="C653" s="343">
        <v>1000.0</v>
      </c>
      <c r="D653" s="344">
        <v>10665.0</v>
      </c>
      <c r="E653" s="342" t="s">
        <v>5351</v>
      </c>
      <c r="F653" s="342" t="s">
        <v>5352</v>
      </c>
      <c r="G653" s="342" t="s">
        <v>5353</v>
      </c>
      <c r="H653" s="342" t="s">
        <v>232</v>
      </c>
      <c r="I653" s="200" t="s">
        <v>104</v>
      </c>
      <c r="J653" s="342" t="s">
        <v>84</v>
      </c>
      <c r="K653" s="342" t="s">
        <v>147</v>
      </c>
      <c r="L653" s="342" t="s">
        <v>25</v>
      </c>
      <c r="M653" s="345">
        <v>46161.0</v>
      </c>
      <c r="N653" s="346">
        <v>2026.0</v>
      </c>
      <c r="O653" s="345">
        <v>46203.0</v>
      </c>
      <c r="P653" s="347">
        <v>2026.0</v>
      </c>
      <c r="Q653" s="348">
        <v>42.0</v>
      </c>
      <c r="R653" s="347">
        <v>1.0</v>
      </c>
      <c r="S653" s="342" t="s">
        <v>1522</v>
      </c>
      <c r="T653" s="346" t="s">
        <v>269</v>
      </c>
      <c r="U653" s="342">
        <v>1.0</v>
      </c>
      <c r="V653" s="349"/>
      <c r="W653" s="342" t="s">
        <v>5356</v>
      </c>
      <c r="X653" s="349"/>
      <c r="Y653" s="342" t="s">
        <v>2799</v>
      </c>
      <c r="Z653" s="342" t="s">
        <v>211</v>
      </c>
      <c r="AA653" s="349"/>
      <c r="AB653" s="200" t="s">
        <v>876</v>
      </c>
      <c r="AC653" s="200" t="s">
        <v>161</v>
      </c>
      <c r="AD653" s="353"/>
      <c r="AE653" s="368"/>
    </row>
    <row r="654">
      <c r="A654" s="323" t="s">
        <v>64</v>
      </c>
      <c r="B654" s="323" t="s">
        <v>67</v>
      </c>
      <c r="C654" s="325">
        <v>1002.0</v>
      </c>
      <c r="D654" s="328">
        <v>10820.0</v>
      </c>
      <c r="E654" s="323" t="s">
        <v>816</v>
      </c>
      <c r="F654" s="323" t="s">
        <v>5357</v>
      </c>
      <c r="G654" s="323" t="s">
        <v>5358</v>
      </c>
      <c r="H654" s="323" t="s">
        <v>232</v>
      </c>
      <c r="I654" s="295" t="s">
        <v>104</v>
      </c>
      <c r="J654" s="323" t="s">
        <v>84</v>
      </c>
      <c r="K654" s="323" t="s">
        <v>84</v>
      </c>
      <c r="L654" s="323" t="s">
        <v>25</v>
      </c>
      <c r="M654" s="333">
        <v>46161.0</v>
      </c>
      <c r="N654" s="335">
        <v>2026.0</v>
      </c>
      <c r="O654" s="333">
        <v>46203.0</v>
      </c>
      <c r="P654" s="336">
        <v>2026.0</v>
      </c>
      <c r="Q654" s="337">
        <v>42.0</v>
      </c>
      <c r="R654" s="336">
        <v>1.0</v>
      </c>
      <c r="S654" s="323" t="s">
        <v>1522</v>
      </c>
      <c r="T654" s="335" t="s">
        <v>269</v>
      </c>
      <c r="U654" s="323">
        <v>1.0</v>
      </c>
      <c r="V654" s="330"/>
      <c r="W654" s="323" t="s">
        <v>5359</v>
      </c>
      <c r="X654" s="330"/>
      <c r="Y654" s="323" t="s">
        <v>2799</v>
      </c>
      <c r="Z654" s="323" t="s">
        <v>211</v>
      </c>
      <c r="AA654" s="323" t="s">
        <v>65</v>
      </c>
      <c r="AB654" s="295" t="s">
        <v>876</v>
      </c>
      <c r="AC654" s="295" t="s">
        <v>161</v>
      </c>
      <c r="AD654" s="352"/>
      <c r="AE654" s="369"/>
    </row>
    <row r="655">
      <c r="A655" s="342" t="s">
        <v>64</v>
      </c>
      <c r="B655" s="342" t="s">
        <v>67</v>
      </c>
      <c r="C655" s="343">
        <v>1003.0</v>
      </c>
      <c r="D655" s="344">
        <v>10516.0</v>
      </c>
      <c r="E655" s="342" t="s">
        <v>417</v>
      </c>
      <c r="F655" s="342" t="s">
        <v>5360</v>
      </c>
      <c r="G655" s="342" t="s">
        <v>5361</v>
      </c>
      <c r="H655" s="342" t="s">
        <v>232</v>
      </c>
      <c r="I655" s="200" t="s">
        <v>104</v>
      </c>
      <c r="J655" s="342" t="s">
        <v>84</v>
      </c>
      <c r="K655" s="342" t="s">
        <v>84</v>
      </c>
      <c r="L655" s="342" t="s">
        <v>25</v>
      </c>
      <c r="M655" s="345">
        <v>46161.0</v>
      </c>
      <c r="N655" s="346">
        <v>2026.0</v>
      </c>
      <c r="O655" s="345">
        <v>46203.0</v>
      </c>
      <c r="P655" s="347">
        <v>2026.0</v>
      </c>
      <c r="Q655" s="348">
        <v>42.0</v>
      </c>
      <c r="R655" s="347">
        <v>1.0</v>
      </c>
      <c r="S655" s="342" t="s">
        <v>1522</v>
      </c>
      <c r="T655" s="346" t="s">
        <v>269</v>
      </c>
      <c r="U655" s="342">
        <v>1.0</v>
      </c>
      <c r="V655" s="349"/>
      <c r="W655" s="342" t="s">
        <v>5362</v>
      </c>
      <c r="X655" s="342" t="s">
        <v>5362</v>
      </c>
      <c r="Y655" s="342" t="s">
        <v>1525</v>
      </c>
      <c r="Z655" s="342" t="s">
        <v>211</v>
      </c>
      <c r="AA655" s="342" t="s">
        <v>38</v>
      </c>
      <c r="AB655" s="200" t="s">
        <v>741</v>
      </c>
      <c r="AC655" s="200" t="s">
        <v>337</v>
      </c>
      <c r="AD655" s="353"/>
      <c r="AE655" s="368"/>
    </row>
    <row r="656">
      <c r="A656" s="323" t="s">
        <v>169</v>
      </c>
      <c r="B656" s="323" t="s">
        <v>67</v>
      </c>
      <c r="C656" s="325">
        <v>1004.0</v>
      </c>
      <c r="D656" s="328">
        <v>11276.0</v>
      </c>
      <c r="E656" s="323" t="s">
        <v>5363</v>
      </c>
      <c r="F656" s="323" t="s">
        <v>5364</v>
      </c>
      <c r="G656" s="323" t="s">
        <v>5365</v>
      </c>
      <c r="H656" s="323" t="s">
        <v>232</v>
      </c>
      <c r="I656" s="295" t="s">
        <v>104</v>
      </c>
      <c r="J656" s="323" t="s">
        <v>84</v>
      </c>
      <c r="K656" s="323" t="s">
        <v>84</v>
      </c>
      <c r="L656" s="323" t="s">
        <v>25</v>
      </c>
      <c r="M656" s="333">
        <v>46161.0</v>
      </c>
      <c r="N656" s="335">
        <v>2026.0</v>
      </c>
      <c r="O656" s="333">
        <v>46203.0</v>
      </c>
      <c r="P656" s="336">
        <v>2026.0</v>
      </c>
      <c r="Q656" s="337">
        <v>42.0</v>
      </c>
      <c r="R656" s="336">
        <v>1.0</v>
      </c>
      <c r="S656" s="323" t="s">
        <v>1522</v>
      </c>
      <c r="T656" s="335" t="s">
        <v>113</v>
      </c>
      <c r="U656" s="323">
        <v>1.0</v>
      </c>
      <c r="V656" s="323" t="s">
        <v>5367</v>
      </c>
      <c r="W656" s="323" t="s">
        <v>5368</v>
      </c>
      <c r="X656" s="330"/>
      <c r="Y656" s="323" t="s">
        <v>243</v>
      </c>
      <c r="Z656" s="323" t="s">
        <v>3237</v>
      </c>
      <c r="AA656" s="323" t="s">
        <v>65</v>
      </c>
      <c r="AB656" s="295" t="s">
        <v>621</v>
      </c>
      <c r="AC656" s="46" t="s">
        <v>164</v>
      </c>
      <c r="AD656" s="295" t="s">
        <v>251</v>
      </c>
      <c r="AE656" s="364" t="s">
        <v>220</v>
      </c>
    </row>
    <row r="657">
      <c r="A657" s="342" t="s">
        <v>64</v>
      </c>
      <c r="B657" s="342" t="s">
        <v>67</v>
      </c>
      <c r="C657" s="343">
        <v>1005.0</v>
      </c>
      <c r="D657" s="344">
        <v>10723.0</v>
      </c>
      <c r="E657" s="342" t="s">
        <v>5369</v>
      </c>
      <c r="F657" s="342" t="s">
        <v>878</v>
      </c>
      <c r="G657" s="342" t="s">
        <v>5370</v>
      </c>
      <c r="H657" s="342" t="s">
        <v>232</v>
      </c>
      <c r="I657" s="200" t="s">
        <v>104</v>
      </c>
      <c r="J657" s="342" t="s">
        <v>84</v>
      </c>
      <c r="K657" s="342" t="s">
        <v>84</v>
      </c>
      <c r="L657" s="342" t="s">
        <v>25</v>
      </c>
      <c r="M657" s="345">
        <v>46161.0</v>
      </c>
      <c r="N657" s="346">
        <v>2026.0</v>
      </c>
      <c r="O657" s="345">
        <v>46203.0</v>
      </c>
      <c r="P657" s="347">
        <v>2026.0</v>
      </c>
      <c r="Q657" s="348">
        <v>42.0</v>
      </c>
      <c r="R657" s="347">
        <v>1.0</v>
      </c>
      <c r="S657" s="342" t="s">
        <v>1522</v>
      </c>
      <c r="T657" s="346" t="s">
        <v>269</v>
      </c>
      <c r="U657" s="342">
        <v>1.0</v>
      </c>
      <c r="V657" s="349"/>
      <c r="W657" s="342" t="s">
        <v>5371</v>
      </c>
      <c r="X657" s="342" t="s">
        <v>5371</v>
      </c>
      <c r="Y657" s="342" t="s">
        <v>2103</v>
      </c>
      <c r="Z657" s="342" t="s">
        <v>211</v>
      </c>
      <c r="AA657" s="342" t="s">
        <v>38</v>
      </c>
      <c r="AB657" s="200" t="s">
        <v>508</v>
      </c>
      <c r="AC657" s="200" t="s">
        <v>276</v>
      </c>
      <c r="AD657" s="353"/>
      <c r="AE657" s="368"/>
    </row>
    <row r="658">
      <c r="A658" s="323" t="s">
        <v>64</v>
      </c>
      <c r="B658" s="323" t="s">
        <v>67</v>
      </c>
      <c r="C658" s="325">
        <v>1006.0</v>
      </c>
      <c r="D658" s="328">
        <v>10482.0</v>
      </c>
      <c r="E658" s="323" t="s">
        <v>897</v>
      </c>
      <c r="F658" s="323" t="s">
        <v>896</v>
      </c>
      <c r="G658" s="323" t="s">
        <v>5372</v>
      </c>
      <c r="H658" s="323" t="s">
        <v>232</v>
      </c>
      <c r="I658" s="295" t="s">
        <v>104</v>
      </c>
      <c r="J658" s="323" t="s">
        <v>84</v>
      </c>
      <c r="K658" s="323" t="s">
        <v>84</v>
      </c>
      <c r="L658" s="323" t="s">
        <v>25</v>
      </c>
      <c r="M658" s="333">
        <v>46161.0</v>
      </c>
      <c r="N658" s="335">
        <v>2026.0</v>
      </c>
      <c r="O658" s="333">
        <v>46203.0</v>
      </c>
      <c r="P658" s="336">
        <v>2026.0</v>
      </c>
      <c r="Q658" s="337">
        <v>42.0</v>
      </c>
      <c r="R658" s="336">
        <v>1.0</v>
      </c>
      <c r="S658" s="323" t="s">
        <v>5373</v>
      </c>
      <c r="T658" s="335" t="s">
        <v>269</v>
      </c>
      <c r="U658" s="323">
        <v>1.0</v>
      </c>
      <c r="V658" s="330"/>
      <c r="W658" s="323" t="s">
        <v>5374</v>
      </c>
      <c r="X658" s="323" t="s">
        <v>5374</v>
      </c>
      <c r="Y658" s="323" t="s">
        <v>86</v>
      </c>
      <c r="Z658" s="323" t="s">
        <v>211</v>
      </c>
      <c r="AA658" s="323" t="s">
        <v>38</v>
      </c>
      <c r="AB658" s="295" t="s">
        <v>876</v>
      </c>
      <c r="AC658" s="295" t="s">
        <v>276</v>
      </c>
      <c r="AD658" s="352"/>
      <c r="AE658" s="369"/>
    </row>
    <row r="659">
      <c r="A659" s="342" t="s">
        <v>64</v>
      </c>
      <c r="B659" s="342" t="s">
        <v>67</v>
      </c>
      <c r="C659" s="343">
        <v>1007.0</v>
      </c>
      <c r="D659" s="344">
        <v>10907.0</v>
      </c>
      <c r="E659" s="342" t="s">
        <v>1062</v>
      </c>
      <c r="F659" s="342" t="s">
        <v>5375</v>
      </c>
      <c r="G659" s="342" t="s">
        <v>5376</v>
      </c>
      <c r="H659" s="342" t="s">
        <v>232</v>
      </c>
      <c r="I659" s="200" t="s">
        <v>104</v>
      </c>
      <c r="J659" s="342" t="s">
        <v>84</v>
      </c>
      <c r="K659" s="342" t="s">
        <v>84</v>
      </c>
      <c r="L659" s="342" t="s">
        <v>25</v>
      </c>
      <c r="M659" s="345">
        <v>46164.0</v>
      </c>
      <c r="N659" s="346">
        <v>2026.0</v>
      </c>
      <c r="O659" s="345">
        <v>46203.0</v>
      </c>
      <c r="P659" s="347">
        <v>2026.0</v>
      </c>
      <c r="Q659" s="348">
        <v>39.0</v>
      </c>
      <c r="R659" s="347">
        <v>1.0</v>
      </c>
      <c r="S659" s="342" t="s">
        <v>1522</v>
      </c>
      <c r="T659" s="346" t="s">
        <v>269</v>
      </c>
      <c r="U659" s="342">
        <v>0.0</v>
      </c>
      <c r="V659" s="349"/>
      <c r="W659" s="342" t="s">
        <v>5377</v>
      </c>
      <c r="X659" s="349"/>
      <c r="Y659" s="342" t="s">
        <v>2429</v>
      </c>
      <c r="Z659" s="342" t="s">
        <v>211</v>
      </c>
      <c r="AA659" s="342" t="s">
        <v>123</v>
      </c>
      <c r="AB659" s="200" t="s">
        <v>876</v>
      </c>
      <c r="AC659" s="200" t="s">
        <v>161</v>
      </c>
      <c r="AD659" s="353"/>
      <c r="AE659" s="368"/>
    </row>
    <row r="660">
      <c r="A660" s="323" t="s">
        <v>169</v>
      </c>
      <c r="B660" s="323" t="s">
        <v>19</v>
      </c>
      <c r="C660" s="325">
        <v>1008.0</v>
      </c>
      <c r="D660" s="328">
        <v>800063.0</v>
      </c>
      <c r="E660" s="323" t="s">
        <v>5378</v>
      </c>
      <c r="F660" s="323" t="s">
        <v>5379</v>
      </c>
      <c r="G660" s="323" t="s">
        <v>5380</v>
      </c>
      <c r="H660" s="323" t="s">
        <v>232</v>
      </c>
      <c r="I660" s="295" t="s">
        <v>104</v>
      </c>
      <c r="J660" s="323" t="s">
        <v>84</v>
      </c>
      <c r="K660" s="323" t="s">
        <v>84</v>
      </c>
      <c r="L660" s="323" t="s">
        <v>25</v>
      </c>
      <c r="M660" s="333">
        <v>46167.0</v>
      </c>
      <c r="N660" s="335">
        <v>2026.0</v>
      </c>
      <c r="O660" s="333">
        <v>46532.0</v>
      </c>
      <c r="P660" s="336">
        <v>2027.0</v>
      </c>
      <c r="Q660" s="337">
        <v>365.0</v>
      </c>
      <c r="R660" s="336">
        <v>1.0</v>
      </c>
      <c r="S660" s="330"/>
      <c r="T660" s="335" t="s">
        <v>113</v>
      </c>
      <c r="U660" s="323">
        <v>0.0</v>
      </c>
      <c r="V660" s="330"/>
      <c r="W660" s="323" t="s">
        <v>5381</v>
      </c>
      <c r="X660" s="323" t="s">
        <v>5381</v>
      </c>
      <c r="Y660" s="323" t="s">
        <v>2799</v>
      </c>
      <c r="Z660" s="323" t="s">
        <v>211</v>
      </c>
      <c r="AA660" s="323" t="s">
        <v>14</v>
      </c>
      <c r="AB660" s="295" t="s">
        <v>1753</v>
      </c>
      <c r="AC660" s="295" t="s">
        <v>337</v>
      </c>
      <c r="AD660" s="352"/>
      <c r="AE660" s="367"/>
    </row>
    <row r="661">
      <c r="A661" s="342" t="s">
        <v>64</v>
      </c>
      <c r="B661" s="342" t="s">
        <v>67</v>
      </c>
      <c r="C661" s="343">
        <v>1009.0</v>
      </c>
      <c r="D661" s="344" t="s">
        <v>5382</v>
      </c>
      <c r="E661" s="342" t="s">
        <v>5383</v>
      </c>
      <c r="F661" s="342" t="s">
        <v>5384</v>
      </c>
      <c r="G661" s="342" t="s">
        <v>5385</v>
      </c>
      <c r="H661" s="342" t="s">
        <v>232</v>
      </c>
      <c r="I661" s="200" t="s">
        <v>106</v>
      </c>
      <c r="J661" s="342" t="s">
        <v>146</v>
      </c>
      <c r="K661" s="342" t="s">
        <v>147</v>
      </c>
      <c r="L661" s="342" t="s">
        <v>181</v>
      </c>
      <c r="M661" s="345">
        <v>46169.0</v>
      </c>
      <c r="N661" s="346">
        <v>2026.0</v>
      </c>
      <c r="O661" s="345">
        <v>46181.0</v>
      </c>
      <c r="P661" s="347">
        <v>2026.0</v>
      </c>
      <c r="Q661" s="348">
        <v>12.0</v>
      </c>
      <c r="R661" s="347">
        <v>1.0</v>
      </c>
      <c r="S661" s="349"/>
      <c r="T661" s="346" t="s">
        <v>113</v>
      </c>
      <c r="U661" s="342">
        <v>0.0</v>
      </c>
      <c r="V661" s="349"/>
      <c r="W661" s="342" t="s">
        <v>5386</v>
      </c>
      <c r="X661" s="342" t="s">
        <v>5386</v>
      </c>
      <c r="Y661" s="342" t="s">
        <v>2799</v>
      </c>
      <c r="Z661" s="342" t="s">
        <v>261</v>
      </c>
      <c r="AA661" s="342" t="s">
        <v>211</v>
      </c>
      <c r="AB661" s="200" t="s">
        <v>2254</v>
      </c>
      <c r="AC661" s="200" t="s">
        <v>337</v>
      </c>
      <c r="AD661" s="353"/>
      <c r="AE661" s="108" t="s">
        <v>220</v>
      </c>
    </row>
    <row r="662">
      <c r="A662" s="323" t="s">
        <v>169</v>
      </c>
      <c r="B662" s="323" t="s">
        <v>67</v>
      </c>
      <c r="C662" s="325">
        <v>1010.0</v>
      </c>
      <c r="D662" s="328">
        <v>600599.0</v>
      </c>
      <c r="E662" s="323" t="s">
        <v>378</v>
      </c>
      <c r="F662" s="323" t="s">
        <v>5387</v>
      </c>
      <c r="G662" s="323" t="s">
        <v>5293</v>
      </c>
      <c r="H662" s="323" t="s">
        <v>232</v>
      </c>
      <c r="I662" s="295" t="s">
        <v>104</v>
      </c>
      <c r="J662" s="323" t="s">
        <v>84</v>
      </c>
      <c r="K662" s="323" t="s">
        <v>84</v>
      </c>
      <c r="L662" s="323" t="s">
        <v>25</v>
      </c>
      <c r="M662" s="333">
        <v>46170.0</v>
      </c>
      <c r="N662" s="335">
        <v>2026.0</v>
      </c>
      <c r="O662" s="333">
        <v>46203.0</v>
      </c>
      <c r="P662" s="336">
        <v>2026.0</v>
      </c>
      <c r="Q662" s="337">
        <v>33.0</v>
      </c>
      <c r="R662" s="336">
        <v>1.0</v>
      </c>
      <c r="S662" s="323" t="s">
        <v>1522</v>
      </c>
      <c r="T662" s="335" t="s">
        <v>269</v>
      </c>
      <c r="U662" s="323">
        <v>0.0</v>
      </c>
      <c r="V662" s="330"/>
      <c r="W662" s="323" t="s">
        <v>5388</v>
      </c>
      <c r="X662" s="330"/>
      <c r="Y662" s="323" t="s">
        <v>1660</v>
      </c>
      <c r="Z662" s="323" t="s">
        <v>211</v>
      </c>
      <c r="AA662" s="323" t="s">
        <v>123</v>
      </c>
      <c r="AB662" s="295" t="s">
        <v>249</v>
      </c>
      <c r="AC662" s="295" t="s">
        <v>161</v>
      </c>
      <c r="AD662" s="352"/>
      <c r="AE662" s="367"/>
    </row>
    <row r="663">
      <c r="A663" s="342" t="s">
        <v>64</v>
      </c>
      <c r="B663" s="342" t="s">
        <v>67</v>
      </c>
      <c r="C663" s="343">
        <v>1011.0</v>
      </c>
      <c r="D663" s="344">
        <v>600005.0</v>
      </c>
      <c r="E663" s="342" t="s">
        <v>5345</v>
      </c>
      <c r="F663" s="342" t="s">
        <v>5389</v>
      </c>
      <c r="G663" s="342" t="s">
        <v>5390</v>
      </c>
      <c r="H663" s="342" t="s">
        <v>232</v>
      </c>
      <c r="I663" s="200" t="s">
        <v>104</v>
      </c>
      <c r="J663" s="342" t="s">
        <v>84</v>
      </c>
      <c r="K663" s="342" t="s">
        <v>84</v>
      </c>
      <c r="L663" s="342" t="s">
        <v>25</v>
      </c>
      <c r="M663" s="345">
        <v>46174.0</v>
      </c>
      <c r="N663" s="346">
        <v>2026.0</v>
      </c>
      <c r="O663" s="345">
        <v>46203.0</v>
      </c>
      <c r="P663" s="347">
        <v>2026.0</v>
      </c>
      <c r="Q663" s="348">
        <v>29.0</v>
      </c>
      <c r="R663" s="347">
        <v>1.0</v>
      </c>
      <c r="S663" s="342" t="s">
        <v>1522</v>
      </c>
      <c r="T663" s="346" t="s">
        <v>269</v>
      </c>
      <c r="U663" s="342">
        <v>1.0</v>
      </c>
      <c r="V663" s="349"/>
      <c r="W663" s="342" t="s">
        <v>5391</v>
      </c>
      <c r="X663" s="349"/>
      <c r="Y663" s="342" t="s">
        <v>2799</v>
      </c>
      <c r="Z663" s="342" t="s">
        <v>211</v>
      </c>
      <c r="AA663" s="342" t="s">
        <v>261</v>
      </c>
      <c r="AB663" s="200" t="s">
        <v>876</v>
      </c>
      <c r="AC663" s="200" t="s">
        <v>161</v>
      </c>
      <c r="AD663" s="200" t="s">
        <v>3274</v>
      </c>
      <c r="AE663" s="368"/>
    </row>
    <row r="664">
      <c r="A664" s="323" t="s">
        <v>169</v>
      </c>
      <c r="B664" s="323" t="s">
        <v>19</v>
      </c>
      <c r="C664" s="325">
        <v>1012.0</v>
      </c>
      <c r="D664" s="328">
        <v>800054.0</v>
      </c>
      <c r="E664" s="323" t="s">
        <v>5392</v>
      </c>
      <c r="F664" s="323" t="s">
        <v>5393</v>
      </c>
      <c r="G664" s="323" t="s">
        <v>5394</v>
      </c>
      <c r="H664" s="323" t="s">
        <v>178</v>
      </c>
      <c r="I664" s="295" t="s">
        <v>104</v>
      </c>
      <c r="J664" s="323" t="s">
        <v>233</v>
      </c>
      <c r="K664" s="323" t="s">
        <v>236</v>
      </c>
      <c r="L664" s="323" t="s">
        <v>181</v>
      </c>
      <c r="M664" s="333">
        <v>46174.0</v>
      </c>
      <c r="N664" s="335">
        <v>2026.0</v>
      </c>
      <c r="O664" s="333">
        <v>46388.0</v>
      </c>
      <c r="P664" s="336">
        <v>2027.0</v>
      </c>
      <c r="Q664" s="337">
        <v>214.0</v>
      </c>
      <c r="R664" s="336">
        <v>1.0</v>
      </c>
      <c r="S664" s="330"/>
      <c r="T664" s="335" t="s">
        <v>113</v>
      </c>
      <c r="U664" s="323">
        <v>0.0</v>
      </c>
      <c r="V664" s="330"/>
      <c r="W664" s="323" t="s">
        <v>5395</v>
      </c>
      <c r="X664" s="323" t="s">
        <v>5395</v>
      </c>
      <c r="Y664" s="323" t="s">
        <v>740</v>
      </c>
      <c r="Z664" s="323" t="s">
        <v>261</v>
      </c>
      <c r="AA664" s="323" t="s">
        <v>14</v>
      </c>
      <c r="AB664" s="295" t="s">
        <v>975</v>
      </c>
      <c r="AC664" s="295" t="s">
        <v>161</v>
      </c>
      <c r="AD664" s="352"/>
      <c r="AE664" s="367"/>
    </row>
    <row r="665">
      <c r="A665" s="342" t="s">
        <v>169</v>
      </c>
      <c r="B665" s="342" t="s">
        <v>19</v>
      </c>
      <c r="C665" s="343">
        <v>1013.0</v>
      </c>
      <c r="D665" s="344">
        <v>10508.0</v>
      </c>
      <c r="E665" s="342" t="s">
        <v>351</v>
      </c>
      <c r="F665" s="342" t="s">
        <v>5396</v>
      </c>
      <c r="G665" s="342" t="s">
        <v>5397</v>
      </c>
      <c r="H665" s="342" t="s">
        <v>232</v>
      </c>
      <c r="I665" s="200" t="s">
        <v>104</v>
      </c>
      <c r="J665" s="342" t="s">
        <v>84</v>
      </c>
      <c r="K665" s="342" t="s">
        <v>84</v>
      </c>
      <c r="L665" s="342" t="s">
        <v>25</v>
      </c>
      <c r="M665" s="345">
        <v>46177.0</v>
      </c>
      <c r="N665" s="346">
        <v>2026.0</v>
      </c>
      <c r="O665" s="345">
        <v>49396.0</v>
      </c>
      <c r="P665" s="347">
        <v>2035.0</v>
      </c>
      <c r="Q665" s="348">
        <v>3219.0</v>
      </c>
      <c r="R665" s="347">
        <v>9.0</v>
      </c>
      <c r="S665" s="342"/>
      <c r="T665" s="346" t="s">
        <v>269</v>
      </c>
      <c r="U665" s="342">
        <v>0.0</v>
      </c>
      <c r="V665" s="349"/>
      <c r="W665" s="342" t="s">
        <v>5398</v>
      </c>
      <c r="X665" s="349"/>
      <c r="Y665" s="342" t="s">
        <v>2418</v>
      </c>
      <c r="Z665" s="342" t="s">
        <v>211</v>
      </c>
      <c r="AA665" s="342" t="s">
        <v>123</v>
      </c>
      <c r="AB665" s="200" t="s">
        <v>891</v>
      </c>
      <c r="AC665" s="200" t="s">
        <v>164</v>
      </c>
      <c r="AD665" s="200" t="s">
        <v>3084</v>
      </c>
      <c r="AE665" s="371"/>
    </row>
    <row r="666">
      <c r="A666" s="323" t="s">
        <v>169</v>
      </c>
      <c r="B666" s="323" t="s">
        <v>19</v>
      </c>
      <c r="C666" s="325">
        <v>1014.0</v>
      </c>
      <c r="D666" s="328">
        <v>800087.0</v>
      </c>
      <c r="E666" s="323" t="s">
        <v>351</v>
      </c>
      <c r="F666" s="323" t="s">
        <v>5399</v>
      </c>
      <c r="G666" s="323" t="s">
        <v>5397</v>
      </c>
      <c r="H666" s="323" t="s">
        <v>1421</v>
      </c>
      <c r="I666" s="295" t="s">
        <v>104</v>
      </c>
      <c r="J666" s="323" t="s">
        <v>146</v>
      </c>
      <c r="K666" s="323" t="s">
        <v>147</v>
      </c>
      <c r="L666" s="323" t="s">
        <v>475</v>
      </c>
      <c r="M666" s="333">
        <v>46177.0</v>
      </c>
      <c r="N666" s="335">
        <v>2026.0</v>
      </c>
      <c r="O666" s="333">
        <v>46599.0</v>
      </c>
      <c r="P666" s="336">
        <v>2027.0</v>
      </c>
      <c r="Q666" s="337">
        <v>422.0</v>
      </c>
      <c r="R666" s="336">
        <v>2.0</v>
      </c>
      <c r="S666" s="330"/>
      <c r="T666" s="335" t="s">
        <v>113</v>
      </c>
      <c r="U666" s="323">
        <v>0.0</v>
      </c>
      <c r="V666" s="330"/>
      <c r="W666" s="323" t="s">
        <v>5400</v>
      </c>
      <c r="X666" s="323" t="s">
        <v>5400</v>
      </c>
      <c r="Y666" s="323" t="s">
        <v>2799</v>
      </c>
      <c r="Z666" s="323" t="s">
        <v>261</v>
      </c>
      <c r="AA666" s="323" t="s">
        <v>123</v>
      </c>
      <c r="AB666" s="295" t="s">
        <v>2291</v>
      </c>
      <c r="AC666" s="295" t="s">
        <v>164</v>
      </c>
      <c r="AD666" s="295"/>
      <c r="AE666" s="367"/>
    </row>
    <row r="667">
      <c r="A667" s="342" t="s">
        <v>64</v>
      </c>
      <c r="B667" s="342" t="s">
        <v>67</v>
      </c>
      <c r="C667" s="343">
        <v>1015.0</v>
      </c>
      <c r="D667" s="344" t="s">
        <v>5401</v>
      </c>
      <c r="E667" s="342" t="s">
        <v>5402</v>
      </c>
      <c r="F667" s="342" t="s">
        <v>5403</v>
      </c>
      <c r="G667" s="342" t="s">
        <v>5404</v>
      </c>
      <c r="H667" s="342" t="s">
        <v>1421</v>
      </c>
      <c r="I667" s="200" t="s">
        <v>106</v>
      </c>
      <c r="J667" s="342" t="s">
        <v>146</v>
      </c>
      <c r="K667" s="342" t="s">
        <v>147</v>
      </c>
      <c r="L667" s="342" t="s">
        <v>105</v>
      </c>
      <c r="M667" s="345">
        <v>46182.0</v>
      </c>
      <c r="N667" s="346">
        <v>2026.0</v>
      </c>
      <c r="O667" s="345">
        <v>46212.0</v>
      </c>
      <c r="P667" s="347">
        <v>2026.0</v>
      </c>
      <c r="Q667" s="348">
        <v>30.0</v>
      </c>
      <c r="R667" s="347">
        <v>1.0</v>
      </c>
      <c r="S667" s="349"/>
      <c r="T667" s="346" t="s">
        <v>113</v>
      </c>
      <c r="U667" s="342">
        <v>0.0</v>
      </c>
      <c r="V667" s="349"/>
      <c r="W667" s="342" t="s">
        <v>5405</v>
      </c>
      <c r="X667" s="342" t="s">
        <v>5405</v>
      </c>
      <c r="Y667" s="342" t="s">
        <v>2418</v>
      </c>
      <c r="Z667" s="342" t="s">
        <v>261</v>
      </c>
      <c r="AA667" s="342" t="s">
        <v>211</v>
      </c>
      <c r="AB667" s="200" t="s">
        <v>2254</v>
      </c>
      <c r="AC667" s="200" t="s">
        <v>164</v>
      </c>
      <c r="AD667" s="353"/>
      <c r="AE667" s="368"/>
    </row>
    <row r="668">
      <c r="A668" s="323" t="s">
        <v>169</v>
      </c>
      <c r="B668" s="323" t="s">
        <v>67</v>
      </c>
      <c r="C668" s="325">
        <v>1016.0</v>
      </c>
      <c r="D668" s="328">
        <v>800073.0</v>
      </c>
      <c r="E668" s="323" t="s">
        <v>4599</v>
      </c>
      <c r="F668" s="323" t="s">
        <v>5406</v>
      </c>
      <c r="G668" s="323" t="s">
        <v>5169</v>
      </c>
      <c r="H668" s="323" t="s">
        <v>178</v>
      </c>
      <c r="I668" s="295" t="s">
        <v>104</v>
      </c>
      <c r="J668" s="323" t="s">
        <v>233</v>
      </c>
      <c r="K668" s="323" t="s">
        <v>236</v>
      </c>
      <c r="L668" s="323" t="s">
        <v>181</v>
      </c>
      <c r="M668" s="333">
        <v>46182.0</v>
      </c>
      <c r="N668" s="335">
        <v>2026.0</v>
      </c>
      <c r="O668" s="333">
        <v>46192.0</v>
      </c>
      <c r="P668" s="336">
        <v>2026.0</v>
      </c>
      <c r="Q668" s="337">
        <v>10.0</v>
      </c>
      <c r="R668" s="336">
        <v>1.0</v>
      </c>
      <c r="S668" s="330"/>
      <c r="T668" s="335" t="s">
        <v>113</v>
      </c>
      <c r="U668" s="323">
        <v>0.0</v>
      </c>
      <c r="V668" s="330"/>
      <c r="W668" s="323" t="s">
        <v>5407</v>
      </c>
      <c r="X668" s="323" t="s">
        <v>5407</v>
      </c>
      <c r="Y668" s="323" t="s">
        <v>243</v>
      </c>
      <c r="Z668" s="323" t="s">
        <v>210</v>
      </c>
      <c r="AA668" s="323" t="s">
        <v>123</v>
      </c>
      <c r="AB668" s="295" t="s">
        <v>249</v>
      </c>
      <c r="AC668" s="295" t="s">
        <v>128</v>
      </c>
      <c r="AD668" s="295" t="s">
        <v>251</v>
      </c>
      <c r="AE668" s="364" t="s">
        <v>220</v>
      </c>
    </row>
    <row r="669">
      <c r="A669" s="342" t="s">
        <v>64</v>
      </c>
      <c r="B669" s="342" t="s">
        <v>67</v>
      </c>
      <c r="C669" s="343">
        <v>1017.0</v>
      </c>
      <c r="D669" s="344">
        <v>800072.0</v>
      </c>
      <c r="E669" s="342" t="s">
        <v>5408</v>
      </c>
      <c r="F669" s="342" t="s">
        <v>5409</v>
      </c>
      <c r="G669" s="342" t="s">
        <v>5410</v>
      </c>
      <c r="H669" s="342" t="s">
        <v>232</v>
      </c>
      <c r="I669" s="200" t="s">
        <v>708</v>
      </c>
      <c r="J669" s="342" t="s">
        <v>233</v>
      </c>
      <c r="K669" s="342" t="s">
        <v>236</v>
      </c>
      <c r="L669" s="342" t="s">
        <v>181</v>
      </c>
      <c r="M669" s="345">
        <v>46182.0</v>
      </c>
      <c r="N669" s="346">
        <v>2026.0</v>
      </c>
      <c r="O669" s="345">
        <v>46228.0</v>
      </c>
      <c r="P669" s="347">
        <v>2026.0</v>
      </c>
      <c r="Q669" s="348">
        <v>46.0</v>
      </c>
      <c r="R669" s="347">
        <v>1.0</v>
      </c>
      <c r="S669" s="349"/>
      <c r="T669" s="346" t="s">
        <v>113</v>
      </c>
      <c r="U669" s="342">
        <v>0.0</v>
      </c>
      <c r="V669" s="342" t="s">
        <v>5411</v>
      </c>
      <c r="W669" s="342" t="s">
        <v>5412</v>
      </c>
      <c r="X669" s="342" t="s">
        <v>5412</v>
      </c>
      <c r="Y669" s="342" t="s">
        <v>1525</v>
      </c>
      <c r="Z669" s="342" t="s">
        <v>210</v>
      </c>
      <c r="AA669" s="349"/>
      <c r="AB669" s="200" t="s">
        <v>124</v>
      </c>
      <c r="AC669" s="200" t="s">
        <v>337</v>
      </c>
      <c r="AD669" s="353"/>
      <c r="AE669" s="368"/>
    </row>
    <row r="670">
      <c r="A670" s="323" t="s">
        <v>64</v>
      </c>
      <c r="B670" s="323" t="s">
        <v>67</v>
      </c>
      <c r="C670" s="325">
        <v>1018.0</v>
      </c>
      <c r="D670" s="328">
        <v>800075.0</v>
      </c>
      <c r="E670" s="323" t="s">
        <v>5413</v>
      </c>
      <c r="F670" s="323" t="s">
        <v>5414</v>
      </c>
      <c r="G670" s="323" t="s">
        <v>5415</v>
      </c>
      <c r="H670" s="323" t="s">
        <v>232</v>
      </c>
      <c r="I670" s="295" t="s">
        <v>106</v>
      </c>
      <c r="J670" s="323" t="s">
        <v>146</v>
      </c>
      <c r="K670" s="323" t="s">
        <v>147</v>
      </c>
      <c r="L670" s="323" t="s">
        <v>105</v>
      </c>
      <c r="M670" s="333">
        <v>46185.0</v>
      </c>
      <c r="N670" s="335">
        <v>2026.0</v>
      </c>
      <c r="O670" s="333">
        <v>46200.0</v>
      </c>
      <c r="P670" s="336">
        <v>2026.0</v>
      </c>
      <c r="Q670" s="337">
        <v>15.0</v>
      </c>
      <c r="R670" s="336">
        <v>1.0</v>
      </c>
      <c r="S670" s="330"/>
      <c r="T670" s="335" t="s">
        <v>113</v>
      </c>
      <c r="U670" s="323">
        <v>0.0</v>
      </c>
      <c r="V670" s="330"/>
      <c r="W670" s="323" t="s">
        <v>5416</v>
      </c>
      <c r="X670" s="323" t="s">
        <v>5416</v>
      </c>
      <c r="Y670" s="323" t="s">
        <v>161</v>
      </c>
      <c r="Z670" s="323" t="s">
        <v>210</v>
      </c>
      <c r="AA670" s="323" t="s">
        <v>211</v>
      </c>
      <c r="AB670" s="295" t="s">
        <v>124</v>
      </c>
      <c r="AC670" s="295" t="s">
        <v>337</v>
      </c>
      <c r="AD670" s="352"/>
      <c r="AE670" s="369"/>
    </row>
    <row r="671">
      <c r="A671" s="342" t="s">
        <v>64</v>
      </c>
      <c r="B671" s="342" t="s">
        <v>19</v>
      </c>
      <c r="C671" s="343">
        <v>1019.0</v>
      </c>
      <c r="D671" s="344">
        <v>800074.0</v>
      </c>
      <c r="E671" s="342" t="s">
        <v>5417</v>
      </c>
      <c r="F671" s="342" t="s">
        <v>5418</v>
      </c>
      <c r="G671" s="342" t="s">
        <v>5419</v>
      </c>
      <c r="H671" s="342" t="s">
        <v>1421</v>
      </c>
      <c r="I671" s="200" t="s">
        <v>104</v>
      </c>
      <c r="J671" s="342" t="s">
        <v>84</v>
      </c>
      <c r="K671" s="342" t="s">
        <v>2304</v>
      </c>
      <c r="L671" s="342" t="s">
        <v>181</v>
      </c>
      <c r="M671" s="345">
        <v>46185.0</v>
      </c>
      <c r="N671" s="346">
        <v>2026.0</v>
      </c>
      <c r="O671" s="345">
        <v>46568.0</v>
      </c>
      <c r="P671" s="347">
        <v>2027.0</v>
      </c>
      <c r="Q671" s="348">
        <v>383.0</v>
      </c>
      <c r="R671" s="347">
        <v>2.0</v>
      </c>
      <c r="S671" s="349"/>
      <c r="T671" s="346" t="s">
        <v>113</v>
      </c>
      <c r="U671" s="342">
        <v>0.0</v>
      </c>
      <c r="V671" s="349"/>
      <c r="W671" s="342" t="s">
        <v>5420</v>
      </c>
      <c r="X671" s="342" t="s">
        <v>5420</v>
      </c>
      <c r="Y671" s="342" t="s">
        <v>161</v>
      </c>
      <c r="Z671" s="342" t="s">
        <v>210</v>
      </c>
      <c r="AA671" s="342" t="s">
        <v>211</v>
      </c>
      <c r="AB671" s="200" t="s">
        <v>124</v>
      </c>
      <c r="AC671" s="200" t="s">
        <v>276</v>
      </c>
      <c r="AD671" s="353"/>
      <c r="AE671" s="368"/>
    </row>
    <row r="672">
      <c r="A672" s="323" t="s">
        <v>169</v>
      </c>
      <c r="B672" s="323" t="s">
        <v>67</v>
      </c>
      <c r="C672" s="325">
        <v>1020.0</v>
      </c>
      <c r="D672" s="328" t="s">
        <v>5421</v>
      </c>
      <c r="E672" s="323" t="s">
        <v>5422</v>
      </c>
      <c r="F672" s="323" t="s">
        <v>5423</v>
      </c>
      <c r="G672" s="323" t="s">
        <v>5424</v>
      </c>
      <c r="H672" s="323" t="s">
        <v>232</v>
      </c>
      <c r="I672" s="295" t="s">
        <v>106</v>
      </c>
      <c r="J672" s="323" t="s">
        <v>233</v>
      </c>
      <c r="K672" s="323" t="s">
        <v>236</v>
      </c>
      <c r="L672" s="323" t="s">
        <v>181</v>
      </c>
      <c r="M672" s="333">
        <v>46188.0</v>
      </c>
      <c r="N672" s="335">
        <v>2026.0</v>
      </c>
      <c r="O672" s="333">
        <v>46190.0</v>
      </c>
      <c r="P672" s="336">
        <v>2026.0</v>
      </c>
      <c r="Q672" s="337">
        <v>2.0</v>
      </c>
      <c r="R672" s="336">
        <v>1.0</v>
      </c>
      <c r="S672" s="330"/>
      <c r="T672" s="335" t="s">
        <v>113</v>
      </c>
      <c r="U672" s="323">
        <v>0.0</v>
      </c>
      <c r="V672" s="330"/>
      <c r="W672" s="323" t="s">
        <v>5425</v>
      </c>
      <c r="X672" s="323" t="s">
        <v>5425</v>
      </c>
      <c r="Y672" s="323" t="s">
        <v>2429</v>
      </c>
      <c r="Z672" s="323" t="s">
        <v>261</v>
      </c>
      <c r="AA672" s="323" t="s">
        <v>211</v>
      </c>
      <c r="AB672" s="295" t="s">
        <v>489</v>
      </c>
      <c r="AC672" s="295" t="s">
        <v>337</v>
      </c>
      <c r="AD672" s="352"/>
      <c r="AE672" s="78" t="s">
        <v>220</v>
      </c>
    </row>
    <row r="673">
      <c r="A673" s="342" t="s">
        <v>64</v>
      </c>
      <c r="B673" s="342" t="s">
        <v>67</v>
      </c>
      <c r="C673" s="343">
        <v>1021.0</v>
      </c>
      <c r="D673" s="344">
        <v>0.0</v>
      </c>
      <c r="E673" s="342" t="s">
        <v>5426</v>
      </c>
      <c r="F673" s="342" t="s">
        <v>5427</v>
      </c>
      <c r="G673" s="342" t="s">
        <v>5428</v>
      </c>
      <c r="H673" s="342" t="s">
        <v>232</v>
      </c>
      <c r="I673" s="200" t="s">
        <v>104</v>
      </c>
      <c r="J673" s="342" t="s">
        <v>84</v>
      </c>
      <c r="K673" s="342" t="s">
        <v>84</v>
      </c>
      <c r="L673" s="342" t="s">
        <v>105</v>
      </c>
      <c r="M673" s="345">
        <v>46191.0</v>
      </c>
      <c r="N673" s="346">
        <v>2026.0</v>
      </c>
      <c r="O673" s="345">
        <v>46197.0</v>
      </c>
      <c r="P673" s="347">
        <v>2026.0</v>
      </c>
      <c r="Q673" s="348">
        <v>6.0</v>
      </c>
      <c r="R673" s="347">
        <v>1.0</v>
      </c>
      <c r="S673" s="349"/>
      <c r="T673" s="346" t="s">
        <v>113</v>
      </c>
      <c r="U673" s="342">
        <v>0.0</v>
      </c>
      <c r="V673" s="349"/>
      <c r="W673" s="342" t="s">
        <v>5429</v>
      </c>
      <c r="X673" s="342" t="s">
        <v>5429</v>
      </c>
      <c r="Y673" s="342" t="s">
        <v>2103</v>
      </c>
      <c r="Z673" s="342" t="s">
        <v>210</v>
      </c>
      <c r="AA673" s="342" t="s">
        <v>14</v>
      </c>
      <c r="AB673" s="200" t="s">
        <v>768</v>
      </c>
      <c r="AC673" s="200" t="s">
        <v>128</v>
      </c>
      <c r="AD673" s="353"/>
      <c r="AE673" s="366" t="s">
        <v>220</v>
      </c>
    </row>
    <row r="674">
      <c r="A674" s="323" t="s">
        <v>169</v>
      </c>
      <c r="B674" s="323" t="s">
        <v>19</v>
      </c>
      <c r="C674" s="325">
        <v>1022.0</v>
      </c>
      <c r="D674" s="328">
        <v>800080.0</v>
      </c>
      <c r="E674" s="323" t="s">
        <v>5430</v>
      </c>
      <c r="F674" s="323" t="s">
        <v>5431</v>
      </c>
      <c r="G674" s="323" t="s">
        <v>5432</v>
      </c>
      <c r="H674" s="323" t="s">
        <v>1421</v>
      </c>
      <c r="I674" s="295" t="s">
        <v>104</v>
      </c>
      <c r="J674" s="323" t="s">
        <v>84</v>
      </c>
      <c r="K674" s="323" t="s">
        <v>84</v>
      </c>
      <c r="L674" s="323" t="s">
        <v>1940</v>
      </c>
      <c r="M674" s="333">
        <v>46195.0</v>
      </c>
      <c r="N674" s="335">
        <v>2026.0</v>
      </c>
      <c r="O674" s="333">
        <v>46934.0</v>
      </c>
      <c r="P674" s="336">
        <v>2028.0</v>
      </c>
      <c r="Q674" s="337">
        <v>739.0</v>
      </c>
      <c r="R674" s="336">
        <v>3.0</v>
      </c>
      <c r="S674" s="330"/>
      <c r="T674" s="335" t="s">
        <v>113</v>
      </c>
      <c r="U674" s="323">
        <v>0.0</v>
      </c>
      <c r="V674" s="330"/>
      <c r="W674" s="323" t="s">
        <v>5433</v>
      </c>
      <c r="X674" s="330"/>
      <c r="Y674" s="323" t="s">
        <v>2418</v>
      </c>
      <c r="Z674" s="323" t="s">
        <v>3237</v>
      </c>
      <c r="AA674" s="323" t="s">
        <v>4052</v>
      </c>
      <c r="AB674" s="295" t="s">
        <v>621</v>
      </c>
      <c r="AC674" s="46" t="s">
        <v>164</v>
      </c>
      <c r="AD674" s="295" t="s">
        <v>251</v>
      </c>
      <c r="AE674" s="367"/>
    </row>
    <row r="675">
      <c r="A675" s="342" t="s">
        <v>64</v>
      </c>
      <c r="B675" s="342" t="s">
        <v>19</v>
      </c>
      <c r="C675" s="343">
        <v>1023.0</v>
      </c>
      <c r="D675" s="344">
        <v>600262.0</v>
      </c>
      <c r="E675" s="342" t="s">
        <v>5434</v>
      </c>
      <c r="F675" s="342" t="s">
        <v>710</v>
      </c>
      <c r="G675" s="342" t="s">
        <v>5435</v>
      </c>
      <c r="H675" s="342" t="s">
        <v>232</v>
      </c>
      <c r="I675" s="200" t="s">
        <v>104</v>
      </c>
      <c r="J675" s="342" t="s">
        <v>84</v>
      </c>
      <c r="K675" s="342" t="s">
        <v>84</v>
      </c>
      <c r="L675" s="342" t="s">
        <v>25</v>
      </c>
      <c r="M675" s="345">
        <v>46196.0</v>
      </c>
      <c r="N675" s="346">
        <v>2026.0</v>
      </c>
      <c r="O675" s="372">
        <v>46752.0</v>
      </c>
      <c r="P675" s="347">
        <v>2027.0</v>
      </c>
      <c r="Q675" s="348">
        <v>556.0</v>
      </c>
      <c r="R675" s="347">
        <v>2.0</v>
      </c>
      <c r="S675" s="342" t="s">
        <v>1522</v>
      </c>
      <c r="T675" s="346" t="s">
        <v>113</v>
      </c>
      <c r="U675" s="342">
        <v>1.0</v>
      </c>
      <c r="V675" s="349"/>
      <c r="W675" s="342" t="s">
        <v>3756</v>
      </c>
      <c r="X675" s="342" t="s">
        <v>3756</v>
      </c>
      <c r="Y675" s="342" t="s">
        <v>86</v>
      </c>
      <c r="Z675" s="342" t="s">
        <v>211</v>
      </c>
      <c r="AA675" s="342" t="s">
        <v>38</v>
      </c>
      <c r="AB675" s="200" t="s">
        <v>508</v>
      </c>
      <c r="AC675" s="200" t="s">
        <v>164</v>
      </c>
      <c r="AD675" s="200" t="s">
        <v>694</v>
      </c>
      <c r="AE675" s="368"/>
    </row>
    <row r="676">
      <c r="A676" s="323" t="s">
        <v>64</v>
      </c>
      <c r="B676" s="323" t="s">
        <v>19</v>
      </c>
      <c r="C676" s="325">
        <v>1024.0</v>
      </c>
      <c r="D676" s="328">
        <v>10248.0</v>
      </c>
      <c r="E676" s="323" t="s">
        <v>5434</v>
      </c>
      <c r="F676" s="323" t="s">
        <v>5436</v>
      </c>
      <c r="G676" s="323" t="s">
        <v>5437</v>
      </c>
      <c r="H676" s="323" t="s">
        <v>232</v>
      </c>
      <c r="I676" s="295" t="s">
        <v>104</v>
      </c>
      <c r="J676" s="323" t="s">
        <v>84</v>
      </c>
      <c r="K676" s="323" t="s">
        <v>84</v>
      </c>
      <c r="L676" s="323" t="s">
        <v>25</v>
      </c>
      <c r="M676" s="333">
        <v>46196.0</v>
      </c>
      <c r="N676" s="335">
        <v>2026.0</v>
      </c>
      <c r="O676" s="370">
        <v>46752.0</v>
      </c>
      <c r="P676" s="336">
        <v>2027.0</v>
      </c>
      <c r="Q676" s="337">
        <v>556.0</v>
      </c>
      <c r="R676" s="336">
        <v>2.0</v>
      </c>
      <c r="S676" s="323" t="s">
        <v>1522</v>
      </c>
      <c r="T676" s="335" t="s">
        <v>269</v>
      </c>
      <c r="U676" s="323">
        <v>1.0</v>
      </c>
      <c r="V676" s="330"/>
      <c r="W676" s="323" t="s">
        <v>5438</v>
      </c>
      <c r="X676" s="323" t="s">
        <v>5438</v>
      </c>
      <c r="Y676" s="323" t="s">
        <v>86</v>
      </c>
      <c r="Z676" s="323" t="s">
        <v>211</v>
      </c>
      <c r="AA676" s="323" t="s">
        <v>38</v>
      </c>
      <c r="AB676" s="295" t="s">
        <v>508</v>
      </c>
      <c r="AC676" s="295" t="s">
        <v>164</v>
      </c>
      <c r="AD676" s="295" t="s">
        <v>694</v>
      </c>
      <c r="AE676" s="369"/>
    </row>
    <row r="677">
      <c r="A677" s="342" t="s">
        <v>169</v>
      </c>
      <c r="B677" s="342" t="s">
        <v>67</v>
      </c>
      <c r="C677" s="343">
        <v>1025.0</v>
      </c>
      <c r="D677" s="344">
        <v>800084.0</v>
      </c>
      <c r="E677" s="342" t="s">
        <v>5439</v>
      </c>
      <c r="F677" s="342" t="s">
        <v>5440</v>
      </c>
      <c r="G677" s="342" t="s">
        <v>5441</v>
      </c>
      <c r="H677" s="342" t="s">
        <v>178</v>
      </c>
      <c r="I677" s="200" t="s">
        <v>104</v>
      </c>
      <c r="J677" s="342" t="s">
        <v>233</v>
      </c>
      <c r="K677" s="342" t="s">
        <v>236</v>
      </c>
      <c r="L677" s="342" t="s">
        <v>181</v>
      </c>
      <c r="M677" s="345">
        <v>46198.0</v>
      </c>
      <c r="N677" s="346">
        <v>2026.0</v>
      </c>
      <c r="O677" s="345">
        <v>46212.0</v>
      </c>
      <c r="P677" s="347">
        <v>2026.0</v>
      </c>
      <c r="Q677" s="348">
        <v>14.0</v>
      </c>
      <c r="R677" s="347">
        <v>1.0</v>
      </c>
      <c r="S677" s="349"/>
      <c r="T677" s="346" t="s">
        <v>113</v>
      </c>
      <c r="U677" s="342">
        <v>0.0</v>
      </c>
      <c r="V677" s="349"/>
      <c r="W677" s="342" t="s">
        <v>5442</v>
      </c>
      <c r="X677" s="342" t="s">
        <v>5442</v>
      </c>
      <c r="Y677" s="342" t="s">
        <v>740</v>
      </c>
      <c r="Z677" s="342" t="s">
        <v>122</v>
      </c>
      <c r="AA677" s="342" t="s">
        <v>14</v>
      </c>
      <c r="AB677" s="200" t="s">
        <v>975</v>
      </c>
      <c r="AC677" s="200" t="s">
        <v>337</v>
      </c>
      <c r="AD677" s="353"/>
      <c r="AE677" s="371"/>
    </row>
    <row r="678">
      <c r="A678" s="323" t="s">
        <v>169</v>
      </c>
      <c r="B678" s="323" t="s">
        <v>19</v>
      </c>
      <c r="C678" s="325">
        <v>1026.0</v>
      </c>
      <c r="D678" s="328">
        <v>800078.0</v>
      </c>
      <c r="E678" s="323" t="s">
        <v>5443</v>
      </c>
      <c r="F678" s="323" t="s">
        <v>5444</v>
      </c>
      <c r="G678" s="323" t="s">
        <v>5445</v>
      </c>
      <c r="H678" s="323" t="s">
        <v>178</v>
      </c>
      <c r="I678" s="295" t="s">
        <v>104</v>
      </c>
      <c r="J678" s="323" t="s">
        <v>84</v>
      </c>
      <c r="K678" s="323" t="s">
        <v>84</v>
      </c>
      <c r="L678" s="323" t="s">
        <v>25</v>
      </c>
      <c r="M678" s="333">
        <v>46198.0</v>
      </c>
      <c r="N678" s="335">
        <v>2026.0</v>
      </c>
      <c r="O678" s="333">
        <v>46563.0</v>
      </c>
      <c r="P678" s="336">
        <v>2027.0</v>
      </c>
      <c r="Q678" s="337">
        <v>365.0</v>
      </c>
      <c r="R678" s="336">
        <v>1.0</v>
      </c>
      <c r="S678" s="323" t="s">
        <v>5446</v>
      </c>
      <c r="T678" s="335" t="s">
        <v>113</v>
      </c>
      <c r="U678" s="323">
        <v>0.0</v>
      </c>
      <c r="V678" s="330"/>
      <c r="W678" s="323" t="s">
        <v>5447</v>
      </c>
      <c r="X678" s="323" t="s">
        <v>5447</v>
      </c>
      <c r="Y678" s="323" t="s">
        <v>2549</v>
      </c>
      <c r="Z678" s="323" t="s">
        <v>122</v>
      </c>
      <c r="AA678" s="323" t="s">
        <v>65</v>
      </c>
      <c r="AB678" s="295" t="s">
        <v>621</v>
      </c>
      <c r="AC678" s="295" t="s">
        <v>161</v>
      </c>
      <c r="AD678" s="295" t="s">
        <v>295</v>
      </c>
      <c r="AE678" s="367"/>
    </row>
    <row r="679">
      <c r="A679" s="342" t="s">
        <v>64</v>
      </c>
      <c r="B679" s="342" t="s">
        <v>67</v>
      </c>
      <c r="C679" s="343">
        <v>1027.0</v>
      </c>
      <c r="D679" s="344" t="s">
        <v>5448</v>
      </c>
      <c r="E679" s="342" t="s">
        <v>5449</v>
      </c>
      <c r="F679" s="342" t="s">
        <v>5450</v>
      </c>
      <c r="G679" s="342" t="s">
        <v>5451</v>
      </c>
      <c r="H679" s="342" t="s">
        <v>232</v>
      </c>
      <c r="I679" s="200" t="s">
        <v>106</v>
      </c>
      <c r="J679" s="342" t="s">
        <v>146</v>
      </c>
      <c r="K679" s="342" t="s">
        <v>147</v>
      </c>
      <c r="L679" s="342" t="s">
        <v>105</v>
      </c>
      <c r="M679" s="345">
        <v>46199.0</v>
      </c>
      <c r="N679" s="346">
        <v>2026.0</v>
      </c>
      <c r="O679" s="345">
        <v>46234.0</v>
      </c>
      <c r="P679" s="347">
        <v>2026.0</v>
      </c>
      <c r="Q679" s="348">
        <v>35.0</v>
      </c>
      <c r="R679" s="347">
        <v>1.0</v>
      </c>
      <c r="S679" s="349"/>
      <c r="T679" s="346" t="s">
        <v>113</v>
      </c>
      <c r="U679" s="342">
        <v>0.0</v>
      </c>
      <c r="V679" s="349"/>
      <c r="W679" s="342" t="s">
        <v>5452</v>
      </c>
      <c r="X679" s="342" t="s">
        <v>5452</v>
      </c>
      <c r="Y679" s="342" t="s">
        <v>1525</v>
      </c>
      <c r="Z679" s="342" t="s">
        <v>122</v>
      </c>
      <c r="AA679" s="342" t="s">
        <v>14</v>
      </c>
      <c r="AB679" s="200" t="s">
        <v>876</v>
      </c>
      <c r="AC679" s="200" t="s">
        <v>276</v>
      </c>
      <c r="AD679" s="353"/>
      <c r="AE679" s="368"/>
    </row>
    <row r="680">
      <c r="A680" s="323" t="s">
        <v>64</v>
      </c>
      <c r="B680" s="323" t="s">
        <v>67</v>
      </c>
      <c r="C680" s="325">
        <v>1028.0</v>
      </c>
      <c r="D680" s="328">
        <v>800096.0</v>
      </c>
      <c r="E680" s="323" t="s">
        <v>5453</v>
      </c>
      <c r="F680" s="323" t="s">
        <v>5454</v>
      </c>
      <c r="G680" s="323" t="s">
        <v>5455</v>
      </c>
      <c r="H680" s="323" t="s">
        <v>178</v>
      </c>
      <c r="I680" s="295" t="s">
        <v>106</v>
      </c>
      <c r="J680" s="323" t="s">
        <v>84</v>
      </c>
      <c r="K680" s="323" t="s">
        <v>84</v>
      </c>
      <c r="L680" s="323" t="s">
        <v>105</v>
      </c>
      <c r="M680" s="333">
        <v>46206.0</v>
      </c>
      <c r="N680" s="335">
        <v>2026.0</v>
      </c>
      <c r="O680" s="333">
        <v>46236.0</v>
      </c>
      <c r="P680" s="336">
        <v>2026.0</v>
      </c>
      <c r="Q680" s="337">
        <v>30.0</v>
      </c>
      <c r="R680" s="336">
        <v>1.0</v>
      </c>
      <c r="S680" s="330"/>
      <c r="T680" s="335" t="s">
        <v>113</v>
      </c>
      <c r="U680" s="323">
        <v>0.0</v>
      </c>
      <c r="V680" s="330"/>
      <c r="W680" s="323" t="s">
        <v>5456</v>
      </c>
      <c r="X680" s="323" t="s">
        <v>5456</v>
      </c>
      <c r="Y680" s="323" t="s">
        <v>2783</v>
      </c>
      <c r="Z680" s="323" t="s">
        <v>261</v>
      </c>
      <c r="AA680" s="323" t="s">
        <v>123</v>
      </c>
      <c r="AB680" s="295" t="s">
        <v>741</v>
      </c>
      <c r="AC680" s="295" t="s">
        <v>164</v>
      </c>
      <c r="AD680" s="352"/>
      <c r="AE680" s="369"/>
    </row>
    <row r="681">
      <c r="A681" s="342" t="s">
        <v>64</v>
      </c>
      <c r="B681" s="342" t="s">
        <v>19</v>
      </c>
      <c r="C681" s="343">
        <v>1035.0</v>
      </c>
      <c r="D681" s="344">
        <v>800096.0</v>
      </c>
      <c r="E681" s="342" t="s">
        <v>5457</v>
      </c>
      <c r="F681" s="342" t="s">
        <v>5458</v>
      </c>
      <c r="G681" s="342" t="s">
        <v>5455</v>
      </c>
      <c r="H681" s="342" t="s">
        <v>178</v>
      </c>
      <c r="I681" s="200" t="s">
        <v>104</v>
      </c>
      <c r="J681" s="342" t="s">
        <v>84</v>
      </c>
      <c r="K681" s="342" t="s">
        <v>84</v>
      </c>
      <c r="L681" s="342" t="s">
        <v>155</v>
      </c>
      <c r="M681" s="345">
        <v>46223.0</v>
      </c>
      <c r="N681" s="346">
        <v>2026.0</v>
      </c>
      <c r="O681" s="345">
        <v>46568.0</v>
      </c>
      <c r="P681" s="347">
        <v>2027.0</v>
      </c>
      <c r="Q681" s="348">
        <v>345.0</v>
      </c>
      <c r="R681" s="347">
        <v>1.0</v>
      </c>
      <c r="S681" s="349"/>
      <c r="T681" s="346" t="s">
        <v>113</v>
      </c>
      <c r="U681" s="342">
        <v>0.0</v>
      </c>
      <c r="V681" s="349"/>
      <c r="W681" s="342" t="s">
        <v>5459</v>
      </c>
      <c r="X681" s="342" t="s">
        <v>5460</v>
      </c>
      <c r="Y681" s="342" t="s">
        <v>2783</v>
      </c>
      <c r="Z681" s="342" t="s">
        <v>261</v>
      </c>
      <c r="AA681" s="342" t="s">
        <v>123</v>
      </c>
      <c r="AB681" s="200" t="s">
        <v>741</v>
      </c>
      <c r="AC681" s="200" t="s">
        <v>164</v>
      </c>
      <c r="AD681" s="353"/>
      <c r="AE681" s="371"/>
    </row>
    <row r="682">
      <c r="A682" s="323" t="s">
        <v>169</v>
      </c>
      <c r="B682" s="323" t="s">
        <v>19</v>
      </c>
      <c r="C682" s="325">
        <v>1029.0</v>
      </c>
      <c r="D682" s="328">
        <v>800026.0</v>
      </c>
      <c r="E682" s="323" t="s">
        <v>196</v>
      </c>
      <c r="F682" s="323" t="s">
        <v>5461</v>
      </c>
      <c r="G682" s="323" t="s">
        <v>5163</v>
      </c>
      <c r="H682" s="323" t="s">
        <v>178</v>
      </c>
      <c r="I682" s="295" t="s">
        <v>104</v>
      </c>
      <c r="J682" s="323" t="s">
        <v>146</v>
      </c>
      <c r="K682" s="323" t="s">
        <v>236</v>
      </c>
      <c r="L682" s="323" t="s">
        <v>25</v>
      </c>
      <c r="M682" s="333">
        <v>46213.0</v>
      </c>
      <c r="N682" s="335">
        <v>2026.0</v>
      </c>
      <c r="O682" s="333">
        <v>46578.0</v>
      </c>
      <c r="P682" s="336">
        <v>2027.0</v>
      </c>
      <c r="Q682" s="337">
        <v>365.0</v>
      </c>
      <c r="R682" s="336">
        <v>1.0</v>
      </c>
      <c r="S682" s="330"/>
      <c r="T682" s="335" t="s">
        <v>113</v>
      </c>
      <c r="U682" s="323">
        <v>0.0</v>
      </c>
      <c r="V682" s="330"/>
      <c r="W682" s="323" t="s">
        <v>5462</v>
      </c>
      <c r="X682" s="323" t="s">
        <v>5462</v>
      </c>
      <c r="Y682" s="323" t="s">
        <v>243</v>
      </c>
      <c r="Z682" s="323" t="s">
        <v>211</v>
      </c>
      <c r="AA682" s="323" t="s">
        <v>123</v>
      </c>
      <c r="AB682" s="295" t="s">
        <v>975</v>
      </c>
      <c r="AC682" s="295" t="s">
        <v>337</v>
      </c>
      <c r="AD682" s="352"/>
      <c r="AE682" s="367"/>
    </row>
    <row r="683">
      <c r="A683" s="342" t="s">
        <v>64</v>
      </c>
      <c r="B683" s="342" t="s">
        <v>19</v>
      </c>
      <c r="C683" s="343">
        <v>1030.0</v>
      </c>
      <c r="D683" s="344">
        <v>800091.0</v>
      </c>
      <c r="E683" s="342" t="s">
        <v>5463</v>
      </c>
      <c r="F683" s="342" t="s">
        <v>5464</v>
      </c>
      <c r="G683" s="342" t="s">
        <v>5465</v>
      </c>
      <c r="H683" s="342" t="s">
        <v>1421</v>
      </c>
      <c r="I683" s="200" t="s">
        <v>104</v>
      </c>
      <c r="J683" s="342" t="s">
        <v>84</v>
      </c>
      <c r="K683" s="342" t="s">
        <v>84</v>
      </c>
      <c r="L683" s="342" t="s">
        <v>2704</v>
      </c>
      <c r="M683" s="345">
        <v>46217.0</v>
      </c>
      <c r="N683" s="346">
        <v>2026.0</v>
      </c>
      <c r="O683" s="345">
        <v>46582.0</v>
      </c>
      <c r="P683" s="347">
        <v>2027.0</v>
      </c>
      <c r="Q683" s="348">
        <v>365.0</v>
      </c>
      <c r="R683" s="347">
        <v>1.0</v>
      </c>
      <c r="S683" s="349"/>
      <c r="T683" s="346" t="s">
        <v>113</v>
      </c>
      <c r="U683" s="342">
        <v>0.0</v>
      </c>
      <c r="V683" s="349"/>
      <c r="W683" s="342" t="s">
        <v>5466</v>
      </c>
      <c r="X683" s="342" t="s">
        <v>5466</v>
      </c>
      <c r="Y683" s="342" t="s">
        <v>161</v>
      </c>
      <c r="Z683" s="342" t="s">
        <v>122</v>
      </c>
      <c r="AA683" s="342" t="s">
        <v>123</v>
      </c>
      <c r="AB683" s="200" t="s">
        <v>124</v>
      </c>
      <c r="AC683" s="200" t="s">
        <v>128</v>
      </c>
      <c r="AD683" s="353"/>
      <c r="AE683" s="371"/>
    </row>
    <row r="684">
      <c r="A684" s="323" t="s">
        <v>64</v>
      </c>
      <c r="B684" s="323" t="s">
        <v>19</v>
      </c>
      <c r="C684" s="325">
        <v>1031.0</v>
      </c>
      <c r="D684" s="328">
        <v>800052.0</v>
      </c>
      <c r="E684" s="323" t="s">
        <v>5467</v>
      </c>
      <c r="F684" s="323" t="s">
        <v>5468</v>
      </c>
      <c r="G684" s="323" t="s">
        <v>5469</v>
      </c>
      <c r="H684" s="323" t="s">
        <v>103</v>
      </c>
      <c r="I684" s="295" t="s">
        <v>708</v>
      </c>
      <c r="J684" s="323" t="s">
        <v>84</v>
      </c>
      <c r="K684" s="323" t="s">
        <v>84</v>
      </c>
      <c r="L684" s="323" t="s">
        <v>484</v>
      </c>
      <c r="M684" s="333">
        <v>46216.0</v>
      </c>
      <c r="N684" s="335">
        <v>2026.0</v>
      </c>
      <c r="O684" s="333">
        <v>46511.0</v>
      </c>
      <c r="P684" s="336">
        <v>2027.0</v>
      </c>
      <c r="Q684" s="337">
        <v>295.0</v>
      </c>
      <c r="R684" s="336">
        <v>1.0</v>
      </c>
      <c r="S684" s="323" t="s">
        <v>5470</v>
      </c>
      <c r="T684" s="335" t="s">
        <v>113</v>
      </c>
      <c r="U684" s="323">
        <v>0.0</v>
      </c>
      <c r="V684" s="330"/>
      <c r="W684" s="323" t="s">
        <v>5471</v>
      </c>
      <c r="X684" s="323" t="s">
        <v>5471</v>
      </c>
      <c r="Y684" s="323" t="s">
        <v>740</v>
      </c>
      <c r="Z684" s="323" t="s">
        <v>122</v>
      </c>
      <c r="AA684" s="323" t="s">
        <v>65</v>
      </c>
      <c r="AB684" s="295" t="s">
        <v>768</v>
      </c>
      <c r="AC684" s="295" t="s">
        <v>128</v>
      </c>
      <c r="AD684" s="352"/>
      <c r="AE684" s="367"/>
    </row>
    <row r="685">
      <c r="A685" s="342" t="s">
        <v>169</v>
      </c>
      <c r="B685" s="342" t="s">
        <v>19</v>
      </c>
      <c r="C685" s="343">
        <v>1032.0</v>
      </c>
      <c r="D685" s="344">
        <v>800093.0</v>
      </c>
      <c r="E685" s="342" t="s">
        <v>5472</v>
      </c>
      <c r="F685" s="342" t="s">
        <v>5473</v>
      </c>
      <c r="G685" s="342" t="s">
        <v>5474</v>
      </c>
      <c r="H685" s="342" t="s">
        <v>1421</v>
      </c>
      <c r="I685" s="200" t="s">
        <v>708</v>
      </c>
      <c r="J685" s="342" t="s">
        <v>146</v>
      </c>
      <c r="K685" s="342" t="s">
        <v>236</v>
      </c>
      <c r="L685" s="342" t="s">
        <v>181</v>
      </c>
      <c r="M685" s="345">
        <v>46217.0</v>
      </c>
      <c r="N685" s="346">
        <v>2026.0</v>
      </c>
      <c r="O685" s="372">
        <v>46387.0</v>
      </c>
      <c r="P685" s="347">
        <v>2026.0</v>
      </c>
      <c r="Q685" s="348">
        <v>170.0</v>
      </c>
      <c r="R685" s="347">
        <v>1.0</v>
      </c>
      <c r="S685" s="349"/>
      <c r="T685" s="346" t="s">
        <v>113</v>
      </c>
      <c r="U685" s="342">
        <v>0.0</v>
      </c>
      <c r="V685" s="349"/>
      <c r="W685" s="342" t="s">
        <v>5475</v>
      </c>
      <c r="X685" s="342" t="s">
        <v>5475</v>
      </c>
      <c r="Y685" s="342" t="s">
        <v>2418</v>
      </c>
      <c r="Z685" s="342" t="s">
        <v>3237</v>
      </c>
      <c r="AA685" s="342" t="s">
        <v>123</v>
      </c>
      <c r="AB685" s="200" t="s">
        <v>621</v>
      </c>
      <c r="AC685" s="200" t="s">
        <v>161</v>
      </c>
      <c r="AD685" s="353"/>
      <c r="AE685" s="371"/>
    </row>
    <row r="686">
      <c r="A686" s="323" t="s">
        <v>169</v>
      </c>
      <c r="B686" s="323" t="s">
        <v>19</v>
      </c>
      <c r="C686" s="325">
        <v>1033.0</v>
      </c>
      <c r="D686" s="328">
        <v>800094.0</v>
      </c>
      <c r="E686" s="323" t="s">
        <v>5476</v>
      </c>
      <c r="F686" s="323" t="s">
        <v>5477</v>
      </c>
      <c r="G686" s="323" t="s">
        <v>5478</v>
      </c>
      <c r="H686" s="323" t="s">
        <v>103</v>
      </c>
      <c r="I686" s="295" t="s">
        <v>708</v>
      </c>
      <c r="J686" s="323" t="s">
        <v>233</v>
      </c>
      <c r="K686" s="323" t="s">
        <v>236</v>
      </c>
      <c r="L686" s="323" t="s">
        <v>181</v>
      </c>
      <c r="M686" s="333">
        <v>46217.0</v>
      </c>
      <c r="N686" s="335">
        <v>2026.0</v>
      </c>
      <c r="O686" s="333">
        <v>46401.0</v>
      </c>
      <c r="P686" s="336">
        <v>2027.0</v>
      </c>
      <c r="Q686" s="337">
        <v>184.0</v>
      </c>
      <c r="R686" s="336">
        <v>1.0</v>
      </c>
      <c r="S686" s="330"/>
      <c r="T686" s="335" t="s">
        <v>113</v>
      </c>
      <c r="U686" s="323">
        <v>0.0</v>
      </c>
      <c r="V686" s="330"/>
      <c r="W686" s="323" t="s">
        <v>5479</v>
      </c>
      <c r="X686" s="323" t="s">
        <v>5479</v>
      </c>
      <c r="Y686" s="323" t="s">
        <v>2429</v>
      </c>
      <c r="Z686" s="323" t="s">
        <v>261</v>
      </c>
      <c r="AA686" s="323" t="s">
        <v>123</v>
      </c>
      <c r="AB686" s="295" t="s">
        <v>975</v>
      </c>
      <c r="AC686" s="295" t="s">
        <v>337</v>
      </c>
      <c r="AD686" s="352"/>
      <c r="AE686" s="367"/>
    </row>
    <row r="687">
      <c r="A687" s="342" t="s">
        <v>64</v>
      </c>
      <c r="B687" s="342" t="s">
        <v>67</v>
      </c>
      <c r="C687" s="343">
        <v>1034.0</v>
      </c>
      <c r="D687" s="344">
        <v>6.0</v>
      </c>
      <c r="E687" s="342" t="s">
        <v>5480</v>
      </c>
      <c r="F687" s="342" t="s">
        <v>5481</v>
      </c>
      <c r="G687" s="342" t="s">
        <v>5482</v>
      </c>
      <c r="H687" s="342" t="s">
        <v>232</v>
      </c>
      <c r="I687" s="200" t="s">
        <v>106</v>
      </c>
      <c r="J687" s="342" t="s">
        <v>146</v>
      </c>
      <c r="K687" s="342" t="s">
        <v>147</v>
      </c>
      <c r="L687" s="342" t="s">
        <v>105</v>
      </c>
      <c r="M687" s="345">
        <v>46220.0</v>
      </c>
      <c r="N687" s="346">
        <v>2026.0</v>
      </c>
      <c r="O687" s="345">
        <v>46234.0</v>
      </c>
      <c r="P687" s="347">
        <v>2026.0</v>
      </c>
      <c r="Q687" s="348">
        <v>14.0</v>
      </c>
      <c r="R687" s="347">
        <v>1.0</v>
      </c>
      <c r="S687" s="349"/>
      <c r="T687" s="346" t="s">
        <v>113</v>
      </c>
      <c r="U687" s="342">
        <v>0.0</v>
      </c>
      <c r="V687" s="349"/>
      <c r="W687" s="342" t="s">
        <v>5483</v>
      </c>
      <c r="X687" s="342" t="s">
        <v>5483</v>
      </c>
      <c r="Y687" s="342" t="s">
        <v>121</v>
      </c>
      <c r="Z687" s="342" t="s">
        <v>210</v>
      </c>
      <c r="AA687" s="349"/>
      <c r="AB687" s="200" t="s">
        <v>2254</v>
      </c>
      <c r="AC687" s="200" t="s">
        <v>337</v>
      </c>
      <c r="AD687" s="353"/>
      <c r="AE687" s="371"/>
    </row>
    <row r="688">
      <c r="A688" s="374" t="s">
        <v>64</v>
      </c>
      <c r="B688" s="374" t="s">
        <v>19</v>
      </c>
      <c r="C688" s="374">
        <v>1036.0</v>
      </c>
      <c r="D688" s="374">
        <v>6.0</v>
      </c>
      <c r="E688" s="374" t="s">
        <v>5484</v>
      </c>
      <c r="F688" s="374" t="s">
        <v>5485</v>
      </c>
      <c r="G688" s="374" t="s">
        <v>5486</v>
      </c>
      <c r="H688" s="374" t="s">
        <v>232</v>
      </c>
      <c r="I688" s="374" t="s">
        <v>106</v>
      </c>
      <c r="J688" s="374" t="s">
        <v>84</v>
      </c>
      <c r="K688" s="374" t="s">
        <v>84</v>
      </c>
      <c r="L688" s="374" t="s">
        <v>3234</v>
      </c>
      <c r="M688" s="375">
        <v>46226.0</v>
      </c>
      <c r="N688" s="374">
        <v>2026.0</v>
      </c>
      <c r="O688" s="375">
        <v>46256.0</v>
      </c>
      <c r="P688" s="374">
        <v>2026.0</v>
      </c>
      <c r="Q688" s="374">
        <v>30.0</v>
      </c>
      <c r="R688" s="374">
        <v>1.0</v>
      </c>
      <c r="S688" s="374" t="s">
        <v>5487</v>
      </c>
      <c r="T688" s="374" t="s">
        <v>113</v>
      </c>
      <c r="U688" s="374">
        <v>0.0</v>
      </c>
      <c r="W688" s="374" t="s">
        <v>5488</v>
      </c>
      <c r="X688" s="374" t="s">
        <v>5488</v>
      </c>
      <c r="Y688" s="374" t="s">
        <v>2799</v>
      </c>
      <c r="Z688" s="374" t="s">
        <v>211</v>
      </c>
      <c r="AA688" s="374" t="s">
        <v>14</v>
      </c>
      <c r="AB688" s="374" t="s">
        <v>876</v>
      </c>
      <c r="AC688" s="374" t="s">
        <v>276</v>
      </c>
    </row>
    <row r="689">
      <c r="A689" s="342" t="s">
        <v>169</v>
      </c>
      <c r="B689" s="342" t="s">
        <v>19</v>
      </c>
      <c r="C689" s="343">
        <v>1037.0</v>
      </c>
      <c r="D689" s="344">
        <v>6.0</v>
      </c>
      <c r="E689" s="342" t="s">
        <v>5489</v>
      </c>
      <c r="F689" s="342" t="s">
        <v>5490</v>
      </c>
      <c r="G689" s="342" t="s">
        <v>5491</v>
      </c>
      <c r="H689" s="342" t="s">
        <v>1421</v>
      </c>
      <c r="I689" s="200" t="s">
        <v>106</v>
      </c>
      <c r="J689" s="342" t="s">
        <v>146</v>
      </c>
      <c r="K689" s="342" t="s">
        <v>84</v>
      </c>
      <c r="L689" s="342" t="s">
        <v>2704</v>
      </c>
      <c r="M689" s="345">
        <v>46232.0</v>
      </c>
      <c r="N689" s="346">
        <v>2026.0</v>
      </c>
      <c r="O689" s="345">
        <v>46262.0</v>
      </c>
      <c r="P689" s="347">
        <v>2026.0</v>
      </c>
      <c r="Q689" s="348">
        <v>30.0</v>
      </c>
      <c r="R689" s="347">
        <v>1.0</v>
      </c>
      <c r="S689" s="342" t="s">
        <v>5492</v>
      </c>
      <c r="T689" s="346" t="s">
        <v>113</v>
      </c>
      <c r="U689" s="342">
        <v>0.0</v>
      </c>
      <c r="V689" s="349"/>
      <c r="W689" s="342" t="s">
        <v>5493</v>
      </c>
      <c r="X689" s="342" t="s">
        <v>5493</v>
      </c>
      <c r="Y689" s="342" t="s">
        <v>1478</v>
      </c>
      <c r="Z689" s="342" t="s">
        <v>122</v>
      </c>
      <c r="AA689" s="349"/>
      <c r="AB689" s="200" t="s">
        <v>2291</v>
      </c>
      <c r="AC689" s="200" t="s">
        <v>128</v>
      </c>
      <c r="AD689" s="353"/>
      <c r="AE689" s="371"/>
    </row>
    <row r="690">
      <c r="A690" s="323" t="s">
        <v>169</v>
      </c>
      <c r="B690" s="323" t="s">
        <v>19</v>
      </c>
      <c r="C690" s="325">
        <v>1039.0</v>
      </c>
      <c r="D690" s="328">
        <v>800101.0</v>
      </c>
      <c r="E690" s="323" t="s">
        <v>667</v>
      </c>
      <c r="F690" s="323" t="s">
        <v>5494</v>
      </c>
      <c r="G690" s="323" t="s">
        <v>5495</v>
      </c>
      <c r="H690" s="323" t="s">
        <v>232</v>
      </c>
      <c r="I690" s="295" t="s">
        <v>708</v>
      </c>
      <c r="J690" s="323" t="s">
        <v>84</v>
      </c>
      <c r="K690" s="323" t="s">
        <v>84</v>
      </c>
      <c r="L690" s="323" t="s">
        <v>25</v>
      </c>
      <c r="M690" s="333">
        <v>46238.0</v>
      </c>
      <c r="N690" s="335">
        <v>2026.0</v>
      </c>
      <c r="O690" s="333">
        <v>46251.0</v>
      </c>
      <c r="P690" s="336">
        <v>2026.0</v>
      </c>
      <c r="Q690" s="337">
        <v>13.0</v>
      </c>
      <c r="R690" s="336">
        <v>1.0</v>
      </c>
      <c r="S690" s="330"/>
      <c r="T690" s="335" t="s">
        <v>113</v>
      </c>
      <c r="U690" s="323">
        <v>0.0</v>
      </c>
      <c r="V690" s="330"/>
      <c r="W690" s="323" t="s">
        <v>5496</v>
      </c>
      <c r="X690" s="323" t="s">
        <v>5496</v>
      </c>
      <c r="Y690" s="323" t="s">
        <v>2799</v>
      </c>
      <c r="Z690" s="323" t="s">
        <v>211</v>
      </c>
      <c r="AA690" s="323" t="s">
        <v>123</v>
      </c>
      <c r="AB690" s="295" t="s">
        <v>249</v>
      </c>
      <c r="AC690" s="295" t="s">
        <v>164</v>
      </c>
      <c r="AD690" s="352"/>
      <c r="AE690" s="367"/>
    </row>
    <row r="691">
      <c r="A691" s="342" t="s">
        <v>64</v>
      </c>
      <c r="B691" s="342" t="s">
        <v>19</v>
      </c>
      <c r="C691" s="343">
        <v>1040.0</v>
      </c>
      <c r="D691" s="344">
        <v>6.0</v>
      </c>
      <c r="E691" s="342" t="s">
        <v>5497</v>
      </c>
      <c r="F691" s="342" t="s">
        <v>5498</v>
      </c>
      <c r="G691" s="342" t="s">
        <v>5499</v>
      </c>
      <c r="H691" s="342" t="s">
        <v>103</v>
      </c>
      <c r="I691" s="200" t="s">
        <v>106</v>
      </c>
      <c r="J691" s="342" t="s">
        <v>84</v>
      </c>
      <c r="K691" s="342" t="s">
        <v>84</v>
      </c>
      <c r="L691" s="342" t="s">
        <v>484</v>
      </c>
      <c r="M691" s="345">
        <v>46238.0</v>
      </c>
      <c r="N691" s="346">
        <v>2026.0</v>
      </c>
      <c r="O691" s="345">
        <v>47334.0</v>
      </c>
      <c r="P691" s="347">
        <v>2029.0</v>
      </c>
      <c r="Q691" s="348">
        <v>1096.0</v>
      </c>
      <c r="R691" s="347">
        <v>4.0</v>
      </c>
      <c r="S691" s="342" t="s">
        <v>5500</v>
      </c>
      <c r="T691" s="346" t="s">
        <v>269</v>
      </c>
      <c r="U691" s="342">
        <v>0.0</v>
      </c>
      <c r="V691" s="349"/>
      <c r="W691" s="342" t="s">
        <v>5501</v>
      </c>
      <c r="X691" s="342" t="s">
        <v>5501</v>
      </c>
      <c r="Y691" s="342" t="s">
        <v>1525</v>
      </c>
      <c r="Z691" s="342" t="s">
        <v>261</v>
      </c>
      <c r="AA691" s="342" t="s">
        <v>211</v>
      </c>
      <c r="AB691" s="200" t="s">
        <v>741</v>
      </c>
      <c r="AC691" s="200" t="s">
        <v>164</v>
      </c>
      <c r="AD691" s="353"/>
      <c r="AE691" s="371"/>
    </row>
    <row r="692">
      <c r="A692" s="323" t="s">
        <v>64</v>
      </c>
      <c r="B692" s="323" t="s">
        <v>19</v>
      </c>
      <c r="C692" s="325">
        <v>1038.0</v>
      </c>
      <c r="D692" s="328">
        <v>800099.0</v>
      </c>
      <c r="E692" s="323" t="s">
        <v>5502</v>
      </c>
      <c r="F692" s="323" t="s">
        <v>5503</v>
      </c>
      <c r="G692" s="323" t="s">
        <v>5504</v>
      </c>
      <c r="H692" s="323" t="s">
        <v>232</v>
      </c>
      <c r="I692" s="295" t="s">
        <v>104</v>
      </c>
      <c r="J692" s="323" t="s">
        <v>146</v>
      </c>
      <c r="K692" s="323" t="s">
        <v>147</v>
      </c>
      <c r="L692" s="323" t="s">
        <v>25</v>
      </c>
      <c r="M692" s="333">
        <v>46232.0</v>
      </c>
      <c r="N692" s="335">
        <v>2026.0</v>
      </c>
      <c r="O692" s="333">
        <v>46251.0</v>
      </c>
      <c r="P692" s="336">
        <v>2026.0</v>
      </c>
      <c r="Q692" s="337">
        <v>19.0</v>
      </c>
      <c r="R692" s="336">
        <v>1.0</v>
      </c>
      <c r="S692" s="330"/>
      <c r="T692" s="335" t="s">
        <v>269</v>
      </c>
      <c r="U692" s="323">
        <v>1.0</v>
      </c>
      <c r="V692" s="330"/>
      <c r="W692" s="323" t="s">
        <v>5505</v>
      </c>
      <c r="X692" s="323" t="s">
        <v>5505</v>
      </c>
      <c r="Y692" s="323" t="s">
        <v>2429</v>
      </c>
      <c r="Z692" s="323" t="s">
        <v>211</v>
      </c>
      <c r="AA692" s="323" t="s">
        <v>38</v>
      </c>
      <c r="AB692" s="295" t="s">
        <v>124</v>
      </c>
      <c r="AC692" s="295" t="s">
        <v>337</v>
      </c>
      <c r="AD692" s="352"/>
      <c r="AE692" s="367"/>
    </row>
    <row r="693">
      <c r="A693" s="342" t="s">
        <v>169</v>
      </c>
      <c r="B693" s="342" t="s">
        <v>19</v>
      </c>
      <c r="C693" s="343">
        <v>1041.0</v>
      </c>
      <c r="D693" s="344">
        <v>6.0</v>
      </c>
      <c r="E693" s="342" t="s">
        <v>5506</v>
      </c>
      <c r="F693" s="342" t="s">
        <v>5507</v>
      </c>
      <c r="G693" s="342" t="s">
        <v>5508</v>
      </c>
      <c r="H693" s="342" t="s">
        <v>232</v>
      </c>
      <c r="I693" s="200" t="s">
        <v>106</v>
      </c>
      <c r="J693" s="342" t="s">
        <v>84</v>
      </c>
      <c r="K693" s="342" t="s">
        <v>84</v>
      </c>
      <c r="L693" s="342" t="s">
        <v>105</v>
      </c>
      <c r="M693" s="345">
        <v>46240.0</v>
      </c>
      <c r="N693" s="346">
        <v>2026.0</v>
      </c>
      <c r="O693" s="345">
        <v>46251.0</v>
      </c>
      <c r="P693" s="347">
        <v>2026.0</v>
      </c>
      <c r="Q693" s="348">
        <v>11.0</v>
      </c>
      <c r="R693" s="347">
        <v>1.0</v>
      </c>
      <c r="S693" s="342" t="s">
        <v>5509</v>
      </c>
      <c r="T693" s="346" t="s">
        <v>113</v>
      </c>
      <c r="U693" s="342">
        <v>0.0</v>
      </c>
      <c r="V693" s="349"/>
      <c r="W693" s="342" t="s">
        <v>5510</v>
      </c>
      <c r="X693" s="342" t="s">
        <v>5510</v>
      </c>
      <c r="Y693" s="342" t="s">
        <v>2799</v>
      </c>
      <c r="Z693" s="342" t="s">
        <v>122</v>
      </c>
      <c r="AA693" s="349"/>
      <c r="AB693" s="200" t="s">
        <v>249</v>
      </c>
      <c r="AC693" s="200" t="s">
        <v>164</v>
      </c>
      <c r="AD693" s="353"/>
      <c r="AE693" s="371"/>
    </row>
    <row r="694">
      <c r="A694" s="323" t="s">
        <v>169</v>
      </c>
      <c r="B694" s="323" t="s">
        <v>19</v>
      </c>
      <c r="C694" s="325">
        <v>1043.0</v>
      </c>
      <c r="D694" s="328">
        <v>6.0</v>
      </c>
      <c r="E694" s="323" t="s">
        <v>5511</v>
      </c>
      <c r="F694" s="323" t="s">
        <v>5512</v>
      </c>
      <c r="G694" s="323" t="s">
        <v>5513</v>
      </c>
      <c r="H694" s="323" t="s">
        <v>1421</v>
      </c>
      <c r="I694" s="295" t="s">
        <v>106</v>
      </c>
      <c r="J694" s="323" t="s">
        <v>233</v>
      </c>
      <c r="K694" s="323" t="s">
        <v>236</v>
      </c>
      <c r="L694" s="323" t="s">
        <v>484</v>
      </c>
      <c r="M694" s="333">
        <v>46240.0</v>
      </c>
      <c r="N694" s="335">
        <v>2026.0</v>
      </c>
      <c r="O694" s="333">
        <v>46246.0</v>
      </c>
      <c r="P694" s="336">
        <v>2026.0</v>
      </c>
      <c r="Q694" s="337">
        <v>6.0</v>
      </c>
      <c r="R694" s="336">
        <v>1.0</v>
      </c>
      <c r="S694" s="330"/>
      <c r="T694" s="335" t="s">
        <v>113</v>
      </c>
      <c r="U694" s="323">
        <v>0.0</v>
      </c>
      <c r="V694" s="330"/>
      <c r="W694" s="323" t="s">
        <v>5514</v>
      </c>
      <c r="X694" s="323" t="s">
        <v>5514</v>
      </c>
      <c r="Y694" s="323" t="s">
        <v>243</v>
      </c>
      <c r="Z694" s="323" t="s">
        <v>210</v>
      </c>
      <c r="AA694" s="323" t="s">
        <v>211</v>
      </c>
      <c r="AB694" s="295" t="s">
        <v>489</v>
      </c>
      <c r="AC694" s="295" t="s">
        <v>337</v>
      </c>
      <c r="AD694" s="352"/>
      <c r="AE694" s="367"/>
    </row>
    <row r="695">
      <c r="A695" s="342" t="s">
        <v>64</v>
      </c>
      <c r="B695" s="342" t="s">
        <v>19</v>
      </c>
      <c r="C695" s="343">
        <v>1044.0</v>
      </c>
      <c r="D695" s="344">
        <v>800102.0</v>
      </c>
      <c r="E695" s="342" t="s">
        <v>5515</v>
      </c>
      <c r="F695" s="342" t="s">
        <v>5516</v>
      </c>
      <c r="G695" s="342" t="s">
        <v>5517</v>
      </c>
      <c r="H695" s="342" t="s">
        <v>232</v>
      </c>
      <c r="I695" s="200" t="s">
        <v>708</v>
      </c>
      <c r="J695" s="342" t="s">
        <v>146</v>
      </c>
      <c r="K695" s="342" t="s">
        <v>147</v>
      </c>
      <c r="L695" s="342" t="s">
        <v>2704</v>
      </c>
      <c r="M695" s="345">
        <v>46240.0</v>
      </c>
      <c r="N695" s="346">
        <v>2026.0</v>
      </c>
      <c r="O695" s="345">
        <v>46605.0</v>
      </c>
      <c r="P695" s="347">
        <v>2027.0</v>
      </c>
      <c r="Q695" s="348">
        <v>365.0</v>
      </c>
      <c r="R695" s="347">
        <v>1.0</v>
      </c>
      <c r="S695" s="349"/>
      <c r="T695" s="346" t="s">
        <v>113</v>
      </c>
      <c r="U695" s="342">
        <v>0.0</v>
      </c>
      <c r="V695" s="349"/>
      <c r="W695" s="342" t="s">
        <v>5518</v>
      </c>
      <c r="X695" s="342" t="s">
        <v>5518</v>
      </c>
      <c r="Y695" s="342" t="s">
        <v>209</v>
      </c>
      <c r="Z695" s="342" t="s">
        <v>210</v>
      </c>
      <c r="AA695" s="342" t="s">
        <v>14</v>
      </c>
      <c r="AB695" s="200" t="s">
        <v>124</v>
      </c>
      <c r="AC695" s="200" t="s">
        <v>337</v>
      </c>
      <c r="AD695" s="353"/>
      <c r="AE695" s="371"/>
    </row>
    <row r="696">
      <c r="A696" s="330"/>
      <c r="B696" s="330"/>
      <c r="C696" s="376"/>
      <c r="D696" s="377"/>
      <c r="E696" s="330"/>
      <c r="F696" s="330"/>
      <c r="G696" s="330"/>
      <c r="H696" s="330"/>
      <c r="I696" s="352"/>
      <c r="J696" s="378"/>
      <c r="K696" s="330"/>
      <c r="L696" s="378"/>
      <c r="M696" s="379"/>
      <c r="N696" s="380"/>
      <c r="O696" s="379"/>
      <c r="P696" s="381"/>
      <c r="Q696" s="382"/>
      <c r="R696" s="381"/>
      <c r="S696" s="330"/>
      <c r="T696" s="380"/>
      <c r="U696" s="330"/>
      <c r="V696" s="330"/>
      <c r="W696" s="330"/>
      <c r="X696" s="330"/>
      <c r="Y696" s="330"/>
      <c r="Z696" s="330"/>
      <c r="AA696" s="330"/>
      <c r="AB696" s="352"/>
      <c r="AC696" s="352"/>
      <c r="AD696" s="352"/>
      <c r="AE696" s="367"/>
    </row>
    <row r="697">
      <c r="A697" s="349"/>
      <c r="B697" s="349"/>
      <c r="C697" s="383"/>
      <c r="D697" s="384"/>
      <c r="E697" s="349"/>
      <c r="F697" s="349"/>
      <c r="G697" s="349"/>
      <c r="H697" s="349"/>
      <c r="I697" s="353"/>
      <c r="J697" s="385"/>
      <c r="K697" s="349"/>
      <c r="L697" s="385"/>
      <c r="M697" s="386"/>
      <c r="N697" s="387"/>
      <c r="O697" s="386"/>
      <c r="P697" s="388"/>
      <c r="Q697" s="389"/>
      <c r="R697" s="388"/>
      <c r="S697" s="349"/>
      <c r="T697" s="387"/>
      <c r="U697" s="349"/>
      <c r="V697" s="349"/>
      <c r="W697" s="349"/>
      <c r="X697" s="349"/>
      <c r="Y697" s="349"/>
      <c r="Z697" s="349"/>
      <c r="AA697" s="349"/>
      <c r="AB697" s="353"/>
      <c r="AC697" s="353"/>
      <c r="AD697" s="353"/>
      <c r="AE697" s="371"/>
    </row>
    <row r="698">
      <c r="A698" s="330"/>
      <c r="B698" s="330"/>
      <c r="C698" s="376"/>
      <c r="D698" s="377"/>
      <c r="E698" s="330"/>
      <c r="F698" s="330"/>
      <c r="G698" s="330"/>
      <c r="H698" s="330"/>
      <c r="I698" s="352"/>
      <c r="J698" s="378"/>
      <c r="K698" s="330"/>
      <c r="L698" s="378"/>
      <c r="M698" s="379"/>
      <c r="N698" s="380"/>
      <c r="O698" s="379"/>
      <c r="P698" s="381"/>
      <c r="Q698" s="382"/>
      <c r="R698" s="381"/>
      <c r="S698" s="330"/>
      <c r="T698" s="380"/>
      <c r="U698" s="330"/>
      <c r="V698" s="330"/>
      <c r="W698" s="330"/>
      <c r="X698" s="330"/>
      <c r="Y698" s="330"/>
      <c r="Z698" s="330"/>
      <c r="AA698" s="330"/>
      <c r="AB698" s="352"/>
      <c r="AC698" s="352"/>
      <c r="AD698" s="352"/>
      <c r="AE698" s="367"/>
    </row>
    <row r="699">
      <c r="A699" s="349"/>
      <c r="B699" s="349"/>
      <c r="C699" s="383"/>
      <c r="D699" s="384"/>
      <c r="E699" s="349"/>
      <c r="F699" s="349"/>
      <c r="G699" s="349"/>
      <c r="H699" s="349"/>
      <c r="I699" s="353"/>
      <c r="J699" s="385"/>
      <c r="K699" s="349"/>
      <c r="L699" s="385"/>
      <c r="M699" s="386"/>
      <c r="N699" s="387"/>
      <c r="O699" s="386"/>
      <c r="P699" s="388"/>
      <c r="Q699" s="389"/>
      <c r="R699" s="388"/>
      <c r="S699" s="349"/>
      <c r="T699" s="387"/>
      <c r="U699" s="349"/>
      <c r="V699" s="349"/>
      <c r="W699" s="349"/>
      <c r="X699" s="349"/>
      <c r="Y699" s="349"/>
      <c r="Z699" s="349"/>
      <c r="AA699" s="349"/>
      <c r="AB699" s="353"/>
      <c r="AC699" s="353"/>
      <c r="AD699" s="353"/>
      <c r="AE699" s="371"/>
    </row>
    <row r="700">
      <c r="A700" s="330"/>
      <c r="B700" s="330"/>
      <c r="C700" s="376"/>
      <c r="D700" s="377"/>
      <c r="E700" s="330"/>
      <c r="F700" s="330"/>
      <c r="G700" s="330"/>
      <c r="H700" s="330"/>
      <c r="I700" s="352"/>
      <c r="J700" s="378"/>
      <c r="K700" s="330"/>
      <c r="L700" s="378"/>
      <c r="M700" s="379"/>
      <c r="N700" s="380"/>
      <c r="O700" s="379"/>
      <c r="P700" s="381"/>
      <c r="Q700" s="382"/>
      <c r="R700" s="381"/>
      <c r="S700" s="330"/>
      <c r="T700" s="380"/>
      <c r="U700" s="330"/>
      <c r="V700" s="330"/>
      <c r="W700" s="330"/>
      <c r="X700" s="330"/>
      <c r="Y700" s="330"/>
      <c r="Z700" s="330"/>
      <c r="AA700" s="330"/>
      <c r="AB700" s="352"/>
      <c r="AC700" s="352"/>
      <c r="AD700" s="352"/>
      <c r="AE700" s="367"/>
    </row>
    <row r="701">
      <c r="A701" s="349"/>
      <c r="B701" s="349"/>
      <c r="C701" s="383"/>
      <c r="D701" s="384"/>
      <c r="E701" s="349"/>
      <c r="F701" s="349"/>
      <c r="G701" s="349"/>
      <c r="H701" s="349"/>
      <c r="I701" s="353"/>
      <c r="J701" s="385"/>
      <c r="K701" s="349"/>
      <c r="L701" s="385"/>
      <c r="M701" s="386"/>
      <c r="N701" s="387"/>
      <c r="O701" s="386"/>
      <c r="P701" s="388"/>
      <c r="Q701" s="389"/>
      <c r="R701" s="388"/>
      <c r="S701" s="349"/>
      <c r="T701" s="387"/>
      <c r="U701" s="349"/>
      <c r="V701" s="349"/>
      <c r="W701" s="349"/>
      <c r="X701" s="349"/>
      <c r="Y701" s="349"/>
      <c r="Z701" s="349"/>
      <c r="AA701" s="349"/>
      <c r="AB701" s="353"/>
      <c r="AC701" s="353"/>
      <c r="AD701" s="353"/>
      <c r="AE701" s="371"/>
    </row>
    <row r="702">
      <c r="A702" s="330"/>
      <c r="B702" s="330"/>
      <c r="C702" s="376"/>
      <c r="D702" s="377"/>
      <c r="E702" s="330"/>
      <c r="F702" s="330"/>
      <c r="G702" s="330"/>
      <c r="H702" s="330"/>
      <c r="I702" s="352"/>
      <c r="J702" s="378"/>
      <c r="K702" s="330"/>
      <c r="L702" s="378"/>
      <c r="M702" s="379"/>
      <c r="N702" s="380"/>
      <c r="O702" s="379"/>
      <c r="P702" s="381"/>
      <c r="Q702" s="382"/>
      <c r="R702" s="381"/>
      <c r="S702" s="330"/>
      <c r="T702" s="380"/>
      <c r="U702" s="330"/>
      <c r="V702" s="330"/>
      <c r="W702" s="330"/>
      <c r="X702" s="330"/>
      <c r="Y702" s="330"/>
      <c r="Z702" s="330"/>
      <c r="AA702" s="330"/>
      <c r="AB702" s="352"/>
      <c r="AC702" s="352"/>
      <c r="AD702" s="352"/>
      <c r="AE702" s="367"/>
    </row>
    <row r="703">
      <c r="A703" s="349"/>
      <c r="B703" s="349"/>
      <c r="C703" s="383"/>
      <c r="D703" s="384"/>
      <c r="E703" s="349"/>
      <c r="F703" s="349"/>
      <c r="G703" s="349"/>
      <c r="H703" s="349"/>
      <c r="I703" s="353"/>
      <c r="J703" s="385"/>
      <c r="K703" s="349"/>
      <c r="L703" s="385"/>
      <c r="M703" s="386"/>
      <c r="N703" s="387"/>
      <c r="O703" s="386"/>
      <c r="P703" s="388"/>
      <c r="Q703" s="389"/>
      <c r="R703" s="388"/>
      <c r="S703" s="349"/>
      <c r="T703" s="387"/>
      <c r="U703" s="349"/>
      <c r="V703" s="349"/>
      <c r="W703" s="349"/>
      <c r="X703" s="349"/>
      <c r="Y703" s="349"/>
      <c r="Z703" s="349"/>
      <c r="AA703" s="349"/>
      <c r="AB703" s="353"/>
      <c r="AC703" s="353"/>
      <c r="AD703" s="353"/>
      <c r="AE703" s="371"/>
    </row>
    <row r="704">
      <c r="A704" s="330"/>
      <c r="B704" s="330"/>
      <c r="C704" s="376"/>
      <c r="D704" s="377"/>
      <c r="E704" s="330"/>
      <c r="F704" s="330"/>
      <c r="G704" s="330"/>
      <c r="H704" s="330"/>
      <c r="I704" s="352"/>
      <c r="J704" s="378"/>
      <c r="K704" s="330"/>
      <c r="L704" s="378"/>
      <c r="M704" s="379"/>
      <c r="N704" s="380"/>
      <c r="O704" s="379"/>
      <c r="P704" s="381"/>
      <c r="Q704" s="382"/>
      <c r="R704" s="381"/>
      <c r="S704" s="330"/>
      <c r="T704" s="380"/>
      <c r="U704" s="330"/>
      <c r="V704" s="330"/>
      <c r="W704" s="330"/>
      <c r="X704" s="330"/>
      <c r="Y704" s="330"/>
      <c r="Z704" s="330"/>
      <c r="AA704" s="330"/>
      <c r="AB704" s="352"/>
      <c r="AC704" s="352"/>
      <c r="AD704" s="352"/>
      <c r="AE704" s="367"/>
    </row>
    <row r="705">
      <c r="A705" s="349"/>
      <c r="B705" s="349"/>
      <c r="C705" s="383"/>
      <c r="D705" s="384"/>
      <c r="E705" s="349"/>
      <c r="F705" s="349"/>
      <c r="G705" s="349"/>
      <c r="H705" s="349"/>
      <c r="I705" s="353"/>
      <c r="J705" s="385"/>
      <c r="K705" s="349"/>
      <c r="L705" s="385"/>
      <c r="M705" s="386"/>
      <c r="N705" s="387"/>
      <c r="O705" s="386"/>
      <c r="P705" s="388"/>
      <c r="Q705" s="389"/>
      <c r="R705" s="388"/>
      <c r="S705" s="349"/>
      <c r="T705" s="387"/>
      <c r="U705" s="349"/>
      <c r="V705" s="349"/>
      <c r="W705" s="349"/>
      <c r="X705" s="349"/>
      <c r="Y705" s="349"/>
      <c r="Z705" s="349"/>
      <c r="AA705" s="349"/>
      <c r="AB705" s="353"/>
      <c r="AC705" s="353"/>
      <c r="AD705" s="353"/>
      <c r="AE705" s="371"/>
    </row>
    <row r="706">
      <c r="A706" s="330"/>
      <c r="B706" s="330"/>
      <c r="C706" s="376"/>
      <c r="D706" s="377"/>
      <c r="E706" s="330"/>
      <c r="F706" s="330"/>
      <c r="G706" s="330"/>
      <c r="H706" s="330"/>
      <c r="I706" s="352"/>
      <c r="J706" s="378"/>
      <c r="K706" s="330"/>
      <c r="L706" s="378"/>
      <c r="M706" s="379"/>
      <c r="N706" s="380"/>
      <c r="O706" s="379"/>
      <c r="P706" s="381"/>
      <c r="Q706" s="382"/>
      <c r="R706" s="381"/>
      <c r="S706" s="330"/>
      <c r="T706" s="380"/>
      <c r="U706" s="330"/>
      <c r="V706" s="330"/>
      <c r="W706" s="330"/>
      <c r="X706" s="330"/>
      <c r="Y706" s="330"/>
      <c r="Z706" s="330"/>
      <c r="AA706" s="330"/>
      <c r="AB706" s="352"/>
      <c r="AC706" s="352"/>
      <c r="AD706" s="352"/>
      <c r="AE706" s="367"/>
    </row>
    <row r="707">
      <c r="A707" s="349"/>
      <c r="B707" s="349"/>
      <c r="C707" s="383"/>
      <c r="D707" s="384"/>
      <c r="E707" s="349"/>
      <c r="F707" s="349"/>
      <c r="G707" s="349"/>
      <c r="H707" s="349"/>
      <c r="I707" s="353"/>
      <c r="J707" s="385"/>
      <c r="K707" s="349"/>
      <c r="L707" s="385"/>
      <c r="M707" s="386"/>
      <c r="N707" s="387"/>
      <c r="O707" s="386"/>
      <c r="P707" s="388"/>
      <c r="Q707" s="389"/>
      <c r="R707" s="388"/>
      <c r="S707" s="349"/>
      <c r="T707" s="387"/>
      <c r="U707" s="349"/>
      <c r="V707" s="349"/>
      <c r="W707" s="349"/>
      <c r="X707" s="349"/>
      <c r="Y707" s="349"/>
      <c r="Z707" s="349"/>
      <c r="AA707" s="349"/>
      <c r="AB707" s="353"/>
      <c r="AC707" s="353"/>
      <c r="AD707" s="353"/>
      <c r="AE707" s="371"/>
    </row>
    <row r="708">
      <c r="A708" s="330"/>
      <c r="B708" s="330"/>
      <c r="C708" s="376"/>
      <c r="D708" s="377"/>
      <c r="E708" s="330"/>
      <c r="F708" s="330"/>
      <c r="G708" s="330"/>
      <c r="H708" s="330"/>
      <c r="I708" s="352"/>
      <c r="J708" s="378"/>
      <c r="K708" s="330"/>
      <c r="L708" s="378"/>
      <c r="M708" s="379"/>
      <c r="N708" s="380"/>
      <c r="O708" s="379"/>
      <c r="P708" s="381"/>
      <c r="Q708" s="382"/>
      <c r="R708" s="381"/>
      <c r="S708" s="330"/>
      <c r="T708" s="380"/>
      <c r="U708" s="330"/>
      <c r="V708" s="330"/>
      <c r="W708" s="330"/>
      <c r="X708" s="330"/>
      <c r="Y708" s="330"/>
      <c r="Z708" s="330"/>
      <c r="AA708" s="330"/>
      <c r="AB708" s="352"/>
      <c r="AC708" s="352"/>
      <c r="AD708" s="352"/>
      <c r="AE708" s="367"/>
    </row>
    <row r="709">
      <c r="A709" s="349"/>
      <c r="B709" s="349"/>
      <c r="C709" s="383"/>
      <c r="D709" s="384"/>
      <c r="E709" s="349"/>
      <c r="F709" s="349"/>
      <c r="G709" s="349"/>
      <c r="H709" s="349"/>
      <c r="I709" s="353"/>
      <c r="J709" s="385"/>
      <c r="K709" s="349"/>
      <c r="L709" s="385"/>
      <c r="M709" s="386"/>
      <c r="N709" s="387"/>
      <c r="O709" s="386"/>
      <c r="P709" s="388"/>
      <c r="Q709" s="389"/>
      <c r="R709" s="388"/>
      <c r="S709" s="349"/>
      <c r="T709" s="387"/>
      <c r="U709" s="349"/>
      <c r="V709" s="349"/>
      <c r="W709" s="349"/>
      <c r="X709" s="349"/>
      <c r="Y709" s="349"/>
      <c r="Z709" s="349"/>
      <c r="AA709" s="349"/>
      <c r="AB709" s="353"/>
      <c r="AC709" s="353"/>
      <c r="AD709" s="353"/>
      <c r="AE709" s="371"/>
    </row>
    <row r="710">
      <c r="A710" s="330"/>
      <c r="B710" s="330"/>
      <c r="C710" s="376"/>
      <c r="D710" s="377"/>
      <c r="E710" s="330"/>
      <c r="F710" s="330"/>
      <c r="G710" s="330"/>
      <c r="H710" s="330"/>
      <c r="I710" s="352"/>
      <c r="J710" s="378"/>
      <c r="K710" s="330"/>
      <c r="L710" s="378"/>
      <c r="M710" s="379"/>
      <c r="N710" s="380"/>
      <c r="O710" s="379"/>
      <c r="P710" s="381"/>
      <c r="Q710" s="382"/>
      <c r="R710" s="381"/>
      <c r="S710" s="330"/>
      <c r="T710" s="380"/>
      <c r="U710" s="330"/>
      <c r="V710" s="330"/>
      <c r="W710" s="330"/>
      <c r="X710" s="330"/>
      <c r="Y710" s="330"/>
      <c r="Z710" s="330"/>
      <c r="AA710" s="330"/>
      <c r="AB710" s="352"/>
      <c r="AC710" s="352"/>
      <c r="AD710" s="352"/>
      <c r="AE710" s="367"/>
    </row>
    <row r="711">
      <c r="A711" s="349"/>
      <c r="B711" s="349"/>
      <c r="C711" s="383"/>
      <c r="D711" s="384"/>
      <c r="E711" s="349"/>
      <c r="F711" s="349"/>
      <c r="G711" s="349"/>
      <c r="H711" s="349"/>
      <c r="I711" s="353"/>
      <c r="J711" s="385"/>
      <c r="K711" s="349"/>
      <c r="L711" s="385"/>
      <c r="M711" s="386"/>
      <c r="N711" s="387"/>
      <c r="O711" s="386"/>
      <c r="P711" s="388"/>
      <c r="Q711" s="389"/>
      <c r="R711" s="388"/>
      <c r="S711" s="349"/>
      <c r="T711" s="387"/>
      <c r="U711" s="349"/>
      <c r="V711" s="349"/>
      <c r="W711" s="349"/>
      <c r="X711" s="349"/>
      <c r="Y711" s="349"/>
      <c r="Z711" s="349"/>
      <c r="AA711" s="349"/>
      <c r="AB711" s="353"/>
      <c r="AC711" s="353"/>
      <c r="AD711" s="353"/>
      <c r="AE711" s="371"/>
    </row>
    <row r="712">
      <c r="A712" s="330"/>
      <c r="B712" s="330"/>
      <c r="C712" s="376"/>
      <c r="D712" s="377"/>
      <c r="E712" s="330"/>
      <c r="F712" s="330"/>
      <c r="G712" s="330"/>
      <c r="H712" s="330"/>
      <c r="I712" s="352"/>
      <c r="J712" s="378"/>
      <c r="K712" s="330"/>
      <c r="L712" s="378"/>
      <c r="M712" s="379"/>
      <c r="N712" s="380"/>
      <c r="O712" s="379"/>
      <c r="P712" s="381"/>
      <c r="Q712" s="382"/>
      <c r="R712" s="381"/>
      <c r="S712" s="330"/>
      <c r="T712" s="380"/>
      <c r="U712" s="330"/>
      <c r="V712" s="330"/>
      <c r="W712" s="330"/>
      <c r="X712" s="330"/>
      <c r="Y712" s="330"/>
      <c r="Z712" s="330"/>
      <c r="AA712" s="330"/>
      <c r="AB712" s="352"/>
      <c r="AC712" s="352"/>
      <c r="AD712" s="352"/>
      <c r="AE712" s="367"/>
    </row>
    <row r="713">
      <c r="A713" s="349"/>
      <c r="B713" s="349"/>
      <c r="C713" s="383"/>
      <c r="D713" s="384"/>
      <c r="E713" s="349"/>
      <c r="F713" s="349"/>
      <c r="G713" s="349"/>
      <c r="H713" s="349"/>
      <c r="I713" s="353"/>
      <c r="J713" s="385"/>
      <c r="K713" s="349"/>
      <c r="L713" s="385"/>
      <c r="M713" s="386"/>
      <c r="N713" s="387"/>
      <c r="O713" s="386"/>
      <c r="P713" s="388"/>
      <c r="Q713" s="389"/>
      <c r="R713" s="388"/>
      <c r="S713" s="349"/>
      <c r="T713" s="387"/>
      <c r="U713" s="349"/>
      <c r="V713" s="349"/>
      <c r="W713" s="349"/>
      <c r="X713" s="349"/>
      <c r="Y713" s="349"/>
      <c r="Z713" s="349"/>
      <c r="AA713" s="349"/>
      <c r="AB713" s="353"/>
      <c r="AC713" s="353"/>
      <c r="AD713" s="353"/>
      <c r="AE713" s="371"/>
    </row>
    <row r="714">
      <c r="A714" s="330"/>
      <c r="B714" s="330"/>
      <c r="C714" s="376"/>
      <c r="D714" s="377"/>
      <c r="E714" s="330"/>
      <c r="F714" s="330"/>
      <c r="G714" s="330"/>
      <c r="H714" s="330"/>
      <c r="I714" s="352"/>
      <c r="J714" s="378"/>
      <c r="K714" s="330"/>
      <c r="L714" s="378"/>
      <c r="M714" s="379"/>
      <c r="N714" s="380"/>
      <c r="O714" s="379"/>
      <c r="P714" s="381"/>
      <c r="Q714" s="382"/>
      <c r="R714" s="381"/>
      <c r="S714" s="330"/>
      <c r="T714" s="380"/>
      <c r="U714" s="330"/>
      <c r="V714" s="330"/>
      <c r="W714" s="330"/>
      <c r="X714" s="330"/>
      <c r="Y714" s="330"/>
      <c r="Z714" s="330"/>
      <c r="AA714" s="330"/>
      <c r="AB714" s="352"/>
      <c r="AC714" s="352"/>
      <c r="AD714" s="352"/>
      <c r="AE714" s="367"/>
    </row>
    <row r="715">
      <c r="A715" s="349"/>
      <c r="B715" s="349"/>
      <c r="C715" s="383"/>
      <c r="D715" s="384"/>
      <c r="E715" s="349"/>
      <c r="F715" s="349"/>
      <c r="G715" s="349"/>
      <c r="H715" s="349"/>
      <c r="I715" s="353"/>
      <c r="J715" s="385"/>
      <c r="K715" s="349"/>
      <c r="L715" s="385"/>
      <c r="M715" s="386"/>
      <c r="N715" s="387"/>
      <c r="O715" s="386"/>
      <c r="P715" s="388"/>
      <c r="Q715" s="389"/>
      <c r="R715" s="388"/>
      <c r="S715" s="349"/>
      <c r="T715" s="387"/>
      <c r="U715" s="349"/>
      <c r="V715" s="349"/>
      <c r="W715" s="349"/>
      <c r="X715" s="349"/>
      <c r="Y715" s="349"/>
      <c r="Z715" s="349"/>
      <c r="AA715" s="349"/>
      <c r="AB715" s="353"/>
      <c r="AC715" s="353"/>
      <c r="AD715" s="353"/>
      <c r="AE715" s="371"/>
    </row>
    <row r="716">
      <c r="A716" s="330"/>
      <c r="B716" s="330"/>
      <c r="C716" s="376"/>
      <c r="D716" s="377"/>
      <c r="E716" s="330"/>
      <c r="F716" s="330"/>
      <c r="G716" s="330"/>
      <c r="H716" s="330"/>
      <c r="I716" s="352"/>
      <c r="J716" s="378"/>
      <c r="K716" s="330"/>
      <c r="L716" s="378"/>
      <c r="M716" s="379"/>
      <c r="N716" s="380"/>
      <c r="O716" s="379"/>
      <c r="P716" s="381"/>
      <c r="Q716" s="382"/>
      <c r="R716" s="381"/>
      <c r="S716" s="330"/>
      <c r="T716" s="380"/>
      <c r="U716" s="330"/>
      <c r="V716" s="330"/>
      <c r="W716" s="330"/>
      <c r="X716" s="330"/>
      <c r="Y716" s="330"/>
      <c r="Z716" s="330"/>
      <c r="AA716" s="330"/>
      <c r="AB716" s="352"/>
      <c r="AC716" s="352"/>
      <c r="AD716" s="352"/>
      <c r="AE716" s="367"/>
    </row>
    <row r="717">
      <c r="A717" s="349"/>
      <c r="B717" s="349"/>
      <c r="C717" s="383"/>
      <c r="D717" s="384"/>
      <c r="E717" s="349"/>
      <c r="F717" s="349"/>
      <c r="G717" s="349"/>
      <c r="H717" s="349"/>
      <c r="I717" s="353"/>
      <c r="J717" s="385"/>
      <c r="K717" s="349"/>
      <c r="L717" s="385"/>
      <c r="M717" s="386"/>
      <c r="N717" s="387"/>
      <c r="O717" s="386"/>
      <c r="P717" s="388"/>
      <c r="Q717" s="389"/>
      <c r="R717" s="388"/>
      <c r="S717" s="349"/>
      <c r="T717" s="387"/>
      <c r="U717" s="349"/>
      <c r="V717" s="349"/>
      <c r="W717" s="349"/>
      <c r="X717" s="349"/>
      <c r="Y717" s="349"/>
      <c r="Z717" s="349"/>
      <c r="AA717" s="349"/>
      <c r="AB717" s="353"/>
      <c r="AC717" s="353"/>
      <c r="AD717" s="353"/>
      <c r="AE717" s="371"/>
    </row>
    <row r="718">
      <c r="A718" s="330"/>
      <c r="B718" s="330"/>
      <c r="C718" s="376"/>
      <c r="D718" s="377"/>
      <c r="E718" s="330"/>
      <c r="F718" s="330"/>
      <c r="G718" s="330"/>
      <c r="H718" s="330"/>
      <c r="I718" s="352"/>
      <c r="J718" s="378"/>
      <c r="K718" s="330"/>
      <c r="L718" s="378"/>
      <c r="M718" s="379"/>
      <c r="N718" s="380"/>
      <c r="O718" s="379"/>
      <c r="P718" s="381"/>
      <c r="Q718" s="382"/>
      <c r="R718" s="381"/>
      <c r="S718" s="330"/>
      <c r="T718" s="380"/>
      <c r="U718" s="330"/>
      <c r="V718" s="330"/>
      <c r="W718" s="330"/>
      <c r="X718" s="330"/>
      <c r="Y718" s="330"/>
      <c r="Z718" s="330"/>
      <c r="AA718" s="330"/>
      <c r="AB718" s="352"/>
      <c r="AC718" s="352"/>
      <c r="AD718" s="352"/>
      <c r="AE718" s="367"/>
    </row>
    <row r="719">
      <c r="A719" s="349"/>
      <c r="B719" s="349"/>
      <c r="C719" s="383"/>
      <c r="D719" s="384"/>
      <c r="E719" s="349"/>
      <c r="F719" s="349"/>
      <c r="G719" s="349"/>
      <c r="H719" s="349"/>
      <c r="I719" s="353"/>
      <c r="J719" s="385"/>
      <c r="K719" s="349"/>
      <c r="L719" s="385"/>
      <c r="M719" s="386"/>
      <c r="N719" s="387"/>
      <c r="O719" s="386"/>
      <c r="P719" s="388"/>
      <c r="Q719" s="389"/>
      <c r="R719" s="388"/>
      <c r="S719" s="349"/>
      <c r="T719" s="387"/>
      <c r="U719" s="349"/>
      <c r="V719" s="349"/>
      <c r="W719" s="349"/>
      <c r="X719" s="349"/>
      <c r="Y719" s="349"/>
      <c r="Z719" s="349"/>
      <c r="AA719" s="349"/>
      <c r="AB719" s="353"/>
      <c r="AC719" s="353"/>
      <c r="AD719" s="353"/>
      <c r="AE719" s="371"/>
    </row>
    <row r="720">
      <c r="A720" s="330"/>
      <c r="B720" s="330"/>
      <c r="C720" s="376"/>
      <c r="D720" s="377"/>
      <c r="E720" s="330"/>
      <c r="F720" s="330"/>
      <c r="G720" s="330"/>
      <c r="H720" s="330"/>
      <c r="I720" s="352"/>
      <c r="J720" s="378"/>
      <c r="K720" s="330"/>
      <c r="L720" s="378"/>
      <c r="M720" s="379"/>
      <c r="N720" s="380"/>
      <c r="O720" s="379"/>
      <c r="P720" s="381"/>
      <c r="Q720" s="382"/>
      <c r="R720" s="381"/>
      <c r="S720" s="330"/>
      <c r="T720" s="380"/>
      <c r="U720" s="330"/>
      <c r="V720" s="330"/>
      <c r="W720" s="330"/>
      <c r="X720" s="330"/>
      <c r="Y720" s="330"/>
      <c r="Z720" s="330"/>
      <c r="AA720" s="330"/>
      <c r="AB720" s="352"/>
      <c r="AC720" s="352"/>
      <c r="AD720" s="352"/>
      <c r="AE720" s="367"/>
    </row>
    <row r="721">
      <c r="A721" s="349"/>
      <c r="B721" s="349"/>
      <c r="C721" s="383"/>
      <c r="D721" s="384"/>
      <c r="E721" s="349"/>
      <c r="F721" s="349"/>
      <c r="G721" s="349"/>
      <c r="H721" s="349"/>
      <c r="I721" s="353"/>
      <c r="J721" s="385"/>
      <c r="K721" s="349"/>
      <c r="L721" s="385"/>
      <c r="M721" s="386"/>
      <c r="N721" s="387"/>
      <c r="O721" s="386"/>
      <c r="P721" s="388"/>
      <c r="Q721" s="389"/>
      <c r="R721" s="388"/>
      <c r="S721" s="349"/>
      <c r="T721" s="387"/>
      <c r="U721" s="349"/>
      <c r="V721" s="349"/>
      <c r="W721" s="349"/>
      <c r="X721" s="349"/>
      <c r="Y721" s="349"/>
      <c r="Z721" s="349"/>
      <c r="AA721" s="349"/>
      <c r="AB721" s="353"/>
      <c r="AC721" s="353"/>
      <c r="AD721" s="353"/>
      <c r="AE721" s="371"/>
    </row>
    <row r="722">
      <c r="A722" s="330"/>
      <c r="B722" s="330"/>
      <c r="C722" s="376"/>
      <c r="D722" s="377"/>
      <c r="E722" s="330"/>
      <c r="F722" s="330"/>
      <c r="G722" s="330"/>
      <c r="H722" s="330"/>
      <c r="I722" s="352"/>
      <c r="J722" s="378"/>
      <c r="K722" s="330"/>
      <c r="L722" s="378"/>
      <c r="M722" s="379"/>
      <c r="N722" s="380"/>
      <c r="O722" s="379"/>
      <c r="P722" s="381"/>
      <c r="Q722" s="382"/>
      <c r="R722" s="381"/>
      <c r="S722" s="330"/>
      <c r="T722" s="380"/>
      <c r="U722" s="330"/>
      <c r="V722" s="330"/>
      <c r="W722" s="330"/>
      <c r="X722" s="330"/>
      <c r="Y722" s="330"/>
      <c r="Z722" s="330"/>
      <c r="AA722" s="330"/>
      <c r="AB722" s="352"/>
      <c r="AC722" s="352"/>
      <c r="AD722" s="352"/>
      <c r="AE722" s="367"/>
    </row>
    <row r="723">
      <c r="A723" s="349"/>
      <c r="B723" s="349"/>
      <c r="C723" s="383"/>
      <c r="D723" s="384"/>
      <c r="E723" s="349"/>
      <c r="F723" s="349"/>
      <c r="G723" s="349"/>
      <c r="H723" s="349"/>
      <c r="I723" s="353"/>
      <c r="J723" s="385"/>
      <c r="K723" s="349"/>
      <c r="L723" s="385"/>
      <c r="M723" s="386"/>
      <c r="N723" s="387"/>
      <c r="O723" s="386"/>
      <c r="P723" s="388"/>
      <c r="Q723" s="389"/>
      <c r="R723" s="388"/>
      <c r="S723" s="349"/>
      <c r="T723" s="387"/>
      <c r="U723" s="349"/>
      <c r="V723" s="349"/>
      <c r="W723" s="349"/>
      <c r="X723" s="349"/>
      <c r="Y723" s="349"/>
      <c r="Z723" s="349"/>
      <c r="AA723" s="349"/>
      <c r="AB723" s="353"/>
      <c r="AC723" s="353"/>
      <c r="AD723" s="353"/>
      <c r="AE723" s="371"/>
    </row>
    <row r="724">
      <c r="A724" s="330"/>
      <c r="B724" s="330"/>
      <c r="C724" s="376"/>
      <c r="D724" s="377"/>
      <c r="E724" s="330"/>
      <c r="F724" s="330"/>
      <c r="G724" s="330"/>
      <c r="H724" s="330"/>
      <c r="I724" s="352"/>
      <c r="J724" s="378"/>
      <c r="K724" s="330"/>
      <c r="L724" s="378"/>
      <c r="M724" s="379"/>
      <c r="N724" s="380"/>
      <c r="O724" s="379"/>
      <c r="P724" s="381"/>
      <c r="Q724" s="382"/>
      <c r="R724" s="381"/>
      <c r="S724" s="330"/>
      <c r="T724" s="380"/>
      <c r="U724" s="330"/>
      <c r="V724" s="330"/>
      <c r="W724" s="330"/>
      <c r="X724" s="330"/>
      <c r="Y724" s="330"/>
      <c r="Z724" s="330"/>
      <c r="AA724" s="330"/>
      <c r="AB724" s="352"/>
      <c r="AC724" s="352"/>
      <c r="AD724" s="352"/>
      <c r="AE724" s="367"/>
    </row>
    <row r="725">
      <c r="A725" s="349"/>
      <c r="B725" s="349"/>
      <c r="C725" s="383"/>
      <c r="D725" s="384"/>
      <c r="E725" s="349"/>
      <c r="F725" s="349"/>
      <c r="G725" s="349"/>
      <c r="H725" s="349"/>
      <c r="I725" s="353"/>
      <c r="J725" s="385"/>
      <c r="K725" s="349"/>
      <c r="L725" s="385"/>
      <c r="M725" s="386"/>
      <c r="N725" s="387"/>
      <c r="O725" s="386"/>
      <c r="P725" s="388"/>
      <c r="Q725" s="389"/>
      <c r="R725" s="388"/>
      <c r="S725" s="349"/>
      <c r="T725" s="387"/>
      <c r="U725" s="349"/>
      <c r="V725" s="349"/>
      <c r="W725" s="349"/>
      <c r="X725" s="349"/>
      <c r="Y725" s="349"/>
      <c r="Z725" s="349"/>
      <c r="AA725" s="349"/>
      <c r="AB725" s="353"/>
      <c r="AC725" s="353"/>
      <c r="AD725" s="353"/>
      <c r="AE725" s="371"/>
    </row>
    <row r="726">
      <c r="A726" s="330"/>
      <c r="B726" s="330"/>
      <c r="C726" s="376"/>
      <c r="D726" s="377"/>
      <c r="E726" s="330"/>
      <c r="F726" s="330"/>
      <c r="G726" s="330"/>
      <c r="H726" s="330"/>
      <c r="I726" s="352"/>
      <c r="J726" s="378"/>
      <c r="K726" s="330"/>
      <c r="L726" s="378"/>
      <c r="M726" s="379"/>
      <c r="N726" s="380"/>
      <c r="O726" s="379"/>
      <c r="P726" s="381"/>
      <c r="Q726" s="382"/>
      <c r="R726" s="381"/>
      <c r="S726" s="330"/>
      <c r="T726" s="380"/>
      <c r="U726" s="330"/>
      <c r="V726" s="330"/>
      <c r="W726" s="330"/>
      <c r="X726" s="330"/>
      <c r="Y726" s="330"/>
      <c r="Z726" s="330"/>
      <c r="AA726" s="330"/>
      <c r="AB726" s="352"/>
      <c r="AC726" s="352"/>
      <c r="AD726" s="352"/>
      <c r="AE726" s="367"/>
    </row>
    <row r="727">
      <c r="A727" s="349"/>
      <c r="B727" s="349"/>
      <c r="C727" s="383"/>
      <c r="D727" s="384"/>
      <c r="E727" s="349"/>
      <c r="F727" s="349"/>
      <c r="G727" s="349"/>
      <c r="H727" s="349"/>
      <c r="I727" s="353"/>
      <c r="J727" s="385"/>
      <c r="K727" s="349"/>
      <c r="L727" s="385"/>
      <c r="M727" s="386"/>
      <c r="N727" s="387"/>
      <c r="O727" s="386"/>
      <c r="P727" s="388"/>
      <c r="Q727" s="389"/>
      <c r="R727" s="388"/>
      <c r="S727" s="349"/>
      <c r="T727" s="387"/>
      <c r="U727" s="349"/>
      <c r="V727" s="349"/>
      <c r="W727" s="349"/>
      <c r="X727" s="349"/>
      <c r="Y727" s="349"/>
      <c r="Z727" s="349"/>
      <c r="AA727" s="349"/>
      <c r="AB727" s="353"/>
      <c r="AC727" s="353"/>
      <c r="AD727" s="353"/>
      <c r="AE727" s="371"/>
    </row>
    <row r="728">
      <c r="A728" s="330"/>
      <c r="B728" s="330"/>
      <c r="C728" s="376"/>
      <c r="D728" s="377"/>
      <c r="E728" s="330"/>
      <c r="F728" s="330"/>
      <c r="G728" s="330"/>
      <c r="H728" s="330"/>
      <c r="I728" s="352"/>
      <c r="J728" s="378"/>
      <c r="K728" s="330"/>
      <c r="L728" s="378"/>
      <c r="M728" s="379"/>
      <c r="N728" s="380"/>
      <c r="O728" s="379"/>
      <c r="P728" s="381"/>
      <c r="Q728" s="382"/>
      <c r="R728" s="381"/>
      <c r="S728" s="330"/>
      <c r="T728" s="380"/>
      <c r="U728" s="330"/>
      <c r="V728" s="330"/>
      <c r="W728" s="330"/>
      <c r="X728" s="330"/>
      <c r="Y728" s="330"/>
      <c r="Z728" s="330"/>
      <c r="AA728" s="330"/>
      <c r="AB728" s="352"/>
      <c r="AC728" s="352"/>
      <c r="AD728" s="352"/>
      <c r="AE728" s="367"/>
    </row>
    <row r="729">
      <c r="A729" s="349"/>
      <c r="B729" s="349"/>
      <c r="C729" s="383"/>
      <c r="D729" s="384"/>
      <c r="E729" s="349"/>
      <c r="F729" s="349"/>
      <c r="G729" s="349"/>
      <c r="H729" s="349"/>
      <c r="I729" s="353"/>
      <c r="J729" s="385"/>
      <c r="K729" s="349"/>
      <c r="L729" s="385"/>
      <c r="M729" s="386"/>
      <c r="N729" s="387"/>
      <c r="O729" s="386"/>
      <c r="P729" s="388"/>
      <c r="Q729" s="389"/>
      <c r="R729" s="388"/>
      <c r="S729" s="349"/>
      <c r="T729" s="387"/>
      <c r="U729" s="349"/>
      <c r="V729" s="349"/>
      <c r="W729" s="349"/>
      <c r="X729" s="349"/>
      <c r="Y729" s="349"/>
      <c r="Z729" s="349"/>
      <c r="AA729" s="349"/>
      <c r="AB729" s="353"/>
      <c r="AC729" s="353"/>
      <c r="AD729" s="353"/>
      <c r="AE729" s="371"/>
    </row>
    <row r="730">
      <c r="A730" s="330"/>
      <c r="B730" s="330"/>
      <c r="C730" s="376"/>
      <c r="D730" s="377"/>
      <c r="E730" s="330"/>
      <c r="F730" s="330"/>
      <c r="G730" s="330"/>
      <c r="H730" s="330"/>
      <c r="I730" s="352"/>
      <c r="J730" s="378"/>
      <c r="K730" s="330"/>
      <c r="L730" s="378"/>
      <c r="M730" s="379"/>
      <c r="N730" s="380"/>
      <c r="O730" s="379"/>
      <c r="P730" s="381"/>
      <c r="Q730" s="382"/>
      <c r="R730" s="381"/>
      <c r="S730" s="330"/>
      <c r="T730" s="380"/>
      <c r="U730" s="330"/>
      <c r="V730" s="330"/>
      <c r="W730" s="330"/>
      <c r="X730" s="330"/>
      <c r="Y730" s="330"/>
      <c r="Z730" s="330"/>
      <c r="AA730" s="330"/>
      <c r="AB730" s="352"/>
      <c r="AC730" s="352"/>
      <c r="AD730" s="352"/>
      <c r="AE730" s="367"/>
    </row>
    <row r="731">
      <c r="A731" s="349"/>
      <c r="B731" s="349"/>
      <c r="C731" s="383"/>
      <c r="D731" s="384"/>
      <c r="E731" s="349"/>
      <c r="F731" s="349"/>
      <c r="G731" s="349"/>
      <c r="H731" s="349"/>
      <c r="I731" s="353"/>
      <c r="J731" s="385"/>
      <c r="K731" s="349"/>
      <c r="L731" s="385"/>
      <c r="M731" s="386"/>
      <c r="N731" s="387"/>
      <c r="O731" s="386"/>
      <c r="P731" s="388"/>
      <c r="Q731" s="389"/>
      <c r="R731" s="388"/>
      <c r="S731" s="349"/>
      <c r="T731" s="387"/>
      <c r="U731" s="349"/>
      <c r="V731" s="349"/>
      <c r="W731" s="349"/>
      <c r="X731" s="349"/>
      <c r="Y731" s="349"/>
      <c r="Z731" s="349"/>
      <c r="AA731" s="349"/>
      <c r="AB731" s="353"/>
      <c r="AC731" s="353"/>
      <c r="AD731" s="353"/>
      <c r="AE731" s="371"/>
    </row>
    <row r="732">
      <c r="A732" s="330"/>
      <c r="B732" s="330"/>
      <c r="C732" s="376"/>
      <c r="D732" s="377"/>
      <c r="E732" s="330"/>
      <c r="F732" s="330"/>
      <c r="G732" s="330"/>
      <c r="H732" s="330"/>
      <c r="I732" s="352"/>
      <c r="J732" s="378"/>
      <c r="K732" s="330"/>
      <c r="L732" s="378"/>
      <c r="M732" s="379"/>
      <c r="N732" s="380"/>
      <c r="O732" s="379"/>
      <c r="P732" s="381"/>
      <c r="Q732" s="382"/>
      <c r="R732" s="381"/>
      <c r="S732" s="330"/>
      <c r="T732" s="380"/>
      <c r="U732" s="330"/>
      <c r="V732" s="330"/>
      <c r="W732" s="330"/>
      <c r="X732" s="330"/>
      <c r="Y732" s="330"/>
      <c r="Z732" s="330"/>
      <c r="AA732" s="330"/>
      <c r="AB732" s="352"/>
      <c r="AC732" s="352"/>
      <c r="AD732" s="352"/>
      <c r="AE732" s="367"/>
    </row>
    <row r="733">
      <c r="A733" s="349"/>
      <c r="B733" s="349"/>
      <c r="C733" s="383"/>
      <c r="D733" s="384"/>
      <c r="E733" s="349"/>
      <c r="F733" s="349"/>
      <c r="G733" s="349"/>
      <c r="H733" s="349"/>
      <c r="I733" s="353"/>
      <c r="J733" s="385"/>
      <c r="K733" s="349"/>
      <c r="L733" s="385"/>
      <c r="M733" s="386"/>
      <c r="N733" s="387"/>
      <c r="O733" s="386"/>
      <c r="P733" s="388"/>
      <c r="Q733" s="389"/>
      <c r="R733" s="388"/>
      <c r="S733" s="349"/>
      <c r="T733" s="387"/>
      <c r="U733" s="349"/>
      <c r="V733" s="349"/>
      <c r="W733" s="349"/>
      <c r="X733" s="349"/>
      <c r="Y733" s="349"/>
      <c r="Z733" s="349"/>
      <c r="AA733" s="349"/>
      <c r="AB733" s="353"/>
      <c r="AC733" s="353"/>
      <c r="AD733" s="353"/>
      <c r="AE733" s="371"/>
    </row>
    <row r="734">
      <c r="A734" s="330"/>
      <c r="B734" s="330"/>
      <c r="C734" s="376"/>
      <c r="D734" s="377"/>
      <c r="E734" s="330"/>
      <c r="F734" s="330"/>
      <c r="G734" s="330"/>
      <c r="H734" s="330"/>
      <c r="I734" s="352"/>
      <c r="J734" s="378"/>
      <c r="K734" s="330"/>
      <c r="L734" s="378"/>
      <c r="M734" s="379"/>
      <c r="N734" s="380"/>
      <c r="O734" s="379"/>
      <c r="P734" s="381"/>
      <c r="Q734" s="382"/>
      <c r="R734" s="381"/>
      <c r="S734" s="330"/>
      <c r="T734" s="380"/>
      <c r="U734" s="330"/>
      <c r="V734" s="330"/>
      <c r="W734" s="330"/>
      <c r="X734" s="330"/>
      <c r="Y734" s="330"/>
      <c r="Z734" s="330"/>
      <c r="AA734" s="330"/>
      <c r="AB734" s="352"/>
      <c r="AC734" s="352"/>
      <c r="AD734" s="352"/>
      <c r="AE734" s="367"/>
    </row>
    <row r="735">
      <c r="A735" s="349"/>
      <c r="B735" s="349"/>
      <c r="C735" s="383"/>
      <c r="D735" s="384"/>
      <c r="E735" s="349"/>
      <c r="F735" s="349"/>
      <c r="G735" s="349"/>
      <c r="H735" s="349"/>
      <c r="I735" s="353"/>
      <c r="J735" s="385"/>
      <c r="K735" s="349"/>
      <c r="L735" s="385"/>
      <c r="M735" s="386"/>
      <c r="N735" s="387"/>
      <c r="O735" s="386"/>
      <c r="P735" s="388"/>
      <c r="Q735" s="389"/>
      <c r="R735" s="388"/>
      <c r="S735" s="349"/>
      <c r="T735" s="387"/>
      <c r="U735" s="349"/>
      <c r="V735" s="349"/>
      <c r="W735" s="349"/>
      <c r="X735" s="349"/>
      <c r="Y735" s="349"/>
      <c r="Z735" s="349"/>
      <c r="AA735" s="349"/>
      <c r="AB735" s="353"/>
      <c r="AC735" s="353"/>
      <c r="AD735" s="353"/>
      <c r="AE735" s="371"/>
    </row>
    <row r="736">
      <c r="A736" s="330"/>
      <c r="B736" s="330"/>
      <c r="C736" s="376"/>
      <c r="D736" s="377"/>
      <c r="E736" s="330"/>
      <c r="F736" s="330"/>
      <c r="G736" s="330"/>
      <c r="H736" s="330"/>
      <c r="I736" s="352"/>
      <c r="J736" s="378"/>
      <c r="K736" s="330"/>
      <c r="L736" s="378"/>
      <c r="M736" s="379"/>
      <c r="N736" s="380"/>
      <c r="O736" s="379"/>
      <c r="P736" s="381"/>
      <c r="Q736" s="382"/>
      <c r="R736" s="381"/>
      <c r="S736" s="330"/>
      <c r="T736" s="380"/>
      <c r="U736" s="330"/>
      <c r="V736" s="330"/>
      <c r="W736" s="330"/>
      <c r="X736" s="330"/>
      <c r="Y736" s="330"/>
      <c r="Z736" s="330"/>
      <c r="AA736" s="330"/>
      <c r="AB736" s="352"/>
      <c r="AC736" s="352"/>
      <c r="AD736" s="352"/>
      <c r="AE736" s="367"/>
    </row>
    <row r="737">
      <c r="A737" s="349"/>
      <c r="B737" s="349"/>
      <c r="C737" s="383"/>
      <c r="D737" s="384"/>
      <c r="E737" s="349"/>
      <c r="F737" s="349"/>
      <c r="G737" s="349"/>
      <c r="H737" s="349"/>
      <c r="I737" s="353"/>
      <c r="J737" s="385"/>
      <c r="K737" s="349"/>
      <c r="L737" s="385"/>
      <c r="M737" s="386"/>
      <c r="N737" s="387"/>
      <c r="O737" s="386"/>
      <c r="P737" s="388"/>
      <c r="Q737" s="389"/>
      <c r="R737" s="388"/>
      <c r="S737" s="349"/>
      <c r="T737" s="387"/>
      <c r="U737" s="349"/>
      <c r="V737" s="349"/>
      <c r="W737" s="349"/>
      <c r="X737" s="349"/>
      <c r="Y737" s="349"/>
      <c r="Z737" s="349"/>
      <c r="AA737" s="349"/>
      <c r="AB737" s="353"/>
      <c r="AC737" s="353"/>
      <c r="AD737" s="353"/>
      <c r="AE737" s="371"/>
    </row>
    <row r="738">
      <c r="A738" s="330"/>
      <c r="B738" s="330"/>
      <c r="C738" s="376"/>
      <c r="D738" s="377"/>
      <c r="E738" s="330"/>
      <c r="F738" s="330"/>
      <c r="G738" s="330"/>
      <c r="H738" s="330"/>
      <c r="I738" s="352"/>
      <c r="J738" s="378"/>
      <c r="K738" s="330"/>
      <c r="L738" s="378"/>
      <c r="M738" s="379"/>
      <c r="N738" s="380"/>
      <c r="O738" s="379"/>
      <c r="P738" s="381"/>
      <c r="Q738" s="382"/>
      <c r="R738" s="381"/>
      <c r="S738" s="330"/>
      <c r="T738" s="380"/>
      <c r="U738" s="330"/>
      <c r="V738" s="330"/>
      <c r="W738" s="330"/>
      <c r="X738" s="330"/>
      <c r="Y738" s="330"/>
      <c r="Z738" s="330"/>
      <c r="AA738" s="330"/>
      <c r="AB738" s="352"/>
      <c r="AC738" s="352"/>
      <c r="AD738" s="352"/>
      <c r="AE738" s="367"/>
    </row>
    <row r="739">
      <c r="A739" s="349"/>
      <c r="B739" s="349"/>
      <c r="C739" s="383"/>
      <c r="D739" s="384"/>
      <c r="E739" s="349"/>
      <c r="F739" s="349"/>
      <c r="G739" s="349"/>
      <c r="H739" s="349"/>
      <c r="I739" s="353"/>
      <c r="J739" s="385"/>
      <c r="K739" s="349"/>
      <c r="L739" s="385"/>
      <c r="M739" s="386"/>
      <c r="N739" s="387"/>
      <c r="O739" s="386"/>
      <c r="P739" s="388"/>
      <c r="Q739" s="389"/>
      <c r="R739" s="388"/>
      <c r="S739" s="349"/>
      <c r="T739" s="387"/>
      <c r="U739" s="349"/>
      <c r="V739" s="349"/>
      <c r="W739" s="349"/>
      <c r="X739" s="349"/>
      <c r="Y739" s="349"/>
      <c r="Z739" s="349"/>
      <c r="AA739" s="349"/>
      <c r="AB739" s="353"/>
      <c r="AC739" s="353"/>
      <c r="AD739" s="353"/>
      <c r="AE739" s="371"/>
    </row>
    <row r="740">
      <c r="A740" s="330"/>
      <c r="B740" s="330"/>
      <c r="C740" s="376"/>
      <c r="D740" s="377"/>
      <c r="E740" s="330"/>
      <c r="F740" s="330"/>
      <c r="G740" s="330"/>
      <c r="H740" s="330"/>
      <c r="I740" s="352"/>
      <c r="J740" s="378"/>
      <c r="K740" s="330"/>
      <c r="L740" s="378"/>
      <c r="M740" s="379"/>
      <c r="N740" s="380"/>
      <c r="O740" s="379"/>
      <c r="P740" s="381"/>
      <c r="Q740" s="382"/>
      <c r="R740" s="381"/>
      <c r="S740" s="330"/>
      <c r="T740" s="380"/>
      <c r="U740" s="330"/>
      <c r="V740" s="330"/>
      <c r="W740" s="330"/>
      <c r="X740" s="330"/>
      <c r="Y740" s="330"/>
      <c r="Z740" s="330"/>
      <c r="AA740" s="330"/>
      <c r="AB740" s="352"/>
      <c r="AC740" s="352"/>
      <c r="AD740" s="352"/>
      <c r="AE740" s="367"/>
    </row>
    <row r="741">
      <c r="A741" s="349"/>
      <c r="B741" s="349"/>
      <c r="C741" s="383"/>
      <c r="D741" s="384"/>
      <c r="E741" s="349"/>
      <c r="F741" s="349"/>
      <c r="G741" s="349"/>
      <c r="H741" s="349"/>
      <c r="I741" s="353"/>
      <c r="J741" s="385"/>
      <c r="K741" s="349"/>
      <c r="L741" s="385"/>
      <c r="M741" s="386"/>
      <c r="N741" s="387"/>
      <c r="O741" s="386"/>
      <c r="P741" s="388"/>
      <c r="Q741" s="389"/>
      <c r="R741" s="388"/>
      <c r="S741" s="349"/>
      <c r="T741" s="387"/>
      <c r="U741" s="349"/>
      <c r="V741" s="349"/>
      <c r="W741" s="349"/>
      <c r="X741" s="349"/>
      <c r="Y741" s="349"/>
      <c r="Z741" s="349"/>
      <c r="AA741" s="349"/>
      <c r="AB741" s="353"/>
      <c r="AC741" s="353"/>
      <c r="AD741" s="353"/>
      <c r="AE741" s="371"/>
    </row>
    <row r="742">
      <c r="A742" s="330"/>
      <c r="B742" s="330"/>
      <c r="C742" s="376"/>
      <c r="D742" s="377"/>
      <c r="E742" s="330"/>
      <c r="F742" s="330"/>
      <c r="G742" s="330"/>
      <c r="H742" s="330"/>
      <c r="I742" s="352"/>
      <c r="J742" s="378"/>
      <c r="K742" s="330"/>
      <c r="L742" s="378"/>
      <c r="M742" s="379"/>
      <c r="N742" s="380"/>
      <c r="O742" s="379"/>
      <c r="P742" s="381"/>
      <c r="Q742" s="382"/>
      <c r="R742" s="381"/>
      <c r="S742" s="330"/>
      <c r="T742" s="380"/>
      <c r="U742" s="330"/>
      <c r="V742" s="330"/>
      <c r="W742" s="330"/>
      <c r="X742" s="330"/>
      <c r="Y742" s="330"/>
      <c r="Z742" s="330"/>
      <c r="AA742" s="330"/>
      <c r="AB742" s="352"/>
      <c r="AC742" s="352"/>
      <c r="AD742" s="352"/>
      <c r="AE742" s="367"/>
    </row>
    <row r="743">
      <c r="A743" s="349"/>
      <c r="B743" s="349"/>
      <c r="C743" s="383"/>
      <c r="D743" s="384"/>
      <c r="E743" s="349"/>
      <c r="F743" s="349"/>
      <c r="G743" s="349"/>
      <c r="H743" s="349"/>
      <c r="I743" s="353"/>
      <c r="J743" s="385"/>
      <c r="K743" s="349"/>
      <c r="L743" s="385"/>
      <c r="M743" s="386"/>
      <c r="N743" s="387"/>
      <c r="O743" s="386"/>
      <c r="P743" s="388"/>
      <c r="Q743" s="389"/>
      <c r="R743" s="388"/>
      <c r="S743" s="349"/>
      <c r="T743" s="387"/>
      <c r="U743" s="349"/>
      <c r="V743" s="349"/>
      <c r="W743" s="349"/>
      <c r="X743" s="349"/>
      <c r="Y743" s="349"/>
      <c r="Z743" s="349"/>
      <c r="AA743" s="349"/>
      <c r="AB743" s="353"/>
      <c r="AC743" s="353"/>
      <c r="AD743" s="353"/>
      <c r="AE743" s="371"/>
    </row>
    <row r="744">
      <c r="A744" s="330"/>
      <c r="B744" s="330"/>
      <c r="C744" s="376"/>
      <c r="D744" s="377"/>
      <c r="E744" s="330"/>
      <c r="F744" s="330"/>
      <c r="G744" s="330"/>
      <c r="H744" s="330"/>
      <c r="I744" s="352"/>
      <c r="J744" s="378"/>
      <c r="K744" s="330"/>
      <c r="L744" s="378"/>
      <c r="M744" s="379"/>
      <c r="N744" s="380"/>
      <c r="O744" s="379"/>
      <c r="P744" s="381"/>
      <c r="Q744" s="382"/>
      <c r="R744" s="381"/>
      <c r="S744" s="330"/>
      <c r="T744" s="380"/>
      <c r="U744" s="330"/>
      <c r="V744" s="330"/>
      <c r="W744" s="330"/>
      <c r="X744" s="330"/>
      <c r="Y744" s="330"/>
      <c r="Z744" s="330"/>
      <c r="AA744" s="330"/>
      <c r="AB744" s="352"/>
      <c r="AC744" s="352"/>
      <c r="AD744" s="352"/>
      <c r="AE744" s="367"/>
    </row>
    <row r="745">
      <c r="A745" s="349"/>
      <c r="B745" s="349"/>
      <c r="C745" s="383"/>
      <c r="D745" s="384"/>
      <c r="E745" s="349"/>
      <c r="F745" s="349"/>
      <c r="G745" s="349"/>
      <c r="H745" s="349"/>
      <c r="I745" s="353"/>
      <c r="J745" s="385"/>
      <c r="K745" s="349"/>
      <c r="L745" s="385"/>
      <c r="M745" s="386"/>
      <c r="N745" s="387"/>
      <c r="O745" s="386"/>
      <c r="P745" s="388"/>
      <c r="Q745" s="389"/>
      <c r="R745" s="388"/>
      <c r="S745" s="349"/>
      <c r="T745" s="387"/>
      <c r="U745" s="349"/>
      <c r="V745" s="349"/>
      <c r="W745" s="349"/>
      <c r="X745" s="349"/>
      <c r="Y745" s="349"/>
      <c r="Z745" s="349"/>
      <c r="AA745" s="349"/>
      <c r="AB745" s="353"/>
      <c r="AC745" s="353"/>
      <c r="AD745" s="353"/>
      <c r="AE745" s="371"/>
    </row>
    <row r="746">
      <c r="A746" s="330"/>
      <c r="B746" s="330"/>
      <c r="C746" s="376"/>
      <c r="D746" s="377"/>
      <c r="E746" s="330"/>
      <c r="F746" s="330"/>
      <c r="G746" s="330"/>
      <c r="H746" s="330"/>
      <c r="I746" s="352"/>
      <c r="J746" s="378"/>
      <c r="K746" s="330"/>
      <c r="L746" s="378"/>
      <c r="M746" s="379"/>
      <c r="N746" s="380"/>
      <c r="O746" s="379"/>
      <c r="P746" s="381"/>
      <c r="Q746" s="382"/>
      <c r="R746" s="381"/>
      <c r="S746" s="330"/>
      <c r="T746" s="380"/>
      <c r="U746" s="330"/>
      <c r="V746" s="330"/>
      <c r="W746" s="330"/>
      <c r="X746" s="330"/>
      <c r="Y746" s="330"/>
      <c r="Z746" s="330"/>
      <c r="AA746" s="330"/>
      <c r="AB746" s="352"/>
      <c r="AC746" s="352"/>
      <c r="AD746" s="352"/>
      <c r="AE746" s="367"/>
    </row>
    <row r="747">
      <c r="A747" s="349"/>
      <c r="B747" s="349"/>
      <c r="C747" s="383"/>
      <c r="D747" s="384"/>
      <c r="E747" s="349"/>
      <c r="F747" s="349"/>
      <c r="G747" s="349"/>
      <c r="H747" s="349"/>
      <c r="I747" s="353"/>
      <c r="J747" s="385"/>
      <c r="K747" s="349"/>
      <c r="L747" s="385"/>
      <c r="M747" s="386"/>
      <c r="N747" s="387"/>
      <c r="O747" s="386"/>
      <c r="P747" s="388"/>
      <c r="Q747" s="389"/>
      <c r="R747" s="388"/>
      <c r="S747" s="349"/>
      <c r="T747" s="387"/>
      <c r="U747" s="349"/>
      <c r="V747" s="349"/>
      <c r="W747" s="349"/>
      <c r="X747" s="349"/>
      <c r="Y747" s="349"/>
      <c r="Z747" s="349"/>
      <c r="AA747" s="349"/>
      <c r="AB747" s="353"/>
      <c r="AC747" s="353"/>
      <c r="AD747" s="353"/>
      <c r="AE747" s="371"/>
    </row>
    <row r="748">
      <c r="A748" s="330"/>
      <c r="B748" s="330"/>
      <c r="C748" s="376"/>
      <c r="D748" s="377"/>
      <c r="E748" s="330"/>
      <c r="F748" s="330"/>
      <c r="G748" s="330"/>
      <c r="H748" s="330"/>
      <c r="I748" s="352"/>
      <c r="J748" s="378"/>
      <c r="K748" s="330"/>
      <c r="L748" s="378"/>
      <c r="M748" s="379"/>
      <c r="N748" s="380"/>
      <c r="O748" s="379"/>
      <c r="P748" s="381"/>
      <c r="Q748" s="382"/>
      <c r="R748" s="381"/>
      <c r="S748" s="330"/>
      <c r="T748" s="380"/>
      <c r="U748" s="330"/>
      <c r="V748" s="330"/>
      <c r="W748" s="330"/>
      <c r="X748" s="330"/>
      <c r="Y748" s="330"/>
      <c r="Z748" s="330"/>
      <c r="AA748" s="330"/>
      <c r="AB748" s="352"/>
      <c r="AC748" s="352"/>
      <c r="AD748" s="352"/>
      <c r="AE748" s="367"/>
    </row>
    <row r="749">
      <c r="A749" s="349"/>
      <c r="B749" s="349"/>
      <c r="C749" s="383"/>
      <c r="D749" s="384"/>
      <c r="E749" s="349"/>
      <c r="F749" s="349"/>
      <c r="G749" s="349"/>
      <c r="H749" s="349"/>
      <c r="I749" s="353"/>
      <c r="J749" s="385"/>
      <c r="K749" s="349"/>
      <c r="L749" s="385"/>
      <c r="M749" s="386"/>
      <c r="N749" s="387"/>
      <c r="O749" s="386"/>
      <c r="P749" s="388"/>
      <c r="Q749" s="389"/>
      <c r="R749" s="388"/>
      <c r="S749" s="349"/>
      <c r="T749" s="387"/>
      <c r="U749" s="349"/>
      <c r="V749" s="349"/>
      <c r="W749" s="349"/>
      <c r="X749" s="349"/>
      <c r="Y749" s="349"/>
      <c r="Z749" s="349"/>
      <c r="AA749" s="349"/>
      <c r="AB749" s="353"/>
      <c r="AC749" s="353"/>
      <c r="AD749" s="353"/>
      <c r="AE749" s="371"/>
    </row>
    <row r="750">
      <c r="A750" s="330"/>
      <c r="B750" s="330"/>
      <c r="C750" s="376"/>
      <c r="D750" s="377"/>
      <c r="E750" s="330"/>
      <c r="F750" s="330"/>
      <c r="G750" s="330"/>
      <c r="H750" s="330"/>
      <c r="I750" s="352"/>
      <c r="J750" s="378"/>
      <c r="K750" s="330"/>
      <c r="L750" s="378"/>
      <c r="M750" s="379"/>
      <c r="N750" s="380"/>
      <c r="O750" s="379"/>
      <c r="P750" s="381"/>
      <c r="Q750" s="382"/>
      <c r="R750" s="381"/>
      <c r="S750" s="330"/>
      <c r="T750" s="380"/>
      <c r="U750" s="330"/>
      <c r="V750" s="330"/>
      <c r="W750" s="330"/>
      <c r="X750" s="330"/>
      <c r="Y750" s="330"/>
      <c r="Z750" s="330"/>
      <c r="AA750" s="330"/>
      <c r="AB750" s="352"/>
      <c r="AC750" s="352"/>
      <c r="AD750" s="352"/>
      <c r="AE750" s="367"/>
    </row>
    <row r="751">
      <c r="A751" s="349"/>
      <c r="B751" s="349"/>
      <c r="C751" s="383"/>
      <c r="D751" s="384"/>
      <c r="E751" s="349"/>
      <c r="F751" s="349"/>
      <c r="G751" s="349"/>
      <c r="H751" s="349"/>
      <c r="I751" s="353"/>
      <c r="J751" s="385"/>
      <c r="K751" s="349"/>
      <c r="L751" s="385"/>
      <c r="M751" s="386"/>
      <c r="N751" s="387"/>
      <c r="O751" s="386"/>
      <c r="P751" s="388"/>
      <c r="Q751" s="389"/>
      <c r="R751" s="388"/>
      <c r="S751" s="349"/>
      <c r="T751" s="387"/>
      <c r="U751" s="349"/>
      <c r="V751" s="349"/>
      <c r="W751" s="349"/>
      <c r="X751" s="349"/>
      <c r="Y751" s="349"/>
      <c r="Z751" s="349"/>
      <c r="AA751" s="349"/>
      <c r="AB751" s="353"/>
      <c r="AC751" s="353"/>
      <c r="AD751" s="353"/>
      <c r="AE751" s="371"/>
    </row>
    <row r="752">
      <c r="A752" s="330"/>
      <c r="B752" s="330"/>
      <c r="C752" s="376"/>
      <c r="D752" s="377"/>
      <c r="E752" s="330"/>
      <c r="F752" s="330"/>
      <c r="G752" s="330"/>
      <c r="H752" s="330"/>
      <c r="I752" s="352"/>
      <c r="J752" s="378"/>
      <c r="K752" s="330"/>
      <c r="L752" s="378"/>
      <c r="M752" s="379"/>
      <c r="N752" s="380"/>
      <c r="O752" s="379"/>
      <c r="P752" s="381"/>
      <c r="Q752" s="382"/>
      <c r="R752" s="381"/>
      <c r="S752" s="330"/>
      <c r="T752" s="380"/>
      <c r="U752" s="330"/>
      <c r="V752" s="330"/>
      <c r="W752" s="330"/>
      <c r="X752" s="330"/>
      <c r="Y752" s="330"/>
      <c r="Z752" s="330"/>
      <c r="AA752" s="330"/>
      <c r="AB752" s="352"/>
      <c r="AC752" s="352"/>
      <c r="AD752" s="352"/>
      <c r="AE752" s="367"/>
    </row>
    <row r="753">
      <c r="A753" s="349"/>
      <c r="B753" s="349"/>
      <c r="C753" s="383"/>
      <c r="D753" s="384"/>
      <c r="E753" s="349"/>
      <c r="F753" s="349"/>
      <c r="G753" s="349"/>
      <c r="H753" s="349"/>
      <c r="I753" s="353"/>
      <c r="J753" s="385"/>
      <c r="K753" s="349"/>
      <c r="L753" s="385"/>
      <c r="M753" s="386"/>
      <c r="N753" s="387"/>
      <c r="O753" s="386"/>
      <c r="P753" s="388"/>
      <c r="Q753" s="389"/>
      <c r="R753" s="388"/>
      <c r="S753" s="349"/>
      <c r="T753" s="387"/>
      <c r="U753" s="349"/>
      <c r="V753" s="349"/>
      <c r="W753" s="349"/>
      <c r="X753" s="349"/>
      <c r="Y753" s="349"/>
      <c r="Z753" s="349"/>
      <c r="AA753" s="349"/>
      <c r="AB753" s="353"/>
      <c r="AC753" s="353"/>
      <c r="AD753" s="353"/>
      <c r="AE753" s="371"/>
    </row>
    <row r="754">
      <c r="A754" s="330"/>
      <c r="B754" s="330"/>
      <c r="C754" s="376"/>
      <c r="D754" s="377"/>
      <c r="E754" s="330"/>
      <c r="F754" s="330"/>
      <c r="G754" s="330"/>
      <c r="H754" s="330"/>
      <c r="I754" s="352"/>
      <c r="J754" s="378"/>
      <c r="K754" s="330"/>
      <c r="L754" s="378"/>
      <c r="M754" s="379"/>
      <c r="N754" s="380"/>
      <c r="O754" s="379"/>
      <c r="P754" s="381"/>
      <c r="Q754" s="382"/>
      <c r="R754" s="381"/>
      <c r="S754" s="330"/>
      <c r="T754" s="380"/>
      <c r="U754" s="330"/>
      <c r="V754" s="330"/>
      <c r="W754" s="330"/>
      <c r="X754" s="330"/>
      <c r="Y754" s="330"/>
      <c r="Z754" s="330"/>
      <c r="AA754" s="330"/>
      <c r="AB754" s="352"/>
      <c r="AC754" s="352"/>
      <c r="AD754" s="352"/>
      <c r="AE754" s="367"/>
    </row>
    <row r="755">
      <c r="A755" s="349"/>
      <c r="B755" s="349"/>
      <c r="C755" s="383"/>
      <c r="D755" s="384"/>
      <c r="E755" s="349"/>
      <c r="F755" s="349"/>
      <c r="G755" s="349"/>
      <c r="H755" s="349"/>
      <c r="I755" s="353"/>
      <c r="J755" s="385"/>
      <c r="K755" s="349"/>
      <c r="L755" s="385"/>
      <c r="M755" s="386"/>
      <c r="N755" s="387"/>
      <c r="O755" s="386"/>
      <c r="P755" s="388"/>
      <c r="Q755" s="389"/>
      <c r="R755" s="388"/>
      <c r="S755" s="349"/>
      <c r="T755" s="387"/>
      <c r="U755" s="349"/>
      <c r="V755" s="349"/>
      <c r="W755" s="349"/>
      <c r="X755" s="349"/>
      <c r="Y755" s="349"/>
      <c r="Z755" s="349"/>
      <c r="AA755" s="349"/>
      <c r="AB755" s="353"/>
      <c r="AC755" s="353"/>
      <c r="AD755" s="353"/>
      <c r="AE755" s="371"/>
    </row>
    <row r="756">
      <c r="A756" s="330"/>
      <c r="B756" s="330"/>
      <c r="C756" s="376"/>
      <c r="D756" s="377"/>
      <c r="E756" s="330"/>
      <c r="F756" s="330"/>
      <c r="G756" s="330"/>
      <c r="H756" s="330"/>
      <c r="I756" s="352"/>
      <c r="J756" s="378"/>
      <c r="K756" s="330"/>
      <c r="L756" s="378"/>
      <c r="M756" s="379"/>
      <c r="N756" s="380"/>
      <c r="O756" s="379"/>
      <c r="P756" s="381"/>
      <c r="Q756" s="382"/>
      <c r="R756" s="381"/>
      <c r="S756" s="330"/>
      <c r="T756" s="380"/>
      <c r="U756" s="330"/>
      <c r="V756" s="330"/>
      <c r="W756" s="330"/>
      <c r="X756" s="330"/>
      <c r="Y756" s="330"/>
      <c r="Z756" s="330"/>
      <c r="AA756" s="330"/>
      <c r="AB756" s="352"/>
      <c r="AC756" s="352"/>
      <c r="AD756" s="352"/>
      <c r="AE756" s="367"/>
    </row>
    <row r="757">
      <c r="A757" s="349"/>
      <c r="B757" s="349"/>
      <c r="C757" s="383"/>
      <c r="D757" s="384"/>
      <c r="E757" s="349"/>
      <c r="F757" s="349"/>
      <c r="G757" s="349"/>
      <c r="H757" s="349"/>
      <c r="I757" s="353"/>
      <c r="J757" s="385"/>
      <c r="K757" s="349"/>
      <c r="L757" s="385"/>
      <c r="M757" s="386"/>
      <c r="N757" s="387"/>
      <c r="O757" s="386"/>
      <c r="P757" s="388"/>
      <c r="Q757" s="389"/>
      <c r="R757" s="388"/>
      <c r="S757" s="349"/>
      <c r="T757" s="387"/>
      <c r="U757" s="349"/>
      <c r="V757" s="349"/>
      <c r="W757" s="349"/>
      <c r="X757" s="349"/>
      <c r="Y757" s="349"/>
      <c r="Z757" s="349"/>
      <c r="AA757" s="349"/>
      <c r="AB757" s="353"/>
      <c r="AC757" s="353"/>
      <c r="AD757" s="353"/>
      <c r="AE757" s="371"/>
    </row>
    <row r="758">
      <c r="A758" s="330"/>
      <c r="B758" s="330"/>
      <c r="C758" s="376"/>
      <c r="D758" s="377"/>
      <c r="E758" s="330"/>
      <c r="F758" s="330"/>
      <c r="G758" s="330"/>
      <c r="H758" s="330"/>
      <c r="I758" s="352"/>
      <c r="J758" s="378"/>
      <c r="K758" s="330"/>
      <c r="L758" s="378"/>
      <c r="M758" s="379"/>
      <c r="N758" s="380"/>
      <c r="O758" s="379"/>
      <c r="P758" s="381"/>
      <c r="Q758" s="382"/>
      <c r="R758" s="381"/>
      <c r="S758" s="330"/>
      <c r="T758" s="380"/>
      <c r="U758" s="330"/>
      <c r="V758" s="330"/>
      <c r="W758" s="330"/>
      <c r="X758" s="330"/>
      <c r="Y758" s="330"/>
      <c r="Z758" s="330"/>
      <c r="AA758" s="330"/>
      <c r="AB758" s="352"/>
      <c r="AC758" s="352"/>
      <c r="AD758" s="352"/>
      <c r="AE758" s="367"/>
    </row>
    <row r="759">
      <c r="A759" s="349"/>
      <c r="B759" s="349"/>
      <c r="C759" s="383"/>
      <c r="D759" s="384"/>
      <c r="E759" s="349"/>
      <c r="F759" s="349"/>
      <c r="G759" s="349"/>
      <c r="H759" s="349"/>
      <c r="I759" s="353"/>
      <c r="J759" s="385"/>
      <c r="K759" s="349"/>
      <c r="L759" s="385"/>
      <c r="M759" s="386"/>
      <c r="N759" s="387"/>
      <c r="O759" s="386"/>
      <c r="P759" s="388"/>
      <c r="Q759" s="389"/>
      <c r="R759" s="388"/>
      <c r="S759" s="349"/>
      <c r="T759" s="387"/>
      <c r="U759" s="349"/>
      <c r="V759" s="349"/>
      <c r="W759" s="349"/>
      <c r="X759" s="349"/>
      <c r="Y759" s="349"/>
      <c r="Z759" s="349"/>
      <c r="AA759" s="349"/>
      <c r="AB759" s="353"/>
      <c r="AC759" s="353"/>
      <c r="AD759" s="353"/>
      <c r="AE759" s="371"/>
    </row>
    <row r="760">
      <c r="A760" s="330"/>
      <c r="B760" s="330"/>
      <c r="C760" s="376"/>
      <c r="D760" s="377"/>
      <c r="E760" s="330"/>
      <c r="F760" s="330"/>
      <c r="G760" s="330"/>
      <c r="H760" s="330"/>
      <c r="I760" s="352"/>
      <c r="J760" s="378"/>
      <c r="K760" s="330"/>
      <c r="L760" s="378"/>
      <c r="M760" s="379"/>
      <c r="N760" s="380"/>
      <c r="O760" s="379"/>
      <c r="P760" s="381"/>
      <c r="Q760" s="382"/>
      <c r="R760" s="381"/>
      <c r="S760" s="330"/>
      <c r="T760" s="380"/>
      <c r="U760" s="330"/>
      <c r="V760" s="330"/>
      <c r="W760" s="330"/>
      <c r="X760" s="330"/>
      <c r="Y760" s="330"/>
      <c r="Z760" s="330"/>
      <c r="AA760" s="330"/>
      <c r="AB760" s="352"/>
      <c r="AC760" s="352"/>
      <c r="AD760" s="352"/>
      <c r="AE760" s="367"/>
    </row>
    <row r="761">
      <c r="A761" s="349"/>
      <c r="B761" s="349"/>
      <c r="C761" s="383"/>
      <c r="D761" s="384"/>
      <c r="E761" s="349"/>
      <c r="F761" s="349"/>
      <c r="G761" s="349"/>
      <c r="H761" s="349"/>
      <c r="I761" s="353"/>
      <c r="J761" s="385"/>
      <c r="K761" s="349"/>
      <c r="L761" s="385"/>
      <c r="M761" s="386"/>
      <c r="N761" s="387"/>
      <c r="O761" s="386"/>
      <c r="P761" s="388"/>
      <c r="Q761" s="389"/>
      <c r="R761" s="388"/>
      <c r="S761" s="349"/>
      <c r="T761" s="387"/>
      <c r="U761" s="349"/>
      <c r="V761" s="349"/>
      <c r="W761" s="349"/>
      <c r="X761" s="349"/>
      <c r="Y761" s="349"/>
      <c r="Z761" s="349"/>
      <c r="AA761" s="349"/>
      <c r="AB761" s="353"/>
      <c r="AC761" s="353"/>
      <c r="AD761" s="353"/>
      <c r="AE761" s="371"/>
    </row>
    <row r="762">
      <c r="A762" s="330"/>
      <c r="B762" s="330"/>
      <c r="C762" s="376"/>
      <c r="D762" s="377"/>
      <c r="E762" s="330"/>
      <c r="F762" s="330"/>
      <c r="G762" s="330"/>
      <c r="H762" s="330"/>
      <c r="I762" s="352"/>
      <c r="J762" s="378"/>
      <c r="K762" s="330"/>
      <c r="L762" s="378"/>
      <c r="M762" s="379"/>
      <c r="N762" s="380"/>
      <c r="O762" s="379"/>
      <c r="P762" s="381"/>
      <c r="Q762" s="382"/>
      <c r="R762" s="381"/>
      <c r="S762" s="330"/>
      <c r="T762" s="380"/>
      <c r="U762" s="330"/>
      <c r="V762" s="330"/>
      <c r="W762" s="330"/>
      <c r="X762" s="330"/>
      <c r="Y762" s="330"/>
      <c r="Z762" s="330"/>
      <c r="AA762" s="330"/>
      <c r="AB762" s="352"/>
      <c r="AC762" s="352"/>
      <c r="AD762" s="352"/>
      <c r="AE762" s="367"/>
    </row>
    <row r="763">
      <c r="A763" s="349"/>
      <c r="B763" s="349"/>
      <c r="C763" s="383"/>
      <c r="D763" s="384"/>
      <c r="E763" s="349"/>
      <c r="F763" s="349"/>
      <c r="G763" s="349"/>
      <c r="H763" s="349"/>
      <c r="I763" s="353"/>
      <c r="J763" s="385"/>
      <c r="K763" s="349"/>
      <c r="L763" s="385"/>
      <c r="M763" s="386"/>
      <c r="N763" s="387"/>
      <c r="O763" s="386"/>
      <c r="P763" s="388"/>
      <c r="Q763" s="389"/>
      <c r="R763" s="388"/>
      <c r="S763" s="349"/>
      <c r="T763" s="387"/>
      <c r="U763" s="349"/>
      <c r="V763" s="349"/>
      <c r="W763" s="349"/>
      <c r="X763" s="349"/>
      <c r="Y763" s="349"/>
      <c r="Z763" s="349"/>
      <c r="AA763" s="349"/>
      <c r="AB763" s="353"/>
      <c r="AC763" s="353"/>
      <c r="AD763" s="353"/>
      <c r="AE763" s="371"/>
    </row>
    <row r="764">
      <c r="A764" s="330"/>
      <c r="B764" s="330"/>
      <c r="C764" s="376"/>
      <c r="D764" s="377"/>
      <c r="E764" s="330"/>
      <c r="F764" s="330"/>
      <c r="G764" s="330"/>
      <c r="H764" s="330"/>
      <c r="I764" s="352"/>
      <c r="J764" s="378"/>
      <c r="K764" s="330"/>
      <c r="L764" s="378"/>
      <c r="M764" s="379"/>
      <c r="N764" s="380"/>
      <c r="O764" s="379"/>
      <c r="P764" s="381"/>
      <c r="Q764" s="382"/>
      <c r="R764" s="381"/>
      <c r="S764" s="330"/>
      <c r="T764" s="380"/>
      <c r="U764" s="330"/>
      <c r="V764" s="330"/>
      <c r="W764" s="330"/>
      <c r="X764" s="330"/>
      <c r="Y764" s="330"/>
      <c r="Z764" s="330"/>
      <c r="AA764" s="330"/>
      <c r="AB764" s="352"/>
      <c r="AC764" s="352"/>
      <c r="AD764" s="352"/>
      <c r="AE764" s="367"/>
    </row>
    <row r="765">
      <c r="A765" s="349"/>
      <c r="B765" s="349"/>
      <c r="C765" s="383"/>
      <c r="D765" s="384"/>
      <c r="E765" s="349"/>
      <c r="F765" s="349"/>
      <c r="G765" s="349"/>
      <c r="H765" s="349"/>
      <c r="I765" s="353"/>
      <c r="J765" s="385"/>
      <c r="K765" s="349"/>
      <c r="L765" s="385"/>
      <c r="M765" s="386"/>
      <c r="N765" s="387"/>
      <c r="O765" s="386"/>
      <c r="P765" s="388"/>
      <c r="Q765" s="389"/>
      <c r="R765" s="388"/>
      <c r="S765" s="349"/>
      <c r="T765" s="387"/>
      <c r="U765" s="349"/>
      <c r="V765" s="349"/>
      <c r="W765" s="349"/>
      <c r="X765" s="349"/>
      <c r="Y765" s="349"/>
      <c r="Z765" s="349"/>
      <c r="AA765" s="349"/>
      <c r="AB765" s="353"/>
      <c r="AC765" s="353"/>
      <c r="AD765" s="353"/>
      <c r="AE765" s="371"/>
    </row>
    <row r="766">
      <c r="A766" s="330"/>
      <c r="B766" s="330"/>
      <c r="C766" s="376"/>
      <c r="D766" s="377"/>
      <c r="E766" s="330"/>
      <c r="F766" s="330"/>
      <c r="G766" s="330"/>
      <c r="H766" s="330"/>
      <c r="I766" s="352"/>
      <c r="J766" s="378"/>
      <c r="K766" s="330"/>
      <c r="L766" s="378"/>
      <c r="M766" s="379"/>
      <c r="N766" s="380"/>
      <c r="O766" s="379"/>
      <c r="P766" s="381"/>
      <c r="Q766" s="382"/>
      <c r="R766" s="381"/>
      <c r="S766" s="330"/>
      <c r="T766" s="380"/>
      <c r="U766" s="330"/>
      <c r="V766" s="330"/>
      <c r="W766" s="330"/>
      <c r="X766" s="330"/>
      <c r="Y766" s="330"/>
      <c r="Z766" s="330"/>
      <c r="AA766" s="330"/>
      <c r="AB766" s="352"/>
      <c r="AC766" s="352"/>
      <c r="AD766" s="352"/>
      <c r="AE766" s="367"/>
    </row>
    <row r="767">
      <c r="A767" s="349"/>
      <c r="B767" s="349"/>
      <c r="C767" s="383"/>
      <c r="D767" s="384"/>
      <c r="E767" s="349"/>
      <c r="F767" s="349"/>
      <c r="G767" s="349"/>
      <c r="H767" s="349"/>
      <c r="I767" s="353"/>
      <c r="J767" s="385"/>
      <c r="K767" s="349"/>
      <c r="L767" s="385"/>
      <c r="M767" s="386"/>
      <c r="N767" s="387"/>
      <c r="O767" s="386"/>
      <c r="P767" s="388"/>
      <c r="Q767" s="389"/>
      <c r="R767" s="388"/>
      <c r="S767" s="349"/>
      <c r="T767" s="387"/>
      <c r="U767" s="349"/>
      <c r="V767" s="349"/>
      <c r="W767" s="349"/>
      <c r="X767" s="349"/>
      <c r="Y767" s="349"/>
      <c r="Z767" s="349"/>
      <c r="AA767" s="349"/>
      <c r="AB767" s="353"/>
      <c r="AC767" s="353"/>
      <c r="AD767" s="353"/>
      <c r="AE767" s="371"/>
    </row>
    <row r="768">
      <c r="A768" s="330"/>
      <c r="B768" s="330"/>
      <c r="C768" s="376"/>
      <c r="D768" s="377"/>
      <c r="E768" s="330"/>
      <c r="F768" s="330"/>
      <c r="G768" s="330"/>
      <c r="H768" s="330"/>
      <c r="I768" s="352"/>
      <c r="J768" s="378"/>
      <c r="K768" s="330"/>
      <c r="L768" s="378"/>
      <c r="M768" s="379"/>
      <c r="N768" s="380"/>
      <c r="O768" s="379"/>
      <c r="P768" s="381"/>
      <c r="Q768" s="382"/>
      <c r="R768" s="381"/>
      <c r="S768" s="330"/>
      <c r="T768" s="380"/>
      <c r="U768" s="330"/>
      <c r="V768" s="330"/>
      <c r="W768" s="330"/>
      <c r="X768" s="330"/>
      <c r="Y768" s="330"/>
      <c r="Z768" s="330"/>
      <c r="AA768" s="330"/>
      <c r="AB768" s="352"/>
      <c r="AC768" s="352"/>
      <c r="AD768" s="352"/>
      <c r="AE768" s="367"/>
    </row>
    <row r="769">
      <c r="A769" s="349"/>
      <c r="B769" s="349"/>
      <c r="C769" s="383"/>
      <c r="D769" s="384"/>
      <c r="E769" s="349"/>
      <c r="F769" s="349"/>
      <c r="G769" s="349"/>
      <c r="H769" s="349"/>
      <c r="I769" s="353"/>
      <c r="J769" s="385"/>
      <c r="K769" s="349"/>
      <c r="L769" s="385"/>
      <c r="M769" s="386"/>
      <c r="N769" s="387"/>
      <c r="O769" s="386"/>
      <c r="P769" s="388"/>
      <c r="Q769" s="389"/>
      <c r="R769" s="388"/>
      <c r="S769" s="349"/>
      <c r="T769" s="387"/>
      <c r="U769" s="349"/>
      <c r="V769" s="349"/>
      <c r="W769" s="349"/>
      <c r="X769" s="349"/>
      <c r="Y769" s="349"/>
      <c r="Z769" s="349"/>
      <c r="AA769" s="349"/>
      <c r="AB769" s="353"/>
      <c r="AC769" s="353"/>
      <c r="AD769" s="353"/>
      <c r="AE769" s="371"/>
    </row>
    <row r="770">
      <c r="A770" s="330"/>
      <c r="B770" s="330"/>
      <c r="C770" s="376"/>
      <c r="D770" s="377"/>
      <c r="E770" s="330"/>
      <c r="F770" s="330"/>
      <c r="G770" s="330"/>
      <c r="H770" s="330"/>
      <c r="I770" s="352"/>
      <c r="J770" s="378"/>
      <c r="K770" s="330"/>
      <c r="L770" s="378"/>
      <c r="M770" s="379"/>
      <c r="N770" s="380"/>
      <c r="O770" s="379"/>
      <c r="P770" s="381"/>
      <c r="Q770" s="382"/>
      <c r="R770" s="381"/>
      <c r="S770" s="330"/>
      <c r="T770" s="380"/>
      <c r="U770" s="330"/>
      <c r="V770" s="330"/>
      <c r="W770" s="330"/>
      <c r="X770" s="330"/>
      <c r="Y770" s="330"/>
      <c r="Z770" s="330"/>
      <c r="AA770" s="330"/>
      <c r="AB770" s="352"/>
      <c r="AC770" s="352"/>
      <c r="AD770" s="352"/>
      <c r="AE770" s="367"/>
    </row>
    <row r="771">
      <c r="A771" s="349"/>
      <c r="B771" s="349"/>
      <c r="C771" s="383"/>
      <c r="D771" s="384"/>
      <c r="E771" s="349"/>
      <c r="F771" s="349"/>
      <c r="G771" s="349"/>
      <c r="H771" s="349"/>
      <c r="I771" s="353"/>
      <c r="J771" s="385"/>
      <c r="K771" s="349"/>
      <c r="L771" s="385"/>
      <c r="M771" s="386"/>
      <c r="N771" s="387"/>
      <c r="O771" s="386"/>
      <c r="P771" s="388"/>
      <c r="Q771" s="389"/>
      <c r="R771" s="388"/>
      <c r="S771" s="349"/>
      <c r="T771" s="387"/>
      <c r="U771" s="349"/>
      <c r="V771" s="349"/>
      <c r="W771" s="349"/>
      <c r="X771" s="349"/>
      <c r="Y771" s="349"/>
      <c r="Z771" s="349"/>
      <c r="AA771" s="349"/>
      <c r="AB771" s="353"/>
      <c r="AC771" s="353"/>
      <c r="AD771" s="353"/>
      <c r="AE771" s="371"/>
    </row>
    <row r="772">
      <c r="A772" s="330"/>
      <c r="B772" s="330"/>
      <c r="C772" s="376"/>
      <c r="D772" s="377"/>
      <c r="E772" s="330"/>
      <c r="F772" s="330"/>
      <c r="G772" s="330"/>
      <c r="H772" s="330"/>
      <c r="I772" s="352"/>
      <c r="J772" s="378"/>
      <c r="K772" s="330"/>
      <c r="L772" s="378"/>
      <c r="M772" s="379"/>
      <c r="N772" s="380"/>
      <c r="O772" s="379"/>
      <c r="P772" s="381"/>
      <c r="Q772" s="382"/>
      <c r="R772" s="381"/>
      <c r="S772" s="330"/>
      <c r="T772" s="380"/>
      <c r="U772" s="330"/>
      <c r="V772" s="330"/>
      <c r="W772" s="330"/>
      <c r="X772" s="330"/>
      <c r="Y772" s="330"/>
      <c r="Z772" s="330"/>
      <c r="AA772" s="330"/>
      <c r="AB772" s="352"/>
      <c r="AC772" s="352"/>
      <c r="AD772" s="352"/>
      <c r="AE772" s="367"/>
    </row>
    <row r="773">
      <c r="A773" s="349"/>
      <c r="B773" s="349"/>
      <c r="C773" s="383"/>
      <c r="D773" s="384"/>
      <c r="E773" s="349"/>
      <c r="F773" s="349"/>
      <c r="G773" s="349"/>
      <c r="H773" s="349"/>
      <c r="I773" s="353"/>
      <c r="J773" s="385"/>
      <c r="K773" s="349"/>
      <c r="L773" s="385"/>
      <c r="M773" s="386"/>
      <c r="N773" s="387"/>
      <c r="O773" s="386"/>
      <c r="P773" s="388"/>
      <c r="Q773" s="389"/>
      <c r="R773" s="388"/>
      <c r="S773" s="349"/>
      <c r="T773" s="387"/>
      <c r="U773" s="349"/>
      <c r="V773" s="349"/>
      <c r="W773" s="349"/>
      <c r="X773" s="349"/>
      <c r="Y773" s="349"/>
      <c r="Z773" s="349"/>
      <c r="AA773" s="349"/>
      <c r="AB773" s="353"/>
      <c r="AC773" s="353"/>
      <c r="AD773" s="353"/>
      <c r="AE773" s="371"/>
    </row>
    <row r="774">
      <c r="A774" s="330"/>
      <c r="B774" s="330"/>
      <c r="C774" s="376"/>
      <c r="D774" s="377"/>
      <c r="E774" s="330"/>
      <c r="F774" s="330"/>
      <c r="G774" s="330"/>
      <c r="H774" s="330"/>
      <c r="I774" s="352"/>
      <c r="J774" s="378"/>
      <c r="K774" s="330"/>
      <c r="L774" s="378"/>
      <c r="M774" s="379"/>
      <c r="N774" s="380"/>
      <c r="O774" s="379"/>
      <c r="P774" s="381"/>
      <c r="Q774" s="382"/>
      <c r="R774" s="381"/>
      <c r="S774" s="330"/>
      <c r="T774" s="380"/>
      <c r="U774" s="330"/>
      <c r="V774" s="330"/>
      <c r="W774" s="330"/>
      <c r="X774" s="330"/>
      <c r="Y774" s="330"/>
      <c r="Z774" s="330"/>
      <c r="AA774" s="330"/>
      <c r="AB774" s="352"/>
      <c r="AC774" s="352"/>
      <c r="AD774" s="352"/>
      <c r="AE774" s="367"/>
    </row>
    <row r="775">
      <c r="A775" s="349"/>
      <c r="B775" s="349"/>
      <c r="C775" s="383"/>
      <c r="D775" s="384"/>
      <c r="E775" s="349"/>
      <c r="F775" s="349"/>
      <c r="G775" s="349"/>
      <c r="H775" s="349"/>
      <c r="I775" s="353"/>
      <c r="J775" s="385"/>
      <c r="K775" s="349"/>
      <c r="L775" s="385"/>
      <c r="M775" s="386"/>
      <c r="N775" s="387"/>
      <c r="O775" s="386"/>
      <c r="P775" s="388"/>
      <c r="Q775" s="389"/>
      <c r="R775" s="388"/>
      <c r="S775" s="349"/>
      <c r="T775" s="387"/>
      <c r="U775" s="349"/>
      <c r="V775" s="349"/>
      <c r="W775" s="349"/>
      <c r="X775" s="349"/>
      <c r="Y775" s="349"/>
      <c r="Z775" s="349"/>
      <c r="AA775" s="349"/>
      <c r="AB775" s="353"/>
      <c r="AC775" s="353"/>
      <c r="AD775" s="353"/>
      <c r="AE775" s="371"/>
    </row>
    <row r="776">
      <c r="A776" s="330"/>
      <c r="B776" s="330"/>
      <c r="C776" s="376"/>
      <c r="D776" s="377"/>
      <c r="E776" s="330"/>
      <c r="F776" s="330"/>
      <c r="G776" s="330"/>
      <c r="H776" s="330"/>
      <c r="I776" s="352"/>
      <c r="J776" s="378"/>
      <c r="K776" s="330"/>
      <c r="L776" s="378"/>
      <c r="M776" s="379"/>
      <c r="N776" s="380"/>
      <c r="O776" s="379"/>
      <c r="P776" s="381"/>
      <c r="Q776" s="382"/>
      <c r="R776" s="381"/>
      <c r="S776" s="330"/>
      <c r="T776" s="380"/>
      <c r="U776" s="330"/>
      <c r="V776" s="330"/>
      <c r="W776" s="330"/>
      <c r="X776" s="330"/>
      <c r="Y776" s="330"/>
      <c r="Z776" s="330"/>
      <c r="AA776" s="330"/>
      <c r="AB776" s="352"/>
      <c r="AC776" s="352"/>
      <c r="AD776" s="352"/>
      <c r="AE776" s="367"/>
    </row>
    <row r="777">
      <c r="A777" s="349"/>
      <c r="B777" s="349"/>
      <c r="C777" s="383"/>
      <c r="D777" s="384"/>
      <c r="E777" s="349"/>
      <c r="F777" s="349"/>
      <c r="G777" s="349"/>
      <c r="H777" s="349"/>
      <c r="I777" s="353"/>
      <c r="J777" s="385"/>
      <c r="K777" s="349"/>
      <c r="L777" s="385"/>
      <c r="M777" s="386"/>
      <c r="N777" s="387"/>
      <c r="O777" s="386"/>
      <c r="P777" s="388"/>
      <c r="Q777" s="389"/>
      <c r="R777" s="388"/>
      <c r="S777" s="349"/>
      <c r="T777" s="387"/>
      <c r="U777" s="349"/>
      <c r="V777" s="349"/>
      <c r="W777" s="349"/>
      <c r="X777" s="349"/>
      <c r="Y777" s="349"/>
      <c r="Z777" s="349"/>
      <c r="AA777" s="349"/>
      <c r="AB777" s="353"/>
      <c r="AC777" s="353"/>
      <c r="AD777" s="353"/>
      <c r="AE777" s="371"/>
    </row>
    <row r="778">
      <c r="A778" s="330"/>
      <c r="B778" s="330"/>
      <c r="C778" s="376"/>
      <c r="D778" s="377"/>
      <c r="E778" s="330"/>
      <c r="F778" s="330"/>
      <c r="G778" s="330"/>
      <c r="H778" s="330"/>
      <c r="I778" s="352"/>
      <c r="J778" s="378"/>
      <c r="K778" s="330"/>
      <c r="L778" s="378"/>
      <c r="M778" s="379"/>
      <c r="N778" s="380"/>
      <c r="O778" s="379"/>
      <c r="P778" s="381"/>
      <c r="Q778" s="382"/>
      <c r="R778" s="381"/>
      <c r="S778" s="330"/>
      <c r="T778" s="380"/>
      <c r="U778" s="330"/>
      <c r="V778" s="330"/>
      <c r="W778" s="330"/>
      <c r="X778" s="330"/>
      <c r="Y778" s="330"/>
      <c r="Z778" s="330"/>
      <c r="AA778" s="330"/>
      <c r="AB778" s="352"/>
      <c r="AC778" s="352"/>
      <c r="AD778" s="352"/>
      <c r="AE778" s="367"/>
    </row>
    <row r="779">
      <c r="A779" s="349"/>
      <c r="B779" s="349"/>
      <c r="C779" s="383"/>
      <c r="D779" s="384"/>
      <c r="E779" s="349"/>
      <c r="F779" s="349"/>
      <c r="G779" s="349"/>
      <c r="H779" s="349"/>
      <c r="I779" s="353"/>
      <c r="J779" s="385"/>
      <c r="K779" s="349"/>
      <c r="L779" s="385"/>
      <c r="M779" s="386"/>
      <c r="N779" s="387"/>
      <c r="O779" s="386"/>
      <c r="P779" s="388"/>
      <c r="Q779" s="389"/>
      <c r="R779" s="388"/>
      <c r="S779" s="349"/>
      <c r="T779" s="387"/>
      <c r="U779" s="349"/>
      <c r="V779" s="349"/>
      <c r="W779" s="349"/>
      <c r="X779" s="349"/>
      <c r="Y779" s="349"/>
      <c r="Z779" s="349"/>
      <c r="AA779" s="349"/>
      <c r="AB779" s="353"/>
      <c r="AC779" s="353"/>
      <c r="AD779" s="353"/>
      <c r="AE779" s="371"/>
    </row>
    <row r="780">
      <c r="A780" s="330"/>
      <c r="B780" s="330"/>
      <c r="C780" s="376"/>
      <c r="D780" s="377"/>
      <c r="E780" s="330"/>
      <c r="F780" s="330"/>
      <c r="G780" s="330"/>
      <c r="H780" s="330"/>
      <c r="I780" s="352"/>
      <c r="J780" s="378"/>
      <c r="K780" s="330"/>
      <c r="L780" s="378"/>
      <c r="M780" s="379"/>
      <c r="N780" s="380"/>
      <c r="O780" s="379"/>
      <c r="P780" s="381"/>
      <c r="Q780" s="382"/>
      <c r="R780" s="381"/>
      <c r="S780" s="330"/>
      <c r="T780" s="380"/>
      <c r="U780" s="330"/>
      <c r="V780" s="330"/>
      <c r="W780" s="330"/>
      <c r="X780" s="330"/>
      <c r="Y780" s="330"/>
      <c r="Z780" s="330"/>
      <c r="AA780" s="330"/>
      <c r="AB780" s="352"/>
      <c r="AC780" s="352"/>
      <c r="AD780" s="352"/>
      <c r="AE780" s="367"/>
    </row>
    <row r="781">
      <c r="A781" s="349"/>
      <c r="B781" s="349"/>
      <c r="C781" s="383"/>
      <c r="D781" s="384"/>
      <c r="E781" s="349"/>
      <c r="F781" s="349"/>
      <c r="G781" s="349"/>
      <c r="H781" s="349"/>
      <c r="I781" s="353"/>
      <c r="J781" s="385"/>
      <c r="K781" s="349"/>
      <c r="L781" s="385"/>
      <c r="M781" s="386"/>
      <c r="N781" s="387"/>
      <c r="O781" s="386"/>
      <c r="P781" s="388"/>
      <c r="Q781" s="389"/>
      <c r="R781" s="388"/>
      <c r="S781" s="349"/>
      <c r="T781" s="387"/>
      <c r="U781" s="349"/>
      <c r="V781" s="349"/>
      <c r="W781" s="349"/>
      <c r="X781" s="349"/>
      <c r="Y781" s="349"/>
      <c r="Z781" s="349"/>
      <c r="AA781" s="349"/>
      <c r="AB781" s="353"/>
      <c r="AC781" s="353"/>
      <c r="AD781" s="353"/>
      <c r="AE781" s="371"/>
    </row>
    <row r="782">
      <c r="A782" s="330"/>
      <c r="B782" s="330"/>
      <c r="C782" s="376"/>
      <c r="D782" s="377"/>
      <c r="E782" s="330"/>
      <c r="F782" s="330"/>
      <c r="G782" s="330"/>
      <c r="H782" s="330"/>
      <c r="I782" s="352"/>
      <c r="J782" s="378"/>
      <c r="K782" s="330"/>
      <c r="L782" s="378"/>
      <c r="M782" s="379"/>
      <c r="N782" s="380"/>
      <c r="O782" s="379"/>
      <c r="P782" s="381"/>
      <c r="Q782" s="382"/>
      <c r="R782" s="381"/>
      <c r="S782" s="330"/>
      <c r="T782" s="380"/>
      <c r="U782" s="330"/>
      <c r="V782" s="330"/>
      <c r="W782" s="330"/>
      <c r="X782" s="330"/>
      <c r="Y782" s="330"/>
      <c r="Z782" s="330"/>
      <c r="AA782" s="330"/>
      <c r="AB782" s="352"/>
      <c r="AC782" s="352"/>
      <c r="AD782" s="352"/>
      <c r="AE782" s="367"/>
    </row>
    <row r="783">
      <c r="A783" s="349"/>
      <c r="B783" s="349"/>
      <c r="C783" s="383"/>
      <c r="D783" s="384"/>
      <c r="E783" s="349"/>
      <c r="F783" s="349"/>
      <c r="G783" s="349"/>
      <c r="H783" s="349"/>
      <c r="I783" s="353"/>
      <c r="J783" s="385"/>
      <c r="K783" s="349"/>
      <c r="L783" s="385"/>
      <c r="M783" s="386"/>
      <c r="N783" s="387"/>
      <c r="O783" s="386"/>
      <c r="P783" s="388"/>
      <c r="Q783" s="389"/>
      <c r="R783" s="388"/>
      <c r="S783" s="349"/>
      <c r="T783" s="387"/>
      <c r="U783" s="349"/>
      <c r="V783" s="349"/>
      <c r="W783" s="349"/>
      <c r="X783" s="349"/>
      <c r="Y783" s="349"/>
      <c r="Z783" s="349"/>
      <c r="AA783" s="349"/>
      <c r="AB783" s="353"/>
      <c r="AC783" s="353"/>
      <c r="AD783" s="353"/>
      <c r="AE783" s="371"/>
    </row>
    <row r="784">
      <c r="A784" s="330"/>
      <c r="B784" s="330"/>
      <c r="C784" s="376"/>
      <c r="D784" s="377"/>
      <c r="E784" s="330"/>
      <c r="F784" s="330"/>
      <c r="G784" s="330"/>
      <c r="H784" s="330"/>
      <c r="I784" s="352"/>
      <c r="J784" s="378"/>
      <c r="K784" s="330"/>
      <c r="L784" s="378"/>
      <c r="M784" s="379"/>
      <c r="N784" s="380"/>
      <c r="O784" s="379"/>
      <c r="P784" s="381"/>
      <c r="Q784" s="382"/>
      <c r="R784" s="381"/>
      <c r="S784" s="330"/>
      <c r="T784" s="380"/>
      <c r="U784" s="330"/>
      <c r="V784" s="330"/>
      <c r="W784" s="330"/>
      <c r="X784" s="330"/>
      <c r="Y784" s="330"/>
      <c r="Z784" s="330"/>
      <c r="AA784" s="330"/>
      <c r="AB784" s="352"/>
      <c r="AC784" s="352"/>
      <c r="AD784" s="352"/>
      <c r="AE784" s="367"/>
    </row>
    <row r="785">
      <c r="A785" s="349"/>
      <c r="B785" s="349"/>
      <c r="C785" s="383"/>
      <c r="D785" s="384"/>
      <c r="E785" s="349"/>
      <c r="F785" s="349"/>
      <c r="G785" s="349"/>
      <c r="H785" s="349"/>
      <c r="I785" s="353"/>
      <c r="J785" s="385"/>
      <c r="K785" s="349"/>
      <c r="L785" s="385"/>
      <c r="M785" s="386"/>
      <c r="N785" s="387"/>
      <c r="O785" s="386"/>
      <c r="P785" s="388"/>
      <c r="Q785" s="389"/>
      <c r="R785" s="388"/>
      <c r="S785" s="349"/>
      <c r="T785" s="387"/>
      <c r="U785" s="349"/>
      <c r="V785" s="349"/>
      <c r="W785" s="349"/>
      <c r="X785" s="349"/>
      <c r="Y785" s="349"/>
      <c r="Z785" s="349"/>
      <c r="AA785" s="349"/>
      <c r="AB785" s="353"/>
      <c r="AC785" s="353"/>
      <c r="AD785" s="353"/>
      <c r="AE785" s="371"/>
    </row>
    <row r="786">
      <c r="A786" s="330"/>
      <c r="B786" s="330"/>
      <c r="C786" s="376"/>
      <c r="D786" s="377"/>
      <c r="E786" s="330"/>
      <c r="F786" s="330"/>
      <c r="G786" s="330"/>
      <c r="H786" s="330"/>
      <c r="I786" s="352"/>
      <c r="J786" s="378"/>
      <c r="K786" s="330"/>
      <c r="L786" s="378"/>
      <c r="M786" s="379"/>
      <c r="N786" s="380"/>
      <c r="O786" s="379"/>
      <c r="P786" s="381"/>
      <c r="Q786" s="382"/>
      <c r="R786" s="381"/>
      <c r="S786" s="330"/>
      <c r="T786" s="380"/>
      <c r="U786" s="330"/>
      <c r="V786" s="330"/>
      <c r="W786" s="330"/>
      <c r="X786" s="330"/>
      <c r="Y786" s="330"/>
      <c r="Z786" s="330"/>
      <c r="AA786" s="330"/>
      <c r="AB786" s="352"/>
      <c r="AC786" s="352"/>
      <c r="AD786" s="352"/>
      <c r="AE786" s="367"/>
    </row>
    <row r="787">
      <c r="A787" s="349"/>
      <c r="B787" s="349"/>
      <c r="C787" s="383"/>
      <c r="D787" s="384"/>
      <c r="E787" s="349"/>
      <c r="F787" s="349"/>
      <c r="G787" s="349"/>
      <c r="H787" s="349"/>
      <c r="I787" s="353"/>
      <c r="J787" s="385"/>
      <c r="K787" s="349"/>
      <c r="L787" s="385"/>
      <c r="M787" s="386"/>
      <c r="N787" s="387"/>
      <c r="O787" s="386"/>
      <c r="P787" s="388"/>
      <c r="Q787" s="389"/>
      <c r="R787" s="388"/>
      <c r="S787" s="349"/>
      <c r="T787" s="387"/>
      <c r="U787" s="349"/>
      <c r="V787" s="349"/>
      <c r="W787" s="349"/>
      <c r="X787" s="349"/>
      <c r="Y787" s="349"/>
      <c r="Z787" s="349"/>
      <c r="AA787" s="349"/>
      <c r="AB787" s="353"/>
      <c r="AC787" s="353"/>
      <c r="AD787" s="353"/>
      <c r="AE787" s="371"/>
    </row>
    <row r="788">
      <c r="A788" s="330"/>
      <c r="B788" s="330"/>
      <c r="C788" s="376"/>
      <c r="D788" s="377"/>
      <c r="E788" s="330"/>
      <c r="F788" s="330"/>
      <c r="G788" s="330"/>
      <c r="H788" s="330"/>
      <c r="I788" s="352"/>
      <c r="J788" s="378"/>
      <c r="K788" s="330"/>
      <c r="L788" s="378"/>
      <c r="M788" s="379"/>
      <c r="N788" s="380"/>
      <c r="O788" s="379"/>
      <c r="P788" s="381"/>
      <c r="Q788" s="382"/>
      <c r="R788" s="381"/>
      <c r="S788" s="330"/>
      <c r="T788" s="380"/>
      <c r="U788" s="330"/>
      <c r="V788" s="330"/>
      <c r="W788" s="330"/>
      <c r="X788" s="330"/>
      <c r="Y788" s="330"/>
      <c r="Z788" s="330"/>
      <c r="AA788" s="330"/>
      <c r="AB788" s="352"/>
      <c r="AC788" s="352"/>
      <c r="AD788" s="352"/>
      <c r="AE788" s="367"/>
    </row>
    <row r="789">
      <c r="A789" s="349"/>
      <c r="B789" s="349"/>
      <c r="C789" s="383"/>
      <c r="D789" s="384"/>
      <c r="E789" s="349"/>
      <c r="F789" s="349"/>
      <c r="G789" s="349"/>
      <c r="H789" s="349"/>
      <c r="I789" s="353"/>
      <c r="J789" s="385"/>
      <c r="K789" s="349"/>
      <c r="L789" s="385"/>
      <c r="M789" s="386"/>
      <c r="N789" s="387"/>
      <c r="O789" s="386"/>
      <c r="P789" s="388"/>
      <c r="Q789" s="389"/>
      <c r="R789" s="388"/>
      <c r="S789" s="349"/>
      <c r="T789" s="387"/>
      <c r="U789" s="349"/>
      <c r="V789" s="349"/>
      <c r="W789" s="349"/>
      <c r="X789" s="349"/>
      <c r="Y789" s="349"/>
      <c r="Z789" s="349"/>
      <c r="AA789" s="349"/>
      <c r="AB789" s="353"/>
      <c r="AC789" s="353"/>
      <c r="AD789" s="353"/>
      <c r="AE789" s="371"/>
    </row>
    <row r="790">
      <c r="A790" s="330"/>
      <c r="B790" s="330"/>
      <c r="C790" s="376"/>
      <c r="D790" s="377"/>
      <c r="E790" s="330"/>
      <c r="F790" s="330"/>
      <c r="G790" s="330"/>
      <c r="H790" s="330"/>
      <c r="I790" s="352"/>
      <c r="J790" s="378"/>
      <c r="K790" s="330"/>
      <c r="L790" s="378"/>
      <c r="M790" s="379"/>
      <c r="N790" s="380"/>
      <c r="O790" s="379"/>
      <c r="P790" s="381"/>
      <c r="Q790" s="382"/>
      <c r="R790" s="381"/>
      <c r="S790" s="330"/>
      <c r="T790" s="380"/>
      <c r="U790" s="330"/>
      <c r="V790" s="330"/>
      <c r="W790" s="330"/>
      <c r="X790" s="330"/>
      <c r="Y790" s="330"/>
      <c r="Z790" s="330"/>
      <c r="AA790" s="330"/>
      <c r="AB790" s="352"/>
      <c r="AC790" s="352"/>
      <c r="AD790" s="352"/>
      <c r="AE790" s="367"/>
    </row>
    <row r="791">
      <c r="A791" s="349"/>
      <c r="B791" s="349"/>
      <c r="C791" s="383"/>
      <c r="D791" s="384"/>
      <c r="E791" s="349"/>
      <c r="F791" s="349"/>
      <c r="G791" s="349"/>
      <c r="H791" s="349"/>
      <c r="I791" s="353"/>
      <c r="J791" s="385"/>
      <c r="K791" s="349"/>
      <c r="L791" s="385"/>
      <c r="M791" s="386"/>
      <c r="N791" s="387"/>
      <c r="O791" s="386"/>
      <c r="P791" s="388"/>
      <c r="Q791" s="389"/>
      <c r="R791" s="388"/>
      <c r="S791" s="349"/>
      <c r="T791" s="387"/>
      <c r="U791" s="349"/>
      <c r="V791" s="349"/>
      <c r="W791" s="349"/>
      <c r="X791" s="349"/>
      <c r="Y791" s="349"/>
      <c r="Z791" s="349"/>
      <c r="AA791" s="349"/>
      <c r="AB791" s="353"/>
      <c r="AC791" s="353"/>
      <c r="AD791" s="353"/>
      <c r="AE791" s="371"/>
    </row>
    <row r="792">
      <c r="A792" s="330"/>
      <c r="B792" s="330"/>
      <c r="C792" s="376"/>
      <c r="D792" s="377"/>
      <c r="E792" s="330"/>
      <c r="F792" s="330"/>
      <c r="G792" s="330"/>
      <c r="H792" s="330"/>
      <c r="I792" s="352"/>
      <c r="J792" s="378"/>
      <c r="K792" s="330"/>
      <c r="L792" s="378"/>
      <c r="M792" s="379"/>
      <c r="N792" s="380"/>
      <c r="O792" s="379"/>
      <c r="P792" s="381"/>
      <c r="Q792" s="382"/>
      <c r="R792" s="381"/>
      <c r="S792" s="330"/>
      <c r="T792" s="380"/>
      <c r="U792" s="330"/>
      <c r="V792" s="330"/>
      <c r="W792" s="330"/>
      <c r="X792" s="330"/>
      <c r="Y792" s="330"/>
      <c r="Z792" s="330"/>
      <c r="AA792" s="330"/>
      <c r="AB792" s="352"/>
      <c r="AC792" s="352"/>
      <c r="AD792" s="352"/>
      <c r="AE792" s="367"/>
    </row>
    <row r="793">
      <c r="A793" s="349"/>
      <c r="B793" s="349"/>
      <c r="C793" s="383"/>
      <c r="D793" s="384"/>
      <c r="E793" s="349"/>
      <c r="F793" s="349"/>
      <c r="G793" s="349"/>
      <c r="H793" s="349"/>
      <c r="I793" s="353"/>
      <c r="J793" s="385"/>
      <c r="K793" s="349"/>
      <c r="L793" s="385"/>
      <c r="M793" s="386"/>
      <c r="N793" s="387"/>
      <c r="O793" s="386"/>
      <c r="P793" s="388"/>
      <c r="Q793" s="389"/>
      <c r="R793" s="388"/>
      <c r="S793" s="349"/>
      <c r="T793" s="387"/>
      <c r="U793" s="349"/>
      <c r="V793" s="349"/>
      <c r="W793" s="349"/>
      <c r="X793" s="349"/>
      <c r="Y793" s="349"/>
      <c r="Z793" s="349"/>
      <c r="AA793" s="349"/>
      <c r="AB793" s="353"/>
      <c r="AC793" s="353"/>
      <c r="AD793" s="353"/>
      <c r="AE793" s="371"/>
    </row>
    <row r="794">
      <c r="A794" s="330"/>
      <c r="B794" s="330"/>
      <c r="C794" s="376"/>
      <c r="D794" s="377"/>
      <c r="E794" s="330"/>
      <c r="F794" s="330"/>
      <c r="G794" s="330"/>
      <c r="H794" s="330"/>
      <c r="I794" s="352"/>
      <c r="J794" s="378"/>
      <c r="K794" s="330"/>
      <c r="L794" s="378"/>
      <c r="M794" s="379"/>
      <c r="N794" s="380"/>
      <c r="O794" s="379"/>
      <c r="P794" s="381"/>
      <c r="Q794" s="382"/>
      <c r="R794" s="381"/>
      <c r="S794" s="330"/>
      <c r="T794" s="380"/>
      <c r="U794" s="330"/>
      <c r="V794" s="330"/>
      <c r="W794" s="330"/>
      <c r="X794" s="330"/>
      <c r="Y794" s="330"/>
      <c r="Z794" s="330"/>
      <c r="AA794" s="330"/>
      <c r="AB794" s="352"/>
      <c r="AC794" s="352"/>
      <c r="AD794" s="352"/>
      <c r="AE794" s="367"/>
    </row>
    <row r="795">
      <c r="A795" s="349"/>
      <c r="B795" s="349"/>
      <c r="C795" s="383"/>
      <c r="D795" s="384"/>
      <c r="E795" s="349"/>
      <c r="F795" s="349"/>
      <c r="G795" s="349"/>
      <c r="H795" s="349"/>
      <c r="I795" s="353"/>
      <c r="J795" s="385"/>
      <c r="K795" s="349"/>
      <c r="L795" s="385"/>
      <c r="M795" s="386"/>
      <c r="N795" s="387"/>
      <c r="O795" s="386"/>
      <c r="P795" s="388"/>
      <c r="Q795" s="389"/>
      <c r="R795" s="388"/>
      <c r="S795" s="349"/>
      <c r="T795" s="387"/>
      <c r="U795" s="349"/>
      <c r="V795" s="349"/>
      <c r="W795" s="349"/>
      <c r="X795" s="349"/>
      <c r="Y795" s="349"/>
      <c r="Z795" s="349"/>
      <c r="AA795" s="349"/>
      <c r="AB795" s="353"/>
      <c r="AC795" s="353"/>
      <c r="AD795" s="353"/>
      <c r="AE795" s="371"/>
    </row>
    <row r="796">
      <c r="A796" s="330"/>
      <c r="B796" s="330"/>
      <c r="C796" s="376"/>
      <c r="D796" s="377"/>
      <c r="E796" s="330"/>
      <c r="F796" s="330"/>
      <c r="G796" s="330"/>
      <c r="H796" s="330"/>
      <c r="I796" s="352"/>
      <c r="J796" s="378"/>
      <c r="K796" s="330"/>
      <c r="L796" s="378"/>
      <c r="M796" s="379"/>
      <c r="N796" s="380"/>
      <c r="O796" s="379"/>
      <c r="P796" s="381"/>
      <c r="Q796" s="382"/>
      <c r="R796" s="381"/>
      <c r="S796" s="330"/>
      <c r="T796" s="380"/>
      <c r="U796" s="330"/>
      <c r="V796" s="330"/>
      <c r="W796" s="330"/>
      <c r="X796" s="330"/>
      <c r="Y796" s="330"/>
      <c r="Z796" s="330"/>
      <c r="AA796" s="330"/>
      <c r="AB796" s="352"/>
      <c r="AC796" s="352"/>
      <c r="AD796" s="352"/>
      <c r="AE796" s="367"/>
    </row>
    <row r="797">
      <c r="A797" s="349"/>
      <c r="B797" s="349"/>
      <c r="C797" s="383"/>
      <c r="D797" s="384"/>
      <c r="E797" s="349"/>
      <c r="F797" s="349"/>
      <c r="G797" s="349"/>
      <c r="H797" s="349"/>
      <c r="I797" s="353"/>
      <c r="J797" s="385"/>
      <c r="K797" s="349"/>
      <c r="L797" s="385"/>
      <c r="M797" s="386"/>
      <c r="N797" s="387"/>
      <c r="O797" s="386"/>
      <c r="P797" s="388"/>
      <c r="Q797" s="389"/>
      <c r="R797" s="388"/>
      <c r="S797" s="349"/>
      <c r="T797" s="387"/>
      <c r="U797" s="349"/>
      <c r="V797" s="349"/>
      <c r="W797" s="349"/>
      <c r="X797" s="349"/>
      <c r="Y797" s="349"/>
      <c r="Z797" s="349"/>
      <c r="AA797" s="349"/>
      <c r="AB797" s="353"/>
      <c r="AC797" s="353"/>
      <c r="AD797" s="353"/>
      <c r="AE797" s="371"/>
    </row>
    <row r="798">
      <c r="A798" s="330"/>
      <c r="B798" s="330"/>
      <c r="C798" s="376"/>
      <c r="D798" s="377"/>
      <c r="E798" s="330"/>
      <c r="F798" s="330"/>
      <c r="G798" s="330"/>
      <c r="H798" s="330"/>
      <c r="I798" s="352"/>
      <c r="J798" s="378"/>
      <c r="K798" s="330"/>
      <c r="L798" s="378"/>
      <c r="M798" s="379"/>
      <c r="N798" s="380"/>
      <c r="O798" s="379"/>
      <c r="P798" s="381"/>
      <c r="Q798" s="382"/>
      <c r="R798" s="381"/>
      <c r="S798" s="330"/>
      <c r="T798" s="380"/>
      <c r="U798" s="330"/>
      <c r="V798" s="330"/>
      <c r="W798" s="330"/>
      <c r="X798" s="330"/>
      <c r="Y798" s="330"/>
      <c r="Z798" s="330"/>
      <c r="AA798" s="330"/>
      <c r="AB798" s="352"/>
      <c r="AC798" s="352"/>
      <c r="AD798" s="352"/>
      <c r="AE798" s="367"/>
    </row>
    <row r="799">
      <c r="A799" s="349"/>
      <c r="B799" s="349"/>
      <c r="C799" s="383"/>
      <c r="D799" s="384"/>
      <c r="E799" s="349"/>
      <c r="F799" s="349"/>
      <c r="G799" s="349"/>
      <c r="H799" s="349"/>
      <c r="I799" s="353"/>
      <c r="J799" s="385"/>
      <c r="K799" s="349"/>
      <c r="L799" s="385"/>
      <c r="M799" s="386"/>
      <c r="N799" s="387"/>
      <c r="O799" s="386"/>
      <c r="P799" s="388"/>
      <c r="Q799" s="389"/>
      <c r="R799" s="388"/>
      <c r="S799" s="349"/>
      <c r="T799" s="387"/>
      <c r="U799" s="349"/>
      <c r="V799" s="349"/>
      <c r="W799" s="349"/>
      <c r="X799" s="349"/>
      <c r="Y799" s="349"/>
      <c r="Z799" s="349"/>
      <c r="AA799" s="349"/>
      <c r="AB799" s="353"/>
      <c r="AC799" s="353"/>
      <c r="AD799" s="353"/>
      <c r="AE799" s="371"/>
    </row>
    <row r="800">
      <c r="A800" s="330"/>
      <c r="B800" s="330"/>
      <c r="C800" s="376"/>
      <c r="D800" s="377"/>
      <c r="E800" s="330"/>
      <c r="F800" s="330"/>
      <c r="G800" s="330"/>
      <c r="H800" s="330"/>
      <c r="I800" s="352"/>
      <c r="J800" s="378"/>
      <c r="K800" s="330"/>
      <c r="L800" s="378"/>
      <c r="M800" s="379"/>
      <c r="N800" s="380"/>
      <c r="O800" s="379"/>
      <c r="P800" s="381"/>
      <c r="Q800" s="382"/>
      <c r="R800" s="381"/>
      <c r="S800" s="330"/>
      <c r="T800" s="380"/>
      <c r="U800" s="330"/>
      <c r="V800" s="330"/>
      <c r="W800" s="330"/>
      <c r="X800" s="330"/>
      <c r="Y800" s="330"/>
      <c r="Z800" s="330"/>
      <c r="AA800" s="330"/>
      <c r="AB800" s="352"/>
      <c r="AC800" s="352"/>
      <c r="AD800" s="352"/>
      <c r="AE800" s="367"/>
    </row>
    <row r="801">
      <c r="A801" s="349"/>
      <c r="B801" s="349"/>
      <c r="C801" s="383"/>
      <c r="D801" s="384"/>
      <c r="E801" s="349"/>
      <c r="F801" s="349"/>
      <c r="G801" s="349"/>
      <c r="H801" s="349"/>
      <c r="I801" s="353"/>
      <c r="J801" s="385"/>
      <c r="K801" s="349"/>
      <c r="L801" s="385"/>
      <c r="M801" s="386"/>
      <c r="N801" s="387"/>
      <c r="O801" s="386"/>
      <c r="P801" s="388"/>
      <c r="Q801" s="389"/>
      <c r="R801" s="388"/>
      <c r="S801" s="349"/>
      <c r="T801" s="387"/>
      <c r="U801" s="349"/>
      <c r="V801" s="349"/>
      <c r="W801" s="349"/>
      <c r="X801" s="349"/>
      <c r="Y801" s="349"/>
      <c r="Z801" s="349"/>
      <c r="AA801" s="349"/>
      <c r="AB801" s="353"/>
      <c r="AC801" s="353"/>
      <c r="AD801" s="353"/>
      <c r="AE801" s="371"/>
    </row>
    <row r="802">
      <c r="A802" s="330"/>
      <c r="B802" s="330"/>
      <c r="C802" s="376"/>
      <c r="D802" s="377"/>
      <c r="E802" s="330"/>
      <c r="F802" s="330"/>
      <c r="G802" s="330"/>
      <c r="H802" s="330"/>
      <c r="I802" s="352"/>
      <c r="J802" s="378"/>
      <c r="K802" s="330"/>
      <c r="L802" s="378"/>
      <c r="M802" s="379"/>
      <c r="N802" s="380"/>
      <c r="O802" s="379"/>
      <c r="P802" s="381"/>
      <c r="Q802" s="382"/>
      <c r="R802" s="381"/>
      <c r="S802" s="330"/>
      <c r="T802" s="380"/>
      <c r="U802" s="330"/>
      <c r="V802" s="330"/>
      <c r="W802" s="330"/>
      <c r="X802" s="330"/>
      <c r="Y802" s="330"/>
      <c r="Z802" s="330"/>
      <c r="AA802" s="330"/>
      <c r="AB802" s="352"/>
      <c r="AC802" s="352"/>
      <c r="AD802" s="352"/>
      <c r="AE802" s="367"/>
    </row>
    <row r="803">
      <c r="A803" s="349"/>
      <c r="B803" s="349"/>
      <c r="C803" s="383"/>
      <c r="D803" s="384"/>
      <c r="E803" s="349"/>
      <c r="F803" s="349"/>
      <c r="G803" s="349"/>
      <c r="H803" s="349"/>
      <c r="I803" s="353"/>
      <c r="J803" s="385"/>
      <c r="K803" s="349"/>
      <c r="L803" s="385"/>
      <c r="M803" s="386"/>
      <c r="N803" s="387"/>
      <c r="O803" s="386"/>
      <c r="P803" s="388"/>
      <c r="Q803" s="389"/>
      <c r="R803" s="388"/>
      <c r="S803" s="349"/>
      <c r="T803" s="387"/>
      <c r="U803" s="349"/>
      <c r="V803" s="349"/>
      <c r="W803" s="349"/>
      <c r="X803" s="349"/>
      <c r="Y803" s="349"/>
      <c r="Z803" s="349"/>
      <c r="AA803" s="349"/>
      <c r="AB803" s="353"/>
      <c r="AC803" s="353"/>
      <c r="AD803" s="353"/>
      <c r="AE803" s="371"/>
    </row>
    <row r="804">
      <c r="A804" s="330"/>
      <c r="B804" s="330"/>
      <c r="C804" s="376"/>
      <c r="D804" s="377"/>
      <c r="E804" s="330"/>
      <c r="F804" s="330"/>
      <c r="G804" s="330"/>
      <c r="H804" s="330"/>
      <c r="I804" s="352"/>
      <c r="J804" s="378"/>
      <c r="K804" s="330"/>
      <c r="L804" s="378"/>
      <c r="M804" s="379"/>
      <c r="N804" s="380"/>
      <c r="O804" s="379"/>
      <c r="P804" s="381"/>
      <c r="Q804" s="382"/>
      <c r="R804" s="381"/>
      <c r="S804" s="330"/>
      <c r="T804" s="380"/>
      <c r="U804" s="330"/>
      <c r="V804" s="330"/>
      <c r="W804" s="330"/>
      <c r="X804" s="330"/>
      <c r="Y804" s="330"/>
      <c r="Z804" s="330"/>
      <c r="AA804" s="330"/>
      <c r="AB804" s="352"/>
      <c r="AC804" s="352"/>
      <c r="AD804" s="352"/>
      <c r="AE804" s="367"/>
    </row>
    <row r="805">
      <c r="A805" s="349"/>
      <c r="B805" s="349"/>
      <c r="C805" s="383"/>
      <c r="D805" s="384"/>
      <c r="E805" s="349"/>
      <c r="F805" s="349"/>
      <c r="G805" s="349"/>
      <c r="H805" s="349"/>
      <c r="I805" s="353"/>
      <c r="J805" s="385"/>
      <c r="K805" s="349"/>
      <c r="L805" s="385"/>
      <c r="M805" s="386"/>
      <c r="N805" s="387"/>
      <c r="O805" s="386"/>
      <c r="P805" s="388"/>
      <c r="Q805" s="389"/>
      <c r="R805" s="388"/>
      <c r="S805" s="349"/>
      <c r="T805" s="387"/>
      <c r="U805" s="349"/>
      <c r="V805" s="349"/>
      <c r="W805" s="349"/>
      <c r="X805" s="349"/>
      <c r="Y805" s="349"/>
      <c r="Z805" s="349"/>
      <c r="AA805" s="349"/>
      <c r="AB805" s="353"/>
      <c r="AC805" s="353"/>
      <c r="AD805" s="353"/>
      <c r="AE805" s="371"/>
    </row>
    <row r="806">
      <c r="A806" s="330"/>
      <c r="B806" s="330"/>
      <c r="C806" s="376"/>
      <c r="D806" s="377"/>
      <c r="E806" s="330"/>
      <c r="F806" s="330"/>
      <c r="G806" s="330"/>
      <c r="H806" s="330"/>
      <c r="I806" s="352"/>
      <c r="J806" s="378"/>
      <c r="K806" s="330"/>
      <c r="L806" s="378"/>
      <c r="M806" s="379"/>
      <c r="N806" s="380"/>
      <c r="O806" s="379"/>
      <c r="P806" s="381"/>
      <c r="Q806" s="382"/>
      <c r="R806" s="381"/>
      <c r="S806" s="330"/>
      <c r="T806" s="380"/>
      <c r="U806" s="330"/>
      <c r="V806" s="330"/>
      <c r="W806" s="330"/>
      <c r="X806" s="330"/>
      <c r="Y806" s="330"/>
      <c r="Z806" s="330"/>
      <c r="AA806" s="330"/>
      <c r="AB806" s="352"/>
      <c r="AC806" s="352"/>
      <c r="AD806" s="352"/>
      <c r="AE806" s="367"/>
    </row>
    <row r="807">
      <c r="A807" s="349"/>
      <c r="B807" s="349"/>
      <c r="C807" s="383"/>
      <c r="D807" s="384"/>
      <c r="E807" s="349"/>
      <c r="F807" s="349"/>
      <c r="G807" s="349"/>
      <c r="H807" s="349"/>
      <c r="I807" s="353"/>
      <c r="J807" s="385"/>
      <c r="K807" s="349"/>
      <c r="L807" s="385"/>
      <c r="M807" s="386"/>
      <c r="N807" s="387"/>
      <c r="O807" s="386"/>
      <c r="P807" s="388"/>
      <c r="Q807" s="389"/>
      <c r="R807" s="388"/>
      <c r="S807" s="349"/>
      <c r="T807" s="387"/>
      <c r="U807" s="349"/>
      <c r="V807" s="349"/>
      <c r="W807" s="349"/>
      <c r="X807" s="349"/>
      <c r="Y807" s="349"/>
      <c r="Z807" s="349"/>
      <c r="AA807" s="349"/>
      <c r="AB807" s="353"/>
      <c r="AC807" s="353"/>
      <c r="AD807" s="353"/>
      <c r="AE807" s="371"/>
    </row>
    <row r="808">
      <c r="A808" s="330"/>
      <c r="B808" s="330"/>
      <c r="C808" s="376"/>
      <c r="D808" s="377"/>
      <c r="E808" s="330"/>
      <c r="F808" s="330"/>
      <c r="G808" s="330"/>
      <c r="H808" s="330"/>
      <c r="I808" s="352"/>
      <c r="J808" s="378"/>
      <c r="K808" s="330"/>
      <c r="L808" s="378"/>
      <c r="M808" s="379"/>
      <c r="N808" s="380"/>
      <c r="O808" s="379"/>
      <c r="P808" s="381"/>
      <c r="Q808" s="382"/>
      <c r="R808" s="381"/>
      <c r="S808" s="330"/>
      <c r="T808" s="380"/>
      <c r="U808" s="330"/>
      <c r="V808" s="330"/>
      <c r="W808" s="330"/>
      <c r="X808" s="330"/>
      <c r="Y808" s="330"/>
      <c r="Z808" s="330"/>
      <c r="AA808" s="330"/>
      <c r="AB808" s="352"/>
      <c r="AC808" s="352"/>
      <c r="AD808" s="352"/>
      <c r="AE808" s="367"/>
    </row>
    <row r="809">
      <c r="A809" s="349"/>
      <c r="B809" s="349"/>
      <c r="C809" s="383"/>
      <c r="D809" s="384"/>
      <c r="E809" s="349"/>
      <c r="F809" s="349"/>
      <c r="G809" s="349"/>
      <c r="H809" s="349"/>
      <c r="I809" s="353"/>
      <c r="J809" s="385"/>
      <c r="K809" s="349"/>
      <c r="L809" s="385"/>
      <c r="M809" s="386"/>
      <c r="N809" s="387"/>
      <c r="O809" s="386"/>
      <c r="P809" s="388"/>
      <c r="Q809" s="389"/>
      <c r="R809" s="388"/>
      <c r="S809" s="349"/>
      <c r="T809" s="387"/>
      <c r="U809" s="349"/>
      <c r="V809" s="349"/>
      <c r="W809" s="349"/>
      <c r="X809" s="349"/>
      <c r="Y809" s="349"/>
      <c r="Z809" s="349"/>
      <c r="AA809" s="349"/>
      <c r="AB809" s="353"/>
      <c r="AC809" s="353"/>
      <c r="AD809" s="353"/>
      <c r="AE809" s="371"/>
    </row>
    <row r="810">
      <c r="A810" s="330"/>
      <c r="B810" s="330"/>
      <c r="C810" s="376"/>
      <c r="D810" s="377"/>
      <c r="E810" s="330"/>
      <c r="F810" s="330"/>
      <c r="G810" s="330"/>
      <c r="H810" s="330"/>
      <c r="I810" s="352"/>
      <c r="J810" s="378"/>
      <c r="K810" s="330"/>
      <c r="L810" s="378"/>
      <c r="M810" s="379"/>
      <c r="N810" s="380"/>
      <c r="O810" s="379"/>
      <c r="P810" s="381"/>
      <c r="Q810" s="382"/>
      <c r="R810" s="381"/>
      <c r="S810" s="330"/>
      <c r="T810" s="380"/>
      <c r="U810" s="330"/>
      <c r="V810" s="330"/>
      <c r="W810" s="330"/>
      <c r="X810" s="330"/>
      <c r="Y810" s="330"/>
      <c r="Z810" s="330"/>
      <c r="AA810" s="330"/>
      <c r="AB810" s="352"/>
      <c r="AC810" s="352"/>
      <c r="AD810" s="352"/>
      <c r="AE810" s="367"/>
    </row>
    <row r="811">
      <c r="A811" s="349"/>
      <c r="B811" s="349"/>
      <c r="C811" s="383"/>
      <c r="D811" s="384"/>
      <c r="E811" s="349"/>
      <c r="F811" s="349"/>
      <c r="G811" s="349"/>
      <c r="H811" s="349"/>
      <c r="I811" s="353"/>
      <c r="J811" s="385"/>
      <c r="K811" s="349"/>
      <c r="L811" s="385"/>
      <c r="M811" s="386"/>
      <c r="N811" s="387"/>
      <c r="O811" s="386"/>
      <c r="P811" s="388"/>
      <c r="Q811" s="389"/>
      <c r="R811" s="388"/>
      <c r="S811" s="349"/>
      <c r="T811" s="387"/>
      <c r="U811" s="349"/>
      <c r="V811" s="349"/>
      <c r="W811" s="349"/>
      <c r="X811" s="349"/>
      <c r="Y811" s="349"/>
      <c r="Z811" s="349"/>
      <c r="AA811" s="349"/>
      <c r="AB811" s="353"/>
      <c r="AC811" s="353"/>
      <c r="AD811" s="353"/>
      <c r="AE811" s="371"/>
    </row>
    <row r="812">
      <c r="A812" s="330"/>
      <c r="B812" s="330"/>
      <c r="C812" s="376"/>
      <c r="D812" s="377"/>
      <c r="E812" s="330"/>
      <c r="F812" s="330"/>
      <c r="G812" s="330"/>
      <c r="H812" s="330"/>
      <c r="I812" s="352"/>
      <c r="J812" s="378"/>
      <c r="K812" s="330"/>
      <c r="L812" s="378"/>
      <c r="M812" s="379"/>
      <c r="N812" s="380"/>
      <c r="O812" s="379"/>
      <c r="P812" s="381"/>
      <c r="Q812" s="382"/>
      <c r="R812" s="381"/>
      <c r="S812" s="330"/>
      <c r="T812" s="380"/>
      <c r="U812" s="330"/>
      <c r="V812" s="330"/>
      <c r="W812" s="330"/>
      <c r="X812" s="330"/>
      <c r="Y812" s="330"/>
      <c r="Z812" s="330"/>
      <c r="AA812" s="330"/>
      <c r="AB812" s="352"/>
      <c r="AC812" s="352"/>
      <c r="AD812" s="352"/>
      <c r="AE812" s="367"/>
    </row>
    <row r="813">
      <c r="A813" s="349"/>
      <c r="B813" s="349"/>
      <c r="C813" s="383"/>
      <c r="D813" s="384"/>
      <c r="E813" s="349"/>
      <c r="F813" s="349"/>
      <c r="G813" s="349"/>
      <c r="H813" s="349"/>
      <c r="I813" s="353"/>
      <c r="J813" s="385"/>
      <c r="K813" s="349"/>
      <c r="L813" s="385"/>
      <c r="M813" s="386"/>
      <c r="N813" s="387"/>
      <c r="O813" s="386"/>
      <c r="P813" s="388"/>
      <c r="Q813" s="389"/>
      <c r="R813" s="388"/>
      <c r="S813" s="349"/>
      <c r="T813" s="387"/>
      <c r="U813" s="349"/>
      <c r="V813" s="349"/>
      <c r="W813" s="349"/>
      <c r="X813" s="349"/>
      <c r="Y813" s="349"/>
      <c r="Z813" s="349"/>
      <c r="AA813" s="349"/>
      <c r="AB813" s="353"/>
      <c r="AC813" s="353"/>
      <c r="AD813" s="353"/>
      <c r="AE813" s="371"/>
    </row>
    <row r="814">
      <c r="A814" s="330"/>
      <c r="B814" s="330"/>
      <c r="C814" s="376"/>
      <c r="D814" s="377"/>
      <c r="E814" s="330"/>
      <c r="F814" s="330"/>
      <c r="G814" s="330"/>
      <c r="H814" s="330"/>
      <c r="I814" s="352"/>
      <c r="J814" s="378"/>
      <c r="K814" s="330"/>
      <c r="L814" s="378"/>
      <c r="M814" s="379"/>
      <c r="N814" s="380"/>
      <c r="O814" s="379"/>
      <c r="P814" s="381"/>
      <c r="Q814" s="382"/>
      <c r="R814" s="381"/>
      <c r="S814" s="330"/>
      <c r="T814" s="380"/>
      <c r="U814" s="330"/>
      <c r="V814" s="330"/>
      <c r="W814" s="330"/>
      <c r="X814" s="330"/>
      <c r="Y814" s="330"/>
      <c r="Z814" s="330"/>
      <c r="AA814" s="330"/>
      <c r="AB814" s="352"/>
      <c r="AC814" s="352"/>
      <c r="AD814" s="352"/>
      <c r="AE814" s="367"/>
    </row>
    <row r="815">
      <c r="A815" s="349"/>
      <c r="B815" s="349"/>
      <c r="C815" s="383"/>
      <c r="D815" s="384"/>
      <c r="E815" s="349"/>
      <c r="F815" s="349"/>
      <c r="G815" s="349"/>
      <c r="H815" s="349"/>
      <c r="I815" s="353"/>
      <c r="J815" s="385"/>
      <c r="K815" s="349"/>
      <c r="L815" s="385"/>
      <c r="M815" s="386"/>
      <c r="N815" s="387"/>
      <c r="O815" s="386"/>
      <c r="P815" s="388"/>
      <c r="Q815" s="389"/>
      <c r="R815" s="388"/>
      <c r="S815" s="349"/>
      <c r="T815" s="387"/>
      <c r="U815" s="349"/>
      <c r="V815" s="349"/>
      <c r="W815" s="349"/>
      <c r="X815" s="349"/>
      <c r="Y815" s="349"/>
      <c r="Z815" s="349"/>
      <c r="AA815" s="349"/>
      <c r="AB815" s="353"/>
      <c r="AC815" s="353"/>
      <c r="AD815" s="353"/>
      <c r="AE815" s="371"/>
    </row>
    <row r="816">
      <c r="A816" s="330"/>
      <c r="B816" s="330"/>
      <c r="C816" s="376"/>
      <c r="D816" s="377"/>
      <c r="E816" s="330"/>
      <c r="F816" s="330"/>
      <c r="G816" s="330"/>
      <c r="H816" s="330"/>
      <c r="I816" s="352"/>
      <c r="J816" s="378"/>
      <c r="K816" s="330"/>
      <c r="L816" s="378"/>
      <c r="M816" s="379"/>
      <c r="N816" s="380"/>
      <c r="O816" s="379"/>
      <c r="P816" s="381"/>
      <c r="Q816" s="382"/>
      <c r="R816" s="381"/>
      <c r="S816" s="330"/>
      <c r="T816" s="380"/>
      <c r="U816" s="330"/>
      <c r="V816" s="330"/>
      <c r="W816" s="330"/>
      <c r="X816" s="330"/>
      <c r="Y816" s="330"/>
      <c r="Z816" s="330"/>
      <c r="AA816" s="330"/>
      <c r="AB816" s="352"/>
      <c r="AC816" s="352"/>
      <c r="AD816" s="352"/>
      <c r="AE816" s="367"/>
    </row>
    <row r="817">
      <c r="A817" s="349"/>
      <c r="B817" s="349"/>
      <c r="C817" s="383"/>
      <c r="D817" s="384"/>
      <c r="E817" s="349"/>
      <c r="F817" s="349"/>
      <c r="G817" s="349"/>
      <c r="H817" s="349"/>
      <c r="I817" s="353"/>
      <c r="J817" s="385"/>
      <c r="K817" s="349"/>
      <c r="L817" s="385"/>
      <c r="M817" s="386"/>
      <c r="N817" s="387"/>
      <c r="O817" s="386"/>
      <c r="P817" s="388"/>
      <c r="Q817" s="389"/>
      <c r="R817" s="388"/>
      <c r="S817" s="349"/>
      <c r="T817" s="387"/>
      <c r="U817" s="349"/>
      <c r="V817" s="349"/>
      <c r="W817" s="349"/>
      <c r="X817" s="349"/>
      <c r="Y817" s="349"/>
      <c r="Z817" s="349"/>
      <c r="AA817" s="349"/>
      <c r="AB817" s="353"/>
      <c r="AC817" s="353"/>
      <c r="AD817" s="353"/>
      <c r="AE817" s="371"/>
    </row>
    <row r="818">
      <c r="A818" s="330"/>
      <c r="B818" s="330"/>
      <c r="C818" s="376"/>
      <c r="D818" s="377"/>
      <c r="E818" s="330"/>
      <c r="F818" s="330"/>
      <c r="G818" s="330"/>
      <c r="H818" s="330"/>
      <c r="I818" s="352"/>
      <c r="J818" s="378"/>
      <c r="K818" s="330"/>
      <c r="L818" s="378"/>
      <c r="M818" s="379"/>
      <c r="N818" s="380"/>
      <c r="O818" s="379"/>
      <c r="P818" s="381"/>
      <c r="Q818" s="382"/>
      <c r="R818" s="381"/>
      <c r="S818" s="330"/>
      <c r="T818" s="380"/>
      <c r="U818" s="330"/>
      <c r="V818" s="330"/>
      <c r="W818" s="330"/>
      <c r="X818" s="330"/>
      <c r="Y818" s="330"/>
      <c r="Z818" s="330"/>
      <c r="AA818" s="330"/>
      <c r="AB818" s="352"/>
      <c r="AC818" s="352"/>
      <c r="AD818" s="352"/>
      <c r="AE818" s="367"/>
    </row>
    <row r="819">
      <c r="A819" s="349"/>
      <c r="B819" s="349"/>
      <c r="C819" s="383"/>
      <c r="D819" s="384"/>
      <c r="E819" s="349"/>
      <c r="F819" s="349"/>
      <c r="G819" s="349"/>
      <c r="H819" s="349"/>
      <c r="I819" s="353"/>
      <c r="J819" s="385"/>
      <c r="K819" s="349"/>
      <c r="L819" s="385"/>
      <c r="M819" s="386"/>
      <c r="N819" s="387"/>
      <c r="O819" s="386"/>
      <c r="P819" s="388"/>
      <c r="Q819" s="389"/>
      <c r="R819" s="388"/>
      <c r="S819" s="349"/>
      <c r="T819" s="387"/>
      <c r="U819" s="349"/>
      <c r="V819" s="349"/>
      <c r="W819" s="349"/>
      <c r="X819" s="349"/>
      <c r="Y819" s="349"/>
      <c r="Z819" s="349"/>
      <c r="AA819" s="349"/>
      <c r="AB819" s="353"/>
      <c r="AC819" s="353"/>
      <c r="AD819" s="353"/>
      <c r="AE819" s="371"/>
    </row>
    <row r="820">
      <c r="A820" s="330"/>
      <c r="B820" s="330"/>
      <c r="C820" s="376"/>
      <c r="D820" s="377"/>
      <c r="E820" s="330"/>
      <c r="F820" s="330"/>
      <c r="G820" s="330"/>
      <c r="H820" s="330"/>
      <c r="I820" s="352"/>
      <c r="J820" s="378"/>
      <c r="K820" s="330"/>
      <c r="L820" s="378"/>
      <c r="M820" s="379"/>
      <c r="N820" s="380"/>
      <c r="O820" s="379"/>
      <c r="P820" s="381"/>
      <c r="Q820" s="382"/>
      <c r="R820" s="381"/>
      <c r="S820" s="330"/>
      <c r="T820" s="380"/>
      <c r="U820" s="330"/>
      <c r="V820" s="330"/>
      <c r="W820" s="330"/>
      <c r="X820" s="330"/>
      <c r="Y820" s="330"/>
      <c r="Z820" s="330"/>
      <c r="AA820" s="330"/>
      <c r="AB820" s="352"/>
      <c r="AC820" s="352"/>
      <c r="AD820" s="352"/>
      <c r="AE820" s="367"/>
    </row>
    <row r="821">
      <c r="A821" s="349"/>
      <c r="B821" s="349"/>
      <c r="C821" s="383"/>
      <c r="D821" s="384"/>
      <c r="E821" s="349"/>
      <c r="F821" s="349"/>
      <c r="G821" s="349"/>
      <c r="H821" s="349"/>
      <c r="I821" s="353"/>
      <c r="J821" s="385"/>
      <c r="K821" s="349"/>
      <c r="L821" s="385"/>
      <c r="M821" s="386"/>
      <c r="N821" s="387"/>
      <c r="O821" s="386"/>
      <c r="P821" s="388"/>
      <c r="Q821" s="389"/>
      <c r="R821" s="388"/>
      <c r="S821" s="349"/>
      <c r="T821" s="387"/>
      <c r="U821" s="349"/>
      <c r="V821" s="349"/>
      <c r="W821" s="349"/>
      <c r="X821" s="349"/>
      <c r="Y821" s="349"/>
      <c r="Z821" s="349"/>
      <c r="AA821" s="349"/>
      <c r="AB821" s="353"/>
      <c r="AC821" s="353"/>
      <c r="AD821" s="353"/>
      <c r="AE821" s="371"/>
    </row>
    <row r="822">
      <c r="A822" s="330"/>
      <c r="B822" s="330"/>
      <c r="C822" s="376"/>
      <c r="D822" s="377"/>
      <c r="E822" s="330"/>
      <c r="F822" s="330"/>
      <c r="G822" s="330"/>
      <c r="H822" s="330"/>
      <c r="I822" s="352"/>
      <c r="J822" s="378"/>
      <c r="K822" s="330"/>
      <c r="L822" s="378"/>
      <c r="M822" s="379"/>
      <c r="N822" s="380"/>
      <c r="O822" s="379"/>
      <c r="P822" s="381"/>
      <c r="Q822" s="382"/>
      <c r="R822" s="381"/>
      <c r="S822" s="330"/>
      <c r="T822" s="380"/>
      <c r="U822" s="330"/>
      <c r="V822" s="330"/>
      <c r="W822" s="330"/>
      <c r="X822" s="330"/>
      <c r="Y822" s="330"/>
      <c r="Z822" s="330"/>
      <c r="AA822" s="330"/>
      <c r="AB822" s="352"/>
      <c r="AC822" s="352"/>
      <c r="AD822" s="352"/>
      <c r="AE822" s="367"/>
    </row>
    <row r="823">
      <c r="A823" s="349"/>
      <c r="B823" s="349"/>
      <c r="C823" s="383"/>
      <c r="D823" s="384"/>
      <c r="E823" s="349"/>
      <c r="F823" s="349"/>
      <c r="G823" s="349"/>
      <c r="H823" s="349"/>
      <c r="I823" s="353"/>
      <c r="J823" s="385"/>
      <c r="K823" s="349"/>
      <c r="L823" s="385"/>
      <c r="M823" s="386"/>
      <c r="N823" s="387"/>
      <c r="O823" s="386"/>
      <c r="P823" s="388"/>
      <c r="Q823" s="389"/>
      <c r="R823" s="388"/>
      <c r="S823" s="349"/>
      <c r="T823" s="387"/>
      <c r="U823" s="349"/>
      <c r="V823" s="349"/>
      <c r="W823" s="349"/>
      <c r="X823" s="349"/>
      <c r="Y823" s="349"/>
      <c r="Z823" s="349"/>
      <c r="AA823" s="349"/>
      <c r="AB823" s="353"/>
      <c r="AC823" s="353"/>
      <c r="AD823" s="353"/>
      <c r="AE823" s="371"/>
    </row>
    <row r="824">
      <c r="A824" s="330"/>
      <c r="B824" s="330"/>
      <c r="C824" s="376"/>
      <c r="D824" s="377"/>
      <c r="E824" s="330"/>
      <c r="F824" s="330"/>
      <c r="G824" s="330"/>
      <c r="H824" s="330"/>
      <c r="I824" s="352"/>
      <c r="J824" s="378"/>
      <c r="K824" s="330"/>
      <c r="L824" s="378"/>
      <c r="M824" s="379"/>
      <c r="N824" s="380"/>
      <c r="O824" s="379"/>
      <c r="P824" s="381"/>
      <c r="Q824" s="382"/>
      <c r="R824" s="381"/>
      <c r="S824" s="330"/>
      <c r="T824" s="380"/>
      <c r="U824" s="330"/>
      <c r="V824" s="330"/>
      <c r="W824" s="330"/>
      <c r="X824" s="330"/>
      <c r="Y824" s="330"/>
      <c r="Z824" s="330"/>
      <c r="AA824" s="330"/>
      <c r="AB824" s="352"/>
      <c r="AC824" s="352"/>
      <c r="AD824" s="352"/>
      <c r="AE824" s="367"/>
    </row>
    <row r="825">
      <c r="A825" s="349"/>
      <c r="B825" s="349"/>
      <c r="C825" s="383"/>
      <c r="D825" s="384"/>
      <c r="E825" s="349"/>
      <c r="F825" s="349"/>
      <c r="G825" s="349"/>
      <c r="H825" s="349"/>
      <c r="I825" s="353"/>
      <c r="J825" s="385"/>
      <c r="K825" s="349"/>
      <c r="L825" s="385"/>
      <c r="M825" s="386"/>
      <c r="N825" s="387"/>
      <c r="O825" s="386"/>
      <c r="P825" s="388"/>
      <c r="Q825" s="389"/>
      <c r="R825" s="388"/>
      <c r="S825" s="349"/>
      <c r="T825" s="387"/>
      <c r="U825" s="349"/>
      <c r="V825" s="349"/>
      <c r="W825" s="349"/>
      <c r="X825" s="349"/>
      <c r="Y825" s="349"/>
      <c r="Z825" s="349"/>
      <c r="AA825" s="349"/>
      <c r="AB825" s="353"/>
      <c r="AC825" s="353"/>
      <c r="AD825" s="353"/>
      <c r="AE825" s="371"/>
    </row>
    <row r="826">
      <c r="A826" s="330"/>
      <c r="B826" s="330"/>
      <c r="C826" s="376"/>
      <c r="D826" s="377"/>
      <c r="E826" s="330"/>
      <c r="F826" s="330"/>
      <c r="G826" s="330"/>
      <c r="H826" s="330"/>
      <c r="I826" s="352"/>
      <c r="J826" s="378"/>
      <c r="K826" s="330"/>
      <c r="L826" s="378"/>
      <c r="M826" s="379"/>
      <c r="N826" s="380"/>
      <c r="O826" s="379"/>
      <c r="P826" s="381"/>
      <c r="Q826" s="382"/>
      <c r="R826" s="381"/>
      <c r="S826" s="330"/>
      <c r="T826" s="380"/>
      <c r="U826" s="330"/>
      <c r="V826" s="330"/>
      <c r="W826" s="330"/>
      <c r="X826" s="330"/>
      <c r="Y826" s="330"/>
      <c r="Z826" s="330"/>
      <c r="AA826" s="330"/>
      <c r="AB826" s="352"/>
      <c r="AC826" s="352"/>
      <c r="AD826" s="352"/>
      <c r="AE826" s="367"/>
    </row>
    <row r="827">
      <c r="A827" s="349"/>
      <c r="B827" s="349"/>
      <c r="C827" s="383"/>
      <c r="D827" s="384"/>
      <c r="E827" s="349"/>
      <c r="F827" s="349"/>
      <c r="G827" s="349"/>
      <c r="H827" s="349"/>
      <c r="I827" s="353"/>
      <c r="J827" s="385"/>
      <c r="K827" s="349"/>
      <c r="L827" s="385"/>
      <c r="M827" s="386"/>
      <c r="N827" s="387"/>
      <c r="O827" s="386"/>
      <c r="P827" s="388"/>
      <c r="Q827" s="389"/>
      <c r="R827" s="388"/>
      <c r="S827" s="349"/>
      <c r="T827" s="387"/>
      <c r="U827" s="349"/>
      <c r="V827" s="349"/>
      <c r="W827" s="349"/>
      <c r="X827" s="349"/>
      <c r="Y827" s="349"/>
      <c r="Z827" s="349"/>
      <c r="AA827" s="349"/>
      <c r="AB827" s="353"/>
      <c r="AC827" s="353"/>
      <c r="AD827" s="353"/>
      <c r="AE827" s="371"/>
    </row>
    <row r="828">
      <c r="A828" s="330"/>
      <c r="B828" s="330"/>
      <c r="C828" s="376"/>
      <c r="D828" s="377"/>
      <c r="E828" s="330"/>
      <c r="F828" s="330"/>
      <c r="G828" s="330"/>
      <c r="H828" s="330"/>
      <c r="I828" s="352"/>
      <c r="J828" s="378"/>
      <c r="K828" s="330"/>
      <c r="L828" s="378"/>
      <c r="M828" s="379"/>
      <c r="N828" s="380"/>
      <c r="O828" s="379"/>
      <c r="P828" s="381"/>
      <c r="Q828" s="382"/>
      <c r="R828" s="381"/>
      <c r="S828" s="330"/>
      <c r="T828" s="380"/>
      <c r="U828" s="330"/>
      <c r="V828" s="330"/>
      <c r="W828" s="330"/>
      <c r="X828" s="330"/>
      <c r="Y828" s="330"/>
      <c r="Z828" s="330"/>
      <c r="AA828" s="330"/>
      <c r="AB828" s="352"/>
      <c r="AC828" s="352"/>
      <c r="AD828" s="352"/>
      <c r="AE828" s="367"/>
    </row>
    <row r="829">
      <c r="A829" s="349"/>
      <c r="B829" s="349"/>
      <c r="C829" s="383"/>
      <c r="D829" s="384"/>
      <c r="E829" s="349"/>
      <c r="F829" s="349"/>
      <c r="G829" s="349"/>
      <c r="H829" s="349"/>
      <c r="I829" s="353"/>
      <c r="J829" s="385"/>
      <c r="K829" s="349"/>
      <c r="L829" s="385"/>
      <c r="M829" s="386"/>
      <c r="N829" s="387"/>
      <c r="O829" s="386"/>
      <c r="P829" s="388"/>
      <c r="Q829" s="389"/>
      <c r="R829" s="388"/>
      <c r="S829" s="349"/>
      <c r="T829" s="387"/>
      <c r="U829" s="349"/>
      <c r="V829" s="349"/>
      <c r="W829" s="349"/>
      <c r="X829" s="349"/>
      <c r="Y829" s="349"/>
      <c r="Z829" s="349"/>
      <c r="AA829" s="349"/>
      <c r="AB829" s="353"/>
      <c r="AC829" s="353"/>
      <c r="AD829" s="353"/>
      <c r="AE829" s="371"/>
    </row>
    <row r="830">
      <c r="A830" s="330"/>
      <c r="B830" s="330"/>
      <c r="C830" s="376"/>
      <c r="D830" s="377"/>
      <c r="E830" s="330"/>
      <c r="F830" s="330"/>
      <c r="G830" s="330"/>
      <c r="H830" s="330"/>
      <c r="I830" s="352"/>
      <c r="J830" s="378"/>
      <c r="K830" s="330"/>
      <c r="L830" s="378"/>
      <c r="M830" s="379"/>
      <c r="N830" s="380"/>
      <c r="O830" s="379"/>
      <c r="P830" s="381"/>
      <c r="Q830" s="382"/>
      <c r="R830" s="381"/>
      <c r="S830" s="330"/>
      <c r="T830" s="380"/>
      <c r="U830" s="330"/>
      <c r="V830" s="330"/>
      <c r="W830" s="330"/>
      <c r="X830" s="330"/>
      <c r="Y830" s="330"/>
      <c r="Z830" s="330"/>
      <c r="AA830" s="330"/>
      <c r="AB830" s="352"/>
      <c r="AC830" s="352"/>
      <c r="AD830" s="352"/>
      <c r="AE830" s="367"/>
    </row>
    <row r="831">
      <c r="A831" s="349"/>
      <c r="B831" s="349"/>
      <c r="C831" s="383"/>
      <c r="D831" s="384"/>
      <c r="E831" s="349"/>
      <c r="F831" s="349"/>
      <c r="G831" s="349"/>
      <c r="H831" s="349"/>
      <c r="I831" s="353"/>
      <c r="J831" s="385"/>
      <c r="K831" s="349"/>
      <c r="L831" s="385"/>
      <c r="M831" s="386"/>
      <c r="N831" s="387"/>
      <c r="O831" s="386"/>
      <c r="P831" s="388"/>
      <c r="Q831" s="389"/>
      <c r="R831" s="388"/>
      <c r="S831" s="349"/>
      <c r="T831" s="387"/>
      <c r="U831" s="349"/>
      <c r="V831" s="349"/>
      <c r="W831" s="349"/>
      <c r="X831" s="349"/>
      <c r="Y831" s="349"/>
      <c r="Z831" s="349"/>
      <c r="AA831" s="349"/>
      <c r="AB831" s="353"/>
      <c r="AC831" s="353"/>
      <c r="AD831" s="353"/>
      <c r="AE831" s="371"/>
    </row>
    <row r="832">
      <c r="A832" s="330"/>
      <c r="B832" s="330"/>
      <c r="C832" s="376"/>
      <c r="D832" s="377"/>
      <c r="E832" s="330"/>
      <c r="F832" s="330"/>
      <c r="G832" s="330"/>
      <c r="H832" s="330"/>
      <c r="I832" s="352"/>
      <c r="J832" s="378"/>
      <c r="K832" s="330"/>
      <c r="L832" s="378"/>
      <c r="M832" s="379"/>
      <c r="N832" s="380"/>
      <c r="O832" s="379"/>
      <c r="P832" s="381"/>
      <c r="Q832" s="382"/>
      <c r="R832" s="381"/>
      <c r="S832" s="330"/>
      <c r="T832" s="380"/>
      <c r="U832" s="330"/>
      <c r="V832" s="330"/>
      <c r="W832" s="330"/>
      <c r="X832" s="330"/>
      <c r="Y832" s="330"/>
      <c r="Z832" s="330"/>
      <c r="AA832" s="330"/>
      <c r="AB832" s="352"/>
      <c r="AC832" s="352"/>
      <c r="AD832" s="352"/>
      <c r="AE832" s="367"/>
    </row>
    <row r="833">
      <c r="A833" s="349"/>
      <c r="B833" s="349"/>
      <c r="C833" s="383"/>
      <c r="D833" s="384"/>
      <c r="E833" s="349"/>
      <c r="F833" s="349"/>
      <c r="G833" s="349"/>
      <c r="H833" s="349"/>
      <c r="I833" s="353"/>
      <c r="J833" s="385"/>
      <c r="K833" s="349"/>
      <c r="L833" s="385"/>
      <c r="M833" s="386"/>
      <c r="N833" s="387"/>
      <c r="O833" s="386"/>
      <c r="P833" s="388"/>
      <c r="Q833" s="389"/>
      <c r="R833" s="388"/>
      <c r="S833" s="349"/>
      <c r="T833" s="387"/>
      <c r="U833" s="349"/>
      <c r="V833" s="349"/>
      <c r="W833" s="349"/>
      <c r="X833" s="349"/>
      <c r="Y833" s="349"/>
      <c r="Z833" s="349"/>
      <c r="AA833" s="349"/>
      <c r="AB833" s="353"/>
      <c r="AC833" s="353"/>
      <c r="AD833" s="353"/>
      <c r="AE833" s="371"/>
    </row>
    <row r="834">
      <c r="A834" s="330"/>
      <c r="B834" s="330"/>
      <c r="C834" s="376"/>
      <c r="D834" s="377"/>
      <c r="E834" s="330"/>
      <c r="F834" s="330"/>
      <c r="G834" s="330"/>
      <c r="H834" s="330"/>
      <c r="I834" s="352"/>
      <c r="J834" s="378"/>
      <c r="K834" s="330"/>
      <c r="L834" s="378"/>
      <c r="M834" s="379"/>
      <c r="N834" s="380"/>
      <c r="O834" s="379"/>
      <c r="P834" s="381"/>
      <c r="Q834" s="382"/>
      <c r="R834" s="381"/>
      <c r="S834" s="330"/>
      <c r="T834" s="380"/>
      <c r="U834" s="330"/>
      <c r="V834" s="330"/>
      <c r="W834" s="330"/>
      <c r="X834" s="330"/>
      <c r="Y834" s="330"/>
      <c r="Z834" s="330"/>
      <c r="AA834" s="330"/>
      <c r="AB834" s="352"/>
      <c r="AC834" s="352"/>
      <c r="AD834" s="352"/>
      <c r="AE834" s="367"/>
    </row>
    <row r="835">
      <c r="A835" s="349"/>
      <c r="B835" s="349"/>
      <c r="C835" s="383"/>
      <c r="D835" s="384"/>
      <c r="E835" s="349"/>
      <c r="F835" s="349"/>
      <c r="G835" s="349"/>
      <c r="H835" s="349"/>
      <c r="I835" s="353"/>
      <c r="J835" s="385"/>
      <c r="K835" s="349"/>
      <c r="L835" s="385"/>
      <c r="M835" s="386"/>
      <c r="N835" s="387"/>
      <c r="O835" s="386"/>
      <c r="P835" s="388"/>
      <c r="Q835" s="389"/>
      <c r="R835" s="388"/>
      <c r="S835" s="349"/>
      <c r="T835" s="387"/>
      <c r="U835" s="349"/>
      <c r="V835" s="349"/>
      <c r="W835" s="349"/>
      <c r="X835" s="349"/>
      <c r="Y835" s="349"/>
      <c r="Z835" s="349"/>
      <c r="AA835" s="349"/>
      <c r="AB835" s="353"/>
      <c r="AC835" s="353"/>
      <c r="AD835" s="353"/>
      <c r="AE835" s="371"/>
    </row>
    <row r="836">
      <c r="A836" s="330"/>
      <c r="B836" s="330"/>
      <c r="C836" s="376"/>
      <c r="D836" s="377"/>
      <c r="E836" s="330"/>
      <c r="F836" s="330"/>
      <c r="G836" s="330"/>
      <c r="H836" s="330"/>
      <c r="I836" s="352"/>
      <c r="J836" s="378"/>
      <c r="K836" s="330"/>
      <c r="L836" s="378"/>
      <c r="M836" s="379"/>
      <c r="N836" s="380"/>
      <c r="O836" s="379"/>
      <c r="P836" s="381"/>
      <c r="Q836" s="382"/>
      <c r="R836" s="381"/>
      <c r="S836" s="330"/>
      <c r="T836" s="380"/>
      <c r="U836" s="330"/>
      <c r="V836" s="330"/>
      <c r="W836" s="330"/>
      <c r="X836" s="330"/>
      <c r="Y836" s="330"/>
      <c r="Z836" s="330"/>
      <c r="AA836" s="330"/>
      <c r="AB836" s="352"/>
      <c r="AC836" s="352"/>
      <c r="AD836" s="352"/>
      <c r="AE836" s="367"/>
    </row>
    <row r="837">
      <c r="A837" s="349"/>
      <c r="B837" s="349"/>
      <c r="C837" s="383"/>
      <c r="D837" s="384"/>
      <c r="E837" s="349"/>
      <c r="F837" s="349"/>
      <c r="G837" s="349"/>
      <c r="H837" s="349"/>
      <c r="I837" s="353"/>
      <c r="J837" s="385"/>
      <c r="K837" s="349"/>
      <c r="L837" s="385"/>
      <c r="M837" s="386"/>
      <c r="N837" s="387"/>
      <c r="O837" s="386"/>
      <c r="P837" s="388"/>
      <c r="Q837" s="389"/>
      <c r="R837" s="388"/>
      <c r="S837" s="349"/>
      <c r="T837" s="387"/>
      <c r="U837" s="349"/>
      <c r="V837" s="349"/>
      <c r="W837" s="349"/>
      <c r="X837" s="349"/>
      <c r="Y837" s="349"/>
      <c r="Z837" s="349"/>
      <c r="AA837" s="349"/>
      <c r="AB837" s="353"/>
      <c r="AC837" s="353"/>
      <c r="AD837" s="353"/>
      <c r="AE837" s="371"/>
    </row>
    <row r="838">
      <c r="A838" s="330"/>
      <c r="B838" s="330"/>
      <c r="C838" s="376"/>
      <c r="D838" s="377"/>
      <c r="E838" s="330"/>
      <c r="F838" s="330"/>
      <c r="G838" s="330"/>
      <c r="H838" s="330"/>
      <c r="I838" s="352"/>
      <c r="J838" s="378"/>
      <c r="K838" s="330"/>
      <c r="L838" s="378"/>
      <c r="M838" s="379"/>
      <c r="N838" s="380"/>
      <c r="O838" s="379"/>
      <c r="P838" s="381"/>
      <c r="Q838" s="382"/>
      <c r="R838" s="381"/>
      <c r="S838" s="330"/>
      <c r="T838" s="380"/>
      <c r="U838" s="330"/>
      <c r="V838" s="330"/>
      <c r="W838" s="330"/>
      <c r="X838" s="330"/>
      <c r="Y838" s="330"/>
      <c r="Z838" s="330"/>
      <c r="AA838" s="330"/>
      <c r="AB838" s="352"/>
      <c r="AC838" s="352"/>
      <c r="AD838" s="352"/>
      <c r="AE838" s="367"/>
    </row>
    <row r="839">
      <c r="A839" s="349"/>
      <c r="B839" s="349"/>
      <c r="C839" s="383"/>
      <c r="D839" s="384"/>
      <c r="E839" s="349"/>
      <c r="F839" s="349"/>
      <c r="G839" s="349"/>
      <c r="H839" s="349"/>
      <c r="I839" s="353"/>
      <c r="J839" s="385"/>
      <c r="K839" s="349"/>
      <c r="L839" s="385"/>
      <c r="M839" s="386"/>
      <c r="N839" s="387"/>
      <c r="O839" s="386"/>
      <c r="P839" s="388"/>
      <c r="Q839" s="389"/>
      <c r="R839" s="388"/>
      <c r="S839" s="349"/>
      <c r="T839" s="387"/>
      <c r="U839" s="349"/>
      <c r="V839" s="349"/>
      <c r="W839" s="349"/>
      <c r="X839" s="349"/>
      <c r="Y839" s="349"/>
      <c r="Z839" s="349"/>
      <c r="AA839" s="349"/>
      <c r="AB839" s="353"/>
      <c r="AC839" s="353"/>
      <c r="AD839" s="353"/>
      <c r="AE839" s="371"/>
    </row>
    <row r="840">
      <c r="A840" s="330"/>
      <c r="B840" s="330"/>
      <c r="C840" s="376"/>
      <c r="D840" s="377"/>
      <c r="E840" s="330"/>
      <c r="F840" s="330"/>
      <c r="G840" s="330"/>
      <c r="H840" s="330"/>
      <c r="I840" s="352"/>
      <c r="J840" s="378"/>
      <c r="K840" s="330"/>
      <c r="L840" s="378"/>
      <c r="M840" s="379"/>
      <c r="N840" s="380"/>
      <c r="O840" s="379"/>
      <c r="P840" s="381"/>
      <c r="Q840" s="382"/>
      <c r="R840" s="381"/>
      <c r="S840" s="330"/>
      <c r="T840" s="380"/>
      <c r="U840" s="330"/>
      <c r="V840" s="330"/>
      <c r="W840" s="330"/>
      <c r="X840" s="330"/>
      <c r="Y840" s="330"/>
      <c r="Z840" s="330"/>
      <c r="AA840" s="330"/>
      <c r="AB840" s="352"/>
      <c r="AC840" s="352"/>
      <c r="AD840" s="352"/>
      <c r="AE840" s="367"/>
    </row>
    <row r="841">
      <c r="A841" s="349"/>
      <c r="B841" s="349"/>
      <c r="C841" s="383"/>
      <c r="D841" s="384"/>
      <c r="E841" s="349"/>
      <c r="F841" s="349"/>
      <c r="G841" s="349"/>
      <c r="H841" s="349"/>
      <c r="I841" s="353"/>
      <c r="J841" s="385"/>
      <c r="K841" s="349"/>
      <c r="L841" s="385"/>
      <c r="M841" s="386"/>
      <c r="N841" s="387"/>
      <c r="O841" s="386"/>
      <c r="P841" s="388"/>
      <c r="Q841" s="389"/>
      <c r="R841" s="388"/>
      <c r="S841" s="349"/>
      <c r="T841" s="387"/>
      <c r="U841" s="349"/>
      <c r="V841" s="349"/>
      <c r="W841" s="349"/>
      <c r="X841" s="349"/>
      <c r="Y841" s="349"/>
      <c r="Z841" s="349"/>
      <c r="AA841" s="349"/>
      <c r="AB841" s="353"/>
      <c r="AC841" s="353"/>
      <c r="AD841" s="353"/>
      <c r="AE841" s="371"/>
    </row>
    <row r="842">
      <c r="A842" s="330"/>
      <c r="B842" s="330"/>
      <c r="C842" s="376"/>
      <c r="D842" s="377"/>
      <c r="E842" s="330"/>
      <c r="F842" s="330"/>
      <c r="G842" s="330"/>
      <c r="H842" s="330"/>
      <c r="I842" s="352"/>
      <c r="J842" s="378"/>
      <c r="K842" s="330"/>
      <c r="L842" s="378"/>
      <c r="M842" s="379"/>
      <c r="N842" s="380"/>
      <c r="O842" s="379"/>
      <c r="P842" s="381"/>
      <c r="Q842" s="382"/>
      <c r="R842" s="381"/>
      <c r="S842" s="330"/>
      <c r="T842" s="380"/>
      <c r="U842" s="330"/>
      <c r="V842" s="330"/>
      <c r="W842" s="330"/>
      <c r="X842" s="330"/>
      <c r="Y842" s="330"/>
      <c r="Z842" s="330"/>
      <c r="AA842" s="330"/>
      <c r="AB842" s="352"/>
      <c r="AC842" s="352"/>
      <c r="AD842" s="352"/>
      <c r="AE842" s="367"/>
    </row>
    <row r="843">
      <c r="A843" s="349"/>
      <c r="B843" s="349"/>
      <c r="C843" s="383"/>
      <c r="D843" s="384"/>
      <c r="E843" s="349"/>
      <c r="F843" s="349"/>
      <c r="G843" s="349"/>
      <c r="H843" s="349"/>
      <c r="I843" s="353"/>
      <c r="J843" s="385"/>
      <c r="K843" s="349"/>
      <c r="L843" s="385"/>
      <c r="M843" s="386"/>
      <c r="N843" s="387"/>
      <c r="O843" s="386"/>
      <c r="P843" s="388"/>
      <c r="Q843" s="389"/>
      <c r="R843" s="388"/>
      <c r="S843" s="349"/>
      <c r="T843" s="387"/>
      <c r="U843" s="349"/>
      <c r="V843" s="349"/>
      <c r="W843" s="349"/>
      <c r="X843" s="349"/>
      <c r="Y843" s="349"/>
      <c r="Z843" s="349"/>
      <c r="AA843" s="349"/>
      <c r="AB843" s="353"/>
      <c r="AC843" s="353"/>
      <c r="AD843" s="353"/>
      <c r="AE843" s="371"/>
    </row>
    <row r="844">
      <c r="A844" s="330"/>
      <c r="B844" s="330"/>
      <c r="C844" s="376"/>
      <c r="D844" s="377"/>
      <c r="E844" s="330"/>
      <c r="F844" s="330"/>
      <c r="G844" s="330"/>
      <c r="H844" s="330"/>
      <c r="I844" s="352"/>
      <c r="J844" s="378"/>
      <c r="K844" s="330"/>
      <c r="L844" s="378"/>
      <c r="M844" s="379"/>
      <c r="N844" s="380"/>
      <c r="O844" s="379"/>
      <c r="P844" s="381"/>
      <c r="Q844" s="382"/>
      <c r="R844" s="381"/>
      <c r="S844" s="330"/>
      <c r="T844" s="380"/>
      <c r="U844" s="330"/>
      <c r="V844" s="330"/>
      <c r="W844" s="330"/>
      <c r="X844" s="330"/>
      <c r="Y844" s="330"/>
      <c r="Z844" s="330"/>
      <c r="AA844" s="330"/>
      <c r="AB844" s="352"/>
      <c r="AC844" s="352"/>
      <c r="AD844" s="352"/>
      <c r="AE844" s="367"/>
    </row>
    <row r="845">
      <c r="A845" s="349"/>
      <c r="B845" s="349"/>
      <c r="C845" s="383"/>
      <c r="D845" s="384"/>
      <c r="E845" s="349"/>
      <c r="F845" s="349"/>
      <c r="G845" s="349"/>
      <c r="H845" s="349"/>
      <c r="I845" s="353"/>
      <c r="J845" s="385"/>
      <c r="K845" s="349"/>
      <c r="L845" s="385"/>
      <c r="M845" s="386"/>
      <c r="N845" s="387"/>
      <c r="O845" s="386"/>
      <c r="P845" s="388"/>
      <c r="Q845" s="389"/>
      <c r="R845" s="388"/>
      <c r="S845" s="349"/>
      <c r="T845" s="387"/>
      <c r="U845" s="349"/>
      <c r="V845" s="349"/>
      <c r="W845" s="349"/>
      <c r="X845" s="349"/>
      <c r="Y845" s="349"/>
      <c r="Z845" s="349"/>
      <c r="AA845" s="349"/>
      <c r="AB845" s="353"/>
      <c r="AC845" s="353"/>
      <c r="AD845" s="353"/>
      <c r="AE845" s="371"/>
    </row>
    <row r="846">
      <c r="A846" s="330"/>
      <c r="B846" s="330"/>
      <c r="C846" s="376"/>
      <c r="D846" s="377"/>
      <c r="E846" s="330"/>
      <c r="F846" s="330"/>
      <c r="G846" s="330"/>
      <c r="H846" s="330"/>
      <c r="I846" s="352"/>
      <c r="J846" s="378"/>
      <c r="K846" s="330"/>
      <c r="L846" s="378"/>
      <c r="M846" s="379"/>
      <c r="N846" s="380"/>
      <c r="O846" s="379"/>
      <c r="P846" s="381"/>
      <c r="Q846" s="382"/>
      <c r="R846" s="381"/>
      <c r="S846" s="330"/>
      <c r="T846" s="380"/>
      <c r="U846" s="330"/>
      <c r="V846" s="330"/>
      <c r="W846" s="330"/>
      <c r="X846" s="330"/>
      <c r="Y846" s="330"/>
      <c r="Z846" s="330"/>
      <c r="AA846" s="330"/>
      <c r="AB846" s="352"/>
      <c r="AC846" s="352"/>
      <c r="AD846" s="352"/>
      <c r="AE846" s="367"/>
    </row>
    <row r="847">
      <c r="A847" s="349"/>
      <c r="B847" s="349"/>
      <c r="C847" s="383"/>
      <c r="D847" s="384"/>
      <c r="E847" s="349"/>
      <c r="F847" s="349"/>
      <c r="G847" s="349"/>
      <c r="H847" s="349"/>
      <c r="I847" s="353"/>
      <c r="J847" s="385"/>
      <c r="K847" s="349"/>
      <c r="L847" s="385"/>
      <c r="M847" s="386"/>
      <c r="N847" s="387"/>
      <c r="O847" s="386"/>
      <c r="P847" s="388"/>
      <c r="Q847" s="389"/>
      <c r="R847" s="388"/>
      <c r="S847" s="349"/>
      <c r="T847" s="387"/>
      <c r="U847" s="349"/>
      <c r="V847" s="349"/>
      <c r="W847" s="349"/>
      <c r="X847" s="349"/>
      <c r="Y847" s="349"/>
      <c r="Z847" s="349"/>
      <c r="AA847" s="349"/>
      <c r="AB847" s="353"/>
      <c r="AC847" s="353"/>
      <c r="AD847" s="353"/>
      <c r="AE847" s="371"/>
    </row>
    <row r="848">
      <c r="A848" s="330"/>
      <c r="B848" s="330"/>
      <c r="C848" s="376"/>
      <c r="D848" s="377"/>
      <c r="E848" s="330"/>
      <c r="F848" s="330"/>
      <c r="G848" s="330"/>
      <c r="H848" s="330"/>
      <c r="I848" s="352"/>
      <c r="J848" s="378"/>
      <c r="K848" s="330"/>
      <c r="L848" s="378"/>
      <c r="M848" s="379"/>
      <c r="N848" s="380"/>
      <c r="O848" s="379"/>
      <c r="P848" s="381"/>
      <c r="Q848" s="382"/>
      <c r="R848" s="381"/>
      <c r="S848" s="330"/>
      <c r="T848" s="380"/>
      <c r="U848" s="330"/>
      <c r="V848" s="330"/>
      <c r="W848" s="330"/>
      <c r="X848" s="330"/>
      <c r="Y848" s="330"/>
      <c r="Z848" s="330"/>
      <c r="AA848" s="330"/>
      <c r="AB848" s="352"/>
      <c r="AC848" s="352"/>
      <c r="AD848" s="352"/>
      <c r="AE848" s="367"/>
    </row>
    <row r="849">
      <c r="A849" s="349"/>
      <c r="B849" s="349"/>
      <c r="C849" s="383"/>
      <c r="D849" s="384"/>
      <c r="E849" s="349"/>
      <c r="F849" s="349"/>
      <c r="G849" s="349"/>
      <c r="H849" s="349"/>
      <c r="I849" s="353"/>
      <c r="J849" s="385"/>
      <c r="K849" s="349"/>
      <c r="L849" s="385"/>
      <c r="M849" s="386"/>
      <c r="N849" s="387"/>
      <c r="O849" s="386"/>
      <c r="P849" s="388"/>
      <c r="Q849" s="389"/>
      <c r="R849" s="388"/>
      <c r="S849" s="349"/>
      <c r="T849" s="387"/>
      <c r="U849" s="349"/>
      <c r="V849" s="349"/>
      <c r="W849" s="349"/>
      <c r="X849" s="349"/>
      <c r="Y849" s="349"/>
      <c r="Z849" s="349"/>
      <c r="AA849" s="349"/>
      <c r="AB849" s="353"/>
      <c r="AC849" s="353"/>
      <c r="AD849" s="353"/>
      <c r="AE849" s="371"/>
    </row>
    <row r="850">
      <c r="A850" s="330"/>
      <c r="B850" s="330"/>
      <c r="C850" s="376"/>
      <c r="D850" s="377"/>
      <c r="E850" s="330"/>
      <c r="F850" s="330"/>
      <c r="G850" s="330"/>
      <c r="H850" s="330"/>
      <c r="I850" s="352"/>
      <c r="J850" s="378"/>
      <c r="K850" s="330"/>
      <c r="L850" s="378"/>
      <c r="M850" s="379"/>
      <c r="N850" s="380"/>
      <c r="O850" s="379"/>
      <c r="P850" s="381"/>
      <c r="Q850" s="382"/>
      <c r="R850" s="381"/>
      <c r="S850" s="330"/>
      <c r="T850" s="380"/>
      <c r="U850" s="330"/>
      <c r="V850" s="330"/>
      <c r="W850" s="330"/>
      <c r="X850" s="330"/>
      <c r="Y850" s="330"/>
      <c r="Z850" s="330"/>
      <c r="AA850" s="330"/>
      <c r="AB850" s="352"/>
      <c r="AC850" s="352"/>
      <c r="AD850" s="352"/>
      <c r="AE850" s="367"/>
    </row>
    <row r="851">
      <c r="A851" s="349"/>
      <c r="B851" s="349"/>
      <c r="C851" s="383"/>
      <c r="D851" s="384"/>
      <c r="E851" s="349"/>
      <c r="F851" s="349"/>
      <c r="G851" s="349"/>
      <c r="H851" s="349"/>
      <c r="I851" s="353"/>
      <c r="J851" s="385"/>
      <c r="K851" s="349"/>
      <c r="L851" s="385"/>
      <c r="M851" s="386"/>
      <c r="N851" s="387"/>
      <c r="O851" s="386"/>
      <c r="P851" s="388"/>
      <c r="Q851" s="389"/>
      <c r="R851" s="388"/>
      <c r="S851" s="349"/>
      <c r="T851" s="387"/>
      <c r="U851" s="349"/>
      <c r="V851" s="349"/>
      <c r="W851" s="349"/>
      <c r="X851" s="349"/>
      <c r="Y851" s="349"/>
      <c r="Z851" s="349"/>
      <c r="AA851" s="349"/>
      <c r="AB851" s="353"/>
      <c r="AC851" s="353"/>
      <c r="AD851" s="353"/>
      <c r="AE851" s="371"/>
    </row>
    <row r="852">
      <c r="A852" s="330"/>
      <c r="B852" s="330"/>
      <c r="C852" s="376"/>
      <c r="D852" s="377"/>
      <c r="E852" s="330"/>
      <c r="F852" s="330"/>
      <c r="G852" s="330"/>
      <c r="H852" s="330"/>
      <c r="I852" s="352"/>
      <c r="J852" s="378"/>
      <c r="K852" s="330"/>
      <c r="L852" s="378"/>
      <c r="M852" s="379"/>
      <c r="N852" s="380"/>
      <c r="O852" s="379"/>
      <c r="P852" s="381"/>
      <c r="Q852" s="382"/>
      <c r="R852" s="381"/>
      <c r="S852" s="330"/>
      <c r="T852" s="380"/>
      <c r="U852" s="330"/>
      <c r="V852" s="330"/>
      <c r="W852" s="330"/>
      <c r="X852" s="330"/>
      <c r="Y852" s="330"/>
      <c r="Z852" s="330"/>
      <c r="AA852" s="330"/>
      <c r="AB852" s="352"/>
      <c r="AC852" s="352"/>
      <c r="AD852" s="352"/>
      <c r="AE852" s="367"/>
    </row>
    <row r="853">
      <c r="A853" s="349"/>
      <c r="B853" s="349"/>
      <c r="C853" s="383"/>
      <c r="D853" s="384"/>
      <c r="E853" s="349"/>
      <c r="F853" s="349"/>
      <c r="G853" s="349"/>
      <c r="H853" s="349"/>
      <c r="I853" s="353"/>
      <c r="J853" s="385"/>
      <c r="K853" s="349"/>
      <c r="L853" s="385"/>
      <c r="M853" s="386"/>
      <c r="N853" s="387"/>
      <c r="O853" s="386"/>
      <c r="P853" s="388"/>
      <c r="Q853" s="389"/>
      <c r="R853" s="388"/>
      <c r="S853" s="349"/>
      <c r="T853" s="387"/>
      <c r="U853" s="349"/>
      <c r="V853" s="349"/>
      <c r="W853" s="349"/>
      <c r="X853" s="349"/>
      <c r="Y853" s="349"/>
      <c r="Z853" s="349"/>
      <c r="AA853" s="349"/>
      <c r="AB853" s="353"/>
      <c r="AC853" s="353"/>
      <c r="AD853" s="353"/>
      <c r="AE853" s="371"/>
    </row>
    <row r="854">
      <c r="A854" s="330"/>
      <c r="B854" s="330"/>
      <c r="C854" s="376"/>
      <c r="D854" s="377"/>
      <c r="E854" s="330"/>
      <c r="F854" s="330"/>
      <c r="G854" s="330"/>
      <c r="H854" s="330"/>
      <c r="I854" s="352"/>
      <c r="J854" s="378"/>
      <c r="K854" s="330"/>
      <c r="L854" s="378"/>
      <c r="M854" s="379"/>
      <c r="N854" s="380"/>
      <c r="O854" s="379"/>
      <c r="P854" s="381"/>
      <c r="Q854" s="382"/>
      <c r="R854" s="381"/>
      <c r="S854" s="330"/>
      <c r="T854" s="380"/>
      <c r="U854" s="330"/>
      <c r="V854" s="330"/>
      <c r="W854" s="330"/>
      <c r="X854" s="330"/>
      <c r="Y854" s="330"/>
      <c r="Z854" s="330"/>
      <c r="AA854" s="330"/>
      <c r="AB854" s="352"/>
      <c r="AC854" s="352"/>
      <c r="AD854" s="352"/>
      <c r="AE854" s="367"/>
    </row>
    <row r="855">
      <c r="A855" s="349"/>
      <c r="B855" s="349"/>
      <c r="C855" s="383"/>
      <c r="D855" s="384"/>
      <c r="E855" s="349"/>
      <c r="F855" s="349"/>
      <c r="G855" s="349"/>
      <c r="H855" s="349"/>
      <c r="I855" s="353"/>
      <c r="J855" s="385"/>
      <c r="K855" s="349"/>
      <c r="L855" s="385"/>
      <c r="M855" s="386"/>
      <c r="N855" s="387"/>
      <c r="O855" s="386"/>
      <c r="P855" s="388"/>
      <c r="Q855" s="389"/>
      <c r="R855" s="388"/>
      <c r="S855" s="349"/>
      <c r="T855" s="387"/>
      <c r="U855" s="349"/>
      <c r="V855" s="349"/>
      <c r="W855" s="349"/>
      <c r="X855" s="349"/>
      <c r="Y855" s="349"/>
      <c r="Z855" s="349"/>
      <c r="AA855" s="349"/>
      <c r="AB855" s="353"/>
      <c r="AC855" s="353"/>
      <c r="AD855" s="353"/>
      <c r="AE855" s="371"/>
    </row>
    <row r="856">
      <c r="A856" s="330"/>
      <c r="B856" s="330"/>
      <c r="C856" s="376"/>
      <c r="D856" s="377"/>
      <c r="E856" s="330"/>
      <c r="F856" s="330"/>
      <c r="G856" s="330"/>
      <c r="H856" s="330"/>
      <c r="I856" s="352"/>
      <c r="J856" s="378"/>
      <c r="K856" s="330"/>
      <c r="L856" s="378"/>
      <c r="M856" s="379"/>
      <c r="N856" s="380"/>
      <c r="O856" s="379"/>
      <c r="P856" s="381"/>
      <c r="Q856" s="382"/>
      <c r="R856" s="381"/>
      <c r="S856" s="330"/>
      <c r="T856" s="380"/>
      <c r="U856" s="330"/>
      <c r="V856" s="330"/>
      <c r="W856" s="330"/>
      <c r="X856" s="330"/>
      <c r="Y856" s="330"/>
      <c r="Z856" s="330"/>
      <c r="AA856" s="330"/>
      <c r="AB856" s="352"/>
      <c r="AC856" s="352"/>
      <c r="AD856" s="352"/>
      <c r="AE856" s="367"/>
    </row>
    <row r="857">
      <c r="A857" s="349"/>
      <c r="B857" s="349"/>
      <c r="C857" s="383"/>
      <c r="D857" s="384"/>
      <c r="E857" s="349"/>
      <c r="F857" s="349"/>
      <c r="G857" s="349"/>
      <c r="H857" s="349"/>
      <c r="I857" s="353"/>
      <c r="J857" s="385"/>
      <c r="K857" s="349"/>
      <c r="L857" s="385"/>
      <c r="M857" s="386"/>
      <c r="N857" s="387"/>
      <c r="O857" s="386"/>
      <c r="P857" s="388"/>
      <c r="Q857" s="389"/>
      <c r="R857" s="388"/>
      <c r="S857" s="349"/>
      <c r="T857" s="387"/>
      <c r="U857" s="349"/>
      <c r="V857" s="349"/>
      <c r="W857" s="349"/>
      <c r="X857" s="349"/>
      <c r="Y857" s="349"/>
      <c r="Z857" s="349"/>
      <c r="AA857" s="349"/>
      <c r="AB857" s="353"/>
      <c r="AC857" s="353"/>
      <c r="AD857" s="353"/>
      <c r="AE857" s="371"/>
    </row>
    <row r="858">
      <c r="A858" s="330"/>
      <c r="B858" s="330"/>
      <c r="C858" s="376"/>
      <c r="D858" s="377"/>
      <c r="E858" s="330"/>
      <c r="F858" s="330"/>
      <c r="G858" s="330"/>
      <c r="H858" s="330"/>
      <c r="I858" s="352"/>
      <c r="J858" s="378"/>
      <c r="K858" s="330"/>
      <c r="L858" s="378"/>
      <c r="M858" s="379"/>
      <c r="N858" s="380"/>
      <c r="O858" s="379"/>
      <c r="P858" s="381"/>
      <c r="Q858" s="382"/>
      <c r="R858" s="381"/>
      <c r="S858" s="330"/>
      <c r="T858" s="380"/>
      <c r="U858" s="330"/>
      <c r="V858" s="330"/>
      <c r="W858" s="330"/>
      <c r="X858" s="330"/>
      <c r="Y858" s="330"/>
      <c r="Z858" s="330"/>
      <c r="AA858" s="330"/>
      <c r="AB858" s="352"/>
      <c r="AC858" s="352"/>
      <c r="AD858" s="352"/>
      <c r="AE858" s="367"/>
    </row>
    <row r="859">
      <c r="A859" s="349"/>
      <c r="B859" s="349"/>
      <c r="C859" s="383"/>
      <c r="D859" s="384"/>
      <c r="E859" s="349"/>
      <c r="F859" s="349"/>
      <c r="G859" s="349"/>
      <c r="H859" s="349"/>
      <c r="I859" s="353"/>
      <c r="J859" s="385"/>
      <c r="K859" s="349"/>
      <c r="L859" s="385"/>
      <c r="M859" s="386"/>
      <c r="N859" s="387"/>
      <c r="O859" s="386"/>
      <c r="P859" s="388"/>
      <c r="Q859" s="389"/>
      <c r="R859" s="388"/>
      <c r="S859" s="349"/>
      <c r="T859" s="387"/>
      <c r="U859" s="349"/>
      <c r="V859" s="349"/>
      <c r="W859" s="349"/>
      <c r="X859" s="349"/>
      <c r="Y859" s="349"/>
      <c r="Z859" s="349"/>
      <c r="AA859" s="349"/>
      <c r="AB859" s="353"/>
      <c r="AC859" s="353"/>
      <c r="AD859" s="353"/>
      <c r="AE859" s="371"/>
    </row>
    <row r="860">
      <c r="A860" s="330"/>
      <c r="B860" s="330"/>
      <c r="C860" s="376"/>
      <c r="D860" s="377"/>
      <c r="E860" s="330"/>
      <c r="F860" s="330"/>
      <c r="G860" s="330"/>
      <c r="H860" s="330"/>
      <c r="I860" s="352"/>
      <c r="J860" s="378"/>
      <c r="K860" s="330"/>
      <c r="L860" s="378"/>
      <c r="M860" s="379"/>
      <c r="N860" s="380"/>
      <c r="O860" s="379"/>
      <c r="P860" s="381"/>
      <c r="Q860" s="382"/>
      <c r="R860" s="381"/>
      <c r="S860" s="330"/>
      <c r="T860" s="380"/>
      <c r="U860" s="330"/>
      <c r="V860" s="330"/>
      <c r="W860" s="330"/>
      <c r="X860" s="330"/>
      <c r="Y860" s="330"/>
      <c r="Z860" s="330"/>
      <c r="AA860" s="330"/>
      <c r="AB860" s="352"/>
      <c r="AC860" s="352"/>
      <c r="AD860" s="352"/>
      <c r="AE860" s="367"/>
    </row>
    <row r="861">
      <c r="A861" s="349"/>
      <c r="B861" s="349"/>
      <c r="C861" s="383"/>
      <c r="D861" s="384"/>
      <c r="E861" s="349"/>
      <c r="F861" s="349"/>
      <c r="G861" s="349"/>
      <c r="H861" s="349"/>
      <c r="I861" s="353"/>
      <c r="J861" s="385"/>
      <c r="K861" s="349"/>
      <c r="L861" s="385"/>
      <c r="M861" s="386"/>
      <c r="N861" s="387"/>
      <c r="O861" s="386"/>
      <c r="P861" s="388"/>
      <c r="Q861" s="389"/>
      <c r="R861" s="388"/>
      <c r="S861" s="349"/>
      <c r="T861" s="387"/>
      <c r="U861" s="349"/>
      <c r="V861" s="349"/>
      <c r="W861" s="349"/>
      <c r="X861" s="349"/>
      <c r="Y861" s="349"/>
      <c r="Z861" s="349"/>
      <c r="AA861" s="349"/>
      <c r="AB861" s="353"/>
      <c r="AC861" s="353"/>
      <c r="AD861" s="353"/>
      <c r="AE861" s="371"/>
    </row>
    <row r="862">
      <c r="A862" s="330"/>
      <c r="B862" s="330"/>
      <c r="C862" s="376"/>
      <c r="D862" s="377"/>
      <c r="E862" s="330"/>
      <c r="F862" s="330"/>
      <c r="G862" s="330"/>
      <c r="H862" s="330"/>
      <c r="I862" s="352"/>
      <c r="J862" s="378"/>
      <c r="K862" s="330"/>
      <c r="L862" s="378"/>
      <c r="M862" s="379"/>
      <c r="N862" s="380"/>
      <c r="O862" s="379"/>
      <c r="P862" s="381"/>
      <c r="Q862" s="382"/>
      <c r="R862" s="381"/>
      <c r="S862" s="330"/>
      <c r="T862" s="380"/>
      <c r="U862" s="330"/>
      <c r="V862" s="330"/>
      <c r="W862" s="330"/>
      <c r="X862" s="330"/>
      <c r="Y862" s="330"/>
      <c r="Z862" s="330"/>
      <c r="AA862" s="330"/>
      <c r="AB862" s="352"/>
      <c r="AC862" s="352"/>
      <c r="AD862" s="352"/>
      <c r="AE862" s="367"/>
    </row>
    <row r="863">
      <c r="A863" s="349"/>
      <c r="B863" s="349"/>
      <c r="C863" s="383"/>
      <c r="D863" s="384"/>
      <c r="E863" s="349"/>
      <c r="F863" s="349"/>
      <c r="G863" s="349"/>
      <c r="H863" s="349"/>
      <c r="I863" s="353"/>
      <c r="J863" s="385"/>
      <c r="K863" s="349"/>
      <c r="L863" s="385"/>
      <c r="M863" s="386"/>
      <c r="N863" s="387"/>
      <c r="O863" s="386"/>
      <c r="P863" s="388"/>
      <c r="Q863" s="389"/>
      <c r="R863" s="388"/>
      <c r="S863" s="349"/>
      <c r="T863" s="387"/>
      <c r="U863" s="349"/>
      <c r="V863" s="349"/>
      <c r="W863" s="349"/>
      <c r="X863" s="349"/>
      <c r="Y863" s="349"/>
      <c r="Z863" s="349"/>
      <c r="AA863" s="349"/>
      <c r="AB863" s="353"/>
      <c r="AC863" s="353"/>
      <c r="AD863" s="353"/>
      <c r="AE863" s="371"/>
    </row>
    <row r="864">
      <c r="A864" s="330"/>
      <c r="B864" s="330"/>
      <c r="C864" s="376"/>
      <c r="D864" s="377"/>
      <c r="E864" s="330"/>
      <c r="F864" s="330"/>
      <c r="G864" s="330"/>
      <c r="H864" s="330"/>
      <c r="I864" s="352"/>
      <c r="J864" s="378"/>
      <c r="K864" s="330"/>
      <c r="L864" s="378"/>
      <c r="M864" s="379"/>
      <c r="N864" s="380"/>
      <c r="O864" s="379"/>
      <c r="P864" s="381"/>
      <c r="Q864" s="382"/>
      <c r="R864" s="381"/>
      <c r="S864" s="330"/>
      <c r="T864" s="380"/>
      <c r="U864" s="330"/>
      <c r="V864" s="330"/>
      <c r="W864" s="330"/>
      <c r="X864" s="330"/>
      <c r="Y864" s="330"/>
      <c r="Z864" s="330"/>
      <c r="AA864" s="330"/>
      <c r="AB864" s="352"/>
      <c r="AC864" s="352"/>
      <c r="AD864" s="352"/>
      <c r="AE864" s="367"/>
    </row>
    <row r="865">
      <c r="A865" s="349"/>
      <c r="B865" s="349"/>
      <c r="C865" s="383"/>
      <c r="D865" s="384"/>
      <c r="E865" s="349"/>
      <c r="F865" s="349"/>
      <c r="G865" s="349"/>
      <c r="H865" s="349"/>
      <c r="I865" s="353"/>
      <c r="J865" s="385"/>
      <c r="K865" s="349"/>
      <c r="L865" s="385"/>
      <c r="M865" s="386"/>
      <c r="N865" s="387"/>
      <c r="O865" s="386"/>
      <c r="P865" s="388"/>
      <c r="Q865" s="389"/>
      <c r="R865" s="388"/>
      <c r="S865" s="349"/>
      <c r="T865" s="387"/>
      <c r="U865" s="349"/>
      <c r="V865" s="349"/>
      <c r="W865" s="349"/>
      <c r="X865" s="349"/>
      <c r="Y865" s="349"/>
      <c r="Z865" s="349"/>
      <c r="AA865" s="349"/>
      <c r="AB865" s="353"/>
      <c r="AC865" s="353"/>
      <c r="AD865" s="353"/>
      <c r="AE865" s="371"/>
    </row>
    <row r="866">
      <c r="A866" s="330"/>
      <c r="B866" s="330"/>
      <c r="C866" s="376"/>
      <c r="D866" s="377"/>
      <c r="E866" s="330"/>
      <c r="F866" s="330"/>
      <c r="G866" s="330"/>
      <c r="H866" s="330"/>
      <c r="I866" s="352"/>
      <c r="J866" s="378"/>
      <c r="K866" s="330"/>
      <c r="L866" s="378"/>
      <c r="M866" s="379"/>
      <c r="N866" s="380"/>
      <c r="O866" s="379"/>
      <c r="P866" s="381"/>
      <c r="Q866" s="382"/>
      <c r="R866" s="381"/>
      <c r="S866" s="330"/>
      <c r="T866" s="380"/>
      <c r="U866" s="330"/>
      <c r="V866" s="330"/>
      <c r="W866" s="330"/>
      <c r="X866" s="330"/>
      <c r="Y866" s="330"/>
      <c r="Z866" s="330"/>
      <c r="AA866" s="330"/>
      <c r="AB866" s="352"/>
      <c r="AC866" s="352"/>
      <c r="AD866" s="352"/>
      <c r="AE866" s="367"/>
    </row>
    <row r="867">
      <c r="A867" s="349"/>
      <c r="B867" s="349"/>
      <c r="C867" s="383"/>
      <c r="D867" s="384"/>
      <c r="E867" s="349"/>
      <c r="F867" s="349"/>
      <c r="G867" s="349"/>
      <c r="H867" s="349"/>
      <c r="I867" s="353"/>
      <c r="J867" s="385"/>
      <c r="K867" s="349"/>
      <c r="L867" s="385"/>
      <c r="M867" s="386"/>
      <c r="N867" s="387"/>
      <c r="O867" s="386"/>
      <c r="P867" s="388"/>
      <c r="Q867" s="389"/>
      <c r="R867" s="388"/>
      <c r="S867" s="349"/>
      <c r="T867" s="387"/>
      <c r="U867" s="349"/>
      <c r="V867" s="349"/>
      <c r="W867" s="349"/>
      <c r="X867" s="349"/>
      <c r="Y867" s="349"/>
      <c r="Z867" s="349"/>
      <c r="AA867" s="349"/>
      <c r="AB867" s="353"/>
      <c r="AC867" s="353"/>
      <c r="AD867" s="353"/>
      <c r="AE867" s="371"/>
    </row>
    <row r="868">
      <c r="A868" s="330"/>
      <c r="B868" s="330"/>
      <c r="C868" s="376"/>
      <c r="D868" s="377"/>
      <c r="E868" s="330"/>
      <c r="F868" s="330"/>
      <c r="G868" s="330"/>
      <c r="H868" s="330"/>
      <c r="I868" s="352"/>
      <c r="J868" s="378"/>
      <c r="K868" s="330"/>
      <c r="L868" s="378"/>
      <c r="M868" s="379"/>
      <c r="N868" s="380"/>
      <c r="O868" s="379"/>
      <c r="P868" s="381"/>
      <c r="Q868" s="382"/>
      <c r="R868" s="381"/>
      <c r="S868" s="330"/>
      <c r="T868" s="380"/>
      <c r="U868" s="330"/>
      <c r="V868" s="330"/>
      <c r="W868" s="330"/>
      <c r="X868" s="330"/>
      <c r="Y868" s="330"/>
      <c r="Z868" s="330"/>
      <c r="AA868" s="330"/>
      <c r="AB868" s="352"/>
      <c r="AC868" s="352"/>
      <c r="AD868" s="352"/>
      <c r="AE868" s="367"/>
    </row>
    <row r="869">
      <c r="A869" s="349"/>
      <c r="B869" s="349"/>
      <c r="C869" s="383"/>
      <c r="D869" s="384"/>
      <c r="E869" s="349"/>
      <c r="F869" s="349"/>
      <c r="G869" s="349"/>
      <c r="H869" s="349"/>
      <c r="I869" s="353"/>
      <c r="J869" s="385"/>
      <c r="K869" s="349"/>
      <c r="L869" s="385"/>
      <c r="M869" s="386"/>
      <c r="N869" s="387"/>
      <c r="O869" s="386"/>
      <c r="P869" s="388"/>
      <c r="Q869" s="389"/>
      <c r="R869" s="388"/>
      <c r="S869" s="349"/>
      <c r="T869" s="387"/>
      <c r="U869" s="349"/>
      <c r="V869" s="349"/>
      <c r="W869" s="349"/>
      <c r="X869" s="349"/>
      <c r="Y869" s="349"/>
      <c r="Z869" s="349"/>
      <c r="AA869" s="349"/>
      <c r="AB869" s="353"/>
      <c r="AC869" s="353"/>
      <c r="AD869" s="353"/>
      <c r="AE869" s="371"/>
    </row>
    <row r="870">
      <c r="A870" s="330"/>
      <c r="B870" s="330"/>
      <c r="C870" s="376"/>
      <c r="D870" s="377"/>
      <c r="E870" s="330"/>
      <c r="F870" s="330"/>
      <c r="G870" s="330"/>
      <c r="H870" s="330"/>
      <c r="I870" s="352"/>
      <c r="J870" s="378"/>
      <c r="K870" s="330"/>
      <c r="L870" s="378"/>
      <c r="M870" s="379"/>
      <c r="N870" s="380"/>
      <c r="O870" s="379"/>
      <c r="P870" s="381"/>
      <c r="Q870" s="382"/>
      <c r="R870" s="381"/>
      <c r="S870" s="330"/>
      <c r="T870" s="380"/>
      <c r="U870" s="330"/>
      <c r="V870" s="330"/>
      <c r="W870" s="330"/>
      <c r="X870" s="330"/>
      <c r="Y870" s="330"/>
      <c r="Z870" s="330"/>
      <c r="AA870" s="330"/>
      <c r="AB870" s="352"/>
      <c r="AC870" s="352"/>
      <c r="AD870" s="352"/>
      <c r="AE870" s="367"/>
    </row>
    <row r="871">
      <c r="A871" s="349"/>
      <c r="B871" s="349"/>
      <c r="C871" s="383"/>
      <c r="D871" s="384"/>
      <c r="E871" s="349"/>
      <c r="F871" s="349"/>
      <c r="G871" s="349"/>
      <c r="H871" s="349"/>
      <c r="I871" s="353"/>
      <c r="J871" s="385"/>
      <c r="K871" s="349"/>
      <c r="L871" s="385"/>
      <c r="M871" s="386"/>
      <c r="N871" s="387"/>
      <c r="O871" s="386"/>
      <c r="P871" s="388"/>
      <c r="Q871" s="389"/>
      <c r="R871" s="388"/>
      <c r="S871" s="349"/>
      <c r="T871" s="387"/>
      <c r="U871" s="349"/>
      <c r="V871" s="349"/>
      <c r="W871" s="349"/>
      <c r="X871" s="349"/>
      <c r="Y871" s="349"/>
      <c r="Z871" s="349"/>
      <c r="AA871" s="349"/>
      <c r="AB871" s="353"/>
      <c r="AC871" s="353"/>
      <c r="AD871" s="353"/>
      <c r="AE871" s="371"/>
    </row>
    <row r="872">
      <c r="A872" s="330"/>
      <c r="B872" s="330"/>
      <c r="C872" s="376"/>
      <c r="D872" s="377"/>
      <c r="E872" s="330"/>
      <c r="F872" s="330"/>
      <c r="G872" s="330"/>
      <c r="H872" s="330"/>
      <c r="I872" s="352"/>
      <c r="J872" s="378"/>
      <c r="K872" s="330"/>
      <c r="L872" s="378"/>
      <c r="M872" s="379"/>
      <c r="N872" s="380"/>
      <c r="O872" s="379"/>
      <c r="P872" s="381"/>
      <c r="Q872" s="382"/>
      <c r="R872" s="381"/>
      <c r="S872" s="330"/>
      <c r="T872" s="380"/>
      <c r="U872" s="330"/>
      <c r="V872" s="330"/>
      <c r="W872" s="330"/>
      <c r="X872" s="330"/>
      <c r="Y872" s="330"/>
      <c r="Z872" s="330"/>
      <c r="AA872" s="330"/>
      <c r="AB872" s="352"/>
      <c r="AC872" s="352"/>
      <c r="AD872" s="352"/>
      <c r="AE872" s="367"/>
    </row>
    <row r="873">
      <c r="A873" s="349"/>
      <c r="B873" s="349"/>
      <c r="C873" s="383"/>
      <c r="D873" s="384"/>
      <c r="E873" s="349"/>
      <c r="F873" s="349"/>
      <c r="G873" s="349"/>
      <c r="H873" s="349"/>
      <c r="I873" s="353"/>
      <c r="J873" s="385"/>
      <c r="K873" s="349"/>
      <c r="L873" s="385"/>
      <c r="M873" s="386"/>
      <c r="N873" s="387"/>
      <c r="O873" s="386"/>
      <c r="P873" s="388"/>
      <c r="Q873" s="389"/>
      <c r="R873" s="388"/>
      <c r="S873" s="349"/>
      <c r="T873" s="387"/>
      <c r="U873" s="349"/>
      <c r="V873" s="349"/>
      <c r="W873" s="349"/>
      <c r="X873" s="349"/>
      <c r="Y873" s="349"/>
      <c r="Z873" s="349"/>
      <c r="AA873" s="349"/>
      <c r="AB873" s="353"/>
      <c r="AC873" s="353"/>
      <c r="AD873" s="353"/>
      <c r="AE873" s="371"/>
    </row>
    <row r="874">
      <c r="A874" s="330"/>
      <c r="B874" s="330"/>
      <c r="C874" s="376"/>
      <c r="D874" s="377"/>
      <c r="E874" s="330"/>
      <c r="F874" s="330"/>
      <c r="G874" s="330"/>
      <c r="H874" s="330"/>
      <c r="I874" s="352"/>
      <c r="J874" s="378"/>
      <c r="K874" s="330"/>
      <c r="L874" s="378"/>
      <c r="M874" s="379"/>
      <c r="N874" s="380"/>
      <c r="O874" s="379"/>
      <c r="P874" s="381"/>
      <c r="Q874" s="382"/>
      <c r="R874" s="381"/>
      <c r="S874" s="330"/>
      <c r="T874" s="380"/>
      <c r="U874" s="330"/>
      <c r="V874" s="330"/>
      <c r="W874" s="330"/>
      <c r="X874" s="330"/>
      <c r="Y874" s="330"/>
      <c r="Z874" s="330"/>
      <c r="AA874" s="330"/>
      <c r="AB874" s="352"/>
      <c r="AC874" s="352"/>
      <c r="AD874" s="352"/>
      <c r="AE874" s="367"/>
    </row>
    <row r="875">
      <c r="A875" s="349"/>
      <c r="B875" s="349"/>
      <c r="C875" s="383"/>
      <c r="D875" s="384"/>
      <c r="E875" s="349"/>
      <c r="F875" s="349"/>
      <c r="G875" s="349"/>
      <c r="H875" s="349"/>
      <c r="I875" s="353"/>
      <c r="J875" s="385"/>
      <c r="K875" s="349"/>
      <c r="L875" s="385"/>
      <c r="M875" s="386"/>
      <c r="N875" s="387"/>
      <c r="O875" s="386"/>
      <c r="P875" s="388"/>
      <c r="Q875" s="389"/>
      <c r="R875" s="388"/>
      <c r="S875" s="349"/>
      <c r="T875" s="387"/>
      <c r="U875" s="349"/>
      <c r="V875" s="349"/>
      <c r="W875" s="349"/>
      <c r="X875" s="349"/>
      <c r="Y875" s="349"/>
      <c r="Z875" s="349"/>
      <c r="AA875" s="349"/>
      <c r="AB875" s="353"/>
      <c r="AC875" s="353"/>
      <c r="AD875" s="353"/>
      <c r="AE875" s="371"/>
    </row>
    <row r="876">
      <c r="A876" s="330"/>
      <c r="B876" s="330"/>
      <c r="C876" s="376"/>
      <c r="D876" s="377"/>
      <c r="E876" s="330"/>
      <c r="F876" s="330"/>
      <c r="G876" s="330"/>
      <c r="H876" s="330"/>
      <c r="I876" s="352"/>
      <c r="J876" s="378"/>
      <c r="K876" s="330"/>
      <c r="L876" s="378"/>
      <c r="M876" s="379"/>
      <c r="N876" s="380"/>
      <c r="O876" s="379"/>
      <c r="P876" s="381"/>
      <c r="Q876" s="382"/>
      <c r="R876" s="381"/>
      <c r="S876" s="330"/>
      <c r="T876" s="380"/>
      <c r="U876" s="330"/>
      <c r="V876" s="330"/>
      <c r="W876" s="330"/>
      <c r="X876" s="330"/>
      <c r="Y876" s="330"/>
      <c r="Z876" s="330"/>
      <c r="AA876" s="330"/>
      <c r="AB876" s="352"/>
      <c r="AC876" s="352"/>
      <c r="AD876" s="352"/>
      <c r="AE876" s="367"/>
    </row>
    <row r="877">
      <c r="A877" s="349"/>
      <c r="B877" s="349"/>
      <c r="C877" s="383"/>
      <c r="D877" s="384"/>
      <c r="E877" s="349"/>
      <c r="F877" s="349"/>
      <c r="G877" s="349"/>
      <c r="H877" s="349"/>
      <c r="I877" s="353"/>
      <c r="J877" s="385"/>
      <c r="K877" s="349"/>
      <c r="L877" s="385"/>
      <c r="M877" s="386"/>
      <c r="N877" s="387"/>
      <c r="O877" s="386"/>
      <c r="P877" s="388"/>
      <c r="Q877" s="389"/>
      <c r="R877" s="388"/>
      <c r="S877" s="349"/>
      <c r="T877" s="387"/>
      <c r="U877" s="349"/>
      <c r="V877" s="349"/>
      <c r="W877" s="349"/>
      <c r="X877" s="349"/>
      <c r="Y877" s="349"/>
      <c r="Z877" s="349"/>
      <c r="AA877" s="349"/>
      <c r="AB877" s="353"/>
      <c r="AC877" s="353"/>
      <c r="AD877" s="353"/>
      <c r="AE877" s="371"/>
    </row>
    <row r="878">
      <c r="A878" s="330"/>
      <c r="B878" s="330"/>
      <c r="C878" s="376"/>
      <c r="D878" s="377"/>
      <c r="E878" s="330"/>
      <c r="F878" s="330"/>
      <c r="G878" s="330"/>
      <c r="H878" s="330"/>
      <c r="I878" s="352"/>
      <c r="J878" s="378"/>
      <c r="K878" s="330"/>
      <c r="L878" s="378"/>
      <c r="M878" s="379"/>
      <c r="N878" s="380"/>
      <c r="O878" s="379"/>
      <c r="P878" s="381"/>
      <c r="Q878" s="382"/>
      <c r="R878" s="381"/>
      <c r="S878" s="330"/>
      <c r="T878" s="380"/>
      <c r="U878" s="330"/>
      <c r="V878" s="330"/>
      <c r="W878" s="330"/>
      <c r="X878" s="330"/>
      <c r="Y878" s="330"/>
      <c r="Z878" s="330"/>
      <c r="AA878" s="330"/>
      <c r="AB878" s="352"/>
      <c r="AC878" s="352"/>
      <c r="AD878" s="352"/>
      <c r="AE878" s="367"/>
    </row>
    <row r="879">
      <c r="A879" s="349"/>
      <c r="B879" s="349"/>
      <c r="C879" s="383"/>
      <c r="D879" s="384"/>
      <c r="E879" s="349"/>
      <c r="F879" s="349"/>
      <c r="G879" s="349"/>
      <c r="H879" s="349"/>
      <c r="I879" s="353"/>
      <c r="J879" s="385"/>
      <c r="K879" s="349"/>
      <c r="L879" s="385"/>
      <c r="M879" s="386"/>
      <c r="N879" s="387"/>
      <c r="O879" s="386"/>
      <c r="P879" s="388"/>
      <c r="Q879" s="389"/>
      <c r="R879" s="388"/>
      <c r="S879" s="349"/>
      <c r="T879" s="387"/>
      <c r="U879" s="349"/>
      <c r="V879" s="349"/>
      <c r="W879" s="349"/>
      <c r="X879" s="349"/>
      <c r="Y879" s="349"/>
      <c r="Z879" s="349"/>
      <c r="AA879" s="349"/>
      <c r="AB879" s="353"/>
      <c r="AC879" s="353"/>
      <c r="AD879" s="353"/>
      <c r="AE879" s="371"/>
    </row>
    <row r="880">
      <c r="A880" s="330"/>
      <c r="B880" s="330"/>
      <c r="C880" s="376"/>
      <c r="D880" s="377"/>
      <c r="E880" s="330"/>
      <c r="F880" s="330"/>
      <c r="G880" s="330"/>
      <c r="H880" s="330"/>
      <c r="I880" s="352"/>
      <c r="J880" s="378"/>
      <c r="K880" s="330"/>
      <c r="L880" s="378"/>
      <c r="M880" s="379"/>
      <c r="N880" s="380"/>
      <c r="O880" s="379"/>
      <c r="P880" s="381"/>
      <c r="Q880" s="382"/>
      <c r="R880" s="381"/>
      <c r="S880" s="330"/>
      <c r="T880" s="380"/>
      <c r="U880" s="330"/>
      <c r="V880" s="330"/>
      <c r="W880" s="330"/>
      <c r="X880" s="330"/>
      <c r="Y880" s="330"/>
      <c r="Z880" s="330"/>
      <c r="AA880" s="330"/>
      <c r="AB880" s="352"/>
      <c r="AC880" s="352"/>
      <c r="AD880" s="352"/>
      <c r="AE880" s="367"/>
    </row>
    <row r="881">
      <c r="A881" s="349"/>
      <c r="B881" s="349"/>
      <c r="C881" s="383"/>
      <c r="D881" s="384"/>
      <c r="E881" s="349"/>
      <c r="F881" s="349"/>
      <c r="G881" s="349"/>
      <c r="H881" s="349"/>
      <c r="I881" s="353"/>
      <c r="J881" s="385"/>
      <c r="K881" s="349"/>
      <c r="L881" s="385"/>
      <c r="M881" s="386"/>
      <c r="N881" s="387"/>
      <c r="O881" s="386"/>
      <c r="P881" s="388"/>
      <c r="Q881" s="389"/>
      <c r="R881" s="388"/>
      <c r="S881" s="349"/>
      <c r="T881" s="387"/>
      <c r="U881" s="349"/>
      <c r="V881" s="349"/>
      <c r="W881" s="349"/>
      <c r="X881" s="349"/>
      <c r="Y881" s="349"/>
      <c r="Z881" s="349"/>
      <c r="AA881" s="349"/>
      <c r="AB881" s="353"/>
      <c r="AC881" s="353"/>
      <c r="AD881" s="353"/>
      <c r="AE881" s="371"/>
    </row>
    <row r="882">
      <c r="A882" s="330"/>
      <c r="B882" s="330"/>
      <c r="C882" s="376"/>
      <c r="D882" s="377"/>
      <c r="E882" s="330"/>
      <c r="F882" s="330"/>
      <c r="G882" s="330"/>
      <c r="H882" s="330"/>
      <c r="I882" s="352"/>
      <c r="J882" s="378"/>
      <c r="K882" s="330"/>
      <c r="L882" s="378"/>
      <c r="M882" s="379"/>
      <c r="N882" s="380"/>
      <c r="O882" s="379"/>
      <c r="P882" s="381"/>
      <c r="Q882" s="382"/>
      <c r="R882" s="381"/>
      <c r="S882" s="330"/>
      <c r="T882" s="380"/>
      <c r="U882" s="330"/>
      <c r="V882" s="330"/>
      <c r="W882" s="330"/>
      <c r="X882" s="330"/>
      <c r="Y882" s="330"/>
      <c r="Z882" s="330"/>
      <c r="AA882" s="330"/>
      <c r="AB882" s="352"/>
      <c r="AC882" s="352"/>
      <c r="AD882" s="352"/>
      <c r="AE882" s="367"/>
    </row>
    <row r="883">
      <c r="A883" s="349"/>
      <c r="B883" s="349"/>
      <c r="C883" s="383"/>
      <c r="D883" s="384"/>
      <c r="E883" s="349"/>
      <c r="F883" s="349"/>
      <c r="G883" s="349"/>
      <c r="H883" s="349"/>
      <c r="I883" s="353"/>
      <c r="J883" s="385"/>
      <c r="K883" s="349"/>
      <c r="L883" s="385"/>
      <c r="M883" s="386"/>
      <c r="N883" s="387"/>
      <c r="O883" s="386"/>
      <c r="P883" s="388"/>
      <c r="Q883" s="389"/>
      <c r="R883" s="388"/>
      <c r="S883" s="349"/>
      <c r="T883" s="387"/>
      <c r="U883" s="349"/>
      <c r="V883" s="349"/>
      <c r="W883" s="349"/>
      <c r="X883" s="349"/>
      <c r="Y883" s="349"/>
      <c r="Z883" s="349"/>
      <c r="AA883" s="349"/>
      <c r="AB883" s="353"/>
      <c r="AC883" s="353"/>
      <c r="AD883" s="353"/>
      <c r="AE883" s="371"/>
    </row>
    <row r="884">
      <c r="A884" s="330"/>
      <c r="B884" s="330"/>
      <c r="C884" s="376"/>
      <c r="D884" s="377"/>
      <c r="E884" s="330"/>
      <c r="F884" s="330"/>
      <c r="G884" s="330"/>
      <c r="H884" s="330"/>
      <c r="I884" s="352"/>
      <c r="J884" s="378"/>
      <c r="K884" s="330"/>
      <c r="L884" s="378"/>
      <c r="M884" s="379"/>
      <c r="N884" s="380"/>
      <c r="O884" s="379"/>
      <c r="P884" s="381"/>
      <c r="Q884" s="382"/>
      <c r="R884" s="381"/>
      <c r="S884" s="330"/>
      <c r="T884" s="380"/>
      <c r="U884" s="330"/>
      <c r="V884" s="330"/>
      <c r="W884" s="330"/>
      <c r="X884" s="330"/>
      <c r="Y884" s="330"/>
      <c r="Z884" s="330"/>
      <c r="AA884" s="330"/>
      <c r="AB884" s="352"/>
      <c r="AC884" s="352"/>
      <c r="AD884" s="352"/>
      <c r="AE884" s="367"/>
    </row>
    <row r="885">
      <c r="A885" s="349"/>
      <c r="B885" s="349"/>
      <c r="C885" s="383"/>
      <c r="D885" s="384"/>
      <c r="E885" s="349"/>
      <c r="F885" s="349"/>
      <c r="G885" s="349"/>
      <c r="H885" s="349"/>
      <c r="I885" s="353"/>
      <c r="J885" s="385"/>
      <c r="K885" s="349"/>
      <c r="L885" s="385"/>
      <c r="M885" s="386"/>
      <c r="N885" s="387"/>
      <c r="O885" s="386"/>
      <c r="P885" s="388"/>
      <c r="Q885" s="389"/>
      <c r="R885" s="388"/>
      <c r="S885" s="349"/>
      <c r="T885" s="387"/>
      <c r="U885" s="349"/>
      <c r="V885" s="349"/>
      <c r="W885" s="349"/>
      <c r="X885" s="349"/>
      <c r="Y885" s="349"/>
      <c r="Z885" s="349"/>
      <c r="AA885" s="349"/>
      <c r="AB885" s="353"/>
      <c r="AC885" s="353"/>
      <c r="AD885" s="353"/>
      <c r="AE885" s="371"/>
    </row>
    <row r="886">
      <c r="A886" s="330"/>
      <c r="B886" s="330"/>
      <c r="C886" s="376"/>
      <c r="D886" s="377"/>
      <c r="E886" s="330"/>
      <c r="F886" s="330"/>
      <c r="G886" s="330"/>
      <c r="H886" s="330"/>
      <c r="I886" s="352"/>
      <c r="J886" s="378"/>
      <c r="K886" s="330"/>
      <c r="L886" s="378"/>
      <c r="M886" s="379"/>
      <c r="N886" s="380"/>
      <c r="O886" s="379"/>
      <c r="P886" s="381"/>
      <c r="Q886" s="382"/>
      <c r="R886" s="381"/>
      <c r="S886" s="330"/>
      <c r="T886" s="380"/>
      <c r="U886" s="330"/>
      <c r="V886" s="330"/>
      <c r="W886" s="330"/>
      <c r="X886" s="330"/>
      <c r="Y886" s="330"/>
      <c r="Z886" s="330"/>
      <c r="AA886" s="330"/>
      <c r="AB886" s="352"/>
      <c r="AC886" s="352"/>
      <c r="AD886" s="352"/>
      <c r="AE886" s="367"/>
    </row>
    <row r="887">
      <c r="A887" s="349"/>
      <c r="B887" s="349"/>
      <c r="C887" s="383"/>
      <c r="D887" s="384"/>
      <c r="E887" s="349"/>
      <c r="F887" s="349"/>
      <c r="G887" s="349"/>
      <c r="H887" s="349"/>
      <c r="I887" s="353"/>
      <c r="J887" s="385"/>
      <c r="K887" s="349"/>
      <c r="L887" s="385"/>
      <c r="M887" s="386"/>
      <c r="N887" s="387"/>
      <c r="O887" s="386"/>
      <c r="P887" s="388"/>
      <c r="Q887" s="389"/>
      <c r="R887" s="388"/>
      <c r="S887" s="349"/>
      <c r="T887" s="387"/>
      <c r="U887" s="349"/>
      <c r="V887" s="349"/>
      <c r="W887" s="349"/>
      <c r="X887" s="349"/>
      <c r="Y887" s="349"/>
      <c r="Z887" s="349"/>
      <c r="AA887" s="349"/>
      <c r="AB887" s="353"/>
      <c r="AC887" s="353"/>
      <c r="AD887" s="353"/>
      <c r="AE887" s="371"/>
    </row>
    <row r="888">
      <c r="A888" s="330"/>
      <c r="B888" s="330"/>
      <c r="C888" s="376"/>
      <c r="D888" s="377"/>
      <c r="E888" s="330"/>
      <c r="F888" s="330"/>
      <c r="G888" s="330"/>
      <c r="H888" s="330"/>
      <c r="I888" s="352"/>
      <c r="J888" s="378"/>
      <c r="K888" s="330"/>
      <c r="L888" s="378"/>
      <c r="M888" s="379"/>
      <c r="N888" s="380"/>
      <c r="O888" s="379"/>
      <c r="P888" s="381"/>
      <c r="Q888" s="382"/>
      <c r="R888" s="381"/>
      <c r="S888" s="330"/>
      <c r="T888" s="380"/>
      <c r="U888" s="330"/>
      <c r="V888" s="330"/>
      <c r="W888" s="330"/>
      <c r="X888" s="330"/>
      <c r="Y888" s="330"/>
      <c r="Z888" s="330"/>
      <c r="AA888" s="330"/>
      <c r="AB888" s="352"/>
      <c r="AC888" s="352"/>
      <c r="AD888" s="352"/>
      <c r="AE888" s="367"/>
    </row>
    <row r="889">
      <c r="A889" s="349"/>
      <c r="B889" s="349"/>
      <c r="C889" s="383"/>
      <c r="D889" s="384"/>
      <c r="E889" s="349"/>
      <c r="F889" s="349"/>
      <c r="G889" s="349"/>
      <c r="H889" s="349"/>
      <c r="I889" s="353"/>
      <c r="J889" s="385"/>
      <c r="K889" s="349"/>
      <c r="L889" s="385"/>
      <c r="M889" s="386"/>
      <c r="N889" s="387"/>
      <c r="O889" s="386"/>
      <c r="P889" s="388"/>
      <c r="Q889" s="389"/>
      <c r="R889" s="388"/>
      <c r="S889" s="349"/>
      <c r="T889" s="387"/>
      <c r="U889" s="349"/>
      <c r="V889" s="349"/>
      <c r="W889" s="349"/>
      <c r="X889" s="349"/>
      <c r="Y889" s="349"/>
      <c r="Z889" s="349"/>
      <c r="AA889" s="349"/>
      <c r="AB889" s="353"/>
      <c r="AC889" s="353"/>
      <c r="AD889" s="353"/>
      <c r="AE889" s="371"/>
    </row>
    <row r="890">
      <c r="A890" s="330"/>
      <c r="B890" s="330"/>
      <c r="C890" s="376"/>
      <c r="D890" s="377"/>
      <c r="E890" s="330"/>
      <c r="F890" s="330"/>
      <c r="G890" s="330"/>
      <c r="H890" s="330"/>
      <c r="I890" s="352"/>
      <c r="J890" s="378"/>
      <c r="K890" s="330"/>
      <c r="L890" s="378"/>
      <c r="M890" s="379"/>
      <c r="N890" s="380"/>
      <c r="O890" s="379"/>
      <c r="P890" s="381"/>
      <c r="Q890" s="382"/>
      <c r="R890" s="381"/>
      <c r="S890" s="330"/>
      <c r="T890" s="380"/>
      <c r="U890" s="330"/>
      <c r="V890" s="330"/>
      <c r="W890" s="330"/>
      <c r="X890" s="330"/>
      <c r="Y890" s="330"/>
      <c r="Z890" s="330"/>
      <c r="AA890" s="330"/>
      <c r="AB890" s="352"/>
      <c r="AC890" s="352"/>
      <c r="AD890" s="352"/>
      <c r="AE890" s="367"/>
    </row>
    <row r="891">
      <c r="A891" s="349"/>
      <c r="B891" s="349"/>
      <c r="C891" s="383"/>
      <c r="D891" s="384"/>
      <c r="E891" s="349"/>
      <c r="F891" s="349"/>
      <c r="G891" s="349"/>
      <c r="H891" s="349"/>
      <c r="I891" s="353"/>
      <c r="J891" s="385"/>
      <c r="K891" s="349"/>
      <c r="L891" s="385"/>
      <c r="M891" s="386"/>
      <c r="N891" s="387"/>
      <c r="O891" s="386"/>
      <c r="P891" s="388"/>
      <c r="Q891" s="389"/>
      <c r="R891" s="388"/>
      <c r="S891" s="349"/>
      <c r="T891" s="387"/>
      <c r="U891" s="349"/>
      <c r="V891" s="349"/>
      <c r="W891" s="349"/>
      <c r="X891" s="349"/>
      <c r="Y891" s="349"/>
      <c r="Z891" s="349"/>
      <c r="AA891" s="349"/>
      <c r="AB891" s="353"/>
      <c r="AC891" s="353"/>
      <c r="AD891" s="353"/>
      <c r="AE891" s="371"/>
    </row>
    <row r="892">
      <c r="A892" s="330"/>
      <c r="B892" s="330"/>
      <c r="C892" s="376"/>
      <c r="D892" s="377"/>
      <c r="E892" s="330"/>
      <c r="F892" s="330"/>
      <c r="G892" s="330"/>
      <c r="H892" s="330"/>
      <c r="I892" s="352"/>
      <c r="J892" s="378"/>
      <c r="K892" s="330"/>
      <c r="L892" s="378"/>
      <c r="M892" s="379"/>
      <c r="N892" s="380"/>
      <c r="O892" s="379"/>
      <c r="P892" s="381"/>
      <c r="Q892" s="382"/>
      <c r="R892" s="381"/>
      <c r="S892" s="330"/>
      <c r="T892" s="380"/>
      <c r="U892" s="330"/>
      <c r="V892" s="330"/>
      <c r="W892" s="330"/>
      <c r="X892" s="330"/>
      <c r="Y892" s="330"/>
      <c r="Z892" s="330"/>
      <c r="AA892" s="330"/>
      <c r="AB892" s="352"/>
      <c r="AC892" s="352"/>
      <c r="AD892" s="352"/>
      <c r="AE892" s="367"/>
    </row>
    <row r="893">
      <c r="A893" s="349"/>
      <c r="B893" s="349"/>
      <c r="C893" s="383"/>
      <c r="D893" s="384"/>
      <c r="E893" s="349"/>
      <c r="F893" s="349"/>
      <c r="G893" s="349"/>
      <c r="H893" s="349"/>
      <c r="I893" s="353"/>
      <c r="J893" s="385"/>
      <c r="K893" s="349"/>
      <c r="L893" s="385"/>
      <c r="M893" s="386"/>
      <c r="N893" s="387"/>
      <c r="O893" s="386"/>
      <c r="P893" s="388"/>
      <c r="Q893" s="389"/>
      <c r="R893" s="388"/>
      <c r="S893" s="349"/>
      <c r="T893" s="387"/>
      <c r="U893" s="349"/>
      <c r="V893" s="349"/>
      <c r="W893" s="349"/>
      <c r="X893" s="349"/>
      <c r="Y893" s="349"/>
      <c r="Z893" s="349"/>
      <c r="AA893" s="349"/>
      <c r="AB893" s="353"/>
      <c r="AC893" s="353"/>
      <c r="AD893" s="353"/>
      <c r="AE893" s="371"/>
    </row>
    <row r="894">
      <c r="A894" s="330"/>
      <c r="B894" s="330"/>
      <c r="C894" s="376"/>
      <c r="D894" s="377"/>
      <c r="E894" s="330"/>
      <c r="F894" s="330"/>
      <c r="G894" s="330"/>
      <c r="H894" s="330"/>
      <c r="I894" s="352"/>
      <c r="J894" s="378"/>
      <c r="K894" s="330"/>
      <c r="L894" s="378"/>
      <c r="M894" s="379"/>
      <c r="N894" s="380"/>
      <c r="O894" s="379"/>
      <c r="P894" s="381"/>
      <c r="Q894" s="382"/>
      <c r="R894" s="381"/>
      <c r="S894" s="330"/>
      <c r="T894" s="380"/>
      <c r="U894" s="330"/>
      <c r="V894" s="330"/>
      <c r="W894" s="330"/>
      <c r="X894" s="330"/>
      <c r="Y894" s="330"/>
      <c r="Z894" s="330"/>
      <c r="AA894" s="330"/>
      <c r="AB894" s="352"/>
      <c r="AC894" s="352"/>
      <c r="AD894" s="352"/>
      <c r="AE894" s="367"/>
    </row>
    <row r="895">
      <c r="A895" s="349"/>
      <c r="B895" s="349"/>
      <c r="C895" s="383"/>
      <c r="D895" s="384"/>
      <c r="E895" s="349"/>
      <c r="F895" s="349"/>
      <c r="G895" s="349"/>
      <c r="H895" s="349"/>
      <c r="I895" s="353"/>
      <c r="J895" s="385"/>
      <c r="K895" s="349"/>
      <c r="L895" s="385"/>
      <c r="M895" s="386"/>
      <c r="N895" s="387"/>
      <c r="O895" s="386"/>
      <c r="P895" s="388"/>
      <c r="Q895" s="389"/>
      <c r="R895" s="388"/>
      <c r="S895" s="349"/>
      <c r="T895" s="387"/>
      <c r="U895" s="349"/>
      <c r="V895" s="349"/>
      <c r="W895" s="349"/>
      <c r="X895" s="349"/>
      <c r="Y895" s="349"/>
      <c r="Z895" s="349"/>
      <c r="AA895" s="349"/>
      <c r="AB895" s="353"/>
      <c r="AC895" s="353"/>
      <c r="AD895" s="353"/>
      <c r="AE895" s="371"/>
    </row>
    <row r="896">
      <c r="A896" s="330"/>
      <c r="B896" s="330"/>
      <c r="C896" s="376"/>
      <c r="D896" s="377"/>
      <c r="E896" s="330"/>
      <c r="F896" s="330"/>
      <c r="G896" s="330"/>
      <c r="H896" s="330"/>
      <c r="I896" s="352"/>
      <c r="J896" s="378"/>
      <c r="K896" s="330"/>
      <c r="L896" s="378"/>
      <c r="M896" s="379"/>
      <c r="N896" s="380"/>
      <c r="O896" s="379"/>
      <c r="P896" s="381"/>
      <c r="Q896" s="382"/>
      <c r="R896" s="381"/>
      <c r="S896" s="330"/>
      <c r="T896" s="380"/>
      <c r="U896" s="330"/>
      <c r="V896" s="330"/>
      <c r="W896" s="330"/>
      <c r="X896" s="330"/>
      <c r="Y896" s="330"/>
      <c r="Z896" s="330"/>
      <c r="AA896" s="330"/>
      <c r="AB896" s="352"/>
      <c r="AC896" s="352"/>
      <c r="AD896" s="352"/>
      <c r="AE896" s="367"/>
    </row>
    <row r="897">
      <c r="A897" s="349"/>
      <c r="B897" s="349"/>
      <c r="C897" s="383"/>
      <c r="D897" s="384"/>
      <c r="E897" s="349"/>
      <c r="F897" s="349"/>
      <c r="G897" s="349"/>
      <c r="H897" s="349"/>
      <c r="I897" s="353"/>
      <c r="J897" s="385"/>
      <c r="K897" s="349"/>
      <c r="L897" s="385"/>
      <c r="M897" s="386"/>
      <c r="N897" s="387"/>
      <c r="O897" s="386"/>
      <c r="P897" s="388"/>
      <c r="Q897" s="389"/>
      <c r="R897" s="388"/>
      <c r="S897" s="349"/>
      <c r="T897" s="387"/>
      <c r="U897" s="349"/>
      <c r="V897" s="349"/>
      <c r="W897" s="349"/>
      <c r="X897" s="349"/>
      <c r="Y897" s="349"/>
      <c r="Z897" s="349"/>
      <c r="AA897" s="349"/>
      <c r="AB897" s="353"/>
      <c r="AC897" s="353"/>
      <c r="AD897" s="353"/>
      <c r="AE897" s="371"/>
    </row>
    <row r="898">
      <c r="A898" s="330"/>
      <c r="B898" s="330"/>
      <c r="C898" s="376"/>
      <c r="D898" s="377"/>
      <c r="E898" s="330"/>
      <c r="F898" s="330"/>
      <c r="G898" s="330"/>
      <c r="H898" s="330"/>
      <c r="I898" s="352"/>
      <c r="J898" s="378"/>
      <c r="K898" s="330"/>
      <c r="L898" s="378"/>
      <c r="M898" s="379"/>
      <c r="N898" s="380"/>
      <c r="O898" s="379"/>
      <c r="P898" s="381"/>
      <c r="Q898" s="382"/>
      <c r="R898" s="381"/>
      <c r="S898" s="330"/>
      <c r="T898" s="380"/>
      <c r="U898" s="330"/>
      <c r="V898" s="330"/>
      <c r="W898" s="330"/>
      <c r="X898" s="330"/>
      <c r="Y898" s="330"/>
      <c r="Z898" s="330"/>
      <c r="AA898" s="330"/>
      <c r="AB898" s="352"/>
      <c r="AC898" s="352"/>
      <c r="AD898" s="352"/>
      <c r="AE898" s="367"/>
    </row>
    <row r="899">
      <c r="A899" s="349"/>
      <c r="B899" s="349"/>
      <c r="C899" s="383"/>
      <c r="D899" s="384"/>
      <c r="E899" s="349"/>
      <c r="F899" s="349"/>
      <c r="G899" s="349"/>
      <c r="H899" s="349"/>
      <c r="I899" s="353"/>
      <c r="J899" s="385"/>
      <c r="K899" s="349"/>
      <c r="L899" s="385"/>
      <c r="M899" s="386"/>
      <c r="N899" s="387"/>
      <c r="O899" s="386"/>
      <c r="P899" s="388"/>
      <c r="Q899" s="389"/>
      <c r="R899" s="388"/>
      <c r="S899" s="349"/>
      <c r="T899" s="387"/>
      <c r="U899" s="349"/>
      <c r="V899" s="349"/>
      <c r="W899" s="349"/>
      <c r="X899" s="349"/>
      <c r="Y899" s="349"/>
      <c r="Z899" s="349"/>
      <c r="AA899" s="349"/>
      <c r="AB899" s="353"/>
      <c r="AC899" s="353"/>
      <c r="AD899" s="353"/>
      <c r="AE899" s="371"/>
    </row>
    <row r="900">
      <c r="A900" s="330"/>
      <c r="B900" s="330"/>
      <c r="C900" s="376"/>
      <c r="D900" s="377"/>
      <c r="E900" s="330"/>
      <c r="F900" s="330"/>
      <c r="G900" s="330"/>
      <c r="H900" s="330"/>
      <c r="I900" s="352"/>
      <c r="J900" s="378"/>
      <c r="K900" s="330"/>
      <c r="L900" s="378"/>
      <c r="M900" s="379"/>
      <c r="N900" s="380"/>
      <c r="O900" s="379"/>
      <c r="P900" s="381"/>
      <c r="Q900" s="382"/>
      <c r="R900" s="381"/>
      <c r="S900" s="330"/>
      <c r="T900" s="380"/>
      <c r="U900" s="330"/>
      <c r="V900" s="330"/>
      <c r="W900" s="330"/>
      <c r="X900" s="330"/>
      <c r="Y900" s="330"/>
      <c r="Z900" s="330"/>
      <c r="AA900" s="330"/>
      <c r="AB900" s="352"/>
      <c r="AC900" s="352"/>
      <c r="AD900" s="352"/>
      <c r="AE900" s="367"/>
    </row>
    <row r="901">
      <c r="A901" s="349"/>
      <c r="B901" s="349"/>
      <c r="C901" s="383"/>
      <c r="D901" s="384"/>
      <c r="E901" s="349"/>
      <c r="F901" s="349"/>
      <c r="G901" s="349"/>
      <c r="H901" s="349"/>
      <c r="I901" s="353"/>
      <c r="J901" s="385"/>
      <c r="K901" s="349"/>
      <c r="L901" s="385"/>
      <c r="M901" s="386"/>
      <c r="N901" s="387"/>
      <c r="O901" s="386"/>
      <c r="P901" s="388"/>
      <c r="Q901" s="389"/>
      <c r="R901" s="388"/>
      <c r="S901" s="349"/>
      <c r="T901" s="387"/>
      <c r="U901" s="349"/>
      <c r="V901" s="349"/>
      <c r="W901" s="349"/>
      <c r="X901" s="349"/>
      <c r="Y901" s="349"/>
      <c r="Z901" s="349"/>
      <c r="AA901" s="349"/>
      <c r="AB901" s="353"/>
      <c r="AC901" s="353"/>
      <c r="AD901" s="353"/>
      <c r="AE901" s="371"/>
    </row>
    <row r="902">
      <c r="A902" s="330"/>
      <c r="B902" s="330"/>
      <c r="C902" s="376"/>
      <c r="D902" s="377"/>
      <c r="E902" s="330"/>
      <c r="F902" s="330"/>
      <c r="G902" s="330"/>
      <c r="H902" s="330"/>
      <c r="I902" s="352"/>
      <c r="J902" s="378"/>
      <c r="K902" s="330"/>
      <c r="L902" s="378"/>
      <c r="M902" s="379"/>
      <c r="N902" s="380"/>
      <c r="O902" s="379"/>
      <c r="P902" s="381"/>
      <c r="Q902" s="382"/>
      <c r="R902" s="381"/>
      <c r="S902" s="330"/>
      <c r="T902" s="380"/>
      <c r="U902" s="330"/>
      <c r="V902" s="330"/>
      <c r="W902" s="330"/>
      <c r="X902" s="330"/>
      <c r="Y902" s="330"/>
      <c r="Z902" s="330"/>
      <c r="AA902" s="330"/>
      <c r="AB902" s="352"/>
      <c r="AC902" s="352"/>
      <c r="AD902" s="352"/>
      <c r="AE902" s="367"/>
    </row>
    <row r="903">
      <c r="A903" s="349"/>
      <c r="B903" s="349"/>
      <c r="C903" s="383"/>
      <c r="D903" s="384"/>
      <c r="E903" s="349"/>
      <c r="F903" s="349"/>
      <c r="G903" s="349"/>
      <c r="H903" s="349"/>
      <c r="I903" s="353"/>
      <c r="J903" s="385"/>
      <c r="K903" s="349"/>
      <c r="L903" s="385"/>
      <c r="M903" s="386"/>
      <c r="N903" s="387"/>
      <c r="O903" s="386"/>
      <c r="P903" s="388"/>
      <c r="Q903" s="389"/>
      <c r="R903" s="388"/>
      <c r="S903" s="349"/>
      <c r="T903" s="387"/>
      <c r="U903" s="349"/>
      <c r="V903" s="349"/>
      <c r="W903" s="349"/>
      <c r="X903" s="349"/>
      <c r="Y903" s="349"/>
      <c r="Z903" s="349"/>
      <c r="AA903" s="349"/>
      <c r="AB903" s="353"/>
      <c r="AC903" s="353"/>
      <c r="AD903" s="353"/>
      <c r="AE903" s="371"/>
    </row>
    <row r="904">
      <c r="A904" s="330"/>
      <c r="B904" s="330"/>
      <c r="C904" s="376"/>
      <c r="D904" s="377"/>
      <c r="E904" s="330"/>
      <c r="F904" s="330"/>
      <c r="G904" s="330"/>
      <c r="H904" s="330"/>
      <c r="I904" s="352"/>
      <c r="J904" s="378"/>
      <c r="K904" s="330"/>
      <c r="L904" s="378"/>
      <c r="M904" s="379"/>
      <c r="N904" s="380"/>
      <c r="O904" s="379"/>
      <c r="P904" s="381"/>
      <c r="Q904" s="382"/>
      <c r="R904" s="381"/>
      <c r="S904" s="330"/>
      <c r="T904" s="380"/>
      <c r="U904" s="330"/>
      <c r="V904" s="330"/>
      <c r="W904" s="330"/>
      <c r="X904" s="330"/>
      <c r="Y904" s="330"/>
      <c r="Z904" s="330"/>
      <c r="AA904" s="330"/>
      <c r="AB904" s="352"/>
      <c r="AC904" s="352"/>
      <c r="AD904" s="352"/>
      <c r="AE904" s="367"/>
    </row>
    <row r="905">
      <c r="A905" s="349"/>
      <c r="B905" s="349"/>
      <c r="C905" s="383"/>
      <c r="D905" s="384"/>
      <c r="E905" s="349"/>
      <c r="F905" s="349"/>
      <c r="G905" s="349"/>
      <c r="H905" s="349"/>
      <c r="I905" s="353"/>
      <c r="J905" s="385"/>
      <c r="K905" s="349"/>
      <c r="L905" s="385"/>
      <c r="M905" s="386"/>
      <c r="N905" s="387"/>
      <c r="O905" s="386"/>
      <c r="P905" s="388"/>
      <c r="Q905" s="389"/>
      <c r="R905" s="388"/>
      <c r="S905" s="349"/>
      <c r="T905" s="387"/>
      <c r="U905" s="349"/>
      <c r="V905" s="349"/>
      <c r="W905" s="349"/>
      <c r="X905" s="349"/>
      <c r="Y905" s="349"/>
      <c r="Z905" s="349"/>
      <c r="AA905" s="349"/>
      <c r="AB905" s="353"/>
      <c r="AC905" s="353"/>
      <c r="AD905" s="353"/>
      <c r="AE905" s="371"/>
    </row>
    <row r="906">
      <c r="A906" s="330"/>
      <c r="B906" s="330"/>
      <c r="C906" s="376"/>
      <c r="D906" s="377"/>
      <c r="E906" s="330"/>
      <c r="F906" s="330"/>
      <c r="G906" s="330"/>
      <c r="H906" s="330"/>
      <c r="I906" s="352"/>
      <c r="J906" s="378"/>
      <c r="K906" s="330"/>
      <c r="L906" s="378"/>
      <c r="M906" s="379"/>
      <c r="N906" s="380"/>
      <c r="O906" s="379"/>
      <c r="P906" s="381"/>
      <c r="Q906" s="382"/>
      <c r="R906" s="381"/>
      <c r="S906" s="330"/>
      <c r="T906" s="380"/>
      <c r="U906" s="330"/>
      <c r="V906" s="330"/>
      <c r="W906" s="330"/>
      <c r="X906" s="330"/>
      <c r="Y906" s="330"/>
      <c r="Z906" s="330"/>
      <c r="AA906" s="330"/>
      <c r="AB906" s="352"/>
      <c r="AC906" s="352"/>
      <c r="AD906" s="352"/>
      <c r="AE906" s="367"/>
    </row>
    <row r="907">
      <c r="A907" s="349"/>
      <c r="B907" s="349"/>
      <c r="C907" s="383"/>
      <c r="D907" s="384"/>
      <c r="E907" s="349"/>
      <c r="F907" s="349"/>
      <c r="G907" s="349"/>
      <c r="H907" s="349"/>
      <c r="I907" s="353"/>
      <c r="J907" s="385"/>
      <c r="K907" s="349"/>
      <c r="L907" s="385"/>
      <c r="M907" s="386"/>
      <c r="N907" s="387"/>
      <c r="O907" s="386"/>
      <c r="P907" s="388"/>
      <c r="Q907" s="389"/>
      <c r="R907" s="388"/>
      <c r="S907" s="349"/>
      <c r="T907" s="387"/>
      <c r="U907" s="349"/>
      <c r="V907" s="349"/>
      <c r="W907" s="349"/>
      <c r="X907" s="349"/>
      <c r="Y907" s="349"/>
      <c r="Z907" s="349"/>
      <c r="AA907" s="349"/>
      <c r="AB907" s="353"/>
      <c r="AC907" s="353"/>
      <c r="AD907" s="353"/>
      <c r="AE907" s="371"/>
    </row>
    <row r="908">
      <c r="A908" s="330"/>
      <c r="B908" s="330"/>
      <c r="C908" s="376"/>
      <c r="D908" s="377"/>
      <c r="E908" s="330"/>
      <c r="F908" s="330"/>
      <c r="G908" s="330"/>
      <c r="H908" s="330"/>
      <c r="I908" s="352"/>
      <c r="J908" s="378"/>
      <c r="K908" s="330"/>
      <c r="L908" s="378"/>
      <c r="M908" s="379"/>
      <c r="N908" s="380"/>
      <c r="O908" s="379"/>
      <c r="P908" s="381"/>
      <c r="Q908" s="382"/>
      <c r="R908" s="381"/>
      <c r="S908" s="330"/>
      <c r="T908" s="380"/>
      <c r="U908" s="330"/>
      <c r="V908" s="330"/>
      <c r="W908" s="330"/>
      <c r="X908" s="330"/>
      <c r="Y908" s="330"/>
      <c r="Z908" s="330"/>
      <c r="AA908" s="330"/>
      <c r="AB908" s="352"/>
      <c r="AC908" s="352"/>
      <c r="AD908" s="352"/>
      <c r="AE908" s="367"/>
    </row>
    <row r="909">
      <c r="A909" s="349"/>
      <c r="B909" s="349"/>
      <c r="C909" s="383"/>
      <c r="D909" s="384"/>
      <c r="E909" s="349"/>
      <c r="F909" s="349"/>
      <c r="G909" s="349"/>
      <c r="H909" s="349"/>
      <c r="I909" s="353"/>
      <c r="J909" s="385"/>
      <c r="K909" s="349"/>
      <c r="L909" s="385"/>
      <c r="M909" s="386"/>
      <c r="N909" s="387"/>
      <c r="O909" s="386"/>
      <c r="P909" s="388"/>
      <c r="Q909" s="389"/>
      <c r="R909" s="388"/>
      <c r="S909" s="349"/>
      <c r="T909" s="387"/>
      <c r="U909" s="349"/>
      <c r="V909" s="349"/>
      <c r="W909" s="349"/>
      <c r="X909" s="349"/>
      <c r="Y909" s="349"/>
      <c r="Z909" s="349"/>
      <c r="AA909" s="349"/>
      <c r="AB909" s="353"/>
      <c r="AC909" s="353"/>
      <c r="AD909" s="353"/>
      <c r="AE909" s="371"/>
    </row>
    <row r="910">
      <c r="A910" s="330"/>
      <c r="B910" s="330"/>
      <c r="C910" s="376"/>
      <c r="D910" s="377"/>
      <c r="E910" s="330"/>
      <c r="F910" s="330"/>
      <c r="G910" s="330"/>
      <c r="H910" s="330"/>
      <c r="I910" s="352"/>
      <c r="J910" s="378"/>
      <c r="K910" s="330"/>
      <c r="L910" s="378"/>
      <c r="M910" s="379"/>
      <c r="N910" s="380"/>
      <c r="O910" s="379"/>
      <c r="P910" s="381"/>
      <c r="Q910" s="382"/>
      <c r="R910" s="381"/>
      <c r="S910" s="330"/>
      <c r="T910" s="380"/>
      <c r="U910" s="330"/>
      <c r="V910" s="330"/>
      <c r="W910" s="330"/>
      <c r="X910" s="330"/>
      <c r="Y910" s="330"/>
      <c r="Z910" s="330"/>
      <c r="AA910" s="330"/>
      <c r="AB910" s="352"/>
      <c r="AC910" s="352"/>
      <c r="AD910" s="352"/>
      <c r="AE910" s="367"/>
    </row>
    <row r="911">
      <c r="A911" s="349"/>
      <c r="B911" s="349"/>
      <c r="C911" s="383"/>
      <c r="D911" s="384"/>
      <c r="E911" s="349"/>
      <c r="F911" s="349"/>
      <c r="G911" s="349"/>
      <c r="H911" s="349"/>
      <c r="I911" s="353"/>
      <c r="J911" s="385"/>
      <c r="K911" s="349"/>
      <c r="L911" s="385"/>
      <c r="M911" s="386"/>
      <c r="N911" s="387"/>
      <c r="O911" s="386"/>
      <c r="P911" s="388"/>
      <c r="Q911" s="389"/>
      <c r="R911" s="388"/>
      <c r="S911" s="349"/>
      <c r="T911" s="387"/>
      <c r="U911" s="349"/>
      <c r="V911" s="349"/>
      <c r="W911" s="349"/>
      <c r="X911" s="349"/>
      <c r="Y911" s="349"/>
      <c r="Z911" s="349"/>
      <c r="AA911" s="349"/>
      <c r="AB911" s="353"/>
      <c r="AC911" s="353"/>
      <c r="AD911" s="353"/>
      <c r="AE911" s="371"/>
    </row>
    <row r="912">
      <c r="A912" s="330"/>
      <c r="B912" s="330"/>
      <c r="C912" s="376"/>
      <c r="D912" s="377"/>
      <c r="E912" s="330"/>
      <c r="F912" s="330"/>
      <c r="G912" s="330"/>
      <c r="H912" s="330"/>
      <c r="I912" s="352"/>
      <c r="J912" s="378"/>
      <c r="K912" s="330"/>
      <c r="L912" s="378"/>
      <c r="M912" s="379"/>
      <c r="N912" s="380"/>
      <c r="O912" s="379"/>
      <c r="P912" s="381"/>
      <c r="Q912" s="382"/>
      <c r="R912" s="381"/>
      <c r="S912" s="330"/>
      <c r="T912" s="380"/>
      <c r="U912" s="330"/>
      <c r="V912" s="330"/>
      <c r="W912" s="330"/>
      <c r="X912" s="330"/>
      <c r="Y912" s="330"/>
      <c r="Z912" s="330"/>
      <c r="AA912" s="330"/>
      <c r="AB912" s="352"/>
      <c r="AC912" s="352"/>
      <c r="AD912" s="352"/>
      <c r="AE912" s="367"/>
    </row>
    <row r="913">
      <c r="A913" s="349"/>
      <c r="B913" s="349"/>
      <c r="C913" s="383"/>
      <c r="D913" s="384"/>
      <c r="E913" s="349"/>
      <c r="F913" s="349"/>
      <c r="G913" s="349"/>
      <c r="H913" s="349"/>
      <c r="I913" s="353"/>
      <c r="J913" s="385"/>
      <c r="K913" s="349"/>
      <c r="L913" s="385"/>
      <c r="M913" s="386"/>
      <c r="N913" s="387"/>
      <c r="O913" s="386"/>
      <c r="P913" s="388"/>
      <c r="Q913" s="389"/>
      <c r="R913" s="388"/>
      <c r="S913" s="349"/>
      <c r="T913" s="387"/>
      <c r="U913" s="349"/>
      <c r="V913" s="349"/>
      <c r="W913" s="349"/>
      <c r="X913" s="349"/>
      <c r="Y913" s="349"/>
      <c r="Z913" s="349"/>
      <c r="AA913" s="349"/>
      <c r="AB913" s="353"/>
      <c r="AC913" s="353"/>
      <c r="AD913" s="353"/>
      <c r="AE913" s="371"/>
    </row>
    <row r="914">
      <c r="A914" s="330"/>
      <c r="B914" s="330"/>
      <c r="C914" s="376"/>
      <c r="D914" s="377"/>
      <c r="E914" s="330"/>
      <c r="F914" s="330"/>
      <c r="G914" s="330"/>
      <c r="H914" s="330"/>
      <c r="I914" s="352"/>
      <c r="J914" s="378"/>
      <c r="K914" s="330"/>
      <c r="L914" s="378"/>
      <c r="M914" s="379"/>
      <c r="N914" s="380"/>
      <c r="O914" s="379"/>
      <c r="P914" s="381"/>
      <c r="Q914" s="382"/>
      <c r="R914" s="381"/>
      <c r="S914" s="330"/>
      <c r="T914" s="380"/>
      <c r="U914" s="330"/>
      <c r="V914" s="330"/>
      <c r="W914" s="330"/>
      <c r="X914" s="330"/>
      <c r="Y914" s="330"/>
      <c r="Z914" s="330"/>
      <c r="AA914" s="330"/>
      <c r="AB914" s="352"/>
      <c r="AC914" s="352"/>
      <c r="AD914" s="352"/>
      <c r="AE914" s="367"/>
    </row>
    <row r="915">
      <c r="A915" s="349"/>
      <c r="B915" s="349"/>
      <c r="C915" s="383"/>
      <c r="D915" s="384"/>
      <c r="E915" s="349"/>
      <c r="F915" s="349"/>
      <c r="G915" s="349"/>
      <c r="H915" s="349"/>
      <c r="I915" s="353"/>
      <c r="J915" s="385"/>
      <c r="K915" s="349"/>
      <c r="L915" s="385"/>
      <c r="M915" s="386"/>
      <c r="N915" s="387"/>
      <c r="O915" s="386"/>
      <c r="P915" s="388"/>
      <c r="Q915" s="389"/>
      <c r="R915" s="388"/>
      <c r="S915" s="349"/>
      <c r="T915" s="387"/>
      <c r="U915" s="349"/>
      <c r="V915" s="349"/>
      <c r="W915" s="349"/>
      <c r="X915" s="349"/>
      <c r="Y915" s="349"/>
      <c r="Z915" s="349"/>
      <c r="AA915" s="349"/>
      <c r="AB915" s="353"/>
      <c r="AC915" s="353"/>
      <c r="AD915" s="353"/>
      <c r="AE915" s="371"/>
    </row>
    <row r="916">
      <c r="A916" s="330"/>
      <c r="B916" s="330"/>
      <c r="C916" s="376"/>
      <c r="D916" s="377"/>
      <c r="E916" s="330"/>
      <c r="F916" s="330"/>
      <c r="G916" s="330"/>
      <c r="H916" s="330"/>
      <c r="I916" s="352"/>
      <c r="J916" s="378"/>
      <c r="K916" s="330"/>
      <c r="L916" s="378"/>
      <c r="M916" s="379"/>
      <c r="N916" s="380"/>
      <c r="O916" s="379"/>
      <c r="P916" s="381"/>
      <c r="Q916" s="382"/>
      <c r="R916" s="381"/>
      <c r="S916" s="330"/>
      <c r="T916" s="380"/>
      <c r="U916" s="330"/>
      <c r="V916" s="330"/>
      <c r="W916" s="330"/>
      <c r="X916" s="330"/>
      <c r="Y916" s="330"/>
      <c r="Z916" s="330"/>
      <c r="AA916" s="330"/>
      <c r="AB916" s="352"/>
      <c r="AC916" s="352"/>
      <c r="AD916" s="352"/>
      <c r="AE916" s="367"/>
    </row>
    <row r="917">
      <c r="A917" s="349"/>
      <c r="B917" s="349"/>
      <c r="C917" s="383"/>
      <c r="D917" s="384"/>
      <c r="E917" s="349"/>
      <c r="F917" s="349"/>
      <c r="G917" s="349"/>
      <c r="H917" s="349"/>
      <c r="I917" s="353"/>
      <c r="J917" s="385"/>
      <c r="K917" s="349"/>
      <c r="L917" s="385"/>
      <c r="M917" s="386"/>
      <c r="N917" s="387"/>
      <c r="O917" s="386"/>
      <c r="P917" s="388"/>
      <c r="Q917" s="389"/>
      <c r="R917" s="388"/>
      <c r="S917" s="349"/>
      <c r="T917" s="387"/>
      <c r="U917" s="349"/>
      <c r="V917" s="349"/>
      <c r="W917" s="349"/>
      <c r="X917" s="349"/>
      <c r="Y917" s="349"/>
      <c r="Z917" s="349"/>
      <c r="AA917" s="349"/>
      <c r="AB917" s="353"/>
      <c r="AC917" s="353"/>
      <c r="AD917" s="353"/>
      <c r="AE917" s="371"/>
    </row>
    <row r="918">
      <c r="A918" s="330"/>
      <c r="B918" s="330"/>
      <c r="C918" s="376"/>
      <c r="D918" s="377"/>
      <c r="E918" s="330"/>
      <c r="F918" s="330"/>
      <c r="G918" s="330"/>
      <c r="H918" s="330"/>
      <c r="I918" s="352"/>
      <c r="J918" s="378"/>
      <c r="K918" s="330"/>
      <c r="L918" s="378"/>
      <c r="M918" s="379"/>
      <c r="N918" s="380"/>
      <c r="O918" s="379"/>
      <c r="P918" s="381"/>
      <c r="Q918" s="382"/>
      <c r="R918" s="381"/>
      <c r="S918" s="330"/>
      <c r="T918" s="380"/>
      <c r="U918" s="330"/>
      <c r="V918" s="330"/>
      <c r="W918" s="330"/>
      <c r="X918" s="330"/>
      <c r="Y918" s="330"/>
      <c r="Z918" s="330"/>
      <c r="AA918" s="330"/>
      <c r="AB918" s="352"/>
      <c r="AC918" s="352"/>
      <c r="AD918" s="352"/>
      <c r="AE918" s="367"/>
    </row>
    <row r="919">
      <c r="A919" s="349"/>
      <c r="B919" s="349"/>
      <c r="C919" s="383"/>
      <c r="D919" s="384"/>
      <c r="E919" s="349"/>
      <c r="F919" s="349"/>
      <c r="G919" s="349"/>
      <c r="H919" s="349"/>
      <c r="I919" s="353"/>
      <c r="J919" s="385"/>
      <c r="K919" s="349"/>
      <c r="L919" s="385"/>
      <c r="M919" s="386"/>
      <c r="N919" s="387"/>
      <c r="O919" s="386"/>
      <c r="P919" s="388"/>
      <c r="Q919" s="389"/>
      <c r="R919" s="388"/>
      <c r="S919" s="349"/>
      <c r="T919" s="387"/>
      <c r="U919" s="349"/>
      <c r="V919" s="349"/>
      <c r="W919" s="349"/>
      <c r="X919" s="349"/>
      <c r="Y919" s="349"/>
      <c r="Z919" s="349"/>
      <c r="AA919" s="349"/>
      <c r="AB919" s="353"/>
      <c r="AC919" s="353"/>
      <c r="AD919" s="353"/>
      <c r="AE919" s="371"/>
    </row>
    <row r="920">
      <c r="A920" s="330"/>
      <c r="B920" s="330"/>
      <c r="C920" s="376"/>
      <c r="D920" s="377"/>
      <c r="E920" s="330"/>
      <c r="F920" s="330"/>
      <c r="G920" s="330"/>
      <c r="H920" s="330"/>
      <c r="I920" s="352"/>
      <c r="J920" s="378"/>
      <c r="K920" s="330"/>
      <c r="L920" s="378"/>
      <c r="M920" s="379"/>
      <c r="N920" s="380"/>
      <c r="O920" s="379"/>
      <c r="P920" s="381"/>
      <c r="Q920" s="382"/>
      <c r="R920" s="381"/>
      <c r="S920" s="330"/>
      <c r="T920" s="380"/>
      <c r="U920" s="330"/>
      <c r="V920" s="330"/>
      <c r="W920" s="330"/>
      <c r="X920" s="330"/>
      <c r="Y920" s="330"/>
      <c r="Z920" s="330"/>
      <c r="AA920" s="330"/>
      <c r="AB920" s="352"/>
      <c r="AC920" s="352"/>
      <c r="AD920" s="352"/>
      <c r="AE920" s="367"/>
    </row>
    <row r="921">
      <c r="A921" s="349"/>
      <c r="B921" s="349"/>
      <c r="C921" s="383"/>
      <c r="D921" s="384"/>
      <c r="E921" s="349"/>
      <c r="F921" s="349"/>
      <c r="G921" s="349"/>
      <c r="H921" s="349"/>
      <c r="I921" s="353"/>
      <c r="J921" s="385"/>
      <c r="K921" s="349"/>
      <c r="L921" s="385"/>
      <c r="M921" s="386"/>
      <c r="N921" s="387"/>
      <c r="O921" s="386"/>
      <c r="P921" s="388"/>
      <c r="Q921" s="389"/>
      <c r="R921" s="388"/>
      <c r="S921" s="349"/>
      <c r="T921" s="387"/>
      <c r="U921" s="349"/>
      <c r="V921" s="349"/>
      <c r="W921" s="349"/>
      <c r="X921" s="349"/>
      <c r="Y921" s="349"/>
      <c r="Z921" s="349"/>
      <c r="AA921" s="349"/>
      <c r="AB921" s="353"/>
      <c r="AC921" s="353"/>
      <c r="AD921" s="353"/>
      <c r="AE921" s="371"/>
    </row>
    <row r="922">
      <c r="A922" s="330"/>
      <c r="B922" s="330"/>
      <c r="C922" s="376"/>
      <c r="D922" s="377"/>
      <c r="E922" s="330"/>
      <c r="F922" s="330"/>
      <c r="G922" s="330"/>
      <c r="H922" s="330"/>
      <c r="I922" s="352"/>
      <c r="J922" s="378"/>
      <c r="K922" s="330"/>
      <c r="L922" s="378"/>
      <c r="M922" s="379"/>
      <c r="N922" s="380"/>
      <c r="O922" s="379"/>
      <c r="P922" s="381"/>
      <c r="Q922" s="382"/>
      <c r="R922" s="381"/>
      <c r="S922" s="330"/>
      <c r="T922" s="380"/>
      <c r="U922" s="330"/>
      <c r="V922" s="330"/>
      <c r="W922" s="330"/>
      <c r="X922" s="330"/>
      <c r="Y922" s="330"/>
      <c r="Z922" s="330"/>
      <c r="AA922" s="330"/>
      <c r="AB922" s="352"/>
      <c r="AC922" s="352"/>
      <c r="AD922" s="352"/>
      <c r="AE922" s="367"/>
    </row>
    <row r="923">
      <c r="A923" s="349"/>
      <c r="B923" s="349"/>
      <c r="C923" s="383"/>
      <c r="D923" s="384"/>
      <c r="E923" s="349"/>
      <c r="F923" s="349"/>
      <c r="G923" s="349"/>
      <c r="H923" s="349"/>
      <c r="I923" s="353"/>
      <c r="J923" s="385"/>
      <c r="K923" s="349"/>
      <c r="L923" s="385"/>
      <c r="M923" s="386"/>
      <c r="N923" s="387"/>
      <c r="O923" s="386"/>
      <c r="P923" s="388"/>
      <c r="Q923" s="389"/>
      <c r="R923" s="388"/>
      <c r="S923" s="349"/>
      <c r="T923" s="387"/>
      <c r="U923" s="349"/>
      <c r="V923" s="349"/>
      <c r="W923" s="349"/>
      <c r="X923" s="349"/>
      <c r="Y923" s="349"/>
      <c r="Z923" s="349"/>
      <c r="AA923" s="349"/>
      <c r="AB923" s="353"/>
      <c r="AC923" s="353"/>
      <c r="AD923" s="353"/>
      <c r="AE923" s="371"/>
    </row>
    <row r="924">
      <c r="A924" s="330"/>
      <c r="B924" s="330"/>
      <c r="C924" s="376"/>
      <c r="D924" s="377"/>
      <c r="E924" s="330"/>
      <c r="F924" s="330"/>
      <c r="G924" s="330"/>
      <c r="H924" s="330"/>
      <c r="I924" s="352"/>
      <c r="J924" s="378"/>
      <c r="K924" s="330"/>
      <c r="L924" s="378"/>
      <c r="M924" s="379"/>
      <c r="N924" s="380"/>
      <c r="O924" s="379"/>
      <c r="P924" s="381"/>
      <c r="Q924" s="382"/>
      <c r="R924" s="381"/>
      <c r="S924" s="330"/>
      <c r="T924" s="380"/>
      <c r="U924" s="330"/>
      <c r="V924" s="330"/>
      <c r="W924" s="330"/>
      <c r="X924" s="330"/>
      <c r="Y924" s="330"/>
      <c r="Z924" s="330"/>
      <c r="AA924" s="330"/>
      <c r="AB924" s="352"/>
      <c r="AC924" s="352"/>
      <c r="AD924" s="352"/>
      <c r="AE924" s="367"/>
    </row>
    <row r="925">
      <c r="A925" s="349"/>
      <c r="B925" s="349"/>
      <c r="C925" s="383"/>
      <c r="D925" s="384"/>
      <c r="E925" s="349"/>
      <c r="F925" s="349"/>
      <c r="G925" s="349"/>
      <c r="H925" s="349"/>
      <c r="I925" s="353"/>
      <c r="J925" s="385"/>
      <c r="K925" s="349"/>
      <c r="L925" s="385"/>
      <c r="M925" s="386"/>
      <c r="N925" s="387"/>
      <c r="O925" s="386"/>
      <c r="P925" s="388"/>
      <c r="Q925" s="389"/>
      <c r="R925" s="388"/>
      <c r="S925" s="349"/>
      <c r="T925" s="387"/>
      <c r="U925" s="349"/>
      <c r="V925" s="349"/>
      <c r="W925" s="349"/>
      <c r="X925" s="349"/>
      <c r="Y925" s="349"/>
      <c r="Z925" s="349"/>
      <c r="AA925" s="349"/>
      <c r="AB925" s="353"/>
      <c r="AC925" s="353"/>
      <c r="AD925" s="353"/>
      <c r="AE925" s="371"/>
    </row>
    <row r="926">
      <c r="A926" s="330"/>
      <c r="B926" s="330"/>
      <c r="C926" s="376"/>
      <c r="D926" s="377"/>
      <c r="E926" s="330"/>
      <c r="F926" s="330"/>
      <c r="G926" s="330"/>
      <c r="H926" s="330"/>
      <c r="I926" s="352"/>
      <c r="J926" s="378"/>
      <c r="K926" s="330"/>
      <c r="L926" s="378"/>
      <c r="M926" s="379"/>
      <c r="N926" s="380"/>
      <c r="O926" s="379"/>
      <c r="P926" s="381"/>
      <c r="Q926" s="382"/>
      <c r="R926" s="381"/>
      <c r="S926" s="330"/>
      <c r="T926" s="380"/>
      <c r="U926" s="330"/>
      <c r="V926" s="330"/>
      <c r="W926" s="330"/>
      <c r="X926" s="330"/>
      <c r="Y926" s="330"/>
      <c r="Z926" s="330"/>
      <c r="AA926" s="330"/>
      <c r="AB926" s="352"/>
      <c r="AC926" s="352"/>
      <c r="AD926" s="352"/>
      <c r="AE926" s="367"/>
    </row>
    <row r="927">
      <c r="A927" s="349"/>
      <c r="B927" s="349"/>
      <c r="C927" s="383"/>
      <c r="D927" s="384"/>
      <c r="E927" s="349"/>
      <c r="F927" s="349"/>
      <c r="G927" s="349"/>
      <c r="H927" s="349"/>
      <c r="I927" s="353"/>
      <c r="J927" s="385"/>
      <c r="K927" s="349"/>
      <c r="L927" s="385"/>
      <c r="M927" s="386"/>
      <c r="N927" s="387"/>
      <c r="O927" s="386"/>
      <c r="P927" s="388"/>
      <c r="Q927" s="389"/>
      <c r="R927" s="388"/>
      <c r="S927" s="349"/>
      <c r="T927" s="387"/>
      <c r="U927" s="349"/>
      <c r="V927" s="349"/>
      <c r="W927" s="349"/>
      <c r="X927" s="349"/>
      <c r="Y927" s="349"/>
      <c r="Z927" s="349"/>
      <c r="AA927" s="349"/>
      <c r="AB927" s="353"/>
      <c r="AC927" s="353"/>
      <c r="AD927" s="353"/>
      <c r="AE927" s="371"/>
    </row>
    <row r="928">
      <c r="A928" s="330"/>
      <c r="B928" s="330"/>
      <c r="C928" s="376"/>
      <c r="D928" s="377"/>
      <c r="E928" s="330"/>
      <c r="F928" s="330"/>
      <c r="G928" s="330"/>
      <c r="H928" s="330"/>
      <c r="I928" s="352"/>
      <c r="J928" s="378"/>
      <c r="K928" s="330"/>
      <c r="L928" s="378"/>
      <c r="M928" s="379"/>
      <c r="N928" s="380"/>
      <c r="O928" s="379"/>
      <c r="P928" s="381"/>
      <c r="Q928" s="382"/>
      <c r="R928" s="381"/>
      <c r="S928" s="330"/>
      <c r="T928" s="380"/>
      <c r="U928" s="330"/>
      <c r="V928" s="330"/>
      <c r="W928" s="330"/>
      <c r="X928" s="330"/>
      <c r="Y928" s="330"/>
      <c r="Z928" s="330"/>
      <c r="AA928" s="330"/>
      <c r="AB928" s="352"/>
      <c r="AC928" s="352"/>
      <c r="AD928" s="352"/>
      <c r="AE928" s="367"/>
    </row>
    <row r="929">
      <c r="A929" s="349"/>
      <c r="B929" s="349"/>
      <c r="C929" s="383"/>
      <c r="D929" s="384"/>
      <c r="E929" s="349"/>
      <c r="F929" s="349"/>
      <c r="G929" s="349"/>
      <c r="H929" s="349"/>
      <c r="I929" s="353"/>
      <c r="J929" s="385"/>
      <c r="K929" s="349"/>
      <c r="L929" s="385"/>
      <c r="M929" s="386"/>
      <c r="N929" s="387"/>
      <c r="O929" s="386"/>
      <c r="P929" s="388"/>
      <c r="Q929" s="389"/>
      <c r="R929" s="388"/>
      <c r="S929" s="349"/>
      <c r="T929" s="387"/>
      <c r="U929" s="349"/>
      <c r="V929" s="349"/>
      <c r="W929" s="349"/>
      <c r="X929" s="349"/>
      <c r="Y929" s="349"/>
      <c r="Z929" s="349"/>
      <c r="AA929" s="349"/>
      <c r="AB929" s="353"/>
      <c r="AC929" s="353"/>
      <c r="AD929" s="353"/>
      <c r="AE929" s="371"/>
    </row>
    <row r="930">
      <c r="A930" s="330"/>
      <c r="B930" s="330"/>
      <c r="C930" s="376"/>
      <c r="D930" s="377"/>
      <c r="E930" s="330"/>
      <c r="F930" s="330"/>
      <c r="G930" s="330"/>
      <c r="H930" s="330"/>
      <c r="I930" s="352"/>
      <c r="J930" s="378"/>
      <c r="K930" s="330"/>
      <c r="L930" s="378"/>
      <c r="M930" s="379"/>
      <c r="N930" s="380"/>
      <c r="O930" s="379"/>
      <c r="P930" s="381"/>
      <c r="Q930" s="382"/>
      <c r="R930" s="381"/>
      <c r="S930" s="330"/>
      <c r="T930" s="380"/>
      <c r="U930" s="330"/>
      <c r="V930" s="330"/>
      <c r="W930" s="330"/>
      <c r="X930" s="330"/>
      <c r="Y930" s="330"/>
      <c r="Z930" s="330"/>
      <c r="AA930" s="330"/>
      <c r="AB930" s="352"/>
      <c r="AC930" s="352"/>
      <c r="AD930" s="352"/>
      <c r="AE930" s="367"/>
    </row>
    <row r="931">
      <c r="A931" s="349"/>
      <c r="B931" s="349"/>
      <c r="C931" s="383"/>
      <c r="D931" s="384"/>
      <c r="E931" s="349"/>
      <c r="F931" s="349"/>
      <c r="G931" s="349"/>
      <c r="H931" s="349"/>
      <c r="I931" s="353"/>
      <c r="J931" s="385"/>
      <c r="K931" s="349"/>
      <c r="L931" s="385"/>
      <c r="M931" s="386"/>
      <c r="N931" s="387"/>
      <c r="O931" s="386"/>
      <c r="P931" s="388"/>
      <c r="Q931" s="389"/>
      <c r="R931" s="388"/>
      <c r="S931" s="349"/>
      <c r="T931" s="387"/>
      <c r="U931" s="349"/>
      <c r="V931" s="349"/>
      <c r="W931" s="349"/>
      <c r="X931" s="349"/>
      <c r="Y931" s="349"/>
      <c r="Z931" s="349"/>
      <c r="AA931" s="349"/>
      <c r="AB931" s="353"/>
      <c r="AC931" s="353"/>
      <c r="AD931" s="353"/>
      <c r="AE931" s="371"/>
    </row>
    <row r="932">
      <c r="A932" s="330"/>
      <c r="B932" s="330"/>
      <c r="C932" s="376"/>
      <c r="D932" s="377"/>
      <c r="E932" s="330"/>
      <c r="F932" s="330"/>
      <c r="G932" s="330"/>
      <c r="H932" s="330"/>
      <c r="I932" s="352"/>
      <c r="J932" s="378"/>
      <c r="K932" s="330"/>
      <c r="L932" s="378"/>
      <c r="M932" s="379"/>
      <c r="N932" s="380"/>
      <c r="O932" s="379"/>
      <c r="P932" s="381"/>
      <c r="Q932" s="382"/>
      <c r="R932" s="381"/>
      <c r="S932" s="330"/>
      <c r="T932" s="380"/>
      <c r="U932" s="330"/>
      <c r="V932" s="330"/>
      <c r="W932" s="330"/>
      <c r="X932" s="330"/>
      <c r="Y932" s="330"/>
      <c r="Z932" s="330"/>
      <c r="AA932" s="330"/>
      <c r="AB932" s="352"/>
      <c r="AC932" s="352"/>
      <c r="AD932" s="352"/>
      <c r="AE932" s="367"/>
    </row>
    <row r="933">
      <c r="A933" s="349"/>
      <c r="B933" s="349"/>
      <c r="C933" s="383"/>
      <c r="D933" s="384"/>
      <c r="E933" s="349"/>
      <c r="F933" s="349"/>
      <c r="G933" s="349"/>
      <c r="H933" s="349"/>
      <c r="I933" s="353"/>
      <c r="J933" s="385"/>
      <c r="K933" s="349"/>
      <c r="L933" s="385"/>
      <c r="M933" s="386"/>
      <c r="N933" s="387"/>
      <c r="O933" s="386"/>
      <c r="P933" s="388"/>
      <c r="Q933" s="389"/>
      <c r="R933" s="388"/>
      <c r="S933" s="349"/>
      <c r="T933" s="387"/>
      <c r="U933" s="349"/>
      <c r="V933" s="349"/>
      <c r="W933" s="349"/>
      <c r="X933" s="349"/>
      <c r="Y933" s="349"/>
      <c r="Z933" s="349"/>
      <c r="AA933" s="349"/>
      <c r="AB933" s="353"/>
      <c r="AC933" s="353"/>
      <c r="AD933" s="353"/>
      <c r="AE933" s="371"/>
    </row>
    <row r="934">
      <c r="A934" s="330"/>
      <c r="B934" s="330"/>
      <c r="C934" s="376"/>
      <c r="D934" s="377"/>
      <c r="E934" s="330"/>
      <c r="F934" s="330"/>
      <c r="G934" s="330"/>
      <c r="H934" s="330"/>
      <c r="I934" s="352"/>
      <c r="J934" s="378"/>
      <c r="K934" s="330"/>
      <c r="L934" s="378"/>
      <c r="M934" s="379"/>
      <c r="N934" s="380"/>
      <c r="O934" s="379"/>
      <c r="P934" s="381"/>
      <c r="Q934" s="382"/>
      <c r="R934" s="381"/>
      <c r="S934" s="330"/>
      <c r="T934" s="380"/>
      <c r="U934" s="330"/>
      <c r="V934" s="330"/>
      <c r="W934" s="330"/>
      <c r="X934" s="330"/>
      <c r="Y934" s="330"/>
      <c r="Z934" s="330"/>
      <c r="AA934" s="330"/>
      <c r="AB934" s="352"/>
      <c r="AC934" s="352"/>
      <c r="AD934" s="352"/>
      <c r="AE934" s="367"/>
    </row>
    <row r="935">
      <c r="A935" s="349"/>
      <c r="B935" s="349"/>
      <c r="C935" s="383"/>
      <c r="D935" s="384"/>
      <c r="E935" s="349"/>
      <c r="F935" s="349"/>
      <c r="G935" s="349"/>
      <c r="H935" s="349"/>
      <c r="I935" s="353"/>
      <c r="J935" s="385"/>
      <c r="K935" s="349"/>
      <c r="L935" s="385"/>
      <c r="M935" s="386"/>
      <c r="N935" s="387"/>
      <c r="O935" s="386"/>
      <c r="P935" s="388"/>
      <c r="Q935" s="389"/>
      <c r="R935" s="388"/>
      <c r="S935" s="349"/>
      <c r="T935" s="387"/>
      <c r="U935" s="349"/>
      <c r="V935" s="349"/>
      <c r="W935" s="349"/>
      <c r="X935" s="349"/>
      <c r="Y935" s="349"/>
      <c r="Z935" s="349"/>
      <c r="AA935" s="349"/>
      <c r="AB935" s="353"/>
      <c r="AC935" s="353"/>
      <c r="AD935" s="353"/>
      <c r="AE935" s="371"/>
    </row>
    <row r="936">
      <c r="A936" s="330"/>
      <c r="B936" s="330"/>
      <c r="C936" s="376"/>
      <c r="D936" s="377"/>
      <c r="E936" s="330"/>
      <c r="F936" s="330"/>
      <c r="G936" s="330"/>
      <c r="H936" s="330"/>
      <c r="I936" s="352"/>
      <c r="J936" s="378"/>
      <c r="K936" s="330"/>
      <c r="L936" s="378"/>
      <c r="M936" s="379"/>
      <c r="N936" s="380"/>
      <c r="O936" s="379"/>
      <c r="P936" s="381"/>
      <c r="Q936" s="382"/>
      <c r="R936" s="381"/>
      <c r="S936" s="330"/>
      <c r="T936" s="380"/>
      <c r="U936" s="330"/>
      <c r="V936" s="330"/>
      <c r="W936" s="330"/>
      <c r="X936" s="330"/>
      <c r="Y936" s="330"/>
      <c r="Z936" s="330"/>
      <c r="AA936" s="330"/>
      <c r="AB936" s="352"/>
      <c r="AC936" s="352"/>
      <c r="AD936" s="352"/>
      <c r="AE936" s="367"/>
    </row>
    <row r="937">
      <c r="A937" s="349"/>
      <c r="B937" s="349"/>
      <c r="C937" s="383"/>
      <c r="D937" s="384"/>
      <c r="E937" s="349"/>
      <c r="F937" s="349"/>
      <c r="G937" s="349"/>
      <c r="H937" s="349"/>
      <c r="I937" s="353"/>
      <c r="J937" s="385"/>
      <c r="K937" s="349"/>
      <c r="L937" s="385"/>
      <c r="M937" s="386"/>
      <c r="N937" s="387"/>
      <c r="O937" s="386"/>
      <c r="P937" s="388"/>
      <c r="Q937" s="389"/>
      <c r="R937" s="388"/>
      <c r="S937" s="349"/>
      <c r="T937" s="387"/>
      <c r="U937" s="349"/>
      <c r="V937" s="349"/>
      <c r="W937" s="349"/>
      <c r="X937" s="349"/>
      <c r="Y937" s="349"/>
      <c r="Z937" s="349"/>
      <c r="AA937" s="349"/>
      <c r="AB937" s="353"/>
      <c r="AC937" s="353"/>
      <c r="AD937" s="353"/>
      <c r="AE937" s="371"/>
    </row>
    <row r="938">
      <c r="A938" s="330"/>
      <c r="B938" s="330"/>
      <c r="C938" s="376"/>
      <c r="D938" s="377"/>
      <c r="E938" s="330"/>
      <c r="F938" s="330"/>
      <c r="G938" s="330"/>
      <c r="H938" s="330"/>
      <c r="I938" s="352"/>
      <c r="J938" s="378"/>
      <c r="K938" s="330"/>
      <c r="L938" s="378"/>
      <c r="M938" s="379"/>
      <c r="N938" s="380"/>
      <c r="O938" s="379"/>
      <c r="P938" s="381"/>
      <c r="Q938" s="382"/>
      <c r="R938" s="381"/>
      <c r="S938" s="330"/>
      <c r="T938" s="380"/>
      <c r="U938" s="330"/>
      <c r="V938" s="330"/>
      <c r="W938" s="330"/>
      <c r="X938" s="330"/>
      <c r="Y938" s="330"/>
      <c r="Z938" s="330"/>
      <c r="AA938" s="330"/>
      <c r="AB938" s="352"/>
      <c r="AC938" s="352"/>
      <c r="AD938" s="352"/>
      <c r="AE938" s="367"/>
    </row>
    <row r="939">
      <c r="A939" s="349"/>
      <c r="B939" s="349"/>
      <c r="C939" s="383"/>
      <c r="D939" s="384"/>
      <c r="E939" s="349"/>
      <c r="F939" s="349"/>
      <c r="G939" s="349"/>
      <c r="H939" s="349"/>
      <c r="I939" s="353"/>
      <c r="J939" s="385"/>
      <c r="K939" s="349"/>
      <c r="L939" s="385"/>
      <c r="M939" s="386"/>
      <c r="N939" s="387"/>
      <c r="O939" s="386"/>
      <c r="P939" s="388"/>
      <c r="Q939" s="389"/>
      <c r="R939" s="388"/>
      <c r="S939" s="349"/>
      <c r="T939" s="387"/>
      <c r="U939" s="349"/>
      <c r="V939" s="349"/>
      <c r="W939" s="349"/>
      <c r="X939" s="349"/>
      <c r="Y939" s="349"/>
      <c r="Z939" s="349"/>
      <c r="AA939" s="349"/>
      <c r="AB939" s="353"/>
      <c r="AC939" s="353"/>
      <c r="AD939" s="353"/>
      <c r="AE939" s="371"/>
    </row>
    <row r="940">
      <c r="A940" s="330"/>
      <c r="B940" s="330"/>
      <c r="C940" s="376"/>
      <c r="D940" s="377"/>
      <c r="E940" s="330"/>
      <c r="F940" s="330"/>
      <c r="G940" s="330"/>
      <c r="H940" s="330"/>
      <c r="I940" s="352"/>
      <c r="J940" s="378"/>
      <c r="K940" s="330"/>
      <c r="L940" s="378"/>
      <c r="M940" s="379"/>
      <c r="N940" s="380"/>
      <c r="O940" s="379"/>
      <c r="P940" s="381"/>
      <c r="Q940" s="382"/>
      <c r="R940" s="381"/>
      <c r="S940" s="330"/>
      <c r="T940" s="380"/>
      <c r="U940" s="330"/>
      <c r="V940" s="330"/>
      <c r="W940" s="330"/>
      <c r="X940" s="330"/>
      <c r="Y940" s="330"/>
      <c r="Z940" s="330"/>
      <c r="AA940" s="330"/>
      <c r="AB940" s="352"/>
      <c r="AC940" s="352"/>
      <c r="AD940" s="352"/>
      <c r="AE940" s="367"/>
    </row>
    <row r="941">
      <c r="A941" s="349"/>
      <c r="B941" s="349"/>
      <c r="C941" s="383"/>
      <c r="D941" s="384"/>
      <c r="E941" s="349"/>
      <c r="F941" s="349"/>
      <c r="G941" s="349"/>
      <c r="H941" s="349"/>
      <c r="I941" s="353"/>
      <c r="J941" s="385"/>
      <c r="K941" s="349"/>
      <c r="L941" s="385"/>
      <c r="M941" s="386"/>
      <c r="N941" s="387"/>
      <c r="O941" s="386"/>
      <c r="P941" s="388"/>
      <c r="Q941" s="389"/>
      <c r="R941" s="388"/>
      <c r="S941" s="349"/>
      <c r="T941" s="387"/>
      <c r="U941" s="349"/>
      <c r="V941" s="349"/>
      <c r="W941" s="349"/>
      <c r="X941" s="349"/>
      <c r="Y941" s="349"/>
      <c r="Z941" s="349"/>
      <c r="AA941" s="349"/>
      <c r="AB941" s="353"/>
      <c r="AC941" s="353"/>
      <c r="AD941" s="353"/>
      <c r="AE941" s="371"/>
    </row>
    <row r="942">
      <c r="A942" s="330"/>
      <c r="B942" s="330"/>
      <c r="C942" s="376"/>
      <c r="D942" s="377"/>
      <c r="E942" s="330"/>
      <c r="F942" s="330"/>
      <c r="G942" s="330"/>
      <c r="H942" s="330"/>
      <c r="I942" s="352"/>
      <c r="J942" s="378"/>
      <c r="K942" s="330"/>
      <c r="L942" s="378"/>
      <c r="M942" s="379"/>
      <c r="N942" s="380"/>
      <c r="O942" s="379"/>
      <c r="P942" s="381"/>
      <c r="Q942" s="382"/>
      <c r="R942" s="381"/>
      <c r="S942" s="330"/>
      <c r="T942" s="380"/>
      <c r="U942" s="330"/>
      <c r="V942" s="330"/>
      <c r="W942" s="330"/>
      <c r="X942" s="330"/>
      <c r="Y942" s="330"/>
      <c r="Z942" s="330"/>
      <c r="AA942" s="330"/>
      <c r="AB942" s="352"/>
      <c r="AC942" s="352"/>
      <c r="AD942" s="352"/>
      <c r="AE942" s="367"/>
    </row>
    <row r="943">
      <c r="A943" s="349"/>
      <c r="B943" s="349"/>
      <c r="C943" s="383"/>
      <c r="D943" s="384"/>
      <c r="E943" s="349"/>
      <c r="F943" s="349"/>
      <c r="G943" s="349"/>
      <c r="H943" s="349"/>
      <c r="I943" s="353"/>
      <c r="J943" s="385"/>
      <c r="K943" s="349"/>
      <c r="L943" s="385"/>
      <c r="M943" s="386"/>
      <c r="N943" s="387"/>
      <c r="O943" s="386"/>
      <c r="P943" s="388"/>
      <c r="Q943" s="389"/>
      <c r="R943" s="388"/>
      <c r="S943" s="349"/>
      <c r="T943" s="387"/>
      <c r="U943" s="349"/>
      <c r="V943" s="349"/>
      <c r="W943" s="349"/>
      <c r="X943" s="349"/>
      <c r="Y943" s="349"/>
      <c r="Z943" s="349"/>
      <c r="AA943" s="349"/>
      <c r="AB943" s="353"/>
      <c r="AC943" s="353"/>
      <c r="AD943" s="353"/>
      <c r="AE943" s="371"/>
    </row>
    <row r="944">
      <c r="A944" s="330"/>
      <c r="B944" s="330"/>
      <c r="C944" s="376"/>
      <c r="D944" s="377"/>
      <c r="E944" s="330"/>
      <c r="F944" s="330"/>
      <c r="G944" s="330"/>
      <c r="H944" s="330"/>
      <c r="I944" s="352"/>
      <c r="J944" s="378"/>
      <c r="K944" s="330"/>
      <c r="L944" s="378"/>
      <c r="M944" s="379"/>
      <c r="N944" s="380"/>
      <c r="O944" s="379"/>
      <c r="P944" s="381"/>
      <c r="Q944" s="382"/>
      <c r="R944" s="381"/>
      <c r="S944" s="330"/>
      <c r="T944" s="380"/>
      <c r="U944" s="330"/>
      <c r="V944" s="330"/>
      <c r="W944" s="330"/>
      <c r="X944" s="330"/>
      <c r="Y944" s="330"/>
      <c r="Z944" s="330"/>
      <c r="AA944" s="330"/>
      <c r="AB944" s="352"/>
      <c r="AC944" s="352"/>
      <c r="AD944" s="352"/>
      <c r="AE944" s="367"/>
    </row>
    <row r="945">
      <c r="A945" s="349"/>
      <c r="B945" s="349"/>
      <c r="C945" s="383"/>
      <c r="D945" s="384"/>
      <c r="E945" s="349"/>
      <c r="F945" s="349"/>
      <c r="G945" s="349"/>
      <c r="H945" s="349"/>
      <c r="I945" s="353"/>
      <c r="J945" s="385"/>
      <c r="K945" s="349"/>
      <c r="L945" s="385"/>
      <c r="M945" s="386"/>
      <c r="N945" s="387"/>
      <c r="O945" s="386"/>
      <c r="P945" s="388"/>
      <c r="Q945" s="389"/>
      <c r="R945" s="388"/>
      <c r="S945" s="349"/>
      <c r="T945" s="387"/>
      <c r="U945" s="349"/>
      <c r="V945" s="349"/>
      <c r="W945" s="349"/>
      <c r="X945" s="349"/>
      <c r="Y945" s="349"/>
      <c r="Z945" s="349"/>
      <c r="AA945" s="349"/>
      <c r="AB945" s="353"/>
      <c r="AC945" s="353"/>
      <c r="AD945" s="353"/>
      <c r="AE945" s="371"/>
    </row>
    <row r="946">
      <c r="A946" s="330"/>
      <c r="B946" s="330"/>
      <c r="C946" s="376"/>
      <c r="D946" s="377"/>
      <c r="E946" s="330"/>
      <c r="F946" s="330"/>
      <c r="G946" s="330"/>
      <c r="H946" s="330"/>
      <c r="I946" s="352"/>
      <c r="J946" s="378"/>
      <c r="K946" s="330"/>
      <c r="L946" s="378"/>
      <c r="M946" s="379"/>
      <c r="N946" s="380"/>
      <c r="O946" s="379"/>
      <c r="P946" s="381"/>
      <c r="Q946" s="382"/>
      <c r="R946" s="381"/>
      <c r="S946" s="330"/>
      <c r="T946" s="380"/>
      <c r="U946" s="330"/>
      <c r="V946" s="330"/>
      <c r="W946" s="330"/>
      <c r="X946" s="330"/>
      <c r="Y946" s="330"/>
      <c r="Z946" s="330"/>
      <c r="AA946" s="330"/>
      <c r="AB946" s="352"/>
      <c r="AC946" s="352"/>
      <c r="AD946" s="352"/>
      <c r="AE946" s="367"/>
    </row>
    <row r="947">
      <c r="A947" s="349"/>
      <c r="B947" s="349"/>
      <c r="C947" s="383"/>
      <c r="D947" s="384"/>
      <c r="E947" s="349"/>
      <c r="F947" s="349"/>
      <c r="G947" s="349"/>
      <c r="H947" s="349"/>
      <c r="I947" s="353"/>
      <c r="J947" s="385"/>
      <c r="K947" s="349"/>
      <c r="L947" s="385"/>
      <c r="M947" s="386"/>
      <c r="N947" s="387"/>
      <c r="O947" s="386"/>
      <c r="P947" s="388"/>
      <c r="Q947" s="389"/>
      <c r="R947" s="388"/>
      <c r="S947" s="349"/>
      <c r="T947" s="387"/>
      <c r="U947" s="349"/>
      <c r="V947" s="349"/>
      <c r="W947" s="349"/>
      <c r="X947" s="349"/>
      <c r="Y947" s="349"/>
      <c r="Z947" s="349"/>
      <c r="AA947" s="349"/>
      <c r="AB947" s="353"/>
      <c r="AC947" s="353"/>
      <c r="AD947" s="353"/>
      <c r="AE947" s="371"/>
    </row>
    <row r="948">
      <c r="A948" s="330"/>
      <c r="B948" s="330"/>
      <c r="C948" s="376"/>
      <c r="D948" s="377"/>
      <c r="E948" s="330"/>
      <c r="F948" s="330"/>
      <c r="G948" s="330"/>
      <c r="H948" s="330"/>
      <c r="I948" s="352"/>
      <c r="J948" s="378"/>
      <c r="K948" s="330"/>
      <c r="L948" s="378"/>
      <c r="M948" s="379"/>
      <c r="N948" s="380"/>
      <c r="O948" s="379"/>
      <c r="P948" s="381"/>
      <c r="Q948" s="382"/>
      <c r="R948" s="381"/>
      <c r="S948" s="330"/>
      <c r="T948" s="380"/>
      <c r="U948" s="330"/>
      <c r="V948" s="330"/>
      <c r="W948" s="330"/>
      <c r="X948" s="330"/>
      <c r="Y948" s="330"/>
      <c r="Z948" s="330"/>
      <c r="AA948" s="330"/>
      <c r="AB948" s="352"/>
      <c r="AC948" s="352"/>
      <c r="AD948" s="352"/>
      <c r="AE948" s="367"/>
    </row>
    <row r="949">
      <c r="A949" s="349"/>
      <c r="B949" s="349"/>
      <c r="C949" s="383"/>
      <c r="D949" s="384"/>
      <c r="E949" s="349"/>
      <c r="F949" s="349"/>
      <c r="G949" s="349"/>
      <c r="H949" s="349"/>
      <c r="I949" s="353"/>
      <c r="J949" s="385"/>
      <c r="K949" s="349"/>
      <c r="L949" s="385"/>
      <c r="M949" s="386"/>
      <c r="N949" s="387"/>
      <c r="O949" s="386"/>
      <c r="P949" s="388"/>
      <c r="Q949" s="389"/>
      <c r="R949" s="388"/>
      <c r="S949" s="349"/>
      <c r="T949" s="387"/>
      <c r="U949" s="349"/>
      <c r="V949" s="349"/>
      <c r="W949" s="349"/>
      <c r="X949" s="349"/>
      <c r="Y949" s="349"/>
      <c r="Z949" s="349"/>
      <c r="AA949" s="349"/>
      <c r="AB949" s="353"/>
      <c r="AC949" s="353"/>
      <c r="AD949" s="353"/>
      <c r="AE949" s="371"/>
    </row>
    <row r="950">
      <c r="A950" s="330"/>
      <c r="B950" s="330"/>
      <c r="C950" s="376"/>
      <c r="D950" s="377"/>
      <c r="E950" s="330"/>
      <c r="F950" s="330"/>
      <c r="G950" s="330"/>
      <c r="H950" s="330"/>
      <c r="I950" s="352"/>
      <c r="J950" s="378"/>
      <c r="K950" s="330"/>
      <c r="L950" s="378"/>
      <c r="M950" s="379"/>
      <c r="N950" s="380"/>
      <c r="O950" s="379"/>
      <c r="P950" s="381"/>
      <c r="Q950" s="382"/>
      <c r="R950" s="381"/>
      <c r="S950" s="330"/>
      <c r="T950" s="380"/>
      <c r="U950" s="330"/>
      <c r="V950" s="330"/>
      <c r="W950" s="330"/>
      <c r="X950" s="330"/>
      <c r="Y950" s="330"/>
      <c r="Z950" s="330"/>
      <c r="AA950" s="330"/>
      <c r="AB950" s="352"/>
      <c r="AC950" s="352"/>
      <c r="AD950" s="352"/>
      <c r="AE950" s="367"/>
    </row>
    <row r="951">
      <c r="A951" s="349"/>
      <c r="B951" s="349"/>
      <c r="C951" s="383"/>
      <c r="D951" s="384"/>
      <c r="E951" s="349"/>
      <c r="F951" s="349"/>
      <c r="G951" s="349"/>
      <c r="H951" s="349"/>
      <c r="I951" s="353"/>
      <c r="J951" s="385"/>
      <c r="K951" s="349"/>
      <c r="L951" s="385"/>
      <c r="M951" s="386"/>
      <c r="N951" s="387"/>
      <c r="O951" s="386"/>
      <c r="P951" s="388"/>
      <c r="Q951" s="389"/>
      <c r="R951" s="388"/>
      <c r="S951" s="349"/>
      <c r="T951" s="387"/>
      <c r="U951" s="349"/>
      <c r="V951" s="349"/>
      <c r="W951" s="349"/>
      <c r="X951" s="349"/>
      <c r="Y951" s="349"/>
      <c r="Z951" s="349"/>
      <c r="AA951" s="349"/>
      <c r="AB951" s="353"/>
      <c r="AC951" s="353"/>
      <c r="AD951" s="353"/>
      <c r="AE951" s="371"/>
    </row>
    <row r="952">
      <c r="A952" s="330"/>
      <c r="B952" s="330"/>
      <c r="C952" s="376"/>
      <c r="D952" s="377"/>
      <c r="E952" s="330"/>
      <c r="F952" s="330"/>
      <c r="G952" s="330"/>
      <c r="H952" s="330"/>
      <c r="I952" s="352"/>
      <c r="J952" s="378"/>
      <c r="K952" s="330"/>
      <c r="L952" s="378"/>
      <c r="M952" s="379"/>
      <c r="N952" s="380"/>
      <c r="O952" s="379"/>
      <c r="P952" s="381"/>
      <c r="Q952" s="382"/>
      <c r="R952" s="381"/>
      <c r="S952" s="330"/>
      <c r="T952" s="380"/>
      <c r="U952" s="330"/>
      <c r="V952" s="330"/>
      <c r="W952" s="330"/>
      <c r="X952" s="330"/>
      <c r="Y952" s="330"/>
      <c r="Z952" s="330"/>
      <c r="AA952" s="330"/>
      <c r="AB952" s="352"/>
      <c r="AC952" s="352"/>
      <c r="AD952" s="352"/>
      <c r="AE952" s="367"/>
    </row>
    <row r="953">
      <c r="A953" s="349"/>
      <c r="B953" s="349"/>
      <c r="C953" s="383"/>
      <c r="D953" s="384"/>
      <c r="E953" s="349"/>
      <c r="F953" s="349"/>
      <c r="G953" s="349"/>
      <c r="H953" s="349"/>
      <c r="I953" s="353"/>
      <c r="J953" s="385"/>
      <c r="K953" s="349"/>
      <c r="L953" s="385"/>
      <c r="M953" s="386"/>
      <c r="N953" s="387"/>
      <c r="O953" s="386"/>
      <c r="P953" s="388"/>
      <c r="Q953" s="389"/>
      <c r="R953" s="388"/>
      <c r="S953" s="349"/>
      <c r="T953" s="387"/>
      <c r="U953" s="349"/>
      <c r="V953" s="349"/>
      <c r="W953" s="349"/>
      <c r="X953" s="349"/>
      <c r="Y953" s="349"/>
      <c r="Z953" s="349"/>
      <c r="AA953" s="349"/>
      <c r="AB953" s="353"/>
      <c r="AC953" s="353"/>
      <c r="AD953" s="353"/>
      <c r="AE953" s="371"/>
    </row>
    <row r="954">
      <c r="A954" s="330"/>
      <c r="B954" s="330"/>
      <c r="C954" s="376"/>
      <c r="D954" s="377"/>
      <c r="E954" s="330"/>
      <c r="F954" s="330"/>
      <c r="G954" s="330"/>
      <c r="H954" s="330"/>
      <c r="I954" s="352"/>
      <c r="J954" s="378"/>
      <c r="K954" s="330"/>
      <c r="L954" s="378"/>
      <c r="M954" s="379"/>
      <c r="N954" s="380"/>
      <c r="O954" s="379"/>
      <c r="P954" s="381"/>
      <c r="Q954" s="382"/>
      <c r="R954" s="381"/>
      <c r="S954" s="330"/>
      <c r="T954" s="380"/>
      <c r="U954" s="330"/>
      <c r="V954" s="330"/>
      <c r="W954" s="330"/>
      <c r="X954" s="330"/>
      <c r="Y954" s="330"/>
      <c r="Z954" s="330"/>
      <c r="AA954" s="330"/>
      <c r="AB954" s="352"/>
      <c r="AC954" s="352"/>
      <c r="AD954" s="352"/>
      <c r="AE954" s="367"/>
    </row>
    <row r="955">
      <c r="A955" s="349"/>
      <c r="B955" s="349"/>
      <c r="C955" s="383"/>
      <c r="D955" s="384"/>
      <c r="E955" s="349"/>
      <c r="F955" s="349"/>
      <c r="G955" s="349"/>
      <c r="H955" s="349"/>
      <c r="I955" s="353"/>
      <c r="J955" s="385"/>
      <c r="K955" s="349"/>
      <c r="L955" s="385"/>
      <c r="M955" s="386"/>
      <c r="N955" s="387"/>
      <c r="O955" s="386"/>
      <c r="P955" s="388"/>
      <c r="Q955" s="389"/>
      <c r="R955" s="388"/>
      <c r="S955" s="349"/>
      <c r="T955" s="387"/>
      <c r="U955" s="349"/>
      <c r="V955" s="349"/>
      <c r="W955" s="349"/>
      <c r="X955" s="349"/>
      <c r="Y955" s="349"/>
      <c r="Z955" s="349"/>
      <c r="AA955" s="349"/>
      <c r="AB955" s="353"/>
      <c r="AC955" s="353"/>
      <c r="AD955" s="353"/>
      <c r="AE955" s="371"/>
    </row>
    <row r="956">
      <c r="A956" s="330"/>
      <c r="B956" s="330"/>
      <c r="C956" s="376"/>
      <c r="D956" s="377"/>
      <c r="E956" s="330"/>
      <c r="F956" s="330"/>
      <c r="G956" s="330"/>
      <c r="H956" s="330"/>
      <c r="I956" s="352"/>
      <c r="J956" s="378"/>
      <c r="K956" s="330"/>
      <c r="L956" s="378"/>
      <c r="M956" s="379"/>
      <c r="N956" s="380"/>
      <c r="O956" s="379"/>
      <c r="P956" s="381"/>
      <c r="Q956" s="382"/>
      <c r="R956" s="381"/>
      <c r="S956" s="330"/>
      <c r="T956" s="380"/>
      <c r="U956" s="330"/>
      <c r="V956" s="330"/>
      <c r="W956" s="330"/>
      <c r="X956" s="330"/>
      <c r="Y956" s="330"/>
      <c r="Z956" s="330"/>
      <c r="AA956" s="330"/>
      <c r="AB956" s="352"/>
      <c r="AC956" s="352"/>
      <c r="AD956" s="352"/>
      <c r="AE956" s="367"/>
    </row>
    <row r="957">
      <c r="A957" s="349"/>
      <c r="B957" s="349"/>
      <c r="C957" s="383"/>
      <c r="D957" s="384"/>
      <c r="E957" s="349"/>
      <c r="F957" s="349"/>
      <c r="G957" s="349"/>
      <c r="H957" s="349"/>
      <c r="I957" s="353"/>
      <c r="J957" s="385"/>
      <c r="K957" s="349"/>
      <c r="L957" s="385"/>
      <c r="M957" s="386"/>
      <c r="N957" s="387"/>
      <c r="O957" s="386"/>
      <c r="P957" s="388"/>
      <c r="Q957" s="389"/>
      <c r="R957" s="388"/>
      <c r="S957" s="349"/>
      <c r="T957" s="387"/>
      <c r="U957" s="349"/>
      <c r="V957" s="349"/>
      <c r="W957" s="349"/>
      <c r="X957" s="349"/>
      <c r="Y957" s="349"/>
      <c r="Z957" s="349"/>
      <c r="AA957" s="349"/>
      <c r="AB957" s="353"/>
      <c r="AC957" s="353"/>
      <c r="AD957" s="353"/>
      <c r="AE957" s="371"/>
    </row>
    <row r="958">
      <c r="A958" s="330"/>
      <c r="B958" s="330"/>
      <c r="C958" s="376"/>
      <c r="D958" s="377"/>
      <c r="E958" s="330"/>
      <c r="F958" s="330"/>
      <c r="G958" s="330"/>
      <c r="H958" s="330"/>
      <c r="I958" s="352"/>
      <c r="J958" s="378"/>
      <c r="K958" s="330"/>
      <c r="L958" s="378"/>
      <c r="M958" s="379"/>
      <c r="N958" s="380"/>
      <c r="O958" s="379"/>
      <c r="P958" s="381"/>
      <c r="Q958" s="382"/>
      <c r="R958" s="381"/>
      <c r="S958" s="330"/>
      <c r="T958" s="380"/>
      <c r="U958" s="330"/>
      <c r="V958" s="330"/>
      <c r="W958" s="330"/>
      <c r="X958" s="330"/>
      <c r="Y958" s="330"/>
      <c r="Z958" s="330"/>
      <c r="AA958" s="330"/>
      <c r="AB958" s="352"/>
      <c r="AC958" s="352"/>
      <c r="AD958" s="352"/>
      <c r="AE958" s="367"/>
    </row>
    <row r="959">
      <c r="A959" s="349"/>
      <c r="B959" s="349"/>
      <c r="C959" s="383"/>
      <c r="D959" s="384"/>
      <c r="E959" s="349"/>
      <c r="F959" s="349"/>
      <c r="G959" s="349"/>
      <c r="H959" s="349"/>
      <c r="I959" s="353"/>
      <c r="J959" s="385"/>
      <c r="K959" s="349"/>
      <c r="L959" s="385"/>
      <c r="M959" s="386"/>
      <c r="N959" s="387"/>
      <c r="O959" s="386"/>
      <c r="P959" s="388"/>
      <c r="Q959" s="389"/>
      <c r="R959" s="388"/>
      <c r="S959" s="349"/>
      <c r="T959" s="387"/>
      <c r="U959" s="349"/>
      <c r="V959" s="349"/>
      <c r="W959" s="349"/>
      <c r="X959" s="349"/>
      <c r="Y959" s="349"/>
      <c r="Z959" s="349"/>
      <c r="AA959" s="349"/>
      <c r="AB959" s="353"/>
      <c r="AC959" s="353"/>
      <c r="AD959" s="353"/>
      <c r="AE959" s="371"/>
    </row>
    <row r="960">
      <c r="A960" s="330"/>
      <c r="B960" s="330"/>
      <c r="C960" s="376"/>
      <c r="D960" s="377"/>
      <c r="E960" s="330"/>
      <c r="F960" s="330"/>
      <c r="G960" s="330"/>
      <c r="H960" s="330"/>
      <c r="I960" s="352"/>
      <c r="J960" s="378"/>
      <c r="K960" s="330"/>
      <c r="L960" s="378"/>
      <c r="M960" s="379"/>
      <c r="N960" s="380"/>
      <c r="O960" s="379"/>
      <c r="P960" s="381"/>
      <c r="Q960" s="382"/>
      <c r="R960" s="381"/>
      <c r="S960" s="330"/>
      <c r="T960" s="380"/>
      <c r="U960" s="330"/>
      <c r="V960" s="330"/>
      <c r="W960" s="330"/>
      <c r="X960" s="330"/>
      <c r="Y960" s="330"/>
      <c r="Z960" s="330"/>
      <c r="AA960" s="330"/>
      <c r="AB960" s="352"/>
      <c r="AC960" s="352"/>
      <c r="AD960" s="352"/>
      <c r="AE960" s="367"/>
    </row>
    <row r="961">
      <c r="A961" s="349"/>
      <c r="B961" s="349"/>
      <c r="C961" s="383"/>
      <c r="D961" s="384"/>
      <c r="E961" s="349"/>
      <c r="F961" s="349"/>
      <c r="G961" s="349"/>
      <c r="H961" s="349"/>
      <c r="I961" s="353"/>
      <c r="J961" s="385"/>
      <c r="K961" s="349"/>
      <c r="L961" s="385"/>
      <c r="M961" s="386"/>
      <c r="N961" s="387"/>
      <c r="O961" s="386"/>
      <c r="P961" s="388"/>
      <c r="Q961" s="389"/>
      <c r="R961" s="388"/>
      <c r="S961" s="349"/>
      <c r="T961" s="387"/>
      <c r="U961" s="349"/>
      <c r="V961" s="349"/>
      <c r="W961" s="349"/>
      <c r="X961" s="349"/>
      <c r="Y961" s="349"/>
      <c r="Z961" s="349"/>
      <c r="AA961" s="349"/>
      <c r="AB961" s="353"/>
      <c r="AC961" s="353"/>
      <c r="AD961" s="353"/>
      <c r="AE961" s="371"/>
    </row>
    <row r="962">
      <c r="A962" s="330"/>
      <c r="B962" s="330"/>
      <c r="C962" s="376"/>
      <c r="D962" s="377"/>
      <c r="E962" s="330"/>
      <c r="F962" s="330"/>
      <c r="G962" s="330"/>
      <c r="H962" s="330"/>
      <c r="I962" s="352"/>
      <c r="J962" s="378"/>
      <c r="K962" s="330"/>
      <c r="L962" s="378"/>
      <c r="M962" s="379"/>
      <c r="N962" s="380"/>
      <c r="O962" s="379"/>
      <c r="P962" s="381"/>
      <c r="Q962" s="382"/>
      <c r="R962" s="381"/>
      <c r="S962" s="330"/>
      <c r="T962" s="380"/>
      <c r="U962" s="330"/>
      <c r="V962" s="330"/>
      <c r="W962" s="330"/>
      <c r="X962" s="330"/>
      <c r="Y962" s="330"/>
      <c r="Z962" s="330"/>
      <c r="AA962" s="330"/>
      <c r="AB962" s="352"/>
      <c r="AC962" s="352"/>
      <c r="AD962" s="352"/>
      <c r="AE962" s="367"/>
    </row>
    <row r="963">
      <c r="A963" s="349"/>
      <c r="B963" s="349"/>
      <c r="C963" s="383"/>
      <c r="D963" s="384"/>
      <c r="E963" s="349"/>
      <c r="F963" s="349"/>
      <c r="G963" s="349"/>
      <c r="H963" s="349"/>
      <c r="I963" s="353"/>
      <c r="J963" s="385"/>
      <c r="K963" s="349"/>
      <c r="L963" s="385"/>
      <c r="M963" s="386"/>
      <c r="N963" s="387"/>
      <c r="O963" s="386"/>
      <c r="P963" s="388"/>
      <c r="Q963" s="389"/>
      <c r="R963" s="388"/>
      <c r="S963" s="349"/>
      <c r="T963" s="387"/>
      <c r="U963" s="349"/>
      <c r="V963" s="349"/>
      <c r="W963" s="349"/>
      <c r="X963" s="349"/>
      <c r="Y963" s="349"/>
      <c r="Z963" s="349"/>
      <c r="AA963" s="349"/>
      <c r="AB963" s="353"/>
      <c r="AC963" s="353"/>
      <c r="AD963" s="353"/>
      <c r="AE963" s="371"/>
    </row>
    <row r="964">
      <c r="A964" s="330"/>
      <c r="B964" s="330"/>
      <c r="C964" s="376"/>
      <c r="D964" s="377"/>
      <c r="E964" s="330"/>
      <c r="F964" s="330"/>
      <c r="G964" s="330"/>
      <c r="H964" s="330"/>
      <c r="I964" s="352"/>
      <c r="J964" s="378"/>
      <c r="K964" s="330"/>
      <c r="L964" s="378"/>
      <c r="M964" s="379"/>
      <c r="N964" s="380"/>
      <c r="O964" s="379"/>
      <c r="P964" s="381"/>
      <c r="Q964" s="382"/>
      <c r="R964" s="381"/>
      <c r="S964" s="330"/>
      <c r="T964" s="380"/>
      <c r="U964" s="330"/>
      <c r="V964" s="330"/>
      <c r="W964" s="330"/>
      <c r="X964" s="330"/>
      <c r="Y964" s="330"/>
      <c r="Z964" s="330"/>
      <c r="AA964" s="330"/>
      <c r="AB964" s="352"/>
      <c r="AC964" s="352"/>
      <c r="AD964" s="352"/>
      <c r="AE964" s="367"/>
    </row>
    <row r="965">
      <c r="A965" s="349"/>
      <c r="B965" s="349"/>
      <c r="C965" s="383"/>
      <c r="D965" s="384"/>
      <c r="E965" s="349"/>
      <c r="F965" s="349"/>
      <c r="G965" s="349"/>
      <c r="H965" s="349"/>
      <c r="I965" s="353"/>
      <c r="J965" s="385"/>
      <c r="K965" s="349"/>
      <c r="L965" s="385"/>
      <c r="M965" s="386"/>
      <c r="N965" s="387"/>
      <c r="O965" s="386"/>
      <c r="P965" s="388"/>
      <c r="Q965" s="389"/>
      <c r="R965" s="388"/>
      <c r="S965" s="349"/>
      <c r="T965" s="387"/>
      <c r="U965" s="349"/>
      <c r="V965" s="349"/>
      <c r="W965" s="349"/>
      <c r="X965" s="349"/>
      <c r="Y965" s="349"/>
      <c r="Z965" s="349"/>
      <c r="AA965" s="349"/>
      <c r="AB965" s="353"/>
      <c r="AC965" s="353"/>
      <c r="AD965" s="353"/>
      <c r="AE965" s="371"/>
    </row>
    <row r="966">
      <c r="A966" s="330"/>
      <c r="B966" s="330"/>
      <c r="C966" s="376"/>
      <c r="D966" s="377"/>
      <c r="E966" s="330"/>
      <c r="F966" s="330"/>
      <c r="G966" s="330"/>
      <c r="H966" s="330"/>
      <c r="I966" s="352"/>
      <c r="J966" s="378"/>
      <c r="K966" s="330"/>
      <c r="L966" s="378"/>
      <c r="M966" s="379"/>
      <c r="N966" s="380"/>
      <c r="O966" s="379"/>
      <c r="P966" s="381"/>
      <c r="Q966" s="382"/>
      <c r="R966" s="381"/>
      <c r="S966" s="330"/>
      <c r="T966" s="380"/>
      <c r="U966" s="330"/>
      <c r="V966" s="330"/>
      <c r="W966" s="330"/>
      <c r="X966" s="330"/>
      <c r="Y966" s="330"/>
      <c r="Z966" s="330"/>
      <c r="AA966" s="330"/>
      <c r="AB966" s="352"/>
      <c r="AC966" s="352"/>
      <c r="AD966" s="352"/>
      <c r="AE966" s="367"/>
    </row>
    <row r="967">
      <c r="A967" s="349"/>
      <c r="B967" s="349"/>
      <c r="C967" s="383"/>
      <c r="D967" s="384"/>
      <c r="E967" s="349"/>
      <c r="F967" s="349"/>
      <c r="G967" s="349"/>
      <c r="H967" s="349"/>
      <c r="I967" s="353"/>
      <c r="J967" s="385"/>
      <c r="K967" s="349"/>
      <c r="L967" s="385"/>
      <c r="M967" s="386"/>
      <c r="N967" s="387"/>
      <c r="O967" s="386"/>
      <c r="P967" s="388"/>
      <c r="Q967" s="389"/>
      <c r="R967" s="388"/>
      <c r="S967" s="349"/>
      <c r="T967" s="387"/>
      <c r="U967" s="349"/>
      <c r="V967" s="349"/>
      <c r="W967" s="349"/>
      <c r="X967" s="349"/>
      <c r="Y967" s="349"/>
      <c r="Z967" s="349"/>
      <c r="AA967" s="349"/>
      <c r="AB967" s="353"/>
      <c r="AC967" s="353"/>
      <c r="AD967" s="353"/>
      <c r="AE967" s="371"/>
    </row>
  </sheetData>
  <autoFilter ref="$A$1:$AE$695"/>
  <customSheetViews>
    <customSheetView guid="{8201EC1A-EE62-486E-966C-9D5F076D0D14}" filter="1" showAutoFilter="1">
      <autoFilter ref="$A$1:$AD$967"/>
    </customSheetView>
    <customSheetView guid="{D34FC7C5-1022-4D9B-AB06-05E1D196418D}" filter="1" showAutoFilter="1">
      <autoFilter ref="$A$1:$AD$967">
        <filterColumn colId="25">
          <filters>
            <filter val="TúPHN"/>
            <filter val="TuPHN"/>
            <filter val="(Không recheck)"/>
            <filter val="TrâmNNB"/>
            <filter val="(Chưa recheck)"/>
          </filters>
        </filterColumn>
        <filterColumn colId="1">
          <filters blank="1">
            <filter val="Active"/>
          </filters>
        </filterColumn>
        <filterColumn colId="7">
          <filters blank="1">
            <filter val="MSG"/>
            <filter val="(Chưa recheck)"/>
            <filter val="Enterprise"/>
            <filter val="Standard"/>
            <filter val="Premium"/>
            <filter val="GAPONE HUBSPOT"/>
            <filter val="None"/>
            <filter val="SIMILAR"/>
            <filter val="(Không recheck)"/>
          </filters>
        </filterColumn>
      </autoFilter>
    </customSheetView>
    <customSheetView guid="{3E6967CB-85AE-44E2-BC54-10DE7F408A4C}" filter="1" showAutoFilter="1">
      <autoFilter ref="$A$1:$AE$967">
        <filterColumn colId="1">
          <filters blank="1">
            <filter val="Active"/>
          </filters>
        </filterColumn>
        <filterColumn colId="29">
          <filters>
            <filter val="Partner_Bizfly"/>
          </filters>
        </filterColumn>
      </autoFilter>
    </customSheetView>
  </customSheetViews>
  <hyperlinks>
    <hyperlink r:id="rId4" ref="W337"/>
    <hyperlink r:id="rId5" ref="W360"/>
    <hyperlink r:id="rId6" ref="W388"/>
  </hyperlinks>
  <printOptions gridLines="1" horizontalCentered="1"/>
  <pageMargins bottom="0.75" footer="0.0" header="0.0" left="0.7" right="0.7" top="0.75"/>
  <pageSetup fitToHeight="0" cellComments="atEnd" orientation="landscape" pageOrder="overThenDown"/>
  <drawing r:id="rId7"/>
  <legacy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1.88"/>
    <col customWidth="1" min="11" max="11" width="22.75"/>
  </cols>
  <sheetData>
    <row r="1">
      <c r="A1" s="2" t="s">
        <v>0</v>
      </c>
      <c r="B1" s="2" t="s">
        <v>1</v>
      </c>
      <c r="C1" s="2" t="s">
        <v>2</v>
      </c>
      <c r="D1" s="4" t="s">
        <v>3</v>
      </c>
      <c r="E1" s="2" t="s">
        <v>4</v>
      </c>
      <c r="F1" s="2" t="s">
        <v>5</v>
      </c>
      <c r="G1" s="2" t="s">
        <v>6</v>
      </c>
      <c r="H1" s="2" t="s">
        <v>7</v>
      </c>
      <c r="I1" s="2" t="s">
        <v>8</v>
      </c>
      <c r="J1" s="2" t="s">
        <v>9</v>
      </c>
      <c r="K1" s="2" t="s">
        <v>10</v>
      </c>
      <c r="L1" s="5"/>
      <c r="M1" s="5"/>
      <c r="N1" s="5"/>
      <c r="O1" s="5"/>
      <c r="P1" s="5"/>
      <c r="Q1" s="5"/>
      <c r="R1" s="5"/>
      <c r="S1" s="5"/>
      <c r="T1" s="5"/>
      <c r="U1" s="5"/>
      <c r="V1" s="5"/>
      <c r="W1" s="5"/>
      <c r="X1" s="5"/>
      <c r="Y1" s="5"/>
      <c r="Z1" s="5"/>
    </row>
    <row r="2">
      <c r="A2" s="9" t="s">
        <v>14</v>
      </c>
      <c r="B2" s="9" t="s">
        <v>18</v>
      </c>
      <c r="C2" s="9" t="s">
        <v>19</v>
      </c>
      <c r="D2" s="11" t="s">
        <v>20</v>
      </c>
      <c r="E2" s="11">
        <v>10678.0</v>
      </c>
      <c r="F2" s="9" t="s">
        <v>22</v>
      </c>
      <c r="G2" s="9" t="s">
        <v>18</v>
      </c>
      <c r="H2" s="9" t="s">
        <v>23</v>
      </c>
      <c r="I2" s="9" t="s">
        <v>24</v>
      </c>
      <c r="J2" s="9" t="s">
        <v>25</v>
      </c>
      <c r="K2" s="9" t="s">
        <v>27</v>
      </c>
      <c r="L2" s="5"/>
      <c r="M2" s="5"/>
      <c r="N2" s="5"/>
      <c r="O2" s="5"/>
      <c r="P2" s="5"/>
      <c r="Q2" s="5"/>
      <c r="R2" s="5"/>
      <c r="S2" s="5"/>
      <c r="T2" s="5"/>
      <c r="U2" s="5"/>
      <c r="V2" s="5"/>
      <c r="W2" s="5"/>
      <c r="X2" s="5"/>
      <c r="Y2" s="5"/>
      <c r="Z2" s="5"/>
    </row>
    <row r="3">
      <c r="A3" s="14" t="s">
        <v>14</v>
      </c>
      <c r="B3" s="14" t="s">
        <v>18</v>
      </c>
      <c r="C3" s="14" t="s">
        <v>19</v>
      </c>
      <c r="D3" s="15" t="s">
        <v>20</v>
      </c>
      <c r="E3" s="15">
        <v>10441.0</v>
      </c>
      <c r="F3" s="14" t="s">
        <v>18</v>
      </c>
      <c r="G3" s="14" t="s">
        <v>18</v>
      </c>
      <c r="H3" s="14" t="s">
        <v>23</v>
      </c>
      <c r="I3" s="14" t="s">
        <v>24</v>
      </c>
      <c r="J3" s="14" t="s">
        <v>25</v>
      </c>
      <c r="K3" s="14" t="s">
        <v>36</v>
      </c>
      <c r="L3" s="5"/>
      <c r="M3" s="5"/>
      <c r="N3" s="5"/>
      <c r="O3" s="5"/>
      <c r="P3" s="5"/>
      <c r="Q3" s="5"/>
      <c r="R3" s="5"/>
      <c r="S3" s="5"/>
      <c r="T3" s="5"/>
      <c r="U3" s="5"/>
      <c r="V3" s="5"/>
      <c r="W3" s="5"/>
      <c r="X3" s="5"/>
      <c r="Y3" s="5"/>
      <c r="Z3" s="5"/>
    </row>
    <row r="4">
      <c r="A4" s="18" t="s">
        <v>38</v>
      </c>
      <c r="B4" s="18" t="s">
        <v>40</v>
      </c>
      <c r="C4" s="18" t="s">
        <v>19</v>
      </c>
      <c r="D4" s="20">
        <v>674.0</v>
      </c>
      <c r="E4" s="20">
        <v>600448.0</v>
      </c>
      <c r="F4" s="18" t="s">
        <v>46</v>
      </c>
      <c r="G4" s="18" t="s">
        <v>47</v>
      </c>
      <c r="H4" s="18" t="s">
        <v>48</v>
      </c>
      <c r="I4" s="18" t="s">
        <v>50</v>
      </c>
      <c r="J4" s="18" t="s">
        <v>25</v>
      </c>
      <c r="K4" s="18" t="s">
        <v>51</v>
      </c>
      <c r="L4" s="5"/>
      <c r="M4" s="5"/>
      <c r="N4" s="5"/>
      <c r="O4" s="5"/>
      <c r="P4" s="5"/>
      <c r="Q4" s="5"/>
      <c r="R4" s="5"/>
      <c r="S4" s="5"/>
      <c r="T4" s="5"/>
      <c r="U4" s="5"/>
      <c r="V4" s="5"/>
      <c r="W4" s="5"/>
      <c r="X4" s="5"/>
      <c r="Y4" s="5"/>
      <c r="Z4" s="5"/>
    </row>
    <row r="5">
      <c r="A5" s="18" t="s">
        <v>38</v>
      </c>
      <c r="B5" s="18" t="s">
        <v>40</v>
      </c>
      <c r="C5" s="18" t="s">
        <v>19</v>
      </c>
      <c r="D5" s="20" t="s">
        <v>20</v>
      </c>
      <c r="E5" s="20">
        <v>11346.0</v>
      </c>
      <c r="F5" s="18" t="s">
        <v>59</v>
      </c>
      <c r="G5" s="18" t="s">
        <v>60</v>
      </c>
      <c r="H5" s="18" t="s">
        <v>23</v>
      </c>
      <c r="I5" s="18" t="s">
        <v>24</v>
      </c>
      <c r="J5" s="18" t="s">
        <v>25</v>
      </c>
      <c r="K5" s="18" t="s">
        <v>62</v>
      </c>
      <c r="L5" s="5"/>
      <c r="M5" s="5"/>
      <c r="N5" s="5"/>
      <c r="O5" s="5"/>
      <c r="P5" s="5"/>
      <c r="Q5" s="5"/>
      <c r="R5" s="5"/>
      <c r="S5" s="5"/>
      <c r="T5" s="5"/>
      <c r="U5" s="5"/>
      <c r="V5" s="5"/>
      <c r="W5" s="5"/>
      <c r="X5" s="5"/>
      <c r="Y5" s="5"/>
      <c r="Z5" s="5"/>
    </row>
    <row r="6">
      <c r="A6" s="18" t="s">
        <v>38</v>
      </c>
      <c r="B6" s="18" t="s">
        <v>40</v>
      </c>
      <c r="C6" s="18" t="s">
        <v>19</v>
      </c>
      <c r="D6" s="20">
        <v>331.0</v>
      </c>
      <c r="E6" s="20">
        <v>600155.0</v>
      </c>
      <c r="F6" s="18" t="s">
        <v>63</v>
      </c>
      <c r="G6" s="18" t="s">
        <v>60</v>
      </c>
      <c r="H6" s="18" t="s">
        <v>48</v>
      </c>
      <c r="I6" s="18" t="s">
        <v>50</v>
      </c>
      <c r="J6" s="18" t="s">
        <v>25</v>
      </c>
      <c r="K6" s="18" t="s">
        <v>36</v>
      </c>
      <c r="L6" s="5"/>
      <c r="M6" s="5"/>
      <c r="N6" s="5"/>
      <c r="O6" s="5"/>
      <c r="P6" s="5"/>
      <c r="Q6" s="5"/>
      <c r="R6" s="5"/>
      <c r="S6" s="5"/>
      <c r="T6" s="5"/>
      <c r="U6" s="5"/>
      <c r="V6" s="5"/>
      <c r="W6" s="5"/>
      <c r="X6" s="5"/>
      <c r="Y6" s="5"/>
      <c r="Z6" s="5"/>
    </row>
    <row r="7">
      <c r="A7" s="14" t="s">
        <v>65</v>
      </c>
      <c r="B7" s="14" t="s">
        <v>66</v>
      </c>
      <c r="C7" s="14" t="s">
        <v>67</v>
      </c>
      <c r="D7" s="15">
        <v>766.0</v>
      </c>
      <c r="E7" s="15">
        <v>600679.0</v>
      </c>
      <c r="F7" s="14" t="s">
        <v>68</v>
      </c>
      <c r="G7" s="14" t="s">
        <v>69</v>
      </c>
      <c r="H7" s="14" t="s">
        <v>48</v>
      </c>
      <c r="I7" s="14" t="s">
        <v>50</v>
      </c>
      <c r="J7" s="14" t="s">
        <v>70</v>
      </c>
      <c r="K7" s="14" t="s">
        <v>67</v>
      </c>
      <c r="L7" s="5"/>
      <c r="M7" s="5"/>
      <c r="N7" s="5"/>
      <c r="O7" s="5"/>
      <c r="P7" s="5"/>
      <c r="Q7" s="5"/>
      <c r="R7" s="5"/>
      <c r="S7" s="5"/>
      <c r="T7" s="5"/>
      <c r="U7" s="5"/>
      <c r="V7" s="5"/>
      <c r="W7" s="5"/>
      <c r="X7" s="5"/>
      <c r="Y7" s="5"/>
      <c r="Z7" s="5"/>
    </row>
    <row r="8">
      <c r="A8" s="9" t="s">
        <v>65</v>
      </c>
      <c r="B8" s="9" t="s">
        <v>66</v>
      </c>
      <c r="C8" s="9" t="s">
        <v>19</v>
      </c>
      <c r="D8" s="11" t="s">
        <v>20</v>
      </c>
      <c r="E8" s="11">
        <v>600571.0</v>
      </c>
      <c r="F8" s="9" t="s">
        <v>71</v>
      </c>
      <c r="G8" s="9" t="s">
        <v>69</v>
      </c>
      <c r="H8" s="9" t="s">
        <v>23</v>
      </c>
      <c r="I8" s="9" t="s">
        <v>24</v>
      </c>
      <c r="J8" s="9" t="s">
        <v>70</v>
      </c>
      <c r="K8" s="9" t="s">
        <v>36</v>
      </c>
      <c r="L8" s="5"/>
      <c r="M8" s="5"/>
      <c r="N8" s="5"/>
      <c r="O8" s="5"/>
      <c r="P8" s="5"/>
      <c r="Q8" s="5"/>
      <c r="R8" s="5"/>
      <c r="S8" s="5"/>
      <c r="T8" s="5"/>
      <c r="U8" s="5"/>
      <c r="V8" s="5"/>
      <c r="W8" s="5"/>
      <c r="X8" s="5"/>
      <c r="Y8" s="5"/>
      <c r="Z8" s="5"/>
    </row>
    <row r="9">
      <c r="A9" s="14" t="s">
        <v>65</v>
      </c>
      <c r="B9" s="14" t="s">
        <v>74</v>
      </c>
      <c r="C9" s="14" t="s">
        <v>19</v>
      </c>
      <c r="D9" s="15" t="s">
        <v>20</v>
      </c>
      <c r="E9" s="15">
        <v>10570.0</v>
      </c>
      <c r="F9" s="14" t="s">
        <v>76</v>
      </c>
      <c r="G9" s="14" t="s">
        <v>74</v>
      </c>
      <c r="H9" s="14" t="s">
        <v>23</v>
      </c>
      <c r="I9" s="14" t="s">
        <v>77</v>
      </c>
      <c r="J9" s="14" t="s">
        <v>25</v>
      </c>
      <c r="K9" s="14" t="s">
        <v>51</v>
      </c>
      <c r="L9" s="5"/>
      <c r="M9" s="5"/>
      <c r="N9" s="5"/>
      <c r="O9" s="5"/>
      <c r="P9" s="5"/>
      <c r="Q9" s="5"/>
      <c r="R9" s="5"/>
      <c r="S9" s="5"/>
      <c r="T9" s="5"/>
      <c r="U9" s="5"/>
      <c r="V9" s="5"/>
      <c r="W9" s="5"/>
      <c r="X9" s="5"/>
      <c r="Y9" s="5"/>
      <c r="Z9" s="5"/>
    </row>
    <row r="10">
      <c r="A10" s="9" t="s">
        <v>65</v>
      </c>
      <c r="B10" s="9" t="s">
        <v>74</v>
      </c>
      <c r="C10" s="9" t="s">
        <v>19</v>
      </c>
      <c r="D10" s="11" t="s">
        <v>20</v>
      </c>
      <c r="E10" s="11">
        <v>10540.0</v>
      </c>
      <c r="F10" s="9" t="s">
        <v>74</v>
      </c>
      <c r="G10" s="9" t="s">
        <v>74</v>
      </c>
      <c r="H10" s="9" t="s">
        <v>23</v>
      </c>
      <c r="I10" s="9" t="s">
        <v>77</v>
      </c>
      <c r="J10" s="9" t="s">
        <v>25</v>
      </c>
      <c r="K10" s="9" t="s">
        <v>36</v>
      </c>
      <c r="L10" s="5"/>
      <c r="M10" s="5"/>
      <c r="N10" s="5"/>
      <c r="O10" s="5"/>
      <c r="P10" s="5"/>
      <c r="Q10" s="5"/>
      <c r="R10" s="5"/>
      <c r="S10" s="5"/>
      <c r="T10" s="5"/>
      <c r="U10" s="5"/>
      <c r="V10" s="5"/>
      <c r="W10" s="5"/>
      <c r="X10" s="5"/>
      <c r="Y10" s="5"/>
      <c r="Z10" s="5"/>
    </row>
    <row r="11">
      <c r="A11" s="9" t="s">
        <v>38</v>
      </c>
      <c r="B11" s="9" t="s">
        <v>83</v>
      </c>
      <c r="C11" s="9" t="s">
        <v>19</v>
      </c>
      <c r="D11" s="11">
        <v>881.0</v>
      </c>
      <c r="E11" s="11">
        <v>600703.0</v>
      </c>
      <c r="F11" s="9" t="s">
        <v>87</v>
      </c>
      <c r="G11" s="9" t="s">
        <v>88</v>
      </c>
      <c r="H11" s="9" t="s">
        <v>48</v>
      </c>
      <c r="I11" s="9" t="s">
        <v>50</v>
      </c>
      <c r="J11" s="9" t="s">
        <v>25</v>
      </c>
      <c r="K11" s="9" t="s">
        <v>36</v>
      </c>
      <c r="L11" s="5"/>
      <c r="M11" s="5"/>
      <c r="N11" s="5"/>
      <c r="O11" s="5"/>
      <c r="P11" s="5"/>
      <c r="Q11" s="5"/>
      <c r="R11" s="5"/>
      <c r="S11" s="5"/>
      <c r="T11" s="5"/>
      <c r="U11" s="5"/>
      <c r="V11" s="5"/>
      <c r="W11" s="5"/>
      <c r="X11" s="5"/>
      <c r="Y11" s="5"/>
      <c r="Z11" s="5"/>
    </row>
    <row r="12">
      <c r="A12" s="14" t="s">
        <v>14</v>
      </c>
      <c r="B12" s="14" t="s">
        <v>89</v>
      </c>
      <c r="C12" s="14" t="s">
        <v>19</v>
      </c>
      <c r="D12" s="15">
        <v>587.0</v>
      </c>
      <c r="E12" s="15">
        <v>600329.0</v>
      </c>
      <c r="F12" s="14" t="s">
        <v>90</v>
      </c>
      <c r="G12" s="14" t="s">
        <v>91</v>
      </c>
      <c r="H12" s="14" t="s">
        <v>48</v>
      </c>
      <c r="I12" s="14" t="s">
        <v>50</v>
      </c>
      <c r="J12" s="14" t="s">
        <v>25</v>
      </c>
      <c r="K12" s="14" t="s">
        <v>62</v>
      </c>
      <c r="L12" s="5"/>
      <c r="M12" s="5"/>
      <c r="N12" s="5"/>
      <c r="O12" s="5"/>
      <c r="P12" s="5"/>
      <c r="Q12" s="5"/>
      <c r="R12" s="5"/>
      <c r="S12" s="5"/>
      <c r="T12" s="5"/>
      <c r="U12" s="5"/>
      <c r="V12" s="5"/>
      <c r="W12" s="5"/>
      <c r="X12" s="5"/>
      <c r="Y12" s="5"/>
      <c r="Z12" s="5"/>
    </row>
    <row r="13">
      <c r="A13" s="9" t="s">
        <v>14</v>
      </c>
      <c r="B13" s="9" t="s">
        <v>89</v>
      </c>
      <c r="C13" s="9" t="s">
        <v>19</v>
      </c>
      <c r="D13" s="11" t="s">
        <v>20</v>
      </c>
      <c r="E13" s="11">
        <v>11325.0</v>
      </c>
      <c r="F13" s="9" t="s">
        <v>93</v>
      </c>
      <c r="G13" s="9" t="s">
        <v>91</v>
      </c>
      <c r="H13" s="9" t="s">
        <v>23</v>
      </c>
      <c r="I13" s="9" t="s">
        <v>24</v>
      </c>
      <c r="J13" s="9" t="s">
        <v>25</v>
      </c>
      <c r="K13" s="9" t="s">
        <v>36</v>
      </c>
      <c r="L13" s="5"/>
      <c r="M13" s="5"/>
      <c r="N13" s="5"/>
      <c r="O13" s="5"/>
      <c r="P13" s="5"/>
      <c r="Q13" s="5"/>
      <c r="R13" s="5"/>
      <c r="S13" s="5"/>
      <c r="T13" s="5"/>
      <c r="U13" s="5"/>
      <c r="V13" s="5"/>
      <c r="W13" s="5"/>
      <c r="X13" s="5"/>
      <c r="Y13" s="5"/>
      <c r="Z13" s="5"/>
    </row>
    <row r="14">
      <c r="A14" s="14" t="s">
        <v>14</v>
      </c>
      <c r="B14" s="14" t="s">
        <v>95</v>
      </c>
      <c r="C14" s="14" t="s">
        <v>67</v>
      </c>
      <c r="D14" s="15">
        <v>747.0</v>
      </c>
      <c r="E14" s="15">
        <v>600539.0</v>
      </c>
      <c r="F14" s="14" t="s">
        <v>96</v>
      </c>
      <c r="G14" s="14" t="s">
        <v>97</v>
      </c>
      <c r="H14" s="14" t="s">
        <v>48</v>
      </c>
      <c r="I14" s="14" t="s">
        <v>50</v>
      </c>
      <c r="J14" s="14" t="s">
        <v>25</v>
      </c>
      <c r="K14" s="14" t="s">
        <v>67</v>
      </c>
      <c r="L14" s="5"/>
      <c r="M14" s="5"/>
      <c r="N14" s="5"/>
      <c r="O14" s="5"/>
      <c r="P14" s="5"/>
      <c r="Q14" s="5"/>
      <c r="R14" s="5"/>
      <c r="S14" s="5"/>
      <c r="T14" s="5"/>
      <c r="U14" s="5"/>
      <c r="V14" s="5"/>
      <c r="W14" s="5"/>
      <c r="X14" s="5"/>
      <c r="Y14" s="5"/>
      <c r="Z14" s="5"/>
    </row>
    <row r="15">
      <c r="A15" s="9" t="s">
        <v>14</v>
      </c>
      <c r="B15" s="9" t="s">
        <v>95</v>
      </c>
      <c r="C15" s="9" t="s">
        <v>19</v>
      </c>
      <c r="D15" s="11">
        <v>667.0</v>
      </c>
      <c r="E15" s="11">
        <v>600389.0</v>
      </c>
      <c r="F15" s="38" t="s">
        <v>99</v>
      </c>
      <c r="G15" s="9" t="s">
        <v>97</v>
      </c>
      <c r="H15" s="9" t="s">
        <v>48</v>
      </c>
      <c r="I15" s="9" t="s">
        <v>50</v>
      </c>
      <c r="J15" s="9" t="s">
        <v>25</v>
      </c>
      <c r="K15" s="9" t="s">
        <v>36</v>
      </c>
      <c r="L15" s="5"/>
      <c r="M15" s="5"/>
      <c r="N15" s="5"/>
      <c r="O15" s="5"/>
      <c r="P15" s="5"/>
      <c r="Q15" s="5"/>
      <c r="R15" s="5"/>
      <c r="S15" s="5"/>
      <c r="T15" s="5"/>
      <c r="U15" s="5"/>
      <c r="V15" s="5"/>
      <c r="W15" s="5"/>
      <c r="X15" s="5"/>
      <c r="Y15" s="5"/>
      <c r="Z15" s="5"/>
    </row>
    <row r="16">
      <c r="A16" s="14" t="s">
        <v>38</v>
      </c>
      <c r="B16" s="14" t="s">
        <v>107</v>
      </c>
      <c r="C16" s="14" t="s">
        <v>19</v>
      </c>
      <c r="D16" s="15" t="s">
        <v>20</v>
      </c>
      <c r="E16" s="15">
        <v>10889.0</v>
      </c>
      <c r="F16" s="14" t="s">
        <v>108</v>
      </c>
      <c r="G16" s="14" t="s">
        <v>109</v>
      </c>
      <c r="H16" s="14" t="s">
        <v>23</v>
      </c>
      <c r="I16" s="14" t="s">
        <v>77</v>
      </c>
      <c r="J16" s="14" t="s">
        <v>25</v>
      </c>
      <c r="K16" s="14" t="s">
        <v>27</v>
      </c>
      <c r="L16" s="5"/>
      <c r="M16" s="5"/>
      <c r="N16" s="5"/>
      <c r="O16" s="5"/>
      <c r="P16" s="5"/>
      <c r="Q16" s="5"/>
      <c r="R16" s="5"/>
      <c r="S16" s="5"/>
      <c r="T16" s="5"/>
      <c r="U16" s="5"/>
      <c r="V16" s="5"/>
      <c r="W16" s="5"/>
      <c r="X16" s="5"/>
      <c r="Y16" s="5"/>
      <c r="Z16" s="5"/>
    </row>
    <row r="17">
      <c r="A17" s="9" t="s">
        <v>38</v>
      </c>
      <c r="B17" s="9" t="s">
        <v>107</v>
      </c>
      <c r="C17" s="9" t="s">
        <v>19</v>
      </c>
      <c r="D17" s="11" t="s">
        <v>20</v>
      </c>
      <c r="E17" s="11">
        <v>10706.0</v>
      </c>
      <c r="F17" s="9" t="s">
        <v>110</v>
      </c>
      <c r="G17" s="9" t="s">
        <v>109</v>
      </c>
      <c r="H17" s="9" t="s">
        <v>23</v>
      </c>
      <c r="I17" s="9" t="s">
        <v>77</v>
      </c>
      <c r="J17" s="9" t="s">
        <v>25</v>
      </c>
      <c r="K17" s="9" t="s">
        <v>36</v>
      </c>
      <c r="L17" s="5"/>
      <c r="M17" s="5"/>
      <c r="N17" s="5"/>
      <c r="O17" s="5"/>
      <c r="P17" s="5"/>
      <c r="Q17" s="5"/>
      <c r="R17" s="5"/>
      <c r="S17" s="5"/>
      <c r="T17" s="5"/>
      <c r="U17" s="5"/>
      <c r="V17" s="5"/>
      <c r="W17" s="5"/>
      <c r="X17" s="5"/>
      <c r="Y17" s="5"/>
      <c r="Z17" s="5"/>
    </row>
    <row r="18">
      <c r="A18" s="18" t="s">
        <v>38</v>
      </c>
      <c r="B18" s="18" t="s">
        <v>112</v>
      </c>
      <c r="C18" s="18" t="s">
        <v>67</v>
      </c>
      <c r="D18" s="42"/>
      <c r="E18" s="20">
        <v>20119.0</v>
      </c>
      <c r="F18" s="18" t="s">
        <v>112</v>
      </c>
      <c r="G18" s="18" t="s">
        <v>114</v>
      </c>
      <c r="H18" s="18" t="s">
        <v>23</v>
      </c>
      <c r="I18" s="18" t="s">
        <v>24</v>
      </c>
      <c r="J18" s="18" t="s">
        <v>25</v>
      </c>
      <c r="K18" s="18" t="s">
        <v>67</v>
      </c>
      <c r="L18" s="5"/>
      <c r="M18" s="5"/>
      <c r="N18" s="5"/>
      <c r="O18" s="5"/>
      <c r="P18" s="5"/>
      <c r="Q18" s="5"/>
      <c r="R18" s="5"/>
      <c r="S18" s="5"/>
      <c r="T18" s="5"/>
      <c r="U18" s="5"/>
      <c r="V18" s="5"/>
      <c r="W18" s="5"/>
      <c r="X18" s="5"/>
      <c r="Y18" s="5"/>
      <c r="Z18" s="5"/>
    </row>
    <row r="19">
      <c r="A19" s="18" t="s">
        <v>65</v>
      </c>
      <c r="B19" s="18" t="s">
        <v>116</v>
      </c>
      <c r="C19" s="18" t="s">
        <v>19</v>
      </c>
      <c r="D19" s="20">
        <v>324.0</v>
      </c>
      <c r="E19" s="20">
        <v>600263.0</v>
      </c>
      <c r="F19" s="18" t="s">
        <v>118</v>
      </c>
      <c r="G19" s="18" t="s">
        <v>119</v>
      </c>
      <c r="H19" s="18" t="s">
        <v>48</v>
      </c>
      <c r="I19" s="18" t="s">
        <v>50</v>
      </c>
      <c r="J19" s="18" t="s">
        <v>120</v>
      </c>
      <c r="K19" s="18" t="s">
        <v>36</v>
      </c>
      <c r="L19" s="5"/>
      <c r="M19" s="5"/>
      <c r="N19" s="5"/>
      <c r="O19" s="5"/>
      <c r="P19" s="5"/>
      <c r="Q19" s="5"/>
      <c r="R19" s="5"/>
      <c r="S19" s="5"/>
      <c r="T19" s="5"/>
      <c r="U19" s="5"/>
      <c r="V19" s="5"/>
      <c r="W19" s="5"/>
      <c r="X19" s="5"/>
      <c r="Y19" s="5"/>
      <c r="Z19" s="5"/>
    </row>
    <row r="20">
      <c r="A20" s="9" t="s">
        <v>14</v>
      </c>
      <c r="B20" s="9" t="s">
        <v>125</v>
      </c>
      <c r="C20" s="9" t="s">
        <v>19</v>
      </c>
      <c r="D20" s="11">
        <v>590.0</v>
      </c>
      <c r="E20" s="11">
        <v>600331.0</v>
      </c>
      <c r="F20" s="9" t="s">
        <v>126</v>
      </c>
      <c r="G20" s="9" t="s">
        <v>127</v>
      </c>
      <c r="H20" s="9" t="s">
        <v>48</v>
      </c>
      <c r="I20" s="9" t="s">
        <v>50</v>
      </c>
      <c r="J20" s="9" t="s">
        <v>25</v>
      </c>
      <c r="K20" s="9" t="s">
        <v>62</v>
      </c>
      <c r="L20" s="5"/>
      <c r="M20" s="5"/>
      <c r="N20" s="5"/>
      <c r="O20" s="5"/>
      <c r="P20" s="5"/>
      <c r="Q20" s="5"/>
      <c r="R20" s="5"/>
      <c r="S20" s="5"/>
      <c r="T20" s="5"/>
      <c r="U20" s="5"/>
      <c r="V20" s="5"/>
      <c r="W20" s="5"/>
      <c r="X20" s="5"/>
      <c r="Y20" s="5"/>
      <c r="Z20" s="5"/>
    </row>
    <row r="21">
      <c r="A21" s="14" t="s">
        <v>14</v>
      </c>
      <c r="B21" s="14" t="s">
        <v>125</v>
      </c>
      <c r="C21" s="14" t="s">
        <v>19</v>
      </c>
      <c r="D21" s="15" t="s">
        <v>20</v>
      </c>
      <c r="E21" s="15">
        <v>20634.0</v>
      </c>
      <c r="F21" s="14" t="s">
        <v>125</v>
      </c>
      <c r="G21" s="14" t="s">
        <v>127</v>
      </c>
      <c r="H21" s="14" t="s">
        <v>23</v>
      </c>
      <c r="I21" s="14" t="s">
        <v>24</v>
      </c>
      <c r="J21" s="14" t="s">
        <v>25</v>
      </c>
      <c r="K21" s="14" t="s">
        <v>27</v>
      </c>
      <c r="L21" s="5"/>
      <c r="M21" s="5"/>
      <c r="N21" s="5"/>
      <c r="O21" s="5"/>
      <c r="P21" s="5"/>
      <c r="Q21" s="5"/>
      <c r="R21" s="5"/>
      <c r="S21" s="5"/>
      <c r="T21" s="5"/>
      <c r="U21" s="5"/>
      <c r="V21" s="5"/>
      <c r="W21" s="5"/>
      <c r="X21" s="5"/>
      <c r="Y21" s="5"/>
      <c r="Z21" s="5"/>
    </row>
    <row r="22">
      <c r="A22" s="9" t="s">
        <v>14</v>
      </c>
      <c r="B22" s="9" t="s">
        <v>125</v>
      </c>
      <c r="C22" s="9" t="s">
        <v>19</v>
      </c>
      <c r="D22" s="11" t="s">
        <v>20</v>
      </c>
      <c r="E22" s="11">
        <v>10841.0</v>
      </c>
      <c r="F22" s="9" t="s">
        <v>131</v>
      </c>
      <c r="G22" s="9" t="s">
        <v>127</v>
      </c>
      <c r="H22" s="9" t="s">
        <v>23</v>
      </c>
      <c r="I22" s="9" t="s">
        <v>24</v>
      </c>
      <c r="J22" s="9" t="s">
        <v>25</v>
      </c>
      <c r="K22" s="9" t="s">
        <v>36</v>
      </c>
      <c r="L22" s="5"/>
      <c r="M22" s="5"/>
      <c r="N22" s="5"/>
      <c r="O22" s="5"/>
      <c r="P22" s="5"/>
      <c r="Q22" s="5"/>
      <c r="R22" s="5"/>
      <c r="S22" s="5"/>
      <c r="T22" s="5"/>
      <c r="U22" s="5"/>
      <c r="V22" s="5"/>
      <c r="W22" s="5"/>
      <c r="X22" s="5"/>
      <c r="Y22" s="5"/>
      <c r="Z22" s="5"/>
    </row>
    <row r="23">
      <c r="A23" s="18" t="s">
        <v>14</v>
      </c>
      <c r="B23" s="18" t="s">
        <v>133</v>
      </c>
      <c r="C23" s="18" t="s">
        <v>19</v>
      </c>
      <c r="D23" s="20" t="s">
        <v>20</v>
      </c>
      <c r="E23" s="20">
        <v>20641.0</v>
      </c>
      <c r="F23" s="18" t="s">
        <v>134</v>
      </c>
      <c r="G23" s="18" t="s">
        <v>135</v>
      </c>
      <c r="H23" s="18" t="s">
        <v>23</v>
      </c>
      <c r="I23" s="18" t="s">
        <v>24</v>
      </c>
      <c r="J23" s="18" t="s">
        <v>25</v>
      </c>
      <c r="K23" s="18" t="s">
        <v>27</v>
      </c>
      <c r="L23" s="5"/>
      <c r="M23" s="5"/>
      <c r="N23" s="5"/>
      <c r="O23" s="5"/>
      <c r="P23" s="5"/>
      <c r="Q23" s="5"/>
      <c r="R23" s="5"/>
      <c r="S23" s="5"/>
      <c r="T23" s="5"/>
      <c r="U23" s="5"/>
      <c r="V23" s="5"/>
      <c r="W23" s="5"/>
      <c r="X23" s="5"/>
      <c r="Y23" s="5"/>
      <c r="Z23" s="5"/>
    </row>
    <row r="24">
      <c r="A24" s="18" t="s">
        <v>14</v>
      </c>
      <c r="B24" s="18" t="s">
        <v>133</v>
      </c>
      <c r="C24" s="18" t="s">
        <v>19</v>
      </c>
      <c r="D24" s="20" t="s">
        <v>20</v>
      </c>
      <c r="E24" s="20">
        <v>11317.0</v>
      </c>
      <c r="F24" s="18" t="s">
        <v>136</v>
      </c>
      <c r="G24" s="18" t="s">
        <v>135</v>
      </c>
      <c r="H24" s="18" t="s">
        <v>23</v>
      </c>
      <c r="I24" s="18" t="s">
        <v>24</v>
      </c>
      <c r="J24" s="18" t="s">
        <v>25</v>
      </c>
      <c r="K24" s="18" t="s">
        <v>27</v>
      </c>
      <c r="L24" s="5"/>
      <c r="M24" s="5"/>
      <c r="N24" s="5"/>
      <c r="O24" s="5"/>
      <c r="P24" s="5"/>
      <c r="Q24" s="5"/>
      <c r="R24" s="5"/>
      <c r="S24" s="5"/>
      <c r="T24" s="5"/>
      <c r="U24" s="5"/>
      <c r="V24" s="5"/>
      <c r="W24" s="5"/>
      <c r="X24" s="5"/>
      <c r="Y24" s="5"/>
      <c r="Z24" s="5"/>
    </row>
    <row r="25">
      <c r="A25" s="18" t="s">
        <v>14</v>
      </c>
      <c r="B25" s="18" t="s">
        <v>133</v>
      </c>
      <c r="C25" s="18" t="s">
        <v>19</v>
      </c>
      <c r="D25" s="20" t="s">
        <v>20</v>
      </c>
      <c r="E25" s="20">
        <v>11310.0</v>
      </c>
      <c r="F25" s="18" t="s">
        <v>137</v>
      </c>
      <c r="G25" s="18" t="s">
        <v>135</v>
      </c>
      <c r="H25" s="18" t="s">
        <v>23</v>
      </c>
      <c r="I25" s="18" t="s">
        <v>24</v>
      </c>
      <c r="J25" s="18" t="s">
        <v>25</v>
      </c>
      <c r="K25" s="18" t="s">
        <v>27</v>
      </c>
      <c r="L25" s="5"/>
      <c r="M25" s="5"/>
      <c r="N25" s="5"/>
      <c r="O25" s="5"/>
      <c r="P25" s="5"/>
      <c r="Q25" s="5"/>
      <c r="R25" s="5"/>
      <c r="S25" s="5"/>
      <c r="T25" s="5"/>
      <c r="U25" s="5"/>
      <c r="V25" s="5"/>
      <c r="W25" s="5"/>
      <c r="X25" s="5"/>
      <c r="Y25" s="5"/>
      <c r="Z25" s="5"/>
    </row>
    <row r="26">
      <c r="A26" s="18" t="s">
        <v>14</v>
      </c>
      <c r="B26" s="18" t="s">
        <v>133</v>
      </c>
      <c r="C26" s="18" t="s">
        <v>19</v>
      </c>
      <c r="D26" s="20" t="s">
        <v>20</v>
      </c>
      <c r="E26" s="20">
        <v>11298.0</v>
      </c>
      <c r="F26" s="18" t="s">
        <v>140</v>
      </c>
      <c r="G26" s="18" t="s">
        <v>135</v>
      </c>
      <c r="H26" s="18" t="s">
        <v>23</v>
      </c>
      <c r="I26" s="18" t="s">
        <v>24</v>
      </c>
      <c r="J26" s="18" t="s">
        <v>25</v>
      </c>
      <c r="K26" s="18" t="s">
        <v>27</v>
      </c>
      <c r="L26" s="5"/>
      <c r="M26" s="5"/>
      <c r="N26" s="5"/>
      <c r="O26" s="5"/>
      <c r="P26" s="5"/>
      <c r="Q26" s="5"/>
      <c r="R26" s="5"/>
      <c r="S26" s="5"/>
      <c r="T26" s="5"/>
      <c r="U26" s="5"/>
      <c r="V26" s="5"/>
      <c r="W26" s="5"/>
      <c r="X26" s="5"/>
      <c r="Y26" s="5"/>
      <c r="Z26" s="5"/>
    </row>
    <row r="27">
      <c r="A27" s="18" t="s">
        <v>14</v>
      </c>
      <c r="B27" s="18" t="s">
        <v>133</v>
      </c>
      <c r="C27" s="18" t="s">
        <v>19</v>
      </c>
      <c r="D27" s="20" t="s">
        <v>20</v>
      </c>
      <c r="E27" s="20">
        <v>11227.0</v>
      </c>
      <c r="F27" s="18" t="s">
        <v>141</v>
      </c>
      <c r="G27" s="18" t="s">
        <v>135</v>
      </c>
      <c r="H27" s="18" t="s">
        <v>23</v>
      </c>
      <c r="I27" s="18" t="s">
        <v>24</v>
      </c>
      <c r="J27" s="18" t="s">
        <v>25</v>
      </c>
      <c r="K27" s="18" t="s">
        <v>27</v>
      </c>
      <c r="L27" s="5"/>
      <c r="M27" s="5"/>
      <c r="N27" s="5"/>
      <c r="O27" s="5"/>
      <c r="P27" s="5"/>
      <c r="Q27" s="5"/>
      <c r="R27" s="5"/>
      <c r="S27" s="5"/>
      <c r="T27" s="5"/>
      <c r="U27" s="5"/>
      <c r="V27" s="5"/>
      <c r="W27" s="5"/>
      <c r="X27" s="5"/>
      <c r="Y27" s="5"/>
      <c r="Z27" s="5"/>
    </row>
    <row r="28">
      <c r="A28" s="18" t="s">
        <v>14</v>
      </c>
      <c r="B28" s="18" t="s">
        <v>133</v>
      </c>
      <c r="C28" s="18" t="s">
        <v>19</v>
      </c>
      <c r="D28" s="20" t="s">
        <v>20</v>
      </c>
      <c r="E28" s="20">
        <v>11224.0</v>
      </c>
      <c r="F28" s="18" t="s">
        <v>145</v>
      </c>
      <c r="G28" s="18" t="s">
        <v>135</v>
      </c>
      <c r="H28" s="18" t="s">
        <v>23</v>
      </c>
      <c r="I28" s="18" t="s">
        <v>24</v>
      </c>
      <c r="J28" s="18" t="s">
        <v>25</v>
      </c>
      <c r="K28" s="18" t="s">
        <v>27</v>
      </c>
      <c r="L28" s="5"/>
      <c r="M28" s="5"/>
      <c r="N28" s="5"/>
      <c r="O28" s="5"/>
      <c r="P28" s="5"/>
      <c r="Q28" s="5"/>
      <c r="R28" s="5"/>
      <c r="S28" s="5"/>
      <c r="T28" s="5"/>
      <c r="U28" s="5"/>
      <c r="V28" s="5"/>
      <c r="W28" s="5"/>
      <c r="X28" s="5"/>
      <c r="Y28" s="5"/>
      <c r="Z28" s="5"/>
    </row>
    <row r="29">
      <c r="A29" s="18" t="s">
        <v>14</v>
      </c>
      <c r="B29" s="18" t="s">
        <v>133</v>
      </c>
      <c r="C29" s="18" t="s">
        <v>19</v>
      </c>
      <c r="D29" s="20" t="s">
        <v>20</v>
      </c>
      <c r="E29" s="20">
        <v>10464.0</v>
      </c>
      <c r="F29" s="18" t="s">
        <v>148</v>
      </c>
      <c r="G29" s="18" t="s">
        <v>135</v>
      </c>
      <c r="H29" s="18" t="s">
        <v>23</v>
      </c>
      <c r="I29" s="18" t="s">
        <v>24</v>
      </c>
      <c r="J29" s="18" t="s">
        <v>25</v>
      </c>
      <c r="K29" s="18" t="s">
        <v>27</v>
      </c>
      <c r="L29" s="5"/>
      <c r="M29" s="5"/>
      <c r="N29" s="5"/>
      <c r="O29" s="5"/>
      <c r="P29" s="5"/>
      <c r="Q29" s="5"/>
      <c r="R29" s="5"/>
      <c r="S29" s="5"/>
      <c r="T29" s="5"/>
      <c r="U29" s="5"/>
      <c r="V29" s="5"/>
      <c r="W29" s="5"/>
      <c r="X29" s="5"/>
      <c r="Y29" s="5"/>
      <c r="Z29" s="5"/>
    </row>
    <row r="30">
      <c r="A30" s="18" t="s">
        <v>14</v>
      </c>
      <c r="B30" s="18" t="s">
        <v>133</v>
      </c>
      <c r="C30" s="18" t="s">
        <v>67</v>
      </c>
      <c r="D30" s="20" t="s">
        <v>20</v>
      </c>
      <c r="E30" s="20">
        <v>20144.0</v>
      </c>
      <c r="F30" s="18" t="s">
        <v>149</v>
      </c>
      <c r="G30" s="18" t="s">
        <v>135</v>
      </c>
      <c r="H30" s="18" t="s">
        <v>23</v>
      </c>
      <c r="I30" s="18" t="s">
        <v>24</v>
      </c>
      <c r="J30" s="18" t="s">
        <v>25</v>
      </c>
      <c r="K30" s="18" t="s">
        <v>67</v>
      </c>
      <c r="L30" s="5"/>
      <c r="M30" s="5"/>
      <c r="N30" s="5"/>
      <c r="O30" s="5"/>
      <c r="P30" s="5"/>
      <c r="Q30" s="5"/>
      <c r="R30" s="5"/>
      <c r="S30" s="5"/>
      <c r="T30" s="5"/>
      <c r="U30" s="5"/>
      <c r="V30" s="5"/>
      <c r="W30" s="5"/>
      <c r="X30" s="5"/>
      <c r="Y30" s="5"/>
      <c r="Z30" s="5"/>
    </row>
    <row r="31">
      <c r="A31" s="18" t="s">
        <v>14</v>
      </c>
      <c r="B31" s="18" t="s">
        <v>133</v>
      </c>
      <c r="C31" s="18" t="s">
        <v>67</v>
      </c>
      <c r="D31" s="20" t="s">
        <v>20</v>
      </c>
      <c r="E31" s="20">
        <v>20093.0</v>
      </c>
      <c r="F31" s="18" t="s">
        <v>151</v>
      </c>
      <c r="G31" s="18" t="s">
        <v>135</v>
      </c>
      <c r="H31" s="18" t="s">
        <v>23</v>
      </c>
      <c r="I31" s="18" t="s">
        <v>24</v>
      </c>
      <c r="J31" s="18" t="s">
        <v>25</v>
      </c>
      <c r="K31" s="18" t="s">
        <v>67</v>
      </c>
      <c r="L31" s="5"/>
      <c r="M31" s="5"/>
      <c r="N31" s="5"/>
      <c r="O31" s="5"/>
      <c r="P31" s="5"/>
      <c r="Q31" s="5"/>
      <c r="R31" s="5"/>
      <c r="S31" s="5"/>
      <c r="T31" s="5"/>
      <c r="U31" s="5"/>
      <c r="V31" s="5"/>
      <c r="W31" s="5"/>
      <c r="X31" s="5"/>
      <c r="Y31" s="5"/>
      <c r="Z31" s="5"/>
    </row>
    <row r="32">
      <c r="A32" s="18" t="s">
        <v>14</v>
      </c>
      <c r="B32" s="18" t="s">
        <v>133</v>
      </c>
      <c r="C32" s="18" t="s">
        <v>19</v>
      </c>
      <c r="D32" s="20">
        <v>561.0</v>
      </c>
      <c r="E32" s="20">
        <v>600296.0</v>
      </c>
      <c r="F32" s="18" t="s">
        <v>154</v>
      </c>
      <c r="G32" s="18" t="s">
        <v>135</v>
      </c>
      <c r="H32" s="18" t="s">
        <v>48</v>
      </c>
      <c r="I32" s="18" t="s">
        <v>50</v>
      </c>
      <c r="J32" s="18" t="s">
        <v>155</v>
      </c>
      <c r="K32" s="18" t="s">
        <v>36</v>
      </c>
      <c r="L32" s="5"/>
      <c r="M32" s="5"/>
      <c r="N32" s="5"/>
      <c r="O32" s="5"/>
      <c r="P32" s="5"/>
      <c r="Q32" s="5"/>
      <c r="R32" s="5"/>
      <c r="S32" s="5"/>
      <c r="T32" s="5"/>
      <c r="U32" s="5"/>
      <c r="V32" s="5"/>
      <c r="W32" s="5"/>
      <c r="X32" s="5"/>
      <c r="Y32" s="5"/>
      <c r="Z32" s="5"/>
    </row>
    <row r="33">
      <c r="A33" s="18" t="s">
        <v>14</v>
      </c>
      <c r="B33" s="18" t="s">
        <v>133</v>
      </c>
      <c r="C33" s="18" t="s">
        <v>19</v>
      </c>
      <c r="D33" s="20" t="s">
        <v>20</v>
      </c>
      <c r="E33" s="20">
        <v>11255.0</v>
      </c>
      <c r="F33" s="18" t="s">
        <v>160</v>
      </c>
      <c r="G33" s="18" t="s">
        <v>135</v>
      </c>
      <c r="H33" s="18" t="s">
        <v>23</v>
      </c>
      <c r="I33" s="18" t="s">
        <v>24</v>
      </c>
      <c r="J33" s="18" t="s">
        <v>25</v>
      </c>
      <c r="K33" s="18" t="s">
        <v>51</v>
      </c>
      <c r="L33" s="5"/>
      <c r="M33" s="5"/>
      <c r="N33" s="5"/>
      <c r="O33" s="5"/>
      <c r="P33" s="5"/>
      <c r="Q33" s="5"/>
      <c r="R33" s="5"/>
      <c r="S33" s="5"/>
      <c r="T33" s="5"/>
      <c r="U33" s="5"/>
      <c r="V33" s="5"/>
      <c r="W33" s="5"/>
      <c r="X33" s="5"/>
      <c r="Y33" s="5"/>
      <c r="Z33" s="5"/>
    </row>
    <row r="34">
      <c r="A34" s="14" t="s">
        <v>14</v>
      </c>
      <c r="B34" s="14" t="s">
        <v>163</v>
      </c>
      <c r="C34" s="14" t="s">
        <v>19</v>
      </c>
      <c r="D34" s="15" t="s">
        <v>20</v>
      </c>
      <c r="E34" s="15">
        <v>11273.0</v>
      </c>
      <c r="F34" s="14" t="s">
        <v>167</v>
      </c>
      <c r="G34" s="14" t="s">
        <v>163</v>
      </c>
      <c r="H34" s="14" t="s">
        <v>23</v>
      </c>
      <c r="I34" s="14" t="s">
        <v>24</v>
      </c>
      <c r="J34" s="14" t="s">
        <v>25</v>
      </c>
      <c r="K34" s="14" t="s">
        <v>27</v>
      </c>
      <c r="L34" s="5"/>
      <c r="M34" s="5"/>
      <c r="N34" s="5"/>
      <c r="O34" s="5"/>
      <c r="P34" s="5"/>
      <c r="Q34" s="5"/>
      <c r="R34" s="5"/>
      <c r="S34" s="5"/>
      <c r="T34" s="5"/>
      <c r="U34" s="5"/>
      <c r="V34" s="5"/>
      <c r="W34" s="5"/>
      <c r="X34" s="5"/>
      <c r="Y34" s="5"/>
      <c r="Z34" s="5"/>
    </row>
    <row r="35">
      <c r="A35" s="9" t="s">
        <v>14</v>
      </c>
      <c r="B35" s="9" t="s">
        <v>163</v>
      </c>
      <c r="C35" s="9" t="s">
        <v>19</v>
      </c>
      <c r="D35" s="11" t="s">
        <v>20</v>
      </c>
      <c r="E35" s="11">
        <v>10789.0</v>
      </c>
      <c r="F35" s="9" t="s">
        <v>170</v>
      </c>
      <c r="G35" s="9" t="s">
        <v>163</v>
      </c>
      <c r="H35" s="9" t="s">
        <v>23</v>
      </c>
      <c r="I35" s="9" t="s">
        <v>24</v>
      </c>
      <c r="J35" s="9" t="s">
        <v>25</v>
      </c>
      <c r="K35" s="9" t="s">
        <v>27</v>
      </c>
      <c r="L35" s="5"/>
      <c r="M35" s="5"/>
      <c r="N35" s="5"/>
      <c r="O35" s="5"/>
      <c r="P35" s="5"/>
      <c r="Q35" s="5"/>
      <c r="R35" s="5"/>
      <c r="S35" s="5"/>
      <c r="T35" s="5"/>
      <c r="U35" s="5"/>
      <c r="V35" s="5"/>
      <c r="W35" s="5"/>
      <c r="X35" s="5"/>
      <c r="Y35" s="5"/>
      <c r="Z35" s="5"/>
    </row>
    <row r="36">
      <c r="A36" s="14" t="s">
        <v>14</v>
      </c>
      <c r="B36" s="14" t="s">
        <v>163</v>
      </c>
      <c r="C36" s="14" t="s">
        <v>19</v>
      </c>
      <c r="D36" s="15" t="s">
        <v>20</v>
      </c>
      <c r="E36" s="15">
        <v>10913.0</v>
      </c>
      <c r="F36" s="14" t="s">
        <v>163</v>
      </c>
      <c r="G36" s="14" t="s">
        <v>163</v>
      </c>
      <c r="H36" s="14" t="s">
        <v>23</v>
      </c>
      <c r="I36" s="14" t="s">
        <v>77</v>
      </c>
      <c r="J36" s="14" t="s">
        <v>25</v>
      </c>
      <c r="K36" s="14" t="s">
        <v>36</v>
      </c>
      <c r="L36" s="5"/>
      <c r="M36" s="5"/>
      <c r="N36" s="5"/>
      <c r="O36" s="5"/>
      <c r="P36" s="5"/>
      <c r="Q36" s="5"/>
      <c r="R36" s="5"/>
      <c r="S36" s="5"/>
      <c r="T36" s="5"/>
      <c r="U36" s="5"/>
      <c r="V36" s="5"/>
      <c r="W36" s="5"/>
      <c r="X36" s="5"/>
      <c r="Y36" s="5"/>
      <c r="Z36" s="5"/>
    </row>
    <row r="37">
      <c r="A37" s="9" t="s">
        <v>123</v>
      </c>
      <c r="B37" s="9" t="s">
        <v>174</v>
      </c>
      <c r="C37" s="9" t="s">
        <v>19</v>
      </c>
      <c r="D37" s="11" t="s">
        <v>20</v>
      </c>
      <c r="E37" s="11">
        <v>600493.0</v>
      </c>
      <c r="F37" s="9" t="s">
        <v>176</v>
      </c>
      <c r="G37" s="9" t="s">
        <v>177</v>
      </c>
      <c r="H37" s="9" t="s">
        <v>23</v>
      </c>
      <c r="I37" s="9" t="s">
        <v>24</v>
      </c>
      <c r="J37" s="9" t="s">
        <v>25</v>
      </c>
      <c r="K37" s="9" t="s">
        <v>27</v>
      </c>
      <c r="L37" s="5"/>
      <c r="M37" s="5"/>
      <c r="N37" s="5"/>
      <c r="O37" s="5"/>
      <c r="P37" s="5"/>
      <c r="Q37" s="5"/>
      <c r="R37" s="5"/>
      <c r="S37" s="5"/>
      <c r="T37" s="5"/>
      <c r="U37" s="5"/>
      <c r="V37" s="5"/>
      <c r="W37" s="5"/>
      <c r="X37" s="5"/>
      <c r="Y37" s="5"/>
      <c r="Z37" s="5"/>
    </row>
    <row r="38">
      <c r="A38" s="14" t="s">
        <v>123</v>
      </c>
      <c r="B38" s="14" t="s">
        <v>174</v>
      </c>
      <c r="C38" s="14" t="s">
        <v>19</v>
      </c>
      <c r="D38" s="15" t="s">
        <v>20</v>
      </c>
      <c r="E38" s="15">
        <v>10613.0</v>
      </c>
      <c r="F38" s="14" t="s">
        <v>180</v>
      </c>
      <c r="G38" s="14" t="s">
        <v>177</v>
      </c>
      <c r="H38" s="14" t="s">
        <v>23</v>
      </c>
      <c r="I38" s="14" t="s">
        <v>24</v>
      </c>
      <c r="J38" s="14" t="s">
        <v>25</v>
      </c>
      <c r="K38" s="14" t="s">
        <v>27</v>
      </c>
      <c r="L38" s="5"/>
      <c r="M38" s="5"/>
      <c r="N38" s="5"/>
      <c r="O38" s="5"/>
      <c r="P38" s="5"/>
      <c r="Q38" s="5"/>
      <c r="R38" s="5"/>
      <c r="S38" s="5"/>
      <c r="T38" s="5"/>
      <c r="U38" s="5"/>
      <c r="V38" s="5"/>
      <c r="W38" s="5"/>
      <c r="X38" s="5"/>
      <c r="Y38" s="5"/>
      <c r="Z38" s="5"/>
    </row>
    <row r="39">
      <c r="A39" s="9" t="s">
        <v>123</v>
      </c>
      <c r="B39" s="9" t="s">
        <v>174</v>
      </c>
      <c r="C39" s="9" t="s">
        <v>19</v>
      </c>
      <c r="D39" s="11" t="s">
        <v>20</v>
      </c>
      <c r="E39" s="11">
        <v>10297.0</v>
      </c>
      <c r="F39" s="9" t="s">
        <v>174</v>
      </c>
      <c r="G39" s="9" t="s">
        <v>177</v>
      </c>
      <c r="H39" s="9" t="s">
        <v>23</v>
      </c>
      <c r="I39" s="9" t="s">
        <v>24</v>
      </c>
      <c r="J39" s="9" t="s">
        <v>25</v>
      </c>
      <c r="K39" s="9" t="s">
        <v>36</v>
      </c>
      <c r="L39" s="5"/>
      <c r="M39" s="5"/>
      <c r="N39" s="5"/>
      <c r="O39" s="5"/>
      <c r="P39" s="5"/>
      <c r="Q39" s="5"/>
      <c r="R39" s="5"/>
      <c r="S39" s="5"/>
      <c r="T39" s="5"/>
      <c r="U39" s="5"/>
      <c r="V39" s="5"/>
      <c r="W39" s="5"/>
      <c r="X39" s="5"/>
      <c r="Y39" s="5"/>
      <c r="Z39" s="5"/>
    </row>
    <row r="40">
      <c r="A40" s="18" t="s">
        <v>65</v>
      </c>
      <c r="B40" s="18" t="s">
        <v>185</v>
      </c>
      <c r="C40" s="18" t="s">
        <v>19</v>
      </c>
      <c r="D40" s="20" t="s">
        <v>20</v>
      </c>
      <c r="E40" s="20">
        <v>11362.0</v>
      </c>
      <c r="F40" s="18" t="s">
        <v>186</v>
      </c>
      <c r="G40" s="18" t="s">
        <v>188</v>
      </c>
      <c r="H40" s="18" t="s">
        <v>23</v>
      </c>
      <c r="I40" s="18" t="s">
        <v>24</v>
      </c>
      <c r="J40" s="18" t="s">
        <v>25</v>
      </c>
      <c r="K40" s="18" t="s">
        <v>36</v>
      </c>
      <c r="L40" s="5"/>
      <c r="M40" s="5"/>
      <c r="N40" s="5"/>
      <c r="O40" s="5"/>
      <c r="P40" s="5"/>
      <c r="Q40" s="5"/>
      <c r="R40" s="5"/>
      <c r="S40" s="5"/>
      <c r="T40" s="5"/>
      <c r="U40" s="5"/>
      <c r="V40" s="5"/>
      <c r="W40" s="5"/>
      <c r="X40" s="5"/>
      <c r="Y40" s="5"/>
      <c r="Z40" s="5"/>
    </row>
    <row r="41">
      <c r="A41" s="9" t="s">
        <v>65</v>
      </c>
      <c r="B41" s="9" t="s">
        <v>189</v>
      </c>
      <c r="C41" s="9" t="s">
        <v>19</v>
      </c>
      <c r="D41" s="11" t="s">
        <v>20</v>
      </c>
      <c r="E41" s="11">
        <v>10378.0</v>
      </c>
      <c r="F41" s="9" t="s">
        <v>190</v>
      </c>
      <c r="G41" s="9" t="s">
        <v>189</v>
      </c>
      <c r="H41" s="9" t="s">
        <v>23</v>
      </c>
      <c r="I41" s="9" t="s">
        <v>77</v>
      </c>
      <c r="J41" s="9" t="s">
        <v>25</v>
      </c>
      <c r="K41" s="9" t="s">
        <v>27</v>
      </c>
      <c r="L41" s="5"/>
      <c r="M41" s="5"/>
      <c r="N41" s="5"/>
      <c r="O41" s="5"/>
      <c r="P41" s="5"/>
      <c r="Q41" s="5"/>
      <c r="R41" s="5"/>
      <c r="S41" s="5"/>
      <c r="T41" s="5"/>
      <c r="U41" s="5"/>
      <c r="V41" s="5"/>
      <c r="W41" s="5"/>
      <c r="X41" s="5"/>
      <c r="Y41" s="5"/>
      <c r="Z41" s="5"/>
    </row>
    <row r="42">
      <c r="A42" s="9" t="s">
        <v>65</v>
      </c>
      <c r="B42" s="9" t="s">
        <v>191</v>
      </c>
      <c r="C42" s="9" t="s">
        <v>19</v>
      </c>
      <c r="D42" s="11" t="s">
        <v>20</v>
      </c>
      <c r="E42" s="11">
        <v>600682.0</v>
      </c>
      <c r="F42" s="9" t="s">
        <v>192</v>
      </c>
      <c r="G42" s="9" t="s">
        <v>191</v>
      </c>
      <c r="H42" s="9" t="s">
        <v>23</v>
      </c>
      <c r="I42" s="9" t="s">
        <v>77</v>
      </c>
      <c r="J42" s="9" t="s">
        <v>25</v>
      </c>
      <c r="K42" s="9" t="s">
        <v>27</v>
      </c>
      <c r="L42" s="5"/>
      <c r="M42" s="5"/>
      <c r="N42" s="5"/>
      <c r="O42" s="5"/>
      <c r="P42" s="5"/>
      <c r="Q42" s="5"/>
      <c r="R42" s="5"/>
      <c r="S42" s="5"/>
      <c r="T42" s="5"/>
      <c r="U42" s="5"/>
      <c r="V42" s="5"/>
      <c r="W42" s="5"/>
      <c r="X42" s="5"/>
      <c r="Y42" s="5"/>
      <c r="Z42" s="5"/>
    </row>
    <row r="43">
      <c r="A43" s="14" t="s">
        <v>65</v>
      </c>
      <c r="B43" s="14" t="s">
        <v>191</v>
      </c>
      <c r="C43" s="14" t="s">
        <v>19</v>
      </c>
      <c r="D43" s="15" t="s">
        <v>20</v>
      </c>
      <c r="E43" s="15">
        <v>10452.0</v>
      </c>
      <c r="F43" s="14" t="s">
        <v>191</v>
      </c>
      <c r="G43" s="14" t="s">
        <v>191</v>
      </c>
      <c r="H43" s="14" t="s">
        <v>23</v>
      </c>
      <c r="I43" s="14" t="s">
        <v>77</v>
      </c>
      <c r="J43" s="14" t="s">
        <v>25</v>
      </c>
      <c r="K43" s="14" t="s">
        <v>36</v>
      </c>
      <c r="L43" s="5"/>
      <c r="M43" s="5"/>
      <c r="N43" s="5"/>
      <c r="O43" s="5"/>
      <c r="P43" s="5"/>
      <c r="Q43" s="5"/>
      <c r="R43" s="5"/>
      <c r="S43" s="5"/>
      <c r="T43" s="5"/>
      <c r="U43" s="5"/>
      <c r="V43" s="5"/>
      <c r="W43" s="5"/>
      <c r="X43" s="5"/>
      <c r="Y43" s="5"/>
      <c r="Z43" s="5"/>
    </row>
    <row r="44">
      <c r="A44" s="9" t="s">
        <v>123</v>
      </c>
      <c r="B44" s="9" t="s">
        <v>194</v>
      </c>
      <c r="C44" s="9" t="s">
        <v>19</v>
      </c>
      <c r="D44" s="11" t="s">
        <v>20</v>
      </c>
      <c r="E44" s="11">
        <v>800026.0</v>
      </c>
      <c r="F44" s="9" t="s">
        <v>195</v>
      </c>
      <c r="G44" s="9" t="s">
        <v>196</v>
      </c>
      <c r="H44" s="9" t="s">
        <v>23</v>
      </c>
      <c r="I44" s="9" t="s">
        <v>24</v>
      </c>
      <c r="J44" s="9" t="s">
        <v>25</v>
      </c>
      <c r="K44" s="9" t="s">
        <v>27</v>
      </c>
      <c r="L44" s="5"/>
      <c r="M44" s="5"/>
      <c r="N44" s="5"/>
      <c r="O44" s="5"/>
      <c r="P44" s="5"/>
      <c r="Q44" s="5"/>
      <c r="R44" s="5"/>
      <c r="S44" s="5"/>
      <c r="T44" s="5"/>
      <c r="U44" s="5"/>
      <c r="V44" s="5"/>
      <c r="W44" s="5"/>
      <c r="X44" s="5"/>
      <c r="Y44" s="5"/>
      <c r="Z44" s="5"/>
    </row>
    <row r="45">
      <c r="A45" s="14" t="s">
        <v>123</v>
      </c>
      <c r="B45" s="14" t="s">
        <v>194</v>
      </c>
      <c r="C45" s="14" t="s">
        <v>19</v>
      </c>
      <c r="D45" s="15" t="s">
        <v>20</v>
      </c>
      <c r="E45" s="15">
        <v>10761.0</v>
      </c>
      <c r="F45" s="14" t="s">
        <v>194</v>
      </c>
      <c r="G45" s="14" t="s">
        <v>200</v>
      </c>
      <c r="H45" s="14" t="s">
        <v>23</v>
      </c>
      <c r="I45" s="14" t="s">
        <v>24</v>
      </c>
      <c r="J45" s="14" t="s">
        <v>25</v>
      </c>
      <c r="K45" s="14" t="s">
        <v>36</v>
      </c>
      <c r="L45" s="5"/>
      <c r="M45" s="5"/>
      <c r="N45" s="5"/>
      <c r="O45" s="5"/>
      <c r="P45" s="5"/>
      <c r="Q45" s="5"/>
      <c r="R45" s="5"/>
      <c r="S45" s="5"/>
      <c r="T45" s="5"/>
      <c r="U45" s="5"/>
      <c r="V45" s="5"/>
      <c r="W45" s="5"/>
      <c r="X45" s="5"/>
      <c r="Y45" s="5"/>
      <c r="Z45" s="5"/>
    </row>
    <row r="46">
      <c r="A46" s="9" t="s">
        <v>38</v>
      </c>
      <c r="B46" s="9" t="s">
        <v>201</v>
      </c>
      <c r="C46" s="9" t="s">
        <v>19</v>
      </c>
      <c r="D46" s="11" t="s">
        <v>20</v>
      </c>
      <c r="E46" s="11">
        <v>10307.0</v>
      </c>
      <c r="F46" s="9" t="s">
        <v>201</v>
      </c>
      <c r="G46" s="9" t="s">
        <v>202</v>
      </c>
      <c r="H46" s="9" t="s">
        <v>23</v>
      </c>
      <c r="I46" s="9" t="s">
        <v>24</v>
      </c>
      <c r="J46" s="9" t="s">
        <v>25</v>
      </c>
      <c r="K46" s="9" t="s">
        <v>36</v>
      </c>
      <c r="L46" s="5"/>
      <c r="M46" s="5"/>
      <c r="N46" s="5"/>
      <c r="O46" s="5"/>
      <c r="P46" s="5"/>
      <c r="Q46" s="5"/>
      <c r="R46" s="5"/>
      <c r="S46" s="5"/>
      <c r="T46" s="5"/>
      <c r="U46" s="5"/>
      <c r="V46" s="5"/>
      <c r="W46" s="5"/>
      <c r="X46" s="5"/>
      <c r="Y46" s="5"/>
      <c r="Z46" s="5"/>
    </row>
    <row r="47">
      <c r="A47" s="9" t="s">
        <v>65</v>
      </c>
      <c r="B47" s="9" t="s">
        <v>203</v>
      </c>
      <c r="C47" s="9" t="s">
        <v>19</v>
      </c>
      <c r="D47" s="11" t="s">
        <v>20</v>
      </c>
      <c r="E47" s="11">
        <v>10911.0</v>
      </c>
      <c r="F47" s="9" t="s">
        <v>203</v>
      </c>
      <c r="G47" s="9" t="s">
        <v>203</v>
      </c>
      <c r="H47" s="9" t="s">
        <v>23</v>
      </c>
      <c r="I47" s="9" t="s">
        <v>77</v>
      </c>
      <c r="J47" s="9" t="s">
        <v>25</v>
      </c>
      <c r="K47" s="9" t="s">
        <v>36</v>
      </c>
      <c r="L47" s="5"/>
      <c r="M47" s="5"/>
      <c r="N47" s="5"/>
      <c r="O47" s="5"/>
      <c r="P47" s="5"/>
      <c r="Q47" s="5"/>
      <c r="R47" s="5"/>
      <c r="S47" s="5"/>
      <c r="T47" s="5"/>
      <c r="U47" s="5"/>
      <c r="V47" s="5"/>
      <c r="W47" s="5"/>
      <c r="X47" s="5"/>
      <c r="Y47" s="5"/>
      <c r="Z47" s="5"/>
    </row>
    <row r="48">
      <c r="A48" s="14" t="s">
        <v>123</v>
      </c>
      <c r="B48" s="14" t="s">
        <v>204</v>
      </c>
      <c r="C48" s="14" t="s">
        <v>19</v>
      </c>
      <c r="D48" s="15" t="s">
        <v>20</v>
      </c>
      <c r="E48" s="15">
        <v>600073.0</v>
      </c>
      <c r="F48" s="14" t="s">
        <v>206</v>
      </c>
      <c r="G48" s="14" t="s">
        <v>207</v>
      </c>
      <c r="H48" s="14" t="s">
        <v>23</v>
      </c>
      <c r="I48" s="14" t="s">
        <v>24</v>
      </c>
      <c r="J48" s="14" t="s">
        <v>25</v>
      </c>
      <c r="K48" s="14" t="s">
        <v>62</v>
      </c>
      <c r="L48" s="5"/>
      <c r="M48" s="5"/>
      <c r="N48" s="5"/>
      <c r="O48" s="5"/>
      <c r="P48" s="5"/>
      <c r="Q48" s="5"/>
      <c r="R48" s="5"/>
      <c r="S48" s="5"/>
      <c r="T48" s="5"/>
      <c r="U48" s="5"/>
      <c r="V48" s="5"/>
      <c r="W48" s="5"/>
      <c r="X48" s="5"/>
      <c r="Y48" s="5"/>
      <c r="Z48" s="5"/>
    </row>
    <row r="49">
      <c r="A49" s="9" t="s">
        <v>123</v>
      </c>
      <c r="B49" s="9" t="s">
        <v>204</v>
      </c>
      <c r="C49" s="9" t="s">
        <v>19</v>
      </c>
      <c r="D49" s="11">
        <v>644.0</v>
      </c>
      <c r="E49" s="11">
        <v>600423.0</v>
      </c>
      <c r="F49" s="9" t="s">
        <v>214</v>
      </c>
      <c r="G49" s="9" t="s">
        <v>207</v>
      </c>
      <c r="H49" s="9" t="s">
        <v>48</v>
      </c>
      <c r="I49" s="9" t="s">
        <v>50</v>
      </c>
      <c r="J49" s="9" t="s">
        <v>215</v>
      </c>
      <c r="K49" s="9" t="s">
        <v>27</v>
      </c>
      <c r="L49" s="5"/>
      <c r="M49" s="5"/>
      <c r="N49" s="5"/>
      <c r="O49" s="5"/>
      <c r="P49" s="5"/>
      <c r="Q49" s="5"/>
      <c r="R49" s="5"/>
      <c r="S49" s="5"/>
      <c r="T49" s="5"/>
      <c r="U49" s="5"/>
      <c r="V49" s="5"/>
      <c r="W49" s="5"/>
      <c r="X49" s="5"/>
      <c r="Y49" s="5"/>
      <c r="Z49" s="5"/>
    </row>
    <row r="50">
      <c r="A50" s="14" t="s">
        <v>123</v>
      </c>
      <c r="B50" s="14" t="s">
        <v>204</v>
      </c>
      <c r="C50" s="14" t="s">
        <v>19</v>
      </c>
      <c r="D50" s="15" t="s">
        <v>20</v>
      </c>
      <c r="E50" s="15">
        <v>600055.0</v>
      </c>
      <c r="F50" s="14" t="s">
        <v>204</v>
      </c>
      <c r="G50" s="14" t="s">
        <v>207</v>
      </c>
      <c r="H50" s="14" t="s">
        <v>23</v>
      </c>
      <c r="I50" s="14" t="s">
        <v>24</v>
      </c>
      <c r="J50" s="14" t="s">
        <v>25</v>
      </c>
      <c r="K50" s="14" t="s">
        <v>27</v>
      </c>
      <c r="L50" s="5"/>
      <c r="M50" s="5"/>
      <c r="N50" s="5"/>
      <c r="O50" s="5"/>
      <c r="P50" s="5"/>
      <c r="Q50" s="5"/>
      <c r="R50" s="5"/>
      <c r="S50" s="5"/>
      <c r="T50" s="5"/>
      <c r="U50" s="5"/>
      <c r="V50" s="5"/>
      <c r="W50" s="5"/>
      <c r="X50" s="5"/>
      <c r="Y50" s="5"/>
      <c r="Z50" s="5"/>
    </row>
    <row r="51">
      <c r="A51" s="9" t="s">
        <v>123</v>
      </c>
      <c r="B51" s="9" t="s">
        <v>204</v>
      </c>
      <c r="C51" s="9" t="s">
        <v>19</v>
      </c>
      <c r="D51" s="11" t="s">
        <v>20</v>
      </c>
      <c r="E51" s="11">
        <v>10897.0</v>
      </c>
      <c r="F51" s="9" t="s">
        <v>218</v>
      </c>
      <c r="G51" s="9" t="s">
        <v>207</v>
      </c>
      <c r="H51" s="9" t="s">
        <v>23</v>
      </c>
      <c r="I51" s="9" t="s">
        <v>24</v>
      </c>
      <c r="J51" s="9" t="s">
        <v>25</v>
      </c>
      <c r="K51" s="9" t="s">
        <v>36</v>
      </c>
      <c r="L51" s="5"/>
      <c r="M51" s="5"/>
      <c r="N51" s="5"/>
      <c r="O51" s="5"/>
      <c r="P51" s="5"/>
      <c r="Q51" s="5"/>
      <c r="R51" s="5"/>
      <c r="S51" s="5"/>
      <c r="T51" s="5"/>
      <c r="U51" s="5"/>
      <c r="V51" s="5"/>
      <c r="W51" s="5"/>
      <c r="X51" s="5"/>
      <c r="Y51" s="5"/>
      <c r="Z51" s="5"/>
    </row>
    <row r="52">
      <c r="A52" s="9" t="s">
        <v>65</v>
      </c>
      <c r="B52" s="9" t="s">
        <v>223</v>
      </c>
      <c r="C52" s="9" t="s">
        <v>19</v>
      </c>
      <c r="D52" s="11" t="s">
        <v>20</v>
      </c>
      <c r="E52" s="11">
        <v>600689.0</v>
      </c>
      <c r="F52" s="9" t="s">
        <v>223</v>
      </c>
      <c r="G52" s="9" t="s">
        <v>223</v>
      </c>
      <c r="H52" s="9" t="s">
        <v>23</v>
      </c>
      <c r="I52" s="9" t="s">
        <v>77</v>
      </c>
      <c r="J52" s="9" t="s">
        <v>25</v>
      </c>
      <c r="K52" s="9" t="s">
        <v>36</v>
      </c>
      <c r="L52" s="5"/>
      <c r="M52" s="5"/>
      <c r="N52" s="5"/>
      <c r="O52" s="5"/>
      <c r="P52" s="5"/>
      <c r="Q52" s="5"/>
      <c r="R52" s="5"/>
      <c r="S52" s="5"/>
      <c r="T52" s="5"/>
      <c r="U52" s="5"/>
      <c r="V52" s="5"/>
      <c r="W52" s="5"/>
      <c r="X52" s="5"/>
      <c r="Y52" s="5"/>
      <c r="Z52" s="5"/>
    </row>
    <row r="53">
      <c r="A53" s="9" t="s">
        <v>38</v>
      </c>
      <c r="B53" s="9" t="s">
        <v>227</v>
      </c>
      <c r="C53" s="9" t="s">
        <v>19</v>
      </c>
      <c r="D53" s="11" t="s">
        <v>20</v>
      </c>
      <c r="E53" s="11">
        <v>10428.0</v>
      </c>
      <c r="F53" s="9" t="s">
        <v>229</v>
      </c>
      <c r="G53" s="9" t="s">
        <v>229</v>
      </c>
      <c r="H53" s="9" t="s">
        <v>23</v>
      </c>
      <c r="I53" s="9" t="s">
        <v>77</v>
      </c>
      <c r="J53" s="9" t="s">
        <v>25</v>
      </c>
      <c r="K53" s="9" t="s">
        <v>36</v>
      </c>
      <c r="L53" s="5"/>
      <c r="M53" s="5"/>
      <c r="N53" s="5"/>
      <c r="O53" s="5"/>
      <c r="P53" s="5"/>
      <c r="Q53" s="5"/>
      <c r="R53" s="5"/>
      <c r="S53" s="5"/>
      <c r="T53" s="5"/>
      <c r="U53" s="5"/>
      <c r="V53" s="5"/>
      <c r="W53" s="5"/>
      <c r="X53" s="5"/>
      <c r="Y53" s="5"/>
      <c r="Z53" s="5"/>
    </row>
    <row r="54">
      <c r="A54" s="14" t="s">
        <v>38</v>
      </c>
      <c r="B54" s="14" t="s">
        <v>234</v>
      </c>
      <c r="C54" s="14" t="s">
        <v>67</v>
      </c>
      <c r="D54" s="15">
        <v>409.0</v>
      </c>
      <c r="E54" s="15">
        <v>600178.0</v>
      </c>
      <c r="F54" s="14" t="s">
        <v>235</v>
      </c>
      <c r="G54" s="14" t="s">
        <v>237</v>
      </c>
      <c r="H54" s="14" t="s">
        <v>48</v>
      </c>
      <c r="I54" s="14" t="s">
        <v>50</v>
      </c>
      <c r="J54" s="14" t="s">
        <v>25</v>
      </c>
      <c r="K54" s="14" t="s">
        <v>67</v>
      </c>
      <c r="L54" s="5"/>
      <c r="M54" s="5"/>
      <c r="N54" s="5"/>
      <c r="O54" s="5"/>
      <c r="P54" s="5"/>
      <c r="Q54" s="5"/>
      <c r="R54" s="5"/>
      <c r="S54" s="5"/>
      <c r="T54" s="5"/>
      <c r="U54" s="5"/>
      <c r="V54" s="5"/>
      <c r="W54" s="5"/>
      <c r="X54" s="5"/>
      <c r="Y54" s="5"/>
      <c r="Z54" s="5"/>
    </row>
    <row r="55">
      <c r="A55" s="9" t="s">
        <v>38</v>
      </c>
      <c r="B55" s="9" t="s">
        <v>234</v>
      </c>
      <c r="C55" s="9" t="s">
        <v>67</v>
      </c>
      <c r="D55" s="11" t="s">
        <v>20</v>
      </c>
      <c r="E55" s="11">
        <v>10880.0</v>
      </c>
      <c r="F55" s="9" t="s">
        <v>234</v>
      </c>
      <c r="G55" s="9" t="s">
        <v>237</v>
      </c>
      <c r="H55" s="9" t="s">
        <v>23</v>
      </c>
      <c r="I55" s="9" t="s">
        <v>24</v>
      </c>
      <c r="J55" s="9" t="s">
        <v>25</v>
      </c>
      <c r="K55" s="9" t="s">
        <v>67</v>
      </c>
      <c r="L55" s="5"/>
      <c r="M55" s="5"/>
      <c r="N55" s="5"/>
      <c r="O55" s="5"/>
      <c r="P55" s="5"/>
      <c r="Q55" s="5"/>
      <c r="R55" s="5"/>
      <c r="S55" s="5"/>
      <c r="T55" s="5"/>
      <c r="U55" s="5"/>
      <c r="V55" s="5"/>
      <c r="W55" s="5"/>
      <c r="X55" s="5"/>
      <c r="Y55" s="5"/>
      <c r="Z55" s="5"/>
    </row>
    <row r="56">
      <c r="A56" s="9" t="s">
        <v>38</v>
      </c>
      <c r="B56" s="9" t="s">
        <v>239</v>
      </c>
      <c r="C56" s="9" t="s">
        <v>19</v>
      </c>
      <c r="D56" s="11" t="s">
        <v>20</v>
      </c>
      <c r="E56" s="11">
        <v>500006.0</v>
      </c>
      <c r="F56" s="9" t="s">
        <v>240</v>
      </c>
      <c r="G56" s="9" t="s">
        <v>239</v>
      </c>
      <c r="H56" s="9" t="s">
        <v>23</v>
      </c>
      <c r="I56" s="9" t="s">
        <v>77</v>
      </c>
      <c r="J56" s="9" t="s">
        <v>70</v>
      </c>
      <c r="K56" s="9" t="s">
        <v>27</v>
      </c>
      <c r="L56" s="5"/>
      <c r="M56" s="5"/>
      <c r="N56" s="5"/>
      <c r="O56" s="5"/>
      <c r="P56" s="5"/>
      <c r="Q56" s="5"/>
      <c r="R56" s="5"/>
      <c r="S56" s="5"/>
      <c r="T56" s="5"/>
      <c r="U56" s="5"/>
      <c r="V56" s="5"/>
      <c r="W56" s="5"/>
      <c r="X56" s="5"/>
      <c r="Y56" s="5"/>
      <c r="Z56" s="5"/>
    </row>
    <row r="57">
      <c r="A57" s="14" t="s">
        <v>38</v>
      </c>
      <c r="B57" s="14" t="s">
        <v>239</v>
      </c>
      <c r="C57" s="14" t="s">
        <v>19</v>
      </c>
      <c r="D57" s="15" t="s">
        <v>20</v>
      </c>
      <c r="E57" s="15">
        <v>10275.0</v>
      </c>
      <c r="F57" s="14" t="s">
        <v>245</v>
      </c>
      <c r="G57" s="14" t="s">
        <v>239</v>
      </c>
      <c r="H57" s="14" t="s">
        <v>23</v>
      </c>
      <c r="I57" s="14" t="s">
        <v>77</v>
      </c>
      <c r="J57" s="14" t="s">
        <v>70</v>
      </c>
      <c r="K57" s="14" t="s">
        <v>27</v>
      </c>
      <c r="L57" s="5"/>
      <c r="M57" s="5"/>
      <c r="N57" s="5"/>
      <c r="O57" s="5"/>
      <c r="P57" s="5"/>
      <c r="Q57" s="5"/>
      <c r="R57" s="5"/>
      <c r="S57" s="5"/>
      <c r="T57" s="5"/>
      <c r="U57" s="5"/>
      <c r="V57" s="5"/>
      <c r="W57" s="5"/>
      <c r="X57" s="5"/>
      <c r="Y57" s="5"/>
      <c r="Z57" s="5"/>
    </row>
    <row r="58">
      <c r="A58" s="9" t="s">
        <v>38</v>
      </c>
      <c r="B58" s="9" t="s">
        <v>239</v>
      </c>
      <c r="C58" s="9" t="s">
        <v>19</v>
      </c>
      <c r="D58" s="11" t="s">
        <v>20</v>
      </c>
      <c r="E58" s="11">
        <v>600686.0</v>
      </c>
      <c r="F58" s="9" t="s">
        <v>250</v>
      </c>
      <c r="G58" s="9" t="s">
        <v>239</v>
      </c>
      <c r="H58" s="9" t="s">
        <v>23</v>
      </c>
      <c r="I58" s="9" t="s">
        <v>77</v>
      </c>
      <c r="J58" s="9" t="s">
        <v>25</v>
      </c>
      <c r="K58" s="9" t="s">
        <v>27</v>
      </c>
      <c r="L58" s="5"/>
      <c r="M58" s="5"/>
      <c r="N58" s="5"/>
      <c r="O58" s="5"/>
      <c r="P58" s="5"/>
      <c r="Q58" s="5"/>
      <c r="R58" s="5"/>
      <c r="S58" s="5"/>
      <c r="T58" s="5"/>
      <c r="U58" s="5"/>
      <c r="V58" s="5"/>
      <c r="W58" s="5"/>
      <c r="X58" s="5"/>
      <c r="Y58" s="5"/>
      <c r="Z58" s="5"/>
    </row>
    <row r="59">
      <c r="A59" s="14" t="s">
        <v>38</v>
      </c>
      <c r="B59" s="14" t="s">
        <v>239</v>
      </c>
      <c r="C59" s="14" t="s">
        <v>19</v>
      </c>
      <c r="D59" s="15" t="s">
        <v>20</v>
      </c>
      <c r="E59" s="15">
        <v>600465.0</v>
      </c>
      <c r="F59" s="14" t="s">
        <v>252</v>
      </c>
      <c r="G59" s="14" t="s">
        <v>239</v>
      </c>
      <c r="H59" s="14" t="s">
        <v>23</v>
      </c>
      <c r="I59" s="14" t="s">
        <v>77</v>
      </c>
      <c r="J59" s="14" t="s">
        <v>25</v>
      </c>
      <c r="K59" s="14" t="s">
        <v>27</v>
      </c>
      <c r="L59" s="5"/>
      <c r="M59" s="5"/>
      <c r="N59" s="5"/>
      <c r="O59" s="5"/>
      <c r="P59" s="5"/>
      <c r="Q59" s="5"/>
      <c r="R59" s="5"/>
      <c r="S59" s="5"/>
      <c r="T59" s="5"/>
      <c r="U59" s="5"/>
      <c r="V59" s="5"/>
      <c r="W59" s="5"/>
      <c r="X59" s="5"/>
      <c r="Y59" s="5"/>
      <c r="Z59" s="5"/>
    </row>
    <row r="60">
      <c r="A60" s="9" t="s">
        <v>38</v>
      </c>
      <c r="B60" s="9" t="s">
        <v>239</v>
      </c>
      <c r="C60" s="9" t="s">
        <v>19</v>
      </c>
      <c r="D60" s="11" t="s">
        <v>20</v>
      </c>
      <c r="E60" s="11">
        <v>11208.0</v>
      </c>
      <c r="F60" s="9" t="s">
        <v>260</v>
      </c>
      <c r="G60" s="9" t="s">
        <v>239</v>
      </c>
      <c r="H60" s="9" t="s">
        <v>23</v>
      </c>
      <c r="I60" s="9" t="s">
        <v>77</v>
      </c>
      <c r="J60" s="9" t="s">
        <v>25</v>
      </c>
      <c r="K60" s="9" t="s">
        <v>27</v>
      </c>
      <c r="L60" s="5"/>
      <c r="M60" s="5"/>
      <c r="N60" s="5"/>
      <c r="O60" s="5"/>
      <c r="P60" s="5"/>
      <c r="Q60" s="5"/>
      <c r="R60" s="5"/>
      <c r="S60" s="5"/>
      <c r="T60" s="5"/>
      <c r="U60" s="5"/>
      <c r="V60" s="5"/>
      <c r="W60" s="5"/>
      <c r="X60" s="5"/>
      <c r="Y60" s="5"/>
      <c r="Z60" s="5"/>
    </row>
    <row r="61">
      <c r="A61" s="14" t="s">
        <v>38</v>
      </c>
      <c r="B61" s="14" t="s">
        <v>239</v>
      </c>
      <c r="C61" s="14" t="s">
        <v>19</v>
      </c>
      <c r="D61" s="15" t="s">
        <v>20</v>
      </c>
      <c r="E61" s="15">
        <v>10465.0</v>
      </c>
      <c r="F61" s="14" t="s">
        <v>239</v>
      </c>
      <c r="G61" s="14" t="s">
        <v>239</v>
      </c>
      <c r="H61" s="14" t="s">
        <v>23</v>
      </c>
      <c r="I61" s="14" t="s">
        <v>77</v>
      </c>
      <c r="J61" s="14" t="s">
        <v>70</v>
      </c>
      <c r="K61" s="14" t="s">
        <v>36</v>
      </c>
      <c r="L61" s="5"/>
      <c r="M61" s="5"/>
      <c r="N61" s="5"/>
      <c r="O61" s="5"/>
      <c r="P61" s="5"/>
      <c r="Q61" s="5"/>
      <c r="R61" s="5"/>
      <c r="S61" s="5"/>
      <c r="T61" s="5"/>
      <c r="U61" s="5"/>
      <c r="V61" s="5"/>
      <c r="W61" s="5"/>
      <c r="X61" s="5"/>
      <c r="Y61" s="5"/>
      <c r="Z61" s="5"/>
    </row>
    <row r="62">
      <c r="A62" s="9" t="s">
        <v>38</v>
      </c>
      <c r="B62" s="9" t="s">
        <v>239</v>
      </c>
      <c r="C62" s="9" t="s">
        <v>19</v>
      </c>
      <c r="D62" s="11" t="s">
        <v>20</v>
      </c>
      <c r="E62" s="11">
        <v>10465.0</v>
      </c>
      <c r="F62" s="9" t="s">
        <v>239</v>
      </c>
      <c r="G62" s="9" t="s">
        <v>267</v>
      </c>
      <c r="H62" s="9" t="s">
        <v>23</v>
      </c>
      <c r="I62" s="9" t="s">
        <v>77</v>
      </c>
      <c r="J62" s="9" t="s">
        <v>70</v>
      </c>
      <c r="K62" s="9" t="s">
        <v>36</v>
      </c>
      <c r="L62" s="5"/>
      <c r="M62" s="5"/>
      <c r="N62" s="5"/>
      <c r="O62" s="5"/>
      <c r="P62" s="5"/>
      <c r="Q62" s="5"/>
      <c r="R62" s="5"/>
      <c r="S62" s="5"/>
      <c r="T62" s="5"/>
      <c r="U62" s="5"/>
      <c r="V62" s="5"/>
      <c r="W62" s="5"/>
      <c r="X62" s="5"/>
      <c r="Y62" s="5"/>
      <c r="Z62" s="5"/>
    </row>
    <row r="63">
      <c r="A63" s="14" t="s">
        <v>14</v>
      </c>
      <c r="B63" s="14" t="s">
        <v>268</v>
      </c>
      <c r="C63" s="14" t="s">
        <v>19</v>
      </c>
      <c r="D63" s="15" t="s">
        <v>20</v>
      </c>
      <c r="E63" s="15">
        <v>600234.0</v>
      </c>
      <c r="F63" s="14" t="s">
        <v>270</v>
      </c>
      <c r="G63" s="14" t="s">
        <v>271</v>
      </c>
      <c r="H63" s="14" t="s">
        <v>23</v>
      </c>
      <c r="I63" s="14" t="s">
        <v>24</v>
      </c>
      <c r="J63" s="14" t="s">
        <v>25</v>
      </c>
      <c r="K63" s="14" t="s">
        <v>27</v>
      </c>
      <c r="L63" s="5"/>
      <c r="M63" s="5"/>
      <c r="N63" s="5"/>
      <c r="O63" s="5"/>
      <c r="P63" s="5"/>
      <c r="Q63" s="5"/>
      <c r="R63" s="5"/>
      <c r="S63" s="5"/>
      <c r="T63" s="5"/>
      <c r="U63" s="5"/>
      <c r="V63" s="5"/>
      <c r="W63" s="5"/>
      <c r="X63" s="5"/>
      <c r="Y63" s="5"/>
      <c r="Z63" s="5"/>
    </row>
    <row r="64">
      <c r="A64" s="9" t="s">
        <v>14</v>
      </c>
      <c r="B64" s="9" t="s">
        <v>268</v>
      </c>
      <c r="C64" s="9" t="s">
        <v>67</v>
      </c>
      <c r="D64" s="11">
        <v>560.0</v>
      </c>
      <c r="E64" s="11">
        <v>600295.0</v>
      </c>
      <c r="F64" s="9" t="s">
        <v>274</v>
      </c>
      <c r="G64" s="9" t="s">
        <v>271</v>
      </c>
      <c r="H64" s="9" t="s">
        <v>48</v>
      </c>
      <c r="I64" s="9" t="s">
        <v>50</v>
      </c>
      <c r="J64" s="9" t="s">
        <v>25</v>
      </c>
      <c r="K64" s="9" t="s">
        <v>67</v>
      </c>
      <c r="L64" s="5"/>
      <c r="M64" s="5"/>
      <c r="N64" s="5"/>
      <c r="O64" s="5"/>
      <c r="P64" s="5"/>
      <c r="Q64" s="5"/>
      <c r="R64" s="5"/>
      <c r="S64" s="5"/>
      <c r="T64" s="5"/>
      <c r="U64" s="5"/>
      <c r="V64" s="5"/>
      <c r="W64" s="5"/>
      <c r="X64" s="5"/>
      <c r="Y64" s="5"/>
      <c r="Z64" s="5"/>
    </row>
    <row r="65">
      <c r="A65" s="14" t="s">
        <v>14</v>
      </c>
      <c r="B65" s="14" t="s">
        <v>268</v>
      </c>
      <c r="C65" s="14" t="s">
        <v>19</v>
      </c>
      <c r="D65" s="15" t="s">
        <v>20</v>
      </c>
      <c r="E65" s="15">
        <v>20152.0</v>
      </c>
      <c r="F65" s="14" t="s">
        <v>268</v>
      </c>
      <c r="G65" s="14" t="s">
        <v>271</v>
      </c>
      <c r="H65" s="14" t="s">
        <v>23</v>
      </c>
      <c r="I65" s="14" t="s">
        <v>24</v>
      </c>
      <c r="J65" s="14" t="s">
        <v>25</v>
      </c>
      <c r="K65" s="14" t="s">
        <v>36</v>
      </c>
      <c r="L65" s="5"/>
      <c r="M65" s="5"/>
      <c r="N65" s="5"/>
      <c r="O65" s="5"/>
      <c r="P65" s="5"/>
      <c r="Q65" s="5"/>
      <c r="R65" s="5"/>
      <c r="S65" s="5"/>
      <c r="T65" s="5"/>
      <c r="U65" s="5"/>
      <c r="V65" s="5"/>
      <c r="W65" s="5"/>
      <c r="X65" s="5"/>
      <c r="Y65" s="5"/>
      <c r="Z65" s="5"/>
    </row>
    <row r="66">
      <c r="A66" s="14" t="s">
        <v>65</v>
      </c>
      <c r="B66" s="14" t="s">
        <v>277</v>
      </c>
      <c r="C66" s="14" t="s">
        <v>19</v>
      </c>
      <c r="D66" s="15" t="s">
        <v>20</v>
      </c>
      <c r="E66" s="15">
        <v>10467.0</v>
      </c>
      <c r="F66" s="14" t="s">
        <v>277</v>
      </c>
      <c r="G66" s="14" t="s">
        <v>277</v>
      </c>
      <c r="H66" s="14" t="s">
        <v>23</v>
      </c>
      <c r="I66" s="14" t="s">
        <v>77</v>
      </c>
      <c r="J66" s="14" t="s">
        <v>105</v>
      </c>
      <c r="K66" s="14" t="s">
        <v>36</v>
      </c>
      <c r="L66" s="5"/>
      <c r="M66" s="5"/>
      <c r="N66" s="5"/>
      <c r="O66" s="5"/>
      <c r="P66" s="5"/>
      <c r="Q66" s="5"/>
      <c r="R66" s="5"/>
      <c r="S66" s="5"/>
      <c r="T66" s="5"/>
      <c r="U66" s="5"/>
      <c r="V66" s="5"/>
      <c r="W66" s="5"/>
      <c r="X66" s="5"/>
      <c r="Y66" s="5"/>
      <c r="Z66" s="5"/>
    </row>
    <row r="67">
      <c r="A67" s="9" t="s">
        <v>123</v>
      </c>
      <c r="B67" s="9" t="s">
        <v>282</v>
      </c>
      <c r="C67" s="9" t="s">
        <v>19</v>
      </c>
      <c r="D67" s="11" t="s">
        <v>20</v>
      </c>
      <c r="E67" s="11">
        <v>10621.0</v>
      </c>
      <c r="F67" s="9" t="s">
        <v>283</v>
      </c>
      <c r="G67" s="9" t="s">
        <v>284</v>
      </c>
      <c r="H67" s="9" t="s">
        <v>23</v>
      </c>
      <c r="I67" s="9" t="s">
        <v>24</v>
      </c>
      <c r="J67" s="9" t="s">
        <v>25</v>
      </c>
      <c r="K67" s="9" t="s">
        <v>62</v>
      </c>
      <c r="L67" s="5"/>
      <c r="M67" s="5"/>
      <c r="N67" s="5"/>
      <c r="O67" s="5"/>
      <c r="P67" s="5"/>
      <c r="Q67" s="5"/>
      <c r="R67" s="5"/>
      <c r="S67" s="5"/>
      <c r="T67" s="5"/>
      <c r="U67" s="5"/>
      <c r="V67" s="5"/>
      <c r="W67" s="5"/>
      <c r="X67" s="5"/>
      <c r="Y67" s="5"/>
      <c r="Z67" s="5"/>
    </row>
    <row r="68">
      <c r="A68" s="14" t="s">
        <v>123</v>
      </c>
      <c r="B68" s="14" t="s">
        <v>282</v>
      </c>
      <c r="C68" s="14" t="s">
        <v>67</v>
      </c>
      <c r="D68" s="15" t="s">
        <v>20</v>
      </c>
      <c r="E68" s="15">
        <v>20050.0</v>
      </c>
      <c r="F68" s="14" t="s">
        <v>282</v>
      </c>
      <c r="G68" s="14" t="s">
        <v>288</v>
      </c>
      <c r="H68" s="14" t="s">
        <v>23</v>
      </c>
      <c r="I68" s="14" t="s">
        <v>24</v>
      </c>
      <c r="J68" s="14" t="s">
        <v>25</v>
      </c>
      <c r="K68" s="14" t="s">
        <v>67</v>
      </c>
      <c r="L68" s="5"/>
      <c r="M68" s="5"/>
      <c r="N68" s="5"/>
      <c r="O68" s="5"/>
      <c r="P68" s="5"/>
      <c r="Q68" s="5"/>
      <c r="R68" s="5"/>
      <c r="S68" s="5"/>
      <c r="T68" s="5"/>
      <c r="U68" s="5"/>
      <c r="V68" s="5"/>
      <c r="W68" s="5"/>
      <c r="X68" s="5"/>
      <c r="Y68" s="5"/>
      <c r="Z68" s="5"/>
    </row>
    <row r="69">
      <c r="A69" s="9" t="s">
        <v>123</v>
      </c>
      <c r="B69" s="9" t="s">
        <v>282</v>
      </c>
      <c r="C69" s="9" t="s">
        <v>19</v>
      </c>
      <c r="D69" s="11">
        <v>559.0</v>
      </c>
      <c r="E69" s="11">
        <v>600294.0</v>
      </c>
      <c r="F69" s="9" t="s">
        <v>290</v>
      </c>
      <c r="G69" s="9" t="s">
        <v>284</v>
      </c>
      <c r="H69" s="9" t="s">
        <v>48</v>
      </c>
      <c r="I69" s="9" t="s">
        <v>50</v>
      </c>
      <c r="J69" s="9" t="s">
        <v>25</v>
      </c>
      <c r="K69" s="9" t="s">
        <v>36</v>
      </c>
      <c r="L69" s="5"/>
      <c r="M69" s="5"/>
      <c r="N69" s="5"/>
      <c r="O69" s="5"/>
      <c r="P69" s="5"/>
      <c r="Q69" s="5"/>
      <c r="R69" s="5"/>
      <c r="S69" s="5"/>
      <c r="T69" s="5"/>
      <c r="U69" s="5"/>
      <c r="V69" s="5"/>
      <c r="W69" s="5"/>
      <c r="X69" s="5"/>
      <c r="Y69" s="5"/>
      <c r="Z69" s="5"/>
    </row>
    <row r="70">
      <c r="A70" s="18" t="s">
        <v>38</v>
      </c>
      <c r="B70" s="18" t="s">
        <v>291</v>
      </c>
      <c r="C70" s="18" t="s">
        <v>19</v>
      </c>
      <c r="D70" s="20" t="s">
        <v>20</v>
      </c>
      <c r="E70" s="20">
        <v>11358.0</v>
      </c>
      <c r="F70" s="18" t="s">
        <v>293</v>
      </c>
      <c r="G70" s="18" t="s">
        <v>294</v>
      </c>
      <c r="H70" s="18" t="s">
        <v>23</v>
      </c>
      <c r="I70" s="18" t="s">
        <v>24</v>
      </c>
      <c r="J70" s="18" t="s">
        <v>25</v>
      </c>
      <c r="K70" s="18" t="s">
        <v>27</v>
      </c>
      <c r="L70" s="5"/>
      <c r="M70" s="5"/>
      <c r="N70" s="5"/>
      <c r="O70" s="5"/>
      <c r="P70" s="5"/>
      <c r="Q70" s="5"/>
      <c r="R70" s="5"/>
      <c r="S70" s="5"/>
      <c r="T70" s="5"/>
      <c r="U70" s="5"/>
      <c r="V70" s="5"/>
      <c r="W70" s="5"/>
      <c r="X70" s="5"/>
      <c r="Y70" s="5"/>
      <c r="Z70" s="5"/>
    </row>
    <row r="71">
      <c r="A71" s="18" t="s">
        <v>38</v>
      </c>
      <c r="B71" s="18" t="s">
        <v>295</v>
      </c>
      <c r="C71" s="18" t="s">
        <v>19</v>
      </c>
      <c r="D71" s="20">
        <v>642.0</v>
      </c>
      <c r="E71" s="20">
        <v>600194.0</v>
      </c>
      <c r="F71" s="18" t="s">
        <v>296</v>
      </c>
      <c r="G71" s="18" t="s">
        <v>297</v>
      </c>
      <c r="H71" s="18" t="s">
        <v>48</v>
      </c>
      <c r="I71" s="18" t="s">
        <v>50</v>
      </c>
      <c r="J71" s="18" t="s">
        <v>25</v>
      </c>
      <c r="K71" s="18" t="s">
        <v>51</v>
      </c>
      <c r="L71" s="5"/>
      <c r="M71" s="5"/>
      <c r="N71" s="5"/>
      <c r="O71" s="5"/>
      <c r="P71" s="5"/>
      <c r="Q71" s="5"/>
      <c r="R71" s="5"/>
      <c r="S71" s="5"/>
      <c r="T71" s="5"/>
      <c r="U71" s="5"/>
      <c r="V71" s="5"/>
      <c r="W71" s="5"/>
      <c r="X71" s="5"/>
      <c r="Y71" s="5"/>
      <c r="Z71" s="5"/>
    </row>
    <row r="72">
      <c r="A72" s="18" t="s">
        <v>38</v>
      </c>
      <c r="B72" s="18" t="s">
        <v>295</v>
      </c>
      <c r="C72" s="18" t="s">
        <v>19</v>
      </c>
      <c r="D72" s="20">
        <v>530.0</v>
      </c>
      <c r="E72" s="20">
        <v>600194.0</v>
      </c>
      <c r="F72" s="18" t="s">
        <v>296</v>
      </c>
      <c r="G72" s="18" t="s">
        <v>296</v>
      </c>
      <c r="H72" s="18" t="s">
        <v>48</v>
      </c>
      <c r="I72" s="18" t="s">
        <v>50</v>
      </c>
      <c r="J72" s="18" t="s">
        <v>25</v>
      </c>
      <c r="K72" s="18" t="s">
        <v>51</v>
      </c>
      <c r="L72" s="5"/>
      <c r="M72" s="5"/>
      <c r="N72" s="5"/>
      <c r="O72" s="5"/>
      <c r="P72" s="5"/>
      <c r="Q72" s="5"/>
      <c r="R72" s="5"/>
      <c r="S72" s="5"/>
      <c r="T72" s="5"/>
      <c r="U72" s="5"/>
      <c r="V72" s="5"/>
      <c r="W72" s="5"/>
      <c r="X72" s="5"/>
      <c r="Y72" s="5"/>
      <c r="Z72" s="5"/>
    </row>
    <row r="73">
      <c r="A73" s="18" t="s">
        <v>38</v>
      </c>
      <c r="B73" s="18" t="s">
        <v>295</v>
      </c>
      <c r="C73" s="18" t="s">
        <v>19</v>
      </c>
      <c r="D73" s="20">
        <v>943.0</v>
      </c>
      <c r="E73" s="20">
        <v>600194.0</v>
      </c>
      <c r="F73" s="18" t="s">
        <v>296</v>
      </c>
      <c r="G73" s="18" t="s">
        <v>301</v>
      </c>
      <c r="H73" s="18" t="s">
        <v>48</v>
      </c>
      <c r="I73" s="18" t="s">
        <v>50</v>
      </c>
      <c r="J73" s="18" t="s">
        <v>70</v>
      </c>
      <c r="K73" s="18" t="s">
        <v>51</v>
      </c>
      <c r="L73" s="5"/>
      <c r="M73" s="5"/>
      <c r="N73" s="5"/>
      <c r="O73" s="5"/>
      <c r="P73" s="5"/>
      <c r="Q73" s="5"/>
      <c r="R73" s="5"/>
      <c r="S73" s="5"/>
      <c r="T73" s="5"/>
      <c r="U73" s="5"/>
      <c r="V73" s="5"/>
      <c r="W73" s="5"/>
      <c r="X73" s="5"/>
      <c r="Y73" s="5"/>
      <c r="Z73" s="5"/>
    </row>
    <row r="74">
      <c r="A74" s="18" t="s">
        <v>123</v>
      </c>
      <c r="B74" s="18" t="s">
        <v>295</v>
      </c>
      <c r="C74" s="18" t="s">
        <v>19</v>
      </c>
      <c r="D74" s="20">
        <v>877.0</v>
      </c>
      <c r="E74" s="20">
        <v>600194.0</v>
      </c>
      <c r="F74" s="18" t="s">
        <v>296</v>
      </c>
      <c r="G74" s="18" t="s">
        <v>302</v>
      </c>
      <c r="H74" s="18" t="s">
        <v>48</v>
      </c>
      <c r="I74" s="18" t="s">
        <v>50</v>
      </c>
      <c r="J74" s="18" t="s">
        <v>105</v>
      </c>
      <c r="K74" s="18" t="s">
        <v>51</v>
      </c>
      <c r="L74" s="5"/>
      <c r="M74" s="5"/>
      <c r="N74" s="5"/>
      <c r="O74" s="5"/>
      <c r="P74" s="5"/>
      <c r="Q74" s="5"/>
      <c r="R74" s="5"/>
      <c r="S74" s="5"/>
      <c r="T74" s="5"/>
      <c r="U74" s="5"/>
      <c r="V74" s="5"/>
      <c r="W74" s="5"/>
      <c r="X74" s="5"/>
      <c r="Y74" s="5"/>
      <c r="Z74" s="5"/>
    </row>
    <row r="75">
      <c r="A75" s="18" t="s">
        <v>14</v>
      </c>
      <c r="B75" s="18" t="s">
        <v>295</v>
      </c>
      <c r="C75" s="18" t="s">
        <v>19</v>
      </c>
      <c r="D75" s="20">
        <v>519.0</v>
      </c>
      <c r="E75" s="20">
        <v>600194.0</v>
      </c>
      <c r="F75" s="18" t="s">
        <v>296</v>
      </c>
      <c r="G75" s="18" t="s">
        <v>303</v>
      </c>
      <c r="H75" s="18" t="s">
        <v>48</v>
      </c>
      <c r="I75" s="18" t="s">
        <v>50</v>
      </c>
      <c r="J75" s="18" t="s">
        <v>25</v>
      </c>
      <c r="K75" s="18" t="s">
        <v>51</v>
      </c>
      <c r="L75" s="5"/>
      <c r="M75" s="5"/>
      <c r="N75" s="5"/>
      <c r="O75" s="5"/>
      <c r="P75" s="5"/>
      <c r="Q75" s="5"/>
      <c r="R75" s="5"/>
      <c r="S75" s="5"/>
      <c r="T75" s="5"/>
      <c r="U75" s="5"/>
      <c r="V75" s="5"/>
      <c r="W75" s="5"/>
      <c r="X75" s="5"/>
      <c r="Y75" s="5"/>
      <c r="Z75" s="5"/>
    </row>
    <row r="76">
      <c r="A76" s="18" t="s">
        <v>14</v>
      </c>
      <c r="B76" s="18" t="s">
        <v>295</v>
      </c>
      <c r="C76" s="18" t="s">
        <v>19</v>
      </c>
      <c r="D76" s="20">
        <v>929.0</v>
      </c>
      <c r="E76" s="20">
        <v>600194.0</v>
      </c>
      <c r="F76" s="18" t="s">
        <v>296</v>
      </c>
      <c r="G76" s="18" t="s">
        <v>305</v>
      </c>
      <c r="H76" s="18" t="s">
        <v>48</v>
      </c>
      <c r="I76" s="18" t="s">
        <v>50</v>
      </c>
      <c r="J76" s="18" t="s">
        <v>105</v>
      </c>
      <c r="K76" s="18" t="s">
        <v>51</v>
      </c>
      <c r="L76" s="5"/>
      <c r="M76" s="5"/>
      <c r="N76" s="5"/>
      <c r="O76" s="5"/>
      <c r="P76" s="5"/>
      <c r="Q76" s="5"/>
      <c r="R76" s="5"/>
      <c r="S76" s="5"/>
      <c r="T76" s="5"/>
      <c r="U76" s="5"/>
      <c r="V76" s="5"/>
      <c r="W76" s="5"/>
      <c r="X76" s="5"/>
      <c r="Y76" s="5"/>
      <c r="Z76" s="5"/>
    </row>
    <row r="77">
      <c r="A77" s="9" t="s">
        <v>65</v>
      </c>
      <c r="B77" s="9" t="s">
        <v>308</v>
      </c>
      <c r="C77" s="9" t="s">
        <v>19</v>
      </c>
      <c r="D77" s="11" t="s">
        <v>20</v>
      </c>
      <c r="E77" s="11">
        <v>10689.0</v>
      </c>
      <c r="F77" s="9" t="s">
        <v>308</v>
      </c>
      <c r="G77" s="9" t="s">
        <v>308</v>
      </c>
      <c r="H77" s="9" t="s">
        <v>23</v>
      </c>
      <c r="I77" s="9" t="s">
        <v>77</v>
      </c>
      <c r="J77" s="9" t="s">
        <v>25</v>
      </c>
      <c r="K77" s="9" t="s">
        <v>27</v>
      </c>
      <c r="L77" s="5"/>
      <c r="M77" s="5"/>
      <c r="N77" s="5"/>
      <c r="O77" s="5"/>
      <c r="P77" s="5"/>
      <c r="Q77" s="5"/>
      <c r="R77" s="5"/>
      <c r="S77" s="5"/>
      <c r="T77" s="5"/>
      <c r="U77" s="5"/>
      <c r="V77" s="5"/>
      <c r="W77" s="5"/>
      <c r="X77" s="5"/>
      <c r="Y77" s="5"/>
      <c r="Z77" s="5"/>
    </row>
    <row r="78">
      <c r="A78" s="14" t="s">
        <v>65</v>
      </c>
      <c r="B78" s="14" t="s">
        <v>308</v>
      </c>
      <c r="C78" s="14" t="s">
        <v>19</v>
      </c>
      <c r="D78" s="15" t="s">
        <v>20</v>
      </c>
      <c r="E78" s="15">
        <v>11366.0</v>
      </c>
      <c r="F78" s="14" t="s">
        <v>314</v>
      </c>
      <c r="G78" s="14" t="s">
        <v>308</v>
      </c>
      <c r="H78" s="14" t="s">
        <v>23</v>
      </c>
      <c r="I78" s="14" t="s">
        <v>77</v>
      </c>
      <c r="J78" s="14" t="s">
        <v>25</v>
      </c>
      <c r="K78" s="14" t="s">
        <v>36</v>
      </c>
      <c r="L78" s="5"/>
      <c r="M78" s="5"/>
      <c r="N78" s="5"/>
      <c r="O78" s="5"/>
      <c r="P78" s="5"/>
      <c r="Q78" s="5"/>
      <c r="R78" s="5"/>
      <c r="S78" s="5"/>
      <c r="T78" s="5"/>
      <c r="U78" s="5"/>
      <c r="V78" s="5"/>
      <c r="W78" s="5"/>
      <c r="X78" s="5"/>
      <c r="Y78" s="5"/>
      <c r="Z78" s="5"/>
    </row>
    <row r="79">
      <c r="A79" s="9" t="s">
        <v>38</v>
      </c>
      <c r="B79" s="9" t="s">
        <v>315</v>
      </c>
      <c r="C79" s="9" t="s">
        <v>19</v>
      </c>
      <c r="D79" s="11" t="s">
        <v>20</v>
      </c>
      <c r="E79" s="11">
        <v>11235.0</v>
      </c>
      <c r="F79" s="9" t="s">
        <v>315</v>
      </c>
      <c r="G79" s="9" t="s">
        <v>316</v>
      </c>
      <c r="H79" s="9" t="s">
        <v>23</v>
      </c>
      <c r="I79" s="9" t="s">
        <v>24</v>
      </c>
      <c r="J79" s="9" t="s">
        <v>25</v>
      </c>
      <c r="K79" s="9" t="s">
        <v>51</v>
      </c>
      <c r="L79" s="5"/>
      <c r="M79" s="5"/>
      <c r="N79" s="5"/>
      <c r="O79" s="5"/>
      <c r="P79" s="5"/>
      <c r="Q79" s="5"/>
      <c r="R79" s="5"/>
      <c r="S79" s="5"/>
      <c r="T79" s="5"/>
      <c r="U79" s="5"/>
      <c r="V79" s="5"/>
      <c r="W79" s="5"/>
      <c r="X79" s="5"/>
      <c r="Y79" s="5"/>
      <c r="Z79" s="5"/>
    </row>
    <row r="80">
      <c r="A80" s="14" t="s">
        <v>38</v>
      </c>
      <c r="B80" s="14" t="s">
        <v>315</v>
      </c>
      <c r="C80" s="14" t="s">
        <v>19</v>
      </c>
      <c r="D80" s="15">
        <v>798.0</v>
      </c>
      <c r="E80" s="15">
        <v>600621.0</v>
      </c>
      <c r="F80" s="90" t="s">
        <v>318</v>
      </c>
      <c r="G80" s="14" t="s">
        <v>316</v>
      </c>
      <c r="H80" s="14" t="s">
        <v>48</v>
      </c>
      <c r="I80" s="14" t="s">
        <v>50</v>
      </c>
      <c r="J80" s="14" t="s">
        <v>25</v>
      </c>
      <c r="K80" s="14" t="s">
        <v>36</v>
      </c>
      <c r="L80" s="5"/>
      <c r="M80" s="5"/>
      <c r="N80" s="5"/>
      <c r="O80" s="5"/>
      <c r="P80" s="5"/>
      <c r="Q80" s="5"/>
      <c r="R80" s="5"/>
      <c r="S80" s="5"/>
      <c r="T80" s="5"/>
      <c r="U80" s="5"/>
      <c r="V80" s="5"/>
      <c r="W80" s="5"/>
      <c r="X80" s="5"/>
      <c r="Y80" s="5"/>
      <c r="Z80" s="5"/>
    </row>
    <row r="81">
      <c r="A81" s="14" t="s">
        <v>65</v>
      </c>
      <c r="B81" s="14" t="s">
        <v>322</v>
      </c>
      <c r="C81" s="14" t="s">
        <v>19</v>
      </c>
      <c r="D81" s="15" t="s">
        <v>20</v>
      </c>
      <c r="E81" s="15">
        <v>10722.0</v>
      </c>
      <c r="F81" s="14" t="s">
        <v>322</v>
      </c>
      <c r="G81" s="14" t="s">
        <v>322</v>
      </c>
      <c r="H81" s="14" t="s">
        <v>23</v>
      </c>
      <c r="I81" s="14" t="s">
        <v>77</v>
      </c>
      <c r="J81" s="14" t="s">
        <v>25</v>
      </c>
      <c r="K81" s="14" t="s">
        <v>36</v>
      </c>
      <c r="L81" s="5"/>
      <c r="M81" s="5"/>
      <c r="N81" s="5"/>
      <c r="O81" s="5"/>
      <c r="P81" s="5"/>
      <c r="Q81" s="5"/>
      <c r="R81" s="5"/>
      <c r="S81" s="5"/>
      <c r="T81" s="5"/>
      <c r="U81" s="5"/>
      <c r="V81" s="5"/>
      <c r="W81" s="5"/>
      <c r="X81" s="5"/>
      <c r="Y81" s="5"/>
      <c r="Z81" s="5"/>
    </row>
    <row r="82">
      <c r="A82" s="9" t="s">
        <v>14</v>
      </c>
      <c r="B82" s="9" t="s">
        <v>324</v>
      </c>
      <c r="C82" s="9" t="s">
        <v>19</v>
      </c>
      <c r="D82" s="11" t="s">
        <v>20</v>
      </c>
      <c r="E82" s="11">
        <v>10446.0</v>
      </c>
      <c r="F82" s="9" t="s">
        <v>324</v>
      </c>
      <c r="G82" s="9" t="s">
        <v>324</v>
      </c>
      <c r="H82" s="9" t="s">
        <v>23</v>
      </c>
      <c r="I82" s="9" t="s">
        <v>24</v>
      </c>
      <c r="J82" s="9" t="s">
        <v>25</v>
      </c>
      <c r="K82" s="9" t="s">
        <v>36</v>
      </c>
      <c r="L82" s="5"/>
      <c r="M82" s="5"/>
      <c r="N82" s="5"/>
      <c r="O82" s="5"/>
      <c r="P82" s="5"/>
      <c r="Q82" s="5"/>
      <c r="R82" s="5"/>
      <c r="S82" s="5"/>
      <c r="T82" s="5"/>
      <c r="U82" s="5"/>
      <c r="V82" s="5"/>
      <c r="W82" s="5"/>
      <c r="X82" s="5"/>
      <c r="Y82" s="5"/>
      <c r="Z82" s="5"/>
    </row>
    <row r="83">
      <c r="A83" s="18" t="s">
        <v>38</v>
      </c>
      <c r="B83" s="18" t="s">
        <v>325</v>
      </c>
      <c r="C83" s="18" t="s">
        <v>19</v>
      </c>
      <c r="D83" s="20" t="s">
        <v>20</v>
      </c>
      <c r="E83" s="20">
        <v>10603.0</v>
      </c>
      <c r="F83" s="18" t="s">
        <v>325</v>
      </c>
      <c r="G83" s="18" t="s">
        <v>328</v>
      </c>
      <c r="H83" s="18" t="s">
        <v>23</v>
      </c>
      <c r="I83" s="18" t="s">
        <v>24</v>
      </c>
      <c r="J83" s="18" t="s">
        <v>25</v>
      </c>
      <c r="K83" s="18" t="s">
        <v>27</v>
      </c>
      <c r="L83" s="5"/>
      <c r="M83" s="5"/>
      <c r="N83" s="5"/>
      <c r="O83" s="5"/>
      <c r="P83" s="5"/>
      <c r="Q83" s="5"/>
      <c r="R83" s="5"/>
      <c r="S83" s="5"/>
      <c r="T83" s="5"/>
      <c r="U83" s="5"/>
      <c r="V83" s="5"/>
      <c r="W83" s="5"/>
      <c r="X83" s="5"/>
      <c r="Y83" s="5"/>
      <c r="Z83" s="5"/>
    </row>
    <row r="84">
      <c r="A84" s="18" t="s">
        <v>38</v>
      </c>
      <c r="B84" s="18" t="s">
        <v>325</v>
      </c>
      <c r="C84" s="18" t="s">
        <v>19</v>
      </c>
      <c r="D84" s="20">
        <v>699.0</v>
      </c>
      <c r="E84" s="20">
        <v>600475.0</v>
      </c>
      <c r="F84" s="18" t="s">
        <v>330</v>
      </c>
      <c r="G84" s="18" t="s">
        <v>328</v>
      </c>
      <c r="H84" s="18" t="s">
        <v>48</v>
      </c>
      <c r="I84" s="18" t="s">
        <v>50</v>
      </c>
      <c r="J84" s="18" t="s">
        <v>25</v>
      </c>
      <c r="K84" s="18" t="s">
        <v>36</v>
      </c>
      <c r="L84" s="5"/>
      <c r="M84" s="5"/>
      <c r="N84" s="5"/>
      <c r="O84" s="5"/>
      <c r="P84" s="5"/>
      <c r="Q84" s="5"/>
      <c r="R84" s="5"/>
      <c r="S84" s="5"/>
      <c r="T84" s="5"/>
      <c r="U84" s="5"/>
      <c r="V84" s="5"/>
      <c r="W84" s="5"/>
      <c r="X84" s="5"/>
      <c r="Y84" s="5"/>
      <c r="Z84" s="5"/>
    </row>
    <row r="85">
      <c r="A85" s="14" t="s">
        <v>65</v>
      </c>
      <c r="B85" s="14" t="s">
        <v>332</v>
      </c>
      <c r="C85" s="14" t="s">
        <v>19</v>
      </c>
      <c r="D85" s="15" t="s">
        <v>20</v>
      </c>
      <c r="E85" s="15">
        <v>600585.0</v>
      </c>
      <c r="F85" s="14" t="s">
        <v>334</v>
      </c>
      <c r="G85" s="14" t="s">
        <v>332</v>
      </c>
      <c r="H85" s="14" t="s">
        <v>23</v>
      </c>
      <c r="I85" s="14" t="s">
        <v>77</v>
      </c>
      <c r="J85" s="14" t="s">
        <v>25</v>
      </c>
      <c r="K85" s="14" t="s">
        <v>27</v>
      </c>
      <c r="L85" s="5"/>
      <c r="M85" s="5"/>
      <c r="N85" s="5"/>
      <c r="O85" s="5"/>
      <c r="P85" s="5"/>
      <c r="Q85" s="5"/>
      <c r="R85" s="5"/>
      <c r="S85" s="5"/>
      <c r="T85" s="5"/>
      <c r="U85" s="5"/>
      <c r="V85" s="5"/>
      <c r="W85" s="5"/>
      <c r="X85" s="5"/>
      <c r="Y85" s="5"/>
      <c r="Z85" s="5"/>
    </row>
    <row r="86">
      <c r="A86" s="9" t="s">
        <v>65</v>
      </c>
      <c r="B86" s="9" t="s">
        <v>332</v>
      </c>
      <c r="C86" s="9" t="s">
        <v>19</v>
      </c>
      <c r="D86" s="11" t="s">
        <v>20</v>
      </c>
      <c r="E86" s="11">
        <v>600582.0</v>
      </c>
      <c r="F86" s="9" t="s">
        <v>332</v>
      </c>
      <c r="G86" s="9" t="s">
        <v>332</v>
      </c>
      <c r="H86" s="9" t="s">
        <v>23</v>
      </c>
      <c r="I86" s="9" t="s">
        <v>77</v>
      </c>
      <c r="J86" s="9" t="s">
        <v>25</v>
      </c>
      <c r="K86" s="9" t="s">
        <v>36</v>
      </c>
      <c r="L86" s="5"/>
      <c r="M86" s="5"/>
      <c r="N86" s="5"/>
      <c r="O86" s="5"/>
      <c r="P86" s="5"/>
      <c r="Q86" s="5"/>
      <c r="R86" s="5"/>
      <c r="S86" s="5"/>
      <c r="T86" s="5"/>
      <c r="U86" s="5"/>
      <c r="V86" s="5"/>
      <c r="W86" s="5"/>
      <c r="X86" s="5"/>
      <c r="Y86" s="5"/>
      <c r="Z86" s="5"/>
    </row>
    <row r="87">
      <c r="A87" s="18" t="s">
        <v>38</v>
      </c>
      <c r="B87" s="18" t="s">
        <v>339</v>
      </c>
      <c r="C87" s="18" t="s">
        <v>19</v>
      </c>
      <c r="D87" s="20">
        <v>29.0</v>
      </c>
      <c r="E87" s="20">
        <v>600256.0</v>
      </c>
      <c r="F87" s="18" t="s">
        <v>341</v>
      </c>
      <c r="G87" s="18" t="s">
        <v>100</v>
      </c>
      <c r="H87" s="18" t="s">
        <v>48</v>
      </c>
      <c r="I87" s="18" t="s">
        <v>50</v>
      </c>
      <c r="J87" s="18" t="s">
        <v>25</v>
      </c>
      <c r="K87" s="18" t="s">
        <v>36</v>
      </c>
      <c r="L87" s="5"/>
      <c r="M87" s="5"/>
      <c r="N87" s="5"/>
      <c r="O87" s="5"/>
      <c r="P87" s="5"/>
      <c r="Q87" s="5"/>
      <c r="R87" s="5"/>
      <c r="S87" s="5"/>
      <c r="T87" s="5"/>
      <c r="U87" s="5"/>
      <c r="V87" s="5"/>
      <c r="W87" s="5"/>
      <c r="X87" s="5"/>
      <c r="Y87" s="5"/>
      <c r="Z87" s="5"/>
    </row>
    <row r="88">
      <c r="A88" s="9" t="s">
        <v>65</v>
      </c>
      <c r="B88" s="9" t="s">
        <v>347</v>
      </c>
      <c r="C88" s="9" t="s">
        <v>19</v>
      </c>
      <c r="D88" s="11" t="s">
        <v>20</v>
      </c>
      <c r="E88" s="11">
        <v>10567.0</v>
      </c>
      <c r="F88" s="9" t="s">
        <v>347</v>
      </c>
      <c r="G88" s="9" t="s">
        <v>347</v>
      </c>
      <c r="H88" s="9" t="s">
        <v>23</v>
      </c>
      <c r="I88" s="9" t="s">
        <v>77</v>
      </c>
      <c r="J88" s="9" t="s">
        <v>25</v>
      </c>
      <c r="K88" s="9" t="s">
        <v>36</v>
      </c>
      <c r="L88" s="5"/>
      <c r="M88" s="5"/>
      <c r="N88" s="5"/>
      <c r="O88" s="5"/>
      <c r="P88" s="5"/>
      <c r="Q88" s="5"/>
      <c r="R88" s="5"/>
      <c r="S88" s="5"/>
      <c r="T88" s="5"/>
      <c r="U88" s="5"/>
      <c r="V88" s="5"/>
      <c r="W88" s="5"/>
      <c r="X88" s="5"/>
      <c r="Y88" s="5"/>
      <c r="Z88" s="5"/>
    </row>
    <row r="89">
      <c r="A89" s="14" t="s">
        <v>123</v>
      </c>
      <c r="B89" s="14" t="s">
        <v>350</v>
      </c>
      <c r="C89" s="14" t="s">
        <v>19</v>
      </c>
      <c r="D89" s="15" t="s">
        <v>20</v>
      </c>
      <c r="E89" s="15">
        <v>10508.0</v>
      </c>
      <c r="F89" s="14" t="s">
        <v>350</v>
      </c>
      <c r="G89" s="14" t="s">
        <v>351</v>
      </c>
      <c r="H89" s="14" t="s">
        <v>23</v>
      </c>
      <c r="I89" s="14" t="s">
        <v>24</v>
      </c>
      <c r="J89" s="14" t="s">
        <v>70</v>
      </c>
      <c r="K89" s="14" t="s">
        <v>51</v>
      </c>
      <c r="L89" s="5"/>
      <c r="M89" s="5"/>
      <c r="N89" s="5"/>
      <c r="O89" s="5"/>
      <c r="P89" s="5"/>
      <c r="Q89" s="5"/>
      <c r="R89" s="5"/>
      <c r="S89" s="5"/>
      <c r="T89" s="5"/>
      <c r="U89" s="5"/>
      <c r="V89" s="5"/>
      <c r="W89" s="5"/>
      <c r="X89" s="5"/>
      <c r="Y89" s="5"/>
      <c r="Z89" s="5"/>
    </row>
    <row r="90">
      <c r="A90" s="9" t="s">
        <v>123</v>
      </c>
      <c r="B90" s="9" t="s">
        <v>350</v>
      </c>
      <c r="C90" s="9" t="s">
        <v>19</v>
      </c>
      <c r="D90" s="11">
        <v>599.0</v>
      </c>
      <c r="E90" s="11">
        <v>600345.0</v>
      </c>
      <c r="F90" s="9" t="s">
        <v>358</v>
      </c>
      <c r="G90" s="9" t="s">
        <v>351</v>
      </c>
      <c r="H90" s="9" t="s">
        <v>48</v>
      </c>
      <c r="I90" s="9" t="s">
        <v>50</v>
      </c>
      <c r="J90" s="9" t="s">
        <v>70</v>
      </c>
      <c r="K90" s="9" t="s">
        <v>36</v>
      </c>
      <c r="L90" s="5"/>
      <c r="M90" s="5"/>
      <c r="N90" s="5"/>
      <c r="O90" s="5"/>
      <c r="P90" s="5"/>
      <c r="Q90" s="5"/>
      <c r="R90" s="5"/>
      <c r="S90" s="5"/>
      <c r="T90" s="5"/>
      <c r="U90" s="5"/>
      <c r="V90" s="5"/>
      <c r="W90" s="5"/>
      <c r="X90" s="5"/>
      <c r="Y90" s="5"/>
      <c r="Z90" s="5"/>
    </row>
    <row r="91">
      <c r="A91" s="9" t="s">
        <v>65</v>
      </c>
      <c r="B91" s="9" t="s">
        <v>360</v>
      </c>
      <c r="C91" s="9" t="s">
        <v>19</v>
      </c>
      <c r="D91" s="11" t="s">
        <v>20</v>
      </c>
      <c r="E91" s="11">
        <v>10553.0</v>
      </c>
      <c r="F91" s="9" t="s">
        <v>360</v>
      </c>
      <c r="G91" s="9" t="s">
        <v>360</v>
      </c>
      <c r="H91" s="9" t="s">
        <v>23</v>
      </c>
      <c r="I91" s="9" t="s">
        <v>77</v>
      </c>
      <c r="J91" s="9" t="s">
        <v>25</v>
      </c>
      <c r="K91" s="9" t="s">
        <v>36</v>
      </c>
      <c r="L91" s="5"/>
      <c r="M91" s="5"/>
      <c r="N91" s="5"/>
      <c r="O91" s="5"/>
      <c r="P91" s="5"/>
      <c r="Q91" s="5"/>
      <c r="R91" s="5"/>
      <c r="S91" s="5"/>
      <c r="T91" s="5"/>
      <c r="U91" s="5"/>
      <c r="V91" s="5"/>
      <c r="W91" s="5"/>
      <c r="X91" s="5"/>
      <c r="Y91" s="5"/>
      <c r="Z91" s="5"/>
    </row>
    <row r="92">
      <c r="A92" s="9" t="s">
        <v>65</v>
      </c>
      <c r="B92" s="9" t="s">
        <v>361</v>
      </c>
      <c r="C92" s="9" t="s">
        <v>19</v>
      </c>
      <c r="D92" s="11" t="s">
        <v>20</v>
      </c>
      <c r="E92" s="11">
        <v>600619.0</v>
      </c>
      <c r="F92" s="9" t="s">
        <v>361</v>
      </c>
      <c r="G92" s="9" t="s">
        <v>361</v>
      </c>
      <c r="H92" s="9" t="s">
        <v>23</v>
      </c>
      <c r="I92" s="9" t="s">
        <v>77</v>
      </c>
      <c r="J92" s="9" t="s">
        <v>25</v>
      </c>
      <c r="K92" s="9" t="s">
        <v>27</v>
      </c>
      <c r="L92" s="5"/>
      <c r="M92" s="5"/>
      <c r="N92" s="5"/>
      <c r="O92" s="5"/>
      <c r="P92" s="5"/>
      <c r="Q92" s="5"/>
      <c r="R92" s="5"/>
      <c r="S92" s="5"/>
      <c r="T92" s="5"/>
      <c r="U92" s="5"/>
      <c r="V92" s="5"/>
      <c r="W92" s="5"/>
      <c r="X92" s="5"/>
      <c r="Y92" s="5"/>
      <c r="Z92" s="5"/>
    </row>
    <row r="93">
      <c r="A93" s="14" t="s">
        <v>38</v>
      </c>
      <c r="B93" s="14" t="s">
        <v>365</v>
      </c>
      <c r="C93" s="14" t="s">
        <v>19</v>
      </c>
      <c r="D93" s="15" t="s">
        <v>20</v>
      </c>
      <c r="E93" s="15">
        <v>20718.0</v>
      </c>
      <c r="F93" s="14" t="s">
        <v>367</v>
      </c>
      <c r="G93" s="14" t="s">
        <v>369</v>
      </c>
      <c r="H93" s="14" t="s">
        <v>23</v>
      </c>
      <c r="I93" s="14" t="s">
        <v>24</v>
      </c>
      <c r="J93" s="14" t="s">
        <v>25</v>
      </c>
      <c r="K93" s="14" t="s">
        <v>27</v>
      </c>
      <c r="L93" s="5"/>
      <c r="M93" s="5"/>
      <c r="N93" s="5"/>
      <c r="O93" s="5"/>
      <c r="P93" s="5"/>
      <c r="Q93" s="5"/>
      <c r="R93" s="5"/>
      <c r="S93" s="5"/>
      <c r="T93" s="5"/>
      <c r="U93" s="5"/>
      <c r="V93" s="5"/>
      <c r="W93" s="5"/>
      <c r="X93" s="5"/>
      <c r="Y93" s="5"/>
      <c r="Z93" s="5"/>
    </row>
    <row r="94">
      <c r="A94" s="9" t="s">
        <v>38</v>
      </c>
      <c r="B94" s="9" t="s">
        <v>373</v>
      </c>
      <c r="C94" s="9" t="s">
        <v>19</v>
      </c>
      <c r="D94" s="11" t="s">
        <v>20</v>
      </c>
      <c r="E94" s="11">
        <v>11349.0</v>
      </c>
      <c r="F94" s="9" t="s">
        <v>365</v>
      </c>
      <c r="G94" s="9" t="s">
        <v>369</v>
      </c>
      <c r="H94" s="9" t="s">
        <v>23</v>
      </c>
      <c r="I94" s="9" t="s">
        <v>24</v>
      </c>
      <c r="J94" s="9" t="s">
        <v>25</v>
      </c>
      <c r="K94" s="9" t="s">
        <v>36</v>
      </c>
      <c r="L94" s="5"/>
      <c r="M94" s="5"/>
      <c r="N94" s="5"/>
      <c r="O94" s="5"/>
      <c r="P94" s="5"/>
      <c r="Q94" s="5"/>
      <c r="R94" s="5"/>
      <c r="S94" s="5"/>
      <c r="T94" s="5"/>
      <c r="U94" s="5"/>
      <c r="V94" s="5"/>
      <c r="W94" s="5"/>
      <c r="X94" s="5"/>
      <c r="Y94" s="5"/>
      <c r="Z94" s="5"/>
    </row>
    <row r="95">
      <c r="A95" s="14" t="s">
        <v>123</v>
      </c>
      <c r="B95" s="14" t="s">
        <v>376</v>
      </c>
      <c r="C95" s="14" t="s">
        <v>19</v>
      </c>
      <c r="D95" s="15" t="s">
        <v>20</v>
      </c>
      <c r="E95" s="15">
        <v>600599.0</v>
      </c>
      <c r="F95" s="14" t="s">
        <v>377</v>
      </c>
      <c r="G95" s="14" t="s">
        <v>378</v>
      </c>
      <c r="H95" s="14" t="s">
        <v>23</v>
      </c>
      <c r="I95" s="14" t="s">
        <v>24</v>
      </c>
      <c r="J95" s="14" t="s">
        <v>25</v>
      </c>
      <c r="K95" s="14" t="s">
        <v>51</v>
      </c>
      <c r="L95" s="5"/>
      <c r="M95" s="5"/>
      <c r="N95" s="5"/>
      <c r="O95" s="5"/>
      <c r="P95" s="5"/>
      <c r="Q95" s="5"/>
      <c r="R95" s="5"/>
      <c r="S95" s="5"/>
      <c r="T95" s="5"/>
      <c r="U95" s="5"/>
      <c r="V95" s="5"/>
      <c r="W95" s="5"/>
      <c r="X95" s="5"/>
      <c r="Y95" s="5"/>
      <c r="Z95" s="5"/>
    </row>
    <row r="96">
      <c r="A96" s="9" t="s">
        <v>123</v>
      </c>
      <c r="B96" s="9" t="s">
        <v>376</v>
      </c>
      <c r="C96" s="9" t="s">
        <v>19</v>
      </c>
      <c r="D96" s="11" t="s">
        <v>20</v>
      </c>
      <c r="E96" s="11">
        <v>600038.0</v>
      </c>
      <c r="F96" s="9" t="s">
        <v>379</v>
      </c>
      <c r="G96" s="9" t="s">
        <v>378</v>
      </c>
      <c r="H96" s="9" t="s">
        <v>23</v>
      </c>
      <c r="I96" s="9" t="s">
        <v>24</v>
      </c>
      <c r="J96" s="9" t="s">
        <v>25</v>
      </c>
      <c r="K96" s="9" t="s">
        <v>27</v>
      </c>
      <c r="L96" s="5"/>
      <c r="M96" s="5"/>
      <c r="N96" s="5"/>
      <c r="O96" s="5"/>
      <c r="P96" s="5"/>
      <c r="Q96" s="5"/>
      <c r="R96" s="5"/>
      <c r="S96" s="5"/>
      <c r="T96" s="5"/>
      <c r="U96" s="5"/>
      <c r="V96" s="5"/>
      <c r="W96" s="5"/>
      <c r="X96" s="5"/>
      <c r="Y96" s="5"/>
      <c r="Z96" s="5"/>
    </row>
    <row r="97">
      <c r="A97" s="14" t="s">
        <v>123</v>
      </c>
      <c r="B97" s="14" t="s">
        <v>376</v>
      </c>
      <c r="C97" s="14" t="s">
        <v>19</v>
      </c>
      <c r="D97" s="15" t="s">
        <v>20</v>
      </c>
      <c r="E97" s="15">
        <v>20052.0</v>
      </c>
      <c r="F97" s="14" t="s">
        <v>380</v>
      </c>
      <c r="G97" s="14" t="s">
        <v>378</v>
      </c>
      <c r="H97" s="14" t="s">
        <v>23</v>
      </c>
      <c r="I97" s="14" t="s">
        <v>24</v>
      </c>
      <c r="J97" s="14" t="s">
        <v>25</v>
      </c>
      <c r="K97" s="14" t="s">
        <v>27</v>
      </c>
      <c r="L97" s="5"/>
      <c r="M97" s="5"/>
      <c r="N97" s="5"/>
      <c r="O97" s="5"/>
      <c r="P97" s="5"/>
      <c r="Q97" s="5"/>
      <c r="R97" s="5"/>
      <c r="S97" s="5"/>
      <c r="T97" s="5"/>
      <c r="U97" s="5"/>
      <c r="V97" s="5"/>
      <c r="W97" s="5"/>
      <c r="X97" s="5"/>
      <c r="Y97" s="5"/>
      <c r="Z97" s="5"/>
    </row>
    <row r="98">
      <c r="A98" s="9" t="s">
        <v>123</v>
      </c>
      <c r="B98" s="9" t="s">
        <v>376</v>
      </c>
      <c r="C98" s="9" t="s">
        <v>19</v>
      </c>
      <c r="D98" s="11" t="s">
        <v>20</v>
      </c>
      <c r="E98" s="11">
        <v>10859.0</v>
      </c>
      <c r="F98" s="9" t="s">
        <v>376</v>
      </c>
      <c r="G98" s="9" t="s">
        <v>378</v>
      </c>
      <c r="H98" s="9" t="s">
        <v>23</v>
      </c>
      <c r="I98" s="9" t="s">
        <v>24</v>
      </c>
      <c r="J98" s="9" t="s">
        <v>25</v>
      </c>
      <c r="K98" s="9" t="s">
        <v>36</v>
      </c>
      <c r="L98" s="5"/>
      <c r="M98" s="5"/>
      <c r="N98" s="5"/>
      <c r="O98" s="5"/>
      <c r="P98" s="5"/>
      <c r="Q98" s="5"/>
      <c r="R98" s="5"/>
      <c r="S98" s="5"/>
      <c r="T98" s="5"/>
      <c r="U98" s="5"/>
      <c r="V98" s="5"/>
      <c r="W98" s="5"/>
      <c r="X98" s="5"/>
      <c r="Y98" s="5"/>
      <c r="Z98" s="5"/>
    </row>
    <row r="99">
      <c r="A99" s="14" t="s">
        <v>65</v>
      </c>
      <c r="B99" s="14" t="s">
        <v>384</v>
      </c>
      <c r="C99" s="14" t="s">
        <v>19</v>
      </c>
      <c r="D99" s="15" t="s">
        <v>20</v>
      </c>
      <c r="E99" s="15">
        <v>10690.0</v>
      </c>
      <c r="F99" s="14" t="s">
        <v>385</v>
      </c>
      <c r="G99" s="14" t="s">
        <v>384</v>
      </c>
      <c r="H99" s="14" t="s">
        <v>23</v>
      </c>
      <c r="I99" s="14" t="s">
        <v>24</v>
      </c>
      <c r="J99" s="14" t="s">
        <v>25</v>
      </c>
      <c r="K99" s="14" t="s">
        <v>27</v>
      </c>
      <c r="L99" s="5"/>
      <c r="M99" s="5"/>
      <c r="N99" s="5"/>
      <c r="O99" s="5"/>
      <c r="P99" s="5"/>
      <c r="Q99" s="5"/>
      <c r="R99" s="5"/>
      <c r="S99" s="5"/>
      <c r="T99" s="5"/>
      <c r="U99" s="5"/>
      <c r="V99" s="5"/>
      <c r="W99" s="5"/>
      <c r="X99" s="5"/>
      <c r="Y99" s="5"/>
      <c r="Z99" s="5"/>
    </row>
    <row r="100">
      <c r="A100" s="9" t="s">
        <v>65</v>
      </c>
      <c r="B100" s="9" t="s">
        <v>384</v>
      </c>
      <c r="C100" s="9" t="s">
        <v>19</v>
      </c>
      <c r="D100" s="11" t="s">
        <v>20</v>
      </c>
      <c r="E100" s="11">
        <v>10615.0</v>
      </c>
      <c r="F100" s="9" t="s">
        <v>388</v>
      </c>
      <c r="G100" s="9" t="s">
        <v>384</v>
      </c>
      <c r="H100" s="9" t="s">
        <v>23</v>
      </c>
      <c r="I100" s="9" t="s">
        <v>24</v>
      </c>
      <c r="J100" s="9" t="s">
        <v>25</v>
      </c>
      <c r="K100" s="9" t="s">
        <v>27</v>
      </c>
      <c r="L100" s="5"/>
      <c r="M100" s="5"/>
      <c r="N100" s="5"/>
      <c r="O100" s="5"/>
      <c r="P100" s="5"/>
      <c r="Q100" s="5"/>
      <c r="R100" s="5"/>
      <c r="S100" s="5"/>
      <c r="T100" s="5"/>
      <c r="U100" s="5"/>
      <c r="V100" s="5"/>
      <c r="W100" s="5"/>
      <c r="X100" s="5"/>
      <c r="Y100" s="5"/>
      <c r="Z100" s="5"/>
    </row>
    <row r="101">
      <c r="A101" s="14" t="s">
        <v>123</v>
      </c>
      <c r="B101" s="14" t="s">
        <v>393</v>
      </c>
      <c r="C101" s="14" t="s">
        <v>19</v>
      </c>
      <c r="D101" s="15" t="s">
        <v>20</v>
      </c>
      <c r="E101" s="15">
        <v>10888.0</v>
      </c>
      <c r="F101" s="14" t="s">
        <v>395</v>
      </c>
      <c r="G101" s="14" t="s">
        <v>396</v>
      </c>
      <c r="H101" s="14" t="s">
        <v>48</v>
      </c>
      <c r="I101" s="14" t="s">
        <v>24</v>
      </c>
      <c r="J101" s="14" t="s">
        <v>25</v>
      </c>
      <c r="K101" s="14" t="s">
        <v>51</v>
      </c>
      <c r="L101" s="5"/>
      <c r="M101" s="5"/>
      <c r="N101" s="5"/>
      <c r="O101" s="5"/>
      <c r="P101" s="5"/>
      <c r="Q101" s="5"/>
      <c r="R101" s="5"/>
      <c r="S101" s="5"/>
      <c r="T101" s="5"/>
      <c r="U101" s="5"/>
      <c r="V101" s="5"/>
      <c r="W101" s="5"/>
      <c r="X101" s="5"/>
      <c r="Y101" s="5"/>
      <c r="Z101" s="5"/>
    </row>
    <row r="102">
      <c r="A102" s="9" t="s">
        <v>123</v>
      </c>
      <c r="B102" s="9" t="s">
        <v>393</v>
      </c>
      <c r="C102" s="9" t="s">
        <v>19</v>
      </c>
      <c r="D102" s="11">
        <v>682.0</v>
      </c>
      <c r="E102" s="11">
        <v>600334.0</v>
      </c>
      <c r="F102" s="9" t="s">
        <v>397</v>
      </c>
      <c r="G102" s="9" t="s">
        <v>396</v>
      </c>
      <c r="H102" s="9" t="s">
        <v>48</v>
      </c>
      <c r="I102" s="9" t="s">
        <v>50</v>
      </c>
      <c r="J102" s="9" t="s">
        <v>25</v>
      </c>
      <c r="K102" s="9" t="s">
        <v>36</v>
      </c>
      <c r="L102" s="5"/>
      <c r="M102" s="5"/>
      <c r="N102" s="5"/>
      <c r="O102" s="5"/>
      <c r="P102" s="5"/>
      <c r="Q102" s="5"/>
      <c r="R102" s="5"/>
      <c r="S102" s="5"/>
      <c r="T102" s="5"/>
      <c r="U102" s="5"/>
      <c r="V102" s="5"/>
      <c r="W102" s="5"/>
      <c r="X102" s="5"/>
      <c r="Y102" s="5"/>
      <c r="Z102" s="5"/>
    </row>
    <row r="103">
      <c r="A103" s="14" t="s">
        <v>65</v>
      </c>
      <c r="B103" s="14" t="s">
        <v>398</v>
      </c>
      <c r="C103" s="14" t="s">
        <v>19</v>
      </c>
      <c r="D103" s="15" t="s">
        <v>20</v>
      </c>
      <c r="E103" s="15">
        <v>600397.0</v>
      </c>
      <c r="F103" s="14" t="s">
        <v>399</v>
      </c>
      <c r="G103" s="14" t="s">
        <v>398</v>
      </c>
      <c r="H103" s="14" t="s">
        <v>23</v>
      </c>
      <c r="I103" s="14" t="s">
        <v>77</v>
      </c>
      <c r="J103" s="14" t="s">
        <v>105</v>
      </c>
      <c r="K103" s="14" t="s">
        <v>62</v>
      </c>
      <c r="L103" s="5"/>
      <c r="M103" s="5"/>
      <c r="N103" s="5"/>
      <c r="O103" s="5"/>
      <c r="P103" s="5"/>
      <c r="Q103" s="5"/>
      <c r="R103" s="5"/>
      <c r="S103" s="5"/>
      <c r="T103" s="5"/>
      <c r="U103" s="5"/>
      <c r="V103" s="5"/>
      <c r="W103" s="5"/>
      <c r="X103" s="5"/>
      <c r="Y103" s="5"/>
      <c r="Z103" s="5"/>
    </row>
    <row r="104">
      <c r="A104" s="9" t="s">
        <v>65</v>
      </c>
      <c r="B104" s="9" t="s">
        <v>398</v>
      </c>
      <c r="C104" s="9" t="s">
        <v>19</v>
      </c>
      <c r="D104" s="11" t="s">
        <v>20</v>
      </c>
      <c r="E104" s="11">
        <v>10563.0</v>
      </c>
      <c r="F104" s="9" t="s">
        <v>400</v>
      </c>
      <c r="G104" s="9" t="s">
        <v>398</v>
      </c>
      <c r="H104" s="9" t="s">
        <v>23</v>
      </c>
      <c r="I104" s="9" t="s">
        <v>77</v>
      </c>
      <c r="J104" s="9" t="s">
        <v>25</v>
      </c>
      <c r="K104" s="9" t="s">
        <v>62</v>
      </c>
      <c r="L104" s="5"/>
      <c r="M104" s="5"/>
      <c r="N104" s="5"/>
      <c r="O104" s="5"/>
      <c r="P104" s="5"/>
      <c r="Q104" s="5"/>
      <c r="R104" s="5"/>
      <c r="S104" s="5"/>
      <c r="T104" s="5"/>
      <c r="U104" s="5"/>
      <c r="V104" s="5"/>
      <c r="W104" s="5"/>
      <c r="X104" s="5"/>
      <c r="Y104" s="5"/>
      <c r="Z104" s="5"/>
    </row>
    <row r="105">
      <c r="A105" s="14" t="s">
        <v>65</v>
      </c>
      <c r="B105" s="14" t="s">
        <v>398</v>
      </c>
      <c r="C105" s="14" t="s">
        <v>19</v>
      </c>
      <c r="D105" s="15" t="s">
        <v>20</v>
      </c>
      <c r="E105" s="15">
        <v>600567.0</v>
      </c>
      <c r="F105" s="14" t="s">
        <v>404</v>
      </c>
      <c r="G105" s="14" t="s">
        <v>398</v>
      </c>
      <c r="H105" s="14" t="s">
        <v>23</v>
      </c>
      <c r="I105" s="14" t="s">
        <v>77</v>
      </c>
      <c r="J105" s="14" t="s">
        <v>25</v>
      </c>
      <c r="K105" s="14" t="s">
        <v>27</v>
      </c>
      <c r="L105" s="5"/>
      <c r="M105" s="5"/>
      <c r="N105" s="5"/>
      <c r="O105" s="5"/>
      <c r="P105" s="5"/>
      <c r="Q105" s="5"/>
      <c r="R105" s="5"/>
      <c r="S105" s="5"/>
      <c r="T105" s="5"/>
      <c r="U105" s="5"/>
      <c r="V105" s="5"/>
      <c r="W105" s="5"/>
      <c r="X105" s="5"/>
      <c r="Y105" s="5"/>
      <c r="Z105" s="5"/>
    </row>
    <row r="106">
      <c r="A106" s="9" t="s">
        <v>65</v>
      </c>
      <c r="B106" s="9" t="s">
        <v>398</v>
      </c>
      <c r="C106" s="9" t="s">
        <v>19</v>
      </c>
      <c r="D106" s="11" t="s">
        <v>20</v>
      </c>
      <c r="E106" s="11">
        <v>600547.0</v>
      </c>
      <c r="F106" s="9" t="s">
        <v>406</v>
      </c>
      <c r="G106" s="9" t="s">
        <v>398</v>
      </c>
      <c r="H106" s="9" t="s">
        <v>23</v>
      </c>
      <c r="I106" s="9" t="s">
        <v>77</v>
      </c>
      <c r="J106" s="9" t="s">
        <v>25</v>
      </c>
      <c r="K106" s="9" t="s">
        <v>27</v>
      </c>
      <c r="L106" s="5"/>
      <c r="M106" s="5"/>
      <c r="N106" s="5"/>
      <c r="O106" s="5"/>
      <c r="P106" s="5"/>
      <c r="Q106" s="5"/>
      <c r="R106" s="5"/>
      <c r="S106" s="5"/>
      <c r="T106" s="5"/>
      <c r="U106" s="5"/>
      <c r="V106" s="5"/>
      <c r="W106" s="5"/>
      <c r="X106" s="5"/>
      <c r="Y106" s="5"/>
      <c r="Z106" s="5"/>
    </row>
    <row r="107">
      <c r="A107" s="14" t="s">
        <v>65</v>
      </c>
      <c r="B107" s="14" t="s">
        <v>398</v>
      </c>
      <c r="C107" s="14" t="s">
        <v>19</v>
      </c>
      <c r="D107" s="15" t="s">
        <v>20</v>
      </c>
      <c r="E107" s="15">
        <v>600566.0</v>
      </c>
      <c r="F107" s="14" t="s">
        <v>412</v>
      </c>
      <c r="G107" s="14" t="s">
        <v>398</v>
      </c>
      <c r="H107" s="14" t="s">
        <v>23</v>
      </c>
      <c r="I107" s="14" t="s">
        <v>77</v>
      </c>
      <c r="J107" s="14" t="s">
        <v>25</v>
      </c>
      <c r="K107" s="14" t="s">
        <v>36</v>
      </c>
      <c r="L107" s="5"/>
      <c r="M107" s="5"/>
      <c r="N107" s="5"/>
      <c r="O107" s="5"/>
      <c r="P107" s="5"/>
      <c r="Q107" s="5"/>
      <c r="R107" s="5"/>
      <c r="S107" s="5"/>
      <c r="T107" s="5"/>
      <c r="U107" s="5"/>
      <c r="V107" s="5"/>
      <c r="W107" s="5"/>
      <c r="X107" s="5"/>
      <c r="Y107" s="5"/>
      <c r="Z107" s="5"/>
    </row>
    <row r="108">
      <c r="A108" s="18" t="s">
        <v>38</v>
      </c>
      <c r="B108" s="18" t="s">
        <v>416</v>
      </c>
      <c r="C108" s="18" t="s">
        <v>19</v>
      </c>
      <c r="D108" s="20" t="s">
        <v>20</v>
      </c>
      <c r="E108" s="20">
        <v>10516.0</v>
      </c>
      <c r="F108" s="18" t="s">
        <v>416</v>
      </c>
      <c r="G108" s="18" t="s">
        <v>417</v>
      </c>
      <c r="H108" s="18" t="s">
        <v>23</v>
      </c>
      <c r="I108" s="18" t="s">
        <v>24</v>
      </c>
      <c r="J108" s="18" t="s">
        <v>25</v>
      </c>
      <c r="K108" s="18" t="s">
        <v>36</v>
      </c>
      <c r="L108" s="5"/>
      <c r="M108" s="5"/>
      <c r="N108" s="5"/>
      <c r="O108" s="5"/>
      <c r="P108" s="5"/>
      <c r="Q108" s="5"/>
      <c r="R108" s="5"/>
      <c r="S108" s="5"/>
      <c r="T108" s="5"/>
      <c r="U108" s="5"/>
      <c r="V108" s="5"/>
      <c r="W108" s="5"/>
      <c r="X108" s="5"/>
      <c r="Y108" s="5"/>
      <c r="Z108" s="5"/>
    </row>
    <row r="109">
      <c r="A109" s="14" t="s">
        <v>65</v>
      </c>
      <c r="B109" s="14" t="s">
        <v>418</v>
      </c>
      <c r="C109" s="14" t="s">
        <v>19</v>
      </c>
      <c r="D109" s="15" t="s">
        <v>20</v>
      </c>
      <c r="E109" s="15">
        <v>11278.0</v>
      </c>
      <c r="F109" s="14" t="s">
        <v>418</v>
      </c>
      <c r="G109" s="14" t="s">
        <v>418</v>
      </c>
      <c r="H109" s="14" t="s">
        <v>23</v>
      </c>
      <c r="I109" s="14" t="s">
        <v>77</v>
      </c>
      <c r="J109" s="14" t="s">
        <v>25</v>
      </c>
      <c r="K109" s="14" t="s">
        <v>27</v>
      </c>
      <c r="L109" s="5"/>
      <c r="M109" s="5"/>
      <c r="N109" s="5"/>
      <c r="O109" s="5"/>
      <c r="P109" s="5"/>
      <c r="Q109" s="5"/>
      <c r="R109" s="5"/>
      <c r="S109" s="5"/>
      <c r="T109" s="5"/>
      <c r="U109" s="5"/>
      <c r="V109" s="5"/>
      <c r="W109" s="5"/>
      <c r="X109" s="5"/>
      <c r="Y109" s="5"/>
      <c r="Z109" s="5"/>
    </row>
    <row r="110">
      <c r="A110" s="14" t="s">
        <v>38</v>
      </c>
      <c r="B110" s="14" t="s">
        <v>419</v>
      </c>
      <c r="C110" s="14" t="s">
        <v>67</v>
      </c>
      <c r="D110" s="15" t="s">
        <v>20</v>
      </c>
      <c r="E110" s="15">
        <v>10507.0</v>
      </c>
      <c r="F110" s="14" t="s">
        <v>419</v>
      </c>
      <c r="G110" s="14" t="s">
        <v>419</v>
      </c>
      <c r="H110" s="14" t="s">
        <v>23</v>
      </c>
      <c r="I110" s="14" t="s">
        <v>24</v>
      </c>
      <c r="J110" s="14" t="s">
        <v>25</v>
      </c>
      <c r="K110" s="14" t="s">
        <v>67</v>
      </c>
      <c r="L110" s="5"/>
      <c r="M110" s="5"/>
      <c r="N110" s="5"/>
      <c r="O110" s="5"/>
      <c r="P110" s="5"/>
      <c r="Q110" s="5"/>
      <c r="R110" s="5"/>
      <c r="S110" s="5"/>
      <c r="T110" s="5"/>
      <c r="U110" s="5"/>
      <c r="V110" s="5"/>
      <c r="W110" s="5"/>
      <c r="X110" s="5"/>
      <c r="Y110" s="5"/>
      <c r="Z110" s="5"/>
    </row>
    <row r="111">
      <c r="A111" s="9" t="s">
        <v>38</v>
      </c>
      <c r="B111" s="9" t="s">
        <v>419</v>
      </c>
      <c r="C111" s="9" t="s">
        <v>19</v>
      </c>
      <c r="D111" s="11">
        <v>597.0</v>
      </c>
      <c r="E111" s="11">
        <v>600348.0</v>
      </c>
      <c r="F111" s="9" t="s">
        <v>421</v>
      </c>
      <c r="G111" s="9" t="s">
        <v>422</v>
      </c>
      <c r="H111" s="9" t="s">
        <v>48</v>
      </c>
      <c r="I111" s="9" t="s">
        <v>50</v>
      </c>
      <c r="J111" s="9" t="s">
        <v>25</v>
      </c>
      <c r="K111" s="9" t="s">
        <v>36</v>
      </c>
      <c r="L111" s="5"/>
      <c r="M111" s="5"/>
      <c r="N111" s="5"/>
      <c r="O111" s="5"/>
      <c r="P111" s="5"/>
      <c r="Q111" s="5"/>
      <c r="R111" s="5"/>
      <c r="S111" s="5"/>
      <c r="T111" s="5"/>
      <c r="U111" s="5"/>
      <c r="V111" s="5"/>
      <c r="W111" s="5"/>
      <c r="X111" s="5"/>
      <c r="Y111" s="5"/>
      <c r="Z111" s="5"/>
    </row>
    <row r="112">
      <c r="A112" s="14" t="s">
        <v>123</v>
      </c>
      <c r="B112" s="14" t="s">
        <v>425</v>
      </c>
      <c r="C112" s="14" t="s">
        <v>19</v>
      </c>
      <c r="D112" s="15">
        <v>312.0</v>
      </c>
      <c r="E112" s="15">
        <v>600170.0</v>
      </c>
      <c r="F112" s="14" t="s">
        <v>427</v>
      </c>
      <c r="G112" s="14" t="s">
        <v>428</v>
      </c>
      <c r="H112" s="14" t="s">
        <v>48</v>
      </c>
      <c r="I112" s="14" t="s">
        <v>50</v>
      </c>
      <c r="J112" s="14" t="s">
        <v>25</v>
      </c>
      <c r="K112" s="14" t="s">
        <v>27</v>
      </c>
      <c r="L112" s="5"/>
      <c r="M112" s="5"/>
      <c r="N112" s="5"/>
      <c r="O112" s="5"/>
      <c r="P112" s="5"/>
      <c r="Q112" s="5"/>
      <c r="R112" s="5"/>
      <c r="S112" s="5"/>
      <c r="T112" s="5"/>
      <c r="U112" s="5"/>
      <c r="V112" s="5"/>
      <c r="W112" s="5"/>
      <c r="X112" s="5"/>
      <c r="Y112" s="5"/>
      <c r="Z112" s="5"/>
    </row>
    <row r="113">
      <c r="A113" s="9" t="s">
        <v>123</v>
      </c>
      <c r="B113" s="9" t="s">
        <v>425</v>
      </c>
      <c r="C113" s="9" t="s">
        <v>19</v>
      </c>
      <c r="D113" s="11" t="s">
        <v>20</v>
      </c>
      <c r="E113" s="11">
        <v>20700.0</v>
      </c>
      <c r="F113" s="9" t="s">
        <v>425</v>
      </c>
      <c r="G113" s="9" t="s">
        <v>428</v>
      </c>
      <c r="H113" s="9" t="s">
        <v>23</v>
      </c>
      <c r="I113" s="9" t="s">
        <v>24</v>
      </c>
      <c r="J113" s="9" t="s">
        <v>25</v>
      </c>
      <c r="K113" s="9" t="s">
        <v>27</v>
      </c>
      <c r="L113" s="5"/>
      <c r="M113" s="5"/>
      <c r="N113" s="5"/>
      <c r="O113" s="5"/>
      <c r="P113" s="5"/>
      <c r="Q113" s="5"/>
      <c r="R113" s="5"/>
      <c r="S113" s="5"/>
      <c r="T113" s="5"/>
      <c r="U113" s="5"/>
      <c r="V113" s="5"/>
      <c r="W113" s="5"/>
      <c r="X113" s="5"/>
      <c r="Y113" s="5"/>
      <c r="Z113" s="5"/>
    </row>
    <row r="114">
      <c r="A114" s="9" t="s">
        <v>38</v>
      </c>
      <c r="B114" s="9" t="s">
        <v>430</v>
      </c>
      <c r="C114" s="9" t="s">
        <v>19</v>
      </c>
      <c r="D114" s="11" t="s">
        <v>20</v>
      </c>
      <c r="E114" s="11">
        <v>11314.0</v>
      </c>
      <c r="F114" s="9" t="s">
        <v>430</v>
      </c>
      <c r="G114" s="9" t="s">
        <v>430</v>
      </c>
      <c r="H114" s="9" t="s">
        <v>431</v>
      </c>
      <c r="I114" s="9" t="s">
        <v>24</v>
      </c>
      <c r="J114" s="9" t="s">
        <v>432</v>
      </c>
      <c r="K114" s="9" t="s">
        <v>36</v>
      </c>
      <c r="L114" s="5"/>
      <c r="M114" s="5"/>
      <c r="N114" s="5"/>
      <c r="O114" s="5"/>
      <c r="P114" s="5"/>
      <c r="Q114" s="5"/>
      <c r="R114" s="5"/>
      <c r="S114" s="5"/>
      <c r="T114" s="5"/>
      <c r="U114" s="5"/>
      <c r="V114" s="5"/>
      <c r="W114" s="5"/>
      <c r="X114" s="5"/>
      <c r="Y114" s="5"/>
      <c r="Z114" s="5"/>
    </row>
    <row r="115">
      <c r="A115" s="14" t="s">
        <v>38</v>
      </c>
      <c r="B115" s="14" t="s">
        <v>434</v>
      </c>
      <c r="C115" s="14" t="s">
        <v>67</v>
      </c>
      <c r="D115" s="15">
        <v>605.0</v>
      </c>
      <c r="E115" s="15">
        <v>600327.0</v>
      </c>
      <c r="F115" s="14" t="s">
        <v>435</v>
      </c>
      <c r="G115" s="14" t="s">
        <v>437</v>
      </c>
      <c r="H115" s="14" t="s">
        <v>48</v>
      </c>
      <c r="I115" s="14" t="s">
        <v>50</v>
      </c>
      <c r="J115" s="14" t="s">
        <v>25</v>
      </c>
      <c r="K115" s="14" t="s">
        <v>67</v>
      </c>
      <c r="L115" s="5"/>
      <c r="M115" s="5"/>
      <c r="N115" s="5"/>
      <c r="O115" s="5"/>
      <c r="P115" s="5"/>
      <c r="Q115" s="5"/>
      <c r="R115" s="5"/>
      <c r="S115" s="5"/>
      <c r="T115" s="5"/>
      <c r="U115" s="5"/>
      <c r="V115" s="5"/>
      <c r="W115" s="5"/>
      <c r="X115" s="5"/>
      <c r="Y115" s="5"/>
      <c r="Z115" s="5"/>
    </row>
    <row r="116">
      <c r="A116" s="9" t="s">
        <v>38</v>
      </c>
      <c r="B116" s="9" t="s">
        <v>434</v>
      </c>
      <c r="C116" s="9" t="s">
        <v>19</v>
      </c>
      <c r="D116" s="11" t="s">
        <v>20</v>
      </c>
      <c r="E116" s="11">
        <v>30001.0</v>
      </c>
      <c r="F116" s="9" t="s">
        <v>434</v>
      </c>
      <c r="G116" s="9" t="s">
        <v>437</v>
      </c>
      <c r="H116" s="9" t="s">
        <v>23</v>
      </c>
      <c r="I116" s="9" t="s">
        <v>24</v>
      </c>
      <c r="J116" s="9" t="s">
        <v>25</v>
      </c>
      <c r="K116" s="9" t="s">
        <v>36</v>
      </c>
      <c r="L116" s="5"/>
      <c r="M116" s="5"/>
      <c r="N116" s="5"/>
      <c r="O116" s="5"/>
      <c r="P116" s="5"/>
      <c r="Q116" s="5"/>
      <c r="R116" s="5"/>
      <c r="S116" s="5"/>
      <c r="T116" s="5"/>
      <c r="U116" s="5"/>
      <c r="V116" s="5"/>
      <c r="W116" s="5"/>
      <c r="X116" s="5"/>
      <c r="Y116" s="5"/>
      <c r="Z116" s="5"/>
    </row>
    <row r="117">
      <c r="A117" s="9" t="s">
        <v>65</v>
      </c>
      <c r="B117" s="9" t="s">
        <v>443</v>
      </c>
      <c r="C117" s="9" t="s">
        <v>19</v>
      </c>
      <c r="D117" s="11" t="s">
        <v>20</v>
      </c>
      <c r="E117" s="11">
        <v>600515.0</v>
      </c>
      <c r="F117" s="9" t="s">
        <v>443</v>
      </c>
      <c r="G117" s="9" t="s">
        <v>443</v>
      </c>
      <c r="H117" s="9" t="s">
        <v>23</v>
      </c>
      <c r="I117" s="9" t="s">
        <v>77</v>
      </c>
      <c r="J117" s="9" t="s">
        <v>25</v>
      </c>
      <c r="K117" s="9" t="s">
        <v>36</v>
      </c>
      <c r="L117" s="5"/>
      <c r="M117" s="5"/>
      <c r="N117" s="5"/>
      <c r="O117" s="5"/>
      <c r="P117" s="5"/>
      <c r="Q117" s="5"/>
      <c r="R117" s="5"/>
      <c r="S117" s="5"/>
      <c r="T117" s="5"/>
      <c r="U117" s="5"/>
      <c r="V117" s="5"/>
      <c r="W117" s="5"/>
      <c r="X117" s="5"/>
      <c r="Y117" s="5"/>
      <c r="Z117" s="5"/>
    </row>
    <row r="118">
      <c r="A118" s="14" t="s">
        <v>14</v>
      </c>
      <c r="B118" s="14" t="s">
        <v>447</v>
      </c>
      <c r="C118" s="14" t="s">
        <v>19</v>
      </c>
      <c r="D118" s="15" t="s">
        <v>20</v>
      </c>
      <c r="E118" s="15">
        <v>20709.0</v>
      </c>
      <c r="F118" s="14" t="s">
        <v>448</v>
      </c>
      <c r="G118" s="14" t="s">
        <v>447</v>
      </c>
      <c r="H118" s="14" t="s">
        <v>23</v>
      </c>
      <c r="I118" s="14" t="s">
        <v>24</v>
      </c>
      <c r="J118" s="14" t="s">
        <v>25</v>
      </c>
      <c r="K118" s="14" t="s">
        <v>27</v>
      </c>
      <c r="L118" s="5"/>
      <c r="M118" s="5"/>
      <c r="N118" s="5"/>
      <c r="O118" s="5"/>
      <c r="P118" s="5"/>
      <c r="Q118" s="5"/>
      <c r="R118" s="5"/>
      <c r="S118" s="5"/>
      <c r="T118" s="5"/>
      <c r="U118" s="5"/>
      <c r="V118" s="5"/>
      <c r="W118" s="5"/>
      <c r="X118" s="5"/>
      <c r="Y118" s="5"/>
      <c r="Z118" s="5"/>
    </row>
    <row r="119">
      <c r="A119" s="9" t="s">
        <v>14</v>
      </c>
      <c r="B119" s="9" t="s">
        <v>447</v>
      </c>
      <c r="C119" s="9" t="s">
        <v>19</v>
      </c>
      <c r="D119" s="11" t="s">
        <v>20</v>
      </c>
      <c r="E119" s="11">
        <v>20697.0</v>
      </c>
      <c r="F119" s="9" t="s">
        <v>452</v>
      </c>
      <c r="G119" s="9" t="s">
        <v>447</v>
      </c>
      <c r="H119" s="9" t="s">
        <v>23</v>
      </c>
      <c r="I119" s="9" t="s">
        <v>24</v>
      </c>
      <c r="J119" s="9" t="s">
        <v>25</v>
      </c>
      <c r="K119" s="9" t="s">
        <v>27</v>
      </c>
      <c r="L119" s="5"/>
      <c r="M119" s="5"/>
      <c r="N119" s="5"/>
      <c r="O119" s="5"/>
      <c r="P119" s="5"/>
      <c r="Q119" s="5"/>
      <c r="R119" s="5"/>
      <c r="S119" s="5"/>
      <c r="T119" s="5"/>
      <c r="U119" s="5"/>
      <c r="V119" s="5"/>
      <c r="W119" s="5"/>
      <c r="X119" s="5"/>
      <c r="Y119" s="5"/>
      <c r="Z119" s="5"/>
    </row>
    <row r="120">
      <c r="A120" s="14" t="s">
        <v>14</v>
      </c>
      <c r="B120" s="14" t="s">
        <v>447</v>
      </c>
      <c r="C120" s="14" t="s">
        <v>19</v>
      </c>
      <c r="D120" s="15" t="s">
        <v>20</v>
      </c>
      <c r="E120" s="15">
        <v>20696.0</v>
      </c>
      <c r="F120" s="14" t="s">
        <v>454</v>
      </c>
      <c r="G120" s="14" t="s">
        <v>447</v>
      </c>
      <c r="H120" s="14" t="s">
        <v>23</v>
      </c>
      <c r="I120" s="14" t="s">
        <v>24</v>
      </c>
      <c r="J120" s="14" t="s">
        <v>25</v>
      </c>
      <c r="K120" s="14" t="s">
        <v>27</v>
      </c>
      <c r="L120" s="5"/>
      <c r="M120" s="5"/>
      <c r="N120" s="5"/>
      <c r="O120" s="5"/>
      <c r="P120" s="5"/>
      <c r="Q120" s="5"/>
      <c r="R120" s="5"/>
      <c r="S120" s="5"/>
      <c r="T120" s="5"/>
      <c r="U120" s="5"/>
      <c r="V120" s="5"/>
      <c r="W120" s="5"/>
      <c r="X120" s="5"/>
      <c r="Y120" s="5"/>
      <c r="Z120" s="5"/>
    </row>
    <row r="121">
      <c r="A121" s="9" t="s">
        <v>14</v>
      </c>
      <c r="B121" s="9" t="s">
        <v>447</v>
      </c>
      <c r="C121" s="9" t="s">
        <v>19</v>
      </c>
      <c r="D121" s="11" t="s">
        <v>20</v>
      </c>
      <c r="E121" s="11">
        <v>20692.0</v>
      </c>
      <c r="F121" s="9" t="s">
        <v>456</v>
      </c>
      <c r="G121" s="9" t="s">
        <v>447</v>
      </c>
      <c r="H121" s="9" t="s">
        <v>23</v>
      </c>
      <c r="I121" s="9" t="s">
        <v>24</v>
      </c>
      <c r="J121" s="9" t="s">
        <v>25</v>
      </c>
      <c r="K121" s="9" t="s">
        <v>27</v>
      </c>
      <c r="L121" s="5"/>
      <c r="M121" s="5"/>
      <c r="N121" s="5"/>
      <c r="O121" s="5"/>
      <c r="P121" s="5"/>
      <c r="Q121" s="5"/>
      <c r="R121" s="5"/>
      <c r="S121" s="5"/>
      <c r="T121" s="5"/>
      <c r="U121" s="5"/>
      <c r="V121" s="5"/>
      <c r="W121" s="5"/>
      <c r="X121" s="5"/>
      <c r="Y121" s="5"/>
      <c r="Z121" s="5"/>
    </row>
    <row r="122">
      <c r="A122" s="14" t="s">
        <v>14</v>
      </c>
      <c r="B122" s="14" t="s">
        <v>447</v>
      </c>
      <c r="C122" s="14" t="s">
        <v>19</v>
      </c>
      <c r="D122" s="15" t="s">
        <v>20</v>
      </c>
      <c r="E122" s="15">
        <v>20691.0</v>
      </c>
      <c r="F122" s="14" t="s">
        <v>457</v>
      </c>
      <c r="G122" s="14" t="s">
        <v>447</v>
      </c>
      <c r="H122" s="14" t="s">
        <v>23</v>
      </c>
      <c r="I122" s="14" t="s">
        <v>24</v>
      </c>
      <c r="J122" s="14" t="s">
        <v>25</v>
      </c>
      <c r="K122" s="14" t="s">
        <v>27</v>
      </c>
      <c r="L122" s="5"/>
      <c r="M122" s="5"/>
      <c r="N122" s="5"/>
      <c r="O122" s="5"/>
      <c r="P122" s="5"/>
      <c r="Q122" s="5"/>
      <c r="R122" s="5"/>
      <c r="S122" s="5"/>
      <c r="T122" s="5"/>
      <c r="U122" s="5"/>
      <c r="V122" s="5"/>
      <c r="W122" s="5"/>
      <c r="X122" s="5"/>
      <c r="Y122" s="5"/>
      <c r="Z122" s="5"/>
    </row>
    <row r="123">
      <c r="A123" s="9" t="s">
        <v>14</v>
      </c>
      <c r="B123" s="9" t="s">
        <v>447</v>
      </c>
      <c r="C123" s="9" t="s">
        <v>19</v>
      </c>
      <c r="D123" s="11" t="s">
        <v>20</v>
      </c>
      <c r="E123" s="11">
        <v>20637.0</v>
      </c>
      <c r="F123" s="9" t="s">
        <v>458</v>
      </c>
      <c r="G123" s="9" t="s">
        <v>447</v>
      </c>
      <c r="H123" s="9" t="s">
        <v>23</v>
      </c>
      <c r="I123" s="9" t="s">
        <v>24</v>
      </c>
      <c r="J123" s="9" t="s">
        <v>25</v>
      </c>
      <c r="K123" s="9" t="s">
        <v>27</v>
      </c>
      <c r="L123" s="5"/>
      <c r="M123" s="5"/>
      <c r="N123" s="5"/>
      <c r="O123" s="5"/>
      <c r="P123" s="5"/>
      <c r="Q123" s="5"/>
      <c r="R123" s="5"/>
      <c r="S123" s="5"/>
      <c r="T123" s="5"/>
      <c r="U123" s="5"/>
      <c r="V123" s="5"/>
      <c r="W123" s="5"/>
      <c r="X123" s="5"/>
      <c r="Y123" s="5"/>
      <c r="Z123" s="5"/>
    </row>
    <row r="124">
      <c r="A124" s="14" t="s">
        <v>14</v>
      </c>
      <c r="B124" s="14" t="s">
        <v>447</v>
      </c>
      <c r="C124" s="14" t="s">
        <v>19</v>
      </c>
      <c r="D124" s="15" t="s">
        <v>20</v>
      </c>
      <c r="E124" s="15">
        <v>20636.0</v>
      </c>
      <c r="F124" s="14" t="s">
        <v>459</v>
      </c>
      <c r="G124" s="14" t="s">
        <v>447</v>
      </c>
      <c r="H124" s="14" t="s">
        <v>23</v>
      </c>
      <c r="I124" s="14" t="s">
        <v>24</v>
      </c>
      <c r="J124" s="14" t="s">
        <v>25</v>
      </c>
      <c r="K124" s="14" t="s">
        <v>27</v>
      </c>
      <c r="L124" s="5"/>
      <c r="M124" s="5"/>
      <c r="N124" s="5"/>
      <c r="O124" s="5"/>
      <c r="P124" s="5"/>
      <c r="Q124" s="5"/>
      <c r="R124" s="5"/>
      <c r="S124" s="5"/>
      <c r="T124" s="5"/>
      <c r="U124" s="5"/>
      <c r="V124" s="5"/>
      <c r="W124" s="5"/>
      <c r="X124" s="5"/>
      <c r="Y124" s="5"/>
      <c r="Z124" s="5"/>
    </row>
    <row r="125">
      <c r="A125" s="9" t="s">
        <v>14</v>
      </c>
      <c r="B125" s="9" t="s">
        <v>447</v>
      </c>
      <c r="C125" s="9" t="s">
        <v>67</v>
      </c>
      <c r="D125" s="11" t="s">
        <v>20</v>
      </c>
      <c r="E125" s="11">
        <v>20124.0</v>
      </c>
      <c r="F125" s="9" t="s">
        <v>463</v>
      </c>
      <c r="G125" s="9" t="s">
        <v>447</v>
      </c>
      <c r="H125" s="9" t="s">
        <v>23</v>
      </c>
      <c r="I125" s="9" t="s">
        <v>24</v>
      </c>
      <c r="J125" s="9" t="s">
        <v>25</v>
      </c>
      <c r="K125" s="9" t="s">
        <v>67</v>
      </c>
      <c r="L125" s="5"/>
      <c r="M125" s="5"/>
      <c r="N125" s="5"/>
      <c r="O125" s="5"/>
      <c r="P125" s="5"/>
      <c r="Q125" s="5"/>
      <c r="R125" s="5"/>
      <c r="S125" s="5"/>
      <c r="T125" s="5"/>
      <c r="U125" s="5"/>
      <c r="V125" s="5"/>
      <c r="W125" s="5"/>
      <c r="X125" s="5"/>
      <c r="Y125" s="5"/>
      <c r="Z125" s="5"/>
    </row>
    <row r="126">
      <c r="A126" s="14" t="s">
        <v>14</v>
      </c>
      <c r="B126" s="14" t="s">
        <v>447</v>
      </c>
      <c r="C126" s="14" t="s">
        <v>67</v>
      </c>
      <c r="D126" s="15" t="s">
        <v>20</v>
      </c>
      <c r="E126" s="15">
        <v>20123.0</v>
      </c>
      <c r="F126" s="14" t="s">
        <v>465</v>
      </c>
      <c r="G126" s="14" t="s">
        <v>447</v>
      </c>
      <c r="H126" s="14" t="s">
        <v>23</v>
      </c>
      <c r="I126" s="14" t="s">
        <v>24</v>
      </c>
      <c r="J126" s="14" t="s">
        <v>25</v>
      </c>
      <c r="K126" s="14" t="s">
        <v>67</v>
      </c>
      <c r="L126" s="5"/>
      <c r="M126" s="5"/>
      <c r="N126" s="5"/>
      <c r="O126" s="5"/>
      <c r="P126" s="5"/>
      <c r="Q126" s="5"/>
      <c r="R126" s="5"/>
      <c r="S126" s="5"/>
      <c r="T126" s="5"/>
      <c r="U126" s="5"/>
      <c r="V126" s="5"/>
      <c r="W126" s="5"/>
      <c r="X126" s="5"/>
      <c r="Y126" s="5"/>
      <c r="Z126" s="5"/>
    </row>
    <row r="127">
      <c r="A127" s="9" t="s">
        <v>14</v>
      </c>
      <c r="B127" s="9" t="s">
        <v>447</v>
      </c>
      <c r="C127" s="9" t="s">
        <v>19</v>
      </c>
      <c r="D127" s="11">
        <v>586.0</v>
      </c>
      <c r="E127" s="11">
        <v>600330.0</v>
      </c>
      <c r="F127" s="9" t="s">
        <v>467</v>
      </c>
      <c r="G127" s="9" t="s">
        <v>468</v>
      </c>
      <c r="H127" s="9" t="s">
        <v>48</v>
      </c>
      <c r="I127" s="9" t="s">
        <v>50</v>
      </c>
      <c r="J127" s="9" t="s">
        <v>25</v>
      </c>
      <c r="K127" s="9" t="s">
        <v>36</v>
      </c>
      <c r="L127" s="5"/>
      <c r="M127" s="5"/>
      <c r="N127" s="5"/>
      <c r="O127" s="5"/>
      <c r="P127" s="5"/>
      <c r="Q127" s="5"/>
      <c r="R127" s="5"/>
      <c r="S127" s="5"/>
      <c r="T127" s="5"/>
      <c r="U127" s="5"/>
      <c r="V127" s="5"/>
      <c r="W127" s="5"/>
      <c r="X127" s="5"/>
      <c r="Y127" s="5"/>
      <c r="Z127" s="5"/>
    </row>
    <row r="128">
      <c r="A128" s="9" t="s">
        <v>38</v>
      </c>
      <c r="B128" s="9" t="s">
        <v>471</v>
      </c>
      <c r="C128" s="9" t="s">
        <v>19</v>
      </c>
      <c r="D128" s="11" t="s">
        <v>20</v>
      </c>
      <c r="E128" s="11">
        <v>600332.0</v>
      </c>
      <c r="F128" s="9" t="s">
        <v>473</v>
      </c>
      <c r="G128" s="9" t="s">
        <v>471</v>
      </c>
      <c r="H128" s="9" t="s">
        <v>48</v>
      </c>
      <c r="I128" s="9" t="s">
        <v>50</v>
      </c>
      <c r="J128" s="9" t="s">
        <v>25</v>
      </c>
      <c r="K128" s="9" t="s">
        <v>27</v>
      </c>
      <c r="L128" s="5"/>
      <c r="M128" s="5"/>
      <c r="N128" s="5"/>
      <c r="O128" s="5"/>
      <c r="P128" s="5"/>
      <c r="Q128" s="5"/>
      <c r="R128" s="5"/>
      <c r="S128" s="5"/>
      <c r="T128" s="5"/>
      <c r="U128" s="5"/>
      <c r="V128" s="5"/>
      <c r="W128" s="5"/>
      <c r="X128" s="5"/>
      <c r="Y128" s="5"/>
      <c r="Z128" s="5"/>
    </row>
    <row r="129">
      <c r="A129" s="14" t="s">
        <v>38</v>
      </c>
      <c r="B129" s="14" t="s">
        <v>471</v>
      </c>
      <c r="C129" s="14" t="s">
        <v>19</v>
      </c>
      <c r="D129" s="15" t="s">
        <v>20</v>
      </c>
      <c r="E129" s="15">
        <v>20134.0</v>
      </c>
      <c r="F129" s="14" t="s">
        <v>471</v>
      </c>
      <c r="G129" s="14" t="s">
        <v>471</v>
      </c>
      <c r="H129" s="14" t="s">
        <v>23</v>
      </c>
      <c r="I129" s="14" t="s">
        <v>24</v>
      </c>
      <c r="J129" s="14" t="s">
        <v>25</v>
      </c>
      <c r="K129" s="14" t="s">
        <v>27</v>
      </c>
      <c r="L129" s="5"/>
      <c r="M129" s="5"/>
      <c r="N129" s="5"/>
      <c r="O129" s="5"/>
      <c r="P129" s="5"/>
      <c r="Q129" s="5"/>
      <c r="R129" s="5"/>
      <c r="S129" s="5"/>
      <c r="T129" s="5"/>
      <c r="U129" s="5"/>
      <c r="V129" s="5"/>
      <c r="W129" s="5"/>
      <c r="X129" s="5"/>
      <c r="Y129" s="5"/>
      <c r="Z129" s="5"/>
    </row>
    <row r="130">
      <c r="A130" s="9" t="s">
        <v>38</v>
      </c>
      <c r="B130" s="9" t="s">
        <v>471</v>
      </c>
      <c r="C130" s="9" t="s">
        <v>19</v>
      </c>
      <c r="D130" s="11" t="s">
        <v>20</v>
      </c>
      <c r="E130" s="11">
        <v>10568.0</v>
      </c>
      <c r="F130" s="9" t="s">
        <v>477</v>
      </c>
      <c r="G130" s="9" t="s">
        <v>471</v>
      </c>
      <c r="H130" s="9" t="s">
        <v>478</v>
      </c>
      <c r="I130" s="9" t="s">
        <v>24</v>
      </c>
      <c r="J130" s="9" t="s">
        <v>25</v>
      </c>
      <c r="K130" s="9" t="s">
        <v>36</v>
      </c>
      <c r="L130" s="5"/>
      <c r="M130" s="5"/>
      <c r="N130" s="5"/>
      <c r="O130" s="5"/>
      <c r="P130" s="5"/>
      <c r="Q130" s="5"/>
      <c r="R130" s="5"/>
      <c r="S130" s="5"/>
      <c r="T130" s="5"/>
      <c r="U130" s="5"/>
      <c r="V130" s="5"/>
      <c r="W130" s="5"/>
      <c r="X130" s="5"/>
      <c r="Y130" s="5"/>
      <c r="Z130" s="5"/>
    </row>
    <row r="131">
      <c r="A131" s="9" t="s">
        <v>123</v>
      </c>
      <c r="B131" s="9" t="s">
        <v>481</v>
      </c>
      <c r="C131" s="9" t="s">
        <v>19</v>
      </c>
      <c r="D131" s="11">
        <v>421.0</v>
      </c>
      <c r="E131" s="11">
        <v>600226.0</v>
      </c>
      <c r="F131" s="9" t="s">
        <v>20</v>
      </c>
      <c r="G131" s="9" t="s">
        <v>483</v>
      </c>
      <c r="H131" s="9" t="s">
        <v>48</v>
      </c>
      <c r="I131" s="9" t="s">
        <v>50</v>
      </c>
      <c r="J131" s="9" t="s">
        <v>484</v>
      </c>
      <c r="K131" s="9" t="s">
        <v>485</v>
      </c>
      <c r="L131" s="5"/>
      <c r="M131" s="5"/>
      <c r="N131" s="5"/>
      <c r="O131" s="5"/>
      <c r="P131" s="5"/>
      <c r="Q131" s="5"/>
      <c r="R131" s="5"/>
      <c r="S131" s="5"/>
      <c r="T131" s="5"/>
      <c r="U131" s="5"/>
      <c r="V131" s="5"/>
      <c r="W131" s="5"/>
      <c r="X131" s="5"/>
      <c r="Y131" s="5"/>
      <c r="Z131" s="5"/>
    </row>
    <row r="132">
      <c r="A132" s="14" t="s">
        <v>123</v>
      </c>
      <c r="B132" s="14" t="s">
        <v>481</v>
      </c>
      <c r="C132" s="14" t="s">
        <v>19</v>
      </c>
      <c r="D132" s="15">
        <v>423.0</v>
      </c>
      <c r="E132" s="15">
        <v>600193.0</v>
      </c>
      <c r="F132" s="14" t="s">
        <v>20</v>
      </c>
      <c r="G132" s="14" t="s">
        <v>488</v>
      </c>
      <c r="H132" s="14" t="s">
        <v>48</v>
      </c>
      <c r="I132" s="14" t="s">
        <v>50</v>
      </c>
      <c r="J132" s="14" t="s">
        <v>484</v>
      </c>
      <c r="K132" s="14" t="s">
        <v>485</v>
      </c>
      <c r="L132" s="5"/>
      <c r="M132" s="5"/>
      <c r="N132" s="5"/>
      <c r="O132" s="5"/>
      <c r="P132" s="5"/>
      <c r="Q132" s="5"/>
      <c r="R132" s="5"/>
      <c r="S132" s="5"/>
      <c r="T132" s="5"/>
      <c r="U132" s="5"/>
      <c r="V132" s="5"/>
      <c r="W132" s="5"/>
      <c r="X132" s="5"/>
      <c r="Y132" s="5"/>
      <c r="Z132" s="5"/>
    </row>
    <row r="133">
      <c r="A133" s="9" t="s">
        <v>38</v>
      </c>
      <c r="B133" s="9" t="s">
        <v>481</v>
      </c>
      <c r="C133" s="9" t="s">
        <v>19</v>
      </c>
      <c r="D133" s="11">
        <v>547.0</v>
      </c>
      <c r="E133" s="11">
        <v>600283.0</v>
      </c>
      <c r="F133" s="9" t="s">
        <v>20</v>
      </c>
      <c r="G133" s="9" t="s">
        <v>294</v>
      </c>
      <c r="H133" s="9" t="s">
        <v>48</v>
      </c>
      <c r="I133" s="9" t="s">
        <v>50</v>
      </c>
      <c r="J133" s="9" t="s">
        <v>25</v>
      </c>
      <c r="K133" s="9" t="s">
        <v>27</v>
      </c>
      <c r="L133" s="5"/>
      <c r="M133" s="5"/>
      <c r="N133" s="5"/>
      <c r="O133" s="5"/>
      <c r="P133" s="5"/>
      <c r="Q133" s="5"/>
      <c r="R133" s="5"/>
      <c r="S133" s="5"/>
      <c r="T133" s="5"/>
      <c r="U133" s="5"/>
      <c r="V133" s="5"/>
      <c r="W133" s="5"/>
      <c r="X133" s="5"/>
      <c r="Y133" s="5"/>
      <c r="Z133" s="5"/>
    </row>
    <row r="134">
      <c r="A134" s="14" t="s">
        <v>38</v>
      </c>
      <c r="B134" s="14" t="s">
        <v>481</v>
      </c>
      <c r="C134" s="14" t="s">
        <v>19</v>
      </c>
      <c r="D134" s="15">
        <v>442.0</v>
      </c>
      <c r="E134" s="15">
        <v>600227.0</v>
      </c>
      <c r="F134" s="14" t="s">
        <v>490</v>
      </c>
      <c r="G134" s="14" t="s">
        <v>491</v>
      </c>
      <c r="H134" s="14" t="s">
        <v>48</v>
      </c>
      <c r="I134" s="14" t="s">
        <v>50</v>
      </c>
      <c r="J134" s="14" t="s">
        <v>25</v>
      </c>
      <c r="K134" s="14" t="s">
        <v>27</v>
      </c>
      <c r="L134" s="5"/>
      <c r="M134" s="5"/>
      <c r="N134" s="5"/>
      <c r="O134" s="5"/>
      <c r="P134" s="5"/>
      <c r="Q134" s="5"/>
      <c r="R134" s="5"/>
      <c r="S134" s="5"/>
      <c r="T134" s="5"/>
      <c r="U134" s="5"/>
      <c r="V134" s="5"/>
      <c r="W134" s="5"/>
      <c r="X134" s="5"/>
      <c r="Y134" s="5"/>
      <c r="Z134" s="5"/>
    </row>
    <row r="135">
      <c r="A135" s="9" t="s">
        <v>38</v>
      </c>
      <c r="B135" s="9" t="s">
        <v>481</v>
      </c>
      <c r="C135" s="9" t="s">
        <v>19</v>
      </c>
      <c r="D135" s="11">
        <v>344.0</v>
      </c>
      <c r="E135" s="11">
        <v>600029.0</v>
      </c>
      <c r="F135" s="9" t="s">
        <v>496</v>
      </c>
      <c r="G135" s="9" t="s">
        <v>491</v>
      </c>
      <c r="H135" s="9" t="s">
        <v>48</v>
      </c>
      <c r="I135" s="9" t="s">
        <v>50</v>
      </c>
      <c r="J135" s="9" t="s">
        <v>25</v>
      </c>
      <c r="K135" s="9" t="s">
        <v>36</v>
      </c>
      <c r="L135" s="5"/>
      <c r="M135" s="5"/>
      <c r="N135" s="5"/>
      <c r="O135" s="5"/>
      <c r="P135" s="5"/>
      <c r="Q135" s="5"/>
      <c r="R135" s="5"/>
      <c r="S135" s="5"/>
      <c r="T135" s="5"/>
      <c r="U135" s="5"/>
      <c r="V135" s="5"/>
      <c r="W135" s="5"/>
      <c r="X135" s="5"/>
      <c r="Y135" s="5"/>
      <c r="Z135" s="5"/>
    </row>
    <row r="136">
      <c r="A136" s="14" t="s">
        <v>123</v>
      </c>
      <c r="B136" s="14" t="s">
        <v>498</v>
      </c>
      <c r="C136" s="14" t="s">
        <v>67</v>
      </c>
      <c r="D136" s="15" t="s">
        <v>20</v>
      </c>
      <c r="E136" s="15">
        <v>20148.0</v>
      </c>
      <c r="F136" s="14" t="s">
        <v>498</v>
      </c>
      <c r="G136" s="14" t="s">
        <v>501</v>
      </c>
      <c r="H136" s="14" t="s">
        <v>23</v>
      </c>
      <c r="I136" s="14" t="s">
        <v>24</v>
      </c>
      <c r="J136" s="14" t="s">
        <v>25</v>
      </c>
      <c r="K136" s="14" t="s">
        <v>67</v>
      </c>
      <c r="L136" s="5"/>
      <c r="M136" s="5"/>
      <c r="N136" s="5"/>
      <c r="O136" s="5"/>
      <c r="P136" s="5"/>
      <c r="Q136" s="5"/>
      <c r="R136" s="5"/>
      <c r="S136" s="5"/>
      <c r="T136" s="5"/>
      <c r="U136" s="5"/>
      <c r="V136" s="5"/>
      <c r="W136" s="5"/>
      <c r="X136" s="5"/>
      <c r="Y136" s="5"/>
      <c r="Z136" s="5"/>
    </row>
    <row r="137">
      <c r="A137" s="9" t="s">
        <v>123</v>
      </c>
      <c r="B137" s="9" t="s">
        <v>498</v>
      </c>
      <c r="C137" s="9" t="s">
        <v>19</v>
      </c>
      <c r="D137" s="11">
        <v>734.0</v>
      </c>
      <c r="E137" s="11">
        <v>600333.0</v>
      </c>
      <c r="F137" s="9" t="s">
        <v>503</v>
      </c>
      <c r="G137" s="9" t="s">
        <v>501</v>
      </c>
      <c r="H137" s="9" t="s">
        <v>48</v>
      </c>
      <c r="I137" s="9" t="s">
        <v>50</v>
      </c>
      <c r="J137" s="9" t="s">
        <v>25</v>
      </c>
      <c r="K137" s="9" t="s">
        <v>36</v>
      </c>
      <c r="L137" s="5"/>
      <c r="M137" s="5"/>
      <c r="N137" s="5"/>
      <c r="O137" s="5"/>
      <c r="P137" s="5"/>
      <c r="Q137" s="5"/>
      <c r="R137" s="5"/>
      <c r="S137" s="5"/>
      <c r="T137" s="5"/>
      <c r="U137" s="5"/>
      <c r="V137" s="5"/>
      <c r="W137" s="5"/>
      <c r="X137" s="5"/>
      <c r="Y137" s="5"/>
      <c r="Z137" s="5"/>
    </row>
    <row r="138">
      <c r="A138" s="18" t="s">
        <v>38</v>
      </c>
      <c r="B138" s="18" t="s">
        <v>504</v>
      </c>
      <c r="C138" s="18" t="s">
        <v>19</v>
      </c>
      <c r="D138" s="20" t="s">
        <v>20</v>
      </c>
      <c r="E138" s="20">
        <v>600374.0</v>
      </c>
      <c r="F138" s="18" t="s">
        <v>506</v>
      </c>
      <c r="G138" s="18" t="s">
        <v>504</v>
      </c>
      <c r="H138" s="18" t="s">
        <v>23</v>
      </c>
      <c r="I138" s="18" t="s">
        <v>24</v>
      </c>
      <c r="J138" s="18" t="s">
        <v>25</v>
      </c>
      <c r="K138" s="18" t="s">
        <v>62</v>
      </c>
      <c r="L138" s="5"/>
      <c r="M138" s="5"/>
      <c r="N138" s="5"/>
      <c r="O138" s="5"/>
      <c r="P138" s="5"/>
      <c r="Q138" s="5"/>
      <c r="R138" s="5"/>
      <c r="S138" s="5"/>
      <c r="T138" s="5"/>
      <c r="U138" s="5"/>
      <c r="V138" s="5"/>
      <c r="W138" s="5"/>
      <c r="X138" s="5"/>
      <c r="Y138" s="5"/>
      <c r="Z138" s="5"/>
    </row>
    <row r="139">
      <c r="A139" s="18" t="s">
        <v>38</v>
      </c>
      <c r="B139" s="18" t="s">
        <v>504</v>
      </c>
      <c r="C139" s="18" t="s">
        <v>19</v>
      </c>
      <c r="D139" s="20" t="s">
        <v>20</v>
      </c>
      <c r="E139" s="20">
        <v>10680.0</v>
      </c>
      <c r="F139" s="18" t="s">
        <v>504</v>
      </c>
      <c r="G139" s="18" t="s">
        <v>504</v>
      </c>
      <c r="H139" s="18" t="s">
        <v>23</v>
      </c>
      <c r="I139" s="18" t="s">
        <v>24</v>
      </c>
      <c r="J139" s="18" t="s">
        <v>25</v>
      </c>
      <c r="K139" s="18" t="s">
        <v>36</v>
      </c>
      <c r="L139" s="5"/>
      <c r="M139" s="5"/>
      <c r="N139" s="5"/>
      <c r="O139" s="5"/>
      <c r="P139" s="5"/>
      <c r="Q139" s="5"/>
      <c r="R139" s="5"/>
      <c r="S139" s="5"/>
      <c r="T139" s="5"/>
      <c r="U139" s="5"/>
      <c r="V139" s="5"/>
      <c r="W139" s="5"/>
      <c r="X139" s="5"/>
      <c r="Y139" s="5"/>
      <c r="Z139" s="5"/>
    </row>
    <row r="140">
      <c r="A140" s="14" t="s">
        <v>65</v>
      </c>
      <c r="B140" s="14" t="s">
        <v>510</v>
      </c>
      <c r="C140" s="14" t="s">
        <v>19</v>
      </c>
      <c r="D140" s="15" t="s">
        <v>20</v>
      </c>
      <c r="E140" s="15">
        <v>10592.0</v>
      </c>
      <c r="F140" s="14" t="s">
        <v>510</v>
      </c>
      <c r="G140" s="14" t="s">
        <v>510</v>
      </c>
      <c r="H140" s="14" t="s">
        <v>23</v>
      </c>
      <c r="I140" s="14" t="s">
        <v>77</v>
      </c>
      <c r="J140" s="14" t="s">
        <v>25</v>
      </c>
      <c r="K140" s="14" t="s">
        <v>27</v>
      </c>
      <c r="L140" s="5"/>
      <c r="M140" s="5"/>
      <c r="N140" s="5"/>
      <c r="O140" s="5"/>
      <c r="P140" s="5"/>
      <c r="Q140" s="5"/>
      <c r="R140" s="5"/>
      <c r="S140" s="5"/>
      <c r="T140" s="5"/>
      <c r="U140" s="5"/>
      <c r="V140" s="5"/>
      <c r="W140" s="5"/>
      <c r="X140" s="5"/>
      <c r="Y140" s="5"/>
      <c r="Z140" s="5"/>
    </row>
    <row r="141">
      <c r="A141" s="9" t="s">
        <v>123</v>
      </c>
      <c r="B141" s="9" t="s">
        <v>515</v>
      </c>
      <c r="C141" s="9" t="s">
        <v>19</v>
      </c>
      <c r="D141" s="11">
        <v>880.0</v>
      </c>
      <c r="E141" s="11">
        <v>10755.0</v>
      </c>
      <c r="F141" s="9" t="s">
        <v>518</v>
      </c>
      <c r="G141" s="9" t="s">
        <v>519</v>
      </c>
      <c r="H141" s="9" t="s">
        <v>48</v>
      </c>
      <c r="I141" s="9" t="s">
        <v>50</v>
      </c>
      <c r="J141" s="9" t="s">
        <v>25</v>
      </c>
      <c r="K141" s="9" t="s">
        <v>51</v>
      </c>
      <c r="L141" s="5"/>
      <c r="M141" s="5"/>
      <c r="N141" s="5"/>
      <c r="O141" s="5"/>
      <c r="P141" s="5"/>
      <c r="Q141" s="5"/>
      <c r="R141" s="5"/>
      <c r="S141" s="5"/>
      <c r="T141" s="5"/>
      <c r="U141" s="5"/>
      <c r="V141" s="5"/>
      <c r="W141" s="5"/>
      <c r="X141" s="5"/>
      <c r="Y141" s="5"/>
      <c r="Z141" s="5"/>
    </row>
    <row r="142">
      <c r="A142" s="14" t="s">
        <v>123</v>
      </c>
      <c r="B142" s="14" t="s">
        <v>515</v>
      </c>
      <c r="C142" s="14" t="s">
        <v>19</v>
      </c>
      <c r="D142" s="15" t="s">
        <v>20</v>
      </c>
      <c r="E142" s="15">
        <v>10729.0</v>
      </c>
      <c r="F142" s="14" t="s">
        <v>520</v>
      </c>
      <c r="G142" s="14" t="s">
        <v>519</v>
      </c>
      <c r="H142" s="14" t="s">
        <v>23</v>
      </c>
      <c r="I142" s="14" t="s">
        <v>24</v>
      </c>
      <c r="J142" s="14" t="s">
        <v>25</v>
      </c>
      <c r="K142" s="14" t="s">
        <v>27</v>
      </c>
      <c r="L142" s="5"/>
      <c r="M142" s="5"/>
      <c r="N142" s="5"/>
      <c r="O142" s="5"/>
      <c r="P142" s="5"/>
      <c r="Q142" s="5"/>
      <c r="R142" s="5"/>
      <c r="S142" s="5"/>
      <c r="T142" s="5"/>
      <c r="U142" s="5"/>
      <c r="V142" s="5"/>
      <c r="W142" s="5"/>
      <c r="X142" s="5"/>
      <c r="Y142" s="5"/>
      <c r="Z142" s="5"/>
    </row>
    <row r="143">
      <c r="A143" s="9" t="s">
        <v>123</v>
      </c>
      <c r="B143" s="9" t="s">
        <v>515</v>
      </c>
      <c r="C143" s="9" t="s">
        <v>19</v>
      </c>
      <c r="D143" s="11" t="s">
        <v>20</v>
      </c>
      <c r="E143" s="11">
        <v>10654.0</v>
      </c>
      <c r="F143" s="9" t="s">
        <v>521</v>
      </c>
      <c r="G143" s="9" t="s">
        <v>519</v>
      </c>
      <c r="H143" s="9" t="s">
        <v>23</v>
      </c>
      <c r="I143" s="9" t="s">
        <v>24</v>
      </c>
      <c r="J143" s="9" t="s">
        <v>25</v>
      </c>
      <c r="K143" s="9" t="s">
        <v>27</v>
      </c>
      <c r="L143" s="5"/>
      <c r="M143" s="5"/>
      <c r="N143" s="5"/>
      <c r="O143" s="5"/>
      <c r="P143" s="5"/>
      <c r="Q143" s="5"/>
      <c r="R143" s="5"/>
      <c r="S143" s="5"/>
      <c r="T143" s="5"/>
      <c r="U143" s="5"/>
      <c r="V143" s="5"/>
      <c r="W143" s="5"/>
      <c r="X143" s="5"/>
      <c r="Y143" s="5"/>
      <c r="Z143" s="5"/>
    </row>
    <row r="144">
      <c r="A144" s="14" t="s">
        <v>123</v>
      </c>
      <c r="B144" s="14" t="s">
        <v>515</v>
      </c>
      <c r="C144" s="14" t="s">
        <v>19</v>
      </c>
      <c r="D144" s="15" t="s">
        <v>20</v>
      </c>
      <c r="E144" s="15">
        <v>10586.0</v>
      </c>
      <c r="F144" s="14" t="s">
        <v>522</v>
      </c>
      <c r="G144" s="14" t="s">
        <v>519</v>
      </c>
      <c r="H144" s="14" t="s">
        <v>23</v>
      </c>
      <c r="I144" s="14" t="s">
        <v>24</v>
      </c>
      <c r="J144" s="14" t="s">
        <v>25</v>
      </c>
      <c r="K144" s="14" t="s">
        <v>27</v>
      </c>
      <c r="L144" s="5"/>
      <c r="M144" s="5"/>
      <c r="N144" s="5"/>
      <c r="O144" s="5"/>
      <c r="P144" s="5"/>
      <c r="Q144" s="5"/>
      <c r="R144" s="5"/>
      <c r="S144" s="5"/>
      <c r="T144" s="5"/>
      <c r="U144" s="5"/>
      <c r="V144" s="5"/>
      <c r="W144" s="5"/>
      <c r="X144" s="5"/>
      <c r="Y144" s="5"/>
      <c r="Z144" s="5"/>
    </row>
    <row r="145">
      <c r="A145" s="9" t="s">
        <v>123</v>
      </c>
      <c r="B145" s="9" t="s">
        <v>515</v>
      </c>
      <c r="C145" s="9" t="s">
        <v>19</v>
      </c>
      <c r="D145" s="11" t="s">
        <v>20</v>
      </c>
      <c r="E145" s="11">
        <v>10339.0</v>
      </c>
      <c r="F145" s="9" t="s">
        <v>515</v>
      </c>
      <c r="G145" s="9" t="s">
        <v>519</v>
      </c>
      <c r="H145" s="9" t="s">
        <v>23</v>
      </c>
      <c r="I145" s="9" t="s">
        <v>24</v>
      </c>
      <c r="J145" s="9" t="s">
        <v>25</v>
      </c>
      <c r="K145" s="9" t="s">
        <v>27</v>
      </c>
      <c r="L145" s="5"/>
      <c r="M145" s="5"/>
      <c r="N145" s="5"/>
      <c r="O145" s="5"/>
      <c r="P145" s="5"/>
      <c r="Q145" s="5"/>
      <c r="R145" s="5"/>
      <c r="S145" s="5"/>
      <c r="T145" s="5"/>
      <c r="U145" s="5"/>
      <c r="V145" s="5"/>
      <c r="W145" s="5"/>
      <c r="X145" s="5"/>
      <c r="Y145" s="5"/>
      <c r="Z145" s="5"/>
    </row>
    <row r="146">
      <c r="A146" s="14" t="s">
        <v>123</v>
      </c>
      <c r="B146" s="14" t="s">
        <v>515</v>
      </c>
      <c r="C146" s="14" t="s">
        <v>67</v>
      </c>
      <c r="D146" s="15">
        <v>664.0</v>
      </c>
      <c r="E146" s="15">
        <v>600434.0</v>
      </c>
      <c r="F146" s="14" t="s">
        <v>524</v>
      </c>
      <c r="G146" s="14" t="s">
        <v>526</v>
      </c>
      <c r="H146" s="14" t="s">
        <v>48</v>
      </c>
      <c r="I146" s="14" t="s">
        <v>50</v>
      </c>
      <c r="J146" s="14" t="s">
        <v>25</v>
      </c>
      <c r="K146" s="14" t="s">
        <v>67</v>
      </c>
      <c r="L146" s="5"/>
      <c r="M146" s="5"/>
      <c r="N146" s="5"/>
      <c r="O146" s="5"/>
      <c r="P146" s="5"/>
      <c r="Q146" s="5"/>
      <c r="R146" s="5"/>
      <c r="S146" s="5"/>
      <c r="T146" s="5"/>
      <c r="U146" s="5"/>
      <c r="V146" s="5"/>
      <c r="W146" s="5"/>
      <c r="X146" s="5"/>
      <c r="Y146" s="5"/>
      <c r="Z146" s="5"/>
    </row>
    <row r="147">
      <c r="A147" s="9" t="s">
        <v>123</v>
      </c>
      <c r="B147" s="9" t="s">
        <v>515</v>
      </c>
      <c r="C147" s="9" t="s">
        <v>67</v>
      </c>
      <c r="D147" s="11" t="s">
        <v>20</v>
      </c>
      <c r="E147" s="11">
        <v>20100.0</v>
      </c>
      <c r="F147" s="9" t="s">
        <v>529</v>
      </c>
      <c r="G147" s="9" t="s">
        <v>519</v>
      </c>
      <c r="H147" s="9" t="s">
        <v>23</v>
      </c>
      <c r="I147" s="9" t="s">
        <v>24</v>
      </c>
      <c r="J147" s="9" t="s">
        <v>25</v>
      </c>
      <c r="K147" s="9" t="s">
        <v>67</v>
      </c>
      <c r="L147" s="5"/>
      <c r="M147" s="5"/>
      <c r="N147" s="5"/>
      <c r="O147" s="5"/>
      <c r="P147" s="5"/>
      <c r="Q147" s="5"/>
      <c r="R147" s="5"/>
      <c r="S147" s="5"/>
      <c r="T147" s="5"/>
      <c r="U147" s="5"/>
      <c r="V147" s="5"/>
      <c r="W147" s="5"/>
      <c r="X147" s="5"/>
      <c r="Y147" s="5"/>
      <c r="Z147" s="5"/>
    </row>
    <row r="148">
      <c r="A148" s="14" t="s">
        <v>123</v>
      </c>
      <c r="B148" s="14" t="s">
        <v>515</v>
      </c>
      <c r="C148" s="14" t="s">
        <v>67</v>
      </c>
      <c r="D148" s="15" t="s">
        <v>20</v>
      </c>
      <c r="E148" s="15">
        <v>20021.0</v>
      </c>
      <c r="F148" s="14" t="s">
        <v>530</v>
      </c>
      <c r="G148" s="14" t="s">
        <v>519</v>
      </c>
      <c r="H148" s="14" t="s">
        <v>23</v>
      </c>
      <c r="I148" s="14" t="s">
        <v>24</v>
      </c>
      <c r="J148" s="14" t="s">
        <v>25</v>
      </c>
      <c r="K148" s="14" t="s">
        <v>67</v>
      </c>
      <c r="L148" s="5"/>
      <c r="M148" s="5"/>
      <c r="N148" s="5"/>
      <c r="O148" s="5"/>
      <c r="P148" s="5"/>
      <c r="Q148" s="5"/>
      <c r="R148" s="5"/>
      <c r="S148" s="5"/>
      <c r="T148" s="5"/>
      <c r="U148" s="5"/>
      <c r="V148" s="5"/>
      <c r="W148" s="5"/>
      <c r="X148" s="5"/>
      <c r="Y148" s="5"/>
      <c r="Z148" s="5"/>
    </row>
    <row r="149">
      <c r="A149" s="9" t="s">
        <v>123</v>
      </c>
      <c r="B149" s="9" t="s">
        <v>515</v>
      </c>
      <c r="C149" s="9" t="s">
        <v>67</v>
      </c>
      <c r="D149" s="11" t="s">
        <v>20</v>
      </c>
      <c r="E149" s="11">
        <v>10624.0</v>
      </c>
      <c r="F149" s="9" t="s">
        <v>531</v>
      </c>
      <c r="G149" s="9" t="s">
        <v>519</v>
      </c>
      <c r="H149" s="9" t="s">
        <v>23</v>
      </c>
      <c r="I149" s="9" t="s">
        <v>24</v>
      </c>
      <c r="J149" s="9" t="s">
        <v>25</v>
      </c>
      <c r="K149" s="9" t="s">
        <v>67</v>
      </c>
      <c r="L149" s="5"/>
      <c r="M149" s="5"/>
      <c r="N149" s="5"/>
      <c r="O149" s="5"/>
      <c r="P149" s="5"/>
      <c r="Q149" s="5"/>
      <c r="R149" s="5"/>
      <c r="S149" s="5"/>
      <c r="T149" s="5"/>
      <c r="U149" s="5"/>
      <c r="V149" s="5"/>
      <c r="W149" s="5"/>
      <c r="X149" s="5"/>
      <c r="Y149" s="5"/>
      <c r="Z149" s="5"/>
    </row>
    <row r="150">
      <c r="A150" s="14" t="s">
        <v>123</v>
      </c>
      <c r="B150" s="14" t="s">
        <v>515</v>
      </c>
      <c r="C150" s="14" t="s">
        <v>19</v>
      </c>
      <c r="D150" s="15">
        <v>576.0</v>
      </c>
      <c r="E150" s="15">
        <v>600312.0</v>
      </c>
      <c r="F150" s="14" t="s">
        <v>533</v>
      </c>
      <c r="G150" s="14" t="s">
        <v>519</v>
      </c>
      <c r="H150" s="14" t="s">
        <v>48</v>
      </c>
      <c r="I150" s="14" t="s">
        <v>50</v>
      </c>
      <c r="J150" s="14" t="s">
        <v>25</v>
      </c>
      <c r="K150" s="14" t="s">
        <v>36</v>
      </c>
      <c r="L150" s="5"/>
      <c r="M150" s="5"/>
      <c r="N150" s="5"/>
      <c r="O150" s="5"/>
      <c r="P150" s="5"/>
      <c r="Q150" s="5"/>
      <c r="R150" s="5"/>
      <c r="S150" s="5"/>
      <c r="T150" s="5"/>
      <c r="U150" s="5"/>
      <c r="V150" s="5"/>
      <c r="W150" s="5"/>
      <c r="X150" s="5"/>
      <c r="Y150" s="5"/>
      <c r="Z150" s="5"/>
    </row>
    <row r="151">
      <c r="A151" s="18" t="s">
        <v>123</v>
      </c>
      <c r="B151" s="18" t="s">
        <v>535</v>
      </c>
      <c r="C151" s="18" t="s">
        <v>19</v>
      </c>
      <c r="D151" s="20">
        <v>225.0</v>
      </c>
      <c r="E151" s="20">
        <v>600169.0</v>
      </c>
      <c r="F151" s="18" t="s">
        <v>536</v>
      </c>
      <c r="G151" s="18" t="s">
        <v>366</v>
      </c>
      <c r="H151" s="18" t="s">
        <v>48</v>
      </c>
      <c r="I151" s="18" t="s">
        <v>50</v>
      </c>
      <c r="J151" s="18" t="s">
        <v>25</v>
      </c>
      <c r="K151" s="18" t="s">
        <v>27</v>
      </c>
      <c r="L151" s="5"/>
      <c r="M151" s="5"/>
      <c r="N151" s="5"/>
      <c r="O151" s="5"/>
      <c r="P151" s="5"/>
      <c r="Q151" s="5"/>
      <c r="R151" s="5"/>
      <c r="S151" s="5"/>
      <c r="T151" s="5"/>
      <c r="U151" s="5"/>
      <c r="V151" s="5"/>
      <c r="W151" s="5"/>
      <c r="X151" s="5"/>
      <c r="Y151" s="5"/>
      <c r="Z151" s="5"/>
    </row>
    <row r="152">
      <c r="A152" s="18" t="s">
        <v>123</v>
      </c>
      <c r="B152" s="18" t="s">
        <v>535</v>
      </c>
      <c r="C152" s="18" t="s">
        <v>19</v>
      </c>
      <c r="D152" s="20" t="s">
        <v>20</v>
      </c>
      <c r="E152" s="20">
        <v>10803.0</v>
      </c>
      <c r="F152" s="18" t="s">
        <v>541</v>
      </c>
      <c r="G152" s="18" t="s">
        <v>366</v>
      </c>
      <c r="H152" s="18" t="s">
        <v>23</v>
      </c>
      <c r="I152" s="18" t="s">
        <v>24</v>
      </c>
      <c r="J152" s="18" t="s">
        <v>25</v>
      </c>
      <c r="K152" s="18" t="s">
        <v>36</v>
      </c>
      <c r="L152" s="5"/>
      <c r="M152" s="5"/>
      <c r="N152" s="5"/>
      <c r="O152" s="5"/>
      <c r="P152" s="5"/>
      <c r="Q152" s="5"/>
      <c r="R152" s="5"/>
      <c r="S152" s="5"/>
      <c r="T152" s="5"/>
      <c r="U152" s="5"/>
      <c r="V152" s="5"/>
      <c r="W152" s="5"/>
      <c r="X152" s="5"/>
      <c r="Y152" s="5"/>
      <c r="Z152" s="5"/>
    </row>
    <row r="153">
      <c r="A153" s="18" t="s">
        <v>38</v>
      </c>
      <c r="B153" s="18" t="s">
        <v>542</v>
      </c>
      <c r="C153" s="18" t="s">
        <v>19</v>
      </c>
      <c r="D153" s="20">
        <v>572.0</v>
      </c>
      <c r="E153" s="20">
        <v>600309.0</v>
      </c>
      <c r="F153" s="18" t="s">
        <v>543</v>
      </c>
      <c r="G153" s="18" t="s">
        <v>544</v>
      </c>
      <c r="H153" s="18" t="s">
        <v>48</v>
      </c>
      <c r="I153" s="18" t="s">
        <v>50</v>
      </c>
      <c r="J153" s="18" t="s">
        <v>25</v>
      </c>
      <c r="K153" s="18" t="s">
        <v>51</v>
      </c>
      <c r="L153" s="5"/>
      <c r="M153" s="5"/>
      <c r="N153" s="5"/>
      <c r="O153" s="5"/>
      <c r="P153" s="5"/>
      <c r="Q153" s="5"/>
      <c r="R153" s="5"/>
      <c r="S153" s="5"/>
      <c r="T153" s="5"/>
      <c r="U153" s="5"/>
      <c r="V153" s="5"/>
      <c r="W153" s="5"/>
      <c r="X153" s="5"/>
      <c r="Y153" s="5"/>
      <c r="Z153" s="5"/>
    </row>
    <row r="154">
      <c r="A154" s="18" t="s">
        <v>38</v>
      </c>
      <c r="B154" s="18" t="s">
        <v>542</v>
      </c>
      <c r="C154" s="18" t="s">
        <v>19</v>
      </c>
      <c r="D154" s="20" t="s">
        <v>20</v>
      </c>
      <c r="E154" s="20">
        <v>10674.0</v>
      </c>
      <c r="F154" s="18" t="s">
        <v>542</v>
      </c>
      <c r="G154" s="18" t="s">
        <v>544</v>
      </c>
      <c r="H154" s="18" t="s">
        <v>23</v>
      </c>
      <c r="I154" s="18" t="s">
        <v>24</v>
      </c>
      <c r="J154" s="18" t="s">
        <v>25</v>
      </c>
      <c r="K154" s="18" t="s">
        <v>27</v>
      </c>
      <c r="L154" s="5"/>
      <c r="M154" s="5"/>
      <c r="N154" s="5"/>
      <c r="O154" s="5"/>
      <c r="P154" s="5"/>
      <c r="Q154" s="5"/>
      <c r="R154" s="5"/>
      <c r="S154" s="5"/>
      <c r="T154" s="5"/>
      <c r="U154" s="5"/>
      <c r="V154" s="5"/>
      <c r="W154" s="5"/>
      <c r="X154" s="5"/>
      <c r="Y154" s="5"/>
      <c r="Z154" s="5"/>
    </row>
    <row r="155">
      <c r="A155" s="18" t="s">
        <v>38</v>
      </c>
      <c r="B155" s="18" t="s">
        <v>542</v>
      </c>
      <c r="C155" s="18" t="s">
        <v>19</v>
      </c>
      <c r="D155" s="20" t="s">
        <v>20</v>
      </c>
      <c r="E155" s="20">
        <v>600016.0</v>
      </c>
      <c r="F155" s="18" t="s">
        <v>545</v>
      </c>
      <c r="G155" s="18" t="s">
        <v>544</v>
      </c>
      <c r="H155" s="18" t="s">
        <v>23</v>
      </c>
      <c r="I155" s="18" t="s">
        <v>24</v>
      </c>
      <c r="J155" s="18" t="s">
        <v>25</v>
      </c>
      <c r="K155" s="18" t="s">
        <v>36</v>
      </c>
      <c r="L155" s="5"/>
      <c r="M155" s="5"/>
      <c r="N155" s="5"/>
      <c r="O155" s="5"/>
      <c r="P155" s="5"/>
      <c r="Q155" s="5"/>
      <c r="R155" s="5"/>
      <c r="S155" s="5"/>
      <c r="T155" s="5"/>
      <c r="U155" s="5"/>
      <c r="V155" s="5"/>
      <c r="W155" s="5"/>
      <c r="X155" s="5"/>
      <c r="Y155" s="5"/>
      <c r="Z155" s="5"/>
    </row>
    <row r="156">
      <c r="A156" s="9" t="s">
        <v>38</v>
      </c>
      <c r="B156" s="9" t="s">
        <v>549</v>
      </c>
      <c r="C156" s="9" t="s">
        <v>19</v>
      </c>
      <c r="D156" s="11" t="s">
        <v>20</v>
      </c>
      <c r="E156" s="11">
        <v>10548.0</v>
      </c>
      <c r="F156" s="9" t="s">
        <v>549</v>
      </c>
      <c r="G156" s="9" t="s">
        <v>549</v>
      </c>
      <c r="H156" s="9" t="s">
        <v>23</v>
      </c>
      <c r="I156" s="9" t="s">
        <v>77</v>
      </c>
      <c r="J156" s="9" t="s">
        <v>25</v>
      </c>
      <c r="K156" s="9" t="s">
        <v>36</v>
      </c>
      <c r="L156" s="5"/>
      <c r="M156" s="5"/>
      <c r="N156" s="5"/>
      <c r="O156" s="5"/>
      <c r="P156" s="5"/>
      <c r="Q156" s="5"/>
      <c r="R156" s="5"/>
      <c r="S156" s="5"/>
      <c r="T156" s="5"/>
      <c r="U156" s="5"/>
      <c r="V156" s="5"/>
      <c r="W156" s="5"/>
      <c r="X156" s="5"/>
      <c r="Y156" s="5"/>
      <c r="Z156" s="5"/>
    </row>
    <row r="157">
      <c r="A157" s="14" t="s">
        <v>65</v>
      </c>
      <c r="B157" s="14" t="s">
        <v>554</v>
      </c>
      <c r="C157" s="14" t="s">
        <v>19</v>
      </c>
      <c r="D157" s="15" t="s">
        <v>20</v>
      </c>
      <c r="E157" s="15">
        <v>600005.0</v>
      </c>
      <c r="F157" s="14" t="s">
        <v>556</v>
      </c>
      <c r="G157" s="14" t="s">
        <v>558</v>
      </c>
      <c r="H157" s="14" t="s">
        <v>23</v>
      </c>
      <c r="I157" s="14" t="s">
        <v>24</v>
      </c>
      <c r="J157" s="14" t="s">
        <v>25</v>
      </c>
      <c r="K157" s="14" t="s">
        <v>62</v>
      </c>
      <c r="L157" s="5"/>
      <c r="M157" s="5"/>
      <c r="N157" s="5"/>
      <c r="O157" s="5"/>
      <c r="P157" s="5"/>
      <c r="Q157" s="5"/>
      <c r="R157" s="5"/>
      <c r="S157" s="5"/>
      <c r="T157" s="5"/>
      <c r="U157" s="5"/>
      <c r="V157" s="5"/>
      <c r="W157" s="5"/>
      <c r="X157" s="5"/>
      <c r="Y157" s="5"/>
      <c r="Z157" s="5"/>
    </row>
    <row r="158">
      <c r="A158" s="9" t="s">
        <v>65</v>
      </c>
      <c r="B158" s="9" t="s">
        <v>554</v>
      </c>
      <c r="C158" s="9" t="s">
        <v>19</v>
      </c>
      <c r="D158" s="11" t="s">
        <v>20</v>
      </c>
      <c r="E158" s="11">
        <v>600007.0</v>
      </c>
      <c r="F158" s="9" t="s">
        <v>560</v>
      </c>
      <c r="G158" s="9" t="s">
        <v>558</v>
      </c>
      <c r="H158" s="9" t="s">
        <v>23</v>
      </c>
      <c r="I158" s="9" t="s">
        <v>24</v>
      </c>
      <c r="J158" s="9" t="s">
        <v>25</v>
      </c>
      <c r="K158" s="9" t="s">
        <v>27</v>
      </c>
      <c r="L158" s="5"/>
      <c r="M158" s="5"/>
      <c r="N158" s="5"/>
      <c r="O158" s="5"/>
      <c r="P158" s="5"/>
      <c r="Q158" s="5"/>
      <c r="R158" s="5"/>
      <c r="S158" s="5"/>
      <c r="T158" s="5"/>
      <c r="U158" s="5"/>
      <c r="V158" s="5"/>
      <c r="W158" s="5"/>
      <c r="X158" s="5"/>
      <c r="Y158" s="5"/>
      <c r="Z158" s="5"/>
    </row>
    <row r="159">
      <c r="A159" s="14" t="s">
        <v>65</v>
      </c>
      <c r="B159" s="14" t="s">
        <v>554</v>
      </c>
      <c r="C159" s="14" t="s">
        <v>19</v>
      </c>
      <c r="D159" s="15" t="s">
        <v>20</v>
      </c>
      <c r="E159" s="15">
        <v>600006.0</v>
      </c>
      <c r="F159" s="14" t="s">
        <v>561</v>
      </c>
      <c r="G159" s="14" t="s">
        <v>558</v>
      </c>
      <c r="H159" s="14" t="s">
        <v>23</v>
      </c>
      <c r="I159" s="14" t="s">
        <v>24</v>
      </c>
      <c r="J159" s="14" t="s">
        <v>25</v>
      </c>
      <c r="K159" s="14" t="s">
        <v>27</v>
      </c>
      <c r="L159" s="5"/>
      <c r="M159" s="5"/>
      <c r="N159" s="5"/>
      <c r="O159" s="5"/>
      <c r="P159" s="5"/>
      <c r="Q159" s="5"/>
      <c r="R159" s="5"/>
      <c r="S159" s="5"/>
      <c r="T159" s="5"/>
      <c r="U159" s="5"/>
      <c r="V159" s="5"/>
      <c r="W159" s="5"/>
      <c r="X159" s="5"/>
      <c r="Y159" s="5"/>
      <c r="Z159" s="5"/>
    </row>
    <row r="160">
      <c r="A160" s="9" t="s">
        <v>65</v>
      </c>
      <c r="B160" s="9" t="s">
        <v>554</v>
      </c>
      <c r="C160" s="9" t="s">
        <v>19</v>
      </c>
      <c r="D160" s="11" t="s">
        <v>20</v>
      </c>
      <c r="E160" s="11">
        <v>11336.0</v>
      </c>
      <c r="F160" s="9" t="s">
        <v>562</v>
      </c>
      <c r="G160" s="9" t="s">
        <v>558</v>
      </c>
      <c r="H160" s="9" t="s">
        <v>23</v>
      </c>
      <c r="I160" s="9" t="s">
        <v>24</v>
      </c>
      <c r="J160" s="9" t="s">
        <v>25</v>
      </c>
      <c r="K160" s="9" t="s">
        <v>27</v>
      </c>
      <c r="L160" s="5"/>
      <c r="M160" s="5"/>
      <c r="N160" s="5"/>
      <c r="O160" s="5"/>
      <c r="P160" s="5"/>
      <c r="Q160" s="5"/>
      <c r="R160" s="5"/>
      <c r="S160" s="5"/>
      <c r="T160" s="5"/>
      <c r="U160" s="5"/>
      <c r="V160" s="5"/>
      <c r="W160" s="5"/>
      <c r="X160" s="5"/>
      <c r="Y160" s="5"/>
      <c r="Z160" s="5"/>
    </row>
    <row r="161">
      <c r="A161" s="14" t="s">
        <v>65</v>
      </c>
      <c r="B161" s="14" t="s">
        <v>554</v>
      </c>
      <c r="C161" s="14" t="s">
        <v>19</v>
      </c>
      <c r="D161" s="15" t="s">
        <v>20</v>
      </c>
      <c r="E161" s="15">
        <v>10493.0</v>
      </c>
      <c r="F161" s="14" t="s">
        <v>554</v>
      </c>
      <c r="G161" s="14" t="s">
        <v>558</v>
      </c>
      <c r="H161" s="14" t="s">
        <v>23</v>
      </c>
      <c r="I161" s="14" t="s">
        <v>24</v>
      </c>
      <c r="J161" s="14" t="s">
        <v>25</v>
      </c>
      <c r="K161" s="14" t="s">
        <v>36</v>
      </c>
      <c r="L161" s="5"/>
      <c r="M161" s="5"/>
      <c r="N161" s="5"/>
      <c r="O161" s="5"/>
      <c r="P161" s="5"/>
      <c r="Q161" s="5"/>
      <c r="R161" s="5"/>
      <c r="S161" s="5"/>
      <c r="T161" s="5"/>
      <c r="U161" s="5"/>
      <c r="V161" s="5"/>
      <c r="W161" s="5"/>
      <c r="X161" s="5"/>
      <c r="Y161" s="5"/>
      <c r="Z161" s="5"/>
    </row>
    <row r="162">
      <c r="A162" s="9" t="s">
        <v>123</v>
      </c>
      <c r="B162" s="9" t="s">
        <v>566</v>
      </c>
      <c r="C162" s="9" t="s">
        <v>19</v>
      </c>
      <c r="D162" s="11" t="s">
        <v>20</v>
      </c>
      <c r="E162" s="11">
        <v>11204.0</v>
      </c>
      <c r="F162" s="9" t="s">
        <v>567</v>
      </c>
      <c r="G162" s="9" t="s">
        <v>568</v>
      </c>
      <c r="H162" s="9" t="s">
        <v>23</v>
      </c>
      <c r="I162" s="9" t="s">
        <v>24</v>
      </c>
      <c r="J162" s="9" t="s">
        <v>25</v>
      </c>
      <c r="K162" s="9" t="s">
        <v>62</v>
      </c>
      <c r="L162" s="5"/>
      <c r="M162" s="5"/>
      <c r="N162" s="5"/>
      <c r="O162" s="5"/>
      <c r="P162" s="5"/>
      <c r="Q162" s="5"/>
      <c r="R162" s="5"/>
      <c r="S162" s="5"/>
      <c r="T162" s="5"/>
      <c r="U162" s="5"/>
      <c r="V162" s="5"/>
      <c r="W162" s="5"/>
      <c r="X162" s="5"/>
      <c r="Y162" s="5"/>
      <c r="Z162" s="5"/>
    </row>
    <row r="163">
      <c r="A163" s="14" t="s">
        <v>123</v>
      </c>
      <c r="B163" s="14" t="s">
        <v>569</v>
      </c>
      <c r="C163" s="14" t="s">
        <v>19</v>
      </c>
      <c r="D163" s="15" t="s">
        <v>20</v>
      </c>
      <c r="E163" s="15">
        <v>10753.0</v>
      </c>
      <c r="F163" s="14" t="s">
        <v>570</v>
      </c>
      <c r="G163" s="14" t="s">
        <v>568</v>
      </c>
      <c r="H163" s="14" t="s">
        <v>23</v>
      </c>
      <c r="I163" s="14" t="s">
        <v>24</v>
      </c>
      <c r="J163" s="14" t="s">
        <v>25</v>
      </c>
      <c r="K163" s="14" t="s">
        <v>27</v>
      </c>
      <c r="L163" s="5"/>
      <c r="M163" s="5"/>
      <c r="N163" s="5"/>
      <c r="O163" s="5"/>
      <c r="P163" s="5"/>
      <c r="Q163" s="5"/>
      <c r="R163" s="5"/>
      <c r="S163" s="5"/>
      <c r="T163" s="5"/>
      <c r="U163" s="5"/>
      <c r="V163" s="5"/>
      <c r="W163" s="5"/>
      <c r="X163" s="5"/>
      <c r="Y163" s="5"/>
      <c r="Z163" s="5"/>
    </row>
    <row r="164">
      <c r="A164" s="9" t="s">
        <v>123</v>
      </c>
      <c r="B164" s="9" t="s">
        <v>569</v>
      </c>
      <c r="C164" s="9" t="s">
        <v>19</v>
      </c>
      <c r="D164" s="11" t="s">
        <v>20</v>
      </c>
      <c r="E164" s="11">
        <v>10498.0</v>
      </c>
      <c r="F164" s="9" t="s">
        <v>569</v>
      </c>
      <c r="G164" s="9" t="s">
        <v>568</v>
      </c>
      <c r="H164" s="9" t="s">
        <v>23</v>
      </c>
      <c r="I164" s="9" t="s">
        <v>24</v>
      </c>
      <c r="J164" s="9" t="s">
        <v>25</v>
      </c>
      <c r="K164" s="9" t="s">
        <v>27</v>
      </c>
      <c r="L164" s="5"/>
      <c r="M164" s="5"/>
      <c r="N164" s="5"/>
      <c r="O164" s="5"/>
      <c r="P164" s="5"/>
      <c r="Q164" s="5"/>
      <c r="R164" s="5"/>
      <c r="S164" s="5"/>
      <c r="T164" s="5"/>
      <c r="U164" s="5"/>
      <c r="V164" s="5"/>
      <c r="W164" s="5"/>
      <c r="X164" s="5"/>
      <c r="Y164" s="5"/>
      <c r="Z164" s="5"/>
    </row>
    <row r="165">
      <c r="A165" s="14" t="s">
        <v>123</v>
      </c>
      <c r="B165" s="14" t="s">
        <v>566</v>
      </c>
      <c r="C165" s="14" t="s">
        <v>19</v>
      </c>
      <c r="D165" s="15">
        <v>631.0</v>
      </c>
      <c r="E165" s="15">
        <v>600383.0</v>
      </c>
      <c r="F165" s="14" t="s">
        <v>577</v>
      </c>
      <c r="G165" s="14" t="s">
        <v>568</v>
      </c>
      <c r="H165" s="14" t="s">
        <v>48</v>
      </c>
      <c r="I165" s="14" t="s">
        <v>50</v>
      </c>
      <c r="J165" s="14" t="s">
        <v>578</v>
      </c>
      <c r="K165" s="14" t="s">
        <v>36</v>
      </c>
      <c r="L165" s="5"/>
      <c r="M165" s="5"/>
      <c r="N165" s="5"/>
      <c r="O165" s="5"/>
      <c r="P165" s="5"/>
      <c r="Q165" s="5"/>
      <c r="R165" s="5"/>
      <c r="S165" s="5"/>
      <c r="T165" s="5"/>
      <c r="U165" s="5"/>
      <c r="V165" s="5"/>
      <c r="W165" s="5"/>
      <c r="X165" s="5"/>
      <c r="Y165" s="5"/>
      <c r="Z165" s="5"/>
    </row>
    <row r="166">
      <c r="A166" s="9" t="s">
        <v>65</v>
      </c>
      <c r="B166" s="9" t="s">
        <v>579</v>
      </c>
      <c r="C166" s="9" t="s">
        <v>19</v>
      </c>
      <c r="D166" s="11" t="s">
        <v>20</v>
      </c>
      <c r="E166" s="11">
        <v>600398.0</v>
      </c>
      <c r="F166" s="9" t="s">
        <v>580</v>
      </c>
      <c r="G166" s="9" t="s">
        <v>581</v>
      </c>
      <c r="H166" s="9" t="s">
        <v>23</v>
      </c>
      <c r="I166" s="9" t="s">
        <v>77</v>
      </c>
      <c r="J166" s="9" t="s">
        <v>25</v>
      </c>
      <c r="K166" s="9" t="s">
        <v>27</v>
      </c>
      <c r="L166" s="5"/>
      <c r="M166" s="5"/>
      <c r="N166" s="5"/>
      <c r="O166" s="5"/>
      <c r="P166" s="5"/>
      <c r="Q166" s="5"/>
      <c r="R166" s="5"/>
      <c r="S166" s="5"/>
      <c r="T166" s="5"/>
      <c r="U166" s="5"/>
      <c r="V166" s="5"/>
      <c r="W166" s="5"/>
      <c r="X166" s="5"/>
      <c r="Y166" s="5"/>
      <c r="Z166" s="5"/>
    </row>
    <row r="167">
      <c r="A167" s="14" t="s">
        <v>65</v>
      </c>
      <c r="B167" s="14" t="s">
        <v>579</v>
      </c>
      <c r="C167" s="14" t="s">
        <v>19</v>
      </c>
      <c r="D167" s="15" t="s">
        <v>20</v>
      </c>
      <c r="E167" s="15">
        <v>10810.0</v>
      </c>
      <c r="F167" s="14" t="s">
        <v>579</v>
      </c>
      <c r="G167" s="14" t="s">
        <v>581</v>
      </c>
      <c r="H167" s="14" t="s">
        <v>23</v>
      </c>
      <c r="I167" s="14" t="s">
        <v>77</v>
      </c>
      <c r="J167" s="14" t="s">
        <v>25</v>
      </c>
      <c r="K167" s="14" t="s">
        <v>36</v>
      </c>
      <c r="L167" s="5"/>
      <c r="M167" s="5"/>
      <c r="N167" s="5"/>
      <c r="O167" s="5"/>
      <c r="P167" s="5"/>
      <c r="Q167" s="5"/>
      <c r="R167" s="5"/>
      <c r="S167" s="5"/>
      <c r="T167" s="5"/>
      <c r="U167" s="5"/>
      <c r="V167" s="5"/>
      <c r="W167" s="5"/>
      <c r="X167" s="5"/>
      <c r="Y167" s="5"/>
      <c r="Z167" s="5"/>
    </row>
    <row r="168">
      <c r="A168" s="9" t="s">
        <v>65</v>
      </c>
      <c r="B168" s="9" t="s">
        <v>583</v>
      </c>
      <c r="C168" s="9" t="s">
        <v>19</v>
      </c>
      <c r="D168" s="11" t="s">
        <v>20</v>
      </c>
      <c r="E168" s="11">
        <v>600027.0</v>
      </c>
      <c r="F168" s="9" t="s">
        <v>584</v>
      </c>
      <c r="G168" s="9" t="s">
        <v>583</v>
      </c>
      <c r="H168" s="9" t="s">
        <v>23</v>
      </c>
      <c r="I168" s="9" t="s">
        <v>77</v>
      </c>
      <c r="J168" s="9" t="s">
        <v>25</v>
      </c>
      <c r="K168" s="9" t="s">
        <v>27</v>
      </c>
      <c r="L168" s="5"/>
      <c r="M168" s="5"/>
      <c r="N168" s="5"/>
      <c r="O168" s="5"/>
      <c r="P168" s="5"/>
      <c r="Q168" s="5"/>
      <c r="R168" s="5"/>
      <c r="S168" s="5"/>
      <c r="T168" s="5"/>
      <c r="U168" s="5"/>
      <c r="V168" s="5"/>
      <c r="W168" s="5"/>
      <c r="X168" s="5"/>
      <c r="Y168" s="5"/>
      <c r="Z168" s="5"/>
    </row>
    <row r="169">
      <c r="A169" s="9" t="s">
        <v>38</v>
      </c>
      <c r="B169" s="9" t="s">
        <v>587</v>
      </c>
      <c r="C169" s="9" t="s">
        <v>19</v>
      </c>
      <c r="D169" s="11" t="s">
        <v>20</v>
      </c>
      <c r="E169" s="11">
        <v>600589.0</v>
      </c>
      <c r="F169" s="9" t="s">
        <v>589</v>
      </c>
      <c r="G169" s="9" t="s">
        <v>591</v>
      </c>
      <c r="H169" s="9" t="s">
        <v>23</v>
      </c>
      <c r="I169" s="9" t="s">
        <v>24</v>
      </c>
      <c r="J169" s="9" t="s">
        <v>25</v>
      </c>
      <c r="K169" s="9" t="s">
        <v>51</v>
      </c>
      <c r="L169" s="5"/>
      <c r="M169" s="5"/>
      <c r="N169" s="5"/>
      <c r="O169" s="5"/>
      <c r="P169" s="5"/>
      <c r="Q169" s="5"/>
      <c r="R169" s="5"/>
      <c r="S169" s="5"/>
      <c r="T169" s="5"/>
      <c r="U169" s="5"/>
      <c r="V169" s="5"/>
      <c r="W169" s="5"/>
      <c r="X169" s="5"/>
      <c r="Y169" s="5"/>
      <c r="Z169" s="5"/>
    </row>
    <row r="170">
      <c r="A170" s="14" t="s">
        <v>38</v>
      </c>
      <c r="B170" s="14" t="s">
        <v>587</v>
      </c>
      <c r="C170" s="14" t="s">
        <v>19</v>
      </c>
      <c r="D170" s="15" t="s">
        <v>20</v>
      </c>
      <c r="E170" s="15">
        <v>600590.0</v>
      </c>
      <c r="F170" s="14" t="s">
        <v>594</v>
      </c>
      <c r="G170" s="14" t="s">
        <v>591</v>
      </c>
      <c r="H170" s="14" t="s">
        <v>23</v>
      </c>
      <c r="I170" s="14" t="s">
        <v>24</v>
      </c>
      <c r="J170" s="14" t="s">
        <v>25</v>
      </c>
      <c r="K170" s="14" t="s">
        <v>27</v>
      </c>
      <c r="L170" s="5"/>
      <c r="M170" s="5"/>
      <c r="N170" s="5"/>
      <c r="O170" s="5"/>
      <c r="P170" s="5"/>
      <c r="Q170" s="5"/>
      <c r="R170" s="5"/>
      <c r="S170" s="5"/>
      <c r="T170" s="5"/>
      <c r="U170" s="5"/>
      <c r="V170" s="5"/>
      <c r="W170" s="5"/>
      <c r="X170" s="5"/>
      <c r="Y170" s="5"/>
      <c r="Z170" s="5"/>
    </row>
    <row r="171">
      <c r="A171" s="9" t="s">
        <v>38</v>
      </c>
      <c r="B171" s="9" t="s">
        <v>587</v>
      </c>
      <c r="C171" s="9" t="s">
        <v>19</v>
      </c>
      <c r="D171" s="11" t="s">
        <v>20</v>
      </c>
      <c r="E171" s="11">
        <v>10781.0</v>
      </c>
      <c r="F171" s="9" t="s">
        <v>587</v>
      </c>
      <c r="G171" s="9" t="s">
        <v>591</v>
      </c>
      <c r="H171" s="9" t="s">
        <v>23</v>
      </c>
      <c r="I171" s="9" t="s">
        <v>24</v>
      </c>
      <c r="J171" s="9" t="s">
        <v>596</v>
      </c>
      <c r="K171" s="9" t="s">
        <v>36</v>
      </c>
      <c r="L171" s="5"/>
      <c r="M171" s="5"/>
      <c r="N171" s="5"/>
      <c r="O171" s="5"/>
      <c r="P171" s="5"/>
      <c r="Q171" s="5"/>
      <c r="R171" s="5"/>
      <c r="S171" s="5"/>
      <c r="T171" s="5"/>
      <c r="U171" s="5"/>
      <c r="V171" s="5"/>
      <c r="W171" s="5"/>
      <c r="X171" s="5"/>
      <c r="Y171" s="5"/>
      <c r="Z171" s="5"/>
    </row>
    <row r="172">
      <c r="A172" s="14" t="s">
        <v>123</v>
      </c>
      <c r="B172" s="14" t="s">
        <v>598</v>
      </c>
      <c r="C172" s="14" t="s">
        <v>67</v>
      </c>
      <c r="D172" s="15">
        <v>905.0</v>
      </c>
      <c r="E172" s="15">
        <v>600717.0</v>
      </c>
      <c r="F172" s="14" t="s">
        <v>600</v>
      </c>
      <c r="G172" s="14" t="s">
        <v>601</v>
      </c>
      <c r="H172" s="14" t="s">
        <v>48</v>
      </c>
      <c r="I172" s="14" t="s">
        <v>50</v>
      </c>
      <c r="J172" s="14" t="s">
        <v>25</v>
      </c>
      <c r="K172" s="14" t="s">
        <v>67</v>
      </c>
      <c r="L172" s="5"/>
      <c r="M172" s="5"/>
      <c r="N172" s="5"/>
      <c r="O172" s="5"/>
      <c r="P172" s="5"/>
      <c r="Q172" s="5"/>
      <c r="R172" s="5"/>
      <c r="S172" s="5"/>
      <c r="T172" s="5"/>
      <c r="U172" s="5"/>
      <c r="V172" s="5"/>
      <c r="W172" s="5"/>
      <c r="X172" s="5"/>
      <c r="Y172" s="5"/>
      <c r="Z172" s="5"/>
    </row>
    <row r="173">
      <c r="A173" s="18" t="s">
        <v>123</v>
      </c>
      <c r="B173" s="18" t="s">
        <v>604</v>
      </c>
      <c r="C173" s="18" t="s">
        <v>67</v>
      </c>
      <c r="D173" s="20">
        <v>876.0</v>
      </c>
      <c r="E173" s="20">
        <v>600683.0</v>
      </c>
      <c r="F173" s="18" t="s">
        <v>605</v>
      </c>
      <c r="G173" s="18" t="s">
        <v>606</v>
      </c>
      <c r="H173" s="18" t="s">
        <v>48</v>
      </c>
      <c r="I173" s="18" t="s">
        <v>50</v>
      </c>
      <c r="J173" s="18" t="s">
        <v>105</v>
      </c>
      <c r="K173" s="18" t="s">
        <v>67</v>
      </c>
      <c r="L173" s="5"/>
      <c r="M173" s="5"/>
      <c r="N173" s="5"/>
      <c r="O173" s="5"/>
      <c r="P173" s="5"/>
      <c r="Q173" s="5"/>
      <c r="R173" s="5"/>
      <c r="S173" s="5"/>
      <c r="T173" s="5"/>
      <c r="U173" s="5"/>
      <c r="V173" s="5"/>
      <c r="W173" s="5"/>
      <c r="X173" s="5"/>
      <c r="Y173" s="5"/>
      <c r="Z173" s="5"/>
    </row>
    <row r="174">
      <c r="A174" s="9" t="s">
        <v>123</v>
      </c>
      <c r="B174" s="9" t="s">
        <v>607</v>
      </c>
      <c r="C174" s="9" t="s">
        <v>67</v>
      </c>
      <c r="D174" s="11" t="s">
        <v>20</v>
      </c>
      <c r="E174" s="11">
        <v>600426.0</v>
      </c>
      <c r="F174" s="9" t="s">
        <v>609</v>
      </c>
      <c r="G174" s="9" t="s">
        <v>610</v>
      </c>
      <c r="H174" s="9" t="s">
        <v>23</v>
      </c>
      <c r="I174" s="9" t="s">
        <v>20</v>
      </c>
      <c r="J174" s="9" t="s">
        <v>25</v>
      </c>
      <c r="K174" s="9" t="s">
        <v>67</v>
      </c>
      <c r="L174" s="5"/>
      <c r="M174" s="5"/>
      <c r="N174" s="5"/>
      <c r="O174" s="5"/>
      <c r="P174" s="5"/>
      <c r="Q174" s="5"/>
      <c r="R174" s="5"/>
      <c r="S174" s="5"/>
      <c r="T174" s="5"/>
      <c r="U174" s="5"/>
      <c r="V174" s="5"/>
      <c r="W174" s="5"/>
      <c r="X174" s="5"/>
      <c r="Y174" s="5"/>
      <c r="Z174" s="5"/>
    </row>
    <row r="175">
      <c r="A175" s="14" t="s">
        <v>123</v>
      </c>
      <c r="B175" s="14" t="s">
        <v>607</v>
      </c>
      <c r="C175" s="14" t="s">
        <v>67</v>
      </c>
      <c r="D175" s="15" t="s">
        <v>20</v>
      </c>
      <c r="E175" s="15">
        <v>600378.0</v>
      </c>
      <c r="F175" s="14" t="s">
        <v>613</v>
      </c>
      <c r="G175" s="14" t="s">
        <v>610</v>
      </c>
      <c r="H175" s="14" t="s">
        <v>23</v>
      </c>
      <c r="I175" s="14" t="s">
        <v>20</v>
      </c>
      <c r="J175" s="14" t="s">
        <v>25</v>
      </c>
      <c r="K175" s="14" t="s">
        <v>67</v>
      </c>
      <c r="L175" s="5"/>
      <c r="M175" s="5"/>
      <c r="N175" s="5"/>
      <c r="O175" s="5"/>
      <c r="P175" s="5"/>
      <c r="Q175" s="5"/>
      <c r="R175" s="5"/>
      <c r="S175" s="5"/>
      <c r="T175" s="5"/>
      <c r="U175" s="5"/>
      <c r="V175" s="5"/>
      <c r="W175" s="5"/>
      <c r="X175" s="5"/>
      <c r="Y175" s="5"/>
      <c r="Z175" s="5"/>
    </row>
    <row r="176">
      <c r="A176" s="9" t="s">
        <v>123</v>
      </c>
      <c r="B176" s="9" t="s">
        <v>607</v>
      </c>
      <c r="C176" s="9" t="s">
        <v>67</v>
      </c>
      <c r="D176" s="11" t="s">
        <v>20</v>
      </c>
      <c r="E176" s="11">
        <v>600363.0</v>
      </c>
      <c r="F176" s="9" t="s">
        <v>614</v>
      </c>
      <c r="G176" s="9" t="s">
        <v>610</v>
      </c>
      <c r="H176" s="9" t="s">
        <v>23</v>
      </c>
      <c r="I176" s="9" t="s">
        <v>20</v>
      </c>
      <c r="J176" s="9" t="s">
        <v>25</v>
      </c>
      <c r="K176" s="9" t="s">
        <v>67</v>
      </c>
      <c r="L176" s="5"/>
      <c r="M176" s="5"/>
      <c r="N176" s="5"/>
      <c r="O176" s="5"/>
      <c r="P176" s="5"/>
      <c r="Q176" s="5"/>
      <c r="R176" s="5"/>
      <c r="S176" s="5"/>
      <c r="T176" s="5"/>
      <c r="U176" s="5"/>
      <c r="V176" s="5"/>
      <c r="W176" s="5"/>
      <c r="X176" s="5"/>
      <c r="Y176" s="5"/>
      <c r="Z176" s="5"/>
    </row>
    <row r="177">
      <c r="A177" s="14" t="s">
        <v>123</v>
      </c>
      <c r="B177" s="14" t="s">
        <v>607</v>
      </c>
      <c r="C177" s="14" t="s">
        <v>67</v>
      </c>
      <c r="D177" s="15" t="s">
        <v>20</v>
      </c>
      <c r="E177" s="15">
        <v>600362.0</v>
      </c>
      <c r="F177" s="14" t="s">
        <v>615</v>
      </c>
      <c r="G177" s="14" t="s">
        <v>610</v>
      </c>
      <c r="H177" s="14" t="s">
        <v>23</v>
      </c>
      <c r="I177" s="14" t="s">
        <v>20</v>
      </c>
      <c r="J177" s="14" t="s">
        <v>25</v>
      </c>
      <c r="K177" s="14" t="s">
        <v>67</v>
      </c>
      <c r="L177" s="5"/>
      <c r="M177" s="5"/>
      <c r="N177" s="5"/>
      <c r="O177" s="5"/>
      <c r="P177" s="5"/>
      <c r="Q177" s="5"/>
      <c r="R177" s="5"/>
      <c r="S177" s="5"/>
      <c r="T177" s="5"/>
      <c r="U177" s="5"/>
      <c r="V177" s="5"/>
      <c r="W177" s="5"/>
      <c r="X177" s="5"/>
      <c r="Y177" s="5"/>
      <c r="Z177" s="5"/>
    </row>
    <row r="178">
      <c r="A178" s="9" t="s">
        <v>123</v>
      </c>
      <c r="B178" s="9" t="s">
        <v>607</v>
      </c>
      <c r="C178" s="9" t="s">
        <v>67</v>
      </c>
      <c r="D178" s="11" t="s">
        <v>20</v>
      </c>
      <c r="E178" s="11">
        <v>600325.0</v>
      </c>
      <c r="F178" s="9" t="s">
        <v>618</v>
      </c>
      <c r="G178" s="9" t="s">
        <v>610</v>
      </c>
      <c r="H178" s="9" t="s">
        <v>23</v>
      </c>
      <c r="I178" s="9" t="s">
        <v>20</v>
      </c>
      <c r="J178" s="9" t="s">
        <v>25</v>
      </c>
      <c r="K178" s="9" t="s">
        <v>67</v>
      </c>
      <c r="L178" s="5"/>
      <c r="M178" s="5"/>
      <c r="N178" s="5"/>
      <c r="O178" s="5"/>
      <c r="P178" s="5"/>
      <c r="Q178" s="5"/>
      <c r="R178" s="5"/>
      <c r="S178" s="5"/>
      <c r="T178" s="5"/>
      <c r="U178" s="5"/>
      <c r="V178" s="5"/>
      <c r="W178" s="5"/>
      <c r="X178" s="5"/>
      <c r="Y178" s="5"/>
      <c r="Z178" s="5"/>
    </row>
    <row r="179">
      <c r="A179" s="14" t="s">
        <v>123</v>
      </c>
      <c r="B179" s="14" t="s">
        <v>607</v>
      </c>
      <c r="C179" s="14" t="s">
        <v>67</v>
      </c>
      <c r="D179" s="15" t="s">
        <v>20</v>
      </c>
      <c r="E179" s="15">
        <v>600324.0</v>
      </c>
      <c r="F179" s="14" t="s">
        <v>619</v>
      </c>
      <c r="G179" s="14" t="s">
        <v>610</v>
      </c>
      <c r="H179" s="14" t="s">
        <v>23</v>
      </c>
      <c r="I179" s="14" t="s">
        <v>20</v>
      </c>
      <c r="J179" s="14" t="s">
        <v>25</v>
      </c>
      <c r="K179" s="14" t="s">
        <v>67</v>
      </c>
      <c r="L179" s="5"/>
      <c r="M179" s="5"/>
      <c r="N179" s="5"/>
      <c r="O179" s="5"/>
      <c r="P179" s="5"/>
      <c r="Q179" s="5"/>
      <c r="R179" s="5"/>
      <c r="S179" s="5"/>
      <c r="T179" s="5"/>
      <c r="U179" s="5"/>
      <c r="V179" s="5"/>
      <c r="W179" s="5"/>
      <c r="X179" s="5"/>
      <c r="Y179" s="5"/>
      <c r="Z179" s="5"/>
    </row>
    <row r="180">
      <c r="A180" s="9" t="s">
        <v>123</v>
      </c>
      <c r="B180" s="9" t="s">
        <v>607</v>
      </c>
      <c r="C180" s="9" t="s">
        <v>67</v>
      </c>
      <c r="D180" s="11" t="s">
        <v>20</v>
      </c>
      <c r="E180" s="11">
        <v>600239.0</v>
      </c>
      <c r="F180" s="9" t="s">
        <v>623</v>
      </c>
      <c r="G180" s="9" t="s">
        <v>610</v>
      </c>
      <c r="H180" s="9" t="s">
        <v>23</v>
      </c>
      <c r="I180" s="9" t="s">
        <v>20</v>
      </c>
      <c r="J180" s="9" t="s">
        <v>25</v>
      </c>
      <c r="K180" s="9" t="s">
        <v>67</v>
      </c>
      <c r="L180" s="5"/>
      <c r="M180" s="5"/>
      <c r="N180" s="5"/>
      <c r="O180" s="5"/>
      <c r="P180" s="5"/>
      <c r="Q180" s="5"/>
      <c r="R180" s="5"/>
      <c r="S180" s="5"/>
      <c r="T180" s="5"/>
      <c r="U180" s="5"/>
      <c r="V180" s="5"/>
      <c r="W180" s="5"/>
      <c r="X180" s="5"/>
      <c r="Y180" s="5"/>
      <c r="Z180" s="5"/>
    </row>
    <row r="181">
      <c r="A181" s="14" t="s">
        <v>123</v>
      </c>
      <c r="B181" s="14" t="s">
        <v>607</v>
      </c>
      <c r="C181" s="14" t="s">
        <v>67</v>
      </c>
      <c r="D181" s="15" t="s">
        <v>20</v>
      </c>
      <c r="E181" s="15">
        <v>600017.0</v>
      </c>
      <c r="F181" s="14" t="s">
        <v>625</v>
      </c>
      <c r="G181" s="14" t="s">
        <v>610</v>
      </c>
      <c r="H181" s="14" t="s">
        <v>23</v>
      </c>
      <c r="I181" s="14" t="s">
        <v>20</v>
      </c>
      <c r="J181" s="14" t="s">
        <v>25</v>
      </c>
      <c r="K181" s="14" t="s">
        <v>67</v>
      </c>
      <c r="L181" s="5"/>
      <c r="M181" s="5"/>
      <c r="N181" s="5"/>
      <c r="O181" s="5"/>
      <c r="P181" s="5"/>
      <c r="Q181" s="5"/>
      <c r="R181" s="5"/>
      <c r="S181" s="5"/>
      <c r="T181" s="5"/>
      <c r="U181" s="5"/>
      <c r="V181" s="5"/>
      <c r="W181" s="5"/>
      <c r="X181" s="5"/>
      <c r="Y181" s="5"/>
      <c r="Z181" s="5"/>
    </row>
    <row r="182">
      <c r="A182" s="14" t="s">
        <v>123</v>
      </c>
      <c r="B182" s="14" t="s">
        <v>628</v>
      </c>
      <c r="C182" s="14" t="s">
        <v>67</v>
      </c>
      <c r="D182" s="15">
        <v>773.0</v>
      </c>
      <c r="E182" s="15">
        <v>600580.0</v>
      </c>
      <c r="F182" s="14" t="s">
        <v>630</v>
      </c>
      <c r="G182" s="14" t="s">
        <v>631</v>
      </c>
      <c r="H182" s="14" t="s">
        <v>48</v>
      </c>
      <c r="I182" s="14" t="s">
        <v>50</v>
      </c>
      <c r="J182" s="14" t="s">
        <v>25</v>
      </c>
      <c r="K182" s="14" t="s">
        <v>67</v>
      </c>
      <c r="L182" s="5"/>
      <c r="M182" s="5"/>
      <c r="N182" s="5"/>
      <c r="O182" s="5"/>
      <c r="P182" s="5"/>
      <c r="Q182" s="5"/>
      <c r="R182" s="5"/>
      <c r="S182" s="5"/>
      <c r="T182" s="5"/>
      <c r="U182" s="5"/>
      <c r="V182" s="5"/>
      <c r="W182" s="5"/>
      <c r="X182" s="5"/>
      <c r="Y182" s="5"/>
      <c r="Z182" s="5"/>
    </row>
    <row r="183">
      <c r="A183" s="9" t="s">
        <v>123</v>
      </c>
      <c r="B183" s="9" t="s">
        <v>628</v>
      </c>
      <c r="C183" s="9" t="s">
        <v>67</v>
      </c>
      <c r="D183" s="11" t="s">
        <v>20</v>
      </c>
      <c r="E183" s="11">
        <v>600549.0</v>
      </c>
      <c r="F183" s="9" t="s">
        <v>633</v>
      </c>
      <c r="G183" s="9" t="s">
        <v>634</v>
      </c>
      <c r="H183" s="9" t="s">
        <v>48</v>
      </c>
      <c r="I183" s="9" t="s">
        <v>50</v>
      </c>
      <c r="J183" s="9" t="s">
        <v>25</v>
      </c>
      <c r="K183" s="9" t="s">
        <v>67</v>
      </c>
      <c r="L183" s="5"/>
      <c r="M183" s="5"/>
      <c r="N183" s="5"/>
      <c r="O183" s="5"/>
      <c r="P183" s="5"/>
      <c r="Q183" s="5"/>
      <c r="R183" s="5"/>
      <c r="S183" s="5"/>
      <c r="T183" s="5"/>
      <c r="U183" s="5"/>
      <c r="V183" s="5"/>
      <c r="W183" s="5"/>
      <c r="X183" s="5"/>
      <c r="Y183" s="5"/>
      <c r="Z183" s="5"/>
    </row>
    <row r="184">
      <c r="A184" s="14" t="s">
        <v>123</v>
      </c>
      <c r="B184" s="14" t="s">
        <v>628</v>
      </c>
      <c r="C184" s="14" t="s">
        <v>67</v>
      </c>
      <c r="D184" s="15">
        <v>638.0</v>
      </c>
      <c r="E184" s="15">
        <v>600395.0</v>
      </c>
      <c r="F184" s="14" t="s">
        <v>636</v>
      </c>
      <c r="G184" s="14" t="s">
        <v>634</v>
      </c>
      <c r="H184" s="14" t="s">
        <v>48</v>
      </c>
      <c r="I184" s="14" t="s">
        <v>50</v>
      </c>
      <c r="J184" s="14" t="s">
        <v>25</v>
      </c>
      <c r="K184" s="14" t="s">
        <v>67</v>
      </c>
      <c r="L184" s="5"/>
      <c r="M184" s="5"/>
      <c r="N184" s="5"/>
      <c r="O184" s="5"/>
      <c r="P184" s="5"/>
      <c r="Q184" s="5"/>
      <c r="R184" s="5"/>
      <c r="S184" s="5"/>
      <c r="T184" s="5"/>
      <c r="U184" s="5"/>
      <c r="V184" s="5"/>
      <c r="W184" s="5"/>
      <c r="X184" s="5"/>
      <c r="Y184" s="5"/>
      <c r="Z184" s="5"/>
    </row>
    <row r="185">
      <c r="A185" s="9" t="s">
        <v>123</v>
      </c>
      <c r="B185" s="9" t="s">
        <v>637</v>
      </c>
      <c r="C185" s="9" t="s">
        <v>67</v>
      </c>
      <c r="D185" s="11">
        <v>717.0</v>
      </c>
      <c r="E185" s="11">
        <v>600503.0</v>
      </c>
      <c r="F185" s="9" t="s">
        <v>638</v>
      </c>
      <c r="G185" s="9" t="s">
        <v>640</v>
      </c>
      <c r="H185" s="9" t="s">
        <v>48</v>
      </c>
      <c r="I185" s="9" t="s">
        <v>50</v>
      </c>
      <c r="J185" s="9" t="s">
        <v>25</v>
      </c>
      <c r="K185" s="9" t="s">
        <v>67</v>
      </c>
      <c r="L185" s="5"/>
      <c r="M185" s="5"/>
      <c r="N185" s="5"/>
      <c r="O185" s="5"/>
      <c r="P185" s="5"/>
      <c r="Q185" s="5"/>
      <c r="R185" s="5"/>
      <c r="S185" s="5"/>
      <c r="T185" s="5"/>
      <c r="U185" s="5"/>
      <c r="V185" s="5"/>
      <c r="W185" s="5"/>
      <c r="X185" s="5"/>
      <c r="Y185" s="5"/>
      <c r="Z185" s="5"/>
    </row>
    <row r="186">
      <c r="A186" s="14" t="s">
        <v>65</v>
      </c>
      <c r="B186" s="14" t="s">
        <v>643</v>
      </c>
      <c r="C186" s="14" t="s">
        <v>19</v>
      </c>
      <c r="D186" s="15">
        <v>918.0</v>
      </c>
      <c r="E186" s="15">
        <v>600735.0</v>
      </c>
      <c r="F186" s="14" t="s">
        <v>644</v>
      </c>
      <c r="G186" s="14" t="s">
        <v>645</v>
      </c>
      <c r="H186" s="14" t="s">
        <v>48</v>
      </c>
      <c r="I186" s="14" t="s">
        <v>50</v>
      </c>
      <c r="J186" s="14" t="s">
        <v>25</v>
      </c>
      <c r="K186" s="14" t="s">
        <v>51</v>
      </c>
      <c r="L186" s="5"/>
      <c r="M186" s="5"/>
      <c r="N186" s="5"/>
      <c r="O186" s="5"/>
      <c r="P186" s="5"/>
      <c r="Q186" s="5"/>
      <c r="R186" s="5"/>
      <c r="S186" s="5"/>
      <c r="T186" s="5"/>
      <c r="U186" s="5"/>
      <c r="V186" s="5"/>
      <c r="W186" s="5"/>
      <c r="X186" s="5"/>
      <c r="Y186" s="5"/>
      <c r="Z186" s="5"/>
    </row>
    <row r="187">
      <c r="A187" s="9" t="s">
        <v>38</v>
      </c>
      <c r="B187" s="9" t="s">
        <v>643</v>
      </c>
      <c r="C187" s="9" t="s">
        <v>19</v>
      </c>
      <c r="D187" s="11">
        <v>898.0</v>
      </c>
      <c r="E187" s="11">
        <v>600710.0</v>
      </c>
      <c r="F187" s="9" t="s">
        <v>646</v>
      </c>
      <c r="G187" s="9" t="s">
        <v>647</v>
      </c>
      <c r="H187" s="9" t="s">
        <v>431</v>
      </c>
      <c r="I187" s="9" t="s">
        <v>50</v>
      </c>
      <c r="J187" s="9" t="s">
        <v>432</v>
      </c>
      <c r="K187" s="9" t="s">
        <v>485</v>
      </c>
      <c r="L187" s="5"/>
      <c r="M187" s="5"/>
      <c r="N187" s="5"/>
      <c r="O187" s="5"/>
      <c r="P187" s="5"/>
      <c r="Q187" s="5"/>
      <c r="R187" s="5"/>
      <c r="S187" s="5"/>
      <c r="T187" s="5"/>
      <c r="U187" s="5"/>
      <c r="V187" s="5"/>
      <c r="W187" s="5"/>
      <c r="X187" s="5"/>
      <c r="Y187" s="5"/>
      <c r="Z187" s="5"/>
    </row>
    <row r="188">
      <c r="A188" s="9" t="s">
        <v>65</v>
      </c>
      <c r="B188" s="9" t="s">
        <v>643</v>
      </c>
      <c r="C188" s="9" t="s">
        <v>67</v>
      </c>
      <c r="D188" s="11">
        <v>851.0</v>
      </c>
      <c r="E188" s="11">
        <v>600665.0</v>
      </c>
      <c r="F188" s="9" t="s">
        <v>648</v>
      </c>
      <c r="G188" s="9" t="s">
        <v>649</v>
      </c>
      <c r="H188" s="9" t="s">
        <v>48</v>
      </c>
      <c r="I188" s="9" t="s">
        <v>50</v>
      </c>
      <c r="J188" s="9" t="s">
        <v>25</v>
      </c>
      <c r="K188" s="9" t="s">
        <v>67</v>
      </c>
      <c r="L188" s="5"/>
      <c r="M188" s="5"/>
      <c r="N188" s="5"/>
      <c r="O188" s="5"/>
      <c r="P188" s="5"/>
      <c r="Q188" s="5"/>
      <c r="R188" s="5"/>
      <c r="S188" s="5"/>
      <c r="T188" s="5"/>
      <c r="U188" s="5"/>
      <c r="V188" s="5"/>
      <c r="W188" s="5"/>
      <c r="X188" s="5"/>
      <c r="Y188" s="5"/>
      <c r="Z188" s="5"/>
    </row>
    <row r="189">
      <c r="A189" s="14" t="s">
        <v>123</v>
      </c>
      <c r="B189" s="14" t="s">
        <v>650</v>
      </c>
      <c r="C189" s="14" t="s">
        <v>67</v>
      </c>
      <c r="D189" s="15">
        <v>878.0</v>
      </c>
      <c r="E189" s="15">
        <v>600656.0</v>
      </c>
      <c r="F189" s="14" t="s">
        <v>651</v>
      </c>
      <c r="G189" s="14" t="s">
        <v>228</v>
      </c>
      <c r="H189" s="14" t="s">
        <v>48</v>
      </c>
      <c r="I189" s="14" t="s">
        <v>50</v>
      </c>
      <c r="J189" s="14" t="s">
        <v>25</v>
      </c>
      <c r="K189" s="14" t="s">
        <v>67</v>
      </c>
      <c r="L189" s="5"/>
      <c r="M189" s="5"/>
      <c r="N189" s="5"/>
      <c r="O189" s="5"/>
      <c r="P189" s="5"/>
      <c r="Q189" s="5"/>
      <c r="R189" s="5"/>
      <c r="S189" s="5"/>
      <c r="T189" s="5"/>
      <c r="U189" s="5"/>
      <c r="V189" s="5"/>
      <c r="W189" s="5"/>
      <c r="X189" s="5"/>
      <c r="Y189" s="5"/>
      <c r="Z189" s="5"/>
    </row>
    <row r="190">
      <c r="A190" s="9" t="s">
        <v>123</v>
      </c>
      <c r="B190" s="9" t="s">
        <v>653</v>
      </c>
      <c r="C190" s="9" t="s">
        <v>19</v>
      </c>
      <c r="D190" s="11">
        <v>528.0</v>
      </c>
      <c r="E190" s="11">
        <v>600237.0</v>
      </c>
      <c r="F190" s="9" t="s">
        <v>655</v>
      </c>
      <c r="G190" s="9" t="s">
        <v>657</v>
      </c>
      <c r="H190" s="9" t="s">
        <v>48</v>
      </c>
      <c r="I190" s="9" t="s">
        <v>50</v>
      </c>
      <c r="J190" s="9" t="s">
        <v>105</v>
      </c>
      <c r="K190" s="9" t="s">
        <v>485</v>
      </c>
      <c r="L190" s="5"/>
      <c r="M190" s="5"/>
      <c r="N190" s="5"/>
      <c r="O190" s="5"/>
      <c r="P190" s="5"/>
      <c r="Q190" s="5"/>
      <c r="R190" s="5"/>
      <c r="S190" s="5"/>
      <c r="T190" s="5"/>
      <c r="U190" s="5"/>
      <c r="V190" s="5"/>
      <c r="W190" s="5"/>
      <c r="X190" s="5"/>
      <c r="Y190" s="5"/>
      <c r="Z190" s="5"/>
    </row>
    <row r="191">
      <c r="A191" s="14" t="s">
        <v>65</v>
      </c>
      <c r="B191" s="14" t="s">
        <v>659</v>
      </c>
      <c r="C191" s="14" t="s">
        <v>19</v>
      </c>
      <c r="D191" s="15" t="s">
        <v>20</v>
      </c>
      <c r="E191" s="15">
        <v>11276.0</v>
      </c>
      <c r="F191" s="14" t="s">
        <v>660</v>
      </c>
      <c r="G191" s="14" t="s">
        <v>661</v>
      </c>
      <c r="H191" s="14" t="s">
        <v>23</v>
      </c>
      <c r="I191" s="14" t="s">
        <v>24</v>
      </c>
      <c r="J191" s="14" t="s">
        <v>25</v>
      </c>
      <c r="K191" s="14" t="s">
        <v>51</v>
      </c>
      <c r="L191" s="5"/>
      <c r="M191" s="5"/>
      <c r="N191" s="5"/>
      <c r="O191" s="5"/>
      <c r="P191" s="5"/>
      <c r="Q191" s="5"/>
      <c r="R191" s="5"/>
      <c r="S191" s="5"/>
      <c r="T191" s="5"/>
      <c r="U191" s="5"/>
      <c r="V191" s="5"/>
      <c r="W191" s="5"/>
      <c r="X191" s="5"/>
      <c r="Y191" s="5"/>
      <c r="Z191" s="5"/>
    </row>
    <row r="192">
      <c r="A192" s="9" t="s">
        <v>123</v>
      </c>
      <c r="B192" s="9" t="s">
        <v>663</v>
      </c>
      <c r="C192" s="9" t="s">
        <v>19</v>
      </c>
      <c r="D192" s="11" t="s">
        <v>20</v>
      </c>
      <c r="E192" s="11">
        <v>600740.0</v>
      </c>
      <c r="F192" s="9" t="s">
        <v>665</v>
      </c>
      <c r="G192" s="9" t="s">
        <v>667</v>
      </c>
      <c r="H192" s="9" t="s">
        <v>23</v>
      </c>
      <c r="I192" s="9" t="s">
        <v>24</v>
      </c>
      <c r="J192" s="9" t="s">
        <v>25</v>
      </c>
      <c r="K192" s="9" t="s">
        <v>51</v>
      </c>
      <c r="L192" s="5"/>
      <c r="M192" s="5"/>
      <c r="N192" s="5"/>
      <c r="O192" s="5"/>
      <c r="P192" s="5"/>
      <c r="Q192" s="5"/>
      <c r="R192" s="5"/>
      <c r="S192" s="5"/>
      <c r="T192" s="5"/>
      <c r="U192" s="5"/>
      <c r="V192" s="5"/>
      <c r="W192" s="5"/>
      <c r="X192" s="5"/>
      <c r="Y192" s="5"/>
      <c r="Z192" s="5"/>
    </row>
    <row r="193">
      <c r="A193" s="14" t="s">
        <v>123</v>
      </c>
      <c r="B193" s="14" t="s">
        <v>663</v>
      </c>
      <c r="C193" s="14" t="s">
        <v>19</v>
      </c>
      <c r="D193" s="15" t="s">
        <v>20</v>
      </c>
      <c r="E193" s="15">
        <v>800025.0</v>
      </c>
      <c r="F193" s="14" t="s">
        <v>669</v>
      </c>
      <c r="G193" s="14" t="s">
        <v>667</v>
      </c>
      <c r="H193" s="14" t="s">
        <v>23</v>
      </c>
      <c r="I193" s="14" t="s">
        <v>24</v>
      </c>
      <c r="J193" s="14" t="s">
        <v>25</v>
      </c>
      <c r="K193" s="14" t="s">
        <v>51</v>
      </c>
      <c r="L193" s="5"/>
      <c r="M193" s="5"/>
      <c r="N193" s="5"/>
      <c r="O193" s="5"/>
      <c r="P193" s="5"/>
      <c r="Q193" s="5"/>
      <c r="R193" s="5"/>
      <c r="S193" s="5"/>
      <c r="T193" s="5"/>
      <c r="U193" s="5"/>
      <c r="V193" s="5"/>
      <c r="W193" s="5"/>
      <c r="X193" s="5"/>
      <c r="Y193" s="5"/>
      <c r="Z193" s="5"/>
    </row>
    <row r="194">
      <c r="A194" s="9" t="s">
        <v>123</v>
      </c>
      <c r="B194" s="9" t="s">
        <v>663</v>
      </c>
      <c r="C194" s="9" t="s">
        <v>19</v>
      </c>
      <c r="D194" s="11" t="s">
        <v>20</v>
      </c>
      <c r="E194" s="11">
        <v>600742.0</v>
      </c>
      <c r="F194" s="9" t="s">
        <v>670</v>
      </c>
      <c r="G194" s="9" t="s">
        <v>667</v>
      </c>
      <c r="H194" s="9" t="s">
        <v>23</v>
      </c>
      <c r="I194" s="9" t="s">
        <v>24</v>
      </c>
      <c r="J194" s="9" t="s">
        <v>25</v>
      </c>
      <c r="K194" s="9" t="s">
        <v>51</v>
      </c>
      <c r="L194" s="5"/>
      <c r="M194" s="5"/>
      <c r="N194" s="5"/>
      <c r="O194" s="5"/>
      <c r="P194" s="5"/>
      <c r="Q194" s="5"/>
      <c r="R194" s="5"/>
      <c r="S194" s="5"/>
      <c r="T194" s="5"/>
      <c r="U194" s="5"/>
      <c r="V194" s="5"/>
      <c r="W194" s="5"/>
      <c r="X194" s="5"/>
      <c r="Y194" s="5"/>
      <c r="Z194" s="5"/>
    </row>
    <row r="195">
      <c r="A195" s="14" t="s">
        <v>123</v>
      </c>
      <c r="B195" s="14" t="s">
        <v>663</v>
      </c>
      <c r="C195" s="14" t="s">
        <v>19</v>
      </c>
      <c r="D195" s="15" t="s">
        <v>20</v>
      </c>
      <c r="E195" s="15">
        <v>600633.0</v>
      </c>
      <c r="F195" s="14" t="s">
        <v>672</v>
      </c>
      <c r="G195" s="14" t="s">
        <v>667</v>
      </c>
      <c r="H195" s="14" t="s">
        <v>23</v>
      </c>
      <c r="I195" s="14" t="s">
        <v>24</v>
      </c>
      <c r="J195" s="14" t="s">
        <v>25</v>
      </c>
      <c r="K195" s="14" t="s">
        <v>27</v>
      </c>
      <c r="L195" s="5"/>
      <c r="M195" s="5"/>
      <c r="N195" s="5"/>
      <c r="O195" s="5"/>
      <c r="P195" s="5"/>
      <c r="Q195" s="5"/>
      <c r="R195" s="5"/>
      <c r="S195" s="5"/>
      <c r="T195" s="5"/>
      <c r="U195" s="5"/>
      <c r="V195" s="5"/>
      <c r="W195" s="5"/>
      <c r="X195" s="5"/>
      <c r="Y195" s="5"/>
      <c r="Z195" s="5"/>
    </row>
    <row r="196">
      <c r="A196" s="9" t="s">
        <v>123</v>
      </c>
      <c r="B196" s="9" t="s">
        <v>663</v>
      </c>
      <c r="C196" s="9" t="s">
        <v>19</v>
      </c>
      <c r="D196" s="11" t="s">
        <v>20</v>
      </c>
      <c r="E196" s="11">
        <v>600462.0</v>
      </c>
      <c r="F196" s="9" t="s">
        <v>674</v>
      </c>
      <c r="G196" s="9" t="s">
        <v>667</v>
      </c>
      <c r="H196" s="9" t="s">
        <v>23</v>
      </c>
      <c r="I196" s="9" t="s">
        <v>24</v>
      </c>
      <c r="J196" s="9" t="s">
        <v>25</v>
      </c>
      <c r="K196" s="9" t="s">
        <v>27</v>
      </c>
      <c r="L196" s="5"/>
      <c r="M196" s="5"/>
      <c r="N196" s="5"/>
      <c r="O196" s="5"/>
      <c r="P196" s="5"/>
      <c r="Q196" s="5"/>
      <c r="R196" s="5"/>
      <c r="S196" s="5"/>
      <c r="T196" s="5"/>
      <c r="U196" s="5"/>
      <c r="V196" s="5"/>
      <c r="W196" s="5"/>
      <c r="X196" s="5"/>
      <c r="Y196" s="5"/>
      <c r="Z196" s="5"/>
    </row>
    <row r="197">
      <c r="A197" s="14" t="s">
        <v>123</v>
      </c>
      <c r="B197" s="14" t="s">
        <v>663</v>
      </c>
      <c r="C197" s="14" t="s">
        <v>67</v>
      </c>
      <c r="D197" s="15">
        <v>442.0</v>
      </c>
      <c r="E197" s="15">
        <v>600461.0</v>
      </c>
      <c r="F197" s="14" t="s">
        <v>677</v>
      </c>
      <c r="G197" s="14" t="s">
        <v>667</v>
      </c>
      <c r="H197" s="14" t="s">
        <v>48</v>
      </c>
      <c r="I197" s="14" t="s">
        <v>50</v>
      </c>
      <c r="J197" s="14" t="s">
        <v>25</v>
      </c>
      <c r="K197" s="14" t="s">
        <v>67</v>
      </c>
      <c r="L197" s="5"/>
      <c r="M197" s="5"/>
      <c r="N197" s="5"/>
      <c r="O197" s="5"/>
      <c r="P197" s="5"/>
      <c r="Q197" s="5"/>
      <c r="R197" s="5"/>
      <c r="S197" s="5"/>
      <c r="T197" s="5"/>
      <c r="U197" s="5"/>
      <c r="V197" s="5"/>
      <c r="W197" s="5"/>
      <c r="X197" s="5"/>
      <c r="Y197" s="5"/>
      <c r="Z197" s="5"/>
    </row>
    <row r="198">
      <c r="A198" s="9" t="s">
        <v>123</v>
      </c>
      <c r="B198" s="9" t="s">
        <v>663</v>
      </c>
      <c r="C198" s="9" t="s">
        <v>67</v>
      </c>
      <c r="D198" s="11" t="s">
        <v>20</v>
      </c>
      <c r="E198" s="11">
        <v>600737.0</v>
      </c>
      <c r="F198" s="9" t="s">
        <v>682</v>
      </c>
      <c r="G198" s="9" t="s">
        <v>667</v>
      </c>
      <c r="H198" s="9" t="s">
        <v>23</v>
      </c>
      <c r="I198" s="9" t="s">
        <v>24</v>
      </c>
      <c r="J198" s="9" t="s">
        <v>25</v>
      </c>
      <c r="K198" s="9" t="s">
        <v>67</v>
      </c>
      <c r="L198" s="5"/>
      <c r="M198" s="5"/>
      <c r="N198" s="5"/>
      <c r="O198" s="5"/>
      <c r="P198" s="5"/>
      <c r="Q198" s="5"/>
      <c r="R198" s="5"/>
      <c r="S198" s="5"/>
      <c r="T198" s="5"/>
      <c r="U198" s="5"/>
      <c r="V198" s="5"/>
      <c r="W198" s="5"/>
      <c r="X198" s="5"/>
      <c r="Y198" s="5"/>
      <c r="Z198" s="5"/>
    </row>
    <row r="199">
      <c r="A199" s="9" t="s">
        <v>38</v>
      </c>
      <c r="B199" s="9" t="s">
        <v>686</v>
      </c>
      <c r="C199" s="118"/>
      <c r="D199" s="11">
        <v>716.0</v>
      </c>
      <c r="E199" s="11">
        <v>600501.0</v>
      </c>
      <c r="F199" s="9" t="s">
        <v>687</v>
      </c>
      <c r="G199" s="9" t="s">
        <v>688</v>
      </c>
      <c r="H199" s="9" t="s">
        <v>48</v>
      </c>
      <c r="I199" s="9" t="s">
        <v>50</v>
      </c>
      <c r="J199" s="9" t="s">
        <v>25</v>
      </c>
      <c r="K199" s="9" t="s">
        <v>51</v>
      </c>
      <c r="L199" s="5"/>
      <c r="M199" s="5"/>
      <c r="N199" s="5"/>
      <c r="O199" s="5"/>
      <c r="P199" s="5"/>
      <c r="Q199" s="5"/>
      <c r="R199" s="5"/>
      <c r="S199" s="5"/>
      <c r="T199" s="5"/>
      <c r="U199" s="5"/>
      <c r="V199" s="5"/>
      <c r="W199" s="5"/>
      <c r="X199" s="5"/>
      <c r="Y199" s="5"/>
      <c r="Z199" s="5"/>
    </row>
    <row r="200">
      <c r="A200" s="18" t="s">
        <v>38</v>
      </c>
      <c r="B200" s="18" t="s">
        <v>689</v>
      </c>
      <c r="C200" s="118"/>
      <c r="D200" s="20">
        <v>808.0</v>
      </c>
      <c r="E200" s="20">
        <v>600519.0</v>
      </c>
      <c r="F200" s="18" t="s">
        <v>689</v>
      </c>
      <c r="G200" s="18" t="s">
        <v>690</v>
      </c>
      <c r="H200" s="18" t="s">
        <v>48</v>
      </c>
      <c r="I200" s="18" t="s">
        <v>50</v>
      </c>
      <c r="J200" s="18" t="s">
        <v>25</v>
      </c>
      <c r="K200" s="18" t="s">
        <v>62</v>
      </c>
      <c r="L200" s="5"/>
      <c r="M200" s="5"/>
      <c r="N200" s="5"/>
      <c r="O200" s="5"/>
      <c r="P200" s="5"/>
      <c r="Q200" s="5"/>
      <c r="R200" s="5"/>
      <c r="S200" s="5"/>
      <c r="T200" s="5"/>
      <c r="U200" s="5"/>
      <c r="V200" s="5"/>
      <c r="W200" s="5"/>
      <c r="X200" s="5"/>
      <c r="Y200" s="5"/>
      <c r="Z200" s="5"/>
    </row>
    <row r="201">
      <c r="A201" s="9" t="s">
        <v>38</v>
      </c>
      <c r="B201" s="9" t="s">
        <v>694</v>
      </c>
      <c r="C201" s="118"/>
      <c r="D201" s="11" t="s">
        <v>20</v>
      </c>
      <c r="E201" s="11">
        <v>20620.0</v>
      </c>
      <c r="F201" s="9" t="s">
        <v>696</v>
      </c>
      <c r="G201" s="9" t="s">
        <v>694</v>
      </c>
      <c r="H201" s="9" t="s">
        <v>23</v>
      </c>
      <c r="I201" s="9" t="s">
        <v>24</v>
      </c>
      <c r="J201" s="9" t="s">
        <v>25</v>
      </c>
      <c r="K201" s="9" t="s">
        <v>27</v>
      </c>
      <c r="L201" s="5"/>
      <c r="M201" s="5"/>
      <c r="N201" s="5"/>
      <c r="O201" s="5"/>
      <c r="P201" s="5"/>
      <c r="Q201" s="5"/>
      <c r="R201" s="5"/>
      <c r="S201" s="5"/>
      <c r="T201" s="5"/>
      <c r="U201" s="5"/>
      <c r="V201" s="5"/>
      <c r="W201" s="5"/>
      <c r="X201" s="5"/>
      <c r="Y201" s="5"/>
      <c r="Z201" s="5"/>
    </row>
    <row r="202">
      <c r="A202" s="14" t="s">
        <v>38</v>
      </c>
      <c r="B202" s="14" t="s">
        <v>694</v>
      </c>
      <c r="C202" s="118"/>
      <c r="D202" s="15" t="s">
        <v>20</v>
      </c>
      <c r="E202" s="15">
        <v>20619.0</v>
      </c>
      <c r="F202" s="14" t="s">
        <v>698</v>
      </c>
      <c r="G202" s="14" t="s">
        <v>694</v>
      </c>
      <c r="H202" s="14" t="s">
        <v>23</v>
      </c>
      <c r="I202" s="14" t="s">
        <v>24</v>
      </c>
      <c r="J202" s="14" t="s">
        <v>25</v>
      </c>
      <c r="K202" s="14" t="s">
        <v>27</v>
      </c>
      <c r="L202" s="5"/>
      <c r="M202" s="5"/>
      <c r="N202" s="5"/>
      <c r="O202" s="5"/>
      <c r="P202" s="5"/>
      <c r="Q202" s="5"/>
      <c r="R202" s="5"/>
      <c r="S202" s="5"/>
      <c r="T202" s="5"/>
      <c r="U202" s="5"/>
      <c r="V202" s="5"/>
      <c r="W202" s="5"/>
      <c r="X202" s="5"/>
      <c r="Y202" s="5"/>
      <c r="Z202" s="5"/>
    </row>
    <row r="203">
      <c r="A203" s="9" t="s">
        <v>38</v>
      </c>
      <c r="B203" s="9" t="s">
        <v>694</v>
      </c>
      <c r="C203" s="118"/>
      <c r="D203" s="11" t="s">
        <v>20</v>
      </c>
      <c r="E203" s="11">
        <v>20105.0</v>
      </c>
      <c r="F203" s="9" t="s">
        <v>701</v>
      </c>
      <c r="G203" s="9" t="s">
        <v>694</v>
      </c>
      <c r="H203" s="9" t="s">
        <v>23</v>
      </c>
      <c r="I203" s="9" t="s">
        <v>24</v>
      </c>
      <c r="J203" s="9" t="s">
        <v>25</v>
      </c>
      <c r="K203" s="9" t="s">
        <v>67</v>
      </c>
      <c r="L203" s="5"/>
      <c r="M203" s="5"/>
      <c r="N203" s="5"/>
      <c r="O203" s="5"/>
      <c r="P203" s="5"/>
      <c r="Q203" s="5"/>
      <c r="R203" s="5"/>
      <c r="S203" s="5"/>
      <c r="T203" s="5"/>
      <c r="U203" s="5"/>
      <c r="V203" s="5"/>
      <c r="W203" s="5"/>
      <c r="X203" s="5"/>
      <c r="Y203" s="5"/>
      <c r="Z203" s="5"/>
    </row>
    <row r="204">
      <c r="A204" s="14" t="s">
        <v>38</v>
      </c>
      <c r="B204" s="14" t="s">
        <v>694</v>
      </c>
      <c r="C204" s="118"/>
      <c r="D204" s="15" t="s">
        <v>20</v>
      </c>
      <c r="E204" s="15">
        <v>10248.0</v>
      </c>
      <c r="F204" s="14" t="s">
        <v>707</v>
      </c>
      <c r="G204" s="14" t="s">
        <v>694</v>
      </c>
      <c r="H204" s="14" t="s">
        <v>23</v>
      </c>
      <c r="I204" s="14" t="s">
        <v>24</v>
      </c>
      <c r="J204" s="14" t="s">
        <v>25</v>
      </c>
      <c r="K204" s="14" t="s">
        <v>51</v>
      </c>
      <c r="L204" s="5"/>
      <c r="M204" s="5"/>
      <c r="N204" s="5"/>
      <c r="O204" s="5"/>
      <c r="P204" s="5"/>
      <c r="Q204" s="5"/>
      <c r="R204" s="5"/>
      <c r="S204" s="5"/>
      <c r="T204" s="5"/>
      <c r="U204" s="5"/>
      <c r="V204" s="5"/>
      <c r="W204" s="5"/>
      <c r="X204" s="5"/>
      <c r="Y204" s="5"/>
      <c r="Z204" s="5"/>
    </row>
    <row r="205">
      <c r="A205" s="9" t="s">
        <v>38</v>
      </c>
      <c r="B205" s="9" t="s">
        <v>694</v>
      </c>
      <c r="C205" s="118"/>
      <c r="D205" s="11" t="s">
        <v>20</v>
      </c>
      <c r="E205" s="11">
        <v>500012.0</v>
      </c>
      <c r="F205" s="9" t="s">
        <v>709</v>
      </c>
      <c r="G205" s="9" t="s">
        <v>694</v>
      </c>
      <c r="H205" s="9" t="s">
        <v>23</v>
      </c>
      <c r="I205" s="9" t="s">
        <v>24</v>
      </c>
      <c r="J205" s="9" t="s">
        <v>25</v>
      </c>
      <c r="K205" s="9" t="s">
        <v>62</v>
      </c>
      <c r="L205" s="5"/>
      <c r="M205" s="5"/>
      <c r="N205" s="5"/>
      <c r="O205" s="5"/>
      <c r="P205" s="5"/>
      <c r="Q205" s="5"/>
      <c r="R205" s="5"/>
      <c r="S205" s="5"/>
      <c r="T205" s="5"/>
      <c r="U205" s="5"/>
      <c r="V205" s="5"/>
      <c r="W205" s="5"/>
      <c r="X205" s="5"/>
      <c r="Y205" s="5"/>
      <c r="Z205" s="5"/>
    </row>
    <row r="206">
      <c r="A206" s="14" t="s">
        <v>38</v>
      </c>
      <c r="B206" s="14" t="s">
        <v>694</v>
      </c>
      <c r="C206" s="118"/>
      <c r="D206" s="15" t="s">
        <v>20</v>
      </c>
      <c r="E206" s="15">
        <v>600262.0</v>
      </c>
      <c r="F206" s="14" t="s">
        <v>710</v>
      </c>
      <c r="G206" s="14" t="s">
        <v>694</v>
      </c>
      <c r="H206" s="14" t="s">
        <v>23</v>
      </c>
      <c r="I206" s="14" t="s">
        <v>24</v>
      </c>
      <c r="J206" s="14" t="s">
        <v>25</v>
      </c>
      <c r="K206" s="14" t="s">
        <v>36</v>
      </c>
      <c r="L206" s="5"/>
      <c r="M206" s="5"/>
      <c r="N206" s="5"/>
      <c r="O206" s="5"/>
      <c r="P206" s="5"/>
      <c r="Q206" s="5"/>
      <c r="R206" s="5"/>
      <c r="S206" s="5"/>
      <c r="T206" s="5"/>
      <c r="U206" s="5"/>
      <c r="V206" s="5"/>
      <c r="W206" s="5"/>
      <c r="X206" s="5"/>
      <c r="Y206" s="5"/>
      <c r="Z206" s="5"/>
    </row>
    <row r="207">
      <c r="A207" s="9" t="s">
        <v>38</v>
      </c>
      <c r="B207" s="9" t="s">
        <v>711</v>
      </c>
      <c r="C207" s="118"/>
      <c r="D207" s="11" t="s">
        <v>20</v>
      </c>
      <c r="E207" s="11">
        <v>11252.0</v>
      </c>
      <c r="F207" s="9" t="s">
        <v>712</v>
      </c>
      <c r="G207" s="9" t="s">
        <v>711</v>
      </c>
      <c r="H207" s="9" t="s">
        <v>23</v>
      </c>
      <c r="I207" s="9" t="s">
        <v>24</v>
      </c>
      <c r="J207" s="9" t="s">
        <v>25</v>
      </c>
      <c r="K207" s="9" t="s">
        <v>27</v>
      </c>
      <c r="L207" s="5"/>
      <c r="M207" s="5"/>
      <c r="N207" s="5"/>
      <c r="O207" s="5"/>
      <c r="P207" s="5"/>
      <c r="Q207" s="5"/>
      <c r="R207" s="5"/>
      <c r="S207" s="5"/>
      <c r="T207" s="5"/>
      <c r="U207" s="5"/>
      <c r="V207" s="5"/>
      <c r="W207" s="5"/>
      <c r="X207" s="5"/>
      <c r="Y207" s="5"/>
      <c r="Z207" s="5"/>
    </row>
    <row r="208">
      <c r="A208" s="14" t="s">
        <v>38</v>
      </c>
      <c r="B208" s="14" t="s">
        <v>711</v>
      </c>
      <c r="C208" s="118"/>
      <c r="D208" s="15" t="s">
        <v>20</v>
      </c>
      <c r="E208" s="15">
        <v>10434.0</v>
      </c>
      <c r="F208" s="14" t="s">
        <v>711</v>
      </c>
      <c r="G208" s="14" t="s">
        <v>711</v>
      </c>
      <c r="H208" s="14" t="s">
        <v>23</v>
      </c>
      <c r="I208" s="14" t="s">
        <v>24</v>
      </c>
      <c r="J208" s="14" t="s">
        <v>25</v>
      </c>
      <c r="K208" s="14" t="s">
        <v>27</v>
      </c>
      <c r="L208" s="5"/>
      <c r="M208" s="5"/>
      <c r="N208" s="5"/>
      <c r="O208" s="5"/>
      <c r="P208" s="5"/>
      <c r="Q208" s="5"/>
      <c r="R208" s="5"/>
      <c r="S208" s="5"/>
      <c r="T208" s="5"/>
      <c r="U208" s="5"/>
      <c r="V208" s="5"/>
      <c r="W208" s="5"/>
      <c r="X208" s="5"/>
      <c r="Y208" s="5"/>
      <c r="Z208" s="5"/>
    </row>
    <row r="209">
      <c r="A209" s="14" t="s">
        <v>65</v>
      </c>
      <c r="B209" s="14" t="s">
        <v>715</v>
      </c>
      <c r="C209" s="118"/>
      <c r="D209" s="15" t="s">
        <v>20</v>
      </c>
      <c r="E209" s="15">
        <v>10805.0</v>
      </c>
      <c r="F209" s="14" t="s">
        <v>715</v>
      </c>
      <c r="G209" s="14" t="s">
        <v>715</v>
      </c>
      <c r="H209" s="14" t="s">
        <v>23</v>
      </c>
      <c r="I209" s="14" t="s">
        <v>24</v>
      </c>
      <c r="J209" s="14" t="s">
        <v>25</v>
      </c>
      <c r="K209" s="14" t="s">
        <v>27</v>
      </c>
      <c r="L209" s="5"/>
      <c r="M209" s="5"/>
      <c r="N209" s="5"/>
      <c r="O209" s="5"/>
      <c r="P209" s="5"/>
      <c r="Q209" s="5"/>
      <c r="R209" s="5"/>
      <c r="S209" s="5"/>
      <c r="T209" s="5"/>
      <c r="U209" s="5"/>
      <c r="V209" s="5"/>
      <c r="W209" s="5"/>
      <c r="X209" s="5"/>
      <c r="Y209" s="5"/>
      <c r="Z209" s="5"/>
    </row>
    <row r="210">
      <c r="A210" s="18" t="s">
        <v>38</v>
      </c>
      <c r="B210" s="121" t="s">
        <v>716</v>
      </c>
      <c r="C210" s="118"/>
      <c r="D210" s="20">
        <v>694.0</v>
      </c>
      <c r="E210" s="20">
        <v>600472.0</v>
      </c>
      <c r="F210" s="121" t="s">
        <v>716</v>
      </c>
      <c r="G210" s="18" t="s">
        <v>727</v>
      </c>
      <c r="H210" s="18" t="s">
        <v>48</v>
      </c>
      <c r="I210" s="18" t="s">
        <v>50</v>
      </c>
      <c r="J210" s="18" t="s">
        <v>25</v>
      </c>
      <c r="K210" s="18" t="s">
        <v>36</v>
      </c>
      <c r="L210" s="5"/>
      <c r="M210" s="5"/>
      <c r="N210" s="5"/>
      <c r="O210" s="5"/>
      <c r="P210" s="5"/>
      <c r="Q210" s="5"/>
      <c r="R210" s="5"/>
      <c r="S210" s="5"/>
      <c r="T210" s="5"/>
      <c r="U210" s="5"/>
      <c r="V210" s="5"/>
      <c r="W210" s="5"/>
      <c r="X210" s="5"/>
      <c r="Y210" s="5"/>
      <c r="Z210" s="5"/>
    </row>
    <row r="211">
      <c r="A211" s="9" t="s">
        <v>65</v>
      </c>
      <c r="B211" s="9" t="s">
        <v>728</v>
      </c>
      <c r="C211" s="118"/>
      <c r="D211" s="11">
        <v>719.0</v>
      </c>
      <c r="E211" s="11">
        <v>600504.0</v>
      </c>
      <c r="F211" s="9" t="s">
        <v>729</v>
      </c>
      <c r="G211" s="9" t="s">
        <v>730</v>
      </c>
      <c r="H211" s="9" t="s">
        <v>48</v>
      </c>
      <c r="I211" s="9" t="s">
        <v>50</v>
      </c>
      <c r="J211" s="9" t="s">
        <v>25</v>
      </c>
      <c r="K211" s="9" t="s">
        <v>62</v>
      </c>
      <c r="L211" s="5"/>
      <c r="M211" s="5"/>
      <c r="N211" s="5"/>
      <c r="O211" s="5"/>
      <c r="P211" s="5"/>
      <c r="Q211" s="5"/>
      <c r="R211" s="5"/>
      <c r="S211" s="5"/>
      <c r="T211" s="5"/>
      <c r="U211" s="5"/>
      <c r="V211" s="5"/>
      <c r="W211" s="5"/>
      <c r="X211" s="5"/>
      <c r="Y211" s="5"/>
      <c r="Z211" s="5"/>
    </row>
    <row r="212">
      <c r="A212" s="14" t="s">
        <v>65</v>
      </c>
      <c r="B212" s="14" t="s">
        <v>728</v>
      </c>
      <c r="C212" s="118"/>
      <c r="D212" s="15" t="s">
        <v>20</v>
      </c>
      <c r="E212" s="15">
        <v>20135.0</v>
      </c>
      <c r="F212" s="14" t="s">
        <v>733</v>
      </c>
      <c r="G212" s="14" t="s">
        <v>730</v>
      </c>
      <c r="H212" s="14" t="s">
        <v>23</v>
      </c>
      <c r="I212" s="14" t="s">
        <v>24</v>
      </c>
      <c r="J212" s="14" t="s">
        <v>25</v>
      </c>
      <c r="K212" s="14" t="s">
        <v>27</v>
      </c>
      <c r="L212" s="5"/>
      <c r="M212" s="5"/>
      <c r="N212" s="5"/>
      <c r="O212" s="5"/>
      <c r="P212" s="5"/>
      <c r="Q212" s="5"/>
      <c r="R212" s="5"/>
      <c r="S212" s="5"/>
      <c r="T212" s="5"/>
      <c r="U212" s="5"/>
      <c r="V212" s="5"/>
      <c r="W212" s="5"/>
      <c r="X212" s="5"/>
      <c r="Y212" s="5"/>
      <c r="Z212" s="5"/>
    </row>
    <row r="213">
      <c r="A213" s="9" t="s">
        <v>65</v>
      </c>
      <c r="B213" s="9" t="s">
        <v>728</v>
      </c>
      <c r="C213" s="118"/>
      <c r="D213" s="11" t="s">
        <v>20</v>
      </c>
      <c r="E213" s="11">
        <v>10281.0</v>
      </c>
      <c r="F213" s="9" t="s">
        <v>736</v>
      </c>
      <c r="G213" s="9" t="s">
        <v>730</v>
      </c>
      <c r="H213" s="9" t="s">
        <v>23</v>
      </c>
      <c r="I213" s="9" t="s">
        <v>24</v>
      </c>
      <c r="J213" s="9" t="s">
        <v>25</v>
      </c>
      <c r="K213" s="9" t="s">
        <v>36</v>
      </c>
      <c r="L213" s="5"/>
      <c r="M213" s="5"/>
      <c r="N213" s="5"/>
      <c r="O213" s="5"/>
      <c r="P213" s="5"/>
      <c r="Q213" s="5"/>
      <c r="R213" s="5"/>
      <c r="S213" s="5"/>
      <c r="T213" s="5"/>
      <c r="U213" s="5"/>
      <c r="V213" s="5"/>
      <c r="W213" s="5"/>
      <c r="X213" s="5"/>
      <c r="Y213" s="5"/>
      <c r="Z213" s="5"/>
    </row>
    <row r="214">
      <c r="A214" s="14" t="s">
        <v>65</v>
      </c>
      <c r="B214" s="14" t="s">
        <v>738</v>
      </c>
      <c r="C214" s="118"/>
      <c r="D214" s="15" t="s">
        <v>20</v>
      </c>
      <c r="E214" s="15">
        <v>10227.0</v>
      </c>
      <c r="F214" s="14" t="s">
        <v>738</v>
      </c>
      <c r="G214" s="14" t="s">
        <v>739</v>
      </c>
      <c r="H214" s="14" t="s">
        <v>23</v>
      </c>
      <c r="I214" s="14" t="s">
        <v>24</v>
      </c>
      <c r="J214" s="14" t="s">
        <v>25</v>
      </c>
      <c r="K214" s="14" t="s">
        <v>51</v>
      </c>
      <c r="L214" s="5"/>
      <c r="M214" s="5"/>
      <c r="N214" s="5"/>
      <c r="O214" s="5"/>
      <c r="P214" s="5"/>
      <c r="Q214" s="5"/>
      <c r="R214" s="5"/>
      <c r="S214" s="5"/>
      <c r="T214" s="5"/>
      <c r="U214" s="5"/>
      <c r="V214" s="5"/>
      <c r="W214" s="5"/>
      <c r="X214" s="5"/>
      <c r="Y214" s="5"/>
      <c r="Z214" s="5"/>
    </row>
    <row r="215">
      <c r="A215" s="9" t="s">
        <v>65</v>
      </c>
      <c r="B215" s="9" t="s">
        <v>738</v>
      </c>
      <c r="C215" s="118"/>
      <c r="D215" s="11" t="s">
        <v>20</v>
      </c>
      <c r="E215" s="11">
        <v>11219.0</v>
      </c>
      <c r="F215" s="9" t="s">
        <v>742</v>
      </c>
      <c r="G215" s="9" t="s">
        <v>739</v>
      </c>
      <c r="H215" s="9" t="s">
        <v>23</v>
      </c>
      <c r="I215" s="9" t="s">
        <v>24</v>
      </c>
      <c r="J215" s="9" t="s">
        <v>25</v>
      </c>
      <c r="K215" s="9" t="s">
        <v>27</v>
      </c>
      <c r="L215" s="5"/>
      <c r="M215" s="5"/>
      <c r="N215" s="5"/>
      <c r="O215" s="5"/>
      <c r="P215" s="5"/>
      <c r="Q215" s="5"/>
      <c r="R215" s="5"/>
      <c r="S215" s="5"/>
      <c r="T215" s="5"/>
      <c r="U215" s="5"/>
      <c r="V215" s="5"/>
      <c r="W215" s="5"/>
      <c r="X215" s="5"/>
      <c r="Y215" s="5"/>
      <c r="Z215" s="5"/>
    </row>
    <row r="216">
      <c r="A216" s="14" t="s">
        <v>65</v>
      </c>
      <c r="B216" s="14" t="s">
        <v>738</v>
      </c>
      <c r="C216" s="118"/>
      <c r="D216" s="15" t="s">
        <v>20</v>
      </c>
      <c r="E216" s="15">
        <v>20157.0</v>
      </c>
      <c r="F216" s="14" t="s">
        <v>738</v>
      </c>
      <c r="G216" s="14" t="s">
        <v>739</v>
      </c>
      <c r="H216" s="14" t="s">
        <v>23</v>
      </c>
      <c r="I216" s="14" t="s">
        <v>24</v>
      </c>
      <c r="J216" s="14" t="s">
        <v>25</v>
      </c>
      <c r="K216" s="14" t="s">
        <v>27</v>
      </c>
      <c r="L216" s="5"/>
      <c r="M216" s="5"/>
      <c r="N216" s="5"/>
      <c r="O216" s="5"/>
      <c r="P216" s="5"/>
      <c r="Q216" s="5"/>
      <c r="R216" s="5"/>
      <c r="S216" s="5"/>
      <c r="T216" s="5"/>
      <c r="U216" s="5"/>
      <c r="V216" s="5"/>
      <c r="W216" s="5"/>
      <c r="X216" s="5"/>
      <c r="Y216" s="5"/>
      <c r="Z216" s="5"/>
    </row>
    <row r="217">
      <c r="A217" s="9" t="s">
        <v>65</v>
      </c>
      <c r="B217" s="9" t="s">
        <v>738</v>
      </c>
      <c r="C217" s="118"/>
      <c r="D217" s="11">
        <v>659.0</v>
      </c>
      <c r="E217" s="11">
        <v>600425.0</v>
      </c>
      <c r="F217" s="9" t="s">
        <v>745</v>
      </c>
      <c r="G217" s="9" t="s">
        <v>746</v>
      </c>
      <c r="H217" s="9" t="s">
        <v>48</v>
      </c>
      <c r="I217" s="9" t="s">
        <v>50</v>
      </c>
      <c r="J217" s="9" t="s">
        <v>105</v>
      </c>
      <c r="K217" s="9" t="s">
        <v>36</v>
      </c>
      <c r="L217" s="5"/>
      <c r="M217" s="5"/>
      <c r="N217" s="5"/>
      <c r="O217" s="5"/>
      <c r="P217" s="5"/>
      <c r="Q217" s="5"/>
      <c r="R217" s="5"/>
      <c r="S217" s="5"/>
      <c r="T217" s="5"/>
      <c r="U217" s="5"/>
      <c r="V217" s="5"/>
      <c r="W217" s="5"/>
      <c r="X217" s="5"/>
      <c r="Y217" s="5"/>
      <c r="Z217" s="5"/>
    </row>
    <row r="218">
      <c r="A218" s="9" t="s">
        <v>65</v>
      </c>
      <c r="B218" s="9" t="s">
        <v>748</v>
      </c>
      <c r="C218" s="118"/>
      <c r="D218" s="11" t="s">
        <v>20</v>
      </c>
      <c r="E218" s="11">
        <v>10646.0</v>
      </c>
      <c r="F218" s="9" t="s">
        <v>749</v>
      </c>
      <c r="G218" s="9" t="s">
        <v>748</v>
      </c>
      <c r="H218" s="9" t="s">
        <v>23</v>
      </c>
      <c r="I218" s="9" t="s">
        <v>77</v>
      </c>
      <c r="J218" s="9" t="s">
        <v>25</v>
      </c>
      <c r="K218" s="9" t="s">
        <v>27</v>
      </c>
      <c r="L218" s="5"/>
      <c r="M218" s="5"/>
      <c r="N218" s="5"/>
      <c r="O218" s="5"/>
      <c r="P218" s="5"/>
      <c r="Q218" s="5"/>
      <c r="R218" s="5"/>
      <c r="S218" s="5"/>
      <c r="T218" s="5"/>
      <c r="U218" s="5"/>
      <c r="V218" s="5"/>
      <c r="W218" s="5"/>
      <c r="X218" s="5"/>
      <c r="Y218" s="5"/>
      <c r="Z218" s="5"/>
    </row>
    <row r="219">
      <c r="A219" s="14" t="s">
        <v>65</v>
      </c>
      <c r="B219" s="14" t="s">
        <v>748</v>
      </c>
      <c r="C219" s="118"/>
      <c r="D219" s="15" t="s">
        <v>20</v>
      </c>
      <c r="E219" s="15">
        <v>10585.0</v>
      </c>
      <c r="F219" s="14" t="s">
        <v>754</v>
      </c>
      <c r="G219" s="14" t="s">
        <v>748</v>
      </c>
      <c r="H219" s="14" t="s">
        <v>23</v>
      </c>
      <c r="I219" s="14" t="s">
        <v>77</v>
      </c>
      <c r="J219" s="14" t="s">
        <v>25</v>
      </c>
      <c r="K219" s="14" t="s">
        <v>27</v>
      </c>
      <c r="L219" s="5"/>
      <c r="M219" s="5"/>
      <c r="N219" s="5"/>
      <c r="O219" s="5"/>
      <c r="P219" s="5"/>
      <c r="Q219" s="5"/>
      <c r="R219" s="5"/>
      <c r="S219" s="5"/>
      <c r="T219" s="5"/>
      <c r="U219" s="5"/>
      <c r="V219" s="5"/>
      <c r="W219" s="5"/>
      <c r="X219" s="5"/>
      <c r="Y219" s="5"/>
      <c r="Z219" s="5"/>
    </row>
    <row r="220">
      <c r="A220" s="9" t="s">
        <v>123</v>
      </c>
      <c r="B220" s="9" t="s">
        <v>755</v>
      </c>
      <c r="C220" s="118"/>
      <c r="D220" s="11" t="s">
        <v>20</v>
      </c>
      <c r="E220" s="11">
        <v>11251.0</v>
      </c>
      <c r="F220" s="9" t="s">
        <v>755</v>
      </c>
      <c r="G220" s="9" t="s">
        <v>755</v>
      </c>
      <c r="H220" s="9" t="s">
        <v>23</v>
      </c>
      <c r="I220" s="9" t="s">
        <v>24</v>
      </c>
      <c r="J220" s="9" t="s">
        <v>25</v>
      </c>
      <c r="K220" s="9" t="s">
        <v>27</v>
      </c>
      <c r="L220" s="5"/>
      <c r="M220" s="5"/>
      <c r="N220" s="5"/>
      <c r="O220" s="5"/>
      <c r="P220" s="5"/>
      <c r="Q220" s="5"/>
      <c r="R220" s="5"/>
      <c r="S220" s="5"/>
      <c r="T220" s="5"/>
      <c r="U220" s="5"/>
      <c r="V220" s="5"/>
      <c r="W220" s="5"/>
      <c r="X220" s="5"/>
      <c r="Y220" s="5"/>
      <c r="Z220" s="5"/>
    </row>
    <row r="221">
      <c r="A221" s="14" t="s">
        <v>123</v>
      </c>
      <c r="B221" s="14" t="s">
        <v>756</v>
      </c>
      <c r="C221" s="118"/>
      <c r="D221" s="15" t="s">
        <v>20</v>
      </c>
      <c r="E221" s="15">
        <v>11347.0</v>
      </c>
      <c r="F221" s="14" t="s">
        <v>756</v>
      </c>
      <c r="G221" s="14" t="s">
        <v>756</v>
      </c>
      <c r="H221" s="14" t="s">
        <v>23</v>
      </c>
      <c r="I221" s="14" t="s">
        <v>24</v>
      </c>
      <c r="J221" s="14" t="s">
        <v>25</v>
      </c>
      <c r="K221" s="14" t="s">
        <v>27</v>
      </c>
      <c r="L221" s="5"/>
      <c r="M221" s="5"/>
      <c r="N221" s="5"/>
      <c r="O221" s="5"/>
      <c r="P221" s="5"/>
      <c r="Q221" s="5"/>
      <c r="R221" s="5"/>
      <c r="S221" s="5"/>
      <c r="T221" s="5"/>
      <c r="U221" s="5"/>
      <c r="V221" s="5"/>
      <c r="W221" s="5"/>
      <c r="X221" s="5"/>
      <c r="Y221" s="5"/>
      <c r="Z221" s="5"/>
    </row>
    <row r="222">
      <c r="A222" s="9" t="s">
        <v>123</v>
      </c>
      <c r="B222" s="9" t="s">
        <v>756</v>
      </c>
      <c r="C222" s="118"/>
      <c r="D222" s="11" t="s">
        <v>20</v>
      </c>
      <c r="E222" s="11">
        <v>20681.0</v>
      </c>
      <c r="F222" s="9" t="s">
        <v>758</v>
      </c>
      <c r="G222" s="9" t="s">
        <v>756</v>
      </c>
      <c r="H222" s="9" t="s">
        <v>23</v>
      </c>
      <c r="I222" s="9" t="s">
        <v>24</v>
      </c>
      <c r="J222" s="9" t="s">
        <v>25</v>
      </c>
      <c r="K222" s="9" t="s">
        <v>27</v>
      </c>
      <c r="L222" s="5"/>
      <c r="M222" s="5"/>
      <c r="N222" s="5"/>
      <c r="O222" s="5"/>
      <c r="P222" s="5"/>
      <c r="Q222" s="5"/>
      <c r="R222" s="5"/>
      <c r="S222" s="5"/>
      <c r="T222" s="5"/>
      <c r="U222" s="5"/>
      <c r="V222" s="5"/>
      <c r="W222" s="5"/>
      <c r="X222" s="5"/>
      <c r="Y222" s="5"/>
      <c r="Z222" s="5"/>
    </row>
    <row r="223">
      <c r="A223" s="14" t="s">
        <v>123</v>
      </c>
      <c r="B223" s="14" t="s">
        <v>756</v>
      </c>
      <c r="C223" s="118"/>
      <c r="D223" s="15" t="s">
        <v>20</v>
      </c>
      <c r="E223" s="15">
        <v>600080.0</v>
      </c>
      <c r="F223" s="14" t="s">
        <v>759</v>
      </c>
      <c r="G223" s="14" t="s">
        <v>756</v>
      </c>
      <c r="H223" s="14" t="s">
        <v>23</v>
      </c>
      <c r="I223" s="14" t="s">
        <v>24</v>
      </c>
      <c r="J223" s="14" t="s">
        <v>25</v>
      </c>
      <c r="K223" s="14" t="s">
        <v>36</v>
      </c>
      <c r="L223" s="5"/>
      <c r="M223" s="5"/>
      <c r="N223" s="5"/>
      <c r="O223" s="5"/>
      <c r="P223" s="5"/>
      <c r="Q223" s="5"/>
      <c r="R223" s="5"/>
      <c r="S223" s="5"/>
      <c r="T223" s="5"/>
      <c r="U223" s="5"/>
      <c r="V223" s="5"/>
      <c r="W223" s="5"/>
      <c r="X223" s="5"/>
      <c r="Y223" s="5"/>
      <c r="Z223" s="5"/>
    </row>
    <row r="224">
      <c r="A224" s="9" t="s">
        <v>65</v>
      </c>
      <c r="B224" s="9" t="s">
        <v>763</v>
      </c>
      <c r="C224" s="118"/>
      <c r="D224" s="11" t="s">
        <v>20</v>
      </c>
      <c r="E224" s="11">
        <v>600645.0</v>
      </c>
      <c r="F224" s="9" t="s">
        <v>764</v>
      </c>
      <c r="G224" s="9" t="s">
        <v>763</v>
      </c>
      <c r="H224" s="9" t="s">
        <v>23</v>
      </c>
      <c r="I224" s="9" t="s">
        <v>77</v>
      </c>
      <c r="J224" s="9" t="s">
        <v>25</v>
      </c>
      <c r="K224" s="9" t="s">
        <v>27</v>
      </c>
      <c r="L224" s="5"/>
      <c r="M224" s="5"/>
      <c r="N224" s="5"/>
      <c r="O224" s="5"/>
      <c r="P224" s="5"/>
      <c r="Q224" s="5"/>
      <c r="R224" s="5"/>
      <c r="S224" s="5"/>
      <c r="T224" s="5"/>
      <c r="U224" s="5"/>
      <c r="V224" s="5"/>
      <c r="W224" s="5"/>
      <c r="X224" s="5"/>
      <c r="Y224" s="5"/>
      <c r="Z224" s="5"/>
    </row>
    <row r="225">
      <c r="A225" s="14" t="s">
        <v>65</v>
      </c>
      <c r="B225" s="14" t="s">
        <v>763</v>
      </c>
      <c r="C225" s="118"/>
      <c r="D225" s="15" t="s">
        <v>20</v>
      </c>
      <c r="E225" s="15">
        <v>11257.0</v>
      </c>
      <c r="F225" s="14" t="s">
        <v>763</v>
      </c>
      <c r="G225" s="14" t="s">
        <v>763</v>
      </c>
      <c r="H225" s="14" t="s">
        <v>23</v>
      </c>
      <c r="I225" s="14" t="s">
        <v>77</v>
      </c>
      <c r="J225" s="14" t="s">
        <v>25</v>
      </c>
      <c r="K225" s="14" t="s">
        <v>36</v>
      </c>
      <c r="L225" s="5"/>
      <c r="M225" s="5"/>
      <c r="N225" s="5"/>
      <c r="O225" s="5"/>
      <c r="P225" s="5"/>
      <c r="Q225" s="5"/>
      <c r="R225" s="5"/>
      <c r="S225" s="5"/>
      <c r="T225" s="5"/>
      <c r="U225" s="5"/>
      <c r="V225" s="5"/>
      <c r="W225" s="5"/>
      <c r="X225" s="5"/>
      <c r="Y225" s="5"/>
      <c r="Z225" s="5"/>
    </row>
    <row r="226">
      <c r="A226" s="9" t="s">
        <v>65</v>
      </c>
      <c r="B226" s="9" t="s">
        <v>20</v>
      </c>
      <c r="C226" s="118"/>
      <c r="D226" s="11" t="s">
        <v>20</v>
      </c>
      <c r="E226" s="11">
        <v>11292.0</v>
      </c>
      <c r="F226" s="9" t="s">
        <v>774</v>
      </c>
      <c r="G226" s="9" t="s">
        <v>774</v>
      </c>
      <c r="H226" s="9" t="s">
        <v>23</v>
      </c>
      <c r="I226" s="9" t="s">
        <v>77</v>
      </c>
      <c r="J226" s="9" t="s">
        <v>105</v>
      </c>
      <c r="K226" s="9" t="s">
        <v>62</v>
      </c>
      <c r="L226" s="5"/>
      <c r="M226" s="5"/>
      <c r="N226" s="5"/>
      <c r="O226" s="5"/>
      <c r="P226" s="5"/>
      <c r="Q226" s="5"/>
      <c r="R226" s="5"/>
      <c r="S226" s="5"/>
      <c r="T226" s="5"/>
      <c r="U226" s="5"/>
      <c r="V226" s="5"/>
      <c r="W226" s="5"/>
      <c r="X226" s="5"/>
      <c r="Y226" s="5"/>
      <c r="Z226" s="5"/>
    </row>
    <row r="227">
      <c r="A227" s="14" t="s">
        <v>65</v>
      </c>
      <c r="B227" s="14" t="s">
        <v>20</v>
      </c>
      <c r="C227" s="118"/>
      <c r="D227" s="15">
        <v>629.0</v>
      </c>
      <c r="E227" s="15">
        <v>600130.0</v>
      </c>
      <c r="F227" s="14" t="s">
        <v>778</v>
      </c>
      <c r="G227" s="14" t="s">
        <v>779</v>
      </c>
      <c r="H227" s="14" t="s">
        <v>48</v>
      </c>
      <c r="I227" s="14" t="s">
        <v>50</v>
      </c>
      <c r="J227" s="14" t="s">
        <v>25</v>
      </c>
      <c r="K227" s="14" t="s">
        <v>62</v>
      </c>
      <c r="L227" s="5"/>
      <c r="M227" s="5"/>
      <c r="N227" s="5"/>
      <c r="O227" s="5"/>
      <c r="P227" s="5"/>
      <c r="Q227" s="5"/>
      <c r="R227" s="5"/>
      <c r="S227" s="5"/>
      <c r="T227" s="5"/>
      <c r="U227" s="5"/>
      <c r="V227" s="5"/>
      <c r="W227" s="5"/>
      <c r="X227" s="5"/>
      <c r="Y227" s="5"/>
      <c r="Z227" s="5"/>
    </row>
    <row r="228">
      <c r="A228" s="9" t="s">
        <v>14</v>
      </c>
      <c r="B228" s="9" t="s">
        <v>20</v>
      </c>
      <c r="C228" s="118"/>
      <c r="D228" s="11">
        <v>865.0</v>
      </c>
      <c r="E228" s="11">
        <v>600673.0</v>
      </c>
      <c r="F228" s="9" t="s">
        <v>780</v>
      </c>
      <c r="G228" s="9" t="s">
        <v>781</v>
      </c>
      <c r="H228" s="9" t="s">
        <v>48</v>
      </c>
      <c r="I228" s="9" t="s">
        <v>50</v>
      </c>
      <c r="J228" s="9" t="s">
        <v>105</v>
      </c>
      <c r="K228" s="9" t="s">
        <v>62</v>
      </c>
      <c r="L228" s="5"/>
      <c r="M228" s="5"/>
      <c r="N228" s="5"/>
      <c r="O228" s="5"/>
      <c r="P228" s="5"/>
      <c r="Q228" s="5"/>
      <c r="R228" s="5"/>
      <c r="S228" s="5"/>
      <c r="T228" s="5"/>
      <c r="U228" s="5"/>
      <c r="V228" s="5"/>
      <c r="W228" s="5"/>
      <c r="X228" s="5"/>
      <c r="Y228" s="5"/>
      <c r="Z228" s="5"/>
    </row>
    <row r="229">
      <c r="A229" s="14" t="s">
        <v>123</v>
      </c>
      <c r="B229" s="14" t="s">
        <v>20</v>
      </c>
      <c r="C229" s="118"/>
      <c r="D229" s="15" t="s">
        <v>20</v>
      </c>
      <c r="E229" s="15">
        <v>600611.0</v>
      </c>
      <c r="F229" s="14" t="s">
        <v>783</v>
      </c>
      <c r="G229" s="14" t="s">
        <v>784</v>
      </c>
      <c r="H229" s="14" t="s">
        <v>23</v>
      </c>
      <c r="I229" s="14" t="s">
        <v>24</v>
      </c>
      <c r="J229" s="14" t="s">
        <v>25</v>
      </c>
      <c r="K229" s="14" t="s">
        <v>62</v>
      </c>
      <c r="L229" s="5"/>
      <c r="M229" s="5"/>
      <c r="N229" s="5"/>
      <c r="O229" s="5"/>
      <c r="P229" s="5"/>
      <c r="Q229" s="5"/>
      <c r="R229" s="5"/>
      <c r="S229" s="5"/>
      <c r="T229" s="5"/>
      <c r="U229" s="5"/>
      <c r="V229" s="5"/>
      <c r="W229" s="5"/>
      <c r="X229" s="5"/>
      <c r="Y229" s="5"/>
      <c r="Z229" s="5"/>
    </row>
    <row r="230">
      <c r="A230" s="9" t="s">
        <v>123</v>
      </c>
      <c r="B230" s="9" t="s">
        <v>20</v>
      </c>
      <c r="C230" s="118"/>
      <c r="D230" s="11" t="s">
        <v>20</v>
      </c>
      <c r="E230" s="11">
        <v>11290.0</v>
      </c>
      <c r="F230" s="9" t="s">
        <v>785</v>
      </c>
      <c r="G230" s="9" t="s">
        <v>786</v>
      </c>
      <c r="H230" s="9" t="s">
        <v>23</v>
      </c>
      <c r="I230" s="9" t="s">
        <v>24</v>
      </c>
      <c r="J230" s="9" t="s">
        <v>25</v>
      </c>
      <c r="K230" s="9" t="s">
        <v>62</v>
      </c>
      <c r="L230" s="5"/>
      <c r="M230" s="5"/>
      <c r="N230" s="5"/>
      <c r="O230" s="5"/>
      <c r="P230" s="5"/>
      <c r="Q230" s="5"/>
      <c r="R230" s="5"/>
      <c r="S230" s="5"/>
      <c r="T230" s="5"/>
      <c r="U230" s="5"/>
      <c r="V230" s="5"/>
      <c r="W230" s="5"/>
      <c r="X230" s="5"/>
      <c r="Y230" s="5"/>
      <c r="Z230" s="5"/>
    </row>
    <row r="231">
      <c r="A231" s="14" t="s">
        <v>123</v>
      </c>
      <c r="B231" s="14" t="s">
        <v>20</v>
      </c>
      <c r="C231" s="118"/>
      <c r="D231" s="15" t="s">
        <v>20</v>
      </c>
      <c r="E231" s="15">
        <v>600030.0</v>
      </c>
      <c r="F231" s="14" t="s">
        <v>789</v>
      </c>
      <c r="G231" s="14" t="s">
        <v>791</v>
      </c>
      <c r="H231" s="14" t="s">
        <v>23</v>
      </c>
      <c r="I231" s="14" t="s">
        <v>24</v>
      </c>
      <c r="J231" s="14" t="s">
        <v>25</v>
      </c>
      <c r="K231" s="14" t="s">
        <v>62</v>
      </c>
      <c r="L231" s="5"/>
      <c r="M231" s="5"/>
      <c r="N231" s="5"/>
      <c r="O231" s="5"/>
      <c r="P231" s="5"/>
      <c r="Q231" s="5"/>
      <c r="R231" s="5"/>
      <c r="S231" s="5"/>
      <c r="T231" s="5"/>
      <c r="U231" s="5"/>
      <c r="V231" s="5"/>
      <c r="W231" s="5"/>
      <c r="X231" s="5"/>
      <c r="Y231" s="5"/>
      <c r="Z231" s="5"/>
    </row>
    <row r="232">
      <c r="A232" s="9" t="s">
        <v>65</v>
      </c>
      <c r="B232" s="9" t="s">
        <v>20</v>
      </c>
      <c r="C232" s="118"/>
      <c r="D232" s="11" t="s">
        <v>20</v>
      </c>
      <c r="E232" s="11">
        <v>10629.0</v>
      </c>
      <c r="F232" s="9" t="s">
        <v>792</v>
      </c>
      <c r="G232" s="9" t="s">
        <v>792</v>
      </c>
      <c r="H232" s="9" t="s">
        <v>23</v>
      </c>
      <c r="I232" s="9" t="s">
        <v>24</v>
      </c>
      <c r="J232" s="9" t="s">
        <v>25</v>
      </c>
      <c r="K232" s="9" t="s">
        <v>62</v>
      </c>
      <c r="L232" s="5"/>
      <c r="M232" s="5"/>
      <c r="N232" s="5"/>
      <c r="O232" s="5"/>
      <c r="P232" s="5"/>
      <c r="Q232" s="5"/>
      <c r="R232" s="5"/>
      <c r="S232" s="5"/>
      <c r="T232" s="5"/>
      <c r="U232" s="5"/>
      <c r="V232" s="5"/>
      <c r="W232" s="5"/>
      <c r="X232" s="5"/>
      <c r="Y232" s="5"/>
      <c r="Z232" s="5"/>
    </row>
    <row r="233">
      <c r="A233" s="14" t="s">
        <v>38</v>
      </c>
      <c r="B233" s="14" t="s">
        <v>20</v>
      </c>
      <c r="C233" s="118"/>
      <c r="D233" s="15">
        <v>893.0</v>
      </c>
      <c r="E233" s="15">
        <v>600702.0</v>
      </c>
      <c r="F233" s="14" t="s">
        <v>795</v>
      </c>
      <c r="G233" s="14" t="s">
        <v>796</v>
      </c>
      <c r="H233" s="14" t="s">
        <v>48</v>
      </c>
      <c r="I233" s="14" t="s">
        <v>50</v>
      </c>
      <c r="J233" s="14" t="s">
        <v>25</v>
      </c>
      <c r="K233" s="14" t="s">
        <v>62</v>
      </c>
      <c r="L233" s="5"/>
      <c r="M233" s="5"/>
      <c r="N233" s="5"/>
      <c r="O233" s="5"/>
      <c r="P233" s="5"/>
      <c r="Q233" s="5"/>
      <c r="R233" s="5"/>
      <c r="S233" s="5"/>
      <c r="T233" s="5"/>
      <c r="U233" s="5"/>
      <c r="V233" s="5"/>
      <c r="W233" s="5"/>
      <c r="X233" s="5"/>
      <c r="Y233" s="5"/>
      <c r="Z233" s="5"/>
    </row>
    <row r="234">
      <c r="A234" s="9" t="s">
        <v>14</v>
      </c>
      <c r="B234" s="9" t="s">
        <v>20</v>
      </c>
      <c r="C234" s="118"/>
      <c r="D234" s="11">
        <v>362.0</v>
      </c>
      <c r="E234" s="11">
        <v>600113.0</v>
      </c>
      <c r="F234" s="9" t="s">
        <v>798</v>
      </c>
      <c r="G234" s="9" t="s">
        <v>340</v>
      </c>
      <c r="H234" s="9" t="s">
        <v>48</v>
      </c>
      <c r="I234" s="9" t="s">
        <v>50</v>
      </c>
      <c r="J234" s="9" t="s">
        <v>105</v>
      </c>
      <c r="K234" s="9" t="s">
        <v>62</v>
      </c>
      <c r="L234" s="5"/>
      <c r="M234" s="5"/>
      <c r="N234" s="5"/>
      <c r="O234" s="5"/>
      <c r="P234" s="5"/>
      <c r="Q234" s="5"/>
      <c r="R234" s="5"/>
      <c r="S234" s="5"/>
      <c r="T234" s="5"/>
      <c r="U234" s="5"/>
      <c r="V234" s="5"/>
      <c r="W234" s="5"/>
      <c r="X234" s="5"/>
      <c r="Y234" s="5"/>
      <c r="Z234" s="5"/>
    </row>
    <row r="235">
      <c r="A235" s="14" t="s">
        <v>123</v>
      </c>
      <c r="B235" s="14" t="s">
        <v>20</v>
      </c>
      <c r="C235" s="118"/>
      <c r="D235" s="15" t="s">
        <v>20</v>
      </c>
      <c r="E235" s="15">
        <v>10362.0</v>
      </c>
      <c r="F235" s="14" t="s">
        <v>799</v>
      </c>
      <c r="G235" s="14" t="s">
        <v>800</v>
      </c>
      <c r="H235" s="14" t="s">
        <v>23</v>
      </c>
      <c r="I235" s="14" t="s">
        <v>24</v>
      </c>
      <c r="J235" s="14" t="s">
        <v>25</v>
      </c>
      <c r="K235" s="14" t="s">
        <v>62</v>
      </c>
      <c r="L235" s="5"/>
      <c r="M235" s="5"/>
      <c r="N235" s="5"/>
      <c r="O235" s="5"/>
      <c r="P235" s="5"/>
      <c r="Q235" s="5"/>
      <c r="R235" s="5"/>
      <c r="S235" s="5"/>
      <c r="T235" s="5"/>
      <c r="U235" s="5"/>
      <c r="V235" s="5"/>
      <c r="W235" s="5"/>
      <c r="X235" s="5"/>
      <c r="Y235" s="5"/>
      <c r="Z235" s="5"/>
    </row>
    <row r="236">
      <c r="A236" s="9" t="s">
        <v>14</v>
      </c>
      <c r="B236" s="9" t="s">
        <v>20</v>
      </c>
      <c r="C236" s="118"/>
      <c r="D236" s="11">
        <v>931.0</v>
      </c>
      <c r="E236" s="11">
        <v>600749.0</v>
      </c>
      <c r="F236" s="9" t="s">
        <v>802</v>
      </c>
      <c r="G236" s="9" t="s">
        <v>803</v>
      </c>
      <c r="H236" s="9" t="s">
        <v>48</v>
      </c>
      <c r="I236" s="9" t="s">
        <v>50</v>
      </c>
      <c r="J236" s="9" t="s">
        <v>105</v>
      </c>
      <c r="K236" s="9" t="s">
        <v>62</v>
      </c>
      <c r="L236" s="5"/>
      <c r="M236" s="5"/>
      <c r="N236" s="5"/>
      <c r="O236" s="5"/>
      <c r="P236" s="5"/>
      <c r="Q236" s="5"/>
      <c r="R236" s="5"/>
      <c r="S236" s="5"/>
      <c r="T236" s="5"/>
      <c r="U236" s="5"/>
      <c r="V236" s="5"/>
      <c r="W236" s="5"/>
      <c r="X236" s="5"/>
      <c r="Y236" s="5"/>
      <c r="Z236" s="5"/>
    </row>
    <row r="237">
      <c r="A237" s="14" t="s">
        <v>14</v>
      </c>
      <c r="B237" s="14" t="s">
        <v>20</v>
      </c>
      <c r="C237" s="118"/>
      <c r="D237" s="15">
        <v>896.0</v>
      </c>
      <c r="E237" s="15">
        <v>600704.0</v>
      </c>
      <c r="F237" s="14" t="s">
        <v>805</v>
      </c>
      <c r="G237" s="14" t="s">
        <v>806</v>
      </c>
      <c r="H237" s="14" t="s">
        <v>48</v>
      </c>
      <c r="I237" s="14" t="s">
        <v>50</v>
      </c>
      <c r="J237" s="14" t="s">
        <v>70</v>
      </c>
      <c r="K237" s="14" t="s">
        <v>62</v>
      </c>
      <c r="L237" s="5"/>
      <c r="M237" s="5"/>
      <c r="N237" s="5"/>
      <c r="O237" s="5"/>
      <c r="P237" s="5"/>
      <c r="Q237" s="5"/>
      <c r="R237" s="5"/>
      <c r="S237" s="5"/>
      <c r="T237" s="5"/>
      <c r="U237" s="5"/>
      <c r="V237" s="5"/>
      <c r="W237" s="5"/>
      <c r="X237" s="5"/>
      <c r="Y237" s="5"/>
      <c r="Z237" s="5"/>
    </row>
    <row r="238">
      <c r="A238" s="9" t="s">
        <v>123</v>
      </c>
      <c r="B238" s="9" t="s">
        <v>20</v>
      </c>
      <c r="C238" s="118"/>
      <c r="D238" s="11">
        <v>765.0</v>
      </c>
      <c r="E238" s="11">
        <v>600569.0</v>
      </c>
      <c r="F238" s="9" t="s">
        <v>807</v>
      </c>
      <c r="G238" s="9" t="s">
        <v>808</v>
      </c>
      <c r="H238" s="9" t="s">
        <v>48</v>
      </c>
      <c r="I238" s="9" t="s">
        <v>50</v>
      </c>
      <c r="J238" s="9" t="s">
        <v>25</v>
      </c>
      <c r="K238" s="9" t="s">
        <v>62</v>
      </c>
      <c r="L238" s="5"/>
      <c r="M238" s="5"/>
      <c r="N238" s="5"/>
      <c r="O238" s="5"/>
      <c r="P238" s="5"/>
      <c r="Q238" s="5"/>
      <c r="R238" s="5"/>
      <c r="S238" s="5"/>
      <c r="T238" s="5"/>
      <c r="U238" s="5"/>
      <c r="V238" s="5"/>
      <c r="W238" s="5"/>
      <c r="X238" s="5"/>
      <c r="Y238" s="5"/>
      <c r="Z238" s="5"/>
    </row>
    <row r="239">
      <c r="A239" s="14" t="s">
        <v>123</v>
      </c>
      <c r="B239" s="14" t="s">
        <v>20</v>
      </c>
      <c r="C239" s="118"/>
      <c r="D239" s="15">
        <v>775.0</v>
      </c>
      <c r="E239" s="15">
        <v>600583.0</v>
      </c>
      <c r="F239" s="14" t="s">
        <v>810</v>
      </c>
      <c r="G239" s="14" t="s">
        <v>811</v>
      </c>
      <c r="H239" s="14" t="s">
        <v>48</v>
      </c>
      <c r="I239" s="14" t="s">
        <v>50</v>
      </c>
      <c r="J239" s="14" t="s">
        <v>25</v>
      </c>
      <c r="K239" s="14" t="s">
        <v>62</v>
      </c>
      <c r="L239" s="5"/>
      <c r="M239" s="5"/>
      <c r="N239" s="5"/>
      <c r="O239" s="5"/>
      <c r="P239" s="5"/>
      <c r="Q239" s="5"/>
      <c r="R239" s="5"/>
      <c r="S239" s="5"/>
      <c r="T239" s="5"/>
      <c r="U239" s="5"/>
      <c r="V239" s="5"/>
      <c r="W239" s="5"/>
      <c r="X239" s="5"/>
      <c r="Y239" s="5"/>
      <c r="Z239" s="5"/>
    </row>
    <row r="240">
      <c r="A240" s="9" t="s">
        <v>65</v>
      </c>
      <c r="B240" s="9" t="s">
        <v>20</v>
      </c>
      <c r="C240" s="118"/>
      <c r="D240" s="11" t="s">
        <v>20</v>
      </c>
      <c r="E240" s="11">
        <v>10896.0</v>
      </c>
      <c r="F240" s="9" t="s">
        <v>814</v>
      </c>
      <c r="G240" s="9" t="s">
        <v>814</v>
      </c>
      <c r="H240" s="9" t="s">
        <v>23</v>
      </c>
      <c r="I240" s="9" t="s">
        <v>77</v>
      </c>
      <c r="J240" s="9" t="s">
        <v>25</v>
      </c>
      <c r="K240" s="9" t="s">
        <v>62</v>
      </c>
      <c r="L240" s="5"/>
      <c r="M240" s="5"/>
      <c r="N240" s="5"/>
      <c r="O240" s="5"/>
      <c r="P240" s="5"/>
      <c r="Q240" s="5"/>
      <c r="R240" s="5"/>
      <c r="S240" s="5"/>
      <c r="T240" s="5"/>
      <c r="U240" s="5"/>
      <c r="V240" s="5"/>
      <c r="W240" s="5"/>
      <c r="X240" s="5"/>
      <c r="Y240" s="5"/>
      <c r="Z240" s="5"/>
    </row>
    <row r="241">
      <c r="A241" s="14" t="s">
        <v>65</v>
      </c>
      <c r="B241" s="14" t="s">
        <v>20</v>
      </c>
      <c r="C241" s="118"/>
      <c r="D241" s="15" t="s">
        <v>20</v>
      </c>
      <c r="E241" s="15">
        <v>10820.0</v>
      </c>
      <c r="F241" s="14" t="s">
        <v>815</v>
      </c>
      <c r="G241" s="14" t="s">
        <v>816</v>
      </c>
      <c r="H241" s="14" t="s">
        <v>23</v>
      </c>
      <c r="I241" s="14" t="s">
        <v>24</v>
      </c>
      <c r="J241" s="14" t="s">
        <v>25</v>
      </c>
      <c r="K241" s="14" t="s">
        <v>62</v>
      </c>
      <c r="L241" s="5"/>
      <c r="M241" s="5"/>
      <c r="N241" s="5"/>
      <c r="O241" s="5"/>
      <c r="P241" s="5"/>
      <c r="Q241" s="5"/>
      <c r="R241" s="5"/>
      <c r="S241" s="5"/>
      <c r="T241" s="5"/>
      <c r="U241" s="5"/>
      <c r="V241" s="5"/>
      <c r="W241" s="5"/>
      <c r="X241" s="5"/>
      <c r="Y241" s="5"/>
      <c r="Z241" s="5"/>
    </row>
    <row r="242">
      <c r="A242" s="9" t="s">
        <v>123</v>
      </c>
      <c r="B242" s="9" t="s">
        <v>20</v>
      </c>
      <c r="C242" s="118"/>
      <c r="D242" s="11" t="s">
        <v>20</v>
      </c>
      <c r="E242" s="11">
        <v>10808.0</v>
      </c>
      <c r="F242" s="9" t="s">
        <v>817</v>
      </c>
      <c r="G242" s="9" t="s">
        <v>818</v>
      </c>
      <c r="H242" s="9" t="s">
        <v>23</v>
      </c>
      <c r="I242" s="9" t="s">
        <v>24</v>
      </c>
      <c r="J242" s="9" t="s">
        <v>25</v>
      </c>
      <c r="K242" s="9" t="s">
        <v>62</v>
      </c>
      <c r="L242" s="5"/>
      <c r="M242" s="5"/>
      <c r="N242" s="5"/>
      <c r="O242" s="5"/>
      <c r="P242" s="5"/>
      <c r="Q242" s="5"/>
      <c r="R242" s="5"/>
      <c r="S242" s="5"/>
      <c r="T242" s="5"/>
      <c r="U242" s="5"/>
      <c r="V242" s="5"/>
      <c r="W242" s="5"/>
      <c r="X242" s="5"/>
      <c r="Y242" s="5"/>
      <c r="Z242" s="5"/>
    </row>
    <row r="243">
      <c r="A243" s="14" t="s">
        <v>65</v>
      </c>
      <c r="B243" s="14" t="s">
        <v>20</v>
      </c>
      <c r="C243" s="118"/>
      <c r="D243" s="15" t="s">
        <v>20</v>
      </c>
      <c r="E243" s="15">
        <v>10456.0</v>
      </c>
      <c r="F243" s="14" t="s">
        <v>821</v>
      </c>
      <c r="G243" s="14" t="s">
        <v>822</v>
      </c>
      <c r="H243" s="14" t="s">
        <v>23</v>
      </c>
      <c r="I243" s="14" t="s">
        <v>77</v>
      </c>
      <c r="J243" s="14" t="s">
        <v>25</v>
      </c>
      <c r="K243" s="14" t="s">
        <v>62</v>
      </c>
      <c r="L243" s="5"/>
      <c r="M243" s="5"/>
      <c r="N243" s="5"/>
      <c r="O243" s="5"/>
      <c r="P243" s="5"/>
      <c r="Q243" s="5"/>
      <c r="R243" s="5"/>
      <c r="S243" s="5"/>
      <c r="T243" s="5"/>
      <c r="U243" s="5"/>
      <c r="V243" s="5"/>
      <c r="W243" s="5"/>
      <c r="X243" s="5"/>
      <c r="Y243" s="5"/>
      <c r="Z243" s="5"/>
    </row>
    <row r="244">
      <c r="A244" s="9" t="s">
        <v>123</v>
      </c>
      <c r="B244" s="9" t="s">
        <v>20</v>
      </c>
      <c r="C244" s="118"/>
      <c r="D244" s="11">
        <v>894.0</v>
      </c>
      <c r="E244" s="11">
        <v>600705.0</v>
      </c>
      <c r="F244" s="9" t="s">
        <v>824</v>
      </c>
      <c r="G244" s="9" t="s">
        <v>825</v>
      </c>
      <c r="H244" s="9" t="s">
        <v>48</v>
      </c>
      <c r="I244" s="9" t="s">
        <v>50</v>
      </c>
      <c r="J244" s="9" t="s">
        <v>25</v>
      </c>
      <c r="K244" s="9" t="s">
        <v>62</v>
      </c>
      <c r="L244" s="5"/>
      <c r="M244" s="5"/>
      <c r="N244" s="5"/>
      <c r="O244" s="5"/>
      <c r="P244" s="5"/>
      <c r="Q244" s="5"/>
      <c r="R244" s="5"/>
      <c r="S244" s="5"/>
      <c r="T244" s="5"/>
      <c r="U244" s="5"/>
      <c r="V244" s="5"/>
      <c r="W244" s="5"/>
      <c r="X244" s="5"/>
      <c r="Y244" s="5"/>
      <c r="Z244" s="5"/>
    </row>
    <row r="245">
      <c r="A245" s="14" t="s">
        <v>123</v>
      </c>
      <c r="B245" s="14" t="s">
        <v>20</v>
      </c>
      <c r="C245" s="118"/>
      <c r="D245" s="15" t="s">
        <v>20</v>
      </c>
      <c r="E245" s="15">
        <v>20656.0</v>
      </c>
      <c r="F245" s="14" t="s">
        <v>829</v>
      </c>
      <c r="G245" s="14" t="s">
        <v>829</v>
      </c>
      <c r="H245" s="14" t="s">
        <v>23</v>
      </c>
      <c r="I245" s="14" t="s">
        <v>24</v>
      </c>
      <c r="J245" s="14" t="s">
        <v>25</v>
      </c>
      <c r="K245" s="14" t="s">
        <v>62</v>
      </c>
      <c r="L245" s="5"/>
      <c r="M245" s="5"/>
      <c r="N245" s="5"/>
      <c r="O245" s="5"/>
      <c r="P245" s="5"/>
      <c r="Q245" s="5"/>
      <c r="R245" s="5"/>
      <c r="S245" s="5"/>
      <c r="T245" s="5"/>
      <c r="U245" s="5"/>
      <c r="V245" s="5"/>
      <c r="W245" s="5"/>
      <c r="X245" s="5"/>
      <c r="Y245" s="5"/>
      <c r="Z245" s="5"/>
    </row>
    <row r="246">
      <c r="A246" s="9" t="s">
        <v>38</v>
      </c>
      <c r="B246" s="9" t="s">
        <v>20</v>
      </c>
      <c r="C246" s="118"/>
      <c r="D246" s="11">
        <v>807.0</v>
      </c>
      <c r="E246" s="11">
        <v>600020.0</v>
      </c>
      <c r="F246" s="9" t="s">
        <v>831</v>
      </c>
      <c r="G246" s="9" t="s">
        <v>832</v>
      </c>
      <c r="H246" s="9" t="s">
        <v>48</v>
      </c>
      <c r="I246" s="9" t="s">
        <v>50</v>
      </c>
      <c r="J246" s="9" t="s">
        <v>25</v>
      </c>
      <c r="K246" s="9" t="s">
        <v>62</v>
      </c>
      <c r="L246" s="5"/>
      <c r="M246" s="5"/>
      <c r="N246" s="5"/>
      <c r="O246" s="5"/>
      <c r="P246" s="5"/>
      <c r="Q246" s="5"/>
      <c r="R246" s="5"/>
      <c r="S246" s="5"/>
      <c r="T246" s="5"/>
      <c r="U246" s="5"/>
      <c r="V246" s="5"/>
      <c r="W246" s="5"/>
      <c r="X246" s="5"/>
      <c r="Y246" s="5"/>
      <c r="Z246" s="5"/>
    </row>
    <row r="247">
      <c r="A247" s="14" t="s">
        <v>123</v>
      </c>
      <c r="B247" s="14" t="s">
        <v>20</v>
      </c>
      <c r="C247" s="118"/>
      <c r="D247" s="15">
        <v>764.0</v>
      </c>
      <c r="E247" s="15">
        <v>600558.0</v>
      </c>
      <c r="F247" s="14" t="s">
        <v>835</v>
      </c>
      <c r="G247" s="14" t="s">
        <v>837</v>
      </c>
      <c r="H247" s="14" t="s">
        <v>48</v>
      </c>
      <c r="I247" s="14" t="s">
        <v>50</v>
      </c>
      <c r="J247" s="14" t="s">
        <v>25</v>
      </c>
      <c r="K247" s="14" t="s">
        <v>62</v>
      </c>
      <c r="L247" s="5"/>
      <c r="M247" s="5"/>
      <c r="N247" s="5"/>
      <c r="O247" s="5"/>
      <c r="P247" s="5"/>
      <c r="Q247" s="5"/>
      <c r="R247" s="5"/>
      <c r="S247" s="5"/>
      <c r="T247" s="5"/>
      <c r="U247" s="5"/>
      <c r="V247" s="5"/>
      <c r="W247" s="5"/>
      <c r="X247" s="5"/>
      <c r="Y247" s="5"/>
      <c r="Z247" s="5"/>
    </row>
    <row r="248">
      <c r="A248" s="9" t="s">
        <v>123</v>
      </c>
      <c r="B248" s="9" t="s">
        <v>20</v>
      </c>
      <c r="C248" s="118"/>
      <c r="D248" s="11">
        <v>732.0</v>
      </c>
      <c r="E248" s="11">
        <v>600516.0</v>
      </c>
      <c r="F248" s="9" t="s">
        <v>838</v>
      </c>
      <c r="G248" s="9" t="s">
        <v>839</v>
      </c>
      <c r="H248" s="9" t="s">
        <v>48</v>
      </c>
      <c r="I248" s="9" t="s">
        <v>50</v>
      </c>
      <c r="J248" s="9" t="s">
        <v>105</v>
      </c>
      <c r="K248" s="9" t="s">
        <v>62</v>
      </c>
      <c r="L248" s="5"/>
      <c r="M248" s="5"/>
      <c r="N248" s="5"/>
      <c r="O248" s="5"/>
      <c r="P248" s="5"/>
      <c r="Q248" s="5"/>
      <c r="R248" s="5"/>
      <c r="S248" s="5"/>
      <c r="T248" s="5"/>
      <c r="U248" s="5"/>
      <c r="V248" s="5"/>
      <c r="W248" s="5"/>
      <c r="X248" s="5"/>
      <c r="Y248" s="5"/>
      <c r="Z248" s="5"/>
    </row>
    <row r="249">
      <c r="A249" s="14" t="s">
        <v>123</v>
      </c>
      <c r="B249" s="14" t="s">
        <v>20</v>
      </c>
      <c r="C249" s="118"/>
      <c r="D249" s="15">
        <v>660.0</v>
      </c>
      <c r="E249" s="15">
        <v>600429.0</v>
      </c>
      <c r="F249" s="14" t="s">
        <v>840</v>
      </c>
      <c r="G249" s="14" t="s">
        <v>841</v>
      </c>
      <c r="H249" s="14" t="s">
        <v>48</v>
      </c>
      <c r="I249" s="14" t="s">
        <v>50</v>
      </c>
      <c r="J249" s="14" t="s">
        <v>70</v>
      </c>
      <c r="K249" s="14" t="s">
        <v>62</v>
      </c>
      <c r="L249" s="5"/>
      <c r="M249" s="5"/>
      <c r="N249" s="5"/>
      <c r="O249" s="5"/>
      <c r="P249" s="5"/>
      <c r="Q249" s="5"/>
      <c r="R249" s="5"/>
      <c r="S249" s="5"/>
      <c r="T249" s="5"/>
      <c r="U249" s="5"/>
      <c r="V249" s="5"/>
      <c r="W249" s="5"/>
      <c r="X249" s="5"/>
      <c r="Y249" s="5"/>
      <c r="Z249" s="5"/>
    </row>
    <row r="250">
      <c r="A250" s="9" t="s">
        <v>123</v>
      </c>
      <c r="B250" s="9" t="s">
        <v>20</v>
      </c>
      <c r="C250" s="118"/>
      <c r="D250" s="11" t="s">
        <v>20</v>
      </c>
      <c r="E250" s="11">
        <v>11343.0</v>
      </c>
      <c r="F250" s="9" t="s">
        <v>842</v>
      </c>
      <c r="G250" s="9" t="s">
        <v>842</v>
      </c>
      <c r="H250" s="9" t="s">
        <v>23</v>
      </c>
      <c r="I250" s="9" t="s">
        <v>24</v>
      </c>
      <c r="J250" s="9" t="s">
        <v>25</v>
      </c>
      <c r="K250" s="9" t="s">
        <v>62</v>
      </c>
      <c r="L250" s="5"/>
      <c r="M250" s="5"/>
      <c r="N250" s="5"/>
      <c r="O250" s="5"/>
      <c r="P250" s="5"/>
      <c r="Q250" s="5"/>
      <c r="R250" s="5"/>
      <c r="S250" s="5"/>
      <c r="T250" s="5"/>
      <c r="U250" s="5"/>
      <c r="V250" s="5"/>
      <c r="W250" s="5"/>
      <c r="X250" s="5"/>
      <c r="Y250" s="5"/>
      <c r="Z250" s="5"/>
    </row>
    <row r="251">
      <c r="A251" s="14" t="s">
        <v>14</v>
      </c>
      <c r="B251" s="14" t="s">
        <v>20</v>
      </c>
      <c r="C251" s="118"/>
      <c r="D251" s="15">
        <v>886.0</v>
      </c>
      <c r="E251" s="15">
        <v>600695.0</v>
      </c>
      <c r="F251" s="14" t="s">
        <v>844</v>
      </c>
      <c r="G251" s="14" t="s">
        <v>845</v>
      </c>
      <c r="H251" s="14" t="s">
        <v>48</v>
      </c>
      <c r="I251" s="14" t="s">
        <v>50</v>
      </c>
      <c r="J251" s="14" t="s">
        <v>105</v>
      </c>
      <c r="K251" s="14" t="s">
        <v>62</v>
      </c>
      <c r="L251" s="5"/>
      <c r="M251" s="5"/>
      <c r="N251" s="5"/>
      <c r="O251" s="5"/>
      <c r="P251" s="5"/>
      <c r="Q251" s="5"/>
      <c r="R251" s="5"/>
      <c r="S251" s="5"/>
      <c r="T251" s="5"/>
      <c r="U251" s="5"/>
      <c r="V251" s="5"/>
      <c r="W251" s="5"/>
      <c r="X251" s="5"/>
      <c r="Y251" s="5"/>
      <c r="Z251" s="5"/>
    </row>
    <row r="252">
      <c r="A252" s="9" t="s">
        <v>123</v>
      </c>
      <c r="B252" s="9" t="s">
        <v>20</v>
      </c>
      <c r="C252" s="118"/>
      <c r="D252" s="11">
        <v>888.0</v>
      </c>
      <c r="E252" s="11">
        <v>600696.0</v>
      </c>
      <c r="F252" s="9" t="s">
        <v>848</v>
      </c>
      <c r="G252" s="9" t="s">
        <v>849</v>
      </c>
      <c r="H252" s="9" t="s">
        <v>48</v>
      </c>
      <c r="I252" s="9" t="s">
        <v>50</v>
      </c>
      <c r="J252" s="9" t="s">
        <v>105</v>
      </c>
      <c r="K252" s="9" t="s">
        <v>51</v>
      </c>
      <c r="L252" s="5"/>
      <c r="M252" s="5"/>
      <c r="N252" s="5"/>
      <c r="O252" s="5"/>
      <c r="P252" s="5"/>
      <c r="Q252" s="5"/>
      <c r="R252" s="5"/>
      <c r="S252" s="5"/>
      <c r="T252" s="5"/>
      <c r="U252" s="5"/>
      <c r="V252" s="5"/>
      <c r="W252" s="5"/>
      <c r="X252" s="5"/>
      <c r="Y252" s="5"/>
      <c r="Z252" s="5"/>
    </row>
    <row r="253">
      <c r="A253" s="14" t="s">
        <v>123</v>
      </c>
      <c r="B253" s="14" t="s">
        <v>20</v>
      </c>
      <c r="C253" s="118"/>
      <c r="D253" s="15">
        <v>216.0</v>
      </c>
      <c r="E253" s="15">
        <v>600260.0</v>
      </c>
      <c r="F253" s="14" t="s">
        <v>850</v>
      </c>
      <c r="G253" s="14" t="s">
        <v>851</v>
      </c>
      <c r="H253" s="14" t="s">
        <v>48</v>
      </c>
      <c r="I253" s="14" t="s">
        <v>50</v>
      </c>
      <c r="J253" s="14" t="s">
        <v>25</v>
      </c>
      <c r="K253" s="14" t="s">
        <v>51</v>
      </c>
      <c r="L253" s="5"/>
      <c r="M253" s="5"/>
      <c r="N253" s="5"/>
      <c r="O253" s="5"/>
      <c r="P253" s="5"/>
      <c r="Q253" s="5"/>
      <c r="R253" s="5"/>
      <c r="S253" s="5"/>
      <c r="T253" s="5"/>
      <c r="U253" s="5"/>
      <c r="V253" s="5"/>
      <c r="W253" s="5"/>
      <c r="X253" s="5"/>
      <c r="Y253" s="5"/>
      <c r="Z253" s="5"/>
    </row>
    <row r="254">
      <c r="A254" s="9" t="s">
        <v>123</v>
      </c>
      <c r="B254" s="9" t="s">
        <v>20</v>
      </c>
      <c r="C254" s="118"/>
      <c r="D254" s="11">
        <v>414.0</v>
      </c>
      <c r="E254" s="11">
        <v>600119.0</v>
      </c>
      <c r="F254" s="9" t="s">
        <v>852</v>
      </c>
      <c r="G254" s="9" t="s">
        <v>854</v>
      </c>
      <c r="H254" s="9" t="s">
        <v>48</v>
      </c>
      <c r="I254" s="9" t="s">
        <v>50</v>
      </c>
      <c r="J254" s="9" t="s">
        <v>105</v>
      </c>
      <c r="K254" s="9" t="s">
        <v>51</v>
      </c>
      <c r="L254" s="5"/>
      <c r="M254" s="5"/>
      <c r="N254" s="5"/>
      <c r="O254" s="5"/>
      <c r="P254" s="5"/>
      <c r="Q254" s="5"/>
      <c r="R254" s="5"/>
      <c r="S254" s="5"/>
      <c r="T254" s="5"/>
      <c r="U254" s="5"/>
      <c r="V254" s="5"/>
      <c r="W254" s="5"/>
      <c r="X254" s="5"/>
      <c r="Y254" s="5"/>
      <c r="Z254" s="5"/>
    </row>
    <row r="255">
      <c r="A255" s="14" t="s">
        <v>38</v>
      </c>
      <c r="B255" s="14" t="s">
        <v>20</v>
      </c>
      <c r="C255" s="118"/>
      <c r="D255" s="15">
        <v>446.0</v>
      </c>
      <c r="E255" s="15">
        <v>600125.0</v>
      </c>
      <c r="F255" s="14" t="s">
        <v>857</v>
      </c>
      <c r="G255" s="14" t="s">
        <v>858</v>
      </c>
      <c r="H255" s="14" t="s">
        <v>48</v>
      </c>
      <c r="I255" s="14" t="s">
        <v>50</v>
      </c>
      <c r="J255" s="14" t="s">
        <v>25</v>
      </c>
      <c r="K255" s="14" t="s">
        <v>51</v>
      </c>
      <c r="L255" s="5"/>
      <c r="M255" s="5"/>
      <c r="N255" s="5"/>
      <c r="O255" s="5"/>
      <c r="P255" s="5"/>
      <c r="Q255" s="5"/>
      <c r="R255" s="5"/>
      <c r="S255" s="5"/>
      <c r="T255" s="5"/>
      <c r="U255" s="5"/>
      <c r="V255" s="5"/>
      <c r="W255" s="5"/>
      <c r="X255" s="5"/>
      <c r="Y255" s="5"/>
      <c r="Z255" s="5"/>
    </row>
    <row r="256">
      <c r="A256" s="9" t="s">
        <v>38</v>
      </c>
      <c r="B256" s="9" t="s">
        <v>20</v>
      </c>
      <c r="C256" s="118"/>
      <c r="D256" s="11" t="s">
        <v>20</v>
      </c>
      <c r="E256" s="11">
        <v>10849.0</v>
      </c>
      <c r="F256" s="9" t="s">
        <v>859</v>
      </c>
      <c r="G256" s="9" t="s">
        <v>860</v>
      </c>
      <c r="H256" s="9" t="s">
        <v>23</v>
      </c>
      <c r="I256" s="9" t="s">
        <v>24</v>
      </c>
      <c r="J256" s="9" t="s">
        <v>25</v>
      </c>
      <c r="K256" s="9" t="s">
        <v>51</v>
      </c>
      <c r="L256" s="5"/>
      <c r="M256" s="5"/>
      <c r="N256" s="5"/>
      <c r="O256" s="5"/>
      <c r="P256" s="5"/>
      <c r="Q256" s="5"/>
      <c r="R256" s="5"/>
      <c r="S256" s="5"/>
      <c r="T256" s="5"/>
      <c r="U256" s="5"/>
      <c r="V256" s="5"/>
      <c r="W256" s="5"/>
      <c r="X256" s="5"/>
      <c r="Y256" s="5"/>
      <c r="Z256" s="5"/>
    </row>
    <row r="257">
      <c r="A257" s="14" t="s">
        <v>65</v>
      </c>
      <c r="B257" s="14" t="s">
        <v>20</v>
      </c>
      <c r="C257" s="118"/>
      <c r="D257" s="15" t="s">
        <v>20</v>
      </c>
      <c r="E257" s="15">
        <v>10264.0</v>
      </c>
      <c r="F257" s="14" t="s">
        <v>861</v>
      </c>
      <c r="G257" s="14" t="s">
        <v>863</v>
      </c>
      <c r="H257" s="14" t="s">
        <v>23</v>
      </c>
      <c r="I257" s="14" t="s">
        <v>24</v>
      </c>
      <c r="J257" s="14" t="s">
        <v>25</v>
      </c>
      <c r="K257" s="14" t="s">
        <v>51</v>
      </c>
      <c r="L257" s="5"/>
      <c r="M257" s="5"/>
      <c r="N257" s="5"/>
      <c r="O257" s="5"/>
      <c r="P257" s="5"/>
      <c r="Q257" s="5"/>
      <c r="R257" s="5"/>
      <c r="S257" s="5"/>
      <c r="T257" s="5"/>
      <c r="U257" s="5"/>
      <c r="V257" s="5"/>
      <c r="W257" s="5"/>
      <c r="X257" s="5"/>
      <c r="Y257" s="5"/>
      <c r="Z257" s="5"/>
    </row>
    <row r="258">
      <c r="A258" s="9" t="s">
        <v>38</v>
      </c>
      <c r="B258" s="9" t="s">
        <v>20</v>
      </c>
      <c r="C258" s="118"/>
      <c r="D258" s="11" t="s">
        <v>20</v>
      </c>
      <c r="E258" s="11">
        <v>11363.0</v>
      </c>
      <c r="F258" s="9" t="s">
        <v>865</v>
      </c>
      <c r="G258" s="9" t="s">
        <v>865</v>
      </c>
      <c r="H258" s="9" t="s">
        <v>23</v>
      </c>
      <c r="I258" s="9" t="s">
        <v>24</v>
      </c>
      <c r="J258" s="9" t="s">
        <v>25</v>
      </c>
      <c r="K258" s="9" t="s">
        <v>51</v>
      </c>
      <c r="L258" s="5"/>
      <c r="M258" s="5"/>
      <c r="N258" s="5"/>
      <c r="O258" s="5"/>
      <c r="P258" s="5"/>
      <c r="Q258" s="5"/>
      <c r="R258" s="5"/>
      <c r="S258" s="5"/>
      <c r="T258" s="5"/>
      <c r="U258" s="5"/>
      <c r="V258" s="5"/>
      <c r="W258" s="5"/>
      <c r="X258" s="5"/>
      <c r="Y258" s="5"/>
      <c r="Z258" s="5"/>
    </row>
    <row r="259">
      <c r="A259" s="14" t="s">
        <v>14</v>
      </c>
      <c r="B259" s="14" t="s">
        <v>20</v>
      </c>
      <c r="C259" s="118"/>
      <c r="D259" s="15">
        <v>447.0</v>
      </c>
      <c r="E259" s="15">
        <v>600189.0</v>
      </c>
      <c r="F259" s="14" t="s">
        <v>866</v>
      </c>
      <c r="G259" s="14" t="s">
        <v>867</v>
      </c>
      <c r="H259" s="14" t="s">
        <v>48</v>
      </c>
      <c r="I259" s="14" t="s">
        <v>50</v>
      </c>
      <c r="J259" s="14" t="s">
        <v>25</v>
      </c>
      <c r="K259" s="14" t="s">
        <v>51</v>
      </c>
      <c r="L259" s="5"/>
      <c r="M259" s="5"/>
      <c r="N259" s="5"/>
      <c r="O259" s="5"/>
      <c r="P259" s="5"/>
      <c r="Q259" s="5"/>
      <c r="R259" s="5"/>
      <c r="S259" s="5"/>
      <c r="T259" s="5"/>
      <c r="U259" s="5"/>
      <c r="V259" s="5"/>
      <c r="W259" s="5"/>
      <c r="X259" s="5"/>
      <c r="Y259" s="5"/>
      <c r="Z259" s="5"/>
    </row>
    <row r="260">
      <c r="A260" s="9" t="s">
        <v>14</v>
      </c>
      <c r="B260" s="9" t="s">
        <v>20</v>
      </c>
      <c r="C260" s="118"/>
      <c r="D260" s="11">
        <v>819.0</v>
      </c>
      <c r="E260" s="11">
        <v>11321.0</v>
      </c>
      <c r="F260" s="9" t="s">
        <v>871</v>
      </c>
      <c r="G260" s="9" t="s">
        <v>872</v>
      </c>
      <c r="H260" s="9" t="s">
        <v>48</v>
      </c>
      <c r="I260" s="9" t="s">
        <v>50</v>
      </c>
      <c r="J260" s="9" t="s">
        <v>25</v>
      </c>
      <c r="K260" s="9" t="s">
        <v>51</v>
      </c>
      <c r="L260" s="5"/>
      <c r="M260" s="5"/>
      <c r="N260" s="5"/>
      <c r="O260" s="5"/>
      <c r="P260" s="5"/>
      <c r="Q260" s="5"/>
      <c r="R260" s="5"/>
      <c r="S260" s="5"/>
      <c r="T260" s="5"/>
      <c r="U260" s="5"/>
      <c r="V260" s="5"/>
      <c r="W260" s="5"/>
      <c r="X260" s="5"/>
      <c r="Y260" s="5"/>
      <c r="Z260" s="5"/>
    </row>
    <row r="261">
      <c r="A261" s="14" t="s">
        <v>123</v>
      </c>
      <c r="B261" s="14" t="s">
        <v>20</v>
      </c>
      <c r="C261" s="118"/>
      <c r="D261" s="15" t="s">
        <v>20</v>
      </c>
      <c r="E261" s="15">
        <v>600004.0</v>
      </c>
      <c r="F261" s="14" t="s">
        <v>874</v>
      </c>
      <c r="G261" s="14" t="s">
        <v>875</v>
      </c>
      <c r="H261" s="14" t="s">
        <v>23</v>
      </c>
      <c r="I261" s="14" t="s">
        <v>24</v>
      </c>
      <c r="J261" s="14" t="s">
        <v>25</v>
      </c>
      <c r="K261" s="14" t="s">
        <v>51</v>
      </c>
      <c r="L261" s="5"/>
      <c r="M261" s="5"/>
      <c r="N261" s="5"/>
      <c r="O261" s="5"/>
      <c r="P261" s="5"/>
      <c r="Q261" s="5"/>
      <c r="R261" s="5"/>
      <c r="S261" s="5"/>
      <c r="T261" s="5"/>
      <c r="U261" s="5"/>
      <c r="V261" s="5"/>
      <c r="W261" s="5"/>
      <c r="X261" s="5"/>
      <c r="Y261" s="5"/>
      <c r="Z261" s="5"/>
    </row>
    <row r="262">
      <c r="A262" s="9" t="s">
        <v>38</v>
      </c>
      <c r="B262" s="9" t="s">
        <v>20</v>
      </c>
      <c r="C262" s="118"/>
      <c r="D262" s="11" t="s">
        <v>20</v>
      </c>
      <c r="E262" s="11">
        <v>10723.0</v>
      </c>
      <c r="F262" s="9" t="s">
        <v>877</v>
      </c>
      <c r="G262" s="9" t="s">
        <v>878</v>
      </c>
      <c r="H262" s="9" t="s">
        <v>23</v>
      </c>
      <c r="I262" s="9" t="s">
        <v>24</v>
      </c>
      <c r="J262" s="9" t="s">
        <v>25</v>
      </c>
      <c r="K262" s="9" t="s">
        <v>51</v>
      </c>
      <c r="L262" s="5"/>
      <c r="M262" s="5"/>
      <c r="N262" s="5"/>
      <c r="O262" s="5"/>
      <c r="P262" s="5"/>
      <c r="Q262" s="5"/>
      <c r="R262" s="5"/>
      <c r="S262" s="5"/>
      <c r="T262" s="5"/>
      <c r="U262" s="5"/>
      <c r="V262" s="5"/>
      <c r="W262" s="5"/>
      <c r="X262" s="5"/>
      <c r="Y262" s="5"/>
      <c r="Z262" s="5"/>
    </row>
    <row r="263">
      <c r="A263" s="14" t="s">
        <v>14</v>
      </c>
      <c r="B263" s="14" t="s">
        <v>20</v>
      </c>
      <c r="C263" s="118"/>
      <c r="D263" s="15">
        <v>589.0</v>
      </c>
      <c r="E263" s="15">
        <v>600336.0</v>
      </c>
      <c r="F263" s="14" t="s">
        <v>880</v>
      </c>
      <c r="G263" s="14" t="s">
        <v>881</v>
      </c>
      <c r="H263" s="14" t="s">
        <v>48</v>
      </c>
      <c r="I263" s="14" t="s">
        <v>50</v>
      </c>
      <c r="J263" s="14" t="s">
        <v>25</v>
      </c>
      <c r="K263" s="14" t="s">
        <v>51</v>
      </c>
      <c r="L263" s="5"/>
      <c r="M263" s="5"/>
      <c r="N263" s="5"/>
      <c r="O263" s="5"/>
      <c r="P263" s="5"/>
      <c r="Q263" s="5"/>
      <c r="R263" s="5"/>
      <c r="S263" s="5"/>
      <c r="T263" s="5"/>
      <c r="U263" s="5"/>
      <c r="V263" s="5"/>
      <c r="W263" s="5"/>
      <c r="X263" s="5"/>
      <c r="Y263" s="5"/>
      <c r="Z263" s="5"/>
    </row>
    <row r="264">
      <c r="A264" s="9" t="s">
        <v>14</v>
      </c>
      <c r="B264" s="9" t="s">
        <v>20</v>
      </c>
      <c r="C264" s="118"/>
      <c r="D264" s="11" t="s">
        <v>20</v>
      </c>
      <c r="E264" s="11">
        <v>10649.0</v>
      </c>
      <c r="F264" s="9" t="s">
        <v>882</v>
      </c>
      <c r="G264" s="9" t="s">
        <v>883</v>
      </c>
      <c r="H264" s="9" t="s">
        <v>23</v>
      </c>
      <c r="I264" s="9" t="s">
        <v>24</v>
      </c>
      <c r="J264" s="9" t="s">
        <v>25</v>
      </c>
      <c r="K264" s="9" t="s">
        <v>51</v>
      </c>
      <c r="L264" s="5"/>
      <c r="M264" s="5"/>
      <c r="N264" s="5"/>
      <c r="O264" s="5"/>
      <c r="P264" s="5"/>
      <c r="Q264" s="5"/>
      <c r="R264" s="5"/>
      <c r="S264" s="5"/>
      <c r="T264" s="5"/>
      <c r="U264" s="5"/>
      <c r="V264" s="5"/>
      <c r="W264" s="5"/>
      <c r="X264" s="5"/>
      <c r="Y264" s="5"/>
      <c r="Z264" s="5"/>
    </row>
    <row r="265">
      <c r="A265" s="14" t="s">
        <v>65</v>
      </c>
      <c r="B265" s="14" t="s">
        <v>20</v>
      </c>
      <c r="C265" s="118"/>
      <c r="D265" s="15" t="s">
        <v>20</v>
      </c>
      <c r="E265" s="15">
        <v>10794.0</v>
      </c>
      <c r="F265" s="14" t="s">
        <v>885</v>
      </c>
      <c r="G265" s="14" t="s">
        <v>885</v>
      </c>
      <c r="H265" s="14" t="s">
        <v>23</v>
      </c>
      <c r="I265" s="14" t="s">
        <v>77</v>
      </c>
      <c r="J265" s="14" t="s">
        <v>25</v>
      </c>
      <c r="K265" s="14" t="s">
        <v>51</v>
      </c>
      <c r="L265" s="5"/>
      <c r="M265" s="5"/>
      <c r="N265" s="5"/>
      <c r="O265" s="5"/>
      <c r="P265" s="5"/>
      <c r="Q265" s="5"/>
      <c r="R265" s="5"/>
      <c r="S265" s="5"/>
      <c r="T265" s="5"/>
      <c r="U265" s="5"/>
      <c r="V265" s="5"/>
      <c r="W265" s="5"/>
      <c r="X265" s="5"/>
      <c r="Y265" s="5"/>
      <c r="Z265" s="5"/>
    </row>
    <row r="266">
      <c r="A266" s="9" t="s">
        <v>65</v>
      </c>
      <c r="B266" s="9" t="s">
        <v>20</v>
      </c>
      <c r="C266" s="118"/>
      <c r="D266" s="11">
        <v>746.0</v>
      </c>
      <c r="E266" s="11">
        <v>600538.0</v>
      </c>
      <c r="F266" s="9" t="s">
        <v>886</v>
      </c>
      <c r="G266" s="9" t="s">
        <v>887</v>
      </c>
      <c r="H266" s="9" t="s">
        <v>48</v>
      </c>
      <c r="I266" s="9" t="s">
        <v>50</v>
      </c>
      <c r="J266" s="9" t="s">
        <v>888</v>
      </c>
      <c r="K266" s="9" t="s">
        <v>51</v>
      </c>
      <c r="L266" s="5"/>
      <c r="M266" s="5"/>
      <c r="N266" s="5"/>
      <c r="O266" s="5"/>
      <c r="P266" s="5"/>
      <c r="Q266" s="5"/>
      <c r="R266" s="5"/>
      <c r="S266" s="5"/>
      <c r="T266" s="5"/>
      <c r="U266" s="5"/>
      <c r="V266" s="5"/>
      <c r="W266" s="5"/>
      <c r="X266" s="5"/>
      <c r="Y266" s="5"/>
      <c r="Z266" s="5"/>
    </row>
    <row r="267">
      <c r="A267" s="14" t="s">
        <v>14</v>
      </c>
      <c r="B267" s="14" t="s">
        <v>20</v>
      </c>
      <c r="C267" s="118"/>
      <c r="D267" s="15">
        <v>616.0</v>
      </c>
      <c r="E267" s="15">
        <v>600365.0</v>
      </c>
      <c r="F267" s="14" t="s">
        <v>889</v>
      </c>
      <c r="G267" s="14" t="s">
        <v>890</v>
      </c>
      <c r="H267" s="14" t="s">
        <v>48</v>
      </c>
      <c r="I267" s="14" t="s">
        <v>50</v>
      </c>
      <c r="J267" s="14" t="s">
        <v>25</v>
      </c>
      <c r="K267" s="14" t="s">
        <v>51</v>
      </c>
      <c r="L267" s="5"/>
      <c r="M267" s="5"/>
      <c r="N267" s="5"/>
      <c r="O267" s="5"/>
      <c r="P267" s="5"/>
      <c r="Q267" s="5"/>
      <c r="R267" s="5"/>
      <c r="S267" s="5"/>
      <c r="T267" s="5"/>
      <c r="U267" s="5"/>
      <c r="V267" s="5"/>
      <c r="W267" s="5"/>
      <c r="X267" s="5"/>
      <c r="Y267" s="5"/>
      <c r="Z267" s="5"/>
    </row>
    <row r="268">
      <c r="A268" s="9" t="s">
        <v>123</v>
      </c>
      <c r="B268" s="9" t="s">
        <v>20</v>
      </c>
      <c r="C268" s="118"/>
      <c r="D268" s="11">
        <v>860.0</v>
      </c>
      <c r="E268" s="11">
        <v>600671.0</v>
      </c>
      <c r="F268" s="9" t="s">
        <v>892</v>
      </c>
      <c r="G268" s="9" t="s">
        <v>893</v>
      </c>
      <c r="H268" s="9" t="s">
        <v>48</v>
      </c>
      <c r="I268" s="9" t="s">
        <v>50</v>
      </c>
      <c r="J268" s="9" t="s">
        <v>25</v>
      </c>
      <c r="K268" s="9" t="s">
        <v>51</v>
      </c>
      <c r="L268" s="5"/>
      <c r="M268" s="5"/>
      <c r="N268" s="5"/>
      <c r="O268" s="5"/>
      <c r="P268" s="5"/>
      <c r="Q268" s="5"/>
      <c r="R268" s="5"/>
      <c r="S268" s="5"/>
      <c r="T268" s="5"/>
      <c r="U268" s="5"/>
      <c r="V268" s="5"/>
      <c r="W268" s="5"/>
      <c r="X268" s="5"/>
      <c r="Y268" s="5"/>
      <c r="Z268" s="5"/>
    </row>
    <row r="269">
      <c r="A269" s="14" t="s">
        <v>38</v>
      </c>
      <c r="B269" s="14" t="s">
        <v>20</v>
      </c>
      <c r="C269" s="118"/>
      <c r="D269" s="15" t="s">
        <v>20</v>
      </c>
      <c r="E269" s="15">
        <v>10482.0</v>
      </c>
      <c r="F269" s="14" t="s">
        <v>896</v>
      </c>
      <c r="G269" s="14" t="s">
        <v>897</v>
      </c>
      <c r="H269" s="14" t="s">
        <v>23</v>
      </c>
      <c r="I269" s="14" t="s">
        <v>24</v>
      </c>
      <c r="J269" s="14" t="s">
        <v>25</v>
      </c>
      <c r="K269" s="14" t="s">
        <v>51</v>
      </c>
      <c r="L269" s="5"/>
      <c r="M269" s="5"/>
      <c r="N269" s="5"/>
      <c r="O269" s="5"/>
      <c r="P269" s="5"/>
      <c r="Q269" s="5"/>
      <c r="R269" s="5"/>
      <c r="S269" s="5"/>
      <c r="T269" s="5"/>
      <c r="U269" s="5"/>
      <c r="V269" s="5"/>
      <c r="W269" s="5"/>
      <c r="X269" s="5"/>
      <c r="Y269" s="5"/>
      <c r="Z269" s="5"/>
    </row>
    <row r="270">
      <c r="A270" s="9" t="s">
        <v>65</v>
      </c>
      <c r="B270" s="9" t="s">
        <v>20</v>
      </c>
      <c r="C270" s="118"/>
      <c r="D270" s="11" t="s">
        <v>20</v>
      </c>
      <c r="E270" s="11">
        <v>10471.0</v>
      </c>
      <c r="F270" s="9" t="s">
        <v>898</v>
      </c>
      <c r="G270" s="9" t="s">
        <v>898</v>
      </c>
      <c r="H270" s="9" t="s">
        <v>23</v>
      </c>
      <c r="I270" s="9" t="s">
        <v>77</v>
      </c>
      <c r="J270" s="9" t="s">
        <v>25</v>
      </c>
      <c r="K270" s="9" t="s">
        <v>51</v>
      </c>
      <c r="L270" s="5"/>
      <c r="M270" s="5"/>
      <c r="N270" s="5"/>
      <c r="O270" s="5"/>
      <c r="P270" s="5"/>
      <c r="Q270" s="5"/>
      <c r="R270" s="5"/>
      <c r="S270" s="5"/>
      <c r="T270" s="5"/>
      <c r="U270" s="5"/>
      <c r="V270" s="5"/>
      <c r="W270" s="5"/>
      <c r="X270" s="5"/>
      <c r="Y270" s="5"/>
      <c r="Z270" s="5"/>
    </row>
    <row r="271">
      <c r="A271" s="14" t="s">
        <v>65</v>
      </c>
      <c r="B271" s="14" t="s">
        <v>20</v>
      </c>
      <c r="C271" s="118"/>
      <c r="D271" s="15" t="s">
        <v>20</v>
      </c>
      <c r="E271" s="15">
        <v>10665.0</v>
      </c>
      <c r="F271" s="14" t="s">
        <v>902</v>
      </c>
      <c r="G271" s="14" t="s">
        <v>902</v>
      </c>
      <c r="H271" s="14" t="s">
        <v>23</v>
      </c>
      <c r="I271" s="14" t="s">
        <v>24</v>
      </c>
      <c r="J271" s="14" t="s">
        <v>25</v>
      </c>
      <c r="K271" s="14" t="s">
        <v>51</v>
      </c>
      <c r="L271" s="5"/>
      <c r="M271" s="5"/>
      <c r="N271" s="5"/>
      <c r="O271" s="5"/>
      <c r="P271" s="5"/>
      <c r="Q271" s="5"/>
      <c r="R271" s="5"/>
      <c r="S271" s="5"/>
      <c r="T271" s="5"/>
      <c r="U271" s="5"/>
      <c r="V271" s="5"/>
      <c r="W271" s="5"/>
      <c r="X271" s="5"/>
      <c r="Y271" s="5"/>
      <c r="Z271" s="5"/>
    </row>
    <row r="272">
      <c r="A272" s="9" t="s">
        <v>123</v>
      </c>
      <c r="B272" s="9" t="s">
        <v>20</v>
      </c>
      <c r="C272" s="118"/>
      <c r="D272" s="11" t="s">
        <v>20</v>
      </c>
      <c r="E272" s="11">
        <v>10737.0</v>
      </c>
      <c r="F272" s="9" t="s">
        <v>903</v>
      </c>
      <c r="G272" s="9" t="s">
        <v>904</v>
      </c>
      <c r="H272" s="9" t="s">
        <v>23</v>
      </c>
      <c r="I272" s="9" t="s">
        <v>24</v>
      </c>
      <c r="J272" s="9" t="s">
        <v>25</v>
      </c>
      <c r="K272" s="9" t="s">
        <v>51</v>
      </c>
      <c r="L272" s="5"/>
      <c r="M272" s="5"/>
      <c r="N272" s="5"/>
      <c r="O272" s="5"/>
      <c r="P272" s="5"/>
      <c r="Q272" s="5"/>
      <c r="R272" s="5"/>
      <c r="S272" s="5"/>
      <c r="T272" s="5"/>
      <c r="U272" s="5"/>
      <c r="V272" s="5"/>
      <c r="W272" s="5"/>
      <c r="X272" s="5"/>
      <c r="Y272" s="5"/>
      <c r="Z272" s="5"/>
    </row>
    <row r="273">
      <c r="A273" s="14" t="s">
        <v>123</v>
      </c>
      <c r="B273" s="14" t="s">
        <v>20</v>
      </c>
      <c r="C273" s="118"/>
      <c r="D273" s="15">
        <v>541.0</v>
      </c>
      <c r="E273" s="15">
        <v>600273.0</v>
      </c>
      <c r="F273" s="14" t="s">
        <v>905</v>
      </c>
      <c r="G273" s="14" t="s">
        <v>906</v>
      </c>
      <c r="H273" s="14" t="s">
        <v>48</v>
      </c>
      <c r="I273" s="14" t="s">
        <v>50</v>
      </c>
      <c r="J273" s="14" t="s">
        <v>907</v>
      </c>
      <c r="K273" s="14" t="s">
        <v>51</v>
      </c>
      <c r="L273" s="5"/>
      <c r="M273" s="5"/>
      <c r="N273" s="5"/>
      <c r="O273" s="5"/>
      <c r="P273" s="5"/>
      <c r="Q273" s="5"/>
      <c r="R273" s="5"/>
      <c r="S273" s="5"/>
      <c r="T273" s="5"/>
      <c r="U273" s="5"/>
      <c r="V273" s="5"/>
      <c r="W273" s="5"/>
      <c r="X273" s="5"/>
      <c r="Y273" s="5"/>
      <c r="Z273" s="5"/>
    </row>
    <row r="274">
      <c r="A274" s="9" t="s">
        <v>123</v>
      </c>
      <c r="B274" s="9" t="s">
        <v>20</v>
      </c>
      <c r="C274" s="118"/>
      <c r="D274" s="11">
        <v>852.0</v>
      </c>
      <c r="E274" s="11">
        <v>600677.0</v>
      </c>
      <c r="F274" s="9" t="s">
        <v>909</v>
      </c>
      <c r="G274" s="9" t="s">
        <v>910</v>
      </c>
      <c r="H274" s="9" t="s">
        <v>48</v>
      </c>
      <c r="I274" s="9" t="s">
        <v>50</v>
      </c>
      <c r="J274" s="9" t="s">
        <v>155</v>
      </c>
      <c r="K274" s="9" t="s">
        <v>51</v>
      </c>
      <c r="L274" s="5"/>
      <c r="M274" s="5"/>
      <c r="N274" s="5"/>
      <c r="O274" s="5"/>
      <c r="P274" s="5"/>
      <c r="Q274" s="5"/>
      <c r="R274" s="5"/>
      <c r="S274" s="5"/>
      <c r="T274" s="5"/>
      <c r="U274" s="5"/>
      <c r="V274" s="5"/>
      <c r="W274" s="5"/>
      <c r="X274" s="5"/>
      <c r="Y274" s="5"/>
      <c r="Z274" s="5"/>
    </row>
    <row r="275">
      <c r="A275" s="14" t="s">
        <v>65</v>
      </c>
      <c r="B275" s="14" t="s">
        <v>20</v>
      </c>
      <c r="C275" s="118"/>
      <c r="D275" s="15" t="s">
        <v>20</v>
      </c>
      <c r="E275" s="15">
        <v>10847.0</v>
      </c>
      <c r="F275" s="14" t="s">
        <v>913</v>
      </c>
      <c r="G275" s="14" t="s">
        <v>914</v>
      </c>
      <c r="H275" s="14" t="s">
        <v>23</v>
      </c>
      <c r="I275" s="14" t="s">
        <v>24</v>
      </c>
      <c r="J275" s="14" t="s">
        <v>25</v>
      </c>
      <c r="K275" s="14" t="s">
        <v>51</v>
      </c>
      <c r="L275" s="5"/>
      <c r="M275" s="5"/>
      <c r="N275" s="5"/>
      <c r="O275" s="5"/>
      <c r="P275" s="5"/>
      <c r="Q275" s="5"/>
      <c r="R275" s="5"/>
      <c r="S275" s="5"/>
      <c r="T275" s="5"/>
      <c r="U275" s="5"/>
      <c r="V275" s="5"/>
      <c r="W275" s="5"/>
      <c r="X275" s="5"/>
      <c r="Y275" s="5"/>
      <c r="Z275" s="5"/>
    </row>
    <row r="276">
      <c r="A276" s="9" t="s">
        <v>14</v>
      </c>
      <c r="B276" s="9" t="s">
        <v>20</v>
      </c>
      <c r="C276" s="118"/>
      <c r="D276" s="11" t="s">
        <v>20</v>
      </c>
      <c r="E276" s="11">
        <v>10816.0</v>
      </c>
      <c r="F276" s="9" t="s">
        <v>915</v>
      </c>
      <c r="G276" s="9" t="s">
        <v>915</v>
      </c>
      <c r="H276" s="9" t="s">
        <v>23</v>
      </c>
      <c r="I276" s="9" t="s">
        <v>24</v>
      </c>
      <c r="J276" s="9" t="s">
        <v>25</v>
      </c>
      <c r="K276" s="9" t="s">
        <v>51</v>
      </c>
      <c r="L276" s="5"/>
      <c r="M276" s="5"/>
      <c r="N276" s="5"/>
      <c r="O276" s="5"/>
      <c r="P276" s="5"/>
      <c r="Q276" s="5"/>
      <c r="R276" s="5"/>
      <c r="S276" s="5"/>
      <c r="T276" s="5"/>
      <c r="U276" s="5"/>
      <c r="V276" s="5"/>
      <c r="W276" s="5"/>
      <c r="X276" s="5"/>
      <c r="Y276" s="5"/>
      <c r="Z276" s="5"/>
    </row>
    <row r="277">
      <c r="A277" s="14" t="s">
        <v>65</v>
      </c>
      <c r="B277" s="14" t="s">
        <v>20</v>
      </c>
      <c r="C277" s="118"/>
      <c r="D277" s="15" t="s">
        <v>20</v>
      </c>
      <c r="E277" s="15">
        <v>600532.0</v>
      </c>
      <c r="F277" s="14" t="s">
        <v>917</v>
      </c>
      <c r="G277" s="14" t="s">
        <v>917</v>
      </c>
      <c r="H277" s="14" t="s">
        <v>23</v>
      </c>
      <c r="I277" s="14" t="s">
        <v>77</v>
      </c>
      <c r="J277" s="14" t="s">
        <v>25</v>
      </c>
      <c r="K277" s="14" t="s">
        <v>51</v>
      </c>
      <c r="L277" s="5"/>
      <c r="M277" s="5"/>
      <c r="N277" s="5"/>
      <c r="O277" s="5"/>
      <c r="P277" s="5"/>
      <c r="Q277" s="5"/>
      <c r="R277" s="5"/>
      <c r="S277" s="5"/>
      <c r="T277" s="5"/>
      <c r="U277" s="5"/>
      <c r="V277" s="5"/>
      <c r="W277" s="5"/>
      <c r="X277" s="5"/>
      <c r="Y277" s="5"/>
      <c r="Z277" s="5"/>
    </row>
    <row r="278">
      <c r="A278" s="9" t="s">
        <v>123</v>
      </c>
      <c r="B278" s="9" t="s">
        <v>20</v>
      </c>
      <c r="C278" s="118"/>
      <c r="D278" s="11">
        <v>495.0</v>
      </c>
      <c r="E278" s="11">
        <v>600436.0</v>
      </c>
      <c r="F278" s="9" t="s">
        <v>920</v>
      </c>
      <c r="G278" s="9" t="s">
        <v>921</v>
      </c>
      <c r="H278" s="9" t="s">
        <v>48</v>
      </c>
      <c r="I278" s="9" t="s">
        <v>50</v>
      </c>
      <c r="J278" s="9" t="s">
        <v>105</v>
      </c>
      <c r="K278" s="9" t="s">
        <v>51</v>
      </c>
      <c r="L278" s="5"/>
      <c r="M278" s="5"/>
      <c r="N278" s="5"/>
      <c r="O278" s="5"/>
      <c r="P278" s="5"/>
      <c r="Q278" s="5"/>
      <c r="R278" s="5"/>
      <c r="S278" s="5"/>
      <c r="T278" s="5"/>
      <c r="U278" s="5"/>
      <c r="V278" s="5"/>
      <c r="W278" s="5"/>
      <c r="X278" s="5"/>
      <c r="Y278" s="5"/>
      <c r="Z278" s="5"/>
    </row>
    <row r="279">
      <c r="A279" s="14" t="s">
        <v>14</v>
      </c>
      <c r="B279" s="14" t="s">
        <v>20</v>
      </c>
      <c r="C279" s="118"/>
      <c r="D279" s="15">
        <v>940.0</v>
      </c>
      <c r="E279" s="15">
        <v>800003.0</v>
      </c>
      <c r="F279" s="14" t="s">
        <v>922</v>
      </c>
      <c r="G279" s="14" t="s">
        <v>923</v>
      </c>
      <c r="H279" s="14" t="s">
        <v>48</v>
      </c>
      <c r="I279" s="14" t="s">
        <v>50</v>
      </c>
      <c r="J279" s="14" t="s">
        <v>25</v>
      </c>
      <c r="K279" s="14" t="s">
        <v>51</v>
      </c>
      <c r="L279" s="5"/>
      <c r="M279" s="5"/>
      <c r="N279" s="5"/>
      <c r="O279" s="5"/>
      <c r="P279" s="5"/>
      <c r="Q279" s="5"/>
      <c r="R279" s="5"/>
      <c r="S279" s="5"/>
      <c r="T279" s="5"/>
      <c r="U279" s="5"/>
      <c r="V279" s="5"/>
      <c r="W279" s="5"/>
      <c r="X279" s="5"/>
      <c r="Y279" s="5"/>
      <c r="Z279" s="5"/>
    </row>
    <row r="280">
      <c r="A280" s="9" t="s">
        <v>14</v>
      </c>
      <c r="B280" s="9" t="s">
        <v>20</v>
      </c>
      <c r="C280" s="118"/>
      <c r="D280" s="11">
        <v>618.0</v>
      </c>
      <c r="E280" s="11">
        <v>600039.0</v>
      </c>
      <c r="F280" s="9" t="s">
        <v>924</v>
      </c>
      <c r="G280" s="9" t="s">
        <v>925</v>
      </c>
      <c r="H280" s="9" t="s">
        <v>48</v>
      </c>
      <c r="I280" s="9" t="s">
        <v>50</v>
      </c>
      <c r="J280" s="9" t="s">
        <v>105</v>
      </c>
      <c r="K280" s="9" t="s">
        <v>51</v>
      </c>
      <c r="L280" s="5"/>
      <c r="M280" s="5"/>
      <c r="N280" s="5"/>
      <c r="O280" s="5"/>
      <c r="P280" s="5"/>
      <c r="Q280" s="5"/>
      <c r="R280" s="5"/>
      <c r="S280" s="5"/>
      <c r="T280" s="5"/>
      <c r="U280" s="5"/>
      <c r="V280" s="5"/>
      <c r="W280" s="5"/>
      <c r="X280" s="5"/>
      <c r="Y280" s="5"/>
      <c r="Z280" s="5"/>
    </row>
    <row r="281">
      <c r="A281" s="14" t="s">
        <v>38</v>
      </c>
      <c r="B281" s="14" t="s">
        <v>20</v>
      </c>
      <c r="C281" s="118"/>
      <c r="D281" s="15" t="s">
        <v>20</v>
      </c>
      <c r="E281" s="15">
        <v>10582.0</v>
      </c>
      <c r="F281" s="14" t="s">
        <v>926</v>
      </c>
      <c r="G281" s="14" t="s">
        <v>927</v>
      </c>
      <c r="H281" s="14" t="s">
        <v>23</v>
      </c>
      <c r="I281" s="14" t="s">
        <v>24</v>
      </c>
      <c r="J281" s="14" t="s">
        <v>25</v>
      </c>
      <c r="K281" s="14" t="s">
        <v>51</v>
      </c>
      <c r="L281" s="5"/>
      <c r="M281" s="5"/>
      <c r="N281" s="5"/>
      <c r="O281" s="5"/>
      <c r="P281" s="5"/>
      <c r="Q281" s="5"/>
      <c r="R281" s="5"/>
      <c r="S281" s="5"/>
      <c r="T281" s="5"/>
      <c r="U281" s="5"/>
      <c r="V281" s="5"/>
      <c r="W281" s="5"/>
      <c r="X281" s="5"/>
      <c r="Y281" s="5"/>
      <c r="Z281" s="5"/>
    </row>
    <row r="282">
      <c r="A282" s="14" t="s">
        <v>123</v>
      </c>
      <c r="B282" s="14" t="s">
        <v>20</v>
      </c>
      <c r="C282" s="118"/>
      <c r="D282" s="15">
        <v>729.0</v>
      </c>
      <c r="E282" s="15">
        <v>600512.0</v>
      </c>
      <c r="F282" s="14" t="s">
        <v>930</v>
      </c>
      <c r="G282" s="14" t="s">
        <v>931</v>
      </c>
      <c r="H282" s="14" t="s">
        <v>48</v>
      </c>
      <c r="I282" s="14" t="s">
        <v>50</v>
      </c>
      <c r="J282" s="14" t="s">
        <v>70</v>
      </c>
      <c r="K282" s="14" t="s">
        <v>51</v>
      </c>
      <c r="L282" s="5"/>
      <c r="M282" s="5"/>
      <c r="N282" s="5"/>
      <c r="O282" s="5"/>
      <c r="P282" s="5"/>
      <c r="Q282" s="5"/>
      <c r="R282" s="5"/>
      <c r="S282" s="5"/>
      <c r="T282" s="5"/>
      <c r="U282" s="5"/>
      <c r="V282" s="5"/>
      <c r="W282" s="5"/>
      <c r="X282" s="5"/>
      <c r="Y282" s="5"/>
      <c r="Z282" s="5"/>
    </row>
    <row r="283">
      <c r="A283" s="9" t="s">
        <v>123</v>
      </c>
      <c r="B283" s="9" t="s">
        <v>20</v>
      </c>
      <c r="C283" s="118"/>
      <c r="D283" s="11">
        <v>686.0</v>
      </c>
      <c r="E283" s="11">
        <v>600479.0</v>
      </c>
      <c r="F283" s="9" t="s">
        <v>932</v>
      </c>
      <c r="G283" s="9" t="s">
        <v>933</v>
      </c>
      <c r="H283" s="9" t="s">
        <v>48</v>
      </c>
      <c r="I283" s="9" t="s">
        <v>50</v>
      </c>
      <c r="J283" s="9" t="s">
        <v>105</v>
      </c>
      <c r="K283" s="9" t="s">
        <v>51</v>
      </c>
      <c r="L283" s="5"/>
      <c r="M283" s="5"/>
      <c r="N283" s="5"/>
      <c r="O283" s="5"/>
      <c r="P283" s="5"/>
      <c r="Q283" s="5"/>
      <c r="R283" s="5"/>
      <c r="S283" s="5"/>
      <c r="T283" s="5"/>
      <c r="U283" s="5"/>
      <c r="V283" s="5"/>
      <c r="W283" s="5"/>
      <c r="X283" s="5"/>
      <c r="Y283" s="5"/>
      <c r="Z283" s="5"/>
    </row>
    <row r="284">
      <c r="A284" s="14" t="s">
        <v>14</v>
      </c>
      <c r="B284" s="14" t="s">
        <v>20</v>
      </c>
      <c r="C284" s="118"/>
      <c r="D284" s="15">
        <v>625.0</v>
      </c>
      <c r="E284" s="15">
        <v>600188.0</v>
      </c>
      <c r="F284" s="14" t="s">
        <v>935</v>
      </c>
      <c r="G284" s="14" t="s">
        <v>936</v>
      </c>
      <c r="H284" s="14" t="s">
        <v>48</v>
      </c>
      <c r="I284" s="14" t="s">
        <v>50</v>
      </c>
      <c r="J284" s="14" t="s">
        <v>938</v>
      </c>
      <c r="K284" s="14" t="s">
        <v>51</v>
      </c>
      <c r="L284" s="5"/>
      <c r="M284" s="5"/>
      <c r="N284" s="5"/>
      <c r="O284" s="5"/>
      <c r="P284" s="5"/>
      <c r="Q284" s="5"/>
      <c r="R284" s="5"/>
      <c r="S284" s="5"/>
      <c r="T284" s="5"/>
      <c r="U284" s="5"/>
      <c r="V284" s="5"/>
      <c r="W284" s="5"/>
      <c r="X284" s="5"/>
      <c r="Y284" s="5"/>
      <c r="Z284" s="5"/>
    </row>
    <row r="285">
      <c r="A285" s="9" t="s">
        <v>123</v>
      </c>
      <c r="B285" s="9" t="s">
        <v>20</v>
      </c>
      <c r="C285" s="118"/>
      <c r="D285" s="11" t="s">
        <v>20</v>
      </c>
      <c r="E285" s="11">
        <v>11305.0</v>
      </c>
      <c r="F285" s="9" t="s">
        <v>940</v>
      </c>
      <c r="G285" s="9" t="s">
        <v>941</v>
      </c>
      <c r="H285" s="9" t="s">
        <v>23</v>
      </c>
      <c r="I285" s="9" t="s">
        <v>24</v>
      </c>
      <c r="J285" s="9" t="s">
        <v>25</v>
      </c>
      <c r="K285" s="9" t="s">
        <v>51</v>
      </c>
      <c r="L285" s="5"/>
      <c r="M285" s="5"/>
      <c r="N285" s="5"/>
      <c r="O285" s="5"/>
      <c r="P285" s="5"/>
      <c r="Q285" s="5"/>
      <c r="R285" s="5"/>
      <c r="S285" s="5"/>
      <c r="T285" s="5"/>
      <c r="U285" s="5"/>
      <c r="V285" s="5"/>
      <c r="W285" s="5"/>
      <c r="X285" s="5"/>
      <c r="Y285" s="5"/>
      <c r="Z285" s="5"/>
    </row>
    <row r="286">
      <c r="A286" s="14" t="s">
        <v>14</v>
      </c>
      <c r="B286" s="14" t="s">
        <v>20</v>
      </c>
      <c r="C286" s="118"/>
      <c r="D286" s="15">
        <v>628.0</v>
      </c>
      <c r="E286" s="15">
        <v>600377.0</v>
      </c>
      <c r="F286" s="14" t="s">
        <v>943</v>
      </c>
      <c r="G286" s="14" t="s">
        <v>72</v>
      </c>
      <c r="H286" s="14" t="s">
        <v>48</v>
      </c>
      <c r="I286" s="14" t="s">
        <v>50</v>
      </c>
      <c r="J286" s="14" t="s">
        <v>105</v>
      </c>
      <c r="K286" s="14" t="s">
        <v>51</v>
      </c>
      <c r="L286" s="5"/>
      <c r="M286" s="5"/>
      <c r="N286" s="5"/>
      <c r="O286" s="5"/>
      <c r="P286" s="5"/>
      <c r="Q286" s="5"/>
      <c r="R286" s="5"/>
      <c r="S286" s="5"/>
      <c r="T286" s="5"/>
      <c r="U286" s="5"/>
      <c r="V286" s="5"/>
      <c r="W286" s="5"/>
      <c r="X286" s="5"/>
      <c r="Y286" s="5"/>
      <c r="Z286" s="5"/>
    </row>
    <row r="287">
      <c r="A287" s="9" t="s">
        <v>14</v>
      </c>
      <c r="B287" s="9" t="s">
        <v>20</v>
      </c>
      <c r="C287" s="118"/>
      <c r="D287" s="11">
        <v>75.0</v>
      </c>
      <c r="E287" s="11">
        <v>600410.0</v>
      </c>
      <c r="F287" s="9" t="s">
        <v>944</v>
      </c>
      <c r="G287" s="9" t="s">
        <v>142</v>
      </c>
      <c r="H287" s="9" t="s">
        <v>48</v>
      </c>
      <c r="I287" s="9" t="s">
        <v>50</v>
      </c>
      <c r="J287" s="9" t="s">
        <v>105</v>
      </c>
      <c r="K287" s="9" t="s">
        <v>51</v>
      </c>
      <c r="L287" s="5"/>
      <c r="M287" s="5"/>
      <c r="N287" s="5"/>
      <c r="O287" s="5"/>
      <c r="P287" s="5"/>
      <c r="Q287" s="5"/>
      <c r="R287" s="5"/>
      <c r="S287" s="5"/>
      <c r="T287" s="5"/>
      <c r="U287" s="5"/>
      <c r="V287" s="5"/>
      <c r="W287" s="5"/>
      <c r="X287" s="5"/>
      <c r="Y287" s="5"/>
      <c r="Z287" s="5"/>
    </row>
    <row r="288">
      <c r="A288" s="14" t="s">
        <v>65</v>
      </c>
      <c r="B288" s="14" t="s">
        <v>20</v>
      </c>
      <c r="C288" s="118"/>
      <c r="D288" s="15" t="s">
        <v>20</v>
      </c>
      <c r="E288" s="15">
        <v>10763.0</v>
      </c>
      <c r="F288" s="14" t="s">
        <v>946</v>
      </c>
      <c r="G288" s="14" t="s">
        <v>946</v>
      </c>
      <c r="H288" s="14" t="s">
        <v>23</v>
      </c>
      <c r="I288" s="14" t="s">
        <v>77</v>
      </c>
      <c r="J288" s="14" t="s">
        <v>25</v>
      </c>
      <c r="K288" s="14" t="s">
        <v>51</v>
      </c>
      <c r="L288" s="5"/>
      <c r="M288" s="5"/>
      <c r="N288" s="5"/>
      <c r="O288" s="5"/>
      <c r="P288" s="5"/>
      <c r="Q288" s="5"/>
      <c r="R288" s="5"/>
      <c r="S288" s="5"/>
      <c r="T288" s="5"/>
      <c r="U288" s="5"/>
      <c r="V288" s="5"/>
      <c r="W288" s="5"/>
      <c r="X288" s="5"/>
      <c r="Y288" s="5"/>
      <c r="Z288" s="5"/>
    </row>
    <row r="289">
      <c r="A289" s="9" t="s">
        <v>123</v>
      </c>
      <c r="B289" s="9" t="s">
        <v>20</v>
      </c>
      <c r="C289" s="118"/>
      <c r="D289" s="11" t="s">
        <v>20</v>
      </c>
      <c r="E289" s="11">
        <v>10527.0</v>
      </c>
      <c r="F289" s="9" t="s">
        <v>948</v>
      </c>
      <c r="G289" s="9" t="s">
        <v>949</v>
      </c>
      <c r="H289" s="9" t="s">
        <v>23</v>
      </c>
      <c r="I289" s="9" t="s">
        <v>24</v>
      </c>
      <c r="J289" s="9" t="s">
        <v>25</v>
      </c>
      <c r="K289" s="9" t="s">
        <v>51</v>
      </c>
      <c r="L289" s="5"/>
      <c r="M289" s="5"/>
      <c r="N289" s="5"/>
      <c r="O289" s="5"/>
      <c r="P289" s="5"/>
      <c r="Q289" s="5"/>
      <c r="R289" s="5"/>
      <c r="S289" s="5"/>
      <c r="T289" s="5"/>
      <c r="U289" s="5"/>
      <c r="V289" s="5"/>
      <c r="W289" s="5"/>
      <c r="X289" s="5"/>
      <c r="Y289" s="5"/>
      <c r="Z289" s="5"/>
    </row>
    <row r="290">
      <c r="A290" s="14" t="s">
        <v>123</v>
      </c>
      <c r="B290" s="14" t="s">
        <v>20</v>
      </c>
      <c r="C290" s="118"/>
      <c r="D290" s="15" t="s">
        <v>20</v>
      </c>
      <c r="E290" s="15">
        <v>11248.0</v>
      </c>
      <c r="F290" s="14" t="s">
        <v>950</v>
      </c>
      <c r="G290" s="14" t="s">
        <v>951</v>
      </c>
      <c r="H290" s="14" t="s">
        <v>23</v>
      </c>
      <c r="I290" s="14" t="s">
        <v>24</v>
      </c>
      <c r="J290" s="14" t="s">
        <v>25</v>
      </c>
      <c r="K290" s="14" t="s">
        <v>51</v>
      </c>
      <c r="L290" s="5"/>
      <c r="M290" s="5"/>
      <c r="N290" s="5"/>
      <c r="O290" s="5"/>
      <c r="P290" s="5"/>
      <c r="Q290" s="5"/>
      <c r="R290" s="5"/>
      <c r="S290" s="5"/>
      <c r="T290" s="5"/>
      <c r="U290" s="5"/>
      <c r="V290" s="5"/>
      <c r="W290" s="5"/>
      <c r="X290" s="5"/>
      <c r="Y290" s="5"/>
      <c r="Z290" s="5"/>
    </row>
    <row r="291">
      <c r="A291" s="9" t="s">
        <v>38</v>
      </c>
      <c r="B291" s="9" t="s">
        <v>20</v>
      </c>
      <c r="C291" s="118"/>
      <c r="D291" s="11" t="s">
        <v>20</v>
      </c>
      <c r="E291" s="11">
        <v>11214.0</v>
      </c>
      <c r="F291" s="9" t="s">
        <v>955</v>
      </c>
      <c r="G291" s="9" t="s">
        <v>956</v>
      </c>
      <c r="H291" s="9" t="s">
        <v>23</v>
      </c>
      <c r="I291" s="9" t="s">
        <v>24</v>
      </c>
      <c r="J291" s="9" t="s">
        <v>957</v>
      </c>
      <c r="K291" s="9" t="s">
        <v>51</v>
      </c>
      <c r="L291" s="5"/>
      <c r="M291" s="5"/>
      <c r="N291" s="5"/>
      <c r="O291" s="5"/>
      <c r="P291" s="5"/>
      <c r="Q291" s="5"/>
      <c r="R291" s="5"/>
      <c r="S291" s="5"/>
      <c r="T291" s="5"/>
      <c r="U291" s="5"/>
      <c r="V291" s="5"/>
      <c r="W291" s="5"/>
      <c r="X291" s="5"/>
      <c r="Y291" s="5"/>
      <c r="Z291" s="5"/>
    </row>
    <row r="292">
      <c r="A292" s="14" t="s">
        <v>65</v>
      </c>
      <c r="B292" s="14" t="s">
        <v>20</v>
      </c>
      <c r="C292" s="118"/>
      <c r="D292" s="15" t="s">
        <v>20</v>
      </c>
      <c r="E292" s="15">
        <v>600306.0</v>
      </c>
      <c r="F292" s="14" t="s">
        <v>958</v>
      </c>
      <c r="G292" s="14" t="s">
        <v>958</v>
      </c>
      <c r="H292" s="14" t="s">
        <v>23</v>
      </c>
      <c r="I292" s="14" t="s">
        <v>77</v>
      </c>
      <c r="J292" s="14" t="s">
        <v>25</v>
      </c>
      <c r="K292" s="14" t="s">
        <v>51</v>
      </c>
      <c r="L292" s="5"/>
      <c r="M292" s="5"/>
      <c r="N292" s="5"/>
      <c r="O292" s="5"/>
      <c r="P292" s="5"/>
      <c r="Q292" s="5"/>
      <c r="R292" s="5"/>
      <c r="S292" s="5"/>
      <c r="T292" s="5"/>
      <c r="U292" s="5"/>
      <c r="V292" s="5"/>
      <c r="W292" s="5"/>
      <c r="X292" s="5"/>
      <c r="Y292" s="5"/>
      <c r="Z292" s="5"/>
    </row>
    <row r="293">
      <c r="A293" s="9" t="s">
        <v>14</v>
      </c>
      <c r="B293" s="9" t="s">
        <v>20</v>
      </c>
      <c r="C293" s="118"/>
      <c r="D293" s="11">
        <v>906.0</v>
      </c>
      <c r="E293" s="11">
        <v>600722.0</v>
      </c>
      <c r="F293" s="9" t="s">
        <v>960</v>
      </c>
      <c r="G293" s="9" t="s">
        <v>961</v>
      </c>
      <c r="H293" s="9" t="s">
        <v>48</v>
      </c>
      <c r="I293" s="9" t="s">
        <v>50</v>
      </c>
      <c r="J293" s="9" t="s">
        <v>25</v>
      </c>
      <c r="K293" s="9" t="s">
        <v>51</v>
      </c>
      <c r="L293" s="5"/>
      <c r="M293" s="5"/>
      <c r="N293" s="5"/>
      <c r="O293" s="5"/>
      <c r="P293" s="5"/>
      <c r="Q293" s="5"/>
      <c r="R293" s="5"/>
      <c r="S293" s="5"/>
      <c r="T293" s="5"/>
      <c r="U293" s="5"/>
      <c r="V293" s="5"/>
      <c r="W293" s="5"/>
      <c r="X293" s="5"/>
      <c r="Y293" s="5"/>
      <c r="Z293" s="5"/>
    </row>
    <row r="294">
      <c r="A294" s="14" t="s">
        <v>14</v>
      </c>
      <c r="B294" s="14" t="s">
        <v>20</v>
      </c>
      <c r="C294" s="118"/>
      <c r="D294" s="15" t="s">
        <v>20</v>
      </c>
      <c r="E294" s="15">
        <v>10627.0</v>
      </c>
      <c r="F294" s="14" t="s">
        <v>962</v>
      </c>
      <c r="G294" s="14" t="s">
        <v>962</v>
      </c>
      <c r="H294" s="14" t="s">
        <v>23</v>
      </c>
      <c r="I294" s="14" t="s">
        <v>24</v>
      </c>
      <c r="J294" s="14" t="s">
        <v>25</v>
      </c>
      <c r="K294" s="14" t="s">
        <v>51</v>
      </c>
      <c r="L294" s="5"/>
      <c r="M294" s="5"/>
      <c r="N294" s="5"/>
      <c r="O294" s="5"/>
      <c r="P294" s="5"/>
      <c r="Q294" s="5"/>
      <c r="R294" s="5"/>
      <c r="S294" s="5"/>
      <c r="T294" s="5"/>
      <c r="U294" s="5"/>
      <c r="V294" s="5"/>
      <c r="W294" s="5"/>
      <c r="X294" s="5"/>
      <c r="Y294" s="5"/>
      <c r="Z294" s="5"/>
    </row>
    <row r="295">
      <c r="A295" s="9" t="s">
        <v>38</v>
      </c>
      <c r="B295" s="9" t="s">
        <v>20</v>
      </c>
      <c r="C295" s="118"/>
      <c r="D295" s="11" t="s">
        <v>20</v>
      </c>
      <c r="E295" s="11">
        <v>10370.0</v>
      </c>
      <c r="F295" s="9" t="s">
        <v>965</v>
      </c>
      <c r="G295" s="9" t="s">
        <v>965</v>
      </c>
      <c r="H295" s="9" t="s">
        <v>23</v>
      </c>
      <c r="I295" s="9" t="s">
        <v>77</v>
      </c>
      <c r="J295" s="9" t="s">
        <v>25</v>
      </c>
      <c r="K295" s="9" t="s">
        <v>51</v>
      </c>
      <c r="L295" s="5"/>
      <c r="M295" s="5"/>
      <c r="N295" s="5"/>
      <c r="O295" s="5"/>
      <c r="P295" s="5"/>
      <c r="Q295" s="5"/>
      <c r="R295" s="5"/>
      <c r="S295" s="5"/>
      <c r="T295" s="5"/>
      <c r="U295" s="5"/>
      <c r="V295" s="5"/>
      <c r="W295" s="5"/>
      <c r="X295" s="5"/>
      <c r="Y295" s="5"/>
      <c r="Z295" s="5"/>
    </row>
    <row r="296">
      <c r="A296" s="14" t="s">
        <v>123</v>
      </c>
      <c r="B296" s="14" t="s">
        <v>20</v>
      </c>
      <c r="C296" s="118"/>
      <c r="D296" s="15">
        <v>902.0</v>
      </c>
      <c r="E296" s="15">
        <v>600716.0</v>
      </c>
      <c r="F296" s="14" t="s">
        <v>967</v>
      </c>
      <c r="G296" s="14" t="s">
        <v>968</v>
      </c>
      <c r="H296" s="14" t="s">
        <v>48</v>
      </c>
      <c r="I296" s="14" t="s">
        <v>50</v>
      </c>
      <c r="J296" s="14" t="s">
        <v>105</v>
      </c>
      <c r="K296" s="14" t="s">
        <v>485</v>
      </c>
      <c r="L296" s="5"/>
      <c r="M296" s="5"/>
      <c r="N296" s="5"/>
      <c r="O296" s="5"/>
      <c r="P296" s="5"/>
      <c r="Q296" s="5"/>
      <c r="R296" s="5"/>
      <c r="S296" s="5"/>
      <c r="T296" s="5"/>
      <c r="U296" s="5"/>
      <c r="V296" s="5"/>
      <c r="W296" s="5"/>
      <c r="X296" s="5"/>
      <c r="Y296" s="5"/>
      <c r="Z296" s="5"/>
    </row>
    <row r="297">
      <c r="A297" s="9" t="s">
        <v>123</v>
      </c>
      <c r="B297" s="9" t="s">
        <v>20</v>
      </c>
      <c r="C297" s="118"/>
      <c r="D297" s="11">
        <v>892.0</v>
      </c>
      <c r="E297" s="11">
        <v>600712.0</v>
      </c>
      <c r="F297" s="9" t="s">
        <v>969</v>
      </c>
      <c r="G297" s="9" t="s">
        <v>970</v>
      </c>
      <c r="H297" s="9" t="s">
        <v>48</v>
      </c>
      <c r="I297" s="9" t="s">
        <v>50</v>
      </c>
      <c r="J297" s="9" t="s">
        <v>105</v>
      </c>
      <c r="K297" s="9" t="s">
        <v>485</v>
      </c>
      <c r="L297" s="5"/>
      <c r="M297" s="5"/>
      <c r="N297" s="5"/>
      <c r="O297" s="5"/>
      <c r="P297" s="5"/>
      <c r="Q297" s="5"/>
      <c r="R297" s="5"/>
      <c r="S297" s="5"/>
      <c r="T297" s="5"/>
      <c r="U297" s="5"/>
      <c r="V297" s="5"/>
      <c r="W297" s="5"/>
      <c r="X297" s="5"/>
      <c r="Y297" s="5"/>
      <c r="Z297" s="5"/>
    </row>
    <row r="298">
      <c r="A298" s="14" t="s">
        <v>123</v>
      </c>
      <c r="B298" s="14" t="s">
        <v>20</v>
      </c>
      <c r="C298" s="118"/>
      <c r="D298" s="15">
        <v>904.0</v>
      </c>
      <c r="E298" s="15">
        <v>600711.0</v>
      </c>
      <c r="F298" s="14" t="s">
        <v>20</v>
      </c>
      <c r="G298" s="14" t="s">
        <v>973</v>
      </c>
      <c r="H298" s="14" t="s">
        <v>48</v>
      </c>
      <c r="I298" s="14" t="s">
        <v>50</v>
      </c>
      <c r="J298" s="14" t="s">
        <v>974</v>
      </c>
      <c r="K298" s="14" t="s">
        <v>485</v>
      </c>
      <c r="L298" s="5"/>
      <c r="M298" s="5"/>
      <c r="N298" s="5"/>
      <c r="O298" s="5"/>
      <c r="P298" s="5"/>
      <c r="Q298" s="5"/>
      <c r="R298" s="5"/>
      <c r="S298" s="5"/>
      <c r="T298" s="5"/>
      <c r="U298" s="5"/>
      <c r="V298" s="5"/>
      <c r="W298" s="5"/>
      <c r="X298" s="5"/>
      <c r="Y298" s="5"/>
      <c r="Z298" s="5"/>
    </row>
    <row r="299">
      <c r="A299" s="14" t="s">
        <v>123</v>
      </c>
      <c r="B299" s="14" t="s">
        <v>20</v>
      </c>
      <c r="C299" s="118"/>
      <c r="D299" s="15">
        <v>889.0</v>
      </c>
      <c r="E299" s="15">
        <v>600697.0</v>
      </c>
      <c r="F299" s="14" t="s">
        <v>976</v>
      </c>
      <c r="G299" s="14" t="s">
        <v>977</v>
      </c>
      <c r="H299" s="14" t="s">
        <v>48</v>
      </c>
      <c r="I299" s="14" t="s">
        <v>50</v>
      </c>
      <c r="J299" s="14" t="s">
        <v>105</v>
      </c>
      <c r="K299" s="14" t="s">
        <v>485</v>
      </c>
      <c r="L299" s="5"/>
      <c r="M299" s="5"/>
      <c r="N299" s="5"/>
      <c r="O299" s="5"/>
      <c r="P299" s="5"/>
      <c r="Q299" s="5"/>
      <c r="R299" s="5"/>
      <c r="S299" s="5"/>
      <c r="T299" s="5"/>
      <c r="U299" s="5"/>
      <c r="V299" s="5"/>
      <c r="W299" s="5"/>
      <c r="X299" s="5"/>
      <c r="Y299" s="5"/>
      <c r="Z299" s="5"/>
    </row>
    <row r="300">
      <c r="A300" s="14" t="s">
        <v>65</v>
      </c>
      <c r="B300" s="14" t="s">
        <v>20</v>
      </c>
      <c r="C300" s="118"/>
      <c r="D300" s="15">
        <v>879.0</v>
      </c>
      <c r="E300" s="15">
        <v>600688.0</v>
      </c>
      <c r="F300" s="14" t="s">
        <v>979</v>
      </c>
      <c r="G300" s="14" t="s">
        <v>980</v>
      </c>
      <c r="H300" s="14" t="s">
        <v>48</v>
      </c>
      <c r="I300" s="14" t="s">
        <v>50</v>
      </c>
      <c r="J300" s="14" t="s">
        <v>120</v>
      </c>
      <c r="K300" s="14" t="s">
        <v>485</v>
      </c>
      <c r="L300" s="5"/>
      <c r="M300" s="5"/>
      <c r="N300" s="5"/>
      <c r="O300" s="5"/>
      <c r="P300" s="5"/>
      <c r="Q300" s="5"/>
      <c r="R300" s="5"/>
      <c r="S300" s="5"/>
      <c r="T300" s="5"/>
      <c r="U300" s="5"/>
      <c r="V300" s="5"/>
      <c r="W300" s="5"/>
      <c r="X300" s="5"/>
      <c r="Y300" s="5"/>
      <c r="Z300" s="5"/>
    </row>
    <row r="301">
      <c r="A301" s="9" t="s">
        <v>123</v>
      </c>
      <c r="B301" s="9" t="s">
        <v>20</v>
      </c>
      <c r="C301" s="118"/>
      <c r="D301" s="11">
        <v>834.0</v>
      </c>
      <c r="E301" s="11">
        <v>600648.0</v>
      </c>
      <c r="F301" s="9" t="s">
        <v>981</v>
      </c>
      <c r="G301" s="9" t="s">
        <v>982</v>
      </c>
      <c r="H301" s="9" t="s">
        <v>48</v>
      </c>
      <c r="I301" s="9" t="s">
        <v>50</v>
      </c>
      <c r="J301" s="9" t="s">
        <v>105</v>
      </c>
      <c r="K301" s="9" t="s">
        <v>485</v>
      </c>
      <c r="L301" s="5"/>
      <c r="M301" s="5"/>
      <c r="N301" s="5"/>
      <c r="O301" s="5"/>
      <c r="P301" s="5"/>
      <c r="Q301" s="5"/>
      <c r="R301" s="5"/>
      <c r="S301" s="5"/>
      <c r="T301" s="5"/>
      <c r="U301" s="5"/>
      <c r="V301" s="5"/>
      <c r="W301" s="5"/>
      <c r="X301" s="5"/>
      <c r="Y301" s="5"/>
      <c r="Z301" s="5"/>
    </row>
    <row r="302">
      <c r="A302" s="14" t="s">
        <v>123</v>
      </c>
      <c r="B302" s="14" t="s">
        <v>20</v>
      </c>
      <c r="C302" s="118"/>
      <c r="D302" s="15">
        <v>658.0</v>
      </c>
      <c r="E302" s="15">
        <v>600424.0</v>
      </c>
      <c r="F302" s="14" t="s">
        <v>984</v>
      </c>
      <c r="G302" s="14" t="s">
        <v>985</v>
      </c>
      <c r="H302" s="14" t="s">
        <v>48</v>
      </c>
      <c r="I302" s="14" t="s">
        <v>50</v>
      </c>
      <c r="J302" s="14" t="s">
        <v>578</v>
      </c>
      <c r="K302" s="14" t="s">
        <v>485</v>
      </c>
      <c r="L302" s="5"/>
      <c r="M302" s="5"/>
      <c r="N302" s="5"/>
      <c r="O302" s="5"/>
      <c r="P302" s="5"/>
      <c r="Q302" s="5"/>
      <c r="R302" s="5"/>
      <c r="S302" s="5"/>
      <c r="T302" s="5"/>
      <c r="U302" s="5"/>
      <c r="V302" s="5"/>
      <c r="W302" s="5"/>
      <c r="X302" s="5"/>
      <c r="Y302" s="5"/>
      <c r="Z302" s="5"/>
    </row>
    <row r="303">
      <c r="A303" s="9" t="s">
        <v>38</v>
      </c>
      <c r="B303" s="9" t="s">
        <v>20</v>
      </c>
      <c r="C303" s="118"/>
      <c r="D303" s="11">
        <v>916.0</v>
      </c>
      <c r="E303" s="11">
        <v>600745.0</v>
      </c>
      <c r="F303" s="9" t="s">
        <v>20</v>
      </c>
      <c r="G303" s="9" t="s">
        <v>986</v>
      </c>
      <c r="H303" s="9" t="s">
        <v>48</v>
      </c>
      <c r="I303" s="9" t="s">
        <v>50</v>
      </c>
      <c r="J303" s="9" t="s">
        <v>105</v>
      </c>
      <c r="K303" s="9" t="s">
        <v>485</v>
      </c>
      <c r="L303" s="5"/>
      <c r="M303" s="5"/>
      <c r="N303" s="5"/>
      <c r="O303" s="5"/>
      <c r="P303" s="5"/>
      <c r="Q303" s="5"/>
      <c r="R303" s="5"/>
      <c r="S303" s="5"/>
      <c r="T303" s="5"/>
      <c r="U303" s="5"/>
      <c r="V303" s="5"/>
      <c r="W303" s="5"/>
      <c r="X303" s="5"/>
      <c r="Y303" s="5"/>
      <c r="Z303" s="5"/>
    </row>
    <row r="304">
      <c r="A304" s="14" t="s">
        <v>38</v>
      </c>
      <c r="B304" s="14" t="s">
        <v>20</v>
      </c>
      <c r="C304" s="118"/>
      <c r="D304" s="15">
        <v>924.0</v>
      </c>
      <c r="E304" s="15">
        <v>600744.0</v>
      </c>
      <c r="F304" s="14" t="s">
        <v>990</v>
      </c>
      <c r="G304" s="14" t="s">
        <v>991</v>
      </c>
      <c r="H304" s="14" t="s">
        <v>48</v>
      </c>
      <c r="I304" s="14" t="s">
        <v>50</v>
      </c>
      <c r="J304" s="14" t="s">
        <v>25</v>
      </c>
      <c r="K304" s="14" t="s">
        <v>27</v>
      </c>
      <c r="L304" s="5"/>
      <c r="M304" s="5"/>
      <c r="N304" s="5"/>
      <c r="O304" s="5"/>
      <c r="P304" s="5"/>
      <c r="Q304" s="5"/>
      <c r="R304" s="5"/>
      <c r="S304" s="5"/>
      <c r="T304" s="5"/>
      <c r="U304" s="5"/>
      <c r="V304" s="5"/>
      <c r="W304" s="5"/>
      <c r="X304" s="5"/>
      <c r="Y304" s="5"/>
      <c r="Z304" s="5"/>
    </row>
    <row r="305">
      <c r="A305" s="14" t="s">
        <v>123</v>
      </c>
      <c r="B305" s="14" t="s">
        <v>20</v>
      </c>
      <c r="C305" s="118"/>
      <c r="D305" s="15">
        <v>900.0</v>
      </c>
      <c r="E305" s="15">
        <v>600715.0</v>
      </c>
      <c r="F305" s="14" t="s">
        <v>992</v>
      </c>
      <c r="G305" s="14" t="s">
        <v>993</v>
      </c>
      <c r="H305" s="14" t="s">
        <v>48</v>
      </c>
      <c r="I305" s="14" t="s">
        <v>50</v>
      </c>
      <c r="J305" s="14" t="s">
        <v>25</v>
      </c>
      <c r="K305" s="14" t="s">
        <v>27</v>
      </c>
      <c r="L305" s="5"/>
      <c r="M305" s="5"/>
      <c r="N305" s="5"/>
      <c r="O305" s="5"/>
      <c r="P305" s="5"/>
      <c r="Q305" s="5"/>
      <c r="R305" s="5"/>
      <c r="S305" s="5"/>
      <c r="T305" s="5"/>
      <c r="U305" s="5"/>
      <c r="V305" s="5"/>
      <c r="W305" s="5"/>
      <c r="X305" s="5"/>
      <c r="Y305" s="5"/>
      <c r="Z305" s="5"/>
    </row>
    <row r="306">
      <c r="A306" s="14" t="s">
        <v>14</v>
      </c>
      <c r="B306" s="14" t="s">
        <v>20</v>
      </c>
      <c r="C306" s="118"/>
      <c r="D306" s="15">
        <v>854.0</v>
      </c>
      <c r="E306" s="15">
        <v>600667.0</v>
      </c>
      <c r="F306" s="14" t="s">
        <v>994</v>
      </c>
      <c r="G306" s="14" t="s">
        <v>995</v>
      </c>
      <c r="H306" s="14" t="s">
        <v>48</v>
      </c>
      <c r="I306" s="14" t="s">
        <v>50</v>
      </c>
      <c r="J306" s="14" t="s">
        <v>105</v>
      </c>
      <c r="K306" s="14" t="s">
        <v>27</v>
      </c>
      <c r="L306" s="5"/>
      <c r="M306" s="5"/>
      <c r="N306" s="5"/>
      <c r="O306" s="5"/>
      <c r="P306" s="5"/>
      <c r="Q306" s="5"/>
      <c r="R306" s="5"/>
      <c r="S306" s="5"/>
      <c r="T306" s="5"/>
      <c r="U306" s="5"/>
      <c r="V306" s="5"/>
      <c r="W306" s="5"/>
      <c r="X306" s="5"/>
      <c r="Y306" s="5"/>
      <c r="Z306" s="5"/>
    </row>
    <row r="307">
      <c r="A307" s="9" t="s">
        <v>14</v>
      </c>
      <c r="B307" s="9" t="s">
        <v>20</v>
      </c>
      <c r="C307" s="118"/>
      <c r="D307" s="11">
        <v>827.0</v>
      </c>
      <c r="E307" s="11">
        <v>600639.0</v>
      </c>
      <c r="F307" s="9" t="s">
        <v>996</v>
      </c>
      <c r="G307" s="9" t="s">
        <v>997</v>
      </c>
      <c r="H307" s="9" t="s">
        <v>48</v>
      </c>
      <c r="I307" s="9" t="s">
        <v>50</v>
      </c>
      <c r="J307" s="9" t="s">
        <v>105</v>
      </c>
      <c r="K307" s="9" t="s">
        <v>27</v>
      </c>
      <c r="L307" s="5"/>
      <c r="M307" s="5"/>
      <c r="N307" s="5"/>
      <c r="O307" s="5"/>
      <c r="P307" s="5"/>
      <c r="Q307" s="5"/>
      <c r="R307" s="5"/>
      <c r="S307" s="5"/>
      <c r="T307" s="5"/>
      <c r="U307" s="5"/>
      <c r="V307" s="5"/>
      <c r="W307" s="5"/>
      <c r="X307" s="5"/>
      <c r="Y307" s="5"/>
      <c r="Z307" s="5"/>
    </row>
    <row r="308">
      <c r="A308" s="14" t="s">
        <v>123</v>
      </c>
      <c r="B308" s="14" t="s">
        <v>20</v>
      </c>
      <c r="C308" s="118"/>
      <c r="D308" s="15">
        <v>818.0</v>
      </c>
      <c r="E308" s="15">
        <v>600632.0</v>
      </c>
      <c r="F308" s="14" t="s">
        <v>998</v>
      </c>
      <c r="G308" s="14" t="s">
        <v>999</v>
      </c>
      <c r="H308" s="14" t="s">
        <v>48</v>
      </c>
      <c r="I308" s="14" t="s">
        <v>50</v>
      </c>
      <c r="J308" s="14" t="s">
        <v>105</v>
      </c>
      <c r="K308" s="14" t="s">
        <v>27</v>
      </c>
      <c r="L308" s="5"/>
      <c r="M308" s="5"/>
      <c r="N308" s="5"/>
      <c r="O308" s="5"/>
      <c r="P308" s="5"/>
      <c r="Q308" s="5"/>
      <c r="R308" s="5"/>
      <c r="S308" s="5"/>
      <c r="T308" s="5"/>
      <c r="U308" s="5"/>
      <c r="V308" s="5"/>
      <c r="W308" s="5"/>
      <c r="X308" s="5"/>
      <c r="Y308" s="5"/>
      <c r="Z308" s="5"/>
    </row>
    <row r="309">
      <c r="A309" s="9" t="s">
        <v>65</v>
      </c>
      <c r="B309" s="9" t="s">
        <v>20</v>
      </c>
      <c r="C309" s="118"/>
      <c r="D309" s="11" t="s">
        <v>20</v>
      </c>
      <c r="E309" s="11">
        <v>600604.0</v>
      </c>
      <c r="F309" s="9" t="s">
        <v>1001</v>
      </c>
      <c r="G309" s="9" t="s">
        <v>1001</v>
      </c>
      <c r="H309" s="9" t="s">
        <v>23</v>
      </c>
      <c r="I309" s="9" t="s">
        <v>77</v>
      </c>
      <c r="J309" s="9" t="s">
        <v>25</v>
      </c>
      <c r="K309" s="9" t="s">
        <v>27</v>
      </c>
      <c r="L309" s="5"/>
      <c r="M309" s="5"/>
      <c r="N309" s="5"/>
      <c r="O309" s="5"/>
      <c r="P309" s="5"/>
      <c r="Q309" s="5"/>
      <c r="R309" s="5"/>
      <c r="S309" s="5"/>
      <c r="T309" s="5"/>
      <c r="U309" s="5"/>
      <c r="V309" s="5"/>
      <c r="W309" s="5"/>
      <c r="X309" s="5"/>
      <c r="Y309" s="5"/>
      <c r="Z309" s="5"/>
    </row>
    <row r="310">
      <c r="A310" s="14" t="s">
        <v>123</v>
      </c>
      <c r="B310" s="14" t="s">
        <v>20</v>
      </c>
      <c r="C310" s="118"/>
      <c r="D310" s="15">
        <v>784.0</v>
      </c>
      <c r="E310" s="15">
        <v>600594.0</v>
      </c>
      <c r="F310" s="14" t="s">
        <v>1004</v>
      </c>
      <c r="G310" s="14" t="s">
        <v>1005</v>
      </c>
      <c r="H310" s="14" t="s">
        <v>48</v>
      </c>
      <c r="I310" s="14" t="s">
        <v>50</v>
      </c>
      <c r="J310" s="14" t="s">
        <v>105</v>
      </c>
      <c r="K310" s="14" t="s">
        <v>27</v>
      </c>
      <c r="L310" s="5"/>
      <c r="M310" s="5"/>
      <c r="N310" s="5"/>
      <c r="O310" s="5"/>
      <c r="P310" s="5"/>
      <c r="Q310" s="5"/>
      <c r="R310" s="5"/>
      <c r="S310" s="5"/>
      <c r="T310" s="5"/>
      <c r="U310" s="5"/>
      <c r="V310" s="5"/>
      <c r="W310" s="5"/>
      <c r="X310" s="5"/>
      <c r="Y310" s="5"/>
      <c r="Z310" s="5"/>
    </row>
    <row r="311">
      <c r="A311" s="9" t="s">
        <v>123</v>
      </c>
      <c r="B311" s="9" t="s">
        <v>20</v>
      </c>
      <c r="C311" s="118"/>
      <c r="D311" s="11">
        <v>776.0</v>
      </c>
      <c r="E311" s="11">
        <v>600584.0</v>
      </c>
      <c r="F311" s="9" t="s">
        <v>1009</v>
      </c>
      <c r="G311" s="9" t="s">
        <v>1010</v>
      </c>
      <c r="H311" s="9" t="s">
        <v>48</v>
      </c>
      <c r="I311" s="9" t="s">
        <v>50</v>
      </c>
      <c r="J311" s="9" t="s">
        <v>25</v>
      </c>
      <c r="K311" s="9" t="s">
        <v>27</v>
      </c>
      <c r="L311" s="5"/>
      <c r="M311" s="5"/>
      <c r="N311" s="5"/>
      <c r="O311" s="5"/>
      <c r="P311" s="5"/>
      <c r="Q311" s="5"/>
      <c r="R311" s="5"/>
      <c r="S311" s="5"/>
      <c r="T311" s="5"/>
      <c r="U311" s="5"/>
      <c r="V311" s="5"/>
      <c r="W311" s="5"/>
      <c r="X311" s="5"/>
      <c r="Y311" s="5"/>
      <c r="Z311" s="5"/>
    </row>
    <row r="312">
      <c r="A312" s="14" t="s">
        <v>65</v>
      </c>
      <c r="B312" s="14" t="s">
        <v>20</v>
      </c>
      <c r="C312" s="118"/>
      <c r="D312" s="15" t="s">
        <v>20</v>
      </c>
      <c r="E312" s="15">
        <v>600561.0</v>
      </c>
      <c r="F312" s="14" t="s">
        <v>1011</v>
      </c>
      <c r="G312" s="14" t="s">
        <v>1011</v>
      </c>
      <c r="H312" s="14" t="s">
        <v>23</v>
      </c>
      <c r="I312" s="14" t="s">
        <v>77</v>
      </c>
      <c r="J312" s="14" t="s">
        <v>25</v>
      </c>
      <c r="K312" s="14" t="s">
        <v>27</v>
      </c>
      <c r="L312" s="5"/>
      <c r="M312" s="5"/>
      <c r="N312" s="5"/>
      <c r="O312" s="5"/>
      <c r="P312" s="5"/>
      <c r="Q312" s="5"/>
      <c r="R312" s="5"/>
      <c r="S312" s="5"/>
      <c r="T312" s="5"/>
      <c r="U312" s="5"/>
      <c r="V312" s="5"/>
      <c r="W312" s="5"/>
      <c r="X312" s="5"/>
      <c r="Y312" s="5"/>
      <c r="Z312" s="5"/>
    </row>
    <row r="313">
      <c r="A313" s="9" t="s">
        <v>65</v>
      </c>
      <c r="B313" s="9" t="s">
        <v>20</v>
      </c>
      <c r="C313" s="118"/>
      <c r="D313" s="11" t="s">
        <v>20</v>
      </c>
      <c r="E313" s="11">
        <v>600517.0</v>
      </c>
      <c r="F313" s="9" t="s">
        <v>1012</v>
      </c>
      <c r="G313" s="9" t="s">
        <v>1013</v>
      </c>
      <c r="H313" s="9" t="s">
        <v>23</v>
      </c>
      <c r="I313" s="9" t="s">
        <v>77</v>
      </c>
      <c r="J313" s="9" t="s">
        <v>25</v>
      </c>
      <c r="K313" s="9" t="s">
        <v>27</v>
      </c>
      <c r="L313" s="5"/>
      <c r="M313" s="5"/>
      <c r="N313" s="5"/>
      <c r="O313" s="5"/>
      <c r="P313" s="5"/>
      <c r="Q313" s="5"/>
      <c r="R313" s="5"/>
      <c r="S313" s="5"/>
      <c r="T313" s="5"/>
      <c r="U313" s="5"/>
      <c r="V313" s="5"/>
      <c r="W313" s="5"/>
      <c r="X313" s="5"/>
      <c r="Y313" s="5"/>
      <c r="Z313" s="5"/>
    </row>
    <row r="314">
      <c r="A314" s="9" t="s">
        <v>123</v>
      </c>
      <c r="B314" s="9" t="s">
        <v>20</v>
      </c>
      <c r="C314" s="118"/>
      <c r="D314" s="11">
        <v>651.0</v>
      </c>
      <c r="E314" s="11">
        <v>600407.0</v>
      </c>
      <c r="F314" s="9" t="s">
        <v>1014</v>
      </c>
      <c r="G314" s="9" t="s">
        <v>1015</v>
      </c>
      <c r="H314" s="9" t="s">
        <v>48</v>
      </c>
      <c r="I314" s="9" t="s">
        <v>50</v>
      </c>
      <c r="J314" s="9" t="s">
        <v>155</v>
      </c>
      <c r="K314" s="9" t="s">
        <v>27</v>
      </c>
      <c r="L314" s="5"/>
      <c r="M314" s="5"/>
      <c r="N314" s="5"/>
      <c r="O314" s="5"/>
      <c r="P314" s="5"/>
      <c r="Q314" s="5"/>
      <c r="R314" s="5"/>
      <c r="S314" s="5"/>
      <c r="T314" s="5"/>
      <c r="U314" s="5"/>
      <c r="V314" s="5"/>
      <c r="W314" s="5"/>
      <c r="X314" s="5"/>
      <c r="Y314" s="5"/>
      <c r="Z314" s="5"/>
    </row>
    <row r="315">
      <c r="A315" s="14" t="s">
        <v>123</v>
      </c>
      <c r="B315" s="14" t="s">
        <v>20</v>
      </c>
      <c r="C315" s="118"/>
      <c r="D315" s="15">
        <v>641.0</v>
      </c>
      <c r="E315" s="15">
        <v>600399.0</v>
      </c>
      <c r="F315" s="14" t="s">
        <v>1017</v>
      </c>
      <c r="G315" s="14" t="s">
        <v>1018</v>
      </c>
      <c r="H315" s="14" t="s">
        <v>48</v>
      </c>
      <c r="I315" s="14" t="s">
        <v>50</v>
      </c>
      <c r="J315" s="14" t="s">
        <v>25</v>
      </c>
      <c r="K315" s="14" t="s">
        <v>27</v>
      </c>
      <c r="L315" s="5"/>
      <c r="M315" s="5"/>
      <c r="N315" s="5"/>
      <c r="O315" s="5"/>
      <c r="P315" s="5"/>
      <c r="Q315" s="5"/>
      <c r="R315" s="5"/>
      <c r="S315" s="5"/>
      <c r="T315" s="5"/>
      <c r="U315" s="5"/>
      <c r="V315" s="5"/>
      <c r="W315" s="5"/>
      <c r="X315" s="5"/>
      <c r="Y315" s="5"/>
      <c r="Z315" s="5"/>
    </row>
    <row r="316">
      <c r="A316" s="9" t="s">
        <v>123</v>
      </c>
      <c r="B316" s="9" t="s">
        <v>20</v>
      </c>
      <c r="C316" s="118"/>
      <c r="D316" s="11">
        <v>623.0</v>
      </c>
      <c r="E316" s="11">
        <v>600371.0</v>
      </c>
      <c r="F316" s="9" t="s">
        <v>1020</v>
      </c>
      <c r="G316" s="9" t="s">
        <v>1021</v>
      </c>
      <c r="H316" s="9" t="s">
        <v>48</v>
      </c>
      <c r="I316" s="9" t="s">
        <v>50</v>
      </c>
      <c r="J316" s="9" t="s">
        <v>25</v>
      </c>
      <c r="K316" s="9" t="s">
        <v>27</v>
      </c>
      <c r="L316" s="5"/>
      <c r="M316" s="5"/>
      <c r="N316" s="5"/>
      <c r="O316" s="5"/>
      <c r="P316" s="5"/>
      <c r="Q316" s="5"/>
      <c r="R316" s="5"/>
      <c r="S316" s="5"/>
      <c r="T316" s="5"/>
      <c r="U316" s="5"/>
      <c r="V316" s="5"/>
      <c r="W316" s="5"/>
      <c r="X316" s="5"/>
      <c r="Y316" s="5"/>
      <c r="Z316" s="5"/>
    </row>
    <row r="317">
      <c r="A317" s="14" t="s">
        <v>123</v>
      </c>
      <c r="B317" s="14" t="s">
        <v>20</v>
      </c>
      <c r="C317" s="118"/>
      <c r="D317" s="15">
        <v>602.0</v>
      </c>
      <c r="E317" s="15">
        <v>600347.0</v>
      </c>
      <c r="F317" s="14" t="s">
        <v>1024</v>
      </c>
      <c r="G317" s="14" t="s">
        <v>1025</v>
      </c>
      <c r="H317" s="14" t="s">
        <v>48</v>
      </c>
      <c r="I317" s="14" t="s">
        <v>50</v>
      </c>
      <c r="J317" s="14" t="s">
        <v>25</v>
      </c>
      <c r="K317" s="14" t="s">
        <v>27</v>
      </c>
      <c r="L317" s="5"/>
      <c r="M317" s="5"/>
      <c r="N317" s="5"/>
      <c r="O317" s="5"/>
      <c r="P317" s="5"/>
      <c r="Q317" s="5"/>
      <c r="R317" s="5"/>
      <c r="S317" s="5"/>
      <c r="T317" s="5"/>
      <c r="U317" s="5"/>
      <c r="V317" s="5"/>
      <c r="W317" s="5"/>
      <c r="X317" s="5"/>
      <c r="Y317" s="5"/>
      <c r="Z317" s="5"/>
    </row>
    <row r="318">
      <c r="A318" s="9" t="s">
        <v>123</v>
      </c>
      <c r="B318" s="9" t="s">
        <v>20</v>
      </c>
      <c r="C318" s="118"/>
      <c r="D318" s="11">
        <v>603.0</v>
      </c>
      <c r="E318" s="11">
        <v>600346.0</v>
      </c>
      <c r="F318" s="9" t="s">
        <v>1028</v>
      </c>
      <c r="G318" s="9" t="s">
        <v>1030</v>
      </c>
      <c r="H318" s="9" t="s">
        <v>48</v>
      </c>
      <c r="I318" s="9" t="s">
        <v>50</v>
      </c>
      <c r="J318" s="9" t="s">
        <v>25</v>
      </c>
      <c r="K318" s="9" t="s">
        <v>27</v>
      </c>
      <c r="L318" s="5"/>
      <c r="M318" s="5"/>
      <c r="N318" s="5"/>
      <c r="O318" s="5"/>
      <c r="P318" s="5"/>
      <c r="Q318" s="5"/>
      <c r="R318" s="5"/>
      <c r="S318" s="5"/>
      <c r="T318" s="5"/>
      <c r="U318" s="5"/>
      <c r="V318" s="5"/>
      <c r="W318" s="5"/>
      <c r="X318" s="5"/>
      <c r="Y318" s="5"/>
      <c r="Z318" s="5"/>
    </row>
    <row r="319">
      <c r="A319" s="14" t="s">
        <v>14</v>
      </c>
      <c r="B319" s="14" t="s">
        <v>20</v>
      </c>
      <c r="C319" s="118"/>
      <c r="D319" s="15">
        <v>585.0</v>
      </c>
      <c r="E319" s="15">
        <v>600335.0</v>
      </c>
      <c r="F319" s="14" t="s">
        <v>1031</v>
      </c>
      <c r="G319" s="14" t="s">
        <v>1032</v>
      </c>
      <c r="H319" s="14" t="s">
        <v>48</v>
      </c>
      <c r="I319" s="14" t="s">
        <v>50</v>
      </c>
      <c r="J319" s="14" t="s">
        <v>25</v>
      </c>
      <c r="K319" s="14" t="s">
        <v>27</v>
      </c>
      <c r="L319" s="5"/>
      <c r="M319" s="5"/>
      <c r="N319" s="5"/>
      <c r="O319" s="5"/>
      <c r="P319" s="5"/>
      <c r="Q319" s="5"/>
      <c r="R319" s="5"/>
      <c r="S319" s="5"/>
      <c r="T319" s="5"/>
      <c r="U319" s="5"/>
      <c r="V319" s="5"/>
      <c r="W319" s="5"/>
      <c r="X319" s="5"/>
      <c r="Y319" s="5"/>
      <c r="Z319" s="5"/>
    </row>
    <row r="320">
      <c r="A320" s="9" t="s">
        <v>14</v>
      </c>
      <c r="B320" s="9" t="s">
        <v>20</v>
      </c>
      <c r="C320" s="118"/>
      <c r="D320" s="11">
        <v>554.0</v>
      </c>
      <c r="E320" s="11">
        <v>600287.0</v>
      </c>
      <c r="F320" s="9" t="s">
        <v>1033</v>
      </c>
      <c r="G320" s="9" t="s">
        <v>1034</v>
      </c>
      <c r="H320" s="9" t="s">
        <v>48</v>
      </c>
      <c r="I320" s="9" t="s">
        <v>50</v>
      </c>
      <c r="J320" s="9" t="s">
        <v>105</v>
      </c>
      <c r="K320" s="9" t="s">
        <v>27</v>
      </c>
      <c r="L320" s="5"/>
      <c r="M320" s="5"/>
      <c r="N320" s="5"/>
      <c r="O320" s="5"/>
      <c r="P320" s="5"/>
      <c r="Q320" s="5"/>
      <c r="R320" s="5"/>
      <c r="S320" s="5"/>
      <c r="T320" s="5"/>
      <c r="U320" s="5"/>
      <c r="V320" s="5"/>
      <c r="W320" s="5"/>
      <c r="X320" s="5"/>
      <c r="Y320" s="5"/>
      <c r="Z320" s="5"/>
    </row>
    <row r="321">
      <c r="A321" s="14" t="s">
        <v>123</v>
      </c>
      <c r="B321" s="14" t="s">
        <v>20</v>
      </c>
      <c r="C321" s="118"/>
      <c r="D321" s="15" t="s">
        <v>20</v>
      </c>
      <c r="E321" s="15">
        <v>600264.0</v>
      </c>
      <c r="F321" s="14" t="s">
        <v>1035</v>
      </c>
      <c r="G321" s="14" t="s">
        <v>1036</v>
      </c>
      <c r="H321" s="14" t="s">
        <v>23</v>
      </c>
      <c r="I321" s="14" t="s">
        <v>24</v>
      </c>
      <c r="J321" s="14" t="s">
        <v>70</v>
      </c>
      <c r="K321" s="14" t="s">
        <v>27</v>
      </c>
      <c r="L321" s="5"/>
      <c r="M321" s="5"/>
      <c r="N321" s="5"/>
      <c r="O321" s="5"/>
      <c r="P321" s="5"/>
      <c r="Q321" s="5"/>
      <c r="R321" s="5"/>
      <c r="S321" s="5"/>
      <c r="T321" s="5"/>
      <c r="U321" s="5"/>
      <c r="V321" s="5"/>
      <c r="W321" s="5"/>
      <c r="X321" s="5"/>
      <c r="Y321" s="5"/>
      <c r="Z321" s="5"/>
    </row>
    <row r="322">
      <c r="A322" s="14" t="s">
        <v>14</v>
      </c>
      <c r="B322" s="14" t="s">
        <v>20</v>
      </c>
      <c r="C322" s="118"/>
      <c r="D322" s="15">
        <v>472.0</v>
      </c>
      <c r="E322" s="15">
        <v>600228.0</v>
      </c>
      <c r="F322" s="14" t="s">
        <v>1038</v>
      </c>
      <c r="G322" s="14" t="s">
        <v>1039</v>
      </c>
      <c r="H322" s="14" t="s">
        <v>48</v>
      </c>
      <c r="I322" s="14" t="s">
        <v>50</v>
      </c>
      <c r="J322" s="14" t="s">
        <v>155</v>
      </c>
      <c r="K322" s="14" t="s">
        <v>27</v>
      </c>
      <c r="L322" s="5"/>
      <c r="M322" s="5"/>
      <c r="N322" s="5"/>
      <c r="O322" s="5"/>
      <c r="P322" s="5"/>
      <c r="Q322" s="5"/>
      <c r="R322" s="5"/>
      <c r="S322" s="5"/>
      <c r="T322" s="5"/>
      <c r="U322" s="5"/>
      <c r="V322" s="5"/>
      <c r="W322" s="5"/>
      <c r="X322" s="5"/>
      <c r="Y322" s="5"/>
      <c r="Z322" s="5"/>
    </row>
    <row r="323">
      <c r="A323" s="9" t="s">
        <v>123</v>
      </c>
      <c r="B323" s="9" t="s">
        <v>20</v>
      </c>
      <c r="C323" s="118"/>
      <c r="D323" s="11">
        <v>500.0</v>
      </c>
      <c r="E323" s="11">
        <v>600186.0</v>
      </c>
      <c r="F323" s="9" t="s">
        <v>1040</v>
      </c>
      <c r="G323" s="9" t="s">
        <v>1041</v>
      </c>
      <c r="H323" s="9" t="s">
        <v>48</v>
      </c>
      <c r="I323" s="9" t="s">
        <v>50</v>
      </c>
      <c r="J323" s="9" t="s">
        <v>578</v>
      </c>
      <c r="K323" s="9" t="s">
        <v>27</v>
      </c>
      <c r="L323" s="5"/>
      <c r="M323" s="5"/>
      <c r="N323" s="5"/>
      <c r="O323" s="5"/>
      <c r="P323" s="5"/>
      <c r="Q323" s="5"/>
      <c r="R323" s="5"/>
      <c r="S323" s="5"/>
      <c r="T323" s="5"/>
      <c r="U323" s="5"/>
      <c r="V323" s="5"/>
      <c r="W323" s="5"/>
      <c r="X323" s="5"/>
      <c r="Y323" s="5"/>
      <c r="Z323" s="5"/>
    </row>
    <row r="324">
      <c r="A324" s="14" t="s">
        <v>123</v>
      </c>
      <c r="B324" s="14" t="s">
        <v>20</v>
      </c>
      <c r="C324" s="118"/>
      <c r="D324" s="15">
        <v>516.0</v>
      </c>
      <c r="E324" s="15">
        <v>600164.0</v>
      </c>
      <c r="F324" s="14" t="s">
        <v>1045</v>
      </c>
      <c r="G324" s="14" t="s">
        <v>1046</v>
      </c>
      <c r="H324" s="14" t="s">
        <v>48</v>
      </c>
      <c r="I324" s="14" t="s">
        <v>50</v>
      </c>
      <c r="J324" s="14" t="s">
        <v>105</v>
      </c>
      <c r="K324" s="14" t="s">
        <v>27</v>
      </c>
      <c r="L324" s="5"/>
      <c r="M324" s="5"/>
      <c r="N324" s="5"/>
      <c r="O324" s="5"/>
      <c r="P324" s="5"/>
      <c r="Q324" s="5"/>
      <c r="R324" s="5"/>
      <c r="S324" s="5"/>
      <c r="T324" s="5"/>
      <c r="U324" s="5"/>
      <c r="V324" s="5"/>
      <c r="W324" s="5"/>
      <c r="X324" s="5"/>
      <c r="Y324" s="5"/>
      <c r="Z324" s="5"/>
    </row>
    <row r="325">
      <c r="A325" s="9" t="s">
        <v>123</v>
      </c>
      <c r="B325" s="9" t="s">
        <v>20</v>
      </c>
      <c r="C325" s="118"/>
      <c r="D325" s="11">
        <v>346.0</v>
      </c>
      <c r="E325" s="11">
        <v>600158.0</v>
      </c>
      <c r="F325" s="9" t="s">
        <v>1048</v>
      </c>
      <c r="G325" s="9" t="s">
        <v>812</v>
      </c>
      <c r="H325" s="9" t="s">
        <v>48</v>
      </c>
      <c r="I325" s="9" t="s">
        <v>50</v>
      </c>
      <c r="J325" s="9" t="s">
        <v>25</v>
      </c>
      <c r="K325" s="9" t="s">
        <v>27</v>
      </c>
      <c r="L325" s="5"/>
      <c r="M325" s="5"/>
      <c r="N325" s="5"/>
      <c r="O325" s="5"/>
      <c r="P325" s="5"/>
      <c r="Q325" s="5"/>
      <c r="R325" s="5"/>
      <c r="S325" s="5"/>
      <c r="T325" s="5"/>
      <c r="U325" s="5"/>
      <c r="V325" s="5"/>
      <c r="W325" s="5"/>
      <c r="X325" s="5"/>
      <c r="Y325" s="5"/>
      <c r="Z325" s="5"/>
    </row>
    <row r="326">
      <c r="A326" s="9" t="s">
        <v>123</v>
      </c>
      <c r="B326" s="9" t="s">
        <v>20</v>
      </c>
      <c r="C326" s="118"/>
      <c r="D326" s="11" t="s">
        <v>20</v>
      </c>
      <c r="E326" s="11">
        <v>600011.0</v>
      </c>
      <c r="F326" s="9" t="s">
        <v>1049</v>
      </c>
      <c r="G326" s="9" t="s">
        <v>1050</v>
      </c>
      <c r="H326" s="9" t="s">
        <v>23</v>
      </c>
      <c r="I326" s="9" t="s">
        <v>24</v>
      </c>
      <c r="J326" s="9" t="s">
        <v>25</v>
      </c>
      <c r="K326" s="9" t="s">
        <v>27</v>
      </c>
      <c r="L326" s="5"/>
      <c r="M326" s="5"/>
      <c r="N326" s="5"/>
      <c r="O326" s="5"/>
      <c r="P326" s="5"/>
      <c r="Q326" s="5"/>
      <c r="R326" s="5"/>
      <c r="S326" s="5"/>
      <c r="T326" s="5"/>
      <c r="U326" s="5"/>
      <c r="V326" s="5"/>
      <c r="W326" s="5"/>
      <c r="X326" s="5"/>
      <c r="Y326" s="5"/>
      <c r="Z326" s="5"/>
    </row>
    <row r="327">
      <c r="A327" s="9" t="s">
        <v>123</v>
      </c>
      <c r="B327" s="9" t="s">
        <v>20</v>
      </c>
      <c r="C327" s="118"/>
      <c r="D327" s="11" t="s">
        <v>20</v>
      </c>
      <c r="E327" s="11">
        <v>20151.0</v>
      </c>
      <c r="F327" s="9" t="s">
        <v>1051</v>
      </c>
      <c r="G327" s="9" t="s">
        <v>1052</v>
      </c>
      <c r="H327" s="9" t="s">
        <v>23</v>
      </c>
      <c r="I327" s="9" t="s">
        <v>24</v>
      </c>
      <c r="J327" s="9" t="s">
        <v>70</v>
      </c>
      <c r="K327" s="9" t="s">
        <v>27</v>
      </c>
      <c r="L327" s="5"/>
      <c r="M327" s="5"/>
      <c r="N327" s="5"/>
      <c r="O327" s="5"/>
      <c r="P327" s="5"/>
      <c r="Q327" s="5"/>
      <c r="R327" s="5"/>
      <c r="S327" s="5"/>
      <c r="T327" s="5"/>
      <c r="U327" s="5"/>
      <c r="V327" s="5"/>
      <c r="W327" s="5"/>
      <c r="X327" s="5"/>
      <c r="Y327" s="5"/>
      <c r="Z327" s="5"/>
    </row>
    <row r="328">
      <c r="A328" s="14" t="s">
        <v>123</v>
      </c>
      <c r="B328" s="14" t="s">
        <v>20</v>
      </c>
      <c r="C328" s="118"/>
      <c r="D328" s="15" t="s">
        <v>20</v>
      </c>
      <c r="E328" s="15">
        <v>11331.0</v>
      </c>
      <c r="F328" s="14" t="s">
        <v>1054</v>
      </c>
      <c r="G328" s="14" t="s">
        <v>1055</v>
      </c>
      <c r="H328" s="14" t="s">
        <v>23</v>
      </c>
      <c r="I328" s="14" t="s">
        <v>24</v>
      </c>
      <c r="J328" s="14" t="s">
        <v>25</v>
      </c>
      <c r="K328" s="14" t="s">
        <v>27</v>
      </c>
      <c r="L328" s="5"/>
      <c r="M328" s="5"/>
      <c r="N328" s="5"/>
      <c r="O328" s="5"/>
      <c r="P328" s="5"/>
      <c r="Q328" s="5"/>
      <c r="R328" s="5"/>
      <c r="S328" s="5"/>
      <c r="T328" s="5"/>
      <c r="U328" s="5"/>
      <c r="V328" s="5"/>
      <c r="W328" s="5"/>
      <c r="X328" s="5"/>
      <c r="Y328" s="5"/>
      <c r="Z328" s="5"/>
    </row>
    <row r="329">
      <c r="A329" s="14" t="s">
        <v>123</v>
      </c>
      <c r="B329" s="14" t="s">
        <v>20</v>
      </c>
      <c r="C329" s="118"/>
      <c r="D329" s="15" t="s">
        <v>20</v>
      </c>
      <c r="E329" s="15">
        <v>11243.0</v>
      </c>
      <c r="F329" s="14" t="s">
        <v>1057</v>
      </c>
      <c r="G329" s="14" t="s">
        <v>1057</v>
      </c>
      <c r="H329" s="14" t="s">
        <v>23</v>
      </c>
      <c r="I329" s="14" t="s">
        <v>24</v>
      </c>
      <c r="J329" s="14" t="s">
        <v>25</v>
      </c>
      <c r="K329" s="14" t="s">
        <v>27</v>
      </c>
      <c r="L329" s="5"/>
      <c r="M329" s="5"/>
      <c r="N329" s="5"/>
      <c r="O329" s="5"/>
      <c r="P329" s="5"/>
      <c r="Q329" s="5"/>
      <c r="R329" s="5"/>
      <c r="S329" s="5"/>
      <c r="T329" s="5"/>
      <c r="U329" s="5"/>
      <c r="V329" s="5"/>
      <c r="W329" s="5"/>
      <c r="X329" s="5"/>
      <c r="Y329" s="5"/>
      <c r="Z329" s="5"/>
    </row>
    <row r="330">
      <c r="A330" s="9" t="s">
        <v>123</v>
      </c>
      <c r="B330" s="9" t="s">
        <v>20</v>
      </c>
      <c r="C330" s="118"/>
      <c r="D330" s="11" t="s">
        <v>20</v>
      </c>
      <c r="E330" s="11">
        <v>11240.0</v>
      </c>
      <c r="F330" s="9" t="s">
        <v>1058</v>
      </c>
      <c r="G330" s="9" t="s">
        <v>1058</v>
      </c>
      <c r="H330" s="9" t="s">
        <v>23</v>
      </c>
      <c r="I330" s="9" t="s">
        <v>24</v>
      </c>
      <c r="J330" s="9" t="s">
        <v>25</v>
      </c>
      <c r="K330" s="9" t="s">
        <v>27</v>
      </c>
      <c r="L330" s="5"/>
      <c r="M330" s="5"/>
      <c r="N330" s="5"/>
      <c r="O330" s="5"/>
      <c r="P330" s="5"/>
      <c r="Q330" s="5"/>
      <c r="R330" s="5"/>
      <c r="S330" s="5"/>
      <c r="T330" s="5"/>
      <c r="U330" s="5"/>
      <c r="V330" s="5"/>
      <c r="W330" s="5"/>
      <c r="X330" s="5"/>
      <c r="Y330" s="5"/>
      <c r="Z330" s="5"/>
    </row>
    <row r="331">
      <c r="A331" s="14" t="s">
        <v>123</v>
      </c>
      <c r="B331" s="14" t="s">
        <v>20</v>
      </c>
      <c r="C331" s="118"/>
      <c r="D331" s="15" t="s">
        <v>20</v>
      </c>
      <c r="E331" s="15">
        <v>10907.0</v>
      </c>
      <c r="F331" s="14" t="s">
        <v>1061</v>
      </c>
      <c r="G331" s="14" t="s">
        <v>1062</v>
      </c>
      <c r="H331" s="14" t="s">
        <v>23</v>
      </c>
      <c r="I331" s="14" t="s">
        <v>24</v>
      </c>
      <c r="J331" s="14" t="s">
        <v>25</v>
      </c>
      <c r="K331" s="14" t="s">
        <v>27</v>
      </c>
      <c r="L331" s="5"/>
      <c r="M331" s="5"/>
      <c r="N331" s="5"/>
      <c r="O331" s="5"/>
      <c r="P331" s="5"/>
      <c r="Q331" s="5"/>
      <c r="R331" s="5"/>
      <c r="S331" s="5"/>
      <c r="T331" s="5"/>
      <c r="U331" s="5"/>
      <c r="V331" s="5"/>
      <c r="W331" s="5"/>
      <c r="X331" s="5"/>
      <c r="Y331" s="5"/>
      <c r="Z331" s="5"/>
    </row>
    <row r="332">
      <c r="A332" s="9" t="s">
        <v>123</v>
      </c>
      <c r="B332" s="9" t="s">
        <v>20</v>
      </c>
      <c r="C332" s="118"/>
      <c r="D332" s="11" t="s">
        <v>20</v>
      </c>
      <c r="E332" s="11">
        <v>10818.0</v>
      </c>
      <c r="F332" s="9" t="s">
        <v>1055</v>
      </c>
      <c r="G332" s="9" t="s">
        <v>1055</v>
      </c>
      <c r="H332" s="9" t="s">
        <v>23</v>
      </c>
      <c r="I332" s="9" t="s">
        <v>24</v>
      </c>
      <c r="J332" s="9" t="s">
        <v>25</v>
      </c>
      <c r="K332" s="9" t="s">
        <v>27</v>
      </c>
      <c r="L332" s="5"/>
      <c r="M332" s="5"/>
      <c r="N332" s="5"/>
      <c r="O332" s="5"/>
      <c r="P332" s="5"/>
      <c r="Q332" s="5"/>
      <c r="R332" s="5"/>
      <c r="S332" s="5"/>
      <c r="T332" s="5"/>
      <c r="U332" s="5"/>
      <c r="V332" s="5"/>
      <c r="W332" s="5"/>
      <c r="X332" s="5"/>
      <c r="Y332" s="5"/>
      <c r="Z332" s="5"/>
    </row>
    <row r="333">
      <c r="A333" s="14" t="s">
        <v>38</v>
      </c>
      <c r="B333" s="14" t="s">
        <v>20</v>
      </c>
      <c r="C333" s="118"/>
      <c r="D333" s="15" t="s">
        <v>20</v>
      </c>
      <c r="E333" s="15">
        <v>10698.0</v>
      </c>
      <c r="F333" s="14" t="s">
        <v>1064</v>
      </c>
      <c r="G333" s="14" t="s">
        <v>1064</v>
      </c>
      <c r="H333" s="14" t="s">
        <v>23</v>
      </c>
      <c r="I333" s="14" t="s">
        <v>24</v>
      </c>
      <c r="J333" s="14" t="s">
        <v>25</v>
      </c>
      <c r="K333" s="14" t="s">
        <v>27</v>
      </c>
      <c r="L333" s="5"/>
      <c r="M333" s="5"/>
      <c r="N333" s="5"/>
      <c r="O333" s="5"/>
      <c r="P333" s="5"/>
      <c r="Q333" s="5"/>
      <c r="R333" s="5"/>
      <c r="S333" s="5"/>
      <c r="T333" s="5"/>
      <c r="U333" s="5"/>
      <c r="V333" s="5"/>
      <c r="W333" s="5"/>
      <c r="X333" s="5"/>
      <c r="Y333" s="5"/>
      <c r="Z333" s="5"/>
    </row>
    <row r="334">
      <c r="A334" s="9" t="s">
        <v>65</v>
      </c>
      <c r="B334" s="9" t="s">
        <v>20</v>
      </c>
      <c r="C334" s="118"/>
      <c r="D334" s="11" t="s">
        <v>20</v>
      </c>
      <c r="E334" s="11">
        <v>10676.0</v>
      </c>
      <c r="F334" s="9" t="s">
        <v>1065</v>
      </c>
      <c r="G334" s="9" t="s">
        <v>1065</v>
      </c>
      <c r="H334" s="9" t="s">
        <v>23</v>
      </c>
      <c r="I334" s="9" t="s">
        <v>77</v>
      </c>
      <c r="J334" s="9" t="s">
        <v>25</v>
      </c>
      <c r="K334" s="9" t="s">
        <v>27</v>
      </c>
      <c r="L334" s="5"/>
      <c r="M334" s="5"/>
      <c r="N334" s="5"/>
      <c r="O334" s="5"/>
      <c r="P334" s="5"/>
      <c r="Q334" s="5"/>
      <c r="R334" s="5"/>
      <c r="S334" s="5"/>
      <c r="T334" s="5"/>
      <c r="U334" s="5"/>
      <c r="V334" s="5"/>
      <c r="W334" s="5"/>
      <c r="X334" s="5"/>
      <c r="Y334" s="5"/>
      <c r="Z334" s="5"/>
    </row>
    <row r="335">
      <c r="A335" s="14" t="s">
        <v>65</v>
      </c>
      <c r="B335" s="14" t="s">
        <v>20</v>
      </c>
      <c r="C335" s="118"/>
      <c r="D335" s="15" t="s">
        <v>20</v>
      </c>
      <c r="E335" s="15">
        <v>10623.0</v>
      </c>
      <c r="F335" s="14" t="s">
        <v>1067</v>
      </c>
      <c r="G335" s="14" t="s">
        <v>1067</v>
      </c>
      <c r="H335" s="14" t="s">
        <v>23</v>
      </c>
      <c r="I335" s="14" t="s">
        <v>77</v>
      </c>
      <c r="J335" s="14" t="s">
        <v>25</v>
      </c>
      <c r="K335" s="14" t="s">
        <v>27</v>
      </c>
      <c r="L335" s="5"/>
      <c r="M335" s="5"/>
      <c r="N335" s="5"/>
      <c r="O335" s="5"/>
      <c r="P335" s="5"/>
      <c r="Q335" s="5"/>
      <c r="R335" s="5"/>
      <c r="S335" s="5"/>
      <c r="T335" s="5"/>
      <c r="U335" s="5"/>
      <c r="V335" s="5"/>
      <c r="W335" s="5"/>
      <c r="X335" s="5"/>
      <c r="Y335" s="5"/>
      <c r="Z335" s="5"/>
    </row>
    <row r="336">
      <c r="A336" s="9" t="s">
        <v>123</v>
      </c>
      <c r="B336" s="9" t="s">
        <v>20</v>
      </c>
      <c r="C336" s="118"/>
      <c r="D336" s="11" t="s">
        <v>20</v>
      </c>
      <c r="E336" s="11">
        <v>10460.0</v>
      </c>
      <c r="F336" s="9" t="s">
        <v>1068</v>
      </c>
      <c r="G336" s="9" t="s">
        <v>1068</v>
      </c>
      <c r="H336" s="9" t="s">
        <v>23</v>
      </c>
      <c r="I336" s="9" t="s">
        <v>24</v>
      </c>
      <c r="J336" s="9" t="s">
        <v>25</v>
      </c>
      <c r="K336" s="9" t="s">
        <v>27</v>
      </c>
      <c r="L336" s="5"/>
      <c r="M336" s="5"/>
      <c r="N336" s="5"/>
      <c r="O336" s="5"/>
      <c r="P336" s="5"/>
      <c r="Q336" s="5"/>
      <c r="R336" s="5"/>
      <c r="S336" s="5"/>
      <c r="T336" s="5"/>
      <c r="U336" s="5"/>
      <c r="V336" s="5"/>
      <c r="W336" s="5"/>
      <c r="X336" s="5"/>
      <c r="Y336" s="5"/>
      <c r="Z336" s="5"/>
    </row>
    <row r="337">
      <c r="A337" s="9" t="s">
        <v>123</v>
      </c>
      <c r="B337" s="9" t="s">
        <v>20</v>
      </c>
      <c r="C337" s="118"/>
      <c r="D337" s="11">
        <v>914.0</v>
      </c>
      <c r="E337" s="11">
        <v>600729.0</v>
      </c>
      <c r="F337" s="9" t="s">
        <v>1069</v>
      </c>
      <c r="G337" s="9" t="s">
        <v>1070</v>
      </c>
      <c r="H337" s="9" t="s">
        <v>48</v>
      </c>
      <c r="I337" s="9" t="s">
        <v>50</v>
      </c>
      <c r="J337" s="9" t="s">
        <v>1071</v>
      </c>
      <c r="K337" s="9" t="s">
        <v>67</v>
      </c>
      <c r="L337" s="5"/>
      <c r="M337" s="5"/>
      <c r="N337" s="5"/>
      <c r="O337" s="5"/>
      <c r="P337" s="5"/>
      <c r="Q337" s="5"/>
      <c r="R337" s="5"/>
      <c r="S337" s="5"/>
      <c r="T337" s="5"/>
      <c r="U337" s="5"/>
      <c r="V337" s="5"/>
      <c r="W337" s="5"/>
      <c r="X337" s="5"/>
      <c r="Y337" s="5"/>
      <c r="Z337" s="5"/>
    </row>
    <row r="338">
      <c r="A338" s="14" t="s">
        <v>123</v>
      </c>
      <c r="B338" s="14" t="s">
        <v>20</v>
      </c>
      <c r="C338" s="118"/>
      <c r="D338" s="15">
        <v>787.0</v>
      </c>
      <c r="E338" s="15">
        <v>600598.0</v>
      </c>
      <c r="F338" s="14" t="s">
        <v>1074</v>
      </c>
      <c r="G338" s="14" t="s">
        <v>1075</v>
      </c>
      <c r="H338" s="14" t="s">
        <v>48</v>
      </c>
      <c r="I338" s="14" t="s">
        <v>50</v>
      </c>
      <c r="J338" s="14" t="s">
        <v>105</v>
      </c>
      <c r="K338" s="14" t="s">
        <v>67</v>
      </c>
      <c r="L338" s="5"/>
      <c r="M338" s="5"/>
      <c r="N338" s="5"/>
      <c r="O338" s="5"/>
      <c r="P338" s="5"/>
      <c r="Q338" s="5"/>
      <c r="R338" s="5"/>
      <c r="S338" s="5"/>
      <c r="T338" s="5"/>
      <c r="U338" s="5"/>
      <c r="V338" s="5"/>
      <c r="W338" s="5"/>
      <c r="X338" s="5"/>
      <c r="Y338" s="5"/>
      <c r="Z338" s="5"/>
    </row>
    <row r="339">
      <c r="A339" s="14" t="s">
        <v>261</v>
      </c>
      <c r="B339" s="14" t="s">
        <v>20</v>
      </c>
      <c r="C339" s="118"/>
      <c r="D339" s="15">
        <v>774.0</v>
      </c>
      <c r="E339" s="15">
        <v>600581.0</v>
      </c>
      <c r="F339" s="14" t="s">
        <v>1078</v>
      </c>
      <c r="G339" s="14" t="s">
        <v>1079</v>
      </c>
      <c r="H339" s="14" t="s">
        <v>48</v>
      </c>
      <c r="I339" s="14" t="s">
        <v>50</v>
      </c>
      <c r="J339" s="14" t="s">
        <v>25</v>
      </c>
      <c r="K339" s="14" t="s">
        <v>67</v>
      </c>
      <c r="L339" s="5"/>
      <c r="M339" s="5"/>
      <c r="N339" s="5"/>
      <c r="O339" s="5"/>
      <c r="P339" s="5"/>
      <c r="Q339" s="5"/>
      <c r="R339" s="5"/>
      <c r="S339" s="5"/>
      <c r="T339" s="5"/>
      <c r="U339" s="5"/>
      <c r="V339" s="5"/>
      <c r="W339" s="5"/>
      <c r="X339" s="5"/>
      <c r="Y339" s="5"/>
      <c r="Z339" s="5"/>
    </row>
    <row r="340">
      <c r="A340" s="14" t="s">
        <v>123</v>
      </c>
      <c r="B340" s="14" t="s">
        <v>20</v>
      </c>
      <c r="C340" s="118"/>
      <c r="D340" s="15">
        <v>750.0</v>
      </c>
      <c r="E340" s="15">
        <v>600536.0</v>
      </c>
      <c r="F340" s="14" t="s">
        <v>1080</v>
      </c>
      <c r="G340" s="14" t="s">
        <v>1082</v>
      </c>
      <c r="H340" s="14" t="s">
        <v>48</v>
      </c>
      <c r="I340" s="14" t="s">
        <v>50</v>
      </c>
      <c r="J340" s="14" t="s">
        <v>105</v>
      </c>
      <c r="K340" s="14" t="s">
        <v>67</v>
      </c>
      <c r="L340" s="5"/>
      <c r="M340" s="5"/>
      <c r="N340" s="5"/>
      <c r="O340" s="5"/>
      <c r="P340" s="5"/>
      <c r="Q340" s="5"/>
      <c r="R340" s="5"/>
      <c r="S340" s="5"/>
      <c r="T340" s="5"/>
      <c r="U340" s="5"/>
      <c r="V340" s="5"/>
      <c r="W340" s="5"/>
      <c r="X340" s="5"/>
      <c r="Y340" s="5"/>
      <c r="Z340" s="5"/>
    </row>
    <row r="341">
      <c r="A341" s="9" t="s">
        <v>123</v>
      </c>
      <c r="B341" s="9" t="s">
        <v>20</v>
      </c>
      <c r="C341" s="118"/>
      <c r="D341" s="11">
        <v>498.0</v>
      </c>
      <c r="E341" s="11">
        <v>600416.0</v>
      </c>
      <c r="F341" s="9" t="s">
        <v>1040</v>
      </c>
      <c r="G341" s="9" t="s">
        <v>1083</v>
      </c>
      <c r="H341" s="9" t="s">
        <v>48</v>
      </c>
      <c r="I341" s="9" t="s">
        <v>50</v>
      </c>
      <c r="J341" s="9" t="s">
        <v>105</v>
      </c>
      <c r="K341" s="9" t="s">
        <v>67</v>
      </c>
      <c r="L341" s="5"/>
      <c r="M341" s="5"/>
      <c r="N341" s="5"/>
      <c r="O341" s="5"/>
      <c r="P341" s="5"/>
      <c r="Q341" s="5"/>
      <c r="R341" s="5"/>
      <c r="S341" s="5"/>
      <c r="T341" s="5"/>
      <c r="U341" s="5"/>
      <c r="V341" s="5"/>
      <c r="W341" s="5"/>
      <c r="X341" s="5"/>
      <c r="Y341" s="5"/>
      <c r="Z341" s="5"/>
    </row>
    <row r="342">
      <c r="A342" s="14" t="s">
        <v>123</v>
      </c>
      <c r="B342" s="14" t="s">
        <v>20</v>
      </c>
      <c r="C342" s="118"/>
      <c r="D342" s="15">
        <v>622.0</v>
      </c>
      <c r="E342" s="15">
        <v>600370.0</v>
      </c>
      <c r="F342" s="14" t="s">
        <v>1084</v>
      </c>
      <c r="G342" s="14" t="s">
        <v>1085</v>
      </c>
      <c r="H342" s="14" t="s">
        <v>48</v>
      </c>
      <c r="I342" s="14" t="s">
        <v>50</v>
      </c>
      <c r="J342" s="14" t="s">
        <v>25</v>
      </c>
      <c r="K342" s="14" t="s">
        <v>67</v>
      </c>
      <c r="L342" s="5"/>
      <c r="M342" s="5"/>
      <c r="N342" s="5"/>
      <c r="O342" s="5"/>
      <c r="P342" s="5"/>
      <c r="Q342" s="5"/>
      <c r="R342" s="5"/>
      <c r="S342" s="5"/>
      <c r="T342" s="5"/>
      <c r="U342" s="5"/>
      <c r="V342" s="5"/>
      <c r="W342" s="5"/>
      <c r="X342" s="5"/>
      <c r="Y342" s="5"/>
      <c r="Z342" s="5"/>
    </row>
    <row r="343">
      <c r="A343" s="9" t="s">
        <v>38</v>
      </c>
      <c r="B343" s="9" t="s">
        <v>20</v>
      </c>
      <c r="C343" s="118"/>
      <c r="D343" s="11" t="s">
        <v>20</v>
      </c>
      <c r="E343" s="11">
        <v>10589.0</v>
      </c>
      <c r="F343" s="9" t="s">
        <v>1087</v>
      </c>
      <c r="G343" s="9" t="s">
        <v>1088</v>
      </c>
      <c r="H343" s="9" t="s">
        <v>23</v>
      </c>
      <c r="I343" s="9" t="s">
        <v>24</v>
      </c>
      <c r="J343" s="9" t="s">
        <v>25</v>
      </c>
      <c r="K343" s="9" t="s">
        <v>67</v>
      </c>
      <c r="L343" s="5"/>
      <c r="M343" s="5"/>
      <c r="N343" s="5"/>
      <c r="O343" s="5"/>
      <c r="P343" s="5"/>
      <c r="Q343" s="5"/>
      <c r="R343" s="5"/>
      <c r="S343" s="5"/>
      <c r="T343" s="5"/>
      <c r="U343" s="5"/>
      <c r="V343" s="5"/>
      <c r="W343" s="5"/>
      <c r="X343" s="5"/>
      <c r="Y343" s="5"/>
      <c r="Z343" s="5"/>
    </row>
    <row r="344">
      <c r="A344" s="14" t="s">
        <v>38</v>
      </c>
      <c r="B344" s="14" t="s">
        <v>20</v>
      </c>
      <c r="C344" s="118"/>
      <c r="D344" s="15" t="s">
        <v>20</v>
      </c>
      <c r="E344" s="15">
        <v>10309.0</v>
      </c>
      <c r="F344" s="14" t="s">
        <v>1089</v>
      </c>
      <c r="G344" s="14" t="s">
        <v>1089</v>
      </c>
      <c r="H344" s="14" t="s">
        <v>23</v>
      </c>
      <c r="I344" s="14" t="s">
        <v>24</v>
      </c>
      <c r="J344" s="14" t="s">
        <v>25</v>
      </c>
      <c r="K344" s="14" t="s">
        <v>67</v>
      </c>
      <c r="L344" s="5"/>
      <c r="M344" s="5"/>
      <c r="N344" s="5"/>
      <c r="O344" s="5"/>
      <c r="P344" s="5"/>
      <c r="Q344" s="5"/>
      <c r="R344" s="5"/>
      <c r="S344" s="5"/>
      <c r="T344" s="5"/>
      <c r="U344" s="5"/>
      <c r="V344" s="5"/>
      <c r="W344" s="5"/>
      <c r="X344" s="5"/>
      <c r="Y344" s="5"/>
      <c r="Z344" s="5"/>
    </row>
    <row r="345">
      <c r="A345" s="14" t="s">
        <v>14</v>
      </c>
      <c r="B345" s="14" t="s">
        <v>20</v>
      </c>
      <c r="C345" s="118"/>
      <c r="D345" s="15">
        <v>514.0</v>
      </c>
      <c r="E345" s="15" t="s">
        <v>20</v>
      </c>
      <c r="F345" s="14" t="s">
        <v>20</v>
      </c>
      <c r="G345" s="14" t="s">
        <v>883</v>
      </c>
      <c r="H345" s="14" t="s">
        <v>48</v>
      </c>
      <c r="I345" s="14" t="s">
        <v>50</v>
      </c>
      <c r="J345" s="14" t="s">
        <v>25</v>
      </c>
      <c r="K345" s="14" t="s">
        <v>67</v>
      </c>
      <c r="L345" s="5"/>
      <c r="M345" s="5"/>
      <c r="N345" s="5"/>
      <c r="O345" s="5"/>
      <c r="P345" s="5"/>
      <c r="Q345" s="5"/>
      <c r="R345" s="5"/>
      <c r="S345" s="5"/>
      <c r="T345" s="5"/>
      <c r="U345" s="5"/>
      <c r="V345" s="5"/>
      <c r="W345" s="5"/>
      <c r="X345" s="5"/>
      <c r="Y345" s="5"/>
      <c r="Z345" s="5"/>
    </row>
    <row r="346">
      <c r="A346" s="9" t="s">
        <v>65</v>
      </c>
      <c r="B346" s="9" t="s">
        <v>20</v>
      </c>
      <c r="C346" s="118"/>
      <c r="D346" s="11" t="s">
        <v>20</v>
      </c>
      <c r="E346" s="11" t="s">
        <v>20</v>
      </c>
      <c r="F346" s="9" t="s">
        <v>1090</v>
      </c>
      <c r="G346" s="9" t="s">
        <v>1090</v>
      </c>
      <c r="H346" s="9" t="s">
        <v>48</v>
      </c>
      <c r="I346" s="9" t="s">
        <v>50</v>
      </c>
      <c r="J346" s="9" t="s">
        <v>25</v>
      </c>
      <c r="K346" s="9" t="s">
        <v>67</v>
      </c>
      <c r="L346" s="5"/>
      <c r="M346" s="5"/>
      <c r="N346" s="5"/>
      <c r="O346" s="5"/>
      <c r="P346" s="5"/>
      <c r="Q346" s="5"/>
      <c r="R346" s="5"/>
      <c r="S346" s="5"/>
      <c r="T346" s="5"/>
      <c r="U346" s="5"/>
      <c r="V346" s="5"/>
      <c r="W346" s="5"/>
      <c r="X346" s="5"/>
      <c r="Y346" s="5"/>
      <c r="Z346" s="5"/>
    </row>
    <row r="347">
      <c r="A347" s="139" t="s">
        <v>14</v>
      </c>
      <c r="B347" s="140" t="s">
        <v>20</v>
      </c>
      <c r="C347" s="118"/>
      <c r="D347" s="141" t="s">
        <v>20</v>
      </c>
      <c r="E347" s="141">
        <v>20640.0</v>
      </c>
      <c r="F347" s="139" t="s">
        <v>1094</v>
      </c>
      <c r="G347" s="139" t="s">
        <v>1095</v>
      </c>
      <c r="H347" s="139" t="s">
        <v>23</v>
      </c>
      <c r="I347" s="139" t="s">
        <v>24</v>
      </c>
      <c r="J347" s="139" t="s">
        <v>25</v>
      </c>
      <c r="K347" s="139" t="s">
        <v>51</v>
      </c>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F15"/>
    <hyperlink r:id="rId2" ref="B210"/>
    <hyperlink r:id="rId3" ref="F210"/>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5.75"/>
    <col customWidth="1" min="3" max="3" width="22.63"/>
    <col customWidth="1" min="4" max="4" width="19.63"/>
  </cols>
  <sheetData>
    <row r="1">
      <c r="A1" s="155" t="s">
        <v>1540</v>
      </c>
      <c r="B1" s="156" t="s">
        <v>17</v>
      </c>
      <c r="C1" s="156" t="s">
        <v>21</v>
      </c>
      <c r="D1" s="156" t="s">
        <v>1542</v>
      </c>
      <c r="E1" s="157"/>
      <c r="F1" s="158"/>
      <c r="G1" s="158"/>
      <c r="H1" s="158"/>
      <c r="I1" s="158"/>
      <c r="J1" s="158"/>
      <c r="K1" s="158"/>
      <c r="L1" s="158"/>
      <c r="M1" s="158"/>
      <c r="N1" s="158"/>
      <c r="O1" s="158"/>
      <c r="P1" s="158"/>
      <c r="Q1" s="158"/>
      <c r="R1" s="158"/>
      <c r="S1" s="158"/>
      <c r="T1" s="158"/>
      <c r="U1" s="158"/>
      <c r="V1" s="158"/>
      <c r="W1" s="158"/>
      <c r="X1" s="158"/>
      <c r="Y1" s="158"/>
      <c r="Z1" s="158"/>
    </row>
    <row r="2">
      <c r="A2" s="160">
        <v>1.0</v>
      </c>
      <c r="B2" s="157" t="s">
        <v>1545</v>
      </c>
      <c r="C2" s="157" t="s">
        <v>1546</v>
      </c>
      <c r="D2" s="157"/>
      <c r="E2" s="157"/>
      <c r="F2" s="158"/>
      <c r="G2" s="158"/>
      <c r="H2" s="158"/>
      <c r="I2" s="158"/>
      <c r="J2" s="158"/>
      <c r="K2" s="158"/>
      <c r="L2" s="158"/>
      <c r="M2" s="158"/>
      <c r="N2" s="158"/>
      <c r="O2" s="158"/>
      <c r="P2" s="158"/>
      <c r="Q2" s="158"/>
      <c r="R2" s="158"/>
      <c r="S2" s="158"/>
      <c r="T2" s="158"/>
      <c r="U2" s="158"/>
      <c r="V2" s="158"/>
      <c r="W2" s="158"/>
      <c r="X2" s="158"/>
      <c r="Y2" s="158"/>
      <c r="Z2" s="158"/>
    </row>
    <row r="3">
      <c r="A3" s="160">
        <v>2.0</v>
      </c>
      <c r="B3" s="157" t="s">
        <v>1548</v>
      </c>
      <c r="C3" s="157" t="s">
        <v>1549</v>
      </c>
      <c r="D3" s="157"/>
      <c r="E3" s="157"/>
      <c r="F3" s="158"/>
      <c r="G3" s="158"/>
      <c r="H3" s="158"/>
      <c r="I3" s="158"/>
      <c r="J3" s="158"/>
      <c r="K3" s="158"/>
      <c r="L3" s="158"/>
      <c r="M3" s="158"/>
      <c r="N3" s="158"/>
      <c r="O3" s="158"/>
      <c r="P3" s="158"/>
      <c r="Q3" s="158"/>
      <c r="R3" s="158"/>
      <c r="S3" s="158"/>
      <c r="T3" s="158"/>
      <c r="U3" s="158"/>
      <c r="V3" s="158"/>
      <c r="W3" s="158"/>
      <c r="X3" s="158"/>
      <c r="Y3" s="158"/>
      <c r="Z3" s="158"/>
    </row>
    <row r="4">
      <c r="A4" s="160">
        <v>3.0</v>
      </c>
      <c r="B4" s="157" t="s">
        <v>869</v>
      </c>
      <c r="C4" s="157" t="s">
        <v>870</v>
      </c>
      <c r="D4" s="157"/>
      <c r="E4" s="157"/>
      <c r="F4" s="158"/>
      <c r="G4" s="158"/>
      <c r="H4" s="158"/>
      <c r="I4" s="158"/>
      <c r="J4" s="158"/>
      <c r="K4" s="158"/>
      <c r="L4" s="158"/>
      <c r="M4" s="158"/>
      <c r="N4" s="158"/>
      <c r="O4" s="158"/>
      <c r="P4" s="158"/>
      <c r="Q4" s="158"/>
      <c r="R4" s="158"/>
      <c r="S4" s="158"/>
      <c r="T4" s="158"/>
      <c r="U4" s="158"/>
      <c r="V4" s="158"/>
      <c r="W4" s="158"/>
      <c r="X4" s="158"/>
      <c r="Y4" s="158"/>
      <c r="Z4" s="158"/>
    </row>
    <row r="5">
      <c r="A5" s="160">
        <v>4.0</v>
      </c>
      <c r="B5" s="157" t="s">
        <v>1151</v>
      </c>
      <c r="C5" s="157" t="s">
        <v>1152</v>
      </c>
      <c r="D5" s="157"/>
      <c r="E5" s="157"/>
      <c r="F5" s="158"/>
      <c r="G5" s="158"/>
      <c r="H5" s="158"/>
      <c r="I5" s="158"/>
      <c r="J5" s="158"/>
      <c r="K5" s="158"/>
      <c r="L5" s="158"/>
      <c r="M5" s="158"/>
      <c r="N5" s="158"/>
      <c r="O5" s="158"/>
      <c r="P5" s="158"/>
      <c r="Q5" s="158"/>
      <c r="R5" s="158"/>
      <c r="S5" s="158"/>
      <c r="T5" s="158"/>
      <c r="U5" s="158"/>
      <c r="V5" s="158"/>
      <c r="W5" s="158"/>
      <c r="X5" s="158"/>
      <c r="Y5" s="158"/>
      <c r="Z5" s="158"/>
    </row>
    <row r="6">
      <c r="A6" s="160">
        <v>5.0</v>
      </c>
      <c r="B6" s="157" t="s">
        <v>551</v>
      </c>
      <c r="C6" s="157" t="s">
        <v>553</v>
      </c>
      <c r="D6" s="157"/>
      <c r="E6" s="157"/>
      <c r="F6" s="158"/>
      <c r="G6" s="158"/>
      <c r="H6" s="158"/>
      <c r="I6" s="158"/>
      <c r="J6" s="158"/>
      <c r="K6" s="158"/>
      <c r="L6" s="158"/>
      <c r="M6" s="158"/>
      <c r="N6" s="158"/>
      <c r="O6" s="158"/>
      <c r="P6" s="158"/>
      <c r="Q6" s="158"/>
      <c r="R6" s="158"/>
      <c r="S6" s="158"/>
      <c r="T6" s="158"/>
      <c r="U6" s="158"/>
      <c r="V6" s="158"/>
      <c r="W6" s="158"/>
      <c r="X6" s="158"/>
      <c r="Y6" s="158"/>
      <c r="Z6" s="158"/>
    </row>
    <row r="7">
      <c r="A7" s="160">
        <v>6.0</v>
      </c>
      <c r="B7" s="157" t="s">
        <v>1552</v>
      </c>
      <c r="C7" s="157" t="s">
        <v>1553</v>
      </c>
      <c r="D7" s="157"/>
      <c r="E7" s="157"/>
      <c r="F7" s="158"/>
      <c r="G7" s="158"/>
      <c r="H7" s="158"/>
      <c r="I7" s="158"/>
      <c r="J7" s="158"/>
      <c r="K7" s="158"/>
      <c r="L7" s="158"/>
      <c r="M7" s="158"/>
      <c r="N7" s="158"/>
      <c r="O7" s="158"/>
      <c r="P7" s="158"/>
      <c r="Q7" s="158"/>
      <c r="R7" s="158"/>
      <c r="S7" s="158"/>
      <c r="T7" s="158"/>
      <c r="U7" s="158"/>
      <c r="V7" s="158"/>
      <c r="W7" s="158"/>
      <c r="X7" s="158"/>
      <c r="Y7" s="158"/>
      <c r="Z7" s="158"/>
    </row>
    <row r="8">
      <c r="A8" s="160">
        <v>7.0</v>
      </c>
      <c r="B8" s="157" t="s">
        <v>1325</v>
      </c>
      <c r="C8" s="157" t="s">
        <v>1326</v>
      </c>
      <c r="D8" s="157"/>
      <c r="E8" s="157"/>
      <c r="F8" s="158"/>
      <c r="G8" s="158"/>
      <c r="H8" s="158"/>
      <c r="I8" s="158"/>
      <c r="J8" s="158"/>
      <c r="K8" s="158"/>
      <c r="L8" s="158"/>
      <c r="M8" s="158"/>
      <c r="N8" s="158"/>
      <c r="O8" s="158"/>
      <c r="P8" s="158"/>
      <c r="Q8" s="158"/>
      <c r="R8" s="158"/>
      <c r="S8" s="158"/>
      <c r="T8" s="158"/>
      <c r="U8" s="158"/>
      <c r="V8" s="158"/>
      <c r="W8" s="158"/>
      <c r="X8" s="158"/>
      <c r="Y8" s="158"/>
      <c r="Z8" s="158"/>
    </row>
    <row r="9">
      <c r="A9" s="160">
        <v>8.0</v>
      </c>
      <c r="B9" s="157" t="s">
        <v>813</v>
      </c>
      <c r="C9" s="157" t="s">
        <v>1555</v>
      </c>
      <c r="D9" s="157"/>
      <c r="E9" s="157"/>
      <c r="F9" s="158"/>
      <c r="G9" s="158"/>
      <c r="H9" s="158"/>
      <c r="I9" s="158"/>
      <c r="J9" s="158"/>
      <c r="K9" s="158"/>
      <c r="L9" s="158"/>
      <c r="M9" s="158"/>
      <c r="N9" s="158"/>
      <c r="O9" s="158"/>
      <c r="P9" s="158"/>
      <c r="Q9" s="158"/>
      <c r="R9" s="158"/>
      <c r="S9" s="158"/>
      <c r="T9" s="158"/>
      <c r="U9" s="158"/>
      <c r="V9" s="158"/>
      <c r="W9" s="158"/>
      <c r="X9" s="158"/>
      <c r="Y9" s="158"/>
      <c r="Z9" s="158"/>
    </row>
    <row r="10">
      <c r="A10" s="160">
        <v>9.0</v>
      </c>
      <c r="B10" s="157" t="s">
        <v>461</v>
      </c>
      <c r="C10" s="157" t="s">
        <v>462</v>
      </c>
      <c r="D10" s="157"/>
      <c r="E10" s="157"/>
      <c r="F10" s="158"/>
      <c r="G10" s="158"/>
      <c r="H10" s="158"/>
      <c r="I10" s="158"/>
      <c r="J10" s="158"/>
      <c r="K10" s="158"/>
      <c r="L10" s="158"/>
      <c r="M10" s="158"/>
      <c r="N10" s="158"/>
      <c r="O10" s="158"/>
      <c r="P10" s="158"/>
      <c r="Q10" s="158"/>
      <c r="R10" s="158"/>
      <c r="S10" s="158"/>
      <c r="T10" s="158"/>
      <c r="U10" s="158"/>
      <c r="V10" s="158"/>
      <c r="W10" s="158"/>
      <c r="X10" s="158"/>
      <c r="Y10" s="158"/>
      <c r="Z10" s="158"/>
    </row>
    <row r="11">
      <c r="A11" s="160">
        <v>10.0</v>
      </c>
      <c r="B11" s="157" t="s">
        <v>1557</v>
      </c>
      <c r="C11" s="157" t="s">
        <v>168</v>
      </c>
      <c r="D11" s="157"/>
      <c r="E11" s="157"/>
      <c r="F11" s="158"/>
      <c r="G11" s="158"/>
      <c r="H11" s="158"/>
      <c r="I11" s="158"/>
      <c r="J11" s="158"/>
      <c r="K11" s="158"/>
      <c r="L11" s="158"/>
      <c r="M11" s="158"/>
      <c r="N11" s="158"/>
      <c r="O11" s="158"/>
      <c r="P11" s="158"/>
      <c r="Q11" s="158"/>
      <c r="R11" s="158"/>
      <c r="S11" s="158"/>
      <c r="T11" s="158"/>
      <c r="U11" s="158"/>
      <c r="V11" s="158"/>
      <c r="W11" s="158"/>
      <c r="X11" s="158"/>
      <c r="Y11" s="158"/>
      <c r="Z11" s="158"/>
    </row>
    <row r="12">
      <c r="A12" s="160">
        <v>11.0</v>
      </c>
      <c r="B12" s="157" t="s">
        <v>1558</v>
      </c>
      <c r="C12" s="157" t="s">
        <v>1559</v>
      </c>
      <c r="D12" s="157"/>
      <c r="E12" s="157"/>
      <c r="F12" s="158"/>
      <c r="G12" s="158"/>
      <c r="H12" s="158"/>
      <c r="I12" s="158"/>
      <c r="J12" s="158"/>
      <c r="K12" s="158"/>
      <c r="L12" s="158"/>
      <c r="M12" s="158"/>
      <c r="N12" s="158"/>
      <c r="O12" s="158"/>
      <c r="P12" s="158"/>
      <c r="Q12" s="158"/>
      <c r="R12" s="158"/>
      <c r="S12" s="158"/>
      <c r="T12" s="158"/>
      <c r="U12" s="158"/>
      <c r="V12" s="158"/>
      <c r="W12" s="158"/>
      <c r="X12" s="158"/>
      <c r="Y12" s="158"/>
      <c r="Z12" s="158"/>
    </row>
    <row r="13">
      <c r="A13" s="160">
        <v>12.0</v>
      </c>
      <c r="B13" s="157" t="s">
        <v>1560</v>
      </c>
      <c r="C13" s="157" t="s">
        <v>1561</v>
      </c>
      <c r="D13" s="157" t="s">
        <v>1562</v>
      </c>
      <c r="E13" s="157"/>
      <c r="F13" s="158"/>
      <c r="G13" s="158"/>
      <c r="H13" s="158"/>
      <c r="I13" s="158"/>
      <c r="J13" s="158"/>
      <c r="K13" s="158"/>
      <c r="L13" s="158"/>
      <c r="M13" s="158"/>
      <c r="N13" s="158"/>
      <c r="O13" s="158"/>
      <c r="P13" s="158"/>
      <c r="Q13" s="158"/>
      <c r="R13" s="158"/>
      <c r="S13" s="158"/>
      <c r="T13" s="158"/>
      <c r="U13" s="158"/>
      <c r="V13" s="158"/>
      <c r="W13" s="158"/>
      <c r="X13" s="158"/>
      <c r="Y13" s="158"/>
      <c r="Z13" s="158"/>
    </row>
    <row r="14">
      <c r="A14" s="160">
        <v>13.0</v>
      </c>
      <c r="B14" s="157" t="s">
        <v>1564</v>
      </c>
      <c r="C14" s="157" t="s">
        <v>1120</v>
      </c>
      <c r="D14" s="157"/>
      <c r="E14" s="157"/>
      <c r="F14" s="158"/>
      <c r="G14" s="158"/>
      <c r="H14" s="158"/>
      <c r="I14" s="158"/>
      <c r="J14" s="158"/>
      <c r="K14" s="158"/>
      <c r="L14" s="158"/>
      <c r="M14" s="158"/>
      <c r="N14" s="158"/>
      <c r="O14" s="158"/>
      <c r="P14" s="158"/>
      <c r="Q14" s="158"/>
      <c r="R14" s="158"/>
      <c r="S14" s="158"/>
      <c r="T14" s="158"/>
      <c r="U14" s="158"/>
      <c r="V14" s="158"/>
      <c r="W14" s="158"/>
      <c r="X14" s="158"/>
      <c r="Y14" s="158"/>
      <c r="Z14" s="158"/>
    </row>
    <row r="15">
      <c r="A15" s="160">
        <v>14.0</v>
      </c>
      <c r="B15" s="157" t="s">
        <v>143</v>
      </c>
      <c r="C15" s="157" t="s">
        <v>144</v>
      </c>
      <c r="D15" s="157"/>
      <c r="E15" s="157"/>
      <c r="F15" s="158"/>
      <c r="G15" s="158"/>
      <c r="H15" s="158"/>
      <c r="I15" s="158"/>
      <c r="J15" s="158"/>
      <c r="K15" s="158"/>
      <c r="L15" s="158"/>
      <c r="M15" s="158"/>
      <c r="N15" s="158"/>
      <c r="O15" s="158"/>
      <c r="P15" s="158"/>
      <c r="Q15" s="158"/>
      <c r="R15" s="158"/>
      <c r="S15" s="158"/>
      <c r="T15" s="158"/>
      <c r="U15" s="158"/>
      <c r="V15" s="158"/>
      <c r="W15" s="158"/>
      <c r="X15" s="158"/>
      <c r="Y15" s="158"/>
      <c r="Z15" s="158"/>
    </row>
    <row r="16">
      <c r="A16" s="160">
        <v>15.0</v>
      </c>
      <c r="B16" s="157" t="s">
        <v>1570</v>
      </c>
      <c r="C16" s="157" t="s">
        <v>1571</v>
      </c>
      <c r="D16" s="157"/>
      <c r="E16" s="157"/>
      <c r="F16" s="158"/>
      <c r="G16" s="158"/>
      <c r="H16" s="158"/>
      <c r="I16" s="158"/>
      <c r="J16" s="158"/>
      <c r="K16" s="158"/>
      <c r="L16" s="158"/>
      <c r="M16" s="158"/>
      <c r="N16" s="158"/>
      <c r="O16" s="158"/>
      <c r="P16" s="158"/>
      <c r="Q16" s="158"/>
      <c r="R16" s="158"/>
      <c r="S16" s="158"/>
      <c r="T16" s="158"/>
      <c r="U16" s="158"/>
      <c r="V16" s="158"/>
      <c r="W16" s="158"/>
      <c r="X16" s="158"/>
      <c r="Y16" s="158"/>
      <c r="Z16" s="158"/>
    </row>
    <row r="17">
      <c r="A17" s="160">
        <v>16.0</v>
      </c>
      <c r="B17" s="157" t="s">
        <v>1572</v>
      </c>
      <c r="C17" s="157" t="s">
        <v>1573</v>
      </c>
      <c r="D17" s="157"/>
      <c r="E17" s="157"/>
      <c r="F17" s="158"/>
      <c r="G17" s="158"/>
      <c r="H17" s="158"/>
      <c r="I17" s="158"/>
      <c r="J17" s="158"/>
      <c r="K17" s="158"/>
      <c r="L17" s="158"/>
      <c r="M17" s="158"/>
      <c r="N17" s="158"/>
      <c r="O17" s="158"/>
      <c r="P17" s="158"/>
      <c r="Q17" s="158"/>
      <c r="R17" s="158"/>
      <c r="S17" s="158"/>
      <c r="T17" s="158"/>
      <c r="U17" s="158"/>
      <c r="V17" s="158"/>
      <c r="W17" s="158"/>
      <c r="X17" s="158"/>
      <c r="Y17" s="158"/>
      <c r="Z17" s="158"/>
    </row>
    <row r="18">
      <c r="A18" s="160">
        <v>17.0</v>
      </c>
      <c r="B18" s="157" t="s">
        <v>1576</v>
      </c>
      <c r="C18" s="157" t="s">
        <v>1577</v>
      </c>
      <c r="D18" s="157"/>
      <c r="E18" s="157"/>
      <c r="F18" s="158"/>
      <c r="G18" s="158"/>
      <c r="H18" s="158"/>
      <c r="I18" s="158"/>
      <c r="J18" s="158"/>
      <c r="K18" s="158"/>
      <c r="L18" s="158"/>
      <c r="M18" s="158"/>
      <c r="N18" s="158"/>
      <c r="O18" s="158"/>
      <c r="P18" s="158"/>
      <c r="Q18" s="158"/>
      <c r="R18" s="158"/>
      <c r="S18" s="158"/>
      <c r="T18" s="158"/>
      <c r="U18" s="158"/>
      <c r="V18" s="158"/>
      <c r="W18" s="158"/>
      <c r="X18" s="158"/>
      <c r="Y18" s="158"/>
      <c r="Z18" s="158"/>
    </row>
    <row r="19">
      <c r="A19" s="160">
        <v>18.0</v>
      </c>
      <c r="B19" s="157" t="s">
        <v>1581</v>
      </c>
      <c r="C19" s="157" t="s">
        <v>1583</v>
      </c>
      <c r="D19" s="157"/>
      <c r="E19" s="157"/>
      <c r="F19" s="158"/>
      <c r="G19" s="158"/>
      <c r="H19" s="158"/>
      <c r="I19" s="158"/>
      <c r="J19" s="158"/>
      <c r="K19" s="158"/>
      <c r="L19" s="158"/>
      <c r="M19" s="158"/>
      <c r="N19" s="158"/>
      <c r="O19" s="158"/>
      <c r="P19" s="158"/>
      <c r="Q19" s="158"/>
      <c r="R19" s="158"/>
      <c r="S19" s="158"/>
      <c r="T19" s="158"/>
      <c r="U19" s="158"/>
      <c r="V19" s="158"/>
      <c r="W19" s="158"/>
      <c r="X19" s="158"/>
      <c r="Y19" s="158"/>
      <c r="Z19" s="158"/>
    </row>
    <row r="20">
      <c r="A20" s="160">
        <v>19.0</v>
      </c>
      <c r="B20" s="157" t="s">
        <v>1587</v>
      </c>
      <c r="C20" s="157" t="s">
        <v>1588</v>
      </c>
      <c r="D20" s="157"/>
      <c r="E20" s="157"/>
      <c r="F20" s="158"/>
      <c r="G20" s="158"/>
      <c r="H20" s="158"/>
      <c r="I20" s="158"/>
      <c r="J20" s="158"/>
      <c r="K20" s="158"/>
      <c r="L20" s="158"/>
      <c r="M20" s="158"/>
      <c r="N20" s="158"/>
      <c r="O20" s="158"/>
      <c r="P20" s="158"/>
      <c r="Q20" s="158"/>
      <c r="R20" s="158"/>
      <c r="S20" s="158"/>
      <c r="T20" s="158"/>
      <c r="U20" s="158"/>
      <c r="V20" s="158"/>
      <c r="W20" s="158"/>
      <c r="X20" s="158"/>
      <c r="Y20" s="158"/>
      <c r="Z20" s="158"/>
    </row>
    <row r="21">
      <c r="A21" s="160">
        <v>20.0</v>
      </c>
      <c r="B21" s="157" t="s">
        <v>1591</v>
      </c>
      <c r="C21" s="157" t="s">
        <v>1592</v>
      </c>
      <c r="D21" s="157"/>
      <c r="E21" s="157"/>
      <c r="F21" s="158"/>
      <c r="G21" s="158"/>
      <c r="H21" s="158"/>
      <c r="I21" s="158"/>
      <c r="J21" s="158"/>
      <c r="K21" s="158"/>
      <c r="L21" s="158"/>
      <c r="M21" s="158"/>
      <c r="N21" s="158"/>
      <c r="O21" s="158"/>
      <c r="P21" s="158"/>
      <c r="Q21" s="158"/>
      <c r="R21" s="158"/>
      <c r="S21" s="158"/>
      <c r="T21" s="158"/>
      <c r="U21" s="158"/>
      <c r="V21" s="158"/>
      <c r="W21" s="158"/>
      <c r="X21" s="158"/>
      <c r="Y21" s="158"/>
      <c r="Z21" s="158"/>
    </row>
    <row r="22">
      <c r="A22" s="160">
        <v>21.0</v>
      </c>
      <c r="B22" s="157" t="s">
        <v>1595</v>
      </c>
      <c r="C22" s="157" t="s">
        <v>1596</v>
      </c>
      <c r="D22" s="157"/>
      <c r="E22" s="157"/>
      <c r="F22" s="158"/>
      <c r="G22" s="158"/>
      <c r="H22" s="158"/>
      <c r="I22" s="158"/>
      <c r="J22" s="158"/>
      <c r="K22" s="158"/>
      <c r="L22" s="158"/>
      <c r="M22" s="158"/>
      <c r="N22" s="158"/>
      <c r="O22" s="158"/>
      <c r="P22" s="158"/>
      <c r="Q22" s="158"/>
      <c r="R22" s="158"/>
      <c r="S22" s="158"/>
      <c r="T22" s="158"/>
      <c r="U22" s="158"/>
      <c r="V22" s="158"/>
      <c r="W22" s="158"/>
      <c r="X22" s="158"/>
      <c r="Y22" s="158"/>
      <c r="Z22" s="158"/>
    </row>
    <row r="23">
      <c r="A23" s="160">
        <v>22.0</v>
      </c>
      <c r="B23" s="157" t="s">
        <v>1381</v>
      </c>
      <c r="C23" s="157" t="s">
        <v>1382</v>
      </c>
      <c r="D23" s="157"/>
      <c r="E23" s="157"/>
      <c r="F23" s="158"/>
      <c r="G23" s="158"/>
      <c r="H23" s="158"/>
      <c r="I23" s="158"/>
      <c r="J23" s="158"/>
      <c r="K23" s="158"/>
      <c r="L23" s="158"/>
      <c r="M23" s="158"/>
      <c r="N23" s="158"/>
      <c r="O23" s="158"/>
      <c r="P23" s="158"/>
      <c r="Q23" s="158"/>
      <c r="R23" s="158"/>
      <c r="S23" s="158"/>
      <c r="T23" s="158"/>
      <c r="U23" s="158"/>
      <c r="V23" s="158"/>
      <c r="W23" s="158"/>
      <c r="X23" s="158"/>
      <c r="Y23" s="158"/>
      <c r="Z23" s="158"/>
    </row>
    <row r="24">
      <c r="A24" s="160">
        <v>23.0</v>
      </c>
      <c r="B24" s="157" t="s">
        <v>1598</v>
      </c>
      <c r="C24" s="157" t="s">
        <v>1549</v>
      </c>
      <c r="D24" s="157"/>
      <c r="E24" s="157"/>
      <c r="F24" s="158"/>
      <c r="G24" s="158"/>
      <c r="H24" s="158"/>
      <c r="I24" s="158"/>
      <c r="J24" s="158"/>
      <c r="K24" s="158"/>
      <c r="L24" s="158"/>
      <c r="M24" s="158"/>
      <c r="N24" s="158"/>
      <c r="O24" s="158"/>
      <c r="P24" s="158"/>
      <c r="Q24" s="158"/>
      <c r="R24" s="158"/>
      <c r="S24" s="158"/>
      <c r="T24" s="158"/>
      <c r="U24" s="158"/>
      <c r="V24" s="158"/>
      <c r="W24" s="158"/>
      <c r="X24" s="158"/>
      <c r="Y24" s="158"/>
      <c r="Z24" s="158"/>
    </row>
    <row r="25">
      <c r="A25" s="160">
        <v>24.0</v>
      </c>
      <c r="B25" s="157" t="s">
        <v>1311</v>
      </c>
      <c r="C25" s="157" t="s">
        <v>1312</v>
      </c>
      <c r="D25" s="157"/>
      <c r="E25" s="157"/>
      <c r="F25" s="158"/>
      <c r="G25" s="158"/>
      <c r="H25" s="158"/>
      <c r="I25" s="158"/>
      <c r="J25" s="158"/>
      <c r="K25" s="158"/>
      <c r="L25" s="158"/>
      <c r="M25" s="158"/>
      <c r="N25" s="158"/>
      <c r="O25" s="158"/>
      <c r="P25" s="158"/>
      <c r="Q25" s="158"/>
      <c r="R25" s="158"/>
      <c r="S25" s="158"/>
      <c r="T25" s="158"/>
      <c r="U25" s="158"/>
      <c r="V25" s="158"/>
      <c r="W25" s="158"/>
      <c r="X25" s="158"/>
      <c r="Y25" s="158"/>
      <c r="Z25" s="158"/>
    </row>
    <row r="26">
      <c r="A26" s="160">
        <v>25.0</v>
      </c>
      <c r="B26" s="157" t="s">
        <v>1600</v>
      </c>
      <c r="C26" s="157" t="s">
        <v>1601</v>
      </c>
      <c r="D26" s="157"/>
      <c r="E26" s="157"/>
      <c r="F26" s="158"/>
      <c r="G26" s="158"/>
      <c r="H26" s="158"/>
      <c r="I26" s="158"/>
      <c r="J26" s="158"/>
      <c r="K26" s="158"/>
      <c r="L26" s="158"/>
      <c r="M26" s="158"/>
      <c r="N26" s="158"/>
      <c r="O26" s="158"/>
      <c r="P26" s="158"/>
      <c r="Q26" s="158"/>
      <c r="R26" s="158"/>
      <c r="S26" s="158"/>
      <c r="T26" s="158"/>
      <c r="U26" s="158"/>
      <c r="V26" s="158"/>
      <c r="W26" s="158"/>
      <c r="X26" s="158"/>
      <c r="Y26" s="158"/>
      <c r="Z26" s="158"/>
    </row>
    <row r="27">
      <c r="A27" s="160">
        <v>26.0</v>
      </c>
      <c r="B27" s="157" t="s">
        <v>1302</v>
      </c>
      <c r="C27" s="157" t="s">
        <v>1303</v>
      </c>
      <c r="D27" s="161">
        <v>403.0</v>
      </c>
      <c r="E27" s="157"/>
      <c r="F27" s="158"/>
      <c r="G27" s="158"/>
      <c r="H27" s="158"/>
      <c r="I27" s="158"/>
      <c r="J27" s="158"/>
      <c r="K27" s="158"/>
      <c r="L27" s="158"/>
      <c r="M27" s="158"/>
      <c r="N27" s="158"/>
      <c r="O27" s="158"/>
      <c r="P27" s="158"/>
      <c r="Q27" s="158"/>
      <c r="R27" s="158"/>
      <c r="S27" s="158"/>
      <c r="T27" s="158"/>
      <c r="U27" s="158"/>
      <c r="V27" s="158"/>
      <c r="W27" s="158"/>
      <c r="X27" s="158"/>
      <c r="Y27" s="158"/>
      <c r="Z27" s="158"/>
    </row>
    <row r="28">
      <c r="A28" s="160">
        <v>27.0</v>
      </c>
      <c r="B28" s="157" t="s">
        <v>1602</v>
      </c>
      <c r="C28" s="157" t="s">
        <v>1603</v>
      </c>
      <c r="D28" s="157"/>
      <c r="E28" s="157"/>
      <c r="F28" s="158"/>
      <c r="G28" s="158"/>
      <c r="H28" s="158"/>
      <c r="I28" s="158"/>
      <c r="J28" s="158"/>
      <c r="K28" s="158"/>
      <c r="L28" s="158"/>
      <c r="M28" s="158"/>
      <c r="N28" s="158"/>
      <c r="O28" s="158"/>
      <c r="P28" s="158"/>
      <c r="Q28" s="158"/>
      <c r="R28" s="158"/>
      <c r="S28" s="158"/>
      <c r="T28" s="158"/>
      <c r="U28" s="158"/>
      <c r="V28" s="158"/>
      <c r="W28" s="158"/>
      <c r="X28" s="158"/>
      <c r="Y28" s="158"/>
      <c r="Z28" s="158"/>
    </row>
    <row r="29">
      <c r="A29" s="160">
        <v>28.0</v>
      </c>
      <c r="B29" s="157" t="s">
        <v>1610</v>
      </c>
      <c r="C29" s="157" t="s">
        <v>1611</v>
      </c>
      <c r="D29" s="157"/>
      <c r="E29" s="157"/>
      <c r="F29" s="158"/>
      <c r="G29" s="158"/>
      <c r="H29" s="158"/>
      <c r="I29" s="158"/>
      <c r="J29" s="158"/>
      <c r="K29" s="158"/>
      <c r="L29" s="158"/>
      <c r="M29" s="158"/>
      <c r="N29" s="158"/>
      <c r="O29" s="158"/>
      <c r="P29" s="158"/>
      <c r="Q29" s="158"/>
      <c r="R29" s="158"/>
      <c r="S29" s="158"/>
      <c r="T29" s="158"/>
      <c r="U29" s="158"/>
      <c r="V29" s="158"/>
      <c r="W29" s="158"/>
      <c r="X29" s="158"/>
      <c r="Y29" s="158"/>
      <c r="Z29" s="158"/>
    </row>
    <row r="30">
      <c r="A30" s="160">
        <v>29.0</v>
      </c>
      <c r="B30" s="157" t="s">
        <v>1617</v>
      </c>
      <c r="C30" s="157" t="s">
        <v>1619</v>
      </c>
      <c r="D30" s="157"/>
      <c r="E30" s="157"/>
      <c r="F30" s="158"/>
      <c r="G30" s="158"/>
      <c r="H30" s="158"/>
      <c r="I30" s="158"/>
      <c r="J30" s="158"/>
      <c r="K30" s="158"/>
      <c r="L30" s="158"/>
      <c r="M30" s="158"/>
      <c r="N30" s="158"/>
      <c r="O30" s="158"/>
      <c r="P30" s="158"/>
      <c r="Q30" s="158"/>
      <c r="R30" s="158"/>
      <c r="S30" s="158"/>
      <c r="T30" s="158"/>
      <c r="U30" s="158"/>
      <c r="V30" s="158"/>
      <c r="W30" s="158"/>
      <c r="X30" s="158"/>
      <c r="Y30" s="158"/>
      <c r="Z30" s="158"/>
    </row>
    <row r="31">
      <c r="A31" s="160">
        <v>30.0</v>
      </c>
      <c r="B31" s="157" t="s">
        <v>1621</v>
      </c>
      <c r="C31" s="157" t="s">
        <v>1619</v>
      </c>
      <c r="D31" s="157"/>
      <c r="E31" s="157"/>
      <c r="F31" s="158"/>
      <c r="G31" s="158"/>
      <c r="H31" s="158"/>
      <c r="I31" s="158"/>
      <c r="J31" s="158"/>
      <c r="K31" s="158"/>
      <c r="L31" s="158"/>
      <c r="M31" s="158"/>
      <c r="N31" s="158"/>
      <c r="O31" s="158"/>
      <c r="P31" s="158"/>
      <c r="Q31" s="158"/>
      <c r="R31" s="158"/>
      <c r="S31" s="158"/>
      <c r="T31" s="158"/>
      <c r="U31" s="158"/>
      <c r="V31" s="158"/>
      <c r="W31" s="158"/>
      <c r="X31" s="158"/>
      <c r="Y31" s="158"/>
      <c r="Z31" s="158"/>
    </row>
    <row r="32">
      <c r="A32" s="160">
        <v>31.0</v>
      </c>
      <c r="B32" s="157" t="s">
        <v>1621</v>
      </c>
      <c r="C32" s="157" t="s">
        <v>1624</v>
      </c>
      <c r="D32" s="157"/>
      <c r="E32" s="157"/>
      <c r="F32" s="158"/>
      <c r="G32" s="158"/>
      <c r="H32" s="158"/>
      <c r="I32" s="158"/>
      <c r="J32" s="158"/>
      <c r="K32" s="158"/>
      <c r="L32" s="158"/>
      <c r="M32" s="158"/>
      <c r="N32" s="158"/>
      <c r="O32" s="158"/>
      <c r="P32" s="158"/>
      <c r="Q32" s="158"/>
      <c r="R32" s="158"/>
      <c r="S32" s="158"/>
      <c r="T32" s="158"/>
      <c r="U32" s="158"/>
      <c r="V32" s="158"/>
      <c r="W32" s="158"/>
      <c r="X32" s="158"/>
      <c r="Y32" s="158"/>
      <c r="Z32" s="158"/>
    </row>
    <row r="33">
      <c r="A33" s="160">
        <v>32.0</v>
      </c>
      <c r="B33" s="157" t="s">
        <v>1132</v>
      </c>
      <c r="C33" s="157" t="s">
        <v>1133</v>
      </c>
      <c r="D33" s="157"/>
      <c r="E33" s="157"/>
      <c r="F33" s="158"/>
      <c r="G33" s="158"/>
      <c r="H33" s="158"/>
      <c r="I33" s="158"/>
      <c r="J33" s="158"/>
      <c r="K33" s="158"/>
      <c r="L33" s="158"/>
      <c r="M33" s="158"/>
      <c r="N33" s="158"/>
      <c r="O33" s="158"/>
      <c r="P33" s="158"/>
      <c r="Q33" s="158"/>
      <c r="R33" s="158"/>
      <c r="S33" s="158"/>
      <c r="T33" s="158"/>
      <c r="U33" s="158"/>
      <c r="V33" s="158"/>
      <c r="W33" s="158"/>
      <c r="X33" s="158"/>
      <c r="Y33" s="158"/>
      <c r="Z33" s="158"/>
    </row>
    <row r="34">
      <c r="A34" s="160">
        <v>33.0</v>
      </c>
      <c r="B34" s="157" t="s">
        <v>116</v>
      </c>
      <c r="C34" s="157" t="s">
        <v>681</v>
      </c>
      <c r="D34" s="157"/>
      <c r="E34" s="157"/>
      <c r="F34" s="158"/>
      <c r="G34" s="158"/>
      <c r="H34" s="158"/>
      <c r="I34" s="158"/>
      <c r="J34" s="158"/>
      <c r="K34" s="158"/>
      <c r="L34" s="158"/>
      <c r="M34" s="158"/>
      <c r="N34" s="158"/>
      <c r="O34" s="158"/>
      <c r="P34" s="158"/>
      <c r="Q34" s="158"/>
      <c r="R34" s="158"/>
      <c r="S34" s="158"/>
      <c r="T34" s="158"/>
      <c r="U34" s="158"/>
      <c r="V34" s="158"/>
      <c r="W34" s="158"/>
      <c r="X34" s="158"/>
      <c r="Y34" s="158"/>
      <c r="Z34" s="158"/>
    </row>
    <row r="35">
      <c r="A35" s="160">
        <v>34.0</v>
      </c>
      <c r="B35" s="157" t="s">
        <v>539</v>
      </c>
      <c r="C35" s="157" t="s">
        <v>540</v>
      </c>
      <c r="D35" s="157"/>
      <c r="E35" s="157"/>
      <c r="F35" s="158"/>
      <c r="G35" s="158"/>
      <c r="H35" s="158"/>
      <c r="I35" s="158"/>
      <c r="J35" s="158"/>
      <c r="K35" s="158"/>
      <c r="L35" s="158"/>
      <c r="M35" s="158"/>
      <c r="N35" s="158"/>
      <c r="O35" s="158"/>
      <c r="P35" s="158"/>
      <c r="Q35" s="158"/>
      <c r="R35" s="158"/>
      <c r="S35" s="158"/>
      <c r="T35" s="158"/>
      <c r="U35" s="158"/>
      <c r="V35" s="158"/>
      <c r="W35" s="158"/>
      <c r="X35" s="158"/>
      <c r="Y35" s="158"/>
      <c r="Z35" s="158"/>
    </row>
    <row r="36">
      <c r="A36" s="160">
        <v>35.0</v>
      </c>
      <c r="B36" s="157" t="s">
        <v>327</v>
      </c>
      <c r="C36" s="157" t="s">
        <v>1642</v>
      </c>
      <c r="D36" s="157"/>
      <c r="E36" s="157"/>
      <c r="F36" s="158"/>
      <c r="G36" s="158"/>
      <c r="H36" s="158"/>
      <c r="I36" s="158"/>
      <c r="J36" s="158"/>
      <c r="K36" s="158"/>
      <c r="L36" s="158"/>
      <c r="M36" s="158"/>
      <c r="N36" s="158"/>
      <c r="O36" s="158"/>
      <c r="P36" s="158"/>
      <c r="Q36" s="158"/>
      <c r="R36" s="158"/>
      <c r="S36" s="158"/>
      <c r="T36" s="158"/>
      <c r="U36" s="158"/>
      <c r="V36" s="158"/>
      <c r="W36" s="158"/>
      <c r="X36" s="158"/>
      <c r="Y36" s="158"/>
      <c r="Z36" s="158"/>
    </row>
    <row r="37">
      <c r="A37" s="160">
        <v>36.0</v>
      </c>
      <c r="B37" s="157" t="s">
        <v>1471</v>
      </c>
      <c r="C37" s="157" t="s">
        <v>1472</v>
      </c>
      <c r="D37" s="157"/>
      <c r="E37" s="157"/>
      <c r="F37" s="158"/>
      <c r="G37" s="158"/>
      <c r="H37" s="158"/>
      <c r="I37" s="158"/>
      <c r="J37" s="158"/>
      <c r="K37" s="158"/>
      <c r="L37" s="158"/>
      <c r="M37" s="158"/>
      <c r="N37" s="158"/>
      <c r="O37" s="158"/>
      <c r="P37" s="158"/>
      <c r="Q37" s="158"/>
      <c r="R37" s="158"/>
      <c r="S37" s="158"/>
      <c r="T37" s="158"/>
      <c r="U37" s="158"/>
      <c r="V37" s="158"/>
      <c r="W37" s="158"/>
      <c r="X37" s="158"/>
      <c r="Y37" s="158"/>
      <c r="Z37" s="158"/>
    </row>
    <row r="38">
      <c r="A38" s="160">
        <v>37.0</v>
      </c>
      <c r="B38" s="157" t="s">
        <v>1656</v>
      </c>
      <c r="C38" s="157" t="s">
        <v>1658</v>
      </c>
      <c r="D38" s="157" t="s">
        <v>1659</v>
      </c>
      <c r="E38" s="157"/>
      <c r="F38" s="158"/>
      <c r="G38" s="158"/>
      <c r="H38" s="158"/>
      <c r="I38" s="158"/>
      <c r="J38" s="158"/>
      <c r="K38" s="158"/>
      <c r="L38" s="158"/>
      <c r="M38" s="158"/>
      <c r="N38" s="158"/>
      <c r="O38" s="158"/>
      <c r="P38" s="158"/>
      <c r="Q38" s="158"/>
      <c r="R38" s="158"/>
      <c r="S38" s="158"/>
      <c r="T38" s="158"/>
      <c r="U38" s="158"/>
      <c r="V38" s="158"/>
      <c r="W38" s="158"/>
      <c r="X38" s="158"/>
      <c r="Y38" s="158"/>
      <c r="Z38" s="158"/>
    </row>
    <row r="39">
      <c r="A39" s="160">
        <v>38.0</v>
      </c>
      <c r="B39" s="157" t="s">
        <v>1661</v>
      </c>
      <c r="C39" s="157" t="s">
        <v>1663</v>
      </c>
      <c r="D39" s="157"/>
      <c r="E39" s="157"/>
      <c r="F39" s="158"/>
      <c r="G39" s="158"/>
      <c r="H39" s="158"/>
      <c r="I39" s="158"/>
      <c r="J39" s="158"/>
      <c r="K39" s="158"/>
      <c r="L39" s="158"/>
      <c r="M39" s="158"/>
      <c r="N39" s="158"/>
      <c r="O39" s="158"/>
      <c r="P39" s="158"/>
      <c r="Q39" s="158"/>
      <c r="R39" s="158"/>
      <c r="S39" s="158"/>
      <c r="T39" s="158"/>
      <c r="U39" s="158"/>
      <c r="V39" s="158"/>
      <c r="W39" s="158"/>
      <c r="X39" s="158"/>
      <c r="Y39" s="158"/>
      <c r="Z39" s="158"/>
    </row>
    <row r="40">
      <c r="A40" s="160">
        <v>39.0</v>
      </c>
      <c r="B40" s="157" t="s">
        <v>1668</v>
      </c>
      <c r="C40" s="157" t="s">
        <v>1669</v>
      </c>
      <c r="D40" s="157"/>
      <c r="E40" s="157"/>
      <c r="F40" s="158"/>
      <c r="G40" s="158"/>
      <c r="H40" s="158"/>
      <c r="I40" s="158"/>
      <c r="J40" s="158"/>
      <c r="K40" s="158"/>
      <c r="L40" s="158"/>
      <c r="M40" s="158"/>
      <c r="N40" s="158"/>
      <c r="O40" s="158"/>
      <c r="P40" s="158"/>
      <c r="Q40" s="158"/>
      <c r="R40" s="158"/>
      <c r="S40" s="158"/>
      <c r="T40" s="158"/>
      <c r="U40" s="158"/>
      <c r="V40" s="158"/>
      <c r="W40" s="158"/>
      <c r="X40" s="158"/>
      <c r="Y40" s="158"/>
      <c r="Z40" s="158"/>
    </row>
    <row r="41">
      <c r="A41" s="160">
        <v>40.0</v>
      </c>
      <c r="B41" s="157" t="s">
        <v>221</v>
      </c>
      <c r="C41" s="157" t="s">
        <v>222</v>
      </c>
      <c r="D41" s="157"/>
      <c r="E41" s="157"/>
      <c r="F41" s="158"/>
      <c r="G41" s="158"/>
      <c r="H41" s="158"/>
      <c r="I41" s="158"/>
      <c r="J41" s="158"/>
      <c r="K41" s="158"/>
      <c r="L41" s="158"/>
      <c r="M41" s="158"/>
      <c r="N41" s="158"/>
      <c r="O41" s="158"/>
      <c r="P41" s="158"/>
      <c r="Q41" s="158"/>
      <c r="R41" s="158"/>
      <c r="S41" s="158"/>
      <c r="T41" s="158"/>
      <c r="U41" s="158"/>
      <c r="V41" s="158"/>
      <c r="W41" s="158"/>
      <c r="X41" s="158"/>
      <c r="Y41" s="158"/>
      <c r="Z41" s="158"/>
    </row>
    <row r="42">
      <c r="A42" s="160">
        <v>41.0</v>
      </c>
      <c r="B42" s="157" t="s">
        <v>611</v>
      </c>
      <c r="C42" s="157" t="s">
        <v>612</v>
      </c>
      <c r="D42" s="157"/>
      <c r="E42" s="157"/>
      <c r="F42" s="158"/>
      <c r="G42" s="158"/>
      <c r="H42" s="158"/>
      <c r="I42" s="158"/>
      <c r="J42" s="158"/>
      <c r="K42" s="158"/>
      <c r="L42" s="158"/>
      <c r="M42" s="158"/>
      <c r="N42" s="158"/>
      <c r="O42" s="158"/>
      <c r="P42" s="158"/>
      <c r="Q42" s="158"/>
      <c r="R42" s="158"/>
      <c r="S42" s="158"/>
      <c r="T42" s="158"/>
      <c r="U42" s="158"/>
      <c r="V42" s="158"/>
      <c r="W42" s="158"/>
      <c r="X42" s="158"/>
      <c r="Y42" s="158"/>
      <c r="Z42" s="158"/>
    </row>
    <row r="43">
      <c r="A43" s="160">
        <v>42.0</v>
      </c>
      <c r="B43" s="157" t="s">
        <v>1174</v>
      </c>
      <c r="C43" s="157" t="s">
        <v>1175</v>
      </c>
      <c r="D43" s="157"/>
      <c r="E43" s="157"/>
      <c r="F43" s="158"/>
      <c r="G43" s="158"/>
      <c r="H43" s="158"/>
      <c r="I43" s="158"/>
      <c r="J43" s="158"/>
      <c r="K43" s="158"/>
      <c r="L43" s="158"/>
      <c r="M43" s="158"/>
      <c r="N43" s="158"/>
      <c r="O43" s="158"/>
      <c r="P43" s="158"/>
      <c r="Q43" s="158"/>
      <c r="R43" s="158"/>
      <c r="S43" s="158"/>
      <c r="T43" s="158"/>
      <c r="U43" s="158"/>
      <c r="V43" s="158"/>
      <c r="W43" s="158"/>
      <c r="X43" s="158"/>
      <c r="Y43" s="158"/>
      <c r="Z43" s="158"/>
    </row>
    <row r="44">
      <c r="A44" s="160">
        <v>43.0</v>
      </c>
      <c r="B44" s="157" t="s">
        <v>1237</v>
      </c>
      <c r="C44" s="157" t="s">
        <v>1238</v>
      </c>
      <c r="D44" s="157"/>
      <c r="E44" s="157"/>
      <c r="F44" s="158"/>
      <c r="G44" s="158"/>
      <c r="H44" s="158"/>
      <c r="I44" s="158"/>
      <c r="J44" s="158"/>
      <c r="K44" s="158"/>
      <c r="L44" s="158"/>
      <c r="M44" s="158"/>
      <c r="N44" s="158"/>
      <c r="O44" s="158"/>
      <c r="P44" s="158"/>
      <c r="Q44" s="158"/>
      <c r="R44" s="158"/>
      <c r="S44" s="158"/>
      <c r="T44" s="158"/>
      <c r="U44" s="158"/>
      <c r="V44" s="158"/>
      <c r="W44" s="158"/>
      <c r="X44" s="158"/>
      <c r="Y44" s="158"/>
      <c r="Z44" s="158"/>
    </row>
    <row r="45">
      <c r="A45" s="160">
        <v>44.0</v>
      </c>
      <c r="B45" s="157" t="s">
        <v>573</v>
      </c>
      <c r="C45" s="157" t="s">
        <v>574</v>
      </c>
      <c r="D45" s="157"/>
      <c r="E45" s="157"/>
      <c r="F45" s="158"/>
      <c r="G45" s="158"/>
      <c r="H45" s="158"/>
      <c r="I45" s="158"/>
      <c r="J45" s="158"/>
      <c r="K45" s="158"/>
      <c r="L45" s="158"/>
      <c r="M45" s="158"/>
      <c r="N45" s="158"/>
      <c r="O45" s="158"/>
      <c r="P45" s="158"/>
      <c r="Q45" s="158"/>
      <c r="R45" s="158"/>
      <c r="S45" s="158"/>
      <c r="T45" s="158"/>
      <c r="U45" s="158"/>
      <c r="V45" s="158"/>
      <c r="W45" s="158"/>
      <c r="X45" s="158"/>
      <c r="Y45" s="158"/>
      <c r="Z45" s="158"/>
    </row>
    <row r="46">
      <c r="A46" s="160">
        <v>45.0</v>
      </c>
      <c r="B46" s="157" t="s">
        <v>1696</v>
      </c>
      <c r="C46" s="157" t="s">
        <v>1699</v>
      </c>
      <c r="D46" s="157"/>
      <c r="E46" s="157"/>
      <c r="F46" s="158"/>
      <c r="G46" s="158"/>
      <c r="H46" s="158"/>
      <c r="I46" s="158"/>
      <c r="J46" s="158"/>
      <c r="K46" s="158"/>
      <c r="L46" s="158"/>
      <c r="M46" s="158"/>
      <c r="N46" s="158"/>
      <c r="O46" s="158"/>
      <c r="P46" s="158"/>
      <c r="Q46" s="158"/>
      <c r="R46" s="158"/>
      <c r="S46" s="158"/>
      <c r="T46" s="158"/>
      <c r="U46" s="158"/>
      <c r="V46" s="158"/>
      <c r="W46" s="158"/>
      <c r="X46" s="158"/>
      <c r="Y46" s="158"/>
      <c r="Z46" s="158"/>
    </row>
    <row r="47">
      <c r="A47" s="160">
        <v>46.0</v>
      </c>
      <c r="B47" s="157" t="s">
        <v>827</v>
      </c>
      <c r="C47" s="157" t="s">
        <v>828</v>
      </c>
      <c r="D47" s="157"/>
      <c r="E47" s="157"/>
      <c r="F47" s="158"/>
      <c r="G47" s="158"/>
      <c r="H47" s="158"/>
      <c r="I47" s="158"/>
      <c r="J47" s="158"/>
      <c r="K47" s="158"/>
      <c r="L47" s="158"/>
      <c r="M47" s="158"/>
      <c r="N47" s="158"/>
      <c r="O47" s="158"/>
      <c r="P47" s="158"/>
      <c r="Q47" s="158"/>
      <c r="R47" s="158"/>
      <c r="S47" s="158"/>
      <c r="T47" s="158"/>
      <c r="U47" s="158"/>
      <c r="V47" s="158"/>
      <c r="W47" s="158"/>
      <c r="X47" s="158"/>
      <c r="Y47" s="158"/>
      <c r="Z47" s="158"/>
    </row>
    <row r="48">
      <c r="A48" s="160">
        <v>47.0</v>
      </c>
      <c r="B48" s="157" t="s">
        <v>1707</v>
      </c>
      <c r="C48" s="157" t="s">
        <v>1708</v>
      </c>
      <c r="D48" s="157"/>
      <c r="E48" s="157"/>
      <c r="F48" s="158"/>
      <c r="G48" s="158"/>
      <c r="H48" s="158"/>
      <c r="I48" s="158"/>
      <c r="J48" s="158"/>
      <c r="K48" s="158"/>
      <c r="L48" s="158"/>
      <c r="M48" s="158"/>
      <c r="N48" s="158"/>
      <c r="O48" s="158"/>
      <c r="P48" s="158"/>
      <c r="Q48" s="158"/>
      <c r="R48" s="158"/>
      <c r="S48" s="158"/>
      <c r="T48" s="158"/>
      <c r="U48" s="158"/>
      <c r="V48" s="158"/>
      <c r="W48" s="158"/>
      <c r="X48" s="158"/>
      <c r="Y48" s="158"/>
      <c r="Z48" s="158"/>
    </row>
    <row r="49">
      <c r="A49" s="160">
        <v>48.0</v>
      </c>
      <c r="B49" s="157" t="s">
        <v>1714</v>
      </c>
      <c r="C49" s="157" t="s">
        <v>1715</v>
      </c>
      <c r="D49" s="157"/>
      <c r="E49" s="157"/>
      <c r="F49" s="158"/>
      <c r="G49" s="158"/>
      <c r="H49" s="158"/>
      <c r="I49" s="158"/>
      <c r="J49" s="158"/>
      <c r="K49" s="158"/>
      <c r="L49" s="158"/>
      <c r="M49" s="158"/>
      <c r="N49" s="158"/>
      <c r="O49" s="158"/>
      <c r="P49" s="158"/>
      <c r="Q49" s="158"/>
      <c r="R49" s="158"/>
      <c r="S49" s="158"/>
      <c r="T49" s="158"/>
      <c r="U49" s="158"/>
      <c r="V49" s="158"/>
      <c r="W49" s="158"/>
      <c r="X49" s="158"/>
      <c r="Y49" s="158"/>
      <c r="Z49" s="158"/>
    </row>
    <row r="50">
      <c r="A50" s="160">
        <v>49.0</v>
      </c>
      <c r="B50" s="157" t="s">
        <v>374</v>
      </c>
      <c r="C50" s="157" t="s">
        <v>375</v>
      </c>
      <c r="D50" s="157"/>
      <c r="E50" s="157"/>
      <c r="F50" s="158"/>
      <c r="G50" s="158"/>
      <c r="H50" s="158"/>
      <c r="I50" s="158"/>
      <c r="J50" s="158"/>
      <c r="K50" s="158"/>
      <c r="L50" s="158"/>
      <c r="M50" s="158"/>
      <c r="N50" s="158"/>
      <c r="O50" s="158"/>
      <c r="P50" s="158"/>
      <c r="Q50" s="158"/>
      <c r="R50" s="158"/>
      <c r="S50" s="158"/>
      <c r="T50" s="158"/>
      <c r="U50" s="158"/>
      <c r="V50" s="158"/>
      <c r="W50" s="158"/>
      <c r="X50" s="158"/>
      <c r="Y50" s="158"/>
      <c r="Z50" s="158"/>
    </row>
    <row r="51">
      <c r="A51" s="160">
        <v>50.0</v>
      </c>
      <c r="B51" s="157" t="s">
        <v>389</v>
      </c>
      <c r="C51" s="157" t="s">
        <v>375</v>
      </c>
      <c r="D51" s="157"/>
      <c r="E51" s="157"/>
      <c r="F51" s="158"/>
      <c r="G51" s="158"/>
      <c r="H51" s="158"/>
      <c r="I51" s="158"/>
      <c r="J51" s="158"/>
      <c r="K51" s="158"/>
      <c r="L51" s="158"/>
      <c r="M51" s="158"/>
      <c r="N51" s="158"/>
      <c r="O51" s="158"/>
      <c r="P51" s="158"/>
      <c r="Q51" s="158"/>
      <c r="R51" s="158"/>
      <c r="S51" s="158"/>
      <c r="T51" s="158"/>
      <c r="U51" s="158"/>
      <c r="V51" s="158"/>
      <c r="W51" s="158"/>
      <c r="X51" s="158"/>
      <c r="Y51" s="158"/>
      <c r="Z51" s="158"/>
    </row>
    <row r="52">
      <c r="A52" s="160">
        <v>51.0</v>
      </c>
      <c r="B52" s="157" t="s">
        <v>1729</v>
      </c>
      <c r="C52" s="157" t="s">
        <v>1731</v>
      </c>
      <c r="D52" s="157"/>
      <c r="E52" s="157"/>
      <c r="F52" s="158"/>
      <c r="G52" s="158"/>
      <c r="H52" s="158"/>
      <c r="I52" s="158"/>
      <c r="J52" s="158"/>
      <c r="K52" s="158"/>
      <c r="L52" s="158"/>
      <c r="M52" s="158"/>
      <c r="N52" s="158"/>
      <c r="O52" s="158"/>
      <c r="P52" s="158"/>
      <c r="Q52" s="158"/>
      <c r="R52" s="158"/>
      <c r="S52" s="158"/>
      <c r="T52" s="158"/>
      <c r="U52" s="158"/>
      <c r="V52" s="158"/>
      <c r="W52" s="158"/>
      <c r="X52" s="158"/>
      <c r="Y52" s="158"/>
      <c r="Z52" s="158"/>
    </row>
    <row r="53">
      <c r="A53" s="160">
        <v>52.0</v>
      </c>
      <c r="B53" s="157" t="s">
        <v>1734</v>
      </c>
      <c r="C53" s="157" t="s">
        <v>1736</v>
      </c>
      <c r="D53" s="157"/>
      <c r="E53" s="157"/>
      <c r="F53" s="158"/>
      <c r="G53" s="158"/>
      <c r="H53" s="158"/>
      <c r="I53" s="158"/>
      <c r="J53" s="158"/>
      <c r="K53" s="158"/>
      <c r="L53" s="158"/>
      <c r="M53" s="158"/>
      <c r="N53" s="158"/>
      <c r="O53" s="158"/>
      <c r="P53" s="158"/>
      <c r="Q53" s="158"/>
      <c r="R53" s="158"/>
      <c r="S53" s="158"/>
      <c r="T53" s="158"/>
      <c r="U53" s="158"/>
      <c r="V53" s="158"/>
      <c r="W53" s="158"/>
      <c r="X53" s="158"/>
      <c r="Y53" s="158"/>
      <c r="Z53" s="158"/>
    </row>
    <row r="54">
      <c r="A54" s="160">
        <v>53.0</v>
      </c>
      <c r="B54" s="157" t="s">
        <v>1450</v>
      </c>
      <c r="C54" s="157" t="s">
        <v>1747</v>
      </c>
      <c r="D54" s="157"/>
      <c r="E54" s="157"/>
      <c r="F54" s="158"/>
      <c r="G54" s="158"/>
      <c r="H54" s="158"/>
      <c r="I54" s="158"/>
      <c r="J54" s="158"/>
      <c r="K54" s="158"/>
      <c r="L54" s="158"/>
      <c r="M54" s="158"/>
      <c r="N54" s="158"/>
      <c r="O54" s="158"/>
      <c r="P54" s="158"/>
      <c r="Q54" s="158"/>
      <c r="R54" s="158"/>
      <c r="S54" s="158"/>
      <c r="T54" s="158"/>
      <c r="U54" s="158"/>
      <c r="V54" s="158"/>
      <c r="W54" s="158"/>
      <c r="X54" s="158"/>
      <c r="Y54" s="158"/>
      <c r="Z54" s="158"/>
    </row>
    <row r="55">
      <c r="A55" s="160">
        <v>54.0</v>
      </c>
      <c r="B55" s="157" t="s">
        <v>1750</v>
      </c>
      <c r="C55" s="157" t="s">
        <v>1751</v>
      </c>
      <c r="D55" s="157"/>
      <c r="E55" s="157"/>
      <c r="F55" s="158"/>
      <c r="G55" s="158"/>
      <c r="H55" s="158"/>
      <c r="I55" s="158"/>
      <c r="J55" s="158"/>
      <c r="K55" s="158"/>
      <c r="L55" s="158"/>
      <c r="M55" s="158"/>
      <c r="N55" s="158"/>
      <c r="O55" s="158"/>
      <c r="P55" s="158"/>
      <c r="Q55" s="158"/>
      <c r="R55" s="158"/>
      <c r="S55" s="158"/>
      <c r="T55" s="158"/>
      <c r="U55" s="158"/>
      <c r="V55" s="158"/>
      <c r="W55" s="158"/>
      <c r="X55" s="158"/>
      <c r="Y55" s="158"/>
      <c r="Z55" s="158"/>
    </row>
    <row r="56">
      <c r="A56" s="160">
        <v>55.0</v>
      </c>
      <c r="B56" s="157" t="s">
        <v>1755</v>
      </c>
      <c r="C56" s="157" t="s">
        <v>1757</v>
      </c>
      <c r="D56" s="157"/>
      <c r="E56" s="157"/>
      <c r="F56" s="158"/>
      <c r="G56" s="158"/>
      <c r="H56" s="158"/>
      <c r="I56" s="158"/>
      <c r="J56" s="158"/>
      <c r="K56" s="158"/>
      <c r="L56" s="158"/>
      <c r="M56" s="158"/>
      <c r="N56" s="158"/>
      <c r="O56" s="158"/>
      <c r="P56" s="158"/>
      <c r="Q56" s="158"/>
      <c r="R56" s="158"/>
      <c r="S56" s="158"/>
      <c r="T56" s="158"/>
      <c r="U56" s="158"/>
      <c r="V56" s="158"/>
      <c r="W56" s="158"/>
      <c r="X56" s="158"/>
      <c r="Y56" s="158"/>
      <c r="Z56" s="158"/>
    </row>
    <row r="57">
      <c r="A57" s="160">
        <v>56.0</v>
      </c>
      <c r="B57" s="157" t="s">
        <v>312</v>
      </c>
      <c r="C57" s="157" t="s">
        <v>313</v>
      </c>
      <c r="D57" s="157"/>
      <c r="E57" s="157"/>
      <c r="F57" s="158"/>
      <c r="G57" s="158"/>
      <c r="H57" s="158"/>
      <c r="I57" s="158"/>
      <c r="J57" s="158"/>
      <c r="K57" s="158"/>
      <c r="L57" s="158"/>
      <c r="M57" s="158"/>
      <c r="N57" s="158"/>
      <c r="O57" s="158"/>
      <c r="P57" s="158"/>
      <c r="Q57" s="158"/>
      <c r="R57" s="158"/>
      <c r="S57" s="158"/>
      <c r="T57" s="158"/>
      <c r="U57" s="158"/>
      <c r="V57" s="158"/>
      <c r="W57" s="158"/>
      <c r="X57" s="158"/>
      <c r="Y57" s="158"/>
      <c r="Z57" s="158"/>
    </row>
    <row r="58">
      <c r="A58" s="160">
        <v>57.0</v>
      </c>
      <c r="B58" s="157" t="s">
        <v>1762</v>
      </c>
      <c r="C58" s="157" t="s">
        <v>1763</v>
      </c>
      <c r="D58" s="157"/>
      <c r="E58" s="157"/>
      <c r="F58" s="158"/>
      <c r="G58" s="158"/>
      <c r="H58" s="158"/>
      <c r="I58" s="158"/>
      <c r="J58" s="158"/>
      <c r="K58" s="158"/>
      <c r="L58" s="158"/>
      <c r="M58" s="158"/>
      <c r="N58" s="158"/>
      <c r="O58" s="158"/>
      <c r="P58" s="158"/>
      <c r="Q58" s="158"/>
      <c r="R58" s="158"/>
      <c r="S58" s="158"/>
      <c r="T58" s="158"/>
      <c r="U58" s="158"/>
      <c r="V58" s="158"/>
      <c r="W58" s="158"/>
      <c r="X58" s="158"/>
      <c r="Y58" s="158"/>
      <c r="Z58" s="158"/>
    </row>
    <row r="59">
      <c r="A59" s="160">
        <v>58.0</v>
      </c>
      <c r="B59" s="157" t="s">
        <v>514</v>
      </c>
      <c r="C59" s="157" t="s">
        <v>517</v>
      </c>
      <c r="D59" s="157"/>
      <c r="E59" s="157"/>
      <c r="F59" s="158"/>
      <c r="G59" s="158"/>
      <c r="H59" s="158"/>
      <c r="I59" s="158"/>
      <c r="J59" s="158"/>
      <c r="K59" s="158"/>
      <c r="L59" s="158"/>
      <c r="M59" s="158"/>
      <c r="N59" s="158"/>
      <c r="O59" s="158"/>
      <c r="P59" s="158"/>
      <c r="Q59" s="158"/>
      <c r="R59" s="158"/>
      <c r="S59" s="158"/>
      <c r="T59" s="158"/>
      <c r="U59" s="158"/>
      <c r="V59" s="158"/>
      <c r="W59" s="158"/>
      <c r="X59" s="158"/>
      <c r="Y59" s="158"/>
      <c r="Z59" s="158"/>
    </row>
    <row r="60">
      <c r="A60" s="160">
        <v>59.0</v>
      </c>
      <c r="B60" s="157" t="s">
        <v>1768</v>
      </c>
      <c r="C60" s="157" t="s">
        <v>1769</v>
      </c>
      <c r="D60" s="157"/>
      <c r="E60" s="157"/>
      <c r="F60" s="158"/>
      <c r="G60" s="158"/>
      <c r="H60" s="158"/>
      <c r="I60" s="158"/>
      <c r="J60" s="158"/>
      <c r="K60" s="158"/>
      <c r="L60" s="158"/>
      <c r="M60" s="158"/>
      <c r="N60" s="158"/>
      <c r="O60" s="158"/>
      <c r="P60" s="158"/>
      <c r="Q60" s="158"/>
      <c r="R60" s="158"/>
      <c r="S60" s="158"/>
      <c r="T60" s="158"/>
      <c r="U60" s="158"/>
      <c r="V60" s="158"/>
      <c r="W60" s="158"/>
      <c r="X60" s="158"/>
      <c r="Y60" s="158"/>
      <c r="Z60" s="158"/>
    </row>
    <row r="61">
      <c r="A61" s="160">
        <v>60.0</v>
      </c>
      <c r="B61" s="183" t="s">
        <v>1774</v>
      </c>
      <c r="C61" s="157" t="s">
        <v>1786</v>
      </c>
      <c r="D61" s="157"/>
      <c r="E61" s="157"/>
      <c r="F61" s="158"/>
      <c r="G61" s="158"/>
      <c r="H61" s="158"/>
      <c r="I61" s="158"/>
      <c r="J61" s="158"/>
      <c r="K61" s="158"/>
      <c r="L61" s="158"/>
      <c r="M61" s="158"/>
      <c r="N61" s="158"/>
      <c r="O61" s="158"/>
      <c r="P61" s="158"/>
      <c r="Q61" s="158"/>
      <c r="R61" s="158"/>
      <c r="S61" s="158"/>
      <c r="T61" s="158"/>
      <c r="U61" s="158"/>
      <c r="V61" s="158"/>
      <c r="W61" s="158"/>
      <c r="X61" s="158"/>
      <c r="Y61" s="158"/>
      <c r="Z61" s="158"/>
    </row>
    <row r="62">
      <c r="A62" s="160">
        <v>61.0</v>
      </c>
      <c r="B62" s="157" t="s">
        <v>1788</v>
      </c>
      <c r="C62" s="157" t="s">
        <v>1789</v>
      </c>
      <c r="D62" s="157"/>
      <c r="E62" s="157"/>
      <c r="F62" s="158"/>
      <c r="G62" s="158"/>
      <c r="H62" s="158"/>
      <c r="I62" s="158"/>
      <c r="J62" s="158"/>
      <c r="K62" s="158"/>
      <c r="L62" s="158"/>
      <c r="M62" s="158"/>
      <c r="N62" s="158"/>
      <c r="O62" s="158"/>
      <c r="P62" s="158"/>
      <c r="Q62" s="158"/>
      <c r="R62" s="158"/>
      <c r="S62" s="158"/>
      <c r="T62" s="158"/>
      <c r="U62" s="158"/>
      <c r="V62" s="158"/>
      <c r="W62" s="158"/>
      <c r="X62" s="158"/>
      <c r="Y62" s="158"/>
      <c r="Z62" s="158"/>
    </row>
    <row r="63">
      <c r="A63" s="160">
        <v>62.0</v>
      </c>
      <c r="B63" s="157" t="s">
        <v>1655</v>
      </c>
      <c r="C63" s="157" t="s">
        <v>1657</v>
      </c>
      <c r="D63" s="157"/>
      <c r="E63" s="157"/>
      <c r="F63" s="158"/>
      <c r="G63" s="158"/>
      <c r="H63" s="158"/>
      <c r="I63" s="158"/>
      <c r="J63" s="158"/>
      <c r="K63" s="158"/>
      <c r="L63" s="158"/>
      <c r="M63" s="158"/>
      <c r="N63" s="158"/>
      <c r="O63" s="158"/>
      <c r="P63" s="158"/>
      <c r="Q63" s="158"/>
      <c r="R63" s="158"/>
      <c r="S63" s="158"/>
      <c r="T63" s="158"/>
      <c r="U63" s="158"/>
      <c r="V63" s="158"/>
      <c r="W63" s="158"/>
      <c r="X63" s="158"/>
      <c r="Y63" s="158"/>
      <c r="Z63" s="158"/>
    </row>
    <row r="64">
      <c r="A64" s="160">
        <v>63.0</v>
      </c>
      <c r="B64" s="157" t="s">
        <v>1794</v>
      </c>
      <c r="C64" s="157" t="s">
        <v>1795</v>
      </c>
      <c r="D64" s="157"/>
      <c r="E64" s="157"/>
      <c r="F64" s="158"/>
      <c r="G64" s="158"/>
      <c r="H64" s="158"/>
      <c r="I64" s="158"/>
      <c r="J64" s="158"/>
      <c r="K64" s="158"/>
      <c r="L64" s="158"/>
      <c r="M64" s="158"/>
      <c r="N64" s="158"/>
      <c r="O64" s="158"/>
      <c r="P64" s="158"/>
      <c r="Q64" s="158"/>
      <c r="R64" s="158"/>
      <c r="S64" s="158"/>
      <c r="T64" s="158"/>
      <c r="U64" s="158"/>
      <c r="V64" s="158"/>
      <c r="W64" s="158"/>
      <c r="X64" s="158"/>
      <c r="Y64" s="158"/>
      <c r="Z64" s="158"/>
    </row>
    <row r="65">
      <c r="A65" s="160">
        <v>64.0</v>
      </c>
      <c r="B65" s="157" t="s">
        <v>1796</v>
      </c>
      <c r="C65" s="157" t="s">
        <v>1797</v>
      </c>
      <c r="D65" s="157"/>
      <c r="E65" s="157"/>
      <c r="F65" s="158"/>
      <c r="G65" s="158"/>
      <c r="H65" s="158"/>
      <c r="I65" s="158"/>
      <c r="J65" s="158"/>
      <c r="K65" s="158"/>
      <c r="L65" s="158"/>
      <c r="M65" s="158"/>
      <c r="N65" s="158"/>
      <c r="O65" s="158"/>
      <c r="P65" s="158"/>
      <c r="Q65" s="158"/>
      <c r="R65" s="158"/>
      <c r="S65" s="158"/>
      <c r="T65" s="158"/>
      <c r="U65" s="158"/>
      <c r="V65" s="158"/>
      <c r="W65" s="158"/>
      <c r="X65" s="158"/>
      <c r="Y65" s="158"/>
      <c r="Z65" s="158"/>
    </row>
    <row r="66">
      <c r="A66" s="160">
        <v>65.0</v>
      </c>
      <c r="B66" s="157" t="s">
        <v>1800</v>
      </c>
      <c r="C66" s="157" t="s">
        <v>1801</v>
      </c>
      <c r="D66" s="157"/>
      <c r="E66" s="157"/>
      <c r="F66" s="158"/>
      <c r="G66" s="158"/>
      <c r="H66" s="158"/>
      <c r="I66" s="158"/>
      <c r="J66" s="158"/>
      <c r="K66" s="158"/>
      <c r="L66" s="158"/>
      <c r="M66" s="158"/>
      <c r="N66" s="158"/>
      <c r="O66" s="158"/>
      <c r="P66" s="158"/>
      <c r="Q66" s="158"/>
      <c r="R66" s="158"/>
      <c r="S66" s="158"/>
      <c r="T66" s="158"/>
      <c r="U66" s="158"/>
      <c r="V66" s="158"/>
      <c r="W66" s="158"/>
      <c r="X66" s="158"/>
      <c r="Y66" s="158"/>
      <c r="Z66" s="158"/>
    </row>
    <row r="67">
      <c r="A67" s="160">
        <v>66.0</v>
      </c>
      <c r="B67" s="157" t="s">
        <v>1803</v>
      </c>
      <c r="C67" s="157" t="s">
        <v>1804</v>
      </c>
      <c r="D67" s="157"/>
      <c r="E67" s="157"/>
      <c r="F67" s="158"/>
      <c r="G67" s="158"/>
      <c r="H67" s="158"/>
      <c r="I67" s="158"/>
      <c r="J67" s="158"/>
      <c r="K67" s="158"/>
      <c r="L67" s="158"/>
      <c r="M67" s="158"/>
      <c r="N67" s="158"/>
      <c r="O67" s="158"/>
      <c r="P67" s="158"/>
      <c r="Q67" s="158"/>
      <c r="R67" s="158"/>
      <c r="S67" s="158"/>
      <c r="T67" s="158"/>
      <c r="U67" s="158"/>
      <c r="V67" s="158"/>
      <c r="W67" s="158"/>
      <c r="X67" s="158"/>
      <c r="Y67" s="158"/>
      <c r="Z67" s="158"/>
    </row>
    <row r="68">
      <c r="A68" s="160">
        <v>67.0</v>
      </c>
      <c r="B68" s="157" t="s">
        <v>1183</v>
      </c>
      <c r="C68" s="157" t="s">
        <v>1184</v>
      </c>
      <c r="D68" s="157"/>
      <c r="E68" s="157"/>
      <c r="F68" s="158"/>
      <c r="G68" s="158"/>
      <c r="H68" s="158"/>
      <c r="I68" s="158"/>
      <c r="J68" s="158"/>
      <c r="K68" s="158"/>
      <c r="L68" s="158"/>
      <c r="M68" s="158"/>
      <c r="N68" s="158"/>
      <c r="O68" s="158"/>
      <c r="P68" s="158"/>
      <c r="Q68" s="158"/>
      <c r="R68" s="158"/>
      <c r="S68" s="158"/>
      <c r="T68" s="158"/>
      <c r="U68" s="158"/>
      <c r="V68" s="158"/>
      <c r="W68" s="158"/>
      <c r="X68" s="158"/>
      <c r="Y68" s="158"/>
      <c r="Z68" s="158"/>
    </row>
    <row r="69">
      <c r="A69" s="160">
        <v>68.0</v>
      </c>
      <c r="B69" s="157" t="s">
        <v>280</v>
      </c>
      <c r="C69" s="157" t="s">
        <v>281</v>
      </c>
      <c r="D69" s="157"/>
      <c r="E69" s="157"/>
      <c r="F69" s="158"/>
      <c r="G69" s="158"/>
      <c r="H69" s="158"/>
      <c r="I69" s="158"/>
      <c r="J69" s="158"/>
      <c r="K69" s="158"/>
      <c r="L69" s="158"/>
      <c r="M69" s="158"/>
      <c r="N69" s="158"/>
      <c r="O69" s="158"/>
      <c r="P69" s="158"/>
      <c r="Q69" s="158"/>
      <c r="R69" s="158"/>
      <c r="S69" s="158"/>
      <c r="T69" s="158"/>
      <c r="U69" s="158"/>
      <c r="V69" s="158"/>
      <c r="W69" s="158"/>
      <c r="X69" s="158"/>
      <c r="Y69" s="158"/>
      <c r="Z69" s="158"/>
    </row>
    <row r="70">
      <c r="A70" s="160">
        <v>69.0</v>
      </c>
      <c r="B70" s="157" t="s">
        <v>1504</v>
      </c>
      <c r="C70" s="157" t="s">
        <v>1505</v>
      </c>
      <c r="D70" s="157"/>
      <c r="E70" s="157"/>
      <c r="F70" s="158"/>
      <c r="G70" s="158"/>
      <c r="H70" s="158"/>
      <c r="I70" s="158"/>
      <c r="J70" s="158"/>
      <c r="K70" s="158"/>
      <c r="L70" s="158"/>
      <c r="M70" s="158"/>
      <c r="N70" s="158"/>
      <c r="O70" s="158"/>
      <c r="P70" s="158"/>
      <c r="Q70" s="158"/>
      <c r="R70" s="158"/>
      <c r="S70" s="158"/>
      <c r="T70" s="158"/>
      <c r="U70" s="158"/>
      <c r="V70" s="158"/>
      <c r="W70" s="158"/>
      <c r="X70" s="158"/>
      <c r="Y70" s="158"/>
      <c r="Z70" s="158"/>
    </row>
    <row r="71">
      <c r="A71" s="160">
        <v>70.0</v>
      </c>
      <c r="B71" s="157" t="s">
        <v>1812</v>
      </c>
      <c r="C71" s="157" t="s">
        <v>1813</v>
      </c>
      <c r="D71" s="157"/>
      <c r="E71" s="157"/>
      <c r="F71" s="158"/>
      <c r="G71" s="158"/>
      <c r="H71" s="158"/>
      <c r="I71" s="158"/>
      <c r="J71" s="158"/>
      <c r="K71" s="158"/>
      <c r="L71" s="158"/>
      <c r="M71" s="158"/>
      <c r="N71" s="158"/>
      <c r="O71" s="158"/>
      <c r="P71" s="158"/>
      <c r="Q71" s="158"/>
      <c r="R71" s="158"/>
      <c r="S71" s="158"/>
      <c r="T71" s="158"/>
      <c r="U71" s="158"/>
      <c r="V71" s="158"/>
      <c r="W71" s="158"/>
      <c r="X71" s="158"/>
      <c r="Y71" s="158"/>
      <c r="Z71" s="158"/>
    </row>
    <row r="72">
      <c r="A72" s="160">
        <v>71.0</v>
      </c>
      <c r="B72" s="157" t="s">
        <v>500</v>
      </c>
      <c r="C72" s="157" t="s">
        <v>502</v>
      </c>
      <c r="D72" s="157"/>
      <c r="E72" s="157"/>
      <c r="F72" s="158"/>
      <c r="G72" s="158"/>
      <c r="H72" s="158"/>
      <c r="I72" s="158"/>
      <c r="J72" s="158"/>
      <c r="K72" s="158"/>
      <c r="L72" s="158"/>
      <c r="M72" s="158"/>
      <c r="N72" s="158"/>
      <c r="O72" s="158"/>
      <c r="P72" s="158"/>
      <c r="Q72" s="158"/>
      <c r="R72" s="158"/>
      <c r="S72" s="158"/>
      <c r="T72" s="158"/>
      <c r="U72" s="158"/>
      <c r="V72" s="158"/>
      <c r="W72" s="158"/>
      <c r="X72" s="158"/>
      <c r="Y72" s="158"/>
      <c r="Z72" s="158"/>
    </row>
    <row r="73">
      <c r="A73" s="160">
        <v>72.0</v>
      </c>
      <c r="B73" s="157" t="s">
        <v>1818</v>
      </c>
      <c r="C73" s="157" t="s">
        <v>1819</v>
      </c>
      <c r="D73" s="157"/>
      <c r="E73" s="157"/>
      <c r="F73" s="158"/>
      <c r="G73" s="158"/>
      <c r="H73" s="158"/>
      <c r="I73" s="158"/>
      <c r="J73" s="158"/>
      <c r="K73" s="158"/>
      <c r="L73" s="158"/>
      <c r="M73" s="158"/>
      <c r="N73" s="158"/>
      <c r="O73" s="158"/>
      <c r="P73" s="158"/>
      <c r="Q73" s="158"/>
      <c r="R73" s="158"/>
      <c r="S73" s="158"/>
      <c r="T73" s="158"/>
      <c r="U73" s="158"/>
      <c r="V73" s="158"/>
      <c r="W73" s="158"/>
      <c r="X73" s="158"/>
      <c r="Y73" s="158"/>
      <c r="Z73" s="158"/>
    </row>
    <row r="74">
      <c r="A74" s="160">
        <v>73.0</v>
      </c>
      <c r="B74" s="157" t="s">
        <v>641</v>
      </c>
      <c r="C74" s="157" t="s">
        <v>642</v>
      </c>
      <c r="D74" s="157"/>
      <c r="E74" s="157"/>
      <c r="F74" s="158"/>
      <c r="G74" s="158"/>
      <c r="H74" s="158"/>
      <c r="I74" s="158"/>
      <c r="J74" s="158"/>
      <c r="K74" s="158"/>
      <c r="L74" s="158"/>
      <c r="M74" s="158"/>
      <c r="N74" s="158"/>
      <c r="O74" s="158"/>
      <c r="P74" s="158"/>
      <c r="Q74" s="158"/>
      <c r="R74" s="158"/>
      <c r="S74" s="158"/>
      <c r="T74" s="158"/>
      <c r="U74" s="158"/>
      <c r="V74" s="158"/>
      <c r="W74" s="158"/>
      <c r="X74" s="158"/>
      <c r="Y74" s="158"/>
      <c r="Z74" s="158"/>
    </row>
    <row r="75">
      <c r="A75" s="160">
        <v>74.0</v>
      </c>
      <c r="B75" s="157" t="s">
        <v>900</v>
      </c>
      <c r="C75" s="157" t="s">
        <v>901</v>
      </c>
      <c r="D75" s="157"/>
      <c r="E75" s="157"/>
      <c r="F75" s="158"/>
      <c r="G75" s="158"/>
      <c r="H75" s="158"/>
      <c r="I75" s="158"/>
      <c r="J75" s="158"/>
      <c r="K75" s="158"/>
      <c r="L75" s="158"/>
      <c r="M75" s="158"/>
      <c r="N75" s="158"/>
      <c r="O75" s="158"/>
      <c r="P75" s="158"/>
      <c r="Q75" s="158"/>
      <c r="R75" s="158"/>
      <c r="S75" s="158"/>
      <c r="T75" s="158"/>
      <c r="U75" s="158"/>
      <c r="V75" s="158"/>
      <c r="W75" s="158"/>
      <c r="X75" s="158"/>
      <c r="Y75" s="158"/>
      <c r="Z75" s="158"/>
    </row>
    <row r="76">
      <c r="A76" s="160">
        <v>75.0</v>
      </c>
      <c r="B76" s="157" t="s">
        <v>719</v>
      </c>
      <c r="C76" s="157" t="s">
        <v>721</v>
      </c>
      <c r="D76" s="157"/>
      <c r="E76" s="157"/>
      <c r="F76" s="158"/>
      <c r="G76" s="158"/>
      <c r="H76" s="158"/>
      <c r="I76" s="158"/>
      <c r="J76" s="158"/>
      <c r="K76" s="158"/>
      <c r="L76" s="158"/>
      <c r="M76" s="158"/>
      <c r="N76" s="158"/>
      <c r="O76" s="158"/>
      <c r="P76" s="158"/>
      <c r="Q76" s="158"/>
      <c r="R76" s="158"/>
      <c r="S76" s="158"/>
      <c r="T76" s="158"/>
      <c r="U76" s="158"/>
      <c r="V76" s="158"/>
      <c r="W76" s="158"/>
      <c r="X76" s="158"/>
      <c r="Y76" s="158"/>
      <c r="Z76" s="158"/>
    </row>
    <row r="77">
      <c r="A77" s="160">
        <v>76.0</v>
      </c>
      <c r="B77" s="157" t="s">
        <v>1167</v>
      </c>
      <c r="C77" s="157" t="s">
        <v>1168</v>
      </c>
      <c r="D77" s="157"/>
      <c r="E77" s="157"/>
      <c r="F77" s="158"/>
      <c r="G77" s="158"/>
      <c r="H77" s="158"/>
      <c r="I77" s="158"/>
      <c r="J77" s="158"/>
      <c r="K77" s="158"/>
      <c r="L77" s="158"/>
      <c r="M77" s="158"/>
      <c r="N77" s="158"/>
      <c r="O77" s="158"/>
      <c r="P77" s="158"/>
      <c r="Q77" s="158"/>
      <c r="R77" s="158"/>
      <c r="S77" s="158"/>
      <c r="T77" s="158"/>
      <c r="U77" s="158"/>
      <c r="V77" s="158"/>
      <c r="W77" s="158"/>
      <c r="X77" s="158"/>
      <c r="Y77" s="158"/>
      <c r="Z77" s="158"/>
    </row>
    <row r="78">
      <c r="A78" s="160">
        <v>77.0</v>
      </c>
      <c r="B78" s="157" t="s">
        <v>1832</v>
      </c>
      <c r="C78" s="157" t="s">
        <v>1834</v>
      </c>
      <c r="D78" s="157"/>
      <c r="E78" s="157"/>
      <c r="F78" s="158"/>
      <c r="G78" s="158"/>
      <c r="H78" s="158"/>
      <c r="I78" s="158"/>
      <c r="J78" s="158"/>
      <c r="K78" s="158"/>
      <c r="L78" s="158"/>
      <c r="M78" s="158"/>
      <c r="N78" s="158"/>
      <c r="O78" s="158"/>
      <c r="P78" s="158"/>
      <c r="Q78" s="158"/>
      <c r="R78" s="158"/>
      <c r="S78" s="158"/>
      <c r="T78" s="158"/>
      <c r="U78" s="158"/>
      <c r="V78" s="158"/>
      <c r="W78" s="158"/>
      <c r="X78" s="158"/>
      <c r="Y78" s="158"/>
      <c r="Z78" s="158"/>
    </row>
    <row r="79">
      <c r="A79" s="160">
        <v>78.0</v>
      </c>
      <c r="B79" s="157" t="s">
        <v>918</v>
      </c>
      <c r="C79" s="157" t="s">
        <v>919</v>
      </c>
      <c r="D79" s="157"/>
      <c r="E79" s="157"/>
      <c r="F79" s="158"/>
      <c r="G79" s="158"/>
      <c r="H79" s="158"/>
      <c r="I79" s="158"/>
      <c r="J79" s="158"/>
      <c r="K79" s="158"/>
      <c r="L79" s="158"/>
      <c r="M79" s="158"/>
      <c r="N79" s="158"/>
      <c r="O79" s="158"/>
      <c r="P79" s="158"/>
      <c r="Q79" s="158"/>
      <c r="R79" s="158"/>
      <c r="S79" s="158"/>
      <c r="T79" s="158"/>
      <c r="U79" s="158"/>
      <c r="V79" s="158"/>
      <c r="W79" s="158"/>
      <c r="X79" s="158"/>
      <c r="Y79" s="158"/>
      <c r="Z79" s="158"/>
    </row>
    <row r="80">
      <c r="A80" s="160">
        <v>79.0</v>
      </c>
      <c r="B80" s="157" t="s">
        <v>1839</v>
      </c>
      <c r="C80" s="157" t="s">
        <v>1840</v>
      </c>
      <c r="D80" s="157"/>
      <c r="E80" s="157"/>
      <c r="F80" s="158"/>
      <c r="G80" s="158"/>
      <c r="H80" s="158"/>
      <c r="I80" s="158"/>
      <c r="J80" s="158"/>
      <c r="K80" s="158"/>
      <c r="L80" s="158"/>
      <c r="M80" s="158"/>
      <c r="N80" s="158"/>
      <c r="O80" s="158"/>
      <c r="P80" s="158"/>
      <c r="Q80" s="158"/>
      <c r="R80" s="158"/>
      <c r="S80" s="158"/>
      <c r="T80" s="158"/>
      <c r="U80" s="158"/>
      <c r="V80" s="158"/>
      <c r="W80" s="158"/>
      <c r="X80" s="158"/>
      <c r="Y80" s="158"/>
      <c r="Z80" s="158"/>
    </row>
    <row r="81">
      <c r="A81" s="160">
        <v>80.0</v>
      </c>
      <c r="B81" s="157" t="s">
        <v>1027</v>
      </c>
      <c r="C81" s="157" t="s">
        <v>1029</v>
      </c>
      <c r="D81" s="157"/>
      <c r="E81" s="157"/>
      <c r="F81" s="158"/>
      <c r="G81" s="158"/>
      <c r="H81" s="158"/>
      <c r="I81" s="158"/>
      <c r="J81" s="158"/>
      <c r="K81" s="158"/>
      <c r="L81" s="158"/>
      <c r="M81" s="158"/>
      <c r="N81" s="158"/>
      <c r="O81" s="158"/>
      <c r="P81" s="158"/>
      <c r="Q81" s="158"/>
      <c r="R81" s="158"/>
      <c r="S81" s="158"/>
      <c r="T81" s="158"/>
      <c r="U81" s="158"/>
      <c r="V81" s="158"/>
      <c r="W81" s="158"/>
      <c r="X81" s="158"/>
      <c r="Y81" s="158"/>
      <c r="Z81" s="158"/>
    </row>
    <row r="82">
      <c r="A82" s="160">
        <v>81.0</v>
      </c>
      <c r="B82" s="157" t="s">
        <v>1842</v>
      </c>
      <c r="C82" s="157" t="s">
        <v>1843</v>
      </c>
      <c r="D82" s="157"/>
      <c r="E82" s="157"/>
      <c r="F82" s="158"/>
      <c r="G82" s="158"/>
      <c r="H82" s="158"/>
      <c r="I82" s="158"/>
      <c r="J82" s="158"/>
      <c r="K82" s="158"/>
      <c r="L82" s="158"/>
      <c r="M82" s="158"/>
      <c r="N82" s="158"/>
      <c r="O82" s="158"/>
      <c r="P82" s="158"/>
      <c r="Q82" s="158"/>
      <c r="R82" s="158"/>
      <c r="S82" s="158"/>
      <c r="T82" s="158"/>
      <c r="U82" s="158"/>
      <c r="V82" s="158"/>
      <c r="W82" s="158"/>
      <c r="X82" s="158"/>
      <c r="Y82" s="158"/>
      <c r="Z82" s="158"/>
    </row>
    <row r="83">
      <c r="A83" s="160">
        <v>82.0</v>
      </c>
      <c r="B83" s="157" t="s">
        <v>1846</v>
      </c>
      <c r="C83" s="157" t="s">
        <v>1549</v>
      </c>
      <c r="D83" s="183" t="s">
        <v>1849</v>
      </c>
      <c r="E83" s="157"/>
      <c r="F83" s="158"/>
      <c r="G83" s="158"/>
      <c r="H83" s="158"/>
      <c r="I83" s="158"/>
      <c r="J83" s="158"/>
      <c r="K83" s="158"/>
      <c r="L83" s="158"/>
      <c r="M83" s="158"/>
      <c r="N83" s="158"/>
      <c r="O83" s="158"/>
      <c r="P83" s="158"/>
      <c r="Q83" s="158"/>
      <c r="R83" s="158"/>
      <c r="S83" s="158"/>
      <c r="T83" s="158"/>
      <c r="U83" s="158"/>
      <c r="V83" s="158"/>
      <c r="W83" s="158"/>
      <c r="X83" s="158"/>
      <c r="Y83" s="158"/>
      <c r="Z83" s="158"/>
    </row>
    <row r="84">
      <c r="A84" s="160">
        <v>83.0</v>
      </c>
      <c r="B84" s="157" t="s">
        <v>666</v>
      </c>
      <c r="C84" s="157" t="s">
        <v>668</v>
      </c>
      <c r="D84" s="157"/>
      <c r="E84" s="157"/>
      <c r="F84" s="158"/>
      <c r="G84" s="158"/>
      <c r="H84" s="158"/>
      <c r="I84" s="158"/>
      <c r="J84" s="158"/>
      <c r="K84" s="158"/>
      <c r="L84" s="158"/>
      <c r="M84" s="158"/>
      <c r="N84" s="158"/>
      <c r="O84" s="158"/>
      <c r="P84" s="158"/>
      <c r="Q84" s="158"/>
      <c r="R84" s="158"/>
      <c r="S84" s="158"/>
      <c r="T84" s="158"/>
      <c r="U84" s="158"/>
      <c r="V84" s="158"/>
      <c r="W84" s="158"/>
      <c r="X84" s="158"/>
      <c r="Y84" s="158"/>
      <c r="Z84" s="158"/>
    </row>
    <row r="85">
      <c r="A85" s="160">
        <v>84.0</v>
      </c>
      <c r="B85" s="157" t="s">
        <v>1856</v>
      </c>
      <c r="C85" s="157" t="s">
        <v>1857</v>
      </c>
      <c r="D85" s="157"/>
      <c r="E85" s="157"/>
      <c r="F85" s="158"/>
      <c r="G85" s="158"/>
      <c r="H85" s="158"/>
      <c r="I85" s="158"/>
      <c r="J85" s="158"/>
      <c r="K85" s="158"/>
      <c r="L85" s="158"/>
      <c r="M85" s="158"/>
      <c r="N85" s="158"/>
      <c r="O85" s="158"/>
      <c r="P85" s="158"/>
      <c r="Q85" s="158"/>
      <c r="R85" s="158"/>
      <c r="S85" s="158"/>
      <c r="T85" s="158"/>
      <c r="U85" s="158"/>
      <c r="V85" s="158"/>
      <c r="W85" s="158"/>
      <c r="X85" s="158"/>
      <c r="Y85" s="158"/>
      <c r="Z85" s="158"/>
    </row>
    <row r="86">
      <c r="A86" s="160">
        <v>85.0</v>
      </c>
      <c r="B86" s="157" t="s">
        <v>1856</v>
      </c>
      <c r="C86" s="157" t="s">
        <v>1859</v>
      </c>
      <c r="D86" s="183" t="s">
        <v>1860</v>
      </c>
      <c r="E86" s="157"/>
      <c r="F86" s="158"/>
      <c r="G86" s="158"/>
      <c r="H86" s="158"/>
      <c r="I86" s="158"/>
      <c r="J86" s="158"/>
      <c r="K86" s="158"/>
      <c r="L86" s="158"/>
      <c r="M86" s="158"/>
      <c r="N86" s="158"/>
      <c r="O86" s="158"/>
      <c r="P86" s="158"/>
      <c r="Q86" s="158"/>
      <c r="R86" s="158"/>
      <c r="S86" s="158"/>
      <c r="T86" s="158"/>
      <c r="U86" s="158"/>
      <c r="V86" s="158"/>
      <c r="W86" s="158"/>
      <c r="X86" s="158"/>
      <c r="Y86" s="158"/>
      <c r="Z86" s="158"/>
    </row>
    <row r="87">
      <c r="A87" s="160">
        <v>86.0</v>
      </c>
      <c r="B87" s="157" t="s">
        <v>988</v>
      </c>
      <c r="C87" s="157" t="s">
        <v>989</v>
      </c>
      <c r="D87" s="157"/>
      <c r="E87" s="157"/>
      <c r="F87" s="158"/>
      <c r="G87" s="158"/>
      <c r="H87" s="158"/>
      <c r="I87" s="158"/>
      <c r="J87" s="158"/>
      <c r="K87" s="158"/>
      <c r="L87" s="158"/>
      <c r="M87" s="158"/>
      <c r="N87" s="158"/>
      <c r="O87" s="158"/>
      <c r="P87" s="158"/>
      <c r="Q87" s="158"/>
      <c r="R87" s="158"/>
      <c r="S87" s="158"/>
      <c r="T87" s="158"/>
      <c r="U87" s="158"/>
      <c r="V87" s="158"/>
      <c r="W87" s="158"/>
      <c r="X87" s="158"/>
      <c r="Y87" s="158"/>
      <c r="Z87" s="158"/>
    </row>
    <row r="88">
      <c r="A88" s="160">
        <v>87.0</v>
      </c>
      <c r="B88" s="157" t="s">
        <v>1431</v>
      </c>
      <c r="C88" s="157" t="s">
        <v>1434</v>
      </c>
      <c r="D88" s="157"/>
      <c r="E88" s="157"/>
      <c r="F88" s="158"/>
      <c r="G88" s="158"/>
      <c r="H88" s="158"/>
      <c r="I88" s="158"/>
      <c r="J88" s="158"/>
      <c r="K88" s="158"/>
      <c r="L88" s="158"/>
      <c r="M88" s="158"/>
      <c r="N88" s="158"/>
      <c r="O88" s="158"/>
      <c r="P88" s="158"/>
      <c r="Q88" s="158"/>
      <c r="R88" s="158"/>
      <c r="S88" s="158"/>
      <c r="T88" s="158"/>
      <c r="U88" s="158"/>
      <c r="V88" s="158"/>
      <c r="W88" s="158"/>
      <c r="X88" s="158"/>
      <c r="Y88" s="158"/>
      <c r="Z88" s="158"/>
    </row>
    <row r="89">
      <c r="A89" s="160">
        <v>88.0</v>
      </c>
      <c r="B89" s="157" t="s">
        <v>356</v>
      </c>
      <c r="C89" s="157" t="s">
        <v>357</v>
      </c>
      <c r="D89" s="157"/>
      <c r="E89" s="157"/>
      <c r="F89" s="158"/>
      <c r="G89" s="158"/>
      <c r="H89" s="158"/>
      <c r="I89" s="158"/>
      <c r="J89" s="158"/>
      <c r="K89" s="158"/>
      <c r="L89" s="158"/>
      <c r="M89" s="158"/>
      <c r="N89" s="158"/>
      <c r="O89" s="158"/>
      <c r="P89" s="158"/>
      <c r="Q89" s="158"/>
      <c r="R89" s="158"/>
      <c r="S89" s="158"/>
      <c r="T89" s="158"/>
      <c r="U89" s="158"/>
      <c r="V89" s="158"/>
      <c r="W89" s="158"/>
      <c r="X89" s="158"/>
      <c r="Y89" s="158"/>
      <c r="Z89" s="158"/>
    </row>
    <row r="90">
      <c r="A90" s="160">
        <v>89.0</v>
      </c>
      <c r="B90" s="157" t="s">
        <v>1871</v>
      </c>
      <c r="C90" s="157" t="s">
        <v>1859</v>
      </c>
      <c r="D90" s="157"/>
      <c r="E90" s="157"/>
      <c r="F90" s="158"/>
      <c r="G90" s="158"/>
      <c r="H90" s="158"/>
      <c r="I90" s="158"/>
      <c r="J90" s="158"/>
      <c r="K90" s="158"/>
      <c r="L90" s="158"/>
      <c r="M90" s="158"/>
      <c r="N90" s="158"/>
      <c r="O90" s="158"/>
      <c r="P90" s="158"/>
      <c r="Q90" s="158"/>
      <c r="R90" s="158"/>
      <c r="S90" s="158"/>
      <c r="T90" s="158"/>
      <c r="U90" s="158"/>
      <c r="V90" s="158"/>
      <c r="W90" s="158"/>
      <c r="X90" s="158"/>
      <c r="Y90" s="158"/>
      <c r="Z90" s="158"/>
    </row>
    <row r="91">
      <c r="A91" s="160">
        <v>90.0</v>
      </c>
      <c r="B91" s="157" t="s">
        <v>1872</v>
      </c>
      <c r="C91" s="157" t="s">
        <v>1859</v>
      </c>
      <c r="D91" s="157"/>
      <c r="E91" s="157"/>
      <c r="F91" s="158"/>
      <c r="G91" s="158"/>
      <c r="H91" s="158"/>
      <c r="I91" s="158"/>
      <c r="J91" s="158"/>
      <c r="K91" s="158"/>
      <c r="L91" s="158"/>
      <c r="M91" s="158"/>
      <c r="N91" s="158"/>
      <c r="O91" s="158"/>
      <c r="P91" s="158"/>
      <c r="Q91" s="158"/>
      <c r="R91" s="158"/>
      <c r="S91" s="158"/>
      <c r="T91" s="158"/>
      <c r="U91" s="158"/>
      <c r="V91" s="158"/>
      <c r="W91" s="158"/>
      <c r="X91" s="158"/>
      <c r="Y91" s="158"/>
      <c r="Z91" s="158"/>
    </row>
    <row r="92">
      <c r="A92" s="160">
        <v>91.0</v>
      </c>
      <c r="B92" s="157" t="s">
        <v>1879</v>
      </c>
      <c r="C92" s="157" t="s">
        <v>1880</v>
      </c>
      <c r="D92" s="157"/>
      <c r="E92" s="157"/>
      <c r="F92" s="158"/>
      <c r="G92" s="158"/>
      <c r="H92" s="158"/>
      <c r="I92" s="158"/>
      <c r="J92" s="158"/>
      <c r="K92" s="158"/>
      <c r="L92" s="158"/>
      <c r="M92" s="158"/>
      <c r="N92" s="158"/>
      <c r="O92" s="158"/>
      <c r="P92" s="158"/>
      <c r="Q92" s="158"/>
      <c r="R92" s="158"/>
      <c r="S92" s="158"/>
      <c r="T92" s="158"/>
      <c r="U92" s="158"/>
      <c r="V92" s="158"/>
      <c r="W92" s="158"/>
      <c r="X92" s="158"/>
      <c r="Y92" s="158"/>
      <c r="Z92" s="158"/>
    </row>
    <row r="93">
      <c r="A93" s="160">
        <v>92.0</v>
      </c>
      <c r="B93" s="157" t="s">
        <v>1879</v>
      </c>
      <c r="C93" s="157" t="s">
        <v>1882</v>
      </c>
      <c r="D93" s="157"/>
      <c r="E93" s="157"/>
      <c r="F93" s="158"/>
      <c r="G93" s="158"/>
      <c r="H93" s="158"/>
      <c r="I93" s="158"/>
      <c r="J93" s="158"/>
      <c r="K93" s="158"/>
      <c r="L93" s="158"/>
      <c r="M93" s="158"/>
      <c r="N93" s="158"/>
      <c r="O93" s="158"/>
      <c r="P93" s="158"/>
      <c r="Q93" s="158"/>
      <c r="R93" s="158"/>
      <c r="S93" s="158"/>
      <c r="T93" s="158"/>
      <c r="U93" s="158"/>
      <c r="V93" s="158"/>
      <c r="W93" s="158"/>
      <c r="X93" s="158"/>
      <c r="Y93" s="158"/>
      <c r="Z93" s="158"/>
    </row>
    <row r="94">
      <c r="A94" s="160">
        <v>93.0</v>
      </c>
      <c r="B94" s="157" t="s">
        <v>1887</v>
      </c>
      <c r="C94" s="157" t="s">
        <v>1888</v>
      </c>
      <c r="D94" s="157"/>
      <c r="E94" s="157"/>
      <c r="F94" s="158"/>
      <c r="G94" s="158"/>
      <c r="H94" s="158"/>
      <c r="I94" s="158"/>
      <c r="J94" s="158"/>
      <c r="K94" s="158"/>
      <c r="L94" s="158"/>
      <c r="M94" s="158"/>
      <c r="N94" s="158"/>
      <c r="O94" s="158"/>
      <c r="P94" s="158"/>
      <c r="Q94" s="158"/>
      <c r="R94" s="158"/>
      <c r="S94" s="158"/>
      <c r="T94" s="158"/>
      <c r="U94" s="158"/>
      <c r="V94" s="158"/>
      <c r="W94" s="158"/>
      <c r="X94" s="158"/>
      <c r="Y94" s="158"/>
      <c r="Z94" s="158"/>
    </row>
    <row r="95">
      <c r="A95" s="160">
        <v>94.0</v>
      </c>
      <c r="B95" s="157" t="s">
        <v>1889</v>
      </c>
      <c r="C95" s="157" t="s">
        <v>1549</v>
      </c>
      <c r="D95" s="157"/>
      <c r="E95" s="157"/>
      <c r="F95" s="158"/>
      <c r="G95" s="158"/>
      <c r="H95" s="158"/>
      <c r="I95" s="158"/>
      <c r="J95" s="158"/>
      <c r="K95" s="158"/>
      <c r="L95" s="158"/>
      <c r="M95" s="158"/>
      <c r="N95" s="158"/>
      <c r="O95" s="158"/>
      <c r="P95" s="158"/>
      <c r="Q95" s="158"/>
      <c r="R95" s="158"/>
      <c r="S95" s="158"/>
      <c r="T95" s="158"/>
      <c r="U95" s="158"/>
      <c r="V95" s="158"/>
      <c r="W95" s="158"/>
      <c r="X95" s="158"/>
      <c r="Y95" s="158"/>
      <c r="Z95" s="158"/>
    </row>
    <row r="96">
      <c r="A96" s="160">
        <v>95.0</v>
      </c>
      <c r="B96" s="157" t="s">
        <v>1891</v>
      </c>
      <c r="C96" s="157" t="s">
        <v>1892</v>
      </c>
      <c r="D96" s="157"/>
      <c r="E96" s="157"/>
      <c r="F96" s="158"/>
      <c r="G96" s="158"/>
      <c r="H96" s="158"/>
      <c r="I96" s="158"/>
      <c r="J96" s="158"/>
      <c r="K96" s="158"/>
      <c r="L96" s="158"/>
      <c r="M96" s="158"/>
      <c r="N96" s="158"/>
      <c r="O96" s="158"/>
      <c r="P96" s="158"/>
      <c r="Q96" s="158"/>
      <c r="R96" s="158"/>
      <c r="S96" s="158"/>
      <c r="T96" s="158"/>
      <c r="U96" s="158"/>
      <c r="V96" s="158"/>
      <c r="W96" s="158"/>
      <c r="X96" s="158"/>
      <c r="Y96" s="158"/>
      <c r="Z96" s="158"/>
    </row>
    <row r="97">
      <c r="A97" s="160">
        <v>96.0</v>
      </c>
      <c r="B97" s="157" t="s">
        <v>1896</v>
      </c>
      <c r="C97" s="157" t="s">
        <v>1549</v>
      </c>
      <c r="D97" s="157"/>
      <c r="E97" s="157"/>
      <c r="F97" s="158"/>
      <c r="G97" s="158"/>
      <c r="H97" s="158"/>
      <c r="I97" s="158"/>
      <c r="J97" s="158"/>
      <c r="K97" s="158"/>
      <c r="L97" s="158"/>
      <c r="M97" s="158"/>
      <c r="N97" s="158"/>
      <c r="O97" s="158"/>
      <c r="P97" s="158"/>
      <c r="Q97" s="158"/>
      <c r="R97" s="158"/>
      <c r="S97" s="158"/>
      <c r="T97" s="158"/>
      <c r="U97" s="158"/>
      <c r="V97" s="158"/>
      <c r="W97" s="158"/>
      <c r="X97" s="158"/>
      <c r="Y97" s="158"/>
      <c r="Z97" s="158"/>
    </row>
    <row r="98">
      <c r="A98" s="160">
        <v>97.0</v>
      </c>
      <c r="B98" s="157" t="s">
        <v>1898</v>
      </c>
      <c r="C98" s="157" t="s">
        <v>1549</v>
      </c>
      <c r="D98" s="157"/>
      <c r="E98" s="157"/>
      <c r="F98" s="158"/>
      <c r="G98" s="158"/>
      <c r="H98" s="158"/>
      <c r="I98" s="158"/>
      <c r="J98" s="158"/>
      <c r="K98" s="158"/>
      <c r="L98" s="158"/>
      <c r="M98" s="158"/>
      <c r="N98" s="158"/>
      <c r="O98" s="158"/>
      <c r="P98" s="158"/>
      <c r="Q98" s="158"/>
      <c r="R98" s="158"/>
      <c r="S98" s="158"/>
      <c r="T98" s="158"/>
      <c r="U98" s="158"/>
      <c r="V98" s="158"/>
      <c r="W98" s="158"/>
      <c r="X98" s="158"/>
      <c r="Y98" s="158"/>
      <c r="Z98" s="158"/>
    </row>
    <row r="99">
      <c r="A99" s="160">
        <v>98.0</v>
      </c>
      <c r="B99" s="157" t="s">
        <v>1900</v>
      </c>
      <c r="C99" s="157" t="s">
        <v>1901</v>
      </c>
      <c r="D99" s="157"/>
      <c r="E99" s="157"/>
      <c r="F99" s="158"/>
      <c r="G99" s="158"/>
      <c r="H99" s="158"/>
      <c r="I99" s="158"/>
      <c r="J99" s="158"/>
      <c r="K99" s="158"/>
      <c r="L99" s="158"/>
      <c r="M99" s="158"/>
      <c r="N99" s="158"/>
      <c r="O99" s="158"/>
      <c r="P99" s="158"/>
      <c r="Q99" s="158"/>
      <c r="R99" s="158"/>
      <c r="S99" s="158"/>
      <c r="T99" s="158"/>
      <c r="U99" s="158"/>
      <c r="V99" s="158"/>
      <c r="W99" s="158"/>
      <c r="X99" s="158"/>
      <c r="Y99" s="158"/>
      <c r="Z99" s="158"/>
    </row>
    <row r="100">
      <c r="A100" s="160">
        <v>99.0</v>
      </c>
      <c r="B100" s="157" t="s">
        <v>1904</v>
      </c>
      <c r="C100" s="157" t="s">
        <v>1905</v>
      </c>
      <c r="D100" s="157"/>
      <c r="E100" s="157"/>
      <c r="F100" s="158"/>
      <c r="G100" s="158"/>
      <c r="H100" s="158"/>
      <c r="I100" s="158"/>
      <c r="J100" s="158"/>
      <c r="K100" s="158"/>
      <c r="L100" s="158"/>
      <c r="M100" s="158"/>
      <c r="N100" s="158"/>
      <c r="O100" s="158"/>
      <c r="P100" s="158"/>
      <c r="Q100" s="158"/>
      <c r="R100" s="158"/>
      <c r="S100" s="158"/>
      <c r="T100" s="158"/>
      <c r="U100" s="158"/>
      <c r="V100" s="158"/>
      <c r="W100" s="158"/>
      <c r="X100" s="158"/>
      <c r="Y100" s="158"/>
      <c r="Z100" s="158"/>
    </row>
    <row r="101">
      <c r="A101" s="160">
        <v>100.0</v>
      </c>
      <c r="B101" s="157" t="s">
        <v>794</v>
      </c>
      <c r="C101" s="157" t="s">
        <v>797</v>
      </c>
      <c r="D101" s="157"/>
      <c r="E101" s="157"/>
      <c r="F101" s="158"/>
      <c r="G101" s="158"/>
      <c r="H101" s="158"/>
      <c r="I101" s="158"/>
      <c r="J101" s="158"/>
      <c r="K101" s="158"/>
      <c r="L101" s="158"/>
      <c r="M101" s="158"/>
      <c r="N101" s="158"/>
      <c r="O101" s="158"/>
      <c r="P101" s="158"/>
      <c r="Q101" s="158"/>
      <c r="R101" s="158"/>
      <c r="S101" s="158"/>
      <c r="T101" s="158"/>
      <c r="U101" s="158"/>
      <c r="V101" s="158"/>
      <c r="W101" s="158"/>
      <c r="X101" s="158"/>
      <c r="Y101" s="158"/>
      <c r="Z101" s="158"/>
    </row>
    <row r="102">
      <c r="A102" s="160">
        <v>101.0</v>
      </c>
      <c r="B102" s="157" t="s">
        <v>702</v>
      </c>
      <c r="C102" s="157" t="s">
        <v>704</v>
      </c>
      <c r="D102" s="157"/>
      <c r="E102" s="157"/>
      <c r="F102" s="158"/>
      <c r="G102" s="158"/>
      <c r="H102" s="158"/>
      <c r="I102" s="158"/>
      <c r="J102" s="158"/>
      <c r="K102" s="158"/>
      <c r="L102" s="158"/>
      <c r="M102" s="158"/>
      <c r="N102" s="158"/>
      <c r="O102" s="158"/>
      <c r="P102" s="158"/>
      <c r="Q102" s="158"/>
      <c r="R102" s="158"/>
      <c r="S102" s="158"/>
      <c r="T102" s="158"/>
      <c r="U102" s="158"/>
      <c r="V102" s="158"/>
      <c r="W102" s="158"/>
      <c r="X102" s="158"/>
      <c r="Y102" s="158"/>
      <c r="Z102" s="158"/>
    </row>
    <row r="103">
      <c r="A103" s="160">
        <v>102.0</v>
      </c>
      <c r="B103" s="157" t="s">
        <v>1910</v>
      </c>
      <c r="C103" s="157" t="s">
        <v>1911</v>
      </c>
      <c r="D103" s="183" t="s">
        <v>1912</v>
      </c>
      <c r="E103" s="157"/>
      <c r="F103" s="158"/>
      <c r="G103" s="158"/>
      <c r="H103" s="158"/>
      <c r="I103" s="158"/>
      <c r="J103" s="158"/>
      <c r="K103" s="158"/>
      <c r="L103" s="158"/>
      <c r="M103" s="158"/>
      <c r="N103" s="158"/>
      <c r="O103" s="158"/>
      <c r="P103" s="158"/>
      <c r="Q103" s="158"/>
      <c r="R103" s="158"/>
      <c r="S103" s="158"/>
      <c r="T103" s="158"/>
      <c r="U103" s="158"/>
      <c r="V103" s="158"/>
      <c r="W103" s="158"/>
      <c r="X103" s="158"/>
      <c r="Y103" s="158"/>
      <c r="Z103" s="158"/>
    </row>
    <row r="104">
      <c r="A104" s="160">
        <v>103.0</v>
      </c>
      <c r="B104" s="157" t="s">
        <v>1378</v>
      </c>
      <c r="C104" s="157" t="s">
        <v>1379</v>
      </c>
      <c r="D104" s="157"/>
      <c r="E104" s="157"/>
      <c r="F104" s="158"/>
      <c r="G104" s="158"/>
      <c r="H104" s="158"/>
      <c r="I104" s="158"/>
      <c r="J104" s="158"/>
      <c r="K104" s="158"/>
      <c r="L104" s="158"/>
      <c r="M104" s="158"/>
      <c r="N104" s="158"/>
      <c r="O104" s="158"/>
      <c r="P104" s="158"/>
      <c r="Q104" s="158"/>
      <c r="R104" s="158"/>
      <c r="S104" s="158"/>
      <c r="T104" s="158"/>
      <c r="U104" s="158"/>
      <c r="V104" s="158"/>
      <c r="W104" s="158"/>
      <c r="X104" s="158"/>
      <c r="Y104" s="158"/>
      <c r="Z104" s="158"/>
    </row>
    <row r="105">
      <c r="A105" s="160">
        <v>104.0</v>
      </c>
      <c r="B105" s="157" t="s">
        <v>1370</v>
      </c>
      <c r="C105" s="157" t="s">
        <v>1371</v>
      </c>
      <c r="D105" s="157"/>
      <c r="E105" s="157"/>
      <c r="F105" s="158"/>
      <c r="G105" s="158"/>
      <c r="H105" s="158"/>
      <c r="I105" s="158"/>
      <c r="J105" s="158"/>
      <c r="K105" s="158"/>
      <c r="L105" s="158"/>
      <c r="M105" s="158"/>
      <c r="N105" s="158"/>
      <c r="O105" s="158"/>
      <c r="P105" s="158"/>
      <c r="Q105" s="158"/>
      <c r="R105" s="158"/>
      <c r="S105" s="158"/>
      <c r="T105" s="158"/>
      <c r="U105" s="158"/>
      <c r="V105" s="158"/>
      <c r="W105" s="158"/>
      <c r="X105" s="158"/>
      <c r="Y105" s="158"/>
      <c r="Z105" s="158"/>
    </row>
    <row r="106">
      <c r="A106" s="160">
        <v>105.0</v>
      </c>
      <c r="B106" s="157" t="s">
        <v>1390</v>
      </c>
      <c r="C106" s="157" t="s">
        <v>1391</v>
      </c>
      <c r="D106" s="157"/>
      <c r="E106" s="157"/>
      <c r="F106" s="158"/>
      <c r="G106" s="158"/>
      <c r="H106" s="158"/>
      <c r="I106" s="158"/>
      <c r="J106" s="158"/>
      <c r="K106" s="158"/>
      <c r="L106" s="158"/>
      <c r="M106" s="158"/>
      <c r="N106" s="158"/>
      <c r="O106" s="158"/>
      <c r="P106" s="158"/>
      <c r="Q106" s="158"/>
      <c r="R106" s="158"/>
      <c r="S106" s="158"/>
      <c r="T106" s="158"/>
      <c r="U106" s="158"/>
      <c r="V106" s="158"/>
      <c r="W106" s="158"/>
      <c r="X106" s="158"/>
      <c r="Y106" s="158"/>
      <c r="Z106" s="158"/>
    </row>
    <row r="107">
      <c r="A107" s="160">
        <v>106.0</v>
      </c>
      <c r="B107" s="157" t="s">
        <v>1397</v>
      </c>
      <c r="C107" s="157" t="s">
        <v>1398</v>
      </c>
      <c r="D107" s="157"/>
      <c r="E107" s="157"/>
      <c r="F107" s="158"/>
      <c r="G107" s="158"/>
      <c r="H107" s="158"/>
      <c r="I107" s="158"/>
      <c r="J107" s="158"/>
      <c r="K107" s="158"/>
      <c r="L107" s="158"/>
      <c r="M107" s="158"/>
      <c r="N107" s="158"/>
      <c r="O107" s="158"/>
      <c r="P107" s="158"/>
      <c r="Q107" s="158"/>
      <c r="R107" s="158"/>
      <c r="S107" s="158"/>
      <c r="T107" s="158"/>
      <c r="U107" s="158"/>
      <c r="V107" s="158"/>
      <c r="W107" s="158"/>
      <c r="X107" s="158"/>
      <c r="Y107" s="158"/>
      <c r="Z107" s="158"/>
    </row>
    <row r="108">
      <c r="A108" s="160">
        <v>107.0</v>
      </c>
      <c r="B108" s="157" t="s">
        <v>622</v>
      </c>
      <c r="C108" s="157" t="s">
        <v>624</v>
      </c>
      <c r="D108" s="157"/>
      <c r="E108" s="157"/>
      <c r="F108" s="158"/>
      <c r="G108" s="158"/>
      <c r="H108" s="158"/>
      <c r="I108" s="158"/>
      <c r="J108" s="158"/>
      <c r="K108" s="158"/>
      <c r="L108" s="158"/>
      <c r="M108" s="158"/>
      <c r="N108" s="158"/>
      <c r="O108" s="158"/>
      <c r="P108" s="158"/>
      <c r="Q108" s="158"/>
      <c r="R108" s="158"/>
      <c r="S108" s="158"/>
      <c r="T108" s="158"/>
      <c r="U108" s="158"/>
      <c r="V108" s="158"/>
      <c r="W108" s="158"/>
      <c r="X108" s="158"/>
      <c r="Y108" s="158"/>
      <c r="Z108" s="158"/>
    </row>
    <row r="109">
      <c r="A109" s="160">
        <v>108.0</v>
      </c>
      <c r="B109" s="157" t="s">
        <v>183</v>
      </c>
      <c r="C109" s="157" t="s">
        <v>184</v>
      </c>
      <c r="D109" s="157"/>
      <c r="E109" s="157"/>
      <c r="F109" s="158"/>
      <c r="G109" s="158"/>
      <c r="H109" s="158"/>
      <c r="I109" s="158"/>
      <c r="J109" s="158"/>
      <c r="K109" s="158"/>
      <c r="L109" s="158"/>
      <c r="M109" s="158"/>
      <c r="N109" s="158"/>
      <c r="O109" s="158"/>
      <c r="P109" s="158"/>
      <c r="Q109" s="158"/>
      <c r="R109" s="158"/>
      <c r="S109" s="158"/>
      <c r="T109" s="158"/>
      <c r="U109" s="158"/>
      <c r="V109" s="158"/>
      <c r="W109" s="158"/>
      <c r="X109" s="158"/>
      <c r="Y109" s="158"/>
      <c r="Z109" s="158"/>
    </row>
    <row r="110">
      <c r="A110" s="160">
        <v>109.0</v>
      </c>
      <c r="B110" s="157" t="s">
        <v>761</v>
      </c>
      <c r="C110" s="157" t="s">
        <v>762</v>
      </c>
      <c r="D110" s="157"/>
      <c r="E110" s="157"/>
      <c r="F110" s="158"/>
      <c r="G110" s="158"/>
      <c r="H110" s="158"/>
      <c r="I110" s="158"/>
      <c r="J110" s="158"/>
      <c r="K110" s="158"/>
      <c r="L110" s="158"/>
      <c r="M110" s="158"/>
      <c r="N110" s="158"/>
      <c r="O110" s="158"/>
      <c r="P110" s="158"/>
      <c r="Q110" s="158"/>
      <c r="R110" s="158"/>
      <c r="S110" s="158"/>
      <c r="T110" s="158"/>
      <c r="U110" s="158"/>
      <c r="V110" s="158"/>
      <c r="W110" s="158"/>
      <c r="X110" s="158"/>
      <c r="Y110" s="158"/>
      <c r="Z110" s="158"/>
    </row>
    <row r="111">
      <c r="A111" s="160">
        <v>110.0</v>
      </c>
      <c r="B111" s="157" t="s">
        <v>1465</v>
      </c>
      <c r="C111" s="157" t="s">
        <v>1466</v>
      </c>
      <c r="D111" s="157"/>
      <c r="E111" s="157"/>
      <c r="F111" s="158"/>
      <c r="G111" s="158"/>
      <c r="H111" s="158"/>
      <c r="I111" s="158"/>
      <c r="J111" s="158"/>
      <c r="K111" s="158"/>
      <c r="L111" s="158"/>
      <c r="M111" s="158"/>
      <c r="N111" s="158"/>
      <c r="O111" s="158"/>
      <c r="P111" s="158"/>
      <c r="Q111" s="158"/>
      <c r="R111" s="158"/>
      <c r="S111" s="158"/>
      <c r="T111" s="158"/>
      <c r="U111" s="158"/>
      <c r="V111" s="158"/>
      <c r="W111" s="158"/>
      <c r="X111" s="158"/>
      <c r="Y111" s="158"/>
      <c r="Z111" s="158"/>
    </row>
    <row r="112">
      <c r="A112" s="160">
        <v>111.0</v>
      </c>
      <c r="B112" s="157" t="s">
        <v>1929</v>
      </c>
      <c r="C112" s="157" t="s">
        <v>1549</v>
      </c>
      <c r="D112" s="157"/>
      <c r="E112" s="157"/>
      <c r="F112" s="158"/>
      <c r="G112" s="158"/>
      <c r="H112" s="158"/>
      <c r="I112" s="158"/>
      <c r="J112" s="158"/>
      <c r="K112" s="158"/>
      <c r="L112" s="158"/>
      <c r="M112" s="158"/>
      <c r="N112" s="158"/>
      <c r="O112" s="158"/>
      <c r="P112" s="158"/>
      <c r="Q112" s="158"/>
      <c r="R112" s="158"/>
      <c r="S112" s="158"/>
      <c r="T112" s="158"/>
      <c r="U112" s="158"/>
      <c r="V112" s="158"/>
      <c r="W112" s="158"/>
      <c r="X112" s="158"/>
      <c r="Y112" s="158"/>
      <c r="Z112" s="158"/>
    </row>
    <row r="113">
      <c r="A113" s="160">
        <v>112.0</v>
      </c>
      <c r="B113" s="157" t="s">
        <v>1932</v>
      </c>
      <c r="C113" s="157" t="s">
        <v>1933</v>
      </c>
      <c r="D113" s="157"/>
      <c r="E113" s="157"/>
      <c r="F113" s="158"/>
      <c r="G113" s="158"/>
      <c r="H113" s="158"/>
      <c r="I113" s="158"/>
      <c r="J113" s="158"/>
      <c r="K113" s="158"/>
      <c r="L113" s="158"/>
      <c r="M113" s="158"/>
      <c r="N113" s="158"/>
      <c r="O113" s="158"/>
      <c r="P113" s="158"/>
      <c r="Q113" s="158"/>
      <c r="R113" s="158"/>
      <c r="S113" s="158"/>
      <c r="T113" s="158"/>
      <c r="U113" s="158"/>
      <c r="V113" s="158"/>
      <c r="W113" s="158"/>
      <c r="X113" s="158"/>
      <c r="Y113" s="158"/>
      <c r="Z113" s="158"/>
    </row>
    <row r="114">
      <c r="A114" s="160">
        <v>113.0</v>
      </c>
      <c r="B114" s="157" t="s">
        <v>1937</v>
      </c>
      <c r="C114" s="157" t="s">
        <v>1938</v>
      </c>
      <c r="D114" s="157"/>
      <c r="E114" s="157"/>
      <c r="F114" s="158"/>
      <c r="G114" s="158"/>
      <c r="H114" s="158"/>
      <c r="I114" s="158"/>
      <c r="J114" s="158"/>
      <c r="K114" s="158"/>
      <c r="L114" s="158"/>
      <c r="M114" s="158"/>
      <c r="N114" s="158"/>
      <c r="O114" s="158"/>
      <c r="P114" s="158"/>
      <c r="Q114" s="158"/>
      <c r="R114" s="158"/>
      <c r="S114" s="158"/>
      <c r="T114" s="158"/>
      <c r="U114" s="158"/>
      <c r="V114" s="158"/>
      <c r="W114" s="158"/>
      <c r="X114" s="158"/>
      <c r="Y114" s="158"/>
      <c r="Z114" s="158"/>
    </row>
    <row r="115">
      <c r="A115" s="160">
        <v>114.0</v>
      </c>
      <c r="B115" s="157" t="s">
        <v>1941</v>
      </c>
      <c r="C115" s="157" t="s">
        <v>1942</v>
      </c>
      <c r="D115" s="157"/>
      <c r="E115" s="157"/>
      <c r="F115" s="158"/>
      <c r="G115" s="158"/>
      <c r="H115" s="158"/>
      <c r="I115" s="158"/>
      <c r="J115" s="158"/>
      <c r="K115" s="158"/>
      <c r="L115" s="158"/>
      <c r="M115" s="158"/>
      <c r="N115" s="158"/>
      <c r="O115" s="158"/>
      <c r="P115" s="158"/>
      <c r="Q115" s="158"/>
      <c r="R115" s="158"/>
      <c r="S115" s="158"/>
      <c r="T115" s="158"/>
      <c r="U115" s="158"/>
      <c r="V115" s="158"/>
      <c r="W115" s="158"/>
      <c r="X115" s="158"/>
      <c r="Y115" s="158"/>
      <c r="Z115" s="158"/>
    </row>
    <row r="116">
      <c r="A116" s="160">
        <v>115.0</v>
      </c>
      <c r="B116" s="157" t="s">
        <v>855</v>
      </c>
      <c r="C116" s="157" t="s">
        <v>856</v>
      </c>
      <c r="D116" s="157"/>
      <c r="E116" s="157"/>
      <c r="F116" s="158"/>
      <c r="G116" s="158"/>
      <c r="H116" s="158"/>
      <c r="I116" s="158"/>
      <c r="J116" s="158"/>
      <c r="K116" s="158"/>
      <c r="L116" s="158"/>
      <c r="M116" s="158"/>
      <c r="N116" s="158"/>
      <c r="O116" s="158"/>
      <c r="P116" s="158"/>
      <c r="Q116" s="158"/>
      <c r="R116" s="158"/>
      <c r="S116" s="158"/>
      <c r="T116" s="158"/>
      <c r="U116" s="158"/>
      <c r="V116" s="158"/>
      <c r="W116" s="158"/>
      <c r="X116" s="158"/>
      <c r="Y116" s="158"/>
      <c r="Z116" s="158"/>
    </row>
    <row r="117">
      <c r="A117" s="160">
        <v>116.0</v>
      </c>
      <c r="B117" s="157" t="s">
        <v>1948</v>
      </c>
      <c r="C117" s="157" t="s">
        <v>1949</v>
      </c>
      <c r="D117" s="157"/>
      <c r="E117" s="157"/>
      <c r="F117" s="158"/>
      <c r="G117" s="158"/>
      <c r="H117" s="158"/>
      <c r="I117" s="158"/>
      <c r="J117" s="158"/>
      <c r="K117" s="158"/>
      <c r="L117" s="158"/>
      <c r="M117" s="158"/>
      <c r="N117" s="158"/>
      <c r="O117" s="158"/>
      <c r="P117" s="158"/>
      <c r="Q117" s="158"/>
      <c r="R117" s="158"/>
      <c r="S117" s="158"/>
      <c r="T117" s="158"/>
      <c r="U117" s="158"/>
      <c r="V117" s="158"/>
      <c r="W117" s="158"/>
      <c r="X117" s="158"/>
      <c r="Y117" s="158"/>
      <c r="Z117" s="158"/>
    </row>
    <row r="118">
      <c r="A118" s="160">
        <v>117.0</v>
      </c>
      <c r="B118" s="157" t="s">
        <v>1954</v>
      </c>
      <c r="C118" s="157" t="s">
        <v>1956</v>
      </c>
      <c r="D118" s="157"/>
      <c r="E118" s="157"/>
      <c r="F118" s="158"/>
      <c r="G118" s="158"/>
      <c r="H118" s="158"/>
      <c r="I118" s="158"/>
      <c r="J118" s="158"/>
      <c r="K118" s="158"/>
      <c r="L118" s="158"/>
      <c r="M118" s="158"/>
      <c r="N118" s="158"/>
      <c r="O118" s="158"/>
      <c r="P118" s="158"/>
      <c r="Q118" s="158"/>
      <c r="R118" s="158"/>
      <c r="S118" s="158"/>
      <c r="T118" s="158"/>
      <c r="U118" s="158"/>
      <c r="V118" s="158"/>
      <c r="W118" s="158"/>
      <c r="X118" s="158"/>
      <c r="Y118" s="158"/>
      <c r="Z118" s="158"/>
    </row>
    <row r="119">
      <c r="A119" s="160">
        <v>118.0</v>
      </c>
      <c r="B119" s="157" t="s">
        <v>1960</v>
      </c>
      <c r="C119" s="157" t="s">
        <v>1961</v>
      </c>
      <c r="D119" s="157"/>
      <c r="E119" s="157"/>
      <c r="F119" s="158"/>
      <c r="G119" s="158"/>
      <c r="H119" s="158"/>
      <c r="I119" s="158"/>
      <c r="J119" s="158"/>
      <c r="K119" s="158"/>
      <c r="L119" s="158"/>
      <c r="M119" s="158"/>
      <c r="N119" s="158"/>
      <c r="O119" s="158"/>
      <c r="P119" s="158"/>
      <c r="Q119" s="158"/>
      <c r="R119" s="158"/>
      <c r="S119" s="158"/>
      <c r="T119" s="158"/>
      <c r="U119" s="158"/>
      <c r="V119" s="158"/>
      <c r="W119" s="158"/>
      <c r="X119" s="158"/>
      <c r="Y119" s="158"/>
      <c r="Z119" s="158"/>
    </row>
    <row r="120">
      <c r="A120" s="160">
        <v>119.0</v>
      </c>
      <c r="B120" s="157" t="s">
        <v>1962</v>
      </c>
      <c r="C120" s="157" t="s">
        <v>1963</v>
      </c>
      <c r="D120" s="157"/>
      <c r="E120" s="157"/>
      <c r="F120" s="158"/>
      <c r="G120" s="158"/>
      <c r="H120" s="158"/>
      <c r="I120" s="158"/>
      <c r="J120" s="158"/>
      <c r="K120" s="158"/>
      <c r="L120" s="158"/>
      <c r="M120" s="158"/>
      <c r="N120" s="158"/>
      <c r="O120" s="158"/>
      <c r="P120" s="158"/>
      <c r="Q120" s="158"/>
      <c r="R120" s="158"/>
      <c r="S120" s="158"/>
      <c r="T120" s="158"/>
      <c r="U120" s="158"/>
      <c r="V120" s="158"/>
      <c r="W120" s="158"/>
      <c r="X120" s="158"/>
      <c r="Y120" s="158"/>
      <c r="Z120" s="158"/>
    </row>
    <row r="121">
      <c r="A121" s="160">
        <v>120.0</v>
      </c>
      <c r="B121" s="157" t="s">
        <v>1964</v>
      </c>
      <c r="C121" s="157" t="s">
        <v>1965</v>
      </c>
      <c r="D121" s="157"/>
      <c r="E121" s="157"/>
      <c r="F121" s="158"/>
      <c r="G121" s="158"/>
      <c r="H121" s="158"/>
      <c r="I121" s="158"/>
      <c r="J121" s="158"/>
      <c r="K121" s="158"/>
      <c r="L121" s="158"/>
      <c r="M121" s="158"/>
      <c r="N121" s="158"/>
      <c r="O121" s="158"/>
      <c r="P121" s="158"/>
      <c r="Q121" s="158"/>
      <c r="R121" s="158"/>
      <c r="S121" s="158"/>
      <c r="T121" s="158"/>
      <c r="U121" s="158"/>
      <c r="V121" s="158"/>
      <c r="W121" s="158"/>
      <c r="X121" s="158"/>
      <c r="Y121" s="158"/>
      <c r="Z121" s="158"/>
    </row>
    <row r="122">
      <c r="A122" s="160">
        <v>121.0</v>
      </c>
      <c r="B122" s="157" t="s">
        <v>732</v>
      </c>
      <c r="C122" s="157" t="s">
        <v>1965</v>
      </c>
      <c r="D122" s="157"/>
      <c r="E122" s="157"/>
      <c r="F122" s="158"/>
      <c r="G122" s="158"/>
      <c r="H122" s="158"/>
      <c r="I122" s="158"/>
      <c r="J122" s="158"/>
      <c r="K122" s="158"/>
      <c r="L122" s="158"/>
      <c r="M122" s="158"/>
      <c r="N122" s="158"/>
      <c r="O122" s="158"/>
      <c r="P122" s="158"/>
      <c r="Q122" s="158"/>
      <c r="R122" s="158"/>
      <c r="S122" s="158"/>
      <c r="T122" s="158"/>
      <c r="U122" s="158"/>
      <c r="V122" s="158"/>
      <c r="W122" s="158"/>
      <c r="X122" s="158"/>
      <c r="Y122" s="158"/>
      <c r="Z122" s="158"/>
    </row>
    <row r="123">
      <c r="A123" s="160">
        <v>122.0</v>
      </c>
      <c r="B123" s="157" t="s">
        <v>1968</v>
      </c>
      <c r="C123" s="157" t="s">
        <v>1969</v>
      </c>
      <c r="D123" s="157"/>
      <c r="E123" s="157"/>
      <c r="F123" s="158"/>
      <c r="G123" s="158"/>
      <c r="H123" s="158"/>
      <c r="I123" s="158"/>
      <c r="J123" s="158"/>
      <c r="K123" s="158"/>
      <c r="L123" s="158"/>
      <c r="M123" s="158"/>
      <c r="N123" s="158"/>
      <c r="O123" s="158"/>
      <c r="P123" s="158"/>
      <c r="Q123" s="158"/>
      <c r="R123" s="158"/>
      <c r="S123" s="158"/>
      <c r="T123" s="158"/>
      <c r="U123" s="158"/>
      <c r="V123" s="158"/>
      <c r="W123" s="158"/>
      <c r="X123" s="158"/>
      <c r="Y123" s="158"/>
      <c r="Z123" s="158"/>
    </row>
    <row r="124">
      <c r="A124" s="160">
        <v>123.0</v>
      </c>
      <c r="B124" s="157" t="s">
        <v>1972</v>
      </c>
      <c r="C124" s="157" t="s">
        <v>1973</v>
      </c>
      <c r="D124" s="157"/>
      <c r="E124" s="157"/>
      <c r="F124" s="158"/>
      <c r="G124" s="158"/>
      <c r="H124" s="158"/>
      <c r="I124" s="158"/>
      <c r="J124" s="158"/>
      <c r="K124" s="158"/>
      <c r="L124" s="158"/>
      <c r="M124" s="158"/>
      <c r="N124" s="158"/>
      <c r="O124" s="158"/>
      <c r="P124" s="158"/>
      <c r="Q124" s="158"/>
      <c r="R124" s="158"/>
      <c r="S124" s="158"/>
      <c r="T124" s="158"/>
      <c r="U124" s="158"/>
      <c r="V124" s="158"/>
      <c r="W124" s="158"/>
      <c r="X124" s="158"/>
      <c r="Y124" s="158"/>
      <c r="Z124" s="158"/>
    </row>
    <row r="125">
      <c r="A125" s="160">
        <v>124.0</v>
      </c>
      <c r="B125" s="157" t="s">
        <v>1976</v>
      </c>
      <c r="C125" s="157" t="s">
        <v>1977</v>
      </c>
      <c r="D125" s="157"/>
      <c r="E125" s="157"/>
      <c r="F125" s="158"/>
      <c r="G125" s="158"/>
      <c r="H125" s="158"/>
      <c r="I125" s="158"/>
      <c r="J125" s="158"/>
      <c r="K125" s="158"/>
      <c r="L125" s="158"/>
      <c r="M125" s="158"/>
      <c r="N125" s="158"/>
      <c r="O125" s="158"/>
      <c r="P125" s="158"/>
      <c r="Q125" s="158"/>
      <c r="R125" s="158"/>
      <c r="S125" s="158"/>
      <c r="T125" s="158"/>
      <c r="U125" s="158"/>
      <c r="V125" s="158"/>
      <c r="W125" s="158"/>
      <c r="X125" s="158"/>
      <c r="Y125" s="158"/>
      <c r="Z125" s="158"/>
    </row>
    <row r="126">
      <c r="A126" s="160">
        <v>125.0</v>
      </c>
      <c r="B126" s="157" t="s">
        <v>575</v>
      </c>
      <c r="C126" s="157" t="s">
        <v>1978</v>
      </c>
      <c r="D126" s="157"/>
      <c r="E126" s="157"/>
      <c r="F126" s="158"/>
      <c r="G126" s="158"/>
      <c r="H126" s="158"/>
      <c r="I126" s="158"/>
      <c r="J126" s="158"/>
      <c r="K126" s="158"/>
      <c r="L126" s="158"/>
      <c r="M126" s="158"/>
      <c r="N126" s="158"/>
      <c r="O126" s="158"/>
      <c r="P126" s="158"/>
      <c r="Q126" s="158"/>
      <c r="R126" s="158"/>
      <c r="S126" s="158"/>
      <c r="T126" s="158"/>
      <c r="U126" s="158"/>
      <c r="V126" s="158"/>
      <c r="W126" s="158"/>
      <c r="X126" s="158"/>
      <c r="Y126" s="158"/>
      <c r="Z126" s="158"/>
    </row>
    <row r="127">
      <c r="A127" s="160">
        <v>126.0</v>
      </c>
      <c r="B127" s="157" t="s">
        <v>1981</v>
      </c>
      <c r="C127" s="157" t="s">
        <v>1982</v>
      </c>
      <c r="D127" s="157"/>
      <c r="E127" s="157"/>
      <c r="F127" s="158"/>
      <c r="G127" s="158"/>
      <c r="H127" s="158"/>
      <c r="I127" s="158"/>
      <c r="J127" s="158"/>
      <c r="K127" s="158"/>
      <c r="L127" s="158"/>
      <c r="M127" s="158"/>
      <c r="N127" s="158"/>
      <c r="O127" s="158"/>
      <c r="P127" s="158"/>
      <c r="Q127" s="158"/>
      <c r="R127" s="158"/>
      <c r="S127" s="158"/>
      <c r="T127" s="158"/>
      <c r="U127" s="158"/>
      <c r="V127" s="158"/>
      <c r="W127" s="158"/>
      <c r="X127" s="158"/>
      <c r="Y127" s="158"/>
      <c r="Z127" s="158"/>
    </row>
    <row r="128">
      <c r="A128" s="160">
        <v>127.0</v>
      </c>
      <c r="B128" s="157" t="s">
        <v>1985</v>
      </c>
      <c r="C128" s="157" t="s">
        <v>1988</v>
      </c>
      <c r="D128" s="157"/>
      <c r="E128" s="157"/>
      <c r="F128" s="158"/>
      <c r="G128" s="158"/>
      <c r="H128" s="158"/>
      <c r="I128" s="158"/>
      <c r="J128" s="158"/>
      <c r="K128" s="158"/>
      <c r="L128" s="158"/>
      <c r="M128" s="158"/>
      <c r="N128" s="158"/>
      <c r="O128" s="158"/>
      <c r="P128" s="158"/>
      <c r="Q128" s="158"/>
      <c r="R128" s="158"/>
      <c r="S128" s="158"/>
      <c r="T128" s="158"/>
      <c r="U128" s="158"/>
      <c r="V128" s="158"/>
      <c r="W128" s="158"/>
      <c r="X128" s="158"/>
      <c r="Y128" s="158"/>
      <c r="Z128" s="158"/>
    </row>
    <row r="129">
      <c r="A129" s="160">
        <v>128.0</v>
      </c>
      <c r="B129" s="157" t="s">
        <v>1387</v>
      </c>
      <c r="C129" s="157" t="s">
        <v>1389</v>
      </c>
      <c r="D129" s="157"/>
      <c r="E129" s="157"/>
      <c r="F129" s="158"/>
      <c r="G129" s="158"/>
      <c r="H129" s="158"/>
      <c r="I129" s="158"/>
      <c r="J129" s="158"/>
      <c r="K129" s="158"/>
      <c r="L129" s="158"/>
      <c r="M129" s="158"/>
      <c r="N129" s="158"/>
      <c r="O129" s="158"/>
      <c r="P129" s="158"/>
      <c r="Q129" s="158"/>
      <c r="R129" s="158"/>
      <c r="S129" s="158"/>
      <c r="T129" s="158"/>
      <c r="U129" s="158"/>
      <c r="V129" s="158"/>
      <c r="W129" s="158"/>
      <c r="X129" s="158"/>
      <c r="Y129" s="158"/>
      <c r="Z129" s="158"/>
    </row>
    <row r="130">
      <c r="A130" s="160">
        <v>129.0</v>
      </c>
      <c r="B130" s="157" t="s">
        <v>1994</v>
      </c>
      <c r="C130" s="157" t="s">
        <v>1389</v>
      </c>
      <c r="D130" s="157"/>
      <c r="E130" s="157"/>
      <c r="F130" s="158"/>
      <c r="G130" s="158"/>
      <c r="H130" s="158"/>
      <c r="I130" s="158"/>
      <c r="J130" s="158"/>
      <c r="K130" s="158"/>
      <c r="L130" s="158"/>
      <c r="M130" s="158"/>
      <c r="N130" s="158"/>
      <c r="O130" s="158"/>
      <c r="P130" s="158"/>
      <c r="Q130" s="158"/>
      <c r="R130" s="158"/>
      <c r="S130" s="158"/>
      <c r="T130" s="158"/>
      <c r="U130" s="158"/>
      <c r="V130" s="158"/>
      <c r="W130" s="158"/>
      <c r="X130" s="158"/>
      <c r="Y130" s="158"/>
      <c r="Z130" s="158"/>
    </row>
    <row r="131">
      <c r="A131" s="160">
        <v>130.0</v>
      </c>
      <c r="B131" s="157" t="s">
        <v>1997</v>
      </c>
      <c r="C131" s="157" t="s">
        <v>1998</v>
      </c>
      <c r="D131" s="157"/>
      <c r="E131" s="157"/>
      <c r="F131" s="158"/>
      <c r="G131" s="158"/>
      <c r="H131" s="158"/>
      <c r="I131" s="158"/>
      <c r="J131" s="158"/>
      <c r="K131" s="158"/>
      <c r="L131" s="158"/>
      <c r="M131" s="158"/>
      <c r="N131" s="158"/>
      <c r="O131" s="158"/>
      <c r="P131" s="158"/>
      <c r="Q131" s="158"/>
      <c r="R131" s="158"/>
      <c r="S131" s="158"/>
      <c r="T131" s="158"/>
      <c r="U131" s="158"/>
      <c r="V131" s="158"/>
      <c r="W131" s="158"/>
      <c r="X131" s="158"/>
      <c r="Y131" s="158"/>
      <c r="Z131" s="158"/>
    </row>
    <row r="132">
      <c r="A132" s="160">
        <v>131.0</v>
      </c>
      <c r="B132" s="157" t="s">
        <v>2002</v>
      </c>
      <c r="C132" s="157" t="s">
        <v>1998</v>
      </c>
      <c r="D132" s="157"/>
      <c r="E132" s="157"/>
      <c r="F132" s="158"/>
      <c r="G132" s="158"/>
      <c r="H132" s="158"/>
      <c r="I132" s="158"/>
      <c r="J132" s="158"/>
      <c r="K132" s="158"/>
      <c r="L132" s="158"/>
      <c r="M132" s="158"/>
      <c r="N132" s="158"/>
      <c r="O132" s="158"/>
      <c r="P132" s="158"/>
      <c r="Q132" s="158"/>
      <c r="R132" s="158"/>
      <c r="S132" s="158"/>
      <c r="T132" s="158"/>
      <c r="U132" s="158"/>
      <c r="V132" s="158"/>
      <c r="W132" s="158"/>
      <c r="X132" s="158"/>
      <c r="Y132" s="158"/>
      <c r="Z132" s="158"/>
    </row>
    <row r="133">
      <c r="A133" s="160">
        <v>132.0</v>
      </c>
      <c r="B133" s="157" t="s">
        <v>2004</v>
      </c>
      <c r="C133" s="157" t="s">
        <v>1549</v>
      </c>
      <c r="D133" s="157"/>
      <c r="E133" s="157"/>
      <c r="F133" s="158"/>
      <c r="G133" s="158"/>
      <c r="H133" s="158"/>
      <c r="I133" s="158"/>
      <c r="J133" s="158"/>
      <c r="K133" s="158"/>
      <c r="L133" s="158"/>
      <c r="M133" s="158"/>
      <c r="N133" s="158"/>
      <c r="O133" s="158"/>
      <c r="P133" s="158"/>
      <c r="Q133" s="158"/>
      <c r="R133" s="158"/>
      <c r="S133" s="158"/>
      <c r="T133" s="158"/>
      <c r="U133" s="158"/>
      <c r="V133" s="158"/>
      <c r="W133" s="158"/>
      <c r="X133" s="158"/>
      <c r="Y133" s="158"/>
      <c r="Z133" s="158"/>
    </row>
    <row r="134">
      <c r="A134" s="160">
        <v>133.0</v>
      </c>
      <c r="B134" s="157" t="s">
        <v>2011</v>
      </c>
      <c r="C134" s="157" t="s">
        <v>2012</v>
      </c>
      <c r="D134" s="157"/>
      <c r="E134" s="157"/>
      <c r="F134" s="158"/>
      <c r="G134" s="158"/>
      <c r="H134" s="158"/>
      <c r="I134" s="158"/>
      <c r="J134" s="158"/>
      <c r="K134" s="158"/>
      <c r="L134" s="158"/>
      <c r="M134" s="158"/>
      <c r="N134" s="158"/>
      <c r="O134" s="158"/>
      <c r="P134" s="158"/>
      <c r="Q134" s="158"/>
      <c r="R134" s="158"/>
      <c r="S134" s="158"/>
      <c r="T134" s="158"/>
      <c r="U134" s="158"/>
      <c r="V134" s="158"/>
      <c r="W134" s="158"/>
      <c r="X134" s="158"/>
      <c r="Y134" s="158"/>
      <c r="Z134" s="158"/>
    </row>
    <row r="135">
      <c r="A135" s="160">
        <v>134.0</v>
      </c>
      <c r="B135" s="157" t="s">
        <v>2014</v>
      </c>
      <c r="C135" s="157" t="s">
        <v>1998</v>
      </c>
      <c r="D135" s="157"/>
      <c r="E135" s="157"/>
      <c r="F135" s="158"/>
      <c r="G135" s="158"/>
      <c r="H135" s="158"/>
      <c r="I135" s="158"/>
      <c r="J135" s="158"/>
      <c r="K135" s="158"/>
      <c r="L135" s="158"/>
      <c r="M135" s="158"/>
      <c r="N135" s="158"/>
      <c r="O135" s="158"/>
      <c r="P135" s="158"/>
      <c r="Q135" s="158"/>
      <c r="R135" s="158"/>
      <c r="S135" s="158"/>
      <c r="T135" s="158"/>
      <c r="U135" s="158"/>
      <c r="V135" s="158"/>
      <c r="W135" s="158"/>
      <c r="X135" s="158"/>
      <c r="Y135" s="158"/>
      <c r="Z135" s="158"/>
    </row>
    <row r="136">
      <c r="A136" s="160">
        <v>135.0</v>
      </c>
      <c r="B136" s="157" t="s">
        <v>2016</v>
      </c>
      <c r="C136" s="157" t="s">
        <v>2017</v>
      </c>
      <c r="D136" s="157"/>
      <c r="E136" s="157"/>
      <c r="F136" s="158"/>
      <c r="G136" s="158"/>
      <c r="H136" s="158"/>
      <c r="I136" s="158"/>
      <c r="J136" s="158"/>
      <c r="K136" s="158"/>
      <c r="L136" s="158"/>
      <c r="M136" s="158"/>
      <c r="N136" s="158"/>
      <c r="O136" s="158"/>
      <c r="P136" s="158"/>
      <c r="Q136" s="158"/>
      <c r="R136" s="158"/>
      <c r="S136" s="158"/>
      <c r="T136" s="158"/>
      <c r="U136" s="158"/>
      <c r="V136" s="158"/>
      <c r="W136" s="158"/>
      <c r="X136" s="158"/>
      <c r="Y136" s="158"/>
      <c r="Z136" s="158"/>
    </row>
    <row r="137">
      <c r="A137" s="160">
        <v>136.0</v>
      </c>
      <c r="B137" s="157" t="s">
        <v>2018</v>
      </c>
      <c r="C137" s="157" t="s">
        <v>2019</v>
      </c>
      <c r="D137" s="157"/>
      <c r="E137" s="157"/>
      <c r="F137" s="158"/>
      <c r="G137" s="158"/>
      <c r="H137" s="158"/>
      <c r="I137" s="158"/>
      <c r="J137" s="158"/>
      <c r="K137" s="158"/>
      <c r="L137" s="158"/>
      <c r="M137" s="158"/>
      <c r="N137" s="158"/>
      <c r="O137" s="158"/>
      <c r="P137" s="158"/>
      <c r="Q137" s="158"/>
      <c r="R137" s="158"/>
      <c r="S137" s="158"/>
      <c r="T137" s="158"/>
      <c r="U137" s="158"/>
      <c r="V137" s="158"/>
      <c r="W137" s="158"/>
      <c r="X137" s="158"/>
      <c r="Y137" s="158"/>
      <c r="Z137" s="158"/>
    </row>
    <row r="138">
      <c r="A138" s="160">
        <v>137.0</v>
      </c>
      <c r="B138" s="157" t="s">
        <v>2027</v>
      </c>
      <c r="C138" s="157" t="s">
        <v>2028</v>
      </c>
      <c r="D138" s="157"/>
      <c r="E138" s="157"/>
      <c r="F138" s="158"/>
      <c r="G138" s="158"/>
      <c r="H138" s="158"/>
      <c r="I138" s="158"/>
      <c r="J138" s="158"/>
      <c r="K138" s="158"/>
      <c r="L138" s="158"/>
      <c r="M138" s="158"/>
      <c r="N138" s="158"/>
      <c r="O138" s="158"/>
      <c r="P138" s="158"/>
      <c r="Q138" s="158"/>
      <c r="R138" s="158"/>
      <c r="S138" s="158"/>
      <c r="T138" s="158"/>
      <c r="U138" s="158"/>
      <c r="V138" s="158"/>
      <c r="W138" s="158"/>
      <c r="X138" s="158"/>
      <c r="Y138" s="158"/>
      <c r="Z138" s="158"/>
    </row>
    <row r="139">
      <c r="A139" s="160">
        <v>138.0</v>
      </c>
      <c r="B139" s="157" t="s">
        <v>2029</v>
      </c>
      <c r="C139" s="157" t="s">
        <v>2030</v>
      </c>
      <c r="D139" s="157"/>
      <c r="E139" s="157"/>
      <c r="F139" s="158"/>
      <c r="G139" s="158"/>
      <c r="H139" s="158"/>
      <c r="I139" s="158"/>
      <c r="J139" s="158"/>
      <c r="K139" s="158"/>
      <c r="L139" s="158"/>
      <c r="M139" s="158"/>
      <c r="N139" s="158"/>
      <c r="O139" s="158"/>
      <c r="P139" s="158"/>
      <c r="Q139" s="158"/>
      <c r="R139" s="158"/>
      <c r="S139" s="158"/>
      <c r="T139" s="158"/>
      <c r="U139" s="158"/>
      <c r="V139" s="158"/>
      <c r="W139" s="158"/>
      <c r="X139" s="158"/>
      <c r="Y139" s="158"/>
      <c r="Z139" s="158"/>
    </row>
    <row r="140">
      <c r="A140" s="160">
        <v>139.0</v>
      </c>
      <c r="B140" s="157" t="s">
        <v>1772</v>
      </c>
      <c r="C140" s="157" t="s">
        <v>1773</v>
      </c>
      <c r="D140" s="157"/>
      <c r="E140" s="157"/>
      <c r="F140" s="158"/>
      <c r="G140" s="158"/>
      <c r="H140" s="158"/>
      <c r="I140" s="158"/>
      <c r="J140" s="158"/>
      <c r="K140" s="158"/>
      <c r="L140" s="158"/>
      <c r="M140" s="158"/>
      <c r="N140" s="158"/>
      <c r="O140" s="158"/>
      <c r="P140" s="158"/>
      <c r="Q140" s="158"/>
      <c r="R140" s="158"/>
      <c r="S140" s="158"/>
      <c r="T140" s="158"/>
      <c r="U140" s="158"/>
      <c r="V140" s="158"/>
      <c r="W140" s="158"/>
      <c r="X140" s="158"/>
      <c r="Y140" s="158"/>
      <c r="Z140" s="158"/>
    </row>
    <row r="141">
      <c r="A141" s="160">
        <v>140.0</v>
      </c>
      <c r="B141" s="157" t="s">
        <v>2033</v>
      </c>
      <c r="C141" s="157" t="s">
        <v>2034</v>
      </c>
      <c r="D141" s="157"/>
      <c r="E141" s="157"/>
      <c r="F141" s="158"/>
      <c r="G141" s="158"/>
      <c r="H141" s="158"/>
      <c r="I141" s="158"/>
      <c r="J141" s="158"/>
      <c r="K141" s="158"/>
      <c r="L141" s="158"/>
      <c r="M141" s="158"/>
      <c r="N141" s="158"/>
      <c r="O141" s="158"/>
      <c r="P141" s="158"/>
      <c r="Q141" s="158"/>
      <c r="R141" s="158"/>
      <c r="S141" s="158"/>
      <c r="T141" s="158"/>
      <c r="U141" s="158"/>
      <c r="V141" s="158"/>
      <c r="W141" s="158"/>
      <c r="X141" s="158"/>
      <c r="Y141" s="158"/>
      <c r="Z141" s="158"/>
    </row>
    <row r="142">
      <c r="A142" s="160">
        <v>141.0</v>
      </c>
      <c r="B142" s="157" t="s">
        <v>2037</v>
      </c>
      <c r="C142" s="157" t="s">
        <v>2038</v>
      </c>
      <c r="D142" s="157"/>
      <c r="E142" s="157"/>
      <c r="F142" s="158"/>
      <c r="G142" s="158"/>
      <c r="H142" s="158"/>
      <c r="I142" s="158"/>
      <c r="J142" s="158"/>
      <c r="K142" s="158"/>
      <c r="L142" s="158"/>
      <c r="M142" s="158"/>
      <c r="N142" s="158"/>
      <c r="O142" s="158"/>
      <c r="P142" s="158"/>
      <c r="Q142" s="158"/>
      <c r="R142" s="158"/>
      <c r="S142" s="158"/>
      <c r="T142" s="158"/>
      <c r="U142" s="158"/>
      <c r="V142" s="158"/>
      <c r="W142" s="158"/>
      <c r="X142" s="158"/>
      <c r="Y142" s="158"/>
      <c r="Z142" s="158"/>
    </row>
    <row r="143">
      <c r="A143" s="160">
        <v>142.0</v>
      </c>
      <c r="B143" s="157" t="s">
        <v>2039</v>
      </c>
      <c r="C143" s="157" t="s">
        <v>2040</v>
      </c>
      <c r="D143" s="157"/>
      <c r="E143" s="157"/>
      <c r="F143" s="158"/>
      <c r="G143" s="158"/>
      <c r="H143" s="158"/>
      <c r="I143" s="158"/>
      <c r="J143" s="158"/>
      <c r="K143" s="158"/>
      <c r="L143" s="158"/>
      <c r="M143" s="158"/>
      <c r="N143" s="158"/>
      <c r="O143" s="158"/>
      <c r="P143" s="158"/>
      <c r="Q143" s="158"/>
      <c r="R143" s="158"/>
      <c r="S143" s="158"/>
      <c r="T143" s="158"/>
      <c r="U143" s="158"/>
      <c r="V143" s="158"/>
      <c r="W143" s="158"/>
      <c r="X143" s="158"/>
      <c r="Y143" s="158"/>
      <c r="Z143" s="158"/>
    </row>
    <row r="144">
      <c r="A144" s="160">
        <v>143.0</v>
      </c>
      <c r="B144" s="157" t="s">
        <v>2042</v>
      </c>
      <c r="C144" s="157" t="s">
        <v>2043</v>
      </c>
      <c r="D144" s="157"/>
      <c r="E144" s="157"/>
      <c r="F144" s="158"/>
      <c r="G144" s="158"/>
      <c r="H144" s="158"/>
      <c r="I144" s="158"/>
      <c r="J144" s="158"/>
      <c r="K144" s="158"/>
      <c r="L144" s="158"/>
      <c r="M144" s="158"/>
      <c r="N144" s="158"/>
      <c r="O144" s="158"/>
      <c r="P144" s="158"/>
      <c r="Q144" s="158"/>
      <c r="R144" s="158"/>
      <c r="S144" s="158"/>
      <c r="T144" s="158"/>
      <c r="U144" s="158"/>
      <c r="V144" s="158"/>
      <c r="W144" s="158"/>
      <c r="X144" s="158"/>
      <c r="Y144" s="158"/>
      <c r="Z144" s="158"/>
    </row>
    <row r="145">
      <c r="A145" s="160">
        <v>144.0</v>
      </c>
      <c r="B145" s="157" t="s">
        <v>1112</v>
      </c>
      <c r="C145" s="157" t="s">
        <v>2047</v>
      </c>
      <c r="D145" s="157"/>
      <c r="E145" s="157"/>
      <c r="F145" s="158"/>
      <c r="G145" s="158"/>
      <c r="H145" s="158"/>
      <c r="I145" s="158"/>
      <c r="J145" s="158"/>
      <c r="K145" s="158"/>
      <c r="L145" s="158"/>
      <c r="M145" s="158"/>
      <c r="N145" s="158"/>
      <c r="O145" s="158"/>
      <c r="P145" s="158"/>
      <c r="Q145" s="158"/>
      <c r="R145" s="158"/>
      <c r="S145" s="158"/>
      <c r="T145" s="158"/>
      <c r="U145" s="158"/>
      <c r="V145" s="158"/>
      <c r="W145" s="158"/>
      <c r="X145" s="158"/>
      <c r="Y145" s="158"/>
      <c r="Z145" s="158"/>
    </row>
    <row r="146">
      <c r="A146" s="160">
        <v>145.0</v>
      </c>
      <c r="B146" s="157" t="s">
        <v>937</v>
      </c>
      <c r="C146" s="157" t="s">
        <v>939</v>
      </c>
      <c r="D146" s="157"/>
      <c r="E146" s="157"/>
      <c r="F146" s="158"/>
      <c r="G146" s="158"/>
      <c r="H146" s="158"/>
      <c r="I146" s="158"/>
      <c r="J146" s="158"/>
      <c r="K146" s="158"/>
      <c r="L146" s="158"/>
      <c r="M146" s="158"/>
      <c r="N146" s="158"/>
      <c r="O146" s="158"/>
      <c r="P146" s="158"/>
      <c r="Q146" s="158"/>
      <c r="R146" s="158"/>
      <c r="S146" s="158"/>
      <c r="T146" s="158"/>
      <c r="U146" s="158"/>
      <c r="V146" s="158"/>
      <c r="W146" s="158"/>
      <c r="X146" s="158"/>
      <c r="Y146" s="158"/>
      <c r="Z146" s="158"/>
    </row>
    <row r="147">
      <c r="A147" s="160">
        <v>146.0</v>
      </c>
      <c r="B147" s="157" t="s">
        <v>2049</v>
      </c>
      <c r="C147" s="157" t="s">
        <v>2050</v>
      </c>
      <c r="D147" s="157"/>
      <c r="E147" s="157"/>
      <c r="F147" s="158"/>
      <c r="G147" s="158"/>
      <c r="H147" s="158"/>
      <c r="I147" s="158"/>
      <c r="J147" s="158"/>
      <c r="K147" s="158"/>
      <c r="L147" s="158"/>
      <c r="M147" s="158"/>
      <c r="N147" s="158"/>
      <c r="O147" s="158"/>
      <c r="P147" s="158"/>
      <c r="Q147" s="158"/>
      <c r="R147" s="158"/>
      <c r="S147" s="158"/>
      <c r="T147" s="158"/>
      <c r="U147" s="158"/>
      <c r="V147" s="158"/>
      <c r="W147" s="158"/>
      <c r="X147" s="158"/>
      <c r="Y147" s="158"/>
      <c r="Z147" s="158"/>
    </row>
    <row r="148">
      <c r="A148" s="160">
        <v>147.0</v>
      </c>
      <c r="B148" s="157" t="s">
        <v>2055</v>
      </c>
      <c r="C148" s="157" t="s">
        <v>2056</v>
      </c>
      <c r="D148" s="157"/>
      <c r="E148" s="157"/>
      <c r="F148" s="158"/>
      <c r="G148" s="158"/>
      <c r="H148" s="158"/>
      <c r="I148" s="158"/>
      <c r="J148" s="158"/>
      <c r="K148" s="158"/>
      <c r="L148" s="158"/>
      <c r="M148" s="158"/>
      <c r="N148" s="158"/>
      <c r="O148" s="158"/>
      <c r="P148" s="158"/>
      <c r="Q148" s="158"/>
      <c r="R148" s="158"/>
      <c r="S148" s="158"/>
      <c r="T148" s="158"/>
      <c r="U148" s="158"/>
      <c r="V148" s="158"/>
      <c r="W148" s="158"/>
      <c r="X148" s="158"/>
      <c r="Y148" s="158"/>
      <c r="Z148" s="158"/>
    </row>
    <row r="149">
      <c r="A149" s="160">
        <v>148.0</v>
      </c>
      <c r="B149" s="157" t="s">
        <v>2057</v>
      </c>
      <c r="C149" s="157" t="s">
        <v>2058</v>
      </c>
      <c r="D149" s="157"/>
      <c r="E149" s="157"/>
      <c r="F149" s="158"/>
      <c r="G149" s="158"/>
      <c r="H149" s="158"/>
      <c r="I149" s="158"/>
      <c r="J149" s="158"/>
      <c r="K149" s="158"/>
      <c r="L149" s="158"/>
      <c r="M149" s="158"/>
      <c r="N149" s="158"/>
      <c r="O149" s="158"/>
      <c r="P149" s="158"/>
      <c r="Q149" s="158"/>
      <c r="R149" s="158"/>
      <c r="S149" s="158"/>
      <c r="T149" s="158"/>
      <c r="U149" s="158"/>
      <c r="V149" s="158"/>
      <c r="W149" s="158"/>
      <c r="X149" s="158"/>
      <c r="Y149" s="158"/>
      <c r="Z149" s="158"/>
    </row>
    <row r="150">
      <c r="A150" s="160">
        <v>149.0</v>
      </c>
      <c r="B150" s="157" t="s">
        <v>2059</v>
      </c>
      <c r="C150" s="157" t="s">
        <v>2060</v>
      </c>
      <c r="D150" s="157"/>
      <c r="E150" s="157"/>
      <c r="F150" s="158"/>
      <c r="G150" s="158"/>
      <c r="H150" s="158"/>
      <c r="I150" s="158"/>
      <c r="J150" s="158"/>
      <c r="K150" s="158"/>
      <c r="L150" s="158"/>
      <c r="M150" s="158"/>
      <c r="N150" s="158"/>
      <c r="O150" s="158"/>
      <c r="P150" s="158"/>
      <c r="Q150" s="158"/>
      <c r="R150" s="158"/>
      <c r="S150" s="158"/>
      <c r="T150" s="158"/>
      <c r="U150" s="158"/>
      <c r="V150" s="158"/>
      <c r="W150" s="158"/>
      <c r="X150" s="158"/>
      <c r="Y150" s="158"/>
      <c r="Z150" s="158"/>
    </row>
    <row r="151">
      <c r="A151" s="160">
        <v>150.0</v>
      </c>
      <c r="B151" s="157" t="s">
        <v>2065</v>
      </c>
      <c r="C151" s="157" t="s">
        <v>2066</v>
      </c>
      <c r="D151" s="157"/>
      <c r="E151" s="157"/>
      <c r="F151" s="158"/>
      <c r="G151" s="158"/>
      <c r="H151" s="158"/>
      <c r="I151" s="158"/>
      <c r="J151" s="158"/>
      <c r="K151" s="158"/>
      <c r="L151" s="158"/>
      <c r="M151" s="158"/>
      <c r="N151" s="158"/>
      <c r="O151" s="158"/>
      <c r="P151" s="158"/>
      <c r="Q151" s="158"/>
      <c r="R151" s="158"/>
      <c r="S151" s="158"/>
      <c r="T151" s="158"/>
      <c r="U151" s="158"/>
      <c r="V151" s="158"/>
      <c r="W151" s="158"/>
      <c r="X151" s="158"/>
      <c r="Y151" s="158"/>
      <c r="Z151" s="158"/>
    </row>
    <row r="152">
      <c r="A152" s="160">
        <v>151.0</v>
      </c>
      <c r="B152" s="157" t="s">
        <v>1229</v>
      </c>
      <c r="C152" s="157" t="s">
        <v>1230</v>
      </c>
      <c r="D152" s="157"/>
      <c r="E152" s="157"/>
      <c r="F152" s="158"/>
      <c r="G152" s="158"/>
      <c r="H152" s="158"/>
      <c r="I152" s="158"/>
      <c r="J152" s="158"/>
      <c r="K152" s="158"/>
      <c r="L152" s="158"/>
      <c r="M152" s="158"/>
      <c r="N152" s="158"/>
      <c r="O152" s="158"/>
      <c r="P152" s="158"/>
      <c r="Q152" s="158"/>
      <c r="R152" s="158"/>
      <c r="S152" s="158"/>
      <c r="T152" s="158"/>
      <c r="U152" s="158"/>
      <c r="V152" s="158"/>
      <c r="W152" s="158"/>
      <c r="X152" s="158"/>
      <c r="Y152" s="158"/>
      <c r="Z152" s="158"/>
    </row>
    <row r="153">
      <c r="A153" s="160">
        <v>152.0</v>
      </c>
      <c r="B153" s="157" t="s">
        <v>2072</v>
      </c>
      <c r="C153" s="157" t="s">
        <v>2073</v>
      </c>
      <c r="D153" s="157"/>
      <c r="E153" s="157"/>
      <c r="F153" s="158"/>
      <c r="G153" s="158"/>
      <c r="H153" s="158"/>
      <c r="I153" s="158"/>
      <c r="J153" s="158"/>
      <c r="K153" s="158"/>
      <c r="L153" s="158"/>
      <c r="M153" s="158"/>
      <c r="N153" s="158"/>
      <c r="O153" s="158"/>
      <c r="P153" s="158"/>
      <c r="Q153" s="158"/>
      <c r="R153" s="158"/>
      <c r="S153" s="158"/>
      <c r="T153" s="158"/>
      <c r="U153" s="158"/>
      <c r="V153" s="158"/>
      <c r="W153" s="158"/>
      <c r="X153" s="158"/>
      <c r="Y153" s="158"/>
      <c r="Z153" s="158"/>
    </row>
    <row r="154">
      <c r="A154" s="160">
        <v>153.0</v>
      </c>
      <c r="B154" s="157" t="s">
        <v>527</v>
      </c>
      <c r="C154" s="157" t="s">
        <v>528</v>
      </c>
      <c r="D154" s="157"/>
      <c r="E154" s="157"/>
      <c r="F154" s="158"/>
      <c r="G154" s="158"/>
      <c r="H154" s="158"/>
      <c r="I154" s="158"/>
      <c r="J154" s="158"/>
      <c r="K154" s="158"/>
      <c r="L154" s="158"/>
      <c r="M154" s="158"/>
      <c r="N154" s="158"/>
      <c r="O154" s="158"/>
      <c r="P154" s="158"/>
      <c r="Q154" s="158"/>
      <c r="R154" s="158"/>
      <c r="S154" s="158"/>
      <c r="T154" s="158"/>
      <c r="U154" s="158"/>
      <c r="V154" s="158"/>
      <c r="W154" s="158"/>
      <c r="X154" s="158"/>
      <c r="Y154" s="158"/>
      <c r="Z154" s="158"/>
    </row>
    <row r="155">
      <c r="A155" s="160">
        <v>154.0</v>
      </c>
      <c r="B155" s="157" t="s">
        <v>2075</v>
      </c>
      <c r="C155" s="157" t="s">
        <v>2076</v>
      </c>
      <c r="D155" s="157"/>
      <c r="E155" s="157"/>
      <c r="F155" s="158"/>
      <c r="G155" s="158"/>
      <c r="H155" s="158"/>
      <c r="I155" s="158"/>
      <c r="J155" s="158"/>
      <c r="K155" s="158"/>
      <c r="L155" s="158"/>
      <c r="M155" s="158"/>
      <c r="N155" s="158"/>
      <c r="O155" s="158"/>
      <c r="P155" s="158"/>
      <c r="Q155" s="158"/>
      <c r="R155" s="158"/>
      <c r="S155" s="158"/>
      <c r="T155" s="158"/>
      <c r="U155" s="158"/>
      <c r="V155" s="158"/>
      <c r="W155" s="158"/>
      <c r="X155" s="158"/>
      <c r="Y155" s="158"/>
      <c r="Z155" s="158"/>
    </row>
    <row r="156">
      <c r="A156" s="160">
        <v>155.0</v>
      </c>
      <c r="B156" s="157" t="s">
        <v>264</v>
      </c>
      <c r="C156" s="157" t="s">
        <v>265</v>
      </c>
      <c r="D156" s="157"/>
      <c r="E156" s="157"/>
      <c r="F156" s="158"/>
      <c r="G156" s="158"/>
      <c r="H156" s="158"/>
      <c r="I156" s="158"/>
      <c r="J156" s="158"/>
      <c r="K156" s="158"/>
      <c r="L156" s="158"/>
      <c r="M156" s="158"/>
      <c r="N156" s="158"/>
      <c r="O156" s="158"/>
      <c r="P156" s="158"/>
      <c r="Q156" s="158"/>
      <c r="R156" s="158"/>
      <c r="S156" s="158"/>
      <c r="T156" s="158"/>
      <c r="U156" s="158"/>
      <c r="V156" s="158"/>
      <c r="W156" s="158"/>
      <c r="X156" s="158"/>
      <c r="Y156" s="158"/>
      <c r="Z156" s="158"/>
    </row>
    <row r="157">
      <c r="A157" s="160">
        <v>156.0</v>
      </c>
      <c r="B157" s="157" t="s">
        <v>2080</v>
      </c>
      <c r="C157" s="157" t="s">
        <v>1857</v>
      </c>
      <c r="D157" s="157"/>
      <c r="E157" s="157"/>
      <c r="F157" s="158"/>
      <c r="G157" s="158"/>
      <c r="H157" s="158"/>
      <c r="I157" s="158"/>
      <c r="J157" s="158"/>
      <c r="K157" s="158"/>
      <c r="L157" s="158"/>
      <c r="M157" s="158"/>
      <c r="N157" s="158"/>
      <c r="O157" s="158"/>
      <c r="P157" s="158"/>
      <c r="Q157" s="158"/>
      <c r="R157" s="158"/>
      <c r="S157" s="158"/>
      <c r="T157" s="158"/>
      <c r="U157" s="158"/>
      <c r="V157" s="158"/>
      <c r="W157" s="158"/>
      <c r="X157" s="158"/>
      <c r="Y157" s="158"/>
      <c r="Z157" s="158"/>
    </row>
    <row r="158">
      <c r="A158" s="160">
        <v>157.0</v>
      </c>
      <c r="B158" s="157" t="s">
        <v>2081</v>
      </c>
      <c r="C158" s="157" t="s">
        <v>1965</v>
      </c>
      <c r="D158" s="157"/>
      <c r="E158" s="157"/>
      <c r="F158" s="158"/>
      <c r="G158" s="158"/>
      <c r="H158" s="158"/>
      <c r="I158" s="158"/>
      <c r="J158" s="158"/>
      <c r="K158" s="158"/>
      <c r="L158" s="158"/>
      <c r="M158" s="158"/>
      <c r="N158" s="158"/>
      <c r="O158" s="158"/>
      <c r="P158" s="158"/>
      <c r="Q158" s="158"/>
      <c r="R158" s="158"/>
      <c r="S158" s="158"/>
      <c r="T158" s="158"/>
      <c r="U158" s="158"/>
      <c r="V158" s="158"/>
      <c r="W158" s="158"/>
      <c r="X158" s="158"/>
      <c r="Y158" s="158"/>
      <c r="Z158" s="158"/>
    </row>
    <row r="159">
      <c r="A159" s="160">
        <v>158.0</v>
      </c>
      <c r="B159" s="157" t="s">
        <v>2082</v>
      </c>
      <c r="C159" s="157" t="s">
        <v>2083</v>
      </c>
      <c r="D159" s="157"/>
      <c r="E159" s="157"/>
      <c r="F159" s="158"/>
      <c r="G159" s="158"/>
      <c r="H159" s="158"/>
      <c r="I159" s="158"/>
      <c r="J159" s="158"/>
      <c r="K159" s="158"/>
      <c r="L159" s="158"/>
      <c r="M159" s="158"/>
      <c r="N159" s="158"/>
      <c r="O159" s="158"/>
      <c r="P159" s="158"/>
      <c r="Q159" s="158"/>
      <c r="R159" s="158"/>
      <c r="S159" s="158"/>
      <c r="T159" s="158"/>
      <c r="U159" s="158"/>
      <c r="V159" s="158"/>
      <c r="W159" s="158"/>
      <c r="X159" s="158"/>
      <c r="Y159" s="158"/>
      <c r="Z159" s="158"/>
    </row>
    <row r="160">
      <c r="A160" s="160">
        <v>159.0</v>
      </c>
      <c r="B160" s="157" t="s">
        <v>2085</v>
      </c>
      <c r="C160" s="157" t="s">
        <v>2086</v>
      </c>
      <c r="D160" s="183" t="s">
        <v>2087</v>
      </c>
      <c r="E160" s="157"/>
      <c r="F160" s="158"/>
      <c r="G160" s="158"/>
      <c r="H160" s="158"/>
      <c r="I160" s="158"/>
      <c r="J160" s="158"/>
      <c r="K160" s="158"/>
      <c r="L160" s="158"/>
      <c r="M160" s="158"/>
      <c r="N160" s="158"/>
      <c r="O160" s="158"/>
      <c r="P160" s="158"/>
      <c r="Q160" s="158"/>
      <c r="R160" s="158"/>
      <c r="S160" s="158"/>
      <c r="T160" s="158"/>
      <c r="U160" s="158"/>
      <c r="V160" s="158"/>
      <c r="W160" s="158"/>
      <c r="X160" s="158"/>
      <c r="Y160" s="158"/>
      <c r="Z160" s="158"/>
    </row>
    <row r="161">
      <c r="A161" s="160">
        <v>160.0</v>
      </c>
      <c r="B161" s="157" t="s">
        <v>2094</v>
      </c>
      <c r="C161" s="157" t="s">
        <v>1658</v>
      </c>
      <c r="D161" s="157"/>
      <c r="E161" s="157"/>
      <c r="F161" s="158"/>
      <c r="G161" s="158"/>
      <c r="H161" s="158"/>
      <c r="I161" s="158"/>
      <c r="J161" s="158"/>
      <c r="K161" s="158"/>
      <c r="L161" s="158"/>
      <c r="M161" s="158"/>
      <c r="N161" s="158"/>
      <c r="O161" s="158"/>
      <c r="P161" s="158"/>
      <c r="Q161" s="158"/>
      <c r="R161" s="158"/>
      <c r="S161" s="158"/>
      <c r="T161" s="158"/>
      <c r="U161" s="158"/>
      <c r="V161" s="158"/>
      <c r="W161" s="158"/>
      <c r="X161" s="158"/>
      <c r="Y161" s="158"/>
      <c r="Z161" s="158"/>
    </row>
    <row r="162">
      <c r="A162" s="160">
        <v>161.0</v>
      </c>
      <c r="B162" s="157" t="s">
        <v>2099</v>
      </c>
      <c r="C162" s="157" t="s">
        <v>75</v>
      </c>
      <c r="D162" s="157"/>
      <c r="E162" s="157"/>
      <c r="F162" s="158"/>
      <c r="G162" s="158"/>
      <c r="H162" s="158"/>
      <c r="I162" s="158"/>
      <c r="J162" s="158"/>
      <c r="K162" s="158"/>
      <c r="L162" s="158"/>
      <c r="M162" s="158"/>
      <c r="N162" s="158"/>
      <c r="O162" s="158"/>
      <c r="P162" s="158"/>
      <c r="Q162" s="158"/>
      <c r="R162" s="158"/>
      <c r="S162" s="158"/>
      <c r="T162" s="158"/>
      <c r="U162" s="158"/>
      <c r="V162" s="158"/>
      <c r="W162" s="158"/>
      <c r="X162" s="158"/>
      <c r="Y162" s="158"/>
      <c r="Z162" s="158"/>
    </row>
    <row r="163">
      <c r="A163" s="160">
        <v>162.0</v>
      </c>
      <c r="B163" s="157" t="s">
        <v>73</v>
      </c>
      <c r="C163" s="157" t="s">
        <v>75</v>
      </c>
      <c r="D163" s="157"/>
      <c r="E163" s="157"/>
      <c r="F163" s="158"/>
      <c r="G163" s="158"/>
      <c r="H163" s="158"/>
      <c r="I163" s="158"/>
      <c r="J163" s="158"/>
      <c r="K163" s="158"/>
      <c r="L163" s="158"/>
      <c r="M163" s="158"/>
      <c r="N163" s="158"/>
      <c r="O163" s="158"/>
      <c r="P163" s="158"/>
      <c r="Q163" s="158"/>
      <c r="R163" s="158"/>
      <c r="S163" s="158"/>
      <c r="T163" s="158"/>
      <c r="U163" s="158"/>
      <c r="V163" s="158"/>
      <c r="W163" s="158"/>
      <c r="X163" s="158"/>
      <c r="Y163" s="158"/>
      <c r="Z163" s="158"/>
    </row>
    <row r="164">
      <c r="A164" s="160">
        <v>163.0</v>
      </c>
      <c r="B164" s="157" t="s">
        <v>1076</v>
      </c>
      <c r="C164" s="157" t="s">
        <v>1077</v>
      </c>
      <c r="D164" s="157"/>
      <c r="E164" s="157"/>
      <c r="F164" s="158"/>
      <c r="G164" s="158"/>
      <c r="H164" s="158"/>
      <c r="I164" s="158"/>
      <c r="J164" s="158"/>
      <c r="K164" s="158"/>
      <c r="L164" s="158"/>
      <c r="M164" s="158"/>
      <c r="N164" s="158"/>
      <c r="O164" s="158"/>
      <c r="P164" s="158"/>
      <c r="Q164" s="158"/>
      <c r="R164" s="158"/>
      <c r="S164" s="158"/>
      <c r="T164" s="158"/>
      <c r="U164" s="158"/>
      <c r="V164" s="158"/>
      <c r="W164" s="158"/>
      <c r="X164" s="158"/>
      <c r="Y164" s="158"/>
      <c r="Z164" s="158"/>
    </row>
    <row r="165">
      <c r="A165" s="160">
        <v>164.0</v>
      </c>
      <c r="B165" s="157" t="s">
        <v>101</v>
      </c>
      <c r="C165" s="157" t="s">
        <v>2110</v>
      </c>
      <c r="D165" s="157"/>
      <c r="E165" s="157"/>
      <c r="F165" s="158"/>
      <c r="G165" s="158"/>
      <c r="H165" s="158"/>
      <c r="I165" s="158"/>
      <c r="J165" s="158"/>
      <c r="K165" s="158"/>
      <c r="L165" s="158"/>
      <c r="M165" s="158"/>
      <c r="N165" s="158"/>
      <c r="O165" s="158"/>
      <c r="P165" s="158"/>
      <c r="Q165" s="158"/>
      <c r="R165" s="158"/>
      <c r="S165" s="158"/>
      <c r="T165" s="158"/>
      <c r="U165" s="158"/>
      <c r="V165" s="158"/>
      <c r="W165" s="158"/>
      <c r="X165" s="158"/>
      <c r="Y165" s="158"/>
      <c r="Z165" s="158"/>
    </row>
    <row r="166">
      <c r="A166" s="160">
        <v>165.0</v>
      </c>
      <c r="B166" s="157" t="s">
        <v>2111</v>
      </c>
      <c r="C166" s="157" t="s">
        <v>2112</v>
      </c>
      <c r="D166" s="157"/>
      <c r="E166" s="157"/>
      <c r="F166" s="158"/>
      <c r="G166" s="158"/>
      <c r="H166" s="158"/>
      <c r="I166" s="158"/>
      <c r="J166" s="158"/>
      <c r="K166" s="158"/>
      <c r="L166" s="158"/>
      <c r="M166" s="158"/>
      <c r="N166" s="158"/>
      <c r="O166" s="158"/>
      <c r="P166" s="158"/>
      <c r="Q166" s="158"/>
      <c r="R166" s="158"/>
      <c r="S166" s="158"/>
      <c r="T166" s="158"/>
      <c r="U166" s="158"/>
      <c r="V166" s="158"/>
      <c r="W166" s="158"/>
      <c r="X166" s="158"/>
      <c r="Y166" s="158"/>
      <c r="Z166" s="158"/>
    </row>
    <row r="167">
      <c r="A167" s="160">
        <v>166.0</v>
      </c>
      <c r="B167" s="157" t="s">
        <v>2115</v>
      </c>
      <c r="C167" s="157" t="s">
        <v>2112</v>
      </c>
      <c r="D167" s="157"/>
      <c r="E167" s="157"/>
      <c r="F167" s="158"/>
      <c r="G167" s="158"/>
      <c r="H167" s="158"/>
      <c r="I167" s="158"/>
      <c r="J167" s="158"/>
      <c r="K167" s="158"/>
      <c r="L167" s="158"/>
      <c r="M167" s="158"/>
      <c r="N167" s="158"/>
      <c r="O167" s="158"/>
      <c r="P167" s="158"/>
      <c r="Q167" s="158"/>
      <c r="R167" s="158"/>
      <c r="S167" s="158"/>
      <c r="T167" s="158"/>
      <c r="U167" s="158"/>
      <c r="V167" s="158"/>
      <c r="W167" s="158"/>
      <c r="X167" s="158"/>
      <c r="Y167" s="158"/>
      <c r="Z167" s="158"/>
    </row>
    <row r="168">
      <c r="A168" s="160">
        <v>167.0</v>
      </c>
      <c r="B168" s="157" t="s">
        <v>445</v>
      </c>
      <c r="C168" s="157" t="s">
        <v>446</v>
      </c>
      <c r="D168" s="157"/>
      <c r="E168" s="157"/>
      <c r="F168" s="158"/>
      <c r="G168" s="158"/>
      <c r="H168" s="158"/>
      <c r="I168" s="158"/>
      <c r="J168" s="158"/>
      <c r="K168" s="158"/>
      <c r="L168" s="158"/>
      <c r="M168" s="158"/>
      <c r="N168" s="158"/>
      <c r="O168" s="158"/>
      <c r="P168" s="158"/>
      <c r="Q168" s="158"/>
      <c r="R168" s="158"/>
      <c r="S168" s="158"/>
      <c r="T168" s="158"/>
      <c r="U168" s="158"/>
      <c r="V168" s="158"/>
      <c r="W168" s="158"/>
      <c r="X168" s="158"/>
      <c r="Y168" s="158"/>
      <c r="Z168" s="158"/>
    </row>
    <row r="169">
      <c r="A169" s="160">
        <v>168.0</v>
      </c>
      <c r="B169" s="157" t="s">
        <v>2118</v>
      </c>
      <c r="C169" s="157" t="s">
        <v>2119</v>
      </c>
      <c r="D169" s="157"/>
      <c r="E169" s="157"/>
      <c r="F169" s="158"/>
      <c r="G169" s="158"/>
      <c r="H169" s="158"/>
      <c r="I169" s="158"/>
      <c r="J169" s="158"/>
      <c r="K169" s="158"/>
      <c r="L169" s="158"/>
      <c r="M169" s="158"/>
      <c r="N169" s="158"/>
      <c r="O169" s="158"/>
      <c r="P169" s="158"/>
      <c r="Q169" s="158"/>
      <c r="R169" s="158"/>
      <c r="S169" s="158"/>
      <c r="T169" s="158"/>
      <c r="U169" s="158"/>
      <c r="V169" s="158"/>
      <c r="W169" s="158"/>
      <c r="X169" s="158"/>
      <c r="Y169" s="158"/>
      <c r="Z169" s="158"/>
    </row>
    <row r="170">
      <c r="A170" s="160">
        <v>169.0</v>
      </c>
      <c r="B170" s="157" t="s">
        <v>629</v>
      </c>
      <c r="C170" s="157" t="s">
        <v>632</v>
      </c>
      <c r="D170" s="157"/>
      <c r="E170" s="157"/>
      <c r="F170" s="158"/>
      <c r="G170" s="158"/>
      <c r="H170" s="158"/>
      <c r="I170" s="158"/>
      <c r="J170" s="158"/>
      <c r="K170" s="158"/>
      <c r="L170" s="158"/>
      <c r="M170" s="158"/>
      <c r="N170" s="158"/>
      <c r="O170" s="158"/>
      <c r="P170" s="158"/>
      <c r="Q170" s="158"/>
      <c r="R170" s="158"/>
      <c r="S170" s="158"/>
      <c r="T170" s="158"/>
      <c r="U170" s="158"/>
      <c r="V170" s="158"/>
      <c r="W170" s="158"/>
      <c r="X170" s="158"/>
      <c r="Y170" s="158"/>
      <c r="Z170" s="158"/>
    </row>
    <row r="171">
      <c r="A171" s="160">
        <v>170.0</v>
      </c>
      <c r="B171" s="157" t="s">
        <v>2121</v>
      </c>
      <c r="C171" s="157" t="s">
        <v>2122</v>
      </c>
      <c r="D171" s="157"/>
      <c r="E171" s="157"/>
      <c r="F171" s="158"/>
      <c r="G171" s="158"/>
      <c r="H171" s="158"/>
      <c r="I171" s="158"/>
      <c r="J171" s="158"/>
      <c r="K171" s="158"/>
      <c r="L171" s="158"/>
      <c r="M171" s="158"/>
      <c r="N171" s="158"/>
      <c r="O171" s="158"/>
      <c r="P171" s="158"/>
      <c r="Q171" s="158"/>
      <c r="R171" s="158"/>
      <c r="S171" s="158"/>
      <c r="T171" s="158"/>
      <c r="U171" s="158"/>
      <c r="V171" s="158"/>
      <c r="W171" s="158"/>
      <c r="X171" s="158"/>
      <c r="Y171" s="158"/>
      <c r="Z171" s="158"/>
    </row>
    <row r="172">
      <c r="A172" s="160">
        <v>171.0</v>
      </c>
      <c r="B172" s="157" t="s">
        <v>2125</v>
      </c>
      <c r="C172" s="157" t="s">
        <v>2126</v>
      </c>
      <c r="D172" s="157"/>
      <c r="E172" s="157"/>
      <c r="F172" s="158"/>
      <c r="G172" s="158"/>
      <c r="H172" s="158"/>
      <c r="I172" s="158"/>
      <c r="J172" s="158"/>
      <c r="K172" s="158"/>
      <c r="L172" s="158"/>
      <c r="M172" s="158"/>
      <c r="N172" s="158"/>
      <c r="O172" s="158"/>
      <c r="P172" s="158"/>
      <c r="Q172" s="158"/>
      <c r="R172" s="158"/>
      <c r="S172" s="158"/>
      <c r="T172" s="158"/>
      <c r="U172" s="158"/>
      <c r="V172" s="158"/>
      <c r="W172" s="158"/>
      <c r="X172" s="158"/>
      <c r="Y172" s="158"/>
      <c r="Z172" s="158"/>
    </row>
    <row r="173">
      <c r="A173" s="160">
        <v>172.0</v>
      </c>
      <c r="B173" s="157" t="s">
        <v>2129</v>
      </c>
      <c r="C173" s="157" t="s">
        <v>2131</v>
      </c>
      <c r="D173" s="157"/>
      <c r="E173" s="157"/>
      <c r="F173" s="158"/>
      <c r="G173" s="158"/>
      <c r="H173" s="158"/>
      <c r="I173" s="158"/>
      <c r="J173" s="158"/>
      <c r="K173" s="158"/>
      <c r="L173" s="158"/>
      <c r="M173" s="158"/>
      <c r="N173" s="158"/>
      <c r="O173" s="158"/>
      <c r="P173" s="158"/>
      <c r="Q173" s="158"/>
      <c r="R173" s="158"/>
      <c r="S173" s="158"/>
      <c r="T173" s="158"/>
      <c r="U173" s="158"/>
      <c r="V173" s="158"/>
      <c r="W173" s="158"/>
      <c r="X173" s="158"/>
      <c r="Y173" s="158"/>
      <c r="Z173" s="158"/>
    </row>
    <row r="174">
      <c r="A174" s="160">
        <v>173.0</v>
      </c>
      <c r="B174" s="157" t="s">
        <v>2133</v>
      </c>
      <c r="C174" s="157" t="s">
        <v>2134</v>
      </c>
      <c r="D174" s="157"/>
      <c r="E174" s="157"/>
      <c r="F174" s="158"/>
      <c r="G174" s="158"/>
      <c r="H174" s="158"/>
      <c r="I174" s="158"/>
      <c r="J174" s="158"/>
      <c r="K174" s="158"/>
      <c r="L174" s="158"/>
      <c r="M174" s="158"/>
      <c r="N174" s="158"/>
      <c r="O174" s="158"/>
      <c r="P174" s="158"/>
      <c r="Q174" s="158"/>
      <c r="R174" s="158"/>
      <c r="S174" s="158"/>
      <c r="T174" s="158"/>
      <c r="U174" s="158"/>
      <c r="V174" s="158"/>
      <c r="W174" s="158"/>
      <c r="X174" s="158"/>
      <c r="Y174" s="158"/>
      <c r="Z174" s="158"/>
    </row>
    <row r="175">
      <c r="A175" s="160">
        <v>174.0</v>
      </c>
      <c r="B175" s="157" t="s">
        <v>2135</v>
      </c>
      <c r="C175" s="157" t="s">
        <v>2136</v>
      </c>
      <c r="D175" s="157"/>
      <c r="E175" s="157"/>
      <c r="F175" s="158"/>
      <c r="G175" s="158"/>
      <c r="H175" s="158"/>
      <c r="I175" s="158"/>
      <c r="J175" s="158"/>
      <c r="K175" s="158"/>
      <c r="L175" s="158"/>
      <c r="M175" s="158"/>
      <c r="N175" s="158"/>
      <c r="O175" s="158"/>
      <c r="P175" s="158"/>
      <c r="Q175" s="158"/>
      <c r="R175" s="158"/>
      <c r="S175" s="158"/>
      <c r="T175" s="158"/>
      <c r="U175" s="158"/>
      <c r="V175" s="158"/>
      <c r="W175" s="158"/>
      <c r="X175" s="158"/>
      <c r="Y175" s="158"/>
      <c r="Z175" s="158"/>
    </row>
    <row r="176">
      <c r="A176" s="160">
        <v>175.0</v>
      </c>
      <c r="B176" s="157" t="s">
        <v>1143</v>
      </c>
      <c r="C176" s="157" t="s">
        <v>1144</v>
      </c>
      <c r="D176" s="157"/>
      <c r="E176" s="157"/>
      <c r="F176" s="158"/>
      <c r="G176" s="158"/>
      <c r="H176" s="158"/>
      <c r="I176" s="158"/>
      <c r="J176" s="158"/>
      <c r="K176" s="158"/>
      <c r="L176" s="158"/>
      <c r="M176" s="158"/>
      <c r="N176" s="158"/>
      <c r="O176" s="158"/>
      <c r="P176" s="158"/>
      <c r="Q176" s="158"/>
      <c r="R176" s="158"/>
      <c r="S176" s="158"/>
      <c r="T176" s="158"/>
      <c r="U176" s="158"/>
      <c r="V176" s="158"/>
      <c r="W176" s="158"/>
      <c r="X176" s="158"/>
      <c r="Y176" s="158"/>
      <c r="Z176" s="158"/>
    </row>
    <row r="177">
      <c r="A177" s="160">
        <v>176.0</v>
      </c>
      <c r="B177" s="157" t="s">
        <v>1630</v>
      </c>
      <c r="C177" s="157" t="s">
        <v>1631</v>
      </c>
      <c r="D177" s="157"/>
      <c r="E177" s="157"/>
      <c r="F177" s="158"/>
      <c r="G177" s="158"/>
      <c r="H177" s="158"/>
      <c r="I177" s="158"/>
      <c r="J177" s="158"/>
      <c r="K177" s="158"/>
      <c r="L177" s="158"/>
      <c r="M177" s="158"/>
      <c r="N177" s="158"/>
      <c r="O177" s="158"/>
      <c r="P177" s="158"/>
      <c r="Q177" s="158"/>
      <c r="R177" s="158"/>
      <c r="S177" s="158"/>
      <c r="T177" s="158"/>
      <c r="U177" s="158"/>
      <c r="V177" s="158"/>
      <c r="W177" s="158"/>
      <c r="X177" s="158"/>
      <c r="Y177" s="158"/>
      <c r="Z177" s="158"/>
    </row>
    <row r="178">
      <c r="A178" s="160">
        <v>177.0</v>
      </c>
      <c r="B178" s="157" t="s">
        <v>2144</v>
      </c>
      <c r="C178" s="157" t="s">
        <v>1658</v>
      </c>
      <c r="D178" s="157"/>
      <c r="E178" s="157"/>
      <c r="F178" s="158"/>
      <c r="G178" s="158"/>
      <c r="H178" s="158"/>
      <c r="I178" s="158"/>
      <c r="J178" s="158"/>
      <c r="K178" s="158"/>
      <c r="L178" s="158"/>
      <c r="M178" s="158"/>
      <c r="N178" s="158"/>
      <c r="O178" s="158"/>
      <c r="P178" s="158"/>
      <c r="Q178" s="158"/>
      <c r="R178" s="158"/>
      <c r="S178" s="158"/>
      <c r="T178" s="158"/>
      <c r="U178" s="158"/>
      <c r="V178" s="158"/>
      <c r="W178" s="158"/>
      <c r="X178" s="158"/>
      <c r="Y178" s="158"/>
      <c r="Z178" s="158"/>
    </row>
    <row r="179">
      <c r="A179" s="160">
        <v>178.0</v>
      </c>
      <c r="B179" s="157" t="s">
        <v>2146</v>
      </c>
      <c r="C179" s="157" t="s">
        <v>2147</v>
      </c>
      <c r="D179" s="157"/>
      <c r="E179" s="157"/>
      <c r="F179" s="158"/>
      <c r="G179" s="158"/>
      <c r="H179" s="158"/>
      <c r="I179" s="158"/>
      <c r="J179" s="158"/>
      <c r="K179" s="158"/>
      <c r="L179" s="158"/>
      <c r="M179" s="158"/>
      <c r="N179" s="158"/>
      <c r="O179" s="158"/>
      <c r="P179" s="158"/>
      <c r="Q179" s="158"/>
      <c r="R179" s="158"/>
      <c r="S179" s="158"/>
      <c r="T179" s="158"/>
      <c r="U179" s="158"/>
      <c r="V179" s="158"/>
      <c r="W179" s="158"/>
      <c r="X179" s="158"/>
      <c r="Y179" s="158"/>
      <c r="Z179" s="158"/>
    </row>
    <row r="180">
      <c r="A180" s="160">
        <v>179.0</v>
      </c>
      <c r="B180" s="157" t="s">
        <v>342</v>
      </c>
      <c r="C180" s="157" t="s">
        <v>343</v>
      </c>
      <c r="D180" s="157"/>
      <c r="E180" s="157"/>
      <c r="F180" s="158"/>
      <c r="G180" s="158"/>
      <c r="H180" s="158"/>
      <c r="I180" s="158"/>
      <c r="J180" s="158"/>
      <c r="K180" s="158"/>
      <c r="L180" s="158"/>
      <c r="M180" s="158"/>
      <c r="N180" s="158"/>
      <c r="O180" s="158"/>
      <c r="P180" s="158"/>
      <c r="Q180" s="158"/>
      <c r="R180" s="158"/>
      <c r="S180" s="158"/>
      <c r="T180" s="158"/>
      <c r="U180" s="158"/>
      <c r="V180" s="158"/>
      <c r="W180" s="158"/>
      <c r="X180" s="158"/>
      <c r="Y180" s="158"/>
      <c r="Z180" s="158"/>
    </row>
    <row r="181">
      <c r="A181" s="160">
        <v>180.0</v>
      </c>
      <c r="B181" s="157" t="s">
        <v>2156</v>
      </c>
      <c r="C181" s="157" t="s">
        <v>2157</v>
      </c>
      <c r="D181" s="157"/>
      <c r="E181" s="157"/>
      <c r="F181" s="158"/>
      <c r="G181" s="158"/>
      <c r="H181" s="158"/>
      <c r="I181" s="158"/>
      <c r="J181" s="158"/>
      <c r="K181" s="158"/>
      <c r="L181" s="158"/>
      <c r="M181" s="158"/>
      <c r="N181" s="158"/>
      <c r="O181" s="158"/>
      <c r="P181" s="158"/>
      <c r="Q181" s="158"/>
      <c r="R181" s="158"/>
      <c r="S181" s="158"/>
      <c r="T181" s="158"/>
      <c r="U181" s="158"/>
      <c r="V181" s="158"/>
      <c r="W181" s="158"/>
      <c r="X181" s="158"/>
      <c r="Y181" s="158"/>
      <c r="Z181" s="158"/>
    </row>
    <row r="182">
      <c r="A182" s="160">
        <v>181.0</v>
      </c>
      <c r="B182" s="157" t="s">
        <v>2158</v>
      </c>
      <c r="C182" s="157" t="s">
        <v>2157</v>
      </c>
      <c r="D182" s="157"/>
      <c r="E182" s="157"/>
      <c r="F182" s="158"/>
      <c r="G182" s="158"/>
      <c r="H182" s="158"/>
      <c r="I182" s="158"/>
      <c r="J182" s="158"/>
      <c r="K182" s="158"/>
      <c r="L182" s="158"/>
      <c r="M182" s="158"/>
      <c r="N182" s="158"/>
      <c r="O182" s="158"/>
      <c r="P182" s="158"/>
      <c r="Q182" s="158"/>
      <c r="R182" s="158"/>
      <c r="S182" s="158"/>
      <c r="T182" s="158"/>
      <c r="U182" s="158"/>
      <c r="V182" s="158"/>
      <c r="W182" s="158"/>
      <c r="X182" s="158"/>
      <c r="Y182" s="158"/>
      <c r="Z182" s="158"/>
    </row>
    <row r="183">
      <c r="A183" s="160">
        <v>182.0</v>
      </c>
      <c r="B183" s="157" t="s">
        <v>953</v>
      </c>
      <c r="C183" s="157" t="s">
        <v>954</v>
      </c>
      <c r="D183" s="157"/>
      <c r="E183" s="157"/>
      <c r="F183" s="158"/>
      <c r="G183" s="158"/>
      <c r="H183" s="158"/>
      <c r="I183" s="158"/>
      <c r="J183" s="158"/>
      <c r="K183" s="158"/>
      <c r="L183" s="158"/>
      <c r="M183" s="158"/>
      <c r="N183" s="158"/>
      <c r="O183" s="158"/>
      <c r="P183" s="158"/>
      <c r="Q183" s="158"/>
      <c r="R183" s="158"/>
      <c r="S183" s="158"/>
      <c r="T183" s="158"/>
      <c r="U183" s="158"/>
      <c r="V183" s="158"/>
      <c r="W183" s="158"/>
      <c r="X183" s="158"/>
      <c r="Y183" s="158"/>
      <c r="Z183" s="158"/>
    </row>
    <row r="184">
      <c r="A184" s="160">
        <v>183.0</v>
      </c>
      <c r="B184" s="157" t="s">
        <v>599</v>
      </c>
      <c r="C184" s="157" t="s">
        <v>602</v>
      </c>
      <c r="D184" s="157"/>
      <c r="E184" s="157"/>
      <c r="F184" s="158"/>
      <c r="G184" s="158"/>
      <c r="H184" s="158"/>
      <c r="I184" s="158"/>
      <c r="J184" s="158"/>
      <c r="K184" s="158"/>
      <c r="L184" s="158"/>
      <c r="M184" s="158"/>
      <c r="N184" s="158"/>
      <c r="O184" s="158"/>
      <c r="P184" s="158"/>
      <c r="Q184" s="158"/>
      <c r="R184" s="158"/>
      <c r="S184" s="158"/>
      <c r="T184" s="158"/>
      <c r="U184" s="158"/>
      <c r="V184" s="158"/>
      <c r="W184" s="158"/>
      <c r="X184" s="158"/>
      <c r="Y184" s="158"/>
      <c r="Z184" s="158"/>
    </row>
    <row r="185">
      <c r="A185" s="160">
        <v>184.0</v>
      </c>
      <c r="B185" s="157" t="s">
        <v>1007</v>
      </c>
      <c r="C185" s="157" t="s">
        <v>1008</v>
      </c>
      <c r="D185" s="157"/>
      <c r="E185" s="157"/>
      <c r="F185" s="158"/>
      <c r="G185" s="158"/>
      <c r="H185" s="158"/>
      <c r="I185" s="158"/>
      <c r="J185" s="158"/>
      <c r="K185" s="158"/>
      <c r="L185" s="158"/>
      <c r="M185" s="158"/>
      <c r="N185" s="158"/>
      <c r="O185" s="158"/>
      <c r="P185" s="158"/>
      <c r="Q185" s="158"/>
      <c r="R185" s="158"/>
      <c r="S185" s="158"/>
      <c r="T185" s="158"/>
      <c r="U185" s="158"/>
      <c r="V185" s="158"/>
      <c r="W185" s="158"/>
      <c r="X185" s="158"/>
      <c r="Y185" s="158"/>
      <c r="Z185" s="158"/>
    </row>
    <row r="186">
      <c r="A186" s="160">
        <v>185.0</v>
      </c>
      <c r="B186" s="157" t="s">
        <v>2164</v>
      </c>
      <c r="C186" s="157" t="s">
        <v>2165</v>
      </c>
      <c r="D186" s="157"/>
      <c r="E186" s="157"/>
      <c r="F186" s="158"/>
      <c r="G186" s="158"/>
      <c r="H186" s="158"/>
      <c r="I186" s="158"/>
      <c r="J186" s="158"/>
      <c r="K186" s="158"/>
      <c r="L186" s="158"/>
      <c r="M186" s="158"/>
      <c r="N186" s="158"/>
      <c r="O186" s="158"/>
      <c r="P186" s="158"/>
      <c r="Q186" s="158"/>
      <c r="R186" s="158"/>
      <c r="S186" s="158"/>
      <c r="T186" s="158"/>
      <c r="U186" s="158"/>
      <c r="V186" s="158"/>
      <c r="W186" s="158"/>
      <c r="X186" s="158"/>
      <c r="Y186" s="158"/>
      <c r="Z186" s="158"/>
    </row>
    <row r="187">
      <c r="A187" s="160">
        <v>186.0</v>
      </c>
      <c r="B187" s="157" t="s">
        <v>2168</v>
      </c>
      <c r="C187" s="157" t="s">
        <v>2169</v>
      </c>
      <c r="D187" s="157"/>
      <c r="E187" s="157"/>
      <c r="F187" s="158"/>
      <c r="G187" s="158"/>
      <c r="H187" s="158"/>
      <c r="I187" s="158"/>
      <c r="J187" s="158"/>
      <c r="K187" s="158"/>
      <c r="L187" s="158"/>
      <c r="M187" s="158"/>
      <c r="N187" s="158"/>
      <c r="O187" s="158"/>
      <c r="P187" s="158"/>
      <c r="Q187" s="158"/>
      <c r="R187" s="158"/>
      <c r="S187" s="158"/>
      <c r="T187" s="158"/>
      <c r="U187" s="158"/>
      <c r="V187" s="158"/>
      <c r="W187" s="158"/>
      <c r="X187" s="158"/>
      <c r="Y187" s="158"/>
      <c r="Z187" s="158"/>
    </row>
    <row r="188">
      <c r="A188" s="160">
        <v>187.0</v>
      </c>
      <c r="B188" s="157" t="s">
        <v>2173</v>
      </c>
      <c r="C188" s="157" t="s">
        <v>2174</v>
      </c>
      <c r="D188" s="157"/>
      <c r="E188" s="157"/>
      <c r="F188" s="158"/>
      <c r="G188" s="158"/>
      <c r="H188" s="158"/>
      <c r="I188" s="158"/>
      <c r="J188" s="158"/>
      <c r="K188" s="158"/>
      <c r="L188" s="158"/>
      <c r="M188" s="158"/>
      <c r="N188" s="158"/>
      <c r="O188" s="158"/>
      <c r="P188" s="158"/>
      <c r="Q188" s="158"/>
      <c r="R188" s="158"/>
      <c r="S188" s="158"/>
      <c r="T188" s="158"/>
      <c r="U188" s="158"/>
      <c r="V188" s="158"/>
      <c r="W188" s="158"/>
      <c r="X188" s="158"/>
      <c r="Y188" s="158"/>
      <c r="Z188" s="158"/>
    </row>
    <row r="189">
      <c r="A189" s="160">
        <v>188.0</v>
      </c>
      <c r="B189" s="157" t="s">
        <v>2175</v>
      </c>
      <c r="C189" s="157" t="s">
        <v>2176</v>
      </c>
      <c r="D189" s="157"/>
      <c r="E189" s="157"/>
      <c r="F189" s="158"/>
      <c r="G189" s="158"/>
      <c r="H189" s="158"/>
      <c r="I189" s="158"/>
      <c r="J189" s="158"/>
      <c r="K189" s="158"/>
      <c r="L189" s="158"/>
      <c r="M189" s="158"/>
      <c r="N189" s="158"/>
      <c r="O189" s="158"/>
      <c r="P189" s="158"/>
      <c r="Q189" s="158"/>
      <c r="R189" s="158"/>
      <c r="S189" s="158"/>
      <c r="T189" s="158"/>
      <c r="U189" s="158"/>
      <c r="V189" s="158"/>
      <c r="W189" s="158"/>
      <c r="X189" s="158"/>
      <c r="Y189" s="158"/>
      <c r="Z189" s="158"/>
    </row>
    <row r="190">
      <c r="A190" s="160">
        <v>189.0</v>
      </c>
      <c r="B190" s="157" t="s">
        <v>408</v>
      </c>
      <c r="C190" s="157" t="s">
        <v>409</v>
      </c>
      <c r="D190" s="157"/>
      <c r="E190" s="157"/>
      <c r="F190" s="158"/>
      <c r="G190" s="158"/>
      <c r="H190" s="158"/>
      <c r="I190" s="158"/>
      <c r="J190" s="158"/>
      <c r="K190" s="158"/>
      <c r="L190" s="158"/>
      <c r="M190" s="158"/>
      <c r="N190" s="158"/>
      <c r="O190" s="158"/>
      <c r="P190" s="158"/>
      <c r="Q190" s="158"/>
      <c r="R190" s="158"/>
      <c r="S190" s="158"/>
      <c r="T190" s="158"/>
      <c r="U190" s="158"/>
      <c r="V190" s="158"/>
      <c r="W190" s="158"/>
      <c r="X190" s="158"/>
      <c r="Y190" s="158"/>
      <c r="Z190" s="158"/>
    </row>
    <row r="191">
      <c r="A191" s="160">
        <v>190.0</v>
      </c>
      <c r="B191" s="157" t="s">
        <v>2183</v>
      </c>
      <c r="C191" s="157" t="s">
        <v>2184</v>
      </c>
      <c r="D191" s="157"/>
      <c r="E191" s="157"/>
      <c r="F191" s="158"/>
      <c r="G191" s="158"/>
      <c r="H191" s="158"/>
      <c r="I191" s="158"/>
      <c r="J191" s="158"/>
      <c r="K191" s="158"/>
      <c r="L191" s="158"/>
      <c r="M191" s="158"/>
      <c r="N191" s="158"/>
      <c r="O191" s="158"/>
      <c r="P191" s="158"/>
      <c r="Q191" s="158"/>
      <c r="R191" s="158"/>
      <c r="S191" s="158"/>
      <c r="T191" s="158"/>
      <c r="U191" s="158"/>
      <c r="V191" s="158"/>
      <c r="W191" s="158"/>
      <c r="X191" s="158"/>
      <c r="Y191" s="158"/>
      <c r="Z191" s="158"/>
    </row>
    <row r="192">
      <c r="A192" s="160">
        <v>191.0</v>
      </c>
      <c r="B192" s="157" t="s">
        <v>2185</v>
      </c>
      <c r="C192" s="157" t="s">
        <v>2186</v>
      </c>
      <c r="D192" s="157"/>
      <c r="E192" s="157"/>
      <c r="F192" s="158"/>
      <c r="G192" s="158"/>
      <c r="H192" s="158"/>
      <c r="I192" s="158"/>
      <c r="J192" s="158"/>
      <c r="K192" s="158"/>
      <c r="L192" s="158"/>
      <c r="M192" s="158"/>
      <c r="N192" s="158"/>
      <c r="O192" s="158"/>
      <c r="P192" s="158"/>
      <c r="Q192" s="158"/>
      <c r="R192" s="158"/>
      <c r="S192" s="158"/>
      <c r="T192" s="158"/>
      <c r="U192" s="158"/>
      <c r="V192" s="158"/>
      <c r="W192" s="158"/>
      <c r="X192" s="158"/>
      <c r="Y192" s="158"/>
      <c r="Z192" s="158"/>
    </row>
    <row r="193">
      <c r="A193" s="160">
        <v>192.0</v>
      </c>
      <c r="B193" s="157" t="s">
        <v>2188</v>
      </c>
      <c r="C193" s="157" t="s">
        <v>2189</v>
      </c>
      <c r="D193" s="157"/>
      <c r="E193" s="157"/>
      <c r="F193" s="158"/>
      <c r="G193" s="158"/>
      <c r="H193" s="158"/>
      <c r="I193" s="158"/>
      <c r="J193" s="158"/>
      <c r="K193" s="158"/>
      <c r="L193" s="158"/>
      <c r="M193" s="158"/>
      <c r="N193" s="158"/>
      <c r="O193" s="158"/>
      <c r="P193" s="158"/>
      <c r="Q193" s="158"/>
      <c r="R193" s="158"/>
      <c r="S193" s="158"/>
      <c r="T193" s="158"/>
      <c r="U193" s="158"/>
      <c r="V193" s="158"/>
      <c r="W193" s="158"/>
      <c r="X193" s="158"/>
      <c r="Y193" s="158"/>
      <c r="Z193" s="158"/>
    </row>
    <row r="194">
      <c r="A194" s="160">
        <v>193.0</v>
      </c>
      <c r="B194" s="157" t="s">
        <v>1139</v>
      </c>
      <c r="C194" s="157" t="s">
        <v>1140</v>
      </c>
      <c r="D194" s="157"/>
      <c r="E194" s="157"/>
      <c r="F194" s="158"/>
      <c r="G194" s="158"/>
      <c r="H194" s="158"/>
      <c r="I194" s="158"/>
      <c r="J194" s="158"/>
      <c r="K194" s="158"/>
      <c r="L194" s="158"/>
      <c r="M194" s="158"/>
      <c r="N194" s="158"/>
      <c r="O194" s="158"/>
      <c r="P194" s="158"/>
      <c r="Q194" s="158"/>
      <c r="R194" s="158"/>
      <c r="S194" s="158"/>
      <c r="T194" s="158"/>
      <c r="U194" s="158"/>
      <c r="V194" s="158"/>
      <c r="W194" s="158"/>
      <c r="X194" s="158"/>
      <c r="Y194" s="158"/>
      <c r="Z194" s="158"/>
    </row>
    <row r="195">
      <c r="A195" s="160">
        <v>194.0</v>
      </c>
      <c r="B195" s="157" t="s">
        <v>2191</v>
      </c>
      <c r="C195" s="157" t="s">
        <v>2192</v>
      </c>
      <c r="D195" s="183" t="s">
        <v>2087</v>
      </c>
      <c r="E195" s="157"/>
      <c r="F195" s="158"/>
      <c r="G195" s="158"/>
      <c r="H195" s="158"/>
      <c r="I195" s="158"/>
      <c r="J195" s="158"/>
      <c r="K195" s="158"/>
      <c r="L195" s="158"/>
      <c r="M195" s="158"/>
      <c r="N195" s="158"/>
      <c r="O195" s="158"/>
      <c r="P195" s="158"/>
      <c r="Q195" s="158"/>
      <c r="R195" s="158"/>
      <c r="S195" s="158"/>
      <c r="T195" s="158"/>
      <c r="U195" s="158"/>
      <c r="V195" s="158"/>
      <c r="W195" s="158"/>
      <c r="X195" s="158"/>
      <c r="Y195" s="158"/>
      <c r="Z195" s="158"/>
    </row>
    <row r="196">
      <c r="A196" s="160">
        <v>195.0</v>
      </c>
      <c r="B196" s="157" t="s">
        <v>286</v>
      </c>
      <c r="C196" s="157" t="s">
        <v>287</v>
      </c>
      <c r="D196" s="157"/>
      <c r="E196" s="157"/>
      <c r="F196" s="158"/>
      <c r="G196" s="158"/>
      <c r="H196" s="158"/>
      <c r="I196" s="158"/>
      <c r="J196" s="158"/>
      <c r="K196" s="158"/>
      <c r="L196" s="158"/>
      <c r="M196" s="158"/>
      <c r="N196" s="158"/>
      <c r="O196" s="158"/>
      <c r="P196" s="158"/>
      <c r="Q196" s="158"/>
      <c r="R196" s="158"/>
      <c r="S196" s="158"/>
      <c r="T196" s="158"/>
      <c r="U196" s="158"/>
      <c r="V196" s="158"/>
      <c r="W196" s="158"/>
      <c r="X196" s="158"/>
      <c r="Y196" s="158"/>
      <c r="Z196" s="158"/>
    </row>
    <row r="197">
      <c r="A197" s="160">
        <v>196.0</v>
      </c>
      <c r="B197" s="157" t="s">
        <v>2193</v>
      </c>
      <c r="C197" s="157" t="s">
        <v>2083</v>
      </c>
      <c r="D197" s="157"/>
      <c r="E197" s="157"/>
      <c r="F197" s="158"/>
      <c r="G197" s="158"/>
      <c r="H197" s="158"/>
      <c r="I197" s="158"/>
      <c r="J197" s="158"/>
      <c r="K197" s="158"/>
      <c r="L197" s="158"/>
      <c r="M197" s="158"/>
      <c r="N197" s="158"/>
      <c r="O197" s="158"/>
      <c r="P197" s="158"/>
      <c r="Q197" s="158"/>
      <c r="R197" s="158"/>
      <c r="S197" s="158"/>
      <c r="T197" s="158"/>
      <c r="U197" s="158"/>
      <c r="V197" s="158"/>
      <c r="W197" s="158"/>
      <c r="X197" s="158"/>
      <c r="Y197" s="158"/>
      <c r="Z197" s="158"/>
    </row>
    <row r="198">
      <c r="A198" s="160">
        <v>197.0</v>
      </c>
      <c r="B198" s="157" t="s">
        <v>2195</v>
      </c>
      <c r="C198" s="157" t="s">
        <v>2083</v>
      </c>
      <c r="D198" s="157"/>
      <c r="E198" s="157"/>
      <c r="F198" s="158"/>
      <c r="G198" s="158"/>
      <c r="H198" s="158"/>
      <c r="I198" s="158"/>
      <c r="J198" s="158"/>
      <c r="K198" s="158"/>
      <c r="L198" s="158"/>
      <c r="M198" s="158"/>
      <c r="N198" s="158"/>
      <c r="O198" s="158"/>
      <c r="P198" s="158"/>
      <c r="Q198" s="158"/>
      <c r="R198" s="158"/>
      <c r="S198" s="158"/>
      <c r="T198" s="158"/>
      <c r="U198" s="158"/>
      <c r="V198" s="158"/>
      <c r="W198" s="158"/>
      <c r="X198" s="158"/>
      <c r="Y198" s="158"/>
      <c r="Z198" s="158"/>
    </row>
    <row r="199">
      <c r="A199" s="160">
        <v>198.0</v>
      </c>
      <c r="B199" s="157" t="s">
        <v>2202</v>
      </c>
      <c r="C199" s="157" t="s">
        <v>2083</v>
      </c>
      <c r="D199" s="157"/>
      <c r="E199" s="157"/>
      <c r="F199" s="158"/>
      <c r="G199" s="158"/>
      <c r="H199" s="158"/>
      <c r="I199" s="158"/>
      <c r="J199" s="158"/>
      <c r="K199" s="158"/>
      <c r="L199" s="158"/>
      <c r="M199" s="158"/>
      <c r="N199" s="158"/>
      <c r="O199" s="158"/>
      <c r="P199" s="158"/>
      <c r="Q199" s="158"/>
      <c r="R199" s="158"/>
      <c r="S199" s="158"/>
      <c r="T199" s="158"/>
      <c r="U199" s="158"/>
      <c r="V199" s="158"/>
      <c r="W199" s="158"/>
      <c r="X199" s="158"/>
      <c r="Y199" s="158"/>
      <c r="Z199" s="158"/>
    </row>
    <row r="200">
      <c r="A200" s="160">
        <v>199.0</v>
      </c>
      <c r="B200" s="157" t="s">
        <v>2203</v>
      </c>
      <c r="C200" s="157" t="s">
        <v>2083</v>
      </c>
      <c r="D200" s="157"/>
      <c r="E200" s="157"/>
      <c r="F200" s="158"/>
      <c r="G200" s="158"/>
      <c r="H200" s="158"/>
      <c r="I200" s="158"/>
      <c r="J200" s="158"/>
      <c r="K200" s="158"/>
      <c r="L200" s="158"/>
      <c r="M200" s="158"/>
      <c r="N200" s="158"/>
      <c r="O200" s="158"/>
      <c r="P200" s="158"/>
      <c r="Q200" s="158"/>
      <c r="R200" s="158"/>
      <c r="S200" s="158"/>
      <c r="T200" s="158"/>
      <c r="U200" s="158"/>
      <c r="V200" s="158"/>
      <c r="W200" s="158"/>
      <c r="X200" s="158"/>
      <c r="Y200" s="158"/>
      <c r="Z200" s="158"/>
    </row>
    <row r="201">
      <c r="A201" s="160">
        <v>200.0</v>
      </c>
      <c r="B201" s="157" t="s">
        <v>2204</v>
      </c>
      <c r="C201" s="157" t="s">
        <v>2083</v>
      </c>
      <c r="D201" s="157"/>
      <c r="E201" s="157"/>
      <c r="F201" s="158"/>
      <c r="G201" s="158"/>
      <c r="H201" s="158"/>
      <c r="I201" s="158"/>
      <c r="J201" s="158"/>
      <c r="K201" s="158"/>
      <c r="L201" s="158"/>
      <c r="M201" s="158"/>
      <c r="N201" s="158"/>
      <c r="O201" s="158"/>
      <c r="P201" s="158"/>
      <c r="Q201" s="158"/>
      <c r="R201" s="158"/>
      <c r="S201" s="158"/>
      <c r="T201" s="158"/>
      <c r="U201" s="158"/>
      <c r="V201" s="158"/>
      <c r="W201" s="158"/>
      <c r="X201" s="158"/>
      <c r="Y201" s="158"/>
      <c r="Z201" s="158"/>
    </row>
    <row r="202">
      <c r="A202" s="160">
        <v>201.0</v>
      </c>
      <c r="B202" s="157" t="s">
        <v>2206</v>
      </c>
      <c r="C202" s="157" t="s">
        <v>1857</v>
      </c>
      <c r="D202" s="157"/>
      <c r="E202" s="157"/>
      <c r="F202" s="158"/>
      <c r="G202" s="158"/>
      <c r="H202" s="158"/>
      <c r="I202" s="158"/>
      <c r="J202" s="158"/>
      <c r="K202" s="158"/>
      <c r="L202" s="158"/>
      <c r="M202" s="158"/>
      <c r="N202" s="158"/>
      <c r="O202" s="158"/>
      <c r="P202" s="158"/>
      <c r="Q202" s="158"/>
      <c r="R202" s="158"/>
      <c r="S202" s="158"/>
      <c r="T202" s="158"/>
      <c r="U202" s="158"/>
      <c r="V202" s="158"/>
      <c r="W202" s="158"/>
      <c r="X202" s="158"/>
      <c r="Y202" s="158"/>
      <c r="Z202" s="158"/>
    </row>
    <row r="203">
      <c r="A203" s="160">
        <v>202.0</v>
      </c>
      <c r="B203" s="157" t="s">
        <v>2208</v>
      </c>
      <c r="C203" s="157" t="s">
        <v>2209</v>
      </c>
      <c r="D203" s="157"/>
      <c r="E203" s="157"/>
      <c r="F203" s="158"/>
      <c r="G203" s="158"/>
      <c r="H203" s="158"/>
      <c r="I203" s="158"/>
      <c r="J203" s="158"/>
      <c r="K203" s="158"/>
      <c r="L203" s="158"/>
      <c r="M203" s="158"/>
      <c r="N203" s="158"/>
      <c r="O203" s="158"/>
      <c r="P203" s="158"/>
      <c r="Q203" s="158"/>
      <c r="R203" s="158"/>
      <c r="S203" s="158"/>
      <c r="T203" s="158"/>
      <c r="U203" s="158"/>
      <c r="V203" s="158"/>
      <c r="W203" s="158"/>
      <c r="X203" s="158"/>
      <c r="Y203" s="158"/>
      <c r="Z203" s="158"/>
    </row>
    <row r="204">
      <c r="A204" s="160">
        <v>203.0</v>
      </c>
      <c r="B204" s="157" t="s">
        <v>2211</v>
      </c>
      <c r="C204" s="157" t="s">
        <v>2212</v>
      </c>
      <c r="D204" s="157"/>
      <c r="E204" s="157"/>
      <c r="F204" s="158"/>
      <c r="G204" s="158"/>
      <c r="H204" s="158"/>
      <c r="I204" s="158"/>
      <c r="J204" s="158"/>
      <c r="K204" s="158"/>
      <c r="L204" s="158"/>
      <c r="M204" s="158"/>
      <c r="N204" s="158"/>
      <c r="O204" s="158"/>
      <c r="P204" s="158"/>
      <c r="Q204" s="158"/>
      <c r="R204" s="158"/>
      <c r="S204" s="158"/>
      <c r="T204" s="158"/>
      <c r="U204" s="158"/>
      <c r="V204" s="158"/>
      <c r="W204" s="158"/>
      <c r="X204" s="158"/>
      <c r="Y204" s="158"/>
      <c r="Z204" s="158"/>
    </row>
    <row r="205">
      <c r="A205" s="160">
        <v>204.0</v>
      </c>
      <c r="B205" s="157" t="s">
        <v>2218</v>
      </c>
      <c r="C205" s="157" t="s">
        <v>1857</v>
      </c>
      <c r="D205" s="157"/>
      <c r="E205" s="157"/>
      <c r="F205" s="158"/>
      <c r="G205" s="158"/>
      <c r="H205" s="158"/>
      <c r="I205" s="158"/>
      <c r="J205" s="158"/>
      <c r="K205" s="158"/>
      <c r="L205" s="158"/>
      <c r="M205" s="158"/>
      <c r="N205" s="158"/>
      <c r="O205" s="158"/>
      <c r="P205" s="158"/>
      <c r="Q205" s="158"/>
      <c r="R205" s="158"/>
      <c r="S205" s="158"/>
      <c r="T205" s="158"/>
      <c r="U205" s="158"/>
      <c r="V205" s="158"/>
      <c r="W205" s="158"/>
      <c r="X205" s="158"/>
      <c r="Y205" s="158"/>
      <c r="Z205" s="158"/>
    </row>
    <row r="206">
      <c r="A206" s="160">
        <v>205.0</v>
      </c>
      <c r="B206" s="157" t="s">
        <v>2219</v>
      </c>
      <c r="C206" s="157" t="s">
        <v>2086</v>
      </c>
      <c r="D206" s="157"/>
      <c r="E206" s="157"/>
      <c r="F206" s="158"/>
      <c r="G206" s="158"/>
      <c r="H206" s="158"/>
      <c r="I206" s="158"/>
      <c r="J206" s="158"/>
      <c r="K206" s="158"/>
      <c r="L206" s="158"/>
      <c r="M206" s="158"/>
      <c r="N206" s="158"/>
      <c r="O206" s="158"/>
      <c r="P206" s="158"/>
      <c r="Q206" s="158"/>
      <c r="R206" s="158"/>
      <c r="S206" s="158"/>
      <c r="T206" s="158"/>
      <c r="U206" s="158"/>
      <c r="V206" s="158"/>
      <c r="W206" s="158"/>
      <c r="X206" s="158"/>
      <c r="Y206" s="158"/>
      <c r="Z206" s="158"/>
    </row>
    <row r="207">
      <c r="A207" s="160">
        <v>206.0</v>
      </c>
      <c r="B207" s="157" t="s">
        <v>2221</v>
      </c>
      <c r="C207" s="157" t="s">
        <v>2222</v>
      </c>
      <c r="D207" s="157"/>
      <c r="E207" s="157"/>
      <c r="F207" s="158"/>
      <c r="G207" s="158"/>
      <c r="H207" s="158"/>
      <c r="I207" s="158"/>
      <c r="J207" s="158"/>
      <c r="K207" s="158"/>
      <c r="L207" s="158"/>
      <c r="M207" s="158"/>
      <c r="N207" s="158"/>
      <c r="O207" s="158"/>
      <c r="P207" s="158"/>
      <c r="Q207" s="158"/>
      <c r="R207" s="158"/>
      <c r="S207" s="158"/>
      <c r="T207" s="158"/>
      <c r="U207" s="158"/>
      <c r="V207" s="158"/>
      <c r="W207" s="158"/>
      <c r="X207" s="158"/>
      <c r="Y207" s="158"/>
      <c r="Z207" s="158"/>
    </row>
    <row r="208">
      <c r="A208" s="160">
        <v>207.0</v>
      </c>
      <c r="B208" s="157" t="s">
        <v>557</v>
      </c>
      <c r="C208" s="157" t="s">
        <v>559</v>
      </c>
      <c r="D208" s="157"/>
      <c r="E208" s="157"/>
      <c r="F208" s="158"/>
      <c r="G208" s="158"/>
      <c r="H208" s="158"/>
      <c r="I208" s="158"/>
      <c r="J208" s="158"/>
      <c r="K208" s="158"/>
      <c r="L208" s="158"/>
      <c r="M208" s="158"/>
      <c r="N208" s="158"/>
      <c r="O208" s="158"/>
      <c r="P208" s="158"/>
      <c r="Q208" s="158"/>
      <c r="R208" s="158"/>
      <c r="S208" s="158"/>
      <c r="T208" s="158"/>
      <c r="U208" s="158"/>
      <c r="V208" s="158"/>
      <c r="W208" s="158"/>
      <c r="X208" s="158"/>
      <c r="Y208" s="158"/>
      <c r="Z208" s="158"/>
    </row>
    <row r="209">
      <c r="A209" s="160">
        <v>208.0</v>
      </c>
      <c r="B209" s="157" t="s">
        <v>1336</v>
      </c>
      <c r="C209" s="157" t="s">
        <v>1338</v>
      </c>
      <c r="D209" s="157"/>
      <c r="E209" s="157"/>
      <c r="F209" s="158"/>
      <c r="G209" s="158"/>
      <c r="H209" s="158"/>
      <c r="I209" s="158"/>
      <c r="J209" s="158"/>
      <c r="K209" s="158"/>
      <c r="L209" s="158"/>
      <c r="M209" s="158"/>
      <c r="N209" s="158"/>
      <c r="O209" s="158"/>
      <c r="P209" s="158"/>
      <c r="Q209" s="158"/>
      <c r="R209" s="158"/>
      <c r="S209" s="158"/>
      <c r="T209" s="158"/>
      <c r="U209" s="158"/>
      <c r="V209" s="158"/>
      <c r="W209" s="158"/>
      <c r="X209" s="158"/>
      <c r="Y209" s="158"/>
      <c r="Z209" s="158"/>
    </row>
    <row r="210">
      <c r="A210" s="160">
        <v>209.0</v>
      </c>
      <c r="B210" s="157" t="s">
        <v>2228</v>
      </c>
      <c r="C210" s="157" t="s">
        <v>2229</v>
      </c>
      <c r="D210" s="183" t="s">
        <v>2230</v>
      </c>
      <c r="E210" s="157"/>
      <c r="F210" s="158"/>
      <c r="G210" s="158"/>
      <c r="H210" s="158"/>
      <c r="I210" s="158"/>
      <c r="J210" s="158"/>
      <c r="K210" s="158"/>
      <c r="L210" s="158"/>
      <c r="M210" s="158"/>
      <c r="N210" s="158"/>
      <c r="O210" s="158"/>
      <c r="P210" s="158"/>
      <c r="Q210" s="158"/>
      <c r="R210" s="158"/>
      <c r="S210" s="158"/>
      <c r="T210" s="158"/>
      <c r="U210" s="158"/>
      <c r="V210" s="158"/>
      <c r="W210" s="158"/>
      <c r="X210" s="158"/>
      <c r="Y210" s="158"/>
      <c r="Z210" s="158"/>
    </row>
    <row r="211">
      <c r="A211" s="160">
        <v>210.0</v>
      </c>
      <c r="B211" s="157" t="s">
        <v>1194</v>
      </c>
      <c r="C211" s="157" t="s">
        <v>1195</v>
      </c>
      <c r="D211" s="157"/>
      <c r="E211" s="157"/>
      <c r="F211" s="158"/>
      <c r="G211" s="158"/>
      <c r="H211" s="158"/>
      <c r="I211" s="158"/>
      <c r="J211" s="158"/>
      <c r="K211" s="158"/>
      <c r="L211" s="158"/>
      <c r="M211" s="158"/>
      <c r="N211" s="158"/>
      <c r="O211" s="158"/>
      <c r="P211" s="158"/>
      <c r="Q211" s="158"/>
      <c r="R211" s="158"/>
      <c r="S211" s="158"/>
      <c r="T211" s="158"/>
      <c r="U211" s="158"/>
      <c r="V211" s="158"/>
      <c r="W211" s="158"/>
      <c r="X211" s="158"/>
      <c r="Y211" s="158"/>
      <c r="Z211" s="158"/>
    </row>
    <row r="212">
      <c r="A212" s="160">
        <v>211.0</v>
      </c>
      <c r="B212" s="157" t="s">
        <v>2245</v>
      </c>
      <c r="C212" s="157" t="s">
        <v>2246</v>
      </c>
      <c r="D212" s="157"/>
      <c r="E212" s="157"/>
      <c r="F212" s="158"/>
      <c r="G212" s="158"/>
      <c r="H212" s="158"/>
      <c r="I212" s="158"/>
      <c r="J212" s="158"/>
      <c r="K212" s="158"/>
      <c r="L212" s="158"/>
      <c r="M212" s="158"/>
      <c r="N212" s="158"/>
      <c r="O212" s="158"/>
      <c r="P212" s="158"/>
      <c r="Q212" s="158"/>
      <c r="R212" s="158"/>
      <c r="S212" s="158"/>
      <c r="T212" s="158"/>
      <c r="U212" s="158"/>
      <c r="V212" s="158"/>
      <c r="W212" s="158"/>
      <c r="X212" s="158"/>
      <c r="Y212" s="158"/>
      <c r="Z212" s="158"/>
    </row>
    <row r="213">
      <c r="A213" s="160">
        <v>212.0</v>
      </c>
      <c r="B213" s="157" t="s">
        <v>2249</v>
      </c>
      <c r="C213" s="157" t="s">
        <v>2250</v>
      </c>
      <c r="D213" s="157"/>
      <c r="E213" s="157"/>
      <c r="F213" s="158"/>
      <c r="G213" s="158"/>
      <c r="H213" s="158"/>
      <c r="I213" s="158"/>
      <c r="J213" s="158"/>
      <c r="K213" s="158"/>
      <c r="L213" s="158"/>
      <c r="M213" s="158"/>
      <c r="N213" s="158"/>
      <c r="O213" s="158"/>
      <c r="P213" s="158"/>
      <c r="Q213" s="158"/>
      <c r="R213" s="158"/>
      <c r="S213" s="158"/>
      <c r="T213" s="158"/>
      <c r="U213" s="158"/>
      <c r="V213" s="158"/>
      <c r="W213" s="158"/>
      <c r="X213" s="158"/>
      <c r="Y213" s="158"/>
      <c r="Z213" s="158"/>
    </row>
    <row r="214">
      <c r="A214" s="160">
        <v>213.0</v>
      </c>
      <c r="B214" s="157" t="s">
        <v>2252</v>
      </c>
      <c r="C214" s="157" t="s">
        <v>2253</v>
      </c>
      <c r="D214" s="157"/>
      <c r="E214" s="157"/>
      <c r="F214" s="158"/>
      <c r="G214" s="158"/>
      <c r="H214" s="158"/>
      <c r="I214" s="158"/>
      <c r="J214" s="158"/>
      <c r="K214" s="158"/>
      <c r="L214" s="158"/>
      <c r="M214" s="158"/>
      <c r="N214" s="158"/>
      <c r="O214" s="158"/>
      <c r="P214" s="158"/>
      <c r="Q214" s="158"/>
      <c r="R214" s="158"/>
      <c r="S214" s="158"/>
      <c r="T214" s="158"/>
      <c r="U214" s="158"/>
      <c r="V214" s="158"/>
      <c r="W214" s="158"/>
      <c r="X214" s="158"/>
      <c r="Y214" s="158"/>
      <c r="Z214" s="158"/>
    </row>
    <row r="215">
      <c r="A215" s="160">
        <v>214.0</v>
      </c>
      <c r="B215" s="157" t="s">
        <v>2255</v>
      </c>
      <c r="C215" s="157" t="s">
        <v>2086</v>
      </c>
      <c r="D215" s="157"/>
      <c r="E215" s="157"/>
      <c r="F215" s="158"/>
      <c r="G215" s="158"/>
      <c r="H215" s="158"/>
      <c r="I215" s="158"/>
      <c r="J215" s="158"/>
      <c r="K215" s="158"/>
      <c r="L215" s="158"/>
      <c r="M215" s="158"/>
      <c r="N215" s="158"/>
      <c r="O215" s="158"/>
      <c r="P215" s="158"/>
      <c r="Q215" s="158"/>
      <c r="R215" s="158"/>
      <c r="S215" s="158"/>
      <c r="T215" s="158"/>
      <c r="U215" s="158"/>
      <c r="V215" s="158"/>
      <c r="W215" s="158"/>
      <c r="X215" s="158"/>
      <c r="Y215" s="158"/>
      <c r="Z215" s="158"/>
    </row>
    <row r="216">
      <c r="A216" s="160">
        <v>215.0</v>
      </c>
      <c r="B216" s="157" t="s">
        <v>2257</v>
      </c>
      <c r="C216" s="157" t="s">
        <v>2258</v>
      </c>
      <c r="D216" s="157"/>
      <c r="E216" s="157"/>
      <c r="F216" s="158"/>
      <c r="G216" s="158"/>
      <c r="H216" s="158"/>
      <c r="I216" s="158"/>
      <c r="J216" s="158"/>
      <c r="K216" s="158"/>
      <c r="L216" s="158"/>
      <c r="M216" s="158"/>
      <c r="N216" s="158"/>
      <c r="O216" s="158"/>
      <c r="P216" s="158"/>
      <c r="Q216" s="158"/>
      <c r="R216" s="158"/>
      <c r="S216" s="158"/>
      <c r="T216" s="158"/>
      <c r="U216" s="158"/>
      <c r="V216" s="158"/>
      <c r="W216" s="158"/>
      <c r="X216" s="158"/>
      <c r="Y216" s="158"/>
      <c r="Z216" s="158"/>
    </row>
    <row r="217">
      <c r="A217" s="160">
        <v>216.0</v>
      </c>
      <c r="B217" s="157" t="s">
        <v>1106</v>
      </c>
      <c r="C217" s="157" t="s">
        <v>1107</v>
      </c>
      <c r="D217" s="157"/>
      <c r="E217" s="157"/>
      <c r="F217" s="158"/>
      <c r="G217" s="158"/>
      <c r="H217" s="158"/>
      <c r="I217" s="158"/>
      <c r="J217" s="158"/>
      <c r="K217" s="158"/>
      <c r="L217" s="158"/>
      <c r="M217" s="158"/>
      <c r="N217" s="158"/>
      <c r="O217" s="158"/>
      <c r="P217" s="158"/>
      <c r="Q217" s="158"/>
      <c r="R217" s="158"/>
      <c r="S217" s="158"/>
      <c r="T217" s="158"/>
      <c r="U217" s="158"/>
      <c r="V217" s="158"/>
      <c r="W217" s="158"/>
      <c r="X217" s="158"/>
      <c r="Y217" s="158"/>
      <c r="Z217" s="158"/>
    </row>
    <row r="218">
      <c r="A218" s="160">
        <v>217.0</v>
      </c>
      <c r="B218" s="157" t="s">
        <v>2262</v>
      </c>
      <c r="C218" s="157" t="s">
        <v>2263</v>
      </c>
      <c r="D218" s="157"/>
      <c r="E218" s="157"/>
      <c r="F218" s="158"/>
      <c r="G218" s="158"/>
      <c r="H218" s="158"/>
      <c r="I218" s="158"/>
      <c r="J218" s="158"/>
      <c r="K218" s="158"/>
      <c r="L218" s="158"/>
      <c r="M218" s="158"/>
      <c r="N218" s="158"/>
      <c r="O218" s="158"/>
      <c r="P218" s="158"/>
      <c r="Q218" s="158"/>
      <c r="R218" s="158"/>
      <c r="S218" s="158"/>
      <c r="T218" s="158"/>
      <c r="U218" s="158"/>
      <c r="V218" s="158"/>
      <c r="W218" s="158"/>
      <c r="X218" s="158"/>
      <c r="Y218" s="158"/>
      <c r="Z218" s="158"/>
    </row>
    <row r="219">
      <c r="A219" s="160">
        <v>218.0</v>
      </c>
      <c r="B219" s="157" t="s">
        <v>451</v>
      </c>
      <c r="C219" s="157" t="s">
        <v>453</v>
      </c>
      <c r="D219" s="157"/>
      <c r="E219" s="157"/>
      <c r="F219" s="158"/>
      <c r="G219" s="158"/>
      <c r="H219" s="158"/>
      <c r="I219" s="158"/>
      <c r="J219" s="158"/>
      <c r="K219" s="158"/>
      <c r="L219" s="158"/>
      <c r="M219" s="158"/>
      <c r="N219" s="158"/>
      <c r="O219" s="158"/>
      <c r="P219" s="158"/>
      <c r="Q219" s="158"/>
      <c r="R219" s="158"/>
      <c r="S219" s="158"/>
      <c r="T219" s="158"/>
      <c r="U219" s="158"/>
      <c r="V219" s="158"/>
      <c r="W219" s="158"/>
      <c r="X219" s="158"/>
      <c r="Y219" s="158"/>
      <c r="Z219" s="158"/>
    </row>
    <row r="220">
      <c r="A220" s="160">
        <v>219.0</v>
      </c>
      <c r="B220" s="157" t="s">
        <v>1455</v>
      </c>
      <c r="C220" s="157" t="s">
        <v>1456</v>
      </c>
      <c r="D220" s="157"/>
      <c r="E220" s="157"/>
      <c r="F220" s="158"/>
      <c r="G220" s="158"/>
      <c r="H220" s="158"/>
      <c r="I220" s="158"/>
      <c r="J220" s="158"/>
      <c r="K220" s="158"/>
      <c r="L220" s="158"/>
      <c r="M220" s="158"/>
      <c r="N220" s="158"/>
      <c r="O220" s="158"/>
      <c r="P220" s="158"/>
      <c r="Q220" s="158"/>
      <c r="R220" s="158"/>
      <c r="S220" s="158"/>
      <c r="T220" s="158"/>
      <c r="U220" s="158"/>
      <c r="V220" s="158"/>
      <c r="W220" s="158"/>
      <c r="X220" s="158"/>
      <c r="Y220" s="158"/>
      <c r="Z220" s="158"/>
    </row>
    <row r="221">
      <c r="A221" s="160">
        <v>220.0</v>
      </c>
      <c r="B221" s="157" t="s">
        <v>684</v>
      </c>
      <c r="C221" s="157" t="s">
        <v>685</v>
      </c>
      <c r="D221" s="157"/>
      <c r="E221" s="157"/>
      <c r="F221" s="158"/>
      <c r="G221" s="158"/>
      <c r="H221" s="158"/>
      <c r="I221" s="158"/>
      <c r="J221" s="158"/>
      <c r="K221" s="158"/>
      <c r="L221" s="158"/>
      <c r="M221" s="158"/>
      <c r="N221" s="158"/>
      <c r="O221" s="158"/>
      <c r="P221" s="158"/>
      <c r="Q221" s="158"/>
      <c r="R221" s="158"/>
      <c r="S221" s="158"/>
      <c r="T221" s="158"/>
      <c r="U221" s="158"/>
      <c r="V221" s="158"/>
      <c r="W221" s="158"/>
      <c r="X221" s="158"/>
      <c r="Y221" s="158"/>
      <c r="Z221" s="158"/>
    </row>
    <row r="222">
      <c r="A222" s="160">
        <v>221.0</v>
      </c>
      <c r="B222" s="157" t="s">
        <v>198</v>
      </c>
      <c r="C222" s="157" t="s">
        <v>199</v>
      </c>
      <c r="D222" s="157"/>
      <c r="E222" s="157"/>
      <c r="F222" s="158"/>
      <c r="G222" s="158"/>
      <c r="H222" s="158"/>
      <c r="I222" s="158"/>
      <c r="J222" s="158"/>
      <c r="K222" s="158"/>
      <c r="L222" s="158"/>
      <c r="M222" s="158"/>
      <c r="N222" s="158"/>
      <c r="O222" s="158"/>
      <c r="P222" s="158"/>
      <c r="Q222" s="158"/>
      <c r="R222" s="158"/>
      <c r="S222" s="158"/>
      <c r="T222" s="158"/>
      <c r="U222" s="158"/>
      <c r="V222" s="158"/>
      <c r="W222" s="158"/>
      <c r="X222" s="158"/>
      <c r="Y222" s="158"/>
      <c r="Z222" s="158"/>
    </row>
    <row r="223">
      <c r="A223" s="160">
        <v>222.0</v>
      </c>
      <c r="B223" s="157" t="s">
        <v>2274</v>
      </c>
      <c r="C223" s="157" t="s">
        <v>1549</v>
      </c>
      <c r="D223" s="157"/>
      <c r="E223" s="157"/>
      <c r="F223" s="158"/>
      <c r="G223" s="158"/>
      <c r="H223" s="158"/>
      <c r="I223" s="158"/>
      <c r="J223" s="158"/>
      <c r="K223" s="158"/>
      <c r="L223" s="158"/>
      <c r="M223" s="158"/>
      <c r="N223" s="158"/>
      <c r="O223" s="158"/>
      <c r="P223" s="158"/>
      <c r="Q223" s="158"/>
      <c r="R223" s="158"/>
      <c r="S223" s="158"/>
      <c r="T223" s="158"/>
      <c r="U223" s="158"/>
      <c r="V223" s="158"/>
      <c r="W223" s="158"/>
      <c r="X223" s="158"/>
      <c r="Y223" s="158"/>
      <c r="Z223" s="158"/>
    </row>
    <row r="224">
      <c r="A224" s="160">
        <v>223.0</v>
      </c>
      <c r="B224" s="157" t="s">
        <v>244</v>
      </c>
      <c r="C224" s="157" t="s">
        <v>246</v>
      </c>
      <c r="D224" s="157"/>
      <c r="E224" s="157"/>
      <c r="F224" s="158"/>
      <c r="G224" s="158"/>
      <c r="H224" s="158"/>
      <c r="I224" s="158"/>
      <c r="J224" s="158"/>
      <c r="K224" s="158"/>
      <c r="L224" s="158"/>
      <c r="M224" s="158"/>
      <c r="N224" s="158"/>
      <c r="O224" s="158"/>
      <c r="P224" s="158"/>
      <c r="Q224" s="158"/>
      <c r="R224" s="158"/>
      <c r="S224" s="158"/>
      <c r="T224" s="158"/>
      <c r="U224" s="158"/>
      <c r="V224" s="158"/>
      <c r="W224" s="158"/>
      <c r="X224" s="158"/>
      <c r="Y224" s="158"/>
      <c r="Z224" s="158"/>
    </row>
    <row r="225">
      <c r="A225" s="160">
        <v>224.0</v>
      </c>
      <c r="B225" s="157" t="s">
        <v>1092</v>
      </c>
      <c r="C225" s="157" t="s">
        <v>2279</v>
      </c>
      <c r="D225" s="157"/>
      <c r="E225" s="157"/>
      <c r="F225" s="158"/>
      <c r="G225" s="158"/>
      <c r="H225" s="158"/>
      <c r="I225" s="158"/>
      <c r="J225" s="158"/>
      <c r="K225" s="158"/>
      <c r="L225" s="158"/>
      <c r="M225" s="158"/>
      <c r="N225" s="158"/>
      <c r="O225" s="158"/>
      <c r="P225" s="158"/>
      <c r="Q225" s="158"/>
      <c r="R225" s="158"/>
      <c r="S225" s="158"/>
      <c r="T225" s="158"/>
      <c r="U225" s="158"/>
      <c r="V225" s="158"/>
      <c r="W225" s="158"/>
      <c r="X225" s="158"/>
      <c r="Y225" s="158"/>
      <c r="Z225" s="158"/>
    </row>
    <row r="226">
      <c r="A226" s="160">
        <v>225.0</v>
      </c>
      <c r="B226" s="157" t="s">
        <v>2282</v>
      </c>
      <c r="C226" s="157" t="s">
        <v>2284</v>
      </c>
      <c r="D226" s="157"/>
      <c r="E226" s="157"/>
      <c r="F226" s="158"/>
      <c r="G226" s="158"/>
      <c r="H226" s="158"/>
      <c r="I226" s="158"/>
      <c r="J226" s="158"/>
      <c r="K226" s="158"/>
      <c r="L226" s="158"/>
      <c r="M226" s="158"/>
      <c r="N226" s="158"/>
      <c r="O226" s="158"/>
      <c r="P226" s="158"/>
      <c r="Q226" s="158"/>
      <c r="R226" s="158"/>
      <c r="S226" s="158"/>
      <c r="T226" s="158"/>
      <c r="U226" s="158"/>
      <c r="V226" s="158"/>
      <c r="W226" s="158"/>
      <c r="X226" s="158"/>
      <c r="Y226" s="158"/>
      <c r="Z226" s="158"/>
    </row>
    <row r="227">
      <c r="A227" s="160">
        <v>226.0</v>
      </c>
      <c r="B227" s="157" t="s">
        <v>1188</v>
      </c>
      <c r="C227" s="157" t="s">
        <v>1189</v>
      </c>
      <c r="D227" s="157"/>
      <c r="E227" s="157"/>
      <c r="F227" s="158"/>
      <c r="G227" s="158"/>
      <c r="H227" s="158"/>
      <c r="I227" s="158"/>
      <c r="J227" s="158"/>
      <c r="K227" s="158"/>
      <c r="L227" s="158"/>
      <c r="M227" s="158"/>
      <c r="N227" s="158"/>
      <c r="O227" s="158"/>
      <c r="P227" s="158"/>
      <c r="Q227" s="158"/>
      <c r="R227" s="158"/>
      <c r="S227" s="158"/>
      <c r="T227" s="158"/>
      <c r="U227" s="158"/>
      <c r="V227" s="158"/>
      <c r="W227" s="158"/>
      <c r="X227" s="158"/>
      <c r="Y227" s="158"/>
      <c r="Z227" s="158"/>
    </row>
    <row r="228">
      <c r="A228" s="160">
        <v>227.0</v>
      </c>
      <c r="B228" s="157" t="s">
        <v>391</v>
      </c>
      <c r="C228" s="157" t="s">
        <v>394</v>
      </c>
      <c r="D228" s="157"/>
      <c r="E228" s="157"/>
      <c r="F228" s="158"/>
      <c r="G228" s="158"/>
      <c r="H228" s="158"/>
      <c r="I228" s="158"/>
      <c r="J228" s="158"/>
      <c r="K228" s="158"/>
      <c r="L228" s="158"/>
      <c r="M228" s="158"/>
      <c r="N228" s="158"/>
      <c r="O228" s="158"/>
      <c r="P228" s="158"/>
      <c r="Q228" s="158"/>
      <c r="R228" s="158"/>
      <c r="S228" s="158"/>
      <c r="T228" s="158"/>
      <c r="U228" s="158"/>
      <c r="V228" s="158"/>
      <c r="W228" s="158"/>
      <c r="X228" s="158"/>
      <c r="Y228" s="158"/>
      <c r="Z228" s="158"/>
    </row>
    <row r="229">
      <c r="A229" s="160">
        <v>228.0</v>
      </c>
      <c r="B229" s="157" t="s">
        <v>1358</v>
      </c>
      <c r="C229" s="157" t="s">
        <v>1359</v>
      </c>
      <c r="D229" s="157"/>
      <c r="E229" s="157"/>
      <c r="F229" s="158"/>
      <c r="G229" s="158"/>
      <c r="H229" s="158"/>
      <c r="I229" s="158"/>
      <c r="J229" s="158"/>
      <c r="K229" s="158"/>
      <c r="L229" s="158"/>
      <c r="M229" s="158"/>
      <c r="N229" s="158"/>
      <c r="O229" s="158"/>
      <c r="P229" s="158"/>
      <c r="Q229" s="158"/>
      <c r="R229" s="158"/>
      <c r="S229" s="158"/>
      <c r="T229" s="158"/>
      <c r="U229" s="158"/>
      <c r="V229" s="158"/>
      <c r="W229" s="158"/>
      <c r="X229" s="158"/>
      <c r="Y229" s="158"/>
      <c r="Z229" s="158"/>
    </row>
    <row r="230">
      <c r="A230" s="160">
        <v>229.0</v>
      </c>
      <c r="B230" s="157" t="s">
        <v>480</v>
      </c>
      <c r="C230" s="157" t="s">
        <v>482</v>
      </c>
      <c r="D230" s="157"/>
      <c r="E230" s="157"/>
      <c r="F230" s="158"/>
      <c r="G230" s="158"/>
      <c r="H230" s="158"/>
      <c r="I230" s="158"/>
      <c r="J230" s="158"/>
      <c r="K230" s="158"/>
      <c r="L230" s="158"/>
      <c r="M230" s="158"/>
      <c r="N230" s="158"/>
      <c r="O230" s="158"/>
      <c r="P230" s="158"/>
      <c r="Q230" s="158"/>
      <c r="R230" s="158"/>
      <c r="S230" s="158"/>
      <c r="T230" s="158"/>
      <c r="U230" s="158"/>
      <c r="V230" s="158"/>
      <c r="W230" s="158"/>
      <c r="X230" s="158"/>
      <c r="Y230" s="158"/>
      <c r="Z230" s="158"/>
    </row>
    <row r="231">
      <c r="A231" s="160">
        <v>230.0</v>
      </c>
      <c r="B231" s="157" t="s">
        <v>705</v>
      </c>
      <c r="C231" s="157" t="s">
        <v>706</v>
      </c>
      <c r="D231" s="157" t="s">
        <v>713</v>
      </c>
      <c r="E231" s="161">
        <v>327.0</v>
      </c>
      <c r="F231" s="158"/>
      <c r="G231" s="158"/>
      <c r="H231" s="158"/>
      <c r="I231" s="158"/>
      <c r="J231" s="158"/>
      <c r="K231" s="158"/>
      <c r="L231" s="158"/>
      <c r="M231" s="158"/>
      <c r="N231" s="158"/>
      <c r="O231" s="158"/>
      <c r="P231" s="158"/>
      <c r="Q231" s="158"/>
      <c r="R231" s="158"/>
      <c r="S231" s="158"/>
      <c r="T231" s="158"/>
      <c r="U231" s="158"/>
      <c r="V231" s="158"/>
      <c r="W231" s="158"/>
      <c r="X231" s="158"/>
      <c r="Y231" s="158"/>
      <c r="Z231" s="158"/>
    </row>
    <row r="232">
      <c r="A232" s="160">
        <v>231.0</v>
      </c>
      <c r="B232" s="157" t="s">
        <v>1043</v>
      </c>
      <c r="C232" s="157" t="s">
        <v>1044</v>
      </c>
      <c r="D232" s="157"/>
      <c r="E232" s="157"/>
      <c r="F232" s="158"/>
      <c r="G232" s="158"/>
      <c r="H232" s="158"/>
      <c r="I232" s="158"/>
      <c r="J232" s="158"/>
      <c r="K232" s="158"/>
      <c r="L232" s="158"/>
      <c r="M232" s="158"/>
      <c r="N232" s="158"/>
      <c r="O232" s="158"/>
      <c r="P232" s="158"/>
      <c r="Q232" s="158"/>
      <c r="R232" s="158"/>
      <c r="S232" s="158"/>
      <c r="T232" s="158"/>
      <c r="U232" s="158"/>
      <c r="V232" s="158"/>
      <c r="W232" s="158"/>
      <c r="X232" s="158"/>
      <c r="Y232" s="158"/>
      <c r="Z232" s="158"/>
    </row>
    <row r="233">
      <c r="A233" s="160">
        <v>232.0</v>
      </c>
      <c r="B233" s="157" t="s">
        <v>470</v>
      </c>
      <c r="C233" s="157" t="s">
        <v>472</v>
      </c>
      <c r="D233" s="157"/>
      <c r="E233" s="157"/>
      <c r="F233" s="158"/>
      <c r="G233" s="158"/>
      <c r="H233" s="158"/>
      <c r="I233" s="158"/>
      <c r="J233" s="158"/>
      <c r="K233" s="158"/>
      <c r="L233" s="158"/>
      <c r="M233" s="158"/>
      <c r="N233" s="158"/>
      <c r="O233" s="158"/>
      <c r="P233" s="158"/>
      <c r="Q233" s="158"/>
      <c r="R233" s="158"/>
      <c r="S233" s="158"/>
      <c r="T233" s="158"/>
      <c r="U233" s="158"/>
      <c r="V233" s="158"/>
      <c r="W233" s="158"/>
      <c r="X233" s="158"/>
      <c r="Y233" s="158"/>
      <c r="Z233" s="158"/>
    </row>
    <row r="234">
      <c r="A234" s="160">
        <v>233.0</v>
      </c>
      <c r="B234" s="157" t="s">
        <v>1125</v>
      </c>
      <c r="C234" s="157" t="s">
        <v>1126</v>
      </c>
      <c r="D234" s="157"/>
      <c r="E234" s="157"/>
      <c r="F234" s="158"/>
      <c r="G234" s="158"/>
      <c r="H234" s="158"/>
      <c r="I234" s="158"/>
      <c r="J234" s="158"/>
      <c r="K234" s="158"/>
      <c r="L234" s="158"/>
      <c r="M234" s="158"/>
      <c r="N234" s="158"/>
      <c r="O234" s="158"/>
      <c r="P234" s="158"/>
      <c r="Q234" s="158"/>
      <c r="R234" s="158"/>
      <c r="S234" s="158"/>
      <c r="T234" s="158"/>
      <c r="U234" s="158"/>
      <c r="V234" s="158"/>
      <c r="W234" s="158"/>
      <c r="X234" s="158"/>
      <c r="Y234" s="158"/>
      <c r="Z234" s="158"/>
    </row>
    <row r="235">
      <c r="A235" s="160">
        <v>234.0</v>
      </c>
      <c r="B235" s="157" t="s">
        <v>2298</v>
      </c>
      <c r="C235" s="157" t="s">
        <v>1126</v>
      </c>
      <c r="D235" s="157"/>
      <c r="E235" s="157"/>
      <c r="F235" s="158"/>
      <c r="G235" s="158"/>
      <c r="H235" s="158"/>
      <c r="I235" s="158"/>
      <c r="J235" s="158"/>
      <c r="K235" s="158"/>
      <c r="L235" s="158"/>
      <c r="M235" s="158"/>
      <c r="N235" s="158"/>
      <c r="O235" s="158"/>
      <c r="P235" s="158"/>
      <c r="Q235" s="158"/>
      <c r="R235" s="158"/>
      <c r="S235" s="158"/>
      <c r="T235" s="158"/>
      <c r="U235" s="158"/>
      <c r="V235" s="158"/>
      <c r="W235" s="158"/>
      <c r="X235" s="158"/>
      <c r="Y235" s="158"/>
      <c r="Z235" s="158"/>
    </row>
    <row r="236">
      <c r="A236" s="160">
        <v>235.0</v>
      </c>
      <c r="B236" s="157" t="s">
        <v>834</v>
      </c>
      <c r="C236" s="157" t="s">
        <v>836</v>
      </c>
      <c r="D236" s="157"/>
      <c r="E236" s="157"/>
      <c r="F236" s="158"/>
      <c r="G236" s="158"/>
      <c r="H236" s="158"/>
      <c r="I236" s="158"/>
      <c r="J236" s="158"/>
      <c r="K236" s="158"/>
      <c r="L236" s="158"/>
      <c r="M236" s="158"/>
      <c r="N236" s="158"/>
      <c r="O236" s="158"/>
      <c r="P236" s="158"/>
      <c r="Q236" s="158"/>
      <c r="R236" s="158"/>
      <c r="S236" s="158"/>
      <c r="T236" s="158"/>
      <c r="U236" s="158"/>
      <c r="V236" s="158"/>
      <c r="W236" s="158"/>
      <c r="X236" s="158"/>
      <c r="Y236" s="158"/>
      <c r="Z236" s="158"/>
    </row>
    <row r="237">
      <c r="A237" s="160">
        <v>236.0</v>
      </c>
      <c r="B237" s="157" t="s">
        <v>1060</v>
      </c>
      <c r="C237" s="157" t="s">
        <v>836</v>
      </c>
      <c r="D237" s="157"/>
      <c r="E237" s="157"/>
      <c r="F237" s="158"/>
      <c r="G237" s="158"/>
      <c r="H237" s="158"/>
      <c r="I237" s="158"/>
      <c r="J237" s="158"/>
      <c r="K237" s="158"/>
      <c r="L237" s="158"/>
      <c r="M237" s="158"/>
      <c r="N237" s="158"/>
      <c r="O237" s="158"/>
      <c r="P237" s="158"/>
      <c r="Q237" s="158"/>
      <c r="R237" s="158"/>
      <c r="S237" s="158"/>
      <c r="T237" s="158"/>
      <c r="U237" s="158"/>
      <c r="V237" s="158"/>
      <c r="W237" s="158"/>
      <c r="X237" s="158"/>
      <c r="Y237" s="158"/>
      <c r="Z237" s="158"/>
    </row>
    <row r="238">
      <c r="A238" s="160">
        <v>237.0</v>
      </c>
      <c r="B238" s="157" t="s">
        <v>680</v>
      </c>
      <c r="C238" s="157" t="s">
        <v>681</v>
      </c>
      <c r="D238" s="157"/>
      <c r="E238" s="157"/>
      <c r="F238" s="158"/>
      <c r="G238" s="158"/>
      <c r="H238" s="158"/>
      <c r="I238" s="158"/>
      <c r="J238" s="158"/>
      <c r="K238" s="158"/>
      <c r="L238" s="158"/>
      <c r="M238" s="158"/>
      <c r="N238" s="158"/>
      <c r="O238" s="158"/>
      <c r="P238" s="158"/>
      <c r="Q238" s="158"/>
      <c r="R238" s="158"/>
      <c r="S238" s="158"/>
      <c r="T238" s="158"/>
      <c r="U238" s="158"/>
      <c r="V238" s="158"/>
      <c r="W238" s="158"/>
      <c r="X238" s="158"/>
      <c r="Y238" s="158"/>
      <c r="Z238" s="158"/>
    </row>
    <row r="239">
      <c r="A239" s="160">
        <v>238.0</v>
      </c>
      <c r="B239" s="157" t="s">
        <v>2303</v>
      </c>
      <c r="C239" s="157" t="s">
        <v>300</v>
      </c>
      <c r="D239" s="157"/>
      <c r="E239" s="157"/>
      <c r="F239" s="158"/>
      <c r="G239" s="158"/>
      <c r="H239" s="158"/>
      <c r="I239" s="158"/>
      <c r="J239" s="158"/>
      <c r="K239" s="158"/>
      <c r="L239" s="158"/>
      <c r="M239" s="158"/>
      <c r="N239" s="158"/>
      <c r="O239" s="158"/>
      <c r="P239" s="158"/>
      <c r="Q239" s="158"/>
      <c r="R239" s="158"/>
      <c r="S239" s="158"/>
      <c r="T239" s="158"/>
      <c r="U239" s="158"/>
      <c r="V239" s="158"/>
      <c r="W239" s="158"/>
      <c r="X239" s="158"/>
      <c r="Y239" s="158"/>
      <c r="Z239" s="158"/>
    </row>
    <row r="240">
      <c r="A240" s="160">
        <v>239.0</v>
      </c>
      <c r="B240" s="157" t="s">
        <v>495</v>
      </c>
      <c r="C240" s="157" t="s">
        <v>497</v>
      </c>
      <c r="D240" s="157"/>
      <c r="E240" s="157"/>
      <c r="F240" s="158"/>
      <c r="G240" s="158"/>
      <c r="H240" s="158"/>
      <c r="I240" s="158"/>
      <c r="J240" s="158"/>
      <c r="K240" s="158"/>
      <c r="L240" s="158"/>
      <c r="M240" s="158"/>
      <c r="N240" s="158"/>
      <c r="O240" s="158"/>
      <c r="P240" s="158"/>
      <c r="Q240" s="158"/>
      <c r="R240" s="158"/>
      <c r="S240" s="158"/>
      <c r="T240" s="158"/>
      <c r="U240" s="158"/>
      <c r="V240" s="158"/>
      <c r="W240" s="158"/>
      <c r="X240" s="158"/>
      <c r="Y240" s="158"/>
      <c r="Z240" s="158"/>
    </row>
    <row r="241">
      <c r="A241" s="160">
        <v>240.0</v>
      </c>
      <c r="B241" s="157" t="s">
        <v>1509</v>
      </c>
      <c r="C241" s="157" t="s">
        <v>1510</v>
      </c>
      <c r="D241" s="157"/>
      <c r="E241" s="157"/>
      <c r="F241" s="158"/>
      <c r="G241" s="158"/>
      <c r="H241" s="158"/>
      <c r="I241" s="158"/>
      <c r="J241" s="158"/>
      <c r="K241" s="158"/>
      <c r="L241" s="158"/>
      <c r="M241" s="158"/>
      <c r="N241" s="158"/>
      <c r="O241" s="158"/>
      <c r="P241" s="158"/>
      <c r="Q241" s="158"/>
      <c r="R241" s="158"/>
      <c r="S241" s="158"/>
      <c r="T241" s="158"/>
      <c r="U241" s="158"/>
      <c r="V241" s="158"/>
      <c r="W241" s="158"/>
      <c r="X241" s="158"/>
      <c r="Y241" s="158"/>
      <c r="Z241" s="158"/>
    </row>
    <row r="242">
      <c r="A242" s="160">
        <v>241.0</v>
      </c>
      <c r="B242" s="157" t="s">
        <v>424</v>
      </c>
      <c r="C242" s="157" t="s">
        <v>426</v>
      </c>
      <c r="D242" s="157"/>
      <c r="E242" s="157"/>
      <c r="F242" s="158"/>
      <c r="G242" s="158"/>
      <c r="H242" s="158"/>
      <c r="I242" s="158"/>
      <c r="J242" s="158"/>
      <c r="K242" s="158"/>
      <c r="L242" s="158"/>
      <c r="M242" s="158"/>
      <c r="N242" s="158"/>
      <c r="O242" s="158"/>
      <c r="P242" s="158"/>
      <c r="Q242" s="158"/>
      <c r="R242" s="158"/>
      <c r="S242" s="158"/>
      <c r="T242" s="158"/>
      <c r="U242" s="158"/>
      <c r="V242" s="158"/>
      <c r="W242" s="158"/>
      <c r="X242" s="158"/>
      <c r="Y242" s="158"/>
      <c r="Z242" s="158"/>
    </row>
    <row r="243">
      <c r="A243" s="160">
        <v>242.0</v>
      </c>
      <c r="B243" s="157" t="s">
        <v>2310</v>
      </c>
      <c r="C243" s="157" t="s">
        <v>2311</v>
      </c>
      <c r="D243" s="157"/>
      <c r="E243" s="157"/>
      <c r="F243" s="158"/>
      <c r="G243" s="158"/>
      <c r="H243" s="158"/>
      <c r="I243" s="158"/>
      <c r="J243" s="158"/>
      <c r="K243" s="158"/>
      <c r="L243" s="158"/>
      <c r="M243" s="158"/>
      <c r="N243" s="158"/>
      <c r="O243" s="158"/>
      <c r="P243" s="158"/>
      <c r="Q243" s="158"/>
      <c r="R243" s="158"/>
      <c r="S243" s="158"/>
      <c r="T243" s="158"/>
      <c r="U243" s="158"/>
      <c r="V243" s="158"/>
      <c r="W243" s="158"/>
      <c r="X243" s="158"/>
      <c r="Y243" s="158"/>
      <c r="Z243" s="158"/>
    </row>
    <row r="244">
      <c r="A244" s="160">
        <v>243.0</v>
      </c>
      <c r="B244" s="157" t="s">
        <v>592</v>
      </c>
      <c r="C244" s="157" t="s">
        <v>593</v>
      </c>
      <c r="D244" s="157"/>
      <c r="E244" s="157"/>
      <c r="F244" s="158"/>
      <c r="G244" s="158"/>
      <c r="H244" s="158"/>
      <c r="I244" s="158"/>
      <c r="J244" s="158"/>
      <c r="K244" s="158"/>
      <c r="L244" s="158"/>
      <c r="M244" s="158"/>
      <c r="N244" s="158"/>
      <c r="O244" s="158"/>
      <c r="P244" s="158"/>
      <c r="Q244" s="158"/>
      <c r="R244" s="158"/>
      <c r="S244" s="158"/>
      <c r="T244" s="158"/>
      <c r="U244" s="158"/>
      <c r="V244" s="158"/>
      <c r="W244" s="158"/>
      <c r="X244" s="158"/>
      <c r="Y244" s="158"/>
      <c r="Z244" s="158"/>
    </row>
    <row r="245">
      <c r="A245" s="160">
        <v>244.0</v>
      </c>
      <c r="B245" s="157" t="s">
        <v>773</v>
      </c>
      <c r="C245" s="157" t="s">
        <v>775</v>
      </c>
      <c r="D245" s="157"/>
      <c r="E245" s="157"/>
      <c r="F245" s="158"/>
      <c r="G245" s="158"/>
      <c r="H245" s="158"/>
      <c r="I245" s="158"/>
      <c r="J245" s="158"/>
      <c r="K245" s="158"/>
      <c r="L245" s="158"/>
      <c r="M245" s="158"/>
      <c r="N245" s="158"/>
      <c r="O245" s="158"/>
      <c r="P245" s="158"/>
      <c r="Q245" s="158"/>
      <c r="R245" s="158"/>
      <c r="S245" s="158"/>
      <c r="T245" s="158"/>
      <c r="U245" s="158"/>
      <c r="V245" s="158"/>
      <c r="W245" s="158"/>
      <c r="X245" s="158"/>
      <c r="Y245" s="158"/>
      <c r="Z245" s="158"/>
    </row>
    <row r="246">
      <c r="A246" s="160">
        <v>245.0</v>
      </c>
      <c r="B246" s="157" t="s">
        <v>971</v>
      </c>
      <c r="C246" s="157" t="s">
        <v>972</v>
      </c>
      <c r="D246" s="157"/>
      <c r="E246" s="157"/>
      <c r="F246" s="158"/>
      <c r="G246" s="158"/>
      <c r="H246" s="158"/>
      <c r="I246" s="158"/>
      <c r="J246" s="158"/>
      <c r="K246" s="158"/>
      <c r="L246" s="158"/>
      <c r="M246" s="158"/>
      <c r="N246" s="158"/>
      <c r="O246" s="158"/>
      <c r="P246" s="158"/>
      <c r="Q246" s="158"/>
      <c r="R246" s="158"/>
      <c r="S246" s="158"/>
      <c r="T246" s="158"/>
      <c r="U246" s="158"/>
      <c r="V246" s="158"/>
      <c r="W246" s="158"/>
      <c r="X246" s="158"/>
      <c r="Y246" s="158"/>
      <c r="Z246" s="158"/>
    </row>
    <row r="247">
      <c r="A247" s="160">
        <v>246.0</v>
      </c>
      <c r="B247" s="157" t="s">
        <v>1538</v>
      </c>
      <c r="C247" s="157" t="s">
        <v>1539</v>
      </c>
      <c r="D247" s="157"/>
      <c r="E247" s="157"/>
      <c r="F247" s="158"/>
      <c r="G247" s="158"/>
      <c r="H247" s="158"/>
      <c r="I247" s="158"/>
      <c r="J247" s="158"/>
      <c r="K247" s="158"/>
      <c r="L247" s="158"/>
      <c r="M247" s="158"/>
      <c r="N247" s="158"/>
      <c r="O247" s="158"/>
      <c r="P247" s="158"/>
      <c r="Q247" s="158"/>
      <c r="R247" s="158"/>
      <c r="S247" s="158"/>
      <c r="T247" s="158"/>
      <c r="U247" s="158"/>
      <c r="V247" s="158"/>
      <c r="W247" s="158"/>
      <c r="X247" s="158"/>
      <c r="Y247" s="158"/>
      <c r="Z247" s="158"/>
    </row>
    <row r="248">
      <c r="A248" s="160">
        <v>247.0</v>
      </c>
      <c r="B248" s="157" t="s">
        <v>1607</v>
      </c>
      <c r="C248" s="157" t="s">
        <v>1609</v>
      </c>
      <c r="D248" s="157"/>
      <c r="E248" s="157"/>
      <c r="F248" s="158"/>
      <c r="G248" s="158"/>
      <c r="H248" s="158"/>
      <c r="I248" s="158"/>
      <c r="J248" s="158"/>
      <c r="K248" s="158"/>
      <c r="L248" s="158"/>
      <c r="M248" s="158"/>
      <c r="N248" s="158"/>
      <c r="O248" s="158"/>
      <c r="P248" s="158"/>
      <c r="Q248" s="158"/>
      <c r="R248" s="158"/>
      <c r="S248" s="158"/>
      <c r="T248" s="158"/>
      <c r="U248" s="158"/>
      <c r="V248" s="158"/>
      <c r="W248" s="158"/>
      <c r="X248" s="158"/>
      <c r="Y248" s="158"/>
      <c r="Z248" s="158"/>
    </row>
    <row r="249">
      <c r="A249" s="160">
        <v>248.0</v>
      </c>
      <c r="B249" s="157" t="s">
        <v>2317</v>
      </c>
      <c r="C249" s="157" t="s">
        <v>2318</v>
      </c>
      <c r="D249" s="157"/>
      <c r="E249" s="157"/>
      <c r="F249" s="158"/>
      <c r="G249" s="158"/>
      <c r="H249" s="158"/>
      <c r="I249" s="158"/>
      <c r="J249" s="158"/>
      <c r="K249" s="158"/>
      <c r="L249" s="158"/>
      <c r="M249" s="158"/>
      <c r="N249" s="158"/>
      <c r="O249" s="158"/>
      <c r="P249" s="158"/>
      <c r="Q249" s="158"/>
      <c r="R249" s="158"/>
      <c r="S249" s="158"/>
      <c r="T249" s="158"/>
      <c r="U249" s="158"/>
      <c r="V249" s="158"/>
      <c r="W249" s="158"/>
      <c r="X249" s="158"/>
      <c r="Y249" s="158"/>
      <c r="Z249" s="158"/>
    </row>
    <row r="250">
      <c r="A250" s="160">
        <v>249.0</v>
      </c>
      <c r="B250" s="157" t="s">
        <v>130</v>
      </c>
      <c r="C250" s="157" t="s">
        <v>132</v>
      </c>
      <c r="D250" s="157"/>
      <c r="E250" s="157"/>
      <c r="F250" s="158"/>
      <c r="G250" s="158"/>
      <c r="H250" s="158"/>
      <c r="I250" s="158"/>
      <c r="J250" s="158"/>
      <c r="K250" s="158"/>
      <c r="L250" s="158"/>
      <c r="M250" s="158"/>
      <c r="N250" s="158"/>
      <c r="O250" s="158"/>
      <c r="P250" s="158"/>
      <c r="Q250" s="158"/>
      <c r="R250" s="158"/>
      <c r="S250" s="158"/>
      <c r="T250" s="158"/>
      <c r="U250" s="158"/>
      <c r="V250" s="158"/>
      <c r="W250" s="158"/>
      <c r="X250" s="158"/>
      <c r="Y250" s="158"/>
      <c r="Z250" s="158"/>
    </row>
    <row r="251">
      <c r="A251" s="160">
        <v>250.0</v>
      </c>
      <c r="B251" s="157" t="s">
        <v>2321</v>
      </c>
      <c r="C251" s="157" t="s">
        <v>2322</v>
      </c>
      <c r="D251" s="157"/>
      <c r="E251" s="157" t="s">
        <v>2324</v>
      </c>
      <c r="F251" s="158"/>
      <c r="G251" s="158"/>
      <c r="H251" s="158"/>
      <c r="I251" s="158"/>
      <c r="J251" s="158"/>
      <c r="K251" s="158"/>
      <c r="L251" s="158"/>
      <c r="M251" s="158"/>
      <c r="N251" s="158"/>
      <c r="O251" s="158"/>
      <c r="P251" s="158"/>
      <c r="Q251" s="158"/>
      <c r="R251" s="158"/>
      <c r="S251" s="158"/>
      <c r="T251" s="158"/>
      <c r="U251" s="158"/>
      <c r="V251" s="158"/>
      <c r="W251" s="158"/>
      <c r="X251" s="158"/>
      <c r="Y251" s="158"/>
      <c r="Z251" s="158"/>
    </row>
    <row r="252">
      <c r="A252" s="160">
        <v>251.0</v>
      </c>
      <c r="B252" s="157" t="s">
        <v>752</v>
      </c>
      <c r="C252" s="157" t="s">
        <v>753</v>
      </c>
      <c r="D252" s="157"/>
      <c r="E252" s="157"/>
      <c r="F252" s="158"/>
      <c r="G252" s="158"/>
      <c r="H252" s="158"/>
      <c r="I252" s="158"/>
      <c r="J252" s="158"/>
      <c r="K252" s="158"/>
      <c r="L252" s="158"/>
      <c r="M252" s="158"/>
      <c r="N252" s="158"/>
      <c r="O252" s="158"/>
      <c r="P252" s="158"/>
      <c r="Q252" s="158"/>
      <c r="R252" s="158"/>
      <c r="S252" s="158"/>
      <c r="T252" s="158"/>
      <c r="U252" s="158"/>
      <c r="V252" s="158"/>
      <c r="W252" s="158"/>
      <c r="X252" s="158"/>
      <c r="Y252" s="158"/>
      <c r="Z252" s="158"/>
    </row>
    <row r="253">
      <c r="A253" s="160">
        <v>252.0</v>
      </c>
      <c r="B253" s="157" t="s">
        <v>750</v>
      </c>
      <c r="C253" s="157" t="s">
        <v>751</v>
      </c>
      <c r="D253" s="157"/>
      <c r="E253" s="157"/>
      <c r="F253" s="158"/>
      <c r="G253" s="158"/>
      <c r="H253" s="158"/>
      <c r="I253" s="158"/>
      <c r="J253" s="158"/>
      <c r="K253" s="158"/>
      <c r="L253" s="158"/>
      <c r="M253" s="158"/>
      <c r="N253" s="158"/>
      <c r="O253" s="158"/>
      <c r="P253" s="158"/>
      <c r="Q253" s="158"/>
      <c r="R253" s="158"/>
      <c r="S253" s="158"/>
      <c r="T253" s="158"/>
      <c r="U253" s="158"/>
      <c r="V253" s="158"/>
      <c r="W253" s="158"/>
      <c r="X253" s="158"/>
      <c r="Y253" s="158"/>
      <c r="Z253" s="158"/>
    </row>
    <row r="254">
      <c r="A254" s="160">
        <v>253.0</v>
      </c>
      <c r="B254" s="157" t="s">
        <v>2332</v>
      </c>
      <c r="C254" s="157" t="s">
        <v>2333</v>
      </c>
      <c r="D254" s="157"/>
      <c r="E254" s="157"/>
      <c r="F254" s="158"/>
      <c r="G254" s="158"/>
      <c r="H254" s="158"/>
      <c r="I254" s="158"/>
      <c r="J254" s="158"/>
      <c r="K254" s="158"/>
      <c r="L254" s="158"/>
      <c r="M254" s="158"/>
      <c r="N254" s="158"/>
      <c r="O254" s="158"/>
      <c r="P254" s="158"/>
      <c r="Q254" s="158"/>
      <c r="R254" s="158"/>
      <c r="S254" s="158"/>
      <c r="T254" s="158"/>
      <c r="U254" s="158"/>
      <c r="V254" s="158"/>
      <c r="W254" s="158"/>
      <c r="X254" s="158"/>
      <c r="Y254" s="158"/>
      <c r="Z254" s="158"/>
    </row>
    <row r="255">
      <c r="A255" s="160">
        <v>254.0</v>
      </c>
      <c r="B255" s="157" t="s">
        <v>1200</v>
      </c>
      <c r="C255" s="157" t="s">
        <v>1201</v>
      </c>
      <c r="D255" s="157"/>
      <c r="E255" s="157"/>
      <c r="F255" s="158"/>
      <c r="G255" s="158"/>
      <c r="H255" s="158"/>
      <c r="I255" s="158"/>
      <c r="J255" s="158"/>
      <c r="K255" s="158"/>
      <c r="L255" s="158"/>
      <c r="M255" s="158"/>
      <c r="N255" s="158"/>
      <c r="O255" s="158"/>
      <c r="P255" s="158"/>
      <c r="Q255" s="158"/>
      <c r="R255" s="158"/>
      <c r="S255" s="158"/>
      <c r="T255" s="158"/>
      <c r="U255" s="158"/>
      <c r="V255" s="158"/>
      <c r="W255" s="158"/>
      <c r="X255" s="158"/>
      <c r="Y255" s="158"/>
      <c r="Z255" s="158"/>
    </row>
    <row r="256">
      <c r="A256" s="160">
        <v>255.0</v>
      </c>
      <c r="B256" s="157" t="s">
        <v>2337</v>
      </c>
      <c r="C256" s="157" t="s">
        <v>2338</v>
      </c>
      <c r="D256" s="157"/>
      <c r="E256" s="157"/>
      <c r="F256" s="158"/>
      <c r="G256" s="158"/>
      <c r="H256" s="158"/>
      <c r="I256" s="158"/>
      <c r="J256" s="158"/>
      <c r="K256" s="158"/>
      <c r="L256" s="158"/>
      <c r="M256" s="158"/>
      <c r="N256" s="158"/>
      <c r="O256" s="158"/>
      <c r="P256" s="158"/>
      <c r="Q256" s="158"/>
      <c r="R256" s="158"/>
      <c r="S256" s="158"/>
      <c r="T256" s="158"/>
      <c r="U256" s="158"/>
      <c r="V256" s="158"/>
      <c r="W256" s="158"/>
      <c r="X256" s="158"/>
      <c r="Y256" s="158"/>
      <c r="Z256" s="158"/>
    </row>
    <row r="257">
      <c r="A257" s="190"/>
      <c r="B257" s="158"/>
      <c r="C257" s="158"/>
      <c r="D257" s="158"/>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row>
    <row r="258">
      <c r="A258" s="190"/>
      <c r="B258" s="158"/>
      <c r="C258" s="158"/>
      <c r="D258" s="158"/>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row>
    <row r="259">
      <c r="A259" s="190"/>
      <c r="B259" s="158"/>
      <c r="C259" s="158"/>
      <c r="D259" s="158"/>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row>
    <row r="260">
      <c r="A260" s="190"/>
      <c r="B260" s="158"/>
      <c r="C260" s="158"/>
      <c r="D260" s="158"/>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row>
    <row r="261">
      <c r="A261" s="190"/>
      <c r="B261" s="158"/>
      <c r="C261" s="158"/>
      <c r="D261" s="158"/>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row>
    <row r="262">
      <c r="A262" s="190"/>
      <c r="B262" s="158"/>
      <c r="C262" s="158"/>
      <c r="D262" s="158"/>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row>
    <row r="263">
      <c r="A263" s="190"/>
      <c r="B263" s="158"/>
      <c r="C263" s="158"/>
      <c r="D263" s="158"/>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row>
    <row r="264">
      <c r="A264" s="190"/>
      <c r="B264" s="158"/>
      <c r="C264" s="158"/>
      <c r="D264" s="158"/>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row>
    <row r="265">
      <c r="A265" s="190"/>
      <c r="B265" s="158"/>
      <c r="C265" s="158"/>
      <c r="D265" s="158"/>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row>
    <row r="266">
      <c r="A266" s="190"/>
      <c r="B266" s="158"/>
      <c r="C266" s="158"/>
      <c r="D266" s="158"/>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row>
    <row r="267">
      <c r="A267" s="190"/>
      <c r="B267" s="158"/>
      <c r="C267" s="158"/>
      <c r="D267" s="158"/>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row>
    <row r="268">
      <c r="A268" s="190"/>
      <c r="B268" s="158"/>
      <c r="C268" s="158"/>
      <c r="D268" s="158"/>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row>
    <row r="269">
      <c r="A269" s="190"/>
      <c r="B269" s="158"/>
      <c r="C269" s="158"/>
      <c r="D269" s="158"/>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row>
    <row r="270">
      <c r="A270" s="190"/>
      <c r="B270" s="158"/>
      <c r="C270" s="158"/>
      <c r="D270" s="158"/>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row>
    <row r="271">
      <c r="A271" s="190"/>
      <c r="B271" s="158"/>
      <c r="C271" s="158"/>
      <c r="D271" s="158"/>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row>
    <row r="272">
      <c r="A272" s="190"/>
      <c r="B272" s="158"/>
      <c r="C272" s="158"/>
      <c r="D272" s="158"/>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row>
    <row r="273">
      <c r="A273" s="190"/>
      <c r="B273" s="158"/>
      <c r="C273" s="158"/>
      <c r="D273" s="158"/>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row>
    <row r="274">
      <c r="A274" s="190"/>
      <c r="B274" s="158"/>
      <c r="C274" s="158"/>
      <c r="D274" s="158"/>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row>
    <row r="275">
      <c r="A275" s="190"/>
      <c r="B275" s="158"/>
      <c r="C275" s="158"/>
      <c r="D275" s="158"/>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row>
    <row r="276">
      <c r="A276" s="190"/>
      <c r="B276" s="158"/>
      <c r="C276" s="158"/>
      <c r="D276" s="158"/>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row>
    <row r="277">
      <c r="A277" s="190"/>
      <c r="B277" s="158"/>
      <c r="C277" s="158"/>
      <c r="D277" s="158"/>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row>
    <row r="278">
      <c r="A278" s="190"/>
      <c r="B278" s="158"/>
      <c r="C278" s="158"/>
      <c r="D278" s="158"/>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row>
    <row r="279">
      <c r="A279" s="190"/>
      <c r="B279" s="158"/>
      <c r="C279" s="158"/>
      <c r="D279" s="158"/>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row>
    <row r="280">
      <c r="A280" s="190"/>
      <c r="B280" s="158"/>
      <c r="C280" s="158"/>
      <c r="D280" s="158"/>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row>
    <row r="281">
      <c r="A281" s="190"/>
      <c r="B281" s="158"/>
      <c r="C281" s="158"/>
      <c r="D281" s="158"/>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row>
    <row r="282">
      <c r="A282" s="190"/>
      <c r="B282" s="158"/>
      <c r="C282" s="158"/>
      <c r="D282" s="158"/>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row>
    <row r="283">
      <c r="A283" s="190"/>
      <c r="B283" s="158"/>
      <c r="C283" s="158"/>
      <c r="D283" s="158"/>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row>
    <row r="284">
      <c r="A284" s="190"/>
      <c r="B284" s="158"/>
      <c r="C284" s="158"/>
      <c r="D284" s="158"/>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row>
    <row r="285">
      <c r="A285" s="190"/>
      <c r="B285" s="158"/>
      <c r="C285" s="158"/>
      <c r="D285" s="158"/>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row>
    <row r="286">
      <c r="A286" s="190"/>
      <c r="B286" s="158"/>
      <c r="C286" s="158"/>
      <c r="D286" s="158"/>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row>
    <row r="287">
      <c r="A287" s="190"/>
      <c r="B287" s="158"/>
      <c r="C287" s="158"/>
      <c r="D287" s="158"/>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row>
    <row r="288">
      <c r="A288" s="190"/>
      <c r="B288" s="158"/>
      <c r="C288" s="158"/>
      <c r="D288" s="158"/>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row>
    <row r="289">
      <c r="A289" s="190"/>
      <c r="B289" s="158"/>
      <c r="C289" s="158"/>
      <c r="D289" s="158"/>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row>
    <row r="290">
      <c r="A290" s="190"/>
      <c r="B290" s="158"/>
      <c r="C290" s="158"/>
      <c r="D290" s="158"/>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row>
    <row r="291">
      <c r="A291" s="190"/>
      <c r="B291" s="158"/>
      <c r="C291" s="158"/>
      <c r="D291" s="158"/>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row>
    <row r="292">
      <c r="A292" s="190"/>
      <c r="B292" s="158"/>
      <c r="C292" s="158"/>
      <c r="D292" s="158"/>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row>
    <row r="293">
      <c r="A293" s="190"/>
      <c r="B293" s="158"/>
      <c r="C293" s="158"/>
      <c r="D293" s="158"/>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row>
    <row r="294">
      <c r="A294" s="190"/>
      <c r="B294" s="158"/>
      <c r="C294" s="158"/>
      <c r="D294" s="158"/>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row>
    <row r="295">
      <c r="A295" s="190"/>
      <c r="B295" s="158"/>
      <c r="C295" s="158"/>
      <c r="D295" s="158"/>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row>
    <row r="296">
      <c r="A296" s="190"/>
      <c r="B296" s="158"/>
      <c r="C296" s="158"/>
      <c r="D296" s="158"/>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row>
    <row r="297">
      <c r="A297" s="190"/>
      <c r="B297" s="158"/>
      <c r="C297" s="158"/>
      <c r="D297" s="158"/>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row>
    <row r="298">
      <c r="A298" s="190"/>
      <c r="B298" s="158"/>
      <c r="C298" s="158"/>
      <c r="D298" s="158"/>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row>
    <row r="299">
      <c r="A299" s="190"/>
      <c r="B299" s="158"/>
      <c r="C299" s="158"/>
      <c r="D299" s="158"/>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row>
    <row r="300">
      <c r="A300" s="190"/>
      <c r="B300" s="158"/>
      <c r="C300" s="158"/>
      <c r="D300" s="158"/>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row>
    <row r="301">
      <c r="A301" s="190"/>
      <c r="B301" s="158"/>
      <c r="C301" s="158"/>
      <c r="D301" s="158"/>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row>
    <row r="302">
      <c r="A302" s="190"/>
      <c r="B302" s="158"/>
      <c r="C302" s="158"/>
      <c r="D302" s="158"/>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row>
    <row r="303">
      <c r="A303" s="190"/>
      <c r="B303" s="158"/>
      <c r="C303" s="158"/>
      <c r="D303" s="158"/>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row>
    <row r="304">
      <c r="A304" s="190"/>
      <c r="B304" s="158"/>
      <c r="C304" s="158"/>
      <c r="D304" s="158"/>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row>
    <row r="305">
      <c r="A305" s="190"/>
      <c r="B305" s="158"/>
      <c r="C305" s="158"/>
      <c r="D305" s="158"/>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row>
    <row r="306">
      <c r="A306" s="190"/>
      <c r="B306" s="158"/>
      <c r="C306" s="158"/>
      <c r="D306" s="158"/>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row>
    <row r="307">
      <c r="A307" s="190"/>
      <c r="B307" s="158"/>
      <c r="C307" s="158"/>
      <c r="D307" s="158"/>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row>
    <row r="308">
      <c r="A308" s="190"/>
      <c r="B308" s="158"/>
      <c r="C308" s="158"/>
      <c r="D308" s="158"/>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row>
    <row r="309">
      <c r="A309" s="190"/>
      <c r="B309" s="158"/>
      <c r="C309" s="158"/>
      <c r="D309" s="158"/>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row>
    <row r="310">
      <c r="A310" s="190"/>
      <c r="B310" s="158"/>
      <c r="C310" s="158"/>
      <c r="D310" s="158"/>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row>
    <row r="311">
      <c r="A311" s="190"/>
      <c r="B311" s="158"/>
      <c r="C311" s="158"/>
      <c r="D311" s="158"/>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row>
    <row r="312">
      <c r="A312" s="190"/>
      <c r="B312" s="158"/>
      <c r="C312" s="158"/>
      <c r="D312" s="158"/>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row>
    <row r="313">
      <c r="A313" s="190"/>
      <c r="B313" s="158"/>
      <c r="C313" s="158"/>
      <c r="D313" s="158"/>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row>
    <row r="314">
      <c r="A314" s="190"/>
      <c r="B314" s="158"/>
      <c r="C314" s="158"/>
      <c r="D314" s="158"/>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row>
    <row r="315">
      <c r="A315" s="190"/>
      <c r="B315" s="158"/>
      <c r="C315" s="158"/>
      <c r="D315" s="158"/>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row>
    <row r="316">
      <c r="A316" s="190"/>
      <c r="B316" s="158"/>
      <c r="C316" s="158"/>
      <c r="D316" s="158"/>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row>
    <row r="317">
      <c r="A317" s="190"/>
      <c r="B317" s="158"/>
      <c r="C317" s="158"/>
      <c r="D317" s="158"/>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row>
    <row r="318">
      <c r="A318" s="190"/>
      <c r="B318" s="158"/>
      <c r="C318" s="158"/>
      <c r="D318" s="158"/>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row>
    <row r="319">
      <c r="A319" s="190"/>
      <c r="B319" s="158"/>
      <c r="C319" s="158"/>
      <c r="D319" s="158"/>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row>
    <row r="320">
      <c r="A320" s="190"/>
      <c r="B320" s="158"/>
      <c r="C320" s="158"/>
      <c r="D320" s="158"/>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row>
    <row r="321">
      <c r="A321" s="190"/>
      <c r="B321" s="158"/>
      <c r="C321" s="158"/>
      <c r="D321" s="158"/>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row>
    <row r="322">
      <c r="A322" s="190"/>
      <c r="B322" s="158"/>
      <c r="C322" s="158"/>
      <c r="D322" s="158"/>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row>
    <row r="323">
      <c r="A323" s="190"/>
      <c r="B323" s="158"/>
      <c r="C323" s="158"/>
      <c r="D323" s="158"/>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row>
    <row r="324">
      <c r="A324" s="190"/>
      <c r="B324" s="158"/>
      <c r="C324" s="158"/>
      <c r="D324" s="158"/>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row>
    <row r="325">
      <c r="A325" s="190"/>
      <c r="B325" s="158"/>
      <c r="C325" s="158"/>
      <c r="D325" s="158"/>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row>
    <row r="326">
      <c r="A326" s="190"/>
      <c r="B326" s="158"/>
      <c r="C326" s="158"/>
      <c r="D326" s="158"/>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row>
    <row r="327">
      <c r="A327" s="190"/>
      <c r="B327" s="158"/>
      <c r="C327" s="158"/>
      <c r="D327" s="158"/>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row>
    <row r="328">
      <c r="A328" s="190"/>
      <c r="B328" s="158"/>
      <c r="C328" s="158"/>
      <c r="D328" s="158"/>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row>
    <row r="329">
      <c r="A329" s="190"/>
      <c r="B329" s="158"/>
      <c r="C329" s="158"/>
      <c r="D329" s="158"/>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row>
    <row r="330">
      <c r="A330" s="190"/>
      <c r="B330" s="158"/>
      <c r="C330" s="158"/>
      <c r="D330" s="158"/>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row>
    <row r="331">
      <c r="A331" s="190"/>
      <c r="B331" s="158"/>
      <c r="C331" s="158"/>
      <c r="D331" s="158"/>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row>
    <row r="332">
      <c r="A332" s="190"/>
      <c r="B332" s="158"/>
      <c r="C332" s="158"/>
      <c r="D332" s="158"/>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row>
    <row r="333">
      <c r="A333" s="190"/>
      <c r="B333" s="158"/>
      <c r="C333" s="158"/>
      <c r="D333" s="158"/>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row>
    <row r="334">
      <c r="A334" s="190"/>
      <c r="B334" s="158"/>
      <c r="C334" s="158"/>
      <c r="D334" s="158"/>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row>
    <row r="335">
      <c r="A335" s="190"/>
      <c r="B335" s="158"/>
      <c r="C335" s="158"/>
      <c r="D335" s="158"/>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row>
    <row r="336">
      <c r="A336" s="190"/>
      <c r="B336" s="158"/>
      <c r="C336" s="158"/>
      <c r="D336" s="158"/>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row>
    <row r="337">
      <c r="A337" s="190"/>
      <c r="B337" s="158"/>
      <c r="C337" s="158"/>
      <c r="D337" s="158"/>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row>
    <row r="338">
      <c r="A338" s="190"/>
      <c r="B338" s="158"/>
      <c r="C338" s="158"/>
      <c r="D338" s="158"/>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row>
    <row r="339">
      <c r="A339" s="190"/>
      <c r="B339" s="158"/>
      <c r="C339" s="158"/>
      <c r="D339" s="158"/>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row>
    <row r="340">
      <c r="A340" s="190"/>
      <c r="B340" s="158"/>
      <c r="C340" s="158"/>
      <c r="D340" s="158"/>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row>
    <row r="341">
      <c r="A341" s="190"/>
      <c r="B341" s="158"/>
      <c r="C341" s="158"/>
      <c r="D341" s="158"/>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row>
    <row r="342">
      <c r="A342" s="190"/>
      <c r="B342" s="158"/>
      <c r="C342" s="158"/>
      <c r="D342" s="158"/>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row>
    <row r="343">
      <c r="A343" s="190"/>
      <c r="B343" s="158"/>
      <c r="C343" s="158"/>
      <c r="D343" s="158"/>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row>
    <row r="344">
      <c r="A344" s="190"/>
      <c r="B344" s="158"/>
      <c r="C344" s="158"/>
      <c r="D344" s="158"/>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row>
    <row r="345">
      <c r="A345" s="190"/>
      <c r="B345" s="158"/>
      <c r="C345" s="158"/>
      <c r="D345" s="158"/>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row>
    <row r="346">
      <c r="A346" s="190"/>
      <c r="B346" s="158"/>
      <c r="C346" s="158"/>
      <c r="D346" s="158"/>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row>
    <row r="347">
      <c r="A347" s="190"/>
      <c r="B347" s="158"/>
      <c r="C347" s="158"/>
      <c r="D347" s="158"/>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row>
    <row r="348">
      <c r="A348" s="190"/>
      <c r="B348" s="158"/>
      <c r="C348" s="158"/>
      <c r="D348" s="158"/>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row>
    <row r="349">
      <c r="A349" s="190"/>
      <c r="B349" s="158"/>
      <c r="C349" s="158"/>
      <c r="D349" s="158"/>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row>
    <row r="350">
      <c r="A350" s="190"/>
      <c r="B350" s="158"/>
      <c r="C350" s="158"/>
      <c r="D350" s="158"/>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row>
    <row r="351">
      <c r="A351" s="190"/>
      <c r="B351" s="158"/>
      <c r="C351" s="158"/>
      <c r="D351" s="158"/>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row>
    <row r="352">
      <c r="A352" s="190"/>
      <c r="B352" s="158"/>
      <c r="C352" s="158"/>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row>
    <row r="353">
      <c r="A353" s="190"/>
      <c r="B353" s="158"/>
      <c r="C353" s="158"/>
      <c r="D353" s="158"/>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row>
    <row r="354">
      <c r="A354" s="190"/>
      <c r="B354" s="158"/>
      <c r="C354" s="158"/>
      <c r="D354" s="158"/>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row>
    <row r="355">
      <c r="A355" s="190"/>
      <c r="B355" s="158"/>
      <c r="C355" s="158"/>
      <c r="D355" s="158"/>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row>
    <row r="356">
      <c r="A356" s="190"/>
      <c r="B356" s="158"/>
      <c r="C356" s="158"/>
      <c r="D356" s="158"/>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row>
    <row r="357">
      <c r="A357" s="190"/>
      <c r="B357" s="158"/>
      <c r="C357" s="158"/>
      <c r="D357" s="158"/>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row>
    <row r="358">
      <c r="A358" s="190"/>
      <c r="B358" s="158"/>
      <c r="C358" s="158"/>
      <c r="D358" s="158"/>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row>
    <row r="359">
      <c r="A359" s="190"/>
      <c r="B359" s="158"/>
      <c r="C359" s="158"/>
      <c r="D359" s="158"/>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row>
    <row r="360">
      <c r="A360" s="190"/>
      <c r="B360" s="158"/>
      <c r="C360" s="158"/>
      <c r="D360" s="158"/>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row>
    <row r="361">
      <c r="A361" s="190"/>
      <c r="B361" s="158"/>
      <c r="C361" s="158"/>
      <c r="D361" s="158"/>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row>
    <row r="362">
      <c r="A362" s="190"/>
      <c r="B362" s="158"/>
      <c r="C362" s="158"/>
      <c r="D362" s="158"/>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row>
    <row r="363">
      <c r="A363" s="190"/>
      <c r="B363" s="158"/>
      <c r="C363" s="158"/>
      <c r="D363" s="158"/>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row>
    <row r="364">
      <c r="A364" s="190"/>
      <c r="B364" s="158"/>
      <c r="C364" s="158"/>
      <c r="D364" s="158"/>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row>
    <row r="365">
      <c r="A365" s="190"/>
      <c r="B365" s="158"/>
      <c r="C365" s="158"/>
      <c r="D365" s="158"/>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row>
    <row r="366">
      <c r="A366" s="190"/>
      <c r="B366" s="158"/>
      <c r="C366" s="158"/>
      <c r="D366" s="158"/>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row>
    <row r="367">
      <c r="A367" s="190"/>
      <c r="B367" s="158"/>
      <c r="C367" s="158"/>
      <c r="D367" s="158"/>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row>
    <row r="368">
      <c r="A368" s="190"/>
      <c r="B368" s="158"/>
      <c r="C368" s="158"/>
      <c r="D368" s="158"/>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row>
    <row r="369">
      <c r="A369" s="190"/>
      <c r="B369" s="158"/>
      <c r="C369" s="158"/>
      <c r="D369" s="158"/>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row>
    <row r="370">
      <c r="A370" s="190"/>
      <c r="B370" s="158"/>
      <c r="C370" s="158"/>
      <c r="D370" s="158"/>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row>
    <row r="371">
      <c r="A371" s="190"/>
      <c r="B371" s="158"/>
      <c r="C371" s="158"/>
      <c r="D371" s="158"/>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row>
    <row r="372">
      <c r="A372" s="190"/>
      <c r="B372" s="158"/>
      <c r="C372" s="158"/>
      <c r="D372" s="158"/>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row>
    <row r="373">
      <c r="A373" s="190"/>
      <c r="B373" s="158"/>
      <c r="C373" s="158"/>
      <c r="D373" s="158"/>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row>
    <row r="374">
      <c r="A374" s="190"/>
      <c r="B374" s="158"/>
      <c r="C374" s="158"/>
      <c r="D374" s="158"/>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row>
    <row r="375">
      <c r="A375" s="190"/>
      <c r="B375" s="158"/>
      <c r="C375" s="158"/>
      <c r="D375" s="158"/>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row>
    <row r="376">
      <c r="A376" s="190"/>
      <c r="B376" s="158"/>
      <c r="C376" s="158"/>
      <c r="D376" s="158"/>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row>
    <row r="377">
      <c r="A377" s="190"/>
      <c r="B377" s="158"/>
      <c r="C377" s="158"/>
      <c r="D377" s="158"/>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row>
    <row r="378">
      <c r="A378" s="190"/>
      <c r="B378" s="158"/>
      <c r="C378" s="158"/>
      <c r="D378" s="158"/>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row>
    <row r="379">
      <c r="A379" s="190"/>
      <c r="B379" s="158"/>
      <c r="C379" s="158"/>
      <c r="D379" s="158"/>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row>
    <row r="380">
      <c r="A380" s="190"/>
      <c r="B380" s="158"/>
      <c r="C380" s="158"/>
      <c r="D380" s="158"/>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row>
    <row r="381">
      <c r="A381" s="190"/>
      <c r="B381" s="158"/>
      <c r="C381" s="158"/>
      <c r="D381" s="158"/>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row>
    <row r="382">
      <c r="A382" s="190"/>
      <c r="B382" s="158"/>
      <c r="C382" s="158"/>
      <c r="D382" s="158"/>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row>
    <row r="383">
      <c r="A383" s="190"/>
      <c r="B383" s="158"/>
      <c r="C383" s="158"/>
      <c r="D383" s="158"/>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row>
    <row r="384">
      <c r="A384" s="190"/>
      <c r="B384" s="158"/>
      <c r="C384" s="158"/>
      <c r="D384" s="158"/>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row>
    <row r="385">
      <c r="A385" s="190"/>
      <c r="B385" s="158"/>
      <c r="C385" s="158"/>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row>
    <row r="386">
      <c r="A386" s="190"/>
      <c r="B386" s="158"/>
      <c r="C386" s="158"/>
      <c r="D386" s="158"/>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row>
    <row r="387">
      <c r="A387" s="190"/>
      <c r="B387" s="158"/>
      <c r="C387" s="158"/>
      <c r="D387" s="158"/>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row>
    <row r="388">
      <c r="A388" s="190"/>
      <c r="B388" s="158"/>
      <c r="C388" s="158"/>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row>
    <row r="389">
      <c r="A389" s="190"/>
      <c r="B389" s="158"/>
      <c r="C389" s="158"/>
      <c r="D389" s="158"/>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row>
    <row r="390">
      <c r="A390" s="190"/>
      <c r="B390" s="158"/>
      <c r="C390" s="158"/>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row>
    <row r="391">
      <c r="A391" s="190"/>
      <c r="B391" s="158"/>
      <c r="C391" s="158"/>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row>
    <row r="392">
      <c r="A392" s="190"/>
      <c r="B392" s="158"/>
      <c r="C392" s="158"/>
      <c r="D392" s="158"/>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row>
    <row r="393">
      <c r="A393" s="190"/>
      <c r="B393" s="158"/>
      <c r="C393" s="158"/>
      <c r="D393" s="158"/>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row>
    <row r="394">
      <c r="A394" s="190"/>
      <c r="B394" s="158"/>
      <c r="C394" s="158"/>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row>
    <row r="395">
      <c r="A395" s="190"/>
      <c r="B395" s="158"/>
      <c r="C395" s="158"/>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row>
    <row r="396">
      <c r="A396" s="190"/>
      <c r="B396" s="158"/>
      <c r="C396" s="158"/>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row>
    <row r="397">
      <c r="A397" s="190"/>
      <c r="B397" s="158"/>
      <c r="C397" s="158"/>
      <c r="D397" s="158"/>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row>
    <row r="398">
      <c r="A398" s="190"/>
      <c r="B398" s="158"/>
      <c r="C398" s="158"/>
      <c r="D398" s="158"/>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row>
    <row r="399">
      <c r="A399" s="190"/>
      <c r="B399" s="158"/>
      <c r="C399" s="158"/>
      <c r="D399" s="158"/>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row>
    <row r="400">
      <c r="A400" s="190"/>
      <c r="B400" s="158"/>
      <c r="C400" s="158"/>
      <c r="D400" s="158"/>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row>
    <row r="401">
      <c r="A401" s="190"/>
      <c r="B401" s="158"/>
      <c r="C401" s="158"/>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row>
    <row r="402">
      <c r="A402" s="190"/>
      <c r="B402" s="158"/>
      <c r="C402" s="158"/>
      <c r="D402" s="158"/>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row>
    <row r="403">
      <c r="A403" s="190"/>
      <c r="B403" s="158"/>
      <c r="C403" s="158"/>
      <c r="D403" s="158"/>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row>
    <row r="404">
      <c r="A404" s="190"/>
      <c r="B404" s="158"/>
      <c r="C404" s="158"/>
      <c r="D404" s="158"/>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row>
    <row r="405">
      <c r="A405" s="190"/>
      <c r="B405" s="158"/>
      <c r="C405" s="158"/>
      <c r="D405" s="158"/>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row>
    <row r="406">
      <c r="A406" s="190"/>
      <c r="B406" s="158"/>
      <c r="C406" s="158"/>
      <c r="D406" s="158"/>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row>
    <row r="407">
      <c r="A407" s="190"/>
      <c r="B407" s="158"/>
      <c r="C407" s="158"/>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row>
    <row r="408">
      <c r="A408" s="190"/>
      <c r="B408" s="158"/>
      <c r="C408" s="158"/>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row>
    <row r="409">
      <c r="A409" s="190"/>
      <c r="B409" s="158"/>
      <c r="C409" s="158"/>
      <c r="D409" s="158"/>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row>
    <row r="410">
      <c r="A410" s="190"/>
      <c r="B410" s="158"/>
      <c r="C410" s="158"/>
      <c r="D410" s="158"/>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row>
    <row r="411">
      <c r="A411" s="190"/>
      <c r="B411" s="158"/>
      <c r="C411" s="158"/>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row>
    <row r="412">
      <c r="A412" s="190"/>
      <c r="B412" s="158"/>
      <c r="C412" s="158"/>
      <c r="D412" s="158"/>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row>
    <row r="413">
      <c r="A413" s="190"/>
      <c r="B413" s="158"/>
      <c r="C413" s="158"/>
      <c r="D413" s="158"/>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row>
    <row r="414">
      <c r="A414" s="190"/>
      <c r="B414" s="158"/>
      <c r="C414" s="158"/>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row>
    <row r="415">
      <c r="A415" s="190"/>
      <c r="B415" s="158"/>
      <c r="C415" s="158"/>
      <c r="D415" s="158"/>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row>
    <row r="416">
      <c r="A416" s="190"/>
      <c r="B416" s="158"/>
      <c r="C416" s="158"/>
      <c r="D416" s="158"/>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row>
    <row r="417">
      <c r="A417" s="190"/>
      <c r="B417" s="158"/>
      <c r="C417" s="158"/>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row>
    <row r="418">
      <c r="A418" s="190"/>
      <c r="B418" s="158"/>
      <c r="C418" s="158"/>
      <c r="D418" s="158"/>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row>
    <row r="419">
      <c r="A419" s="190"/>
      <c r="B419" s="158"/>
      <c r="C419" s="158"/>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row>
    <row r="420">
      <c r="A420" s="190"/>
      <c r="B420" s="158"/>
      <c r="C420" s="158"/>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row>
    <row r="421">
      <c r="A421" s="190"/>
      <c r="B421" s="158"/>
      <c r="C421" s="158"/>
      <c r="D421" s="158"/>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row>
    <row r="422">
      <c r="A422" s="190"/>
      <c r="B422" s="158"/>
      <c r="C422" s="158"/>
      <c r="D422" s="158"/>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row>
    <row r="423">
      <c r="A423" s="190"/>
      <c r="B423" s="158"/>
      <c r="C423" s="158"/>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row>
    <row r="424">
      <c r="A424" s="190"/>
      <c r="B424" s="158"/>
      <c r="C424" s="158"/>
      <c r="D424" s="158"/>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row>
    <row r="425">
      <c r="A425" s="190"/>
      <c r="B425" s="158"/>
      <c r="C425" s="158"/>
      <c r="D425" s="158"/>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row>
    <row r="426">
      <c r="A426" s="190"/>
      <c r="B426" s="158"/>
      <c r="C426" s="158"/>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row>
    <row r="427">
      <c r="A427" s="190"/>
      <c r="B427" s="158"/>
      <c r="C427" s="158"/>
      <c r="D427" s="158"/>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row>
    <row r="428">
      <c r="A428" s="190"/>
      <c r="B428" s="158"/>
      <c r="C428" s="158"/>
      <c r="D428" s="158"/>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row>
    <row r="429">
      <c r="A429" s="190"/>
      <c r="B429" s="158"/>
      <c r="C429" s="158"/>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row>
    <row r="430">
      <c r="A430" s="190"/>
      <c r="B430" s="158"/>
      <c r="C430" s="158"/>
      <c r="D430" s="158"/>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row>
    <row r="431">
      <c r="A431" s="190"/>
      <c r="B431" s="158"/>
      <c r="C431" s="158"/>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row>
    <row r="432">
      <c r="A432" s="190"/>
      <c r="B432" s="158"/>
      <c r="C432" s="158"/>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row>
    <row r="433">
      <c r="A433" s="190"/>
      <c r="B433" s="158"/>
      <c r="C433" s="158"/>
      <c r="D433" s="158"/>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row>
    <row r="434">
      <c r="A434" s="190"/>
      <c r="B434" s="158"/>
      <c r="C434" s="158"/>
      <c r="D434" s="158"/>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row>
    <row r="435">
      <c r="A435" s="190"/>
      <c r="B435" s="158"/>
      <c r="C435" s="158"/>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row>
    <row r="436">
      <c r="A436" s="190"/>
      <c r="B436" s="158"/>
      <c r="C436" s="158"/>
      <c r="D436" s="158"/>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row>
    <row r="437">
      <c r="A437" s="190"/>
      <c r="B437" s="158"/>
      <c r="C437" s="158"/>
      <c r="D437" s="158"/>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row>
    <row r="438">
      <c r="A438" s="190"/>
      <c r="B438" s="158"/>
      <c r="C438" s="158"/>
      <c r="D438" s="158"/>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row>
    <row r="439">
      <c r="A439" s="190"/>
      <c r="B439" s="158"/>
      <c r="C439" s="158"/>
      <c r="D439" s="158"/>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row>
    <row r="440">
      <c r="A440" s="190"/>
      <c r="B440" s="158"/>
      <c r="C440" s="158"/>
      <c r="D440" s="158"/>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row>
    <row r="441">
      <c r="A441" s="190"/>
      <c r="B441" s="158"/>
      <c r="C441" s="158"/>
      <c r="D441" s="158"/>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row>
    <row r="442">
      <c r="A442" s="190"/>
      <c r="B442" s="158"/>
      <c r="C442" s="158"/>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row>
    <row r="443">
      <c r="A443" s="190"/>
      <c r="B443" s="158"/>
      <c r="C443" s="158"/>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row>
    <row r="444">
      <c r="A444" s="190"/>
      <c r="B444" s="158"/>
      <c r="C444" s="158"/>
      <c r="D444" s="158"/>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row>
    <row r="445">
      <c r="A445" s="190"/>
      <c r="B445" s="158"/>
      <c r="C445" s="158"/>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row>
    <row r="446">
      <c r="A446" s="190"/>
      <c r="B446" s="158"/>
      <c r="C446" s="158"/>
      <c r="D446" s="158"/>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row>
    <row r="447">
      <c r="A447" s="190"/>
      <c r="B447" s="158"/>
      <c r="C447" s="158"/>
      <c r="D447" s="158"/>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row>
    <row r="448">
      <c r="A448" s="190"/>
      <c r="B448" s="158"/>
      <c r="C448" s="158"/>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row>
    <row r="449">
      <c r="A449" s="190"/>
      <c r="B449" s="158"/>
      <c r="C449" s="158"/>
      <c r="D449" s="158"/>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row>
    <row r="450">
      <c r="A450" s="190"/>
      <c r="B450" s="158"/>
      <c r="C450" s="158"/>
      <c r="D450" s="158"/>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row>
    <row r="451">
      <c r="A451" s="190"/>
      <c r="B451" s="158"/>
      <c r="C451" s="158"/>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row>
    <row r="452">
      <c r="A452" s="190"/>
      <c r="B452" s="158"/>
      <c r="C452" s="158"/>
      <c r="D452" s="158"/>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row>
    <row r="453">
      <c r="A453" s="190"/>
      <c r="B453" s="158"/>
      <c r="C453" s="158"/>
      <c r="D453" s="158"/>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row>
    <row r="454">
      <c r="A454" s="190"/>
      <c r="B454" s="158"/>
      <c r="C454" s="158"/>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row>
    <row r="455">
      <c r="A455" s="190"/>
      <c r="B455" s="158"/>
      <c r="C455" s="158"/>
      <c r="D455" s="158"/>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row>
    <row r="456">
      <c r="A456" s="190"/>
      <c r="B456" s="158"/>
      <c r="C456" s="158"/>
      <c r="D456" s="158"/>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row>
    <row r="457">
      <c r="A457" s="190"/>
      <c r="B457" s="158"/>
      <c r="C457" s="158"/>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row>
    <row r="458">
      <c r="A458" s="190"/>
      <c r="B458" s="158"/>
      <c r="C458" s="158"/>
      <c r="D458" s="158"/>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row>
    <row r="459">
      <c r="A459" s="190"/>
      <c r="B459" s="158"/>
      <c r="C459" s="158"/>
      <c r="D459" s="158"/>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row>
    <row r="460">
      <c r="A460" s="190"/>
      <c r="B460" s="158"/>
      <c r="C460" s="158"/>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row>
    <row r="461">
      <c r="A461" s="190"/>
      <c r="B461" s="158"/>
      <c r="C461" s="158"/>
      <c r="D461" s="158"/>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row>
    <row r="462">
      <c r="A462" s="190"/>
      <c r="B462" s="158"/>
      <c r="C462" s="158"/>
      <c r="D462" s="158"/>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row>
    <row r="463">
      <c r="A463" s="190"/>
      <c r="B463" s="158"/>
      <c r="C463" s="158"/>
      <c r="D463" s="158"/>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row>
    <row r="464">
      <c r="A464" s="190"/>
      <c r="B464" s="158"/>
      <c r="C464" s="158"/>
      <c r="D464" s="158"/>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row>
    <row r="465">
      <c r="A465" s="190"/>
      <c r="B465" s="158"/>
      <c r="C465" s="158"/>
      <c r="D465" s="158"/>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row>
    <row r="466">
      <c r="A466" s="190"/>
      <c r="B466" s="158"/>
      <c r="C466" s="158"/>
      <c r="D466" s="158"/>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row>
    <row r="467">
      <c r="A467" s="190"/>
      <c r="B467" s="158"/>
      <c r="C467" s="158"/>
      <c r="D467" s="158"/>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row>
    <row r="468">
      <c r="A468" s="190"/>
      <c r="B468" s="158"/>
      <c r="C468" s="158"/>
      <c r="D468" s="158"/>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row>
    <row r="469">
      <c r="A469" s="190"/>
      <c r="B469" s="158"/>
      <c r="C469" s="158"/>
      <c r="D469" s="158"/>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row>
    <row r="470">
      <c r="A470" s="190"/>
      <c r="B470" s="158"/>
      <c r="C470" s="158"/>
      <c r="D470" s="158"/>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row>
    <row r="471">
      <c r="A471" s="190"/>
      <c r="B471" s="158"/>
      <c r="C471" s="158"/>
      <c r="D471" s="158"/>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row>
    <row r="472">
      <c r="A472" s="190"/>
      <c r="B472" s="158"/>
      <c r="C472" s="158"/>
      <c r="D472" s="158"/>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row>
    <row r="473">
      <c r="A473" s="190"/>
      <c r="B473" s="158"/>
      <c r="C473" s="158"/>
      <c r="D473" s="158"/>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row>
    <row r="474">
      <c r="A474" s="190"/>
      <c r="B474" s="158"/>
      <c r="C474" s="158"/>
      <c r="D474" s="158"/>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row>
    <row r="475">
      <c r="A475" s="190"/>
      <c r="B475" s="158"/>
      <c r="C475" s="158"/>
      <c r="D475" s="158"/>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row>
    <row r="476">
      <c r="A476" s="190"/>
      <c r="B476" s="158"/>
      <c r="C476" s="158"/>
      <c r="D476" s="158"/>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row>
    <row r="477">
      <c r="A477" s="190"/>
      <c r="B477" s="158"/>
      <c r="C477" s="158"/>
      <c r="D477" s="158"/>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row>
    <row r="478">
      <c r="A478" s="190"/>
      <c r="B478" s="158"/>
      <c r="C478" s="158"/>
      <c r="D478" s="158"/>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row>
    <row r="479">
      <c r="A479" s="190"/>
      <c r="B479" s="158"/>
      <c r="C479" s="158"/>
      <c r="D479" s="158"/>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row>
    <row r="480">
      <c r="A480" s="190"/>
      <c r="B480" s="158"/>
      <c r="C480" s="158"/>
      <c r="D480" s="158"/>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row>
    <row r="481">
      <c r="A481" s="190"/>
      <c r="B481" s="158"/>
      <c r="C481" s="158"/>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row>
    <row r="482">
      <c r="A482" s="190"/>
      <c r="B482" s="158"/>
      <c r="C482" s="158"/>
      <c r="D482" s="158"/>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row>
    <row r="483">
      <c r="A483" s="190"/>
      <c r="B483" s="158"/>
      <c r="C483" s="158"/>
      <c r="D483" s="158"/>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row>
    <row r="484">
      <c r="A484" s="190"/>
      <c r="B484" s="158"/>
      <c r="C484" s="158"/>
      <c r="D484" s="158"/>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row>
    <row r="485">
      <c r="A485" s="190"/>
      <c r="B485" s="158"/>
      <c r="C485" s="158"/>
      <c r="D485" s="158"/>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row>
    <row r="486">
      <c r="A486" s="190"/>
      <c r="B486" s="158"/>
      <c r="C486" s="158"/>
      <c r="D486" s="158"/>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row>
    <row r="487">
      <c r="A487" s="190"/>
      <c r="B487" s="158"/>
      <c r="C487" s="158"/>
      <c r="D487" s="158"/>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row>
    <row r="488">
      <c r="A488" s="190"/>
      <c r="B488" s="158"/>
      <c r="C488" s="158"/>
      <c r="D488" s="158"/>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row>
    <row r="489">
      <c r="A489" s="190"/>
      <c r="B489" s="158"/>
      <c r="C489" s="158"/>
      <c r="D489" s="158"/>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row>
    <row r="490">
      <c r="A490" s="190"/>
      <c r="B490" s="158"/>
      <c r="C490" s="158"/>
      <c r="D490" s="158"/>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row>
    <row r="491">
      <c r="A491" s="190"/>
      <c r="B491" s="158"/>
      <c r="C491" s="158"/>
      <c r="D491" s="158"/>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row>
    <row r="492">
      <c r="A492" s="190"/>
      <c r="B492" s="158"/>
      <c r="C492" s="158"/>
      <c r="D492" s="158"/>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row>
    <row r="493">
      <c r="A493" s="190"/>
      <c r="B493" s="158"/>
      <c r="C493" s="158"/>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row>
    <row r="494">
      <c r="A494" s="190"/>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row>
    <row r="495">
      <c r="A495" s="190"/>
      <c r="B495" s="158"/>
      <c r="C495" s="158"/>
      <c r="D495" s="158"/>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row>
    <row r="496">
      <c r="A496" s="190"/>
      <c r="B496" s="158"/>
      <c r="C496" s="158"/>
      <c r="D496" s="158"/>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row>
    <row r="497">
      <c r="A497" s="190"/>
      <c r="B497" s="158"/>
      <c r="C497" s="158"/>
      <c r="D497" s="158"/>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row>
    <row r="498">
      <c r="A498" s="190"/>
      <c r="B498" s="158"/>
      <c r="C498" s="158"/>
      <c r="D498" s="158"/>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row>
    <row r="499">
      <c r="A499" s="190"/>
      <c r="B499" s="158"/>
      <c r="C499" s="158"/>
      <c r="D499" s="158"/>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row>
    <row r="500">
      <c r="A500" s="190"/>
      <c r="B500" s="158"/>
      <c r="C500" s="158"/>
      <c r="D500" s="158"/>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row>
    <row r="501">
      <c r="A501" s="190"/>
      <c r="B501" s="158"/>
      <c r="C501" s="158"/>
      <c r="D501" s="158"/>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row>
    <row r="502">
      <c r="A502" s="190"/>
      <c r="B502" s="158"/>
      <c r="C502" s="158"/>
      <c r="D502" s="158"/>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row>
    <row r="503">
      <c r="A503" s="190"/>
      <c r="B503" s="158"/>
      <c r="C503" s="158"/>
      <c r="D503" s="158"/>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row>
    <row r="504">
      <c r="A504" s="190"/>
      <c r="B504" s="158"/>
      <c r="C504" s="158"/>
      <c r="D504" s="158"/>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row>
    <row r="505">
      <c r="A505" s="190"/>
      <c r="B505" s="158"/>
      <c r="C505" s="158"/>
      <c r="D505" s="158"/>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row>
    <row r="506">
      <c r="A506" s="190"/>
      <c r="B506" s="158"/>
      <c r="C506" s="158"/>
      <c r="D506" s="158"/>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row>
    <row r="507">
      <c r="A507" s="190"/>
      <c r="B507" s="158"/>
      <c r="C507" s="158"/>
      <c r="D507" s="158"/>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row>
    <row r="508">
      <c r="A508" s="190"/>
      <c r="B508" s="158"/>
      <c r="C508" s="158"/>
      <c r="D508" s="158"/>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row>
    <row r="509">
      <c r="A509" s="190"/>
      <c r="B509" s="158"/>
      <c r="C509" s="158"/>
      <c r="D509" s="158"/>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row>
    <row r="510">
      <c r="A510" s="190"/>
      <c r="B510" s="158"/>
      <c r="C510" s="158"/>
      <c r="D510" s="158"/>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row>
    <row r="511">
      <c r="A511" s="190"/>
      <c r="B511" s="158"/>
      <c r="C511" s="158"/>
      <c r="D511" s="158"/>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row>
    <row r="512">
      <c r="A512" s="190"/>
      <c r="B512" s="158"/>
      <c r="C512" s="158"/>
      <c r="D512" s="158"/>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row>
    <row r="513">
      <c r="A513" s="190"/>
      <c r="B513" s="158"/>
      <c r="C513" s="158"/>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row>
    <row r="514">
      <c r="A514" s="190"/>
      <c r="B514" s="158"/>
      <c r="C514" s="158"/>
      <c r="D514" s="158"/>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row>
    <row r="515">
      <c r="A515" s="190"/>
      <c r="B515" s="158"/>
      <c r="C515" s="158"/>
      <c r="D515" s="158"/>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row>
    <row r="516">
      <c r="A516" s="190"/>
      <c r="B516" s="158"/>
      <c r="C516" s="158"/>
      <c r="D516" s="158"/>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row>
    <row r="517">
      <c r="A517" s="190"/>
      <c r="B517" s="158"/>
      <c r="C517" s="158"/>
      <c r="D517" s="158"/>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row>
    <row r="518">
      <c r="A518" s="190"/>
      <c r="B518" s="158"/>
      <c r="C518" s="158"/>
      <c r="D518" s="158"/>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row>
    <row r="519">
      <c r="A519" s="190"/>
      <c r="B519" s="158"/>
      <c r="C519" s="158"/>
      <c r="D519" s="158"/>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row>
    <row r="520">
      <c r="A520" s="190"/>
      <c r="B520" s="158"/>
      <c r="C520" s="158"/>
      <c r="D520" s="158"/>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row>
    <row r="521">
      <c r="A521" s="190"/>
      <c r="B521" s="158"/>
      <c r="C521" s="158"/>
      <c r="D521" s="158"/>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row>
    <row r="522">
      <c r="A522" s="190"/>
      <c r="B522" s="158"/>
      <c r="C522" s="158"/>
      <c r="D522" s="158"/>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row>
    <row r="523">
      <c r="A523" s="190"/>
      <c r="B523" s="158"/>
      <c r="C523" s="158"/>
      <c r="D523" s="158"/>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row>
    <row r="524">
      <c r="A524" s="190"/>
      <c r="B524" s="158"/>
      <c r="C524" s="158"/>
      <c r="D524" s="158"/>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row>
    <row r="525">
      <c r="A525" s="190"/>
      <c r="B525" s="158"/>
      <c r="C525" s="158"/>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row>
    <row r="526">
      <c r="A526" s="190"/>
      <c r="B526" s="158"/>
      <c r="C526" s="158"/>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row>
    <row r="527">
      <c r="A527" s="190"/>
      <c r="B527" s="158"/>
      <c r="C527" s="158"/>
      <c r="D527" s="158"/>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row>
    <row r="528">
      <c r="A528" s="190"/>
      <c r="B528" s="158"/>
      <c r="C528" s="158"/>
      <c r="D528" s="158"/>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row>
    <row r="529">
      <c r="A529" s="190"/>
      <c r="B529" s="158"/>
      <c r="C529" s="158"/>
      <c r="D529" s="158"/>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row>
    <row r="530">
      <c r="A530" s="190"/>
      <c r="B530" s="158"/>
      <c r="C530" s="158"/>
      <c r="D530" s="158"/>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row>
    <row r="531">
      <c r="A531" s="190"/>
      <c r="B531" s="158"/>
      <c r="C531" s="158"/>
      <c r="D531" s="158"/>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row>
    <row r="532">
      <c r="A532" s="190"/>
      <c r="B532" s="158"/>
      <c r="C532" s="158"/>
      <c r="D532" s="158"/>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row>
    <row r="533">
      <c r="A533" s="190"/>
      <c r="B533" s="158"/>
      <c r="C533" s="158"/>
      <c r="D533" s="158"/>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row>
    <row r="534">
      <c r="A534" s="190"/>
      <c r="B534" s="158"/>
      <c r="C534" s="158"/>
      <c r="D534" s="158"/>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row>
    <row r="535">
      <c r="A535" s="190"/>
      <c r="B535" s="158"/>
      <c r="C535" s="158"/>
      <c r="D535" s="158"/>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row>
    <row r="536">
      <c r="A536" s="190"/>
      <c r="B536" s="158"/>
      <c r="C536" s="158"/>
      <c r="D536" s="158"/>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row>
    <row r="537">
      <c r="A537" s="190"/>
      <c r="B537" s="158"/>
      <c r="C537" s="158"/>
      <c r="D537" s="158"/>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row>
    <row r="538">
      <c r="A538" s="190"/>
      <c r="B538" s="158"/>
      <c r="C538" s="158"/>
      <c r="D538" s="158"/>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row>
    <row r="539">
      <c r="A539" s="190"/>
      <c r="B539" s="158"/>
      <c r="C539" s="158"/>
      <c r="D539" s="158"/>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row>
    <row r="540">
      <c r="A540" s="190"/>
      <c r="B540" s="158"/>
      <c r="C540" s="158"/>
      <c r="D540" s="158"/>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row>
    <row r="541">
      <c r="A541" s="190"/>
      <c r="B541" s="158"/>
      <c r="C541" s="158"/>
      <c r="D541" s="158"/>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row>
    <row r="542">
      <c r="A542" s="190"/>
      <c r="B542" s="158"/>
      <c r="C542" s="158"/>
      <c r="D542" s="158"/>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row>
    <row r="543">
      <c r="A543" s="190"/>
      <c r="B543" s="158"/>
      <c r="C543" s="158"/>
      <c r="D543" s="158"/>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row>
    <row r="544">
      <c r="A544" s="190"/>
      <c r="B544" s="158"/>
      <c r="C544" s="158"/>
      <c r="D544" s="158"/>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row>
    <row r="545">
      <c r="A545" s="190"/>
      <c r="B545" s="158"/>
      <c r="C545" s="158"/>
      <c r="D545" s="158"/>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row>
    <row r="546">
      <c r="A546" s="190"/>
      <c r="B546" s="158"/>
      <c r="C546" s="158"/>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row>
    <row r="547">
      <c r="A547" s="190"/>
      <c r="B547" s="158"/>
      <c r="C547" s="158"/>
      <c r="D547" s="158"/>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row>
    <row r="548">
      <c r="A548" s="190"/>
      <c r="B548" s="158"/>
      <c r="C548" s="158"/>
      <c r="D548" s="158"/>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row>
    <row r="549">
      <c r="A549" s="190"/>
      <c r="B549" s="158"/>
      <c r="C549" s="158"/>
      <c r="D549" s="158"/>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row>
    <row r="550">
      <c r="A550" s="190"/>
      <c r="B550" s="158"/>
      <c r="C550" s="158"/>
      <c r="D550" s="158"/>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row>
    <row r="551">
      <c r="A551" s="190"/>
      <c r="B551" s="158"/>
      <c r="C551" s="158"/>
      <c r="D551" s="158"/>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row>
    <row r="552">
      <c r="A552" s="190"/>
      <c r="B552" s="158"/>
      <c r="C552" s="158"/>
      <c r="D552" s="158"/>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row>
    <row r="553">
      <c r="A553" s="190"/>
      <c r="B553" s="158"/>
      <c r="C553" s="158"/>
      <c r="D553" s="158"/>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row>
    <row r="554">
      <c r="A554" s="190"/>
      <c r="B554" s="158"/>
      <c r="C554" s="158"/>
      <c r="D554" s="158"/>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row>
    <row r="555">
      <c r="A555" s="190"/>
      <c r="B555" s="158"/>
      <c r="C555" s="158"/>
      <c r="D555" s="158"/>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row>
    <row r="556">
      <c r="A556" s="190"/>
      <c r="B556" s="158"/>
      <c r="C556" s="158"/>
      <c r="D556" s="158"/>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row>
    <row r="557">
      <c r="A557" s="190"/>
      <c r="B557" s="158"/>
      <c r="C557" s="158"/>
      <c r="D557" s="158"/>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row>
    <row r="558">
      <c r="A558" s="190"/>
      <c r="B558" s="158"/>
      <c r="C558" s="158"/>
      <c r="D558" s="158"/>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row>
    <row r="559">
      <c r="A559" s="190"/>
      <c r="B559" s="158"/>
      <c r="C559" s="158"/>
      <c r="D559" s="158"/>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row>
    <row r="560">
      <c r="A560" s="190"/>
      <c r="B560" s="158"/>
      <c r="C560" s="158"/>
      <c r="D560" s="158"/>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row>
    <row r="561">
      <c r="A561" s="190"/>
      <c r="B561" s="158"/>
      <c r="C561" s="158"/>
      <c r="D561" s="158"/>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row>
    <row r="562">
      <c r="A562" s="190"/>
      <c r="B562" s="158"/>
      <c r="C562" s="158"/>
      <c r="D562" s="158"/>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row>
    <row r="563">
      <c r="A563" s="190"/>
      <c r="B563" s="158"/>
      <c r="C563" s="158"/>
      <c r="D563" s="158"/>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row>
    <row r="564">
      <c r="A564" s="190"/>
      <c r="B564" s="158"/>
      <c r="C564" s="158"/>
      <c r="D564" s="158"/>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row>
    <row r="565">
      <c r="A565" s="190"/>
      <c r="B565" s="158"/>
      <c r="C565" s="158"/>
      <c r="D565" s="158"/>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row>
    <row r="566">
      <c r="A566" s="190"/>
      <c r="B566" s="158"/>
      <c r="C566" s="158"/>
      <c r="D566" s="158"/>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row>
    <row r="567">
      <c r="A567" s="190"/>
      <c r="B567" s="158"/>
      <c r="C567" s="158"/>
      <c r="D567" s="158"/>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row>
    <row r="568">
      <c r="A568" s="190"/>
      <c r="B568" s="158"/>
      <c r="C568" s="158"/>
      <c r="D568" s="158"/>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row>
    <row r="569">
      <c r="A569" s="190"/>
      <c r="B569" s="158"/>
      <c r="C569" s="158"/>
      <c r="D569" s="158"/>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row>
    <row r="570">
      <c r="A570" s="190"/>
      <c r="B570" s="158"/>
      <c r="C570" s="158"/>
      <c r="D570" s="158"/>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row>
    <row r="571">
      <c r="A571" s="190"/>
      <c r="B571" s="158"/>
      <c r="C571" s="158"/>
      <c r="D571" s="158"/>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row>
    <row r="572">
      <c r="A572" s="190"/>
      <c r="B572" s="158"/>
      <c r="C572" s="158"/>
      <c r="D572" s="158"/>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row>
    <row r="573">
      <c r="A573" s="190"/>
      <c r="B573" s="158"/>
      <c r="C573" s="158"/>
      <c r="D573" s="158"/>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row>
    <row r="574">
      <c r="A574" s="190"/>
      <c r="B574" s="158"/>
      <c r="C574" s="158"/>
      <c r="D574" s="158"/>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row>
    <row r="575">
      <c r="A575" s="190"/>
      <c r="B575" s="158"/>
      <c r="C575" s="158"/>
      <c r="D575" s="158"/>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row>
    <row r="576">
      <c r="A576" s="190"/>
      <c r="B576" s="158"/>
      <c r="C576" s="158"/>
      <c r="D576" s="158"/>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row>
    <row r="577">
      <c r="A577" s="190"/>
      <c r="B577" s="158"/>
      <c r="C577" s="158"/>
      <c r="D577" s="158"/>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row>
    <row r="578">
      <c r="A578" s="190"/>
      <c r="B578" s="158"/>
      <c r="C578" s="158"/>
      <c r="D578" s="158"/>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row>
    <row r="579">
      <c r="A579" s="190"/>
      <c r="B579" s="158"/>
      <c r="C579" s="158"/>
      <c r="D579" s="158"/>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row>
    <row r="580">
      <c r="A580" s="190"/>
      <c r="B580" s="158"/>
      <c r="C580" s="158"/>
      <c r="D580" s="158"/>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row>
    <row r="581">
      <c r="A581" s="190"/>
      <c r="B581" s="158"/>
      <c r="C581" s="158"/>
      <c r="D581" s="158"/>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row>
    <row r="582">
      <c r="A582" s="190"/>
      <c r="B582" s="158"/>
      <c r="C582" s="158"/>
      <c r="D582" s="158"/>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row>
    <row r="583">
      <c r="A583" s="190"/>
      <c r="B583" s="158"/>
      <c r="C583" s="158"/>
      <c r="D583" s="158"/>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row>
    <row r="584">
      <c r="A584" s="190"/>
      <c r="B584" s="158"/>
      <c r="C584" s="158"/>
      <c r="D584" s="158"/>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row>
    <row r="585">
      <c r="A585" s="190"/>
      <c r="B585" s="158"/>
      <c r="C585" s="158"/>
      <c r="D585" s="158"/>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row>
    <row r="586">
      <c r="A586" s="190"/>
      <c r="B586" s="158"/>
      <c r="C586" s="158"/>
      <c r="D586" s="158"/>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row>
    <row r="587">
      <c r="A587" s="190"/>
      <c r="B587" s="158"/>
      <c r="C587" s="158"/>
      <c r="D587" s="158"/>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row>
    <row r="588">
      <c r="A588" s="190"/>
      <c r="B588" s="158"/>
      <c r="C588" s="158"/>
      <c r="D588" s="158"/>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row>
    <row r="589">
      <c r="A589" s="190"/>
      <c r="B589" s="158"/>
      <c r="C589" s="158"/>
      <c r="D589" s="158"/>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row>
    <row r="590">
      <c r="A590" s="190"/>
      <c r="B590" s="158"/>
      <c r="C590" s="158"/>
      <c r="D590" s="158"/>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row>
    <row r="591">
      <c r="A591" s="190"/>
      <c r="B591" s="158"/>
      <c r="C591" s="158"/>
      <c r="D591" s="158"/>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row>
    <row r="592">
      <c r="A592" s="190"/>
      <c r="B592" s="158"/>
      <c r="C592" s="158"/>
      <c r="D592" s="158"/>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row>
    <row r="593">
      <c r="A593" s="190"/>
      <c r="B593" s="158"/>
      <c r="C593" s="158"/>
      <c r="D593" s="158"/>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row>
    <row r="594">
      <c r="A594" s="190"/>
      <c r="B594" s="158"/>
      <c r="C594" s="158"/>
      <c r="D594" s="158"/>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row>
    <row r="595">
      <c r="A595" s="190"/>
      <c r="B595" s="158"/>
      <c r="C595" s="158"/>
      <c r="D595" s="158"/>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row>
    <row r="596">
      <c r="A596" s="190"/>
      <c r="B596" s="158"/>
      <c r="C596" s="158"/>
      <c r="D596" s="158"/>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row>
    <row r="597">
      <c r="A597" s="190"/>
      <c r="B597" s="158"/>
      <c r="C597" s="158"/>
      <c r="D597" s="158"/>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row>
    <row r="598">
      <c r="A598" s="190"/>
      <c r="B598" s="158"/>
      <c r="C598" s="158"/>
      <c r="D598" s="158"/>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row>
    <row r="599">
      <c r="A599" s="190"/>
      <c r="B599" s="158"/>
      <c r="C599" s="158"/>
      <c r="D599" s="158"/>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row>
    <row r="600">
      <c r="A600" s="190"/>
      <c r="B600" s="158"/>
      <c r="C600" s="158"/>
      <c r="D600" s="158"/>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row>
    <row r="601">
      <c r="A601" s="190"/>
      <c r="B601" s="158"/>
      <c r="C601" s="158"/>
      <c r="D601" s="158"/>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row>
    <row r="602">
      <c r="A602" s="190"/>
      <c r="B602" s="158"/>
      <c r="C602" s="158"/>
      <c r="D602" s="158"/>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row>
    <row r="603">
      <c r="A603" s="190"/>
      <c r="B603" s="158"/>
      <c r="C603" s="158"/>
      <c r="D603" s="158"/>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row>
    <row r="604">
      <c r="A604" s="190"/>
      <c r="B604" s="158"/>
      <c r="C604" s="158"/>
      <c r="D604" s="158"/>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row>
    <row r="605">
      <c r="A605" s="190"/>
      <c r="B605" s="158"/>
      <c r="C605" s="158"/>
      <c r="D605" s="158"/>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row>
    <row r="606">
      <c r="A606" s="190"/>
      <c r="B606" s="158"/>
      <c r="C606" s="158"/>
      <c r="D606" s="158"/>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row>
    <row r="607">
      <c r="A607" s="190"/>
      <c r="B607" s="158"/>
      <c r="C607" s="158"/>
      <c r="D607" s="158"/>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row>
    <row r="608">
      <c r="A608" s="190"/>
      <c r="B608" s="158"/>
      <c r="C608" s="158"/>
      <c r="D608" s="158"/>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row>
    <row r="609">
      <c r="A609" s="190"/>
      <c r="B609" s="158"/>
      <c r="C609" s="158"/>
      <c r="D609" s="158"/>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row>
    <row r="610">
      <c r="A610" s="190"/>
      <c r="B610" s="158"/>
      <c r="C610" s="158"/>
      <c r="D610" s="158"/>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row>
    <row r="611">
      <c r="A611" s="190"/>
      <c r="B611" s="158"/>
      <c r="C611" s="158"/>
      <c r="D611" s="158"/>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row>
    <row r="612">
      <c r="A612" s="190"/>
      <c r="B612" s="158"/>
      <c r="C612" s="158"/>
      <c r="D612" s="158"/>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row>
    <row r="613">
      <c r="A613" s="190"/>
      <c r="B613" s="158"/>
      <c r="C613" s="158"/>
      <c r="D613" s="158"/>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row>
    <row r="614">
      <c r="A614" s="190"/>
      <c r="B614" s="158"/>
      <c r="C614" s="158"/>
      <c r="D614" s="158"/>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row>
    <row r="615">
      <c r="A615" s="190"/>
      <c r="B615" s="158"/>
      <c r="C615" s="158"/>
      <c r="D615" s="158"/>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row>
    <row r="616">
      <c r="A616" s="190"/>
      <c r="B616" s="158"/>
      <c r="C616" s="158"/>
      <c r="D616" s="158"/>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row>
    <row r="617">
      <c r="A617" s="190"/>
      <c r="B617" s="158"/>
      <c r="C617" s="158"/>
      <c r="D617" s="158"/>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row>
    <row r="618">
      <c r="A618" s="190"/>
      <c r="B618" s="158"/>
      <c r="C618" s="158"/>
      <c r="D618" s="158"/>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row>
    <row r="619">
      <c r="A619" s="190"/>
      <c r="B619" s="158"/>
      <c r="C619" s="158"/>
      <c r="D619" s="158"/>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row>
    <row r="620">
      <c r="A620" s="190"/>
      <c r="B620" s="158"/>
      <c r="C620" s="158"/>
      <c r="D620" s="158"/>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row>
    <row r="621">
      <c r="A621" s="190"/>
      <c r="B621" s="158"/>
      <c r="C621" s="158"/>
      <c r="D621" s="158"/>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row>
    <row r="622">
      <c r="A622" s="190"/>
      <c r="B622" s="158"/>
      <c r="C622" s="158"/>
      <c r="D622" s="158"/>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row>
    <row r="623">
      <c r="A623" s="190"/>
      <c r="B623" s="158"/>
      <c r="C623" s="158"/>
      <c r="D623" s="158"/>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row>
    <row r="624">
      <c r="A624" s="190"/>
      <c r="B624" s="158"/>
      <c r="C624" s="158"/>
      <c r="D624" s="158"/>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row>
    <row r="625">
      <c r="A625" s="190"/>
      <c r="B625" s="158"/>
      <c r="C625" s="158"/>
      <c r="D625" s="158"/>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row>
    <row r="626">
      <c r="A626" s="190"/>
      <c r="B626" s="158"/>
      <c r="C626" s="158"/>
      <c r="D626" s="158"/>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row>
    <row r="627">
      <c r="A627" s="190"/>
      <c r="B627" s="158"/>
      <c r="C627" s="158"/>
      <c r="D627" s="158"/>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row>
    <row r="628">
      <c r="A628" s="190"/>
      <c r="B628" s="158"/>
      <c r="C628" s="158"/>
      <c r="D628" s="158"/>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row>
    <row r="629">
      <c r="A629" s="190"/>
      <c r="B629" s="158"/>
      <c r="C629" s="158"/>
      <c r="D629" s="158"/>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row>
    <row r="630">
      <c r="A630" s="190"/>
      <c r="B630" s="158"/>
      <c r="C630" s="158"/>
      <c r="D630" s="158"/>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row>
    <row r="631">
      <c r="A631" s="190"/>
      <c r="B631" s="158"/>
      <c r="C631" s="158"/>
      <c r="D631" s="158"/>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row>
    <row r="632">
      <c r="A632" s="190"/>
      <c r="B632" s="158"/>
      <c r="C632" s="158"/>
      <c r="D632" s="158"/>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row>
    <row r="633">
      <c r="A633" s="190"/>
      <c r="B633" s="158"/>
      <c r="C633" s="158"/>
      <c r="D633" s="158"/>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row>
    <row r="634">
      <c r="A634" s="190"/>
      <c r="B634" s="158"/>
      <c r="C634" s="158"/>
      <c r="D634" s="158"/>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row>
    <row r="635">
      <c r="A635" s="190"/>
      <c r="B635" s="158"/>
      <c r="C635" s="158"/>
      <c r="D635" s="158"/>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row>
    <row r="636">
      <c r="A636" s="190"/>
      <c r="B636" s="158"/>
      <c r="C636" s="158"/>
      <c r="D636" s="158"/>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row>
    <row r="637">
      <c r="A637" s="190"/>
      <c r="B637" s="158"/>
      <c r="C637" s="158"/>
      <c r="D637" s="158"/>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row>
    <row r="638">
      <c r="A638" s="190"/>
      <c r="B638" s="158"/>
      <c r="C638" s="158"/>
      <c r="D638" s="158"/>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row>
    <row r="639">
      <c r="A639" s="190"/>
      <c r="B639" s="158"/>
      <c r="C639" s="158"/>
      <c r="D639" s="158"/>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row>
    <row r="640">
      <c r="A640" s="190"/>
      <c r="B640" s="158"/>
      <c r="C640" s="158"/>
      <c r="D640" s="158"/>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row>
    <row r="641">
      <c r="A641" s="190"/>
      <c r="B641" s="158"/>
      <c r="C641" s="158"/>
      <c r="D641" s="158"/>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row>
    <row r="642">
      <c r="A642" s="190"/>
      <c r="B642" s="158"/>
      <c r="C642" s="158"/>
      <c r="D642" s="158"/>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row>
    <row r="643">
      <c r="A643" s="190"/>
      <c r="B643" s="158"/>
      <c r="C643" s="158"/>
      <c r="D643" s="158"/>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row>
    <row r="644">
      <c r="A644" s="190"/>
      <c r="B644" s="158"/>
      <c r="C644" s="158"/>
      <c r="D644" s="158"/>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row>
    <row r="645">
      <c r="A645" s="190"/>
      <c r="B645" s="158"/>
      <c r="C645" s="158"/>
      <c r="D645" s="158"/>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row>
    <row r="646">
      <c r="A646" s="190"/>
      <c r="B646" s="158"/>
      <c r="C646" s="158"/>
      <c r="D646" s="158"/>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row>
    <row r="647">
      <c r="A647" s="190"/>
      <c r="B647" s="158"/>
      <c r="C647" s="158"/>
      <c r="D647" s="158"/>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row>
    <row r="648">
      <c r="A648" s="190"/>
      <c r="B648" s="158"/>
      <c r="C648" s="158"/>
      <c r="D648" s="158"/>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row>
    <row r="649">
      <c r="A649" s="190"/>
      <c r="B649" s="158"/>
      <c r="C649" s="158"/>
      <c r="D649" s="158"/>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row>
    <row r="650">
      <c r="A650" s="190"/>
      <c r="B650" s="158"/>
      <c r="C650" s="158"/>
      <c r="D650" s="158"/>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row>
    <row r="651">
      <c r="A651" s="190"/>
      <c r="B651" s="158"/>
      <c r="C651" s="158"/>
      <c r="D651" s="158"/>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row>
    <row r="652">
      <c r="A652" s="190"/>
      <c r="B652" s="158"/>
      <c r="C652" s="158"/>
      <c r="D652" s="158"/>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row>
    <row r="653">
      <c r="A653" s="190"/>
      <c r="B653" s="158"/>
      <c r="C653" s="158"/>
      <c r="D653" s="158"/>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row>
    <row r="654">
      <c r="A654" s="190"/>
      <c r="B654" s="158"/>
      <c r="C654" s="158"/>
      <c r="D654" s="158"/>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row>
    <row r="655">
      <c r="A655" s="190"/>
      <c r="B655" s="158"/>
      <c r="C655" s="158"/>
      <c r="D655" s="158"/>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row>
    <row r="656">
      <c r="A656" s="190"/>
      <c r="B656" s="158"/>
      <c r="C656" s="158"/>
      <c r="D656" s="158"/>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row>
    <row r="657">
      <c r="A657" s="190"/>
      <c r="B657" s="158"/>
      <c r="C657" s="158"/>
      <c r="D657" s="158"/>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row>
    <row r="658">
      <c r="A658" s="190"/>
      <c r="B658" s="158"/>
      <c r="C658" s="158"/>
      <c r="D658" s="158"/>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row>
    <row r="659">
      <c r="A659" s="190"/>
      <c r="B659" s="158"/>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row>
    <row r="660">
      <c r="A660" s="190"/>
      <c r="B660" s="158"/>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row>
    <row r="661">
      <c r="A661" s="190"/>
      <c r="B661" s="158"/>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row>
    <row r="662">
      <c r="A662" s="190"/>
      <c r="B662" s="158"/>
      <c r="C662" s="158"/>
      <c r="D662" s="158"/>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row>
    <row r="663">
      <c r="A663" s="190"/>
      <c r="B663" s="158"/>
      <c r="C663" s="158"/>
      <c r="D663" s="158"/>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row>
    <row r="664">
      <c r="A664" s="190"/>
      <c r="B664" s="158"/>
      <c r="C664" s="158"/>
      <c r="D664" s="158"/>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row>
    <row r="665">
      <c r="A665" s="190"/>
      <c r="B665" s="158"/>
      <c r="C665" s="158"/>
      <c r="D665" s="158"/>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row>
    <row r="666">
      <c r="A666" s="190"/>
      <c r="B666" s="158"/>
      <c r="C666" s="158"/>
      <c r="D666" s="158"/>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row>
    <row r="667">
      <c r="A667" s="190"/>
      <c r="B667" s="158"/>
      <c r="C667" s="158"/>
      <c r="D667" s="158"/>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row>
    <row r="668">
      <c r="A668" s="190"/>
      <c r="B668" s="158"/>
      <c r="C668" s="158"/>
      <c r="D668" s="158"/>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row>
    <row r="669">
      <c r="A669" s="190"/>
      <c r="B669" s="158"/>
      <c r="C669" s="158"/>
      <c r="D669" s="158"/>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row>
    <row r="670">
      <c r="A670" s="190"/>
      <c r="B670" s="158"/>
      <c r="C670" s="158"/>
      <c r="D670" s="158"/>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row>
    <row r="671">
      <c r="A671" s="190"/>
      <c r="B671" s="158"/>
      <c r="C671" s="158"/>
      <c r="D671" s="158"/>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row>
    <row r="672">
      <c r="A672" s="190"/>
      <c r="B672" s="158"/>
      <c r="C672" s="158"/>
      <c r="D672" s="158"/>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row>
    <row r="673">
      <c r="A673" s="190"/>
      <c r="B673" s="158"/>
      <c r="C673" s="158"/>
      <c r="D673" s="158"/>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row>
    <row r="674">
      <c r="A674" s="190"/>
      <c r="B674" s="158"/>
      <c r="C674" s="158"/>
      <c r="D674" s="158"/>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row>
    <row r="675">
      <c r="A675" s="190"/>
      <c r="B675" s="158"/>
      <c r="C675" s="158"/>
      <c r="D675" s="158"/>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row>
    <row r="676">
      <c r="A676" s="190"/>
      <c r="B676" s="158"/>
      <c r="C676" s="158"/>
      <c r="D676" s="158"/>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row>
    <row r="677">
      <c r="A677" s="190"/>
      <c r="B677" s="158"/>
      <c r="C677" s="158"/>
      <c r="D677" s="158"/>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row>
    <row r="678">
      <c r="A678" s="190"/>
      <c r="B678" s="158"/>
      <c r="C678" s="158"/>
      <c r="D678" s="158"/>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row>
    <row r="679">
      <c r="A679" s="190"/>
      <c r="B679" s="158"/>
      <c r="C679" s="158"/>
      <c r="D679" s="158"/>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row>
    <row r="680">
      <c r="A680" s="190"/>
      <c r="B680" s="158"/>
      <c r="C680" s="158"/>
      <c r="D680" s="158"/>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row>
    <row r="681">
      <c r="A681" s="190"/>
      <c r="B681" s="158"/>
      <c r="C681" s="158"/>
      <c r="D681" s="158"/>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row>
    <row r="682">
      <c r="A682" s="190"/>
      <c r="B682" s="158"/>
      <c r="C682" s="158"/>
      <c r="D682" s="158"/>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row>
    <row r="683">
      <c r="A683" s="190"/>
      <c r="B683" s="158"/>
      <c r="C683" s="158"/>
      <c r="D683" s="158"/>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row>
    <row r="684">
      <c r="A684" s="190"/>
      <c r="B684" s="158"/>
      <c r="C684" s="158"/>
      <c r="D684" s="158"/>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row>
    <row r="685">
      <c r="A685" s="190"/>
      <c r="B685" s="158"/>
      <c r="C685" s="158"/>
      <c r="D685" s="158"/>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row>
    <row r="686">
      <c r="A686" s="190"/>
      <c r="B686" s="158"/>
      <c r="C686" s="158"/>
      <c r="D686" s="158"/>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row>
    <row r="687">
      <c r="A687" s="190"/>
      <c r="B687" s="158"/>
      <c r="C687" s="158"/>
      <c r="D687" s="158"/>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row>
    <row r="688">
      <c r="A688" s="190"/>
      <c r="B688" s="158"/>
      <c r="C688" s="158"/>
      <c r="D688" s="158"/>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row>
    <row r="689">
      <c r="A689" s="190"/>
      <c r="B689" s="158"/>
      <c r="C689" s="158"/>
      <c r="D689" s="158"/>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row>
    <row r="690">
      <c r="A690" s="190"/>
      <c r="B690" s="158"/>
      <c r="C690" s="158"/>
      <c r="D690" s="158"/>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row>
    <row r="691">
      <c r="A691" s="190"/>
      <c r="B691" s="158"/>
      <c r="C691" s="158"/>
      <c r="D691" s="158"/>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row>
    <row r="692">
      <c r="A692" s="190"/>
      <c r="B692" s="158"/>
      <c r="C692" s="158"/>
      <c r="D692" s="158"/>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row>
    <row r="693">
      <c r="A693" s="190"/>
      <c r="B693" s="158"/>
      <c r="C693" s="158"/>
      <c r="D693" s="158"/>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row>
    <row r="694">
      <c r="A694" s="190"/>
      <c r="B694" s="158"/>
      <c r="C694" s="158"/>
      <c r="D694" s="158"/>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row>
    <row r="695">
      <c r="A695" s="190"/>
      <c r="B695" s="158"/>
      <c r="C695" s="158"/>
      <c r="D695" s="158"/>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row>
    <row r="696">
      <c r="A696" s="190"/>
      <c r="B696" s="158"/>
      <c r="C696" s="158"/>
      <c r="D696" s="158"/>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row>
    <row r="697">
      <c r="A697" s="190"/>
      <c r="B697" s="158"/>
      <c r="C697" s="158"/>
      <c r="D697" s="158"/>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row>
    <row r="698">
      <c r="A698" s="190"/>
      <c r="B698" s="158"/>
      <c r="C698" s="158"/>
      <c r="D698" s="158"/>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row>
    <row r="699">
      <c r="A699" s="190"/>
      <c r="B699" s="158"/>
      <c r="C699" s="158"/>
      <c r="D699" s="158"/>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row>
    <row r="700">
      <c r="A700" s="190"/>
      <c r="B700" s="158"/>
      <c r="C700" s="158"/>
      <c r="D700" s="158"/>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row>
    <row r="701">
      <c r="A701" s="190"/>
      <c r="B701" s="158"/>
      <c r="C701" s="158"/>
      <c r="D701" s="158"/>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row>
    <row r="702">
      <c r="A702" s="190"/>
      <c r="B702" s="158"/>
      <c r="C702" s="158"/>
      <c r="D702" s="158"/>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row>
    <row r="703">
      <c r="A703" s="190"/>
      <c r="B703" s="158"/>
      <c r="C703" s="158"/>
      <c r="D703" s="158"/>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row>
    <row r="704">
      <c r="A704" s="190"/>
      <c r="B704" s="158"/>
      <c r="C704" s="158"/>
      <c r="D704" s="158"/>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row>
    <row r="705">
      <c r="A705" s="190"/>
      <c r="B705" s="158"/>
      <c r="C705" s="158"/>
      <c r="D705" s="158"/>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row>
    <row r="706">
      <c r="A706" s="190"/>
      <c r="B706" s="158"/>
      <c r="C706" s="158"/>
      <c r="D706" s="158"/>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row>
    <row r="707">
      <c r="A707" s="190"/>
      <c r="B707" s="158"/>
      <c r="C707" s="158"/>
      <c r="D707" s="158"/>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row>
    <row r="708">
      <c r="A708" s="190"/>
      <c r="B708" s="158"/>
      <c r="C708" s="158"/>
      <c r="D708" s="158"/>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row>
    <row r="709">
      <c r="A709" s="190"/>
      <c r="B709" s="158"/>
      <c r="C709" s="158"/>
      <c r="D709" s="158"/>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row>
    <row r="710">
      <c r="A710" s="190"/>
      <c r="B710" s="158"/>
      <c r="C710" s="158"/>
      <c r="D710" s="158"/>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row>
    <row r="711">
      <c r="A711" s="190"/>
      <c r="B711" s="158"/>
      <c r="C711" s="158"/>
      <c r="D711" s="158"/>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row>
    <row r="712">
      <c r="A712" s="190"/>
      <c r="B712" s="158"/>
      <c r="C712" s="158"/>
      <c r="D712" s="158"/>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row>
    <row r="713">
      <c r="A713" s="190"/>
      <c r="B713" s="158"/>
      <c r="C713" s="158"/>
      <c r="D713" s="158"/>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row>
    <row r="714">
      <c r="A714" s="190"/>
      <c r="B714" s="158"/>
      <c r="C714" s="158"/>
      <c r="D714" s="158"/>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row>
    <row r="715">
      <c r="A715" s="190"/>
      <c r="B715" s="158"/>
      <c r="C715" s="158"/>
      <c r="D715" s="158"/>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row>
    <row r="716">
      <c r="A716" s="190"/>
      <c r="B716" s="158"/>
      <c r="C716" s="158"/>
      <c r="D716" s="158"/>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row>
    <row r="717">
      <c r="A717" s="190"/>
      <c r="B717" s="158"/>
      <c r="C717" s="158"/>
      <c r="D717" s="158"/>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row>
    <row r="718">
      <c r="A718" s="190"/>
      <c r="B718" s="158"/>
      <c r="C718" s="158"/>
      <c r="D718" s="158"/>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row>
    <row r="719">
      <c r="A719" s="190"/>
      <c r="B719" s="158"/>
      <c r="C719" s="158"/>
      <c r="D719" s="158"/>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row>
    <row r="720">
      <c r="A720" s="190"/>
      <c r="B720" s="158"/>
      <c r="C720" s="158"/>
      <c r="D720" s="158"/>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row>
    <row r="721">
      <c r="A721" s="190"/>
      <c r="B721" s="158"/>
      <c r="C721" s="158"/>
      <c r="D721" s="158"/>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row>
    <row r="722">
      <c r="A722" s="190"/>
      <c r="B722" s="158"/>
      <c r="C722" s="158"/>
      <c r="D722" s="158"/>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row>
    <row r="723">
      <c r="A723" s="190"/>
      <c r="B723" s="158"/>
      <c r="C723" s="158"/>
      <c r="D723" s="158"/>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row>
    <row r="724">
      <c r="A724" s="190"/>
      <c r="B724" s="158"/>
      <c r="C724" s="158"/>
      <c r="D724" s="158"/>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row>
    <row r="725">
      <c r="A725" s="190"/>
      <c r="B725" s="158"/>
      <c r="C725" s="158"/>
      <c r="D725" s="158"/>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row>
    <row r="726">
      <c r="A726" s="190"/>
      <c r="B726" s="158"/>
      <c r="C726" s="158"/>
      <c r="D726" s="158"/>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row>
    <row r="727">
      <c r="A727" s="190"/>
      <c r="B727" s="158"/>
      <c r="C727" s="158"/>
      <c r="D727" s="158"/>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row>
    <row r="728">
      <c r="A728" s="190"/>
      <c r="B728" s="158"/>
      <c r="C728" s="158"/>
      <c r="D728" s="158"/>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row>
    <row r="729">
      <c r="A729" s="190"/>
      <c r="B729" s="158"/>
      <c r="C729" s="158"/>
      <c r="D729" s="158"/>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row>
    <row r="730">
      <c r="A730" s="190"/>
      <c r="B730" s="158"/>
      <c r="C730" s="158"/>
      <c r="D730" s="158"/>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row>
    <row r="731">
      <c r="A731" s="190"/>
      <c r="B731" s="158"/>
      <c r="C731" s="158"/>
      <c r="D731" s="158"/>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row>
    <row r="732">
      <c r="A732" s="190"/>
      <c r="B732" s="158"/>
      <c r="C732" s="158"/>
      <c r="D732" s="158"/>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row>
    <row r="733">
      <c r="A733" s="190"/>
      <c r="B733" s="158"/>
      <c r="C733" s="158"/>
      <c r="D733" s="158"/>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row>
    <row r="734">
      <c r="A734" s="190"/>
      <c r="B734" s="158"/>
      <c r="C734" s="158"/>
      <c r="D734" s="158"/>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row>
    <row r="735">
      <c r="A735" s="190"/>
      <c r="B735" s="158"/>
      <c r="C735" s="158"/>
      <c r="D735" s="158"/>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row>
    <row r="736">
      <c r="A736" s="190"/>
      <c r="B736" s="158"/>
      <c r="C736" s="158"/>
      <c r="D736" s="158"/>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row>
    <row r="737">
      <c r="A737" s="190"/>
      <c r="B737" s="158"/>
      <c r="C737" s="158"/>
      <c r="D737" s="158"/>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row>
    <row r="738">
      <c r="A738" s="190"/>
      <c r="B738" s="158"/>
      <c r="C738" s="158"/>
      <c r="D738" s="158"/>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row>
    <row r="739">
      <c r="A739" s="190"/>
      <c r="B739" s="158"/>
      <c r="C739" s="158"/>
      <c r="D739" s="158"/>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row>
    <row r="740">
      <c r="A740" s="190"/>
      <c r="B740" s="158"/>
      <c r="C740" s="158"/>
      <c r="D740" s="158"/>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row>
    <row r="741">
      <c r="A741" s="190"/>
      <c r="B741" s="158"/>
      <c r="C741" s="158"/>
      <c r="D741" s="158"/>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row>
    <row r="742">
      <c r="A742" s="190"/>
      <c r="B742" s="158"/>
      <c r="C742" s="158"/>
      <c r="D742" s="158"/>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row>
    <row r="743">
      <c r="A743" s="190"/>
      <c r="B743" s="158"/>
      <c r="C743" s="158"/>
      <c r="D743" s="158"/>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row>
    <row r="744">
      <c r="A744" s="190"/>
      <c r="B744" s="158"/>
      <c r="C744" s="158"/>
      <c r="D744" s="158"/>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row>
    <row r="745">
      <c r="A745" s="190"/>
      <c r="B745" s="158"/>
      <c r="C745" s="158"/>
      <c r="D745" s="158"/>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row>
    <row r="746">
      <c r="A746" s="190"/>
      <c r="B746" s="158"/>
      <c r="C746" s="158"/>
      <c r="D746" s="158"/>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row>
    <row r="747">
      <c r="A747" s="190"/>
      <c r="B747" s="158"/>
      <c r="C747" s="158"/>
      <c r="D747" s="158"/>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row>
    <row r="748">
      <c r="A748" s="190"/>
      <c r="B748" s="158"/>
      <c r="C748" s="158"/>
      <c r="D748" s="158"/>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row>
    <row r="749">
      <c r="A749" s="190"/>
      <c r="B749" s="158"/>
      <c r="C749" s="158"/>
      <c r="D749" s="158"/>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row>
    <row r="750">
      <c r="A750" s="190"/>
      <c r="B750" s="158"/>
      <c r="C750" s="158"/>
      <c r="D750" s="158"/>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row>
    <row r="751">
      <c r="A751" s="190"/>
      <c r="B751" s="158"/>
      <c r="C751" s="158"/>
      <c r="D751" s="158"/>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row>
    <row r="752">
      <c r="A752" s="190"/>
      <c r="B752" s="158"/>
      <c r="C752" s="158"/>
      <c r="D752" s="158"/>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row>
    <row r="753">
      <c r="A753" s="190"/>
      <c r="B753" s="158"/>
      <c r="C753" s="158"/>
      <c r="D753" s="158"/>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row>
    <row r="754">
      <c r="A754" s="190"/>
      <c r="B754" s="158"/>
      <c r="C754" s="158"/>
      <c r="D754" s="158"/>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row>
    <row r="755">
      <c r="A755" s="190"/>
      <c r="B755" s="158"/>
      <c r="C755" s="158"/>
      <c r="D755" s="158"/>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row>
    <row r="756">
      <c r="A756" s="190"/>
      <c r="B756" s="158"/>
      <c r="C756" s="158"/>
      <c r="D756" s="158"/>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row>
    <row r="757">
      <c r="A757" s="190"/>
      <c r="B757" s="158"/>
      <c r="C757" s="158"/>
      <c r="D757" s="158"/>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row>
    <row r="758">
      <c r="A758" s="190"/>
      <c r="B758" s="158"/>
      <c r="C758" s="158"/>
      <c r="D758" s="158"/>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row>
    <row r="759">
      <c r="A759" s="190"/>
      <c r="B759" s="158"/>
      <c r="C759" s="158"/>
      <c r="D759" s="158"/>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row>
    <row r="760">
      <c r="A760" s="190"/>
      <c r="B760" s="158"/>
      <c r="C760" s="158"/>
      <c r="D760" s="158"/>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row>
    <row r="761">
      <c r="A761" s="190"/>
      <c r="B761" s="158"/>
      <c r="C761" s="158"/>
      <c r="D761" s="158"/>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row>
    <row r="762">
      <c r="A762" s="190"/>
      <c r="B762" s="158"/>
      <c r="C762" s="158"/>
      <c r="D762" s="158"/>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row>
    <row r="763">
      <c r="A763" s="190"/>
      <c r="B763" s="158"/>
      <c r="C763" s="158"/>
      <c r="D763" s="158"/>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row>
    <row r="764">
      <c r="A764" s="190"/>
      <c r="B764" s="158"/>
      <c r="C764" s="158"/>
      <c r="D764" s="158"/>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row>
    <row r="765">
      <c r="A765" s="190"/>
      <c r="B765" s="158"/>
      <c r="C765" s="158"/>
      <c r="D765" s="158"/>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row>
    <row r="766">
      <c r="A766" s="190"/>
      <c r="B766" s="158"/>
      <c r="C766" s="158"/>
      <c r="D766" s="158"/>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row>
    <row r="767">
      <c r="A767" s="190"/>
      <c r="B767" s="158"/>
      <c r="C767" s="158"/>
      <c r="D767" s="158"/>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row>
    <row r="768">
      <c r="A768" s="190"/>
      <c r="B768" s="158"/>
      <c r="C768" s="158"/>
      <c r="D768" s="158"/>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row>
    <row r="769">
      <c r="A769" s="190"/>
      <c r="B769" s="158"/>
      <c r="C769" s="158"/>
      <c r="D769" s="158"/>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row>
    <row r="770">
      <c r="A770" s="190"/>
      <c r="B770" s="158"/>
      <c r="C770" s="158"/>
      <c r="D770" s="158"/>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row>
    <row r="771">
      <c r="A771" s="190"/>
      <c r="B771" s="158"/>
      <c r="C771" s="158"/>
      <c r="D771" s="158"/>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row>
    <row r="772">
      <c r="A772" s="190"/>
      <c r="B772" s="158"/>
      <c r="C772" s="158"/>
      <c r="D772" s="158"/>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row>
    <row r="773">
      <c r="A773" s="190"/>
      <c r="B773" s="158"/>
      <c r="C773" s="158"/>
      <c r="D773" s="158"/>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row>
    <row r="774">
      <c r="A774" s="190"/>
      <c r="B774" s="158"/>
      <c r="C774" s="158"/>
      <c r="D774" s="158"/>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row>
    <row r="775">
      <c r="A775" s="190"/>
      <c r="B775" s="158"/>
      <c r="C775" s="158"/>
      <c r="D775" s="158"/>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row>
    <row r="776">
      <c r="A776" s="190"/>
      <c r="B776" s="158"/>
      <c r="C776" s="158"/>
      <c r="D776" s="158"/>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row>
    <row r="777">
      <c r="A777" s="190"/>
      <c r="B777" s="158"/>
      <c r="C777" s="158"/>
      <c r="D777" s="158"/>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row>
    <row r="778">
      <c r="A778" s="190"/>
      <c r="B778" s="158"/>
      <c r="C778" s="158"/>
      <c r="D778" s="158"/>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row>
    <row r="779">
      <c r="A779" s="190"/>
      <c r="B779" s="158"/>
      <c r="C779" s="158"/>
      <c r="D779" s="158"/>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row>
    <row r="780">
      <c r="A780" s="190"/>
      <c r="B780" s="158"/>
      <c r="C780" s="158"/>
      <c r="D780" s="158"/>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row>
    <row r="781">
      <c r="A781" s="190"/>
      <c r="B781" s="158"/>
      <c r="C781" s="158"/>
      <c r="D781" s="158"/>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row>
    <row r="782">
      <c r="A782" s="190"/>
      <c r="B782" s="158"/>
      <c r="C782" s="158"/>
      <c r="D782" s="158"/>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row>
    <row r="783">
      <c r="A783" s="190"/>
      <c r="B783" s="158"/>
      <c r="C783" s="158"/>
      <c r="D783" s="158"/>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row>
    <row r="784">
      <c r="A784" s="190"/>
      <c r="B784" s="158"/>
      <c r="C784" s="158"/>
      <c r="D784" s="158"/>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row>
    <row r="785">
      <c r="A785" s="190"/>
      <c r="B785" s="158"/>
      <c r="C785" s="158"/>
      <c r="D785" s="158"/>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row>
    <row r="786">
      <c r="A786" s="190"/>
      <c r="B786" s="158"/>
      <c r="C786" s="158"/>
      <c r="D786" s="158"/>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row>
    <row r="787">
      <c r="A787" s="190"/>
      <c r="B787" s="158"/>
      <c r="C787" s="158"/>
      <c r="D787" s="158"/>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row>
    <row r="788">
      <c r="A788" s="190"/>
      <c r="B788" s="158"/>
      <c r="C788" s="158"/>
      <c r="D788" s="158"/>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row>
    <row r="789">
      <c r="A789" s="190"/>
      <c r="B789" s="158"/>
      <c r="C789" s="158"/>
      <c r="D789" s="158"/>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row>
    <row r="790">
      <c r="A790" s="190"/>
      <c r="B790" s="158"/>
      <c r="C790" s="158"/>
      <c r="D790" s="158"/>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row>
    <row r="791">
      <c r="A791" s="190"/>
      <c r="B791" s="158"/>
      <c r="C791" s="158"/>
      <c r="D791" s="158"/>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row>
    <row r="792">
      <c r="A792" s="190"/>
      <c r="B792" s="158"/>
      <c r="C792" s="158"/>
      <c r="D792" s="158"/>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row>
    <row r="793">
      <c r="A793" s="190"/>
      <c r="B793" s="158"/>
      <c r="C793" s="158"/>
      <c r="D793" s="158"/>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row>
    <row r="794">
      <c r="A794" s="190"/>
      <c r="B794" s="158"/>
      <c r="C794" s="158"/>
      <c r="D794" s="158"/>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row>
    <row r="795">
      <c r="A795" s="190"/>
      <c r="B795" s="158"/>
      <c r="C795" s="158"/>
      <c r="D795" s="158"/>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row>
    <row r="796">
      <c r="A796" s="190"/>
      <c r="B796" s="158"/>
      <c r="C796" s="158"/>
      <c r="D796" s="158"/>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row>
    <row r="797">
      <c r="A797" s="190"/>
      <c r="B797" s="158"/>
      <c r="C797" s="158"/>
      <c r="D797" s="158"/>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row>
    <row r="798">
      <c r="A798" s="190"/>
      <c r="B798" s="158"/>
      <c r="C798" s="158"/>
      <c r="D798" s="158"/>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row>
    <row r="799">
      <c r="A799" s="190"/>
      <c r="B799" s="158"/>
      <c r="C799" s="158"/>
      <c r="D799" s="158"/>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row>
    <row r="800">
      <c r="A800" s="190"/>
      <c r="B800" s="158"/>
      <c r="C800" s="158"/>
      <c r="D800" s="158"/>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row>
    <row r="801">
      <c r="A801" s="190"/>
      <c r="B801" s="158"/>
      <c r="C801" s="158"/>
      <c r="D801" s="158"/>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row>
    <row r="802">
      <c r="A802" s="190"/>
      <c r="B802" s="158"/>
      <c r="C802" s="158"/>
      <c r="D802" s="158"/>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row>
    <row r="803">
      <c r="A803" s="190"/>
      <c r="B803" s="158"/>
      <c r="C803" s="158"/>
      <c r="D803" s="158"/>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row>
    <row r="804">
      <c r="A804" s="190"/>
      <c r="B804" s="158"/>
      <c r="C804" s="158"/>
      <c r="D804" s="158"/>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row>
    <row r="805">
      <c r="A805" s="190"/>
      <c r="B805" s="158"/>
      <c r="C805" s="158"/>
      <c r="D805" s="158"/>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row>
    <row r="806">
      <c r="A806" s="190"/>
      <c r="B806" s="158"/>
      <c r="C806" s="158"/>
      <c r="D806" s="158"/>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row>
    <row r="807">
      <c r="A807" s="190"/>
      <c r="B807" s="158"/>
      <c r="C807" s="158"/>
      <c r="D807" s="158"/>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row>
    <row r="808">
      <c r="A808" s="190"/>
      <c r="B808" s="158"/>
      <c r="C808" s="158"/>
      <c r="D808" s="158"/>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row>
    <row r="809">
      <c r="A809" s="190"/>
      <c r="B809" s="158"/>
      <c r="C809" s="158"/>
      <c r="D809" s="158"/>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row>
    <row r="810">
      <c r="A810" s="190"/>
      <c r="B810" s="158"/>
      <c r="C810" s="158"/>
      <c r="D810" s="158"/>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row>
    <row r="811">
      <c r="A811" s="190"/>
      <c r="B811" s="158"/>
      <c r="C811" s="158"/>
      <c r="D811" s="158"/>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row>
    <row r="812">
      <c r="A812" s="190"/>
      <c r="B812" s="158"/>
      <c r="C812" s="158"/>
      <c r="D812" s="158"/>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row>
    <row r="813">
      <c r="A813" s="190"/>
      <c r="B813" s="158"/>
      <c r="C813" s="158"/>
      <c r="D813" s="158"/>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row>
    <row r="814">
      <c r="A814" s="190"/>
      <c r="B814" s="158"/>
      <c r="C814" s="158"/>
      <c r="D814" s="158"/>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row>
    <row r="815">
      <c r="A815" s="190"/>
      <c r="B815" s="158"/>
      <c r="C815" s="158"/>
      <c r="D815" s="158"/>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row>
    <row r="816">
      <c r="A816" s="190"/>
      <c r="B816" s="158"/>
      <c r="C816" s="158"/>
      <c r="D816" s="158"/>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row>
    <row r="817">
      <c r="A817" s="190"/>
      <c r="B817" s="158"/>
      <c r="C817" s="158"/>
      <c r="D817" s="158"/>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row>
    <row r="818">
      <c r="A818" s="190"/>
      <c r="B818" s="158"/>
      <c r="C818" s="158"/>
      <c r="D818" s="158"/>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row>
    <row r="819">
      <c r="A819" s="190"/>
      <c r="B819" s="158"/>
      <c r="C819" s="158"/>
      <c r="D819" s="158"/>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row>
    <row r="820">
      <c r="A820" s="190"/>
      <c r="B820" s="158"/>
      <c r="C820" s="158"/>
      <c r="D820" s="158"/>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row>
    <row r="821">
      <c r="A821" s="190"/>
      <c r="B821" s="158"/>
      <c r="C821" s="158"/>
      <c r="D821" s="158"/>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row>
    <row r="822">
      <c r="A822" s="190"/>
      <c r="B822" s="158"/>
      <c r="C822" s="158"/>
      <c r="D822" s="158"/>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row>
    <row r="823">
      <c r="A823" s="190"/>
      <c r="B823" s="158"/>
      <c r="C823" s="158"/>
      <c r="D823" s="158"/>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row>
    <row r="824">
      <c r="A824" s="190"/>
      <c r="B824" s="158"/>
      <c r="C824" s="158"/>
      <c r="D824" s="158"/>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row>
    <row r="825">
      <c r="A825" s="190"/>
      <c r="B825" s="158"/>
      <c r="C825" s="158"/>
      <c r="D825" s="158"/>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row>
    <row r="826">
      <c r="A826" s="190"/>
      <c r="B826" s="158"/>
      <c r="C826" s="158"/>
      <c r="D826" s="158"/>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row>
    <row r="827">
      <c r="A827" s="190"/>
      <c r="B827" s="158"/>
      <c r="C827" s="158"/>
      <c r="D827" s="158"/>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row>
    <row r="828">
      <c r="A828" s="190"/>
      <c r="B828" s="158"/>
      <c r="C828" s="158"/>
      <c r="D828" s="158"/>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row>
    <row r="829">
      <c r="A829" s="190"/>
      <c r="B829" s="158"/>
      <c r="C829" s="158"/>
      <c r="D829" s="158"/>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row>
    <row r="830">
      <c r="A830" s="190"/>
      <c r="B830" s="158"/>
      <c r="C830" s="158"/>
      <c r="D830" s="158"/>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row>
    <row r="831">
      <c r="A831" s="190"/>
      <c r="B831" s="158"/>
      <c r="C831" s="158"/>
      <c r="D831" s="158"/>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row>
    <row r="832">
      <c r="A832" s="190"/>
      <c r="B832" s="158"/>
      <c r="C832" s="158"/>
      <c r="D832" s="158"/>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row>
    <row r="833">
      <c r="A833" s="190"/>
      <c r="B833" s="158"/>
      <c r="C833" s="158"/>
      <c r="D833" s="158"/>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row>
    <row r="834">
      <c r="A834" s="190"/>
      <c r="B834" s="158"/>
      <c r="C834" s="158"/>
      <c r="D834" s="158"/>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row>
    <row r="835">
      <c r="A835" s="190"/>
      <c r="B835" s="158"/>
      <c r="C835" s="158"/>
      <c r="D835" s="158"/>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row>
    <row r="836">
      <c r="A836" s="190"/>
      <c r="B836" s="158"/>
      <c r="C836" s="158"/>
      <c r="D836" s="158"/>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row>
    <row r="837">
      <c r="A837" s="190"/>
      <c r="B837" s="158"/>
      <c r="C837" s="158"/>
      <c r="D837" s="158"/>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row>
    <row r="838">
      <c r="A838" s="190"/>
      <c r="B838" s="158"/>
      <c r="C838" s="158"/>
      <c r="D838" s="158"/>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row>
    <row r="839">
      <c r="A839" s="190"/>
      <c r="B839" s="158"/>
      <c r="C839" s="158"/>
      <c r="D839" s="158"/>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row>
    <row r="840">
      <c r="A840" s="190"/>
      <c r="B840" s="158"/>
      <c r="C840" s="158"/>
      <c r="D840" s="158"/>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row>
    <row r="841">
      <c r="A841" s="190"/>
      <c r="B841" s="158"/>
      <c r="C841" s="158"/>
      <c r="D841" s="158"/>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row>
    <row r="842">
      <c r="A842" s="190"/>
      <c r="B842" s="158"/>
      <c r="C842" s="158"/>
      <c r="D842" s="158"/>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row>
    <row r="843">
      <c r="A843" s="190"/>
      <c r="B843" s="158"/>
      <c r="C843" s="158"/>
      <c r="D843" s="158"/>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row>
    <row r="844">
      <c r="A844" s="190"/>
      <c r="B844" s="158"/>
      <c r="C844" s="158"/>
      <c r="D844" s="158"/>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row>
    <row r="845">
      <c r="A845" s="190"/>
      <c r="B845" s="158"/>
      <c r="C845" s="158"/>
      <c r="D845" s="158"/>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row>
    <row r="846">
      <c r="A846" s="190"/>
      <c r="B846" s="158"/>
      <c r="C846" s="158"/>
      <c r="D846" s="158"/>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row>
    <row r="847">
      <c r="A847" s="190"/>
      <c r="B847" s="158"/>
      <c r="C847" s="158"/>
      <c r="D847" s="158"/>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row>
    <row r="848">
      <c r="A848" s="190"/>
      <c r="B848" s="158"/>
      <c r="C848" s="158"/>
      <c r="D848" s="158"/>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row>
    <row r="849">
      <c r="A849" s="190"/>
      <c r="B849" s="158"/>
      <c r="C849" s="158"/>
      <c r="D849" s="158"/>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row>
    <row r="850">
      <c r="A850" s="190"/>
      <c r="B850" s="158"/>
      <c r="C850" s="158"/>
      <c r="D850" s="158"/>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row>
    <row r="851">
      <c r="A851" s="190"/>
      <c r="B851" s="158"/>
      <c r="C851" s="158"/>
      <c r="D851" s="158"/>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row>
    <row r="852">
      <c r="A852" s="190"/>
      <c r="B852" s="158"/>
      <c r="C852" s="158"/>
      <c r="D852" s="158"/>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row>
    <row r="853">
      <c r="A853" s="190"/>
      <c r="B853" s="158"/>
      <c r="C853" s="158"/>
      <c r="D853" s="158"/>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row>
    <row r="854">
      <c r="A854" s="190"/>
      <c r="B854" s="158"/>
      <c r="C854" s="158"/>
      <c r="D854" s="158"/>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row>
    <row r="855">
      <c r="A855" s="190"/>
      <c r="B855" s="158"/>
      <c r="C855" s="158"/>
      <c r="D855" s="158"/>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row>
    <row r="856">
      <c r="A856" s="190"/>
      <c r="B856" s="158"/>
      <c r="C856" s="158"/>
      <c r="D856" s="158"/>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row>
    <row r="857">
      <c r="A857" s="190"/>
      <c r="B857" s="158"/>
      <c r="C857" s="158"/>
      <c r="D857" s="158"/>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row>
    <row r="858">
      <c r="A858" s="190"/>
      <c r="B858" s="158"/>
      <c r="C858" s="158"/>
      <c r="D858" s="158"/>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row>
    <row r="859">
      <c r="A859" s="190"/>
      <c r="B859" s="158"/>
      <c r="C859" s="158"/>
      <c r="D859" s="158"/>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row>
    <row r="860">
      <c r="A860" s="190"/>
      <c r="B860" s="158"/>
      <c r="C860" s="158"/>
      <c r="D860" s="158"/>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row>
    <row r="861">
      <c r="A861" s="190"/>
      <c r="B861" s="158"/>
      <c r="C861" s="158"/>
      <c r="D861" s="158"/>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row>
    <row r="862">
      <c r="A862" s="190"/>
      <c r="B862" s="158"/>
      <c r="C862" s="158"/>
      <c r="D862" s="158"/>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row>
    <row r="863">
      <c r="A863" s="190"/>
      <c r="B863" s="158"/>
      <c r="C863" s="158"/>
      <c r="D863" s="158"/>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row>
    <row r="864">
      <c r="A864" s="190"/>
      <c r="B864" s="158"/>
      <c r="C864" s="158"/>
      <c r="D864" s="158"/>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row>
    <row r="865">
      <c r="A865" s="190"/>
      <c r="B865" s="158"/>
      <c r="C865" s="158"/>
      <c r="D865" s="158"/>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row>
    <row r="866">
      <c r="A866" s="190"/>
      <c r="B866" s="158"/>
      <c r="C866" s="158"/>
      <c r="D866" s="158"/>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row>
    <row r="867">
      <c r="A867" s="190"/>
      <c r="B867" s="158"/>
      <c r="C867" s="158"/>
      <c r="D867" s="158"/>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row>
    <row r="868">
      <c r="A868" s="190"/>
      <c r="B868" s="158"/>
      <c r="C868" s="158"/>
      <c r="D868" s="158"/>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row>
    <row r="869">
      <c r="A869" s="190"/>
      <c r="B869" s="158"/>
      <c r="C869" s="158"/>
      <c r="D869" s="158"/>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row>
    <row r="870">
      <c r="A870" s="190"/>
      <c r="B870" s="158"/>
      <c r="C870" s="158"/>
      <c r="D870" s="158"/>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row>
    <row r="871">
      <c r="A871" s="190"/>
      <c r="B871" s="158"/>
      <c r="C871" s="158"/>
      <c r="D871" s="158"/>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row>
    <row r="872">
      <c r="A872" s="190"/>
      <c r="B872" s="158"/>
      <c r="C872" s="158"/>
      <c r="D872" s="158"/>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row>
    <row r="873">
      <c r="A873" s="190"/>
      <c r="B873" s="158"/>
      <c r="C873" s="158"/>
      <c r="D873" s="158"/>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row>
    <row r="874">
      <c r="A874" s="190"/>
      <c r="B874" s="158"/>
      <c r="C874" s="158"/>
      <c r="D874" s="158"/>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row>
    <row r="875">
      <c r="A875" s="190"/>
      <c r="B875" s="158"/>
      <c r="C875" s="158"/>
      <c r="D875" s="158"/>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row>
    <row r="876">
      <c r="A876" s="190"/>
      <c r="B876" s="158"/>
      <c r="C876" s="158"/>
      <c r="D876" s="158"/>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row>
    <row r="877">
      <c r="A877" s="190"/>
      <c r="B877" s="158"/>
      <c r="C877" s="158"/>
      <c r="D877" s="158"/>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row>
    <row r="878">
      <c r="A878" s="190"/>
      <c r="B878" s="158"/>
      <c r="C878" s="158"/>
      <c r="D878" s="158"/>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row>
    <row r="879">
      <c r="A879" s="190"/>
      <c r="B879" s="158"/>
      <c r="C879" s="158"/>
      <c r="D879" s="158"/>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row>
    <row r="880">
      <c r="A880" s="190"/>
      <c r="B880" s="158"/>
      <c r="C880" s="158"/>
      <c r="D880" s="158"/>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row>
    <row r="881">
      <c r="A881" s="190"/>
      <c r="B881" s="158"/>
      <c r="C881" s="158"/>
      <c r="D881" s="158"/>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row>
    <row r="882">
      <c r="A882" s="190"/>
      <c r="B882" s="158"/>
      <c r="C882" s="158"/>
      <c r="D882" s="158"/>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row>
    <row r="883">
      <c r="A883" s="190"/>
      <c r="B883" s="158"/>
      <c r="C883" s="158"/>
      <c r="D883" s="158"/>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row>
    <row r="884">
      <c r="A884" s="190"/>
      <c r="B884" s="158"/>
      <c r="C884" s="158"/>
      <c r="D884" s="158"/>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row>
    <row r="885">
      <c r="A885" s="190"/>
      <c r="B885" s="158"/>
      <c r="C885" s="158"/>
      <c r="D885" s="158"/>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row>
    <row r="886">
      <c r="A886" s="190"/>
      <c r="B886" s="158"/>
      <c r="C886" s="158"/>
      <c r="D886" s="158"/>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row>
    <row r="887">
      <c r="A887" s="190"/>
      <c r="B887" s="158"/>
      <c r="C887" s="158"/>
      <c r="D887" s="158"/>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row>
    <row r="888">
      <c r="A888" s="190"/>
      <c r="B888" s="158"/>
      <c r="C888" s="158"/>
      <c r="D888" s="158"/>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row>
    <row r="889">
      <c r="A889" s="190"/>
      <c r="B889" s="158"/>
      <c r="C889" s="158"/>
      <c r="D889" s="158"/>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row>
    <row r="890">
      <c r="A890" s="190"/>
      <c r="B890" s="158"/>
      <c r="C890" s="158"/>
      <c r="D890" s="158"/>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row>
    <row r="891">
      <c r="A891" s="190"/>
      <c r="B891" s="158"/>
      <c r="C891" s="158"/>
      <c r="D891" s="158"/>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row>
    <row r="892">
      <c r="A892" s="190"/>
      <c r="B892" s="158"/>
      <c r="C892" s="158"/>
      <c r="D892" s="158"/>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row>
    <row r="893">
      <c r="A893" s="190"/>
      <c r="B893" s="158"/>
      <c r="C893" s="158"/>
      <c r="D893" s="158"/>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row>
    <row r="894">
      <c r="A894" s="190"/>
      <c r="B894" s="158"/>
      <c r="C894" s="158"/>
      <c r="D894" s="158"/>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row>
    <row r="895">
      <c r="A895" s="190"/>
      <c r="B895" s="158"/>
      <c r="C895" s="158"/>
      <c r="D895" s="158"/>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row>
    <row r="896">
      <c r="A896" s="190"/>
      <c r="B896" s="158"/>
      <c r="C896" s="158"/>
      <c r="D896" s="158"/>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row>
    <row r="897">
      <c r="A897" s="190"/>
      <c r="B897" s="158"/>
      <c r="C897" s="158"/>
      <c r="D897" s="158"/>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row>
    <row r="898">
      <c r="A898" s="190"/>
      <c r="B898" s="158"/>
      <c r="C898" s="158"/>
      <c r="D898" s="158"/>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row>
    <row r="899">
      <c r="A899" s="190"/>
      <c r="B899" s="158"/>
      <c r="C899" s="158"/>
      <c r="D899" s="158"/>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row>
    <row r="900">
      <c r="A900" s="190"/>
      <c r="B900" s="158"/>
      <c r="C900" s="158"/>
      <c r="D900" s="158"/>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row>
    <row r="901">
      <c r="A901" s="190"/>
      <c r="B901" s="158"/>
      <c r="C901" s="158"/>
      <c r="D901" s="158"/>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row>
    <row r="902">
      <c r="A902" s="190"/>
      <c r="B902" s="158"/>
      <c r="C902" s="158"/>
      <c r="D902" s="158"/>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row>
    <row r="903">
      <c r="A903" s="190"/>
      <c r="B903" s="158"/>
      <c r="C903" s="158"/>
      <c r="D903" s="158"/>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row>
    <row r="904">
      <c r="A904" s="190"/>
      <c r="B904" s="158"/>
      <c r="C904" s="158"/>
      <c r="D904" s="158"/>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row>
    <row r="905">
      <c r="A905" s="190"/>
      <c r="B905" s="158"/>
      <c r="C905" s="158"/>
      <c r="D905" s="158"/>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row>
    <row r="906">
      <c r="A906" s="190"/>
      <c r="B906" s="158"/>
      <c r="C906" s="158"/>
      <c r="D906" s="158"/>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row>
    <row r="907">
      <c r="A907" s="190"/>
      <c r="B907" s="158"/>
      <c r="C907" s="158"/>
      <c r="D907" s="158"/>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row>
    <row r="908">
      <c r="A908" s="190"/>
      <c r="B908" s="158"/>
      <c r="C908" s="158"/>
      <c r="D908" s="158"/>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row>
    <row r="909">
      <c r="A909" s="190"/>
      <c r="B909" s="158"/>
      <c r="C909" s="158"/>
      <c r="D909" s="158"/>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row>
    <row r="910">
      <c r="A910" s="190"/>
      <c r="B910" s="158"/>
      <c r="C910" s="158"/>
      <c r="D910" s="158"/>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row>
    <row r="911">
      <c r="A911" s="190"/>
      <c r="B911" s="158"/>
      <c r="C911" s="158"/>
      <c r="D911" s="158"/>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row>
    <row r="912">
      <c r="A912" s="190"/>
      <c r="B912" s="158"/>
      <c r="C912" s="158"/>
      <c r="D912" s="158"/>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row>
    <row r="913">
      <c r="A913" s="190"/>
      <c r="B913" s="158"/>
      <c r="C913" s="158"/>
      <c r="D913" s="158"/>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row>
    <row r="914">
      <c r="A914" s="190"/>
      <c r="B914" s="158"/>
      <c r="C914" s="158"/>
      <c r="D914" s="158"/>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row>
    <row r="915">
      <c r="A915" s="190"/>
      <c r="B915" s="158"/>
      <c r="C915" s="158"/>
      <c r="D915" s="158"/>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row>
    <row r="916">
      <c r="A916" s="190"/>
      <c r="B916" s="158"/>
      <c r="C916" s="158"/>
      <c r="D916" s="158"/>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row>
    <row r="917">
      <c r="A917" s="190"/>
      <c r="B917" s="158"/>
      <c r="C917" s="158"/>
      <c r="D917" s="158"/>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row>
    <row r="918">
      <c r="A918" s="190"/>
      <c r="B918" s="158"/>
      <c r="C918" s="158"/>
      <c r="D918" s="158"/>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row>
    <row r="919">
      <c r="A919" s="190"/>
      <c r="B919" s="158"/>
      <c r="C919" s="158"/>
      <c r="D919" s="158"/>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row>
    <row r="920">
      <c r="A920" s="190"/>
      <c r="B920" s="158"/>
      <c r="C920" s="158"/>
      <c r="D920" s="158"/>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row>
    <row r="921">
      <c r="A921" s="190"/>
      <c r="B921" s="158"/>
      <c r="C921" s="158"/>
      <c r="D921" s="158"/>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row>
    <row r="922">
      <c r="A922" s="190"/>
      <c r="B922" s="158"/>
      <c r="C922" s="158"/>
      <c r="D922" s="158"/>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row>
    <row r="923">
      <c r="A923" s="190"/>
      <c r="B923" s="158"/>
      <c r="C923" s="158"/>
      <c r="D923" s="158"/>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row>
    <row r="924">
      <c r="A924" s="190"/>
      <c r="B924" s="158"/>
      <c r="C924" s="158"/>
      <c r="D924" s="158"/>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row>
    <row r="925">
      <c r="A925" s="190"/>
      <c r="B925" s="158"/>
      <c r="C925" s="158"/>
      <c r="D925" s="158"/>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row>
    <row r="926">
      <c r="A926" s="190"/>
      <c r="B926" s="158"/>
      <c r="C926" s="158"/>
      <c r="D926" s="158"/>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row>
    <row r="927">
      <c r="A927" s="190"/>
      <c r="B927" s="158"/>
      <c r="C927" s="158"/>
      <c r="D927" s="158"/>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row>
    <row r="928">
      <c r="A928" s="190"/>
      <c r="B928" s="158"/>
      <c r="C928" s="158"/>
      <c r="D928" s="158"/>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row>
    <row r="929">
      <c r="A929" s="190"/>
      <c r="B929" s="158"/>
      <c r="C929" s="158"/>
      <c r="D929" s="158"/>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row>
    <row r="930">
      <c r="A930" s="190"/>
      <c r="B930" s="158"/>
      <c r="C930" s="158"/>
      <c r="D930" s="158"/>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row>
    <row r="931">
      <c r="A931" s="190"/>
      <c r="B931" s="158"/>
      <c r="C931" s="158"/>
      <c r="D931" s="158"/>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row>
    <row r="932">
      <c r="A932" s="190"/>
      <c r="B932" s="158"/>
      <c r="C932" s="158"/>
      <c r="D932" s="158"/>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row>
    <row r="933">
      <c r="A933" s="190"/>
      <c r="B933" s="158"/>
      <c r="C933" s="158"/>
      <c r="D933" s="158"/>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row>
    <row r="934">
      <c r="A934" s="190"/>
      <c r="B934" s="158"/>
      <c r="C934" s="158"/>
      <c r="D934" s="158"/>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row>
    <row r="935">
      <c r="A935" s="190"/>
      <c r="B935" s="158"/>
      <c r="C935" s="158"/>
      <c r="D935" s="158"/>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row>
    <row r="936">
      <c r="A936" s="190"/>
      <c r="B936" s="158"/>
      <c r="C936" s="158"/>
      <c r="D936" s="158"/>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row>
    <row r="937">
      <c r="A937" s="190"/>
      <c r="B937" s="158"/>
      <c r="C937" s="158"/>
      <c r="D937" s="158"/>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row>
    <row r="938">
      <c r="A938" s="190"/>
      <c r="B938" s="158"/>
      <c r="C938" s="158"/>
      <c r="D938" s="158"/>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row>
    <row r="939">
      <c r="A939" s="190"/>
      <c r="B939" s="158"/>
      <c r="C939" s="158"/>
      <c r="D939" s="158"/>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row>
    <row r="940">
      <c r="A940" s="190"/>
      <c r="B940" s="158"/>
      <c r="C940" s="158"/>
      <c r="D940" s="158"/>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row>
    <row r="941">
      <c r="A941" s="190"/>
      <c r="B941" s="158"/>
      <c r="C941" s="158"/>
      <c r="D941" s="158"/>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row>
    <row r="942">
      <c r="A942" s="190"/>
      <c r="B942" s="158"/>
      <c r="C942" s="158"/>
      <c r="D942" s="158"/>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row>
    <row r="943">
      <c r="A943" s="190"/>
      <c r="B943" s="158"/>
      <c r="C943" s="158"/>
      <c r="D943" s="158"/>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row>
    <row r="944">
      <c r="A944" s="190"/>
      <c r="B944" s="158"/>
      <c r="C944" s="158"/>
      <c r="D944" s="158"/>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row>
    <row r="945">
      <c r="A945" s="190"/>
      <c r="B945" s="158"/>
      <c r="C945" s="158"/>
      <c r="D945" s="158"/>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row>
    <row r="946">
      <c r="A946" s="190"/>
      <c r="B946" s="158"/>
      <c r="C946" s="158"/>
      <c r="D946" s="158"/>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row>
    <row r="947">
      <c r="A947" s="190"/>
      <c r="B947" s="158"/>
      <c r="C947" s="158"/>
      <c r="D947" s="158"/>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row>
    <row r="948">
      <c r="A948" s="190"/>
      <c r="B948" s="158"/>
      <c r="C948" s="158"/>
      <c r="D948" s="158"/>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row>
    <row r="949">
      <c r="A949" s="190"/>
      <c r="B949" s="158"/>
      <c r="C949" s="158"/>
      <c r="D949" s="158"/>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row>
    <row r="950">
      <c r="A950" s="190"/>
      <c r="B950" s="158"/>
      <c r="C950" s="158"/>
      <c r="D950" s="158"/>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row>
    <row r="951">
      <c r="A951" s="190"/>
      <c r="B951" s="158"/>
      <c r="C951" s="158"/>
      <c r="D951" s="158"/>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row>
    <row r="952">
      <c r="A952" s="190"/>
      <c r="B952" s="158"/>
      <c r="C952" s="158"/>
      <c r="D952" s="158"/>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row>
    <row r="953">
      <c r="A953" s="190"/>
      <c r="B953" s="158"/>
      <c r="C953" s="158"/>
      <c r="D953" s="158"/>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row>
    <row r="954">
      <c r="A954" s="190"/>
      <c r="B954" s="158"/>
      <c r="C954" s="158"/>
      <c r="D954" s="158"/>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row>
    <row r="955">
      <c r="A955" s="190"/>
      <c r="B955" s="158"/>
      <c r="C955" s="158"/>
      <c r="D955" s="158"/>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row>
    <row r="956">
      <c r="A956" s="190"/>
      <c r="B956" s="158"/>
      <c r="C956" s="158"/>
      <c r="D956" s="158"/>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row>
    <row r="957">
      <c r="A957" s="190"/>
      <c r="B957" s="158"/>
      <c r="C957" s="158"/>
      <c r="D957" s="158"/>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row>
    <row r="958">
      <c r="A958" s="190"/>
      <c r="B958" s="158"/>
      <c r="C958" s="158"/>
      <c r="D958" s="158"/>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row>
    <row r="959">
      <c r="A959" s="190"/>
      <c r="B959" s="158"/>
      <c r="C959" s="158"/>
      <c r="D959" s="158"/>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row>
    <row r="960">
      <c r="A960" s="190"/>
      <c r="B960" s="158"/>
      <c r="C960" s="158"/>
      <c r="D960" s="158"/>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row>
    <row r="961">
      <c r="A961" s="190"/>
      <c r="B961" s="158"/>
      <c r="C961" s="158"/>
      <c r="D961" s="158"/>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row>
    <row r="962">
      <c r="A962" s="190"/>
      <c r="B962" s="158"/>
      <c r="C962" s="158"/>
      <c r="D962" s="158"/>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row>
    <row r="963">
      <c r="A963" s="190"/>
      <c r="B963" s="158"/>
      <c r="C963" s="158"/>
      <c r="D963" s="158"/>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row>
    <row r="964">
      <c r="A964" s="190"/>
      <c r="B964" s="158"/>
      <c r="C964" s="158"/>
      <c r="D964" s="158"/>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row>
    <row r="965">
      <c r="A965" s="190"/>
      <c r="B965" s="158"/>
      <c r="C965" s="158"/>
      <c r="D965" s="158"/>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row>
    <row r="966">
      <c r="A966" s="190"/>
      <c r="B966" s="158"/>
      <c r="C966" s="158"/>
      <c r="D966" s="158"/>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row>
    <row r="967">
      <c r="A967" s="190"/>
      <c r="B967" s="158"/>
      <c r="C967" s="158"/>
      <c r="D967" s="158"/>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row>
    <row r="968">
      <c r="A968" s="190"/>
      <c r="B968" s="158"/>
      <c r="C968" s="158"/>
      <c r="D968" s="158"/>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row>
    <row r="969">
      <c r="A969" s="190"/>
      <c r="B969" s="158"/>
      <c r="C969" s="158"/>
      <c r="D969" s="158"/>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row>
    <row r="970">
      <c r="A970" s="190"/>
      <c r="B970" s="158"/>
      <c r="C970" s="158"/>
      <c r="D970" s="158"/>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row>
    <row r="971">
      <c r="A971" s="190"/>
      <c r="B971" s="158"/>
      <c r="C971" s="158"/>
      <c r="D971" s="158"/>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row>
    <row r="972">
      <c r="A972" s="190"/>
      <c r="B972" s="158"/>
      <c r="C972" s="158"/>
      <c r="D972" s="158"/>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row>
    <row r="973">
      <c r="A973" s="190"/>
      <c r="B973" s="158"/>
      <c r="C973" s="158"/>
      <c r="D973" s="158"/>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row>
    <row r="974">
      <c r="A974" s="190"/>
      <c r="B974" s="158"/>
      <c r="C974" s="158"/>
      <c r="D974" s="158"/>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row>
    <row r="975">
      <c r="A975" s="190"/>
      <c r="B975" s="158"/>
      <c r="C975" s="158"/>
      <c r="D975" s="158"/>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row>
    <row r="976">
      <c r="A976" s="190"/>
      <c r="B976" s="158"/>
      <c r="C976" s="158"/>
      <c r="D976" s="158"/>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row>
    <row r="977">
      <c r="A977" s="190"/>
      <c r="B977" s="158"/>
      <c r="C977" s="158"/>
      <c r="D977" s="158"/>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row>
    <row r="978">
      <c r="A978" s="190"/>
      <c r="B978" s="158"/>
      <c r="C978" s="158"/>
      <c r="D978" s="158"/>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row>
    <row r="979">
      <c r="A979" s="190"/>
      <c r="B979" s="158"/>
      <c r="C979" s="158"/>
      <c r="D979" s="158"/>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row>
    <row r="980">
      <c r="A980" s="190"/>
      <c r="B980" s="158"/>
      <c r="C980" s="158"/>
      <c r="D980" s="158"/>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row>
    <row r="981">
      <c r="A981" s="190"/>
      <c r="B981" s="158"/>
      <c r="C981" s="158"/>
      <c r="D981" s="158"/>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row>
    <row r="982">
      <c r="A982" s="190"/>
      <c r="B982" s="158"/>
      <c r="C982" s="158"/>
      <c r="D982" s="158"/>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row>
    <row r="983">
      <c r="A983" s="190"/>
      <c r="B983" s="158"/>
      <c r="C983" s="158"/>
      <c r="D983" s="158"/>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row>
    <row r="984">
      <c r="A984" s="190"/>
      <c r="B984" s="158"/>
      <c r="C984" s="158"/>
      <c r="D984" s="158"/>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row>
    <row r="985">
      <c r="A985" s="190"/>
      <c r="B985" s="158"/>
      <c r="C985" s="158"/>
      <c r="D985" s="158"/>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row>
    <row r="986">
      <c r="A986" s="190"/>
      <c r="B986" s="158"/>
      <c r="C986" s="158"/>
      <c r="D986" s="158"/>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row>
    <row r="987">
      <c r="A987" s="190"/>
      <c r="B987" s="158"/>
      <c r="C987" s="158"/>
      <c r="D987" s="158"/>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row>
    <row r="988">
      <c r="A988" s="190"/>
      <c r="B988" s="158"/>
      <c r="C988" s="158"/>
      <c r="D988" s="158"/>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row>
    <row r="989">
      <c r="A989" s="190"/>
      <c r="B989" s="158"/>
      <c r="C989" s="158"/>
      <c r="D989" s="158"/>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row>
    <row r="990">
      <c r="A990" s="190"/>
      <c r="B990" s="158"/>
      <c r="C990" s="158"/>
      <c r="D990" s="158"/>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row>
    <row r="991">
      <c r="A991" s="190"/>
      <c r="B991" s="158"/>
      <c r="C991" s="158"/>
      <c r="D991" s="158"/>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row>
    <row r="992">
      <c r="A992" s="190"/>
      <c r="B992" s="158"/>
      <c r="C992" s="158"/>
      <c r="D992" s="158"/>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row>
    <row r="993">
      <c r="A993" s="190"/>
      <c r="B993" s="158"/>
      <c r="C993" s="158"/>
      <c r="D993" s="158"/>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row>
    <row r="994">
      <c r="A994" s="190"/>
      <c r="B994" s="158"/>
      <c r="C994" s="158"/>
      <c r="D994" s="158"/>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row>
    <row r="995">
      <c r="A995" s="190"/>
      <c r="B995" s="158"/>
      <c r="C995" s="158"/>
      <c r="D995" s="158"/>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row>
    <row r="996">
      <c r="A996" s="190"/>
      <c r="B996" s="158"/>
      <c r="C996" s="158"/>
      <c r="D996" s="158"/>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row>
    <row r="997">
      <c r="A997" s="190"/>
      <c r="B997" s="158"/>
      <c r="C997" s="158"/>
      <c r="D997" s="158"/>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row>
    <row r="998">
      <c r="A998" s="190"/>
      <c r="B998" s="158"/>
      <c r="C998" s="158"/>
      <c r="D998" s="158"/>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row>
    <row r="999">
      <c r="A999" s="190"/>
      <c r="B999" s="158"/>
      <c r="C999" s="158"/>
      <c r="D999" s="158"/>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row>
    <row r="1000">
      <c r="A1000" s="190"/>
      <c r="B1000" s="158"/>
      <c r="C1000" s="158"/>
      <c r="D1000" s="158"/>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row>
  </sheetData>
  <hyperlinks>
    <hyperlink r:id="rId1" ref="B61"/>
    <hyperlink r:id="rId2" ref="D83"/>
    <hyperlink r:id="rId3" ref="D86"/>
    <hyperlink r:id="rId4" ref="D103"/>
    <hyperlink r:id="rId5" ref="D160"/>
    <hyperlink r:id="rId6" ref="D195"/>
    <hyperlink r:id="rId7" ref="D210"/>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0.13"/>
    <col customWidth="1" min="3" max="3" width="13.13"/>
    <col customWidth="1" min="4" max="4" width="39.0"/>
    <col customWidth="1" min="5" max="5" width="7.25"/>
    <col customWidth="1" min="6" max="6" width="14.13"/>
    <col customWidth="1" min="9" max="9" width="114.25"/>
    <col customWidth="1" min="10" max="10" width="28.38"/>
    <col customWidth="1" min="11" max="13" width="13.63"/>
  </cols>
  <sheetData>
    <row r="1">
      <c r="A1" s="162" t="s">
        <v>1540</v>
      </c>
      <c r="B1" s="163" t="s">
        <v>1604</v>
      </c>
      <c r="C1" s="163" t="s">
        <v>1608</v>
      </c>
      <c r="D1" s="163" t="s">
        <v>6</v>
      </c>
      <c r="E1" s="162" t="s">
        <v>1612</v>
      </c>
      <c r="F1" s="162" t="s">
        <v>30</v>
      </c>
      <c r="G1" s="162" t="s">
        <v>33</v>
      </c>
      <c r="H1" s="162" t="s">
        <v>1614</v>
      </c>
      <c r="I1" s="162" t="s">
        <v>1615</v>
      </c>
      <c r="J1" s="162" t="s">
        <v>1275</v>
      </c>
      <c r="K1" s="162" t="s">
        <v>1616</v>
      </c>
      <c r="L1" s="162" t="s">
        <v>1618</v>
      </c>
      <c r="M1" s="162" t="s">
        <v>1620</v>
      </c>
      <c r="N1" s="164"/>
    </row>
    <row r="2">
      <c r="A2" s="165">
        <v>1.0</v>
      </c>
      <c r="B2" s="166" t="s">
        <v>1623</v>
      </c>
      <c r="C2" s="167" t="s">
        <v>407</v>
      </c>
      <c r="D2" s="168" t="s">
        <v>999</v>
      </c>
      <c r="E2" s="165">
        <v>818.0</v>
      </c>
      <c r="F2" s="169">
        <v>45875.0</v>
      </c>
      <c r="G2" s="169">
        <v>46161.0</v>
      </c>
      <c r="H2" s="166" t="s">
        <v>1634</v>
      </c>
      <c r="I2" s="166" t="s">
        <v>1637</v>
      </c>
      <c r="J2" s="166" t="s">
        <v>1638</v>
      </c>
      <c r="K2" s="166" t="s">
        <v>1172</v>
      </c>
      <c r="L2" s="166" t="s">
        <v>777</v>
      </c>
      <c r="M2" s="166" t="s">
        <v>1640</v>
      </c>
      <c r="N2" s="170"/>
    </row>
    <row r="3">
      <c r="A3" s="165">
        <v>2.0</v>
      </c>
      <c r="B3" s="166" t="s">
        <v>1623</v>
      </c>
      <c r="C3" s="167" t="s">
        <v>169</v>
      </c>
      <c r="D3" s="168" t="s">
        <v>1644</v>
      </c>
      <c r="E3" s="165">
        <v>849.0</v>
      </c>
      <c r="F3" s="169">
        <v>45991.0</v>
      </c>
      <c r="G3" s="169">
        <v>46356.0</v>
      </c>
      <c r="H3" s="166" t="s">
        <v>1634</v>
      </c>
      <c r="I3" s="166" t="s">
        <v>1647</v>
      </c>
      <c r="J3" s="166" t="s">
        <v>1648</v>
      </c>
      <c r="K3" s="166" t="s">
        <v>1650</v>
      </c>
      <c r="L3" s="166" t="s">
        <v>1652</v>
      </c>
      <c r="M3" s="166" t="s">
        <v>1653</v>
      </c>
      <c r="N3" s="170"/>
    </row>
    <row r="4">
      <c r="A4" s="165">
        <v>3.0</v>
      </c>
      <c r="B4" s="170"/>
      <c r="C4" s="167" t="s">
        <v>169</v>
      </c>
      <c r="D4" s="171" t="s">
        <v>1654</v>
      </c>
      <c r="E4" s="172">
        <v>462.0</v>
      </c>
      <c r="F4" s="173">
        <v>45177.0</v>
      </c>
      <c r="G4" s="173">
        <v>45362.0</v>
      </c>
      <c r="H4" s="167" t="s">
        <v>1634</v>
      </c>
      <c r="I4" s="167" t="s">
        <v>1664</v>
      </c>
      <c r="J4" s="167" t="s">
        <v>1665</v>
      </c>
      <c r="K4" s="167" t="s">
        <v>1666</v>
      </c>
      <c r="L4" s="175"/>
      <c r="M4" s="167" t="s">
        <v>1653</v>
      </c>
      <c r="N4" s="175"/>
    </row>
    <row r="5">
      <c r="A5" s="165">
        <v>4.0</v>
      </c>
      <c r="B5" s="170"/>
      <c r="C5" s="167" t="s">
        <v>407</v>
      </c>
      <c r="D5" s="171" t="s">
        <v>1670</v>
      </c>
      <c r="E5" s="176"/>
      <c r="F5" s="177"/>
      <c r="G5" s="177"/>
      <c r="H5" s="167" t="s">
        <v>1634</v>
      </c>
      <c r="I5" s="178" t="s">
        <v>1675</v>
      </c>
      <c r="J5" s="167" t="s">
        <v>1677</v>
      </c>
      <c r="K5" s="167" t="s">
        <v>1679</v>
      </c>
      <c r="L5" s="175"/>
      <c r="M5" s="167" t="s">
        <v>1640</v>
      </c>
      <c r="N5" s="175"/>
    </row>
    <row r="6">
      <c r="A6" s="165">
        <v>5.0</v>
      </c>
      <c r="B6" s="170"/>
      <c r="C6" s="167" t="s">
        <v>407</v>
      </c>
      <c r="D6" s="171" t="s">
        <v>1682</v>
      </c>
      <c r="E6" s="176"/>
      <c r="F6" s="177"/>
      <c r="G6" s="177"/>
      <c r="H6" s="167" t="s">
        <v>1634</v>
      </c>
      <c r="I6" s="178" t="s">
        <v>1675</v>
      </c>
      <c r="J6" s="167" t="s">
        <v>1677</v>
      </c>
      <c r="K6" s="167" t="s">
        <v>1679</v>
      </c>
      <c r="L6" s="175"/>
      <c r="M6" s="167" t="s">
        <v>1640</v>
      </c>
      <c r="N6" s="175"/>
    </row>
    <row r="7">
      <c r="A7" s="172">
        <v>6.0</v>
      </c>
      <c r="B7" s="175"/>
      <c r="C7" s="167" t="s">
        <v>169</v>
      </c>
      <c r="D7" s="171" t="s">
        <v>1683</v>
      </c>
      <c r="E7" s="176"/>
      <c r="F7" s="177"/>
      <c r="G7" s="177"/>
      <c r="H7" s="167" t="s">
        <v>1634</v>
      </c>
      <c r="I7" s="179" t="s">
        <v>1684</v>
      </c>
      <c r="J7" s="167" t="s">
        <v>392</v>
      </c>
      <c r="K7" s="167" t="s">
        <v>1610</v>
      </c>
      <c r="L7" s="175"/>
      <c r="M7" s="167" t="s">
        <v>1640</v>
      </c>
      <c r="N7" s="175"/>
    </row>
    <row r="8">
      <c r="A8" s="172">
        <v>7.0</v>
      </c>
      <c r="B8" s="175"/>
      <c r="C8" s="167" t="s">
        <v>169</v>
      </c>
      <c r="D8" s="171" t="s">
        <v>1686</v>
      </c>
      <c r="E8" s="172" t="s">
        <v>392</v>
      </c>
      <c r="F8" s="177"/>
      <c r="G8" s="177"/>
      <c r="H8" s="167" t="s">
        <v>1634</v>
      </c>
      <c r="I8" s="179" t="s">
        <v>1687</v>
      </c>
      <c r="J8" s="175"/>
      <c r="K8" s="167" t="s">
        <v>1610</v>
      </c>
      <c r="L8" s="175"/>
      <c r="M8" s="167" t="s">
        <v>1640</v>
      </c>
      <c r="N8" s="167" t="s">
        <v>1688</v>
      </c>
    </row>
    <row r="9">
      <c r="A9" s="172">
        <v>8.0</v>
      </c>
      <c r="B9" s="175"/>
      <c r="C9" s="167" t="s">
        <v>169</v>
      </c>
      <c r="D9" s="171" t="s">
        <v>1689</v>
      </c>
      <c r="E9" s="176"/>
      <c r="F9" s="177"/>
      <c r="G9" s="177"/>
      <c r="H9" s="167" t="s">
        <v>1634</v>
      </c>
      <c r="I9" s="179" t="s">
        <v>1690</v>
      </c>
      <c r="J9" s="175"/>
      <c r="K9" s="167" t="s">
        <v>1691</v>
      </c>
      <c r="L9" s="175"/>
      <c r="M9" s="167" t="s">
        <v>1640</v>
      </c>
      <c r="N9" s="167" t="s">
        <v>1688</v>
      </c>
    </row>
    <row r="10">
      <c r="A10" s="172">
        <v>9.0</v>
      </c>
      <c r="B10" s="175"/>
      <c r="C10" s="167" t="s">
        <v>169</v>
      </c>
      <c r="D10" s="171" t="s">
        <v>1693</v>
      </c>
      <c r="E10" s="172" t="s">
        <v>392</v>
      </c>
      <c r="F10" s="177"/>
      <c r="G10" s="177"/>
      <c r="H10" s="167" t="s">
        <v>1634</v>
      </c>
      <c r="I10" s="179" t="s">
        <v>1698</v>
      </c>
      <c r="J10" s="175"/>
      <c r="K10" s="167" t="s">
        <v>1610</v>
      </c>
      <c r="L10" s="175"/>
      <c r="M10" s="167" t="s">
        <v>1640</v>
      </c>
      <c r="N10" s="175"/>
    </row>
    <row r="11">
      <c r="A11" s="172">
        <v>10.0</v>
      </c>
      <c r="B11" s="175"/>
      <c r="C11" s="167" t="s">
        <v>169</v>
      </c>
      <c r="D11" s="171" t="s">
        <v>1700</v>
      </c>
      <c r="E11" s="176"/>
      <c r="F11" s="177"/>
      <c r="G11" s="177"/>
      <c r="H11" s="167" t="s">
        <v>1634</v>
      </c>
      <c r="I11" s="179" t="s">
        <v>1702</v>
      </c>
      <c r="J11" s="175"/>
      <c r="K11" s="167" t="s">
        <v>1610</v>
      </c>
      <c r="L11" s="175"/>
      <c r="M11" s="167" t="s">
        <v>1640</v>
      </c>
      <c r="N11" s="175"/>
    </row>
    <row r="12">
      <c r="A12" s="172">
        <v>11.0</v>
      </c>
      <c r="B12" s="175"/>
      <c r="C12" s="167" t="s">
        <v>169</v>
      </c>
      <c r="D12" s="171" t="s">
        <v>1703</v>
      </c>
      <c r="E12" s="176"/>
      <c r="F12" s="177"/>
      <c r="G12" s="177"/>
      <c r="H12" s="167" t="s">
        <v>1634</v>
      </c>
      <c r="I12" s="179" t="s">
        <v>1704</v>
      </c>
      <c r="J12" s="175"/>
      <c r="K12" s="167" t="s">
        <v>1691</v>
      </c>
      <c r="L12" s="175"/>
      <c r="M12" s="167" t="s">
        <v>1640</v>
      </c>
      <c r="N12" s="175"/>
    </row>
    <row r="13">
      <c r="A13" s="172">
        <v>12.0</v>
      </c>
      <c r="B13" s="175"/>
      <c r="C13" s="167" t="s">
        <v>169</v>
      </c>
      <c r="D13" s="171" t="s">
        <v>1705</v>
      </c>
      <c r="E13" s="176"/>
      <c r="F13" s="177"/>
      <c r="G13" s="177"/>
      <c r="H13" s="167" t="s">
        <v>1634</v>
      </c>
      <c r="I13" s="179" t="s">
        <v>1710</v>
      </c>
      <c r="J13" s="175"/>
      <c r="K13" s="175"/>
      <c r="L13" s="175"/>
      <c r="M13" s="175"/>
      <c r="N13" s="175"/>
    </row>
    <row r="14">
      <c r="A14" s="172">
        <v>13.0</v>
      </c>
      <c r="B14" s="175"/>
      <c r="C14" s="167" t="s">
        <v>169</v>
      </c>
      <c r="D14" s="171" t="s">
        <v>1711</v>
      </c>
      <c r="E14" s="176"/>
      <c r="F14" s="177"/>
      <c r="G14" s="177"/>
      <c r="H14" s="167" t="s">
        <v>1634</v>
      </c>
      <c r="I14" s="179" t="s">
        <v>1712</v>
      </c>
      <c r="J14" s="175"/>
      <c r="K14" s="175"/>
      <c r="L14" s="175"/>
      <c r="M14" s="175"/>
      <c r="N14" s="175"/>
    </row>
    <row r="15">
      <c r="A15" s="172">
        <v>14.0</v>
      </c>
      <c r="B15" s="175"/>
      <c r="C15" s="167" t="s">
        <v>169</v>
      </c>
      <c r="D15" s="171" t="s">
        <v>1716</v>
      </c>
      <c r="E15" s="176"/>
      <c r="F15" s="177"/>
      <c r="G15" s="177"/>
      <c r="H15" s="167" t="s">
        <v>1634</v>
      </c>
      <c r="I15" s="179" t="s">
        <v>1717</v>
      </c>
      <c r="J15" s="175"/>
      <c r="K15" s="175"/>
      <c r="L15" s="175"/>
      <c r="M15" s="175"/>
      <c r="N15" s="175"/>
    </row>
    <row r="16">
      <c r="A16" s="172">
        <v>15.0</v>
      </c>
      <c r="B16" s="167" t="s">
        <v>1623</v>
      </c>
      <c r="C16" s="167" t="s">
        <v>169</v>
      </c>
      <c r="D16" s="171" t="s">
        <v>1700</v>
      </c>
      <c r="E16" s="176"/>
      <c r="F16" s="177"/>
      <c r="G16" s="177"/>
      <c r="H16" s="167" t="s">
        <v>1634</v>
      </c>
      <c r="I16" s="179" t="s">
        <v>1718</v>
      </c>
      <c r="J16" s="175"/>
      <c r="K16" s="175"/>
      <c r="L16" s="167" t="s">
        <v>247</v>
      </c>
      <c r="M16" s="175"/>
      <c r="N16" s="175"/>
    </row>
    <row r="17">
      <c r="A17" s="172">
        <v>16.0</v>
      </c>
      <c r="B17" s="167" t="s">
        <v>1623</v>
      </c>
      <c r="C17" s="167" t="s">
        <v>169</v>
      </c>
      <c r="D17" s="171" t="s">
        <v>1719</v>
      </c>
      <c r="E17" s="176"/>
      <c r="F17" s="177"/>
      <c r="G17" s="177"/>
      <c r="H17" s="167" t="s">
        <v>1634</v>
      </c>
      <c r="I17" s="179" t="s">
        <v>1721</v>
      </c>
      <c r="J17" s="175"/>
      <c r="K17" s="175"/>
      <c r="L17" s="167" t="s">
        <v>247</v>
      </c>
      <c r="M17" s="175"/>
      <c r="N17" s="175"/>
    </row>
    <row r="18">
      <c r="A18" s="172">
        <v>17.0</v>
      </c>
      <c r="B18" s="167" t="s">
        <v>1623</v>
      </c>
      <c r="C18" s="167" t="s">
        <v>169</v>
      </c>
      <c r="D18" s="171" t="s">
        <v>1700</v>
      </c>
      <c r="E18" s="176"/>
      <c r="F18" s="177"/>
      <c r="G18" s="177"/>
      <c r="H18" s="167" t="s">
        <v>1726</v>
      </c>
      <c r="I18" s="179" t="s">
        <v>1718</v>
      </c>
      <c r="J18" s="175"/>
      <c r="K18" s="175"/>
      <c r="L18" s="167" t="s">
        <v>247</v>
      </c>
      <c r="M18" s="175"/>
      <c r="N18" s="175"/>
    </row>
    <row r="19">
      <c r="A19" s="172">
        <v>18.0</v>
      </c>
      <c r="B19" s="167" t="s">
        <v>1623</v>
      </c>
      <c r="C19" s="167" t="s">
        <v>169</v>
      </c>
      <c r="D19" s="171" t="s">
        <v>1727</v>
      </c>
      <c r="E19" s="176"/>
      <c r="F19" s="177"/>
      <c r="G19" s="177"/>
      <c r="H19" s="167" t="s">
        <v>1634</v>
      </c>
      <c r="I19" s="178" t="s">
        <v>1728</v>
      </c>
      <c r="J19" s="175"/>
      <c r="K19" s="175"/>
      <c r="L19" s="167" t="s">
        <v>247</v>
      </c>
      <c r="M19" s="175"/>
      <c r="N19" s="175"/>
    </row>
    <row r="20">
      <c r="A20" s="172">
        <v>19.0</v>
      </c>
      <c r="B20" s="167" t="s">
        <v>1623</v>
      </c>
      <c r="C20" s="167" t="s">
        <v>169</v>
      </c>
      <c r="D20" s="171" t="s">
        <v>1730</v>
      </c>
      <c r="E20" s="176"/>
      <c r="F20" s="177"/>
      <c r="G20" s="177"/>
      <c r="H20" s="167" t="s">
        <v>1634</v>
      </c>
      <c r="I20" s="167" t="s">
        <v>1732</v>
      </c>
      <c r="J20" s="175"/>
      <c r="K20" s="175"/>
      <c r="L20" s="167" t="s">
        <v>247</v>
      </c>
      <c r="M20" s="175"/>
      <c r="N20" s="175"/>
    </row>
    <row r="21">
      <c r="A21" s="172">
        <v>20.0</v>
      </c>
      <c r="B21" s="167" t="s">
        <v>1623</v>
      </c>
      <c r="C21" s="167" t="s">
        <v>169</v>
      </c>
      <c r="D21" s="171" t="s">
        <v>1059</v>
      </c>
      <c r="E21" s="176"/>
      <c r="F21" s="177"/>
      <c r="G21" s="177"/>
      <c r="H21" s="167" t="s">
        <v>1634</v>
      </c>
      <c r="I21" s="167" t="s">
        <v>1733</v>
      </c>
      <c r="J21" s="175"/>
      <c r="K21" s="175"/>
      <c r="L21" s="167" t="s">
        <v>247</v>
      </c>
      <c r="M21" s="175"/>
      <c r="N21" s="175"/>
    </row>
    <row r="22">
      <c r="A22" s="172">
        <v>21.0</v>
      </c>
      <c r="B22" s="167" t="s">
        <v>1623</v>
      </c>
      <c r="C22" s="167" t="s">
        <v>169</v>
      </c>
      <c r="D22" s="171" t="s">
        <v>1735</v>
      </c>
      <c r="E22" s="176"/>
      <c r="F22" s="177"/>
      <c r="G22" s="177"/>
      <c r="H22" s="167" t="s">
        <v>1737</v>
      </c>
      <c r="I22" s="179" t="s">
        <v>1738</v>
      </c>
      <c r="J22" s="175"/>
      <c r="K22" s="175"/>
      <c r="L22" s="167" t="s">
        <v>247</v>
      </c>
      <c r="M22" s="175"/>
      <c r="N22" s="167" t="s">
        <v>1739</v>
      </c>
    </row>
    <row r="23">
      <c r="A23" s="172">
        <v>22.0</v>
      </c>
      <c r="B23" s="167" t="s">
        <v>1623</v>
      </c>
      <c r="C23" s="167" t="s">
        <v>169</v>
      </c>
      <c r="D23" s="171" t="s">
        <v>1742</v>
      </c>
      <c r="E23" s="176"/>
      <c r="F23" s="177"/>
      <c r="G23" s="177"/>
      <c r="H23" s="167" t="s">
        <v>1634</v>
      </c>
      <c r="I23" s="167" t="s">
        <v>1744</v>
      </c>
      <c r="J23" s="175"/>
      <c r="K23" s="175"/>
      <c r="L23" s="167" t="s">
        <v>247</v>
      </c>
      <c r="M23" s="175"/>
      <c r="N23" s="167" t="s">
        <v>1745</v>
      </c>
    </row>
    <row r="24">
      <c r="A24" s="172">
        <v>23.0</v>
      </c>
      <c r="B24" s="167" t="s">
        <v>1623</v>
      </c>
      <c r="C24" s="167" t="s">
        <v>169</v>
      </c>
      <c r="D24" s="171" t="s">
        <v>1746</v>
      </c>
      <c r="E24" s="176"/>
      <c r="F24" s="177"/>
      <c r="G24" s="177"/>
      <c r="H24" s="167" t="s">
        <v>1737</v>
      </c>
      <c r="I24" s="179" t="s">
        <v>1748</v>
      </c>
      <c r="J24" s="175"/>
      <c r="K24" s="175"/>
      <c r="L24" s="167" t="s">
        <v>247</v>
      </c>
      <c r="M24" s="175"/>
      <c r="N24" s="175"/>
    </row>
    <row r="25">
      <c r="D25" s="181"/>
      <c r="E25" s="182"/>
    </row>
    <row r="26">
      <c r="D26" s="181"/>
      <c r="E26" s="182"/>
    </row>
    <row r="27">
      <c r="D27" s="181"/>
      <c r="E27" s="182"/>
    </row>
    <row r="28">
      <c r="D28" s="181"/>
      <c r="E28" s="182"/>
    </row>
    <row r="29">
      <c r="D29" s="181"/>
      <c r="E29" s="182"/>
    </row>
    <row r="30">
      <c r="D30" s="181"/>
      <c r="E30" s="182"/>
    </row>
    <row r="31">
      <c r="D31" s="181"/>
      <c r="E31" s="182"/>
    </row>
    <row r="32">
      <c r="D32" s="181"/>
      <c r="E32" s="182"/>
    </row>
    <row r="33">
      <c r="D33" s="181"/>
      <c r="E33" s="182"/>
    </row>
    <row r="34">
      <c r="D34" s="181"/>
      <c r="E34" s="182"/>
    </row>
    <row r="35">
      <c r="D35" s="181"/>
      <c r="E35" s="182"/>
    </row>
    <row r="36">
      <c r="D36" s="181"/>
      <c r="E36" s="182"/>
    </row>
    <row r="37">
      <c r="D37" s="181"/>
      <c r="E37" s="182"/>
    </row>
    <row r="38">
      <c r="D38" s="181"/>
      <c r="E38" s="182"/>
    </row>
    <row r="39">
      <c r="D39" s="181"/>
      <c r="E39" s="182"/>
    </row>
    <row r="40">
      <c r="D40" s="181"/>
      <c r="E40" s="182"/>
    </row>
    <row r="41">
      <c r="D41" s="181"/>
      <c r="E41" s="182"/>
    </row>
    <row r="42">
      <c r="D42" s="181"/>
      <c r="E42" s="182"/>
    </row>
    <row r="43">
      <c r="D43" s="181"/>
      <c r="E43" s="182"/>
    </row>
    <row r="44">
      <c r="D44" s="181"/>
      <c r="E44" s="182"/>
    </row>
    <row r="45">
      <c r="D45" s="181"/>
      <c r="E45" s="182"/>
    </row>
    <row r="46">
      <c r="D46" s="181"/>
      <c r="E46" s="182"/>
    </row>
    <row r="47">
      <c r="D47" s="181"/>
      <c r="E47" s="182"/>
    </row>
    <row r="48">
      <c r="D48" s="181"/>
      <c r="E48" s="182"/>
    </row>
    <row r="49">
      <c r="D49" s="181"/>
      <c r="E49" s="182"/>
    </row>
    <row r="50">
      <c r="D50" s="181"/>
      <c r="E50" s="182"/>
    </row>
    <row r="51">
      <c r="D51" s="181"/>
      <c r="E51" s="182"/>
    </row>
    <row r="52">
      <c r="D52" s="181"/>
      <c r="E52" s="182"/>
    </row>
    <row r="53">
      <c r="D53" s="181"/>
      <c r="E53" s="182"/>
    </row>
    <row r="54">
      <c r="D54" s="181"/>
      <c r="E54" s="182"/>
    </row>
    <row r="55">
      <c r="D55" s="181"/>
      <c r="E55" s="182"/>
    </row>
    <row r="56">
      <c r="D56" s="181"/>
      <c r="E56" s="182"/>
    </row>
    <row r="57">
      <c r="D57" s="181"/>
      <c r="E57" s="182"/>
    </row>
    <row r="58">
      <c r="D58" s="181"/>
      <c r="E58" s="182"/>
    </row>
    <row r="59">
      <c r="D59" s="181"/>
      <c r="E59" s="182"/>
    </row>
    <row r="60">
      <c r="D60" s="181"/>
      <c r="E60" s="182"/>
    </row>
    <row r="61">
      <c r="D61" s="181"/>
      <c r="E61" s="182"/>
    </row>
    <row r="62">
      <c r="D62" s="181"/>
      <c r="E62" s="182"/>
    </row>
    <row r="63">
      <c r="D63" s="181"/>
      <c r="E63" s="182"/>
    </row>
    <row r="64">
      <c r="D64" s="181"/>
      <c r="E64" s="182"/>
    </row>
    <row r="65">
      <c r="D65" s="181"/>
      <c r="E65" s="182"/>
    </row>
    <row r="66">
      <c r="D66" s="181"/>
      <c r="E66" s="182"/>
    </row>
    <row r="67">
      <c r="D67" s="181"/>
      <c r="E67" s="182"/>
    </row>
    <row r="68">
      <c r="D68" s="181"/>
      <c r="E68" s="182"/>
    </row>
    <row r="69">
      <c r="D69" s="181"/>
      <c r="E69" s="182"/>
    </row>
    <row r="70">
      <c r="D70" s="181"/>
      <c r="E70" s="182"/>
    </row>
    <row r="71">
      <c r="D71" s="181"/>
      <c r="E71" s="182"/>
    </row>
    <row r="72">
      <c r="D72" s="181"/>
      <c r="E72" s="182"/>
    </row>
    <row r="73">
      <c r="D73" s="181"/>
      <c r="E73" s="182"/>
    </row>
    <row r="74">
      <c r="D74" s="181"/>
      <c r="E74" s="182"/>
    </row>
    <row r="75">
      <c r="D75" s="181"/>
      <c r="E75" s="182"/>
    </row>
    <row r="76">
      <c r="D76" s="181"/>
      <c r="E76" s="182"/>
    </row>
    <row r="77">
      <c r="D77" s="181"/>
      <c r="E77" s="182"/>
    </row>
    <row r="78">
      <c r="D78" s="181"/>
      <c r="E78" s="182"/>
    </row>
    <row r="79">
      <c r="D79" s="181"/>
      <c r="E79" s="182"/>
    </row>
    <row r="80">
      <c r="D80" s="181"/>
      <c r="E80" s="182"/>
    </row>
    <row r="81">
      <c r="D81" s="181"/>
      <c r="E81" s="182"/>
    </row>
    <row r="82">
      <c r="D82" s="181"/>
      <c r="E82" s="182"/>
    </row>
    <row r="83">
      <c r="D83" s="181"/>
      <c r="E83" s="182"/>
    </row>
    <row r="84">
      <c r="D84" s="181"/>
      <c r="E84" s="182"/>
    </row>
    <row r="85">
      <c r="D85" s="181"/>
      <c r="E85" s="182"/>
    </row>
    <row r="86">
      <c r="D86" s="181"/>
      <c r="E86" s="182"/>
    </row>
    <row r="87">
      <c r="D87" s="181"/>
      <c r="E87" s="182"/>
    </row>
    <row r="88">
      <c r="D88" s="181"/>
      <c r="E88" s="182"/>
    </row>
    <row r="89">
      <c r="D89" s="181"/>
      <c r="E89" s="182"/>
    </row>
    <row r="90">
      <c r="D90" s="181"/>
      <c r="E90" s="182"/>
    </row>
    <row r="91">
      <c r="D91" s="181"/>
      <c r="E91" s="182"/>
    </row>
    <row r="92">
      <c r="D92" s="181"/>
      <c r="E92" s="182"/>
    </row>
    <row r="93">
      <c r="D93" s="181"/>
      <c r="E93" s="182"/>
    </row>
    <row r="94">
      <c r="D94" s="181"/>
      <c r="E94" s="182"/>
    </row>
    <row r="95">
      <c r="D95" s="181"/>
      <c r="E95" s="182"/>
    </row>
    <row r="96">
      <c r="D96" s="181"/>
      <c r="E96" s="182"/>
    </row>
    <row r="97">
      <c r="D97" s="181"/>
      <c r="E97" s="182"/>
    </row>
    <row r="98">
      <c r="D98" s="181"/>
      <c r="E98" s="182"/>
    </row>
    <row r="99">
      <c r="D99" s="181"/>
      <c r="E99" s="182"/>
    </row>
    <row r="100">
      <c r="D100" s="181"/>
      <c r="E100" s="182"/>
    </row>
    <row r="101">
      <c r="D101" s="181"/>
      <c r="E101" s="182"/>
    </row>
    <row r="102">
      <c r="D102" s="181"/>
      <c r="E102" s="182"/>
    </row>
    <row r="103">
      <c r="D103" s="181"/>
      <c r="E103" s="182"/>
    </row>
    <row r="104">
      <c r="D104" s="181"/>
      <c r="E104" s="182"/>
    </row>
    <row r="105">
      <c r="D105" s="181"/>
      <c r="E105" s="182"/>
    </row>
    <row r="106">
      <c r="D106" s="181"/>
      <c r="E106" s="182"/>
    </row>
    <row r="107">
      <c r="D107" s="181"/>
      <c r="E107" s="182"/>
    </row>
    <row r="108">
      <c r="D108" s="181"/>
      <c r="E108" s="182"/>
    </row>
    <row r="109">
      <c r="D109" s="181"/>
      <c r="E109" s="182"/>
    </row>
    <row r="110">
      <c r="D110" s="181"/>
      <c r="E110" s="182"/>
    </row>
    <row r="111">
      <c r="D111" s="181"/>
      <c r="E111" s="182"/>
    </row>
    <row r="112">
      <c r="D112" s="181"/>
      <c r="E112" s="182"/>
    </row>
    <row r="113">
      <c r="D113" s="181"/>
      <c r="E113" s="182"/>
    </row>
    <row r="114">
      <c r="D114" s="181"/>
      <c r="E114" s="182"/>
    </row>
    <row r="115">
      <c r="D115" s="181"/>
      <c r="E115" s="182"/>
    </row>
    <row r="116">
      <c r="D116" s="181"/>
      <c r="E116" s="182"/>
    </row>
    <row r="117">
      <c r="D117" s="181"/>
      <c r="E117" s="182"/>
    </row>
    <row r="118">
      <c r="D118" s="181"/>
      <c r="E118" s="182"/>
    </row>
    <row r="119">
      <c r="D119" s="181"/>
      <c r="E119" s="182"/>
    </row>
    <row r="120">
      <c r="D120" s="181"/>
      <c r="E120" s="182"/>
    </row>
    <row r="121">
      <c r="D121" s="181"/>
      <c r="E121" s="182"/>
    </row>
    <row r="122">
      <c r="D122" s="181"/>
      <c r="E122" s="182"/>
    </row>
    <row r="123">
      <c r="D123" s="181"/>
      <c r="E123" s="182"/>
    </row>
    <row r="124">
      <c r="D124" s="181"/>
      <c r="E124" s="182"/>
    </row>
    <row r="125">
      <c r="D125" s="181"/>
      <c r="E125" s="182"/>
    </row>
    <row r="126">
      <c r="D126" s="181"/>
      <c r="E126" s="182"/>
    </row>
    <row r="127">
      <c r="D127" s="181"/>
      <c r="E127" s="182"/>
    </row>
    <row r="128">
      <c r="D128" s="181"/>
      <c r="E128" s="182"/>
    </row>
    <row r="129">
      <c r="D129" s="181"/>
      <c r="E129" s="182"/>
    </row>
    <row r="130">
      <c r="D130" s="181"/>
      <c r="E130" s="182"/>
    </row>
    <row r="131">
      <c r="D131" s="181"/>
      <c r="E131" s="182"/>
    </row>
    <row r="132">
      <c r="D132" s="181"/>
      <c r="E132" s="182"/>
    </row>
    <row r="133">
      <c r="D133" s="181"/>
      <c r="E133" s="182"/>
    </row>
    <row r="134">
      <c r="D134" s="181"/>
      <c r="E134" s="182"/>
    </row>
    <row r="135">
      <c r="D135" s="181"/>
      <c r="E135" s="182"/>
    </row>
    <row r="136">
      <c r="D136" s="181"/>
      <c r="E136" s="182"/>
    </row>
    <row r="137">
      <c r="D137" s="181"/>
      <c r="E137" s="182"/>
    </row>
    <row r="138">
      <c r="D138" s="181"/>
      <c r="E138" s="182"/>
    </row>
    <row r="139">
      <c r="D139" s="181"/>
      <c r="E139" s="182"/>
    </row>
    <row r="140">
      <c r="D140" s="181"/>
      <c r="E140" s="182"/>
    </row>
    <row r="141">
      <c r="D141" s="181"/>
      <c r="E141" s="182"/>
    </row>
    <row r="142">
      <c r="D142" s="181"/>
      <c r="E142" s="182"/>
    </row>
    <row r="143">
      <c r="D143" s="181"/>
      <c r="E143" s="182"/>
    </row>
    <row r="144">
      <c r="D144" s="181"/>
      <c r="E144" s="182"/>
    </row>
    <row r="145">
      <c r="D145" s="181"/>
      <c r="E145" s="182"/>
    </row>
    <row r="146">
      <c r="D146" s="181"/>
      <c r="E146" s="182"/>
    </row>
    <row r="147">
      <c r="D147" s="181"/>
      <c r="E147" s="182"/>
    </row>
    <row r="148">
      <c r="D148" s="181"/>
      <c r="E148" s="182"/>
    </row>
    <row r="149">
      <c r="D149" s="181"/>
      <c r="E149" s="182"/>
    </row>
    <row r="150">
      <c r="D150" s="181"/>
      <c r="E150" s="182"/>
    </row>
    <row r="151">
      <c r="D151" s="181"/>
      <c r="E151" s="182"/>
    </row>
    <row r="152">
      <c r="D152" s="181"/>
      <c r="E152" s="182"/>
    </row>
    <row r="153">
      <c r="D153" s="181"/>
      <c r="E153" s="182"/>
    </row>
    <row r="154">
      <c r="D154" s="181"/>
      <c r="E154" s="182"/>
    </row>
    <row r="155">
      <c r="D155" s="181"/>
      <c r="E155" s="182"/>
    </row>
    <row r="156">
      <c r="D156" s="181"/>
      <c r="E156" s="182"/>
    </row>
    <row r="157">
      <c r="D157" s="181"/>
      <c r="E157" s="182"/>
    </row>
    <row r="158">
      <c r="D158" s="181"/>
      <c r="E158" s="182"/>
    </row>
    <row r="159">
      <c r="D159" s="181"/>
      <c r="E159" s="182"/>
    </row>
    <row r="160">
      <c r="D160" s="181"/>
      <c r="E160" s="182"/>
    </row>
    <row r="161">
      <c r="D161" s="181"/>
      <c r="E161" s="182"/>
    </row>
    <row r="162">
      <c r="D162" s="181"/>
      <c r="E162" s="182"/>
    </row>
    <row r="163">
      <c r="D163" s="181"/>
      <c r="E163" s="182"/>
    </row>
    <row r="164">
      <c r="D164" s="181"/>
      <c r="E164" s="182"/>
    </row>
    <row r="165">
      <c r="D165" s="181"/>
      <c r="E165" s="182"/>
    </row>
    <row r="166">
      <c r="D166" s="181"/>
      <c r="E166" s="182"/>
    </row>
    <row r="167">
      <c r="D167" s="181"/>
      <c r="E167" s="182"/>
    </row>
    <row r="168">
      <c r="D168" s="181"/>
      <c r="E168" s="182"/>
    </row>
    <row r="169">
      <c r="D169" s="181"/>
      <c r="E169" s="182"/>
    </row>
    <row r="170">
      <c r="D170" s="181"/>
      <c r="E170" s="182"/>
    </row>
    <row r="171">
      <c r="D171" s="181"/>
      <c r="E171" s="182"/>
    </row>
    <row r="172">
      <c r="D172" s="181"/>
      <c r="E172" s="182"/>
    </row>
    <row r="173">
      <c r="D173" s="181"/>
      <c r="E173" s="182"/>
    </row>
    <row r="174">
      <c r="D174" s="181"/>
      <c r="E174" s="182"/>
    </row>
    <row r="175">
      <c r="D175" s="181"/>
      <c r="E175" s="182"/>
    </row>
    <row r="176">
      <c r="D176" s="181"/>
      <c r="E176" s="182"/>
    </row>
    <row r="177">
      <c r="D177" s="181"/>
      <c r="E177" s="182"/>
    </row>
    <row r="178">
      <c r="D178" s="181"/>
      <c r="E178" s="182"/>
    </row>
    <row r="179">
      <c r="D179" s="181"/>
      <c r="E179" s="182"/>
    </row>
    <row r="180">
      <c r="D180" s="181"/>
      <c r="E180" s="182"/>
    </row>
    <row r="181">
      <c r="D181" s="181"/>
      <c r="E181" s="182"/>
    </row>
    <row r="182">
      <c r="D182" s="181"/>
      <c r="E182" s="182"/>
    </row>
    <row r="183">
      <c r="D183" s="181"/>
      <c r="E183" s="182"/>
    </row>
    <row r="184">
      <c r="D184" s="181"/>
      <c r="E184" s="182"/>
    </row>
    <row r="185">
      <c r="D185" s="181"/>
      <c r="E185" s="182"/>
    </row>
    <row r="186">
      <c r="D186" s="181"/>
      <c r="E186" s="182"/>
    </row>
    <row r="187">
      <c r="D187" s="181"/>
      <c r="E187" s="182"/>
    </row>
    <row r="188">
      <c r="D188" s="181"/>
      <c r="E188" s="182"/>
    </row>
    <row r="189">
      <c r="D189" s="181"/>
      <c r="E189" s="182"/>
    </row>
    <row r="190">
      <c r="D190" s="181"/>
      <c r="E190" s="182"/>
    </row>
    <row r="191">
      <c r="D191" s="181"/>
      <c r="E191" s="182"/>
    </row>
    <row r="192">
      <c r="D192" s="181"/>
      <c r="E192" s="182"/>
    </row>
    <row r="193">
      <c r="D193" s="181"/>
      <c r="E193" s="182"/>
    </row>
    <row r="194">
      <c r="D194" s="181"/>
      <c r="E194" s="182"/>
    </row>
    <row r="195">
      <c r="D195" s="181"/>
      <c r="E195" s="182"/>
    </row>
    <row r="196">
      <c r="D196" s="181"/>
      <c r="E196" s="182"/>
    </row>
    <row r="197">
      <c r="D197" s="181"/>
      <c r="E197" s="182"/>
    </row>
    <row r="198">
      <c r="D198" s="181"/>
      <c r="E198" s="182"/>
    </row>
    <row r="199">
      <c r="D199" s="181"/>
      <c r="E199" s="182"/>
    </row>
    <row r="200">
      <c r="D200" s="181"/>
      <c r="E200" s="182"/>
    </row>
    <row r="201">
      <c r="D201" s="181"/>
      <c r="E201" s="182"/>
    </row>
    <row r="202">
      <c r="D202" s="181"/>
      <c r="E202" s="182"/>
    </row>
    <row r="203">
      <c r="D203" s="181"/>
      <c r="E203" s="182"/>
    </row>
    <row r="204">
      <c r="D204" s="181"/>
      <c r="E204" s="182"/>
    </row>
    <row r="205">
      <c r="D205" s="181"/>
      <c r="E205" s="182"/>
    </row>
    <row r="206">
      <c r="D206" s="181"/>
      <c r="E206" s="182"/>
    </row>
    <row r="207">
      <c r="D207" s="181"/>
      <c r="E207" s="182"/>
    </row>
    <row r="208">
      <c r="D208" s="181"/>
      <c r="E208" s="182"/>
    </row>
    <row r="209">
      <c r="D209" s="181"/>
      <c r="E209" s="182"/>
    </row>
    <row r="210">
      <c r="D210" s="181"/>
      <c r="E210" s="182"/>
    </row>
    <row r="211">
      <c r="D211" s="181"/>
      <c r="E211" s="182"/>
    </row>
    <row r="212">
      <c r="D212" s="181"/>
      <c r="E212" s="182"/>
    </row>
    <row r="213">
      <c r="D213" s="181"/>
      <c r="E213" s="182"/>
    </row>
    <row r="214">
      <c r="D214" s="181"/>
      <c r="E214" s="182"/>
    </row>
    <row r="215">
      <c r="D215" s="181"/>
      <c r="E215" s="182"/>
    </row>
    <row r="216">
      <c r="D216" s="181"/>
      <c r="E216" s="182"/>
    </row>
    <row r="217">
      <c r="D217" s="181"/>
      <c r="E217" s="182"/>
    </row>
    <row r="218">
      <c r="D218" s="181"/>
      <c r="E218" s="182"/>
    </row>
    <row r="219">
      <c r="D219" s="181"/>
      <c r="E219" s="182"/>
    </row>
    <row r="220">
      <c r="D220" s="181"/>
      <c r="E220" s="182"/>
    </row>
    <row r="221">
      <c r="D221" s="181"/>
      <c r="E221" s="182"/>
    </row>
    <row r="222">
      <c r="D222" s="181"/>
      <c r="E222" s="182"/>
    </row>
    <row r="223">
      <c r="D223" s="181"/>
      <c r="E223" s="182"/>
    </row>
    <row r="224">
      <c r="D224" s="181"/>
      <c r="E224" s="182"/>
    </row>
    <row r="225">
      <c r="D225" s="181"/>
      <c r="E225" s="182"/>
    </row>
    <row r="226">
      <c r="D226" s="181"/>
      <c r="E226" s="182"/>
    </row>
    <row r="227">
      <c r="D227" s="181"/>
      <c r="E227" s="182"/>
    </row>
    <row r="228">
      <c r="D228" s="181"/>
      <c r="E228" s="182"/>
    </row>
    <row r="229">
      <c r="D229" s="181"/>
      <c r="E229" s="182"/>
    </row>
    <row r="230">
      <c r="D230" s="181"/>
      <c r="E230" s="182"/>
    </row>
    <row r="231">
      <c r="D231" s="181"/>
      <c r="E231" s="182"/>
    </row>
    <row r="232">
      <c r="D232" s="181"/>
      <c r="E232" s="182"/>
    </row>
    <row r="233">
      <c r="D233" s="181"/>
      <c r="E233" s="182"/>
    </row>
    <row r="234">
      <c r="D234" s="181"/>
      <c r="E234" s="182"/>
    </row>
    <row r="235">
      <c r="D235" s="181"/>
      <c r="E235" s="182"/>
    </row>
    <row r="236">
      <c r="D236" s="181"/>
      <c r="E236" s="182"/>
    </row>
    <row r="237">
      <c r="D237" s="181"/>
      <c r="E237" s="182"/>
    </row>
    <row r="238">
      <c r="D238" s="181"/>
      <c r="E238" s="182"/>
    </row>
    <row r="239">
      <c r="D239" s="181"/>
      <c r="E239" s="182"/>
    </row>
    <row r="240">
      <c r="D240" s="181"/>
      <c r="E240" s="182"/>
    </row>
    <row r="241">
      <c r="D241" s="181"/>
      <c r="E241" s="182"/>
    </row>
    <row r="242">
      <c r="D242" s="181"/>
      <c r="E242" s="182"/>
    </row>
    <row r="243">
      <c r="D243" s="181"/>
      <c r="E243" s="182"/>
    </row>
    <row r="244">
      <c r="D244" s="181"/>
      <c r="E244" s="182"/>
    </row>
    <row r="245">
      <c r="D245" s="181"/>
      <c r="E245" s="182"/>
    </row>
    <row r="246">
      <c r="D246" s="181"/>
      <c r="E246" s="182"/>
    </row>
    <row r="247">
      <c r="D247" s="181"/>
      <c r="E247" s="182"/>
    </row>
    <row r="248">
      <c r="D248" s="181"/>
      <c r="E248" s="182"/>
    </row>
    <row r="249">
      <c r="D249" s="181"/>
      <c r="E249" s="182"/>
    </row>
    <row r="250">
      <c r="D250" s="181"/>
      <c r="E250" s="182"/>
    </row>
    <row r="251">
      <c r="D251" s="181"/>
      <c r="E251" s="182"/>
    </row>
    <row r="252">
      <c r="D252" s="181"/>
      <c r="E252" s="182"/>
    </row>
    <row r="253">
      <c r="D253" s="181"/>
      <c r="E253" s="182"/>
    </row>
    <row r="254">
      <c r="D254" s="181"/>
      <c r="E254" s="182"/>
    </row>
    <row r="255">
      <c r="D255" s="181"/>
      <c r="E255" s="182"/>
    </row>
    <row r="256">
      <c r="D256" s="181"/>
      <c r="E256" s="182"/>
    </row>
    <row r="257">
      <c r="D257" s="181"/>
      <c r="E257" s="182"/>
    </row>
    <row r="258">
      <c r="D258" s="181"/>
      <c r="E258" s="182"/>
    </row>
    <row r="259">
      <c r="D259" s="181"/>
      <c r="E259" s="182"/>
    </row>
    <row r="260">
      <c r="D260" s="181"/>
      <c r="E260" s="182"/>
    </row>
    <row r="261">
      <c r="D261" s="181"/>
      <c r="E261" s="182"/>
    </row>
    <row r="262">
      <c r="D262" s="181"/>
      <c r="E262" s="182"/>
    </row>
    <row r="263">
      <c r="D263" s="181"/>
      <c r="E263" s="182"/>
    </row>
    <row r="264">
      <c r="D264" s="181"/>
      <c r="E264" s="182"/>
    </row>
    <row r="265">
      <c r="D265" s="181"/>
      <c r="E265" s="182"/>
    </row>
    <row r="266">
      <c r="D266" s="181"/>
      <c r="E266" s="182"/>
    </row>
    <row r="267">
      <c r="D267" s="181"/>
      <c r="E267" s="182"/>
    </row>
    <row r="268">
      <c r="D268" s="181"/>
      <c r="E268" s="182"/>
    </row>
    <row r="269">
      <c r="D269" s="181"/>
      <c r="E269" s="182"/>
    </row>
    <row r="270">
      <c r="D270" s="181"/>
      <c r="E270" s="182"/>
    </row>
    <row r="271">
      <c r="D271" s="181"/>
      <c r="E271" s="182"/>
    </row>
    <row r="272">
      <c r="D272" s="181"/>
      <c r="E272" s="182"/>
    </row>
    <row r="273">
      <c r="D273" s="181"/>
      <c r="E273" s="182"/>
    </row>
    <row r="274">
      <c r="D274" s="181"/>
      <c r="E274" s="182"/>
    </row>
    <row r="275">
      <c r="D275" s="181"/>
      <c r="E275" s="182"/>
    </row>
    <row r="276">
      <c r="D276" s="181"/>
      <c r="E276" s="182"/>
    </row>
    <row r="277">
      <c r="D277" s="181"/>
      <c r="E277" s="182"/>
    </row>
    <row r="278">
      <c r="D278" s="181"/>
      <c r="E278" s="182"/>
    </row>
    <row r="279">
      <c r="D279" s="181"/>
      <c r="E279" s="182"/>
    </row>
    <row r="280">
      <c r="D280" s="181"/>
      <c r="E280" s="182"/>
    </row>
    <row r="281">
      <c r="D281" s="181"/>
      <c r="E281" s="182"/>
    </row>
    <row r="282">
      <c r="D282" s="181"/>
      <c r="E282" s="182"/>
    </row>
    <row r="283">
      <c r="D283" s="181"/>
      <c r="E283" s="182"/>
    </row>
    <row r="284">
      <c r="D284" s="181"/>
      <c r="E284" s="182"/>
    </row>
    <row r="285">
      <c r="D285" s="181"/>
      <c r="E285" s="182"/>
    </row>
    <row r="286">
      <c r="D286" s="181"/>
      <c r="E286" s="182"/>
    </row>
    <row r="287">
      <c r="D287" s="181"/>
      <c r="E287" s="182"/>
    </row>
    <row r="288">
      <c r="D288" s="181"/>
      <c r="E288" s="182"/>
    </row>
    <row r="289">
      <c r="D289" s="181"/>
      <c r="E289" s="182"/>
    </row>
    <row r="290">
      <c r="D290" s="181"/>
      <c r="E290" s="182"/>
    </row>
    <row r="291">
      <c r="D291" s="181"/>
      <c r="E291" s="182"/>
    </row>
    <row r="292">
      <c r="D292" s="181"/>
      <c r="E292" s="182"/>
    </row>
    <row r="293">
      <c r="D293" s="181"/>
      <c r="E293" s="182"/>
    </row>
    <row r="294">
      <c r="D294" s="181"/>
      <c r="E294" s="182"/>
    </row>
    <row r="295">
      <c r="D295" s="181"/>
      <c r="E295" s="182"/>
    </row>
    <row r="296">
      <c r="D296" s="181"/>
      <c r="E296" s="182"/>
    </row>
    <row r="297">
      <c r="D297" s="181"/>
      <c r="E297" s="182"/>
    </row>
    <row r="298">
      <c r="D298" s="181"/>
      <c r="E298" s="182"/>
    </row>
    <row r="299">
      <c r="D299" s="181"/>
      <c r="E299" s="182"/>
    </row>
    <row r="300">
      <c r="D300" s="181"/>
      <c r="E300" s="182"/>
    </row>
    <row r="301">
      <c r="D301" s="181"/>
      <c r="E301" s="182"/>
    </row>
    <row r="302">
      <c r="D302" s="181"/>
      <c r="E302" s="182"/>
    </row>
    <row r="303">
      <c r="D303" s="181"/>
      <c r="E303" s="182"/>
    </row>
    <row r="304">
      <c r="D304" s="181"/>
      <c r="E304" s="182"/>
    </row>
    <row r="305">
      <c r="D305" s="181"/>
      <c r="E305" s="182"/>
    </row>
    <row r="306">
      <c r="D306" s="181"/>
      <c r="E306" s="182"/>
    </row>
    <row r="307">
      <c r="D307" s="181"/>
      <c r="E307" s="182"/>
    </row>
    <row r="308">
      <c r="D308" s="181"/>
      <c r="E308" s="182"/>
    </row>
    <row r="309">
      <c r="D309" s="181"/>
      <c r="E309" s="182"/>
    </row>
    <row r="310">
      <c r="D310" s="181"/>
      <c r="E310" s="182"/>
    </row>
    <row r="311">
      <c r="D311" s="181"/>
      <c r="E311" s="182"/>
    </row>
    <row r="312">
      <c r="D312" s="181"/>
      <c r="E312" s="182"/>
    </row>
    <row r="313">
      <c r="D313" s="181"/>
      <c r="E313" s="182"/>
    </row>
    <row r="314">
      <c r="D314" s="181"/>
      <c r="E314" s="182"/>
    </row>
    <row r="315">
      <c r="D315" s="181"/>
      <c r="E315" s="182"/>
    </row>
    <row r="316">
      <c r="D316" s="181"/>
      <c r="E316" s="182"/>
    </row>
    <row r="317">
      <c r="D317" s="181"/>
      <c r="E317" s="182"/>
    </row>
    <row r="318">
      <c r="D318" s="181"/>
      <c r="E318" s="182"/>
    </row>
    <row r="319">
      <c r="D319" s="181"/>
      <c r="E319" s="182"/>
    </row>
    <row r="320">
      <c r="D320" s="181"/>
      <c r="E320" s="182"/>
    </row>
    <row r="321">
      <c r="D321" s="181"/>
      <c r="E321" s="182"/>
    </row>
    <row r="322">
      <c r="D322" s="181"/>
      <c r="E322" s="182"/>
    </row>
    <row r="323">
      <c r="D323" s="181"/>
      <c r="E323" s="182"/>
    </row>
    <row r="324">
      <c r="D324" s="181"/>
      <c r="E324" s="182"/>
    </row>
    <row r="325">
      <c r="D325" s="181"/>
      <c r="E325" s="182"/>
    </row>
    <row r="326">
      <c r="D326" s="181"/>
      <c r="E326" s="182"/>
    </row>
    <row r="327">
      <c r="D327" s="181"/>
      <c r="E327" s="182"/>
    </row>
    <row r="328">
      <c r="D328" s="181"/>
      <c r="E328" s="182"/>
    </row>
    <row r="329">
      <c r="D329" s="181"/>
      <c r="E329" s="182"/>
    </row>
    <row r="330">
      <c r="D330" s="181"/>
      <c r="E330" s="182"/>
    </row>
    <row r="331">
      <c r="D331" s="181"/>
      <c r="E331" s="182"/>
    </row>
    <row r="332">
      <c r="D332" s="181"/>
      <c r="E332" s="182"/>
    </row>
    <row r="333">
      <c r="D333" s="181"/>
      <c r="E333" s="182"/>
    </row>
    <row r="334">
      <c r="D334" s="181"/>
      <c r="E334" s="182"/>
    </row>
    <row r="335">
      <c r="D335" s="181"/>
      <c r="E335" s="182"/>
    </row>
    <row r="336">
      <c r="D336" s="181"/>
      <c r="E336" s="182"/>
    </row>
    <row r="337">
      <c r="D337" s="181"/>
      <c r="E337" s="182"/>
    </row>
    <row r="338">
      <c r="D338" s="181"/>
      <c r="E338" s="182"/>
    </row>
    <row r="339">
      <c r="D339" s="181"/>
      <c r="E339" s="182"/>
    </row>
    <row r="340">
      <c r="D340" s="181"/>
      <c r="E340" s="182"/>
    </row>
    <row r="341">
      <c r="D341" s="181"/>
      <c r="E341" s="182"/>
    </row>
    <row r="342">
      <c r="D342" s="181"/>
      <c r="E342" s="182"/>
    </row>
    <row r="343">
      <c r="D343" s="181"/>
      <c r="E343" s="182"/>
    </row>
    <row r="344">
      <c r="D344" s="181"/>
      <c r="E344" s="182"/>
    </row>
    <row r="345">
      <c r="D345" s="181"/>
      <c r="E345" s="182"/>
    </row>
    <row r="346">
      <c r="D346" s="181"/>
      <c r="E346" s="182"/>
    </row>
    <row r="347">
      <c r="D347" s="181"/>
      <c r="E347" s="182"/>
    </row>
    <row r="348">
      <c r="D348" s="181"/>
      <c r="E348" s="182"/>
    </row>
    <row r="349">
      <c r="D349" s="181"/>
      <c r="E349" s="182"/>
    </row>
    <row r="350">
      <c r="D350" s="181"/>
      <c r="E350" s="182"/>
    </row>
    <row r="351">
      <c r="D351" s="181"/>
      <c r="E351" s="182"/>
    </row>
    <row r="352">
      <c r="D352" s="181"/>
      <c r="E352" s="182"/>
    </row>
    <row r="353">
      <c r="D353" s="181"/>
      <c r="E353" s="182"/>
    </row>
    <row r="354">
      <c r="D354" s="181"/>
      <c r="E354" s="182"/>
    </row>
    <row r="355">
      <c r="D355" s="181"/>
      <c r="E355" s="182"/>
    </row>
    <row r="356">
      <c r="D356" s="181"/>
      <c r="E356" s="182"/>
    </row>
    <row r="357">
      <c r="D357" s="181"/>
      <c r="E357" s="182"/>
    </row>
    <row r="358">
      <c r="D358" s="181"/>
      <c r="E358" s="182"/>
    </row>
    <row r="359">
      <c r="D359" s="181"/>
      <c r="E359" s="182"/>
    </row>
    <row r="360">
      <c r="D360" s="181"/>
      <c r="E360" s="182"/>
    </row>
    <row r="361">
      <c r="D361" s="181"/>
      <c r="E361" s="182"/>
    </row>
    <row r="362">
      <c r="D362" s="181"/>
      <c r="E362" s="182"/>
    </row>
    <row r="363">
      <c r="D363" s="181"/>
      <c r="E363" s="182"/>
    </row>
    <row r="364">
      <c r="D364" s="181"/>
      <c r="E364" s="182"/>
    </row>
    <row r="365">
      <c r="D365" s="181"/>
      <c r="E365" s="182"/>
    </row>
    <row r="366">
      <c r="D366" s="181"/>
      <c r="E366" s="182"/>
    </row>
    <row r="367">
      <c r="D367" s="181"/>
      <c r="E367" s="182"/>
    </row>
    <row r="368">
      <c r="D368" s="181"/>
      <c r="E368" s="182"/>
    </row>
    <row r="369">
      <c r="D369" s="181"/>
      <c r="E369" s="182"/>
    </row>
    <row r="370">
      <c r="D370" s="181"/>
      <c r="E370" s="182"/>
    </row>
    <row r="371">
      <c r="D371" s="181"/>
      <c r="E371" s="182"/>
    </row>
    <row r="372">
      <c r="D372" s="181"/>
      <c r="E372" s="182"/>
    </row>
    <row r="373">
      <c r="D373" s="181"/>
      <c r="E373" s="182"/>
    </row>
    <row r="374">
      <c r="D374" s="181"/>
      <c r="E374" s="182"/>
    </row>
    <row r="375">
      <c r="D375" s="181"/>
      <c r="E375" s="182"/>
    </row>
    <row r="376">
      <c r="D376" s="181"/>
      <c r="E376" s="182"/>
    </row>
    <row r="377">
      <c r="D377" s="181"/>
      <c r="E377" s="182"/>
    </row>
    <row r="378">
      <c r="D378" s="181"/>
      <c r="E378" s="182"/>
    </row>
    <row r="379">
      <c r="D379" s="181"/>
      <c r="E379" s="182"/>
    </row>
    <row r="380">
      <c r="D380" s="181"/>
      <c r="E380" s="182"/>
    </row>
    <row r="381">
      <c r="D381" s="181"/>
      <c r="E381" s="182"/>
    </row>
    <row r="382">
      <c r="D382" s="181"/>
      <c r="E382" s="182"/>
    </row>
    <row r="383">
      <c r="D383" s="181"/>
      <c r="E383" s="182"/>
    </row>
    <row r="384">
      <c r="D384" s="181"/>
      <c r="E384" s="182"/>
    </row>
    <row r="385">
      <c r="D385" s="181"/>
      <c r="E385" s="182"/>
    </row>
    <row r="386">
      <c r="D386" s="181"/>
      <c r="E386" s="182"/>
    </row>
    <row r="387">
      <c r="D387" s="181"/>
      <c r="E387" s="182"/>
    </row>
    <row r="388">
      <c r="D388" s="181"/>
      <c r="E388" s="182"/>
    </row>
    <row r="389">
      <c r="D389" s="181"/>
      <c r="E389" s="182"/>
    </row>
    <row r="390">
      <c r="D390" s="181"/>
      <c r="E390" s="182"/>
    </row>
    <row r="391">
      <c r="D391" s="181"/>
      <c r="E391" s="182"/>
    </row>
    <row r="392">
      <c r="D392" s="181"/>
      <c r="E392" s="182"/>
    </row>
    <row r="393">
      <c r="D393" s="181"/>
      <c r="E393" s="182"/>
    </row>
    <row r="394">
      <c r="D394" s="181"/>
      <c r="E394" s="182"/>
    </row>
    <row r="395">
      <c r="D395" s="181"/>
      <c r="E395" s="182"/>
    </row>
    <row r="396">
      <c r="D396" s="181"/>
      <c r="E396" s="182"/>
    </row>
    <row r="397">
      <c r="D397" s="181"/>
      <c r="E397" s="182"/>
    </row>
    <row r="398">
      <c r="D398" s="181"/>
      <c r="E398" s="182"/>
    </row>
    <row r="399">
      <c r="D399" s="181"/>
      <c r="E399" s="182"/>
    </row>
    <row r="400">
      <c r="D400" s="181"/>
      <c r="E400" s="182"/>
    </row>
    <row r="401">
      <c r="D401" s="181"/>
      <c r="E401" s="182"/>
    </row>
    <row r="402">
      <c r="D402" s="181"/>
      <c r="E402" s="182"/>
    </row>
    <row r="403">
      <c r="D403" s="181"/>
      <c r="E403" s="182"/>
    </row>
    <row r="404">
      <c r="D404" s="181"/>
      <c r="E404" s="182"/>
    </row>
    <row r="405">
      <c r="D405" s="181"/>
      <c r="E405" s="182"/>
    </row>
    <row r="406">
      <c r="D406" s="181"/>
      <c r="E406" s="182"/>
    </row>
    <row r="407">
      <c r="D407" s="181"/>
      <c r="E407" s="182"/>
    </row>
    <row r="408">
      <c r="D408" s="181"/>
      <c r="E408" s="182"/>
    </row>
    <row r="409">
      <c r="D409" s="181"/>
      <c r="E409" s="182"/>
    </row>
    <row r="410">
      <c r="D410" s="181"/>
      <c r="E410" s="182"/>
    </row>
    <row r="411">
      <c r="D411" s="181"/>
      <c r="E411" s="182"/>
    </row>
    <row r="412">
      <c r="D412" s="181"/>
      <c r="E412" s="182"/>
    </row>
    <row r="413">
      <c r="D413" s="181"/>
      <c r="E413" s="182"/>
    </row>
    <row r="414">
      <c r="D414" s="181"/>
      <c r="E414" s="182"/>
    </row>
    <row r="415">
      <c r="D415" s="181"/>
      <c r="E415" s="182"/>
    </row>
    <row r="416">
      <c r="D416" s="181"/>
      <c r="E416" s="182"/>
    </row>
    <row r="417">
      <c r="D417" s="181"/>
      <c r="E417" s="182"/>
    </row>
    <row r="418">
      <c r="D418" s="181"/>
      <c r="E418" s="182"/>
    </row>
    <row r="419">
      <c r="D419" s="181"/>
      <c r="E419" s="182"/>
    </row>
    <row r="420">
      <c r="D420" s="181"/>
      <c r="E420" s="182"/>
    </row>
    <row r="421">
      <c r="D421" s="181"/>
      <c r="E421" s="182"/>
    </row>
    <row r="422">
      <c r="D422" s="181"/>
      <c r="E422" s="182"/>
    </row>
    <row r="423">
      <c r="D423" s="181"/>
      <c r="E423" s="182"/>
    </row>
    <row r="424">
      <c r="D424" s="181"/>
      <c r="E424" s="182"/>
    </row>
    <row r="425">
      <c r="D425" s="181"/>
      <c r="E425" s="182"/>
    </row>
    <row r="426">
      <c r="D426" s="181"/>
      <c r="E426" s="182"/>
    </row>
    <row r="427">
      <c r="D427" s="181"/>
      <c r="E427" s="182"/>
    </row>
    <row r="428">
      <c r="D428" s="181"/>
      <c r="E428" s="182"/>
    </row>
    <row r="429">
      <c r="D429" s="181"/>
      <c r="E429" s="182"/>
    </row>
    <row r="430">
      <c r="D430" s="181"/>
      <c r="E430" s="182"/>
    </row>
    <row r="431">
      <c r="D431" s="181"/>
      <c r="E431" s="182"/>
    </row>
    <row r="432">
      <c r="D432" s="181"/>
      <c r="E432" s="182"/>
    </row>
    <row r="433">
      <c r="D433" s="181"/>
      <c r="E433" s="182"/>
    </row>
    <row r="434">
      <c r="D434" s="181"/>
      <c r="E434" s="182"/>
    </row>
    <row r="435">
      <c r="D435" s="181"/>
      <c r="E435" s="182"/>
    </row>
    <row r="436">
      <c r="D436" s="181"/>
      <c r="E436" s="182"/>
    </row>
    <row r="437">
      <c r="D437" s="181"/>
      <c r="E437" s="182"/>
    </row>
    <row r="438">
      <c r="D438" s="181"/>
      <c r="E438" s="182"/>
    </row>
    <row r="439">
      <c r="D439" s="181"/>
      <c r="E439" s="182"/>
    </row>
    <row r="440">
      <c r="D440" s="181"/>
      <c r="E440" s="182"/>
    </row>
    <row r="441">
      <c r="D441" s="181"/>
      <c r="E441" s="182"/>
    </row>
    <row r="442">
      <c r="D442" s="181"/>
      <c r="E442" s="182"/>
    </row>
    <row r="443">
      <c r="D443" s="181"/>
      <c r="E443" s="182"/>
    </row>
    <row r="444">
      <c r="D444" s="181"/>
      <c r="E444" s="182"/>
    </row>
    <row r="445">
      <c r="D445" s="181"/>
      <c r="E445" s="182"/>
    </row>
    <row r="446">
      <c r="D446" s="181"/>
      <c r="E446" s="182"/>
    </row>
    <row r="447">
      <c r="D447" s="181"/>
      <c r="E447" s="182"/>
    </row>
    <row r="448">
      <c r="D448" s="181"/>
      <c r="E448" s="182"/>
    </row>
    <row r="449">
      <c r="D449" s="181"/>
      <c r="E449" s="182"/>
    </row>
    <row r="450">
      <c r="D450" s="181"/>
      <c r="E450" s="182"/>
    </row>
    <row r="451">
      <c r="D451" s="181"/>
      <c r="E451" s="182"/>
    </row>
    <row r="452">
      <c r="D452" s="181"/>
      <c r="E452" s="182"/>
    </row>
    <row r="453">
      <c r="D453" s="181"/>
      <c r="E453" s="182"/>
    </row>
    <row r="454">
      <c r="D454" s="181"/>
      <c r="E454" s="182"/>
    </row>
    <row r="455">
      <c r="D455" s="181"/>
      <c r="E455" s="182"/>
    </row>
    <row r="456">
      <c r="D456" s="181"/>
      <c r="E456" s="182"/>
    </row>
    <row r="457">
      <c r="D457" s="181"/>
      <c r="E457" s="182"/>
    </row>
    <row r="458">
      <c r="D458" s="181"/>
      <c r="E458" s="182"/>
    </row>
    <row r="459">
      <c r="D459" s="181"/>
      <c r="E459" s="182"/>
    </row>
    <row r="460">
      <c r="D460" s="181"/>
      <c r="E460" s="182"/>
    </row>
    <row r="461">
      <c r="D461" s="181"/>
      <c r="E461" s="182"/>
    </row>
    <row r="462">
      <c r="D462" s="181"/>
      <c r="E462" s="182"/>
    </row>
    <row r="463">
      <c r="D463" s="181"/>
      <c r="E463" s="182"/>
    </row>
    <row r="464">
      <c r="D464" s="181"/>
      <c r="E464" s="182"/>
    </row>
    <row r="465">
      <c r="D465" s="181"/>
      <c r="E465" s="182"/>
    </row>
    <row r="466">
      <c r="D466" s="181"/>
      <c r="E466" s="182"/>
    </row>
    <row r="467">
      <c r="D467" s="181"/>
      <c r="E467" s="182"/>
    </row>
    <row r="468">
      <c r="D468" s="181"/>
      <c r="E468" s="182"/>
    </row>
    <row r="469">
      <c r="D469" s="181"/>
      <c r="E469" s="182"/>
    </row>
    <row r="470">
      <c r="D470" s="181"/>
      <c r="E470" s="182"/>
    </row>
    <row r="471">
      <c r="D471" s="181"/>
      <c r="E471" s="182"/>
    </row>
    <row r="472">
      <c r="D472" s="181"/>
      <c r="E472" s="182"/>
    </row>
    <row r="473">
      <c r="D473" s="181"/>
      <c r="E473" s="182"/>
    </row>
    <row r="474">
      <c r="D474" s="181"/>
      <c r="E474" s="182"/>
    </row>
    <row r="475">
      <c r="D475" s="181"/>
      <c r="E475" s="182"/>
    </row>
    <row r="476">
      <c r="D476" s="181"/>
      <c r="E476" s="182"/>
    </row>
    <row r="477">
      <c r="D477" s="181"/>
      <c r="E477" s="182"/>
    </row>
    <row r="478">
      <c r="D478" s="181"/>
      <c r="E478" s="182"/>
    </row>
    <row r="479">
      <c r="D479" s="181"/>
      <c r="E479" s="182"/>
    </row>
    <row r="480">
      <c r="D480" s="181"/>
      <c r="E480" s="182"/>
    </row>
    <row r="481">
      <c r="D481" s="181"/>
      <c r="E481" s="182"/>
    </row>
    <row r="482">
      <c r="D482" s="181"/>
      <c r="E482" s="182"/>
    </row>
    <row r="483">
      <c r="D483" s="181"/>
      <c r="E483" s="182"/>
    </row>
    <row r="484">
      <c r="D484" s="181"/>
      <c r="E484" s="182"/>
    </row>
    <row r="485">
      <c r="D485" s="181"/>
      <c r="E485" s="182"/>
    </row>
    <row r="486">
      <c r="D486" s="181"/>
      <c r="E486" s="182"/>
    </row>
    <row r="487">
      <c r="D487" s="181"/>
      <c r="E487" s="182"/>
    </row>
    <row r="488">
      <c r="D488" s="181"/>
      <c r="E488" s="182"/>
    </row>
    <row r="489">
      <c r="D489" s="181"/>
      <c r="E489" s="182"/>
    </row>
    <row r="490">
      <c r="D490" s="181"/>
      <c r="E490" s="182"/>
    </row>
    <row r="491">
      <c r="D491" s="181"/>
      <c r="E491" s="182"/>
    </row>
    <row r="492">
      <c r="D492" s="181"/>
      <c r="E492" s="182"/>
    </row>
    <row r="493">
      <c r="D493" s="181"/>
      <c r="E493" s="182"/>
    </row>
    <row r="494">
      <c r="D494" s="181"/>
      <c r="E494" s="182"/>
    </row>
    <row r="495">
      <c r="D495" s="181"/>
      <c r="E495" s="182"/>
    </row>
    <row r="496">
      <c r="D496" s="181"/>
      <c r="E496" s="182"/>
    </row>
    <row r="497">
      <c r="D497" s="181"/>
      <c r="E497" s="182"/>
    </row>
    <row r="498">
      <c r="D498" s="181"/>
      <c r="E498" s="182"/>
    </row>
    <row r="499">
      <c r="D499" s="181"/>
      <c r="E499" s="182"/>
    </row>
    <row r="500">
      <c r="D500" s="181"/>
      <c r="E500" s="182"/>
    </row>
    <row r="501">
      <c r="D501" s="181"/>
      <c r="E501" s="182"/>
    </row>
    <row r="502">
      <c r="D502" s="181"/>
      <c r="E502" s="182"/>
    </row>
    <row r="503">
      <c r="D503" s="181"/>
      <c r="E503" s="182"/>
    </row>
    <row r="504">
      <c r="D504" s="181"/>
      <c r="E504" s="182"/>
    </row>
    <row r="505">
      <c r="D505" s="181"/>
      <c r="E505" s="182"/>
    </row>
    <row r="506">
      <c r="D506" s="181"/>
      <c r="E506" s="182"/>
    </row>
    <row r="507">
      <c r="D507" s="181"/>
      <c r="E507" s="182"/>
    </row>
    <row r="508">
      <c r="D508" s="181"/>
      <c r="E508" s="182"/>
    </row>
    <row r="509">
      <c r="D509" s="181"/>
      <c r="E509" s="182"/>
    </row>
    <row r="510">
      <c r="D510" s="181"/>
      <c r="E510" s="182"/>
    </row>
    <row r="511">
      <c r="D511" s="181"/>
      <c r="E511" s="182"/>
    </row>
    <row r="512">
      <c r="D512" s="181"/>
      <c r="E512" s="182"/>
    </row>
    <row r="513">
      <c r="D513" s="181"/>
      <c r="E513" s="182"/>
    </row>
    <row r="514">
      <c r="D514" s="181"/>
      <c r="E514" s="182"/>
    </row>
    <row r="515">
      <c r="D515" s="181"/>
      <c r="E515" s="182"/>
    </row>
    <row r="516">
      <c r="D516" s="181"/>
      <c r="E516" s="182"/>
    </row>
    <row r="517">
      <c r="D517" s="181"/>
      <c r="E517" s="182"/>
    </row>
    <row r="518">
      <c r="D518" s="181"/>
      <c r="E518" s="182"/>
    </row>
    <row r="519">
      <c r="D519" s="181"/>
      <c r="E519" s="182"/>
    </row>
    <row r="520">
      <c r="D520" s="181"/>
      <c r="E520" s="182"/>
    </row>
    <row r="521">
      <c r="D521" s="181"/>
      <c r="E521" s="182"/>
    </row>
    <row r="522">
      <c r="D522" s="181"/>
      <c r="E522" s="182"/>
    </row>
    <row r="523">
      <c r="D523" s="181"/>
      <c r="E523" s="182"/>
    </row>
    <row r="524">
      <c r="D524" s="181"/>
      <c r="E524" s="182"/>
    </row>
    <row r="525">
      <c r="D525" s="181"/>
      <c r="E525" s="182"/>
    </row>
    <row r="526">
      <c r="D526" s="181"/>
      <c r="E526" s="182"/>
    </row>
    <row r="527">
      <c r="D527" s="181"/>
      <c r="E527" s="182"/>
    </row>
    <row r="528">
      <c r="D528" s="181"/>
      <c r="E528" s="182"/>
    </row>
    <row r="529">
      <c r="D529" s="181"/>
      <c r="E529" s="182"/>
    </row>
    <row r="530">
      <c r="D530" s="181"/>
      <c r="E530" s="182"/>
    </row>
    <row r="531">
      <c r="D531" s="181"/>
      <c r="E531" s="182"/>
    </row>
    <row r="532">
      <c r="D532" s="181"/>
      <c r="E532" s="182"/>
    </row>
    <row r="533">
      <c r="D533" s="181"/>
      <c r="E533" s="182"/>
    </row>
    <row r="534">
      <c r="D534" s="181"/>
      <c r="E534" s="182"/>
    </row>
    <row r="535">
      <c r="D535" s="181"/>
      <c r="E535" s="182"/>
    </row>
    <row r="536">
      <c r="D536" s="181"/>
      <c r="E536" s="182"/>
    </row>
    <row r="537">
      <c r="D537" s="181"/>
      <c r="E537" s="182"/>
    </row>
    <row r="538">
      <c r="D538" s="181"/>
      <c r="E538" s="182"/>
    </row>
    <row r="539">
      <c r="D539" s="181"/>
      <c r="E539" s="182"/>
    </row>
    <row r="540">
      <c r="D540" s="181"/>
      <c r="E540" s="182"/>
    </row>
    <row r="541">
      <c r="D541" s="181"/>
      <c r="E541" s="182"/>
    </row>
    <row r="542">
      <c r="D542" s="181"/>
      <c r="E542" s="182"/>
    </row>
    <row r="543">
      <c r="D543" s="181"/>
      <c r="E543" s="182"/>
    </row>
    <row r="544">
      <c r="D544" s="181"/>
      <c r="E544" s="182"/>
    </row>
    <row r="545">
      <c r="D545" s="181"/>
      <c r="E545" s="182"/>
    </row>
    <row r="546">
      <c r="D546" s="181"/>
      <c r="E546" s="182"/>
    </row>
    <row r="547">
      <c r="D547" s="181"/>
      <c r="E547" s="182"/>
    </row>
    <row r="548">
      <c r="D548" s="181"/>
      <c r="E548" s="182"/>
    </row>
    <row r="549">
      <c r="D549" s="181"/>
      <c r="E549" s="182"/>
    </row>
    <row r="550">
      <c r="D550" s="181"/>
      <c r="E550" s="182"/>
    </row>
    <row r="551">
      <c r="D551" s="181"/>
      <c r="E551" s="182"/>
    </row>
    <row r="552">
      <c r="D552" s="181"/>
      <c r="E552" s="182"/>
    </row>
    <row r="553">
      <c r="D553" s="181"/>
      <c r="E553" s="182"/>
    </row>
    <row r="554">
      <c r="D554" s="181"/>
      <c r="E554" s="182"/>
    </row>
    <row r="555">
      <c r="D555" s="181"/>
      <c r="E555" s="182"/>
    </row>
    <row r="556">
      <c r="D556" s="181"/>
      <c r="E556" s="182"/>
    </row>
    <row r="557">
      <c r="D557" s="181"/>
      <c r="E557" s="182"/>
    </row>
    <row r="558">
      <c r="D558" s="181"/>
      <c r="E558" s="182"/>
    </row>
    <row r="559">
      <c r="D559" s="181"/>
      <c r="E559" s="182"/>
    </row>
    <row r="560">
      <c r="D560" s="181"/>
      <c r="E560" s="182"/>
    </row>
    <row r="561">
      <c r="D561" s="181"/>
      <c r="E561" s="182"/>
    </row>
    <row r="562">
      <c r="D562" s="181"/>
      <c r="E562" s="182"/>
    </row>
    <row r="563">
      <c r="D563" s="181"/>
      <c r="E563" s="182"/>
    </row>
    <row r="564">
      <c r="D564" s="181"/>
      <c r="E564" s="182"/>
    </row>
    <row r="565">
      <c r="D565" s="181"/>
      <c r="E565" s="182"/>
    </row>
    <row r="566">
      <c r="D566" s="181"/>
      <c r="E566" s="182"/>
    </row>
    <row r="567">
      <c r="D567" s="181"/>
      <c r="E567" s="182"/>
    </row>
    <row r="568">
      <c r="D568" s="181"/>
      <c r="E568" s="182"/>
    </row>
    <row r="569">
      <c r="D569" s="181"/>
      <c r="E569" s="182"/>
    </row>
    <row r="570">
      <c r="D570" s="181"/>
      <c r="E570" s="182"/>
    </row>
    <row r="571">
      <c r="D571" s="181"/>
      <c r="E571" s="182"/>
    </row>
    <row r="572">
      <c r="D572" s="181"/>
      <c r="E572" s="182"/>
    </row>
    <row r="573">
      <c r="D573" s="181"/>
      <c r="E573" s="182"/>
    </row>
    <row r="574">
      <c r="D574" s="181"/>
      <c r="E574" s="182"/>
    </row>
    <row r="575">
      <c r="D575" s="181"/>
      <c r="E575" s="182"/>
    </row>
    <row r="576">
      <c r="D576" s="181"/>
      <c r="E576" s="182"/>
    </row>
    <row r="577">
      <c r="D577" s="181"/>
      <c r="E577" s="182"/>
    </row>
    <row r="578">
      <c r="D578" s="181"/>
      <c r="E578" s="182"/>
    </row>
    <row r="579">
      <c r="D579" s="181"/>
      <c r="E579" s="182"/>
    </row>
    <row r="580">
      <c r="D580" s="181"/>
      <c r="E580" s="182"/>
    </row>
    <row r="581">
      <c r="D581" s="181"/>
      <c r="E581" s="182"/>
    </row>
    <row r="582">
      <c r="D582" s="181"/>
      <c r="E582" s="182"/>
    </row>
    <row r="583">
      <c r="D583" s="181"/>
      <c r="E583" s="182"/>
    </row>
    <row r="584">
      <c r="D584" s="181"/>
      <c r="E584" s="182"/>
    </row>
    <row r="585">
      <c r="D585" s="181"/>
      <c r="E585" s="182"/>
    </row>
    <row r="586">
      <c r="D586" s="181"/>
      <c r="E586" s="182"/>
    </row>
    <row r="587">
      <c r="D587" s="181"/>
      <c r="E587" s="182"/>
    </row>
    <row r="588">
      <c r="D588" s="181"/>
      <c r="E588" s="182"/>
    </row>
    <row r="589">
      <c r="D589" s="181"/>
      <c r="E589" s="182"/>
    </row>
    <row r="590">
      <c r="D590" s="181"/>
      <c r="E590" s="182"/>
    </row>
    <row r="591">
      <c r="D591" s="181"/>
      <c r="E591" s="182"/>
    </row>
    <row r="592">
      <c r="D592" s="181"/>
      <c r="E592" s="182"/>
    </row>
    <row r="593">
      <c r="D593" s="181"/>
      <c r="E593" s="182"/>
    </row>
    <row r="594">
      <c r="D594" s="181"/>
      <c r="E594" s="182"/>
    </row>
    <row r="595">
      <c r="D595" s="181"/>
      <c r="E595" s="182"/>
    </row>
    <row r="596">
      <c r="D596" s="181"/>
      <c r="E596" s="182"/>
    </row>
    <row r="597">
      <c r="D597" s="181"/>
      <c r="E597" s="182"/>
    </row>
    <row r="598">
      <c r="D598" s="181"/>
      <c r="E598" s="182"/>
    </row>
    <row r="599">
      <c r="D599" s="181"/>
      <c r="E599" s="182"/>
    </row>
    <row r="600">
      <c r="D600" s="181"/>
      <c r="E600" s="182"/>
    </row>
    <row r="601">
      <c r="D601" s="181"/>
      <c r="E601" s="182"/>
    </row>
    <row r="602">
      <c r="D602" s="181"/>
      <c r="E602" s="182"/>
    </row>
    <row r="603">
      <c r="D603" s="181"/>
      <c r="E603" s="182"/>
    </row>
    <row r="604">
      <c r="D604" s="181"/>
      <c r="E604" s="182"/>
    </row>
    <row r="605">
      <c r="D605" s="181"/>
      <c r="E605" s="182"/>
    </row>
    <row r="606">
      <c r="D606" s="181"/>
      <c r="E606" s="182"/>
    </row>
    <row r="607">
      <c r="D607" s="181"/>
      <c r="E607" s="182"/>
    </row>
    <row r="608">
      <c r="D608" s="181"/>
      <c r="E608" s="182"/>
    </row>
    <row r="609">
      <c r="D609" s="181"/>
      <c r="E609" s="182"/>
    </row>
    <row r="610">
      <c r="D610" s="181"/>
      <c r="E610" s="182"/>
    </row>
    <row r="611">
      <c r="D611" s="181"/>
      <c r="E611" s="182"/>
    </row>
    <row r="612">
      <c r="D612" s="181"/>
      <c r="E612" s="182"/>
    </row>
    <row r="613">
      <c r="D613" s="181"/>
      <c r="E613" s="182"/>
    </row>
    <row r="614">
      <c r="D614" s="181"/>
      <c r="E614" s="182"/>
    </row>
    <row r="615">
      <c r="D615" s="181"/>
      <c r="E615" s="182"/>
    </row>
    <row r="616">
      <c r="D616" s="181"/>
      <c r="E616" s="182"/>
    </row>
    <row r="617">
      <c r="D617" s="181"/>
      <c r="E617" s="182"/>
    </row>
    <row r="618">
      <c r="D618" s="181"/>
      <c r="E618" s="182"/>
    </row>
    <row r="619">
      <c r="D619" s="181"/>
      <c r="E619" s="182"/>
    </row>
    <row r="620">
      <c r="D620" s="181"/>
      <c r="E620" s="182"/>
    </row>
    <row r="621">
      <c r="D621" s="181"/>
      <c r="E621" s="182"/>
    </row>
    <row r="622">
      <c r="D622" s="181"/>
      <c r="E622" s="182"/>
    </row>
    <row r="623">
      <c r="D623" s="181"/>
      <c r="E623" s="182"/>
    </row>
    <row r="624">
      <c r="D624" s="181"/>
      <c r="E624" s="182"/>
    </row>
    <row r="625">
      <c r="D625" s="181"/>
      <c r="E625" s="182"/>
    </row>
    <row r="626">
      <c r="D626" s="181"/>
      <c r="E626" s="182"/>
    </row>
    <row r="627">
      <c r="D627" s="181"/>
      <c r="E627" s="182"/>
    </row>
    <row r="628">
      <c r="D628" s="181"/>
      <c r="E628" s="182"/>
    </row>
    <row r="629">
      <c r="D629" s="181"/>
      <c r="E629" s="182"/>
    </row>
    <row r="630">
      <c r="D630" s="181"/>
      <c r="E630" s="182"/>
    </row>
    <row r="631">
      <c r="D631" s="181"/>
      <c r="E631" s="182"/>
    </row>
    <row r="632">
      <c r="D632" s="181"/>
      <c r="E632" s="182"/>
    </row>
    <row r="633">
      <c r="D633" s="181"/>
      <c r="E633" s="182"/>
    </row>
    <row r="634">
      <c r="D634" s="181"/>
      <c r="E634" s="182"/>
    </row>
    <row r="635">
      <c r="D635" s="181"/>
      <c r="E635" s="182"/>
    </row>
    <row r="636">
      <c r="D636" s="181"/>
      <c r="E636" s="182"/>
    </row>
    <row r="637">
      <c r="D637" s="181"/>
      <c r="E637" s="182"/>
    </row>
    <row r="638">
      <c r="D638" s="181"/>
      <c r="E638" s="182"/>
    </row>
    <row r="639">
      <c r="D639" s="181"/>
      <c r="E639" s="182"/>
    </row>
    <row r="640">
      <c r="D640" s="181"/>
      <c r="E640" s="182"/>
    </row>
    <row r="641">
      <c r="D641" s="181"/>
      <c r="E641" s="182"/>
    </row>
    <row r="642">
      <c r="D642" s="181"/>
      <c r="E642" s="182"/>
    </row>
    <row r="643">
      <c r="D643" s="181"/>
      <c r="E643" s="182"/>
    </row>
    <row r="644">
      <c r="D644" s="181"/>
      <c r="E644" s="182"/>
    </row>
    <row r="645">
      <c r="D645" s="181"/>
      <c r="E645" s="182"/>
    </row>
    <row r="646">
      <c r="D646" s="181"/>
      <c r="E646" s="182"/>
    </row>
    <row r="647">
      <c r="D647" s="181"/>
      <c r="E647" s="182"/>
    </row>
    <row r="648">
      <c r="D648" s="181"/>
      <c r="E648" s="182"/>
    </row>
    <row r="649">
      <c r="D649" s="181"/>
      <c r="E649" s="182"/>
    </row>
    <row r="650">
      <c r="D650" s="181"/>
      <c r="E650" s="182"/>
    </row>
    <row r="651">
      <c r="D651" s="181"/>
      <c r="E651" s="182"/>
    </row>
    <row r="652">
      <c r="D652" s="181"/>
      <c r="E652" s="182"/>
    </row>
    <row r="653">
      <c r="D653" s="181"/>
      <c r="E653" s="182"/>
    </row>
    <row r="654">
      <c r="D654" s="181"/>
      <c r="E654" s="182"/>
    </row>
    <row r="655">
      <c r="D655" s="181"/>
      <c r="E655" s="182"/>
    </row>
    <row r="656">
      <c r="D656" s="181"/>
      <c r="E656" s="182"/>
    </row>
    <row r="657">
      <c r="D657" s="181"/>
      <c r="E657" s="182"/>
    </row>
    <row r="658">
      <c r="D658" s="181"/>
      <c r="E658" s="182"/>
    </row>
    <row r="659">
      <c r="D659" s="181"/>
      <c r="E659" s="182"/>
    </row>
    <row r="660">
      <c r="D660" s="181"/>
      <c r="E660" s="182"/>
    </row>
    <row r="661">
      <c r="D661" s="181"/>
      <c r="E661" s="182"/>
    </row>
    <row r="662">
      <c r="D662" s="181"/>
      <c r="E662" s="182"/>
    </row>
    <row r="663">
      <c r="D663" s="181"/>
      <c r="E663" s="182"/>
    </row>
    <row r="664">
      <c r="D664" s="181"/>
      <c r="E664" s="182"/>
    </row>
    <row r="665">
      <c r="D665" s="181"/>
      <c r="E665" s="182"/>
    </row>
    <row r="666">
      <c r="D666" s="181"/>
      <c r="E666" s="182"/>
    </row>
    <row r="667">
      <c r="D667" s="181"/>
      <c r="E667" s="182"/>
    </row>
    <row r="668">
      <c r="D668" s="181"/>
      <c r="E668" s="182"/>
    </row>
    <row r="669">
      <c r="D669" s="181"/>
      <c r="E669" s="182"/>
    </row>
    <row r="670">
      <c r="D670" s="181"/>
      <c r="E670" s="182"/>
    </row>
    <row r="671">
      <c r="D671" s="181"/>
      <c r="E671" s="182"/>
    </row>
    <row r="672">
      <c r="D672" s="181"/>
      <c r="E672" s="182"/>
    </row>
    <row r="673">
      <c r="D673" s="181"/>
      <c r="E673" s="182"/>
    </row>
    <row r="674">
      <c r="D674" s="181"/>
      <c r="E674" s="182"/>
    </row>
    <row r="675">
      <c r="D675" s="181"/>
      <c r="E675" s="182"/>
    </row>
    <row r="676">
      <c r="D676" s="181"/>
      <c r="E676" s="182"/>
    </row>
    <row r="677">
      <c r="D677" s="181"/>
      <c r="E677" s="182"/>
    </row>
    <row r="678">
      <c r="D678" s="181"/>
      <c r="E678" s="182"/>
    </row>
    <row r="679">
      <c r="D679" s="181"/>
      <c r="E679" s="182"/>
    </row>
    <row r="680">
      <c r="D680" s="181"/>
      <c r="E680" s="182"/>
    </row>
    <row r="681">
      <c r="D681" s="181"/>
      <c r="E681" s="182"/>
    </row>
    <row r="682">
      <c r="D682" s="181"/>
      <c r="E682" s="182"/>
    </row>
    <row r="683">
      <c r="D683" s="181"/>
      <c r="E683" s="182"/>
    </row>
    <row r="684">
      <c r="D684" s="181"/>
      <c r="E684" s="182"/>
    </row>
    <row r="685">
      <c r="D685" s="181"/>
      <c r="E685" s="182"/>
    </row>
    <row r="686">
      <c r="D686" s="181"/>
      <c r="E686" s="182"/>
    </row>
    <row r="687">
      <c r="D687" s="181"/>
      <c r="E687" s="182"/>
    </row>
    <row r="688">
      <c r="D688" s="181"/>
      <c r="E688" s="182"/>
    </row>
    <row r="689">
      <c r="D689" s="181"/>
      <c r="E689" s="182"/>
    </row>
    <row r="690">
      <c r="D690" s="181"/>
      <c r="E690" s="182"/>
    </row>
    <row r="691">
      <c r="D691" s="181"/>
      <c r="E691" s="182"/>
    </row>
    <row r="692">
      <c r="D692" s="181"/>
      <c r="E692" s="182"/>
    </row>
    <row r="693">
      <c r="D693" s="181"/>
      <c r="E693" s="182"/>
    </row>
    <row r="694">
      <c r="D694" s="181"/>
      <c r="E694" s="182"/>
    </row>
    <row r="695">
      <c r="D695" s="181"/>
      <c r="E695" s="182"/>
    </row>
    <row r="696">
      <c r="D696" s="181"/>
      <c r="E696" s="182"/>
    </row>
    <row r="697">
      <c r="D697" s="181"/>
      <c r="E697" s="182"/>
    </row>
    <row r="698">
      <c r="D698" s="181"/>
      <c r="E698" s="182"/>
    </row>
    <row r="699">
      <c r="D699" s="181"/>
      <c r="E699" s="182"/>
    </row>
    <row r="700">
      <c r="D700" s="181"/>
      <c r="E700" s="182"/>
    </row>
    <row r="701">
      <c r="D701" s="181"/>
      <c r="E701" s="182"/>
    </row>
    <row r="702">
      <c r="D702" s="181"/>
      <c r="E702" s="182"/>
    </row>
    <row r="703">
      <c r="D703" s="181"/>
      <c r="E703" s="182"/>
    </row>
    <row r="704">
      <c r="D704" s="181"/>
      <c r="E704" s="182"/>
    </row>
    <row r="705">
      <c r="D705" s="181"/>
      <c r="E705" s="182"/>
    </row>
    <row r="706">
      <c r="D706" s="181"/>
      <c r="E706" s="182"/>
    </row>
    <row r="707">
      <c r="D707" s="181"/>
      <c r="E707" s="182"/>
    </row>
    <row r="708">
      <c r="D708" s="181"/>
      <c r="E708" s="182"/>
    </row>
    <row r="709">
      <c r="D709" s="181"/>
      <c r="E709" s="182"/>
    </row>
    <row r="710">
      <c r="D710" s="181"/>
      <c r="E710" s="182"/>
    </row>
    <row r="711">
      <c r="D711" s="181"/>
      <c r="E711" s="182"/>
    </row>
    <row r="712">
      <c r="D712" s="181"/>
      <c r="E712" s="182"/>
    </row>
    <row r="713">
      <c r="D713" s="181"/>
      <c r="E713" s="182"/>
    </row>
    <row r="714">
      <c r="D714" s="181"/>
      <c r="E714" s="182"/>
    </row>
    <row r="715">
      <c r="D715" s="181"/>
      <c r="E715" s="182"/>
    </row>
    <row r="716">
      <c r="D716" s="181"/>
      <c r="E716" s="182"/>
    </row>
    <row r="717">
      <c r="D717" s="181"/>
      <c r="E717" s="182"/>
    </row>
    <row r="718">
      <c r="D718" s="181"/>
      <c r="E718" s="182"/>
    </row>
    <row r="719">
      <c r="D719" s="181"/>
      <c r="E719" s="182"/>
    </row>
    <row r="720">
      <c r="D720" s="181"/>
      <c r="E720" s="182"/>
    </row>
    <row r="721">
      <c r="D721" s="181"/>
      <c r="E721" s="182"/>
    </row>
    <row r="722">
      <c r="D722" s="181"/>
      <c r="E722" s="182"/>
    </row>
    <row r="723">
      <c r="D723" s="181"/>
      <c r="E723" s="182"/>
    </row>
    <row r="724">
      <c r="D724" s="181"/>
      <c r="E724" s="182"/>
    </row>
    <row r="725">
      <c r="D725" s="181"/>
      <c r="E725" s="182"/>
    </row>
    <row r="726">
      <c r="D726" s="181"/>
      <c r="E726" s="182"/>
    </row>
    <row r="727">
      <c r="D727" s="181"/>
      <c r="E727" s="182"/>
    </row>
    <row r="728">
      <c r="D728" s="181"/>
      <c r="E728" s="182"/>
    </row>
    <row r="729">
      <c r="D729" s="181"/>
      <c r="E729" s="182"/>
    </row>
    <row r="730">
      <c r="D730" s="181"/>
      <c r="E730" s="182"/>
    </row>
    <row r="731">
      <c r="D731" s="181"/>
      <c r="E731" s="182"/>
    </row>
    <row r="732">
      <c r="D732" s="181"/>
      <c r="E732" s="182"/>
    </row>
    <row r="733">
      <c r="D733" s="181"/>
      <c r="E733" s="182"/>
    </row>
    <row r="734">
      <c r="D734" s="181"/>
      <c r="E734" s="182"/>
    </row>
    <row r="735">
      <c r="D735" s="181"/>
      <c r="E735" s="182"/>
    </row>
    <row r="736">
      <c r="D736" s="181"/>
      <c r="E736" s="182"/>
    </row>
    <row r="737">
      <c r="D737" s="181"/>
      <c r="E737" s="182"/>
    </row>
    <row r="738">
      <c r="D738" s="181"/>
      <c r="E738" s="182"/>
    </row>
    <row r="739">
      <c r="D739" s="181"/>
      <c r="E739" s="182"/>
    </row>
    <row r="740">
      <c r="D740" s="181"/>
      <c r="E740" s="182"/>
    </row>
    <row r="741">
      <c r="D741" s="181"/>
      <c r="E741" s="182"/>
    </row>
    <row r="742">
      <c r="D742" s="181"/>
      <c r="E742" s="182"/>
    </row>
    <row r="743">
      <c r="D743" s="181"/>
      <c r="E743" s="182"/>
    </row>
    <row r="744">
      <c r="D744" s="181"/>
      <c r="E744" s="182"/>
    </row>
    <row r="745">
      <c r="D745" s="181"/>
      <c r="E745" s="182"/>
    </row>
    <row r="746">
      <c r="D746" s="181"/>
      <c r="E746" s="182"/>
    </row>
    <row r="747">
      <c r="D747" s="181"/>
      <c r="E747" s="182"/>
    </row>
    <row r="748">
      <c r="D748" s="181"/>
      <c r="E748" s="182"/>
    </row>
    <row r="749">
      <c r="D749" s="181"/>
      <c r="E749" s="182"/>
    </row>
    <row r="750">
      <c r="D750" s="181"/>
      <c r="E750" s="182"/>
    </row>
    <row r="751">
      <c r="D751" s="181"/>
      <c r="E751" s="182"/>
    </row>
    <row r="752">
      <c r="D752" s="181"/>
      <c r="E752" s="182"/>
    </row>
    <row r="753">
      <c r="D753" s="181"/>
      <c r="E753" s="182"/>
    </row>
    <row r="754">
      <c r="D754" s="181"/>
      <c r="E754" s="182"/>
    </row>
    <row r="755">
      <c r="D755" s="181"/>
      <c r="E755" s="182"/>
    </row>
    <row r="756">
      <c r="D756" s="181"/>
      <c r="E756" s="182"/>
    </row>
    <row r="757">
      <c r="D757" s="181"/>
      <c r="E757" s="182"/>
    </row>
    <row r="758">
      <c r="D758" s="181"/>
      <c r="E758" s="182"/>
    </row>
    <row r="759">
      <c r="D759" s="181"/>
      <c r="E759" s="182"/>
    </row>
    <row r="760">
      <c r="D760" s="181"/>
      <c r="E760" s="182"/>
    </row>
    <row r="761">
      <c r="D761" s="181"/>
      <c r="E761" s="182"/>
    </row>
    <row r="762">
      <c r="D762" s="181"/>
      <c r="E762" s="182"/>
    </row>
    <row r="763">
      <c r="D763" s="181"/>
      <c r="E763" s="182"/>
    </row>
    <row r="764">
      <c r="D764" s="181"/>
      <c r="E764" s="182"/>
    </row>
    <row r="765">
      <c r="D765" s="181"/>
      <c r="E765" s="182"/>
    </row>
    <row r="766">
      <c r="D766" s="181"/>
      <c r="E766" s="182"/>
    </row>
    <row r="767">
      <c r="D767" s="181"/>
      <c r="E767" s="182"/>
    </row>
    <row r="768">
      <c r="D768" s="181"/>
      <c r="E768" s="182"/>
    </row>
    <row r="769">
      <c r="D769" s="181"/>
      <c r="E769" s="182"/>
    </row>
    <row r="770">
      <c r="D770" s="181"/>
      <c r="E770" s="182"/>
    </row>
    <row r="771">
      <c r="D771" s="181"/>
      <c r="E771" s="182"/>
    </row>
    <row r="772">
      <c r="D772" s="181"/>
      <c r="E772" s="182"/>
    </row>
    <row r="773">
      <c r="D773" s="181"/>
      <c r="E773" s="182"/>
    </row>
    <row r="774">
      <c r="D774" s="181"/>
      <c r="E774" s="182"/>
    </row>
    <row r="775">
      <c r="D775" s="181"/>
      <c r="E775" s="182"/>
    </row>
    <row r="776">
      <c r="D776" s="181"/>
      <c r="E776" s="182"/>
    </row>
    <row r="777">
      <c r="D777" s="181"/>
      <c r="E777" s="182"/>
    </row>
    <row r="778">
      <c r="D778" s="181"/>
      <c r="E778" s="182"/>
    </row>
    <row r="779">
      <c r="D779" s="181"/>
      <c r="E779" s="182"/>
    </row>
    <row r="780">
      <c r="D780" s="181"/>
      <c r="E780" s="182"/>
    </row>
    <row r="781">
      <c r="D781" s="181"/>
      <c r="E781" s="182"/>
    </row>
    <row r="782">
      <c r="D782" s="181"/>
      <c r="E782" s="182"/>
    </row>
    <row r="783">
      <c r="D783" s="181"/>
      <c r="E783" s="182"/>
    </row>
    <row r="784">
      <c r="D784" s="181"/>
      <c r="E784" s="182"/>
    </row>
    <row r="785">
      <c r="D785" s="181"/>
      <c r="E785" s="182"/>
    </row>
    <row r="786">
      <c r="D786" s="181"/>
      <c r="E786" s="182"/>
    </row>
    <row r="787">
      <c r="D787" s="181"/>
      <c r="E787" s="182"/>
    </row>
    <row r="788">
      <c r="D788" s="181"/>
      <c r="E788" s="182"/>
    </row>
    <row r="789">
      <c r="D789" s="181"/>
      <c r="E789" s="182"/>
    </row>
    <row r="790">
      <c r="D790" s="181"/>
      <c r="E790" s="182"/>
    </row>
    <row r="791">
      <c r="D791" s="181"/>
      <c r="E791" s="182"/>
    </row>
    <row r="792">
      <c r="D792" s="181"/>
      <c r="E792" s="182"/>
    </row>
    <row r="793">
      <c r="D793" s="181"/>
      <c r="E793" s="182"/>
    </row>
    <row r="794">
      <c r="D794" s="181"/>
      <c r="E794" s="182"/>
    </row>
    <row r="795">
      <c r="D795" s="181"/>
      <c r="E795" s="182"/>
    </row>
    <row r="796">
      <c r="D796" s="181"/>
      <c r="E796" s="182"/>
    </row>
    <row r="797">
      <c r="D797" s="181"/>
      <c r="E797" s="182"/>
    </row>
    <row r="798">
      <c r="D798" s="181"/>
      <c r="E798" s="182"/>
    </row>
    <row r="799">
      <c r="D799" s="181"/>
      <c r="E799" s="182"/>
    </row>
    <row r="800">
      <c r="D800" s="181"/>
      <c r="E800" s="182"/>
    </row>
    <row r="801">
      <c r="D801" s="181"/>
      <c r="E801" s="182"/>
    </row>
    <row r="802">
      <c r="D802" s="181"/>
      <c r="E802" s="182"/>
    </row>
    <row r="803">
      <c r="D803" s="181"/>
      <c r="E803" s="182"/>
    </row>
    <row r="804">
      <c r="D804" s="181"/>
      <c r="E804" s="182"/>
    </row>
    <row r="805">
      <c r="D805" s="181"/>
      <c r="E805" s="182"/>
    </row>
    <row r="806">
      <c r="D806" s="181"/>
      <c r="E806" s="182"/>
    </row>
    <row r="807">
      <c r="D807" s="181"/>
      <c r="E807" s="182"/>
    </row>
    <row r="808">
      <c r="D808" s="181"/>
      <c r="E808" s="182"/>
    </row>
    <row r="809">
      <c r="D809" s="181"/>
      <c r="E809" s="182"/>
    </row>
    <row r="810">
      <c r="D810" s="181"/>
      <c r="E810" s="182"/>
    </row>
    <row r="811">
      <c r="D811" s="181"/>
      <c r="E811" s="182"/>
    </row>
    <row r="812">
      <c r="D812" s="181"/>
      <c r="E812" s="182"/>
    </row>
    <row r="813">
      <c r="D813" s="181"/>
      <c r="E813" s="182"/>
    </row>
    <row r="814">
      <c r="D814" s="181"/>
      <c r="E814" s="182"/>
    </row>
    <row r="815">
      <c r="D815" s="181"/>
      <c r="E815" s="182"/>
    </row>
    <row r="816">
      <c r="D816" s="181"/>
      <c r="E816" s="182"/>
    </row>
    <row r="817">
      <c r="D817" s="181"/>
      <c r="E817" s="182"/>
    </row>
    <row r="818">
      <c r="D818" s="181"/>
      <c r="E818" s="182"/>
    </row>
    <row r="819">
      <c r="D819" s="181"/>
      <c r="E819" s="182"/>
    </row>
    <row r="820">
      <c r="D820" s="181"/>
      <c r="E820" s="182"/>
    </row>
    <row r="821">
      <c r="D821" s="181"/>
      <c r="E821" s="182"/>
    </row>
    <row r="822">
      <c r="D822" s="181"/>
      <c r="E822" s="182"/>
    </row>
    <row r="823">
      <c r="D823" s="181"/>
      <c r="E823" s="182"/>
    </row>
    <row r="824">
      <c r="D824" s="181"/>
      <c r="E824" s="182"/>
    </row>
    <row r="825">
      <c r="D825" s="181"/>
      <c r="E825" s="182"/>
    </row>
    <row r="826">
      <c r="D826" s="181"/>
      <c r="E826" s="182"/>
    </row>
    <row r="827">
      <c r="D827" s="181"/>
      <c r="E827" s="182"/>
    </row>
    <row r="828">
      <c r="D828" s="181"/>
      <c r="E828" s="182"/>
    </row>
    <row r="829">
      <c r="D829" s="181"/>
      <c r="E829" s="182"/>
    </row>
    <row r="830">
      <c r="D830" s="181"/>
      <c r="E830" s="182"/>
    </row>
    <row r="831">
      <c r="D831" s="181"/>
      <c r="E831" s="182"/>
    </row>
    <row r="832">
      <c r="D832" s="181"/>
      <c r="E832" s="182"/>
    </row>
    <row r="833">
      <c r="D833" s="181"/>
      <c r="E833" s="182"/>
    </row>
    <row r="834">
      <c r="D834" s="181"/>
      <c r="E834" s="182"/>
    </row>
    <row r="835">
      <c r="D835" s="181"/>
      <c r="E835" s="182"/>
    </row>
    <row r="836">
      <c r="D836" s="181"/>
      <c r="E836" s="182"/>
    </row>
    <row r="837">
      <c r="D837" s="181"/>
      <c r="E837" s="182"/>
    </row>
    <row r="838">
      <c r="D838" s="181"/>
      <c r="E838" s="182"/>
    </row>
    <row r="839">
      <c r="D839" s="181"/>
      <c r="E839" s="182"/>
    </row>
    <row r="840">
      <c r="D840" s="181"/>
      <c r="E840" s="182"/>
    </row>
    <row r="841">
      <c r="D841" s="181"/>
      <c r="E841" s="182"/>
    </row>
    <row r="842">
      <c r="D842" s="181"/>
      <c r="E842" s="182"/>
    </row>
    <row r="843">
      <c r="D843" s="181"/>
      <c r="E843" s="182"/>
    </row>
    <row r="844">
      <c r="D844" s="181"/>
      <c r="E844" s="182"/>
    </row>
    <row r="845">
      <c r="D845" s="181"/>
      <c r="E845" s="182"/>
    </row>
    <row r="846">
      <c r="D846" s="181"/>
      <c r="E846" s="182"/>
    </row>
    <row r="847">
      <c r="D847" s="181"/>
      <c r="E847" s="182"/>
    </row>
    <row r="848">
      <c r="D848" s="181"/>
      <c r="E848" s="182"/>
    </row>
    <row r="849">
      <c r="D849" s="181"/>
      <c r="E849" s="182"/>
    </row>
    <row r="850">
      <c r="D850" s="181"/>
      <c r="E850" s="182"/>
    </row>
    <row r="851">
      <c r="D851" s="181"/>
      <c r="E851" s="182"/>
    </row>
    <row r="852">
      <c r="D852" s="181"/>
      <c r="E852" s="182"/>
    </row>
    <row r="853">
      <c r="D853" s="181"/>
      <c r="E853" s="182"/>
    </row>
    <row r="854">
      <c r="D854" s="181"/>
      <c r="E854" s="182"/>
    </row>
    <row r="855">
      <c r="D855" s="181"/>
      <c r="E855" s="182"/>
    </row>
    <row r="856">
      <c r="D856" s="181"/>
      <c r="E856" s="182"/>
    </row>
    <row r="857">
      <c r="D857" s="181"/>
      <c r="E857" s="182"/>
    </row>
    <row r="858">
      <c r="D858" s="181"/>
      <c r="E858" s="182"/>
    </row>
    <row r="859">
      <c r="D859" s="181"/>
      <c r="E859" s="182"/>
    </row>
    <row r="860">
      <c r="D860" s="181"/>
      <c r="E860" s="182"/>
    </row>
    <row r="861">
      <c r="D861" s="181"/>
      <c r="E861" s="182"/>
    </row>
    <row r="862">
      <c r="D862" s="181"/>
      <c r="E862" s="182"/>
    </row>
    <row r="863">
      <c r="D863" s="181"/>
      <c r="E863" s="182"/>
    </row>
    <row r="864">
      <c r="D864" s="181"/>
      <c r="E864" s="182"/>
    </row>
    <row r="865">
      <c r="D865" s="181"/>
      <c r="E865" s="182"/>
    </row>
    <row r="866">
      <c r="D866" s="181"/>
      <c r="E866" s="182"/>
    </row>
    <row r="867">
      <c r="D867" s="181"/>
      <c r="E867" s="182"/>
    </row>
    <row r="868">
      <c r="D868" s="181"/>
      <c r="E868" s="182"/>
    </row>
    <row r="869">
      <c r="D869" s="181"/>
      <c r="E869" s="182"/>
    </row>
    <row r="870">
      <c r="D870" s="181"/>
      <c r="E870" s="182"/>
    </row>
    <row r="871">
      <c r="D871" s="181"/>
      <c r="E871" s="182"/>
    </row>
    <row r="872">
      <c r="D872" s="181"/>
      <c r="E872" s="182"/>
    </row>
    <row r="873">
      <c r="D873" s="181"/>
      <c r="E873" s="182"/>
    </row>
    <row r="874">
      <c r="D874" s="181"/>
      <c r="E874" s="182"/>
    </row>
    <row r="875">
      <c r="D875" s="181"/>
      <c r="E875" s="182"/>
    </row>
    <row r="876">
      <c r="D876" s="181"/>
      <c r="E876" s="182"/>
    </row>
    <row r="877">
      <c r="D877" s="181"/>
      <c r="E877" s="182"/>
    </row>
    <row r="878">
      <c r="D878" s="181"/>
      <c r="E878" s="182"/>
    </row>
    <row r="879">
      <c r="D879" s="181"/>
      <c r="E879" s="182"/>
    </row>
    <row r="880">
      <c r="D880" s="181"/>
      <c r="E880" s="182"/>
    </row>
    <row r="881">
      <c r="D881" s="181"/>
      <c r="E881" s="182"/>
    </row>
    <row r="882">
      <c r="D882" s="181"/>
      <c r="E882" s="182"/>
    </row>
    <row r="883">
      <c r="D883" s="181"/>
      <c r="E883" s="182"/>
    </row>
    <row r="884">
      <c r="D884" s="181"/>
      <c r="E884" s="182"/>
    </row>
    <row r="885">
      <c r="D885" s="181"/>
      <c r="E885" s="182"/>
    </row>
    <row r="886">
      <c r="D886" s="181"/>
      <c r="E886" s="182"/>
    </row>
    <row r="887">
      <c r="D887" s="181"/>
      <c r="E887" s="182"/>
    </row>
    <row r="888">
      <c r="D888" s="181"/>
      <c r="E888" s="182"/>
    </row>
    <row r="889">
      <c r="D889" s="181"/>
      <c r="E889" s="182"/>
    </row>
    <row r="890">
      <c r="D890" s="181"/>
      <c r="E890" s="182"/>
    </row>
    <row r="891">
      <c r="D891" s="181"/>
      <c r="E891" s="182"/>
    </row>
    <row r="892">
      <c r="D892" s="181"/>
      <c r="E892" s="182"/>
    </row>
    <row r="893">
      <c r="D893" s="181"/>
      <c r="E893" s="182"/>
    </row>
    <row r="894">
      <c r="D894" s="181"/>
      <c r="E894" s="182"/>
    </row>
    <row r="895">
      <c r="D895" s="181"/>
      <c r="E895" s="182"/>
    </row>
    <row r="896">
      <c r="D896" s="181"/>
      <c r="E896" s="182"/>
    </row>
    <row r="897">
      <c r="D897" s="181"/>
      <c r="E897" s="182"/>
    </row>
    <row r="898">
      <c r="D898" s="181"/>
      <c r="E898" s="182"/>
    </row>
    <row r="899">
      <c r="D899" s="181"/>
      <c r="E899" s="182"/>
    </row>
    <row r="900">
      <c r="D900" s="181"/>
      <c r="E900" s="182"/>
    </row>
    <row r="901">
      <c r="D901" s="181"/>
      <c r="E901" s="182"/>
    </row>
    <row r="902">
      <c r="D902" s="181"/>
      <c r="E902" s="182"/>
    </row>
    <row r="903">
      <c r="D903" s="181"/>
      <c r="E903" s="182"/>
    </row>
    <row r="904">
      <c r="D904" s="181"/>
      <c r="E904" s="182"/>
    </row>
    <row r="905">
      <c r="D905" s="181"/>
      <c r="E905" s="182"/>
    </row>
    <row r="906">
      <c r="D906" s="181"/>
      <c r="E906" s="182"/>
    </row>
    <row r="907">
      <c r="D907" s="181"/>
      <c r="E907" s="182"/>
    </row>
    <row r="908">
      <c r="D908" s="181"/>
      <c r="E908" s="182"/>
    </row>
    <row r="909">
      <c r="D909" s="181"/>
      <c r="E909" s="182"/>
    </row>
    <row r="910">
      <c r="D910" s="181"/>
      <c r="E910" s="182"/>
    </row>
    <row r="911">
      <c r="D911" s="181"/>
      <c r="E911" s="182"/>
    </row>
    <row r="912">
      <c r="D912" s="181"/>
      <c r="E912" s="182"/>
    </row>
    <row r="913">
      <c r="D913" s="181"/>
      <c r="E913" s="182"/>
    </row>
    <row r="914">
      <c r="D914" s="181"/>
      <c r="E914" s="182"/>
    </row>
    <row r="915">
      <c r="D915" s="181"/>
      <c r="E915" s="182"/>
    </row>
    <row r="916">
      <c r="D916" s="181"/>
      <c r="E916" s="182"/>
    </row>
    <row r="917">
      <c r="D917" s="181"/>
      <c r="E917" s="182"/>
    </row>
    <row r="918">
      <c r="D918" s="181"/>
      <c r="E918" s="182"/>
    </row>
    <row r="919">
      <c r="D919" s="181"/>
      <c r="E919" s="182"/>
    </row>
    <row r="920">
      <c r="D920" s="181"/>
      <c r="E920" s="182"/>
    </row>
    <row r="921">
      <c r="D921" s="181"/>
      <c r="E921" s="182"/>
    </row>
    <row r="922">
      <c r="D922" s="181"/>
      <c r="E922" s="182"/>
    </row>
    <row r="923">
      <c r="D923" s="181"/>
      <c r="E923" s="182"/>
    </row>
    <row r="924">
      <c r="D924" s="181"/>
      <c r="E924" s="182"/>
    </row>
    <row r="925">
      <c r="D925" s="181"/>
      <c r="E925" s="182"/>
    </row>
    <row r="926">
      <c r="D926" s="181"/>
      <c r="E926" s="182"/>
    </row>
    <row r="927">
      <c r="D927" s="181"/>
      <c r="E927" s="182"/>
    </row>
    <row r="928">
      <c r="D928" s="181"/>
      <c r="E928" s="182"/>
    </row>
    <row r="929">
      <c r="D929" s="181"/>
      <c r="E929" s="182"/>
    </row>
    <row r="930">
      <c r="D930" s="181"/>
      <c r="E930" s="182"/>
    </row>
    <row r="931">
      <c r="D931" s="181"/>
      <c r="E931" s="182"/>
    </row>
    <row r="932">
      <c r="D932" s="181"/>
      <c r="E932" s="182"/>
    </row>
    <row r="933">
      <c r="D933" s="181"/>
      <c r="E933" s="182"/>
    </row>
    <row r="934">
      <c r="D934" s="181"/>
      <c r="E934" s="182"/>
    </row>
    <row r="935">
      <c r="D935" s="181"/>
      <c r="E935" s="182"/>
    </row>
    <row r="936">
      <c r="D936" s="181"/>
      <c r="E936" s="182"/>
    </row>
    <row r="937">
      <c r="D937" s="181"/>
      <c r="E937" s="182"/>
    </row>
    <row r="938">
      <c r="D938" s="181"/>
      <c r="E938" s="182"/>
    </row>
    <row r="939">
      <c r="D939" s="181"/>
      <c r="E939" s="182"/>
    </row>
    <row r="940">
      <c r="D940" s="181"/>
      <c r="E940" s="182"/>
    </row>
    <row r="941">
      <c r="D941" s="181"/>
      <c r="E941" s="182"/>
    </row>
    <row r="942">
      <c r="D942" s="181"/>
      <c r="E942" s="182"/>
    </row>
    <row r="943">
      <c r="D943" s="181"/>
      <c r="E943" s="182"/>
    </row>
    <row r="944">
      <c r="D944" s="181"/>
      <c r="E944" s="182"/>
    </row>
    <row r="945">
      <c r="D945" s="181"/>
      <c r="E945" s="182"/>
    </row>
    <row r="946">
      <c r="D946" s="181"/>
      <c r="E946" s="182"/>
    </row>
    <row r="947">
      <c r="D947" s="181"/>
      <c r="E947" s="182"/>
    </row>
    <row r="948">
      <c r="D948" s="181"/>
      <c r="E948" s="182"/>
    </row>
    <row r="949">
      <c r="D949" s="181"/>
      <c r="E949" s="182"/>
    </row>
    <row r="950">
      <c r="D950" s="181"/>
      <c r="E950" s="182"/>
    </row>
    <row r="951">
      <c r="D951" s="181"/>
      <c r="E951" s="182"/>
    </row>
    <row r="952">
      <c r="D952" s="181"/>
      <c r="E952" s="182"/>
    </row>
    <row r="953">
      <c r="D953" s="181"/>
      <c r="E953" s="182"/>
    </row>
    <row r="954">
      <c r="D954" s="181"/>
      <c r="E954" s="182"/>
    </row>
    <row r="955">
      <c r="D955" s="181"/>
      <c r="E955" s="182"/>
    </row>
    <row r="956">
      <c r="D956" s="181"/>
      <c r="E956" s="182"/>
    </row>
    <row r="957">
      <c r="D957" s="181"/>
      <c r="E957" s="182"/>
    </row>
    <row r="958">
      <c r="D958" s="181"/>
      <c r="E958" s="182"/>
    </row>
    <row r="959">
      <c r="D959" s="181"/>
      <c r="E959" s="182"/>
    </row>
    <row r="960">
      <c r="D960" s="181"/>
      <c r="E960" s="182"/>
    </row>
    <row r="961">
      <c r="D961" s="181"/>
      <c r="E961" s="182"/>
    </row>
    <row r="962">
      <c r="D962" s="181"/>
      <c r="E962" s="182"/>
    </row>
    <row r="963">
      <c r="D963" s="181"/>
      <c r="E963" s="182"/>
    </row>
    <row r="964">
      <c r="D964" s="181"/>
      <c r="E964" s="182"/>
    </row>
    <row r="965">
      <c r="D965" s="181"/>
      <c r="E965" s="182"/>
    </row>
    <row r="966">
      <c r="D966" s="181"/>
      <c r="E966" s="182"/>
    </row>
    <row r="967">
      <c r="D967" s="181"/>
      <c r="E967" s="182"/>
    </row>
    <row r="968">
      <c r="D968" s="181"/>
      <c r="E968" s="182"/>
    </row>
    <row r="969">
      <c r="D969" s="181"/>
      <c r="E969" s="182"/>
    </row>
    <row r="970">
      <c r="D970" s="181"/>
      <c r="E970" s="182"/>
    </row>
    <row r="971">
      <c r="D971" s="181"/>
      <c r="E971" s="182"/>
    </row>
    <row r="972">
      <c r="D972" s="181"/>
      <c r="E972" s="182"/>
    </row>
    <row r="973">
      <c r="D973" s="181"/>
      <c r="E973" s="182"/>
    </row>
    <row r="974">
      <c r="D974" s="181"/>
      <c r="E974" s="182"/>
    </row>
    <row r="975">
      <c r="D975" s="181"/>
      <c r="E975" s="182"/>
    </row>
    <row r="976">
      <c r="D976" s="181"/>
      <c r="E976" s="182"/>
    </row>
    <row r="977">
      <c r="D977" s="181"/>
      <c r="E977" s="182"/>
    </row>
    <row r="978">
      <c r="D978" s="181"/>
      <c r="E978" s="182"/>
    </row>
    <row r="979">
      <c r="D979" s="181"/>
      <c r="E979" s="182"/>
    </row>
    <row r="980">
      <c r="D980" s="181"/>
      <c r="E980" s="182"/>
    </row>
    <row r="981">
      <c r="D981" s="181"/>
      <c r="E981" s="182"/>
    </row>
    <row r="982">
      <c r="D982" s="181"/>
      <c r="E982" s="182"/>
    </row>
    <row r="983">
      <c r="D983" s="181"/>
      <c r="E983" s="182"/>
    </row>
    <row r="984">
      <c r="D984" s="181"/>
      <c r="E984" s="182"/>
    </row>
    <row r="985">
      <c r="D985" s="181"/>
      <c r="E985" s="182"/>
    </row>
    <row r="986">
      <c r="D986" s="181"/>
      <c r="E986" s="182"/>
    </row>
    <row r="987">
      <c r="D987" s="181"/>
      <c r="E987" s="182"/>
    </row>
    <row r="988">
      <c r="D988" s="181"/>
      <c r="E988" s="182"/>
    </row>
    <row r="989">
      <c r="D989" s="181"/>
      <c r="E989" s="182"/>
    </row>
    <row r="990">
      <c r="D990" s="181"/>
      <c r="E990" s="182"/>
    </row>
    <row r="991">
      <c r="D991" s="181"/>
      <c r="E991" s="182"/>
    </row>
    <row r="992">
      <c r="D992" s="181"/>
      <c r="E992" s="182"/>
    </row>
    <row r="993">
      <c r="D993" s="181"/>
      <c r="E993" s="182"/>
    </row>
    <row r="994">
      <c r="D994" s="181"/>
      <c r="E994" s="182"/>
    </row>
    <row r="995">
      <c r="D995" s="181"/>
      <c r="E995" s="182"/>
    </row>
    <row r="996">
      <c r="D996" s="181"/>
      <c r="E996" s="182"/>
    </row>
    <row r="997">
      <c r="D997" s="181"/>
      <c r="E997" s="182"/>
    </row>
    <row r="998">
      <c r="D998" s="181"/>
      <c r="E998" s="182"/>
    </row>
    <row r="999">
      <c r="D999" s="181"/>
      <c r="E999" s="182"/>
    </row>
    <row r="1000">
      <c r="D1000" s="181"/>
      <c r="E1000" s="182"/>
    </row>
  </sheetData>
  <dataValidations>
    <dataValidation type="list" allowBlank="1" showErrorMessage="1" sqref="C2:C24">
      <formula1>"Hà Nội,Sài Gòn,Đà Nẵng"</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7" t="s">
        <v>2237</v>
      </c>
      <c r="B1" s="187" t="s">
        <v>2243</v>
      </c>
      <c r="C1" s="5"/>
      <c r="D1" s="5"/>
      <c r="E1" s="5"/>
      <c r="F1" s="5"/>
      <c r="G1" s="5"/>
      <c r="H1" s="5"/>
      <c r="I1" s="5"/>
      <c r="J1" s="5"/>
      <c r="K1" s="5"/>
      <c r="L1" s="5"/>
      <c r="M1" s="5"/>
      <c r="N1" s="5"/>
      <c r="O1" s="5"/>
      <c r="P1" s="5"/>
      <c r="Q1" s="5"/>
      <c r="R1" s="5"/>
      <c r="S1" s="5"/>
      <c r="T1" s="5"/>
      <c r="U1" s="5"/>
      <c r="V1" s="5"/>
      <c r="W1" s="5"/>
      <c r="X1" s="5"/>
      <c r="Y1" s="5"/>
      <c r="Z1" s="5"/>
    </row>
    <row r="2">
      <c r="A2" s="188" t="s">
        <v>2247</v>
      </c>
      <c r="B2" s="188" t="s">
        <v>64</v>
      </c>
      <c r="C2" s="5"/>
      <c r="D2" s="5"/>
      <c r="E2" s="5"/>
      <c r="F2" s="5"/>
      <c r="G2" s="5"/>
      <c r="H2" s="5"/>
      <c r="I2" s="5"/>
      <c r="J2" s="5"/>
      <c r="K2" s="5"/>
      <c r="L2" s="5"/>
      <c r="M2" s="5"/>
      <c r="N2" s="5"/>
      <c r="O2" s="5"/>
      <c r="P2" s="5"/>
      <c r="Q2" s="5"/>
      <c r="R2" s="5"/>
      <c r="S2" s="5"/>
      <c r="T2" s="5"/>
      <c r="U2" s="5"/>
      <c r="V2" s="5"/>
      <c r="W2" s="5"/>
      <c r="X2" s="5"/>
      <c r="Y2" s="5"/>
      <c r="Z2" s="5"/>
    </row>
    <row r="3">
      <c r="A3" s="188" t="s">
        <v>2254</v>
      </c>
      <c r="B3" s="188" t="s">
        <v>64</v>
      </c>
      <c r="C3" s="5"/>
      <c r="D3" s="5"/>
      <c r="E3" s="5"/>
      <c r="F3" s="5"/>
      <c r="G3" s="5"/>
      <c r="H3" s="5"/>
      <c r="I3" s="5"/>
      <c r="J3" s="5"/>
      <c r="K3" s="5"/>
      <c r="L3" s="5"/>
      <c r="M3" s="5"/>
      <c r="N3" s="5"/>
      <c r="O3" s="5"/>
      <c r="P3" s="5"/>
      <c r="Q3" s="5"/>
      <c r="R3" s="5"/>
      <c r="S3" s="5"/>
      <c r="T3" s="5"/>
      <c r="U3" s="5"/>
      <c r="V3" s="5"/>
      <c r="W3" s="5"/>
      <c r="X3" s="5"/>
      <c r="Y3" s="5"/>
      <c r="Z3" s="5"/>
    </row>
    <row r="4">
      <c r="A4" s="188" t="s">
        <v>124</v>
      </c>
      <c r="B4" s="188" t="s">
        <v>64</v>
      </c>
      <c r="C4" s="5"/>
      <c r="D4" s="5"/>
      <c r="E4" s="5"/>
      <c r="F4" s="5"/>
      <c r="G4" s="5"/>
      <c r="H4" s="5"/>
      <c r="I4" s="5"/>
      <c r="J4" s="5"/>
      <c r="K4" s="5"/>
      <c r="L4" s="5"/>
      <c r="M4" s="5"/>
      <c r="N4" s="5"/>
      <c r="O4" s="5"/>
      <c r="P4" s="5"/>
      <c r="Q4" s="5"/>
      <c r="R4" s="5"/>
      <c r="S4" s="5"/>
      <c r="T4" s="5"/>
      <c r="U4" s="5"/>
      <c r="V4" s="5"/>
      <c r="W4" s="5"/>
      <c r="X4" s="5"/>
      <c r="Y4" s="5"/>
      <c r="Z4" s="5"/>
    </row>
    <row r="5">
      <c r="A5" s="188" t="s">
        <v>508</v>
      </c>
      <c r="B5" s="188" t="s">
        <v>64</v>
      </c>
      <c r="C5" s="5"/>
      <c r="D5" s="5"/>
      <c r="E5" s="5"/>
      <c r="F5" s="5"/>
      <c r="G5" s="5"/>
      <c r="H5" s="5"/>
      <c r="I5" s="5"/>
      <c r="J5" s="5"/>
      <c r="K5" s="5"/>
      <c r="L5" s="5"/>
      <c r="M5" s="5"/>
      <c r="N5" s="5"/>
      <c r="O5" s="5"/>
      <c r="P5" s="5"/>
      <c r="Q5" s="5"/>
      <c r="R5" s="5"/>
      <c r="S5" s="5"/>
      <c r="T5" s="5"/>
      <c r="U5" s="5"/>
      <c r="V5" s="5"/>
      <c r="W5" s="5"/>
      <c r="X5" s="5"/>
      <c r="Y5" s="5"/>
      <c r="Z5" s="5"/>
    </row>
    <row r="6">
      <c r="A6" s="188" t="s">
        <v>741</v>
      </c>
      <c r="B6" s="188" t="s">
        <v>64</v>
      </c>
      <c r="C6" s="5"/>
      <c r="D6" s="5"/>
      <c r="E6" s="5"/>
      <c r="F6" s="5"/>
      <c r="G6" s="5"/>
      <c r="H6" s="5"/>
      <c r="I6" s="5"/>
      <c r="J6" s="5"/>
      <c r="K6" s="5"/>
      <c r="L6" s="5"/>
      <c r="M6" s="5"/>
      <c r="N6" s="5"/>
      <c r="O6" s="5"/>
      <c r="P6" s="5"/>
      <c r="Q6" s="5"/>
      <c r="R6" s="5"/>
      <c r="S6" s="5"/>
      <c r="T6" s="5"/>
      <c r="U6" s="5"/>
      <c r="V6" s="5"/>
      <c r="W6" s="5"/>
      <c r="X6" s="5"/>
      <c r="Y6" s="5"/>
      <c r="Z6" s="5"/>
    </row>
    <row r="7">
      <c r="A7" s="188" t="s">
        <v>768</v>
      </c>
      <c r="B7" s="188" t="s">
        <v>64</v>
      </c>
      <c r="C7" s="5"/>
      <c r="D7" s="5"/>
      <c r="E7" s="5"/>
      <c r="F7" s="5"/>
      <c r="G7" s="5"/>
      <c r="H7" s="5"/>
      <c r="I7" s="5"/>
      <c r="J7" s="5"/>
      <c r="K7" s="5"/>
      <c r="L7" s="5"/>
      <c r="M7" s="5"/>
      <c r="N7" s="5"/>
      <c r="O7" s="5"/>
      <c r="P7" s="5"/>
      <c r="Q7" s="5"/>
      <c r="R7" s="5"/>
      <c r="S7" s="5"/>
      <c r="T7" s="5"/>
      <c r="U7" s="5"/>
      <c r="V7" s="5"/>
      <c r="W7" s="5"/>
      <c r="X7" s="5"/>
      <c r="Y7" s="5"/>
      <c r="Z7" s="5"/>
    </row>
    <row r="8">
      <c r="A8" s="188" t="s">
        <v>876</v>
      </c>
      <c r="B8" s="188" t="s">
        <v>64</v>
      </c>
      <c r="C8" s="5"/>
      <c r="D8" s="5"/>
      <c r="E8" s="5"/>
      <c r="F8" s="5"/>
      <c r="G8" s="5"/>
      <c r="H8" s="5"/>
      <c r="I8" s="5"/>
      <c r="J8" s="5"/>
      <c r="K8" s="5"/>
      <c r="L8" s="5"/>
      <c r="M8" s="5"/>
      <c r="N8" s="5"/>
      <c r="O8" s="5"/>
      <c r="P8" s="5"/>
      <c r="Q8" s="5"/>
      <c r="R8" s="5"/>
      <c r="S8" s="5"/>
      <c r="T8" s="5"/>
      <c r="U8" s="5"/>
      <c r="V8" s="5"/>
      <c r="W8" s="5"/>
      <c r="X8" s="5"/>
      <c r="Y8" s="5"/>
      <c r="Z8" s="5"/>
    </row>
    <row r="9">
      <c r="A9" s="188" t="s">
        <v>440</v>
      </c>
      <c r="B9" s="188" t="s">
        <v>64</v>
      </c>
      <c r="C9" s="5"/>
      <c r="D9" s="5"/>
      <c r="E9" s="5"/>
      <c r="F9" s="5"/>
      <c r="G9" s="5"/>
      <c r="H9" s="5"/>
      <c r="I9" s="5"/>
      <c r="J9" s="5"/>
      <c r="K9" s="5"/>
      <c r="L9" s="5"/>
      <c r="M9" s="5"/>
      <c r="N9" s="5"/>
      <c r="O9" s="5"/>
      <c r="P9" s="5"/>
      <c r="Q9" s="5"/>
      <c r="R9" s="5"/>
      <c r="S9" s="5"/>
      <c r="T9" s="5"/>
      <c r="U9" s="5"/>
      <c r="V9" s="5"/>
      <c r="W9" s="5"/>
      <c r="X9" s="5"/>
      <c r="Y9" s="5"/>
      <c r="Z9" s="5"/>
    </row>
    <row r="10">
      <c r="A10" s="188" t="s">
        <v>249</v>
      </c>
      <c r="B10" s="188" t="s">
        <v>169</v>
      </c>
      <c r="C10" s="5"/>
      <c r="D10" s="5"/>
      <c r="E10" s="5"/>
      <c r="F10" s="5"/>
      <c r="G10" s="5"/>
      <c r="H10" s="5"/>
      <c r="I10" s="5"/>
      <c r="J10" s="5"/>
      <c r="K10" s="5"/>
      <c r="L10" s="5"/>
      <c r="M10" s="5"/>
      <c r="N10" s="5"/>
      <c r="O10" s="5"/>
      <c r="P10" s="5"/>
      <c r="Q10" s="5"/>
      <c r="R10" s="5"/>
      <c r="S10" s="5"/>
      <c r="T10" s="5"/>
      <c r="U10" s="5"/>
      <c r="V10" s="5"/>
      <c r="W10" s="5"/>
      <c r="X10" s="5"/>
      <c r="Y10" s="5"/>
      <c r="Z10" s="5"/>
    </row>
    <row r="11">
      <c r="A11" s="188" t="s">
        <v>975</v>
      </c>
      <c r="B11" s="188" t="s">
        <v>169</v>
      </c>
      <c r="C11" s="5"/>
      <c r="D11" s="5"/>
      <c r="E11" s="5"/>
      <c r="F11" s="5"/>
      <c r="G11" s="5"/>
      <c r="H11" s="5"/>
      <c r="I11" s="5"/>
      <c r="J11" s="5"/>
      <c r="K11" s="5"/>
      <c r="L11" s="5"/>
      <c r="M11" s="5"/>
      <c r="N11" s="5"/>
      <c r="O11" s="5"/>
      <c r="P11" s="5"/>
      <c r="Q11" s="5"/>
      <c r="R11" s="5"/>
      <c r="S11" s="5"/>
      <c r="T11" s="5"/>
      <c r="U11" s="5"/>
      <c r="V11" s="5"/>
      <c r="W11" s="5"/>
      <c r="X11" s="5"/>
      <c r="Y11" s="5"/>
      <c r="Z11" s="5"/>
    </row>
    <row r="12">
      <c r="A12" s="188" t="s">
        <v>2267</v>
      </c>
      <c r="B12" s="188" t="s">
        <v>169</v>
      </c>
      <c r="C12" s="5"/>
      <c r="D12" s="5"/>
      <c r="E12" s="5"/>
      <c r="F12" s="5"/>
      <c r="G12" s="5"/>
      <c r="H12" s="5"/>
      <c r="I12" s="5"/>
      <c r="J12" s="5"/>
      <c r="K12" s="5"/>
      <c r="L12" s="5"/>
      <c r="M12" s="5"/>
      <c r="N12" s="5"/>
      <c r="O12" s="5"/>
      <c r="P12" s="5"/>
      <c r="Q12" s="5"/>
      <c r="R12" s="5"/>
      <c r="S12" s="5"/>
      <c r="T12" s="5"/>
      <c r="U12" s="5"/>
      <c r="V12" s="5"/>
      <c r="W12" s="5"/>
      <c r="X12" s="5"/>
      <c r="Y12" s="5"/>
      <c r="Z12" s="5"/>
    </row>
    <row r="13">
      <c r="A13" s="188" t="s">
        <v>2269</v>
      </c>
      <c r="B13" s="188" t="s">
        <v>169</v>
      </c>
      <c r="C13" s="5"/>
      <c r="D13" s="5"/>
      <c r="E13" s="5"/>
      <c r="F13" s="5"/>
      <c r="G13" s="5"/>
      <c r="H13" s="5"/>
      <c r="I13" s="5"/>
      <c r="J13" s="5"/>
      <c r="K13" s="5"/>
      <c r="L13" s="5"/>
      <c r="M13" s="5"/>
      <c r="N13" s="5"/>
      <c r="O13" s="5"/>
      <c r="P13" s="5"/>
      <c r="Q13" s="5"/>
      <c r="R13" s="5"/>
      <c r="S13" s="5"/>
      <c r="T13" s="5"/>
      <c r="U13" s="5"/>
      <c r="V13" s="5"/>
      <c r="W13" s="5"/>
      <c r="X13" s="5"/>
      <c r="Y13" s="5"/>
      <c r="Z13" s="5"/>
    </row>
    <row r="14">
      <c r="A14" s="188" t="s">
        <v>1499</v>
      </c>
      <c r="B14" s="188" t="s">
        <v>169</v>
      </c>
      <c r="C14" s="5"/>
      <c r="D14" s="5"/>
      <c r="E14" s="5"/>
      <c r="F14" s="5"/>
      <c r="G14" s="5"/>
      <c r="H14" s="5"/>
      <c r="I14" s="5"/>
      <c r="J14" s="5"/>
      <c r="K14" s="5"/>
      <c r="L14" s="5"/>
      <c r="M14" s="5"/>
      <c r="N14" s="5"/>
      <c r="O14" s="5"/>
      <c r="P14" s="5"/>
      <c r="Q14" s="5"/>
      <c r="R14" s="5"/>
      <c r="S14" s="5"/>
      <c r="T14" s="5"/>
      <c r="U14" s="5"/>
      <c r="V14" s="5"/>
      <c r="W14" s="5"/>
      <c r="X14" s="5"/>
      <c r="Y14" s="5"/>
      <c r="Z14" s="5"/>
    </row>
    <row r="15">
      <c r="A15" s="188" t="s">
        <v>213</v>
      </c>
      <c r="B15" s="188" t="s">
        <v>169</v>
      </c>
      <c r="C15" s="5"/>
      <c r="D15" s="5"/>
      <c r="E15" s="5"/>
      <c r="F15" s="5"/>
      <c r="G15" s="5"/>
      <c r="H15" s="5"/>
      <c r="I15" s="5"/>
      <c r="J15" s="5"/>
      <c r="K15" s="5"/>
      <c r="L15" s="5"/>
      <c r="M15" s="5"/>
      <c r="N15" s="5"/>
      <c r="O15" s="5"/>
      <c r="P15" s="5"/>
      <c r="Q15" s="5"/>
      <c r="R15" s="5"/>
      <c r="S15" s="5"/>
      <c r="T15" s="5"/>
      <c r="U15" s="5"/>
      <c r="V15" s="5"/>
      <c r="W15" s="5"/>
      <c r="X15" s="5"/>
      <c r="Y15" s="5"/>
      <c r="Z15" s="5"/>
    </row>
    <row r="16">
      <c r="A16" s="188" t="s">
        <v>891</v>
      </c>
      <c r="B16" s="188" t="s">
        <v>169</v>
      </c>
      <c r="C16" s="5"/>
      <c r="D16" s="5"/>
      <c r="E16" s="5"/>
      <c r="F16" s="5"/>
      <c r="G16" s="5"/>
      <c r="H16" s="5"/>
      <c r="I16" s="5"/>
      <c r="J16" s="5"/>
      <c r="K16" s="5"/>
      <c r="L16" s="5"/>
      <c r="M16" s="5"/>
      <c r="N16" s="5"/>
      <c r="O16" s="5"/>
      <c r="P16" s="5"/>
      <c r="Q16" s="5"/>
      <c r="R16" s="5"/>
      <c r="S16" s="5"/>
      <c r="T16" s="5"/>
      <c r="U16" s="5"/>
      <c r="V16" s="5"/>
      <c r="W16" s="5"/>
      <c r="X16" s="5"/>
      <c r="Y16" s="5"/>
      <c r="Z16" s="5"/>
    </row>
    <row r="17">
      <c r="A17" s="188" t="s">
        <v>621</v>
      </c>
      <c r="B17" s="188" t="s">
        <v>169</v>
      </c>
      <c r="C17" s="5"/>
      <c r="D17" s="5"/>
      <c r="E17" s="5"/>
      <c r="F17" s="5"/>
      <c r="G17" s="5"/>
      <c r="H17" s="5"/>
      <c r="I17" s="5"/>
      <c r="J17" s="5"/>
      <c r="K17" s="5"/>
      <c r="L17" s="5"/>
      <c r="M17" s="5"/>
      <c r="N17" s="5"/>
      <c r="O17" s="5"/>
      <c r="P17" s="5"/>
      <c r="Q17" s="5"/>
      <c r="R17" s="5"/>
      <c r="S17" s="5"/>
      <c r="T17" s="5"/>
      <c r="U17" s="5"/>
      <c r="V17" s="5"/>
      <c r="W17" s="5"/>
      <c r="X17" s="5"/>
      <c r="Y17" s="5"/>
      <c r="Z17" s="5"/>
    </row>
    <row r="18">
      <c r="A18" s="188" t="s">
        <v>442</v>
      </c>
      <c r="B18" s="188" t="s">
        <v>407</v>
      </c>
      <c r="C18" s="5"/>
      <c r="D18" s="5"/>
      <c r="E18" s="5"/>
      <c r="F18" s="5"/>
      <c r="G18" s="5"/>
      <c r="H18" s="5"/>
      <c r="I18" s="5"/>
      <c r="J18" s="5"/>
      <c r="K18" s="5"/>
      <c r="L18" s="5"/>
      <c r="M18" s="5"/>
      <c r="N18" s="5"/>
      <c r="O18" s="5"/>
      <c r="P18" s="5"/>
      <c r="Q18" s="5"/>
      <c r="R18" s="5"/>
      <c r="S18" s="5"/>
      <c r="T18" s="5"/>
      <c r="U18" s="5"/>
      <c r="V18" s="5"/>
      <c r="W18" s="5"/>
      <c r="X18" s="5"/>
      <c r="Y18" s="5"/>
      <c r="Z18" s="5"/>
    </row>
    <row r="19">
      <c r="A19" s="188" t="s">
        <v>2281</v>
      </c>
      <c r="B19" s="188" t="s">
        <v>407</v>
      </c>
      <c r="C19" s="5"/>
      <c r="D19" s="5"/>
      <c r="E19" s="5"/>
      <c r="F19" s="5"/>
      <c r="G19" s="5"/>
      <c r="H19" s="5"/>
      <c r="I19" s="5"/>
      <c r="J19" s="5"/>
      <c r="K19" s="5"/>
      <c r="L19" s="5"/>
      <c r="M19" s="5"/>
      <c r="N19" s="5"/>
      <c r="O19" s="5"/>
      <c r="P19" s="5"/>
      <c r="Q19" s="5"/>
      <c r="R19" s="5"/>
      <c r="S19" s="5"/>
      <c r="T19" s="5"/>
      <c r="U19" s="5"/>
      <c r="V19" s="5"/>
      <c r="W19" s="5"/>
      <c r="X19" s="5"/>
      <c r="Y19" s="5"/>
      <c r="Z19" s="5"/>
    </row>
    <row r="20">
      <c r="A20" s="188" t="s">
        <v>311</v>
      </c>
      <c r="B20" s="188" t="s">
        <v>64</v>
      </c>
      <c r="C20" s="5"/>
      <c r="D20" s="5"/>
      <c r="E20" s="5"/>
      <c r="F20" s="5"/>
      <c r="G20" s="5"/>
      <c r="H20" s="5"/>
      <c r="I20" s="5"/>
      <c r="J20" s="5"/>
      <c r="K20" s="5"/>
      <c r="L20" s="5"/>
      <c r="M20" s="5"/>
      <c r="N20" s="5"/>
      <c r="O20" s="5"/>
      <c r="P20" s="5"/>
      <c r="Q20" s="5"/>
      <c r="R20" s="5"/>
      <c r="S20" s="5"/>
      <c r="T20" s="5"/>
      <c r="U20" s="5"/>
      <c r="V20" s="5"/>
      <c r="W20" s="5"/>
      <c r="X20" s="5"/>
      <c r="Y20" s="5"/>
      <c r="Z20" s="5"/>
    </row>
    <row r="21">
      <c r="A21" s="188" t="s">
        <v>2290</v>
      </c>
      <c r="B21" s="188" t="s">
        <v>64</v>
      </c>
      <c r="C21" s="5"/>
      <c r="D21" s="5"/>
      <c r="E21" s="5"/>
      <c r="F21" s="5"/>
      <c r="G21" s="5"/>
      <c r="H21" s="5"/>
      <c r="I21" s="5"/>
      <c r="J21" s="5"/>
      <c r="K21" s="5"/>
      <c r="L21" s="5"/>
      <c r="M21" s="5"/>
      <c r="N21" s="5"/>
      <c r="O21" s="5"/>
      <c r="P21" s="5"/>
      <c r="Q21" s="5"/>
      <c r="R21" s="5"/>
      <c r="S21" s="5"/>
      <c r="T21" s="5"/>
      <c r="U21" s="5"/>
      <c r="V21" s="5"/>
      <c r="W21" s="5"/>
      <c r="X21" s="5"/>
      <c r="Y21" s="5"/>
      <c r="Z21" s="5"/>
    </row>
    <row r="22">
      <c r="A22" s="188" t="s">
        <v>2291</v>
      </c>
      <c r="B22" s="188" t="s">
        <v>169</v>
      </c>
      <c r="C22" s="5"/>
      <c r="D22" s="5"/>
      <c r="E22" s="5"/>
      <c r="F22" s="5"/>
      <c r="G22" s="5"/>
      <c r="H22" s="5"/>
      <c r="I22" s="5"/>
      <c r="J22" s="5"/>
      <c r="K22" s="5"/>
      <c r="L22" s="5"/>
      <c r="M22" s="5"/>
      <c r="N22" s="5"/>
      <c r="O22" s="5"/>
      <c r="P22" s="5"/>
      <c r="Q22" s="5"/>
      <c r="R22" s="5"/>
      <c r="S22" s="5"/>
      <c r="T22" s="5"/>
      <c r="U22" s="5"/>
      <c r="V22" s="5"/>
      <c r="W22" s="5"/>
      <c r="X22" s="5"/>
      <c r="Y22" s="5"/>
      <c r="Z22" s="5"/>
    </row>
    <row r="23">
      <c r="A23" s="188" t="s">
        <v>1753</v>
      </c>
      <c r="B23" s="188" t="s">
        <v>169</v>
      </c>
      <c r="C23" s="5"/>
      <c r="D23" s="5"/>
      <c r="E23" s="5"/>
      <c r="F23" s="5"/>
      <c r="G23" s="5"/>
      <c r="H23" s="5"/>
      <c r="I23" s="5"/>
      <c r="J23" s="5"/>
      <c r="K23" s="5"/>
      <c r="L23" s="5"/>
      <c r="M23" s="5"/>
      <c r="N23" s="5"/>
      <c r="O23" s="5"/>
      <c r="P23" s="5"/>
      <c r="Q23" s="5"/>
      <c r="R23" s="5"/>
      <c r="S23" s="5"/>
      <c r="T23" s="5"/>
      <c r="U23" s="5"/>
      <c r="V23" s="5"/>
      <c r="W23" s="5"/>
      <c r="X23" s="5"/>
      <c r="Y23" s="5"/>
      <c r="Z23" s="5"/>
    </row>
    <row r="24">
      <c r="A24" s="188" t="s">
        <v>489</v>
      </c>
      <c r="B24" s="188" t="s">
        <v>169</v>
      </c>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75"/>
    <col customWidth="1" min="3" max="3" width="20.88"/>
    <col customWidth="1" min="4" max="5" width="17.75"/>
    <col customWidth="1" min="6" max="6" width="19.0"/>
    <col customWidth="1" min="7" max="9" width="17.75"/>
    <col customWidth="1" min="10" max="10" width="19.25"/>
  </cols>
  <sheetData>
    <row r="1">
      <c r="A1" s="209" t="s">
        <v>26</v>
      </c>
      <c r="B1" s="209" t="s">
        <v>28</v>
      </c>
      <c r="C1" s="209" t="s">
        <v>29</v>
      </c>
      <c r="D1" s="209" t="s">
        <v>35</v>
      </c>
      <c r="E1" s="209" t="s">
        <v>44</v>
      </c>
      <c r="F1" s="209" t="s">
        <v>32</v>
      </c>
      <c r="G1" s="209" t="s">
        <v>55</v>
      </c>
      <c r="H1" s="209" t="s">
        <v>54</v>
      </c>
      <c r="I1" s="209" t="s">
        <v>3202</v>
      </c>
      <c r="J1" s="209" t="s">
        <v>1</v>
      </c>
      <c r="K1" s="210"/>
      <c r="L1" s="210" t="s">
        <v>3207</v>
      </c>
      <c r="M1" s="211"/>
      <c r="N1" s="211"/>
      <c r="O1" s="211"/>
      <c r="P1" s="211"/>
      <c r="Q1" s="211"/>
      <c r="R1" s="211"/>
      <c r="S1" s="211"/>
      <c r="T1" s="211"/>
      <c r="U1" s="211"/>
      <c r="V1" s="211"/>
      <c r="W1" s="211"/>
      <c r="X1" s="211"/>
      <c r="Y1" s="211"/>
      <c r="Z1" s="211"/>
      <c r="AA1" s="211"/>
    </row>
    <row r="2">
      <c r="A2" s="212" t="s">
        <v>232</v>
      </c>
      <c r="B2" s="213" t="s">
        <v>236</v>
      </c>
      <c r="C2" s="214" t="s">
        <v>3210</v>
      </c>
      <c r="D2" s="212" t="s">
        <v>84</v>
      </c>
      <c r="E2" s="212" t="s">
        <v>484</v>
      </c>
      <c r="F2" s="212" t="s">
        <v>708</v>
      </c>
      <c r="G2" s="215" t="s">
        <v>261</v>
      </c>
      <c r="H2" s="215" t="s">
        <v>261</v>
      </c>
      <c r="I2" s="212" t="s">
        <v>337</v>
      </c>
      <c r="J2" s="216" t="s">
        <v>251</v>
      </c>
      <c r="K2" s="210"/>
      <c r="L2" s="217" t="s">
        <v>3212</v>
      </c>
      <c r="M2" s="211"/>
      <c r="N2" s="211"/>
      <c r="O2" s="211"/>
      <c r="P2" s="211"/>
      <c r="Q2" s="211"/>
      <c r="R2" s="211"/>
      <c r="S2" s="211"/>
      <c r="T2" s="211"/>
      <c r="U2" s="211"/>
      <c r="V2" s="211"/>
      <c r="W2" s="211"/>
      <c r="X2" s="211"/>
      <c r="Y2" s="211"/>
      <c r="Z2" s="211"/>
      <c r="AA2" s="211"/>
    </row>
    <row r="3">
      <c r="A3" s="212" t="s">
        <v>178</v>
      </c>
      <c r="B3" s="218" t="s">
        <v>84</v>
      </c>
      <c r="C3" s="215" t="s">
        <v>1660</v>
      </c>
      <c r="D3" s="212" t="s">
        <v>233</v>
      </c>
      <c r="E3" s="212" t="s">
        <v>25</v>
      </c>
      <c r="F3" s="212" t="s">
        <v>104</v>
      </c>
      <c r="G3" s="215" t="s">
        <v>14</v>
      </c>
      <c r="H3" s="215" t="s">
        <v>247</v>
      </c>
      <c r="I3" s="212" t="s">
        <v>276</v>
      </c>
      <c r="J3" s="216" t="s">
        <v>295</v>
      </c>
      <c r="K3" s="211"/>
      <c r="L3" s="211"/>
      <c r="M3" s="211"/>
      <c r="N3" s="211"/>
      <c r="O3" s="211"/>
      <c r="P3" s="211"/>
      <c r="Q3" s="211"/>
      <c r="R3" s="211"/>
      <c r="S3" s="211"/>
      <c r="T3" s="211"/>
      <c r="U3" s="211"/>
      <c r="V3" s="211"/>
      <c r="W3" s="211"/>
      <c r="X3" s="211"/>
      <c r="Y3" s="211"/>
      <c r="Z3" s="211"/>
      <c r="AA3" s="211"/>
    </row>
    <row r="4">
      <c r="A4" s="212" t="s">
        <v>1421</v>
      </c>
      <c r="B4" s="218" t="s">
        <v>1809</v>
      </c>
      <c r="C4" s="214" t="s">
        <v>2103</v>
      </c>
      <c r="D4" s="212" t="s">
        <v>146</v>
      </c>
      <c r="E4" s="212" t="s">
        <v>3222</v>
      </c>
      <c r="F4" s="212" t="s">
        <v>106</v>
      </c>
      <c r="G4" s="215" t="s">
        <v>38</v>
      </c>
      <c r="H4" s="215" t="s">
        <v>311</v>
      </c>
      <c r="I4" s="212" t="s">
        <v>128</v>
      </c>
      <c r="J4" s="216" t="s">
        <v>1983</v>
      </c>
      <c r="K4" s="211"/>
      <c r="L4" s="211"/>
      <c r="M4" s="211"/>
      <c r="N4" s="211"/>
      <c r="O4" s="211"/>
      <c r="P4" s="211"/>
      <c r="Q4" s="211"/>
      <c r="R4" s="211"/>
      <c r="S4" s="211"/>
      <c r="T4" s="211"/>
      <c r="U4" s="211"/>
      <c r="V4" s="211"/>
      <c r="W4" s="211"/>
      <c r="X4" s="211"/>
      <c r="Y4" s="211"/>
      <c r="Z4" s="211"/>
      <c r="AA4" s="211"/>
    </row>
    <row r="5">
      <c r="A5" s="212" t="s">
        <v>103</v>
      </c>
      <c r="B5" s="218" t="s">
        <v>3224</v>
      </c>
      <c r="C5" s="215" t="s">
        <v>2549</v>
      </c>
      <c r="D5" s="212"/>
      <c r="E5" s="212" t="s">
        <v>181</v>
      </c>
      <c r="F5" s="212"/>
      <c r="G5" s="215" t="s">
        <v>123</v>
      </c>
      <c r="H5" s="215" t="s">
        <v>122</v>
      </c>
      <c r="I5" s="212" t="s">
        <v>164</v>
      </c>
      <c r="J5" s="215" t="s">
        <v>2105</v>
      </c>
      <c r="K5" s="211"/>
      <c r="L5" s="211"/>
      <c r="M5" s="211"/>
      <c r="N5" s="211"/>
      <c r="O5" s="211"/>
      <c r="P5" s="211"/>
      <c r="Q5" s="211"/>
      <c r="R5" s="211"/>
      <c r="S5" s="211"/>
      <c r="T5" s="211"/>
      <c r="U5" s="211"/>
      <c r="V5" s="211"/>
      <c r="W5" s="211"/>
      <c r="X5" s="211"/>
      <c r="Y5" s="211"/>
      <c r="Z5" s="211"/>
      <c r="AA5" s="211"/>
    </row>
    <row r="6">
      <c r="A6" s="212"/>
      <c r="B6" s="218" t="s">
        <v>723</v>
      </c>
      <c r="C6" s="215" t="s">
        <v>209</v>
      </c>
      <c r="D6" s="212"/>
      <c r="E6" s="212" t="s">
        <v>3230</v>
      </c>
      <c r="F6" s="212"/>
      <c r="G6" s="215" t="s">
        <v>2127</v>
      </c>
      <c r="H6" s="215" t="s">
        <v>210</v>
      </c>
      <c r="I6" s="215" t="s">
        <v>161</v>
      </c>
      <c r="J6" s="210" t="s">
        <v>1136</v>
      </c>
      <c r="K6" s="211"/>
      <c r="L6" s="211"/>
      <c r="M6" s="211"/>
      <c r="N6" s="211"/>
      <c r="O6" s="211"/>
      <c r="P6" s="211"/>
      <c r="Q6" s="211"/>
      <c r="R6" s="211"/>
      <c r="S6" s="211"/>
      <c r="T6" s="211"/>
      <c r="U6" s="211"/>
      <c r="V6" s="211"/>
      <c r="W6" s="211"/>
      <c r="X6" s="211"/>
      <c r="Y6" s="211"/>
      <c r="Z6" s="211"/>
      <c r="AA6" s="211"/>
    </row>
    <row r="7">
      <c r="A7" s="212"/>
      <c r="B7" s="218" t="s">
        <v>2304</v>
      </c>
      <c r="C7" s="214" t="s">
        <v>3233</v>
      </c>
      <c r="D7" s="212"/>
      <c r="E7" s="212" t="s">
        <v>3234</v>
      </c>
      <c r="F7" s="212"/>
      <c r="G7" s="215" t="s">
        <v>65</v>
      </c>
      <c r="H7" s="219" t="s">
        <v>3237</v>
      </c>
      <c r="I7" s="212"/>
      <c r="J7" s="220" t="s">
        <v>291</v>
      </c>
      <c r="K7" s="211"/>
      <c r="L7" s="211"/>
      <c r="M7" s="211"/>
      <c r="N7" s="211"/>
      <c r="O7" s="211"/>
      <c r="P7" s="211"/>
      <c r="Q7" s="211"/>
      <c r="R7" s="211"/>
      <c r="S7" s="211"/>
      <c r="T7" s="211"/>
      <c r="U7" s="211"/>
      <c r="V7" s="211"/>
      <c r="W7" s="211"/>
      <c r="X7" s="211"/>
      <c r="Y7" s="211"/>
      <c r="Z7" s="211"/>
      <c r="AA7" s="211"/>
    </row>
    <row r="8">
      <c r="A8" s="212"/>
      <c r="B8" s="218" t="s">
        <v>248</v>
      </c>
      <c r="C8" s="215" t="s">
        <v>2418</v>
      </c>
      <c r="D8" s="212"/>
      <c r="E8" s="212" t="s">
        <v>3243</v>
      </c>
      <c r="F8" s="212"/>
      <c r="G8" s="219" t="s">
        <v>211</v>
      </c>
      <c r="H8" s="219" t="s">
        <v>211</v>
      </c>
      <c r="I8" s="212"/>
      <c r="J8" s="216" t="s">
        <v>2638</v>
      </c>
      <c r="K8" s="211"/>
      <c r="L8" s="211"/>
      <c r="M8" s="211"/>
      <c r="N8" s="211"/>
      <c r="O8" s="211"/>
      <c r="P8" s="211"/>
      <c r="Q8" s="211"/>
      <c r="R8" s="211"/>
      <c r="S8" s="211"/>
      <c r="T8" s="211"/>
      <c r="U8" s="211"/>
      <c r="V8" s="211"/>
      <c r="W8" s="211"/>
      <c r="X8" s="211"/>
      <c r="Y8" s="211"/>
      <c r="Z8" s="211"/>
      <c r="AA8" s="211"/>
    </row>
    <row r="9">
      <c r="A9" s="212"/>
      <c r="B9" s="218" t="s">
        <v>3244</v>
      </c>
      <c r="C9" s="215" t="s">
        <v>1478</v>
      </c>
      <c r="D9" s="212"/>
      <c r="E9" s="212" t="s">
        <v>1275</v>
      </c>
      <c r="F9" s="212"/>
      <c r="G9" s="212"/>
      <c r="H9" s="212"/>
      <c r="I9" s="221"/>
      <c r="J9" s="216" t="s">
        <v>2727</v>
      </c>
      <c r="K9" s="211"/>
      <c r="L9" s="211"/>
      <c r="M9" s="211"/>
      <c r="N9" s="211"/>
      <c r="O9" s="211"/>
      <c r="P9" s="211"/>
      <c r="Q9" s="211"/>
      <c r="R9" s="211"/>
      <c r="S9" s="211"/>
      <c r="T9" s="211"/>
      <c r="U9" s="211"/>
      <c r="V9" s="211"/>
      <c r="W9" s="211"/>
      <c r="X9" s="211"/>
      <c r="Y9" s="211"/>
      <c r="Z9" s="211"/>
      <c r="AA9" s="211"/>
    </row>
    <row r="10">
      <c r="A10" s="212"/>
      <c r="B10" s="218" t="s">
        <v>3248</v>
      </c>
      <c r="C10" s="215" t="s">
        <v>2413</v>
      </c>
      <c r="D10" s="212"/>
      <c r="E10" s="212" t="s">
        <v>3249</v>
      </c>
      <c r="F10" s="212"/>
      <c r="G10" s="212"/>
      <c r="H10" s="212"/>
      <c r="I10" s="221"/>
      <c r="J10" s="214" t="s">
        <v>3250</v>
      </c>
      <c r="K10" s="211"/>
      <c r="L10" s="211"/>
      <c r="M10" s="211"/>
      <c r="N10" s="211"/>
      <c r="O10" s="211"/>
      <c r="P10" s="211"/>
      <c r="Q10" s="211"/>
      <c r="R10" s="211"/>
      <c r="S10" s="211"/>
      <c r="T10" s="211"/>
      <c r="U10" s="211"/>
      <c r="V10" s="211"/>
      <c r="W10" s="211"/>
      <c r="X10" s="211"/>
      <c r="Y10" s="211"/>
      <c r="Z10" s="211"/>
      <c r="AA10" s="211"/>
    </row>
    <row r="11">
      <c r="A11" s="212"/>
      <c r="B11" s="222" t="s">
        <v>3253</v>
      </c>
      <c r="C11" s="215" t="s">
        <v>1632</v>
      </c>
      <c r="D11" s="212"/>
      <c r="E11" s="212" t="s">
        <v>3254</v>
      </c>
      <c r="F11" s="212"/>
      <c r="G11" s="212"/>
      <c r="H11" s="212"/>
      <c r="I11" s="221"/>
      <c r="J11" s="216" t="s">
        <v>2509</v>
      </c>
      <c r="K11" s="211"/>
      <c r="L11" s="211"/>
      <c r="M11" s="211"/>
      <c r="N11" s="211"/>
      <c r="O11" s="211"/>
      <c r="P11" s="211"/>
      <c r="Q11" s="211"/>
      <c r="R11" s="211"/>
      <c r="S11" s="211"/>
      <c r="T11" s="211"/>
      <c r="U11" s="211"/>
      <c r="V11" s="211"/>
      <c r="W11" s="211"/>
      <c r="X11" s="211"/>
      <c r="Y11" s="211"/>
      <c r="Z11" s="211"/>
      <c r="AA11" s="211"/>
    </row>
    <row r="12">
      <c r="A12" s="212"/>
      <c r="B12" s="218" t="s">
        <v>1239</v>
      </c>
      <c r="C12" s="215" t="s">
        <v>2442</v>
      </c>
      <c r="D12" s="212"/>
      <c r="E12" s="212"/>
      <c r="F12" s="212"/>
      <c r="G12" s="212"/>
      <c r="H12" s="212"/>
      <c r="I12" s="221"/>
      <c r="J12" s="216" t="s">
        <v>2120</v>
      </c>
      <c r="K12" s="211"/>
      <c r="L12" s="211"/>
      <c r="M12" s="211"/>
      <c r="N12" s="211"/>
      <c r="O12" s="211"/>
      <c r="P12" s="211"/>
      <c r="Q12" s="211"/>
      <c r="R12" s="211"/>
      <c r="S12" s="211"/>
      <c r="T12" s="211"/>
      <c r="U12" s="211"/>
      <c r="V12" s="211"/>
      <c r="W12" s="211"/>
      <c r="X12" s="211"/>
      <c r="Y12" s="211"/>
      <c r="Z12" s="211"/>
      <c r="AA12" s="211"/>
    </row>
    <row r="13">
      <c r="A13" s="212"/>
      <c r="B13" s="218" t="s">
        <v>1114</v>
      </c>
      <c r="C13" s="215" t="s">
        <v>86</v>
      </c>
      <c r="D13" s="212"/>
      <c r="E13" s="212"/>
      <c r="F13" s="212"/>
      <c r="G13" s="212"/>
      <c r="H13" s="212"/>
      <c r="I13" s="221"/>
      <c r="J13" s="216" t="s">
        <v>1829</v>
      </c>
      <c r="K13" s="211"/>
      <c r="L13" s="211"/>
      <c r="M13" s="211"/>
      <c r="N13" s="211"/>
      <c r="O13" s="211"/>
      <c r="P13" s="211"/>
      <c r="Q13" s="211"/>
      <c r="R13" s="211"/>
      <c r="S13" s="211"/>
      <c r="T13" s="211"/>
      <c r="U13" s="211"/>
      <c r="V13" s="211"/>
      <c r="W13" s="211"/>
      <c r="X13" s="211"/>
      <c r="Y13" s="211"/>
      <c r="Z13" s="211"/>
      <c r="AA13" s="211"/>
    </row>
    <row r="14">
      <c r="A14" s="212"/>
      <c r="B14" s="218" t="s">
        <v>1457</v>
      </c>
      <c r="C14" s="215" t="s">
        <v>2841</v>
      </c>
      <c r="D14" s="212"/>
      <c r="E14" s="212"/>
      <c r="F14" s="212"/>
      <c r="G14" s="212"/>
      <c r="H14" s="212"/>
      <c r="I14" s="221"/>
      <c r="J14" s="216" t="s">
        <v>2088</v>
      </c>
      <c r="K14" s="211"/>
      <c r="L14" s="211"/>
      <c r="M14" s="211"/>
      <c r="N14" s="211"/>
      <c r="O14" s="211"/>
      <c r="P14" s="211"/>
      <c r="Q14" s="211"/>
      <c r="R14" s="211"/>
      <c r="S14" s="211"/>
      <c r="T14" s="211"/>
      <c r="U14" s="211"/>
      <c r="V14" s="211"/>
      <c r="W14" s="211"/>
      <c r="X14" s="211"/>
      <c r="Y14" s="211"/>
      <c r="Z14" s="211"/>
      <c r="AA14" s="211"/>
    </row>
    <row r="15">
      <c r="A15" s="212"/>
      <c r="B15" s="218" t="s">
        <v>3256</v>
      </c>
      <c r="C15" s="215" t="s">
        <v>2783</v>
      </c>
      <c r="D15" s="212"/>
      <c r="E15" s="212"/>
      <c r="F15" s="212"/>
      <c r="G15" s="212"/>
      <c r="H15" s="212"/>
      <c r="I15" s="221"/>
      <c r="J15" s="212" t="s">
        <v>1270</v>
      </c>
      <c r="K15" s="211"/>
      <c r="L15" s="211"/>
      <c r="M15" s="211"/>
      <c r="N15" s="211"/>
      <c r="O15" s="211"/>
      <c r="P15" s="211"/>
      <c r="Q15" s="211"/>
      <c r="R15" s="211"/>
      <c r="S15" s="211"/>
      <c r="T15" s="211"/>
      <c r="U15" s="211"/>
      <c r="V15" s="211"/>
      <c r="W15" s="211"/>
      <c r="X15" s="211"/>
      <c r="Y15" s="211"/>
      <c r="Z15" s="211"/>
      <c r="AA15" s="211"/>
    </row>
    <row r="16">
      <c r="A16" s="212"/>
      <c r="B16" s="218" t="s">
        <v>3259</v>
      </c>
      <c r="C16" s="215" t="s">
        <v>243</v>
      </c>
      <c r="D16" s="212"/>
      <c r="E16" s="212"/>
      <c r="F16" s="212"/>
      <c r="G16" s="212"/>
      <c r="H16" s="212"/>
      <c r="I16" s="221"/>
      <c r="J16" s="212" t="s">
        <v>481</v>
      </c>
      <c r="K16" s="211"/>
      <c r="L16" s="211"/>
      <c r="M16" s="211"/>
      <c r="N16" s="211"/>
      <c r="O16" s="211"/>
      <c r="P16" s="211"/>
      <c r="Q16" s="211"/>
      <c r="R16" s="211"/>
      <c r="S16" s="211"/>
      <c r="T16" s="211"/>
      <c r="U16" s="211"/>
      <c r="V16" s="211"/>
      <c r="W16" s="211"/>
      <c r="X16" s="211"/>
      <c r="Y16" s="211"/>
      <c r="Z16" s="211"/>
      <c r="AA16" s="211"/>
    </row>
    <row r="17">
      <c r="A17" s="212"/>
      <c r="B17" s="218" t="s">
        <v>1225</v>
      </c>
      <c r="C17" s="210" t="s">
        <v>590</v>
      </c>
      <c r="D17" s="212"/>
      <c r="E17" s="212"/>
      <c r="F17" s="212"/>
      <c r="G17" s="212"/>
      <c r="H17" s="212"/>
      <c r="I17" s="221"/>
      <c r="J17" s="215" t="s">
        <v>3263</v>
      </c>
      <c r="K17" s="211"/>
      <c r="L17" s="211"/>
      <c r="M17" s="211"/>
      <c r="N17" s="211"/>
      <c r="O17" s="211"/>
      <c r="P17" s="211"/>
      <c r="Q17" s="211"/>
      <c r="R17" s="211"/>
      <c r="S17" s="211"/>
      <c r="T17" s="211"/>
      <c r="U17" s="211"/>
      <c r="V17" s="211"/>
      <c r="W17" s="211"/>
      <c r="X17" s="211"/>
      <c r="Y17" s="211"/>
      <c r="Z17" s="211"/>
      <c r="AA17" s="211"/>
    </row>
    <row r="18">
      <c r="A18" s="212"/>
      <c r="B18" s="218" t="s">
        <v>2583</v>
      </c>
      <c r="C18" s="215" t="s">
        <v>1525</v>
      </c>
      <c r="D18" s="212"/>
      <c r="E18" s="212"/>
      <c r="F18" s="212"/>
      <c r="G18" s="212"/>
      <c r="H18" s="212"/>
      <c r="I18" s="221"/>
      <c r="J18" s="212" t="s">
        <v>40</v>
      </c>
      <c r="K18" s="211"/>
      <c r="L18" s="211"/>
      <c r="M18" s="211"/>
      <c r="N18" s="211"/>
      <c r="O18" s="211"/>
      <c r="P18" s="211"/>
      <c r="Q18" s="211"/>
      <c r="R18" s="211"/>
      <c r="S18" s="211"/>
      <c r="T18" s="211"/>
      <c r="U18" s="211"/>
      <c r="V18" s="211"/>
      <c r="W18" s="211"/>
      <c r="X18" s="211"/>
      <c r="Y18" s="211"/>
      <c r="Z18" s="211"/>
      <c r="AA18" s="211"/>
    </row>
    <row r="19">
      <c r="A19" s="221"/>
      <c r="B19" s="218" t="s">
        <v>724</v>
      </c>
      <c r="C19" s="215" t="s">
        <v>121</v>
      </c>
      <c r="D19" s="221"/>
      <c r="E19" s="221"/>
      <c r="F19" s="221"/>
      <c r="G19" s="221"/>
      <c r="H19" s="221"/>
      <c r="I19" s="221"/>
      <c r="J19" s="214" t="s">
        <v>3266</v>
      </c>
      <c r="K19" s="211"/>
      <c r="L19" s="211"/>
      <c r="M19" s="211"/>
      <c r="N19" s="211"/>
      <c r="O19" s="211"/>
      <c r="P19" s="211"/>
      <c r="Q19" s="211"/>
      <c r="R19" s="211"/>
      <c r="S19" s="211"/>
      <c r="T19" s="211"/>
      <c r="U19" s="211"/>
      <c r="V19" s="211"/>
      <c r="W19" s="211"/>
      <c r="X19" s="211"/>
      <c r="Y19" s="211"/>
      <c r="Z19" s="211"/>
      <c r="AA19" s="211"/>
    </row>
    <row r="20">
      <c r="A20" s="221"/>
      <c r="B20" s="211"/>
      <c r="C20" s="215" t="s">
        <v>740</v>
      </c>
      <c r="D20" s="221"/>
      <c r="E20" s="221"/>
      <c r="F20" s="221"/>
      <c r="G20" s="221"/>
      <c r="H20" s="220"/>
      <c r="I20" s="221"/>
      <c r="J20" s="220" t="s">
        <v>3269</v>
      </c>
      <c r="K20" s="211"/>
      <c r="L20" s="211"/>
      <c r="M20" s="211"/>
      <c r="N20" s="211"/>
      <c r="O20" s="211"/>
      <c r="P20" s="211"/>
      <c r="Q20" s="211"/>
      <c r="R20" s="211"/>
      <c r="S20" s="211"/>
      <c r="T20" s="211"/>
      <c r="U20" s="211"/>
      <c r="V20" s="211"/>
      <c r="W20" s="211"/>
      <c r="X20" s="211"/>
      <c r="Y20" s="211"/>
      <c r="Z20" s="211"/>
      <c r="AA20" s="211"/>
    </row>
    <row r="21">
      <c r="A21" s="221"/>
      <c r="B21" s="221"/>
      <c r="C21" s="214" t="s">
        <v>2429</v>
      </c>
      <c r="D21" s="221"/>
      <c r="E21" s="221"/>
      <c r="F21" s="221"/>
      <c r="G21" s="221"/>
      <c r="H21" s="221"/>
      <c r="I21" s="221"/>
      <c r="J21" s="220" t="s">
        <v>3272</v>
      </c>
      <c r="K21" s="211"/>
      <c r="L21" s="211"/>
      <c r="M21" s="211"/>
      <c r="N21" s="211"/>
      <c r="O21" s="211"/>
      <c r="P21" s="211"/>
      <c r="Q21" s="211"/>
      <c r="R21" s="211"/>
      <c r="S21" s="211"/>
      <c r="T21" s="211"/>
      <c r="U21" s="211"/>
      <c r="V21" s="211"/>
      <c r="W21" s="211"/>
      <c r="X21" s="211"/>
      <c r="Y21" s="211"/>
      <c r="Z21" s="211"/>
      <c r="AA21" s="211"/>
    </row>
    <row r="22">
      <c r="A22" s="211"/>
      <c r="B22" s="211"/>
      <c r="C22" s="215" t="s">
        <v>2799</v>
      </c>
      <c r="D22" s="211"/>
      <c r="E22" s="211"/>
      <c r="F22" s="211"/>
      <c r="G22" s="211"/>
      <c r="H22" s="211"/>
      <c r="I22" s="211"/>
      <c r="J22" s="210" t="s">
        <v>3274</v>
      </c>
      <c r="K22" s="211"/>
      <c r="L22" s="211"/>
      <c r="M22" s="211"/>
      <c r="N22" s="211"/>
      <c r="O22" s="211"/>
      <c r="P22" s="211"/>
      <c r="Q22" s="211"/>
      <c r="R22" s="211"/>
      <c r="S22" s="211"/>
      <c r="T22" s="211"/>
      <c r="U22" s="211"/>
      <c r="V22" s="211"/>
      <c r="W22" s="211"/>
      <c r="X22" s="211"/>
      <c r="Y22" s="211"/>
      <c r="Z22" s="211"/>
      <c r="AA22" s="211"/>
    </row>
    <row r="23">
      <c r="A23" s="211"/>
      <c r="B23" s="211"/>
      <c r="C23" s="214" t="s">
        <v>161</v>
      </c>
      <c r="D23" s="210"/>
      <c r="E23" s="211"/>
      <c r="F23" s="211"/>
      <c r="G23" s="211"/>
      <c r="H23" s="211"/>
      <c r="I23" s="211"/>
      <c r="J23" s="210" t="s">
        <v>3084</v>
      </c>
      <c r="K23" s="211"/>
      <c r="L23" s="211"/>
      <c r="M23" s="211"/>
      <c r="N23" s="211"/>
      <c r="O23" s="211"/>
      <c r="P23" s="211"/>
      <c r="Q23" s="211"/>
      <c r="R23" s="211"/>
      <c r="S23" s="211"/>
      <c r="T23" s="211"/>
      <c r="U23" s="211"/>
      <c r="V23" s="211"/>
      <c r="W23" s="211"/>
      <c r="X23" s="211"/>
      <c r="Y23" s="211"/>
      <c r="Z23" s="211"/>
      <c r="AA23" s="211"/>
    </row>
    <row r="24">
      <c r="A24" s="211"/>
      <c r="B24" s="211"/>
      <c r="C24" s="211"/>
      <c r="D24" s="210"/>
      <c r="E24" s="211"/>
      <c r="F24" s="211"/>
      <c r="G24" s="211"/>
      <c r="H24" s="211"/>
      <c r="I24" s="211"/>
      <c r="J24" s="210" t="s">
        <v>3276</v>
      </c>
      <c r="K24" s="211"/>
      <c r="L24" s="211"/>
      <c r="M24" s="211"/>
      <c r="N24" s="211"/>
      <c r="O24" s="211"/>
      <c r="P24" s="211"/>
      <c r="Q24" s="211"/>
      <c r="R24" s="211"/>
      <c r="S24" s="211"/>
      <c r="T24" s="211"/>
      <c r="U24" s="211"/>
      <c r="V24" s="211"/>
      <c r="W24" s="211"/>
      <c r="X24" s="211"/>
      <c r="Y24" s="211"/>
      <c r="Z24" s="211"/>
      <c r="AA24" s="211"/>
    </row>
    <row r="25">
      <c r="A25" s="211"/>
      <c r="B25" s="211"/>
      <c r="C25" s="210"/>
      <c r="D25" s="211"/>
      <c r="E25" s="211"/>
      <c r="F25" s="211"/>
      <c r="G25" s="211"/>
      <c r="H25" s="211"/>
      <c r="I25" s="211"/>
      <c r="J25" s="211"/>
      <c r="K25" s="211"/>
      <c r="L25" s="211"/>
      <c r="M25" s="211"/>
      <c r="N25" s="211"/>
      <c r="O25" s="211"/>
      <c r="P25" s="211"/>
      <c r="Q25" s="211"/>
      <c r="R25" s="211"/>
      <c r="S25" s="211"/>
      <c r="T25" s="211"/>
      <c r="U25" s="211"/>
      <c r="V25" s="211"/>
      <c r="W25" s="211"/>
      <c r="X25" s="211"/>
      <c r="Y25" s="211"/>
      <c r="Z25" s="211"/>
      <c r="AA25" s="211"/>
    </row>
    <row r="26">
      <c r="A26" s="211"/>
      <c r="B26" s="211"/>
      <c r="C26" s="211"/>
      <c r="D26" s="211"/>
      <c r="E26" s="211"/>
      <c r="F26" s="211"/>
      <c r="G26" s="211"/>
      <c r="H26" s="211"/>
      <c r="I26" s="211"/>
      <c r="J26" s="211"/>
      <c r="K26" s="211"/>
      <c r="L26" s="211"/>
      <c r="M26" s="211"/>
      <c r="N26" s="211"/>
      <c r="O26" s="211"/>
      <c r="P26" s="211"/>
      <c r="Q26" s="211"/>
      <c r="R26" s="211"/>
      <c r="S26" s="211"/>
      <c r="T26" s="211"/>
      <c r="U26" s="211"/>
      <c r="V26" s="211"/>
      <c r="W26" s="211"/>
      <c r="X26" s="211"/>
      <c r="Y26" s="211"/>
      <c r="Z26" s="211"/>
      <c r="AA26" s="211"/>
    </row>
    <row r="27">
      <c r="A27" s="211"/>
      <c r="B27" s="211"/>
      <c r="C27" s="211"/>
      <c r="D27" s="211"/>
      <c r="E27" s="211"/>
      <c r="F27" s="211"/>
      <c r="G27" s="211"/>
      <c r="H27" s="211"/>
      <c r="I27" s="211"/>
      <c r="J27" s="211"/>
      <c r="K27" s="211"/>
      <c r="L27" s="211"/>
      <c r="M27" s="211"/>
      <c r="N27" s="211"/>
      <c r="O27" s="211"/>
      <c r="P27" s="211"/>
      <c r="Q27" s="211"/>
      <c r="R27" s="211"/>
      <c r="S27" s="211"/>
      <c r="T27" s="211"/>
      <c r="U27" s="211"/>
      <c r="V27" s="211"/>
      <c r="W27" s="211"/>
      <c r="X27" s="211"/>
      <c r="Y27" s="211"/>
      <c r="Z27" s="211"/>
      <c r="AA27" s="211"/>
    </row>
    <row r="28">
      <c r="A28" s="211"/>
      <c r="B28" s="211"/>
      <c r="C28" s="211"/>
      <c r="D28" s="211"/>
      <c r="E28" s="211"/>
      <c r="F28" s="211"/>
      <c r="G28" s="211"/>
      <c r="H28" s="211"/>
      <c r="I28" s="211"/>
      <c r="J28" s="211"/>
      <c r="K28" s="211"/>
      <c r="L28" s="211"/>
      <c r="M28" s="211"/>
      <c r="N28" s="211"/>
      <c r="O28" s="211"/>
      <c r="P28" s="211"/>
      <c r="Q28" s="211"/>
      <c r="R28" s="211"/>
      <c r="S28" s="211"/>
      <c r="T28" s="211"/>
      <c r="U28" s="211"/>
      <c r="V28" s="211"/>
      <c r="W28" s="211"/>
      <c r="X28" s="211"/>
      <c r="Y28" s="211"/>
      <c r="Z28" s="211"/>
      <c r="AA28" s="211"/>
    </row>
    <row r="29">
      <c r="A29" s="211"/>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row>
    <row r="30">
      <c r="A30" s="211"/>
      <c r="B30" s="211"/>
      <c r="C30" s="211"/>
      <c r="D30" s="211"/>
      <c r="E30" s="211"/>
      <c r="F30" s="211"/>
      <c r="G30" s="211"/>
      <c r="H30" s="211"/>
      <c r="I30" s="211"/>
      <c r="J30" s="211"/>
      <c r="K30" s="211"/>
      <c r="L30" s="211"/>
      <c r="M30" s="211"/>
      <c r="N30" s="211"/>
      <c r="O30" s="211"/>
      <c r="P30" s="211"/>
      <c r="Q30" s="211"/>
      <c r="R30" s="211"/>
      <c r="S30" s="211"/>
      <c r="T30" s="211"/>
      <c r="U30" s="211"/>
      <c r="V30" s="211"/>
      <c r="W30" s="211"/>
      <c r="X30" s="211"/>
      <c r="Y30" s="211"/>
      <c r="Z30" s="211"/>
      <c r="AA30" s="211"/>
    </row>
    <row r="31">
      <c r="A31" s="211"/>
      <c r="B31" s="211"/>
      <c r="C31" s="211"/>
      <c r="D31" s="211"/>
      <c r="E31" s="211"/>
      <c r="F31" s="211"/>
      <c r="G31" s="211"/>
      <c r="H31" s="211"/>
      <c r="I31" s="211"/>
      <c r="J31" s="211"/>
      <c r="K31" s="211"/>
      <c r="L31" s="211"/>
      <c r="M31" s="211"/>
      <c r="N31" s="211"/>
      <c r="O31" s="211"/>
      <c r="P31" s="211"/>
      <c r="Q31" s="211"/>
      <c r="R31" s="211"/>
      <c r="S31" s="211"/>
      <c r="T31" s="211"/>
      <c r="U31" s="211"/>
      <c r="V31" s="211"/>
      <c r="W31" s="211"/>
      <c r="X31" s="211"/>
      <c r="Y31" s="211"/>
      <c r="Z31" s="211"/>
      <c r="AA31" s="211"/>
    </row>
    <row r="32">
      <c r="A32" s="211"/>
      <c r="B32" s="211"/>
      <c r="C32" s="211"/>
      <c r="D32" s="211"/>
      <c r="E32" s="211"/>
      <c r="F32" s="211"/>
      <c r="G32" s="211"/>
      <c r="H32" s="211"/>
      <c r="I32" s="211"/>
      <c r="J32" s="211"/>
      <c r="K32" s="211"/>
      <c r="L32" s="211"/>
      <c r="M32" s="211"/>
      <c r="N32" s="211"/>
      <c r="O32" s="211"/>
      <c r="P32" s="211"/>
      <c r="Q32" s="211"/>
      <c r="R32" s="211"/>
      <c r="S32" s="211"/>
      <c r="T32" s="211"/>
      <c r="U32" s="211"/>
      <c r="V32" s="211"/>
      <c r="W32" s="211"/>
      <c r="X32" s="211"/>
      <c r="Y32" s="211"/>
      <c r="Z32" s="211"/>
      <c r="AA32" s="211"/>
    </row>
    <row r="33">
      <c r="A33" s="211"/>
      <c r="B33" s="211"/>
      <c r="C33" s="211"/>
      <c r="D33" s="211"/>
      <c r="E33" s="211"/>
      <c r="F33" s="211"/>
      <c r="G33" s="211"/>
      <c r="H33" s="211"/>
      <c r="I33" s="211"/>
      <c r="J33" s="211"/>
      <c r="K33" s="211"/>
      <c r="L33" s="211"/>
      <c r="M33" s="211"/>
      <c r="N33" s="211"/>
      <c r="O33" s="211"/>
      <c r="P33" s="211"/>
      <c r="Q33" s="211"/>
      <c r="R33" s="211"/>
      <c r="S33" s="211"/>
      <c r="T33" s="211"/>
      <c r="U33" s="211"/>
      <c r="V33" s="211"/>
      <c r="W33" s="211"/>
      <c r="X33" s="211"/>
      <c r="Y33" s="211"/>
      <c r="Z33" s="211"/>
      <c r="AA33" s="211"/>
    </row>
    <row r="34">
      <c r="A34" s="211"/>
      <c r="B34" s="211"/>
      <c r="C34" s="211"/>
      <c r="D34" s="211"/>
      <c r="E34" s="211"/>
      <c r="F34" s="211"/>
      <c r="G34" s="211"/>
      <c r="H34" s="211"/>
      <c r="I34" s="211"/>
      <c r="J34" s="211"/>
      <c r="K34" s="211"/>
      <c r="L34" s="211"/>
      <c r="M34" s="211"/>
      <c r="N34" s="211"/>
      <c r="O34" s="211"/>
      <c r="P34" s="211"/>
      <c r="Q34" s="211"/>
      <c r="R34" s="211"/>
      <c r="S34" s="211"/>
      <c r="T34" s="211"/>
      <c r="U34" s="211"/>
      <c r="V34" s="211"/>
      <c r="W34" s="211"/>
      <c r="X34" s="211"/>
      <c r="Y34" s="211"/>
      <c r="Z34" s="211"/>
      <c r="AA34" s="211"/>
    </row>
    <row r="35">
      <c r="A35" s="211"/>
      <c r="B35" s="211"/>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c r="AA35" s="211"/>
    </row>
    <row r="36">
      <c r="A36" s="211"/>
      <c r="B36" s="211"/>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c r="AA36" s="211"/>
    </row>
    <row r="37">
      <c r="A37" s="211"/>
      <c r="B37" s="211"/>
      <c r="C37" s="211"/>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row>
    <row r="38">
      <c r="A38" s="211"/>
      <c r="B38" s="211"/>
      <c r="C38" s="211"/>
      <c r="D38" s="211"/>
      <c r="E38" s="211"/>
      <c r="F38" s="211"/>
      <c r="G38" s="211"/>
      <c r="H38" s="211"/>
      <c r="I38" s="211"/>
      <c r="J38" s="211"/>
      <c r="K38" s="211"/>
      <c r="L38" s="211"/>
      <c r="M38" s="211"/>
      <c r="N38" s="211"/>
      <c r="O38" s="211"/>
      <c r="P38" s="211"/>
      <c r="Q38" s="211"/>
      <c r="R38" s="211"/>
      <c r="S38" s="211"/>
      <c r="T38" s="211"/>
      <c r="U38" s="211"/>
      <c r="V38" s="211"/>
      <c r="W38" s="211"/>
      <c r="X38" s="211"/>
      <c r="Y38" s="211"/>
      <c r="Z38" s="211"/>
      <c r="AA38" s="211"/>
    </row>
    <row r="39">
      <c r="A39" s="211"/>
      <c r="B39" s="211"/>
      <c r="C39" s="211"/>
      <c r="D39" s="211"/>
      <c r="E39" s="211"/>
      <c r="F39" s="211"/>
      <c r="G39" s="211"/>
      <c r="H39" s="211"/>
      <c r="I39" s="211"/>
      <c r="J39" s="211"/>
      <c r="K39" s="211"/>
      <c r="L39" s="211"/>
      <c r="M39" s="211"/>
      <c r="N39" s="211"/>
      <c r="O39" s="211"/>
      <c r="P39" s="211"/>
      <c r="Q39" s="211"/>
      <c r="R39" s="211"/>
      <c r="S39" s="211"/>
      <c r="T39" s="211"/>
      <c r="U39" s="211"/>
      <c r="V39" s="211"/>
      <c r="W39" s="211"/>
      <c r="X39" s="211"/>
      <c r="Y39" s="211"/>
      <c r="Z39" s="211"/>
      <c r="AA39" s="211"/>
    </row>
    <row r="40">
      <c r="A40" s="211"/>
      <c r="B40" s="211"/>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row>
    <row r="41">
      <c r="A41" s="211"/>
      <c r="B41" s="211"/>
      <c r="C41" s="211"/>
      <c r="D41" s="211"/>
      <c r="E41" s="211"/>
      <c r="F41" s="211"/>
      <c r="G41" s="211"/>
      <c r="H41" s="211"/>
      <c r="I41" s="211"/>
      <c r="J41" s="211"/>
      <c r="K41" s="211"/>
      <c r="L41" s="211"/>
      <c r="M41" s="211"/>
      <c r="N41" s="211"/>
      <c r="O41" s="211"/>
      <c r="P41" s="211"/>
      <c r="Q41" s="211"/>
      <c r="R41" s="211"/>
      <c r="S41" s="211"/>
      <c r="T41" s="211"/>
      <c r="U41" s="211"/>
      <c r="V41" s="211"/>
      <c r="W41" s="211"/>
      <c r="X41" s="211"/>
      <c r="Y41" s="211"/>
      <c r="Z41" s="211"/>
      <c r="AA41" s="211"/>
    </row>
    <row r="42">
      <c r="A42" s="211"/>
      <c r="B42" s="211"/>
      <c r="C42" s="211"/>
      <c r="D42" s="211"/>
      <c r="E42" s="211"/>
      <c r="F42" s="211"/>
      <c r="G42" s="211"/>
      <c r="H42" s="211"/>
      <c r="I42" s="211"/>
      <c r="J42" s="211"/>
      <c r="K42" s="211"/>
      <c r="L42" s="211"/>
      <c r="M42" s="211"/>
      <c r="N42" s="211"/>
      <c r="O42" s="211"/>
      <c r="P42" s="211"/>
      <c r="Q42" s="211"/>
      <c r="R42" s="211"/>
      <c r="S42" s="211"/>
      <c r="T42" s="211"/>
      <c r="U42" s="211"/>
      <c r="V42" s="211"/>
      <c r="W42" s="211"/>
      <c r="X42" s="211"/>
      <c r="Y42" s="211"/>
      <c r="Z42" s="211"/>
      <c r="AA42" s="211"/>
    </row>
    <row r="43">
      <c r="A43" s="211"/>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row>
    <row r="44">
      <c r="A44" s="211"/>
      <c r="B44" s="211"/>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row>
    <row r="45">
      <c r="A45" s="211"/>
      <c r="B45" s="211"/>
      <c r="C45" s="211"/>
      <c r="D45" s="211"/>
      <c r="E45" s="211"/>
      <c r="F45" s="211"/>
      <c r="G45" s="211"/>
      <c r="H45" s="211"/>
      <c r="I45" s="211"/>
      <c r="J45" s="211"/>
      <c r="K45" s="211"/>
      <c r="L45" s="211"/>
      <c r="M45" s="211"/>
      <c r="N45" s="211"/>
      <c r="O45" s="211"/>
      <c r="P45" s="211"/>
      <c r="Q45" s="211"/>
      <c r="R45" s="211"/>
      <c r="S45" s="211"/>
      <c r="T45" s="211"/>
      <c r="U45" s="211"/>
      <c r="V45" s="211"/>
      <c r="W45" s="211"/>
      <c r="X45" s="211"/>
      <c r="Y45" s="211"/>
      <c r="Z45" s="211"/>
      <c r="AA45" s="211"/>
    </row>
    <row r="46">
      <c r="A46" s="211"/>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row>
    <row r="47">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row>
    <row r="48">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row>
    <row r="49">
      <c r="A49" s="211"/>
      <c r="B49" s="211"/>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row>
    <row r="50">
      <c r="A50" s="211"/>
      <c r="B50" s="211"/>
      <c r="C50" s="211"/>
      <c r="D50" s="211"/>
      <c r="E50" s="211"/>
      <c r="F50" s="211"/>
      <c r="G50" s="211"/>
      <c r="H50" s="211"/>
      <c r="I50" s="211"/>
      <c r="J50" s="211"/>
      <c r="K50" s="211"/>
      <c r="L50" s="211"/>
      <c r="M50" s="211"/>
      <c r="N50" s="211"/>
      <c r="O50" s="211"/>
      <c r="P50" s="211"/>
      <c r="Q50" s="211"/>
      <c r="R50" s="211"/>
      <c r="S50" s="211"/>
      <c r="T50" s="211"/>
      <c r="U50" s="211"/>
      <c r="V50" s="211"/>
      <c r="W50" s="211"/>
      <c r="X50" s="211"/>
      <c r="Y50" s="211"/>
      <c r="Z50" s="211"/>
      <c r="AA50" s="211"/>
    </row>
    <row r="5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c r="AA51" s="211"/>
    </row>
    <row r="52">
      <c r="A52" s="211"/>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row>
    <row r="53">
      <c r="A53" s="211"/>
      <c r="B53" s="211"/>
      <c r="C53" s="211"/>
      <c r="D53" s="211"/>
      <c r="E53" s="211"/>
      <c r="F53" s="211"/>
      <c r="G53" s="211"/>
      <c r="H53" s="211"/>
      <c r="I53" s="211"/>
      <c r="J53" s="211"/>
      <c r="K53" s="211"/>
      <c r="L53" s="211"/>
      <c r="M53" s="211"/>
      <c r="N53" s="211"/>
      <c r="O53" s="211"/>
      <c r="P53" s="211"/>
      <c r="Q53" s="211"/>
      <c r="R53" s="211"/>
      <c r="S53" s="211"/>
      <c r="T53" s="211"/>
      <c r="U53" s="211"/>
      <c r="V53" s="211"/>
      <c r="W53" s="211"/>
      <c r="X53" s="211"/>
      <c r="Y53" s="211"/>
      <c r="Z53" s="211"/>
      <c r="AA53" s="211"/>
    </row>
    <row r="54">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c r="AA54" s="211"/>
    </row>
    <row r="55">
      <c r="A55" s="211"/>
      <c r="B55" s="211"/>
      <c r="C55" s="211"/>
      <c r="D55" s="211"/>
      <c r="E55" s="211"/>
      <c r="F55" s="211"/>
      <c r="G55" s="211"/>
      <c r="H55" s="211"/>
      <c r="I55" s="211"/>
      <c r="J55" s="211"/>
      <c r="K55" s="211"/>
      <c r="L55" s="211"/>
      <c r="M55" s="211"/>
      <c r="N55" s="211"/>
      <c r="O55" s="211"/>
      <c r="P55" s="211"/>
      <c r="Q55" s="211"/>
      <c r="R55" s="211"/>
      <c r="S55" s="211"/>
      <c r="T55" s="211"/>
      <c r="U55" s="211"/>
      <c r="V55" s="211"/>
      <c r="W55" s="211"/>
      <c r="X55" s="211"/>
      <c r="Y55" s="211"/>
      <c r="Z55" s="211"/>
      <c r="AA55" s="211"/>
    </row>
    <row r="56">
      <c r="A56" s="211"/>
      <c r="B56" s="211"/>
      <c r="C56" s="211"/>
      <c r="D56" s="211"/>
      <c r="E56" s="211"/>
      <c r="F56" s="211"/>
      <c r="G56" s="211"/>
      <c r="H56" s="211"/>
      <c r="I56" s="211"/>
      <c r="J56" s="211"/>
      <c r="K56" s="211"/>
      <c r="L56" s="211"/>
      <c r="M56" s="211"/>
      <c r="N56" s="211"/>
      <c r="O56" s="211"/>
      <c r="P56" s="211"/>
      <c r="Q56" s="211"/>
      <c r="R56" s="211"/>
      <c r="S56" s="211"/>
      <c r="T56" s="211"/>
      <c r="U56" s="211"/>
      <c r="V56" s="211"/>
      <c r="W56" s="211"/>
      <c r="X56" s="211"/>
      <c r="Y56" s="211"/>
      <c r="Z56" s="211"/>
      <c r="AA56" s="211"/>
    </row>
    <row r="57">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c r="AA57" s="211"/>
    </row>
    <row r="58">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c r="AA58" s="211"/>
    </row>
    <row r="59">
      <c r="A59" s="211"/>
      <c r="B59" s="211"/>
      <c r="C59" s="211"/>
      <c r="D59" s="211"/>
      <c r="E59" s="211"/>
      <c r="F59" s="211"/>
      <c r="G59" s="211"/>
      <c r="H59" s="211"/>
      <c r="I59" s="211"/>
      <c r="J59" s="211"/>
      <c r="K59" s="211"/>
      <c r="L59" s="211"/>
      <c r="M59" s="211"/>
      <c r="N59" s="211"/>
      <c r="O59" s="211"/>
      <c r="P59" s="211"/>
      <c r="Q59" s="211"/>
      <c r="R59" s="211"/>
      <c r="S59" s="211"/>
      <c r="T59" s="211"/>
      <c r="U59" s="211"/>
      <c r="V59" s="211"/>
      <c r="W59" s="211"/>
      <c r="X59" s="211"/>
      <c r="Y59" s="211"/>
      <c r="Z59" s="211"/>
      <c r="AA59" s="211"/>
    </row>
    <row r="60">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row>
    <row r="61">
      <c r="A61" s="211"/>
      <c r="B61" s="211"/>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row>
    <row r="62">
      <c r="A62" s="211"/>
      <c r="B62" s="211"/>
      <c r="C62" s="211"/>
      <c r="D62" s="211"/>
      <c r="E62" s="211"/>
      <c r="F62" s="211"/>
      <c r="G62" s="211"/>
      <c r="H62" s="211"/>
      <c r="I62" s="211"/>
      <c r="J62" s="211"/>
      <c r="K62" s="211"/>
      <c r="L62" s="211"/>
      <c r="M62" s="211"/>
      <c r="N62" s="211"/>
      <c r="O62" s="211"/>
      <c r="P62" s="211"/>
      <c r="Q62" s="211"/>
      <c r="R62" s="211"/>
      <c r="S62" s="211"/>
      <c r="T62" s="211"/>
      <c r="U62" s="211"/>
      <c r="V62" s="211"/>
      <c r="W62" s="211"/>
      <c r="X62" s="211"/>
      <c r="Y62" s="211"/>
      <c r="Z62" s="211"/>
      <c r="AA62" s="211"/>
    </row>
    <row r="63">
      <c r="A63" s="211"/>
      <c r="B63" s="211"/>
      <c r="C63" s="211"/>
      <c r="D63" s="211"/>
      <c r="E63" s="211"/>
      <c r="F63" s="211"/>
      <c r="G63" s="211"/>
      <c r="H63" s="211"/>
      <c r="I63" s="211"/>
      <c r="J63" s="211"/>
      <c r="K63" s="211"/>
      <c r="L63" s="211"/>
      <c r="M63" s="211"/>
      <c r="N63" s="211"/>
      <c r="O63" s="211"/>
      <c r="P63" s="211"/>
      <c r="Q63" s="211"/>
      <c r="R63" s="211"/>
      <c r="S63" s="211"/>
      <c r="T63" s="211"/>
      <c r="U63" s="211"/>
      <c r="V63" s="211"/>
      <c r="W63" s="211"/>
      <c r="X63" s="211"/>
      <c r="Y63" s="211"/>
      <c r="Z63" s="211"/>
      <c r="AA63" s="211"/>
    </row>
    <row r="64">
      <c r="A64" s="211"/>
      <c r="B64" s="211"/>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row>
    <row r="65">
      <c r="A65" s="211"/>
      <c r="B65" s="211"/>
      <c r="C65" s="211"/>
      <c r="D65" s="211"/>
      <c r="E65" s="211"/>
      <c r="F65" s="211"/>
      <c r="G65" s="211"/>
      <c r="H65" s="211"/>
      <c r="I65" s="211"/>
      <c r="J65" s="211"/>
      <c r="K65" s="211"/>
      <c r="L65" s="211"/>
      <c r="M65" s="211"/>
      <c r="N65" s="211"/>
      <c r="O65" s="211"/>
      <c r="P65" s="211"/>
      <c r="Q65" s="211"/>
      <c r="R65" s="211"/>
      <c r="S65" s="211"/>
      <c r="T65" s="211"/>
      <c r="U65" s="211"/>
      <c r="V65" s="211"/>
      <c r="W65" s="211"/>
      <c r="X65" s="211"/>
      <c r="Y65" s="211"/>
      <c r="Z65" s="211"/>
      <c r="AA65" s="211"/>
    </row>
    <row r="66">
      <c r="A66" s="211"/>
      <c r="B66" s="211"/>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c r="AA66" s="211"/>
    </row>
    <row r="67">
      <c r="A67" s="211"/>
      <c r="B67" s="211"/>
      <c r="C67" s="211"/>
      <c r="D67" s="211"/>
      <c r="E67" s="211"/>
      <c r="F67" s="211"/>
      <c r="G67" s="211"/>
      <c r="H67" s="211"/>
      <c r="I67" s="211"/>
      <c r="J67" s="211"/>
      <c r="K67" s="211"/>
      <c r="L67" s="211"/>
      <c r="M67" s="211"/>
      <c r="N67" s="211"/>
      <c r="O67" s="211"/>
      <c r="P67" s="211"/>
      <c r="Q67" s="211"/>
      <c r="R67" s="211"/>
      <c r="S67" s="211"/>
      <c r="T67" s="211"/>
      <c r="U67" s="211"/>
      <c r="V67" s="211"/>
      <c r="W67" s="211"/>
      <c r="X67" s="211"/>
      <c r="Y67" s="211"/>
      <c r="Z67" s="211"/>
      <c r="AA67" s="211"/>
    </row>
    <row r="68">
      <c r="A68" s="211"/>
      <c r="B68" s="211"/>
      <c r="C68" s="211"/>
      <c r="D68" s="211"/>
      <c r="E68" s="211"/>
      <c r="F68" s="211"/>
      <c r="G68" s="211"/>
      <c r="H68" s="211"/>
      <c r="I68" s="211"/>
      <c r="J68" s="211"/>
      <c r="K68" s="211"/>
      <c r="L68" s="211"/>
      <c r="M68" s="211"/>
      <c r="N68" s="211"/>
      <c r="O68" s="211"/>
      <c r="P68" s="211"/>
      <c r="Q68" s="211"/>
      <c r="R68" s="211"/>
      <c r="S68" s="211"/>
      <c r="T68" s="211"/>
      <c r="U68" s="211"/>
      <c r="V68" s="211"/>
      <c r="W68" s="211"/>
      <c r="X68" s="211"/>
      <c r="Y68" s="211"/>
      <c r="Z68" s="211"/>
      <c r="AA68" s="211"/>
    </row>
    <row r="69">
      <c r="A69" s="211"/>
      <c r="B69" s="211"/>
      <c r="C69" s="211"/>
      <c r="D69" s="211"/>
      <c r="E69" s="211"/>
      <c r="F69" s="211"/>
      <c r="G69" s="211"/>
      <c r="H69" s="211"/>
      <c r="I69" s="211"/>
      <c r="J69" s="211"/>
      <c r="K69" s="211"/>
      <c r="L69" s="211"/>
      <c r="M69" s="211"/>
      <c r="N69" s="211"/>
      <c r="O69" s="211"/>
      <c r="P69" s="211"/>
      <c r="Q69" s="211"/>
      <c r="R69" s="211"/>
      <c r="S69" s="211"/>
      <c r="T69" s="211"/>
      <c r="U69" s="211"/>
      <c r="V69" s="211"/>
      <c r="W69" s="211"/>
      <c r="X69" s="211"/>
      <c r="Y69" s="211"/>
      <c r="Z69" s="211"/>
      <c r="AA69" s="211"/>
    </row>
    <row r="70">
      <c r="A70" s="211"/>
      <c r="B70" s="211"/>
      <c r="C70" s="211"/>
      <c r="D70" s="211"/>
      <c r="E70" s="211"/>
      <c r="F70" s="211"/>
      <c r="G70" s="211"/>
      <c r="H70" s="211"/>
      <c r="I70" s="211"/>
      <c r="J70" s="211"/>
      <c r="K70" s="211"/>
      <c r="L70" s="211"/>
      <c r="M70" s="211"/>
      <c r="N70" s="211"/>
      <c r="O70" s="211"/>
      <c r="P70" s="211"/>
      <c r="Q70" s="211"/>
      <c r="R70" s="211"/>
      <c r="S70" s="211"/>
      <c r="T70" s="211"/>
      <c r="U70" s="211"/>
      <c r="V70" s="211"/>
      <c r="W70" s="211"/>
      <c r="X70" s="211"/>
      <c r="Y70" s="211"/>
      <c r="Z70" s="211"/>
      <c r="AA70" s="211"/>
    </row>
    <row r="71">
      <c r="A71" s="211"/>
      <c r="B71" s="211"/>
      <c r="C71" s="211"/>
      <c r="D71" s="211"/>
      <c r="E71" s="211"/>
      <c r="F71" s="211"/>
      <c r="G71" s="211"/>
      <c r="H71" s="211"/>
      <c r="I71" s="211"/>
      <c r="J71" s="211"/>
      <c r="K71" s="211"/>
      <c r="L71" s="211"/>
      <c r="M71" s="211"/>
      <c r="N71" s="211"/>
      <c r="O71" s="211"/>
      <c r="P71" s="211"/>
      <c r="Q71" s="211"/>
      <c r="R71" s="211"/>
      <c r="S71" s="211"/>
      <c r="T71" s="211"/>
      <c r="U71" s="211"/>
      <c r="V71" s="211"/>
      <c r="W71" s="211"/>
      <c r="X71" s="211"/>
      <c r="Y71" s="211"/>
      <c r="Z71" s="211"/>
      <c r="AA71" s="211"/>
    </row>
    <row r="72">
      <c r="A72" s="211"/>
      <c r="B72" s="211"/>
      <c r="C72" s="211"/>
      <c r="D72" s="211"/>
      <c r="E72" s="211"/>
      <c r="F72" s="211"/>
      <c r="G72" s="211"/>
      <c r="H72" s="211"/>
      <c r="I72" s="211"/>
      <c r="J72" s="211"/>
      <c r="K72" s="211"/>
      <c r="L72" s="211"/>
      <c r="M72" s="211"/>
      <c r="N72" s="211"/>
      <c r="O72" s="211"/>
      <c r="P72" s="211"/>
      <c r="Q72" s="211"/>
      <c r="R72" s="211"/>
      <c r="S72" s="211"/>
      <c r="T72" s="211"/>
      <c r="U72" s="211"/>
      <c r="V72" s="211"/>
      <c r="W72" s="211"/>
      <c r="X72" s="211"/>
      <c r="Y72" s="211"/>
      <c r="Z72" s="211"/>
      <c r="AA72" s="211"/>
    </row>
    <row r="73">
      <c r="A73" s="211"/>
      <c r="B73" s="211"/>
      <c r="C73" s="211"/>
      <c r="D73" s="211"/>
      <c r="E73" s="211"/>
      <c r="F73" s="211"/>
      <c r="G73" s="211"/>
      <c r="H73" s="211"/>
      <c r="I73" s="211"/>
      <c r="J73" s="211"/>
      <c r="K73" s="211"/>
      <c r="L73" s="211"/>
      <c r="M73" s="211"/>
      <c r="N73" s="211"/>
      <c r="O73" s="211"/>
      <c r="P73" s="211"/>
      <c r="Q73" s="211"/>
      <c r="R73" s="211"/>
      <c r="S73" s="211"/>
      <c r="T73" s="211"/>
      <c r="U73" s="211"/>
      <c r="V73" s="211"/>
      <c r="W73" s="211"/>
      <c r="X73" s="211"/>
      <c r="Y73" s="211"/>
      <c r="Z73" s="211"/>
      <c r="AA73" s="211"/>
    </row>
    <row r="74">
      <c r="A74" s="211"/>
      <c r="B74" s="211"/>
      <c r="C74" s="211"/>
      <c r="D74" s="211"/>
      <c r="E74" s="211"/>
      <c r="F74" s="211"/>
      <c r="G74" s="211"/>
      <c r="H74" s="211"/>
      <c r="I74" s="211"/>
      <c r="J74" s="211"/>
      <c r="K74" s="211"/>
      <c r="L74" s="211"/>
      <c r="M74" s="211"/>
      <c r="N74" s="211"/>
      <c r="O74" s="211"/>
      <c r="P74" s="211"/>
      <c r="Q74" s="211"/>
      <c r="R74" s="211"/>
      <c r="S74" s="211"/>
      <c r="T74" s="211"/>
      <c r="U74" s="211"/>
      <c r="V74" s="211"/>
      <c r="W74" s="211"/>
      <c r="X74" s="211"/>
      <c r="Y74" s="211"/>
      <c r="Z74" s="211"/>
      <c r="AA74" s="211"/>
    </row>
    <row r="75">
      <c r="A75" s="211"/>
      <c r="B75" s="211"/>
      <c r="C75" s="211"/>
      <c r="D75" s="211"/>
      <c r="E75" s="211"/>
      <c r="F75" s="211"/>
      <c r="G75" s="211"/>
      <c r="H75" s="211"/>
      <c r="I75" s="211"/>
      <c r="J75" s="211"/>
      <c r="K75" s="211"/>
      <c r="L75" s="211"/>
      <c r="M75" s="211"/>
      <c r="N75" s="211"/>
      <c r="O75" s="211"/>
      <c r="P75" s="211"/>
      <c r="Q75" s="211"/>
      <c r="R75" s="211"/>
      <c r="S75" s="211"/>
      <c r="T75" s="211"/>
      <c r="U75" s="211"/>
      <c r="V75" s="211"/>
      <c r="W75" s="211"/>
      <c r="X75" s="211"/>
      <c r="Y75" s="211"/>
      <c r="Z75" s="211"/>
      <c r="AA75" s="211"/>
    </row>
    <row r="76">
      <c r="A76" s="211"/>
      <c r="B76" s="211"/>
      <c r="C76" s="211"/>
      <c r="D76" s="211"/>
      <c r="E76" s="211"/>
      <c r="F76" s="211"/>
      <c r="G76" s="211"/>
      <c r="H76" s="211"/>
      <c r="I76" s="211"/>
      <c r="J76" s="211"/>
      <c r="K76" s="211"/>
      <c r="L76" s="211"/>
      <c r="M76" s="211"/>
      <c r="N76" s="211"/>
      <c r="O76" s="211"/>
      <c r="P76" s="211"/>
      <c r="Q76" s="211"/>
      <c r="R76" s="211"/>
      <c r="S76" s="211"/>
      <c r="T76" s="211"/>
      <c r="U76" s="211"/>
      <c r="V76" s="211"/>
      <c r="W76" s="211"/>
      <c r="X76" s="211"/>
      <c r="Y76" s="211"/>
      <c r="Z76" s="211"/>
      <c r="AA76" s="211"/>
    </row>
    <row r="77">
      <c r="A77" s="211"/>
      <c r="B77" s="211"/>
      <c r="C77" s="211"/>
      <c r="D77" s="211"/>
      <c r="E77" s="211"/>
      <c r="F77" s="211"/>
      <c r="G77" s="211"/>
      <c r="H77" s="211"/>
      <c r="I77" s="211"/>
      <c r="J77" s="211"/>
      <c r="K77" s="211"/>
      <c r="L77" s="211"/>
      <c r="M77" s="211"/>
      <c r="N77" s="211"/>
      <c r="O77" s="211"/>
      <c r="P77" s="211"/>
      <c r="Q77" s="211"/>
      <c r="R77" s="211"/>
      <c r="S77" s="211"/>
      <c r="T77" s="211"/>
      <c r="U77" s="211"/>
      <c r="V77" s="211"/>
      <c r="W77" s="211"/>
      <c r="X77" s="211"/>
      <c r="Y77" s="211"/>
      <c r="Z77" s="211"/>
      <c r="AA77" s="211"/>
    </row>
    <row r="78">
      <c r="A78" s="211"/>
      <c r="B78" s="211"/>
      <c r="C78" s="211"/>
      <c r="D78" s="211"/>
      <c r="E78" s="211"/>
      <c r="F78" s="211"/>
      <c r="G78" s="211"/>
      <c r="H78" s="211"/>
      <c r="I78" s="211"/>
      <c r="J78" s="211"/>
      <c r="K78" s="211"/>
      <c r="L78" s="211"/>
      <c r="M78" s="211"/>
      <c r="N78" s="211"/>
      <c r="O78" s="211"/>
      <c r="P78" s="211"/>
      <c r="Q78" s="211"/>
      <c r="R78" s="211"/>
      <c r="S78" s="211"/>
      <c r="T78" s="211"/>
      <c r="U78" s="211"/>
      <c r="V78" s="211"/>
      <c r="W78" s="211"/>
      <c r="X78" s="211"/>
      <c r="Y78" s="211"/>
      <c r="Z78" s="211"/>
      <c r="AA78" s="211"/>
    </row>
    <row r="79">
      <c r="A79" s="211"/>
      <c r="B79" s="211"/>
      <c r="C79" s="211"/>
      <c r="D79" s="211"/>
      <c r="E79" s="211"/>
      <c r="F79" s="211"/>
      <c r="G79" s="211"/>
      <c r="H79" s="211"/>
      <c r="I79" s="211"/>
      <c r="J79" s="211"/>
      <c r="K79" s="211"/>
      <c r="L79" s="211"/>
      <c r="M79" s="211"/>
      <c r="N79" s="211"/>
      <c r="O79" s="211"/>
      <c r="P79" s="211"/>
      <c r="Q79" s="211"/>
      <c r="R79" s="211"/>
      <c r="S79" s="211"/>
      <c r="T79" s="211"/>
      <c r="U79" s="211"/>
      <c r="V79" s="211"/>
      <c r="W79" s="211"/>
      <c r="X79" s="211"/>
      <c r="Y79" s="211"/>
      <c r="Z79" s="211"/>
      <c r="AA79" s="211"/>
    </row>
    <row r="80">
      <c r="A80" s="211"/>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row>
    <row r="81">
      <c r="A81" s="211"/>
      <c r="B81" s="211"/>
      <c r="C81" s="211"/>
      <c r="D81" s="211"/>
      <c r="E81" s="211"/>
      <c r="F81" s="211"/>
      <c r="G81" s="211"/>
      <c r="H81" s="211"/>
      <c r="I81" s="211"/>
      <c r="J81" s="211"/>
      <c r="K81" s="211"/>
      <c r="L81" s="211"/>
      <c r="M81" s="211"/>
      <c r="N81" s="211"/>
      <c r="O81" s="211"/>
      <c r="P81" s="211"/>
      <c r="Q81" s="211"/>
      <c r="R81" s="211"/>
      <c r="S81" s="211"/>
      <c r="T81" s="211"/>
      <c r="U81" s="211"/>
      <c r="V81" s="211"/>
      <c r="W81" s="211"/>
      <c r="X81" s="211"/>
      <c r="Y81" s="211"/>
      <c r="Z81" s="211"/>
      <c r="AA81" s="211"/>
    </row>
    <row r="82">
      <c r="A82" s="211"/>
      <c r="B82" s="211"/>
      <c r="C82" s="211"/>
      <c r="D82" s="211"/>
      <c r="E82" s="211"/>
      <c r="F82" s="211"/>
      <c r="G82" s="211"/>
      <c r="H82" s="211"/>
      <c r="I82" s="211"/>
      <c r="J82" s="211"/>
      <c r="K82" s="211"/>
      <c r="L82" s="211"/>
      <c r="M82" s="211"/>
      <c r="N82" s="211"/>
      <c r="O82" s="211"/>
      <c r="P82" s="211"/>
      <c r="Q82" s="211"/>
      <c r="R82" s="211"/>
      <c r="S82" s="211"/>
      <c r="T82" s="211"/>
      <c r="U82" s="211"/>
      <c r="V82" s="211"/>
      <c r="W82" s="211"/>
      <c r="X82" s="211"/>
      <c r="Y82" s="211"/>
      <c r="Z82" s="211"/>
      <c r="AA82" s="211"/>
    </row>
    <row r="83">
      <c r="A83" s="211"/>
      <c r="B83" s="211"/>
      <c r="C83" s="211"/>
      <c r="D83" s="211"/>
      <c r="E83" s="211"/>
      <c r="F83" s="211"/>
      <c r="G83" s="211"/>
      <c r="H83" s="211"/>
      <c r="I83" s="211"/>
      <c r="J83" s="211"/>
      <c r="K83" s="211"/>
      <c r="L83" s="211"/>
      <c r="M83" s="211"/>
      <c r="N83" s="211"/>
      <c r="O83" s="211"/>
      <c r="P83" s="211"/>
      <c r="Q83" s="211"/>
      <c r="R83" s="211"/>
      <c r="S83" s="211"/>
      <c r="T83" s="211"/>
      <c r="U83" s="211"/>
      <c r="V83" s="211"/>
      <c r="W83" s="211"/>
      <c r="X83" s="211"/>
      <c r="Y83" s="211"/>
      <c r="Z83" s="211"/>
      <c r="AA83" s="211"/>
    </row>
    <row r="84">
      <c r="A84" s="211"/>
      <c r="B84" s="211"/>
      <c r="C84" s="211"/>
      <c r="D84" s="211"/>
      <c r="E84" s="211"/>
      <c r="F84" s="211"/>
      <c r="G84" s="211"/>
      <c r="H84" s="211"/>
      <c r="I84" s="211"/>
      <c r="J84" s="211"/>
      <c r="K84" s="211"/>
      <c r="L84" s="211"/>
      <c r="M84" s="211"/>
      <c r="N84" s="211"/>
      <c r="O84" s="211"/>
      <c r="P84" s="211"/>
      <c r="Q84" s="211"/>
      <c r="R84" s="211"/>
      <c r="S84" s="211"/>
      <c r="T84" s="211"/>
      <c r="U84" s="211"/>
      <c r="V84" s="211"/>
      <c r="W84" s="211"/>
      <c r="X84" s="211"/>
      <c r="Y84" s="211"/>
      <c r="Z84" s="211"/>
      <c r="AA84" s="211"/>
    </row>
    <row r="85">
      <c r="A85" s="211"/>
      <c r="B85" s="211"/>
      <c r="C85" s="211"/>
      <c r="D85" s="211"/>
      <c r="E85" s="211"/>
      <c r="F85" s="211"/>
      <c r="G85" s="211"/>
      <c r="H85" s="211"/>
      <c r="I85" s="211"/>
      <c r="J85" s="211"/>
      <c r="K85" s="211"/>
      <c r="L85" s="211"/>
      <c r="M85" s="211"/>
      <c r="N85" s="211"/>
      <c r="O85" s="211"/>
      <c r="P85" s="211"/>
      <c r="Q85" s="211"/>
      <c r="R85" s="211"/>
      <c r="S85" s="211"/>
      <c r="T85" s="211"/>
      <c r="U85" s="211"/>
      <c r="V85" s="211"/>
      <c r="W85" s="211"/>
      <c r="X85" s="211"/>
      <c r="Y85" s="211"/>
      <c r="Z85" s="211"/>
      <c r="AA85" s="211"/>
    </row>
    <row r="86">
      <c r="A86" s="211"/>
      <c r="B86" s="211"/>
      <c r="C86" s="211"/>
      <c r="D86" s="211"/>
      <c r="E86" s="211"/>
      <c r="F86" s="211"/>
      <c r="G86" s="211"/>
      <c r="H86" s="211"/>
      <c r="I86" s="211"/>
      <c r="J86" s="211"/>
      <c r="K86" s="211"/>
      <c r="L86" s="211"/>
      <c r="M86" s="211"/>
      <c r="N86" s="211"/>
      <c r="O86" s="211"/>
      <c r="P86" s="211"/>
      <c r="Q86" s="211"/>
      <c r="R86" s="211"/>
      <c r="S86" s="211"/>
      <c r="T86" s="211"/>
      <c r="U86" s="211"/>
      <c r="V86" s="211"/>
      <c r="W86" s="211"/>
      <c r="X86" s="211"/>
      <c r="Y86" s="211"/>
      <c r="Z86" s="211"/>
      <c r="AA86" s="211"/>
    </row>
    <row r="87">
      <c r="A87" s="211"/>
      <c r="B87" s="211"/>
      <c r="C87" s="211"/>
      <c r="D87" s="211"/>
      <c r="E87" s="211"/>
      <c r="F87" s="211"/>
      <c r="G87" s="211"/>
      <c r="H87" s="211"/>
      <c r="I87" s="211"/>
      <c r="J87" s="211"/>
      <c r="K87" s="211"/>
      <c r="L87" s="211"/>
      <c r="M87" s="211"/>
      <c r="N87" s="211"/>
      <c r="O87" s="211"/>
      <c r="P87" s="211"/>
      <c r="Q87" s="211"/>
      <c r="R87" s="211"/>
      <c r="S87" s="211"/>
      <c r="T87" s="211"/>
      <c r="U87" s="211"/>
      <c r="V87" s="211"/>
      <c r="W87" s="211"/>
      <c r="X87" s="211"/>
      <c r="Y87" s="211"/>
      <c r="Z87" s="211"/>
      <c r="AA87" s="211"/>
    </row>
    <row r="88">
      <c r="A88" s="211"/>
      <c r="B88" s="211"/>
      <c r="C88" s="211"/>
      <c r="D88" s="211"/>
      <c r="E88" s="211"/>
      <c r="F88" s="211"/>
      <c r="G88" s="211"/>
      <c r="H88" s="211"/>
      <c r="I88" s="211"/>
      <c r="J88" s="211"/>
      <c r="K88" s="211"/>
      <c r="L88" s="211"/>
      <c r="M88" s="211"/>
      <c r="N88" s="211"/>
      <c r="O88" s="211"/>
      <c r="P88" s="211"/>
      <c r="Q88" s="211"/>
      <c r="R88" s="211"/>
      <c r="S88" s="211"/>
      <c r="T88" s="211"/>
      <c r="U88" s="211"/>
      <c r="V88" s="211"/>
      <c r="W88" s="211"/>
      <c r="X88" s="211"/>
      <c r="Y88" s="211"/>
      <c r="Z88" s="211"/>
      <c r="AA88" s="211"/>
    </row>
    <row r="89">
      <c r="A89" s="211"/>
      <c r="B89" s="211"/>
      <c r="C89" s="211"/>
      <c r="D89" s="211"/>
      <c r="E89" s="211"/>
      <c r="F89" s="211"/>
      <c r="G89" s="211"/>
      <c r="H89" s="211"/>
      <c r="I89" s="211"/>
      <c r="J89" s="211"/>
      <c r="K89" s="211"/>
      <c r="L89" s="211"/>
      <c r="M89" s="211"/>
      <c r="N89" s="211"/>
      <c r="O89" s="211"/>
      <c r="P89" s="211"/>
      <c r="Q89" s="211"/>
      <c r="R89" s="211"/>
      <c r="S89" s="211"/>
      <c r="T89" s="211"/>
      <c r="U89" s="211"/>
      <c r="V89" s="211"/>
      <c r="W89" s="211"/>
      <c r="X89" s="211"/>
      <c r="Y89" s="211"/>
      <c r="Z89" s="211"/>
      <c r="AA89" s="211"/>
    </row>
    <row r="90">
      <c r="A90" s="211"/>
      <c r="B90" s="211"/>
      <c r="C90" s="211"/>
      <c r="D90" s="211"/>
      <c r="E90" s="211"/>
      <c r="F90" s="211"/>
      <c r="G90" s="211"/>
      <c r="H90" s="211"/>
      <c r="I90" s="211"/>
      <c r="J90" s="211"/>
      <c r="K90" s="211"/>
      <c r="L90" s="211"/>
      <c r="M90" s="211"/>
      <c r="N90" s="211"/>
      <c r="O90" s="211"/>
      <c r="P90" s="211"/>
      <c r="Q90" s="211"/>
      <c r="R90" s="211"/>
      <c r="S90" s="211"/>
      <c r="T90" s="211"/>
      <c r="U90" s="211"/>
      <c r="V90" s="211"/>
      <c r="W90" s="211"/>
      <c r="X90" s="211"/>
      <c r="Y90" s="211"/>
      <c r="Z90" s="211"/>
      <c r="AA90" s="211"/>
    </row>
    <row r="91">
      <c r="A91" s="211"/>
      <c r="B91" s="211"/>
      <c r="C91" s="211"/>
      <c r="D91" s="211"/>
      <c r="E91" s="211"/>
      <c r="F91" s="211"/>
      <c r="G91" s="211"/>
      <c r="H91" s="211"/>
      <c r="I91" s="211"/>
      <c r="J91" s="211"/>
      <c r="K91" s="211"/>
      <c r="L91" s="211"/>
      <c r="M91" s="211"/>
      <c r="N91" s="211"/>
      <c r="O91" s="211"/>
      <c r="P91" s="211"/>
      <c r="Q91" s="211"/>
      <c r="R91" s="211"/>
      <c r="S91" s="211"/>
      <c r="T91" s="211"/>
      <c r="U91" s="211"/>
      <c r="V91" s="211"/>
      <c r="W91" s="211"/>
      <c r="X91" s="211"/>
      <c r="Y91" s="211"/>
      <c r="Z91" s="211"/>
      <c r="AA91" s="211"/>
    </row>
    <row r="92">
      <c r="A92" s="211"/>
      <c r="B92" s="211"/>
      <c r="C92" s="211"/>
      <c r="D92" s="211"/>
      <c r="E92" s="211"/>
      <c r="F92" s="211"/>
      <c r="G92" s="211"/>
      <c r="H92" s="211"/>
      <c r="I92" s="211"/>
      <c r="J92" s="211"/>
      <c r="K92" s="211"/>
      <c r="L92" s="211"/>
      <c r="M92" s="211"/>
      <c r="N92" s="211"/>
      <c r="O92" s="211"/>
      <c r="P92" s="211"/>
      <c r="Q92" s="211"/>
      <c r="R92" s="211"/>
      <c r="S92" s="211"/>
      <c r="T92" s="211"/>
      <c r="U92" s="211"/>
      <c r="V92" s="211"/>
      <c r="W92" s="211"/>
      <c r="X92" s="211"/>
      <c r="Y92" s="211"/>
      <c r="Z92" s="211"/>
      <c r="AA92" s="211"/>
    </row>
    <row r="93">
      <c r="A93" s="211"/>
      <c r="B93" s="211"/>
      <c r="C93" s="211"/>
      <c r="D93" s="211"/>
      <c r="E93" s="211"/>
      <c r="F93" s="211"/>
      <c r="G93" s="211"/>
      <c r="H93" s="211"/>
      <c r="I93" s="211"/>
      <c r="J93" s="211"/>
      <c r="K93" s="211"/>
      <c r="L93" s="211"/>
      <c r="M93" s="211"/>
      <c r="N93" s="211"/>
      <c r="O93" s="211"/>
      <c r="P93" s="211"/>
      <c r="Q93" s="211"/>
      <c r="R93" s="211"/>
      <c r="S93" s="211"/>
      <c r="T93" s="211"/>
      <c r="U93" s="211"/>
      <c r="V93" s="211"/>
      <c r="W93" s="211"/>
      <c r="X93" s="211"/>
      <c r="Y93" s="211"/>
      <c r="Z93" s="211"/>
      <c r="AA93" s="211"/>
    </row>
    <row r="94">
      <c r="A94" s="211"/>
      <c r="B94" s="211"/>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1"/>
      <c r="AA94" s="211"/>
    </row>
    <row r="95">
      <c r="A95" s="211"/>
      <c r="B95" s="211"/>
      <c r="C95" s="211"/>
      <c r="D95" s="211"/>
      <c r="E95" s="211"/>
      <c r="F95" s="211"/>
      <c r="G95" s="211"/>
      <c r="H95" s="211"/>
      <c r="I95" s="211"/>
      <c r="J95" s="211"/>
      <c r="K95" s="211"/>
      <c r="L95" s="211"/>
      <c r="M95" s="211"/>
      <c r="N95" s="211"/>
      <c r="O95" s="211"/>
      <c r="P95" s="211"/>
      <c r="Q95" s="211"/>
      <c r="R95" s="211"/>
      <c r="S95" s="211"/>
      <c r="T95" s="211"/>
      <c r="U95" s="211"/>
      <c r="V95" s="211"/>
      <c r="W95" s="211"/>
      <c r="X95" s="211"/>
      <c r="Y95" s="211"/>
      <c r="Z95" s="211"/>
      <c r="AA95" s="211"/>
    </row>
    <row r="96">
      <c r="A96" s="211"/>
      <c r="B96" s="211"/>
      <c r="C96" s="211"/>
      <c r="D96" s="211"/>
      <c r="E96" s="211"/>
      <c r="F96" s="211"/>
      <c r="G96" s="211"/>
      <c r="H96" s="211"/>
      <c r="I96" s="211"/>
      <c r="J96" s="211"/>
      <c r="K96" s="211"/>
      <c r="L96" s="211"/>
      <c r="M96" s="211"/>
      <c r="N96" s="211"/>
      <c r="O96" s="211"/>
      <c r="P96" s="211"/>
      <c r="Q96" s="211"/>
      <c r="R96" s="211"/>
      <c r="S96" s="211"/>
      <c r="T96" s="211"/>
      <c r="U96" s="211"/>
      <c r="V96" s="211"/>
      <c r="W96" s="211"/>
      <c r="X96" s="211"/>
      <c r="Y96" s="211"/>
      <c r="Z96" s="211"/>
      <c r="AA96" s="211"/>
    </row>
    <row r="97">
      <c r="A97" s="211"/>
      <c r="B97" s="211"/>
      <c r="C97" s="211"/>
      <c r="D97" s="211"/>
      <c r="E97" s="211"/>
      <c r="F97" s="211"/>
      <c r="G97" s="211"/>
      <c r="H97" s="211"/>
      <c r="I97" s="211"/>
      <c r="J97" s="211"/>
      <c r="K97" s="211"/>
      <c r="L97" s="211"/>
      <c r="M97" s="211"/>
      <c r="N97" s="211"/>
      <c r="O97" s="211"/>
      <c r="P97" s="211"/>
      <c r="Q97" s="211"/>
      <c r="R97" s="211"/>
      <c r="S97" s="211"/>
      <c r="T97" s="211"/>
      <c r="U97" s="211"/>
      <c r="V97" s="211"/>
      <c r="W97" s="211"/>
      <c r="X97" s="211"/>
      <c r="Y97" s="211"/>
      <c r="Z97" s="211"/>
      <c r="AA97" s="211"/>
    </row>
    <row r="98">
      <c r="A98" s="211"/>
      <c r="B98" s="211"/>
      <c r="C98" s="211"/>
      <c r="D98" s="211"/>
      <c r="E98" s="211"/>
      <c r="F98" s="211"/>
      <c r="G98" s="211"/>
      <c r="H98" s="211"/>
      <c r="I98" s="211"/>
      <c r="J98" s="211"/>
      <c r="K98" s="211"/>
      <c r="L98" s="211"/>
      <c r="M98" s="211"/>
      <c r="N98" s="211"/>
      <c r="O98" s="211"/>
      <c r="P98" s="211"/>
      <c r="Q98" s="211"/>
      <c r="R98" s="211"/>
      <c r="S98" s="211"/>
      <c r="T98" s="211"/>
      <c r="U98" s="211"/>
      <c r="V98" s="211"/>
      <c r="W98" s="211"/>
      <c r="X98" s="211"/>
      <c r="Y98" s="211"/>
      <c r="Z98" s="211"/>
      <c r="AA98" s="211"/>
    </row>
    <row r="99">
      <c r="A99" s="211"/>
      <c r="B99" s="211"/>
      <c r="C99" s="211"/>
      <c r="D99" s="211"/>
      <c r="E99" s="211"/>
      <c r="F99" s="211"/>
      <c r="G99" s="211"/>
      <c r="H99" s="211"/>
      <c r="I99" s="211"/>
      <c r="J99" s="211"/>
      <c r="K99" s="211"/>
      <c r="L99" s="211"/>
      <c r="M99" s="211"/>
      <c r="N99" s="211"/>
      <c r="O99" s="211"/>
      <c r="P99" s="211"/>
      <c r="Q99" s="211"/>
      <c r="R99" s="211"/>
      <c r="S99" s="211"/>
      <c r="T99" s="211"/>
      <c r="U99" s="211"/>
      <c r="V99" s="211"/>
      <c r="W99" s="211"/>
      <c r="X99" s="211"/>
      <c r="Y99" s="211"/>
      <c r="Z99" s="211"/>
      <c r="AA99" s="211"/>
    </row>
    <row r="100">
      <c r="A100" s="211"/>
      <c r="B100" s="211"/>
      <c r="C100" s="211"/>
      <c r="D100" s="211"/>
      <c r="E100" s="211"/>
      <c r="F100" s="211"/>
      <c r="G100" s="211"/>
      <c r="H100" s="211"/>
      <c r="I100" s="211"/>
      <c r="J100" s="211"/>
      <c r="K100" s="211"/>
      <c r="L100" s="211"/>
      <c r="M100" s="211"/>
      <c r="N100" s="211"/>
      <c r="O100" s="211"/>
      <c r="P100" s="211"/>
      <c r="Q100" s="211"/>
      <c r="R100" s="211"/>
      <c r="S100" s="211"/>
      <c r="T100" s="211"/>
      <c r="U100" s="211"/>
      <c r="V100" s="211"/>
      <c r="W100" s="211"/>
      <c r="X100" s="211"/>
      <c r="Y100" s="211"/>
      <c r="Z100" s="211"/>
      <c r="AA100" s="211"/>
    </row>
    <row r="101">
      <c r="A101" s="211"/>
      <c r="B101" s="211"/>
      <c r="C101" s="211"/>
      <c r="D101" s="211"/>
      <c r="E101" s="211"/>
      <c r="F101" s="211"/>
      <c r="G101" s="211"/>
      <c r="H101" s="211"/>
      <c r="I101" s="211"/>
      <c r="J101" s="211"/>
      <c r="K101" s="211"/>
      <c r="L101" s="211"/>
      <c r="M101" s="211"/>
      <c r="N101" s="211"/>
      <c r="O101" s="211"/>
      <c r="P101" s="211"/>
      <c r="Q101" s="211"/>
      <c r="R101" s="211"/>
      <c r="S101" s="211"/>
      <c r="T101" s="211"/>
      <c r="U101" s="211"/>
      <c r="V101" s="211"/>
      <c r="W101" s="211"/>
      <c r="X101" s="211"/>
      <c r="Y101" s="211"/>
      <c r="Z101" s="211"/>
      <c r="AA101" s="211"/>
    </row>
    <row r="102">
      <c r="A102" s="211"/>
      <c r="B102" s="211"/>
      <c r="C102" s="211"/>
      <c r="D102" s="211"/>
      <c r="E102" s="211"/>
      <c r="F102" s="211"/>
      <c r="G102" s="211"/>
      <c r="H102" s="211"/>
      <c r="I102" s="211"/>
      <c r="J102" s="211"/>
      <c r="K102" s="211"/>
      <c r="L102" s="211"/>
      <c r="M102" s="211"/>
      <c r="N102" s="211"/>
      <c r="O102" s="211"/>
      <c r="P102" s="211"/>
      <c r="Q102" s="211"/>
      <c r="R102" s="211"/>
      <c r="S102" s="211"/>
      <c r="T102" s="211"/>
      <c r="U102" s="211"/>
      <c r="V102" s="211"/>
      <c r="W102" s="211"/>
      <c r="X102" s="211"/>
      <c r="Y102" s="211"/>
      <c r="Z102" s="211"/>
      <c r="AA102" s="211"/>
    </row>
    <row r="103">
      <c r="A103" s="211"/>
      <c r="B103" s="211"/>
      <c r="C103" s="211"/>
      <c r="D103" s="211"/>
      <c r="E103" s="211"/>
      <c r="F103" s="211"/>
      <c r="G103" s="211"/>
      <c r="H103" s="211"/>
      <c r="I103" s="211"/>
      <c r="J103" s="211"/>
      <c r="K103" s="211"/>
      <c r="L103" s="211"/>
      <c r="M103" s="211"/>
      <c r="N103" s="211"/>
      <c r="O103" s="211"/>
      <c r="P103" s="211"/>
      <c r="Q103" s="211"/>
      <c r="R103" s="211"/>
      <c r="S103" s="211"/>
      <c r="T103" s="211"/>
      <c r="U103" s="211"/>
      <c r="V103" s="211"/>
      <c r="W103" s="211"/>
      <c r="X103" s="211"/>
      <c r="Y103" s="211"/>
      <c r="Z103" s="211"/>
      <c r="AA103" s="211"/>
    </row>
    <row r="104">
      <c r="A104" s="211"/>
      <c r="B104" s="211"/>
      <c r="C104" s="211"/>
      <c r="D104" s="211"/>
      <c r="E104" s="211"/>
      <c r="F104" s="211"/>
      <c r="G104" s="211"/>
      <c r="H104" s="211"/>
      <c r="I104" s="211"/>
      <c r="J104" s="211"/>
      <c r="K104" s="211"/>
      <c r="L104" s="211"/>
      <c r="M104" s="211"/>
      <c r="N104" s="211"/>
      <c r="O104" s="211"/>
      <c r="P104" s="211"/>
      <c r="Q104" s="211"/>
      <c r="R104" s="211"/>
      <c r="S104" s="211"/>
      <c r="T104" s="211"/>
      <c r="U104" s="211"/>
      <c r="V104" s="211"/>
      <c r="W104" s="211"/>
      <c r="X104" s="211"/>
      <c r="Y104" s="211"/>
      <c r="Z104" s="211"/>
      <c r="AA104" s="211"/>
    </row>
    <row r="105">
      <c r="A105" s="211"/>
      <c r="B105" s="211"/>
      <c r="C105" s="211"/>
      <c r="D105" s="211"/>
      <c r="E105" s="211"/>
      <c r="F105" s="211"/>
      <c r="G105" s="211"/>
      <c r="H105" s="211"/>
      <c r="I105" s="211"/>
      <c r="J105" s="211"/>
      <c r="K105" s="211"/>
      <c r="L105" s="211"/>
      <c r="M105" s="211"/>
      <c r="N105" s="211"/>
      <c r="O105" s="211"/>
      <c r="P105" s="211"/>
      <c r="Q105" s="211"/>
      <c r="R105" s="211"/>
      <c r="S105" s="211"/>
      <c r="T105" s="211"/>
      <c r="U105" s="211"/>
      <c r="V105" s="211"/>
      <c r="W105" s="211"/>
      <c r="X105" s="211"/>
      <c r="Y105" s="211"/>
      <c r="Z105" s="211"/>
      <c r="AA105" s="211"/>
    </row>
    <row r="106">
      <c r="A106" s="211"/>
      <c r="B106" s="211"/>
      <c r="C106" s="211"/>
      <c r="D106" s="211"/>
      <c r="E106" s="211"/>
      <c r="F106" s="211"/>
      <c r="G106" s="211"/>
      <c r="H106" s="211"/>
      <c r="I106" s="211"/>
      <c r="J106" s="211"/>
      <c r="K106" s="211"/>
      <c r="L106" s="211"/>
      <c r="M106" s="211"/>
      <c r="N106" s="211"/>
      <c r="O106" s="211"/>
      <c r="P106" s="211"/>
      <c r="Q106" s="211"/>
      <c r="R106" s="211"/>
      <c r="S106" s="211"/>
      <c r="T106" s="211"/>
      <c r="U106" s="211"/>
      <c r="V106" s="211"/>
      <c r="W106" s="211"/>
      <c r="X106" s="211"/>
      <c r="Y106" s="211"/>
      <c r="Z106" s="211"/>
      <c r="AA106" s="211"/>
    </row>
    <row r="107">
      <c r="A107" s="211"/>
      <c r="B107" s="211"/>
      <c r="C107" s="211"/>
      <c r="D107" s="211"/>
      <c r="E107" s="211"/>
      <c r="F107" s="211"/>
      <c r="G107" s="211"/>
      <c r="H107" s="211"/>
      <c r="I107" s="211"/>
      <c r="J107" s="211"/>
      <c r="K107" s="211"/>
      <c r="L107" s="211"/>
      <c r="M107" s="211"/>
      <c r="N107" s="211"/>
      <c r="O107" s="211"/>
      <c r="P107" s="211"/>
      <c r="Q107" s="211"/>
      <c r="R107" s="211"/>
      <c r="S107" s="211"/>
      <c r="T107" s="211"/>
      <c r="U107" s="211"/>
      <c r="V107" s="211"/>
      <c r="W107" s="211"/>
      <c r="X107" s="211"/>
      <c r="Y107" s="211"/>
      <c r="Z107" s="211"/>
      <c r="AA107" s="211"/>
    </row>
    <row r="108">
      <c r="A108" s="211"/>
      <c r="B108" s="211"/>
      <c r="C108" s="211"/>
      <c r="D108" s="211"/>
      <c r="E108" s="211"/>
      <c r="F108" s="211"/>
      <c r="G108" s="211"/>
      <c r="H108" s="211"/>
      <c r="I108" s="211"/>
      <c r="J108" s="211"/>
      <c r="K108" s="211"/>
      <c r="L108" s="211"/>
      <c r="M108" s="211"/>
      <c r="N108" s="211"/>
      <c r="O108" s="211"/>
      <c r="P108" s="211"/>
      <c r="Q108" s="211"/>
      <c r="R108" s="211"/>
      <c r="S108" s="211"/>
      <c r="T108" s="211"/>
      <c r="U108" s="211"/>
      <c r="V108" s="211"/>
      <c r="W108" s="211"/>
      <c r="X108" s="211"/>
      <c r="Y108" s="211"/>
      <c r="Z108" s="211"/>
      <c r="AA108" s="211"/>
    </row>
    <row r="109">
      <c r="A109" s="211"/>
      <c r="B109" s="211"/>
      <c r="C109" s="211"/>
      <c r="D109" s="211"/>
      <c r="E109" s="211"/>
      <c r="F109" s="211"/>
      <c r="G109" s="211"/>
      <c r="H109" s="211"/>
      <c r="I109" s="211"/>
      <c r="J109" s="211"/>
      <c r="K109" s="211"/>
      <c r="L109" s="211"/>
      <c r="M109" s="211"/>
      <c r="N109" s="211"/>
      <c r="O109" s="211"/>
      <c r="P109" s="211"/>
      <c r="Q109" s="211"/>
      <c r="R109" s="211"/>
      <c r="S109" s="211"/>
      <c r="T109" s="211"/>
      <c r="U109" s="211"/>
      <c r="V109" s="211"/>
      <c r="W109" s="211"/>
      <c r="X109" s="211"/>
      <c r="Y109" s="211"/>
      <c r="Z109" s="211"/>
      <c r="AA109" s="211"/>
    </row>
    <row r="110">
      <c r="A110" s="211"/>
      <c r="B110" s="211"/>
      <c r="C110" s="211"/>
      <c r="D110" s="211"/>
      <c r="E110" s="211"/>
      <c r="F110" s="211"/>
      <c r="G110" s="211"/>
      <c r="H110" s="211"/>
      <c r="I110" s="211"/>
      <c r="J110" s="211"/>
      <c r="K110" s="211"/>
      <c r="L110" s="211"/>
      <c r="M110" s="211"/>
      <c r="N110" s="211"/>
      <c r="O110" s="211"/>
      <c r="P110" s="211"/>
      <c r="Q110" s="211"/>
      <c r="R110" s="211"/>
      <c r="S110" s="211"/>
      <c r="T110" s="211"/>
      <c r="U110" s="211"/>
      <c r="V110" s="211"/>
      <c r="W110" s="211"/>
      <c r="X110" s="211"/>
      <c r="Y110" s="211"/>
      <c r="Z110" s="211"/>
      <c r="AA110" s="211"/>
    </row>
    <row r="111">
      <c r="A111" s="211"/>
      <c r="B111" s="211"/>
      <c r="C111" s="211"/>
      <c r="D111" s="211"/>
      <c r="E111" s="211"/>
      <c r="F111" s="211"/>
      <c r="G111" s="211"/>
      <c r="H111" s="211"/>
      <c r="I111" s="211"/>
      <c r="J111" s="211"/>
      <c r="K111" s="211"/>
      <c r="L111" s="211"/>
      <c r="M111" s="211"/>
      <c r="N111" s="211"/>
      <c r="O111" s="211"/>
      <c r="P111" s="211"/>
      <c r="Q111" s="211"/>
      <c r="R111" s="211"/>
      <c r="S111" s="211"/>
      <c r="T111" s="211"/>
      <c r="U111" s="211"/>
      <c r="V111" s="211"/>
      <c r="W111" s="211"/>
      <c r="X111" s="211"/>
      <c r="Y111" s="211"/>
      <c r="Z111" s="211"/>
      <c r="AA111" s="211"/>
    </row>
    <row r="112">
      <c r="A112" s="211"/>
      <c r="B112" s="211"/>
      <c r="C112" s="211"/>
      <c r="D112" s="211"/>
      <c r="E112" s="211"/>
      <c r="F112" s="211"/>
      <c r="G112" s="211"/>
      <c r="H112" s="211"/>
      <c r="I112" s="211"/>
      <c r="J112" s="211"/>
      <c r="K112" s="211"/>
      <c r="L112" s="211"/>
      <c r="M112" s="211"/>
      <c r="N112" s="211"/>
      <c r="O112" s="211"/>
      <c r="P112" s="211"/>
      <c r="Q112" s="211"/>
      <c r="R112" s="211"/>
      <c r="S112" s="211"/>
      <c r="T112" s="211"/>
      <c r="U112" s="211"/>
      <c r="V112" s="211"/>
      <c r="W112" s="211"/>
      <c r="X112" s="211"/>
      <c r="Y112" s="211"/>
      <c r="Z112" s="211"/>
      <c r="AA112" s="211"/>
    </row>
    <row r="113">
      <c r="A113" s="211"/>
      <c r="B113" s="211"/>
      <c r="C113" s="211"/>
      <c r="D113" s="211"/>
      <c r="E113" s="211"/>
      <c r="F113" s="211"/>
      <c r="G113" s="211"/>
      <c r="H113" s="211"/>
      <c r="I113" s="211"/>
      <c r="J113" s="211"/>
      <c r="K113" s="211"/>
      <c r="L113" s="211"/>
      <c r="M113" s="211"/>
      <c r="N113" s="211"/>
      <c r="O113" s="211"/>
      <c r="P113" s="211"/>
      <c r="Q113" s="211"/>
      <c r="R113" s="211"/>
      <c r="S113" s="211"/>
      <c r="T113" s="211"/>
      <c r="U113" s="211"/>
      <c r="V113" s="211"/>
      <c r="W113" s="211"/>
      <c r="X113" s="211"/>
      <c r="Y113" s="211"/>
      <c r="Z113" s="211"/>
      <c r="AA113" s="211"/>
    </row>
    <row r="114">
      <c r="A114" s="211"/>
      <c r="B114" s="211"/>
      <c r="C114" s="211"/>
      <c r="D114" s="211"/>
      <c r="E114" s="211"/>
      <c r="F114" s="211"/>
      <c r="G114" s="211"/>
      <c r="H114" s="211"/>
      <c r="I114" s="211"/>
      <c r="J114" s="211"/>
      <c r="K114" s="211"/>
      <c r="L114" s="211"/>
      <c r="M114" s="211"/>
      <c r="N114" s="211"/>
      <c r="O114" s="211"/>
      <c r="P114" s="211"/>
      <c r="Q114" s="211"/>
      <c r="R114" s="211"/>
      <c r="S114" s="211"/>
      <c r="T114" s="211"/>
      <c r="U114" s="211"/>
      <c r="V114" s="211"/>
      <c r="W114" s="211"/>
      <c r="X114" s="211"/>
      <c r="Y114" s="211"/>
      <c r="Z114" s="211"/>
      <c r="AA114" s="211"/>
    </row>
    <row r="115">
      <c r="A115" s="211"/>
      <c r="B115" s="211"/>
      <c r="C115" s="211"/>
      <c r="D115" s="211"/>
      <c r="E115" s="211"/>
      <c r="F115" s="211"/>
      <c r="G115" s="211"/>
      <c r="H115" s="211"/>
      <c r="I115" s="211"/>
      <c r="J115" s="211"/>
      <c r="K115" s="211"/>
      <c r="L115" s="211"/>
      <c r="M115" s="211"/>
      <c r="N115" s="211"/>
      <c r="O115" s="211"/>
      <c r="P115" s="211"/>
      <c r="Q115" s="211"/>
      <c r="R115" s="211"/>
      <c r="S115" s="211"/>
      <c r="T115" s="211"/>
      <c r="U115" s="211"/>
      <c r="V115" s="211"/>
      <c r="W115" s="211"/>
      <c r="X115" s="211"/>
      <c r="Y115" s="211"/>
      <c r="Z115" s="211"/>
      <c r="AA115" s="211"/>
    </row>
    <row r="116">
      <c r="A116" s="211"/>
      <c r="B116" s="211"/>
      <c r="C116" s="211"/>
      <c r="D116" s="211"/>
      <c r="E116" s="211"/>
      <c r="F116" s="211"/>
      <c r="G116" s="211"/>
      <c r="H116" s="211"/>
      <c r="I116" s="211"/>
      <c r="J116" s="211"/>
      <c r="K116" s="211"/>
      <c r="L116" s="211"/>
      <c r="M116" s="211"/>
      <c r="N116" s="211"/>
      <c r="O116" s="211"/>
      <c r="P116" s="211"/>
      <c r="Q116" s="211"/>
      <c r="R116" s="211"/>
      <c r="S116" s="211"/>
      <c r="T116" s="211"/>
      <c r="U116" s="211"/>
      <c r="V116" s="211"/>
      <c r="W116" s="211"/>
      <c r="X116" s="211"/>
      <c r="Y116" s="211"/>
      <c r="Z116" s="211"/>
      <c r="AA116" s="211"/>
    </row>
    <row r="117">
      <c r="A117" s="211"/>
      <c r="B117" s="211"/>
      <c r="C117" s="211"/>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row>
    <row r="118">
      <c r="A118" s="211"/>
      <c r="B118" s="211"/>
      <c r="C118" s="211"/>
      <c r="D118" s="211"/>
      <c r="E118" s="211"/>
      <c r="F118" s="211"/>
      <c r="G118" s="211"/>
      <c r="H118" s="211"/>
      <c r="I118" s="211"/>
      <c r="J118" s="211"/>
      <c r="K118" s="211"/>
      <c r="L118" s="211"/>
      <c r="M118" s="211"/>
      <c r="N118" s="211"/>
      <c r="O118" s="211"/>
      <c r="P118" s="211"/>
      <c r="Q118" s="211"/>
      <c r="R118" s="211"/>
      <c r="S118" s="211"/>
      <c r="T118" s="211"/>
      <c r="U118" s="211"/>
      <c r="V118" s="211"/>
      <c r="W118" s="211"/>
      <c r="X118" s="211"/>
      <c r="Y118" s="211"/>
      <c r="Z118" s="211"/>
      <c r="AA118" s="211"/>
    </row>
    <row r="119">
      <c r="A119" s="211"/>
      <c r="B119" s="211"/>
      <c r="C119" s="211"/>
      <c r="D119" s="211"/>
      <c r="E119" s="211"/>
      <c r="F119" s="211"/>
      <c r="G119" s="211"/>
      <c r="H119" s="211"/>
      <c r="I119" s="211"/>
      <c r="J119" s="211"/>
      <c r="K119" s="211"/>
      <c r="L119" s="211"/>
      <c r="M119" s="211"/>
      <c r="N119" s="211"/>
      <c r="O119" s="211"/>
      <c r="P119" s="211"/>
      <c r="Q119" s="211"/>
      <c r="R119" s="211"/>
      <c r="S119" s="211"/>
      <c r="T119" s="211"/>
      <c r="U119" s="211"/>
      <c r="V119" s="211"/>
      <c r="W119" s="211"/>
      <c r="X119" s="211"/>
      <c r="Y119" s="211"/>
      <c r="Z119" s="211"/>
      <c r="AA119" s="211"/>
    </row>
    <row r="120">
      <c r="A120" s="211"/>
      <c r="B120" s="211"/>
      <c r="C120" s="211"/>
      <c r="D120" s="211"/>
      <c r="E120" s="211"/>
      <c r="F120" s="211"/>
      <c r="G120" s="211"/>
      <c r="H120" s="211"/>
      <c r="I120" s="211"/>
      <c r="J120" s="211"/>
      <c r="K120" s="211"/>
      <c r="L120" s="211"/>
      <c r="M120" s="211"/>
      <c r="N120" s="211"/>
      <c r="O120" s="211"/>
      <c r="P120" s="211"/>
      <c r="Q120" s="211"/>
      <c r="R120" s="211"/>
      <c r="S120" s="211"/>
      <c r="T120" s="211"/>
      <c r="U120" s="211"/>
      <c r="V120" s="211"/>
      <c r="W120" s="211"/>
      <c r="X120" s="211"/>
      <c r="Y120" s="211"/>
      <c r="Z120" s="211"/>
      <c r="AA120" s="211"/>
    </row>
    <row r="121">
      <c r="A121" s="211"/>
      <c r="B121" s="211"/>
      <c r="C121" s="211"/>
      <c r="D121" s="211"/>
      <c r="E121" s="211"/>
      <c r="F121" s="211"/>
      <c r="G121" s="211"/>
      <c r="H121" s="211"/>
      <c r="I121" s="211"/>
      <c r="J121" s="211"/>
      <c r="K121" s="211"/>
      <c r="L121" s="211"/>
      <c r="M121" s="211"/>
      <c r="N121" s="211"/>
      <c r="O121" s="211"/>
      <c r="P121" s="211"/>
      <c r="Q121" s="211"/>
      <c r="R121" s="211"/>
      <c r="S121" s="211"/>
      <c r="T121" s="211"/>
      <c r="U121" s="211"/>
      <c r="V121" s="211"/>
      <c r="W121" s="211"/>
      <c r="X121" s="211"/>
      <c r="Y121" s="211"/>
      <c r="Z121" s="211"/>
      <c r="AA121" s="211"/>
    </row>
    <row r="122">
      <c r="A122" s="211"/>
      <c r="B122" s="211"/>
      <c r="C122" s="211"/>
      <c r="D122" s="211"/>
      <c r="E122" s="211"/>
      <c r="F122" s="211"/>
      <c r="G122" s="211"/>
      <c r="H122" s="211"/>
      <c r="I122" s="211"/>
      <c r="J122" s="211"/>
      <c r="K122" s="211"/>
      <c r="L122" s="211"/>
      <c r="M122" s="211"/>
      <c r="N122" s="211"/>
      <c r="O122" s="211"/>
      <c r="P122" s="211"/>
      <c r="Q122" s="211"/>
      <c r="R122" s="211"/>
      <c r="S122" s="211"/>
      <c r="T122" s="211"/>
      <c r="U122" s="211"/>
      <c r="V122" s="211"/>
      <c r="W122" s="211"/>
      <c r="X122" s="211"/>
      <c r="Y122" s="211"/>
      <c r="Z122" s="211"/>
      <c r="AA122" s="211"/>
    </row>
    <row r="123">
      <c r="A123" s="211"/>
      <c r="B123" s="211"/>
      <c r="C123" s="211"/>
      <c r="D123" s="211"/>
      <c r="E123" s="211"/>
      <c r="F123" s="211"/>
      <c r="G123" s="211"/>
      <c r="H123" s="211"/>
      <c r="I123" s="211"/>
      <c r="J123" s="211"/>
      <c r="K123" s="211"/>
      <c r="L123" s="211"/>
      <c r="M123" s="211"/>
      <c r="N123" s="211"/>
      <c r="O123" s="211"/>
      <c r="P123" s="211"/>
      <c r="Q123" s="211"/>
      <c r="R123" s="211"/>
      <c r="S123" s="211"/>
      <c r="T123" s="211"/>
      <c r="U123" s="211"/>
      <c r="V123" s="211"/>
      <c r="W123" s="211"/>
      <c r="X123" s="211"/>
      <c r="Y123" s="211"/>
      <c r="Z123" s="211"/>
      <c r="AA123" s="211"/>
    </row>
    <row r="124">
      <c r="A124" s="211"/>
      <c r="B124" s="211"/>
      <c r="C124" s="211"/>
      <c r="D124" s="211"/>
      <c r="E124" s="211"/>
      <c r="F124" s="211"/>
      <c r="G124" s="211"/>
      <c r="H124" s="211"/>
      <c r="I124" s="211"/>
      <c r="J124" s="211"/>
      <c r="K124" s="211"/>
      <c r="L124" s="211"/>
      <c r="M124" s="211"/>
      <c r="N124" s="211"/>
      <c r="O124" s="211"/>
      <c r="P124" s="211"/>
      <c r="Q124" s="211"/>
      <c r="R124" s="211"/>
      <c r="S124" s="211"/>
      <c r="T124" s="211"/>
      <c r="U124" s="211"/>
      <c r="V124" s="211"/>
      <c r="W124" s="211"/>
      <c r="X124" s="211"/>
      <c r="Y124" s="211"/>
      <c r="Z124" s="211"/>
      <c r="AA124" s="211"/>
    </row>
    <row r="125">
      <c r="A125" s="211"/>
      <c r="B125" s="211"/>
      <c r="C125" s="211"/>
      <c r="D125" s="211"/>
      <c r="E125" s="211"/>
      <c r="F125" s="211"/>
      <c r="G125" s="211"/>
      <c r="H125" s="211"/>
      <c r="I125" s="211"/>
      <c r="J125" s="211"/>
      <c r="K125" s="211"/>
      <c r="L125" s="211"/>
      <c r="M125" s="211"/>
      <c r="N125" s="211"/>
      <c r="O125" s="211"/>
      <c r="P125" s="211"/>
      <c r="Q125" s="211"/>
      <c r="R125" s="211"/>
      <c r="S125" s="211"/>
      <c r="T125" s="211"/>
      <c r="U125" s="211"/>
      <c r="V125" s="211"/>
      <c r="W125" s="211"/>
      <c r="X125" s="211"/>
      <c r="Y125" s="211"/>
      <c r="Z125" s="211"/>
      <c r="AA125" s="211"/>
    </row>
    <row r="126">
      <c r="A126" s="211"/>
      <c r="B126" s="211"/>
      <c r="C126" s="211"/>
      <c r="D126" s="211"/>
      <c r="E126" s="211"/>
      <c r="F126" s="211"/>
      <c r="G126" s="211"/>
      <c r="H126" s="211"/>
      <c r="I126" s="211"/>
      <c r="J126" s="211"/>
      <c r="K126" s="211"/>
      <c r="L126" s="211"/>
      <c r="M126" s="211"/>
      <c r="N126" s="211"/>
      <c r="O126" s="211"/>
      <c r="P126" s="211"/>
      <c r="Q126" s="211"/>
      <c r="R126" s="211"/>
      <c r="S126" s="211"/>
      <c r="T126" s="211"/>
      <c r="U126" s="211"/>
      <c r="V126" s="211"/>
      <c r="W126" s="211"/>
      <c r="X126" s="211"/>
      <c r="Y126" s="211"/>
      <c r="Z126" s="211"/>
      <c r="AA126" s="211"/>
    </row>
    <row r="127">
      <c r="A127" s="211"/>
      <c r="B127" s="211"/>
      <c r="C127" s="211"/>
      <c r="D127" s="211"/>
      <c r="E127" s="211"/>
      <c r="F127" s="211"/>
      <c r="G127" s="211"/>
      <c r="H127" s="211"/>
      <c r="I127" s="211"/>
      <c r="J127" s="211"/>
      <c r="K127" s="211"/>
      <c r="L127" s="211"/>
      <c r="M127" s="211"/>
      <c r="N127" s="211"/>
      <c r="O127" s="211"/>
      <c r="P127" s="211"/>
      <c r="Q127" s="211"/>
      <c r="R127" s="211"/>
      <c r="S127" s="211"/>
      <c r="T127" s="211"/>
      <c r="U127" s="211"/>
      <c r="V127" s="211"/>
      <c r="W127" s="211"/>
      <c r="X127" s="211"/>
      <c r="Y127" s="211"/>
      <c r="Z127" s="211"/>
      <c r="AA127" s="211"/>
    </row>
    <row r="128">
      <c r="A128" s="211"/>
      <c r="B128" s="211"/>
      <c r="C128" s="211"/>
      <c r="D128" s="211"/>
      <c r="E128" s="211"/>
      <c r="F128" s="211"/>
      <c r="G128" s="211"/>
      <c r="H128" s="211"/>
      <c r="I128" s="211"/>
      <c r="J128" s="211"/>
      <c r="K128" s="211"/>
      <c r="L128" s="211"/>
      <c r="M128" s="211"/>
      <c r="N128" s="211"/>
      <c r="O128" s="211"/>
      <c r="P128" s="211"/>
      <c r="Q128" s="211"/>
      <c r="R128" s="211"/>
      <c r="S128" s="211"/>
      <c r="T128" s="211"/>
      <c r="U128" s="211"/>
      <c r="V128" s="211"/>
      <c r="W128" s="211"/>
      <c r="X128" s="211"/>
      <c r="Y128" s="211"/>
      <c r="Z128" s="211"/>
      <c r="AA128" s="211"/>
    </row>
    <row r="129">
      <c r="A129" s="211"/>
      <c r="B129" s="211"/>
      <c r="C129" s="211"/>
      <c r="D129" s="211"/>
      <c r="E129" s="211"/>
      <c r="F129" s="211"/>
      <c r="G129" s="211"/>
      <c r="H129" s="211"/>
      <c r="I129" s="211"/>
      <c r="J129" s="211"/>
      <c r="K129" s="211"/>
      <c r="L129" s="211"/>
      <c r="M129" s="211"/>
      <c r="N129" s="211"/>
      <c r="O129" s="211"/>
      <c r="P129" s="211"/>
      <c r="Q129" s="211"/>
      <c r="R129" s="211"/>
      <c r="S129" s="211"/>
      <c r="T129" s="211"/>
      <c r="U129" s="211"/>
      <c r="V129" s="211"/>
      <c r="W129" s="211"/>
      <c r="X129" s="211"/>
      <c r="Y129" s="211"/>
      <c r="Z129" s="211"/>
      <c r="AA129" s="211"/>
    </row>
    <row r="130">
      <c r="A130" s="211"/>
      <c r="B130" s="211"/>
      <c r="C130" s="211"/>
      <c r="D130" s="211"/>
      <c r="E130" s="211"/>
      <c r="F130" s="211"/>
      <c r="G130" s="211"/>
      <c r="H130" s="211"/>
      <c r="I130" s="211"/>
      <c r="J130" s="211"/>
      <c r="K130" s="211"/>
      <c r="L130" s="211"/>
      <c r="M130" s="211"/>
      <c r="N130" s="211"/>
      <c r="O130" s="211"/>
      <c r="P130" s="211"/>
      <c r="Q130" s="211"/>
      <c r="R130" s="211"/>
      <c r="S130" s="211"/>
      <c r="T130" s="211"/>
      <c r="U130" s="211"/>
      <c r="V130" s="211"/>
      <c r="W130" s="211"/>
      <c r="X130" s="211"/>
      <c r="Y130" s="211"/>
      <c r="Z130" s="211"/>
      <c r="AA130" s="211"/>
    </row>
    <row r="131">
      <c r="A131" s="211"/>
      <c r="B131" s="211"/>
      <c r="C131" s="211"/>
      <c r="D131" s="211"/>
      <c r="E131" s="211"/>
      <c r="F131" s="211"/>
      <c r="G131" s="211"/>
      <c r="H131" s="211"/>
      <c r="I131" s="211"/>
      <c r="J131" s="211"/>
      <c r="K131" s="211"/>
      <c r="L131" s="211"/>
      <c r="M131" s="211"/>
      <c r="N131" s="211"/>
      <c r="O131" s="211"/>
      <c r="P131" s="211"/>
      <c r="Q131" s="211"/>
      <c r="R131" s="211"/>
      <c r="S131" s="211"/>
      <c r="T131" s="211"/>
      <c r="U131" s="211"/>
      <c r="V131" s="211"/>
      <c r="W131" s="211"/>
      <c r="X131" s="211"/>
      <c r="Y131" s="211"/>
      <c r="Z131" s="211"/>
      <c r="AA131" s="211"/>
    </row>
    <row r="132">
      <c r="A132" s="211"/>
      <c r="B132" s="211"/>
      <c r="C132" s="211"/>
      <c r="D132" s="211"/>
      <c r="E132" s="211"/>
      <c r="F132" s="211"/>
      <c r="G132" s="211"/>
      <c r="H132" s="211"/>
      <c r="I132" s="211"/>
      <c r="J132" s="211"/>
      <c r="K132" s="211"/>
      <c r="L132" s="211"/>
      <c r="M132" s="211"/>
      <c r="N132" s="211"/>
      <c r="O132" s="211"/>
      <c r="P132" s="211"/>
      <c r="Q132" s="211"/>
      <c r="R132" s="211"/>
      <c r="S132" s="211"/>
      <c r="T132" s="211"/>
      <c r="U132" s="211"/>
      <c r="V132" s="211"/>
      <c r="W132" s="211"/>
      <c r="X132" s="211"/>
      <c r="Y132" s="211"/>
      <c r="Z132" s="211"/>
      <c r="AA132" s="211"/>
    </row>
    <row r="133">
      <c r="A133" s="211"/>
      <c r="B133" s="211"/>
      <c r="C133" s="211"/>
      <c r="D133" s="211"/>
      <c r="E133" s="211"/>
      <c r="F133" s="211"/>
      <c r="G133" s="211"/>
      <c r="H133" s="211"/>
      <c r="I133" s="211"/>
      <c r="J133" s="211"/>
      <c r="K133" s="211"/>
      <c r="L133" s="211"/>
      <c r="M133" s="211"/>
      <c r="N133" s="211"/>
      <c r="O133" s="211"/>
      <c r="P133" s="211"/>
      <c r="Q133" s="211"/>
      <c r="R133" s="211"/>
      <c r="S133" s="211"/>
      <c r="T133" s="211"/>
      <c r="U133" s="211"/>
      <c r="V133" s="211"/>
      <c r="W133" s="211"/>
      <c r="X133" s="211"/>
      <c r="Y133" s="211"/>
      <c r="Z133" s="211"/>
      <c r="AA133" s="211"/>
    </row>
    <row r="134">
      <c r="A134" s="211"/>
      <c r="B134" s="211"/>
      <c r="C134" s="211"/>
      <c r="D134" s="211"/>
      <c r="E134" s="211"/>
      <c r="F134" s="211"/>
      <c r="G134" s="211"/>
      <c r="H134" s="211"/>
      <c r="I134" s="211"/>
      <c r="J134" s="211"/>
      <c r="K134" s="211"/>
      <c r="L134" s="211"/>
      <c r="M134" s="211"/>
      <c r="N134" s="211"/>
      <c r="O134" s="211"/>
      <c r="P134" s="211"/>
      <c r="Q134" s="211"/>
      <c r="R134" s="211"/>
      <c r="S134" s="211"/>
      <c r="T134" s="211"/>
      <c r="U134" s="211"/>
      <c r="V134" s="211"/>
      <c r="W134" s="211"/>
      <c r="X134" s="211"/>
      <c r="Y134" s="211"/>
      <c r="Z134" s="211"/>
      <c r="AA134" s="211"/>
    </row>
    <row r="135">
      <c r="A135" s="211"/>
      <c r="B135" s="211"/>
      <c r="C135" s="211"/>
      <c r="D135" s="211"/>
      <c r="E135" s="211"/>
      <c r="F135" s="211"/>
      <c r="G135" s="211"/>
      <c r="H135" s="211"/>
      <c r="I135" s="211"/>
      <c r="J135" s="211"/>
      <c r="K135" s="211"/>
      <c r="L135" s="211"/>
      <c r="M135" s="211"/>
      <c r="N135" s="211"/>
      <c r="O135" s="211"/>
      <c r="P135" s="211"/>
      <c r="Q135" s="211"/>
      <c r="R135" s="211"/>
      <c r="S135" s="211"/>
      <c r="T135" s="211"/>
      <c r="U135" s="211"/>
      <c r="V135" s="211"/>
      <c r="W135" s="211"/>
      <c r="X135" s="211"/>
      <c r="Y135" s="211"/>
      <c r="Z135" s="211"/>
      <c r="AA135" s="211"/>
    </row>
    <row r="136">
      <c r="A136" s="211"/>
      <c r="B136" s="211"/>
      <c r="C136" s="211"/>
      <c r="D136" s="211"/>
      <c r="E136" s="211"/>
      <c r="F136" s="211"/>
      <c r="G136" s="211"/>
      <c r="H136" s="211"/>
      <c r="I136" s="211"/>
      <c r="J136" s="211"/>
      <c r="K136" s="211"/>
      <c r="L136" s="211"/>
      <c r="M136" s="211"/>
      <c r="N136" s="211"/>
      <c r="O136" s="211"/>
      <c r="P136" s="211"/>
      <c r="Q136" s="211"/>
      <c r="R136" s="211"/>
      <c r="S136" s="211"/>
      <c r="T136" s="211"/>
      <c r="U136" s="211"/>
      <c r="V136" s="211"/>
      <c r="W136" s="211"/>
      <c r="X136" s="211"/>
      <c r="Y136" s="211"/>
      <c r="Z136" s="211"/>
      <c r="AA136" s="211"/>
    </row>
    <row r="137">
      <c r="A137" s="211"/>
      <c r="B137" s="211"/>
      <c r="C137" s="211"/>
      <c r="D137" s="211"/>
      <c r="E137" s="211"/>
      <c r="F137" s="211"/>
      <c r="G137" s="211"/>
      <c r="H137" s="211"/>
      <c r="I137" s="211"/>
      <c r="J137" s="211"/>
      <c r="K137" s="211"/>
      <c r="L137" s="211"/>
      <c r="M137" s="211"/>
      <c r="N137" s="211"/>
      <c r="O137" s="211"/>
      <c r="P137" s="211"/>
      <c r="Q137" s="211"/>
      <c r="R137" s="211"/>
      <c r="S137" s="211"/>
      <c r="T137" s="211"/>
      <c r="U137" s="211"/>
      <c r="V137" s="211"/>
      <c r="W137" s="211"/>
      <c r="X137" s="211"/>
      <c r="Y137" s="211"/>
      <c r="Z137" s="211"/>
      <c r="AA137" s="211"/>
    </row>
    <row r="138">
      <c r="A138" s="211"/>
      <c r="B138" s="211"/>
      <c r="C138" s="211"/>
      <c r="D138" s="211"/>
      <c r="E138" s="211"/>
      <c r="F138" s="211"/>
      <c r="G138" s="211"/>
      <c r="H138" s="211"/>
      <c r="I138" s="211"/>
      <c r="J138" s="211"/>
      <c r="K138" s="211"/>
      <c r="L138" s="211"/>
      <c r="M138" s="211"/>
      <c r="N138" s="211"/>
      <c r="O138" s="211"/>
      <c r="P138" s="211"/>
      <c r="Q138" s="211"/>
      <c r="R138" s="211"/>
      <c r="S138" s="211"/>
      <c r="T138" s="211"/>
      <c r="U138" s="211"/>
      <c r="V138" s="211"/>
      <c r="W138" s="211"/>
      <c r="X138" s="211"/>
      <c r="Y138" s="211"/>
      <c r="Z138" s="211"/>
      <c r="AA138" s="211"/>
    </row>
    <row r="139">
      <c r="A139" s="211"/>
      <c r="B139" s="211"/>
      <c r="C139" s="211"/>
      <c r="D139" s="211"/>
      <c r="E139" s="211"/>
      <c r="F139" s="211"/>
      <c r="G139" s="211"/>
      <c r="H139" s="211"/>
      <c r="I139" s="211"/>
      <c r="J139" s="211"/>
      <c r="K139" s="211"/>
      <c r="L139" s="211"/>
      <c r="M139" s="211"/>
      <c r="N139" s="211"/>
      <c r="O139" s="211"/>
      <c r="P139" s="211"/>
      <c r="Q139" s="211"/>
      <c r="R139" s="211"/>
      <c r="S139" s="211"/>
      <c r="T139" s="211"/>
      <c r="U139" s="211"/>
      <c r="V139" s="211"/>
      <c r="W139" s="211"/>
      <c r="X139" s="211"/>
      <c r="Y139" s="211"/>
      <c r="Z139" s="211"/>
      <c r="AA139" s="211"/>
    </row>
    <row r="140">
      <c r="A140" s="211"/>
      <c r="B140" s="211"/>
      <c r="C140" s="211"/>
      <c r="D140" s="211"/>
      <c r="E140" s="211"/>
      <c r="F140" s="211"/>
      <c r="G140" s="211"/>
      <c r="H140" s="211"/>
      <c r="I140" s="211"/>
      <c r="J140" s="211"/>
      <c r="K140" s="211"/>
      <c r="L140" s="211"/>
      <c r="M140" s="211"/>
      <c r="N140" s="211"/>
      <c r="O140" s="211"/>
      <c r="P140" s="211"/>
      <c r="Q140" s="211"/>
      <c r="R140" s="211"/>
      <c r="S140" s="211"/>
      <c r="T140" s="211"/>
      <c r="U140" s="211"/>
      <c r="V140" s="211"/>
      <c r="W140" s="211"/>
      <c r="X140" s="211"/>
      <c r="Y140" s="211"/>
      <c r="Z140" s="211"/>
      <c r="AA140" s="211"/>
    </row>
    <row r="141">
      <c r="A141" s="211"/>
      <c r="B141" s="211"/>
      <c r="C141" s="211"/>
      <c r="D141" s="211"/>
      <c r="E141" s="211"/>
      <c r="F141" s="211"/>
      <c r="G141" s="211"/>
      <c r="H141" s="211"/>
      <c r="I141" s="211"/>
      <c r="J141" s="211"/>
      <c r="K141" s="211"/>
      <c r="L141" s="211"/>
      <c r="M141" s="211"/>
      <c r="N141" s="211"/>
      <c r="O141" s="211"/>
      <c r="P141" s="211"/>
      <c r="Q141" s="211"/>
      <c r="R141" s="211"/>
      <c r="S141" s="211"/>
      <c r="T141" s="211"/>
      <c r="U141" s="211"/>
      <c r="V141" s="211"/>
      <c r="W141" s="211"/>
      <c r="X141" s="211"/>
      <c r="Y141" s="211"/>
      <c r="Z141" s="211"/>
      <c r="AA141" s="211"/>
    </row>
    <row r="142">
      <c r="A142" s="211"/>
      <c r="B142" s="211"/>
      <c r="C142" s="211"/>
      <c r="D142" s="211"/>
      <c r="E142" s="211"/>
      <c r="F142" s="211"/>
      <c r="G142" s="211"/>
      <c r="H142" s="211"/>
      <c r="I142" s="211"/>
      <c r="J142" s="211"/>
      <c r="K142" s="211"/>
      <c r="L142" s="211"/>
      <c r="M142" s="211"/>
      <c r="N142" s="211"/>
      <c r="O142" s="211"/>
      <c r="P142" s="211"/>
      <c r="Q142" s="211"/>
      <c r="R142" s="211"/>
      <c r="S142" s="211"/>
      <c r="T142" s="211"/>
      <c r="U142" s="211"/>
      <c r="V142" s="211"/>
      <c r="W142" s="211"/>
      <c r="X142" s="211"/>
      <c r="Y142" s="211"/>
      <c r="Z142" s="211"/>
      <c r="AA142" s="211"/>
    </row>
    <row r="143">
      <c r="A143" s="211"/>
      <c r="B143" s="211"/>
      <c r="C143" s="211"/>
      <c r="D143" s="211"/>
      <c r="E143" s="211"/>
      <c r="F143" s="211"/>
      <c r="G143" s="211"/>
      <c r="H143" s="211"/>
      <c r="I143" s="211"/>
      <c r="J143" s="211"/>
      <c r="K143" s="211"/>
      <c r="L143" s="211"/>
      <c r="M143" s="211"/>
      <c r="N143" s="211"/>
      <c r="O143" s="211"/>
      <c r="P143" s="211"/>
      <c r="Q143" s="211"/>
      <c r="R143" s="211"/>
      <c r="S143" s="211"/>
      <c r="T143" s="211"/>
      <c r="U143" s="211"/>
      <c r="V143" s="211"/>
      <c r="W143" s="211"/>
      <c r="X143" s="211"/>
      <c r="Y143" s="211"/>
      <c r="Z143" s="211"/>
      <c r="AA143" s="211"/>
    </row>
    <row r="144">
      <c r="A144" s="211"/>
      <c r="B144" s="211"/>
      <c r="C144" s="211"/>
      <c r="D144" s="211"/>
      <c r="E144" s="211"/>
      <c r="F144" s="211"/>
      <c r="G144" s="211"/>
      <c r="H144" s="211"/>
      <c r="I144" s="211"/>
      <c r="J144" s="211"/>
      <c r="K144" s="211"/>
      <c r="L144" s="211"/>
      <c r="M144" s="211"/>
      <c r="N144" s="211"/>
      <c r="O144" s="211"/>
      <c r="P144" s="211"/>
      <c r="Q144" s="211"/>
      <c r="R144" s="211"/>
      <c r="S144" s="211"/>
      <c r="T144" s="211"/>
      <c r="U144" s="211"/>
      <c r="V144" s="211"/>
      <c r="W144" s="211"/>
      <c r="X144" s="211"/>
      <c r="Y144" s="211"/>
      <c r="Z144" s="211"/>
      <c r="AA144" s="211"/>
    </row>
    <row r="145">
      <c r="A145" s="211"/>
      <c r="B145" s="211"/>
      <c r="C145" s="211"/>
      <c r="D145" s="211"/>
      <c r="E145" s="211"/>
      <c r="F145" s="211"/>
      <c r="G145" s="211"/>
      <c r="H145" s="211"/>
      <c r="I145" s="211"/>
      <c r="J145" s="211"/>
      <c r="K145" s="211"/>
      <c r="L145" s="211"/>
      <c r="M145" s="211"/>
      <c r="N145" s="211"/>
      <c r="O145" s="211"/>
      <c r="P145" s="211"/>
      <c r="Q145" s="211"/>
      <c r="R145" s="211"/>
      <c r="S145" s="211"/>
      <c r="T145" s="211"/>
      <c r="U145" s="211"/>
      <c r="V145" s="211"/>
      <c r="W145" s="211"/>
      <c r="X145" s="211"/>
      <c r="Y145" s="211"/>
      <c r="Z145" s="211"/>
      <c r="AA145" s="211"/>
    </row>
    <row r="146">
      <c r="A146" s="211"/>
      <c r="B146" s="211"/>
      <c r="C146" s="211"/>
      <c r="D146" s="211"/>
      <c r="E146" s="211"/>
      <c r="F146" s="211"/>
      <c r="G146" s="211"/>
      <c r="H146" s="211"/>
      <c r="I146" s="211"/>
      <c r="J146" s="211"/>
      <c r="K146" s="211"/>
      <c r="L146" s="211"/>
      <c r="M146" s="211"/>
      <c r="N146" s="211"/>
      <c r="O146" s="211"/>
      <c r="P146" s="211"/>
      <c r="Q146" s="211"/>
      <c r="R146" s="211"/>
      <c r="S146" s="211"/>
      <c r="T146" s="211"/>
      <c r="U146" s="211"/>
      <c r="V146" s="211"/>
      <c r="W146" s="211"/>
      <c r="X146" s="211"/>
      <c r="Y146" s="211"/>
      <c r="Z146" s="211"/>
      <c r="AA146" s="211"/>
    </row>
    <row r="147">
      <c r="A147" s="211"/>
      <c r="B147" s="211"/>
      <c r="C147" s="211"/>
      <c r="D147" s="211"/>
      <c r="E147" s="211"/>
      <c r="F147" s="211"/>
      <c r="G147" s="211"/>
      <c r="H147" s="211"/>
      <c r="I147" s="211"/>
      <c r="J147" s="211"/>
      <c r="K147" s="211"/>
      <c r="L147" s="211"/>
      <c r="M147" s="211"/>
      <c r="N147" s="211"/>
      <c r="O147" s="211"/>
      <c r="P147" s="211"/>
      <c r="Q147" s="211"/>
      <c r="R147" s="211"/>
      <c r="S147" s="211"/>
      <c r="T147" s="211"/>
      <c r="U147" s="211"/>
      <c r="V147" s="211"/>
      <c r="W147" s="211"/>
      <c r="X147" s="211"/>
      <c r="Y147" s="211"/>
      <c r="Z147" s="211"/>
      <c r="AA147" s="211"/>
    </row>
    <row r="148">
      <c r="A148" s="211"/>
      <c r="B148" s="211"/>
      <c r="C148" s="211"/>
      <c r="D148" s="211"/>
      <c r="E148" s="211"/>
      <c r="F148" s="211"/>
      <c r="G148" s="211"/>
      <c r="H148" s="211"/>
      <c r="I148" s="211"/>
      <c r="J148" s="211"/>
      <c r="K148" s="211"/>
      <c r="L148" s="211"/>
      <c r="M148" s="211"/>
      <c r="N148" s="211"/>
      <c r="O148" s="211"/>
      <c r="P148" s="211"/>
      <c r="Q148" s="211"/>
      <c r="R148" s="211"/>
      <c r="S148" s="211"/>
      <c r="T148" s="211"/>
      <c r="U148" s="211"/>
      <c r="V148" s="211"/>
      <c r="W148" s="211"/>
      <c r="X148" s="211"/>
      <c r="Y148" s="211"/>
      <c r="Z148" s="211"/>
      <c r="AA148" s="211"/>
    </row>
    <row r="149">
      <c r="A149" s="211"/>
      <c r="B149" s="211"/>
      <c r="C149" s="211"/>
      <c r="D149" s="211"/>
      <c r="E149" s="211"/>
      <c r="F149" s="211"/>
      <c r="G149" s="211"/>
      <c r="H149" s="211"/>
      <c r="I149" s="211"/>
      <c r="J149" s="211"/>
      <c r="K149" s="211"/>
      <c r="L149" s="211"/>
      <c r="M149" s="211"/>
      <c r="N149" s="211"/>
      <c r="O149" s="211"/>
      <c r="P149" s="211"/>
      <c r="Q149" s="211"/>
      <c r="R149" s="211"/>
      <c r="S149" s="211"/>
      <c r="T149" s="211"/>
      <c r="U149" s="211"/>
      <c r="V149" s="211"/>
      <c r="W149" s="211"/>
      <c r="X149" s="211"/>
      <c r="Y149" s="211"/>
      <c r="Z149" s="211"/>
      <c r="AA149" s="211"/>
    </row>
    <row r="150">
      <c r="A150" s="211"/>
      <c r="B150" s="211"/>
      <c r="C150" s="211"/>
      <c r="D150" s="211"/>
      <c r="E150" s="211"/>
      <c r="F150" s="211"/>
      <c r="G150" s="211"/>
      <c r="H150" s="211"/>
      <c r="I150" s="211"/>
      <c r="J150" s="211"/>
      <c r="K150" s="211"/>
      <c r="L150" s="211"/>
      <c r="M150" s="211"/>
      <c r="N150" s="211"/>
      <c r="O150" s="211"/>
      <c r="P150" s="211"/>
      <c r="Q150" s="211"/>
      <c r="R150" s="211"/>
      <c r="S150" s="211"/>
      <c r="T150" s="211"/>
      <c r="U150" s="211"/>
      <c r="V150" s="211"/>
      <c r="W150" s="211"/>
      <c r="X150" s="211"/>
      <c r="Y150" s="211"/>
      <c r="Z150" s="211"/>
      <c r="AA150" s="211"/>
    </row>
    <row r="151">
      <c r="A151" s="211"/>
      <c r="B151" s="211"/>
      <c r="C151" s="211"/>
      <c r="D151" s="211"/>
      <c r="E151" s="211"/>
      <c r="F151" s="211"/>
      <c r="G151" s="211"/>
      <c r="H151" s="211"/>
      <c r="I151" s="211"/>
      <c r="J151" s="211"/>
      <c r="K151" s="211"/>
      <c r="L151" s="211"/>
      <c r="M151" s="211"/>
      <c r="N151" s="211"/>
      <c r="O151" s="211"/>
      <c r="P151" s="211"/>
      <c r="Q151" s="211"/>
      <c r="R151" s="211"/>
      <c r="S151" s="211"/>
      <c r="T151" s="211"/>
      <c r="U151" s="211"/>
      <c r="V151" s="211"/>
      <c r="W151" s="211"/>
      <c r="X151" s="211"/>
      <c r="Y151" s="211"/>
      <c r="Z151" s="211"/>
      <c r="AA151" s="211"/>
    </row>
    <row r="152">
      <c r="A152" s="211"/>
      <c r="B152" s="211"/>
      <c r="C152" s="211"/>
      <c r="D152" s="211"/>
      <c r="E152" s="211"/>
      <c r="F152" s="211"/>
      <c r="G152" s="211"/>
      <c r="H152" s="211"/>
      <c r="I152" s="211"/>
      <c r="J152" s="211"/>
      <c r="K152" s="211"/>
      <c r="L152" s="211"/>
      <c r="M152" s="211"/>
      <c r="N152" s="211"/>
      <c r="O152" s="211"/>
      <c r="P152" s="211"/>
      <c r="Q152" s="211"/>
      <c r="R152" s="211"/>
      <c r="S152" s="211"/>
      <c r="T152" s="211"/>
      <c r="U152" s="211"/>
      <c r="V152" s="211"/>
      <c r="W152" s="211"/>
      <c r="X152" s="211"/>
      <c r="Y152" s="211"/>
      <c r="Z152" s="211"/>
      <c r="AA152" s="211"/>
    </row>
    <row r="153">
      <c r="A153" s="211"/>
      <c r="B153" s="211"/>
      <c r="C153" s="211"/>
      <c r="D153" s="211"/>
      <c r="E153" s="211"/>
      <c r="F153" s="211"/>
      <c r="G153" s="211"/>
      <c r="H153" s="211"/>
      <c r="I153" s="211"/>
      <c r="J153" s="211"/>
      <c r="K153" s="211"/>
      <c r="L153" s="211"/>
      <c r="M153" s="211"/>
      <c r="N153" s="211"/>
      <c r="O153" s="211"/>
      <c r="P153" s="211"/>
      <c r="Q153" s="211"/>
      <c r="R153" s="211"/>
      <c r="S153" s="211"/>
      <c r="T153" s="211"/>
      <c r="U153" s="211"/>
      <c r="V153" s="211"/>
      <c r="W153" s="211"/>
      <c r="X153" s="211"/>
      <c r="Y153" s="211"/>
      <c r="Z153" s="211"/>
      <c r="AA153" s="211"/>
    </row>
    <row r="154">
      <c r="A154" s="211"/>
      <c r="B154" s="211"/>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11"/>
      <c r="AA154" s="211"/>
    </row>
    <row r="155">
      <c r="A155" s="211"/>
      <c r="B155" s="211"/>
      <c r="C155" s="211"/>
      <c r="D155" s="211"/>
      <c r="E155" s="211"/>
      <c r="F155" s="211"/>
      <c r="G155" s="211"/>
      <c r="H155" s="211"/>
      <c r="I155" s="211"/>
      <c r="J155" s="211"/>
      <c r="K155" s="211"/>
      <c r="L155" s="211"/>
      <c r="M155" s="211"/>
      <c r="N155" s="211"/>
      <c r="O155" s="211"/>
      <c r="P155" s="211"/>
      <c r="Q155" s="211"/>
      <c r="R155" s="211"/>
      <c r="S155" s="211"/>
      <c r="T155" s="211"/>
      <c r="U155" s="211"/>
      <c r="V155" s="211"/>
      <c r="W155" s="211"/>
      <c r="X155" s="211"/>
      <c r="Y155" s="211"/>
      <c r="Z155" s="211"/>
      <c r="AA155" s="211"/>
    </row>
    <row r="156">
      <c r="A156" s="211"/>
      <c r="B156" s="211"/>
      <c r="C156" s="211"/>
      <c r="D156" s="211"/>
      <c r="E156" s="211"/>
      <c r="F156" s="211"/>
      <c r="G156" s="211"/>
      <c r="H156" s="211"/>
      <c r="I156" s="211"/>
      <c r="J156" s="211"/>
      <c r="K156" s="211"/>
      <c r="L156" s="211"/>
      <c r="M156" s="211"/>
      <c r="N156" s="211"/>
      <c r="O156" s="211"/>
      <c r="P156" s="211"/>
      <c r="Q156" s="211"/>
      <c r="R156" s="211"/>
      <c r="S156" s="211"/>
      <c r="T156" s="211"/>
      <c r="U156" s="211"/>
      <c r="V156" s="211"/>
      <c r="W156" s="211"/>
      <c r="X156" s="211"/>
      <c r="Y156" s="211"/>
      <c r="Z156" s="211"/>
      <c r="AA156" s="211"/>
    </row>
    <row r="157">
      <c r="A157" s="211"/>
      <c r="B157" s="211"/>
      <c r="C157" s="211"/>
      <c r="D157" s="211"/>
      <c r="E157" s="211"/>
      <c r="F157" s="211"/>
      <c r="G157" s="211"/>
      <c r="H157" s="211"/>
      <c r="I157" s="211"/>
      <c r="J157" s="211"/>
      <c r="K157" s="211"/>
      <c r="L157" s="211"/>
      <c r="M157" s="211"/>
      <c r="N157" s="211"/>
      <c r="O157" s="211"/>
      <c r="P157" s="211"/>
      <c r="Q157" s="211"/>
      <c r="R157" s="211"/>
      <c r="S157" s="211"/>
      <c r="T157" s="211"/>
      <c r="U157" s="211"/>
      <c r="V157" s="211"/>
      <c r="W157" s="211"/>
      <c r="X157" s="211"/>
      <c r="Y157" s="211"/>
      <c r="Z157" s="211"/>
      <c r="AA157" s="211"/>
    </row>
    <row r="158">
      <c r="A158" s="211"/>
      <c r="B158" s="211"/>
      <c r="C158" s="211"/>
      <c r="D158" s="211"/>
      <c r="E158" s="211"/>
      <c r="F158" s="211"/>
      <c r="G158" s="211"/>
      <c r="H158" s="211"/>
      <c r="I158" s="211"/>
      <c r="J158" s="211"/>
      <c r="K158" s="211"/>
      <c r="L158" s="211"/>
      <c r="M158" s="211"/>
      <c r="N158" s="211"/>
      <c r="O158" s="211"/>
      <c r="P158" s="211"/>
      <c r="Q158" s="211"/>
      <c r="R158" s="211"/>
      <c r="S158" s="211"/>
      <c r="T158" s="211"/>
      <c r="U158" s="211"/>
      <c r="V158" s="211"/>
      <c r="W158" s="211"/>
      <c r="X158" s="211"/>
      <c r="Y158" s="211"/>
      <c r="Z158" s="211"/>
      <c r="AA158" s="211"/>
    </row>
    <row r="159">
      <c r="A159" s="211"/>
      <c r="B159" s="211"/>
      <c r="C159" s="211"/>
      <c r="D159" s="211"/>
      <c r="E159" s="211"/>
      <c r="F159" s="211"/>
      <c r="G159" s="211"/>
      <c r="H159" s="211"/>
      <c r="I159" s="211"/>
      <c r="J159" s="211"/>
      <c r="K159" s="211"/>
      <c r="L159" s="211"/>
      <c r="M159" s="211"/>
      <c r="N159" s="211"/>
      <c r="O159" s="211"/>
      <c r="P159" s="211"/>
      <c r="Q159" s="211"/>
      <c r="R159" s="211"/>
      <c r="S159" s="211"/>
      <c r="T159" s="211"/>
      <c r="U159" s="211"/>
      <c r="V159" s="211"/>
      <c r="W159" s="211"/>
      <c r="X159" s="211"/>
      <c r="Y159" s="211"/>
      <c r="Z159" s="211"/>
      <c r="AA159" s="211"/>
    </row>
    <row r="160">
      <c r="A160" s="211"/>
      <c r="B160" s="211"/>
      <c r="C160" s="211"/>
      <c r="D160" s="211"/>
      <c r="E160" s="211"/>
      <c r="F160" s="211"/>
      <c r="G160" s="211"/>
      <c r="H160" s="211"/>
      <c r="I160" s="211"/>
      <c r="J160" s="211"/>
      <c r="K160" s="211"/>
      <c r="L160" s="211"/>
      <c r="M160" s="211"/>
      <c r="N160" s="211"/>
      <c r="O160" s="211"/>
      <c r="P160" s="211"/>
      <c r="Q160" s="211"/>
      <c r="R160" s="211"/>
      <c r="S160" s="211"/>
      <c r="T160" s="211"/>
      <c r="U160" s="211"/>
      <c r="V160" s="211"/>
      <c r="W160" s="211"/>
      <c r="X160" s="211"/>
      <c r="Y160" s="211"/>
      <c r="Z160" s="211"/>
      <c r="AA160" s="211"/>
    </row>
    <row r="161">
      <c r="A161" s="211"/>
      <c r="B161" s="211"/>
      <c r="C161" s="211"/>
      <c r="D161" s="211"/>
      <c r="E161" s="211"/>
      <c r="F161" s="211"/>
      <c r="G161" s="211"/>
      <c r="H161" s="211"/>
      <c r="I161" s="211"/>
      <c r="J161" s="211"/>
      <c r="K161" s="211"/>
      <c r="L161" s="211"/>
      <c r="M161" s="211"/>
      <c r="N161" s="211"/>
      <c r="O161" s="211"/>
      <c r="P161" s="211"/>
      <c r="Q161" s="211"/>
      <c r="R161" s="211"/>
      <c r="S161" s="211"/>
      <c r="T161" s="211"/>
      <c r="U161" s="211"/>
      <c r="V161" s="211"/>
      <c r="W161" s="211"/>
      <c r="X161" s="211"/>
      <c r="Y161" s="211"/>
      <c r="Z161" s="211"/>
      <c r="AA161" s="211"/>
    </row>
    <row r="162">
      <c r="A162" s="211"/>
      <c r="B162" s="211"/>
      <c r="C162" s="211"/>
      <c r="D162" s="211"/>
      <c r="E162" s="211"/>
      <c r="F162" s="211"/>
      <c r="G162" s="211"/>
      <c r="H162" s="211"/>
      <c r="I162" s="211"/>
      <c r="J162" s="211"/>
      <c r="K162" s="211"/>
      <c r="L162" s="211"/>
      <c r="M162" s="211"/>
      <c r="N162" s="211"/>
      <c r="O162" s="211"/>
      <c r="P162" s="211"/>
      <c r="Q162" s="211"/>
      <c r="R162" s="211"/>
      <c r="S162" s="211"/>
      <c r="T162" s="211"/>
      <c r="U162" s="211"/>
      <c r="V162" s="211"/>
      <c r="W162" s="211"/>
      <c r="X162" s="211"/>
      <c r="Y162" s="211"/>
      <c r="Z162" s="211"/>
      <c r="AA162" s="211"/>
    </row>
    <row r="163">
      <c r="A163" s="211"/>
      <c r="B163" s="211"/>
      <c r="C163" s="211"/>
      <c r="D163" s="211"/>
      <c r="E163" s="211"/>
      <c r="F163" s="211"/>
      <c r="G163" s="211"/>
      <c r="H163" s="211"/>
      <c r="I163" s="211"/>
      <c r="J163" s="211"/>
      <c r="K163" s="211"/>
      <c r="L163" s="211"/>
      <c r="M163" s="211"/>
      <c r="N163" s="211"/>
      <c r="O163" s="211"/>
      <c r="P163" s="211"/>
      <c r="Q163" s="211"/>
      <c r="R163" s="211"/>
      <c r="S163" s="211"/>
      <c r="T163" s="211"/>
      <c r="U163" s="211"/>
      <c r="V163" s="211"/>
      <c r="W163" s="211"/>
      <c r="X163" s="211"/>
      <c r="Y163" s="211"/>
      <c r="Z163" s="211"/>
      <c r="AA163" s="211"/>
    </row>
    <row r="164">
      <c r="A164" s="211"/>
      <c r="B164" s="211"/>
      <c r="C164" s="211"/>
      <c r="D164" s="211"/>
      <c r="E164" s="211"/>
      <c r="F164" s="211"/>
      <c r="G164" s="211"/>
      <c r="H164" s="211"/>
      <c r="I164" s="211"/>
      <c r="J164" s="211"/>
      <c r="K164" s="211"/>
      <c r="L164" s="211"/>
      <c r="M164" s="211"/>
      <c r="N164" s="211"/>
      <c r="O164" s="211"/>
      <c r="P164" s="211"/>
      <c r="Q164" s="211"/>
      <c r="R164" s="211"/>
      <c r="S164" s="211"/>
      <c r="T164" s="211"/>
      <c r="U164" s="211"/>
      <c r="V164" s="211"/>
      <c r="W164" s="211"/>
      <c r="X164" s="211"/>
      <c r="Y164" s="211"/>
      <c r="Z164" s="211"/>
      <c r="AA164" s="211"/>
    </row>
    <row r="165">
      <c r="A165" s="211"/>
      <c r="B165" s="211"/>
      <c r="C165" s="211"/>
      <c r="D165" s="211"/>
      <c r="E165" s="211"/>
      <c r="F165" s="211"/>
      <c r="G165" s="211"/>
      <c r="H165" s="211"/>
      <c r="I165" s="211"/>
      <c r="J165" s="211"/>
      <c r="K165" s="211"/>
      <c r="L165" s="211"/>
      <c r="M165" s="211"/>
      <c r="N165" s="211"/>
      <c r="O165" s="211"/>
      <c r="P165" s="211"/>
      <c r="Q165" s="211"/>
      <c r="R165" s="211"/>
      <c r="S165" s="211"/>
      <c r="T165" s="211"/>
      <c r="U165" s="211"/>
      <c r="V165" s="211"/>
      <c r="W165" s="211"/>
      <c r="X165" s="211"/>
      <c r="Y165" s="211"/>
      <c r="Z165" s="211"/>
      <c r="AA165" s="211"/>
    </row>
    <row r="166">
      <c r="A166" s="211"/>
      <c r="B166" s="211"/>
      <c r="C166" s="211"/>
      <c r="D166" s="211"/>
      <c r="E166" s="211"/>
      <c r="F166" s="211"/>
      <c r="G166" s="211"/>
      <c r="H166" s="211"/>
      <c r="I166" s="211"/>
      <c r="J166" s="211"/>
      <c r="K166" s="211"/>
      <c r="L166" s="211"/>
      <c r="M166" s="211"/>
      <c r="N166" s="211"/>
      <c r="O166" s="211"/>
      <c r="P166" s="211"/>
      <c r="Q166" s="211"/>
      <c r="R166" s="211"/>
      <c r="S166" s="211"/>
      <c r="T166" s="211"/>
      <c r="U166" s="211"/>
      <c r="V166" s="211"/>
      <c r="W166" s="211"/>
      <c r="X166" s="211"/>
      <c r="Y166" s="211"/>
      <c r="Z166" s="211"/>
      <c r="AA166" s="211"/>
    </row>
    <row r="167">
      <c r="A167" s="211"/>
      <c r="B167" s="211"/>
      <c r="C167" s="211"/>
      <c r="D167" s="211"/>
      <c r="E167" s="211"/>
      <c r="F167" s="211"/>
      <c r="G167" s="211"/>
      <c r="H167" s="211"/>
      <c r="I167" s="211"/>
      <c r="J167" s="211"/>
      <c r="K167" s="211"/>
      <c r="L167" s="211"/>
      <c r="M167" s="211"/>
      <c r="N167" s="211"/>
      <c r="O167" s="211"/>
      <c r="P167" s="211"/>
      <c r="Q167" s="211"/>
      <c r="R167" s="211"/>
      <c r="S167" s="211"/>
      <c r="T167" s="211"/>
      <c r="U167" s="211"/>
      <c r="V167" s="211"/>
      <c r="W167" s="211"/>
      <c r="X167" s="211"/>
      <c r="Y167" s="211"/>
      <c r="Z167" s="211"/>
      <c r="AA167" s="211"/>
    </row>
    <row r="168">
      <c r="A168" s="211"/>
      <c r="B168" s="211"/>
      <c r="C168" s="211"/>
      <c r="D168" s="211"/>
      <c r="E168" s="211"/>
      <c r="F168" s="211"/>
      <c r="G168" s="211"/>
      <c r="H168" s="211"/>
      <c r="I168" s="211"/>
      <c r="J168" s="211"/>
      <c r="K168" s="211"/>
      <c r="L168" s="211"/>
      <c r="M168" s="211"/>
      <c r="N168" s="211"/>
      <c r="O168" s="211"/>
      <c r="P168" s="211"/>
      <c r="Q168" s="211"/>
      <c r="R168" s="211"/>
      <c r="S168" s="211"/>
      <c r="T168" s="211"/>
      <c r="U168" s="211"/>
      <c r="V168" s="211"/>
      <c r="W168" s="211"/>
      <c r="X168" s="211"/>
      <c r="Y168" s="211"/>
      <c r="Z168" s="211"/>
      <c r="AA168" s="211"/>
    </row>
    <row r="169">
      <c r="A169" s="211"/>
      <c r="B169" s="211"/>
      <c r="C169" s="211"/>
      <c r="D169" s="211"/>
      <c r="E169" s="211"/>
      <c r="F169" s="211"/>
      <c r="G169" s="211"/>
      <c r="H169" s="211"/>
      <c r="I169" s="211"/>
      <c r="J169" s="211"/>
      <c r="K169" s="211"/>
      <c r="L169" s="211"/>
      <c r="M169" s="211"/>
      <c r="N169" s="211"/>
      <c r="O169" s="211"/>
      <c r="P169" s="211"/>
      <c r="Q169" s="211"/>
      <c r="R169" s="211"/>
      <c r="S169" s="211"/>
      <c r="T169" s="211"/>
      <c r="U169" s="211"/>
      <c r="V169" s="211"/>
      <c r="W169" s="211"/>
      <c r="X169" s="211"/>
      <c r="Y169" s="211"/>
      <c r="Z169" s="211"/>
      <c r="AA169" s="211"/>
    </row>
    <row r="170">
      <c r="A170" s="211"/>
      <c r="B170" s="211"/>
      <c r="C170" s="211"/>
      <c r="D170" s="211"/>
      <c r="E170" s="211"/>
      <c r="F170" s="211"/>
      <c r="G170" s="211"/>
      <c r="H170" s="211"/>
      <c r="I170" s="211"/>
      <c r="J170" s="211"/>
      <c r="K170" s="211"/>
      <c r="L170" s="211"/>
      <c r="M170" s="211"/>
      <c r="N170" s="211"/>
      <c r="O170" s="211"/>
      <c r="P170" s="211"/>
      <c r="Q170" s="211"/>
      <c r="R170" s="211"/>
      <c r="S170" s="211"/>
      <c r="T170" s="211"/>
      <c r="U170" s="211"/>
      <c r="V170" s="211"/>
      <c r="W170" s="211"/>
      <c r="X170" s="211"/>
      <c r="Y170" s="211"/>
      <c r="Z170" s="211"/>
      <c r="AA170" s="211"/>
    </row>
    <row r="171">
      <c r="A171" s="211"/>
      <c r="B171" s="211"/>
      <c r="C171" s="211"/>
      <c r="D171" s="211"/>
      <c r="E171" s="211"/>
      <c r="F171" s="211"/>
      <c r="G171" s="211"/>
      <c r="H171" s="211"/>
      <c r="I171" s="211"/>
      <c r="J171" s="211"/>
      <c r="K171" s="211"/>
      <c r="L171" s="211"/>
      <c r="M171" s="211"/>
      <c r="N171" s="211"/>
      <c r="O171" s="211"/>
      <c r="P171" s="211"/>
      <c r="Q171" s="211"/>
      <c r="R171" s="211"/>
      <c r="S171" s="211"/>
      <c r="T171" s="211"/>
      <c r="U171" s="211"/>
      <c r="V171" s="211"/>
      <c r="W171" s="211"/>
      <c r="X171" s="211"/>
      <c r="Y171" s="211"/>
      <c r="Z171" s="211"/>
      <c r="AA171" s="211"/>
    </row>
    <row r="172">
      <c r="A172" s="211"/>
      <c r="B172" s="211"/>
      <c r="C172" s="211"/>
      <c r="D172" s="211"/>
      <c r="E172" s="211"/>
      <c r="F172" s="211"/>
      <c r="G172" s="211"/>
      <c r="H172" s="211"/>
      <c r="I172" s="211"/>
      <c r="J172" s="211"/>
      <c r="K172" s="211"/>
      <c r="L172" s="211"/>
      <c r="M172" s="211"/>
      <c r="N172" s="211"/>
      <c r="O172" s="211"/>
      <c r="P172" s="211"/>
      <c r="Q172" s="211"/>
      <c r="R172" s="211"/>
      <c r="S172" s="211"/>
      <c r="T172" s="211"/>
      <c r="U172" s="211"/>
      <c r="V172" s="211"/>
      <c r="W172" s="211"/>
      <c r="X172" s="211"/>
      <c r="Y172" s="211"/>
      <c r="Z172" s="211"/>
      <c r="AA172" s="211"/>
    </row>
    <row r="173">
      <c r="A173" s="211"/>
      <c r="B173" s="211"/>
      <c r="C173" s="211"/>
      <c r="D173" s="211"/>
      <c r="E173" s="211"/>
      <c r="F173" s="211"/>
      <c r="G173" s="211"/>
      <c r="H173" s="211"/>
      <c r="I173" s="211"/>
      <c r="J173" s="211"/>
      <c r="K173" s="211"/>
      <c r="L173" s="211"/>
      <c r="M173" s="211"/>
      <c r="N173" s="211"/>
      <c r="O173" s="211"/>
      <c r="P173" s="211"/>
      <c r="Q173" s="211"/>
      <c r="R173" s="211"/>
      <c r="S173" s="211"/>
      <c r="T173" s="211"/>
      <c r="U173" s="211"/>
      <c r="V173" s="211"/>
      <c r="W173" s="211"/>
      <c r="X173" s="211"/>
      <c r="Y173" s="211"/>
      <c r="Z173" s="211"/>
      <c r="AA173" s="211"/>
    </row>
    <row r="174">
      <c r="A174" s="211"/>
      <c r="B174" s="211"/>
      <c r="C174" s="211"/>
      <c r="D174" s="211"/>
      <c r="E174" s="211"/>
      <c r="F174" s="211"/>
      <c r="G174" s="211"/>
      <c r="H174" s="211"/>
      <c r="I174" s="211"/>
      <c r="J174" s="211"/>
      <c r="K174" s="211"/>
      <c r="L174" s="211"/>
      <c r="M174" s="211"/>
      <c r="N174" s="211"/>
      <c r="O174" s="211"/>
      <c r="P174" s="211"/>
      <c r="Q174" s="211"/>
      <c r="R174" s="211"/>
      <c r="S174" s="211"/>
      <c r="T174" s="211"/>
      <c r="U174" s="211"/>
      <c r="V174" s="211"/>
      <c r="W174" s="211"/>
      <c r="X174" s="211"/>
      <c r="Y174" s="211"/>
      <c r="Z174" s="211"/>
      <c r="AA174" s="211"/>
    </row>
    <row r="175">
      <c r="A175" s="211"/>
      <c r="B175" s="211"/>
      <c r="C175" s="211"/>
      <c r="D175" s="211"/>
      <c r="E175" s="211"/>
      <c r="F175" s="211"/>
      <c r="G175" s="211"/>
      <c r="H175" s="211"/>
      <c r="I175" s="211"/>
      <c r="J175" s="211"/>
      <c r="K175" s="211"/>
      <c r="L175" s="211"/>
      <c r="M175" s="211"/>
      <c r="N175" s="211"/>
      <c r="O175" s="211"/>
      <c r="P175" s="211"/>
      <c r="Q175" s="211"/>
      <c r="R175" s="211"/>
      <c r="S175" s="211"/>
      <c r="T175" s="211"/>
      <c r="U175" s="211"/>
      <c r="V175" s="211"/>
      <c r="W175" s="211"/>
      <c r="X175" s="211"/>
      <c r="Y175" s="211"/>
      <c r="Z175" s="211"/>
      <c r="AA175" s="211"/>
    </row>
    <row r="176">
      <c r="A176" s="211"/>
      <c r="B176" s="211"/>
      <c r="C176" s="211"/>
      <c r="D176" s="211"/>
      <c r="E176" s="211"/>
      <c r="F176" s="211"/>
      <c r="G176" s="211"/>
      <c r="H176" s="211"/>
      <c r="I176" s="211"/>
      <c r="J176" s="211"/>
      <c r="K176" s="211"/>
      <c r="L176" s="211"/>
      <c r="M176" s="211"/>
      <c r="N176" s="211"/>
      <c r="O176" s="211"/>
      <c r="P176" s="211"/>
      <c r="Q176" s="211"/>
      <c r="R176" s="211"/>
      <c r="S176" s="211"/>
      <c r="T176" s="211"/>
      <c r="U176" s="211"/>
      <c r="V176" s="211"/>
      <c r="W176" s="211"/>
      <c r="X176" s="211"/>
      <c r="Y176" s="211"/>
      <c r="Z176" s="211"/>
      <c r="AA176" s="211"/>
    </row>
    <row r="177">
      <c r="A177" s="211"/>
      <c r="B177" s="211"/>
      <c r="C177" s="211"/>
      <c r="D177" s="211"/>
      <c r="E177" s="211"/>
      <c r="F177" s="211"/>
      <c r="G177" s="211"/>
      <c r="H177" s="211"/>
      <c r="I177" s="211"/>
      <c r="J177" s="211"/>
      <c r="K177" s="211"/>
      <c r="L177" s="211"/>
      <c r="M177" s="211"/>
      <c r="N177" s="211"/>
      <c r="O177" s="211"/>
      <c r="P177" s="211"/>
      <c r="Q177" s="211"/>
      <c r="R177" s="211"/>
      <c r="S177" s="211"/>
      <c r="T177" s="211"/>
      <c r="U177" s="211"/>
      <c r="V177" s="211"/>
      <c r="W177" s="211"/>
      <c r="X177" s="211"/>
      <c r="Y177" s="211"/>
      <c r="Z177" s="211"/>
      <c r="AA177" s="211"/>
    </row>
    <row r="178">
      <c r="A178" s="211"/>
      <c r="B178" s="211"/>
      <c r="C178" s="211"/>
      <c r="D178" s="211"/>
      <c r="E178" s="211"/>
      <c r="F178" s="211"/>
      <c r="G178" s="211"/>
      <c r="H178" s="211"/>
      <c r="I178" s="211"/>
      <c r="J178" s="211"/>
      <c r="K178" s="211"/>
      <c r="L178" s="211"/>
      <c r="M178" s="211"/>
      <c r="N178" s="211"/>
      <c r="O178" s="211"/>
      <c r="P178" s="211"/>
      <c r="Q178" s="211"/>
      <c r="R178" s="211"/>
      <c r="S178" s="211"/>
      <c r="T178" s="211"/>
      <c r="U178" s="211"/>
      <c r="V178" s="211"/>
      <c r="W178" s="211"/>
      <c r="X178" s="211"/>
      <c r="Y178" s="211"/>
      <c r="Z178" s="211"/>
      <c r="AA178" s="211"/>
    </row>
    <row r="179">
      <c r="A179" s="211"/>
      <c r="B179" s="211"/>
      <c r="C179" s="211"/>
      <c r="D179" s="211"/>
      <c r="E179" s="211"/>
      <c r="F179" s="211"/>
      <c r="G179" s="211"/>
      <c r="H179" s="211"/>
      <c r="I179" s="211"/>
      <c r="J179" s="211"/>
      <c r="K179" s="211"/>
      <c r="L179" s="211"/>
      <c r="M179" s="211"/>
      <c r="N179" s="211"/>
      <c r="O179" s="211"/>
      <c r="P179" s="211"/>
      <c r="Q179" s="211"/>
      <c r="R179" s="211"/>
      <c r="S179" s="211"/>
      <c r="T179" s="211"/>
      <c r="U179" s="211"/>
      <c r="V179" s="211"/>
      <c r="W179" s="211"/>
      <c r="X179" s="211"/>
      <c r="Y179" s="211"/>
      <c r="Z179" s="211"/>
      <c r="AA179" s="211"/>
    </row>
    <row r="180">
      <c r="A180" s="211"/>
      <c r="B180" s="211"/>
      <c r="C180" s="211"/>
      <c r="D180" s="211"/>
      <c r="E180" s="211"/>
      <c r="F180" s="211"/>
      <c r="G180" s="211"/>
      <c r="H180" s="211"/>
      <c r="I180" s="211"/>
      <c r="J180" s="211"/>
      <c r="K180" s="211"/>
      <c r="L180" s="211"/>
      <c r="M180" s="211"/>
      <c r="N180" s="211"/>
      <c r="O180" s="211"/>
      <c r="P180" s="211"/>
      <c r="Q180" s="211"/>
      <c r="R180" s="211"/>
      <c r="S180" s="211"/>
      <c r="T180" s="211"/>
      <c r="U180" s="211"/>
      <c r="V180" s="211"/>
      <c r="W180" s="211"/>
      <c r="X180" s="211"/>
      <c r="Y180" s="211"/>
      <c r="Z180" s="211"/>
      <c r="AA180" s="211"/>
    </row>
    <row r="181">
      <c r="A181" s="211"/>
      <c r="B181" s="211"/>
      <c r="C181" s="211"/>
      <c r="D181" s="211"/>
      <c r="E181" s="211"/>
      <c r="F181" s="211"/>
      <c r="G181" s="211"/>
      <c r="H181" s="211"/>
      <c r="I181" s="211"/>
      <c r="J181" s="211"/>
      <c r="K181" s="211"/>
      <c r="L181" s="211"/>
      <c r="M181" s="211"/>
      <c r="N181" s="211"/>
      <c r="O181" s="211"/>
      <c r="P181" s="211"/>
      <c r="Q181" s="211"/>
      <c r="R181" s="211"/>
      <c r="S181" s="211"/>
      <c r="T181" s="211"/>
      <c r="U181" s="211"/>
      <c r="V181" s="211"/>
      <c r="W181" s="211"/>
      <c r="X181" s="211"/>
      <c r="Y181" s="211"/>
      <c r="Z181" s="211"/>
      <c r="AA181" s="211"/>
    </row>
    <row r="182">
      <c r="A182" s="211"/>
      <c r="B182" s="211"/>
      <c r="C182" s="211"/>
      <c r="D182" s="211"/>
      <c r="E182" s="211"/>
      <c r="F182" s="211"/>
      <c r="G182" s="211"/>
      <c r="H182" s="211"/>
      <c r="I182" s="211"/>
      <c r="J182" s="211"/>
      <c r="K182" s="211"/>
      <c r="L182" s="211"/>
      <c r="M182" s="211"/>
      <c r="N182" s="211"/>
      <c r="O182" s="211"/>
      <c r="P182" s="211"/>
      <c r="Q182" s="211"/>
      <c r="R182" s="211"/>
      <c r="S182" s="211"/>
      <c r="T182" s="211"/>
      <c r="U182" s="211"/>
      <c r="V182" s="211"/>
      <c r="W182" s="211"/>
      <c r="X182" s="211"/>
      <c r="Y182" s="211"/>
      <c r="Z182" s="211"/>
      <c r="AA182" s="211"/>
    </row>
    <row r="183">
      <c r="A183" s="211"/>
      <c r="B183" s="211"/>
      <c r="C183" s="211"/>
      <c r="D183" s="211"/>
      <c r="E183" s="211"/>
      <c r="F183" s="211"/>
      <c r="G183" s="211"/>
      <c r="H183" s="211"/>
      <c r="I183" s="211"/>
      <c r="J183" s="211"/>
      <c r="K183" s="211"/>
      <c r="L183" s="211"/>
      <c r="M183" s="211"/>
      <c r="N183" s="211"/>
      <c r="O183" s="211"/>
      <c r="P183" s="211"/>
      <c r="Q183" s="211"/>
      <c r="R183" s="211"/>
      <c r="S183" s="211"/>
      <c r="T183" s="211"/>
      <c r="U183" s="211"/>
      <c r="V183" s="211"/>
      <c r="W183" s="211"/>
      <c r="X183" s="211"/>
      <c r="Y183" s="211"/>
      <c r="Z183" s="211"/>
      <c r="AA183" s="211"/>
    </row>
    <row r="184">
      <c r="A184" s="211"/>
      <c r="B184" s="211"/>
      <c r="C184" s="211"/>
      <c r="D184" s="211"/>
      <c r="E184" s="211"/>
      <c r="F184" s="211"/>
      <c r="G184" s="211"/>
      <c r="H184" s="211"/>
      <c r="I184" s="211"/>
      <c r="J184" s="211"/>
      <c r="K184" s="211"/>
      <c r="L184" s="211"/>
      <c r="M184" s="211"/>
      <c r="N184" s="211"/>
      <c r="O184" s="211"/>
      <c r="P184" s="211"/>
      <c r="Q184" s="211"/>
      <c r="R184" s="211"/>
      <c r="S184" s="211"/>
      <c r="T184" s="211"/>
      <c r="U184" s="211"/>
      <c r="V184" s="211"/>
      <c r="W184" s="211"/>
      <c r="X184" s="211"/>
      <c r="Y184" s="211"/>
      <c r="Z184" s="211"/>
      <c r="AA184" s="211"/>
    </row>
    <row r="185">
      <c r="A185" s="211"/>
      <c r="B185" s="211"/>
      <c r="C185" s="211"/>
      <c r="D185" s="211"/>
      <c r="E185" s="211"/>
      <c r="F185" s="211"/>
      <c r="G185" s="211"/>
      <c r="H185" s="211"/>
      <c r="I185" s="211"/>
      <c r="J185" s="211"/>
      <c r="K185" s="211"/>
      <c r="L185" s="211"/>
      <c r="M185" s="211"/>
      <c r="N185" s="211"/>
      <c r="O185" s="211"/>
      <c r="P185" s="211"/>
      <c r="Q185" s="211"/>
      <c r="R185" s="211"/>
      <c r="S185" s="211"/>
      <c r="T185" s="211"/>
      <c r="U185" s="211"/>
      <c r="V185" s="211"/>
      <c r="W185" s="211"/>
      <c r="X185" s="211"/>
      <c r="Y185" s="211"/>
      <c r="Z185" s="211"/>
      <c r="AA185" s="211"/>
    </row>
    <row r="186">
      <c r="A186" s="211"/>
      <c r="B186" s="211"/>
      <c r="C186" s="211"/>
      <c r="D186" s="211"/>
      <c r="E186" s="211"/>
      <c r="F186" s="211"/>
      <c r="G186" s="211"/>
      <c r="H186" s="211"/>
      <c r="I186" s="211"/>
      <c r="J186" s="211"/>
      <c r="K186" s="211"/>
      <c r="L186" s="211"/>
      <c r="M186" s="211"/>
      <c r="N186" s="211"/>
      <c r="O186" s="211"/>
      <c r="P186" s="211"/>
      <c r="Q186" s="211"/>
      <c r="R186" s="211"/>
      <c r="S186" s="211"/>
      <c r="T186" s="211"/>
      <c r="U186" s="211"/>
      <c r="V186" s="211"/>
      <c r="W186" s="211"/>
      <c r="X186" s="211"/>
      <c r="Y186" s="211"/>
      <c r="Z186" s="211"/>
      <c r="AA186" s="211"/>
    </row>
    <row r="187">
      <c r="A187" s="211"/>
      <c r="B187" s="211"/>
      <c r="C187" s="211"/>
      <c r="D187" s="211"/>
      <c r="E187" s="211"/>
      <c r="F187" s="211"/>
      <c r="G187" s="211"/>
      <c r="H187" s="211"/>
      <c r="I187" s="211"/>
      <c r="J187" s="211"/>
      <c r="K187" s="211"/>
      <c r="L187" s="211"/>
      <c r="M187" s="211"/>
      <c r="N187" s="211"/>
      <c r="O187" s="211"/>
      <c r="P187" s="211"/>
      <c r="Q187" s="211"/>
      <c r="R187" s="211"/>
      <c r="S187" s="211"/>
      <c r="T187" s="211"/>
      <c r="U187" s="211"/>
      <c r="V187" s="211"/>
      <c r="W187" s="211"/>
      <c r="X187" s="211"/>
      <c r="Y187" s="211"/>
      <c r="Z187" s="211"/>
      <c r="AA187" s="211"/>
    </row>
    <row r="188">
      <c r="A188" s="211"/>
      <c r="B188" s="211"/>
      <c r="C188" s="211"/>
      <c r="D188" s="211"/>
      <c r="E188" s="211"/>
      <c r="F188" s="211"/>
      <c r="G188" s="211"/>
      <c r="H188" s="211"/>
      <c r="I188" s="211"/>
      <c r="J188" s="211"/>
      <c r="K188" s="211"/>
      <c r="L188" s="211"/>
      <c r="M188" s="211"/>
      <c r="N188" s="211"/>
      <c r="O188" s="211"/>
      <c r="P188" s="211"/>
      <c r="Q188" s="211"/>
      <c r="R188" s="211"/>
      <c r="S188" s="211"/>
      <c r="T188" s="211"/>
      <c r="U188" s="211"/>
      <c r="V188" s="211"/>
      <c r="W188" s="211"/>
      <c r="X188" s="211"/>
      <c r="Y188" s="211"/>
      <c r="Z188" s="211"/>
      <c r="AA188" s="211"/>
    </row>
    <row r="189">
      <c r="A189" s="211"/>
      <c r="B189" s="211"/>
      <c r="C189" s="211"/>
      <c r="D189" s="211"/>
      <c r="E189" s="211"/>
      <c r="F189" s="211"/>
      <c r="G189" s="211"/>
      <c r="H189" s="211"/>
      <c r="I189" s="211"/>
      <c r="J189" s="211"/>
      <c r="K189" s="211"/>
      <c r="L189" s="211"/>
      <c r="M189" s="211"/>
      <c r="N189" s="211"/>
      <c r="O189" s="211"/>
      <c r="P189" s="211"/>
      <c r="Q189" s="211"/>
      <c r="R189" s="211"/>
      <c r="S189" s="211"/>
      <c r="T189" s="211"/>
      <c r="U189" s="211"/>
      <c r="V189" s="211"/>
      <c r="W189" s="211"/>
      <c r="X189" s="211"/>
      <c r="Y189" s="211"/>
      <c r="Z189" s="211"/>
      <c r="AA189" s="211"/>
    </row>
    <row r="190">
      <c r="A190" s="211"/>
      <c r="B190" s="211"/>
      <c r="C190" s="211"/>
      <c r="D190" s="211"/>
      <c r="E190" s="211"/>
      <c r="F190" s="211"/>
      <c r="G190" s="211"/>
      <c r="H190" s="211"/>
      <c r="I190" s="211"/>
      <c r="J190" s="211"/>
      <c r="K190" s="211"/>
      <c r="L190" s="211"/>
      <c r="M190" s="211"/>
      <c r="N190" s="211"/>
      <c r="O190" s="211"/>
      <c r="P190" s="211"/>
      <c r="Q190" s="211"/>
      <c r="R190" s="211"/>
      <c r="S190" s="211"/>
      <c r="T190" s="211"/>
      <c r="U190" s="211"/>
      <c r="V190" s="211"/>
      <c r="W190" s="211"/>
      <c r="X190" s="211"/>
      <c r="Y190" s="211"/>
      <c r="Z190" s="211"/>
      <c r="AA190" s="211"/>
    </row>
    <row r="191">
      <c r="A191" s="211"/>
      <c r="B191" s="211"/>
      <c r="C191" s="211"/>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c r="AA191" s="211"/>
    </row>
    <row r="192">
      <c r="A192" s="211"/>
      <c r="B192" s="211"/>
      <c r="C192" s="211"/>
      <c r="D192" s="211"/>
      <c r="E192" s="211"/>
      <c r="F192" s="211"/>
      <c r="G192" s="211"/>
      <c r="H192" s="211"/>
      <c r="I192" s="211"/>
      <c r="J192" s="211"/>
      <c r="K192" s="211"/>
      <c r="L192" s="211"/>
      <c r="M192" s="211"/>
      <c r="N192" s="211"/>
      <c r="O192" s="211"/>
      <c r="P192" s="211"/>
      <c r="Q192" s="211"/>
      <c r="R192" s="211"/>
      <c r="S192" s="211"/>
      <c r="T192" s="211"/>
      <c r="U192" s="211"/>
      <c r="V192" s="211"/>
      <c r="W192" s="211"/>
      <c r="X192" s="211"/>
      <c r="Y192" s="211"/>
      <c r="Z192" s="211"/>
      <c r="AA192" s="211"/>
    </row>
    <row r="193">
      <c r="A193" s="211"/>
      <c r="B193" s="211"/>
      <c r="C193" s="211"/>
      <c r="D193" s="211"/>
      <c r="E193" s="211"/>
      <c r="F193" s="211"/>
      <c r="G193" s="211"/>
      <c r="H193" s="211"/>
      <c r="I193" s="211"/>
      <c r="J193" s="211"/>
      <c r="K193" s="211"/>
      <c r="L193" s="211"/>
      <c r="M193" s="211"/>
      <c r="N193" s="211"/>
      <c r="O193" s="211"/>
      <c r="P193" s="211"/>
      <c r="Q193" s="211"/>
      <c r="R193" s="211"/>
      <c r="S193" s="211"/>
      <c r="T193" s="211"/>
      <c r="U193" s="211"/>
      <c r="V193" s="211"/>
      <c r="W193" s="211"/>
      <c r="X193" s="211"/>
      <c r="Y193" s="211"/>
      <c r="Z193" s="211"/>
      <c r="AA193" s="211"/>
    </row>
    <row r="194">
      <c r="A194" s="211"/>
      <c r="B194" s="211"/>
      <c r="C194" s="211"/>
      <c r="D194" s="211"/>
      <c r="E194" s="211"/>
      <c r="F194" s="211"/>
      <c r="G194" s="211"/>
      <c r="H194" s="211"/>
      <c r="I194" s="211"/>
      <c r="J194" s="211"/>
      <c r="K194" s="211"/>
      <c r="L194" s="211"/>
      <c r="M194" s="211"/>
      <c r="N194" s="211"/>
      <c r="O194" s="211"/>
      <c r="P194" s="211"/>
      <c r="Q194" s="211"/>
      <c r="R194" s="211"/>
      <c r="S194" s="211"/>
      <c r="T194" s="211"/>
      <c r="U194" s="211"/>
      <c r="V194" s="211"/>
      <c r="W194" s="211"/>
      <c r="X194" s="211"/>
      <c r="Y194" s="211"/>
      <c r="Z194" s="211"/>
      <c r="AA194" s="211"/>
    </row>
    <row r="195">
      <c r="A195" s="211"/>
      <c r="B195" s="211"/>
      <c r="C195" s="211"/>
      <c r="D195" s="211"/>
      <c r="E195" s="211"/>
      <c r="F195" s="211"/>
      <c r="G195" s="211"/>
      <c r="H195" s="211"/>
      <c r="I195" s="211"/>
      <c r="J195" s="211"/>
      <c r="K195" s="211"/>
      <c r="L195" s="211"/>
      <c r="M195" s="211"/>
      <c r="N195" s="211"/>
      <c r="O195" s="211"/>
      <c r="P195" s="211"/>
      <c r="Q195" s="211"/>
      <c r="R195" s="211"/>
      <c r="S195" s="211"/>
      <c r="T195" s="211"/>
      <c r="U195" s="211"/>
      <c r="V195" s="211"/>
      <c r="W195" s="211"/>
      <c r="X195" s="211"/>
      <c r="Y195" s="211"/>
      <c r="Z195" s="211"/>
      <c r="AA195" s="211"/>
    </row>
    <row r="196">
      <c r="A196" s="211"/>
      <c r="B196" s="211"/>
      <c r="C196" s="211"/>
      <c r="D196" s="211"/>
      <c r="E196" s="211"/>
      <c r="F196" s="211"/>
      <c r="G196" s="211"/>
      <c r="H196" s="211"/>
      <c r="I196" s="211"/>
      <c r="J196" s="211"/>
      <c r="K196" s="211"/>
      <c r="L196" s="211"/>
      <c r="M196" s="211"/>
      <c r="N196" s="211"/>
      <c r="O196" s="211"/>
      <c r="P196" s="211"/>
      <c r="Q196" s="211"/>
      <c r="R196" s="211"/>
      <c r="S196" s="211"/>
      <c r="T196" s="211"/>
      <c r="U196" s="211"/>
      <c r="V196" s="211"/>
      <c r="W196" s="211"/>
      <c r="X196" s="211"/>
      <c r="Y196" s="211"/>
      <c r="Z196" s="211"/>
      <c r="AA196" s="211"/>
    </row>
    <row r="197">
      <c r="A197" s="211"/>
      <c r="B197" s="211"/>
      <c r="C197" s="211"/>
      <c r="D197" s="211"/>
      <c r="E197" s="211"/>
      <c r="F197" s="211"/>
      <c r="G197" s="211"/>
      <c r="H197" s="211"/>
      <c r="I197" s="211"/>
      <c r="J197" s="211"/>
      <c r="K197" s="211"/>
      <c r="L197" s="211"/>
      <c r="M197" s="211"/>
      <c r="N197" s="211"/>
      <c r="O197" s="211"/>
      <c r="P197" s="211"/>
      <c r="Q197" s="211"/>
      <c r="R197" s="211"/>
      <c r="S197" s="211"/>
      <c r="T197" s="211"/>
      <c r="U197" s="211"/>
      <c r="V197" s="211"/>
      <c r="W197" s="211"/>
      <c r="X197" s="211"/>
      <c r="Y197" s="211"/>
      <c r="Z197" s="211"/>
      <c r="AA197" s="211"/>
    </row>
    <row r="198">
      <c r="A198" s="211"/>
      <c r="B198" s="211"/>
      <c r="C198" s="211"/>
      <c r="D198" s="211"/>
      <c r="E198" s="211"/>
      <c r="F198" s="211"/>
      <c r="G198" s="211"/>
      <c r="H198" s="211"/>
      <c r="I198" s="211"/>
      <c r="J198" s="211"/>
      <c r="K198" s="211"/>
      <c r="L198" s="211"/>
      <c r="M198" s="211"/>
      <c r="N198" s="211"/>
      <c r="O198" s="211"/>
      <c r="P198" s="211"/>
      <c r="Q198" s="211"/>
      <c r="R198" s="211"/>
      <c r="S198" s="211"/>
      <c r="T198" s="211"/>
      <c r="U198" s="211"/>
      <c r="V198" s="211"/>
      <c r="W198" s="211"/>
      <c r="X198" s="211"/>
      <c r="Y198" s="211"/>
      <c r="Z198" s="211"/>
      <c r="AA198" s="211"/>
    </row>
    <row r="199">
      <c r="A199" s="211"/>
      <c r="B199" s="211"/>
      <c r="C199" s="211"/>
      <c r="D199" s="211"/>
      <c r="E199" s="211"/>
      <c r="F199" s="211"/>
      <c r="G199" s="211"/>
      <c r="H199" s="211"/>
      <c r="I199" s="211"/>
      <c r="J199" s="211"/>
      <c r="K199" s="211"/>
      <c r="L199" s="211"/>
      <c r="M199" s="211"/>
      <c r="N199" s="211"/>
      <c r="O199" s="211"/>
      <c r="P199" s="211"/>
      <c r="Q199" s="211"/>
      <c r="R199" s="211"/>
      <c r="S199" s="211"/>
      <c r="T199" s="211"/>
      <c r="U199" s="211"/>
      <c r="V199" s="211"/>
      <c r="W199" s="211"/>
      <c r="X199" s="211"/>
      <c r="Y199" s="211"/>
      <c r="Z199" s="211"/>
      <c r="AA199" s="211"/>
    </row>
    <row r="200">
      <c r="A200" s="211"/>
      <c r="B200" s="211"/>
      <c r="C200" s="211"/>
      <c r="D200" s="211"/>
      <c r="E200" s="211"/>
      <c r="F200" s="211"/>
      <c r="G200" s="211"/>
      <c r="H200" s="211"/>
      <c r="I200" s="211"/>
      <c r="J200" s="211"/>
      <c r="K200" s="211"/>
      <c r="L200" s="211"/>
      <c r="M200" s="211"/>
      <c r="N200" s="211"/>
      <c r="O200" s="211"/>
      <c r="P200" s="211"/>
      <c r="Q200" s="211"/>
      <c r="R200" s="211"/>
      <c r="S200" s="211"/>
      <c r="T200" s="211"/>
      <c r="U200" s="211"/>
      <c r="V200" s="211"/>
      <c r="W200" s="211"/>
      <c r="X200" s="211"/>
      <c r="Y200" s="211"/>
      <c r="Z200" s="211"/>
      <c r="AA200" s="211"/>
    </row>
    <row r="201">
      <c r="A201" s="211"/>
      <c r="B201" s="211"/>
      <c r="C201" s="211"/>
      <c r="D201" s="211"/>
      <c r="E201" s="211"/>
      <c r="F201" s="211"/>
      <c r="G201" s="211"/>
      <c r="H201" s="211"/>
      <c r="I201" s="211"/>
      <c r="J201" s="211"/>
      <c r="K201" s="211"/>
      <c r="L201" s="211"/>
      <c r="M201" s="211"/>
      <c r="N201" s="211"/>
      <c r="O201" s="211"/>
      <c r="P201" s="211"/>
      <c r="Q201" s="211"/>
      <c r="R201" s="211"/>
      <c r="S201" s="211"/>
      <c r="T201" s="211"/>
      <c r="U201" s="211"/>
      <c r="V201" s="211"/>
      <c r="W201" s="211"/>
      <c r="X201" s="211"/>
      <c r="Y201" s="211"/>
      <c r="Z201" s="211"/>
      <c r="AA201" s="211"/>
    </row>
    <row r="202">
      <c r="A202" s="211"/>
      <c r="B202" s="211"/>
      <c r="C202" s="211"/>
      <c r="D202" s="211"/>
      <c r="E202" s="211"/>
      <c r="F202" s="211"/>
      <c r="G202" s="211"/>
      <c r="H202" s="211"/>
      <c r="I202" s="211"/>
      <c r="J202" s="211"/>
      <c r="K202" s="211"/>
      <c r="L202" s="211"/>
      <c r="M202" s="211"/>
      <c r="N202" s="211"/>
      <c r="O202" s="211"/>
      <c r="P202" s="211"/>
      <c r="Q202" s="211"/>
      <c r="R202" s="211"/>
      <c r="S202" s="211"/>
      <c r="T202" s="211"/>
      <c r="U202" s="211"/>
      <c r="V202" s="211"/>
      <c r="W202" s="211"/>
      <c r="X202" s="211"/>
      <c r="Y202" s="211"/>
      <c r="Z202" s="211"/>
      <c r="AA202" s="211"/>
    </row>
    <row r="203">
      <c r="A203" s="211"/>
      <c r="B203" s="211"/>
      <c r="C203" s="211"/>
      <c r="D203" s="211"/>
      <c r="E203" s="211"/>
      <c r="F203" s="211"/>
      <c r="G203" s="211"/>
      <c r="H203" s="211"/>
      <c r="I203" s="211"/>
      <c r="J203" s="211"/>
      <c r="K203" s="211"/>
      <c r="L203" s="211"/>
      <c r="M203" s="211"/>
      <c r="N203" s="211"/>
      <c r="O203" s="211"/>
      <c r="P203" s="211"/>
      <c r="Q203" s="211"/>
      <c r="R203" s="211"/>
      <c r="S203" s="211"/>
      <c r="T203" s="211"/>
      <c r="U203" s="211"/>
      <c r="V203" s="211"/>
      <c r="W203" s="211"/>
      <c r="X203" s="211"/>
      <c r="Y203" s="211"/>
      <c r="Z203" s="211"/>
      <c r="AA203" s="211"/>
    </row>
    <row r="204">
      <c r="A204" s="211"/>
      <c r="B204" s="211"/>
      <c r="C204" s="211"/>
      <c r="D204" s="211"/>
      <c r="E204" s="211"/>
      <c r="F204" s="211"/>
      <c r="G204" s="211"/>
      <c r="H204" s="211"/>
      <c r="I204" s="211"/>
      <c r="J204" s="211"/>
      <c r="K204" s="211"/>
      <c r="L204" s="211"/>
      <c r="M204" s="211"/>
      <c r="N204" s="211"/>
      <c r="O204" s="211"/>
      <c r="P204" s="211"/>
      <c r="Q204" s="211"/>
      <c r="R204" s="211"/>
      <c r="S204" s="211"/>
      <c r="T204" s="211"/>
      <c r="U204" s="211"/>
      <c r="V204" s="211"/>
      <c r="W204" s="211"/>
      <c r="X204" s="211"/>
      <c r="Y204" s="211"/>
      <c r="Z204" s="211"/>
      <c r="AA204" s="211"/>
    </row>
    <row r="205">
      <c r="A205" s="211"/>
      <c r="B205" s="211"/>
      <c r="C205" s="211"/>
      <c r="D205" s="211"/>
      <c r="E205" s="211"/>
      <c r="F205" s="211"/>
      <c r="G205" s="211"/>
      <c r="H205" s="211"/>
      <c r="I205" s="211"/>
      <c r="J205" s="211"/>
      <c r="K205" s="211"/>
      <c r="L205" s="211"/>
      <c r="M205" s="211"/>
      <c r="N205" s="211"/>
      <c r="O205" s="211"/>
      <c r="P205" s="211"/>
      <c r="Q205" s="211"/>
      <c r="R205" s="211"/>
      <c r="S205" s="211"/>
      <c r="T205" s="211"/>
      <c r="U205" s="211"/>
      <c r="V205" s="211"/>
      <c r="W205" s="211"/>
      <c r="X205" s="211"/>
      <c r="Y205" s="211"/>
      <c r="Z205" s="211"/>
      <c r="AA205" s="211"/>
    </row>
    <row r="206">
      <c r="A206" s="211"/>
      <c r="B206" s="211"/>
      <c r="C206" s="211"/>
      <c r="D206" s="211"/>
      <c r="E206" s="211"/>
      <c r="F206" s="211"/>
      <c r="G206" s="211"/>
      <c r="H206" s="211"/>
      <c r="I206" s="211"/>
      <c r="J206" s="211"/>
      <c r="K206" s="211"/>
      <c r="L206" s="211"/>
      <c r="M206" s="211"/>
      <c r="N206" s="211"/>
      <c r="O206" s="211"/>
      <c r="P206" s="211"/>
      <c r="Q206" s="211"/>
      <c r="R206" s="211"/>
      <c r="S206" s="211"/>
      <c r="T206" s="211"/>
      <c r="U206" s="211"/>
      <c r="V206" s="211"/>
      <c r="W206" s="211"/>
      <c r="X206" s="211"/>
      <c r="Y206" s="211"/>
      <c r="Z206" s="211"/>
      <c r="AA206" s="211"/>
    </row>
    <row r="207">
      <c r="A207" s="211"/>
      <c r="B207" s="211"/>
      <c r="C207" s="211"/>
      <c r="D207" s="211"/>
      <c r="E207" s="211"/>
      <c r="F207" s="211"/>
      <c r="G207" s="211"/>
      <c r="H207" s="211"/>
      <c r="I207" s="211"/>
      <c r="J207" s="211"/>
      <c r="K207" s="211"/>
      <c r="L207" s="211"/>
      <c r="M207" s="211"/>
      <c r="N207" s="211"/>
      <c r="O207" s="211"/>
      <c r="P207" s="211"/>
      <c r="Q207" s="211"/>
      <c r="R207" s="211"/>
      <c r="S207" s="211"/>
      <c r="T207" s="211"/>
      <c r="U207" s="211"/>
      <c r="V207" s="211"/>
      <c r="W207" s="211"/>
      <c r="X207" s="211"/>
      <c r="Y207" s="211"/>
      <c r="Z207" s="211"/>
      <c r="AA207" s="211"/>
    </row>
    <row r="208">
      <c r="A208" s="211"/>
      <c r="B208" s="211"/>
      <c r="C208" s="211"/>
      <c r="D208" s="211"/>
      <c r="E208" s="211"/>
      <c r="F208" s="211"/>
      <c r="G208" s="211"/>
      <c r="H208" s="211"/>
      <c r="I208" s="211"/>
      <c r="J208" s="211"/>
      <c r="K208" s="211"/>
      <c r="L208" s="211"/>
      <c r="M208" s="211"/>
      <c r="N208" s="211"/>
      <c r="O208" s="211"/>
      <c r="P208" s="211"/>
      <c r="Q208" s="211"/>
      <c r="R208" s="211"/>
      <c r="S208" s="211"/>
      <c r="T208" s="211"/>
      <c r="U208" s="211"/>
      <c r="V208" s="211"/>
      <c r="W208" s="211"/>
      <c r="X208" s="211"/>
      <c r="Y208" s="211"/>
      <c r="Z208" s="211"/>
      <c r="AA208" s="211"/>
    </row>
    <row r="209">
      <c r="A209" s="211"/>
      <c r="B209" s="211"/>
      <c r="C209" s="211"/>
      <c r="D209" s="211"/>
      <c r="E209" s="211"/>
      <c r="F209" s="211"/>
      <c r="G209" s="211"/>
      <c r="H209" s="211"/>
      <c r="I209" s="211"/>
      <c r="J209" s="211"/>
      <c r="K209" s="211"/>
      <c r="L209" s="211"/>
      <c r="M209" s="211"/>
      <c r="N209" s="211"/>
      <c r="O209" s="211"/>
      <c r="P209" s="211"/>
      <c r="Q209" s="211"/>
      <c r="R209" s="211"/>
      <c r="S209" s="211"/>
      <c r="T209" s="211"/>
      <c r="U209" s="211"/>
      <c r="V209" s="211"/>
      <c r="W209" s="211"/>
      <c r="X209" s="211"/>
      <c r="Y209" s="211"/>
      <c r="Z209" s="211"/>
      <c r="AA209" s="211"/>
    </row>
    <row r="210">
      <c r="A210" s="211"/>
      <c r="B210" s="211"/>
      <c r="C210" s="211"/>
      <c r="D210" s="211"/>
      <c r="E210" s="211"/>
      <c r="F210" s="211"/>
      <c r="G210" s="211"/>
      <c r="H210" s="211"/>
      <c r="I210" s="211"/>
      <c r="J210" s="211"/>
      <c r="K210" s="211"/>
      <c r="L210" s="211"/>
      <c r="M210" s="211"/>
      <c r="N210" s="211"/>
      <c r="O210" s="211"/>
      <c r="P210" s="211"/>
      <c r="Q210" s="211"/>
      <c r="R210" s="211"/>
      <c r="S210" s="211"/>
      <c r="T210" s="211"/>
      <c r="U210" s="211"/>
      <c r="V210" s="211"/>
      <c r="W210" s="211"/>
      <c r="X210" s="211"/>
      <c r="Y210" s="211"/>
      <c r="Z210" s="211"/>
      <c r="AA210" s="211"/>
    </row>
    <row r="211">
      <c r="A211" s="211"/>
      <c r="B211" s="211"/>
      <c r="C211" s="211"/>
      <c r="D211" s="211"/>
      <c r="E211" s="211"/>
      <c r="F211" s="211"/>
      <c r="G211" s="211"/>
      <c r="H211" s="211"/>
      <c r="I211" s="211"/>
      <c r="J211" s="211"/>
      <c r="K211" s="211"/>
      <c r="L211" s="211"/>
      <c r="M211" s="211"/>
      <c r="N211" s="211"/>
      <c r="O211" s="211"/>
      <c r="P211" s="211"/>
      <c r="Q211" s="211"/>
      <c r="R211" s="211"/>
      <c r="S211" s="211"/>
      <c r="T211" s="211"/>
      <c r="U211" s="211"/>
      <c r="V211" s="211"/>
      <c r="W211" s="211"/>
      <c r="X211" s="211"/>
      <c r="Y211" s="211"/>
      <c r="Z211" s="211"/>
      <c r="AA211" s="211"/>
    </row>
    <row r="212">
      <c r="A212" s="211"/>
      <c r="B212" s="211"/>
      <c r="C212" s="211"/>
      <c r="D212" s="211"/>
      <c r="E212" s="211"/>
      <c r="F212" s="211"/>
      <c r="G212" s="211"/>
      <c r="H212" s="211"/>
      <c r="I212" s="211"/>
      <c r="J212" s="211"/>
      <c r="K212" s="211"/>
      <c r="L212" s="211"/>
      <c r="M212" s="211"/>
      <c r="N212" s="211"/>
      <c r="O212" s="211"/>
      <c r="P212" s="211"/>
      <c r="Q212" s="211"/>
      <c r="R212" s="211"/>
      <c r="S212" s="211"/>
      <c r="T212" s="211"/>
      <c r="U212" s="211"/>
      <c r="V212" s="211"/>
      <c r="W212" s="211"/>
      <c r="X212" s="211"/>
      <c r="Y212" s="211"/>
      <c r="Z212" s="211"/>
      <c r="AA212" s="211"/>
    </row>
    <row r="213">
      <c r="A213" s="211"/>
      <c r="B213" s="211"/>
      <c r="C213" s="211"/>
      <c r="D213" s="211"/>
      <c r="E213" s="211"/>
      <c r="F213" s="211"/>
      <c r="G213" s="211"/>
      <c r="H213" s="211"/>
      <c r="I213" s="211"/>
      <c r="J213" s="211"/>
      <c r="K213" s="211"/>
      <c r="L213" s="211"/>
      <c r="M213" s="211"/>
      <c r="N213" s="211"/>
      <c r="O213" s="211"/>
      <c r="P213" s="211"/>
      <c r="Q213" s="211"/>
      <c r="R213" s="211"/>
      <c r="S213" s="211"/>
      <c r="T213" s="211"/>
      <c r="U213" s="211"/>
      <c r="V213" s="211"/>
      <c r="W213" s="211"/>
      <c r="X213" s="211"/>
      <c r="Y213" s="211"/>
      <c r="Z213" s="211"/>
      <c r="AA213" s="211"/>
    </row>
    <row r="214">
      <c r="A214" s="211"/>
      <c r="B214" s="211"/>
      <c r="C214" s="211"/>
      <c r="D214" s="211"/>
      <c r="E214" s="211"/>
      <c r="F214" s="211"/>
      <c r="G214" s="211"/>
      <c r="H214" s="211"/>
      <c r="I214" s="211"/>
      <c r="J214" s="211"/>
      <c r="K214" s="211"/>
      <c r="L214" s="211"/>
      <c r="M214" s="211"/>
      <c r="N214" s="211"/>
      <c r="O214" s="211"/>
      <c r="P214" s="211"/>
      <c r="Q214" s="211"/>
      <c r="R214" s="211"/>
      <c r="S214" s="211"/>
      <c r="T214" s="211"/>
      <c r="U214" s="211"/>
      <c r="V214" s="211"/>
      <c r="W214" s="211"/>
      <c r="X214" s="211"/>
      <c r="Y214" s="211"/>
      <c r="Z214" s="211"/>
      <c r="AA214" s="211"/>
    </row>
    <row r="215">
      <c r="A215" s="211"/>
      <c r="B215" s="211"/>
      <c r="C215" s="211"/>
      <c r="D215" s="211"/>
      <c r="E215" s="211"/>
      <c r="F215" s="211"/>
      <c r="G215" s="211"/>
      <c r="H215" s="211"/>
      <c r="I215" s="211"/>
      <c r="J215" s="211"/>
      <c r="K215" s="211"/>
      <c r="L215" s="211"/>
      <c r="M215" s="211"/>
      <c r="N215" s="211"/>
      <c r="O215" s="211"/>
      <c r="P215" s="211"/>
      <c r="Q215" s="211"/>
      <c r="R215" s="211"/>
      <c r="S215" s="211"/>
      <c r="T215" s="211"/>
      <c r="U215" s="211"/>
      <c r="V215" s="211"/>
      <c r="W215" s="211"/>
      <c r="X215" s="211"/>
      <c r="Y215" s="211"/>
      <c r="Z215" s="211"/>
      <c r="AA215" s="211"/>
    </row>
    <row r="216">
      <c r="A216" s="211"/>
      <c r="B216" s="211"/>
      <c r="C216" s="211"/>
      <c r="D216" s="211"/>
      <c r="E216" s="211"/>
      <c r="F216" s="211"/>
      <c r="G216" s="211"/>
      <c r="H216" s="211"/>
      <c r="I216" s="211"/>
      <c r="J216" s="211"/>
      <c r="K216" s="211"/>
      <c r="L216" s="211"/>
      <c r="M216" s="211"/>
      <c r="N216" s="211"/>
      <c r="O216" s="211"/>
      <c r="P216" s="211"/>
      <c r="Q216" s="211"/>
      <c r="R216" s="211"/>
      <c r="S216" s="211"/>
      <c r="T216" s="211"/>
      <c r="U216" s="211"/>
      <c r="V216" s="211"/>
      <c r="W216" s="211"/>
      <c r="X216" s="211"/>
      <c r="Y216" s="211"/>
      <c r="Z216" s="211"/>
      <c r="AA216" s="211"/>
    </row>
    <row r="217">
      <c r="A217" s="211"/>
      <c r="B217" s="211"/>
      <c r="C217" s="211"/>
      <c r="D217" s="211"/>
      <c r="E217" s="211"/>
      <c r="F217" s="211"/>
      <c r="G217" s="211"/>
      <c r="H217" s="211"/>
      <c r="I217" s="211"/>
      <c r="J217" s="211"/>
      <c r="K217" s="211"/>
      <c r="L217" s="211"/>
      <c r="M217" s="211"/>
      <c r="N217" s="211"/>
      <c r="O217" s="211"/>
      <c r="P217" s="211"/>
      <c r="Q217" s="211"/>
      <c r="R217" s="211"/>
      <c r="S217" s="211"/>
      <c r="T217" s="211"/>
      <c r="U217" s="211"/>
      <c r="V217" s="211"/>
      <c r="W217" s="211"/>
      <c r="X217" s="211"/>
      <c r="Y217" s="211"/>
      <c r="Z217" s="211"/>
      <c r="AA217" s="211"/>
    </row>
    <row r="218">
      <c r="A218" s="211"/>
      <c r="B218" s="211"/>
      <c r="C218" s="211"/>
      <c r="D218" s="211"/>
      <c r="E218" s="211"/>
      <c r="F218" s="211"/>
      <c r="G218" s="211"/>
      <c r="H218" s="211"/>
      <c r="I218" s="211"/>
      <c r="J218" s="211"/>
      <c r="K218" s="211"/>
      <c r="L218" s="211"/>
      <c r="M218" s="211"/>
      <c r="N218" s="211"/>
      <c r="O218" s="211"/>
      <c r="P218" s="211"/>
      <c r="Q218" s="211"/>
      <c r="R218" s="211"/>
      <c r="S218" s="211"/>
      <c r="T218" s="211"/>
      <c r="U218" s="211"/>
      <c r="V218" s="211"/>
      <c r="W218" s="211"/>
      <c r="X218" s="211"/>
      <c r="Y218" s="211"/>
      <c r="Z218" s="211"/>
      <c r="AA218" s="211"/>
    </row>
    <row r="219">
      <c r="A219" s="211"/>
      <c r="B219" s="211"/>
      <c r="C219" s="211"/>
      <c r="D219" s="211"/>
      <c r="E219" s="211"/>
      <c r="F219" s="211"/>
      <c r="G219" s="211"/>
      <c r="H219" s="211"/>
      <c r="I219" s="211"/>
      <c r="J219" s="211"/>
      <c r="K219" s="211"/>
      <c r="L219" s="211"/>
      <c r="M219" s="211"/>
      <c r="N219" s="211"/>
      <c r="O219" s="211"/>
      <c r="P219" s="211"/>
      <c r="Q219" s="211"/>
      <c r="R219" s="211"/>
      <c r="S219" s="211"/>
      <c r="T219" s="211"/>
      <c r="U219" s="211"/>
      <c r="V219" s="211"/>
      <c r="W219" s="211"/>
      <c r="X219" s="211"/>
      <c r="Y219" s="211"/>
      <c r="Z219" s="211"/>
      <c r="AA219" s="211"/>
    </row>
    <row r="220">
      <c r="A220" s="211"/>
      <c r="B220" s="211"/>
      <c r="C220" s="211"/>
      <c r="D220" s="211"/>
      <c r="E220" s="211"/>
      <c r="F220" s="211"/>
      <c r="G220" s="211"/>
      <c r="H220" s="211"/>
      <c r="I220" s="211"/>
      <c r="J220" s="211"/>
      <c r="K220" s="211"/>
      <c r="L220" s="211"/>
      <c r="M220" s="211"/>
      <c r="N220" s="211"/>
      <c r="O220" s="211"/>
      <c r="P220" s="211"/>
      <c r="Q220" s="211"/>
      <c r="R220" s="211"/>
      <c r="S220" s="211"/>
      <c r="T220" s="211"/>
      <c r="U220" s="211"/>
      <c r="V220" s="211"/>
      <c r="W220" s="211"/>
      <c r="X220" s="211"/>
      <c r="Y220" s="211"/>
      <c r="Z220" s="211"/>
      <c r="AA220" s="211"/>
    </row>
    <row r="221">
      <c r="A221" s="211"/>
      <c r="B221" s="211"/>
      <c r="C221" s="211"/>
      <c r="D221" s="211"/>
      <c r="E221" s="211"/>
      <c r="F221" s="211"/>
      <c r="G221" s="211"/>
      <c r="H221" s="211"/>
      <c r="I221" s="211"/>
      <c r="J221" s="211"/>
      <c r="K221" s="211"/>
      <c r="L221" s="211"/>
      <c r="M221" s="211"/>
      <c r="N221" s="211"/>
      <c r="O221" s="211"/>
      <c r="P221" s="211"/>
      <c r="Q221" s="211"/>
      <c r="R221" s="211"/>
      <c r="S221" s="211"/>
      <c r="T221" s="211"/>
      <c r="U221" s="211"/>
      <c r="V221" s="211"/>
      <c r="W221" s="211"/>
      <c r="X221" s="211"/>
      <c r="Y221" s="211"/>
      <c r="Z221" s="211"/>
      <c r="AA221" s="211"/>
    </row>
    <row r="222">
      <c r="A222" s="211"/>
      <c r="B222" s="211"/>
      <c r="C222" s="211"/>
      <c r="D222" s="211"/>
      <c r="E222" s="211"/>
      <c r="F222" s="211"/>
      <c r="G222" s="211"/>
      <c r="H222" s="211"/>
      <c r="I222" s="211"/>
      <c r="J222" s="211"/>
      <c r="K222" s="211"/>
      <c r="L222" s="211"/>
      <c r="M222" s="211"/>
      <c r="N222" s="211"/>
      <c r="O222" s="211"/>
      <c r="P222" s="211"/>
      <c r="Q222" s="211"/>
      <c r="R222" s="211"/>
      <c r="S222" s="211"/>
      <c r="T222" s="211"/>
      <c r="U222" s="211"/>
      <c r="V222" s="211"/>
      <c r="W222" s="211"/>
      <c r="X222" s="211"/>
      <c r="Y222" s="211"/>
      <c r="Z222" s="211"/>
      <c r="AA222" s="211"/>
    </row>
    <row r="223">
      <c r="A223" s="211"/>
      <c r="B223" s="211"/>
      <c r="C223" s="211"/>
      <c r="D223" s="211"/>
      <c r="E223" s="211"/>
      <c r="F223" s="211"/>
      <c r="G223" s="211"/>
      <c r="H223" s="211"/>
      <c r="I223" s="211"/>
      <c r="J223" s="211"/>
      <c r="K223" s="211"/>
      <c r="L223" s="211"/>
      <c r="M223" s="211"/>
      <c r="N223" s="211"/>
      <c r="O223" s="211"/>
      <c r="P223" s="211"/>
      <c r="Q223" s="211"/>
      <c r="R223" s="211"/>
      <c r="S223" s="211"/>
      <c r="T223" s="211"/>
      <c r="U223" s="211"/>
      <c r="V223" s="211"/>
      <c r="W223" s="211"/>
      <c r="X223" s="211"/>
      <c r="Y223" s="211"/>
      <c r="Z223" s="211"/>
      <c r="AA223" s="211"/>
    </row>
    <row r="224">
      <c r="A224" s="211"/>
      <c r="B224" s="211"/>
      <c r="C224" s="211"/>
      <c r="D224" s="211"/>
      <c r="E224" s="211"/>
      <c r="F224" s="211"/>
      <c r="G224" s="211"/>
      <c r="H224" s="211"/>
      <c r="I224" s="211"/>
      <c r="J224" s="211"/>
      <c r="K224" s="211"/>
      <c r="L224" s="211"/>
      <c r="M224" s="211"/>
      <c r="N224" s="211"/>
      <c r="O224" s="211"/>
      <c r="P224" s="211"/>
      <c r="Q224" s="211"/>
      <c r="R224" s="211"/>
      <c r="S224" s="211"/>
      <c r="T224" s="211"/>
      <c r="U224" s="211"/>
      <c r="V224" s="211"/>
      <c r="W224" s="211"/>
      <c r="X224" s="211"/>
      <c r="Y224" s="211"/>
      <c r="Z224" s="211"/>
      <c r="AA224" s="211"/>
    </row>
    <row r="225">
      <c r="A225" s="211"/>
      <c r="B225" s="211"/>
      <c r="C225" s="211"/>
      <c r="D225" s="211"/>
      <c r="E225" s="211"/>
      <c r="F225" s="211"/>
      <c r="G225" s="211"/>
      <c r="H225" s="211"/>
      <c r="I225" s="211"/>
      <c r="J225" s="211"/>
      <c r="K225" s="211"/>
      <c r="L225" s="211"/>
      <c r="M225" s="211"/>
      <c r="N225" s="211"/>
      <c r="O225" s="211"/>
      <c r="P225" s="211"/>
      <c r="Q225" s="211"/>
      <c r="R225" s="211"/>
      <c r="S225" s="211"/>
      <c r="T225" s="211"/>
      <c r="U225" s="211"/>
      <c r="V225" s="211"/>
      <c r="W225" s="211"/>
      <c r="X225" s="211"/>
      <c r="Y225" s="211"/>
      <c r="Z225" s="211"/>
      <c r="AA225" s="211"/>
    </row>
    <row r="226">
      <c r="A226" s="211"/>
      <c r="B226" s="211"/>
      <c r="C226" s="211"/>
      <c r="D226" s="211"/>
      <c r="E226" s="211"/>
      <c r="F226" s="211"/>
      <c r="G226" s="211"/>
      <c r="H226" s="211"/>
      <c r="I226" s="211"/>
      <c r="J226" s="211"/>
      <c r="K226" s="211"/>
      <c r="L226" s="211"/>
      <c r="M226" s="211"/>
      <c r="N226" s="211"/>
      <c r="O226" s="211"/>
      <c r="P226" s="211"/>
      <c r="Q226" s="211"/>
      <c r="R226" s="211"/>
      <c r="S226" s="211"/>
      <c r="T226" s="211"/>
      <c r="U226" s="211"/>
      <c r="V226" s="211"/>
      <c r="W226" s="211"/>
      <c r="X226" s="211"/>
      <c r="Y226" s="211"/>
      <c r="Z226" s="211"/>
      <c r="AA226" s="211"/>
    </row>
    <row r="227">
      <c r="A227" s="211"/>
      <c r="B227" s="211"/>
      <c r="C227" s="211"/>
      <c r="D227" s="211"/>
      <c r="E227" s="211"/>
      <c r="F227" s="211"/>
      <c r="G227" s="211"/>
      <c r="H227" s="211"/>
      <c r="I227" s="211"/>
      <c r="J227" s="211"/>
      <c r="K227" s="211"/>
      <c r="L227" s="211"/>
      <c r="M227" s="211"/>
      <c r="N227" s="211"/>
      <c r="O227" s="211"/>
      <c r="P227" s="211"/>
      <c r="Q227" s="211"/>
      <c r="R227" s="211"/>
      <c r="S227" s="211"/>
      <c r="T227" s="211"/>
      <c r="U227" s="211"/>
      <c r="V227" s="211"/>
      <c r="W227" s="211"/>
      <c r="X227" s="211"/>
      <c r="Y227" s="211"/>
      <c r="Z227" s="211"/>
      <c r="AA227" s="211"/>
    </row>
    <row r="228">
      <c r="A228" s="211"/>
      <c r="B228" s="211"/>
      <c r="C228" s="211"/>
      <c r="D228" s="211"/>
      <c r="E228" s="211"/>
      <c r="F228" s="211"/>
      <c r="G228" s="211"/>
      <c r="H228" s="211"/>
      <c r="I228" s="211"/>
      <c r="J228" s="211"/>
      <c r="K228" s="211"/>
      <c r="L228" s="211"/>
      <c r="M228" s="211"/>
      <c r="N228" s="211"/>
      <c r="O228" s="211"/>
      <c r="P228" s="211"/>
      <c r="Q228" s="211"/>
      <c r="R228" s="211"/>
      <c r="S228" s="211"/>
      <c r="T228" s="211"/>
      <c r="U228" s="211"/>
      <c r="V228" s="211"/>
      <c r="W228" s="211"/>
      <c r="X228" s="211"/>
      <c r="Y228" s="211"/>
      <c r="Z228" s="211"/>
      <c r="AA228" s="211"/>
    </row>
    <row r="229">
      <c r="A229" s="211"/>
      <c r="B229" s="211"/>
      <c r="C229" s="211"/>
      <c r="D229" s="211"/>
      <c r="E229" s="211"/>
      <c r="F229" s="211"/>
      <c r="G229" s="211"/>
      <c r="H229" s="211"/>
      <c r="I229" s="211"/>
      <c r="J229" s="211"/>
      <c r="K229" s="211"/>
      <c r="L229" s="211"/>
      <c r="M229" s="211"/>
      <c r="N229" s="211"/>
      <c r="O229" s="211"/>
      <c r="P229" s="211"/>
      <c r="Q229" s="211"/>
      <c r="R229" s="211"/>
      <c r="S229" s="211"/>
      <c r="T229" s="211"/>
      <c r="U229" s="211"/>
      <c r="V229" s="211"/>
      <c r="W229" s="211"/>
      <c r="X229" s="211"/>
      <c r="Y229" s="211"/>
      <c r="Z229" s="211"/>
      <c r="AA229" s="211"/>
    </row>
    <row r="230">
      <c r="A230" s="211"/>
      <c r="B230" s="211"/>
      <c r="C230" s="211"/>
      <c r="D230" s="211"/>
      <c r="E230" s="211"/>
      <c r="F230" s="211"/>
      <c r="G230" s="211"/>
      <c r="H230" s="211"/>
      <c r="I230" s="211"/>
      <c r="J230" s="211"/>
      <c r="K230" s="211"/>
      <c r="L230" s="211"/>
      <c r="M230" s="211"/>
      <c r="N230" s="211"/>
      <c r="O230" s="211"/>
      <c r="P230" s="211"/>
      <c r="Q230" s="211"/>
      <c r="R230" s="211"/>
      <c r="S230" s="211"/>
      <c r="T230" s="211"/>
      <c r="U230" s="211"/>
      <c r="V230" s="211"/>
      <c r="W230" s="211"/>
      <c r="X230" s="211"/>
      <c r="Y230" s="211"/>
      <c r="Z230" s="211"/>
      <c r="AA230" s="211"/>
    </row>
    <row r="231">
      <c r="A231" s="211"/>
      <c r="B231" s="211"/>
      <c r="C231" s="211"/>
      <c r="D231" s="211"/>
      <c r="E231" s="211"/>
      <c r="F231" s="211"/>
      <c r="G231" s="211"/>
      <c r="H231" s="211"/>
      <c r="I231" s="211"/>
      <c r="J231" s="211"/>
      <c r="K231" s="211"/>
      <c r="L231" s="211"/>
      <c r="M231" s="211"/>
      <c r="N231" s="211"/>
      <c r="O231" s="211"/>
      <c r="P231" s="211"/>
      <c r="Q231" s="211"/>
      <c r="R231" s="211"/>
      <c r="S231" s="211"/>
      <c r="T231" s="211"/>
      <c r="U231" s="211"/>
      <c r="V231" s="211"/>
      <c r="W231" s="211"/>
      <c r="X231" s="211"/>
      <c r="Y231" s="211"/>
      <c r="Z231" s="211"/>
      <c r="AA231" s="211"/>
    </row>
    <row r="232">
      <c r="A232" s="211"/>
      <c r="B232" s="211"/>
      <c r="C232" s="211"/>
      <c r="D232" s="211"/>
      <c r="E232" s="211"/>
      <c r="F232" s="211"/>
      <c r="G232" s="211"/>
      <c r="H232" s="211"/>
      <c r="I232" s="211"/>
      <c r="J232" s="211"/>
      <c r="K232" s="211"/>
      <c r="L232" s="211"/>
      <c r="M232" s="211"/>
      <c r="N232" s="211"/>
      <c r="O232" s="211"/>
      <c r="P232" s="211"/>
      <c r="Q232" s="211"/>
      <c r="R232" s="211"/>
      <c r="S232" s="211"/>
      <c r="T232" s="211"/>
      <c r="U232" s="211"/>
      <c r="V232" s="211"/>
      <c r="W232" s="211"/>
      <c r="X232" s="211"/>
      <c r="Y232" s="211"/>
      <c r="Z232" s="211"/>
      <c r="AA232" s="211"/>
    </row>
    <row r="233">
      <c r="A233" s="211"/>
      <c r="B233" s="211"/>
      <c r="C233" s="211"/>
      <c r="D233" s="211"/>
      <c r="E233" s="211"/>
      <c r="F233" s="211"/>
      <c r="G233" s="211"/>
      <c r="H233" s="211"/>
      <c r="I233" s="211"/>
      <c r="J233" s="211"/>
      <c r="K233" s="211"/>
      <c r="L233" s="211"/>
      <c r="M233" s="211"/>
      <c r="N233" s="211"/>
      <c r="O233" s="211"/>
      <c r="P233" s="211"/>
      <c r="Q233" s="211"/>
      <c r="R233" s="211"/>
      <c r="S233" s="211"/>
      <c r="T233" s="211"/>
      <c r="U233" s="211"/>
      <c r="V233" s="211"/>
      <c r="W233" s="211"/>
      <c r="X233" s="211"/>
      <c r="Y233" s="211"/>
      <c r="Z233" s="211"/>
      <c r="AA233" s="211"/>
    </row>
    <row r="234">
      <c r="A234" s="211"/>
      <c r="B234" s="211"/>
      <c r="C234" s="211"/>
      <c r="D234" s="211"/>
      <c r="E234" s="211"/>
      <c r="F234" s="211"/>
      <c r="G234" s="211"/>
      <c r="H234" s="211"/>
      <c r="I234" s="211"/>
      <c r="J234" s="211"/>
      <c r="K234" s="211"/>
      <c r="L234" s="211"/>
      <c r="M234" s="211"/>
      <c r="N234" s="211"/>
      <c r="O234" s="211"/>
      <c r="P234" s="211"/>
      <c r="Q234" s="211"/>
      <c r="R234" s="211"/>
      <c r="S234" s="211"/>
      <c r="T234" s="211"/>
      <c r="U234" s="211"/>
      <c r="V234" s="211"/>
      <c r="W234" s="211"/>
      <c r="X234" s="211"/>
      <c r="Y234" s="211"/>
      <c r="Z234" s="211"/>
      <c r="AA234" s="211"/>
    </row>
    <row r="235">
      <c r="A235" s="211"/>
      <c r="B235" s="211"/>
      <c r="C235" s="211"/>
      <c r="D235" s="211"/>
      <c r="E235" s="211"/>
      <c r="F235" s="211"/>
      <c r="G235" s="211"/>
      <c r="H235" s="211"/>
      <c r="I235" s="211"/>
      <c r="J235" s="211"/>
      <c r="K235" s="211"/>
      <c r="L235" s="211"/>
      <c r="M235" s="211"/>
      <c r="N235" s="211"/>
      <c r="O235" s="211"/>
      <c r="P235" s="211"/>
      <c r="Q235" s="211"/>
      <c r="R235" s="211"/>
      <c r="S235" s="211"/>
      <c r="T235" s="211"/>
      <c r="U235" s="211"/>
      <c r="V235" s="211"/>
      <c r="W235" s="211"/>
      <c r="X235" s="211"/>
      <c r="Y235" s="211"/>
      <c r="Z235" s="211"/>
      <c r="AA235" s="211"/>
    </row>
    <row r="236">
      <c r="A236" s="211"/>
      <c r="B236" s="211"/>
      <c r="C236" s="211"/>
      <c r="D236" s="211"/>
      <c r="E236" s="211"/>
      <c r="F236" s="211"/>
      <c r="G236" s="211"/>
      <c r="H236" s="211"/>
      <c r="I236" s="211"/>
      <c r="J236" s="211"/>
      <c r="K236" s="211"/>
      <c r="L236" s="211"/>
      <c r="M236" s="211"/>
      <c r="N236" s="211"/>
      <c r="O236" s="211"/>
      <c r="P236" s="211"/>
      <c r="Q236" s="211"/>
      <c r="R236" s="211"/>
      <c r="S236" s="211"/>
      <c r="T236" s="211"/>
      <c r="U236" s="211"/>
      <c r="V236" s="211"/>
      <c r="W236" s="211"/>
      <c r="X236" s="211"/>
      <c r="Y236" s="211"/>
      <c r="Z236" s="211"/>
      <c r="AA236" s="211"/>
    </row>
    <row r="237">
      <c r="A237" s="211"/>
      <c r="B237" s="211"/>
      <c r="C237" s="211"/>
      <c r="D237" s="211"/>
      <c r="E237" s="211"/>
      <c r="F237" s="211"/>
      <c r="G237" s="211"/>
      <c r="H237" s="211"/>
      <c r="I237" s="211"/>
      <c r="J237" s="211"/>
      <c r="K237" s="211"/>
      <c r="L237" s="211"/>
      <c r="M237" s="211"/>
      <c r="N237" s="211"/>
      <c r="O237" s="211"/>
      <c r="P237" s="211"/>
      <c r="Q237" s="211"/>
      <c r="R237" s="211"/>
      <c r="S237" s="211"/>
      <c r="T237" s="211"/>
      <c r="U237" s="211"/>
      <c r="V237" s="211"/>
      <c r="W237" s="211"/>
      <c r="X237" s="211"/>
      <c r="Y237" s="211"/>
      <c r="Z237" s="211"/>
      <c r="AA237" s="211"/>
    </row>
    <row r="238">
      <c r="A238" s="211"/>
      <c r="B238" s="211"/>
      <c r="C238" s="211"/>
      <c r="D238" s="211"/>
      <c r="E238" s="211"/>
      <c r="F238" s="211"/>
      <c r="G238" s="211"/>
      <c r="H238" s="211"/>
      <c r="I238" s="211"/>
      <c r="J238" s="211"/>
      <c r="K238" s="211"/>
      <c r="L238" s="211"/>
      <c r="M238" s="211"/>
      <c r="N238" s="211"/>
      <c r="O238" s="211"/>
      <c r="P238" s="211"/>
      <c r="Q238" s="211"/>
      <c r="R238" s="211"/>
      <c r="S238" s="211"/>
      <c r="T238" s="211"/>
      <c r="U238" s="211"/>
      <c r="V238" s="211"/>
      <c r="W238" s="211"/>
      <c r="X238" s="211"/>
      <c r="Y238" s="211"/>
      <c r="Z238" s="211"/>
      <c r="AA238" s="211"/>
    </row>
    <row r="239">
      <c r="A239" s="211"/>
      <c r="B239" s="211"/>
      <c r="C239" s="211"/>
      <c r="D239" s="211"/>
      <c r="E239" s="211"/>
      <c r="F239" s="211"/>
      <c r="G239" s="211"/>
      <c r="H239" s="211"/>
      <c r="I239" s="211"/>
      <c r="J239" s="211"/>
      <c r="K239" s="211"/>
      <c r="L239" s="211"/>
      <c r="M239" s="211"/>
      <c r="N239" s="211"/>
      <c r="O239" s="211"/>
      <c r="P239" s="211"/>
      <c r="Q239" s="211"/>
      <c r="R239" s="211"/>
      <c r="S239" s="211"/>
      <c r="T239" s="211"/>
      <c r="U239" s="211"/>
      <c r="V239" s="211"/>
      <c r="W239" s="211"/>
      <c r="X239" s="211"/>
      <c r="Y239" s="211"/>
      <c r="Z239" s="211"/>
      <c r="AA239" s="211"/>
    </row>
    <row r="240">
      <c r="A240" s="211"/>
      <c r="B240" s="211"/>
      <c r="C240" s="211"/>
      <c r="D240" s="211"/>
      <c r="E240" s="211"/>
      <c r="F240" s="211"/>
      <c r="G240" s="211"/>
      <c r="H240" s="211"/>
      <c r="I240" s="211"/>
      <c r="J240" s="211"/>
      <c r="K240" s="211"/>
      <c r="L240" s="211"/>
      <c r="M240" s="211"/>
      <c r="N240" s="211"/>
      <c r="O240" s="211"/>
      <c r="P240" s="211"/>
      <c r="Q240" s="211"/>
      <c r="R240" s="211"/>
      <c r="S240" s="211"/>
      <c r="T240" s="211"/>
      <c r="U240" s="211"/>
      <c r="V240" s="211"/>
      <c r="W240" s="211"/>
      <c r="X240" s="211"/>
      <c r="Y240" s="211"/>
      <c r="Z240" s="211"/>
      <c r="AA240" s="211"/>
    </row>
    <row r="241">
      <c r="A241" s="211"/>
      <c r="B241" s="211"/>
      <c r="C241" s="211"/>
      <c r="D241" s="211"/>
      <c r="E241" s="211"/>
      <c r="F241" s="211"/>
      <c r="G241" s="211"/>
      <c r="H241" s="211"/>
      <c r="I241" s="211"/>
      <c r="J241" s="211"/>
      <c r="K241" s="211"/>
      <c r="L241" s="211"/>
      <c r="M241" s="211"/>
      <c r="N241" s="211"/>
      <c r="O241" s="211"/>
      <c r="P241" s="211"/>
      <c r="Q241" s="211"/>
      <c r="R241" s="211"/>
      <c r="S241" s="211"/>
      <c r="T241" s="211"/>
      <c r="U241" s="211"/>
      <c r="V241" s="211"/>
      <c r="W241" s="211"/>
      <c r="X241" s="211"/>
      <c r="Y241" s="211"/>
      <c r="Z241" s="211"/>
      <c r="AA241" s="211"/>
    </row>
    <row r="242">
      <c r="A242" s="211"/>
      <c r="B242" s="211"/>
      <c r="C242" s="211"/>
      <c r="D242" s="211"/>
      <c r="E242" s="211"/>
      <c r="F242" s="211"/>
      <c r="G242" s="211"/>
      <c r="H242" s="211"/>
      <c r="I242" s="211"/>
      <c r="J242" s="211"/>
      <c r="K242" s="211"/>
      <c r="L242" s="211"/>
      <c r="M242" s="211"/>
      <c r="N242" s="211"/>
      <c r="O242" s="211"/>
      <c r="P242" s="211"/>
      <c r="Q242" s="211"/>
      <c r="R242" s="211"/>
      <c r="S242" s="211"/>
      <c r="T242" s="211"/>
      <c r="U242" s="211"/>
      <c r="V242" s="211"/>
      <c r="W242" s="211"/>
      <c r="X242" s="211"/>
      <c r="Y242" s="211"/>
      <c r="Z242" s="211"/>
      <c r="AA242" s="211"/>
    </row>
    <row r="243">
      <c r="A243" s="211"/>
      <c r="B243" s="211"/>
      <c r="C243" s="211"/>
      <c r="D243" s="211"/>
      <c r="E243" s="211"/>
      <c r="F243" s="211"/>
      <c r="G243" s="211"/>
      <c r="H243" s="211"/>
      <c r="I243" s="211"/>
      <c r="J243" s="211"/>
      <c r="K243" s="211"/>
      <c r="L243" s="211"/>
      <c r="M243" s="211"/>
      <c r="N243" s="211"/>
      <c r="O243" s="211"/>
      <c r="P243" s="211"/>
      <c r="Q243" s="211"/>
      <c r="R243" s="211"/>
      <c r="S243" s="211"/>
      <c r="T243" s="211"/>
      <c r="U243" s="211"/>
      <c r="V243" s="211"/>
      <c r="W243" s="211"/>
      <c r="X243" s="211"/>
      <c r="Y243" s="211"/>
      <c r="Z243" s="211"/>
      <c r="AA243" s="211"/>
    </row>
    <row r="244">
      <c r="A244" s="211"/>
      <c r="B244" s="211"/>
      <c r="C244" s="211"/>
      <c r="D244" s="211"/>
      <c r="E244" s="211"/>
      <c r="F244" s="211"/>
      <c r="G244" s="211"/>
      <c r="H244" s="211"/>
      <c r="I244" s="211"/>
      <c r="J244" s="211"/>
      <c r="K244" s="211"/>
      <c r="L244" s="211"/>
      <c r="M244" s="211"/>
      <c r="N244" s="211"/>
      <c r="O244" s="211"/>
      <c r="P244" s="211"/>
      <c r="Q244" s="211"/>
      <c r="R244" s="211"/>
      <c r="S244" s="211"/>
      <c r="T244" s="211"/>
      <c r="U244" s="211"/>
      <c r="V244" s="211"/>
      <c r="W244" s="211"/>
      <c r="X244" s="211"/>
      <c r="Y244" s="211"/>
      <c r="Z244" s="211"/>
      <c r="AA244" s="211"/>
    </row>
    <row r="245">
      <c r="A245" s="211"/>
      <c r="B245" s="211"/>
      <c r="C245" s="211"/>
      <c r="D245" s="211"/>
      <c r="E245" s="211"/>
      <c r="F245" s="211"/>
      <c r="G245" s="211"/>
      <c r="H245" s="211"/>
      <c r="I245" s="211"/>
      <c r="J245" s="211"/>
      <c r="K245" s="211"/>
      <c r="L245" s="211"/>
      <c r="M245" s="211"/>
      <c r="N245" s="211"/>
      <c r="O245" s="211"/>
      <c r="P245" s="211"/>
      <c r="Q245" s="211"/>
      <c r="R245" s="211"/>
      <c r="S245" s="211"/>
      <c r="T245" s="211"/>
      <c r="U245" s="211"/>
      <c r="V245" s="211"/>
      <c r="W245" s="211"/>
      <c r="X245" s="211"/>
      <c r="Y245" s="211"/>
      <c r="Z245" s="211"/>
      <c r="AA245" s="211"/>
    </row>
    <row r="246">
      <c r="A246" s="211"/>
      <c r="B246" s="211"/>
      <c r="C246" s="211"/>
      <c r="D246" s="211"/>
      <c r="E246" s="211"/>
      <c r="F246" s="211"/>
      <c r="G246" s="211"/>
      <c r="H246" s="211"/>
      <c r="I246" s="211"/>
      <c r="J246" s="211"/>
      <c r="K246" s="211"/>
      <c r="L246" s="211"/>
      <c r="M246" s="211"/>
      <c r="N246" s="211"/>
      <c r="O246" s="211"/>
      <c r="P246" s="211"/>
      <c r="Q246" s="211"/>
      <c r="R246" s="211"/>
      <c r="S246" s="211"/>
      <c r="T246" s="211"/>
      <c r="U246" s="211"/>
      <c r="V246" s="211"/>
      <c r="W246" s="211"/>
      <c r="X246" s="211"/>
      <c r="Y246" s="211"/>
      <c r="Z246" s="211"/>
      <c r="AA246" s="211"/>
    </row>
    <row r="247">
      <c r="A247" s="211"/>
      <c r="B247" s="211"/>
      <c r="C247" s="211"/>
      <c r="D247" s="211"/>
      <c r="E247" s="211"/>
      <c r="F247" s="211"/>
      <c r="G247" s="211"/>
      <c r="H247" s="211"/>
      <c r="I247" s="211"/>
      <c r="J247" s="211"/>
      <c r="K247" s="211"/>
      <c r="L247" s="211"/>
      <c r="M247" s="211"/>
      <c r="N247" s="211"/>
      <c r="O247" s="211"/>
      <c r="P247" s="211"/>
      <c r="Q247" s="211"/>
      <c r="R247" s="211"/>
      <c r="S247" s="211"/>
      <c r="T247" s="211"/>
      <c r="U247" s="211"/>
      <c r="V247" s="211"/>
      <c r="W247" s="211"/>
      <c r="X247" s="211"/>
      <c r="Y247" s="211"/>
      <c r="Z247" s="211"/>
      <c r="AA247" s="211"/>
    </row>
    <row r="248">
      <c r="A248" s="211"/>
      <c r="B248" s="211"/>
      <c r="C248" s="211"/>
      <c r="D248" s="211"/>
      <c r="E248" s="211"/>
      <c r="F248" s="211"/>
      <c r="G248" s="211"/>
      <c r="H248" s="211"/>
      <c r="I248" s="211"/>
      <c r="J248" s="211"/>
      <c r="K248" s="211"/>
      <c r="L248" s="211"/>
      <c r="M248" s="211"/>
      <c r="N248" s="211"/>
      <c r="O248" s="211"/>
      <c r="P248" s="211"/>
      <c r="Q248" s="211"/>
      <c r="R248" s="211"/>
      <c r="S248" s="211"/>
      <c r="T248" s="211"/>
      <c r="U248" s="211"/>
      <c r="V248" s="211"/>
      <c r="W248" s="211"/>
      <c r="X248" s="211"/>
      <c r="Y248" s="211"/>
      <c r="Z248" s="211"/>
      <c r="AA248" s="211"/>
    </row>
    <row r="249">
      <c r="A249" s="211"/>
      <c r="B249" s="211"/>
      <c r="C249" s="211"/>
      <c r="D249" s="211"/>
      <c r="E249" s="211"/>
      <c r="F249" s="211"/>
      <c r="G249" s="211"/>
      <c r="H249" s="211"/>
      <c r="I249" s="211"/>
      <c r="J249" s="211"/>
      <c r="K249" s="211"/>
      <c r="L249" s="211"/>
      <c r="M249" s="211"/>
      <c r="N249" s="211"/>
      <c r="O249" s="211"/>
      <c r="P249" s="211"/>
      <c r="Q249" s="211"/>
      <c r="R249" s="211"/>
      <c r="S249" s="211"/>
      <c r="T249" s="211"/>
      <c r="U249" s="211"/>
      <c r="V249" s="211"/>
      <c r="W249" s="211"/>
      <c r="X249" s="211"/>
      <c r="Y249" s="211"/>
      <c r="Z249" s="211"/>
      <c r="AA249" s="211"/>
    </row>
    <row r="250">
      <c r="A250" s="211"/>
      <c r="B250" s="211"/>
      <c r="C250" s="211"/>
      <c r="D250" s="211"/>
      <c r="E250" s="211"/>
      <c r="F250" s="211"/>
      <c r="G250" s="211"/>
      <c r="H250" s="211"/>
      <c r="I250" s="211"/>
      <c r="J250" s="211"/>
      <c r="K250" s="211"/>
      <c r="L250" s="211"/>
      <c r="M250" s="211"/>
      <c r="N250" s="211"/>
      <c r="O250" s="211"/>
      <c r="P250" s="211"/>
      <c r="Q250" s="211"/>
      <c r="R250" s="211"/>
      <c r="S250" s="211"/>
      <c r="T250" s="211"/>
      <c r="U250" s="211"/>
      <c r="V250" s="211"/>
      <c r="W250" s="211"/>
      <c r="X250" s="211"/>
      <c r="Y250" s="211"/>
      <c r="Z250" s="211"/>
      <c r="AA250" s="211"/>
    </row>
    <row r="251">
      <c r="A251" s="211"/>
      <c r="B251" s="211"/>
      <c r="C251" s="211"/>
      <c r="D251" s="211"/>
      <c r="E251" s="211"/>
      <c r="F251" s="211"/>
      <c r="G251" s="211"/>
      <c r="H251" s="211"/>
      <c r="I251" s="211"/>
      <c r="J251" s="211"/>
      <c r="K251" s="211"/>
      <c r="L251" s="211"/>
      <c r="M251" s="211"/>
      <c r="N251" s="211"/>
      <c r="O251" s="211"/>
      <c r="P251" s="211"/>
      <c r="Q251" s="211"/>
      <c r="R251" s="211"/>
      <c r="S251" s="211"/>
      <c r="T251" s="211"/>
      <c r="U251" s="211"/>
      <c r="V251" s="211"/>
      <c r="W251" s="211"/>
      <c r="X251" s="211"/>
      <c r="Y251" s="211"/>
      <c r="Z251" s="211"/>
      <c r="AA251" s="211"/>
    </row>
    <row r="252">
      <c r="A252" s="211"/>
      <c r="B252" s="211"/>
      <c r="C252" s="211"/>
      <c r="D252" s="211"/>
      <c r="E252" s="211"/>
      <c r="F252" s="211"/>
      <c r="G252" s="211"/>
      <c r="H252" s="211"/>
      <c r="I252" s="211"/>
      <c r="J252" s="211"/>
      <c r="K252" s="211"/>
      <c r="L252" s="211"/>
      <c r="M252" s="211"/>
      <c r="N252" s="211"/>
      <c r="O252" s="211"/>
      <c r="P252" s="211"/>
      <c r="Q252" s="211"/>
      <c r="R252" s="211"/>
      <c r="S252" s="211"/>
      <c r="T252" s="211"/>
      <c r="U252" s="211"/>
      <c r="V252" s="211"/>
      <c r="W252" s="211"/>
      <c r="X252" s="211"/>
      <c r="Y252" s="211"/>
      <c r="Z252" s="211"/>
      <c r="AA252" s="211"/>
    </row>
    <row r="253">
      <c r="A253" s="211"/>
      <c r="B253" s="211"/>
      <c r="C253" s="211"/>
      <c r="D253" s="211"/>
      <c r="E253" s="211"/>
      <c r="F253" s="211"/>
      <c r="G253" s="211"/>
      <c r="H253" s="211"/>
      <c r="I253" s="211"/>
      <c r="J253" s="211"/>
      <c r="K253" s="211"/>
      <c r="L253" s="211"/>
      <c r="M253" s="211"/>
      <c r="N253" s="211"/>
      <c r="O253" s="211"/>
      <c r="P253" s="211"/>
      <c r="Q253" s="211"/>
      <c r="R253" s="211"/>
      <c r="S253" s="211"/>
      <c r="T253" s="211"/>
      <c r="U253" s="211"/>
      <c r="V253" s="211"/>
      <c r="W253" s="211"/>
      <c r="X253" s="211"/>
      <c r="Y253" s="211"/>
      <c r="Z253" s="211"/>
      <c r="AA253" s="211"/>
    </row>
    <row r="254">
      <c r="A254" s="211"/>
      <c r="B254" s="211"/>
      <c r="C254" s="211"/>
      <c r="D254" s="211"/>
      <c r="E254" s="211"/>
      <c r="F254" s="211"/>
      <c r="G254" s="211"/>
      <c r="H254" s="211"/>
      <c r="I254" s="211"/>
      <c r="J254" s="211"/>
      <c r="K254" s="211"/>
      <c r="L254" s="211"/>
      <c r="M254" s="211"/>
      <c r="N254" s="211"/>
      <c r="O254" s="211"/>
      <c r="P254" s="211"/>
      <c r="Q254" s="211"/>
      <c r="R254" s="211"/>
      <c r="S254" s="211"/>
      <c r="T254" s="211"/>
      <c r="U254" s="211"/>
      <c r="V254" s="211"/>
      <c r="W254" s="211"/>
      <c r="X254" s="211"/>
      <c r="Y254" s="211"/>
      <c r="Z254" s="211"/>
      <c r="AA254" s="211"/>
    </row>
    <row r="255">
      <c r="A255" s="211"/>
      <c r="B255" s="211"/>
      <c r="C255" s="211"/>
      <c r="D255" s="211"/>
      <c r="E255" s="211"/>
      <c r="F255" s="211"/>
      <c r="G255" s="211"/>
      <c r="H255" s="211"/>
      <c r="I255" s="211"/>
      <c r="J255" s="211"/>
      <c r="K255" s="211"/>
      <c r="L255" s="211"/>
      <c r="M255" s="211"/>
      <c r="N255" s="211"/>
      <c r="O255" s="211"/>
      <c r="P255" s="211"/>
      <c r="Q255" s="211"/>
      <c r="R255" s="211"/>
      <c r="S255" s="211"/>
      <c r="T255" s="211"/>
      <c r="U255" s="211"/>
      <c r="V255" s="211"/>
      <c r="W255" s="211"/>
      <c r="X255" s="211"/>
      <c r="Y255" s="211"/>
      <c r="Z255" s="211"/>
      <c r="AA255" s="211"/>
    </row>
    <row r="256">
      <c r="A256" s="211"/>
      <c r="B256" s="211"/>
      <c r="C256" s="211"/>
      <c r="D256" s="211"/>
      <c r="E256" s="211"/>
      <c r="F256" s="211"/>
      <c r="G256" s="211"/>
      <c r="H256" s="211"/>
      <c r="I256" s="211"/>
      <c r="J256" s="211"/>
      <c r="K256" s="211"/>
      <c r="L256" s="211"/>
      <c r="M256" s="211"/>
      <c r="N256" s="211"/>
      <c r="O256" s="211"/>
      <c r="P256" s="211"/>
      <c r="Q256" s="211"/>
      <c r="R256" s="211"/>
      <c r="S256" s="211"/>
      <c r="T256" s="211"/>
      <c r="U256" s="211"/>
      <c r="V256" s="211"/>
      <c r="W256" s="211"/>
      <c r="X256" s="211"/>
      <c r="Y256" s="211"/>
      <c r="Z256" s="211"/>
      <c r="AA256" s="211"/>
    </row>
    <row r="257">
      <c r="A257" s="211"/>
      <c r="B257" s="211"/>
      <c r="C257" s="211"/>
      <c r="D257" s="211"/>
      <c r="E257" s="211"/>
      <c r="F257" s="211"/>
      <c r="G257" s="211"/>
      <c r="H257" s="211"/>
      <c r="I257" s="211"/>
      <c r="J257" s="211"/>
      <c r="K257" s="211"/>
      <c r="L257" s="211"/>
      <c r="M257" s="211"/>
      <c r="N257" s="211"/>
      <c r="O257" s="211"/>
      <c r="P257" s="211"/>
      <c r="Q257" s="211"/>
      <c r="R257" s="211"/>
      <c r="S257" s="211"/>
      <c r="T257" s="211"/>
      <c r="U257" s="211"/>
      <c r="V257" s="211"/>
      <c r="W257" s="211"/>
      <c r="X257" s="211"/>
      <c r="Y257" s="211"/>
      <c r="Z257" s="211"/>
      <c r="AA257" s="211"/>
    </row>
    <row r="258">
      <c r="A258" s="211"/>
      <c r="B258" s="211"/>
      <c r="C258" s="211"/>
      <c r="D258" s="211"/>
      <c r="E258" s="211"/>
      <c r="F258" s="211"/>
      <c r="G258" s="211"/>
      <c r="H258" s="211"/>
      <c r="I258" s="211"/>
      <c r="J258" s="211"/>
      <c r="K258" s="211"/>
      <c r="L258" s="211"/>
      <c r="M258" s="211"/>
      <c r="N258" s="211"/>
      <c r="O258" s="211"/>
      <c r="P258" s="211"/>
      <c r="Q258" s="211"/>
      <c r="R258" s="211"/>
      <c r="S258" s="211"/>
      <c r="T258" s="211"/>
      <c r="U258" s="211"/>
      <c r="V258" s="211"/>
      <c r="W258" s="211"/>
      <c r="X258" s="211"/>
      <c r="Y258" s="211"/>
      <c r="Z258" s="211"/>
      <c r="AA258" s="211"/>
    </row>
    <row r="259">
      <c r="A259" s="211"/>
      <c r="B259" s="211"/>
      <c r="C259" s="211"/>
      <c r="D259" s="211"/>
      <c r="E259" s="211"/>
      <c r="F259" s="211"/>
      <c r="G259" s="211"/>
      <c r="H259" s="211"/>
      <c r="I259" s="211"/>
      <c r="J259" s="211"/>
      <c r="K259" s="211"/>
      <c r="L259" s="211"/>
      <c r="M259" s="211"/>
      <c r="N259" s="211"/>
      <c r="O259" s="211"/>
      <c r="P259" s="211"/>
      <c r="Q259" s="211"/>
      <c r="R259" s="211"/>
      <c r="S259" s="211"/>
      <c r="T259" s="211"/>
      <c r="U259" s="211"/>
      <c r="V259" s="211"/>
      <c r="W259" s="211"/>
      <c r="X259" s="211"/>
      <c r="Y259" s="211"/>
      <c r="Z259" s="211"/>
      <c r="AA259" s="211"/>
    </row>
    <row r="260">
      <c r="A260" s="211"/>
      <c r="B260" s="211"/>
      <c r="C260" s="211"/>
      <c r="D260" s="211"/>
      <c r="E260" s="211"/>
      <c r="F260" s="211"/>
      <c r="G260" s="211"/>
      <c r="H260" s="211"/>
      <c r="I260" s="211"/>
      <c r="J260" s="211"/>
      <c r="K260" s="211"/>
      <c r="L260" s="211"/>
      <c r="M260" s="211"/>
      <c r="N260" s="211"/>
      <c r="O260" s="211"/>
      <c r="P260" s="211"/>
      <c r="Q260" s="211"/>
      <c r="R260" s="211"/>
      <c r="S260" s="211"/>
      <c r="T260" s="211"/>
      <c r="U260" s="211"/>
      <c r="V260" s="211"/>
      <c r="W260" s="211"/>
      <c r="X260" s="211"/>
      <c r="Y260" s="211"/>
      <c r="Z260" s="211"/>
      <c r="AA260" s="211"/>
    </row>
    <row r="261">
      <c r="A261" s="211"/>
      <c r="B261" s="211"/>
      <c r="C261" s="211"/>
      <c r="D261" s="211"/>
      <c r="E261" s="211"/>
      <c r="F261" s="211"/>
      <c r="G261" s="211"/>
      <c r="H261" s="211"/>
      <c r="I261" s="211"/>
      <c r="J261" s="211"/>
      <c r="K261" s="211"/>
      <c r="L261" s="211"/>
      <c r="M261" s="211"/>
      <c r="N261" s="211"/>
      <c r="O261" s="211"/>
      <c r="P261" s="211"/>
      <c r="Q261" s="211"/>
      <c r="R261" s="211"/>
      <c r="S261" s="211"/>
      <c r="T261" s="211"/>
      <c r="U261" s="211"/>
      <c r="V261" s="211"/>
      <c r="W261" s="211"/>
      <c r="X261" s="211"/>
      <c r="Y261" s="211"/>
      <c r="Z261" s="211"/>
      <c r="AA261" s="211"/>
    </row>
    <row r="262">
      <c r="A262" s="211"/>
      <c r="B262" s="211"/>
      <c r="C262" s="211"/>
      <c r="D262" s="211"/>
      <c r="E262" s="211"/>
      <c r="F262" s="211"/>
      <c r="G262" s="211"/>
      <c r="H262" s="211"/>
      <c r="I262" s="211"/>
      <c r="J262" s="211"/>
      <c r="K262" s="211"/>
      <c r="L262" s="211"/>
      <c r="M262" s="211"/>
      <c r="N262" s="211"/>
      <c r="O262" s="211"/>
      <c r="P262" s="211"/>
      <c r="Q262" s="211"/>
      <c r="R262" s="211"/>
      <c r="S262" s="211"/>
      <c r="T262" s="211"/>
      <c r="U262" s="211"/>
      <c r="V262" s="211"/>
      <c r="W262" s="211"/>
      <c r="X262" s="211"/>
      <c r="Y262" s="211"/>
      <c r="Z262" s="211"/>
      <c r="AA262" s="211"/>
    </row>
    <row r="263">
      <c r="A263" s="211"/>
      <c r="B263" s="211"/>
      <c r="C263" s="211"/>
      <c r="D263" s="211"/>
      <c r="E263" s="211"/>
      <c r="F263" s="211"/>
      <c r="G263" s="211"/>
      <c r="H263" s="211"/>
      <c r="I263" s="211"/>
      <c r="J263" s="211"/>
      <c r="K263" s="211"/>
      <c r="L263" s="211"/>
      <c r="M263" s="211"/>
      <c r="N263" s="211"/>
      <c r="O263" s="211"/>
      <c r="P263" s="211"/>
      <c r="Q263" s="211"/>
      <c r="R263" s="211"/>
      <c r="S263" s="211"/>
      <c r="T263" s="211"/>
      <c r="U263" s="211"/>
      <c r="V263" s="211"/>
      <c r="W263" s="211"/>
      <c r="X263" s="211"/>
      <c r="Y263" s="211"/>
      <c r="Z263" s="211"/>
      <c r="AA263" s="211"/>
    </row>
    <row r="264">
      <c r="A264" s="211"/>
      <c r="B264" s="211"/>
      <c r="C264" s="211"/>
      <c r="D264" s="211"/>
      <c r="E264" s="211"/>
      <c r="F264" s="211"/>
      <c r="G264" s="211"/>
      <c r="H264" s="211"/>
      <c r="I264" s="211"/>
      <c r="J264" s="211"/>
      <c r="K264" s="211"/>
      <c r="L264" s="211"/>
      <c r="M264" s="211"/>
      <c r="N264" s="211"/>
      <c r="O264" s="211"/>
      <c r="P264" s="211"/>
      <c r="Q264" s="211"/>
      <c r="R264" s="211"/>
      <c r="S264" s="211"/>
      <c r="T264" s="211"/>
      <c r="U264" s="211"/>
      <c r="V264" s="211"/>
      <c r="W264" s="211"/>
      <c r="X264" s="211"/>
      <c r="Y264" s="211"/>
      <c r="Z264" s="211"/>
      <c r="AA264" s="211"/>
    </row>
    <row r="265">
      <c r="A265" s="211"/>
      <c r="B265" s="211"/>
      <c r="C265" s="211"/>
      <c r="D265" s="211"/>
      <c r="E265" s="211"/>
      <c r="F265" s="211"/>
      <c r="G265" s="211"/>
      <c r="H265" s="211"/>
      <c r="I265" s="211"/>
      <c r="J265" s="211"/>
      <c r="K265" s="211"/>
      <c r="L265" s="211"/>
      <c r="M265" s="211"/>
      <c r="N265" s="211"/>
      <c r="O265" s="211"/>
      <c r="P265" s="211"/>
      <c r="Q265" s="211"/>
      <c r="R265" s="211"/>
      <c r="S265" s="211"/>
      <c r="T265" s="211"/>
      <c r="U265" s="211"/>
      <c r="V265" s="211"/>
      <c r="W265" s="211"/>
      <c r="X265" s="211"/>
      <c r="Y265" s="211"/>
      <c r="Z265" s="211"/>
      <c r="AA265" s="211"/>
    </row>
    <row r="266">
      <c r="A266" s="211"/>
      <c r="B266" s="211"/>
      <c r="C266" s="211"/>
      <c r="D266" s="211"/>
      <c r="E266" s="211"/>
      <c r="F266" s="211"/>
      <c r="G266" s="211"/>
      <c r="H266" s="211"/>
      <c r="I266" s="211"/>
      <c r="J266" s="211"/>
      <c r="K266" s="211"/>
      <c r="L266" s="211"/>
      <c r="M266" s="211"/>
      <c r="N266" s="211"/>
      <c r="O266" s="211"/>
      <c r="P266" s="211"/>
      <c r="Q266" s="211"/>
      <c r="R266" s="211"/>
      <c r="S266" s="211"/>
      <c r="T266" s="211"/>
      <c r="U266" s="211"/>
      <c r="V266" s="211"/>
      <c r="W266" s="211"/>
      <c r="X266" s="211"/>
      <c r="Y266" s="211"/>
      <c r="Z266" s="211"/>
      <c r="AA266" s="211"/>
    </row>
    <row r="267">
      <c r="A267" s="211"/>
      <c r="B267" s="211"/>
      <c r="C267" s="211"/>
      <c r="D267" s="211"/>
      <c r="E267" s="211"/>
      <c r="F267" s="211"/>
      <c r="G267" s="211"/>
      <c r="H267" s="211"/>
      <c r="I267" s="211"/>
      <c r="J267" s="211"/>
      <c r="K267" s="211"/>
      <c r="L267" s="211"/>
      <c r="M267" s="211"/>
      <c r="N267" s="211"/>
      <c r="O267" s="211"/>
      <c r="P267" s="211"/>
      <c r="Q267" s="211"/>
      <c r="R267" s="211"/>
      <c r="S267" s="211"/>
      <c r="T267" s="211"/>
      <c r="U267" s="211"/>
      <c r="V267" s="211"/>
      <c r="W267" s="211"/>
      <c r="X267" s="211"/>
      <c r="Y267" s="211"/>
      <c r="Z267" s="211"/>
      <c r="AA267" s="211"/>
    </row>
    <row r="268">
      <c r="A268" s="211"/>
      <c r="B268" s="211"/>
      <c r="C268" s="211"/>
      <c r="D268" s="211"/>
      <c r="E268" s="211"/>
      <c r="F268" s="211"/>
      <c r="G268" s="211"/>
      <c r="H268" s="211"/>
      <c r="I268" s="211"/>
      <c r="J268" s="211"/>
      <c r="K268" s="211"/>
      <c r="L268" s="211"/>
      <c r="M268" s="211"/>
      <c r="N268" s="211"/>
      <c r="O268" s="211"/>
      <c r="P268" s="211"/>
      <c r="Q268" s="211"/>
      <c r="R268" s="211"/>
      <c r="S268" s="211"/>
      <c r="T268" s="211"/>
      <c r="U268" s="211"/>
      <c r="V268" s="211"/>
      <c r="W268" s="211"/>
      <c r="X268" s="211"/>
      <c r="Y268" s="211"/>
      <c r="Z268" s="211"/>
      <c r="AA268" s="211"/>
    </row>
    <row r="269">
      <c r="A269" s="211"/>
      <c r="B269" s="211"/>
      <c r="C269" s="211"/>
      <c r="D269" s="211"/>
      <c r="E269" s="211"/>
      <c r="F269" s="211"/>
      <c r="G269" s="211"/>
      <c r="H269" s="211"/>
      <c r="I269" s="211"/>
      <c r="J269" s="211"/>
      <c r="K269" s="211"/>
      <c r="L269" s="211"/>
      <c r="M269" s="211"/>
      <c r="N269" s="211"/>
      <c r="O269" s="211"/>
      <c r="P269" s="211"/>
      <c r="Q269" s="211"/>
      <c r="R269" s="211"/>
      <c r="S269" s="211"/>
      <c r="T269" s="211"/>
      <c r="U269" s="211"/>
      <c r="V269" s="211"/>
      <c r="W269" s="211"/>
      <c r="X269" s="211"/>
      <c r="Y269" s="211"/>
      <c r="Z269" s="211"/>
      <c r="AA269" s="211"/>
    </row>
    <row r="270">
      <c r="A270" s="211"/>
      <c r="B270" s="211"/>
      <c r="C270" s="211"/>
      <c r="D270" s="211"/>
      <c r="E270" s="211"/>
      <c r="F270" s="211"/>
      <c r="G270" s="211"/>
      <c r="H270" s="211"/>
      <c r="I270" s="211"/>
      <c r="J270" s="211"/>
      <c r="K270" s="211"/>
      <c r="L270" s="211"/>
      <c r="M270" s="211"/>
      <c r="N270" s="211"/>
      <c r="O270" s="211"/>
      <c r="P270" s="211"/>
      <c r="Q270" s="211"/>
      <c r="R270" s="211"/>
      <c r="S270" s="211"/>
      <c r="T270" s="211"/>
      <c r="U270" s="211"/>
      <c r="V270" s="211"/>
      <c r="W270" s="211"/>
      <c r="X270" s="211"/>
      <c r="Y270" s="211"/>
      <c r="Z270" s="211"/>
      <c r="AA270" s="211"/>
    </row>
    <row r="271">
      <c r="A271" s="211"/>
      <c r="B271" s="211"/>
      <c r="C271" s="211"/>
      <c r="D271" s="211"/>
      <c r="E271" s="211"/>
      <c r="F271" s="211"/>
      <c r="G271" s="211"/>
      <c r="H271" s="211"/>
      <c r="I271" s="211"/>
      <c r="J271" s="211"/>
      <c r="K271" s="211"/>
      <c r="L271" s="211"/>
      <c r="M271" s="211"/>
      <c r="N271" s="211"/>
      <c r="O271" s="211"/>
      <c r="P271" s="211"/>
      <c r="Q271" s="211"/>
      <c r="R271" s="211"/>
      <c r="S271" s="211"/>
      <c r="T271" s="211"/>
      <c r="U271" s="211"/>
      <c r="V271" s="211"/>
      <c r="W271" s="211"/>
      <c r="X271" s="211"/>
      <c r="Y271" s="211"/>
      <c r="Z271" s="211"/>
      <c r="AA271" s="211"/>
    </row>
    <row r="272">
      <c r="A272" s="211"/>
      <c r="B272" s="211"/>
      <c r="C272" s="211"/>
      <c r="D272" s="211"/>
      <c r="E272" s="211"/>
      <c r="F272" s="211"/>
      <c r="G272" s="211"/>
      <c r="H272" s="211"/>
      <c r="I272" s="211"/>
      <c r="J272" s="211"/>
      <c r="K272" s="211"/>
      <c r="L272" s="211"/>
      <c r="M272" s="211"/>
      <c r="N272" s="211"/>
      <c r="O272" s="211"/>
      <c r="P272" s="211"/>
      <c r="Q272" s="211"/>
      <c r="R272" s="211"/>
      <c r="S272" s="211"/>
      <c r="T272" s="211"/>
      <c r="U272" s="211"/>
      <c r="V272" s="211"/>
      <c r="W272" s="211"/>
      <c r="X272" s="211"/>
      <c r="Y272" s="211"/>
      <c r="Z272" s="211"/>
      <c r="AA272" s="211"/>
    </row>
    <row r="273">
      <c r="A273" s="211"/>
      <c r="B273" s="211"/>
      <c r="C273" s="211"/>
      <c r="D273" s="211"/>
      <c r="E273" s="211"/>
      <c r="F273" s="211"/>
      <c r="G273" s="211"/>
      <c r="H273" s="211"/>
      <c r="I273" s="211"/>
      <c r="J273" s="211"/>
      <c r="K273" s="211"/>
      <c r="L273" s="211"/>
      <c r="M273" s="211"/>
      <c r="N273" s="211"/>
      <c r="O273" s="211"/>
      <c r="P273" s="211"/>
      <c r="Q273" s="211"/>
      <c r="R273" s="211"/>
      <c r="S273" s="211"/>
      <c r="T273" s="211"/>
      <c r="U273" s="211"/>
      <c r="V273" s="211"/>
      <c r="W273" s="211"/>
      <c r="X273" s="211"/>
      <c r="Y273" s="211"/>
      <c r="Z273" s="211"/>
      <c r="AA273" s="211"/>
    </row>
    <row r="274">
      <c r="A274" s="211"/>
      <c r="B274" s="211"/>
      <c r="C274" s="211"/>
      <c r="D274" s="211"/>
      <c r="E274" s="211"/>
      <c r="F274" s="211"/>
      <c r="G274" s="211"/>
      <c r="H274" s="211"/>
      <c r="I274" s="211"/>
      <c r="J274" s="211"/>
      <c r="K274" s="211"/>
      <c r="L274" s="211"/>
      <c r="M274" s="211"/>
      <c r="N274" s="211"/>
      <c r="O274" s="211"/>
      <c r="P274" s="211"/>
      <c r="Q274" s="211"/>
      <c r="R274" s="211"/>
      <c r="S274" s="211"/>
      <c r="T274" s="211"/>
      <c r="U274" s="211"/>
      <c r="V274" s="211"/>
      <c r="W274" s="211"/>
      <c r="X274" s="211"/>
      <c r="Y274" s="211"/>
      <c r="Z274" s="211"/>
      <c r="AA274" s="211"/>
    </row>
    <row r="275">
      <c r="A275" s="211"/>
      <c r="B275" s="211"/>
      <c r="C275" s="211"/>
      <c r="D275" s="211"/>
      <c r="E275" s="211"/>
      <c r="F275" s="211"/>
      <c r="G275" s="211"/>
      <c r="H275" s="211"/>
      <c r="I275" s="211"/>
      <c r="J275" s="211"/>
      <c r="K275" s="211"/>
      <c r="L275" s="211"/>
      <c r="M275" s="211"/>
      <c r="N275" s="211"/>
      <c r="O275" s="211"/>
      <c r="P275" s="211"/>
      <c r="Q275" s="211"/>
      <c r="R275" s="211"/>
      <c r="S275" s="211"/>
      <c r="T275" s="211"/>
      <c r="U275" s="211"/>
      <c r="V275" s="211"/>
      <c r="W275" s="211"/>
      <c r="X275" s="211"/>
      <c r="Y275" s="211"/>
      <c r="Z275" s="211"/>
      <c r="AA275" s="211"/>
    </row>
    <row r="276">
      <c r="A276" s="211"/>
      <c r="B276" s="211"/>
      <c r="C276" s="211"/>
      <c r="D276" s="211"/>
      <c r="E276" s="211"/>
      <c r="F276" s="211"/>
      <c r="G276" s="211"/>
      <c r="H276" s="211"/>
      <c r="I276" s="211"/>
      <c r="J276" s="211"/>
      <c r="K276" s="211"/>
      <c r="L276" s="211"/>
      <c r="M276" s="211"/>
      <c r="N276" s="211"/>
      <c r="O276" s="211"/>
      <c r="P276" s="211"/>
      <c r="Q276" s="211"/>
      <c r="R276" s="211"/>
      <c r="S276" s="211"/>
      <c r="T276" s="211"/>
      <c r="U276" s="211"/>
      <c r="V276" s="211"/>
      <c r="W276" s="211"/>
      <c r="X276" s="211"/>
      <c r="Y276" s="211"/>
      <c r="Z276" s="211"/>
      <c r="AA276" s="211"/>
    </row>
    <row r="277">
      <c r="A277" s="211"/>
      <c r="B277" s="211"/>
      <c r="C277" s="211"/>
      <c r="D277" s="211"/>
      <c r="E277" s="211"/>
      <c r="F277" s="211"/>
      <c r="G277" s="211"/>
      <c r="H277" s="211"/>
      <c r="I277" s="211"/>
      <c r="J277" s="211"/>
      <c r="K277" s="211"/>
      <c r="L277" s="211"/>
      <c r="M277" s="211"/>
      <c r="N277" s="211"/>
      <c r="O277" s="211"/>
      <c r="P277" s="211"/>
      <c r="Q277" s="211"/>
      <c r="R277" s="211"/>
      <c r="S277" s="211"/>
      <c r="T277" s="211"/>
      <c r="U277" s="211"/>
      <c r="V277" s="211"/>
      <c r="W277" s="211"/>
      <c r="X277" s="211"/>
      <c r="Y277" s="211"/>
      <c r="Z277" s="211"/>
      <c r="AA277" s="211"/>
    </row>
    <row r="278">
      <c r="A278" s="211"/>
      <c r="B278" s="211"/>
      <c r="C278" s="211"/>
      <c r="D278" s="211"/>
      <c r="E278" s="211"/>
      <c r="F278" s="211"/>
      <c r="G278" s="211"/>
      <c r="H278" s="211"/>
      <c r="I278" s="211"/>
      <c r="J278" s="211"/>
      <c r="K278" s="211"/>
      <c r="L278" s="211"/>
      <c r="M278" s="211"/>
      <c r="N278" s="211"/>
      <c r="O278" s="211"/>
      <c r="P278" s="211"/>
      <c r="Q278" s="211"/>
      <c r="R278" s="211"/>
      <c r="S278" s="211"/>
      <c r="T278" s="211"/>
      <c r="U278" s="211"/>
      <c r="V278" s="211"/>
      <c r="W278" s="211"/>
      <c r="X278" s="211"/>
      <c r="Y278" s="211"/>
      <c r="Z278" s="211"/>
      <c r="AA278" s="211"/>
    </row>
    <row r="279">
      <c r="A279" s="211"/>
      <c r="B279" s="211"/>
      <c r="C279" s="211"/>
      <c r="D279" s="211"/>
      <c r="E279" s="211"/>
      <c r="F279" s="211"/>
      <c r="G279" s="211"/>
      <c r="H279" s="211"/>
      <c r="I279" s="211"/>
      <c r="J279" s="211"/>
      <c r="K279" s="211"/>
      <c r="L279" s="211"/>
      <c r="M279" s="211"/>
      <c r="N279" s="211"/>
      <c r="O279" s="211"/>
      <c r="P279" s="211"/>
      <c r="Q279" s="211"/>
      <c r="R279" s="211"/>
      <c r="S279" s="211"/>
      <c r="T279" s="211"/>
      <c r="U279" s="211"/>
      <c r="V279" s="211"/>
      <c r="W279" s="211"/>
      <c r="X279" s="211"/>
      <c r="Y279" s="211"/>
      <c r="Z279" s="211"/>
      <c r="AA279" s="211"/>
    </row>
    <row r="280">
      <c r="A280" s="211"/>
      <c r="B280" s="211"/>
      <c r="C280" s="211"/>
      <c r="D280" s="211"/>
      <c r="E280" s="211"/>
      <c r="F280" s="211"/>
      <c r="G280" s="211"/>
      <c r="H280" s="211"/>
      <c r="I280" s="211"/>
      <c r="J280" s="211"/>
      <c r="K280" s="211"/>
      <c r="L280" s="211"/>
      <c r="M280" s="211"/>
      <c r="N280" s="211"/>
      <c r="O280" s="211"/>
      <c r="P280" s="211"/>
      <c r="Q280" s="211"/>
      <c r="R280" s="211"/>
      <c r="S280" s="211"/>
      <c r="T280" s="211"/>
      <c r="U280" s="211"/>
      <c r="V280" s="211"/>
      <c r="W280" s="211"/>
      <c r="X280" s="211"/>
      <c r="Y280" s="211"/>
      <c r="Z280" s="211"/>
      <c r="AA280" s="211"/>
    </row>
    <row r="281">
      <c r="A281" s="211"/>
      <c r="B281" s="211"/>
      <c r="C281" s="211"/>
      <c r="D281" s="211"/>
      <c r="E281" s="211"/>
      <c r="F281" s="211"/>
      <c r="G281" s="211"/>
      <c r="H281" s="211"/>
      <c r="I281" s="211"/>
      <c r="J281" s="211"/>
      <c r="K281" s="211"/>
      <c r="L281" s="211"/>
      <c r="M281" s="211"/>
      <c r="N281" s="211"/>
      <c r="O281" s="211"/>
      <c r="P281" s="211"/>
      <c r="Q281" s="211"/>
      <c r="R281" s="211"/>
      <c r="S281" s="211"/>
      <c r="T281" s="211"/>
      <c r="U281" s="211"/>
      <c r="V281" s="211"/>
      <c r="W281" s="211"/>
      <c r="X281" s="211"/>
      <c r="Y281" s="211"/>
      <c r="Z281" s="211"/>
      <c r="AA281" s="211"/>
    </row>
    <row r="282">
      <c r="A282" s="211"/>
      <c r="B282" s="211"/>
      <c r="C282" s="211"/>
      <c r="D282" s="211"/>
      <c r="E282" s="211"/>
      <c r="F282" s="211"/>
      <c r="G282" s="211"/>
      <c r="H282" s="211"/>
      <c r="I282" s="211"/>
      <c r="J282" s="211"/>
      <c r="K282" s="211"/>
      <c r="L282" s="211"/>
      <c r="M282" s="211"/>
      <c r="N282" s="211"/>
      <c r="O282" s="211"/>
      <c r="P282" s="211"/>
      <c r="Q282" s="211"/>
      <c r="R282" s="211"/>
      <c r="S282" s="211"/>
      <c r="T282" s="211"/>
      <c r="U282" s="211"/>
      <c r="V282" s="211"/>
      <c r="W282" s="211"/>
      <c r="X282" s="211"/>
      <c r="Y282" s="211"/>
      <c r="Z282" s="211"/>
      <c r="AA282" s="211"/>
    </row>
    <row r="283">
      <c r="A283" s="211"/>
      <c r="B283" s="211"/>
      <c r="C283" s="211"/>
      <c r="D283" s="211"/>
      <c r="E283" s="211"/>
      <c r="F283" s="211"/>
      <c r="G283" s="211"/>
      <c r="H283" s="211"/>
      <c r="I283" s="211"/>
      <c r="J283" s="211"/>
      <c r="K283" s="211"/>
      <c r="L283" s="211"/>
      <c r="M283" s="211"/>
      <c r="N283" s="211"/>
      <c r="O283" s="211"/>
      <c r="P283" s="211"/>
      <c r="Q283" s="211"/>
      <c r="R283" s="211"/>
      <c r="S283" s="211"/>
      <c r="T283" s="211"/>
      <c r="U283" s="211"/>
      <c r="V283" s="211"/>
      <c r="W283" s="211"/>
      <c r="X283" s="211"/>
      <c r="Y283" s="211"/>
      <c r="Z283" s="211"/>
      <c r="AA283" s="211"/>
    </row>
    <row r="284">
      <c r="A284" s="211"/>
      <c r="B284" s="211"/>
      <c r="C284" s="211"/>
      <c r="D284" s="211"/>
      <c r="E284" s="211"/>
      <c r="F284" s="211"/>
      <c r="G284" s="211"/>
      <c r="H284" s="211"/>
      <c r="I284" s="211"/>
      <c r="J284" s="211"/>
      <c r="K284" s="211"/>
      <c r="L284" s="211"/>
      <c r="M284" s="211"/>
      <c r="N284" s="211"/>
      <c r="O284" s="211"/>
      <c r="P284" s="211"/>
      <c r="Q284" s="211"/>
      <c r="R284" s="211"/>
      <c r="S284" s="211"/>
      <c r="T284" s="211"/>
      <c r="U284" s="211"/>
      <c r="V284" s="211"/>
      <c r="W284" s="211"/>
      <c r="X284" s="211"/>
      <c r="Y284" s="211"/>
      <c r="Z284" s="211"/>
      <c r="AA284" s="211"/>
    </row>
    <row r="285">
      <c r="A285" s="211"/>
      <c r="B285" s="211"/>
      <c r="C285" s="211"/>
      <c r="D285" s="211"/>
      <c r="E285" s="211"/>
      <c r="F285" s="211"/>
      <c r="G285" s="211"/>
      <c r="H285" s="211"/>
      <c r="I285" s="211"/>
      <c r="J285" s="211"/>
      <c r="K285" s="211"/>
      <c r="L285" s="211"/>
      <c r="M285" s="211"/>
      <c r="N285" s="211"/>
      <c r="O285" s="211"/>
      <c r="P285" s="211"/>
      <c r="Q285" s="211"/>
      <c r="R285" s="211"/>
      <c r="S285" s="211"/>
      <c r="T285" s="211"/>
      <c r="U285" s="211"/>
      <c r="V285" s="211"/>
      <c r="W285" s="211"/>
      <c r="X285" s="211"/>
      <c r="Y285" s="211"/>
      <c r="Z285" s="211"/>
      <c r="AA285" s="211"/>
    </row>
    <row r="286">
      <c r="A286" s="211"/>
      <c r="B286" s="211"/>
      <c r="C286" s="211"/>
      <c r="D286" s="211"/>
      <c r="E286" s="211"/>
      <c r="F286" s="211"/>
      <c r="G286" s="211"/>
      <c r="H286" s="211"/>
      <c r="I286" s="211"/>
      <c r="J286" s="211"/>
      <c r="K286" s="211"/>
      <c r="L286" s="211"/>
      <c r="M286" s="211"/>
      <c r="N286" s="211"/>
      <c r="O286" s="211"/>
      <c r="P286" s="211"/>
      <c r="Q286" s="211"/>
      <c r="R286" s="211"/>
      <c r="S286" s="211"/>
      <c r="T286" s="211"/>
      <c r="U286" s="211"/>
      <c r="V286" s="211"/>
      <c r="W286" s="211"/>
      <c r="X286" s="211"/>
      <c r="Y286" s="211"/>
      <c r="Z286" s="211"/>
      <c r="AA286" s="211"/>
    </row>
    <row r="287">
      <c r="A287" s="211"/>
      <c r="B287" s="211"/>
      <c r="C287" s="211"/>
      <c r="D287" s="211"/>
      <c r="E287" s="211"/>
      <c r="F287" s="211"/>
      <c r="G287" s="211"/>
      <c r="H287" s="211"/>
      <c r="I287" s="211"/>
      <c r="J287" s="211"/>
      <c r="K287" s="211"/>
      <c r="L287" s="211"/>
      <c r="M287" s="211"/>
      <c r="N287" s="211"/>
      <c r="O287" s="211"/>
      <c r="P287" s="211"/>
      <c r="Q287" s="211"/>
      <c r="R287" s="211"/>
      <c r="S287" s="211"/>
      <c r="T287" s="211"/>
      <c r="U287" s="211"/>
      <c r="V287" s="211"/>
      <c r="W287" s="211"/>
      <c r="X287" s="211"/>
      <c r="Y287" s="211"/>
      <c r="Z287" s="211"/>
      <c r="AA287" s="211"/>
    </row>
    <row r="288">
      <c r="A288" s="211"/>
      <c r="B288" s="211"/>
      <c r="C288" s="211"/>
      <c r="D288" s="211"/>
      <c r="E288" s="211"/>
      <c r="F288" s="211"/>
      <c r="G288" s="211"/>
      <c r="H288" s="211"/>
      <c r="I288" s="211"/>
      <c r="J288" s="211"/>
      <c r="K288" s="211"/>
      <c r="L288" s="211"/>
      <c r="M288" s="211"/>
      <c r="N288" s="211"/>
      <c r="O288" s="211"/>
      <c r="P288" s="211"/>
      <c r="Q288" s="211"/>
      <c r="R288" s="211"/>
      <c r="S288" s="211"/>
      <c r="T288" s="211"/>
      <c r="U288" s="211"/>
      <c r="V288" s="211"/>
      <c r="W288" s="211"/>
      <c r="X288" s="211"/>
      <c r="Y288" s="211"/>
      <c r="Z288" s="211"/>
      <c r="AA288" s="211"/>
    </row>
    <row r="289">
      <c r="A289" s="211"/>
      <c r="B289" s="211"/>
      <c r="C289" s="211"/>
      <c r="D289" s="211"/>
      <c r="E289" s="211"/>
      <c r="F289" s="211"/>
      <c r="G289" s="211"/>
      <c r="H289" s="211"/>
      <c r="I289" s="211"/>
      <c r="J289" s="211"/>
      <c r="K289" s="211"/>
      <c r="L289" s="211"/>
      <c r="M289" s="211"/>
      <c r="N289" s="211"/>
      <c r="O289" s="211"/>
      <c r="P289" s="211"/>
      <c r="Q289" s="211"/>
      <c r="R289" s="211"/>
      <c r="S289" s="211"/>
      <c r="T289" s="211"/>
      <c r="U289" s="211"/>
      <c r="V289" s="211"/>
      <c r="W289" s="211"/>
      <c r="X289" s="211"/>
      <c r="Y289" s="211"/>
      <c r="Z289" s="211"/>
      <c r="AA289" s="211"/>
    </row>
    <row r="290">
      <c r="A290" s="211"/>
      <c r="B290" s="211"/>
      <c r="C290" s="211"/>
      <c r="D290" s="211"/>
      <c r="E290" s="211"/>
      <c r="F290" s="211"/>
      <c r="G290" s="211"/>
      <c r="H290" s="211"/>
      <c r="I290" s="211"/>
      <c r="J290" s="211"/>
      <c r="K290" s="211"/>
      <c r="L290" s="211"/>
      <c r="M290" s="211"/>
      <c r="N290" s="211"/>
      <c r="O290" s="211"/>
      <c r="P290" s="211"/>
      <c r="Q290" s="211"/>
      <c r="R290" s="211"/>
      <c r="S290" s="211"/>
      <c r="T290" s="211"/>
      <c r="U290" s="211"/>
      <c r="V290" s="211"/>
      <c r="W290" s="211"/>
      <c r="X290" s="211"/>
      <c r="Y290" s="211"/>
      <c r="Z290" s="211"/>
      <c r="AA290" s="211"/>
    </row>
    <row r="291">
      <c r="A291" s="211"/>
      <c r="B291" s="211"/>
      <c r="C291" s="211"/>
      <c r="D291" s="211"/>
      <c r="E291" s="211"/>
      <c r="F291" s="211"/>
      <c r="G291" s="211"/>
      <c r="H291" s="211"/>
      <c r="I291" s="211"/>
      <c r="J291" s="211"/>
      <c r="K291" s="211"/>
      <c r="L291" s="211"/>
      <c r="M291" s="211"/>
      <c r="N291" s="211"/>
      <c r="O291" s="211"/>
      <c r="P291" s="211"/>
      <c r="Q291" s="211"/>
      <c r="R291" s="211"/>
      <c r="S291" s="211"/>
      <c r="T291" s="211"/>
      <c r="U291" s="211"/>
      <c r="V291" s="211"/>
      <c r="W291" s="211"/>
      <c r="X291" s="211"/>
      <c r="Y291" s="211"/>
      <c r="Z291" s="211"/>
      <c r="AA291" s="211"/>
    </row>
    <row r="292">
      <c r="A292" s="211"/>
      <c r="B292" s="211"/>
      <c r="C292" s="211"/>
      <c r="D292" s="211"/>
      <c r="E292" s="211"/>
      <c r="F292" s="211"/>
      <c r="G292" s="211"/>
      <c r="H292" s="211"/>
      <c r="I292" s="211"/>
      <c r="J292" s="211"/>
      <c r="K292" s="211"/>
      <c r="L292" s="211"/>
      <c r="M292" s="211"/>
      <c r="N292" s="211"/>
      <c r="O292" s="211"/>
      <c r="P292" s="211"/>
      <c r="Q292" s="211"/>
      <c r="R292" s="211"/>
      <c r="S292" s="211"/>
      <c r="T292" s="211"/>
      <c r="U292" s="211"/>
      <c r="V292" s="211"/>
      <c r="W292" s="211"/>
      <c r="X292" s="211"/>
      <c r="Y292" s="211"/>
      <c r="Z292" s="211"/>
      <c r="AA292" s="211"/>
    </row>
    <row r="293">
      <c r="A293" s="211"/>
      <c r="B293" s="211"/>
      <c r="C293" s="211"/>
      <c r="D293" s="211"/>
      <c r="E293" s="211"/>
      <c r="F293" s="211"/>
      <c r="G293" s="211"/>
      <c r="H293" s="211"/>
      <c r="I293" s="211"/>
      <c r="J293" s="211"/>
      <c r="K293" s="211"/>
      <c r="L293" s="211"/>
      <c r="M293" s="211"/>
      <c r="N293" s="211"/>
      <c r="O293" s="211"/>
      <c r="P293" s="211"/>
      <c r="Q293" s="211"/>
      <c r="R293" s="211"/>
      <c r="S293" s="211"/>
      <c r="T293" s="211"/>
      <c r="U293" s="211"/>
      <c r="V293" s="211"/>
      <c r="W293" s="211"/>
      <c r="X293" s="211"/>
      <c r="Y293" s="211"/>
      <c r="Z293" s="211"/>
      <c r="AA293" s="211"/>
    </row>
    <row r="294">
      <c r="A294" s="211"/>
      <c r="B294" s="211"/>
      <c r="C294" s="211"/>
      <c r="D294" s="211"/>
      <c r="E294" s="211"/>
      <c r="F294" s="211"/>
      <c r="G294" s="211"/>
      <c r="H294" s="211"/>
      <c r="I294" s="211"/>
      <c r="J294" s="211"/>
      <c r="K294" s="211"/>
      <c r="L294" s="211"/>
      <c r="M294" s="211"/>
      <c r="N294" s="211"/>
      <c r="O294" s="211"/>
      <c r="P294" s="211"/>
      <c r="Q294" s="211"/>
      <c r="R294" s="211"/>
      <c r="S294" s="211"/>
      <c r="T294" s="211"/>
      <c r="U294" s="211"/>
      <c r="V294" s="211"/>
      <c r="W294" s="211"/>
      <c r="X294" s="211"/>
      <c r="Y294" s="211"/>
      <c r="Z294" s="211"/>
      <c r="AA294" s="211"/>
    </row>
    <row r="295">
      <c r="A295" s="211"/>
      <c r="B295" s="211"/>
      <c r="C295" s="211"/>
      <c r="D295" s="211"/>
      <c r="E295" s="211"/>
      <c r="F295" s="211"/>
      <c r="G295" s="211"/>
      <c r="H295" s="211"/>
      <c r="I295" s="211"/>
      <c r="J295" s="211"/>
      <c r="K295" s="211"/>
      <c r="L295" s="211"/>
      <c r="M295" s="211"/>
      <c r="N295" s="211"/>
      <c r="O295" s="211"/>
      <c r="P295" s="211"/>
      <c r="Q295" s="211"/>
      <c r="R295" s="211"/>
      <c r="S295" s="211"/>
      <c r="T295" s="211"/>
      <c r="U295" s="211"/>
      <c r="V295" s="211"/>
      <c r="W295" s="211"/>
      <c r="X295" s="211"/>
      <c r="Y295" s="211"/>
      <c r="Z295" s="211"/>
      <c r="AA295" s="211"/>
    </row>
    <row r="296">
      <c r="A296" s="211"/>
      <c r="B296" s="211"/>
      <c r="C296" s="211"/>
      <c r="D296" s="211"/>
      <c r="E296" s="211"/>
      <c r="F296" s="211"/>
      <c r="G296" s="211"/>
      <c r="H296" s="211"/>
      <c r="I296" s="211"/>
      <c r="J296" s="211"/>
      <c r="K296" s="211"/>
      <c r="L296" s="211"/>
      <c r="M296" s="211"/>
      <c r="N296" s="211"/>
      <c r="O296" s="211"/>
      <c r="P296" s="211"/>
      <c r="Q296" s="211"/>
      <c r="R296" s="211"/>
      <c r="S296" s="211"/>
      <c r="T296" s="211"/>
      <c r="U296" s="211"/>
      <c r="V296" s="211"/>
      <c r="W296" s="211"/>
      <c r="X296" s="211"/>
      <c r="Y296" s="211"/>
      <c r="Z296" s="211"/>
      <c r="AA296" s="211"/>
    </row>
    <row r="297">
      <c r="A297" s="211"/>
      <c r="B297" s="211"/>
      <c r="C297" s="211"/>
      <c r="D297" s="211"/>
      <c r="E297" s="211"/>
      <c r="F297" s="211"/>
      <c r="G297" s="211"/>
      <c r="H297" s="211"/>
      <c r="I297" s="211"/>
      <c r="J297" s="211"/>
      <c r="K297" s="211"/>
      <c r="L297" s="211"/>
      <c r="M297" s="211"/>
      <c r="N297" s="211"/>
      <c r="O297" s="211"/>
      <c r="P297" s="211"/>
      <c r="Q297" s="211"/>
      <c r="R297" s="211"/>
      <c r="S297" s="211"/>
      <c r="T297" s="211"/>
      <c r="U297" s="211"/>
      <c r="V297" s="211"/>
      <c r="W297" s="211"/>
      <c r="X297" s="211"/>
      <c r="Y297" s="211"/>
      <c r="Z297" s="211"/>
      <c r="AA297" s="211"/>
    </row>
    <row r="298">
      <c r="A298" s="211"/>
      <c r="B298" s="211"/>
      <c r="C298" s="211"/>
      <c r="D298" s="211"/>
      <c r="E298" s="211"/>
      <c r="F298" s="211"/>
      <c r="G298" s="211"/>
      <c r="H298" s="211"/>
      <c r="I298" s="211"/>
      <c r="J298" s="211"/>
      <c r="K298" s="211"/>
      <c r="L298" s="211"/>
      <c r="M298" s="211"/>
      <c r="N298" s="211"/>
      <c r="O298" s="211"/>
      <c r="P298" s="211"/>
      <c r="Q298" s="211"/>
      <c r="R298" s="211"/>
      <c r="S298" s="211"/>
      <c r="T298" s="211"/>
      <c r="U298" s="211"/>
      <c r="V298" s="211"/>
      <c r="W298" s="211"/>
      <c r="X298" s="211"/>
      <c r="Y298" s="211"/>
      <c r="Z298" s="211"/>
      <c r="AA298" s="211"/>
    </row>
    <row r="299">
      <c r="A299" s="211"/>
      <c r="B299" s="211"/>
      <c r="C299" s="211"/>
      <c r="D299" s="211"/>
      <c r="E299" s="211"/>
      <c r="F299" s="211"/>
      <c r="G299" s="211"/>
      <c r="H299" s="211"/>
      <c r="I299" s="211"/>
      <c r="J299" s="211"/>
      <c r="K299" s="211"/>
      <c r="L299" s="211"/>
      <c r="M299" s="211"/>
      <c r="N299" s="211"/>
      <c r="O299" s="211"/>
      <c r="P299" s="211"/>
      <c r="Q299" s="211"/>
      <c r="R299" s="211"/>
      <c r="S299" s="211"/>
      <c r="T299" s="211"/>
      <c r="U299" s="211"/>
      <c r="V299" s="211"/>
      <c r="W299" s="211"/>
      <c r="X299" s="211"/>
      <c r="Y299" s="211"/>
      <c r="Z299" s="211"/>
      <c r="AA299" s="211"/>
    </row>
    <row r="300">
      <c r="A300" s="211"/>
      <c r="B300" s="211"/>
      <c r="C300" s="211"/>
      <c r="D300" s="211"/>
      <c r="E300" s="211"/>
      <c r="F300" s="211"/>
      <c r="G300" s="211"/>
      <c r="H300" s="211"/>
      <c r="I300" s="211"/>
      <c r="J300" s="211"/>
      <c r="K300" s="211"/>
      <c r="L300" s="211"/>
      <c r="M300" s="211"/>
      <c r="N300" s="211"/>
      <c r="O300" s="211"/>
      <c r="P300" s="211"/>
      <c r="Q300" s="211"/>
      <c r="R300" s="211"/>
      <c r="S300" s="211"/>
      <c r="T300" s="211"/>
      <c r="U300" s="211"/>
      <c r="V300" s="211"/>
      <c r="W300" s="211"/>
      <c r="X300" s="211"/>
      <c r="Y300" s="211"/>
      <c r="Z300" s="211"/>
      <c r="AA300" s="211"/>
    </row>
    <row r="301">
      <c r="A301" s="211"/>
      <c r="B301" s="211"/>
      <c r="C301" s="211"/>
      <c r="D301" s="211"/>
      <c r="E301" s="211"/>
      <c r="F301" s="211"/>
      <c r="G301" s="211"/>
      <c r="H301" s="211"/>
      <c r="I301" s="211"/>
      <c r="J301" s="211"/>
      <c r="K301" s="211"/>
      <c r="L301" s="211"/>
      <c r="M301" s="211"/>
      <c r="N301" s="211"/>
      <c r="O301" s="211"/>
      <c r="P301" s="211"/>
      <c r="Q301" s="211"/>
      <c r="R301" s="211"/>
      <c r="S301" s="211"/>
      <c r="T301" s="211"/>
      <c r="U301" s="211"/>
      <c r="V301" s="211"/>
      <c r="W301" s="211"/>
      <c r="X301" s="211"/>
      <c r="Y301" s="211"/>
      <c r="Z301" s="211"/>
      <c r="AA301" s="211"/>
    </row>
    <row r="302">
      <c r="A302" s="211"/>
      <c r="B302" s="211"/>
      <c r="C302" s="211"/>
      <c r="D302" s="211"/>
      <c r="E302" s="211"/>
      <c r="F302" s="211"/>
      <c r="G302" s="211"/>
      <c r="H302" s="211"/>
      <c r="I302" s="211"/>
      <c r="J302" s="211"/>
      <c r="K302" s="211"/>
      <c r="L302" s="211"/>
      <c r="M302" s="211"/>
      <c r="N302" s="211"/>
      <c r="O302" s="211"/>
      <c r="P302" s="211"/>
      <c r="Q302" s="211"/>
      <c r="R302" s="211"/>
      <c r="S302" s="211"/>
      <c r="T302" s="211"/>
      <c r="U302" s="211"/>
      <c r="V302" s="211"/>
      <c r="W302" s="211"/>
      <c r="X302" s="211"/>
      <c r="Y302" s="211"/>
      <c r="Z302" s="211"/>
      <c r="AA302" s="211"/>
    </row>
    <row r="303">
      <c r="A303" s="211"/>
      <c r="B303" s="211"/>
      <c r="C303" s="211"/>
      <c r="D303" s="211"/>
      <c r="E303" s="211"/>
      <c r="F303" s="211"/>
      <c r="G303" s="211"/>
      <c r="H303" s="211"/>
      <c r="I303" s="211"/>
      <c r="J303" s="211"/>
      <c r="K303" s="211"/>
      <c r="L303" s="211"/>
      <c r="M303" s="211"/>
      <c r="N303" s="211"/>
      <c r="O303" s="211"/>
      <c r="P303" s="211"/>
      <c r="Q303" s="211"/>
      <c r="R303" s="211"/>
      <c r="S303" s="211"/>
      <c r="T303" s="211"/>
      <c r="U303" s="211"/>
      <c r="V303" s="211"/>
      <c r="W303" s="211"/>
      <c r="X303" s="211"/>
      <c r="Y303" s="211"/>
      <c r="Z303" s="211"/>
      <c r="AA303" s="211"/>
    </row>
    <row r="304">
      <c r="A304" s="211"/>
      <c r="B304" s="211"/>
      <c r="C304" s="211"/>
      <c r="D304" s="211"/>
      <c r="E304" s="211"/>
      <c r="F304" s="211"/>
      <c r="G304" s="211"/>
      <c r="H304" s="211"/>
      <c r="I304" s="211"/>
      <c r="J304" s="211"/>
      <c r="K304" s="211"/>
      <c r="L304" s="211"/>
      <c r="M304" s="211"/>
      <c r="N304" s="211"/>
      <c r="O304" s="211"/>
      <c r="P304" s="211"/>
      <c r="Q304" s="211"/>
      <c r="R304" s="211"/>
      <c r="S304" s="211"/>
      <c r="T304" s="211"/>
      <c r="U304" s="211"/>
      <c r="V304" s="211"/>
      <c r="W304" s="211"/>
      <c r="X304" s="211"/>
      <c r="Y304" s="211"/>
      <c r="Z304" s="211"/>
      <c r="AA304" s="211"/>
    </row>
    <row r="305">
      <c r="A305" s="211"/>
      <c r="B305" s="211"/>
      <c r="C305" s="211"/>
      <c r="D305" s="211"/>
      <c r="E305" s="211"/>
      <c r="F305" s="211"/>
      <c r="G305" s="211"/>
      <c r="H305" s="211"/>
      <c r="I305" s="211"/>
      <c r="J305" s="211"/>
      <c r="K305" s="211"/>
      <c r="L305" s="211"/>
      <c r="M305" s="211"/>
      <c r="N305" s="211"/>
      <c r="O305" s="211"/>
      <c r="P305" s="211"/>
      <c r="Q305" s="211"/>
      <c r="R305" s="211"/>
      <c r="S305" s="211"/>
      <c r="T305" s="211"/>
      <c r="U305" s="211"/>
      <c r="V305" s="211"/>
      <c r="W305" s="211"/>
      <c r="X305" s="211"/>
      <c r="Y305" s="211"/>
      <c r="Z305" s="211"/>
      <c r="AA305" s="211"/>
    </row>
    <row r="306">
      <c r="A306" s="211"/>
      <c r="B306" s="211"/>
      <c r="C306" s="211"/>
      <c r="D306" s="211"/>
      <c r="E306" s="211"/>
      <c r="F306" s="211"/>
      <c r="G306" s="211"/>
      <c r="H306" s="211"/>
      <c r="I306" s="211"/>
      <c r="J306" s="211"/>
      <c r="K306" s="211"/>
      <c r="L306" s="211"/>
      <c r="M306" s="211"/>
      <c r="N306" s="211"/>
      <c r="O306" s="211"/>
      <c r="P306" s="211"/>
      <c r="Q306" s="211"/>
      <c r="R306" s="211"/>
      <c r="S306" s="211"/>
      <c r="T306" s="211"/>
      <c r="U306" s="211"/>
      <c r="V306" s="211"/>
      <c r="W306" s="211"/>
      <c r="X306" s="211"/>
      <c r="Y306" s="211"/>
      <c r="Z306" s="211"/>
      <c r="AA306" s="211"/>
    </row>
    <row r="307">
      <c r="A307" s="211"/>
      <c r="B307" s="211"/>
      <c r="C307" s="211"/>
      <c r="D307" s="211"/>
      <c r="E307" s="211"/>
      <c r="F307" s="211"/>
      <c r="G307" s="211"/>
      <c r="H307" s="211"/>
      <c r="I307" s="211"/>
      <c r="J307" s="211"/>
      <c r="K307" s="211"/>
      <c r="L307" s="211"/>
      <c r="M307" s="211"/>
      <c r="N307" s="211"/>
      <c r="O307" s="211"/>
      <c r="P307" s="211"/>
      <c r="Q307" s="211"/>
      <c r="R307" s="211"/>
      <c r="S307" s="211"/>
      <c r="T307" s="211"/>
      <c r="U307" s="211"/>
      <c r="V307" s="211"/>
      <c r="W307" s="211"/>
      <c r="X307" s="211"/>
      <c r="Y307" s="211"/>
      <c r="Z307" s="211"/>
      <c r="AA307" s="211"/>
    </row>
    <row r="308">
      <c r="A308" s="211"/>
      <c r="B308" s="211"/>
      <c r="C308" s="211"/>
      <c r="D308" s="211"/>
      <c r="E308" s="211"/>
      <c r="F308" s="211"/>
      <c r="G308" s="211"/>
      <c r="H308" s="211"/>
      <c r="I308" s="211"/>
      <c r="J308" s="211"/>
      <c r="K308" s="211"/>
      <c r="L308" s="211"/>
      <c r="M308" s="211"/>
      <c r="N308" s="211"/>
      <c r="O308" s="211"/>
      <c r="P308" s="211"/>
      <c r="Q308" s="211"/>
      <c r="R308" s="211"/>
      <c r="S308" s="211"/>
      <c r="T308" s="211"/>
      <c r="U308" s="211"/>
      <c r="V308" s="211"/>
      <c r="W308" s="211"/>
      <c r="X308" s="211"/>
      <c r="Y308" s="211"/>
      <c r="Z308" s="211"/>
      <c r="AA308" s="211"/>
    </row>
    <row r="309">
      <c r="A309" s="211"/>
      <c r="B309" s="211"/>
      <c r="C309" s="211"/>
      <c r="D309" s="211"/>
      <c r="E309" s="211"/>
      <c r="F309" s="211"/>
      <c r="G309" s="211"/>
      <c r="H309" s="211"/>
      <c r="I309" s="211"/>
      <c r="J309" s="211"/>
      <c r="K309" s="211"/>
      <c r="L309" s="211"/>
      <c r="M309" s="211"/>
      <c r="N309" s="211"/>
      <c r="O309" s="211"/>
      <c r="P309" s="211"/>
      <c r="Q309" s="211"/>
      <c r="R309" s="211"/>
      <c r="S309" s="211"/>
      <c r="T309" s="211"/>
      <c r="U309" s="211"/>
      <c r="V309" s="211"/>
      <c r="W309" s="211"/>
      <c r="X309" s="211"/>
      <c r="Y309" s="211"/>
      <c r="Z309" s="211"/>
      <c r="AA309" s="211"/>
    </row>
    <row r="310">
      <c r="A310" s="211"/>
      <c r="B310" s="211"/>
      <c r="C310" s="211"/>
      <c r="D310" s="211"/>
      <c r="E310" s="211"/>
      <c r="F310" s="211"/>
      <c r="G310" s="211"/>
      <c r="H310" s="211"/>
      <c r="I310" s="211"/>
      <c r="J310" s="211"/>
      <c r="K310" s="211"/>
      <c r="L310" s="211"/>
      <c r="M310" s="211"/>
      <c r="N310" s="211"/>
      <c r="O310" s="211"/>
      <c r="P310" s="211"/>
      <c r="Q310" s="211"/>
      <c r="R310" s="211"/>
      <c r="S310" s="211"/>
      <c r="T310" s="211"/>
      <c r="U310" s="211"/>
      <c r="V310" s="211"/>
      <c r="W310" s="211"/>
      <c r="X310" s="211"/>
      <c r="Y310" s="211"/>
      <c r="Z310" s="211"/>
      <c r="AA310" s="211"/>
    </row>
    <row r="311">
      <c r="A311" s="211"/>
      <c r="B311" s="211"/>
      <c r="C311" s="211"/>
      <c r="D311" s="211"/>
      <c r="E311" s="211"/>
      <c r="F311" s="211"/>
      <c r="G311" s="211"/>
      <c r="H311" s="211"/>
      <c r="I311" s="211"/>
      <c r="J311" s="211"/>
      <c r="K311" s="211"/>
      <c r="L311" s="211"/>
      <c r="M311" s="211"/>
      <c r="N311" s="211"/>
      <c r="O311" s="211"/>
      <c r="P311" s="211"/>
      <c r="Q311" s="211"/>
      <c r="R311" s="211"/>
      <c r="S311" s="211"/>
      <c r="T311" s="211"/>
      <c r="U311" s="211"/>
      <c r="V311" s="211"/>
      <c r="W311" s="211"/>
      <c r="X311" s="211"/>
      <c r="Y311" s="211"/>
      <c r="Z311" s="211"/>
      <c r="AA311" s="211"/>
    </row>
    <row r="312">
      <c r="A312" s="211"/>
      <c r="B312" s="211"/>
      <c r="C312" s="211"/>
      <c r="D312" s="211"/>
      <c r="E312" s="211"/>
      <c r="F312" s="211"/>
      <c r="G312" s="211"/>
      <c r="H312" s="211"/>
      <c r="I312" s="211"/>
      <c r="J312" s="211"/>
      <c r="K312" s="211"/>
      <c r="L312" s="211"/>
      <c r="M312" s="211"/>
      <c r="N312" s="211"/>
      <c r="O312" s="211"/>
      <c r="P312" s="211"/>
      <c r="Q312" s="211"/>
      <c r="R312" s="211"/>
      <c r="S312" s="211"/>
      <c r="T312" s="211"/>
      <c r="U312" s="211"/>
      <c r="V312" s="211"/>
      <c r="W312" s="211"/>
      <c r="X312" s="211"/>
      <c r="Y312" s="211"/>
      <c r="Z312" s="211"/>
      <c r="AA312" s="211"/>
    </row>
    <row r="313">
      <c r="A313" s="211"/>
      <c r="B313" s="211"/>
      <c r="C313" s="211"/>
      <c r="D313" s="211"/>
      <c r="E313" s="211"/>
      <c r="F313" s="211"/>
      <c r="G313" s="211"/>
      <c r="H313" s="211"/>
      <c r="I313" s="211"/>
      <c r="J313" s="211"/>
      <c r="K313" s="211"/>
      <c r="L313" s="211"/>
      <c r="M313" s="211"/>
      <c r="N313" s="211"/>
      <c r="O313" s="211"/>
      <c r="P313" s="211"/>
      <c r="Q313" s="211"/>
      <c r="R313" s="211"/>
      <c r="S313" s="211"/>
      <c r="T313" s="211"/>
      <c r="U313" s="211"/>
      <c r="V313" s="211"/>
      <c r="W313" s="211"/>
      <c r="X313" s="211"/>
      <c r="Y313" s="211"/>
      <c r="Z313" s="211"/>
      <c r="AA313" s="211"/>
    </row>
    <row r="314">
      <c r="A314" s="211"/>
      <c r="B314" s="211"/>
      <c r="C314" s="211"/>
      <c r="D314" s="211"/>
      <c r="E314" s="211"/>
      <c r="F314" s="211"/>
      <c r="G314" s="211"/>
      <c r="H314" s="211"/>
      <c r="I314" s="211"/>
      <c r="J314" s="211"/>
      <c r="K314" s="211"/>
      <c r="L314" s="211"/>
      <c r="M314" s="211"/>
      <c r="N314" s="211"/>
      <c r="O314" s="211"/>
      <c r="P314" s="211"/>
      <c r="Q314" s="211"/>
      <c r="R314" s="211"/>
      <c r="S314" s="211"/>
      <c r="T314" s="211"/>
      <c r="U314" s="211"/>
      <c r="V314" s="211"/>
      <c r="W314" s="211"/>
      <c r="X314" s="211"/>
      <c r="Y314" s="211"/>
      <c r="Z314" s="211"/>
      <c r="AA314" s="211"/>
    </row>
    <row r="315">
      <c r="A315" s="211"/>
      <c r="B315" s="211"/>
      <c r="C315" s="211"/>
      <c r="D315" s="211"/>
      <c r="E315" s="211"/>
      <c r="F315" s="211"/>
      <c r="G315" s="211"/>
      <c r="H315" s="211"/>
      <c r="I315" s="211"/>
      <c r="J315" s="211"/>
      <c r="K315" s="211"/>
      <c r="L315" s="211"/>
      <c r="M315" s="211"/>
      <c r="N315" s="211"/>
      <c r="O315" s="211"/>
      <c r="P315" s="211"/>
      <c r="Q315" s="211"/>
      <c r="R315" s="211"/>
      <c r="S315" s="211"/>
      <c r="T315" s="211"/>
      <c r="U315" s="211"/>
      <c r="V315" s="211"/>
      <c r="W315" s="211"/>
      <c r="X315" s="211"/>
      <c r="Y315" s="211"/>
      <c r="Z315" s="211"/>
      <c r="AA315" s="211"/>
    </row>
    <row r="316">
      <c r="A316" s="211"/>
      <c r="B316" s="211"/>
      <c r="C316" s="211"/>
      <c r="D316" s="211"/>
      <c r="E316" s="211"/>
      <c r="F316" s="211"/>
      <c r="G316" s="211"/>
      <c r="H316" s="211"/>
      <c r="I316" s="211"/>
      <c r="J316" s="211"/>
      <c r="K316" s="211"/>
      <c r="L316" s="211"/>
      <c r="M316" s="211"/>
      <c r="N316" s="211"/>
      <c r="O316" s="211"/>
      <c r="P316" s="211"/>
      <c r="Q316" s="211"/>
      <c r="R316" s="211"/>
      <c r="S316" s="211"/>
      <c r="T316" s="211"/>
      <c r="U316" s="211"/>
      <c r="V316" s="211"/>
      <c r="W316" s="211"/>
      <c r="X316" s="211"/>
      <c r="Y316" s="211"/>
      <c r="Z316" s="211"/>
      <c r="AA316" s="211"/>
    </row>
    <row r="317">
      <c r="A317" s="211"/>
      <c r="B317" s="211"/>
      <c r="C317" s="211"/>
      <c r="D317" s="211"/>
      <c r="E317" s="211"/>
      <c r="F317" s="211"/>
      <c r="G317" s="211"/>
      <c r="H317" s="211"/>
      <c r="I317" s="211"/>
      <c r="J317" s="211"/>
      <c r="K317" s="211"/>
      <c r="L317" s="211"/>
      <c r="M317" s="211"/>
      <c r="N317" s="211"/>
      <c r="O317" s="211"/>
      <c r="P317" s="211"/>
      <c r="Q317" s="211"/>
      <c r="R317" s="211"/>
      <c r="S317" s="211"/>
      <c r="T317" s="211"/>
      <c r="U317" s="211"/>
      <c r="V317" s="211"/>
      <c r="W317" s="211"/>
      <c r="X317" s="211"/>
      <c r="Y317" s="211"/>
      <c r="Z317" s="211"/>
      <c r="AA317" s="211"/>
    </row>
    <row r="318">
      <c r="A318" s="211"/>
      <c r="B318" s="211"/>
      <c r="C318" s="211"/>
      <c r="D318" s="211"/>
      <c r="E318" s="211"/>
      <c r="F318" s="211"/>
      <c r="G318" s="211"/>
      <c r="H318" s="211"/>
      <c r="I318" s="211"/>
      <c r="J318" s="211"/>
      <c r="K318" s="211"/>
      <c r="L318" s="211"/>
      <c r="M318" s="211"/>
      <c r="N318" s="211"/>
      <c r="O318" s="211"/>
      <c r="P318" s="211"/>
      <c r="Q318" s="211"/>
      <c r="R318" s="211"/>
      <c r="S318" s="211"/>
      <c r="T318" s="211"/>
      <c r="U318" s="211"/>
      <c r="V318" s="211"/>
      <c r="W318" s="211"/>
      <c r="X318" s="211"/>
      <c r="Y318" s="211"/>
      <c r="Z318" s="211"/>
      <c r="AA318" s="211"/>
    </row>
    <row r="319">
      <c r="A319" s="211"/>
      <c r="B319" s="211"/>
      <c r="C319" s="211"/>
      <c r="D319" s="211"/>
      <c r="E319" s="211"/>
      <c r="F319" s="211"/>
      <c r="G319" s="211"/>
      <c r="H319" s="211"/>
      <c r="I319" s="211"/>
      <c r="J319" s="211"/>
      <c r="K319" s="211"/>
      <c r="L319" s="211"/>
      <c r="M319" s="211"/>
      <c r="N319" s="211"/>
      <c r="O319" s="211"/>
      <c r="P319" s="211"/>
      <c r="Q319" s="211"/>
      <c r="R319" s="211"/>
      <c r="S319" s="211"/>
      <c r="T319" s="211"/>
      <c r="U319" s="211"/>
      <c r="V319" s="211"/>
      <c r="W319" s="211"/>
      <c r="X319" s="211"/>
      <c r="Y319" s="211"/>
      <c r="Z319" s="211"/>
      <c r="AA319" s="211"/>
    </row>
    <row r="320">
      <c r="A320" s="211"/>
      <c r="B320" s="211"/>
      <c r="C320" s="211"/>
      <c r="D320" s="211"/>
      <c r="E320" s="211"/>
      <c r="F320" s="211"/>
      <c r="G320" s="211"/>
      <c r="H320" s="211"/>
      <c r="I320" s="211"/>
      <c r="J320" s="211"/>
      <c r="K320" s="211"/>
      <c r="L320" s="211"/>
      <c r="M320" s="211"/>
      <c r="N320" s="211"/>
      <c r="O320" s="211"/>
      <c r="P320" s="211"/>
      <c r="Q320" s="211"/>
      <c r="R320" s="211"/>
      <c r="S320" s="211"/>
      <c r="T320" s="211"/>
      <c r="U320" s="211"/>
      <c r="V320" s="211"/>
      <c r="W320" s="211"/>
      <c r="X320" s="211"/>
      <c r="Y320" s="211"/>
      <c r="Z320" s="211"/>
      <c r="AA320" s="211"/>
    </row>
    <row r="321">
      <c r="A321" s="211"/>
      <c r="B321" s="211"/>
      <c r="C321" s="211"/>
      <c r="D321" s="211"/>
      <c r="E321" s="211"/>
      <c r="F321" s="211"/>
      <c r="G321" s="211"/>
      <c r="H321" s="211"/>
      <c r="I321" s="211"/>
      <c r="J321" s="211"/>
      <c r="K321" s="211"/>
      <c r="L321" s="211"/>
      <c r="M321" s="211"/>
      <c r="N321" s="211"/>
      <c r="O321" s="211"/>
      <c r="P321" s="211"/>
      <c r="Q321" s="211"/>
      <c r="R321" s="211"/>
      <c r="S321" s="211"/>
      <c r="T321" s="211"/>
      <c r="U321" s="211"/>
      <c r="V321" s="211"/>
      <c r="W321" s="211"/>
      <c r="X321" s="211"/>
      <c r="Y321" s="211"/>
      <c r="Z321" s="211"/>
      <c r="AA321" s="211"/>
    </row>
    <row r="322">
      <c r="A322" s="211"/>
      <c r="B322" s="211"/>
      <c r="C322" s="211"/>
      <c r="D322" s="211"/>
      <c r="E322" s="211"/>
      <c r="F322" s="211"/>
      <c r="G322" s="211"/>
      <c r="H322" s="211"/>
      <c r="I322" s="211"/>
      <c r="J322" s="211"/>
      <c r="K322" s="211"/>
      <c r="L322" s="211"/>
      <c r="M322" s="211"/>
      <c r="N322" s="211"/>
      <c r="O322" s="211"/>
      <c r="P322" s="211"/>
      <c r="Q322" s="211"/>
      <c r="R322" s="211"/>
      <c r="S322" s="211"/>
      <c r="T322" s="211"/>
      <c r="U322" s="211"/>
      <c r="V322" s="211"/>
      <c r="W322" s="211"/>
      <c r="X322" s="211"/>
      <c r="Y322" s="211"/>
      <c r="Z322" s="211"/>
      <c r="AA322" s="211"/>
    </row>
    <row r="323">
      <c r="A323" s="211"/>
      <c r="B323" s="211"/>
      <c r="C323" s="211"/>
      <c r="D323" s="211"/>
      <c r="E323" s="211"/>
      <c r="F323" s="211"/>
      <c r="G323" s="211"/>
      <c r="H323" s="211"/>
      <c r="I323" s="211"/>
      <c r="J323" s="211"/>
      <c r="K323" s="211"/>
      <c r="L323" s="211"/>
      <c r="M323" s="211"/>
      <c r="N323" s="211"/>
      <c r="O323" s="211"/>
      <c r="P323" s="211"/>
      <c r="Q323" s="211"/>
      <c r="R323" s="211"/>
      <c r="S323" s="211"/>
      <c r="T323" s="211"/>
      <c r="U323" s="211"/>
      <c r="V323" s="211"/>
      <c r="W323" s="211"/>
      <c r="X323" s="211"/>
      <c r="Y323" s="211"/>
      <c r="Z323" s="211"/>
      <c r="AA323" s="211"/>
    </row>
    <row r="324">
      <c r="A324" s="211"/>
      <c r="B324" s="211"/>
      <c r="C324" s="211"/>
      <c r="D324" s="211"/>
      <c r="E324" s="211"/>
      <c r="F324" s="211"/>
      <c r="G324" s="211"/>
      <c r="H324" s="211"/>
      <c r="I324" s="211"/>
      <c r="J324" s="211"/>
      <c r="K324" s="211"/>
      <c r="L324" s="211"/>
      <c r="M324" s="211"/>
      <c r="N324" s="211"/>
      <c r="O324" s="211"/>
      <c r="P324" s="211"/>
      <c r="Q324" s="211"/>
      <c r="R324" s="211"/>
      <c r="S324" s="211"/>
      <c r="T324" s="211"/>
      <c r="U324" s="211"/>
      <c r="V324" s="211"/>
      <c r="W324" s="211"/>
      <c r="X324" s="211"/>
      <c r="Y324" s="211"/>
      <c r="Z324" s="211"/>
      <c r="AA324" s="211"/>
    </row>
    <row r="325">
      <c r="A325" s="211"/>
      <c r="B325" s="211"/>
      <c r="C325" s="211"/>
      <c r="D325" s="211"/>
      <c r="E325" s="211"/>
      <c r="F325" s="211"/>
      <c r="G325" s="211"/>
      <c r="H325" s="211"/>
      <c r="I325" s="211"/>
      <c r="J325" s="211"/>
      <c r="K325" s="211"/>
      <c r="L325" s="211"/>
      <c r="M325" s="211"/>
      <c r="N325" s="211"/>
      <c r="O325" s="211"/>
      <c r="P325" s="211"/>
      <c r="Q325" s="211"/>
      <c r="R325" s="211"/>
      <c r="S325" s="211"/>
      <c r="T325" s="211"/>
      <c r="U325" s="211"/>
      <c r="V325" s="211"/>
      <c r="W325" s="211"/>
      <c r="X325" s="211"/>
      <c r="Y325" s="211"/>
      <c r="Z325" s="211"/>
      <c r="AA325" s="211"/>
    </row>
    <row r="326">
      <c r="A326" s="211"/>
      <c r="B326" s="211"/>
      <c r="C326" s="211"/>
      <c r="D326" s="211"/>
      <c r="E326" s="211"/>
      <c r="F326" s="211"/>
      <c r="G326" s="211"/>
      <c r="H326" s="211"/>
      <c r="I326" s="211"/>
      <c r="J326" s="211"/>
      <c r="K326" s="211"/>
      <c r="L326" s="211"/>
      <c r="M326" s="211"/>
      <c r="N326" s="211"/>
      <c r="O326" s="211"/>
      <c r="P326" s="211"/>
      <c r="Q326" s="211"/>
      <c r="R326" s="211"/>
      <c r="S326" s="211"/>
      <c r="T326" s="211"/>
      <c r="U326" s="211"/>
      <c r="V326" s="211"/>
      <c r="W326" s="211"/>
      <c r="X326" s="211"/>
      <c r="Y326" s="211"/>
      <c r="Z326" s="211"/>
      <c r="AA326" s="211"/>
    </row>
    <row r="327">
      <c r="A327" s="211"/>
      <c r="B327" s="211"/>
      <c r="C327" s="211"/>
      <c r="D327" s="211"/>
      <c r="E327" s="211"/>
      <c r="F327" s="211"/>
      <c r="G327" s="211"/>
      <c r="H327" s="211"/>
      <c r="I327" s="211"/>
      <c r="J327" s="211"/>
      <c r="K327" s="211"/>
      <c r="L327" s="211"/>
      <c r="M327" s="211"/>
      <c r="N327" s="211"/>
      <c r="O327" s="211"/>
      <c r="P327" s="211"/>
      <c r="Q327" s="211"/>
      <c r="R327" s="211"/>
      <c r="S327" s="211"/>
      <c r="T327" s="211"/>
      <c r="U327" s="211"/>
      <c r="V327" s="211"/>
      <c r="W327" s="211"/>
      <c r="X327" s="211"/>
      <c r="Y327" s="211"/>
      <c r="Z327" s="211"/>
      <c r="AA327" s="211"/>
    </row>
    <row r="328">
      <c r="A328" s="211"/>
      <c r="B328" s="211"/>
      <c r="C328" s="211"/>
      <c r="D328" s="211"/>
      <c r="E328" s="211"/>
      <c r="F328" s="211"/>
      <c r="G328" s="211"/>
      <c r="H328" s="211"/>
      <c r="I328" s="211"/>
      <c r="J328" s="211"/>
      <c r="K328" s="211"/>
      <c r="L328" s="211"/>
      <c r="M328" s="211"/>
      <c r="N328" s="211"/>
      <c r="O328" s="211"/>
      <c r="P328" s="211"/>
      <c r="Q328" s="211"/>
      <c r="R328" s="211"/>
      <c r="S328" s="211"/>
      <c r="T328" s="211"/>
      <c r="U328" s="211"/>
      <c r="V328" s="211"/>
      <c r="W328" s="211"/>
      <c r="X328" s="211"/>
      <c r="Y328" s="211"/>
      <c r="Z328" s="211"/>
      <c r="AA328" s="211"/>
    </row>
    <row r="329">
      <c r="A329" s="211"/>
      <c r="B329" s="211"/>
      <c r="C329" s="211"/>
      <c r="D329" s="211"/>
      <c r="E329" s="211"/>
      <c r="F329" s="211"/>
      <c r="G329" s="211"/>
      <c r="H329" s="211"/>
      <c r="I329" s="211"/>
      <c r="J329" s="211"/>
      <c r="K329" s="211"/>
      <c r="L329" s="211"/>
      <c r="M329" s="211"/>
      <c r="N329" s="211"/>
      <c r="O329" s="211"/>
      <c r="P329" s="211"/>
      <c r="Q329" s="211"/>
      <c r="R329" s="211"/>
      <c r="S329" s="211"/>
      <c r="T329" s="211"/>
      <c r="U329" s="211"/>
      <c r="V329" s="211"/>
      <c r="W329" s="211"/>
      <c r="X329" s="211"/>
      <c r="Y329" s="211"/>
      <c r="Z329" s="211"/>
      <c r="AA329" s="211"/>
    </row>
    <row r="330">
      <c r="A330" s="211"/>
      <c r="B330" s="211"/>
      <c r="C330" s="211"/>
      <c r="D330" s="211"/>
      <c r="E330" s="211"/>
      <c r="F330" s="211"/>
      <c r="G330" s="211"/>
      <c r="H330" s="211"/>
      <c r="I330" s="211"/>
      <c r="J330" s="211"/>
      <c r="K330" s="211"/>
      <c r="L330" s="211"/>
      <c r="M330" s="211"/>
      <c r="N330" s="211"/>
      <c r="O330" s="211"/>
      <c r="P330" s="211"/>
      <c r="Q330" s="211"/>
      <c r="R330" s="211"/>
      <c r="S330" s="211"/>
      <c r="T330" s="211"/>
      <c r="U330" s="211"/>
      <c r="V330" s="211"/>
      <c r="W330" s="211"/>
      <c r="X330" s="211"/>
      <c r="Y330" s="211"/>
      <c r="Z330" s="211"/>
      <c r="AA330" s="211"/>
    </row>
    <row r="331">
      <c r="A331" s="211"/>
      <c r="B331" s="211"/>
      <c r="C331" s="211"/>
      <c r="D331" s="211"/>
      <c r="E331" s="211"/>
      <c r="F331" s="211"/>
      <c r="G331" s="211"/>
      <c r="H331" s="211"/>
      <c r="I331" s="211"/>
      <c r="J331" s="211"/>
      <c r="K331" s="211"/>
      <c r="L331" s="211"/>
      <c r="M331" s="211"/>
      <c r="N331" s="211"/>
      <c r="O331" s="211"/>
      <c r="P331" s="211"/>
      <c r="Q331" s="211"/>
      <c r="R331" s="211"/>
      <c r="S331" s="211"/>
      <c r="T331" s="211"/>
      <c r="U331" s="211"/>
      <c r="V331" s="211"/>
      <c r="W331" s="211"/>
      <c r="X331" s="211"/>
      <c r="Y331" s="211"/>
      <c r="Z331" s="211"/>
      <c r="AA331" s="211"/>
    </row>
    <row r="332">
      <c r="A332" s="211"/>
      <c r="B332" s="211"/>
      <c r="C332" s="211"/>
      <c r="D332" s="211"/>
      <c r="E332" s="211"/>
      <c r="F332" s="211"/>
      <c r="G332" s="211"/>
      <c r="H332" s="211"/>
      <c r="I332" s="211"/>
      <c r="J332" s="211"/>
      <c r="K332" s="211"/>
      <c r="L332" s="211"/>
      <c r="M332" s="211"/>
      <c r="N332" s="211"/>
      <c r="O332" s="211"/>
      <c r="P332" s="211"/>
      <c r="Q332" s="211"/>
      <c r="R332" s="211"/>
      <c r="S332" s="211"/>
      <c r="T332" s="211"/>
      <c r="U332" s="211"/>
      <c r="V332" s="211"/>
      <c r="W332" s="211"/>
      <c r="X332" s="211"/>
      <c r="Y332" s="211"/>
      <c r="Z332" s="211"/>
      <c r="AA332" s="211"/>
    </row>
    <row r="333">
      <c r="A333" s="211"/>
      <c r="B333" s="211"/>
      <c r="C333" s="211"/>
      <c r="D333" s="211"/>
      <c r="E333" s="211"/>
      <c r="F333" s="211"/>
      <c r="G333" s="211"/>
      <c r="H333" s="211"/>
      <c r="I333" s="211"/>
      <c r="J333" s="211"/>
      <c r="K333" s="211"/>
      <c r="L333" s="211"/>
      <c r="M333" s="211"/>
      <c r="N333" s="211"/>
      <c r="O333" s="211"/>
      <c r="P333" s="211"/>
      <c r="Q333" s="211"/>
      <c r="R333" s="211"/>
      <c r="S333" s="211"/>
      <c r="T333" s="211"/>
      <c r="U333" s="211"/>
      <c r="V333" s="211"/>
      <c r="W333" s="211"/>
      <c r="X333" s="211"/>
      <c r="Y333" s="211"/>
      <c r="Z333" s="211"/>
      <c r="AA333" s="211"/>
    </row>
    <row r="334">
      <c r="A334" s="211"/>
      <c r="B334" s="211"/>
      <c r="C334" s="211"/>
      <c r="D334" s="211"/>
      <c r="E334" s="211"/>
      <c r="F334" s="211"/>
      <c r="G334" s="211"/>
      <c r="H334" s="211"/>
      <c r="I334" s="211"/>
      <c r="J334" s="211"/>
      <c r="K334" s="211"/>
      <c r="L334" s="211"/>
      <c r="M334" s="211"/>
      <c r="N334" s="211"/>
      <c r="O334" s="211"/>
      <c r="P334" s="211"/>
      <c r="Q334" s="211"/>
      <c r="R334" s="211"/>
      <c r="S334" s="211"/>
      <c r="T334" s="211"/>
      <c r="U334" s="211"/>
      <c r="V334" s="211"/>
      <c r="W334" s="211"/>
      <c r="X334" s="211"/>
      <c r="Y334" s="211"/>
      <c r="Z334" s="211"/>
      <c r="AA334" s="211"/>
    </row>
    <row r="335">
      <c r="A335" s="211"/>
      <c r="B335" s="211"/>
      <c r="C335" s="211"/>
      <c r="D335" s="211"/>
      <c r="E335" s="211"/>
      <c r="F335" s="211"/>
      <c r="G335" s="211"/>
      <c r="H335" s="211"/>
      <c r="I335" s="211"/>
      <c r="J335" s="211"/>
      <c r="K335" s="211"/>
      <c r="L335" s="211"/>
      <c r="M335" s="211"/>
      <c r="N335" s="211"/>
      <c r="O335" s="211"/>
      <c r="P335" s="211"/>
      <c r="Q335" s="211"/>
      <c r="R335" s="211"/>
      <c r="S335" s="211"/>
      <c r="T335" s="211"/>
      <c r="U335" s="211"/>
      <c r="V335" s="211"/>
      <c r="W335" s="211"/>
      <c r="X335" s="211"/>
      <c r="Y335" s="211"/>
      <c r="Z335" s="211"/>
      <c r="AA335" s="211"/>
    </row>
    <row r="336">
      <c r="A336" s="211"/>
      <c r="B336" s="211"/>
      <c r="C336" s="211"/>
      <c r="D336" s="211"/>
      <c r="E336" s="211"/>
      <c r="F336" s="211"/>
      <c r="G336" s="211"/>
      <c r="H336" s="211"/>
      <c r="I336" s="211"/>
      <c r="J336" s="211"/>
      <c r="K336" s="211"/>
      <c r="L336" s="211"/>
      <c r="M336" s="211"/>
      <c r="N336" s="211"/>
      <c r="O336" s="211"/>
      <c r="P336" s="211"/>
      <c r="Q336" s="211"/>
      <c r="R336" s="211"/>
      <c r="S336" s="211"/>
      <c r="T336" s="211"/>
      <c r="U336" s="211"/>
      <c r="V336" s="211"/>
      <c r="W336" s="211"/>
      <c r="X336" s="211"/>
      <c r="Y336" s="211"/>
      <c r="Z336" s="211"/>
      <c r="AA336" s="211"/>
    </row>
    <row r="337">
      <c r="A337" s="211"/>
      <c r="B337" s="211"/>
      <c r="C337" s="211"/>
      <c r="D337" s="211"/>
      <c r="E337" s="211"/>
      <c r="F337" s="211"/>
      <c r="G337" s="211"/>
      <c r="H337" s="211"/>
      <c r="I337" s="211"/>
      <c r="J337" s="211"/>
      <c r="K337" s="211"/>
      <c r="L337" s="211"/>
      <c r="M337" s="211"/>
      <c r="N337" s="211"/>
      <c r="O337" s="211"/>
      <c r="P337" s="211"/>
      <c r="Q337" s="211"/>
      <c r="R337" s="211"/>
      <c r="S337" s="211"/>
      <c r="T337" s="211"/>
      <c r="U337" s="211"/>
      <c r="V337" s="211"/>
      <c r="W337" s="211"/>
      <c r="X337" s="211"/>
      <c r="Y337" s="211"/>
      <c r="Z337" s="211"/>
      <c r="AA337" s="211"/>
    </row>
    <row r="338">
      <c r="A338" s="211"/>
      <c r="B338" s="211"/>
      <c r="C338" s="211"/>
      <c r="D338" s="211"/>
      <c r="E338" s="211"/>
      <c r="F338" s="211"/>
      <c r="G338" s="211"/>
      <c r="H338" s="211"/>
      <c r="I338" s="211"/>
      <c r="J338" s="211"/>
      <c r="K338" s="211"/>
      <c r="L338" s="211"/>
      <c r="M338" s="211"/>
      <c r="N338" s="211"/>
      <c r="O338" s="211"/>
      <c r="P338" s="211"/>
      <c r="Q338" s="211"/>
      <c r="R338" s="211"/>
      <c r="S338" s="211"/>
      <c r="T338" s="211"/>
      <c r="U338" s="211"/>
      <c r="V338" s="211"/>
      <c r="W338" s="211"/>
      <c r="X338" s="211"/>
      <c r="Y338" s="211"/>
      <c r="Z338" s="211"/>
      <c r="AA338" s="211"/>
    </row>
    <row r="339">
      <c r="A339" s="211"/>
      <c r="B339" s="211"/>
      <c r="C339" s="211"/>
      <c r="D339" s="211"/>
      <c r="E339" s="211"/>
      <c r="F339" s="211"/>
      <c r="G339" s="211"/>
      <c r="H339" s="211"/>
      <c r="I339" s="211"/>
      <c r="J339" s="211"/>
      <c r="K339" s="211"/>
      <c r="L339" s="211"/>
      <c r="M339" s="211"/>
      <c r="N339" s="211"/>
      <c r="O339" s="211"/>
      <c r="P339" s="211"/>
      <c r="Q339" s="211"/>
      <c r="R339" s="211"/>
      <c r="S339" s="211"/>
      <c r="T339" s="211"/>
      <c r="U339" s="211"/>
      <c r="V339" s="211"/>
      <c r="W339" s="211"/>
      <c r="X339" s="211"/>
      <c r="Y339" s="211"/>
      <c r="Z339" s="211"/>
      <c r="AA339" s="211"/>
    </row>
    <row r="340">
      <c r="A340" s="211"/>
      <c r="B340" s="211"/>
      <c r="C340" s="211"/>
      <c r="D340" s="211"/>
      <c r="E340" s="211"/>
      <c r="F340" s="211"/>
      <c r="G340" s="211"/>
      <c r="H340" s="211"/>
      <c r="I340" s="211"/>
      <c r="J340" s="211"/>
      <c r="K340" s="211"/>
      <c r="L340" s="211"/>
      <c r="M340" s="211"/>
      <c r="N340" s="211"/>
      <c r="O340" s="211"/>
      <c r="P340" s="211"/>
      <c r="Q340" s="211"/>
      <c r="R340" s="211"/>
      <c r="S340" s="211"/>
      <c r="T340" s="211"/>
      <c r="U340" s="211"/>
      <c r="V340" s="211"/>
      <c r="W340" s="211"/>
      <c r="X340" s="211"/>
      <c r="Y340" s="211"/>
      <c r="Z340" s="211"/>
      <c r="AA340" s="211"/>
    </row>
    <row r="341">
      <c r="A341" s="211"/>
      <c r="B341" s="211"/>
      <c r="C341" s="211"/>
      <c r="D341" s="211"/>
      <c r="E341" s="211"/>
      <c r="F341" s="211"/>
      <c r="G341" s="211"/>
      <c r="H341" s="211"/>
      <c r="I341" s="211"/>
      <c r="J341" s="211"/>
      <c r="K341" s="211"/>
      <c r="L341" s="211"/>
      <c r="M341" s="211"/>
      <c r="N341" s="211"/>
      <c r="O341" s="211"/>
      <c r="P341" s="211"/>
      <c r="Q341" s="211"/>
      <c r="R341" s="211"/>
      <c r="S341" s="211"/>
      <c r="T341" s="211"/>
      <c r="U341" s="211"/>
      <c r="V341" s="211"/>
      <c r="W341" s="211"/>
      <c r="X341" s="211"/>
      <c r="Y341" s="211"/>
      <c r="Z341" s="211"/>
      <c r="AA341" s="211"/>
    </row>
    <row r="342">
      <c r="A342" s="211"/>
      <c r="B342" s="211"/>
      <c r="C342" s="211"/>
      <c r="D342" s="211"/>
      <c r="E342" s="211"/>
      <c r="F342" s="211"/>
      <c r="G342" s="211"/>
      <c r="H342" s="211"/>
      <c r="I342" s="211"/>
      <c r="J342" s="211"/>
      <c r="K342" s="211"/>
      <c r="L342" s="211"/>
      <c r="M342" s="211"/>
      <c r="N342" s="211"/>
      <c r="O342" s="211"/>
      <c r="P342" s="211"/>
      <c r="Q342" s="211"/>
      <c r="R342" s="211"/>
      <c r="S342" s="211"/>
      <c r="T342" s="211"/>
      <c r="U342" s="211"/>
      <c r="V342" s="211"/>
      <c r="W342" s="211"/>
      <c r="X342" s="211"/>
      <c r="Y342" s="211"/>
      <c r="Z342" s="211"/>
      <c r="AA342" s="211"/>
    </row>
    <row r="343">
      <c r="A343" s="211"/>
      <c r="B343" s="211"/>
      <c r="C343" s="211"/>
      <c r="D343" s="211"/>
      <c r="E343" s="211"/>
      <c r="F343" s="211"/>
      <c r="G343" s="211"/>
      <c r="H343" s="211"/>
      <c r="I343" s="211"/>
      <c r="J343" s="211"/>
      <c r="K343" s="211"/>
      <c r="L343" s="211"/>
      <c r="M343" s="211"/>
      <c r="N343" s="211"/>
      <c r="O343" s="211"/>
      <c r="P343" s="211"/>
      <c r="Q343" s="211"/>
      <c r="R343" s="211"/>
      <c r="S343" s="211"/>
      <c r="T343" s="211"/>
      <c r="U343" s="211"/>
      <c r="V343" s="211"/>
      <c r="W343" s="211"/>
      <c r="X343" s="211"/>
      <c r="Y343" s="211"/>
      <c r="Z343" s="211"/>
      <c r="AA343" s="211"/>
    </row>
    <row r="344">
      <c r="A344" s="211"/>
      <c r="B344" s="211"/>
      <c r="C344" s="211"/>
      <c r="D344" s="211"/>
      <c r="E344" s="211"/>
      <c r="F344" s="211"/>
      <c r="G344" s="211"/>
      <c r="H344" s="211"/>
      <c r="I344" s="211"/>
      <c r="J344" s="211"/>
      <c r="K344" s="211"/>
      <c r="L344" s="211"/>
      <c r="M344" s="211"/>
      <c r="N344" s="211"/>
      <c r="O344" s="211"/>
      <c r="P344" s="211"/>
      <c r="Q344" s="211"/>
      <c r="R344" s="211"/>
      <c r="S344" s="211"/>
      <c r="T344" s="211"/>
      <c r="U344" s="211"/>
      <c r="V344" s="211"/>
      <c r="W344" s="211"/>
      <c r="X344" s="211"/>
      <c r="Y344" s="211"/>
      <c r="Z344" s="211"/>
      <c r="AA344" s="211"/>
    </row>
    <row r="345">
      <c r="A345" s="211"/>
      <c r="B345" s="211"/>
      <c r="C345" s="211"/>
      <c r="D345" s="211"/>
      <c r="E345" s="211"/>
      <c r="F345" s="211"/>
      <c r="G345" s="211"/>
      <c r="H345" s="211"/>
      <c r="I345" s="211"/>
      <c r="J345" s="211"/>
      <c r="K345" s="211"/>
      <c r="L345" s="211"/>
      <c r="M345" s="211"/>
      <c r="N345" s="211"/>
      <c r="O345" s="211"/>
      <c r="P345" s="211"/>
      <c r="Q345" s="211"/>
      <c r="R345" s="211"/>
      <c r="S345" s="211"/>
      <c r="T345" s="211"/>
      <c r="U345" s="211"/>
      <c r="V345" s="211"/>
      <c r="W345" s="211"/>
      <c r="X345" s="211"/>
      <c r="Y345" s="211"/>
      <c r="Z345" s="211"/>
      <c r="AA345" s="211"/>
    </row>
    <row r="346">
      <c r="A346" s="211"/>
      <c r="B346" s="211"/>
      <c r="C346" s="211"/>
      <c r="D346" s="211"/>
      <c r="E346" s="211"/>
      <c r="F346" s="211"/>
      <c r="G346" s="211"/>
      <c r="H346" s="211"/>
      <c r="I346" s="211"/>
      <c r="J346" s="211"/>
      <c r="K346" s="211"/>
      <c r="L346" s="211"/>
      <c r="M346" s="211"/>
      <c r="N346" s="211"/>
      <c r="O346" s="211"/>
      <c r="P346" s="211"/>
      <c r="Q346" s="211"/>
      <c r="R346" s="211"/>
      <c r="S346" s="211"/>
      <c r="T346" s="211"/>
      <c r="U346" s="211"/>
      <c r="V346" s="211"/>
      <c r="W346" s="211"/>
      <c r="X346" s="211"/>
      <c r="Y346" s="211"/>
      <c r="Z346" s="211"/>
      <c r="AA346" s="211"/>
    </row>
    <row r="347">
      <c r="A347" s="211"/>
      <c r="B347" s="211"/>
      <c r="C347" s="211"/>
      <c r="D347" s="211"/>
      <c r="E347" s="211"/>
      <c r="F347" s="211"/>
      <c r="G347" s="211"/>
      <c r="H347" s="211"/>
      <c r="I347" s="211"/>
      <c r="J347" s="211"/>
      <c r="K347" s="211"/>
      <c r="L347" s="211"/>
      <c r="M347" s="211"/>
      <c r="N347" s="211"/>
      <c r="O347" s="211"/>
      <c r="P347" s="211"/>
      <c r="Q347" s="211"/>
      <c r="R347" s="211"/>
      <c r="S347" s="211"/>
      <c r="T347" s="211"/>
      <c r="U347" s="211"/>
      <c r="V347" s="211"/>
      <c r="W347" s="211"/>
      <c r="X347" s="211"/>
      <c r="Y347" s="211"/>
      <c r="Z347" s="211"/>
      <c r="AA347" s="211"/>
    </row>
    <row r="348">
      <c r="A348" s="211"/>
      <c r="B348" s="211"/>
      <c r="C348" s="211"/>
      <c r="D348" s="211"/>
      <c r="E348" s="211"/>
      <c r="F348" s="211"/>
      <c r="G348" s="211"/>
      <c r="H348" s="211"/>
      <c r="I348" s="211"/>
      <c r="J348" s="211"/>
      <c r="K348" s="211"/>
      <c r="L348" s="211"/>
      <c r="M348" s="211"/>
      <c r="N348" s="211"/>
      <c r="O348" s="211"/>
      <c r="P348" s="211"/>
      <c r="Q348" s="211"/>
      <c r="R348" s="211"/>
      <c r="S348" s="211"/>
      <c r="T348" s="211"/>
      <c r="U348" s="211"/>
      <c r="V348" s="211"/>
      <c r="W348" s="211"/>
      <c r="X348" s="211"/>
      <c r="Y348" s="211"/>
      <c r="Z348" s="211"/>
      <c r="AA348" s="211"/>
    </row>
    <row r="349">
      <c r="A349" s="211"/>
      <c r="B349" s="211"/>
      <c r="C349" s="211"/>
      <c r="D349" s="211"/>
      <c r="E349" s="211"/>
      <c r="F349" s="211"/>
      <c r="G349" s="211"/>
      <c r="H349" s="211"/>
      <c r="I349" s="211"/>
      <c r="J349" s="211"/>
      <c r="K349" s="211"/>
      <c r="L349" s="211"/>
      <c r="M349" s="211"/>
      <c r="N349" s="211"/>
      <c r="O349" s="211"/>
      <c r="P349" s="211"/>
      <c r="Q349" s="211"/>
      <c r="R349" s="211"/>
      <c r="S349" s="211"/>
      <c r="T349" s="211"/>
      <c r="U349" s="211"/>
      <c r="V349" s="211"/>
      <c r="W349" s="211"/>
      <c r="X349" s="211"/>
      <c r="Y349" s="211"/>
      <c r="Z349" s="211"/>
      <c r="AA349" s="211"/>
    </row>
    <row r="350">
      <c r="A350" s="211"/>
      <c r="B350" s="211"/>
      <c r="C350" s="211"/>
      <c r="D350" s="211"/>
      <c r="E350" s="211"/>
      <c r="F350" s="211"/>
      <c r="G350" s="211"/>
      <c r="H350" s="211"/>
      <c r="I350" s="211"/>
      <c r="J350" s="211"/>
      <c r="K350" s="211"/>
      <c r="L350" s="211"/>
      <c r="M350" s="211"/>
      <c r="N350" s="211"/>
      <c r="O350" s="211"/>
      <c r="P350" s="211"/>
      <c r="Q350" s="211"/>
      <c r="R350" s="211"/>
      <c r="S350" s="211"/>
      <c r="T350" s="211"/>
      <c r="U350" s="211"/>
      <c r="V350" s="211"/>
      <c r="W350" s="211"/>
      <c r="X350" s="211"/>
      <c r="Y350" s="211"/>
      <c r="Z350" s="211"/>
      <c r="AA350" s="211"/>
    </row>
    <row r="351">
      <c r="A351" s="211"/>
      <c r="B351" s="211"/>
      <c r="C351" s="211"/>
      <c r="D351" s="211"/>
      <c r="E351" s="211"/>
      <c r="F351" s="211"/>
      <c r="G351" s="211"/>
      <c r="H351" s="211"/>
      <c r="I351" s="211"/>
      <c r="J351" s="211"/>
      <c r="K351" s="211"/>
      <c r="L351" s="211"/>
      <c r="M351" s="211"/>
      <c r="N351" s="211"/>
      <c r="O351" s="211"/>
      <c r="P351" s="211"/>
      <c r="Q351" s="211"/>
      <c r="R351" s="211"/>
      <c r="S351" s="211"/>
      <c r="T351" s="211"/>
      <c r="U351" s="211"/>
      <c r="V351" s="211"/>
      <c r="W351" s="211"/>
      <c r="X351" s="211"/>
      <c r="Y351" s="211"/>
      <c r="Z351" s="211"/>
      <c r="AA351" s="211"/>
    </row>
    <row r="352">
      <c r="A352" s="211"/>
      <c r="B352" s="211"/>
      <c r="C352" s="211"/>
      <c r="D352" s="211"/>
      <c r="E352" s="211"/>
      <c r="F352" s="211"/>
      <c r="G352" s="211"/>
      <c r="H352" s="211"/>
      <c r="I352" s="211"/>
      <c r="J352" s="211"/>
      <c r="K352" s="211"/>
      <c r="L352" s="211"/>
      <c r="M352" s="211"/>
      <c r="N352" s="211"/>
      <c r="O352" s="211"/>
      <c r="P352" s="211"/>
      <c r="Q352" s="211"/>
      <c r="R352" s="211"/>
      <c r="S352" s="211"/>
      <c r="T352" s="211"/>
      <c r="U352" s="211"/>
      <c r="V352" s="211"/>
      <c r="W352" s="211"/>
      <c r="X352" s="211"/>
      <c r="Y352" s="211"/>
      <c r="Z352" s="211"/>
      <c r="AA352" s="211"/>
    </row>
    <row r="353">
      <c r="A353" s="211"/>
      <c r="B353" s="211"/>
      <c r="C353" s="211"/>
      <c r="D353" s="211"/>
      <c r="E353" s="211"/>
      <c r="F353" s="211"/>
      <c r="G353" s="211"/>
      <c r="H353" s="211"/>
      <c r="I353" s="211"/>
      <c r="J353" s="211"/>
      <c r="K353" s="211"/>
      <c r="L353" s="211"/>
      <c r="M353" s="211"/>
      <c r="N353" s="211"/>
      <c r="O353" s="211"/>
      <c r="P353" s="211"/>
      <c r="Q353" s="211"/>
      <c r="R353" s="211"/>
      <c r="S353" s="211"/>
      <c r="T353" s="211"/>
      <c r="U353" s="211"/>
      <c r="V353" s="211"/>
      <c r="W353" s="211"/>
      <c r="X353" s="211"/>
      <c r="Y353" s="211"/>
      <c r="Z353" s="211"/>
      <c r="AA353" s="211"/>
    </row>
    <row r="354">
      <c r="A354" s="211"/>
      <c r="B354" s="211"/>
      <c r="C354" s="211"/>
      <c r="D354" s="211"/>
      <c r="E354" s="211"/>
      <c r="F354" s="211"/>
      <c r="G354" s="211"/>
      <c r="H354" s="211"/>
      <c r="I354" s="211"/>
      <c r="J354" s="211"/>
      <c r="K354" s="211"/>
      <c r="L354" s="211"/>
      <c r="M354" s="211"/>
      <c r="N354" s="211"/>
      <c r="O354" s="211"/>
      <c r="P354" s="211"/>
      <c r="Q354" s="211"/>
      <c r="R354" s="211"/>
      <c r="S354" s="211"/>
      <c r="T354" s="211"/>
      <c r="U354" s="211"/>
      <c r="V354" s="211"/>
      <c r="W354" s="211"/>
      <c r="X354" s="211"/>
      <c r="Y354" s="211"/>
      <c r="Z354" s="211"/>
      <c r="AA354" s="211"/>
    </row>
    <row r="355">
      <c r="A355" s="211"/>
      <c r="B355" s="211"/>
      <c r="C355" s="211"/>
      <c r="D355" s="211"/>
      <c r="E355" s="211"/>
      <c r="F355" s="211"/>
      <c r="G355" s="211"/>
      <c r="H355" s="211"/>
      <c r="I355" s="211"/>
      <c r="J355" s="211"/>
      <c r="K355" s="211"/>
      <c r="L355" s="211"/>
      <c r="M355" s="211"/>
      <c r="N355" s="211"/>
      <c r="O355" s="211"/>
      <c r="P355" s="211"/>
      <c r="Q355" s="211"/>
      <c r="R355" s="211"/>
      <c r="S355" s="211"/>
      <c r="T355" s="211"/>
      <c r="U355" s="211"/>
      <c r="V355" s="211"/>
      <c r="W355" s="211"/>
      <c r="X355" s="211"/>
      <c r="Y355" s="211"/>
      <c r="Z355" s="211"/>
      <c r="AA355" s="211"/>
    </row>
    <row r="356">
      <c r="A356" s="211"/>
      <c r="B356" s="211"/>
      <c r="C356" s="211"/>
      <c r="D356" s="211"/>
      <c r="E356" s="211"/>
      <c r="F356" s="211"/>
      <c r="G356" s="211"/>
      <c r="H356" s="211"/>
      <c r="I356" s="211"/>
      <c r="J356" s="211"/>
      <c r="K356" s="211"/>
      <c r="L356" s="211"/>
      <c r="M356" s="211"/>
      <c r="N356" s="211"/>
      <c r="O356" s="211"/>
      <c r="P356" s="211"/>
      <c r="Q356" s="211"/>
      <c r="R356" s="211"/>
      <c r="S356" s="211"/>
      <c r="T356" s="211"/>
      <c r="U356" s="211"/>
      <c r="V356" s="211"/>
      <c r="W356" s="211"/>
      <c r="X356" s="211"/>
      <c r="Y356" s="211"/>
      <c r="Z356" s="211"/>
      <c r="AA356" s="211"/>
    </row>
    <row r="357">
      <c r="A357" s="211"/>
      <c r="B357" s="211"/>
      <c r="C357" s="211"/>
      <c r="D357" s="211"/>
      <c r="E357" s="211"/>
      <c r="F357" s="211"/>
      <c r="G357" s="211"/>
      <c r="H357" s="211"/>
      <c r="I357" s="211"/>
      <c r="J357" s="211"/>
      <c r="K357" s="211"/>
      <c r="L357" s="211"/>
      <c r="M357" s="211"/>
      <c r="N357" s="211"/>
      <c r="O357" s="211"/>
      <c r="P357" s="211"/>
      <c r="Q357" s="211"/>
      <c r="R357" s="211"/>
      <c r="S357" s="211"/>
      <c r="T357" s="211"/>
      <c r="U357" s="211"/>
      <c r="V357" s="211"/>
      <c r="W357" s="211"/>
      <c r="X357" s="211"/>
      <c r="Y357" s="211"/>
      <c r="Z357" s="211"/>
      <c r="AA357" s="211"/>
    </row>
    <row r="358">
      <c r="A358" s="211"/>
      <c r="B358" s="211"/>
      <c r="C358" s="211"/>
      <c r="D358" s="211"/>
      <c r="E358" s="211"/>
      <c r="F358" s="211"/>
      <c r="G358" s="211"/>
      <c r="H358" s="211"/>
      <c r="I358" s="211"/>
      <c r="J358" s="211"/>
      <c r="K358" s="211"/>
      <c r="L358" s="211"/>
      <c r="M358" s="211"/>
      <c r="N358" s="211"/>
      <c r="O358" s="211"/>
      <c r="P358" s="211"/>
      <c r="Q358" s="211"/>
      <c r="R358" s="211"/>
      <c r="S358" s="211"/>
      <c r="T358" s="211"/>
      <c r="U358" s="211"/>
      <c r="V358" s="211"/>
      <c r="W358" s="211"/>
      <c r="X358" s="211"/>
      <c r="Y358" s="211"/>
      <c r="Z358" s="211"/>
      <c r="AA358" s="211"/>
    </row>
    <row r="359">
      <c r="A359" s="211"/>
      <c r="B359" s="211"/>
      <c r="C359" s="211"/>
      <c r="D359" s="211"/>
      <c r="E359" s="211"/>
      <c r="F359" s="211"/>
      <c r="G359" s="211"/>
      <c r="H359" s="211"/>
      <c r="I359" s="211"/>
      <c r="J359" s="211"/>
      <c r="K359" s="211"/>
      <c r="L359" s="211"/>
      <c r="M359" s="211"/>
      <c r="N359" s="211"/>
      <c r="O359" s="211"/>
      <c r="P359" s="211"/>
      <c r="Q359" s="211"/>
      <c r="R359" s="211"/>
      <c r="S359" s="211"/>
      <c r="T359" s="211"/>
      <c r="U359" s="211"/>
      <c r="V359" s="211"/>
      <c r="W359" s="211"/>
      <c r="X359" s="211"/>
      <c r="Y359" s="211"/>
      <c r="Z359" s="211"/>
      <c r="AA359" s="211"/>
    </row>
    <row r="360">
      <c r="A360" s="211"/>
      <c r="B360" s="211"/>
      <c r="C360" s="211"/>
      <c r="D360" s="211"/>
      <c r="E360" s="211"/>
      <c r="F360" s="211"/>
      <c r="G360" s="211"/>
      <c r="H360" s="211"/>
      <c r="I360" s="211"/>
      <c r="J360" s="211"/>
      <c r="K360" s="211"/>
      <c r="L360" s="211"/>
      <c r="M360" s="211"/>
      <c r="N360" s="211"/>
      <c r="O360" s="211"/>
      <c r="P360" s="211"/>
      <c r="Q360" s="211"/>
      <c r="R360" s="211"/>
      <c r="S360" s="211"/>
      <c r="T360" s="211"/>
      <c r="U360" s="211"/>
      <c r="V360" s="211"/>
      <c r="W360" s="211"/>
      <c r="X360" s="211"/>
      <c r="Y360" s="211"/>
      <c r="Z360" s="211"/>
      <c r="AA360" s="211"/>
    </row>
    <row r="361">
      <c r="A361" s="211"/>
      <c r="B361" s="211"/>
      <c r="C361" s="211"/>
      <c r="D361" s="211"/>
      <c r="E361" s="211"/>
      <c r="F361" s="211"/>
      <c r="G361" s="211"/>
      <c r="H361" s="211"/>
      <c r="I361" s="211"/>
      <c r="J361" s="211"/>
      <c r="K361" s="211"/>
      <c r="L361" s="211"/>
      <c r="M361" s="211"/>
      <c r="N361" s="211"/>
      <c r="O361" s="211"/>
      <c r="P361" s="211"/>
      <c r="Q361" s="211"/>
      <c r="R361" s="211"/>
      <c r="S361" s="211"/>
      <c r="T361" s="211"/>
      <c r="U361" s="211"/>
      <c r="V361" s="211"/>
      <c r="W361" s="211"/>
      <c r="X361" s="211"/>
      <c r="Y361" s="211"/>
      <c r="Z361" s="211"/>
      <c r="AA361" s="211"/>
    </row>
    <row r="362">
      <c r="A362" s="211"/>
      <c r="B362" s="211"/>
      <c r="C362" s="211"/>
      <c r="D362" s="211"/>
      <c r="E362" s="211"/>
      <c r="F362" s="211"/>
      <c r="G362" s="211"/>
      <c r="H362" s="211"/>
      <c r="I362" s="211"/>
      <c r="J362" s="211"/>
      <c r="K362" s="211"/>
      <c r="L362" s="211"/>
      <c r="M362" s="211"/>
      <c r="N362" s="211"/>
      <c r="O362" s="211"/>
      <c r="P362" s="211"/>
      <c r="Q362" s="211"/>
      <c r="R362" s="211"/>
      <c r="S362" s="211"/>
      <c r="T362" s="211"/>
      <c r="U362" s="211"/>
      <c r="V362" s="211"/>
      <c r="W362" s="211"/>
      <c r="X362" s="211"/>
      <c r="Y362" s="211"/>
      <c r="Z362" s="211"/>
      <c r="AA362" s="211"/>
    </row>
    <row r="363">
      <c r="A363" s="211"/>
      <c r="B363" s="211"/>
      <c r="C363" s="211"/>
      <c r="D363" s="211"/>
      <c r="E363" s="211"/>
      <c r="F363" s="211"/>
      <c r="G363" s="211"/>
      <c r="H363" s="211"/>
      <c r="I363" s="211"/>
      <c r="J363" s="211"/>
      <c r="K363" s="211"/>
      <c r="L363" s="211"/>
      <c r="M363" s="211"/>
      <c r="N363" s="211"/>
      <c r="O363" s="211"/>
      <c r="P363" s="211"/>
      <c r="Q363" s="211"/>
      <c r="R363" s="211"/>
      <c r="S363" s="211"/>
      <c r="T363" s="211"/>
      <c r="U363" s="211"/>
      <c r="V363" s="211"/>
      <c r="W363" s="211"/>
      <c r="X363" s="211"/>
      <c r="Y363" s="211"/>
      <c r="Z363" s="211"/>
      <c r="AA363" s="211"/>
    </row>
    <row r="364">
      <c r="A364" s="211"/>
      <c r="B364" s="211"/>
      <c r="C364" s="211"/>
      <c r="D364" s="211"/>
      <c r="E364" s="211"/>
      <c r="F364" s="211"/>
      <c r="G364" s="211"/>
      <c r="H364" s="211"/>
      <c r="I364" s="211"/>
      <c r="J364" s="211"/>
      <c r="K364" s="211"/>
      <c r="L364" s="211"/>
      <c r="M364" s="211"/>
      <c r="N364" s="211"/>
      <c r="O364" s="211"/>
      <c r="P364" s="211"/>
      <c r="Q364" s="211"/>
      <c r="R364" s="211"/>
      <c r="S364" s="211"/>
      <c r="T364" s="211"/>
      <c r="U364" s="211"/>
      <c r="V364" s="211"/>
      <c r="W364" s="211"/>
      <c r="X364" s="211"/>
      <c r="Y364" s="211"/>
      <c r="Z364" s="211"/>
      <c r="AA364" s="211"/>
    </row>
    <row r="365">
      <c r="A365" s="211"/>
      <c r="B365" s="211"/>
      <c r="C365" s="211"/>
      <c r="D365" s="211"/>
      <c r="E365" s="211"/>
      <c r="F365" s="211"/>
      <c r="G365" s="211"/>
      <c r="H365" s="211"/>
      <c r="I365" s="211"/>
      <c r="J365" s="211"/>
      <c r="K365" s="211"/>
      <c r="L365" s="211"/>
      <c r="M365" s="211"/>
      <c r="N365" s="211"/>
      <c r="O365" s="211"/>
      <c r="P365" s="211"/>
      <c r="Q365" s="211"/>
      <c r="R365" s="211"/>
      <c r="S365" s="211"/>
      <c r="T365" s="211"/>
      <c r="U365" s="211"/>
      <c r="V365" s="211"/>
      <c r="W365" s="211"/>
      <c r="X365" s="211"/>
      <c r="Y365" s="211"/>
      <c r="Z365" s="211"/>
      <c r="AA365" s="211"/>
    </row>
    <row r="366">
      <c r="A366" s="211"/>
      <c r="B366" s="211"/>
      <c r="C366" s="211"/>
      <c r="D366" s="211"/>
      <c r="E366" s="211"/>
      <c r="F366" s="211"/>
      <c r="G366" s="211"/>
      <c r="H366" s="211"/>
      <c r="I366" s="211"/>
      <c r="J366" s="211"/>
      <c r="K366" s="211"/>
      <c r="L366" s="211"/>
      <c r="M366" s="211"/>
      <c r="N366" s="211"/>
      <c r="O366" s="211"/>
      <c r="P366" s="211"/>
      <c r="Q366" s="211"/>
      <c r="R366" s="211"/>
      <c r="S366" s="211"/>
      <c r="T366" s="211"/>
      <c r="U366" s="211"/>
      <c r="V366" s="211"/>
      <c r="W366" s="211"/>
      <c r="X366" s="211"/>
      <c r="Y366" s="211"/>
      <c r="Z366" s="211"/>
      <c r="AA366" s="211"/>
    </row>
    <row r="367">
      <c r="A367" s="211"/>
      <c r="B367" s="211"/>
      <c r="C367" s="211"/>
      <c r="D367" s="211"/>
      <c r="E367" s="211"/>
      <c r="F367" s="211"/>
      <c r="G367" s="211"/>
      <c r="H367" s="211"/>
      <c r="I367" s="211"/>
      <c r="J367" s="211"/>
      <c r="K367" s="211"/>
      <c r="L367" s="211"/>
      <c r="M367" s="211"/>
      <c r="N367" s="211"/>
      <c r="O367" s="211"/>
      <c r="P367" s="211"/>
      <c r="Q367" s="211"/>
      <c r="R367" s="211"/>
      <c r="S367" s="211"/>
      <c r="T367" s="211"/>
      <c r="U367" s="211"/>
      <c r="V367" s="211"/>
      <c r="W367" s="211"/>
      <c r="X367" s="211"/>
      <c r="Y367" s="211"/>
      <c r="Z367" s="211"/>
      <c r="AA367" s="211"/>
    </row>
    <row r="368">
      <c r="A368" s="211"/>
      <c r="B368" s="211"/>
      <c r="C368" s="211"/>
      <c r="D368" s="211"/>
      <c r="E368" s="211"/>
      <c r="F368" s="211"/>
      <c r="G368" s="211"/>
      <c r="H368" s="211"/>
      <c r="I368" s="211"/>
      <c r="J368" s="211"/>
      <c r="K368" s="211"/>
      <c r="L368" s="211"/>
      <c r="M368" s="211"/>
      <c r="N368" s="211"/>
      <c r="O368" s="211"/>
      <c r="P368" s="211"/>
      <c r="Q368" s="211"/>
      <c r="R368" s="211"/>
      <c r="S368" s="211"/>
      <c r="T368" s="211"/>
      <c r="U368" s="211"/>
      <c r="V368" s="211"/>
      <c r="W368" s="211"/>
      <c r="X368" s="211"/>
      <c r="Y368" s="211"/>
      <c r="Z368" s="211"/>
      <c r="AA368" s="211"/>
    </row>
    <row r="369">
      <c r="A369" s="211"/>
      <c r="B369" s="211"/>
      <c r="C369" s="211"/>
      <c r="D369" s="211"/>
      <c r="E369" s="211"/>
      <c r="F369" s="211"/>
      <c r="G369" s="211"/>
      <c r="H369" s="211"/>
      <c r="I369" s="211"/>
      <c r="J369" s="211"/>
      <c r="K369" s="211"/>
      <c r="L369" s="211"/>
      <c r="M369" s="211"/>
      <c r="N369" s="211"/>
      <c r="O369" s="211"/>
      <c r="P369" s="211"/>
      <c r="Q369" s="211"/>
      <c r="R369" s="211"/>
      <c r="S369" s="211"/>
      <c r="T369" s="211"/>
      <c r="U369" s="211"/>
      <c r="V369" s="211"/>
      <c r="W369" s="211"/>
      <c r="X369" s="211"/>
      <c r="Y369" s="211"/>
      <c r="Z369" s="211"/>
      <c r="AA369" s="211"/>
    </row>
    <row r="370">
      <c r="A370" s="211"/>
      <c r="B370" s="211"/>
      <c r="C370" s="211"/>
      <c r="D370" s="211"/>
      <c r="E370" s="211"/>
      <c r="F370" s="211"/>
      <c r="G370" s="211"/>
      <c r="H370" s="211"/>
      <c r="I370" s="211"/>
      <c r="J370" s="211"/>
      <c r="K370" s="211"/>
      <c r="L370" s="211"/>
      <c r="M370" s="211"/>
      <c r="N370" s="211"/>
      <c r="O370" s="211"/>
      <c r="P370" s="211"/>
      <c r="Q370" s="211"/>
      <c r="R370" s="211"/>
      <c r="S370" s="211"/>
      <c r="T370" s="211"/>
      <c r="U370" s="211"/>
      <c r="V370" s="211"/>
      <c r="W370" s="211"/>
      <c r="X370" s="211"/>
      <c r="Y370" s="211"/>
      <c r="Z370" s="211"/>
      <c r="AA370" s="211"/>
    </row>
    <row r="371">
      <c r="A371" s="211"/>
      <c r="B371" s="211"/>
      <c r="C371" s="211"/>
      <c r="D371" s="211"/>
      <c r="E371" s="211"/>
      <c r="F371" s="211"/>
      <c r="G371" s="211"/>
      <c r="H371" s="211"/>
      <c r="I371" s="211"/>
      <c r="J371" s="211"/>
      <c r="K371" s="211"/>
      <c r="L371" s="211"/>
      <c r="M371" s="211"/>
      <c r="N371" s="211"/>
      <c r="O371" s="211"/>
      <c r="P371" s="211"/>
      <c r="Q371" s="211"/>
      <c r="R371" s="211"/>
      <c r="S371" s="211"/>
      <c r="T371" s="211"/>
      <c r="U371" s="211"/>
      <c r="V371" s="211"/>
      <c r="W371" s="211"/>
      <c r="X371" s="211"/>
      <c r="Y371" s="211"/>
      <c r="Z371" s="211"/>
      <c r="AA371" s="211"/>
    </row>
    <row r="372">
      <c r="A372" s="211"/>
      <c r="B372" s="211"/>
      <c r="C372" s="211"/>
      <c r="D372" s="211"/>
      <c r="E372" s="211"/>
      <c r="F372" s="211"/>
      <c r="G372" s="211"/>
      <c r="H372" s="211"/>
      <c r="I372" s="211"/>
      <c r="J372" s="211"/>
      <c r="K372" s="211"/>
      <c r="L372" s="211"/>
      <c r="M372" s="211"/>
      <c r="N372" s="211"/>
      <c r="O372" s="211"/>
      <c r="P372" s="211"/>
      <c r="Q372" s="211"/>
      <c r="R372" s="211"/>
      <c r="S372" s="211"/>
      <c r="T372" s="211"/>
      <c r="U372" s="211"/>
      <c r="V372" s="211"/>
      <c r="W372" s="211"/>
      <c r="X372" s="211"/>
      <c r="Y372" s="211"/>
      <c r="Z372" s="211"/>
      <c r="AA372" s="211"/>
    </row>
    <row r="373">
      <c r="A373" s="211"/>
      <c r="B373" s="211"/>
      <c r="C373" s="211"/>
      <c r="D373" s="211"/>
      <c r="E373" s="211"/>
      <c r="F373" s="211"/>
      <c r="G373" s="211"/>
      <c r="H373" s="211"/>
      <c r="I373" s="211"/>
      <c r="J373" s="211"/>
      <c r="K373" s="211"/>
      <c r="L373" s="211"/>
      <c r="M373" s="211"/>
      <c r="N373" s="211"/>
      <c r="O373" s="211"/>
      <c r="P373" s="211"/>
      <c r="Q373" s="211"/>
      <c r="R373" s="211"/>
      <c r="S373" s="211"/>
      <c r="T373" s="211"/>
      <c r="U373" s="211"/>
      <c r="V373" s="211"/>
      <c r="W373" s="211"/>
      <c r="X373" s="211"/>
      <c r="Y373" s="211"/>
      <c r="Z373" s="211"/>
      <c r="AA373" s="211"/>
    </row>
    <row r="374">
      <c r="A374" s="211"/>
      <c r="B374" s="211"/>
      <c r="C374" s="211"/>
      <c r="D374" s="211"/>
      <c r="E374" s="211"/>
      <c r="F374" s="211"/>
      <c r="G374" s="211"/>
      <c r="H374" s="211"/>
      <c r="I374" s="211"/>
      <c r="J374" s="211"/>
      <c r="K374" s="211"/>
      <c r="L374" s="211"/>
      <c r="M374" s="211"/>
      <c r="N374" s="211"/>
      <c r="O374" s="211"/>
      <c r="P374" s="211"/>
      <c r="Q374" s="211"/>
      <c r="R374" s="211"/>
      <c r="S374" s="211"/>
      <c r="T374" s="211"/>
      <c r="U374" s="211"/>
      <c r="V374" s="211"/>
      <c r="W374" s="211"/>
      <c r="X374" s="211"/>
      <c r="Y374" s="211"/>
      <c r="Z374" s="211"/>
      <c r="AA374" s="211"/>
    </row>
    <row r="375">
      <c r="A375" s="211"/>
      <c r="B375" s="211"/>
      <c r="C375" s="211"/>
      <c r="D375" s="211"/>
      <c r="E375" s="211"/>
      <c r="F375" s="211"/>
      <c r="G375" s="211"/>
      <c r="H375" s="211"/>
      <c r="I375" s="211"/>
      <c r="J375" s="211"/>
      <c r="K375" s="211"/>
      <c r="L375" s="211"/>
      <c r="M375" s="211"/>
      <c r="N375" s="211"/>
      <c r="O375" s="211"/>
      <c r="P375" s="211"/>
      <c r="Q375" s="211"/>
      <c r="R375" s="211"/>
      <c r="S375" s="211"/>
      <c r="T375" s="211"/>
      <c r="U375" s="211"/>
      <c r="V375" s="211"/>
      <c r="W375" s="211"/>
      <c r="X375" s="211"/>
      <c r="Y375" s="211"/>
      <c r="Z375" s="211"/>
      <c r="AA375" s="211"/>
    </row>
    <row r="376">
      <c r="A376" s="211"/>
      <c r="B376" s="211"/>
      <c r="C376" s="211"/>
      <c r="D376" s="211"/>
      <c r="E376" s="211"/>
      <c r="F376" s="211"/>
      <c r="G376" s="211"/>
      <c r="H376" s="211"/>
      <c r="I376" s="211"/>
      <c r="J376" s="211"/>
      <c r="K376" s="211"/>
      <c r="L376" s="211"/>
      <c r="M376" s="211"/>
      <c r="N376" s="211"/>
      <c r="O376" s="211"/>
      <c r="P376" s="211"/>
      <c r="Q376" s="211"/>
      <c r="R376" s="211"/>
      <c r="S376" s="211"/>
      <c r="T376" s="211"/>
      <c r="U376" s="211"/>
      <c r="V376" s="211"/>
      <c r="W376" s="211"/>
      <c r="X376" s="211"/>
      <c r="Y376" s="211"/>
      <c r="Z376" s="211"/>
      <c r="AA376" s="211"/>
    </row>
    <row r="377">
      <c r="A377" s="211"/>
      <c r="B377" s="211"/>
      <c r="C377" s="211"/>
      <c r="D377" s="211"/>
      <c r="E377" s="211"/>
      <c r="F377" s="211"/>
      <c r="G377" s="211"/>
      <c r="H377" s="211"/>
      <c r="I377" s="211"/>
      <c r="J377" s="211"/>
      <c r="K377" s="211"/>
      <c r="L377" s="211"/>
      <c r="M377" s="211"/>
      <c r="N377" s="211"/>
      <c r="O377" s="211"/>
      <c r="P377" s="211"/>
      <c r="Q377" s="211"/>
      <c r="R377" s="211"/>
      <c r="S377" s="211"/>
      <c r="T377" s="211"/>
      <c r="U377" s="211"/>
      <c r="V377" s="211"/>
      <c r="W377" s="211"/>
      <c r="X377" s="211"/>
      <c r="Y377" s="211"/>
      <c r="Z377" s="211"/>
      <c r="AA377" s="211"/>
    </row>
    <row r="378">
      <c r="A378" s="211"/>
      <c r="B378" s="211"/>
      <c r="C378" s="211"/>
      <c r="D378" s="211"/>
      <c r="E378" s="211"/>
      <c r="F378" s="211"/>
      <c r="G378" s="211"/>
      <c r="H378" s="211"/>
      <c r="I378" s="211"/>
      <c r="J378" s="211"/>
      <c r="K378" s="211"/>
      <c r="L378" s="211"/>
      <c r="M378" s="211"/>
      <c r="N378" s="211"/>
      <c r="O378" s="211"/>
      <c r="P378" s="211"/>
      <c r="Q378" s="211"/>
      <c r="R378" s="211"/>
      <c r="S378" s="211"/>
      <c r="T378" s="211"/>
      <c r="U378" s="211"/>
      <c r="V378" s="211"/>
      <c r="W378" s="211"/>
      <c r="X378" s="211"/>
      <c r="Y378" s="211"/>
      <c r="Z378" s="211"/>
      <c r="AA378" s="211"/>
    </row>
    <row r="379">
      <c r="A379" s="211"/>
      <c r="B379" s="211"/>
      <c r="C379" s="211"/>
      <c r="D379" s="211"/>
      <c r="E379" s="211"/>
      <c r="F379" s="211"/>
      <c r="G379" s="211"/>
      <c r="H379" s="211"/>
      <c r="I379" s="211"/>
      <c r="J379" s="211"/>
      <c r="K379" s="211"/>
      <c r="L379" s="211"/>
      <c r="M379" s="211"/>
      <c r="N379" s="211"/>
      <c r="O379" s="211"/>
      <c r="P379" s="211"/>
      <c r="Q379" s="211"/>
      <c r="R379" s="211"/>
      <c r="S379" s="211"/>
      <c r="T379" s="211"/>
      <c r="U379" s="211"/>
      <c r="V379" s="211"/>
      <c r="W379" s="211"/>
      <c r="X379" s="211"/>
      <c r="Y379" s="211"/>
      <c r="Z379" s="211"/>
      <c r="AA379" s="211"/>
    </row>
    <row r="380">
      <c r="A380" s="211"/>
      <c r="B380" s="211"/>
      <c r="C380" s="211"/>
      <c r="D380" s="211"/>
      <c r="E380" s="211"/>
      <c r="F380" s="211"/>
      <c r="G380" s="211"/>
      <c r="H380" s="211"/>
      <c r="I380" s="211"/>
      <c r="J380" s="211"/>
      <c r="K380" s="211"/>
      <c r="L380" s="211"/>
      <c r="M380" s="211"/>
      <c r="N380" s="211"/>
      <c r="O380" s="211"/>
      <c r="P380" s="211"/>
      <c r="Q380" s="211"/>
      <c r="R380" s="211"/>
      <c r="S380" s="211"/>
      <c r="T380" s="211"/>
      <c r="U380" s="211"/>
      <c r="V380" s="211"/>
      <c r="W380" s="211"/>
      <c r="X380" s="211"/>
      <c r="Y380" s="211"/>
      <c r="Z380" s="211"/>
      <c r="AA380" s="211"/>
    </row>
    <row r="381">
      <c r="A381" s="211"/>
      <c r="B381" s="211"/>
      <c r="C381" s="211"/>
      <c r="D381" s="211"/>
      <c r="E381" s="211"/>
      <c r="F381" s="211"/>
      <c r="G381" s="211"/>
      <c r="H381" s="211"/>
      <c r="I381" s="211"/>
      <c r="J381" s="211"/>
      <c r="K381" s="211"/>
      <c r="L381" s="211"/>
      <c r="M381" s="211"/>
      <c r="N381" s="211"/>
      <c r="O381" s="211"/>
      <c r="P381" s="211"/>
      <c r="Q381" s="211"/>
      <c r="R381" s="211"/>
      <c r="S381" s="211"/>
      <c r="T381" s="211"/>
      <c r="U381" s="211"/>
      <c r="V381" s="211"/>
      <c r="W381" s="211"/>
      <c r="X381" s="211"/>
      <c r="Y381" s="211"/>
      <c r="Z381" s="211"/>
      <c r="AA381" s="211"/>
    </row>
    <row r="382">
      <c r="A382" s="211"/>
      <c r="B382" s="211"/>
      <c r="C382" s="211"/>
      <c r="D382" s="211"/>
      <c r="E382" s="211"/>
      <c r="F382" s="211"/>
      <c r="G382" s="211"/>
      <c r="H382" s="211"/>
      <c r="I382" s="211"/>
      <c r="J382" s="211"/>
      <c r="K382" s="211"/>
      <c r="L382" s="211"/>
      <c r="M382" s="211"/>
      <c r="N382" s="211"/>
      <c r="O382" s="211"/>
      <c r="P382" s="211"/>
      <c r="Q382" s="211"/>
      <c r="R382" s="211"/>
      <c r="S382" s="211"/>
      <c r="T382" s="211"/>
      <c r="U382" s="211"/>
      <c r="V382" s="211"/>
      <c r="W382" s="211"/>
      <c r="X382" s="211"/>
      <c r="Y382" s="211"/>
      <c r="Z382" s="211"/>
      <c r="AA382" s="211"/>
    </row>
    <row r="383">
      <c r="A383" s="211"/>
      <c r="B383" s="211"/>
      <c r="C383" s="211"/>
      <c r="D383" s="211"/>
      <c r="E383" s="211"/>
      <c r="F383" s="211"/>
      <c r="G383" s="211"/>
      <c r="H383" s="211"/>
      <c r="I383" s="211"/>
      <c r="J383" s="211"/>
      <c r="K383" s="211"/>
      <c r="L383" s="211"/>
      <c r="M383" s="211"/>
      <c r="N383" s="211"/>
      <c r="O383" s="211"/>
      <c r="P383" s="211"/>
      <c r="Q383" s="211"/>
      <c r="R383" s="211"/>
      <c r="S383" s="211"/>
      <c r="T383" s="211"/>
      <c r="U383" s="211"/>
      <c r="V383" s="211"/>
      <c r="W383" s="211"/>
      <c r="X383" s="211"/>
      <c r="Y383" s="211"/>
      <c r="Z383" s="211"/>
      <c r="AA383" s="211"/>
    </row>
    <row r="384">
      <c r="A384" s="211"/>
      <c r="B384" s="211"/>
      <c r="C384" s="211"/>
      <c r="D384" s="211"/>
      <c r="E384" s="211"/>
      <c r="F384" s="211"/>
      <c r="G384" s="211"/>
      <c r="H384" s="211"/>
      <c r="I384" s="211"/>
      <c r="J384" s="211"/>
      <c r="K384" s="211"/>
      <c r="L384" s="211"/>
      <c r="M384" s="211"/>
      <c r="N384" s="211"/>
      <c r="O384" s="211"/>
      <c r="P384" s="211"/>
      <c r="Q384" s="211"/>
      <c r="R384" s="211"/>
      <c r="S384" s="211"/>
      <c r="T384" s="211"/>
      <c r="U384" s="211"/>
      <c r="V384" s="211"/>
      <c r="W384" s="211"/>
      <c r="X384" s="211"/>
      <c r="Y384" s="211"/>
      <c r="Z384" s="211"/>
      <c r="AA384" s="211"/>
    </row>
    <row r="385">
      <c r="A385" s="211"/>
      <c r="B385" s="211"/>
      <c r="C385" s="211"/>
      <c r="D385" s="211"/>
      <c r="E385" s="211"/>
      <c r="F385" s="211"/>
      <c r="G385" s="211"/>
      <c r="H385" s="211"/>
      <c r="I385" s="211"/>
      <c r="J385" s="211"/>
      <c r="K385" s="211"/>
      <c r="L385" s="211"/>
      <c r="M385" s="211"/>
      <c r="N385" s="211"/>
      <c r="O385" s="211"/>
      <c r="P385" s="211"/>
      <c r="Q385" s="211"/>
      <c r="R385" s="211"/>
      <c r="S385" s="211"/>
      <c r="T385" s="211"/>
      <c r="U385" s="211"/>
      <c r="V385" s="211"/>
      <c r="W385" s="211"/>
      <c r="X385" s="211"/>
      <c r="Y385" s="211"/>
      <c r="Z385" s="211"/>
      <c r="AA385" s="211"/>
    </row>
    <row r="386">
      <c r="A386" s="211"/>
      <c r="B386" s="211"/>
      <c r="C386" s="211"/>
      <c r="D386" s="211"/>
      <c r="E386" s="211"/>
      <c r="F386" s="211"/>
      <c r="G386" s="211"/>
      <c r="H386" s="211"/>
      <c r="I386" s="211"/>
      <c r="J386" s="211"/>
      <c r="K386" s="211"/>
      <c r="L386" s="211"/>
      <c r="M386" s="211"/>
      <c r="N386" s="211"/>
      <c r="O386" s="211"/>
      <c r="P386" s="211"/>
      <c r="Q386" s="211"/>
      <c r="R386" s="211"/>
      <c r="S386" s="211"/>
      <c r="T386" s="211"/>
      <c r="U386" s="211"/>
      <c r="V386" s="211"/>
      <c r="W386" s="211"/>
      <c r="X386" s="211"/>
      <c r="Y386" s="211"/>
      <c r="Z386" s="211"/>
      <c r="AA386" s="211"/>
    </row>
    <row r="387">
      <c r="A387" s="211"/>
      <c r="B387" s="211"/>
      <c r="C387" s="211"/>
      <c r="D387" s="211"/>
      <c r="E387" s="211"/>
      <c r="F387" s="211"/>
      <c r="G387" s="211"/>
      <c r="H387" s="211"/>
      <c r="I387" s="211"/>
      <c r="J387" s="211"/>
      <c r="K387" s="211"/>
      <c r="L387" s="211"/>
      <c r="M387" s="211"/>
      <c r="N387" s="211"/>
      <c r="O387" s="211"/>
      <c r="P387" s="211"/>
      <c r="Q387" s="211"/>
      <c r="R387" s="211"/>
      <c r="S387" s="211"/>
      <c r="T387" s="211"/>
      <c r="U387" s="211"/>
      <c r="V387" s="211"/>
      <c r="W387" s="211"/>
      <c r="X387" s="211"/>
      <c r="Y387" s="211"/>
      <c r="Z387" s="211"/>
      <c r="AA387" s="211"/>
    </row>
    <row r="388">
      <c r="A388" s="211"/>
      <c r="B388" s="211"/>
      <c r="C388" s="211"/>
      <c r="D388" s="211"/>
      <c r="E388" s="211"/>
      <c r="F388" s="211"/>
      <c r="G388" s="211"/>
      <c r="H388" s="211"/>
      <c r="I388" s="211"/>
      <c r="J388" s="211"/>
      <c r="K388" s="211"/>
      <c r="L388" s="211"/>
      <c r="M388" s="211"/>
      <c r="N388" s="211"/>
      <c r="O388" s="211"/>
      <c r="P388" s="211"/>
      <c r="Q388" s="211"/>
      <c r="R388" s="211"/>
      <c r="S388" s="211"/>
      <c r="T388" s="211"/>
      <c r="U388" s="211"/>
      <c r="V388" s="211"/>
      <c r="W388" s="211"/>
      <c r="X388" s="211"/>
      <c r="Y388" s="211"/>
      <c r="Z388" s="211"/>
      <c r="AA388" s="211"/>
    </row>
    <row r="389">
      <c r="A389" s="211"/>
      <c r="B389" s="211"/>
      <c r="C389" s="211"/>
      <c r="D389" s="211"/>
      <c r="E389" s="211"/>
      <c r="F389" s="211"/>
      <c r="G389" s="211"/>
      <c r="H389" s="211"/>
      <c r="I389" s="211"/>
      <c r="J389" s="211"/>
      <c r="K389" s="211"/>
      <c r="L389" s="211"/>
      <c r="M389" s="211"/>
      <c r="N389" s="211"/>
      <c r="O389" s="211"/>
      <c r="P389" s="211"/>
      <c r="Q389" s="211"/>
      <c r="R389" s="211"/>
      <c r="S389" s="211"/>
      <c r="T389" s="211"/>
      <c r="U389" s="211"/>
      <c r="V389" s="211"/>
      <c r="W389" s="211"/>
      <c r="X389" s="211"/>
      <c r="Y389" s="211"/>
      <c r="Z389" s="211"/>
      <c r="AA389" s="211"/>
    </row>
    <row r="390">
      <c r="A390" s="211"/>
      <c r="B390" s="211"/>
      <c r="C390" s="211"/>
      <c r="D390" s="211"/>
      <c r="E390" s="211"/>
      <c r="F390" s="211"/>
      <c r="G390" s="211"/>
      <c r="H390" s="211"/>
      <c r="I390" s="211"/>
      <c r="J390" s="211"/>
      <c r="K390" s="211"/>
      <c r="L390" s="211"/>
      <c r="M390" s="211"/>
      <c r="N390" s="211"/>
      <c r="O390" s="211"/>
      <c r="P390" s="211"/>
      <c r="Q390" s="211"/>
      <c r="R390" s="211"/>
      <c r="S390" s="211"/>
      <c r="T390" s="211"/>
      <c r="U390" s="211"/>
      <c r="V390" s="211"/>
      <c r="W390" s="211"/>
      <c r="X390" s="211"/>
      <c r="Y390" s="211"/>
      <c r="Z390" s="211"/>
      <c r="AA390" s="211"/>
    </row>
    <row r="391">
      <c r="A391" s="211"/>
      <c r="B391" s="211"/>
      <c r="C391" s="211"/>
      <c r="D391" s="211"/>
      <c r="E391" s="211"/>
      <c r="F391" s="211"/>
      <c r="G391" s="211"/>
      <c r="H391" s="211"/>
      <c r="I391" s="211"/>
      <c r="J391" s="211"/>
      <c r="K391" s="211"/>
      <c r="L391" s="211"/>
      <c r="M391" s="211"/>
      <c r="N391" s="211"/>
      <c r="O391" s="211"/>
      <c r="P391" s="211"/>
      <c r="Q391" s="211"/>
      <c r="R391" s="211"/>
      <c r="S391" s="211"/>
      <c r="T391" s="211"/>
      <c r="U391" s="211"/>
      <c r="V391" s="211"/>
      <c r="W391" s="211"/>
      <c r="X391" s="211"/>
      <c r="Y391" s="211"/>
      <c r="Z391" s="211"/>
      <c r="AA391" s="211"/>
    </row>
    <row r="392">
      <c r="A392" s="211"/>
      <c r="B392" s="211"/>
      <c r="C392" s="211"/>
      <c r="D392" s="211"/>
      <c r="E392" s="211"/>
      <c r="F392" s="211"/>
      <c r="G392" s="211"/>
      <c r="H392" s="211"/>
      <c r="I392" s="211"/>
      <c r="J392" s="211"/>
      <c r="K392" s="211"/>
      <c r="L392" s="211"/>
      <c r="M392" s="211"/>
      <c r="N392" s="211"/>
      <c r="O392" s="211"/>
      <c r="P392" s="211"/>
      <c r="Q392" s="211"/>
      <c r="R392" s="211"/>
      <c r="S392" s="211"/>
      <c r="T392" s="211"/>
      <c r="U392" s="211"/>
      <c r="V392" s="211"/>
      <c r="W392" s="211"/>
      <c r="X392" s="211"/>
      <c r="Y392" s="211"/>
      <c r="Z392" s="211"/>
      <c r="AA392" s="211"/>
    </row>
    <row r="393">
      <c r="A393" s="211"/>
      <c r="B393" s="211"/>
      <c r="C393" s="211"/>
      <c r="D393" s="211"/>
      <c r="E393" s="211"/>
      <c r="F393" s="211"/>
      <c r="G393" s="211"/>
      <c r="H393" s="211"/>
      <c r="I393" s="211"/>
      <c r="J393" s="211"/>
      <c r="K393" s="211"/>
      <c r="L393" s="211"/>
      <c r="M393" s="211"/>
      <c r="N393" s="211"/>
      <c r="O393" s="211"/>
      <c r="P393" s="211"/>
      <c r="Q393" s="211"/>
      <c r="R393" s="211"/>
      <c r="S393" s="211"/>
      <c r="T393" s="211"/>
      <c r="U393" s="211"/>
      <c r="V393" s="211"/>
      <c r="W393" s="211"/>
      <c r="X393" s="211"/>
      <c r="Y393" s="211"/>
      <c r="Z393" s="211"/>
      <c r="AA393" s="211"/>
    </row>
    <row r="394">
      <c r="A394" s="211"/>
      <c r="B394" s="211"/>
      <c r="C394" s="211"/>
      <c r="D394" s="211"/>
      <c r="E394" s="211"/>
      <c r="F394" s="211"/>
      <c r="G394" s="211"/>
      <c r="H394" s="211"/>
      <c r="I394" s="211"/>
      <c r="J394" s="211"/>
      <c r="K394" s="211"/>
      <c r="L394" s="211"/>
      <c r="M394" s="211"/>
      <c r="N394" s="211"/>
      <c r="O394" s="211"/>
      <c r="P394" s="211"/>
      <c r="Q394" s="211"/>
      <c r="R394" s="211"/>
      <c r="S394" s="211"/>
      <c r="T394" s="211"/>
      <c r="U394" s="211"/>
      <c r="V394" s="211"/>
      <c r="W394" s="211"/>
      <c r="X394" s="211"/>
      <c r="Y394" s="211"/>
      <c r="Z394" s="211"/>
      <c r="AA394" s="211"/>
    </row>
    <row r="395">
      <c r="A395" s="211"/>
      <c r="B395" s="211"/>
      <c r="C395" s="211"/>
      <c r="D395" s="211"/>
      <c r="E395" s="211"/>
      <c r="F395" s="211"/>
      <c r="G395" s="211"/>
      <c r="H395" s="211"/>
      <c r="I395" s="211"/>
      <c r="J395" s="211"/>
      <c r="K395" s="211"/>
      <c r="L395" s="211"/>
      <c r="M395" s="211"/>
      <c r="N395" s="211"/>
      <c r="O395" s="211"/>
      <c r="P395" s="211"/>
      <c r="Q395" s="211"/>
      <c r="R395" s="211"/>
      <c r="S395" s="211"/>
      <c r="T395" s="211"/>
      <c r="U395" s="211"/>
      <c r="V395" s="211"/>
      <c r="W395" s="211"/>
      <c r="X395" s="211"/>
      <c r="Y395" s="211"/>
      <c r="Z395" s="211"/>
      <c r="AA395" s="211"/>
    </row>
    <row r="396">
      <c r="A396" s="211"/>
      <c r="B396" s="211"/>
      <c r="C396" s="211"/>
      <c r="D396" s="211"/>
      <c r="E396" s="211"/>
      <c r="F396" s="211"/>
      <c r="G396" s="211"/>
      <c r="H396" s="211"/>
      <c r="I396" s="211"/>
      <c r="J396" s="211"/>
      <c r="K396" s="211"/>
      <c r="L396" s="211"/>
      <c r="M396" s="211"/>
      <c r="N396" s="211"/>
      <c r="O396" s="211"/>
      <c r="P396" s="211"/>
      <c r="Q396" s="211"/>
      <c r="R396" s="211"/>
      <c r="S396" s="211"/>
      <c r="T396" s="211"/>
      <c r="U396" s="211"/>
      <c r="V396" s="211"/>
      <c r="W396" s="211"/>
      <c r="X396" s="211"/>
      <c r="Y396" s="211"/>
      <c r="Z396" s="211"/>
      <c r="AA396" s="211"/>
    </row>
    <row r="397">
      <c r="A397" s="211"/>
      <c r="B397" s="211"/>
      <c r="C397" s="211"/>
      <c r="D397" s="211"/>
      <c r="E397" s="211"/>
      <c r="F397" s="211"/>
      <c r="G397" s="211"/>
      <c r="H397" s="211"/>
      <c r="I397" s="211"/>
      <c r="J397" s="211"/>
      <c r="K397" s="211"/>
      <c r="L397" s="211"/>
      <c r="M397" s="211"/>
      <c r="N397" s="211"/>
      <c r="O397" s="211"/>
      <c r="P397" s="211"/>
      <c r="Q397" s="211"/>
      <c r="R397" s="211"/>
      <c r="S397" s="211"/>
      <c r="T397" s="211"/>
      <c r="U397" s="211"/>
      <c r="V397" s="211"/>
      <c r="W397" s="211"/>
      <c r="X397" s="211"/>
      <c r="Y397" s="211"/>
      <c r="Z397" s="211"/>
      <c r="AA397" s="211"/>
    </row>
    <row r="398">
      <c r="A398" s="211"/>
      <c r="B398" s="211"/>
      <c r="C398" s="211"/>
      <c r="D398" s="211"/>
      <c r="E398" s="211"/>
      <c r="F398" s="211"/>
      <c r="G398" s="211"/>
      <c r="H398" s="211"/>
      <c r="I398" s="211"/>
      <c r="J398" s="211"/>
      <c r="K398" s="211"/>
      <c r="L398" s="211"/>
      <c r="M398" s="211"/>
      <c r="N398" s="211"/>
      <c r="O398" s="211"/>
      <c r="P398" s="211"/>
      <c r="Q398" s="211"/>
      <c r="R398" s="211"/>
      <c r="S398" s="211"/>
      <c r="T398" s="211"/>
      <c r="U398" s="211"/>
      <c r="V398" s="211"/>
      <c r="W398" s="211"/>
      <c r="X398" s="211"/>
      <c r="Y398" s="211"/>
      <c r="Z398" s="211"/>
      <c r="AA398" s="211"/>
    </row>
    <row r="399">
      <c r="A399" s="211"/>
      <c r="B399" s="211"/>
      <c r="C399" s="211"/>
      <c r="D399" s="211"/>
      <c r="E399" s="211"/>
      <c r="F399" s="211"/>
      <c r="G399" s="211"/>
      <c r="H399" s="211"/>
      <c r="I399" s="211"/>
      <c r="J399" s="211"/>
      <c r="K399" s="211"/>
      <c r="L399" s="211"/>
      <c r="M399" s="211"/>
      <c r="N399" s="211"/>
      <c r="O399" s="211"/>
      <c r="P399" s="211"/>
      <c r="Q399" s="211"/>
      <c r="R399" s="211"/>
      <c r="S399" s="211"/>
      <c r="T399" s="211"/>
      <c r="U399" s="211"/>
      <c r="V399" s="211"/>
      <c r="W399" s="211"/>
      <c r="X399" s="211"/>
      <c r="Y399" s="211"/>
      <c r="Z399" s="211"/>
      <c r="AA399" s="211"/>
    </row>
    <row r="400">
      <c r="A400" s="211"/>
      <c r="B400" s="211"/>
      <c r="C400" s="211"/>
      <c r="D400" s="211"/>
      <c r="E400" s="211"/>
      <c r="F400" s="211"/>
      <c r="G400" s="211"/>
      <c r="H400" s="211"/>
      <c r="I400" s="211"/>
      <c r="J400" s="211"/>
      <c r="K400" s="211"/>
      <c r="L400" s="211"/>
      <c r="M400" s="211"/>
      <c r="N400" s="211"/>
      <c r="O400" s="211"/>
      <c r="P400" s="211"/>
      <c r="Q400" s="211"/>
      <c r="R400" s="211"/>
      <c r="S400" s="211"/>
      <c r="T400" s="211"/>
      <c r="U400" s="211"/>
      <c r="V400" s="211"/>
      <c r="W400" s="211"/>
      <c r="X400" s="211"/>
      <c r="Y400" s="211"/>
      <c r="Z400" s="211"/>
      <c r="AA400" s="211"/>
    </row>
    <row r="401">
      <c r="A401" s="211"/>
      <c r="B401" s="211"/>
      <c r="C401" s="211"/>
      <c r="D401" s="211"/>
      <c r="E401" s="211"/>
      <c r="F401" s="211"/>
      <c r="G401" s="211"/>
      <c r="H401" s="211"/>
      <c r="I401" s="211"/>
      <c r="J401" s="211"/>
      <c r="K401" s="211"/>
      <c r="L401" s="211"/>
      <c r="M401" s="211"/>
      <c r="N401" s="211"/>
      <c r="O401" s="211"/>
      <c r="P401" s="211"/>
      <c r="Q401" s="211"/>
      <c r="R401" s="211"/>
      <c r="S401" s="211"/>
      <c r="T401" s="211"/>
      <c r="U401" s="211"/>
      <c r="V401" s="211"/>
      <c r="W401" s="211"/>
      <c r="X401" s="211"/>
      <c r="Y401" s="211"/>
      <c r="Z401" s="211"/>
      <c r="AA401" s="211"/>
    </row>
    <row r="402">
      <c r="A402" s="211"/>
      <c r="B402" s="211"/>
      <c r="C402" s="211"/>
      <c r="D402" s="211"/>
      <c r="E402" s="211"/>
      <c r="F402" s="211"/>
      <c r="G402" s="211"/>
      <c r="H402" s="211"/>
      <c r="I402" s="211"/>
      <c r="J402" s="211"/>
      <c r="K402" s="211"/>
      <c r="L402" s="211"/>
      <c r="M402" s="211"/>
      <c r="N402" s="211"/>
      <c r="O402" s="211"/>
      <c r="P402" s="211"/>
      <c r="Q402" s="211"/>
      <c r="R402" s="211"/>
      <c r="S402" s="211"/>
      <c r="T402" s="211"/>
      <c r="U402" s="211"/>
      <c r="V402" s="211"/>
      <c r="W402" s="211"/>
      <c r="X402" s="211"/>
      <c r="Y402" s="211"/>
      <c r="Z402" s="211"/>
      <c r="AA402" s="211"/>
    </row>
    <row r="403">
      <c r="A403" s="211"/>
      <c r="B403" s="211"/>
      <c r="C403" s="211"/>
      <c r="D403" s="211"/>
      <c r="E403" s="211"/>
      <c r="F403" s="211"/>
      <c r="G403" s="211"/>
      <c r="H403" s="211"/>
      <c r="I403" s="211"/>
      <c r="J403" s="211"/>
      <c r="K403" s="211"/>
      <c r="L403" s="211"/>
      <c r="M403" s="211"/>
      <c r="N403" s="211"/>
      <c r="O403" s="211"/>
      <c r="P403" s="211"/>
      <c r="Q403" s="211"/>
      <c r="R403" s="211"/>
      <c r="S403" s="211"/>
      <c r="T403" s="211"/>
      <c r="U403" s="211"/>
      <c r="V403" s="211"/>
      <c r="W403" s="211"/>
      <c r="X403" s="211"/>
      <c r="Y403" s="211"/>
      <c r="Z403" s="211"/>
      <c r="AA403" s="211"/>
    </row>
    <row r="404">
      <c r="A404" s="211"/>
      <c r="B404" s="211"/>
      <c r="C404" s="211"/>
      <c r="D404" s="211"/>
      <c r="E404" s="211"/>
      <c r="F404" s="211"/>
      <c r="G404" s="211"/>
      <c r="H404" s="211"/>
      <c r="I404" s="211"/>
      <c r="J404" s="211"/>
      <c r="K404" s="211"/>
      <c r="L404" s="211"/>
      <c r="M404" s="211"/>
      <c r="N404" s="211"/>
      <c r="O404" s="211"/>
      <c r="P404" s="211"/>
      <c r="Q404" s="211"/>
      <c r="R404" s="211"/>
      <c r="S404" s="211"/>
      <c r="T404" s="211"/>
      <c r="U404" s="211"/>
      <c r="V404" s="211"/>
      <c r="W404" s="211"/>
      <c r="X404" s="211"/>
      <c r="Y404" s="211"/>
      <c r="Z404" s="211"/>
      <c r="AA404" s="211"/>
    </row>
    <row r="405">
      <c r="A405" s="211"/>
      <c r="B405" s="211"/>
      <c r="C405" s="211"/>
      <c r="D405" s="211"/>
      <c r="E405" s="211"/>
      <c r="F405" s="211"/>
      <c r="G405" s="211"/>
      <c r="H405" s="211"/>
      <c r="I405" s="211"/>
      <c r="J405" s="211"/>
      <c r="K405" s="211"/>
      <c r="L405" s="211"/>
      <c r="M405" s="211"/>
      <c r="N405" s="211"/>
      <c r="O405" s="211"/>
      <c r="P405" s="211"/>
      <c r="Q405" s="211"/>
      <c r="R405" s="211"/>
      <c r="S405" s="211"/>
      <c r="T405" s="211"/>
      <c r="U405" s="211"/>
      <c r="V405" s="211"/>
      <c r="W405" s="211"/>
      <c r="X405" s="211"/>
      <c r="Y405" s="211"/>
      <c r="Z405" s="211"/>
      <c r="AA405" s="211"/>
    </row>
    <row r="406">
      <c r="A406" s="211"/>
      <c r="B406" s="211"/>
      <c r="C406" s="211"/>
      <c r="D406" s="211"/>
      <c r="E406" s="211"/>
      <c r="F406" s="211"/>
      <c r="G406" s="211"/>
      <c r="H406" s="211"/>
      <c r="I406" s="211"/>
      <c r="J406" s="211"/>
      <c r="K406" s="211"/>
      <c r="L406" s="211"/>
      <c r="M406" s="211"/>
      <c r="N406" s="211"/>
      <c r="O406" s="211"/>
      <c r="P406" s="211"/>
      <c r="Q406" s="211"/>
      <c r="R406" s="211"/>
      <c r="S406" s="211"/>
      <c r="T406" s="211"/>
      <c r="U406" s="211"/>
      <c r="V406" s="211"/>
      <c r="W406" s="211"/>
      <c r="X406" s="211"/>
      <c r="Y406" s="211"/>
      <c r="Z406" s="211"/>
      <c r="AA406" s="211"/>
    </row>
    <row r="407">
      <c r="A407" s="211"/>
      <c r="B407" s="211"/>
      <c r="C407" s="211"/>
      <c r="D407" s="211"/>
      <c r="E407" s="211"/>
      <c r="F407" s="211"/>
      <c r="G407" s="211"/>
      <c r="H407" s="211"/>
      <c r="I407" s="211"/>
      <c r="J407" s="211"/>
      <c r="K407" s="211"/>
      <c r="L407" s="211"/>
      <c r="M407" s="211"/>
      <c r="N407" s="211"/>
      <c r="O407" s="211"/>
      <c r="P407" s="211"/>
      <c r="Q407" s="211"/>
      <c r="R407" s="211"/>
      <c r="S407" s="211"/>
      <c r="T407" s="211"/>
      <c r="U407" s="211"/>
      <c r="V407" s="211"/>
      <c r="W407" s="211"/>
      <c r="X407" s="211"/>
      <c r="Y407" s="211"/>
      <c r="Z407" s="211"/>
      <c r="AA407" s="211"/>
    </row>
    <row r="408">
      <c r="A408" s="211"/>
      <c r="B408" s="211"/>
      <c r="C408" s="211"/>
      <c r="D408" s="211"/>
      <c r="E408" s="211"/>
      <c r="F408" s="211"/>
      <c r="G408" s="211"/>
      <c r="H408" s="211"/>
      <c r="I408" s="211"/>
      <c r="J408" s="211"/>
      <c r="K408" s="211"/>
      <c r="L408" s="211"/>
      <c r="M408" s="211"/>
      <c r="N408" s="211"/>
      <c r="O408" s="211"/>
      <c r="P408" s="211"/>
      <c r="Q408" s="211"/>
      <c r="R408" s="211"/>
      <c r="S408" s="211"/>
      <c r="T408" s="211"/>
      <c r="U408" s="211"/>
      <c r="V408" s="211"/>
      <c r="W408" s="211"/>
      <c r="X408" s="211"/>
      <c r="Y408" s="211"/>
      <c r="Z408" s="211"/>
      <c r="AA408" s="211"/>
    </row>
    <row r="409">
      <c r="A409" s="211"/>
      <c r="B409" s="211"/>
      <c r="C409" s="211"/>
      <c r="D409" s="211"/>
      <c r="E409" s="211"/>
      <c r="F409" s="211"/>
      <c r="G409" s="211"/>
      <c r="H409" s="211"/>
      <c r="I409" s="211"/>
      <c r="J409" s="211"/>
      <c r="K409" s="211"/>
      <c r="L409" s="211"/>
      <c r="M409" s="211"/>
      <c r="N409" s="211"/>
      <c r="O409" s="211"/>
      <c r="P409" s="211"/>
      <c r="Q409" s="211"/>
      <c r="R409" s="211"/>
      <c r="S409" s="211"/>
      <c r="T409" s="211"/>
      <c r="U409" s="211"/>
      <c r="V409" s="211"/>
      <c r="W409" s="211"/>
      <c r="X409" s="211"/>
      <c r="Y409" s="211"/>
      <c r="Z409" s="211"/>
      <c r="AA409" s="211"/>
    </row>
    <row r="410">
      <c r="A410" s="211"/>
      <c r="B410" s="211"/>
      <c r="C410" s="211"/>
      <c r="D410" s="211"/>
      <c r="E410" s="211"/>
      <c r="F410" s="211"/>
      <c r="G410" s="211"/>
      <c r="H410" s="211"/>
      <c r="I410" s="211"/>
      <c r="J410" s="211"/>
      <c r="K410" s="211"/>
      <c r="L410" s="211"/>
      <c r="M410" s="211"/>
      <c r="N410" s="211"/>
      <c r="O410" s="211"/>
      <c r="P410" s="211"/>
      <c r="Q410" s="211"/>
      <c r="R410" s="211"/>
      <c r="S410" s="211"/>
      <c r="T410" s="211"/>
      <c r="U410" s="211"/>
      <c r="V410" s="211"/>
      <c r="W410" s="211"/>
      <c r="X410" s="211"/>
      <c r="Y410" s="211"/>
      <c r="Z410" s="211"/>
      <c r="AA410" s="211"/>
    </row>
    <row r="411">
      <c r="A411" s="211"/>
      <c r="B411" s="211"/>
      <c r="C411" s="211"/>
      <c r="D411" s="211"/>
      <c r="E411" s="211"/>
      <c r="F411" s="211"/>
      <c r="G411" s="211"/>
      <c r="H411" s="211"/>
      <c r="I411" s="211"/>
      <c r="J411" s="211"/>
      <c r="K411" s="211"/>
      <c r="L411" s="211"/>
      <c r="M411" s="211"/>
      <c r="N411" s="211"/>
      <c r="O411" s="211"/>
      <c r="P411" s="211"/>
      <c r="Q411" s="211"/>
      <c r="R411" s="211"/>
      <c r="S411" s="211"/>
      <c r="T411" s="211"/>
      <c r="U411" s="211"/>
      <c r="V411" s="211"/>
      <c r="W411" s="211"/>
      <c r="X411" s="211"/>
      <c r="Y411" s="211"/>
      <c r="Z411" s="211"/>
      <c r="AA411" s="211"/>
    </row>
    <row r="412">
      <c r="A412" s="211"/>
      <c r="B412" s="211"/>
      <c r="C412" s="211"/>
      <c r="D412" s="211"/>
      <c r="E412" s="211"/>
      <c r="F412" s="211"/>
      <c r="G412" s="211"/>
      <c r="H412" s="211"/>
      <c r="I412" s="211"/>
      <c r="J412" s="211"/>
      <c r="K412" s="211"/>
      <c r="L412" s="211"/>
      <c r="M412" s="211"/>
      <c r="N412" s="211"/>
      <c r="O412" s="211"/>
      <c r="P412" s="211"/>
      <c r="Q412" s="211"/>
      <c r="R412" s="211"/>
      <c r="S412" s="211"/>
      <c r="T412" s="211"/>
      <c r="U412" s="211"/>
      <c r="V412" s="211"/>
      <c r="W412" s="211"/>
      <c r="X412" s="211"/>
      <c r="Y412" s="211"/>
      <c r="Z412" s="211"/>
      <c r="AA412" s="211"/>
    </row>
    <row r="413">
      <c r="A413" s="211"/>
      <c r="B413" s="211"/>
      <c r="C413" s="211"/>
      <c r="D413" s="211"/>
      <c r="E413" s="211"/>
      <c r="F413" s="211"/>
      <c r="G413" s="211"/>
      <c r="H413" s="211"/>
      <c r="I413" s="211"/>
      <c r="J413" s="211"/>
      <c r="K413" s="211"/>
      <c r="L413" s="211"/>
      <c r="M413" s="211"/>
      <c r="N413" s="211"/>
      <c r="O413" s="211"/>
      <c r="P413" s="211"/>
      <c r="Q413" s="211"/>
      <c r="R413" s="211"/>
      <c r="S413" s="211"/>
      <c r="T413" s="211"/>
      <c r="U413" s="211"/>
      <c r="V413" s="211"/>
      <c r="W413" s="211"/>
      <c r="X413" s="211"/>
      <c r="Y413" s="211"/>
      <c r="Z413" s="211"/>
      <c r="AA413" s="211"/>
    </row>
    <row r="414">
      <c r="A414" s="211"/>
      <c r="B414" s="211"/>
      <c r="C414" s="211"/>
      <c r="D414" s="211"/>
      <c r="E414" s="211"/>
      <c r="F414" s="211"/>
      <c r="G414" s="211"/>
      <c r="H414" s="211"/>
      <c r="I414" s="211"/>
      <c r="J414" s="211"/>
      <c r="K414" s="211"/>
      <c r="L414" s="211"/>
      <c r="M414" s="211"/>
      <c r="N414" s="211"/>
      <c r="O414" s="211"/>
      <c r="P414" s="211"/>
      <c r="Q414" s="211"/>
      <c r="R414" s="211"/>
      <c r="S414" s="211"/>
      <c r="T414" s="211"/>
      <c r="U414" s="211"/>
      <c r="V414" s="211"/>
      <c r="W414" s="211"/>
      <c r="X414" s="211"/>
      <c r="Y414" s="211"/>
      <c r="Z414" s="211"/>
      <c r="AA414" s="211"/>
    </row>
    <row r="415">
      <c r="A415" s="211"/>
      <c r="B415" s="211"/>
      <c r="C415" s="211"/>
      <c r="D415" s="211"/>
      <c r="E415" s="211"/>
      <c r="F415" s="211"/>
      <c r="G415" s="211"/>
      <c r="H415" s="211"/>
      <c r="I415" s="211"/>
      <c r="J415" s="211"/>
      <c r="K415" s="211"/>
      <c r="L415" s="211"/>
      <c r="M415" s="211"/>
      <c r="N415" s="211"/>
      <c r="O415" s="211"/>
      <c r="P415" s="211"/>
      <c r="Q415" s="211"/>
      <c r="R415" s="211"/>
      <c r="S415" s="211"/>
      <c r="T415" s="211"/>
      <c r="U415" s="211"/>
      <c r="V415" s="211"/>
      <c r="W415" s="211"/>
      <c r="X415" s="211"/>
      <c r="Y415" s="211"/>
      <c r="Z415" s="211"/>
      <c r="AA415" s="211"/>
    </row>
    <row r="416">
      <c r="A416" s="211"/>
      <c r="B416" s="211"/>
      <c r="C416" s="211"/>
      <c r="D416" s="211"/>
      <c r="E416" s="211"/>
      <c r="F416" s="211"/>
      <c r="G416" s="211"/>
      <c r="H416" s="211"/>
      <c r="I416" s="211"/>
      <c r="J416" s="211"/>
      <c r="K416" s="211"/>
      <c r="L416" s="211"/>
      <c r="M416" s="211"/>
      <c r="N416" s="211"/>
      <c r="O416" s="211"/>
      <c r="P416" s="211"/>
      <c r="Q416" s="211"/>
      <c r="R416" s="211"/>
      <c r="S416" s="211"/>
      <c r="T416" s="211"/>
      <c r="U416" s="211"/>
      <c r="V416" s="211"/>
      <c r="W416" s="211"/>
      <c r="X416" s="211"/>
      <c r="Y416" s="211"/>
      <c r="Z416" s="211"/>
      <c r="AA416" s="211"/>
    </row>
    <row r="417">
      <c r="A417" s="211"/>
      <c r="B417" s="211"/>
      <c r="C417" s="211"/>
      <c r="D417" s="211"/>
      <c r="E417" s="211"/>
      <c r="F417" s="211"/>
      <c r="G417" s="211"/>
      <c r="H417" s="211"/>
      <c r="I417" s="211"/>
      <c r="J417" s="211"/>
      <c r="K417" s="211"/>
      <c r="L417" s="211"/>
      <c r="M417" s="211"/>
      <c r="N417" s="211"/>
      <c r="O417" s="211"/>
      <c r="P417" s="211"/>
      <c r="Q417" s="211"/>
      <c r="R417" s="211"/>
      <c r="S417" s="211"/>
      <c r="T417" s="211"/>
      <c r="U417" s="211"/>
      <c r="V417" s="211"/>
      <c r="W417" s="211"/>
      <c r="X417" s="211"/>
      <c r="Y417" s="211"/>
      <c r="Z417" s="211"/>
      <c r="AA417" s="211"/>
    </row>
    <row r="418">
      <c r="A418" s="211"/>
      <c r="B418" s="211"/>
      <c r="C418" s="211"/>
      <c r="D418" s="211"/>
      <c r="E418" s="211"/>
      <c r="F418" s="211"/>
      <c r="G418" s="211"/>
      <c r="H418" s="211"/>
      <c r="I418" s="211"/>
      <c r="J418" s="211"/>
      <c r="K418" s="211"/>
      <c r="L418" s="211"/>
      <c r="M418" s="211"/>
      <c r="N418" s="211"/>
      <c r="O418" s="211"/>
      <c r="P418" s="211"/>
      <c r="Q418" s="211"/>
      <c r="R418" s="211"/>
      <c r="S418" s="211"/>
      <c r="T418" s="211"/>
      <c r="U418" s="211"/>
      <c r="V418" s="211"/>
      <c r="W418" s="211"/>
      <c r="X418" s="211"/>
      <c r="Y418" s="211"/>
      <c r="Z418" s="211"/>
      <c r="AA418" s="211"/>
    </row>
    <row r="419">
      <c r="A419" s="211"/>
      <c r="B419" s="211"/>
      <c r="C419" s="211"/>
      <c r="D419" s="211"/>
      <c r="E419" s="211"/>
      <c r="F419" s="211"/>
      <c r="G419" s="211"/>
      <c r="H419" s="211"/>
      <c r="I419" s="211"/>
      <c r="J419" s="211"/>
      <c r="K419" s="211"/>
      <c r="L419" s="211"/>
      <c r="M419" s="211"/>
      <c r="N419" s="211"/>
      <c r="O419" s="211"/>
      <c r="P419" s="211"/>
      <c r="Q419" s="211"/>
      <c r="R419" s="211"/>
      <c r="S419" s="211"/>
      <c r="T419" s="211"/>
      <c r="U419" s="211"/>
      <c r="V419" s="211"/>
      <c r="W419" s="211"/>
      <c r="X419" s="211"/>
      <c r="Y419" s="211"/>
      <c r="Z419" s="211"/>
      <c r="AA419" s="211"/>
    </row>
    <row r="420">
      <c r="A420" s="211"/>
      <c r="B420" s="211"/>
      <c r="C420" s="211"/>
      <c r="D420" s="211"/>
      <c r="E420" s="211"/>
      <c r="F420" s="211"/>
      <c r="G420" s="211"/>
      <c r="H420" s="211"/>
      <c r="I420" s="211"/>
      <c r="J420" s="211"/>
      <c r="K420" s="211"/>
      <c r="L420" s="211"/>
      <c r="M420" s="211"/>
      <c r="N420" s="211"/>
      <c r="O420" s="211"/>
      <c r="P420" s="211"/>
      <c r="Q420" s="211"/>
      <c r="R420" s="211"/>
      <c r="S420" s="211"/>
      <c r="T420" s="211"/>
      <c r="U420" s="211"/>
      <c r="V420" s="211"/>
      <c r="W420" s="211"/>
      <c r="X420" s="211"/>
      <c r="Y420" s="211"/>
      <c r="Z420" s="211"/>
      <c r="AA420" s="211"/>
    </row>
    <row r="421">
      <c r="A421" s="211"/>
      <c r="B421" s="211"/>
      <c r="C421" s="211"/>
      <c r="D421" s="211"/>
      <c r="E421" s="211"/>
      <c r="F421" s="211"/>
      <c r="G421" s="211"/>
      <c r="H421" s="211"/>
      <c r="I421" s="211"/>
      <c r="J421" s="211"/>
      <c r="K421" s="211"/>
      <c r="L421" s="211"/>
      <c r="M421" s="211"/>
      <c r="N421" s="211"/>
      <c r="O421" s="211"/>
      <c r="P421" s="211"/>
      <c r="Q421" s="211"/>
      <c r="R421" s="211"/>
      <c r="S421" s="211"/>
      <c r="T421" s="211"/>
      <c r="U421" s="211"/>
      <c r="V421" s="211"/>
      <c r="W421" s="211"/>
      <c r="X421" s="211"/>
      <c r="Y421" s="211"/>
      <c r="Z421" s="211"/>
      <c r="AA421" s="211"/>
    </row>
    <row r="422">
      <c r="A422" s="211"/>
      <c r="B422" s="211"/>
      <c r="C422" s="211"/>
      <c r="D422" s="211"/>
      <c r="E422" s="211"/>
      <c r="F422" s="211"/>
      <c r="G422" s="211"/>
      <c r="H422" s="211"/>
      <c r="I422" s="211"/>
      <c r="J422" s="211"/>
      <c r="K422" s="211"/>
      <c r="L422" s="211"/>
      <c r="M422" s="211"/>
      <c r="N422" s="211"/>
      <c r="O422" s="211"/>
      <c r="P422" s="211"/>
      <c r="Q422" s="211"/>
      <c r="R422" s="211"/>
      <c r="S422" s="211"/>
      <c r="T422" s="211"/>
      <c r="U422" s="211"/>
      <c r="V422" s="211"/>
      <c r="W422" s="211"/>
      <c r="X422" s="211"/>
      <c r="Y422" s="211"/>
      <c r="Z422" s="211"/>
      <c r="AA422" s="211"/>
    </row>
    <row r="423">
      <c r="A423" s="211"/>
      <c r="B423" s="211"/>
      <c r="C423" s="211"/>
      <c r="D423" s="211"/>
      <c r="E423" s="211"/>
      <c r="F423" s="211"/>
      <c r="G423" s="211"/>
      <c r="H423" s="211"/>
      <c r="I423" s="211"/>
      <c r="J423" s="211"/>
      <c r="K423" s="211"/>
      <c r="L423" s="211"/>
      <c r="M423" s="211"/>
      <c r="N423" s="211"/>
      <c r="O423" s="211"/>
      <c r="P423" s="211"/>
      <c r="Q423" s="211"/>
      <c r="R423" s="211"/>
      <c r="S423" s="211"/>
      <c r="T423" s="211"/>
      <c r="U423" s="211"/>
      <c r="V423" s="211"/>
      <c r="W423" s="211"/>
      <c r="X423" s="211"/>
      <c r="Y423" s="211"/>
      <c r="Z423" s="211"/>
      <c r="AA423" s="211"/>
    </row>
    <row r="424">
      <c r="A424" s="211"/>
      <c r="B424" s="211"/>
      <c r="C424" s="211"/>
      <c r="D424" s="211"/>
      <c r="E424" s="211"/>
      <c r="F424" s="211"/>
      <c r="G424" s="211"/>
      <c r="H424" s="211"/>
      <c r="I424" s="211"/>
      <c r="J424" s="211"/>
      <c r="K424" s="211"/>
      <c r="L424" s="211"/>
      <c r="M424" s="211"/>
      <c r="N424" s="211"/>
      <c r="O424" s="211"/>
      <c r="P424" s="211"/>
      <c r="Q424" s="211"/>
      <c r="R424" s="211"/>
      <c r="S424" s="211"/>
      <c r="T424" s="211"/>
      <c r="U424" s="211"/>
      <c r="V424" s="211"/>
      <c r="W424" s="211"/>
      <c r="X424" s="211"/>
      <c r="Y424" s="211"/>
      <c r="Z424" s="211"/>
      <c r="AA424" s="211"/>
    </row>
    <row r="425">
      <c r="A425" s="211"/>
      <c r="B425" s="211"/>
      <c r="C425" s="211"/>
      <c r="D425" s="211"/>
      <c r="E425" s="211"/>
      <c r="F425" s="211"/>
      <c r="G425" s="211"/>
      <c r="H425" s="211"/>
      <c r="I425" s="211"/>
      <c r="J425" s="211"/>
      <c r="K425" s="211"/>
      <c r="L425" s="211"/>
      <c r="M425" s="211"/>
      <c r="N425" s="211"/>
      <c r="O425" s="211"/>
      <c r="P425" s="211"/>
      <c r="Q425" s="211"/>
      <c r="R425" s="211"/>
      <c r="S425" s="211"/>
      <c r="T425" s="211"/>
      <c r="U425" s="211"/>
      <c r="V425" s="211"/>
      <c r="W425" s="211"/>
      <c r="X425" s="211"/>
      <c r="Y425" s="211"/>
      <c r="Z425" s="211"/>
      <c r="AA425" s="211"/>
    </row>
    <row r="426">
      <c r="A426" s="211"/>
      <c r="B426" s="211"/>
      <c r="C426" s="211"/>
      <c r="D426" s="211"/>
      <c r="E426" s="211"/>
      <c r="F426" s="211"/>
      <c r="G426" s="211"/>
      <c r="H426" s="211"/>
      <c r="I426" s="211"/>
      <c r="J426" s="211"/>
      <c r="K426" s="211"/>
      <c r="L426" s="211"/>
      <c r="M426" s="211"/>
      <c r="N426" s="211"/>
      <c r="O426" s="211"/>
      <c r="P426" s="211"/>
      <c r="Q426" s="211"/>
      <c r="R426" s="211"/>
      <c r="S426" s="211"/>
      <c r="T426" s="211"/>
      <c r="U426" s="211"/>
      <c r="V426" s="211"/>
      <c r="W426" s="211"/>
      <c r="X426" s="211"/>
      <c r="Y426" s="211"/>
      <c r="Z426" s="211"/>
      <c r="AA426" s="211"/>
    </row>
    <row r="427">
      <c r="A427" s="211"/>
      <c r="B427" s="211"/>
      <c r="C427" s="211"/>
      <c r="D427" s="211"/>
      <c r="E427" s="211"/>
      <c r="F427" s="211"/>
      <c r="G427" s="211"/>
      <c r="H427" s="211"/>
      <c r="I427" s="211"/>
      <c r="J427" s="211"/>
      <c r="K427" s="211"/>
      <c r="L427" s="211"/>
      <c r="M427" s="211"/>
      <c r="N427" s="211"/>
      <c r="O427" s="211"/>
      <c r="P427" s="211"/>
      <c r="Q427" s="211"/>
      <c r="R427" s="211"/>
      <c r="S427" s="211"/>
      <c r="T427" s="211"/>
      <c r="U427" s="211"/>
      <c r="V427" s="211"/>
      <c r="W427" s="211"/>
      <c r="X427" s="211"/>
      <c r="Y427" s="211"/>
      <c r="Z427" s="211"/>
      <c r="AA427" s="211"/>
    </row>
    <row r="428">
      <c r="A428" s="211"/>
      <c r="B428" s="211"/>
      <c r="C428" s="211"/>
      <c r="D428" s="211"/>
      <c r="E428" s="211"/>
      <c r="F428" s="211"/>
      <c r="G428" s="211"/>
      <c r="H428" s="211"/>
      <c r="I428" s="211"/>
      <c r="J428" s="211"/>
      <c r="K428" s="211"/>
      <c r="L428" s="211"/>
      <c r="M428" s="211"/>
      <c r="N428" s="211"/>
      <c r="O428" s="211"/>
      <c r="P428" s="211"/>
      <c r="Q428" s="211"/>
      <c r="R428" s="211"/>
      <c r="S428" s="211"/>
      <c r="T428" s="211"/>
      <c r="U428" s="211"/>
      <c r="V428" s="211"/>
      <c r="W428" s="211"/>
      <c r="X428" s="211"/>
      <c r="Y428" s="211"/>
      <c r="Z428" s="211"/>
      <c r="AA428" s="211"/>
    </row>
    <row r="429">
      <c r="A429" s="211"/>
      <c r="B429" s="211"/>
      <c r="C429" s="211"/>
      <c r="D429" s="211"/>
      <c r="E429" s="211"/>
      <c r="F429" s="211"/>
      <c r="G429" s="211"/>
      <c r="H429" s="211"/>
      <c r="I429" s="211"/>
      <c r="J429" s="211"/>
      <c r="K429" s="211"/>
      <c r="L429" s="211"/>
      <c r="M429" s="211"/>
      <c r="N429" s="211"/>
      <c r="O429" s="211"/>
      <c r="P429" s="211"/>
      <c r="Q429" s="211"/>
      <c r="R429" s="211"/>
      <c r="S429" s="211"/>
      <c r="T429" s="211"/>
      <c r="U429" s="211"/>
      <c r="V429" s="211"/>
      <c r="W429" s="211"/>
      <c r="X429" s="211"/>
      <c r="Y429" s="211"/>
      <c r="Z429" s="211"/>
      <c r="AA429" s="211"/>
    </row>
    <row r="430">
      <c r="A430" s="211"/>
      <c r="B430" s="211"/>
      <c r="C430" s="211"/>
      <c r="D430" s="211"/>
      <c r="E430" s="211"/>
      <c r="F430" s="211"/>
      <c r="G430" s="211"/>
      <c r="H430" s="211"/>
      <c r="I430" s="211"/>
      <c r="J430" s="211"/>
      <c r="K430" s="211"/>
      <c r="L430" s="211"/>
      <c r="M430" s="211"/>
      <c r="N430" s="211"/>
      <c r="O430" s="211"/>
      <c r="P430" s="211"/>
      <c r="Q430" s="211"/>
      <c r="R430" s="211"/>
      <c r="S430" s="211"/>
      <c r="T430" s="211"/>
      <c r="U430" s="211"/>
      <c r="V430" s="211"/>
      <c r="W430" s="211"/>
      <c r="X430" s="211"/>
      <c r="Y430" s="211"/>
      <c r="Z430" s="211"/>
      <c r="AA430" s="211"/>
    </row>
    <row r="431">
      <c r="A431" s="211"/>
      <c r="B431" s="211"/>
      <c r="C431" s="211"/>
      <c r="D431" s="211"/>
      <c r="E431" s="211"/>
      <c r="F431" s="211"/>
      <c r="G431" s="211"/>
      <c r="H431" s="211"/>
      <c r="I431" s="211"/>
      <c r="J431" s="211"/>
      <c r="K431" s="211"/>
      <c r="L431" s="211"/>
      <c r="M431" s="211"/>
      <c r="N431" s="211"/>
      <c r="O431" s="211"/>
      <c r="P431" s="211"/>
      <c r="Q431" s="211"/>
      <c r="R431" s="211"/>
      <c r="S431" s="211"/>
      <c r="T431" s="211"/>
      <c r="U431" s="211"/>
      <c r="V431" s="211"/>
      <c r="W431" s="211"/>
      <c r="X431" s="211"/>
      <c r="Y431" s="211"/>
      <c r="Z431" s="211"/>
      <c r="AA431" s="211"/>
    </row>
    <row r="432">
      <c r="A432" s="211"/>
      <c r="B432" s="211"/>
      <c r="C432" s="211"/>
      <c r="D432" s="211"/>
      <c r="E432" s="211"/>
      <c r="F432" s="211"/>
      <c r="G432" s="211"/>
      <c r="H432" s="211"/>
      <c r="I432" s="211"/>
      <c r="J432" s="211"/>
      <c r="K432" s="211"/>
      <c r="L432" s="211"/>
      <c r="M432" s="211"/>
      <c r="N432" s="211"/>
      <c r="O432" s="211"/>
      <c r="P432" s="211"/>
      <c r="Q432" s="211"/>
      <c r="R432" s="211"/>
      <c r="S432" s="211"/>
      <c r="T432" s="211"/>
      <c r="U432" s="211"/>
      <c r="V432" s="211"/>
      <c r="W432" s="211"/>
      <c r="X432" s="211"/>
      <c r="Y432" s="211"/>
      <c r="Z432" s="211"/>
      <c r="AA432" s="211"/>
    </row>
    <row r="433">
      <c r="A433" s="211"/>
      <c r="B433" s="211"/>
      <c r="C433" s="211"/>
      <c r="D433" s="211"/>
      <c r="E433" s="211"/>
      <c r="F433" s="211"/>
      <c r="G433" s="211"/>
      <c r="H433" s="211"/>
      <c r="I433" s="211"/>
      <c r="J433" s="211"/>
      <c r="K433" s="211"/>
      <c r="L433" s="211"/>
      <c r="M433" s="211"/>
      <c r="N433" s="211"/>
      <c r="O433" s="211"/>
      <c r="P433" s="211"/>
      <c r="Q433" s="211"/>
      <c r="R433" s="211"/>
      <c r="S433" s="211"/>
      <c r="T433" s="211"/>
      <c r="U433" s="211"/>
      <c r="V433" s="211"/>
      <c r="W433" s="211"/>
      <c r="X433" s="211"/>
      <c r="Y433" s="211"/>
      <c r="Z433" s="211"/>
      <c r="AA433" s="211"/>
    </row>
    <row r="434">
      <c r="A434" s="211"/>
      <c r="B434" s="211"/>
      <c r="C434" s="211"/>
      <c r="D434" s="211"/>
      <c r="E434" s="211"/>
      <c r="F434" s="211"/>
      <c r="G434" s="211"/>
      <c r="H434" s="211"/>
      <c r="I434" s="211"/>
      <c r="J434" s="211"/>
      <c r="K434" s="211"/>
      <c r="L434" s="211"/>
      <c r="M434" s="211"/>
      <c r="N434" s="211"/>
      <c r="O434" s="211"/>
      <c r="P434" s="211"/>
      <c r="Q434" s="211"/>
      <c r="R434" s="211"/>
      <c r="S434" s="211"/>
      <c r="T434" s="211"/>
      <c r="U434" s="211"/>
      <c r="V434" s="211"/>
      <c r="W434" s="211"/>
      <c r="X434" s="211"/>
      <c r="Y434" s="211"/>
      <c r="Z434" s="211"/>
      <c r="AA434" s="211"/>
    </row>
    <row r="435">
      <c r="A435" s="211"/>
      <c r="B435" s="211"/>
      <c r="C435" s="211"/>
      <c r="D435" s="211"/>
      <c r="E435" s="211"/>
      <c r="F435" s="211"/>
      <c r="G435" s="211"/>
      <c r="H435" s="211"/>
      <c r="I435" s="211"/>
      <c r="J435" s="211"/>
      <c r="K435" s="211"/>
      <c r="L435" s="211"/>
      <c r="M435" s="211"/>
      <c r="N435" s="211"/>
      <c r="O435" s="211"/>
      <c r="P435" s="211"/>
      <c r="Q435" s="211"/>
      <c r="R435" s="211"/>
      <c r="S435" s="211"/>
      <c r="T435" s="211"/>
      <c r="U435" s="211"/>
      <c r="V435" s="211"/>
      <c r="W435" s="211"/>
      <c r="X435" s="211"/>
      <c r="Y435" s="211"/>
      <c r="Z435" s="211"/>
      <c r="AA435" s="211"/>
    </row>
    <row r="436">
      <c r="A436" s="211"/>
      <c r="B436" s="211"/>
      <c r="C436" s="211"/>
      <c r="D436" s="211"/>
      <c r="E436" s="211"/>
      <c r="F436" s="211"/>
      <c r="G436" s="211"/>
      <c r="H436" s="211"/>
      <c r="I436" s="211"/>
      <c r="J436" s="211"/>
      <c r="K436" s="211"/>
      <c r="L436" s="211"/>
      <c r="M436" s="211"/>
      <c r="N436" s="211"/>
      <c r="O436" s="211"/>
      <c r="P436" s="211"/>
      <c r="Q436" s="211"/>
      <c r="R436" s="211"/>
      <c r="S436" s="211"/>
      <c r="T436" s="211"/>
      <c r="U436" s="211"/>
      <c r="V436" s="211"/>
      <c r="W436" s="211"/>
      <c r="X436" s="211"/>
      <c r="Y436" s="211"/>
      <c r="Z436" s="211"/>
      <c r="AA436" s="211"/>
    </row>
    <row r="437">
      <c r="A437" s="211"/>
      <c r="B437" s="211"/>
      <c r="C437" s="211"/>
      <c r="D437" s="211"/>
      <c r="E437" s="211"/>
      <c r="F437" s="211"/>
      <c r="G437" s="211"/>
      <c r="H437" s="211"/>
      <c r="I437" s="211"/>
      <c r="J437" s="211"/>
      <c r="K437" s="211"/>
      <c r="L437" s="211"/>
      <c r="M437" s="211"/>
      <c r="N437" s="211"/>
      <c r="O437" s="211"/>
      <c r="P437" s="211"/>
      <c r="Q437" s="211"/>
      <c r="R437" s="211"/>
      <c r="S437" s="211"/>
      <c r="T437" s="211"/>
      <c r="U437" s="211"/>
      <c r="V437" s="211"/>
      <c r="W437" s="211"/>
      <c r="X437" s="211"/>
      <c r="Y437" s="211"/>
      <c r="Z437" s="211"/>
      <c r="AA437" s="211"/>
    </row>
    <row r="438">
      <c r="A438" s="211"/>
      <c r="B438" s="211"/>
      <c r="C438" s="211"/>
      <c r="D438" s="211"/>
      <c r="E438" s="211"/>
      <c r="F438" s="211"/>
      <c r="G438" s="211"/>
      <c r="H438" s="211"/>
      <c r="I438" s="211"/>
      <c r="J438" s="211"/>
      <c r="K438" s="211"/>
      <c r="L438" s="211"/>
      <c r="M438" s="211"/>
      <c r="N438" s="211"/>
      <c r="O438" s="211"/>
      <c r="P438" s="211"/>
      <c r="Q438" s="211"/>
      <c r="R438" s="211"/>
      <c r="S438" s="211"/>
      <c r="T438" s="211"/>
      <c r="U438" s="211"/>
      <c r="V438" s="211"/>
      <c r="W438" s="211"/>
      <c r="X438" s="211"/>
      <c r="Y438" s="211"/>
      <c r="Z438" s="211"/>
      <c r="AA438" s="211"/>
    </row>
    <row r="439">
      <c r="A439" s="211"/>
      <c r="B439" s="211"/>
      <c r="C439" s="211"/>
      <c r="D439" s="211"/>
      <c r="E439" s="211"/>
      <c r="F439" s="211"/>
      <c r="G439" s="211"/>
      <c r="H439" s="211"/>
      <c r="I439" s="211"/>
      <c r="J439" s="211"/>
      <c r="K439" s="211"/>
      <c r="L439" s="211"/>
      <c r="M439" s="211"/>
      <c r="N439" s="211"/>
      <c r="O439" s="211"/>
      <c r="P439" s="211"/>
      <c r="Q439" s="211"/>
      <c r="R439" s="211"/>
      <c r="S439" s="211"/>
      <c r="T439" s="211"/>
      <c r="U439" s="211"/>
      <c r="V439" s="211"/>
      <c r="W439" s="211"/>
      <c r="X439" s="211"/>
      <c r="Y439" s="211"/>
      <c r="Z439" s="211"/>
      <c r="AA439" s="211"/>
    </row>
    <row r="440">
      <c r="A440" s="211"/>
      <c r="B440" s="211"/>
      <c r="C440" s="211"/>
      <c r="D440" s="211"/>
      <c r="E440" s="211"/>
      <c r="F440" s="211"/>
      <c r="G440" s="211"/>
      <c r="H440" s="211"/>
      <c r="I440" s="211"/>
      <c r="J440" s="211"/>
      <c r="K440" s="211"/>
      <c r="L440" s="211"/>
      <c r="M440" s="211"/>
      <c r="N440" s="211"/>
      <c r="O440" s="211"/>
      <c r="P440" s="211"/>
      <c r="Q440" s="211"/>
      <c r="R440" s="211"/>
      <c r="S440" s="211"/>
      <c r="T440" s="211"/>
      <c r="U440" s="211"/>
      <c r="V440" s="211"/>
      <c r="W440" s="211"/>
      <c r="X440" s="211"/>
      <c r="Y440" s="211"/>
      <c r="Z440" s="211"/>
      <c r="AA440" s="211"/>
    </row>
    <row r="441">
      <c r="A441" s="211"/>
      <c r="B441" s="211"/>
      <c r="C441" s="211"/>
      <c r="D441" s="211"/>
      <c r="E441" s="211"/>
      <c r="F441" s="211"/>
      <c r="G441" s="211"/>
      <c r="H441" s="211"/>
      <c r="I441" s="211"/>
      <c r="J441" s="211"/>
      <c r="K441" s="211"/>
      <c r="L441" s="211"/>
      <c r="M441" s="211"/>
      <c r="N441" s="211"/>
      <c r="O441" s="211"/>
      <c r="P441" s="211"/>
      <c r="Q441" s="211"/>
      <c r="R441" s="211"/>
      <c r="S441" s="211"/>
      <c r="T441" s="211"/>
      <c r="U441" s="211"/>
      <c r="V441" s="211"/>
      <c r="W441" s="211"/>
      <c r="X441" s="211"/>
      <c r="Y441" s="211"/>
      <c r="Z441" s="211"/>
      <c r="AA441" s="211"/>
    </row>
    <row r="442">
      <c r="A442" s="211"/>
      <c r="B442" s="211"/>
      <c r="C442" s="211"/>
      <c r="D442" s="211"/>
      <c r="E442" s="211"/>
      <c r="F442" s="211"/>
      <c r="G442" s="211"/>
      <c r="H442" s="211"/>
      <c r="I442" s="211"/>
      <c r="J442" s="211"/>
      <c r="K442" s="211"/>
      <c r="L442" s="211"/>
      <c r="M442" s="211"/>
      <c r="N442" s="211"/>
      <c r="O442" s="211"/>
      <c r="P442" s="211"/>
      <c r="Q442" s="211"/>
      <c r="R442" s="211"/>
      <c r="S442" s="211"/>
      <c r="T442" s="211"/>
      <c r="U442" s="211"/>
      <c r="V442" s="211"/>
      <c r="W442" s="211"/>
      <c r="X442" s="211"/>
      <c r="Y442" s="211"/>
      <c r="Z442" s="211"/>
      <c r="AA442" s="211"/>
    </row>
    <row r="443">
      <c r="A443" s="211"/>
      <c r="B443" s="211"/>
      <c r="C443" s="211"/>
      <c r="D443" s="211"/>
      <c r="E443" s="211"/>
      <c r="F443" s="211"/>
      <c r="G443" s="211"/>
      <c r="H443" s="211"/>
      <c r="I443" s="211"/>
      <c r="J443" s="211"/>
      <c r="K443" s="211"/>
      <c r="L443" s="211"/>
      <c r="M443" s="211"/>
      <c r="N443" s="211"/>
      <c r="O443" s="211"/>
      <c r="P443" s="211"/>
      <c r="Q443" s="211"/>
      <c r="R443" s="211"/>
      <c r="S443" s="211"/>
      <c r="T443" s="211"/>
      <c r="U443" s="211"/>
      <c r="V443" s="211"/>
      <c r="W443" s="211"/>
      <c r="X443" s="211"/>
      <c r="Y443" s="211"/>
      <c r="Z443" s="211"/>
      <c r="AA443" s="211"/>
    </row>
    <row r="444">
      <c r="A444" s="211"/>
      <c r="B444" s="211"/>
      <c r="C444" s="211"/>
      <c r="D444" s="211"/>
      <c r="E444" s="211"/>
      <c r="F444" s="211"/>
      <c r="G444" s="211"/>
      <c r="H444" s="211"/>
      <c r="I444" s="211"/>
      <c r="J444" s="211"/>
      <c r="K444" s="211"/>
      <c r="L444" s="211"/>
      <c r="M444" s="211"/>
      <c r="N444" s="211"/>
      <c r="O444" s="211"/>
      <c r="P444" s="211"/>
      <c r="Q444" s="211"/>
      <c r="R444" s="211"/>
      <c r="S444" s="211"/>
      <c r="T444" s="211"/>
      <c r="U444" s="211"/>
      <c r="V444" s="211"/>
      <c r="W444" s="211"/>
      <c r="X444" s="211"/>
      <c r="Y444" s="211"/>
      <c r="Z444" s="211"/>
      <c r="AA444" s="211"/>
    </row>
    <row r="445">
      <c r="A445" s="211"/>
      <c r="B445" s="211"/>
      <c r="C445" s="211"/>
      <c r="D445" s="211"/>
      <c r="E445" s="211"/>
      <c r="F445" s="211"/>
      <c r="G445" s="211"/>
      <c r="H445" s="211"/>
      <c r="I445" s="211"/>
      <c r="J445" s="211"/>
      <c r="K445" s="211"/>
      <c r="L445" s="211"/>
      <c r="M445" s="211"/>
      <c r="N445" s="211"/>
      <c r="O445" s="211"/>
      <c r="P445" s="211"/>
      <c r="Q445" s="211"/>
      <c r="R445" s="211"/>
      <c r="S445" s="211"/>
      <c r="T445" s="211"/>
      <c r="U445" s="211"/>
      <c r="V445" s="211"/>
      <c r="W445" s="211"/>
      <c r="X445" s="211"/>
      <c r="Y445" s="211"/>
      <c r="Z445" s="211"/>
      <c r="AA445" s="211"/>
    </row>
    <row r="446">
      <c r="A446" s="211"/>
      <c r="B446" s="211"/>
      <c r="C446" s="211"/>
      <c r="D446" s="211"/>
      <c r="E446" s="211"/>
      <c r="F446" s="211"/>
      <c r="G446" s="211"/>
      <c r="H446" s="211"/>
      <c r="I446" s="211"/>
      <c r="J446" s="211"/>
      <c r="K446" s="211"/>
      <c r="L446" s="211"/>
      <c r="M446" s="211"/>
      <c r="N446" s="211"/>
      <c r="O446" s="211"/>
      <c r="P446" s="211"/>
      <c r="Q446" s="211"/>
      <c r="R446" s="211"/>
      <c r="S446" s="211"/>
      <c r="T446" s="211"/>
      <c r="U446" s="211"/>
      <c r="V446" s="211"/>
      <c r="W446" s="211"/>
      <c r="X446" s="211"/>
      <c r="Y446" s="211"/>
      <c r="Z446" s="211"/>
      <c r="AA446" s="211"/>
    </row>
    <row r="447">
      <c r="A447" s="211"/>
      <c r="B447" s="211"/>
      <c r="C447" s="211"/>
      <c r="D447" s="211"/>
      <c r="E447" s="211"/>
      <c r="F447" s="211"/>
      <c r="G447" s="211"/>
      <c r="H447" s="211"/>
      <c r="I447" s="211"/>
      <c r="J447" s="211"/>
      <c r="K447" s="211"/>
      <c r="L447" s="211"/>
      <c r="M447" s="211"/>
      <c r="N447" s="211"/>
      <c r="O447" s="211"/>
      <c r="P447" s="211"/>
      <c r="Q447" s="211"/>
      <c r="R447" s="211"/>
      <c r="S447" s="211"/>
      <c r="T447" s="211"/>
      <c r="U447" s="211"/>
      <c r="V447" s="211"/>
      <c r="W447" s="211"/>
      <c r="X447" s="211"/>
      <c r="Y447" s="211"/>
      <c r="Z447" s="211"/>
      <c r="AA447" s="211"/>
    </row>
    <row r="448">
      <c r="A448" s="211"/>
      <c r="B448" s="211"/>
      <c r="C448" s="211"/>
      <c r="D448" s="211"/>
      <c r="E448" s="211"/>
      <c r="F448" s="211"/>
      <c r="G448" s="211"/>
      <c r="H448" s="211"/>
      <c r="I448" s="211"/>
      <c r="J448" s="211"/>
      <c r="K448" s="211"/>
      <c r="L448" s="211"/>
      <c r="M448" s="211"/>
      <c r="N448" s="211"/>
      <c r="O448" s="211"/>
      <c r="P448" s="211"/>
      <c r="Q448" s="211"/>
      <c r="R448" s="211"/>
      <c r="S448" s="211"/>
      <c r="T448" s="211"/>
      <c r="U448" s="211"/>
      <c r="V448" s="211"/>
      <c r="W448" s="211"/>
      <c r="X448" s="211"/>
      <c r="Y448" s="211"/>
      <c r="Z448" s="211"/>
      <c r="AA448" s="211"/>
    </row>
    <row r="449">
      <c r="A449" s="211"/>
      <c r="B449" s="211"/>
      <c r="C449" s="211"/>
      <c r="D449" s="211"/>
      <c r="E449" s="211"/>
      <c r="F449" s="211"/>
      <c r="G449" s="211"/>
      <c r="H449" s="211"/>
      <c r="I449" s="211"/>
      <c r="J449" s="211"/>
      <c r="K449" s="211"/>
      <c r="L449" s="211"/>
      <c r="M449" s="211"/>
      <c r="N449" s="211"/>
      <c r="O449" s="211"/>
      <c r="P449" s="211"/>
      <c r="Q449" s="211"/>
      <c r="R449" s="211"/>
      <c r="S449" s="211"/>
      <c r="T449" s="211"/>
      <c r="U449" s="211"/>
      <c r="V449" s="211"/>
      <c r="W449" s="211"/>
      <c r="X449" s="211"/>
      <c r="Y449" s="211"/>
      <c r="Z449" s="211"/>
      <c r="AA449" s="211"/>
    </row>
    <row r="450">
      <c r="A450" s="211"/>
      <c r="B450" s="211"/>
      <c r="C450" s="211"/>
      <c r="D450" s="211"/>
      <c r="E450" s="211"/>
      <c r="F450" s="211"/>
      <c r="G450" s="211"/>
      <c r="H450" s="211"/>
      <c r="I450" s="211"/>
      <c r="J450" s="211"/>
      <c r="K450" s="211"/>
      <c r="L450" s="211"/>
      <c r="M450" s="211"/>
      <c r="N450" s="211"/>
      <c r="O450" s="211"/>
      <c r="P450" s="211"/>
      <c r="Q450" s="211"/>
      <c r="R450" s="211"/>
      <c r="S450" s="211"/>
      <c r="T450" s="211"/>
      <c r="U450" s="211"/>
      <c r="V450" s="211"/>
      <c r="W450" s="211"/>
      <c r="X450" s="211"/>
      <c r="Y450" s="211"/>
      <c r="Z450" s="211"/>
      <c r="AA450" s="211"/>
    </row>
    <row r="451">
      <c r="A451" s="211"/>
      <c r="B451" s="211"/>
      <c r="C451" s="211"/>
      <c r="D451" s="211"/>
      <c r="E451" s="211"/>
      <c r="F451" s="211"/>
      <c r="G451" s="211"/>
      <c r="H451" s="211"/>
      <c r="I451" s="211"/>
      <c r="J451" s="211"/>
      <c r="K451" s="211"/>
      <c r="L451" s="211"/>
      <c r="M451" s="211"/>
      <c r="N451" s="211"/>
      <c r="O451" s="211"/>
      <c r="P451" s="211"/>
      <c r="Q451" s="211"/>
      <c r="R451" s="211"/>
      <c r="S451" s="211"/>
      <c r="T451" s="211"/>
      <c r="U451" s="211"/>
      <c r="V451" s="211"/>
      <c r="W451" s="211"/>
      <c r="X451" s="211"/>
      <c r="Y451" s="211"/>
      <c r="Z451" s="211"/>
      <c r="AA451" s="211"/>
    </row>
    <row r="452">
      <c r="A452" s="211"/>
      <c r="B452" s="211"/>
      <c r="C452" s="211"/>
      <c r="D452" s="211"/>
      <c r="E452" s="211"/>
      <c r="F452" s="211"/>
      <c r="G452" s="211"/>
      <c r="H452" s="211"/>
      <c r="I452" s="211"/>
      <c r="J452" s="211"/>
      <c r="K452" s="211"/>
      <c r="L452" s="211"/>
      <c r="M452" s="211"/>
      <c r="N452" s="211"/>
      <c r="O452" s="211"/>
      <c r="P452" s="211"/>
      <c r="Q452" s="211"/>
      <c r="R452" s="211"/>
      <c r="S452" s="211"/>
      <c r="T452" s="211"/>
      <c r="U452" s="211"/>
      <c r="V452" s="211"/>
      <c r="W452" s="211"/>
      <c r="X452" s="211"/>
      <c r="Y452" s="211"/>
      <c r="Z452" s="211"/>
      <c r="AA452" s="211"/>
    </row>
    <row r="453">
      <c r="A453" s="211"/>
      <c r="B453" s="211"/>
      <c r="C453" s="211"/>
      <c r="D453" s="211"/>
      <c r="E453" s="211"/>
      <c r="F453" s="211"/>
      <c r="G453" s="211"/>
      <c r="H453" s="211"/>
      <c r="I453" s="211"/>
      <c r="J453" s="211"/>
      <c r="K453" s="211"/>
      <c r="L453" s="211"/>
      <c r="M453" s="211"/>
      <c r="N453" s="211"/>
      <c r="O453" s="211"/>
      <c r="P453" s="211"/>
      <c r="Q453" s="211"/>
      <c r="R453" s="211"/>
      <c r="S453" s="211"/>
      <c r="T453" s="211"/>
      <c r="U453" s="211"/>
      <c r="V453" s="211"/>
      <c r="W453" s="211"/>
      <c r="X453" s="211"/>
      <c r="Y453" s="211"/>
      <c r="Z453" s="211"/>
      <c r="AA453" s="211"/>
    </row>
    <row r="454">
      <c r="A454" s="211"/>
      <c r="B454" s="211"/>
      <c r="C454" s="211"/>
      <c r="D454" s="211"/>
      <c r="E454" s="211"/>
      <c r="F454" s="211"/>
      <c r="G454" s="211"/>
      <c r="H454" s="211"/>
      <c r="I454" s="211"/>
      <c r="J454" s="211"/>
      <c r="K454" s="211"/>
      <c r="L454" s="211"/>
      <c r="M454" s="211"/>
      <c r="N454" s="211"/>
      <c r="O454" s="211"/>
      <c r="P454" s="211"/>
      <c r="Q454" s="211"/>
      <c r="R454" s="211"/>
      <c r="S454" s="211"/>
      <c r="T454" s="211"/>
      <c r="U454" s="211"/>
      <c r="V454" s="211"/>
      <c r="W454" s="211"/>
      <c r="X454" s="211"/>
      <c r="Y454" s="211"/>
      <c r="Z454" s="211"/>
      <c r="AA454" s="211"/>
    </row>
    <row r="455">
      <c r="A455" s="211"/>
      <c r="B455" s="211"/>
      <c r="C455" s="211"/>
      <c r="D455" s="211"/>
      <c r="E455" s="211"/>
      <c r="F455" s="211"/>
      <c r="G455" s="211"/>
      <c r="H455" s="211"/>
      <c r="I455" s="211"/>
      <c r="J455" s="211"/>
      <c r="K455" s="211"/>
      <c r="L455" s="211"/>
      <c r="M455" s="211"/>
      <c r="N455" s="211"/>
      <c r="O455" s="211"/>
      <c r="P455" s="211"/>
      <c r="Q455" s="211"/>
      <c r="R455" s="211"/>
      <c r="S455" s="211"/>
      <c r="T455" s="211"/>
      <c r="U455" s="211"/>
      <c r="V455" s="211"/>
      <c r="W455" s="211"/>
      <c r="X455" s="211"/>
      <c r="Y455" s="211"/>
      <c r="Z455" s="211"/>
      <c r="AA455" s="211"/>
    </row>
    <row r="456">
      <c r="A456" s="211"/>
      <c r="B456" s="211"/>
      <c r="C456" s="211"/>
      <c r="D456" s="211"/>
      <c r="E456" s="211"/>
      <c r="F456" s="211"/>
      <c r="G456" s="211"/>
      <c r="H456" s="211"/>
      <c r="I456" s="211"/>
      <c r="J456" s="211"/>
      <c r="K456" s="211"/>
      <c r="L456" s="211"/>
      <c r="M456" s="211"/>
      <c r="N456" s="211"/>
      <c r="O456" s="211"/>
      <c r="P456" s="211"/>
      <c r="Q456" s="211"/>
      <c r="R456" s="211"/>
      <c r="S456" s="211"/>
      <c r="T456" s="211"/>
      <c r="U456" s="211"/>
      <c r="V456" s="211"/>
      <c r="W456" s="211"/>
      <c r="X456" s="211"/>
      <c r="Y456" s="211"/>
      <c r="Z456" s="211"/>
      <c r="AA456" s="211"/>
    </row>
    <row r="457">
      <c r="A457" s="211"/>
      <c r="B457" s="211"/>
      <c r="C457" s="211"/>
      <c r="D457" s="211"/>
      <c r="E457" s="211"/>
      <c r="F457" s="211"/>
      <c r="G457" s="211"/>
      <c r="H457" s="211"/>
      <c r="I457" s="211"/>
      <c r="J457" s="211"/>
      <c r="K457" s="211"/>
      <c r="L457" s="211"/>
      <c r="M457" s="211"/>
      <c r="N457" s="211"/>
      <c r="O457" s="211"/>
      <c r="P457" s="211"/>
      <c r="Q457" s="211"/>
      <c r="R457" s="211"/>
      <c r="S457" s="211"/>
      <c r="T457" s="211"/>
      <c r="U457" s="211"/>
      <c r="V457" s="211"/>
      <c r="W457" s="211"/>
      <c r="X457" s="211"/>
      <c r="Y457" s="211"/>
      <c r="Z457" s="211"/>
      <c r="AA457" s="211"/>
    </row>
    <row r="458">
      <c r="A458" s="211"/>
      <c r="B458" s="211"/>
      <c r="C458" s="211"/>
      <c r="D458" s="211"/>
      <c r="E458" s="211"/>
      <c r="F458" s="211"/>
      <c r="G458" s="211"/>
      <c r="H458" s="211"/>
      <c r="I458" s="211"/>
      <c r="J458" s="211"/>
      <c r="K458" s="211"/>
      <c r="L458" s="211"/>
      <c r="M458" s="211"/>
      <c r="N458" s="211"/>
      <c r="O458" s="211"/>
      <c r="P458" s="211"/>
      <c r="Q458" s="211"/>
      <c r="R458" s="211"/>
      <c r="S458" s="211"/>
      <c r="T458" s="211"/>
      <c r="U458" s="211"/>
      <c r="V458" s="211"/>
      <c r="W458" s="211"/>
      <c r="X458" s="211"/>
      <c r="Y458" s="211"/>
      <c r="Z458" s="211"/>
      <c r="AA458" s="211"/>
    </row>
    <row r="459">
      <c r="A459" s="211"/>
      <c r="B459" s="211"/>
      <c r="C459" s="211"/>
      <c r="D459" s="211"/>
      <c r="E459" s="211"/>
      <c r="F459" s="211"/>
      <c r="G459" s="211"/>
      <c r="H459" s="211"/>
      <c r="I459" s="211"/>
      <c r="J459" s="211"/>
      <c r="K459" s="211"/>
      <c r="L459" s="211"/>
      <c r="M459" s="211"/>
      <c r="N459" s="211"/>
      <c r="O459" s="211"/>
      <c r="P459" s="211"/>
      <c r="Q459" s="211"/>
      <c r="R459" s="211"/>
      <c r="S459" s="211"/>
      <c r="T459" s="211"/>
      <c r="U459" s="211"/>
      <c r="V459" s="211"/>
      <c r="W459" s="211"/>
      <c r="X459" s="211"/>
      <c r="Y459" s="211"/>
      <c r="Z459" s="211"/>
      <c r="AA459" s="211"/>
    </row>
    <row r="460">
      <c r="A460" s="211"/>
      <c r="B460" s="211"/>
      <c r="C460" s="211"/>
      <c r="D460" s="211"/>
      <c r="E460" s="211"/>
      <c r="F460" s="211"/>
      <c r="G460" s="211"/>
      <c r="H460" s="211"/>
      <c r="I460" s="211"/>
      <c r="J460" s="211"/>
      <c r="K460" s="211"/>
      <c r="L460" s="211"/>
      <c r="M460" s="211"/>
      <c r="N460" s="211"/>
      <c r="O460" s="211"/>
      <c r="P460" s="211"/>
      <c r="Q460" s="211"/>
      <c r="R460" s="211"/>
      <c r="S460" s="211"/>
      <c r="T460" s="211"/>
      <c r="U460" s="211"/>
      <c r="V460" s="211"/>
      <c r="W460" s="211"/>
      <c r="X460" s="211"/>
      <c r="Y460" s="211"/>
      <c r="Z460" s="211"/>
      <c r="AA460" s="211"/>
    </row>
    <row r="461">
      <c r="A461" s="211"/>
      <c r="B461" s="211"/>
      <c r="C461" s="211"/>
      <c r="D461" s="211"/>
      <c r="E461" s="211"/>
      <c r="F461" s="211"/>
      <c r="G461" s="211"/>
      <c r="H461" s="211"/>
      <c r="I461" s="211"/>
      <c r="J461" s="211"/>
      <c r="K461" s="211"/>
      <c r="L461" s="211"/>
      <c r="M461" s="211"/>
      <c r="N461" s="211"/>
      <c r="O461" s="211"/>
      <c r="P461" s="211"/>
      <c r="Q461" s="211"/>
      <c r="R461" s="211"/>
      <c r="S461" s="211"/>
      <c r="T461" s="211"/>
      <c r="U461" s="211"/>
      <c r="V461" s="211"/>
      <c r="W461" s="211"/>
      <c r="X461" s="211"/>
      <c r="Y461" s="211"/>
      <c r="Z461" s="211"/>
      <c r="AA461" s="211"/>
    </row>
    <row r="462">
      <c r="A462" s="211"/>
      <c r="B462" s="211"/>
      <c r="C462" s="211"/>
      <c r="D462" s="211"/>
      <c r="E462" s="211"/>
      <c r="F462" s="211"/>
      <c r="G462" s="211"/>
      <c r="H462" s="211"/>
      <c r="I462" s="211"/>
      <c r="J462" s="211"/>
      <c r="K462" s="211"/>
      <c r="L462" s="211"/>
      <c r="M462" s="211"/>
      <c r="N462" s="211"/>
      <c r="O462" s="211"/>
      <c r="P462" s="211"/>
      <c r="Q462" s="211"/>
      <c r="R462" s="211"/>
      <c r="S462" s="211"/>
      <c r="T462" s="211"/>
      <c r="U462" s="211"/>
      <c r="V462" s="211"/>
      <c r="W462" s="211"/>
      <c r="X462" s="211"/>
      <c r="Y462" s="211"/>
      <c r="Z462" s="211"/>
      <c r="AA462" s="211"/>
    </row>
    <row r="463">
      <c r="A463" s="211"/>
      <c r="B463" s="211"/>
      <c r="C463" s="211"/>
      <c r="D463" s="211"/>
      <c r="E463" s="211"/>
      <c r="F463" s="211"/>
      <c r="G463" s="211"/>
      <c r="H463" s="211"/>
      <c r="I463" s="211"/>
      <c r="J463" s="211"/>
      <c r="K463" s="211"/>
      <c r="L463" s="211"/>
      <c r="M463" s="211"/>
      <c r="N463" s="211"/>
      <c r="O463" s="211"/>
      <c r="P463" s="211"/>
      <c r="Q463" s="211"/>
      <c r="R463" s="211"/>
      <c r="S463" s="211"/>
      <c r="T463" s="211"/>
      <c r="U463" s="211"/>
      <c r="V463" s="211"/>
      <c r="W463" s="211"/>
      <c r="X463" s="211"/>
      <c r="Y463" s="211"/>
      <c r="Z463" s="211"/>
      <c r="AA463" s="211"/>
    </row>
    <row r="464">
      <c r="A464" s="211"/>
      <c r="B464" s="211"/>
      <c r="C464" s="211"/>
      <c r="D464" s="211"/>
      <c r="E464" s="211"/>
      <c r="F464" s="211"/>
      <c r="G464" s="211"/>
      <c r="H464" s="211"/>
      <c r="I464" s="211"/>
      <c r="J464" s="211"/>
      <c r="K464" s="211"/>
      <c r="L464" s="211"/>
      <c r="M464" s="211"/>
      <c r="N464" s="211"/>
      <c r="O464" s="211"/>
      <c r="P464" s="211"/>
      <c r="Q464" s="211"/>
      <c r="R464" s="211"/>
      <c r="S464" s="211"/>
      <c r="T464" s="211"/>
      <c r="U464" s="211"/>
      <c r="V464" s="211"/>
      <c r="W464" s="211"/>
      <c r="X464" s="211"/>
      <c r="Y464" s="211"/>
      <c r="Z464" s="211"/>
      <c r="AA464" s="211"/>
    </row>
    <row r="465">
      <c r="A465" s="211"/>
      <c r="B465" s="211"/>
      <c r="C465" s="211"/>
      <c r="D465" s="211"/>
      <c r="E465" s="211"/>
      <c r="F465" s="211"/>
      <c r="G465" s="211"/>
      <c r="H465" s="211"/>
      <c r="I465" s="211"/>
      <c r="J465" s="211"/>
      <c r="K465" s="211"/>
      <c r="L465" s="211"/>
      <c r="M465" s="211"/>
      <c r="N465" s="211"/>
      <c r="O465" s="211"/>
      <c r="P465" s="211"/>
      <c r="Q465" s="211"/>
      <c r="R465" s="211"/>
      <c r="S465" s="211"/>
      <c r="T465" s="211"/>
      <c r="U465" s="211"/>
      <c r="V465" s="211"/>
      <c r="W465" s="211"/>
      <c r="X465" s="211"/>
      <c r="Y465" s="211"/>
      <c r="Z465" s="211"/>
      <c r="AA465" s="211"/>
    </row>
    <row r="466">
      <c r="A466" s="211"/>
      <c r="B466" s="211"/>
      <c r="C466" s="211"/>
      <c r="D466" s="211"/>
      <c r="E466" s="211"/>
      <c r="F466" s="211"/>
      <c r="G466" s="211"/>
      <c r="H466" s="211"/>
      <c r="I466" s="211"/>
      <c r="J466" s="211"/>
      <c r="K466" s="211"/>
      <c r="L466" s="211"/>
      <c r="M466" s="211"/>
      <c r="N466" s="211"/>
      <c r="O466" s="211"/>
      <c r="P466" s="211"/>
      <c r="Q466" s="211"/>
      <c r="R466" s="211"/>
      <c r="S466" s="211"/>
      <c r="T466" s="211"/>
      <c r="U466" s="211"/>
      <c r="V466" s="211"/>
      <c r="W466" s="211"/>
      <c r="X466" s="211"/>
      <c r="Y466" s="211"/>
      <c r="Z466" s="211"/>
      <c r="AA466" s="211"/>
    </row>
    <row r="467">
      <c r="A467" s="211"/>
      <c r="B467" s="211"/>
      <c r="C467" s="211"/>
      <c r="D467" s="211"/>
      <c r="E467" s="211"/>
      <c r="F467" s="211"/>
      <c r="G467" s="211"/>
      <c r="H467" s="211"/>
      <c r="I467" s="211"/>
      <c r="J467" s="211"/>
      <c r="K467" s="211"/>
      <c r="L467" s="211"/>
      <c r="M467" s="211"/>
      <c r="N467" s="211"/>
      <c r="O467" s="211"/>
      <c r="P467" s="211"/>
      <c r="Q467" s="211"/>
      <c r="R467" s="211"/>
      <c r="S467" s="211"/>
      <c r="T467" s="211"/>
      <c r="U467" s="211"/>
      <c r="V467" s="211"/>
      <c r="W467" s="211"/>
      <c r="X467" s="211"/>
      <c r="Y467" s="211"/>
      <c r="Z467" s="211"/>
      <c r="AA467" s="211"/>
    </row>
    <row r="468">
      <c r="A468" s="211"/>
      <c r="B468" s="211"/>
      <c r="C468" s="211"/>
      <c r="D468" s="211"/>
      <c r="E468" s="211"/>
      <c r="F468" s="211"/>
      <c r="G468" s="211"/>
      <c r="H468" s="211"/>
      <c r="I468" s="211"/>
      <c r="J468" s="211"/>
      <c r="K468" s="211"/>
      <c r="L468" s="211"/>
      <c r="M468" s="211"/>
      <c r="N468" s="211"/>
      <c r="O468" s="211"/>
      <c r="P468" s="211"/>
      <c r="Q468" s="211"/>
      <c r="R468" s="211"/>
      <c r="S468" s="211"/>
      <c r="T468" s="211"/>
      <c r="U468" s="211"/>
      <c r="V468" s="211"/>
      <c r="W468" s="211"/>
      <c r="X468" s="211"/>
      <c r="Y468" s="211"/>
      <c r="Z468" s="211"/>
      <c r="AA468" s="211"/>
    </row>
    <row r="469">
      <c r="A469" s="211"/>
      <c r="B469" s="211"/>
      <c r="C469" s="211"/>
      <c r="D469" s="211"/>
      <c r="E469" s="211"/>
      <c r="F469" s="211"/>
      <c r="G469" s="211"/>
      <c r="H469" s="211"/>
      <c r="I469" s="211"/>
      <c r="J469" s="211"/>
      <c r="K469" s="211"/>
      <c r="L469" s="211"/>
      <c r="M469" s="211"/>
      <c r="N469" s="211"/>
      <c r="O469" s="211"/>
      <c r="P469" s="211"/>
      <c r="Q469" s="211"/>
      <c r="R469" s="211"/>
      <c r="S469" s="211"/>
      <c r="T469" s="211"/>
      <c r="U469" s="211"/>
      <c r="V469" s="211"/>
      <c r="W469" s="211"/>
      <c r="X469" s="211"/>
      <c r="Y469" s="211"/>
      <c r="Z469" s="211"/>
      <c r="AA469" s="211"/>
    </row>
    <row r="470">
      <c r="A470" s="211"/>
      <c r="B470" s="211"/>
      <c r="C470" s="211"/>
      <c r="D470" s="211"/>
      <c r="E470" s="211"/>
      <c r="F470" s="211"/>
      <c r="G470" s="211"/>
      <c r="H470" s="211"/>
      <c r="I470" s="211"/>
      <c r="J470" s="211"/>
      <c r="K470" s="211"/>
      <c r="L470" s="211"/>
      <c r="M470" s="211"/>
      <c r="N470" s="211"/>
      <c r="O470" s="211"/>
      <c r="P470" s="211"/>
      <c r="Q470" s="211"/>
      <c r="R470" s="211"/>
      <c r="S470" s="211"/>
      <c r="T470" s="211"/>
      <c r="U470" s="211"/>
      <c r="V470" s="211"/>
      <c r="W470" s="211"/>
      <c r="X470" s="211"/>
      <c r="Y470" s="211"/>
      <c r="Z470" s="211"/>
      <c r="AA470" s="211"/>
    </row>
    <row r="471">
      <c r="A471" s="211"/>
      <c r="B471" s="211"/>
      <c r="C471" s="211"/>
      <c r="D471" s="211"/>
      <c r="E471" s="211"/>
      <c r="F471" s="211"/>
      <c r="G471" s="211"/>
      <c r="H471" s="211"/>
      <c r="I471" s="211"/>
      <c r="J471" s="211"/>
      <c r="K471" s="211"/>
      <c r="L471" s="211"/>
      <c r="M471" s="211"/>
      <c r="N471" s="211"/>
      <c r="O471" s="211"/>
      <c r="P471" s="211"/>
      <c r="Q471" s="211"/>
      <c r="R471" s="211"/>
      <c r="S471" s="211"/>
      <c r="T471" s="211"/>
      <c r="U471" s="211"/>
      <c r="V471" s="211"/>
      <c r="W471" s="211"/>
      <c r="X471" s="211"/>
      <c r="Y471" s="211"/>
      <c r="Z471" s="211"/>
      <c r="AA471" s="211"/>
    </row>
    <row r="472">
      <c r="A472" s="211"/>
      <c r="B472" s="211"/>
      <c r="C472" s="211"/>
      <c r="D472" s="211"/>
      <c r="E472" s="211"/>
      <c r="F472" s="211"/>
      <c r="G472" s="211"/>
      <c r="H472" s="211"/>
      <c r="I472" s="211"/>
      <c r="J472" s="211"/>
      <c r="K472" s="211"/>
      <c r="L472" s="211"/>
      <c r="M472" s="211"/>
      <c r="N472" s="211"/>
      <c r="O472" s="211"/>
      <c r="P472" s="211"/>
      <c r="Q472" s="211"/>
      <c r="R472" s="211"/>
      <c r="S472" s="211"/>
      <c r="T472" s="211"/>
      <c r="U472" s="211"/>
      <c r="V472" s="211"/>
      <c r="W472" s="211"/>
      <c r="X472" s="211"/>
      <c r="Y472" s="211"/>
      <c r="Z472" s="211"/>
      <c r="AA472" s="211"/>
    </row>
    <row r="473">
      <c r="A473" s="211"/>
      <c r="B473" s="211"/>
      <c r="C473" s="211"/>
      <c r="D473" s="211"/>
      <c r="E473" s="211"/>
      <c r="F473" s="211"/>
      <c r="G473" s="211"/>
      <c r="H473" s="211"/>
      <c r="I473" s="211"/>
      <c r="J473" s="211"/>
      <c r="K473" s="211"/>
      <c r="L473" s="211"/>
      <c r="M473" s="211"/>
      <c r="N473" s="211"/>
      <c r="O473" s="211"/>
      <c r="P473" s="211"/>
      <c r="Q473" s="211"/>
      <c r="R473" s="211"/>
      <c r="S473" s="211"/>
      <c r="T473" s="211"/>
      <c r="U473" s="211"/>
      <c r="V473" s="211"/>
      <c r="W473" s="211"/>
      <c r="X473" s="211"/>
      <c r="Y473" s="211"/>
      <c r="Z473" s="211"/>
      <c r="AA473" s="211"/>
    </row>
    <row r="474">
      <c r="A474" s="211"/>
      <c r="B474" s="211"/>
      <c r="C474" s="211"/>
      <c r="D474" s="211"/>
      <c r="E474" s="211"/>
      <c r="F474" s="211"/>
      <c r="G474" s="211"/>
      <c r="H474" s="211"/>
      <c r="I474" s="211"/>
      <c r="J474" s="211"/>
      <c r="K474" s="211"/>
      <c r="L474" s="211"/>
      <c r="M474" s="211"/>
      <c r="N474" s="211"/>
      <c r="O474" s="211"/>
      <c r="P474" s="211"/>
      <c r="Q474" s="211"/>
      <c r="R474" s="211"/>
      <c r="S474" s="211"/>
      <c r="T474" s="211"/>
      <c r="U474" s="211"/>
      <c r="V474" s="211"/>
      <c r="W474" s="211"/>
      <c r="X474" s="211"/>
      <c r="Y474" s="211"/>
      <c r="Z474" s="211"/>
      <c r="AA474" s="211"/>
    </row>
    <row r="475">
      <c r="A475" s="211"/>
      <c r="B475" s="211"/>
      <c r="C475" s="211"/>
      <c r="D475" s="211"/>
      <c r="E475" s="211"/>
      <c r="F475" s="211"/>
      <c r="G475" s="211"/>
      <c r="H475" s="211"/>
      <c r="I475" s="211"/>
      <c r="J475" s="211"/>
      <c r="K475" s="211"/>
      <c r="L475" s="211"/>
      <c r="M475" s="211"/>
      <c r="N475" s="211"/>
      <c r="O475" s="211"/>
      <c r="P475" s="211"/>
      <c r="Q475" s="211"/>
      <c r="R475" s="211"/>
      <c r="S475" s="211"/>
      <c r="T475" s="211"/>
      <c r="U475" s="211"/>
      <c r="V475" s="211"/>
      <c r="W475" s="211"/>
      <c r="X475" s="211"/>
      <c r="Y475" s="211"/>
      <c r="Z475" s="211"/>
      <c r="AA475" s="211"/>
    </row>
    <row r="476">
      <c r="A476" s="211"/>
      <c r="B476" s="211"/>
      <c r="C476" s="211"/>
      <c r="D476" s="211"/>
      <c r="E476" s="211"/>
      <c r="F476" s="211"/>
      <c r="G476" s="211"/>
      <c r="H476" s="211"/>
      <c r="I476" s="211"/>
      <c r="J476" s="211"/>
      <c r="K476" s="211"/>
      <c r="L476" s="211"/>
      <c r="M476" s="211"/>
      <c r="N476" s="211"/>
      <c r="O476" s="211"/>
      <c r="P476" s="211"/>
      <c r="Q476" s="211"/>
      <c r="R476" s="211"/>
      <c r="S476" s="211"/>
      <c r="T476" s="211"/>
      <c r="U476" s="211"/>
      <c r="V476" s="211"/>
      <c r="W476" s="211"/>
      <c r="X476" s="211"/>
      <c r="Y476" s="211"/>
      <c r="Z476" s="211"/>
      <c r="AA476" s="211"/>
    </row>
    <row r="477">
      <c r="A477" s="211"/>
      <c r="B477" s="211"/>
      <c r="C477" s="211"/>
      <c r="D477" s="211"/>
      <c r="E477" s="211"/>
      <c r="F477" s="211"/>
      <c r="G477" s="211"/>
      <c r="H477" s="211"/>
      <c r="I477" s="211"/>
      <c r="J477" s="211"/>
      <c r="K477" s="211"/>
      <c r="L477" s="211"/>
      <c r="M477" s="211"/>
      <c r="N477" s="211"/>
      <c r="O477" s="211"/>
      <c r="P477" s="211"/>
      <c r="Q477" s="211"/>
      <c r="R477" s="211"/>
      <c r="S477" s="211"/>
      <c r="T477" s="211"/>
      <c r="U477" s="211"/>
      <c r="V477" s="211"/>
      <c r="W477" s="211"/>
      <c r="X477" s="211"/>
      <c r="Y477" s="211"/>
      <c r="Z477" s="211"/>
      <c r="AA477" s="211"/>
    </row>
    <row r="478">
      <c r="A478" s="211"/>
      <c r="B478" s="211"/>
      <c r="C478" s="211"/>
      <c r="D478" s="211"/>
      <c r="E478" s="211"/>
      <c r="F478" s="211"/>
      <c r="G478" s="211"/>
      <c r="H478" s="211"/>
      <c r="I478" s="211"/>
      <c r="J478" s="211"/>
      <c r="K478" s="211"/>
      <c r="L478" s="211"/>
      <c r="M478" s="211"/>
      <c r="N478" s="211"/>
      <c r="O478" s="211"/>
      <c r="P478" s="211"/>
      <c r="Q478" s="211"/>
      <c r="R478" s="211"/>
      <c r="S478" s="211"/>
      <c r="T478" s="211"/>
      <c r="U478" s="211"/>
      <c r="V478" s="211"/>
      <c r="W478" s="211"/>
      <c r="X478" s="211"/>
      <c r="Y478" s="211"/>
      <c r="Z478" s="211"/>
      <c r="AA478" s="211"/>
    </row>
    <row r="479">
      <c r="A479" s="211"/>
      <c r="B479" s="211"/>
      <c r="C479" s="211"/>
      <c r="D479" s="211"/>
      <c r="E479" s="211"/>
      <c r="F479" s="211"/>
      <c r="G479" s="211"/>
      <c r="H479" s="211"/>
      <c r="I479" s="211"/>
      <c r="J479" s="211"/>
      <c r="K479" s="211"/>
      <c r="L479" s="211"/>
      <c r="M479" s="211"/>
      <c r="N479" s="211"/>
      <c r="O479" s="211"/>
      <c r="P479" s="211"/>
      <c r="Q479" s="211"/>
      <c r="R479" s="211"/>
      <c r="S479" s="211"/>
      <c r="T479" s="211"/>
      <c r="U479" s="211"/>
      <c r="V479" s="211"/>
      <c r="W479" s="211"/>
      <c r="X479" s="211"/>
      <c r="Y479" s="211"/>
      <c r="Z479" s="211"/>
      <c r="AA479" s="211"/>
    </row>
    <row r="480">
      <c r="A480" s="211"/>
      <c r="B480" s="211"/>
      <c r="C480" s="211"/>
      <c r="D480" s="211"/>
      <c r="E480" s="211"/>
      <c r="F480" s="211"/>
      <c r="G480" s="211"/>
      <c r="H480" s="211"/>
      <c r="I480" s="211"/>
      <c r="J480" s="211"/>
      <c r="K480" s="211"/>
      <c r="L480" s="211"/>
      <c r="M480" s="211"/>
      <c r="N480" s="211"/>
      <c r="O480" s="211"/>
      <c r="P480" s="211"/>
      <c r="Q480" s="211"/>
      <c r="R480" s="211"/>
      <c r="S480" s="211"/>
      <c r="T480" s="211"/>
      <c r="U480" s="211"/>
      <c r="V480" s="211"/>
      <c r="W480" s="211"/>
      <c r="X480" s="211"/>
      <c r="Y480" s="211"/>
      <c r="Z480" s="211"/>
      <c r="AA480" s="211"/>
    </row>
    <row r="481">
      <c r="A481" s="211"/>
      <c r="B481" s="211"/>
      <c r="C481" s="211"/>
      <c r="D481" s="211"/>
      <c r="E481" s="211"/>
      <c r="F481" s="211"/>
      <c r="G481" s="211"/>
      <c r="H481" s="211"/>
      <c r="I481" s="211"/>
      <c r="J481" s="211"/>
      <c r="K481" s="211"/>
      <c r="L481" s="211"/>
      <c r="M481" s="211"/>
      <c r="N481" s="211"/>
      <c r="O481" s="211"/>
      <c r="P481" s="211"/>
      <c r="Q481" s="211"/>
      <c r="R481" s="211"/>
      <c r="S481" s="211"/>
      <c r="T481" s="211"/>
      <c r="U481" s="211"/>
      <c r="V481" s="211"/>
      <c r="W481" s="211"/>
      <c r="X481" s="211"/>
      <c r="Y481" s="211"/>
      <c r="Z481" s="211"/>
      <c r="AA481" s="211"/>
    </row>
    <row r="482">
      <c r="A482" s="211"/>
      <c r="B482" s="211"/>
      <c r="C482" s="211"/>
      <c r="D482" s="211"/>
      <c r="E482" s="211"/>
      <c r="F482" s="211"/>
      <c r="G482" s="211"/>
      <c r="H482" s="211"/>
      <c r="I482" s="211"/>
      <c r="J482" s="211"/>
      <c r="K482" s="211"/>
      <c r="L482" s="211"/>
      <c r="M482" s="211"/>
      <c r="N482" s="211"/>
      <c r="O482" s="211"/>
      <c r="P482" s="211"/>
      <c r="Q482" s="211"/>
      <c r="R482" s="211"/>
      <c r="S482" s="211"/>
      <c r="T482" s="211"/>
      <c r="U482" s="211"/>
      <c r="V482" s="211"/>
      <c r="W482" s="211"/>
      <c r="X482" s="211"/>
      <c r="Y482" s="211"/>
      <c r="Z482" s="211"/>
      <c r="AA482" s="211"/>
    </row>
    <row r="483">
      <c r="A483" s="211"/>
      <c r="B483" s="211"/>
      <c r="C483" s="211"/>
      <c r="D483" s="211"/>
      <c r="E483" s="211"/>
      <c r="F483" s="211"/>
      <c r="G483" s="211"/>
      <c r="H483" s="211"/>
      <c r="I483" s="211"/>
      <c r="J483" s="211"/>
      <c r="K483" s="211"/>
      <c r="L483" s="211"/>
      <c r="M483" s="211"/>
      <c r="N483" s="211"/>
      <c r="O483" s="211"/>
      <c r="P483" s="211"/>
      <c r="Q483" s="211"/>
      <c r="R483" s="211"/>
      <c r="S483" s="211"/>
      <c r="T483" s="211"/>
      <c r="U483" s="211"/>
      <c r="V483" s="211"/>
      <c r="W483" s="211"/>
      <c r="X483" s="211"/>
      <c r="Y483" s="211"/>
      <c r="Z483" s="211"/>
      <c r="AA483" s="211"/>
    </row>
    <row r="484">
      <c r="A484" s="211"/>
      <c r="B484" s="211"/>
      <c r="C484" s="211"/>
      <c r="D484" s="211"/>
      <c r="E484" s="211"/>
      <c r="F484" s="211"/>
      <c r="G484" s="211"/>
      <c r="H484" s="211"/>
      <c r="I484" s="211"/>
      <c r="J484" s="211"/>
      <c r="K484" s="211"/>
      <c r="L484" s="211"/>
      <c r="M484" s="211"/>
      <c r="N484" s="211"/>
      <c r="O484" s="211"/>
      <c r="P484" s="211"/>
      <c r="Q484" s="211"/>
      <c r="R484" s="211"/>
      <c r="S484" s="211"/>
      <c r="T484" s="211"/>
      <c r="U484" s="211"/>
      <c r="V484" s="211"/>
      <c r="W484" s="211"/>
      <c r="X484" s="211"/>
      <c r="Y484" s="211"/>
      <c r="Z484" s="211"/>
      <c r="AA484" s="211"/>
    </row>
    <row r="485">
      <c r="A485" s="211"/>
      <c r="B485" s="211"/>
      <c r="C485" s="211"/>
      <c r="D485" s="211"/>
      <c r="E485" s="211"/>
      <c r="F485" s="211"/>
      <c r="G485" s="211"/>
      <c r="H485" s="211"/>
      <c r="I485" s="211"/>
      <c r="J485" s="211"/>
      <c r="K485" s="211"/>
      <c r="L485" s="211"/>
      <c r="M485" s="211"/>
      <c r="N485" s="211"/>
      <c r="O485" s="211"/>
      <c r="P485" s="211"/>
      <c r="Q485" s="211"/>
      <c r="R485" s="211"/>
      <c r="S485" s="211"/>
      <c r="T485" s="211"/>
      <c r="U485" s="211"/>
      <c r="V485" s="211"/>
      <c r="W485" s="211"/>
      <c r="X485" s="211"/>
      <c r="Y485" s="211"/>
      <c r="Z485" s="211"/>
      <c r="AA485" s="211"/>
    </row>
    <row r="486">
      <c r="A486" s="211"/>
      <c r="B486" s="211"/>
      <c r="C486" s="211"/>
      <c r="D486" s="211"/>
      <c r="E486" s="211"/>
      <c r="F486" s="211"/>
      <c r="G486" s="211"/>
      <c r="H486" s="211"/>
      <c r="I486" s="211"/>
      <c r="J486" s="211"/>
      <c r="K486" s="211"/>
      <c r="L486" s="211"/>
      <c r="M486" s="211"/>
      <c r="N486" s="211"/>
      <c r="O486" s="211"/>
      <c r="P486" s="211"/>
      <c r="Q486" s="211"/>
      <c r="R486" s="211"/>
      <c r="S486" s="211"/>
      <c r="T486" s="211"/>
      <c r="U486" s="211"/>
      <c r="V486" s="211"/>
      <c r="W486" s="211"/>
      <c r="X486" s="211"/>
      <c r="Y486" s="211"/>
      <c r="Z486" s="211"/>
      <c r="AA486" s="211"/>
    </row>
    <row r="487">
      <c r="A487" s="211"/>
      <c r="B487" s="211"/>
      <c r="C487" s="211"/>
      <c r="D487" s="211"/>
      <c r="E487" s="211"/>
      <c r="F487" s="211"/>
      <c r="G487" s="211"/>
      <c r="H487" s="211"/>
      <c r="I487" s="211"/>
      <c r="J487" s="211"/>
      <c r="K487" s="211"/>
      <c r="L487" s="211"/>
      <c r="M487" s="211"/>
      <c r="N487" s="211"/>
      <c r="O487" s="211"/>
      <c r="P487" s="211"/>
      <c r="Q487" s="211"/>
      <c r="R487" s="211"/>
      <c r="S487" s="211"/>
      <c r="T487" s="211"/>
      <c r="U487" s="211"/>
      <c r="V487" s="211"/>
      <c r="W487" s="211"/>
      <c r="X487" s="211"/>
      <c r="Y487" s="211"/>
      <c r="Z487" s="211"/>
      <c r="AA487" s="211"/>
    </row>
    <row r="488">
      <c r="A488" s="211"/>
      <c r="B488" s="211"/>
      <c r="C488" s="211"/>
      <c r="D488" s="211"/>
      <c r="E488" s="211"/>
      <c r="F488" s="211"/>
      <c r="G488" s="211"/>
      <c r="H488" s="211"/>
      <c r="I488" s="211"/>
      <c r="J488" s="211"/>
      <c r="K488" s="211"/>
      <c r="L488" s="211"/>
      <c r="M488" s="211"/>
      <c r="N488" s="211"/>
      <c r="O488" s="211"/>
      <c r="P488" s="211"/>
      <c r="Q488" s="211"/>
      <c r="R488" s="211"/>
      <c r="S488" s="211"/>
      <c r="T488" s="211"/>
      <c r="U488" s="211"/>
      <c r="V488" s="211"/>
      <c r="W488" s="211"/>
      <c r="X488" s="211"/>
      <c r="Y488" s="211"/>
      <c r="Z488" s="211"/>
      <c r="AA488" s="211"/>
    </row>
    <row r="489">
      <c r="A489" s="211"/>
      <c r="B489" s="211"/>
      <c r="C489" s="211"/>
      <c r="D489" s="211"/>
      <c r="E489" s="211"/>
      <c r="F489" s="211"/>
      <c r="G489" s="211"/>
      <c r="H489" s="211"/>
      <c r="I489" s="211"/>
      <c r="J489" s="211"/>
      <c r="K489" s="211"/>
      <c r="L489" s="211"/>
      <c r="M489" s="211"/>
      <c r="N489" s="211"/>
      <c r="O489" s="211"/>
      <c r="P489" s="211"/>
      <c r="Q489" s="211"/>
      <c r="R489" s="211"/>
      <c r="S489" s="211"/>
      <c r="T489" s="211"/>
      <c r="U489" s="211"/>
      <c r="V489" s="211"/>
      <c r="W489" s="211"/>
      <c r="X489" s="211"/>
      <c r="Y489" s="211"/>
      <c r="Z489" s="211"/>
      <c r="AA489" s="211"/>
    </row>
    <row r="490">
      <c r="A490" s="211"/>
      <c r="B490" s="211"/>
      <c r="C490" s="211"/>
      <c r="D490" s="211"/>
      <c r="E490" s="211"/>
      <c r="F490" s="211"/>
      <c r="G490" s="211"/>
      <c r="H490" s="211"/>
      <c r="I490" s="211"/>
      <c r="J490" s="211"/>
      <c r="K490" s="211"/>
      <c r="L490" s="211"/>
      <c r="M490" s="211"/>
      <c r="N490" s="211"/>
      <c r="O490" s="211"/>
      <c r="P490" s="211"/>
      <c r="Q490" s="211"/>
      <c r="R490" s="211"/>
      <c r="S490" s="211"/>
      <c r="T490" s="211"/>
      <c r="U490" s="211"/>
      <c r="V490" s="211"/>
      <c r="W490" s="211"/>
      <c r="X490" s="211"/>
      <c r="Y490" s="211"/>
      <c r="Z490" s="211"/>
      <c r="AA490" s="211"/>
    </row>
    <row r="491">
      <c r="A491" s="211"/>
      <c r="B491" s="211"/>
      <c r="C491" s="211"/>
      <c r="D491" s="211"/>
      <c r="E491" s="211"/>
      <c r="F491" s="211"/>
      <c r="G491" s="211"/>
      <c r="H491" s="211"/>
      <c r="I491" s="211"/>
      <c r="J491" s="211"/>
      <c r="K491" s="211"/>
      <c r="L491" s="211"/>
      <c r="M491" s="211"/>
      <c r="N491" s="211"/>
      <c r="O491" s="211"/>
      <c r="P491" s="211"/>
      <c r="Q491" s="211"/>
      <c r="R491" s="211"/>
      <c r="S491" s="211"/>
      <c r="T491" s="211"/>
      <c r="U491" s="211"/>
      <c r="V491" s="211"/>
      <c r="W491" s="211"/>
      <c r="X491" s="211"/>
      <c r="Y491" s="211"/>
      <c r="Z491" s="211"/>
      <c r="AA491" s="211"/>
    </row>
    <row r="492">
      <c r="A492" s="211"/>
      <c r="B492" s="211"/>
      <c r="C492" s="211"/>
      <c r="D492" s="211"/>
      <c r="E492" s="211"/>
      <c r="F492" s="211"/>
      <c r="G492" s="211"/>
      <c r="H492" s="211"/>
      <c r="I492" s="211"/>
      <c r="J492" s="211"/>
      <c r="K492" s="211"/>
      <c r="L492" s="211"/>
      <c r="M492" s="211"/>
      <c r="N492" s="211"/>
      <c r="O492" s="211"/>
      <c r="P492" s="211"/>
      <c r="Q492" s="211"/>
      <c r="R492" s="211"/>
      <c r="S492" s="211"/>
      <c r="T492" s="211"/>
      <c r="U492" s="211"/>
      <c r="V492" s="211"/>
      <c r="W492" s="211"/>
      <c r="X492" s="211"/>
      <c r="Y492" s="211"/>
      <c r="Z492" s="211"/>
      <c r="AA492" s="211"/>
    </row>
    <row r="493">
      <c r="A493" s="211"/>
      <c r="B493" s="211"/>
      <c r="C493" s="211"/>
      <c r="D493" s="211"/>
      <c r="E493" s="211"/>
      <c r="F493" s="211"/>
      <c r="G493" s="211"/>
      <c r="H493" s="211"/>
      <c r="I493" s="211"/>
      <c r="J493" s="211"/>
      <c r="K493" s="211"/>
      <c r="L493" s="211"/>
      <c r="M493" s="211"/>
      <c r="N493" s="211"/>
      <c r="O493" s="211"/>
      <c r="P493" s="211"/>
      <c r="Q493" s="211"/>
      <c r="R493" s="211"/>
      <c r="S493" s="211"/>
      <c r="T493" s="211"/>
      <c r="U493" s="211"/>
      <c r="V493" s="211"/>
      <c r="W493" s="211"/>
      <c r="X493" s="211"/>
      <c r="Y493" s="211"/>
      <c r="Z493" s="211"/>
      <c r="AA493" s="211"/>
    </row>
    <row r="494">
      <c r="A494" s="211"/>
      <c r="B494" s="211"/>
      <c r="C494" s="211"/>
      <c r="D494" s="211"/>
      <c r="E494" s="211"/>
      <c r="F494" s="211"/>
      <c r="G494" s="211"/>
      <c r="H494" s="211"/>
      <c r="I494" s="211"/>
      <c r="J494" s="211"/>
      <c r="K494" s="211"/>
      <c r="L494" s="211"/>
      <c r="M494" s="211"/>
      <c r="N494" s="211"/>
      <c r="O494" s="211"/>
      <c r="P494" s="211"/>
      <c r="Q494" s="211"/>
      <c r="R494" s="211"/>
      <c r="S494" s="211"/>
      <c r="T494" s="211"/>
      <c r="U494" s="211"/>
      <c r="V494" s="211"/>
      <c r="W494" s="211"/>
      <c r="X494" s="211"/>
      <c r="Y494" s="211"/>
      <c r="Z494" s="211"/>
      <c r="AA494" s="211"/>
    </row>
    <row r="495">
      <c r="A495" s="211"/>
      <c r="B495" s="211"/>
      <c r="C495" s="211"/>
      <c r="D495" s="211"/>
      <c r="E495" s="211"/>
      <c r="F495" s="211"/>
      <c r="G495" s="211"/>
      <c r="H495" s="211"/>
      <c r="I495" s="211"/>
      <c r="J495" s="211"/>
      <c r="K495" s="211"/>
      <c r="L495" s="211"/>
      <c r="M495" s="211"/>
      <c r="N495" s="211"/>
      <c r="O495" s="211"/>
      <c r="P495" s="211"/>
      <c r="Q495" s="211"/>
      <c r="R495" s="211"/>
      <c r="S495" s="211"/>
      <c r="T495" s="211"/>
      <c r="U495" s="211"/>
      <c r="V495" s="211"/>
      <c r="W495" s="211"/>
      <c r="X495" s="211"/>
      <c r="Y495" s="211"/>
      <c r="Z495" s="211"/>
      <c r="AA495" s="211"/>
    </row>
    <row r="496">
      <c r="A496" s="211"/>
      <c r="B496" s="211"/>
      <c r="C496" s="211"/>
      <c r="D496" s="211"/>
      <c r="E496" s="211"/>
      <c r="F496" s="211"/>
      <c r="G496" s="211"/>
      <c r="H496" s="211"/>
      <c r="I496" s="211"/>
      <c r="J496" s="211"/>
      <c r="K496" s="211"/>
      <c r="L496" s="211"/>
      <c r="M496" s="211"/>
      <c r="N496" s="211"/>
      <c r="O496" s="211"/>
      <c r="P496" s="211"/>
      <c r="Q496" s="211"/>
      <c r="R496" s="211"/>
      <c r="S496" s="211"/>
      <c r="T496" s="211"/>
      <c r="U496" s="211"/>
      <c r="V496" s="211"/>
      <c r="W496" s="211"/>
      <c r="X496" s="211"/>
      <c r="Y496" s="211"/>
      <c r="Z496" s="211"/>
      <c r="AA496" s="211"/>
    </row>
    <row r="497">
      <c r="A497" s="211"/>
      <c r="B497" s="211"/>
      <c r="C497" s="211"/>
      <c r="D497" s="211"/>
      <c r="E497" s="211"/>
      <c r="F497" s="211"/>
      <c r="G497" s="211"/>
      <c r="H497" s="211"/>
      <c r="I497" s="211"/>
      <c r="J497" s="211"/>
      <c r="K497" s="211"/>
      <c r="L497" s="211"/>
      <c r="M497" s="211"/>
      <c r="N497" s="211"/>
      <c r="O497" s="211"/>
      <c r="P497" s="211"/>
      <c r="Q497" s="211"/>
      <c r="R497" s="211"/>
      <c r="S497" s="211"/>
      <c r="T497" s="211"/>
      <c r="U497" s="211"/>
      <c r="V497" s="211"/>
      <c r="W497" s="211"/>
      <c r="X497" s="211"/>
      <c r="Y497" s="211"/>
      <c r="Z497" s="211"/>
      <c r="AA497" s="211"/>
    </row>
    <row r="498">
      <c r="A498" s="211"/>
      <c r="B498" s="211"/>
      <c r="C498" s="211"/>
      <c r="D498" s="211"/>
      <c r="E498" s="211"/>
      <c r="F498" s="211"/>
      <c r="G498" s="211"/>
      <c r="H498" s="211"/>
      <c r="I498" s="211"/>
      <c r="J498" s="211"/>
      <c r="K498" s="211"/>
      <c r="L498" s="211"/>
      <c r="M498" s="211"/>
      <c r="N498" s="211"/>
      <c r="O498" s="211"/>
      <c r="P498" s="211"/>
      <c r="Q498" s="211"/>
      <c r="R498" s="211"/>
      <c r="S498" s="211"/>
      <c r="T498" s="211"/>
      <c r="U498" s="211"/>
      <c r="V498" s="211"/>
      <c r="W498" s="211"/>
      <c r="X498" s="211"/>
      <c r="Y498" s="211"/>
      <c r="Z498" s="211"/>
      <c r="AA498" s="211"/>
    </row>
    <row r="499">
      <c r="A499" s="211"/>
      <c r="B499" s="211"/>
      <c r="C499" s="211"/>
      <c r="D499" s="211"/>
      <c r="E499" s="211"/>
      <c r="F499" s="211"/>
      <c r="G499" s="211"/>
      <c r="H499" s="211"/>
      <c r="I499" s="211"/>
      <c r="J499" s="211"/>
      <c r="K499" s="211"/>
      <c r="L499" s="211"/>
      <c r="M499" s="211"/>
      <c r="N499" s="211"/>
      <c r="O499" s="211"/>
      <c r="P499" s="211"/>
      <c r="Q499" s="211"/>
      <c r="R499" s="211"/>
      <c r="S499" s="211"/>
      <c r="T499" s="211"/>
      <c r="U499" s="211"/>
      <c r="V499" s="211"/>
      <c r="W499" s="211"/>
      <c r="X499" s="211"/>
      <c r="Y499" s="211"/>
      <c r="Z499" s="211"/>
      <c r="AA499" s="211"/>
    </row>
    <row r="500">
      <c r="A500" s="211"/>
      <c r="B500" s="211"/>
      <c r="C500" s="211"/>
      <c r="D500" s="211"/>
      <c r="E500" s="211"/>
      <c r="F500" s="211"/>
      <c r="G500" s="211"/>
      <c r="H500" s="211"/>
      <c r="I500" s="211"/>
      <c r="J500" s="211"/>
      <c r="K500" s="211"/>
      <c r="L500" s="211"/>
      <c r="M500" s="211"/>
      <c r="N500" s="211"/>
      <c r="O500" s="211"/>
      <c r="P500" s="211"/>
      <c r="Q500" s="211"/>
      <c r="R500" s="211"/>
      <c r="S500" s="211"/>
      <c r="T500" s="211"/>
      <c r="U500" s="211"/>
      <c r="V500" s="211"/>
      <c r="W500" s="211"/>
      <c r="X500" s="211"/>
      <c r="Y500" s="211"/>
      <c r="Z500" s="211"/>
      <c r="AA500" s="211"/>
    </row>
    <row r="501">
      <c r="A501" s="211"/>
      <c r="B501" s="211"/>
      <c r="C501" s="211"/>
      <c r="D501" s="211"/>
      <c r="E501" s="211"/>
      <c r="F501" s="211"/>
      <c r="G501" s="211"/>
      <c r="H501" s="211"/>
      <c r="I501" s="211"/>
      <c r="J501" s="211"/>
      <c r="K501" s="211"/>
      <c r="L501" s="211"/>
      <c r="M501" s="211"/>
      <c r="N501" s="211"/>
      <c r="O501" s="211"/>
      <c r="P501" s="211"/>
      <c r="Q501" s="211"/>
      <c r="R501" s="211"/>
      <c r="S501" s="211"/>
      <c r="T501" s="211"/>
      <c r="U501" s="211"/>
      <c r="V501" s="211"/>
      <c r="W501" s="211"/>
      <c r="X501" s="211"/>
      <c r="Y501" s="211"/>
      <c r="Z501" s="211"/>
      <c r="AA501" s="211"/>
    </row>
    <row r="502">
      <c r="A502" s="211"/>
      <c r="B502" s="211"/>
      <c r="C502" s="211"/>
      <c r="D502" s="211"/>
      <c r="E502" s="211"/>
      <c r="F502" s="211"/>
      <c r="G502" s="211"/>
      <c r="H502" s="211"/>
      <c r="I502" s="211"/>
      <c r="J502" s="211"/>
      <c r="K502" s="211"/>
      <c r="L502" s="211"/>
      <c r="M502" s="211"/>
      <c r="N502" s="211"/>
      <c r="O502" s="211"/>
      <c r="P502" s="211"/>
      <c r="Q502" s="211"/>
      <c r="R502" s="211"/>
      <c r="S502" s="211"/>
      <c r="T502" s="211"/>
      <c r="U502" s="211"/>
      <c r="V502" s="211"/>
      <c r="W502" s="211"/>
      <c r="X502" s="211"/>
      <c r="Y502" s="211"/>
      <c r="Z502" s="211"/>
      <c r="AA502" s="211"/>
    </row>
    <row r="503">
      <c r="A503" s="211"/>
      <c r="B503" s="211"/>
      <c r="C503" s="211"/>
      <c r="D503" s="211"/>
      <c r="E503" s="211"/>
      <c r="F503" s="211"/>
      <c r="G503" s="211"/>
      <c r="H503" s="211"/>
      <c r="I503" s="211"/>
      <c r="J503" s="211"/>
      <c r="K503" s="211"/>
      <c r="L503" s="211"/>
      <c r="M503" s="211"/>
      <c r="N503" s="211"/>
      <c r="O503" s="211"/>
      <c r="P503" s="211"/>
      <c r="Q503" s="211"/>
      <c r="R503" s="211"/>
      <c r="S503" s="211"/>
      <c r="T503" s="211"/>
      <c r="U503" s="211"/>
      <c r="V503" s="211"/>
      <c r="W503" s="211"/>
      <c r="X503" s="211"/>
      <c r="Y503" s="211"/>
      <c r="Z503" s="211"/>
      <c r="AA503" s="211"/>
    </row>
    <row r="504">
      <c r="A504" s="211"/>
      <c r="B504" s="211"/>
      <c r="C504" s="211"/>
      <c r="D504" s="211"/>
      <c r="E504" s="211"/>
      <c r="F504" s="211"/>
      <c r="G504" s="211"/>
      <c r="H504" s="211"/>
      <c r="I504" s="211"/>
      <c r="J504" s="211"/>
      <c r="K504" s="211"/>
      <c r="L504" s="211"/>
      <c r="M504" s="211"/>
      <c r="N504" s="211"/>
      <c r="O504" s="211"/>
      <c r="P504" s="211"/>
      <c r="Q504" s="211"/>
      <c r="R504" s="211"/>
      <c r="S504" s="211"/>
      <c r="T504" s="211"/>
      <c r="U504" s="211"/>
      <c r="V504" s="211"/>
      <c r="W504" s="211"/>
      <c r="X504" s="211"/>
      <c r="Y504" s="211"/>
      <c r="Z504" s="211"/>
      <c r="AA504" s="211"/>
    </row>
    <row r="505">
      <c r="A505" s="211"/>
      <c r="B505" s="211"/>
      <c r="C505" s="211"/>
      <c r="D505" s="211"/>
      <c r="E505" s="211"/>
      <c r="F505" s="211"/>
      <c r="G505" s="211"/>
      <c r="H505" s="211"/>
      <c r="I505" s="211"/>
      <c r="J505" s="211"/>
      <c r="K505" s="211"/>
      <c r="L505" s="211"/>
      <c r="M505" s="211"/>
      <c r="N505" s="211"/>
      <c r="O505" s="211"/>
      <c r="P505" s="211"/>
      <c r="Q505" s="211"/>
      <c r="R505" s="211"/>
      <c r="S505" s="211"/>
      <c r="T505" s="211"/>
      <c r="U505" s="211"/>
      <c r="V505" s="211"/>
      <c r="W505" s="211"/>
      <c r="X505" s="211"/>
      <c r="Y505" s="211"/>
      <c r="Z505" s="211"/>
      <c r="AA505" s="211"/>
    </row>
    <row r="506">
      <c r="A506" s="211"/>
      <c r="B506" s="211"/>
      <c r="C506" s="211"/>
      <c r="D506" s="211"/>
      <c r="E506" s="211"/>
      <c r="F506" s="211"/>
      <c r="G506" s="211"/>
      <c r="H506" s="211"/>
      <c r="I506" s="211"/>
      <c r="J506" s="211"/>
      <c r="K506" s="211"/>
      <c r="L506" s="211"/>
      <c r="M506" s="211"/>
      <c r="N506" s="211"/>
      <c r="O506" s="211"/>
      <c r="P506" s="211"/>
      <c r="Q506" s="211"/>
      <c r="R506" s="211"/>
      <c r="S506" s="211"/>
      <c r="T506" s="211"/>
      <c r="U506" s="211"/>
      <c r="V506" s="211"/>
      <c r="W506" s="211"/>
      <c r="X506" s="211"/>
      <c r="Y506" s="211"/>
      <c r="Z506" s="211"/>
      <c r="AA506" s="211"/>
    </row>
    <row r="507">
      <c r="A507" s="211"/>
      <c r="B507" s="211"/>
      <c r="C507" s="211"/>
      <c r="D507" s="211"/>
      <c r="E507" s="211"/>
      <c r="F507" s="211"/>
      <c r="G507" s="211"/>
      <c r="H507" s="211"/>
      <c r="I507" s="211"/>
      <c r="J507" s="211"/>
      <c r="K507" s="211"/>
      <c r="L507" s="211"/>
      <c r="M507" s="211"/>
      <c r="N507" s="211"/>
      <c r="O507" s="211"/>
      <c r="P507" s="211"/>
      <c r="Q507" s="211"/>
      <c r="R507" s="211"/>
      <c r="S507" s="211"/>
      <c r="T507" s="211"/>
      <c r="U507" s="211"/>
      <c r="V507" s="211"/>
      <c r="W507" s="211"/>
      <c r="X507" s="211"/>
      <c r="Y507" s="211"/>
      <c r="Z507" s="211"/>
      <c r="AA507" s="211"/>
    </row>
    <row r="508">
      <c r="A508" s="211"/>
      <c r="B508" s="211"/>
      <c r="C508" s="211"/>
      <c r="D508" s="211"/>
      <c r="E508" s="211"/>
      <c r="F508" s="211"/>
      <c r="G508" s="211"/>
      <c r="H508" s="211"/>
      <c r="I508" s="211"/>
      <c r="J508" s="211"/>
      <c r="K508" s="211"/>
      <c r="L508" s="211"/>
      <c r="M508" s="211"/>
      <c r="N508" s="211"/>
      <c r="O508" s="211"/>
      <c r="P508" s="211"/>
      <c r="Q508" s="211"/>
      <c r="R508" s="211"/>
      <c r="S508" s="211"/>
      <c r="T508" s="211"/>
      <c r="U508" s="211"/>
      <c r="V508" s="211"/>
      <c r="W508" s="211"/>
      <c r="X508" s="211"/>
      <c r="Y508" s="211"/>
      <c r="Z508" s="211"/>
      <c r="AA508" s="211"/>
    </row>
    <row r="509">
      <c r="A509" s="211"/>
      <c r="B509" s="211"/>
      <c r="C509" s="211"/>
      <c r="D509" s="211"/>
      <c r="E509" s="211"/>
      <c r="F509" s="211"/>
      <c r="G509" s="211"/>
      <c r="H509" s="211"/>
      <c r="I509" s="211"/>
      <c r="J509" s="211"/>
      <c r="K509" s="211"/>
      <c r="L509" s="211"/>
      <c r="M509" s="211"/>
      <c r="N509" s="211"/>
      <c r="O509" s="211"/>
      <c r="P509" s="211"/>
      <c r="Q509" s="211"/>
      <c r="R509" s="211"/>
      <c r="S509" s="211"/>
      <c r="T509" s="211"/>
      <c r="U509" s="211"/>
      <c r="V509" s="211"/>
      <c r="W509" s="211"/>
      <c r="X509" s="211"/>
      <c r="Y509" s="211"/>
      <c r="Z509" s="211"/>
      <c r="AA509" s="211"/>
    </row>
    <row r="510">
      <c r="A510" s="211"/>
      <c r="B510" s="211"/>
      <c r="C510" s="211"/>
      <c r="D510" s="211"/>
      <c r="E510" s="211"/>
      <c r="F510" s="211"/>
      <c r="G510" s="211"/>
      <c r="H510" s="211"/>
      <c r="I510" s="211"/>
      <c r="J510" s="211"/>
      <c r="K510" s="211"/>
      <c r="L510" s="211"/>
      <c r="M510" s="211"/>
      <c r="N510" s="211"/>
      <c r="O510" s="211"/>
      <c r="P510" s="211"/>
      <c r="Q510" s="211"/>
      <c r="R510" s="211"/>
      <c r="S510" s="211"/>
      <c r="T510" s="211"/>
      <c r="U510" s="211"/>
      <c r="V510" s="211"/>
      <c r="W510" s="211"/>
      <c r="X510" s="211"/>
      <c r="Y510" s="211"/>
      <c r="Z510" s="211"/>
      <c r="AA510" s="211"/>
    </row>
    <row r="511">
      <c r="A511" s="211"/>
      <c r="B511" s="211"/>
      <c r="C511" s="211"/>
      <c r="D511" s="211"/>
      <c r="E511" s="211"/>
      <c r="F511" s="211"/>
      <c r="G511" s="211"/>
      <c r="H511" s="211"/>
      <c r="I511" s="211"/>
      <c r="J511" s="211"/>
      <c r="K511" s="211"/>
      <c r="L511" s="211"/>
      <c r="M511" s="211"/>
      <c r="N511" s="211"/>
      <c r="O511" s="211"/>
      <c r="P511" s="211"/>
      <c r="Q511" s="211"/>
      <c r="R511" s="211"/>
      <c r="S511" s="211"/>
      <c r="T511" s="211"/>
      <c r="U511" s="211"/>
      <c r="V511" s="211"/>
      <c r="W511" s="211"/>
      <c r="X511" s="211"/>
      <c r="Y511" s="211"/>
      <c r="Z511" s="211"/>
      <c r="AA511" s="211"/>
    </row>
    <row r="512">
      <c r="A512" s="211"/>
      <c r="B512" s="211"/>
      <c r="C512" s="211"/>
      <c r="D512" s="211"/>
      <c r="E512" s="211"/>
      <c r="F512" s="211"/>
      <c r="G512" s="211"/>
      <c r="H512" s="211"/>
      <c r="I512" s="211"/>
      <c r="J512" s="211"/>
      <c r="K512" s="211"/>
      <c r="L512" s="211"/>
      <c r="M512" s="211"/>
      <c r="N512" s="211"/>
      <c r="O512" s="211"/>
      <c r="P512" s="211"/>
      <c r="Q512" s="211"/>
      <c r="R512" s="211"/>
      <c r="S512" s="211"/>
      <c r="T512" s="211"/>
      <c r="U512" s="211"/>
      <c r="V512" s="211"/>
      <c r="W512" s="211"/>
      <c r="X512" s="211"/>
      <c r="Y512" s="211"/>
      <c r="Z512" s="211"/>
      <c r="AA512" s="211"/>
    </row>
    <row r="513">
      <c r="A513" s="211"/>
      <c r="B513" s="211"/>
      <c r="C513" s="211"/>
      <c r="D513" s="211"/>
      <c r="E513" s="211"/>
      <c r="F513" s="211"/>
      <c r="G513" s="211"/>
      <c r="H513" s="211"/>
      <c r="I513" s="211"/>
      <c r="J513" s="211"/>
      <c r="K513" s="211"/>
      <c r="L513" s="211"/>
      <c r="M513" s="211"/>
      <c r="N513" s="211"/>
      <c r="O513" s="211"/>
      <c r="P513" s="211"/>
      <c r="Q513" s="211"/>
      <c r="R513" s="211"/>
      <c r="S513" s="211"/>
      <c r="T513" s="211"/>
      <c r="U513" s="211"/>
      <c r="V513" s="211"/>
      <c r="W513" s="211"/>
      <c r="X513" s="211"/>
      <c r="Y513" s="211"/>
      <c r="Z513" s="211"/>
      <c r="AA513" s="211"/>
    </row>
    <row r="514">
      <c r="A514" s="211"/>
      <c r="B514" s="211"/>
      <c r="C514" s="211"/>
      <c r="D514" s="211"/>
      <c r="E514" s="211"/>
      <c r="F514" s="211"/>
      <c r="G514" s="211"/>
      <c r="H514" s="211"/>
      <c r="I514" s="211"/>
      <c r="J514" s="211"/>
      <c r="K514" s="211"/>
      <c r="L514" s="211"/>
      <c r="M514" s="211"/>
      <c r="N514" s="211"/>
      <c r="O514" s="211"/>
      <c r="P514" s="211"/>
      <c r="Q514" s="211"/>
      <c r="R514" s="211"/>
      <c r="S514" s="211"/>
      <c r="T514" s="211"/>
      <c r="U514" s="211"/>
      <c r="V514" s="211"/>
      <c r="W514" s="211"/>
      <c r="X514" s="211"/>
      <c r="Y514" s="211"/>
      <c r="Z514" s="211"/>
      <c r="AA514" s="211"/>
    </row>
    <row r="515">
      <c r="A515" s="211"/>
      <c r="B515" s="211"/>
      <c r="C515" s="211"/>
      <c r="D515" s="211"/>
      <c r="E515" s="211"/>
      <c r="F515" s="211"/>
      <c r="G515" s="211"/>
      <c r="H515" s="211"/>
      <c r="I515" s="211"/>
      <c r="J515" s="211"/>
      <c r="K515" s="211"/>
      <c r="L515" s="211"/>
      <c r="M515" s="211"/>
      <c r="N515" s="211"/>
      <c r="O515" s="211"/>
      <c r="P515" s="211"/>
      <c r="Q515" s="211"/>
      <c r="R515" s="211"/>
      <c r="S515" s="211"/>
      <c r="T515" s="211"/>
      <c r="U515" s="211"/>
      <c r="V515" s="211"/>
      <c r="W515" s="211"/>
      <c r="X515" s="211"/>
      <c r="Y515" s="211"/>
      <c r="Z515" s="211"/>
      <c r="AA515" s="211"/>
    </row>
    <row r="516">
      <c r="A516" s="211"/>
      <c r="B516" s="211"/>
      <c r="C516" s="211"/>
      <c r="D516" s="211"/>
      <c r="E516" s="211"/>
      <c r="F516" s="211"/>
      <c r="G516" s="211"/>
      <c r="H516" s="211"/>
      <c r="I516" s="211"/>
      <c r="J516" s="211"/>
      <c r="K516" s="211"/>
      <c r="L516" s="211"/>
      <c r="M516" s="211"/>
      <c r="N516" s="211"/>
      <c r="O516" s="211"/>
      <c r="P516" s="211"/>
      <c r="Q516" s="211"/>
      <c r="R516" s="211"/>
      <c r="S516" s="211"/>
      <c r="T516" s="211"/>
      <c r="U516" s="211"/>
      <c r="V516" s="211"/>
      <c r="W516" s="211"/>
      <c r="X516" s="211"/>
      <c r="Y516" s="211"/>
      <c r="Z516" s="211"/>
      <c r="AA516" s="211"/>
    </row>
    <row r="517">
      <c r="A517" s="211"/>
      <c r="B517" s="211"/>
      <c r="C517" s="211"/>
      <c r="D517" s="211"/>
      <c r="E517" s="211"/>
      <c r="F517" s="211"/>
      <c r="G517" s="211"/>
      <c r="H517" s="211"/>
      <c r="I517" s="211"/>
      <c r="J517" s="211"/>
      <c r="K517" s="211"/>
      <c r="L517" s="211"/>
      <c r="M517" s="211"/>
      <c r="N517" s="211"/>
      <c r="O517" s="211"/>
      <c r="P517" s="211"/>
      <c r="Q517" s="211"/>
      <c r="R517" s="211"/>
      <c r="S517" s="211"/>
      <c r="T517" s="211"/>
      <c r="U517" s="211"/>
      <c r="V517" s="211"/>
      <c r="W517" s="211"/>
      <c r="X517" s="211"/>
      <c r="Y517" s="211"/>
      <c r="Z517" s="211"/>
      <c r="AA517" s="211"/>
    </row>
    <row r="518">
      <c r="A518" s="211"/>
      <c r="B518" s="211"/>
      <c r="C518" s="211"/>
      <c r="D518" s="211"/>
      <c r="E518" s="211"/>
      <c r="F518" s="211"/>
      <c r="G518" s="211"/>
      <c r="H518" s="211"/>
      <c r="I518" s="211"/>
      <c r="J518" s="211"/>
      <c r="K518" s="211"/>
      <c r="L518" s="211"/>
      <c r="M518" s="211"/>
      <c r="N518" s="211"/>
      <c r="O518" s="211"/>
      <c r="P518" s="211"/>
      <c r="Q518" s="211"/>
      <c r="R518" s="211"/>
      <c r="S518" s="211"/>
      <c r="T518" s="211"/>
      <c r="U518" s="211"/>
      <c r="V518" s="211"/>
      <c r="W518" s="211"/>
      <c r="X518" s="211"/>
      <c r="Y518" s="211"/>
      <c r="Z518" s="211"/>
      <c r="AA518" s="211"/>
    </row>
    <row r="519">
      <c r="A519" s="211"/>
      <c r="B519" s="211"/>
      <c r="C519" s="211"/>
      <c r="D519" s="211"/>
      <c r="E519" s="211"/>
      <c r="F519" s="211"/>
      <c r="G519" s="211"/>
      <c r="H519" s="211"/>
      <c r="I519" s="211"/>
      <c r="J519" s="211"/>
      <c r="K519" s="211"/>
      <c r="L519" s="211"/>
      <c r="M519" s="211"/>
      <c r="N519" s="211"/>
      <c r="O519" s="211"/>
      <c r="P519" s="211"/>
      <c r="Q519" s="211"/>
      <c r="R519" s="211"/>
      <c r="S519" s="211"/>
      <c r="T519" s="211"/>
      <c r="U519" s="211"/>
      <c r="V519" s="211"/>
      <c r="W519" s="211"/>
      <c r="X519" s="211"/>
      <c r="Y519" s="211"/>
      <c r="Z519" s="211"/>
      <c r="AA519" s="211"/>
    </row>
    <row r="520">
      <c r="A520" s="211"/>
      <c r="B520" s="211"/>
      <c r="C520" s="211"/>
      <c r="D520" s="211"/>
      <c r="E520" s="211"/>
      <c r="F520" s="211"/>
      <c r="G520" s="211"/>
      <c r="H520" s="211"/>
      <c r="I520" s="211"/>
      <c r="J520" s="211"/>
      <c r="K520" s="211"/>
      <c r="L520" s="211"/>
      <c r="M520" s="211"/>
      <c r="N520" s="211"/>
      <c r="O520" s="211"/>
      <c r="P520" s="211"/>
      <c r="Q520" s="211"/>
      <c r="R520" s="211"/>
      <c r="S520" s="211"/>
      <c r="T520" s="211"/>
      <c r="U520" s="211"/>
      <c r="V520" s="211"/>
      <c r="W520" s="211"/>
      <c r="X520" s="211"/>
      <c r="Y520" s="211"/>
      <c r="Z520" s="211"/>
      <c r="AA520" s="211"/>
    </row>
    <row r="521">
      <c r="A521" s="211"/>
      <c r="B521" s="211"/>
      <c r="C521" s="211"/>
      <c r="D521" s="211"/>
      <c r="E521" s="211"/>
      <c r="F521" s="211"/>
      <c r="G521" s="211"/>
      <c r="H521" s="211"/>
      <c r="I521" s="211"/>
      <c r="J521" s="211"/>
      <c r="K521" s="211"/>
      <c r="L521" s="211"/>
      <c r="M521" s="211"/>
      <c r="N521" s="211"/>
      <c r="O521" s="211"/>
      <c r="P521" s="211"/>
      <c r="Q521" s="211"/>
      <c r="R521" s="211"/>
      <c r="S521" s="211"/>
      <c r="T521" s="211"/>
      <c r="U521" s="211"/>
      <c r="V521" s="211"/>
      <c r="W521" s="211"/>
      <c r="X521" s="211"/>
      <c r="Y521" s="211"/>
      <c r="Z521" s="211"/>
      <c r="AA521" s="211"/>
    </row>
    <row r="522">
      <c r="A522" s="211"/>
      <c r="B522" s="211"/>
      <c r="C522" s="211"/>
      <c r="D522" s="211"/>
      <c r="E522" s="211"/>
      <c r="F522" s="211"/>
      <c r="G522" s="211"/>
      <c r="H522" s="211"/>
      <c r="I522" s="211"/>
      <c r="J522" s="211"/>
      <c r="K522" s="211"/>
      <c r="L522" s="211"/>
      <c r="M522" s="211"/>
      <c r="N522" s="211"/>
      <c r="O522" s="211"/>
      <c r="P522" s="211"/>
      <c r="Q522" s="211"/>
      <c r="R522" s="211"/>
      <c r="S522" s="211"/>
      <c r="T522" s="211"/>
      <c r="U522" s="211"/>
      <c r="V522" s="211"/>
      <c r="W522" s="211"/>
      <c r="X522" s="211"/>
      <c r="Y522" s="211"/>
      <c r="Z522" s="211"/>
      <c r="AA522" s="211"/>
    </row>
    <row r="523">
      <c r="A523" s="211"/>
      <c r="B523" s="211"/>
      <c r="C523" s="211"/>
      <c r="D523" s="211"/>
      <c r="E523" s="211"/>
      <c r="F523" s="211"/>
      <c r="G523" s="211"/>
      <c r="H523" s="211"/>
      <c r="I523" s="211"/>
      <c r="J523" s="211"/>
      <c r="K523" s="211"/>
      <c r="L523" s="211"/>
      <c r="M523" s="211"/>
      <c r="N523" s="211"/>
      <c r="O523" s="211"/>
      <c r="P523" s="211"/>
      <c r="Q523" s="211"/>
      <c r="R523" s="211"/>
      <c r="S523" s="211"/>
      <c r="T523" s="211"/>
      <c r="U523" s="211"/>
      <c r="V523" s="211"/>
      <c r="W523" s="211"/>
      <c r="X523" s="211"/>
      <c r="Y523" s="211"/>
      <c r="Z523" s="211"/>
      <c r="AA523" s="211"/>
    </row>
    <row r="524">
      <c r="A524" s="211"/>
      <c r="B524" s="211"/>
      <c r="C524" s="211"/>
      <c r="D524" s="211"/>
      <c r="E524" s="211"/>
      <c r="F524" s="211"/>
      <c r="G524" s="211"/>
      <c r="H524" s="211"/>
      <c r="I524" s="211"/>
      <c r="J524" s="211"/>
      <c r="K524" s="211"/>
      <c r="L524" s="211"/>
      <c r="M524" s="211"/>
      <c r="N524" s="211"/>
      <c r="O524" s="211"/>
      <c r="P524" s="211"/>
      <c r="Q524" s="211"/>
      <c r="R524" s="211"/>
      <c r="S524" s="211"/>
      <c r="T524" s="211"/>
      <c r="U524" s="211"/>
      <c r="V524" s="211"/>
      <c r="W524" s="211"/>
      <c r="X524" s="211"/>
      <c r="Y524" s="211"/>
      <c r="Z524" s="211"/>
      <c r="AA524" s="211"/>
    </row>
    <row r="525">
      <c r="A525" s="211"/>
      <c r="B525" s="211"/>
      <c r="C525" s="211"/>
      <c r="D525" s="211"/>
      <c r="E525" s="211"/>
      <c r="F525" s="211"/>
      <c r="G525" s="211"/>
      <c r="H525" s="211"/>
      <c r="I525" s="211"/>
      <c r="J525" s="211"/>
      <c r="K525" s="211"/>
      <c r="L525" s="211"/>
      <c r="M525" s="211"/>
      <c r="N525" s="211"/>
      <c r="O525" s="211"/>
      <c r="P525" s="211"/>
      <c r="Q525" s="211"/>
      <c r="R525" s="211"/>
      <c r="S525" s="211"/>
      <c r="T525" s="211"/>
      <c r="U525" s="211"/>
      <c r="V525" s="211"/>
      <c r="W525" s="211"/>
      <c r="X525" s="211"/>
      <c r="Y525" s="211"/>
      <c r="Z525" s="211"/>
      <c r="AA525" s="211"/>
    </row>
    <row r="526">
      <c r="A526" s="211"/>
      <c r="B526" s="211"/>
      <c r="C526" s="211"/>
      <c r="D526" s="211"/>
      <c r="E526" s="211"/>
      <c r="F526" s="211"/>
      <c r="G526" s="211"/>
      <c r="H526" s="211"/>
      <c r="I526" s="211"/>
      <c r="J526" s="211"/>
      <c r="K526" s="211"/>
      <c r="L526" s="211"/>
      <c r="M526" s="211"/>
      <c r="N526" s="211"/>
      <c r="O526" s="211"/>
      <c r="P526" s="211"/>
      <c r="Q526" s="211"/>
      <c r="R526" s="211"/>
      <c r="S526" s="211"/>
      <c r="T526" s="211"/>
      <c r="U526" s="211"/>
      <c r="V526" s="211"/>
      <c r="W526" s="211"/>
      <c r="X526" s="211"/>
      <c r="Y526" s="211"/>
      <c r="Z526" s="211"/>
      <c r="AA526" s="211"/>
    </row>
    <row r="527">
      <c r="A527" s="211"/>
      <c r="B527" s="211"/>
      <c r="C527" s="211"/>
      <c r="D527" s="211"/>
      <c r="E527" s="211"/>
      <c r="F527" s="211"/>
      <c r="G527" s="211"/>
      <c r="H527" s="211"/>
      <c r="I527" s="211"/>
      <c r="J527" s="211"/>
      <c r="K527" s="211"/>
      <c r="L527" s="211"/>
      <c r="M527" s="211"/>
      <c r="N527" s="211"/>
      <c r="O527" s="211"/>
      <c r="P527" s="211"/>
      <c r="Q527" s="211"/>
      <c r="R527" s="211"/>
      <c r="S527" s="211"/>
      <c r="T527" s="211"/>
      <c r="U527" s="211"/>
      <c r="V527" s="211"/>
      <c r="W527" s="211"/>
      <c r="X527" s="211"/>
      <c r="Y527" s="211"/>
      <c r="Z527" s="211"/>
      <c r="AA527" s="211"/>
    </row>
    <row r="528">
      <c r="A528" s="211"/>
      <c r="B528" s="211"/>
      <c r="C528" s="211"/>
      <c r="D528" s="211"/>
      <c r="E528" s="211"/>
      <c r="F528" s="211"/>
      <c r="G528" s="211"/>
      <c r="H528" s="211"/>
      <c r="I528" s="211"/>
      <c r="J528" s="211"/>
      <c r="K528" s="211"/>
      <c r="L528" s="211"/>
      <c r="M528" s="211"/>
      <c r="N528" s="211"/>
      <c r="O528" s="211"/>
      <c r="P528" s="211"/>
      <c r="Q528" s="211"/>
      <c r="R528" s="211"/>
      <c r="S528" s="211"/>
      <c r="T528" s="211"/>
      <c r="U528" s="211"/>
      <c r="V528" s="211"/>
      <c r="W528" s="211"/>
      <c r="X528" s="211"/>
      <c r="Y528" s="211"/>
      <c r="Z528" s="211"/>
      <c r="AA528" s="211"/>
    </row>
    <row r="529">
      <c r="A529" s="211"/>
      <c r="B529" s="211"/>
      <c r="C529" s="211"/>
      <c r="D529" s="211"/>
      <c r="E529" s="211"/>
      <c r="F529" s="211"/>
      <c r="G529" s="211"/>
      <c r="H529" s="211"/>
      <c r="I529" s="211"/>
      <c r="J529" s="211"/>
      <c r="K529" s="211"/>
      <c r="L529" s="211"/>
      <c r="M529" s="211"/>
      <c r="N529" s="211"/>
      <c r="O529" s="211"/>
      <c r="P529" s="211"/>
      <c r="Q529" s="211"/>
      <c r="R529" s="211"/>
      <c r="S529" s="211"/>
      <c r="T529" s="211"/>
      <c r="U529" s="211"/>
      <c r="V529" s="211"/>
      <c r="W529" s="211"/>
      <c r="X529" s="211"/>
      <c r="Y529" s="211"/>
      <c r="Z529" s="211"/>
      <c r="AA529" s="211"/>
    </row>
    <row r="530">
      <c r="A530" s="211"/>
      <c r="B530" s="211"/>
      <c r="C530" s="211"/>
      <c r="D530" s="211"/>
      <c r="E530" s="211"/>
      <c r="F530" s="211"/>
      <c r="G530" s="211"/>
      <c r="H530" s="211"/>
      <c r="I530" s="211"/>
      <c r="J530" s="211"/>
      <c r="K530" s="211"/>
      <c r="L530" s="211"/>
      <c r="M530" s="211"/>
      <c r="N530" s="211"/>
      <c r="O530" s="211"/>
      <c r="P530" s="211"/>
      <c r="Q530" s="211"/>
      <c r="R530" s="211"/>
      <c r="S530" s="211"/>
      <c r="T530" s="211"/>
      <c r="U530" s="211"/>
      <c r="V530" s="211"/>
      <c r="W530" s="211"/>
      <c r="X530" s="211"/>
      <c r="Y530" s="211"/>
      <c r="Z530" s="211"/>
      <c r="AA530" s="211"/>
    </row>
    <row r="531">
      <c r="A531" s="211"/>
      <c r="B531" s="211"/>
      <c r="C531" s="211"/>
      <c r="D531" s="211"/>
      <c r="E531" s="211"/>
      <c r="F531" s="211"/>
      <c r="G531" s="211"/>
      <c r="H531" s="211"/>
      <c r="I531" s="211"/>
      <c r="J531" s="211"/>
      <c r="K531" s="211"/>
      <c r="L531" s="211"/>
      <c r="M531" s="211"/>
      <c r="N531" s="211"/>
      <c r="O531" s="211"/>
      <c r="P531" s="211"/>
      <c r="Q531" s="211"/>
      <c r="R531" s="211"/>
      <c r="S531" s="211"/>
      <c r="T531" s="211"/>
      <c r="U531" s="211"/>
      <c r="V531" s="211"/>
      <c r="W531" s="211"/>
      <c r="X531" s="211"/>
      <c r="Y531" s="211"/>
      <c r="Z531" s="211"/>
      <c r="AA531" s="211"/>
    </row>
    <row r="532">
      <c r="A532" s="211"/>
      <c r="B532" s="211"/>
      <c r="C532" s="211"/>
      <c r="D532" s="211"/>
      <c r="E532" s="211"/>
      <c r="F532" s="211"/>
      <c r="G532" s="211"/>
      <c r="H532" s="211"/>
      <c r="I532" s="211"/>
      <c r="J532" s="211"/>
      <c r="K532" s="211"/>
      <c r="L532" s="211"/>
      <c r="M532" s="211"/>
      <c r="N532" s="211"/>
      <c r="O532" s="211"/>
      <c r="P532" s="211"/>
      <c r="Q532" s="211"/>
      <c r="R532" s="211"/>
      <c r="S532" s="211"/>
      <c r="T532" s="211"/>
      <c r="U532" s="211"/>
      <c r="V532" s="211"/>
      <c r="W532" s="211"/>
      <c r="X532" s="211"/>
      <c r="Y532" s="211"/>
      <c r="Z532" s="211"/>
      <c r="AA532" s="211"/>
    </row>
    <row r="533">
      <c r="A533" s="211"/>
      <c r="B533" s="211"/>
      <c r="C533" s="211"/>
      <c r="D533" s="211"/>
      <c r="E533" s="211"/>
      <c r="F533" s="211"/>
      <c r="G533" s="211"/>
      <c r="H533" s="211"/>
      <c r="I533" s="211"/>
      <c r="J533" s="211"/>
      <c r="K533" s="211"/>
      <c r="L533" s="211"/>
      <c r="M533" s="211"/>
      <c r="N533" s="211"/>
      <c r="O533" s="211"/>
      <c r="P533" s="211"/>
      <c r="Q533" s="211"/>
      <c r="R533" s="211"/>
      <c r="S533" s="211"/>
      <c r="T533" s="211"/>
      <c r="U533" s="211"/>
      <c r="V533" s="211"/>
      <c r="W533" s="211"/>
      <c r="X533" s="211"/>
      <c r="Y533" s="211"/>
      <c r="Z533" s="211"/>
      <c r="AA533" s="211"/>
    </row>
    <row r="534">
      <c r="A534" s="211"/>
      <c r="B534" s="211"/>
      <c r="C534" s="211"/>
      <c r="D534" s="211"/>
      <c r="E534" s="211"/>
      <c r="F534" s="211"/>
      <c r="G534" s="211"/>
      <c r="H534" s="211"/>
      <c r="I534" s="211"/>
      <c r="J534" s="211"/>
      <c r="K534" s="211"/>
      <c r="L534" s="211"/>
      <c r="M534" s="211"/>
      <c r="N534" s="211"/>
      <c r="O534" s="211"/>
      <c r="P534" s="211"/>
      <c r="Q534" s="211"/>
      <c r="R534" s="211"/>
      <c r="S534" s="211"/>
      <c r="T534" s="211"/>
      <c r="U534" s="211"/>
      <c r="V534" s="211"/>
      <c r="W534" s="211"/>
      <c r="X534" s="211"/>
      <c r="Y534" s="211"/>
      <c r="Z534" s="211"/>
      <c r="AA534" s="211"/>
    </row>
    <row r="535">
      <c r="A535" s="211"/>
      <c r="B535" s="211"/>
      <c r="C535" s="211"/>
      <c r="D535" s="211"/>
      <c r="E535" s="211"/>
      <c r="F535" s="211"/>
      <c r="G535" s="211"/>
      <c r="H535" s="211"/>
      <c r="I535" s="211"/>
      <c r="J535" s="211"/>
      <c r="K535" s="211"/>
      <c r="L535" s="211"/>
      <c r="M535" s="211"/>
      <c r="N535" s="211"/>
      <c r="O535" s="211"/>
      <c r="P535" s="211"/>
      <c r="Q535" s="211"/>
      <c r="R535" s="211"/>
      <c r="S535" s="211"/>
      <c r="T535" s="211"/>
      <c r="U535" s="211"/>
      <c r="V535" s="211"/>
      <c r="W535" s="211"/>
      <c r="X535" s="211"/>
      <c r="Y535" s="211"/>
      <c r="Z535" s="211"/>
      <c r="AA535" s="211"/>
    </row>
    <row r="536">
      <c r="A536" s="211"/>
      <c r="B536" s="211"/>
      <c r="C536" s="211"/>
      <c r="D536" s="211"/>
      <c r="E536" s="211"/>
      <c r="F536" s="211"/>
      <c r="G536" s="211"/>
      <c r="H536" s="211"/>
      <c r="I536" s="211"/>
      <c r="J536" s="211"/>
      <c r="K536" s="211"/>
      <c r="L536" s="211"/>
      <c r="M536" s="211"/>
      <c r="N536" s="211"/>
      <c r="O536" s="211"/>
      <c r="P536" s="211"/>
      <c r="Q536" s="211"/>
      <c r="R536" s="211"/>
      <c r="S536" s="211"/>
      <c r="T536" s="211"/>
      <c r="U536" s="211"/>
      <c r="V536" s="211"/>
      <c r="W536" s="211"/>
      <c r="X536" s="211"/>
      <c r="Y536" s="211"/>
      <c r="Z536" s="211"/>
      <c r="AA536" s="211"/>
    </row>
    <row r="537">
      <c r="A537" s="211"/>
      <c r="B537" s="211"/>
      <c r="C537" s="211"/>
      <c r="D537" s="211"/>
      <c r="E537" s="211"/>
      <c r="F537" s="211"/>
      <c r="G537" s="211"/>
      <c r="H537" s="211"/>
      <c r="I537" s="211"/>
      <c r="J537" s="211"/>
      <c r="K537" s="211"/>
      <c r="L537" s="211"/>
      <c r="M537" s="211"/>
      <c r="N537" s="211"/>
      <c r="O537" s="211"/>
      <c r="P537" s="211"/>
      <c r="Q537" s="211"/>
      <c r="R537" s="211"/>
      <c r="S537" s="211"/>
      <c r="T537" s="211"/>
      <c r="U537" s="211"/>
      <c r="V537" s="211"/>
      <c r="W537" s="211"/>
      <c r="X537" s="211"/>
      <c r="Y537" s="211"/>
      <c r="Z537" s="211"/>
      <c r="AA537" s="211"/>
    </row>
    <row r="538">
      <c r="A538" s="211"/>
      <c r="B538" s="211"/>
      <c r="C538" s="211"/>
      <c r="D538" s="211"/>
      <c r="E538" s="211"/>
      <c r="F538" s="211"/>
      <c r="G538" s="211"/>
      <c r="H538" s="211"/>
      <c r="I538" s="211"/>
      <c r="J538" s="211"/>
      <c r="K538" s="211"/>
      <c r="L538" s="211"/>
      <c r="M538" s="211"/>
      <c r="N538" s="211"/>
      <c r="O538" s="211"/>
      <c r="P538" s="211"/>
      <c r="Q538" s="211"/>
      <c r="R538" s="211"/>
      <c r="S538" s="211"/>
      <c r="T538" s="211"/>
      <c r="U538" s="211"/>
      <c r="V538" s="211"/>
      <c r="W538" s="211"/>
      <c r="X538" s="211"/>
      <c r="Y538" s="211"/>
      <c r="Z538" s="211"/>
      <c r="AA538" s="211"/>
    </row>
    <row r="539">
      <c r="A539" s="211"/>
      <c r="B539" s="211"/>
      <c r="C539" s="211"/>
      <c r="D539" s="211"/>
      <c r="E539" s="211"/>
      <c r="F539" s="211"/>
      <c r="G539" s="211"/>
      <c r="H539" s="211"/>
      <c r="I539" s="211"/>
      <c r="J539" s="211"/>
      <c r="K539" s="211"/>
      <c r="L539" s="211"/>
      <c r="M539" s="211"/>
      <c r="N539" s="211"/>
      <c r="O539" s="211"/>
      <c r="P539" s="211"/>
      <c r="Q539" s="211"/>
      <c r="R539" s="211"/>
      <c r="S539" s="211"/>
      <c r="T539" s="211"/>
      <c r="U539" s="211"/>
      <c r="V539" s="211"/>
      <c r="W539" s="211"/>
      <c r="X539" s="211"/>
      <c r="Y539" s="211"/>
      <c r="Z539" s="211"/>
      <c r="AA539" s="211"/>
    </row>
    <row r="540">
      <c r="A540" s="211"/>
      <c r="B540" s="211"/>
      <c r="C540" s="211"/>
      <c r="D540" s="211"/>
      <c r="E540" s="211"/>
      <c r="F540" s="211"/>
      <c r="G540" s="211"/>
      <c r="H540" s="211"/>
      <c r="I540" s="211"/>
      <c r="J540" s="211"/>
      <c r="K540" s="211"/>
      <c r="L540" s="211"/>
      <c r="M540" s="211"/>
      <c r="N540" s="211"/>
      <c r="O540" s="211"/>
      <c r="P540" s="211"/>
      <c r="Q540" s="211"/>
      <c r="R540" s="211"/>
      <c r="S540" s="211"/>
      <c r="T540" s="211"/>
      <c r="U540" s="211"/>
      <c r="V540" s="211"/>
      <c r="W540" s="211"/>
      <c r="X540" s="211"/>
      <c r="Y540" s="211"/>
      <c r="Z540" s="211"/>
      <c r="AA540" s="211"/>
    </row>
    <row r="541">
      <c r="A541" s="211"/>
      <c r="B541" s="211"/>
      <c r="C541" s="211"/>
      <c r="D541" s="211"/>
      <c r="E541" s="211"/>
      <c r="F541" s="211"/>
      <c r="G541" s="211"/>
      <c r="H541" s="211"/>
      <c r="I541" s="211"/>
      <c r="J541" s="211"/>
      <c r="K541" s="211"/>
      <c r="L541" s="211"/>
      <c r="M541" s="211"/>
      <c r="N541" s="211"/>
      <c r="O541" s="211"/>
      <c r="P541" s="211"/>
      <c r="Q541" s="211"/>
      <c r="R541" s="211"/>
      <c r="S541" s="211"/>
      <c r="T541" s="211"/>
      <c r="U541" s="211"/>
      <c r="V541" s="211"/>
      <c r="W541" s="211"/>
      <c r="X541" s="211"/>
      <c r="Y541" s="211"/>
      <c r="Z541" s="211"/>
      <c r="AA541" s="211"/>
    </row>
    <row r="542">
      <c r="A542" s="211"/>
      <c r="B542" s="211"/>
      <c r="C542" s="211"/>
      <c r="D542" s="211"/>
      <c r="E542" s="211"/>
      <c r="F542" s="211"/>
      <c r="G542" s="211"/>
      <c r="H542" s="211"/>
      <c r="I542" s="211"/>
      <c r="J542" s="211"/>
      <c r="K542" s="211"/>
      <c r="L542" s="211"/>
      <c r="M542" s="211"/>
      <c r="N542" s="211"/>
      <c r="O542" s="211"/>
      <c r="P542" s="211"/>
      <c r="Q542" s="211"/>
      <c r="R542" s="211"/>
      <c r="S542" s="211"/>
      <c r="T542" s="211"/>
      <c r="U542" s="211"/>
      <c r="V542" s="211"/>
      <c r="W542" s="211"/>
      <c r="X542" s="211"/>
      <c r="Y542" s="211"/>
      <c r="Z542" s="211"/>
      <c r="AA542" s="211"/>
    </row>
    <row r="543">
      <c r="A543" s="211"/>
      <c r="B543" s="211"/>
      <c r="C543" s="211"/>
      <c r="D543" s="211"/>
      <c r="E543" s="211"/>
      <c r="F543" s="211"/>
      <c r="G543" s="211"/>
      <c r="H543" s="211"/>
      <c r="I543" s="211"/>
      <c r="J543" s="211"/>
      <c r="K543" s="211"/>
      <c r="L543" s="211"/>
      <c r="M543" s="211"/>
      <c r="N543" s="211"/>
      <c r="O543" s="211"/>
      <c r="P543" s="211"/>
      <c r="Q543" s="211"/>
      <c r="R543" s="211"/>
      <c r="S543" s="211"/>
      <c r="T543" s="211"/>
      <c r="U543" s="211"/>
      <c r="V543" s="211"/>
      <c r="W543" s="211"/>
      <c r="X543" s="211"/>
      <c r="Y543" s="211"/>
      <c r="Z543" s="211"/>
      <c r="AA543" s="211"/>
    </row>
    <row r="544">
      <c r="A544" s="211"/>
      <c r="B544" s="211"/>
      <c r="C544" s="211"/>
      <c r="D544" s="211"/>
      <c r="E544" s="211"/>
      <c r="F544" s="211"/>
      <c r="G544" s="211"/>
      <c r="H544" s="211"/>
      <c r="I544" s="211"/>
      <c r="J544" s="211"/>
      <c r="K544" s="211"/>
      <c r="L544" s="211"/>
      <c r="M544" s="211"/>
      <c r="N544" s="211"/>
      <c r="O544" s="211"/>
      <c r="P544" s="211"/>
      <c r="Q544" s="211"/>
      <c r="R544" s="211"/>
      <c r="S544" s="211"/>
      <c r="T544" s="211"/>
      <c r="U544" s="211"/>
      <c r="V544" s="211"/>
      <c r="W544" s="211"/>
      <c r="X544" s="211"/>
      <c r="Y544" s="211"/>
      <c r="Z544" s="211"/>
      <c r="AA544" s="211"/>
    </row>
    <row r="545">
      <c r="A545" s="211"/>
      <c r="B545" s="211"/>
      <c r="C545" s="211"/>
      <c r="D545" s="211"/>
      <c r="E545" s="211"/>
      <c r="F545" s="211"/>
      <c r="G545" s="211"/>
      <c r="H545" s="211"/>
      <c r="I545" s="211"/>
      <c r="J545" s="211"/>
      <c r="K545" s="211"/>
      <c r="L545" s="211"/>
      <c r="M545" s="211"/>
      <c r="N545" s="211"/>
      <c r="O545" s="211"/>
      <c r="P545" s="211"/>
      <c r="Q545" s="211"/>
      <c r="R545" s="211"/>
      <c r="S545" s="211"/>
      <c r="T545" s="211"/>
      <c r="U545" s="211"/>
      <c r="V545" s="211"/>
      <c r="W545" s="211"/>
      <c r="X545" s="211"/>
      <c r="Y545" s="211"/>
      <c r="Z545" s="211"/>
      <c r="AA545" s="211"/>
    </row>
    <row r="546">
      <c r="A546" s="211"/>
      <c r="B546" s="211"/>
      <c r="C546" s="211"/>
      <c r="D546" s="211"/>
      <c r="E546" s="211"/>
      <c r="F546" s="211"/>
      <c r="G546" s="211"/>
      <c r="H546" s="211"/>
      <c r="I546" s="211"/>
      <c r="J546" s="211"/>
      <c r="K546" s="211"/>
      <c r="L546" s="211"/>
      <c r="M546" s="211"/>
      <c r="N546" s="211"/>
      <c r="O546" s="211"/>
      <c r="P546" s="211"/>
      <c r="Q546" s="211"/>
      <c r="R546" s="211"/>
      <c r="S546" s="211"/>
      <c r="T546" s="211"/>
      <c r="U546" s="211"/>
      <c r="V546" s="211"/>
      <c r="W546" s="211"/>
      <c r="X546" s="211"/>
      <c r="Y546" s="211"/>
      <c r="Z546" s="211"/>
      <c r="AA546" s="211"/>
    </row>
    <row r="547">
      <c r="A547" s="211"/>
      <c r="B547" s="211"/>
      <c r="C547" s="211"/>
      <c r="D547" s="211"/>
      <c r="E547" s="211"/>
      <c r="F547" s="211"/>
      <c r="G547" s="211"/>
      <c r="H547" s="211"/>
      <c r="I547" s="211"/>
      <c r="J547" s="211"/>
      <c r="K547" s="211"/>
      <c r="L547" s="211"/>
      <c r="M547" s="211"/>
      <c r="N547" s="211"/>
      <c r="O547" s="211"/>
      <c r="P547" s="211"/>
      <c r="Q547" s="211"/>
      <c r="R547" s="211"/>
      <c r="S547" s="211"/>
      <c r="T547" s="211"/>
      <c r="U547" s="211"/>
      <c r="V547" s="211"/>
      <c r="W547" s="211"/>
      <c r="X547" s="211"/>
      <c r="Y547" s="211"/>
      <c r="Z547" s="211"/>
      <c r="AA547" s="211"/>
    </row>
    <row r="548">
      <c r="A548" s="211"/>
      <c r="B548" s="211"/>
      <c r="C548" s="211"/>
      <c r="D548" s="211"/>
      <c r="E548" s="211"/>
      <c r="F548" s="211"/>
      <c r="G548" s="211"/>
      <c r="H548" s="211"/>
      <c r="I548" s="211"/>
      <c r="J548" s="211"/>
      <c r="K548" s="211"/>
      <c r="L548" s="211"/>
      <c r="M548" s="211"/>
      <c r="N548" s="211"/>
      <c r="O548" s="211"/>
      <c r="P548" s="211"/>
      <c r="Q548" s="211"/>
      <c r="R548" s="211"/>
      <c r="S548" s="211"/>
      <c r="T548" s="211"/>
      <c r="U548" s="211"/>
      <c r="V548" s="211"/>
      <c r="W548" s="211"/>
      <c r="X548" s="211"/>
      <c r="Y548" s="211"/>
      <c r="Z548" s="211"/>
      <c r="AA548" s="211"/>
    </row>
    <row r="549">
      <c r="A549" s="211"/>
      <c r="B549" s="211"/>
      <c r="C549" s="211"/>
      <c r="D549" s="211"/>
      <c r="E549" s="211"/>
      <c r="F549" s="211"/>
      <c r="G549" s="211"/>
      <c r="H549" s="211"/>
      <c r="I549" s="211"/>
      <c r="J549" s="211"/>
      <c r="K549" s="211"/>
      <c r="L549" s="211"/>
      <c r="M549" s="211"/>
      <c r="N549" s="211"/>
      <c r="O549" s="211"/>
      <c r="P549" s="211"/>
      <c r="Q549" s="211"/>
      <c r="R549" s="211"/>
      <c r="S549" s="211"/>
      <c r="T549" s="211"/>
      <c r="U549" s="211"/>
      <c r="V549" s="211"/>
      <c r="W549" s="211"/>
      <c r="X549" s="211"/>
      <c r="Y549" s="211"/>
      <c r="Z549" s="211"/>
      <c r="AA549" s="211"/>
    </row>
    <row r="550">
      <c r="A550" s="211"/>
      <c r="B550" s="211"/>
      <c r="C550" s="211"/>
      <c r="D550" s="211"/>
      <c r="E550" s="211"/>
      <c r="F550" s="211"/>
      <c r="G550" s="211"/>
      <c r="H550" s="211"/>
      <c r="I550" s="211"/>
      <c r="J550" s="211"/>
      <c r="K550" s="211"/>
      <c r="L550" s="211"/>
      <c r="M550" s="211"/>
      <c r="N550" s="211"/>
      <c r="O550" s="211"/>
      <c r="P550" s="211"/>
      <c r="Q550" s="211"/>
      <c r="R550" s="211"/>
      <c r="S550" s="211"/>
      <c r="T550" s="211"/>
      <c r="U550" s="211"/>
      <c r="V550" s="211"/>
      <c r="W550" s="211"/>
      <c r="X550" s="211"/>
      <c r="Y550" s="211"/>
      <c r="Z550" s="211"/>
      <c r="AA550" s="211"/>
    </row>
    <row r="551">
      <c r="A551" s="211"/>
      <c r="B551" s="211"/>
      <c r="C551" s="211"/>
      <c r="D551" s="211"/>
      <c r="E551" s="211"/>
      <c r="F551" s="211"/>
      <c r="G551" s="211"/>
      <c r="H551" s="211"/>
      <c r="I551" s="211"/>
      <c r="J551" s="211"/>
      <c r="K551" s="211"/>
      <c r="L551" s="211"/>
      <c r="M551" s="211"/>
      <c r="N551" s="211"/>
      <c r="O551" s="211"/>
      <c r="P551" s="211"/>
      <c r="Q551" s="211"/>
      <c r="R551" s="211"/>
      <c r="S551" s="211"/>
      <c r="T551" s="211"/>
      <c r="U551" s="211"/>
      <c r="V551" s="211"/>
      <c r="W551" s="211"/>
      <c r="X551" s="211"/>
      <c r="Y551" s="211"/>
      <c r="Z551" s="211"/>
      <c r="AA551" s="211"/>
    </row>
    <row r="552">
      <c r="A552" s="211"/>
      <c r="B552" s="211"/>
      <c r="C552" s="211"/>
      <c r="D552" s="211"/>
      <c r="E552" s="211"/>
      <c r="F552" s="211"/>
      <c r="G552" s="211"/>
      <c r="H552" s="211"/>
      <c r="I552" s="211"/>
      <c r="J552" s="211"/>
      <c r="K552" s="211"/>
      <c r="L552" s="211"/>
      <c r="M552" s="211"/>
      <c r="N552" s="211"/>
      <c r="O552" s="211"/>
      <c r="P552" s="211"/>
      <c r="Q552" s="211"/>
      <c r="R552" s="211"/>
      <c r="S552" s="211"/>
      <c r="T552" s="211"/>
      <c r="U552" s="211"/>
      <c r="V552" s="211"/>
      <c r="W552" s="211"/>
      <c r="X552" s="211"/>
      <c r="Y552" s="211"/>
      <c r="Z552" s="211"/>
      <c r="AA552" s="211"/>
    </row>
    <row r="553">
      <c r="A553" s="211"/>
      <c r="B553" s="211"/>
      <c r="C553" s="211"/>
      <c r="D553" s="211"/>
      <c r="E553" s="211"/>
      <c r="F553" s="211"/>
      <c r="G553" s="211"/>
      <c r="H553" s="211"/>
      <c r="I553" s="211"/>
      <c r="J553" s="211"/>
      <c r="K553" s="211"/>
      <c r="L553" s="211"/>
      <c r="M553" s="211"/>
      <c r="N553" s="211"/>
      <c r="O553" s="211"/>
      <c r="P553" s="211"/>
      <c r="Q553" s="211"/>
      <c r="R553" s="211"/>
      <c r="S553" s="211"/>
      <c r="T553" s="211"/>
      <c r="U553" s="211"/>
      <c r="V553" s="211"/>
      <c r="W553" s="211"/>
      <c r="X553" s="211"/>
      <c r="Y553" s="211"/>
      <c r="Z553" s="211"/>
      <c r="AA553" s="211"/>
    </row>
    <row r="554">
      <c r="A554" s="211"/>
      <c r="B554" s="211"/>
      <c r="C554" s="211"/>
      <c r="D554" s="211"/>
      <c r="E554" s="211"/>
      <c r="F554" s="211"/>
      <c r="G554" s="211"/>
      <c r="H554" s="211"/>
      <c r="I554" s="211"/>
      <c r="J554" s="211"/>
      <c r="K554" s="211"/>
      <c r="L554" s="211"/>
      <c r="M554" s="211"/>
      <c r="N554" s="211"/>
      <c r="O554" s="211"/>
      <c r="P554" s="211"/>
      <c r="Q554" s="211"/>
      <c r="R554" s="211"/>
      <c r="S554" s="211"/>
      <c r="T554" s="211"/>
      <c r="U554" s="211"/>
      <c r="V554" s="211"/>
      <c r="W554" s="211"/>
      <c r="X554" s="211"/>
      <c r="Y554" s="211"/>
      <c r="Z554" s="211"/>
      <c r="AA554" s="211"/>
    </row>
    <row r="555">
      <c r="A555" s="211"/>
      <c r="B555" s="211"/>
      <c r="C555" s="211"/>
      <c r="D555" s="211"/>
      <c r="E555" s="211"/>
      <c r="F555" s="211"/>
      <c r="G555" s="211"/>
      <c r="H555" s="211"/>
      <c r="I555" s="211"/>
      <c r="J555" s="211"/>
      <c r="K555" s="211"/>
      <c r="L555" s="211"/>
      <c r="M555" s="211"/>
      <c r="N555" s="211"/>
      <c r="O555" s="211"/>
      <c r="P555" s="211"/>
      <c r="Q555" s="211"/>
      <c r="R555" s="211"/>
      <c r="S555" s="211"/>
      <c r="T555" s="211"/>
      <c r="U555" s="211"/>
      <c r="V555" s="211"/>
      <c r="W555" s="211"/>
      <c r="X555" s="211"/>
      <c r="Y555" s="211"/>
      <c r="Z555" s="211"/>
      <c r="AA555" s="211"/>
    </row>
    <row r="556">
      <c r="A556" s="211"/>
      <c r="B556" s="211"/>
      <c r="C556" s="211"/>
      <c r="D556" s="211"/>
      <c r="E556" s="211"/>
      <c r="F556" s="211"/>
      <c r="G556" s="211"/>
      <c r="H556" s="211"/>
      <c r="I556" s="211"/>
      <c r="J556" s="211"/>
      <c r="K556" s="211"/>
      <c r="L556" s="211"/>
      <c r="M556" s="211"/>
      <c r="N556" s="211"/>
      <c r="O556" s="211"/>
      <c r="P556" s="211"/>
      <c r="Q556" s="211"/>
      <c r="R556" s="211"/>
      <c r="S556" s="211"/>
      <c r="T556" s="211"/>
      <c r="U556" s="211"/>
      <c r="V556" s="211"/>
      <c r="W556" s="211"/>
      <c r="X556" s="211"/>
      <c r="Y556" s="211"/>
      <c r="Z556" s="211"/>
      <c r="AA556" s="211"/>
    </row>
    <row r="557">
      <c r="A557" s="211"/>
      <c r="B557" s="211"/>
      <c r="C557" s="211"/>
      <c r="D557" s="211"/>
      <c r="E557" s="211"/>
      <c r="F557" s="211"/>
      <c r="G557" s="211"/>
      <c r="H557" s="211"/>
      <c r="I557" s="211"/>
      <c r="J557" s="211"/>
      <c r="K557" s="211"/>
      <c r="L557" s="211"/>
      <c r="M557" s="211"/>
      <c r="N557" s="211"/>
      <c r="O557" s="211"/>
      <c r="P557" s="211"/>
      <c r="Q557" s="211"/>
      <c r="R557" s="211"/>
      <c r="S557" s="211"/>
      <c r="T557" s="211"/>
      <c r="U557" s="211"/>
      <c r="V557" s="211"/>
      <c r="W557" s="211"/>
      <c r="X557" s="211"/>
      <c r="Y557" s="211"/>
      <c r="Z557" s="211"/>
      <c r="AA557" s="211"/>
    </row>
    <row r="558">
      <c r="A558" s="211"/>
      <c r="B558" s="211"/>
      <c r="C558" s="211"/>
      <c r="D558" s="211"/>
      <c r="E558" s="211"/>
      <c r="F558" s="211"/>
      <c r="G558" s="211"/>
      <c r="H558" s="211"/>
      <c r="I558" s="211"/>
      <c r="J558" s="211"/>
      <c r="K558" s="211"/>
      <c r="L558" s="211"/>
      <c r="M558" s="211"/>
      <c r="N558" s="211"/>
      <c r="O558" s="211"/>
      <c r="P558" s="211"/>
      <c r="Q558" s="211"/>
      <c r="R558" s="211"/>
      <c r="S558" s="211"/>
      <c r="T558" s="211"/>
      <c r="U558" s="211"/>
      <c r="V558" s="211"/>
      <c r="W558" s="211"/>
      <c r="X558" s="211"/>
      <c r="Y558" s="211"/>
      <c r="Z558" s="211"/>
      <c r="AA558" s="211"/>
    </row>
    <row r="559">
      <c r="A559" s="211"/>
      <c r="B559" s="211"/>
      <c r="C559" s="211"/>
      <c r="D559" s="211"/>
      <c r="E559" s="211"/>
      <c r="F559" s="211"/>
      <c r="G559" s="211"/>
      <c r="H559" s="211"/>
      <c r="I559" s="211"/>
      <c r="J559" s="211"/>
      <c r="K559" s="211"/>
      <c r="L559" s="211"/>
      <c r="M559" s="211"/>
      <c r="N559" s="211"/>
      <c r="O559" s="211"/>
      <c r="P559" s="211"/>
      <c r="Q559" s="211"/>
      <c r="R559" s="211"/>
      <c r="S559" s="211"/>
      <c r="T559" s="211"/>
      <c r="U559" s="211"/>
      <c r="V559" s="211"/>
      <c r="W559" s="211"/>
      <c r="X559" s="211"/>
      <c r="Y559" s="211"/>
      <c r="Z559" s="211"/>
      <c r="AA559" s="211"/>
    </row>
    <row r="560">
      <c r="A560" s="211"/>
      <c r="B560" s="211"/>
      <c r="C560" s="211"/>
      <c r="D560" s="211"/>
      <c r="E560" s="211"/>
      <c r="F560" s="211"/>
      <c r="G560" s="211"/>
      <c r="H560" s="211"/>
      <c r="I560" s="211"/>
      <c r="J560" s="211"/>
      <c r="K560" s="211"/>
      <c r="L560" s="211"/>
      <c r="M560" s="211"/>
      <c r="N560" s="211"/>
      <c r="O560" s="211"/>
      <c r="P560" s="211"/>
      <c r="Q560" s="211"/>
      <c r="R560" s="211"/>
      <c r="S560" s="211"/>
      <c r="T560" s="211"/>
      <c r="U560" s="211"/>
      <c r="V560" s="211"/>
      <c r="W560" s="211"/>
      <c r="X560" s="211"/>
      <c r="Y560" s="211"/>
      <c r="Z560" s="211"/>
      <c r="AA560" s="211"/>
    </row>
    <row r="561">
      <c r="A561" s="211"/>
      <c r="B561" s="211"/>
      <c r="C561" s="211"/>
      <c r="D561" s="211"/>
      <c r="E561" s="211"/>
      <c r="F561" s="211"/>
      <c r="G561" s="211"/>
      <c r="H561" s="211"/>
      <c r="I561" s="211"/>
      <c r="J561" s="211"/>
      <c r="K561" s="211"/>
      <c r="L561" s="211"/>
      <c r="M561" s="211"/>
      <c r="N561" s="211"/>
      <c r="O561" s="211"/>
      <c r="P561" s="211"/>
      <c r="Q561" s="211"/>
      <c r="R561" s="211"/>
      <c r="S561" s="211"/>
      <c r="T561" s="211"/>
      <c r="U561" s="211"/>
      <c r="V561" s="211"/>
      <c r="W561" s="211"/>
      <c r="X561" s="211"/>
      <c r="Y561" s="211"/>
      <c r="Z561" s="211"/>
      <c r="AA561" s="211"/>
    </row>
    <row r="562">
      <c r="A562" s="211"/>
      <c r="B562" s="211"/>
      <c r="C562" s="211"/>
      <c r="D562" s="211"/>
      <c r="E562" s="211"/>
      <c r="F562" s="211"/>
      <c r="G562" s="211"/>
      <c r="H562" s="211"/>
      <c r="I562" s="211"/>
      <c r="J562" s="211"/>
      <c r="K562" s="211"/>
      <c r="L562" s="211"/>
      <c r="M562" s="211"/>
      <c r="N562" s="211"/>
      <c r="O562" s="211"/>
      <c r="P562" s="211"/>
      <c r="Q562" s="211"/>
      <c r="R562" s="211"/>
      <c r="S562" s="211"/>
      <c r="T562" s="211"/>
      <c r="U562" s="211"/>
      <c r="V562" s="211"/>
      <c r="W562" s="211"/>
      <c r="X562" s="211"/>
      <c r="Y562" s="211"/>
      <c r="Z562" s="211"/>
      <c r="AA562" s="211"/>
    </row>
    <row r="563">
      <c r="A563" s="211"/>
      <c r="B563" s="211"/>
      <c r="C563" s="211"/>
      <c r="D563" s="211"/>
      <c r="E563" s="211"/>
      <c r="F563" s="211"/>
      <c r="G563" s="211"/>
      <c r="H563" s="211"/>
      <c r="I563" s="211"/>
      <c r="J563" s="211"/>
      <c r="K563" s="211"/>
      <c r="L563" s="211"/>
      <c r="M563" s="211"/>
      <c r="N563" s="211"/>
      <c r="O563" s="211"/>
      <c r="P563" s="211"/>
      <c r="Q563" s="211"/>
      <c r="R563" s="211"/>
      <c r="S563" s="211"/>
      <c r="T563" s="211"/>
      <c r="U563" s="211"/>
      <c r="V563" s="211"/>
      <c r="W563" s="211"/>
      <c r="X563" s="211"/>
      <c r="Y563" s="211"/>
      <c r="Z563" s="211"/>
      <c r="AA563" s="211"/>
    </row>
    <row r="564">
      <c r="A564" s="211"/>
      <c r="B564" s="211"/>
      <c r="C564" s="211"/>
      <c r="D564" s="211"/>
      <c r="E564" s="211"/>
      <c r="F564" s="211"/>
      <c r="G564" s="211"/>
      <c r="H564" s="211"/>
      <c r="I564" s="211"/>
      <c r="J564" s="211"/>
      <c r="K564" s="211"/>
      <c r="L564" s="211"/>
      <c r="M564" s="211"/>
      <c r="N564" s="211"/>
      <c r="O564" s="211"/>
      <c r="P564" s="211"/>
      <c r="Q564" s="211"/>
      <c r="R564" s="211"/>
      <c r="S564" s="211"/>
      <c r="T564" s="211"/>
      <c r="U564" s="211"/>
      <c r="V564" s="211"/>
      <c r="W564" s="211"/>
      <c r="X564" s="211"/>
      <c r="Y564" s="211"/>
      <c r="Z564" s="211"/>
      <c r="AA564" s="211"/>
    </row>
    <row r="565">
      <c r="A565" s="211"/>
      <c r="B565" s="211"/>
      <c r="C565" s="211"/>
      <c r="D565" s="211"/>
      <c r="E565" s="211"/>
      <c r="F565" s="211"/>
      <c r="G565" s="211"/>
      <c r="H565" s="211"/>
      <c r="I565" s="211"/>
      <c r="J565" s="211"/>
      <c r="K565" s="211"/>
      <c r="L565" s="211"/>
      <c r="M565" s="211"/>
      <c r="N565" s="211"/>
      <c r="O565" s="211"/>
      <c r="P565" s="211"/>
      <c r="Q565" s="211"/>
      <c r="R565" s="211"/>
      <c r="S565" s="211"/>
      <c r="T565" s="211"/>
      <c r="U565" s="211"/>
      <c r="V565" s="211"/>
      <c r="W565" s="211"/>
      <c r="X565" s="211"/>
      <c r="Y565" s="211"/>
      <c r="Z565" s="211"/>
      <c r="AA565" s="211"/>
    </row>
    <row r="566">
      <c r="A566" s="211"/>
      <c r="B566" s="211"/>
      <c r="C566" s="211"/>
      <c r="D566" s="211"/>
      <c r="E566" s="211"/>
      <c r="F566" s="211"/>
      <c r="G566" s="211"/>
      <c r="H566" s="211"/>
      <c r="I566" s="211"/>
      <c r="J566" s="211"/>
      <c r="K566" s="211"/>
      <c r="L566" s="211"/>
      <c r="M566" s="211"/>
      <c r="N566" s="211"/>
      <c r="O566" s="211"/>
      <c r="P566" s="211"/>
      <c r="Q566" s="211"/>
      <c r="R566" s="211"/>
      <c r="S566" s="211"/>
      <c r="T566" s="211"/>
      <c r="U566" s="211"/>
      <c r="V566" s="211"/>
      <c r="W566" s="211"/>
      <c r="X566" s="211"/>
      <c r="Y566" s="211"/>
      <c r="Z566" s="211"/>
      <c r="AA566" s="211"/>
    </row>
    <row r="567">
      <c r="A567" s="211"/>
      <c r="B567" s="211"/>
      <c r="C567" s="211"/>
      <c r="D567" s="211"/>
      <c r="E567" s="211"/>
      <c r="F567" s="211"/>
      <c r="G567" s="211"/>
      <c r="H567" s="211"/>
      <c r="I567" s="211"/>
      <c r="J567" s="211"/>
      <c r="K567" s="211"/>
      <c r="L567" s="211"/>
      <c r="M567" s="211"/>
      <c r="N567" s="211"/>
      <c r="O567" s="211"/>
      <c r="P567" s="211"/>
      <c r="Q567" s="211"/>
      <c r="R567" s="211"/>
      <c r="S567" s="211"/>
      <c r="T567" s="211"/>
      <c r="U567" s="211"/>
      <c r="V567" s="211"/>
      <c r="W567" s="211"/>
      <c r="X567" s="211"/>
      <c r="Y567" s="211"/>
      <c r="Z567" s="211"/>
      <c r="AA567" s="211"/>
    </row>
    <row r="568">
      <c r="A568" s="211"/>
      <c r="B568" s="211"/>
      <c r="C568" s="211"/>
      <c r="D568" s="211"/>
      <c r="E568" s="211"/>
      <c r="F568" s="211"/>
      <c r="G568" s="211"/>
      <c r="H568" s="211"/>
      <c r="I568" s="211"/>
      <c r="J568" s="211"/>
      <c r="K568" s="211"/>
      <c r="L568" s="211"/>
      <c r="M568" s="211"/>
      <c r="N568" s="211"/>
      <c r="O568" s="211"/>
      <c r="P568" s="211"/>
      <c r="Q568" s="211"/>
      <c r="R568" s="211"/>
      <c r="S568" s="211"/>
      <c r="T568" s="211"/>
      <c r="U568" s="211"/>
      <c r="V568" s="211"/>
      <c r="W568" s="211"/>
      <c r="X568" s="211"/>
      <c r="Y568" s="211"/>
      <c r="Z568" s="211"/>
      <c r="AA568" s="211"/>
    </row>
    <row r="569">
      <c r="A569" s="211"/>
      <c r="B569" s="211"/>
      <c r="C569" s="211"/>
      <c r="D569" s="211"/>
      <c r="E569" s="211"/>
      <c r="F569" s="211"/>
      <c r="G569" s="211"/>
      <c r="H569" s="211"/>
      <c r="I569" s="211"/>
      <c r="J569" s="211"/>
      <c r="K569" s="211"/>
      <c r="L569" s="211"/>
      <c r="M569" s="211"/>
      <c r="N569" s="211"/>
      <c r="O569" s="211"/>
      <c r="P569" s="211"/>
      <c r="Q569" s="211"/>
      <c r="R569" s="211"/>
      <c r="S569" s="211"/>
      <c r="T569" s="211"/>
      <c r="U569" s="211"/>
      <c r="V569" s="211"/>
      <c r="W569" s="211"/>
      <c r="X569" s="211"/>
      <c r="Y569" s="211"/>
      <c r="Z569" s="211"/>
      <c r="AA569" s="211"/>
    </row>
    <row r="570">
      <c r="A570" s="211"/>
      <c r="B570" s="211"/>
      <c r="C570" s="211"/>
      <c r="D570" s="211"/>
      <c r="E570" s="211"/>
      <c r="F570" s="211"/>
      <c r="G570" s="211"/>
      <c r="H570" s="211"/>
      <c r="I570" s="211"/>
      <c r="J570" s="211"/>
      <c r="K570" s="211"/>
      <c r="L570" s="211"/>
      <c r="M570" s="211"/>
      <c r="N570" s="211"/>
      <c r="O570" s="211"/>
      <c r="P570" s="211"/>
      <c r="Q570" s="211"/>
      <c r="R570" s="211"/>
      <c r="S570" s="211"/>
      <c r="T570" s="211"/>
      <c r="U570" s="211"/>
      <c r="V570" s="211"/>
      <c r="W570" s="211"/>
      <c r="X570" s="211"/>
      <c r="Y570" s="211"/>
      <c r="Z570" s="211"/>
      <c r="AA570" s="211"/>
    </row>
    <row r="571">
      <c r="A571" s="211"/>
      <c r="B571" s="211"/>
      <c r="C571" s="211"/>
      <c r="D571" s="211"/>
      <c r="E571" s="211"/>
      <c r="F571" s="211"/>
      <c r="G571" s="211"/>
      <c r="H571" s="211"/>
      <c r="I571" s="211"/>
      <c r="J571" s="211"/>
      <c r="K571" s="211"/>
      <c r="L571" s="211"/>
      <c r="M571" s="211"/>
      <c r="N571" s="211"/>
      <c r="O571" s="211"/>
      <c r="P571" s="211"/>
      <c r="Q571" s="211"/>
      <c r="R571" s="211"/>
      <c r="S571" s="211"/>
      <c r="T571" s="211"/>
      <c r="U571" s="211"/>
      <c r="V571" s="211"/>
      <c r="W571" s="211"/>
      <c r="X571" s="211"/>
      <c r="Y571" s="211"/>
      <c r="Z571" s="211"/>
      <c r="AA571" s="211"/>
    </row>
    <row r="572">
      <c r="A572" s="211"/>
      <c r="B572" s="211"/>
      <c r="C572" s="211"/>
      <c r="D572" s="211"/>
      <c r="E572" s="211"/>
      <c r="F572" s="211"/>
      <c r="G572" s="211"/>
      <c r="H572" s="211"/>
      <c r="I572" s="211"/>
      <c r="J572" s="211"/>
      <c r="K572" s="211"/>
      <c r="L572" s="211"/>
      <c r="M572" s="211"/>
      <c r="N572" s="211"/>
      <c r="O572" s="211"/>
      <c r="P572" s="211"/>
      <c r="Q572" s="211"/>
      <c r="R572" s="211"/>
      <c r="S572" s="211"/>
      <c r="T572" s="211"/>
      <c r="U572" s="211"/>
      <c r="V572" s="211"/>
      <c r="W572" s="211"/>
      <c r="X572" s="211"/>
      <c r="Y572" s="211"/>
      <c r="Z572" s="211"/>
      <c r="AA572" s="211"/>
    </row>
    <row r="573">
      <c r="A573" s="211"/>
      <c r="B573" s="211"/>
      <c r="C573" s="211"/>
      <c r="D573" s="211"/>
      <c r="E573" s="211"/>
      <c r="F573" s="211"/>
      <c r="G573" s="211"/>
      <c r="H573" s="211"/>
      <c r="I573" s="211"/>
      <c r="J573" s="211"/>
      <c r="K573" s="211"/>
      <c r="L573" s="211"/>
      <c r="M573" s="211"/>
      <c r="N573" s="211"/>
      <c r="O573" s="211"/>
      <c r="P573" s="211"/>
      <c r="Q573" s="211"/>
      <c r="R573" s="211"/>
      <c r="S573" s="211"/>
      <c r="T573" s="211"/>
      <c r="U573" s="211"/>
      <c r="V573" s="211"/>
      <c r="W573" s="211"/>
      <c r="X573" s="211"/>
      <c r="Y573" s="211"/>
      <c r="Z573" s="211"/>
      <c r="AA573" s="211"/>
    </row>
    <row r="574">
      <c r="A574" s="211"/>
      <c r="B574" s="211"/>
      <c r="C574" s="211"/>
      <c r="D574" s="211"/>
      <c r="E574" s="211"/>
      <c r="F574" s="211"/>
      <c r="G574" s="211"/>
      <c r="H574" s="211"/>
      <c r="I574" s="211"/>
      <c r="J574" s="211"/>
      <c r="K574" s="211"/>
      <c r="L574" s="211"/>
      <c r="M574" s="211"/>
      <c r="N574" s="211"/>
      <c r="O574" s="211"/>
      <c r="P574" s="211"/>
      <c r="Q574" s="211"/>
      <c r="R574" s="211"/>
      <c r="S574" s="211"/>
      <c r="T574" s="211"/>
      <c r="U574" s="211"/>
      <c r="V574" s="211"/>
      <c r="W574" s="211"/>
      <c r="X574" s="211"/>
      <c r="Y574" s="211"/>
      <c r="Z574" s="211"/>
      <c r="AA574" s="211"/>
    </row>
    <row r="575">
      <c r="A575" s="211"/>
      <c r="B575" s="211"/>
      <c r="C575" s="211"/>
      <c r="D575" s="211"/>
      <c r="E575" s="211"/>
      <c r="F575" s="211"/>
      <c r="G575" s="211"/>
      <c r="H575" s="211"/>
      <c r="I575" s="211"/>
      <c r="J575" s="211"/>
      <c r="K575" s="211"/>
      <c r="L575" s="211"/>
      <c r="M575" s="211"/>
      <c r="N575" s="211"/>
      <c r="O575" s="211"/>
      <c r="P575" s="211"/>
      <c r="Q575" s="211"/>
      <c r="R575" s="211"/>
      <c r="S575" s="211"/>
      <c r="T575" s="211"/>
      <c r="U575" s="211"/>
      <c r="V575" s="211"/>
      <c r="W575" s="211"/>
      <c r="X575" s="211"/>
      <c r="Y575" s="211"/>
      <c r="Z575" s="211"/>
      <c r="AA575" s="211"/>
    </row>
    <row r="576">
      <c r="A576" s="211"/>
      <c r="B576" s="211"/>
      <c r="C576" s="211"/>
      <c r="D576" s="211"/>
      <c r="E576" s="211"/>
      <c r="F576" s="211"/>
      <c r="G576" s="211"/>
      <c r="H576" s="211"/>
      <c r="I576" s="211"/>
      <c r="J576" s="211"/>
      <c r="K576" s="211"/>
      <c r="L576" s="211"/>
      <c r="M576" s="211"/>
      <c r="N576" s="211"/>
      <c r="O576" s="211"/>
      <c r="P576" s="211"/>
      <c r="Q576" s="211"/>
      <c r="R576" s="211"/>
      <c r="S576" s="211"/>
      <c r="T576" s="211"/>
      <c r="U576" s="211"/>
      <c r="V576" s="211"/>
      <c r="W576" s="211"/>
      <c r="X576" s="211"/>
      <c r="Y576" s="211"/>
      <c r="Z576" s="211"/>
      <c r="AA576" s="211"/>
    </row>
    <row r="577">
      <c r="A577" s="211"/>
      <c r="B577" s="211"/>
      <c r="C577" s="211"/>
      <c r="D577" s="211"/>
      <c r="E577" s="211"/>
      <c r="F577" s="211"/>
      <c r="G577" s="211"/>
      <c r="H577" s="211"/>
      <c r="I577" s="211"/>
      <c r="J577" s="211"/>
      <c r="K577" s="211"/>
      <c r="L577" s="211"/>
      <c r="M577" s="211"/>
      <c r="N577" s="211"/>
      <c r="O577" s="211"/>
      <c r="P577" s="211"/>
      <c r="Q577" s="211"/>
      <c r="R577" s="211"/>
      <c r="S577" s="211"/>
      <c r="T577" s="211"/>
      <c r="U577" s="211"/>
      <c r="V577" s="211"/>
      <c r="W577" s="211"/>
      <c r="X577" s="211"/>
      <c r="Y577" s="211"/>
      <c r="Z577" s="211"/>
      <c r="AA577" s="211"/>
    </row>
    <row r="578">
      <c r="A578" s="211"/>
      <c r="B578" s="211"/>
      <c r="C578" s="211"/>
      <c r="D578" s="211"/>
      <c r="E578" s="211"/>
      <c r="F578" s="211"/>
      <c r="G578" s="211"/>
      <c r="H578" s="211"/>
      <c r="I578" s="211"/>
      <c r="J578" s="211"/>
      <c r="K578" s="211"/>
      <c r="L578" s="211"/>
      <c r="M578" s="211"/>
      <c r="N578" s="211"/>
      <c r="O578" s="211"/>
      <c r="P578" s="211"/>
      <c r="Q578" s="211"/>
      <c r="R578" s="211"/>
      <c r="S578" s="211"/>
      <c r="T578" s="211"/>
      <c r="U578" s="211"/>
      <c r="V578" s="211"/>
      <c r="W578" s="211"/>
      <c r="X578" s="211"/>
      <c r="Y578" s="211"/>
      <c r="Z578" s="211"/>
      <c r="AA578" s="211"/>
    </row>
    <row r="579">
      <c r="A579" s="211"/>
      <c r="B579" s="211"/>
      <c r="C579" s="211"/>
      <c r="D579" s="211"/>
      <c r="E579" s="211"/>
      <c r="F579" s="211"/>
      <c r="G579" s="211"/>
      <c r="H579" s="211"/>
      <c r="I579" s="211"/>
      <c r="J579" s="211"/>
      <c r="K579" s="211"/>
      <c r="L579" s="211"/>
      <c r="M579" s="211"/>
      <c r="N579" s="211"/>
      <c r="O579" s="211"/>
      <c r="P579" s="211"/>
      <c r="Q579" s="211"/>
      <c r="R579" s="211"/>
      <c r="S579" s="211"/>
      <c r="T579" s="211"/>
      <c r="U579" s="211"/>
      <c r="V579" s="211"/>
      <c r="W579" s="211"/>
      <c r="X579" s="211"/>
      <c r="Y579" s="211"/>
      <c r="Z579" s="211"/>
      <c r="AA579" s="211"/>
    </row>
    <row r="580">
      <c r="A580" s="211"/>
      <c r="B580" s="211"/>
      <c r="C580" s="211"/>
      <c r="D580" s="211"/>
      <c r="E580" s="211"/>
      <c r="F580" s="211"/>
      <c r="G580" s="211"/>
      <c r="H580" s="211"/>
      <c r="I580" s="211"/>
      <c r="J580" s="211"/>
      <c r="K580" s="211"/>
      <c r="L580" s="211"/>
      <c r="M580" s="211"/>
      <c r="N580" s="211"/>
      <c r="O580" s="211"/>
      <c r="P580" s="211"/>
      <c r="Q580" s="211"/>
      <c r="R580" s="211"/>
      <c r="S580" s="211"/>
      <c r="T580" s="211"/>
      <c r="U580" s="211"/>
      <c r="V580" s="211"/>
      <c r="W580" s="211"/>
      <c r="X580" s="211"/>
      <c r="Y580" s="211"/>
      <c r="Z580" s="211"/>
      <c r="AA580" s="211"/>
    </row>
    <row r="581">
      <c r="A581" s="211"/>
      <c r="B581" s="211"/>
      <c r="C581" s="211"/>
      <c r="D581" s="211"/>
      <c r="E581" s="211"/>
      <c r="F581" s="211"/>
      <c r="G581" s="211"/>
      <c r="H581" s="211"/>
      <c r="I581" s="211"/>
      <c r="J581" s="211"/>
      <c r="K581" s="211"/>
      <c r="L581" s="211"/>
      <c r="M581" s="211"/>
      <c r="N581" s="211"/>
      <c r="O581" s="211"/>
      <c r="P581" s="211"/>
      <c r="Q581" s="211"/>
      <c r="R581" s="211"/>
      <c r="S581" s="211"/>
      <c r="T581" s="211"/>
      <c r="U581" s="211"/>
      <c r="V581" s="211"/>
      <c r="W581" s="211"/>
      <c r="X581" s="211"/>
      <c r="Y581" s="211"/>
      <c r="Z581" s="211"/>
      <c r="AA581" s="211"/>
    </row>
    <row r="582">
      <c r="A582" s="211"/>
      <c r="B582" s="211"/>
      <c r="C582" s="211"/>
      <c r="D582" s="211"/>
      <c r="E582" s="211"/>
      <c r="F582" s="211"/>
      <c r="G582" s="211"/>
      <c r="H582" s="211"/>
      <c r="I582" s="211"/>
      <c r="J582" s="211"/>
      <c r="K582" s="211"/>
      <c r="L582" s="211"/>
      <c r="M582" s="211"/>
      <c r="N582" s="211"/>
      <c r="O582" s="211"/>
      <c r="P582" s="211"/>
      <c r="Q582" s="211"/>
      <c r="R582" s="211"/>
      <c r="S582" s="211"/>
      <c r="T582" s="211"/>
      <c r="U582" s="211"/>
      <c r="V582" s="211"/>
      <c r="W582" s="211"/>
      <c r="X582" s="211"/>
      <c r="Y582" s="211"/>
      <c r="Z582" s="211"/>
      <c r="AA582" s="211"/>
    </row>
    <row r="583">
      <c r="A583" s="211"/>
      <c r="B583" s="211"/>
      <c r="C583" s="211"/>
      <c r="D583" s="211"/>
      <c r="E583" s="211"/>
      <c r="F583" s="211"/>
      <c r="G583" s="211"/>
      <c r="H583" s="211"/>
      <c r="I583" s="211"/>
      <c r="J583" s="211"/>
      <c r="K583" s="211"/>
      <c r="L583" s="211"/>
      <c r="M583" s="211"/>
      <c r="N583" s="211"/>
      <c r="O583" s="211"/>
      <c r="P583" s="211"/>
      <c r="Q583" s="211"/>
      <c r="R583" s="211"/>
      <c r="S583" s="211"/>
      <c r="T583" s="211"/>
      <c r="U583" s="211"/>
      <c r="V583" s="211"/>
      <c r="W583" s="211"/>
      <c r="X583" s="211"/>
      <c r="Y583" s="211"/>
      <c r="Z583" s="211"/>
      <c r="AA583" s="211"/>
    </row>
    <row r="584">
      <c r="A584" s="211"/>
      <c r="B584" s="211"/>
      <c r="C584" s="211"/>
      <c r="D584" s="211"/>
      <c r="E584" s="211"/>
      <c r="F584" s="211"/>
      <c r="G584" s="211"/>
      <c r="H584" s="211"/>
      <c r="I584" s="211"/>
      <c r="J584" s="211"/>
      <c r="K584" s="211"/>
      <c r="L584" s="211"/>
      <c r="M584" s="211"/>
      <c r="N584" s="211"/>
      <c r="O584" s="211"/>
      <c r="P584" s="211"/>
      <c r="Q584" s="211"/>
      <c r="R584" s="211"/>
      <c r="S584" s="211"/>
      <c r="T584" s="211"/>
      <c r="U584" s="211"/>
      <c r="V584" s="211"/>
      <c r="W584" s="211"/>
      <c r="X584" s="211"/>
      <c r="Y584" s="211"/>
      <c r="Z584" s="211"/>
      <c r="AA584" s="211"/>
    </row>
    <row r="585">
      <c r="A585" s="211"/>
      <c r="B585" s="211"/>
      <c r="C585" s="211"/>
      <c r="D585" s="211"/>
      <c r="E585" s="211"/>
      <c r="F585" s="211"/>
      <c r="G585" s="211"/>
      <c r="H585" s="211"/>
      <c r="I585" s="211"/>
      <c r="J585" s="211"/>
      <c r="K585" s="211"/>
      <c r="L585" s="211"/>
      <c r="M585" s="211"/>
      <c r="N585" s="211"/>
      <c r="O585" s="211"/>
      <c r="P585" s="211"/>
      <c r="Q585" s="211"/>
      <c r="R585" s="211"/>
      <c r="S585" s="211"/>
      <c r="T585" s="211"/>
      <c r="U585" s="211"/>
      <c r="V585" s="211"/>
      <c r="W585" s="211"/>
      <c r="X585" s="211"/>
      <c r="Y585" s="211"/>
      <c r="Z585" s="211"/>
      <c r="AA585" s="211"/>
    </row>
    <row r="586">
      <c r="A586" s="211"/>
      <c r="B586" s="211"/>
      <c r="C586" s="211"/>
      <c r="D586" s="211"/>
      <c r="E586" s="211"/>
      <c r="F586" s="211"/>
      <c r="G586" s="211"/>
      <c r="H586" s="211"/>
      <c r="I586" s="211"/>
      <c r="J586" s="211"/>
      <c r="K586" s="211"/>
      <c r="L586" s="211"/>
      <c r="M586" s="211"/>
      <c r="N586" s="211"/>
      <c r="O586" s="211"/>
      <c r="P586" s="211"/>
      <c r="Q586" s="211"/>
      <c r="R586" s="211"/>
      <c r="S586" s="211"/>
      <c r="T586" s="211"/>
      <c r="U586" s="211"/>
      <c r="V586" s="211"/>
      <c r="W586" s="211"/>
      <c r="X586" s="211"/>
      <c r="Y586" s="211"/>
      <c r="Z586" s="211"/>
      <c r="AA586" s="211"/>
    </row>
    <row r="587">
      <c r="A587" s="211"/>
      <c r="B587" s="211"/>
      <c r="C587" s="211"/>
      <c r="D587" s="211"/>
      <c r="E587" s="211"/>
      <c r="F587" s="211"/>
      <c r="G587" s="211"/>
      <c r="H587" s="211"/>
      <c r="I587" s="211"/>
      <c r="J587" s="211"/>
      <c r="K587" s="211"/>
      <c r="L587" s="211"/>
      <c r="M587" s="211"/>
      <c r="N587" s="211"/>
      <c r="O587" s="211"/>
      <c r="P587" s="211"/>
      <c r="Q587" s="211"/>
      <c r="R587" s="211"/>
      <c r="S587" s="211"/>
      <c r="T587" s="211"/>
      <c r="U587" s="211"/>
      <c r="V587" s="211"/>
      <c r="W587" s="211"/>
      <c r="X587" s="211"/>
      <c r="Y587" s="211"/>
      <c r="Z587" s="211"/>
      <c r="AA587" s="211"/>
    </row>
    <row r="588">
      <c r="A588" s="211"/>
      <c r="B588" s="211"/>
      <c r="C588" s="211"/>
      <c r="D588" s="211"/>
      <c r="E588" s="211"/>
      <c r="F588" s="211"/>
      <c r="G588" s="211"/>
      <c r="H588" s="211"/>
      <c r="I588" s="211"/>
      <c r="J588" s="211"/>
      <c r="K588" s="211"/>
      <c r="L588" s="211"/>
      <c r="M588" s="211"/>
      <c r="N588" s="211"/>
      <c r="O588" s="211"/>
      <c r="P588" s="211"/>
      <c r="Q588" s="211"/>
      <c r="R588" s="211"/>
      <c r="S588" s="211"/>
      <c r="T588" s="211"/>
      <c r="U588" s="211"/>
      <c r="V588" s="211"/>
      <c r="W588" s="211"/>
      <c r="X588" s="211"/>
      <c r="Y588" s="211"/>
      <c r="Z588" s="211"/>
      <c r="AA588" s="211"/>
    </row>
    <row r="589">
      <c r="A589" s="211"/>
      <c r="B589" s="211"/>
      <c r="C589" s="211"/>
      <c r="D589" s="211"/>
      <c r="E589" s="211"/>
      <c r="F589" s="211"/>
      <c r="G589" s="211"/>
      <c r="H589" s="211"/>
      <c r="I589" s="211"/>
      <c r="J589" s="211"/>
      <c r="K589" s="211"/>
      <c r="L589" s="211"/>
      <c r="M589" s="211"/>
      <c r="N589" s="211"/>
      <c r="O589" s="211"/>
      <c r="P589" s="211"/>
      <c r="Q589" s="211"/>
      <c r="R589" s="211"/>
      <c r="S589" s="211"/>
      <c r="T589" s="211"/>
      <c r="U589" s="211"/>
      <c r="V589" s="211"/>
      <c r="W589" s="211"/>
      <c r="X589" s="211"/>
      <c r="Y589" s="211"/>
      <c r="Z589" s="211"/>
      <c r="AA589" s="211"/>
    </row>
    <row r="590">
      <c r="A590" s="211"/>
      <c r="B590" s="211"/>
      <c r="C590" s="211"/>
      <c r="D590" s="211"/>
      <c r="E590" s="211"/>
      <c r="F590" s="211"/>
      <c r="G590" s="211"/>
      <c r="H590" s="211"/>
      <c r="I590" s="211"/>
      <c r="J590" s="211"/>
      <c r="K590" s="211"/>
      <c r="L590" s="211"/>
      <c r="M590" s="211"/>
      <c r="N590" s="211"/>
      <c r="O590" s="211"/>
      <c r="P590" s="211"/>
      <c r="Q590" s="211"/>
      <c r="R590" s="211"/>
      <c r="S590" s="211"/>
      <c r="T590" s="211"/>
      <c r="U590" s="211"/>
      <c r="V590" s="211"/>
      <c r="W590" s="211"/>
      <c r="X590" s="211"/>
      <c r="Y590" s="211"/>
      <c r="Z590" s="211"/>
      <c r="AA590" s="211"/>
    </row>
    <row r="591">
      <c r="A591" s="211"/>
      <c r="B591" s="211"/>
      <c r="C591" s="211"/>
      <c r="D591" s="211"/>
      <c r="E591" s="211"/>
      <c r="F591" s="211"/>
      <c r="G591" s="211"/>
      <c r="H591" s="211"/>
      <c r="I591" s="211"/>
      <c r="J591" s="211"/>
      <c r="K591" s="211"/>
      <c r="L591" s="211"/>
      <c r="M591" s="211"/>
      <c r="N591" s="211"/>
      <c r="O591" s="211"/>
      <c r="P591" s="211"/>
      <c r="Q591" s="211"/>
      <c r="R591" s="211"/>
      <c r="S591" s="211"/>
      <c r="T591" s="211"/>
      <c r="U591" s="211"/>
      <c r="V591" s="211"/>
      <c r="W591" s="211"/>
      <c r="X591" s="211"/>
      <c r="Y591" s="211"/>
      <c r="Z591" s="211"/>
      <c r="AA591" s="211"/>
    </row>
    <row r="592">
      <c r="A592" s="211"/>
      <c r="B592" s="211"/>
      <c r="C592" s="211"/>
      <c r="D592" s="211"/>
      <c r="E592" s="211"/>
      <c r="F592" s="211"/>
      <c r="G592" s="211"/>
      <c r="H592" s="211"/>
      <c r="I592" s="211"/>
      <c r="J592" s="211"/>
      <c r="K592" s="211"/>
      <c r="L592" s="211"/>
      <c r="M592" s="211"/>
      <c r="N592" s="211"/>
      <c r="O592" s="211"/>
      <c r="P592" s="211"/>
      <c r="Q592" s="211"/>
      <c r="R592" s="211"/>
      <c r="S592" s="211"/>
      <c r="T592" s="211"/>
      <c r="U592" s="211"/>
      <c r="V592" s="211"/>
      <c r="W592" s="211"/>
      <c r="X592" s="211"/>
      <c r="Y592" s="211"/>
      <c r="Z592" s="211"/>
      <c r="AA592" s="211"/>
    </row>
    <row r="593">
      <c r="A593" s="211"/>
      <c r="B593" s="211"/>
      <c r="C593" s="211"/>
      <c r="D593" s="211"/>
      <c r="E593" s="211"/>
      <c r="F593" s="211"/>
      <c r="G593" s="211"/>
      <c r="H593" s="211"/>
      <c r="I593" s="211"/>
      <c r="J593" s="211"/>
      <c r="K593" s="211"/>
      <c r="L593" s="211"/>
      <c r="M593" s="211"/>
      <c r="N593" s="211"/>
      <c r="O593" s="211"/>
      <c r="P593" s="211"/>
      <c r="Q593" s="211"/>
      <c r="R593" s="211"/>
      <c r="S593" s="211"/>
      <c r="T593" s="211"/>
      <c r="U593" s="211"/>
      <c r="V593" s="211"/>
      <c r="W593" s="211"/>
      <c r="X593" s="211"/>
      <c r="Y593" s="211"/>
      <c r="Z593" s="211"/>
      <c r="AA593" s="211"/>
    </row>
    <row r="594">
      <c r="A594" s="211"/>
      <c r="B594" s="211"/>
      <c r="C594" s="211"/>
      <c r="D594" s="211"/>
      <c r="E594" s="211"/>
      <c r="F594" s="211"/>
      <c r="G594" s="211"/>
      <c r="H594" s="211"/>
      <c r="I594" s="211"/>
      <c r="J594" s="211"/>
      <c r="K594" s="211"/>
      <c r="L594" s="211"/>
      <c r="M594" s="211"/>
      <c r="N594" s="211"/>
      <c r="O594" s="211"/>
      <c r="P594" s="211"/>
      <c r="Q594" s="211"/>
      <c r="R594" s="211"/>
      <c r="S594" s="211"/>
      <c r="T594" s="211"/>
      <c r="U594" s="211"/>
      <c r="V594" s="211"/>
      <c r="W594" s="211"/>
      <c r="X594" s="211"/>
      <c r="Y594" s="211"/>
      <c r="Z594" s="211"/>
      <c r="AA594" s="211"/>
    </row>
    <row r="595">
      <c r="A595" s="211"/>
      <c r="B595" s="211"/>
      <c r="C595" s="211"/>
      <c r="D595" s="211"/>
      <c r="E595" s="211"/>
      <c r="F595" s="211"/>
      <c r="G595" s="211"/>
      <c r="H595" s="211"/>
      <c r="I595" s="211"/>
      <c r="J595" s="211"/>
      <c r="K595" s="211"/>
      <c r="L595" s="211"/>
      <c r="M595" s="211"/>
      <c r="N595" s="211"/>
      <c r="O595" s="211"/>
      <c r="P595" s="211"/>
      <c r="Q595" s="211"/>
      <c r="R595" s="211"/>
      <c r="S595" s="211"/>
      <c r="T595" s="211"/>
      <c r="U595" s="211"/>
      <c r="V595" s="211"/>
      <c r="W595" s="211"/>
      <c r="X595" s="211"/>
      <c r="Y595" s="211"/>
      <c r="Z595" s="211"/>
      <c r="AA595" s="211"/>
    </row>
    <row r="596">
      <c r="A596" s="211"/>
      <c r="B596" s="211"/>
      <c r="C596" s="211"/>
      <c r="D596" s="211"/>
      <c r="E596" s="211"/>
      <c r="F596" s="211"/>
      <c r="G596" s="211"/>
      <c r="H596" s="211"/>
      <c r="I596" s="211"/>
      <c r="J596" s="211"/>
      <c r="K596" s="211"/>
      <c r="L596" s="211"/>
      <c r="M596" s="211"/>
      <c r="N596" s="211"/>
      <c r="O596" s="211"/>
      <c r="P596" s="211"/>
      <c r="Q596" s="211"/>
      <c r="R596" s="211"/>
      <c r="S596" s="211"/>
      <c r="T596" s="211"/>
      <c r="U596" s="211"/>
      <c r="V596" s="211"/>
      <c r="W596" s="211"/>
      <c r="X596" s="211"/>
      <c r="Y596" s="211"/>
      <c r="Z596" s="211"/>
      <c r="AA596" s="211"/>
    </row>
    <row r="597">
      <c r="A597" s="211"/>
      <c r="B597" s="211"/>
      <c r="C597" s="211"/>
      <c r="D597" s="211"/>
      <c r="E597" s="211"/>
      <c r="F597" s="211"/>
      <c r="G597" s="211"/>
      <c r="H597" s="211"/>
      <c r="I597" s="211"/>
      <c r="J597" s="211"/>
      <c r="K597" s="211"/>
      <c r="L597" s="211"/>
      <c r="M597" s="211"/>
      <c r="N597" s="211"/>
      <c r="O597" s="211"/>
      <c r="P597" s="211"/>
      <c r="Q597" s="211"/>
      <c r="R597" s="211"/>
      <c r="S597" s="211"/>
      <c r="T597" s="211"/>
      <c r="U597" s="211"/>
      <c r="V597" s="211"/>
      <c r="W597" s="211"/>
      <c r="X597" s="211"/>
      <c r="Y597" s="211"/>
      <c r="Z597" s="211"/>
      <c r="AA597" s="211"/>
    </row>
    <row r="598">
      <c r="A598" s="211"/>
      <c r="B598" s="211"/>
      <c r="C598" s="211"/>
      <c r="D598" s="211"/>
      <c r="E598" s="211"/>
      <c r="F598" s="211"/>
      <c r="G598" s="211"/>
      <c r="H598" s="211"/>
      <c r="I598" s="211"/>
      <c r="J598" s="211"/>
      <c r="K598" s="211"/>
      <c r="L598" s="211"/>
      <c r="M598" s="211"/>
      <c r="N598" s="211"/>
      <c r="O598" s="211"/>
      <c r="P598" s="211"/>
      <c r="Q598" s="211"/>
      <c r="R598" s="211"/>
      <c r="S598" s="211"/>
      <c r="T598" s="211"/>
      <c r="U598" s="211"/>
      <c r="V598" s="211"/>
      <c r="W598" s="211"/>
      <c r="X598" s="211"/>
      <c r="Y598" s="211"/>
      <c r="Z598" s="211"/>
      <c r="AA598" s="211"/>
    </row>
    <row r="599">
      <c r="A599" s="211"/>
      <c r="B599" s="211"/>
      <c r="C599" s="211"/>
      <c r="D599" s="211"/>
      <c r="E599" s="211"/>
      <c r="F599" s="211"/>
      <c r="G599" s="211"/>
      <c r="H599" s="211"/>
      <c r="I599" s="211"/>
      <c r="J599" s="211"/>
      <c r="K599" s="211"/>
      <c r="L599" s="211"/>
      <c r="M599" s="211"/>
      <c r="N599" s="211"/>
      <c r="O599" s="211"/>
      <c r="P599" s="211"/>
      <c r="Q599" s="211"/>
      <c r="R599" s="211"/>
      <c r="S599" s="211"/>
      <c r="T599" s="211"/>
      <c r="U599" s="211"/>
      <c r="V599" s="211"/>
      <c r="W599" s="211"/>
      <c r="X599" s="211"/>
      <c r="Y599" s="211"/>
      <c r="Z599" s="211"/>
      <c r="AA599" s="211"/>
    </row>
    <row r="600">
      <c r="A600" s="211"/>
      <c r="B600" s="211"/>
      <c r="C600" s="211"/>
      <c r="D600" s="211"/>
      <c r="E600" s="211"/>
      <c r="F600" s="211"/>
      <c r="G600" s="211"/>
      <c r="H600" s="211"/>
      <c r="I600" s="211"/>
      <c r="J600" s="211"/>
      <c r="K600" s="211"/>
      <c r="L600" s="211"/>
      <c r="M600" s="211"/>
      <c r="N600" s="211"/>
      <c r="O600" s="211"/>
      <c r="P600" s="211"/>
      <c r="Q600" s="211"/>
      <c r="R600" s="211"/>
      <c r="S600" s="211"/>
      <c r="T600" s="211"/>
      <c r="U600" s="211"/>
      <c r="V600" s="211"/>
      <c r="W600" s="211"/>
      <c r="X600" s="211"/>
      <c r="Y600" s="211"/>
      <c r="Z600" s="211"/>
      <c r="AA600" s="211"/>
    </row>
    <row r="601">
      <c r="A601" s="211"/>
      <c r="B601" s="211"/>
      <c r="C601" s="211"/>
      <c r="D601" s="211"/>
      <c r="E601" s="211"/>
      <c r="F601" s="211"/>
      <c r="G601" s="211"/>
      <c r="H601" s="211"/>
      <c r="I601" s="211"/>
      <c r="J601" s="211"/>
      <c r="K601" s="211"/>
      <c r="L601" s="211"/>
      <c r="M601" s="211"/>
      <c r="N601" s="211"/>
      <c r="O601" s="211"/>
      <c r="P601" s="211"/>
      <c r="Q601" s="211"/>
      <c r="R601" s="211"/>
      <c r="S601" s="211"/>
      <c r="T601" s="211"/>
      <c r="U601" s="211"/>
      <c r="V601" s="211"/>
      <c r="W601" s="211"/>
      <c r="X601" s="211"/>
      <c r="Y601" s="211"/>
      <c r="Z601" s="211"/>
      <c r="AA601" s="211"/>
    </row>
    <row r="602">
      <c r="A602" s="211"/>
      <c r="B602" s="211"/>
      <c r="C602" s="211"/>
      <c r="D602" s="211"/>
      <c r="E602" s="211"/>
      <c r="F602" s="211"/>
      <c r="G602" s="211"/>
      <c r="H602" s="211"/>
      <c r="I602" s="211"/>
      <c r="J602" s="211"/>
      <c r="K602" s="211"/>
      <c r="L602" s="211"/>
      <c r="M602" s="211"/>
      <c r="N602" s="211"/>
      <c r="O602" s="211"/>
      <c r="P602" s="211"/>
      <c r="Q602" s="211"/>
      <c r="R602" s="211"/>
      <c r="S602" s="211"/>
      <c r="T602" s="211"/>
      <c r="U602" s="211"/>
      <c r="V602" s="211"/>
      <c r="W602" s="211"/>
      <c r="X602" s="211"/>
      <c r="Y602" s="211"/>
      <c r="Z602" s="211"/>
      <c r="AA602" s="211"/>
    </row>
    <row r="603">
      <c r="A603" s="211"/>
      <c r="B603" s="211"/>
      <c r="C603" s="211"/>
      <c r="D603" s="211"/>
      <c r="E603" s="211"/>
      <c r="F603" s="211"/>
      <c r="G603" s="211"/>
      <c r="H603" s="211"/>
      <c r="I603" s="211"/>
      <c r="J603" s="211"/>
      <c r="K603" s="211"/>
      <c r="L603" s="211"/>
      <c r="M603" s="211"/>
      <c r="N603" s="211"/>
      <c r="O603" s="211"/>
      <c r="P603" s="211"/>
      <c r="Q603" s="211"/>
      <c r="R603" s="211"/>
      <c r="S603" s="211"/>
      <c r="T603" s="211"/>
      <c r="U603" s="211"/>
      <c r="V603" s="211"/>
      <c r="W603" s="211"/>
      <c r="X603" s="211"/>
      <c r="Y603" s="211"/>
      <c r="Z603" s="211"/>
      <c r="AA603" s="211"/>
    </row>
    <row r="604">
      <c r="A604" s="211"/>
      <c r="B604" s="211"/>
      <c r="C604" s="211"/>
      <c r="D604" s="211"/>
      <c r="E604" s="211"/>
      <c r="F604" s="211"/>
      <c r="G604" s="211"/>
      <c r="H604" s="211"/>
      <c r="I604" s="211"/>
      <c r="J604" s="211"/>
      <c r="K604" s="211"/>
      <c r="L604" s="211"/>
      <c r="M604" s="211"/>
      <c r="N604" s="211"/>
      <c r="O604" s="211"/>
      <c r="P604" s="211"/>
      <c r="Q604" s="211"/>
      <c r="R604" s="211"/>
      <c r="S604" s="211"/>
      <c r="T604" s="211"/>
      <c r="U604" s="211"/>
      <c r="V604" s="211"/>
      <c r="W604" s="211"/>
      <c r="X604" s="211"/>
      <c r="Y604" s="211"/>
      <c r="Z604" s="211"/>
      <c r="AA604" s="211"/>
    </row>
    <row r="605">
      <c r="A605" s="211"/>
      <c r="B605" s="211"/>
      <c r="C605" s="211"/>
      <c r="D605" s="211"/>
      <c r="E605" s="211"/>
      <c r="F605" s="211"/>
      <c r="G605" s="211"/>
      <c r="H605" s="211"/>
      <c r="I605" s="211"/>
      <c r="J605" s="211"/>
      <c r="K605" s="211"/>
      <c r="L605" s="211"/>
      <c r="M605" s="211"/>
      <c r="N605" s="211"/>
      <c r="O605" s="211"/>
      <c r="P605" s="211"/>
      <c r="Q605" s="211"/>
      <c r="R605" s="211"/>
      <c r="S605" s="211"/>
      <c r="T605" s="211"/>
      <c r="U605" s="211"/>
      <c r="V605" s="211"/>
      <c r="W605" s="211"/>
      <c r="X605" s="211"/>
      <c r="Y605" s="211"/>
      <c r="Z605" s="211"/>
      <c r="AA605" s="211"/>
    </row>
    <row r="606">
      <c r="A606" s="211"/>
      <c r="B606" s="211"/>
      <c r="C606" s="211"/>
      <c r="D606" s="211"/>
      <c r="E606" s="211"/>
      <c r="F606" s="211"/>
      <c r="G606" s="211"/>
      <c r="H606" s="211"/>
      <c r="I606" s="211"/>
      <c r="J606" s="211"/>
      <c r="K606" s="211"/>
      <c r="L606" s="211"/>
      <c r="M606" s="211"/>
      <c r="N606" s="211"/>
      <c r="O606" s="211"/>
      <c r="P606" s="211"/>
      <c r="Q606" s="211"/>
      <c r="R606" s="211"/>
      <c r="S606" s="211"/>
      <c r="T606" s="211"/>
      <c r="U606" s="211"/>
      <c r="V606" s="211"/>
      <c r="W606" s="211"/>
      <c r="X606" s="211"/>
      <c r="Y606" s="211"/>
      <c r="Z606" s="211"/>
      <c r="AA606" s="211"/>
    </row>
    <row r="607">
      <c r="A607" s="211"/>
      <c r="B607" s="211"/>
      <c r="C607" s="211"/>
      <c r="D607" s="211"/>
      <c r="E607" s="211"/>
      <c r="F607" s="211"/>
      <c r="G607" s="211"/>
      <c r="H607" s="211"/>
      <c r="I607" s="211"/>
      <c r="J607" s="211"/>
      <c r="K607" s="211"/>
      <c r="L607" s="211"/>
      <c r="M607" s="211"/>
      <c r="N607" s="211"/>
      <c r="O607" s="211"/>
      <c r="P607" s="211"/>
      <c r="Q607" s="211"/>
      <c r="R607" s="211"/>
      <c r="S607" s="211"/>
      <c r="T607" s="211"/>
      <c r="U607" s="211"/>
      <c r="V607" s="211"/>
      <c r="W607" s="211"/>
      <c r="X607" s="211"/>
      <c r="Y607" s="211"/>
      <c r="Z607" s="211"/>
      <c r="AA607" s="211"/>
    </row>
    <row r="608">
      <c r="A608" s="211"/>
      <c r="B608" s="211"/>
      <c r="C608" s="211"/>
      <c r="D608" s="211"/>
      <c r="E608" s="211"/>
      <c r="F608" s="211"/>
      <c r="G608" s="211"/>
      <c r="H608" s="211"/>
      <c r="I608" s="211"/>
      <c r="J608" s="211"/>
      <c r="K608" s="211"/>
      <c r="L608" s="211"/>
      <c r="M608" s="211"/>
      <c r="N608" s="211"/>
      <c r="O608" s="211"/>
      <c r="P608" s="211"/>
      <c r="Q608" s="211"/>
      <c r="R608" s="211"/>
      <c r="S608" s="211"/>
      <c r="T608" s="211"/>
      <c r="U608" s="211"/>
      <c r="V608" s="211"/>
      <c r="W608" s="211"/>
      <c r="X608" s="211"/>
      <c r="Y608" s="211"/>
      <c r="Z608" s="211"/>
      <c r="AA608" s="211"/>
    </row>
    <row r="609">
      <c r="A609" s="211"/>
      <c r="B609" s="211"/>
      <c r="C609" s="211"/>
      <c r="D609" s="211"/>
      <c r="E609" s="211"/>
      <c r="F609" s="211"/>
      <c r="G609" s="211"/>
      <c r="H609" s="211"/>
      <c r="I609" s="211"/>
      <c r="J609" s="211"/>
      <c r="K609" s="211"/>
      <c r="L609" s="211"/>
      <c r="M609" s="211"/>
      <c r="N609" s="211"/>
      <c r="O609" s="211"/>
      <c r="P609" s="211"/>
      <c r="Q609" s="211"/>
      <c r="R609" s="211"/>
      <c r="S609" s="211"/>
      <c r="T609" s="211"/>
      <c r="U609" s="211"/>
      <c r="V609" s="211"/>
      <c r="W609" s="211"/>
      <c r="X609" s="211"/>
      <c r="Y609" s="211"/>
      <c r="Z609" s="211"/>
      <c r="AA609" s="211"/>
    </row>
    <row r="610">
      <c r="A610" s="211"/>
      <c r="B610" s="211"/>
      <c r="C610" s="211"/>
      <c r="D610" s="211"/>
      <c r="E610" s="211"/>
      <c r="F610" s="211"/>
      <c r="G610" s="211"/>
      <c r="H610" s="211"/>
      <c r="I610" s="211"/>
      <c r="J610" s="211"/>
      <c r="K610" s="211"/>
      <c r="L610" s="211"/>
      <c r="M610" s="211"/>
      <c r="N610" s="211"/>
      <c r="O610" s="211"/>
      <c r="P610" s="211"/>
      <c r="Q610" s="211"/>
      <c r="R610" s="211"/>
      <c r="S610" s="211"/>
      <c r="T610" s="211"/>
      <c r="U610" s="211"/>
      <c r="V610" s="211"/>
      <c r="W610" s="211"/>
      <c r="X610" s="211"/>
      <c r="Y610" s="211"/>
      <c r="Z610" s="211"/>
      <c r="AA610" s="211"/>
    </row>
    <row r="611">
      <c r="A611" s="211"/>
      <c r="B611" s="211"/>
      <c r="C611" s="211"/>
      <c r="D611" s="211"/>
      <c r="E611" s="211"/>
      <c r="F611" s="211"/>
      <c r="G611" s="211"/>
      <c r="H611" s="211"/>
      <c r="I611" s="211"/>
      <c r="J611" s="211"/>
      <c r="K611" s="211"/>
      <c r="L611" s="211"/>
      <c r="M611" s="211"/>
      <c r="N611" s="211"/>
      <c r="O611" s="211"/>
      <c r="P611" s="211"/>
      <c r="Q611" s="211"/>
      <c r="R611" s="211"/>
      <c r="S611" s="211"/>
      <c r="T611" s="211"/>
      <c r="U611" s="211"/>
      <c r="V611" s="211"/>
      <c r="W611" s="211"/>
      <c r="X611" s="211"/>
      <c r="Y611" s="211"/>
      <c r="Z611" s="211"/>
      <c r="AA611" s="211"/>
    </row>
    <row r="612">
      <c r="A612" s="211"/>
      <c r="B612" s="211"/>
      <c r="C612" s="211"/>
      <c r="D612" s="211"/>
      <c r="E612" s="211"/>
      <c r="F612" s="211"/>
      <c r="G612" s="211"/>
      <c r="H612" s="211"/>
      <c r="I612" s="211"/>
      <c r="J612" s="211"/>
      <c r="K612" s="211"/>
      <c r="L612" s="211"/>
      <c r="M612" s="211"/>
      <c r="N612" s="211"/>
      <c r="O612" s="211"/>
      <c r="P612" s="211"/>
      <c r="Q612" s="211"/>
      <c r="R612" s="211"/>
      <c r="S612" s="211"/>
      <c r="T612" s="211"/>
      <c r="U612" s="211"/>
      <c r="V612" s="211"/>
      <c r="W612" s="211"/>
      <c r="X612" s="211"/>
      <c r="Y612" s="211"/>
      <c r="Z612" s="211"/>
      <c r="AA612" s="211"/>
    </row>
    <row r="613">
      <c r="A613" s="211"/>
      <c r="B613" s="211"/>
      <c r="C613" s="211"/>
      <c r="D613" s="211"/>
      <c r="E613" s="211"/>
      <c r="F613" s="211"/>
      <c r="G613" s="211"/>
      <c r="H613" s="211"/>
      <c r="I613" s="211"/>
      <c r="J613" s="211"/>
      <c r="K613" s="211"/>
      <c r="L613" s="211"/>
      <c r="M613" s="211"/>
      <c r="N613" s="211"/>
      <c r="O613" s="211"/>
      <c r="P613" s="211"/>
      <c r="Q613" s="211"/>
      <c r="R613" s="211"/>
      <c r="S613" s="211"/>
      <c r="T613" s="211"/>
      <c r="U613" s="211"/>
      <c r="V613" s="211"/>
      <c r="W613" s="211"/>
      <c r="X613" s="211"/>
      <c r="Y613" s="211"/>
      <c r="Z613" s="211"/>
      <c r="AA613" s="211"/>
    </row>
    <row r="614">
      <c r="A614" s="211"/>
      <c r="B614" s="211"/>
      <c r="C614" s="211"/>
      <c r="D614" s="211"/>
      <c r="E614" s="211"/>
      <c r="F614" s="211"/>
      <c r="G614" s="211"/>
      <c r="H614" s="211"/>
      <c r="I614" s="211"/>
      <c r="J614" s="211"/>
      <c r="K614" s="211"/>
      <c r="L614" s="211"/>
      <c r="M614" s="211"/>
      <c r="N614" s="211"/>
      <c r="O614" s="211"/>
      <c r="P614" s="211"/>
      <c r="Q614" s="211"/>
      <c r="R614" s="211"/>
      <c r="S614" s="211"/>
      <c r="T614" s="211"/>
      <c r="U614" s="211"/>
      <c r="V614" s="211"/>
      <c r="W614" s="211"/>
      <c r="X614" s="211"/>
      <c r="Y614" s="211"/>
      <c r="Z614" s="211"/>
      <c r="AA614" s="211"/>
    </row>
    <row r="615">
      <c r="A615" s="211"/>
      <c r="B615" s="211"/>
      <c r="C615" s="211"/>
      <c r="D615" s="211"/>
      <c r="E615" s="211"/>
      <c r="F615" s="211"/>
      <c r="G615" s="211"/>
      <c r="H615" s="211"/>
      <c r="I615" s="211"/>
      <c r="J615" s="211"/>
      <c r="K615" s="211"/>
      <c r="L615" s="211"/>
      <c r="M615" s="211"/>
      <c r="N615" s="211"/>
      <c r="O615" s="211"/>
      <c r="P615" s="211"/>
      <c r="Q615" s="211"/>
      <c r="R615" s="211"/>
      <c r="S615" s="211"/>
      <c r="T615" s="211"/>
      <c r="U615" s="211"/>
      <c r="V615" s="211"/>
      <c r="W615" s="211"/>
      <c r="X615" s="211"/>
      <c r="Y615" s="211"/>
      <c r="Z615" s="211"/>
      <c r="AA615" s="211"/>
    </row>
    <row r="616">
      <c r="A616" s="211"/>
      <c r="B616" s="211"/>
      <c r="C616" s="211"/>
      <c r="D616" s="211"/>
      <c r="E616" s="211"/>
      <c r="F616" s="211"/>
      <c r="G616" s="211"/>
      <c r="H616" s="211"/>
      <c r="I616" s="211"/>
      <c r="J616" s="211"/>
      <c r="K616" s="211"/>
      <c r="L616" s="211"/>
      <c r="M616" s="211"/>
      <c r="N616" s="211"/>
      <c r="O616" s="211"/>
      <c r="P616" s="211"/>
      <c r="Q616" s="211"/>
      <c r="R616" s="211"/>
      <c r="S616" s="211"/>
      <c r="T616" s="211"/>
      <c r="U616" s="211"/>
      <c r="V616" s="211"/>
      <c r="W616" s="211"/>
      <c r="X616" s="211"/>
      <c r="Y616" s="211"/>
      <c r="Z616" s="211"/>
      <c r="AA616" s="211"/>
    </row>
    <row r="617">
      <c r="A617" s="211"/>
      <c r="B617" s="211"/>
      <c r="C617" s="211"/>
      <c r="D617" s="211"/>
      <c r="E617" s="211"/>
      <c r="F617" s="211"/>
      <c r="G617" s="211"/>
      <c r="H617" s="211"/>
      <c r="I617" s="211"/>
      <c r="J617" s="211"/>
      <c r="K617" s="211"/>
      <c r="L617" s="211"/>
      <c r="M617" s="211"/>
      <c r="N617" s="211"/>
      <c r="O617" s="211"/>
      <c r="P617" s="211"/>
      <c r="Q617" s="211"/>
      <c r="R617" s="211"/>
      <c r="S617" s="211"/>
      <c r="T617" s="211"/>
      <c r="U617" s="211"/>
      <c r="V617" s="211"/>
      <c r="W617" s="211"/>
      <c r="X617" s="211"/>
      <c r="Y617" s="211"/>
      <c r="Z617" s="211"/>
      <c r="AA617" s="211"/>
    </row>
    <row r="618">
      <c r="A618" s="211"/>
      <c r="B618" s="211"/>
      <c r="C618" s="211"/>
      <c r="D618" s="211"/>
      <c r="E618" s="211"/>
      <c r="F618" s="211"/>
      <c r="G618" s="211"/>
      <c r="H618" s="211"/>
      <c r="I618" s="211"/>
      <c r="J618" s="211"/>
      <c r="K618" s="211"/>
      <c r="L618" s="211"/>
      <c r="M618" s="211"/>
      <c r="N618" s="211"/>
      <c r="O618" s="211"/>
      <c r="P618" s="211"/>
      <c r="Q618" s="211"/>
      <c r="R618" s="211"/>
      <c r="S618" s="211"/>
      <c r="T618" s="211"/>
      <c r="U618" s="211"/>
      <c r="V618" s="211"/>
      <c r="W618" s="211"/>
      <c r="X618" s="211"/>
      <c r="Y618" s="211"/>
      <c r="Z618" s="211"/>
      <c r="AA618" s="211"/>
    </row>
    <row r="619">
      <c r="A619" s="211"/>
      <c r="B619" s="211"/>
      <c r="C619" s="211"/>
      <c r="D619" s="211"/>
      <c r="E619" s="211"/>
      <c r="F619" s="211"/>
      <c r="G619" s="211"/>
      <c r="H619" s="211"/>
      <c r="I619" s="211"/>
      <c r="J619" s="211"/>
      <c r="K619" s="211"/>
      <c r="L619" s="211"/>
      <c r="M619" s="211"/>
      <c r="N619" s="211"/>
      <c r="O619" s="211"/>
      <c r="P619" s="211"/>
      <c r="Q619" s="211"/>
      <c r="R619" s="211"/>
      <c r="S619" s="211"/>
      <c r="T619" s="211"/>
      <c r="U619" s="211"/>
      <c r="V619" s="211"/>
      <c r="W619" s="211"/>
      <c r="X619" s="211"/>
      <c r="Y619" s="211"/>
      <c r="Z619" s="211"/>
      <c r="AA619" s="211"/>
    </row>
    <row r="620">
      <c r="A620" s="211"/>
      <c r="B620" s="211"/>
      <c r="C620" s="211"/>
      <c r="D620" s="211"/>
      <c r="E620" s="211"/>
      <c r="F620" s="211"/>
      <c r="G620" s="211"/>
      <c r="H620" s="211"/>
      <c r="I620" s="211"/>
      <c r="J620" s="211"/>
      <c r="K620" s="211"/>
      <c r="L620" s="211"/>
      <c r="M620" s="211"/>
      <c r="N620" s="211"/>
      <c r="O620" s="211"/>
      <c r="P620" s="211"/>
      <c r="Q620" s="211"/>
      <c r="R620" s="211"/>
      <c r="S620" s="211"/>
      <c r="T620" s="211"/>
      <c r="U620" s="211"/>
      <c r="V620" s="211"/>
      <c r="W620" s="211"/>
      <c r="X620" s="211"/>
      <c r="Y620" s="211"/>
      <c r="Z620" s="211"/>
      <c r="AA620" s="211"/>
    </row>
    <row r="621">
      <c r="A621" s="211"/>
      <c r="B621" s="211"/>
      <c r="C621" s="211"/>
      <c r="D621" s="211"/>
      <c r="E621" s="211"/>
      <c r="F621" s="211"/>
      <c r="G621" s="211"/>
      <c r="H621" s="211"/>
      <c r="I621" s="211"/>
      <c r="J621" s="211"/>
      <c r="K621" s="211"/>
      <c r="L621" s="211"/>
      <c r="M621" s="211"/>
      <c r="N621" s="211"/>
      <c r="O621" s="211"/>
      <c r="P621" s="211"/>
      <c r="Q621" s="211"/>
      <c r="R621" s="211"/>
      <c r="S621" s="211"/>
      <c r="T621" s="211"/>
      <c r="U621" s="211"/>
      <c r="V621" s="211"/>
      <c r="W621" s="211"/>
      <c r="X621" s="211"/>
      <c r="Y621" s="211"/>
      <c r="Z621" s="211"/>
      <c r="AA621" s="211"/>
    </row>
    <row r="622">
      <c r="A622" s="211"/>
      <c r="B622" s="211"/>
      <c r="C622" s="211"/>
      <c r="D622" s="211"/>
      <c r="E622" s="211"/>
      <c r="F622" s="211"/>
      <c r="G622" s="211"/>
      <c r="H622" s="211"/>
      <c r="I622" s="211"/>
      <c r="J622" s="211"/>
      <c r="K622" s="211"/>
      <c r="L622" s="211"/>
      <c r="M622" s="211"/>
      <c r="N622" s="211"/>
      <c r="O622" s="211"/>
      <c r="P622" s="211"/>
      <c r="Q622" s="211"/>
      <c r="R622" s="211"/>
      <c r="S622" s="211"/>
      <c r="T622" s="211"/>
      <c r="U622" s="211"/>
      <c r="V622" s="211"/>
      <c r="W622" s="211"/>
      <c r="X622" s="211"/>
      <c r="Y622" s="211"/>
      <c r="Z622" s="211"/>
      <c r="AA622" s="211"/>
    </row>
    <row r="623">
      <c r="A623" s="211"/>
      <c r="B623" s="211"/>
      <c r="C623" s="211"/>
      <c r="D623" s="211"/>
      <c r="E623" s="211"/>
      <c r="F623" s="211"/>
      <c r="G623" s="211"/>
      <c r="H623" s="211"/>
      <c r="I623" s="211"/>
      <c r="J623" s="211"/>
      <c r="K623" s="211"/>
      <c r="L623" s="211"/>
      <c r="M623" s="211"/>
      <c r="N623" s="211"/>
      <c r="O623" s="211"/>
      <c r="P623" s="211"/>
      <c r="Q623" s="211"/>
      <c r="R623" s="211"/>
      <c r="S623" s="211"/>
      <c r="T623" s="211"/>
      <c r="U623" s="211"/>
      <c r="V623" s="211"/>
      <c r="W623" s="211"/>
      <c r="X623" s="211"/>
      <c r="Y623" s="211"/>
      <c r="Z623" s="211"/>
      <c r="AA623" s="211"/>
    </row>
    <row r="624">
      <c r="A624" s="211"/>
      <c r="B624" s="211"/>
      <c r="C624" s="211"/>
      <c r="D624" s="211"/>
      <c r="E624" s="211"/>
      <c r="F624" s="211"/>
      <c r="G624" s="211"/>
      <c r="H624" s="211"/>
      <c r="I624" s="211"/>
      <c r="J624" s="211"/>
      <c r="K624" s="211"/>
      <c r="L624" s="211"/>
      <c r="M624" s="211"/>
      <c r="N624" s="211"/>
      <c r="O624" s="211"/>
      <c r="P624" s="211"/>
      <c r="Q624" s="211"/>
      <c r="R624" s="211"/>
      <c r="S624" s="211"/>
      <c r="T624" s="211"/>
      <c r="U624" s="211"/>
      <c r="V624" s="211"/>
      <c r="W624" s="211"/>
      <c r="X624" s="211"/>
      <c r="Y624" s="211"/>
      <c r="Z624" s="211"/>
      <c r="AA624" s="211"/>
    </row>
    <row r="625">
      <c r="A625" s="211"/>
      <c r="B625" s="211"/>
      <c r="C625" s="211"/>
      <c r="D625" s="211"/>
      <c r="E625" s="211"/>
      <c r="F625" s="211"/>
      <c r="G625" s="211"/>
      <c r="H625" s="211"/>
      <c r="I625" s="211"/>
      <c r="J625" s="211"/>
      <c r="K625" s="211"/>
      <c r="L625" s="211"/>
      <c r="M625" s="211"/>
      <c r="N625" s="211"/>
      <c r="O625" s="211"/>
      <c r="P625" s="211"/>
      <c r="Q625" s="211"/>
      <c r="R625" s="211"/>
      <c r="S625" s="211"/>
      <c r="T625" s="211"/>
      <c r="U625" s="211"/>
      <c r="V625" s="211"/>
      <c r="W625" s="211"/>
      <c r="X625" s="211"/>
      <c r="Y625" s="211"/>
      <c r="Z625" s="211"/>
      <c r="AA625" s="211"/>
    </row>
    <row r="626">
      <c r="A626" s="211"/>
      <c r="B626" s="211"/>
      <c r="C626" s="211"/>
      <c r="D626" s="211"/>
      <c r="E626" s="211"/>
      <c r="F626" s="211"/>
      <c r="G626" s="211"/>
      <c r="H626" s="211"/>
      <c r="I626" s="211"/>
      <c r="J626" s="211"/>
      <c r="K626" s="211"/>
      <c r="L626" s="211"/>
      <c r="M626" s="211"/>
      <c r="N626" s="211"/>
      <c r="O626" s="211"/>
      <c r="P626" s="211"/>
      <c r="Q626" s="211"/>
      <c r="R626" s="211"/>
      <c r="S626" s="211"/>
      <c r="T626" s="211"/>
      <c r="U626" s="211"/>
      <c r="V626" s="211"/>
      <c r="W626" s="211"/>
      <c r="X626" s="211"/>
      <c r="Y626" s="211"/>
      <c r="Z626" s="211"/>
      <c r="AA626" s="211"/>
    </row>
    <row r="627">
      <c r="A627" s="211"/>
      <c r="B627" s="211"/>
      <c r="C627" s="211"/>
      <c r="D627" s="211"/>
      <c r="E627" s="211"/>
      <c r="F627" s="211"/>
      <c r="G627" s="211"/>
      <c r="H627" s="211"/>
      <c r="I627" s="211"/>
      <c r="J627" s="211"/>
      <c r="K627" s="211"/>
      <c r="L627" s="211"/>
      <c r="M627" s="211"/>
      <c r="N627" s="211"/>
      <c r="O627" s="211"/>
      <c r="P627" s="211"/>
      <c r="Q627" s="211"/>
      <c r="R627" s="211"/>
      <c r="S627" s="211"/>
      <c r="T627" s="211"/>
      <c r="U627" s="211"/>
      <c r="V627" s="211"/>
      <c r="W627" s="211"/>
      <c r="X627" s="211"/>
      <c r="Y627" s="211"/>
      <c r="Z627" s="211"/>
      <c r="AA627" s="211"/>
    </row>
    <row r="628">
      <c r="A628" s="211"/>
      <c r="B628" s="211"/>
      <c r="C628" s="211"/>
      <c r="D628" s="211"/>
      <c r="E628" s="211"/>
      <c r="F628" s="211"/>
      <c r="G628" s="211"/>
      <c r="H628" s="211"/>
      <c r="I628" s="211"/>
      <c r="J628" s="211"/>
      <c r="K628" s="211"/>
      <c r="L628" s="211"/>
      <c r="M628" s="211"/>
      <c r="N628" s="211"/>
      <c r="O628" s="211"/>
      <c r="P628" s="211"/>
      <c r="Q628" s="211"/>
      <c r="R628" s="211"/>
      <c r="S628" s="211"/>
      <c r="T628" s="211"/>
      <c r="U628" s="211"/>
      <c r="V628" s="211"/>
      <c r="W628" s="211"/>
      <c r="X628" s="211"/>
      <c r="Y628" s="211"/>
      <c r="Z628" s="211"/>
      <c r="AA628" s="211"/>
    </row>
    <row r="629">
      <c r="A629" s="211"/>
      <c r="B629" s="211"/>
      <c r="C629" s="211"/>
      <c r="D629" s="211"/>
      <c r="E629" s="211"/>
      <c r="F629" s="211"/>
      <c r="G629" s="211"/>
      <c r="H629" s="211"/>
      <c r="I629" s="211"/>
      <c r="J629" s="211"/>
      <c r="K629" s="211"/>
      <c r="L629" s="211"/>
      <c r="M629" s="211"/>
      <c r="N629" s="211"/>
      <c r="O629" s="211"/>
      <c r="P629" s="211"/>
      <c r="Q629" s="211"/>
      <c r="R629" s="211"/>
      <c r="S629" s="211"/>
      <c r="T629" s="211"/>
      <c r="U629" s="211"/>
      <c r="V629" s="211"/>
      <c r="W629" s="211"/>
      <c r="X629" s="211"/>
      <c r="Y629" s="211"/>
      <c r="Z629" s="211"/>
      <c r="AA629" s="211"/>
    </row>
    <row r="630">
      <c r="A630" s="211"/>
      <c r="B630" s="211"/>
      <c r="C630" s="211"/>
      <c r="D630" s="211"/>
      <c r="E630" s="211"/>
      <c r="F630" s="211"/>
      <c r="G630" s="211"/>
      <c r="H630" s="211"/>
      <c r="I630" s="211"/>
      <c r="J630" s="211"/>
      <c r="K630" s="211"/>
      <c r="L630" s="211"/>
      <c r="M630" s="211"/>
      <c r="N630" s="211"/>
      <c r="O630" s="211"/>
      <c r="P630" s="211"/>
      <c r="Q630" s="211"/>
      <c r="R630" s="211"/>
      <c r="S630" s="211"/>
      <c r="T630" s="211"/>
      <c r="U630" s="211"/>
      <c r="V630" s="211"/>
      <c r="W630" s="211"/>
      <c r="X630" s="211"/>
      <c r="Y630" s="211"/>
      <c r="Z630" s="211"/>
      <c r="AA630" s="211"/>
    </row>
    <row r="631">
      <c r="A631" s="211"/>
      <c r="B631" s="211"/>
      <c r="C631" s="211"/>
      <c r="D631" s="211"/>
      <c r="E631" s="211"/>
      <c r="F631" s="211"/>
      <c r="G631" s="211"/>
      <c r="H631" s="211"/>
      <c r="I631" s="211"/>
      <c r="J631" s="211"/>
      <c r="K631" s="211"/>
      <c r="L631" s="211"/>
      <c r="M631" s="211"/>
      <c r="N631" s="211"/>
      <c r="O631" s="211"/>
      <c r="P631" s="211"/>
      <c r="Q631" s="211"/>
      <c r="R631" s="211"/>
      <c r="S631" s="211"/>
      <c r="T631" s="211"/>
      <c r="U631" s="211"/>
      <c r="V631" s="211"/>
      <c r="W631" s="211"/>
      <c r="X631" s="211"/>
      <c r="Y631" s="211"/>
      <c r="Z631" s="211"/>
      <c r="AA631" s="211"/>
    </row>
    <row r="632">
      <c r="A632" s="211"/>
      <c r="B632" s="211"/>
      <c r="C632" s="211"/>
      <c r="D632" s="211"/>
      <c r="E632" s="211"/>
      <c r="F632" s="211"/>
      <c r="G632" s="211"/>
      <c r="H632" s="211"/>
      <c r="I632" s="211"/>
      <c r="J632" s="211"/>
      <c r="K632" s="211"/>
      <c r="L632" s="211"/>
      <c r="M632" s="211"/>
      <c r="N632" s="211"/>
      <c r="O632" s="211"/>
      <c r="P632" s="211"/>
      <c r="Q632" s="211"/>
      <c r="R632" s="211"/>
      <c r="S632" s="211"/>
      <c r="T632" s="211"/>
      <c r="U632" s="211"/>
      <c r="V632" s="211"/>
      <c r="W632" s="211"/>
      <c r="X632" s="211"/>
      <c r="Y632" s="211"/>
      <c r="Z632" s="211"/>
      <c r="AA632" s="211"/>
    </row>
    <row r="633">
      <c r="A633" s="211"/>
      <c r="B633" s="211"/>
      <c r="C633" s="211"/>
      <c r="D633" s="211"/>
      <c r="E633" s="211"/>
      <c r="F633" s="211"/>
      <c r="G633" s="211"/>
      <c r="H633" s="211"/>
      <c r="I633" s="211"/>
      <c r="J633" s="211"/>
      <c r="K633" s="211"/>
      <c r="L633" s="211"/>
      <c r="M633" s="211"/>
      <c r="N633" s="211"/>
      <c r="O633" s="211"/>
      <c r="P633" s="211"/>
      <c r="Q633" s="211"/>
      <c r="R633" s="211"/>
      <c r="S633" s="211"/>
      <c r="T633" s="211"/>
      <c r="U633" s="211"/>
      <c r="V633" s="211"/>
      <c r="W633" s="211"/>
      <c r="X633" s="211"/>
      <c r="Y633" s="211"/>
      <c r="Z633" s="211"/>
      <c r="AA633" s="211"/>
    </row>
    <row r="634">
      <c r="A634" s="211"/>
      <c r="B634" s="211"/>
      <c r="C634" s="211"/>
      <c r="D634" s="211"/>
      <c r="E634" s="211"/>
      <c r="F634" s="211"/>
      <c r="G634" s="211"/>
      <c r="H634" s="211"/>
      <c r="I634" s="211"/>
      <c r="J634" s="211"/>
      <c r="K634" s="211"/>
      <c r="L634" s="211"/>
      <c r="M634" s="211"/>
      <c r="N634" s="211"/>
      <c r="O634" s="211"/>
      <c r="P634" s="211"/>
      <c r="Q634" s="211"/>
      <c r="R634" s="211"/>
      <c r="S634" s="211"/>
      <c r="T634" s="211"/>
      <c r="U634" s="211"/>
      <c r="V634" s="211"/>
      <c r="W634" s="211"/>
      <c r="X634" s="211"/>
      <c r="Y634" s="211"/>
      <c r="Z634" s="211"/>
      <c r="AA634" s="211"/>
    </row>
    <row r="635">
      <c r="A635" s="211"/>
      <c r="B635" s="211"/>
      <c r="C635" s="211"/>
      <c r="D635" s="211"/>
      <c r="E635" s="211"/>
      <c r="F635" s="211"/>
      <c r="G635" s="211"/>
      <c r="H635" s="211"/>
      <c r="I635" s="211"/>
      <c r="J635" s="211"/>
      <c r="K635" s="211"/>
      <c r="L635" s="211"/>
      <c r="M635" s="211"/>
      <c r="N635" s="211"/>
      <c r="O635" s="211"/>
      <c r="P635" s="211"/>
      <c r="Q635" s="211"/>
      <c r="R635" s="211"/>
      <c r="S635" s="211"/>
      <c r="T635" s="211"/>
      <c r="U635" s="211"/>
      <c r="V635" s="211"/>
      <c r="W635" s="211"/>
      <c r="X635" s="211"/>
      <c r="Y635" s="211"/>
      <c r="Z635" s="211"/>
      <c r="AA635" s="211"/>
    </row>
    <row r="636">
      <c r="A636" s="211"/>
      <c r="B636" s="211"/>
      <c r="C636" s="211"/>
      <c r="D636" s="211"/>
      <c r="E636" s="211"/>
      <c r="F636" s="211"/>
      <c r="G636" s="211"/>
      <c r="H636" s="211"/>
      <c r="I636" s="211"/>
      <c r="J636" s="211"/>
      <c r="K636" s="211"/>
      <c r="L636" s="211"/>
      <c r="M636" s="211"/>
      <c r="N636" s="211"/>
      <c r="O636" s="211"/>
      <c r="P636" s="211"/>
      <c r="Q636" s="211"/>
      <c r="R636" s="211"/>
      <c r="S636" s="211"/>
      <c r="T636" s="211"/>
      <c r="U636" s="211"/>
      <c r="V636" s="211"/>
      <c r="W636" s="211"/>
      <c r="X636" s="211"/>
      <c r="Y636" s="211"/>
      <c r="Z636" s="211"/>
      <c r="AA636" s="211"/>
    </row>
    <row r="637">
      <c r="A637" s="211"/>
      <c r="B637" s="211"/>
      <c r="C637" s="211"/>
      <c r="D637" s="211"/>
      <c r="E637" s="211"/>
      <c r="F637" s="211"/>
      <c r="G637" s="211"/>
      <c r="H637" s="211"/>
      <c r="I637" s="211"/>
      <c r="J637" s="211"/>
      <c r="K637" s="211"/>
      <c r="L637" s="211"/>
      <c r="M637" s="211"/>
      <c r="N637" s="211"/>
      <c r="O637" s="211"/>
      <c r="P637" s="211"/>
      <c r="Q637" s="211"/>
      <c r="R637" s="211"/>
      <c r="S637" s="211"/>
      <c r="T637" s="211"/>
      <c r="U637" s="211"/>
      <c r="V637" s="211"/>
      <c r="W637" s="211"/>
      <c r="X637" s="211"/>
      <c r="Y637" s="211"/>
      <c r="Z637" s="211"/>
      <c r="AA637" s="211"/>
    </row>
    <row r="638">
      <c r="A638" s="211"/>
      <c r="B638" s="211"/>
      <c r="C638" s="211"/>
      <c r="D638" s="211"/>
      <c r="E638" s="211"/>
      <c r="F638" s="211"/>
      <c r="G638" s="211"/>
      <c r="H638" s="211"/>
      <c r="I638" s="211"/>
      <c r="J638" s="211"/>
      <c r="K638" s="211"/>
      <c r="L638" s="211"/>
      <c r="M638" s="211"/>
      <c r="N638" s="211"/>
      <c r="O638" s="211"/>
      <c r="P638" s="211"/>
      <c r="Q638" s="211"/>
      <c r="R638" s="211"/>
      <c r="S638" s="211"/>
      <c r="T638" s="211"/>
      <c r="U638" s="211"/>
      <c r="V638" s="211"/>
      <c r="W638" s="211"/>
      <c r="X638" s="211"/>
      <c r="Y638" s="211"/>
      <c r="Z638" s="211"/>
      <c r="AA638" s="211"/>
    </row>
    <row r="639">
      <c r="A639" s="211"/>
      <c r="B639" s="211"/>
      <c r="C639" s="211"/>
      <c r="D639" s="211"/>
      <c r="E639" s="211"/>
      <c r="F639" s="211"/>
      <c r="G639" s="211"/>
      <c r="H639" s="211"/>
      <c r="I639" s="211"/>
      <c r="J639" s="211"/>
      <c r="K639" s="211"/>
      <c r="L639" s="211"/>
      <c r="M639" s="211"/>
      <c r="N639" s="211"/>
      <c r="O639" s="211"/>
      <c r="P639" s="211"/>
      <c r="Q639" s="211"/>
      <c r="R639" s="211"/>
      <c r="S639" s="211"/>
      <c r="T639" s="211"/>
      <c r="U639" s="211"/>
      <c r="V639" s="211"/>
      <c r="W639" s="211"/>
      <c r="X639" s="211"/>
      <c r="Y639" s="211"/>
      <c r="Z639" s="211"/>
      <c r="AA639" s="211"/>
    </row>
    <row r="640">
      <c r="A640" s="211"/>
      <c r="B640" s="211"/>
      <c r="C640" s="211"/>
      <c r="D640" s="211"/>
      <c r="E640" s="211"/>
      <c r="F640" s="211"/>
      <c r="G640" s="211"/>
      <c r="H640" s="211"/>
      <c r="I640" s="211"/>
      <c r="J640" s="211"/>
      <c r="K640" s="211"/>
      <c r="L640" s="211"/>
      <c r="M640" s="211"/>
      <c r="N640" s="211"/>
      <c r="O640" s="211"/>
      <c r="P640" s="211"/>
      <c r="Q640" s="211"/>
      <c r="R640" s="211"/>
      <c r="S640" s="211"/>
      <c r="T640" s="211"/>
      <c r="U640" s="211"/>
      <c r="V640" s="211"/>
      <c r="W640" s="211"/>
      <c r="X640" s="211"/>
      <c r="Y640" s="211"/>
      <c r="Z640" s="211"/>
      <c r="AA640" s="211"/>
    </row>
    <row r="641">
      <c r="A641" s="211"/>
      <c r="B641" s="211"/>
      <c r="C641" s="211"/>
      <c r="D641" s="211"/>
      <c r="E641" s="211"/>
      <c r="F641" s="211"/>
      <c r="G641" s="211"/>
      <c r="H641" s="211"/>
      <c r="I641" s="211"/>
      <c r="J641" s="211"/>
      <c r="K641" s="211"/>
      <c r="L641" s="211"/>
      <c r="M641" s="211"/>
      <c r="N641" s="211"/>
      <c r="O641" s="211"/>
      <c r="P641" s="211"/>
      <c r="Q641" s="211"/>
      <c r="R641" s="211"/>
      <c r="S641" s="211"/>
      <c r="T641" s="211"/>
      <c r="U641" s="211"/>
      <c r="V641" s="211"/>
      <c r="W641" s="211"/>
      <c r="X641" s="211"/>
      <c r="Y641" s="211"/>
      <c r="Z641" s="211"/>
      <c r="AA641" s="211"/>
    </row>
    <row r="642">
      <c r="A642" s="211"/>
      <c r="B642" s="211"/>
      <c r="C642" s="211"/>
      <c r="D642" s="211"/>
      <c r="E642" s="211"/>
      <c r="F642" s="211"/>
      <c r="G642" s="211"/>
      <c r="H642" s="211"/>
      <c r="I642" s="211"/>
      <c r="J642" s="211"/>
      <c r="K642" s="211"/>
      <c r="L642" s="211"/>
      <c r="M642" s="211"/>
      <c r="N642" s="211"/>
      <c r="O642" s="211"/>
      <c r="P642" s="211"/>
      <c r="Q642" s="211"/>
      <c r="R642" s="211"/>
      <c r="S642" s="211"/>
      <c r="T642" s="211"/>
      <c r="U642" s="211"/>
      <c r="V642" s="211"/>
      <c r="W642" s="211"/>
      <c r="X642" s="211"/>
      <c r="Y642" s="211"/>
      <c r="Z642" s="211"/>
      <c r="AA642" s="211"/>
    </row>
    <row r="643">
      <c r="A643" s="211"/>
      <c r="B643" s="211"/>
      <c r="C643" s="211"/>
      <c r="D643" s="211"/>
      <c r="E643" s="211"/>
      <c r="F643" s="211"/>
      <c r="G643" s="211"/>
      <c r="H643" s="211"/>
      <c r="I643" s="211"/>
      <c r="J643" s="211"/>
      <c r="K643" s="211"/>
      <c r="L643" s="211"/>
      <c r="M643" s="211"/>
      <c r="N643" s="211"/>
      <c r="O643" s="211"/>
      <c r="P643" s="211"/>
      <c r="Q643" s="211"/>
      <c r="R643" s="211"/>
      <c r="S643" s="211"/>
      <c r="T643" s="211"/>
      <c r="U643" s="211"/>
      <c r="V643" s="211"/>
      <c r="W643" s="211"/>
      <c r="X643" s="211"/>
      <c r="Y643" s="211"/>
      <c r="Z643" s="211"/>
      <c r="AA643" s="211"/>
    </row>
    <row r="644">
      <c r="A644" s="211"/>
      <c r="B644" s="211"/>
      <c r="C644" s="211"/>
      <c r="D644" s="211"/>
      <c r="E644" s="211"/>
      <c r="F644" s="211"/>
      <c r="G644" s="211"/>
      <c r="H644" s="211"/>
      <c r="I644" s="211"/>
      <c r="J644" s="211"/>
      <c r="K644" s="211"/>
      <c r="L644" s="211"/>
      <c r="M644" s="211"/>
      <c r="N644" s="211"/>
      <c r="O644" s="211"/>
      <c r="P644" s="211"/>
      <c r="Q644" s="211"/>
      <c r="R644" s="211"/>
      <c r="S644" s="211"/>
      <c r="T644" s="211"/>
      <c r="U644" s="211"/>
      <c r="V644" s="211"/>
      <c r="W644" s="211"/>
      <c r="X644" s="211"/>
      <c r="Y644" s="211"/>
      <c r="Z644" s="211"/>
      <c r="AA644" s="211"/>
    </row>
    <row r="645">
      <c r="A645" s="211"/>
      <c r="B645" s="211"/>
      <c r="C645" s="211"/>
      <c r="D645" s="211"/>
      <c r="E645" s="211"/>
      <c r="F645" s="211"/>
      <c r="G645" s="211"/>
      <c r="H645" s="211"/>
      <c r="I645" s="211"/>
      <c r="J645" s="211"/>
      <c r="K645" s="211"/>
      <c r="L645" s="211"/>
      <c r="M645" s="211"/>
      <c r="N645" s="211"/>
      <c r="O645" s="211"/>
      <c r="P645" s="211"/>
      <c r="Q645" s="211"/>
      <c r="R645" s="211"/>
      <c r="S645" s="211"/>
      <c r="T645" s="211"/>
      <c r="U645" s="211"/>
      <c r="V645" s="211"/>
      <c r="W645" s="211"/>
      <c r="X645" s="211"/>
      <c r="Y645" s="211"/>
      <c r="Z645" s="211"/>
      <c r="AA645" s="211"/>
    </row>
    <row r="646">
      <c r="A646" s="211"/>
      <c r="B646" s="211"/>
      <c r="C646" s="211"/>
      <c r="D646" s="211"/>
      <c r="E646" s="211"/>
      <c r="F646" s="211"/>
      <c r="G646" s="211"/>
      <c r="H646" s="211"/>
      <c r="I646" s="211"/>
      <c r="J646" s="211"/>
      <c r="K646" s="211"/>
      <c r="L646" s="211"/>
      <c r="M646" s="211"/>
      <c r="N646" s="211"/>
      <c r="O646" s="211"/>
      <c r="P646" s="211"/>
      <c r="Q646" s="211"/>
      <c r="R646" s="211"/>
      <c r="S646" s="211"/>
      <c r="T646" s="211"/>
      <c r="U646" s="211"/>
      <c r="V646" s="211"/>
      <c r="W646" s="211"/>
      <c r="X646" s="211"/>
      <c r="Y646" s="211"/>
      <c r="Z646" s="211"/>
      <c r="AA646" s="211"/>
    </row>
    <row r="647">
      <c r="A647" s="211"/>
      <c r="B647" s="211"/>
      <c r="C647" s="211"/>
      <c r="D647" s="211"/>
      <c r="E647" s="211"/>
      <c r="F647" s="211"/>
      <c r="G647" s="211"/>
      <c r="H647" s="211"/>
      <c r="I647" s="211"/>
      <c r="J647" s="211"/>
      <c r="K647" s="211"/>
      <c r="L647" s="211"/>
      <c r="M647" s="211"/>
      <c r="N647" s="211"/>
      <c r="O647" s="211"/>
      <c r="P647" s="211"/>
      <c r="Q647" s="211"/>
      <c r="R647" s="211"/>
      <c r="S647" s="211"/>
      <c r="T647" s="211"/>
      <c r="U647" s="211"/>
      <c r="V647" s="211"/>
      <c r="W647" s="211"/>
      <c r="X647" s="211"/>
      <c r="Y647" s="211"/>
      <c r="Z647" s="211"/>
      <c r="AA647" s="211"/>
    </row>
    <row r="648">
      <c r="A648" s="211"/>
      <c r="B648" s="211"/>
      <c r="C648" s="211"/>
      <c r="D648" s="211"/>
      <c r="E648" s="211"/>
      <c r="F648" s="211"/>
      <c r="G648" s="211"/>
      <c r="H648" s="211"/>
      <c r="I648" s="211"/>
      <c r="J648" s="211"/>
      <c r="K648" s="211"/>
      <c r="L648" s="211"/>
      <c r="M648" s="211"/>
      <c r="N648" s="211"/>
      <c r="O648" s="211"/>
      <c r="P648" s="211"/>
      <c r="Q648" s="211"/>
      <c r="R648" s="211"/>
      <c r="S648" s="211"/>
      <c r="T648" s="211"/>
      <c r="U648" s="211"/>
      <c r="V648" s="211"/>
      <c r="W648" s="211"/>
      <c r="X648" s="211"/>
      <c r="Y648" s="211"/>
      <c r="Z648" s="211"/>
      <c r="AA648" s="211"/>
    </row>
    <row r="649">
      <c r="A649" s="211"/>
      <c r="B649" s="211"/>
      <c r="C649" s="211"/>
      <c r="D649" s="211"/>
      <c r="E649" s="211"/>
      <c r="F649" s="211"/>
      <c r="G649" s="211"/>
      <c r="H649" s="211"/>
      <c r="I649" s="211"/>
      <c r="J649" s="211"/>
      <c r="K649" s="211"/>
      <c r="L649" s="211"/>
      <c r="M649" s="211"/>
      <c r="N649" s="211"/>
      <c r="O649" s="211"/>
      <c r="P649" s="211"/>
      <c r="Q649" s="211"/>
      <c r="R649" s="211"/>
      <c r="S649" s="211"/>
      <c r="T649" s="211"/>
      <c r="U649" s="211"/>
      <c r="V649" s="211"/>
      <c r="W649" s="211"/>
      <c r="X649" s="211"/>
      <c r="Y649" s="211"/>
      <c r="Z649" s="211"/>
      <c r="AA649" s="211"/>
    </row>
    <row r="650">
      <c r="A650" s="211"/>
      <c r="B650" s="211"/>
      <c r="C650" s="211"/>
      <c r="D650" s="211"/>
      <c r="E650" s="211"/>
      <c r="F650" s="211"/>
      <c r="G650" s="211"/>
      <c r="H650" s="211"/>
      <c r="I650" s="211"/>
      <c r="J650" s="211"/>
      <c r="K650" s="211"/>
      <c r="L650" s="211"/>
      <c r="M650" s="211"/>
      <c r="N650" s="211"/>
      <c r="O650" s="211"/>
      <c r="P650" s="211"/>
      <c r="Q650" s="211"/>
      <c r="R650" s="211"/>
      <c r="S650" s="211"/>
      <c r="T650" s="211"/>
      <c r="U650" s="211"/>
      <c r="V650" s="211"/>
      <c r="W650" s="211"/>
      <c r="X650" s="211"/>
      <c r="Y650" s="211"/>
      <c r="Z650" s="211"/>
      <c r="AA650" s="211"/>
    </row>
    <row r="651">
      <c r="A651" s="211"/>
      <c r="B651" s="211"/>
      <c r="C651" s="211"/>
      <c r="D651" s="211"/>
      <c r="E651" s="211"/>
      <c r="F651" s="211"/>
      <c r="G651" s="211"/>
      <c r="H651" s="211"/>
      <c r="I651" s="211"/>
      <c r="J651" s="211"/>
      <c r="K651" s="211"/>
      <c r="L651" s="211"/>
      <c r="M651" s="211"/>
      <c r="N651" s="211"/>
      <c r="O651" s="211"/>
      <c r="P651" s="211"/>
      <c r="Q651" s="211"/>
      <c r="R651" s="211"/>
      <c r="S651" s="211"/>
      <c r="T651" s="211"/>
      <c r="U651" s="211"/>
      <c r="V651" s="211"/>
      <c r="W651" s="211"/>
      <c r="X651" s="211"/>
      <c r="Y651" s="211"/>
      <c r="Z651" s="211"/>
      <c r="AA651" s="211"/>
    </row>
    <row r="652">
      <c r="A652" s="211"/>
      <c r="B652" s="211"/>
      <c r="C652" s="211"/>
      <c r="D652" s="211"/>
      <c r="E652" s="211"/>
      <c r="F652" s="211"/>
      <c r="G652" s="211"/>
      <c r="H652" s="211"/>
      <c r="I652" s="211"/>
      <c r="J652" s="211"/>
      <c r="K652" s="211"/>
      <c r="L652" s="211"/>
      <c r="M652" s="211"/>
      <c r="N652" s="211"/>
      <c r="O652" s="211"/>
      <c r="P652" s="211"/>
      <c r="Q652" s="211"/>
      <c r="R652" s="211"/>
      <c r="S652" s="211"/>
      <c r="T652" s="211"/>
      <c r="U652" s="211"/>
      <c r="V652" s="211"/>
      <c r="W652" s="211"/>
      <c r="X652" s="211"/>
      <c r="Y652" s="211"/>
      <c r="Z652" s="211"/>
      <c r="AA652" s="211"/>
    </row>
    <row r="653">
      <c r="A653" s="211"/>
      <c r="B653" s="211"/>
      <c r="C653" s="211"/>
      <c r="D653" s="211"/>
      <c r="E653" s="211"/>
      <c r="F653" s="211"/>
      <c r="G653" s="211"/>
      <c r="H653" s="211"/>
      <c r="I653" s="211"/>
      <c r="J653" s="211"/>
      <c r="K653" s="211"/>
      <c r="L653" s="211"/>
      <c r="M653" s="211"/>
      <c r="N653" s="211"/>
      <c r="O653" s="211"/>
      <c r="P653" s="211"/>
      <c r="Q653" s="211"/>
      <c r="R653" s="211"/>
      <c r="S653" s="211"/>
      <c r="T653" s="211"/>
      <c r="U653" s="211"/>
      <c r="V653" s="211"/>
      <c r="W653" s="211"/>
      <c r="X653" s="211"/>
      <c r="Y653" s="211"/>
      <c r="Z653" s="211"/>
      <c r="AA653" s="211"/>
    </row>
    <row r="654">
      <c r="A654" s="211"/>
      <c r="B654" s="211"/>
      <c r="C654" s="211"/>
      <c r="D654" s="211"/>
      <c r="E654" s="211"/>
      <c r="F654" s="211"/>
      <c r="G654" s="211"/>
      <c r="H654" s="211"/>
      <c r="I654" s="211"/>
      <c r="J654" s="211"/>
      <c r="K654" s="211"/>
      <c r="L654" s="211"/>
      <c r="M654" s="211"/>
      <c r="N654" s="211"/>
      <c r="O654" s="211"/>
      <c r="P654" s="211"/>
      <c r="Q654" s="211"/>
      <c r="R654" s="211"/>
      <c r="S654" s="211"/>
      <c r="T654" s="211"/>
      <c r="U654" s="211"/>
      <c r="V654" s="211"/>
      <c r="W654" s="211"/>
      <c r="X654" s="211"/>
      <c r="Y654" s="211"/>
      <c r="Z654" s="211"/>
      <c r="AA654" s="211"/>
    </row>
    <row r="655">
      <c r="A655" s="211"/>
      <c r="B655" s="211"/>
      <c r="C655" s="211"/>
      <c r="D655" s="211"/>
      <c r="E655" s="211"/>
      <c r="F655" s="211"/>
      <c r="G655" s="211"/>
      <c r="H655" s="211"/>
      <c r="I655" s="211"/>
      <c r="J655" s="211"/>
      <c r="K655" s="211"/>
      <c r="L655" s="211"/>
      <c r="M655" s="211"/>
      <c r="N655" s="211"/>
      <c r="O655" s="211"/>
      <c r="P655" s="211"/>
      <c r="Q655" s="211"/>
      <c r="R655" s="211"/>
      <c r="S655" s="211"/>
      <c r="T655" s="211"/>
      <c r="U655" s="211"/>
      <c r="V655" s="211"/>
      <c r="W655" s="211"/>
      <c r="X655" s="211"/>
      <c r="Y655" s="211"/>
      <c r="Z655" s="211"/>
      <c r="AA655" s="211"/>
    </row>
    <row r="656">
      <c r="A656" s="211"/>
      <c r="B656" s="211"/>
      <c r="C656" s="211"/>
      <c r="D656" s="211"/>
      <c r="E656" s="211"/>
      <c r="F656" s="211"/>
      <c r="G656" s="211"/>
      <c r="H656" s="211"/>
      <c r="I656" s="211"/>
      <c r="J656" s="211"/>
      <c r="K656" s="211"/>
      <c r="L656" s="211"/>
      <c r="M656" s="211"/>
      <c r="N656" s="211"/>
      <c r="O656" s="211"/>
      <c r="P656" s="211"/>
      <c r="Q656" s="211"/>
      <c r="R656" s="211"/>
      <c r="S656" s="211"/>
      <c r="T656" s="211"/>
      <c r="U656" s="211"/>
      <c r="V656" s="211"/>
      <c r="W656" s="211"/>
      <c r="X656" s="211"/>
      <c r="Y656" s="211"/>
      <c r="Z656" s="211"/>
      <c r="AA656" s="211"/>
    </row>
    <row r="657">
      <c r="A657" s="211"/>
      <c r="B657" s="211"/>
      <c r="C657" s="211"/>
      <c r="D657" s="211"/>
      <c r="E657" s="211"/>
      <c r="F657" s="211"/>
      <c r="G657" s="211"/>
      <c r="H657" s="211"/>
      <c r="I657" s="211"/>
      <c r="J657" s="211"/>
      <c r="K657" s="211"/>
      <c r="L657" s="211"/>
      <c r="M657" s="211"/>
      <c r="N657" s="211"/>
      <c r="O657" s="211"/>
      <c r="P657" s="211"/>
      <c r="Q657" s="211"/>
      <c r="R657" s="211"/>
      <c r="S657" s="211"/>
      <c r="T657" s="211"/>
      <c r="U657" s="211"/>
      <c r="V657" s="211"/>
      <c r="W657" s="211"/>
      <c r="X657" s="211"/>
      <c r="Y657" s="211"/>
      <c r="Z657" s="211"/>
      <c r="AA657" s="211"/>
    </row>
    <row r="658">
      <c r="A658" s="211"/>
      <c r="B658" s="211"/>
      <c r="C658" s="211"/>
      <c r="D658" s="211"/>
      <c r="E658" s="211"/>
      <c r="F658" s="211"/>
      <c r="G658" s="211"/>
      <c r="H658" s="211"/>
      <c r="I658" s="211"/>
      <c r="J658" s="211"/>
      <c r="K658" s="211"/>
      <c r="L658" s="211"/>
      <c r="M658" s="211"/>
      <c r="N658" s="211"/>
      <c r="O658" s="211"/>
      <c r="P658" s="211"/>
      <c r="Q658" s="211"/>
      <c r="R658" s="211"/>
      <c r="S658" s="211"/>
      <c r="T658" s="211"/>
      <c r="U658" s="211"/>
      <c r="V658" s="211"/>
      <c r="W658" s="211"/>
      <c r="X658" s="211"/>
      <c r="Y658" s="211"/>
      <c r="Z658" s="211"/>
      <c r="AA658" s="211"/>
    </row>
    <row r="659">
      <c r="A659" s="211"/>
      <c r="B659" s="211"/>
      <c r="C659" s="211"/>
      <c r="D659" s="211"/>
      <c r="E659" s="211"/>
      <c r="F659" s="211"/>
      <c r="G659" s="211"/>
      <c r="H659" s="211"/>
      <c r="I659" s="211"/>
      <c r="J659" s="211"/>
      <c r="K659" s="211"/>
      <c r="L659" s="211"/>
      <c r="M659" s="211"/>
      <c r="N659" s="211"/>
      <c r="O659" s="211"/>
      <c r="P659" s="211"/>
      <c r="Q659" s="211"/>
      <c r="R659" s="211"/>
      <c r="S659" s="211"/>
      <c r="T659" s="211"/>
      <c r="U659" s="211"/>
      <c r="V659" s="211"/>
      <c r="W659" s="211"/>
      <c r="X659" s="211"/>
      <c r="Y659" s="211"/>
      <c r="Z659" s="211"/>
      <c r="AA659" s="211"/>
    </row>
    <row r="660">
      <c r="A660" s="211"/>
      <c r="B660" s="211"/>
      <c r="C660" s="211"/>
      <c r="D660" s="211"/>
      <c r="E660" s="211"/>
      <c r="F660" s="211"/>
      <c r="G660" s="211"/>
      <c r="H660" s="211"/>
      <c r="I660" s="211"/>
      <c r="J660" s="211"/>
      <c r="K660" s="211"/>
      <c r="L660" s="211"/>
      <c r="M660" s="211"/>
      <c r="N660" s="211"/>
      <c r="O660" s="211"/>
      <c r="P660" s="211"/>
      <c r="Q660" s="211"/>
      <c r="R660" s="211"/>
      <c r="S660" s="211"/>
      <c r="T660" s="211"/>
      <c r="U660" s="211"/>
      <c r="V660" s="211"/>
      <c r="W660" s="211"/>
      <c r="X660" s="211"/>
      <c r="Y660" s="211"/>
      <c r="Z660" s="211"/>
      <c r="AA660" s="211"/>
    </row>
    <row r="661">
      <c r="A661" s="211"/>
      <c r="B661" s="211"/>
      <c r="C661" s="211"/>
      <c r="D661" s="211"/>
      <c r="E661" s="211"/>
      <c r="F661" s="211"/>
      <c r="G661" s="211"/>
      <c r="H661" s="211"/>
      <c r="I661" s="211"/>
      <c r="J661" s="211"/>
      <c r="K661" s="211"/>
      <c r="L661" s="211"/>
      <c r="M661" s="211"/>
      <c r="N661" s="211"/>
      <c r="O661" s="211"/>
      <c r="P661" s="211"/>
      <c r="Q661" s="211"/>
      <c r="R661" s="211"/>
      <c r="S661" s="211"/>
      <c r="T661" s="211"/>
      <c r="U661" s="211"/>
      <c r="V661" s="211"/>
      <c r="W661" s="211"/>
      <c r="X661" s="211"/>
      <c r="Y661" s="211"/>
      <c r="Z661" s="211"/>
      <c r="AA661" s="211"/>
    </row>
    <row r="662">
      <c r="A662" s="211"/>
      <c r="B662" s="211"/>
      <c r="C662" s="211"/>
      <c r="D662" s="211"/>
      <c r="E662" s="211"/>
      <c r="F662" s="211"/>
      <c r="G662" s="211"/>
      <c r="H662" s="211"/>
      <c r="I662" s="211"/>
      <c r="J662" s="211"/>
      <c r="K662" s="211"/>
      <c r="L662" s="211"/>
      <c r="M662" s="211"/>
      <c r="N662" s="211"/>
      <c r="O662" s="211"/>
      <c r="P662" s="211"/>
      <c r="Q662" s="211"/>
      <c r="R662" s="211"/>
      <c r="S662" s="211"/>
      <c r="T662" s="211"/>
      <c r="U662" s="211"/>
      <c r="V662" s="211"/>
      <c r="W662" s="211"/>
      <c r="X662" s="211"/>
      <c r="Y662" s="211"/>
      <c r="Z662" s="211"/>
      <c r="AA662" s="211"/>
    </row>
    <row r="663">
      <c r="A663" s="211"/>
      <c r="B663" s="211"/>
      <c r="C663" s="211"/>
      <c r="D663" s="211"/>
      <c r="E663" s="211"/>
      <c r="F663" s="211"/>
      <c r="G663" s="211"/>
      <c r="H663" s="211"/>
      <c r="I663" s="211"/>
      <c r="J663" s="211"/>
      <c r="K663" s="211"/>
      <c r="L663" s="211"/>
      <c r="M663" s="211"/>
      <c r="N663" s="211"/>
      <c r="O663" s="211"/>
      <c r="P663" s="211"/>
      <c r="Q663" s="211"/>
      <c r="R663" s="211"/>
      <c r="S663" s="211"/>
      <c r="T663" s="211"/>
      <c r="U663" s="211"/>
      <c r="V663" s="211"/>
      <c r="W663" s="211"/>
      <c r="X663" s="211"/>
      <c r="Y663" s="211"/>
      <c r="Z663" s="211"/>
      <c r="AA663" s="211"/>
    </row>
    <row r="664">
      <c r="A664" s="211"/>
      <c r="B664" s="211"/>
      <c r="C664" s="211"/>
      <c r="D664" s="211"/>
      <c r="E664" s="211"/>
      <c r="F664" s="211"/>
      <c r="G664" s="211"/>
      <c r="H664" s="211"/>
      <c r="I664" s="211"/>
      <c r="J664" s="211"/>
      <c r="K664" s="211"/>
      <c r="L664" s="211"/>
      <c r="M664" s="211"/>
      <c r="N664" s="211"/>
      <c r="O664" s="211"/>
      <c r="P664" s="211"/>
      <c r="Q664" s="211"/>
      <c r="R664" s="211"/>
      <c r="S664" s="211"/>
      <c r="T664" s="211"/>
      <c r="U664" s="211"/>
      <c r="V664" s="211"/>
      <c r="W664" s="211"/>
      <c r="X664" s="211"/>
      <c r="Y664" s="211"/>
      <c r="Z664" s="211"/>
      <c r="AA664" s="211"/>
    </row>
    <row r="665">
      <c r="A665" s="211"/>
      <c r="B665" s="211"/>
      <c r="C665" s="211"/>
      <c r="D665" s="211"/>
      <c r="E665" s="211"/>
      <c r="F665" s="211"/>
      <c r="G665" s="211"/>
      <c r="H665" s="211"/>
      <c r="I665" s="211"/>
      <c r="J665" s="211"/>
      <c r="K665" s="211"/>
      <c r="L665" s="211"/>
      <c r="M665" s="211"/>
      <c r="N665" s="211"/>
      <c r="O665" s="211"/>
      <c r="P665" s="211"/>
      <c r="Q665" s="211"/>
      <c r="R665" s="211"/>
      <c r="S665" s="211"/>
      <c r="T665" s="211"/>
      <c r="U665" s="211"/>
      <c r="V665" s="211"/>
      <c r="W665" s="211"/>
      <c r="X665" s="211"/>
      <c r="Y665" s="211"/>
      <c r="Z665" s="211"/>
      <c r="AA665" s="211"/>
    </row>
    <row r="666">
      <c r="A666" s="211"/>
      <c r="B666" s="211"/>
      <c r="C666" s="211"/>
      <c r="D666" s="211"/>
      <c r="E666" s="211"/>
      <c r="F666" s="211"/>
      <c r="G666" s="211"/>
      <c r="H666" s="211"/>
      <c r="I666" s="211"/>
      <c r="J666" s="211"/>
      <c r="K666" s="211"/>
      <c r="L666" s="211"/>
      <c r="M666" s="211"/>
      <c r="N666" s="211"/>
      <c r="O666" s="211"/>
      <c r="P666" s="211"/>
      <c r="Q666" s="211"/>
      <c r="R666" s="211"/>
      <c r="S666" s="211"/>
      <c r="T666" s="211"/>
      <c r="U666" s="211"/>
      <c r="V666" s="211"/>
      <c r="W666" s="211"/>
      <c r="X666" s="211"/>
      <c r="Y666" s="211"/>
      <c r="Z666" s="211"/>
      <c r="AA666" s="211"/>
    </row>
    <row r="667">
      <c r="A667" s="211"/>
      <c r="B667" s="211"/>
      <c r="C667" s="211"/>
      <c r="D667" s="211"/>
      <c r="E667" s="211"/>
      <c r="F667" s="211"/>
      <c r="G667" s="211"/>
      <c r="H667" s="211"/>
      <c r="I667" s="211"/>
      <c r="J667" s="211"/>
      <c r="K667" s="211"/>
      <c r="L667" s="211"/>
      <c r="M667" s="211"/>
      <c r="N667" s="211"/>
      <c r="O667" s="211"/>
      <c r="P667" s="211"/>
      <c r="Q667" s="211"/>
      <c r="R667" s="211"/>
      <c r="S667" s="211"/>
      <c r="T667" s="211"/>
      <c r="U667" s="211"/>
      <c r="V667" s="211"/>
      <c r="W667" s="211"/>
      <c r="X667" s="211"/>
      <c r="Y667" s="211"/>
      <c r="Z667" s="211"/>
      <c r="AA667" s="211"/>
    </row>
    <row r="668">
      <c r="A668" s="211"/>
      <c r="B668" s="211"/>
      <c r="C668" s="211"/>
      <c r="D668" s="211"/>
      <c r="E668" s="211"/>
      <c r="F668" s="211"/>
      <c r="G668" s="211"/>
      <c r="H668" s="211"/>
      <c r="I668" s="211"/>
      <c r="J668" s="211"/>
      <c r="K668" s="211"/>
      <c r="L668" s="211"/>
      <c r="M668" s="211"/>
      <c r="N668" s="211"/>
      <c r="O668" s="211"/>
      <c r="P668" s="211"/>
      <c r="Q668" s="211"/>
      <c r="R668" s="211"/>
      <c r="S668" s="211"/>
      <c r="T668" s="211"/>
      <c r="U668" s="211"/>
      <c r="V668" s="211"/>
      <c r="W668" s="211"/>
      <c r="X668" s="211"/>
      <c r="Y668" s="211"/>
      <c r="Z668" s="211"/>
      <c r="AA668" s="211"/>
    </row>
    <row r="669">
      <c r="A669" s="211"/>
      <c r="B669" s="211"/>
      <c r="C669" s="211"/>
      <c r="D669" s="211"/>
      <c r="E669" s="211"/>
      <c r="F669" s="211"/>
      <c r="G669" s="211"/>
      <c r="H669" s="211"/>
      <c r="I669" s="211"/>
      <c r="J669" s="211"/>
      <c r="K669" s="211"/>
      <c r="L669" s="211"/>
      <c r="M669" s="211"/>
      <c r="N669" s="211"/>
      <c r="O669" s="211"/>
      <c r="P669" s="211"/>
      <c r="Q669" s="211"/>
      <c r="R669" s="211"/>
      <c r="S669" s="211"/>
      <c r="T669" s="211"/>
      <c r="U669" s="211"/>
      <c r="V669" s="211"/>
      <c r="W669" s="211"/>
      <c r="X669" s="211"/>
      <c r="Y669" s="211"/>
      <c r="Z669" s="211"/>
      <c r="AA669" s="211"/>
    </row>
    <row r="670">
      <c r="A670" s="211"/>
      <c r="B670" s="211"/>
      <c r="C670" s="211"/>
      <c r="D670" s="211"/>
      <c r="E670" s="211"/>
      <c r="F670" s="211"/>
      <c r="G670" s="211"/>
      <c r="H670" s="211"/>
      <c r="I670" s="211"/>
      <c r="J670" s="211"/>
      <c r="K670" s="211"/>
      <c r="L670" s="211"/>
      <c r="M670" s="211"/>
      <c r="N670" s="211"/>
      <c r="O670" s="211"/>
      <c r="P670" s="211"/>
      <c r="Q670" s="211"/>
      <c r="R670" s="211"/>
      <c r="S670" s="211"/>
      <c r="T670" s="211"/>
      <c r="U670" s="211"/>
      <c r="V670" s="211"/>
      <c r="W670" s="211"/>
      <c r="X670" s="211"/>
      <c r="Y670" s="211"/>
      <c r="Z670" s="211"/>
      <c r="AA670" s="211"/>
    </row>
    <row r="671">
      <c r="A671" s="211"/>
      <c r="B671" s="211"/>
      <c r="C671" s="211"/>
      <c r="D671" s="211"/>
      <c r="E671" s="211"/>
      <c r="F671" s="211"/>
      <c r="G671" s="211"/>
      <c r="H671" s="211"/>
      <c r="I671" s="211"/>
      <c r="J671" s="211"/>
      <c r="K671" s="211"/>
      <c r="L671" s="211"/>
      <c r="M671" s="211"/>
      <c r="N671" s="211"/>
      <c r="O671" s="211"/>
      <c r="P671" s="211"/>
      <c r="Q671" s="211"/>
      <c r="R671" s="211"/>
      <c r="S671" s="211"/>
      <c r="T671" s="211"/>
      <c r="U671" s="211"/>
      <c r="V671" s="211"/>
      <c r="W671" s="211"/>
      <c r="X671" s="211"/>
      <c r="Y671" s="211"/>
      <c r="Z671" s="211"/>
      <c r="AA671" s="211"/>
    </row>
    <row r="672">
      <c r="A672" s="211"/>
      <c r="B672" s="211"/>
      <c r="C672" s="211"/>
      <c r="D672" s="211"/>
      <c r="E672" s="211"/>
      <c r="F672" s="211"/>
      <c r="G672" s="211"/>
      <c r="H672" s="211"/>
      <c r="I672" s="211"/>
      <c r="J672" s="211"/>
      <c r="K672" s="211"/>
      <c r="L672" s="211"/>
      <c r="M672" s="211"/>
      <c r="N672" s="211"/>
      <c r="O672" s="211"/>
      <c r="P672" s="211"/>
      <c r="Q672" s="211"/>
      <c r="R672" s="211"/>
      <c r="S672" s="211"/>
      <c r="T672" s="211"/>
      <c r="U672" s="211"/>
      <c r="V672" s="211"/>
      <c r="W672" s="211"/>
      <c r="X672" s="211"/>
      <c r="Y672" s="211"/>
      <c r="Z672" s="211"/>
      <c r="AA672" s="211"/>
    </row>
    <row r="673">
      <c r="A673" s="211"/>
      <c r="B673" s="211"/>
      <c r="C673" s="211"/>
      <c r="D673" s="211"/>
      <c r="E673" s="211"/>
      <c r="F673" s="211"/>
      <c r="G673" s="211"/>
      <c r="H673" s="211"/>
      <c r="I673" s="211"/>
      <c r="J673" s="211"/>
      <c r="K673" s="211"/>
      <c r="L673" s="211"/>
      <c r="M673" s="211"/>
      <c r="N673" s="211"/>
      <c r="O673" s="211"/>
      <c r="P673" s="211"/>
      <c r="Q673" s="211"/>
      <c r="R673" s="211"/>
      <c r="S673" s="211"/>
      <c r="T673" s="211"/>
      <c r="U673" s="211"/>
      <c r="V673" s="211"/>
      <c r="W673" s="211"/>
      <c r="X673" s="211"/>
      <c r="Y673" s="211"/>
      <c r="Z673" s="211"/>
      <c r="AA673" s="211"/>
    </row>
    <row r="674">
      <c r="A674" s="211"/>
      <c r="B674" s="211"/>
      <c r="C674" s="211"/>
      <c r="D674" s="211"/>
      <c r="E674" s="211"/>
      <c r="F674" s="211"/>
      <c r="G674" s="211"/>
      <c r="H674" s="211"/>
      <c r="I674" s="211"/>
      <c r="J674" s="211"/>
      <c r="K674" s="211"/>
      <c r="L674" s="211"/>
      <c r="M674" s="211"/>
      <c r="N674" s="211"/>
      <c r="O674" s="211"/>
      <c r="P674" s="211"/>
      <c r="Q674" s="211"/>
      <c r="R674" s="211"/>
      <c r="S674" s="211"/>
      <c r="T674" s="211"/>
      <c r="U674" s="211"/>
      <c r="V674" s="211"/>
      <c r="W674" s="211"/>
      <c r="X674" s="211"/>
      <c r="Y674" s="211"/>
      <c r="Z674" s="211"/>
      <c r="AA674" s="211"/>
    </row>
    <row r="675">
      <c r="A675" s="211"/>
      <c r="B675" s="211"/>
      <c r="C675" s="211"/>
      <c r="D675" s="211"/>
      <c r="E675" s="211"/>
      <c r="F675" s="211"/>
      <c r="G675" s="211"/>
      <c r="H675" s="211"/>
      <c r="I675" s="211"/>
      <c r="J675" s="211"/>
      <c r="K675" s="211"/>
      <c r="L675" s="211"/>
      <c r="M675" s="211"/>
      <c r="N675" s="211"/>
      <c r="O675" s="211"/>
      <c r="P675" s="211"/>
      <c r="Q675" s="211"/>
      <c r="R675" s="211"/>
      <c r="S675" s="211"/>
      <c r="T675" s="211"/>
      <c r="U675" s="211"/>
      <c r="V675" s="211"/>
      <c r="W675" s="211"/>
      <c r="X675" s="211"/>
      <c r="Y675" s="211"/>
      <c r="Z675" s="211"/>
      <c r="AA675" s="211"/>
    </row>
    <row r="676">
      <c r="A676" s="211"/>
      <c r="B676" s="211"/>
      <c r="C676" s="211"/>
      <c r="D676" s="211"/>
      <c r="E676" s="211"/>
      <c r="F676" s="211"/>
      <c r="G676" s="211"/>
      <c r="H676" s="211"/>
      <c r="I676" s="211"/>
      <c r="J676" s="211"/>
      <c r="K676" s="211"/>
      <c r="L676" s="211"/>
      <c r="M676" s="211"/>
      <c r="N676" s="211"/>
      <c r="O676" s="211"/>
      <c r="P676" s="211"/>
      <c r="Q676" s="211"/>
      <c r="R676" s="211"/>
      <c r="S676" s="211"/>
      <c r="T676" s="211"/>
      <c r="U676" s="211"/>
      <c r="V676" s="211"/>
      <c r="W676" s="211"/>
      <c r="X676" s="211"/>
      <c r="Y676" s="211"/>
      <c r="Z676" s="211"/>
      <c r="AA676" s="211"/>
    </row>
    <row r="677">
      <c r="A677" s="211"/>
      <c r="B677" s="211"/>
      <c r="C677" s="211"/>
      <c r="D677" s="211"/>
      <c r="E677" s="211"/>
      <c r="F677" s="211"/>
      <c r="G677" s="211"/>
      <c r="H677" s="211"/>
      <c r="I677" s="211"/>
      <c r="J677" s="211"/>
      <c r="K677" s="211"/>
      <c r="L677" s="211"/>
      <c r="M677" s="211"/>
      <c r="N677" s="211"/>
      <c r="O677" s="211"/>
      <c r="P677" s="211"/>
      <c r="Q677" s="211"/>
      <c r="R677" s="211"/>
      <c r="S677" s="211"/>
      <c r="T677" s="211"/>
      <c r="U677" s="211"/>
      <c r="V677" s="211"/>
      <c r="W677" s="211"/>
      <c r="X677" s="211"/>
      <c r="Y677" s="211"/>
      <c r="Z677" s="211"/>
      <c r="AA677" s="211"/>
    </row>
    <row r="678">
      <c r="A678" s="211"/>
      <c r="B678" s="211"/>
      <c r="C678" s="211"/>
      <c r="D678" s="211"/>
      <c r="E678" s="211"/>
      <c r="F678" s="211"/>
      <c r="G678" s="211"/>
      <c r="H678" s="211"/>
      <c r="I678" s="211"/>
      <c r="J678" s="211"/>
      <c r="K678" s="211"/>
      <c r="L678" s="211"/>
      <c r="M678" s="211"/>
      <c r="N678" s="211"/>
      <c r="O678" s="211"/>
      <c r="P678" s="211"/>
      <c r="Q678" s="211"/>
      <c r="R678" s="211"/>
      <c r="S678" s="211"/>
      <c r="T678" s="211"/>
      <c r="U678" s="211"/>
      <c r="V678" s="211"/>
      <c r="W678" s="211"/>
      <c r="X678" s="211"/>
      <c r="Y678" s="211"/>
      <c r="Z678" s="211"/>
      <c r="AA678" s="211"/>
    </row>
    <row r="679">
      <c r="A679" s="211"/>
      <c r="B679" s="211"/>
      <c r="C679" s="211"/>
      <c r="D679" s="211"/>
      <c r="E679" s="211"/>
      <c r="F679" s="211"/>
      <c r="G679" s="211"/>
      <c r="H679" s="211"/>
      <c r="I679" s="211"/>
      <c r="J679" s="211"/>
      <c r="K679" s="211"/>
      <c r="L679" s="211"/>
      <c r="M679" s="211"/>
      <c r="N679" s="211"/>
      <c r="O679" s="211"/>
      <c r="P679" s="211"/>
      <c r="Q679" s="211"/>
      <c r="R679" s="211"/>
      <c r="S679" s="211"/>
      <c r="T679" s="211"/>
      <c r="U679" s="211"/>
      <c r="V679" s="211"/>
      <c r="W679" s="211"/>
      <c r="X679" s="211"/>
      <c r="Y679" s="211"/>
      <c r="Z679" s="211"/>
      <c r="AA679" s="211"/>
    </row>
    <row r="680">
      <c r="A680" s="211"/>
      <c r="B680" s="211"/>
      <c r="C680" s="211"/>
      <c r="D680" s="211"/>
      <c r="E680" s="211"/>
      <c r="F680" s="211"/>
      <c r="G680" s="211"/>
      <c r="H680" s="211"/>
      <c r="I680" s="211"/>
      <c r="J680" s="211"/>
      <c r="K680" s="211"/>
      <c r="L680" s="211"/>
      <c r="M680" s="211"/>
      <c r="N680" s="211"/>
      <c r="O680" s="211"/>
      <c r="P680" s="211"/>
      <c r="Q680" s="211"/>
      <c r="R680" s="211"/>
      <c r="S680" s="211"/>
      <c r="T680" s="211"/>
      <c r="U680" s="211"/>
      <c r="V680" s="211"/>
      <c r="W680" s="211"/>
      <c r="X680" s="211"/>
      <c r="Y680" s="211"/>
      <c r="Z680" s="211"/>
      <c r="AA680" s="211"/>
    </row>
    <row r="681">
      <c r="A681" s="211"/>
      <c r="B681" s="211"/>
      <c r="C681" s="211"/>
      <c r="D681" s="211"/>
      <c r="E681" s="211"/>
      <c r="F681" s="211"/>
      <c r="G681" s="211"/>
      <c r="H681" s="211"/>
      <c r="I681" s="211"/>
      <c r="J681" s="211"/>
      <c r="K681" s="211"/>
      <c r="L681" s="211"/>
      <c r="M681" s="211"/>
      <c r="N681" s="211"/>
      <c r="O681" s="211"/>
      <c r="P681" s="211"/>
      <c r="Q681" s="211"/>
      <c r="R681" s="211"/>
      <c r="S681" s="211"/>
      <c r="T681" s="211"/>
      <c r="U681" s="211"/>
      <c r="V681" s="211"/>
      <c r="W681" s="211"/>
      <c r="X681" s="211"/>
      <c r="Y681" s="211"/>
      <c r="Z681" s="211"/>
      <c r="AA681" s="211"/>
    </row>
    <row r="682">
      <c r="A682" s="211"/>
      <c r="B682" s="211"/>
      <c r="C682" s="211"/>
      <c r="D682" s="211"/>
      <c r="E682" s="211"/>
      <c r="F682" s="211"/>
      <c r="G682" s="211"/>
      <c r="H682" s="211"/>
      <c r="I682" s="211"/>
      <c r="J682" s="211"/>
      <c r="K682" s="211"/>
      <c r="L682" s="211"/>
      <c r="M682" s="211"/>
      <c r="N682" s="211"/>
      <c r="O682" s="211"/>
      <c r="P682" s="211"/>
      <c r="Q682" s="211"/>
      <c r="R682" s="211"/>
      <c r="S682" s="211"/>
      <c r="T682" s="211"/>
      <c r="U682" s="211"/>
      <c r="V682" s="211"/>
      <c r="W682" s="211"/>
      <c r="X682" s="211"/>
      <c r="Y682" s="211"/>
      <c r="Z682" s="211"/>
      <c r="AA682" s="211"/>
    </row>
    <row r="683">
      <c r="A683" s="211"/>
      <c r="B683" s="211"/>
      <c r="C683" s="211"/>
      <c r="D683" s="211"/>
      <c r="E683" s="211"/>
      <c r="F683" s="211"/>
      <c r="G683" s="211"/>
      <c r="H683" s="211"/>
      <c r="I683" s="211"/>
      <c r="J683" s="211"/>
      <c r="K683" s="211"/>
      <c r="L683" s="211"/>
      <c r="M683" s="211"/>
      <c r="N683" s="211"/>
      <c r="O683" s="211"/>
      <c r="P683" s="211"/>
      <c r="Q683" s="211"/>
      <c r="R683" s="211"/>
      <c r="S683" s="211"/>
      <c r="T683" s="211"/>
      <c r="U683" s="211"/>
      <c r="V683" s="211"/>
      <c r="W683" s="211"/>
      <c r="X683" s="211"/>
      <c r="Y683" s="211"/>
      <c r="Z683" s="211"/>
      <c r="AA683" s="211"/>
    </row>
    <row r="684">
      <c r="A684" s="211"/>
      <c r="B684" s="211"/>
      <c r="C684" s="211"/>
      <c r="D684" s="211"/>
      <c r="E684" s="211"/>
      <c r="F684" s="211"/>
      <c r="G684" s="211"/>
      <c r="H684" s="211"/>
      <c r="I684" s="211"/>
      <c r="J684" s="211"/>
      <c r="K684" s="211"/>
      <c r="L684" s="211"/>
      <c r="M684" s="211"/>
      <c r="N684" s="211"/>
      <c r="O684" s="211"/>
      <c r="P684" s="211"/>
      <c r="Q684" s="211"/>
      <c r="R684" s="211"/>
      <c r="S684" s="211"/>
      <c r="T684" s="211"/>
      <c r="U684" s="211"/>
      <c r="V684" s="211"/>
      <c r="W684" s="211"/>
      <c r="X684" s="211"/>
      <c r="Y684" s="211"/>
      <c r="Z684" s="211"/>
      <c r="AA684" s="211"/>
    </row>
    <row r="685">
      <c r="A685" s="211"/>
      <c r="B685" s="211"/>
      <c r="C685" s="211"/>
      <c r="D685" s="211"/>
      <c r="E685" s="211"/>
      <c r="F685" s="211"/>
      <c r="G685" s="211"/>
      <c r="H685" s="211"/>
      <c r="I685" s="211"/>
      <c r="J685" s="211"/>
      <c r="K685" s="211"/>
      <c r="L685" s="211"/>
      <c r="M685" s="211"/>
      <c r="N685" s="211"/>
      <c r="O685" s="211"/>
      <c r="P685" s="211"/>
      <c r="Q685" s="211"/>
      <c r="R685" s="211"/>
      <c r="S685" s="211"/>
      <c r="T685" s="211"/>
      <c r="U685" s="211"/>
      <c r="V685" s="211"/>
      <c r="W685" s="211"/>
      <c r="X685" s="211"/>
      <c r="Y685" s="211"/>
      <c r="Z685" s="211"/>
      <c r="AA685" s="211"/>
    </row>
    <row r="686">
      <c r="A686" s="211"/>
      <c r="B686" s="211"/>
      <c r="C686" s="211"/>
      <c r="D686" s="211"/>
      <c r="E686" s="211"/>
      <c r="F686" s="211"/>
      <c r="G686" s="211"/>
      <c r="H686" s="211"/>
      <c r="I686" s="211"/>
      <c r="J686" s="211"/>
      <c r="K686" s="211"/>
      <c r="L686" s="211"/>
      <c r="M686" s="211"/>
      <c r="N686" s="211"/>
      <c r="O686" s="211"/>
      <c r="P686" s="211"/>
      <c r="Q686" s="211"/>
      <c r="R686" s="211"/>
      <c r="S686" s="211"/>
      <c r="T686" s="211"/>
      <c r="U686" s="211"/>
      <c r="V686" s="211"/>
      <c r="W686" s="211"/>
      <c r="X686" s="211"/>
      <c r="Y686" s="211"/>
      <c r="Z686" s="211"/>
      <c r="AA686" s="211"/>
    </row>
    <row r="687">
      <c r="A687" s="211"/>
      <c r="B687" s="211"/>
      <c r="C687" s="211"/>
      <c r="D687" s="211"/>
      <c r="E687" s="211"/>
      <c r="F687" s="211"/>
      <c r="G687" s="211"/>
      <c r="H687" s="211"/>
      <c r="I687" s="211"/>
      <c r="J687" s="211"/>
      <c r="K687" s="211"/>
      <c r="L687" s="211"/>
      <c r="M687" s="211"/>
      <c r="N687" s="211"/>
      <c r="O687" s="211"/>
      <c r="P687" s="211"/>
      <c r="Q687" s="211"/>
      <c r="R687" s="211"/>
      <c r="S687" s="211"/>
      <c r="T687" s="211"/>
      <c r="U687" s="211"/>
      <c r="V687" s="211"/>
      <c r="W687" s="211"/>
      <c r="X687" s="211"/>
      <c r="Y687" s="211"/>
      <c r="Z687" s="211"/>
      <c r="AA687" s="211"/>
    </row>
    <row r="688">
      <c r="A688" s="211"/>
      <c r="B688" s="211"/>
      <c r="C688" s="211"/>
      <c r="D688" s="211"/>
      <c r="E688" s="211"/>
      <c r="F688" s="211"/>
      <c r="G688" s="211"/>
      <c r="H688" s="211"/>
      <c r="I688" s="211"/>
      <c r="J688" s="211"/>
      <c r="K688" s="211"/>
      <c r="L688" s="211"/>
      <c r="M688" s="211"/>
      <c r="N688" s="211"/>
      <c r="O688" s="211"/>
      <c r="P688" s="211"/>
      <c r="Q688" s="211"/>
      <c r="R688" s="211"/>
      <c r="S688" s="211"/>
      <c r="T688" s="211"/>
      <c r="U688" s="211"/>
      <c r="V688" s="211"/>
      <c r="W688" s="211"/>
      <c r="X688" s="211"/>
      <c r="Y688" s="211"/>
      <c r="Z688" s="211"/>
      <c r="AA688" s="211"/>
    </row>
    <row r="689">
      <c r="A689" s="211"/>
      <c r="B689" s="211"/>
      <c r="C689" s="211"/>
      <c r="D689" s="211"/>
      <c r="E689" s="211"/>
      <c r="F689" s="211"/>
      <c r="G689" s="211"/>
      <c r="H689" s="211"/>
      <c r="I689" s="211"/>
      <c r="J689" s="211"/>
      <c r="K689" s="211"/>
      <c r="L689" s="211"/>
      <c r="M689" s="211"/>
      <c r="N689" s="211"/>
      <c r="O689" s="211"/>
      <c r="P689" s="211"/>
      <c r="Q689" s="211"/>
      <c r="R689" s="211"/>
      <c r="S689" s="211"/>
      <c r="T689" s="211"/>
      <c r="U689" s="211"/>
      <c r="V689" s="211"/>
      <c r="W689" s="211"/>
      <c r="X689" s="211"/>
      <c r="Y689" s="211"/>
      <c r="Z689" s="211"/>
      <c r="AA689" s="211"/>
    </row>
    <row r="690">
      <c r="A690" s="211"/>
      <c r="B690" s="211"/>
      <c r="C690" s="211"/>
      <c r="D690" s="211"/>
      <c r="E690" s="211"/>
      <c r="F690" s="211"/>
      <c r="G690" s="211"/>
      <c r="H690" s="211"/>
      <c r="I690" s="211"/>
      <c r="J690" s="211"/>
      <c r="K690" s="211"/>
      <c r="L690" s="211"/>
      <c r="M690" s="211"/>
      <c r="N690" s="211"/>
      <c r="O690" s="211"/>
      <c r="P690" s="211"/>
      <c r="Q690" s="211"/>
      <c r="R690" s="211"/>
      <c r="S690" s="211"/>
      <c r="T690" s="211"/>
      <c r="U690" s="211"/>
      <c r="V690" s="211"/>
      <c r="W690" s="211"/>
      <c r="X690" s="211"/>
      <c r="Y690" s="211"/>
      <c r="Z690" s="211"/>
      <c r="AA690" s="211"/>
    </row>
    <row r="691">
      <c r="A691" s="211"/>
      <c r="B691" s="211"/>
      <c r="C691" s="211"/>
      <c r="D691" s="211"/>
      <c r="E691" s="211"/>
      <c r="F691" s="211"/>
      <c r="G691" s="211"/>
      <c r="H691" s="211"/>
      <c r="I691" s="211"/>
      <c r="J691" s="211"/>
      <c r="K691" s="211"/>
      <c r="L691" s="211"/>
      <c r="M691" s="211"/>
      <c r="N691" s="211"/>
      <c r="O691" s="211"/>
      <c r="P691" s="211"/>
      <c r="Q691" s="211"/>
      <c r="R691" s="211"/>
      <c r="S691" s="211"/>
      <c r="T691" s="211"/>
      <c r="U691" s="211"/>
      <c r="V691" s="211"/>
      <c r="W691" s="211"/>
      <c r="X691" s="211"/>
      <c r="Y691" s="211"/>
      <c r="Z691" s="211"/>
      <c r="AA691" s="211"/>
    </row>
    <row r="692">
      <c r="A692" s="211"/>
      <c r="B692" s="211"/>
      <c r="C692" s="211"/>
      <c r="D692" s="211"/>
      <c r="E692" s="211"/>
      <c r="F692" s="211"/>
      <c r="G692" s="211"/>
      <c r="H692" s="211"/>
      <c r="I692" s="211"/>
      <c r="J692" s="211"/>
      <c r="K692" s="211"/>
      <c r="L692" s="211"/>
      <c r="M692" s="211"/>
      <c r="N692" s="211"/>
      <c r="O692" s="211"/>
      <c r="P692" s="211"/>
      <c r="Q692" s="211"/>
      <c r="R692" s="211"/>
      <c r="S692" s="211"/>
      <c r="T692" s="211"/>
      <c r="U692" s="211"/>
      <c r="V692" s="211"/>
      <c r="W692" s="211"/>
      <c r="X692" s="211"/>
      <c r="Y692" s="211"/>
      <c r="Z692" s="211"/>
      <c r="AA692" s="211"/>
    </row>
    <row r="693">
      <c r="A693" s="211"/>
      <c r="B693" s="211"/>
      <c r="C693" s="211"/>
      <c r="D693" s="211"/>
      <c r="E693" s="211"/>
      <c r="F693" s="211"/>
      <c r="G693" s="211"/>
      <c r="H693" s="211"/>
      <c r="I693" s="211"/>
      <c r="J693" s="211"/>
      <c r="K693" s="211"/>
      <c r="L693" s="211"/>
      <c r="M693" s="211"/>
      <c r="N693" s="211"/>
      <c r="O693" s="211"/>
      <c r="P693" s="211"/>
      <c r="Q693" s="211"/>
      <c r="R693" s="211"/>
      <c r="S693" s="211"/>
      <c r="T693" s="211"/>
      <c r="U693" s="211"/>
      <c r="V693" s="211"/>
      <c r="W693" s="211"/>
      <c r="X693" s="211"/>
      <c r="Y693" s="211"/>
      <c r="Z693" s="211"/>
      <c r="AA693" s="211"/>
    </row>
    <row r="694">
      <c r="A694" s="211"/>
      <c r="B694" s="211"/>
      <c r="C694" s="211"/>
      <c r="D694" s="211"/>
      <c r="E694" s="211"/>
      <c r="F694" s="211"/>
      <c r="G694" s="211"/>
      <c r="H694" s="211"/>
      <c r="I694" s="211"/>
      <c r="J694" s="211"/>
      <c r="K694" s="211"/>
      <c r="L694" s="211"/>
      <c r="M694" s="211"/>
      <c r="N694" s="211"/>
      <c r="O694" s="211"/>
      <c r="P694" s="211"/>
      <c r="Q694" s="211"/>
      <c r="R694" s="211"/>
      <c r="S694" s="211"/>
      <c r="T694" s="211"/>
      <c r="U694" s="211"/>
      <c r="V694" s="211"/>
      <c r="W694" s="211"/>
      <c r="X694" s="211"/>
      <c r="Y694" s="211"/>
      <c r="Z694" s="211"/>
      <c r="AA694" s="211"/>
    </row>
    <row r="695">
      <c r="A695" s="211"/>
      <c r="B695" s="211"/>
      <c r="C695" s="211"/>
      <c r="D695" s="211"/>
      <c r="E695" s="211"/>
      <c r="F695" s="211"/>
      <c r="G695" s="211"/>
      <c r="H695" s="211"/>
      <c r="I695" s="211"/>
      <c r="J695" s="211"/>
      <c r="K695" s="211"/>
      <c r="L695" s="211"/>
      <c r="M695" s="211"/>
      <c r="N695" s="211"/>
      <c r="O695" s="211"/>
      <c r="P695" s="211"/>
      <c r="Q695" s="211"/>
      <c r="R695" s="211"/>
      <c r="S695" s="211"/>
      <c r="T695" s="211"/>
      <c r="U695" s="211"/>
      <c r="V695" s="211"/>
      <c r="W695" s="211"/>
      <c r="X695" s="211"/>
      <c r="Y695" s="211"/>
      <c r="Z695" s="211"/>
      <c r="AA695" s="211"/>
    </row>
    <row r="696">
      <c r="A696" s="211"/>
      <c r="B696" s="211"/>
      <c r="C696" s="211"/>
      <c r="D696" s="211"/>
      <c r="E696" s="211"/>
      <c r="F696" s="211"/>
      <c r="G696" s="211"/>
      <c r="H696" s="211"/>
      <c r="I696" s="211"/>
      <c r="J696" s="211"/>
      <c r="K696" s="211"/>
      <c r="L696" s="211"/>
      <c r="M696" s="211"/>
      <c r="N696" s="211"/>
      <c r="O696" s="211"/>
      <c r="P696" s="211"/>
      <c r="Q696" s="211"/>
      <c r="R696" s="211"/>
      <c r="S696" s="211"/>
      <c r="T696" s="211"/>
      <c r="U696" s="211"/>
      <c r="V696" s="211"/>
      <c r="W696" s="211"/>
      <c r="X696" s="211"/>
      <c r="Y696" s="211"/>
      <c r="Z696" s="211"/>
      <c r="AA696" s="211"/>
    </row>
    <row r="697">
      <c r="A697" s="211"/>
      <c r="B697" s="211"/>
      <c r="C697" s="211"/>
      <c r="D697" s="211"/>
      <c r="E697" s="211"/>
      <c r="F697" s="211"/>
      <c r="G697" s="211"/>
      <c r="H697" s="211"/>
      <c r="I697" s="211"/>
      <c r="J697" s="211"/>
      <c r="K697" s="211"/>
      <c r="L697" s="211"/>
      <c r="M697" s="211"/>
      <c r="N697" s="211"/>
      <c r="O697" s="211"/>
      <c r="P697" s="211"/>
      <c r="Q697" s="211"/>
      <c r="R697" s="211"/>
      <c r="S697" s="211"/>
      <c r="T697" s="211"/>
      <c r="U697" s="211"/>
      <c r="V697" s="211"/>
      <c r="W697" s="211"/>
      <c r="X697" s="211"/>
      <c r="Y697" s="211"/>
      <c r="Z697" s="211"/>
      <c r="AA697" s="211"/>
    </row>
    <row r="698">
      <c r="A698" s="211"/>
      <c r="B698" s="211"/>
      <c r="C698" s="211"/>
      <c r="D698" s="211"/>
      <c r="E698" s="211"/>
      <c r="F698" s="211"/>
      <c r="G698" s="211"/>
      <c r="H698" s="211"/>
      <c r="I698" s="211"/>
      <c r="J698" s="211"/>
      <c r="K698" s="211"/>
      <c r="L698" s="211"/>
      <c r="M698" s="211"/>
      <c r="N698" s="211"/>
      <c r="O698" s="211"/>
      <c r="P698" s="211"/>
      <c r="Q698" s="211"/>
      <c r="R698" s="211"/>
      <c r="S698" s="211"/>
      <c r="T698" s="211"/>
      <c r="U698" s="211"/>
      <c r="V698" s="211"/>
      <c r="W698" s="211"/>
      <c r="X698" s="211"/>
      <c r="Y698" s="211"/>
      <c r="Z698" s="211"/>
      <c r="AA698" s="211"/>
    </row>
    <row r="699">
      <c r="A699" s="211"/>
      <c r="B699" s="211"/>
      <c r="C699" s="211"/>
      <c r="D699" s="211"/>
      <c r="E699" s="211"/>
      <c r="F699" s="211"/>
      <c r="G699" s="211"/>
      <c r="H699" s="211"/>
      <c r="I699" s="211"/>
      <c r="J699" s="211"/>
      <c r="K699" s="211"/>
      <c r="L699" s="211"/>
      <c r="M699" s="211"/>
      <c r="N699" s="211"/>
      <c r="O699" s="211"/>
      <c r="P699" s="211"/>
      <c r="Q699" s="211"/>
      <c r="R699" s="211"/>
      <c r="S699" s="211"/>
      <c r="T699" s="211"/>
      <c r="U699" s="211"/>
      <c r="V699" s="211"/>
      <c r="W699" s="211"/>
      <c r="X699" s="211"/>
      <c r="Y699" s="211"/>
      <c r="Z699" s="211"/>
      <c r="AA699" s="211"/>
    </row>
    <row r="700">
      <c r="A700" s="211"/>
      <c r="B700" s="211"/>
      <c r="C700" s="211"/>
      <c r="D700" s="211"/>
      <c r="E700" s="211"/>
      <c r="F700" s="211"/>
      <c r="G700" s="211"/>
      <c r="H700" s="211"/>
      <c r="I700" s="211"/>
      <c r="J700" s="211"/>
      <c r="K700" s="211"/>
      <c r="L700" s="211"/>
      <c r="M700" s="211"/>
      <c r="N700" s="211"/>
      <c r="O700" s="211"/>
      <c r="P700" s="211"/>
      <c r="Q700" s="211"/>
      <c r="R700" s="211"/>
      <c r="S700" s="211"/>
      <c r="T700" s="211"/>
      <c r="U700" s="211"/>
      <c r="V700" s="211"/>
      <c r="W700" s="211"/>
      <c r="X700" s="211"/>
      <c r="Y700" s="211"/>
      <c r="Z700" s="211"/>
      <c r="AA700" s="211"/>
    </row>
    <row r="701">
      <c r="A701" s="211"/>
      <c r="B701" s="211"/>
      <c r="C701" s="211"/>
      <c r="D701" s="211"/>
      <c r="E701" s="211"/>
      <c r="F701" s="211"/>
      <c r="G701" s="211"/>
      <c r="H701" s="211"/>
      <c r="I701" s="211"/>
      <c r="J701" s="211"/>
      <c r="K701" s="211"/>
      <c r="L701" s="211"/>
      <c r="M701" s="211"/>
      <c r="N701" s="211"/>
      <c r="O701" s="211"/>
      <c r="P701" s="211"/>
      <c r="Q701" s="211"/>
      <c r="R701" s="211"/>
      <c r="S701" s="211"/>
      <c r="T701" s="211"/>
      <c r="U701" s="211"/>
      <c r="V701" s="211"/>
      <c r="W701" s="211"/>
      <c r="X701" s="211"/>
      <c r="Y701" s="211"/>
      <c r="Z701" s="211"/>
      <c r="AA701" s="211"/>
    </row>
    <row r="702">
      <c r="A702" s="211"/>
      <c r="B702" s="211"/>
      <c r="C702" s="211"/>
      <c r="D702" s="211"/>
      <c r="E702" s="211"/>
      <c r="F702" s="211"/>
      <c r="G702" s="211"/>
      <c r="H702" s="211"/>
      <c r="I702" s="211"/>
      <c r="J702" s="211"/>
      <c r="K702" s="211"/>
      <c r="L702" s="211"/>
      <c r="M702" s="211"/>
      <c r="N702" s="211"/>
      <c r="O702" s="211"/>
      <c r="P702" s="211"/>
      <c r="Q702" s="211"/>
      <c r="R702" s="211"/>
      <c r="S702" s="211"/>
      <c r="T702" s="211"/>
      <c r="U702" s="211"/>
      <c r="V702" s="211"/>
      <c r="W702" s="211"/>
      <c r="X702" s="211"/>
      <c r="Y702" s="211"/>
      <c r="Z702" s="211"/>
      <c r="AA702" s="211"/>
    </row>
    <row r="703">
      <c r="A703" s="211"/>
      <c r="B703" s="211"/>
      <c r="C703" s="211"/>
      <c r="D703" s="211"/>
      <c r="E703" s="211"/>
      <c r="F703" s="211"/>
      <c r="G703" s="211"/>
      <c r="H703" s="211"/>
      <c r="I703" s="211"/>
      <c r="J703" s="211"/>
      <c r="K703" s="211"/>
      <c r="L703" s="211"/>
      <c r="M703" s="211"/>
      <c r="N703" s="211"/>
      <c r="O703" s="211"/>
      <c r="P703" s="211"/>
      <c r="Q703" s="211"/>
      <c r="R703" s="211"/>
      <c r="S703" s="211"/>
      <c r="T703" s="211"/>
      <c r="U703" s="211"/>
      <c r="V703" s="211"/>
      <c r="W703" s="211"/>
      <c r="X703" s="211"/>
      <c r="Y703" s="211"/>
      <c r="Z703" s="211"/>
      <c r="AA703" s="211"/>
    </row>
    <row r="704">
      <c r="A704" s="211"/>
      <c r="B704" s="211"/>
      <c r="C704" s="211"/>
      <c r="D704" s="211"/>
      <c r="E704" s="211"/>
      <c r="F704" s="211"/>
      <c r="G704" s="211"/>
      <c r="H704" s="211"/>
      <c r="I704" s="211"/>
      <c r="J704" s="211"/>
      <c r="K704" s="211"/>
      <c r="L704" s="211"/>
      <c r="M704" s="211"/>
      <c r="N704" s="211"/>
      <c r="O704" s="211"/>
      <c r="P704" s="211"/>
      <c r="Q704" s="211"/>
      <c r="R704" s="211"/>
      <c r="S704" s="211"/>
      <c r="T704" s="211"/>
      <c r="U704" s="211"/>
      <c r="V704" s="211"/>
      <c r="W704" s="211"/>
      <c r="X704" s="211"/>
      <c r="Y704" s="211"/>
      <c r="Z704" s="211"/>
      <c r="AA704" s="211"/>
    </row>
    <row r="705">
      <c r="A705" s="211"/>
      <c r="B705" s="211"/>
      <c r="C705" s="211"/>
      <c r="D705" s="211"/>
      <c r="E705" s="211"/>
      <c r="F705" s="211"/>
      <c r="G705" s="211"/>
      <c r="H705" s="211"/>
      <c r="I705" s="211"/>
      <c r="J705" s="211"/>
      <c r="K705" s="211"/>
      <c r="L705" s="211"/>
      <c r="M705" s="211"/>
      <c r="N705" s="211"/>
      <c r="O705" s="211"/>
      <c r="P705" s="211"/>
      <c r="Q705" s="211"/>
      <c r="R705" s="211"/>
      <c r="S705" s="211"/>
      <c r="T705" s="211"/>
      <c r="U705" s="211"/>
      <c r="V705" s="211"/>
      <c r="W705" s="211"/>
      <c r="X705" s="211"/>
      <c r="Y705" s="211"/>
      <c r="Z705" s="211"/>
      <c r="AA705" s="211"/>
    </row>
    <row r="706">
      <c r="A706" s="211"/>
      <c r="B706" s="211"/>
      <c r="C706" s="211"/>
      <c r="D706" s="211"/>
      <c r="E706" s="211"/>
      <c r="F706" s="211"/>
      <c r="G706" s="211"/>
      <c r="H706" s="211"/>
      <c r="I706" s="211"/>
      <c r="J706" s="211"/>
      <c r="K706" s="211"/>
      <c r="L706" s="211"/>
      <c r="M706" s="211"/>
      <c r="N706" s="211"/>
      <c r="O706" s="211"/>
      <c r="P706" s="211"/>
      <c r="Q706" s="211"/>
      <c r="R706" s="211"/>
      <c r="S706" s="211"/>
      <c r="T706" s="211"/>
      <c r="U706" s="211"/>
      <c r="V706" s="211"/>
      <c r="W706" s="211"/>
      <c r="X706" s="211"/>
      <c r="Y706" s="211"/>
      <c r="Z706" s="211"/>
      <c r="AA706" s="211"/>
    </row>
    <row r="707">
      <c r="A707" s="211"/>
      <c r="B707" s="211"/>
      <c r="C707" s="211"/>
      <c r="D707" s="211"/>
      <c r="E707" s="211"/>
      <c r="F707" s="211"/>
      <c r="G707" s="211"/>
      <c r="H707" s="211"/>
      <c r="I707" s="211"/>
      <c r="J707" s="211"/>
      <c r="K707" s="211"/>
      <c r="L707" s="211"/>
      <c r="M707" s="211"/>
      <c r="N707" s="211"/>
      <c r="O707" s="211"/>
      <c r="P707" s="211"/>
      <c r="Q707" s="211"/>
      <c r="R707" s="211"/>
      <c r="S707" s="211"/>
      <c r="T707" s="211"/>
      <c r="U707" s="211"/>
      <c r="V707" s="211"/>
      <c r="W707" s="211"/>
      <c r="X707" s="211"/>
      <c r="Y707" s="211"/>
      <c r="Z707" s="211"/>
      <c r="AA707" s="211"/>
    </row>
    <row r="708">
      <c r="A708" s="211"/>
      <c r="B708" s="211"/>
      <c r="C708" s="211"/>
      <c r="D708" s="211"/>
      <c r="E708" s="211"/>
      <c r="F708" s="211"/>
      <c r="G708" s="211"/>
      <c r="H708" s="211"/>
      <c r="I708" s="211"/>
      <c r="J708" s="211"/>
      <c r="K708" s="211"/>
      <c r="L708" s="211"/>
      <c r="M708" s="211"/>
      <c r="N708" s="211"/>
      <c r="O708" s="211"/>
      <c r="P708" s="211"/>
      <c r="Q708" s="211"/>
      <c r="R708" s="211"/>
      <c r="S708" s="211"/>
      <c r="T708" s="211"/>
      <c r="U708" s="211"/>
      <c r="V708" s="211"/>
      <c r="W708" s="211"/>
      <c r="X708" s="211"/>
      <c r="Y708" s="211"/>
      <c r="Z708" s="211"/>
      <c r="AA708" s="211"/>
    </row>
    <row r="709">
      <c r="A709" s="211"/>
      <c r="B709" s="211"/>
      <c r="C709" s="211"/>
      <c r="D709" s="211"/>
      <c r="E709" s="211"/>
      <c r="F709" s="211"/>
      <c r="G709" s="211"/>
      <c r="H709" s="211"/>
      <c r="I709" s="211"/>
      <c r="J709" s="211"/>
      <c r="K709" s="211"/>
      <c r="L709" s="211"/>
      <c r="M709" s="211"/>
      <c r="N709" s="211"/>
      <c r="O709" s="211"/>
      <c r="P709" s="211"/>
      <c r="Q709" s="211"/>
      <c r="R709" s="211"/>
      <c r="S709" s="211"/>
      <c r="T709" s="211"/>
      <c r="U709" s="211"/>
      <c r="V709" s="211"/>
      <c r="W709" s="211"/>
      <c r="X709" s="211"/>
      <c r="Y709" s="211"/>
      <c r="Z709" s="211"/>
      <c r="AA709" s="211"/>
    </row>
    <row r="710">
      <c r="A710" s="211"/>
      <c r="B710" s="211"/>
      <c r="C710" s="211"/>
      <c r="D710" s="211"/>
      <c r="E710" s="211"/>
      <c r="F710" s="211"/>
      <c r="G710" s="211"/>
      <c r="H710" s="211"/>
      <c r="I710" s="211"/>
      <c r="J710" s="211"/>
      <c r="K710" s="211"/>
      <c r="L710" s="211"/>
      <c r="M710" s="211"/>
      <c r="N710" s="211"/>
      <c r="O710" s="211"/>
      <c r="P710" s="211"/>
      <c r="Q710" s="211"/>
      <c r="R710" s="211"/>
      <c r="S710" s="211"/>
      <c r="T710" s="211"/>
      <c r="U710" s="211"/>
      <c r="V710" s="211"/>
      <c r="W710" s="211"/>
      <c r="X710" s="211"/>
      <c r="Y710" s="211"/>
      <c r="Z710" s="211"/>
      <c r="AA710" s="211"/>
    </row>
    <row r="711">
      <c r="A711" s="211"/>
      <c r="B711" s="211"/>
      <c r="C711" s="211"/>
      <c r="D711" s="211"/>
      <c r="E711" s="211"/>
      <c r="F711" s="211"/>
      <c r="G711" s="211"/>
      <c r="H711" s="211"/>
      <c r="I711" s="211"/>
      <c r="J711" s="211"/>
      <c r="K711" s="211"/>
      <c r="L711" s="211"/>
      <c r="M711" s="211"/>
      <c r="N711" s="211"/>
      <c r="O711" s="211"/>
      <c r="P711" s="211"/>
      <c r="Q711" s="211"/>
      <c r="R711" s="211"/>
      <c r="S711" s="211"/>
      <c r="T711" s="211"/>
      <c r="U711" s="211"/>
      <c r="V711" s="211"/>
      <c r="W711" s="211"/>
      <c r="X711" s="211"/>
      <c r="Y711" s="211"/>
      <c r="Z711" s="211"/>
      <c r="AA711" s="211"/>
    </row>
    <row r="712">
      <c r="A712" s="211"/>
      <c r="B712" s="211"/>
      <c r="C712" s="211"/>
      <c r="D712" s="211"/>
      <c r="E712" s="211"/>
      <c r="F712" s="211"/>
      <c r="G712" s="211"/>
      <c r="H712" s="211"/>
      <c r="I712" s="211"/>
      <c r="J712" s="211"/>
      <c r="K712" s="211"/>
      <c r="L712" s="211"/>
      <c r="M712" s="211"/>
      <c r="N712" s="211"/>
      <c r="O712" s="211"/>
      <c r="P712" s="211"/>
      <c r="Q712" s="211"/>
      <c r="R712" s="211"/>
      <c r="S712" s="211"/>
      <c r="T712" s="211"/>
      <c r="U712" s="211"/>
      <c r="V712" s="211"/>
      <c r="W712" s="211"/>
      <c r="X712" s="211"/>
      <c r="Y712" s="211"/>
      <c r="Z712" s="211"/>
      <c r="AA712" s="211"/>
    </row>
    <row r="713">
      <c r="A713" s="211"/>
      <c r="B713" s="211"/>
      <c r="C713" s="211"/>
      <c r="D713" s="211"/>
      <c r="E713" s="211"/>
      <c r="F713" s="211"/>
      <c r="G713" s="211"/>
      <c r="H713" s="211"/>
      <c r="I713" s="211"/>
      <c r="J713" s="211"/>
      <c r="K713" s="211"/>
      <c r="L713" s="211"/>
      <c r="M713" s="211"/>
      <c r="N713" s="211"/>
      <c r="O713" s="211"/>
      <c r="P713" s="211"/>
      <c r="Q713" s="211"/>
      <c r="R713" s="211"/>
      <c r="S713" s="211"/>
      <c r="T713" s="211"/>
      <c r="U713" s="211"/>
      <c r="V713" s="211"/>
      <c r="W713" s="211"/>
      <c r="X713" s="211"/>
      <c r="Y713" s="211"/>
      <c r="Z713" s="211"/>
      <c r="AA713" s="211"/>
    </row>
    <row r="714">
      <c r="A714" s="211"/>
      <c r="B714" s="211"/>
      <c r="C714" s="211"/>
      <c r="D714" s="211"/>
      <c r="E714" s="211"/>
      <c r="F714" s="211"/>
      <c r="G714" s="211"/>
      <c r="H714" s="211"/>
      <c r="I714" s="211"/>
      <c r="J714" s="211"/>
      <c r="K714" s="211"/>
      <c r="L714" s="211"/>
      <c r="M714" s="211"/>
      <c r="N714" s="211"/>
      <c r="O714" s="211"/>
      <c r="P714" s="211"/>
      <c r="Q714" s="211"/>
      <c r="R714" s="211"/>
      <c r="S714" s="211"/>
      <c r="T714" s="211"/>
      <c r="U714" s="211"/>
      <c r="V714" s="211"/>
      <c r="W714" s="211"/>
      <c r="X714" s="211"/>
      <c r="Y714" s="211"/>
      <c r="Z714" s="211"/>
      <c r="AA714" s="211"/>
    </row>
    <row r="715">
      <c r="A715" s="211"/>
      <c r="B715" s="211"/>
      <c r="C715" s="211"/>
      <c r="D715" s="211"/>
      <c r="E715" s="211"/>
      <c r="F715" s="211"/>
      <c r="G715" s="211"/>
      <c r="H715" s="211"/>
      <c r="I715" s="211"/>
      <c r="J715" s="211"/>
      <c r="K715" s="211"/>
      <c r="L715" s="211"/>
      <c r="M715" s="211"/>
      <c r="N715" s="211"/>
      <c r="O715" s="211"/>
      <c r="P715" s="211"/>
      <c r="Q715" s="211"/>
      <c r="R715" s="211"/>
      <c r="S715" s="211"/>
      <c r="T715" s="211"/>
      <c r="U715" s="211"/>
      <c r="V715" s="211"/>
      <c r="W715" s="211"/>
      <c r="X715" s="211"/>
      <c r="Y715" s="211"/>
      <c r="Z715" s="211"/>
      <c r="AA715" s="211"/>
    </row>
    <row r="716">
      <c r="A716" s="211"/>
      <c r="B716" s="211"/>
      <c r="C716" s="211"/>
      <c r="D716" s="211"/>
      <c r="E716" s="211"/>
      <c r="F716" s="211"/>
      <c r="G716" s="211"/>
      <c r="H716" s="211"/>
      <c r="I716" s="211"/>
      <c r="J716" s="211"/>
      <c r="K716" s="211"/>
      <c r="L716" s="211"/>
      <c r="M716" s="211"/>
      <c r="N716" s="211"/>
      <c r="O716" s="211"/>
      <c r="P716" s="211"/>
      <c r="Q716" s="211"/>
      <c r="R716" s="211"/>
      <c r="S716" s="211"/>
      <c r="T716" s="211"/>
      <c r="U716" s="211"/>
      <c r="V716" s="211"/>
      <c r="W716" s="211"/>
      <c r="X716" s="211"/>
      <c r="Y716" s="211"/>
      <c r="Z716" s="211"/>
      <c r="AA716" s="211"/>
    </row>
    <row r="717">
      <c r="A717" s="211"/>
      <c r="B717" s="211"/>
      <c r="C717" s="211"/>
      <c r="D717" s="211"/>
      <c r="E717" s="211"/>
      <c r="F717" s="211"/>
      <c r="G717" s="211"/>
      <c r="H717" s="211"/>
      <c r="I717" s="211"/>
      <c r="J717" s="211"/>
      <c r="K717" s="211"/>
      <c r="L717" s="211"/>
      <c r="M717" s="211"/>
      <c r="N717" s="211"/>
      <c r="O717" s="211"/>
      <c r="P717" s="211"/>
      <c r="Q717" s="211"/>
      <c r="R717" s="211"/>
      <c r="S717" s="211"/>
      <c r="T717" s="211"/>
      <c r="U717" s="211"/>
      <c r="V717" s="211"/>
      <c r="W717" s="211"/>
      <c r="X717" s="211"/>
      <c r="Y717" s="211"/>
      <c r="Z717" s="211"/>
      <c r="AA717" s="211"/>
    </row>
    <row r="718">
      <c r="A718" s="211"/>
      <c r="B718" s="211"/>
      <c r="C718" s="211"/>
      <c r="D718" s="211"/>
      <c r="E718" s="211"/>
      <c r="F718" s="211"/>
      <c r="G718" s="211"/>
      <c r="H718" s="211"/>
      <c r="I718" s="211"/>
      <c r="J718" s="211"/>
      <c r="K718" s="211"/>
      <c r="L718" s="211"/>
      <c r="M718" s="211"/>
      <c r="N718" s="211"/>
      <c r="O718" s="211"/>
      <c r="P718" s="211"/>
      <c r="Q718" s="211"/>
      <c r="R718" s="211"/>
      <c r="S718" s="211"/>
      <c r="T718" s="211"/>
      <c r="U718" s="211"/>
      <c r="V718" s="211"/>
      <c r="W718" s="211"/>
      <c r="X718" s="211"/>
      <c r="Y718" s="211"/>
      <c r="Z718" s="211"/>
      <c r="AA718" s="211"/>
    </row>
    <row r="719">
      <c r="A719" s="211"/>
      <c r="B719" s="211"/>
      <c r="C719" s="211"/>
      <c r="D719" s="211"/>
      <c r="E719" s="211"/>
      <c r="F719" s="211"/>
      <c r="G719" s="211"/>
      <c r="H719" s="211"/>
      <c r="I719" s="211"/>
      <c r="J719" s="211"/>
      <c r="K719" s="211"/>
      <c r="L719" s="211"/>
      <c r="M719" s="211"/>
      <c r="N719" s="211"/>
      <c r="O719" s="211"/>
      <c r="P719" s="211"/>
      <c r="Q719" s="211"/>
      <c r="R719" s="211"/>
      <c r="S719" s="211"/>
      <c r="T719" s="211"/>
      <c r="U719" s="211"/>
      <c r="V719" s="211"/>
      <c r="W719" s="211"/>
      <c r="X719" s="211"/>
      <c r="Y719" s="211"/>
      <c r="Z719" s="211"/>
      <c r="AA719" s="211"/>
    </row>
    <row r="720">
      <c r="A720" s="211"/>
      <c r="B720" s="211"/>
      <c r="C720" s="211"/>
      <c r="D720" s="211"/>
      <c r="E720" s="211"/>
      <c r="F720" s="211"/>
      <c r="G720" s="211"/>
      <c r="H720" s="211"/>
      <c r="I720" s="211"/>
      <c r="J720" s="211"/>
      <c r="K720" s="211"/>
      <c r="L720" s="211"/>
      <c r="M720" s="211"/>
      <c r="N720" s="211"/>
      <c r="O720" s="211"/>
      <c r="P720" s="211"/>
      <c r="Q720" s="211"/>
      <c r="R720" s="211"/>
      <c r="S720" s="211"/>
      <c r="T720" s="211"/>
      <c r="U720" s="211"/>
      <c r="V720" s="211"/>
      <c r="W720" s="211"/>
      <c r="X720" s="211"/>
      <c r="Y720" s="211"/>
      <c r="Z720" s="211"/>
      <c r="AA720" s="211"/>
    </row>
    <row r="721">
      <c r="A721" s="211"/>
      <c r="B721" s="211"/>
      <c r="C721" s="211"/>
      <c r="D721" s="211"/>
      <c r="E721" s="211"/>
      <c r="F721" s="211"/>
      <c r="G721" s="211"/>
      <c r="H721" s="211"/>
      <c r="I721" s="211"/>
      <c r="J721" s="211"/>
      <c r="K721" s="211"/>
      <c r="L721" s="211"/>
      <c r="M721" s="211"/>
      <c r="N721" s="211"/>
      <c r="O721" s="211"/>
      <c r="P721" s="211"/>
      <c r="Q721" s="211"/>
      <c r="R721" s="211"/>
      <c r="S721" s="211"/>
      <c r="T721" s="211"/>
      <c r="U721" s="211"/>
      <c r="V721" s="211"/>
      <c r="W721" s="211"/>
      <c r="X721" s="211"/>
      <c r="Y721" s="211"/>
      <c r="Z721" s="211"/>
      <c r="AA721" s="211"/>
    </row>
    <row r="722">
      <c r="A722" s="211"/>
      <c r="B722" s="211"/>
      <c r="C722" s="211"/>
      <c r="D722" s="211"/>
      <c r="E722" s="211"/>
      <c r="F722" s="211"/>
      <c r="G722" s="211"/>
      <c r="H722" s="211"/>
      <c r="I722" s="211"/>
      <c r="J722" s="211"/>
      <c r="K722" s="211"/>
      <c r="L722" s="211"/>
      <c r="M722" s="211"/>
      <c r="N722" s="211"/>
      <c r="O722" s="211"/>
      <c r="P722" s="211"/>
      <c r="Q722" s="211"/>
      <c r="R722" s="211"/>
      <c r="S722" s="211"/>
      <c r="T722" s="211"/>
      <c r="U722" s="211"/>
      <c r="V722" s="211"/>
      <c r="W722" s="211"/>
      <c r="X722" s="211"/>
      <c r="Y722" s="211"/>
      <c r="Z722" s="211"/>
      <c r="AA722" s="211"/>
    </row>
    <row r="723">
      <c r="A723" s="211"/>
      <c r="B723" s="211"/>
      <c r="C723" s="211"/>
      <c r="D723" s="211"/>
      <c r="E723" s="211"/>
      <c r="F723" s="211"/>
      <c r="G723" s="211"/>
      <c r="H723" s="211"/>
      <c r="I723" s="211"/>
      <c r="J723" s="211"/>
      <c r="K723" s="211"/>
      <c r="L723" s="211"/>
      <c r="M723" s="211"/>
      <c r="N723" s="211"/>
      <c r="O723" s="211"/>
      <c r="P723" s="211"/>
      <c r="Q723" s="211"/>
      <c r="R723" s="211"/>
      <c r="S723" s="211"/>
      <c r="T723" s="211"/>
      <c r="U723" s="211"/>
      <c r="V723" s="211"/>
      <c r="W723" s="211"/>
      <c r="X723" s="211"/>
      <c r="Y723" s="211"/>
      <c r="Z723" s="211"/>
      <c r="AA723" s="211"/>
    </row>
    <row r="724">
      <c r="A724" s="211"/>
      <c r="B724" s="211"/>
      <c r="C724" s="211"/>
      <c r="D724" s="211"/>
      <c r="E724" s="211"/>
      <c r="F724" s="211"/>
      <c r="G724" s="211"/>
      <c r="H724" s="211"/>
      <c r="I724" s="211"/>
      <c r="J724" s="211"/>
      <c r="K724" s="211"/>
      <c r="L724" s="211"/>
      <c r="M724" s="211"/>
      <c r="N724" s="211"/>
      <c r="O724" s="211"/>
      <c r="P724" s="211"/>
      <c r="Q724" s="211"/>
      <c r="R724" s="211"/>
      <c r="S724" s="211"/>
      <c r="T724" s="211"/>
      <c r="U724" s="211"/>
      <c r="V724" s="211"/>
      <c r="W724" s="211"/>
      <c r="X724" s="211"/>
      <c r="Y724" s="211"/>
      <c r="Z724" s="211"/>
      <c r="AA724" s="211"/>
    </row>
    <row r="725">
      <c r="A725" s="211"/>
      <c r="B725" s="211"/>
      <c r="C725" s="211"/>
      <c r="D725" s="211"/>
      <c r="E725" s="211"/>
      <c r="F725" s="211"/>
      <c r="G725" s="211"/>
      <c r="H725" s="211"/>
      <c r="I725" s="211"/>
      <c r="J725" s="211"/>
      <c r="K725" s="211"/>
      <c r="L725" s="211"/>
      <c r="M725" s="211"/>
      <c r="N725" s="211"/>
      <c r="O725" s="211"/>
      <c r="P725" s="211"/>
      <c r="Q725" s="211"/>
      <c r="R725" s="211"/>
      <c r="S725" s="211"/>
      <c r="T725" s="211"/>
      <c r="U725" s="211"/>
      <c r="V725" s="211"/>
      <c r="W725" s="211"/>
      <c r="X725" s="211"/>
      <c r="Y725" s="211"/>
      <c r="Z725" s="211"/>
      <c r="AA725" s="211"/>
    </row>
    <row r="726">
      <c r="A726" s="211"/>
      <c r="B726" s="211"/>
      <c r="C726" s="211"/>
      <c r="D726" s="211"/>
      <c r="E726" s="211"/>
      <c r="F726" s="211"/>
      <c r="G726" s="211"/>
      <c r="H726" s="211"/>
      <c r="I726" s="211"/>
      <c r="J726" s="211"/>
      <c r="K726" s="211"/>
      <c r="L726" s="211"/>
      <c r="M726" s="211"/>
      <c r="N726" s="211"/>
      <c r="O726" s="211"/>
      <c r="P726" s="211"/>
      <c r="Q726" s="211"/>
      <c r="R726" s="211"/>
      <c r="S726" s="211"/>
      <c r="T726" s="211"/>
      <c r="U726" s="211"/>
      <c r="V726" s="211"/>
      <c r="W726" s="211"/>
      <c r="X726" s="211"/>
      <c r="Y726" s="211"/>
      <c r="Z726" s="211"/>
      <c r="AA726" s="211"/>
    </row>
    <row r="727">
      <c r="A727" s="211"/>
      <c r="B727" s="211"/>
      <c r="C727" s="211"/>
      <c r="D727" s="211"/>
      <c r="E727" s="211"/>
      <c r="F727" s="211"/>
      <c r="G727" s="211"/>
      <c r="H727" s="211"/>
      <c r="I727" s="211"/>
      <c r="J727" s="211"/>
      <c r="K727" s="211"/>
      <c r="L727" s="211"/>
      <c r="M727" s="211"/>
      <c r="N727" s="211"/>
      <c r="O727" s="211"/>
      <c r="P727" s="211"/>
      <c r="Q727" s="211"/>
      <c r="R727" s="211"/>
      <c r="S727" s="211"/>
      <c r="T727" s="211"/>
      <c r="U727" s="211"/>
      <c r="V727" s="211"/>
      <c r="W727" s="211"/>
      <c r="X727" s="211"/>
      <c r="Y727" s="211"/>
      <c r="Z727" s="211"/>
      <c r="AA727" s="211"/>
    </row>
    <row r="728">
      <c r="A728" s="211"/>
      <c r="B728" s="211"/>
      <c r="C728" s="211"/>
      <c r="D728" s="211"/>
      <c r="E728" s="211"/>
      <c r="F728" s="211"/>
      <c r="G728" s="211"/>
      <c r="H728" s="211"/>
      <c r="I728" s="211"/>
      <c r="J728" s="211"/>
      <c r="K728" s="211"/>
      <c r="L728" s="211"/>
      <c r="M728" s="211"/>
      <c r="N728" s="211"/>
      <c r="O728" s="211"/>
      <c r="P728" s="211"/>
      <c r="Q728" s="211"/>
      <c r="R728" s="211"/>
      <c r="S728" s="211"/>
      <c r="T728" s="211"/>
      <c r="U728" s="211"/>
      <c r="V728" s="211"/>
      <c r="W728" s="211"/>
      <c r="X728" s="211"/>
      <c r="Y728" s="211"/>
      <c r="Z728" s="211"/>
      <c r="AA728" s="211"/>
    </row>
    <row r="729">
      <c r="A729" s="211"/>
      <c r="B729" s="211"/>
      <c r="C729" s="211"/>
      <c r="D729" s="211"/>
      <c r="E729" s="211"/>
      <c r="F729" s="211"/>
      <c r="G729" s="211"/>
      <c r="H729" s="211"/>
      <c r="I729" s="211"/>
      <c r="J729" s="211"/>
      <c r="K729" s="211"/>
      <c r="L729" s="211"/>
      <c r="M729" s="211"/>
      <c r="N729" s="211"/>
      <c r="O729" s="211"/>
      <c r="P729" s="211"/>
      <c r="Q729" s="211"/>
      <c r="R729" s="211"/>
      <c r="S729" s="211"/>
      <c r="T729" s="211"/>
      <c r="U729" s="211"/>
      <c r="V729" s="211"/>
      <c r="W729" s="211"/>
      <c r="X729" s="211"/>
      <c r="Y729" s="211"/>
      <c r="Z729" s="211"/>
      <c r="AA729" s="211"/>
    </row>
    <row r="730">
      <c r="A730" s="211"/>
      <c r="B730" s="211"/>
      <c r="C730" s="211"/>
      <c r="D730" s="211"/>
      <c r="E730" s="211"/>
      <c r="F730" s="211"/>
      <c r="G730" s="211"/>
      <c r="H730" s="211"/>
      <c r="I730" s="211"/>
      <c r="J730" s="211"/>
      <c r="K730" s="211"/>
      <c r="L730" s="211"/>
      <c r="M730" s="211"/>
      <c r="N730" s="211"/>
      <c r="O730" s="211"/>
      <c r="P730" s="211"/>
      <c r="Q730" s="211"/>
      <c r="R730" s="211"/>
      <c r="S730" s="211"/>
      <c r="T730" s="211"/>
      <c r="U730" s="211"/>
      <c r="V730" s="211"/>
      <c r="W730" s="211"/>
      <c r="X730" s="211"/>
      <c r="Y730" s="211"/>
      <c r="Z730" s="211"/>
      <c r="AA730" s="211"/>
    </row>
    <row r="731">
      <c r="A731" s="211"/>
      <c r="B731" s="211"/>
      <c r="C731" s="211"/>
      <c r="D731" s="211"/>
      <c r="E731" s="211"/>
      <c r="F731" s="211"/>
      <c r="G731" s="211"/>
      <c r="H731" s="211"/>
      <c r="I731" s="211"/>
      <c r="J731" s="211"/>
      <c r="K731" s="211"/>
      <c r="L731" s="211"/>
      <c r="M731" s="211"/>
      <c r="N731" s="211"/>
      <c r="O731" s="211"/>
      <c r="P731" s="211"/>
      <c r="Q731" s="211"/>
      <c r="R731" s="211"/>
      <c r="S731" s="211"/>
      <c r="T731" s="211"/>
      <c r="U731" s="211"/>
      <c r="V731" s="211"/>
      <c r="W731" s="211"/>
      <c r="X731" s="211"/>
      <c r="Y731" s="211"/>
      <c r="Z731" s="211"/>
      <c r="AA731" s="211"/>
    </row>
    <row r="732">
      <c r="A732" s="211"/>
      <c r="B732" s="211"/>
      <c r="C732" s="211"/>
      <c r="D732" s="211"/>
      <c r="E732" s="211"/>
      <c r="F732" s="211"/>
      <c r="G732" s="211"/>
      <c r="H732" s="211"/>
      <c r="I732" s="211"/>
      <c r="J732" s="211"/>
      <c r="K732" s="211"/>
      <c r="L732" s="211"/>
      <c r="M732" s="211"/>
      <c r="N732" s="211"/>
      <c r="O732" s="211"/>
      <c r="P732" s="211"/>
      <c r="Q732" s="211"/>
      <c r="R732" s="211"/>
      <c r="S732" s="211"/>
      <c r="T732" s="211"/>
      <c r="U732" s="211"/>
      <c r="V732" s="211"/>
      <c r="W732" s="211"/>
      <c r="X732" s="211"/>
      <c r="Y732" s="211"/>
      <c r="Z732" s="211"/>
      <c r="AA732" s="211"/>
    </row>
    <row r="733">
      <c r="A733" s="211"/>
      <c r="B733" s="211"/>
      <c r="C733" s="211"/>
      <c r="D733" s="211"/>
      <c r="E733" s="211"/>
      <c r="F733" s="211"/>
      <c r="G733" s="211"/>
      <c r="H733" s="211"/>
      <c r="I733" s="211"/>
      <c r="J733" s="211"/>
      <c r="K733" s="211"/>
      <c r="L733" s="211"/>
      <c r="M733" s="211"/>
      <c r="N733" s="211"/>
      <c r="O733" s="211"/>
      <c r="P733" s="211"/>
      <c r="Q733" s="211"/>
      <c r="R733" s="211"/>
      <c r="S733" s="211"/>
      <c r="T733" s="211"/>
      <c r="U733" s="211"/>
      <c r="V733" s="211"/>
      <c r="W733" s="211"/>
      <c r="X733" s="211"/>
      <c r="Y733" s="211"/>
      <c r="Z733" s="211"/>
      <c r="AA733" s="211"/>
    </row>
    <row r="734">
      <c r="A734" s="211"/>
      <c r="B734" s="211"/>
      <c r="C734" s="211"/>
      <c r="D734" s="211"/>
      <c r="E734" s="211"/>
      <c r="F734" s="211"/>
      <c r="G734" s="211"/>
      <c r="H734" s="211"/>
      <c r="I734" s="211"/>
      <c r="J734" s="211"/>
      <c r="K734" s="211"/>
      <c r="L734" s="211"/>
      <c r="M734" s="211"/>
      <c r="N734" s="211"/>
      <c r="O734" s="211"/>
      <c r="P734" s="211"/>
      <c r="Q734" s="211"/>
      <c r="R734" s="211"/>
      <c r="S734" s="211"/>
      <c r="T734" s="211"/>
      <c r="U734" s="211"/>
      <c r="V734" s="211"/>
      <c r="W734" s="211"/>
      <c r="X734" s="211"/>
      <c r="Y734" s="211"/>
      <c r="Z734" s="211"/>
      <c r="AA734" s="211"/>
    </row>
    <row r="735">
      <c r="A735" s="211"/>
      <c r="B735" s="211"/>
      <c r="C735" s="211"/>
      <c r="D735" s="211"/>
      <c r="E735" s="211"/>
      <c r="F735" s="211"/>
      <c r="G735" s="211"/>
      <c r="H735" s="211"/>
      <c r="I735" s="211"/>
      <c r="J735" s="211"/>
      <c r="K735" s="211"/>
      <c r="L735" s="211"/>
      <c r="M735" s="211"/>
      <c r="N735" s="211"/>
      <c r="O735" s="211"/>
      <c r="P735" s="211"/>
      <c r="Q735" s="211"/>
      <c r="R735" s="211"/>
      <c r="S735" s="211"/>
      <c r="T735" s="211"/>
      <c r="U735" s="211"/>
      <c r="V735" s="211"/>
      <c r="W735" s="211"/>
      <c r="X735" s="211"/>
      <c r="Y735" s="211"/>
      <c r="Z735" s="211"/>
      <c r="AA735" s="211"/>
    </row>
    <row r="736">
      <c r="A736" s="211"/>
      <c r="B736" s="211"/>
      <c r="C736" s="211"/>
      <c r="D736" s="211"/>
      <c r="E736" s="211"/>
      <c r="F736" s="211"/>
      <c r="G736" s="211"/>
      <c r="H736" s="211"/>
      <c r="I736" s="211"/>
      <c r="J736" s="211"/>
      <c r="K736" s="211"/>
      <c r="L736" s="211"/>
      <c r="M736" s="211"/>
      <c r="N736" s="211"/>
      <c r="O736" s="211"/>
      <c r="P736" s="211"/>
      <c r="Q736" s="211"/>
      <c r="R736" s="211"/>
      <c r="S736" s="211"/>
      <c r="T736" s="211"/>
      <c r="U736" s="211"/>
      <c r="V736" s="211"/>
      <c r="W736" s="211"/>
      <c r="X736" s="211"/>
      <c r="Y736" s="211"/>
      <c r="Z736" s="211"/>
      <c r="AA736" s="211"/>
    </row>
    <row r="737">
      <c r="A737" s="211"/>
      <c r="B737" s="211"/>
      <c r="C737" s="211"/>
      <c r="D737" s="211"/>
      <c r="E737" s="211"/>
      <c r="F737" s="211"/>
      <c r="G737" s="211"/>
      <c r="H737" s="211"/>
      <c r="I737" s="211"/>
      <c r="J737" s="211"/>
      <c r="K737" s="211"/>
      <c r="L737" s="211"/>
      <c r="M737" s="211"/>
      <c r="N737" s="211"/>
      <c r="O737" s="211"/>
      <c r="P737" s="211"/>
      <c r="Q737" s="211"/>
      <c r="R737" s="211"/>
      <c r="S737" s="211"/>
      <c r="T737" s="211"/>
      <c r="U737" s="211"/>
      <c r="V737" s="211"/>
      <c r="W737" s="211"/>
      <c r="X737" s="211"/>
      <c r="Y737" s="211"/>
      <c r="Z737" s="211"/>
      <c r="AA737" s="211"/>
    </row>
    <row r="738">
      <c r="A738" s="211"/>
      <c r="B738" s="211"/>
      <c r="C738" s="211"/>
      <c r="D738" s="211"/>
      <c r="E738" s="211"/>
      <c r="F738" s="211"/>
      <c r="G738" s="211"/>
      <c r="H738" s="211"/>
      <c r="I738" s="211"/>
      <c r="J738" s="211"/>
      <c r="K738" s="211"/>
      <c r="L738" s="211"/>
      <c r="M738" s="211"/>
      <c r="N738" s="211"/>
      <c r="O738" s="211"/>
      <c r="P738" s="211"/>
      <c r="Q738" s="211"/>
      <c r="R738" s="211"/>
      <c r="S738" s="211"/>
      <c r="T738" s="211"/>
      <c r="U738" s="211"/>
      <c r="V738" s="211"/>
      <c r="W738" s="211"/>
      <c r="X738" s="211"/>
      <c r="Y738" s="211"/>
      <c r="Z738" s="211"/>
      <c r="AA738" s="211"/>
    </row>
    <row r="739">
      <c r="A739" s="211"/>
      <c r="B739" s="211"/>
      <c r="C739" s="211"/>
      <c r="D739" s="211"/>
      <c r="E739" s="211"/>
      <c r="F739" s="211"/>
      <c r="G739" s="211"/>
      <c r="H739" s="211"/>
      <c r="I739" s="211"/>
      <c r="J739" s="211"/>
      <c r="K739" s="211"/>
      <c r="L739" s="211"/>
      <c r="M739" s="211"/>
      <c r="N739" s="211"/>
      <c r="O739" s="211"/>
      <c r="P739" s="211"/>
      <c r="Q739" s="211"/>
      <c r="R739" s="211"/>
      <c r="S739" s="211"/>
      <c r="T739" s="211"/>
      <c r="U739" s="211"/>
      <c r="V739" s="211"/>
      <c r="W739" s="211"/>
      <c r="X739" s="211"/>
      <c r="Y739" s="211"/>
      <c r="Z739" s="211"/>
      <c r="AA739" s="211"/>
    </row>
    <row r="740">
      <c r="A740" s="211"/>
      <c r="B740" s="211"/>
      <c r="C740" s="211"/>
      <c r="D740" s="211"/>
      <c r="E740" s="211"/>
      <c r="F740" s="211"/>
      <c r="G740" s="211"/>
      <c r="H740" s="211"/>
      <c r="I740" s="211"/>
      <c r="J740" s="211"/>
      <c r="K740" s="211"/>
      <c r="L740" s="211"/>
      <c r="M740" s="211"/>
      <c r="N740" s="211"/>
      <c r="O740" s="211"/>
      <c r="P740" s="211"/>
      <c r="Q740" s="211"/>
      <c r="R740" s="211"/>
      <c r="S740" s="211"/>
      <c r="T740" s="211"/>
      <c r="U740" s="211"/>
      <c r="V740" s="211"/>
      <c r="W740" s="211"/>
      <c r="X740" s="211"/>
      <c r="Y740" s="211"/>
      <c r="Z740" s="211"/>
      <c r="AA740" s="211"/>
    </row>
    <row r="741">
      <c r="A741" s="211"/>
      <c r="B741" s="211"/>
      <c r="C741" s="211"/>
      <c r="D741" s="211"/>
      <c r="E741" s="211"/>
      <c r="F741" s="211"/>
      <c r="G741" s="211"/>
      <c r="H741" s="211"/>
      <c r="I741" s="211"/>
      <c r="J741" s="211"/>
      <c r="K741" s="211"/>
      <c r="L741" s="211"/>
      <c r="M741" s="211"/>
      <c r="N741" s="211"/>
      <c r="O741" s="211"/>
      <c r="P741" s="211"/>
      <c r="Q741" s="211"/>
      <c r="R741" s="211"/>
      <c r="S741" s="211"/>
      <c r="T741" s="211"/>
      <c r="U741" s="211"/>
      <c r="V741" s="211"/>
      <c r="W741" s="211"/>
      <c r="X741" s="211"/>
      <c r="Y741" s="211"/>
      <c r="Z741" s="211"/>
      <c r="AA741" s="211"/>
    </row>
    <row r="742">
      <c r="A742" s="211"/>
      <c r="B742" s="211"/>
      <c r="C742" s="211"/>
      <c r="D742" s="211"/>
      <c r="E742" s="211"/>
      <c r="F742" s="211"/>
      <c r="G742" s="211"/>
      <c r="H742" s="211"/>
      <c r="I742" s="211"/>
      <c r="J742" s="211"/>
      <c r="K742" s="211"/>
      <c r="L742" s="211"/>
      <c r="M742" s="211"/>
      <c r="N742" s="211"/>
      <c r="O742" s="211"/>
      <c r="P742" s="211"/>
      <c r="Q742" s="211"/>
      <c r="R742" s="211"/>
      <c r="S742" s="211"/>
      <c r="T742" s="211"/>
      <c r="U742" s="211"/>
      <c r="V742" s="211"/>
      <c r="W742" s="211"/>
      <c r="X742" s="211"/>
      <c r="Y742" s="211"/>
      <c r="Z742" s="211"/>
      <c r="AA742" s="211"/>
    </row>
    <row r="743">
      <c r="A743" s="211"/>
      <c r="B743" s="211"/>
      <c r="C743" s="211"/>
      <c r="D743" s="211"/>
      <c r="E743" s="211"/>
      <c r="F743" s="211"/>
      <c r="G743" s="211"/>
      <c r="H743" s="211"/>
      <c r="I743" s="211"/>
      <c r="J743" s="211"/>
      <c r="K743" s="211"/>
      <c r="L743" s="211"/>
      <c r="M743" s="211"/>
      <c r="N743" s="211"/>
      <c r="O743" s="211"/>
      <c r="P743" s="211"/>
      <c r="Q743" s="211"/>
      <c r="R743" s="211"/>
      <c r="S743" s="211"/>
      <c r="T743" s="211"/>
      <c r="U743" s="211"/>
      <c r="V743" s="211"/>
      <c r="W743" s="211"/>
      <c r="X743" s="211"/>
      <c r="Y743" s="211"/>
      <c r="Z743" s="211"/>
      <c r="AA743" s="211"/>
    </row>
    <row r="744">
      <c r="A744" s="211"/>
      <c r="B744" s="211"/>
      <c r="C744" s="211"/>
      <c r="D744" s="211"/>
      <c r="E744" s="211"/>
      <c r="F744" s="211"/>
      <c r="G744" s="211"/>
      <c r="H744" s="211"/>
      <c r="I744" s="211"/>
      <c r="J744" s="211"/>
      <c r="K744" s="211"/>
      <c r="L744" s="211"/>
      <c r="M744" s="211"/>
      <c r="N744" s="211"/>
      <c r="O744" s="211"/>
      <c r="P744" s="211"/>
      <c r="Q744" s="211"/>
      <c r="R744" s="211"/>
      <c r="S744" s="211"/>
      <c r="T744" s="211"/>
      <c r="U744" s="211"/>
      <c r="V744" s="211"/>
      <c r="W744" s="211"/>
      <c r="X744" s="211"/>
      <c r="Y744" s="211"/>
      <c r="Z744" s="211"/>
      <c r="AA744" s="211"/>
    </row>
    <row r="745">
      <c r="A745" s="211"/>
      <c r="B745" s="211"/>
      <c r="C745" s="211"/>
      <c r="D745" s="211"/>
      <c r="E745" s="211"/>
      <c r="F745" s="211"/>
      <c r="G745" s="211"/>
      <c r="H745" s="211"/>
      <c r="I745" s="211"/>
      <c r="J745" s="211"/>
      <c r="K745" s="211"/>
      <c r="L745" s="211"/>
      <c r="M745" s="211"/>
      <c r="N745" s="211"/>
      <c r="O745" s="211"/>
      <c r="P745" s="211"/>
      <c r="Q745" s="211"/>
      <c r="R745" s="211"/>
      <c r="S745" s="211"/>
      <c r="T745" s="211"/>
      <c r="U745" s="211"/>
      <c r="V745" s="211"/>
      <c r="W745" s="211"/>
      <c r="X745" s="211"/>
      <c r="Y745" s="211"/>
      <c r="Z745" s="211"/>
      <c r="AA745" s="211"/>
    </row>
    <row r="746">
      <c r="A746" s="211"/>
      <c r="B746" s="211"/>
      <c r="C746" s="211"/>
      <c r="D746" s="211"/>
      <c r="E746" s="211"/>
      <c r="F746" s="211"/>
      <c r="G746" s="211"/>
      <c r="H746" s="211"/>
      <c r="I746" s="211"/>
      <c r="J746" s="211"/>
      <c r="K746" s="211"/>
      <c r="L746" s="211"/>
      <c r="M746" s="211"/>
      <c r="N746" s="211"/>
      <c r="O746" s="211"/>
      <c r="P746" s="211"/>
      <c r="Q746" s="211"/>
      <c r="R746" s="211"/>
      <c r="S746" s="211"/>
      <c r="T746" s="211"/>
      <c r="U746" s="211"/>
      <c r="V746" s="211"/>
      <c r="W746" s="211"/>
      <c r="X746" s="211"/>
      <c r="Y746" s="211"/>
      <c r="Z746" s="211"/>
      <c r="AA746" s="211"/>
    </row>
    <row r="747">
      <c r="A747" s="211"/>
      <c r="B747" s="211"/>
      <c r="C747" s="211"/>
      <c r="D747" s="211"/>
      <c r="E747" s="211"/>
      <c r="F747" s="211"/>
      <c r="G747" s="211"/>
      <c r="H747" s="211"/>
      <c r="I747" s="211"/>
      <c r="J747" s="211"/>
      <c r="K747" s="211"/>
      <c r="L747" s="211"/>
      <c r="M747" s="211"/>
      <c r="N747" s="211"/>
      <c r="O747" s="211"/>
      <c r="P747" s="211"/>
      <c r="Q747" s="211"/>
      <c r="R747" s="211"/>
      <c r="S747" s="211"/>
      <c r="T747" s="211"/>
      <c r="U747" s="211"/>
      <c r="V747" s="211"/>
      <c r="W747" s="211"/>
      <c r="X747" s="211"/>
      <c r="Y747" s="211"/>
      <c r="Z747" s="211"/>
      <c r="AA747" s="211"/>
    </row>
    <row r="748">
      <c r="A748" s="211"/>
      <c r="B748" s="211"/>
      <c r="C748" s="211"/>
      <c r="D748" s="211"/>
      <c r="E748" s="211"/>
      <c r="F748" s="211"/>
      <c r="G748" s="211"/>
      <c r="H748" s="211"/>
      <c r="I748" s="211"/>
      <c r="J748" s="211"/>
      <c r="K748" s="211"/>
      <c r="L748" s="211"/>
      <c r="M748" s="211"/>
      <c r="N748" s="211"/>
      <c r="O748" s="211"/>
      <c r="P748" s="211"/>
      <c r="Q748" s="211"/>
      <c r="R748" s="211"/>
      <c r="S748" s="211"/>
      <c r="T748" s="211"/>
      <c r="U748" s="211"/>
      <c r="V748" s="211"/>
      <c r="W748" s="211"/>
      <c r="X748" s="211"/>
      <c r="Y748" s="211"/>
      <c r="Z748" s="211"/>
      <c r="AA748" s="211"/>
    </row>
    <row r="749">
      <c r="A749" s="211"/>
      <c r="B749" s="211"/>
      <c r="C749" s="211"/>
      <c r="D749" s="211"/>
      <c r="E749" s="211"/>
      <c r="F749" s="211"/>
      <c r="G749" s="211"/>
      <c r="H749" s="211"/>
      <c r="I749" s="211"/>
      <c r="J749" s="211"/>
      <c r="K749" s="211"/>
      <c r="L749" s="211"/>
      <c r="M749" s="211"/>
      <c r="N749" s="211"/>
      <c r="O749" s="211"/>
      <c r="P749" s="211"/>
      <c r="Q749" s="211"/>
      <c r="R749" s="211"/>
      <c r="S749" s="211"/>
      <c r="T749" s="211"/>
      <c r="U749" s="211"/>
      <c r="V749" s="211"/>
      <c r="W749" s="211"/>
      <c r="X749" s="211"/>
      <c r="Y749" s="211"/>
      <c r="Z749" s="211"/>
      <c r="AA749" s="211"/>
    </row>
    <row r="750">
      <c r="A750" s="211"/>
      <c r="B750" s="211"/>
      <c r="C750" s="211"/>
      <c r="D750" s="211"/>
      <c r="E750" s="211"/>
      <c r="F750" s="211"/>
      <c r="G750" s="211"/>
      <c r="H750" s="211"/>
      <c r="I750" s="211"/>
      <c r="J750" s="211"/>
      <c r="K750" s="211"/>
      <c r="L750" s="211"/>
      <c r="M750" s="211"/>
      <c r="N750" s="211"/>
      <c r="O750" s="211"/>
      <c r="P750" s="211"/>
      <c r="Q750" s="211"/>
      <c r="R750" s="211"/>
      <c r="S750" s="211"/>
      <c r="T750" s="211"/>
      <c r="U750" s="211"/>
      <c r="V750" s="211"/>
      <c r="W750" s="211"/>
      <c r="X750" s="211"/>
      <c r="Y750" s="211"/>
      <c r="Z750" s="211"/>
      <c r="AA750" s="211"/>
    </row>
    <row r="751">
      <c r="A751" s="211"/>
      <c r="B751" s="211"/>
      <c r="C751" s="211"/>
      <c r="D751" s="211"/>
      <c r="E751" s="211"/>
      <c r="F751" s="211"/>
      <c r="G751" s="211"/>
      <c r="H751" s="211"/>
      <c r="I751" s="211"/>
      <c r="J751" s="211"/>
      <c r="K751" s="211"/>
      <c r="L751" s="211"/>
      <c r="M751" s="211"/>
      <c r="N751" s="211"/>
      <c r="O751" s="211"/>
      <c r="P751" s="211"/>
      <c r="Q751" s="211"/>
      <c r="R751" s="211"/>
      <c r="S751" s="211"/>
      <c r="T751" s="211"/>
      <c r="U751" s="211"/>
      <c r="V751" s="211"/>
      <c r="W751" s="211"/>
      <c r="X751" s="211"/>
      <c r="Y751" s="211"/>
      <c r="Z751" s="211"/>
      <c r="AA751" s="211"/>
    </row>
    <row r="752">
      <c r="A752" s="211"/>
      <c r="B752" s="211"/>
      <c r="C752" s="211"/>
      <c r="D752" s="211"/>
      <c r="E752" s="211"/>
      <c r="F752" s="211"/>
      <c r="G752" s="211"/>
      <c r="H752" s="211"/>
      <c r="I752" s="211"/>
      <c r="J752" s="211"/>
      <c r="K752" s="211"/>
      <c r="L752" s="211"/>
      <c r="M752" s="211"/>
      <c r="N752" s="211"/>
      <c r="O752" s="211"/>
      <c r="P752" s="211"/>
      <c r="Q752" s="211"/>
      <c r="R752" s="211"/>
      <c r="S752" s="211"/>
      <c r="T752" s="211"/>
      <c r="U752" s="211"/>
      <c r="V752" s="211"/>
      <c r="W752" s="211"/>
      <c r="X752" s="211"/>
      <c r="Y752" s="211"/>
      <c r="Z752" s="211"/>
      <c r="AA752" s="211"/>
    </row>
    <row r="753">
      <c r="A753" s="211"/>
      <c r="B753" s="211"/>
      <c r="C753" s="211"/>
      <c r="D753" s="211"/>
      <c r="E753" s="211"/>
      <c r="F753" s="211"/>
      <c r="G753" s="211"/>
      <c r="H753" s="211"/>
      <c r="I753" s="211"/>
      <c r="J753" s="211"/>
      <c r="K753" s="211"/>
      <c r="L753" s="211"/>
      <c r="M753" s="211"/>
      <c r="N753" s="211"/>
      <c r="O753" s="211"/>
      <c r="P753" s="211"/>
      <c r="Q753" s="211"/>
      <c r="R753" s="211"/>
      <c r="S753" s="211"/>
      <c r="T753" s="211"/>
      <c r="U753" s="211"/>
      <c r="V753" s="211"/>
      <c r="W753" s="211"/>
      <c r="X753" s="211"/>
      <c r="Y753" s="211"/>
      <c r="Z753" s="211"/>
      <c r="AA753" s="211"/>
    </row>
    <row r="754">
      <c r="A754" s="211"/>
      <c r="B754" s="211"/>
      <c r="C754" s="211"/>
      <c r="D754" s="211"/>
      <c r="E754" s="211"/>
      <c r="F754" s="211"/>
      <c r="G754" s="211"/>
      <c r="H754" s="211"/>
      <c r="I754" s="211"/>
      <c r="J754" s="211"/>
      <c r="K754" s="211"/>
      <c r="L754" s="211"/>
      <c r="M754" s="211"/>
      <c r="N754" s="211"/>
      <c r="O754" s="211"/>
      <c r="P754" s="211"/>
      <c r="Q754" s="211"/>
      <c r="R754" s="211"/>
      <c r="S754" s="211"/>
      <c r="T754" s="211"/>
      <c r="U754" s="211"/>
      <c r="V754" s="211"/>
      <c r="W754" s="211"/>
      <c r="X754" s="211"/>
      <c r="Y754" s="211"/>
      <c r="Z754" s="211"/>
      <c r="AA754" s="211"/>
    </row>
    <row r="755">
      <c r="A755" s="211"/>
      <c r="B755" s="211"/>
      <c r="C755" s="211"/>
      <c r="D755" s="211"/>
      <c r="E755" s="211"/>
      <c r="F755" s="211"/>
      <c r="G755" s="211"/>
      <c r="H755" s="211"/>
      <c r="I755" s="211"/>
      <c r="J755" s="211"/>
      <c r="K755" s="211"/>
      <c r="L755" s="211"/>
      <c r="M755" s="211"/>
      <c r="N755" s="211"/>
      <c r="O755" s="211"/>
      <c r="P755" s="211"/>
      <c r="Q755" s="211"/>
      <c r="R755" s="211"/>
      <c r="S755" s="211"/>
      <c r="T755" s="211"/>
      <c r="U755" s="211"/>
      <c r="V755" s="211"/>
      <c r="W755" s="211"/>
      <c r="X755" s="211"/>
      <c r="Y755" s="211"/>
      <c r="Z755" s="211"/>
      <c r="AA755" s="211"/>
    </row>
    <row r="756">
      <c r="A756" s="211"/>
      <c r="B756" s="211"/>
      <c r="C756" s="211"/>
      <c r="D756" s="211"/>
      <c r="E756" s="211"/>
      <c r="F756" s="211"/>
      <c r="G756" s="211"/>
      <c r="H756" s="211"/>
      <c r="I756" s="211"/>
      <c r="J756" s="211"/>
      <c r="K756" s="211"/>
      <c r="L756" s="211"/>
      <c r="M756" s="211"/>
      <c r="N756" s="211"/>
      <c r="O756" s="211"/>
      <c r="P756" s="211"/>
      <c r="Q756" s="211"/>
      <c r="R756" s="211"/>
      <c r="S756" s="211"/>
      <c r="T756" s="211"/>
      <c r="U756" s="211"/>
      <c r="V756" s="211"/>
      <c r="W756" s="211"/>
      <c r="X756" s="211"/>
      <c r="Y756" s="211"/>
      <c r="Z756" s="211"/>
      <c r="AA756" s="211"/>
    </row>
    <row r="757">
      <c r="A757" s="211"/>
      <c r="B757" s="211"/>
      <c r="C757" s="211"/>
      <c r="D757" s="211"/>
      <c r="E757" s="211"/>
      <c r="F757" s="211"/>
      <c r="G757" s="211"/>
      <c r="H757" s="211"/>
      <c r="I757" s="211"/>
      <c r="J757" s="211"/>
      <c r="K757" s="211"/>
      <c r="L757" s="211"/>
      <c r="M757" s="211"/>
      <c r="N757" s="211"/>
      <c r="O757" s="211"/>
      <c r="P757" s="211"/>
      <c r="Q757" s="211"/>
      <c r="R757" s="211"/>
      <c r="S757" s="211"/>
      <c r="T757" s="211"/>
      <c r="U757" s="211"/>
      <c r="V757" s="211"/>
      <c r="W757" s="211"/>
      <c r="X757" s="211"/>
      <c r="Y757" s="211"/>
      <c r="Z757" s="211"/>
      <c r="AA757" s="211"/>
    </row>
    <row r="758">
      <c r="A758" s="211"/>
      <c r="B758" s="211"/>
      <c r="C758" s="211"/>
      <c r="D758" s="211"/>
      <c r="E758" s="211"/>
      <c r="F758" s="211"/>
      <c r="G758" s="211"/>
      <c r="H758" s="211"/>
      <c r="I758" s="211"/>
      <c r="J758" s="211"/>
      <c r="K758" s="211"/>
      <c r="L758" s="211"/>
      <c r="M758" s="211"/>
      <c r="N758" s="211"/>
      <c r="O758" s="211"/>
      <c r="P758" s="211"/>
      <c r="Q758" s="211"/>
      <c r="R758" s="211"/>
      <c r="S758" s="211"/>
      <c r="T758" s="211"/>
      <c r="U758" s="211"/>
      <c r="V758" s="211"/>
      <c r="W758" s="211"/>
      <c r="X758" s="211"/>
      <c r="Y758" s="211"/>
      <c r="Z758" s="211"/>
      <c r="AA758" s="211"/>
    </row>
    <row r="759">
      <c r="A759" s="211"/>
      <c r="B759" s="211"/>
      <c r="C759" s="211"/>
      <c r="D759" s="211"/>
      <c r="E759" s="211"/>
      <c r="F759" s="211"/>
      <c r="G759" s="211"/>
      <c r="H759" s="211"/>
      <c r="I759" s="211"/>
      <c r="J759" s="211"/>
      <c r="K759" s="211"/>
      <c r="L759" s="211"/>
      <c r="M759" s="211"/>
      <c r="N759" s="211"/>
      <c r="O759" s="211"/>
      <c r="P759" s="211"/>
      <c r="Q759" s="211"/>
      <c r="R759" s="211"/>
      <c r="S759" s="211"/>
      <c r="T759" s="211"/>
      <c r="U759" s="211"/>
      <c r="V759" s="211"/>
      <c r="W759" s="211"/>
      <c r="X759" s="211"/>
      <c r="Y759" s="211"/>
      <c r="Z759" s="211"/>
      <c r="AA759" s="211"/>
    </row>
    <row r="760">
      <c r="A760" s="211"/>
      <c r="B760" s="211"/>
      <c r="C760" s="211"/>
      <c r="D760" s="211"/>
      <c r="E760" s="211"/>
      <c r="F760" s="211"/>
      <c r="G760" s="211"/>
      <c r="H760" s="211"/>
      <c r="I760" s="211"/>
      <c r="J760" s="211"/>
      <c r="K760" s="211"/>
      <c r="L760" s="211"/>
      <c r="M760" s="211"/>
      <c r="N760" s="211"/>
      <c r="O760" s="211"/>
      <c r="P760" s="211"/>
      <c r="Q760" s="211"/>
      <c r="R760" s="211"/>
      <c r="S760" s="211"/>
      <c r="T760" s="211"/>
      <c r="U760" s="211"/>
      <c r="V760" s="211"/>
      <c r="W760" s="211"/>
      <c r="X760" s="211"/>
      <c r="Y760" s="211"/>
      <c r="Z760" s="211"/>
      <c r="AA760" s="211"/>
    </row>
    <row r="761">
      <c r="A761" s="211"/>
      <c r="B761" s="211"/>
      <c r="C761" s="211"/>
      <c r="D761" s="211"/>
      <c r="E761" s="211"/>
      <c r="F761" s="211"/>
      <c r="G761" s="211"/>
      <c r="H761" s="211"/>
      <c r="I761" s="211"/>
      <c r="J761" s="211"/>
      <c r="K761" s="211"/>
      <c r="L761" s="211"/>
      <c r="M761" s="211"/>
      <c r="N761" s="211"/>
      <c r="O761" s="211"/>
      <c r="P761" s="211"/>
      <c r="Q761" s="211"/>
      <c r="R761" s="211"/>
      <c r="S761" s="211"/>
      <c r="T761" s="211"/>
      <c r="U761" s="211"/>
      <c r="V761" s="211"/>
      <c r="W761" s="211"/>
      <c r="X761" s="211"/>
      <c r="Y761" s="211"/>
      <c r="Z761" s="211"/>
      <c r="AA761" s="211"/>
    </row>
    <row r="762">
      <c r="A762" s="211"/>
      <c r="B762" s="211"/>
      <c r="C762" s="211"/>
      <c r="D762" s="211"/>
      <c r="E762" s="211"/>
      <c r="F762" s="211"/>
      <c r="G762" s="211"/>
      <c r="H762" s="211"/>
      <c r="I762" s="211"/>
      <c r="J762" s="211"/>
      <c r="K762" s="211"/>
      <c r="L762" s="211"/>
      <c r="M762" s="211"/>
      <c r="N762" s="211"/>
      <c r="O762" s="211"/>
      <c r="P762" s="211"/>
      <c r="Q762" s="211"/>
      <c r="R762" s="211"/>
      <c r="S762" s="211"/>
      <c r="T762" s="211"/>
      <c r="U762" s="211"/>
      <c r="V762" s="211"/>
      <c r="W762" s="211"/>
      <c r="X762" s="211"/>
      <c r="Y762" s="211"/>
      <c r="Z762" s="211"/>
      <c r="AA762" s="211"/>
    </row>
    <row r="763">
      <c r="A763" s="211"/>
      <c r="B763" s="211"/>
      <c r="C763" s="211"/>
      <c r="D763" s="211"/>
      <c r="E763" s="211"/>
      <c r="F763" s="211"/>
      <c r="G763" s="211"/>
      <c r="H763" s="211"/>
      <c r="I763" s="211"/>
      <c r="J763" s="211"/>
      <c r="K763" s="211"/>
      <c r="L763" s="211"/>
      <c r="M763" s="211"/>
      <c r="N763" s="211"/>
      <c r="O763" s="211"/>
      <c r="P763" s="211"/>
      <c r="Q763" s="211"/>
      <c r="R763" s="211"/>
      <c r="S763" s="211"/>
      <c r="T763" s="211"/>
      <c r="U763" s="211"/>
      <c r="V763" s="211"/>
      <c r="W763" s="211"/>
      <c r="X763" s="211"/>
      <c r="Y763" s="211"/>
      <c r="Z763" s="211"/>
      <c r="AA763" s="211"/>
    </row>
    <row r="764">
      <c r="A764" s="211"/>
      <c r="B764" s="211"/>
      <c r="C764" s="211"/>
      <c r="D764" s="211"/>
      <c r="E764" s="211"/>
      <c r="F764" s="211"/>
      <c r="G764" s="211"/>
      <c r="H764" s="211"/>
      <c r="I764" s="211"/>
      <c r="J764" s="211"/>
      <c r="K764" s="211"/>
      <c r="L764" s="211"/>
      <c r="M764" s="211"/>
      <c r="N764" s="211"/>
      <c r="O764" s="211"/>
      <c r="P764" s="211"/>
      <c r="Q764" s="211"/>
      <c r="R764" s="211"/>
      <c r="S764" s="211"/>
      <c r="T764" s="211"/>
      <c r="U764" s="211"/>
      <c r="V764" s="211"/>
      <c r="W764" s="211"/>
      <c r="X764" s="211"/>
      <c r="Y764" s="211"/>
      <c r="Z764" s="211"/>
      <c r="AA764" s="211"/>
    </row>
    <row r="765">
      <c r="A765" s="211"/>
      <c r="B765" s="211"/>
      <c r="C765" s="211"/>
      <c r="D765" s="211"/>
      <c r="E765" s="211"/>
      <c r="F765" s="211"/>
      <c r="G765" s="211"/>
      <c r="H765" s="211"/>
      <c r="I765" s="211"/>
      <c r="J765" s="211"/>
      <c r="K765" s="211"/>
      <c r="L765" s="211"/>
      <c r="M765" s="211"/>
      <c r="N765" s="211"/>
      <c r="O765" s="211"/>
      <c r="P765" s="211"/>
      <c r="Q765" s="211"/>
      <c r="R765" s="211"/>
      <c r="S765" s="211"/>
      <c r="T765" s="211"/>
      <c r="U765" s="211"/>
      <c r="V765" s="211"/>
      <c r="W765" s="211"/>
      <c r="X765" s="211"/>
      <c r="Y765" s="211"/>
      <c r="Z765" s="211"/>
      <c r="AA765" s="211"/>
    </row>
    <row r="766">
      <c r="A766" s="211"/>
      <c r="B766" s="211"/>
      <c r="C766" s="211"/>
      <c r="D766" s="211"/>
      <c r="E766" s="211"/>
      <c r="F766" s="211"/>
      <c r="G766" s="211"/>
      <c r="H766" s="211"/>
      <c r="I766" s="211"/>
      <c r="J766" s="211"/>
      <c r="K766" s="211"/>
      <c r="L766" s="211"/>
      <c r="M766" s="211"/>
      <c r="N766" s="211"/>
      <c r="O766" s="211"/>
      <c r="P766" s="211"/>
      <c r="Q766" s="211"/>
      <c r="R766" s="211"/>
      <c r="S766" s="211"/>
      <c r="T766" s="211"/>
      <c r="U766" s="211"/>
      <c r="V766" s="211"/>
      <c r="W766" s="211"/>
      <c r="X766" s="211"/>
      <c r="Y766" s="211"/>
      <c r="Z766" s="211"/>
      <c r="AA766" s="211"/>
    </row>
    <row r="767">
      <c r="A767" s="211"/>
      <c r="B767" s="211"/>
      <c r="C767" s="211"/>
      <c r="D767" s="211"/>
      <c r="E767" s="211"/>
      <c r="F767" s="211"/>
      <c r="G767" s="211"/>
      <c r="H767" s="211"/>
      <c r="I767" s="211"/>
      <c r="J767" s="211"/>
      <c r="K767" s="211"/>
      <c r="L767" s="211"/>
      <c r="M767" s="211"/>
      <c r="N767" s="211"/>
      <c r="O767" s="211"/>
      <c r="P767" s="211"/>
      <c r="Q767" s="211"/>
      <c r="R767" s="211"/>
      <c r="S767" s="211"/>
      <c r="T767" s="211"/>
      <c r="U767" s="211"/>
      <c r="V767" s="211"/>
      <c r="W767" s="211"/>
      <c r="X767" s="211"/>
      <c r="Y767" s="211"/>
      <c r="Z767" s="211"/>
      <c r="AA767" s="211"/>
    </row>
    <row r="768">
      <c r="A768" s="211"/>
      <c r="B768" s="211"/>
      <c r="C768" s="211"/>
      <c r="D768" s="211"/>
      <c r="E768" s="211"/>
      <c r="F768" s="211"/>
      <c r="G768" s="211"/>
      <c r="H768" s="211"/>
      <c r="I768" s="211"/>
      <c r="J768" s="211"/>
      <c r="K768" s="211"/>
      <c r="L768" s="211"/>
      <c r="M768" s="211"/>
      <c r="N768" s="211"/>
      <c r="O768" s="211"/>
      <c r="P768" s="211"/>
      <c r="Q768" s="211"/>
      <c r="R768" s="211"/>
      <c r="S768" s="211"/>
      <c r="T768" s="211"/>
      <c r="U768" s="211"/>
      <c r="V768" s="211"/>
      <c r="W768" s="211"/>
      <c r="X768" s="211"/>
      <c r="Y768" s="211"/>
      <c r="Z768" s="211"/>
      <c r="AA768" s="211"/>
    </row>
    <row r="769">
      <c r="A769" s="211"/>
      <c r="B769" s="211"/>
      <c r="C769" s="211"/>
      <c r="D769" s="211"/>
      <c r="E769" s="211"/>
      <c r="F769" s="211"/>
      <c r="G769" s="211"/>
      <c r="H769" s="211"/>
      <c r="I769" s="211"/>
      <c r="J769" s="211"/>
      <c r="K769" s="211"/>
      <c r="L769" s="211"/>
      <c r="M769" s="211"/>
      <c r="N769" s="211"/>
      <c r="O769" s="211"/>
      <c r="P769" s="211"/>
      <c r="Q769" s="211"/>
      <c r="R769" s="211"/>
      <c r="S769" s="211"/>
      <c r="T769" s="211"/>
      <c r="U769" s="211"/>
      <c r="V769" s="211"/>
      <c r="W769" s="211"/>
      <c r="X769" s="211"/>
      <c r="Y769" s="211"/>
      <c r="Z769" s="211"/>
      <c r="AA769" s="211"/>
    </row>
    <row r="770">
      <c r="A770" s="211"/>
      <c r="B770" s="211"/>
      <c r="C770" s="211"/>
      <c r="D770" s="211"/>
      <c r="E770" s="211"/>
      <c r="F770" s="211"/>
      <c r="G770" s="211"/>
      <c r="H770" s="211"/>
      <c r="I770" s="211"/>
      <c r="J770" s="211"/>
      <c r="K770" s="211"/>
      <c r="L770" s="211"/>
      <c r="M770" s="211"/>
      <c r="N770" s="211"/>
      <c r="O770" s="211"/>
      <c r="P770" s="211"/>
      <c r="Q770" s="211"/>
      <c r="R770" s="211"/>
      <c r="S770" s="211"/>
      <c r="T770" s="211"/>
      <c r="U770" s="211"/>
      <c r="V770" s="211"/>
      <c r="W770" s="211"/>
      <c r="X770" s="211"/>
      <c r="Y770" s="211"/>
      <c r="Z770" s="211"/>
      <c r="AA770" s="211"/>
    </row>
    <row r="771">
      <c r="A771" s="211"/>
      <c r="B771" s="211"/>
      <c r="C771" s="211"/>
      <c r="D771" s="211"/>
      <c r="E771" s="211"/>
      <c r="F771" s="211"/>
      <c r="G771" s="211"/>
      <c r="H771" s="211"/>
      <c r="I771" s="211"/>
      <c r="J771" s="211"/>
      <c r="K771" s="211"/>
      <c r="L771" s="211"/>
      <c r="M771" s="211"/>
      <c r="N771" s="211"/>
      <c r="O771" s="211"/>
      <c r="P771" s="211"/>
      <c r="Q771" s="211"/>
      <c r="R771" s="211"/>
      <c r="S771" s="211"/>
      <c r="T771" s="211"/>
      <c r="U771" s="211"/>
      <c r="V771" s="211"/>
      <c r="W771" s="211"/>
      <c r="X771" s="211"/>
      <c r="Y771" s="211"/>
      <c r="Z771" s="211"/>
      <c r="AA771" s="211"/>
    </row>
    <row r="772">
      <c r="A772" s="211"/>
      <c r="B772" s="211"/>
      <c r="C772" s="211"/>
      <c r="D772" s="211"/>
      <c r="E772" s="211"/>
      <c r="F772" s="211"/>
      <c r="G772" s="211"/>
      <c r="H772" s="211"/>
      <c r="I772" s="211"/>
      <c r="J772" s="211"/>
      <c r="K772" s="211"/>
      <c r="L772" s="211"/>
      <c r="M772" s="211"/>
      <c r="N772" s="211"/>
      <c r="O772" s="211"/>
      <c r="P772" s="211"/>
      <c r="Q772" s="211"/>
      <c r="R772" s="211"/>
      <c r="S772" s="211"/>
      <c r="T772" s="211"/>
      <c r="U772" s="211"/>
      <c r="V772" s="211"/>
      <c r="W772" s="211"/>
      <c r="X772" s="211"/>
      <c r="Y772" s="211"/>
      <c r="Z772" s="211"/>
      <c r="AA772" s="211"/>
    </row>
    <row r="773">
      <c r="A773" s="211"/>
      <c r="B773" s="211"/>
      <c r="C773" s="211"/>
      <c r="D773" s="211"/>
      <c r="E773" s="211"/>
      <c r="F773" s="211"/>
      <c r="G773" s="211"/>
      <c r="H773" s="211"/>
      <c r="I773" s="211"/>
      <c r="J773" s="211"/>
      <c r="K773" s="211"/>
      <c r="L773" s="211"/>
      <c r="M773" s="211"/>
      <c r="N773" s="211"/>
      <c r="O773" s="211"/>
      <c r="P773" s="211"/>
      <c r="Q773" s="211"/>
      <c r="R773" s="211"/>
      <c r="S773" s="211"/>
      <c r="T773" s="211"/>
      <c r="U773" s="211"/>
      <c r="V773" s="211"/>
      <c r="W773" s="211"/>
      <c r="X773" s="211"/>
      <c r="Y773" s="211"/>
      <c r="Z773" s="211"/>
      <c r="AA773" s="211"/>
    </row>
    <row r="774">
      <c r="A774" s="211"/>
      <c r="B774" s="211"/>
      <c r="C774" s="211"/>
      <c r="D774" s="211"/>
      <c r="E774" s="211"/>
      <c r="F774" s="211"/>
      <c r="G774" s="211"/>
      <c r="H774" s="211"/>
      <c r="I774" s="211"/>
      <c r="J774" s="211"/>
      <c r="K774" s="211"/>
      <c r="L774" s="211"/>
      <c r="M774" s="211"/>
      <c r="N774" s="211"/>
      <c r="O774" s="211"/>
      <c r="P774" s="211"/>
      <c r="Q774" s="211"/>
      <c r="R774" s="211"/>
      <c r="S774" s="211"/>
      <c r="T774" s="211"/>
      <c r="U774" s="211"/>
      <c r="V774" s="211"/>
      <c r="W774" s="211"/>
      <c r="X774" s="211"/>
      <c r="Y774" s="211"/>
      <c r="Z774" s="211"/>
      <c r="AA774" s="211"/>
    </row>
    <row r="775">
      <c r="A775" s="211"/>
      <c r="B775" s="211"/>
      <c r="C775" s="211"/>
      <c r="D775" s="211"/>
      <c r="E775" s="211"/>
      <c r="F775" s="211"/>
      <c r="G775" s="211"/>
      <c r="H775" s="211"/>
      <c r="I775" s="211"/>
      <c r="J775" s="211"/>
      <c r="K775" s="211"/>
      <c r="L775" s="211"/>
      <c r="M775" s="211"/>
      <c r="N775" s="211"/>
      <c r="O775" s="211"/>
      <c r="P775" s="211"/>
      <c r="Q775" s="211"/>
      <c r="R775" s="211"/>
      <c r="S775" s="211"/>
      <c r="T775" s="211"/>
      <c r="U775" s="211"/>
      <c r="V775" s="211"/>
      <c r="W775" s="211"/>
      <c r="X775" s="211"/>
      <c r="Y775" s="211"/>
      <c r="Z775" s="211"/>
      <c r="AA775" s="211"/>
    </row>
    <row r="776">
      <c r="A776" s="211"/>
      <c r="B776" s="211"/>
      <c r="C776" s="211"/>
      <c r="D776" s="211"/>
      <c r="E776" s="211"/>
      <c r="F776" s="211"/>
      <c r="G776" s="211"/>
      <c r="H776" s="211"/>
      <c r="I776" s="211"/>
      <c r="J776" s="211"/>
      <c r="K776" s="211"/>
      <c r="L776" s="211"/>
      <c r="M776" s="211"/>
      <c r="N776" s="211"/>
      <c r="O776" s="211"/>
      <c r="P776" s="211"/>
      <c r="Q776" s="211"/>
      <c r="R776" s="211"/>
      <c r="S776" s="211"/>
      <c r="T776" s="211"/>
      <c r="U776" s="211"/>
      <c r="V776" s="211"/>
      <c r="W776" s="211"/>
      <c r="X776" s="211"/>
      <c r="Y776" s="211"/>
      <c r="Z776" s="211"/>
      <c r="AA776" s="211"/>
    </row>
    <row r="777">
      <c r="A777" s="211"/>
      <c r="B777" s="211"/>
      <c r="C777" s="211"/>
      <c r="D777" s="211"/>
      <c r="E777" s="211"/>
      <c r="F777" s="211"/>
      <c r="G777" s="211"/>
      <c r="H777" s="211"/>
      <c r="I777" s="211"/>
      <c r="J777" s="211"/>
      <c r="K777" s="211"/>
      <c r="L777" s="211"/>
      <c r="M777" s="211"/>
      <c r="N777" s="211"/>
      <c r="O777" s="211"/>
      <c r="P777" s="211"/>
      <c r="Q777" s="211"/>
      <c r="R777" s="211"/>
      <c r="S777" s="211"/>
      <c r="T777" s="211"/>
      <c r="U777" s="211"/>
      <c r="V777" s="211"/>
      <c r="W777" s="211"/>
      <c r="X777" s="211"/>
      <c r="Y777" s="211"/>
      <c r="Z777" s="211"/>
      <c r="AA777" s="211"/>
    </row>
    <row r="778">
      <c r="A778" s="211"/>
      <c r="B778" s="211"/>
      <c r="C778" s="211"/>
      <c r="D778" s="211"/>
      <c r="E778" s="211"/>
      <c r="F778" s="211"/>
      <c r="G778" s="211"/>
      <c r="H778" s="211"/>
      <c r="I778" s="211"/>
      <c r="J778" s="211"/>
      <c r="K778" s="211"/>
      <c r="L778" s="211"/>
      <c r="M778" s="211"/>
      <c r="N778" s="211"/>
      <c r="O778" s="211"/>
      <c r="P778" s="211"/>
      <c r="Q778" s="211"/>
      <c r="R778" s="211"/>
      <c r="S778" s="211"/>
      <c r="T778" s="211"/>
      <c r="U778" s="211"/>
      <c r="V778" s="211"/>
      <c r="W778" s="211"/>
      <c r="X778" s="211"/>
      <c r="Y778" s="211"/>
      <c r="Z778" s="211"/>
      <c r="AA778" s="211"/>
    </row>
    <row r="779">
      <c r="A779" s="211"/>
      <c r="B779" s="211"/>
      <c r="C779" s="211"/>
      <c r="D779" s="211"/>
      <c r="E779" s="211"/>
      <c r="F779" s="211"/>
      <c r="G779" s="211"/>
      <c r="H779" s="211"/>
      <c r="I779" s="211"/>
      <c r="J779" s="211"/>
      <c r="K779" s="211"/>
      <c r="L779" s="211"/>
      <c r="M779" s="211"/>
      <c r="N779" s="211"/>
      <c r="O779" s="211"/>
      <c r="P779" s="211"/>
      <c r="Q779" s="211"/>
      <c r="R779" s="211"/>
      <c r="S779" s="211"/>
      <c r="T779" s="211"/>
      <c r="U779" s="211"/>
      <c r="V779" s="211"/>
      <c r="W779" s="211"/>
      <c r="X779" s="211"/>
      <c r="Y779" s="211"/>
      <c r="Z779" s="211"/>
      <c r="AA779" s="211"/>
    </row>
    <row r="780">
      <c r="A780" s="211"/>
      <c r="B780" s="211"/>
      <c r="C780" s="211"/>
      <c r="D780" s="211"/>
      <c r="E780" s="211"/>
      <c r="F780" s="211"/>
      <c r="G780" s="211"/>
      <c r="H780" s="211"/>
      <c r="I780" s="211"/>
      <c r="J780" s="211"/>
      <c r="K780" s="211"/>
      <c r="L780" s="211"/>
      <c r="M780" s="211"/>
      <c r="N780" s="211"/>
      <c r="O780" s="211"/>
      <c r="P780" s="211"/>
      <c r="Q780" s="211"/>
      <c r="R780" s="211"/>
      <c r="S780" s="211"/>
      <c r="T780" s="211"/>
      <c r="U780" s="211"/>
      <c r="V780" s="211"/>
      <c r="W780" s="211"/>
      <c r="X780" s="211"/>
      <c r="Y780" s="211"/>
      <c r="Z780" s="211"/>
      <c r="AA780" s="211"/>
    </row>
    <row r="781">
      <c r="A781" s="211"/>
      <c r="B781" s="211"/>
      <c r="C781" s="211"/>
      <c r="D781" s="211"/>
      <c r="E781" s="211"/>
      <c r="F781" s="211"/>
      <c r="G781" s="211"/>
      <c r="H781" s="211"/>
      <c r="I781" s="211"/>
      <c r="J781" s="211"/>
      <c r="K781" s="211"/>
      <c r="L781" s="211"/>
      <c r="M781" s="211"/>
      <c r="N781" s="211"/>
      <c r="O781" s="211"/>
      <c r="P781" s="211"/>
      <c r="Q781" s="211"/>
      <c r="R781" s="211"/>
      <c r="S781" s="211"/>
      <c r="T781" s="211"/>
      <c r="U781" s="211"/>
      <c r="V781" s="211"/>
      <c r="W781" s="211"/>
      <c r="X781" s="211"/>
      <c r="Y781" s="211"/>
      <c r="Z781" s="211"/>
      <c r="AA781" s="211"/>
    </row>
    <row r="782">
      <c r="A782" s="211"/>
      <c r="B782" s="211"/>
      <c r="C782" s="211"/>
      <c r="D782" s="211"/>
      <c r="E782" s="211"/>
      <c r="F782" s="211"/>
      <c r="G782" s="211"/>
      <c r="H782" s="211"/>
      <c r="I782" s="211"/>
      <c r="J782" s="211"/>
      <c r="K782" s="211"/>
      <c r="L782" s="211"/>
      <c r="M782" s="211"/>
      <c r="N782" s="211"/>
      <c r="O782" s="211"/>
      <c r="P782" s="211"/>
      <c r="Q782" s="211"/>
      <c r="R782" s="211"/>
      <c r="S782" s="211"/>
      <c r="T782" s="211"/>
      <c r="U782" s="211"/>
      <c r="V782" s="211"/>
      <c r="W782" s="211"/>
      <c r="X782" s="211"/>
      <c r="Y782" s="211"/>
      <c r="Z782" s="211"/>
      <c r="AA782" s="211"/>
    </row>
    <row r="783">
      <c r="A783" s="211"/>
      <c r="B783" s="211"/>
      <c r="C783" s="211"/>
      <c r="D783" s="211"/>
      <c r="E783" s="211"/>
      <c r="F783" s="211"/>
      <c r="G783" s="211"/>
      <c r="H783" s="211"/>
      <c r="I783" s="211"/>
      <c r="J783" s="211"/>
      <c r="K783" s="211"/>
      <c r="L783" s="211"/>
      <c r="M783" s="211"/>
      <c r="N783" s="211"/>
      <c r="O783" s="211"/>
      <c r="P783" s="211"/>
      <c r="Q783" s="211"/>
      <c r="R783" s="211"/>
      <c r="S783" s="211"/>
      <c r="T783" s="211"/>
      <c r="U783" s="211"/>
      <c r="V783" s="211"/>
      <c r="W783" s="211"/>
      <c r="X783" s="211"/>
      <c r="Y783" s="211"/>
      <c r="Z783" s="211"/>
      <c r="AA783" s="211"/>
    </row>
    <row r="784">
      <c r="A784" s="211"/>
      <c r="B784" s="211"/>
      <c r="C784" s="211"/>
      <c r="D784" s="211"/>
      <c r="E784" s="211"/>
      <c r="F784" s="211"/>
      <c r="G784" s="211"/>
      <c r="H784" s="211"/>
      <c r="I784" s="211"/>
      <c r="J784" s="211"/>
      <c r="K784" s="211"/>
      <c r="L784" s="211"/>
      <c r="M784" s="211"/>
      <c r="N784" s="211"/>
      <c r="O784" s="211"/>
      <c r="P784" s="211"/>
      <c r="Q784" s="211"/>
      <c r="R784" s="211"/>
      <c r="S784" s="211"/>
      <c r="T784" s="211"/>
      <c r="U784" s="211"/>
      <c r="V784" s="211"/>
      <c r="W784" s="211"/>
      <c r="X784" s="211"/>
      <c r="Y784" s="211"/>
      <c r="Z784" s="211"/>
      <c r="AA784" s="211"/>
    </row>
    <row r="785">
      <c r="A785" s="211"/>
      <c r="B785" s="211"/>
      <c r="C785" s="211"/>
      <c r="D785" s="211"/>
      <c r="E785" s="211"/>
      <c r="F785" s="211"/>
      <c r="G785" s="211"/>
      <c r="H785" s="211"/>
      <c r="I785" s="211"/>
      <c r="J785" s="211"/>
      <c r="K785" s="211"/>
      <c r="L785" s="211"/>
      <c r="M785" s="211"/>
      <c r="N785" s="211"/>
      <c r="O785" s="211"/>
      <c r="P785" s="211"/>
      <c r="Q785" s="211"/>
      <c r="R785" s="211"/>
      <c r="S785" s="211"/>
      <c r="T785" s="211"/>
      <c r="U785" s="211"/>
      <c r="V785" s="211"/>
      <c r="W785" s="211"/>
      <c r="X785" s="211"/>
      <c r="Y785" s="211"/>
      <c r="Z785" s="211"/>
      <c r="AA785" s="211"/>
    </row>
    <row r="786">
      <c r="A786" s="211"/>
      <c r="B786" s="211"/>
      <c r="C786" s="211"/>
      <c r="D786" s="211"/>
      <c r="E786" s="211"/>
      <c r="F786" s="211"/>
      <c r="G786" s="211"/>
      <c r="H786" s="211"/>
      <c r="I786" s="211"/>
      <c r="J786" s="211"/>
      <c r="K786" s="211"/>
      <c r="L786" s="211"/>
      <c r="M786" s="211"/>
      <c r="N786" s="211"/>
      <c r="O786" s="211"/>
      <c r="P786" s="211"/>
      <c r="Q786" s="211"/>
      <c r="R786" s="211"/>
      <c r="S786" s="211"/>
      <c r="T786" s="211"/>
      <c r="U786" s="211"/>
      <c r="V786" s="211"/>
      <c r="W786" s="211"/>
      <c r="X786" s="211"/>
      <c r="Y786" s="211"/>
      <c r="Z786" s="211"/>
      <c r="AA786" s="211"/>
    </row>
    <row r="787">
      <c r="A787" s="211"/>
      <c r="B787" s="211"/>
      <c r="C787" s="211"/>
      <c r="D787" s="211"/>
      <c r="E787" s="211"/>
      <c r="F787" s="211"/>
      <c r="G787" s="211"/>
      <c r="H787" s="211"/>
      <c r="I787" s="211"/>
      <c r="J787" s="211"/>
      <c r="K787" s="211"/>
      <c r="L787" s="211"/>
      <c r="M787" s="211"/>
      <c r="N787" s="211"/>
      <c r="O787" s="211"/>
      <c r="P787" s="211"/>
      <c r="Q787" s="211"/>
      <c r="R787" s="211"/>
      <c r="S787" s="211"/>
      <c r="T787" s="211"/>
      <c r="U787" s="211"/>
      <c r="V787" s="211"/>
      <c r="W787" s="211"/>
      <c r="X787" s="211"/>
      <c r="Y787" s="211"/>
      <c r="Z787" s="211"/>
      <c r="AA787" s="211"/>
    </row>
    <row r="788">
      <c r="A788" s="211"/>
      <c r="B788" s="211"/>
      <c r="C788" s="211"/>
      <c r="D788" s="211"/>
      <c r="E788" s="211"/>
      <c r="F788" s="211"/>
      <c r="G788" s="211"/>
      <c r="H788" s="211"/>
      <c r="I788" s="211"/>
      <c r="J788" s="211"/>
      <c r="K788" s="211"/>
      <c r="L788" s="211"/>
      <c r="M788" s="211"/>
      <c r="N788" s="211"/>
      <c r="O788" s="211"/>
      <c r="P788" s="211"/>
      <c r="Q788" s="211"/>
      <c r="R788" s="211"/>
      <c r="S788" s="211"/>
      <c r="T788" s="211"/>
      <c r="U788" s="211"/>
      <c r="V788" s="211"/>
      <c r="W788" s="211"/>
      <c r="X788" s="211"/>
      <c r="Y788" s="211"/>
      <c r="Z788" s="211"/>
      <c r="AA788" s="211"/>
    </row>
    <row r="789">
      <c r="A789" s="211"/>
      <c r="B789" s="211"/>
      <c r="C789" s="211"/>
      <c r="D789" s="211"/>
      <c r="E789" s="211"/>
      <c r="F789" s="211"/>
      <c r="G789" s="211"/>
      <c r="H789" s="211"/>
      <c r="I789" s="211"/>
      <c r="J789" s="211"/>
      <c r="K789" s="211"/>
      <c r="L789" s="211"/>
      <c r="M789" s="211"/>
      <c r="N789" s="211"/>
      <c r="O789" s="211"/>
      <c r="P789" s="211"/>
      <c r="Q789" s="211"/>
      <c r="R789" s="211"/>
      <c r="S789" s="211"/>
      <c r="T789" s="211"/>
      <c r="U789" s="211"/>
      <c r="V789" s="211"/>
      <c r="W789" s="211"/>
      <c r="X789" s="211"/>
      <c r="Y789" s="211"/>
      <c r="Z789" s="211"/>
      <c r="AA789" s="211"/>
    </row>
    <row r="790">
      <c r="A790" s="211"/>
      <c r="B790" s="211"/>
      <c r="C790" s="211"/>
      <c r="D790" s="211"/>
      <c r="E790" s="211"/>
      <c r="F790" s="211"/>
      <c r="G790" s="211"/>
      <c r="H790" s="211"/>
      <c r="I790" s="211"/>
      <c r="J790" s="211"/>
      <c r="K790" s="211"/>
      <c r="L790" s="211"/>
      <c r="M790" s="211"/>
      <c r="N790" s="211"/>
      <c r="O790" s="211"/>
      <c r="P790" s="211"/>
      <c r="Q790" s="211"/>
      <c r="R790" s="211"/>
      <c r="S790" s="211"/>
      <c r="T790" s="211"/>
      <c r="U790" s="211"/>
      <c r="V790" s="211"/>
      <c r="W790" s="211"/>
      <c r="X790" s="211"/>
      <c r="Y790" s="211"/>
      <c r="Z790" s="211"/>
      <c r="AA790" s="211"/>
    </row>
    <row r="791">
      <c r="A791" s="211"/>
      <c r="B791" s="211"/>
      <c r="C791" s="211"/>
      <c r="D791" s="211"/>
      <c r="E791" s="211"/>
      <c r="F791" s="211"/>
      <c r="G791" s="211"/>
      <c r="H791" s="211"/>
      <c r="I791" s="211"/>
      <c r="J791" s="211"/>
      <c r="K791" s="211"/>
      <c r="L791" s="211"/>
      <c r="M791" s="211"/>
      <c r="N791" s="211"/>
      <c r="O791" s="211"/>
      <c r="P791" s="211"/>
      <c r="Q791" s="211"/>
      <c r="R791" s="211"/>
      <c r="S791" s="211"/>
      <c r="T791" s="211"/>
      <c r="U791" s="211"/>
      <c r="V791" s="211"/>
      <c r="W791" s="211"/>
      <c r="X791" s="211"/>
      <c r="Y791" s="211"/>
      <c r="Z791" s="211"/>
      <c r="AA791" s="211"/>
    </row>
    <row r="792">
      <c r="A792" s="211"/>
      <c r="B792" s="211"/>
      <c r="C792" s="211"/>
      <c r="D792" s="211"/>
      <c r="E792" s="211"/>
      <c r="F792" s="211"/>
      <c r="G792" s="211"/>
      <c r="H792" s="211"/>
      <c r="I792" s="211"/>
      <c r="J792" s="211"/>
      <c r="K792" s="211"/>
      <c r="L792" s="211"/>
      <c r="M792" s="211"/>
      <c r="N792" s="211"/>
      <c r="O792" s="211"/>
      <c r="P792" s="211"/>
      <c r="Q792" s="211"/>
      <c r="R792" s="211"/>
      <c r="S792" s="211"/>
      <c r="T792" s="211"/>
      <c r="U792" s="211"/>
      <c r="V792" s="211"/>
      <c r="W792" s="211"/>
      <c r="X792" s="211"/>
      <c r="Y792" s="211"/>
      <c r="Z792" s="211"/>
      <c r="AA792" s="211"/>
    </row>
    <row r="793">
      <c r="A793" s="211"/>
      <c r="B793" s="211"/>
      <c r="C793" s="211"/>
      <c r="D793" s="211"/>
      <c r="E793" s="211"/>
      <c r="F793" s="211"/>
      <c r="G793" s="211"/>
      <c r="H793" s="211"/>
      <c r="I793" s="211"/>
      <c r="J793" s="211"/>
      <c r="K793" s="211"/>
      <c r="L793" s="211"/>
      <c r="M793" s="211"/>
      <c r="N793" s="211"/>
      <c r="O793" s="211"/>
      <c r="P793" s="211"/>
      <c r="Q793" s="211"/>
      <c r="R793" s="211"/>
      <c r="S793" s="211"/>
      <c r="T793" s="211"/>
      <c r="U793" s="211"/>
      <c r="V793" s="211"/>
      <c r="W793" s="211"/>
      <c r="X793" s="211"/>
      <c r="Y793" s="211"/>
      <c r="Z793" s="211"/>
      <c r="AA793" s="211"/>
    </row>
    <row r="794">
      <c r="A794" s="211"/>
      <c r="B794" s="211"/>
      <c r="C794" s="211"/>
      <c r="D794" s="211"/>
      <c r="E794" s="211"/>
      <c r="F794" s="211"/>
      <c r="G794" s="211"/>
      <c r="H794" s="211"/>
      <c r="I794" s="211"/>
      <c r="J794" s="211"/>
      <c r="K794" s="211"/>
      <c r="L794" s="211"/>
      <c r="M794" s="211"/>
      <c r="N794" s="211"/>
      <c r="O794" s="211"/>
      <c r="P794" s="211"/>
      <c r="Q794" s="211"/>
      <c r="R794" s="211"/>
      <c r="S794" s="211"/>
      <c r="T794" s="211"/>
      <c r="U794" s="211"/>
      <c r="V794" s="211"/>
      <c r="W794" s="211"/>
      <c r="X794" s="211"/>
      <c r="Y794" s="211"/>
      <c r="Z794" s="211"/>
      <c r="AA794" s="211"/>
    </row>
    <row r="795">
      <c r="A795" s="211"/>
      <c r="B795" s="211"/>
      <c r="C795" s="211"/>
      <c r="D795" s="211"/>
      <c r="E795" s="211"/>
      <c r="F795" s="211"/>
      <c r="G795" s="211"/>
      <c r="H795" s="211"/>
      <c r="I795" s="211"/>
      <c r="J795" s="211"/>
      <c r="K795" s="211"/>
      <c r="L795" s="211"/>
      <c r="M795" s="211"/>
      <c r="N795" s="211"/>
      <c r="O795" s="211"/>
      <c r="P795" s="211"/>
      <c r="Q795" s="211"/>
      <c r="R795" s="211"/>
      <c r="S795" s="211"/>
      <c r="T795" s="211"/>
      <c r="U795" s="211"/>
      <c r="V795" s="211"/>
      <c r="W795" s="211"/>
      <c r="X795" s="211"/>
      <c r="Y795" s="211"/>
      <c r="Z795" s="211"/>
      <c r="AA795" s="211"/>
    </row>
    <row r="796">
      <c r="A796" s="211"/>
      <c r="B796" s="211"/>
      <c r="C796" s="211"/>
      <c r="D796" s="211"/>
      <c r="E796" s="211"/>
      <c r="F796" s="211"/>
      <c r="G796" s="211"/>
      <c r="H796" s="211"/>
      <c r="I796" s="211"/>
      <c r="J796" s="211"/>
      <c r="K796" s="211"/>
      <c r="L796" s="211"/>
      <c r="M796" s="211"/>
      <c r="N796" s="211"/>
      <c r="O796" s="211"/>
      <c r="P796" s="211"/>
      <c r="Q796" s="211"/>
      <c r="R796" s="211"/>
      <c r="S796" s="211"/>
      <c r="T796" s="211"/>
      <c r="U796" s="211"/>
      <c r="V796" s="211"/>
      <c r="W796" s="211"/>
      <c r="X796" s="211"/>
      <c r="Y796" s="211"/>
      <c r="Z796" s="211"/>
      <c r="AA796" s="211"/>
    </row>
    <row r="797">
      <c r="A797" s="211"/>
      <c r="B797" s="211"/>
      <c r="C797" s="211"/>
      <c r="D797" s="211"/>
      <c r="E797" s="211"/>
      <c r="F797" s="211"/>
      <c r="G797" s="211"/>
      <c r="H797" s="211"/>
      <c r="I797" s="211"/>
      <c r="J797" s="211"/>
      <c r="K797" s="211"/>
      <c r="L797" s="211"/>
      <c r="M797" s="211"/>
      <c r="N797" s="211"/>
      <c r="O797" s="211"/>
      <c r="P797" s="211"/>
      <c r="Q797" s="211"/>
      <c r="R797" s="211"/>
      <c r="S797" s="211"/>
      <c r="T797" s="211"/>
      <c r="U797" s="211"/>
      <c r="V797" s="211"/>
      <c r="W797" s="211"/>
      <c r="X797" s="211"/>
      <c r="Y797" s="211"/>
      <c r="Z797" s="211"/>
      <c r="AA797" s="211"/>
    </row>
    <row r="798">
      <c r="A798" s="211"/>
      <c r="B798" s="211"/>
      <c r="C798" s="211"/>
      <c r="D798" s="211"/>
      <c r="E798" s="211"/>
      <c r="F798" s="211"/>
      <c r="G798" s="211"/>
      <c r="H798" s="211"/>
      <c r="I798" s="211"/>
      <c r="J798" s="211"/>
      <c r="K798" s="211"/>
      <c r="L798" s="211"/>
      <c r="M798" s="211"/>
      <c r="N798" s="211"/>
      <c r="O798" s="211"/>
      <c r="P798" s="211"/>
      <c r="Q798" s="211"/>
      <c r="R798" s="211"/>
      <c r="S798" s="211"/>
      <c r="T798" s="211"/>
      <c r="U798" s="211"/>
      <c r="V798" s="211"/>
      <c r="W798" s="211"/>
      <c r="X798" s="211"/>
      <c r="Y798" s="211"/>
      <c r="Z798" s="211"/>
      <c r="AA798" s="211"/>
    </row>
    <row r="799">
      <c r="A799" s="211"/>
      <c r="B799" s="211"/>
      <c r="C799" s="211"/>
      <c r="D799" s="211"/>
      <c r="E799" s="211"/>
      <c r="F799" s="211"/>
      <c r="G799" s="211"/>
      <c r="H799" s="211"/>
      <c r="I799" s="211"/>
      <c r="J799" s="211"/>
      <c r="K799" s="211"/>
      <c r="L799" s="211"/>
      <c r="M799" s="211"/>
      <c r="N799" s="211"/>
      <c r="O799" s="211"/>
      <c r="P799" s="211"/>
      <c r="Q799" s="211"/>
      <c r="R799" s="211"/>
      <c r="S799" s="211"/>
      <c r="T799" s="211"/>
      <c r="U799" s="211"/>
      <c r="V799" s="211"/>
      <c r="W799" s="211"/>
      <c r="X799" s="211"/>
      <c r="Y799" s="211"/>
      <c r="Z799" s="211"/>
      <c r="AA799" s="211"/>
    </row>
    <row r="800">
      <c r="A800" s="211"/>
      <c r="B800" s="211"/>
      <c r="C800" s="211"/>
      <c r="D800" s="211"/>
      <c r="E800" s="211"/>
      <c r="F800" s="211"/>
      <c r="G800" s="211"/>
      <c r="H800" s="211"/>
      <c r="I800" s="211"/>
      <c r="J800" s="211"/>
      <c r="K800" s="211"/>
      <c r="L800" s="211"/>
      <c r="M800" s="211"/>
      <c r="N800" s="211"/>
      <c r="O800" s="211"/>
      <c r="P800" s="211"/>
      <c r="Q800" s="211"/>
      <c r="R800" s="211"/>
      <c r="S800" s="211"/>
      <c r="T800" s="211"/>
      <c r="U800" s="211"/>
      <c r="V800" s="211"/>
      <c r="W800" s="211"/>
      <c r="X800" s="211"/>
      <c r="Y800" s="211"/>
      <c r="Z800" s="211"/>
      <c r="AA800" s="211"/>
    </row>
    <row r="801">
      <c r="A801" s="211"/>
      <c r="B801" s="211"/>
      <c r="C801" s="211"/>
      <c r="D801" s="211"/>
      <c r="E801" s="211"/>
      <c r="F801" s="211"/>
      <c r="G801" s="211"/>
      <c r="H801" s="211"/>
      <c r="I801" s="211"/>
      <c r="J801" s="211"/>
      <c r="K801" s="211"/>
      <c r="L801" s="211"/>
      <c r="M801" s="211"/>
      <c r="N801" s="211"/>
      <c r="O801" s="211"/>
      <c r="P801" s="211"/>
      <c r="Q801" s="211"/>
      <c r="R801" s="211"/>
      <c r="S801" s="211"/>
      <c r="T801" s="211"/>
      <c r="U801" s="211"/>
      <c r="V801" s="211"/>
      <c r="W801" s="211"/>
      <c r="X801" s="211"/>
      <c r="Y801" s="211"/>
      <c r="Z801" s="211"/>
      <c r="AA801" s="211"/>
    </row>
    <row r="802">
      <c r="A802" s="211"/>
      <c r="B802" s="211"/>
      <c r="C802" s="211"/>
      <c r="D802" s="211"/>
      <c r="E802" s="211"/>
      <c r="F802" s="211"/>
      <c r="G802" s="211"/>
      <c r="H802" s="211"/>
      <c r="I802" s="211"/>
      <c r="J802" s="211"/>
      <c r="K802" s="211"/>
      <c r="L802" s="211"/>
      <c r="M802" s="211"/>
      <c r="N802" s="211"/>
      <c r="O802" s="211"/>
      <c r="P802" s="211"/>
      <c r="Q802" s="211"/>
      <c r="R802" s="211"/>
      <c r="S802" s="211"/>
      <c r="T802" s="211"/>
      <c r="U802" s="211"/>
      <c r="V802" s="211"/>
      <c r="W802" s="211"/>
      <c r="X802" s="211"/>
      <c r="Y802" s="211"/>
      <c r="Z802" s="211"/>
      <c r="AA802" s="211"/>
    </row>
    <row r="803">
      <c r="A803" s="211"/>
      <c r="B803" s="211"/>
      <c r="C803" s="211"/>
      <c r="D803" s="211"/>
      <c r="E803" s="211"/>
      <c r="F803" s="211"/>
      <c r="G803" s="211"/>
      <c r="H803" s="211"/>
      <c r="I803" s="211"/>
      <c r="J803" s="211"/>
      <c r="K803" s="211"/>
      <c r="L803" s="211"/>
      <c r="M803" s="211"/>
      <c r="N803" s="211"/>
      <c r="O803" s="211"/>
      <c r="P803" s="211"/>
      <c r="Q803" s="211"/>
      <c r="R803" s="211"/>
      <c r="S803" s="211"/>
      <c r="T803" s="211"/>
      <c r="U803" s="211"/>
      <c r="V803" s="211"/>
      <c r="W803" s="211"/>
      <c r="X803" s="211"/>
      <c r="Y803" s="211"/>
      <c r="Z803" s="211"/>
      <c r="AA803" s="211"/>
    </row>
    <row r="804">
      <c r="A804" s="211"/>
      <c r="B804" s="211"/>
      <c r="C804" s="211"/>
      <c r="D804" s="211"/>
      <c r="E804" s="211"/>
      <c r="F804" s="211"/>
      <c r="G804" s="211"/>
      <c r="H804" s="211"/>
      <c r="I804" s="211"/>
      <c r="J804" s="211"/>
      <c r="K804" s="211"/>
      <c r="L804" s="211"/>
      <c r="M804" s="211"/>
      <c r="N804" s="211"/>
      <c r="O804" s="211"/>
      <c r="P804" s="211"/>
      <c r="Q804" s="211"/>
      <c r="R804" s="211"/>
      <c r="S804" s="211"/>
      <c r="T804" s="211"/>
      <c r="U804" s="211"/>
      <c r="V804" s="211"/>
      <c r="W804" s="211"/>
      <c r="X804" s="211"/>
      <c r="Y804" s="211"/>
      <c r="Z804" s="211"/>
      <c r="AA804" s="211"/>
    </row>
    <row r="805">
      <c r="A805" s="211"/>
      <c r="B805" s="211"/>
      <c r="C805" s="211"/>
      <c r="D805" s="211"/>
      <c r="E805" s="211"/>
      <c r="F805" s="211"/>
      <c r="G805" s="211"/>
      <c r="H805" s="211"/>
      <c r="I805" s="211"/>
      <c r="J805" s="211"/>
      <c r="K805" s="211"/>
      <c r="L805" s="211"/>
      <c r="M805" s="211"/>
      <c r="N805" s="211"/>
      <c r="O805" s="211"/>
      <c r="P805" s="211"/>
      <c r="Q805" s="211"/>
      <c r="R805" s="211"/>
      <c r="S805" s="211"/>
      <c r="T805" s="211"/>
      <c r="U805" s="211"/>
      <c r="V805" s="211"/>
      <c r="W805" s="211"/>
      <c r="X805" s="211"/>
      <c r="Y805" s="211"/>
      <c r="Z805" s="211"/>
      <c r="AA805" s="211"/>
    </row>
    <row r="806">
      <c r="A806" s="211"/>
      <c r="B806" s="211"/>
      <c r="C806" s="211"/>
      <c r="D806" s="211"/>
      <c r="E806" s="211"/>
      <c r="F806" s="211"/>
      <c r="G806" s="211"/>
      <c r="H806" s="211"/>
      <c r="I806" s="211"/>
      <c r="J806" s="211"/>
      <c r="K806" s="211"/>
      <c r="L806" s="211"/>
      <c r="M806" s="211"/>
      <c r="N806" s="211"/>
      <c r="O806" s="211"/>
      <c r="P806" s="211"/>
      <c r="Q806" s="211"/>
      <c r="R806" s="211"/>
      <c r="S806" s="211"/>
      <c r="T806" s="211"/>
      <c r="U806" s="211"/>
      <c r="V806" s="211"/>
      <c r="W806" s="211"/>
      <c r="X806" s="211"/>
      <c r="Y806" s="211"/>
      <c r="Z806" s="211"/>
      <c r="AA806" s="211"/>
    </row>
    <row r="807">
      <c r="A807" s="211"/>
      <c r="B807" s="211"/>
      <c r="C807" s="211"/>
      <c r="D807" s="211"/>
      <c r="E807" s="211"/>
      <c r="F807" s="211"/>
      <c r="G807" s="211"/>
      <c r="H807" s="211"/>
      <c r="I807" s="211"/>
      <c r="J807" s="211"/>
      <c r="K807" s="211"/>
      <c r="L807" s="211"/>
      <c r="M807" s="211"/>
      <c r="N807" s="211"/>
      <c r="O807" s="211"/>
      <c r="P807" s="211"/>
      <c r="Q807" s="211"/>
      <c r="R807" s="211"/>
      <c r="S807" s="211"/>
      <c r="T807" s="211"/>
      <c r="U807" s="211"/>
      <c r="V807" s="211"/>
      <c r="W807" s="211"/>
      <c r="X807" s="211"/>
      <c r="Y807" s="211"/>
      <c r="Z807" s="211"/>
      <c r="AA807" s="211"/>
    </row>
    <row r="808">
      <c r="A808" s="211"/>
      <c r="B808" s="211"/>
      <c r="C808" s="211"/>
      <c r="D808" s="211"/>
      <c r="E808" s="211"/>
      <c r="F808" s="211"/>
      <c r="G808" s="211"/>
      <c r="H808" s="211"/>
      <c r="I808" s="211"/>
      <c r="J808" s="211"/>
      <c r="K808" s="211"/>
      <c r="L808" s="211"/>
      <c r="M808" s="211"/>
      <c r="N808" s="211"/>
      <c r="O808" s="211"/>
      <c r="P808" s="211"/>
      <c r="Q808" s="211"/>
      <c r="R808" s="211"/>
      <c r="S808" s="211"/>
      <c r="T808" s="211"/>
      <c r="U808" s="211"/>
      <c r="V808" s="211"/>
      <c r="W808" s="211"/>
      <c r="X808" s="211"/>
      <c r="Y808" s="211"/>
      <c r="Z808" s="211"/>
      <c r="AA808" s="211"/>
    </row>
    <row r="809">
      <c r="A809" s="211"/>
      <c r="B809" s="211"/>
      <c r="C809" s="211"/>
      <c r="D809" s="211"/>
      <c r="E809" s="211"/>
      <c r="F809" s="211"/>
      <c r="G809" s="211"/>
      <c r="H809" s="211"/>
      <c r="I809" s="211"/>
      <c r="J809" s="211"/>
      <c r="K809" s="211"/>
      <c r="L809" s="211"/>
      <c r="M809" s="211"/>
      <c r="N809" s="211"/>
      <c r="O809" s="211"/>
      <c r="P809" s="211"/>
      <c r="Q809" s="211"/>
      <c r="R809" s="211"/>
      <c r="S809" s="211"/>
      <c r="T809" s="211"/>
      <c r="U809" s="211"/>
      <c r="V809" s="211"/>
      <c r="W809" s="211"/>
      <c r="X809" s="211"/>
      <c r="Y809" s="211"/>
      <c r="Z809" s="211"/>
      <c r="AA809" s="211"/>
    </row>
    <row r="810">
      <c r="A810" s="211"/>
      <c r="B810" s="211"/>
      <c r="C810" s="211"/>
      <c r="D810" s="211"/>
      <c r="E810" s="211"/>
      <c r="F810" s="211"/>
      <c r="G810" s="211"/>
      <c r="H810" s="211"/>
      <c r="I810" s="211"/>
      <c r="J810" s="211"/>
      <c r="K810" s="211"/>
      <c r="L810" s="211"/>
      <c r="M810" s="211"/>
      <c r="N810" s="211"/>
      <c r="O810" s="211"/>
      <c r="P810" s="211"/>
      <c r="Q810" s="211"/>
      <c r="R810" s="211"/>
      <c r="S810" s="211"/>
      <c r="T810" s="211"/>
      <c r="U810" s="211"/>
      <c r="V810" s="211"/>
      <c r="W810" s="211"/>
      <c r="X810" s="211"/>
      <c r="Y810" s="211"/>
      <c r="Z810" s="211"/>
      <c r="AA810" s="211"/>
    </row>
    <row r="811">
      <c r="A811" s="211"/>
      <c r="B811" s="211"/>
      <c r="C811" s="211"/>
      <c r="D811" s="211"/>
      <c r="E811" s="211"/>
      <c r="F811" s="211"/>
      <c r="G811" s="211"/>
      <c r="H811" s="211"/>
      <c r="I811" s="211"/>
      <c r="J811" s="211"/>
      <c r="K811" s="211"/>
      <c r="L811" s="211"/>
      <c r="M811" s="211"/>
      <c r="N811" s="211"/>
      <c r="O811" s="211"/>
      <c r="P811" s="211"/>
      <c r="Q811" s="211"/>
      <c r="R811" s="211"/>
      <c r="S811" s="211"/>
      <c r="T811" s="211"/>
      <c r="U811" s="211"/>
      <c r="V811" s="211"/>
      <c r="W811" s="211"/>
      <c r="X811" s="211"/>
      <c r="Y811" s="211"/>
      <c r="Z811" s="211"/>
      <c r="AA811" s="211"/>
    </row>
    <row r="812">
      <c r="A812" s="211"/>
      <c r="B812" s="211"/>
      <c r="C812" s="211"/>
      <c r="D812" s="211"/>
      <c r="E812" s="211"/>
      <c r="F812" s="211"/>
      <c r="G812" s="211"/>
      <c r="H812" s="211"/>
      <c r="I812" s="211"/>
      <c r="J812" s="211"/>
      <c r="K812" s="211"/>
      <c r="L812" s="211"/>
      <c r="M812" s="211"/>
      <c r="N812" s="211"/>
      <c r="O812" s="211"/>
      <c r="P812" s="211"/>
      <c r="Q812" s="211"/>
      <c r="R812" s="211"/>
      <c r="S812" s="211"/>
      <c r="T812" s="211"/>
      <c r="U812" s="211"/>
      <c r="V812" s="211"/>
      <c r="W812" s="211"/>
      <c r="X812" s="211"/>
      <c r="Y812" s="211"/>
      <c r="Z812" s="211"/>
      <c r="AA812" s="211"/>
    </row>
    <row r="813">
      <c r="A813" s="211"/>
      <c r="B813" s="211"/>
      <c r="C813" s="211"/>
      <c r="D813" s="211"/>
      <c r="E813" s="211"/>
      <c r="F813" s="211"/>
      <c r="G813" s="211"/>
      <c r="H813" s="211"/>
      <c r="I813" s="211"/>
      <c r="J813" s="211"/>
      <c r="K813" s="211"/>
      <c r="L813" s="211"/>
      <c r="M813" s="211"/>
      <c r="N813" s="211"/>
      <c r="O813" s="211"/>
      <c r="P813" s="211"/>
      <c r="Q813" s="211"/>
      <c r="R813" s="211"/>
      <c r="S813" s="211"/>
      <c r="T813" s="211"/>
      <c r="U813" s="211"/>
      <c r="V813" s="211"/>
      <c r="W813" s="211"/>
      <c r="X813" s="211"/>
      <c r="Y813" s="211"/>
      <c r="Z813" s="211"/>
      <c r="AA813" s="211"/>
    </row>
    <row r="814">
      <c r="A814" s="211"/>
      <c r="B814" s="211"/>
      <c r="C814" s="211"/>
      <c r="D814" s="211"/>
      <c r="E814" s="211"/>
      <c r="F814" s="211"/>
      <c r="G814" s="211"/>
      <c r="H814" s="211"/>
      <c r="I814" s="211"/>
      <c r="J814" s="211"/>
      <c r="K814" s="211"/>
      <c r="L814" s="211"/>
      <c r="M814" s="211"/>
      <c r="N814" s="211"/>
      <c r="O814" s="211"/>
      <c r="P814" s="211"/>
      <c r="Q814" s="211"/>
      <c r="R814" s="211"/>
      <c r="S814" s="211"/>
      <c r="T814" s="211"/>
      <c r="U814" s="211"/>
      <c r="V814" s="211"/>
      <c r="W814" s="211"/>
      <c r="X814" s="211"/>
      <c r="Y814" s="211"/>
      <c r="Z814" s="211"/>
      <c r="AA814" s="211"/>
    </row>
    <row r="815">
      <c r="A815" s="211"/>
      <c r="B815" s="211"/>
      <c r="C815" s="211"/>
      <c r="D815" s="211"/>
      <c r="E815" s="211"/>
      <c r="F815" s="211"/>
      <c r="G815" s="211"/>
      <c r="H815" s="211"/>
      <c r="I815" s="211"/>
      <c r="J815" s="211"/>
      <c r="K815" s="211"/>
      <c r="L815" s="211"/>
      <c r="M815" s="211"/>
      <c r="N815" s="211"/>
      <c r="O815" s="211"/>
      <c r="P815" s="211"/>
      <c r="Q815" s="211"/>
      <c r="R815" s="211"/>
      <c r="S815" s="211"/>
      <c r="T815" s="211"/>
      <c r="U815" s="211"/>
      <c r="V815" s="211"/>
      <c r="W815" s="211"/>
      <c r="X815" s="211"/>
      <c r="Y815" s="211"/>
      <c r="Z815" s="211"/>
      <c r="AA815" s="211"/>
    </row>
    <row r="816">
      <c r="A816" s="211"/>
      <c r="B816" s="211"/>
      <c r="C816" s="211"/>
      <c r="D816" s="211"/>
      <c r="E816" s="211"/>
      <c r="F816" s="211"/>
      <c r="G816" s="211"/>
      <c r="H816" s="211"/>
      <c r="I816" s="211"/>
      <c r="J816" s="211"/>
      <c r="K816" s="211"/>
      <c r="L816" s="211"/>
      <c r="M816" s="211"/>
      <c r="N816" s="211"/>
      <c r="O816" s="211"/>
      <c r="P816" s="211"/>
      <c r="Q816" s="211"/>
      <c r="R816" s="211"/>
      <c r="S816" s="211"/>
      <c r="T816" s="211"/>
      <c r="U816" s="211"/>
      <c r="V816" s="211"/>
      <c r="W816" s="211"/>
      <c r="X816" s="211"/>
      <c r="Y816" s="211"/>
      <c r="Z816" s="211"/>
      <c r="AA816" s="211"/>
    </row>
    <row r="817">
      <c r="A817" s="211"/>
      <c r="B817" s="211"/>
      <c r="C817" s="211"/>
      <c r="D817" s="211"/>
      <c r="E817" s="211"/>
      <c r="F817" s="211"/>
      <c r="G817" s="211"/>
      <c r="H817" s="211"/>
      <c r="I817" s="211"/>
      <c r="J817" s="211"/>
      <c r="K817" s="211"/>
      <c r="L817" s="211"/>
      <c r="M817" s="211"/>
      <c r="N817" s="211"/>
      <c r="O817" s="211"/>
      <c r="P817" s="211"/>
      <c r="Q817" s="211"/>
      <c r="R817" s="211"/>
      <c r="S817" s="211"/>
      <c r="T817" s="211"/>
      <c r="U817" s="211"/>
      <c r="V817" s="211"/>
      <c r="W817" s="211"/>
      <c r="X817" s="211"/>
      <c r="Y817" s="211"/>
      <c r="Z817" s="211"/>
      <c r="AA817" s="211"/>
    </row>
    <row r="818">
      <c r="A818" s="211"/>
      <c r="B818" s="211"/>
      <c r="C818" s="211"/>
      <c r="D818" s="211"/>
      <c r="E818" s="211"/>
      <c r="F818" s="211"/>
      <c r="G818" s="211"/>
      <c r="H818" s="211"/>
      <c r="I818" s="211"/>
      <c r="J818" s="211"/>
      <c r="K818" s="211"/>
      <c r="L818" s="211"/>
      <c r="M818" s="211"/>
      <c r="N818" s="211"/>
      <c r="O818" s="211"/>
      <c r="P818" s="211"/>
      <c r="Q818" s="211"/>
      <c r="R818" s="211"/>
      <c r="S818" s="211"/>
      <c r="T818" s="211"/>
      <c r="U818" s="211"/>
      <c r="V818" s="211"/>
      <c r="W818" s="211"/>
      <c r="X818" s="211"/>
      <c r="Y818" s="211"/>
      <c r="Z818" s="211"/>
      <c r="AA818" s="211"/>
    </row>
    <row r="819">
      <c r="A819" s="211"/>
      <c r="B819" s="211"/>
      <c r="C819" s="211"/>
      <c r="D819" s="211"/>
      <c r="E819" s="211"/>
      <c r="F819" s="211"/>
      <c r="G819" s="211"/>
      <c r="H819" s="211"/>
      <c r="I819" s="211"/>
      <c r="J819" s="211"/>
      <c r="K819" s="211"/>
      <c r="L819" s="211"/>
      <c r="M819" s="211"/>
      <c r="N819" s="211"/>
      <c r="O819" s="211"/>
      <c r="P819" s="211"/>
      <c r="Q819" s="211"/>
      <c r="R819" s="211"/>
      <c r="S819" s="211"/>
      <c r="T819" s="211"/>
      <c r="U819" s="211"/>
      <c r="V819" s="211"/>
      <c r="W819" s="211"/>
      <c r="X819" s="211"/>
      <c r="Y819" s="211"/>
      <c r="Z819" s="211"/>
      <c r="AA819" s="211"/>
    </row>
    <row r="820">
      <c r="A820" s="211"/>
      <c r="B820" s="211"/>
      <c r="C820" s="211"/>
      <c r="D820" s="211"/>
      <c r="E820" s="211"/>
      <c r="F820" s="211"/>
      <c r="G820" s="211"/>
      <c r="H820" s="211"/>
      <c r="I820" s="211"/>
      <c r="J820" s="211"/>
      <c r="K820" s="211"/>
      <c r="L820" s="211"/>
      <c r="M820" s="211"/>
      <c r="N820" s="211"/>
      <c r="O820" s="211"/>
      <c r="P820" s="211"/>
      <c r="Q820" s="211"/>
      <c r="R820" s="211"/>
      <c r="S820" s="211"/>
      <c r="T820" s="211"/>
      <c r="U820" s="211"/>
      <c r="V820" s="211"/>
      <c r="W820" s="211"/>
      <c r="X820" s="211"/>
      <c r="Y820" s="211"/>
      <c r="Z820" s="211"/>
      <c r="AA820" s="211"/>
    </row>
    <row r="821">
      <c r="A821" s="211"/>
      <c r="B821" s="211"/>
      <c r="C821" s="211"/>
      <c r="D821" s="211"/>
      <c r="E821" s="211"/>
      <c r="F821" s="211"/>
      <c r="G821" s="211"/>
      <c r="H821" s="211"/>
      <c r="I821" s="211"/>
      <c r="J821" s="211"/>
      <c r="K821" s="211"/>
      <c r="L821" s="211"/>
      <c r="M821" s="211"/>
      <c r="N821" s="211"/>
      <c r="O821" s="211"/>
      <c r="P821" s="211"/>
      <c r="Q821" s="211"/>
      <c r="R821" s="211"/>
      <c r="S821" s="211"/>
      <c r="T821" s="211"/>
      <c r="U821" s="211"/>
      <c r="V821" s="211"/>
      <c r="W821" s="211"/>
      <c r="X821" s="211"/>
      <c r="Y821" s="211"/>
      <c r="Z821" s="211"/>
      <c r="AA821" s="211"/>
    </row>
    <row r="822">
      <c r="A822" s="211"/>
      <c r="B822" s="211"/>
      <c r="C822" s="211"/>
      <c r="D822" s="211"/>
      <c r="E822" s="211"/>
      <c r="F822" s="211"/>
      <c r="G822" s="211"/>
      <c r="H822" s="211"/>
      <c r="I822" s="211"/>
      <c r="J822" s="211"/>
      <c r="K822" s="211"/>
      <c r="L822" s="211"/>
      <c r="M822" s="211"/>
      <c r="N822" s="211"/>
      <c r="O822" s="211"/>
      <c r="P822" s="211"/>
      <c r="Q822" s="211"/>
      <c r="R822" s="211"/>
      <c r="S822" s="211"/>
      <c r="T822" s="211"/>
      <c r="U822" s="211"/>
      <c r="V822" s="211"/>
      <c r="W822" s="211"/>
      <c r="X822" s="211"/>
      <c r="Y822" s="211"/>
      <c r="Z822" s="211"/>
      <c r="AA822" s="211"/>
    </row>
    <row r="823">
      <c r="A823" s="211"/>
      <c r="B823" s="211"/>
      <c r="C823" s="211"/>
      <c r="D823" s="211"/>
      <c r="E823" s="211"/>
      <c r="F823" s="211"/>
      <c r="G823" s="211"/>
      <c r="H823" s="211"/>
      <c r="I823" s="211"/>
      <c r="J823" s="211"/>
      <c r="K823" s="211"/>
      <c r="L823" s="211"/>
      <c r="M823" s="211"/>
      <c r="N823" s="211"/>
      <c r="O823" s="211"/>
      <c r="P823" s="211"/>
      <c r="Q823" s="211"/>
      <c r="R823" s="211"/>
      <c r="S823" s="211"/>
      <c r="T823" s="211"/>
      <c r="U823" s="211"/>
      <c r="V823" s="211"/>
      <c r="W823" s="211"/>
      <c r="X823" s="211"/>
      <c r="Y823" s="211"/>
      <c r="Z823" s="211"/>
      <c r="AA823" s="211"/>
    </row>
    <row r="824">
      <c r="A824" s="211"/>
      <c r="B824" s="211"/>
      <c r="C824" s="211"/>
      <c r="D824" s="211"/>
      <c r="E824" s="211"/>
      <c r="F824" s="211"/>
      <c r="G824" s="211"/>
      <c r="H824" s="211"/>
      <c r="I824" s="211"/>
      <c r="J824" s="211"/>
      <c r="K824" s="211"/>
      <c r="L824" s="211"/>
      <c r="M824" s="211"/>
      <c r="N824" s="211"/>
      <c r="O824" s="211"/>
      <c r="P824" s="211"/>
      <c r="Q824" s="211"/>
      <c r="R824" s="211"/>
      <c r="S824" s="211"/>
      <c r="T824" s="211"/>
      <c r="U824" s="211"/>
      <c r="V824" s="211"/>
      <c r="W824" s="211"/>
      <c r="X824" s="211"/>
      <c r="Y824" s="211"/>
      <c r="Z824" s="211"/>
      <c r="AA824" s="211"/>
    </row>
    <row r="825">
      <c r="A825" s="211"/>
      <c r="B825" s="211"/>
      <c r="C825" s="211"/>
      <c r="D825" s="211"/>
      <c r="E825" s="211"/>
      <c r="F825" s="211"/>
      <c r="G825" s="211"/>
      <c r="H825" s="211"/>
      <c r="I825" s="211"/>
      <c r="J825" s="211"/>
      <c r="K825" s="211"/>
      <c r="L825" s="211"/>
      <c r="M825" s="211"/>
      <c r="N825" s="211"/>
      <c r="O825" s="211"/>
      <c r="P825" s="211"/>
      <c r="Q825" s="211"/>
      <c r="R825" s="211"/>
      <c r="S825" s="211"/>
      <c r="T825" s="211"/>
      <c r="U825" s="211"/>
      <c r="V825" s="211"/>
      <c r="W825" s="211"/>
      <c r="X825" s="211"/>
      <c r="Y825" s="211"/>
      <c r="Z825" s="211"/>
      <c r="AA825" s="211"/>
    </row>
    <row r="826">
      <c r="A826" s="211"/>
      <c r="B826" s="211"/>
      <c r="C826" s="211"/>
      <c r="D826" s="211"/>
      <c r="E826" s="211"/>
      <c r="F826" s="211"/>
      <c r="G826" s="211"/>
      <c r="H826" s="211"/>
      <c r="I826" s="211"/>
      <c r="J826" s="211"/>
      <c r="K826" s="211"/>
      <c r="L826" s="211"/>
      <c r="M826" s="211"/>
      <c r="N826" s="211"/>
      <c r="O826" s="211"/>
      <c r="P826" s="211"/>
      <c r="Q826" s="211"/>
      <c r="R826" s="211"/>
      <c r="S826" s="211"/>
      <c r="T826" s="211"/>
      <c r="U826" s="211"/>
      <c r="V826" s="211"/>
      <c r="W826" s="211"/>
      <c r="X826" s="211"/>
      <c r="Y826" s="211"/>
      <c r="Z826" s="211"/>
      <c r="AA826" s="211"/>
    </row>
    <row r="827">
      <c r="A827" s="211"/>
      <c r="B827" s="211"/>
      <c r="C827" s="211"/>
      <c r="D827" s="211"/>
      <c r="E827" s="211"/>
      <c r="F827" s="211"/>
      <c r="G827" s="211"/>
      <c r="H827" s="211"/>
      <c r="I827" s="211"/>
      <c r="J827" s="211"/>
      <c r="K827" s="211"/>
      <c r="L827" s="211"/>
      <c r="M827" s="211"/>
      <c r="N827" s="211"/>
      <c r="O827" s="211"/>
      <c r="P827" s="211"/>
      <c r="Q827" s="211"/>
      <c r="R827" s="211"/>
      <c r="S827" s="211"/>
      <c r="T827" s="211"/>
      <c r="U827" s="211"/>
      <c r="V827" s="211"/>
      <c r="W827" s="211"/>
      <c r="X827" s="211"/>
      <c r="Y827" s="211"/>
      <c r="Z827" s="211"/>
      <c r="AA827" s="211"/>
    </row>
    <row r="828">
      <c r="A828" s="211"/>
      <c r="B828" s="211"/>
      <c r="C828" s="211"/>
      <c r="D828" s="211"/>
      <c r="E828" s="211"/>
      <c r="F828" s="211"/>
      <c r="G828" s="211"/>
      <c r="H828" s="211"/>
      <c r="I828" s="211"/>
      <c r="J828" s="211"/>
      <c r="K828" s="211"/>
      <c r="L828" s="211"/>
      <c r="M828" s="211"/>
      <c r="N828" s="211"/>
      <c r="O828" s="211"/>
      <c r="P828" s="211"/>
      <c r="Q828" s="211"/>
      <c r="R828" s="211"/>
      <c r="S828" s="211"/>
      <c r="T828" s="211"/>
      <c r="U828" s="211"/>
      <c r="V828" s="211"/>
      <c r="W828" s="211"/>
      <c r="X828" s="211"/>
      <c r="Y828" s="211"/>
      <c r="Z828" s="211"/>
      <c r="AA828" s="211"/>
    </row>
    <row r="829">
      <c r="A829" s="211"/>
      <c r="B829" s="211"/>
      <c r="C829" s="211"/>
      <c r="D829" s="211"/>
      <c r="E829" s="211"/>
      <c r="F829" s="211"/>
      <c r="G829" s="211"/>
      <c r="H829" s="211"/>
      <c r="I829" s="211"/>
      <c r="J829" s="211"/>
      <c r="K829" s="211"/>
      <c r="L829" s="211"/>
      <c r="M829" s="211"/>
      <c r="N829" s="211"/>
      <c r="O829" s="211"/>
      <c r="P829" s="211"/>
      <c r="Q829" s="211"/>
      <c r="R829" s="211"/>
      <c r="S829" s="211"/>
      <c r="T829" s="211"/>
      <c r="U829" s="211"/>
      <c r="V829" s="211"/>
      <c r="W829" s="211"/>
      <c r="X829" s="211"/>
      <c r="Y829" s="211"/>
      <c r="Z829" s="211"/>
      <c r="AA829" s="211"/>
    </row>
    <row r="830">
      <c r="A830" s="211"/>
      <c r="B830" s="211"/>
      <c r="C830" s="211"/>
      <c r="D830" s="211"/>
      <c r="E830" s="211"/>
      <c r="F830" s="211"/>
      <c r="G830" s="211"/>
      <c r="H830" s="211"/>
      <c r="I830" s="211"/>
      <c r="J830" s="211"/>
      <c r="K830" s="211"/>
      <c r="L830" s="211"/>
      <c r="M830" s="211"/>
      <c r="N830" s="211"/>
      <c r="O830" s="211"/>
      <c r="P830" s="211"/>
      <c r="Q830" s="211"/>
      <c r="R830" s="211"/>
      <c r="S830" s="211"/>
      <c r="T830" s="211"/>
      <c r="U830" s="211"/>
      <c r="V830" s="211"/>
      <c r="W830" s="211"/>
      <c r="X830" s="211"/>
      <c r="Y830" s="211"/>
      <c r="Z830" s="211"/>
      <c r="AA830" s="211"/>
    </row>
    <row r="831">
      <c r="A831" s="211"/>
      <c r="B831" s="211"/>
      <c r="C831" s="211"/>
      <c r="D831" s="211"/>
      <c r="E831" s="211"/>
      <c r="F831" s="211"/>
      <c r="G831" s="211"/>
      <c r="H831" s="211"/>
      <c r="I831" s="211"/>
      <c r="J831" s="211"/>
      <c r="K831" s="211"/>
      <c r="L831" s="211"/>
      <c r="M831" s="211"/>
      <c r="N831" s="211"/>
      <c r="O831" s="211"/>
      <c r="P831" s="211"/>
      <c r="Q831" s="211"/>
      <c r="R831" s="211"/>
      <c r="S831" s="211"/>
      <c r="T831" s="211"/>
      <c r="U831" s="211"/>
      <c r="V831" s="211"/>
      <c r="W831" s="211"/>
      <c r="X831" s="211"/>
      <c r="Y831" s="211"/>
      <c r="Z831" s="211"/>
      <c r="AA831" s="211"/>
    </row>
    <row r="832">
      <c r="A832" s="211"/>
      <c r="B832" s="211"/>
      <c r="C832" s="211"/>
      <c r="D832" s="211"/>
      <c r="E832" s="211"/>
      <c r="F832" s="211"/>
      <c r="G832" s="211"/>
      <c r="H832" s="211"/>
      <c r="I832" s="211"/>
      <c r="J832" s="211"/>
      <c r="K832" s="211"/>
      <c r="L832" s="211"/>
      <c r="M832" s="211"/>
      <c r="N832" s="211"/>
      <c r="O832" s="211"/>
      <c r="P832" s="211"/>
      <c r="Q832" s="211"/>
      <c r="R832" s="211"/>
      <c r="S832" s="211"/>
      <c r="T832" s="211"/>
      <c r="U832" s="211"/>
      <c r="V832" s="211"/>
      <c r="W832" s="211"/>
      <c r="X832" s="211"/>
      <c r="Y832" s="211"/>
      <c r="Z832" s="211"/>
      <c r="AA832" s="211"/>
    </row>
    <row r="833">
      <c r="A833" s="211"/>
      <c r="B833" s="211"/>
      <c r="C833" s="211"/>
      <c r="D833" s="211"/>
      <c r="E833" s="211"/>
      <c r="F833" s="211"/>
      <c r="G833" s="211"/>
      <c r="H833" s="211"/>
      <c r="I833" s="211"/>
      <c r="J833" s="211"/>
      <c r="K833" s="211"/>
      <c r="L833" s="211"/>
      <c r="M833" s="211"/>
      <c r="N833" s="211"/>
      <c r="O833" s="211"/>
      <c r="P833" s="211"/>
      <c r="Q833" s="211"/>
      <c r="R833" s="211"/>
      <c r="S833" s="211"/>
      <c r="T833" s="211"/>
      <c r="U833" s="211"/>
      <c r="V833" s="211"/>
      <c r="W833" s="211"/>
      <c r="X833" s="211"/>
      <c r="Y833" s="211"/>
      <c r="Z833" s="211"/>
      <c r="AA833" s="211"/>
    </row>
    <row r="834">
      <c r="A834" s="211"/>
      <c r="B834" s="211"/>
      <c r="C834" s="211"/>
      <c r="D834" s="211"/>
      <c r="E834" s="211"/>
      <c r="F834" s="211"/>
      <c r="G834" s="211"/>
      <c r="H834" s="211"/>
      <c r="I834" s="211"/>
      <c r="J834" s="211"/>
      <c r="K834" s="211"/>
      <c r="L834" s="211"/>
      <c r="M834" s="211"/>
      <c r="N834" s="211"/>
      <c r="O834" s="211"/>
      <c r="P834" s="211"/>
      <c r="Q834" s="211"/>
      <c r="R834" s="211"/>
      <c r="S834" s="211"/>
      <c r="T834" s="211"/>
      <c r="U834" s="211"/>
      <c r="V834" s="211"/>
      <c r="W834" s="211"/>
      <c r="X834" s="211"/>
      <c r="Y834" s="211"/>
      <c r="Z834" s="211"/>
      <c r="AA834" s="211"/>
    </row>
    <row r="835">
      <c r="A835" s="211"/>
      <c r="B835" s="211"/>
      <c r="C835" s="211"/>
      <c r="D835" s="211"/>
      <c r="E835" s="211"/>
      <c r="F835" s="211"/>
      <c r="G835" s="211"/>
      <c r="H835" s="211"/>
      <c r="I835" s="211"/>
      <c r="J835" s="211"/>
      <c r="K835" s="211"/>
      <c r="L835" s="211"/>
      <c r="M835" s="211"/>
      <c r="N835" s="211"/>
      <c r="O835" s="211"/>
      <c r="P835" s="211"/>
      <c r="Q835" s="211"/>
      <c r="R835" s="211"/>
      <c r="S835" s="211"/>
      <c r="T835" s="211"/>
      <c r="U835" s="211"/>
      <c r="V835" s="211"/>
      <c r="W835" s="211"/>
      <c r="X835" s="211"/>
      <c r="Y835" s="211"/>
      <c r="Z835" s="211"/>
      <c r="AA835" s="211"/>
    </row>
    <row r="836">
      <c r="A836" s="211"/>
      <c r="B836" s="211"/>
      <c r="C836" s="211"/>
      <c r="D836" s="211"/>
      <c r="E836" s="211"/>
      <c r="F836" s="211"/>
      <c r="G836" s="211"/>
      <c r="H836" s="211"/>
      <c r="I836" s="211"/>
      <c r="J836" s="211"/>
      <c r="K836" s="211"/>
      <c r="L836" s="211"/>
      <c r="M836" s="211"/>
      <c r="N836" s="211"/>
      <c r="O836" s="211"/>
      <c r="P836" s="211"/>
      <c r="Q836" s="211"/>
      <c r="R836" s="211"/>
      <c r="S836" s="211"/>
      <c r="T836" s="211"/>
      <c r="U836" s="211"/>
      <c r="V836" s="211"/>
      <c r="W836" s="211"/>
      <c r="X836" s="211"/>
      <c r="Y836" s="211"/>
      <c r="Z836" s="211"/>
      <c r="AA836" s="211"/>
    </row>
    <row r="837">
      <c r="A837" s="211"/>
      <c r="B837" s="211"/>
      <c r="C837" s="211"/>
      <c r="D837" s="211"/>
      <c r="E837" s="211"/>
      <c r="F837" s="211"/>
      <c r="G837" s="211"/>
      <c r="H837" s="211"/>
      <c r="I837" s="211"/>
      <c r="J837" s="211"/>
      <c r="K837" s="211"/>
      <c r="L837" s="211"/>
      <c r="M837" s="211"/>
      <c r="N837" s="211"/>
      <c r="O837" s="211"/>
      <c r="P837" s="211"/>
      <c r="Q837" s="211"/>
      <c r="R837" s="211"/>
      <c r="S837" s="211"/>
      <c r="T837" s="211"/>
      <c r="U837" s="211"/>
      <c r="V837" s="211"/>
      <c r="W837" s="211"/>
      <c r="X837" s="211"/>
      <c r="Y837" s="211"/>
      <c r="Z837" s="211"/>
      <c r="AA837" s="211"/>
    </row>
    <row r="838">
      <c r="A838" s="211"/>
      <c r="B838" s="211"/>
      <c r="C838" s="211"/>
      <c r="D838" s="211"/>
      <c r="E838" s="211"/>
      <c r="F838" s="211"/>
      <c r="G838" s="211"/>
      <c r="H838" s="211"/>
      <c r="I838" s="211"/>
      <c r="J838" s="211"/>
      <c r="K838" s="211"/>
      <c r="L838" s="211"/>
      <c r="M838" s="211"/>
      <c r="N838" s="211"/>
      <c r="O838" s="211"/>
      <c r="P838" s="211"/>
      <c r="Q838" s="211"/>
      <c r="R838" s="211"/>
      <c r="S838" s="211"/>
      <c r="T838" s="211"/>
      <c r="U838" s="211"/>
      <c r="V838" s="211"/>
      <c r="W838" s="211"/>
      <c r="X838" s="211"/>
      <c r="Y838" s="211"/>
      <c r="Z838" s="211"/>
      <c r="AA838" s="211"/>
    </row>
    <row r="839">
      <c r="A839" s="211"/>
      <c r="B839" s="211"/>
      <c r="C839" s="211"/>
      <c r="D839" s="211"/>
      <c r="E839" s="211"/>
      <c r="F839" s="211"/>
      <c r="G839" s="211"/>
      <c r="H839" s="211"/>
      <c r="I839" s="211"/>
      <c r="J839" s="211"/>
      <c r="K839" s="211"/>
      <c r="L839" s="211"/>
      <c r="M839" s="211"/>
      <c r="N839" s="211"/>
      <c r="O839" s="211"/>
      <c r="P839" s="211"/>
      <c r="Q839" s="211"/>
      <c r="R839" s="211"/>
      <c r="S839" s="211"/>
      <c r="T839" s="211"/>
      <c r="U839" s="211"/>
      <c r="V839" s="211"/>
      <c r="W839" s="211"/>
      <c r="X839" s="211"/>
      <c r="Y839" s="211"/>
      <c r="Z839" s="211"/>
      <c r="AA839" s="211"/>
    </row>
    <row r="840">
      <c r="A840" s="211"/>
      <c r="B840" s="211"/>
      <c r="C840" s="211"/>
      <c r="D840" s="211"/>
      <c r="E840" s="211"/>
      <c r="F840" s="211"/>
      <c r="G840" s="211"/>
      <c r="H840" s="211"/>
      <c r="I840" s="211"/>
      <c r="J840" s="211"/>
      <c r="K840" s="211"/>
      <c r="L840" s="211"/>
      <c r="M840" s="211"/>
      <c r="N840" s="211"/>
      <c r="O840" s="211"/>
      <c r="P840" s="211"/>
      <c r="Q840" s="211"/>
      <c r="R840" s="211"/>
      <c r="S840" s="211"/>
      <c r="T840" s="211"/>
      <c r="U840" s="211"/>
      <c r="V840" s="211"/>
      <c r="W840" s="211"/>
      <c r="X840" s="211"/>
      <c r="Y840" s="211"/>
      <c r="Z840" s="211"/>
      <c r="AA840" s="211"/>
    </row>
    <row r="841">
      <c r="A841" s="211"/>
      <c r="B841" s="211"/>
      <c r="C841" s="211"/>
      <c r="D841" s="211"/>
      <c r="E841" s="211"/>
      <c r="F841" s="211"/>
      <c r="G841" s="211"/>
      <c r="H841" s="211"/>
      <c r="I841" s="211"/>
      <c r="J841" s="211"/>
      <c r="K841" s="211"/>
      <c r="L841" s="211"/>
      <c r="M841" s="211"/>
      <c r="N841" s="211"/>
      <c r="O841" s="211"/>
      <c r="P841" s="211"/>
      <c r="Q841" s="211"/>
      <c r="R841" s="211"/>
      <c r="S841" s="211"/>
      <c r="T841" s="211"/>
      <c r="U841" s="211"/>
      <c r="V841" s="211"/>
      <c r="W841" s="211"/>
      <c r="X841" s="211"/>
      <c r="Y841" s="211"/>
      <c r="Z841" s="211"/>
      <c r="AA841" s="211"/>
    </row>
    <row r="842">
      <c r="A842" s="211"/>
      <c r="B842" s="211"/>
      <c r="C842" s="211"/>
      <c r="D842" s="211"/>
      <c r="E842" s="211"/>
      <c r="F842" s="211"/>
      <c r="G842" s="211"/>
      <c r="H842" s="211"/>
      <c r="I842" s="211"/>
      <c r="J842" s="211"/>
      <c r="K842" s="211"/>
      <c r="L842" s="211"/>
      <c r="M842" s="211"/>
      <c r="N842" s="211"/>
      <c r="O842" s="211"/>
      <c r="P842" s="211"/>
      <c r="Q842" s="211"/>
      <c r="R842" s="211"/>
      <c r="S842" s="211"/>
      <c r="T842" s="211"/>
      <c r="U842" s="211"/>
      <c r="V842" s="211"/>
      <c r="W842" s="211"/>
      <c r="X842" s="211"/>
      <c r="Y842" s="211"/>
      <c r="Z842" s="211"/>
      <c r="AA842" s="211"/>
    </row>
    <row r="843">
      <c r="A843" s="211"/>
      <c r="B843" s="211"/>
      <c r="C843" s="211"/>
      <c r="D843" s="211"/>
      <c r="E843" s="211"/>
      <c r="F843" s="211"/>
      <c r="G843" s="211"/>
      <c r="H843" s="211"/>
      <c r="I843" s="211"/>
      <c r="J843" s="211"/>
      <c r="K843" s="211"/>
      <c r="L843" s="211"/>
      <c r="M843" s="211"/>
      <c r="N843" s="211"/>
      <c r="O843" s="211"/>
      <c r="P843" s="211"/>
      <c r="Q843" s="211"/>
      <c r="R843" s="211"/>
      <c r="S843" s="211"/>
      <c r="T843" s="211"/>
      <c r="U843" s="211"/>
      <c r="V843" s="211"/>
      <c r="W843" s="211"/>
      <c r="X843" s="211"/>
      <c r="Y843" s="211"/>
      <c r="Z843" s="211"/>
      <c r="AA843" s="211"/>
    </row>
    <row r="844">
      <c r="A844" s="211"/>
      <c r="B844" s="211"/>
      <c r="C844" s="211"/>
      <c r="D844" s="211"/>
      <c r="E844" s="211"/>
      <c r="F844" s="211"/>
      <c r="G844" s="211"/>
      <c r="H844" s="211"/>
      <c r="I844" s="211"/>
      <c r="J844" s="211"/>
      <c r="K844" s="211"/>
      <c r="L844" s="211"/>
      <c r="M844" s="211"/>
      <c r="N844" s="211"/>
      <c r="O844" s="211"/>
      <c r="P844" s="211"/>
      <c r="Q844" s="211"/>
      <c r="R844" s="211"/>
      <c r="S844" s="211"/>
      <c r="T844" s="211"/>
      <c r="U844" s="211"/>
      <c r="V844" s="211"/>
      <c r="W844" s="211"/>
      <c r="X844" s="211"/>
      <c r="Y844" s="211"/>
      <c r="Z844" s="211"/>
      <c r="AA844" s="211"/>
    </row>
    <row r="845">
      <c r="A845" s="211"/>
      <c r="B845" s="211"/>
      <c r="C845" s="211"/>
      <c r="D845" s="211"/>
      <c r="E845" s="211"/>
      <c r="F845" s="211"/>
      <c r="G845" s="211"/>
      <c r="H845" s="211"/>
      <c r="I845" s="211"/>
      <c r="J845" s="211"/>
      <c r="K845" s="211"/>
      <c r="L845" s="211"/>
      <c r="M845" s="211"/>
      <c r="N845" s="211"/>
      <c r="O845" s="211"/>
      <c r="P845" s="211"/>
      <c r="Q845" s="211"/>
      <c r="R845" s="211"/>
      <c r="S845" s="211"/>
      <c r="T845" s="211"/>
      <c r="U845" s="211"/>
      <c r="V845" s="211"/>
      <c r="W845" s="211"/>
      <c r="X845" s="211"/>
      <c r="Y845" s="211"/>
      <c r="Z845" s="211"/>
      <c r="AA845" s="211"/>
    </row>
    <row r="846">
      <c r="A846" s="211"/>
      <c r="B846" s="211"/>
      <c r="C846" s="211"/>
      <c r="D846" s="211"/>
      <c r="E846" s="211"/>
      <c r="F846" s="211"/>
      <c r="G846" s="211"/>
      <c r="H846" s="211"/>
      <c r="I846" s="211"/>
      <c r="J846" s="211"/>
      <c r="K846" s="211"/>
      <c r="L846" s="211"/>
      <c r="M846" s="211"/>
      <c r="N846" s="211"/>
      <c r="O846" s="211"/>
      <c r="P846" s="211"/>
      <c r="Q846" s="211"/>
      <c r="R846" s="211"/>
      <c r="S846" s="211"/>
      <c r="T846" s="211"/>
      <c r="U846" s="211"/>
      <c r="V846" s="211"/>
      <c r="W846" s="211"/>
      <c r="X846" s="211"/>
      <c r="Y846" s="211"/>
      <c r="Z846" s="211"/>
      <c r="AA846" s="211"/>
    </row>
    <row r="847">
      <c r="A847" s="211"/>
      <c r="B847" s="211"/>
      <c r="C847" s="211"/>
      <c r="D847" s="211"/>
      <c r="E847" s="211"/>
      <c r="F847" s="211"/>
      <c r="G847" s="211"/>
      <c r="H847" s="211"/>
      <c r="I847" s="211"/>
      <c r="J847" s="211"/>
      <c r="K847" s="211"/>
      <c r="L847" s="211"/>
      <c r="M847" s="211"/>
      <c r="N847" s="211"/>
      <c r="O847" s="211"/>
      <c r="P847" s="211"/>
      <c r="Q847" s="211"/>
      <c r="R847" s="211"/>
      <c r="S847" s="211"/>
      <c r="T847" s="211"/>
      <c r="U847" s="211"/>
      <c r="V847" s="211"/>
      <c r="W847" s="211"/>
      <c r="X847" s="211"/>
      <c r="Y847" s="211"/>
      <c r="Z847" s="211"/>
      <c r="AA847" s="211"/>
    </row>
    <row r="848">
      <c r="A848" s="211"/>
      <c r="B848" s="211"/>
      <c r="C848" s="211"/>
      <c r="D848" s="211"/>
      <c r="E848" s="211"/>
      <c r="F848" s="211"/>
      <c r="G848" s="211"/>
      <c r="H848" s="211"/>
      <c r="I848" s="211"/>
      <c r="J848" s="211"/>
      <c r="K848" s="211"/>
      <c r="L848" s="211"/>
      <c r="M848" s="211"/>
      <c r="N848" s="211"/>
      <c r="O848" s="211"/>
      <c r="P848" s="211"/>
      <c r="Q848" s="211"/>
      <c r="R848" s="211"/>
      <c r="S848" s="211"/>
      <c r="T848" s="211"/>
      <c r="U848" s="211"/>
      <c r="V848" s="211"/>
      <c r="W848" s="211"/>
      <c r="X848" s="211"/>
      <c r="Y848" s="211"/>
      <c r="Z848" s="211"/>
      <c r="AA848" s="211"/>
    </row>
    <row r="849">
      <c r="A849" s="211"/>
      <c r="B849" s="211"/>
      <c r="C849" s="211"/>
      <c r="D849" s="211"/>
      <c r="E849" s="211"/>
      <c r="F849" s="211"/>
      <c r="G849" s="211"/>
      <c r="H849" s="211"/>
      <c r="I849" s="211"/>
      <c r="J849" s="211"/>
      <c r="K849" s="211"/>
      <c r="L849" s="211"/>
      <c r="M849" s="211"/>
      <c r="N849" s="211"/>
      <c r="O849" s="211"/>
      <c r="P849" s="211"/>
      <c r="Q849" s="211"/>
      <c r="R849" s="211"/>
      <c r="S849" s="211"/>
      <c r="T849" s="211"/>
      <c r="U849" s="211"/>
      <c r="V849" s="211"/>
      <c r="W849" s="211"/>
      <c r="X849" s="211"/>
      <c r="Y849" s="211"/>
      <c r="Z849" s="211"/>
      <c r="AA849" s="211"/>
    </row>
    <row r="850">
      <c r="A850" s="211"/>
      <c r="B850" s="211"/>
      <c r="C850" s="211"/>
      <c r="D850" s="211"/>
      <c r="E850" s="211"/>
      <c r="F850" s="211"/>
      <c r="G850" s="211"/>
      <c r="H850" s="211"/>
      <c r="I850" s="211"/>
      <c r="J850" s="211"/>
      <c r="K850" s="211"/>
      <c r="L850" s="211"/>
      <c r="M850" s="211"/>
      <c r="N850" s="211"/>
      <c r="O850" s="211"/>
      <c r="P850" s="211"/>
      <c r="Q850" s="211"/>
      <c r="R850" s="211"/>
      <c r="S850" s="211"/>
      <c r="T850" s="211"/>
      <c r="U850" s="211"/>
      <c r="V850" s="211"/>
      <c r="W850" s="211"/>
      <c r="X850" s="211"/>
      <c r="Y850" s="211"/>
      <c r="Z850" s="211"/>
      <c r="AA850" s="211"/>
    </row>
    <row r="851">
      <c r="A851" s="211"/>
      <c r="B851" s="211"/>
      <c r="C851" s="211"/>
      <c r="D851" s="211"/>
      <c r="E851" s="211"/>
      <c r="F851" s="211"/>
      <c r="G851" s="211"/>
      <c r="H851" s="211"/>
      <c r="I851" s="211"/>
      <c r="J851" s="211"/>
      <c r="K851" s="211"/>
      <c r="L851" s="211"/>
      <c r="M851" s="211"/>
      <c r="N851" s="211"/>
      <c r="O851" s="211"/>
      <c r="P851" s="211"/>
      <c r="Q851" s="211"/>
      <c r="R851" s="211"/>
      <c r="S851" s="211"/>
      <c r="T851" s="211"/>
      <c r="U851" s="211"/>
      <c r="V851" s="211"/>
      <c r="W851" s="211"/>
      <c r="X851" s="211"/>
      <c r="Y851" s="211"/>
      <c r="Z851" s="211"/>
      <c r="AA851" s="211"/>
    </row>
    <row r="852">
      <c r="A852" s="211"/>
      <c r="B852" s="211"/>
      <c r="C852" s="211"/>
      <c r="D852" s="211"/>
      <c r="E852" s="211"/>
      <c r="F852" s="211"/>
      <c r="G852" s="211"/>
      <c r="H852" s="211"/>
      <c r="I852" s="211"/>
      <c r="J852" s="211"/>
      <c r="K852" s="211"/>
      <c r="L852" s="211"/>
      <c r="M852" s="211"/>
      <c r="N852" s="211"/>
      <c r="O852" s="211"/>
      <c r="P852" s="211"/>
      <c r="Q852" s="211"/>
      <c r="R852" s="211"/>
      <c r="S852" s="211"/>
      <c r="T852" s="211"/>
      <c r="U852" s="211"/>
      <c r="V852" s="211"/>
      <c r="W852" s="211"/>
      <c r="X852" s="211"/>
      <c r="Y852" s="211"/>
      <c r="Z852" s="211"/>
      <c r="AA852" s="211"/>
    </row>
    <row r="853">
      <c r="A853" s="211"/>
      <c r="B853" s="211"/>
      <c r="C853" s="211"/>
      <c r="D853" s="211"/>
      <c r="E853" s="211"/>
      <c r="F853" s="211"/>
      <c r="G853" s="211"/>
      <c r="H853" s="211"/>
      <c r="I853" s="211"/>
      <c r="J853" s="211"/>
      <c r="K853" s="211"/>
      <c r="L853" s="211"/>
      <c r="M853" s="211"/>
      <c r="N853" s="211"/>
      <c r="O853" s="211"/>
      <c r="P853" s="211"/>
      <c r="Q853" s="211"/>
      <c r="R853" s="211"/>
      <c r="S853" s="211"/>
      <c r="T853" s="211"/>
      <c r="U853" s="211"/>
      <c r="V853" s="211"/>
      <c r="W853" s="211"/>
      <c r="X853" s="211"/>
      <c r="Y853" s="211"/>
      <c r="Z853" s="211"/>
      <c r="AA853" s="211"/>
    </row>
    <row r="854">
      <c r="A854" s="211"/>
      <c r="B854" s="211"/>
      <c r="C854" s="211"/>
      <c r="D854" s="211"/>
      <c r="E854" s="211"/>
      <c r="F854" s="211"/>
      <c r="G854" s="211"/>
      <c r="H854" s="211"/>
      <c r="I854" s="211"/>
      <c r="J854" s="211"/>
      <c r="K854" s="211"/>
      <c r="L854" s="211"/>
      <c r="M854" s="211"/>
      <c r="N854" s="211"/>
      <c r="O854" s="211"/>
      <c r="P854" s="211"/>
      <c r="Q854" s="211"/>
      <c r="R854" s="211"/>
      <c r="S854" s="211"/>
      <c r="T854" s="211"/>
      <c r="U854" s="211"/>
      <c r="V854" s="211"/>
      <c r="W854" s="211"/>
      <c r="X854" s="211"/>
      <c r="Y854" s="211"/>
      <c r="Z854" s="211"/>
      <c r="AA854" s="211"/>
    </row>
    <row r="855">
      <c r="A855" s="211"/>
      <c r="B855" s="211"/>
      <c r="C855" s="211"/>
      <c r="D855" s="211"/>
      <c r="E855" s="211"/>
      <c r="F855" s="211"/>
      <c r="G855" s="211"/>
      <c r="H855" s="211"/>
      <c r="I855" s="211"/>
      <c r="J855" s="211"/>
      <c r="K855" s="211"/>
      <c r="L855" s="211"/>
      <c r="M855" s="211"/>
      <c r="N855" s="211"/>
      <c r="O855" s="211"/>
      <c r="P855" s="211"/>
      <c r="Q855" s="211"/>
      <c r="R855" s="211"/>
      <c r="S855" s="211"/>
      <c r="T855" s="211"/>
      <c r="U855" s="211"/>
      <c r="V855" s="211"/>
      <c r="W855" s="211"/>
      <c r="X855" s="211"/>
      <c r="Y855" s="211"/>
      <c r="Z855" s="211"/>
      <c r="AA855" s="211"/>
    </row>
    <row r="856">
      <c r="A856" s="211"/>
      <c r="B856" s="211"/>
      <c r="C856" s="211"/>
      <c r="D856" s="211"/>
      <c r="E856" s="211"/>
      <c r="F856" s="211"/>
      <c r="G856" s="211"/>
      <c r="H856" s="211"/>
      <c r="I856" s="211"/>
      <c r="J856" s="211"/>
      <c r="K856" s="211"/>
      <c r="L856" s="211"/>
      <c r="M856" s="211"/>
      <c r="N856" s="211"/>
      <c r="O856" s="211"/>
      <c r="P856" s="211"/>
      <c r="Q856" s="211"/>
      <c r="R856" s="211"/>
      <c r="S856" s="211"/>
      <c r="T856" s="211"/>
      <c r="U856" s="211"/>
      <c r="V856" s="211"/>
      <c r="W856" s="211"/>
      <c r="X856" s="211"/>
      <c r="Y856" s="211"/>
      <c r="Z856" s="211"/>
      <c r="AA856" s="211"/>
    </row>
    <row r="857">
      <c r="A857" s="211"/>
      <c r="B857" s="211"/>
      <c r="C857" s="211"/>
      <c r="D857" s="211"/>
      <c r="E857" s="211"/>
      <c r="F857" s="211"/>
      <c r="G857" s="211"/>
      <c r="H857" s="211"/>
      <c r="I857" s="211"/>
      <c r="J857" s="211"/>
      <c r="K857" s="211"/>
      <c r="L857" s="211"/>
      <c r="M857" s="211"/>
      <c r="N857" s="211"/>
      <c r="O857" s="211"/>
      <c r="P857" s="211"/>
      <c r="Q857" s="211"/>
      <c r="R857" s="211"/>
      <c r="S857" s="211"/>
      <c r="T857" s="211"/>
      <c r="U857" s="211"/>
      <c r="V857" s="211"/>
      <c r="W857" s="211"/>
      <c r="X857" s="211"/>
      <c r="Y857" s="211"/>
      <c r="Z857" s="211"/>
      <c r="AA857" s="211"/>
    </row>
    <row r="858">
      <c r="A858" s="211"/>
      <c r="B858" s="211"/>
      <c r="C858" s="211"/>
      <c r="D858" s="211"/>
      <c r="E858" s="211"/>
      <c r="F858" s="211"/>
      <c r="G858" s="211"/>
      <c r="H858" s="211"/>
      <c r="I858" s="211"/>
      <c r="J858" s="211"/>
      <c r="K858" s="211"/>
      <c r="L858" s="211"/>
      <c r="M858" s="211"/>
      <c r="N858" s="211"/>
      <c r="O858" s="211"/>
      <c r="P858" s="211"/>
      <c r="Q858" s="211"/>
      <c r="R858" s="211"/>
      <c r="S858" s="211"/>
      <c r="T858" s="211"/>
      <c r="U858" s="211"/>
      <c r="V858" s="211"/>
      <c r="W858" s="211"/>
      <c r="X858" s="211"/>
      <c r="Y858" s="211"/>
      <c r="Z858" s="211"/>
      <c r="AA858" s="211"/>
    </row>
    <row r="859">
      <c r="A859" s="211"/>
      <c r="B859" s="211"/>
      <c r="C859" s="211"/>
      <c r="D859" s="211"/>
      <c r="E859" s="211"/>
      <c r="F859" s="211"/>
      <c r="G859" s="211"/>
      <c r="H859" s="211"/>
      <c r="I859" s="211"/>
      <c r="J859" s="211"/>
      <c r="K859" s="211"/>
      <c r="L859" s="211"/>
      <c r="M859" s="211"/>
      <c r="N859" s="211"/>
      <c r="O859" s="211"/>
      <c r="P859" s="211"/>
      <c r="Q859" s="211"/>
      <c r="R859" s="211"/>
      <c r="S859" s="211"/>
      <c r="T859" s="211"/>
      <c r="U859" s="211"/>
      <c r="V859" s="211"/>
      <c r="W859" s="211"/>
      <c r="X859" s="211"/>
      <c r="Y859" s="211"/>
      <c r="Z859" s="211"/>
      <c r="AA859" s="211"/>
    </row>
    <row r="860">
      <c r="A860" s="211"/>
      <c r="B860" s="211"/>
      <c r="C860" s="211"/>
      <c r="D860" s="211"/>
      <c r="E860" s="211"/>
      <c r="F860" s="211"/>
      <c r="G860" s="211"/>
      <c r="H860" s="211"/>
      <c r="I860" s="211"/>
      <c r="J860" s="211"/>
      <c r="K860" s="211"/>
      <c r="L860" s="211"/>
      <c r="M860" s="211"/>
      <c r="N860" s="211"/>
      <c r="O860" s="211"/>
      <c r="P860" s="211"/>
      <c r="Q860" s="211"/>
      <c r="R860" s="211"/>
      <c r="S860" s="211"/>
      <c r="T860" s="211"/>
      <c r="U860" s="211"/>
      <c r="V860" s="211"/>
      <c r="W860" s="211"/>
      <c r="X860" s="211"/>
      <c r="Y860" s="211"/>
      <c r="Z860" s="211"/>
      <c r="AA860" s="211"/>
    </row>
    <row r="861">
      <c r="A861" s="211"/>
      <c r="B861" s="211"/>
      <c r="C861" s="211"/>
      <c r="D861" s="211"/>
      <c r="E861" s="211"/>
      <c r="F861" s="211"/>
      <c r="G861" s="211"/>
      <c r="H861" s="211"/>
      <c r="I861" s="211"/>
      <c r="J861" s="211"/>
      <c r="K861" s="211"/>
      <c r="L861" s="211"/>
      <c r="M861" s="211"/>
      <c r="N861" s="211"/>
      <c r="O861" s="211"/>
      <c r="P861" s="211"/>
      <c r="Q861" s="211"/>
      <c r="R861" s="211"/>
      <c r="S861" s="211"/>
      <c r="T861" s="211"/>
      <c r="U861" s="211"/>
      <c r="V861" s="211"/>
      <c r="W861" s="211"/>
      <c r="X861" s="211"/>
      <c r="Y861" s="211"/>
      <c r="Z861" s="211"/>
      <c r="AA861" s="211"/>
    </row>
    <row r="862">
      <c r="A862" s="211"/>
      <c r="B862" s="211"/>
      <c r="C862" s="211"/>
      <c r="D862" s="211"/>
      <c r="E862" s="211"/>
      <c r="F862" s="211"/>
      <c r="G862" s="211"/>
      <c r="H862" s="211"/>
      <c r="I862" s="211"/>
      <c r="J862" s="211"/>
      <c r="K862" s="211"/>
      <c r="L862" s="211"/>
      <c r="M862" s="211"/>
      <c r="N862" s="211"/>
      <c r="O862" s="211"/>
      <c r="P862" s="211"/>
      <c r="Q862" s="211"/>
      <c r="R862" s="211"/>
      <c r="S862" s="211"/>
      <c r="T862" s="211"/>
      <c r="U862" s="211"/>
      <c r="V862" s="211"/>
      <c r="W862" s="211"/>
      <c r="X862" s="211"/>
      <c r="Y862" s="211"/>
      <c r="Z862" s="211"/>
      <c r="AA862" s="211"/>
    </row>
    <row r="863">
      <c r="A863" s="211"/>
      <c r="B863" s="211"/>
      <c r="C863" s="211"/>
      <c r="D863" s="211"/>
      <c r="E863" s="211"/>
      <c r="F863" s="211"/>
      <c r="G863" s="211"/>
      <c r="H863" s="211"/>
      <c r="I863" s="211"/>
      <c r="J863" s="211"/>
      <c r="K863" s="211"/>
      <c r="L863" s="211"/>
      <c r="M863" s="211"/>
      <c r="N863" s="211"/>
      <c r="O863" s="211"/>
      <c r="P863" s="211"/>
      <c r="Q863" s="211"/>
      <c r="R863" s="211"/>
      <c r="S863" s="211"/>
      <c r="T863" s="211"/>
      <c r="U863" s="211"/>
      <c r="V863" s="211"/>
      <c r="W863" s="211"/>
      <c r="X863" s="211"/>
      <c r="Y863" s="211"/>
      <c r="Z863" s="211"/>
      <c r="AA863" s="211"/>
    </row>
    <row r="864">
      <c r="A864" s="211"/>
      <c r="B864" s="211"/>
      <c r="C864" s="211"/>
      <c r="D864" s="211"/>
      <c r="E864" s="211"/>
      <c r="F864" s="211"/>
      <c r="G864" s="211"/>
      <c r="H864" s="211"/>
      <c r="I864" s="211"/>
      <c r="J864" s="211"/>
      <c r="K864" s="211"/>
      <c r="L864" s="211"/>
      <c r="M864" s="211"/>
      <c r="N864" s="211"/>
      <c r="O864" s="211"/>
      <c r="P864" s="211"/>
      <c r="Q864" s="211"/>
      <c r="R864" s="211"/>
      <c r="S864" s="211"/>
      <c r="T864" s="211"/>
      <c r="U864" s="211"/>
      <c r="V864" s="211"/>
      <c r="W864" s="211"/>
      <c r="X864" s="211"/>
      <c r="Y864" s="211"/>
      <c r="Z864" s="211"/>
      <c r="AA864" s="211"/>
    </row>
    <row r="865">
      <c r="A865" s="211"/>
      <c r="B865" s="211"/>
      <c r="C865" s="211"/>
      <c r="D865" s="211"/>
      <c r="E865" s="211"/>
      <c r="F865" s="211"/>
      <c r="G865" s="211"/>
      <c r="H865" s="211"/>
      <c r="I865" s="211"/>
      <c r="J865" s="211"/>
      <c r="K865" s="211"/>
      <c r="L865" s="211"/>
      <c r="M865" s="211"/>
      <c r="N865" s="211"/>
      <c r="O865" s="211"/>
      <c r="P865" s="211"/>
      <c r="Q865" s="211"/>
      <c r="R865" s="211"/>
      <c r="S865" s="211"/>
      <c r="T865" s="211"/>
      <c r="U865" s="211"/>
      <c r="V865" s="211"/>
      <c r="W865" s="211"/>
      <c r="X865" s="211"/>
      <c r="Y865" s="211"/>
      <c r="Z865" s="211"/>
      <c r="AA865" s="211"/>
    </row>
    <row r="866">
      <c r="A866" s="211"/>
      <c r="B866" s="211"/>
      <c r="C866" s="211"/>
      <c r="D866" s="211"/>
      <c r="E866" s="211"/>
      <c r="F866" s="211"/>
      <c r="G866" s="211"/>
      <c r="H866" s="211"/>
      <c r="I866" s="211"/>
      <c r="J866" s="211"/>
      <c r="K866" s="211"/>
      <c r="L866" s="211"/>
      <c r="M866" s="211"/>
      <c r="N866" s="211"/>
      <c r="O866" s="211"/>
      <c r="P866" s="211"/>
      <c r="Q866" s="211"/>
      <c r="R866" s="211"/>
      <c r="S866" s="211"/>
      <c r="T866" s="211"/>
      <c r="U866" s="211"/>
      <c r="V866" s="211"/>
      <c r="W866" s="211"/>
      <c r="X866" s="211"/>
      <c r="Y866" s="211"/>
      <c r="Z866" s="211"/>
      <c r="AA866" s="211"/>
    </row>
    <row r="867">
      <c r="A867" s="211"/>
      <c r="B867" s="211"/>
      <c r="C867" s="211"/>
      <c r="D867" s="211"/>
      <c r="E867" s="211"/>
      <c r="F867" s="211"/>
      <c r="G867" s="211"/>
      <c r="H867" s="211"/>
      <c r="I867" s="211"/>
      <c r="J867" s="211"/>
      <c r="K867" s="211"/>
      <c r="L867" s="211"/>
      <c r="M867" s="211"/>
      <c r="N867" s="211"/>
      <c r="O867" s="211"/>
      <c r="P867" s="211"/>
      <c r="Q867" s="211"/>
      <c r="R867" s="211"/>
      <c r="S867" s="211"/>
      <c r="T867" s="211"/>
      <c r="U867" s="211"/>
      <c r="V867" s="211"/>
      <c r="W867" s="211"/>
      <c r="X867" s="211"/>
      <c r="Y867" s="211"/>
      <c r="Z867" s="211"/>
      <c r="AA867" s="211"/>
    </row>
    <row r="868">
      <c r="A868" s="211"/>
      <c r="B868" s="211"/>
      <c r="C868" s="211"/>
      <c r="D868" s="211"/>
      <c r="E868" s="211"/>
      <c r="F868" s="211"/>
      <c r="G868" s="211"/>
      <c r="H868" s="211"/>
      <c r="I868" s="211"/>
      <c r="J868" s="211"/>
      <c r="K868" s="211"/>
      <c r="L868" s="211"/>
      <c r="M868" s="211"/>
      <c r="N868" s="211"/>
      <c r="O868" s="211"/>
      <c r="P868" s="211"/>
      <c r="Q868" s="211"/>
      <c r="R868" s="211"/>
      <c r="S868" s="211"/>
      <c r="T868" s="211"/>
      <c r="U868" s="211"/>
      <c r="V868" s="211"/>
      <c r="W868" s="211"/>
      <c r="X868" s="211"/>
      <c r="Y868" s="211"/>
      <c r="Z868" s="211"/>
      <c r="AA868" s="211"/>
    </row>
    <row r="869">
      <c r="A869" s="211"/>
      <c r="B869" s="211"/>
      <c r="C869" s="211"/>
      <c r="D869" s="211"/>
      <c r="E869" s="211"/>
      <c r="F869" s="211"/>
      <c r="G869" s="211"/>
      <c r="H869" s="211"/>
      <c r="I869" s="211"/>
      <c r="J869" s="211"/>
      <c r="K869" s="211"/>
      <c r="L869" s="211"/>
      <c r="M869" s="211"/>
      <c r="N869" s="211"/>
      <c r="O869" s="211"/>
      <c r="P869" s="211"/>
      <c r="Q869" s="211"/>
      <c r="R869" s="211"/>
      <c r="S869" s="211"/>
      <c r="T869" s="211"/>
      <c r="U869" s="211"/>
      <c r="V869" s="211"/>
      <c r="W869" s="211"/>
      <c r="X869" s="211"/>
      <c r="Y869" s="211"/>
      <c r="Z869" s="211"/>
      <c r="AA869" s="211"/>
    </row>
    <row r="870">
      <c r="A870" s="211"/>
      <c r="B870" s="211"/>
      <c r="C870" s="211"/>
      <c r="D870" s="211"/>
      <c r="E870" s="211"/>
      <c r="F870" s="211"/>
      <c r="G870" s="211"/>
      <c r="H870" s="211"/>
      <c r="I870" s="211"/>
      <c r="J870" s="211"/>
      <c r="K870" s="211"/>
      <c r="L870" s="211"/>
      <c r="M870" s="211"/>
      <c r="N870" s="211"/>
      <c r="O870" s="211"/>
      <c r="P870" s="211"/>
      <c r="Q870" s="211"/>
      <c r="R870" s="211"/>
      <c r="S870" s="211"/>
      <c r="T870" s="211"/>
      <c r="U870" s="211"/>
      <c r="V870" s="211"/>
      <c r="W870" s="211"/>
      <c r="X870" s="211"/>
      <c r="Y870" s="211"/>
      <c r="Z870" s="211"/>
      <c r="AA870" s="211"/>
    </row>
    <row r="871">
      <c r="A871" s="211"/>
      <c r="B871" s="211"/>
      <c r="C871" s="211"/>
      <c r="D871" s="211"/>
      <c r="E871" s="211"/>
      <c r="F871" s="211"/>
      <c r="G871" s="211"/>
      <c r="H871" s="211"/>
      <c r="I871" s="211"/>
      <c r="J871" s="211"/>
      <c r="K871" s="211"/>
      <c r="L871" s="211"/>
      <c r="M871" s="211"/>
      <c r="N871" s="211"/>
      <c r="O871" s="211"/>
      <c r="P871" s="211"/>
      <c r="Q871" s="211"/>
      <c r="R871" s="211"/>
      <c r="S871" s="211"/>
      <c r="T871" s="211"/>
      <c r="U871" s="211"/>
      <c r="V871" s="211"/>
      <c r="W871" s="211"/>
      <c r="X871" s="211"/>
      <c r="Y871" s="211"/>
      <c r="Z871" s="211"/>
      <c r="AA871" s="211"/>
    </row>
    <row r="872">
      <c r="A872" s="211"/>
      <c r="B872" s="211"/>
      <c r="C872" s="211"/>
      <c r="D872" s="211"/>
      <c r="E872" s="211"/>
      <c r="F872" s="211"/>
      <c r="G872" s="211"/>
      <c r="H872" s="211"/>
      <c r="I872" s="211"/>
      <c r="J872" s="211"/>
      <c r="K872" s="211"/>
      <c r="L872" s="211"/>
      <c r="M872" s="211"/>
      <c r="N872" s="211"/>
      <c r="O872" s="211"/>
      <c r="P872" s="211"/>
      <c r="Q872" s="211"/>
      <c r="R872" s="211"/>
      <c r="S872" s="211"/>
      <c r="T872" s="211"/>
      <c r="U872" s="211"/>
      <c r="V872" s="211"/>
      <c r="W872" s="211"/>
      <c r="X872" s="211"/>
      <c r="Y872" s="211"/>
      <c r="Z872" s="211"/>
      <c r="AA872" s="211"/>
    </row>
    <row r="873">
      <c r="A873" s="211"/>
      <c r="B873" s="211"/>
      <c r="C873" s="211"/>
      <c r="D873" s="211"/>
      <c r="E873" s="211"/>
      <c r="F873" s="211"/>
      <c r="G873" s="211"/>
      <c r="H873" s="211"/>
      <c r="I873" s="211"/>
      <c r="J873" s="211"/>
      <c r="K873" s="211"/>
      <c r="L873" s="211"/>
      <c r="M873" s="211"/>
      <c r="N873" s="211"/>
      <c r="O873" s="211"/>
      <c r="P873" s="211"/>
      <c r="Q873" s="211"/>
      <c r="R873" s="211"/>
      <c r="S873" s="211"/>
      <c r="T873" s="211"/>
      <c r="U873" s="211"/>
      <c r="V873" s="211"/>
      <c r="W873" s="211"/>
      <c r="X873" s="211"/>
      <c r="Y873" s="211"/>
      <c r="Z873" s="211"/>
      <c r="AA873" s="211"/>
    </row>
    <row r="874">
      <c r="A874" s="211"/>
      <c r="B874" s="211"/>
      <c r="C874" s="211"/>
      <c r="D874" s="211"/>
      <c r="E874" s="211"/>
      <c r="F874" s="211"/>
      <c r="G874" s="211"/>
      <c r="H874" s="211"/>
      <c r="I874" s="211"/>
      <c r="J874" s="211"/>
      <c r="K874" s="211"/>
      <c r="L874" s="211"/>
      <c r="M874" s="211"/>
      <c r="N874" s="211"/>
      <c r="O874" s="211"/>
      <c r="P874" s="211"/>
      <c r="Q874" s="211"/>
      <c r="R874" s="211"/>
      <c r="S874" s="211"/>
      <c r="T874" s="211"/>
      <c r="U874" s="211"/>
      <c r="V874" s="211"/>
      <c r="W874" s="211"/>
      <c r="X874" s="211"/>
      <c r="Y874" s="211"/>
      <c r="Z874" s="211"/>
      <c r="AA874" s="211"/>
    </row>
    <row r="875">
      <c r="A875" s="211"/>
      <c r="B875" s="211"/>
      <c r="C875" s="211"/>
      <c r="D875" s="211"/>
      <c r="E875" s="211"/>
      <c r="F875" s="211"/>
      <c r="G875" s="211"/>
      <c r="H875" s="211"/>
      <c r="I875" s="211"/>
      <c r="J875" s="211"/>
      <c r="K875" s="211"/>
      <c r="L875" s="211"/>
      <c r="M875" s="211"/>
      <c r="N875" s="211"/>
      <c r="O875" s="211"/>
      <c r="P875" s="211"/>
      <c r="Q875" s="211"/>
      <c r="R875" s="211"/>
      <c r="S875" s="211"/>
      <c r="T875" s="211"/>
      <c r="U875" s="211"/>
      <c r="V875" s="211"/>
      <c r="W875" s="211"/>
      <c r="X875" s="211"/>
      <c r="Y875" s="211"/>
      <c r="Z875" s="211"/>
      <c r="AA875" s="211"/>
    </row>
    <row r="876">
      <c r="A876" s="211"/>
      <c r="B876" s="211"/>
      <c r="C876" s="211"/>
      <c r="D876" s="211"/>
      <c r="E876" s="211"/>
      <c r="F876" s="211"/>
      <c r="G876" s="211"/>
      <c r="H876" s="211"/>
      <c r="I876" s="211"/>
      <c r="J876" s="211"/>
      <c r="K876" s="211"/>
      <c r="L876" s="211"/>
      <c r="M876" s="211"/>
      <c r="N876" s="211"/>
      <c r="O876" s="211"/>
      <c r="P876" s="211"/>
      <c r="Q876" s="211"/>
      <c r="R876" s="211"/>
      <c r="S876" s="211"/>
      <c r="T876" s="211"/>
      <c r="U876" s="211"/>
      <c r="V876" s="211"/>
      <c r="W876" s="211"/>
      <c r="X876" s="211"/>
      <c r="Y876" s="211"/>
      <c r="Z876" s="211"/>
      <c r="AA876" s="211"/>
    </row>
    <row r="877">
      <c r="A877" s="211"/>
      <c r="B877" s="211"/>
      <c r="C877" s="211"/>
      <c r="D877" s="211"/>
      <c r="E877" s="211"/>
      <c r="F877" s="211"/>
      <c r="G877" s="211"/>
      <c r="H877" s="211"/>
      <c r="I877" s="211"/>
      <c r="J877" s="211"/>
      <c r="K877" s="211"/>
      <c r="L877" s="211"/>
      <c r="M877" s="211"/>
      <c r="N877" s="211"/>
      <c r="O877" s="211"/>
      <c r="P877" s="211"/>
      <c r="Q877" s="211"/>
      <c r="R877" s="211"/>
      <c r="S877" s="211"/>
      <c r="T877" s="211"/>
      <c r="U877" s="211"/>
      <c r="V877" s="211"/>
      <c r="W877" s="211"/>
      <c r="X877" s="211"/>
      <c r="Y877" s="211"/>
      <c r="Z877" s="211"/>
      <c r="AA877" s="211"/>
    </row>
    <row r="878">
      <c r="A878" s="211"/>
      <c r="B878" s="211"/>
      <c r="C878" s="211"/>
      <c r="D878" s="211"/>
      <c r="E878" s="211"/>
      <c r="F878" s="211"/>
      <c r="G878" s="211"/>
      <c r="H878" s="211"/>
      <c r="I878" s="211"/>
      <c r="J878" s="211"/>
      <c r="K878" s="211"/>
      <c r="L878" s="211"/>
      <c r="M878" s="211"/>
      <c r="N878" s="211"/>
      <c r="O878" s="211"/>
      <c r="P878" s="211"/>
      <c r="Q878" s="211"/>
      <c r="R878" s="211"/>
      <c r="S878" s="211"/>
      <c r="T878" s="211"/>
      <c r="U878" s="211"/>
      <c r="V878" s="211"/>
      <c r="W878" s="211"/>
      <c r="X878" s="211"/>
      <c r="Y878" s="211"/>
      <c r="Z878" s="211"/>
      <c r="AA878" s="211"/>
    </row>
    <row r="879">
      <c r="A879" s="211"/>
      <c r="B879" s="211"/>
      <c r="C879" s="211"/>
      <c r="D879" s="211"/>
      <c r="E879" s="211"/>
      <c r="F879" s="211"/>
      <c r="G879" s="211"/>
      <c r="H879" s="211"/>
      <c r="I879" s="211"/>
      <c r="J879" s="211"/>
      <c r="K879" s="211"/>
      <c r="L879" s="211"/>
      <c r="M879" s="211"/>
      <c r="N879" s="211"/>
      <c r="O879" s="211"/>
      <c r="P879" s="211"/>
      <c r="Q879" s="211"/>
      <c r="R879" s="211"/>
      <c r="S879" s="211"/>
      <c r="T879" s="211"/>
      <c r="U879" s="211"/>
      <c r="V879" s="211"/>
      <c r="W879" s="211"/>
      <c r="X879" s="211"/>
      <c r="Y879" s="211"/>
      <c r="Z879" s="211"/>
      <c r="AA879" s="211"/>
    </row>
    <row r="880">
      <c r="A880" s="211"/>
      <c r="B880" s="211"/>
      <c r="C880" s="211"/>
      <c r="D880" s="211"/>
      <c r="E880" s="211"/>
      <c r="F880" s="211"/>
      <c r="G880" s="211"/>
      <c r="H880" s="211"/>
      <c r="I880" s="211"/>
      <c r="J880" s="211"/>
      <c r="K880" s="211"/>
      <c r="L880" s="211"/>
      <c r="M880" s="211"/>
      <c r="N880" s="211"/>
      <c r="O880" s="211"/>
      <c r="P880" s="211"/>
      <c r="Q880" s="211"/>
      <c r="R880" s="211"/>
      <c r="S880" s="211"/>
      <c r="T880" s="211"/>
      <c r="U880" s="211"/>
      <c r="V880" s="211"/>
      <c r="W880" s="211"/>
      <c r="X880" s="211"/>
      <c r="Y880" s="211"/>
      <c r="Z880" s="211"/>
      <c r="AA880" s="211"/>
    </row>
    <row r="881">
      <c r="A881" s="211"/>
      <c r="B881" s="211"/>
      <c r="C881" s="211"/>
      <c r="D881" s="211"/>
      <c r="E881" s="211"/>
      <c r="F881" s="211"/>
      <c r="G881" s="211"/>
      <c r="H881" s="211"/>
      <c r="I881" s="211"/>
      <c r="J881" s="211"/>
      <c r="K881" s="211"/>
      <c r="L881" s="211"/>
      <c r="M881" s="211"/>
      <c r="N881" s="211"/>
      <c r="O881" s="211"/>
      <c r="P881" s="211"/>
      <c r="Q881" s="211"/>
      <c r="R881" s="211"/>
      <c r="S881" s="211"/>
      <c r="T881" s="211"/>
      <c r="U881" s="211"/>
      <c r="V881" s="211"/>
      <c r="W881" s="211"/>
      <c r="X881" s="211"/>
      <c r="Y881" s="211"/>
      <c r="Z881" s="211"/>
      <c r="AA881" s="211"/>
    </row>
    <row r="882">
      <c r="A882" s="211"/>
      <c r="B882" s="211"/>
      <c r="C882" s="211"/>
      <c r="D882" s="211"/>
      <c r="E882" s="211"/>
      <c r="F882" s="211"/>
      <c r="G882" s="211"/>
      <c r="H882" s="211"/>
      <c r="I882" s="211"/>
      <c r="J882" s="211"/>
      <c r="K882" s="211"/>
      <c r="L882" s="211"/>
      <c r="M882" s="211"/>
      <c r="N882" s="211"/>
      <c r="O882" s="211"/>
      <c r="P882" s="211"/>
      <c r="Q882" s="211"/>
      <c r="R882" s="211"/>
      <c r="S882" s="211"/>
      <c r="T882" s="211"/>
      <c r="U882" s="211"/>
      <c r="V882" s="211"/>
      <c r="W882" s="211"/>
      <c r="X882" s="211"/>
      <c r="Y882" s="211"/>
      <c r="Z882" s="211"/>
      <c r="AA882" s="211"/>
    </row>
    <row r="883">
      <c r="A883" s="211"/>
      <c r="B883" s="211"/>
      <c r="C883" s="211"/>
      <c r="D883" s="211"/>
      <c r="E883" s="211"/>
      <c r="F883" s="211"/>
      <c r="G883" s="211"/>
      <c r="H883" s="211"/>
      <c r="I883" s="211"/>
      <c r="J883" s="211"/>
      <c r="K883" s="211"/>
      <c r="L883" s="211"/>
      <c r="M883" s="211"/>
      <c r="N883" s="211"/>
      <c r="O883" s="211"/>
      <c r="P883" s="211"/>
      <c r="Q883" s="211"/>
      <c r="R883" s="211"/>
      <c r="S883" s="211"/>
      <c r="T883" s="211"/>
      <c r="U883" s="211"/>
      <c r="V883" s="211"/>
      <c r="W883" s="211"/>
      <c r="X883" s="211"/>
      <c r="Y883" s="211"/>
      <c r="Z883" s="211"/>
      <c r="AA883" s="211"/>
    </row>
    <row r="884">
      <c r="A884" s="211"/>
      <c r="B884" s="211"/>
      <c r="C884" s="211"/>
      <c r="D884" s="211"/>
      <c r="E884" s="211"/>
      <c r="F884" s="211"/>
      <c r="G884" s="211"/>
      <c r="H884" s="211"/>
      <c r="I884" s="211"/>
      <c r="J884" s="211"/>
      <c r="K884" s="211"/>
      <c r="L884" s="211"/>
      <c r="M884" s="211"/>
      <c r="N884" s="211"/>
      <c r="O884" s="211"/>
      <c r="P884" s="211"/>
      <c r="Q884" s="211"/>
      <c r="R884" s="211"/>
      <c r="S884" s="211"/>
      <c r="T884" s="211"/>
      <c r="U884" s="211"/>
      <c r="V884" s="211"/>
      <c r="W884" s="211"/>
      <c r="X884" s="211"/>
      <c r="Y884" s="211"/>
      <c r="Z884" s="211"/>
      <c r="AA884" s="211"/>
    </row>
    <row r="885">
      <c r="A885" s="211"/>
      <c r="B885" s="211"/>
      <c r="C885" s="211"/>
      <c r="D885" s="211"/>
      <c r="E885" s="211"/>
      <c r="F885" s="211"/>
      <c r="G885" s="211"/>
      <c r="H885" s="211"/>
      <c r="I885" s="211"/>
      <c r="J885" s="211"/>
      <c r="K885" s="211"/>
      <c r="L885" s="211"/>
      <c r="M885" s="211"/>
      <c r="N885" s="211"/>
      <c r="O885" s="211"/>
      <c r="P885" s="211"/>
      <c r="Q885" s="211"/>
      <c r="R885" s="211"/>
      <c r="S885" s="211"/>
      <c r="T885" s="211"/>
      <c r="U885" s="211"/>
      <c r="V885" s="211"/>
      <c r="W885" s="211"/>
      <c r="X885" s="211"/>
      <c r="Y885" s="211"/>
      <c r="Z885" s="211"/>
      <c r="AA885" s="211"/>
    </row>
    <row r="886">
      <c r="A886" s="211"/>
      <c r="B886" s="211"/>
      <c r="C886" s="211"/>
      <c r="D886" s="211"/>
      <c r="E886" s="211"/>
      <c r="F886" s="211"/>
      <c r="G886" s="211"/>
      <c r="H886" s="211"/>
      <c r="I886" s="211"/>
      <c r="J886" s="211"/>
      <c r="K886" s="211"/>
      <c r="L886" s="211"/>
      <c r="M886" s="211"/>
      <c r="N886" s="211"/>
      <c r="O886" s="211"/>
      <c r="P886" s="211"/>
      <c r="Q886" s="211"/>
      <c r="R886" s="211"/>
      <c r="S886" s="211"/>
      <c r="T886" s="211"/>
      <c r="U886" s="211"/>
      <c r="V886" s="211"/>
      <c r="W886" s="211"/>
      <c r="X886" s="211"/>
      <c r="Y886" s="211"/>
      <c r="Z886" s="211"/>
      <c r="AA886" s="211"/>
    </row>
    <row r="887">
      <c r="A887" s="211"/>
      <c r="B887" s="211"/>
      <c r="C887" s="211"/>
      <c r="D887" s="211"/>
      <c r="E887" s="211"/>
      <c r="F887" s="211"/>
      <c r="G887" s="211"/>
      <c r="H887" s="211"/>
      <c r="I887" s="211"/>
      <c r="J887" s="211"/>
      <c r="K887" s="211"/>
      <c r="L887" s="211"/>
      <c r="M887" s="211"/>
      <c r="N887" s="211"/>
      <c r="O887" s="211"/>
      <c r="P887" s="211"/>
      <c r="Q887" s="211"/>
      <c r="R887" s="211"/>
      <c r="S887" s="211"/>
      <c r="T887" s="211"/>
      <c r="U887" s="211"/>
      <c r="V887" s="211"/>
      <c r="W887" s="211"/>
      <c r="X887" s="211"/>
      <c r="Y887" s="211"/>
      <c r="Z887" s="211"/>
      <c r="AA887" s="211"/>
    </row>
    <row r="888">
      <c r="A888" s="211"/>
      <c r="B888" s="211"/>
      <c r="C888" s="211"/>
      <c r="D888" s="211"/>
      <c r="E888" s="211"/>
      <c r="F888" s="211"/>
      <c r="G888" s="211"/>
      <c r="H888" s="211"/>
      <c r="I888" s="211"/>
      <c r="J888" s="211"/>
      <c r="K888" s="211"/>
      <c r="L888" s="211"/>
      <c r="M888" s="211"/>
      <c r="N888" s="211"/>
      <c r="O888" s="211"/>
      <c r="P888" s="211"/>
      <c r="Q888" s="211"/>
      <c r="R888" s="211"/>
      <c r="S888" s="211"/>
      <c r="T888" s="211"/>
      <c r="U888" s="211"/>
      <c r="V888" s="211"/>
      <c r="W888" s="211"/>
      <c r="X888" s="211"/>
      <c r="Y888" s="211"/>
      <c r="Z888" s="211"/>
      <c r="AA888" s="211"/>
    </row>
    <row r="889">
      <c r="A889" s="211"/>
      <c r="B889" s="211"/>
      <c r="C889" s="211"/>
      <c r="D889" s="211"/>
      <c r="E889" s="211"/>
      <c r="F889" s="211"/>
      <c r="G889" s="211"/>
      <c r="H889" s="211"/>
      <c r="I889" s="211"/>
      <c r="J889" s="211"/>
      <c r="K889" s="211"/>
      <c r="L889" s="211"/>
      <c r="M889" s="211"/>
      <c r="N889" s="211"/>
      <c r="O889" s="211"/>
      <c r="P889" s="211"/>
      <c r="Q889" s="211"/>
      <c r="R889" s="211"/>
      <c r="S889" s="211"/>
      <c r="T889" s="211"/>
      <c r="U889" s="211"/>
      <c r="V889" s="211"/>
      <c r="W889" s="211"/>
      <c r="X889" s="211"/>
      <c r="Y889" s="211"/>
      <c r="Z889" s="211"/>
      <c r="AA889" s="211"/>
    </row>
    <row r="890">
      <c r="A890" s="211"/>
      <c r="B890" s="211"/>
      <c r="C890" s="211"/>
      <c r="D890" s="211"/>
      <c r="E890" s="211"/>
      <c r="F890" s="211"/>
      <c r="G890" s="211"/>
      <c r="H890" s="211"/>
      <c r="I890" s="211"/>
      <c r="J890" s="211"/>
      <c r="K890" s="211"/>
      <c r="L890" s="211"/>
      <c r="M890" s="211"/>
      <c r="N890" s="211"/>
      <c r="O890" s="211"/>
      <c r="P890" s="211"/>
      <c r="Q890" s="211"/>
      <c r="R890" s="211"/>
      <c r="S890" s="211"/>
      <c r="T890" s="211"/>
      <c r="U890" s="211"/>
      <c r="V890" s="211"/>
      <c r="W890" s="211"/>
      <c r="X890" s="211"/>
      <c r="Y890" s="211"/>
      <c r="Z890" s="211"/>
      <c r="AA890" s="211"/>
    </row>
    <row r="891">
      <c r="A891" s="211"/>
      <c r="B891" s="211"/>
      <c r="C891" s="211"/>
      <c r="D891" s="211"/>
      <c r="E891" s="211"/>
      <c r="F891" s="211"/>
      <c r="G891" s="211"/>
      <c r="H891" s="211"/>
      <c r="I891" s="211"/>
      <c r="J891" s="211"/>
      <c r="K891" s="211"/>
      <c r="L891" s="211"/>
      <c r="M891" s="211"/>
      <c r="N891" s="211"/>
      <c r="O891" s="211"/>
      <c r="P891" s="211"/>
      <c r="Q891" s="211"/>
      <c r="R891" s="211"/>
      <c r="S891" s="211"/>
      <c r="T891" s="211"/>
      <c r="U891" s="211"/>
      <c r="V891" s="211"/>
      <c r="W891" s="211"/>
      <c r="X891" s="211"/>
      <c r="Y891" s="211"/>
      <c r="Z891" s="211"/>
      <c r="AA891" s="211"/>
    </row>
    <row r="892">
      <c r="A892" s="211"/>
      <c r="B892" s="211"/>
      <c r="C892" s="211"/>
      <c r="D892" s="211"/>
      <c r="E892" s="211"/>
      <c r="F892" s="211"/>
      <c r="G892" s="211"/>
      <c r="H892" s="211"/>
      <c r="I892" s="211"/>
      <c r="J892" s="211"/>
      <c r="K892" s="211"/>
      <c r="L892" s="211"/>
      <c r="M892" s="211"/>
      <c r="N892" s="211"/>
      <c r="O892" s="211"/>
      <c r="P892" s="211"/>
      <c r="Q892" s="211"/>
      <c r="R892" s="211"/>
      <c r="S892" s="211"/>
      <c r="T892" s="211"/>
      <c r="U892" s="211"/>
      <c r="V892" s="211"/>
      <c r="W892" s="211"/>
      <c r="X892" s="211"/>
      <c r="Y892" s="211"/>
      <c r="Z892" s="211"/>
      <c r="AA892" s="211"/>
    </row>
    <row r="893">
      <c r="A893" s="211"/>
      <c r="B893" s="211"/>
      <c r="C893" s="211"/>
      <c r="D893" s="211"/>
      <c r="E893" s="211"/>
      <c r="F893" s="211"/>
      <c r="G893" s="211"/>
      <c r="H893" s="211"/>
      <c r="I893" s="211"/>
      <c r="J893" s="211"/>
      <c r="K893" s="211"/>
      <c r="L893" s="211"/>
      <c r="M893" s="211"/>
      <c r="N893" s="211"/>
      <c r="O893" s="211"/>
      <c r="P893" s="211"/>
      <c r="Q893" s="211"/>
      <c r="R893" s="211"/>
      <c r="S893" s="211"/>
      <c r="T893" s="211"/>
      <c r="U893" s="211"/>
      <c r="V893" s="211"/>
      <c r="W893" s="211"/>
      <c r="X893" s="211"/>
      <c r="Y893" s="211"/>
      <c r="Z893" s="211"/>
      <c r="AA893" s="211"/>
    </row>
    <row r="894">
      <c r="A894" s="211"/>
      <c r="B894" s="211"/>
      <c r="C894" s="211"/>
      <c r="D894" s="211"/>
      <c r="E894" s="211"/>
      <c r="F894" s="211"/>
      <c r="G894" s="211"/>
      <c r="H894" s="211"/>
      <c r="I894" s="211"/>
      <c r="J894" s="211"/>
      <c r="K894" s="211"/>
      <c r="L894" s="211"/>
      <c r="M894" s="211"/>
      <c r="N894" s="211"/>
      <c r="O894" s="211"/>
      <c r="P894" s="211"/>
      <c r="Q894" s="211"/>
      <c r="R894" s="211"/>
      <c r="S894" s="211"/>
      <c r="T894" s="211"/>
      <c r="U894" s="211"/>
      <c r="V894" s="211"/>
      <c r="W894" s="211"/>
      <c r="X894" s="211"/>
      <c r="Y894" s="211"/>
      <c r="Z894" s="211"/>
      <c r="AA894" s="211"/>
    </row>
    <row r="895">
      <c r="A895" s="211"/>
      <c r="B895" s="211"/>
      <c r="C895" s="211"/>
      <c r="D895" s="211"/>
      <c r="E895" s="211"/>
      <c r="F895" s="211"/>
      <c r="G895" s="211"/>
      <c r="H895" s="211"/>
      <c r="I895" s="211"/>
      <c r="J895" s="211"/>
      <c r="K895" s="211"/>
      <c r="L895" s="211"/>
      <c r="M895" s="211"/>
      <c r="N895" s="211"/>
      <c r="O895" s="211"/>
      <c r="P895" s="211"/>
      <c r="Q895" s="211"/>
      <c r="R895" s="211"/>
      <c r="S895" s="211"/>
      <c r="T895" s="211"/>
      <c r="U895" s="211"/>
      <c r="V895" s="211"/>
      <c r="W895" s="211"/>
      <c r="X895" s="211"/>
      <c r="Y895" s="211"/>
      <c r="Z895" s="211"/>
      <c r="AA895" s="211"/>
    </row>
    <row r="896">
      <c r="A896" s="211"/>
      <c r="B896" s="211"/>
      <c r="C896" s="211"/>
      <c r="D896" s="211"/>
      <c r="E896" s="211"/>
      <c r="F896" s="211"/>
      <c r="G896" s="211"/>
      <c r="H896" s="211"/>
      <c r="I896" s="211"/>
      <c r="J896" s="211"/>
      <c r="K896" s="211"/>
      <c r="L896" s="211"/>
      <c r="M896" s="211"/>
      <c r="N896" s="211"/>
      <c r="O896" s="211"/>
      <c r="P896" s="211"/>
      <c r="Q896" s="211"/>
      <c r="R896" s="211"/>
      <c r="S896" s="211"/>
      <c r="T896" s="211"/>
      <c r="U896" s="211"/>
      <c r="V896" s="211"/>
      <c r="W896" s="211"/>
      <c r="X896" s="211"/>
      <c r="Y896" s="211"/>
      <c r="Z896" s="211"/>
      <c r="AA896" s="211"/>
    </row>
    <row r="897">
      <c r="A897" s="211"/>
      <c r="B897" s="211"/>
      <c r="C897" s="211"/>
      <c r="D897" s="211"/>
      <c r="E897" s="211"/>
      <c r="F897" s="211"/>
      <c r="G897" s="211"/>
      <c r="H897" s="211"/>
      <c r="I897" s="211"/>
      <c r="J897" s="211"/>
      <c r="K897" s="211"/>
      <c r="L897" s="211"/>
      <c r="M897" s="211"/>
      <c r="N897" s="211"/>
      <c r="O897" s="211"/>
      <c r="P897" s="211"/>
      <c r="Q897" s="211"/>
      <c r="R897" s="211"/>
      <c r="S897" s="211"/>
      <c r="T897" s="211"/>
      <c r="U897" s="211"/>
      <c r="V897" s="211"/>
      <c r="W897" s="211"/>
      <c r="X897" s="211"/>
      <c r="Y897" s="211"/>
      <c r="Z897" s="211"/>
      <c r="AA897" s="211"/>
    </row>
    <row r="898">
      <c r="A898" s="211"/>
      <c r="B898" s="211"/>
      <c r="C898" s="211"/>
      <c r="D898" s="211"/>
      <c r="E898" s="211"/>
      <c r="F898" s="211"/>
      <c r="G898" s="211"/>
      <c r="H898" s="211"/>
      <c r="I898" s="211"/>
      <c r="J898" s="211"/>
      <c r="K898" s="211"/>
      <c r="L898" s="211"/>
      <c r="M898" s="211"/>
      <c r="N898" s="211"/>
      <c r="O898" s="211"/>
      <c r="P898" s="211"/>
      <c r="Q898" s="211"/>
      <c r="R898" s="211"/>
      <c r="S898" s="211"/>
      <c r="T898" s="211"/>
      <c r="U898" s="211"/>
      <c r="V898" s="211"/>
      <c r="W898" s="211"/>
      <c r="X898" s="211"/>
      <c r="Y898" s="211"/>
      <c r="Z898" s="211"/>
      <c r="AA898" s="211"/>
    </row>
    <row r="899">
      <c r="A899" s="211"/>
      <c r="B899" s="211"/>
      <c r="C899" s="211"/>
      <c r="D899" s="211"/>
      <c r="E899" s="211"/>
      <c r="F899" s="211"/>
      <c r="G899" s="211"/>
      <c r="H899" s="211"/>
      <c r="I899" s="211"/>
      <c r="J899" s="211"/>
      <c r="K899" s="211"/>
      <c r="L899" s="211"/>
      <c r="M899" s="211"/>
      <c r="N899" s="211"/>
      <c r="O899" s="211"/>
      <c r="P899" s="211"/>
      <c r="Q899" s="211"/>
      <c r="R899" s="211"/>
      <c r="S899" s="211"/>
      <c r="T899" s="211"/>
      <c r="U899" s="211"/>
      <c r="V899" s="211"/>
      <c r="W899" s="211"/>
      <c r="X899" s="211"/>
      <c r="Y899" s="211"/>
      <c r="Z899" s="211"/>
      <c r="AA899" s="211"/>
    </row>
    <row r="900">
      <c r="A900" s="211"/>
      <c r="B900" s="211"/>
      <c r="C900" s="211"/>
      <c r="D900" s="211"/>
      <c r="E900" s="211"/>
      <c r="F900" s="211"/>
      <c r="G900" s="211"/>
      <c r="H900" s="211"/>
      <c r="I900" s="211"/>
      <c r="J900" s="211"/>
      <c r="K900" s="211"/>
      <c r="L900" s="211"/>
      <c r="M900" s="211"/>
      <c r="N900" s="211"/>
      <c r="O900" s="211"/>
      <c r="P900" s="211"/>
      <c r="Q900" s="211"/>
      <c r="R900" s="211"/>
      <c r="S900" s="211"/>
      <c r="T900" s="211"/>
      <c r="U900" s="211"/>
      <c r="V900" s="211"/>
      <c r="W900" s="211"/>
      <c r="X900" s="211"/>
      <c r="Y900" s="211"/>
      <c r="Z900" s="211"/>
      <c r="AA900" s="211"/>
    </row>
    <row r="901">
      <c r="A901" s="211"/>
      <c r="B901" s="211"/>
      <c r="C901" s="211"/>
      <c r="D901" s="211"/>
      <c r="E901" s="211"/>
      <c r="F901" s="211"/>
      <c r="G901" s="211"/>
      <c r="H901" s="211"/>
      <c r="I901" s="211"/>
      <c r="J901" s="211"/>
      <c r="K901" s="211"/>
      <c r="L901" s="211"/>
      <c r="M901" s="211"/>
      <c r="N901" s="211"/>
      <c r="O901" s="211"/>
      <c r="P901" s="211"/>
      <c r="Q901" s="211"/>
      <c r="R901" s="211"/>
      <c r="S901" s="211"/>
      <c r="T901" s="211"/>
      <c r="U901" s="211"/>
      <c r="V901" s="211"/>
      <c r="W901" s="211"/>
      <c r="X901" s="211"/>
      <c r="Y901" s="211"/>
      <c r="Z901" s="211"/>
      <c r="AA901" s="211"/>
    </row>
    <row r="902">
      <c r="A902" s="211"/>
      <c r="B902" s="211"/>
      <c r="C902" s="211"/>
      <c r="D902" s="211"/>
      <c r="E902" s="211"/>
      <c r="F902" s="211"/>
      <c r="G902" s="211"/>
      <c r="H902" s="211"/>
      <c r="I902" s="211"/>
      <c r="J902" s="211"/>
      <c r="K902" s="211"/>
      <c r="L902" s="211"/>
      <c r="M902" s="211"/>
      <c r="N902" s="211"/>
      <c r="O902" s="211"/>
      <c r="P902" s="211"/>
      <c r="Q902" s="211"/>
      <c r="R902" s="211"/>
      <c r="S902" s="211"/>
      <c r="T902" s="211"/>
      <c r="U902" s="211"/>
      <c r="V902" s="211"/>
      <c r="W902" s="211"/>
      <c r="X902" s="211"/>
      <c r="Y902" s="211"/>
      <c r="Z902" s="211"/>
      <c r="AA902" s="211"/>
    </row>
    <row r="903">
      <c r="A903" s="211"/>
      <c r="B903" s="211"/>
      <c r="C903" s="211"/>
      <c r="D903" s="211"/>
      <c r="E903" s="211"/>
      <c r="F903" s="211"/>
      <c r="G903" s="211"/>
      <c r="H903" s="211"/>
      <c r="I903" s="211"/>
      <c r="J903" s="211"/>
      <c r="K903" s="211"/>
      <c r="L903" s="211"/>
      <c r="M903" s="211"/>
      <c r="N903" s="211"/>
      <c r="O903" s="211"/>
      <c r="P903" s="211"/>
      <c r="Q903" s="211"/>
      <c r="R903" s="211"/>
      <c r="S903" s="211"/>
      <c r="T903" s="211"/>
      <c r="U903" s="211"/>
      <c r="V903" s="211"/>
      <c r="W903" s="211"/>
      <c r="X903" s="211"/>
      <c r="Y903" s="211"/>
      <c r="Z903" s="211"/>
      <c r="AA903" s="211"/>
    </row>
    <row r="904">
      <c r="A904" s="211"/>
      <c r="B904" s="211"/>
      <c r="C904" s="211"/>
      <c r="D904" s="211"/>
      <c r="E904" s="211"/>
      <c r="F904" s="211"/>
      <c r="G904" s="211"/>
      <c r="H904" s="211"/>
      <c r="I904" s="211"/>
      <c r="J904" s="211"/>
      <c r="K904" s="211"/>
      <c r="L904" s="211"/>
      <c r="M904" s="211"/>
      <c r="N904" s="211"/>
      <c r="O904" s="211"/>
      <c r="P904" s="211"/>
      <c r="Q904" s="211"/>
      <c r="R904" s="211"/>
      <c r="S904" s="211"/>
      <c r="T904" s="211"/>
      <c r="U904" s="211"/>
      <c r="V904" s="211"/>
      <c r="W904" s="211"/>
      <c r="X904" s="211"/>
      <c r="Y904" s="211"/>
      <c r="Z904" s="211"/>
      <c r="AA904" s="211"/>
    </row>
    <row r="905">
      <c r="A905" s="211"/>
      <c r="B905" s="211"/>
      <c r="C905" s="211"/>
      <c r="D905" s="211"/>
      <c r="E905" s="211"/>
      <c r="F905" s="211"/>
      <c r="G905" s="211"/>
      <c r="H905" s="211"/>
      <c r="I905" s="211"/>
      <c r="J905" s="211"/>
      <c r="K905" s="211"/>
      <c r="L905" s="211"/>
      <c r="M905" s="211"/>
      <c r="N905" s="211"/>
      <c r="O905" s="211"/>
      <c r="P905" s="211"/>
      <c r="Q905" s="211"/>
      <c r="R905" s="211"/>
      <c r="S905" s="211"/>
      <c r="T905" s="211"/>
      <c r="U905" s="211"/>
      <c r="V905" s="211"/>
      <c r="W905" s="211"/>
      <c r="X905" s="211"/>
      <c r="Y905" s="211"/>
      <c r="Z905" s="211"/>
      <c r="AA905" s="211"/>
    </row>
    <row r="906">
      <c r="A906" s="211"/>
      <c r="B906" s="211"/>
      <c r="C906" s="211"/>
      <c r="D906" s="211"/>
      <c r="E906" s="211"/>
      <c r="F906" s="211"/>
      <c r="G906" s="211"/>
      <c r="H906" s="211"/>
      <c r="I906" s="211"/>
      <c r="J906" s="211"/>
      <c r="K906" s="211"/>
      <c r="L906" s="211"/>
      <c r="M906" s="211"/>
      <c r="N906" s="211"/>
      <c r="O906" s="211"/>
      <c r="P906" s="211"/>
      <c r="Q906" s="211"/>
      <c r="R906" s="211"/>
      <c r="S906" s="211"/>
      <c r="T906" s="211"/>
      <c r="U906" s="211"/>
      <c r="V906" s="211"/>
      <c r="W906" s="211"/>
      <c r="X906" s="211"/>
      <c r="Y906" s="211"/>
      <c r="Z906" s="211"/>
      <c r="AA906" s="211"/>
    </row>
    <row r="907">
      <c r="A907" s="211"/>
      <c r="B907" s="211"/>
      <c r="C907" s="211"/>
      <c r="D907" s="211"/>
      <c r="E907" s="211"/>
      <c r="F907" s="211"/>
      <c r="G907" s="211"/>
      <c r="H907" s="211"/>
      <c r="I907" s="211"/>
      <c r="J907" s="211"/>
      <c r="K907" s="211"/>
      <c r="L907" s="211"/>
      <c r="M907" s="211"/>
      <c r="N907" s="211"/>
      <c r="O907" s="211"/>
      <c r="P907" s="211"/>
      <c r="Q907" s="211"/>
      <c r="R907" s="211"/>
      <c r="S907" s="211"/>
      <c r="T907" s="211"/>
      <c r="U907" s="211"/>
      <c r="V907" s="211"/>
      <c r="W907" s="211"/>
      <c r="X907" s="211"/>
      <c r="Y907" s="211"/>
      <c r="Z907" s="211"/>
      <c r="AA907" s="211"/>
    </row>
    <row r="908">
      <c r="A908" s="211"/>
      <c r="B908" s="211"/>
      <c r="C908" s="211"/>
      <c r="D908" s="211"/>
      <c r="E908" s="211"/>
      <c r="F908" s="211"/>
      <c r="G908" s="211"/>
      <c r="H908" s="211"/>
      <c r="I908" s="211"/>
      <c r="J908" s="211"/>
      <c r="K908" s="211"/>
      <c r="L908" s="211"/>
      <c r="M908" s="211"/>
      <c r="N908" s="211"/>
      <c r="O908" s="211"/>
      <c r="P908" s="211"/>
      <c r="Q908" s="211"/>
      <c r="R908" s="211"/>
      <c r="S908" s="211"/>
      <c r="T908" s="211"/>
      <c r="U908" s="211"/>
      <c r="V908" s="211"/>
      <c r="W908" s="211"/>
      <c r="X908" s="211"/>
      <c r="Y908" s="211"/>
      <c r="Z908" s="211"/>
      <c r="AA908" s="211"/>
    </row>
    <row r="909">
      <c r="A909" s="211"/>
      <c r="B909" s="211"/>
      <c r="C909" s="211"/>
      <c r="D909" s="211"/>
      <c r="E909" s="211"/>
      <c r="F909" s="211"/>
      <c r="G909" s="211"/>
      <c r="H909" s="211"/>
      <c r="I909" s="211"/>
      <c r="J909" s="211"/>
      <c r="K909" s="211"/>
      <c r="L909" s="211"/>
      <c r="M909" s="211"/>
      <c r="N909" s="211"/>
      <c r="O909" s="211"/>
      <c r="P909" s="211"/>
      <c r="Q909" s="211"/>
      <c r="R909" s="211"/>
      <c r="S909" s="211"/>
      <c r="T909" s="211"/>
      <c r="U909" s="211"/>
      <c r="V909" s="211"/>
      <c r="W909" s="211"/>
      <c r="X909" s="211"/>
      <c r="Y909" s="211"/>
      <c r="Z909" s="211"/>
      <c r="AA909" s="211"/>
    </row>
    <row r="910">
      <c r="A910" s="211"/>
      <c r="B910" s="211"/>
      <c r="C910" s="211"/>
      <c r="D910" s="211"/>
      <c r="E910" s="211"/>
      <c r="F910" s="211"/>
      <c r="G910" s="211"/>
      <c r="H910" s="211"/>
      <c r="I910" s="211"/>
      <c r="J910" s="211"/>
      <c r="K910" s="211"/>
      <c r="L910" s="211"/>
      <c r="M910" s="211"/>
      <c r="N910" s="211"/>
      <c r="O910" s="211"/>
      <c r="P910" s="211"/>
      <c r="Q910" s="211"/>
      <c r="R910" s="211"/>
      <c r="S910" s="211"/>
      <c r="T910" s="211"/>
      <c r="U910" s="211"/>
      <c r="V910" s="211"/>
      <c r="W910" s="211"/>
      <c r="X910" s="211"/>
      <c r="Y910" s="211"/>
      <c r="Z910" s="211"/>
      <c r="AA910" s="211"/>
    </row>
    <row r="911">
      <c r="A911" s="211"/>
      <c r="B911" s="211"/>
      <c r="C911" s="211"/>
      <c r="D911" s="211"/>
      <c r="E911" s="211"/>
      <c r="F911" s="211"/>
      <c r="G911" s="211"/>
      <c r="H911" s="211"/>
      <c r="I911" s="211"/>
      <c r="J911" s="211"/>
      <c r="K911" s="211"/>
      <c r="L911" s="211"/>
      <c r="M911" s="211"/>
      <c r="N911" s="211"/>
      <c r="O911" s="211"/>
      <c r="P911" s="211"/>
      <c r="Q911" s="211"/>
      <c r="R911" s="211"/>
      <c r="S911" s="211"/>
      <c r="T911" s="211"/>
      <c r="U911" s="211"/>
      <c r="V911" s="211"/>
      <c r="W911" s="211"/>
      <c r="X911" s="211"/>
      <c r="Y911" s="211"/>
      <c r="Z911" s="211"/>
      <c r="AA911" s="211"/>
    </row>
    <row r="912">
      <c r="A912" s="211"/>
      <c r="B912" s="211"/>
      <c r="C912" s="211"/>
      <c r="D912" s="211"/>
      <c r="E912" s="211"/>
      <c r="F912" s="211"/>
      <c r="G912" s="211"/>
      <c r="H912" s="211"/>
      <c r="I912" s="211"/>
      <c r="J912" s="211"/>
      <c r="K912" s="211"/>
      <c r="L912" s="211"/>
      <c r="M912" s="211"/>
      <c r="N912" s="211"/>
      <c r="O912" s="211"/>
      <c r="P912" s="211"/>
      <c r="Q912" s="211"/>
      <c r="R912" s="211"/>
      <c r="S912" s="211"/>
      <c r="T912" s="211"/>
      <c r="U912" s="211"/>
      <c r="V912" s="211"/>
      <c r="W912" s="211"/>
      <c r="X912" s="211"/>
      <c r="Y912" s="211"/>
      <c r="Z912" s="211"/>
      <c r="AA912" s="211"/>
    </row>
    <row r="913">
      <c r="A913" s="211"/>
      <c r="B913" s="211"/>
      <c r="C913" s="211"/>
      <c r="D913" s="211"/>
      <c r="E913" s="211"/>
      <c r="F913" s="211"/>
      <c r="G913" s="211"/>
      <c r="H913" s="211"/>
      <c r="I913" s="211"/>
      <c r="J913" s="211"/>
      <c r="K913" s="211"/>
      <c r="L913" s="211"/>
      <c r="M913" s="211"/>
      <c r="N913" s="211"/>
      <c r="O913" s="211"/>
      <c r="P913" s="211"/>
      <c r="Q913" s="211"/>
      <c r="R913" s="211"/>
      <c r="S913" s="211"/>
      <c r="T913" s="211"/>
      <c r="U913" s="211"/>
      <c r="V913" s="211"/>
      <c r="W913" s="211"/>
      <c r="X913" s="211"/>
      <c r="Y913" s="211"/>
      <c r="Z913" s="211"/>
      <c r="AA913" s="211"/>
    </row>
    <row r="914">
      <c r="A914" s="211"/>
      <c r="B914" s="211"/>
      <c r="C914" s="211"/>
      <c r="D914" s="211"/>
      <c r="E914" s="211"/>
      <c r="F914" s="211"/>
      <c r="G914" s="211"/>
      <c r="H914" s="211"/>
      <c r="I914" s="211"/>
      <c r="J914" s="211"/>
      <c r="K914" s="211"/>
      <c r="L914" s="211"/>
      <c r="M914" s="211"/>
      <c r="N914" s="211"/>
      <c r="O914" s="211"/>
      <c r="P914" s="211"/>
      <c r="Q914" s="211"/>
      <c r="R914" s="211"/>
      <c r="S914" s="211"/>
      <c r="T914" s="211"/>
      <c r="U914" s="211"/>
      <c r="V914" s="211"/>
      <c r="W914" s="211"/>
      <c r="X914" s="211"/>
      <c r="Y914" s="211"/>
      <c r="Z914" s="211"/>
      <c r="AA914" s="211"/>
    </row>
    <row r="915">
      <c r="A915" s="211"/>
      <c r="B915" s="211"/>
      <c r="C915" s="211"/>
      <c r="D915" s="211"/>
      <c r="E915" s="211"/>
      <c r="F915" s="211"/>
      <c r="G915" s="211"/>
      <c r="H915" s="211"/>
      <c r="I915" s="211"/>
      <c r="J915" s="211"/>
      <c r="K915" s="211"/>
      <c r="L915" s="211"/>
      <c r="M915" s="211"/>
      <c r="N915" s="211"/>
      <c r="O915" s="211"/>
      <c r="P915" s="211"/>
      <c r="Q915" s="211"/>
      <c r="R915" s="211"/>
      <c r="S915" s="211"/>
      <c r="T915" s="211"/>
      <c r="U915" s="211"/>
      <c r="V915" s="211"/>
      <c r="W915" s="211"/>
      <c r="X915" s="211"/>
      <c r="Y915" s="211"/>
      <c r="Z915" s="211"/>
      <c r="AA915" s="211"/>
    </row>
    <row r="916">
      <c r="A916" s="211"/>
      <c r="B916" s="211"/>
      <c r="C916" s="211"/>
      <c r="D916" s="211"/>
      <c r="E916" s="211"/>
      <c r="F916" s="211"/>
      <c r="G916" s="211"/>
      <c r="H916" s="211"/>
      <c r="I916" s="211"/>
      <c r="J916" s="211"/>
      <c r="K916" s="211"/>
      <c r="L916" s="211"/>
      <c r="M916" s="211"/>
      <c r="N916" s="211"/>
      <c r="O916" s="211"/>
      <c r="P916" s="211"/>
      <c r="Q916" s="211"/>
      <c r="R916" s="211"/>
      <c r="S916" s="211"/>
      <c r="T916" s="211"/>
      <c r="U916" s="211"/>
      <c r="V916" s="211"/>
      <c r="W916" s="211"/>
      <c r="X916" s="211"/>
      <c r="Y916" s="211"/>
      <c r="Z916" s="211"/>
      <c r="AA916" s="211"/>
    </row>
    <row r="917">
      <c r="A917" s="211"/>
      <c r="B917" s="211"/>
      <c r="C917" s="211"/>
      <c r="D917" s="211"/>
      <c r="E917" s="211"/>
      <c r="F917" s="211"/>
      <c r="G917" s="211"/>
      <c r="H917" s="211"/>
      <c r="I917" s="211"/>
      <c r="J917" s="211"/>
      <c r="K917" s="211"/>
      <c r="L917" s="211"/>
      <c r="M917" s="211"/>
      <c r="N917" s="211"/>
      <c r="O917" s="211"/>
      <c r="P917" s="211"/>
      <c r="Q917" s="211"/>
      <c r="R917" s="211"/>
      <c r="S917" s="211"/>
      <c r="T917" s="211"/>
      <c r="U917" s="211"/>
      <c r="V917" s="211"/>
      <c r="W917" s="211"/>
      <c r="X917" s="211"/>
      <c r="Y917" s="211"/>
      <c r="Z917" s="211"/>
      <c r="AA917" s="211"/>
    </row>
    <row r="918">
      <c r="A918" s="211"/>
      <c r="B918" s="211"/>
      <c r="C918" s="211"/>
      <c r="D918" s="211"/>
      <c r="E918" s="211"/>
      <c r="F918" s="211"/>
      <c r="G918" s="211"/>
      <c r="H918" s="211"/>
      <c r="I918" s="211"/>
      <c r="J918" s="211"/>
      <c r="K918" s="211"/>
      <c r="L918" s="211"/>
      <c r="M918" s="211"/>
      <c r="N918" s="211"/>
      <c r="O918" s="211"/>
      <c r="P918" s="211"/>
      <c r="Q918" s="211"/>
      <c r="R918" s="211"/>
      <c r="S918" s="211"/>
      <c r="T918" s="211"/>
      <c r="U918" s="211"/>
      <c r="V918" s="211"/>
      <c r="W918" s="211"/>
      <c r="X918" s="211"/>
      <c r="Y918" s="211"/>
      <c r="Z918" s="211"/>
      <c r="AA918" s="211"/>
    </row>
    <row r="919">
      <c r="A919" s="211"/>
      <c r="B919" s="211"/>
      <c r="C919" s="211"/>
      <c r="D919" s="211"/>
      <c r="E919" s="211"/>
      <c r="F919" s="211"/>
      <c r="G919" s="211"/>
      <c r="H919" s="211"/>
      <c r="I919" s="211"/>
      <c r="J919" s="211"/>
      <c r="K919" s="211"/>
      <c r="L919" s="211"/>
      <c r="M919" s="211"/>
      <c r="N919" s="211"/>
      <c r="O919" s="211"/>
      <c r="P919" s="211"/>
      <c r="Q919" s="211"/>
      <c r="R919" s="211"/>
      <c r="S919" s="211"/>
      <c r="T919" s="211"/>
      <c r="U919" s="211"/>
      <c r="V919" s="211"/>
      <c r="W919" s="211"/>
      <c r="X919" s="211"/>
      <c r="Y919" s="211"/>
      <c r="Z919" s="211"/>
      <c r="AA919" s="211"/>
    </row>
    <row r="920">
      <c r="A920" s="211"/>
      <c r="B920" s="211"/>
      <c r="C920" s="211"/>
      <c r="D920" s="211"/>
      <c r="E920" s="211"/>
      <c r="F920" s="211"/>
      <c r="G920" s="211"/>
      <c r="H920" s="211"/>
      <c r="I920" s="211"/>
      <c r="J920" s="211"/>
      <c r="K920" s="211"/>
      <c r="L920" s="211"/>
      <c r="M920" s="211"/>
      <c r="N920" s="211"/>
      <c r="O920" s="211"/>
      <c r="P920" s="211"/>
      <c r="Q920" s="211"/>
      <c r="R920" s="211"/>
      <c r="S920" s="211"/>
      <c r="T920" s="211"/>
      <c r="U920" s="211"/>
      <c r="V920" s="211"/>
      <c r="W920" s="211"/>
      <c r="X920" s="211"/>
      <c r="Y920" s="211"/>
      <c r="Z920" s="211"/>
      <c r="AA920" s="211"/>
    </row>
    <row r="921">
      <c r="A921" s="211"/>
      <c r="B921" s="211"/>
      <c r="C921" s="211"/>
      <c r="D921" s="211"/>
      <c r="E921" s="211"/>
      <c r="F921" s="211"/>
      <c r="G921" s="211"/>
      <c r="H921" s="211"/>
      <c r="I921" s="211"/>
      <c r="J921" s="211"/>
      <c r="K921" s="211"/>
      <c r="L921" s="211"/>
      <c r="M921" s="211"/>
      <c r="N921" s="211"/>
      <c r="O921" s="211"/>
      <c r="P921" s="211"/>
      <c r="Q921" s="211"/>
      <c r="R921" s="211"/>
      <c r="S921" s="211"/>
      <c r="T921" s="211"/>
      <c r="U921" s="211"/>
      <c r="V921" s="211"/>
      <c r="W921" s="211"/>
      <c r="X921" s="211"/>
      <c r="Y921" s="211"/>
      <c r="Z921" s="211"/>
      <c r="AA921" s="211"/>
    </row>
    <row r="922">
      <c r="A922" s="211"/>
      <c r="B922" s="211"/>
      <c r="C922" s="211"/>
      <c r="D922" s="211"/>
      <c r="E922" s="211"/>
      <c r="F922" s="211"/>
      <c r="G922" s="211"/>
      <c r="H922" s="211"/>
      <c r="I922" s="211"/>
      <c r="J922" s="211"/>
      <c r="K922" s="211"/>
      <c r="L922" s="211"/>
      <c r="M922" s="211"/>
      <c r="N922" s="211"/>
      <c r="O922" s="211"/>
      <c r="P922" s="211"/>
      <c r="Q922" s="211"/>
      <c r="R922" s="211"/>
      <c r="S922" s="211"/>
      <c r="T922" s="211"/>
      <c r="U922" s="211"/>
      <c r="V922" s="211"/>
      <c r="W922" s="211"/>
      <c r="X922" s="211"/>
      <c r="Y922" s="211"/>
      <c r="Z922" s="211"/>
      <c r="AA922" s="211"/>
    </row>
    <row r="923">
      <c r="A923" s="211"/>
      <c r="B923" s="211"/>
      <c r="C923" s="211"/>
      <c r="D923" s="211"/>
      <c r="E923" s="211"/>
      <c r="F923" s="211"/>
      <c r="G923" s="211"/>
      <c r="H923" s="211"/>
      <c r="I923" s="211"/>
      <c r="J923" s="211"/>
      <c r="K923" s="211"/>
      <c r="L923" s="211"/>
      <c r="M923" s="211"/>
      <c r="N923" s="211"/>
      <c r="O923" s="211"/>
      <c r="P923" s="211"/>
      <c r="Q923" s="211"/>
      <c r="R923" s="211"/>
      <c r="S923" s="211"/>
      <c r="T923" s="211"/>
      <c r="U923" s="211"/>
      <c r="V923" s="211"/>
      <c r="W923" s="211"/>
      <c r="X923" s="211"/>
      <c r="Y923" s="211"/>
      <c r="Z923" s="211"/>
      <c r="AA923" s="211"/>
    </row>
    <row r="924">
      <c r="A924" s="211"/>
      <c r="B924" s="211"/>
      <c r="C924" s="211"/>
      <c r="D924" s="211"/>
      <c r="E924" s="211"/>
      <c r="F924" s="211"/>
      <c r="G924" s="211"/>
      <c r="H924" s="211"/>
      <c r="I924" s="211"/>
      <c r="J924" s="211"/>
      <c r="K924" s="211"/>
      <c r="L924" s="211"/>
      <c r="M924" s="211"/>
      <c r="N924" s="211"/>
      <c r="O924" s="211"/>
      <c r="P924" s="211"/>
      <c r="Q924" s="211"/>
      <c r="R924" s="211"/>
      <c r="S924" s="211"/>
      <c r="T924" s="211"/>
      <c r="U924" s="211"/>
      <c r="V924" s="211"/>
      <c r="W924" s="211"/>
      <c r="X924" s="211"/>
      <c r="Y924" s="211"/>
      <c r="Z924" s="211"/>
      <c r="AA924" s="211"/>
    </row>
    <row r="925">
      <c r="A925" s="211"/>
      <c r="B925" s="211"/>
      <c r="C925" s="211"/>
      <c r="D925" s="211"/>
      <c r="E925" s="211"/>
      <c r="F925" s="211"/>
      <c r="G925" s="211"/>
      <c r="H925" s="211"/>
      <c r="I925" s="211"/>
      <c r="J925" s="211"/>
      <c r="K925" s="211"/>
      <c r="L925" s="211"/>
      <c r="M925" s="211"/>
      <c r="N925" s="211"/>
      <c r="O925" s="211"/>
      <c r="P925" s="211"/>
      <c r="Q925" s="211"/>
      <c r="R925" s="211"/>
      <c r="S925" s="211"/>
      <c r="T925" s="211"/>
      <c r="U925" s="211"/>
      <c r="V925" s="211"/>
      <c r="W925" s="211"/>
      <c r="X925" s="211"/>
      <c r="Y925" s="211"/>
      <c r="Z925" s="211"/>
      <c r="AA925" s="211"/>
    </row>
    <row r="926">
      <c r="A926" s="211"/>
      <c r="B926" s="211"/>
      <c r="C926" s="211"/>
      <c r="D926" s="211"/>
      <c r="E926" s="211"/>
      <c r="F926" s="211"/>
      <c r="G926" s="211"/>
      <c r="H926" s="211"/>
      <c r="I926" s="211"/>
      <c r="J926" s="211"/>
      <c r="K926" s="211"/>
      <c r="L926" s="211"/>
      <c r="M926" s="211"/>
      <c r="N926" s="211"/>
      <c r="O926" s="211"/>
      <c r="P926" s="211"/>
      <c r="Q926" s="211"/>
      <c r="R926" s="211"/>
      <c r="S926" s="211"/>
      <c r="T926" s="211"/>
      <c r="U926" s="211"/>
      <c r="V926" s="211"/>
      <c r="W926" s="211"/>
      <c r="X926" s="211"/>
      <c r="Y926" s="211"/>
      <c r="Z926" s="211"/>
      <c r="AA926" s="211"/>
    </row>
    <row r="927">
      <c r="A927" s="211"/>
      <c r="B927" s="211"/>
      <c r="C927" s="211"/>
      <c r="D927" s="211"/>
      <c r="E927" s="211"/>
      <c r="F927" s="211"/>
      <c r="G927" s="211"/>
      <c r="H927" s="211"/>
      <c r="I927" s="211"/>
      <c r="J927" s="211"/>
      <c r="K927" s="211"/>
      <c r="L927" s="211"/>
      <c r="M927" s="211"/>
      <c r="N927" s="211"/>
      <c r="O927" s="211"/>
      <c r="P927" s="211"/>
      <c r="Q927" s="211"/>
      <c r="R927" s="211"/>
      <c r="S927" s="211"/>
      <c r="T927" s="211"/>
      <c r="U927" s="211"/>
      <c r="V927" s="211"/>
      <c r="W927" s="211"/>
      <c r="X927" s="211"/>
      <c r="Y927" s="211"/>
      <c r="Z927" s="211"/>
      <c r="AA927" s="211"/>
    </row>
    <row r="928">
      <c r="A928" s="211"/>
      <c r="B928" s="211"/>
      <c r="C928" s="211"/>
      <c r="D928" s="211"/>
      <c r="E928" s="211"/>
      <c r="F928" s="211"/>
      <c r="G928" s="211"/>
      <c r="H928" s="211"/>
      <c r="I928" s="211"/>
      <c r="J928" s="211"/>
      <c r="K928" s="211"/>
      <c r="L928" s="211"/>
      <c r="M928" s="211"/>
      <c r="N928" s="211"/>
      <c r="O928" s="211"/>
      <c r="P928" s="211"/>
      <c r="Q928" s="211"/>
      <c r="R928" s="211"/>
      <c r="S928" s="211"/>
      <c r="T928" s="211"/>
      <c r="U928" s="211"/>
      <c r="V928" s="211"/>
      <c r="W928" s="211"/>
      <c r="X928" s="211"/>
      <c r="Y928" s="211"/>
      <c r="Z928" s="211"/>
      <c r="AA928" s="211"/>
    </row>
    <row r="929">
      <c r="A929" s="211"/>
      <c r="B929" s="211"/>
      <c r="C929" s="211"/>
      <c r="D929" s="211"/>
      <c r="E929" s="211"/>
      <c r="F929" s="211"/>
      <c r="G929" s="211"/>
      <c r="H929" s="211"/>
      <c r="I929" s="211"/>
      <c r="J929" s="211"/>
      <c r="K929" s="211"/>
      <c r="L929" s="211"/>
      <c r="M929" s="211"/>
      <c r="N929" s="211"/>
      <c r="O929" s="211"/>
      <c r="P929" s="211"/>
      <c r="Q929" s="211"/>
      <c r="R929" s="211"/>
      <c r="S929" s="211"/>
      <c r="T929" s="211"/>
      <c r="U929" s="211"/>
      <c r="V929" s="211"/>
      <c r="W929" s="211"/>
      <c r="X929" s="211"/>
      <c r="Y929" s="211"/>
      <c r="Z929" s="211"/>
      <c r="AA929" s="211"/>
    </row>
    <row r="930">
      <c r="A930" s="211"/>
      <c r="B930" s="211"/>
      <c r="C930" s="211"/>
      <c r="D930" s="211"/>
      <c r="E930" s="211"/>
      <c r="F930" s="211"/>
      <c r="G930" s="211"/>
      <c r="H930" s="211"/>
      <c r="I930" s="211"/>
      <c r="J930" s="211"/>
      <c r="K930" s="211"/>
      <c r="L930" s="211"/>
      <c r="M930" s="211"/>
      <c r="N930" s="211"/>
      <c r="O930" s="211"/>
      <c r="P930" s="211"/>
      <c r="Q930" s="211"/>
      <c r="R930" s="211"/>
      <c r="S930" s="211"/>
      <c r="T930" s="211"/>
      <c r="U930" s="211"/>
      <c r="V930" s="211"/>
      <c r="W930" s="211"/>
      <c r="X930" s="211"/>
      <c r="Y930" s="211"/>
      <c r="Z930" s="211"/>
      <c r="AA930" s="211"/>
    </row>
    <row r="931">
      <c r="A931" s="211"/>
      <c r="B931" s="211"/>
      <c r="C931" s="211"/>
      <c r="D931" s="211"/>
      <c r="E931" s="211"/>
      <c r="F931" s="211"/>
      <c r="G931" s="211"/>
      <c r="H931" s="211"/>
      <c r="I931" s="211"/>
      <c r="J931" s="211"/>
      <c r="K931" s="211"/>
      <c r="L931" s="211"/>
      <c r="M931" s="211"/>
      <c r="N931" s="211"/>
      <c r="O931" s="211"/>
      <c r="P931" s="211"/>
      <c r="Q931" s="211"/>
      <c r="R931" s="211"/>
      <c r="S931" s="211"/>
      <c r="T931" s="211"/>
      <c r="U931" s="211"/>
      <c r="V931" s="211"/>
      <c r="W931" s="211"/>
      <c r="X931" s="211"/>
      <c r="Y931" s="211"/>
      <c r="Z931" s="211"/>
      <c r="AA931" s="211"/>
    </row>
    <row r="932">
      <c r="A932" s="211"/>
      <c r="B932" s="211"/>
      <c r="C932" s="211"/>
      <c r="D932" s="211"/>
      <c r="E932" s="211"/>
      <c r="F932" s="211"/>
      <c r="G932" s="211"/>
      <c r="H932" s="211"/>
      <c r="I932" s="211"/>
      <c r="J932" s="211"/>
      <c r="K932" s="211"/>
      <c r="L932" s="211"/>
      <c r="M932" s="211"/>
      <c r="N932" s="211"/>
      <c r="O932" s="211"/>
      <c r="P932" s="211"/>
      <c r="Q932" s="211"/>
      <c r="R932" s="211"/>
      <c r="S932" s="211"/>
      <c r="T932" s="211"/>
      <c r="U932" s="211"/>
      <c r="V932" s="211"/>
      <c r="W932" s="211"/>
      <c r="X932" s="211"/>
      <c r="Y932" s="211"/>
      <c r="Z932" s="211"/>
      <c r="AA932" s="211"/>
    </row>
    <row r="933">
      <c r="A933" s="211"/>
      <c r="B933" s="211"/>
      <c r="C933" s="211"/>
      <c r="D933" s="211"/>
      <c r="E933" s="211"/>
      <c r="F933" s="211"/>
      <c r="G933" s="211"/>
      <c r="H933" s="211"/>
      <c r="I933" s="211"/>
      <c r="J933" s="211"/>
      <c r="K933" s="211"/>
      <c r="L933" s="211"/>
      <c r="M933" s="211"/>
      <c r="N933" s="211"/>
      <c r="O933" s="211"/>
      <c r="P933" s="211"/>
      <c r="Q933" s="211"/>
      <c r="R933" s="211"/>
      <c r="S933" s="211"/>
      <c r="T933" s="211"/>
      <c r="U933" s="211"/>
      <c r="V933" s="211"/>
      <c r="W933" s="211"/>
      <c r="X933" s="211"/>
      <c r="Y933" s="211"/>
      <c r="Z933" s="211"/>
      <c r="AA933" s="211"/>
    </row>
    <row r="934">
      <c r="A934" s="211"/>
      <c r="B934" s="211"/>
      <c r="C934" s="211"/>
      <c r="D934" s="211"/>
      <c r="E934" s="211"/>
      <c r="F934" s="211"/>
      <c r="G934" s="211"/>
      <c r="H934" s="211"/>
      <c r="I934" s="211"/>
      <c r="J934" s="211"/>
      <c r="K934" s="211"/>
      <c r="L934" s="211"/>
      <c r="M934" s="211"/>
      <c r="N934" s="211"/>
      <c r="O934" s="211"/>
      <c r="P934" s="211"/>
      <c r="Q934" s="211"/>
      <c r="R934" s="211"/>
      <c r="S934" s="211"/>
      <c r="T934" s="211"/>
      <c r="U934" s="211"/>
      <c r="V934" s="211"/>
      <c r="W934" s="211"/>
      <c r="X934" s="211"/>
      <c r="Y934" s="211"/>
      <c r="Z934" s="211"/>
      <c r="AA934" s="211"/>
    </row>
    <row r="935">
      <c r="A935" s="211"/>
      <c r="B935" s="211"/>
      <c r="C935" s="211"/>
      <c r="D935" s="211"/>
      <c r="E935" s="211"/>
      <c r="F935" s="211"/>
      <c r="G935" s="211"/>
      <c r="H935" s="211"/>
      <c r="I935" s="211"/>
      <c r="J935" s="211"/>
      <c r="K935" s="211"/>
      <c r="L935" s="211"/>
      <c r="M935" s="211"/>
      <c r="N935" s="211"/>
      <c r="O935" s="211"/>
      <c r="P935" s="211"/>
      <c r="Q935" s="211"/>
      <c r="R935" s="211"/>
      <c r="S935" s="211"/>
      <c r="T935" s="211"/>
      <c r="U935" s="211"/>
      <c r="V935" s="211"/>
      <c r="W935" s="211"/>
      <c r="X935" s="211"/>
      <c r="Y935" s="211"/>
      <c r="Z935" s="211"/>
      <c r="AA935" s="211"/>
    </row>
    <row r="936">
      <c r="A936" s="211"/>
      <c r="B936" s="211"/>
      <c r="C936" s="211"/>
      <c r="D936" s="211"/>
      <c r="E936" s="211"/>
      <c r="F936" s="211"/>
      <c r="G936" s="211"/>
      <c r="H936" s="211"/>
      <c r="I936" s="211"/>
      <c r="J936" s="211"/>
      <c r="K936" s="211"/>
      <c r="L936" s="211"/>
      <c r="M936" s="211"/>
      <c r="N936" s="211"/>
      <c r="O936" s="211"/>
      <c r="P936" s="211"/>
      <c r="Q936" s="211"/>
      <c r="R936" s="211"/>
      <c r="S936" s="211"/>
      <c r="T936" s="211"/>
      <c r="U936" s="211"/>
      <c r="V936" s="211"/>
      <c r="W936" s="211"/>
      <c r="X936" s="211"/>
      <c r="Y936" s="211"/>
      <c r="Z936" s="211"/>
      <c r="AA936" s="211"/>
    </row>
    <row r="937">
      <c r="A937" s="211"/>
      <c r="B937" s="211"/>
      <c r="C937" s="211"/>
      <c r="D937" s="211"/>
      <c r="E937" s="211"/>
      <c r="F937" s="211"/>
      <c r="G937" s="211"/>
      <c r="H937" s="211"/>
      <c r="I937" s="211"/>
      <c r="J937" s="211"/>
      <c r="K937" s="211"/>
      <c r="L937" s="211"/>
      <c r="M937" s="211"/>
      <c r="N937" s="211"/>
      <c r="O937" s="211"/>
      <c r="P937" s="211"/>
      <c r="Q937" s="211"/>
      <c r="R937" s="211"/>
      <c r="S937" s="211"/>
      <c r="T937" s="211"/>
      <c r="U937" s="211"/>
      <c r="V937" s="211"/>
      <c r="W937" s="211"/>
      <c r="X937" s="211"/>
      <c r="Y937" s="211"/>
      <c r="Z937" s="211"/>
      <c r="AA937" s="211"/>
    </row>
    <row r="938">
      <c r="A938" s="211"/>
      <c r="B938" s="211"/>
      <c r="C938" s="211"/>
      <c r="D938" s="211"/>
      <c r="E938" s="211"/>
      <c r="F938" s="211"/>
      <c r="G938" s="211"/>
      <c r="H938" s="211"/>
      <c r="I938" s="211"/>
      <c r="J938" s="211"/>
      <c r="K938" s="211"/>
      <c r="L938" s="211"/>
      <c r="M938" s="211"/>
      <c r="N938" s="211"/>
      <c r="O938" s="211"/>
      <c r="P938" s="211"/>
      <c r="Q938" s="211"/>
      <c r="R938" s="211"/>
      <c r="S938" s="211"/>
      <c r="T938" s="211"/>
      <c r="U938" s="211"/>
      <c r="V938" s="211"/>
      <c r="W938" s="211"/>
      <c r="X938" s="211"/>
      <c r="Y938" s="211"/>
      <c r="Z938" s="211"/>
      <c r="AA938" s="211"/>
    </row>
    <row r="939">
      <c r="A939" s="211"/>
      <c r="B939" s="211"/>
      <c r="C939" s="211"/>
      <c r="D939" s="211"/>
      <c r="E939" s="211"/>
      <c r="F939" s="211"/>
      <c r="G939" s="211"/>
      <c r="H939" s="211"/>
      <c r="I939" s="211"/>
      <c r="J939" s="211"/>
      <c r="K939" s="211"/>
      <c r="L939" s="211"/>
      <c r="M939" s="211"/>
      <c r="N939" s="211"/>
      <c r="O939" s="211"/>
      <c r="P939" s="211"/>
      <c r="Q939" s="211"/>
      <c r="R939" s="211"/>
      <c r="S939" s="211"/>
      <c r="T939" s="211"/>
      <c r="U939" s="211"/>
      <c r="V939" s="211"/>
      <c r="W939" s="211"/>
      <c r="X939" s="211"/>
      <c r="Y939" s="211"/>
      <c r="Z939" s="211"/>
      <c r="AA939" s="211"/>
    </row>
    <row r="940">
      <c r="A940" s="211"/>
      <c r="B940" s="211"/>
      <c r="C940" s="211"/>
      <c r="D940" s="211"/>
      <c r="E940" s="211"/>
      <c r="F940" s="211"/>
      <c r="G940" s="211"/>
      <c r="H940" s="211"/>
      <c r="I940" s="211"/>
      <c r="J940" s="211"/>
      <c r="K940" s="211"/>
      <c r="L940" s="211"/>
      <c r="M940" s="211"/>
      <c r="N940" s="211"/>
      <c r="O940" s="211"/>
      <c r="P940" s="211"/>
      <c r="Q940" s="211"/>
      <c r="R940" s="211"/>
      <c r="S940" s="211"/>
      <c r="T940" s="211"/>
      <c r="U940" s="211"/>
      <c r="V940" s="211"/>
      <c r="W940" s="211"/>
      <c r="X940" s="211"/>
      <c r="Y940" s="211"/>
      <c r="Z940" s="211"/>
      <c r="AA940" s="211"/>
    </row>
    <row r="941">
      <c r="A941" s="211"/>
      <c r="B941" s="211"/>
      <c r="C941" s="211"/>
      <c r="D941" s="211"/>
      <c r="E941" s="211"/>
      <c r="F941" s="211"/>
      <c r="G941" s="211"/>
      <c r="H941" s="211"/>
      <c r="I941" s="211"/>
      <c r="J941" s="211"/>
      <c r="K941" s="211"/>
      <c r="L941" s="211"/>
      <c r="M941" s="211"/>
      <c r="N941" s="211"/>
      <c r="O941" s="211"/>
      <c r="P941" s="211"/>
      <c r="Q941" s="211"/>
      <c r="R941" s="211"/>
      <c r="S941" s="211"/>
      <c r="T941" s="211"/>
      <c r="U941" s="211"/>
      <c r="V941" s="211"/>
      <c r="W941" s="211"/>
      <c r="X941" s="211"/>
      <c r="Y941" s="211"/>
      <c r="Z941" s="211"/>
      <c r="AA941" s="211"/>
    </row>
    <row r="942">
      <c r="A942" s="211"/>
      <c r="B942" s="211"/>
      <c r="C942" s="211"/>
      <c r="D942" s="211"/>
      <c r="E942" s="211"/>
      <c r="F942" s="211"/>
      <c r="G942" s="211"/>
      <c r="H942" s="211"/>
      <c r="I942" s="211"/>
      <c r="J942" s="211"/>
      <c r="K942" s="211"/>
      <c r="L942" s="211"/>
      <c r="M942" s="211"/>
      <c r="N942" s="211"/>
      <c r="O942" s="211"/>
      <c r="P942" s="211"/>
      <c r="Q942" s="211"/>
      <c r="R942" s="211"/>
      <c r="S942" s="211"/>
      <c r="T942" s="211"/>
      <c r="U942" s="211"/>
      <c r="V942" s="211"/>
      <c r="W942" s="211"/>
      <c r="X942" s="211"/>
      <c r="Y942" s="211"/>
      <c r="Z942" s="211"/>
      <c r="AA942" s="211"/>
    </row>
    <row r="943">
      <c r="A943" s="211"/>
      <c r="B943" s="211"/>
      <c r="C943" s="211"/>
      <c r="D943" s="211"/>
      <c r="E943" s="211"/>
      <c r="F943" s="211"/>
      <c r="G943" s="211"/>
      <c r="H943" s="211"/>
      <c r="I943" s="211"/>
      <c r="J943" s="211"/>
      <c r="K943" s="211"/>
      <c r="L943" s="211"/>
      <c r="M943" s="211"/>
      <c r="N943" s="211"/>
      <c r="O943" s="211"/>
      <c r="P943" s="211"/>
      <c r="Q943" s="211"/>
      <c r="R943" s="211"/>
      <c r="S943" s="211"/>
      <c r="T943" s="211"/>
      <c r="U943" s="211"/>
      <c r="V943" s="211"/>
      <c r="W943" s="211"/>
      <c r="X943" s="211"/>
      <c r="Y943" s="211"/>
      <c r="Z943" s="211"/>
      <c r="AA943" s="211"/>
    </row>
    <row r="944">
      <c r="A944" s="211"/>
      <c r="B944" s="211"/>
      <c r="C944" s="211"/>
      <c r="D944" s="211"/>
      <c r="E944" s="211"/>
      <c r="F944" s="211"/>
      <c r="G944" s="211"/>
      <c r="H944" s="211"/>
      <c r="I944" s="211"/>
      <c r="J944" s="211"/>
      <c r="K944" s="211"/>
      <c r="L944" s="211"/>
      <c r="M944" s="211"/>
      <c r="N944" s="211"/>
      <c r="O944" s="211"/>
      <c r="P944" s="211"/>
      <c r="Q944" s="211"/>
      <c r="R944" s="211"/>
      <c r="S944" s="211"/>
      <c r="T944" s="211"/>
      <c r="U944" s="211"/>
      <c r="V944" s="211"/>
      <c r="W944" s="211"/>
      <c r="X944" s="211"/>
      <c r="Y944" s="211"/>
      <c r="Z944" s="211"/>
      <c r="AA944" s="211"/>
    </row>
    <row r="945">
      <c r="A945" s="211"/>
      <c r="B945" s="211"/>
      <c r="C945" s="211"/>
      <c r="D945" s="211"/>
      <c r="E945" s="211"/>
      <c r="F945" s="211"/>
      <c r="G945" s="211"/>
      <c r="H945" s="211"/>
      <c r="I945" s="211"/>
      <c r="J945" s="211"/>
      <c r="K945" s="211"/>
      <c r="L945" s="211"/>
      <c r="M945" s="211"/>
      <c r="N945" s="211"/>
      <c r="O945" s="211"/>
      <c r="P945" s="211"/>
      <c r="Q945" s="211"/>
      <c r="R945" s="211"/>
      <c r="S945" s="211"/>
      <c r="T945" s="211"/>
      <c r="U945" s="211"/>
      <c r="V945" s="211"/>
      <c r="W945" s="211"/>
      <c r="X945" s="211"/>
      <c r="Y945" s="211"/>
      <c r="Z945" s="211"/>
      <c r="AA945" s="211"/>
    </row>
    <row r="946">
      <c r="A946" s="211"/>
      <c r="B946" s="211"/>
      <c r="C946" s="211"/>
      <c r="D946" s="211"/>
      <c r="E946" s="211"/>
      <c r="F946" s="211"/>
      <c r="G946" s="211"/>
      <c r="H946" s="211"/>
      <c r="I946" s="211"/>
      <c r="J946" s="211"/>
      <c r="K946" s="211"/>
      <c r="L946" s="211"/>
      <c r="M946" s="211"/>
      <c r="N946" s="211"/>
      <c r="O946" s="211"/>
      <c r="P946" s="211"/>
      <c r="Q946" s="211"/>
      <c r="R946" s="211"/>
      <c r="S946" s="211"/>
      <c r="T946" s="211"/>
      <c r="U946" s="211"/>
      <c r="V946" s="211"/>
      <c r="W946" s="211"/>
      <c r="X946" s="211"/>
      <c r="Y946" s="211"/>
      <c r="Z946" s="211"/>
      <c r="AA946" s="211"/>
    </row>
    <row r="947">
      <c r="A947" s="211"/>
      <c r="B947" s="211"/>
      <c r="C947" s="211"/>
      <c r="D947" s="211"/>
      <c r="E947" s="211"/>
      <c r="F947" s="211"/>
      <c r="G947" s="211"/>
      <c r="H947" s="211"/>
      <c r="I947" s="211"/>
      <c r="J947" s="211"/>
      <c r="K947" s="211"/>
      <c r="L947" s="211"/>
      <c r="M947" s="211"/>
      <c r="N947" s="211"/>
      <c r="O947" s="211"/>
      <c r="P947" s="211"/>
      <c r="Q947" s="211"/>
      <c r="R947" s="211"/>
      <c r="S947" s="211"/>
      <c r="T947" s="211"/>
      <c r="U947" s="211"/>
      <c r="V947" s="211"/>
      <c r="W947" s="211"/>
      <c r="X947" s="211"/>
      <c r="Y947" s="211"/>
      <c r="Z947" s="211"/>
      <c r="AA947" s="211"/>
    </row>
    <row r="948">
      <c r="A948" s="211"/>
      <c r="B948" s="211"/>
      <c r="C948" s="211"/>
      <c r="D948" s="211"/>
      <c r="E948" s="211"/>
      <c r="F948" s="211"/>
      <c r="G948" s="211"/>
      <c r="H948" s="211"/>
      <c r="I948" s="211"/>
      <c r="J948" s="211"/>
      <c r="K948" s="211"/>
      <c r="L948" s="211"/>
      <c r="M948" s="211"/>
      <c r="N948" s="211"/>
      <c r="O948" s="211"/>
      <c r="P948" s="211"/>
      <c r="Q948" s="211"/>
      <c r="R948" s="211"/>
      <c r="S948" s="211"/>
      <c r="T948" s="211"/>
      <c r="U948" s="211"/>
      <c r="V948" s="211"/>
      <c r="W948" s="211"/>
      <c r="X948" s="211"/>
      <c r="Y948" s="211"/>
      <c r="Z948" s="211"/>
      <c r="AA948" s="211"/>
    </row>
    <row r="949">
      <c r="A949" s="211"/>
      <c r="B949" s="211"/>
      <c r="C949" s="211"/>
      <c r="D949" s="211"/>
      <c r="E949" s="211"/>
      <c r="F949" s="211"/>
      <c r="G949" s="211"/>
      <c r="H949" s="211"/>
      <c r="I949" s="211"/>
      <c r="J949" s="211"/>
      <c r="K949" s="211"/>
      <c r="L949" s="211"/>
      <c r="M949" s="211"/>
      <c r="N949" s="211"/>
      <c r="O949" s="211"/>
      <c r="P949" s="211"/>
      <c r="Q949" s="211"/>
      <c r="R949" s="211"/>
      <c r="S949" s="211"/>
      <c r="T949" s="211"/>
      <c r="U949" s="211"/>
      <c r="V949" s="211"/>
      <c r="W949" s="211"/>
      <c r="X949" s="211"/>
      <c r="Y949" s="211"/>
      <c r="Z949" s="211"/>
      <c r="AA949" s="211"/>
    </row>
    <row r="950">
      <c r="A950" s="211"/>
      <c r="B950" s="211"/>
      <c r="C950" s="211"/>
      <c r="D950" s="211"/>
      <c r="E950" s="211"/>
      <c r="F950" s="211"/>
      <c r="G950" s="211"/>
      <c r="H950" s="211"/>
      <c r="I950" s="211"/>
      <c r="J950" s="211"/>
      <c r="K950" s="211"/>
      <c r="L950" s="211"/>
      <c r="M950" s="211"/>
      <c r="N950" s="211"/>
      <c r="O950" s="211"/>
      <c r="P950" s="211"/>
      <c r="Q950" s="211"/>
      <c r="R950" s="211"/>
      <c r="S950" s="211"/>
      <c r="T950" s="211"/>
      <c r="U950" s="211"/>
      <c r="V950" s="211"/>
      <c r="W950" s="211"/>
      <c r="X950" s="211"/>
      <c r="Y950" s="211"/>
      <c r="Z950" s="211"/>
      <c r="AA950" s="211"/>
    </row>
    <row r="951">
      <c r="A951" s="211"/>
      <c r="B951" s="211"/>
      <c r="C951" s="211"/>
      <c r="D951" s="211"/>
      <c r="E951" s="211"/>
      <c r="F951" s="211"/>
      <c r="G951" s="211"/>
      <c r="H951" s="211"/>
      <c r="I951" s="211"/>
      <c r="J951" s="211"/>
      <c r="K951" s="211"/>
      <c r="L951" s="211"/>
      <c r="M951" s="211"/>
      <c r="N951" s="211"/>
      <c r="O951" s="211"/>
      <c r="P951" s="211"/>
      <c r="Q951" s="211"/>
      <c r="R951" s="211"/>
      <c r="S951" s="211"/>
      <c r="T951" s="211"/>
      <c r="U951" s="211"/>
      <c r="V951" s="211"/>
      <c r="W951" s="211"/>
      <c r="X951" s="211"/>
      <c r="Y951" s="211"/>
      <c r="Z951" s="211"/>
      <c r="AA951" s="211"/>
    </row>
    <row r="952">
      <c r="A952" s="211"/>
      <c r="B952" s="211"/>
      <c r="C952" s="211"/>
      <c r="D952" s="211"/>
      <c r="E952" s="211"/>
      <c r="F952" s="211"/>
      <c r="G952" s="211"/>
      <c r="H952" s="211"/>
      <c r="I952" s="211"/>
      <c r="J952" s="211"/>
      <c r="K952" s="211"/>
      <c r="L952" s="211"/>
      <c r="M952" s="211"/>
      <c r="N952" s="211"/>
      <c r="O952" s="211"/>
      <c r="P952" s="211"/>
      <c r="Q952" s="211"/>
      <c r="R952" s="211"/>
      <c r="S952" s="211"/>
      <c r="T952" s="211"/>
      <c r="U952" s="211"/>
      <c r="V952" s="211"/>
      <c r="W952" s="211"/>
      <c r="X952" s="211"/>
      <c r="Y952" s="211"/>
      <c r="Z952" s="211"/>
      <c r="AA952" s="211"/>
    </row>
    <row r="953">
      <c r="A953" s="211"/>
      <c r="B953" s="211"/>
      <c r="C953" s="211"/>
      <c r="D953" s="211"/>
      <c r="E953" s="211"/>
      <c r="F953" s="211"/>
      <c r="G953" s="211"/>
      <c r="H953" s="211"/>
      <c r="I953" s="211"/>
      <c r="J953" s="211"/>
      <c r="K953" s="211"/>
      <c r="L953" s="211"/>
      <c r="M953" s="211"/>
      <c r="N953" s="211"/>
      <c r="O953" s="211"/>
      <c r="P953" s="211"/>
      <c r="Q953" s="211"/>
      <c r="R953" s="211"/>
      <c r="S953" s="211"/>
      <c r="T953" s="211"/>
      <c r="U953" s="211"/>
      <c r="V953" s="211"/>
      <c r="W953" s="211"/>
      <c r="X953" s="211"/>
      <c r="Y953" s="211"/>
      <c r="Z953" s="211"/>
      <c r="AA953" s="211"/>
    </row>
    <row r="954">
      <c r="A954" s="211"/>
      <c r="B954" s="211"/>
      <c r="C954" s="211"/>
      <c r="D954" s="211"/>
      <c r="E954" s="211"/>
      <c r="F954" s="211"/>
      <c r="G954" s="211"/>
      <c r="H954" s="211"/>
      <c r="I954" s="211"/>
      <c r="J954" s="211"/>
      <c r="K954" s="211"/>
      <c r="L954" s="211"/>
      <c r="M954" s="211"/>
      <c r="N954" s="211"/>
      <c r="O954" s="211"/>
      <c r="P954" s="211"/>
      <c r="Q954" s="211"/>
      <c r="R954" s="211"/>
      <c r="S954" s="211"/>
      <c r="T954" s="211"/>
      <c r="U954" s="211"/>
      <c r="V954" s="211"/>
      <c r="W954" s="211"/>
      <c r="X954" s="211"/>
      <c r="Y954" s="211"/>
      <c r="Z954" s="211"/>
      <c r="AA954" s="211"/>
    </row>
    <row r="955">
      <c r="A955" s="211"/>
      <c r="B955" s="211"/>
      <c r="C955" s="211"/>
      <c r="D955" s="211"/>
      <c r="E955" s="211"/>
      <c r="F955" s="211"/>
      <c r="G955" s="211"/>
      <c r="H955" s="211"/>
      <c r="I955" s="211"/>
      <c r="J955" s="211"/>
      <c r="K955" s="211"/>
      <c r="L955" s="211"/>
      <c r="M955" s="211"/>
      <c r="N955" s="211"/>
      <c r="O955" s="211"/>
      <c r="P955" s="211"/>
      <c r="Q955" s="211"/>
      <c r="R955" s="211"/>
      <c r="S955" s="211"/>
      <c r="T955" s="211"/>
      <c r="U955" s="211"/>
      <c r="V955" s="211"/>
      <c r="W955" s="211"/>
      <c r="X955" s="211"/>
      <c r="Y955" s="211"/>
      <c r="Z955" s="211"/>
      <c r="AA955" s="211"/>
    </row>
    <row r="956">
      <c r="A956" s="211"/>
      <c r="B956" s="211"/>
      <c r="C956" s="211"/>
      <c r="D956" s="211"/>
      <c r="E956" s="211"/>
      <c r="F956" s="211"/>
      <c r="G956" s="211"/>
      <c r="H956" s="211"/>
      <c r="I956" s="211"/>
      <c r="J956" s="211"/>
      <c r="K956" s="211"/>
      <c r="L956" s="211"/>
      <c r="M956" s="211"/>
      <c r="N956" s="211"/>
      <c r="O956" s="211"/>
      <c r="P956" s="211"/>
      <c r="Q956" s="211"/>
      <c r="R956" s="211"/>
      <c r="S956" s="211"/>
      <c r="T956" s="211"/>
      <c r="U956" s="211"/>
      <c r="V956" s="211"/>
      <c r="W956" s="211"/>
      <c r="X956" s="211"/>
      <c r="Y956" s="211"/>
      <c r="Z956" s="211"/>
      <c r="AA956" s="211"/>
    </row>
    <row r="957">
      <c r="A957" s="211"/>
      <c r="B957" s="211"/>
      <c r="C957" s="211"/>
      <c r="D957" s="211"/>
      <c r="E957" s="211"/>
      <c r="F957" s="211"/>
      <c r="G957" s="211"/>
      <c r="H957" s="211"/>
      <c r="I957" s="211"/>
      <c r="J957" s="211"/>
      <c r="K957" s="211"/>
      <c r="L957" s="211"/>
      <c r="M957" s="211"/>
      <c r="N957" s="211"/>
      <c r="O957" s="211"/>
      <c r="P957" s="211"/>
      <c r="Q957" s="211"/>
      <c r="R957" s="211"/>
      <c r="S957" s="211"/>
      <c r="T957" s="211"/>
      <c r="U957" s="211"/>
      <c r="V957" s="211"/>
      <c r="W957" s="211"/>
      <c r="X957" s="211"/>
      <c r="Y957" s="211"/>
      <c r="Z957" s="211"/>
      <c r="AA957" s="211"/>
    </row>
    <row r="958">
      <c r="A958" s="211"/>
      <c r="B958" s="211"/>
      <c r="C958" s="211"/>
      <c r="D958" s="211"/>
      <c r="E958" s="211"/>
      <c r="F958" s="211"/>
      <c r="G958" s="211"/>
      <c r="H958" s="211"/>
      <c r="I958" s="211"/>
      <c r="J958" s="211"/>
      <c r="K958" s="211"/>
      <c r="L958" s="211"/>
      <c r="M958" s="211"/>
      <c r="N958" s="211"/>
      <c r="O958" s="211"/>
      <c r="P958" s="211"/>
      <c r="Q958" s="211"/>
      <c r="R958" s="211"/>
      <c r="S958" s="211"/>
      <c r="T958" s="211"/>
      <c r="U958" s="211"/>
      <c r="V958" s="211"/>
      <c r="W958" s="211"/>
      <c r="X958" s="211"/>
      <c r="Y958" s="211"/>
      <c r="Z958" s="211"/>
      <c r="AA958" s="211"/>
    </row>
    <row r="959">
      <c r="A959" s="211"/>
      <c r="B959" s="211"/>
      <c r="C959" s="211"/>
      <c r="D959" s="211"/>
      <c r="E959" s="211"/>
      <c r="F959" s="211"/>
      <c r="G959" s="211"/>
      <c r="H959" s="211"/>
      <c r="I959" s="211"/>
      <c r="J959" s="211"/>
      <c r="K959" s="211"/>
      <c r="L959" s="211"/>
      <c r="M959" s="211"/>
      <c r="N959" s="211"/>
      <c r="O959" s="211"/>
      <c r="P959" s="211"/>
      <c r="Q959" s="211"/>
      <c r="R959" s="211"/>
      <c r="S959" s="211"/>
      <c r="T959" s="211"/>
      <c r="U959" s="211"/>
      <c r="V959" s="211"/>
      <c r="W959" s="211"/>
      <c r="X959" s="211"/>
      <c r="Y959" s="211"/>
      <c r="Z959" s="211"/>
      <c r="AA959" s="211"/>
    </row>
    <row r="960">
      <c r="A960" s="211"/>
      <c r="B960" s="211"/>
      <c r="C960" s="211"/>
      <c r="D960" s="211"/>
      <c r="E960" s="211"/>
      <c r="F960" s="211"/>
      <c r="G960" s="211"/>
      <c r="H960" s="211"/>
      <c r="I960" s="211"/>
      <c r="J960" s="211"/>
      <c r="K960" s="211"/>
      <c r="L960" s="211"/>
      <c r="M960" s="211"/>
      <c r="N960" s="211"/>
      <c r="O960" s="211"/>
      <c r="P960" s="211"/>
      <c r="Q960" s="211"/>
      <c r="R960" s="211"/>
      <c r="S960" s="211"/>
      <c r="T960" s="211"/>
      <c r="U960" s="211"/>
      <c r="V960" s="211"/>
      <c r="W960" s="211"/>
      <c r="X960" s="211"/>
      <c r="Y960" s="211"/>
      <c r="Z960" s="211"/>
      <c r="AA960" s="211"/>
    </row>
    <row r="961">
      <c r="A961" s="211"/>
      <c r="B961" s="211"/>
      <c r="C961" s="211"/>
      <c r="D961" s="211"/>
      <c r="E961" s="211"/>
      <c r="F961" s="211"/>
      <c r="G961" s="211"/>
      <c r="H961" s="211"/>
      <c r="I961" s="211"/>
      <c r="J961" s="211"/>
      <c r="K961" s="211"/>
      <c r="L961" s="211"/>
      <c r="M961" s="211"/>
      <c r="N961" s="211"/>
      <c r="O961" s="211"/>
      <c r="P961" s="211"/>
      <c r="Q961" s="211"/>
      <c r="R961" s="211"/>
      <c r="S961" s="211"/>
      <c r="T961" s="211"/>
      <c r="U961" s="211"/>
      <c r="V961" s="211"/>
      <c r="W961" s="211"/>
      <c r="X961" s="211"/>
      <c r="Y961" s="211"/>
      <c r="Z961" s="211"/>
      <c r="AA961" s="211"/>
    </row>
    <row r="962">
      <c r="A962" s="211"/>
      <c r="B962" s="211"/>
      <c r="C962" s="211"/>
      <c r="D962" s="211"/>
      <c r="E962" s="211"/>
      <c r="F962" s="211"/>
      <c r="G962" s="211"/>
      <c r="H962" s="211"/>
      <c r="I962" s="211"/>
      <c r="J962" s="211"/>
      <c r="K962" s="211"/>
      <c r="L962" s="211"/>
      <c r="M962" s="211"/>
      <c r="N962" s="211"/>
      <c r="O962" s="211"/>
      <c r="P962" s="211"/>
      <c r="Q962" s="211"/>
      <c r="R962" s="211"/>
      <c r="S962" s="211"/>
      <c r="T962" s="211"/>
      <c r="U962" s="211"/>
      <c r="V962" s="211"/>
      <c r="W962" s="211"/>
      <c r="X962" s="211"/>
      <c r="Y962" s="211"/>
      <c r="Z962" s="211"/>
      <c r="AA962" s="211"/>
    </row>
    <row r="963">
      <c r="A963" s="211"/>
      <c r="B963" s="211"/>
      <c r="C963" s="211"/>
      <c r="D963" s="211"/>
      <c r="E963" s="211"/>
      <c r="F963" s="211"/>
      <c r="G963" s="211"/>
      <c r="H963" s="211"/>
      <c r="I963" s="211"/>
      <c r="J963" s="211"/>
      <c r="K963" s="211"/>
      <c r="L963" s="211"/>
      <c r="M963" s="211"/>
      <c r="N963" s="211"/>
      <c r="O963" s="211"/>
      <c r="P963" s="211"/>
      <c r="Q963" s="211"/>
      <c r="R963" s="211"/>
      <c r="S963" s="211"/>
      <c r="T963" s="211"/>
      <c r="U963" s="211"/>
      <c r="V963" s="211"/>
      <c r="W963" s="211"/>
      <c r="X963" s="211"/>
      <c r="Y963" s="211"/>
      <c r="Z963" s="211"/>
      <c r="AA963" s="211"/>
    </row>
    <row r="964">
      <c r="A964" s="211"/>
      <c r="B964" s="211"/>
      <c r="C964" s="211"/>
      <c r="D964" s="211"/>
      <c r="E964" s="211"/>
      <c r="F964" s="211"/>
      <c r="G964" s="211"/>
      <c r="H964" s="211"/>
      <c r="I964" s="211"/>
      <c r="J964" s="211"/>
      <c r="K964" s="211"/>
      <c r="L964" s="211"/>
      <c r="M964" s="211"/>
      <c r="N964" s="211"/>
      <c r="O964" s="211"/>
      <c r="P964" s="211"/>
      <c r="Q964" s="211"/>
      <c r="R964" s="211"/>
      <c r="S964" s="211"/>
      <c r="T964" s="211"/>
      <c r="U964" s="211"/>
      <c r="V964" s="211"/>
      <c r="W964" s="211"/>
      <c r="X964" s="211"/>
      <c r="Y964" s="211"/>
      <c r="Z964" s="211"/>
      <c r="AA964" s="211"/>
    </row>
    <row r="965">
      <c r="A965" s="211"/>
      <c r="B965" s="211"/>
      <c r="C965" s="211"/>
      <c r="D965" s="211"/>
      <c r="E965" s="211"/>
      <c r="F965" s="211"/>
      <c r="G965" s="211"/>
      <c r="H965" s="211"/>
      <c r="I965" s="211"/>
      <c r="J965" s="211"/>
      <c r="K965" s="211"/>
      <c r="L965" s="211"/>
      <c r="M965" s="211"/>
      <c r="N965" s="211"/>
      <c r="O965" s="211"/>
      <c r="P965" s="211"/>
      <c r="Q965" s="211"/>
      <c r="R965" s="211"/>
      <c r="S965" s="211"/>
      <c r="T965" s="211"/>
      <c r="U965" s="211"/>
      <c r="V965" s="211"/>
      <c r="W965" s="211"/>
      <c r="X965" s="211"/>
      <c r="Y965" s="211"/>
      <c r="Z965" s="211"/>
      <c r="AA965" s="211"/>
    </row>
    <row r="966">
      <c r="A966" s="211"/>
      <c r="B966" s="211"/>
      <c r="C966" s="211"/>
      <c r="D966" s="211"/>
      <c r="E966" s="211"/>
      <c r="F966" s="211"/>
      <c r="G966" s="211"/>
      <c r="H966" s="211"/>
      <c r="I966" s="211"/>
      <c r="J966" s="211"/>
      <c r="K966" s="211"/>
      <c r="L966" s="211"/>
      <c r="M966" s="211"/>
      <c r="N966" s="211"/>
      <c r="O966" s="211"/>
      <c r="P966" s="211"/>
      <c r="Q966" s="211"/>
      <c r="R966" s="211"/>
      <c r="S966" s="211"/>
      <c r="T966" s="211"/>
      <c r="U966" s="211"/>
      <c r="V966" s="211"/>
      <c r="W966" s="211"/>
      <c r="X966" s="211"/>
      <c r="Y966" s="211"/>
      <c r="Z966" s="211"/>
      <c r="AA966" s="211"/>
    </row>
    <row r="967">
      <c r="A967" s="211"/>
      <c r="B967" s="211"/>
      <c r="C967" s="211"/>
      <c r="D967" s="211"/>
      <c r="E967" s="211"/>
      <c r="F967" s="211"/>
      <c r="G967" s="211"/>
      <c r="H967" s="211"/>
      <c r="I967" s="211"/>
      <c r="J967" s="211"/>
      <c r="K967" s="211"/>
      <c r="L967" s="211"/>
      <c r="M967" s="211"/>
      <c r="N967" s="211"/>
      <c r="O967" s="211"/>
      <c r="P967" s="211"/>
      <c r="Q967" s="211"/>
      <c r="R967" s="211"/>
      <c r="S967" s="211"/>
      <c r="T967" s="211"/>
      <c r="U967" s="211"/>
      <c r="V967" s="211"/>
      <c r="W967" s="211"/>
      <c r="X967" s="211"/>
      <c r="Y967" s="211"/>
      <c r="Z967" s="211"/>
      <c r="AA967" s="211"/>
    </row>
    <row r="968">
      <c r="A968" s="211"/>
      <c r="B968" s="211"/>
      <c r="C968" s="211"/>
      <c r="D968" s="211"/>
      <c r="E968" s="211"/>
      <c r="F968" s="211"/>
      <c r="G968" s="211"/>
      <c r="H968" s="211"/>
      <c r="I968" s="211"/>
      <c r="J968" s="211"/>
      <c r="K968" s="211"/>
      <c r="L968" s="211"/>
      <c r="M968" s="211"/>
      <c r="N968" s="211"/>
      <c r="O968" s="211"/>
      <c r="P968" s="211"/>
      <c r="Q968" s="211"/>
      <c r="R968" s="211"/>
      <c r="S968" s="211"/>
      <c r="T968" s="211"/>
      <c r="U968" s="211"/>
      <c r="V968" s="211"/>
      <c r="W968" s="211"/>
      <c r="X968" s="211"/>
      <c r="Y968" s="211"/>
      <c r="Z968" s="211"/>
      <c r="AA968" s="211"/>
    </row>
    <row r="969">
      <c r="A969" s="211"/>
      <c r="B969" s="211"/>
      <c r="C969" s="211"/>
      <c r="D969" s="211"/>
      <c r="E969" s="211"/>
      <c r="F969" s="211"/>
      <c r="G969" s="211"/>
      <c r="H969" s="211"/>
      <c r="I969" s="211"/>
      <c r="J969" s="211"/>
      <c r="K969" s="211"/>
      <c r="L969" s="211"/>
      <c r="M969" s="211"/>
      <c r="N969" s="211"/>
      <c r="O969" s="211"/>
      <c r="P969" s="211"/>
      <c r="Q969" s="211"/>
      <c r="R969" s="211"/>
      <c r="S969" s="211"/>
      <c r="T969" s="211"/>
      <c r="U969" s="211"/>
      <c r="V969" s="211"/>
      <c r="W969" s="211"/>
      <c r="X969" s="211"/>
      <c r="Y969" s="211"/>
      <c r="Z969" s="211"/>
      <c r="AA969" s="211"/>
    </row>
    <row r="970">
      <c r="A970" s="211"/>
      <c r="B970" s="211"/>
      <c r="C970" s="211"/>
      <c r="D970" s="211"/>
      <c r="E970" s="211"/>
      <c r="F970" s="211"/>
      <c r="G970" s="211"/>
      <c r="H970" s="211"/>
      <c r="I970" s="211"/>
      <c r="J970" s="211"/>
      <c r="K970" s="211"/>
      <c r="L970" s="211"/>
      <c r="M970" s="211"/>
      <c r="N970" s="211"/>
      <c r="O970" s="211"/>
      <c r="P970" s="211"/>
      <c r="Q970" s="211"/>
      <c r="R970" s="211"/>
      <c r="S970" s="211"/>
      <c r="T970" s="211"/>
      <c r="U970" s="211"/>
      <c r="V970" s="211"/>
      <c r="W970" s="211"/>
      <c r="X970" s="211"/>
      <c r="Y970" s="211"/>
      <c r="Z970" s="211"/>
      <c r="AA970" s="211"/>
    </row>
    <row r="971">
      <c r="A971" s="211"/>
      <c r="B971" s="211"/>
      <c r="C971" s="211"/>
      <c r="D971" s="211"/>
      <c r="E971" s="211"/>
      <c r="F971" s="211"/>
      <c r="G971" s="211"/>
      <c r="H971" s="211"/>
      <c r="I971" s="211"/>
      <c r="J971" s="211"/>
      <c r="K971" s="211"/>
      <c r="L971" s="211"/>
      <c r="M971" s="211"/>
      <c r="N971" s="211"/>
      <c r="O971" s="211"/>
      <c r="P971" s="211"/>
      <c r="Q971" s="211"/>
      <c r="R971" s="211"/>
      <c r="S971" s="211"/>
      <c r="T971" s="211"/>
      <c r="U971" s="211"/>
      <c r="V971" s="211"/>
      <c r="W971" s="211"/>
      <c r="X971" s="211"/>
      <c r="Y971" s="211"/>
      <c r="Z971" s="211"/>
      <c r="AA971" s="211"/>
    </row>
    <row r="972">
      <c r="A972" s="211"/>
      <c r="B972" s="211"/>
      <c r="C972" s="211"/>
      <c r="D972" s="211"/>
      <c r="E972" s="211"/>
      <c r="F972" s="211"/>
      <c r="G972" s="211"/>
      <c r="H972" s="211"/>
      <c r="I972" s="211"/>
      <c r="J972" s="211"/>
      <c r="K972" s="211"/>
      <c r="L972" s="211"/>
      <c r="M972" s="211"/>
      <c r="N972" s="211"/>
      <c r="O972" s="211"/>
      <c r="P972" s="211"/>
      <c r="Q972" s="211"/>
      <c r="R972" s="211"/>
      <c r="S972" s="211"/>
      <c r="T972" s="211"/>
      <c r="U972" s="211"/>
      <c r="V972" s="211"/>
      <c r="W972" s="211"/>
      <c r="X972" s="211"/>
      <c r="Y972" s="211"/>
      <c r="Z972" s="211"/>
      <c r="AA972" s="211"/>
    </row>
    <row r="973">
      <c r="A973" s="211"/>
      <c r="B973" s="211"/>
      <c r="C973" s="211"/>
      <c r="D973" s="211"/>
      <c r="E973" s="211"/>
      <c r="F973" s="211"/>
      <c r="G973" s="211"/>
      <c r="H973" s="211"/>
      <c r="I973" s="211"/>
      <c r="J973" s="211"/>
      <c r="K973" s="211"/>
      <c r="L973" s="211"/>
      <c r="M973" s="211"/>
      <c r="N973" s="211"/>
      <c r="O973" s="211"/>
      <c r="P973" s="211"/>
      <c r="Q973" s="211"/>
      <c r="R973" s="211"/>
      <c r="S973" s="211"/>
      <c r="T973" s="211"/>
      <c r="U973" s="211"/>
      <c r="V973" s="211"/>
      <c r="W973" s="211"/>
      <c r="X973" s="211"/>
      <c r="Y973" s="211"/>
      <c r="Z973" s="211"/>
      <c r="AA973" s="211"/>
    </row>
    <row r="974">
      <c r="A974" s="211"/>
      <c r="B974" s="211"/>
      <c r="C974" s="211"/>
      <c r="D974" s="211"/>
      <c r="E974" s="211"/>
      <c r="F974" s="211"/>
      <c r="G974" s="211"/>
      <c r="H974" s="211"/>
      <c r="I974" s="211"/>
      <c r="J974" s="211"/>
      <c r="K974" s="211"/>
      <c r="L974" s="211"/>
      <c r="M974" s="211"/>
      <c r="N974" s="211"/>
      <c r="O974" s="211"/>
      <c r="P974" s="211"/>
      <c r="Q974" s="211"/>
      <c r="R974" s="211"/>
      <c r="S974" s="211"/>
      <c r="T974" s="211"/>
      <c r="U974" s="211"/>
      <c r="V974" s="211"/>
      <c r="W974" s="211"/>
      <c r="X974" s="211"/>
      <c r="Y974" s="211"/>
      <c r="Z974" s="211"/>
      <c r="AA974" s="211"/>
    </row>
    <row r="975">
      <c r="A975" s="211"/>
      <c r="B975" s="211"/>
      <c r="C975" s="211"/>
      <c r="D975" s="211"/>
      <c r="E975" s="211"/>
      <c r="F975" s="211"/>
      <c r="G975" s="211"/>
      <c r="H975" s="211"/>
      <c r="I975" s="211"/>
      <c r="J975" s="211"/>
      <c r="K975" s="211"/>
      <c r="L975" s="211"/>
      <c r="M975" s="211"/>
      <c r="N975" s="211"/>
      <c r="O975" s="211"/>
      <c r="P975" s="211"/>
      <c r="Q975" s="211"/>
      <c r="R975" s="211"/>
      <c r="S975" s="211"/>
      <c r="T975" s="211"/>
      <c r="U975" s="211"/>
      <c r="V975" s="211"/>
      <c r="W975" s="211"/>
      <c r="X975" s="211"/>
      <c r="Y975" s="211"/>
      <c r="Z975" s="211"/>
      <c r="AA975" s="211"/>
    </row>
    <row r="976">
      <c r="A976" s="211"/>
      <c r="B976" s="211"/>
      <c r="C976" s="211"/>
      <c r="D976" s="211"/>
      <c r="E976" s="211"/>
      <c r="F976" s="211"/>
      <c r="G976" s="211"/>
      <c r="H976" s="211"/>
      <c r="I976" s="211"/>
      <c r="J976" s="211"/>
      <c r="K976" s="211"/>
      <c r="L976" s="211"/>
      <c r="M976" s="211"/>
      <c r="N976" s="211"/>
      <c r="O976" s="211"/>
      <c r="P976" s="211"/>
      <c r="Q976" s="211"/>
      <c r="R976" s="211"/>
      <c r="S976" s="211"/>
      <c r="T976" s="211"/>
      <c r="U976" s="211"/>
      <c r="V976" s="211"/>
      <c r="W976" s="211"/>
      <c r="X976" s="211"/>
      <c r="Y976" s="211"/>
      <c r="Z976" s="211"/>
      <c r="AA976" s="211"/>
    </row>
    <row r="977">
      <c r="A977" s="211"/>
      <c r="B977" s="211"/>
      <c r="C977" s="211"/>
      <c r="D977" s="211"/>
      <c r="E977" s="211"/>
      <c r="F977" s="211"/>
      <c r="G977" s="211"/>
      <c r="H977" s="211"/>
      <c r="I977" s="211"/>
      <c r="J977" s="211"/>
      <c r="K977" s="211"/>
      <c r="L977" s="211"/>
      <c r="M977" s="211"/>
      <c r="N977" s="211"/>
      <c r="O977" s="211"/>
      <c r="P977" s="211"/>
      <c r="Q977" s="211"/>
      <c r="R977" s="211"/>
      <c r="S977" s="211"/>
      <c r="T977" s="211"/>
      <c r="U977" s="211"/>
      <c r="V977" s="211"/>
      <c r="W977" s="211"/>
      <c r="X977" s="211"/>
      <c r="Y977" s="211"/>
      <c r="Z977" s="211"/>
      <c r="AA977" s="211"/>
    </row>
    <row r="978">
      <c r="A978" s="211"/>
      <c r="B978" s="211"/>
      <c r="C978" s="211"/>
      <c r="D978" s="211"/>
      <c r="E978" s="211"/>
      <c r="F978" s="211"/>
      <c r="G978" s="211"/>
      <c r="H978" s="211"/>
      <c r="I978" s="211"/>
      <c r="J978" s="211"/>
      <c r="K978" s="211"/>
      <c r="L978" s="211"/>
      <c r="M978" s="211"/>
      <c r="N978" s="211"/>
      <c r="O978" s="211"/>
      <c r="P978" s="211"/>
      <c r="Q978" s="211"/>
      <c r="R978" s="211"/>
      <c r="S978" s="211"/>
      <c r="T978" s="211"/>
      <c r="U978" s="211"/>
      <c r="V978" s="211"/>
      <c r="W978" s="211"/>
      <c r="X978" s="211"/>
      <c r="Y978" s="211"/>
      <c r="Z978" s="211"/>
      <c r="AA978" s="211"/>
    </row>
    <row r="979">
      <c r="A979" s="211"/>
      <c r="B979" s="211"/>
      <c r="C979" s="211"/>
      <c r="D979" s="211"/>
      <c r="E979" s="211"/>
      <c r="F979" s="211"/>
      <c r="G979" s="211"/>
      <c r="H979" s="211"/>
      <c r="I979" s="211"/>
      <c r="J979" s="211"/>
      <c r="K979" s="211"/>
      <c r="L979" s="211"/>
      <c r="M979" s="211"/>
      <c r="N979" s="211"/>
      <c r="O979" s="211"/>
      <c r="P979" s="211"/>
      <c r="Q979" s="211"/>
      <c r="R979" s="211"/>
      <c r="S979" s="211"/>
      <c r="T979" s="211"/>
      <c r="U979" s="211"/>
      <c r="V979" s="211"/>
      <c r="W979" s="211"/>
      <c r="X979" s="211"/>
      <c r="Y979" s="211"/>
      <c r="Z979" s="211"/>
      <c r="AA979" s="211"/>
    </row>
    <row r="980">
      <c r="A980" s="211"/>
      <c r="B980" s="211"/>
      <c r="C980" s="211"/>
      <c r="D980" s="211"/>
      <c r="E980" s="211"/>
      <c r="F980" s="211"/>
      <c r="G980" s="211"/>
      <c r="H980" s="211"/>
      <c r="I980" s="211"/>
      <c r="J980" s="211"/>
      <c r="K980" s="211"/>
      <c r="L980" s="211"/>
      <c r="M980" s="211"/>
      <c r="N980" s="211"/>
      <c r="O980" s="211"/>
      <c r="P980" s="211"/>
      <c r="Q980" s="211"/>
      <c r="R980" s="211"/>
      <c r="S980" s="211"/>
      <c r="T980" s="211"/>
      <c r="U980" s="211"/>
      <c r="V980" s="211"/>
      <c r="W980" s="211"/>
      <c r="X980" s="211"/>
      <c r="Y980" s="211"/>
      <c r="Z980" s="211"/>
      <c r="AA980" s="211"/>
    </row>
    <row r="981">
      <c r="A981" s="211"/>
      <c r="B981" s="211"/>
      <c r="C981" s="211"/>
      <c r="D981" s="211"/>
      <c r="E981" s="211"/>
      <c r="F981" s="211"/>
      <c r="G981" s="211"/>
      <c r="H981" s="211"/>
      <c r="I981" s="211"/>
      <c r="J981" s="211"/>
      <c r="K981" s="211"/>
      <c r="L981" s="211"/>
      <c r="M981" s="211"/>
      <c r="N981" s="211"/>
      <c r="O981" s="211"/>
      <c r="P981" s="211"/>
      <c r="Q981" s="211"/>
      <c r="R981" s="211"/>
      <c r="S981" s="211"/>
      <c r="T981" s="211"/>
      <c r="U981" s="211"/>
      <c r="V981" s="211"/>
      <c r="W981" s="211"/>
      <c r="X981" s="211"/>
      <c r="Y981" s="211"/>
      <c r="Z981" s="211"/>
      <c r="AA981" s="211"/>
    </row>
    <row r="982">
      <c r="A982" s="211"/>
      <c r="B982" s="211"/>
      <c r="C982" s="211"/>
      <c r="D982" s="211"/>
      <c r="E982" s="211"/>
      <c r="F982" s="211"/>
      <c r="G982" s="211"/>
      <c r="H982" s="211"/>
      <c r="I982" s="211"/>
      <c r="J982" s="211"/>
      <c r="K982" s="211"/>
      <c r="L982" s="211"/>
      <c r="M982" s="211"/>
      <c r="N982" s="211"/>
      <c r="O982" s="211"/>
      <c r="P982" s="211"/>
      <c r="Q982" s="211"/>
      <c r="R982" s="211"/>
      <c r="S982" s="211"/>
      <c r="T982" s="211"/>
      <c r="U982" s="211"/>
      <c r="V982" s="211"/>
      <c r="W982" s="211"/>
      <c r="X982" s="211"/>
      <c r="Y982" s="211"/>
      <c r="Z982" s="211"/>
      <c r="AA982" s="211"/>
    </row>
    <row r="983">
      <c r="A983" s="211"/>
      <c r="B983" s="211"/>
      <c r="C983" s="211"/>
      <c r="D983" s="211"/>
      <c r="E983" s="211"/>
      <c r="F983" s="211"/>
      <c r="G983" s="211"/>
      <c r="H983" s="211"/>
      <c r="I983" s="211"/>
      <c r="J983" s="211"/>
      <c r="K983" s="211"/>
      <c r="L983" s="211"/>
      <c r="M983" s="211"/>
      <c r="N983" s="211"/>
      <c r="O983" s="211"/>
      <c r="P983" s="211"/>
      <c r="Q983" s="211"/>
      <c r="R983" s="211"/>
      <c r="S983" s="211"/>
      <c r="T983" s="211"/>
      <c r="U983" s="211"/>
      <c r="V983" s="211"/>
      <c r="W983" s="211"/>
      <c r="X983" s="211"/>
      <c r="Y983" s="211"/>
      <c r="Z983" s="211"/>
      <c r="AA983" s="211"/>
    </row>
    <row r="984">
      <c r="A984" s="211"/>
      <c r="B984" s="211"/>
      <c r="C984" s="211"/>
      <c r="D984" s="211"/>
      <c r="E984" s="211"/>
      <c r="F984" s="211"/>
      <c r="G984" s="211"/>
      <c r="H984" s="211"/>
      <c r="I984" s="211"/>
      <c r="J984" s="211"/>
      <c r="K984" s="211"/>
      <c r="L984" s="211"/>
      <c r="M984" s="211"/>
      <c r="N984" s="211"/>
      <c r="O984" s="211"/>
      <c r="P984" s="211"/>
      <c r="Q984" s="211"/>
      <c r="R984" s="211"/>
      <c r="S984" s="211"/>
      <c r="T984" s="211"/>
      <c r="U984" s="211"/>
      <c r="V984" s="211"/>
      <c r="W984" s="211"/>
      <c r="X984" s="211"/>
      <c r="Y984" s="211"/>
      <c r="Z984" s="211"/>
      <c r="AA984" s="211"/>
    </row>
    <row r="985">
      <c r="A985" s="211"/>
      <c r="B985" s="211"/>
      <c r="C985" s="211"/>
      <c r="D985" s="211"/>
      <c r="E985" s="211"/>
      <c r="F985" s="211"/>
      <c r="G985" s="211"/>
      <c r="H985" s="211"/>
      <c r="I985" s="211"/>
      <c r="J985" s="211"/>
      <c r="K985" s="211"/>
      <c r="L985" s="211"/>
      <c r="M985" s="211"/>
      <c r="N985" s="211"/>
      <c r="O985" s="211"/>
      <c r="P985" s="211"/>
      <c r="Q985" s="211"/>
      <c r="R985" s="211"/>
      <c r="S985" s="211"/>
      <c r="T985" s="211"/>
      <c r="U985" s="211"/>
      <c r="V985" s="211"/>
      <c r="W985" s="211"/>
      <c r="X985" s="211"/>
      <c r="Y985" s="211"/>
      <c r="Z985" s="211"/>
      <c r="AA985" s="211"/>
    </row>
    <row r="986">
      <c r="A986" s="211"/>
      <c r="B986" s="211"/>
      <c r="C986" s="211"/>
      <c r="D986" s="211"/>
      <c r="E986" s="211"/>
      <c r="F986" s="211"/>
      <c r="G986" s="211"/>
      <c r="H986" s="211"/>
      <c r="I986" s="211"/>
      <c r="J986" s="211"/>
      <c r="K986" s="211"/>
      <c r="L986" s="211"/>
      <c r="M986" s="211"/>
      <c r="N986" s="211"/>
      <c r="O986" s="211"/>
      <c r="P986" s="211"/>
      <c r="Q986" s="211"/>
      <c r="R986" s="211"/>
      <c r="S986" s="211"/>
      <c r="T986" s="211"/>
      <c r="U986" s="211"/>
      <c r="V986" s="211"/>
      <c r="W986" s="211"/>
      <c r="X986" s="211"/>
      <c r="Y986" s="211"/>
      <c r="Z986" s="211"/>
      <c r="AA986" s="211"/>
    </row>
    <row r="987">
      <c r="A987" s="211"/>
      <c r="B987" s="211"/>
      <c r="C987" s="211"/>
      <c r="D987" s="211"/>
      <c r="E987" s="211"/>
      <c r="F987" s="211"/>
      <c r="G987" s="211"/>
      <c r="H987" s="211"/>
      <c r="I987" s="211"/>
      <c r="J987" s="211"/>
      <c r="K987" s="211"/>
      <c r="L987" s="211"/>
      <c r="M987" s="211"/>
      <c r="N987" s="211"/>
      <c r="O987" s="211"/>
      <c r="P987" s="211"/>
      <c r="Q987" s="211"/>
      <c r="R987" s="211"/>
      <c r="S987" s="211"/>
      <c r="T987" s="211"/>
      <c r="U987" s="211"/>
      <c r="V987" s="211"/>
      <c r="W987" s="211"/>
      <c r="X987" s="211"/>
      <c r="Y987" s="211"/>
      <c r="Z987" s="211"/>
      <c r="AA987" s="211"/>
    </row>
    <row r="988">
      <c r="A988" s="211"/>
      <c r="B988" s="211"/>
      <c r="C988" s="211"/>
      <c r="D988" s="211"/>
      <c r="E988" s="211"/>
      <c r="F988" s="211"/>
      <c r="G988" s="211"/>
      <c r="H988" s="211"/>
      <c r="I988" s="211"/>
      <c r="J988" s="211"/>
      <c r="K988" s="211"/>
      <c r="L988" s="211"/>
      <c r="M988" s="211"/>
      <c r="N988" s="211"/>
      <c r="O988" s="211"/>
      <c r="P988" s="211"/>
      <c r="Q988" s="211"/>
      <c r="R988" s="211"/>
      <c r="S988" s="211"/>
      <c r="T988" s="211"/>
      <c r="U988" s="211"/>
      <c r="V988" s="211"/>
      <c r="W988" s="211"/>
      <c r="X988" s="211"/>
      <c r="Y988" s="211"/>
      <c r="Z988" s="211"/>
      <c r="AA988" s="211"/>
    </row>
    <row r="989">
      <c r="A989" s="211"/>
      <c r="B989" s="211"/>
      <c r="C989" s="211"/>
      <c r="D989" s="211"/>
      <c r="E989" s="211"/>
      <c r="F989" s="211"/>
      <c r="G989" s="211"/>
      <c r="H989" s="211"/>
      <c r="I989" s="211"/>
      <c r="J989" s="211"/>
      <c r="K989" s="211"/>
      <c r="L989" s="211"/>
      <c r="M989" s="211"/>
      <c r="N989" s="211"/>
      <c r="O989" s="211"/>
      <c r="P989" s="211"/>
      <c r="Q989" s="211"/>
      <c r="R989" s="211"/>
      <c r="S989" s="211"/>
      <c r="T989" s="211"/>
      <c r="U989" s="211"/>
      <c r="V989" s="211"/>
      <c r="W989" s="211"/>
      <c r="X989" s="211"/>
      <c r="Y989" s="211"/>
      <c r="Z989" s="211"/>
      <c r="AA989" s="211"/>
    </row>
    <row r="990">
      <c r="A990" s="211"/>
      <c r="B990" s="211"/>
      <c r="C990" s="211"/>
      <c r="D990" s="211"/>
      <c r="E990" s="211"/>
      <c r="F990" s="211"/>
      <c r="G990" s="211"/>
      <c r="H990" s="211"/>
      <c r="I990" s="211"/>
      <c r="J990" s="211"/>
      <c r="K990" s="211"/>
      <c r="L990" s="211"/>
      <c r="M990" s="211"/>
      <c r="N990" s="211"/>
      <c r="O990" s="211"/>
      <c r="P990" s="211"/>
      <c r="Q990" s="211"/>
      <c r="R990" s="211"/>
      <c r="S990" s="211"/>
      <c r="T990" s="211"/>
      <c r="U990" s="211"/>
      <c r="V990" s="211"/>
      <c r="W990" s="211"/>
      <c r="X990" s="211"/>
      <c r="Y990" s="211"/>
      <c r="Z990" s="211"/>
      <c r="AA990" s="211"/>
    </row>
    <row r="991">
      <c r="A991" s="211"/>
      <c r="B991" s="211"/>
      <c r="C991" s="211"/>
      <c r="D991" s="211"/>
      <c r="E991" s="211"/>
      <c r="F991" s="211"/>
      <c r="G991" s="211"/>
      <c r="H991" s="211"/>
      <c r="I991" s="211"/>
      <c r="J991" s="211"/>
      <c r="K991" s="211"/>
      <c r="L991" s="211"/>
      <c r="M991" s="211"/>
      <c r="N991" s="211"/>
      <c r="O991" s="211"/>
      <c r="P991" s="211"/>
      <c r="Q991" s="211"/>
      <c r="R991" s="211"/>
      <c r="S991" s="211"/>
      <c r="T991" s="211"/>
      <c r="U991" s="211"/>
      <c r="V991" s="211"/>
      <c r="W991" s="211"/>
      <c r="X991" s="211"/>
      <c r="Y991" s="211"/>
      <c r="Z991" s="211"/>
      <c r="AA991" s="211"/>
    </row>
    <row r="992">
      <c r="A992" s="211"/>
      <c r="B992" s="211"/>
      <c r="C992" s="211"/>
      <c r="D992" s="211"/>
      <c r="E992" s="211"/>
      <c r="F992" s="211"/>
      <c r="G992" s="211"/>
      <c r="H992" s="211"/>
      <c r="I992" s="211"/>
      <c r="J992" s="211"/>
      <c r="K992" s="211"/>
      <c r="L992" s="211"/>
      <c r="M992" s="211"/>
      <c r="N992" s="211"/>
      <c r="O992" s="211"/>
      <c r="P992" s="211"/>
      <c r="Q992" s="211"/>
      <c r="R992" s="211"/>
      <c r="S992" s="211"/>
      <c r="T992" s="211"/>
      <c r="U992" s="211"/>
      <c r="V992" s="211"/>
      <c r="W992" s="211"/>
      <c r="X992" s="211"/>
      <c r="Y992" s="211"/>
      <c r="Z992" s="211"/>
      <c r="AA992" s="211"/>
    </row>
    <row r="993">
      <c r="A993" s="211"/>
      <c r="B993" s="211"/>
      <c r="C993" s="211"/>
      <c r="D993" s="211"/>
      <c r="E993" s="211"/>
      <c r="F993" s="211"/>
      <c r="G993" s="211"/>
      <c r="H993" s="211"/>
      <c r="I993" s="211"/>
      <c r="J993" s="211"/>
      <c r="K993" s="211"/>
      <c r="L993" s="211"/>
      <c r="M993" s="211"/>
      <c r="N993" s="211"/>
      <c r="O993" s="211"/>
      <c r="P993" s="211"/>
      <c r="Q993" s="211"/>
      <c r="R993" s="211"/>
      <c r="S993" s="211"/>
      <c r="T993" s="211"/>
      <c r="U993" s="211"/>
      <c r="V993" s="211"/>
      <c r="W993" s="211"/>
      <c r="X993" s="211"/>
      <c r="Y993" s="211"/>
      <c r="Z993" s="211"/>
      <c r="AA993" s="211"/>
    </row>
    <row r="994">
      <c r="A994" s="211"/>
      <c r="B994" s="211"/>
      <c r="C994" s="211"/>
      <c r="D994" s="211"/>
      <c r="E994" s="211"/>
      <c r="F994" s="211"/>
      <c r="G994" s="211"/>
      <c r="H994" s="211"/>
      <c r="I994" s="211"/>
      <c r="J994" s="211"/>
      <c r="K994" s="211"/>
      <c r="L994" s="211"/>
      <c r="M994" s="211"/>
      <c r="N994" s="211"/>
      <c r="O994" s="211"/>
      <c r="P994" s="211"/>
      <c r="Q994" s="211"/>
      <c r="R994" s="211"/>
      <c r="S994" s="211"/>
      <c r="T994" s="211"/>
      <c r="U994" s="211"/>
      <c r="V994" s="211"/>
      <c r="W994" s="211"/>
      <c r="X994" s="211"/>
      <c r="Y994" s="211"/>
      <c r="Z994" s="211"/>
      <c r="AA994" s="211"/>
    </row>
    <row r="995">
      <c r="A995" s="211"/>
      <c r="B995" s="211"/>
      <c r="C995" s="211"/>
      <c r="D995" s="211"/>
      <c r="E995" s="211"/>
      <c r="F995" s="211"/>
      <c r="G995" s="211"/>
      <c r="H995" s="211"/>
      <c r="I995" s="211"/>
      <c r="J995" s="211"/>
      <c r="K995" s="211"/>
      <c r="L995" s="211"/>
      <c r="M995" s="211"/>
      <c r="N995" s="211"/>
      <c r="O995" s="211"/>
      <c r="P995" s="211"/>
      <c r="Q995" s="211"/>
      <c r="R995" s="211"/>
      <c r="S995" s="211"/>
      <c r="T995" s="211"/>
      <c r="U995" s="211"/>
      <c r="V995" s="211"/>
      <c r="W995" s="211"/>
      <c r="X995" s="211"/>
      <c r="Y995" s="211"/>
      <c r="Z995" s="211"/>
      <c r="AA995" s="211"/>
    </row>
    <row r="996">
      <c r="A996" s="211"/>
      <c r="B996" s="211"/>
      <c r="C996" s="211"/>
      <c r="D996" s="211"/>
      <c r="E996" s="211"/>
      <c r="F996" s="211"/>
      <c r="G996" s="211"/>
      <c r="H996" s="211"/>
      <c r="I996" s="211"/>
      <c r="J996" s="211"/>
      <c r="K996" s="211"/>
      <c r="L996" s="211"/>
      <c r="M996" s="211"/>
      <c r="N996" s="211"/>
      <c r="O996" s="211"/>
      <c r="P996" s="211"/>
      <c r="Q996" s="211"/>
      <c r="R996" s="211"/>
      <c r="S996" s="211"/>
      <c r="T996" s="211"/>
      <c r="U996" s="211"/>
      <c r="V996" s="211"/>
      <c r="W996" s="211"/>
      <c r="X996" s="211"/>
      <c r="Y996" s="211"/>
      <c r="Z996" s="211"/>
      <c r="AA996" s="211"/>
    </row>
    <row r="997">
      <c r="A997" s="211"/>
      <c r="B997" s="211"/>
      <c r="C997" s="211"/>
      <c r="D997" s="211"/>
      <c r="E997" s="211"/>
      <c r="F997" s="211"/>
      <c r="G997" s="211"/>
      <c r="H997" s="211"/>
      <c r="I997" s="211"/>
      <c r="J997" s="211"/>
      <c r="K997" s="211"/>
      <c r="L997" s="211"/>
      <c r="M997" s="211"/>
      <c r="N997" s="211"/>
      <c r="O997" s="211"/>
      <c r="P997" s="211"/>
      <c r="Q997" s="211"/>
      <c r="R997" s="211"/>
      <c r="S997" s="211"/>
      <c r="T997" s="211"/>
      <c r="U997" s="211"/>
      <c r="V997" s="211"/>
      <c r="W997" s="211"/>
      <c r="X997" s="211"/>
      <c r="Y997" s="211"/>
      <c r="Z997" s="211"/>
      <c r="AA997" s="211"/>
    </row>
    <row r="998">
      <c r="A998" s="211"/>
      <c r="B998" s="211"/>
      <c r="C998" s="211"/>
      <c r="D998" s="211"/>
      <c r="E998" s="211"/>
      <c r="F998" s="211"/>
      <c r="G998" s="211"/>
      <c r="H998" s="211"/>
      <c r="I998" s="211"/>
      <c r="J998" s="211"/>
      <c r="K998" s="211"/>
      <c r="L998" s="211"/>
      <c r="M998" s="211"/>
      <c r="N998" s="211"/>
      <c r="O998" s="211"/>
      <c r="P998" s="211"/>
      <c r="Q998" s="211"/>
      <c r="R998" s="211"/>
      <c r="S998" s="211"/>
      <c r="T998" s="211"/>
      <c r="U998" s="211"/>
      <c r="V998" s="211"/>
      <c r="W998" s="211"/>
      <c r="X998" s="211"/>
      <c r="Y998" s="211"/>
      <c r="Z998" s="211"/>
      <c r="AA998" s="211"/>
    </row>
    <row r="999">
      <c r="A999" s="211"/>
      <c r="B999" s="211"/>
      <c r="C999" s="211"/>
      <c r="D999" s="211"/>
      <c r="E999" s="211"/>
      <c r="F999" s="211"/>
      <c r="G999" s="211"/>
      <c r="H999" s="211"/>
      <c r="I999" s="211"/>
      <c r="J999" s="211"/>
      <c r="K999" s="211"/>
      <c r="L999" s="211"/>
      <c r="M999" s="211"/>
      <c r="N999" s="211"/>
      <c r="O999" s="211"/>
      <c r="P999" s="211"/>
      <c r="Q999" s="211"/>
      <c r="R999" s="211"/>
      <c r="S999" s="211"/>
      <c r="T999" s="211"/>
      <c r="U999" s="211"/>
      <c r="V999" s="211"/>
      <c r="W999" s="211"/>
      <c r="X999" s="211"/>
      <c r="Y999" s="211"/>
      <c r="Z999" s="211"/>
      <c r="AA999" s="211"/>
    </row>
    <row r="1000">
      <c r="A1000" s="211"/>
      <c r="B1000" s="211"/>
      <c r="C1000" s="211"/>
      <c r="D1000" s="211"/>
      <c r="E1000" s="211"/>
      <c r="F1000" s="211"/>
      <c r="G1000" s="211"/>
      <c r="H1000" s="211"/>
      <c r="I1000" s="211"/>
      <c r="J1000" s="211"/>
      <c r="K1000" s="211"/>
      <c r="L1000" s="211"/>
      <c r="M1000" s="211"/>
      <c r="N1000" s="211"/>
      <c r="O1000" s="211"/>
      <c r="P1000" s="211"/>
      <c r="Q1000" s="211"/>
      <c r="R1000" s="211"/>
      <c r="S1000" s="211"/>
      <c r="T1000" s="211"/>
      <c r="U1000" s="211"/>
      <c r="V1000" s="211"/>
      <c r="W1000" s="211"/>
      <c r="X1000" s="211"/>
      <c r="Y1000" s="211"/>
      <c r="Z1000" s="211"/>
      <c r="AA1000" s="211"/>
    </row>
    <row r="1001">
      <c r="A1001" s="211"/>
      <c r="B1001" s="211"/>
      <c r="C1001" s="211"/>
      <c r="D1001" s="211"/>
      <c r="E1001" s="211"/>
      <c r="F1001" s="211"/>
      <c r="G1001" s="211"/>
      <c r="H1001" s="211"/>
      <c r="I1001" s="211"/>
      <c r="J1001" s="211"/>
      <c r="K1001" s="211"/>
      <c r="L1001" s="211"/>
      <c r="M1001" s="211"/>
      <c r="N1001" s="211"/>
      <c r="O1001" s="211"/>
      <c r="P1001" s="211"/>
      <c r="Q1001" s="211"/>
      <c r="R1001" s="211"/>
      <c r="S1001" s="211"/>
      <c r="T1001" s="211"/>
      <c r="U1001" s="211"/>
      <c r="V1001" s="211"/>
      <c r="W1001" s="211"/>
      <c r="X1001" s="211"/>
      <c r="Y1001" s="211"/>
      <c r="Z1001" s="211"/>
      <c r="AA1001" s="211"/>
    </row>
  </sheetData>
  <autoFilter ref="$C$1:$C$1001">
    <sortState ref="C1:C1001">
      <sortCondition ref="C1:C1001"/>
    </sortState>
  </autoFilter>
  <hyperlinks>
    <hyperlink r:id="rId1" location="section/Lich-su-thay-djoi" ref="L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s>
  <sheetData>
    <row r="1">
      <c r="A1" s="226" t="s">
        <v>3360</v>
      </c>
      <c r="B1" s="226" t="s">
        <v>3361</v>
      </c>
      <c r="C1" s="226" t="s">
        <v>3362</v>
      </c>
      <c r="D1" s="226" t="s">
        <v>3363</v>
      </c>
      <c r="E1" s="226" t="s">
        <v>3364</v>
      </c>
      <c r="F1" s="226" t="s">
        <v>3365</v>
      </c>
    </row>
    <row r="2">
      <c r="A2" s="227">
        <v>46014.371828703705</v>
      </c>
      <c r="B2" s="226" t="s">
        <v>3366</v>
      </c>
      <c r="C2" s="226" t="s">
        <v>3367</v>
      </c>
      <c r="D2" s="226">
        <v>716.0</v>
      </c>
      <c r="E2" s="228">
        <v>227.0</v>
      </c>
      <c r="F2" s="226" t="s">
        <v>3368</v>
      </c>
    </row>
    <row r="3">
      <c r="A3" s="229">
        <v>46014.384722222225</v>
      </c>
      <c r="B3" s="226" t="s">
        <v>3366</v>
      </c>
      <c r="C3" s="226" t="s">
        <v>3367</v>
      </c>
      <c r="D3" s="226">
        <v>758.0</v>
      </c>
      <c r="E3" s="228">
        <v>244.0</v>
      </c>
      <c r="F3" s="226" t="s">
        <v>3374</v>
      </c>
    </row>
    <row r="4">
      <c r="A4" s="229">
        <v>46014.39722222222</v>
      </c>
      <c r="B4" s="226" t="s">
        <v>3366</v>
      </c>
      <c r="C4" s="226" t="s">
        <v>3367</v>
      </c>
      <c r="D4" s="226" t="s">
        <v>3375</v>
      </c>
      <c r="E4" s="228">
        <v>313.0</v>
      </c>
      <c r="F4" s="226" t="s">
        <v>3376</v>
      </c>
    </row>
    <row r="5">
      <c r="A5" s="229">
        <v>46014.444444444445</v>
      </c>
      <c r="B5" s="226" t="s">
        <v>3366</v>
      </c>
      <c r="C5" s="226" t="s">
        <v>3367</v>
      </c>
      <c r="D5" s="226">
        <v>706.0</v>
      </c>
      <c r="E5" s="228">
        <v>217.0</v>
      </c>
      <c r="F5" s="226" t="s">
        <v>3377</v>
      </c>
    </row>
    <row r="6">
      <c r="A6" s="229">
        <v>46014.44583333333</v>
      </c>
      <c r="B6" s="226" t="s">
        <v>3366</v>
      </c>
      <c r="C6" s="226" t="s">
        <v>3367</v>
      </c>
      <c r="D6" s="226">
        <v>540.0</v>
      </c>
      <c r="E6" s="228">
        <v>138.0</v>
      </c>
      <c r="F6" s="226" t="s">
        <v>3380</v>
      </c>
    </row>
    <row r="7">
      <c r="A7" s="229">
        <v>46014.447222222225</v>
      </c>
      <c r="B7" s="226" t="s">
        <v>3366</v>
      </c>
      <c r="C7" s="226" t="s">
        <v>3367</v>
      </c>
      <c r="D7" s="226">
        <v>712.0</v>
      </c>
      <c r="E7" s="228">
        <v>222.0</v>
      </c>
      <c r="F7" s="226" t="s">
        <v>3382</v>
      </c>
    </row>
    <row r="8">
      <c r="A8" s="229">
        <v>46014.55</v>
      </c>
      <c r="B8" s="226" t="s">
        <v>3366</v>
      </c>
      <c r="C8" s="226" t="s">
        <v>3367</v>
      </c>
      <c r="D8" s="226">
        <v>805.0</v>
      </c>
      <c r="E8" s="228">
        <v>262.0</v>
      </c>
      <c r="F8" s="226" t="s">
        <v>3384</v>
      </c>
    </row>
    <row r="9">
      <c r="A9" s="229">
        <v>46014.55</v>
      </c>
      <c r="B9" s="226" t="s">
        <v>3366</v>
      </c>
      <c r="C9" s="226" t="s">
        <v>3367</v>
      </c>
      <c r="D9" s="226">
        <v>806.0</v>
      </c>
      <c r="E9" s="228">
        <v>266.0</v>
      </c>
      <c r="F9" s="226" t="s">
        <v>3385</v>
      </c>
    </row>
    <row r="10">
      <c r="A10" s="229">
        <v>46014.708333333336</v>
      </c>
      <c r="B10" s="226" t="s">
        <v>3386</v>
      </c>
      <c r="C10" s="226" t="s">
        <v>3387</v>
      </c>
      <c r="D10" s="226">
        <v>650.0</v>
      </c>
      <c r="E10" s="228">
        <v>185.0</v>
      </c>
      <c r="F10" s="226" t="s">
        <v>3388</v>
      </c>
    </row>
    <row r="11">
      <c r="A11" s="229">
        <v>46014.708333333336</v>
      </c>
      <c r="B11" s="226" t="s">
        <v>3386</v>
      </c>
      <c r="C11" s="226" t="s">
        <v>3387</v>
      </c>
      <c r="D11" s="226">
        <v>657.0</v>
      </c>
      <c r="E11" s="228">
        <v>189.0</v>
      </c>
      <c r="F11" s="226" t="s">
        <v>3390</v>
      </c>
    </row>
    <row r="12">
      <c r="A12" s="229">
        <v>46014.725</v>
      </c>
      <c r="B12" s="226" t="s">
        <v>3366</v>
      </c>
      <c r="C12" s="226" t="s">
        <v>3367</v>
      </c>
      <c r="D12" s="226">
        <v>771.0</v>
      </c>
      <c r="E12" s="228">
        <v>498.0</v>
      </c>
      <c r="F12" s="226" t="s">
        <v>3393</v>
      </c>
    </row>
    <row r="13">
      <c r="A13" s="229">
        <v>46015.0375</v>
      </c>
      <c r="B13" s="226" t="s">
        <v>3386</v>
      </c>
      <c r="C13" s="226" t="s">
        <v>3387</v>
      </c>
      <c r="D13" s="226">
        <v>881.0</v>
      </c>
      <c r="E13" s="228">
        <v>306.0</v>
      </c>
      <c r="F13" s="226" t="s">
        <v>3394</v>
      </c>
    </row>
    <row r="14">
      <c r="A14" s="229">
        <v>46015.47430555556</v>
      </c>
      <c r="B14" s="226" t="s">
        <v>3366</v>
      </c>
      <c r="C14" s="226" t="s">
        <v>3367</v>
      </c>
      <c r="D14" s="226">
        <v>889.0</v>
      </c>
      <c r="E14" s="228">
        <v>308.0</v>
      </c>
      <c r="F14" s="226" t="s">
        <v>3395</v>
      </c>
    </row>
    <row r="15">
      <c r="A15" s="229">
        <v>46015.583333333336</v>
      </c>
      <c r="B15" s="226" t="s">
        <v>3366</v>
      </c>
      <c r="C15" s="226" t="s">
        <v>3367</v>
      </c>
      <c r="D15" s="226">
        <v>758.0</v>
      </c>
      <c r="E15" s="228">
        <v>244.0</v>
      </c>
      <c r="F15" s="226" t="s">
        <v>3396</v>
      </c>
    </row>
    <row r="16">
      <c r="A16" s="229">
        <v>46016.0375</v>
      </c>
      <c r="B16" s="226" t="s">
        <v>3386</v>
      </c>
      <c r="C16" s="226" t="s">
        <v>3387</v>
      </c>
      <c r="D16" s="226">
        <v>771.0</v>
      </c>
      <c r="E16" s="228">
        <v>498.0</v>
      </c>
      <c r="F16" s="226" t="s">
        <v>3399</v>
      </c>
    </row>
    <row r="17">
      <c r="A17" s="229">
        <v>46016.697222222225</v>
      </c>
      <c r="B17" s="226" t="s">
        <v>3401</v>
      </c>
      <c r="C17" s="226" t="s">
        <v>3367</v>
      </c>
      <c r="D17" s="226">
        <v>827.0</v>
      </c>
      <c r="E17" s="228">
        <v>524.0</v>
      </c>
      <c r="F17" s="226" t="s">
        <v>3402</v>
      </c>
    </row>
    <row r="18">
      <c r="A18" s="229">
        <v>46017.645833333336</v>
      </c>
      <c r="B18" s="226" t="s">
        <v>3401</v>
      </c>
      <c r="C18" s="226" t="s">
        <v>3367</v>
      </c>
      <c r="D18" s="226">
        <v>349.0</v>
      </c>
      <c r="E18" s="228">
        <v>94.0</v>
      </c>
      <c r="F18" s="226" t="s">
        <v>3403</v>
      </c>
    </row>
    <row r="19">
      <c r="A19" s="229">
        <v>46017.70347222222</v>
      </c>
      <c r="B19" s="226" t="s">
        <v>3366</v>
      </c>
      <c r="C19" s="226" t="s">
        <v>3367</v>
      </c>
      <c r="D19" s="226">
        <v>300.0</v>
      </c>
      <c r="E19" s="228">
        <v>63.0</v>
      </c>
      <c r="F19" s="226" t="s">
        <v>3405</v>
      </c>
    </row>
    <row r="20">
      <c r="A20" s="229">
        <v>46018.0375</v>
      </c>
      <c r="B20" s="226" t="s">
        <v>3386</v>
      </c>
      <c r="C20" s="226" t="s">
        <v>3387</v>
      </c>
      <c r="D20" s="226">
        <v>827.0</v>
      </c>
      <c r="E20" s="228">
        <v>524.0</v>
      </c>
      <c r="F20" s="226" t="s">
        <v>3406</v>
      </c>
    </row>
    <row r="21">
      <c r="A21" s="229">
        <v>46020.39375</v>
      </c>
      <c r="B21" s="226" t="s">
        <v>3407</v>
      </c>
      <c r="C21" s="226" t="s">
        <v>3367</v>
      </c>
      <c r="D21" s="226">
        <v>381.0</v>
      </c>
      <c r="E21" s="228">
        <v>30.0</v>
      </c>
      <c r="F21" s="226" t="s">
        <v>3408</v>
      </c>
    </row>
    <row r="22">
      <c r="A22" s="229">
        <v>46020.68680555555</v>
      </c>
      <c r="B22" s="226" t="s">
        <v>3401</v>
      </c>
      <c r="C22" s="226" t="s">
        <v>3367</v>
      </c>
      <c r="D22" s="226">
        <v>852.0</v>
      </c>
      <c r="E22" s="228">
        <v>290.0</v>
      </c>
      <c r="F22" s="226" t="s">
        <v>3412</v>
      </c>
    </row>
    <row r="23">
      <c r="A23" s="229">
        <v>46022.58541666667</v>
      </c>
      <c r="B23" s="226" t="s">
        <v>3401</v>
      </c>
      <c r="C23" s="226" t="s">
        <v>3367</v>
      </c>
      <c r="D23" s="226">
        <v>651.0</v>
      </c>
      <c r="E23" s="228">
        <v>186.0</v>
      </c>
      <c r="F23" s="226" t="s">
        <v>3413</v>
      </c>
    </row>
    <row r="24">
      <c r="A24" s="229">
        <v>46022.58888888889</v>
      </c>
      <c r="B24" s="226" t="s">
        <v>3401</v>
      </c>
      <c r="C24" s="226" t="s">
        <v>3367</v>
      </c>
      <c r="D24" s="226">
        <v>324.0</v>
      </c>
      <c r="E24" s="228">
        <v>95.0</v>
      </c>
      <c r="F24" s="226" t="s">
        <v>3414</v>
      </c>
    </row>
    <row r="25">
      <c r="A25" s="230">
        <v>46023.0375</v>
      </c>
      <c r="B25" s="226" t="s">
        <v>3386</v>
      </c>
      <c r="C25" s="226" t="s">
        <v>3387</v>
      </c>
      <c r="D25" s="226">
        <v>367.0</v>
      </c>
      <c r="E25" s="228">
        <v>17.0</v>
      </c>
      <c r="F25" s="226" t="s">
        <v>3415</v>
      </c>
    </row>
    <row r="26">
      <c r="A26" s="230">
        <v>46023.0375</v>
      </c>
      <c r="B26" s="226" t="s">
        <v>3386</v>
      </c>
      <c r="C26" s="226" t="s">
        <v>3387</v>
      </c>
      <c r="D26" s="226">
        <v>464.0</v>
      </c>
      <c r="E26" s="228">
        <v>79.0</v>
      </c>
      <c r="F26" s="226" t="s">
        <v>3415</v>
      </c>
    </row>
    <row r="27">
      <c r="A27" s="230">
        <v>46023.0375</v>
      </c>
      <c r="B27" s="226" t="s">
        <v>3386</v>
      </c>
      <c r="C27" s="226" t="s">
        <v>3387</v>
      </c>
      <c r="D27" s="226">
        <v>486.0</v>
      </c>
      <c r="E27" s="228">
        <v>92.0</v>
      </c>
      <c r="F27" s="226" t="s">
        <v>3415</v>
      </c>
    </row>
    <row r="28">
      <c r="A28" s="230">
        <v>46023.0375</v>
      </c>
      <c r="B28" s="226" t="s">
        <v>3386</v>
      </c>
      <c r="C28" s="226" t="s">
        <v>3387</v>
      </c>
      <c r="D28" s="226">
        <v>248.0</v>
      </c>
      <c r="E28" s="228">
        <v>109.0</v>
      </c>
      <c r="F28" s="226" t="s">
        <v>3415</v>
      </c>
    </row>
    <row r="29">
      <c r="A29" s="230">
        <v>46023.0375</v>
      </c>
      <c r="B29" s="226" t="s">
        <v>3386</v>
      </c>
      <c r="C29" s="226" t="s">
        <v>3387</v>
      </c>
      <c r="D29" s="226">
        <v>527.0</v>
      </c>
      <c r="E29" s="228">
        <v>132.0</v>
      </c>
      <c r="F29" s="226" t="s">
        <v>3415</v>
      </c>
    </row>
    <row r="30">
      <c r="A30" s="230">
        <v>46023.0375</v>
      </c>
      <c r="B30" s="226" t="s">
        <v>3386</v>
      </c>
      <c r="C30" s="226" t="s">
        <v>3387</v>
      </c>
      <c r="D30" s="226">
        <v>560.0</v>
      </c>
      <c r="E30" s="228">
        <v>143.0</v>
      </c>
      <c r="F30" s="226" t="s">
        <v>3415</v>
      </c>
    </row>
    <row r="31">
      <c r="A31" s="230">
        <v>46023.0375</v>
      </c>
      <c r="B31" s="226" t="s">
        <v>3386</v>
      </c>
      <c r="C31" s="226" t="s">
        <v>3387</v>
      </c>
      <c r="D31" s="226">
        <v>684.0</v>
      </c>
      <c r="E31" s="228">
        <v>205.0</v>
      </c>
      <c r="F31" s="226" t="s">
        <v>3415</v>
      </c>
    </row>
    <row r="32">
      <c r="A32" s="230">
        <v>46023.038194444445</v>
      </c>
      <c r="B32" s="226" t="s">
        <v>3386</v>
      </c>
      <c r="C32" s="226" t="s">
        <v>3387</v>
      </c>
      <c r="D32" s="226">
        <v>734.0</v>
      </c>
      <c r="E32" s="228">
        <v>235.0</v>
      </c>
      <c r="F32" s="226" t="s">
        <v>3415</v>
      </c>
    </row>
    <row r="33">
      <c r="A33" s="230">
        <v>46023.038194444445</v>
      </c>
      <c r="B33" s="226" t="s">
        <v>3386</v>
      </c>
      <c r="C33" s="226" t="s">
        <v>3387</v>
      </c>
      <c r="D33" s="226">
        <v>781.0</v>
      </c>
      <c r="E33" s="228">
        <v>252.0</v>
      </c>
      <c r="F33" s="226" t="s">
        <v>3415</v>
      </c>
    </row>
    <row r="34">
      <c r="A34" s="230">
        <v>46023.038194444445</v>
      </c>
      <c r="B34" s="226" t="s">
        <v>3386</v>
      </c>
      <c r="C34" s="226" t="s">
        <v>3387</v>
      </c>
      <c r="D34" s="226">
        <v>822.0</v>
      </c>
      <c r="E34" s="228">
        <v>270.0</v>
      </c>
      <c r="F34" s="226" t="s">
        <v>3415</v>
      </c>
    </row>
    <row r="35">
      <c r="A35" s="230">
        <v>46023.038194444445</v>
      </c>
      <c r="B35" s="226" t="s">
        <v>3386</v>
      </c>
      <c r="C35" s="226" t="s">
        <v>3387</v>
      </c>
      <c r="D35" s="226">
        <v>450.0</v>
      </c>
      <c r="E35" s="228">
        <v>329.0</v>
      </c>
      <c r="F35" s="226" t="s">
        <v>3415</v>
      </c>
    </row>
    <row r="36">
      <c r="A36" s="230">
        <v>46023.038194444445</v>
      </c>
      <c r="B36" s="226" t="s">
        <v>3386</v>
      </c>
      <c r="C36" s="226" t="s">
        <v>3387</v>
      </c>
      <c r="D36" s="226">
        <v>472.0</v>
      </c>
      <c r="E36" s="228">
        <v>341.0</v>
      </c>
      <c r="F36" s="226" t="s">
        <v>3415</v>
      </c>
    </row>
    <row r="37">
      <c r="A37" s="230">
        <v>46023.038194444445</v>
      </c>
      <c r="B37" s="226" t="s">
        <v>3386</v>
      </c>
      <c r="C37" s="226" t="s">
        <v>3387</v>
      </c>
      <c r="D37" s="226">
        <v>773.0</v>
      </c>
      <c r="E37" s="228">
        <v>500.0</v>
      </c>
      <c r="F37" s="226" t="s">
        <v>3415</v>
      </c>
    </row>
    <row r="38">
      <c r="A38" s="230">
        <v>46023.038194444445</v>
      </c>
      <c r="B38" s="226" t="s">
        <v>3386</v>
      </c>
      <c r="C38" s="226" t="s">
        <v>3387</v>
      </c>
      <c r="D38" s="226">
        <v>814.0</v>
      </c>
      <c r="E38" s="228">
        <v>516.0</v>
      </c>
      <c r="F38" s="226" t="s">
        <v>3415</v>
      </c>
    </row>
    <row r="39">
      <c r="A39" s="230">
        <v>46023.038194444445</v>
      </c>
      <c r="B39" s="226" t="s">
        <v>3386</v>
      </c>
      <c r="C39" s="226" t="s">
        <v>3387</v>
      </c>
      <c r="D39" s="226">
        <v>823.0</v>
      </c>
      <c r="E39" s="228">
        <v>520.0</v>
      </c>
      <c r="F39" s="226" t="s">
        <v>3415</v>
      </c>
    </row>
    <row r="40">
      <c r="A40" s="230">
        <v>46023.038194444445</v>
      </c>
      <c r="B40" s="226" t="s">
        <v>3386</v>
      </c>
      <c r="C40" s="226" t="s">
        <v>3387</v>
      </c>
      <c r="D40" s="226">
        <v>837.0</v>
      </c>
      <c r="E40" s="228">
        <v>527.0</v>
      </c>
      <c r="F40" s="226" t="s">
        <v>3415</v>
      </c>
    </row>
    <row r="41">
      <c r="A41" s="230">
        <v>46023.038194444445</v>
      </c>
      <c r="B41" s="226" t="s">
        <v>3386</v>
      </c>
      <c r="C41" s="226" t="s">
        <v>3387</v>
      </c>
      <c r="D41" s="226">
        <v>836.0</v>
      </c>
      <c r="E41" s="228">
        <v>528.0</v>
      </c>
      <c r="F41" s="226" t="s">
        <v>3415</v>
      </c>
    </row>
    <row r="42">
      <c r="A42" s="230">
        <v>46023.038194444445</v>
      </c>
      <c r="B42" s="226" t="s">
        <v>3386</v>
      </c>
      <c r="C42" s="226" t="s">
        <v>3387</v>
      </c>
      <c r="D42" s="226">
        <v>839.0</v>
      </c>
      <c r="E42" s="228">
        <v>529.0</v>
      </c>
      <c r="F42" s="226" t="s">
        <v>3415</v>
      </c>
    </row>
    <row r="43">
      <c r="A43" s="230">
        <v>46023.038194444445</v>
      </c>
      <c r="B43" s="226" t="s">
        <v>3386</v>
      </c>
      <c r="C43" s="226" t="s">
        <v>3387</v>
      </c>
      <c r="D43" s="226">
        <v>894.0</v>
      </c>
      <c r="E43" s="228">
        <v>551.0</v>
      </c>
      <c r="F43" s="226" t="s">
        <v>3415</v>
      </c>
    </row>
    <row r="44">
      <c r="A44" s="230">
        <v>46023.038194444445</v>
      </c>
      <c r="B44" s="226" t="s">
        <v>3386</v>
      </c>
      <c r="C44" s="226" t="s">
        <v>3387</v>
      </c>
      <c r="D44" s="226">
        <v>911.0</v>
      </c>
      <c r="E44" s="228">
        <v>561.0</v>
      </c>
      <c r="F44" s="226" t="s">
        <v>3415</v>
      </c>
    </row>
    <row r="45">
      <c r="A45" s="230">
        <v>46023.038194444445</v>
      </c>
      <c r="B45" s="226" t="s">
        <v>3386</v>
      </c>
      <c r="C45" s="226" t="s">
        <v>3387</v>
      </c>
      <c r="D45" s="226">
        <v>921.0</v>
      </c>
      <c r="E45" s="228">
        <v>571.0</v>
      </c>
      <c r="F45" s="226" t="s">
        <v>3415</v>
      </c>
    </row>
    <row r="46">
      <c r="A46" s="230">
        <v>46024.0375</v>
      </c>
      <c r="B46" s="226" t="s">
        <v>3386</v>
      </c>
      <c r="C46" s="226" t="s">
        <v>3387</v>
      </c>
      <c r="D46" s="226">
        <v>472.0</v>
      </c>
      <c r="E46" s="228">
        <v>139.0</v>
      </c>
      <c r="F46" s="226" t="s">
        <v>3415</v>
      </c>
    </row>
    <row r="47">
      <c r="A47" s="230">
        <v>46024.0375</v>
      </c>
      <c r="B47" s="226" t="s">
        <v>3386</v>
      </c>
      <c r="C47" s="226" t="s">
        <v>3387</v>
      </c>
      <c r="D47" s="226">
        <v>655.0</v>
      </c>
      <c r="E47" s="228">
        <v>321.0</v>
      </c>
      <c r="F47" s="226" t="s">
        <v>3425</v>
      </c>
    </row>
    <row r="48">
      <c r="A48" s="230">
        <v>46025.0375</v>
      </c>
      <c r="B48" s="226" t="s">
        <v>3386</v>
      </c>
      <c r="C48" s="226" t="s">
        <v>3387</v>
      </c>
      <c r="D48" s="226">
        <v>913.0</v>
      </c>
      <c r="E48" s="228">
        <v>564.0</v>
      </c>
      <c r="F48" s="226" t="s">
        <v>3426</v>
      </c>
    </row>
    <row r="49">
      <c r="A49" s="230">
        <v>46025.0375</v>
      </c>
      <c r="B49" s="226" t="s">
        <v>3386</v>
      </c>
      <c r="C49" s="226" t="s">
        <v>3387</v>
      </c>
      <c r="D49" s="228">
        <v>922.0</v>
      </c>
      <c r="E49" s="228">
        <v>572.0</v>
      </c>
      <c r="F49" s="226" t="s">
        <v>3426</v>
      </c>
    </row>
    <row r="50">
      <c r="A50" s="230">
        <v>46027.38402777778</v>
      </c>
      <c r="B50" s="226" t="s">
        <v>3401</v>
      </c>
      <c r="C50" s="226" t="s">
        <v>3367</v>
      </c>
      <c r="D50" s="226">
        <v>248.0</v>
      </c>
      <c r="E50" s="228">
        <v>14.0</v>
      </c>
      <c r="F50" s="226" t="s">
        <v>3428</v>
      </c>
    </row>
    <row r="51">
      <c r="A51" s="230">
        <v>46027.38402777778</v>
      </c>
      <c r="B51" s="226" t="s">
        <v>3401</v>
      </c>
      <c r="C51" s="226" t="s">
        <v>3367</v>
      </c>
      <c r="D51" s="226">
        <v>248.0</v>
      </c>
      <c r="E51" s="228">
        <v>14.0</v>
      </c>
      <c r="F51" s="226" t="s">
        <v>3432</v>
      </c>
    </row>
    <row r="52">
      <c r="A52" s="230">
        <v>46027.686111111114</v>
      </c>
      <c r="B52" s="226" t="s">
        <v>3366</v>
      </c>
      <c r="C52" s="226" t="s">
        <v>3367</v>
      </c>
      <c r="D52" s="226">
        <v>822.0</v>
      </c>
      <c r="E52" s="228">
        <v>482.0</v>
      </c>
      <c r="F52" s="226" t="s">
        <v>3433</v>
      </c>
    </row>
    <row r="53">
      <c r="A53" s="230">
        <v>46027.688888888886</v>
      </c>
      <c r="B53" s="226" t="s">
        <v>3366</v>
      </c>
      <c r="C53" s="226" t="s">
        <v>3367</v>
      </c>
      <c r="D53" s="226">
        <v>822.0</v>
      </c>
      <c r="E53" s="228">
        <v>482.0</v>
      </c>
      <c r="F53" s="226" t="s">
        <v>3432</v>
      </c>
    </row>
    <row r="54">
      <c r="A54" s="230">
        <v>46028.42569444444</v>
      </c>
      <c r="B54" s="226" t="s">
        <v>3366</v>
      </c>
      <c r="C54" s="226" t="s">
        <v>3367</v>
      </c>
      <c r="D54" s="226">
        <v>450.0</v>
      </c>
      <c r="E54" s="228">
        <v>116.0</v>
      </c>
      <c r="F54" s="226" t="s">
        <v>3435</v>
      </c>
    </row>
    <row r="55">
      <c r="A55" s="230">
        <v>46028.44097222222</v>
      </c>
      <c r="B55" s="226" t="s">
        <v>3366</v>
      </c>
      <c r="C55" s="226" t="s">
        <v>3367</v>
      </c>
      <c r="D55" s="226">
        <v>450.0</v>
      </c>
      <c r="E55" s="228">
        <v>116.0</v>
      </c>
      <c r="F55" s="226" t="s">
        <v>3432</v>
      </c>
    </row>
    <row r="56">
      <c r="A56" s="230">
        <v>46028.67013888889</v>
      </c>
      <c r="B56" s="226" t="s">
        <v>3401</v>
      </c>
      <c r="C56" s="226" t="s">
        <v>3367</v>
      </c>
      <c r="D56" s="226">
        <v>486.0</v>
      </c>
      <c r="E56" s="228">
        <v>151.0</v>
      </c>
      <c r="F56" s="226" t="s">
        <v>3436</v>
      </c>
    </row>
    <row r="57">
      <c r="A57" s="230">
        <v>46029.37708333333</v>
      </c>
      <c r="B57" s="226" t="s">
        <v>3401</v>
      </c>
      <c r="C57" s="226" t="s">
        <v>3367</v>
      </c>
      <c r="D57" s="226">
        <v>486.0</v>
      </c>
      <c r="E57" s="228">
        <v>151.0</v>
      </c>
      <c r="F57" s="226" t="s">
        <v>3432</v>
      </c>
    </row>
    <row r="58">
      <c r="A58" s="230">
        <v>46029.393055555556</v>
      </c>
      <c r="B58" s="226" t="s">
        <v>3439</v>
      </c>
      <c r="C58" s="226" t="s">
        <v>3367</v>
      </c>
      <c r="D58" s="226">
        <v>518.0</v>
      </c>
      <c r="E58" s="228">
        <v>181.0</v>
      </c>
      <c r="F58" s="226" t="s">
        <v>3440</v>
      </c>
    </row>
    <row r="59">
      <c r="A59" s="230">
        <v>46029.395833333336</v>
      </c>
      <c r="B59" s="226" t="s">
        <v>3401</v>
      </c>
      <c r="C59" s="226" t="s">
        <v>3367</v>
      </c>
      <c r="D59" s="226">
        <v>518.0</v>
      </c>
      <c r="E59" s="228">
        <v>181.0</v>
      </c>
      <c r="F59" s="226" t="s">
        <v>3442</v>
      </c>
    </row>
    <row r="60">
      <c r="A60" s="230">
        <v>46030.69513888889</v>
      </c>
      <c r="B60" s="226" t="s">
        <v>3401</v>
      </c>
      <c r="C60" s="226" t="s">
        <v>3367</v>
      </c>
      <c r="D60" s="226">
        <v>808.0</v>
      </c>
      <c r="E60" s="228">
        <v>467.0</v>
      </c>
      <c r="F60" s="226" t="s">
        <v>3444</v>
      </c>
    </row>
    <row r="61">
      <c r="A61" s="230">
        <v>46030.69583333333</v>
      </c>
      <c r="B61" s="226" t="s">
        <v>3401</v>
      </c>
      <c r="C61" s="226" t="s">
        <v>3367</v>
      </c>
      <c r="D61" s="226">
        <v>787.0</v>
      </c>
      <c r="E61" s="228">
        <v>448.0</v>
      </c>
      <c r="F61" s="226" t="s">
        <v>3445</v>
      </c>
    </row>
    <row r="62">
      <c r="A62" s="230">
        <v>46030.69583333333</v>
      </c>
      <c r="B62" s="226" t="s">
        <v>3401</v>
      </c>
      <c r="C62" s="226" t="s">
        <v>3367</v>
      </c>
      <c r="D62" s="226">
        <v>808.0</v>
      </c>
      <c r="E62" s="228">
        <v>467.0</v>
      </c>
      <c r="F62" s="226" t="s">
        <v>3448</v>
      </c>
    </row>
    <row r="63">
      <c r="A63" s="230">
        <v>46030.697222222225</v>
      </c>
      <c r="B63" s="226" t="s">
        <v>3451</v>
      </c>
      <c r="C63" s="226" t="s">
        <v>3452</v>
      </c>
      <c r="D63" s="226" t="s">
        <v>3454</v>
      </c>
      <c r="F63" s="226" t="s">
        <v>3455</v>
      </c>
    </row>
    <row r="64">
      <c r="A64" s="230">
        <v>46030.697916666664</v>
      </c>
      <c r="B64" s="226" t="s">
        <v>3401</v>
      </c>
      <c r="C64" s="226" t="s">
        <v>3367</v>
      </c>
      <c r="D64" s="226">
        <v>733.0</v>
      </c>
      <c r="E64" s="228">
        <v>398.0</v>
      </c>
      <c r="F64" s="226" t="s">
        <v>3457</v>
      </c>
    </row>
    <row r="65">
      <c r="A65" s="230">
        <v>46030.7</v>
      </c>
      <c r="B65" s="226" t="s">
        <v>3451</v>
      </c>
      <c r="C65" s="226" t="s">
        <v>3460</v>
      </c>
      <c r="F65" s="226" t="s">
        <v>3461</v>
      </c>
    </row>
    <row r="66">
      <c r="A66" s="230">
        <v>46030.71388888889</v>
      </c>
      <c r="B66" s="226" t="s">
        <v>3451</v>
      </c>
      <c r="C66" s="226" t="s">
        <v>3452</v>
      </c>
      <c r="F66" s="226" t="s">
        <v>3462</v>
      </c>
    </row>
    <row r="67">
      <c r="A67" s="230">
        <v>46030.71388888889</v>
      </c>
      <c r="B67" s="226" t="s">
        <v>3451</v>
      </c>
      <c r="C67" s="226" t="s">
        <v>3463</v>
      </c>
      <c r="F67" s="226" t="s">
        <v>3464</v>
      </c>
    </row>
    <row r="68">
      <c r="A68" s="230">
        <v>46030.714583333334</v>
      </c>
      <c r="B68" s="226" t="s">
        <v>3451</v>
      </c>
      <c r="C68" s="226" t="s">
        <v>3452</v>
      </c>
      <c r="F68" s="226" t="s">
        <v>3466</v>
      </c>
    </row>
    <row r="69">
      <c r="A69" s="230">
        <v>46030.714583333334</v>
      </c>
      <c r="B69" s="226" t="s">
        <v>3451</v>
      </c>
      <c r="C69" s="226" t="s">
        <v>3463</v>
      </c>
      <c r="F69" s="226" t="s">
        <v>3467</v>
      </c>
    </row>
    <row r="70">
      <c r="A70" s="230">
        <v>46031.62569444445</v>
      </c>
      <c r="B70" s="226" t="s">
        <v>3401</v>
      </c>
      <c r="C70" s="226" t="s">
        <v>3367</v>
      </c>
      <c r="D70" s="226">
        <v>675.0</v>
      </c>
      <c r="E70" s="228">
        <v>342.0</v>
      </c>
      <c r="F70" s="226" t="s">
        <v>3469</v>
      </c>
    </row>
    <row r="71">
      <c r="A71" s="230">
        <v>46031.635416666664</v>
      </c>
      <c r="B71" s="226" t="s">
        <v>3401</v>
      </c>
      <c r="C71" s="226" t="s">
        <v>3367</v>
      </c>
      <c r="D71" s="226">
        <v>827.0</v>
      </c>
      <c r="E71" s="228">
        <v>488.0</v>
      </c>
      <c r="F71" s="226" t="s">
        <v>3471</v>
      </c>
    </row>
    <row r="72">
      <c r="A72" s="230">
        <v>46031.64375</v>
      </c>
      <c r="B72" s="226" t="s">
        <v>3451</v>
      </c>
      <c r="C72" s="226" t="s">
        <v>3452</v>
      </c>
      <c r="F72" s="226" t="s">
        <v>3474</v>
      </c>
    </row>
    <row r="73">
      <c r="A73" s="230">
        <v>46031.64375</v>
      </c>
      <c r="B73" s="226" t="s">
        <v>3451</v>
      </c>
      <c r="C73" s="226" t="s">
        <v>3452</v>
      </c>
      <c r="F73" s="226" t="s">
        <v>3479</v>
      </c>
    </row>
    <row r="74">
      <c r="A74" s="230">
        <v>46031.65069444444</v>
      </c>
      <c r="B74" s="226" t="s">
        <v>3451</v>
      </c>
      <c r="C74" s="226" t="s">
        <v>3452</v>
      </c>
      <c r="F74" s="226" t="s">
        <v>3480</v>
      </c>
    </row>
    <row r="75">
      <c r="A75" s="230">
        <v>46031.65555555555</v>
      </c>
      <c r="B75" s="226" t="s">
        <v>3451</v>
      </c>
      <c r="C75" s="226" t="s">
        <v>3452</v>
      </c>
      <c r="F75" s="226" t="s">
        <v>3481</v>
      </c>
    </row>
    <row r="76">
      <c r="A76" s="230">
        <v>46031.65694444445</v>
      </c>
      <c r="B76" s="226" t="s">
        <v>3451</v>
      </c>
      <c r="C76" s="226" t="s">
        <v>3463</v>
      </c>
      <c r="F76" s="226" t="s">
        <v>3482</v>
      </c>
    </row>
    <row r="77">
      <c r="A77" s="230">
        <v>46031.65833333333</v>
      </c>
      <c r="B77" s="226" t="s">
        <v>3451</v>
      </c>
      <c r="C77" s="226" t="s">
        <v>3452</v>
      </c>
      <c r="F77" s="226" t="s">
        <v>3483</v>
      </c>
    </row>
    <row r="78">
      <c r="A78" s="230">
        <v>46034.38125</v>
      </c>
      <c r="B78" s="226" t="s">
        <v>3401</v>
      </c>
      <c r="C78" s="226" t="s">
        <v>3367</v>
      </c>
      <c r="D78" s="226">
        <v>733.0</v>
      </c>
      <c r="E78" s="228">
        <v>399.0</v>
      </c>
      <c r="F78" s="226" t="s">
        <v>3484</v>
      </c>
    </row>
    <row r="79">
      <c r="A79" s="230">
        <v>46034.395833333336</v>
      </c>
      <c r="B79" s="226" t="s">
        <v>3401</v>
      </c>
      <c r="C79" s="226" t="s">
        <v>3367</v>
      </c>
      <c r="D79" s="226">
        <v>684.0</v>
      </c>
      <c r="E79" s="228">
        <v>350.0</v>
      </c>
      <c r="F79" s="226" t="s">
        <v>3486</v>
      </c>
    </row>
    <row r="80">
      <c r="A80" s="230">
        <v>46034.39722222222</v>
      </c>
      <c r="B80" s="226" t="s">
        <v>3401</v>
      </c>
      <c r="C80" s="226" t="s">
        <v>3367</v>
      </c>
      <c r="D80" s="226">
        <v>850.0</v>
      </c>
      <c r="E80" s="228">
        <v>512.0</v>
      </c>
      <c r="F80" s="226" t="s">
        <v>3488</v>
      </c>
    </row>
    <row r="81">
      <c r="A81" s="230">
        <v>46034.558333333334</v>
      </c>
      <c r="B81" s="226" t="s">
        <v>3489</v>
      </c>
      <c r="C81" s="226" t="s">
        <v>3367</v>
      </c>
      <c r="D81" s="226">
        <v>916.0</v>
      </c>
      <c r="E81" s="228">
        <v>568.0</v>
      </c>
      <c r="F81" s="226" t="s">
        <v>3491</v>
      </c>
    </row>
    <row r="82">
      <c r="A82" s="230">
        <v>46034.55972222222</v>
      </c>
      <c r="B82" s="226" t="s">
        <v>3489</v>
      </c>
      <c r="C82" s="226" t="s">
        <v>3367</v>
      </c>
      <c r="D82" s="226">
        <v>916.0</v>
      </c>
      <c r="E82" s="228">
        <v>568.0</v>
      </c>
      <c r="F82" s="226" t="s">
        <v>3495</v>
      </c>
    </row>
    <row r="83">
      <c r="A83" s="230">
        <v>46034.561111111114</v>
      </c>
      <c r="B83" s="226" t="s">
        <v>3489</v>
      </c>
      <c r="C83" s="226" t="s">
        <v>3367</v>
      </c>
      <c r="D83" s="226">
        <v>916.0</v>
      </c>
      <c r="E83" s="228">
        <v>568.0</v>
      </c>
      <c r="F83" s="226" t="s">
        <v>3496</v>
      </c>
    </row>
    <row r="84">
      <c r="A84" s="230">
        <v>46034.62847222222</v>
      </c>
      <c r="B84" s="226" t="s">
        <v>3489</v>
      </c>
      <c r="C84" s="226" t="s">
        <v>3367</v>
      </c>
      <c r="D84" s="226">
        <v>920.0</v>
      </c>
      <c r="E84" s="228">
        <v>573.0</v>
      </c>
      <c r="F84" s="226" t="s">
        <v>3497</v>
      </c>
    </row>
    <row r="85">
      <c r="A85" s="230">
        <v>46034.72222222222</v>
      </c>
      <c r="B85" s="226" t="s">
        <v>3401</v>
      </c>
      <c r="C85" s="226" t="s">
        <v>3367</v>
      </c>
      <c r="D85" s="226">
        <v>881.0</v>
      </c>
      <c r="E85" s="228">
        <v>537.0</v>
      </c>
      <c r="F85" s="226" t="s">
        <v>3498</v>
      </c>
    </row>
    <row r="86">
      <c r="A86" s="230">
        <v>46035.558333333334</v>
      </c>
      <c r="B86" s="226" t="s">
        <v>3366</v>
      </c>
      <c r="C86" s="226" t="s">
        <v>3367</v>
      </c>
      <c r="D86" s="226">
        <v>306.0</v>
      </c>
      <c r="E86" s="228">
        <v>17.0</v>
      </c>
      <c r="F86" s="226" t="s">
        <v>3500</v>
      </c>
    </row>
    <row r="87">
      <c r="A87" s="230">
        <v>46036.44652777778</v>
      </c>
      <c r="B87" s="226" t="s">
        <v>3401</v>
      </c>
      <c r="C87" s="226" t="s">
        <v>3367</v>
      </c>
      <c r="D87" s="226">
        <v>781.0</v>
      </c>
      <c r="E87" s="228">
        <v>442.0</v>
      </c>
      <c r="F87" s="226" t="s">
        <v>3501</v>
      </c>
    </row>
    <row r="88">
      <c r="A88" s="230">
        <v>46036.62847222222</v>
      </c>
      <c r="B88" s="226" t="s">
        <v>3502</v>
      </c>
      <c r="C88" s="226" t="s">
        <v>3367</v>
      </c>
      <c r="D88" s="226">
        <v>894.0</v>
      </c>
      <c r="E88" s="228">
        <v>548.0</v>
      </c>
      <c r="F88" s="226" t="s">
        <v>3504</v>
      </c>
    </row>
    <row r="89">
      <c r="A89" s="230">
        <v>46037.56319444445</v>
      </c>
      <c r="B89" s="226" t="s">
        <v>3507</v>
      </c>
      <c r="C89" s="226" t="s">
        <v>3508</v>
      </c>
      <c r="D89" s="226">
        <v>926.0</v>
      </c>
      <c r="E89" s="228">
        <v>578.0</v>
      </c>
      <c r="F89" s="226" t="s">
        <v>3509</v>
      </c>
    </row>
    <row r="90">
      <c r="A90" s="230">
        <v>46037.56597222222</v>
      </c>
      <c r="B90" s="226" t="s">
        <v>3507</v>
      </c>
      <c r="C90" s="226" t="s">
        <v>3508</v>
      </c>
      <c r="D90" s="226">
        <v>925.0</v>
      </c>
      <c r="E90" s="228">
        <v>579.0</v>
      </c>
      <c r="F90" s="226" t="s">
        <v>3509</v>
      </c>
    </row>
    <row r="91">
      <c r="A91" s="230">
        <v>46038.0375</v>
      </c>
      <c r="B91" s="226" t="s">
        <v>3386</v>
      </c>
      <c r="C91" s="226" t="s">
        <v>3387</v>
      </c>
      <c r="D91" s="226">
        <v>814.0</v>
      </c>
      <c r="E91" s="228">
        <v>476.0</v>
      </c>
      <c r="F91" s="226" t="s">
        <v>3510</v>
      </c>
    </row>
    <row r="92">
      <c r="A92" s="230">
        <v>46038.44861111111</v>
      </c>
      <c r="B92" s="226" t="s">
        <v>3401</v>
      </c>
      <c r="C92" s="226" t="s">
        <v>3367</v>
      </c>
      <c r="D92" s="226">
        <v>324.0</v>
      </c>
      <c r="E92" s="228">
        <v>22.0</v>
      </c>
      <c r="F92" s="226" t="s">
        <v>3512</v>
      </c>
    </row>
    <row r="93">
      <c r="A93" s="230">
        <v>46038.623611111114</v>
      </c>
      <c r="B93" s="226" t="s">
        <v>3401</v>
      </c>
      <c r="C93" s="226" t="s">
        <v>3367</v>
      </c>
      <c r="D93" s="226">
        <v>733.0</v>
      </c>
      <c r="E93" s="228">
        <v>399.0</v>
      </c>
      <c r="F93" s="226" t="s">
        <v>3514</v>
      </c>
    </row>
    <row r="94">
      <c r="A94" s="230">
        <v>46041.0375</v>
      </c>
      <c r="B94" s="226" t="s">
        <v>3386</v>
      </c>
      <c r="C94" s="226" t="s">
        <v>3387</v>
      </c>
      <c r="D94" s="226">
        <v>216.0</v>
      </c>
      <c r="E94" s="228">
        <v>205.0</v>
      </c>
      <c r="F94" s="226" t="s">
        <v>3515</v>
      </c>
    </row>
    <row r="95">
      <c r="A95" s="230">
        <v>46041.4625</v>
      </c>
      <c r="B95" s="226" t="s">
        <v>3489</v>
      </c>
      <c r="C95" s="226" t="s">
        <v>3367</v>
      </c>
      <c r="D95" s="226">
        <v>916.0</v>
      </c>
      <c r="E95" s="228">
        <v>576.0</v>
      </c>
      <c r="F95" s="226" t="s">
        <v>3520</v>
      </c>
    </row>
    <row r="96">
      <c r="A96" s="230">
        <v>46041.464583333334</v>
      </c>
      <c r="B96" s="226" t="s">
        <v>3366</v>
      </c>
      <c r="C96" s="226" t="s">
        <v>3367</v>
      </c>
      <c r="D96" s="226">
        <v>875.0</v>
      </c>
      <c r="E96" s="228">
        <v>532.0</v>
      </c>
      <c r="F96" s="226" t="s">
        <v>3521</v>
      </c>
    </row>
    <row r="97">
      <c r="A97" s="230">
        <v>46042.45694444444</v>
      </c>
      <c r="B97" s="226" t="s">
        <v>3366</v>
      </c>
      <c r="C97" s="226" t="s">
        <v>3508</v>
      </c>
      <c r="D97" s="226">
        <v>927.0</v>
      </c>
      <c r="E97" s="228">
        <v>580.0</v>
      </c>
      <c r="F97" s="226" t="s">
        <v>3509</v>
      </c>
    </row>
    <row r="98">
      <c r="A98" s="230">
        <v>46042.45763888889</v>
      </c>
      <c r="B98" s="226" t="s">
        <v>3366</v>
      </c>
      <c r="C98" s="226" t="s">
        <v>3367</v>
      </c>
      <c r="D98" s="226">
        <v>927.0</v>
      </c>
      <c r="E98" s="228">
        <v>580.0</v>
      </c>
      <c r="F98" s="226" t="s">
        <v>3522</v>
      </c>
    </row>
    <row r="99">
      <c r="A99" s="230">
        <v>46042.46111111111</v>
      </c>
      <c r="B99" s="226" t="s">
        <v>3489</v>
      </c>
      <c r="C99" s="226" t="s">
        <v>3508</v>
      </c>
      <c r="D99" s="226">
        <v>928.0</v>
      </c>
      <c r="E99" s="228">
        <v>581.0</v>
      </c>
      <c r="F99" s="226" t="s">
        <v>3509</v>
      </c>
    </row>
    <row r="100">
      <c r="A100" s="230">
        <v>46042.4625</v>
      </c>
      <c r="B100" s="226" t="s">
        <v>3524</v>
      </c>
      <c r="C100" s="226" t="s">
        <v>3367</v>
      </c>
      <c r="D100" s="226">
        <v>831.0</v>
      </c>
      <c r="E100" s="228">
        <v>494.0</v>
      </c>
      <c r="F100" s="226" t="s">
        <v>3526</v>
      </c>
    </row>
    <row r="101">
      <c r="A101" s="230">
        <v>46042.46319444444</v>
      </c>
      <c r="B101" s="226" t="s">
        <v>3524</v>
      </c>
      <c r="C101" s="226" t="s">
        <v>3367</v>
      </c>
      <c r="D101" s="226">
        <v>832.0</v>
      </c>
      <c r="E101" s="228">
        <v>495.0</v>
      </c>
      <c r="F101" s="226" t="s">
        <v>3527</v>
      </c>
    </row>
    <row r="102">
      <c r="A102" s="230">
        <v>46042.464583333334</v>
      </c>
      <c r="B102" s="226" t="s">
        <v>3524</v>
      </c>
      <c r="C102" s="226" t="s">
        <v>3367</v>
      </c>
      <c r="D102" s="226">
        <v>541.0</v>
      </c>
      <c r="E102" s="228">
        <v>206.0</v>
      </c>
      <c r="F102" s="226" t="s">
        <v>3531</v>
      </c>
    </row>
    <row r="103">
      <c r="A103" s="230">
        <v>46042.615277777775</v>
      </c>
      <c r="B103" s="226" t="s">
        <v>3489</v>
      </c>
      <c r="C103" s="226" t="s">
        <v>3367</v>
      </c>
      <c r="D103" s="226">
        <v>928.0</v>
      </c>
      <c r="E103" s="228">
        <v>581.0</v>
      </c>
      <c r="F103" s="226" t="s">
        <v>3532</v>
      </c>
    </row>
    <row r="104">
      <c r="A104" s="230">
        <v>46042.61666666667</v>
      </c>
      <c r="B104" s="226" t="s">
        <v>3489</v>
      </c>
      <c r="C104" s="226" t="s">
        <v>3367</v>
      </c>
      <c r="D104" s="226">
        <v>928.0</v>
      </c>
      <c r="E104" s="228">
        <v>581.0</v>
      </c>
      <c r="F104" s="226" t="s">
        <v>3533</v>
      </c>
    </row>
    <row r="105">
      <c r="A105" s="230">
        <v>46042.63958333333</v>
      </c>
      <c r="B105" s="226" t="s">
        <v>3507</v>
      </c>
      <c r="C105" s="226" t="s">
        <v>3367</v>
      </c>
      <c r="D105" s="226">
        <v>614.0</v>
      </c>
      <c r="E105" s="228">
        <v>395.0</v>
      </c>
      <c r="F105" s="226" t="s">
        <v>3534</v>
      </c>
    </row>
    <row r="106">
      <c r="A106" s="230">
        <v>46045.0375</v>
      </c>
      <c r="B106" s="226" t="s">
        <v>3386</v>
      </c>
      <c r="C106" s="226" t="s">
        <v>3387</v>
      </c>
      <c r="D106" s="226">
        <v>541.0</v>
      </c>
      <c r="E106" s="228">
        <v>206.0</v>
      </c>
      <c r="F106" s="226" t="s">
        <v>3535</v>
      </c>
    </row>
    <row r="107">
      <c r="A107" s="230">
        <v>46045.0375</v>
      </c>
      <c r="B107" s="226" t="s">
        <v>3386</v>
      </c>
      <c r="C107" s="226" t="s">
        <v>3387</v>
      </c>
      <c r="D107" s="228">
        <v>923.0</v>
      </c>
      <c r="E107" s="228">
        <v>575.0</v>
      </c>
      <c r="F107" s="226" t="s">
        <v>3535</v>
      </c>
    </row>
    <row r="108">
      <c r="A108" s="230">
        <v>46048.46527777778</v>
      </c>
      <c r="B108" s="226" t="s">
        <v>3366</v>
      </c>
      <c r="C108" s="226" t="s">
        <v>3508</v>
      </c>
      <c r="D108" s="226">
        <v>929.0</v>
      </c>
      <c r="E108" s="228">
        <v>582.0</v>
      </c>
      <c r="F108" s="226" t="s">
        <v>3509</v>
      </c>
    </row>
    <row r="109">
      <c r="A109" s="230">
        <v>46048.479166666664</v>
      </c>
      <c r="B109" s="226" t="s">
        <v>3524</v>
      </c>
      <c r="C109" s="226" t="s">
        <v>3367</v>
      </c>
      <c r="D109" s="226">
        <v>472.0</v>
      </c>
      <c r="E109" s="228">
        <v>140.0</v>
      </c>
      <c r="F109" s="226" t="s">
        <v>3541</v>
      </c>
    </row>
    <row r="110">
      <c r="A110" s="230">
        <v>46048.48263888889</v>
      </c>
      <c r="B110" s="226" t="s">
        <v>3524</v>
      </c>
      <c r="C110" s="226" t="s">
        <v>3367</v>
      </c>
      <c r="D110" s="226">
        <v>528.0</v>
      </c>
      <c r="E110" s="228">
        <v>194.0</v>
      </c>
      <c r="F110" s="226" t="s">
        <v>3542</v>
      </c>
    </row>
    <row r="111">
      <c r="A111" s="230">
        <v>46049.69375</v>
      </c>
      <c r="B111" s="226" t="s">
        <v>3366</v>
      </c>
      <c r="C111" s="226" t="s">
        <v>3367</v>
      </c>
      <c r="D111" s="226">
        <v>515.0</v>
      </c>
      <c r="E111" s="228">
        <v>177.0</v>
      </c>
      <c r="F111" s="226" t="s">
        <v>3543</v>
      </c>
    </row>
    <row r="112">
      <c r="A112" s="230">
        <v>46049.72638888889</v>
      </c>
      <c r="B112" s="226" t="s">
        <v>3366</v>
      </c>
      <c r="C112" s="226" t="s">
        <v>3508</v>
      </c>
      <c r="D112" s="226">
        <v>930.0</v>
      </c>
      <c r="E112" s="228">
        <v>583.0</v>
      </c>
      <c r="F112" s="226" t="s">
        <v>3509</v>
      </c>
    </row>
    <row r="113">
      <c r="A113" s="230">
        <v>46050.42222222222</v>
      </c>
      <c r="B113" s="226" t="s">
        <v>3489</v>
      </c>
      <c r="C113" s="226" t="s">
        <v>3508</v>
      </c>
      <c r="D113" s="226">
        <v>931.0</v>
      </c>
      <c r="E113" s="228">
        <v>584.0</v>
      </c>
      <c r="F113" s="226" t="s">
        <v>3509</v>
      </c>
    </row>
    <row r="114">
      <c r="A114" s="230">
        <v>46050.48263888889</v>
      </c>
      <c r="B114" s="226" t="s">
        <v>3507</v>
      </c>
      <c r="C114" s="226" t="s">
        <v>3367</v>
      </c>
      <c r="D114" s="226">
        <v>740.0</v>
      </c>
      <c r="E114" s="228">
        <v>406.0</v>
      </c>
      <c r="F114" s="226" t="s">
        <v>3547</v>
      </c>
    </row>
    <row r="115">
      <c r="A115" s="230">
        <v>46050.60625</v>
      </c>
      <c r="B115" s="226" t="s">
        <v>3401</v>
      </c>
      <c r="C115" s="226" t="s">
        <v>3367</v>
      </c>
      <c r="D115" s="226">
        <v>486.0</v>
      </c>
      <c r="E115" s="228">
        <v>151.0</v>
      </c>
      <c r="F115" s="226" t="s">
        <v>3548</v>
      </c>
    </row>
    <row r="116">
      <c r="A116" s="230">
        <v>46050.64236111111</v>
      </c>
      <c r="B116" s="226" t="s">
        <v>3489</v>
      </c>
      <c r="C116" s="226" t="s">
        <v>3508</v>
      </c>
      <c r="D116" s="226">
        <v>6.0</v>
      </c>
      <c r="E116" s="228">
        <v>585.0</v>
      </c>
      <c r="F116" s="226" t="s">
        <v>3509</v>
      </c>
    </row>
    <row r="117">
      <c r="A117" s="230">
        <v>46050.643055555556</v>
      </c>
      <c r="B117" s="226" t="s">
        <v>3489</v>
      </c>
      <c r="C117" s="226" t="s">
        <v>3367</v>
      </c>
      <c r="D117" s="226">
        <v>932.0</v>
      </c>
      <c r="E117" s="228">
        <v>585.0</v>
      </c>
      <c r="F117" s="226" t="s">
        <v>3552</v>
      </c>
    </row>
    <row r="118">
      <c r="A118" s="230">
        <v>46051.0375</v>
      </c>
      <c r="B118" s="226" t="s">
        <v>3386</v>
      </c>
      <c r="C118" s="226" t="s">
        <v>3387</v>
      </c>
      <c r="D118" s="226">
        <v>875.0</v>
      </c>
      <c r="E118" s="228">
        <v>532.0</v>
      </c>
      <c r="F118" s="226" t="s">
        <v>3554</v>
      </c>
    </row>
    <row r="119">
      <c r="A119" s="230">
        <v>46051.40694444445</v>
      </c>
      <c r="B119" s="226" t="s">
        <v>3502</v>
      </c>
      <c r="C119" s="226" t="s">
        <v>3367</v>
      </c>
      <c r="D119" s="226">
        <v>576.0</v>
      </c>
      <c r="E119" s="228">
        <v>242.0</v>
      </c>
      <c r="F119" s="226" t="s">
        <v>3555</v>
      </c>
    </row>
    <row r="120">
      <c r="A120" s="230">
        <v>46051.40833333333</v>
      </c>
      <c r="B120" s="226" t="s">
        <v>3502</v>
      </c>
      <c r="C120" s="226" t="s">
        <v>3367</v>
      </c>
      <c r="D120" s="226">
        <v>664.0</v>
      </c>
      <c r="E120" s="228">
        <v>333.0</v>
      </c>
      <c r="F120" s="226" t="s">
        <v>3557</v>
      </c>
    </row>
    <row r="121">
      <c r="A121" s="230">
        <v>46051.6375</v>
      </c>
      <c r="B121" s="226" t="s">
        <v>3502</v>
      </c>
      <c r="C121" s="226" t="s">
        <v>3367</v>
      </c>
      <c r="D121" s="226">
        <v>576.0</v>
      </c>
      <c r="E121" s="228">
        <v>242.0</v>
      </c>
      <c r="F121" s="226" t="s">
        <v>3561</v>
      </c>
    </row>
    <row r="122">
      <c r="A122" s="230">
        <v>46052.0375</v>
      </c>
      <c r="B122" s="226" t="s">
        <v>3386</v>
      </c>
      <c r="C122" s="226" t="s">
        <v>3387</v>
      </c>
      <c r="D122" s="226">
        <v>774.0</v>
      </c>
      <c r="E122" s="228">
        <v>437.0</v>
      </c>
      <c r="F122" s="226" t="s">
        <v>3562</v>
      </c>
    </row>
    <row r="123">
      <c r="A123" s="230">
        <v>46053.0375</v>
      </c>
      <c r="B123" s="226" t="s">
        <v>3386</v>
      </c>
      <c r="C123" s="226" t="s">
        <v>3387</v>
      </c>
      <c r="D123" s="226">
        <v>545.0</v>
      </c>
      <c r="E123" s="228">
        <v>209.0</v>
      </c>
      <c r="F123" s="226" t="s">
        <v>3563</v>
      </c>
    </row>
    <row r="124">
      <c r="A124" s="230">
        <v>46053.385416666664</v>
      </c>
      <c r="B124" s="226" t="s">
        <v>3564</v>
      </c>
      <c r="C124" s="226" t="s">
        <v>3367</v>
      </c>
      <c r="D124" s="226">
        <v>216.0</v>
      </c>
      <c r="E124" s="228">
        <v>205.0</v>
      </c>
      <c r="F124" s="226" t="s">
        <v>3566</v>
      </c>
    </row>
    <row r="125">
      <c r="A125" s="230">
        <v>46054.0375</v>
      </c>
      <c r="B125" s="226" t="s">
        <v>3386</v>
      </c>
      <c r="C125" s="226" t="s">
        <v>3387</v>
      </c>
      <c r="D125" s="226">
        <v>740.0</v>
      </c>
      <c r="E125" s="228">
        <v>406.0</v>
      </c>
      <c r="F125" s="226" t="s">
        <v>3568</v>
      </c>
    </row>
    <row r="126">
      <c r="A126" s="230">
        <v>46054.0375</v>
      </c>
      <c r="B126" s="226" t="s">
        <v>3386</v>
      </c>
      <c r="C126" s="226" t="s">
        <v>3387</v>
      </c>
      <c r="D126" s="228">
        <v>927.0</v>
      </c>
      <c r="E126" s="228">
        <v>580.0</v>
      </c>
      <c r="F126" s="226" t="s">
        <v>3568</v>
      </c>
    </row>
    <row r="127">
      <c r="A127" s="230">
        <v>46055.0375</v>
      </c>
      <c r="B127" s="226" t="s">
        <v>3386</v>
      </c>
      <c r="C127" s="226" t="s">
        <v>3387</v>
      </c>
      <c r="D127" s="226">
        <v>431.0</v>
      </c>
      <c r="E127" s="228">
        <v>100.0</v>
      </c>
      <c r="F127" s="226" t="s">
        <v>3569</v>
      </c>
    </row>
    <row r="128">
      <c r="A128" s="230">
        <v>46055.0375</v>
      </c>
      <c r="B128" s="226" t="s">
        <v>3386</v>
      </c>
      <c r="C128" s="226" t="s">
        <v>3387</v>
      </c>
      <c r="D128" s="226">
        <v>432.0</v>
      </c>
      <c r="E128" s="228">
        <v>101.0</v>
      </c>
      <c r="F128" s="226" t="s">
        <v>3569</v>
      </c>
    </row>
    <row r="129">
      <c r="A129" s="230">
        <v>46055.0375</v>
      </c>
      <c r="B129" s="226" t="s">
        <v>3386</v>
      </c>
      <c r="C129" s="226" t="s">
        <v>3387</v>
      </c>
      <c r="D129" s="226">
        <v>917.0</v>
      </c>
      <c r="E129" s="228">
        <v>568.0</v>
      </c>
      <c r="F129" s="226" t="s">
        <v>3569</v>
      </c>
    </row>
    <row r="130">
      <c r="A130" s="230">
        <v>46056.0375</v>
      </c>
      <c r="B130" s="226" t="s">
        <v>3386</v>
      </c>
      <c r="C130" s="226" t="s">
        <v>3387</v>
      </c>
      <c r="D130" s="226">
        <v>216.0</v>
      </c>
      <c r="E130" s="228">
        <v>205.0</v>
      </c>
      <c r="F130" s="226" t="s">
        <v>3574</v>
      </c>
    </row>
    <row r="131">
      <c r="A131" s="230">
        <v>46056.4</v>
      </c>
      <c r="B131" s="226" t="s">
        <v>3489</v>
      </c>
      <c r="C131" s="226" t="s">
        <v>3508</v>
      </c>
      <c r="D131" s="226">
        <v>933.0</v>
      </c>
      <c r="E131" s="228">
        <v>586.0</v>
      </c>
      <c r="F131" s="226" t="s">
        <v>3509</v>
      </c>
    </row>
    <row r="132">
      <c r="A132" s="230">
        <v>46056.59861111111</v>
      </c>
      <c r="B132" s="226" t="s">
        <v>3502</v>
      </c>
      <c r="C132" s="226" t="s">
        <v>3367</v>
      </c>
      <c r="D132" s="226">
        <v>216.0</v>
      </c>
      <c r="E132" s="228">
        <v>205.0</v>
      </c>
      <c r="F132" s="226" t="s">
        <v>3575</v>
      </c>
    </row>
    <row r="133">
      <c r="A133" s="230">
        <v>46057.697916666664</v>
      </c>
      <c r="B133" s="226" t="s">
        <v>3366</v>
      </c>
      <c r="C133" s="226" t="s">
        <v>3508</v>
      </c>
      <c r="D133" s="226">
        <v>934.0</v>
      </c>
      <c r="E133" s="228">
        <v>587.0</v>
      </c>
      <c r="F133" s="226" t="s">
        <v>3509</v>
      </c>
    </row>
    <row r="134">
      <c r="A134" s="230">
        <v>46057.705555555556</v>
      </c>
      <c r="B134" s="226" t="s">
        <v>3366</v>
      </c>
      <c r="C134" s="226" t="s">
        <v>3508</v>
      </c>
      <c r="D134" s="226">
        <v>935.0</v>
      </c>
      <c r="E134" s="228">
        <v>588.0</v>
      </c>
      <c r="F134" s="226" t="s">
        <v>3509</v>
      </c>
    </row>
    <row r="135">
      <c r="A135" s="230">
        <v>46057.72083333333</v>
      </c>
      <c r="B135" s="226" t="s">
        <v>3524</v>
      </c>
      <c r="C135" s="226" t="s">
        <v>3508</v>
      </c>
      <c r="D135" s="226">
        <v>936.0</v>
      </c>
      <c r="E135" s="228">
        <v>589.0</v>
      </c>
      <c r="F135" s="226" t="s">
        <v>3509</v>
      </c>
    </row>
    <row r="136">
      <c r="A136" s="230">
        <v>46058.0375</v>
      </c>
      <c r="B136" s="226" t="s">
        <v>3386</v>
      </c>
      <c r="C136" s="226" t="s">
        <v>3387</v>
      </c>
      <c r="D136" s="226">
        <v>787.0</v>
      </c>
      <c r="E136" s="228">
        <v>449.0</v>
      </c>
      <c r="F136" s="226" t="s">
        <v>3580</v>
      </c>
    </row>
    <row r="137">
      <c r="A137" s="230">
        <v>46059.0375</v>
      </c>
      <c r="B137" s="226" t="s">
        <v>3386</v>
      </c>
      <c r="C137" s="226" t="s">
        <v>3387</v>
      </c>
      <c r="D137" s="228">
        <v>928.0</v>
      </c>
      <c r="E137" s="228">
        <v>581.0</v>
      </c>
      <c r="F137" s="226" t="s">
        <v>3584</v>
      </c>
    </row>
    <row r="138">
      <c r="A138" s="230">
        <v>46059.441666666666</v>
      </c>
      <c r="B138" s="226" t="s">
        <v>3489</v>
      </c>
      <c r="C138" s="226" t="s">
        <v>3367</v>
      </c>
      <c r="D138" s="226">
        <v>914.0</v>
      </c>
      <c r="E138" s="228">
        <v>560.0</v>
      </c>
      <c r="F138" s="226" t="s">
        <v>3585</v>
      </c>
    </row>
    <row r="139">
      <c r="A139" s="230">
        <v>46063.660416666666</v>
      </c>
      <c r="B139" s="226" t="s">
        <v>3366</v>
      </c>
      <c r="C139" s="226" t="s">
        <v>3508</v>
      </c>
      <c r="D139" s="226">
        <v>937.0</v>
      </c>
      <c r="E139" s="228">
        <v>590.0</v>
      </c>
      <c r="F139" s="226" t="s">
        <v>3509</v>
      </c>
    </row>
    <row r="140">
      <c r="A140" s="230">
        <v>46063.67222222222</v>
      </c>
      <c r="B140" s="226" t="s">
        <v>3401</v>
      </c>
      <c r="C140" s="226" t="s">
        <v>3508</v>
      </c>
      <c r="D140" s="226">
        <v>938.0</v>
      </c>
      <c r="E140" s="228">
        <v>591.0</v>
      </c>
      <c r="F140" s="226" t="s">
        <v>3509</v>
      </c>
    </row>
    <row r="141">
      <c r="A141" s="230">
        <v>46064.584027777775</v>
      </c>
      <c r="B141" s="226" t="s">
        <v>3401</v>
      </c>
      <c r="C141" s="226" t="s">
        <v>3508</v>
      </c>
      <c r="D141" s="226">
        <v>939.0</v>
      </c>
      <c r="E141" s="228">
        <v>592.0</v>
      </c>
      <c r="F141" s="226" t="s">
        <v>3509</v>
      </c>
    </row>
    <row r="142">
      <c r="A142" s="230">
        <v>46064.58541666667</v>
      </c>
      <c r="B142" s="226" t="s">
        <v>3401</v>
      </c>
      <c r="C142" s="226" t="s">
        <v>3367</v>
      </c>
      <c r="D142" s="226">
        <v>939.0</v>
      </c>
      <c r="E142" s="228">
        <v>592.0</v>
      </c>
      <c r="F142" s="226" t="s">
        <v>3587</v>
      </c>
    </row>
    <row r="143">
      <c r="A143" s="230">
        <v>46064.611805555556</v>
      </c>
      <c r="B143" s="226" t="s">
        <v>3366</v>
      </c>
      <c r="C143" s="226" t="s">
        <v>3367</v>
      </c>
      <c r="D143" s="226">
        <v>875.0</v>
      </c>
      <c r="E143" s="228">
        <v>532.0</v>
      </c>
      <c r="F143" s="226" t="s">
        <v>3588</v>
      </c>
    </row>
    <row r="144">
      <c r="A144" s="230">
        <v>46065.458333333336</v>
      </c>
      <c r="B144" s="226" t="s">
        <v>3502</v>
      </c>
      <c r="C144" s="226" t="s">
        <v>3367</v>
      </c>
      <c r="D144" s="226">
        <v>216.0</v>
      </c>
      <c r="E144" s="228">
        <v>205.0</v>
      </c>
      <c r="F144" s="226" t="s">
        <v>3589</v>
      </c>
    </row>
    <row r="145">
      <c r="A145" s="230">
        <v>46065.731944444444</v>
      </c>
      <c r="B145" s="226" t="s">
        <v>3489</v>
      </c>
      <c r="C145" s="226" t="s">
        <v>3508</v>
      </c>
      <c r="D145" s="226">
        <v>940.0</v>
      </c>
      <c r="E145" s="228">
        <v>593.0</v>
      </c>
      <c r="F145" s="226" t="s">
        <v>3509</v>
      </c>
    </row>
    <row r="146">
      <c r="A146" s="230">
        <v>46065.73333333333</v>
      </c>
      <c r="B146" s="226" t="s">
        <v>3489</v>
      </c>
      <c r="C146" s="226" t="s">
        <v>3367</v>
      </c>
      <c r="D146" s="226">
        <v>940.0</v>
      </c>
      <c r="E146" s="228">
        <v>593.0</v>
      </c>
      <c r="F146" s="226" t="s">
        <v>3592</v>
      </c>
    </row>
    <row r="147">
      <c r="A147" s="230">
        <v>46066.0375</v>
      </c>
      <c r="B147" s="226" t="s">
        <v>3386</v>
      </c>
      <c r="C147" s="226" t="s">
        <v>3387</v>
      </c>
      <c r="D147" s="226">
        <v>672.0</v>
      </c>
      <c r="E147" s="228">
        <v>341.0</v>
      </c>
      <c r="F147" s="226" t="s">
        <v>3593</v>
      </c>
    </row>
    <row r="148">
      <c r="A148" s="230">
        <v>46066.0375</v>
      </c>
      <c r="B148" s="226" t="s">
        <v>3386</v>
      </c>
      <c r="C148" s="226" t="s">
        <v>3387</v>
      </c>
      <c r="D148" s="228">
        <v>932.0</v>
      </c>
      <c r="E148" s="228">
        <v>585.0</v>
      </c>
      <c r="F148" s="226" t="s">
        <v>3593</v>
      </c>
    </row>
    <row r="149">
      <c r="A149" s="230">
        <v>46066.4875</v>
      </c>
      <c r="B149" s="226" t="s">
        <v>3366</v>
      </c>
      <c r="C149" s="226" t="s">
        <v>3367</v>
      </c>
      <c r="D149" s="226">
        <v>554.0</v>
      </c>
      <c r="E149" s="228">
        <v>216.0</v>
      </c>
      <c r="F149" s="226" t="s">
        <v>3595</v>
      </c>
    </row>
    <row r="150">
      <c r="A150" s="230">
        <v>46066.53194444445</v>
      </c>
      <c r="B150" s="226" t="s">
        <v>3489</v>
      </c>
      <c r="C150" s="226" t="s">
        <v>3508</v>
      </c>
      <c r="D150" s="226">
        <v>941.0</v>
      </c>
      <c r="E150" s="228">
        <v>594.0</v>
      </c>
      <c r="F150" s="226" t="s">
        <v>3509</v>
      </c>
    </row>
    <row r="151">
      <c r="A151" s="230">
        <v>46071.0375</v>
      </c>
      <c r="B151" s="226" t="s">
        <v>3386</v>
      </c>
      <c r="C151" s="226" t="s">
        <v>3387</v>
      </c>
      <c r="D151" s="228">
        <v>933.0</v>
      </c>
      <c r="E151" s="228">
        <v>586.0</v>
      </c>
      <c r="F151" s="226" t="s">
        <v>3598</v>
      </c>
    </row>
    <row r="152">
      <c r="A152" s="230">
        <v>46073.038194444445</v>
      </c>
      <c r="B152" s="226" t="s">
        <v>3386</v>
      </c>
      <c r="C152" s="226" t="s">
        <v>3387</v>
      </c>
      <c r="D152" s="226">
        <v>557.0</v>
      </c>
      <c r="E152" s="228">
        <v>222.0</v>
      </c>
      <c r="F152" s="226" t="s">
        <v>3599</v>
      </c>
    </row>
    <row r="153">
      <c r="A153" s="230">
        <v>46073.038194444445</v>
      </c>
      <c r="B153" s="226" t="s">
        <v>3386</v>
      </c>
      <c r="C153" s="226" t="s">
        <v>3387</v>
      </c>
      <c r="D153" s="226">
        <v>919.0</v>
      </c>
      <c r="E153" s="228">
        <v>570.0</v>
      </c>
      <c r="F153" s="226" t="s">
        <v>3599</v>
      </c>
    </row>
    <row r="154">
      <c r="A154" s="230">
        <v>46074.0375</v>
      </c>
      <c r="B154" s="226" t="s">
        <v>3386</v>
      </c>
      <c r="C154" s="226" t="s">
        <v>3387</v>
      </c>
      <c r="D154" s="226">
        <v>905.0</v>
      </c>
      <c r="E154" s="228">
        <v>558.0</v>
      </c>
      <c r="F154" s="226" t="s">
        <v>3601</v>
      </c>
    </row>
    <row r="155">
      <c r="A155" s="230">
        <v>46076.39444444444</v>
      </c>
      <c r="B155" s="226" t="s">
        <v>3489</v>
      </c>
      <c r="C155" s="226" t="s">
        <v>3508</v>
      </c>
      <c r="D155" s="226">
        <v>942.0</v>
      </c>
      <c r="E155" s="228">
        <v>595.0</v>
      </c>
      <c r="F155" s="226" t="s">
        <v>3509</v>
      </c>
    </row>
    <row r="156">
      <c r="A156" s="230">
        <v>46078.43680555555</v>
      </c>
      <c r="B156" s="226" t="s">
        <v>3366</v>
      </c>
      <c r="C156" s="226" t="s">
        <v>3367</v>
      </c>
      <c r="D156" s="226">
        <v>75.0</v>
      </c>
      <c r="E156" s="228">
        <v>3.0</v>
      </c>
      <c r="F156" s="226" t="s">
        <v>3603</v>
      </c>
    </row>
    <row r="157">
      <c r="A157" s="230">
        <v>46078.45763888889</v>
      </c>
      <c r="B157" s="226" t="s">
        <v>3401</v>
      </c>
      <c r="C157" s="226" t="s">
        <v>3367</v>
      </c>
      <c r="D157" s="226">
        <v>644.0</v>
      </c>
      <c r="E157" s="228">
        <v>312.0</v>
      </c>
      <c r="F157" s="226" t="s">
        <v>3604</v>
      </c>
    </row>
    <row r="158">
      <c r="A158" s="230">
        <v>46078.55069444444</v>
      </c>
      <c r="B158" s="226" t="s">
        <v>3451</v>
      </c>
      <c r="C158" s="226" t="s">
        <v>3452</v>
      </c>
      <c r="D158" s="226">
        <v>940.0</v>
      </c>
      <c r="F158" s="226" t="s">
        <v>3605</v>
      </c>
    </row>
    <row r="159">
      <c r="A159" s="230">
        <v>46078.55138888889</v>
      </c>
      <c r="B159" s="226" t="s">
        <v>3451</v>
      </c>
      <c r="C159" s="226" t="s">
        <v>3452</v>
      </c>
      <c r="D159" s="226">
        <v>940.0</v>
      </c>
      <c r="F159" s="226" t="s">
        <v>3606</v>
      </c>
    </row>
    <row r="160">
      <c r="A160" s="230">
        <v>46078.552083333336</v>
      </c>
      <c r="B160" s="226" t="s">
        <v>3451</v>
      </c>
      <c r="C160" s="226" t="s">
        <v>3452</v>
      </c>
      <c r="D160" s="226">
        <v>935.0</v>
      </c>
      <c r="F160" s="226" t="s">
        <v>3608</v>
      </c>
    </row>
    <row r="161">
      <c r="A161" s="230">
        <v>46078.65069444444</v>
      </c>
      <c r="B161" s="226" t="s">
        <v>3366</v>
      </c>
      <c r="C161" s="226" t="s">
        <v>3367</v>
      </c>
      <c r="D161" s="226">
        <v>937.0</v>
      </c>
      <c r="E161" s="228">
        <v>590.0</v>
      </c>
      <c r="F161" s="226" t="s">
        <v>3609</v>
      </c>
    </row>
    <row r="162">
      <c r="A162" s="230">
        <v>46078.654861111114</v>
      </c>
      <c r="B162" s="226" t="s">
        <v>3366</v>
      </c>
      <c r="C162" s="226" t="s">
        <v>3367</v>
      </c>
      <c r="D162" s="226">
        <v>937.0</v>
      </c>
      <c r="E162" s="228">
        <v>590.0</v>
      </c>
      <c r="F162" s="226" t="s">
        <v>3610</v>
      </c>
    </row>
    <row r="163">
      <c r="A163" s="230">
        <v>46079.0375</v>
      </c>
      <c r="B163" s="226" t="s">
        <v>3386</v>
      </c>
      <c r="C163" s="226" t="s">
        <v>3387</v>
      </c>
      <c r="D163" s="226">
        <v>786.0</v>
      </c>
      <c r="E163" s="228">
        <v>448.0</v>
      </c>
      <c r="F163" s="226" t="s">
        <v>3614</v>
      </c>
    </row>
    <row r="164">
      <c r="A164" s="230">
        <v>46079.495833333334</v>
      </c>
      <c r="B164" s="226" t="s">
        <v>3366</v>
      </c>
      <c r="C164" s="226" t="s">
        <v>3367</v>
      </c>
      <c r="D164" s="226">
        <v>877.0</v>
      </c>
      <c r="E164" s="228">
        <v>534.0</v>
      </c>
      <c r="F164" s="226" t="s">
        <v>3615</v>
      </c>
    </row>
    <row r="165">
      <c r="A165" s="230">
        <v>46079.555555555555</v>
      </c>
      <c r="B165" s="226" t="s">
        <v>3366</v>
      </c>
      <c r="C165" s="226" t="s">
        <v>3367</v>
      </c>
      <c r="D165" s="226">
        <v>877.0</v>
      </c>
      <c r="E165" s="228">
        <v>534.0</v>
      </c>
      <c r="F165" s="226" t="s">
        <v>3616</v>
      </c>
    </row>
    <row r="166">
      <c r="A166" s="230">
        <v>46079.56180555555</v>
      </c>
      <c r="B166" s="226" t="s">
        <v>3366</v>
      </c>
      <c r="C166" s="226" t="s">
        <v>3508</v>
      </c>
      <c r="D166" s="226">
        <v>943.0</v>
      </c>
      <c r="E166" s="228">
        <v>596.0</v>
      </c>
      <c r="F166" s="226" t="s">
        <v>3509</v>
      </c>
    </row>
    <row r="167">
      <c r="A167" s="230">
        <v>46079.575694444444</v>
      </c>
      <c r="B167" s="226" t="s">
        <v>3401</v>
      </c>
      <c r="C167" s="226" t="s">
        <v>3508</v>
      </c>
      <c r="D167" s="226">
        <v>944.0</v>
      </c>
      <c r="E167" s="228">
        <v>597.0</v>
      </c>
      <c r="F167" s="226" t="s">
        <v>3509</v>
      </c>
    </row>
    <row r="168">
      <c r="A168" s="230">
        <v>46079.660416666666</v>
      </c>
      <c r="B168" s="226" t="s">
        <v>3502</v>
      </c>
      <c r="C168" s="226" t="s">
        <v>3367</v>
      </c>
      <c r="D168" s="226">
        <v>734.0</v>
      </c>
      <c r="E168" s="228">
        <v>400.0</v>
      </c>
      <c r="F168" s="226" t="s">
        <v>3618</v>
      </c>
    </row>
    <row r="169">
      <c r="A169" s="230">
        <v>46079.66180555556</v>
      </c>
      <c r="B169" s="226" t="s">
        <v>3502</v>
      </c>
      <c r="C169" s="226" t="s">
        <v>3367</v>
      </c>
      <c r="D169" s="226">
        <v>541.0</v>
      </c>
      <c r="E169" s="228">
        <v>206.0</v>
      </c>
      <c r="F169" s="226" t="s">
        <v>3622</v>
      </c>
    </row>
    <row r="170">
      <c r="A170" s="230">
        <v>46079.663194444445</v>
      </c>
      <c r="B170" s="226" t="s">
        <v>3502</v>
      </c>
      <c r="C170" s="226" t="s">
        <v>3367</v>
      </c>
      <c r="D170" s="226">
        <v>660.0</v>
      </c>
      <c r="E170" s="228">
        <v>328.0</v>
      </c>
      <c r="F170" s="226" t="s">
        <v>3624</v>
      </c>
    </row>
    <row r="171">
      <c r="A171" s="230">
        <v>46080.41875</v>
      </c>
      <c r="B171" s="226" t="s">
        <v>3524</v>
      </c>
      <c r="C171" s="226" t="s">
        <v>3508</v>
      </c>
      <c r="D171" s="226">
        <v>945.0</v>
      </c>
      <c r="E171" s="228">
        <v>598.0</v>
      </c>
      <c r="F171" s="226" t="s">
        <v>3509</v>
      </c>
    </row>
    <row r="172">
      <c r="A172" s="230">
        <v>46080.597916666666</v>
      </c>
      <c r="B172" s="226" t="s">
        <v>3507</v>
      </c>
      <c r="C172" s="226" t="s">
        <v>3367</v>
      </c>
      <c r="D172" s="226">
        <v>657.0</v>
      </c>
      <c r="E172" s="228">
        <v>325.0</v>
      </c>
      <c r="F172" s="226" t="s">
        <v>3627</v>
      </c>
    </row>
    <row r="173">
      <c r="A173" s="230">
        <v>46081.0375</v>
      </c>
      <c r="B173" s="226" t="s">
        <v>3386</v>
      </c>
      <c r="C173" s="226" t="s">
        <v>3387</v>
      </c>
      <c r="D173" s="228">
        <v>931.0</v>
      </c>
      <c r="E173" s="228">
        <v>584.0</v>
      </c>
      <c r="F173" s="226" t="s">
        <v>3629</v>
      </c>
    </row>
    <row r="174">
      <c r="A174" s="230">
        <v>46082.0375</v>
      </c>
      <c r="B174" s="226" t="s">
        <v>3386</v>
      </c>
      <c r="C174" s="226" t="s">
        <v>3387</v>
      </c>
      <c r="D174" s="226">
        <v>684.0</v>
      </c>
      <c r="E174" s="228">
        <v>350.0</v>
      </c>
      <c r="F174" s="226" t="s">
        <v>3630</v>
      </c>
    </row>
    <row r="175">
      <c r="A175" s="230">
        <v>46082.0375</v>
      </c>
      <c r="B175" s="226" t="s">
        <v>3386</v>
      </c>
      <c r="C175" s="226" t="s">
        <v>3387</v>
      </c>
      <c r="D175" s="226">
        <v>918.0</v>
      </c>
      <c r="E175" s="228">
        <v>569.0</v>
      </c>
      <c r="F175" s="226" t="s">
        <v>3630</v>
      </c>
    </row>
    <row r="176">
      <c r="A176" s="230">
        <v>46082.0375</v>
      </c>
      <c r="B176" s="226" t="s">
        <v>3386</v>
      </c>
      <c r="C176" s="226" t="s">
        <v>3387</v>
      </c>
      <c r="D176" s="228">
        <v>936.0</v>
      </c>
      <c r="E176" s="228">
        <v>589.0</v>
      </c>
      <c r="F176" s="226" t="s">
        <v>3630</v>
      </c>
    </row>
    <row r="177">
      <c r="A177" s="230">
        <v>46083.0375</v>
      </c>
      <c r="B177" s="226" t="s">
        <v>3386</v>
      </c>
      <c r="C177" s="226" t="s">
        <v>3387</v>
      </c>
      <c r="D177" s="226">
        <v>327.0</v>
      </c>
      <c r="E177" s="228">
        <v>23.0</v>
      </c>
      <c r="F177" s="226" t="s">
        <v>3633</v>
      </c>
    </row>
    <row r="178">
      <c r="A178" s="230">
        <v>46083.42083333333</v>
      </c>
      <c r="B178" s="226" t="s">
        <v>3502</v>
      </c>
      <c r="C178" s="226" t="s">
        <v>3367</v>
      </c>
      <c r="D178" s="226">
        <v>381.0</v>
      </c>
      <c r="E178" s="228">
        <v>58.0</v>
      </c>
      <c r="F178" s="226" t="s">
        <v>3636</v>
      </c>
    </row>
    <row r="179">
      <c r="A179" s="230">
        <v>46084.0375</v>
      </c>
      <c r="B179" s="226" t="s">
        <v>3386</v>
      </c>
      <c r="C179" s="226" t="s">
        <v>3387</v>
      </c>
      <c r="D179" s="226">
        <v>719.0</v>
      </c>
      <c r="E179" s="228">
        <v>386.0</v>
      </c>
      <c r="F179" s="226" t="s">
        <v>3637</v>
      </c>
    </row>
    <row r="180">
      <c r="A180" s="230">
        <v>46084.714583333334</v>
      </c>
      <c r="B180" s="226" t="s">
        <v>3366</v>
      </c>
      <c r="C180" s="226" t="s">
        <v>3367</v>
      </c>
      <c r="D180" s="226">
        <v>327.0</v>
      </c>
      <c r="E180" s="228">
        <v>23.0</v>
      </c>
      <c r="F180" s="226" t="s">
        <v>3640</v>
      </c>
    </row>
    <row r="181">
      <c r="A181" s="230">
        <v>46085.0375</v>
      </c>
      <c r="B181" s="226" t="s">
        <v>3386</v>
      </c>
      <c r="C181" s="226" t="s">
        <v>3387</v>
      </c>
      <c r="D181" s="228">
        <v>942.0</v>
      </c>
      <c r="E181" s="228">
        <v>595.0</v>
      </c>
      <c r="F181" s="226" t="s">
        <v>3642</v>
      </c>
    </row>
    <row r="182">
      <c r="A182" s="230">
        <v>46085.37986111111</v>
      </c>
      <c r="B182" s="226" t="s">
        <v>3401</v>
      </c>
      <c r="C182" s="226" t="s">
        <v>3367</v>
      </c>
      <c r="D182" s="226">
        <v>684.0</v>
      </c>
      <c r="E182" s="228">
        <v>350.0</v>
      </c>
      <c r="F182" s="226" t="s">
        <v>3643</v>
      </c>
    </row>
    <row r="183">
      <c r="A183" s="230">
        <v>46085.39444444444</v>
      </c>
      <c r="B183" s="226" t="s">
        <v>3644</v>
      </c>
      <c r="C183" s="226" t="s">
        <v>3367</v>
      </c>
      <c r="D183" s="226">
        <v>906.0</v>
      </c>
      <c r="E183" s="228">
        <v>561.0</v>
      </c>
      <c r="F183" s="226" t="s">
        <v>3645</v>
      </c>
    </row>
    <row r="184">
      <c r="A184" s="230">
        <v>46085.688888888886</v>
      </c>
      <c r="B184" s="226" t="s">
        <v>3366</v>
      </c>
      <c r="C184" s="226" t="s">
        <v>3367</v>
      </c>
      <c r="D184" s="226">
        <v>929.0</v>
      </c>
      <c r="E184" s="228">
        <v>582.0</v>
      </c>
      <c r="F184" s="226" t="s">
        <v>3648</v>
      </c>
    </row>
    <row r="185">
      <c r="A185" s="230">
        <v>46087.0375</v>
      </c>
      <c r="B185" s="226" t="s">
        <v>3386</v>
      </c>
      <c r="C185" s="226" t="s">
        <v>3387</v>
      </c>
      <c r="D185" s="226">
        <v>637.0</v>
      </c>
      <c r="E185" s="228">
        <v>304.0</v>
      </c>
      <c r="F185" s="226" t="s">
        <v>3649</v>
      </c>
    </row>
    <row r="186">
      <c r="A186" s="230">
        <v>46087.584027777775</v>
      </c>
      <c r="B186" s="226" t="s">
        <v>3489</v>
      </c>
      <c r="C186" s="226" t="s">
        <v>3367</v>
      </c>
      <c r="D186" s="226">
        <v>808.0</v>
      </c>
      <c r="E186" s="228">
        <v>468.0</v>
      </c>
      <c r="F186" s="226" t="s">
        <v>3650</v>
      </c>
    </row>
    <row r="187">
      <c r="A187" s="230">
        <v>46087.59305555555</v>
      </c>
      <c r="B187" s="226" t="s">
        <v>3502</v>
      </c>
      <c r="C187" s="226" t="s">
        <v>3367</v>
      </c>
      <c r="D187" s="226">
        <v>248.0</v>
      </c>
      <c r="E187" s="228">
        <v>14.0</v>
      </c>
      <c r="F187" s="226" t="s">
        <v>3653</v>
      </c>
    </row>
    <row r="188">
      <c r="A188" s="230">
        <v>46087.595138888886</v>
      </c>
      <c r="B188" s="226" t="s">
        <v>3644</v>
      </c>
      <c r="C188" s="226" t="s">
        <v>3367</v>
      </c>
      <c r="D188" s="226">
        <v>702.0</v>
      </c>
      <c r="E188" s="228">
        <v>369.0</v>
      </c>
      <c r="F188" s="226" t="s">
        <v>3654</v>
      </c>
    </row>
    <row r="189">
      <c r="A189" s="230">
        <v>46087.59652777778</v>
      </c>
      <c r="B189" s="226" t="s">
        <v>3644</v>
      </c>
      <c r="C189" s="226" t="s">
        <v>3367</v>
      </c>
      <c r="D189" s="226">
        <v>630.0</v>
      </c>
      <c r="E189" s="228">
        <v>298.0</v>
      </c>
      <c r="F189" s="226" t="s">
        <v>3655</v>
      </c>
    </row>
    <row r="190">
      <c r="A190" s="230">
        <v>46087.59652777778</v>
      </c>
      <c r="B190" s="226" t="s">
        <v>3644</v>
      </c>
      <c r="C190" s="226" t="s">
        <v>3367</v>
      </c>
      <c r="D190" s="226">
        <v>694.0</v>
      </c>
      <c r="E190" s="228">
        <v>362.0</v>
      </c>
      <c r="F190" s="226" t="s">
        <v>3656</v>
      </c>
    </row>
    <row r="191">
      <c r="A191" s="230">
        <v>46087.59722222222</v>
      </c>
      <c r="B191" s="226" t="s">
        <v>3644</v>
      </c>
      <c r="C191" s="226" t="s">
        <v>3367</v>
      </c>
      <c r="D191" s="226">
        <v>75.0</v>
      </c>
      <c r="E191" s="228">
        <v>3.0</v>
      </c>
      <c r="F191" s="226" t="s">
        <v>3657</v>
      </c>
    </row>
    <row r="192">
      <c r="A192" s="230">
        <v>46087.597916666666</v>
      </c>
      <c r="B192" s="226" t="s">
        <v>3644</v>
      </c>
      <c r="C192" s="226" t="s">
        <v>3367</v>
      </c>
      <c r="D192" s="226">
        <v>472.0</v>
      </c>
      <c r="E192" s="228">
        <v>140.0</v>
      </c>
      <c r="F192" s="226" t="s">
        <v>3657</v>
      </c>
    </row>
    <row r="193">
      <c r="A193" s="230">
        <v>46087.59861111111</v>
      </c>
      <c r="B193" s="226" t="s">
        <v>3644</v>
      </c>
      <c r="C193" s="226" t="s">
        <v>3367</v>
      </c>
      <c r="D193" s="226">
        <v>798.0</v>
      </c>
      <c r="E193" s="228">
        <v>459.0</v>
      </c>
      <c r="F193" s="226" t="s">
        <v>3659</v>
      </c>
    </row>
    <row r="194">
      <c r="A194" s="230">
        <v>46087.59930555556</v>
      </c>
      <c r="B194" s="226" t="s">
        <v>3644</v>
      </c>
      <c r="C194" s="226" t="s">
        <v>3367</v>
      </c>
      <c r="D194" s="226">
        <v>327.0</v>
      </c>
      <c r="E194" s="228">
        <v>23.0</v>
      </c>
      <c r="F194" s="226" t="s">
        <v>3660</v>
      </c>
    </row>
    <row r="195">
      <c r="A195" s="230">
        <v>46087.59930555556</v>
      </c>
      <c r="B195" s="226" t="s">
        <v>3644</v>
      </c>
      <c r="C195" s="226" t="s">
        <v>3367</v>
      </c>
      <c r="D195" s="226">
        <v>572.0</v>
      </c>
      <c r="E195" s="228">
        <v>237.0</v>
      </c>
      <c r="F195" s="226" t="s">
        <v>3661</v>
      </c>
    </row>
    <row r="196">
      <c r="A196" s="230">
        <v>46087.663194444445</v>
      </c>
      <c r="B196" s="226" t="s">
        <v>3401</v>
      </c>
      <c r="C196" s="226" t="s">
        <v>3367</v>
      </c>
      <c r="D196" s="226">
        <v>926.0</v>
      </c>
      <c r="E196" s="228">
        <v>579.0</v>
      </c>
      <c r="F196" s="226" t="s">
        <v>3664</v>
      </c>
    </row>
    <row r="197">
      <c r="A197" s="230">
        <v>46087.66805555556</v>
      </c>
      <c r="B197" s="226" t="s">
        <v>3401</v>
      </c>
      <c r="C197" s="226" t="s">
        <v>3508</v>
      </c>
      <c r="D197" s="226">
        <v>946.0</v>
      </c>
      <c r="E197" s="228">
        <v>599.0</v>
      </c>
      <c r="F197" s="226" t="s">
        <v>3509</v>
      </c>
    </row>
    <row r="198">
      <c r="A198" s="230">
        <v>46087.67569444444</v>
      </c>
      <c r="B198" s="226" t="s">
        <v>3366</v>
      </c>
      <c r="C198" s="226" t="s">
        <v>3367</v>
      </c>
      <c r="D198" s="226">
        <v>926.0</v>
      </c>
      <c r="E198" s="228">
        <v>579.0</v>
      </c>
      <c r="F198" s="226" t="s">
        <v>3668</v>
      </c>
    </row>
    <row r="199">
      <c r="A199" s="230">
        <v>46088.0375</v>
      </c>
      <c r="B199" s="226" t="s">
        <v>3386</v>
      </c>
      <c r="C199" s="226" t="s">
        <v>3387</v>
      </c>
      <c r="D199" s="226">
        <v>784.0</v>
      </c>
      <c r="E199" s="228">
        <v>446.0</v>
      </c>
      <c r="F199" s="226" t="s">
        <v>3669</v>
      </c>
    </row>
    <row r="200">
      <c r="A200" s="230">
        <v>46088.0375</v>
      </c>
      <c r="B200" s="226" t="s">
        <v>3386</v>
      </c>
      <c r="C200" s="226" t="s">
        <v>3387</v>
      </c>
      <c r="D200" s="228">
        <v>934.0</v>
      </c>
      <c r="E200" s="228">
        <v>587.0</v>
      </c>
      <c r="F200" s="226" t="s">
        <v>3669</v>
      </c>
    </row>
    <row r="201">
      <c r="A201" s="230">
        <v>46088.0375</v>
      </c>
      <c r="B201" s="226" t="s">
        <v>3386</v>
      </c>
      <c r="C201" s="226" t="s">
        <v>3387</v>
      </c>
      <c r="D201" s="228">
        <v>935.0</v>
      </c>
      <c r="E201" s="228">
        <v>588.0</v>
      </c>
      <c r="F201" s="226" t="s">
        <v>3669</v>
      </c>
    </row>
    <row r="202">
      <c r="A202" s="230">
        <v>46088.0375</v>
      </c>
      <c r="B202" s="226" t="s">
        <v>3386</v>
      </c>
      <c r="C202" s="226" t="s">
        <v>3387</v>
      </c>
      <c r="D202" s="228">
        <v>941.0</v>
      </c>
      <c r="E202" s="228">
        <v>594.0</v>
      </c>
      <c r="F202" s="226" t="s">
        <v>3669</v>
      </c>
    </row>
    <row r="203">
      <c r="A203" s="230">
        <v>46090.45347222222</v>
      </c>
      <c r="B203" s="226" t="s">
        <v>3366</v>
      </c>
      <c r="C203" s="226" t="s">
        <v>3367</v>
      </c>
      <c r="D203" s="226">
        <v>650.0</v>
      </c>
      <c r="E203" s="228">
        <v>319.0</v>
      </c>
      <c r="F203" s="226" t="s">
        <v>3673</v>
      </c>
    </row>
    <row r="204">
      <c r="A204" s="230">
        <v>46091.404861111114</v>
      </c>
      <c r="B204" s="226" t="s">
        <v>3366</v>
      </c>
      <c r="C204" s="226" t="s">
        <v>3367</v>
      </c>
      <c r="D204" s="226">
        <v>875.0</v>
      </c>
      <c r="E204" s="228">
        <v>532.0</v>
      </c>
      <c r="F204" s="226" t="s">
        <v>3674</v>
      </c>
    </row>
    <row r="205">
      <c r="A205" s="230">
        <v>46091.479166666664</v>
      </c>
      <c r="B205" s="226" t="s">
        <v>3489</v>
      </c>
      <c r="C205" s="226" t="s">
        <v>3367</v>
      </c>
      <c r="D205" s="226">
        <v>674.0</v>
      </c>
      <c r="E205" s="228">
        <v>324.0</v>
      </c>
      <c r="F205" s="226" t="s">
        <v>3676</v>
      </c>
    </row>
    <row r="206">
      <c r="A206" s="230">
        <v>46091.566666666666</v>
      </c>
      <c r="B206" s="226" t="s">
        <v>3366</v>
      </c>
      <c r="C206" s="226" t="s">
        <v>3508</v>
      </c>
      <c r="D206" s="226">
        <v>947.0</v>
      </c>
      <c r="E206" s="228">
        <v>600.0</v>
      </c>
      <c r="F206" s="226" t="s">
        <v>3509</v>
      </c>
    </row>
    <row r="207">
      <c r="A207" s="230">
        <v>46092.38333333333</v>
      </c>
      <c r="B207" s="226" t="s">
        <v>3489</v>
      </c>
      <c r="C207" s="226" t="s">
        <v>3367</v>
      </c>
      <c r="D207" s="226">
        <v>637.0</v>
      </c>
      <c r="E207" s="228">
        <v>304.0</v>
      </c>
      <c r="F207" s="226" t="s">
        <v>3678</v>
      </c>
    </row>
    <row r="208">
      <c r="A208" s="230">
        <v>46092.501388888886</v>
      </c>
      <c r="B208" s="226" t="s">
        <v>3489</v>
      </c>
      <c r="C208" s="226" t="s">
        <v>3367</v>
      </c>
      <c r="D208" s="226">
        <v>431.0</v>
      </c>
      <c r="E208" s="228">
        <v>100.0</v>
      </c>
      <c r="F208" s="226" t="s">
        <v>3679</v>
      </c>
    </row>
    <row r="209">
      <c r="A209" s="230">
        <v>46092.501388888886</v>
      </c>
      <c r="B209" s="226" t="s">
        <v>3489</v>
      </c>
      <c r="C209" s="226" t="s">
        <v>3367</v>
      </c>
      <c r="D209" s="226">
        <v>432.0</v>
      </c>
      <c r="E209" s="228">
        <v>101.0</v>
      </c>
      <c r="F209" s="226" t="s">
        <v>3679</v>
      </c>
    </row>
    <row r="210">
      <c r="A210" s="230">
        <v>46092.55902777778</v>
      </c>
      <c r="B210" s="226" t="s">
        <v>3489</v>
      </c>
      <c r="C210" s="226" t="s">
        <v>3367</v>
      </c>
      <c r="D210" s="226">
        <v>557.0</v>
      </c>
      <c r="E210" s="228">
        <v>222.0</v>
      </c>
      <c r="F210" s="226" t="s">
        <v>3683</v>
      </c>
    </row>
    <row r="211">
      <c r="A211" s="230">
        <v>46092.56041666667</v>
      </c>
      <c r="B211" s="226" t="s">
        <v>3489</v>
      </c>
      <c r="C211" s="226" t="s">
        <v>3367</v>
      </c>
      <c r="D211" s="226">
        <v>774.0</v>
      </c>
      <c r="E211" s="228">
        <v>437.0</v>
      </c>
      <c r="F211" s="226" t="s">
        <v>3684</v>
      </c>
    </row>
    <row r="212">
      <c r="A212" s="230">
        <v>46092.561111111114</v>
      </c>
      <c r="B212" s="226" t="s">
        <v>3489</v>
      </c>
      <c r="C212" s="226" t="s">
        <v>3367</v>
      </c>
      <c r="D212" s="226">
        <v>786.0</v>
      </c>
      <c r="E212" s="228">
        <v>448.0</v>
      </c>
      <c r="F212" s="226" t="s">
        <v>3685</v>
      </c>
    </row>
    <row r="213">
      <c r="A213" s="230">
        <v>46092.56319444445</v>
      </c>
      <c r="B213" s="226" t="s">
        <v>3489</v>
      </c>
      <c r="C213" s="226" t="s">
        <v>3367</v>
      </c>
      <c r="D213" s="226">
        <v>931.0</v>
      </c>
      <c r="E213" s="228">
        <v>584.0</v>
      </c>
      <c r="F213" s="226" t="s">
        <v>3686</v>
      </c>
    </row>
    <row r="214">
      <c r="A214" s="230">
        <v>46092.563888888886</v>
      </c>
      <c r="B214" s="226" t="s">
        <v>3489</v>
      </c>
      <c r="C214" s="226" t="s">
        <v>3367</v>
      </c>
      <c r="D214" s="226">
        <v>932.0</v>
      </c>
      <c r="E214" s="228">
        <v>585.0</v>
      </c>
      <c r="F214" s="226" t="s">
        <v>3689</v>
      </c>
    </row>
    <row r="215">
      <c r="A215" s="230">
        <v>46092.697222222225</v>
      </c>
      <c r="B215" s="226" t="s">
        <v>3502</v>
      </c>
      <c r="C215" s="226" t="s">
        <v>3508</v>
      </c>
      <c r="D215" s="226">
        <v>948.0</v>
      </c>
      <c r="E215" s="228">
        <v>601.0</v>
      </c>
      <c r="F215" s="226" t="s">
        <v>3509</v>
      </c>
    </row>
    <row r="216">
      <c r="A216" s="230">
        <v>46093.0375</v>
      </c>
      <c r="B216" s="226" t="s">
        <v>3386</v>
      </c>
      <c r="C216" s="226" t="s">
        <v>3387</v>
      </c>
      <c r="D216" s="228">
        <v>939.0</v>
      </c>
      <c r="E216" s="228">
        <v>592.0</v>
      </c>
      <c r="F216" s="226" t="s">
        <v>3693</v>
      </c>
    </row>
    <row r="217">
      <c r="A217" s="230">
        <v>46093.36736111111</v>
      </c>
      <c r="B217" s="226" t="s">
        <v>3366</v>
      </c>
      <c r="C217" s="226" t="s">
        <v>3367</v>
      </c>
      <c r="D217" s="226">
        <v>853.0</v>
      </c>
      <c r="E217" s="228">
        <v>515.0</v>
      </c>
      <c r="F217" s="226" t="s">
        <v>3696</v>
      </c>
    </row>
    <row r="218">
      <c r="A218" s="230">
        <v>46094.0375</v>
      </c>
      <c r="B218" s="226" t="s">
        <v>3386</v>
      </c>
      <c r="C218" s="226" t="s">
        <v>3387</v>
      </c>
      <c r="D218" s="226">
        <v>757.0</v>
      </c>
      <c r="E218" s="228">
        <v>460.0</v>
      </c>
      <c r="F218" s="226" t="s">
        <v>3697</v>
      </c>
    </row>
    <row r="219">
      <c r="A219" s="230">
        <v>46094.58541666667</v>
      </c>
      <c r="B219" s="226" t="s">
        <v>3401</v>
      </c>
      <c r="C219" s="226" t="s">
        <v>3367</v>
      </c>
      <c r="D219" s="226">
        <v>939.0</v>
      </c>
      <c r="E219" s="228">
        <v>592.0</v>
      </c>
      <c r="F219" s="226" t="s">
        <v>3698</v>
      </c>
    </row>
    <row r="220">
      <c r="A220" s="230">
        <v>46095.0375</v>
      </c>
      <c r="B220" s="226" t="s">
        <v>3386</v>
      </c>
      <c r="C220" s="226" t="s">
        <v>3387</v>
      </c>
      <c r="D220" s="226">
        <v>556.0</v>
      </c>
      <c r="E220" s="228">
        <v>224.0</v>
      </c>
      <c r="F220" s="226" t="s">
        <v>3700</v>
      </c>
    </row>
    <row r="221">
      <c r="A221" s="230">
        <v>46095.0375</v>
      </c>
      <c r="B221" s="226" t="s">
        <v>3386</v>
      </c>
      <c r="C221" s="226" t="s">
        <v>3387</v>
      </c>
      <c r="D221" s="228">
        <v>945.0</v>
      </c>
      <c r="E221" s="228">
        <v>598.0</v>
      </c>
      <c r="F221" s="226" t="s">
        <v>3700</v>
      </c>
    </row>
    <row r="222">
      <c r="A222" s="230">
        <v>46097.41111111111</v>
      </c>
      <c r="B222" s="226" t="s">
        <v>3489</v>
      </c>
      <c r="C222" s="226" t="s">
        <v>3508</v>
      </c>
      <c r="D222" s="226">
        <v>949.0</v>
      </c>
      <c r="E222" s="228">
        <v>602.0</v>
      </c>
      <c r="F222" s="226" t="s">
        <v>3509</v>
      </c>
    </row>
    <row r="223">
      <c r="A223" s="230">
        <v>46098.0375</v>
      </c>
      <c r="B223" s="226" t="s">
        <v>3386</v>
      </c>
      <c r="C223" s="226" t="s">
        <v>3387</v>
      </c>
      <c r="D223" s="226">
        <v>882.0</v>
      </c>
      <c r="E223" s="228">
        <v>538.0</v>
      </c>
      <c r="F223" s="226" t="s">
        <v>3704</v>
      </c>
    </row>
    <row r="224">
      <c r="A224" s="230">
        <v>46098.37013888889</v>
      </c>
      <c r="B224" s="226" t="s">
        <v>3644</v>
      </c>
      <c r="C224" s="226" t="s">
        <v>3367</v>
      </c>
      <c r="D224" s="226">
        <v>903.0</v>
      </c>
      <c r="E224" s="228">
        <v>556.0</v>
      </c>
      <c r="F224" s="226" t="s">
        <v>3707</v>
      </c>
    </row>
    <row r="225">
      <c r="A225" s="230">
        <v>46098.73541666667</v>
      </c>
      <c r="B225" s="226" t="s">
        <v>3489</v>
      </c>
      <c r="C225" s="226" t="s">
        <v>3367</v>
      </c>
      <c r="D225" s="226">
        <v>942.0</v>
      </c>
      <c r="E225" s="228">
        <v>595.0</v>
      </c>
      <c r="F225" s="226" t="s">
        <v>3708</v>
      </c>
    </row>
    <row r="226">
      <c r="A226" s="230">
        <v>46099.36597222222</v>
      </c>
      <c r="B226" s="226" t="s">
        <v>3502</v>
      </c>
      <c r="C226" s="226" t="s">
        <v>3508</v>
      </c>
      <c r="D226" s="226">
        <v>950.0</v>
      </c>
      <c r="E226" s="228">
        <v>603.0</v>
      </c>
      <c r="F226" s="226" t="s">
        <v>3509</v>
      </c>
    </row>
    <row r="227">
      <c r="A227" s="230">
        <v>46102.0375</v>
      </c>
      <c r="B227" s="226" t="s">
        <v>3386</v>
      </c>
      <c r="C227" s="226" t="s">
        <v>3387</v>
      </c>
      <c r="D227" s="226">
        <v>897.0</v>
      </c>
      <c r="E227" s="228">
        <v>550.0</v>
      </c>
      <c r="F227" s="226" t="s">
        <v>3711</v>
      </c>
    </row>
    <row r="228">
      <c r="A228" s="230">
        <v>46102.78194444445</v>
      </c>
      <c r="B228" s="226" t="s">
        <v>3524</v>
      </c>
      <c r="C228" s="226" t="s">
        <v>3367</v>
      </c>
      <c r="D228" s="226">
        <v>784.0</v>
      </c>
      <c r="E228" s="228">
        <v>446.0</v>
      </c>
      <c r="F228" s="226" t="s">
        <v>3714</v>
      </c>
    </row>
    <row r="229">
      <c r="A229" s="230">
        <v>46102.78333333333</v>
      </c>
      <c r="B229" s="226" t="s">
        <v>3524</v>
      </c>
      <c r="C229" s="226" t="s">
        <v>3367</v>
      </c>
      <c r="D229" s="226">
        <v>627.0</v>
      </c>
      <c r="E229" s="228">
        <v>293.0</v>
      </c>
      <c r="F229" s="226" t="s">
        <v>3715</v>
      </c>
    </row>
    <row r="230">
      <c r="A230" s="230">
        <v>46102.78472222222</v>
      </c>
      <c r="B230" s="226" t="s">
        <v>3524</v>
      </c>
      <c r="C230" s="226" t="s">
        <v>3367</v>
      </c>
      <c r="D230" s="226">
        <v>814.0</v>
      </c>
      <c r="E230" s="228">
        <v>476.0</v>
      </c>
      <c r="F230" s="226" t="s">
        <v>3717</v>
      </c>
    </row>
    <row r="231">
      <c r="A231" s="230">
        <v>46102.78611111111</v>
      </c>
      <c r="B231" s="226" t="s">
        <v>3524</v>
      </c>
      <c r="C231" s="226" t="s">
        <v>3367</v>
      </c>
      <c r="D231" s="226">
        <v>945.0</v>
      </c>
      <c r="E231" s="228">
        <v>598.0</v>
      </c>
      <c r="F231" s="226" t="s">
        <v>3719</v>
      </c>
    </row>
    <row r="232">
      <c r="A232" s="230">
        <v>46102.7875</v>
      </c>
      <c r="B232" s="226" t="s">
        <v>3524</v>
      </c>
      <c r="C232" s="226" t="s">
        <v>3367</v>
      </c>
      <c r="D232" s="226">
        <v>823.0</v>
      </c>
      <c r="E232" s="228">
        <v>485.0</v>
      </c>
      <c r="F232" s="226" t="s">
        <v>3720</v>
      </c>
    </row>
    <row r="233">
      <c r="A233" s="230">
        <v>46102.790972222225</v>
      </c>
      <c r="B233" s="226" t="s">
        <v>3524</v>
      </c>
      <c r="C233" s="226" t="s">
        <v>3367</v>
      </c>
      <c r="D233" s="226">
        <v>655.0</v>
      </c>
      <c r="E233" s="228">
        <v>322.0</v>
      </c>
      <c r="F233" s="226" t="s">
        <v>3721</v>
      </c>
    </row>
    <row r="234">
      <c r="A234" s="230">
        <v>46102.790972222225</v>
      </c>
      <c r="B234" s="226" t="s">
        <v>3524</v>
      </c>
      <c r="C234" s="226" t="s">
        <v>3367</v>
      </c>
      <c r="D234" s="226">
        <v>655.0</v>
      </c>
      <c r="E234" s="228">
        <v>322.0</v>
      </c>
      <c r="F234" s="226" t="s">
        <v>3722</v>
      </c>
    </row>
    <row r="235">
      <c r="A235" s="230">
        <v>46104.402083333334</v>
      </c>
      <c r="B235" s="226" t="s">
        <v>3524</v>
      </c>
      <c r="C235" s="226" t="s">
        <v>3367</v>
      </c>
      <c r="D235" s="226">
        <v>945.0</v>
      </c>
      <c r="E235" s="228">
        <v>598.0</v>
      </c>
      <c r="F235" s="226" t="s">
        <v>3723</v>
      </c>
    </row>
    <row r="236">
      <c r="A236" s="230">
        <v>46104.57013888889</v>
      </c>
      <c r="B236" s="226" t="s">
        <v>3401</v>
      </c>
      <c r="C236" s="226" t="s">
        <v>3508</v>
      </c>
      <c r="D236" s="226">
        <v>951.0</v>
      </c>
      <c r="E236" s="228">
        <v>604.0</v>
      </c>
      <c r="F236" s="226" t="s">
        <v>3509</v>
      </c>
    </row>
    <row r="237">
      <c r="A237" s="230">
        <v>46104.65</v>
      </c>
      <c r="B237" s="226" t="s">
        <v>3401</v>
      </c>
      <c r="C237" s="226" t="s">
        <v>3367</v>
      </c>
      <c r="D237" s="226">
        <v>796.0</v>
      </c>
      <c r="E237" s="228">
        <v>456.0</v>
      </c>
      <c r="F237" s="226" t="s">
        <v>3724</v>
      </c>
    </row>
    <row r="238">
      <c r="A238" s="230">
        <v>46104.67638888889</v>
      </c>
      <c r="B238" s="226" t="s">
        <v>3401</v>
      </c>
      <c r="C238" s="226" t="s">
        <v>3367</v>
      </c>
      <c r="D238" s="226">
        <v>781.0</v>
      </c>
      <c r="E238" s="228">
        <v>442.0</v>
      </c>
      <c r="F238" s="226" t="s">
        <v>3725</v>
      </c>
    </row>
    <row r="239">
      <c r="A239" s="230">
        <v>46105.45347222222</v>
      </c>
      <c r="B239" s="226" t="s">
        <v>3644</v>
      </c>
      <c r="C239" s="226" t="s">
        <v>3367</v>
      </c>
      <c r="D239" s="226">
        <v>560.0</v>
      </c>
      <c r="E239" s="228">
        <v>226.0</v>
      </c>
      <c r="F239" s="226" t="s">
        <v>3726</v>
      </c>
    </row>
    <row r="240">
      <c r="A240" s="230">
        <v>46105.61111111111</v>
      </c>
      <c r="B240" s="226" t="s">
        <v>3401</v>
      </c>
      <c r="C240" s="226" t="s">
        <v>3508</v>
      </c>
      <c r="D240" s="226">
        <v>952.0</v>
      </c>
      <c r="E240" s="228">
        <v>605.0</v>
      </c>
      <c r="F240" s="226" t="s">
        <v>3509</v>
      </c>
    </row>
    <row r="241">
      <c r="A241" s="230">
        <v>46105.6125</v>
      </c>
      <c r="B241" s="226" t="s">
        <v>3401</v>
      </c>
      <c r="C241" s="226" t="s">
        <v>3367</v>
      </c>
      <c r="D241" s="226">
        <v>952.0</v>
      </c>
      <c r="E241" s="228">
        <v>605.0</v>
      </c>
      <c r="F241" s="226" t="s">
        <v>3727</v>
      </c>
    </row>
    <row r="242">
      <c r="A242" s="230">
        <v>46106.0375</v>
      </c>
      <c r="B242" s="226" t="s">
        <v>3386</v>
      </c>
      <c r="C242" s="226" t="s">
        <v>3387</v>
      </c>
      <c r="D242" s="226">
        <v>793.0</v>
      </c>
      <c r="E242" s="228">
        <v>453.0</v>
      </c>
      <c r="F242" s="226" t="s">
        <v>3730</v>
      </c>
    </row>
    <row r="243">
      <c r="A243" s="230">
        <v>46106.4625</v>
      </c>
      <c r="B243" s="226" t="s">
        <v>3524</v>
      </c>
      <c r="C243" s="226" t="s">
        <v>3367</v>
      </c>
      <c r="D243" s="226">
        <v>922.0</v>
      </c>
      <c r="E243" s="228">
        <v>574.0</v>
      </c>
      <c r="F243" s="226" t="s">
        <v>3733</v>
      </c>
    </row>
    <row r="244">
      <c r="A244" s="230">
        <v>46106.57847222222</v>
      </c>
      <c r="B244" s="226" t="s">
        <v>3451</v>
      </c>
      <c r="C244" s="226" t="s">
        <v>3735</v>
      </c>
      <c r="D244" s="226">
        <v>522.0</v>
      </c>
      <c r="E244" s="228">
        <v>187.0</v>
      </c>
      <c r="F244" s="226" t="s">
        <v>3736</v>
      </c>
    </row>
    <row r="245">
      <c r="A245" s="230">
        <v>46106.57986111111</v>
      </c>
      <c r="B245" s="226" t="s">
        <v>3451</v>
      </c>
      <c r="C245" s="226" t="s">
        <v>3735</v>
      </c>
      <c r="D245" s="226">
        <v>522.0</v>
      </c>
      <c r="E245" s="228">
        <v>187.0</v>
      </c>
      <c r="F245" s="226" t="s">
        <v>3738</v>
      </c>
    </row>
    <row r="246">
      <c r="A246" s="230">
        <v>46106.583333333336</v>
      </c>
      <c r="B246" s="226" t="s">
        <v>3451</v>
      </c>
      <c r="C246" s="226" t="s">
        <v>3735</v>
      </c>
      <c r="D246" s="226" t="s">
        <v>2360</v>
      </c>
      <c r="E246" s="228">
        <v>171.0</v>
      </c>
      <c r="F246" s="226" t="s">
        <v>3736</v>
      </c>
    </row>
    <row r="247">
      <c r="A247" s="230">
        <v>46106.73611111111</v>
      </c>
      <c r="B247" s="226" t="s">
        <v>3524</v>
      </c>
      <c r="C247" s="226" t="s">
        <v>3367</v>
      </c>
      <c r="D247" s="226">
        <v>556.0</v>
      </c>
      <c r="E247" s="228">
        <v>224.0</v>
      </c>
      <c r="F247" s="226" t="s">
        <v>3740</v>
      </c>
    </row>
    <row r="248">
      <c r="A248" s="230">
        <v>46108.0375</v>
      </c>
      <c r="B248" s="226" t="s">
        <v>3386</v>
      </c>
      <c r="C248" s="226" t="s">
        <v>3387</v>
      </c>
      <c r="D248" s="228">
        <v>944.0</v>
      </c>
      <c r="E248" s="228">
        <v>597.0</v>
      </c>
      <c r="F248" s="226" t="s">
        <v>3741</v>
      </c>
    </row>
    <row r="249">
      <c r="A249" s="230">
        <v>46108.584027777775</v>
      </c>
      <c r="B249" s="226" t="s">
        <v>3401</v>
      </c>
      <c r="C249" s="226" t="s">
        <v>3508</v>
      </c>
      <c r="D249" s="226">
        <v>953.0</v>
      </c>
      <c r="E249" s="228">
        <v>606.0</v>
      </c>
      <c r="F249" s="226" t="s">
        <v>3509</v>
      </c>
    </row>
    <row r="250">
      <c r="A250" s="230">
        <v>46108.61944444444</v>
      </c>
      <c r="B250" s="226" t="s">
        <v>3401</v>
      </c>
      <c r="C250" s="226" t="s">
        <v>3508</v>
      </c>
      <c r="D250" s="226">
        <v>954.0</v>
      </c>
      <c r="E250" s="228">
        <v>607.0</v>
      </c>
      <c r="F250" s="226" t="s">
        <v>3509</v>
      </c>
    </row>
    <row r="251">
      <c r="A251" s="230">
        <v>46108.62222222222</v>
      </c>
      <c r="B251" s="226" t="s">
        <v>3401</v>
      </c>
      <c r="C251" s="226" t="s">
        <v>3367</v>
      </c>
      <c r="D251" s="226">
        <v>954.0</v>
      </c>
      <c r="E251" s="228">
        <v>607.0</v>
      </c>
      <c r="F251" s="226" t="s">
        <v>3743</v>
      </c>
    </row>
    <row r="252">
      <c r="A252" s="230">
        <v>46108.63680555556</v>
      </c>
      <c r="B252" s="226" t="s">
        <v>3366</v>
      </c>
      <c r="C252" s="226" t="s">
        <v>3508</v>
      </c>
      <c r="D252" s="226">
        <v>955.0</v>
      </c>
      <c r="E252" s="228">
        <v>608.0</v>
      </c>
      <c r="F252" s="226" t="s">
        <v>3509</v>
      </c>
    </row>
    <row r="253">
      <c r="A253" s="230">
        <v>46108.67152777778</v>
      </c>
      <c r="B253" s="226" t="s">
        <v>3489</v>
      </c>
      <c r="C253" s="226" t="s">
        <v>3508</v>
      </c>
      <c r="D253" s="226">
        <v>956.0</v>
      </c>
      <c r="E253" s="228">
        <v>609.0</v>
      </c>
      <c r="F253" s="226" t="s">
        <v>3509</v>
      </c>
    </row>
    <row r="254">
      <c r="A254" s="230">
        <v>46110.0375</v>
      </c>
      <c r="B254" s="226" t="s">
        <v>3386</v>
      </c>
      <c r="C254" s="226" t="s">
        <v>3387</v>
      </c>
      <c r="D254" s="226">
        <v>597.0</v>
      </c>
      <c r="E254" s="228">
        <v>266.0</v>
      </c>
      <c r="F254" s="226" t="s">
        <v>3745</v>
      </c>
    </row>
    <row r="255">
      <c r="A255" s="230">
        <v>46111.41180555556</v>
      </c>
      <c r="B255" s="226" t="s">
        <v>3401</v>
      </c>
      <c r="C255" s="226" t="s">
        <v>3367</v>
      </c>
      <c r="D255" s="226">
        <v>399.0</v>
      </c>
      <c r="E255" s="228">
        <v>75.0</v>
      </c>
      <c r="F255" s="226" t="s">
        <v>3746</v>
      </c>
    </row>
    <row r="256">
      <c r="A256" s="230">
        <v>46111.46875</v>
      </c>
      <c r="B256" s="226" t="s">
        <v>3439</v>
      </c>
      <c r="C256" s="226" t="s">
        <v>41</v>
      </c>
      <c r="D256" s="226">
        <v>822.0</v>
      </c>
      <c r="E256" s="228">
        <v>484.0</v>
      </c>
      <c r="F256" s="226" t="s">
        <v>3747</v>
      </c>
    </row>
    <row r="257">
      <c r="A257" s="230">
        <v>46111.47083333333</v>
      </c>
      <c r="B257" s="226" t="s">
        <v>3366</v>
      </c>
      <c r="C257" s="226" t="s">
        <v>3367</v>
      </c>
      <c r="D257" s="226">
        <v>822.0</v>
      </c>
      <c r="E257" s="228">
        <v>484.0</v>
      </c>
      <c r="F257" s="226" t="s">
        <v>3748</v>
      </c>
    </row>
    <row r="258">
      <c r="A258" s="230">
        <v>46111.47777777778</v>
      </c>
      <c r="B258" s="226" t="s">
        <v>3439</v>
      </c>
      <c r="C258" s="226" t="s">
        <v>3367</v>
      </c>
      <c r="D258" s="226">
        <v>822.0</v>
      </c>
      <c r="E258" s="228">
        <v>484.0</v>
      </c>
      <c r="F258" s="226" t="s">
        <v>3749</v>
      </c>
    </row>
    <row r="259">
      <c r="A259" s="230">
        <v>46111.54652777778</v>
      </c>
      <c r="B259" s="226" t="s">
        <v>3439</v>
      </c>
      <c r="C259" s="226" t="s">
        <v>3367</v>
      </c>
      <c r="D259" s="226">
        <v>822.0</v>
      </c>
      <c r="E259" s="228">
        <v>484.0</v>
      </c>
      <c r="F259" s="226" t="s">
        <v>3750</v>
      </c>
    </row>
    <row r="260">
      <c r="A260" s="230">
        <v>46111.66111111111</v>
      </c>
      <c r="B260" s="226" t="s">
        <v>3401</v>
      </c>
      <c r="C260" s="226" t="s">
        <v>3367</v>
      </c>
      <c r="D260" s="226">
        <v>879.0</v>
      </c>
      <c r="E260" s="228">
        <v>535.0</v>
      </c>
      <c r="F260" s="226" t="s">
        <v>3751</v>
      </c>
    </row>
    <row r="261">
      <c r="A261" s="230">
        <v>46111.66875</v>
      </c>
      <c r="B261" s="226" t="s">
        <v>3366</v>
      </c>
      <c r="C261" s="226" t="s">
        <v>3367</v>
      </c>
      <c r="D261" s="226">
        <v>822.0</v>
      </c>
      <c r="E261" s="228">
        <v>484.0</v>
      </c>
      <c r="F261" s="226" t="s">
        <v>3752</v>
      </c>
    </row>
    <row r="262">
      <c r="A262" s="230">
        <v>46111.72430555556</v>
      </c>
      <c r="B262" s="226" t="s">
        <v>3401</v>
      </c>
      <c r="C262" s="226" t="s">
        <v>3367</v>
      </c>
      <c r="D262" s="226">
        <v>944.0</v>
      </c>
      <c r="E262" s="228">
        <v>597.0</v>
      </c>
      <c r="F262" s="226" t="s">
        <v>3754</v>
      </c>
    </row>
    <row r="263">
      <c r="A263" s="230">
        <v>46112.0375</v>
      </c>
      <c r="B263" s="226" t="s">
        <v>3386</v>
      </c>
      <c r="C263" s="226" t="s">
        <v>3387</v>
      </c>
      <c r="D263" s="228">
        <v>939.0</v>
      </c>
      <c r="E263" s="228">
        <v>592.0</v>
      </c>
      <c r="F263" s="226" t="s">
        <v>3755</v>
      </c>
    </row>
    <row r="264">
      <c r="A264" s="230">
        <v>46112.663194444445</v>
      </c>
      <c r="B264" s="226" t="s">
        <v>3756</v>
      </c>
      <c r="C264" s="226" t="s">
        <v>3367</v>
      </c>
      <c r="D264" s="226">
        <v>597.0</v>
      </c>
      <c r="E264" s="228">
        <v>266.0</v>
      </c>
      <c r="F264" s="226" t="s">
        <v>3757</v>
      </c>
    </row>
    <row r="265">
      <c r="A265" s="230">
        <v>46112.66388888889</v>
      </c>
      <c r="B265" s="226" t="s">
        <v>3756</v>
      </c>
      <c r="C265" s="226" t="s">
        <v>3367</v>
      </c>
      <c r="D265" s="226">
        <v>597.0</v>
      </c>
      <c r="E265" s="228">
        <v>266.0</v>
      </c>
      <c r="F265" s="226" t="s">
        <v>3750</v>
      </c>
    </row>
    <row r="266">
      <c r="A266" s="230">
        <v>46112.67638888889</v>
      </c>
      <c r="B266" s="226" t="s">
        <v>3489</v>
      </c>
      <c r="C266" s="226" t="s">
        <v>3508</v>
      </c>
      <c r="D266" s="226">
        <v>957.0</v>
      </c>
      <c r="E266" s="228">
        <v>610.0</v>
      </c>
      <c r="F266" s="226" t="s">
        <v>3509</v>
      </c>
    </row>
    <row r="267">
      <c r="A267" s="230">
        <v>46113.0375</v>
      </c>
      <c r="B267" s="226" t="s">
        <v>3386</v>
      </c>
      <c r="C267" s="226" t="s">
        <v>3387</v>
      </c>
      <c r="D267" s="226">
        <v>576.0</v>
      </c>
      <c r="E267" s="228">
        <v>242.0</v>
      </c>
      <c r="F267" s="226" t="s">
        <v>3759</v>
      </c>
    </row>
    <row r="268">
      <c r="A268" s="230">
        <v>46113.0375</v>
      </c>
      <c r="B268" s="226" t="s">
        <v>3386</v>
      </c>
      <c r="C268" s="226" t="s">
        <v>3387</v>
      </c>
      <c r="D268" s="226">
        <v>732.0</v>
      </c>
      <c r="E268" s="228">
        <v>398.0</v>
      </c>
      <c r="F268" s="226" t="s">
        <v>3759</v>
      </c>
    </row>
    <row r="269">
      <c r="A269" s="230">
        <v>46113.0375</v>
      </c>
      <c r="B269" s="226" t="s">
        <v>3386</v>
      </c>
      <c r="C269" s="226" t="s">
        <v>3387</v>
      </c>
      <c r="D269" s="226">
        <v>850.0</v>
      </c>
      <c r="E269" s="228">
        <v>512.0</v>
      </c>
      <c r="F269" s="226" t="s">
        <v>3759</v>
      </c>
    </row>
    <row r="270">
      <c r="A270" s="230">
        <v>46113.0375</v>
      </c>
      <c r="B270" s="226" t="s">
        <v>3386</v>
      </c>
      <c r="C270" s="226" t="s">
        <v>3387</v>
      </c>
      <c r="D270" s="226">
        <v>894.0</v>
      </c>
      <c r="E270" s="228">
        <v>548.0</v>
      </c>
      <c r="F270" s="226" t="s">
        <v>3759</v>
      </c>
    </row>
    <row r="271">
      <c r="A271" s="230">
        <v>46113.0375</v>
      </c>
      <c r="B271" s="226" t="s">
        <v>3386</v>
      </c>
      <c r="C271" s="226" t="s">
        <v>3387</v>
      </c>
      <c r="D271" s="228">
        <v>944.0</v>
      </c>
      <c r="E271" s="228">
        <v>597.0</v>
      </c>
      <c r="F271" s="226" t="s">
        <v>3759</v>
      </c>
    </row>
    <row r="272">
      <c r="A272" s="230">
        <v>46113.0375</v>
      </c>
      <c r="B272" s="226" t="s">
        <v>3386</v>
      </c>
      <c r="C272" s="226" t="s">
        <v>3387</v>
      </c>
      <c r="D272" s="228">
        <v>947.0</v>
      </c>
      <c r="E272" s="228">
        <v>600.0</v>
      </c>
      <c r="F272" s="226" t="s">
        <v>3759</v>
      </c>
    </row>
    <row r="273">
      <c r="A273" s="230">
        <v>46113.0375</v>
      </c>
      <c r="B273" s="226" t="s">
        <v>3386</v>
      </c>
      <c r="C273" s="226" t="s">
        <v>3387</v>
      </c>
      <c r="D273" s="228">
        <v>949.0</v>
      </c>
      <c r="E273" s="228">
        <v>602.0</v>
      </c>
      <c r="F273" s="226" t="s">
        <v>3759</v>
      </c>
    </row>
    <row r="274">
      <c r="A274" s="230">
        <v>46113.37777777778</v>
      </c>
      <c r="B274" s="226" t="s">
        <v>3401</v>
      </c>
      <c r="C274" s="226" t="s">
        <v>3367</v>
      </c>
      <c r="D274" s="226">
        <v>944.0</v>
      </c>
      <c r="E274" s="228">
        <v>597.0</v>
      </c>
      <c r="F274" s="226" t="s">
        <v>3762</v>
      </c>
    </row>
    <row r="275">
      <c r="A275" s="230">
        <v>46113.447222222225</v>
      </c>
      <c r="B275" s="226" t="s">
        <v>3763</v>
      </c>
      <c r="C275" s="226" t="s">
        <v>3367</v>
      </c>
      <c r="D275" s="226">
        <v>719.0</v>
      </c>
      <c r="E275" s="228">
        <v>386.0</v>
      </c>
      <c r="F275" s="226" t="s">
        <v>3764</v>
      </c>
    </row>
    <row r="276">
      <c r="A276" s="230">
        <v>46113.59444444445</v>
      </c>
      <c r="B276" s="226" t="s">
        <v>3489</v>
      </c>
      <c r="C276" s="226" t="s">
        <v>3367</v>
      </c>
      <c r="D276" s="226">
        <v>785.0</v>
      </c>
      <c r="E276" s="228">
        <v>447.0</v>
      </c>
      <c r="F276" s="226" t="s">
        <v>3765</v>
      </c>
    </row>
    <row r="277">
      <c r="A277" s="230">
        <v>46113.595138888886</v>
      </c>
      <c r="B277" s="226" t="s">
        <v>3489</v>
      </c>
      <c r="C277" s="226" t="s">
        <v>3367</v>
      </c>
      <c r="D277" s="226">
        <v>785.0</v>
      </c>
      <c r="E277" s="228">
        <v>447.0</v>
      </c>
      <c r="F277" s="226" t="s">
        <v>3766</v>
      </c>
    </row>
    <row r="278">
      <c r="A278" s="230">
        <v>46113.72430555556</v>
      </c>
      <c r="B278" s="226" t="s">
        <v>3502</v>
      </c>
      <c r="C278" s="226" t="s">
        <v>3367</v>
      </c>
      <c r="D278" s="226">
        <v>602.0</v>
      </c>
      <c r="E278" s="228">
        <v>269.0</v>
      </c>
      <c r="F278" s="226" t="s">
        <v>3767</v>
      </c>
    </row>
    <row r="279">
      <c r="A279" s="230">
        <v>46113.725</v>
      </c>
      <c r="B279" s="226" t="s">
        <v>3502</v>
      </c>
      <c r="C279" s="226" t="s">
        <v>3367</v>
      </c>
      <c r="D279" s="226">
        <v>603.0</v>
      </c>
      <c r="E279" s="228">
        <v>270.0</v>
      </c>
      <c r="F279" s="226" t="s">
        <v>3768</v>
      </c>
    </row>
    <row r="280">
      <c r="A280" s="230">
        <v>46114.0375</v>
      </c>
      <c r="B280" s="226" t="s">
        <v>3386</v>
      </c>
      <c r="C280" s="226" t="s">
        <v>3387</v>
      </c>
      <c r="D280" s="226">
        <v>603.0</v>
      </c>
      <c r="E280" s="228">
        <v>270.0</v>
      </c>
      <c r="F280" s="226" t="s">
        <v>3769</v>
      </c>
    </row>
    <row r="281">
      <c r="A281" s="230">
        <v>46114.0375</v>
      </c>
      <c r="B281" s="226" t="s">
        <v>3386</v>
      </c>
      <c r="C281" s="226" t="s">
        <v>3387</v>
      </c>
      <c r="D281" s="226">
        <v>746.0</v>
      </c>
      <c r="E281" s="228">
        <v>411.0</v>
      </c>
      <c r="F281" s="226" t="s">
        <v>3769</v>
      </c>
    </row>
    <row r="282">
      <c r="A282" s="230">
        <v>46114.0375</v>
      </c>
      <c r="B282" s="226" t="s">
        <v>3386</v>
      </c>
      <c r="C282" s="226" t="s">
        <v>3387</v>
      </c>
      <c r="D282" s="226">
        <v>898.0</v>
      </c>
      <c r="E282" s="228">
        <v>551.0</v>
      </c>
      <c r="F282" s="226" t="s">
        <v>3769</v>
      </c>
    </row>
    <row r="283">
      <c r="A283" s="230">
        <v>46114.69861111111</v>
      </c>
      <c r="B283" s="226" t="s">
        <v>3763</v>
      </c>
      <c r="C283" s="226" t="s">
        <v>3367</v>
      </c>
      <c r="D283" s="226">
        <v>875.0</v>
      </c>
      <c r="E283" s="228">
        <v>532.0</v>
      </c>
      <c r="F283" s="226" t="s">
        <v>3774</v>
      </c>
    </row>
    <row r="284">
      <c r="A284" s="230">
        <v>46115.42083333333</v>
      </c>
      <c r="B284" s="226" t="s">
        <v>3401</v>
      </c>
      <c r="C284" s="226" t="s">
        <v>3367</v>
      </c>
      <c r="D284" s="226">
        <v>732.0</v>
      </c>
      <c r="E284" s="228">
        <v>398.0</v>
      </c>
      <c r="F284" s="226" t="s">
        <v>3776</v>
      </c>
    </row>
    <row r="285">
      <c r="A285" s="230">
        <v>46115.59166666667</v>
      </c>
      <c r="B285" s="226" t="s">
        <v>3401</v>
      </c>
      <c r="C285" s="226" t="s">
        <v>3367</v>
      </c>
      <c r="D285" s="226">
        <v>621.0</v>
      </c>
      <c r="E285" s="228">
        <v>286.0</v>
      </c>
      <c r="F285" s="226" t="s">
        <v>3777</v>
      </c>
    </row>
    <row r="286">
      <c r="A286" s="230">
        <v>46115.595138888886</v>
      </c>
      <c r="B286" s="226" t="s">
        <v>3401</v>
      </c>
      <c r="C286" s="226" t="s">
        <v>3367</v>
      </c>
      <c r="D286" s="226">
        <v>356.0</v>
      </c>
      <c r="E286" s="228">
        <v>36.0</v>
      </c>
      <c r="F286" s="226" t="s">
        <v>3779</v>
      </c>
    </row>
    <row r="287">
      <c r="A287" s="230">
        <v>46115.595138888886</v>
      </c>
      <c r="B287" s="226" t="s">
        <v>3401</v>
      </c>
      <c r="C287" s="226" t="s">
        <v>3367</v>
      </c>
      <c r="D287" s="226">
        <v>356.0</v>
      </c>
      <c r="E287" s="228">
        <v>36.0</v>
      </c>
      <c r="F287" s="226" t="s">
        <v>3750</v>
      </c>
    </row>
    <row r="288">
      <c r="A288" s="230">
        <v>46115.597916666666</v>
      </c>
      <c r="B288" s="226" t="s">
        <v>3401</v>
      </c>
      <c r="C288" s="226" t="s">
        <v>3367</v>
      </c>
      <c r="D288" s="226">
        <v>356.0</v>
      </c>
      <c r="E288" s="228">
        <v>36.0</v>
      </c>
      <c r="F288" s="226" t="s">
        <v>3783</v>
      </c>
    </row>
    <row r="289">
      <c r="A289" s="230">
        <v>46118.0375</v>
      </c>
      <c r="B289" s="226" t="s">
        <v>3386</v>
      </c>
      <c r="C289" s="226" t="s">
        <v>3387</v>
      </c>
      <c r="D289" s="228">
        <v>948.0</v>
      </c>
      <c r="E289" s="228">
        <v>601.0</v>
      </c>
      <c r="F289" s="226" t="s">
        <v>3784</v>
      </c>
    </row>
    <row r="290">
      <c r="A290" s="230">
        <v>46118.0375</v>
      </c>
      <c r="B290" s="226" t="s">
        <v>3386</v>
      </c>
      <c r="C290" s="226" t="s">
        <v>3387</v>
      </c>
      <c r="D290" s="228">
        <v>952.0</v>
      </c>
      <c r="E290" s="228">
        <v>605.0</v>
      </c>
      <c r="F290" s="226" t="s">
        <v>3784</v>
      </c>
    </row>
    <row r="291">
      <c r="A291" s="230">
        <v>46118.584027777775</v>
      </c>
      <c r="B291" s="226" t="s">
        <v>3407</v>
      </c>
      <c r="C291" s="226" t="s">
        <v>3367</v>
      </c>
      <c r="D291" s="226">
        <v>957.0</v>
      </c>
      <c r="E291" s="228">
        <v>610.0</v>
      </c>
      <c r="F291" s="226" t="s">
        <v>3785</v>
      </c>
    </row>
    <row r="292">
      <c r="A292" s="230">
        <v>46118.629166666666</v>
      </c>
      <c r="B292" s="226" t="s">
        <v>3366</v>
      </c>
      <c r="C292" s="226" t="s">
        <v>3367</v>
      </c>
      <c r="D292" s="226">
        <v>576.0</v>
      </c>
      <c r="E292" s="228">
        <v>242.0</v>
      </c>
      <c r="F292" s="226" t="s">
        <v>3787</v>
      </c>
    </row>
    <row r="293">
      <c r="A293" s="230">
        <v>46118.64513888889</v>
      </c>
      <c r="B293" s="226" t="s">
        <v>3407</v>
      </c>
      <c r="C293" s="226" t="s">
        <v>3367</v>
      </c>
      <c r="D293" s="226">
        <v>957.0</v>
      </c>
      <c r="E293" s="228">
        <v>610.0</v>
      </c>
      <c r="F293" s="226" t="s">
        <v>3789</v>
      </c>
    </row>
    <row r="294">
      <c r="A294" s="230">
        <v>46118.69861111111</v>
      </c>
      <c r="B294" s="226" t="s">
        <v>3366</v>
      </c>
      <c r="C294" s="226" t="s">
        <v>3508</v>
      </c>
      <c r="D294" s="226">
        <v>958.0</v>
      </c>
      <c r="E294" s="228">
        <v>611.0</v>
      </c>
      <c r="F294" s="226" t="s">
        <v>3509</v>
      </c>
    </row>
    <row r="295">
      <c r="A295" s="230">
        <v>46118.705555555556</v>
      </c>
      <c r="B295" s="226" t="s">
        <v>3366</v>
      </c>
      <c r="C295" s="226" t="s">
        <v>3367</v>
      </c>
      <c r="D295" s="226">
        <v>958.0</v>
      </c>
      <c r="E295" s="228">
        <v>611.0</v>
      </c>
      <c r="F295" s="226" t="s">
        <v>3790</v>
      </c>
    </row>
    <row r="296">
      <c r="A296" s="230">
        <v>46119.490277777775</v>
      </c>
      <c r="B296" s="226" t="s">
        <v>3401</v>
      </c>
      <c r="C296" s="226" t="s">
        <v>3508</v>
      </c>
      <c r="D296" s="226">
        <v>959.0</v>
      </c>
      <c r="E296" s="228">
        <v>611.0</v>
      </c>
      <c r="F296" s="226" t="s">
        <v>3509</v>
      </c>
    </row>
    <row r="297">
      <c r="A297" s="230">
        <v>46119.669444444444</v>
      </c>
      <c r="B297" s="226" t="s">
        <v>3401</v>
      </c>
      <c r="C297" s="226" t="s">
        <v>3508</v>
      </c>
      <c r="D297" s="226">
        <v>960.0</v>
      </c>
      <c r="E297" s="228">
        <v>612.0</v>
      </c>
      <c r="F297" s="226" t="s">
        <v>3509</v>
      </c>
    </row>
    <row r="298">
      <c r="A298" s="230">
        <v>46120.365277777775</v>
      </c>
      <c r="B298" s="226" t="s">
        <v>2778</v>
      </c>
      <c r="C298" s="226" t="s">
        <v>3508</v>
      </c>
      <c r="D298" s="226">
        <v>961.0</v>
      </c>
      <c r="E298" s="228">
        <v>613.0</v>
      </c>
      <c r="F298" s="226" t="s">
        <v>3509</v>
      </c>
    </row>
    <row r="299">
      <c r="A299" s="230">
        <v>46120.36736111111</v>
      </c>
      <c r="B299" s="226" t="s">
        <v>3366</v>
      </c>
      <c r="C299" s="226" t="s">
        <v>3367</v>
      </c>
      <c r="D299" s="226">
        <v>927.0</v>
      </c>
      <c r="E299" s="228">
        <v>580.0</v>
      </c>
      <c r="F299" s="226" t="s">
        <v>3795</v>
      </c>
    </row>
    <row r="300">
      <c r="A300" s="230">
        <v>46120.43125</v>
      </c>
      <c r="B300" s="226" t="s">
        <v>3366</v>
      </c>
      <c r="C300" s="226" t="s">
        <v>3367</v>
      </c>
      <c r="D300" s="226">
        <v>746.0</v>
      </c>
      <c r="E300" s="228">
        <v>411.0</v>
      </c>
      <c r="F300" s="226" t="s">
        <v>3797</v>
      </c>
    </row>
    <row r="301">
      <c r="A301" s="230">
        <v>46120.43472222222</v>
      </c>
      <c r="B301" s="226" t="s">
        <v>3451</v>
      </c>
      <c r="C301" s="226" t="s">
        <v>3735</v>
      </c>
      <c r="D301" s="226">
        <v>472.0</v>
      </c>
      <c r="E301" s="228">
        <v>140.0</v>
      </c>
      <c r="F301" s="226" t="s">
        <v>3798</v>
      </c>
    </row>
    <row r="302">
      <c r="A302" s="230">
        <v>46120.43472222222</v>
      </c>
      <c r="B302" s="226" t="s">
        <v>3451</v>
      </c>
      <c r="C302" s="226" t="s">
        <v>3735</v>
      </c>
      <c r="D302" s="226">
        <v>495.0</v>
      </c>
      <c r="E302" s="228">
        <v>162.0</v>
      </c>
      <c r="F302" s="226" t="s">
        <v>3798</v>
      </c>
    </row>
    <row r="303">
      <c r="A303" s="230">
        <v>46120.43472222222</v>
      </c>
      <c r="B303" s="226" t="s">
        <v>3451</v>
      </c>
      <c r="C303" s="226" t="s">
        <v>3735</v>
      </c>
      <c r="D303" s="226">
        <v>627.0</v>
      </c>
      <c r="E303" s="228">
        <v>293.0</v>
      </c>
      <c r="F303" s="226" t="s">
        <v>3798</v>
      </c>
    </row>
    <row r="304">
      <c r="A304" s="230">
        <v>46120.43472222222</v>
      </c>
      <c r="B304" s="226" t="s">
        <v>3451</v>
      </c>
      <c r="C304" s="226" t="s">
        <v>3735</v>
      </c>
      <c r="D304" s="226">
        <v>655.0</v>
      </c>
      <c r="E304" s="228">
        <v>322.0</v>
      </c>
      <c r="F304" s="226" t="s">
        <v>3798</v>
      </c>
    </row>
    <row r="305">
      <c r="A305" s="230">
        <v>46120.43472222222</v>
      </c>
      <c r="B305" s="226" t="s">
        <v>3451</v>
      </c>
      <c r="C305" s="226" t="s">
        <v>3735</v>
      </c>
      <c r="D305" s="226">
        <v>823.0</v>
      </c>
      <c r="E305" s="228">
        <v>485.0</v>
      </c>
      <c r="F305" s="226" t="s">
        <v>3798</v>
      </c>
    </row>
    <row r="306">
      <c r="A306" s="230">
        <v>46120.44861111111</v>
      </c>
      <c r="B306" s="226" t="s">
        <v>3401</v>
      </c>
      <c r="C306" s="226" t="s">
        <v>3367</v>
      </c>
      <c r="D306" s="226">
        <v>356.0</v>
      </c>
      <c r="E306" s="228">
        <v>36.0</v>
      </c>
      <c r="F306" s="226" t="s">
        <v>3799</v>
      </c>
    </row>
    <row r="307">
      <c r="A307" s="230">
        <v>46120.595138888886</v>
      </c>
      <c r="B307" s="226" t="s">
        <v>2778</v>
      </c>
      <c r="C307" s="226" t="s">
        <v>3367</v>
      </c>
      <c r="D307" s="226">
        <v>961.0</v>
      </c>
      <c r="E307" s="228">
        <v>613.0</v>
      </c>
      <c r="F307" s="226" t="s">
        <v>3800</v>
      </c>
    </row>
    <row r="308">
      <c r="A308" s="230">
        <v>46120.59583333333</v>
      </c>
      <c r="B308" s="226" t="s">
        <v>2778</v>
      </c>
      <c r="C308" s="226" t="s">
        <v>3367</v>
      </c>
      <c r="D308" s="226">
        <v>961.0</v>
      </c>
      <c r="E308" s="228">
        <v>613.0</v>
      </c>
      <c r="F308" s="226" t="s">
        <v>3802</v>
      </c>
    </row>
    <row r="309">
      <c r="A309" s="230">
        <v>46121.49513888889</v>
      </c>
      <c r="B309" s="226" t="s">
        <v>3401</v>
      </c>
      <c r="C309" s="226" t="s">
        <v>3367</v>
      </c>
      <c r="D309" s="226">
        <v>732.0</v>
      </c>
      <c r="E309" s="228">
        <v>398.0</v>
      </c>
      <c r="F309" s="226" t="s">
        <v>3803</v>
      </c>
    </row>
    <row r="310">
      <c r="A310" s="230">
        <v>46121.60277777778</v>
      </c>
      <c r="B310" s="226" t="s">
        <v>3489</v>
      </c>
      <c r="C310" s="226" t="s">
        <v>3508</v>
      </c>
      <c r="D310" s="226">
        <v>962.0</v>
      </c>
      <c r="E310" s="228">
        <v>614.0</v>
      </c>
      <c r="F310" s="226" t="s">
        <v>3509</v>
      </c>
    </row>
    <row r="311">
      <c r="A311" s="230">
        <v>46121.67361111111</v>
      </c>
      <c r="B311" s="226" t="s">
        <v>3502</v>
      </c>
      <c r="C311" s="226" t="s">
        <v>3367</v>
      </c>
      <c r="D311" s="226">
        <v>894.0</v>
      </c>
      <c r="E311" s="228">
        <v>548.0</v>
      </c>
      <c r="F311" s="226" t="s">
        <v>3804</v>
      </c>
    </row>
    <row r="312">
      <c r="A312" s="230">
        <v>46121.686111111114</v>
      </c>
      <c r="B312" s="226" t="s">
        <v>3401</v>
      </c>
      <c r="C312" s="226" t="s">
        <v>3508</v>
      </c>
      <c r="D312" s="226">
        <v>963.0</v>
      </c>
      <c r="E312" s="228">
        <v>615.0</v>
      </c>
      <c r="F312" s="226" t="s">
        <v>3509</v>
      </c>
    </row>
    <row r="313">
      <c r="A313" s="230">
        <v>46122.0375</v>
      </c>
      <c r="B313" s="226" t="s">
        <v>3386</v>
      </c>
      <c r="C313" s="226" t="s">
        <v>3387</v>
      </c>
      <c r="D313" s="226">
        <v>616.0</v>
      </c>
      <c r="E313" s="228">
        <v>280.0</v>
      </c>
      <c r="F313" s="226" t="s">
        <v>3806</v>
      </c>
    </row>
    <row r="314">
      <c r="A314" s="230">
        <v>46122.381944444445</v>
      </c>
      <c r="B314" s="226" t="s">
        <v>3502</v>
      </c>
      <c r="C314" s="226" t="s">
        <v>3367</v>
      </c>
      <c r="D314" s="226">
        <v>576.0</v>
      </c>
      <c r="E314" s="228">
        <v>242.0</v>
      </c>
      <c r="F314" s="226" t="s">
        <v>3808</v>
      </c>
    </row>
    <row r="315">
      <c r="A315" s="230">
        <v>46122.575694444444</v>
      </c>
      <c r="B315" s="226" t="s">
        <v>3401</v>
      </c>
      <c r="C315" s="226" t="s">
        <v>3367</v>
      </c>
      <c r="D315" s="226">
        <v>960.0</v>
      </c>
      <c r="E315" s="228">
        <v>612.0</v>
      </c>
      <c r="F315" s="226" t="s">
        <v>3809</v>
      </c>
    </row>
    <row r="316">
      <c r="A316" s="230">
        <v>46122.60625</v>
      </c>
      <c r="B316" s="226" t="s">
        <v>3810</v>
      </c>
      <c r="C316" s="226" t="s">
        <v>3735</v>
      </c>
      <c r="D316" s="226">
        <v>516.0</v>
      </c>
      <c r="E316" s="228">
        <v>179.0</v>
      </c>
      <c r="F316" s="226" t="s">
        <v>3811</v>
      </c>
    </row>
    <row r="317">
      <c r="A317" s="230">
        <v>46122.60625</v>
      </c>
      <c r="B317" s="226" t="s">
        <v>3810</v>
      </c>
      <c r="C317" s="226" t="s">
        <v>3735</v>
      </c>
      <c r="D317" s="226">
        <v>517.0</v>
      </c>
      <c r="E317" s="228">
        <v>181.0</v>
      </c>
      <c r="F317" s="226" t="s">
        <v>3811</v>
      </c>
    </row>
    <row r="318">
      <c r="A318" s="230">
        <v>46122.60625</v>
      </c>
      <c r="B318" s="226" t="s">
        <v>3810</v>
      </c>
      <c r="C318" s="226" t="s">
        <v>3735</v>
      </c>
      <c r="D318" s="226">
        <v>528.0</v>
      </c>
      <c r="E318" s="228">
        <v>194.0</v>
      </c>
      <c r="F318" s="226" t="s">
        <v>3811</v>
      </c>
    </row>
    <row r="319">
      <c r="A319" s="230">
        <v>46122.60625</v>
      </c>
      <c r="B319" s="226" t="s">
        <v>3810</v>
      </c>
      <c r="C319" s="226" t="s">
        <v>3735</v>
      </c>
      <c r="D319" s="226">
        <v>556.0</v>
      </c>
      <c r="E319" s="228">
        <v>224.0</v>
      </c>
      <c r="F319" s="226" t="s">
        <v>3811</v>
      </c>
    </row>
    <row r="320">
      <c r="A320" s="230">
        <v>46122.60625</v>
      </c>
      <c r="B320" s="226" t="s">
        <v>3810</v>
      </c>
      <c r="C320" s="226" t="s">
        <v>3735</v>
      </c>
      <c r="D320" s="226">
        <v>658.0</v>
      </c>
      <c r="E320" s="228">
        <v>327.0</v>
      </c>
      <c r="F320" s="226" t="s">
        <v>3811</v>
      </c>
    </row>
    <row r="321">
      <c r="A321" s="230">
        <v>46122.60625</v>
      </c>
      <c r="B321" s="226" t="s">
        <v>3810</v>
      </c>
      <c r="C321" s="226" t="s">
        <v>3735</v>
      </c>
      <c r="D321" s="226">
        <v>702.0</v>
      </c>
      <c r="E321" s="228">
        <v>369.0</v>
      </c>
      <c r="F321" s="226" t="s">
        <v>3811</v>
      </c>
    </row>
    <row r="322">
      <c r="A322" s="230">
        <v>46122.606944444444</v>
      </c>
      <c r="B322" s="226" t="s">
        <v>3810</v>
      </c>
      <c r="C322" s="226" t="s">
        <v>3735</v>
      </c>
      <c r="D322" s="226">
        <v>922.0</v>
      </c>
      <c r="E322" s="228">
        <v>574.0</v>
      </c>
      <c r="F322" s="226" t="s">
        <v>3811</v>
      </c>
    </row>
    <row r="323">
      <c r="A323" s="230">
        <v>46123.0375</v>
      </c>
      <c r="B323" s="226" t="s">
        <v>3386</v>
      </c>
      <c r="C323" s="226" t="s">
        <v>3387</v>
      </c>
      <c r="D323" s="228">
        <v>953.0</v>
      </c>
      <c r="E323" s="228">
        <v>606.0</v>
      </c>
      <c r="F323" s="226" t="s">
        <v>3815</v>
      </c>
    </row>
    <row r="324">
      <c r="A324" s="230">
        <v>46123.0375</v>
      </c>
      <c r="B324" s="226" t="s">
        <v>3386</v>
      </c>
      <c r="C324" s="226" t="s">
        <v>3387</v>
      </c>
      <c r="D324" s="228">
        <v>954.0</v>
      </c>
      <c r="E324" s="228">
        <v>607.0</v>
      </c>
      <c r="F324" s="226" t="s">
        <v>3815</v>
      </c>
    </row>
    <row r="325">
      <c r="A325" s="230">
        <v>46123.0375</v>
      </c>
      <c r="B325" s="226" t="s">
        <v>3386</v>
      </c>
      <c r="C325" s="226" t="s">
        <v>3387</v>
      </c>
      <c r="D325" s="228">
        <v>956.0</v>
      </c>
      <c r="E325" s="228">
        <v>609.0</v>
      </c>
      <c r="F325" s="226" t="s">
        <v>3815</v>
      </c>
    </row>
    <row r="326">
      <c r="A326" s="230">
        <v>46125.65416666667</v>
      </c>
      <c r="B326" s="226" t="s">
        <v>3366</v>
      </c>
      <c r="C326" s="226" t="s">
        <v>3367</v>
      </c>
      <c r="D326" s="226">
        <v>611.0</v>
      </c>
      <c r="E326" s="228">
        <v>276.0</v>
      </c>
      <c r="F326" s="226" t="s">
        <v>3816</v>
      </c>
    </row>
    <row r="327">
      <c r="A327" s="230">
        <v>46125.73055555556</v>
      </c>
      <c r="B327" s="226" t="s">
        <v>3818</v>
      </c>
      <c r="C327" s="226" t="s">
        <v>3508</v>
      </c>
      <c r="D327" s="226">
        <v>964.0</v>
      </c>
      <c r="E327" s="228">
        <v>616.0</v>
      </c>
      <c r="F327" s="226" t="s">
        <v>3509</v>
      </c>
    </row>
    <row r="328">
      <c r="A328" s="230">
        <v>46126.35763888889</v>
      </c>
      <c r="B328" s="226" t="s">
        <v>3366</v>
      </c>
      <c r="C328" s="226" t="s">
        <v>3508</v>
      </c>
      <c r="D328" s="226">
        <v>965.0</v>
      </c>
      <c r="E328" s="228">
        <v>617.0</v>
      </c>
      <c r="F328" s="226" t="s">
        <v>3509</v>
      </c>
    </row>
    <row r="329">
      <c r="A329" s="230">
        <v>46126.46597222222</v>
      </c>
      <c r="B329" s="226" t="s">
        <v>3366</v>
      </c>
      <c r="C329" s="226" t="s">
        <v>3367</v>
      </c>
      <c r="D329" s="226">
        <v>965.0</v>
      </c>
      <c r="E329" s="228">
        <v>617.0</v>
      </c>
      <c r="F329" s="226" t="s">
        <v>3823</v>
      </c>
    </row>
    <row r="330">
      <c r="A330" s="230">
        <v>46127.0375</v>
      </c>
      <c r="B330" s="226" t="s">
        <v>3386</v>
      </c>
      <c r="C330" s="226" t="s">
        <v>3387</v>
      </c>
      <c r="D330" s="226">
        <v>800.0</v>
      </c>
      <c r="E330" s="228">
        <v>462.0</v>
      </c>
      <c r="F330" s="226" t="s">
        <v>3825</v>
      </c>
    </row>
    <row r="331">
      <c r="A331" s="230">
        <v>46127.40694444445</v>
      </c>
      <c r="B331" s="226" t="s">
        <v>3502</v>
      </c>
      <c r="C331" s="226" t="s">
        <v>3367</v>
      </c>
      <c r="D331" s="226">
        <v>641.0</v>
      </c>
      <c r="E331" s="228">
        <v>308.0</v>
      </c>
      <c r="F331" s="226" t="s">
        <v>3826</v>
      </c>
    </row>
    <row r="332">
      <c r="A332" s="230">
        <v>46127.493055555555</v>
      </c>
      <c r="B332" s="226" t="s">
        <v>3502</v>
      </c>
      <c r="C332" s="226" t="s">
        <v>3508</v>
      </c>
      <c r="D332" s="226">
        <v>966.0</v>
      </c>
      <c r="E332" s="228">
        <v>618.0</v>
      </c>
      <c r="F332" s="226" t="s">
        <v>3509</v>
      </c>
    </row>
    <row r="333">
      <c r="A333" s="230">
        <v>46127.56875</v>
      </c>
      <c r="B333" s="226" t="s">
        <v>3366</v>
      </c>
      <c r="C333" s="226" t="s">
        <v>3508</v>
      </c>
      <c r="D333" s="226">
        <v>967.0</v>
      </c>
      <c r="E333" s="228">
        <v>619.0</v>
      </c>
      <c r="F333" s="226" t="s">
        <v>3509</v>
      </c>
    </row>
    <row r="334">
      <c r="A334" s="230">
        <v>46128.0375</v>
      </c>
      <c r="B334" s="226" t="s">
        <v>3386</v>
      </c>
      <c r="C334" s="226" t="s">
        <v>3387</v>
      </c>
      <c r="D334" s="226">
        <v>399.0</v>
      </c>
      <c r="E334" s="228">
        <v>75.0</v>
      </c>
      <c r="F334" s="226" t="s">
        <v>3828</v>
      </c>
    </row>
    <row r="335">
      <c r="A335" s="230">
        <v>46128.0375</v>
      </c>
      <c r="B335" s="226" t="s">
        <v>3386</v>
      </c>
      <c r="C335" s="226" t="s">
        <v>3387</v>
      </c>
      <c r="D335" s="226">
        <v>500.0</v>
      </c>
      <c r="E335" s="228">
        <v>165.0</v>
      </c>
      <c r="F335" s="226" t="s">
        <v>3828</v>
      </c>
    </row>
    <row r="336">
      <c r="A336" s="230">
        <v>46128.58263888889</v>
      </c>
      <c r="B336" s="226" t="s">
        <v>3401</v>
      </c>
      <c r="C336" s="226" t="s">
        <v>3508</v>
      </c>
      <c r="D336" s="226">
        <v>800042.0</v>
      </c>
      <c r="E336" s="228">
        <v>620.0</v>
      </c>
      <c r="F336" s="226" t="s">
        <v>3509</v>
      </c>
    </row>
    <row r="337">
      <c r="A337" s="230">
        <v>46128.59375</v>
      </c>
      <c r="B337" s="226" t="s">
        <v>3366</v>
      </c>
      <c r="C337" s="226" t="s">
        <v>3367</v>
      </c>
      <c r="D337" s="226">
        <v>970.0</v>
      </c>
      <c r="E337" s="228">
        <v>619.0</v>
      </c>
      <c r="F337" s="226" t="s">
        <v>3831</v>
      </c>
    </row>
    <row r="338">
      <c r="A338" s="230">
        <v>46128.611805555556</v>
      </c>
      <c r="B338" s="226" t="s">
        <v>3366</v>
      </c>
      <c r="C338" s="226" t="s">
        <v>3367</v>
      </c>
      <c r="D338" s="226">
        <v>970.0</v>
      </c>
      <c r="E338" s="228">
        <v>619.0</v>
      </c>
      <c r="F338" s="226" t="s">
        <v>3832</v>
      </c>
    </row>
    <row r="339">
      <c r="A339" s="230">
        <v>46128.62569444445</v>
      </c>
      <c r="B339" s="226" t="s">
        <v>3366</v>
      </c>
      <c r="C339" s="226" t="s">
        <v>3367</v>
      </c>
      <c r="D339" s="226">
        <v>970.0</v>
      </c>
      <c r="E339" s="228">
        <v>619.0</v>
      </c>
      <c r="F339" s="226" t="s">
        <v>3833</v>
      </c>
    </row>
    <row r="340">
      <c r="A340" s="230">
        <v>46129.396527777775</v>
      </c>
      <c r="B340" s="226" t="s">
        <v>3489</v>
      </c>
      <c r="C340" s="226" t="s">
        <v>3508</v>
      </c>
      <c r="D340" s="226">
        <v>971.0</v>
      </c>
      <c r="E340" s="228">
        <v>621.0</v>
      </c>
      <c r="F340" s="226" t="s">
        <v>3509</v>
      </c>
    </row>
    <row r="341">
      <c r="A341" s="230">
        <v>46129.64791666667</v>
      </c>
      <c r="B341" s="226" t="s">
        <v>3366</v>
      </c>
      <c r="C341" s="226" t="s">
        <v>3367</v>
      </c>
      <c r="D341" s="226">
        <v>788.0</v>
      </c>
      <c r="E341" s="228">
        <v>470.0</v>
      </c>
      <c r="F341" s="226" t="s">
        <v>3834</v>
      </c>
    </row>
    <row r="342">
      <c r="A342" s="230">
        <v>46131.0375</v>
      </c>
      <c r="B342" s="226" t="s">
        <v>3386</v>
      </c>
      <c r="C342" s="226" t="s">
        <v>3387</v>
      </c>
      <c r="D342" s="226">
        <v>695.0</v>
      </c>
      <c r="E342" s="228">
        <v>363.0</v>
      </c>
      <c r="F342" s="226" t="s">
        <v>3837</v>
      </c>
    </row>
    <row r="343">
      <c r="A343" s="230">
        <v>46132.62986111111</v>
      </c>
      <c r="B343" s="226" t="s">
        <v>3401</v>
      </c>
      <c r="C343" s="226" t="s">
        <v>3367</v>
      </c>
      <c r="D343" s="226">
        <v>802.0</v>
      </c>
      <c r="E343" s="228">
        <v>463.0</v>
      </c>
      <c r="F343" s="226" t="s">
        <v>3839</v>
      </c>
    </row>
    <row r="344">
      <c r="A344" s="230">
        <v>46133.0375</v>
      </c>
      <c r="B344" s="226" t="s">
        <v>3386</v>
      </c>
      <c r="C344" s="226" t="s">
        <v>3387</v>
      </c>
      <c r="D344" s="226">
        <v>890.0</v>
      </c>
      <c r="E344" s="228">
        <v>544.0</v>
      </c>
      <c r="F344" s="226" t="s">
        <v>3840</v>
      </c>
    </row>
    <row r="345">
      <c r="A345" s="230">
        <v>46133.41736111111</v>
      </c>
      <c r="B345" s="226" t="s">
        <v>3489</v>
      </c>
      <c r="C345" s="226" t="s">
        <v>3508</v>
      </c>
      <c r="D345" s="226">
        <v>972.0</v>
      </c>
      <c r="E345" s="228">
        <v>622.0</v>
      </c>
      <c r="F345" s="226" t="s">
        <v>3509</v>
      </c>
    </row>
    <row r="346">
      <c r="A346" s="230">
        <v>46133.56736111111</v>
      </c>
      <c r="B346" s="226" t="s">
        <v>3489</v>
      </c>
      <c r="C346" s="226" t="s">
        <v>3367</v>
      </c>
      <c r="D346" s="226">
        <v>972.0</v>
      </c>
      <c r="E346" s="228">
        <v>622.0</v>
      </c>
      <c r="F346" s="226" t="s">
        <v>3841</v>
      </c>
    </row>
    <row r="347">
      <c r="A347" s="230">
        <v>46133.61736111111</v>
      </c>
      <c r="B347" s="226" t="s">
        <v>3818</v>
      </c>
      <c r="C347" s="226" t="s">
        <v>3508</v>
      </c>
      <c r="D347" s="226">
        <v>973.0</v>
      </c>
      <c r="E347" s="228">
        <v>623.0</v>
      </c>
      <c r="F347" s="226" t="s">
        <v>3509</v>
      </c>
    </row>
    <row r="348">
      <c r="A348" s="230">
        <v>46133.62708333333</v>
      </c>
      <c r="B348" s="226" t="s">
        <v>3818</v>
      </c>
      <c r="C348" s="226" t="s">
        <v>3508</v>
      </c>
      <c r="D348" s="226">
        <v>974.0</v>
      </c>
      <c r="E348" s="228">
        <v>624.0</v>
      </c>
      <c r="F348" s="226" t="s">
        <v>3509</v>
      </c>
    </row>
    <row r="349">
      <c r="A349" s="230">
        <v>46133.714583333334</v>
      </c>
      <c r="B349" s="226" t="s">
        <v>3401</v>
      </c>
      <c r="C349" s="226" t="s">
        <v>3367</v>
      </c>
      <c r="D349" s="226">
        <v>939.0</v>
      </c>
      <c r="E349" s="228">
        <v>592.0</v>
      </c>
      <c r="F349" s="226" t="s">
        <v>3846</v>
      </c>
    </row>
    <row r="350">
      <c r="A350" s="230">
        <v>46133.725694444445</v>
      </c>
      <c r="B350" s="226" t="s">
        <v>3401</v>
      </c>
      <c r="C350" s="226" t="s">
        <v>3367</v>
      </c>
      <c r="D350" s="226">
        <v>939.0</v>
      </c>
      <c r="E350" s="228">
        <v>592.0</v>
      </c>
      <c r="F350" s="226" t="s">
        <v>3847</v>
      </c>
    </row>
    <row r="351">
      <c r="A351" s="230">
        <v>46133.72638888889</v>
      </c>
      <c r="B351" s="226" t="s">
        <v>3366</v>
      </c>
      <c r="C351" s="226" t="s">
        <v>3367</v>
      </c>
      <c r="D351" s="226">
        <v>970.0</v>
      </c>
      <c r="E351" s="228">
        <v>619.0</v>
      </c>
      <c r="F351" s="226" t="s">
        <v>3849</v>
      </c>
    </row>
    <row r="352">
      <c r="A352" s="230">
        <v>46134.0375</v>
      </c>
      <c r="B352" s="226" t="s">
        <v>3386</v>
      </c>
      <c r="C352" s="226" t="s">
        <v>3387</v>
      </c>
      <c r="D352" s="226">
        <v>667.0</v>
      </c>
      <c r="E352" s="228">
        <v>335.0</v>
      </c>
      <c r="F352" s="226" t="s">
        <v>3850</v>
      </c>
    </row>
    <row r="353">
      <c r="A353" s="230">
        <v>46135.39097222222</v>
      </c>
      <c r="B353" s="226" t="s">
        <v>3401</v>
      </c>
      <c r="C353" s="226" t="s">
        <v>3367</v>
      </c>
      <c r="D353" s="226">
        <v>556.0</v>
      </c>
      <c r="E353" s="228">
        <v>224.0</v>
      </c>
      <c r="F353" s="226" t="s">
        <v>3852</v>
      </c>
    </row>
    <row r="354">
      <c r="A354" s="230">
        <v>46135.39513888889</v>
      </c>
      <c r="B354" s="226" t="s">
        <v>3401</v>
      </c>
      <c r="C354" s="226" t="s">
        <v>3367</v>
      </c>
      <c r="D354" s="226">
        <v>517.0</v>
      </c>
      <c r="E354" s="228">
        <v>181.0</v>
      </c>
      <c r="F354" s="226" t="s">
        <v>3853</v>
      </c>
    </row>
    <row r="355">
      <c r="A355" s="230">
        <v>46135.59444444445</v>
      </c>
      <c r="B355" s="226" t="s">
        <v>3401</v>
      </c>
      <c r="C355" s="226" t="s">
        <v>3367</v>
      </c>
      <c r="D355" s="226">
        <v>818.0</v>
      </c>
      <c r="E355" s="228">
        <v>483.0</v>
      </c>
      <c r="F355" s="226" t="s">
        <v>3856</v>
      </c>
    </row>
    <row r="356">
      <c r="A356" s="230">
        <v>46135.71111111111</v>
      </c>
      <c r="B356" s="226" t="s">
        <v>3401</v>
      </c>
      <c r="C356" s="226" t="s">
        <v>3508</v>
      </c>
      <c r="D356" s="226">
        <v>975.0</v>
      </c>
      <c r="E356" s="228">
        <v>625.0</v>
      </c>
      <c r="F356" s="226" t="s">
        <v>3509</v>
      </c>
    </row>
    <row r="357">
      <c r="A357" s="230">
        <v>46136.0375</v>
      </c>
      <c r="B357" s="226" t="s">
        <v>3386</v>
      </c>
      <c r="C357" s="226" t="s">
        <v>3387</v>
      </c>
      <c r="D357" s="226">
        <v>623.0</v>
      </c>
      <c r="E357" s="228">
        <v>289.0</v>
      </c>
      <c r="F357" s="226" t="s">
        <v>3859</v>
      </c>
    </row>
    <row r="358">
      <c r="A358" s="230">
        <v>46136.0375</v>
      </c>
      <c r="B358" s="226" t="s">
        <v>3386</v>
      </c>
      <c r="C358" s="226" t="s">
        <v>3387</v>
      </c>
      <c r="D358" s="228">
        <v>945.0</v>
      </c>
      <c r="E358" s="228">
        <v>598.0</v>
      </c>
      <c r="F358" s="226" t="s">
        <v>3859</v>
      </c>
    </row>
    <row r="359">
      <c r="A359" s="230">
        <v>46136.66458333333</v>
      </c>
      <c r="B359" s="226" t="s">
        <v>3818</v>
      </c>
      <c r="C359" s="226" t="s">
        <v>3367</v>
      </c>
      <c r="D359" s="226">
        <v>614.0</v>
      </c>
      <c r="E359" s="228">
        <v>395.0</v>
      </c>
      <c r="F359" s="226" t="s">
        <v>3860</v>
      </c>
    </row>
    <row r="360">
      <c r="A360" s="230">
        <v>46137.0375</v>
      </c>
      <c r="B360" s="226" t="s">
        <v>3386</v>
      </c>
      <c r="C360" s="226" t="s">
        <v>3387</v>
      </c>
      <c r="D360" s="226">
        <v>808.0</v>
      </c>
      <c r="E360" s="228">
        <v>468.0</v>
      </c>
      <c r="F360" s="226" t="s">
        <v>3862</v>
      </c>
    </row>
    <row r="361">
      <c r="A361" s="230">
        <v>46138.0375</v>
      </c>
      <c r="B361" s="226" t="s">
        <v>3386</v>
      </c>
      <c r="C361" s="226" t="s">
        <v>3387</v>
      </c>
      <c r="D361" s="226">
        <v>805.0</v>
      </c>
      <c r="E361" s="228">
        <v>466.0</v>
      </c>
      <c r="F361" s="226" t="s">
        <v>3864</v>
      </c>
    </row>
    <row r="362">
      <c r="A362" s="230">
        <v>46138.0375</v>
      </c>
      <c r="B362" s="226" t="s">
        <v>3386</v>
      </c>
      <c r="C362" s="226" t="s">
        <v>3387</v>
      </c>
      <c r="D362" s="226">
        <v>806.0</v>
      </c>
      <c r="E362" s="228">
        <v>467.0</v>
      </c>
      <c r="F362" s="226" t="s">
        <v>3864</v>
      </c>
    </row>
    <row r="363">
      <c r="A363" s="230">
        <v>46140.0375</v>
      </c>
      <c r="B363" s="226" t="s">
        <v>3386</v>
      </c>
      <c r="C363" s="226" t="s">
        <v>3387</v>
      </c>
      <c r="D363" s="228">
        <v>955.0</v>
      </c>
      <c r="E363" s="228">
        <v>608.0</v>
      </c>
      <c r="F363" s="226" t="s">
        <v>3865</v>
      </c>
    </row>
    <row r="364">
      <c r="A364" s="230">
        <v>46140.42916666667</v>
      </c>
      <c r="B364" s="226" t="s">
        <v>3366</v>
      </c>
      <c r="C364" s="226" t="s">
        <v>3367</v>
      </c>
      <c r="D364" s="226">
        <v>798.0</v>
      </c>
      <c r="E364" s="228">
        <v>459.0</v>
      </c>
      <c r="F364" s="226" t="s">
        <v>3867</v>
      </c>
    </row>
    <row r="365">
      <c r="A365" s="230">
        <v>46141.0375</v>
      </c>
      <c r="B365" s="226" t="s">
        <v>3386</v>
      </c>
      <c r="C365" s="226" t="s">
        <v>3387</v>
      </c>
      <c r="D365" s="226">
        <v>811.0</v>
      </c>
      <c r="E365" s="228">
        <v>473.0</v>
      </c>
      <c r="F365" s="226" t="s">
        <v>3868</v>
      </c>
    </row>
    <row r="366">
      <c r="A366" s="230">
        <v>46141.532638888886</v>
      </c>
      <c r="B366" s="226" t="s">
        <v>3366</v>
      </c>
      <c r="C366" s="226" t="s">
        <v>3367</v>
      </c>
      <c r="D366" s="226">
        <v>29.0</v>
      </c>
      <c r="E366" s="228">
        <v>2.0</v>
      </c>
      <c r="F366" s="226" t="s">
        <v>3869</v>
      </c>
    </row>
    <row r="367">
      <c r="A367" s="230">
        <v>46141.64722222222</v>
      </c>
      <c r="B367" s="226" t="s">
        <v>3489</v>
      </c>
      <c r="C367" s="226" t="s">
        <v>3508</v>
      </c>
      <c r="D367" s="226">
        <v>976.0</v>
      </c>
      <c r="E367" s="228">
        <v>626.0</v>
      </c>
      <c r="F367" s="226" t="s">
        <v>3509</v>
      </c>
    </row>
    <row r="368">
      <c r="A368" s="230">
        <v>46141.74166666667</v>
      </c>
      <c r="B368" s="226" t="s">
        <v>3564</v>
      </c>
      <c r="C368" s="226" t="s">
        <v>3508</v>
      </c>
      <c r="D368" s="226">
        <v>977.0</v>
      </c>
      <c r="E368" s="228">
        <v>627.0</v>
      </c>
      <c r="F368" s="226" t="s">
        <v>3509</v>
      </c>
    </row>
    <row r="369">
      <c r="A369" s="230">
        <v>46142.0375</v>
      </c>
      <c r="B369" s="226" t="s">
        <v>3386</v>
      </c>
      <c r="C369" s="226" t="s">
        <v>3387</v>
      </c>
      <c r="D369" s="226">
        <v>587.0</v>
      </c>
      <c r="E369" s="228">
        <v>255.0</v>
      </c>
      <c r="F369" s="226" t="s">
        <v>3873</v>
      </c>
    </row>
    <row r="370">
      <c r="A370" s="230">
        <v>46143.0375</v>
      </c>
      <c r="B370" s="226" t="s">
        <v>3386</v>
      </c>
      <c r="C370" s="226" t="s">
        <v>3387</v>
      </c>
      <c r="D370" s="226">
        <v>556.0</v>
      </c>
      <c r="E370" s="228">
        <v>224.0</v>
      </c>
      <c r="F370" s="226" t="s">
        <v>3874</v>
      </c>
    </row>
    <row r="371">
      <c r="A371" s="230">
        <v>46143.0375</v>
      </c>
      <c r="B371" s="226" t="s">
        <v>3386</v>
      </c>
      <c r="C371" s="226" t="s">
        <v>3387</v>
      </c>
      <c r="D371" s="228">
        <v>927.0</v>
      </c>
      <c r="E371" s="228">
        <v>580.0</v>
      </c>
      <c r="F371" s="226" t="s">
        <v>3874</v>
      </c>
    </row>
    <row r="372">
      <c r="A372" s="230">
        <v>46143.0375</v>
      </c>
      <c r="B372" s="226" t="s">
        <v>3386</v>
      </c>
      <c r="C372" s="226" t="s">
        <v>3387</v>
      </c>
      <c r="D372" s="228">
        <v>963.0</v>
      </c>
      <c r="E372" s="228">
        <v>615.0</v>
      </c>
      <c r="F372" s="226" t="s">
        <v>3874</v>
      </c>
    </row>
    <row r="373">
      <c r="A373" s="230">
        <v>46146.0375</v>
      </c>
      <c r="B373" s="226" t="s">
        <v>3386</v>
      </c>
      <c r="C373" s="226" t="s">
        <v>3387</v>
      </c>
      <c r="D373" s="226">
        <v>804.0</v>
      </c>
      <c r="E373" s="228">
        <v>465.0</v>
      </c>
      <c r="F373" s="226" t="s">
        <v>3876</v>
      </c>
    </row>
    <row r="374">
      <c r="A374" s="230">
        <v>46146.0375</v>
      </c>
      <c r="B374" s="226" t="s">
        <v>3386</v>
      </c>
      <c r="C374" s="226" t="s">
        <v>3387</v>
      </c>
      <c r="D374" s="228">
        <v>966.0</v>
      </c>
      <c r="E374" s="228">
        <v>618.0</v>
      </c>
      <c r="F374" s="226" t="s">
        <v>3876</v>
      </c>
    </row>
    <row r="375">
      <c r="A375" s="230">
        <v>46146.44027777778</v>
      </c>
      <c r="B375" s="226" t="s">
        <v>3502</v>
      </c>
      <c r="C375" s="226" t="s">
        <v>3367</v>
      </c>
      <c r="D375" s="226">
        <v>966.0</v>
      </c>
      <c r="E375" s="228">
        <v>618.0</v>
      </c>
      <c r="F375" s="226" t="s">
        <v>3877</v>
      </c>
    </row>
    <row r="376">
      <c r="A376" s="230">
        <v>46147.0375</v>
      </c>
      <c r="B376" s="226" t="s">
        <v>3386</v>
      </c>
      <c r="C376" s="226" t="s">
        <v>3387</v>
      </c>
      <c r="D376" s="228">
        <v>970.0</v>
      </c>
      <c r="E376" s="228">
        <v>619.0</v>
      </c>
      <c r="F376" s="226" t="s">
        <v>3878</v>
      </c>
    </row>
    <row r="377">
      <c r="A377" s="230">
        <v>46147.39444444444</v>
      </c>
      <c r="B377" s="226" t="s">
        <v>3401</v>
      </c>
      <c r="C377" s="226" t="s">
        <v>3367</v>
      </c>
      <c r="D377" s="226">
        <v>519.0</v>
      </c>
      <c r="E377" s="228">
        <v>183.0</v>
      </c>
      <c r="F377" s="226" t="s">
        <v>3879</v>
      </c>
    </row>
    <row r="378">
      <c r="A378" s="230">
        <v>46147.42222222222</v>
      </c>
      <c r="B378" s="226" t="s">
        <v>3401</v>
      </c>
      <c r="C378" s="226" t="s">
        <v>3367</v>
      </c>
      <c r="D378" s="226">
        <v>811.0</v>
      </c>
      <c r="E378" s="228">
        <v>473.0</v>
      </c>
      <c r="F378" s="226" t="s">
        <v>3880</v>
      </c>
    </row>
    <row r="379">
      <c r="A379" s="230">
        <v>46147.44375</v>
      </c>
      <c r="B379" s="226" t="s">
        <v>3401</v>
      </c>
      <c r="C379" s="226" t="s">
        <v>3367</v>
      </c>
      <c r="D379" s="226">
        <v>808.0</v>
      </c>
      <c r="E379" s="228">
        <v>468.0</v>
      </c>
      <c r="F379" s="226" t="s">
        <v>3882</v>
      </c>
    </row>
    <row r="380">
      <c r="A380" s="230">
        <v>46147.461805555555</v>
      </c>
      <c r="B380" s="226" t="s">
        <v>3401</v>
      </c>
      <c r="C380" s="226" t="s">
        <v>3367</v>
      </c>
      <c r="D380" s="226">
        <v>969.0</v>
      </c>
      <c r="E380" s="228">
        <v>620.0</v>
      </c>
      <c r="F380" s="226" t="s">
        <v>3883</v>
      </c>
    </row>
    <row r="381">
      <c r="A381" s="230">
        <v>46147.69097222222</v>
      </c>
      <c r="B381" s="226" t="s">
        <v>3366</v>
      </c>
      <c r="C381" s="226" t="s">
        <v>3508</v>
      </c>
      <c r="D381" s="226">
        <v>978.0</v>
      </c>
      <c r="E381" s="228">
        <v>628.0</v>
      </c>
      <c r="F381" s="226" t="s">
        <v>3509</v>
      </c>
    </row>
    <row r="382">
      <c r="A382" s="230">
        <v>46148.0375</v>
      </c>
      <c r="B382" s="226" t="s">
        <v>3386</v>
      </c>
      <c r="C382" s="226" t="s">
        <v>3387</v>
      </c>
      <c r="D382" s="228">
        <v>971.0</v>
      </c>
      <c r="E382" s="228">
        <v>621.0</v>
      </c>
      <c r="F382" s="226" t="s">
        <v>3884</v>
      </c>
    </row>
    <row r="383">
      <c r="A383" s="230">
        <v>46149.686111111114</v>
      </c>
      <c r="B383" s="226" t="s">
        <v>3401</v>
      </c>
      <c r="C383" s="226" t="s">
        <v>3367</v>
      </c>
      <c r="D383" s="226">
        <v>802.0</v>
      </c>
      <c r="E383" s="228">
        <v>463.0</v>
      </c>
      <c r="F383" s="226" t="s">
        <v>3885</v>
      </c>
    </row>
    <row r="384">
      <c r="A384" s="230">
        <v>46149.70277777778</v>
      </c>
      <c r="B384" s="226" t="s">
        <v>3401</v>
      </c>
      <c r="C384" s="226" t="s">
        <v>3367</v>
      </c>
      <c r="D384" s="226">
        <v>802.0</v>
      </c>
      <c r="E384" s="228">
        <v>463.0</v>
      </c>
      <c r="F384" s="226" t="s">
        <v>3886</v>
      </c>
    </row>
    <row r="385">
      <c r="A385" s="230">
        <v>46149.72708333333</v>
      </c>
      <c r="B385" s="226" t="s">
        <v>3366</v>
      </c>
      <c r="C385" s="226" t="s">
        <v>3367</v>
      </c>
      <c r="D385" s="226">
        <v>804.0</v>
      </c>
      <c r="E385" s="228">
        <v>465.0</v>
      </c>
      <c r="F385" s="226" t="s">
        <v>3888</v>
      </c>
    </row>
    <row r="386">
      <c r="A386" s="230">
        <v>46150.0375</v>
      </c>
      <c r="B386" s="226" t="s">
        <v>3386</v>
      </c>
      <c r="C386" s="226" t="s">
        <v>3387</v>
      </c>
      <c r="D386" s="228">
        <v>960.0</v>
      </c>
      <c r="E386" s="228">
        <v>612.0</v>
      </c>
      <c r="F386" s="226" t="s">
        <v>3889</v>
      </c>
    </row>
    <row r="387">
      <c r="A387" s="230">
        <v>46150.56319444445</v>
      </c>
      <c r="B387" s="226" t="s">
        <v>3890</v>
      </c>
      <c r="C387" s="226" t="s">
        <v>3508</v>
      </c>
      <c r="D387" s="226">
        <v>979.0</v>
      </c>
      <c r="E387" s="228">
        <v>629.0</v>
      </c>
      <c r="F387" s="226" t="s">
        <v>3509</v>
      </c>
    </row>
    <row r="388">
      <c r="A388" s="230">
        <v>46152.0375</v>
      </c>
      <c r="B388" s="226" t="s">
        <v>3386</v>
      </c>
      <c r="C388" s="226" t="s">
        <v>3387</v>
      </c>
      <c r="D388" s="226">
        <v>816.0</v>
      </c>
      <c r="E388" s="228">
        <v>480.0</v>
      </c>
      <c r="F388" s="226" t="s">
        <v>3891</v>
      </c>
    </row>
    <row r="389">
      <c r="A389" s="230">
        <v>46153.396527777775</v>
      </c>
      <c r="B389" s="226" t="s">
        <v>3366</v>
      </c>
      <c r="C389" s="226" t="s">
        <v>3367</v>
      </c>
      <c r="D389" s="226">
        <v>869.0</v>
      </c>
      <c r="E389" s="228">
        <v>526.0</v>
      </c>
      <c r="F389" s="226" t="s">
        <v>3893</v>
      </c>
    </row>
    <row r="390">
      <c r="A390" s="230">
        <v>46153.44027777778</v>
      </c>
      <c r="B390" s="226" t="s">
        <v>3366</v>
      </c>
      <c r="C390" s="226" t="s">
        <v>3367</v>
      </c>
      <c r="D390" s="226">
        <v>877.0</v>
      </c>
      <c r="E390" s="228">
        <v>534.0</v>
      </c>
      <c r="F390" s="226" t="s">
        <v>3894</v>
      </c>
    </row>
    <row r="391">
      <c r="A391" s="230">
        <v>46153.44097222222</v>
      </c>
      <c r="B391" s="226" t="s">
        <v>3366</v>
      </c>
      <c r="C391" s="226" t="s">
        <v>3367</v>
      </c>
      <c r="D391" s="226">
        <v>853.0</v>
      </c>
      <c r="E391" s="228">
        <v>515.0</v>
      </c>
      <c r="F391" s="226" t="s">
        <v>3894</v>
      </c>
    </row>
    <row r="392">
      <c r="A392" s="230">
        <v>46153.441666666666</v>
      </c>
      <c r="B392" s="226" t="s">
        <v>3366</v>
      </c>
      <c r="C392" s="226" t="s">
        <v>3367</v>
      </c>
      <c r="D392" s="226">
        <v>929.0</v>
      </c>
      <c r="E392" s="228">
        <v>582.0</v>
      </c>
      <c r="F392" s="226" t="s">
        <v>3894</v>
      </c>
    </row>
    <row r="393">
      <c r="A393" s="230">
        <v>46153.48611111111</v>
      </c>
      <c r="B393" s="226" t="s">
        <v>3401</v>
      </c>
      <c r="C393" s="226" t="s">
        <v>3367</v>
      </c>
      <c r="D393" s="226">
        <v>519.0</v>
      </c>
      <c r="E393" s="228">
        <v>183.0</v>
      </c>
      <c r="F393" s="226" t="s">
        <v>3895</v>
      </c>
    </row>
    <row r="394">
      <c r="A394" s="230">
        <v>46153.49236111111</v>
      </c>
      <c r="B394" s="226" t="s">
        <v>3401</v>
      </c>
      <c r="C394" s="226" t="s">
        <v>3508</v>
      </c>
      <c r="D394" s="226">
        <v>959.0</v>
      </c>
      <c r="E394" s="228">
        <v>630.0</v>
      </c>
      <c r="F394" s="226" t="s">
        <v>3509</v>
      </c>
    </row>
    <row r="395">
      <c r="A395" s="230">
        <v>46153.493055555555</v>
      </c>
      <c r="B395" s="226" t="s">
        <v>3401</v>
      </c>
      <c r="C395" s="226" t="s">
        <v>3367</v>
      </c>
      <c r="D395" s="226">
        <v>781.0</v>
      </c>
      <c r="E395" s="228">
        <v>442.0</v>
      </c>
      <c r="F395" s="226" t="s">
        <v>3895</v>
      </c>
    </row>
    <row r="396">
      <c r="A396" s="230">
        <v>46153.63402777778</v>
      </c>
      <c r="B396" s="226" t="s">
        <v>3401</v>
      </c>
      <c r="C396" s="226" t="s">
        <v>3367</v>
      </c>
      <c r="D396" s="226">
        <v>556.0</v>
      </c>
      <c r="E396" s="228">
        <v>224.0</v>
      </c>
      <c r="F396" s="226" t="s">
        <v>3896</v>
      </c>
    </row>
    <row r="397">
      <c r="A397" s="230">
        <v>46153.64722222222</v>
      </c>
      <c r="B397" s="226" t="s">
        <v>3401</v>
      </c>
      <c r="C397" s="226" t="s">
        <v>3367</v>
      </c>
      <c r="D397" s="226">
        <v>800.0</v>
      </c>
      <c r="E397" s="228">
        <v>462.0</v>
      </c>
      <c r="F397" s="226" t="s">
        <v>3897</v>
      </c>
    </row>
    <row r="398">
      <c r="A398" s="230">
        <v>46154.67361111111</v>
      </c>
      <c r="B398" s="226" t="s">
        <v>3401</v>
      </c>
      <c r="C398" s="226" t="s">
        <v>3367</v>
      </c>
      <c r="D398" s="226">
        <v>388.0</v>
      </c>
      <c r="E398" s="228">
        <v>64.0</v>
      </c>
      <c r="F398" s="226" t="s">
        <v>3898</v>
      </c>
    </row>
    <row r="399">
      <c r="A399" s="230">
        <v>46154.68472222222</v>
      </c>
      <c r="B399" s="226" t="s">
        <v>3366</v>
      </c>
      <c r="C399" s="226" t="s">
        <v>3367</v>
      </c>
      <c r="D399" s="226">
        <v>970.0</v>
      </c>
      <c r="E399" s="228">
        <v>619.0</v>
      </c>
      <c r="F399" s="226" t="s">
        <v>3899</v>
      </c>
    </row>
    <row r="400">
      <c r="A400" s="230">
        <v>46154.691666666666</v>
      </c>
      <c r="B400" s="226" t="s">
        <v>3366</v>
      </c>
      <c r="C400" s="226" t="s">
        <v>3367</v>
      </c>
      <c r="D400" s="226">
        <v>970.0</v>
      </c>
      <c r="E400" s="228">
        <v>619.0</v>
      </c>
      <c r="F400" s="226" t="s">
        <v>3900</v>
      </c>
    </row>
    <row r="401">
      <c r="A401" s="230">
        <v>46155.0375</v>
      </c>
      <c r="B401" s="226" t="s">
        <v>3386</v>
      </c>
      <c r="C401" s="226" t="s">
        <v>3387</v>
      </c>
      <c r="D401" s="226">
        <v>524.0</v>
      </c>
      <c r="E401" s="228">
        <v>189.0</v>
      </c>
      <c r="F401" s="226" t="s">
        <v>3901</v>
      </c>
    </row>
    <row r="402">
      <c r="A402" s="230">
        <v>46155.39791666667</v>
      </c>
      <c r="B402" s="226" t="s">
        <v>3763</v>
      </c>
      <c r="C402" s="226" t="s">
        <v>3508</v>
      </c>
      <c r="D402" s="226">
        <v>968.0</v>
      </c>
      <c r="E402" s="228">
        <v>631.0</v>
      </c>
      <c r="F402" s="226" t="s">
        <v>3509</v>
      </c>
    </row>
    <row r="403">
      <c r="A403" s="230">
        <v>46155.65</v>
      </c>
      <c r="B403" s="226" t="s">
        <v>3644</v>
      </c>
      <c r="C403" s="226" t="s">
        <v>3367</v>
      </c>
      <c r="D403" s="226">
        <v>587.0</v>
      </c>
      <c r="E403" s="228">
        <v>255.0</v>
      </c>
      <c r="F403" s="226" t="s">
        <v>3903</v>
      </c>
    </row>
    <row r="404">
      <c r="A404" s="230">
        <v>46156.0375</v>
      </c>
      <c r="B404" s="226" t="s">
        <v>3386</v>
      </c>
      <c r="C404" s="226" t="s">
        <v>3387</v>
      </c>
      <c r="D404" s="226">
        <v>349.0</v>
      </c>
      <c r="E404" s="228">
        <v>295.0</v>
      </c>
      <c r="F404" s="226" t="s">
        <v>3904</v>
      </c>
    </row>
    <row r="405">
      <c r="A405" s="230">
        <v>46156.361805555556</v>
      </c>
      <c r="B405" s="226" t="s">
        <v>3763</v>
      </c>
      <c r="C405" s="226" t="s">
        <v>3367</v>
      </c>
      <c r="D405" s="226">
        <v>968.0</v>
      </c>
      <c r="E405" s="228">
        <v>631.0</v>
      </c>
      <c r="F405" s="226" t="s">
        <v>3905</v>
      </c>
    </row>
    <row r="406">
      <c r="A406" s="230">
        <v>46157.0375</v>
      </c>
      <c r="B406" s="226" t="s">
        <v>3386</v>
      </c>
      <c r="C406" s="226" t="s">
        <v>3387</v>
      </c>
      <c r="D406" s="226">
        <v>817.0</v>
      </c>
      <c r="E406" s="228">
        <v>481.0</v>
      </c>
      <c r="F406" s="226" t="s">
        <v>3906</v>
      </c>
    </row>
    <row r="407">
      <c r="A407" s="230">
        <v>46157.70347222222</v>
      </c>
      <c r="B407" s="226" t="s">
        <v>3818</v>
      </c>
      <c r="C407" s="226" t="s">
        <v>3508</v>
      </c>
      <c r="D407" s="226">
        <v>980.0</v>
      </c>
      <c r="E407" s="228">
        <v>632.0</v>
      </c>
      <c r="F407" s="226" t="s">
        <v>3509</v>
      </c>
    </row>
    <row r="408">
      <c r="A408" s="230">
        <v>46160.475694444445</v>
      </c>
      <c r="B408" s="226" t="s">
        <v>3818</v>
      </c>
      <c r="C408" s="226" t="s">
        <v>3508</v>
      </c>
      <c r="D408" s="226">
        <v>981.0</v>
      </c>
      <c r="E408" s="228">
        <v>633.0</v>
      </c>
      <c r="F408" s="226" t="s">
        <v>3509</v>
      </c>
    </row>
    <row r="409">
      <c r="A409" s="230">
        <v>46160.57708333333</v>
      </c>
      <c r="B409" s="226" t="s">
        <v>3502</v>
      </c>
      <c r="C409" s="226" t="s">
        <v>3508</v>
      </c>
      <c r="D409" s="226">
        <v>982.0</v>
      </c>
      <c r="E409" s="228">
        <v>634.0</v>
      </c>
      <c r="F409" s="226" t="s">
        <v>3509</v>
      </c>
    </row>
    <row r="410">
      <c r="A410" s="230">
        <v>46160.58263888889</v>
      </c>
      <c r="B410" s="226" t="s">
        <v>3502</v>
      </c>
      <c r="C410" s="226" t="s">
        <v>3508</v>
      </c>
      <c r="D410" s="226">
        <v>983.0</v>
      </c>
      <c r="E410" s="228">
        <v>635.0</v>
      </c>
      <c r="F410" s="226" t="s">
        <v>3509</v>
      </c>
    </row>
    <row r="411">
      <c r="A411" s="230">
        <v>46161.0375</v>
      </c>
      <c r="B411" s="226" t="s">
        <v>3386</v>
      </c>
      <c r="C411" s="226" t="s">
        <v>3387</v>
      </c>
      <c r="D411" s="228">
        <v>961.0</v>
      </c>
      <c r="E411" s="228">
        <v>613.0</v>
      </c>
      <c r="F411" s="226" t="s">
        <v>3908</v>
      </c>
    </row>
    <row r="412">
      <c r="A412" s="230">
        <v>46161.40625</v>
      </c>
      <c r="B412" s="226" t="s">
        <v>3502</v>
      </c>
      <c r="C412" s="226" t="s">
        <v>3508</v>
      </c>
      <c r="D412" s="226">
        <v>984.0</v>
      </c>
      <c r="E412" s="228">
        <v>636.0</v>
      </c>
      <c r="F412" s="226" t="s">
        <v>3509</v>
      </c>
    </row>
    <row r="413">
      <c r="A413" s="230">
        <v>46161.41180555556</v>
      </c>
      <c r="B413" s="226" t="s">
        <v>3502</v>
      </c>
      <c r="C413" s="226" t="s">
        <v>3367</v>
      </c>
      <c r="D413" s="226">
        <v>442.0</v>
      </c>
      <c r="E413" s="228">
        <v>109.0</v>
      </c>
      <c r="F413" s="226" t="s">
        <v>3909</v>
      </c>
    </row>
    <row r="414">
      <c r="A414" s="230">
        <v>46161.41527777778</v>
      </c>
      <c r="B414" s="226" t="s">
        <v>3502</v>
      </c>
      <c r="C414" s="226" t="s">
        <v>3367</v>
      </c>
      <c r="D414" s="226">
        <v>442.0</v>
      </c>
      <c r="E414" s="228">
        <v>109.0</v>
      </c>
      <c r="F414" s="226" t="s">
        <v>3911</v>
      </c>
    </row>
    <row r="415">
      <c r="A415" s="230">
        <v>46161.41805555556</v>
      </c>
      <c r="B415" s="226" t="s">
        <v>3502</v>
      </c>
      <c r="C415" s="226" t="s">
        <v>3508</v>
      </c>
      <c r="D415" s="226">
        <v>985.0</v>
      </c>
      <c r="E415" s="228">
        <v>637.0</v>
      </c>
      <c r="F415" s="226" t="s">
        <v>3509</v>
      </c>
    </row>
    <row r="416">
      <c r="A416" s="230">
        <v>46161.42013888889</v>
      </c>
      <c r="B416" s="226" t="s">
        <v>3502</v>
      </c>
      <c r="C416" s="226" t="s">
        <v>3508</v>
      </c>
      <c r="D416" s="226">
        <v>986.0</v>
      </c>
      <c r="E416" s="228">
        <v>638.0</v>
      </c>
      <c r="F416" s="226" t="s">
        <v>3509</v>
      </c>
    </row>
    <row r="417">
      <c r="A417" s="230">
        <v>46161.42291666667</v>
      </c>
      <c r="B417" s="226" t="s">
        <v>3502</v>
      </c>
      <c r="C417" s="226" t="s">
        <v>3508</v>
      </c>
      <c r="D417" s="226">
        <v>987.0</v>
      </c>
      <c r="E417" s="228">
        <v>639.0</v>
      </c>
      <c r="F417" s="226" t="s">
        <v>3509</v>
      </c>
    </row>
    <row r="418">
      <c r="A418" s="230">
        <v>46161.42569444444</v>
      </c>
      <c r="B418" s="226" t="s">
        <v>3502</v>
      </c>
      <c r="C418" s="226" t="s">
        <v>3367</v>
      </c>
      <c r="D418" s="226">
        <v>869.0</v>
      </c>
      <c r="E418" s="228">
        <v>526.0</v>
      </c>
      <c r="F418" s="226" t="s">
        <v>3913</v>
      </c>
    </row>
    <row r="419">
      <c r="A419" s="230">
        <v>46161.42847222222</v>
      </c>
      <c r="B419" s="226" t="s">
        <v>3502</v>
      </c>
      <c r="C419" s="226" t="s">
        <v>3508</v>
      </c>
      <c r="D419" s="226">
        <v>989.0</v>
      </c>
      <c r="E419" s="228">
        <v>640.0</v>
      </c>
      <c r="F419" s="226" t="s">
        <v>3509</v>
      </c>
    </row>
    <row r="420">
      <c r="A420" s="230">
        <v>46161.430555555555</v>
      </c>
      <c r="B420" s="226" t="s">
        <v>3644</v>
      </c>
      <c r="C420" s="226" t="s">
        <v>3508</v>
      </c>
      <c r="D420" s="226">
        <v>988.0</v>
      </c>
      <c r="E420" s="228">
        <v>641.0</v>
      </c>
      <c r="F420" s="226" t="s">
        <v>3509</v>
      </c>
    </row>
    <row r="421">
      <c r="A421" s="230">
        <v>46161.43263888889</v>
      </c>
      <c r="B421" s="226" t="s">
        <v>3502</v>
      </c>
      <c r="C421" s="226" t="s">
        <v>3367</v>
      </c>
      <c r="D421" s="226">
        <v>510.0</v>
      </c>
      <c r="E421" s="228">
        <v>174.0</v>
      </c>
      <c r="F421" s="226" t="s">
        <v>3914</v>
      </c>
    </row>
    <row r="422">
      <c r="A422" s="230">
        <v>46161.43541666667</v>
      </c>
      <c r="B422" s="226" t="s">
        <v>3502</v>
      </c>
      <c r="C422" s="226" t="s">
        <v>3508</v>
      </c>
      <c r="D422" s="226">
        <v>990.0</v>
      </c>
      <c r="E422" s="228">
        <v>642.0</v>
      </c>
      <c r="F422" s="226" t="s">
        <v>3509</v>
      </c>
    </row>
    <row r="423">
      <c r="A423" s="230">
        <v>46161.436111111114</v>
      </c>
      <c r="B423" s="226" t="s">
        <v>3401</v>
      </c>
      <c r="C423" s="226" t="s">
        <v>3367</v>
      </c>
      <c r="D423" s="226">
        <v>939.0</v>
      </c>
      <c r="E423" s="228">
        <v>592.0</v>
      </c>
      <c r="F423" s="226" t="s">
        <v>3911</v>
      </c>
    </row>
    <row r="424">
      <c r="A424" s="230">
        <v>46161.43680555555</v>
      </c>
      <c r="B424" s="226" t="s">
        <v>3644</v>
      </c>
      <c r="C424" s="226" t="s">
        <v>3508</v>
      </c>
      <c r="D424" s="226">
        <v>991.0</v>
      </c>
      <c r="E424" s="228">
        <v>643.0</v>
      </c>
      <c r="F424" s="226" t="s">
        <v>3509</v>
      </c>
    </row>
    <row r="425">
      <c r="A425" s="230">
        <v>46161.4375</v>
      </c>
      <c r="B425" s="226" t="s">
        <v>3502</v>
      </c>
      <c r="C425" s="226" t="s">
        <v>3508</v>
      </c>
      <c r="D425" s="226">
        <v>992.0</v>
      </c>
      <c r="E425" s="228">
        <v>644.0</v>
      </c>
      <c r="F425" s="226" t="s">
        <v>3509</v>
      </c>
    </row>
    <row r="426">
      <c r="A426" s="230">
        <v>46161.44097222222</v>
      </c>
      <c r="B426" s="226" t="s">
        <v>3644</v>
      </c>
      <c r="C426" s="226" t="s">
        <v>3508</v>
      </c>
      <c r="D426" s="226">
        <v>993.0</v>
      </c>
      <c r="E426" s="228">
        <v>645.0</v>
      </c>
      <c r="F426" s="226" t="s">
        <v>3509</v>
      </c>
    </row>
    <row r="427">
      <c r="A427" s="230">
        <v>46161.447222222225</v>
      </c>
      <c r="B427" s="226" t="s">
        <v>3644</v>
      </c>
      <c r="C427" s="226" t="s">
        <v>3508</v>
      </c>
      <c r="D427" s="226">
        <v>994.0</v>
      </c>
      <c r="E427" s="228">
        <v>646.0</v>
      </c>
      <c r="F427" s="226" t="s">
        <v>3509</v>
      </c>
    </row>
    <row r="428">
      <c r="A428" s="230">
        <v>46161.45694444444</v>
      </c>
      <c r="B428" s="226" t="s">
        <v>3644</v>
      </c>
      <c r="C428" s="226" t="s">
        <v>3508</v>
      </c>
      <c r="D428" s="226">
        <v>995.0</v>
      </c>
      <c r="E428" s="228">
        <v>647.0</v>
      </c>
      <c r="F428" s="226" t="s">
        <v>3509</v>
      </c>
    </row>
    <row r="429">
      <c r="A429" s="230">
        <v>46161.60138888889</v>
      </c>
      <c r="B429" s="226" t="s">
        <v>3644</v>
      </c>
      <c r="C429" s="226" t="s">
        <v>3508</v>
      </c>
      <c r="D429" s="226">
        <v>996.0</v>
      </c>
      <c r="E429" s="228">
        <v>648.0</v>
      </c>
      <c r="F429" s="226" t="s">
        <v>3509</v>
      </c>
    </row>
    <row r="430">
      <c r="A430" s="230">
        <v>46161.60972222222</v>
      </c>
      <c r="B430" s="226" t="s">
        <v>3489</v>
      </c>
      <c r="C430" s="226" t="s">
        <v>3508</v>
      </c>
      <c r="D430" s="226">
        <v>997.0</v>
      </c>
      <c r="E430" s="228">
        <v>649.0</v>
      </c>
      <c r="F430" s="226" t="s">
        <v>3509</v>
      </c>
    </row>
    <row r="431">
      <c r="A431" s="230">
        <v>46161.61875</v>
      </c>
      <c r="B431" s="226" t="s">
        <v>3818</v>
      </c>
      <c r="C431" s="226" t="s">
        <v>3508</v>
      </c>
      <c r="D431" s="226">
        <v>998.0</v>
      </c>
      <c r="E431" s="228">
        <v>650.0</v>
      </c>
      <c r="F431" s="226" t="s">
        <v>3509</v>
      </c>
    </row>
    <row r="432">
      <c r="A432" s="230">
        <v>46161.631944444445</v>
      </c>
      <c r="B432" s="226" t="s">
        <v>3763</v>
      </c>
      <c r="C432" s="226" t="s">
        <v>3508</v>
      </c>
      <c r="D432" s="226">
        <v>999.0</v>
      </c>
      <c r="E432" s="228">
        <v>651.0</v>
      </c>
      <c r="F432" s="226" t="s">
        <v>3509</v>
      </c>
    </row>
    <row r="433">
      <c r="A433" s="230">
        <v>46161.635416666664</v>
      </c>
      <c r="B433" s="226" t="s">
        <v>3818</v>
      </c>
      <c r="C433" s="226" t="s">
        <v>3367</v>
      </c>
      <c r="D433" s="226">
        <v>998.0</v>
      </c>
      <c r="E433" s="228">
        <v>650.0</v>
      </c>
      <c r="F433" s="226" t="s">
        <v>3923</v>
      </c>
    </row>
    <row r="434">
      <c r="A434" s="230">
        <v>46161.64166666667</v>
      </c>
      <c r="B434" s="226" t="s">
        <v>3818</v>
      </c>
      <c r="C434" s="226" t="s">
        <v>3508</v>
      </c>
      <c r="D434" s="226">
        <v>1001.0</v>
      </c>
      <c r="E434" s="228">
        <v>652.0</v>
      </c>
      <c r="F434" s="226" t="s">
        <v>3509</v>
      </c>
    </row>
    <row r="435">
      <c r="A435" s="230">
        <v>46161.64236111111</v>
      </c>
      <c r="B435" s="226" t="s">
        <v>3763</v>
      </c>
      <c r="C435" s="226" t="s">
        <v>3508</v>
      </c>
      <c r="D435" s="226">
        <v>1000.0</v>
      </c>
      <c r="E435" s="228">
        <v>653.0</v>
      </c>
      <c r="F435" s="226" t="s">
        <v>3509</v>
      </c>
    </row>
    <row r="436">
      <c r="A436" s="230">
        <v>46161.64791666667</v>
      </c>
      <c r="B436" s="226" t="s">
        <v>3763</v>
      </c>
      <c r="C436" s="226" t="s">
        <v>3508</v>
      </c>
      <c r="D436" s="226">
        <v>1002.0</v>
      </c>
      <c r="E436" s="228">
        <v>654.0</v>
      </c>
      <c r="F436" s="226" t="s">
        <v>3509</v>
      </c>
    </row>
    <row r="437">
      <c r="A437" s="230">
        <v>46161.65347222222</v>
      </c>
      <c r="B437" s="226" t="s">
        <v>3818</v>
      </c>
      <c r="C437" s="226" t="s">
        <v>3508</v>
      </c>
      <c r="D437" s="226">
        <v>1003.0</v>
      </c>
      <c r="E437" s="228">
        <v>655.0</v>
      </c>
      <c r="F437" s="226" t="s">
        <v>3509</v>
      </c>
    </row>
    <row r="438">
      <c r="A438" s="230">
        <v>46161.654861111114</v>
      </c>
      <c r="B438" s="226" t="s">
        <v>3818</v>
      </c>
      <c r="C438" s="226" t="s">
        <v>3367</v>
      </c>
      <c r="D438" s="226">
        <v>1003.0</v>
      </c>
      <c r="E438" s="228">
        <v>655.0</v>
      </c>
      <c r="F438" s="226" t="s">
        <v>3750</v>
      </c>
    </row>
    <row r="439">
      <c r="A439" s="230">
        <v>46161.657638888886</v>
      </c>
      <c r="B439" s="226" t="s">
        <v>3763</v>
      </c>
      <c r="C439" s="226" t="s">
        <v>3508</v>
      </c>
      <c r="D439" s="226">
        <v>1004.0</v>
      </c>
      <c r="E439" s="228">
        <v>656.0</v>
      </c>
      <c r="F439" s="226" t="s">
        <v>3509</v>
      </c>
    </row>
    <row r="440">
      <c r="A440" s="230">
        <v>46161.67291666667</v>
      </c>
      <c r="B440" s="226" t="s">
        <v>3818</v>
      </c>
      <c r="C440" s="226" t="s">
        <v>3508</v>
      </c>
      <c r="D440" s="226">
        <v>1005.0</v>
      </c>
      <c r="E440" s="228">
        <v>657.0</v>
      </c>
      <c r="F440" s="226" t="s">
        <v>3509</v>
      </c>
    </row>
    <row r="441">
      <c r="A441" s="230">
        <v>46161.68541666667</v>
      </c>
      <c r="B441" s="226" t="s">
        <v>3818</v>
      </c>
      <c r="C441" s="226" t="s">
        <v>3508</v>
      </c>
      <c r="D441" s="226">
        <v>1006.0</v>
      </c>
      <c r="E441" s="228">
        <v>658.0</v>
      </c>
      <c r="F441" s="226" t="s">
        <v>3509</v>
      </c>
    </row>
    <row r="442">
      <c r="A442" s="230">
        <v>46162.0375</v>
      </c>
      <c r="B442" s="226" t="s">
        <v>3386</v>
      </c>
      <c r="C442" s="226" t="s">
        <v>3387</v>
      </c>
      <c r="D442" s="226">
        <v>818.0</v>
      </c>
      <c r="E442" s="228">
        <v>483.0</v>
      </c>
      <c r="F442" s="226" t="s">
        <v>3925</v>
      </c>
    </row>
    <row r="443">
      <c r="A443" s="230">
        <v>46162.4125</v>
      </c>
      <c r="B443" s="226" t="s">
        <v>3366</v>
      </c>
      <c r="C443" s="226" t="s">
        <v>3367</v>
      </c>
      <c r="D443" s="226">
        <v>420.0</v>
      </c>
      <c r="E443" s="228">
        <v>90.0</v>
      </c>
      <c r="F443" s="226" t="s">
        <v>3926</v>
      </c>
    </row>
    <row r="444">
      <c r="A444" s="230">
        <v>46162.59930555556</v>
      </c>
      <c r="B444" s="226" t="s">
        <v>3401</v>
      </c>
      <c r="C444" s="226" t="s">
        <v>3367</v>
      </c>
      <c r="D444" s="226">
        <v>644.0</v>
      </c>
      <c r="E444" s="228">
        <v>312.0</v>
      </c>
      <c r="F444" s="226" t="s">
        <v>3928</v>
      </c>
    </row>
    <row r="445">
      <c r="A445" s="230">
        <v>46162.60138888889</v>
      </c>
      <c r="B445" s="226" t="s">
        <v>3401</v>
      </c>
      <c r="C445" s="226" t="s">
        <v>3367</v>
      </c>
      <c r="D445" s="226">
        <v>827.0</v>
      </c>
      <c r="E445" s="228">
        <v>490.0</v>
      </c>
      <c r="F445" s="226" t="s">
        <v>3929</v>
      </c>
    </row>
    <row r="446">
      <c r="A446" s="230">
        <v>46162.850694444445</v>
      </c>
      <c r="B446" s="226" t="s">
        <v>2778</v>
      </c>
      <c r="C446" s="226" t="s">
        <v>3367</v>
      </c>
      <c r="D446" s="226">
        <v>766.0</v>
      </c>
      <c r="E446" s="228">
        <v>430.0</v>
      </c>
      <c r="F446" s="226" t="s">
        <v>3930</v>
      </c>
    </row>
    <row r="447">
      <c r="A447" s="230">
        <v>46162.854166666664</v>
      </c>
      <c r="B447" s="226" t="s">
        <v>2778</v>
      </c>
      <c r="C447" s="226" t="s">
        <v>3367</v>
      </c>
      <c r="D447" s="226">
        <v>933.0</v>
      </c>
      <c r="E447" s="228">
        <v>586.0</v>
      </c>
      <c r="F447" s="226" t="s">
        <v>3931</v>
      </c>
    </row>
    <row r="448">
      <c r="A448" s="230">
        <v>46162.854166666664</v>
      </c>
      <c r="B448" s="226" t="s">
        <v>2778</v>
      </c>
      <c r="C448" s="226" t="s">
        <v>3367</v>
      </c>
      <c r="D448" s="226">
        <v>933.0</v>
      </c>
      <c r="E448" s="228">
        <v>586.0</v>
      </c>
      <c r="F448" s="226" t="s">
        <v>3932</v>
      </c>
    </row>
    <row r="449">
      <c r="A449" s="230">
        <v>46164.0375</v>
      </c>
      <c r="B449" s="226" t="s">
        <v>3386</v>
      </c>
      <c r="C449" s="226" t="s">
        <v>3387</v>
      </c>
      <c r="D449" s="226">
        <v>900.0</v>
      </c>
      <c r="E449" s="228">
        <v>553.0</v>
      </c>
      <c r="F449" s="226" t="s">
        <v>3933</v>
      </c>
    </row>
    <row r="450">
      <c r="A450" s="230">
        <v>46164.0375</v>
      </c>
      <c r="B450" s="226" t="s">
        <v>3386</v>
      </c>
      <c r="C450" s="226" t="s">
        <v>3387</v>
      </c>
      <c r="D450" s="228">
        <v>972.0</v>
      </c>
      <c r="E450" s="228">
        <v>622.0</v>
      </c>
      <c r="F450" s="226" t="s">
        <v>3933</v>
      </c>
    </row>
    <row r="451">
      <c r="A451" s="230">
        <v>46164.45277777778</v>
      </c>
      <c r="B451" s="226" t="s">
        <v>3502</v>
      </c>
      <c r="C451" s="226" t="s">
        <v>3508</v>
      </c>
      <c r="D451" s="226">
        <v>1007.0</v>
      </c>
      <c r="E451" s="228">
        <v>659.0</v>
      </c>
      <c r="F451" s="226" t="s">
        <v>3509</v>
      </c>
    </row>
    <row r="452">
      <c r="A452" s="230">
        <v>46164.63888888889</v>
      </c>
      <c r="B452" s="226" t="s">
        <v>3763</v>
      </c>
      <c r="C452" s="226" t="s">
        <v>3367</v>
      </c>
      <c r="D452" s="226">
        <v>968.0</v>
      </c>
      <c r="E452" s="228">
        <v>631.0</v>
      </c>
      <c r="F452" s="226" t="s">
        <v>3935</v>
      </c>
    </row>
    <row r="453">
      <c r="A453" s="230">
        <v>46165.0375</v>
      </c>
      <c r="B453" s="226" t="s">
        <v>3386</v>
      </c>
      <c r="C453" s="226" t="s">
        <v>3387</v>
      </c>
      <c r="D453" s="226">
        <v>632.0</v>
      </c>
      <c r="E453" s="228">
        <v>300.0</v>
      </c>
      <c r="F453" s="226" t="s">
        <v>3936</v>
      </c>
    </row>
    <row r="454">
      <c r="A454" s="230">
        <v>46166.0375</v>
      </c>
      <c r="B454" s="226" t="s">
        <v>3386</v>
      </c>
      <c r="C454" s="226" t="s">
        <v>3387</v>
      </c>
      <c r="D454" s="228">
        <v>975.0</v>
      </c>
      <c r="E454" s="228">
        <v>625.0</v>
      </c>
      <c r="F454" s="226" t="s">
        <v>3938</v>
      </c>
    </row>
    <row r="455">
      <c r="A455" s="230">
        <v>46167.0375</v>
      </c>
      <c r="B455" s="226" t="s">
        <v>3386</v>
      </c>
      <c r="C455" s="226" t="s">
        <v>3387</v>
      </c>
      <c r="D455" s="228">
        <v>980.0</v>
      </c>
      <c r="E455" s="228">
        <v>632.0</v>
      </c>
      <c r="F455" s="226" t="s">
        <v>3941</v>
      </c>
    </row>
    <row r="456">
      <c r="A456" s="230">
        <v>46167.69027777778</v>
      </c>
      <c r="B456" s="226" t="s">
        <v>3644</v>
      </c>
      <c r="C456" s="226" t="s">
        <v>3508</v>
      </c>
      <c r="D456" s="226">
        <v>1008.0</v>
      </c>
      <c r="E456" s="228">
        <v>660.0</v>
      </c>
      <c r="F456" s="226" t="s">
        <v>3509</v>
      </c>
    </row>
    <row r="457">
      <c r="A457" s="230">
        <v>46168.575694444444</v>
      </c>
      <c r="B457" s="226" t="s">
        <v>3366</v>
      </c>
      <c r="C457" s="226" t="s">
        <v>3367</v>
      </c>
      <c r="D457" s="226">
        <v>495.0</v>
      </c>
      <c r="E457" s="228">
        <v>162.0</v>
      </c>
      <c r="F457" s="226" t="s">
        <v>3943</v>
      </c>
    </row>
    <row r="458">
      <c r="A458" s="230">
        <v>46168.665972222225</v>
      </c>
      <c r="B458" s="226" t="s">
        <v>3818</v>
      </c>
      <c r="C458" s="226" t="s">
        <v>3367</v>
      </c>
      <c r="D458" s="226">
        <v>975.0</v>
      </c>
      <c r="E458" s="228">
        <v>625.0</v>
      </c>
      <c r="F458" s="226" t="s">
        <v>3944</v>
      </c>
    </row>
    <row r="459">
      <c r="A459" s="230">
        <v>46168.67083333333</v>
      </c>
      <c r="B459" s="226" t="s">
        <v>3366</v>
      </c>
      <c r="C459" s="226" t="s">
        <v>3367</v>
      </c>
      <c r="D459" s="226">
        <v>927.0</v>
      </c>
      <c r="E459" s="228">
        <v>580.0</v>
      </c>
      <c r="F459" s="226" t="s">
        <v>3945</v>
      </c>
    </row>
    <row r="460">
      <c r="A460" s="230">
        <v>46169.424305555556</v>
      </c>
      <c r="B460" s="226" t="s">
        <v>3401</v>
      </c>
      <c r="C460" s="226" t="s">
        <v>3367</v>
      </c>
      <c r="D460" s="226">
        <v>926.0</v>
      </c>
      <c r="E460" s="228">
        <v>579.0</v>
      </c>
      <c r="F460" s="226" t="s">
        <v>3833</v>
      </c>
    </row>
    <row r="461">
      <c r="A461" s="230">
        <v>46169.4625</v>
      </c>
      <c r="B461" s="226" t="s">
        <v>3489</v>
      </c>
      <c r="C461" s="226" t="s">
        <v>3508</v>
      </c>
      <c r="D461" s="226">
        <v>1009.0</v>
      </c>
      <c r="E461" s="228">
        <v>661.0</v>
      </c>
      <c r="F461" s="226" t="s">
        <v>3509</v>
      </c>
    </row>
    <row r="462">
      <c r="A462" s="230">
        <v>46169.48472222222</v>
      </c>
      <c r="B462" s="226" t="s">
        <v>3818</v>
      </c>
      <c r="C462" s="226" t="s">
        <v>3367</v>
      </c>
      <c r="D462" s="226">
        <v>642.0</v>
      </c>
      <c r="E462" s="228">
        <v>309.0</v>
      </c>
      <c r="F462" s="226" t="s">
        <v>3948</v>
      </c>
    </row>
    <row r="463">
      <c r="A463" s="230">
        <v>46169.48888888889</v>
      </c>
      <c r="B463" s="226" t="s">
        <v>3401</v>
      </c>
      <c r="C463" s="226" t="s">
        <v>3367</v>
      </c>
      <c r="D463" s="226">
        <v>794.0</v>
      </c>
      <c r="E463" s="228">
        <v>455.0</v>
      </c>
      <c r="F463" s="226" t="s">
        <v>3950</v>
      </c>
    </row>
    <row r="464">
      <c r="A464" s="230">
        <v>46169.67638888889</v>
      </c>
      <c r="B464" s="226" t="s">
        <v>3401</v>
      </c>
      <c r="C464" s="226" t="s">
        <v>3367</v>
      </c>
      <c r="D464" s="226">
        <v>959.0</v>
      </c>
      <c r="E464" s="228">
        <v>630.0</v>
      </c>
      <c r="F464" s="226" t="s">
        <v>3951</v>
      </c>
    </row>
    <row r="465">
      <c r="A465" s="230">
        <v>46169.71944444445</v>
      </c>
      <c r="B465" s="226" t="s">
        <v>2778</v>
      </c>
      <c r="C465" s="226" t="s">
        <v>3367</v>
      </c>
      <c r="D465" s="226">
        <v>605.0</v>
      </c>
      <c r="E465" s="228">
        <v>272.0</v>
      </c>
      <c r="F465" s="226" t="s">
        <v>3952</v>
      </c>
    </row>
    <row r="466">
      <c r="A466" s="230">
        <v>46170.46666666667</v>
      </c>
      <c r="B466" s="226" t="s">
        <v>3502</v>
      </c>
      <c r="C466" s="226" t="s">
        <v>3508</v>
      </c>
      <c r="D466" s="226">
        <v>1010.0</v>
      </c>
      <c r="E466" s="228">
        <v>662.0</v>
      </c>
      <c r="F466" s="226" t="s">
        <v>3509</v>
      </c>
    </row>
    <row r="467">
      <c r="A467" s="230">
        <v>46171.45763888889</v>
      </c>
      <c r="B467" s="226" t="s">
        <v>3489</v>
      </c>
      <c r="C467" s="226" t="s">
        <v>3367</v>
      </c>
      <c r="D467" s="226">
        <v>882.0</v>
      </c>
      <c r="E467" s="228">
        <v>538.0</v>
      </c>
      <c r="F467" s="226" t="s">
        <v>3953</v>
      </c>
    </row>
    <row r="468">
      <c r="A468" s="230">
        <v>46171.66111111111</v>
      </c>
      <c r="B468" s="226" t="s">
        <v>2778</v>
      </c>
      <c r="C468" s="226" t="s">
        <v>3367</v>
      </c>
      <c r="D468" s="226">
        <v>576.0</v>
      </c>
      <c r="E468" s="228">
        <v>242.0</v>
      </c>
      <c r="F468" s="226" t="s">
        <v>3954</v>
      </c>
    </row>
    <row r="469">
      <c r="A469" s="230">
        <v>46172.0375</v>
      </c>
      <c r="B469" s="226" t="s">
        <v>3386</v>
      </c>
      <c r="C469" s="226" t="s">
        <v>3387</v>
      </c>
      <c r="D469" s="228">
        <v>976.0</v>
      </c>
      <c r="E469" s="228">
        <v>626.0</v>
      </c>
      <c r="F469" s="226" t="s">
        <v>3955</v>
      </c>
    </row>
    <row r="470">
      <c r="A470" s="230">
        <v>46173.0375</v>
      </c>
      <c r="B470" s="226" t="s">
        <v>3386</v>
      </c>
      <c r="C470" s="226" t="s">
        <v>3387</v>
      </c>
      <c r="D470" s="226">
        <v>899.0</v>
      </c>
      <c r="E470" s="228">
        <v>552.0</v>
      </c>
      <c r="F470" s="226" t="s">
        <v>3956</v>
      </c>
    </row>
    <row r="471">
      <c r="A471" s="230">
        <v>46174.0375</v>
      </c>
      <c r="B471" s="226" t="s">
        <v>3386</v>
      </c>
      <c r="C471" s="226" t="s">
        <v>3387</v>
      </c>
      <c r="D471" s="228">
        <v>930.0</v>
      </c>
      <c r="E471" s="228">
        <v>583.0</v>
      </c>
      <c r="F471" s="226" t="s">
        <v>3960</v>
      </c>
    </row>
    <row r="472">
      <c r="A472" s="230">
        <v>46174.39166666667</v>
      </c>
      <c r="B472" s="226" t="s">
        <v>3962</v>
      </c>
      <c r="C472" s="226" t="s">
        <v>3508</v>
      </c>
      <c r="D472" s="226">
        <v>1011.0</v>
      </c>
      <c r="E472" s="228">
        <v>663.0</v>
      </c>
      <c r="F472" s="226" t="s">
        <v>3509</v>
      </c>
    </row>
    <row r="473">
      <c r="A473" s="230">
        <v>46174.399305555555</v>
      </c>
      <c r="B473" s="226" t="s">
        <v>3401</v>
      </c>
      <c r="C473" s="226" t="s">
        <v>3367</v>
      </c>
      <c r="D473" s="226">
        <v>686.0</v>
      </c>
      <c r="E473" s="228">
        <v>352.0</v>
      </c>
      <c r="F473" s="226" t="s">
        <v>3963</v>
      </c>
    </row>
    <row r="474">
      <c r="A474" s="230">
        <v>46174.407638888886</v>
      </c>
      <c r="B474" s="226" t="s">
        <v>3401</v>
      </c>
      <c r="C474" s="226" t="s">
        <v>3367</v>
      </c>
      <c r="D474" s="226">
        <v>518.0</v>
      </c>
      <c r="E474" s="228">
        <v>182.0</v>
      </c>
      <c r="F474" s="226" t="s">
        <v>3964</v>
      </c>
    </row>
    <row r="475">
      <c r="A475" s="230">
        <v>46174.40972222222</v>
      </c>
      <c r="B475" s="226" t="s">
        <v>3401</v>
      </c>
      <c r="C475" s="226" t="s">
        <v>3367</v>
      </c>
      <c r="D475" s="226">
        <v>331.0</v>
      </c>
      <c r="E475" s="228">
        <v>25.0</v>
      </c>
      <c r="F475" s="226" t="s">
        <v>3965</v>
      </c>
    </row>
    <row r="476">
      <c r="A476" s="230">
        <v>46174.40972222222</v>
      </c>
      <c r="B476" s="226" t="s">
        <v>3401</v>
      </c>
      <c r="C476" s="226" t="s">
        <v>3367</v>
      </c>
      <c r="D476" s="226">
        <v>331.0</v>
      </c>
      <c r="E476" s="228">
        <v>25.0</v>
      </c>
      <c r="F476" s="226" t="s">
        <v>3966</v>
      </c>
    </row>
    <row r="477">
      <c r="A477" s="230">
        <v>46174.41111111111</v>
      </c>
      <c r="B477" s="226" t="s">
        <v>3401</v>
      </c>
      <c r="C477" s="226" t="s">
        <v>3367</v>
      </c>
      <c r="D477" s="226">
        <v>781.0</v>
      </c>
      <c r="E477" s="228">
        <v>442.0</v>
      </c>
      <c r="F477" s="226" t="s">
        <v>3968</v>
      </c>
    </row>
    <row r="478">
      <c r="A478" s="230">
        <v>46174.419444444444</v>
      </c>
      <c r="B478" s="226" t="s">
        <v>3962</v>
      </c>
      <c r="C478" s="226" t="s">
        <v>3367</v>
      </c>
      <c r="D478" s="226">
        <v>629.0</v>
      </c>
      <c r="E478" s="228">
        <v>296.0</v>
      </c>
      <c r="F478" s="226" t="s">
        <v>3969</v>
      </c>
    </row>
    <row r="479">
      <c r="A479" s="230">
        <v>46174.475694444445</v>
      </c>
      <c r="B479" s="226" t="s">
        <v>3401</v>
      </c>
      <c r="C479" s="226" t="s">
        <v>3367</v>
      </c>
      <c r="D479" s="226">
        <v>474.0</v>
      </c>
      <c r="E479" s="228">
        <v>142.0</v>
      </c>
      <c r="F479" s="226" t="s">
        <v>3970</v>
      </c>
    </row>
    <row r="480">
      <c r="A480" s="230">
        <v>46174.56458333333</v>
      </c>
      <c r="B480" s="226" t="s">
        <v>3489</v>
      </c>
      <c r="C480" s="226" t="s">
        <v>3508</v>
      </c>
      <c r="D480" s="226">
        <v>1012.0</v>
      </c>
      <c r="E480" s="228">
        <v>664.0</v>
      </c>
      <c r="F480" s="226" t="s">
        <v>3509</v>
      </c>
    </row>
    <row r="481">
      <c r="A481" s="230">
        <v>46175.0375</v>
      </c>
      <c r="B481" s="226" t="s">
        <v>3386</v>
      </c>
      <c r="C481" s="226" t="s">
        <v>3387</v>
      </c>
      <c r="D481" s="228">
        <v>978.0</v>
      </c>
      <c r="E481" s="228">
        <v>628.0</v>
      </c>
      <c r="F481" s="226" t="s">
        <v>3972</v>
      </c>
    </row>
    <row r="482">
      <c r="A482" s="230">
        <v>46176.0375</v>
      </c>
      <c r="B482" s="226" t="s">
        <v>3386</v>
      </c>
      <c r="C482" s="226" t="s">
        <v>3387</v>
      </c>
      <c r="D482" s="226">
        <v>830.0</v>
      </c>
      <c r="E482" s="228">
        <v>493.0</v>
      </c>
      <c r="F482" s="226" t="s">
        <v>3973</v>
      </c>
    </row>
    <row r="483">
      <c r="A483" s="230">
        <v>46177.41111111111</v>
      </c>
      <c r="B483" s="226" t="s">
        <v>3502</v>
      </c>
      <c r="C483" s="226" t="s">
        <v>3508</v>
      </c>
      <c r="D483" s="226">
        <v>1013.0</v>
      </c>
      <c r="E483" s="228">
        <v>665.0</v>
      </c>
      <c r="F483" s="226" t="s">
        <v>3509</v>
      </c>
    </row>
    <row r="484">
      <c r="A484" s="230">
        <v>46177.493055555555</v>
      </c>
      <c r="B484" s="226" t="s">
        <v>3489</v>
      </c>
      <c r="C484" s="226" t="s">
        <v>3508</v>
      </c>
      <c r="D484" s="226">
        <v>1014.0</v>
      </c>
      <c r="E484" s="228">
        <v>666.0</v>
      </c>
      <c r="F484" s="226" t="s">
        <v>3509</v>
      </c>
    </row>
    <row r="485">
      <c r="A485" s="230">
        <v>46178.0375</v>
      </c>
      <c r="B485" s="226" t="s">
        <v>3386</v>
      </c>
      <c r="C485" s="226" t="s">
        <v>3387</v>
      </c>
      <c r="D485" s="228">
        <v>923.0</v>
      </c>
      <c r="E485" s="228">
        <v>575.0</v>
      </c>
      <c r="F485" s="226" t="s">
        <v>3975</v>
      </c>
    </row>
    <row r="486">
      <c r="A486" s="230">
        <v>46178.70208333333</v>
      </c>
      <c r="B486" s="226" t="s">
        <v>3401</v>
      </c>
      <c r="C486" s="226" t="s">
        <v>3367</v>
      </c>
      <c r="D486" s="226">
        <v>558.0</v>
      </c>
      <c r="E486" s="228">
        <v>223.0</v>
      </c>
      <c r="F486" s="226" t="s">
        <v>3977</v>
      </c>
    </row>
    <row r="487">
      <c r="A487" s="230">
        <v>46180.0375</v>
      </c>
      <c r="B487" s="226" t="s">
        <v>3386</v>
      </c>
      <c r="C487" s="226" t="s">
        <v>3387</v>
      </c>
      <c r="D487" s="226">
        <v>344.0</v>
      </c>
      <c r="E487" s="228">
        <v>27.0</v>
      </c>
      <c r="F487" s="226" t="s">
        <v>3978</v>
      </c>
    </row>
    <row r="488">
      <c r="A488" s="230">
        <v>46180.0375</v>
      </c>
      <c r="B488" s="226" t="s">
        <v>3386</v>
      </c>
      <c r="C488" s="226" t="s">
        <v>3387</v>
      </c>
      <c r="D488" s="226">
        <v>421.0</v>
      </c>
      <c r="E488" s="228">
        <v>91.0</v>
      </c>
      <c r="F488" s="226" t="s">
        <v>3978</v>
      </c>
    </row>
    <row r="489">
      <c r="A489" s="230">
        <v>46180.0375</v>
      </c>
      <c r="B489" s="226" t="s">
        <v>3386</v>
      </c>
      <c r="C489" s="226" t="s">
        <v>3387</v>
      </c>
      <c r="D489" s="226">
        <v>422.0</v>
      </c>
      <c r="E489" s="228">
        <v>92.0</v>
      </c>
      <c r="F489" s="226" t="s">
        <v>3978</v>
      </c>
    </row>
    <row r="490">
      <c r="A490" s="230">
        <v>46180.038194444445</v>
      </c>
      <c r="B490" s="226" t="s">
        <v>3386</v>
      </c>
      <c r="C490" s="226" t="s">
        <v>3387</v>
      </c>
      <c r="D490" s="226">
        <v>423.0</v>
      </c>
      <c r="E490" s="228">
        <v>93.0</v>
      </c>
      <c r="F490" s="226" t="s">
        <v>3978</v>
      </c>
    </row>
    <row r="491">
      <c r="A491" s="230">
        <v>46181.43958333333</v>
      </c>
      <c r="B491" s="226" t="s">
        <v>3401</v>
      </c>
      <c r="C491" s="226" t="s">
        <v>3367</v>
      </c>
      <c r="D491" s="226">
        <v>558.0</v>
      </c>
      <c r="E491" s="228">
        <v>223.0</v>
      </c>
      <c r="F491" s="226" t="s">
        <v>3980</v>
      </c>
    </row>
    <row r="492">
      <c r="A492" s="230">
        <v>46181.48125</v>
      </c>
      <c r="B492" s="226" t="s">
        <v>3366</v>
      </c>
      <c r="C492" s="226" t="s">
        <v>3367</v>
      </c>
      <c r="D492" s="226">
        <v>660.0</v>
      </c>
      <c r="E492" s="228">
        <v>328.0</v>
      </c>
      <c r="F492" s="226" t="s">
        <v>3981</v>
      </c>
    </row>
    <row r="493">
      <c r="A493" s="230">
        <v>46182.0375</v>
      </c>
      <c r="B493" s="226" t="s">
        <v>3386</v>
      </c>
      <c r="C493" s="226" t="s">
        <v>3387</v>
      </c>
      <c r="D493" s="228">
        <v>1009.0</v>
      </c>
      <c r="E493" s="228">
        <v>661.0</v>
      </c>
      <c r="F493" s="226" t="s">
        <v>3982</v>
      </c>
    </row>
    <row r="494">
      <c r="A494" s="230">
        <v>46182.43541666667</v>
      </c>
      <c r="B494" s="226" t="s">
        <v>3644</v>
      </c>
      <c r="C494" s="226" t="s">
        <v>3367</v>
      </c>
      <c r="D494" s="226">
        <v>450.0</v>
      </c>
      <c r="E494" s="228">
        <v>117.0</v>
      </c>
      <c r="F494" s="226" t="s">
        <v>3983</v>
      </c>
    </row>
    <row r="495">
      <c r="A495" s="230">
        <v>46182.47083333333</v>
      </c>
      <c r="B495" s="226" t="s">
        <v>3489</v>
      </c>
      <c r="C495" s="226" t="s">
        <v>3508</v>
      </c>
      <c r="D495" s="226">
        <v>1015.0</v>
      </c>
      <c r="E495" s="228">
        <v>667.0</v>
      </c>
      <c r="F495" s="226" t="s">
        <v>3509</v>
      </c>
    </row>
    <row r="496">
      <c r="A496" s="230">
        <v>46182.478472222225</v>
      </c>
      <c r="B496" s="226" t="s">
        <v>3401</v>
      </c>
      <c r="C496" s="226" t="s">
        <v>3367</v>
      </c>
      <c r="D496" s="226">
        <v>644.0</v>
      </c>
      <c r="E496" s="228">
        <v>312.0</v>
      </c>
      <c r="F496" s="226" t="s">
        <v>3984</v>
      </c>
    </row>
    <row r="497">
      <c r="A497" s="230">
        <v>46182.589583333334</v>
      </c>
      <c r="B497" s="226" t="s">
        <v>3401</v>
      </c>
      <c r="C497" s="226" t="s">
        <v>3508</v>
      </c>
      <c r="D497" s="226">
        <v>1016.0</v>
      </c>
      <c r="E497" s="228">
        <v>668.0</v>
      </c>
      <c r="F497" s="226" t="s">
        <v>3509</v>
      </c>
    </row>
    <row r="498">
      <c r="A498" s="230">
        <v>46182.65</v>
      </c>
      <c r="B498" s="226" t="s">
        <v>3401</v>
      </c>
      <c r="C498" s="226" t="s">
        <v>3508</v>
      </c>
      <c r="D498" s="226">
        <v>1017.0</v>
      </c>
      <c r="E498" s="228">
        <v>669.0</v>
      </c>
      <c r="F498" s="226" t="s">
        <v>3509</v>
      </c>
    </row>
    <row r="499">
      <c r="A499" s="230">
        <v>46182.73333333333</v>
      </c>
      <c r="B499" s="226" t="s">
        <v>3401</v>
      </c>
      <c r="C499" s="226" t="s">
        <v>3367</v>
      </c>
      <c r="D499" s="226">
        <v>644.0</v>
      </c>
      <c r="E499" s="228">
        <v>312.0</v>
      </c>
      <c r="F499" s="226" t="s">
        <v>3986</v>
      </c>
    </row>
    <row r="500">
      <c r="A500" s="230">
        <v>46185.0375</v>
      </c>
      <c r="B500" s="226" t="s">
        <v>3386</v>
      </c>
      <c r="C500" s="226" t="s">
        <v>3387</v>
      </c>
      <c r="D500" s="226">
        <v>674.0</v>
      </c>
      <c r="E500" s="228">
        <v>324.0</v>
      </c>
      <c r="F500" s="226" t="s">
        <v>3987</v>
      </c>
    </row>
    <row r="501">
      <c r="A501" s="230">
        <v>46185.0375</v>
      </c>
      <c r="B501" s="226" t="s">
        <v>3386</v>
      </c>
      <c r="C501" s="226" t="s">
        <v>3387</v>
      </c>
      <c r="D501" s="226">
        <v>657.0</v>
      </c>
      <c r="E501" s="228">
        <v>325.0</v>
      </c>
      <c r="F501" s="226" t="s">
        <v>3987</v>
      </c>
    </row>
    <row r="502">
      <c r="A502" s="230">
        <v>46185.0375</v>
      </c>
      <c r="B502" s="226" t="s">
        <v>3386</v>
      </c>
      <c r="C502" s="226" t="s">
        <v>3387</v>
      </c>
      <c r="D502" s="226">
        <v>882.0</v>
      </c>
      <c r="E502" s="228">
        <v>538.0</v>
      </c>
      <c r="F502" s="226" t="s">
        <v>3987</v>
      </c>
    </row>
    <row r="503">
      <c r="A503" s="230">
        <v>46185.45138888889</v>
      </c>
      <c r="B503" s="226" t="s">
        <v>3401</v>
      </c>
      <c r="C503" s="226" t="s">
        <v>3367</v>
      </c>
      <c r="D503" s="226">
        <v>674.0</v>
      </c>
      <c r="E503" s="228">
        <v>324.0</v>
      </c>
      <c r="F503" s="226" t="s">
        <v>3988</v>
      </c>
    </row>
    <row r="504">
      <c r="A504" s="230">
        <v>46185.61111111111</v>
      </c>
      <c r="B504" s="226" t="s">
        <v>3401</v>
      </c>
      <c r="C504" s="226" t="s">
        <v>3508</v>
      </c>
      <c r="D504" s="226">
        <v>1018.0</v>
      </c>
      <c r="E504" s="228">
        <v>670.0</v>
      </c>
      <c r="F504" s="226" t="s">
        <v>3509</v>
      </c>
    </row>
    <row r="505">
      <c r="A505" s="230">
        <v>46185.675</v>
      </c>
      <c r="B505" s="226" t="s">
        <v>3401</v>
      </c>
      <c r="C505" s="226" t="s">
        <v>3508</v>
      </c>
      <c r="D505" s="226">
        <v>1019.0</v>
      </c>
      <c r="E505" s="228">
        <v>671.0</v>
      </c>
      <c r="F505" s="226" t="s">
        <v>3509</v>
      </c>
    </row>
    <row r="506">
      <c r="A506" s="230">
        <v>46186.0375</v>
      </c>
      <c r="B506" s="226" t="s">
        <v>3386</v>
      </c>
      <c r="C506" s="226" t="s">
        <v>3387</v>
      </c>
      <c r="D506" s="228">
        <v>976.0</v>
      </c>
      <c r="E506" s="228">
        <v>626.0</v>
      </c>
      <c r="F506" s="226" t="s">
        <v>3989</v>
      </c>
    </row>
    <row r="507">
      <c r="A507" s="230">
        <v>46188.65625</v>
      </c>
      <c r="B507" s="226" t="s">
        <v>3489</v>
      </c>
      <c r="C507" s="226" t="s">
        <v>3508</v>
      </c>
      <c r="D507" s="226">
        <v>1020.0</v>
      </c>
      <c r="E507" s="228">
        <v>672.0</v>
      </c>
      <c r="F507" s="226" t="s">
        <v>3509</v>
      </c>
    </row>
    <row r="508">
      <c r="A508" s="230">
        <v>46189.0375</v>
      </c>
      <c r="B508" s="226" t="s">
        <v>3386</v>
      </c>
      <c r="C508" s="226" t="s">
        <v>3387</v>
      </c>
      <c r="D508" s="226">
        <v>406.0</v>
      </c>
      <c r="E508" s="228">
        <v>571.0</v>
      </c>
      <c r="F508" s="226" t="s">
        <v>3990</v>
      </c>
    </row>
    <row r="509">
      <c r="A509" s="230">
        <v>46189.61736111111</v>
      </c>
      <c r="B509" s="226" t="s">
        <v>3401</v>
      </c>
      <c r="C509" s="226" t="s">
        <v>3367</v>
      </c>
      <c r="D509" s="226">
        <v>1019.0</v>
      </c>
      <c r="E509" s="228">
        <v>671.0</v>
      </c>
      <c r="F509" s="226" t="s">
        <v>3991</v>
      </c>
    </row>
    <row r="510">
      <c r="A510" s="230">
        <v>46189.68541666667</v>
      </c>
      <c r="B510" s="226" t="s">
        <v>3366</v>
      </c>
      <c r="C510" s="226" t="s">
        <v>3367</v>
      </c>
      <c r="D510" s="226">
        <v>495.0</v>
      </c>
      <c r="E510" s="228">
        <v>162.0</v>
      </c>
      <c r="F510" s="226" t="s">
        <v>3992</v>
      </c>
    </row>
    <row r="511">
      <c r="A511" s="230">
        <v>46190.0375</v>
      </c>
      <c r="B511" s="226" t="s">
        <v>3386</v>
      </c>
      <c r="C511" s="226" t="s">
        <v>3387</v>
      </c>
      <c r="D511" s="226">
        <v>852.0</v>
      </c>
      <c r="E511" s="228">
        <v>516.0</v>
      </c>
      <c r="F511" s="226" t="s">
        <v>3993</v>
      </c>
    </row>
    <row r="512">
      <c r="A512" s="230">
        <v>46191.0375</v>
      </c>
      <c r="B512" s="226" t="s">
        <v>3386</v>
      </c>
      <c r="C512" s="226" t="s">
        <v>3387</v>
      </c>
      <c r="D512" s="228">
        <v>1020.0</v>
      </c>
      <c r="E512" s="228">
        <v>672.0</v>
      </c>
      <c r="F512" s="226" t="s">
        <v>3994</v>
      </c>
    </row>
    <row r="513">
      <c r="A513" s="230">
        <v>46191.45208333333</v>
      </c>
      <c r="B513" s="226" t="s">
        <v>3366</v>
      </c>
      <c r="C513" s="226" t="s">
        <v>3367</v>
      </c>
      <c r="D513" s="226">
        <v>871.0</v>
      </c>
      <c r="E513" s="228">
        <v>528.0</v>
      </c>
      <c r="F513" s="226" t="s">
        <v>3995</v>
      </c>
    </row>
    <row r="514">
      <c r="A514" s="230">
        <v>46192.58819444444</v>
      </c>
      <c r="B514" s="226" t="s">
        <v>3401</v>
      </c>
      <c r="C514" s="226" t="s">
        <v>3508</v>
      </c>
      <c r="D514" s="226">
        <v>1021.0</v>
      </c>
      <c r="E514" s="228">
        <v>673.0</v>
      </c>
      <c r="F514" s="226" t="s">
        <v>3509</v>
      </c>
    </row>
    <row r="515">
      <c r="A515" s="230">
        <v>46192.65</v>
      </c>
      <c r="B515" s="226" t="s">
        <v>3401</v>
      </c>
      <c r="C515" s="226" t="s">
        <v>3367</v>
      </c>
      <c r="D515" s="226">
        <v>188.0</v>
      </c>
      <c r="E515" s="228">
        <v>6.0</v>
      </c>
      <c r="F515" s="226" t="s">
        <v>3999</v>
      </c>
    </row>
    <row r="516">
      <c r="A516" s="230">
        <v>46193.0375</v>
      </c>
      <c r="B516" s="226" t="s">
        <v>3386</v>
      </c>
      <c r="C516" s="226" t="s">
        <v>3387</v>
      </c>
      <c r="D516" s="228">
        <v>1016.0</v>
      </c>
      <c r="E516" s="228">
        <v>668.0</v>
      </c>
      <c r="F516" s="226" t="s">
        <v>4001</v>
      </c>
    </row>
    <row r="517">
      <c r="A517" s="230">
        <v>46195.427777777775</v>
      </c>
      <c r="B517" s="226" t="s">
        <v>3401</v>
      </c>
      <c r="C517" s="226" t="s">
        <v>3367</v>
      </c>
      <c r="D517" s="226">
        <v>852.0</v>
      </c>
      <c r="E517" s="228">
        <v>516.0</v>
      </c>
      <c r="F517" s="226" t="s">
        <v>4002</v>
      </c>
    </row>
    <row r="518">
      <c r="A518" s="230">
        <v>46195.72361111111</v>
      </c>
      <c r="B518" s="226" t="s">
        <v>3890</v>
      </c>
      <c r="C518" s="226" t="s">
        <v>3508</v>
      </c>
      <c r="D518" s="226">
        <v>243.0</v>
      </c>
      <c r="E518" s="228">
        <v>674.0</v>
      </c>
      <c r="F518" s="226" t="s">
        <v>3509</v>
      </c>
    </row>
    <row r="519">
      <c r="A519" s="230">
        <v>46196.46875</v>
      </c>
      <c r="B519" s="226" t="s">
        <v>3818</v>
      </c>
      <c r="C519" s="226" t="s">
        <v>3508</v>
      </c>
      <c r="D519" s="226">
        <v>1023.0</v>
      </c>
      <c r="E519" s="228">
        <v>675.0</v>
      </c>
      <c r="F519" s="226" t="s">
        <v>3509</v>
      </c>
    </row>
    <row r="520">
      <c r="A520" s="230">
        <v>46196.48125</v>
      </c>
      <c r="B520" s="226" t="s">
        <v>3818</v>
      </c>
      <c r="C520" s="226" t="s">
        <v>3508</v>
      </c>
      <c r="D520" s="226">
        <v>1024.0</v>
      </c>
      <c r="E520" s="228">
        <v>676.0</v>
      </c>
      <c r="F520" s="226" t="s">
        <v>3509</v>
      </c>
    </row>
    <row r="521">
      <c r="A521" s="230">
        <v>46197.41527777778</v>
      </c>
      <c r="B521" s="226" t="s">
        <v>2778</v>
      </c>
      <c r="C521" s="226" t="s">
        <v>3367</v>
      </c>
      <c r="D521" s="226">
        <v>1013.0</v>
      </c>
      <c r="E521" s="228">
        <v>665.0</v>
      </c>
      <c r="F521" s="226" t="s">
        <v>4004</v>
      </c>
    </row>
    <row r="522">
      <c r="A522" s="230">
        <v>46197.44930555556</v>
      </c>
      <c r="B522" s="226" t="s">
        <v>3502</v>
      </c>
      <c r="C522" s="226" t="s">
        <v>3367</v>
      </c>
      <c r="D522" s="226">
        <v>900.0</v>
      </c>
      <c r="E522" s="228">
        <v>553.0</v>
      </c>
      <c r="F522" s="226" t="s">
        <v>4006</v>
      </c>
    </row>
    <row r="523">
      <c r="A523" s="230">
        <v>46197.45347222222</v>
      </c>
      <c r="B523" s="226" t="s">
        <v>3366</v>
      </c>
      <c r="C523" s="226" t="s">
        <v>3367</v>
      </c>
      <c r="D523" s="226">
        <v>978.0</v>
      </c>
      <c r="E523" s="228">
        <v>628.0</v>
      </c>
      <c r="F523" s="226" t="s">
        <v>4008</v>
      </c>
    </row>
    <row r="524">
      <c r="A524" s="230">
        <v>46197.46041666667</v>
      </c>
      <c r="B524" s="226" t="s">
        <v>3401</v>
      </c>
      <c r="C524" s="226" t="s">
        <v>3367</v>
      </c>
      <c r="D524" s="226">
        <v>960.0</v>
      </c>
      <c r="E524" s="228">
        <v>612.0</v>
      </c>
      <c r="F524" s="226" t="s">
        <v>4009</v>
      </c>
    </row>
    <row r="525">
      <c r="A525" s="230">
        <v>46197.47708333333</v>
      </c>
      <c r="B525" s="226" t="s">
        <v>3366</v>
      </c>
      <c r="C525" s="226" t="s">
        <v>3367</v>
      </c>
      <c r="D525" s="226">
        <v>524.0</v>
      </c>
      <c r="E525" s="228">
        <v>189.0</v>
      </c>
      <c r="F525" s="226" t="s">
        <v>4010</v>
      </c>
    </row>
    <row r="526">
      <c r="A526" s="230">
        <v>46197.60208333333</v>
      </c>
      <c r="B526" s="226" t="s">
        <v>3401</v>
      </c>
      <c r="C526" s="226" t="s">
        <v>3367</v>
      </c>
      <c r="D526" s="226">
        <v>1019.0</v>
      </c>
      <c r="E526" s="228">
        <v>671.0</v>
      </c>
      <c r="F526" s="226" t="s">
        <v>4011</v>
      </c>
    </row>
    <row r="527">
      <c r="A527" s="230">
        <v>46197.611805555556</v>
      </c>
      <c r="B527" s="226" t="s">
        <v>3401</v>
      </c>
      <c r="C527" s="226" t="s">
        <v>3367</v>
      </c>
      <c r="D527" s="226">
        <v>830.0</v>
      </c>
      <c r="E527" s="228">
        <v>493.0</v>
      </c>
      <c r="F527" s="226" t="s">
        <v>4012</v>
      </c>
    </row>
    <row r="528">
      <c r="A528" s="230">
        <v>46197.65694444445</v>
      </c>
      <c r="B528" s="226" t="s">
        <v>3401</v>
      </c>
      <c r="C528" s="226" t="s">
        <v>3367</v>
      </c>
      <c r="D528" s="226">
        <v>674.0</v>
      </c>
      <c r="E528" s="228">
        <v>324.0</v>
      </c>
      <c r="F528" s="226" t="s">
        <v>4013</v>
      </c>
    </row>
    <row r="529">
      <c r="A529" s="230">
        <v>46198.0375</v>
      </c>
      <c r="B529" s="226" t="s">
        <v>3386</v>
      </c>
      <c r="C529" s="226" t="s">
        <v>3387</v>
      </c>
      <c r="D529" s="228">
        <v>1017.0</v>
      </c>
      <c r="E529" s="228">
        <v>669.0</v>
      </c>
      <c r="F529" s="226" t="s">
        <v>4014</v>
      </c>
    </row>
    <row r="530">
      <c r="A530" s="230">
        <v>46198.0375</v>
      </c>
      <c r="B530" s="226" t="s">
        <v>3386</v>
      </c>
      <c r="C530" s="226" t="s">
        <v>3387</v>
      </c>
      <c r="D530" s="228">
        <v>1021.0</v>
      </c>
      <c r="E530" s="228">
        <v>673.0</v>
      </c>
      <c r="F530" s="226" t="s">
        <v>4014</v>
      </c>
    </row>
    <row r="531">
      <c r="A531" s="230">
        <v>46198.39513888889</v>
      </c>
      <c r="B531" s="226" t="s">
        <v>3401</v>
      </c>
      <c r="C531" s="226" t="s">
        <v>3367</v>
      </c>
      <c r="D531" s="226">
        <v>1017.0</v>
      </c>
      <c r="E531" s="228">
        <v>669.0</v>
      </c>
      <c r="F531" s="226" t="s">
        <v>4015</v>
      </c>
    </row>
    <row r="532">
      <c r="A532" s="230">
        <v>46198.60902777778</v>
      </c>
      <c r="B532" s="226" t="s">
        <v>3962</v>
      </c>
      <c r="C532" s="226" t="s">
        <v>3367</v>
      </c>
      <c r="D532" s="226">
        <v>968.0</v>
      </c>
      <c r="E532" s="228">
        <v>631.0</v>
      </c>
      <c r="F532" s="226" t="s">
        <v>4016</v>
      </c>
    </row>
    <row r="533">
      <c r="A533" s="230">
        <v>46198.62291666667</v>
      </c>
      <c r="B533" s="226" t="s">
        <v>3366</v>
      </c>
      <c r="C533" s="226" t="s">
        <v>3508</v>
      </c>
      <c r="D533" s="226">
        <v>1025.0</v>
      </c>
      <c r="E533" s="228">
        <v>677.0</v>
      </c>
      <c r="F533" s="226" t="s">
        <v>3509</v>
      </c>
    </row>
    <row r="534">
      <c r="A534" s="230">
        <v>46198.63125</v>
      </c>
      <c r="B534" s="226" t="s">
        <v>3366</v>
      </c>
      <c r="C534" s="226" t="s">
        <v>3508</v>
      </c>
      <c r="D534" s="226">
        <v>1026.0</v>
      </c>
      <c r="E534" s="228">
        <v>678.0</v>
      </c>
      <c r="F534" s="226" t="s">
        <v>3509</v>
      </c>
    </row>
    <row r="535">
      <c r="A535" s="230">
        <v>46199.444444444445</v>
      </c>
      <c r="B535" s="226" t="s">
        <v>3962</v>
      </c>
      <c r="C535" s="226" t="s">
        <v>3367</v>
      </c>
      <c r="D535" s="226">
        <v>1026.0</v>
      </c>
      <c r="E535" s="228">
        <v>678.0</v>
      </c>
      <c r="F535" s="226" t="s">
        <v>4021</v>
      </c>
    </row>
    <row r="536">
      <c r="A536" s="230">
        <v>46199.57361111111</v>
      </c>
      <c r="B536" s="226" t="s">
        <v>3489</v>
      </c>
      <c r="C536" s="226" t="s">
        <v>3508</v>
      </c>
      <c r="D536" s="226">
        <v>1027.0</v>
      </c>
      <c r="E536" s="228">
        <v>679.0</v>
      </c>
      <c r="F536" s="226" t="s">
        <v>3509</v>
      </c>
    </row>
    <row r="537">
      <c r="A537" s="230">
        <v>46201.0375</v>
      </c>
      <c r="B537" s="226" t="s">
        <v>3386</v>
      </c>
      <c r="C537" s="226" t="s">
        <v>3387</v>
      </c>
      <c r="D537" s="228">
        <v>1018.0</v>
      </c>
      <c r="E537" s="228">
        <v>670.0</v>
      </c>
      <c r="F537" s="226" t="s">
        <v>4022</v>
      </c>
    </row>
    <row r="538">
      <c r="A538" s="230">
        <v>46202.620833333334</v>
      </c>
      <c r="B538" s="226" t="s">
        <v>3818</v>
      </c>
      <c r="C538" s="226" t="s">
        <v>3367</v>
      </c>
      <c r="D538" s="226">
        <v>941.0</v>
      </c>
      <c r="E538" s="228">
        <v>594.0</v>
      </c>
      <c r="F538" s="226" t="s">
        <v>4023</v>
      </c>
    </row>
    <row r="539">
      <c r="A539" s="230">
        <v>46202.62152777778</v>
      </c>
      <c r="B539" s="226" t="s">
        <v>3818</v>
      </c>
      <c r="C539" s="226" t="s">
        <v>3367</v>
      </c>
      <c r="D539" s="226">
        <v>941.0</v>
      </c>
      <c r="E539" s="228">
        <v>594.0</v>
      </c>
      <c r="F539" s="226" t="s">
        <v>3750</v>
      </c>
    </row>
    <row r="540">
      <c r="A540" s="230">
        <v>46202.62152777778</v>
      </c>
      <c r="B540" s="226" t="s">
        <v>3818</v>
      </c>
      <c r="C540" s="226" t="s">
        <v>3367</v>
      </c>
      <c r="D540" s="226">
        <v>941.0</v>
      </c>
      <c r="E540" s="228">
        <v>594.0</v>
      </c>
      <c r="F540" s="226" t="s">
        <v>4024</v>
      </c>
    </row>
    <row r="541">
      <c r="A541" s="230">
        <v>46203.65625</v>
      </c>
      <c r="B541" s="226" t="s">
        <v>3401</v>
      </c>
      <c r="C541" s="226" t="s">
        <v>3367</v>
      </c>
      <c r="D541" s="226">
        <v>651.0</v>
      </c>
      <c r="E541" s="228">
        <v>315.0</v>
      </c>
      <c r="F541" s="226" t="s">
        <v>4025</v>
      </c>
    </row>
    <row r="542">
      <c r="A542" s="230">
        <v>46203.68819444445</v>
      </c>
      <c r="B542" s="226" t="s">
        <v>3962</v>
      </c>
      <c r="C542" s="226" t="s">
        <v>3367</v>
      </c>
      <c r="D542" s="226">
        <v>968.0</v>
      </c>
      <c r="E542" s="228">
        <v>631.0</v>
      </c>
      <c r="F542" s="226" t="s">
        <v>4027</v>
      </c>
    </row>
    <row r="543">
      <c r="A543" s="230">
        <v>46204.0375</v>
      </c>
      <c r="B543" s="226" t="s">
        <v>3386</v>
      </c>
      <c r="C543" s="226" t="s">
        <v>3387</v>
      </c>
      <c r="D543" s="226">
        <v>442.0</v>
      </c>
      <c r="E543" s="228">
        <v>109.0</v>
      </c>
      <c r="F543" s="226" t="s">
        <v>4029</v>
      </c>
    </row>
    <row r="544">
      <c r="A544" s="230">
        <v>46204.0375</v>
      </c>
      <c r="B544" s="226" t="s">
        <v>3386</v>
      </c>
      <c r="C544" s="226" t="s">
        <v>3387</v>
      </c>
      <c r="D544" s="226">
        <v>510.0</v>
      </c>
      <c r="E544" s="228">
        <v>174.0</v>
      </c>
      <c r="F544" s="226" t="s">
        <v>4029</v>
      </c>
    </row>
    <row r="545">
      <c r="A545" s="230">
        <v>46204.0375</v>
      </c>
      <c r="B545" s="226" t="s">
        <v>3386</v>
      </c>
      <c r="C545" s="226" t="s">
        <v>3387</v>
      </c>
      <c r="D545" s="226">
        <v>561.0</v>
      </c>
      <c r="E545" s="228">
        <v>227.0</v>
      </c>
      <c r="F545" s="226" t="s">
        <v>4029</v>
      </c>
    </row>
    <row r="546">
      <c r="A546" s="230">
        <v>46204.0375</v>
      </c>
      <c r="B546" s="226" t="s">
        <v>3386</v>
      </c>
      <c r="C546" s="226" t="s">
        <v>3387</v>
      </c>
      <c r="D546" s="226">
        <v>597.0</v>
      </c>
      <c r="E546" s="228">
        <v>266.0</v>
      </c>
      <c r="F546" s="226" t="s">
        <v>4029</v>
      </c>
    </row>
    <row r="547">
      <c r="A547" s="230">
        <v>46204.0375</v>
      </c>
      <c r="B547" s="226" t="s">
        <v>3386</v>
      </c>
      <c r="C547" s="226" t="s">
        <v>3387</v>
      </c>
      <c r="D547" s="226">
        <v>766.0</v>
      </c>
      <c r="E547" s="228">
        <v>430.0</v>
      </c>
      <c r="F547" s="226" t="s">
        <v>4029</v>
      </c>
    </row>
    <row r="548">
      <c r="A548" s="230">
        <v>46204.0375</v>
      </c>
      <c r="B548" s="226" t="s">
        <v>3386</v>
      </c>
      <c r="C548" s="226" t="s">
        <v>3387</v>
      </c>
      <c r="D548" s="226">
        <v>827.0</v>
      </c>
      <c r="E548" s="228">
        <v>490.0</v>
      </c>
      <c r="F548" s="226" t="s">
        <v>4029</v>
      </c>
    </row>
    <row r="549">
      <c r="A549" s="230">
        <v>46204.038194444445</v>
      </c>
      <c r="B549" s="226" t="s">
        <v>3386</v>
      </c>
      <c r="C549" s="226" t="s">
        <v>3387</v>
      </c>
      <c r="D549" s="226">
        <v>882.0</v>
      </c>
      <c r="E549" s="228">
        <v>538.0</v>
      </c>
      <c r="F549" s="226" t="s">
        <v>4029</v>
      </c>
    </row>
    <row r="550">
      <c r="A550" s="230">
        <v>46204.038194444445</v>
      </c>
      <c r="B550" s="226" t="s">
        <v>3386</v>
      </c>
      <c r="C550" s="226" t="s">
        <v>3387</v>
      </c>
      <c r="D550" s="226">
        <v>894.0</v>
      </c>
      <c r="E550" s="228">
        <v>548.0</v>
      </c>
      <c r="F550" s="226" t="s">
        <v>4029</v>
      </c>
    </row>
    <row r="551">
      <c r="A551" s="230">
        <v>46204.038194444445</v>
      </c>
      <c r="B551" s="226" t="s">
        <v>3386</v>
      </c>
      <c r="C551" s="226" t="s">
        <v>3387</v>
      </c>
      <c r="D551" s="228">
        <v>933.0</v>
      </c>
      <c r="E551" s="228">
        <v>586.0</v>
      </c>
      <c r="F551" s="226" t="s">
        <v>4029</v>
      </c>
    </row>
    <row r="552">
      <c r="A552" s="230">
        <v>46204.038194444445</v>
      </c>
      <c r="B552" s="226" t="s">
        <v>3386</v>
      </c>
      <c r="C552" s="226" t="s">
        <v>3387</v>
      </c>
      <c r="D552" s="228">
        <v>982.0</v>
      </c>
      <c r="E552" s="228">
        <v>634.0</v>
      </c>
      <c r="F552" s="226" t="s">
        <v>4029</v>
      </c>
    </row>
    <row r="553">
      <c r="A553" s="230">
        <v>46204.038194444445</v>
      </c>
      <c r="B553" s="226" t="s">
        <v>3386</v>
      </c>
      <c r="C553" s="226" t="s">
        <v>3387</v>
      </c>
      <c r="D553" s="228">
        <v>983.0</v>
      </c>
      <c r="E553" s="228">
        <v>635.0</v>
      </c>
      <c r="F553" s="226" t="s">
        <v>4029</v>
      </c>
    </row>
    <row r="554">
      <c r="A554" s="230">
        <v>46204.038194444445</v>
      </c>
      <c r="B554" s="226" t="s">
        <v>3386</v>
      </c>
      <c r="C554" s="226" t="s">
        <v>3387</v>
      </c>
      <c r="D554" s="228">
        <v>984.0</v>
      </c>
      <c r="E554" s="228">
        <v>636.0</v>
      </c>
      <c r="F554" s="226" t="s">
        <v>4029</v>
      </c>
    </row>
    <row r="555">
      <c r="A555" s="230">
        <v>46204.038194444445</v>
      </c>
      <c r="B555" s="226" t="s">
        <v>3386</v>
      </c>
      <c r="C555" s="226" t="s">
        <v>3387</v>
      </c>
      <c r="D555" s="228">
        <v>985.0</v>
      </c>
      <c r="E555" s="228">
        <v>637.0</v>
      </c>
      <c r="F555" s="226" t="s">
        <v>4029</v>
      </c>
    </row>
    <row r="556">
      <c r="A556" s="230">
        <v>46204.038194444445</v>
      </c>
      <c r="B556" s="226" t="s">
        <v>3386</v>
      </c>
      <c r="C556" s="226" t="s">
        <v>3387</v>
      </c>
      <c r="D556" s="228">
        <v>986.0</v>
      </c>
      <c r="E556" s="228">
        <v>638.0</v>
      </c>
      <c r="F556" s="226" t="s">
        <v>4029</v>
      </c>
    </row>
    <row r="557">
      <c r="A557" s="230">
        <v>46204.038194444445</v>
      </c>
      <c r="B557" s="226" t="s">
        <v>3386</v>
      </c>
      <c r="C557" s="226" t="s">
        <v>3387</v>
      </c>
      <c r="D557" s="228">
        <v>987.0</v>
      </c>
      <c r="E557" s="228">
        <v>639.0</v>
      </c>
      <c r="F557" s="226" t="s">
        <v>4029</v>
      </c>
    </row>
    <row r="558">
      <c r="A558" s="230">
        <v>46204.038194444445</v>
      </c>
      <c r="B558" s="226" t="s">
        <v>3386</v>
      </c>
      <c r="C558" s="226" t="s">
        <v>3387</v>
      </c>
      <c r="D558" s="228">
        <v>989.0</v>
      </c>
      <c r="E558" s="228">
        <v>640.0</v>
      </c>
      <c r="F558" s="226" t="s">
        <v>4029</v>
      </c>
    </row>
    <row r="559">
      <c r="A559" s="230">
        <v>46204.038194444445</v>
      </c>
      <c r="B559" s="226" t="s">
        <v>3386</v>
      </c>
      <c r="C559" s="226" t="s">
        <v>3387</v>
      </c>
      <c r="D559" s="228">
        <v>988.0</v>
      </c>
      <c r="E559" s="228">
        <v>641.0</v>
      </c>
      <c r="F559" s="226" t="s">
        <v>4029</v>
      </c>
    </row>
    <row r="560">
      <c r="A560" s="230">
        <v>46204.038194444445</v>
      </c>
      <c r="B560" s="226" t="s">
        <v>3386</v>
      </c>
      <c r="C560" s="226" t="s">
        <v>3387</v>
      </c>
      <c r="D560" s="228">
        <v>990.0</v>
      </c>
      <c r="E560" s="228">
        <v>642.0</v>
      </c>
      <c r="F560" s="226" t="s">
        <v>4029</v>
      </c>
    </row>
    <row r="561">
      <c r="A561" s="230">
        <v>46204.038194444445</v>
      </c>
      <c r="B561" s="226" t="s">
        <v>3386</v>
      </c>
      <c r="C561" s="226" t="s">
        <v>3387</v>
      </c>
      <c r="D561" s="228">
        <v>991.0</v>
      </c>
      <c r="E561" s="228">
        <v>643.0</v>
      </c>
      <c r="F561" s="226" t="s">
        <v>4029</v>
      </c>
    </row>
    <row r="562">
      <c r="A562" s="230">
        <v>46204.038194444445</v>
      </c>
      <c r="B562" s="226" t="s">
        <v>3386</v>
      </c>
      <c r="C562" s="226" t="s">
        <v>3387</v>
      </c>
      <c r="D562" s="228">
        <v>992.0</v>
      </c>
      <c r="E562" s="228">
        <v>644.0</v>
      </c>
      <c r="F562" s="226" t="s">
        <v>4029</v>
      </c>
    </row>
    <row r="563">
      <c r="A563" s="230">
        <v>46204.038194444445</v>
      </c>
      <c r="B563" s="226" t="s">
        <v>3386</v>
      </c>
      <c r="C563" s="226" t="s">
        <v>3387</v>
      </c>
      <c r="D563" s="228">
        <v>993.0</v>
      </c>
      <c r="E563" s="228">
        <v>645.0</v>
      </c>
      <c r="F563" s="226" t="s">
        <v>4029</v>
      </c>
    </row>
    <row r="564">
      <c r="A564" s="230">
        <v>46204.038194444445</v>
      </c>
      <c r="B564" s="226" t="s">
        <v>3386</v>
      </c>
      <c r="C564" s="226" t="s">
        <v>3387</v>
      </c>
      <c r="D564" s="228">
        <v>994.0</v>
      </c>
      <c r="E564" s="228">
        <v>646.0</v>
      </c>
      <c r="F564" s="226" t="s">
        <v>4029</v>
      </c>
    </row>
    <row r="565">
      <c r="A565" s="230">
        <v>46204.038194444445</v>
      </c>
      <c r="B565" s="226" t="s">
        <v>3386</v>
      </c>
      <c r="C565" s="226" t="s">
        <v>3387</v>
      </c>
      <c r="D565" s="228">
        <v>995.0</v>
      </c>
      <c r="E565" s="228">
        <v>647.0</v>
      </c>
      <c r="F565" s="226" t="s">
        <v>4029</v>
      </c>
    </row>
    <row r="566">
      <c r="A566" s="230">
        <v>46204.038194444445</v>
      </c>
      <c r="B566" s="226" t="s">
        <v>3386</v>
      </c>
      <c r="C566" s="226" t="s">
        <v>3387</v>
      </c>
      <c r="D566" s="228">
        <v>997.0</v>
      </c>
      <c r="E566" s="228">
        <v>649.0</v>
      </c>
      <c r="F566" s="226" t="s">
        <v>4029</v>
      </c>
    </row>
    <row r="567">
      <c r="A567" s="230">
        <v>46204.038194444445</v>
      </c>
      <c r="B567" s="226" t="s">
        <v>3386</v>
      </c>
      <c r="C567" s="226" t="s">
        <v>3387</v>
      </c>
      <c r="D567" s="228">
        <v>998.0</v>
      </c>
      <c r="E567" s="228">
        <v>650.0</v>
      </c>
      <c r="F567" s="226" t="s">
        <v>4029</v>
      </c>
    </row>
    <row r="568">
      <c r="A568" s="230">
        <v>46204.038194444445</v>
      </c>
      <c r="B568" s="226" t="s">
        <v>3386</v>
      </c>
      <c r="C568" s="226" t="s">
        <v>3387</v>
      </c>
      <c r="D568" s="228">
        <v>999.0</v>
      </c>
      <c r="E568" s="228">
        <v>651.0</v>
      </c>
      <c r="F568" s="226" t="s">
        <v>4029</v>
      </c>
    </row>
    <row r="569">
      <c r="A569" s="230">
        <v>46204.038194444445</v>
      </c>
      <c r="B569" s="226" t="s">
        <v>3386</v>
      </c>
      <c r="C569" s="226" t="s">
        <v>3387</v>
      </c>
      <c r="D569" s="228">
        <v>1001.0</v>
      </c>
      <c r="E569" s="228">
        <v>652.0</v>
      </c>
      <c r="F569" s="226" t="s">
        <v>4029</v>
      </c>
    </row>
    <row r="570">
      <c r="A570" s="230">
        <v>46204.038194444445</v>
      </c>
      <c r="B570" s="226" t="s">
        <v>3386</v>
      </c>
      <c r="C570" s="226" t="s">
        <v>3387</v>
      </c>
      <c r="D570" s="228">
        <v>1000.0</v>
      </c>
      <c r="E570" s="228">
        <v>653.0</v>
      </c>
      <c r="F570" s="226" t="s">
        <v>4029</v>
      </c>
    </row>
    <row r="571">
      <c r="A571" s="230">
        <v>46204.038194444445</v>
      </c>
      <c r="B571" s="226" t="s">
        <v>3386</v>
      </c>
      <c r="C571" s="226" t="s">
        <v>3387</v>
      </c>
      <c r="D571" s="228">
        <v>1002.0</v>
      </c>
      <c r="E571" s="228">
        <v>654.0</v>
      </c>
      <c r="F571" s="226" t="s">
        <v>4029</v>
      </c>
    </row>
    <row r="572">
      <c r="A572" s="230">
        <v>46204.038194444445</v>
      </c>
      <c r="B572" s="226" t="s">
        <v>3386</v>
      </c>
      <c r="C572" s="226" t="s">
        <v>3387</v>
      </c>
      <c r="D572" s="228">
        <v>1003.0</v>
      </c>
      <c r="E572" s="228">
        <v>655.0</v>
      </c>
      <c r="F572" s="226" t="s">
        <v>4029</v>
      </c>
    </row>
    <row r="573">
      <c r="A573" s="230">
        <v>46204.03888888889</v>
      </c>
      <c r="B573" s="226" t="s">
        <v>3386</v>
      </c>
      <c r="C573" s="226" t="s">
        <v>3387</v>
      </c>
      <c r="D573" s="228">
        <v>1004.0</v>
      </c>
      <c r="E573" s="228">
        <v>656.0</v>
      </c>
      <c r="F573" s="226" t="s">
        <v>4029</v>
      </c>
    </row>
    <row r="574">
      <c r="A574" s="230">
        <v>46204.03888888889</v>
      </c>
      <c r="B574" s="226" t="s">
        <v>3386</v>
      </c>
      <c r="C574" s="226" t="s">
        <v>3387</v>
      </c>
      <c r="D574" s="228">
        <v>1005.0</v>
      </c>
      <c r="E574" s="228">
        <v>657.0</v>
      </c>
      <c r="F574" s="226" t="s">
        <v>4029</v>
      </c>
    </row>
    <row r="575">
      <c r="A575" s="230">
        <v>46204.03888888889</v>
      </c>
      <c r="B575" s="226" t="s">
        <v>3386</v>
      </c>
      <c r="C575" s="226" t="s">
        <v>3387</v>
      </c>
      <c r="D575" s="228">
        <v>1006.0</v>
      </c>
      <c r="E575" s="228">
        <v>658.0</v>
      </c>
      <c r="F575" s="226" t="s">
        <v>4029</v>
      </c>
    </row>
    <row r="576">
      <c r="A576" s="230">
        <v>46204.03888888889</v>
      </c>
      <c r="B576" s="226" t="s">
        <v>3386</v>
      </c>
      <c r="C576" s="226" t="s">
        <v>3387</v>
      </c>
      <c r="D576" s="228">
        <v>1007.0</v>
      </c>
      <c r="E576" s="228">
        <v>659.0</v>
      </c>
      <c r="F576" s="226" t="s">
        <v>4029</v>
      </c>
    </row>
    <row r="577">
      <c r="A577" s="230">
        <v>46204.03888888889</v>
      </c>
      <c r="B577" s="226" t="s">
        <v>3386</v>
      </c>
      <c r="C577" s="226" t="s">
        <v>3387</v>
      </c>
      <c r="D577" s="228">
        <v>1010.0</v>
      </c>
      <c r="E577" s="228">
        <v>662.0</v>
      </c>
      <c r="F577" s="226" t="s">
        <v>4029</v>
      </c>
    </row>
    <row r="578">
      <c r="A578" s="230">
        <v>46204.03888888889</v>
      </c>
      <c r="B578" s="226" t="s">
        <v>3386</v>
      </c>
      <c r="C578" s="226" t="s">
        <v>3387</v>
      </c>
      <c r="D578" s="228">
        <v>1011.0</v>
      </c>
      <c r="E578" s="228">
        <v>663.0</v>
      </c>
      <c r="F578" s="226" t="s">
        <v>4029</v>
      </c>
    </row>
    <row r="579">
      <c r="A579" s="230">
        <v>46204.03888888889</v>
      </c>
      <c r="B579" s="226" t="s">
        <v>3386</v>
      </c>
      <c r="C579" s="226" t="s">
        <v>3387</v>
      </c>
      <c r="D579" s="228">
        <v>1014.0</v>
      </c>
      <c r="E579" s="228">
        <v>666.0</v>
      </c>
      <c r="F579" s="226" t="s">
        <v>4029</v>
      </c>
    </row>
    <row r="580">
      <c r="A580" s="230">
        <v>46204.66388888889</v>
      </c>
      <c r="B580" s="226" t="s">
        <v>3401</v>
      </c>
      <c r="C580" s="226" t="s">
        <v>3367</v>
      </c>
      <c r="D580" s="226">
        <v>658.0</v>
      </c>
      <c r="E580" s="228">
        <v>327.0</v>
      </c>
      <c r="F580" s="226" t="s">
        <v>4045</v>
      </c>
    </row>
    <row r="581">
      <c r="A581" s="230">
        <v>46205.0375</v>
      </c>
      <c r="B581" s="226" t="s">
        <v>3386</v>
      </c>
      <c r="C581" s="226" t="s">
        <v>3387</v>
      </c>
      <c r="D581" s="226">
        <v>630.0</v>
      </c>
      <c r="E581" s="228">
        <v>298.0</v>
      </c>
      <c r="F581" s="226" t="s">
        <v>4046</v>
      </c>
    </row>
    <row r="582">
      <c r="A582" s="230">
        <v>46205.44027777778</v>
      </c>
      <c r="B582" s="226" t="s">
        <v>3502</v>
      </c>
      <c r="C582" s="226" t="s">
        <v>3367</v>
      </c>
      <c r="D582" s="226">
        <v>739.0</v>
      </c>
      <c r="E582" s="228">
        <v>405.0</v>
      </c>
      <c r="F582" s="226" t="s">
        <v>4048</v>
      </c>
    </row>
    <row r="583">
      <c r="A583" s="230">
        <v>46206.41111111111</v>
      </c>
      <c r="B583" s="226" t="s">
        <v>3489</v>
      </c>
      <c r="C583" s="226" t="s">
        <v>3508</v>
      </c>
      <c r="D583" s="226">
        <v>1028.0</v>
      </c>
      <c r="E583" s="228">
        <v>680.0</v>
      </c>
      <c r="F583" s="226" t="s">
        <v>3509</v>
      </c>
    </row>
    <row r="584">
      <c r="A584" s="230">
        <v>46209.467361111114</v>
      </c>
      <c r="B584" s="226" t="s">
        <v>3502</v>
      </c>
      <c r="C584" s="226" t="s">
        <v>3367</v>
      </c>
      <c r="D584" s="226">
        <v>576.0</v>
      </c>
      <c r="E584" s="228">
        <v>242.0</v>
      </c>
      <c r="F584" s="226" t="s">
        <v>4049</v>
      </c>
    </row>
    <row r="585">
      <c r="A585" s="230">
        <v>46210.43402777778</v>
      </c>
      <c r="B585" s="226" t="s">
        <v>3401</v>
      </c>
      <c r="C585" s="226" t="s">
        <v>3367</v>
      </c>
      <c r="D585" s="226">
        <v>586.0</v>
      </c>
      <c r="E585" s="228">
        <v>253.0</v>
      </c>
      <c r="F585" s="226" t="s">
        <v>4050</v>
      </c>
    </row>
    <row r="586">
      <c r="A586" s="230">
        <v>46213.0375</v>
      </c>
      <c r="B586" s="226" t="s">
        <v>3386</v>
      </c>
      <c r="C586" s="226" t="s">
        <v>3387</v>
      </c>
      <c r="D586" s="226">
        <v>884.0</v>
      </c>
      <c r="E586" s="228">
        <v>501.0</v>
      </c>
      <c r="F586" s="226" t="s">
        <v>4051</v>
      </c>
    </row>
    <row r="587">
      <c r="A587" s="230">
        <v>46213.0375</v>
      </c>
      <c r="B587" s="226" t="s">
        <v>3386</v>
      </c>
      <c r="C587" s="226" t="s">
        <v>3387</v>
      </c>
      <c r="D587" s="228">
        <v>1015.0</v>
      </c>
      <c r="E587" s="228">
        <v>667.0</v>
      </c>
      <c r="F587" s="226" t="s">
        <v>4051</v>
      </c>
    </row>
    <row r="588">
      <c r="A588" s="230">
        <v>46213.0375</v>
      </c>
      <c r="B588" s="226" t="s">
        <v>3386</v>
      </c>
      <c r="C588" s="226" t="s">
        <v>3387</v>
      </c>
      <c r="D588" s="228">
        <v>1025.0</v>
      </c>
      <c r="E588" s="228">
        <v>677.0</v>
      </c>
      <c r="F588" s="226" t="s">
        <v>4051</v>
      </c>
    </row>
    <row r="589">
      <c r="A589" s="230">
        <v>46213.691666666666</v>
      </c>
      <c r="B589" s="226" t="s">
        <v>3502</v>
      </c>
      <c r="C589" s="226" t="s">
        <v>3508</v>
      </c>
      <c r="D589" s="226">
        <v>1029.0</v>
      </c>
      <c r="E589" s="228">
        <v>681.0</v>
      </c>
      <c r="F589" s="226" t="s">
        <v>3509</v>
      </c>
    </row>
    <row r="590">
      <c r="A590" s="230">
        <v>46213.697916666664</v>
      </c>
      <c r="B590" s="226" t="s">
        <v>3502</v>
      </c>
      <c r="C590" s="226" t="s">
        <v>3367</v>
      </c>
      <c r="D590" s="226">
        <v>1029.0</v>
      </c>
      <c r="E590" s="228">
        <v>681.0</v>
      </c>
      <c r="F590" s="226" t="s">
        <v>3832</v>
      </c>
    </row>
    <row r="591">
      <c r="A591" s="230">
        <v>46214.0375</v>
      </c>
      <c r="B591" s="226" t="s">
        <v>3386</v>
      </c>
      <c r="C591" s="226" t="s">
        <v>3387</v>
      </c>
      <c r="D591" s="226">
        <v>834.0</v>
      </c>
      <c r="E591" s="228">
        <v>498.0</v>
      </c>
      <c r="F591" s="226" t="s">
        <v>4054</v>
      </c>
    </row>
    <row r="592">
      <c r="A592" s="230">
        <v>46216.47152777778</v>
      </c>
      <c r="B592" s="226" t="s">
        <v>3401</v>
      </c>
      <c r="C592" s="226" t="s">
        <v>3367</v>
      </c>
      <c r="D592" s="226">
        <v>630.0</v>
      </c>
      <c r="E592" s="228">
        <v>298.0</v>
      </c>
      <c r="F592" s="226" t="s">
        <v>4055</v>
      </c>
    </row>
    <row r="593">
      <c r="A593" s="230">
        <v>46216.47222222222</v>
      </c>
      <c r="B593" s="226" t="s">
        <v>3401</v>
      </c>
      <c r="C593" s="226" t="s">
        <v>3367</v>
      </c>
      <c r="D593" s="226">
        <v>630.0</v>
      </c>
      <c r="E593" s="228">
        <v>298.0</v>
      </c>
      <c r="F593" s="226" t="s">
        <v>3750</v>
      </c>
    </row>
    <row r="594">
      <c r="A594" s="230">
        <v>46216.57430555556</v>
      </c>
      <c r="B594" s="226" t="s">
        <v>3644</v>
      </c>
      <c r="C594" s="226" t="s">
        <v>3367</v>
      </c>
      <c r="D594" s="226">
        <v>667.0</v>
      </c>
      <c r="E594" s="228">
        <v>335.0</v>
      </c>
      <c r="F594" s="226" t="s">
        <v>4056</v>
      </c>
    </row>
    <row r="595">
      <c r="A595" s="230">
        <v>46216.584027777775</v>
      </c>
      <c r="B595" s="226" t="s">
        <v>3502</v>
      </c>
      <c r="C595" s="226" t="s">
        <v>3367</v>
      </c>
      <c r="D595" s="226">
        <v>894.0</v>
      </c>
      <c r="E595" s="228">
        <v>548.0</v>
      </c>
      <c r="F595" s="226" t="s">
        <v>4057</v>
      </c>
    </row>
    <row r="596">
      <c r="A596" s="230">
        <v>46217.0375</v>
      </c>
      <c r="B596" s="226" t="s">
        <v>3386</v>
      </c>
      <c r="C596" s="226" t="s">
        <v>3387</v>
      </c>
      <c r="D596" s="228">
        <v>973.0</v>
      </c>
      <c r="E596" s="228">
        <v>623.0</v>
      </c>
      <c r="F596" s="226" t="s">
        <v>4058</v>
      </c>
    </row>
    <row r="597">
      <c r="A597" s="230">
        <v>46217.46666666667</v>
      </c>
      <c r="B597" s="226" t="s">
        <v>3366</v>
      </c>
      <c r="C597" s="226" t="s">
        <v>3508</v>
      </c>
      <c r="D597" s="226">
        <v>1030.0</v>
      </c>
      <c r="E597" s="228">
        <v>682.0</v>
      </c>
      <c r="F597" s="226" t="s">
        <v>3509</v>
      </c>
    </row>
    <row r="598">
      <c r="A598" s="230">
        <v>46217.47986111111</v>
      </c>
      <c r="B598" s="226" t="s">
        <v>3366</v>
      </c>
      <c r="C598" s="226" t="s">
        <v>3508</v>
      </c>
      <c r="D598" s="226">
        <v>1031.0</v>
      </c>
      <c r="E598" s="228">
        <v>683.0</v>
      </c>
      <c r="F598" s="226" t="s">
        <v>3509</v>
      </c>
    </row>
    <row r="599">
      <c r="A599" s="230">
        <v>46217.48263888889</v>
      </c>
      <c r="B599" s="226" t="s">
        <v>3366</v>
      </c>
      <c r="C599" s="226" t="s">
        <v>3367</v>
      </c>
      <c r="D599" s="226">
        <v>1031.0</v>
      </c>
      <c r="E599" s="228">
        <v>683.0</v>
      </c>
      <c r="F599" s="226" t="s">
        <v>4059</v>
      </c>
    </row>
    <row r="600">
      <c r="A600" s="230">
        <v>46217.5</v>
      </c>
      <c r="B600" s="226" t="s">
        <v>3401</v>
      </c>
      <c r="C600" s="226" t="s">
        <v>3367</v>
      </c>
      <c r="D600" s="226">
        <v>890.0</v>
      </c>
      <c r="E600" s="228">
        <v>544.0</v>
      </c>
      <c r="F600" s="226" t="s">
        <v>4060</v>
      </c>
    </row>
    <row r="601">
      <c r="A601" s="230">
        <v>46217.55694444444</v>
      </c>
      <c r="B601" s="226" t="s">
        <v>3401</v>
      </c>
      <c r="C601" s="226" t="s">
        <v>3367</v>
      </c>
      <c r="D601" s="226">
        <v>890.0</v>
      </c>
      <c r="E601" s="228">
        <v>544.0</v>
      </c>
      <c r="F601" s="226" t="s">
        <v>4062</v>
      </c>
    </row>
    <row r="602">
      <c r="A602" s="230">
        <v>46217.61388888889</v>
      </c>
      <c r="B602" s="226" t="s">
        <v>3890</v>
      </c>
      <c r="C602" s="226" t="s">
        <v>3508</v>
      </c>
      <c r="D602" s="226">
        <v>1032.0</v>
      </c>
      <c r="E602" s="228">
        <v>684.0</v>
      </c>
      <c r="F602" s="226" t="s">
        <v>3509</v>
      </c>
    </row>
    <row r="603">
      <c r="A603" s="230">
        <v>46217.71111111111</v>
      </c>
      <c r="B603" s="226" t="s">
        <v>3489</v>
      </c>
      <c r="C603" s="226" t="s">
        <v>3508</v>
      </c>
      <c r="D603" s="226">
        <v>1033.0</v>
      </c>
      <c r="E603" s="228">
        <v>685.0</v>
      </c>
      <c r="F603" s="226" t="s">
        <v>3509</v>
      </c>
    </row>
    <row r="604">
      <c r="A604" s="230">
        <v>46218.61944444444</v>
      </c>
      <c r="B604" s="226" t="s">
        <v>3366</v>
      </c>
      <c r="C604" s="226" t="s">
        <v>3367</v>
      </c>
      <c r="D604" s="226">
        <v>865.0</v>
      </c>
      <c r="E604" s="228">
        <v>522.0</v>
      </c>
      <c r="F604" s="226" t="s">
        <v>4068</v>
      </c>
    </row>
    <row r="605">
      <c r="A605" s="230">
        <v>46218.65416666667</v>
      </c>
      <c r="B605" s="226" t="s">
        <v>3401</v>
      </c>
      <c r="C605" s="226" t="s">
        <v>3367</v>
      </c>
      <c r="D605" s="226">
        <v>879.0</v>
      </c>
      <c r="E605" s="228">
        <v>535.0</v>
      </c>
      <c r="F605" s="226" t="s">
        <v>4069</v>
      </c>
    </row>
    <row r="606">
      <c r="A606" s="230">
        <v>46218.68402777778</v>
      </c>
      <c r="B606" s="226" t="s">
        <v>3401</v>
      </c>
      <c r="C606" s="226" t="s">
        <v>3367</v>
      </c>
      <c r="D606" s="226">
        <v>879.0</v>
      </c>
      <c r="E606" s="228">
        <v>535.0</v>
      </c>
      <c r="F606" s="226" t="s">
        <v>4070</v>
      </c>
    </row>
    <row r="607">
      <c r="A607" s="230">
        <v>46219.0375</v>
      </c>
      <c r="B607" s="226" t="s">
        <v>3386</v>
      </c>
      <c r="C607" s="226" t="s">
        <v>3387</v>
      </c>
      <c r="D607" s="226">
        <v>602.0</v>
      </c>
      <c r="E607" s="228">
        <v>269.0</v>
      </c>
      <c r="F607" s="226" t="s">
        <v>4071</v>
      </c>
    </row>
    <row r="608">
      <c r="A608" s="230">
        <v>46219.0375</v>
      </c>
      <c r="B608" s="226" t="s">
        <v>3386</v>
      </c>
      <c r="C608" s="226" t="s">
        <v>3387</v>
      </c>
      <c r="D608" s="226">
        <v>603.0</v>
      </c>
      <c r="E608" s="228">
        <v>270.0</v>
      </c>
      <c r="F608" s="226" t="s">
        <v>4071</v>
      </c>
    </row>
    <row r="609">
      <c r="A609" s="230">
        <v>46219.0375</v>
      </c>
      <c r="B609" s="226" t="s">
        <v>3386</v>
      </c>
      <c r="C609" s="226" t="s">
        <v>3387</v>
      </c>
      <c r="D609" s="226">
        <v>679.0</v>
      </c>
      <c r="E609" s="228">
        <v>346.0</v>
      </c>
      <c r="F609" s="226" t="s">
        <v>4071</v>
      </c>
    </row>
    <row r="610">
      <c r="A610" s="230">
        <v>46219.0375</v>
      </c>
      <c r="B610" s="226" t="s">
        <v>3386</v>
      </c>
      <c r="C610" s="226" t="s">
        <v>3387</v>
      </c>
      <c r="D610" s="226">
        <v>838.0</v>
      </c>
      <c r="E610" s="228">
        <v>500.0</v>
      </c>
      <c r="F610" s="226" t="s">
        <v>4071</v>
      </c>
    </row>
    <row r="611">
      <c r="A611" s="230">
        <v>46220.40347222222</v>
      </c>
      <c r="B611" s="226" t="s">
        <v>3401</v>
      </c>
      <c r="C611" s="226" t="s">
        <v>3508</v>
      </c>
      <c r="D611" s="226">
        <v>1034.0</v>
      </c>
      <c r="E611" s="228">
        <v>686.0</v>
      </c>
      <c r="F611" s="226" t="s">
        <v>3509</v>
      </c>
    </row>
    <row r="612">
      <c r="A612" s="230">
        <v>46223.37222222222</v>
      </c>
      <c r="B612" s="226" t="s">
        <v>4075</v>
      </c>
      <c r="C612" s="226" t="s">
        <v>3367</v>
      </c>
      <c r="D612" s="226">
        <v>988.0</v>
      </c>
      <c r="E612" s="228">
        <v>641.0</v>
      </c>
      <c r="F612" s="226" t="s">
        <v>4076</v>
      </c>
    </row>
    <row r="613">
      <c r="A613" s="230">
        <v>46223.464583333334</v>
      </c>
      <c r="B613" s="226" t="s">
        <v>3366</v>
      </c>
      <c r="C613" s="226" t="s">
        <v>3367</v>
      </c>
      <c r="D613" s="226">
        <v>1027.0</v>
      </c>
      <c r="E613" s="228">
        <v>679.0</v>
      </c>
      <c r="F613" s="226" t="s">
        <v>4077</v>
      </c>
    </row>
    <row r="614">
      <c r="A614" s="230">
        <v>46223.63055555556</v>
      </c>
      <c r="B614" s="226" t="s">
        <v>3502</v>
      </c>
      <c r="C614" s="226" t="s">
        <v>3367</v>
      </c>
      <c r="D614" s="226">
        <v>894.0</v>
      </c>
      <c r="E614" s="228">
        <v>548.0</v>
      </c>
      <c r="F614" s="226" t="s">
        <v>4078</v>
      </c>
    </row>
    <row r="615">
      <c r="A615" s="230">
        <v>46223.725694444445</v>
      </c>
      <c r="B615" s="226" t="s">
        <v>3489</v>
      </c>
      <c r="C615" s="226" t="s">
        <v>3508</v>
      </c>
      <c r="D615" s="226">
        <v>1035.0</v>
      </c>
      <c r="E615" s="228">
        <v>687.0</v>
      </c>
      <c r="F615" s="226" t="s">
        <v>3509</v>
      </c>
    </row>
    <row r="616">
      <c r="A616" s="230">
        <v>46226.447916666664</v>
      </c>
      <c r="B616" s="226" t="s">
        <v>3401</v>
      </c>
      <c r="C616" s="226" t="s">
        <v>3367</v>
      </c>
      <c r="D616" s="226">
        <v>890.0</v>
      </c>
      <c r="E616" s="228">
        <v>544.0</v>
      </c>
      <c r="F616" s="226" t="s">
        <v>4079</v>
      </c>
    </row>
    <row r="617">
      <c r="A617" s="230">
        <v>46226.57361111111</v>
      </c>
      <c r="B617" s="226" t="s">
        <v>3401</v>
      </c>
      <c r="C617" s="226" t="s">
        <v>3367</v>
      </c>
      <c r="D617" s="226">
        <v>890.0</v>
      </c>
      <c r="E617" s="228">
        <v>544.0</v>
      </c>
      <c r="F617" s="226" t="s">
        <v>4080</v>
      </c>
    </row>
    <row r="618">
      <c r="A618" s="230">
        <v>46226.71597222222</v>
      </c>
      <c r="B618" s="226" t="s">
        <v>3644</v>
      </c>
      <c r="C618" s="226" t="s">
        <v>3508</v>
      </c>
      <c r="D618" s="226">
        <v>1036.0</v>
      </c>
      <c r="E618" s="228">
        <v>688.0</v>
      </c>
      <c r="F618" s="226" t="s">
        <v>3509</v>
      </c>
    </row>
    <row r="619">
      <c r="A619" s="230">
        <v>46229.0375</v>
      </c>
      <c r="B619" s="226" t="s">
        <v>3386</v>
      </c>
      <c r="C619" s="226" t="s">
        <v>3387</v>
      </c>
      <c r="D619" s="226">
        <v>628.0</v>
      </c>
      <c r="E619" s="228">
        <v>294.0</v>
      </c>
      <c r="F619" s="226" t="s">
        <v>4081</v>
      </c>
    </row>
    <row r="620">
      <c r="A620" s="230">
        <v>46229.0375</v>
      </c>
      <c r="B620" s="226" t="s">
        <v>3386</v>
      </c>
      <c r="C620" s="226" t="s">
        <v>3387</v>
      </c>
      <c r="D620" s="228">
        <v>1017.0</v>
      </c>
      <c r="E620" s="228">
        <v>669.0</v>
      </c>
      <c r="F620" s="226" t="s">
        <v>4081</v>
      </c>
    </row>
    <row r="621">
      <c r="A621" s="230">
        <v>46230.47777777778</v>
      </c>
      <c r="B621" s="226" t="s">
        <v>3401</v>
      </c>
      <c r="C621" s="226" t="s">
        <v>3367</v>
      </c>
      <c r="D621" s="226">
        <v>854.0</v>
      </c>
      <c r="E621" s="228">
        <v>517.0</v>
      </c>
      <c r="F621" s="226" t="s">
        <v>4082</v>
      </c>
    </row>
    <row r="622">
      <c r="A622" s="230">
        <v>46230.691666666666</v>
      </c>
      <c r="B622" s="226" t="s">
        <v>3890</v>
      </c>
      <c r="C622" s="226" t="s">
        <v>3367</v>
      </c>
      <c r="D622" s="226">
        <v>977.0</v>
      </c>
      <c r="E622" s="228">
        <v>627.0</v>
      </c>
      <c r="F622" s="226" t="s">
        <v>4083</v>
      </c>
    </row>
    <row r="623">
      <c r="A623" s="230">
        <v>46232.42361111111</v>
      </c>
      <c r="B623" s="226" t="s">
        <v>3366</v>
      </c>
      <c r="C623" s="226" t="s">
        <v>3508</v>
      </c>
      <c r="D623" s="226">
        <v>1037.0</v>
      </c>
      <c r="E623" s="228">
        <v>689.0</v>
      </c>
      <c r="F623" s="226" t="s">
        <v>3509</v>
      </c>
    </row>
    <row r="624">
      <c r="A624" s="230">
        <v>46232.461805555555</v>
      </c>
      <c r="B624" s="226" t="s">
        <v>3366</v>
      </c>
      <c r="C624" s="226" t="s">
        <v>3367</v>
      </c>
      <c r="D624" s="226">
        <v>888.0</v>
      </c>
      <c r="E624" s="228">
        <v>542.0</v>
      </c>
      <c r="F624" s="226" t="s">
        <v>4088</v>
      </c>
    </row>
    <row r="625">
      <c r="A625" s="230">
        <v>46234.38402777778</v>
      </c>
      <c r="B625" s="226" t="s">
        <v>3366</v>
      </c>
      <c r="C625" s="226" t="s">
        <v>3367</v>
      </c>
      <c r="D625" s="226">
        <v>886.0</v>
      </c>
      <c r="E625" s="228">
        <v>541.0</v>
      </c>
      <c r="F625" s="226" t="s">
        <v>4089</v>
      </c>
    </row>
    <row r="626">
      <c r="A626" s="230">
        <v>46234.6625</v>
      </c>
      <c r="B626" s="226" t="s">
        <v>3401</v>
      </c>
      <c r="C626" s="226" t="s">
        <v>3367</v>
      </c>
      <c r="D626" s="226">
        <v>414.0</v>
      </c>
      <c r="E626" s="228">
        <v>348.0</v>
      </c>
      <c r="F626" s="226" t="s">
        <v>4090</v>
      </c>
    </row>
    <row r="627">
      <c r="A627" s="230">
        <v>46234.70763888889</v>
      </c>
      <c r="B627" s="226" t="s">
        <v>3489</v>
      </c>
      <c r="C627" s="226" t="s">
        <v>3367</v>
      </c>
      <c r="D627" s="226">
        <v>1014.0</v>
      </c>
      <c r="E627" s="228">
        <v>666.0</v>
      </c>
      <c r="F627" s="226" t="s">
        <v>4091</v>
      </c>
    </row>
    <row r="628">
      <c r="A628" s="230">
        <v>46234.709027777775</v>
      </c>
      <c r="B628" s="226" t="s">
        <v>3489</v>
      </c>
      <c r="C628" s="226" t="s">
        <v>3367</v>
      </c>
      <c r="D628" s="226">
        <v>1014.0</v>
      </c>
      <c r="E628" s="228">
        <v>666.0</v>
      </c>
      <c r="F628" s="226" t="s">
        <v>4092</v>
      </c>
    </row>
    <row r="629">
      <c r="A629" s="230">
        <v>46235.0375</v>
      </c>
      <c r="B629" s="226" t="s">
        <v>3386</v>
      </c>
      <c r="C629" s="226" t="s">
        <v>3387</v>
      </c>
      <c r="D629" s="226">
        <v>686.0</v>
      </c>
      <c r="E629" s="228">
        <v>352.0</v>
      </c>
      <c r="F629" s="226" t="s">
        <v>4094</v>
      </c>
    </row>
    <row r="630">
      <c r="A630" s="230">
        <v>46235.0375</v>
      </c>
      <c r="B630" s="226" t="s">
        <v>3386</v>
      </c>
      <c r="C630" s="226" t="s">
        <v>3387</v>
      </c>
      <c r="D630" s="228">
        <v>1027.0</v>
      </c>
      <c r="E630" s="228">
        <v>679.0</v>
      </c>
      <c r="F630" s="226" t="s">
        <v>4094</v>
      </c>
    </row>
    <row r="631">
      <c r="A631" s="230">
        <v>46235.0375</v>
      </c>
      <c r="B631" s="226" t="s">
        <v>3386</v>
      </c>
      <c r="C631" s="226" t="s">
        <v>3387</v>
      </c>
      <c r="D631" s="228">
        <v>1034.0</v>
      </c>
      <c r="E631" s="228">
        <v>687.0</v>
      </c>
      <c r="F631" s="226" t="s">
        <v>4094</v>
      </c>
    </row>
    <row r="632">
      <c r="A632" s="230">
        <v>46237.0375</v>
      </c>
      <c r="B632" s="226" t="s">
        <v>3386</v>
      </c>
      <c r="C632" s="226" t="s">
        <v>3387</v>
      </c>
      <c r="D632" s="228">
        <v>1028.0</v>
      </c>
      <c r="E632" s="228">
        <v>680.0</v>
      </c>
      <c r="F632" s="226" t="s">
        <v>4099</v>
      </c>
    </row>
    <row r="633">
      <c r="A633" s="230">
        <v>46237.47152777778</v>
      </c>
      <c r="B633" s="226" t="s">
        <v>3366</v>
      </c>
      <c r="C633" s="226" t="s">
        <v>3367</v>
      </c>
      <c r="D633" s="226">
        <v>853.0</v>
      </c>
      <c r="E633" s="228">
        <v>515.0</v>
      </c>
      <c r="F633" s="226" t="s">
        <v>4101</v>
      </c>
    </row>
    <row r="634">
      <c r="A634" s="230">
        <v>46238.39027777778</v>
      </c>
      <c r="B634" s="226" t="s">
        <v>3401</v>
      </c>
      <c r="C634" s="226" t="s">
        <v>3367</v>
      </c>
      <c r="D634" s="226">
        <v>879.0</v>
      </c>
      <c r="E634" s="228">
        <v>535.0</v>
      </c>
      <c r="F634" s="226" t="s">
        <v>4102</v>
      </c>
    </row>
    <row r="635">
      <c r="A635" s="230">
        <v>46238.49652777778</v>
      </c>
      <c r="B635" s="226" t="s">
        <v>3502</v>
      </c>
      <c r="C635" s="226" t="s">
        <v>3508</v>
      </c>
      <c r="D635" s="226">
        <v>1039.0</v>
      </c>
      <c r="E635" s="228">
        <v>690.0</v>
      </c>
      <c r="F635" s="226" t="s">
        <v>3509</v>
      </c>
    </row>
    <row r="636">
      <c r="A636" s="230">
        <v>46238.67361111111</v>
      </c>
      <c r="B636" s="226" t="s">
        <v>3489</v>
      </c>
      <c r="C636" s="226" t="s">
        <v>3508</v>
      </c>
      <c r="D636" s="226">
        <v>1040.0</v>
      </c>
      <c r="E636" s="228">
        <v>691.0</v>
      </c>
      <c r="F636" s="226" t="s">
        <v>3509</v>
      </c>
    </row>
    <row r="637">
      <c r="A637" s="230">
        <v>46239.38958333333</v>
      </c>
      <c r="B637" s="226" t="s">
        <v>3818</v>
      </c>
      <c r="C637" s="226" t="s">
        <v>3508</v>
      </c>
      <c r="D637" s="226">
        <v>1038.0</v>
      </c>
      <c r="E637" s="228">
        <v>692.0</v>
      </c>
      <c r="F637" s="226" t="s">
        <v>3509</v>
      </c>
    </row>
    <row r="638">
      <c r="A638" s="230">
        <v>46240.0375</v>
      </c>
      <c r="B638" s="226" t="s">
        <v>3386</v>
      </c>
      <c r="C638" s="226" t="s">
        <v>3387</v>
      </c>
      <c r="D638" s="226">
        <v>849.0</v>
      </c>
      <c r="E638" s="228">
        <v>513.0</v>
      </c>
      <c r="F638" s="226" t="s">
        <v>4105</v>
      </c>
    </row>
    <row r="639">
      <c r="A639" s="230">
        <v>46240.42847222222</v>
      </c>
      <c r="B639" s="226" t="s">
        <v>3366</v>
      </c>
      <c r="C639" s="226" t="s">
        <v>3508</v>
      </c>
      <c r="D639" s="226">
        <v>1041.0</v>
      </c>
      <c r="E639" s="228">
        <v>693.0</v>
      </c>
      <c r="F639" s="226" t="s">
        <v>3509</v>
      </c>
    </row>
    <row r="640">
      <c r="A640" s="230">
        <v>46240.57013888889</v>
      </c>
      <c r="B640" s="226" t="s">
        <v>3366</v>
      </c>
      <c r="C640" s="226" t="s">
        <v>3367</v>
      </c>
      <c r="D640" s="226">
        <v>868.0</v>
      </c>
      <c r="E640" s="228">
        <v>525.0</v>
      </c>
      <c r="F640" s="226" t="s">
        <v>4106</v>
      </c>
    </row>
    <row r="641">
      <c r="A641" s="230">
        <v>46240.604166666664</v>
      </c>
      <c r="B641" s="226" t="s">
        <v>3401</v>
      </c>
      <c r="C641" s="226" t="s">
        <v>3508</v>
      </c>
      <c r="D641" s="226">
        <v>1042.0</v>
      </c>
      <c r="E641" s="228">
        <v>694.0</v>
      </c>
      <c r="F641" s="226" t="s">
        <v>3509</v>
      </c>
    </row>
    <row r="642">
      <c r="A642" s="230">
        <v>46240.631944444445</v>
      </c>
      <c r="B642" s="226" t="s">
        <v>3818</v>
      </c>
      <c r="C642" s="226" t="s">
        <v>3367</v>
      </c>
      <c r="D642" s="226">
        <v>597.0</v>
      </c>
      <c r="E642" s="228">
        <v>266.0</v>
      </c>
      <c r="F642" s="226" t="s">
        <v>4108</v>
      </c>
    </row>
    <row r="643">
      <c r="A643" s="230">
        <v>46240.64097222222</v>
      </c>
      <c r="B643" s="226" t="s">
        <v>3401</v>
      </c>
      <c r="C643" s="226" t="s">
        <v>3367</v>
      </c>
      <c r="D643" s="226">
        <v>1043.0</v>
      </c>
      <c r="E643" s="228">
        <v>694.0</v>
      </c>
      <c r="F643" s="226" t="s">
        <v>4109</v>
      </c>
    </row>
    <row r="644">
      <c r="A644" s="230">
        <v>46240.74097222222</v>
      </c>
      <c r="B644" s="226" t="s">
        <v>3407</v>
      </c>
      <c r="C644" s="226" t="s">
        <v>3508</v>
      </c>
      <c r="D644" s="226">
        <v>1044.0</v>
      </c>
      <c r="E644" s="228">
        <v>695.0</v>
      </c>
      <c r="F644" s="226" t="s">
        <v>3509</v>
      </c>
    </row>
    <row r="645">
      <c r="A645" s="230">
        <v>46244.43263888889</v>
      </c>
      <c r="B645" s="226" t="s">
        <v>3401</v>
      </c>
      <c r="C645" s="226" t="s">
        <v>3367</v>
      </c>
      <c r="D645" s="226">
        <v>679.0</v>
      </c>
      <c r="E645" s="228">
        <v>346.0</v>
      </c>
      <c r="F645" s="226" t="s">
        <v>4110</v>
      </c>
    </row>
    <row r="646">
      <c r="A646" s="230">
        <v>46245.396527777775</v>
      </c>
      <c r="B646" s="226" t="s">
        <v>3401</v>
      </c>
      <c r="C646" s="226" t="s">
        <v>3367</v>
      </c>
      <c r="D646" s="226">
        <v>331.0</v>
      </c>
      <c r="E646" s="228">
        <v>25.0</v>
      </c>
      <c r="F646" s="226" t="s">
        <v>4111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s>
  <sheetData>
    <row r="1">
      <c r="A1" s="226" t="s">
        <v>26</v>
      </c>
      <c r="B1" s="226" t="s">
        <v>1542</v>
      </c>
    </row>
    <row r="2">
      <c r="A2" s="247" t="s">
        <v>232</v>
      </c>
      <c r="B2" s="248" t="s">
        <v>4134</v>
      </c>
    </row>
    <row r="3">
      <c r="A3" s="247" t="s">
        <v>178</v>
      </c>
      <c r="B3" s="248" t="s">
        <v>4141</v>
      </c>
    </row>
    <row r="4">
      <c r="A4" s="247" t="s">
        <v>1421</v>
      </c>
      <c r="B4" s="248" t="s">
        <v>4142</v>
      </c>
    </row>
    <row r="5">
      <c r="A5" s="247" t="s">
        <v>103</v>
      </c>
      <c r="B5" s="248" t="s">
        <v>4144</v>
      </c>
    </row>
    <row r="6">
      <c r="A6" s="226" t="s">
        <v>84</v>
      </c>
      <c r="B6" s="248" t="s">
        <v>3212</v>
      </c>
    </row>
  </sheetData>
  <hyperlinks>
    <hyperlink r:id="rId1" location="gid=350331654" ref="B2"/>
    <hyperlink r:id="rId2" location="gid=350331654" ref="B3"/>
    <hyperlink r:id="rId3" location="gid=350331654" ref="B4"/>
    <hyperlink r:id="rId4" location="gid=350331654" ref="B5"/>
    <hyperlink r:id="rId5" location="section/Lich-su-thay-djoi" ref="B6"/>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25"/>
  </cols>
  <sheetData>
    <row r="1">
      <c r="A1" s="226" t="s">
        <v>4159</v>
      </c>
      <c r="B1" s="226" t="s">
        <v>4160</v>
      </c>
      <c r="C1" s="226" t="s">
        <v>4161</v>
      </c>
      <c r="D1" s="226" t="s">
        <v>4162</v>
      </c>
      <c r="E1" s="226" t="s">
        <v>4163</v>
      </c>
      <c r="F1" s="226" t="s">
        <v>4164</v>
      </c>
      <c r="G1" s="226" t="s">
        <v>4165</v>
      </c>
      <c r="H1" s="226" t="s">
        <v>4166</v>
      </c>
      <c r="I1" s="226" t="s">
        <v>4167</v>
      </c>
      <c r="J1" s="226" t="s">
        <v>4168</v>
      </c>
      <c r="K1" s="226" t="s">
        <v>4169</v>
      </c>
      <c r="L1" s="226" t="s">
        <v>4170</v>
      </c>
      <c r="M1" s="226" t="s">
        <v>4171</v>
      </c>
      <c r="N1" s="226" t="s">
        <v>4172</v>
      </c>
      <c r="O1" s="226" t="s">
        <v>4174</v>
      </c>
      <c r="P1" s="226" t="s">
        <v>4175</v>
      </c>
    </row>
    <row r="2">
      <c r="A2" s="228">
        <v>1.0</v>
      </c>
      <c r="B2" s="226">
        <v>29.0</v>
      </c>
      <c r="C2" s="226" t="s">
        <v>100</v>
      </c>
      <c r="D2" s="226" t="s">
        <v>4176</v>
      </c>
      <c r="E2" s="228">
        <v>1.0</v>
      </c>
      <c r="F2" s="249"/>
      <c r="G2" s="250">
        <v>44103.0</v>
      </c>
      <c r="H2" s="250">
        <v>46143.0</v>
      </c>
      <c r="I2" s="228">
        <v>2040.0</v>
      </c>
      <c r="K2" s="226" t="s">
        <v>4181</v>
      </c>
      <c r="L2" s="226" t="s">
        <v>122</v>
      </c>
      <c r="M2" s="226" t="s">
        <v>123</v>
      </c>
      <c r="N2" s="226" t="s">
        <v>4182</v>
      </c>
      <c r="O2" s="226" t="s">
        <v>4183</v>
      </c>
      <c r="P2" s="250">
        <v>46106.59635040509</v>
      </c>
    </row>
    <row r="3">
      <c r="A3" s="228">
        <v>2.0</v>
      </c>
      <c r="B3" s="226">
        <v>75.0</v>
      </c>
      <c r="C3" s="226" t="s">
        <v>142</v>
      </c>
      <c r="D3" s="226" t="s">
        <v>4176</v>
      </c>
      <c r="E3" s="228">
        <v>1.0</v>
      </c>
      <c r="F3" s="249"/>
      <c r="G3" s="250">
        <v>44347.0</v>
      </c>
      <c r="H3" s="250">
        <v>46539.0</v>
      </c>
      <c r="I3" s="228">
        <v>2192.0</v>
      </c>
      <c r="K3" s="226" t="s">
        <v>4181</v>
      </c>
      <c r="L3" s="226" t="s">
        <v>122</v>
      </c>
      <c r="M3" s="226" t="s">
        <v>14</v>
      </c>
      <c r="N3" s="226" t="s">
        <v>4184</v>
      </c>
      <c r="O3" s="226" t="s">
        <v>4183</v>
      </c>
      <c r="P3" s="250">
        <v>46106.59635040509</v>
      </c>
    </row>
    <row r="4">
      <c r="A4" s="228">
        <v>3.0</v>
      </c>
      <c r="B4" s="226">
        <v>119.0</v>
      </c>
      <c r="C4" s="226" t="s">
        <v>172</v>
      </c>
      <c r="D4" s="226" t="s">
        <v>4176</v>
      </c>
      <c r="E4" s="228">
        <v>1.0</v>
      </c>
      <c r="F4" s="249"/>
      <c r="G4" s="250">
        <v>44397.0</v>
      </c>
      <c r="H4" s="250">
        <v>45922.0</v>
      </c>
      <c r="I4" s="228">
        <v>1525.0</v>
      </c>
      <c r="K4" s="226" t="s">
        <v>4181</v>
      </c>
      <c r="L4" s="226" t="s">
        <v>210</v>
      </c>
      <c r="M4" s="226" t="s">
        <v>211</v>
      </c>
      <c r="N4" s="226" t="s">
        <v>4185</v>
      </c>
      <c r="O4" s="226" t="s">
        <v>4183</v>
      </c>
      <c r="P4" s="250">
        <v>46106.59635040509</v>
      </c>
    </row>
    <row r="5">
      <c r="A5" s="228">
        <v>4.0</v>
      </c>
      <c r="B5" s="226">
        <v>878.0</v>
      </c>
      <c r="C5" s="226" t="s">
        <v>228</v>
      </c>
      <c r="D5" s="226" t="s">
        <v>4188</v>
      </c>
      <c r="E5" s="228">
        <v>1.0</v>
      </c>
      <c r="F5" s="249"/>
      <c r="G5" s="250">
        <v>44449.0</v>
      </c>
      <c r="H5" s="250">
        <v>44530.0</v>
      </c>
      <c r="I5" s="228">
        <v>81.0</v>
      </c>
      <c r="K5" s="226" t="s">
        <v>4181</v>
      </c>
      <c r="L5" s="226" t="s">
        <v>247</v>
      </c>
      <c r="M5" s="226" t="s">
        <v>123</v>
      </c>
      <c r="N5" s="226" t="s">
        <v>4185</v>
      </c>
      <c r="O5" s="226" t="s">
        <v>4183</v>
      </c>
      <c r="P5" s="250">
        <v>46106.59635040509</v>
      </c>
    </row>
    <row r="6">
      <c r="A6" s="228">
        <v>5.0</v>
      </c>
      <c r="B6" s="226">
        <v>188.0</v>
      </c>
      <c r="C6" s="226" t="s">
        <v>256</v>
      </c>
      <c r="D6" s="226" t="s">
        <v>4176</v>
      </c>
      <c r="E6" s="228">
        <v>1.0</v>
      </c>
      <c r="F6" s="249"/>
      <c r="G6" s="250">
        <v>44491.0</v>
      </c>
      <c r="H6" s="250">
        <v>46203.0</v>
      </c>
      <c r="I6" s="228">
        <v>1712.0</v>
      </c>
      <c r="K6" s="226" t="s">
        <v>4181</v>
      </c>
      <c r="L6" s="226" t="s">
        <v>210</v>
      </c>
      <c r="M6" s="226" t="s">
        <v>211</v>
      </c>
      <c r="N6" s="226" t="s">
        <v>4185</v>
      </c>
      <c r="O6" s="226" t="s">
        <v>4183</v>
      </c>
      <c r="P6" s="250">
        <v>46106.59635040509</v>
      </c>
    </row>
    <row r="7">
      <c r="A7" s="228">
        <v>6.0</v>
      </c>
      <c r="B7" s="226">
        <v>209.0</v>
      </c>
      <c r="C7" s="226" t="s">
        <v>285</v>
      </c>
      <c r="D7" s="226" t="s">
        <v>4176</v>
      </c>
      <c r="E7" s="228">
        <v>1.0</v>
      </c>
      <c r="F7" s="249"/>
      <c r="G7" s="250">
        <v>44523.0</v>
      </c>
      <c r="H7" s="250">
        <v>45267.0</v>
      </c>
      <c r="I7" s="228">
        <v>744.0</v>
      </c>
      <c r="K7" s="226" t="s">
        <v>4181</v>
      </c>
      <c r="L7" s="226" t="s">
        <v>311</v>
      </c>
      <c r="M7" s="226" t="s">
        <v>289</v>
      </c>
      <c r="N7" s="226" t="s">
        <v>4185</v>
      </c>
      <c r="O7" s="226" t="s">
        <v>4183</v>
      </c>
      <c r="P7" s="250">
        <v>46106.59635040509</v>
      </c>
    </row>
    <row r="8">
      <c r="A8" s="228">
        <v>7.0</v>
      </c>
      <c r="B8" s="226">
        <v>220.0</v>
      </c>
      <c r="C8" s="226" t="s">
        <v>319</v>
      </c>
      <c r="D8" s="226" t="s">
        <v>4176</v>
      </c>
      <c r="E8" s="228">
        <v>1.0</v>
      </c>
      <c r="F8" s="249"/>
      <c r="G8" s="250">
        <v>44544.0</v>
      </c>
      <c r="H8" s="250">
        <v>45884.0</v>
      </c>
      <c r="I8" s="228">
        <v>1340.0</v>
      </c>
      <c r="K8" s="226" t="s">
        <v>4181</v>
      </c>
      <c r="L8" s="226" t="s">
        <v>122</v>
      </c>
      <c r="M8" s="226" t="s">
        <v>261</v>
      </c>
      <c r="N8" s="226" t="s">
        <v>4182</v>
      </c>
      <c r="O8" s="226" t="s">
        <v>4183</v>
      </c>
      <c r="P8" s="250">
        <v>46106.59635040509</v>
      </c>
    </row>
    <row r="9">
      <c r="A9" s="228">
        <v>8.0</v>
      </c>
      <c r="B9" s="226">
        <v>226.0</v>
      </c>
      <c r="C9" s="226" t="s">
        <v>344</v>
      </c>
      <c r="D9" s="226" t="s">
        <v>4176</v>
      </c>
      <c r="E9" s="228">
        <v>1.0</v>
      </c>
      <c r="F9" s="249"/>
      <c r="G9" s="250">
        <v>44547.0</v>
      </c>
      <c r="H9" s="250">
        <v>45505.0</v>
      </c>
      <c r="I9" s="228">
        <v>958.0</v>
      </c>
      <c r="K9" s="226" t="s">
        <v>4181</v>
      </c>
      <c r="L9" s="226" t="s">
        <v>247</v>
      </c>
      <c r="M9" s="226" t="s">
        <v>261</v>
      </c>
      <c r="N9" s="226" t="s">
        <v>4190</v>
      </c>
      <c r="O9" s="226" t="s">
        <v>4183</v>
      </c>
      <c r="P9" s="250">
        <v>46106.59635040509</v>
      </c>
    </row>
    <row r="10">
      <c r="A10" s="228">
        <v>9.0</v>
      </c>
      <c r="B10" s="226">
        <v>225.0</v>
      </c>
      <c r="C10" s="226" t="s">
        <v>366</v>
      </c>
      <c r="D10" s="226" t="s">
        <v>4176</v>
      </c>
      <c r="E10" s="228">
        <v>1.0</v>
      </c>
      <c r="F10" s="249"/>
      <c r="G10" s="250">
        <v>44547.0</v>
      </c>
      <c r="H10" s="250">
        <v>46356.0</v>
      </c>
      <c r="I10" s="228">
        <v>1809.0</v>
      </c>
      <c r="K10" s="226" t="s">
        <v>4181</v>
      </c>
      <c r="L10" s="226" t="s">
        <v>210</v>
      </c>
      <c r="M10" s="226" t="s">
        <v>382</v>
      </c>
      <c r="N10" s="226" t="s">
        <v>4182</v>
      </c>
      <c r="O10" s="226" t="s">
        <v>4183</v>
      </c>
      <c r="P10" s="250">
        <v>46106.59635040509</v>
      </c>
    </row>
    <row r="11">
      <c r="A11" s="228">
        <v>10.0</v>
      </c>
      <c r="B11" s="226">
        <v>239.0</v>
      </c>
      <c r="C11" s="226" t="s">
        <v>390</v>
      </c>
      <c r="D11" s="226" t="s">
        <v>4176</v>
      </c>
      <c r="E11" s="228">
        <v>1.0</v>
      </c>
      <c r="F11" s="249"/>
      <c r="G11" s="250">
        <v>44643.0</v>
      </c>
      <c r="H11" s="250">
        <v>45657.0</v>
      </c>
      <c r="I11" s="228">
        <v>1014.0</v>
      </c>
      <c r="K11" s="226" t="s">
        <v>4181</v>
      </c>
      <c r="L11" s="226" t="s">
        <v>162</v>
      </c>
      <c r="M11" s="226" t="s">
        <v>261</v>
      </c>
      <c r="N11" s="226" t="s">
        <v>4190</v>
      </c>
      <c r="O11" s="226" t="s">
        <v>4183</v>
      </c>
      <c r="P11" s="250">
        <v>46106.59635040509</v>
      </c>
    </row>
    <row r="12">
      <c r="A12" s="228">
        <v>11.0</v>
      </c>
      <c r="B12" s="226">
        <v>247.0</v>
      </c>
      <c r="C12" s="226" t="s">
        <v>413</v>
      </c>
      <c r="D12" s="226" t="s">
        <v>4176</v>
      </c>
      <c r="E12" s="228">
        <v>1.0</v>
      </c>
      <c r="F12" s="249"/>
      <c r="G12" s="250">
        <v>44677.0</v>
      </c>
      <c r="H12" s="250">
        <v>46280.0</v>
      </c>
      <c r="I12" s="228">
        <v>1603.0</v>
      </c>
      <c r="K12" s="226" t="s">
        <v>4181</v>
      </c>
      <c r="L12" s="226" t="s">
        <v>261</v>
      </c>
      <c r="M12" s="226" t="s">
        <v>14</v>
      </c>
      <c r="N12" s="226" t="s">
        <v>4182</v>
      </c>
      <c r="O12" s="226" t="s">
        <v>4183</v>
      </c>
      <c r="P12" s="250">
        <v>46106.59635040509</v>
      </c>
    </row>
    <row r="13">
      <c r="A13" s="228">
        <v>12.0</v>
      </c>
      <c r="B13" s="226">
        <v>264.0</v>
      </c>
      <c r="C13" s="226" t="s">
        <v>450</v>
      </c>
      <c r="D13" s="226" t="s">
        <v>4176</v>
      </c>
      <c r="E13" s="228">
        <v>1.0</v>
      </c>
      <c r="F13" s="249"/>
      <c r="G13" s="250">
        <v>44708.0</v>
      </c>
      <c r="H13" s="250">
        <v>44743.0</v>
      </c>
      <c r="I13" s="228">
        <v>35.0</v>
      </c>
      <c r="K13" s="226" t="s">
        <v>4181</v>
      </c>
      <c r="L13" s="226" t="s">
        <v>311</v>
      </c>
      <c r="M13" s="226" t="s">
        <v>175</v>
      </c>
      <c r="N13" s="226" t="s">
        <v>4185</v>
      </c>
      <c r="O13" s="226" t="s">
        <v>4183</v>
      </c>
      <c r="P13" s="250">
        <v>46106.59635040509</v>
      </c>
    </row>
    <row r="14">
      <c r="A14" s="228">
        <v>13.0</v>
      </c>
      <c r="B14" s="226">
        <v>248.0</v>
      </c>
      <c r="C14" s="226" t="s">
        <v>469</v>
      </c>
      <c r="D14" s="226" t="s">
        <v>4176</v>
      </c>
      <c r="E14" s="228">
        <v>1.0</v>
      </c>
      <c r="F14" s="249"/>
      <c r="G14" s="250">
        <v>44736.0</v>
      </c>
      <c r="H14" s="250">
        <v>46387.0</v>
      </c>
      <c r="I14" s="228">
        <v>1651.0</v>
      </c>
      <c r="K14" s="226" t="s">
        <v>4181</v>
      </c>
      <c r="L14" s="226" t="s">
        <v>210</v>
      </c>
      <c r="M14" s="226" t="s">
        <v>123</v>
      </c>
      <c r="N14" s="226" t="s">
        <v>4182</v>
      </c>
      <c r="O14" s="226" t="s">
        <v>4183</v>
      </c>
      <c r="P14" s="250">
        <v>46106.59635040509</v>
      </c>
    </row>
    <row r="15">
      <c r="A15" s="228">
        <v>14.0</v>
      </c>
      <c r="B15" s="226">
        <v>300.0</v>
      </c>
      <c r="C15" s="226" t="s">
        <v>494</v>
      </c>
      <c r="D15" s="226" t="s">
        <v>4176</v>
      </c>
      <c r="E15" s="228">
        <v>1.0</v>
      </c>
      <c r="F15" s="249"/>
      <c r="G15" s="250">
        <v>44770.0</v>
      </c>
      <c r="H15" s="250">
        <v>46387.0</v>
      </c>
      <c r="I15" s="228">
        <v>1617.0</v>
      </c>
      <c r="K15" s="226" t="s">
        <v>4181</v>
      </c>
      <c r="L15" s="226" t="s">
        <v>122</v>
      </c>
      <c r="M15" s="226" t="s">
        <v>123</v>
      </c>
      <c r="N15" s="226" t="s">
        <v>4192</v>
      </c>
      <c r="O15" s="226" t="s">
        <v>4183</v>
      </c>
      <c r="P15" s="250">
        <v>46106.59635040509</v>
      </c>
    </row>
    <row r="16">
      <c r="A16" s="228">
        <v>15.0</v>
      </c>
      <c r="B16" s="226">
        <v>301.0</v>
      </c>
      <c r="C16" s="226" t="s">
        <v>513</v>
      </c>
      <c r="D16" s="226" t="s">
        <v>4176</v>
      </c>
      <c r="E16" s="228">
        <v>1.0</v>
      </c>
      <c r="F16" s="249"/>
      <c r="G16" s="250">
        <v>44783.0</v>
      </c>
      <c r="H16" s="250">
        <v>45148.0</v>
      </c>
      <c r="I16" s="228">
        <v>365.0</v>
      </c>
      <c r="K16" s="226" t="s">
        <v>4181</v>
      </c>
      <c r="L16" s="226" t="s">
        <v>311</v>
      </c>
      <c r="M16" s="226" t="s">
        <v>289</v>
      </c>
      <c r="N16" s="226" t="s">
        <v>4185</v>
      </c>
      <c r="O16" s="226" t="s">
        <v>4183</v>
      </c>
      <c r="P16" s="250">
        <v>46106.59635040509</v>
      </c>
    </row>
    <row r="17">
      <c r="A17" s="228">
        <v>16.0</v>
      </c>
      <c r="B17" s="226">
        <v>306.0</v>
      </c>
      <c r="C17" s="226" t="s">
        <v>550</v>
      </c>
      <c r="D17" s="226" t="s">
        <v>4176</v>
      </c>
      <c r="E17" s="228">
        <v>1.0</v>
      </c>
      <c r="F17" s="249"/>
      <c r="G17" s="250">
        <v>44819.0</v>
      </c>
      <c r="H17" s="250">
        <v>46253.0</v>
      </c>
      <c r="I17" s="228">
        <v>1434.0</v>
      </c>
      <c r="K17" s="226" t="s">
        <v>4181</v>
      </c>
      <c r="L17" s="226" t="s">
        <v>122</v>
      </c>
      <c r="M17" s="226" t="s">
        <v>123</v>
      </c>
      <c r="N17" s="226" t="s">
        <v>4182</v>
      </c>
      <c r="O17" s="226" t="s">
        <v>4183</v>
      </c>
      <c r="P17" s="250">
        <v>46106.59635040509</v>
      </c>
    </row>
    <row r="18">
      <c r="A18" s="228">
        <v>17.0</v>
      </c>
      <c r="B18" s="226">
        <v>312.0</v>
      </c>
      <c r="C18" s="226" t="s">
        <v>428</v>
      </c>
      <c r="D18" s="226" t="s">
        <v>4176</v>
      </c>
      <c r="E18" s="228">
        <v>1.0</v>
      </c>
      <c r="F18" s="249"/>
      <c r="G18" s="250">
        <v>44867.0</v>
      </c>
      <c r="H18" s="250">
        <v>46335.0</v>
      </c>
      <c r="I18" s="228">
        <v>1468.0</v>
      </c>
      <c r="K18" s="226" t="s">
        <v>4181</v>
      </c>
      <c r="L18" s="226" t="s">
        <v>247</v>
      </c>
      <c r="M18" s="226" t="s">
        <v>123</v>
      </c>
      <c r="N18" s="226" t="s">
        <v>4182</v>
      </c>
      <c r="O18" s="226" t="s">
        <v>4183</v>
      </c>
      <c r="P18" s="250">
        <v>46106.59635040509</v>
      </c>
    </row>
    <row r="19">
      <c r="A19" s="228">
        <v>18.0</v>
      </c>
      <c r="B19" s="226">
        <v>314.0</v>
      </c>
      <c r="C19" s="226" t="s">
        <v>597</v>
      </c>
      <c r="D19" s="226" t="s">
        <v>4176</v>
      </c>
      <c r="E19" s="228">
        <v>1.0</v>
      </c>
      <c r="F19" s="249"/>
      <c r="G19" s="250">
        <v>44874.0</v>
      </c>
      <c r="H19" s="250">
        <v>45291.0</v>
      </c>
      <c r="I19" s="228">
        <v>417.0</v>
      </c>
      <c r="K19" s="226" t="s">
        <v>4181</v>
      </c>
      <c r="L19" s="226" t="s">
        <v>311</v>
      </c>
      <c r="M19" s="226" t="s">
        <v>289</v>
      </c>
      <c r="N19" s="226" t="s">
        <v>4185</v>
      </c>
      <c r="O19" s="226" t="s">
        <v>4183</v>
      </c>
      <c r="P19" s="250">
        <v>46106.59635040509</v>
      </c>
    </row>
    <row r="20">
      <c r="A20" s="228">
        <v>19.0</v>
      </c>
      <c r="B20" s="226">
        <v>321.0</v>
      </c>
      <c r="C20" s="226" t="s">
        <v>627</v>
      </c>
      <c r="D20" s="226" t="s">
        <v>4176</v>
      </c>
      <c r="E20" s="228">
        <v>1.0</v>
      </c>
      <c r="F20" s="249"/>
      <c r="G20" s="250">
        <v>44908.0</v>
      </c>
      <c r="H20" s="250">
        <v>45626.0</v>
      </c>
      <c r="I20" s="228">
        <v>718.0</v>
      </c>
      <c r="K20" s="226" t="s">
        <v>4181</v>
      </c>
      <c r="L20" s="226" t="s">
        <v>247</v>
      </c>
      <c r="M20" s="226" t="s">
        <v>261</v>
      </c>
      <c r="N20" s="226" t="s">
        <v>4185</v>
      </c>
      <c r="O20" s="226" t="s">
        <v>4183</v>
      </c>
      <c r="P20" s="250">
        <v>46106.59635040509</v>
      </c>
    </row>
    <row r="21">
      <c r="A21" s="228">
        <v>20.0</v>
      </c>
      <c r="B21" s="226" t="s">
        <v>652</v>
      </c>
      <c r="C21" s="226" t="s">
        <v>658</v>
      </c>
      <c r="D21" s="226" t="s">
        <v>4176</v>
      </c>
      <c r="E21" s="228">
        <v>1.0</v>
      </c>
      <c r="F21" s="249"/>
      <c r="G21" s="250">
        <v>44927.0</v>
      </c>
      <c r="H21" s="250">
        <v>45291.0</v>
      </c>
      <c r="I21" s="228">
        <v>364.0</v>
      </c>
      <c r="K21" s="226" t="s">
        <v>4181</v>
      </c>
      <c r="L21" s="226" t="s">
        <v>162</v>
      </c>
      <c r="M21" s="226" t="s">
        <v>289</v>
      </c>
      <c r="N21" s="226" t="s">
        <v>4185</v>
      </c>
      <c r="O21" s="226" t="s">
        <v>4183</v>
      </c>
      <c r="P21" s="250">
        <v>46106.59635040509</v>
      </c>
    </row>
    <row r="22">
      <c r="A22" s="228">
        <v>21.0</v>
      </c>
      <c r="B22" s="226">
        <v>324.0</v>
      </c>
      <c r="C22" s="226" t="s">
        <v>678</v>
      </c>
      <c r="D22" s="226" t="s">
        <v>4176</v>
      </c>
      <c r="E22" s="228">
        <v>1.0</v>
      </c>
      <c r="F22" s="249"/>
      <c r="G22" s="250">
        <v>44929.0</v>
      </c>
      <c r="H22" s="250">
        <v>46387.0</v>
      </c>
      <c r="I22" s="228">
        <v>1458.0</v>
      </c>
      <c r="K22" s="226" t="s">
        <v>4181</v>
      </c>
      <c r="L22" s="226" t="s">
        <v>210</v>
      </c>
      <c r="M22" s="226" t="s">
        <v>65</v>
      </c>
      <c r="N22" s="226" t="s">
        <v>4182</v>
      </c>
      <c r="O22" s="226" t="s">
        <v>4183</v>
      </c>
      <c r="P22" s="250">
        <v>46106.59635040509</v>
      </c>
    </row>
    <row r="23">
      <c r="A23" s="228">
        <v>22.0</v>
      </c>
      <c r="B23" s="226">
        <v>327.0</v>
      </c>
      <c r="C23" s="226" t="s">
        <v>703</v>
      </c>
      <c r="D23" s="226" t="s">
        <v>4176</v>
      </c>
      <c r="E23" s="228">
        <v>1.0</v>
      </c>
      <c r="F23" s="249"/>
      <c r="G23" s="250">
        <v>44960.0</v>
      </c>
      <c r="H23" s="250">
        <v>46447.0</v>
      </c>
      <c r="I23" s="228">
        <v>1487.0</v>
      </c>
      <c r="K23" s="226" t="s">
        <v>4181</v>
      </c>
      <c r="L23" s="226" t="s">
        <v>122</v>
      </c>
      <c r="M23" s="226" t="s">
        <v>14</v>
      </c>
      <c r="N23" s="226" t="s">
        <v>4182</v>
      </c>
      <c r="O23" s="226" t="s">
        <v>4183</v>
      </c>
      <c r="P23" s="250">
        <v>46106.59635040509</v>
      </c>
    </row>
    <row r="24">
      <c r="A24" s="228">
        <v>23.0</v>
      </c>
      <c r="B24" s="226" t="s">
        <v>718</v>
      </c>
      <c r="C24" s="226" t="s">
        <v>722</v>
      </c>
      <c r="D24" s="226" t="s">
        <v>4176</v>
      </c>
      <c r="E24" s="228">
        <v>1.0</v>
      </c>
      <c r="F24" s="249"/>
      <c r="G24" s="250">
        <v>44974.0</v>
      </c>
      <c r="H24" s="250">
        <v>45919.0</v>
      </c>
      <c r="I24" s="228">
        <v>945.0</v>
      </c>
      <c r="K24" s="226" t="s">
        <v>4181</v>
      </c>
      <c r="L24" s="226" t="s">
        <v>210</v>
      </c>
      <c r="M24" s="226" t="s">
        <v>261</v>
      </c>
      <c r="N24" s="226" t="s">
        <v>4190</v>
      </c>
      <c r="O24" s="226" t="s">
        <v>4183</v>
      </c>
      <c r="P24" s="250">
        <v>46106.59635040509</v>
      </c>
    </row>
    <row r="25">
      <c r="A25" s="228">
        <v>24.0</v>
      </c>
      <c r="B25" s="226">
        <v>331.0</v>
      </c>
      <c r="C25" s="226" t="s">
        <v>60</v>
      </c>
      <c r="D25" s="226" t="s">
        <v>4176</v>
      </c>
      <c r="E25" s="228">
        <v>1.0</v>
      </c>
      <c r="F25" s="249"/>
      <c r="G25" s="250">
        <v>44979.0</v>
      </c>
      <c r="H25" s="250">
        <v>46387.0</v>
      </c>
      <c r="I25" s="228">
        <v>1408.0</v>
      </c>
      <c r="K25" s="226" t="s">
        <v>4181</v>
      </c>
      <c r="L25" s="226" t="s">
        <v>777</v>
      </c>
      <c r="M25" s="226" t="s">
        <v>4203</v>
      </c>
      <c r="N25" s="226" t="s">
        <v>4185</v>
      </c>
      <c r="O25" s="226" t="s">
        <v>4183</v>
      </c>
      <c r="P25" s="250">
        <v>46106.59635040509</v>
      </c>
    </row>
    <row r="26">
      <c r="A26" s="228">
        <v>25.0</v>
      </c>
      <c r="B26" s="226">
        <v>332.0</v>
      </c>
      <c r="C26" s="226" t="s">
        <v>772</v>
      </c>
      <c r="D26" s="226" t="s">
        <v>4176</v>
      </c>
      <c r="E26" s="228">
        <v>1.0</v>
      </c>
      <c r="F26" s="249"/>
      <c r="G26" s="250">
        <v>44979.0</v>
      </c>
      <c r="H26" s="250">
        <v>45046.0</v>
      </c>
      <c r="I26" s="228">
        <v>67.0</v>
      </c>
      <c r="K26" s="226" t="s">
        <v>4181</v>
      </c>
      <c r="L26" s="226" t="s">
        <v>311</v>
      </c>
      <c r="M26" s="226" t="s">
        <v>289</v>
      </c>
      <c r="N26" s="226" t="s">
        <v>4185</v>
      </c>
      <c r="O26" s="226" t="s">
        <v>4183</v>
      </c>
      <c r="P26" s="250">
        <v>46106.59635040509</v>
      </c>
    </row>
    <row r="27">
      <c r="A27" s="228">
        <v>26.0</v>
      </c>
      <c r="B27" s="226">
        <v>344.0</v>
      </c>
      <c r="C27" s="226" t="s">
        <v>491</v>
      </c>
      <c r="D27" s="226" t="s">
        <v>4176</v>
      </c>
      <c r="E27" s="228">
        <v>1.0</v>
      </c>
      <c r="F27" s="249"/>
      <c r="G27" s="250">
        <v>45000.0</v>
      </c>
      <c r="H27" s="250">
        <v>46179.0</v>
      </c>
      <c r="I27" s="228">
        <v>1179.0</v>
      </c>
      <c r="K27" s="226" t="s">
        <v>4181</v>
      </c>
      <c r="L27" s="226" t="s">
        <v>122</v>
      </c>
      <c r="M27" s="226" t="s">
        <v>123</v>
      </c>
      <c r="N27" s="226" t="s">
        <v>4185</v>
      </c>
      <c r="O27" s="226" t="s">
        <v>4183</v>
      </c>
      <c r="P27" s="250">
        <v>46106.59635040509</v>
      </c>
    </row>
    <row r="28">
      <c r="A28" s="228">
        <v>27.0</v>
      </c>
      <c r="B28" s="226">
        <v>346.0</v>
      </c>
      <c r="C28" s="226" t="s">
        <v>812</v>
      </c>
      <c r="D28" s="226" t="s">
        <v>4176</v>
      </c>
      <c r="E28" s="228">
        <v>1.0</v>
      </c>
      <c r="F28" s="249"/>
      <c r="G28" s="250">
        <v>45000.0</v>
      </c>
      <c r="H28" s="250">
        <v>46387.0</v>
      </c>
      <c r="I28" s="228">
        <v>1387.0</v>
      </c>
      <c r="K28" s="226" t="s">
        <v>4181</v>
      </c>
      <c r="L28" s="226" t="s">
        <v>211</v>
      </c>
      <c r="M28" s="226" t="s">
        <v>123</v>
      </c>
      <c r="N28" s="226" t="s">
        <v>4185</v>
      </c>
      <c r="O28" s="226" t="s">
        <v>4183</v>
      </c>
      <c r="P28" s="250">
        <v>46106.59635040509</v>
      </c>
    </row>
    <row r="29">
      <c r="A29" s="228">
        <v>28.0</v>
      </c>
      <c r="B29" s="226">
        <v>347.0</v>
      </c>
      <c r="C29" s="226" t="s">
        <v>833</v>
      </c>
      <c r="D29" s="226" t="s">
        <v>4176</v>
      </c>
      <c r="E29" s="228">
        <v>1.0</v>
      </c>
      <c r="F29" s="249"/>
      <c r="G29" s="250">
        <v>45005.0</v>
      </c>
      <c r="H29" s="250">
        <v>45391.0</v>
      </c>
      <c r="I29" s="228">
        <v>386.0</v>
      </c>
      <c r="K29" s="226" t="s">
        <v>4181</v>
      </c>
      <c r="L29" s="226" t="s">
        <v>247</v>
      </c>
      <c r="M29" s="226" t="s">
        <v>289</v>
      </c>
      <c r="N29" s="226" t="s">
        <v>4185</v>
      </c>
      <c r="O29" s="226" t="s">
        <v>4183</v>
      </c>
      <c r="P29" s="250">
        <v>46106.59635040509</v>
      </c>
    </row>
    <row r="30">
      <c r="A30" s="228">
        <v>29.0</v>
      </c>
      <c r="B30" s="226">
        <v>350.0</v>
      </c>
      <c r="C30" s="226" t="s">
        <v>72</v>
      </c>
      <c r="D30" s="226" t="s">
        <v>4176</v>
      </c>
      <c r="E30" s="228">
        <v>1.0</v>
      </c>
      <c r="F30" s="249"/>
      <c r="G30" s="250">
        <v>45007.0</v>
      </c>
      <c r="H30" s="250">
        <v>45291.0</v>
      </c>
      <c r="I30" s="228">
        <v>284.0</v>
      </c>
      <c r="K30" s="226" t="s">
        <v>4181</v>
      </c>
      <c r="L30" s="226" t="s">
        <v>175</v>
      </c>
      <c r="M30" s="226" t="s">
        <v>175</v>
      </c>
      <c r="N30" s="226" t="s">
        <v>4185</v>
      </c>
      <c r="O30" s="226" t="s">
        <v>4183</v>
      </c>
      <c r="P30" s="250">
        <v>46106.59635040509</v>
      </c>
    </row>
    <row r="31">
      <c r="A31" s="228">
        <v>30.0</v>
      </c>
      <c r="B31" s="226">
        <v>351.0</v>
      </c>
      <c r="C31" s="226" t="s">
        <v>129</v>
      </c>
      <c r="D31" s="226" t="s">
        <v>4176</v>
      </c>
      <c r="E31" s="228">
        <v>1.0</v>
      </c>
      <c r="F31" s="249"/>
      <c r="G31" s="250">
        <v>45007.0</v>
      </c>
      <c r="H31" s="250">
        <v>45291.0</v>
      </c>
      <c r="I31" s="228">
        <v>284.0</v>
      </c>
      <c r="K31" s="226" t="s">
        <v>4181</v>
      </c>
      <c r="L31" s="226" t="s">
        <v>162</v>
      </c>
      <c r="M31" s="226" t="s">
        <v>289</v>
      </c>
      <c r="N31" s="226" t="s">
        <v>4185</v>
      </c>
      <c r="O31" s="226" t="s">
        <v>4183</v>
      </c>
      <c r="P31" s="250">
        <v>46106.59635040509</v>
      </c>
    </row>
    <row r="32">
      <c r="A32" s="228">
        <v>31.0</v>
      </c>
      <c r="B32" s="226">
        <v>352.0</v>
      </c>
      <c r="C32" s="226" t="s">
        <v>165</v>
      </c>
      <c r="D32" s="226" t="s">
        <v>4176</v>
      </c>
      <c r="E32" s="228">
        <v>1.0</v>
      </c>
      <c r="F32" s="249"/>
      <c r="G32" s="250">
        <v>45008.0</v>
      </c>
      <c r="H32" s="250">
        <v>45291.0</v>
      </c>
      <c r="I32" s="228">
        <v>283.0</v>
      </c>
      <c r="K32" s="226" t="s">
        <v>4181</v>
      </c>
      <c r="L32" s="226" t="s">
        <v>289</v>
      </c>
      <c r="M32" s="226" t="s">
        <v>289</v>
      </c>
      <c r="N32" s="226" t="s">
        <v>4185</v>
      </c>
      <c r="O32" s="226" t="s">
        <v>4183</v>
      </c>
      <c r="P32" s="250">
        <v>46106.59635040509</v>
      </c>
    </row>
    <row r="33">
      <c r="A33" s="228">
        <v>32.0</v>
      </c>
      <c r="B33" s="226">
        <v>353.0</v>
      </c>
      <c r="C33" s="226" t="s">
        <v>182</v>
      </c>
      <c r="D33" s="226" t="s">
        <v>4176</v>
      </c>
      <c r="E33" s="228">
        <v>1.0</v>
      </c>
      <c r="F33" s="249"/>
      <c r="G33" s="250">
        <v>45009.0</v>
      </c>
      <c r="H33" s="250">
        <v>45016.0</v>
      </c>
      <c r="I33" s="228">
        <v>7.0</v>
      </c>
      <c r="K33" s="226" t="s">
        <v>4181</v>
      </c>
      <c r="L33" s="226" t="s">
        <v>175</v>
      </c>
      <c r="M33" s="226" t="s">
        <v>175</v>
      </c>
      <c r="N33" s="226" t="s">
        <v>4185</v>
      </c>
      <c r="O33" s="226" t="s">
        <v>4183</v>
      </c>
      <c r="P33" s="250">
        <v>46106.59635040509</v>
      </c>
    </row>
    <row r="34">
      <c r="A34" s="228">
        <v>33.0</v>
      </c>
      <c r="B34" s="226">
        <v>354.0</v>
      </c>
      <c r="C34" s="226" t="s">
        <v>197</v>
      </c>
      <c r="D34" s="226" t="s">
        <v>4176</v>
      </c>
      <c r="E34" s="228">
        <v>1.0</v>
      </c>
      <c r="F34" s="249"/>
      <c r="G34" s="250">
        <v>45011.0</v>
      </c>
      <c r="H34" s="250">
        <v>45377.0</v>
      </c>
      <c r="I34" s="228">
        <v>366.0</v>
      </c>
      <c r="K34" s="226" t="s">
        <v>4181</v>
      </c>
      <c r="L34" s="226" t="s">
        <v>216</v>
      </c>
      <c r="M34" s="226" t="s">
        <v>289</v>
      </c>
      <c r="N34" s="226" t="s">
        <v>4185</v>
      </c>
      <c r="O34" s="226" t="s">
        <v>4183</v>
      </c>
      <c r="P34" s="250">
        <v>46106.59635040509</v>
      </c>
    </row>
    <row r="35">
      <c r="A35" s="228">
        <v>34.0</v>
      </c>
      <c r="B35" s="226">
        <v>355.0</v>
      </c>
      <c r="C35" s="226" t="s">
        <v>219</v>
      </c>
      <c r="D35" s="226" t="s">
        <v>4176</v>
      </c>
      <c r="E35" s="228">
        <v>1.0</v>
      </c>
      <c r="F35" s="249"/>
      <c r="G35" s="250">
        <v>45013.0</v>
      </c>
      <c r="H35" s="250">
        <v>45016.0</v>
      </c>
      <c r="I35" s="228">
        <v>3.0</v>
      </c>
      <c r="K35" s="226" t="s">
        <v>4181</v>
      </c>
      <c r="L35" s="226" t="s">
        <v>175</v>
      </c>
      <c r="M35" s="226" t="s">
        <v>175</v>
      </c>
      <c r="N35" s="226" t="s">
        <v>4185</v>
      </c>
      <c r="O35" s="226" t="s">
        <v>4183</v>
      </c>
      <c r="P35" s="250">
        <v>46106.59635040509</v>
      </c>
    </row>
    <row r="36">
      <c r="A36" s="228">
        <v>35.0</v>
      </c>
      <c r="B36" s="226">
        <v>356.0</v>
      </c>
      <c r="C36" s="226" t="s">
        <v>242</v>
      </c>
      <c r="D36" s="226" t="s">
        <v>4176</v>
      </c>
      <c r="E36" s="228">
        <v>1.0</v>
      </c>
      <c r="F36" s="249"/>
      <c r="G36" s="250">
        <v>45013.0</v>
      </c>
      <c r="H36" s="250">
        <v>45741.0</v>
      </c>
      <c r="I36" s="228">
        <v>728.0</v>
      </c>
      <c r="K36" s="226" t="s">
        <v>4181</v>
      </c>
      <c r="L36" s="226" t="s">
        <v>259</v>
      </c>
      <c r="M36" s="226" t="s">
        <v>261</v>
      </c>
      <c r="N36" s="226" t="s">
        <v>4190</v>
      </c>
      <c r="O36" s="226" t="s">
        <v>4183</v>
      </c>
      <c r="P36" s="250">
        <v>46106.59635040509</v>
      </c>
    </row>
    <row r="37">
      <c r="A37" s="228">
        <v>36.0</v>
      </c>
      <c r="B37" s="226">
        <v>359.0</v>
      </c>
      <c r="C37" s="226" t="s">
        <v>298</v>
      </c>
      <c r="D37" s="226" t="s">
        <v>4176</v>
      </c>
      <c r="E37" s="228">
        <v>1.0</v>
      </c>
      <c r="F37" s="249"/>
      <c r="G37" s="250">
        <v>45016.0</v>
      </c>
      <c r="H37" s="250">
        <v>45023.0</v>
      </c>
      <c r="I37" s="228">
        <v>7.0</v>
      </c>
      <c r="K37" s="226" t="s">
        <v>4181</v>
      </c>
      <c r="L37" s="226" t="s">
        <v>175</v>
      </c>
      <c r="M37" s="226" t="s">
        <v>175</v>
      </c>
      <c r="N37" s="226" t="s">
        <v>4185</v>
      </c>
      <c r="O37" s="226" t="s">
        <v>4183</v>
      </c>
      <c r="P37" s="250">
        <v>46106.59635040509</v>
      </c>
    </row>
    <row r="38">
      <c r="A38" s="228">
        <v>37.0</v>
      </c>
      <c r="B38" s="226">
        <v>358.0</v>
      </c>
      <c r="C38" s="226" t="s">
        <v>279</v>
      </c>
      <c r="D38" s="226" t="s">
        <v>4176</v>
      </c>
      <c r="E38" s="228">
        <v>1.0</v>
      </c>
      <c r="F38" s="249"/>
      <c r="G38" s="250">
        <v>45016.0</v>
      </c>
      <c r="H38" s="250">
        <v>45291.0</v>
      </c>
      <c r="I38" s="228">
        <v>275.0</v>
      </c>
      <c r="K38" s="226" t="s">
        <v>4181</v>
      </c>
      <c r="L38" s="226" t="s">
        <v>289</v>
      </c>
      <c r="M38" s="226" t="s">
        <v>261</v>
      </c>
      <c r="N38" s="226" t="s">
        <v>4185</v>
      </c>
      <c r="O38" s="226" t="s">
        <v>4183</v>
      </c>
      <c r="P38" s="250">
        <v>46106.59635040509</v>
      </c>
    </row>
    <row r="39">
      <c r="A39" s="228">
        <v>38.0</v>
      </c>
      <c r="B39" s="226">
        <v>357.0</v>
      </c>
      <c r="C39" s="226" t="s">
        <v>263</v>
      </c>
      <c r="D39" s="226" t="s">
        <v>4176</v>
      </c>
      <c r="E39" s="228">
        <v>1.0</v>
      </c>
      <c r="F39" s="249"/>
      <c r="G39" s="250">
        <v>45016.0</v>
      </c>
      <c r="H39" s="250">
        <v>45657.0</v>
      </c>
      <c r="I39" s="228">
        <v>641.0</v>
      </c>
      <c r="K39" s="226" t="s">
        <v>4181</v>
      </c>
      <c r="L39" s="226" t="s">
        <v>247</v>
      </c>
      <c r="M39" s="226" t="s">
        <v>261</v>
      </c>
      <c r="N39" s="226" t="s">
        <v>4185</v>
      </c>
      <c r="O39" s="226" t="s">
        <v>4183</v>
      </c>
      <c r="P39" s="250">
        <v>46106.59635040509</v>
      </c>
    </row>
    <row r="40">
      <c r="A40" s="228">
        <v>39.0</v>
      </c>
      <c r="B40" s="226">
        <v>360.0</v>
      </c>
      <c r="C40" s="226" t="s">
        <v>310</v>
      </c>
      <c r="D40" s="226" t="s">
        <v>4176</v>
      </c>
      <c r="E40" s="228">
        <v>1.0</v>
      </c>
      <c r="F40" s="249"/>
      <c r="G40" s="250">
        <v>45019.0</v>
      </c>
      <c r="H40" s="250">
        <v>45291.0</v>
      </c>
      <c r="I40" s="228">
        <v>272.0</v>
      </c>
      <c r="K40" s="226" t="s">
        <v>4181</v>
      </c>
      <c r="L40" s="226" t="s">
        <v>289</v>
      </c>
      <c r="M40" s="226" t="s">
        <v>261</v>
      </c>
      <c r="N40" s="226" t="s">
        <v>4185</v>
      </c>
      <c r="O40" s="226" t="s">
        <v>4183</v>
      </c>
      <c r="P40" s="250">
        <v>46106.59635040509</v>
      </c>
    </row>
    <row r="41">
      <c r="A41" s="228">
        <v>40.0</v>
      </c>
      <c r="B41" s="226">
        <v>362.0</v>
      </c>
      <c r="C41" s="226" t="s">
        <v>340</v>
      </c>
      <c r="D41" s="226" t="s">
        <v>4176</v>
      </c>
      <c r="E41" s="228">
        <v>1.0</v>
      </c>
      <c r="F41" s="249"/>
      <c r="G41" s="250">
        <v>45022.0</v>
      </c>
      <c r="H41" s="250">
        <v>46266.0</v>
      </c>
      <c r="I41" s="228">
        <v>1244.0</v>
      </c>
      <c r="K41" s="226" t="s">
        <v>4181</v>
      </c>
      <c r="L41" s="226" t="s">
        <v>261</v>
      </c>
      <c r="M41" s="226" t="s">
        <v>14</v>
      </c>
      <c r="N41" s="226" t="s">
        <v>4184</v>
      </c>
      <c r="O41" s="226" t="s">
        <v>4183</v>
      </c>
      <c r="P41" s="250">
        <v>46106.59635040509</v>
      </c>
    </row>
    <row r="42">
      <c r="A42" s="228">
        <v>41.0</v>
      </c>
      <c r="B42" s="226">
        <v>361.0</v>
      </c>
      <c r="C42" s="226" t="s">
        <v>326</v>
      </c>
      <c r="D42" s="226" t="s">
        <v>4176</v>
      </c>
      <c r="E42" s="228">
        <v>1.0</v>
      </c>
      <c r="F42" s="249"/>
      <c r="G42" s="250">
        <v>45022.0</v>
      </c>
      <c r="H42" s="250">
        <v>45205.0</v>
      </c>
      <c r="I42" s="228">
        <v>183.0</v>
      </c>
      <c r="K42" s="226" t="s">
        <v>4181</v>
      </c>
      <c r="L42" s="226" t="s">
        <v>289</v>
      </c>
      <c r="M42" s="226" t="s">
        <v>261</v>
      </c>
      <c r="N42" s="226" t="s">
        <v>4185</v>
      </c>
      <c r="O42" s="226" t="s">
        <v>4183</v>
      </c>
      <c r="P42" s="250">
        <v>46106.59635040509</v>
      </c>
    </row>
    <row r="43">
      <c r="A43" s="228">
        <v>42.0</v>
      </c>
      <c r="B43" s="226">
        <v>363.0</v>
      </c>
      <c r="C43" s="226" t="s">
        <v>355</v>
      </c>
      <c r="D43" s="226" t="s">
        <v>4176</v>
      </c>
      <c r="E43" s="228">
        <v>1.0</v>
      </c>
      <c r="F43" s="249"/>
      <c r="G43" s="250">
        <v>45022.0</v>
      </c>
      <c r="H43" s="250">
        <v>45352.0</v>
      </c>
      <c r="I43" s="228">
        <v>330.0</v>
      </c>
      <c r="K43" s="226" t="s">
        <v>4181</v>
      </c>
      <c r="L43" s="226" t="s">
        <v>259</v>
      </c>
      <c r="M43" s="226" t="s">
        <v>289</v>
      </c>
      <c r="N43" s="226" t="s">
        <v>4185</v>
      </c>
      <c r="O43" s="226" t="s">
        <v>4183</v>
      </c>
      <c r="P43" s="250">
        <v>46106.59635040509</v>
      </c>
    </row>
    <row r="44">
      <c r="A44" s="228">
        <v>43.0</v>
      </c>
      <c r="B44" s="226">
        <v>364.0</v>
      </c>
      <c r="C44" s="226" t="s">
        <v>372</v>
      </c>
      <c r="D44" s="226" t="s">
        <v>4176</v>
      </c>
      <c r="E44" s="228">
        <v>1.0</v>
      </c>
      <c r="F44" s="249"/>
      <c r="G44" s="250">
        <v>45023.0</v>
      </c>
      <c r="H44" s="250">
        <v>45291.0</v>
      </c>
      <c r="I44" s="228">
        <v>268.0</v>
      </c>
      <c r="K44" s="226" t="s">
        <v>4181</v>
      </c>
      <c r="L44" s="226" t="s">
        <v>289</v>
      </c>
      <c r="M44" s="226" t="s">
        <v>289</v>
      </c>
      <c r="N44" s="226" t="s">
        <v>4185</v>
      </c>
      <c r="O44" s="226" t="s">
        <v>4183</v>
      </c>
      <c r="P44" s="250">
        <v>46106.59635040509</v>
      </c>
    </row>
    <row r="45">
      <c r="A45" s="228">
        <v>44.0</v>
      </c>
      <c r="B45" s="226">
        <v>366.0</v>
      </c>
      <c r="C45" s="226" t="s">
        <v>405</v>
      </c>
      <c r="D45" s="226" t="s">
        <v>4176</v>
      </c>
      <c r="E45" s="228">
        <v>1.0</v>
      </c>
      <c r="F45" s="249"/>
      <c r="G45" s="250">
        <v>45026.0</v>
      </c>
      <c r="H45" s="250">
        <v>45291.0</v>
      </c>
      <c r="I45" s="228">
        <v>265.0</v>
      </c>
      <c r="K45" s="226" t="s">
        <v>4181</v>
      </c>
      <c r="L45" s="226" t="s">
        <v>289</v>
      </c>
      <c r="M45" s="226" t="s">
        <v>289</v>
      </c>
      <c r="N45" s="226" t="s">
        <v>4185</v>
      </c>
      <c r="O45" s="226" t="s">
        <v>4183</v>
      </c>
      <c r="P45" s="250">
        <v>46106.59635040509</v>
      </c>
    </row>
    <row r="46">
      <c r="A46" s="228">
        <v>45.0</v>
      </c>
      <c r="B46" s="226">
        <v>367.0</v>
      </c>
      <c r="C46" s="226" t="s">
        <v>1116</v>
      </c>
      <c r="D46" s="226" t="s">
        <v>4176</v>
      </c>
      <c r="E46" s="228">
        <v>1.0</v>
      </c>
      <c r="F46" s="249"/>
      <c r="G46" s="250">
        <v>45028.0</v>
      </c>
      <c r="H46" s="250">
        <v>46022.0</v>
      </c>
      <c r="I46" s="228">
        <v>994.0</v>
      </c>
      <c r="K46" s="226" t="s">
        <v>4181</v>
      </c>
      <c r="L46" s="226" t="s">
        <v>261</v>
      </c>
      <c r="M46" s="226" t="s">
        <v>123</v>
      </c>
      <c r="N46" s="226" t="s">
        <v>4190</v>
      </c>
      <c r="O46" s="226" t="s">
        <v>4183</v>
      </c>
      <c r="P46" s="250">
        <v>46106.59635040509</v>
      </c>
    </row>
    <row r="47">
      <c r="A47" s="228">
        <v>46.0</v>
      </c>
      <c r="B47" s="226">
        <v>368.0</v>
      </c>
      <c r="C47" s="226" t="s">
        <v>444</v>
      </c>
      <c r="D47" s="226" t="s">
        <v>4176</v>
      </c>
      <c r="E47" s="228">
        <v>1.0</v>
      </c>
      <c r="F47" s="249"/>
      <c r="G47" s="250">
        <v>45028.0</v>
      </c>
      <c r="H47" s="250">
        <v>45038.0</v>
      </c>
      <c r="I47" s="228">
        <v>10.0</v>
      </c>
      <c r="K47" s="226" t="s">
        <v>4181</v>
      </c>
      <c r="L47" s="226" t="s">
        <v>175</v>
      </c>
      <c r="M47" s="226" t="s">
        <v>175</v>
      </c>
      <c r="N47" s="226" t="s">
        <v>4185</v>
      </c>
      <c r="O47" s="226" t="s">
        <v>4183</v>
      </c>
      <c r="P47" s="250">
        <v>46106.59635040509</v>
      </c>
    </row>
    <row r="48">
      <c r="A48" s="228">
        <v>47.0</v>
      </c>
      <c r="B48" s="226">
        <v>369.0</v>
      </c>
      <c r="C48" s="226" t="s">
        <v>460</v>
      </c>
      <c r="D48" s="226" t="s">
        <v>4176</v>
      </c>
      <c r="E48" s="228">
        <v>1.0</v>
      </c>
      <c r="F48" s="249"/>
      <c r="G48" s="250">
        <v>45034.0</v>
      </c>
      <c r="H48" s="250">
        <v>46387.0</v>
      </c>
      <c r="I48" s="228">
        <v>1353.0</v>
      </c>
      <c r="K48" s="226" t="s">
        <v>4181</v>
      </c>
      <c r="L48" s="226" t="s">
        <v>777</v>
      </c>
      <c r="M48" s="226" t="s">
        <v>14</v>
      </c>
      <c r="N48" s="226" t="s">
        <v>4190</v>
      </c>
      <c r="O48" s="226" t="s">
        <v>4183</v>
      </c>
      <c r="P48" s="250">
        <v>46106.59635040509</v>
      </c>
    </row>
    <row r="49">
      <c r="A49" s="228">
        <v>48.0</v>
      </c>
      <c r="B49" s="226">
        <v>370.0</v>
      </c>
      <c r="C49" s="226" t="s">
        <v>479</v>
      </c>
      <c r="D49" s="226" t="s">
        <v>4176</v>
      </c>
      <c r="E49" s="228">
        <v>1.0</v>
      </c>
      <c r="F49" s="249"/>
      <c r="G49" s="250">
        <v>45035.0</v>
      </c>
      <c r="H49" s="250">
        <v>45218.0</v>
      </c>
      <c r="I49" s="228">
        <v>183.0</v>
      </c>
      <c r="K49" s="226" t="s">
        <v>4181</v>
      </c>
      <c r="L49" s="226" t="s">
        <v>289</v>
      </c>
      <c r="M49" s="226" t="s">
        <v>289</v>
      </c>
      <c r="N49" s="226" t="s">
        <v>4185</v>
      </c>
      <c r="O49" s="226" t="s">
        <v>4183</v>
      </c>
      <c r="P49" s="250">
        <v>46106.59635040509</v>
      </c>
    </row>
    <row r="50">
      <c r="A50" s="228">
        <v>49.0</v>
      </c>
      <c r="B50" s="226">
        <v>372.0</v>
      </c>
      <c r="C50" s="226" t="s">
        <v>512</v>
      </c>
      <c r="D50" s="226" t="s">
        <v>4176</v>
      </c>
      <c r="E50" s="228">
        <v>1.0</v>
      </c>
      <c r="F50" s="249"/>
      <c r="G50" s="250">
        <v>45041.0</v>
      </c>
      <c r="H50" s="250">
        <v>45048.0</v>
      </c>
      <c r="I50" s="228">
        <v>7.0</v>
      </c>
      <c r="K50" s="226" t="s">
        <v>4181</v>
      </c>
      <c r="L50" s="226" t="s">
        <v>175</v>
      </c>
      <c r="M50" s="226" t="s">
        <v>175</v>
      </c>
      <c r="N50" s="226" t="s">
        <v>4185</v>
      </c>
      <c r="O50" s="226" t="s">
        <v>4183</v>
      </c>
      <c r="P50" s="250">
        <v>46106.59635040509</v>
      </c>
    </row>
    <row r="51">
      <c r="A51" s="228">
        <v>50.0</v>
      </c>
      <c r="B51" s="226">
        <v>373.0</v>
      </c>
      <c r="C51" s="226" t="s">
        <v>525</v>
      </c>
      <c r="D51" s="226" t="s">
        <v>4176</v>
      </c>
      <c r="E51" s="228">
        <v>1.0</v>
      </c>
      <c r="F51" s="249"/>
      <c r="G51" s="250">
        <v>45043.0</v>
      </c>
      <c r="H51" s="250">
        <v>45291.0</v>
      </c>
      <c r="I51" s="228">
        <v>248.0</v>
      </c>
      <c r="K51" s="226" t="s">
        <v>4181</v>
      </c>
      <c r="L51" s="226" t="s">
        <v>175</v>
      </c>
      <c r="M51" s="226" t="s">
        <v>175</v>
      </c>
      <c r="N51" s="226" t="s">
        <v>4185</v>
      </c>
      <c r="O51" s="226" t="s">
        <v>4183</v>
      </c>
      <c r="P51" s="250">
        <v>46106.59635040509</v>
      </c>
    </row>
    <row r="52">
      <c r="A52" s="228">
        <v>51.0</v>
      </c>
      <c r="B52" s="226">
        <v>375.0</v>
      </c>
      <c r="C52" s="226" t="s">
        <v>555</v>
      </c>
      <c r="D52" s="226" t="s">
        <v>4176</v>
      </c>
      <c r="E52" s="228">
        <v>1.0</v>
      </c>
      <c r="F52" s="249"/>
      <c r="G52" s="250">
        <v>45054.0</v>
      </c>
      <c r="H52" s="250">
        <v>45061.0</v>
      </c>
      <c r="I52" s="228">
        <v>7.0</v>
      </c>
      <c r="K52" s="226" t="s">
        <v>4181</v>
      </c>
      <c r="L52" s="226" t="s">
        <v>175</v>
      </c>
      <c r="M52" s="226" t="s">
        <v>175</v>
      </c>
      <c r="N52" s="226" t="s">
        <v>4185</v>
      </c>
      <c r="O52" s="226" t="s">
        <v>4183</v>
      </c>
      <c r="P52" s="250">
        <v>46106.59635040509</v>
      </c>
    </row>
    <row r="53">
      <c r="A53" s="228">
        <v>52.0</v>
      </c>
      <c r="B53" s="226">
        <v>374.0</v>
      </c>
      <c r="C53" s="226" t="s">
        <v>538</v>
      </c>
      <c r="D53" s="226" t="s">
        <v>4176</v>
      </c>
      <c r="E53" s="228">
        <v>1.0</v>
      </c>
      <c r="F53" s="249"/>
      <c r="G53" s="250">
        <v>45054.0</v>
      </c>
      <c r="H53" s="250">
        <v>45498.0</v>
      </c>
      <c r="I53" s="228">
        <v>444.0</v>
      </c>
      <c r="K53" s="226" t="s">
        <v>4181</v>
      </c>
      <c r="L53" s="226" t="s">
        <v>259</v>
      </c>
      <c r="M53" s="226" t="s">
        <v>289</v>
      </c>
      <c r="N53" s="226" t="s">
        <v>4185</v>
      </c>
      <c r="O53" s="226" t="s">
        <v>4183</v>
      </c>
      <c r="P53" s="250">
        <v>46106.59635040509</v>
      </c>
    </row>
    <row r="54">
      <c r="A54" s="228">
        <v>53.0</v>
      </c>
      <c r="B54" s="226">
        <v>376.0</v>
      </c>
      <c r="C54" s="226" t="s">
        <v>571</v>
      </c>
      <c r="D54" s="226" t="s">
        <v>4176</v>
      </c>
      <c r="E54" s="228">
        <v>1.0</v>
      </c>
      <c r="F54" s="249"/>
      <c r="G54" s="250">
        <v>45056.0</v>
      </c>
      <c r="H54" s="250">
        <v>45063.0</v>
      </c>
      <c r="I54" s="228">
        <v>7.0</v>
      </c>
      <c r="K54" s="226" t="s">
        <v>4181</v>
      </c>
      <c r="L54" s="226" t="s">
        <v>175</v>
      </c>
      <c r="M54" s="226" t="s">
        <v>175</v>
      </c>
      <c r="N54" s="226" t="s">
        <v>4185</v>
      </c>
      <c r="O54" s="226" t="s">
        <v>4183</v>
      </c>
      <c r="P54" s="250">
        <v>46106.59635040509</v>
      </c>
    </row>
    <row r="55">
      <c r="A55" s="228">
        <v>54.0</v>
      </c>
      <c r="B55" s="226">
        <v>377.0</v>
      </c>
      <c r="C55" s="226" t="s">
        <v>588</v>
      </c>
      <c r="D55" s="226" t="s">
        <v>4176</v>
      </c>
      <c r="E55" s="228">
        <v>1.0</v>
      </c>
      <c r="F55" s="249"/>
      <c r="G55" s="250">
        <v>45056.0</v>
      </c>
      <c r="H55" s="250">
        <v>45291.0</v>
      </c>
      <c r="I55" s="228">
        <v>235.0</v>
      </c>
      <c r="K55" s="226" t="s">
        <v>4181</v>
      </c>
      <c r="L55" s="226" t="s">
        <v>175</v>
      </c>
      <c r="M55" s="226" t="s">
        <v>175</v>
      </c>
      <c r="N55" s="226" t="s">
        <v>4185</v>
      </c>
      <c r="O55" s="226" t="s">
        <v>4183</v>
      </c>
      <c r="P55" s="250">
        <v>46106.59635040509</v>
      </c>
    </row>
    <row r="56">
      <c r="A56" s="228">
        <v>55.0</v>
      </c>
      <c r="B56" s="226">
        <v>378.0</v>
      </c>
      <c r="C56" s="226" t="s">
        <v>608</v>
      </c>
      <c r="D56" s="226" t="s">
        <v>4176</v>
      </c>
      <c r="E56" s="228">
        <v>1.0</v>
      </c>
      <c r="F56" s="249"/>
      <c r="G56" s="250">
        <v>45057.0</v>
      </c>
      <c r="H56" s="250">
        <v>45092.0</v>
      </c>
      <c r="I56" s="228">
        <v>35.0</v>
      </c>
      <c r="K56" s="226" t="s">
        <v>4181</v>
      </c>
      <c r="L56" s="226" t="s">
        <v>175</v>
      </c>
      <c r="M56" s="226" t="s">
        <v>175</v>
      </c>
      <c r="N56" s="226" t="s">
        <v>4185</v>
      </c>
      <c r="O56" s="226" t="s">
        <v>4183</v>
      </c>
      <c r="P56" s="250">
        <v>46106.59635040509</v>
      </c>
    </row>
    <row r="57">
      <c r="A57" s="228">
        <v>56.0</v>
      </c>
      <c r="B57" s="226">
        <v>379.0</v>
      </c>
      <c r="C57" s="226" t="s">
        <v>620</v>
      </c>
      <c r="D57" s="226" t="s">
        <v>4176</v>
      </c>
      <c r="E57" s="228">
        <v>1.0</v>
      </c>
      <c r="F57" s="249"/>
      <c r="G57" s="250">
        <v>45057.0</v>
      </c>
      <c r="H57" s="250">
        <v>45064.0</v>
      </c>
      <c r="I57" s="228">
        <v>7.0</v>
      </c>
      <c r="K57" s="226" t="s">
        <v>4181</v>
      </c>
      <c r="L57" s="226" t="s">
        <v>175</v>
      </c>
      <c r="M57" s="226" t="s">
        <v>175</v>
      </c>
      <c r="N57" s="226" t="s">
        <v>4185</v>
      </c>
      <c r="O57" s="226" t="s">
        <v>4183</v>
      </c>
      <c r="P57" s="250">
        <v>46106.59635040509</v>
      </c>
    </row>
    <row r="58">
      <c r="A58" s="228">
        <v>57.0</v>
      </c>
      <c r="B58" s="226">
        <v>381.0</v>
      </c>
      <c r="C58" s="226" t="s">
        <v>664</v>
      </c>
      <c r="D58" s="226" t="s">
        <v>4176</v>
      </c>
      <c r="E58" s="228">
        <v>1.0</v>
      </c>
      <c r="F58" s="249"/>
      <c r="G58" s="250">
        <v>45061.0</v>
      </c>
      <c r="H58" s="250">
        <v>46387.0</v>
      </c>
      <c r="I58" s="228">
        <v>1326.0</v>
      </c>
      <c r="K58" s="226" t="s">
        <v>4181</v>
      </c>
      <c r="L58" s="226" t="s">
        <v>210</v>
      </c>
      <c r="M58" s="226" t="s">
        <v>123</v>
      </c>
      <c r="N58" s="226" t="s">
        <v>4184</v>
      </c>
      <c r="O58" s="226" t="s">
        <v>4183</v>
      </c>
      <c r="P58" s="250">
        <v>46106.59635040509</v>
      </c>
    </row>
    <row r="59">
      <c r="A59" s="228">
        <v>58.0</v>
      </c>
      <c r="B59" s="226">
        <v>380.0</v>
      </c>
      <c r="C59" s="226" t="s">
        <v>639</v>
      </c>
      <c r="D59" s="226" t="s">
        <v>4176</v>
      </c>
      <c r="E59" s="228">
        <v>1.0</v>
      </c>
      <c r="F59" s="249"/>
      <c r="G59" s="250">
        <v>45061.0</v>
      </c>
      <c r="H59" s="250">
        <v>45291.0</v>
      </c>
      <c r="I59" s="228">
        <v>230.0</v>
      </c>
      <c r="K59" s="226" t="s">
        <v>4181</v>
      </c>
      <c r="L59" s="226" t="s">
        <v>289</v>
      </c>
      <c r="M59" s="226" t="s">
        <v>289</v>
      </c>
      <c r="N59" s="226" t="s">
        <v>4185</v>
      </c>
      <c r="O59" s="226" t="s">
        <v>4183</v>
      </c>
      <c r="P59" s="250">
        <v>46106.59635040509</v>
      </c>
    </row>
    <row r="60">
      <c r="A60" s="228">
        <v>59.0</v>
      </c>
      <c r="B60" s="226">
        <v>383.0</v>
      </c>
      <c r="C60" s="226" t="s">
        <v>683</v>
      </c>
      <c r="D60" s="226" t="s">
        <v>4188</v>
      </c>
      <c r="E60" s="228">
        <v>1.0</v>
      </c>
      <c r="F60" s="249"/>
      <c r="G60" s="250">
        <v>45065.0</v>
      </c>
      <c r="H60" s="250">
        <v>45291.0</v>
      </c>
      <c r="I60" s="228">
        <v>226.0</v>
      </c>
      <c r="K60" s="226" t="s">
        <v>4181</v>
      </c>
      <c r="L60" s="226" t="s">
        <v>162</v>
      </c>
      <c r="M60" s="226" t="s">
        <v>289</v>
      </c>
      <c r="N60" s="226" t="s">
        <v>4185</v>
      </c>
      <c r="O60" s="226" t="s">
        <v>4183</v>
      </c>
      <c r="P60" s="250">
        <v>46106.59635040509</v>
      </c>
    </row>
    <row r="61">
      <c r="A61" s="228">
        <v>60.0</v>
      </c>
      <c r="B61" s="226">
        <v>384.0</v>
      </c>
      <c r="C61" s="226" t="s">
        <v>700</v>
      </c>
      <c r="D61" s="226" t="s">
        <v>4176</v>
      </c>
      <c r="E61" s="228">
        <v>1.0</v>
      </c>
      <c r="F61" s="249"/>
      <c r="G61" s="250">
        <v>45065.0</v>
      </c>
      <c r="H61" s="250">
        <v>45291.0</v>
      </c>
      <c r="I61" s="228">
        <v>226.0</v>
      </c>
      <c r="K61" s="226" t="s">
        <v>4181</v>
      </c>
      <c r="L61" s="226" t="s">
        <v>289</v>
      </c>
      <c r="M61" s="226" t="s">
        <v>289</v>
      </c>
      <c r="N61" s="226" t="s">
        <v>4185</v>
      </c>
      <c r="O61" s="226" t="s">
        <v>4183</v>
      </c>
      <c r="P61" s="250">
        <v>46106.59635040509</v>
      </c>
    </row>
    <row r="62">
      <c r="A62" s="228">
        <v>61.0</v>
      </c>
      <c r="B62" s="226">
        <v>386.0</v>
      </c>
      <c r="C62" s="226" t="s">
        <v>731</v>
      </c>
      <c r="D62" s="226" t="s">
        <v>4176</v>
      </c>
      <c r="E62" s="228">
        <v>1.0</v>
      </c>
      <c r="F62" s="249"/>
      <c r="G62" s="250">
        <v>45071.0</v>
      </c>
      <c r="H62" s="250">
        <v>45078.0</v>
      </c>
      <c r="I62" s="228">
        <v>7.0</v>
      </c>
      <c r="K62" s="226" t="s">
        <v>4181</v>
      </c>
      <c r="L62" s="226" t="s">
        <v>175</v>
      </c>
      <c r="M62" s="226" t="s">
        <v>175</v>
      </c>
      <c r="N62" s="226" t="s">
        <v>4185</v>
      </c>
      <c r="O62" s="226" t="s">
        <v>4183</v>
      </c>
      <c r="P62" s="250">
        <v>46106.59635040509</v>
      </c>
    </row>
    <row r="63">
      <c r="A63" s="228">
        <v>62.0</v>
      </c>
      <c r="B63" s="226">
        <v>387.0</v>
      </c>
      <c r="C63" s="226" t="s">
        <v>747</v>
      </c>
      <c r="D63" s="226" t="s">
        <v>4176</v>
      </c>
      <c r="E63" s="228">
        <v>1.0</v>
      </c>
      <c r="F63" s="249"/>
      <c r="G63" s="250">
        <v>45075.0</v>
      </c>
      <c r="H63" s="250">
        <v>45082.0</v>
      </c>
      <c r="I63" s="228">
        <v>7.0</v>
      </c>
      <c r="K63" s="226" t="s">
        <v>4181</v>
      </c>
      <c r="L63" s="226" t="s">
        <v>175</v>
      </c>
      <c r="M63" s="226" t="s">
        <v>175</v>
      </c>
      <c r="N63" s="226" t="s">
        <v>4185</v>
      </c>
      <c r="O63" s="226" t="s">
        <v>4183</v>
      </c>
      <c r="P63" s="250">
        <v>46106.59635040509</v>
      </c>
    </row>
    <row r="64">
      <c r="A64" s="228">
        <v>63.0</v>
      </c>
      <c r="B64" s="226">
        <v>388.0</v>
      </c>
      <c r="C64" s="226" t="s">
        <v>760</v>
      </c>
      <c r="D64" s="226" t="s">
        <v>4176</v>
      </c>
      <c r="E64" s="228">
        <v>1.0</v>
      </c>
      <c r="F64" s="249"/>
      <c r="G64" s="250">
        <v>45077.0</v>
      </c>
      <c r="H64" s="250">
        <v>46204.0</v>
      </c>
      <c r="I64" s="228">
        <v>1127.0</v>
      </c>
      <c r="K64" s="226" t="s">
        <v>4181</v>
      </c>
      <c r="L64" s="226" t="s">
        <v>210</v>
      </c>
      <c r="M64" s="226" t="s">
        <v>123</v>
      </c>
      <c r="N64" s="226" t="s">
        <v>4182</v>
      </c>
      <c r="O64" s="226" t="s">
        <v>4183</v>
      </c>
      <c r="P64" s="250">
        <v>46106.59635040509</v>
      </c>
    </row>
    <row r="65">
      <c r="A65" s="228">
        <v>64.0</v>
      </c>
      <c r="B65" s="226">
        <v>385.0</v>
      </c>
      <c r="C65" s="226" t="s">
        <v>717</v>
      </c>
      <c r="D65" s="226" t="s">
        <v>4176</v>
      </c>
      <c r="E65" s="228">
        <v>1.0</v>
      </c>
      <c r="F65" s="249"/>
      <c r="G65" s="250">
        <v>45077.0</v>
      </c>
      <c r="H65" s="250">
        <v>45808.0</v>
      </c>
      <c r="I65" s="228">
        <v>731.0</v>
      </c>
      <c r="K65" s="226" t="s">
        <v>4181</v>
      </c>
      <c r="L65" s="226" t="s">
        <v>311</v>
      </c>
      <c r="M65" s="226" t="s">
        <v>261</v>
      </c>
      <c r="N65" s="226" t="s">
        <v>4184</v>
      </c>
      <c r="O65" s="226" t="s">
        <v>4183</v>
      </c>
      <c r="P65" s="250">
        <v>46106.59635040509</v>
      </c>
    </row>
    <row r="66">
      <c r="A66" s="228">
        <v>65.0</v>
      </c>
      <c r="B66" s="226">
        <v>390.0</v>
      </c>
      <c r="C66" s="226" t="s">
        <v>826</v>
      </c>
      <c r="D66" s="226" t="s">
        <v>4176</v>
      </c>
      <c r="E66" s="228">
        <v>1.0</v>
      </c>
      <c r="F66" s="249"/>
      <c r="G66" s="250">
        <v>45078.0</v>
      </c>
      <c r="H66" s="250">
        <v>45490.0</v>
      </c>
      <c r="I66" s="228">
        <v>412.0</v>
      </c>
      <c r="K66" s="226" t="s">
        <v>4181</v>
      </c>
      <c r="L66" s="226" t="s">
        <v>259</v>
      </c>
      <c r="M66" s="226" t="s">
        <v>261</v>
      </c>
      <c r="N66" s="226" t="s">
        <v>4190</v>
      </c>
      <c r="O66" s="226" t="s">
        <v>4183</v>
      </c>
      <c r="P66" s="250">
        <v>46106.59635040509</v>
      </c>
    </row>
    <row r="67">
      <c r="A67" s="228">
        <v>66.0</v>
      </c>
      <c r="B67" s="226">
        <v>391.0</v>
      </c>
      <c r="C67" s="226" t="s">
        <v>853</v>
      </c>
      <c r="D67" s="226" t="s">
        <v>4176</v>
      </c>
      <c r="E67" s="228">
        <v>1.0</v>
      </c>
      <c r="F67" s="249"/>
      <c r="G67" s="250">
        <v>45079.0</v>
      </c>
      <c r="H67" s="250">
        <v>45444.0</v>
      </c>
      <c r="I67" s="228">
        <v>365.0</v>
      </c>
      <c r="K67" s="226" t="s">
        <v>4181</v>
      </c>
      <c r="L67" s="226" t="s">
        <v>259</v>
      </c>
      <c r="M67" s="226" t="s">
        <v>261</v>
      </c>
      <c r="N67" s="226" t="s">
        <v>4185</v>
      </c>
      <c r="O67" s="226" t="s">
        <v>4183</v>
      </c>
      <c r="P67" s="250">
        <v>46106.59635040509</v>
      </c>
    </row>
    <row r="68">
      <c r="A68" s="228">
        <v>67.0</v>
      </c>
      <c r="B68" s="226">
        <v>392.0</v>
      </c>
      <c r="C68" s="226" t="s">
        <v>868</v>
      </c>
      <c r="D68" s="226" t="s">
        <v>4176</v>
      </c>
      <c r="E68" s="228">
        <v>1.0</v>
      </c>
      <c r="F68" s="249"/>
      <c r="G68" s="250">
        <v>45079.0</v>
      </c>
      <c r="H68" s="250">
        <v>45445.0</v>
      </c>
      <c r="I68" s="228">
        <v>366.0</v>
      </c>
      <c r="K68" s="226" t="s">
        <v>4181</v>
      </c>
      <c r="L68" s="226" t="s">
        <v>162</v>
      </c>
      <c r="M68" s="226" t="s">
        <v>261</v>
      </c>
      <c r="N68" s="226" t="s">
        <v>4185</v>
      </c>
      <c r="O68" s="226" t="s">
        <v>4183</v>
      </c>
      <c r="P68" s="250">
        <v>46106.59635040509</v>
      </c>
    </row>
    <row r="69">
      <c r="A69" s="228">
        <v>68.0</v>
      </c>
      <c r="B69" s="226">
        <v>393.0</v>
      </c>
      <c r="C69" s="226" t="s">
        <v>899</v>
      </c>
      <c r="D69" s="226" t="s">
        <v>4176</v>
      </c>
      <c r="E69" s="228">
        <v>1.0</v>
      </c>
      <c r="F69" s="249"/>
      <c r="G69" s="250">
        <v>45079.0</v>
      </c>
      <c r="H69" s="250">
        <v>45262.0</v>
      </c>
      <c r="I69" s="228">
        <v>183.0</v>
      </c>
      <c r="K69" s="226" t="s">
        <v>4181</v>
      </c>
      <c r="L69" s="226" t="s">
        <v>162</v>
      </c>
      <c r="M69" s="226" t="s">
        <v>261</v>
      </c>
      <c r="N69" s="226" t="s">
        <v>4185</v>
      </c>
      <c r="O69" s="226" t="s">
        <v>4183</v>
      </c>
      <c r="P69" s="250">
        <v>46106.59635040509</v>
      </c>
    </row>
    <row r="70">
      <c r="A70" s="228">
        <v>69.0</v>
      </c>
      <c r="B70" s="226">
        <v>394.0</v>
      </c>
      <c r="C70" s="226" t="s">
        <v>916</v>
      </c>
      <c r="D70" s="226" t="s">
        <v>4176</v>
      </c>
      <c r="E70" s="228">
        <v>1.0</v>
      </c>
      <c r="F70" s="249"/>
      <c r="G70" s="250">
        <v>45083.0</v>
      </c>
      <c r="H70" s="250">
        <v>45291.0</v>
      </c>
      <c r="I70" s="228">
        <v>208.0</v>
      </c>
      <c r="K70" s="226" t="s">
        <v>4181</v>
      </c>
      <c r="L70" s="226" t="s">
        <v>289</v>
      </c>
      <c r="M70" s="226" t="s">
        <v>261</v>
      </c>
      <c r="N70" s="226" t="s">
        <v>4185</v>
      </c>
      <c r="O70" s="226" t="s">
        <v>4183</v>
      </c>
      <c r="P70" s="250">
        <v>46106.59635040509</v>
      </c>
    </row>
    <row r="71">
      <c r="A71" s="228">
        <v>70.0</v>
      </c>
      <c r="B71" s="226">
        <v>395.0</v>
      </c>
      <c r="C71" s="226" t="s">
        <v>934</v>
      </c>
      <c r="D71" s="226" t="s">
        <v>4176</v>
      </c>
      <c r="E71" s="228">
        <v>1.0</v>
      </c>
      <c r="F71" s="249"/>
      <c r="G71" s="250">
        <v>45084.0</v>
      </c>
      <c r="H71" s="250">
        <v>45291.0</v>
      </c>
      <c r="I71" s="228">
        <v>207.0</v>
      </c>
      <c r="K71" s="226" t="s">
        <v>4181</v>
      </c>
      <c r="L71" s="226" t="s">
        <v>162</v>
      </c>
      <c r="M71" s="226" t="s">
        <v>289</v>
      </c>
      <c r="N71" s="226" t="s">
        <v>4185</v>
      </c>
      <c r="O71" s="226" t="s">
        <v>4183</v>
      </c>
      <c r="P71" s="250">
        <v>46106.59635040509</v>
      </c>
    </row>
    <row r="72">
      <c r="A72" s="228">
        <v>71.0</v>
      </c>
      <c r="B72" s="226">
        <v>396.0</v>
      </c>
      <c r="C72" s="226" t="s">
        <v>952</v>
      </c>
      <c r="D72" s="226" t="s">
        <v>4176</v>
      </c>
      <c r="E72" s="228">
        <v>1.0</v>
      </c>
      <c r="F72" s="249"/>
      <c r="G72" s="250">
        <v>45084.0</v>
      </c>
      <c r="H72" s="250">
        <v>45595.0</v>
      </c>
      <c r="I72" s="228">
        <v>511.0</v>
      </c>
      <c r="K72" s="226" t="s">
        <v>4181</v>
      </c>
      <c r="L72" s="226" t="s">
        <v>162</v>
      </c>
      <c r="M72" s="226" t="s">
        <v>261</v>
      </c>
      <c r="N72" s="226" t="s">
        <v>4190</v>
      </c>
      <c r="O72" s="226" t="s">
        <v>4183</v>
      </c>
      <c r="P72" s="250">
        <v>46106.59635040509</v>
      </c>
    </row>
    <row r="73">
      <c r="A73" s="228">
        <v>72.0</v>
      </c>
      <c r="B73" s="226">
        <v>398.0</v>
      </c>
      <c r="C73" s="226" t="s">
        <v>568</v>
      </c>
      <c r="D73" s="226" t="s">
        <v>4176</v>
      </c>
      <c r="E73" s="228">
        <v>1.0</v>
      </c>
      <c r="F73" s="249"/>
      <c r="G73" s="250">
        <v>45089.0</v>
      </c>
      <c r="H73" s="250">
        <v>45291.0</v>
      </c>
      <c r="I73" s="228">
        <v>202.0</v>
      </c>
      <c r="K73" s="226" t="s">
        <v>4181</v>
      </c>
      <c r="L73" s="226" t="s">
        <v>289</v>
      </c>
      <c r="M73" s="226" t="s">
        <v>289</v>
      </c>
      <c r="N73" s="226" t="s">
        <v>4185</v>
      </c>
      <c r="O73" s="226" t="s">
        <v>4183</v>
      </c>
      <c r="P73" s="250">
        <v>46106.59635040509</v>
      </c>
    </row>
    <row r="74">
      <c r="A74" s="228">
        <v>73.0</v>
      </c>
      <c r="B74" s="226">
        <v>371.0</v>
      </c>
      <c r="C74" s="226" t="s">
        <v>499</v>
      </c>
      <c r="D74" s="226" t="s">
        <v>4176</v>
      </c>
      <c r="E74" s="228">
        <v>1.0</v>
      </c>
      <c r="F74" s="249"/>
      <c r="G74" s="250">
        <v>45089.0</v>
      </c>
      <c r="H74" s="250">
        <v>45260.0</v>
      </c>
      <c r="I74" s="228">
        <v>171.0</v>
      </c>
      <c r="K74" s="226" t="s">
        <v>4181</v>
      </c>
      <c r="L74" s="226" t="s">
        <v>311</v>
      </c>
      <c r="M74" s="226" t="s">
        <v>289</v>
      </c>
      <c r="N74" s="226" t="s">
        <v>4185</v>
      </c>
      <c r="O74" s="226" t="s">
        <v>4183</v>
      </c>
      <c r="P74" s="250">
        <v>46106.59635040509</v>
      </c>
    </row>
    <row r="75">
      <c r="A75" s="228">
        <v>74.0</v>
      </c>
      <c r="B75" s="226">
        <v>399.0</v>
      </c>
      <c r="C75" s="226" t="s">
        <v>987</v>
      </c>
      <c r="D75" s="226" t="s">
        <v>4176</v>
      </c>
      <c r="E75" s="228">
        <v>1.0</v>
      </c>
      <c r="F75" s="249"/>
      <c r="G75" s="250">
        <v>45090.0</v>
      </c>
      <c r="H75" s="250">
        <v>45267.0</v>
      </c>
      <c r="I75" s="228">
        <v>177.0</v>
      </c>
      <c r="K75" s="226" t="s">
        <v>4181</v>
      </c>
      <c r="L75" s="226" t="s">
        <v>289</v>
      </c>
      <c r="M75" s="226" t="s">
        <v>289</v>
      </c>
      <c r="N75" s="226" t="s">
        <v>4185</v>
      </c>
      <c r="O75" s="226" t="s">
        <v>4183</v>
      </c>
      <c r="P75" s="250">
        <v>46106.59635040509</v>
      </c>
    </row>
    <row r="76">
      <c r="A76" s="228">
        <v>75.0</v>
      </c>
      <c r="B76" s="226">
        <v>400.0</v>
      </c>
      <c r="C76" s="226" t="s">
        <v>1006</v>
      </c>
      <c r="D76" s="226" t="s">
        <v>4176</v>
      </c>
      <c r="E76" s="228">
        <v>1.0</v>
      </c>
      <c r="F76" s="249"/>
      <c r="G76" s="250">
        <v>45091.0</v>
      </c>
      <c r="H76" s="250">
        <v>45456.0</v>
      </c>
      <c r="I76" s="228">
        <v>365.0</v>
      </c>
      <c r="K76" s="226" t="s">
        <v>4181</v>
      </c>
      <c r="L76" s="226" t="s">
        <v>162</v>
      </c>
      <c r="M76" s="226" t="s">
        <v>261</v>
      </c>
      <c r="N76" s="226" t="s">
        <v>4185</v>
      </c>
      <c r="O76" s="226" t="s">
        <v>4183</v>
      </c>
      <c r="P76" s="250">
        <v>46106.59635040509</v>
      </c>
    </row>
    <row r="77">
      <c r="A77" s="228">
        <v>76.0</v>
      </c>
      <c r="B77" s="226">
        <v>401.0</v>
      </c>
      <c r="C77" s="226" t="s">
        <v>1026</v>
      </c>
      <c r="D77" s="226" t="s">
        <v>4176</v>
      </c>
      <c r="E77" s="228">
        <v>1.0</v>
      </c>
      <c r="F77" s="249"/>
      <c r="G77" s="250">
        <v>45091.0</v>
      </c>
      <c r="H77" s="250">
        <v>45290.0</v>
      </c>
      <c r="I77" s="228">
        <v>199.0</v>
      </c>
      <c r="K77" s="226" t="s">
        <v>4181</v>
      </c>
      <c r="L77" s="226" t="s">
        <v>162</v>
      </c>
      <c r="M77" s="226" t="s">
        <v>289</v>
      </c>
      <c r="N77" s="226" t="s">
        <v>4185</v>
      </c>
      <c r="O77" s="226" t="s">
        <v>4183</v>
      </c>
      <c r="P77" s="250">
        <v>46106.59635040509</v>
      </c>
    </row>
    <row r="78">
      <c r="A78" s="228">
        <v>77.0</v>
      </c>
      <c r="B78" s="226">
        <v>403.0</v>
      </c>
      <c r="C78" s="226" t="s">
        <v>1301</v>
      </c>
      <c r="D78" s="226" t="s">
        <v>4176</v>
      </c>
      <c r="E78" s="228">
        <v>1.0</v>
      </c>
      <c r="F78" s="249"/>
      <c r="G78" s="250">
        <v>45093.0</v>
      </c>
      <c r="H78" s="250">
        <v>46387.0</v>
      </c>
      <c r="I78" s="228">
        <v>1294.0</v>
      </c>
      <c r="K78" s="226" t="s">
        <v>4181</v>
      </c>
      <c r="L78" s="226" t="s">
        <v>122</v>
      </c>
      <c r="M78" s="226" t="s">
        <v>14</v>
      </c>
      <c r="N78" s="226" t="s">
        <v>4184</v>
      </c>
      <c r="O78" s="226" t="s">
        <v>4183</v>
      </c>
      <c r="P78" s="250">
        <v>46106.59635040509</v>
      </c>
    </row>
    <row r="79">
      <c r="A79" s="228">
        <v>78.0</v>
      </c>
      <c r="B79" s="226">
        <v>404.0</v>
      </c>
      <c r="C79" s="226" t="s">
        <v>1310</v>
      </c>
      <c r="D79" s="226" t="s">
        <v>4176</v>
      </c>
      <c r="E79" s="228">
        <v>1.0</v>
      </c>
      <c r="F79" s="249"/>
      <c r="G79" s="250">
        <v>45093.0</v>
      </c>
      <c r="H79" s="250">
        <v>45825.0</v>
      </c>
      <c r="I79" s="228">
        <v>732.0</v>
      </c>
      <c r="K79" s="226" t="s">
        <v>4181</v>
      </c>
      <c r="L79" s="226" t="s">
        <v>311</v>
      </c>
      <c r="M79" s="226" t="s">
        <v>261</v>
      </c>
      <c r="N79" s="226" t="s">
        <v>4190</v>
      </c>
      <c r="O79" s="226" t="s">
        <v>4183</v>
      </c>
      <c r="P79" s="250">
        <v>46106.59635040509</v>
      </c>
    </row>
    <row r="80">
      <c r="A80" s="228">
        <v>79.0</v>
      </c>
      <c r="B80" s="226">
        <v>405.0</v>
      </c>
      <c r="C80" s="226" t="s">
        <v>1059</v>
      </c>
      <c r="D80" s="226" t="s">
        <v>4176</v>
      </c>
      <c r="E80" s="228">
        <v>1.0</v>
      </c>
      <c r="F80" s="249"/>
      <c r="G80" s="250">
        <v>45096.0</v>
      </c>
      <c r="H80" s="250">
        <v>45099.0</v>
      </c>
      <c r="I80" s="228">
        <v>3.0</v>
      </c>
      <c r="K80" s="226" t="s">
        <v>4181</v>
      </c>
      <c r="L80" s="226" t="s">
        <v>175</v>
      </c>
      <c r="M80" s="226" t="s">
        <v>175</v>
      </c>
      <c r="N80" s="226" t="s">
        <v>4185</v>
      </c>
      <c r="O80" s="226" t="s">
        <v>4183</v>
      </c>
      <c r="P80" s="250">
        <v>46106.59635040509</v>
      </c>
    </row>
    <row r="81">
      <c r="A81" s="228">
        <v>80.0</v>
      </c>
      <c r="B81" s="226">
        <v>407.0</v>
      </c>
      <c r="C81" s="226" t="s">
        <v>1091</v>
      </c>
      <c r="D81" s="226" t="s">
        <v>4176</v>
      </c>
      <c r="E81" s="228">
        <v>1.0</v>
      </c>
      <c r="F81" s="249"/>
      <c r="G81" s="250">
        <v>45100.0</v>
      </c>
      <c r="H81" s="250">
        <v>45466.0</v>
      </c>
      <c r="I81" s="228">
        <v>366.0</v>
      </c>
      <c r="K81" s="226" t="s">
        <v>4181</v>
      </c>
      <c r="L81" s="226" t="s">
        <v>162</v>
      </c>
      <c r="M81" s="226" t="s">
        <v>261</v>
      </c>
      <c r="N81" s="226" t="s">
        <v>4185</v>
      </c>
      <c r="O81" s="226" t="s">
        <v>4183</v>
      </c>
      <c r="P81" s="250">
        <v>46106.59635040509</v>
      </c>
    </row>
    <row r="82">
      <c r="A82" s="228">
        <v>81.0</v>
      </c>
      <c r="B82" s="226">
        <v>408.0</v>
      </c>
      <c r="C82" s="226" t="s">
        <v>1099</v>
      </c>
      <c r="D82" s="226" t="s">
        <v>4176</v>
      </c>
      <c r="E82" s="228">
        <v>1.0</v>
      </c>
      <c r="F82" s="249"/>
      <c r="G82" s="250">
        <v>45104.0</v>
      </c>
      <c r="H82" s="250">
        <v>45287.0</v>
      </c>
      <c r="I82" s="228">
        <v>183.0</v>
      </c>
      <c r="K82" s="226" t="s">
        <v>4181</v>
      </c>
      <c r="L82" s="226" t="s">
        <v>311</v>
      </c>
      <c r="M82" s="226" t="s">
        <v>289</v>
      </c>
      <c r="N82" s="226" t="s">
        <v>4185</v>
      </c>
      <c r="O82" s="226" t="s">
        <v>4183</v>
      </c>
      <c r="P82" s="250">
        <v>46106.59635040509</v>
      </c>
    </row>
    <row r="83">
      <c r="A83" s="228">
        <v>82.0</v>
      </c>
      <c r="B83" s="226">
        <v>410.0</v>
      </c>
      <c r="C83" s="226" t="s">
        <v>1105</v>
      </c>
      <c r="D83" s="226" t="s">
        <v>4176</v>
      </c>
      <c r="E83" s="228">
        <v>1.0</v>
      </c>
      <c r="F83" s="249"/>
      <c r="G83" s="250">
        <v>45107.0</v>
      </c>
      <c r="H83" s="250">
        <v>45301.0</v>
      </c>
      <c r="I83" s="228">
        <v>194.0</v>
      </c>
      <c r="K83" s="226" t="s">
        <v>4181</v>
      </c>
      <c r="L83" s="226" t="s">
        <v>162</v>
      </c>
      <c r="M83" s="226" t="s">
        <v>289</v>
      </c>
      <c r="N83" s="226" t="s">
        <v>4185</v>
      </c>
      <c r="O83" s="226" t="s">
        <v>4183</v>
      </c>
      <c r="P83" s="250">
        <v>46106.59635040509</v>
      </c>
    </row>
    <row r="84">
      <c r="A84" s="228">
        <v>83.0</v>
      </c>
      <c r="B84" s="226">
        <v>409.0</v>
      </c>
      <c r="C84" s="226" t="s">
        <v>237</v>
      </c>
      <c r="D84" s="226" t="s">
        <v>4176</v>
      </c>
      <c r="E84" s="228">
        <v>1.0</v>
      </c>
      <c r="F84" s="249"/>
      <c r="G84" s="250">
        <v>45107.0</v>
      </c>
      <c r="H84" s="250">
        <v>45838.0</v>
      </c>
      <c r="I84" s="228">
        <v>731.0</v>
      </c>
      <c r="K84" s="226" t="s">
        <v>4181</v>
      </c>
      <c r="L84" s="226" t="s">
        <v>247</v>
      </c>
      <c r="M84" s="226" t="s">
        <v>14</v>
      </c>
      <c r="N84" s="226" t="s">
        <v>4190</v>
      </c>
      <c r="O84" s="226" t="s">
        <v>4183</v>
      </c>
      <c r="P84" s="250">
        <v>46106.59635040509</v>
      </c>
    </row>
    <row r="85">
      <c r="A85" s="228">
        <v>84.0</v>
      </c>
      <c r="B85" s="226">
        <v>412.0</v>
      </c>
      <c r="C85" s="226" t="s">
        <v>1118</v>
      </c>
      <c r="D85" s="226" t="s">
        <v>4176</v>
      </c>
      <c r="E85" s="228">
        <v>1.0</v>
      </c>
      <c r="F85" s="249"/>
      <c r="G85" s="250">
        <v>45111.0</v>
      </c>
      <c r="H85" s="250">
        <v>45485.0</v>
      </c>
      <c r="I85" s="228">
        <v>374.0</v>
      </c>
      <c r="K85" s="226" t="s">
        <v>4181</v>
      </c>
      <c r="L85" s="226" t="s">
        <v>311</v>
      </c>
      <c r="M85" s="226" t="s">
        <v>289</v>
      </c>
      <c r="N85" s="226" t="s">
        <v>4185</v>
      </c>
      <c r="O85" s="226" t="s">
        <v>4183</v>
      </c>
      <c r="P85" s="250">
        <v>46106.59635040509</v>
      </c>
    </row>
    <row r="86">
      <c r="A86" s="228">
        <v>85.0</v>
      </c>
      <c r="B86" s="226">
        <v>413.0</v>
      </c>
      <c r="C86" s="226" t="s">
        <v>1124</v>
      </c>
      <c r="D86" s="226" t="s">
        <v>4188</v>
      </c>
      <c r="E86" s="228">
        <v>1.0</v>
      </c>
      <c r="F86" s="249"/>
      <c r="G86" s="250">
        <v>45113.0</v>
      </c>
      <c r="H86" s="250">
        <v>45291.0</v>
      </c>
      <c r="I86" s="228">
        <v>178.0</v>
      </c>
      <c r="K86" s="226" t="s">
        <v>4181</v>
      </c>
      <c r="L86" s="226" t="s">
        <v>162</v>
      </c>
      <c r="M86" s="226" t="s">
        <v>289</v>
      </c>
      <c r="N86" s="226" t="s">
        <v>4185</v>
      </c>
      <c r="O86" s="226" t="s">
        <v>4183</v>
      </c>
      <c r="P86" s="250">
        <v>46106.59635040509</v>
      </c>
    </row>
    <row r="87">
      <c r="A87" s="228">
        <v>86.0</v>
      </c>
      <c r="B87" s="226">
        <v>416.0</v>
      </c>
      <c r="C87" s="226" t="s">
        <v>1138</v>
      </c>
      <c r="D87" s="226" t="s">
        <v>4188</v>
      </c>
      <c r="E87" s="228">
        <v>1.0</v>
      </c>
      <c r="F87" s="249"/>
      <c r="G87" s="250">
        <v>45119.0</v>
      </c>
      <c r="H87" s="250">
        <v>45291.0</v>
      </c>
      <c r="I87" s="228">
        <v>172.0</v>
      </c>
      <c r="K87" s="226" t="s">
        <v>4181</v>
      </c>
      <c r="L87" s="226" t="s">
        <v>289</v>
      </c>
      <c r="M87" s="226" t="s">
        <v>289</v>
      </c>
      <c r="N87" s="226" t="s">
        <v>4185</v>
      </c>
      <c r="O87" s="226" t="s">
        <v>4183</v>
      </c>
      <c r="P87" s="250">
        <v>46106.59635040509</v>
      </c>
    </row>
    <row r="88">
      <c r="A88" s="228">
        <v>87.0</v>
      </c>
      <c r="B88" s="226">
        <v>417.0</v>
      </c>
      <c r="C88" s="226" t="s">
        <v>1357</v>
      </c>
      <c r="D88" s="226" t="s">
        <v>4176</v>
      </c>
      <c r="E88" s="228">
        <v>1.0</v>
      </c>
      <c r="F88" s="249"/>
      <c r="G88" s="250">
        <v>45119.0</v>
      </c>
      <c r="H88" s="250">
        <v>46206.0</v>
      </c>
      <c r="I88" s="228">
        <v>1087.0</v>
      </c>
      <c r="K88" s="226" t="s">
        <v>4181</v>
      </c>
      <c r="L88" s="226" t="s">
        <v>247</v>
      </c>
      <c r="M88" s="226" t="s">
        <v>123</v>
      </c>
      <c r="N88" s="226" t="s">
        <v>4184</v>
      </c>
      <c r="O88" s="226" t="s">
        <v>4183</v>
      </c>
      <c r="P88" s="250">
        <v>46106.59635040509</v>
      </c>
    </row>
    <row r="89">
      <c r="A89" s="228">
        <v>88.0</v>
      </c>
      <c r="B89" s="226">
        <v>418.0</v>
      </c>
      <c r="C89" s="226" t="s">
        <v>1142</v>
      </c>
      <c r="D89" s="226" t="s">
        <v>4176</v>
      </c>
      <c r="E89" s="228">
        <v>1.0</v>
      </c>
      <c r="F89" s="249"/>
      <c r="G89" s="250">
        <v>45125.0</v>
      </c>
      <c r="H89" s="250">
        <v>45128.0</v>
      </c>
      <c r="I89" s="228">
        <v>3.0</v>
      </c>
      <c r="K89" s="226" t="s">
        <v>4181</v>
      </c>
      <c r="L89" s="226" t="s">
        <v>175</v>
      </c>
      <c r="M89" s="226" t="s">
        <v>175</v>
      </c>
      <c r="N89" s="226" t="s">
        <v>4185</v>
      </c>
      <c r="O89" s="226" t="s">
        <v>4183</v>
      </c>
      <c r="P89" s="250">
        <v>46106.59635040509</v>
      </c>
    </row>
    <row r="90">
      <c r="A90" s="228">
        <v>89.0</v>
      </c>
      <c r="B90" s="226">
        <v>420.0</v>
      </c>
      <c r="C90" s="226" t="s">
        <v>1367</v>
      </c>
      <c r="D90" s="226" t="s">
        <v>4176</v>
      </c>
      <c r="E90" s="228">
        <v>1.0</v>
      </c>
      <c r="F90" s="249"/>
      <c r="G90" s="250">
        <v>45126.0</v>
      </c>
      <c r="H90" s="250">
        <v>46179.0</v>
      </c>
      <c r="I90" s="228">
        <v>1053.0</v>
      </c>
      <c r="K90" s="226" t="s">
        <v>4181</v>
      </c>
      <c r="L90" s="226" t="s">
        <v>122</v>
      </c>
      <c r="M90" s="226" t="s">
        <v>123</v>
      </c>
      <c r="N90" s="226" t="s">
        <v>4185</v>
      </c>
      <c r="O90" s="226" t="s">
        <v>4183</v>
      </c>
      <c r="P90" s="250">
        <v>46106.59635040509</v>
      </c>
    </row>
    <row r="91">
      <c r="A91" s="228">
        <v>90.0</v>
      </c>
      <c r="B91" s="226">
        <v>421.0</v>
      </c>
      <c r="C91" s="226" t="s">
        <v>483</v>
      </c>
      <c r="D91" s="226" t="s">
        <v>4176</v>
      </c>
      <c r="E91" s="228">
        <v>1.0</v>
      </c>
      <c r="F91" s="249"/>
      <c r="G91" s="250">
        <v>45126.0</v>
      </c>
      <c r="H91" s="250">
        <v>46179.0</v>
      </c>
      <c r="I91" s="228">
        <v>1053.0</v>
      </c>
      <c r="K91" s="226" t="s">
        <v>4181</v>
      </c>
      <c r="L91" s="226" t="s">
        <v>122</v>
      </c>
      <c r="M91" s="226" t="s">
        <v>123</v>
      </c>
      <c r="N91" s="226" t="s">
        <v>4185</v>
      </c>
      <c r="O91" s="226" t="s">
        <v>4183</v>
      </c>
      <c r="P91" s="250">
        <v>46106.59635040509</v>
      </c>
    </row>
    <row r="92">
      <c r="A92" s="228">
        <v>91.0</v>
      </c>
      <c r="B92" s="226">
        <v>422.0</v>
      </c>
      <c r="C92" s="226" t="s">
        <v>1388</v>
      </c>
      <c r="D92" s="226" t="s">
        <v>4176</v>
      </c>
      <c r="E92" s="228">
        <v>1.0</v>
      </c>
      <c r="F92" s="249"/>
      <c r="G92" s="250">
        <v>45126.0</v>
      </c>
      <c r="H92" s="250">
        <v>46179.0</v>
      </c>
      <c r="I92" s="228">
        <v>1053.0</v>
      </c>
      <c r="K92" s="226" t="s">
        <v>4181</v>
      </c>
      <c r="L92" s="226" t="s">
        <v>122</v>
      </c>
      <c r="M92" s="226" t="s">
        <v>123</v>
      </c>
      <c r="N92" s="226" t="s">
        <v>4185</v>
      </c>
      <c r="O92" s="226" t="s">
        <v>4183</v>
      </c>
      <c r="P92" s="250">
        <v>46106.59635040509</v>
      </c>
    </row>
    <row r="93">
      <c r="A93" s="228">
        <v>92.0</v>
      </c>
      <c r="B93" s="226">
        <v>423.0</v>
      </c>
      <c r="C93" s="226" t="s">
        <v>488</v>
      </c>
      <c r="D93" s="226" t="s">
        <v>4176</v>
      </c>
      <c r="E93" s="228">
        <v>1.0</v>
      </c>
      <c r="F93" s="249"/>
      <c r="G93" s="250">
        <v>45126.0</v>
      </c>
      <c r="H93" s="250">
        <v>46179.0</v>
      </c>
      <c r="I93" s="228">
        <v>1053.0</v>
      </c>
      <c r="K93" s="226" t="s">
        <v>4181</v>
      </c>
      <c r="L93" s="226" t="s">
        <v>122</v>
      </c>
      <c r="M93" s="226" t="s">
        <v>123</v>
      </c>
      <c r="N93" s="226" t="s">
        <v>4185</v>
      </c>
      <c r="O93" s="226" t="s">
        <v>4183</v>
      </c>
      <c r="P93" s="250">
        <v>46106.59635040509</v>
      </c>
    </row>
    <row r="94">
      <c r="A94" s="228">
        <v>93.0</v>
      </c>
      <c r="B94" s="226">
        <v>424.0</v>
      </c>
      <c r="C94" s="226" t="s">
        <v>1166</v>
      </c>
      <c r="D94" s="226" t="s">
        <v>4176</v>
      </c>
      <c r="E94" s="228">
        <v>1.0</v>
      </c>
      <c r="F94" s="249"/>
      <c r="G94" s="250">
        <v>45127.0</v>
      </c>
      <c r="H94" s="250">
        <v>45291.0</v>
      </c>
      <c r="I94" s="228">
        <v>164.0</v>
      </c>
      <c r="K94" s="226" t="s">
        <v>4181</v>
      </c>
      <c r="L94" s="226" t="s">
        <v>216</v>
      </c>
      <c r="M94" s="226" t="s">
        <v>289</v>
      </c>
      <c r="N94" s="226" t="s">
        <v>4185</v>
      </c>
      <c r="O94" s="226" t="s">
        <v>4183</v>
      </c>
      <c r="P94" s="250">
        <v>46106.59635040509</v>
      </c>
    </row>
    <row r="95">
      <c r="A95" s="228">
        <v>94.0</v>
      </c>
      <c r="B95" s="226">
        <v>425.0</v>
      </c>
      <c r="C95" s="226" t="s">
        <v>1173</v>
      </c>
      <c r="D95" s="226" t="s">
        <v>4176</v>
      </c>
      <c r="E95" s="228">
        <v>1.0</v>
      </c>
      <c r="F95" s="249"/>
      <c r="G95" s="250">
        <v>45131.0</v>
      </c>
      <c r="H95" s="250">
        <v>45657.0</v>
      </c>
      <c r="I95" s="228">
        <v>526.0</v>
      </c>
      <c r="K95" s="226" t="s">
        <v>4181</v>
      </c>
      <c r="L95" s="226" t="s">
        <v>162</v>
      </c>
      <c r="M95" s="226" t="s">
        <v>261</v>
      </c>
      <c r="N95" s="226" t="s">
        <v>4185</v>
      </c>
      <c r="O95" s="226" t="s">
        <v>4183</v>
      </c>
      <c r="P95" s="250">
        <v>46106.59635040509</v>
      </c>
    </row>
    <row r="96">
      <c r="A96" s="228">
        <v>95.0</v>
      </c>
      <c r="B96" s="226">
        <v>428.0</v>
      </c>
      <c r="C96" s="226" t="s">
        <v>1324</v>
      </c>
      <c r="D96" s="226" t="s">
        <v>4176</v>
      </c>
      <c r="E96" s="228">
        <v>1.0</v>
      </c>
      <c r="F96" s="249"/>
      <c r="G96" s="250">
        <v>45135.0</v>
      </c>
      <c r="H96" s="250">
        <v>46266.0</v>
      </c>
      <c r="I96" s="228">
        <v>1131.0</v>
      </c>
      <c r="K96" s="226" t="s">
        <v>4181</v>
      </c>
      <c r="L96" s="226" t="s">
        <v>261</v>
      </c>
      <c r="M96" s="226" t="s">
        <v>14</v>
      </c>
      <c r="N96" s="226" t="s">
        <v>4184</v>
      </c>
      <c r="O96" s="226" t="s">
        <v>4183</v>
      </c>
      <c r="P96" s="250">
        <v>46106.59635040509</v>
      </c>
    </row>
    <row r="97">
      <c r="A97" s="228">
        <v>96.0</v>
      </c>
      <c r="B97" s="226">
        <v>426.0</v>
      </c>
      <c r="C97" s="226" t="s">
        <v>1430</v>
      </c>
      <c r="D97" s="226" t="s">
        <v>4176</v>
      </c>
      <c r="E97" s="228">
        <v>1.0</v>
      </c>
      <c r="F97" s="249"/>
      <c r="G97" s="250">
        <v>45135.0</v>
      </c>
      <c r="H97" s="250">
        <v>46022.0</v>
      </c>
      <c r="I97" s="228">
        <v>887.0</v>
      </c>
      <c r="K97" s="226" t="s">
        <v>4181</v>
      </c>
      <c r="L97" s="226" t="s">
        <v>247</v>
      </c>
      <c r="M97" s="226" t="s">
        <v>14</v>
      </c>
      <c r="N97" s="226" t="s">
        <v>4184</v>
      </c>
      <c r="O97" s="226" t="s">
        <v>4183</v>
      </c>
      <c r="P97" s="250">
        <v>46106.59635040509</v>
      </c>
    </row>
    <row r="98">
      <c r="A98" s="228">
        <v>97.0</v>
      </c>
      <c r="B98" s="226">
        <v>429.0</v>
      </c>
      <c r="C98" s="226" t="s">
        <v>1182</v>
      </c>
      <c r="D98" s="226" t="s">
        <v>4176</v>
      </c>
      <c r="E98" s="228">
        <v>1.0</v>
      </c>
      <c r="F98" s="249"/>
      <c r="G98" s="250">
        <v>45138.0</v>
      </c>
      <c r="H98" s="250">
        <v>45322.0</v>
      </c>
      <c r="I98" s="228">
        <v>184.0</v>
      </c>
      <c r="K98" s="226" t="s">
        <v>4181</v>
      </c>
      <c r="L98" s="226" t="s">
        <v>259</v>
      </c>
      <c r="M98" s="226" t="s">
        <v>289</v>
      </c>
      <c r="N98" s="226" t="s">
        <v>4185</v>
      </c>
      <c r="O98" s="226" t="s">
        <v>4183</v>
      </c>
      <c r="P98" s="250">
        <v>46106.59635040509</v>
      </c>
    </row>
    <row r="99">
      <c r="A99" s="228">
        <v>98.0</v>
      </c>
      <c r="B99" s="226">
        <v>427.0</v>
      </c>
      <c r="C99" s="226" t="s">
        <v>1449</v>
      </c>
      <c r="D99" s="226" t="s">
        <v>4176</v>
      </c>
      <c r="E99" s="228">
        <v>1.0</v>
      </c>
      <c r="F99" s="249"/>
      <c r="G99" s="250">
        <v>45138.0</v>
      </c>
      <c r="H99" s="250">
        <v>45503.0</v>
      </c>
      <c r="I99" s="228">
        <v>365.0</v>
      </c>
      <c r="K99" s="226" t="s">
        <v>4181</v>
      </c>
      <c r="L99" s="226" t="s">
        <v>247</v>
      </c>
      <c r="M99" s="226" t="s">
        <v>261</v>
      </c>
      <c r="N99" s="226" t="s">
        <v>4185</v>
      </c>
      <c r="O99" s="226" t="s">
        <v>4183</v>
      </c>
      <c r="P99" s="250">
        <v>46106.59635040509</v>
      </c>
    </row>
    <row r="100">
      <c r="A100" s="228">
        <v>99.0</v>
      </c>
      <c r="B100" s="226">
        <v>431.0</v>
      </c>
      <c r="C100" s="226" t="s">
        <v>1454</v>
      </c>
      <c r="D100" s="226" t="s">
        <v>4176</v>
      </c>
      <c r="E100" s="228">
        <v>1.0</v>
      </c>
      <c r="F100" s="249"/>
      <c r="G100" s="250">
        <v>45139.0</v>
      </c>
      <c r="H100" s="250">
        <v>46429.0</v>
      </c>
      <c r="I100" s="228">
        <v>1290.0</v>
      </c>
      <c r="K100" s="226" t="s">
        <v>4181</v>
      </c>
      <c r="L100" s="226" t="s">
        <v>261</v>
      </c>
      <c r="N100" s="226" t="s">
        <v>4182</v>
      </c>
      <c r="O100" s="226" t="s">
        <v>4183</v>
      </c>
      <c r="P100" s="250">
        <v>46106.59635040509</v>
      </c>
    </row>
    <row r="101">
      <c r="A101" s="228">
        <v>100.0</v>
      </c>
      <c r="B101" s="226">
        <v>432.0</v>
      </c>
      <c r="C101" s="226" t="s">
        <v>1464</v>
      </c>
      <c r="D101" s="226" t="s">
        <v>4176</v>
      </c>
      <c r="E101" s="228">
        <v>1.0</v>
      </c>
      <c r="F101" s="249"/>
      <c r="G101" s="250">
        <v>45139.0</v>
      </c>
      <c r="H101" s="250">
        <v>46429.0</v>
      </c>
      <c r="I101" s="228">
        <v>1290.0</v>
      </c>
      <c r="K101" s="226" t="s">
        <v>4181</v>
      </c>
      <c r="L101" s="226" t="s">
        <v>261</v>
      </c>
      <c r="N101" s="226" t="s">
        <v>4182</v>
      </c>
      <c r="O101" s="226" t="s">
        <v>4183</v>
      </c>
      <c r="P101" s="250">
        <v>46106.59635040509</v>
      </c>
    </row>
    <row r="102">
      <c r="A102" s="228">
        <v>101.0</v>
      </c>
      <c r="B102" s="226">
        <v>433.0</v>
      </c>
      <c r="C102" s="226" t="s">
        <v>1470</v>
      </c>
      <c r="D102" s="226" t="s">
        <v>4176</v>
      </c>
      <c r="E102" s="228">
        <v>1.0</v>
      </c>
      <c r="F102" s="249"/>
      <c r="G102" s="250">
        <v>45140.0</v>
      </c>
      <c r="H102" s="250">
        <v>46282.0</v>
      </c>
      <c r="I102" s="228">
        <v>1142.0</v>
      </c>
      <c r="K102" s="226" t="s">
        <v>4181</v>
      </c>
      <c r="L102" s="226" t="s">
        <v>261</v>
      </c>
      <c r="M102" s="226" t="s">
        <v>123</v>
      </c>
      <c r="N102" s="226" t="s">
        <v>4184</v>
      </c>
      <c r="O102" s="226" t="s">
        <v>4183</v>
      </c>
      <c r="P102" s="250">
        <v>46106.59635040509</v>
      </c>
    </row>
    <row r="103">
      <c r="A103" s="228">
        <v>102.0</v>
      </c>
      <c r="B103" s="226">
        <v>437.0</v>
      </c>
      <c r="C103" s="226" t="s">
        <v>1483</v>
      </c>
      <c r="D103" s="226" t="s">
        <v>4176</v>
      </c>
      <c r="E103" s="228">
        <v>1.0</v>
      </c>
      <c r="F103" s="249"/>
      <c r="G103" s="250">
        <v>45146.0</v>
      </c>
      <c r="H103" s="250">
        <v>45363.0</v>
      </c>
      <c r="I103" s="228">
        <v>217.0</v>
      </c>
      <c r="K103" s="226" t="s">
        <v>4181</v>
      </c>
      <c r="L103" s="226" t="s">
        <v>247</v>
      </c>
      <c r="M103" s="226" t="s">
        <v>289</v>
      </c>
      <c r="N103" s="226" t="s">
        <v>4185</v>
      </c>
      <c r="O103" s="226" t="s">
        <v>4183</v>
      </c>
      <c r="P103" s="250">
        <v>46106.59635040509</v>
      </c>
    </row>
    <row r="104">
      <c r="A104" s="228">
        <v>103.0</v>
      </c>
      <c r="B104" s="226">
        <v>438.0</v>
      </c>
      <c r="C104" s="226" t="s">
        <v>1495</v>
      </c>
      <c r="D104" s="226" t="s">
        <v>4176</v>
      </c>
      <c r="E104" s="228">
        <v>1.0</v>
      </c>
      <c r="F104" s="249"/>
      <c r="G104" s="250">
        <v>45146.0</v>
      </c>
      <c r="H104" s="250">
        <v>45882.0</v>
      </c>
      <c r="I104" s="228">
        <v>736.0</v>
      </c>
      <c r="K104" s="226" t="s">
        <v>4181</v>
      </c>
      <c r="L104" s="226" t="s">
        <v>311</v>
      </c>
      <c r="M104" s="226" t="s">
        <v>261</v>
      </c>
      <c r="N104" s="226" t="s">
        <v>4190</v>
      </c>
      <c r="O104" s="226" t="s">
        <v>4183</v>
      </c>
      <c r="P104" s="250">
        <v>46106.59635040509</v>
      </c>
    </row>
    <row r="105">
      <c r="A105" s="228">
        <v>104.0</v>
      </c>
      <c r="B105" s="226">
        <v>439.0</v>
      </c>
      <c r="C105" s="226" t="s">
        <v>1187</v>
      </c>
      <c r="D105" s="226" t="s">
        <v>4176</v>
      </c>
      <c r="E105" s="228">
        <v>1.0</v>
      </c>
      <c r="F105" s="249"/>
      <c r="G105" s="250">
        <v>45147.0</v>
      </c>
      <c r="H105" s="250">
        <v>45154.0</v>
      </c>
      <c r="I105" s="228">
        <v>7.0</v>
      </c>
      <c r="K105" s="226" t="s">
        <v>4181</v>
      </c>
      <c r="L105" s="226" t="s">
        <v>259</v>
      </c>
      <c r="M105" s="226" t="s">
        <v>175</v>
      </c>
      <c r="N105" s="226" t="s">
        <v>4185</v>
      </c>
      <c r="O105" s="226" t="s">
        <v>4183</v>
      </c>
      <c r="P105" s="250">
        <v>46106.59635040509</v>
      </c>
    </row>
    <row r="106">
      <c r="A106" s="228">
        <v>105.0</v>
      </c>
      <c r="B106" s="226">
        <v>440.0</v>
      </c>
      <c r="C106" s="226" t="s">
        <v>1503</v>
      </c>
      <c r="D106" s="226" t="s">
        <v>4176</v>
      </c>
      <c r="E106" s="228">
        <v>1.0</v>
      </c>
      <c r="F106" s="249"/>
      <c r="G106" s="250">
        <v>45147.0</v>
      </c>
      <c r="H106" s="250">
        <v>45882.0</v>
      </c>
      <c r="I106" s="228">
        <v>735.0</v>
      </c>
      <c r="K106" s="226" t="s">
        <v>4181</v>
      </c>
      <c r="L106" s="226" t="s">
        <v>210</v>
      </c>
      <c r="M106" s="226" t="s">
        <v>261</v>
      </c>
      <c r="N106" s="226" t="s">
        <v>4190</v>
      </c>
      <c r="O106" s="226" t="s">
        <v>4183</v>
      </c>
      <c r="P106" s="250">
        <v>46106.59635040509</v>
      </c>
    </row>
    <row r="107">
      <c r="A107" s="228">
        <v>106.0</v>
      </c>
      <c r="B107" s="226">
        <v>307.0</v>
      </c>
      <c r="C107" s="226" t="s">
        <v>1193</v>
      </c>
      <c r="D107" s="226" t="s">
        <v>4176</v>
      </c>
      <c r="E107" s="228">
        <v>1.0</v>
      </c>
      <c r="F107" s="249"/>
      <c r="G107" s="250">
        <v>45148.0</v>
      </c>
      <c r="H107" s="250">
        <v>45657.0</v>
      </c>
      <c r="I107" s="228">
        <v>509.0</v>
      </c>
      <c r="K107" s="226" t="s">
        <v>4181</v>
      </c>
      <c r="L107" s="226" t="s">
        <v>216</v>
      </c>
      <c r="M107" s="226" t="s">
        <v>289</v>
      </c>
      <c r="N107" s="226" t="s">
        <v>4185</v>
      </c>
      <c r="O107" s="226" t="s">
        <v>4183</v>
      </c>
      <c r="P107" s="250">
        <v>46106.59635040509</v>
      </c>
    </row>
    <row r="108">
      <c r="A108" s="228">
        <v>107.0</v>
      </c>
      <c r="B108" s="226">
        <v>441.0</v>
      </c>
      <c r="C108" s="226" t="s">
        <v>549</v>
      </c>
      <c r="D108" s="226" t="s">
        <v>4176</v>
      </c>
      <c r="E108" s="228">
        <v>1.0</v>
      </c>
      <c r="F108" s="249"/>
      <c r="G108" s="250">
        <v>45148.0</v>
      </c>
      <c r="H108" s="250">
        <v>45657.0</v>
      </c>
      <c r="I108" s="228">
        <v>509.0</v>
      </c>
      <c r="K108" s="226" t="s">
        <v>4181</v>
      </c>
      <c r="L108" s="226" t="s">
        <v>311</v>
      </c>
      <c r="M108" s="226" t="s">
        <v>289</v>
      </c>
      <c r="N108" s="226" t="s">
        <v>4185</v>
      </c>
      <c r="O108" s="226" t="s">
        <v>4183</v>
      </c>
      <c r="P108" s="250">
        <v>46106.59635040509</v>
      </c>
    </row>
    <row r="109">
      <c r="A109" s="228">
        <v>108.0</v>
      </c>
      <c r="B109" s="226">
        <v>442.0</v>
      </c>
      <c r="C109" s="226" t="s">
        <v>667</v>
      </c>
      <c r="D109" s="226" t="s">
        <v>4176</v>
      </c>
      <c r="E109" s="228">
        <v>1.0</v>
      </c>
      <c r="F109" s="249"/>
      <c r="G109" s="250">
        <v>45148.0</v>
      </c>
      <c r="H109" s="250">
        <v>45291.0</v>
      </c>
      <c r="I109" s="228">
        <v>143.0</v>
      </c>
      <c r="K109" s="226" t="s">
        <v>4181</v>
      </c>
      <c r="L109" s="226" t="s">
        <v>247</v>
      </c>
      <c r="M109" s="226" t="s">
        <v>289</v>
      </c>
      <c r="N109" s="226" t="s">
        <v>4185</v>
      </c>
      <c r="O109" s="226" t="s">
        <v>4183</v>
      </c>
      <c r="P109" s="250">
        <v>46106.59635040509</v>
      </c>
    </row>
    <row r="110">
      <c r="A110" s="228">
        <v>109.0</v>
      </c>
      <c r="B110" s="226">
        <v>443.0</v>
      </c>
      <c r="C110" s="226" t="s">
        <v>1199</v>
      </c>
      <c r="D110" s="226" t="s">
        <v>4176</v>
      </c>
      <c r="E110" s="228">
        <v>1.0</v>
      </c>
      <c r="F110" s="249"/>
      <c r="G110" s="250">
        <v>45152.0</v>
      </c>
      <c r="H110" s="250">
        <v>45536.0</v>
      </c>
      <c r="I110" s="228">
        <v>384.0</v>
      </c>
      <c r="K110" s="226" t="s">
        <v>4181</v>
      </c>
      <c r="L110" s="226" t="s">
        <v>311</v>
      </c>
      <c r="M110" s="226" t="s">
        <v>289</v>
      </c>
      <c r="N110" s="226" t="s">
        <v>4185</v>
      </c>
      <c r="O110" s="226" t="s">
        <v>4183</v>
      </c>
      <c r="P110" s="250">
        <v>46106.59635040509</v>
      </c>
    </row>
    <row r="111">
      <c r="A111" s="228">
        <v>110.0</v>
      </c>
      <c r="B111" s="226">
        <v>446.0</v>
      </c>
      <c r="C111" s="226" t="s">
        <v>858</v>
      </c>
      <c r="D111" s="226" t="s">
        <v>4176</v>
      </c>
      <c r="E111" s="228">
        <v>1.0</v>
      </c>
      <c r="F111" s="249"/>
      <c r="G111" s="250">
        <v>45155.0</v>
      </c>
      <c r="H111" s="250">
        <v>46251.0</v>
      </c>
      <c r="I111" s="228">
        <v>1096.0</v>
      </c>
      <c r="K111" s="226" t="s">
        <v>4181</v>
      </c>
      <c r="L111" s="226" t="s">
        <v>210</v>
      </c>
      <c r="M111" s="226" t="s">
        <v>38</v>
      </c>
      <c r="N111" s="226" t="s">
        <v>4184</v>
      </c>
      <c r="O111" s="226" t="s">
        <v>4183</v>
      </c>
      <c r="P111" s="250">
        <v>46106.59635040509</v>
      </c>
    </row>
    <row r="112">
      <c r="A112" s="228">
        <v>111.0</v>
      </c>
      <c r="B112" s="226">
        <v>445.0</v>
      </c>
      <c r="C112" s="226" t="s">
        <v>1537</v>
      </c>
      <c r="D112" s="226" t="s">
        <v>4176</v>
      </c>
      <c r="E112" s="228">
        <v>1.0</v>
      </c>
      <c r="F112" s="249"/>
      <c r="G112" s="250">
        <v>45155.0</v>
      </c>
      <c r="H112" s="250">
        <v>45657.0</v>
      </c>
      <c r="I112" s="228">
        <v>502.0</v>
      </c>
      <c r="K112" s="226" t="s">
        <v>4181</v>
      </c>
      <c r="L112" s="226" t="s">
        <v>247</v>
      </c>
      <c r="M112" s="226" t="s">
        <v>261</v>
      </c>
      <c r="N112" s="226" t="s">
        <v>4185</v>
      </c>
      <c r="O112" s="226" t="s">
        <v>4183</v>
      </c>
      <c r="P112" s="250">
        <v>46106.59635040509</v>
      </c>
    </row>
    <row r="113">
      <c r="A113" s="228">
        <v>112.0</v>
      </c>
      <c r="B113" s="226">
        <v>447.0</v>
      </c>
      <c r="C113" s="226" t="s">
        <v>867</v>
      </c>
      <c r="D113" s="226" t="s">
        <v>4176</v>
      </c>
      <c r="E113" s="228">
        <v>1.0</v>
      </c>
      <c r="F113" s="249"/>
      <c r="G113" s="250">
        <v>45156.0</v>
      </c>
      <c r="H113" s="250">
        <v>46113.0</v>
      </c>
      <c r="I113" s="228">
        <v>957.0</v>
      </c>
      <c r="K113" s="226" t="s">
        <v>4181</v>
      </c>
      <c r="L113" s="226" t="s">
        <v>261</v>
      </c>
      <c r="M113" s="226" t="s">
        <v>14</v>
      </c>
      <c r="N113" s="226" t="s">
        <v>4184</v>
      </c>
      <c r="O113" s="226" t="s">
        <v>4183</v>
      </c>
      <c r="P113" s="250">
        <v>46106.59635040509</v>
      </c>
    </row>
    <row r="114">
      <c r="A114" s="228">
        <v>113.0</v>
      </c>
      <c r="B114" s="226">
        <v>448.0</v>
      </c>
      <c r="C114" s="226" t="s">
        <v>1221</v>
      </c>
      <c r="D114" s="226" t="s">
        <v>4176</v>
      </c>
      <c r="E114" s="228">
        <v>1.0</v>
      </c>
      <c r="F114" s="249"/>
      <c r="G114" s="250">
        <v>45161.0</v>
      </c>
      <c r="H114" s="250">
        <v>45527.0</v>
      </c>
      <c r="I114" s="228">
        <v>366.0</v>
      </c>
      <c r="K114" s="226" t="s">
        <v>4181</v>
      </c>
      <c r="L114" s="226" t="s">
        <v>259</v>
      </c>
      <c r="M114" s="226" t="s">
        <v>289</v>
      </c>
      <c r="N114" s="226" t="s">
        <v>4185</v>
      </c>
      <c r="O114" s="226" t="s">
        <v>4183</v>
      </c>
      <c r="P114" s="250">
        <v>46106.59635040509</v>
      </c>
    </row>
    <row r="115">
      <c r="A115" s="228">
        <v>114.0</v>
      </c>
      <c r="B115" s="226">
        <v>449.0</v>
      </c>
      <c r="C115" s="226" t="s">
        <v>1228</v>
      </c>
      <c r="D115" s="226" t="s">
        <v>4176</v>
      </c>
      <c r="E115" s="228">
        <v>1.0</v>
      </c>
      <c r="F115" s="249"/>
      <c r="G115" s="250">
        <v>45162.0</v>
      </c>
      <c r="H115" s="250">
        <v>45323.0</v>
      </c>
      <c r="I115" s="228">
        <v>161.0</v>
      </c>
      <c r="K115" s="226" t="s">
        <v>4181</v>
      </c>
      <c r="L115" s="226" t="s">
        <v>162</v>
      </c>
      <c r="M115" s="226" t="s">
        <v>289</v>
      </c>
      <c r="N115" s="226" t="s">
        <v>4185</v>
      </c>
      <c r="O115" s="226" t="s">
        <v>4183</v>
      </c>
      <c r="P115" s="250">
        <v>46106.59635040509</v>
      </c>
    </row>
    <row r="116">
      <c r="A116" s="228">
        <v>115.0</v>
      </c>
      <c r="B116" s="226">
        <v>478.0</v>
      </c>
      <c r="C116" s="226" t="s">
        <v>1567</v>
      </c>
      <c r="D116" s="226" t="s">
        <v>4176</v>
      </c>
      <c r="E116" s="228">
        <v>1.0</v>
      </c>
      <c r="F116" s="249"/>
      <c r="G116" s="250">
        <v>45166.0</v>
      </c>
      <c r="H116" s="250">
        <v>45734.0</v>
      </c>
      <c r="I116" s="228">
        <v>568.0</v>
      </c>
      <c r="K116" s="226" t="s">
        <v>4181</v>
      </c>
      <c r="L116" s="226" t="s">
        <v>247</v>
      </c>
      <c r="M116" s="226" t="s">
        <v>261</v>
      </c>
      <c r="N116" s="226" t="s">
        <v>4185</v>
      </c>
      <c r="O116" s="226" t="s">
        <v>4183</v>
      </c>
      <c r="P116" s="250">
        <v>46106.59635040509</v>
      </c>
    </row>
    <row r="117">
      <c r="A117" s="228">
        <v>116.0</v>
      </c>
      <c r="B117" s="226">
        <v>450.0</v>
      </c>
      <c r="C117" s="226" t="s">
        <v>1584</v>
      </c>
      <c r="D117" s="226" t="s">
        <v>4176</v>
      </c>
      <c r="E117" s="228">
        <v>1.0</v>
      </c>
      <c r="F117" s="249"/>
      <c r="G117" s="250">
        <v>45166.0</v>
      </c>
      <c r="H117" s="250">
        <v>46393.0</v>
      </c>
      <c r="I117" s="228">
        <v>1227.0</v>
      </c>
      <c r="K117" s="226" t="s">
        <v>4181</v>
      </c>
      <c r="L117" s="226" t="s">
        <v>122</v>
      </c>
      <c r="M117" s="226" t="s">
        <v>14</v>
      </c>
      <c r="N117" s="226" t="s">
        <v>4190</v>
      </c>
      <c r="O117" s="226" t="s">
        <v>4183</v>
      </c>
      <c r="P117" s="250">
        <v>46106.59635040509</v>
      </c>
    </row>
    <row r="118">
      <c r="A118" s="228">
        <v>117.0</v>
      </c>
      <c r="B118" s="226">
        <v>451.0</v>
      </c>
      <c r="C118" s="226" t="s">
        <v>1236</v>
      </c>
      <c r="D118" s="226" t="s">
        <v>4176</v>
      </c>
      <c r="E118" s="228">
        <v>1.0</v>
      </c>
      <c r="F118" s="249"/>
      <c r="G118" s="250">
        <v>45167.0</v>
      </c>
      <c r="H118" s="250">
        <v>45550.0</v>
      </c>
      <c r="I118" s="228">
        <v>383.0</v>
      </c>
      <c r="K118" s="226" t="s">
        <v>4181</v>
      </c>
      <c r="L118" s="226" t="s">
        <v>311</v>
      </c>
      <c r="M118" s="226" t="s">
        <v>289</v>
      </c>
      <c r="N118" s="226" t="s">
        <v>4185</v>
      </c>
      <c r="O118" s="226" t="s">
        <v>4183</v>
      </c>
      <c r="P118" s="250">
        <v>46106.59635040509</v>
      </c>
    </row>
    <row r="119">
      <c r="A119" s="228">
        <v>118.0</v>
      </c>
      <c r="B119" s="226">
        <v>452.0</v>
      </c>
      <c r="C119" s="226" t="s">
        <v>1606</v>
      </c>
      <c r="D119" s="226" t="s">
        <v>4176</v>
      </c>
      <c r="E119" s="228">
        <v>1.0</v>
      </c>
      <c r="F119" s="249"/>
      <c r="G119" s="250">
        <v>45175.0</v>
      </c>
      <c r="H119" s="250">
        <v>45540.0</v>
      </c>
      <c r="I119" s="228">
        <v>365.0</v>
      </c>
      <c r="K119" s="226" t="s">
        <v>4181</v>
      </c>
      <c r="L119" s="226" t="s">
        <v>122</v>
      </c>
      <c r="M119" s="226" t="s">
        <v>261</v>
      </c>
      <c r="N119" s="226" t="s">
        <v>4185</v>
      </c>
      <c r="O119" s="226" t="s">
        <v>4183</v>
      </c>
      <c r="P119" s="250">
        <v>46106.59635040509</v>
      </c>
    </row>
    <row r="120">
      <c r="A120" s="228">
        <v>119.0</v>
      </c>
      <c r="B120" s="226">
        <v>436.0</v>
      </c>
      <c r="C120" s="226" t="s">
        <v>1628</v>
      </c>
      <c r="D120" s="226" t="s">
        <v>4176</v>
      </c>
      <c r="E120" s="228">
        <v>1.0</v>
      </c>
      <c r="F120" s="249"/>
      <c r="G120" s="250">
        <v>45177.0</v>
      </c>
      <c r="H120" s="250">
        <v>45362.0</v>
      </c>
      <c r="I120" s="228">
        <v>185.0</v>
      </c>
      <c r="K120" s="226" t="s">
        <v>4181</v>
      </c>
      <c r="L120" s="226" t="s">
        <v>247</v>
      </c>
      <c r="M120" s="226" t="s">
        <v>261</v>
      </c>
      <c r="N120" s="226" t="s">
        <v>4185</v>
      </c>
      <c r="O120" s="226" t="s">
        <v>4183</v>
      </c>
      <c r="P120" s="250">
        <v>46106.59635040509</v>
      </c>
    </row>
    <row r="121">
      <c r="A121" s="228">
        <v>120.0</v>
      </c>
      <c r="B121" s="226">
        <v>453.0</v>
      </c>
      <c r="C121" s="226" t="s">
        <v>1646</v>
      </c>
      <c r="D121" s="226" t="s">
        <v>4176</v>
      </c>
      <c r="E121" s="228">
        <v>1.0</v>
      </c>
      <c r="F121" s="249"/>
      <c r="G121" s="250">
        <v>45177.0</v>
      </c>
      <c r="H121" s="250">
        <v>45359.0</v>
      </c>
      <c r="I121" s="228">
        <v>182.0</v>
      </c>
      <c r="K121" s="226" t="s">
        <v>4181</v>
      </c>
      <c r="L121" s="226" t="s">
        <v>247</v>
      </c>
      <c r="M121" s="226" t="s">
        <v>261</v>
      </c>
      <c r="N121" s="226" t="s">
        <v>4185</v>
      </c>
      <c r="O121" s="226" t="s">
        <v>4183</v>
      </c>
      <c r="P121" s="250">
        <v>46106.59635040509</v>
      </c>
    </row>
    <row r="122">
      <c r="A122" s="228">
        <v>121.0</v>
      </c>
      <c r="B122" s="226">
        <v>454.0</v>
      </c>
      <c r="C122" s="226" t="s">
        <v>1674</v>
      </c>
      <c r="D122" s="226" t="s">
        <v>4176</v>
      </c>
      <c r="E122" s="228">
        <v>1.0</v>
      </c>
      <c r="F122" s="249"/>
      <c r="G122" s="250">
        <v>45180.0</v>
      </c>
      <c r="H122" s="250">
        <v>45362.0</v>
      </c>
      <c r="I122" s="228">
        <v>182.0</v>
      </c>
      <c r="K122" s="226" t="s">
        <v>4181</v>
      </c>
      <c r="L122" s="226" t="s">
        <v>247</v>
      </c>
      <c r="M122" s="226" t="s">
        <v>261</v>
      </c>
      <c r="N122" s="226" t="s">
        <v>4185</v>
      </c>
      <c r="O122" s="226" t="s">
        <v>4183</v>
      </c>
      <c r="P122" s="250">
        <v>46106.59635040509</v>
      </c>
    </row>
    <row r="123">
      <c r="A123" s="228">
        <v>122.0</v>
      </c>
      <c r="B123" s="226">
        <v>455.0</v>
      </c>
      <c r="C123" s="226" t="s">
        <v>1694</v>
      </c>
      <c r="D123" s="226" t="s">
        <v>4176</v>
      </c>
      <c r="E123" s="228">
        <v>1.0</v>
      </c>
      <c r="F123" s="249"/>
      <c r="G123" s="250">
        <v>45180.0</v>
      </c>
      <c r="H123" s="250">
        <v>46276.0</v>
      </c>
      <c r="I123" s="228">
        <v>1096.0</v>
      </c>
      <c r="K123" s="226" t="s">
        <v>4181</v>
      </c>
      <c r="L123" s="226" t="s">
        <v>261</v>
      </c>
      <c r="M123" s="226" t="s">
        <v>14</v>
      </c>
      <c r="N123" s="226" t="s">
        <v>4182</v>
      </c>
      <c r="O123" s="226" t="s">
        <v>4183</v>
      </c>
      <c r="P123" s="250">
        <v>46106.59635040509</v>
      </c>
    </row>
    <row r="124">
      <c r="A124" s="228">
        <v>123.0</v>
      </c>
      <c r="B124" s="226">
        <v>456.0</v>
      </c>
      <c r="C124" s="226" t="s">
        <v>1723</v>
      </c>
      <c r="D124" s="226" t="s">
        <v>4176</v>
      </c>
      <c r="E124" s="228">
        <v>1.0</v>
      </c>
      <c r="F124" s="249"/>
      <c r="G124" s="250">
        <v>45181.0</v>
      </c>
      <c r="H124" s="250">
        <v>45547.0</v>
      </c>
      <c r="I124" s="228">
        <v>366.0</v>
      </c>
      <c r="K124" s="226" t="s">
        <v>4181</v>
      </c>
      <c r="L124" s="226" t="s">
        <v>247</v>
      </c>
      <c r="M124" s="226" t="s">
        <v>289</v>
      </c>
      <c r="N124" s="226" t="s">
        <v>4185</v>
      </c>
      <c r="O124" s="226" t="s">
        <v>4183</v>
      </c>
      <c r="P124" s="250">
        <v>46106.59635040509</v>
      </c>
    </row>
    <row r="125">
      <c r="A125" s="228">
        <v>124.0</v>
      </c>
      <c r="B125" s="226">
        <v>457.0</v>
      </c>
      <c r="C125" s="226" t="s">
        <v>1759</v>
      </c>
      <c r="D125" s="226" t="s">
        <v>4176</v>
      </c>
      <c r="E125" s="228">
        <v>1.0</v>
      </c>
      <c r="F125" s="249"/>
      <c r="G125" s="250">
        <v>45182.0</v>
      </c>
      <c r="H125" s="250">
        <v>45188.0</v>
      </c>
      <c r="I125" s="228">
        <v>6.0</v>
      </c>
      <c r="K125" s="226" t="s">
        <v>4181</v>
      </c>
      <c r="L125" s="226" t="s">
        <v>247</v>
      </c>
      <c r="M125" s="226" t="s">
        <v>175</v>
      </c>
      <c r="N125" s="226" t="s">
        <v>4185</v>
      </c>
      <c r="O125" s="226" t="s">
        <v>4183</v>
      </c>
      <c r="P125" s="250">
        <v>46106.59635040509</v>
      </c>
    </row>
    <row r="126">
      <c r="A126" s="228">
        <v>125.0</v>
      </c>
      <c r="B126" s="226">
        <v>458.0</v>
      </c>
      <c r="C126" s="226" t="s">
        <v>1771</v>
      </c>
      <c r="D126" s="226" t="s">
        <v>4176</v>
      </c>
      <c r="E126" s="228">
        <v>1.0</v>
      </c>
      <c r="F126" s="249"/>
      <c r="G126" s="250">
        <v>45183.0</v>
      </c>
      <c r="H126" s="250">
        <v>45365.0</v>
      </c>
      <c r="I126" s="228">
        <v>182.0</v>
      </c>
      <c r="K126" s="226" t="s">
        <v>4181</v>
      </c>
      <c r="L126" s="226" t="s">
        <v>247</v>
      </c>
      <c r="M126" s="226" t="s">
        <v>261</v>
      </c>
      <c r="N126" s="226" t="s">
        <v>4185</v>
      </c>
      <c r="O126" s="226" t="s">
        <v>4183</v>
      </c>
      <c r="P126" s="250">
        <v>46106.59635040509</v>
      </c>
    </row>
    <row r="127">
      <c r="A127" s="228">
        <v>126.0</v>
      </c>
      <c r="B127" s="226">
        <v>460.0</v>
      </c>
      <c r="C127" s="226" t="s">
        <v>1245</v>
      </c>
      <c r="D127" s="226" t="s">
        <v>4176</v>
      </c>
      <c r="E127" s="228">
        <v>1.0</v>
      </c>
      <c r="F127" s="249"/>
      <c r="G127" s="250">
        <v>45187.0</v>
      </c>
      <c r="H127" s="250">
        <v>45196.0</v>
      </c>
      <c r="I127" s="228">
        <v>9.0</v>
      </c>
      <c r="K127" s="226" t="s">
        <v>4181</v>
      </c>
      <c r="L127" s="226" t="s">
        <v>259</v>
      </c>
      <c r="M127" s="226" t="s">
        <v>175</v>
      </c>
      <c r="N127" s="226" t="s">
        <v>4185</v>
      </c>
      <c r="O127" s="226" t="s">
        <v>4183</v>
      </c>
      <c r="P127" s="250">
        <v>46106.59635040509</v>
      </c>
    </row>
    <row r="128">
      <c r="A128" s="228">
        <v>127.0</v>
      </c>
      <c r="B128" s="226">
        <v>461.0</v>
      </c>
      <c r="C128" s="226" t="s">
        <v>1315</v>
      </c>
      <c r="D128" s="226" t="s">
        <v>4176</v>
      </c>
      <c r="E128" s="228">
        <v>1.0</v>
      </c>
      <c r="F128" s="249"/>
      <c r="G128" s="250">
        <v>45187.0</v>
      </c>
      <c r="H128" s="250">
        <v>46387.0</v>
      </c>
      <c r="I128" s="228">
        <v>1200.0</v>
      </c>
      <c r="K128" s="226" t="s">
        <v>4181</v>
      </c>
      <c r="L128" s="226" t="s">
        <v>261</v>
      </c>
      <c r="M128" s="226" t="s">
        <v>123</v>
      </c>
      <c r="N128" s="226" t="s">
        <v>4184</v>
      </c>
      <c r="O128" s="226" t="s">
        <v>4183</v>
      </c>
      <c r="P128" s="250">
        <v>46106.59635040509</v>
      </c>
    </row>
    <row r="129">
      <c r="A129" s="228">
        <v>128.0</v>
      </c>
      <c r="B129" s="226">
        <v>462.0</v>
      </c>
      <c r="C129" s="226" t="s">
        <v>1654</v>
      </c>
      <c r="D129" s="226" t="s">
        <v>4176</v>
      </c>
      <c r="E129" s="228">
        <v>1.0</v>
      </c>
      <c r="F129" s="249"/>
      <c r="G129" s="250">
        <v>45189.0</v>
      </c>
      <c r="H129" s="250">
        <v>46294.0</v>
      </c>
      <c r="I129" s="228">
        <v>1105.0</v>
      </c>
      <c r="K129" s="226" t="s">
        <v>4181</v>
      </c>
      <c r="L129" s="226" t="s">
        <v>210</v>
      </c>
      <c r="M129" s="226" t="s">
        <v>14</v>
      </c>
      <c r="N129" s="226" t="s">
        <v>4184</v>
      </c>
      <c r="O129" s="226" t="s">
        <v>4183</v>
      </c>
      <c r="P129" s="250">
        <v>46106.59635040509</v>
      </c>
    </row>
    <row r="130">
      <c r="A130" s="228">
        <v>129.0</v>
      </c>
      <c r="B130" s="226">
        <v>464.0</v>
      </c>
      <c r="C130" s="226" t="s">
        <v>1259</v>
      </c>
      <c r="D130" s="226" t="s">
        <v>4176</v>
      </c>
      <c r="E130" s="228">
        <v>1.0</v>
      </c>
      <c r="F130" s="249"/>
      <c r="G130" s="250">
        <v>45190.0</v>
      </c>
      <c r="H130" s="250">
        <v>46022.0</v>
      </c>
      <c r="I130" s="228">
        <v>832.0</v>
      </c>
      <c r="K130" s="226" t="s">
        <v>4181</v>
      </c>
      <c r="L130" s="226" t="s">
        <v>311</v>
      </c>
      <c r="M130" s="226" t="s">
        <v>211</v>
      </c>
      <c r="N130" s="226" t="s">
        <v>4190</v>
      </c>
      <c r="O130" s="226" t="s">
        <v>4183</v>
      </c>
      <c r="P130" s="250">
        <v>46106.59635040509</v>
      </c>
    </row>
    <row r="131">
      <c r="A131" s="228">
        <v>130.0</v>
      </c>
      <c r="B131" s="226">
        <v>463.0</v>
      </c>
      <c r="C131" s="226" t="s">
        <v>1252</v>
      </c>
      <c r="D131" s="226" t="s">
        <v>4176</v>
      </c>
      <c r="E131" s="228">
        <v>1.0</v>
      </c>
      <c r="F131" s="249"/>
      <c r="G131" s="250">
        <v>45190.0</v>
      </c>
      <c r="H131" s="250">
        <v>45281.0</v>
      </c>
      <c r="I131" s="228">
        <v>91.0</v>
      </c>
      <c r="K131" s="226" t="s">
        <v>4181</v>
      </c>
      <c r="L131" s="226" t="s">
        <v>162</v>
      </c>
      <c r="M131" s="226" t="s">
        <v>289</v>
      </c>
      <c r="N131" s="226" t="s">
        <v>4185</v>
      </c>
      <c r="O131" s="226" t="s">
        <v>4183</v>
      </c>
      <c r="P131" s="250">
        <v>46106.59635040509</v>
      </c>
    </row>
    <row r="132">
      <c r="A132" s="228">
        <v>131.0</v>
      </c>
      <c r="B132" s="226">
        <v>465.0</v>
      </c>
      <c r="C132" s="226" t="s">
        <v>1847</v>
      </c>
      <c r="D132" s="226" t="s">
        <v>4188</v>
      </c>
      <c r="E132" s="228">
        <v>1.0</v>
      </c>
      <c r="F132" s="249"/>
      <c r="G132" s="250">
        <v>45194.0</v>
      </c>
      <c r="H132" s="250">
        <v>45657.0</v>
      </c>
      <c r="I132" s="228">
        <v>463.0</v>
      </c>
      <c r="K132" s="226" t="s">
        <v>4181</v>
      </c>
      <c r="L132" s="226" t="s">
        <v>247</v>
      </c>
      <c r="M132" s="226" t="s">
        <v>261</v>
      </c>
      <c r="N132" s="226" t="s">
        <v>4185</v>
      </c>
      <c r="O132" s="226" t="s">
        <v>4183</v>
      </c>
      <c r="P132" s="250">
        <v>46106.59635040509</v>
      </c>
    </row>
    <row r="133">
      <c r="A133" s="228">
        <v>132.0</v>
      </c>
      <c r="B133" s="226">
        <v>466.0</v>
      </c>
      <c r="C133" s="226" t="s">
        <v>1847</v>
      </c>
      <c r="D133" s="226" t="s">
        <v>4188</v>
      </c>
      <c r="E133" s="228">
        <v>1.0</v>
      </c>
      <c r="F133" s="249"/>
      <c r="G133" s="250">
        <v>45194.0</v>
      </c>
      <c r="H133" s="250">
        <v>45201.0</v>
      </c>
      <c r="I133" s="228">
        <v>7.0</v>
      </c>
      <c r="K133" s="226" t="s">
        <v>4181</v>
      </c>
      <c r="L133" s="226" t="s">
        <v>247</v>
      </c>
      <c r="M133" s="226" t="s">
        <v>175</v>
      </c>
      <c r="N133" s="226" t="s">
        <v>4185</v>
      </c>
      <c r="O133" s="226" t="s">
        <v>4183</v>
      </c>
      <c r="P133" s="250">
        <v>46106.59635040509</v>
      </c>
    </row>
    <row r="134">
      <c r="A134" s="228">
        <v>133.0</v>
      </c>
      <c r="B134" s="226">
        <v>468.0</v>
      </c>
      <c r="C134" s="226" t="s">
        <v>1265</v>
      </c>
      <c r="D134" s="226" t="s">
        <v>4176</v>
      </c>
      <c r="E134" s="228">
        <v>1.0</v>
      </c>
      <c r="F134" s="249"/>
      <c r="G134" s="250">
        <v>45195.0</v>
      </c>
      <c r="H134" s="250">
        <v>45282.0</v>
      </c>
      <c r="I134" s="228">
        <v>87.0</v>
      </c>
      <c r="K134" s="226" t="s">
        <v>4181</v>
      </c>
      <c r="L134" s="226" t="s">
        <v>175</v>
      </c>
      <c r="M134" s="226" t="s">
        <v>175</v>
      </c>
      <c r="N134" s="226" t="s">
        <v>4185</v>
      </c>
      <c r="O134" s="226" t="s">
        <v>4183</v>
      </c>
      <c r="P134" s="250">
        <v>46106.59635040509</v>
      </c>
    </row>
    <row r="135">
      <c r="A135" s="228">
        <v>134.0</v>
      </c>
      <c r="B135" s="226">
        <v>467.0</v>
      </c>
      <c r="C135" s="226" t="s">
        <v>1883</v>
      </c>
      <c r="D135" s="226" t="s">
        <v>4176</v>
      </c>
      <c r="E135" s="228">
        <v>1.0</v>
      </c>
      <c r="F135" s="249"/>
      <c r="G135" s="250">
        <v>45195.0</v>
      </c>
      <c r="H135" s="250">
        <v>45561.0</v>
      </c>
      <c r="I135" s="228">
        <v>366.0</v>
      </c>
      <c r="K135" s="226" t="s">
        <v>4181</v>
      </c>
      <c r="L135" s="226" t="s">
        <v>247</v>
      </c>
      <c r="M135" s="226" t="s">
        <v>261</v>
      </c>
      <c r="N135" s="226" t="s">
        <v>4185</v>
      </c>
      <c r="O135" s="226" t="s">
        <v>4183</v>
      </c>
      <c r="P135" s="250">
        <v>46106.59635040509</v>
      </c>
    </row>
    <row r="136">
      <c r="A136" s="228">
        <v>135.0</v>
      </c>
      <c r="B136" s="226">
        <v>365.0</v>
      </c>
      <c r="C136" s="226" t="s">
        <v>372</v>
      </c>
      <c r="D136" s="226" t="s">
        <v>4176</v>
      </c>
      <c r="E136" s="228">
        <v>1.0</v>
      </c>
      <c r="F136" s="249"/>
      <c r="G136" s="250">
        <v>45195.0</v>
      </c>
      <c r="H136" s="250">
        <v>45561.0</v>
      </c>
      <c r="I136" s="228">
        <v>366.0</v>
      </c>
      <c r="K136" s="226" t="s">
        <v>4181</v>
      </c>
      <c r="L136" s="226" t="s">
        <v>247</v>
      </c>
      <c r="M136" s="226" t="s">
        <v>261</v>
      </c>
      <c r="N136" s="226" t="s">
        <v>4185</v>
      </c>
      <c r="O136" s="226" t="s">
        <v>4183</v>
      </c>
      <c r="P136" s="250">
        <v>46106.59635040509</v>
      </c>
    </row>
    <row r="137">
      <c r="A137" s="228">
        <v>136.0</v>
      </c>
      <c r="B137" s="226">
        <v>470.0</v>
      </c>
      <c r="C137" s="226" t="s">
        <v>1277</v>
      </c>
      <c r="D137" s="226" t="s">
        <v>4176</v>
      </c>
      <c r="E137" s="228">
        <v>1.0</v>
      </c>
      <c r="F137" s="249"/>
      <c r="G137" s="250">
        <v>45196.0</v>
      </c>
      <c r="H137" s="250">
        <v>45561.0</v>
      </c>
      <c r="I137" s="228">
        <v>365.0</v>
      </c>
      <c r="K137" s="226" t="s">
        <v>4181</v>
      </c>
      <c r="L137" s="226" t="s">
        <v>162</v>
      </c>
      <c r="M137" s="226" t="s">
        <v>289</v>
      </c>
      <c r="N137" s="226" t="s">
        <v>4185</v>
      </c>
      <c r="O137" s="226" t="s">
        <v>4183</v>
      </c>
      <c r="P137" s="250">
        <v>46106.59635040509</v>
      </c>
    </row>
    <row r="138">
      <c r="A138" s="228">
        <v>137.0</v>
      </c>
      <c r="B138" s="226">
        <v>471.0</v>
      </c>
      <c r="C138" s="226" t="s">
        <v>1284</v>
      </c>
      <c r="D138" s="226" t="s">
        <v>4176</v>
      </c>
      <c r="E138" s="228">
        <v>1.0</v>
      </c>
      <c r="F138" s="249"/>
      <c r="G138" s="250">
        <v>45196.0</v>
      </c>
      <c r="H138" s="250">
        <v>45561.0</v>
      </c>
      <c r="I138" s="228">
        <v>365.0</v>
      </c>
      <c r="K138" s="226" t="s">
        <v>4181</v>
      </c>
      <c r="L138" s="226" t="s">
        <v>440</v>
      </c>
      <c r="M138" s="226" t="s">
        <v>175</v>
      </c>
      <c r="N138" s="226" t="s">
        <v>4185</v>
      </c>
      <c r="O138" s="226" t="s">
        <v>4183</v>
      </c>
      <c r="P138" s="250">
        <v>46106.59635040509</v>
      </c>
    </row>
    <row r="139">
      <c r="A139" s="228">
        <v>138.0</v>
      </c>
      <c r="B139" s="226">
        <v>477.0</v>
      </c>
      <c r="C139" s="226" t="s">
        <v>1924</v>
      </c>
      <c r="D139" s="226" t="s">
        <v>4176</v>
      </c>
      <c r="E139" s="228">
        <v>1.0</v>
      </c>
      <c r="F139" s="249"/>
      <c r="G139" s="250">
        <v>45196.0</v>
      </c>
      <c r="H139" s="250">
        <v>45562.0</v>
      </c>
      <c r="I139" s="228">
        <v>366.0</v>
      </c>
      <c r="K139" s="226" t="s">
        <v>4181</v>
      </c>
      <c r="L139" s="226" t="s">
        <v>247</v>
      </c>
      <c r="M139" s="226" t="s">
        <v>261</v>
      </c>
      <c r="N139" s="226" t="s">
        <v>4185</v>
      </c>
      <c r="O139" s="226" t="s">
        <v>4183</v>
      </c>
      <c r="P139" s="250">
        <v>46106.59635040509</v>
      </c>
    </row>
    <row r="140">
      <c r="A140" s="228">
        <v>139.0</v>
      </c>
      <c r="B140" s="226">
        <v>472.0</v>
      </c>
      <c r="C140" s="226" t="s">
        <v>1039</v>
      </c>
      <c r="D140" s="226" t="s">
        <v>4176</v>
      </c>
      <c r="E140" s="228">
        <v>1.0</v>
      </c>
      <c r="F140" s="249"/>
      <c r="G140" s="250">
        <v>45197.0</v>
      </c>
      <c r="H140" s="250">
        <v>46387.0</v>
      </c>
      <c r="I140" s="228">
        <v>1190.0</v>
      </c>
      <c r="K140" s="226" t="s">
        <v>4181</v>
      </c>
      <c r="L140" s="226" t="s">
        <v>247</v>
      </c>
      <c r="M140" s="226" t="s">
        <v>14</v>
      </c>
      <c r="N140" s="226" t="s">
        <v>4192</v>
      </c>
      <c r="O140" s="226" t="s">
        <v>4183</v>
      </c>
      <c r="P140" s="250">
        <v>46106.59635040509</v>
      </c>
    </row>
    <row r="141">
      <c r="A141" s="228">
        <v>140.0</v>
      </c>
      <c r="B141" s="226">
        <v>473.0</v>
      </c>
      <c r="C141" s="226" t="s">
        <v>1952</v>
      </c>
      <c r="D141" s="226" t="s">
        <v>4176</v>
      </c>
      <c r="E141" s="228">
        <v>1.0</v>
      </c>
      <c r="F141" s="249"/>
      <c r="G141" s="250">
        <v>45197.0</v>
      </c>
      <c r="H141" s="250">
        <v>45205.0</v>
      </c>
      <c r="I141" s="228">
        <v>8.0</v>
      </c>
      <c r="K141" s="226" t="s">
        <v>4181</v>
      </c>
      <c r="L141" s="226" t="s">
        <v>247</v>
      </c>
      <c r="M141" s="226" t="s">
        <v>175</v>
      </c>
      <c r="N141" s="226" t="s">
        <v>4185</v>
      </c>
      <c r="O141" s="226" t="s">
        <v>4183</v>
      </c>
      <c r="P141" s="250">
        <v>46106.59635040509</v>
      </c>
    </row>
    <row r="142">
      <c r="A142" s="228">
        <v>141.0</v>
      </c>
      <c r="B142" s="226">
        <v>474.0</v>
      </c>
      <c r="C142" s="226" t="s">
        <v>1346</v>
      </c>
      <c r="D142" s="226" t="s">
        <v>4176</v>
      </c>
      <c r="E142" s="228">
        <v>1.0</v>
      </c>
      <c r="F142" s="249"/>
      <c r="G142" s="250">
        <v>45198.0</v>
      </c>
      <c r="H142" s="250">
        <v>46301.0</v>
      </c>
      <c r="I142" s="228">
        <v>1103.0</v>
      </c>
      <c r="K142" s="226" t="s">
        <v>4181</v>
      </c>
      <c r="L142" s="226" t="s">
        <v>777</v>
      </c>
      <c r="M142" s="226" t="s">
        <v>14</v>
      </c>
      <c r="N142" s="226" t="s">
        <v>4190</v>
      </c>
      <c r="O142" s="226" t="s">
        <v>4183</v>
      </c>
      <c r="P142" s="250">
        <v>46106.59635040509</v>
      </c>
    </row>
    <row r="143">
      <c r="A143" s="228">
        <v>142.0</v>
      </c>
      <c r="B143" s="226">
        <v>476.0</v>
      </c>
      <c r="C143" s="226" t="s">
        <v>1990</v>
      </c>
      <c r="D143" s="226" t="s">
        <v>4176</v>
      </c>
      <c r="E143" s="228">
        <v>1.0</v>
      </c>
      <c r="F143" s="249"/>
      <c r="G143" s="250">
        <v>45198.0</v>
      </c>
      <c r="H143" s="250">
        <v>45567.0</v>
      </c>
      <c r="I143" s="228">
        <v>369.0</v>
      </c>
      <c r="K143" s="226" t="s">
        <v>4181</v>
      </c>
      <c r="L143" s="226" t="s">
        <v>247</v>
      </c>
      <c r="M143" s="226" t="s">
        <v>261</v>
      </c>
      <c r="N143" s="226" t="s">
        <v>4185</v>
      </c>
      <c r="O143" s="226" t="s">
        <v>4183</v>
      </c>
      <c r="P143" s="250">
        <v>46106.59635040509</v>
      </c>
    </row>
    <row r="144">
      <c r="A144" s="228">
        <v>143.0</v>
      </c>
      <c r="B144" s="226">
        <v>475.0</v>
      </c>
      <c r="C144" s="226" t="s">
        <v>2007</v>
      </c>
      <c r="D144" s="226" t="s">
        <v>4176</v>
      </c>
      <c r="E144" s="228">
        <v>1.0</v>
      </c>
      <c r="F144" s="249"/>
      <c r="G144" s="250">
        <v>45198.0</v>
      </c>
      <c r="H144" s="250">
        <v>45209.0</v>
      </c>
      <c r="I144" s="228">
        <v>11.0</v>
      </c>
      <c r="K144" s="226" t="s">
        <v>4181</v>
      </c>
      <c r="L144" s="226" t="s">
        <v>247</v>
      </c>
      <c r="M144" s="226" t="s">
        <v>175</v>
      </c>
      <c r="N144" s="226" t="s">
        <v>4185</v>
      </c>
      <c r="O144" s="226" t="s">
        <v>4183</v>
      </c>
      <c r="P144" s="250">
        <v>46106.59635040509</v>
      </c>
    </row>
    <row r="145">
      <c r="A145" s="228">
        <v>144.0</v>
      </c>
      <c r="B145" s="226">
        <v>479.0</v>
      </c>
      <c r="C145" s="226" t="s">
        <v>2021</v>
      </c>
      <c r="D145" s="226" t="s">
        <v>4176</v>
      </c>
      <c r="E145" s="228">
        <v>1.0</v>
      </c>
      <c r="F145" s="249"/>
      <c r="G145" s="250">
        <v>45203.0</v>
      </c>
      <c r="H145" s="250">
        <v>45504.0</v>
      </c>
      <c r="I145" s="228">
        <v>301.0</v>
      </c>
      <c r="K145" s="226" t="s">
        <v>4181</v>
      </c>
      <c r="L145" s="226" t="s">
        <v>247</v>
      </c>
      <c r="M145" s="226" t="s">
        <v>261</v>
      </c>
      <c r="N145" s="226" t="s">
        <v>4185</v>
      </c>
      <c r="O145" s="226" t="s">
        <v>4183</v>
      </c>
      <c r="P145" s="250">
        <v>46106.59635040509</v>
      </c>
    </row>
    <row r="146">
      <c r="A146" s="228">
        <v>145.0</v>
      </c>
      <c r="B146" s="226">
        <v>482.0</v>
      </c>
      <c r="C146" s="226" t="s">
        <v>1291</v>
      </c>
      <c r="D146" s="226" t="s">
        <v>4176</v>
      </c>
      <c r="E146" s="228">
        <v>1.0</v>
      </c>
      <c r="F146" s="249"/>
      <c r="G146" s="250">
        <v>45208.0</v>
      </c>
      <c r="H146" s="250">
        <v>45626.0</v>
      </c>
      <c r="I146" s="228">
        <v>418.0</v>
      </c>
      <c r="K146" s="226" t="s">
        <v>4181</v>
      </c>
      <c r="L146" s="226" t="s">
        <v>162</v>
      </c>
      <c r="M146" s="226" t="s">
        <v>289</v>
      </c>
      <c r="N146" s="226" t="s">
        <v>4185</v>
      </c>
      <c r="O146" s="226" t="s">
        <v>4183</v>
      </c>
      <c r="P146" s="250">
        <v>46106.59635040509</v>
      </c>
    </row>
    <row r="147">
      <c r="A147" s="228">
        <v>146.0</v>
      </c>
      <c r="B147" s="226">
        <v>480.0</v>
      </c>
      <c r="C147" s="226" t="s">
        <v>2051</v>
      </c>
      <c r="D147" s="226" t="s">
        <v>4176</v>
      </c>
      <c r="E147" s="228">
        <v>1.0</v>
      </c>
      <c r="F147" s="249"/>
      <c r="G147" s="250">
        <v>45208.0</v>
      </c>
      <c r="H147" s="250">
        <v>45574.0</v>
      </c>
      <c r="I147" s="228">
        <v>366.0</v>
      </c>
      <c r="K147" s="226" t="s">
        <v>4181</v>
      </c>
      <c r="L147" s="226" t="s">
        <v>247</v>
      </c>
      <c r="M147" s="226" t="s">
        <v>261</v>
      </c>
      <c r="N147" s="226" t="s">
        <v>4185</v>
      </c>
      <c r="O147" s="226" t="s">
        <v>4183</v>
      </c>
      <c r="P147" s="250">
        <v>46106.59635040509</v>
      </c>
    </row>
    <row r="148">
      <c r="A148" s="228">
        <v>147.0</v>
      </c>
      <c r="B148" s="226">
        <v>481.0</v>
      </c>
      <c r="C148" s="226" t="s">
        <v>2068</v>
      </c>
      <c r="D148" s="226" t="s">
        <v>4176</v>
      </c>
      <c r="E148" s="228">
        <v>1.0</v>
      </c>
      <c r="F148" s="249"/>
      <c r="G148" s="250">
        <v>45208.0</v>
      </c>
      <c r="H148" s="250">
        <v>45574.0</v>
      </c>
      <c r="I148" s="228">
        <v>366.0</v>
      </c>
      <c r="K148" s="226" t="s">
        <v>4181</v>
      </c>
      <c r="L148" s="226" t="s">
        <v>247</v>
      </c>
      <c r="M148" s="226" t="s">
        <v>261</v>
      </c>
      <c r="N148" s="226" t="s">
        <v>4185</v>
      </c>
      <c r="O148" s="226" t="s">
        <v>4183</v>
      </c>
      <c r="P148" s="250">
        <v>46106.59635040509</v>
      </c>
    </row>
    <row r="149">
      <c r="A149" s="228">
        <v>148.0</v>
      </c>
      <c r="B149" s="226">
        <v>483.0</v>
      </c>
      <c r="C149" s="226" t="s">
        <v>1297</v>
      </c>
      <c r="D149" s="226" t="s">
        <v>4176</v>
      </c>
      <c r="E149" s="228">
        <v>1.0</v>
      </c>
      <c r="F149" s="249"/>
      <c r="G149" s="250">
        <v>45209.0</v>
      </c>
      <c r="H149" s="250">
        <v>45575.0</v>
      </c>
      <c r="I149" s="228">
        <v>366.0</v>
      </c>
      <c r="K149" s="226" t="s">
        <v>4181</v>
      </c>
      <c r="L149" s="226" t="s">
        <v>440</v>
      </c>
      <c r="M149" s="226" t="s">
        <v>175</v>
      </c>
      <c r="N149" s="226" t="s">
        <v>4185</v>
      </c>
      <c r="O149" s="226" t="s">
        <v>4183</v>
      </c>
      <c r="P149" s="250">
        <v>46106.59635040509</v>
      </c>
    </row>
    <row r="150">
      <c r="A150" s="228">
        <v>149.0</v>
      </c>
      <c r="B150" s="226">
        <v>484.0</v>
      </c>
      <c r="C150" s="226" t="s">
        <v>1306</v>
      </c>
      <c r="D150" s="226" t="s">
        <v>4176</v>
      </c>
      <c r="E150" s="228">
        <v>1.0</v>
      </c>
      <c r="F150" s="249"/>
      <c r="G150" s="250">
        <v>45216.0</v>
      </c>
      <c r="H150" s="250">
        <v>45582.0</v>
      </c>
      <c r="I150" s="228">
        <v>366.0</v>
      </c>
      <c r="K150" s="226" t="s">
        <v>4181</v>
      </c>
      <c r="L150" s="226" t="s">
        <v>259</v>
      </c>
      <c r="M150" s="226" t="s">
        <v>261</v>
      </c>
      <c r="N150" s="226" t="s">
        <v>4185</v>
      </c>
      <c r="O150" s="226" t="s">
        <v>4183</v>
      </c>
      <c r="P150" s="250">
        <v>46106.59635040509</v>
      </c>
    </row>
    <row r="151">
      <c r="A151" s="228">
        <v>150.0</v>
      </c>
      <c r="B151" s="226">
        <v>486.0</v>
      </c>
      <c r="C151" s="226" t="s">
        <v>267</v>
      </c>
      <c r="D151" s="226" t="s">
        <v>4176</v>
      </c>
      <c r="E151" s="228">
        <v>1.0</v>
      </c>
      <c r="F151" s="249"/>
      <c r="G151" s="250">
        <v>45216.0</v>
      </c>
      <c r="H151" s="250">
        <v>46387.0</v>
      </c>
      <c r="I151" s="228">
        <v>1171.0</v>
      </c>
      <c r="K151" s="226" t="s">
        <v>4181</v>
      </c>
      <c r="L151" s="226" t="s">
        <v>210</v>
      </c>
      <c r="M151" s="226" t="s">
        <v>14</v>
      </c>
      <c r="N151" s="226" t="s">
        <v>4184</v>
      </c>
      <c r="O151" s="226" t="s">
        <v>4183</v>
      </c>
      <c r="P151" s="250">
        <v>46106.59635040509</v>
      </c>
    </row>
    <row r="152">
      <c r="A152" s="228">
        <v>151.0</v>
      </c>
      <c r="B152" s="226">
        <v>485.0</v>
      </c>
      <c r="C152" s="226" t="s">
        <v>1353</v>
      </c>
      <c r="D152" s="226" t="s">
        <v>4176</v>
      </c>
      <c r="E152" s="228">
        <v>1.0</v>
      </c>
      <c r="F152" s="249"/>
      <c r="G152" s="250">
        <v>45217.0</v>
      </c>
      <c r="H152" s="250">
        <v>45245.0</v>
      </c>
      <c r="I152" s="228">
        <v>28.0</v>
      </c>
      <c r="K152" s="226" t="s">
        <v>4181</v>
      </c>
      <c r="L152" s="226" t="s">
        <v>311</v>
      </c>
      <c r="M152" s="226" t="s">
        <v>175</v>
      </c>
      <c r="N152" s="226" t="s">
        <v>4185</v>
      </c>
      <c r="O152" s="226" t="s">
        <v>4183</v>
      </c>
      <c r="P152" s="250">
        <v>46106.59635040509</v>
      </c>
    </row>
    <row r="153">
      <c r="A153" s="228">
        <v>152.0</v>
      </c>
      <c r="B153" s="226">
        <v>487.0</v>
      </c>
      <c r="C153" s="226" t="s">
        <v>1380</v>
      </c>
      <c r="D153" s="226" t="s">
        <v>4176</v>
      </c>
      <c r="E153" s="228">
        <v>1.0</v>
      </c>
      <c r="F153" s="249"/>
      <c r="G153" s="250">
        <v>45218.0</v>
      </c>
      <c r="H153" s="250">
        <v>45688.0</v>
      </c>
      <c r="I153" s="228">
        <v>470.0</v>
      </c>
      <c r="K153" s="226" t="s">
        <v>4181</v>
      </c>
      <c r="L153" s="226" t="s">
        <v>259</v>
      </c>
      <c r="M153" s="226" t="s">
        <v>261</v>
      </c>
      <c r="N153" s="226" t="s">
        <v>4185</v>
      </c>
      <c r="O153" s="226" t="s">
        <v>4183</v>
      </c>
      <c r="P153" s="250">
        <v>46106.59635040509</v>
      </c>
    </row>
    <row r="154">
      <c r="A154" s="228">
        <v>153.0</v>
      </c>
      <c r="B154" s="226">
        <v>488.0</v>
      </c>
      <c r="C154" s="226" t="s">
        <v>2139</v>
      </c>
      <c r="D154" s="226" t="s">
        <v>4176</v>
      </c>
      <c r="E154" s="228">
        <v>1.0</v>
      </c>
      <c r="F154" s="249"/>
      <c r="G154" s="250">
        <v>45219.0</v>
      </c>
      <c r="H154" s="250">
        <v>45230.0</v>
      </c>
      <c r="I154" s="228">
        <v>11.0</v>
      </c>
      <c r="K154" s="226" t="s">
        <v>4181</v>
      </c>
      <c r="L154" s="226" t="s">
        <v>247</v>
      </c>
      <c r="M154" s="226" t="s">
        <v>14</v>
      </c>
      <c r="N154" s="226" t="s">
        <v>4185</v>
      </c>
      <c r="O154" s="226" t="s">
        <v>4183</v>
      </c>
      <c r="P154" s="250">
        <v>46106.59635040509</v>
      </c>
    </row>
    <row r="155">
      <c r="A155" s="228">
        <v>154.0</v>
      </c>
      <c r="B155" s="226">
        <v>489.0</v>
      </c>
      <c r="C155" s="226" t="s">
        <v>2152</v>
      </c>
      <c r="D155" s="226" t="s">
        <v>4176</v>
      </c>
      <c r="E155" s="228">
        <v>1.0</v>
      </c>
      <c r="F155" s="249"/>
      <c r="G155" s="250">
        <v>45222.0</v>
      </c>
      <c r="H155" s="250">
        <v>45236.0</v>
      </c>
      <c r="I155" s="228">
        <v>14.0</v>
      </c>
      <c r="K155" s="226" t="s">
        <v>4181</v>
      </c>
      <c r="L155" s="226" t="s">
        <v>247</v>
      </c>
      <c r="M155" s="226" t="s">
        <v>175</v>
      </c>
      <c r="N155" s="226" t="s">
        <v>4185</v>
      </c>
      <c r="O155" s="226" t="s">
        <v>4183</v>
      </c>
      <c r="P155" s="250">
        <v>46106.59635040509</v>
      </c>
    </row>
    <row r="156">
      <c r="A156" s="228">
        <v>155.0</v>
      </c>
      <c r="B156" s="226">
        <v>490.0</v>
      </c>
      <c r="C156" s="226" t="s">
        <v>1401</v>
      </c>
      <c r="D156" s="226" t="s">
        <v>4176</v>
      </c>
      <c r="E156" s="228">
        <v>1.0</v>
      </c>
      <c r="F156" s="249"/>
      <c r="G156" s="250">
        <v>45223.0</v>
      </c>
      <c r="H156" s="250">
        <v>45838.0</v>
      </c>
      <c r="I156" s="228">
        <v>615.0</v>
      </c>
      <c r="K156" s="226" t="s">
        <v>4181</v>
      </c>
      <c r="L156" s="226" t="s">
        <v>210</v>
      </c>
      <c r="M156" s="226" t="s">
        <v>261</v>
      </c>
      <c r="N156" s="226" t="s">
        <v>4184</v>
      </c>
      <c r="O156" s="226" t="s">
        <v>4183</v>
      </c>
      <c r="P156" s="250">
        <v>46106.59635040509</v>
      </c>
    </row>
    <row r="157">
      <c r="A157" s="228">
        <v>156.0</v>
      </c>
      <c r="B157" s="226">
        <v>491.0</v>
      </c>
      <c r="C157" s="226" t="s">
        <v>1409</v>
      </c>
      <c r="D157" s="226" t="s">
        <v>4176</v>
      </c>
      <c r="E157" s="228">
        <v>1.0</v>
      </c>
      <c r="F157" s="249"/>
      <c r="G157" s="250">
        <v>45224.0</v>
      </c>
      <c r="H157" s="250">
        <v>45230.0</v>
      </c>
      <c r="I157" s="228">
        <v>6.0</v>
      </c>
      <c r="K157" s="226" t="s">
        <v>4181</v>
      </c>
      <c r="L157" s="226" t="s">
        <v>175</v>
      </c>
      <c r="M157" s="226" t="s">
        <v>261</v>
      </c>
      <c r="N157" s="226" t="s">
        <v>4185</v>
      </c>
      <c r="O157" s="226" t="s">
        <v>4183</v>
      </c>
      <c r="P157" s="250">
        <v>46106.59635040509</v>
      </c>
    </row>
    <row r="158">
      <c r="A158" s="228">
        <v>157.0</v>
      </c>
      <c r="B158" s="226">
        <v>492.0</v>
      </c>
      <c r="C158" s="226" t="s">
        <v>2199</v>
      </c>
      <c r="D158" s="226" t="s">
        <v>4176</v>
      </c>
      <c r="E158" s="228">
        <v>1.0</v>
      </c>
      <c r="F158" s="249"/>
      <c r="G158" s="250">
        <v>45225.0</v>
      </c>
      <c r="H158" s="250">
        <v>45377.0</v>
      </c>
      <c r="I158" s="228">
        <v>152.0</v>
      </c>
      <c r="K158" s="226" t="s">
        <v>4181</v>
      </c>
      <c r="L158" s="226" t="s">
        <v>247</v>
      </c>
      <c r="M158" s="226" t="s">
        <v>261</v>
      </c>
      <c r="N158" s="226" t="s">
        <v>4185</v>
      </c>
      <c r="O158" s="226" t="s">
        <v>4183</v>
      </c>
      <c r="P158" s="250">
        <v>46106.59635040509</v>
      </c>
    </row>
    <row r="159">
      <c r="A159" s="228">
        <v>158.0</v>
      </c>
      <c r="B159" s="226">
        <v>494.0</v>
      </c>
      <c r="C159" s="226" t="s">
        <v>606</v>
      </c>
      <c r="D159" s="226" t="s">
        <v>4188</v>
      </c>
      <c r="E159" s="228">
        <v>1.0</v>
      </c>
      <c r="F159" s="249"/>
      <c r="G159" s="250">
        <v>45229.0</v>
      </c>
      <c r="H159" s="250">
        <v>45657.0</v>
      </c>
      <c r="I159" s="228">
        <v>428.0</v>
      </c>
      <c r="K159" s="226" t="s">
        <v>4181</v>
      </c>
      <c r="L159" s="226" t="s">
        <v>247</v>
      </c>
      <c r="M159" s="226" t="s">
        <v>289</v>
      </c>
      <c r="N159" s="226" t="s">
        <v>4185</v>
      </c>
      <c r="O159" s="226" t="s">
        <v>4183</v>
      </c>
      <c r="P159" s="250">
        <v>46106.59635040509</v>
      </c>
    </row>
    <row r="160">
      <c r="A160" s="228">
        <v>159.0</v>
      </c>
      <c r="B160" s="226">
        <v>493.0</v>
      </c>
      <c r="C160" s="226" t="s">
        <v>2231</v>
      </c>
      <c r="D160" s="226" t="s">
        <v>4176</v>
      </c>
      <c r="E160" s="228">
        <v>1.0</v>
      </c>
      <c r="F160" s="249"/>
      <c r="G160" s="250">
        <v>45229.0</v>
      </c>
      <c r="H160" s="250">
        <v>45233.0</v>
      </c>
      <c r="I160" s="228">
        <v>4.0</v>
      </c>
      <c r="K160" s="226" t="s">
        <v>4181</v>
      </c>
      <c r="L160" s="226" t="s">
        <v>247</v>
      </c>
      <c r="M160" s="226" t="s">
        <v>175</v>
      </c>
      <c r="N160" s="226" t="s">
        <v>4185</v>
      </c>
      <c r="O160" s="226" t="s">
        <v>4183</v>
      </c>
      <c r="P160" s="250">
        <v>46106.59635040509</v>
      </c>
    </row>
    <row r="161">
      <c r="A161" s="228">
        <v>160.0</v>
      </c>
      <c r="B161" s="226">
        <v>496.0</v>
      </c>
      <c r="C161" s="226" t="s">
        <v>1531</v>
      </c>
      <c r="D161" s="226" t="s">
        <v>4176</v>
      </c>
      <c r="E161" s="228">
        <v>1.0</v>
      </c>
      <c r="F161" s="249"/>
      <c r="G161" s="250">
        <v>45230.0</v>
      </c>
      <c r="H161" s="250">
        <v>45238.0</v>
      </c>
      <c r="I161" s="228">
        <v>8.0</v>
      </c>
      <c r="K161" s="226" t="s">
        <v>4181</v>
      </c>
      <c r="L161" s="226" t="s">
        <v>311</v>
      </c>
      <c r="M161" s="226" t="s">
        <v>175</v>
      </c>
      <c r="N161" s="226" t="s">
        <v>4185</v>
      </c>
      <c r="O161" s="226" t="s">
        <v>4183</v>
      </c>
      <c r="P161" s="250">
        <v>46106.59635040509</v>
      </c>
    </row>
    <row r="162">
      <c r="A162" s="228">
        <v>161.0</v>
      </c>
      <c r="B162" s="226">
        <v>495.0</v>
      </c>
      <c r="C162" s="226" t="s">
        <v>921</v>
      </c>
      <c r="D162" s="226" t="s">
        <v>4176</v>
      </c>
      <c r="E162" s="228">
        <v>1.0</v>
      </c>
      <c r="F162" s="249"/>
      <c r="G162" s="250">
        <v>45230.0</v>
      </c>
      <c r="H162" s="250">
        <v>46169.0</v>
      </c>
      <c r="I162" s="228">
        <v>939.0</v>
      </c>
      <c r="K162" s="226" t="s">
        <v>4181</v>
      </c>
      <c r="L162" s="226" t="s">
        <v>247</v>
      </c>
      <c r="M162" s="226" t="s">
        <v>123</v>
      </c>
      <c r="N162" s="226" t="s">
        <v>4190</v>
      </c>
      <c r="O162" s="226" t="s">
        <v>4183</v>
      </c>
      <c r="P162" s="250">
        <v>46106.59635040509</v>
      </c>
    </row>
    <row r="163">
      <c r="A163" s="228">
        <v>162.0</v>
      </c>
      <c r="B163" s="226">
        <v>497.0</v>
      </c>
      <c r="C163" s="226" t="s">
        <v>2287</v>
      </c>
      <c r="D163" s="226" t="s">
        <v>4176</v>
      </c>
      <c r="E163" s="228">
        <v>1.0</v>
      </c>
      <c r="F163" s="249"/>
      <c r="G163" s="250">
        <v>45230.0</v>
      </c>
      <c r="H163" s="250">
        <v>45240.0</v>
      </c>
      <c r="I163" s="228">
        <v>10.0</v>
      </c>
      <c r="K163" s="226" t="s">
        <v>4181</v>
      </c>
      <c r="L163" s="226" t="s">
        <v>247</v>
      </c>
      <c r="M163" s="226" t="s">
        <v>175</v>
      </c>
      <c r="N163" s="226" t="s">
        <v>4185</v>
      </c>
      <c r="O163" s="226" t="s">
        <v>4183</v>
      </c>
      <c r="P163" s="250">
        <v>46106.59635040509</v>
      </c>
    </row>
    <row r="164">
      <c r="A164" s="228">
        <v>163.0</v>
      </c>
      <c r="B164" s="226">
        <v>499.0</v>
      </c>
      <c r="C164" s="226" t="s">
        <v>1422</v>
      </c>
      <c r="D164" s="226" t="s">
        <v>4176</v>
      </c>
      <c r="E164" s="228">
        <v>1.0</v>
      </c>
      <c r="F164" s="249"/>
      <c r="G164" s="250">
        <v>45232.0</v>
      </c>
      <c r="H164" s="250">
        <v>45239.0</v>
      </c>
      <c r="I164" s="228">
        <v>7.0</v>
      </c>
      <c r="K164" s="226" t="s">
        <v>4181</v>
      </c>
      <c r="L164" s="226" t="s">
        <v>175</v>
      </c>
      <c r="M164" s="226" t="s">
        <v>261</v>
      </c>
      <c r="N164" s="226" t="s">
        <v>4185</v>
      </c>
      <c r="O164" s="226" t="s">
        <v>4183</v>
      </c>
      <c r="P164" s="250">
        <v>46106.59635040509</v>
      </c>
    </row>
    <row r="165">
      <c r="A165" s="228">
        <v>164.0</v>
      </c>
      <c r="B165" s="226">
        <v>500.0</v>
      </c>
      <c r="C165" s="226" t="s">
        <v>1041</v>
      </c>
      <c r="D165" s="226" t="s">
        <v>4176</v>
      </c>
      <c r="E165" s="228">
        <v>1.0</v>
      </c>
      <c r="F165" s="249"/>
      <c r="G165" s="250">
        <v>45233.0</v>
      </c>
      <c r="H165" s="250">
        <v>46127.0</v>
      </c>
      <c r="I165" s="228">
        <v>894.0</v>
      </c>
      <c r="K165" s="226" t="s">
        <v>4181</v>
      </c>
      <c r="L165" s="226" t="s">
        <v>261</v>
      </c>
      <c r="M165" s="226" t="s">
        <v>123</v>
      </c>
      <c r="N165" s="226" t="s">
        <v>4190</v>
      </c>
      <c r="O165" s="226" t="s">
        <v>4183</v>
      </c>
      <c r="P165" s="250">
        <v>46106.59635040509</v>
      </c>
    </row>
    <row r="166">
      <c r="A166" s="228">
        <v>165.0</v>
      </c>
      <c r="B166" s="226">
        <v>501.0</v>
      </c>
      <c r="C166" s="226" t="s">
        <v>1514</v>
      </c>
      <c r="D166" s="226" t="s">
        <v>4176</v>
      </c>
      <c r="E166" s="228">
        <v>1.0</v>
      </c>
      <c r="F166" s="249"/>
      <c r="G166" s="250">
        <v>45236.0</v>
      </c>
      <c r="H166" s="250">
        <v>45603.0</v>
      </c>
      <c r="I166" s="228">
        <v>367.0</v>
      </c>
      <c r="K166" s="226" t="s">
        <v>4181</v>
      </c>
      <c r="L166" s="226" t="s">
        <v>311</v>
      </c>
      <c r="M166" s="226" t="s">
        <v>289</v>
      </c>
      <c r="N166" s="226" t="s">
        <v>4185</v>
      </c>
      <c r="O166" s="226" t="s">
        <v>4183</v>
      </c>
      <c r="P166" s="250">
        <v>46106.59635040509</v>
      </c>
    </row>
    <row r="167">
      <c r="A167" s="228">
        <v>166.0</v>
      </c>
      <c r="B167" s="226">
        <v>504.0</v>
      </c>
      <c r="C167" s="226" t="s">
        <v>1438</v>
      </c>
      <c r="D167" s="226" t="s">
        <v>4176</v>
      </c>
      <c r="E167" s="228">
        <v>1.0</v>
      </c>
      <c r="F167" s="249"/>
      <c r="G167" s="250">
        <v>45238.0</v>
      </c>
      <c r="H167" s="250">
        <v>45337.0</v>
      </c>
      <c r="I167" s="228">
        <v>99.0</v>
      </c>
      <c r="K167" s="226" t="s">
        <v>4181</v>
      </c>
      <c r="L167" s="226" t="s">
        <v>259</v>
      </c>
      <c r="M167" s="226" t="s">
        <v>289</v>
      </c>
      <c r="N167" s="226" t="s">
        <v>4185</v>
      </c>
      <c r="O167" s="226" t="s">
        <v>4183</v>
      </c>
      <c r="P167" s="250">
        <v>46106.59635040509</v>
      </c>
    </row>
    <row r="168">
      <c r="A168" s="228">
        <v>167.0</v>
      </c>
      <c r="B168" s="226">
        <v>506.0</v>
      </c>
      <c r="C168" s="226" t="s">
        <v>2328</v>
      </c>
      <c r="D168" s="226" t="s">
        <v>4176</v>
      </c>
      <c r="E168" s="228">
        <v>1.0</v>
      </c>
      <c r="F168" s="249"/>
      <c r="G168" s="250">
        <v>45238.0</v>
      </c>
      <c r="H168" s="250">
        <v>45604.0</v>
      </c>
      <c r="I168" s="228">
        <v>366.0</v>
      </c>
      <c r="K168" s="226" t="s">
        <v>4181</v>
      </c>
      <c r="L168" s="226" t="s">
        <v>247</v>
      </c>
      <c r="M168" s="226" t="s">
        <v>261</v>
      </c>
      <c r="N168" s="226" t="s">
        <v>4185</v>
      </c>
      <c r="O168" s="226" t="s">
        <v>4183</v>
      </c>
      <c r="P168" s="250">
        <v>46106.59635040509</v>
      </c>
    </row>
    <row r="169">
      <c r="A169" s="228">
        <v>168.0</v>
      </c>
      <c r="B169" s="226">
        <v>505.0</v>
      </c>
      <c r="C169" s="226" t="s">
        <v>2341</v>
      </c>
      <c r="D169" s="226" t="s">
        <v>4176</v>
      </c>
      <c r="E169" s="228">
        <v>1.0</v>
      </c>
      <c r="F169" s="249"/>
      <c r="G169" s="250">
        <v>45238.0</v>
      </c>
      <c r="H169" s="250">
        <v>45250.0</v>
      </c>
      <c r="I169" s="228">
        <v>12.0</v>
      </c>
      <c r="K169" s="226" t="s">
        <v>4181</v>
      </c>
      <c r="L169" s="226" t="s">
        <v>247</v>
      </c>
      <c r="M169" s="226" t="s">
        <v>261</v>
      </c>
      <c r="N169" s="226" t="s">
        <v>4185</v>
      </c>
      <c r="O169" s="226" t="s">
        <v>4183</v>
      </c>
      <c r="P169" s="250">
        <v>46106.59635040509</v>
      </c>
    </row>
    <row r="170">
      <c r="A170" s="228">
        <v>169.0</v>
      </c>
      <c r="B170" s="226">
        <v>507.0</v>
      </c>
      <c r="C170" s="226" t="s">
        <v>2350</v>
      </c>
      <c r="D170" s="226" t="s">
        <v>4176</v>
      </c>
      <c r="E170" s="228">
        <v>1.0</v>
      </c>
      <c r="F170" s="249"/>
      <c r="G170" s="250">
        <v>45243.0</v>
      </c>
      <c r="H170" s="250">
        <v>45590.0</v>
      </c>
      <c r="I170" s="228">
        <v>347.0</v>
      </c>
      <c r="K170" s="226" t="s">
        <v>4181</v>
      </c>
      <c r="L170" s="226" t="s">
        <v>247</v>
      </c>
      <c r="M170" s="226" t="s">
        <v>261</v>
      </c>
      <c r="N170" s="226" t="s">
        <v>4185</v>
      </c>
      <c r="O170" s="226" t="s">
        <v>4183</v>
      </c>
      <c r="P170" s="250">
        <v>46106.59635040509</v>
      </c>
    </row>
    <row r="171">
      <c r="A171" s="228">
        <v>170.0</v>
      </c>
      <c r="B171" s="226" t="s">
        <v>2360</v>
      </c>
      <c r="C171" s="226" t="s">
        <v>2362</v>
      </c>
      <c r="D171" s="226" t="s">
        <v>4176</v>
      </c>
      <c r="E171" s="228">
        <v>1.0</v>
      </c>
      <c r="F171" s="249"/>
      <c r="G171" s="250">
        <v>45244.0</v>
      </c>
      <c r="H171" s="250">
        <v>45610.0</v>
      </c>
      <c r="I171" s="228">
        <v>366.0</v>
      </c>
      <c r="K171" s="226" t="s">
        <v>4181</v>
      </c>
      <c r="L171" s="226" t="s">
        <v>211</v>
      </c>
      <c r="M171" s="226" t="s">
        <v>261</v>
      </c>
      <c r="N171" s="226" t="s">
        <v>4185</v>
      </c>
      <c r="O171" s="226" t="s">
        <v>4183</v>
      </c>
      <c r="P171" s="250">
        <v>46106.59635040509</v>
      </c>
    </row>
    <row r="172">
      <c r="A172" s="228">
        <v>171.0</v>
      </c>
      <c r="B172" s="226">
        <v>508.0</v>
      </c>
      <c r="C172" s="226" t="s">
        <v>2372</v>
      </c>
      <c r="D172" s="226" t="s">
        <v>4176</v>
      </c>
      <c r="E172" s="228">
        <v>1.0</v>
      </c>
      <c r="F172" s="249"/>
      <c r="G172" s="250">
        <v>45250.0</v>
      </c>
      <c r="H172" s="250">
        <v>45432.0</v>
      </c>
      <c r="I172" s="228">
        <v>182.0</v>
      </c>
      <c r="K172" s="226" t="s">
        <v>4181</v>
      </c>
      <c r="L172" s="226" t="s">
        <v>247</v>
      </c>
      <c r="M172" s="226" t="s">
        <v>261</v>
      </c>
      <c r="N172" s="226" t="s">
        <v>4185</v>
      </c>
      <c r="O172" s="226" t="s">
        <v>4183</v>
      </c>
      <c r="P172" s="250">
        <v>46106.59635040509</v>
      </c>
    </row>
    <row r="173">
      <c r="A173" s="228">
        <v>172.0</v>
      </c>
      <c r="B173" s="226">
        <v>509.0</v>
      </c>
      <c r="C173" s="226" t="s">
        <v>649</v>
      </c>
      <c r="D173" s="226" t="s">
        <v>4188</v>
      </c>
      <c r="E173" s="228">
        <v>1.0</v>
      </c>
      <c r="F173" s="249"/>
      <c r="G173" s="250">
        <v>45250.0</v>
      </c>
      <c r="H173" s="250">
        <v>45432.0</v>
      </c>
      <c r="I173" s="228">
        <v>182.0</v>
      </c>
      <c r="K173" s="226" t="s">
        <v>4181</v>
      </c>
      <c r="L173" s="226" t="s">
        <v>247</v>
      </c>
      <c r="M173" s="226" t="s">
        <v>289</v>
      </c>
      <c r="N173" s="226" t="s">
        <v>4185</v>
      </c>
      <c r="O173" s="226" t="s">
        <v>4183</v>
      </c>
      <c r="P173" s="250">
        <v>46106.59635040509</v>
      </c>
    </row>
    <row r="174">
      <c r="A174" s="228">
        <v>173.0</v>
      </c>
      <c r="B174" s="226">
        <v>510.0</v>
      </c>
      <c r="C174" s="226" t="s">
        <v>791</v>
      </c>
      <c r="D174" s="226" t="s">
        <v>4176</v>
      </c>
      <c r="E174" s="228">
        <v>1.0</v>
      </c>
      <c r="F174" s="249"/>
      <c r="G174" s="250">
        <v>45250.0</v>
      </c>
      <c r="H174" s="250">
        <v>45617.0</v>
      </c>
      <c r="I174" s="228">
        <v>367.0</v>
      </c>
      <c r="K174" s="226" t="s">
        <v>4181</v>
      </c>
      <c r="L174" s="226" t="s">
        <v>247</v>
      </c>
      <c r="M174" s="226" t="s">
        <v>175</v>
      </c>
      <c r="N174" s="226" t="s">
        <v>4185</v>
      </c>
      <c r="O174" s="226" t="s">
        <v>4183</v>
      </c>
      <c r="P174" s="250">
        <v>46106.59635040509</v>
      </c>
    </row>
    <row r="175">
      <c r="A175" s="228">
        <v>174.0</v>
      </c>
      <c r="B175" s="226">
        <v>511.0</v>
      </c>
      <c r="C175" s="226" t="s">
        <v>1444</v>
      </c>
      <c r="D175" s="226" t="s">
        <v>4176</v>
      </c>
      <c r="E175" s="228">
        <v>1.0</v>
      </c>
      <c r="F175" s="249"/>
      <c r="G175" s="250">
        <v>45251.0</v>
      </c>
      <c r="H175" s="250">
        <v>45657.0</v>
      </c>
      <c r="I175" s="228">
        <v>406.0</v>
      </c>
      <c r="K175" s="226" t="s">
        <v>4181</v>
      </c>
      <c r="L175" s="226" t="s">
        <v>311</v>
      </c>
      <c r="M175" s="226" t="s">
        <v>261</v>
      </c>
      <c r="N175" s="226" t="s">
        <v>4185</v>
      </c>
      <c r="O175" s="226" t="s">
        <v>4183</v>
      </c>
      <c r="P175" s="250">
        <v>46106.59635040509</v>
      </c>
    </row>
    <row r="176">
      <c r="A176" s="228">
        <v>175.0</v>
      </c>
      <c r="B176" s="226">
        <v>512.0</v>
      </c>
      <c r="C176" s="226" t="s">
        <v>2402</v>
      </c>
      <c r="D176" s="226" t="s">
        <v>4176</v>
      </c>
      <c r="E176" s="228">
        <v>1.0</v>
      </c>
      <c r="F176" s="249"/>
      <c r="G176" s="250">
        <v>45254.0</v>
      </c>
      <c r="H176" s="250">
        <v>45630.0</v>
      </c>
      <c r="I176" s="228">
        <v>376.0</v>
      </c>
      <c r="K176" s="226" t="s">
        <v>4181</v>
      </c>
      <c r="L176" s="226" t="s">
        <v>247</v>
      </c>
      <c r="M176" s="226" t="s">
        <v>175</v>
      </c>
      <c r="N176" s="226" t="s">
        <v>4185</v>
      </c>
      <c r="O176" s="226" t="s">
        <v>4183</v>
      </c>
      <c r="P176" s="250">
        <v>46106.59635040509</v>
      </c>
    </row>
    <row r="177">
      <c r="A177" s="228">
        <v>176.0</v>
      </c>
      <c r="B177" s="226">
        <v>515.0</v>
      </c>
      <c r="C177" s="226" t="s">
        <v>1778</v>
      </c>
      <c r="D177" s="226" t="s">
        <v>4176</v>
      </c>
      <c r="E177" s="228">
        <v>1.0</v>
      </c>
      <c r="F177" s="249"/>
      <c r="G177" s="250">
        <v>45258.0</v>
      </c>
      <c r="H177" s="250">
        <v>46371.0</v>
      </c>
      <c r="I177" s="228">
        <v>1113.0</v>
      </c>
      <c r="K177" s="226" t="s">
        <v>4181</v>
      </c>
      <c r="L177" s="226" t="s">
        <v>122</v>
      </c>
      <c r="M177" s="226" t="s">
        <v>123</v>
      </c>
      <c r="N177" s="226" t="s">
        <v>4184</v>
      </c>
      <c r="O177" s="226" t="s">
        <v>4183</v>
      </c>
      <c r="P177" s="250">
        <v>46106.59635040509</v>
      </c>
    </row>
    <row r="178">
      <c r="A178" s="228">
        <v>177.0</v>
      </c>
      <c r="B178" s="226">
        <v>245.0</v>
      </c>
      <c r="C178" s="226" t="s">
        <v>1508</v>
      </c>
      <c r="D178" s="226" t="s">
        <v>4176</v>
      </c>
      <c r="E178" s="228">
        <v>1.0</v>
      </c>
      <c r="F178" s="249"/>
      <c r="G178" s="250">
        <v>45259.0</v>
      </c>
      <c r="H178" s="250">
        <v>46387.0</v>
      </c>
      <c r="I178" s="228">
        <v>1128.0</v>
      </c>
      <c r="K178" s="226" t="s">
        <v>4181</v>
      </c>
      <c r="L178" s="226" t="s">
        <v>261</v>
      </c>
      <c r="M178" s="226" t="s">
        <v>14</v>
      </c>
      <c r="N178" s="226" t="s">
        <v>4184</v>
      </c>
      <c r="O178" s="226" t="s">
        <v>4183</v>
      </c>
      <c r="P178" s="250">
        <v>46106.59635040509</v>
      </c>
    </row>
    <row r="179">
      <c r="A179" s="228">
        <v>178.0</v>
      </c>
      <c r="B179" s="226">
        <v>516.0</v>
      </c>
      <c r="C179" s="226" t="s">
        <v>2425</v>
      </c>
      <c r="D179" s="226" t="s">
        <v>4176</v>
      </c>
      <c r="E179" s="228">
        <v>1.0</v>
      </c>
      <c r="F179" s="249"/>
      <c r="G179" s="250">
        <v>45260.0</v>
      </c>
      <c r="H179" s="250">
        <v>46350.0</v>
      </c>
      <c r="I179" s="228">
        <v>1090.0</v>
      </c>
      <c r="K179" s="226" t="s">
        <v>4181</v>
      </c>
      <c r="L179" s="226" t="s">
        <v>247</v>
      </c>
      <c r="M179" s="226" t="s">
        <v>123</v>
      </c>
      <c r="N179" s="226" t="s">
        <v>4184</v>
      </c>
      <c r="O179" s="226" t="s">
        <v>4183</v>
      </c>
      <c r="P179" s="250">
        <v>46106.59635040509</v>
      </c>
    </row>
    <row r="180">
      <c r="A180" s="228">
        <v>179.0</v>
      </c>
      <c r="B180" s="226">
        <v>514.0</v>
      </c>
      <c r="C180" s="226" t="s">
        <v>883</v>
      </c>
      <c r="D180" s="226" t="s">
        <v>4176</v>
      </c>
      <c r="E180" s="228">
        <v>1.0</v>
      </c>
      <c r="F180" s="249"/>
      <c r="G180" s="250">
        <v>45261.0</v>
      </c>
      <c r="H180" s="250">
        <v>45382.0</v>
      </c>
      <c r="I180" s="228">
        <v>121.0</v>
      </c>
      <c r="K180" s="226" t="s">
        <v>4181</v>
      </c>
      <c r="L180" s="226" t="s">
        <v>162</v>
      </c>
      <c r="M180" s="226" t="s">
        <v>14</v>
      </c>
      <c r="N180" s="226" t="s">
        <v>4185</v>
      </c>
      <c r="O180" s="226" t="s">
        <v>4183</v>
      </c>
      <c r="P180" s="250">
        <v>46106.59635040509</v>
      </c>
    </row>
    <row r="181">
      <c r="A181" s="228">
        <v>180.0</v>
      </c>
      <c r="B181" s="226">
        <v>517.0</v>
      </c>
      <c r="C181" s="226" t="s">
        <v>2445</v>
      </c>
      <c r="D181" s="226" t="s">
        <v>4176</v>
      </c>
      <c r="E181" s="228">
        <v>1.0</v>
      </c>
      <c r="F181" s="249"/>
      <c r="G181" s="250">
        <v>45261.0</v>
      </c>
      <c r="H181" s="250">
        <v>46142.0</v>
      </c>
      <c r="I181" s="228">
        <v>881.0</v>
      </c>
      <c r="K181" s="226" t="s">
        <v>4181</v>
      </c>
      <c r="L181" s="226" t="s">
        <v>247</v>
      </c>
      <c r="M181" s="226" t="s">
        <v>14</v>
      </c>
      <c r="N181" s="226" t="s">
        <v>4190</v>
      </c>
      <c r="O181" s="226" t="s">
        <v>4183</v>
      </c>
      <c r="P181" s="250">
        <v>46106.59635040509</v>
      </c>
    </row>
    <row r="182">
      <c r="A182" s="228">
        <v>181.0</v>
      </c>
      <c r="B182" s="226">
        <v>518.0</v>
      </c>
      <c r="C182" s="226" t="s">
        <v>1473</v>
      </c>
      <c r="D182" s="226" t="s">
        <v>4176</v>
      </c>
      <c r="E182" s="228">
        <v>1.0</v>
      </c>
      <c r="F182" s="249"/>
      <c r="G182" s="250">
        <v>45264.0</v>
      </c>
      <c r="H182" s="250">
        <v>46356.0</v>
      </c>
      <c r="I182" s="228">
        <v>1092.0</v>
      </c>
      <c r="K182" s="226" t="s">
        <v>4181</v>
      </c>
      <c r="L182" s="226" t="s">
        <v>210</v>
      </c>
      <c r="M182" s="226" t="s">
        <v>14</v>
      </c>
      <c r="N182" s="226" t="s">
        <v>4184</v>
      </c>
      <c r="O182" s="226" t="s">
        <v>4183</v>
      </c>
      <c r="P182" s="250">
        <v>46106.59635040509</v>
      </c>
    </row>
    <row r="183">
      <c r="A183" s="228">
        <v>182.0</v>
      </c>
      <c r="B183" s="226">
        <v>519.0</v>
      </c>
      <c r="C183" s="226" t="s">
        <v>303</v>
      </c>
      <c r="D183" s="226" t="s">
        <v>4176</v>
      </c>
      <c r="E183" s="228">
        <v>1.0</v>
      </c>
      <c r="F183" s="249"/>
      <c r="G183" s="250">
        <v>45265.0</v>
      </c>
      <c r="H183" s="250">
        <v>46154.0</v>
      </c>
      <c r="I183" s="228">
        <v>889.0</v>
      </c>
      <c r="K183" s="226" t="s">
        <v>4181</v>
      </c>
      <c r="L183" s="226" t="s">
        <v>210</v>
      </c>
      <c r="M183" s="226" t="s">
        <v>14</v>
      </c>
      <c r="N183" s="226" t="s">
        <v>4184</v>
      </c>
      <c r="O183" s="226" t="s">
        <v>4183</v>
      </c>
      <c r="P183" s="250">
        <v>46106.59635040509</v>
      </c>
    </row>
    <row r="184">
      <c r="A184" s="228">
        <v>183.0</v>
      </c>
      <c r="B184" s="226">
        <v>520.0</v>
      </c>
      <c r="C184" s="226" t="s">
        <v>2474</v>
      </c>
      <c r="D184" s="226" t="s">
        <v>4176</v>
      </c>
      <c r="E184" s="228">
        <v>1.0</v>
      </c>
      <c r="F184" s="249"/>
      <c r="G184" s="250">
        <v>45265.0</v>
      </c>
      <c r="H184" s="250">
        <v>45631.0</v>
      </c>
      <c r="I184" s="228">
        <v>366.0</v>
      </c>
      <c r="K184" s="226" t="s">
        <v>4181</v>
      </c>
      <c r="L184" s="226" t="s">
        <v>247</v>
      </c>
      <c r="M184" s="226" t="s">
        <v>261</v>
      </c>
      <c r="N184" s="226" t="s">
        <v>4185</v>
      </c>
      <c r="O184" s="226" t="s">
        <v>4183</v>
      </c>
      <c r="P184" s="250">
        <v>46106.59635040509</v>
      </c>
    </row>
    <row r="185">
      <c r="A185" s="228">
        <v>184.0</v>
      </c>
      <c r="B185" s="226">
        <v>540.0</v>
      </c>
      <c r="C185" s="226" t="s">
        <v>1894</v>
      </c>
      <c r="D185" s="226" t="s">
        <v>4176</v>
      </c>
      <c r="E185" s="228">
        <v>1.0</v>
      </c>
      <c r="F185" s="249"/>
      <c r="G185" s="250">
        <v>45266.0</v>
      </c>
      <c r="H185" s="250">
        <v>46332.0</v>
      </c>
      <c r="I185" s="228">
        <v>1066.0</v>
      </c>
      <c r="K185" s="226" t="s">
        <v>4181</v>
      </c>
      <c r="L185" s="226" t="s">
        <v>122</v>
      </c>
      <c r="M185" s="226" t="s">
        <v>14</v>
      </c>
      <c r="N185" s="226" t="s">
        <v>4184</v>
      </c>
      <c r="O185" s="226" t="s">
        <v>4183</v>
      </c>
      <c r="P185" s="250">
        <v>46106.59635040509</v>
      </c>
    </row>
    <row r="186">
      <c r="A186" s="228">
        <v>185.0</v>
      </c>
      <c r="B186" s="226">
        <v>521.0</v>
      </c>
      <c r="C186" s="226" t="s">
        <v>1578</v>
      </c>
      <c r="D186" s="226" t="s">
        <v>4176</v>
      </c>
      <c r="E186" s="228">
        <v>1.0</v>
      </c>
      <c r="F186" s="249"/>
      <c r="G186" s="250">
        <v>45267.0</v>
      </c>
      <c r="H186" s="250">
        <v>45545.0</v>
      </c>
      <c r="I186" s="228">
        <v>278.0</v>
      </c>
      <c r="K186" s="226" t="s">
        <v>4181</v>
      </c>
      <c r="L186" s="226" t="s">
        <v>311</v>
      </c>
      <c r="M186" s="226" t="s">
        <v>261</v>
      </c>
      <c r="N186" s="226" t="s">
        <v>4190</v>
      </c>
      <c r="O186" s="226" t="s">
        <v>4183</v>
      </c>
      <c r="P186" s="250">
        <v>46106.59635040509</v>
      </c>
    </row>
    <row r="187">
      <c r="A187" s="228">
        <v>186.0</v>
      </c>
      <c r="B187" s="226">
        <v>522.0</v>
      </c>
      <c r="C187" s="226" t="s">
        <v>1791</v>
      </c>
      <c r="D187" s="226" t="s">
        <v>4176</v>
      </c>
      <c r="E187" s="228">
        <v>1.0</v>
      </c>
      <c r="F187" s="249"/>
      <c r="G187" s="250">
        <v>45268.0</v>
      </c>
      <c r="H187" s="250">
        <v>45657.0</v>
      </c>
      <c r="I187" s="228">
        <v>389.0</v>
      </c>
      <c r="K187" s="226" t="s">
        <v>4181</v>
      </c>
      <c r="L187" s="226" t="s">
        <v>122</v>
      </c>
      <c r="M187" s="226" t="s">
        <v>175</v>
      </c>
      <c r="N187" s="226" t="s">
        <v>4185</v>
      </c>
      <c r="O187" s="226" t="s">
        <v>4183</v>
      </c>
      <c r="P187" s="250">
        <v>46106.59635040509</v>
      </c>
    </row>
    <row r="188">
      <c r="A188" s="228">
        <v>187.0</v>
      </c>
      <c r="B188" s="226">
        <v>523.0</v>
      </c>
      <c r="C188" s="226" t="s">
        <v>369</v>
      </c>
      <c r="D188" s="226" t="s">
        <v>4176</v>
      </c>
      <c r="E188" s="228">
        <v>1.0</v>
      </c>
      <c r="F188" s="249"/>
      <c r="G188" s="250">
        <v>45268.0</v>
      </c>
      <c r="H188" s="250">
        <v>45839.0</v>
      </c>
      <c r="I188" s="228">
        <v>571.0</v>
      </c>
      <c r="K188" s="226" t="s">
        <v>4181</v>
      </c>
      <c r="L188" s="226" t="s">
        <v>122</v>
      </c>
      <c r="M188" s="226" t="s">
        <v>261</v>
      </c>
      <c r="N188" s="226" t="s">
        <v>4185</v>
      </c>
      <c r="O188" s="226" t="s">
        <v>4183</v>
      </c>
      <c r="P188" s="250">
        <v>46106.59635040509</v>
      </c>
    </row>
    <row r="189">
      <c r="A189" s="228">
        <v>188.0</v>
      </c>
      <c r="B189" s="226">
        <v>524.0</v>
      </c>
      <c r="C189" s="226" t="s">
        <v>2522</v>
      </c>
      <c r="D189" s="226" t="s">
        <v>4176</v>
      </c>
      <c r="E189" s="228">
        <v>1.0</v>
      </c>
      <c r="F189" s="249"/>
      <c r="G189" s="250">
        <v>45271.0</v>
      </c>
      <c r="H189" s="250">
        <v>46154.0</v>
      </c>
      <c r="I189" s="228">
        <v>883.0</v>
      </c>
      <c r="K189" s="226" t="s">
        <v>4181</v>
      </c>
      <c r="L189" s="226" t="s">
        <v>122</v>
      </c>
      <c r="M189" s="226" t="s">
        <v>14</v>
      </c>
      <c r="N189" s="226" t="s">
        <v>4184</v>
      </c>
      <c r="O189" s="226" t="s">
        <v>4183</v>
      </c>
      <c r="P189" s="250">
        <v>46106.59635040509</v>
      </c>
    </row>
    <row r="190">
      <c r="A190" s="228">
        <v>189.0</v>
      </c>
      <c r="B190" s="226">
        <v>525.0</v>
      </c>
      <c r="C190" s="226" t="s">
        <v>657</v>
      </c>
      <c r="D190" s="226" t="s">
        <v>4188</v>
      </c>
      <c r="E190" s="228">
        <v>1.0</v>
      </c>
      <c r="F190" s="249"/>
      <c r="G190" s="250">
        <v>45272.0</v>
      </c>
      <c r="H190" s="250">
        <v>45638.0</v>
      </c>
      <c r="I190" s="228">
        <v>366.0</v>
      </c>
      <c r="K190" s="226" t="s">
        <v>4181</v>
      </c>
      <c r="L190" s="226" t="s">
        <v>247</v>
      </c>
      <c r="M190" s="226" t="s">
        <v>289</v>
      </c>
      <c r="N190" s="226" t="s">
        <v>4185</v>
      </c>
      <c r="O190" s="226" t="s">
        <v>4183</v>
      </c>
      <c r="P190" s="250">
        <v>46106.59635040509</v>
      </c>
    </row>
    <row r="191">
      <c r="A191" s="228">
        <v>190.0</v>
      </c>
      <c r="B191" s="226">
        <v>526.0</v>
      </c>
      <c r="C191" s="226" t="s">
        <v>2551</v>
      </c>
      <c r="D191" s="226" t="s">
        <v>4176</v>
      </c>
      <c r="E191" s="228">
        <v>1.0</v>
      </c>
      <c r="F191" s="249"/>
      <c r="G191" s="250">
        <v>45274.0</v>
      </c>
      <c r="H191" s="250">
        <v>45458.0</v>
      </c>
      <c r="I191" s="228">
        <v>184.0</v>
      </c>
      <c r="K191" s="226" t="s">
        <v>4181</v>
      </c>
      <c r="L191" s="226" t="s">
        <v>247</v>
      </c>
      <c r="M191" s="226" t="s">
        <v>289</v>
      </c>
      <c r="N191" s="226" t="s">
        <v>4185</v>
      </c>
      <c r="O191" s="226" t="s">
        <v>4183</v>
      </c>
      <c r="P191" s="250">
        <v>46106.59635040509</v>
      </c>
    </row>
    <row r="192">
      <c r="A192" s="228">
        <v>191.0</v>
      </c>
      <c r="B192" s="226">
        <v>531.0</v>
      </c>
      <c r="C192" s="226" t="s">
        <v>2564</v>
      </c>
      <c r="D192" s="226" t="s">
        <v>4176</v>
      </c>
      <c r="E192" s="228">
        <v>1.0</v>
      </c>
      <c r="F192" s="249"/>
      <c r="G192" s="250">
        <v>45279.0</v>
      </c>
      <c r="H192" s="250">
        <v>45645.0</v>
      </c>
      <c r="I192" s="228">
        <v>366.0</v>
      </c>
      <c r="K192" s="226" t="s">
        <v>4181</v>
      </c>
      <c r="L192" s="226" t="s">
        <v>247</v>
      </c>
      <c r="M192" s="226" t="s">
        <v>261</v>
      </c>
      <c r="N192" s="226" t="s">
        <v>4185</v>
      </c>
      <c r="O192" s="226" t="s">
        <v>4183</v>
      </c>
      <c r="P192" s="250">
        <v>46106.59635040509</v>
      </c>
    </row>
    <row r="193">
      <c r="A193" s="228">
        <v>192.0</v>
      </c>
      <c r="B193" s="226">
        <v>527.0</v>
      </c>
      <c r="C193" s="226" t="s">
        <v>1814</v>
      </c>
      <c r="D193" s="226" t="s">
        <v>4176</v>
      </c>
      <c r="E193" s="228">
        <v>1.0</v>
      </c>
      <c r="F193" s="249"/>
      <c r="G193" s="250">
        <v>45280.0</v>
      </c>
      <c r="H193" s="250">
        <v>46022.0</v>
      </c>
      <c r="I193" s="228">
        <v>742.0</v>
      </c>
      <c r="K193" s="226" t="s">
        <v>4181</v>
      </c>
      <c r="L193" s="226" t="s">
        <v>122</v>
      </c>
      <c r="M193" s="226" t="s">
        <v>123</v>
      </c>
      <c r="N193" s="226" t="s">
        <v>4190</v>
      </c>
      <c r="O193" s="226" t="s">
        <v>4183</v>
      </c>
      <c r="P193" s="250">
        <v>46106.59635040509</v>
      </c>
    </row>
    <row r="194">
      <c r="A194" s="228">
        <v>193.0</v>
      </c>
      <c r="B194" s="226">
        <v>528.0</v>
      </c>
      <c r="C194" s="226" t="s">
        <v>657</v>
      </c>
      <c r="D194" s="226" t="s">
        <v>4176</v>
      </c>
      <c r="E194" s="228">
        <v>1.0</v>
      </c>
      <c r="F194" s="249"/>
      <c r="G194" s="250">
        <v>45280.0</v>
      </c>
      <c r="H194" s="250">
        <v>46387.0</v>
      </c>
      <c r="I194" s="228">
        <v>1107.0</v>
      </c>
      <c r="K194" s="226" t="s">
        <v>4181</v>
      </c>
      <c r="L194" s="226" t="s">
        <v>247</v>
      </c>
      <c r="M194" s="226" t="s">
        <v>123</v>
      </c>
      <c r="N194" s="226" t="s">
        <v>4184</v>
      </c>
      <c r="O194" s="226" t="s">
        <v>4183</v>
      </c>
      <c r="P194" s="250">
        <v>46106.59635040509</v>
      </c>
    </row>
    <row r="195">
      <c r="A195" s="228">
        <v>194.0</v>
      </c>
      <c r="B195" s="226">
        <v>529.0</v>
      </c>
      <c r="C195" s="226" t="s">
        <v>1740</v>
      </c>
      <c r="D195" s="226" t="s">
        <v>4176</v>
      </c>
      <c r="E195" s="228">
        <v>1.0</v>
      </c>
      <c r="F195" s="249"/>
      <c r="G195" s="250">
        <v>45282.0</v>
      </c>
      <c r="H195" s="250">
        <v>45473.0</v>
      </c>
      <c r="I195" s="228">
        <v>191.0</v>
      </c>
      <c r="K195" s="226" t="s">
        <v>4181</v>
      </c>
      <c r="L195" s="226" t="s">
        <v>311</v>
      </c>
      <c r="M195" s="226" t="s">
        <v>289</v>
      </c>
      <c r="N195" s="226" t="s">
        <v>4185</v>
      </c>
      <c r="O195" s="226" t="s">
        <v>4183</v>
      </c>
      <c r="P195" s="250">
        <v>46106.59635040509</v>
      </c>
    </row>
    <row r="196">
      <c r="A196" s="228">
        <v>195.0</v>
      </c>
      <c r="B196" s="226">
        <v>530.0</v>
      </c>
      <c r="C196" s="226" t="s">
        <v>1825</v>
      </c>
      <c r="D196" s="226" t="s">
        <v>4176</v>
      </c>
      <c r="E196" s="228">
        <v>1.0</v>
      </c>
      <c r="F196" s="249"/>
      <c r="G196" s="250">
        <v>45288.0</v>
      </c>
      <c r="H196" s="250">
        <v>46293.0</v>
      </c>
      <c r="I196" s="228">
        <v>1005.0</v>
      </c>
      <c r="K196" s="226" t="s">
        <v>4181</v>
      </c>
      <c r="L196" s="226" t="s">
        <v>122</v>
      </c>
      <c r="M196" s="226" t="s">
        <v>123</v>
      </c>
      <c r="N196" s="226" t="s">
        <v>4184</v>
      </c>
      <c r="O196" s="226" t="s">
        <v>4183</v>
      </c>
      <c r="P196" s="250">
        <v>46106.59635040509</v>
      </c>
    </row>
    <row r="197">
      <c r="A197" s="228">
        <v>196.0</v>
      </c>
      <c r="B197" s="226">
        <v>533.0</v>
      </c>
      <c r="C197" s="226" t="s">
        <v>2601</v>
      </c>
      <c r="D197" s="226" t="s">
        <v>4176</v>
      </c>
      <c r="E197" s="228">
        <v>1.0</v>
      </c>
      <c r="F197" s="249"/>
      <c r="G197" s="250">
        <v>45294.0</v>
      </c>
      <c r="H197" s="250">
        <v>45661.0</v>
      </c>
      <c r="I197" s="228">
        <v>367.0</v>
      </c>
      <c r="K197" s="226" t="s">
        <v>4181</v>
      </c>
      <c r="L197" s="226" t="s">
        <v>247</v>
      </c>
      <c r="M197" s="226" t="s">
        <v>289</v>
      </c>
      <c r="N197" s="226" t="s">
        <v>4185</v>
      </c>
      <c r="O197" s="226" t="s">
        <v>4183</v>
      </c>
      <c r="P197" s="250">
        <v>46106.59635040509</v>
      </c>
    </row>
    <row r="198">
      <c r="A198" s="228">
        <v>197.0</v>
      </c>
      <c r="B198" s="226">
        <v>532.0</v>
      </c>
      <c r="C198" s="226" t="s">
        <v>1836</v>
      </c>
      <c r="D198" s="226" t="s">
        <v>4176</v>
      </c>
      <c r="E198" s="228">
        <v>1.0</v>
      </c>
      <c r="F198" s="249"/>
      <c r="G198" s="250">
        <v>45299.0</v>
      </c>
      <c r="H198" s="250">
        <v>45665.0</v>
      </c>
      <c r="I198" s="228">
        <v>366.0</v>
      </c>
      <c r="K198" s="226" t="s">
        <v>4181</v>
      </c>
      <c r="L198" s="226" t="s">
        <v>122</v>
      </c>
      <c r="M198" s="226" t="s">
        <v>175</v>
      </c>
      <c r="N198" s="226" t="s">
        <v>4185</v>
      </c>
      <c r="O198" s="226" t="s">
        <v>4183</v>
      </c>
      <c r="P198" s="250">
        <v>46106.59635040509</v>
      </c>
    </row>
    <row r="199">
      <c r="A199" s="228">
        <v>198.0</v>
      </c>
      <c r="B199" s="226">
        <v>534.0</v>
      </c>
      <c r="C199" s="226" t="s">
        <v>2617</v>
      </c>
      <c r="D199" s="226" t="s">
        <v>4176</v>
      </c>
      <c r="E199" s="228">
        <v>1.0</v>
      </c>
      <c r="F199" s="249"/>
      <c r="G199" s="250">
        <v>45299.0</v>
      </c>
      <c r="H199" s="250">
        <v>45666.0</v>
      </c>
      <c r="I199" s="228">
        <v>367.0</v>
      </c>
      <c r="K199" s="226" t="s">
        <v>4181</v>
      </c>
      <c r="L199" s="226" t="s">
        <v>247</v>
      </c>
      <c r="M199" s="226" t="s">
        <v>261</v>
      </c>
      <c r="N199" s="226" t="s">
        <v>4185</v>
      </c>
      <c r="O199" s="226" t="s">
        <v>4183</v>
      </c>
      <c r="P199" s="250">
        <v>46106.59635040509</v>
      </c>
    </row>
    <row r="200">
      <c r="A200" s="228">
        <v>199.0</v>
      </c>
      <c r="B200" s="226">
        <v>535.0</v>
      </c>
      <c r="C200" s="226" t="s">
        <v>2625</v>
      </c>
      <c r="D200" s="226" t="s">
        <v>4176</v>
      </c>
      <c r="E200" s="228">
        <v>1.0</v>
      </c>
      <c r="F200" s="249"/>
      <c r="G200" s="250">
        <v>45299.0</v>
      </c>
      <c r="H200" s="250">
        <v>45313.0</v>
      </c>
      <c r="I200" s="228">
        <v>14.0</v>
      </c>
      <c r="K200" s="226" t="s">
        <v>4181</v>
      </c>
      <c r="L200" s="226" t="s">
        <v>247</v>
      </c>
      <c r="M200" s="226" t="s">
        <v>175</v>
      </c>
      <c r="N200" s="226" t="s">
        <v>4185</v>
      </c>
      <c r="O200" s="226" t="s">
        <v>4183</v>
      </c>
      <c r="P200" s="250">
        <v>46106.59635040509</v>
      </c>
    </row>
    <row r="201">
      <c r="A201" s="228">
        <v>200.0</v>
      </c>
      <c r="B201" s="226">
        <v>536.0</v>
      </c>
      <c r="C201" s="226" t="s">
        <v>1852</v>
      </c>
      <c r="D201" s="226" t="s">
        <v>4176</v>
      </c>
      <c r="E201" s="228">
        <v>1.0</v>
      </c>
      <c r="F201" s="249"/>
      <c r="G201" s="250">
        <v>45303.0</v>
      </c>
      <c r="H201" s="250">
        <v>46418.0</v>
      </c>
      <c r="I201" s="228">
        <v>1115.0</v>
      </c>
      <c r="K201" s="226" t="s">
        <v>4181</v>
      </c>
      <c r="L201" s="226" t="s">
        <v>122</v>
      </c>
      <c r="M201" s="226" t="s">
        <v>211</v>
      </c>
      <c r="N201" s="226" t="s">
        <v>4185</v>
      </c>
      <c r="O201" s="226" t="s">
        <v>4183</v>
      </c>
      <c r="P201" s="250">
        <v>46106.59635040509</v>
      </c>
    </row>
    <row r="202">
      <c r="A202" s="228">
        <v>201.0</v>
      </c>
      <c r="B202" s="226">
        <v>537.0</v>
      </c>
      <c r="C202" s="226" t="s">
        <v>1865</v>
      </c>
      <c r="D202" s="226" t="s">
        <v>4176</v>
      </c>
      <c r="E202" s="228">
        <v>1.0</v>
      </c>
      <c r="F202" s="249"/>
      <c r="G202" s="250">
        <v>45306.0</v>
      </c>
      <c r="H202" s="250">
        <v>45488.0</v>
      </c>
      <c r="I202" s="228">
        <v>182.0</v>
      </c>
      <c r="K202" s="226" t="s">
        <v>4181</v>
      </c>
      <c r="L202" s="226" t="s">
        <v>122</v>
      </c>
      <c r="M202" s="226" t="s">
        <v>2644</v>
      </c>
      <c r="N202" s="226" t="s">
        <v>4185</v>
      </c>
      <c r="O202" s="226" t="s">
        <v>4183</v>
      </c>
      <c r="P202" s="250">
        <v>46106.59635040509</v>
      </c>
    </row>
    <row r="203">
      <c r="A203" s="228">
        <v>202.0</v>
      </c>
      <c r="B203" s="226">
        <v>538.0</v>
      </c>
      <c r="C203" s="226" t="s">
        <v>1876</v>
      </c>
      <c r="D203" s="226" t="s">
        <v>4176</v>
      </c>
      <c r="E203" s="228">
        <v>1.0</v>
      </c>
      <c r="F203" s="249"/>
      <c r="G203" s="250">
        <v>45308.0</v>
      </c>
      <c r="H203" s="250">
        <v>45315.0</v>
      </c>
      <c r="I203" s="228">
        <v>7.0</v>
      </c>
      <c r="K203" s="226" t="s">
        <v>4181</v>
      </c>
      <c r="L203" s="226" t="s">
        <v>122</v>
      </c>
      <c r="M203" s="226" t="s">
        <v>175</v>
      </c>
      <c r="N203" s="226" t="s">
        <v>4185</v>
      </c>
      <c r="O203" s="226" t="s">
        <v>4183</v>
      </c>
      <c r="P203" s="250">
        <v>46106.59635040509</v>
      </c>
    </row>
    <row r="204">
      <c r="A204" s="228">
        <v>203.0</v>
      </c>
      <c r="B204" s="226">
        <v>539.0</v>
      </c>
      <c r="C204" s="226" t="s">
        <v>568</v>
      </c>
      <c r="D204" s="226" t="s">
        <v>4176</v>
      </c>
      <c r="E204" s="228">
        <v>1.0</v>
      </c>
      <c r="F204" s="249"/>
      <c r="G204" s="250">
        <v>45308.0</v>
      </c>
      <c r="H204" s="250">
        <v>45322.0</v>
      </c>
      <c r="I204" s="228">
        <v>14.0</v>
      </c>
      <c r="K204" s="226" t="s">
        <v>4181</v>
      </c>
      <c r="L204" s="226" t="s">
        <v>175</v>
      </c>
      <c r="M204" s="226" t="s">
        <v>175</v>
      </c>
      <c r="N204" s="226" t="s">
        <v>4185</v>
      </c>
      <c r="O204" s="226" t="s">
        <v>4183</v>
      </c>
      <c r="P204" s="250">
        <v>46106.59635040509</v>
      </c>
    </row>
    <row r="205">
      <c r="A205" s="228">
        <v>204.0</v>
      </c>
      <c r="B205" s="226">
        <v>216.0</v>
      </c>
      <c r="C205" s="226" t="s">
        <v>851</v>
      </c>
      <c r="D205" s="226" t="s">
        <v>4176</v>
      </c>
      <c r="E205" s="228">
        <v>1.0</v>
      </c>
      <c r="F205" s="249"/>
      <c r="G205" s="250">
        <v>45309.0</v>
      </c>
      <c r="H205" s="250">
        <v>46388.0</v>
      </c>
      <c r="I205" s="228">
        <v>1079.0</v>
      </c>
      <c r="K205" s="226" t="s">
        <v>4181</v>
      </c>
      <c r="L205" s="226" t="s">
        <v>211</v>
      </c>
      <c r="M205" s="226" t="s">
        <v>123</v>
      </c>
      <c r="N205" s="226" t="s">
        <v>4184</v>
      </c>
      <c r="O205" s="226" t="s">
        <v>4183</v>
      </c>
      <c r="P205" s="250">
        <v>46106.59635040509</v>
      </c>
    </row>
    <row r="206">
      <c r="A206" s="228">
        <v>205.0</v>
      </c>
      <c r="B206" s="226">
        <v>541.0</v>
      </c>
      <c r="C206" s="226" t="s">
        <v>906</v>
      </c>
      <c r="D206" s="226" t="s">
        <v>4176</v>
      </c>
      <c r="E206" s="228">
        <v>1.0</v>
      </c>
      <c r="F206" s="249"/>
      <c r="G206" s="250">
        <v>45313.0</v>
      </c>
      <c r="H206" s="250">
        <v>46409.0</v>
      </c>
      <c r="I206" s="228">
        <v>1096.0</v>
      </c>
      <c r="K206" s="226" t="s">
        <v>4181</v>
      </c>
      <c r="L206" s="226" t="s">
        <v>247</v>
      </c>
      <c r="M206" s="226" t="s">
        <v>123</v>
      </c>
      <c r="N206" s="226" t="s">
        <v>4184</v>
      </c>
      <c r="O206" s="226" t="s">
        <v>4183</v>
      </c>
      <c r="P206" s="250">
        <v>46106.59635040509</v>
      </c>
    </row>
    <row r="207">
      <c r="A207" s="228">
        <v>206.0</v>
      </c>
      <c r="B207" s="226">
        <v>542.0</v>
      </c>
      <c r="C207" s="226" t="s">
        <v>2672</v>
      </c>
      <c r="D207" s="226" t="s">
        <v>4176</v>
      </c>
      <c r="E207" s="228">
        <v>1.0</v>
      </c>
      <c r="F207" s="249"/>
      <c r="G207" s="250">
        <v>45316.0</v>
      </c>
      <c r="H207" s="250">
        <v>45682.0</v>
      </c>
      <c r="I207" s="228">
        <v>366.0</v>
      </c>
      <c r="K207" s="226" t="s">
        <v>4181</v>
      </c>
      <c r="L207" s="226" t="s">
        <v>247</v>
      </c>
      <c r="M207" s="226" t="s">
        <v>261</v>
      </c>
      <c r="N207" s="226" t="s">
        <v>4185</v>
      </c>
      <c r="O207" s="226" t="s">
        <v>4183</v>
      </c>
      <c r="P207" s="250">
        <v>46106.59635040509</v>
      </c>
    </row>
    <row r="208">
      <c r="A208" s="228">
        <v>207.0</v>
      </c>
      <c r="B208" s="226">
        <v>544.0</v>
      </c>
      <c r="C208" s="226" t="s">
        <v>2682</v>
      </c>
      <c r="D208" s="226" t="s">
        <v>4176</v>
      </c>
      <c r="E208" s="228">
        <v>1.0</v>
      </c>
      <c r="F208" s="249"/>
      <c r="G208" s="250">
        <v>45317.0</v>
      </c>
      <c r="H208" s="250">
        <v>45408.0</v>
      </c>
      <c r="I208" s="228">
        <v>91.0</v>
      </c>
      <c r="K208" s="226" t="s">
        <v>4181</v>
      </c>
      <c r="L208" s="226" t="s">
        <v>122</v>
      </c>
      <c r="M208" s="226" t="s">
        <v>261</v>
      </c>
      <c r="N208" s="226" t="s">
        <v>4185</v>
      </c>
      <c r="O208" s="226" t="s">
        <v>4183</v>
      </c>
      <c r="P208" s="250">
        <v>46106.59635040509</v>
      </c>
    </row>
    <row r="209">
      <c r="A209" s="228">
        <v>208.0</v>
      </c>
      <c r="B209" s="226">
        <v>545.0</v>
      </c>
      <c r="C209" s="226" t="s">
        <v>2692</v>
      </c>
      <c r="D209" s="226" t="s">
        <v>4176</v>
      </c>
      <c r="E209" s="228">
        <v>1.0</v>
      </c>
      <c r="F209" s="249"/>
      <c r="G209" s="250">
        <v>45320.0</v>
      </c>
      <c r="H209" s="250">
        <v>46052.0</v>
      </c>
      <c r="I209" s="228">
        <v>732.0</v>
      </c>
      <c r="K209" s="226" t="s">
        <v>4181</v>
      </c>
      <c r="L209" s="226" t="s">
        <v>247</v>
      </c>
      <c r="M209" s="226" t="s">
        <v>261</v>
      </c>
      <c r="N209" s="226" t="s">
        <v>4190</v>
      </c>
      <c r="O209" s="226" t="s">
        <v>4183</v>
      </c>
      <c r="P209" s="250">
        <v>46106.59635040509</v>
      </c>
    </row>
    <row r="210">
      <c r="A210" s="228">
        <v>209.0</v>
      </c>
      <c r="B210" s="226">
        <v>547.0</v>
      </c>
      <c r="C210" s="226" t="s">
        <v>294</v>
      </c>
      <c r="D210" s="226" t="s">
        <v>4176</v>
      </c>
      <c r="E210" s="228">
        <v>1.0</v>
      </c>
      <c r="F210" s="249"/>
      <c r="G210" s="250">
        <v>45321.0</v>
      </c>
      <c r="H210" s="250">
        <v>47085.0</v>
      </c>
      <c r="I210" s="228">
        <v>1764.0</v>
      </c>
      <c r="K210" s="226" t="s">
        <v>4181</v>
      </c>
      <c r="L210" s="226" t="s">
        <v>122</v>
      </c>
      <c r="M210" s="226" t="s">
        <v>123</v>
      </c>
      <c r="N210" s="226" t="s">
        <v>4190</v>
      </c>
      <c r="O210" s="226" t="s">
        <v>4183</v>
      </c>
      <c r="P210" s="250">
        <v>46106.59635040509</v>
      </c>
    </row>
    <row r="211">
      <c r="A211" s="228">
        <v>210.0</v>
      </c>
      <c r="B211" s="226" t="s">
        <v>720</v>
      </c>
      <c r="C211" s="226" t="s">
        <v>1927</v>
      </c>
      <c r="D211" s="226" t="s">
        <v>4176</v>
      </c>
      <c r="E211" s="228">
        <v>1.0</v>
      </c>
      <c r="F211" s="249"/>
      <c r="G211" s="250">
        <v>45321.0</v>
      </c>
      <c r="H211" s="250">
        <v>45686.0</v>
      </c>
      <c r="I211" s="228">
        <v>365.0</v>
      </c>
      <c r="K211" s="226" t="s">
        <v>4181</v>
      </c>
      <c r="L211" s="226" t="s">
        <v>210</v>
      </c>
      <c r="M211" s="226" t="s">
        <v>261</v>
      </c>
      <c r="N211" s="226" t="s">
        <v>4185</v>
      </c>
      <c r="O211" s="226" t="s">
        <v>4183</v>
      </c>
      <c r="P211" s="250">
        <v>46106.59635040509</v>
      </c>
    </row>
    <row r="212">
      <c r="A212" s="228">
        <v>211.0</v>
      </c>
      <c r="B212" s="226">
        <v>546.0</v>
      </c>
      <c r="C212" s="226" t="s">
        <v>2709</v>
      </c>
      <c r="D212" s="226" t="s">
        <v>4176</v>
      </c>
      <c r="E212" s="228">
        <v>1.0</v>
      </c>
      <c r="F212" s="249"/>
      <c r="G212" s="250">
        <v>45321.0</v>
      </c>
      <c r="H212" s="250">
        <v>45503.0</v>
      </c>
      <c r="I212" s="228">
        <v>182.0</v>
      </c>
      <c r="K212" s="226" t="s">
        <v>4181</v>
      </c>
      <c r="L212" s="226" t="s">
        <v>247</v>
      </c>
      <c r="M212" s="226" t="s">
        <v>289</v>
      </c>
      <c r="N212" s="226" t="s">
        <v>4185</v>
      </c>
      <c r="O212" s="226" t="s">
        <v>4183</v>
      </c>
      <c r="P212" s="250">
        <v>46106.59635040509</v>
      </c>
    </row>
    <row r="213">
      <c r="A213" s="228">
        <v>212.0</v>
      </c>
      <c r="B213" s="226">
        <v>548.0</v>
      </c>
      <c r="C213" s="226" t="s">
        <v>2717</v>
      </c>
      <c r="D213" s="226" t="s">
        <v>4176</v>
      </c>
      <c r="E213" s="228">
        <v>1.0</v>
      </c>
      <c r="F213" s="249"/>
      <c r="G213" s="250">
        <v>45322.0</v>
      </c>
      <c r="H213" s="250">
        <v>45689.0</v>
      </c>
      <c r="I213" s="228">
        <v>367.0</v>
      </c>
      <c r="K213" s="226" t="s">
        <v>4181</v>
      </c>
      <c r="L213" s="226" t="s">
        <v>247</v>
      </c>
      <c r="M213" s="226" t="s">
        <v>289</v>
      </c>
      <c r="N213" s="226" t="s">
        <v>4185</v>
      </c>
      <c r="O213" s="226" t="s">
        <v>4183</v>
      </c>
      <c r="P213" s="250">
        <v>46106.59635040509</v>
      </c>
    </row>
    <row r="214">
      <c r="A214" s="228">
        <v>213.0</v>
      </c>
      <c r="B214" s="226">
        <v>549.0</v>
      </c>
      <c r="C214" s="226" t="s">
        <v>2731</v>
      </c>
      <c r="D214" s="226" t="s">
        <v>4176</v>
      </c>
      <c r="E214" s="228">
        <v>1.0</v>
      </c>
      <c r="F214" s="249"/>
      <c r="G214" s="250">
        <v>45323.0</v>
      </c>
      <c r="H214" s="250">
        <v>45505.0</v>
      </c>
      <c r="I214" s="228">
        <v>182.0</v>
      </c>
      <c r="K214" s="226" t="s">
        <v>4181</v>
      </c>
      <c r="L214" s="226" t="s">
        <v>247</v>
      </c>
      <c r="M214" s="226" t="s">
        <v>289</v>
      </c>
      <c r="N214" s="226" t="s">
        <v>4185</v>
      </c>
      <c r="O214" s="226" t="s">
        <v>4183</v>
      </c>
      <c r="P214" s="250">
        <v>46106.59635040509</v>
      </c>
    </row>
    <row r="215">
      <c r="A215" s="228">
        <v>214.0</v>
      </c>
      <c r="B215" s="226">
        <v>550.0</v>
      </c>
      <c r="C215" s="226" t="s">
        <v>2736</v>
      </c>
      <c r="D215" s="226" t="s">
        <v>4176</v>
      </c>
      <c r="E215" s="228">
        <v>1.0</v>
      </c>
      <c r="F215" s="249"/>
      <c r="G215" s="250">
        <v>45327.0</v>
      </c>
      <c r="H215" s="250">
        <v>45334.0</v>
      </c>
      <c r="I215" s="228">
        <v>7.0</v>
      </c>
      <c r="K215" s="226" t="s">
        <v>4181</v>
      </c>
      <c r="L215" s="226" t="s">
        <v>247</v>
      </c>
      <c r="M215" s="226" t="s">
        <v>175</v>
      </c>
      <c r="N215" s="226" t="s">
        <v>4185</v>
      </c>
      <c r="O215" s="226" t="s">
        <v>4183</v>
      </c>
      <c r="P215" s="250">
        <v>46106.59635040509</v>
      </c>
    </row>
    <row r="216">
      <c r="A216" s="228">
        <v>215.0</v>
      </c>
      <c r="B216" s="226">
        <v>554.0</v>
      </c>
      <c r="C216" s="226" t="s">
        <v>1034</v>
      </c>
      <c r="D216" s="226" t="s">
        <v>4176</v>
      </c>
      <c r="E216" s="228">
        <v>1.0</v>
      </c>
      <c r="F216" s="249"/>
      <c r="G216" s="250">
        <v>45341.0</v>
      </c>
      <c r="H216" s="250">
        <v>46434.0</v>
      </c>
      <c r="I216" s="228">
        <v>1093.0</v>
      </c>
      <c r="K216" s="226" t="s">
        <v>4181</v>
      </c>
      <c r="L216" s="226" t="s">
        <v>122</v>
      </c>
      <c r="M216" s="226" t="s">
        <v>14</v>
      </c>
      <c r="N216" s="226" t="s">
        <v>4184</v>
      </c>
      <c r="O216" s="226" t="s">
        <v>4183</v>
      </c>
      <c r="P216" s="250">
        <v>46106.59635040509</v>
      </c>
    </row>
    <row r="217">
      <c r="A217" s="228">
        <v>216.0</v>
      </c>
      <c r="B217" s="226">
        <v>551.0</v>
      </c>
      <c r="C217" s="226" t="s">
        <v>2746</v>
      </c>
      <c r="D217" s="226" t="s">
        <v>4176</v>
      </c>
      <c r="E217" s="228">
        <v>1.0</v>
      </c>
      <c r="F217" s="249"/>
      <c r="G217" s="250">
        <v>45341.0</v>
      </c>
      <c r="H217" s="250">
        <v>45431.0</v>
      </c>
      <c r="I217" s="228">
        <v>90.0</v>
      </c>
      <c r="K217" s="226" t="s">
        <v>4181</v>
      </c>
      <c r="L217" s="226" t="s">
        <v>247</v>
      </c>
      <c r="M217" s="226" t="s">
        <v>289</v>
      </c>
      <c r="N217" s="226" t="s">
        <v>4185</v>
      </c>
      <c r="O217" s="226" t="s">
        <v>4183</v>
      </c>
      <c r="P217" s="250">
        <v>46106.59635040509</v>
      </c>
    </row>
    <row r="218">
      <c r="A218" s="228">
        <v>217.0</v>
      </c>
      <c r="B218" s="226">
        <v>552.0</v>
      </c>
      <c r="C218" s="226" t="s">
        <v>2754</v>
      </c>
      <c r="D218" s="226" t="s">
        <v>4188</v>
      </c>
      <c r="E218" s="228">
        <v>1.0</v>
      </c>
      <c r="F218" s="249"/>
      <c r="G218" s="250">
        <v>45344.0</v>
      </c>
      <c r="H218" s="250">
        <v>45527.0</v>
      </c>
      <c r="I218" s="228">
        <v>183.0</v>
      </c>
      <c r="K218" s="226" t="s">
        <v>4181</v>
      </c>
      <c r="L218" s="226" t="s">
        <v>247</v>
      </c>
      <c r="M218" s="226" t="s">
        <v>289</v>
      </c>
      <c r="N218" s="226" t="s">
        <v>4185</v>
      </c>
      <c r="O218" s="226" t="s">
        <v>4183</v>
      </c>
      <c r="P218" s="250">
        <v>46106.59635040509</v>
      </c>
    </row>
    <row r="219">
      <c r="A219" s="228">
        <v>218.0</v>
      </c>
      <c r="B219" s="226">
        <v>553.0</v>
      </c>
      <c r="C219" s="226" t="s">
        <v>2765</v>
      </c>
      <c r="D219" s="226" t="s">
        <v>4176</v>
      </c>
      <c r="E219" s="228">
        <v>1.0</v>
      </c>
      <c r="F219" s="249"/>
      <c r="G219" s="250">
        <v>45344.0</v>
      </c>
      <c r="H219" s="250">
        <v>45711.0</v>
      </c>
      <c r="I219" s="228">
        <v>367.0</v>
      </c>
      <c r="K219" s="226" t="s">
        <v>4181</v>
      </c>
      <c r="L219" s="226" t="s">
        <v>247</v>
      </c>
      <c r="M219" s="226" t="s">
        <v>261</v>
      </c>
      <c r="N219" s="226" t="s">
        <v>4185</v>
      </c>
      <c r="O219" s="226" t="s">
        <v>4183</v>
      </c>
      <c r="P219" s="250">
        <v>46106.59635040509</v>
      </c>
    </row>
    <row r="220">
      <c r="A220" s="228">
        <v>219.0</v>
      </c>
      <c r="B220" s="226">
        <v>555.0</v>
      </c>
      <c r="C220" s="226" t="s">
        <v>2771</v>
      </c>
      <c r="D220" s="226" t="s">
        <v>4176</v>
      </c>
      <c r="E220" s="228">
        <v>1.0</v>
      </c>
      <c r="F220" s="249"/>
      <c r="G220" s="250">
        <v>45348.0</v>
      </c>
      <c r="H220" s="250">
        <v>45444.0</v>
      </c>
      <c r="I220" s="228">
        <v>96.0</v>
      </c>
      <c r="K220" s="226" t="s">
        <v>4181</v>
      </c>
      <c r="L220" s="226" t="s">
        <v>247</v>
      </c>
      <c r="M220" s="226" t="s">
        <v>289</v>
      </c>
      <c r="N220" s="226" t="s">
        <v>4185</v>
      </c>
      <c r="O220" s="226" t="s">
        <v>4183</v>
      </c>
      <c r="P220" s="250">
        <v>46106.59635040509</v>
      </c>
    </row>
    <row r="221">
      <c r="A221" s="228">
        <v>220.0</v>
      </c>
      <c r="B221" s="226">
        <v>503.0</v>
      </c>
      <c r="C221" s="226" t="s">
        <v>1432</v>
      </c>
      <c r="D221" s="226" t="s">
        <v>4176</v>
      </c>
      <c r="E221" s="228">
        <v>1.0</v>
      </c>
      <c r="F221" s="249"/>
      <c r="G221" s="250">
        <v>45349.0</v>
      </c>
      <c r="H221" s="250">
        <v>45504.0</v>
      </c>
      <c r="I221" s="228">
        <v>155.0</v>
      </c>
      <c r="K221" s="226" t="s">
        <v>4181</v>
      </c>
      <c r="L221" s="226" t="s">
        <v>259</v>
      </c>
      <c r="M221" s="226" t="s">
        <v>289</v>
      </c>
      <c r="N221" s="226" t="s">
        <v>4190</v>
      </c>
      <c r="O221" s="226" t="s">
        <v>4183</v>
      </c>
      <c r="P221" s="250">
        <v>46106.59635040509</v>
      </c>
    </row>
    <row r="222">
      <c r="A222" s="228">
        <v>221.0</v>
      </c>
      <c r="B222" s="226">
        <v>557.0</v>
      </c>
      <c r="C222" s="226" t="s">
        <v>1917</v>
      </c>
      <c r="D222" s="226" t="s">
        <v>4176</v>
      </c>
      <c r="E222" s="228">
        <v>1.0</v>
      </c>
      <c r="F222" s="249"/>
      <c r="G222" s="250">
        <v>45351.0</v>
      </c>
      <c r="H222" s="250">
        <v>46437.0</v>
      </c>
      <c r="I222" s="228">
        <v>1086.0</v>
      </c>
      <c r="K222" s="226" t="s">
        <v>4181</v>
      </c>
      <c r="L222" s="226" t="s">
        <v>261</v>
      </c>
      <c r="M222" s="226" t="s">
        <v>14</v>
      </c>
      <c r="N222" s="226" t="s">
        <v>4184</v>
      </c>
      <c r="O222" s="226" t="s">
        <v>4183</v>
      </c>
      <c r="P222" s="250">
        <v>46106.59635040509</v>
      </c>
    </row>
    <row r="223">
      <c r="A223" s="228">
        <v>222.0</v>
      </c>
      <c r="B223" s="226">
        <v>558.0</v>
      </c>
      <c r="C223" s="226" t="s">
        <v>4367</v>
      </c>
      <c r="D223" s="226" t="s">
        <v>4176</v>
      </c>
      <c r="E223" s="228">
        <v>1.0</v>
      </c>
      <c r="F223" s="249"/>
      <c r="G223" s="250">
        <v>45351.0</v>
      </c>
      <c r="H223" s="250">
        <v>45549.0</v>
      </c>
      <c r="I223" s="228">
        <v>198.0</v>
      </c>
      <c r="K223" s="226" t="s">
        <v>4181</v>
      </c>
      <c r="L223" s="226" t="s">
        <v>247</v>
      </c>
      <c r="M223" s="226" t="s">
        <v>289</v>
      </c>
      <c r="N223" s="226" t="s">
        <v>4185</v>
      </c>
      <c r="O223" s="226" t="s">
        <v>4183</v>
      </c>
      <c r="P223" s="250">
        <v>46106.59635040509</v>
      </c>
    </row>
    <row r="224">
      <c r="A224" s="228">
        <v>223.0</v>
      </c>
      <c r="B224" s="226">
        <v>556.0</v>
      </c>
      <c r="C224" s="226" t="s">
        <v>657</v>
      </c>
      <c r="D224" s="226" t="s">
        <v>4176</v>
      </c>
      <c r="E224" s="228">
        <v>1.0</v>
      </c>
      <c r="F224" s="249"/>
      <c r="G224" s="250">
        <v>45351.0</v>
      </c>
      <c r="H224" s="250">
        <v>46094.0</v>
      </c>
      <c r="I224" s="228">
        <v>743.0</v>
      </c>
      <c r="K224" s="226" t="s">
        <v>4181</v>
      </c>
      <c r="L224" s="226" t="s">
        <v>247</v>
      </c>
      <c r="M224" s="226" t="s">
        <v>123</v>
      </c>
      <c r="N224" s="226" t="s">
        <v>4190</v>
      </c>
      <c r="O224" s="226" t="s">
        <v>4183</v>
      </c>
      <c r="P224" s="250">
        <v>46106.59635040509</v>
      </c>
    </row>
    <row r="225">
      <c r="A225" s="228">
        <v>224.0</v>
      </c>
      <c r="B225" s="226">
        <v>559.0</v>
      </c>
      <c r="C225" s="226" t="s">
        <v>284</v>
      </c>
      <c r="D225" s="226" t="s">
        <v>4176</v>
      </c>
      <c r="E225" s="228">
        <v>1.0</v>
      </c>
      <c r="F225" s="249"/>
      <c r="G225" s="250">
        <v>45352.0</v>
      </c>
      <c r="H225" s="250">
        <v>46387.0</v>
      </c>
      <c r="I225" s="228">
        <v>1035.0</v>
      </c>
      <c r="K225" s="226" t="s">
        <v>4181</v>
      </c>
      <c r="L225" s="226" t="s">
        <v>211</v>
      </c>
      <c r="M225" s="226" t="s">
        <v>123</v>
      </c>
      <c r="N225" s="226" t="s">
        <v>4185</v>
      </c>
      <c r="O225" s="226" t="s">
        <v>4183</v>
      </c>
      <c r="P225" s="250">
        <v>46106.59635040509</v>
      </c>
    </row>
    <row r="226">
      <c r="A226" s="228">
        <v>225.0</v>
      </c>
      <c r="B226" s="226">
        <v>560.0</v>
      </c>
      <c r="C226" s="226" t="s">
        <v>271</v>
      </c>
      <c r="D226" s="226" t="s">
        <v>4176</v>
      </c>
      <c r="E226" s="228">
        <v>1.0</v>
      </c>
      <c r="F226" s="249"/>
      <c r="G226" s="250">
        <v>45352.0</v>
      </c>
      <c r="H226" s="250">
        <v>46324.0</v>
      </c>
      <c r="I226" s="228">
        <v>972.0</v>
      </c>
      <c r="K226" s="226" t="s">
        <v>4181</v>
      </c>
      <c r="L226" s="226" t="s">
        <v>211</v>
      </c>
      <c r="M226" s="226" t="s">
        <v>14</v>
      </c>
      <c r="N226" s="226" t="s">
        <v>4184</v>
      </c>
      <c r="O226" s="226" t="s">
        <v>4183</v>
      </c>
      <c r="P226" s="250">
        <v>46106.59635040509</v>
      </c>
    </row>
    <row r="227">
      <c r="A227" s="228">
        <v>226.0</v>
      </c>
      <c r="B227" s="226">
        <v>561.0</v>
      </c>
      <c r="C227" s="226" t="s">
        <v>135</v>
      </c>
      <c r="D227" s="226" t="s">
        <v>4176</v>
      </c>
      <c r="E227" s="228">
        <v>1.0</v>
      </c>
      <c r="F227" s="249"/>
      <c r="G227" s="250">
        <v>45352.0</v>
      </c>
      <c r="H227" s="250">
        <v>46203.0</v>
      </c>
      <c r="I227" s="228">
        <v>851.0</v>
      </c>
      <c r="K227" s="226" t="s">
        <v>4181</v>
      </c>
      <c r="L227" s="226" t="s">
        <v>211</v>
      </c>
      <c r="M227" s="226" t="s">
        <v>14</v>
      </c>
      <c r="N227" s="226" t="s">
        <v>4184</v>
      </c>
      <c r="O227" s="226" t="s">
        <v>4183</v>
      </c>
      <c r="P227" s="250">
        <v>46106.59635040509</v>
      </c>
    </row>
    <row r="228">
      <c r="A228" s="228">
        <v>227.0</v>
      </c>
      <c r="B228" s="226">
        <v>564.0</v>
      </c>
      <c r="C228" s="226" t="s">
        <v>2832</v>
      </c>
      <c r="D228" s="226" t="s">
        <v>4176</v>
      </c>
      <c r="E228" s="228">
        <v>1.0</v>
      </c>
      <c r="F228" s="249"/>
      <c r="G228" s="250">
        <v>45352.0</v>
      </c>
      <c r="H228" s="250">
        <v>45717.0</v>
      </c>
      <c r="I228" s="228">
        <v>365.0</v>
      </c>
      <c r="K228" s="226" t="s">
        <v>4181</v>
      </c>
      <c r="L228" s="226" t="s">
        <v>247</v>
      </c>
      <c r="M228" s="226" t="s">
        <v>261</v>
      </c>
      <c r="N228" s="226" t="s">
        <v>4185</v>
      </c>
      <c r="O228" s="226" t="s">
        <v>4183</v>
      </c>
      <c r="P228" s="250">
        <v>46106.59635040509</v>
      </c>
    </row>
    <row r="229">
      <c r="A229" s="228">
        <v>228.0</v>
      </c>
      <c r="B229" s="226">
        <v>563.0</v>
      </c>
      <c r="C229" s="226" t="s">
        <v>2090</v>
      </c>
      <c r="D229" s="226" t="s">
        <v>4176</v>
      </c>
      <c r="E229" s="228">
        <v>1.0</v>
      </c>
      <c r="F229" s="249"/>
      <c r="G229" s="250">
        <v>45355.0</v>
      </c>
      <c r="H229" s="250">
        <v>45358.0</v>
      </c>
      <c r="I229" s="228">
        <v>3.0</v>
      </c>
      <c r="K229" s="226" t="s">
        <v>4181</v>
      </c>
      <c r="L229" s="226" t="s">
        <v>122</v>
      </c>
      <c r="M229" s="226" t="s">
        <v>175</v>
      </c>
      <c r="N229" s="226" t="s">
        <v>4185</v>
      </c>
      <c r="O229" s="226" t="s">
        <v>4183</v>
      </c>
      <c r="P229" s="250">
        <v>46106.59635040509</v>
      </c>
    </row>
    <row r="230">
      <c r="A230" s="228">
        <v>229.0</v>
      </c>
      <c r="B230" s="226">
        <v>562.0</v>
      </c>
      <c r="C230" s="226" t="s">
        <v>1984</v>
      </c>
      <c r="D230" s="226" t="s">
        <v>4176</v>
      </c>
      <c r="E230" s="228">
        <v>1.0</v>
      </c>
      <c r="F230" s="249"/>
      <c r="G230" s="250">
        <v>45355.0</v>
      </c>
      <c r="H230" s="250">
        <v>45657.0</v>
      </c>
      <c r="I230" s="228">
        <v>302.0</v>
      </c>
      <c r="K230" s="226" t="s">
        <v>4181</v>
      </c>
      <c r="L230" s="226" t="s">
        <v>162</v>
      </c>
      <c r="M230" s="226" t="s">
        <v>289</v>
      </c>
      <c r="N230" s="226" t="s">
        <v>4185</v>
      </c>
      <c r="O230" s="226" t="s">
        <v>4183</v>
      </c>
      <c r="P230" s="250">
        <v>46106.59635040509</v>
      </c>
    </row>
    <row r="231">
      <c r="A231" s="228">
        <v>230.0</v>
      </c>
      <c r="B231" s="226">
        <v>565.0</v>
      </c>
      <c r="C231" s="226" t="s">
        <v>2023</v>
      </c>
      <c r="D231" s="226" t="s">
        <v>4176</v>
      </c>
      <c r="E231" s="228">
        <v>1.0</v>
      </c>
      <c r="F231" s="249"/>
      <c r="G231" s="250">
        <v>45355.0</v>
      </c>
      <c r="H231" s="250">
        <v>45747.0</v>
      </c>
      <c r="I231" s="228">
        <v>392.0</v>
      </c>
      <c r="K231" s="226" t="s">
        <v>4181</v>
      </c>
      <c r="L231" s="226" t="s">
        <v>311</v>
      </c>
      <c r="M231" s="226" t="s">
        <v>289</v>
      </c>
      <c r="N231" s="226" t="s">
        <v>4185</v>
      </c>
      <c r="O231" s="226" t="s">
        <v>4183</v>
      </c>
      <c r="P231" s="250">
        <v>46106.59635040509</v>
      </c>
    </row>
    <row r="232">
      <c r="A232" s="228">
        <v>231.0</v>
      </c>
      <c r="B232" s="226">
        <v>566.0</v>
      </c>
      <c r="C232" s="226" t="s">
        <v>2855</v>
      </c>
      <c r="D232" s="226" t="s">
        <v>4176</v>
      </c>
      <c r="E232" s="228">
        <v>1.0</v>
      </c>
      <c r="F232" s="249"/>
      <c r="G232" s="250">
        <v>45355.0</v>
      </c>
      <c r="H232" s="250">
        <v>45720.0</v>
      </c>
      <c r="I232" s="228">
        <v>365.0</v>
      </c>
      <c r="K232" s="226" t="s">
        <v>4181</v>
      </c>
      <c r="L232" s="226" t="s">
        <v>247</v>
      </c>
      <c r="M232" s="226" t="s">
        <v>289</v>
      </c>
      <c r="N232" s="226" t="s">
        <v>4185</v>
      </c>
      <c r="O232" s="226" t="s">
        <v>4183</v>
      </c>
      <c r="P232" s="250">
        <v>46106.59635040509</v>
      </c>
    </row>
    <row r="233">
      <c r="A233" s="228">
        <v>232.0</v>
      </c>
      <c r="B233" s="226">
        <v>567.0</v>
      </c>
      <c r="C233" s="226" t="s">
        <v>2041</v>
      </c>
      <c r="D233" s="226" t="s">
        <v>4176</v>
      </c>
      <c r="E233" s="228">
        <v>1.0</v>
      </c>
      <c r="F233" s="249"/>
      <c r="G233" s="250">
        <v>45357.0</v>
      </c>
      <c r="H233" s="250">
        <v>45722.0</v>
      </c>
      <c r="I233" s="228">
        <v>365.0</v>
      </c>
      <c r="K233" s="226" t="s">
        <v>4181</v>
      </c>
      <c r="L233" s="226" t="s">
        <v>311</v>
      </c>
      <c r="M233" s="226" t="s">
        <v>289</v>
      </c>
      <c r="N233" s="226" t="s">
        <v>4185</v>
      </c>
      <c r="O233" s="226" t="s">
        <v>4183</v>
      </c>
      <c r="P233" s="250">
        <v>46106.59635040509</v>
      </c>
    </row>
    <row r="234">
      <c r="A234" s="228">
        <v>233.0</v>
      </c>
      <c r="B234" s="226">
        <v>568.0</v>
      </c>
      <c r="C234" s="226" t="s">
        <v>2061</v>
      </c>
      <c r="D234" s="226" t="s">
        <v>4176</v>
      </c>
      <c r="E234" s="228">
        <v>1.0</v>
      </c>
      <c r="F234" s="249"/>
      <c r="G234" s="250">
        <v>45362.0</v>
      </c>
      <c r="H234" s="250">
        <v>45727.0</v>
      </c>
      <c r="I234" s="228">
        <v>365.0</v>
      </c>
      <c r="K234" s="226" t="s">
        <v>4181</v>
      </c>
      <c r="L234" s="226" t="s">
        <v>311</v>
      </c>
      <c r="M234" s="226" t="s">
        <v>261</v>
      </c>
      <c r="N234" s="226" t="s">
        <v>4185</v>
      </c>
      <c r="O234" s="226" t="s">
        <v>4183</v>
      </c>
      <c r="P234" s="250">
        <v>46106.59635040509</v>
      </c>
    </row>
    <row r="235">
      <c r="A235" s="228">
        <v>234.0</v>
      </c>
      <c r="B235" s="226">
        <v>569.0</v>
      </c>
      <c r="C235" s="226" t="s">
        <v>2869</v>
      </c>
      <c r="D235" s="226" t="s">
        <v>4176</v>
      </c>
      <c r="E235" s="228">
        <v>1.0</v>
      </c>
      <c r="F235" s="249"/>
      <c r="G235" s="250">
        <v>45362.0</v>
      </c>
      <c r="H235" s="250">
        <v>45740.0</v>
      </c>
      <c r="I235" s="228">
        <v>378.0</v>
      </c>
      <c r="K235" s="226" t="s">
        <v>4181</v>
      </c>
      <c r="L235" s="226" t="s">
        <v>247</v>
      </c>
      <c r="M235" s="226" t="s">
        <v>289</v>
      </c>
      <c r="N235" s="226" t="s">
        <v>4185</v>
      </c>
      <c r="O235" s="226" t="s">
        <v>4183</v>
      </c>
      <c r="P235" s="250">
        <v>46106.59635040509</v>
      </c>
    </row>
    <row r="236">
      <c r="A236" s="228">
        <v>235.0</v>
      </c>
      <c r="B236" s="226">
        <v>574.0</v>
      </c>
      <c r="C236" s="226" t="s">
        <v>2180</v>
      </c>
      <c r="D236" s="226" t="s">
        <v>4176</v>
      </c>
      <c r="E236" s="228">
        <v>1.0</v>
      </c>
      <c r="F236" s="249"/>
      <c r="G236" s="250">
        <v>45363.0</v>
      </c>
      <c r="H236" s="250">
        <v>45728.0</v>
      </c>
      <c r="I236" s="228">
        <v>365.0</v>
      </c>
      <c r="K236" s="226" t="s">
        <v>4181</v>
      </c>
      <c r="L236" s="226" t="s">
        <v>122</v>
      </c>
      <c r="M236" s="226" t="s">
        <v>261</v>
      </c>
      <c r="N236" s="226" t="s">
        <v>4185</v>
      </c>
      <c r="O236" s="226" t="s">
        <v>4183</v>
      </c>
      <c r="P236" s="250">
        <v>46106.59635040509</v>
      </c>
    </row>
    <row r="237">
      <c r="A237" s="228">
        <v>236.0</v>
      </c>
      <c r="B237" s="226">
        <v>572.0</v>
      </c>
      <c r="C237" s="226" t="s">
        <v>544</v>
      </c>
      <c r="D237" s="226" t="s">
        <v>4176</v>
      </c>
      <c r="E237" s="228">
        <v>1.0</v>
      </c>
      <c r="F237" s="249"/>
      <c r="G237" s="250">
        <v>45369.0</v>
      </c>
      <c r="H237" s="250">
        <v>46179.0</v>
      </c>
      <c r="I237" s="228">
        <v>810.0</v>
      </c>
      <c r="K237" s="226" t="s">
        <v>4181</v>
      </c>
      <c r="L237" s="226" t="s">
        <v>261</v>
      </c>
      <c r="M237" s="226" t="s">
        <v>767</v>
      </c>
      <c r="N237" s="226" t="s">
        <v>4190</v>
      </c>
      <c r="O237" s="226" t="s">
        <v>4183</v>
      </c>
      <c r="P237" s="250">
        <v>46106.59635040509</v>
      </c>
    </row>
    <row r="238">
      <c r="A238" s="228">
        <v>237.0</v>
      </c>
      <c r="B238" s="226">
        <v>570.0</v>
      </c>
      <c r="C238" s="226" t="s">
        <v>2889</v>
      </c>
      <c r="D238" s="226" t="s">
        <v>4176</v>
      </c>
      <c r="E238" s="228">
        <v>1.0</v>
      </c>
      <c r="F238" s="249"/>
      <c r="G238" s="250">
        <v>45369.0</v>
      </c>
      <c r="H238" s="250">
        <v>45734.0</v>
      </c>
      <c r="I238" s="228">
        <v>365.0</v>
      </c>
      <c r="K238" s="226" t="s">
        <v>4181</v>
      </c>
      <c r="L238" s="226" t="s">
        <v>247</v>
      </c>
      <c r="M238" s="226" t="s">
        <v>261</v>
      </c>
      <c r="N238" s="226" t="s">
        <v>4185</v>
      </c>
      <c r="O238" s="226" t="s">
        <v>4183</v>
      </c>
      <c r="P238" s="250">
        <v>46106.59635040509</v>
      </c>
    </row>
    <row r="239">
      <c r="A239" s="228">
        <v>238.0</v>
      </c>
      <c r="B239" s="226">
        <v>571.0</v>
      </c>
      <c r="C239" s="226" t="s">
        <v>2898</v>
      </c>
      <c r="D239" s="226" t="s">
        <v>4176</v>
      </c>
      <c r="E239" s="228">
        <v>1.0</v>
      </c>
      <c r="F239" s="249"/>
      <c r="G239" s="250">
        <v>45369.0</v>
      </c>
      <c r="H239" s="250">
        <v>45734.0</v>
      </c>
      <c r="I239" s="228">
        <v>365.0</v>
      </c>
      <c r="K239" s="226" t="s">
        <v>4181</v>
      </c>
      <c r="L239" s="226" t="s">
        <v>247</v>
      </c>
      <c r="M239" s="226" t="s">
        <v>289</v>
      </c>
      <c r="N239" s="226" t="s">
        <v>4185</v>
      </c>
      <c r="O239" s="226" t="s">
        <v>4183</v>
      </c>
      <c r="P239" s="250">
        <v>46106.59635040509</v>
      </c>
    </row>
    <row r="240">
      <c r="A240" s="228">
        <v>239.0</v>
      </c>
      <c r="B240" s="226">
        <v>573.0</v>
      </c>
      <c r="C240" s="226" t="s">
        <v>2097</v>
      </c>
      <c r="D240" s="226" t="s">
        <v>4176</v>
      </c>
      <c r="E240" s="228">
        <v>1.0</v>
      </c>
      <c r="F240" s="249"/>
      <c r="G240" s="250">
        <v>45370.0</v>
      </c>
      <c r="H240" s="250">
        <v>45377.0</v>
      </c>
      <c r="I240" s="228">
        <v>7.0</v>
      </c>
      <c r="K240" s="226" t="s">
        <v>4181</v>
      </c>
      <c r="L240" s="226" t="s">
        <v>122</v>
      </c>
      <c r="M240" s="226" t="s">
        <v>175</v>
      </c>
      <c r="N240" s="226" t="s">
        <v>4185</v>
      </c>
      <c r="O240" s="226" t="s">
        <v>4183</v>
      </c>
      <c r="P240" s="250">
        <v>46106.59635040509</v>
      </c>
    </row>
    <row r="241">
      <c r="A241" s="228">
        <v>240.0</v>
      </c>
      <c r="B241" s="226">
        <v>575.0</v>
      </c>
      <c r="C241" s="226" t="s">
        <v>2911</v>
      </c>
      <c r="D241" s="226" t="s">
        <v>4188</v>
      </c>
      <c r="E241" s="228">
        <v>1.0</v>
      </c>
      <c r="F241" s="249"/>
      <c r="G241" s="250">
        <v>45370.0</v>
      </c>
      <c r="H241" s="250">
        <v>45443.0</v>
      </c>
      <c r="I241" s="228">
        <v>73.0</v>
      </c>
      <c r="K241" s="226" t="s">
        <v>4181</v>
      </c>
      <c r="L241" s="226" t="s">
        <v>247</v>
      </c>
      <c r="M241" s="226" t="s">
        <v>289</v>
      </c>
      <c r="N241" s="226" t="s">
        <v>4185</v>
      </c>
      <c r="O241" s="226" t="s">
        <v>4183</v>
      </c>
      <c r="P241" s="250">
        <v>46106.59635040509</v>
      </c>
    </row>
    <row r="242">
      <c r="A242" s="228">
        <v>241.0</v>
      </c>
      <c r="B242" s="226">
        <v>576.0</v>
      </c>
      <c r="C242" s="226" t="s">
        <v>519</v>
      </c>
      <c r="D242" s="226" t="s">
        <v>4176</v>
      </c>
      <c r="E242" s="228">
        <v>1.0</v>
      </c>
      <c r="F242" s="249"/>
      <c r="G242" s="250">
        <v>45370.0</v>
      </c>
      <c r="H242" s="250">
        <v>46112.0</v>
      </c>
      <c r="I242" s="228">
        <v>742.0</v>
      </c>
      <c r="K242" s="226" t="s">
        <v>4181</v>
      </c>
      <c r="L242" s="226" t="s">
        <v>211</v>
      </c>
      <c r="M242" s="226" t="s">
        <v>123</v>
      </c>
      <c r="N242" s="226" t="s">
        <v>4184</v>
      </c>
      <c r="O242" s="226" t="s">
        <v>4183</v>
      </c>
      <c r="P242" s="250">
        <v>46106.59635040509</v>
      </c>
    </row>
    <row r="243">
      <c r="A243" s="228">
        <v>242.0</v>
      </c>
      <c r="B243" s="226">
        <v>577.0</v>
      </c>
      <c r="C243" s="226" t="s">
        <v>2106</v>
      </c>
      <c r="D243" s="226" t="s">
        <v>4176</v>
      </c>
      <c r="E243" s="228">
        <v>1.0</v>
      </c>
      <c r="F243" s="249"/>
      <c r="G243" s="250">
        <v>45373.0</v>
      </c>
      <c r="H243" s="250">
        <v>45560.0</v>
      </c>
      <c r="I243" s="228">
        <v>187.0</v>
      </c>
      <c r="K243" s="226" t="s">
        <v>4181</v>
      </c>
      <c r="L243" s="226" t="s">
        <v>162</v>
      </c>
      <c r="M243" s="226" t="s">
        <v>289</v>
      </c>
      <c r="N243" s="226" t="s">
        <v>4185</v>
      </c>
      <c r="O243" s="226" t="s">
        <v>4183</v>
      </c>
      <c r="P243" s="250">
        <v>46106.59635040509</v>
      </c>
    </row>
    <row r="244">
      <c r="A244" s="228">
        <v>243.0</v>
      </c>
      <c r="B244" s="226">
        <v>578.0</v>
      </c>
      <c r="C244" s="226" t="s">
        <v>2928</v>
      </c>
      <c r="D244" s="226" t="s">
        <v>4176</v>
      </c>
      <c r="E244" s="228">
        <v>1.0</v>
      </c>
      <c r="F244" s="249"/>
      <c r="G244" s="250">
        <v>45373.0</v>
      </c>
      <c r="H244" s="250">
        <v>45546.0</v>
      </c>
      <c r="I244" s="228">
        <v>173.0</v>
      </c>
      <c r="K244" s="226" t="s">
        <v>4181</v>
      </c>
      <c r="L244" s="226" t="s">
        <v>247</v>
      </c>
      <c r="M244" s="226" t="s">
        <v>289</v>
      </c>
      <c r="N244" s="226" t="s">
        <v>4185</v>
      </c>
      <c r="O244" s="226" t="s">
        <v>4183</v>
      </c>
      <c r="P244" s="250">
        <v>46106.59635040509</v>
      </c>
    </row>
    <row r="245">
      <c r="A245" s="228">
        <v>244.0</v>
      </c>
      <c r="B245" s="226">
        <v>682.0</v>
      </c>
      <c r="C245" s="226" t="s">
        <v>396</v>
      </c>
      <c r="D245" s="226" t="s">
        <v>4176</v>
      </c>
      <c r="E245" s="228">
        <v>1.0</v>
      </c>
      <c r="F245" s="249"/>
      <c r="G245" s="250">
        <v>45374.0</v>
      </c>
      <c r="H245" s="250">
        <v>46367.0</v>
      </c>
      <c r="I245" s="228">
        <v>993.0</v>
      </c>
      <c r="K245" s="226" t="s">
        <v>4181</v>
      </c>
      <c r="L245" s="226" t="s">
        <v>211</v>
      </c>
      <c r="M245" s="226" t="s">
        <v>123</v>
      </c>
      <c r="N245" s="226" t="s">
        <v>4185</v>
      </c>
      <c r="O245" s="226" t="s">
        <v>4183</v>
      </c>
      <c r="P245" s="250">
        <v>46106.59635040509</v>
      </c>
    </row>
    <row r="246">
      <c r="A246" s="228">
        <v>245.0</v>
      </c>
      <c r="B246" s="226">
        <v>579.0</v>
      </c>
      <c r="C246" s="226" t="s">
        <v>2938</v>
      </c>
      <c r="D246" s="226" t="s">
        <v>4188</v>
      </c>
      <c r="E246" s="228">
        <v>1.0</v>
      </c>
      <c r="F246" s="249"/>
      <c r="G246" s="250">
        <v>45375.0</v>
      </c>
      <c r="H246" s="250">
        <v>45741.0</v>
      </c>
      <c r="I246" s="228">
        <v>366.0</v>
      </c>
      <c r="K246" s="226" t="s">
        <v>4181</v>
      </c>
      <c r="L246" s="226" t="s">
        <v>247</v>
      </c>
      <c r="M246" s="226" t="s">
        <v>289</v>
      </c>
      <c r="N246" s="226" t="s">
        <v>4185</v>
      </c>
      <c r="O246" s="226" t="s">
        <v>4183</v>
      </c>
      <c r="P246" s="250">
        <v>46106.59635040509</v>
      </c>
    </row>
    <row r="247">
      <c r="A247" s="228">
        <v>246.0</v>
      </c>
      <c r="B247" s="226">
        <v>580.0</v>
      </c>
      <c r="C247" s="226" t="s">
        <v>2945</v>
      </c>
      <c r="D247" s="226" t="s">
        <v>4188</v>
      </c>
      <c r="E247" s="228">
        <v>1.0</v>
      </c>
      <c r="F247" s="249"/>
      <c r="G247" s="250">
        <v>45375.0</v>
      </c>
      <c r="H247" s="250">
        <v>45741.0</v>
      </c>
      <c r="I247" s="228">
        <v>366.0</v>
      </c>
      <c r="K247" s="226" t="s">
        <v>4181</v>
      </c>
      <c r="L247" s="226" t="s">
        <v>247</v>
      </c>
      <c r="M247" s="226" t="s">
        <v>289</v>
      </c>
      <c r="N247" s="226" t="s">
        <v>4185</v>
      </c>
      <c r="O247" s="226" t="s">
        <v>4183</v>
      </c>
      <c r="P247" s="250">
        <v>46106.59635040509</v>
      </c>
    </row>
    <row r="248">
      <c r="A248" s="228">
        <v>247.0</v>
      </c>
      <c r="B248" s="226">
        <v>581.0</v>
      </c>
      <c r="C248" s="226" t="s">
        <v>2953</v>
      </c>
      <c r="D248" s="226" t="s">
        <v>4188</v>
      </c>
      <c r="E248" s="228">
        <v>1.0</v>
      </c>
      <c r="F248" s="249"/>
      <c r="G248" s="250">
        <v>45375.0</v>
      </c>
      <c r="H248" s="250">
        <v>45741.0</v>
      </c>
      <c r="I248" s="228">
        <v>366.0</v>
      </c>
      <c r="K248" s="226" t="s">
        <v>4181</v>
      </c>
      <c r="L248" s="226" t="s">
        <v>247</v>
      </c>
      <c r="M248" s="226" t="s">
        <v>289</v>
      </c>
      <c r="N248" s="226" t="s">
        <v>4185</v>
      </c>
      <c r="O248" s="226" t="s">
        <v>4183</v>
      </c>
      <c r="P248" s="250">
        <v>46106.59635040509</v>
      </c>
    </row>
    <row r="249">
      <c r="A249" s="228">
        <v>248.0</v>
      </c>
      <c r="B249" s="226">
        <v>582.0</v>
      </c>
      <c r="C249" s="226" t="s">
        <v>2962</v>
      </c>
      <c r="D249" s="226" t="s">
        <v>4188</v>
      </c>
      <c r="E249" s="228">
        <v>1.0</v>
      </c>
      <c r="F249" s="249"/>
      <c r="G249" s="250">
        <v>45375.0</v>
      </c>
      <c r="H249" s="250">
        <v>45741.0</v>
      </c>
      <c r="I249" s="228">
        <v>366.0</v>
      </c>
      <c r="K249" s="226" t="s">
        <v>4181</v>
      </c>
      <c r="L249" s="226" t="s">
        <v>247</v>
      </c>
      <c r="M249" s="226" t="s">
        <v>289</v>
      </c>
      <c r="N249" s="226" t="s">
        <v>4185</v>
      </c>
      <c r="O249" s="226" t="s">
        <v>4183</v>
      </c>
      <c r="P249" s="250">
        <v>46106.59635040509</v>
      </c>
    </row>
    <row r="250">
      <c r="A250" s="228">
        <v>249.0</v>
      </c>
      <c r="B250" s="226">
        <v>583.0</v>
      </c>
      <c r="C250" s="226" t="s">
        <v>2971</v>
      </c>
      <c r="D250" s="226" t="s">
        <v>4188</v>
      </c>
      <c r="E250" s="228">
        <v>1.0</v>
      </c>
      <c r="F250" s="249"/>
      <c r="G250" s="250">
        <v>45375.0</v>
      </c>
      <c r="H250" s="250">
        <v>45741.0</v>
      </c>
      <c r="I250" s="228">
        <v>366.0</v>
      </c>
      <c r="K250" s="226" t="s">
        <v>4181</v>
      </c>
      <c r="L250" s="226" t="s">
        <v>247</v>
      </c>
      <c r="M250" s="226" t="s">
        <v>289</v>
      </c>
      <c r="N250" s="226" t="s">
        <v>4185</v>
      </c>
      <c r="O250" s="226" t="s">
        <v>4183</v>
      </c>
      <c r="P250" s="250">
        <v>46106.59635040509</v>
      </c>
    </row>
    <row r="251">
      <c r="A251" s="228">
        <v>250.0</v>
      </c>
      <c r="B251" s="226">
        <v>584.0</v>
      </c>
      <c r="C251" s="226" t="s">
        <v>2980</v>
      </c>
      <c r="D251" s="226" t="s">
        <v>4188</v>
      </c>
      <c r="E251" s="228">
        <v>1.0</v>
      </c>
      <c r="F251" s="249"/>
      <c r="G251" s="250">
        <v>45375.0</v>
      </c>
      <c r="H251" s="250">
        <v>45741.0</v>
      </c>
      <c r="I251" s="228">
        <v>366.0</v>
      </c>
      <c r="K251" s="226" t="s">
        <v>4181</v>
      </c>
      <c r="L251" s="226" t="s">
        <v>247</v>
      </c>
      <c r="M251" s="226" t="s">
        <v>289</v>
      </c>
      <c r="N251" s="226" t="s">
        <v>4185</v>
      </c>
      <c r="O251" s="226" t="s">
        <v>4183</v>
      </c>
      <c r="P251" s="250">
        <v>46106.59635040509</v>
      </c>
    </row>
    <row r="252">
      <c r="A252" s="228">
        <v>251.0</v>
      </c>
      <c r="B252" s="226">
        <v>585.0</v>
      </c>
      <c r="C252" s="226" t="s">
        <v>1032</v>
      </c>
      <c r="D252" s="226" t="s">
        <v>4176</v>
      </c>
      <c r="E252" s="228">
        <v>1.0</v>
      </c>
      <c r="F252" s="249"/>
      <c r="G252" s="250">
        <v>45376.0</v>
      </c>
      <c r="H252" s="250">
        <v>46373.0</v>
      </c>
      <c r="I252" s="228">
        <v>997.0</v>
      </c>
      <c r="K252" s="226" t="s">
        <v>4181</v>
      </c>
      <c r="L252" s="226" t="s">
        <v>211</v>
      </c>
      <c r="M252" s="226" t="s">
        <v>14</v>
      </c>
      <c r="N252" s="226" t="s">
        <v>4190</v>
      </c>
      <c r="O252" s="226" t="s">
        <v>4183</v>
      </c>
      <c r="P252" s="250">
        <v>46106.59635040509</v>
      </c>
    </row>
    <row r="253">
      <c r="A253" s="228">
        <v>252.0</v>
      </c>
      <c r="B253" s="226">
        <v>586.0</v>
      </c>
      <c r="C253" s="226" t="s">
        <v>468</v>
      </c>
      <c r="D253" s="226" t="s">
        <v>4176</v>
      </c>
      <c r="E253" s="228">
        <v>1.0</v>
      </c>
      <c r="F253" s="249"/>
      <c r="G253" s="250">
        <v>45376.0</v>
      </c>
      <c r="H253" s="250">
        <v>46623.0</v>
      </c>
      <c r="I253" s="228">
        <v>1247.0</v>
      </c>
      <c r="K253" s="226" t="s">
        <v>4181</v>
      </c>
      <c r="L253" s="226" t="s">
        <v>210</v>
      </c>
      <c r="M253" s="226" t="s">
        <v>14</v>
      </c>
      <c r="N253" s="226" t="s">
        <v>4184</v>
      </c>
      <c r="O253" s="226" t="s">
        <v>4183</v>
      </c>
      <c r="P253" s="250">
        <v>46106.59635040509</v>
      </c>
    </row>
    <row r="254">
      <c r="A254" s="228">
        <v>253.0</v>
      </c>
      <c r="B254" s="226">
        <v>589.0</v>
      </c>
      <c r="C254" s="226" t="s">
        <v>881</v>
      </c>
      <c r="D254" s="226" t="s">
        <v>4176</v>
      </c>
      <c r="E254" s="228">
        <v>1.0</v>
      </c>
      <c r="F254" s="249"/>
      <c r="G254" s="250">
        <v>45376.0</v>
      </c>
      <c r="H254" s="250">
        <v>46387.0</v>
      </c>
      <c r="I254" s="228">
        <v>1011.0</v>
      </c>
      <c r="K254" s="226" t="s">
        <v>4181</v>
      </c>
      <c r="L254" s="226" t="s">
        <v>211</v>
      </c>
      <c r="M254" s="226" t="s">
        <v>14</v>
      </c>
      <c r="N254" s="226" t="s">
        <v>4185</v>
      </c>
      <c r="O254" s="226" t="s">
        <v>4183</v>
      </c>
      <c r="P254" s="250">
        <v>46106.59635040509</v>
      </c>
    </row>
    <row r="255">
      <c r="A255" s="228">
        <v>254.0</v>
      </c>
      <c r="B255" s="226">
        <v>587.0</v>
      </c>
      <c r="C255" s="226" t="s">
        <v>91</v>
      </c>
      <c r="D255" s="226" t="s">
        <v>4176</v>
      </c>
      <c r="E255" s="228">
        <v>1.0</v>
      </c>
      <c r="F255" s="249"/>
      <c r="G255" s="250">
        <v>45376.0</v>
      </c>
      <c r="H255" s="250">
        <v>46141.0</v>
      </c>
      <c r="I255" s="228">
        <v>765.0</v>
      </c>
      <c r="K255" s="226" t="s">
        <v>4181</v>
      </c>
      <c r="L255" s="226" t="s">
        <v>211</v>
      </c>
      <c r="M255" s="226" t="s">
        <v>14</v>
      </c>
      <c r="N255" s="226" t="s">
        <v>4184</v>
      </c>
      <c r="O255" s="226" t="s">
        <v>4183</v>
      </c>
      <c r="P255" s="250">
        <v>46106.59635040509</v>
      </c>
    </row>
    <row r="256">
      <c r="A256" s="228">
        <v>255.0</v>
      </c>
      <c r="B256" s="226">
        <v>590.0</v>
      </c>
      <c r="C256" s="226" t="s">
        <v>127</v>
      </c>
      <c r="D256" s="226" t="s">
        <v>4176</v>
      </c>
      <c r="E256" s="228">
        <v>1.0</v>
      </c>
      <c r="F256" s="249"/>
      <c r="G256" s="250">
        <v>45376.0</v>
      </c>
      <c r="H256" s="250">
        <v>46281.0</v>
      </c>
      <c r="I256" s="228">
        <v>905.0</v>
      </c>
      <c r="K256" s="226" t="s">
        <v>4181</v>
      </c>
      <c r="L256" s="226" t="s">
        <v>211</v>
      </c>
      <c r="M256" s="226" t="s">
        <v>14</v>
      </c>
      <c r="N256" s="226" t="s">
        <v>4190</v>
      </c>
      <c r="O256" s="226" t="s">
        <v>4183</v>
      </c>
      <c r="P256" s="250">
        <v>46106.59635040509</v>
      </c>
    </row>
    <row r="257">
      <c r="A257" s="228">
        <v>256.0</v>
      </c>
      <c r="B257" s="226">
        <v>588.0</v>
      </c>
      <c r="C257" s="226" t="s">
        <v>2160</v>
      </c>
      <c r="D257" s="226" t="s">
        <v>4176</v>
      </c>
      <c r="E257" s="228">
        <v>1.0</v>
      </c>
      <c r="F257" s="249"/>
      <c r="G257" s="250">
        <v>45376.0</v>
      </c>
      <c r="H257" s="250">
        <v>45657.0</v>
      </c>
      <c r="I257" s="228">
        <v>281.0</v>
      </c>
      <c r="K257" s="226" t="s">
        <v>4181</v>
      </c>
      <c r="L257" s="226" t="s">
        <v>162</v>
      </c>
      <c r="M257" s="226" t="s">
        <v>289</v>
      </c>
      <c r="N257" s="226" t="s">
        <v>4185</v>
      </c>
      <c r="O257" s="226" t="s">
        <v>4183</v>
      </c>
      <c r="P257" s="250">
        <v>46106.59635040509</v>
      </c>
    </row>
    <row r="258">
      <c r="A258" s="228">
        <v>257.0</v>
      </c>
      <c r="B258" s="226">
        <v>591.0</v>
      </c>
      <c r="C258" s="226" t="s">
        <v>2215</v>
      </c>
      <c r="D258" s="226" t="s">
        <v>4176</v>
      </c>
      <c r="E258" s="228">
        <v>1.0</v>
      </c>
      <c r="F258" s="249"/>
      <c r="G258" s="250">
        <v>45376.0</v>
      </c>
      <c r="H258" s="250">
        <v>45741.0</v>
      </c>
      <c r="I258" s="228">
        <v>365.0</v>
      </c>
      <c r="K258" s="226" t="s">
        <v>4181</v>
      </c>
      <c r="L258" s="226" t="s">
        <v>122</v>
      </c>
      <c r="M258" s="226" t="s">
        <v>289</v>
      </c>
      <c r="N258" s="226" t="s">
        <v>4185</v>
      </c>
      <c r="O258" s="226" t="s">
        <v>4183</v>
      </c>
      <c r="P258" s="250">
        <v>46106.59635040509</v>
      </c>
    </row>
    <row r="259">
      <c r="A259" s="228">
        <v>258.0</v>
      </c>
      <c r="B259" s="226">
        <v>593.0</v>
      </c>
      <c r="C259" s="226" t="s">
        <v>3017</v>
      </c>
      <c r="D259" s="226" t="s">
        <v>4188</v>
      </c>
      <c r="E259" s="228">
        <v>1.0</v>
      </c>
      <c r="F259" s="249"/>
      <c r="G259" s="250">
        <v>45376.0</v>
      </c>
      <c r="H259" s="250">
        <v>45741.0</v>
      </c>
      <c r="I259" s="228">
        <v>365.0</v>
      </c>
      <c r="K259" s="226" t="s">
        <v>4181</v>
      </c>
      <c r="L259" s="226" t="s">
        <v>247</v>
      </c>
      <c r="M259" s="226" t="s">
        <v>289</v>
      </c>
      <c r="N259" s="226" t="s">
        <v>4185</v>
      </c>
      <c r="O259" s="226" t="s">
        <v>4183</v>
      </c>
      <c r="P259" s="250">
        <v>46106.59635040509</v>
      </c>
    </row>
    <row r="260">
      <c r="A260" s="228">
        <v>259.0</v>
      </c>
      <c r="B260" s="226">
        <v>592.0</v>
      </c>
      <c r="C260" s="226" t="s">
        <v>3024</v>
      </c>
      <c r="D260" s="226" t="s">
        <v>4176</v>
      </c>
      <c r="E260" s="228">
        <v>1.0</v>
      </c>
      <c r="F260" s="249"/>
      <c r="G260" s="250">
        <v>45376.0</v>
      </c>
      <c r="H260" s="250">
        <v>45382.0</v>
      </c>
      <c r="I260" s="228">
        <v>6.0</v>
      </c>
      <c r="K260" s="226" t="s">
        <v>4181</v>
      </c>
      <c r="L260" s="226" t="s">
        <v>247</v>
      </c>
      <c r="M260" s="226" t="s">
        <v>175</v>
      </c>
      <c r="N260" s="226" t="s">
        <v>4185</v>
      </c>
      <c r="O260" s="226" t="s">
        <v>4183</v>
      </c>
      <c r="P260" s="250">
        <v>46106.59635040509</v>
      </c>
    </row>
    <row r="261">
      <c r="A261" s="228">
        <v>260.0</v>
      </c>
      <c r="B261" s="226">
        <v>594.0</v>
      </c>
      <c r="C261" s="226" t="s">
        <v>3030</v>
      </c>
      <c r="D261" s="226" t="s">
        <v>4176</v>
      </c>
      <c r="E261" s="228">
        <v>1.0</v>
      </c>
      <c r="F261" s="249"/>
      <c r="G261" s="250">
        <v>45378.0</v>
      </c>
      <c r="H261" s="250">
        <v>45743.0</v>
      </c>
      <c r="I261" s="228">
        <v>365.0</v>
      </c>
      <c r="K261" s="226" t="s">
        <v>4181</v>
      </c>
      <c r="L261" s="226" t="s">
        <v>247</v>
      </c>
      <c r="M261" s="226" t="s">
        <v>261</v>
      </c>
      <c r="N261" s="226" t="s">
        <v>4185</v>
      </c>
      <c r="O261" s="226" t="s">
        <v>4183</v>
      </c>
      <c r="P261" s="250">
        <v>46106.59635040509</v>
      </c>
    </row>
    <row r="262">
      <c r="A262" s="228">
        <v>261.0</v>
      </c>
      <c r="B262" s="226">
        <v>595.0</v>
      </c>
      <c r="C262" s="226" t="s">
        <v>3041</v>
      </c>
      <c r="D262" s="226" t="s">
        <v>4176</v>
      </c>
      <c r="E262" s="228">
        <v>1.0</v>
      </c>
      <c r="F262" s="249"/>
      <c r="G262" s="250">
        <v>45378.0</v>
      </c>
      <c r="H262" s="250">
        <v>45743.0</v>
      </c>
      <c r="I262" s="228">
        <v>365.0</v>
      </c>
      <c r="K262" s="226" t="s">
        <v>4181</v>
      </c>
      <c r="L262" s="226" t="s">
        <v>247</v>
      </c>
      <c r="M262" s="226" t="s">
        <v>261</v>
      </c>
      <c r="N262" s="226" t="s">
        <v>4185</v>
      </c>
      <c r="O262" s="226" t="s">
        <v>4183</v>
      </c>
      <c r="P262" s="250">
        <v>46106.59635040509</v>
      </c>
    </row>
    <row r="263">
      <c r="A263" s="228">
        <v>262.0</v>
      </c>
      <c r="B263" s="226">
        <v>596.0</v>
      </c>
      <c r="C263" s="226" t="s">
        <v>2194</v>
      </c>
      <c r="D263" s="226" t="s">
        <v>4176</v>
      </c>
      <c r="E263" s="228">
        <v>1.0</v>
      </c>
      <c r="F263" s="249"/>
      <c r="G263" s="250">
        <v>45379.0</v>
      </c>
      <c r="H263" s="250">
        <v>45532.0</v>
      </c>
      <c r="I263" s="228">
        <v>153.0</v>
      </c>
      <c r="K263" s="226" t="s">
        <v>4181</v>
      </c>
      <c r="L263" s="226" t="s">
        <v>311</v>
      </c>
      <c r="M263" s="226" t="s">
        <v>289</v>
      </c>
      <c r="N263" s="226" t="s">
        <v>4185</v>
      </c>
      <c r="O263" s="226" t="s">
        <v>4183</v>
      </c>
      <c r="P263" s="250">
        <v>46106.59635040509</v>
      </c>
    </row>
    <row r="264">
      <c r="A264" s="228">
        <v>263.0</v>
      </c>
      <c r="B264" s="226">
        <v>598.0</v>
      </c>
      <c r="C264" s="226" t="s">
        <v>3054</v>
      </c>
      <c r="D264" s="226" t="s">
        <v>4176</v>
      </c>
      <c r="E264" s="228">
        <v>1.0</v>
      </c>
      <c r="F264" s="249"/>
      <c r="G264" s="250">
        <v>45379.0</v>
      </c>
      <c r="H264" s="250">
        <v>45744.0</v>
      </c>
      <c r="I264" s="228">
        <v>365.0</v>
      </c>
      <c r="K264" s="226" t="s">
        <v>4181</v>
      </c>
      <c r="L264" s="226" t="s">
        <v>247</v>
      </c>
      <c r="M264" s="226" t="s">
        <v>289</v>
      </c>
      <c r="N264" s="226" t="s">
        <v>4185</v>
      </c>
      <c r="O264" s="226" t="s">
        <v>4183</v>
      </c>
      <c r="P264" s="250">
        <v>46106.59635040509</v>
      </c>
    </row>
    <row r="265">
      <c r="A265" s="228">
        <v>264.0</v>
      </c>
      <c r="B265" s="226">
        <v>600.0</v>
      </c>
      <c r="C265" s="226" t="s">
        <v>3064</v>
      </c>
      <c r="D265" s="226" t="s">
        <v>4176</v>
      </c>
      <c r="E265" s="228">
        <v>1.0</v>
      </c>
      <c r="F265" s="249"/>
      <c r="G265" s="250">
        <v>45379.0</v>
      </c>
      <c r="H265" s="250">
        <v>45744.0</v>
      </c>
      <c r="I265" s="228">
        <v>365.0</v>
      </c>
      <c r="K265" s="226" t="s">
        <v>4181</v>
      </c>
      <c r="L265" s="226" t="s">
        <v>247</v>
      </c>
      <c r="M265" s="226" t="s">
        <v>289</v>
      </c>
      <c r="N265" s="226" t="s">
        <v>4185</v>
      </c>
      <c r="O265" s="226" t="s">
        <v>4183</v>
      </c>
      <c r="P265" s="250">
        <v>46106.59635040509</v>
      </c>
    </row>
    <row r="266">
      <c r="A266" s="228">
        <v>265.0</v>
      </c>
      <c r="B266" s="226">
        <v>597.0</v>
      </c>
      <c r="C266" s="226" t="s">
        <v>3073</v>
      </c>
      <c r="D266" s="226" t="s">
        <v>4176</v>
      </c>
      <c r="E266" s="228">
        <v>1.0</v>
      </c>
      <c r="F266" s="249"/>
      <c r="G266" s="250">
        <v>45379.0</v>
      </c>
      <c r="H266" s="250">
        <v>46109.0</v>
      </c>
      <c r="I266" s="228">
        <v>730.0</v>
      </c>
      <c r="K266" s="226" t="s">
        <v>4181</v>
      </c>
      <c r="L266" s="226" t="s">
        <v>211</v>
      </c>
      <c r="M266" s="226" t="s">
        <v>38</v>
      </c>
      <c r="N266" s="226" t="s">
        <v>4190</v>
      </c>
      <c r="O266" s="226" t="s">
        <v>4183</v>
      </c>
      <c r="P266" s="250">
        <v>46106.59635040509</v>
      </c>
    </row>
    <row r="267">
      <c r="A267" s="228">
        <v>266.0</v>
      </c>
      <c r="B267" s="226">
        <v>599.0</v>
      </c>
      <c r="C267" s="226" t="s">
        <v>351</v>
      </c>
      <c r="D267" s="226" t="s">
        <v>4176</v>
      </c>
      <c r="E267" s="228">
        <v>1.0</v>
      </c>
      <c r="F267" s="249"/>
      <c r="G267" s="250">
        <v>45379.0</v>
      </c>
      <c r="H267" s="250">
        <v>49396.0</v>
      </c>
      <c r="I267" s="228">
        <v>4017.0</v>
      </c>
      <c r="K267" s="226" t="s">
        <v>4181</v>
      </c>
      <c r="L267" s="226" t="s">
        <v>211</v>
      </c>
      <c r="M267" s="226" t="s">
        <v>123</v>
      </c>
      <c r="N267" s="226" t="s">
        <v>4185</v>
      </c>
      <c r="O267" s="226" t="s">
        <v>4183</v>
      </c>
      <c r="P267" s="250">
        <v>46106.59635040509</v>
      </c>
    </row>
    <row r="268">
      <c r="A268" s="228">
        <v>267.0</v>
      </c>
      <c r="B268" s="226">
        <v>601.0</v>
      </c>
      <c r="C268" s="226" t="s">
        <v>3086</v>
      </c>
      <c r="D268" s="226" t="s">
        <v>4176</v>
      </c>
      <c r="E268" s="228">
        <v>1.0</v>
      </c>
      <c r="F268" s="249"/>
      <c r="G268" s="250">
        <v>45383.0</v>
      </c>
      <c r="H268" s="250">
        <v>45748.0</v>
      </c>
      <c r="I268" s="228">
        <v>365.0</v>
      </c>
      <c r="K268" s="226" t="s">
        <v>4181</v>
      </c>
      <c r="L268" s="226" t="s">
        <v>247</v>
      </c>
      <c r="M268" s="226" t="s">
        <v>289</v>
      </c>
      <c r="N268" s="226" t="s">
        <v>4185</v>
      </c>
      <c r="O268" s="226" t="s">
        <v>4183</v>
      </c>
      <c r="P268" s="250">
        <v>46106.59635040509</v>
      </c>
    </row>
    <row r="269">
      <c r="A269" s="228">
        <v>268.0</v>
      </c>
      <c r="B269" s="226">
        <v>602.0</v>
      </c>
      <c r="C269" s="226" t="s">
        <v>1025</v>
      </c>
      <c r="D269" s="226" t="s">
        <v>4176</v>
      </c>
      <c r="E269" s="228">
        <v>1.0</v>
      </c>
      <c r="F269" s="249"/>
      <c r="G269" s="250">
        <v>45383.0</v>
      </c>
      <c r="H269" s="250">
        <v>46113.0</v>
      </c>
      <c r="I269" s="228">
        <v>730.0</v>
      </c>
      <c r="K269" s="226" t="s">
        <v>4181</v>
      </c>
      <c r="L269" s="226" t="s">
        <v>211</v>
      </c>
      <c r="M269" s="226" t="s">
        <v>123</v>
      </c>
      <c r="N269" s="226" t="s">
        <v>4185</v>
      </c>
      <c r="O269" s="226" t="s">
        <v>4183</v>
      </c>
      <c r="P269" s="250">
        <v>46106.59635040509</v>
      </c>
    </row>
    <row r="270">
      <c r="A270" s="228">
        <v>269.0</v>
      </c>
      <c r="B270" s="226">
        <v>603.0</v>
      </c>
      <c r="C270" s="226" t="s">
        <v>1030</v>
      </c>
      <c r="D270" s="226" t="s">
        <v>4176</v>
      </c>
      <c r="E270" s="228">
        <v>1.0</v>
      </c>
      <c r="F270" s="249"/>
      <c r="G270" s="250">
        <v>45383.0</v>
      </c>
      <c r="H270" s="250">
        <v>46113.0</v>
      </c>
      <c r="I270" s="228">
        <v>730.0</v>
      </c>
      <c r="K270" s="226" t="s">
        <v>4181</v>
      </c>
      <c r="L270" s="226" t="s">
        <v>211</v>
      </c>
      <c r="M270" s="226" t="s">
        <v>123</v>
      </c>
      <c r="N270" s="226" t="s">
        <v>4185</v>
      </c>
      <c r="O270" s="226" t="s">
        <v>4183</v>
      </c>
      <c r="P270" s="250">
        <v>46106.59635040509</v>
      </c>
    </row>
    <row r="271">
      <c r="A271" s="228">
        <v>270.0</v>
      </c>
      <c r="B271" s="226">
        <v>604.0</v>
      </c>
      <c r="C271" s="226" t="s">
        <v>2234</v>
      </c>
      <c r="D271" s="226" t="s">
        <v>4176</v>
      </c>
      <c r="E271" s="228">
        <v>1.0</v>
      </c>
      <c r="F271" s="249"/>
      <c r="G271" s="250">
        <v>45384.0</v>
      </c>
      <c r="H271" s="250">
        <v>45387.0</v>
      </c>
      <c r="I271" s="228">
        <v>3.0</v>
      </c>
      <c r="K271" s="226" t="s">
        <v>4181</v>
      </c>
      <c r="L271" s="226" t="s">
        <v>122</v>
      </c>
      <c r="M271" s="226" t="s">
        <v>175</v>
      </c>
      <c r="N271" s="226" t="s">
        <v>4185</v>
      </c>
      <c r="O271" s="226" t="s">
        <v>4183</v>
      </c>
      <c r="P271" s="250">
        <v>46106.59635040509</v>
      </c>
    </row>
    <row r="272">
      <c r="A272" s="228">
        <v>271.0</v>
      </c>
      <c r="B272" s="226">
        <v>605.0</v>
      </c>
      <c r="C272" s="226" t="s">
        <v>2223</v>
      </c>
      <c r="D272" s="226" t="s">
        <v>4176</v>
      </c>
      <c r="E272" s="228">
        <v>1.0</v>
      </c>
      <c r="F272" s="249"/>
      <c r="G272" s="250">
        <v>45384.0</v>
      </c>
      <c r="H272" s="250">
        <v>45812.0</v>
      </c>
      <c r="I272" s="228">
        <v>428.0</v>
      </c>
      <c r="K272" s="226" t="s">
        <v>4181</v>
      </c>
      <c r="L272" s="226" t="s">
        <v>289</v>
      </c>
      <c r="M272" s="226" t="s">
        <v>289</v>
      </c>
      <c r="N272" s="226" t="s">
        <v>4190</v>
      </c>
      <c r="O272" s="226" t="s">
        <v>4183</v>
      </c>
      <c r="P272" s="250">
        <v>46106.59635040509</v>
      </c>
    </row>
    <row r="273">
      <c r="A273" s="228">
        <v>272.0</v>
      </c>
      <c r="B273" s="226">
        <v>606.0</v>
      </c>
      <c r="C273" s="226" t="s">
        <v>3120</v>
      </c>
      <c r="D273" s="226" t="s">
        <v>4176</v>
      </c>
      <c r="E273" s="228">
        <v>1.0</v>
      </c>
      <c r="F273" s="249"/>
      <c r="G273" s="250">
        <v>45384.0</v>
      </c>
      <c r="H273" s="250">
        <v>45568.0</v>
      </c>
      <c r="I273" s="228">
        <v>184.0</v>
      </c>
      <c r="K273" s="226" t="s">
        <v>4181</v>
      </c>
      <c r="L273" s="226" t="s">
        <v>247</v>
      </c>
      <c r="M273" s="226" t="s">
        <v>261</v>
      </c>
      <c r="N273" s="226" t="s">
        <v>4185</v>
      </c>
      <c r="O273" s="226" t="s">
        <v>4183</v>
      </c>
      <c r="P273" s="250">
        <v>46106.59635040509</v>
      </c>
    </row>
    <row r="274">
      <c r="A274" s="228">
        <v>273.0</v>
      </c>
      <c r="B274" s="226">
        <v>609.0</v>
      </c>
      <c r="C274" s="226" t="s">
        <v>3128</v>
      </c>
      <c r="D274" s="226" t="s">
        <v>4176</v>
      </c>
      <c r="E274" s="228">
        <v>1.0</v>
      </c>
      <c r="F274" s="249"/>
      <c r="G274" s="250">
        <v>45385.0</v>
      </c>
      <c r="H274" s="250">
        <v>45750.0</v>
      </c>
      <c r="I274" s="228">
        <v>365.0</v>
      </c>
      <c r="K274" s="226" t="s">
        <v>4181</v>
      </c>
      <c r="L274" s="226" t="s">
        <v>247</v>
      </c>
      <c r="M274" s="226" t="s">
        <v>289</v>
      </c>
      <c r="N274" s="226" t="s">
        <v>4185</v>
      </c>
      <c r="O274" s="226" t="s">
        <v>4183</v>
      </c>
      <c r="P274" s="250">
        <v>46106.59635040509</v>
      </c>
    </row>
    <row r="275">
      <c r="A275" s="228">
        <v>274.0</v>
      </c>
      <c r="B275" s="226">
        <v>607.0</v>
      </c>
      <c r="C275" s="226" t="s">
        <v>3135</v>
      </c>
      <c r="D275" s="226" t="s">
        <v>4176</v>
      </c>
      <c r="E275" s="228">
        <v>1.0</v>
      </c>
      <c r="F275" s="249"/>
      <c r="G275" s="250">
        <v>45385.0</v>
      </c>
      <c r="H275" s="250">
        <v>45395.0</v>
      </c>
      <c r="I275" s="228">
        <v>10.0</v>
      </c>
      <c r="K275" s="226" t="s">
        <v>4181</v>
      </c>
      <c r="L275" s="226" t="s">
        <v>247</v>
      </c>
      <c r="M275" s="226" t="s">
        <v>175</v>
      </c>
      <c r="N275" s="226" t="s">
        <v>4185</v>
      </c>
      <c r="O275" s="226" t="s">
        <v>4183</v>
      </c>
      <c r="P275" s="250">
        <v>46106.59635040509</v>
      </c>
    </row>
    <row r="276">
      <c r="A276" s="228">
        <v>275.0</v>
      </c>
      <c r="B276" s="226">
        <v>611.0</v>
      </c>
      <c r="C276" s="226" t="s">
        <v>2271</v>
      </c>
      <c r="D276" s="226" t="s">
        <v>4176</v>
      </c>
      <c r="E276" s="228">
        <v>1.0</v>
      </c>
      <c r="F276" s="249"/>
      <c r="G276" s="250">
        <v>45386.0</v>
      </c>
      <c r="H276" s="250">
        <v>46130.0</v>
      </c>
      <c r="I276" s="228">
        <v>744.0</v>
      </c>
      <c r="K276" s="226" t="s">
        <v>4181</v>
      </c>
      <c r="L276" s="226" t="s">
        <v>122</v>
      </c>
      <c r="M276" s="226" t="s">
        <v>65</v>
      </c>
      <c r="N276" s="226" t="s">
        <v>4185</v>
      </c>
      <c r="O276" s="226" t="s">
        <v>4183</v>
      </c>
      <c r="P276" s="250">
        <v>46106.59635040509</v>
      </c>
    </row>
    <row r="277">
      <c r="A277" s="228">
        <v>276.0</v>
      </c>
      <c r="B277" s="226">
        <v>612.0</v>
      </c>
      <c r="C277" s="226" t="s">
        <v>2313</v>
      </c>
      <c r="D277" s="226" t="s">
        <v>4176</v>
      </c>
      <c r="E277" s="228">
        <v>1.0</v>
      </c>
      <c r="F277" s="249"/>
      <c r="G277" s="250">
        <v>45387.0</v>
      </c>
      <c r="H277" s="250">
        <v>45812.0</v>
      </c>
      <c r="I277" s="228">
        <v>425.0</v>
      </c>
      <c r="K277" s="226" t="s">
        <v>4181</v>
      </c>
      <c r="L277" s="226" t="s">
        <v>122</v>
      </c>
      <c r="M277" s="226" t="s">
        <v>14</v>
      </c>
      <c r="N277" s="226" t="s">
        <v>4185</v>
      </c>
      <c r="O277" s="226" t="s">
        <v>4183</v>
      </c>
      <c r="P277" s="250">
        <v>46106.59635040509</v>
      </c>
    </row>
    <row r="278">
      <c r="A278" s="228">
        <v>277.0</v>
      </c>
      <c r="B278" s="226">
        <v>610.0</v>
      </c>
      <c r="C278" s="226" t="s">
        <v>2259</v>
      </c>
      <c r="D278" s="226" t="s">
        <v>4176</v>
      </c>
      <c r="E278" s="228">
        <v>1.0</v>
      </c>
      <c r="F278" s="249"/>
      <c r="G278" s="250">
        <v>45390.0</v>
      </c>
      <c r="H278" s="250">
        <v>45580.0</v>
      </c>
      <c r="I278" s="228">
        <v>190.0</v>
      </c>
      <c r="K278" s="226" t="s">
        <v>4181</v>
      </c>
      <c r="L278" s="226" t="s">
        <v>122</v>
      </c>
      <c r="M278" s="226" t="s">
        <v>289</v>
      </c>
      <c r="N278" s="226" t="s">
        <v>4185</v>
      </c>
      <c r="O278" s="226" t="s">
        <v>4183</v>
      </c>
      <c r="P278" s="250">
        <v>46106.59635040509</v>
      </c>
    </row>
    <row r="279">
      <c r="A279" s="228">
        <v>278.0</v>
      </c>
      <c r="B279" s="226">
        <v>613.0</v>
      </c>
      <c r="C279" s="226" t="s">
        <v>3159</v>
      </c>
      <c r="D279" s="226" t="s">
        <v>4176</v>
      </c>
      <c r="E279" s="228">
        <v>1.0</v>
      </c>
      <c r="F279" s="249"/>
      <c r="G279" s="250">
        <v>45390.0</v>
      </c>
      <c r="H279" s="250">
        <v>45755.0</v>
      </c>
      <c r="I279" s="228">
        <v>365.0</v>
      </c>
      <c r="K279" s="226" t="s">
        <v>4181</v>
      </c>
      <c r="L279" s="226" t="s">
        <v>247</v>
      </c>
      <c r="M279" s="226" t="s">
        <v>289</v>
      </c>
      <c r="N279" s="226" t="s">
        <v>4185</v>
      </c>
      <c r="O279" s="226" t="s">
        <v>4183</v>
      </c>
      <c r="P279" s="250">
        <v>46106.59635040509</v>
      </c>
    </row>
    <row r="280">
      <c r="A280" s="228">
        <v>279.0</v>
      </c>
      <c r="B280" s="226">
        <v>616.0</v>
      </c>
      <c r="C280" s="226" t="s">
        <v>890</v>
      </c>
      <c r="D280" s="226" t="s">
        <v>4176</v>
      </c>
      <c r="E280" s="228">
        <v>1.0</v>
      </c>
      <c r="F280" s="249"/>
      <c r="G280" s="250">
        <v>45391.0</v>
      </c>
      <c r="H280" s="250">
        <v>46121.0</v>
      </c>
      <c r="I280" s="228">
        <v>730.0</v>
      </c>
      <c r="K280" s="226" t="s">
        <v>4181</v>
      </c>
      <c r="L280" s="226" t="s">
        <v>211</v>
      </c>
      <c r="M280" s="226" t="s">
        <v>14</v>
      </c>
      <c r="N280" s="226" t="s">
        <v>4190</v>
      </c>
      <c r="O280" s="226" t="s">
        <v>4183</v>
      </c>
      <c r="P280" s="250">
        <v>46106.59635040509</v>
      </c>
    </row>
    <row r="281">
      <c r="A281" s="228">
        <v>280.0</v>
      </c>
      <c r="B281" s="226">
        <v>615.0</v>
      </c>
      <c r="C281" s="226" t="s">
        <v>2023</v>
      </c>
      <c r="D281" s="226" t="s">
        <v>4176</v>
      </c>
      <c r="E281" s="228">
        <v>1.0</v>
      </c>
      <c r="F281" s="249"/>
      <c r="G281" s="250">
        <v>45391.0</v>
      </c>
      <c r="H281" s="250">
        <v>45756.0</v>
      </c>
      <c r="I281" s="228">
        <v>365.0</v>
      </c>
      <c r="K281" s="226" t="s">
        <v>4181</v>
      </c>
      <c r="L281" s="226" t="s">
        <v>311</v>
      </c>
      <c r="M281" s="226" t="s">
        <v>289</v>
      </c>
      <c r="N281" s="226" t="s">
        <v>4185</v>
      </c>
      <c r="O281" s="226" t="s">
        <v>4183</v>
      </c>
      <c r="P281" s="250">
        <v>46106.59635040509</v>
      </c>
    </row>
    <row r="282">
      <c r="A282" s="228">
        <v>281.0</v>
      </c>
      <c r="B282" s="226">
        <v>617.0</v>
      </c>
      <c r="C282" s="226" t="s">
        <v>3175</v>
      </c>
      <c r="D282" s="226" t="s">
        <v>4188</v>
      </c>
      <c r="E282" s="228">
        <v>1.0</v>
      </c>
      <c r="F282" s="249"/>
      <c r="G282" s="250">
        <v>45397.0</v>
      </c>
      <c r="H282" s="250">
        <v>45762.0</v>
      </c>
      <c r="I282" s="228">
        <v>365.0</v>
      </c>
      <c r="K282" s="226" t="s">
        <v>4181</v>
      </c>
      <c r="L282" s="226" t="s">
        <v>247</v>
      </c>
      <c r="M282" s="226" t="s">
        <v>289</v>
      </c>
      <c r="N282" s="226" t="s">
        <v>4185</v>
      </c>
      <c r="O282" s="226" t="s">
        <v>4183</v>
      </c>
      <c r="P282" s="250">
        <v>46106.59635040509</v>
      </c>
    </row>
    <row r="283">
      <c r="A283" s="228">
        <v>282.0</v>
      </c>
      <c r="B283" s="226">
        <v>608.0</v>
      </c>
      <c r="C283" s="226" t="s">
        <v>2241</v>
      </c>
      <c r="D283" s="226" t="s">
        <v>4176</v>
      </c>
      <c r="E283" s="228">
        <v>1.0</v>
      </c>
      <c r="F283" s="249"/>
      <c r="G283" s="250">
        <v>45398.0</v>
      </c>
      <c r="H283" s="250">
        <v>45404.0</v>
      </c>
      <c r="I283" s="228">
        <v>6.0</v>
      </c>
      <c r="K283" s="226" t="s">
        <v>4181</v>
      </c>
      <c r="L283" s="226" t="s">
        <v>122</v>
      </c>
      <c r="M283" s="226" t="s">
        <v>175</v>
      </c>
      <c r="N283" s="226" t="s">
        <v>4185</v>
      </c>
      <c r="O283" s="226" t="s">
        <v>4183</v>
      </c>
      <c r="P283" s="250">
        <v>46106.59635040509</v>
      </c>
    </row>
    <row r="284">
      <c r="A284" s="228">
        <v>283.0</v>
      </c>
      <c r="B284" s="226">
        <v>618.0</v>
      </c>
      <c r="C284" s="226" t="s">
        <v>925</v>
      </c>
      <c r="D284" s="226" t="s">
        <v>4176</v>
      </c>
      <c r="E284" s="228">
        <v>1.0</v>
      </c>
      <c r="F284" s="249"/>
      <c r="G284" s="250">
        <v>45398.0</v>
      </c>
      <c r="H284" s="250">
        <v>46623.0</v>
      </c>
      <c r="I284" s="228">
        <v>1225.0</v>
      </c>
      <c r="K284" s="226" t="s">
        <v>4181</v>
      </c>
      <c r="L284" s="226" t="s">
        <v>210</v>
      </c>
      <c r="M284" s="226" t="s">
        <v>14</v>
      </c>
      <c r="N284" s="226" t="s">
        <v>4184</v>
      </c>
      <c r="O284" s="226" t="s">
        <v>4183</v>
      </c>
      <c r="P284" s="250">
        <v>46106.59635040509</v>
      </c>
    </row>
    <row r="285">
      <c r="A285" s="228">
        <v>284.0</v>
      </c>
      <c r="B285" s="226">
        <v>619.0</v>
      </c>
      <c r="C285" s="226" t="s">
        <v>3193</v>
      </c>
      <c r="D285" s="226" t="s">
        <v>4176</v>
      </c>
      <c r="E285" s="228">
        <v>1.0</v>
      </c>
      <c r="F285" s="249"/>
      <c r="G285" s="250">
        <v>45398.0</v>
      </c>
      <c r="H285" s="250">
        <v>45504.0</v>
      </c>
      <c r="I285" s="228">
        <v>106.0</v>
      </c>
      <c r="K285" s="226" t="s">
        <v>4181</v>
      </c>
      <c r="L285" s="226" t="s">
        <v>247</v>
      </c>
      <c r="M285" s="226" t="s">
        <v>289</v>
      </c>
      <c r="N285" s="226" t="s">
        <v>4185</v>
      </c>
      <c r="O285" s="226" t="s">
        <v>4183</v>
      </c>
      <c r="P285" s="250">
        <v>46106.59635040509</v>
      </c>
    </row>
    <row r="286">
      <c r="A286" s="228">
        <v>285.0</v>
      </c>
      <c r="B286" s="226">
        <v>621.0</v>
      </c>
      <c r="C286" s="226" t="s">
        <v>3201</v>
      </c>
      <c r="D286" s="226" t="s">
        <v>4176</v>
      </c>
      <c r="E286" s="228">
        <v>1.0</v>
      </c>
      <c r="F286" s="249"/>
      <c r="G286" s="250">
        <v>45402.0</v>
      </c>
      <c r="H286" s="250">
        <v>46134.0</v>
      </c>
      <c r="I286" s="228">
        <v>732.0</v>
      </c>
      <c r="K286" s="226" t="s">
        <v>4181</v>
      </c>
      <c r="L286" s="226" t="s">
        <v>210</v>
      </c>
      <c r="M286" s="226" t="s">
        <v>14</v>
      </c>
      <c r="N286" s="226" t="s">
        <v>4190</v>
      </c>
      <c r="O286" s="226" t="s">
        <v>4183</v>
      </c>
      <c r="P286" s="250">
        <v>46106.59635040509</v>
      </c>
    </row>
    <row r="287">
      <c r="A287" s="228">
        <v>286.0</v>
      </c>
      <c r="B287" s="226">
        <v>622.0</v>
      </c>
      <c r="C287" s="226" t="s">
        <v>1085</v>
      </c>
      <c r="D287" s="226" t="s">
        <v>4176</v>
      </c>
      <c r="E287" s="228">
        <v>1.0</v>
      </c>
      <c r="F287" s="249"/>
      <c r="G287" s="250">
        <v>45404.0</v>
      </c>
      <c r="H287" s="250">
        <v>45769.0</v>
      </c>
      <c r="I287" s="228">
        <v>365.0</v>
      </c>
      <c r="K287" s="226" t="s">
        <v>4181</v>
      </c>
      <c r="L287" s="226" t="s">
        <v>2330</v>
      </c>
      <c r="M287" s="226" t="s">
        <v>289</v>
      </c>
      <c r="N287" s="226" t="s">
        <v>4185</v>
      </c>
      <c r="O287" s="226" t="s">
        <v>4183</v>
      </c>
      <c r="P287" s="250">
        <v>46106.59635040509</v>
      </c>
    </row>
    <row r="288">
      <c r="A288" s="228">
        <v>287.0</v>
      </c>
      <c r="B288" s="226">
        <v>620.0</v>
      </c>
      <c r="C288" s="226" t="s">
        <v>2344</v>
      </c>
      <c r="D288" s="226" t="s">
        <v>4176</v>
      </c>
      <c r="E288" s="228">
        <v>1.0</v>
      </c>
      <c r="F288" s="249"/>
      <c r="G288" s="250">
        <v>45404.0</v>
      </c>
      <c r="H288" s="250">
        <v>45587.0</v>
      </c>
      <c r="I288" s="228">
        <v>183.0</v>
      </c>
      <c r="K288" s="226" t="s">
        <v>4181</v>
      </c>
      <c r="L288" s="226" t="s">
        <v>122</v>
      </c>
      <c r="M288" s="226" t="s">
        <v>289</v>
      </c>
      <c r="N288" s="226" t="s">
        <v>4185</v>
      </c>
      <c r="O288" s="226" t="s">
        <v>4183</v>
      </c>
      <c r="P288" s="250">
        <v>46106.59635040509</v>
      </c>
    </row>
    <row r="289">
      <c r="A289" s="228">
        <v>288.0</v>
      </c>
      <c r="B289" s="226">
        <v>623.0</v>
      </c>
      <c r="C289" s="226" t="s">
        <v>1021</v>
      </c>
      <c r="D289" s="226" t="s">
        <v>4188</v>
      </c>
      <c r="E289" s="228">
        <v>1.0</v>
      </c>
      <c r="F289" s="249"/>
      <c r="G289" s="250">
        <v>45405.0</v>
      </c>
      <c r="H289" s="250">
        <v>46135.0</v>
      </c>
      <c r="I289" s="228">
        <v>730.0</v>
      </c>
      <c r="K289" s="226" t="s">
        <v>4181</v>
      </c>
      <c r="L289" s="226" t="s">
        <v>247</v>
      </c>
      <c r="M289" s="226" t="s">
        <v>38</v>
      </c>
      <c r="N289" s="226" t="s">
        <v>4190</v>
      </c>
      <c r="O289" s="226" t="s">
        <v>4183</v>
      </c>
      <c r="P289" s="250">
        <v>46106.59635040509</v>
      </c>
    </row>
    <row r="290">
      <c r="A290" s="228">
        <v>289.0</v>
      </c>
      <c r="B290" s="226">
        <v>624.0</v>
      </c>
      <c r="C290" s="226" t="s">
        <v>3232</v>
      </c>
      <c r="D290" s="226" t="s">
        <v>4176</v>
      </c>
      <c r="E290" s="228">
        <v>1.0</v>
      </c>
      <c r="F290" s="249"/>
      <c r="G290" s="250">
        <v>45407.0</v>
      </c>
      <c r="H290" s="250">
        <v>45772.0</v>
      </c>
      <c r="I290" s="228">
        <v>365.0</v>
      </c>
      <c r="K290" s="226" t="s">
        <v>4181</v>
      </c>
      <c r="L290" s="226" t="s">
        <v>2644</v>
      </c>
      <c r="M290" s="226" t="s">
        <v>2644</v>
      </c>
      <c r="N290" s="226" t="s">
        <v>4185</v>
      </c>
      <c r="O290" s="226" t="s">
        <v>4183</v>
      </c>
      <c r="P290" s="250">
        <v>46106.59635040509</v>
      </c>
    </row>
    <row r="291">
      <c r="A291" s="228">
        <v>290.0</v>
      </c>
      <c r="B291" s="226">
        <v>625.0</v>
      </c>
      <c r="C291" s="226" t="s">
        <v>936</v>
      </c>
      <c r="D291" s="226" t="s">
        <v>4176</v>
      </c>
      <c r="E291" s="228">
        <v>1.0</v>
      </c>
      <c r="F291" s="249"/>
      <c r="G291" s="250">
        <v>45414.0</v>
      </c>
      <c r="H291" s="250">
        <v>46269.0</v>
      </c>
      <c r="I291" s="228">
        <v>855.0</v>
      </c>
      <c r="K291" s="226" t="s">
        <v>4181</v>
      </c>
      <c r="L291" s="226" t="s">
        <v>210</v>
      </c>
      <c r="M291" s="226" t="s">
        <v>14</v>
      </c>
      <c r="N291" s="226" t="s">
        <v>4190</v>
      </c>
      <c r="O291" s="226" t="s">
        <v>4183</v>
      </c>
      <c r="P291" s="250">
        <v>46106.59635040509</v>
      </c>
    </row>
    <row r="292">
      <c r="A292" s="228">
        <v>291.0</v>
      </c>
      <c r="B292" s="226">
        <v>626.0</v>
      </c>
      <c r="C292" s="226" t="s">
        <v>2351</v>
      </c>
      <c r="D292" s="226" t="s">
        <v>4176</v>
      </c>
      <c r="E292" s="228">
        <v>1.0</v>
      </c>
      <c r="F292" s="249"/>
      <c r="G292" s="250">
        <v>45414.0</v>
      </c>
      <c r="H292" s="250">
        <v>45421.0</v>
      </c>
      <c r="I292" s="228">
        <v>7.0</v>
      </c>
      <c r="K292" s="226" t="s">
        <v>4181</v>
      </c>
      <c r="L292" s="226" t="s">
        <v>122</v>
      </c>
      <c r="M292" s="226" t="s">
        <v>175</v>
      </c>
      <c r="N292" s="226" t="s">
        <v>4185</v>
      </c>
      <c r="O292" s="226" t="s">
        <v>4183</v>
      </c>
      <c r="P292" s="250">
        <v>46106.59635040509</v>
      </c>
    </row>
    <row r="293">
      <c r="A293" s="228">
        <v>292.0</v>
      </c>
      <c r="B293" s="226">
        <v>627.0</v>
      </c>
      <c r="C293" s="226" t="s">
        <v>3260</v>
      </c>
      <c r="D293" s="226" t="s">
        <v>4176</v>
      </c>
      <c r="E293" s="228">
        <v>1.0</v>
      </c>
      <c r="F293" s="249"/>
      <c r="G293" s="250">
        <v>45414.0</v>
      </c>
      <c r="H293" s="250">
        <v>46360.0</v>
      </c>
      <c r="I293" s="228">
        <v>946.0</v>
      </c>
      <c r="K293" s="226" t="s">
        <v>4181</v>
      </c>
      <c r="L293" s="226" t="s">
        <v>247</v>
      </c>
      <c r="M293" s="226" t="s">
        <v>123</v>
      </c>
      <c r="N293" s="226" t="s">
        <v>4190</v>
      </c>
      <c r="O293" s="226" t="s">
        <v>4183</v>
      </c>
      <c r="P293" s="250">
        <v>46106.59635040509</v>
      </c>
    </row>
    <row r="294">
      <c r="A294" s="228">
        <v>293.0</v>
      </c>
      <c r="B294" s="226">
        <v>628.0</v>
      </c>
      <c r="C294" s="226" t="s">
        <v>72</v>
      </c>
      <c r="D294" s="226" t="s">
        <v>4176</v>
      </c>
      <c r="E294" s="228">
        <v>1.0</v>
      </c>
      <c r="F294" s="249"/>
      <c r="G294" s="250">
        <v>45415.0</v>
      </c>
      <c r="H294" s="250">
        <v>46228.0</v>
      </c>
      <c r="I294" s="228">
        <v>813.0</v>
      </c>
      <c r="K294" s="226" t="s">
        <v>4181</v>
      </c>
      <c r="L294" s="226" t="s">
        <v>122</v>
      </c>
      <c r="M294" s="226" t="s">
        <v>14</v>
      </c>
      <c r="N294" s="226" t="s">
        <v>4190</v>
      </c>
      <c r="O294" s="226" t="s">
        <v>4183</v>
      </c>
      <c r="P294" s="250">
        <v>46106.59635040509</v>
      </c>
    </row>
    <row r="295">
      <c r="A295" s="228">
        <v>294.0</v>
      </c>
      <c r="B295" s="226">
        <v>349.0</v>
      </c>
      <c r="C295" s="226" t="s">
        <v>1386</v>
      </c>
      <c r="D295" s="226" t="s">
        <v>4176</v>
      </c>
      <c r="E295" s="228">
        <v>1.0</v>
      </c>
      <c r="F295" s="249"/>
      <c r="G295" s="250">
        <v>45418.0</v>
      </c>
      <c r="H295" s="250">
        <v>46155.0</v>
      </c>
      <c r="I295" s="228">
        <v>737.0</v>
      </c>
      <c r="K295" s="226" t="s">
        <v>4181</v>
      </c>
      <c r="L295" s="226" t="s">
        <v>210</v>
      </c>
      <c r="M295" s="226" t="s">
        <v>211</v>
      </c>
      <c r="N295" s="226" t="s">
        <v>4182</v>
      </c>
      <c r="O295" s="226" t="s">
        <v>4183</v>
      </c>
      <c r="P295" s="250">
        <v>46106.59635040509</v>
      </c>
    </row>
    <row r="296">
      <c r="A296" s="228">
        <v>295.0</v>
      </c>
      <c r="B296" s="226">
        <v>629.0</v>
      </c>
      <c r="C296" s="226" t="s">
        <v>779</v>
      </c>
      <c r="D296" s="226" t="s">
        <v>4176</v>
      </c>
      <c r="E296" s="228">
        <v>1.0</v>
      </c>
      <c r="F296" s="249"/>
      <c r="G296" s="250">
        <v>45418.0</v>
      </c>
      <c r="H296" s="250">
        <v>46249.0</v>
      </c>
      <c r="I296" s="228">
        <v>831.0</v>
      </c>
      <c r="K296" s="226" t="s">
        <v>4181</v>
      </c>
      <c r="L296" s="226" t="s">
        <v>211</v>
      </c>
      <c r="M296" s="226" t="s">
        <v>65</v>
      </c>
      <c r="N296" s="226" t="s">
        <v>4190</v>
      </c>
      <c r="O296" s="226" t="s">
        <v>4183</v>
      </c>
      <c r="P296" s="250">
        <v>46106.59635040509</v>
      </c>
    </row>
    <row r="297">
      <c r="A297" s="228">
        <v>296.0</v>
      </c>
      <c r="B297" s="226">
        <v>631.0</v>
      </c>
      <c r="C297" s="226" t="s">
        <v>568</v>
      </c>
      <c r="D297" s="226" t="s">
        <v>4176</v>
      </c>
      <c r="E297" s="228">
        <v>1.0</v>
      </c>
      <c r="F297" s="249"/>
      <c r="G297" s="250">
        <v>45421.0</v>
      </c>
      <c r="H297" s="250">
        <v>46176.0</v>
      </c>
      <c r="I297" s="228">
        <v>755.0</v>
      </c>
      <c r="K297" s="226" t="s">
        <v>4181</v>
      </c>
      <c r="L297" s="226" t="s">
        <v>247</v>
      </c>
      <c r="M297" s="226" t="s">
        <v>123</v>
      </c>
      <c r="N297" s="226" t="s">
        <v>4190</v>
      </c>
      <c r="O297" s="226" t="s">
        <v>4183</v>
      </c>
      <c r="P297" s="250">
        <v>46106.59635040509</v>
      </c>
    </row>
    <row r="298">
      <c r="A298" s="228">
        <v>297.0</v>
      </c>
      <c r="B298" s="226">
        <v>630.0</v>
      </c>
      <c r="C298" s="226" t="s">
        <v>2368</v>
      </c>
      <c r="D298" s="226" t="s">
        <v>4176</v>
      </c>
      <c r="E298" s="228">
        <v>1.0</v>
      </c>
      <c r="F298" s="249"/>
      <c r="G298" s="250">
        <v>45422.0</v>
      </c>
      <c r="H298" s="250">
        <v>46204.0</v>
      </c>
      <c r="I298" s="228">
        <v>782.0</v>
      </c>
      <c r="K298" s="226" t="s">
        <v>4181</v>
      </c>
      <c r="L298" s="226" t="s">
        <v>210</v>
      </c>
      <c r="M298" s="226" t="s">
        <v>14</v>
      </c>
      <c r="N298" s="226" t="s">
        <v>4190</v>
      </c>
      <c r="O298" s="226" t="s">
        <v>4183</v>
      </c>
      <c r="P298" s="250">
        <v>46106.59635040509</v>
      </c>
    </row>
    <row r="299">
      <c r="A299" s="228">
        <v>298.0</v>
      </c>
      <c r="B299" s="226">
        <v>633.0</v>
      </c>
      <c r="C299" s="226" t="s">
        <v>3297</v>
      </c>
      <c r="D299" s="226" t="s">
        <v>4176</v>
      </c>
      <c r="E299" s="228">
        <v>1.0</v>
      </c>
      <c r="F299" s="249"/>
      <c r="G299" s="250">
        <v>45422.0</v>
      </c>
      <c r="H299" s="250">
        <v>45787.0</v>
      </c>
      <c r="I299" s="228">
        <v>365.0</v>
      </c>
      <c r="K299" s="226" t="s">
        <v>4181</v>
      </c>
      <c r="L299" s="226" t="s">
        <v>247</v>
      </c>
      <c r="M299" s="226" t="s">
        <v>289</v>
      </c>
      <c r="N299" s="226" t="s">
        <v>4185</v>
      </c>
      <c r="O299" s="226" t="s">
        <v>4183</v>
      </c>
      <c r="P299" s="250">
        <v>46106.59635040509</v>
      </c>
    </row>
    <row r="300">
      <c r="A300" s="228">
        <v>299.0</v>
      </c>
      <c r="B300" s="226">
        <v>632.0</v>
      </c>
      <c r="C300" s="226" t="s">
        <v>3305</v>
      </c>
      <c r="D300" s="226" t="s">
        <v>4176</v>
      </c>
      <c r="E300" s="228">
        <v>1.0</v>
      </c>
      <c r="F300" s="249"/>
      <c r="G300" s="250">
        <v>45422.0</v>
      </c>
      <c r="H300" s="250">
        <v>46152.0</v>
      </c>
      <c r="I300" s="228">
        <v>730.0</v>
      </c>
      <c r="K300" s="226" t="s">
        <v>4181</v>
      </c>
      <c r="L300" s="226" t="s">
        <v>261</v>
      </c>
      <c r="M300" s="226" t="s">
        <v>65</v>
      </c>
      <c r="N300" s="226" t="s">
        <v>4185</v>
      </c>
      <c r="O300" s="226" t="s">
        <v>4183</v>
      </c>
      <c r="P300" s="250">
        <v>46106.59635040509</v>
      </c>
    </row>
    <row r="301">
      <c r="A301" s="228">
        <v>300.0</v>
      </c>
      <c r="B301" s="226">
        <v>634.0</v>
      </c>
      <c r="C301" s="226" t="s">
        <v>2383</v>
      </c>
      <c r="D301" s="226" t="s">
        <v>4176</v>
      </c>
      <c r="E301" s="228">
        <v>1.0</v>
      </c>
      <c r="F301" s="249"/>
      <c r="G301" s="250">
        <v>45425.0</v>
      </c>
      <c r="H301" s="250">
        <v>45789.0</v>
      </c>
      <c r="I301" s="228">
        <v>364.0</v>
      </c>
      <c r="K301" s="226" t="s">
        <v>4181</v>
      </c>
      <c r="L301" s="226" t="s">
        <v>289</v>
      </c>
      <c r="M301" s="226" t="s">
        <v>2127</v>
      </c>
      <c r="N301" s="226" t="s">
        <v>4185</v>
      </c>
      <c r="O301" s="226" t="s">
        <v>4183</v>
      </c>
      <c r="P301" s="250">
        <v>46106.59635040509</v>
      </c>
    </row>
    <row r="302">
      <c r="A302" s="228">
        <v>301.0</v>
      </c>
      <c r="B302" s="226">
        <v>635.0</v>
      </c>
      <c r="C302" s="226" t="s">
        <v>3315</v>
      </c>
      <c r="D302" s="226" t="s">
        <v>4188</v>
      </c>
      <c r="E302" s="228">
        <v>1.0</v>
      </c>
      <c r="F302" s="249"/>
      <c r="G302" s="250">
        <v>45425.0</v>
      </c>
      <c r="H302" s="250">
        <v>45688.0</v>
      </c>
      <c r="I302" s="228">
        <v>263.0</v>
      </c>
      <c r="K302" s="226" t="s">
        <v>4181</v>
      </c>
      <c r="L302" s="226" t="s">
        <v>247</v>
      </c>
      <c r="M302" s="226" t="s">
        <v>289</v>
      </c>
      <c r="N302" s="226" t="s">
        <v>4185</v>
      </c>
      <c r="O302" s="226" t="s">
        <v>4183</v>
      </c>
      <c r="P302" s="250">
        <v>46106.59635040509</v>
      </c>
    </row>
    <row r="303">
      <c r="A303" s="228">
        <v>302.0</v>
      </c>
      <c r="B303" s="226">
        <v>636.0</v>
      </c>
      <c r="C303" s="226" t="s">
        <v>2391</v>
      </c>
      <c r="D303" s="226" t="s">
        <v>4188</v>
      </c>
      <c r="E303" s="228">
        <v>1.0</v>
      </c>
      <c r="F303" s="249"/>
      <c r="G303" s="250">
        <v>45427.0</v>
      </c>
      <c r="H303" s="250">
        <v>45792.0</v>
      </c>
      <c r="I303" s="228">
        <v>365.0</v>
      </c>
      <c r="K303" s="226" t="s">
        <v>4181</v>
      </c>
      <c r="L303" s="226" t="s">
        <v>162</v>
      </c>
      <c r="M303" s="226" t="s">
        <v>289</v>
      </c>
      <c r="N303" s="226" t="s">
        <v>4185</v>
      </c>
      <c r="O303" s="226" t="s">
        <v>4183</v>
      </c>
      <c r="P303" s="250">
        <v>46106.59635040509</v>
      </c>
    </row>
    <row r="304">
      <c r="A304" s="228">
        <v>303.0</v>
      </c>
      <c r="B304" s="226">
        <v>637.0</v>
      </c>
      <c r="C304" s="226" t="s">
        <v>3323</v>
      </c>
      <c r="D304" s="226" t="s">
        <v>4176</v>
      </c>
      <c r="E304" s="228">
        <v>1.0</v>
      </c>
      <c r="F304" s="249"/>
      <c r="G304" s="250">
        <v>45428.0</v>
      </c>
      <c r="H304" s="250">
        <v>46457.0</v>
      </c>
      <c r="I304" s="228">
        <v>1029.0</v>
      </c>
      <c r="K304" s="226" t="s">
        <v>4181</v>
      </c>
      <c r="L304" s="226" t="s">
        <v>261</v>
      </c>
      <c r="M304" s="226" t="s">
        <v>14</v>
      </c>
      <c r="N304" s="226" t="s">
        <v>4182</v>
      </c>
      <c r="O304" s="226" t="s">
        <v>4183</v>
      </c>
      <c r="P304" s="250">
        <v>46106.59635040509</v>
      </c>
    </row>
    <row r="305">
      <c r="A305" s="228">
        <v>304.0</v>
      </c>
      <c r="B305" s="226">
        <v>639.0</v>
      </c>
      <c r="C305" s="226" t="s">
        <v>2398</v>
      </c>
      <c r="D305" s="226" t="s">
        <v>4176</v>
      </c>
      <c r="E305" s="228">
        <v>1.0</v>
      </c>
      <c r="F305" s="249"/>
      <c r="G305" s="250">
        <v>45429.0</v>
      </c>
      <c r="H305" s="250">
        <v>45432.0</v>
      </c>
      <c r="I305" s="228">
        <v>3.0</v>
      </c>
      <c r="K305" s="226" t="s">
        <v>4181</v>
      </c>
      <c r="L305" s="226" t="s">
        <v>311</v>
      </c>
      <c r="M305" s="226" t="s">
        <v>175</v>
      </c>
      <c r="N305" s="226" t="s">
        <v>4185</v>
      </c>
      <c r="O305" s="226" t="s">
        <v>4183</v>
      </c>
      <c r="P305" s="250">
        <v>46106.59635040509</v>
      </c>
    </row>
    <row r="306">
      <c r="A306" s="228">
        <v>305.0</v>
      </c>
      <c r="B306" s="226">
        <v>640.0</v>
      </c>
      <c r="C306" s="226" t="s">
        <v>2533</v>
      </c>
      <c r="D306" s="226" t="s">
        <v>4176</v>
      </c>
      <c r="E306" s="228">
        <v>1.0</v>
      </c>
      <c r="F306" s="249"/>
      <c r="G306" s="250">
        <v>45429.0</v>
      </c>
      <c r="H306" s="250">
        <v>45905.0</v>
      </c>
      <c r="I306" s="228">
        <v>476.0</v>
      </c>
      <c r="K306" s="226" t="s">
        <v>4181</v>
      </c>
      <c r="L306" s="226" t="s">
        <v>122</v>
      </c>
      <c r="M306" s="226" t="s">
        <v>261</v>
      </c>
      <c r="N306" s="226" t="s">
        <v>4190</v>
      </c>
      <c r="O306" s="226" t="s">
        <v>4183</v>
      </c>
      <c r="P306" s="250">
        <v>46106.59635040509</v>
      </c>
    </row>
    <row r="307">
      <c r="A307" s="228">
        <v>306.0</v>
      </c>
      <c r="B307" s="226">
        <v>638.0</v>
      </c>
      <c r="C307" s="226" t="s">
        <v>634</v>
      </c>
      <c r="D307" s="226" t="s">
        <v>4188</v>
      </c>
      <c r="E307" s="228">
        <v>1.0</v>
      </c>
      <c r="F307" s="249"/>
      <c r="G307" s="250">
        <v>45429.0</v>
      </c>
      <c r="H307" s="250">
        <v>45794.0</v>
      </c>
      <c r="I307" s="228">
        <v>365.0</v>
      </c>
      <c r="K307" s="226" t="s">
        <v>4181</v>
      </c>
      <c r="L307" s="226" t="s">
        <v>247</v>
      </c>
      <c r="M307" s="226" t="s">
        <v>289</v>
      </c>
      <c r="N307" s="226" t="s">
        <v>4185</v>
      </c>
      <c r="O307" s="226" t="s">
        <v>4183</v>
      </c>
      <c r="P307" s="250">
        <v>46106.59635040509</v>
      </c>
    </row>
    <row r="308">
      <c r="A308" s="228">
        <v>307.0</v>
      </c>
      <c r="B308" s="226">
        <v>641.0</v>
      </c>
      <c r="C308" s="226" t="s">
        <v>1018</v>
      </c>
      <c r="D308" s="226" t="s">
        <v>4176</v>
      </c>
      <c r="E308" s="228">
        <v>1.0</v>
      </c>
      <c r="F308" s="249"/>
      <c r="G308" s="250">
        <v>45432.0</v>
      </c>
      <c r="H308" s="250">
        <v>46162.0</v>
      </c>
      <c r="I308" s="228">
        <v>730.0</v>
      </c>
      <c r="K308" s="226" t="s">
        <v>4181</v>
      </c>
      <c r="L308" s="226" t="s">
        <v>211</v>
      </c>
      <c r="M308" s="226" t="s">
        <v>123</v>
      </c>
      <c r="N308" s="226" t="s">
        <v>4190</v>
      </c>
      <c r="O308" s="226" t="s">
        <v>4183</v>
      </c>
      <c r="P308" s="250">
        <v>46106.59635040509</v>
      </c>
    </row>
    <row r="309">
      <c r="A309" s="228">
        <v>308.0</v>
      </c>
      <c r="B309" s="226">
        <v>642.0</v>
      </c>
      <c r="C309" s="226" t="s">
        <v>297</v>
      </c>
      <c r="D309" s="226" t="s">
        <v>4176</v>
      </c>
      <c r="E309" s="228">
        <v>1.0</v>
      </c>
      <c r="F309" s="249"/>
      <c r="G309" s="250">
        <v>45433.0</v>
      </c>
      <c r="H309" s="250">
        <v>46194.0</v>
      </c>
      <c r="I309" s="228">
        <v>761.0</v>
      </c>
      <c r="K309" s="226" t="s">
        <v>4181</v>
      </c>
      <c r="L309" s="226" t="s">
        <v>211</v>
      </c>
      <c r="M309" s="226" t="s">
        <v>38</v>
      </c>
      <c r="N309" s="226" t="s">
        <v>4184</v>
      </c>
      <c r="O309" s="226" t="s">
        <v>4183</v>
      </c>
      <c r="P309" s="250">
        <v>46106.59635040509</v>
      </c>
    </row>
    <row r="310">
      <c r="A310" s="228">
        <v>309.0</v>
      </c>
      <c r="B310" s="226">
        <v>402.0</v>
      </c>
      <c r="C310" s="226" t="s">
        <v>1042</v>
      </c>
      <c r="D310" s="226" t="s">
        <v>4176</v>
      </c>
      <c r="E310" s="228">
        <v>1.0</v>
      </c>
      <c r="F310" s="249"/>
      <c r="G310" s="250">
        <v>45433.0</v>
      </c>
      <c r="H310" s="250">
        <v>45798.0</v>
      </c>
      <c r="I310" s="228">
        <v>365.0</v>
      </c>
      <c r="K310" s="226" t="s">
        <v>4181</v>
      </c>
      <c r="L310" s="226" t="s">
        <v>311</v>
      </c>
      <c r="M310" s="226" t="s">
        <v>65</v>
      </c>
      <c r="N310" s="226" t="s">
        <v>4190</v>
      </c>
      <c r="O310" s="226" t="s">
        <v>4183</v>
      </c>
      <c r="P310" s="250">
        <v>46106.59635040509</v>
      </c>
    </row>
    <row r="311">
      <c r="A311" s="228">
        <v>310.0</v>
      </c>
      <c r="B311" s="226">
        <v>643.0</v>
      </c>
      <c r="C311" s="226" t="s">
        <v>3370</v>
      </c>
      <c r="D311" s="226" t="s">
        <v>4176</v>
      </c>
      <c r="E311" s="228">
        <v>1.0</v>
      </c>
      <c r="F311" s="249"/>
      <c r="G311" s="250">
        <v>45434.0</v>
      </c>
      <c r="H311" s="250">
        <v>45799.0</v>
      </c>
      <c r="I311" s="228">
        <v>365.0</v>
      </c>
      <c r="K311" s="226" t="s">
        <v>4181</v>
      </c>
      <c r="L311" s="226" t="s">
        <v>2644</v>
      </c>
      <c r="M311" s="226" t="s">
        <v>2644</v>
      </c>
      <c r="N311" s="226" t="s">
        <v>4185</v>
      </c>
      <c r="O311" s="226" t="s">
        <v>4183</v>
      </c>
      <c r="P311" s="250">
        <v>46106.59635040509</v>
      </c>
    </row>
    <row r="312">
      <c r="A312" s="228">
        <v>311.0</v>
      </c>
      <c r="B312" s="226">
        <v>644.0</v>
      </c>
      <c r="C312" s="226" t="s">
        <v>207</v>
      </c>
      <c r="D312" s="226" t="s">
        <v>4176</v>
      </c>
      <c r="E312" s="228">
        <v>1.0</v>
      </c>
      <c r="F312" s="249"/>
      <c r="G312" s="250">
        <v>45436.0</v>
      </c>
      <c r="H312" s="250">
        <v>46190.0</v>
      </c>
      <c r="I312" s="228">
        <v>754.0</v>
      </c>
      <c r="K312" s="226" t="s">
        <v>4181</v>
      </c>
      <c r="L312" s="226" t="s">
        <v>210</v>
      </c>
      <c r="M312" s="226" t="s">
        <v>123</v>
      </c>
      <c r="N312" s="226" t="s">
        <v>4190</v>
      </c>
      <c r="O312" s="226" t="s">
        <v>4183</v>
      </c>
      <c r="P312" s="250">
        <v>46106.59635040509</v>
      </c>
    </row>
    <row r="313">
      <c r="A313" s="228">
        <v>312.0</v>
      </c>
      <c r="B313" s="226">
        <v>645.0</v>
      </c>
      <c r="C313" s="226" t="s">
        <v>2422</v>
      </c>
      <c r="D313" s="226" t="s">
        <v>4176</v>
      </c>
      <c r="E313" s="228">
        <v>1.0</v>
      </c>
      <c r="F313" s="249"/>
      <c r="G313" s="250">
        <v>45439.0</v>
      </c>
      <c r="H313" s="250">
        <v>45624.0</v>
      </c>
      <c r="I313" s="228">
        <v>185.0</v>
      </c>
      <c r="K313" s="226" t="s">
        <v>4181</v>
      </c>
      <c r="L313" s="226" t="s">
        <v>162</v>
      </c>
      <c r="M313" s="226" t="s">
        <v>289</v>
      </c>
      <c r="N313" s="226" t="s">
        <v>4185</v>
      </c>
      <c r="O313" s="226" t="s">
        <v>4183</v>
      </c>
      <c r="P313" s="250">
        <v>46106.59635040509</v>
      </c>
    </row>
    <row r="314">
      <c r="A314" s="228">
        <v>313.0</v>
      </c>
      <c r="B314" s="226">
        <v>647.0</v>
      </c>
      <c r="C314" s="226" t="s">
        <v>2431</v>
      </c>
      <c r="D314" s="226" t="s">
        <v>4176</v>
      </c>
      <c r="E314" s="228">
        <v>1.0</v>
      </c>
      <c r="F314" s="249"/>
      <c r="G314" s="250">
        <v>45440.0</v>
      </c>
      <c r="H314" s="250">
        <v>45473.0</v>
      </c>
      <c r="I314" s="228">
        <v>33.0</v>
      </c>
      <c r="K314" s="226" t="s">
        <v>4181</v>
      </c>
      <c r="L314" s="226" t="s">
        <v>2330</v>
      </c>
      <c r="M314" s="226" t="s">
        <v>175</v>
      </c>
      <c r="N314" s="226" t="s">
        <v>4185</v>
      </c>
      <c r="O314" s="226" t="s">
        <v>4183</v>
      </c>
      <c r="P314" s="250">
        <v>46106.59635040509</v>
      </c>
    </row>
    <row r="315">
      <c r="A315" s="228">
        <v>314.0</v>
      </c>
      <c r="B315" s="226">
        <v>651.0</v>
      </c>
      <c r="C315" s="226" t="s">
        <v>1015</v>
      </c>
      <c r="D315" s="226" t="s">
        <v>4176</v>
      </c>
      <c r="E315" s="228">
        <v>1.0</v>
      </c>
      <c r="F315" s="249"/>
      <c r="G315" s="250">
        <v>45440.0</v>
      </c>
      <c r="H315" s="250">
        <v>46203.0</v>
      </c>
      <c r="I315" s="228">
        <v>763.0</v>
      </c>
      <c r="K315" s="226" t="s">
        <v>4181</v>
      </c>
      <c r="L315" s="226" t="s">
        <v>210</v>
      </c>
      <c r="M315" s="226" t="s">
        <v>123</v>
      </c>
      <c r="N315" s="226" t="s">
        <v>4190</v>
      </c>
      <c r="O315" s="226" t="s">
        <v>4183</v>
      </c>
      <c r="P315" s="250">
        <v>46106.59635040509</v>
      </c>
    </row>
    <row r="316">
      <c r="A316" s="228">
        <v>315.0</v>
      </c>
      <c r="B316" s="226">
        <v>646.0</v>
      </c>
      <c r="C316" s="226" t="s">
        <v>3429</v>
      </c>
      <c r="D316" s="226" t="s">
        <v>4176</v>
      </c>
      <c r="E316" s="228">
        <v>1.0</v>
      </c>
      <c r="F316" s="249"/>
      <c r="G316" s="250">
        <v>45440.0</v>
      </c>
      <c r="H316" s="250">
        <v>45813.0</v>
      </c>
      <c r="I316" s="228">
        <v>373.0</v>
      </c>
      <c r="K316" s="226" t="s">
        <v>4181</v>
      </c>
      <c r="L316" s="226" t="s">
        <v>122</v>
      </c>
      <c r="M316" s="226" t="s">
        <v>261</v>
      </c>
      <c r="N316" s="226" t="s">
        <v>4185</v>
      </c>
      <c r="O316" s="226" t="s">
        <v>4183</v>
      </c>
      <c r="P316" s="250">
        <v>46106.59635040509</v>
      </c>
    </row>
    <row r="317">
      <c r="A317" s="228">
        <v>316.0</v>
      </c>
      <c r="B317" s="226">
        <v>648.0</v>
      </c>
      <c r="C317" s="226" t="s">
        <v>3449</v>
      </c>
      <c r="D317" s="226" t="s">
        <v>4176</v>
      </c>
      <c r="E317" s="228">
        <v>1.0</v>
      </c>
      <c r="F317" s="249"/>
      <c r="G317" s="250">
        <v>45441.0</v>
      </c>
      <c r="H317" s="250">
        <v>45472.0</v>
      </c>
      <c r="I317" s="228">
        <v>31.0</v>
      </c>
      <c r="K317" s="226" t="s">
        <v>4181</v>
      </c>
      <c r="L317" s="226" t="s">
        <v>175</v>
      </c>
      <c r="M317" s="226" t="s">
        <v>175</v>
      </c>
      <c r="N317" s="226" t="s">
        <v>4185</v>
      </c>
      <c r="O317" s="226" t="s">
        <v>4183</v>
      </c>
      <c r="P317" s="250">
        <v>46106.59635040509</v>
      </c>
    </row>
    <row r="318">
      <c r="A318" s="228">
        <v>317.0</v>
      </c>
      <c r="B318" s="226">
        <v>649.0</v>
      </c>
      <c r="C318" s="226" t="s">
        <v>3472</v>
      </c>
      <c r="D318" s="226" t="s">
        <v>4176</v>
      </c>
      <c r="E318" s="228">
        <v>1.0</v>
      </c>
      <c r="F318" s="249"/>
      <c r="G318" s="250">
        <v>45442.0</v>
      </c>
      <c r="H318" s="250">
        <v>45807.0</v>
      </c>
      <c r="I318" s="228">
        <v>365.0</v>
      </c>
      <c r="K318" s="226" t="s">
        <v>4181</v>
      </c>
      <c r="L318" s="226" t="s">
        <v>247</v>
      </c>
      <c r="M318" s="226" t="s">
        <v>14</v>
      </c>
      <c r="N318" s="226" t="s">
        <v>4185</v>
      </c>
      <c r="O318" s="226" t="s">
        <v>4183</v>
      </c>
      <c r="P318" s="250">
        <v>46106.59635040509</v>
      </c>
    </row>
    <row r="319">
      <c r="A319" s="228">
        <v>318.0</v>
      </c>
      <c r="B319" s="226">
        <v>650.0</v>
      </c>
      <c r="C319" s="226" t="s">
        <v>2438</v>
      </c>
      <c r="D319" s="226" t="s">
        <v>4176</v>
      </c>
      <c r="E319" s="228">
        <v>1.0</v>
      </c>
      <c r="F319" s="249"/>
      <c r="G319" s="250">
        <v>45447.0</v>
      </c>
      <c r="H319" s="250">
        <v>46177.0</v>
      </c>
      <c r="I319" s="228">
        <v>730.0</v>
      </c>
      <c r="K319" s="226" t="s">
        <v>4181</v>
      </c>
      <c r="L319" s="226" t="s">
        <v>261</v>
      </c>
      <c r="N319" s="226" t="s">
        <v>4190</v>
      </c>
      <c r="O319" s="226" t="s">
        <v>4183</v>
      </c>
      <c r="P319" s="250">
        <v>46106.59635040509</v>
      </c>
    </row>
    <row r="320">
      <c r="A320" s="228">
        <v>319.0</v>
      </c>
      <c r="B320" s="226">
        <v>652.0</v>
      </c>
      <c r="C320" s="226" t="s">
        <v>2456</v>
      </c>
      <c r="D320" s="226" t="s">
        <v>4176</v>
      </c>
      <c r="E320" s="228">
        <v>1.0</v>
      </c>
      <c r="F320" s="249"/>
      <c r="G320" s="250">
        <v>45449.0</v>
      </c>
      <c r="H320" s="250">
        <v>45510.0</v>
      </c>
      <c r="I320" s="228">
        <v>61.0</v>
      </c>
      <c r="K320" s="226" t="s">
        <v>4181</v>
      </c>
      <c r="L320" s="226" t="s">
        <v>259</v>
      </c>
      <c r="M320" s="226" t="s">
        <v>289</v>
      </c>
      <c r="N320" s="226" t="s">
        <v>4185</v>
      </c>
      <c r="O320" s="226" t="s">
        <v>4183</v>
      </c>
      <c r="P320" s="250">
        <v>46106.59635040509</v>
      </c>
    </row>
    <row r="321">
      <c r="A321" s="228">
        <v>320.0</v>
      </c>
      <c r="B321" s="226">
        <v>654.0</v>
      </c>
      <c r="C321" s="226" t="s">
        <v>3537</v>
      </c>
      <c r="D321" s="226" t="s">
        <v>4176</v>
      </c>
      <c r="E321" s="228">
        <v>1.0</v>
      </c>
      <c r="F321" s="249"/>
      <c r="G321" s="250">
        <v>45450.0</v>
      </c>
      <c r="H321" s="250">
        <v>45815.0</v>
      </c>
      <c r="I321" s="228">
        <v>365.0</v>
      </c>
      <c r="K321" s="226" t="s">
        <v>4181</v>
      </c>
      <c r="L321" s="226" t="s">
        <v>247</v>
      </c>
      <c r="M321" s="226" t="s">
        <v>261</v>
      </c>
      <c r="N321" s="226" t="s">
        <v>4185</v>
      </c>
      <c r="O321" s="226" t="s">
        <v>4183</v>
      </c>
      <c r="P321" s="250">
        <v>46106.59635040509</v>
      </c>
    </row>
    <row r="322">
      <c r="A322" s="228">
        <v>321.0</v>
      </c>
      <c r="B322" s="226">
        <v>655.0</v>
      </c>
      <c r="C322" s="226" t="s">
        <v>3449</v>
      </c>
      <c r="D322" s="226" t="s">
        <v>4176</v>
      </c>
      <c r="E322" s="228">
        <v>1.0</v>
      </c>
      <c r="F322" s="249"/>
      <c r="G322" s="250">
        <v>45453.0</v>
      </c>
      <c r="H322" s="250">
        <v>46380.0</v>
      </c>
      <c r="I322" s="228">
        <v>927.0</v>
      </c>
      <c r="K322" s="226" t="s">
        <v>4181</v>
      </c>
      <c r="L322" s="226" t="s">
        <v>247</v>
      </c>
      <c r="M322" s="226" t="s">
        <v>211</v>
      </c>
      <c r="N322" s="226" t="s">
        <v>4184</v>
      </c>
      <c r="O322" s="226" t="s">
        <v>4183</v>
      </c>
      <c r="P322" s="250">
        <v>46106.59635040509</v>
      </c>
    </row>
    <row r="323">
      <c r="A323" s="228">
        <v>322.0</v>
      </c>
      <c r="B323" s="226">
        <v>656.0</v>
      </c>
      <c r="C323" s="226" t="s">
        <v>2464</v>
      </c>
      <c r="D323" s="226" t="s">
        <v>4176</v>
      </c>
      <c r="E323" s="228">
        <v>1.0</v>
      </c>
      <c r="F323" s="249"/>
      <c r="G323" s="250">
        <v>45454.0</v>
      </c>
      <c r="H323" s="250">
        <v>45657.0</v>
      </c>
      <c r="I323" s="228">
        <v>203.0</v>
      </c>
      <c r="K323" s="226" t="s">
        <v>4181</v>
      </c>
      <c r="L323" s="226" t="s">
        <v>2330</v>
      </c>
      <c r="M323" s="226" t="s">
        <v>289</v>
      </c>
      <c r="N323" s="226" t="s">
        <v>4185</v>
      </c>
      <c r="O323" s="226" t="s">
        <v>4183</v>
      </c>
      <c r="P323" s="250">
        <v>46106.59635040509</v>
      </c>
    </row>
    <row r="324">
      <c r="A324" s="228">
        <v>323.0</v>
      </c>
      <c r="B324" s="226">
        <v>674.0</v>
      </c>
      <c r="C324" s="226" t="s">
        <v>47</v>
      </c>
      <c r="D324" s="226" t="s">
        <v>4176</v>
      </c>
      <c r="E324" s="228">
        <v>1.0</v>
      </c>
      <c r="F324" s="249"/>
      <c r="G324" s="250">
        <v>45454.0</v>
      </c>
      <c r="H324" s="250">
        <v>46184.0</v>
      </c>
      <c r="I324" s="228">
        <v>730.0</v>
      </c>
      <c r="K324" s="226" t="s">
        <v>4181</v>
      </c>
      <c r="L324" s="226" t="s">
        <v>210</v>
      </c>
      <c r="M324" s="226" t="s">
        <v>14</v>
      </c>
      <c r="N324" s="226" t="s">
        <v>4185</v>
      </c>
      <c r="O324" s="226" t="s">
        <v>4183</v>
      </c>
      <c r="P324" s="250">
        <v>46106.59635040509</v>
      </c>
    </row>
    <row r="325">
      <c r="A325" s="228">
        <v>324.0</v>
      </c>
      <c r="B325" s="226">
        <v>657.0</v>
      </c>
      <c r="C325" s="226" t="s">
        <v>3591</v>
      </c>
      <c r="D325" s="226" t="s">
        <v>4176</v>
      </c>
      <c r="E325" s="228">
        <v>1.0</v>
      </c>
      <c r="F325" s="249"/>
      <c r="G325" s="250">
        <v>45455.0</v>
      </c>
      <c r="H325" s="250">
        <v>46184.0</v>
      </c>
      <c r="I325" s="228">
        <v>729.0</v>
      </c>
      <c r="K325" s="226" t="s">
        <v>4181</v>
      </c>
      <c r="L325" s="226" t="s">
        <v>261</v>
      </c>
      <c r="N325" s="226" t="s">
        <v>4190</v>
      </c>
      <c r="O325" s="226" t="s">
        <v>4183</v>
      </c>
      <c r="P325" s="250">
        <v>46106.59635040509</v>
      </c>
    </row>
    <row r="326">
      <c r="A326" s="228">
        <v>325.0</v>
      </c>
      <c r="B326" s="226">
        <v>659.0</v>
      </c>
      <c r="C326" s="226" t="s">
        <v>2478</v>
      </c>
      <c r="D326" s="226" t="s">
        <v>4176</v>
      </c>
      <c r="E326" s="228">
        <v>1.0</v>
      </c>
      <c r="F326" s="249"/>
      <c r="G326" s="250">
        <v>45456.0</v>
      </c>
      <c r="H326" s="250">
        <v>45465.0</v>
      </c>
      <c r="I326" s="228">
        <v>9.0</v>
      </c>
      <c r="K326" s="226" t="s">
        <v>4181</v>
      </c>
      <c r="L326" s="226" t="s">
        <v>259</v>
      </c>
      <c r="M326" s="226" t="s">
        <v>65</v>
      </c>
      <c r="N326" s="226" t="s">
        <v>4185</v>
      </c>
      <c r="O326" s="226" t="s">
        <v>4183</v>
      </c>
      <c r="P326" s="250">
        <v>46106.59635040509</v>
      </c>
    </row>
    <row r="327">
      <c r="A327" s="228">
        <v>326.0</v>
      </c>
      <c r="B327" s="226">
        <v>658.0</v>
      </c>
      <c r="C327" s="226" t="s">
        <v>985</v>
      </c>
      <c r="D327" s="226" t="s">
        <v>4176</v>
      </c>
      <c r="E327" s="228">
        <v>1.0</v>
      </c>
      <c r="F327" s="249"/>
      <c r="G327" s="250">
        <v>45456.0</v>
      </c>
      <c r="H327" s="250">
        <v>46213.0</v>
      </c>
      <c r="I327" s="228">
        <v>757.0</v>
      </c>
      <c r="K327" s="226" t="s">
        <v>4181</v>
      </c>
      <c r="L327" s="226" t="s">
        <v>247</v>
      </c>
      <c r="M327" s="226" t="s">
        <v>123</v>
      </c>
      <c r="N327" s="226" t="s">
        <v>4190</v>
      </c>
      <c r="O327" s="226" t="s">
        <v>4183</v>
      </c>
      <c r="P327" s="250">
        <v>46106.59635040509</v>
      </c>
    </row>
    <row r="328">
      <c r="A328" s="228">
        <v>327.0</v>
      </c>
      <c r="B328" s="226">
        <v>660.0</v>
      </c>
      <c r="C328" s="226" t="s">
        <v>841</v>
      </c>
      <c r="D328" s="226" t="s">
        <v>4176</v>
      </c>
      <c r="E328" s="228">
        <v>1.0</v>
      </c>
      <c r="F328" s="249"/>
      <c r="G328" s="250">
        <v>45457.0</v>
      </c>
      <c r="H328" s="250">
        <v>46187.0</v>
      </c>
      <c r="I328" s="228">
        <v>730.0</v>
      </c>
      <c r="K328" s="226" t="s">
        <v>4181</v>
      </c>
      <c r="L328" s="226" t="s">
        <v>247</v>
      </c>
      <c r="M328" s="226" t="s">
        <v>123</v>
      </c>
      <c r="N328" s="226" t="s">
        <v>4190</v>
      </c>
      <c r="O328" s="226" t="s">
        <v>4183</v>
      </c>
      <c r="P328" s="250">
        <v>46106.59635040509</v>
      </c>
    </row>
    <row r="329">
      <c r="A329" s="228">
        <v>328.0</v>
      </c>
      <c r="B329" s="226">
        <v>661.0</v>
      </c>
      <c r="C329" s="226" t="s">
        <v>2558</v>
      </c>
      <c r="D329" s="226" t="s">
        <v>4176</v>
      </c>
      <c r="E329" s="228">
        <v>1.0</v>
      </c>
      <c r="F329" s="249"/>
      <c r="G329" s="250">
        <v>45460.0</v>
      </c>
      <c r="H329" s="250">
        <v>45826.0</v>
      </c>
      <c r="I329" s="228">
        <v>366.0</v>
      </c>
      <c r="K329" s="226" t="s">
        <v>4181</v>
      </c>
      <c r="L329" s="226" t="s">
        <v>122</v>
      </c>
      <c r="M329" s="226" t="s">
        <v>14</v>
      </c>
      <c r="N329" s="226" t="s">
        <v>4185</v>
      </c>
      <c r="O329" s="226" t="s">
        <v>4183</v>
      </c>
      <c r="P329" s="250">
        <v>46106.59635040509</v>
      </c>
    </row>
    <row r="330">
      <c r="A330" s="228">
        <v>329.0</v>
      </c>
      <c r="B330" s="226">
        <v>662.0</v>
      </c>
      <c r="C330" s="226" t="s">
        <v>3663</v>
      </c>
      <c r="D330" s="226" t="s">
        <v>4188</v>
      </c>
      <c r="E330" s="228">
        <v>1.0</v>
      </c>
      <c r="F330" s="249"/>
      <c r="G330" s="250">
        <v>45461.0</v>
      </c>
      <c r="H330" s="250">
        <v>45826.0</v>
      </c>
      <c r="I330" s="228">
        <v>365.0</v>
      </c>
      <c r="K330" s="226" t="s">
        <v>4181</v>
      </c>
      <c r="L330" s="226" t="s">
        <v>2644</v>
      </c>
      <c r="M330" s="226" t="s">
        <v>2644</v>
      </c>
      <c r="N330" s="226" t="s">
        <v>4185</v>
      </c>
      <c r="O330" s="226" t="s">
        <v>4183</v>
      </c>
      <c r="P330" s="250">
        <v>46106.59635040509</v>
      </c>
    </row>
    <row r="331">
      <c r="A331" s="228">
        <v>330.0</v>
      </c>
      <c r="B331" s="226">
        <v>663.0</v>
      </c>
      <c r="C331" s="226" t="s">
        <v>2492</v>
      </c>
      <c r="D331" s="226" t="s">
        <v>4176</v>
      </c>
      <c r="E331" s="228">
        <v>1.0</v>
      </c>
      <c r="F331" s="249"/>
      <c r="G331" s="250">
        <v>45467.0</v>
      </c>
      <c r="H331" s="250">
        <v>45818.0</v>
      </c>
      <c r="I331" s="228">
        <v>351.0</v>
      </c>
      <c r="K331" s="226" t="s">
        <v>4181</v>
      </c>
      <c r="L331" s="226" t="s">
        <v>210</v>
      </c>
      <c r="M331" s="226" t="s">
        <v>14</v>
      </c>
      <c r="N331" s="226" t="s">
        <v>4185</v>
      </c>
      <c r="O331" s="226" t="s">
        <v>4183</v>
      </c>
      <c r="P331" s="250">
        <v>46106.59635040509</v>
      </c>
    </row>
    <row r="332">
      <c r="A332" s="228">
        <v>331.0</v>
      </c>
      <c r="B332" s="226">
        <v>665.0</v>
      </c>
      <c r="C332" s="226" t="s">
        <v>3690</v>
      </c>
      <c r="D332" s="226" t="s">
        <v>4176</v>
      </c>
      <c r="E332" s="228">
        <v>1.0</v>
      </c>
      <c r="F332" s="249"/>
      <c r="G332" s="250">
        <v>45468.0</v>
      </c>
      <c r="H332" s="250">
        <v>45833.0</v>
      </c>
      <c r="I332" s="228">
        <v>365.0</v>
      </c>
      <c r="K332" s="226" t="s">
        <v>4181</v>
      </c>
      <c r="L332" s="226" t="s">
        <v>122</v>
      </c>
      <c r="M332" s="226" t="s">
        <v>2127</v>
      </c>
      <c r="N332" s="226" t="s">
        <v>4185</v>
      </c>
      <c r="O332" s="226" t="s">
        <v>4183</v>
      </c>
      <c r="P332" s="250">
        <v>46106.59635040509</v>
      </c>
    </row>
    <row r="333">
      <c r="A333" s="228">
        <v>332.0</v>
      </c>
      <c r="B333" s="226">
        <v>664.0</v>
      </c>
      <c r="C333" s="226" t="s">
        <v>3703</v>
      </c>
      <c r="D333" s="226" t="s">
        <v>4176</v>
      </c>
      <c r="E333" s="228">
        <v>1.0</v>
      </c>
      <c r="F333" s="249"/>
      <c r="G333" s="250">
        <v>45468.0</v>
      </c>
      <c r="H333" s="250">
        <v>46112.0</v>
      </c>
      <c r="I333" s="228">
        <v>644.0</v>
      </c>
      <c r="K333" s="226" t="s">
        <v>4181</v>
      </c>
      <c r="L333" s="226" t="s">
        <v>211</v>
      </c>
      <c r="M333" s="226" t="s">
        <v>123</v>
      </c>
      <c r="N333" s="226" t="s">
        <v>4190</v>
      </c>
      <c r="O333" s="226" t="s">
        <v>4183</v>
      </c>
      <c r="P333" s="250">
        <v>46106.59635040509</v>
      </c>
    </row>
    <row r="334">
      <c r="A334" s="228">
        <v>333.0</v>
      </c>
      <c r="B334" s="226">
        <v>666.0</v>
      </c>
      <c r="C334" s="226" t="s">
        <v>2498</v>
      </c>
      <c r="D334" s="226" t="s">
        <v>4176</v>
      </c>
      <c r="E334" s="228">
        <v>1.0</v>
      </c>
      <c r="F334" s="249"/>
      <c r="G334" s="250">
        <v>45468.0</v>
      </c>
      <c r="H334" s="250">
        <v>45478.0</v>
      </c>
      <c r="I334" s="228">
        <v>10.0</v>
      </c>
      <c r="K334" s="226" t="s">
        <v>4181</v>
      </c>
      <c r="L334" s="226" t="s">
        <v>210</v>
      </c>
      <c r="M334" s="226" t="s">
        <v>175</v>
      </c>
      <c r="N334" s="226" t="s">
        <v>4185</v>
      </c>
      <c r="O334" s="226" t="s">
        <v>4183</v>
      </c>
      <c r="P334" s="250">
        <v>46106.59635040509</v>
      </c>
    </row>
    <row r="335">
      <c r="A335" s="228">
        <v>334.0</v>
      </c>
      <c r="B335" s="226">
        <v>667.0</v>
      </c>
      <c r="C335" s="226" t="s">
        <v>97</v>
      </c>
      <c r="D335" s="226" t="s">
        <v>4176</v>
      </c>
      <c r="E335" s="228">
        <v>1.0</v>
      </c>
      <c r="F335" s="249"/>
      <c r="G335" s="250">
        <v>45469.0</v>
      </c>
      <c r="H335" s="250">
        <v>46133.0</v>
      </c>
      <c r="I335" s="228">
        <v>664.0</v>
      </c>
      <c r="K335" s="226" t="s">
        <v>4181</v>
      </c>
      <c r="L335" s="226" t="s">
        <v>211</v>
      </c>
      <c r="M335" s="226" t="s">
        <v>14</v>
      </c>
      <c r="N335" s="226" t="s">
        <v>4190</v>
      </c>
      <c r="O335" s="226" t="s">
        <v>4183</v>
      </c>
      <c r="P335" s="250">
        <v>46106.59635040509</v>
      </c>
    </row>
    <row r="336">
      <c r="A336" s="228">
        <v>335.0</v>
      </c>
      <c r="B336" s="226">
        <v>668.0</v>
      </c>
      <c r="C336" s="226" t="s">
        <v>2505</v>
      </c>
      <c r="D336" s="226" t="s">
        <v>4176</v>
      </c>
      <c r="E336" s="228">
        <v>1.0</v>
      </c>
      <c r="F336" s="249"/>
      <c r="G336" s="250">
        <v>45470.0</v>
      </c>
      <c r="H336" s="250">
        <v>45829.0</v>
      </c>
      <c r="I336" s="228">
        <v>359.0</v>
      </c>
      <c r="K336" s="226" t="s">
        <v>4181</v>
      </c>
      <c r="L336" s="226" t="s">
        <v>210</v>
      </c>
      <c r="M336" s="226" t="s">
        <v>261</v>
      </c>
      <c r="N336" s="226" t="s">
        <v>4185</v>
      </c>
      <c r="O336" s="226" t="s">
        <v>4183</v>
      </c>
      <c r="P336" s="250">
        <v>46106.59635040509</v>
      </c>
    </row>
    <row r="337">
      <c r="A337" s="228">
        <v>336.0</v>
      </c>
      <c r="B337" s="226">
        <v>669.0</v>
      </c>
      <c r="C337" s="226" t="s">
        <v>2512</v>
      </c>
      <c r="D337" s="226" t="s">
        <v>4176</v>
      </c>
      <c r="E337" s="228">
        <v>1.0</v>
      </c>
      <c r="F337" s="249"/>
      <c r="G337" s="250">
        <v>45474.0</v>
      </c>
      <c r="H337" s="250">
        <v>45481.0</v>
      </c>
      <c r="I337" s="228">
        <v>7.0</v>
      </c>
      <c r="K337" s="226" t="s">
        <v>4181</v>
      </c>
      <c r="L337" s="226" t="s">
        <v>441</v>
      </c>
      <c r="M337" s="226" t="s">
        <v>175</v>
      </c>
      <c r="N337" s="226" t="s">
        <v>4185</v>
      </c>
      <c r="O337" s="226" t="s">
        <v>4183</v>
      </c>
      <c r="P337" s="250">
        <v>46106.59635040509</v>
      </c>
    </row>
    <row r="338">
      <c r="A338" s="228">
        <v>337.0</v>
      </c>
      <c r="B338" s="226">
        <v>670.0</v>
      </c>
      <c r="C338" s="226" t="s">
        <v>3771</v>
      </c>
      <c r="D338" s="226" t="s">
        <v>4176</v>
      </c>
      <c r="E338" s="228">
        <v>1.0</v>
      </c>
      <c r="F338" s="249"/>
      <c r="G338" s="250">
        <v>45474.0</v>
      </c>
      <c r="H338" s="250">
        <v>45566.0</v>
      </c>
      <c r="I338" s="228">
        <v>92.0</v>
      </c>
      <c r="K338" s="226" t="s">
        <v>4181</v>
      </c>
      <c r="L338" s="226" t="s">
        <v>247</v>
      </c>
      <c r="M338" s="226" t="s">
        <v>261</v>
      </c>
      <c r="N338" s="226" t="s">
        <v>4185</v>
      </c>
      <c r="O338" s="226" t="s">
        <v>4183</v>
      </c>
      <c r="P338" s="250">
        <v>46106.59635040509</v>
      </c>
    </row>
    <row r="339">
      <c r="A339" s="228">
        <v>338.0</v>
      </c>
      <c r="B339" s="226">
        <v>411.0</v>
      </c>
      <c r="C339" s="226" t="s">
        <v>1111</v>
      </c>
      <c r="D339" s="226" t="s">
        <v>4176</v>
      </c>
      <c r="E339" s="228">
        <v>1.0</v>
      </c>
      <c r="F339" s="249"/>
      <c r="G339" s="250">
        <v>45476.0</v>
      </c>
      <c r="H339" s="250">
        <v>45841.0</v>
      </c>
      <c r="I339" s="228">
        <v>365.0</v>
      </c>
      <c r="K339" s="226" t="s">
        <v>4181</v>
      </c>
      <c r="L339" s="226" t="s">
        <v>210</v>
      </c>
      <c r="M339" s="226" t="s">
        <v>261</v>
      </c>
      <c r="N339" s="226" t="s">
        <v>4190</v>
      </c>
      <c r="O339" s="226" t="s">
        <v>4183</v>
      </c>
      <c r="P339" s="250">
        <v>46106.59635040509</v>
      </c>
    </row>
    <row r="340">
      <c r="A340" s="228">
        <v>339.0</v>
      </c>
      <c r="B340" s="226">
        <v>671.0</v>
      </c>
      <c r="C340" s="226" t="s">
        <v>2518</v>
      </c>
      <c r="D340" s="226" t="s">
        <v>4176</v>
      </c>
      <c r="E340" s="228">
        <v>1.0</v>
      </c>
      <c r="F340" s="249"/>
      <c r="G340" s="250">
        <v>45477.0</v>
      </c>
      <c r="H340" s="250">
        <v>45519.0</v>
      </c>
      <c r="I340" s="228">
        <v>42.0</v>
      </c>
      <c r="K340" s="226" t="s">
        <v>4181</v>
      </c>
      <c r="L340" s="226" t="s">
        <v>175</v>
      </c>
      <c r="M340" s="226" t="s">
        <v>175</v>
      </c>
      <c r="N340" s="226" t="s">
        <v>4185</v>
      </c>
      <c r="O340" s="226" t="s">
        <v>4183</v>
      </c>
      <c r="P340" s="250">
        <v>46106.59635040509</v>
      </c>
    </row>
    <row r="341">
      <c r="A341" s="228">
        <v>340.0</v>
      </c>
      <c r="B341" s="226">
        <v>672.0</v>
      </c>
      <c r="C341" s="226" t="s">
        <v>2525</v>
      </c>
      <c r="D341" s="226" t="s">
        <v>4176</v>
      </c>
      <c r="E341" s="228">
        <v>1.0</v>
      </c>
      <c r="F341" s="249"/>
      <c r="G341" s="250">
        <v>45478.0</v>
      </c>
      <c r="H341" s="250">
        <v>46065.0</v>
      </c>
      <c r="I341" s="228">
        <v>587.0</v>
      </c>
      <c r="K341" s="226" t="s">
        <v>4181</v>
      </c>
      <c r="L341" s="226" t="s">
        <v>210</v>
      </c>
      <c r="M341" s="226" t="s">
        <v>123</v>
      </c>
      <c r="N341" s="226" t="s">
        <v>4190</v>
      </c>
      <c r="O341" s="226" t="s">
        <v>4183</v>
      </c>
      <c r="P341" s="250">
        <v>46106.59635040509</v>
      </c>
    </row>
    <row r="342">
      <c r="A342" s="228">
        <v>341.0</v>
      </c>
      <c r="B342" s="226">
        <v>673.0</v>
      </c>
      <c r="C342" s="226" t="s">
        <v>4421</v>
      </c>
      <c r="D342" s="226" t="s">
        <v>4176</v>
      </c>
      <c r="E342" s="228">
        <v>1.0</v>
      </c>
      <c r="F342" s="249"/>
      <c r="G342" s="250">
        <v>45482.0</v>
      </c>
      <c r="H342" s="250">
        <v>45497.0</v>
      </c>
      <c r="I342" s="228">
        <v>15.0</v>
      </c>
      <c r="K342" s="226" t="s">
        <v>4181</v>
      </c>
      <c r="L342" s="226" t="s">
        <v>122</v>
      </c>
      <c r="M342" s="226" t="s">
        <v>175</v>
      </c>
      <c r="N342" s="226" t="s">
        <v>4185</v>
      </c>
      <c r="O342" s="226" t="s">
        <v>4183</v>
      </c>
      <c r="P342" s="250">
        <v>46106.59635040509</v>
      </c>
    </row>
    <row r="343">
      <c r="A343" s="228">
        <v>342.0</v>
      </c>
      <c r="B343" s="226">
        <v>675.0</v>
      </c>
      <c r="C343" s="226" t="s">
        <v>2546</v>
      </c>
      <c r="D343" s="226" t="s">
        <v>4176</v>
      </c>
      <c r="E343" s="228">
        <v>1.0</v>
      </c>
      <c r="F343" s="249"/>
      <c r="G343" s="250">
        <v>45484.0</v>
      </c>
      <c r="H343" s="250">
        <v>46275.0</v>
      </c>
      <c r="I343" s="228">
        <v>791.0</v>
      </c>
      <c r="K343" s="226" t="s">
        <v>4181</v>
      </c>
      <c r="L343" s="226" t="s">
        <v>210</v>
      </c>
      <c r="M343" s="226" t="s">
        <v>14</v>
      </c>
      <c r="N343" s="226" t="s">
        <v>4190</v>
      </c>
      <c r="O343" s="226" t="s">
        <v>4183</v>
      </c>
      <c r="P343" s="250">
        <v>46106.59635040509</v>
      </c>
    </row>
    <row r="344">
      <c r="A344" s="228">
        <v>343.0</v>
      </c>
      <c r="B344" s="226">
        <v>676.0</v>
      </c>
      <c r="C344" s="226" t="s">
        <v>2613</v>
      </c>
      <c r="D344" s="226" t="s">
        <v>4188</v>
      </c>
      <c r="E344" s="228">
        <v>1.0</v>
      </c>
      <c r="F344" s="249"/>
      <c r="G344" s="250">
        <v>45488.0</v>
      </c>
      <c r="H344" s="250">
        <v>45565.0</v>
      </c>
      <c r="I344" s="228">
        <v>77.0</v>
      </c>
      <c r="K344" s="226" t="s">
        <v>4181</v>
      </c>
      <c r="L344" s="226" t="s">
        <v>122</v>
      </c>
      <c r="M344" s="226" t="s">
        <v>261</v>
      </c>
      <c r="N344" s="226" t="s">
        <v>4185</v>
      </c>
      <c r="O344" s="226" t="s">
        <v>4183</v>
      </c>
      <c r="P344" s="250">
        <v>46106.59635040509</v>
      </c>
    </row>
    <row r="345">
      <c r="A345" s="228">
        <v>344.0</v>
      </c>
      <c r="B345" s="226">
        <v>677.0</v>
      </c>
      <c r="C345" s="226" t="s">
        <v>3843</v>
      </c>
      <c r="D345" s="226" t="s">
        <v>4176</v>
      </c>
      <c r="E345" s="228">
        <v>1.0</v>
      </c>
      <c r="F345" s="249"/>
      <c r="G345" s="250">
        <v>45489.0</v>
      </c>
      <c r="H345" s="250">
        <v>45854.0</v>
      </c>
      <c r="I345" s="228">
        <v>365.0</v>
      </c>
      <c r="K345" s="226" t="s">
        <v>4181</v>
      </c>
      <c r="L345" s="226" t="s">
        <v>247</v>
      </c>
      <c r="M345" s="226" t="s">
        <v>261</v>
      </c>
      <c r="N345" s="226" t="s">
        <v>4185</v>
      </c>
      <c r="O345" s="226" t="s">
        <v>4183</v>
      </c>
      <c r="P345" s="250">
        <v>46106.59635040509</v>
      </c>
    </row>
    <row r="346">
      <c r="A346" s="228">
        <v>345.0</v>
      </c>
      <c r="B346" s="226">
        <v>679.0</v>
      </c>
      <c r="C346" s="226" t="s">
        <v>916</v>
      </c>
      <c r="D346" s="226" t="s">
        <v>4176</v>
      </c>
      <c r="E346" s="228">
        <v>1.0</v>
      </c>
      <c r="F346" s="249"/>
      <c r="G346" s="250">
        <v>45491.0</v>
      </c>
      <c r="H346" s="250">
        <v>46218.0</v>
      </c>
      <c r="I346" s="228">
        <v>727.0</v>
      </c>
      <c r="K346" s="226" t="s">
        <v>4181</v>
      </c>
      <c r="L346" s="226" t="s">
        <v>210</v>
      </c>
      <c r="M346" s="226" t="s">
        <v>123</v>
      </c>
      <c r="N346" s="226" t="s">
        <v>4190</v>
      </c>
      <c r="O346" s="226" t="s">
        <v>4183</v>
      </c>
      <c r="P346" s="250">
        <v>46106.59635040509</v>
      </c>
    </row>
    <row r="347">
      <c r="A347" s="228">
        <v>346.0</v>
      </c>
      <c r="B347" s="226">
        <v>680.0</v>
      </c>
      <c r="C347" s="226" t="s">
        <v>2576</v>
      </c>
      <c r="D347" s="226" t="s">
        <v>4176</v>
      </c>
      <c r="E347" s="228">
        <v>1.0</v>
      </c>
      <c r="F347" s="249"/>
      <c r="G347" s="250">
        <v>45495.0</v>
      </c>
      <c r="H347" s="250">
        <v>46387.0</v>
      </c>
      <c r="I347" s="228">
        <v>892.0</v>
      </c>
      <c r="K347" s="226" t="s">
        <v>4181</v>
      </c>
      <c r="L347" s="226" t="s">
        <v>211</v>
      </c>
      <c r="M347" s="226" t="s">
        <v>211</v>
      </c>
      <c r="N347" s="226" t="s">
        <v>4185</v>
      </c>
      <c r="O347" s="226" t="s">
        <v>4183</v>
      </c>
      <c r="P347" s="250">
        <v>46106.59635040509</v>
      </c>
    </row>
    <row r="348">
      <c r="A348" s="228">
        <v>347.0</v>
      </c>
      <c r="B348" s="226">
        <v>414.0</v>
      </c>
      <c r="C348" s="226" t="s">
        <v>854</v>
      </c>
      <c r="D348" s="226" t="s">
        <v>4176</v>
      </c>
      <c r="E348" s="228">
        <v>1.0</v>
      </c>
      <c r="F348" s="249"/>
      <c r="G348" s="250">
        <v>45499.0</v>
      </c>
      <c r="H348" s="250">
        <v>46234.0</v>
      </c>
      <c r="I348" s="228">
        <v>735.0</v>
      </c>
      <c r="K348" s="226" t="s">
        <v>4181</v>
      </c>
      <c r="L348" s="226" t="s">
        <v>210</v>
      </c>
      <c r="M348" s="226" t="s">
        <v>123</v>
      </c>
      <c r="N348" s="226" t="s">
        <v>4182</v>
      </c>
      <c r="O348" s="226" t="s">
        <v>4183</v>
      </c>
      <c r="P348" s="250">
        <v>46106.59635040509</v>
      </c>
    </row>
    <row r="349">
      <c r="A349" s="228">
        <v>348.0</v>
      </c>
      <c r="B349" s="226">
        <v>683.0</v>
      </c>
      <c r="C349" s="226" t="s">
        <v>1626</v>
      </c>
      <c r="D349" s="226" t="s">
        <v>4176</v>
      </c>
      <c r="E349" s="228">
        <v>1.0</v>
      </c>
      <c r="F349" s="249"/>
      <c r="G349" s="250">
        <v>45499.0</v>
      </c>
      <c r="H349" s="250">
        <v>45869.0</v>
      </c>
      <c r="I349" s="228">
        <v>370.0</v>
      </c>
      <c r="K349" s="226" t="s">
        <v>4181</v>
      </c>
      <c r="L349" s="226" t="s">
        <v>441</v>
      </c>
      <c r="M349" s="226" t="s">
        <v>175</v>
      </c>
      <c r="N349" s="226" t="s">
        <v>4185</v>
      </c>
      <c r="O349" s="226" t="s">
        <v>4183</v>
      </c>
      <c r="P349" s="250">
        <v>46106.59635040509</v>
      </c>
    </row>
    <row r="350">
      <c r="A350" s="228">
        <v>349.0</v>
      </c>
      <c r="B350" s="226">
        <v>684.0</v>
      </c>
      <c r="C350" s="226" t="s">
        <v>2605</v>
      </c>
      <c r="D350" s="226" t="s">
        <v>4176</v>
      </c>
      <c r="E350" s="228">
        <v>1.0</v>
      </c>
      <c r="F350" s="249"/>
      <c r="G350" s="250">
        <v>45499.0</v>
      </c>
      <c r="H350" s="250">
        <v>46447.0</v>
      </c>
      <c r="I350" s="228">
        <v>948.0</v>
      </c>
      <c r="K350" s="226" t="s">
        <v>4181</v>
      </c>
      <c r="L350" s="226" t="s">
        <v>210</v>
      </c>
      <c r="M350" s="226" t="s">
        <v>123</v>
      </c>
      <c r="N350" s="226" t="s">
        <v>4190</v>
      </c>
      <c r="O350" s="226" t="s">
        <v>4183</v>
      </c>
      <c r="P350" s="250">
        <v>46106.59635040509</v>
      </c>
    </row>
    <row r="351">
      <c r="A351" s="228">
        <v>350.0</v>
      </c>
      <c r="B351" s="226">
        <v>685.0</v>
      </c>
      <c r="C351" s="226" t="s">
        <v>2632</v>
      </c>
      <c r="D351" s="226" t="s">
        <v>4176</v>
      </c>
      <c r="E351" s="228">
        <v>1.0</v>
      </c>
      <c r="F351" s="249"/>
      <c r="G351" s="250">
        <v>45499.0</v>
      </c>
      <c r="H351" s="250">
        <v>45688.0</v>
      </c>
      <c r="I351" s="228">
        <v>189.0</v>
      </c>
      <c r="K351" s="226" t="s">
        <v>4181</v>
      </c>
      <c r="L351" s="226" t="s">
        <v>122</v>
      </c>
      <c r="M351" s="226" t="s">
        <v>261</v>
      </c>
      <c r="N351" s="226" t="s">
        <v>4185</v>
      </c>
      <c r="O351" s="226" t="s">
        <v>4183</v>
      </c>
      <c r="P351" s="250">
        <v>46106.59635040509</v>
      </c>
    </row>
    <row r="352">
      <c r="A352" s="228">
        <v>351.0</v>
      </c>
      <c r="B352" s="226">
        <v>686.0</v>
      </c>
      <c r="C352" s="226" t="s">
        <v>933</v>
      </c>
      <c r="D352" s="226" t="s">
        <v>4176</v>
      </c>
      <c r="E352" s="228">
        <v>1.0</v>
      </c>
      <c r="F352" s="249"/>
      <c r="G352" s="250">
        <v>45504.0</v>
      </c>
      <c r="H352" s="250">
        <v>46234.0</v>
      </c>
      <c r="I352" s="228">
        <v>730.0</v>
      </c>
      <c r="K352" s="226" t="s">
        <v>4181</v>
      </c>
      <c r="L352" s="226" t="s">
        <v>210</v>
      </c>
      <c r="M352" s="226" t="s">
        <v>123</v>
      </c>
      <c r="N352" s="226" t="s">
        <v>4190</v>
      </c>
      <c r="O352" s="226" t="s">
        <v>4183</v>
      </c>
      <c r="P352" s="250">
        <v>46106.59635040509</v>
      </c>
    </row>
    <row r="353">
      <c r="A353" s="228">
        <v>352.0</v>
      </c>
      <c r="B353" s="226">
        <v>338.0</v>
      </c>
      <c r="C353" s="226" t="s">
        <v>3920</v>
      </c>
      <c r="D353" s="226" t="s">
        <v>4176</v>
      </c>
      <c r="E353" s="228">
        <v>1.0</v>
      </c>
      <c r="F353" s="249"/>
      <c r="G353" s="250">
        <v>45504.0</v>
      </c>
      <c r="H353" s="250">
        <v>45657.0</v>
      </c>
      <c r="I353" s="228">
        <v>153.0</v>
      </c>
      <c r="K353" s="226" t="s">
        <v>4181</v>
      </c>
      <c r="L353" s="226" t="s">
        <v>247</v>
      </c>
      <c r="M353" s="226" t="s">
        <v>289</v>
      </c>
      <c r="N353" s="226" t="s">
        <v>4185</v>
      </c>
      <c r="O353" s="226" t="s">
        <v>4183</v>
      </c>
      <c r="P353" s="250">
        <v>46106.59635040509</v>
      </c>
    </row>
    <row r="354">
      <c r="A354" s="228">
        <v>353.0</v>
      </c>
      <c r="B354" s="226">
        <v>688.0</v>
      </c>
      <c r="C354" s="226" t="s">
        <v>2407</v>
      </c>
      <c r="D354" s="226" t="s">
        <v>4176</v>
      </c>
      <c r="E354" s="228">
        <v>1.0</v>
      </c>
      <c r="F354" s="249"/>
      <c r="G354" s="250">
        <v>45505.0</v>
      </c>
      <c r="H354" s="250">
        <v>45870.0</v>
      </c>
      <c r="I354" s="228">
        <v>365.0</v>
      </c>
      <c r="K354" s="226" t="s">
        <v>4181</v>
      </c>
      <c r="L354" s="226" t="s">
        <v>311</v>
      </c>
      <c r="M354" s="226" t="s">
        <v>175</v>
      </c>
      <c r="N354" s="226" t="s">
        <v>4185</v>
      </c>
      <c r="O354" s="226" t="s">
        <v>4183</v>
      </c>
      <c r="P354" s="250">
        <v>46106.59635040509</v>
      </c>
    </row>
    <row r="355">
      <c r="A355" s="228">
        <v>354.0</v>
      </c>
      <c r="B355" s="226">
        <v>687.0</v>
      </c>
      <c r="C355" s="226" t="s">
        <v>1680</v>
      </c>
      <c r="D355" s="226" t="s">
        <v>4176</v>
      </c>
      <c r="E355" s="228">
        <v>1.0</v>
      </c>
      <c r="F355" s="249"/>
      <c r="G355" s="250">
        <v>45505.0</v>
      </c>
      <c r="H355" s="250">
        <v>45870.0</v>
      </c>
      <c r="I355" s="228">
        <v>365.0</v>
      </c>
      <c r="K355" s="226" t="s">
        <v>4181</v>
      </c>
      <c r="L355" s="226" t="s">
        <v>311</v>
      </c>
      <c r="M355" s="226" t="s">
        <v>289</v>
      </c>
      <c r="N355" s="226" t="s">
        <v>4185</v>
      </c>
      <c r="O355" s="226" t="s">
        <v>4183</v>
      </c>
      <c r="P355" s="250">
        <v>46106.59635040509</v>
      </c>
    </row>
    <row r="356">
      <c r="A356" s="228">
        <v>355.0</v>
      </c>
      <c r="B356" s="226">
        <v>389.0</v>
      </c>
      <c r="C356" s="226" t="s">
        <v>1643</v>
      </c>
      <c r="D356" s="226" t="s">
        <v>4176</v>
      </c>
      <c r="E356" s="228">
        <v>1.0</v>
      </c>
      <c r="F356" s="249"/>
      <c r="G356" s="250">
        <v>45506.0</v>
      </c>
      <c r="H356" s="250">
        <v>45870.0</v>
      </c>
      <c r="I356" s="228">
        <v>364.0</v>
      </c>
      <c r="K356" s="226" t="s">
        <v>4181</v>
      </c>
      <c r="L356" s="226" t="s">
        <v>210</v>
      </c>
      <c r="M356" s="226" t="s">
        <v>261</v>
      </c>
      <c r="N356" s="226" t="s">
        <v>4190</v>
      </c>
      <c r="O356" s="226" t="s">
        <v>4183</v>
      </c>
      <c r="P356" s="250">
        <v>46106.59635040509</v>
      </c>
    </row>
    <row r="357">
      <c r="A357" s="228">
        <v>356.0</v>
      </c>
      <c r="B357" s="226">
        <v>689.0</v>
      </c>
      <c r="C357" s="226" t="s">
        <v>3958</v>
      </c>
      <c r="D357" s="226" t="s">
        <v>4176</v>
      </c>
      <c r="E357" s="228">
        <v>1.0</v>
      </c>
      <c r="F357" s="249"/>
      <c r="G357" s="250">
        <v>45509.0</v>
      </c>
      <c r="H357" s="250">
        <v>45523.0</v>
      </c>
      <c r="I357" s="228">
        <v>14.0</v>
      </c>
      <c r="K357" s="226" t="s">
        <v>4181</v>
      </c>
      <c r="L357" s="226" t="s">
        <v>247</v>
      </c>
      <c r="M357" s="226" t="s">
        <v>175</v>
      </c>
      <c r="N357" s="226" t="s">
        <v>4185</v>
      </c>
      <c r="O357" s="226" t="s">
        <v>4183</v>
      </c>
      <c r="P357" s="250">
        <v>46106.59635040509</v>
      </c>
    </row>
    <row r="358">
      <c r="A358" s="228">
        <v>357.0</v>
      </c>
      <c r="B358" s="226">
        <v>690.0</v>
      </c>
      <c r="C358" s="226" t="s">
        <v>4428</v>
      </c>
      <c r="D358" s="226" t="s">
        <v>4176</v>
      </c>
      <c r="E358" s="228">
        <v>1.0</v>
      </c>
      <c r="F358" s="249"/>
      <c r="G358" s="250">
        <v>45510.0</v>
      </c>
      <c r="H358" s="250">
        <v>45524.0</v>
      </c>
      <c r="I358" s="228">
        <v>14.0</v>
      </c>
      <c r="K358" s="226" t="s">
        <v>4181</v>
      </c>
      <c r="L358" s="226" t="s">
        <v>2330</v>
      </c>
      <c r="M358" s="226" t="s">
        <v>175</v>
      </c>
      <c r="N358" s="226" t="s">
        <v>4185</v>
      </c>
      <c r="O358" s="226" t="s">
        <v>4183</v>
      </c>
      <c r="P358" s="250">
        <v>46106.59635040509</v>
      </c>
    </row>
    <row r="359">
      <c r="A359" s="228">
        <v>358.0</v>
      </c>
      <c r="B359" s="226">
        <v>691.0</v>
      </c>
      <c r="C359" s="226" t="s">
        <v>2652</v>
      </c>
      <c r="D359" s="226" t="s">
        <v>4188</v>
      </c>
      <c r="E359" s="228">
        <v>1.0</v>
      </c>
      <c r="F359" s="249"/>
      <c r="G359" s="250">
        <v>45511.0</v>
      </c>
      <c r="H359" s="250">
        <v>45534.0</v>
      </c>
      <c r="I359" s="228">
        <v>23.0</v>
      </c>
      <c r="K359" s="226" t="s">
        <v>4181</v>
      </c>
      <c r="L359" s="226" t="s">
        <v>162</v>
      </c>
      <c r="M359" s="226" t="s">
        <v>289</v>
      </c>
      <c r="N359" s="226" t="s">
        <v>4185</v>
      </c>
      <c r="O359" s="226" t="s">
        <v>4183</v>
      </c>
      <c r="P359" s="250">
        <v>46106.59635040509</v>
      </c>
    </row>
    <row r="360">
      <c r="A360" s="228">
        <v>359.0</v>
      </c>
      <c r="B360" s="226">
        <v>693.0</v>
      </c>
      <c r="C360" s="226" t="s">
        <v>2658</v>
      </c>
      <c r="D360" s="226" t="s">
        <v>4176</v>
      </c>
      <c r="E360" s="228">
        <v>1.0</v>
      </c>
      <c r="F360" s="249"/>
      <c r="G360" s="250">
        <v>45512.0</v>
      </c>
      <c r="H360" s="250">
        <v>45543.0</v>
      </c>
      <c r="I360" s="228">
        <v>31.0</v>
      </c>
      <c r="K360" s="226" t="s">
        <v>4181</v>
      </c>
      <c r="L360" s="226" t="s">
        <v>122</v>
      </c>
      <c r="M360" s="226" t="s">
        <v>175</v>
      </c>
      <c r="N360" s="226" t="s">
        <v>4185</v>
      </c>
      <c r="O360" s="226" t="s">
        <v>4183</v>
      </c>
      <c r="P360" s="250">
        <v>46106.59635040509</v>
      </c>
    </row>
    <row r="361">
      <c r="A361" s="228">
        <v>360.0</v>
      </c>
      <c r="B361" s="226">
        <v>692.0</v>
      </c>
      <c r="C361" s="226" t="s">
        <v>3997</v>
      </c>
      <c r="D361" s="226" t="s">
        <v>4188</v>
      </c>
      <c r="E361" s="228">
        <v>1.0</v>
      </c>
      <c r="F361" s="249"/>
      <c r="G361" s="250">
        <v>45512.0</v>
      </c>
      <c r="H361" s="250">
        <v>45523.0</v>
      </c>
      <c r="I361" s="228">
        <v>11.0</v>
      </c>
      <c r="K361" s="226" t="s">
        <v>4181</v>
      </c>
      <c r="L361" s="226" t="s">
        <v>247</v>
      </c>
      <c r="M361" s="226" t="s">
        <v>175</v>
      </c>
      <c r="N361" s="226" t="s">
        <v>4185</v>
      </c>
      <c r="O361" s="226" t="s">
        <v>4183</v>
      </c>
      <c r="P361" s="250">
        <v>46106.59635040509</v>
      </c>
    </row>
    <row r="362">
      <c r="A362" s="228">
        <v>361.0</v>
      </c>
      <c r="B362" s="226">
        <v>694.0</v>
      </c>
      <c r="C362" s="226" t="s">
        <v>727</v>
      </c>
      <c r="D362" s="226" t="s">
        <v>4176</v>
      </c>
      <c r="E362" s="228">
        <v>1.0</v>
      </c>
      <c r="F362" s="249"/>
      <c r="G362" s="250">
        <v>45513.0</v>
      </c>
      <c r="H362" s="250">
        <v>46273.0</v>
      </c>
      <c r="I362" s="228">
        <v>760.0</v>
      </c>
      <c r="K362" s="226" t="s">
        <v>4181</v>
      </c>
      <c r="L362" s="226" t="s">
        <v>210</v>
      </c>
      <c r="M362" s="226" t="s">
        <v>14</v>
      </c>
      <c r="N362" s="226" t="s">
        <v>4190</v>
      </c>
      <c r="O362" s="226" t="s">
        <v>4183</v>
      </c>
      <c r="P362" s="250">
        <v>46106.59635040509</v>
      </c>
    </row>
    <row r="363">
      <c r="A363" s="228">
        <v>362.0</v>
      </c>
      <c r="B363" s="226">
        <v>695.0</v>
      </c>
      <c r="C363" s="226" t="s">
        <v>4018</v>
      </c>
      <c r="D363" s="226" t="s">
        <v>4176</v>
      </c>
      <c r="E363" s="228">
        <v>1.0</v>
      </c>
      <c r="F363" s="249"/>
      <c r="G363" s="250">
        <v>45518.0</v>
      </c>
      <c r="H363" s="250">
        <v>46130.0</v>
      </c>
      <c r="I363" s="228">
        <v>612.0</v>
      </c>
      <c r="K363" s="226" t="s">
        <v>4181</v>
      </c>
      <c r="L363" s="226" t="s">
        <v>210</v>
      </c>
      <c r="M363" s="226" t="s">
        <v>123</v>
      </c>
      <c r="N363" s="226" t="s">
        <v>4190</v>
      </c>
      <c r="O363" s="226" t="s">
        <v>4183</v>
      </c>
      <c r="P363" s="250">
        <v>46106.59635040509</v>
      </c>
    </row>
    <row r="364">
      <c r="A364" s="228">
        <v>363.0</v>
      </c>
      <c r="B364" s="226">
        <v>698.0</v>
      </c>
      <c r="C364" s="226" t="s">
        <v>2685</v>
      </c>
      <c r="D364" s="226" t="s">
        <v>4176</v>
      </c>
      <c r="E364" s="228">
        <v>1.0</v>
      </c>
      <c r="F364" s="249"/>
      <c r="G364" s="250">
        <v>45520.0</v>
      </c>
      <c r="H364" s="250">
        <v>45527.0</v>
      </c>
      <c r="I364" s="228">
        <v>7.0</v>
      </c>
      <c r="K364" s="226" t="s">
        <v>4181</v>
      </c>
      <c r="L364" s="226" t="s">
        <v>162</v>
      </c>
      <c r="M364" s="226" t="s">
        <v>175</v>
      </c>
      <c r="N364" s="226" t="s">
        <v>4185</v>
      </c>
      <c r="O364" s="226" t="s">
        <v>4183</v>
      </c>
      <c r="P364" s="250">
        <v>46106.59635040509</v>
      </c>
    </row>
    <row r="365">
      <c r="A365" s="228">
        <v>364.0</v>
      </c>
      <c r="B365" s="226">
        <v>697.0</v>
      </c>
      <c r="C365" s="226" t="s">
        <v>4032</v>
      </c>
      <c r="D365" s="226" t="s">
        <v>4176</v>
      </c>
      <c r="E365" s="228">
        <v>1.0</v>
      </c>
      <c r="F365" s="249"/>
      <c r="G365" s="250">
        <v>45520.0</v>
      </c>
      <c r="H365" s="250">
        <v>45885.0</v>
      </c>
      <c r="I365" s="228">
        <v>365.0</v>
      </c>
      <c r="K365" s="226" t="s">
        <v>4181</v>
      </c>
      <c r="L365" s="226" t="s">
        <v>247</v>
      </c>
      <c r="M365" s="226" t="s">
        <v>4038</v>
      </c>
      <c r="N365" s="226" t="s">
        <v>4185</v>
      </c>
      <c r="O365" s="226" t="s">
        <v>4183</v>
      </c>
      <c r="P365" s="250">
        <v>46106.59635040509</v>
      </c>
    </row>
    <row r="366">
      <c r="A366" s="228">
        <v>365.0</v>
      </c>
      <c r="B366" s="226">
        <v>696.0</v>
      </c>
      <c r="C366" s="226" t="s">
        <v>4040</v>
      </c>
      <c r="D366" s="226" t="s">
        <v>4176</v>
      </c>
      <c r="E366" s="228">
        <v>1.0</v>
      </c>
      <c r="F366" s="249"/>
      <c r="G366" s="250">
        <v>45520.0</v>
      </c>
      <c r="H366" s="250">
        <v>45885.0</v>
      </c>
      <c r="I366" s="228">
        <v>365.0</v>
      </c>
      <c r="K366" s="226" t="s">
        <v>4181</v>
      </c>
      <c r="L366" s="226" t="s">
        <v>247</v>
      </c>
      <c r="M366" s="226" t="s">
        <v>261</v>
      </c>
      <c r="N366" s="226" t="s">
        <v>4185</v>
      </c>
      <c r="O366" s="226" t="s">
        <v>4183</v>
      </c>
      <c r="P366" s="250">
        <v>46106.59635040509</v>
      </c>
    </row>
    <row r="367">
      <c r="A367" s="228">
        <v>366.0</v>
      </c>
      <c r="B367" s="226">
        <v>699.0</v>
      </c>
      <c r="C367" s="226" t="s">
        <v>328</v>
      </c>
      <c r="D367" s="226" t="s">
        <v>4176</v>
      </c>
      <c r="E367" s="228">
        <v>1.0</v>
      </c>
      <c r="F367" s="249"/>
      <c r="G367" s="250">
        <v>45523.0</v>
      </c>
      <c r="H367" s="250">
        <v>46295.0</v>
      </c>
      <c r="I367" s="228">
        <v>772.0</v>
      </c>
      <c r="K367" s="226" t="s">
        <v>4181</v>
      </c>
      <c r="L367" s="226" t="s">
        <v>261</v>
      </c>
      <c r="M367" s="226" t="s">
        <v>4052</v>
      </c>
      <c r="N367" s="226" t="s">
        <v>4190</v>
      </c>
      <c r="O367" s="226" t="s">
        <v>4183</v>
      </c>
      <c r="P367" s="250">
        <v>46106.59635040509</v>
      </c>
    </row>
    <row r="368">
      <c r="A368" s="228">
        <v>367.0</v>
      </c>
      <c r="B368" s="226">
        <v>701.0</v>
      </c>
      <c r="C368" s="226" t="s">
        <v>2701</v>
      </c>
      <c r="D368" s="226" t="s">
        <v>4176</v>
      </c>
      <c r="E368" s="228">
        <v>1.0</v>
      </c>
      <c r="F368" s="249"/>
      <c r="G368" s="250">
        <v>45526.0</v>
      </c>
      <c r="H368" s="250">
        <v>45626.0</v>
      </c>
      <c r="I368" s="228">
        <v>100.0</v>
      </c>
      <c r="K368" s="226" t="s">
        <v>4181</v>
      </c>
      <c r="L368" s="226" t="s">
        <v>122</v>
      </c>
      <c r="M368" s="226" t="s">
        <v>2644</v>
      </c>
      <c r="N368" s="226" t="s">
        <v>4185</v>
      </c>
      <c r="O368" s="226" t="s">
        <v>4183</v>
      </c>
      <c r="P368" s="250">
        <v>46106.59635040509</v>
      </c>
    </row>
    <row r="369">
      <c r="A369" s="228">
        <v>368.0</v>
      </c>
      <c r="B369" s="226">
        <v>702.0</v>
      </c>
      <c r="C369" s="226" t="s">
        <v>4064</v>
      </c>
      <c r="D369" s="226" t="s">
        <v>4176</v>
      </c>
      <c r="E369" s="228">
        <v>1.0</v>
      </c>
      <c r="F369" s="249"/>
      <c r="G369" s="250">
        <v>45527.0</v>
      </c>
      <c r="H369" s="250">
        <v>46282.0</v>
      </c>
      <c r="I369" s="228">
        <v>755.0</v>
      </c>
      <c r="K369" s="226" t="s">
        <v>4181</v>
      </c>
      <c r="L369" s="226" t="s">
        <v>247</v>
      </c>
      <c r="M369" s="226" t="s">
        <v>14</v>
      </c>
      <c r="N369" s="226" t="s">
        <v>4190</v>
      </c>
      <c r="O369" s="226" t="s">
        <v>4183</v>
      </c>
      <c r="P369" s="250">
        <v>46106.59635040509</v>
      </c>
    </row>
    <row r="370">
      <c r="A370" s="228">
        <v>369.0</v>
      </c>
      <c r="B370" s="226">
        <v>722.0</v>
      </c>
      <c r="C370" s="226" t="s">
        <v>2762</v>
      </c>
      <c r="D370" s="226" t="s">
        <v>4176</v>
      </c>
      <c r="E370" s="228">
        <v>1.0</v>
      </c>
      <c r="F370" s="249"/>
      <c r="G370" s="250">
        <v>45532.0</v>
      </c>
      <c r="H370" s="250">
        <v>45897.0</v>
      </c>
      <c r="I370" s="228">
        <v>365.0</v>
      </c>
      <c r="K370" s="226" t="s">
        <v>4181</v>
      </c>
      <c r="L370" s="226" t="s">
        <v>210</v>
      </c>
      <c r="M370" s="226" t="s">
        <v>289</v>
      </c>
      <c r="N370" s="226" t="s">
        <v>4185</v>
      </c>
      <c r="O370" s="226" t="s">
        <v>4183</v>
      </c>
      <c r="P370" s="250">
        <v>46106.59635040509</v>
      </c>
    </row>
    <row r="371">
      <c r="A371" s="228">
        <v>370.0</v>
      </c>
      <c r="B371" s="226">
        <v>705.0</v>
      </c>
      <c r="C371" s="226" t="s">
        <v>4085</v>
      </c>
      <c r="D371" s="226" t="s">
        <v>4176</v>
      </c>
      <c r="E371" s="228">
        <v>1.0</v>
      </c>
      <c r="F371" s="249"/>
      <c r="G371" s="250">
        <v>45533.0</v>
      </c>
      <c r="H371" s="250">
        <v>45541.0</v>
      </c>
      <c r="I371" s="228">
        <v>8.0</v>
      </c>
      <c r="K371" s="226" t="s">
        <v>4181</v>
      </c>
      <c r="L371" s="226" t="s">
        <v>247</v>
      </c>
      <c r="M371" s="226" t="s">
        <v>175</v>
      </c>
      <c r="N371" s="226" t="s">
        <v>4185</v>
      </c>
      <c r="O371" s="226" t="s">
        <v>4183</v>
      </c>
      <c r="P371" s="250">
        <v>46106.59635040509</v>
      </c>
    </row>
    <row r="372">
      <c r="A372" s="228">
        <v>371.0</v>
      </c>
      <c r="B372" s="226">
        <v>704.0</v>
      </c>
      <c r="C372" s="226" t="s">
        <v>4097</v>
      </c>
      <c r="D372" s="226" t="s">
        <v>4176</v>
      </c>
      <c r="E372" s="228">
        <v>1.0</v>
      </c>
      <c r="F372" s="249"/>
      <c r="G372" s="250">
        <v>45533.0</v>
      </c>
      <c r="H372" s="250">
        <v>45904.0</v>
      </c>
      <c r="I372" s="228">
        <v>371.0</v>
      </c>
      <c r="K372" s="226" t="s">
        <v>4181</v>
      </c>
      <c r="L372" s="226" t="s">
        <v>122</v>
      </c>
      <c r="M372" s="226" t="s">
        <v>211</v>
      </c>
      <c r="N372" s="226" t="s">
        <v>4185</v>
      </c>
      <c r="O372" s="226" t="s">
        <v>4183</v>
      </c>
      <c r="P372" s="250">
        <v>46106.59635040509</v>
      </c>
    </row>
    <row r="373">
      <c r="A373" s="228">
        <v>372.0</v>
      </c>
      <c r="B373" s="226">
        <v>706.0</v>
      </c>
      <c r="C373" s="226" t="s">
        <v>2712</v>
      </c>
      <c r="D373" s="226" t="s">
        <v>4188</v>
      </c>
      <c r="E373" s="228">
        <v>1.0</v>
      </c>
      <c r="F373" s="249"/>
      <c r="G373" s="250">
        <v>45534.0</v>
      </c>
      <c r="H373" s="250">
        <v>45837.0</v>
      </c>
      <c r="I373" s="228">
        <v>303.0</v>
      </c>
      <c r="K373" s="226" t="s">
        <v>4181</v>
      </c>
      <c r="L373" s="226" t="s">
        <v>122</v>
      </c>
      <c r="M373" s="226" t="s">
        <v>38</v>
      </c>
      <c r="N373" s="226" t="s">
        <v>4185</v>
      </c>
      <c r="O373" s="226" t="s">
        <v>4183</v>
      </c>
      <c r="P373" s="250">
        <v>46106.59635040509</v>
      </c>
    </row>
    <row r="374">
      <c r="A374" s="228">
        <v>373.0</v>
      </c>
      <c r="B374" s="226">
        <v>700.0</v>
      </c>
      <c r="C374" s="226" t="s">
        <v>4113</v>
      </c>
      <c r="D374" s="226" t="s">
        <v>4176</v>
      </c>
      <c r="E374" s="228">
        <v>1.0</v>
      </c>
      <c r="F374" s="249"/>
      <c r="G374" s="250">
        <v>45534.0</v>
      </c>
      <c r="H374" s="250">
        <v>45716.0</v>
      </c>
      <c r="I374" s="228">
        <v>182.0</v>
      </c>
      <c r="K374" s="226" t="s">
        <v>4181</v>
      </c>
      <c r="L374" s="226" t="s">
        <v>247</v>
      </c>
      <c r="M374" s="226" t="s">
        <v>289</v>
      </c>
      <c r="N374" s="226" t="s">
        <v>4185</v>
      </c>
      <c r="O374" s="226" t="s">
        <v>4183</v>
      </c>
      <c r="P374" s="250">
        <v>46106.59635040509</v>
      </c>
    </row>
    <row r="375">
      <c r="A375" s="228">
        <v>374.0</v>
      </c>
      <c r="B375" s="226">
        <v>707.0</v>
      </c>
      <c r="C375" s="226" t="s">
        <v>2726</v>
      </c>
      <c r="D375" s="226" t="s">
        <v>4176</v>
      </c>
      <c r="E375" s="228">
        <v>1.0</v>
      </c>
      <c r="F375" s="249"/>
      <c r="G375" s="250">
        <v>45540.0</v>
      </c>
      <c r="H375" s="250">
        <v>45722.0</v>
      </c>
      <c r="I375" s="228">
        <v>182.0</v>
      </c>
      <c r="K375" s="226" t="s">
        <v>4181</v>
      </c>
      <c r="L375" s="226" t="s">
        <v>311</v>
      </c>
      <c r="M375" s="226" t="s">
        <v>261</v>
      </c>
      <c r="N375" s="226" t="s">
        <v>4185</v>
      </c>
      <c r="O375" s="226" t="s">
        <v>4183</v>
      </c>
      <c r="P375" s="250">
        <v>46106.59635040509</v>
      </c>
    </row>
    <row r="376">
      <c r="A376" s="228">
        <v>375.0</v>
      </c>
      <c r="B376" s="226">
        <v>709.0</v>
      </c>
      <c r="C376" s="226" t="s">
        <v>4442</v>
      </c>
      <c r="D376" s="226" t="s">
        <v>4176</v>
      </c>
      <c r="E376" s="228">
        <v>1.0</v>
      </c>
      <c r="F376" s="249"/>
      <c r="G376" s="250">
        <v>45544.0</v>
      </c>
      <c r="H376" s="250">
        <v>45657.0</v>
      </c>
      <c r="I376" s="228">
        <v>113.0</v>
      </c>
      <c r="K376" s="226" t="s">
        <v>4181</v>
      </c>
      <c r="L376" s="226" t="s">
        <v>259</v>
      </c>
      <c r="M376" s="226" t="s">
        <v>289</v>
      </c>
      <c r="N376" s="226" t="s">
        <v>4185</v>
      </c>
      <c r="O376" s="226" t="s">
        <v>4183</v>
      </c>
      <c r="P376" s="250">
        <v>46106.59635040509</v>
      </c>
    </row>
    <row r="377">
      <c r="A377" s="228">
        <v>376.0</v>
      </c>
      <c r="B377" s="226">
        <v>708.0</v>
      </c>
      <c r="C377" s="226" t="s">
        <v>4125</v>
      </c>
      <c r="D377" s="226" t="s">
        <v>4176</v>
      </c>
      <c r="E377" s="228">
        <v>1.0</v>
      </c>
      <c r="F377" s="249"/>
      <c r="G377" s="250">
        <v>45544.0</v>
      </c>
      <c r="H377" s="250">
        <v>45870.0</v>
      </c>
      <c r="I377" s="228">
        <v>326.0</v>
      </c>
      <c r="K377" s="226" t="s">
        <v>4181</v>
      </c>
      <c r="L377" s="226" t="s">
        <v>247</v>
      </c>
      <c r="M377" s="226" t="s">
        <v>289</v>
      </c>
      <c r="N377" s="226" t="s">
        <v>4185</v>
      </c>
      <c r="O377" s="226" t="s">
        <v>4183</v>
      </c>
      <c r="P377" s="250">
        <v>46106.59635040509</v>
      </c>
    </row>
    <row r="378">
      <c r="A378" s="228">
        <v>377.0</v>
      </c>
      <c r="B378" s="226">
        <v>710.0</v>
      </c>
      <c r="C378" s="226" t="s">
        <v>3570</v>
      </c>
      <c r="D378" s="226" t="s">
        <v>4176</v>
      </c>
      <c r="E378" s="228">
        <v>1.0</v>
      </c>
      <c r="F378" s="249"/>
      <c r="G378" s="250">
        <v>45545.0</v>
      </c>
      <c r="H378" s="250">
        <v>45910.0</v>
      </c>
      <c r="I378" s="228">
        <v>365.0</v>
      </c>
      <c r="K378" s="226" t="s">
        <v>4181</v>
      </c>
      <c r="L378" s="226" t="s">
        <v>210</v>
      </c>
      <c r="M378" s="226" t="s">
        <v>261</v>
      </c>
      <c r="N378" s="226" t="s">
        <v>4190</v>
      </c>
      <c r="O378" s="226" t="s">
        <v>4183</v>
      </c>
      <c r="P378" s="250">
        <v>46106.59635040509</v>
      </c>
    </row>
    <row r="379">
      <c r="A379" s="228">
        <v>378.0</v>
      </c>
      <c r="B379" s="226">
        <v>712.0</v>
      </c>
      <c r="C379" s="226" t="s">
        <v>2779</v>
      </c>
      <c r="D379" s="226" t="s">
        <v>4176</v>
      </c>
      <c r="E379" s="228">
        <v>1.0</v>
      </c>
      <c r="F379" s="249"/>
      <c r="G379" s="250">
        <v>45547.0</v>
      </c>
      <c r="H379" s="250">
        <v>45930.0</v>
      </c>
      <c r="I379" s="228">
        <v>383.0</v>
      </c>
      <c r="K379" s="226" t="s">
        <v>4181</v>
      </c>
      <c r="L379" s="226" t="s">
        <v>122</v>
      </c>
      <c r="M379" s="226" t="s">
        <v>14</v>
      </c>
      <c r="N379" s="226" t="s">
        <v>4185</v>
      </c>
      <c r="O379" s="226" t="s">
        <v>4183</v>
      </c>
      <c r="P379" s="250">
        <v>46106.59635040509</v>
      </c>
    </row>
    <row r="380">
      <c r="A380" s="228">
        <v>379.0</v>
      </c>
      <c r="B380" s="226">
        <v>711.0</v>
      </c>
      <c r="C380" s="226" t="s">
        <v>2391</v>
      </c>
      <c r="D380" s="226" t="s">
        <v>4188</v>
      </c>
      <c r="E380" s="228">
        <v>1.0</v>
      </c>
      <c r="F380" s="249"/>
      <c r="G380" s="250">
        <v>45547.0</v>
      </c>
      <c r="H380" s="250">
        <v>45688.0</v>
      </c>
      <c r="I380" s="228">
        <v>141.0</v>
      </c>
      <c r="K380" s="226" t="s">
        <v>4181</v>
      </c>
      <c r="L380" s="226" t="s">
        <v>259</v>
      </c>
      <c r="M380" s="226" t="s">
        <v>289</v>
      </c>
      <c r="N380" s="226" t="s">
        <v>4185</v>
      </c>
      <c r="O380" s="226" t="s">
        <v>4183</v>
      </c>
      <c r="P380" s="250">
        <v>46106.59635040509</v>
      </c>
    </row>
    <row r="381">
      <c r="A381" s="228">
        <v>380.0</v>
      </c>
      <c r="B381" s="226">
        <v>713.0</v>
      </c>
      <c r="C381" s="226" t="s">
        <v>2391</v>
      </c>
      <c r="D381" s="226" t="s">
        <v>4188</v>
      </c>
      <c r="E381" s="228">
        <v>1.0</v>
      </c>
      <c r="F381" s="249"/>
      <c r="G381" s="250">
        <v>45552.0</v>
      </c>
      <c r="H381" s="250">
        <v>45688.0</v>
      </c>
      <c r="I381" s="228">
        <v>136.0</v>
      </c>
      <c r="K381" s="226" t="s">
        <v>4181</v>
      </c>
      <c r="L381" s="226" t="s">
        <v>259</v>
      </c>
      <c r="M381" s="226" t="s">
        <v>289</v>
      </c>
      <c r="N381" s="226" t="s">
        <v>4185</v>
      </c>
      <c r="O381" s="226" t="s">
        <v>4183</v>
      </c>
      <c r="P381" s="250">
        <v>46106.59635040509</v>
      </c>
    </row>
    <row r="382">
      <c r="A382" s="228">
        <v>381.0</v>
      </c>
      <c r="B382" s="226">
        <v>715.0</v>
      </c>
      <c r="C382" s="226" t="s">
        <v>4146</v>
      </c>
      <c r="D382" s="226" t="s">
        <v>4176</v>
      </c>
      <c r="E382" s="228">
        <v>1.0</v>
      </c>
      <c r="F382" s="249"/>
      <c r="G382" s="250">
        <v>45553.0</v>
      </c>
      <c r="H382" s="250">
        <v>46284.0</v>
      </c>
      <c r="I382" s="228">
        <v>731.0</v>
      </c>
      <c r="K382" s="226" t="s">
        <v>4181</v>
      </c>
      <c r="L382" s="226" t="s">
        <v>261</v>
      </c>
      <c r="M382" s="226" t="s">
        <v>123</v>
      </c>
      <c r="N382" s="226" t="s">
        <v>4190</v>
      </c>
      <c r="O382" s="226" t="s">
        <v>4183</v>
      </c>
      <c r="P382" s="250">
        <v>46106.59635040509</v>
      </c>
    </row>
    <row r="383">
      <c r="A383" s="228">
        <v>382.0</v>
      </c>
      <c r="B383" s="226">
        <v>714.0</v>
      </c>
      <c r="C383" s="226" t="s">
        <v>4148</v>
      </c>
      <c r="D383" s="226" t="s">
        <v>4188</v>
      </c>
      <c r="E383" s="228">
        <v>1.0</v>
      </c>
      <c r="F383" s="249"/>
      <c r="G383" s="250">
        <v>45553.0</v>
      </c>
      <c r="H383" s="250">
        <v>45688.0</v>
      </c>
      <c r="I383" s="228">
        <v>135.0</v>
      </c>
      <c r="K383" s="226" t="s">
        <v>4181</v>
      </c>
      <c r="L383" s="226" t="s">
        <v>247</v>
      </c>
      <c r="M383" s="226" t="s">
        <v>289</v>
      </c>
      <c r="N383" s="226" t="s">
        <v>4185</v>
      </c>
      <c r="O383" s="226" t="s">
        <v>4183</v>
      </c>
      <c r="P383" s="250">
        <v>46106.59635040509</v>
      </c>
    </row>
    <row r="384">
      <c r="A384" s="228">
        <v>383.0</v>
      </c>
      <c r="B384" s="226">
        <v>717.0</v>
      </c>
      <c r="C384" s="226" t="s">
        <v>640</v>
      </c>
      <c r="D384" s="226" t="s">
        <v>4188</v>
      </c>
      <c r="E384" s="228">
        <v>1.0</v>
      </c>
      <c r="F384" s="249"/>
      <c r="G384" s="250">
        <v>45554.0</v>
      </c>
      <c r="H384" s="250">
        <v>45919.0</v>
      </c>
      <c r="I384" s="228">
        <v>365.0</v>
      </c>
      <c r="K384" s="226" t="s">
        <v>4181</v>
      </c>
      <c r="L384" s="226" t="s">
        <v>211</v>
      </c>
      <c r="M384" s="226" t="s">
        <v>123</v>
      </c>
      <c r="N384" s="226" t="s">
        <v>4185</v>
      </c>
      <c r="O384" s="226" t="s">
        <v>4183</v>
      </c>
      <c r="P384" s="250">
        <v>46106.59635040509</v>
      </c>
    </row>
    <row r="385">
      <c r="A385" s="228">
        <v>384.0</v>
      </c>
      <c r="B385" s="226">
        <v>718.0</v>
      </c>
      <c r="C385" s="226" t="s">
        <v>2805</v>
      </c>
      <c r="D385" s="226" t="s">
        <v>4176</v>
      </c>
      <c r="E385" s="228">
        <v>1.0</v>
      </c>
      <c r="F385" s="249"/>
      <c r="G385" s="250">
        <v>45555.0</v>
      </c>
      <c r="H385" s="250">
        <v>45565.0</v>
      </c>
      <c r="I385" s="228">
        <v>10.0</v>
      </c>
      <c r="K385" s="226" t="s">
        <v>4181</v>
      </c>
      <c r="L385" s="226" t="s">
        <v>476</v>
      </c>
      <c r="M385" s="226" t="s">
        <v>175</v>
      </c>
      <c r="N385" s="226" t="s">
        <v>4185</v>
      </c>
      <c r="O385" s="226" t="s">
        <v>4183</v>
      </c>
      <c r="P385" s="250">
        <v>46106.59635040509</v>
      </c>
    </row>
    <row r="386">
      <c r="A386" s="228">
        <v>385.0</v>
      </c>
      <c r="B386" s="226">
        <v>719.0</v>
      </c>
      <c r="C386" s="226" t="s">
        <v>730</v>
      </c>
      <c r="D386" s="226" t="s">
        <v>4176</v>
      </c>
      <c r="E386" s="228">
        <v>1.0</v>
      </c>
      <c r="F386" s="249"/>
      <c r="G386" s="250">
        <v>45555.0</v>
      </c>
      <c r="H386" s="250">
        <v>46083.0</v>
      </c>
      <c r="I386" s="228">
        <v>528.0</v>
      </c>
      <c r="K386" s="226" t="s">
        <v>4181</v>
      </c>
      <c r="L386" s="226" t="s">
        <v>211</v>
      </c>
      <c r="M386" s="226" t="s">
        <v>65</v>
      </c>
      <c r="N386" s="226" t="s">
        <v>4448</v>
      </c>
      <c r="O386" s="226" t="s">
        <v>4183</v>
      </c>
      <c r="P386" s="250">
        <v>46106.59635040509</v>
      </c>
    </row>
    <row r="387">
      <c r="A387" s="228">
        <v>386.0</v>
      </c>
      <c r="B387" s="226">
        <v>721.0</v>
      </c>
      <c r="C387" s="226" t="s">
        <v>4178</v>
      </c>
      <c r="D387" s="226" t="s">
        <v>4188</v>
      </c>
      <c r="E387" s="228">
        <v>1.0</v>
      </c>
      <c r="F387" s="249"/>
      <c r="G387" s="250">
        <v>45559.0</v>
      </c>
      <c r="H387" s="250">
        <v>45650.0</v>
      </c>
      <c r="I387" s="228">
        <v>91.0</v>
      </c>
      <c r="K387" s="226" t="s">
        <v>4181</v>
      </c>
      <c r="L387" s="226" t="s">
        <v>289</v>
      </c>
      <c r="M387" s="226" t="s">
        <v>2644</v>
      </c>
      <c r="N387" s="226" t="s">
        <v>4185</v>
      </c>
      <c r="O387" s="226" t="s">
        <v>4183</v>
      </c>
      <c r="P387" s="250">
        <v>46106.59635040509</v>
      </c>
    </row>
    <row r="388">
      <c r="A388" s="228">
        <v>387.0</v>
      </c>
      <c r="B388" s="226">
        <v>723.0</v>
      </c>
      <c r="C388" s="226" t="s">
        <v>2828</v>
      </c>
      <c r="D388" s="226" t="s">
        <v>4176</v>
      </c>
      <c r="E388" s="228">
        <v>1.0</v>
      </c>
      <c r="F388" s="249"/>
      <c r="G388" s="250">
        <v>45561.0</v>
      </c>
      <c r="H388" s="250">
        <v>45570.0</v>
      </c>
      <c r="I388" s="228">
        <v>9.0</v>
      </c>
      <c r="K388" s="226" t="s">
        <v>4181</v>
      </c>
      <c r="L388" s="226" t="s">
        <v>441</v>
      </c>
      <c r="M388" s="226" t="s">
        <v>175</v>
      </c>
      <c r="N388" s="226" t="s">
        <v>4185</v>
      </c>
      <c r="O388" s="226" t="s">
        <v>4183</v>
      </c>
      <c r="P388" s="250">
        <v>46106.59635040509</v>
      </c>
    </row>
    <row r="389">
      <c r="A389" s="228">
        <v>388.0</v>
      </c>
      <c r="B389" s="226">
        <v>726.0</v>
      </c>
      <c r="C389" s="226" t="s">
        <v>2907</v>
      </c>
      <c r="D389" s="226" t="s">
        <v>4176</v>
      </c>
      <c r="E389" s="228">
        <v>1.0</v>
      </c>
      <c r="F389" s="249"/>
      <c r="G389" s="250">
        <v>45565.0</v>
      </c>
      <c r="H389" s="250">
        <v>45717.0</v>
      </c>
      <c r="I389" s="228">
        <v>152.0</v>
      </c>
      <c r="K389" s="226" t="s">
        <v>4181</v>
      </c>
      <c r="L389" s="226" t="s">
        <v>122</v>
      </c>
      <c r="M389" s="226" t="s">
        <v>261</v>
      </c>
      <c r="N389" s="226" t="s">
        <v>4185</v>
      </c>
      <c r="O389" s="226" t="s">
        <v>4183</v>
      </c>
      <c r="P389" s="250">
        <v>46106.59635040509</v>
      </c>
    </row>
    <row r="390">
      <c r="A390" s="228">
        <v>389.0</v>
      </c>
      <c r="B390" s="226">
        <v>727.0</v>
      </c>
      <c r="C390" s="226" t="s">
        <v>4196</v>
      </c>
      <c r="D390" s="226" t="s">
        <v>4188</v>
      </c>
      <c r="E390" s="228">
        <v>1.0</v>
      </c>
      <c r="F390" s="249"/>
      <c r="G390" s="250">
        <v>45566.0</v>
      </c>
      <c r="H390" s="250">
        <v>45657.0</v>
      </c>
      <c r="I390" s="228">
        <v>91.0</v>
      </c>
      <c r="K390" s="226" t="s">
        <v>4181</v>
      </c>
      <c r="L390" s="226" t="s">
        <v>289</v>
      </c>
      <c r="M390" s="226" t="s">
        <v>2644</v>
      </c>
      <c r="N390" s="226" t="s">
        <v>4185</v>
      </c>
      <c r="O390" s="226" t="s">
        <v>4183</v>
      </c>
      <c r="P390" s="250">
        <v>46106.59635040509</v>
      </c>
    </row>
    <row r="391">
      <c r="A391" s="228">
        <v>390.0</v>
      </c>
      <c r="B391" s="226">
        <v>728.0</v>
      </c>
      <c r="C391" s="226" t="s">
        <v>2845</v>
      </c>
      <c r="D391" s="226" t="s">
        <v>4176</v>
      </c>
      <c r="E391" s="228">
        <v>1.0</v>
      </c>
      <c r="F391" s="249"/>
      <c r="G391" s="250">
        <v>45567.0</v>
      </c>
      <c r="H391" s="250">
        <v>45932.0</v>
      </c>
      <c r="I391" s="228">
        <v>365.0</v>
      </c>
      <c r="K391" s="226" t="s">
        <v>4181</v>
      </c>
      <c r="L391" s="226" t="s">
        <v>311</v>
      </c>
      <c r="M391" s="226" t="s">
        <v>175</v>
      </c>
      <c r="N391" s="226" t="s">
        <v>4185</v>
      </c>
      <c r="O391" s="226" t="s">
        <v>4183</v>
      </c>
      <c r="P391" s="250">
        <v>46106.59635040509</v>
      </c>
    </row>
    <row r="392">
      <c r="A392" s="228">
        <v>391.0</v>
      </c>
      <c r="B392" s="226">
        <v>730.0</v>
      </c>
      <c r="C392" s="226" t="s">
        <v>2851</v>
      </c>
      <c r="D392" s="226" t="s">
        <v>4176</v>
      </c>
      <c r="E392" s="228">
        <v>1.0</v>
      </c>
      <c r="F392" s="249"/>
      <c r="G392" s="250">
        <v>45568.0</v>
      </c>
      <c r="H392" s="250">
        <v>45695.0</v>
      </c>
      <c r="I392" s="228">
        <v>127.0</v>
      </c>
      <c r="K392" s="226" t="s">
        <v>4181</v>
      </c>
      <c r="L392" s="226" t="s">
        <v>441</v>
      </c>
      <c r="M392" s="226" t="s">
        <v>261</v>
      </c>
      <c r="N392" s="226" t="s">
        <v>4185</v>
      </c>
      <c r="O392" s="226" t="s">
        <v>4183</v>
      </c>
      <c r="P392" s="250">
        <v>46106.59635040509</v>
      </c>
    </row>
    <row r="393">
      <c r="A393" s="228">
        <v>392.0</v>
      </c>
      <c r="B393" s="226">
        <v>729.0</v>
      </c>
      <c r="C393" s="226" t="s">
        <v>931</v>
      </c>
      <c r="D393" s="226" t="s">
        <v>4176</v>
      </c>
      <c r="E393" s="228">
        <v>1.0</v>
      </c>
      <c r="F393" s="249"/>
      <c r="G393" s="250">
        <v>45568.0</v>
      </c>
      <c r="H393" s="250">
        <v>46298.0</v>
      </c>
      <c r="I393" s="228">
        <v>730.0</v>
      </c>
      <c r="K393" s="226" t="s">
        <v>4181</v>
      </c>
      <c r="L393" s="226" t="s">
        <v>247</v>
      </c>
      <c r="M393" s="226" t="s">
        <v>123</v>
      </c>
      <c r="N393" s="226" t="s">
        <v>4190</v>
      </c>
      <c r="O393" s="226" t="s">
        <v>4183</v>
      </c>
      <c r="P393" s="250">
        <v>46106.59635040509</v>
      </c>
    </row>
    <row r="394">
      <c r="A394" s="228">
        <v>393.0</v>
      </c>
      <c r="B394" s="226">
        <v>725.0</v>
      </c>
      <c r="C394" s="226" t="s">
        <v>2958</v>
      </c>
      <c r="D394" s="226" t="s">
        <v>4176</v>
      </c>
      <c r="E394" s="228">
        <v>1.0</v>
      </c>
      <c r="F394" s="249"/>
      <c r="G394" s="250">
        <v>45569.0</v>
      </c>
      <c r="H394" s="250">
        <v>45934.0</v>
      </c>
      <c r="I394" s="228">
        <v>365.0</v>
      </c>
      <c r="K394" s="226" t="s">
        <v>4181</v>
      </c>
      <c r="L394" s="226" t="s">
        <v>211</v>
      </c>
      <c r="M394" s="226" t="s">
        <v>14</v>
      </c>
      <c r="N394" s="226" t="s">
        <v>4185</v>
      </c>
      <c r="O394" s="226" t="s">
        <v>4183</v>
      </c>
      <c r="P394" s="250">
        <v>46106.59635040509</v>
      </c>
    </row>
    <row r="395">
      <c r="A395" s="228">
        <v>394.0</v>
      </c>
      <c r="B395" s="226">
        <v>614.0</v>
      </c>
      <c r="C395" s="226" t="s">
        <v>2280</v>
      </c>
      <c r="D395" s="226" t="s">
        <v>4176</v>
      </c>
      <c r="E395" s="228">
        <v>1.0</v>
      </c>
      <c r="F395" s="249"/>
      <c r="G395" s="250">
        <v>45572.0</v>
      </c>
      <c r="H395" s="250">
        <v>46143.0</v>
      </c>
      <c r="I395" s="228">
        <v>571.0</v>
      </c>
      <c r="K395" s="226" t="s">
        <v>4181</v>
      </c>
      <c r="L395" s="226" t="s">
        <v>261</v>
      </c>
      <c r="M395" s="226" t="s">
        <v>38</v>
      </c>
      <c r="N395" s="226" t="s">
        <v>4185</v>
      </c>
      <c r="O395" s="226" t="s">
        <v>4183</v>
      </c>
      <c r="P395" s="250">
        <v>46106.59635040509</v>
      </c>
    </row>
    <row r="396">
      <c r="A396" s="228">
        <v>395.0</v>
      </c>
      <c r="B396" s="226">
        <v>731.0</v>
      </c>
      <c r="C396" s="226" t="s">
        <v>4220</v>
      </c>
      <c r="D396" s="226" t="s">
        <v>4176</v>
      </c>
      <c r="E396" s="228">
        <v>1.0</v>
      </c>
      <c r="F396" s="249"/>
      <c r="G396" s="250">
        <v>45572.0</v>
      </c>
      <c r="H396" s="250">
        <v>45838.0</v>
      </c>
      <c r="I396" s="228">
        <v>266.0</v>
      </c>
      <c r="K396" s="226" t="s">
        <v>4181</v>
      </c>
      <c r="L396" s="226" t="s">
        <v>247</v>
      </c>
      <c r="M396" s="226" t="s">
        <v>261</v>
      </c>
      <c r="N396" s="226" t="s">
        <v>4185</v>
      </c>
      <c r="O396" s="226" t="s">
        <v>4183</v>
      </c>
      <c r="P396" s="250">
        <v>46106.59635040509</v>
      </c>
    </row>
    <row r="397">
      <c r="A397" s="228">
        <v>396.0</v>
      </c>
      <c r="B397" s="226">
        <v>720.0</v>
      </c>
      <c r="C397" s="226" t="s">
        <v>2838</v>
      </c>
      <c r="D397" s="226" t="s">
        <v>4176</v>
      </c>
      <c r="E397" s="228">
        <v>1.0</v>
      </c>
      <c r="F397" s="249"/>
      <c r="G397" s="250">
        <v>45573.0</v>
      </c>
      <c r="H397" s="250">
        <v>45938.0</v>
      </c>
      <c r="I397" s="228">
        <v>365.0</v>
      </c>
      <c r="K397" s="226" t="s">
        <v>4181</v>
      </c>
      <c r="L397" s="226" t="s">
        <v>122</v>
      </c>
      <c r="M397" s="226" t="s">
        <v>261</v>
      </c>
      <c r="N397" s="226" t="s">
        <v>4185</v>
      </c>
      <c r="O397" s="226" t="s">
        <v>4183</v>
      </c>
      <c r="P397" s="250">
        <v>46106.59635040509</v>
      </c>
    </row>
    <row r="398">
      <c r="A398" s="228">
        <v>397.0</v>
      </c>
      <c r="B398" s="226">
        <v>732.0</v>
      </c>
      <c r="C398" s="226" t="s">
        <v>839</v>
      </c>
      <c r="D398" s="226" t="s">
        <v>4176</v>
      </c>
      <c r="E398" s="228">
        <v>1.0</v>
      </c>
      <c r="F398" s="249"/>
      <c r="G398" s="250">
        <v>45573.0</v>
      </c>
      <c r="H398" s="250">
        <v>46112.0</v>
      </c>
      <c r="I398" s="228">
        <v>539.0</v>
      </c>
      <c r="K398" s="226" t="s">
        <v>4181</v>
      </c>
      <c r="L398" s="226" t="s">
        <v>210</v>
      </c>
      <c r="M398" s="226" t="s">
        <v>123</v>
      </c>
      <c r="N398" s="226" t="s">
        <v>4190</v>
      </c>
      <c r="O398" s="226" t="s">
        <v>4183</v>
      </c>
      <c r="P398" s="250">
        <v>46106.59635040509</v>
      </c>
    </row>
    <row r="399">
      <c r="A399" s="228">
        <v>398.0</v>
      </c>
      <c r="B399" s="226">
        <v>733.0</v>
      </c>
      <c r="C399" s="226" t="s">
        <v>2872</v>
      </c>
      <c r="D399" s="226" t="s">
        <v>4176</v>
      </c>
      <c r="E399" s="228">
        <v>1.0</v>
      </c>
      <c r="F399" s="249"/>
      <c r="G399" s="250">
        <v>45574.0</v>
      </c>
      <c r="H399" s="250">
        <v>46332.0</v>
      </c>
      <c r="I399" s="228">
        <v>758.0</v>
      </c>
      <c r="K399" s="226" t="s">
        <v>4181</v>
      </c>
      <c r="L399" s="226" t="s">
        <v>210</v>
      </c>
      <c r="M399" s="226" t="s">
        <v>14</v>
      </c>
      <c r="N399" s="226" t="s">
        <v>4190</v>
      </c>
      <c r="O399" s="226" t="s">
        <v>4183</v>
      </c>
      <c r="P399" s="250">
        <v>46106.59635040509</v>
      </c>
    </row>
    <row r="400">
      <c r="A400" s="228">
        <v>399.0</v>
      </c>
      <c r="B400" s="226">
        <v>734.0</v>
      </c>
      <c r="C400" s="226" t="s">
        <v>501</v>
      </c>
      <c r="D400" s="226" t="s">
        <v>4176</v>
      </c>
      <c r="E400" s="228">
        <v>1.0</v>
      </c>
      <c r="F400" s="249"/>
      <c r="G400" s="250">
        <v>45574.0</v>
      </c>
      <c r="H400" s="250">
        <v>46387.0</v>
      </c>
      <c r="I400" s="228">
        <v>813.0</v>
      </c>
      <c r="K400" s="226" t="s">
        <v>4181</v>
      </c>
      <c r="L400" s="226" t="s">
        <v>211</v>
      </c>
      <c r="M400" s="226" t="s">
        <v>123</v>
      </c>
      <c r="N400" s="226" t="s">
        <v>4190</v>
      </c>
      <c r="O400" s="226" t="s">
        <v>4183</v>
      </c>
      <c r="P400" s="250">
        <v>46106.59635040509</v>
      </c>
    </row>
    <row r="401">
      <c r="A401" s="228">
        <v>400.0</v>
      </c>
      <c r="B401" s="226">
        <v>735.0</v>
      </c>
      <c r="C401" s="226" t="s">
        <v>2893</v>
      </c>
      <c r="D401" s="226" t="s">
        <v>4176</v>
      </c>
      <c r="E401" s="228">
        <v>1.0</v>
      </c>
      <c r="F401" s="249"/>
      <c r="G401" s="250">
        <v>45579.0</v>
      </c>
      <c r="H401" s="250">
        <v>45596.0</v>
      </c>
      <c r="I401" s="228">
        <v>17.0</v>
      </c>
      <c r="K401" s="226" t="s">
        <v>4181</v>
      </c>
      <c r="L401" s="226" t="s">
        <v>441</v>
      </c>
      <c r="M401" s="226" t="s">
        <v>175</v>
      </c>
      <c r="N401" s="226" t="s">
        <v>4185</v>
      </c>
      <c r="O401" s="226" t="s">
        <v>4183</v>
      </c>
      <c r="P401" s="250">
        <v>46106.59635040509</v>
      </c>
    </row>
    <row r="402">
      <c r="A402" s="228">
        <v>401.0</v>
      </c>
      <c r="B402" s="226">
        <v>736.0</v>
      </c>
      <c r="C402" s="226" t="s">
        <v>2966</v>
      </c>
      <c r="D402" s="226" t="s">
        <v>4176</v>
      </c>
      <c r="E402" s="228">
        <v>1.0</v>
      </c>
      <c r="F402" s="249"/>
      <c r="G402" s="250">
        <v>45579.0</v>
      </c>
      <c r="H402" s="250">
        <v>45762.0</v>
      </c>
      <c r="I402" s="228">
        <v>183.0</v>
      </c>
      <c r="K402" s="226" t="s">
        <v>4181</v>
      </c>
      <c r="L402" s="226" t="s">
        <v>122</v>
      </c>
      <c r="M402" s="226" t="s">
        <v>261</v>
      </c>
      <c r="N402" s="226" t="s">
        <v>4185</v>
      </c>
      <c r="O402" s="226" t="s">
        <v>4183</v>
      </c>
      <c r="P402" s="250">
        <v>46106.59635040509</v>
      </c>
    </row>
    <row r="403">
      <c r="A403" s="228">
        <v>402.0</v>
      </c>
      <c r="B403" s="226">
        <v>737.0</v>
      </c>
      <c r="C403" s="226" t="s">
        <v>4242</v>
      </c>
      <c r="D403" s="226" t="s">
        <v>4176</v>
      </c>
      <c r="E403" s="228">
        <v>1.0</v>
      </c>
      <c r="F403" s="249"/>
      <c r="G403" s="250">
        <v>45580.0</v>
      </c>
      <c r="H403" s="250">
        <v>45946.0</v>
      </c>
      <c r="I403" s="228">
        <v>366.0</v>
      </c>
      <c r="K403" s="226" t="s">
        <v>4181</v>
      </c>
      <c r="L403" s="226" t="s">
        <v>311</v>
      </c>
      <c r="M403" s="226" t="s">
        <v>261</v>
      </c>
      <c r="N403" s="226" t="s">
        <v>4185</v>
      </c>
      <c r="O403" s="226" t="s">
        <v>4183</v>
      </c>
      <c r="P403" s="250">
        <v>46106.59635040509</v>
      </c>
    </row>
    <row r="404">
      <c r="A404" s="228">
        <v>403.0</v>
      </c>
      <c r="B404" s="226">
        <v>738.0</v>
      </c>
      <c r="C404" s="226" t="s">
        <v>2924</v>
      </c>
      <c r="D404" s="226" t="s">
        <v>4176</v>
      </c>
      <c r="E404" s="228">
        <v>1.0</v>
      </c>
      <c r="F404" s="249"/>
      <c r="G404" s="250">
        <v>45581.0</v>
      </c>
      <c r="H404" s="250">
        <v>46311.0</v>
      </c>
      <c r="I404" s="228">
        <v>730.0</v>
      </c>
      <c r="K404" s="226" t="s">
        <v>4181</v>
      </c>
      <c r="L404" s="226" t="s">
        <v>210</v>
      </c>
      <c r="M404" s="226" t="s">
        <v>14</v>
      </c>
      <c r="N404" s="226" t="s">
        <v>4190</v>
      </c>
      <c r="O404" s="226" t="s">
        <v>4183</v>
      </c>
      <c r="P404" s="250">
        <v>46106.59635040509</v>
      </c>
    </row>
    <row r="405">
      <c r="A405" s="228">
        <v>404.0</v>
      </c>
      <c r="B405" s="226">
        <v>739.0</v>
      </c>
      <c r="C405" s="226" t="s">
        <v>4249</v>
      </c>
      <c r="D405" s="226" t="s">
        <v>4188</v>
      </c>
      <c r="E405" s="228">
        <v>1.0</v>
      </c>
      <c r="F405" s="249"/>
      <c r="G405" s="250">
        <v>45581.0</v>
      </c>
      <c r="H405" s="250">
        <v>45688.0</v>
      </c>
      <c r="I405" s="228">
        <v>107.0</v>
      </c>
      <c r="K405" s="226" t="s">
        <v>4181</v>
      </c>
      <c r="L405" s="226" t="s">
        <v>247</v>
      </c>
      <c r="M405" s="226" t="s">
        <v>289</v>
      </c>
      <c r="N405" s="226" t="s">
        <v>4185</v>
      </c>
      <c r="O405" s="226" t="s">
        <v>4183</v>
      </c>
      <c r="P405" s="250">
        <v>46106.59635040509</v>
      </c>
    </row>
    <row r="406">
      <c r="A406" s="228">
        <v>405.0</v>
      </c>
      <c r="B406" s="226">
        <v>740.0</v>
      </c>
      <c r="C406" s="226" t="s">
        <v>2933</v>
      </c>
      <c r="D406" s="226" t="s">
        <v>4176</v>
      </c>
      <c r="E406" s="228">
        <v>1.0</v>
      </c>
      <c r="F406" s="249"/>
      <c r="G406" s="250">
        <v>45586.0</v>
      </c>
      <c r="H406" s="250">
        <v>46053.0</v>
      </c>
      <c r="I406" s="228">
        <v>467.0</v>
      </c>
      <c r="K406" s="226" t="s">
        <v>4181</v>
      </c>
      <c r="L406" s="226" t="s">
        <v>311</v>
      </c>
      <c r="M406" s="226" t="s">
        <v>261</v>
      </c>
      <c r="N406" s="226" t="s">
        <v>4185</v>
      </c>
      <c r="O406" s="226" t="s">
        <v>4183</v>
      </c>
      <c r="P406" s="250">
        <v>46106.59635040509</v>
      </c>
    </row>
    <row r="407">
      <c r="A407" s="228">
        <v>406.0</v>
      </c>
      <c r="B407" s="226">
        <v>742.0</v>
      </c>
      <c r="C407" s="226" t="s">
        <v>4261</v>
      </c>
      <c r="D407" s="226" t="s">
        <v>4188</v>
      </c>
      <c r="E407" s="228">
        <v>1.0</v>
      </c>
      <c r="F407" s="249"/>
      <c r="G407" s="250">
        <v>45589.0</v>
      </c>
      <c r="H407" s="250">
        <v>45658.0</v>
      </c>
      <c r="I407" s="228">
        <v>69.0</v>
      </c>
      <c r="K407" s="226" t="s">
        <v>4181</v>
      </c>
      <c r="L407" s="226" t="s">
        <v>2644</v>
      </c>
      <c r="M407" s="226" t="s">
        <v>2644</v>
      </c>
      <c r="N407" s="226" t="s">
        <v>4185</v>
      </c>
      <c r="O407" s="226" t="s">
        <v>4183</v>
      </c>
      <c r="P407" s="250">
        <v>46106.59635040509</v>
      </c>
    </row>
    <row r="408">
      <c r="A408" s="228">
        <v>407.0</v>
      </c>
      <c r="B408" s="226">
        <v>716.0</v>
      </c>
      <c r="C408" s="226" t="s">
        <v>688</v>
      </c>
      <c r="D408" s="226" t="s">
        <v>4176</v>
      </c>
      <c r="E408" s="228">
        <v>1.0</v>
      </c>
      <c r="F408" s="249"/>
      <c r="G408" s="250">
        <v>45590.0</v>
      </c>
      <c r="H408" s="250">
        <v>46316.0</v>
      </c>
      <c r="I408" s="228">
        <v>726.0</v>
      </c>
      <c r="K408" s="226" t="s">
        <v>4181</v>
      </c>
      <c r="L408" s="226" t="s">
        <v>122</v>
      </c>
      <c r="M408" s="226" t="s">
        <v>14</v>
      </c>
      <c r="N408" s="226" t="s">
        <v>4190</v>
      </c>
      <c r="O408" s="226" t="s">
        <v>4183</v>
      </c>
      <c r="P408" s="250">
        <v>46106.59635040509</v>
      </c>
    </row>
    <row r="409">
      <c r="A409" s="228">
        <v>408.0</v>
      </c>
      <c r="B409" s="226">
        <v>744.0</v>
      </c>
      <c r="C409" s="226" t="s">
        <v>2949</v>
      </c>
      <c r="D409" s="226" t="s">
        <v>4176</v>
      </c>
      <c r="E409" s="228">
        <v>1.0</v>
      </c>
      <c r="F409" s="249"/>
      <c r="G409" s="250">
        <v>45593.0</v>
      </c>
      <c r="H409" s="250">
        <v>45958.0</v>
      </c>
      <c r="I409" s="228">
        <v>365.0</v>
      </c>
      <c r="K409" s="226" t="s">
        <v>4181</v>
      </c>
      <c r="L409" s="226" t="s">
        <v>210</v>
      </c>
      <c r="M409" s="226" t="s">
        <v>261</v>
      </c>
      <c r="N409" s="226" t="s">
        <v>4185</v>
      </c>
      <c r="O409" s="226" t="s">
        <v>4183</v>
      </c>
      <c r="P409" s="250">
        <v>46106.59635040509</v>
      </c>
    </row>
    <row r="410">
      <c r="A410" s="228">
        <v>409.0</v>
      </c>
      <c r="B410" s="226">
        <v>745.0</v>
      </c>
      <c r="C410" s="226" t="s">
        <v>4276</v>
      </c>
      <c r="D410" s="226" t="s">
        <v>4176</v>
      </c>
      <c r="E410" s="228">
        <v>1.0</v>
      </c>
      <c r="F410" s="249"/>
      <c r="G410" s="250">
        <v>45597.0</v>
      </c>
      <c r="H410" s="250">
        <v>46359.0</v>
      </c>
      <c r="I410" s="228">
        <v>762.0</v>
      </c>
      <c r="K410" s="226" t="s">
        <v>4181</v>
      </c>
      <c r="L410" s="226" t="s">
        <v>210</v>
      </c>
      <c r="M410" s="226" t="s">
        <v>14</v>
      </c>
      <c r="N410" s="226" t="s">
        <v>4190</v>
      </c>
      <c r="O410" s="226" t="s">
        <v>4183</v>
      </c>
      <c r="P410" s="250">
        <v>46106.59635040509</v>
      </c>
    </row>
    <row r="411">
      <c r="A411" s="228">
        <v>410.0</v>
      </c>
      <c r="B411" s="226">
        <v>746.0</v>
      </c>
      <c r="C411" s="226" t="s">
        <v>887</v>
      </c>
      <c r="D411" s="226" t="s">
        <v>4176</v>
      </c>
      <c r="E411" s="228">
        <v>1.0</v>
      </c>
      <c r="F411" s="249"/>
      <c r="G411" s="250">
        <v>45597.0</v>
      </c>
      <c r="H411" s="250">
        <v>46113.0</v>
      </c>
      <c r="I411" s="228">
        <v>516.0</v>
      </c>
      <c r="K411" s="226" t="s">
        <v>4181</v>
      </c>
      <c r="L411" s="226" t="s">
        <v>247</v>
      </c>
      <c r="M411" s="226" t="s">
        <v>65</v>
      </c>
      <c r="N411" s="226" t="s">
        <v>4185</v>
      </c>
      <c r="O411" s="226" t="s">
        <v>4183</v>
      </c>
      <c r="P411" s="250">
        <v>46106.59635040509</v>
      </c>
    </row>
    <row r="412">
      <c r="A412" s="228">
        <v>411.0</v>
      </c>
      <c r="B412" s="226">
        <v>498.0</v>
      </c>
      <c r="C412" s="226" t="s">
        <v>1083</v>
      </c>
      <c r="D412" s="226" t="s">
        <v>4176</v>
      </c>
      <c r="E412" s="228">
        <v>1.0</v>
      </c>
      <c r="F412" s="249"/>
      <c r="G412" s="250">
        <v>45598.0</v>
      </c>
      <c r="H412" s="250">
        <v>45963.0</v>
      </c>
      <c r="I412" s="228">
        <v>365.0</v>
      </c>
      <c r="K412" s="226" t="s">
        <v>4181</v>
      </c>
      <c r="L412" s="226" t="s">
        <v>122</v>
      </c>
      <c r="M412" s="226" t="s">
        <v>1777</v>
      </c>
      <c r="N412" s="226" t="s">
        <v>4190</v>
      </c>
      <c r="O412" s="226" t="s">
        <v>4183</v>
      </c>
      <c r="P412" s="250">
        <v>46106.59635040509</v>
      </c>
    </row>
    <row r="413">
      <c r="A413" s="228">
        <v>412.0</v>
      </c>
      <c r="B413" s="226">
        <v>747.0</v>
      </c>
      <c r="C413" s="226" t="s">
        <v>4288</v>
      </c>
      <c r="D413" s="226" t="s">
        <v>4176</v>
      </c>
      <c r="E413" s="228">
        <v>1.0</v>
      </c>
      <c r="F413" s="249"/>
      <c r="G413" s="250">
        <v>45600.0</v>
      </c>
      <c r="H413" s="250">
        <v>45966.0</v>
      </c>
      <c r="I413" s="228">
        <v>366.0</v>
      </c>
      <c r="K413" s="226" t="s">
        <v>4181</v>
      </c>
      <c r="L413" s="226" t="s">
        <v>247</v>
      </c>
      <c r="M413" s="226" t="s">
        <v>14</v>
      </c>
      <c r="N413" s="226" t="s">
        <v>4185</v>
      </c>
      <c r="O413" s="226" t="s">
        <v>4183</v>
      </c>
      <c r="P413" s="250">
        <v>46106.59635040509</v>
      </c>
    </row>
    <row r="414">
      <c r="A414" s="228">
        <v>413.0</v>
      </c>
      <c r="B414" s="226">
        <v>748.0</v>
      </c>
      <c r="C414" s="226" t="s">
        <v>4293</v>
      </c>
      <c r="D414" s="226" t="s">
        <v>4176</v>
      </c>
      <c r="E414" s="228">
        <v>1.0</v>
      </c>
      <c r="F414" s="249"/>
      <c r="G414" s="250">
        <v>45600.0</v>
      </c>
      <c r="H414" s="250">
        <v>45966.0</v>
      </c>
      <c r="I414" s="228">
        <v>366.0</v>
      </c>
      <c r="K414" s="226" t="s">
        <v>4181</v>
      </c>
      <c r="L414" s="226" t="s">
        <v>247</v>
      </c>
      <c r="M414" s="226" t="s">
        <v>123</v>
      </c>
      <c r="N414" s="226" t="s">
        <v>4185</v>
      </c>
      <c r="O414" s="226" t="s">
        <v>4183</v>
      </c>
      <c r="P414" s="250">
        <v>46106.59635040509</v>
      </c>
    </row>
    <row r="415">
      <c r="A415" s="228">
        <v>414.0</v>
      </c>
      <c r="B415" s="226">
        <v>750.0</v>
      </c>
      <c r="C415" s="226" t="s">
        <v>1082</v>
      </c>
      <c r="D415" s="226" t="s">
        <v>4176</v>
      </c>
      <c r="E415" s="228">
        <v>1.0</v>
      </c>
      <c r="F415" s="249"/>
      <c r="G415" s="250">
        <v>45609.0</v>
      </c>
      <c r="H415" s="250">
        <v>45974.0</v>
      </c>
      <c r="I415" s="228">
        <v>365.0</v>
      </c>
      <c r="K415" s="226" t="s">
        <v>4181</v>
      </c>
      <c r="L415" s="226" t="s">
        <v>210</v>
      </c>
      <c r="M415" s="226" t="s">
        <v>123</v>
      </c>
      <c r="N415" s="226" t="s">
        <v>4185</v>
      </c>
      <c r="O415" s="226" t="s">
        <v>4183</v>
      </c>
      <c r="P415" s="250">
        <v>46106.59635040509</v>
      </c>
    </row>
    <row r="416">
      <c r="A416" s="228">
        <v>415.0</v>
      </c>
      <c r="B416" s="226">
        <v>751.0</v>
      </c>
      <c r="C416" s="226" t="s">
        <v>4299</v>
      </c>
      <c r="D416" s="226" t="s">
        <v>4176</v>
      </c>
      <c r="E416" s="228">
        <v>1.0</v>
      </c>
      <c r="F416" s="249"/>
      <c r="G416" s="250">
        <v>45614.0</v>
      </c>
      <c r="H416" s="250">
        <v>45626.0</v>
      </c>
      <c r="I416" s="228">
        <v>12.0</v>
      </c>
      <c r="K416" s="226" t="s">
        <v>4181</v>
      </c>
      <c r="L416" s="226" t="s">
        <v>247</v>
      </c>
      <c r="M416" s="226" t="s">
        <v>175</v>
      </c>
      <c r="N416" s="226" t="s">
        <v>4185</v>
      </c>
      <c r="O416" s="226" t="s">
        <v>4183</v>
      </c>
      <c r="P416" s="250">
        <v>46106.59635040509</v>
      </c>
    </row>
    <row r="417">
      <c r="A417" s="228">
        <v>416.0</v>
      </c>
      <c r="B417" s="226">
        <v>754.0</v>
      </c>
      <c r="C417" s="226" t="s">
        <v>2976</v>
      </c>
      <c r="D417" s="226" t="s">
        <v>4176</v>
      </c>
      <c r="E417" s="228">
        <v>1.0</v>
      </c>
      <c r="F417" s="249"/>
      <c r="G417" s="250">
        <v>45618.0</v>
      </c>
      <c r="H417" s="250">
        <v>45641.0</v>
      </c>
      <c r="I417" s="228">
        <v>23.0</v>
      </c>
      <c r="K417" s="226" t="s">
        <v>4181</v>
      </c>
      <c r="L417" s="226" t="s">
        <v>2330</v>
      </c>
      <c r="M417" s="226" t="s">
        <v>175</v>
      </c>
      <c r="N417" s="226" t="s">
        <v>4185</v>
      </c>
      <c r="O417" s="226" t="s">
        <v>4183</v>
      </c>
      <c r="P417" s="250">
        <v>46106.59635040509</v>
      </c>
    </row>
    <row r="418">
      <c r="A418" s="228">
        <v>417.0</v>
      </c>
      <c r="B418" s="226">
        <v>753.0</v>
      </c>
      <c r="C418" s="226" t="s">
        <v>4310</v>
      </c>
      <c r="D418" s="226" t="s">
        <v>4176</v>
      </c>
      <c r="E418" s="228">
        <v>1.0</v>
      </c>
      <c r="F418" s="249"/>
      <c r="G418" s="250">
        <v>45618.0</v>
      </c>
      <c r="H418" s="250">
        <v>45799.0</v>
      </c>
      <c r="I418" s="228">
        <v>181.0</v>
      </c>
      <c r="K418" s="226" t="s">
        <v>4181</v>
      </c>
      <c r="L418" s="226" t="s">
        <v>247</v>
      </c>
      <c r="M418" s="226" t="s">
        <v>261</v>
      </c>
      <c r="N418" s="226" t="s">
        <v>4185</v>
      </c>
      <c r="O418" s="226" t="s">
        <v>4183</v>
      </c>
      <c r="P418" s="250">
        <v>46106.59635040509</v>
      </c>
    </row>
    <row r="419">
      <c r="A419" s="228">
        <v>418.0</v>
      </c>
      <c r="B419" s="226">
        <v>755.0</v>
      </c>
      <c r="C419" s="226" t="s">
        <v>4315</v>
      </c>
      <c r="D419" s="226" t="s">
        <v>4188</v>
      </c>
      <c r="E419" s="228">
        <v>1.0</v>
      </c>
      <c r="F419" s="249"/>
      <c r="G419" s="250">
        <v>45622.0</v>
      </c>
      <c r="H419" s="250">
        <v>45686.0</v>
      </c>
      <c r="I419" s="228">
        <v>64.0</v>
      </c>
      <c r="K419" s="226" t="s">
        <v>4181</v>
      </c>
      <c r="L419" s="226" t="s">
        <v>2644</v>
      </c>
      <c r="M419" s="226" t="s">
        <v>2644</v>
      </c>
      <c r="N419" s="226" t="s">
        <v>4185</v>
      </c>
      <c r="O419" s="226" t="s">
        <v>4183</v>
      </c>
      <c r="P419" s="250">
        <v>46106.59635040509</v>
      </c>
    </row>
    <row r="420">
      <c r="A420" s="228">
        <v>419.0</v>
      </c>
      <c r="B420" s="226">
        <v>756.0</v>
      </c>
      <c r="C420" s="226" t="s">
        <v>1166</v>
      </c>
      <c r="D420" s="226" t="s">
        <v>4176</v>
      </c>
      <c r="E420" s="228">
        <v>1.0</v>
      </c>
      <c r="F420" s="249"/>
      <c r="G420" s="250">
        <v>45622.0</v>
      </c>
      <c r="H420" s="250">
        <v>45728.0</v>
      </c>
      <c r="I420" s="228">
        <v>106.0</v>
      </c>
      <c r="K420" s="226" t="s">
        <v>4181</v>
      </c>
      <c r="L420" s="226" t="s">
        <v>247</v>
      </c>
      <c r="M420" s="226" t="s">
        <v>261</v>
      </c>
      <c r="N420" s="226" t="s">
        <v>4185</v>
      </c>
      <c r="O420" s="226" t="s">
        <v>4183</v>
      </c>
      <c r="P420" s="250">
        <v>46106.59635040509</v>
      </c>
    </row>
    <row r="421">
      <c r="A421" s="228">
        <v>420.0</v>
      </c>
      <c r="B421" s="226">
        <v>758.0</v>
      </c>
      <c r="C421" s="226" t="s">
        <v>2987</v>
      </c>
      <c r="D421" s="226" t="s">
        <v>4176</v>
      </c>
      <c r="E421" s="228">
        <v>1.0</v>
      </c>
      <c r="F421" s="249"/>
      <c r="G421" s="250">
        <v>45627.0</v>
      </c>
      <c r="H421" s="250">
        <v>46357.0</v>
      </c>
      <c r="I421" s="228">
        <v>730.0</v>
      </c>
      <c r="K421" s="226" t="s">
        <v>4181</v>
      </c>
      <c r="L421" s="226" t="s">
        <v>122</v>
      </c>
      <c r="M421" s="226" t="s">
        <v>14</v>
      </c>
      <c r="N421" s="226" t="s">
        <v>4190</v>
      </c>
      <c r="O421" s="226" t="s">
        <v>4183</v>
      </c>
      <c r="P421" s="250">
        <v>46106.59635040509</v>
      </c>
    </row>
    <row r="422">
      <c r="A422" s="228">
        <v>421.0</v>
      </c>
      <c r="B422" s="226">
        <v>759.0</v>
      </c>
      <c r="C422" s="226" t="s">
        <v>4329</v>
      </c>
      <c r="D422" s="226" t="s">
        <v>4188</v>
      </c>
      <c r="E422" s="228">
        <v>1.0</v>
      </c>
      <c r="F422" s="249"/>
      <c r="G422" s="250">
        <v>45631.0</v>
      </c>
      <c r="H422" s="250">
        <v>45688.0</v>
      </c>
      <c r="I422" s="228">
        <v>57.0</v>
      </c>
      <c r="K422" s="226" t="s">
        <v>4181</v>
      </c>
      <c r="L422" s="226" t="s">
        <v>247</v>
      </c>
      <c r="M422" s="226" t="s">
        <v>2644</v>
      </c>
      <c r="N422" s="226" t="s">
        <v>4185</v>
      </c>
      <c r="O422" s="226" t="s">
        <v>4183</v>
      </c>
      <c r="P422" s="250">
        <v>46106.59635040509</v>
      </c>
    </row>
    <row r="423">
      <c r="A423" s="228">
        <v>422.0</v>
      </c>
      <c r="B423" s="226">
        <v>762.0</v>
      </c>
      <c r="C423" s="226" t="s">
        <v>4336</v>
      </c>
      <c r="D423" s="226" t="s">
        <v>4188</v>
      </c>
      <c r="E423" s="228">
        <v>1.0</v>
      </c>
      <c r="F423" s="249"/>
      <c r="G423" s="250">
        <v>45631.0</v>
      </c>
      <c r="H423" s="250">
        <v>45688.0</v>
      </c>
      <c r="I423" s="228">
        <v>57.0</v>
      </c>
      <c r="K423" s="226" t="s">
        <v>4181</v>
      </c>
      <c r="L423" s="226" t="s">
        <v>247</v>
      </c>
      <c r="M423" s="226" t="s">
        <v>123</v>
      </c>
      <c r="N423" s="226" t="s">
        <v>4185</v>
      </c>
      <c r="O423" s="226" t="s">
        <v>4183</v>
      </c>
      <c r="P423" s="250">
        <v>46106.59635040509</v>
      </c>
    </row>
    <row r="424">
      <c r="A424" s="228">
        <v>423.0</v>
      </c>
      <c r="B424" s="226">
        <v>749.0</v>
      </c>
      <c r="C424" s="226" t="s">
        <v>4342</v>
      </c>
      <c r="D424" s="226" t="s">
        <v>4176</v>
      </c>
      <c r="E424" s="228">
        <v>1.0</v>
      </c>
      <c r="F424" s="249"/>
      <c r="G424" s="250">
        <v>45635.0</v>
      </c>
      <c r="H424" s="250">
        <v>46354.0</v>
      </c>
      <c r="I424" s="228">
        <v>719.0</v>
      </c>
      <c r="K424" s="226" t="s">
        <v>4181</v>
      </c>
      <c r="L424" s="226" t="s">
        <v>247</v>
      </c>
      <c r="M424" s="226" t="s">
        <v>123</v>
      </c>
      <c r="N424" s="226" t="s">
        <v>4190</v>
      </c>
      <c r="O424" s="226" t="s">
        <v>4183</v>
      </c>
      <c r="P424" s="250">
        <v>46106.59635040509</v>
      </c>
    </row>
    <row r="425">
      <c r="A425" s="228">
        <v>424.0</v>
      </c>
      <c r="B425" s="226" t="s">
        <v>3375</v>
      </c>
      <c r="C425" s="226" t="s">
        <v>417</v>
      </c>
      <c r="D425" s="226" t="s">
        <v>4176</v>
      </c>
      <c r="E425" s="228">
        <v>1.0</v>
      </c>
      <c r="F425" s="249"/>
      <c r="G425" s="250">
        <v>45636.0</v>
      </c>
      <c r="H425" s="250">
        <v>46366.0</v>
      </c>
      <c r="I425" s="228">
        <v>730.0</v>
      </c>
      <c r="K425" s="226" t="s">
        <v>4181</v>
      </c>
      <c r="L425" s="226" t="s">
        <v>122</v>
      </c>
      <c r="M425" s="226" t="s">
        <v>14</v>
      </c>
      <c r="N425" s="226" t="s">
        <v>4190</v>
      </c>
      <c r="O425" s="226" t="s">
        <v>4183</v>
      </c>
      <c r="P425" s="250">
        <v>46106.59635040509</v>
      </c>
    </row>
    <row r="426">
      <c r="A426" s="228">
        <v>425.0</v>
      </c>
      <c r="B426" s="226">
        <v>760.0</v>
      </c>
      <c r="C426" s="226" t="s">
        <v>4350</v>
      </c>
      <c r="D426" s="226" t="s">
        <v>4188</v>
      </c>
      <c r="E426" s="228">
        <v>1.0</v>
      </c>
      <c r="F426" s="249"/>
      <c r="G426" s="250">
        <v>45636.0</v>
      </c>
      <c r="H426" s="250">
        <v>46022.0</v>
      </c>
      <c r="I426" s="228">
        <v>386.0</v>
      </c>
      <c r="K426" s="226" t="s">
        <v>4181</v>
      </c>
      <c r="L426" s="226" t="s">
        <v>247</v>
      </c>
      <c r="M426" s="226" t="s">
        <v>2644</v>
      </c>
      <c r="N426" s="226" t="s">
        <v>4185</v>
      </c>
      <c r="O426" s="226" t="s">
        <v>4183</v>
      </c>
      <c r="P426" s="250">
        <v>46106.59635040509</v>
      </c>
    </row>
    <row r="427">
      <c r="A427" s="228">
        <v>426.0</v>
      </c>
      <c r="B427" s="226">
        <v>763.0</v>
      </c>
      <c r="C427" s="226" t="s">
        <v>4357</v>
      </c>
      <c r="D427" s="226" t="s">
        <v>4176</v>
      </c>
      <c r="E427" s="228">
        <v>1.0</v>
      </c>
      <c r="F427" s="249"/>
      <c r="G427" s="250">
        <v>45637.0</v>
      </c>
      <c r="H427" s="250">
        <v>45668.0</v>
      </c>
      <c r="I427" s="228">
        <v>31.0</v>
      </c>
      <c r="K427" s="226" t="s">
        <v>4181</v>
      </c>
      <c r="L427" s="226" t="s">
        <v>247</v>
      </c>
      <c r="M427" s="226" t="s">
        <v>175</v>
      </c>
      <c r="N427" s="226" t="s">
        <v>4185</v>
      </c>
      <c r="O427" s="226" t="s">
        <v>4183</v>
      </c>
      <c r="P427" s="250">
        <v>46106.59635040509</v>
      </c>
    </row>
    <row r="428">
      <c r="A428" s="228">
        <v>427.0</v>
      </c>
      <c r="B428" s="226">
        <v>764.0</v>
      </c>
      <c r="C428" s="226" t="s">
        <v>837</v>
      </c>
      <c r="D428" s="226" t="s">
        <v>4176</v>
      </c>
      <c r="E428" s="228">
        <v>1.0</v>
      </c>
      <c r="F428" s="249"/>
      <c r="G428" s="250">
        <v>45637.0</v>
      </c>
      <c r="H428" s="250">
        <v>46367.0</v>
      </c>
      <c r="I428" s="228">
        <v>730.0</v>
      </c>
      <c r="K428" s="226" t="s">
        <v>4181</v>
      </c>
      <c r="L428" s="226" t="s">
        <v>211</v>
      </c>
      <c r="M428" s="226" t="s">
        <v>123</v>
      </c>
      <c r="N428" s="226" t="s">
        <v>4182</v>
      </c>
      <c r="O428" s="226" t="s">
        <v>4183</v>
      </c>
      <c r="P428" s="250">
        <v>46106.59635040509</v>
      </c>
    </row>
    <row r="429">
      <c r="A429" s="228">
        <v>428.0</v>
      </c>
      <c r="B429" s="226">
        <v>765.0</v>
      </c>
      <c r="C429" s="226" t="s">
        <v>808</v>
      </c>
      <c r="D429" s="226" t="s">
        <v>4176</v>
      </c>
      <c r="E429" s="228">
        <v>1.0</v>
      </c>
      <c r="F429" s="249"/>
      <c r="G429" s="250">
        <v>45644.0</v>
      </c>
      <c r="H429" s="250">
        <v>46339.0</v>
      </c>
      <c r="I429" s="228">
        <v>695.0</v>
      </c>
      <c r="K429" s="226" t="s">
        <v>4181</v>
      </c>
      <c r="L429" s="226" t="s">
        <v>211</v>
      </c>
      <c r="M429" s="226" t="s">
        <v>123</v>
      </c>
      <c r="N429" s="226" t="s">
        <v>4182</v>
      </c>
      <c r="O429" s="226" t="s">
        <v>4183</v>
      </c>
      <c r="P429" s="250">
        <v>46106.59635040509</v>
      </c>
    </row>
    <row r="430">
      <c r="A430" s="228">
        <v>429.0</v>
      </c>
      <c r="B430" s="226">
        <v>766.0</v>
      </c>
      <c r="C430" s="226" t="s">
        <v>3001</v>
      </c>
      <c r="D430" s="226" t="s">
        <v>4176</v>
      </c>
      <c r="E430" s="228">
        <v>1.0</v>
      </c>
      <c r="F430" s="249"/>
      <c r="G430" s="250">
        <v>45645.0</v>
      </c>
      <c r="H430" s="250">
        <v>45930.0</v>
      </c>
      <c r="I430" s="228">
        <v>285.0</v>
      </c>
      <c r="K430" s="226" t="s">
        <v>4181</v>
      </c>
      <c r="L430" s="226" t="s">
        <v>210</v>
      </c>
      <c r="M430" s="226" t="s">
        <v>65</v>
      </c>
      <c r="N430" s="226" t="s">
        <v>4185</v>
      </c>
      <c r="O430" s="226" t="s">
        <v>4183</v>
      </c>
      <c r="P430" s="250">
        <v>46106.59635040509</v>
      </c>
    </row>
    <row r="431">
      <c r="A431" s="228">
        <v>430.0</v>
      </c>
      <c r="B431" s="226">
        <v>767.0</v>
      </c>
      <c r="C431" s="226" t="s">
        <v>3007</v>
      </c>
      <c r="D431" s="226" t="s">
        <v>4176</v>
      </c>
      <c r="E431" s="228">
        <v>1.0</v>
      </c>
      <c r="F431" s="249"/>
      <c r="G431" s="250">
        <v>45646.0</v>
      </c>
      <c r="H431" s="250">
        <v>45688.0</v>
      </c>
      <c r="I431" s="228">
        <v>42.0</v>
      </c>
      <c r="K431" s="226" t="s">
        <v>4181</v>
      </c>
      <c r="L431" s="226" t="s">
        <v>311</v>
      </c>
      <c r="M431" s="226" t="s">
        <v>289</v>
      </c>
      <c r="N431" s="226" t="s">
        <v>4185</v>
      </c>
      <c r="O431" s="226" t="s">
        <v>4183</v>
      </c>
      <c r="P431" s="250">
        <v>46106.59635040509</v>
      </c>
    </row>
    <row r="432">
      <c r="A432" s="228">
        <v>431.0</v>
      </c>
      <c r="B432" s="226">
        <v>769.0</v>
      </c>
      <c r="C432" s="226" t="s">
        <v>3013</v>
      </c>
      <c r="D432" s="226" t="s">
        <v>4176</v>
      </c>
      <c r="E432" s="228">
        <v>1.0</v>
      </c>
      <c r="F432" s="249"/>
      <c r="G432" s="250">
        <v>45649.0</v>
      </c>
      <c r="H432" s="250">
        <v>45711.0</v>
      </c>
      <c r="I432" s="228">
        <v>62.0</v>
      </c>
      <c r="K432" s="226" t="s">
        <v>4181</v>
      </c>
      <c r="L432" s="226" t="s">
        <v>441</v>
      </c>
      <c r="M432" s="226" t="s">
        <v>175</v>
      </c>
      <c r="N432" s="226" t="s">
        <v>4185</v>
      </c>
      <c r="O432" s="226" t="s">
        <v>4183</v>
      </c>
      <c r="P432" s="250">
        <v>46106.59635040509</v>
      </c>
    </row>
    <row r="433">
      <c r="A433" s="228">
        <v>432.0</v>
      </c>
      <c r="B433" s="226">
        <v>770.0</v>
      </c>
      <c r="C433" s="226" t="s">
        <v>4382</v>
      </c>
      <c r="D433" s="226" t="s">
        <v>4188</v>
      </c>
      <c r="E433" s="228">
        <v>1.0</v>
      </c>
      <c r="F433" s="249"/>
      <c r="G433" s="250">
        <v>45649.0</v>
      </c>
      <c r="H433" s="250">
        <v>45716.0</v>
      </c>
      <c r="I433" s="228">
        <v>67.0</v>
      </c>
      <c r="K433" s="226" t="s">
        <v>4181</v>
      </c>
      <c r="L433" s="226" t="s">
        <v>247</v>
      </c>
      <c r="M433" s="226" t="s">
        <v>2127</v>
      </c>
      <c r="N433" s="226" t="s">
        <v>4185</v>
      </c>
      <c r="O433" s="226" t="s">
        <v>4183</v>
      </c>
      <c r="P433" s="250">
        <v>46106.59635040509</v>
      </c>
    </row>
    <row r="434">
      <c r="A434" s="228">
        <v>433.0</v>
      </c>
      <c r="B434" s="226">
        <v>771.0</v>
      </c>
      <c r="C434" s="226" t="s">
        <v>4388</v>
      </c>
      <c r="D434" s="226" t="s">
        <v>4176</v>
      </c>
      <c r="E434" s="228">
        <v>1.0</v>
      </c>
      <c r="F434" s="249"/>
      <c r="G434" s="250">
        <v>45650.0</v>
      </c>
      <c r="H434" s="250">
        <v>46015.0</v>
      </c>
      <c r="I434" s="228">
        <v>365.0</v>
      </c>
      <c r="K434" s="226" t="s">
        <v>4181</v>
      </c>
      <c r="L434" s="226" t="s">
        <v>122</v>
      </c>
      <c r="M434" s="226" t="s">
        <v>261</v>
      </c>
      <c r="N434" s="226" t="s">
        <v>4185</v>
      </c>
      <c r="O434" s="226" t="s">
        <v>4183</v>
      </c>
      <c r="P434" s="250">
        <v>46106.59635040509</v>
      </c>
    </row>
    <row r="435">
      <c r="A435" s="228">
        <v>434.0</v>
      </c>
      <c r="B435" s="226">
        <v>772.0</v>
      </c>
      <c r="C435" s="226" t="s">
        <v>4393</v>
      </c>
      <c r="D435" s="226" t="s">
        <v>4176</v>
      </c>
      <c r="E435" s="228">
        <v>1.0</v>
      </c>
      <c r="F435" s="249"/>
      <c r="G435" s="250">
        <v>45652.0</v>
      </c>
      <c r="H435" s="250">
        <v>45659.0</v>
      </c>
      <c r="I435" s="228">
        <v>7.0</v>
      </c>
      <c r="K435" s="226" t="s">
        <v>4181</v>
      </c>
      <c r="L435" s="226" t="s">
        <v>247</v>
      </c>
      <c r="M435" s="226" t="s">
        <v>289</v>
      </c>
      <c r="N435" s="226" t="s">
        <v>4185</v>
      </c>
      <c r="O435" s="226" t="s">
        <v>4183</v>
      </c>
      <c r="P435" s="250">
        <v>46106.59635040509</v>
      </c>
    </row>
    <row r="436">
      <c r="A436" s="228">
        <v>435.0</v>
      </c>
      <c r="B436" s="226">
        <v>773.0</v>
      </c>
      <c r="C436" s="226" t="s">
        <v>631</v>
      </c>
      <c r="D436" s="226" t="s">
        <v>4188</v>
      </c>
      <c r="E436" s="228">
        <v>1.0</v>
      </c>
      <c r="F436" s="249"/>
      <c r="G436" s="250">
        <v>45653.0</v>
      </c>
      <c r="H436" s="250">
        <v>46022.0</v>
      </c>
      <c r="I436" s="228">
        <v>369.0</v>
      </c>
      <c r="K436" s="226" t="s">
        <v>4181</v>
      </c>
      <c r="L436" s="226" t="s">
        <v>211</v>
      </c>
      <c r="M436" s="226" t="s">
        <v>123</v>
      </c>
      <c r="N436" s="226" t="s">
        <v>4185</v>
      </c>
      <c r="O436" s="226" t="s">
        <v>4183</v>
      </c>
      <c r="P436" s="250">
        <v>46106.59635040509</v>
      </c>
    </row>
    <row r="437">
      <c r="A437" s="228">
        <v>436.0</v>
      </c>
      <c r="B437" s="226">
        <v>774.0</v>
      </c>
      <c r="C437" s="226" t="s">
        <v>1079</v>
      </c>
      <c r="D437" s="226" t="s">
        <v>4176</v>
      </c>
      <c r="E437" s="228">
        <v>1.0</v>
      </c>
      <c r="F437" s="249"/>
      <c r="G437" s="250">
        <v>45656.0</v>
      </c>
      <c r="H437" s="250">
        <v>46375.0</v>
      </c>
      <c r="I437" s="228">
        <v>719.0</v>
      </c>
      <c r="K437" s="226" t="s">
        <v>4181</v>
      </c>
      <c r="L437" s="226" t="s">
        <v>261</v>
      </c>
      <c r="N437" s="226" t="s">
        <v>4190</v>
      </c>
      <c r="O437" s="226" t="s">
        <v>4183</v>
      </c>
      <c r="P437" s="250">
        <v>46106.59635040509</v>
      </c>
    </row>
    <row r="438">
      <c r="A438" s="228">
        <v>437.0</v>
      </c>
      <c r="B438" s="226">
        <v>775.0</v>
      </c>
      <c r="C438" s="226" t="s">
        <v>811</v>
      </c>
      <c r="D438" s="226" t="s">
        <v>4176</v>
      </c>
      <c r="E438" s="228">
        <v>1.0</v>
      </c>
      <c r="F438" s="249"/>
      <c r="G438" s="250">
        <v>45659.0</v>
      </c>
      <c r="H438" s="250">
        <v>46380.0</v>
      </c>
      <c r="I438" s="228">
        <v>721.0</v>
      </c>
      <c r="K438" s="226" t="s">
        <v>4181</v>
      </c>
      <c r="L438" s="226" t="s">
        <v>211</v>
      </c>
      <c r="M438" s="226" t="s">
        <v>123</v>
      </c>
      <c r="N438" s="226" t="s">
        <v>4182</v>
      </c>
      <c r="O438" s="226" t="s">
        <v>4183</v>
      </c>
      <c r="P438" s="250">
        <v>46106.59635040509</v>
      </c>
    </row>
    <row r="439">
      <c r="A439" s="228">
        <v>438.0</v>
      </c>
      <c r="B439" s="226">
        <v>776.0</v>
      </c>
      <c r="C439" s="226" t="s">
        <v>1010</v>
      </c>
      <c r="D439" s="226" t="s">
        <v>4176</v>
      </c>
      <c r="E439" s="228">
        <v>1.0</v>
      </c>
      <c r="F439" s="249"/>
      <c r="G439" s="250">
        <v>45659.0</v>
      </c>
      <c r="H439" s="250">
        <v>46380.0</v>
      </c>
      <c r="I439" s="228">
        <v>721.0</v>
      </c>
      <c r="K439" s="226" t="s">
        <v>4181</v>
      </c>
      <c r="L439" s="226" t="s">
        <v>211</v>
      </c>
      <c r="M439" s="226" t="s">
        <v>123</v>
      </c>
      <c r="N439" s="226" t="s">
        <v>4184</v>
      </c>
      <c r="O439" s="226" t="s">
        <v>4183</v>
      </c>
      <c r="P439" s="250">
        <v>46106.59635040509</v>
      </c>
    </row>
    <row r="440">
      <c r="A440" s="228">
        <v>439.0</v>
      </c>
      <c r="B440" s="226">
        <v>777.0</v>
      </c>
      <c r="C440" s="226" t="s">
        <v>3037</v>
      </c>
      <c r="D440" s="226" t="s">
        <v>4176</v>
      </c>
      <c r="E440" s="228">
        <v>1.0</v>
      </c>
      <c r="F440" s="249"/>
      <c r="G440" s="250">
        <v>45674.0</v>
      </c>
      <c r="H440" s="250">
        <v>45705.0</v>
      </c>
      <c r="I440" s="228">
        <v>31.0</v>
      </c>
      <c r="K440" s="226" t="s">
        <v>4181</v>
      </c>
      <c r="L440" s="226" t="s">
        <v>311</v>
      </c>
      <c r="M440" s="226" t="s">
        <v>175</v>
      </c>
      <c r="N440" s="226" t="s">
        <v>4185</v>
      </c>
      <c r="O440" s="226" t="s">
        <v>4183</v>
      </c>
      <c r="P440" s="250">
        <v>46106.59635040509</v>
      </c>
    </row>
    <row r="441">
      <c r="A441" s="228">
        <v>440.0</v>
      </c>
      <c r="B441" s="226">
        <v>778.0</v>
      </c>
      <c r="C441" s="226" t="s">
        <v>3048</v>
      </c>
      <c r="D441" s="226" t="s">
        <v>4176</v>
      </c>
      <c r="E441" s="228">
        <v>1.0</v>
      </c>
      <c r="F441" s="249"/>
      <c r="G441" s="250">
        <v>45679.0</v>
      </c>
      <c r="H441" s="250">
        <v>45991.0</v>
      </c>
      <c r="I441" s="228">
        <v>312.0</v>
      </c>
      <c r="K441" s="226" t="s">
        <v>4181</v>
      </c>
      <c r="L441" s="226" t="s">
        <v>210</v>
      </c>
      <c r="M441" s="226" t="s">
        <v>261</v>
      </c>
      <c r="N441" s="226" t="s">
        <v>4185</v>
      </c>
      <c r="O441" s="226" t="s">
        <v>4183</v>
      </c>
      <c r="P441" s="250">
        <v>46106.59635040509</v>
      </c>
    </row>
    <row r="442">
      <c r="A442" s="228">
        <v>441.0</v>
      </c>
      <c r="B442" s="226">
        <v>781.0</v>
      </c>
      <c r="C442" s="226" t="s">
        <v>4419</v>
      </c>
      <c r="D442" s="226" t="s">
        <v>4176</v>
      </c>
      <c r="E442" s="228">
        <v>1.0</v>
      </c>
      <c r="F442" s="249"/>
      <c r="G442" s="250">
        <v>45702.0</v>
      </c>
      <c r="H442" s="250">
        <v>46387.0</v>
      </c>
      <c r="I442" s="228">
        <v>685.0</v>
      </c>
      <c r="K442" s="226" t="s">
        <v>4181</v>
      </c>
      <c r="L442" s="226" t="s">
        <v>210</v>
      </c>
      <c r="M442" s="226" t="s">
        <v>123</v>
      </c>
      <c r="N442" s="226" t="s">
        <v>4184</v>
      </c>
      <c r="O442" s="226" t="s">
        <v>4183</v>
      </c>
      <c r="P442" s="250">
        <v>46106.59635040509</v>
      </c>
    </row>
    <row r="443">
      <c r="A443" s="228">
        <v>442.0</v>
      </c>
      <c r="B443" s="226">
        <v>678.0</v>
      </c>
      <c r="C443" s="226" t="s">
        <v>2639</v>
      </c>
      <c r="D443" s="226" t="s">
        <v>4176</v>
      </c>
      <c r="E443" s="228">
        <v>1.0</v>
      </c>
      <c r="F443" s="249"/>
      <c r="G443" s="250">
        <v>45703.0</v>
      </c>
      <c r="H443" s="250">
        <v>45894.0</v>
      </c>
      <c r="I443" s="228">
        <v>191.0</v>
      </c>
      <c r="K443" s="226" t="s">
        <v>4181</v>
      </c>
      <c r="L443" s="226" t="s">
        <v>210</v>
      </c>
      <c r="M443" s="226" t="s">
        <v>261</v>
      </c>
      <c r="N443" s="226" t="s">
        <v>4185</v>
      </c>
      <c r="O443" s="226" t="s">
        <v>4183</v>
      </c>
      <c r="P443" s="250">
        <v>46106.59635040509</v>
      </c>
    </row>
    <row r="444">
      <c r="A444" s="228">
        <v>443.0</v>
      </c>
      <c r="B444" s="226">
        <v>782.0</v>
      </c>
      <c r="C444" s="226" t="s">
        <v>4424</v>
      </c>
      <c r="D444" s="226" t="s">
        <v>4176</v>
      </c>
      <c r="E444" s="228">
        <v>1.0</v>
      </c>
      <c r="F444" s="249"/>
      <c r="G444" s="250">
        <v>45706.0</v>
      </c>
      <c r="H444" s="250">
        <v>45716.0</v>
      </c>
      <c r="I444" s="228">
        <v>10.0</v>
      </c>
      <c r="K444" s="226" t="s">
        <v>4181</v>
      </c>
      <c r="L444" s="226" t="s">
        <v>247</v>
      </c>
      <c r="M444" s="226" t="s">
        <v>175</v>
      </c>
      <c r="N444" s="226" t="s">
        <v>4185</v>
      </c>
      <c r="O444" s="226" t="s">
        <v>4183</v>
      </c>
      <c r="P444" s="250">
        <v>46106.59635040509</v>
      </c>
    </row>
    <row r="445">
      <c r="A445" s="228">
        <v>444.0</v>
      </c>
      <c r="B445" s="226">
        <v>783.0</v>
      </c>
      <c r="C445" s="226" t="s">
        <v>3070</v>
      </c>
      <c r="D445" s="226" t="s">
        <v>4176</v>
      </c>
      <c r="E445" s="228">
        <v>1.0</v>
      </c>
      <c r="F445" s="249"/>
      <c r="G445" s="250">
        <v>45708.0</v>
      </c>
      <c r="H445" s="250">
        <v>45767.0</v>
      </c>
      <c r="I445" s="228">
        <v>59.0</v>
      </c>
      <c r="K445" s="226" t="s">
        <v>4181</v>
      </c>
      <c r="L445" s="226" t="s">
        <v>311</v>
      </c>
      <c r="M445" s="226" t="s">
        <v>175</v>
      </c>
      <c r="N445" s="226" t="s">
        <v>4185</v>
      </c>
      <c r="O445" s="226" t="s">
        <v>4183</v>
      </c>
      <c r="P445" s="250">
        <v>46106.59635040509</v>
      </c>
    </row>
    <row r="446">
      <c r="A446" s="228">
        <v>445.0</v>
      </c>
      <c r="B446" s="226">
        <v>784.0</v>
      </c>
      <c r="C446" s="226" t="s">
        <v>1005</v>
      </c>
      <c r="D446" s="226" t="s">
        <v>4176</v>
      </c>
      <c r="E446" s="228">
        <v>1.0</v>
      </c>
      <c r="F446" s="249"/>
      <c r="G446" s="250">
        <v>45708.0</v>
      </c>
      <c r="H446" s="250">
        <v>46451.0</v>
      </c>
      <c r="I446" s="228">
        <v>743.0</v>
      </c>
      <c r="K446" s="226" t="s">
        <v>4181</v>
      </c>
      <c r="L446" s="226" t="s">
        <v>247</v>
      </c>
      <c r="M446" s="226" t="s">
        <v>123</v>
      </c>
      <c r="N446" s="226" t="s">
        <v>4184</v>
      </c>
      <c r="O446" s="226" t="s">
        <v>4183</v>
      </c>
      <c r="P446" s="250">
        <v>46106.59635040509</v>
      </c>
    </row>
    <row r="447">
      <c r="A447" s="228">
        <v>446.0</v>
      </c>
      <c r="B447" s="226">
        <v>785.0</v>
      </c>
      <c r="C447" s="226" t="s">
        <v>3089</v>
      </c>
      <c r="D447" s="226" t="s">
        <v>4176</v>
      </c>
      <c r="E447" s="228">
        <v>1.0</v>
      </c>
      <c r="F447" s="249"/>
      <c r="G447" s="250">
        <v>45709.0</v>
      </c>
      <c r="H447" s="250">
        <v>46113.0</v>
      </c>
      <c r="I447" s="228">
        <v>404.0</v>
      </c>
      <c r="K447" s="226" t="s">
        <v>4181</v>
      </c>
      <c r="L447" s="226" t="s">
        <v>261</v>
      </c>
      <c r="M447" s="226" t="s">
        <v>123</v>
      </c>
      <c r="N447" s="226" t="s">
        <v>4190</v>
      </c>
      <c r="O447" s="226" t="s">
        <v>4183</v>
      </c>
      <c r="P447" s="250">
        <v>46106.59635040509</v>
      </c>
    </row>
    <row r="448">
      <c r="A448" s="228">
        <v>447.0</v>
      </c>
      <c r="B448" s="226">
        <v>786.0</v>
      </c>
      <c r="C448" s="226" t="s">
        <v>4451</v>
      </c>
      <c r="D448" s="226" t="s">
        <v>4176</v>
      </c>
      <c r="E448" s="228">
        <v>1.0</v>
      </c>
      <c r="F448" s="249"/>
      <c r="G448" s="250">
        <v>45712.0</v>
      </c>
      <c r="H448" s="250">
        <v>46450.0</v>
      </c>
      <c r="I448" s="228">
        <v>738.0</v>
      </c>
      <c r="K448" s="226" t="s">
        <v>4181</v>
      </c>
      <c r="L448" s="226" t="s">
        <v>261</v>
      </c>
      <c r="M448" s="226" t="s">
        <v>123</v>
      </c>
      <c r="N448" s="226" t="s">
        <v>4190</v>
      </c>
      <c r="O448" s="226" t="s">
        <v>4183</v>
      </c>
      <c r="P448" s="250">
        <v>46106.59635040509</v>
      </c>
    </row>
    <row r="449">
      <c r="A449" s="228">
        <v>448.0</v>
      </c>
      <c r="B449" s="226">
        <v>787.0</v>
      </c>
      <c r="C449" s="226" t="s">
        <v>1075</v>
      </c>
      <c r="D449" s="226" t="s">
        <v>4176</v>
      </c>
      <c r="E449" s="228">
        <v>1.0</v>
      </c>
      <c r="F449" s="249"/>
      <c r="G449" s="250">
        <v>45715.0</v>
      </c>
      <c r="H449" s="250">
        <v>46057.0</v>
      </c>
      <c r="I449" s="228">
        <v>342.0</v>
      </c>
      <c r="K449" s="226" t="s">
        <v>4181</v>
      </c>
      <c r="L449" s="226" t="s">
        <v>210</v>
      </c>
      <c r="M449" s="226" t="s">
        <v>123</v>
      </c>
      <c r="N449" s="226" t="s">
        <v>4185</v>
      </c>
      <c r="O449" s="226" t="s">
        <v>4183</v>
      </c>
      <c r="P449" s="250">
        <v>46106.59635040509</v>
      </c>
    </row>
    <row r="450">
      <c r="A450" s="228">
        <v>449.0</v>
      </c>
      <c r="B450" s="226">
        <v>789.0</v>
      </c>
      <c r="C450" s="226" t="s">
        <v>4459</v>
      </c>
      <c r="D450" s="226" t="s">
        <v>4176</v>
      </c>
      <c r="E450" s="228">
        <v>1.0</v>
      </c>
      <c r="F450" s="249"/>
      <c r="G450" s="250">
        <v>45719.0</v>
      </c>
      <c r="H450" s="250">
        <v>45904.0</v>
      </c>
      <c r="I450" s="228">
        <v>185.0</v>
      </c>
      <c r="K450" s="226" t="s">
        <v>4181</v>
      </c>
      <c r="L450" s="226" t="s">
        <v>311</v>
      </c>
      <c r="M450" s="226" t="s">
        <v>261</v>
      </c>
      <c r="N450" s="226" t="s">
        <v>4185</v>
      </c>
      <c r="O450" s="226" t="s">
        <v>4183</v>
      </c>
      <c r="P450" s="250">
        <v>46106.59635040509</v>
      </c>
    </row>
    <row r="451">
      <c r="A451" s="228">
        <v>450.0</v>
      </c>
      <c r="B451" s="226">
        <v>790.0</v>
      </c>
      <c r="C451" s="226" t="s">
        <v>3114</v>
      </c>
      <c r="D451" s="226" t="s">
        <v>4176</v>
      </c>
      <c r="E451" s="228">
        <v>1.0</v>
      </c>
      <c r="F451" s="249"/>
      <c r="G451" s="250">
        <v>45726.0</v>
      </c>
      <c r="H451" s="250">
        <v>45747.0</v>
      </c>
      <c r="I451" s="228">
        <v>21.0</v>
      </c>
      <c r="K451" s="226" t="s">
        <v>4181</v>
      </c>
      <c r="L451" s="226" t="s">
        <v>122</v>
      </c>
      <c r="M451" s="226" t="s">
        <v>175</v>
      </c>
      <c r="N451" s="226" t="s">
        <v>4185</v>
      </c>
      <c r="O451" s="226" t="s">
        <v>4183</v>
      </c>
      <c r="P451" s="250">
        <v>46106.59635040509</v>
      </c>
    </row>
    <row r="452">
      <c r="A452" s="228">
        <v>451.0</v>
      </c>
      <c r="B452" s="226" t="s">
        <v>4467</v>
      </c>
      <c r="C452" s="226" t="s">
        <v>3340</v>
      </c>
      <c r="D452" s="226" t="s">
        <v>4176</v>
      </c>
      <c r="E452" s="228">
        <v>1.0</v>
      </c>
      <c r="F452" s="249"/>
      <c r="G452" s="250">
        <v>45730.0</v>
      </c>
      <c r="H452" s="250">
        <v>46095.0</v>
      </c>
      <c r="I452" s="228">
        <v>365.0</v>
      </c>
      <c r="K452" s="226" t="s">
        <v>4181</v>
      </c>
      <c r="L452" s="226" t="s">
        <v>210</v>
      </c>
      <c r="M452" s="226" t="s">
        <v>261</v>
      </c>
      <c r="N452" s="226" t="s">
        <v>4185</v>
      </c>
      <c r="O452" s="226" t="s">
        <v>4183</v>
      </c>
      <c r="P452" s="250">
        <v>46106.59635040509</v>
      </c>
    </row>
    <row r="453">
      <c r="A453" s="228">
        <v>452.0</v>
      </c>
      <c r="B453" s="226">
        <v>793.0</v>
      </c>
      <c r="C453" s="226" t="s">
        <v>3124</v>
      </c>
      <c r="D453" s="226" t="s">
        <v>4176</v>
      </c>
      <c r="E453" s="228">
        <v>1.0</v>
      </c>
      <c r="F453" s="249"/>
      <c r="G453" s="250">
        <v>45740.0</v>
      </c>
      <c r="H453" s="250">
        <v>46105.0</v>
      </c>
      <c r="I453" s="228">
        <v>365.0</v>
      </c>
      <c r="K453" s="226" t="s">
        <v>4181</v>
      </c>
      <c r="L453" s="226" t="s">
        <v>122</v>
      </c>
      <c r="M453" s="226" t="s">
        <v>123</v>
      </c>
      <c r="N453" s="226" t="s">
        <v>4185</v>
      </c>
      <c r="O453" s="226" t="s">
        <v>4183</v>
      </c>
      <c r="P453" s="250">
        <v>46106.59635040509</v>
      </c>
    </row>
    <row r="454">
      <c r="A454" s="228">
        <v>453.0</v>
      </c>
      <c r="B454" s="226">
        <v>792.0</v>
      </c>
      <c r="C454" s="226" t="s">
        <v>3151</v>
      </c>
      <c r="D454" s="226" t="s">
        <v>4176</v>
      </c>
      <c r="E454" s="228">
        <v>1.0</v>
      </c>
      <c r="F454" s="249"/>
      <c r="G454" s="250">
        <v>45740.0</v>
      </c>
      <c r="H454" s="250">
        <v>45801.0</v>
      </c>
      <c r="I454" s="228">
        <v>61.0</v>
      </c>
      <c r="K454" s="226" t="s">
        <v>4181</v>
      </c>
      <c r="L454" s="226" t="s">
        <v>210</v>
      </c>
      <c r="M454" s="226" t="s">
        <v>175</v>
      </c>
      <c r="N454" s="226" t="s">
        <v>4185</v>
      </c>
      <c r="O454" s="226" t="s">
        <v>4183</v>
      </c>
      <c r="P454" s="250">
        <v>46106.59635040509</v>
      </c>
    </row>
    <row r="455">
      <c r="A455" s="228">
        <v>454.0</v>
      </c>
      <c r="B455" s="226">
        <v>794.0</v>
      </c>
      <c r="C455" s="226" t="s">
        <v>2568</v>
      </c>
      <c r="D455" s="226" t="s">
        <v>4176</v>
      </c>
      <c r="E455" s="228">
        <v>1.0</v>
      </c>
      <c r="F455" s="249"/>
      <c r="G455" s="250">
        <v>45743.0</v>
      </c>
      <c r="H455" s="250">
        <v>45882.0</v>
      </c>
      <c r="I455" s="228">
        <v>139.0</v>
      </c>
      <c r="K455" s="226" t="s">
        <v>4181</v>
      </c>
      <c r="L455" s="226" t="s">
        <v>210</v>
      </c>
      <c r="M455" s="226" t="s">
        <v>261</v>
      </c>
      <c r="N455" s="226" t="s">
        <v>4185</v>
      </c>
      <c r="O455" s="226" t="s">
        <v>4183</v>
      </c>
      <c r="P455" s="250">
        <v>46106.59635040509</v>
      </c>
    </row>
    <row r="456">
      <c r="A456" s="228">
        <v>455.0</v>
      </c>
      <c r="B456" s="226">
        <v>796.0</v>
      </c>
      <c r="C456" s="226" t="s">
        <v>47</v>
      </c>
      <c r="D456" s="226" t="s">
        <v>4176</v>
      </c>
      <c r="E456" s="228">
        <v>1.0</v>
      </c>
      <c r="F456" s="249"/>
      <c r="G456" s="250">
        <v>45744.0</v>
      </c>
      <c r="H456" s="250">
        <v>46109.0</v>
      </c>
      <c r="I456" s="228">
        <v>365.0</v>
      </c>
      <c r="K456" s="226" t="s">
        <v>4181</v>
      </c>
      <c r="L456" s="226" t="s">
        <v>210</v>
      </c>
      <c r="M456" s="226" t="s">
        <v>123</v>
      </c>
      <c r="N456" s="226" t="s">
        <v>4185</v>
      </c>
      <c r="O456" s="226" t="s">
        <v>4183</v>
      </c>
      <c r="P456" s="250">
        <v>46106.59635040509</v>
      </c>
    </row>
    <row r="457">
      <c r="A457" s="228">
        <v>456.0</v>
      </c>
      <c r="B457" s="226">
        <v>795.0</v>
      </c>
      <c r="C457" s="226" t="s">
        <v>4473</v>
      </c>
      <c r="D457" s="226" t="s">
        <v>4176</v>
      </c>
      <c r="E457" s="228">
        <v>1.0</v>
      </c>
      <c r="F457" s="249"/>
      <c r="G457" s="250">
        <v>45744.0</v>
      </c>
      <c r="H457" s="250">
        <v>45975.0</v>
      </c>
      <c r="I457" s="228">
        <v>231.0</v>
      </c>
      <c r="K457" s="226" t="s">
        <v>4181</v>
      </c>
      <c r="L457" s="226" t="s">
        <v>247</v>
      </c>
      <c r="M457" s="226" t="s">
        <v>4038</v>
      </c>
      <c r="N457" s="226" t="s">
        <v>4185</v>
      </c>
      <c r="O457" s="226" t="s">
        <v>4183</v>
      </c>
      <c r="P457" s="250">
        <v>46106.59635040509</v>
      </c>
    </row>
    <row r="458">
      <c r="A458" s="228">
        <v>457.0</v>
      </c>
      <c r="B458" s="226">
        <v>797.0</v>
      </c>
      <c r="C458" s="226" t="s">
        <v>3167</v>
      </c>
      <c r="D458" s="226" t="s">
        <v>4176</v>
      </c>
      <c r="E458" s="228">
        <v>1.0</v>
      </c>
      <c r="F458" s="249"/>
      <c r="G458" s="250">
        <v>45755.0</v>
      </c>
      <c r="H458" s="250">
        <v>45785.0</v>
      </c>
      <c r="I458" s="228">
        <v>30.0</v>
      </c>
      <c r="K458" s="226" t="s">
        <v>4181</v>
      </c>
      <c r="L458" s="226" t="s">
        <v>210</v>
      </c>
      <c r="M458" s="226" t="s">
        <v>175</v>
      </c>
      <c r="N458" s="226" t="s">
        <v>4185</v>
      </c>
      <c r="O458" s="226" t="s">
        <v>4183</v>
      </c>
      <c r="P458" s="250">
        <v>46106.59635040509</v>
      </c>
    </row>
    <row r="459">
      <c r="A459" s="228">
        <v>458.0</v>
      </c>
      <c r="B459" s="226">
        <v>798.0</v>
      </c>
      <c r="C459" s="226" t="s">
        <v>316</v>
      </c>
      <c r="D459" s="226" t="s">
        <v>4176</v>
      </c>
      <c r="E459" s="228">
        <v>1.0</v>
      </c>
      <c r="F459" s="249"/>
      <c r="G459" s="250">
        <v>45757.0</v>
      </c>
      <c r="H459" s="250">
        <v>46143.0</v>
      </c>
      <c r="I459" s="228">
        <v>386.0</v>
      </c>
      <c r="K459" s="226" t="s">
        <v>4181</v>
      </c>
      <c r="L459" s="226" t="s">
        <v>122</v>
      </c>
      <c r="M459" s="226" t="s">
        <v>767</v>
      </c>
      <c r="N459" s="226" t="s">
        <v>4185</v>
      </c>
      <c r="O459" s="226" t="s">
        <v>4183</v>
      </c>
      <c r="P459" s="250">
        <v>46106.59635040509</v>
      </c>
    </row>
    <row r="460">
      <c r="A460" s="228">
        <v>459.0</v>
      </c>
      <c r="B460" s="226">
        <v>757.0</v>
      </c>
      <c r="C460" s="226" t="s">
        <v>4475</v>
      </c>
      <c r="D460" s="226" t="s">
        <v>4176</v>
      </c>
      <c r="E460" s="228">
        <v>1.0</v>
      </c>
      <c r="F460" s="249"/>
      <c r="G460" s="250">
        <v>45757.0</v>
      </c>
      <c r="H460" s="250">
        <v>46093.0</v>
      </c>
      <c r="I460" s="228">
        <v>336.0</v>
      </c>
      <c r="K460" s="226" t="s">
        <v>4181</v>
      </c>
      <c r="L460" s="226" t="s">
        <v>261</v>
      </c>
      <c r="M460" s="226" t="s">
        <v>14</v>
      </c>
      <c r="N460" s="226" t="s">
        <v>4185</v>
      </c>
      <c r="O460" s="226" t="s">
        <v>4183</v>
      </c>
      <c r="P460" s="250">
        <v>46106.59635040509</v>
      </c>
    </row>
    <row r="461">
      <c r="A461" s="228">
        <v>460.0</v>
      </c>
      <c r="B461" s="226">
        <v>799.0</v>
      </c>
      <c r="C461" s="226" t="s">
        <v>112</v>
      </c>
      <c r="D461" s="226" t="s">
        <v>4176</v>
      </c>
      <c r="E461" s="228">
        <v>1.0</v>
      </c>
      <c r="F461" s="249"/>
      <c r="G461" s="250">
        <v>45761.0</v>
      </c>
      <c r="H461" s="250">
        <v>45764.0</v>
      </c>
      <c r="I461" s="228">
        <v>3.0</v>
      </c>
      <c r="K461" s="226" t="s">
        <v>4181</v>
      </c>
      <c r="L461" s="226" t="s">
        <v>162</v>
      </c>
      <c r="M461" s="226" t="s">
        <v>261</v>
      </c>
      <c r="N461" s="226" t="s">
        <v>4185</v>
      </c>
      <c r="O461" s="226" t="s">
        <v>4183</v>
      </c>
      <c r="P461" s="250">
        <v>46106.59635040509</v>
      </c>
    </row>
    <row r="462">
      <c r="A462" s="228">
        <v>461.0</v>
      </c>
      <c r="B462" s="226">
        <v>800.0</v>
      </c>
      <c r="C462" s="226" t="s">
        <v>3183</v>
      </c>
      <c r="D462" s="226" t="s">
        <v>4176</v>
      </c>
      <c r="E462" s="228">
        <v>1.0</v>
      </c>
      <c r="F462" s="249"/>
      <c r="G462" s="250">
        <v>45761.0</v>
      </c>
      <c r="H462" s="250">
        <v>46126.0</v>
      </c>
      <c r="I462" s="228">
        <v>365.0</v>
      </c>
      <c r="K462" s="226" t="s">
        <v>4181</v>
      </c>
      <c r="L462" s="226" t="s">
        <v>210</v>
      </c>
      <c r="M462" s="226" t="s">
        <v>14</v>
      </c>
      <c r="N462" s="226" t="s">
        <v>4185</v>
      </c>
      <c r="O462" s="226" t="s">
        <v>4183</v>
      </c>
      <c r="P462" s="250">
        <v>46106.59635040509</v>
      </c>
    </row>
    <row r="463">
      <c r="A463" s="228">
        <v>462.0</v>
      </c>
      <c r="B463" s="226">
        <v>802.0</v>
      </c>
      <c r="C463" s="226" t="s">
        <v>4478</v>
      </c>
      <c r="D463" s="226" t="s">
        <v>4176</v>
      </c>
      <c r="E463" s="228">
        <v>1.0</v>
      </c>
      <c r="F463" s="249"/>
      <c r="G463" s="250">
        <v>45768.0</v>
      </c>
      <c r="H463" s="250">
        <v>46133.0</v>
      </c>
      <c r="I463" s="228">
        <v>365.0</v>
      </c>
      <c r="K463" s="226" t="s">
        <v>4181</v>
      </c>
      <c r="L463" s="226" t="s">
        <v>210</v>
      </c>
      <c r="M463" s="226" t="s">
        <v>123</v>
      </c>
      <c r="N463" s="226" t="s">
        <v>4185</v>
      </c>
      <c r="O463" s="226" t="s">
        <v>4183</v>
      </c>
      <c r="P463" s="250">
        <v>46106.59635040509</v>
      </c>
    </row>
    <row r="464">
      <c r="A464" s="228">
        <v>463.0</v>
      </c>
      <c r="B464" s="226">
        <v>803.0</v>
      </c>
      <c r="C464" s="226" t="s">
        <v>4479</v>
      </c>
      <c r="D464" s="226" t="s">
        <v>4188</v>
      </c>
      <c r="E464" s="228">
        <v>1.0</v>
      </c>
      <c r="F464" s="249"/>
      <c r="G464" s="250">
        <v>45768.0</v>
      </c>
      <c r="H464" s="250">
        <v>46133.0</v>
      </c>
      <c r="I464" s="228">
        <v>365.0</v>
      </c>
      <c r="K464" s="226" t="s">
        <v>4181</v>
      </c>
      <c r="L464" s="226" t="s">
        <v>247</v>
      </c>
      <c r="M464" s="226" t="s">
        <v>289</v>
      </c>
      <c r="N464" s="226" t="s">
        <v>4185</v>
      </c>
      <c r="O464" s="226" t="s">
        <v>4183</v>
      </c>
      <c r="P464" s="250">
        <v>46106.59635040509</v>
      </c>
    </row>
    <row r="465">
      <c r="A465" s="228">
        <v>464.0</v>
      </c>
      <c r="B465" s="226">
        <v>804.0</v>
      </c>
      <c r="C465" s="226" t="s">
        <v>4480</v>
      </c>
      <c r="D465" s="226" t="s">
        <v>4176</v>
      </c>
      <c r="E465" s="228">
        <v>1.0</v>
      </c>
      <c r="F465" s="249"/>
      <c r="G465" s="250">
        <v>45769.0</v>
      </c>
      <c r="H465" s="250">
        <v>46145.0</v>
      </c>
      <c r="I465" s="228">
        <v>376.0</v>
      </c>
      <c r="K465" s="226" t="s">
        <v>4181</v>
      </c>
      <c r="L465" s="226" t="s">
        <v>122</v>
      </c>
      <c r="M465" s="226" t="s">
        <v>65</v>
      </c>
      <c r="N465" s="226" t="s">
        <v>4190</v>
      </c>
      <c r="O465" s="226" t="s">
        <v>4183</v>
      </c>
      <c r="P465" s="250">
        <v>46106.59635040509</v>
      </c>
    </row>
    <row r="466">
      <c r="A466" s="228">
        <v>465.0</v>
      </c>
      <c r="B466" s="226">
        <v>805.0</v>
      </c>
      <c r="C466" s="226" t="s">
        <v>3144</v>
      </c>
      <c r="D466" s="226" t="s">
        <v>4176</v>
      </c>
      <c r="E466" s="228">
        <v>1.0</v>
      </c>
      <c r="F466" s="249"/>
      <c r="G466" s="250">
        <v>45772.0</v>
      </c>
      <c r="H466" s="250">
        <v>46137.0</v>
      </c>
      <c r="I466" s="228">
        <v>365.0</v>
      </c>
      <c r="K466" s="226" t="s">
        <v>4181</v>
      </c>
      <c r="L466" s="226" t="s">
        <v>122</v>
      </c>
      <c r="M466" s="226" t="s">
        <v>211</v>
      </c>
      <c r="N466" s="226" t="s">
        <v>4185</v>
      </c>
      <c r="O466" s="226" t="s">
        <v>4183</v>
      </c>
      <c r="P466" s="250">
        <v>46106.59635040509</v>
      </c>
    </row>
    <row r="467">
      <c r="A467" s="228">
        <v>466.0</v>
      </c>
      <c r="B467" s="226">
        <v>806.0</v>
      </c>
      <c r="C467" s="226" t="s">
        <v>3172</v>
      </c>
      <c r="D467" s="226" t="s">
        <v>4176</v>
      </c>
      <c r="E467" s="228">
        <v>1.0</v>
      </c>
      <c r="F467" s="249"/>
      <c r="G467" s="250">
        <v>45772.0</v>
      </c>
      <c r="H467" s="250">
        <v>46137.0</v>
      </c>
      <c r="I467" s="228">
        <v>365.0</v>
      </c>
      <c r="K467" s="226" t="s">
        <v>4181</v>
      </c>
      <c r="L467" s="226" t="s">
        <v>122</v>
      </c>
      <c r="M467" s="226" t="s">
        <v>211</v>
      </c>
      <c r="N467" s="226" t="s">
        <v>4185</v>
      </c>
      <c r="O467" s="226" t="s">
        <v>4183</v>
      </c>
      <c r="P467" s="250">
        <v>46106.59635040509</v>
      </c>
    </row>
    <row r="468">
      <c r="A468" s="228">
        <v>467.0</v>
      </c>
      <c r="B468" s="226">
        <v>808.0</v>
      </c>
      <c r="C468" s="226" t="s">
        <v>690</v>
      </c>
      <c r="D468" s="226" t="s">
        <v>4176</v>
      </c>
      <c r="E468" s="228">
        <v>1.0</v>
      </c>
      <c r="F468" s="249"/>
      <c r="G468" s="250">
        <v>45772.0</v>
      </c>
      <c r="H468" s="250">
        <v>46136.0</v>
      </c>
      <c r="I468" s="228">
        <v>364.0</v>
      </c>
      <c r="K468" s="226" t="s">
        <v>4181</v>
      </c>
      <c r="L468" s="226" t="s">
        <v>210</v>
      </c>
      <c r="M468" s="226" t="s">
        <v>14</v>
      </c>
      <c r="N468" s="226" t="s">
        <v>4185</v>
      </c>
      <c r="O468" s="226" t="s">
        <v>4183</v>
      </c>
      <c r="P468" s="250">
        <v>46106.59635040509</v>
      </c>
    </row>
    <row r="469">
      <c r="A469" s="228">
        <v>468.0</v>
      </c>
      <c r="B469" s="226">
        <v>807.0</v>
      </c>
      <c r="C469" s="226" t="s">
        <v>832</v>
      </c>
      <c r="D469" s="226" t="s">
        <v>4176</v>
      </c>
      <c r="E469" s="228">
        <v>1.0</v>
      </c>
      <c r="F469" s="249"/>
      <c r="G469" s="250">
        <v>45772.0</v>
      </c>
      <c r="H469" s="250">
        <v>47848.0</v>
      </c>
      <c r="I469" s="228">
        <v>2076.0</v>
      </c>
      <c r="K469" s="226" t="s">
        <v>4181</v>
      </c>
      <c r="L469" s="226" t="s">
        <v>211</v>
      </c>
      <c r="M469" s="226" t="s">
        <v>38</v>
      </c>
      <c r="N469" s="226" t="s">
        <v>4185</v>
      </c>
      <c r="O469" s="226" t="s">
        <v>4183</v>
      </c>
      <c r="P469" s="250">
        <v>46106.59635040509</v>
      </c>
    </row>
    <row r="470">
      <c r="A470" s="228">
        <v>469.0</v>
      </c>
      <c r="B470" s="226">
        <v>788.0</v>
      </c>
      <c r="C470" s="226" t="s">
        <v>3109</v>
      </c>
      <c r="D470" s="226" t="s">
        <v>4176</v>
      </c>
      <c r="E470" s="228">
        <v>1.0</v>
      </c>
      <c r="F470" s="249"/>
      <c r="G470" s="250">
        <v>45775.0</v>
      </c>
      <c r="H470" s="250">
        <v>46140.0</v>
      </c>
      <c r="I470" s="228">
        <v>365.0</v>
      </c>
      <c r="K470" s="226" t="s">
        <v>4181</v>
      </c>
      <c r="L470" s="226" t="s">
        <v>122</v>
      </c>
      <c r="M470" s="226" t="s">
        <v>14</v>
      </c>
      <c r="N470" s="226" t="s">
        <v>4185</v>
      </c>
      <c r="O470" s="226" t="s">
        <v>4183</v>
      </c>
      <c r="P470" s="250">
        <v>46106.59635040509</v>
      </c>
    </row>
    <row r="471">
      <c r="A471" s="228">
        <v>470.0</v>
      </c>
      <c r="B471" s="226">
        <v>809.0</v>
      </c>
      <c r="C471" s="226" t="s">
        <v>3216</v>
      </c>
      <c r="D471" s="226" t="s">
        <v>4176</v>
      </c>
      <c r="E471" s="228">
        <v>1.0</v>
      </c>
      <c r="F471" s="249"/>
      <c r="G471" s="250">
        <v>45775.0</v>
      </c>
      <c r="H471" s="250">
        <v>45804.0</v>
      </c>
      <c r="I471" s="228">
        <v>29.0</v>
      </c>
      <c r="K471" s="226" t="s">
        <v>4181</v>
      </c>
      <c r="L471" s="226" t="s">
        <v>210</v>
      </c>
      <c r="M471" s="226" t="s">
        <v>175</v>
      </c>
      <c r="N471" s="226" t="s">
        <v>4185</v>
      </c>
      <c r="O471" s="226" t="s">
        <v>4183</v>
      </c>
      <c r="P471" s="250">
        <v>46106.59635040509</v>
      </c>
    </row>
    <row r="472">
      <c r="A472" s="228">
        <v>471.0</v>
      </c>
      <c r="B472" s="226">
        <v>810.0</v>
      </c>
      <c r="C472" s="226" t="s">
        <v>3227</v>
      </c>
      <c r="D472" s="226" t="s">
        <v>4176</v>
      </c>
      <c r="E472" s="228">
        <v>1.0</v>
      </c>
      <c r="F472" s="249"/>
      <c r="G472" s="250">
        <v>45776.0</v>
      </c>
      <c r="H472" s="250">
        <v>45805.0</v>
      </c>
      <c r="I472" s="228">
        <v>29.0</v>
      </c>
      <c r="K472" s="226" t="s">
        <v>4181</v>
      </c>
      <c r="L472" s="226" t="s">
        <v>162</v>
      </c>
      <c r="M472" s="226" t="s">
        <v>175</v>
      </c>
      <c r="N472" s="226" t="s">
        <v>4185</v>
      </c>
      <c r="O472" s="226" t="s">
        <v>4183</v>
      </c>
      <c r="P472" s="250">
        <v>46106.59635040509</v>
      </c>
    </row>
    <row r="473">
      <c r="A473" s="228">
        <v>472.0</v>
      </c>
      <c r="B473" s="226">
        <v>811.0</v>
      </c>
      <c r="C473" s="226" t="s">
        <v>3240</v>
      </c>
      <c r="D473" s="226" t="s">
        <v>4176</v>
      </c>
      <c r="E473" s="228">
        <v>1.0</v>
      </c>
      <c r="F473" s="249"/>
      <c r="G473" s="250">
        <v>45776.0</v>
      </c>
      <c r="H473" s="250">
        <v>46140.0</v>
      </c>
      <c r="I473" s="228">
        <v>364.0</v>
      </c>
      <c r="K473" s="226" t="s">
        <v>4181</v>
      </c>
      <c r="L473" s="226" t="s">
        <v>210</v>
      </c>
      <c r="M473" s="226" t="s">
        <v>211</v>
      </c>
      <c r="N473" s="226" t="s">
        <v>4185</v>
      </c>
      <c r="O473" s="226" t="s">
        <v>4183</v>
      </c>
      <c r="P473" s="250">
        <v>46106.59635040509</v>
      </c>
    </row>
    <row r="474">
      <c r="A474" s="228">
        <v>473.0</v>
      </c>
      <c r="B474" s="226">
        <v>812.0</v>
      </c>
      <c r="C474" s="226" t="s">
        <v>4485</v>
      </c>
      <c r="D474" s="226" t="s">
        <v>4188</v>
      </c>
      <c r="E474" s="228">
        <v>1.0</v>
      </c>
      <c r="F474" s="249"/>
      <c r="G474" s="250">
        <v>45784.0</v>
      </c>
      <c r="H474" s="250">
        <v>45838.0</v>
      </c>
      <c r="I474" s="228">
        <v>54.0</v>
      </c>
      <c r="K474" s="226" t="s">
        <v>4181</v>
      </c>
      <c r="L474" s="226" t="s">
        <v>247</v>
      </c>
      <c r="M474" s="226" t="s">
        <v>289</v>
      </c>
      <c r="N474" s="226" t="s">
        <v>4185</v>
      </c>
      <c r="O474" s="226" t="s">
        <v>4183</v>
      </c>
      <c r="P474" s="250">
        <v>46106.59635040509</v>
      </c>
    </row>
    <row r="475">
      <c r="A475" s="228">
        <v>474.0</v>
      </c>
      <c r="B475" s="226">
        <v>813.0</v>
      </c>
      <c r="C475" s="226" t="s">
        <v>4488</v>
      </c>
      <c r="D475" s="226" t="s">
        <v>4176</v>
      </c>
      <c r="E475" s="228">
        <v>1.0</v>
      </c>
      <c r="F475" s="249"/>
      <c r="G475" s="250">
        <v>45784.0</v>
      </c>
      <c r="H475" s="250">
        <v>45791.0</v>
      </c>
      <c r="I475" s="228">
        <v>7.0</v>
      </c>
      <c r="K475" s="226" t="s">
        <v>4181</v>
      </c>
      <c r="L475" s="226" t="s">
        <v>247</v>
      </c>
      <c r="M475" s="226" t="s">
        <v>289</v>
      </c>
      <c r="N475" s="226" t="s">
        <v>4185</v>
      </c>
      <c r="O475" s="226" t="s">
        <v>4183</v>
      </c>
      <c r="P475" s="250">
        <v>46106.59635040509</v>
      </c>
    </row>
    <row r="476">
      <c r="A476" s="228">
        <v>475.0</v>
      </c>
      <c r="B476" s="226">
        <v>814.0</v>
      </c>
      <c r="C476" s="226" t="s">
        <v>4491</v>
      </c>
      <c r="D476" s="226" t="s">
        <v>4176</v>
      </c>
      <c r="E476" s="228">
        <v>1.0</v>
      </c>
      <c r="F476" s="249"/>
      <c r="G476" s="250">
        <v>45784.0</v>
      </c>
      <c r="H476" s="250">
        <v>46387.0</v>
      </c>
      <c r="I476" s="228">
        <v>603.0</v>
      </c>
      <c r="K476" s="226" t="s">
        <v>4181</v>
      </c>
      <c r="L476" s="226" t="s">
        <v>247</v>
      </c>
      <c r="M476" s="226" t="s">
        <v>211</v>
      </c>
      <c r="N476" s="226" t="s">
        <v>4190</v>
      </c>
      <c r="O476" s="226" t="s">
        <v>4183</v>
      </c>
      <c r="P476" s="250">
        <v>46106.59635040509</v>
      </c>
    </row>
    <row r="477">
      <c r="A477" s="228">
        <v>476.0</v>
      </c>
      <c r="B477" s="226">
        <v>815.0</v>
      </c>
      <c r="C477" s="226" t="s">
        <v>4492</v>
      </c>
      <c r="D477" s="226" t="s">
        <v>4176</v>
      </c>
      <c r="E477" s="228">
        <v>1.0</v>
      </c>
      <c r="F477" s="249"/>
      <c r="G477" s="250">
        <v>45784.0</v>
      </c>
      <c r="H477" s="250">
        <v>45791.0</v>
      </c>
      <c r="I477" s="228">
        <v>7.0</v>
      </c>
      <c r="K477" s="226" t="s">
        <v>4181</v>
      </c>
      <c r="L477" s="226" t="s">
        <v>247</v>
      </c>
      <c r="M477" s="226" t="s">
        <v>261</v>
      </c>
      <c r="N477" s="226" t="s">
        <v>4185</v>
      </c>
      <c r="O477" s="226" t="s">
        <v>4183</v>
      </c>
      <c r="P477" s="250">
        <v>46106.59635040509</v>
      </c>
    </row>
    <row r="478">
      <c r="A478" s="228">
        <v>477.0</v>
      </c>
      <c r="B478" s="226">
        <v>820.0</v>
      </c>
      <c r="C478" s="226" t="s">
        <v>649</v>
      </c>
      <c r="D478" s="226" t="s">
        <v>4188</v>
      </c>
      <c r="E478" s="228">
        <v>1.0</v>
      </c>
      <c r="F478" s="249"/>
      <c r="G478" s="250">
        <v>45784.0</v>
      </c>
      <c r="H478" s="250">
        <v>46022.0</v>
      </c>
      <c r="I478" s="228">
        <v>238.0</v>
      </c>
      <c r="K478" s="226" t="s">
        <v>4181</v>
      </c>
      <c r="L478" s="226" t="s">
        <v>247</v>
      </c>
      <c r="M478" s="226" t="s">
        <v>65</v>
      </c>
      <c r="N478" s="226" t="s">
        <v>4185</v>
      </c>
      <c r="O478" s="226" t="s">
        <v>4183</v>
      </c>
      <c r="P478" s="250">
        <v>46106.59635040509</v>
      </c>
    </row>
    <row r="479">
      <c r="A479" s="228">
        <v>478.0</v>
      </c>
      <c r="B479" s="226">
        <v>821.0</v>
      </c>
      <c r="C479" s="226" t="s">
        <v>649</v>
      </c>
      <c r="D479" s="226" t="s">
        <v>4188</v>
      </c>
      <c r="E479" s="228">
        <v>1.0</v>
      </c>
      <c r="F479" s="249"/>
      <c r="G479" s="250">
        <v>45784.0</v>
      </c>
      <c r="H479" s="250">
        <v>46022.0</v>
      </c>
      <c r="I479" s="228">
        <v>238.0</v>
      </c>
      <c r="K479" s="226" t="s">
        <v>4181</v>
      </c>
      <c r="L479" s="226" t="s">
        <v>247</v>
      </c>
      <c r="M479" s="226" t="s">
        <v>65</v>
      </c>
      <c r="N479" s="226" t="s">
        <v>4185</v>
      </c>
      <c r="O479" s="226" t="s">
        <v>4183</v>
      </c>
      <c r="P479" s="250">
        <v>46106.59635040509</v>
      </c>
    </row>
    <row r="480">
      <c r="A480" s="228">
        <v>479.0</v>
      </c>
      <c r="B480" s="226">
        <v>816.0</v>
      </c>
      <c r="C480" s="226" t="s">
        <v>3189</v>
      </c>
      <c r="D480" s="226" t="s">
        <v>4176</v>
      </c>
      <c r="E480" s="228">
        <v>1.0</v>
      </c>
      <c r="F480" s="249"/>
      <c r="G480" s="250">
        <v>45786.0</v>
      </c>
      <c r="H480" s="250">
        <v>46151.0</v>
      </c>
      <c r="I480" s="228">
        <v>365.0</v>
      </c>
      <c r="K480" s="226" t="s">
        <v>4181</v>
      </c>
      <c r="L480" s="226" t="s">
        <v>122</v>
      </c>
      <c r="M480" s="226" t="s">
        <v>65</v>
      </c>
      <c r="N480" s="226" t="s">
        <v>4185</v>
      </c>
      <c r="O480" s="226" t="s">
        <v>4183</v>
      </c>
      <c r="P480" s="250">
        <v>46106.59635040509</v>
      </c>
    </row>
    <row r="481">
      <c r="A481" s="228">
        <v>480.0</v>
      </c>
      <c r="B481" s="226">
        <v>817.0</v>
      </c>
      <c r="C481" s="226" t="s">
        <v>3288</v>
      </c>
      <c r="D481" s="226" t="s">
        <v>4176</v>
      </c>
      <c r="E481" s="228">
        <v>1.0</v>
      </c>
      <c r="F481" s="249"/>
      <c r="G481" s="250">
        <v>45791.0</v>
      </c>
      <c r="H481" s="250">
        <v>46156.0</v>
      </c>
      <c r="I481" s="228">
        <v>365.0</v>
      </c>
      <c r="K481" s="226" t="s">
        <v>4181</v>
      </c>
      <c r="L481" s="226" t="s">
        <v>261</v>
      </c>
      <c r="M481" s="226" t="s">
        <v>123</v>
      </c>
      <c r="N481" s="226" t="s">
        <v>4185</v>
      </c>
      <c r="O481" s="226" t="s">
        <v>4183</v>
      </c>
      <c r="P481" s="250">
        <v>46106.59635040509</v>
      </c>
    </row>
    <row r="482">
      <c r="A482" s="228">
        <v>481.0</v>
      </c>
      <c r="B482" s="226">
        <v>819.0</v>
      </c>
      <c r="C482" s="226" t="s">
        <v>872</v>
      </c>
      <c r="D482" s="226" t="s">
        <v>4176</v>
      </c>
      <c r="E482" s="228">
        <v>1.0</v>
      </c>
      <c r="F482" s="249"/>
      <c r="G482" s="250">
        <v>45796.0</v>
      </c>
      <c r="H482" s="250">
        <v>46161.0</v>
      </c>
      <c r="I482" s="228">
        <v>365.0</v>
      </c>
      <c r="K482" s="226" t="s">
        <v>4181</v>
      </c>
      <c r="L482" s="226" t="s">
        <v>261</v>
      </c>
      <c r="M482" s="226" t="s">
        <v>14</v>
      </c>
      <c r="N482" s="226" t="s">
        <v>4185</v>
      </c>
      <c r="O482" s="226" t="s">
        <v>4183</v>
      </c>
      <c r="P482" s="250">
        <v>46106.59635040509</v>
      </c>
    </row>
    <row r="483">
      <c r="A483" s="228">
        <v>482.0</v>
      </c>
      <c r="B483" s="226">
        <v>818.0</v>
      </c>
      <c r="C483" s="226" t="s">
        <v>999</v>
      </c>
      <c r="D483" s="226" t="s">
        <v>4176</v>
      </c>
      <c r="E483" s="228">
        <v>1.0</v>
      </c>
      <c r="F483" s="249"/>
      <c r="G483" s="250">
        <v>45796.0</v>
      </c>
      <c r="H483" s="250">
        <v>46161.0</v>
      </c>
      <c r="I483" s="228">
        <v>365.0</v>
      </c>
      <c r="K483" s="226" t="s">
        <v>4181</v>
      </c>
      <c r="L483" s="226" t="s">
        <v>210</v>
      </c>
      <c r="M483" s="226" t="s">
        <v>123</v>
      </c>
      <c r="N483" s="226" t="s">
        <v>4185</v>
      </c>
      <c r="O483" s="226" t="s">
        <v>4183</v>
      </c>
      <c r="P483" s="250">
        <v>46106.59635040509</v>
      </c>
    </row>
    <row r="484">
      <c r="A484" s="228">
        <v>483.0</v>
      </c>
      <c r="B484" s="226">
        <v>822.0</v>
      </c>
      <c r="C484" s="226" t="s">
        <v>3205</v>
      </c>
      <c r="D484" s="226" t="s">
        <v>4176</v>
      </c>
      <c r="E484" s="228">
        <v>1.0</v>
      </c>
      <c r="F484" s="249"/>
      <c r="G484" s="250">
        <v>45797.0</v>
      </c>
      <c r="H484" s="250">
        <v>46112.0</v>
      </c>
      <c r="I484" s="228">
        <v>315.0</v>
      </c>
      <c r="K484" s="226" t="s">
        <v>4181</v>
      </c>
      <c r="L484" s="226" t="s">
        <v>122</v>
      </c>
      <c r="M484" s="226" t="s">
        <v>65</v>
      </c>
      <c r="N484" s="226" t="s">
        <v>4185</v>
      </c>
      <c r="O484" s="226" t="s">
        <v>4183</v>
      </c>
      <c r="P484" s="250">
        <v>46106.59635040509</v>
      </c>
    </row>
    <row r="485">
      <c r="A485" s="228">
        <v>484.0</v>
      </c>
      <c r="B485" s="226">
        <v>823.0</v>
      </c>
      <c r="C485" s="226" t="s">
        <v>4495</v>
      </c>
      <c r="D485" s="226" t="s">
        <v>4176</v>
      </c>
      <c r="E485" s="228">
        <v>1.0</v>
      </c>
      <c r="F485" s="249"/>
      <c r="G485" s="250">
        <v>45799.0</v>
      </c>
      <c r="H485" s="250">
        <v>46387.0</v>
      </c>
      <c r="I485" s="228">
        <v>588.0</v>
      </c>
      <c r="K485" s="226" t="s">
        <v>4181</v>
      </c>
      <c r="L485" s="226" t="s">
        <v>247</v>
      </c>
      <c r="M485" s="226" t="s">
        <v>211</v>
      </c>
      <c r="N485" s="226" t="s">
        <v>4190</v>
      </c>
      <c r="O485" s="226" t="s">
        <v>4183</v>
      </c>
      <c r="P485" s="250">
        <v>46106.59635040509</v>
      </c>
    </row>
    <row r="486">
      <c r="A486" s="228">
        <v>485.0</v>
      </c>
      <c r="B486" s="226">
        <v>761.0</v>
      </c>
      <c r="C486" s="226" t="s">
        <v>4496</v>
      </c>
      <c r="D486" s="226" t="s">
        <v>4176</v>
      </c>
      <c r="E486" s="228">
        <v>1.0</v>
      </c>
      <c r="F486" s="249"/>
      <c r="G486" s="250">
        <v>45805.0</v>
      </c>
      <c r="H486" s="250">
        <v>45838.0</v>
      </c>
      <c r="I486" s="228">
        <v>33.0</v>
      </c>
      <c r="K486" s="226" t="s">
        <v>4181</v>
      </c>
      <c r="L486" s="226" t="s">
        <v>122</v>
      </c>
      <c r="M486" s="226" t="s">
        <v>261</v>
      </c>
      <c r="N486" s="226" t="s">
        <v>4185</v>
      </c>
      <c r="O486" s="226" t="s">
        <v>4183</v>
      </c>
      <c r="P486" s="250">
        <v>46106.59635040509</v>
      </c>
    </row>
    <row r="487">
      <c r="A487" s="228">
        <v>486.0</v>
      </c>
      <c r="B487" s="226">
        <v>824.0</v>
      </c>
      <c r="C487" s="226" t="s">
        <v>3251</v>
      </c>
      <c r="D487" s="226" t="s">
        <v>4176</v>
      </c>
      <c r="E487" s="228">
        <v>1.0</v>
      </c>
      <c r="F487" s="249"/>
      <c r="G487" s="250">
        <v>45805.0</v>
      </c>
      <c r="H487" s="250">
        <v>45838.0</v>
      </c>
      <c r="I487" s="228">
        <v>33.0</v>
      </c>
      <c r="K487" s="226" t="s">
        <v>4181</v>
      </c>
      <c r="L487" s="226" t="s">
        <v>122</v>
      </c>
      <c r="M487" s="226" t="s">
        <v>175</v>
      </c>
      <c r="N487" s="226" t="s">
        <v>4185</v>
      </c>
      <c r="O487" s="226" t="s">
        <v>4183</v>
      </c>
      <c r="P487" s="250">
        <v>46106.59635040509</v>
      </c>
    </row>
    <row r="488">
      <c r="A488" s="228">
        <v>487.0</v>
      </c>
      <c r="B488" s="226">
        <v>825.0</v>
      </c>
      <c r="C488" s="226" t="s">
        <v>3167</v>
      </c>
      <c r="D488" s="226" t="s">
        <v>4176</v>
      </c>
      <c r="E488" s="228">
        <v>1.0</v>
      </c>
      <c r="F488" s="249"/>
      <c r="G488" s="250">
        <v>45806.0</v>
      </c>
      <c r="H488" s="250">
        <v>46171.0</v>
      </c>
      <c r="I488" s="228">
        <v>365.0</v>
      </c>
      <c r="K488" s="226" t="s">
        <v>4181</v>
      </c>
      <c r="L488" s="226" t="s">
        <v>261</v>
      </c>
      <c r="M488" s="226" t="s">
        <v>65</v>
      </c>
      <c r="N488" s="226" t="s">
        <v>4185</v>
      </c>
      <c r="O488" s="226" t="s">
        <v>4183</v>
      </c>
      <c r="P488" s="250">
        <v>46106.59635040509</v>
      </c>
    </row>
    <row r="489">
      <c r="A489" s="228">
        <v>488.0</v>
      </c>
      <c r="B489" s="226">
        <v>826.0</v>
      </c>
      <c r="C489" s="226" t="s">
        <v>4498</v>
      </c>
      <c r="D489" s="226" t="s">
        <v>4188</v>
      </c>
      <c r="E489" s="228">
        <v>1.0</v>
      </c>
      <c r="F489" s="249"/>
      <c r="G489" s="250">
        <v>45806.0</v>
      </c>
      <c r="H489" s="250">
        <v>45869.0</v>
      </c>
      <c r="I489" s="228">
        <v>63.0</v>
      </c>
      <c r="K489" s="226" t="s">
        <v>4181</v>
      </c>
      <c r="L489" s="226" t="s">
        <v>247</v>
      </c>
      <c r="M489" s="226" t="s">
        <v>261</v>
      </c>
      <c r="N489" s="226" t="s">
        <v>4185</v>
      </c>
      <c r="O489" s="226" t="s">
        <v>4183</v>
      </c>
      <c r="P489" s="250">
        <v>46106.59635040509</v>
      </c>
    </row>
    <row r="490">
      <c r="A490" s="228">
        <v>489.0</v>
      </c>
      <c r="B490" s="226">
        <v>827.0</v>
      </c>
      <c r="C490" s="226" t="s">
        <v>997</v>
      </c>
      <c r="D490" s="226" t="s">
        <v>4176</v>
      </c>
      <c r="E490" s="228">
        <v>1.0</v>
      </c>
      <c r="F490" s="249"/>
      <c r="G490" s="250">
        <v>45811.0</v>
      </c>
      <c r="H490" s="250">
        <v>46203.0</v>
      </c>
      <c r="I490" s="228">
        <v>392.0</v>
      </c>
      <c r="K490" s="226" t="s">
        <v>4181</v>
      </c>
      <c r="L490" s="226" t="s">
        <v>210</v>
      </c>
      <c r="M490" s="226" t="s">
        <v>14</v>
      </c>
      <c r="N490" s="226" t="s">
        <v>4190</v>
      </c>
      <c r="O490" s="226" t="s">
        <v>4183</v>
      </c>
      <c r="P490" s="250">
        <v>46106.59635040509</v>
      </c>
    </row>
    <row r="491">
      <c r="A491" s="228">
        <v>490.0</v>
      </c>
      <c r="B491" s="226">
        <v>828.0</v>
      </c>
      <c r="C491" s="226" t="s">
        <v>3268</v>
      </c>
      <c r="D491" s="226" t="s">
        <v>4176</v>
      </c>
      <c r="E491" s="228">
        <v>1.0</v>
      </c>
      <c r="F491" s="249"/>
      <c r="G491" s="250">
        <v>45814.0</v>
      </c>
      <c r="H491" s="250">
        <v>46568.0</v>
      </c>
      <c r="I491" s="228">
        <v>754.0</v>
      </c>
      <c r="K491" s="226" t="s">
        <v>4181</v>
      </c>
      <c r="L491" s="226" t="s">
        <v>122</v>
      </c>
      <c r="M491" s="226" t="s">
        <v>14</v>
      </c>
      <c r="N491" s="226" t="s">
        <v>4185</v>
      </c>
      <c r="O491" s="226" t="s">
        <v>4183</v>
      </c>
      <c r="P491" s="250">
        <v>46106.59635040509</v>
      </c>
    </row>
    <row r="492">
      <c r="A492" s="228">
        <v>491.0</v>
      </c>
      <c r="B492" s="226">
        <v>829.0</v>
      </c>
      <c r="C492" s="226" t="s">
        <v>4501</v>
      </c>
      <c r="D492" s="226" t="s">
        <v>4176</v>
      </c>
      <c r="E492" s="228">
        <v>1.0</v>
      </c>
      <c r="F492" s="249"/>
      <c r="G492" s="250">
        <v>45814.0</v>
      </c>
      <c r="H492" s="250">
        <v>45844.0</v>
      </c>
      <c r="I492" s="228">
        <v>30.0</v>
      </c>
      <c r="K492" s="226" t="s">
        <v>4181</v>
      </c>
      <c r="L492" s="226" t="s">
        <v>122</v>
      </c>
      <c r="M492" s="226" t="s">
        <v>261</v>
      </c>
      <c r="N492" s="226" t="s">
        <v>4185</v>
      </c>
      <c r="O492" s="226" t="s">
        <v>4183</v>
      </c>
      <c r="P492" s="250">
        <v>46106.59635040509</v>
      </c>
    </row>
    <row r="493">
      <c r="A493" s="228">
        <v>492.0</v>
      </c>
      <c r="B493" s="226">
        <v>830.0</v>
      </c>
      <c r="C493" s="226" t="s">
        <v>3334</v>
      </c>
      <c r="D493" s="226" t="s">
        <v>4176</v>
      </c>
      <c r="E493" s="228">
        <v>1.0</v>
      </c>
      <c r="F493" s="249"/>
      <c r="G493" s="250">
        <v>45817.0</v>
      </c>
      <c r="H493" s="250">
        <v>46175.0</v>
      </c>
      <c r="I493" s="228">
        <v>358.0</v>
      </c>
      <c r="K493" s="226" t="s">
        <v>4181</v>
      </c>
      <c r="L493" s="226" t="s">
        <v>210</v>
      </c>
      <c r="M493" s="226" t="s">
        <v>123</v>
      </c>
      <c r="N493" s="226" t="s">
        <v>4185</v>
      </c>
      <c r="O493" s="226" t="s">
        <v>4183</v>
      </c>
      <c r="P493" s="250">
        <v>46106.59635040509</v>
      </c>
    </row>
    <row r="494">
      <c r="A494" s="228">
        <v>493.0</v>
      </c>
      <c r="B494" s="226">
        <v>831.0</v>
      </c>
      <c r="C494" s="226" t="s">
        <v>4502</v>
      </c>
      <c r="D494" s="226" t="s">
        <v>4176</v>
      </c>
      <c r="E494" s="228">
        <v>1.0</v>
      </c>
      <c r="F494" s="249"/>
      <c r="G494" s="250">
        <v>45831.0</v>
      </c>
      <c r="H494" s="250">
        <v>45861.0</v>
      </c>
      <c r="I494" s="228">
        <v>30.0</v>
      </c>
      <c r="K494" s="226" t="s">
        <v>4181</v>
      </c>
      <c r="L494" s="226" t="s">
        <v>247</v>
      </c>
      <c r="N494" s="226" t="s">
        <v>4185</v>
      </c>
      <c r="O494" s="226" t="s">
        <v>4183</v>
      </c>
      <c r="P494" s="250">
        <v>46106.59635040509</v>
      </c>
    </row>
    <row r="495">
      <c r="A495" s="228">
        <v>494.0</v>
      </c>
      <c r="B495" s="226">
        <v>832.0</v>
      </c>
      <c r="C495" s="226" t="s">
        <v>3939</v>
      </c>
      <c r="D495" s="226" t="s">
        <v>4176</v>
      </c>
      <c r="E495" s="228">
        <v>1.0</v>
      </c>
      <c r="F495" s="249"/>
      <c r="G495" s="250">
        <v>45835.0</v>
      </c>
      <c r="H495" s="250">
        <v>45849.0</v>
      </c>
      <c r="I495" s="228">
        <v>14.0</v>
      </c>
      <c r="K495" s="226" t="s">
        <v>4181</v>
      </c>
      <c r="L495" s="226" t="s">
        <v>247</v>
      </c>
      <c r="N495" s="226" t="s">
        <v>4185</v>
      </c>
      <c r="O495" s="226" t="s">
        <v>4183</v>
      </c>
      <c r="P495" s="250">
        <v>46106.59635040509</v>
      </c>
    </row>
    <row r="496">
      <c r="A496" s="228">
        <v>495.0</v>
      </c>
      <c r="B496" s="226">
        <v>837.0</v>
      </c>
      <c r="C496" s="226" t="s">
        <v>4503</v>
      </c>
      <c r="D496" s="226" t="s">
        <v>4176</v>
      </c>
      <c r="E496" s="228">
        <v>1.0</v>
      </c>
      <c r="F496" s="249"/>
      <c r="G496" s="250">
        <v>45838.0</v>
      </c>
      <c r="H496" s="250">
        <v>46022.0</v>
      </c>
      <c r="I496" s="228">
        <v>184.0</v>
      </c>
      <c r="K496" s="226" t="s">
        <v>4181</v>
      </c>
      <c r="L496" s="226" t="s">
        <v>122</v>
      </c>
      <c r="M496" s="226" t="s">
        <v>14</v>
      </c>
      <c r="N496" s="226" t="s">
        <v>4185</v>
      </c>
      <c r="O496" s="226" t="s">
        <v>4183</v>
      </c>
      <c r="P496" s="250">
        <v>46106.59635040509</v>
      </c>
    </row>
    <row r="497">
      <c r="A497" s="228">
        <v>496.0</v>
      </c>
      <c r="B497" s="226">
        <v>833.0</v>
      </c>
      <c r="C497" s="226" t="s">
        <v>3278</v>
      </c>
      <c r="D497" s="226" t="s">
        <v>4176</v>
      </c>
      <c r="E497" s="228">
        <v>1.0</v>
      </c>
      <c r="F497" s="249"/>
      <c r="G497" s="250">
        <v>45840.0</v>
      </c>
      <c r="H497" s="250">
        <v>45871.0</v>
      </c>
      <c r="I497" s="228">
        <v>31.0</v>
      </c>
      <c r="K497" s="226" t="s">
        <v>4181</v>
      </c>
      <c r="L497" s="226" t="s">
        <v>122</v>
      </c>
      <c r="M497" s="226" t="s">
        <v>261</v>
      </c>
      <c r="N497" s="226" t="s">
        <v>4185</v>
      </c>
      <c r="O497" s="226" t="s">
        <v>4183</v>
      </c>
      <c r="P497" s="250">
        <v>46106.59635040509</v>
      </c>
    </row>
    <row r="498">
      <c r="A498" s="228">
        <v>497.0</v>
      </c>
      <c r="B498" s="226">
        <v>834.0</v>
      </c>
      <c r="C498" s="226" t="s">
        <v>982</v>
      </c>
      <c r="D498" s="226" t="s">
        <v>4176</v>
      </c>
      <c r="E498" s="228">
        <v>1.0</v>
      </c>
      <c r="F498" s="249"/>
      <c r="G498" s="250">
        <v>45840.0</v>
      </c>
      <c r="H498" s="250">
        <v>46213.0</v>
      </c>
      <c r="I498" s="228">
        <v>373.0</v>
      </c>
      <c r="K498" s="226" t="s">
        <v>4181</v>
      </c>
      <c r="L498" s="226" t="s">
        <v>261</v>
      </c>
      <c r="M498" s="226" t="s">
        <v>123</v>
      </c>
      <c r="N498" s="226" t="s">
        <v>4185</v>
      </c>
      <c r="O498" s="226" t="s">
        <v>4183</v>
      </c>
      <c r="P498" s="250">
        <v>46106.59635040509</v>
      </c>
    </row>
    <row r="499">
      <c r="A499" s="228">
        <v>498.0</v>
      </c>
      <c r="B499" s="226">
        <v>836.0</v>
      </c>
      <c r="C499" s="226" t="s">
        <v>4505</v>
      </c>
      <c r="D499" s="226" t="s">
        <v>4188</v>
      </c>
      <c r="E499" s="228">
        <v>1.0</v>
      </c>
      <c r="F499" s="249"/>
      <c r="G499" s="250">
        <v>45842.0</v>
      </c>
      <c r="H499" s="250">
        <v>46022.0</v>
      </c>
      <c r="I499" s="228">
        <v>180.0</v>
      </c>
      <c r="K499" s="226" t="s">
        <v>4181</v>
      </c>
      <c r="L499" s="226" t="s">
        <v>247</v>
      </c>
      <c r="M499" s="226" t="s">
        <v>123</v>
      </c>
      <c r="N499" s="226" t="s">
        <v>4185</v>
      </c>
      <c r="O499" s="226" t="s">
        <v>4183</v>
      </c>
      <c r="P499" s="250">
        <v>46106.59635040509</v>
      </c>
    </row>
    <row r="500">
      <c r="A500" s="228">
        <v>499.0</v>
      </c>
      <c r="B500" s="226">
        <v>838.0</v>
      </c>
      <c r="C500" s="226" t="s">
        <v>3378</v>
      </c>
      <c r="D500" s="226" t="s">
        <v>4176</v>
      </c>
      <c r="E500" s="228">
        <v>1.0</v>
      </c>
      <c r="F500" s="249"/>
      <c r="G500" s="250">
        <v>45847.0</v>
      </c>
      <c r="H500" s="250">
        <v>46218.0</v>
      </c>
      <c r="I500" s="228">
        <v>371.0</v>
      </c>
      <c r="K500" s="226" t="s">
        <v>4181</v>
      </c>
      <c r="L500" s="226" t="s">
        <v>261</v>
      </c>
      <c r="M500" s="226" t="s">
        <v>14</v>
      </c>
      <c r="N500" s="226" t="s">
        <v>4185</v>
      </c>
      <c r="O500" s="226" t="s">
        <v>4183</v>
      </c>
      <c r="P500" s="250">
        <v>46106.59635040509</v>
      </c>
    </row>
    <row r="501">
      <c r="A501" s="228">
        <v>500.0</v>
      </c>
      <c r="B501" s="226">
        <v>884.0</v>
      </c>
      <c r="C501" s="226" t="s">
        <v>4506</v>
      </c>
      <c r="D501" s="226" t="s">
        <v>4176</v>
      </c>
      <c r="E501" s="228">
        <v>1.0</v>
      </c>
      <c r="F501" s="249"/>
      <c r="G501" s="250">
        <v>45847.0</v>
      </c>
      <c r="H501" s="250">
        <v>46212.0</v>
      </c>
      <c r="I501" s="228">
        <v>365.0</v>
      </c>
      <c r="K501" s="226" t="s">
        <v>4181</v>
      </c>
      <c r="L501" s="226" t="s">
        <v>210</v>
      </c>
      <c r="M501" s="226" t="s">
        <v>14</v>
      </c>
      <c r="N501" s="226" t="s">
        <v>4185</v>
      </c>
      <c r="O501" s="226" t="s">
        <v>4183</v>
      </c>
      <c r="P501" s="250">
        <v>46106.59635040509</v>
      </c>
    </row>
    <row r="502">
      <c r="A502" s="228">
        <v>501.0</v>
      </c>
      <c r="B502" s="226">
        <v>839.0</v>
      </c>
      <c r="C502" s="226" t="s">
        <v>4507</v>
      </c>
      <c r="D502" s="226" t="s">
        <v>4188</v>
      </c>
      <c r="E502" s="228">
        <v>1.0</v>
      </c>
      <c r="F502" s="249"/>
      <c r="G502" s="250">
        <v>45852.0</v>
      </c>
      <c r="H502" s="250">
        <v>46022.0</v>
      </c>
      <c r="I502" s="228">
        <v>170.0</v>
      </c>
      <c r="K502" s="226" t="s">
        <v>4181</v>
      </c>
      <c r="L502" s="226" t="s">
        <v>247</v>
      </c>
      <c r="M502" s="226" t="s">
        <v>65</v>
      </c>
      <c r="N502" s="226" t="s">
        <v>4185</v>
      </c>
      <c r="O502" s="226" t="s">
        <v>4183</v>
      </c>
      <c r="P502" s="250">
        <v>46106.59635040509</v>
      </c>
    </row>
    <row r="503">
      <c r="A503" s="228">
        <v>502.0</v>
      </c>
      <c r="B503" s="226">
        <v>841.0</v>
      </c>
      <c r="C503" s="226" t="s">
        <v>4509</v>
      </c>
      <c r="D503" s="226" t="s">
        <v>4176</v>
      </c>
      <c r="E503" s="228">
        <v>1.0</v>
      </c>
      <c r="F503" s="249"/>
      <c r="G503" s="250">
        <v>45853.0</v>
      </c>
      <c r="H503" s="250">
        <v>45884.0</v>
      </c>
      <c r="I503" s="228">
        <v>31.0</v>
      </c>
      <c r="K503" s="226" t="s">
        <v>4181</v>
      </c>
      <c r="L503" s="226" t="s">
        <v>210</v>
      </c>
      <c r="M503" s="226" t="s">
        <v>175</v>
      </c>
      <c r="N503" s="226" t="s">
        <v>4185</v>
      </c>
      <c r="O503" s="226" t="s">
        <v>4183</v>
      </c>
      <c r="P503" s="250">
        <v>46106.59635040509</v>
      </c>
    </row>
    <row r="504">
      <c r="A504" s="228">
        <v>503.0</v>
      </c>
      <c r="B504" s="226">
        <v>840.0</v>
      </c>
      <c r="C504" s="226" t="s">
        <v>4510</v>
      </c>
      <c r="D504" s="226" t="s">
        <v>4176</v>
      </c>
      <c r="E504" s="228">
        <v>1.0</v>
      </c>
      <c r="F504" s="249"/>
      <c r="G504" s="250">
        <v>45853.0</v>
      </c>
      <c r="H504" s="250">
        <v>45930.0</v>
      </c>
      <c r="I504" s="228">
        <v>77.0</v>
      </c>
      <c r="K504" s="226" t="s">
        <v>4181</v>
      </c>
      <c r="L504" s="226" t="s">
        <v>247</v>
      </c>
      <c r="M504" s="226" t="s">
        <v>261</v>
      </c>
      <c r="N504" s="226" t="s">
        <v>4185</v>
      </c>
      <c r="O504" s="226" t="s">
        <v>4183</v>
      </c>
      <c r="P504" s="250">
        <v>46106.59635040509</v>
      </c>
    </row>
    <row r="505">
      <c r="A505" s="228">
        <v>504.0</v>
      </c>
      <c r="B505" s="226">
        <v>842.0</v>
      </c>
      <c r="C505" s="226" t="s">
        <v>4511</v>
      </c>
      <c r="D505" s="226" t="s">
        <v>4176</v>
      </c>
      <c r="E505" s="228">
        <v>1.0</v>
      </c>
      <c r="F505" s="249"/>
      <c r="G505" s="250">
        <v>45855.0</v>
      </c>
      <c r="H505" s="250">
        <v>45886.0</v>
      </c>
      <c r="I505" s="228">
        <v>31.0</v>
      </c>
      <c r="K505" s="226" t="s">
        <v>4181</v>
      </c>
      <c r="L505" s="226" t="s">
        <v>247</v>
      </c>
      <c r="M505" s="226" t="s">
        <v>289</v>
      </c>
      <c r="N505" s="226" t="s">
        <v>4185</v>
      </c>
      <c r="O505" s="226" t="s">
        <v>4183</v>
      </c>
      <c r="P505" s="250">
        <v>46106.59635040509</v>
      </c>
    </row>
    <row r="506">
      <c r="A506" s="228">
        <v>505.0</v>
      </c>
      <c r="B506" s="226">
        <v>843.0</v>
      </c>
      <c r="C506" s="226" t="s">
        <v>4513</v>
      </c>
      <c r="D506" s="226" t="s">
        <v>4176</v>
      </c>
      <c r="E506" s="228">
        <v>1.0</v>
      </c>
      <c r="F506" s="249"/>
      <c r="G506" s="250">
        <v>45856.0</v>
      </c>
      <c r="H506" s="250">
        <v>45870.0</v>
      </c>
      <c r="I506" s="228">
        <v>14.0</v>
      </c>
      <c r="K506" s="226" t="s">
        <v>4181</v>
      </c>
      <c r="L506" s="226" t="s">
        <v>289</v>
      </c>
      <c r="M506" s="226" t="s">
        <v>289</v>
      </c>
      <c r="N506" s="226" t="s">
        <v>4185</v>
      </c>
      <c r="O506" s="226" t="s">
        <v>4183</v>
      </c>
      <c r="P506" s="250">
        <v>46106.59635040509</v>
      </c>
    </row>
    <row r="507">
      <c r="A507" s="228">
        <v>506.0</v>
      </c>
      <c r="B507" s="226">
        <v>844.0</v>
      </c>
      <c r="C507" s="226" t="s">
        <v>4516</v>
      </c>
      <c r="D507" s="226" t="s">
        <v>4176</v>
      </c>
      <c r="E507" s="228">
        <v>1.0</v>
      </c>
      <c r="F507" s="249"/>
      <c r="G507" s="250">
        <v>45860.0</v>
      </c>
      <c r="H507" s="250">
        <v>45869.0</v>
      </c>
      <c r="I507" s="228">
        <v>9.0</v>
      </c>
      <c r="K507" s="226" t="s">
        <v>4181</v>
      </c>
      <c r="L507" s="226" t="s">
        <v>210</v>
      </c>
      <c r="M507" s="226" t="s">
        <v>175</v>
      </c>
      <c r="N507" s="226" t="s">
        <v>4185</v>
      </c>
      <c r="O507" s="226" t="s">
        <v>4183</v>
      </c>
      <c r="P507" s="250">
        <v>46106.59635040509</v>
      </c>
    </row>
    <row r="508">
      <c r="A508" s="228">
        <v>507.0</v>
      </c>
      <c r="B508" s="226">
        <v>845.0</v>
      </c>
      <c r="C508" s="226" t="s">
        <v>4517</v>
      </c>
      <c r="D508" s="226" t="s">
        <v>4176</v>
      </c>
      <c r="E508" s="228">
        <v>1.0</v>
      </c>
      <c r="F508" s="249"/>
      <c r="G508" s="250">
        <v>45861.0</v>
      </c>
      <c r="H508" s="250">
        <v>45869.0</v>
      </c>
      <c r="I508" s="228">
        <v>8.0</v>
      </c>
      <c r="K508" s="226" t="s">
        <v>4181</v>
      </c>
      <c r="L508" s="226" t="s">
        <v>122</v>
      </c>
      <c r="M508" s="226" t="s">
        <v>211</v>
      </c>
      <c r="N508" s="226" t="s">
        <v>4185</v>
      </c>
      <c r="O508" s="226" t="s">
        <v>4183</v>
      </c>
      <c r="P508" s="250">
        <v>46106.59635040509</v>
      </c>
    </row>
    <row r="509">
      <c r="A509" s="228">
        <v>508.0</v>
      </c>
      <c r="B509" s="226">
        <v>846.0</v>
      </c>
      <c r="C509" s="226" t="s">
        <v>3326</v>
      </c>
      <c r="D509" s="226" t="s">
        <v>4176</v>
      </c>
      <c r="E509" s="228">
        <v>1.0</v>
      </c>
      <c r="F509" s="249"/>
      <c r="G509" s="250">
        <v>45867.0</v>
      </c>
      <c r="H509" s="250">
        <v>45961.0</v>
      </c>
      <c r="I509" s="228">
        <v>94.0</v>
      </c>
      <c r="K509" s="226" t="s">
        <v>4181</v>
      </c>
      <c r="L509" s="226" t="s">
        <v>122</v>
      </c>
      <c r="M509" s="226" t="s">
        <v>211</v>
      </c>
      <c r="N509" s="226" t="s">
        <v>4185</v>
      </c>
      <c r="O509" s="226" t="s">
        <v>4183</v>
      </c>
      <c r="P509" s="250">
        <v>46106.59635040509</v>
      </c>
    </row>
    <row r="510">
      <c r="A510" s="228">
        <v>509.0</v>
      </c>
      <c r="B510" s="226">
        <v>847.0</v>
      </c>
      <c r="C510" s="226" t="s">
        <v>4518</v>
      </c>
      <c r="D510" s="226" t="s">
        <v>4176</v>
      </c>
      <c r="E510" s="228">
        <v>1.0</v>
      </c>
      <c r="F510" s="249"/>
      <c r="G510" s="250">
        <v>45869.0</v>
      </c>
      <c r="H510" s="250">
        <v>45874.0</v>
      </c>
      <c r="I510" s="228">
        <v>5.0</v>
      </c>
      <c r="K510" s="226" t="s">
        <v>4181</v>
      </c>
      <c r="L510" s="226" t="s">
        <v>210</v>
      </c>
      <c r="M510" s="226" t="s">
        <v>175</v>
      </c>
      <c r="N510" s="226" t="s">
        <v>4185</v>
      </c>
      <c r="O510" s="226" t="s">
        <v>4183</v>
      </c>
      <c r="P510" s="250">
        <v>46106.59635040509</v>
      </c>
    </row>
    <row r="511">
      <c r="A511" s="228">
        <v>510.0</v>
      </c>
      <c r="B511" s="226">
        <v>848.0</v>
      </c>
      <c r="C511" s="226" t="s">
        <v>4519</v>
      </c>
      <c r="D511" s="226" t="s">
        <v>4176</v>
      </c>
      <c r="E511" s="228">
        <v>1.0</v>
      </c>
      <c r="F511" s="249"/>
      <c r="G511" s="250">
        <v>45869.0</v>
      </c>
      <c r="H511" s="250">
        <v>45883.0</v>
      </c>
      <c r="I511" s="228">
        <v>14.0</v>
      </c>
      <c r="K511" s="226" t="s">
        <v>4181</v>
      </c>
      <c r="L511" s="226" t="s">
        <v>289</v>
      </c>
      <c r="M511" s="226" t="s">
        <v>289</v>
      </c>
      <c r="N511" s="226" t="s">
        <v>4185</v>
      </c>
      <c r="O511" s="226" t="s">
        <v>4183</v>
      </c>
      <c r="P511" s="250">
        <v>46106.59635040509</v>
      </c>
    </row>
    <row r="512">
      <c r="A512" s="228">
        <v>511.0</v>
      </c>
      <c r="B512" s="226">
        <v>850.0</v>
      </c>
      <c r="C512" s="226" t="s">
        <v>2823</v>
      </c>
      <c r="D512" s="226" t="s">
        <v>4176</v>
      </c>
      <c r="E512" s="228">
        <v>1.0</v>
      </c>
      <c r="F512" s="249"/>
      <c r="G512" s="250">
        <v>45870.0</v>
      </c>
      <c r="H512" s="250">
        <v>46112.0</v>
      </c>
      <c r="I512" s="228">
        <v>242.0</v>
      </c>
      <c r="K512" s="226" t="s">
        <v>4181</v>
      </c>
      <c r="L512" s="226" t="s">
        <v>210</v>
      </c>
      <c r="M512" s="226" t="s">
        <v>211</v>
      </c>
      <c r="N512" s="226" t="s">
        <v>4185</v>
      </c>
      <c r="O512" s="226" t="s">
        <v>4183</v>
      </c>
      <c r="P512" s="250">
        <v>46106.59635040509</v>
      </c>
    </row>
    <row r="513">
      <c r="A513" s="228">
        <v>512.0</v>
      </c>
      <c r="B513" s="226">
        <v>849.0</v>
      </c>
      <c r="C513" s="226" t="s">
        <v>1644</v>
      </c>
      <c r="D513" s="226" t="s">
        <v>4176</v>
      </c>
      <c r="E513" s="228">
        <v>1.0</v>
      </c>
      <c r="F513" s="249"/>
      <c r="G513" s="250">
        <v>45870.0</v>
      </c>
      <c r="H513" s="250">
        <v>46239.0</v>
      </c>
      <c r="I513" s="228">
        <v>369.0</v>
      </c>
      <c r="K513" s="226" t="s">
        <v>4181</v>
      </c>
      <c r="L513" s="226" t="s">
        <v>261</v>
      </c>
      <c r="M513" s="226" t="s">
        <v>123</v>
      </c>
      <c r="N513" s="226" t="s">
        <v>4185</v>
      </c>
      <c r="O513" s="226" t="s">
        <v>4183</v>
      </c>
      <c r="P513" s="250">
        <v>46106.59635040509</v>
      </c>
    </row>
    <row r="514">
      <c r="A514" s="228">
        <v>513.0</v>
      </c>
      <c r="B514" s="226">
        <v>851.0</v>
      </c>
      <c r="C514" s="226" t="s">
        <v>4520</v>
      </c>
      <c r="D514" s="226" t="s">
        <v>4188</v>
      </c>
      <c r="E514" s="228">
        <v>1.0</v>
      </c>
      <c r="F514" s="249"/>
      <c r="G514" s="250">
        <v>45870.0</v>
      </c>
      <c r="H514" s="250">
        <v>45991.0</v>
      </c>
      <c r="I514" s="228">
        <v>121.0</v>
      </c>
      <c r="K514" s="226" t="s">
        <v>4181</v>
      </c>
      <c r="L514" s="226" t="s">
        <v>247</v>
      </c>
      <c r="M514" s="226" t="s">
        <v>65</v>
      </c>
      <c r="N514" s="226" t="s">
        <v>4185</v>
      </c>
      <c r="O514" s="226" t="s">
        <v>4183</v>
      </c>
      <c r="P514" s="250">
        <v>46106.59635040509</v>
      </c>
    </row>
    <row r="515">
      <c r="A515" s="228">
        <v>514.0</v>
      </c>
      <c r="B515" s="226">
        <v>853.0</v>
      </c>
      <c r="C515" s="226" t="s">
        <v>4521</v>
      </c>
      <c r="D515" s="226" t="s">
        <v>4176</v>
      </c>
      <c r="E515" s="228">
        <v>1.0</v>
      </c>
      <c r="F515" s="249"/>
      <c r="G515" s="250">
        <v>45873.0</v>
      </c>
      <c r="H515" s="250">
        <v>46237.0</v>
      </c>
      <c r="I515" s="228">
        <v>364.0</v>
      </c>
      <c r="K515" s="226" t="s">
        <v>4181</v>
      </c>
      <c r="L515" s="226" t="s">
        <v>122</v>
      </c>
      <c r="M515" s="226" t="s">
        <v>65</v>
      </c>
      <c r="N515" s="226" t="s">
        <v>4185</v>
      </c>
      <c r="O515" s="226" t="s">
        <v>4183</v>
      </c>
      <c r="P515" s="250">
        <v>46106.59635040509</v>
      </c>
    </row>
    <row r="516">
      <c r="A516" s="228">
        <v>515.0</v>
      </c>
      <c r="B516" s="226">
        <v>852.0</v>
      </c>
      <c r="C516" s="226" t="s">
        <v>910</v>
      </c>
      <c r="D516" s="226" t="s">
        <v>4176</v>
      </c>
      <c r="E516" s="228">
        <v>1.0</v>
      </c>
      <c r="F516" s="249"/>
      <c r="G516" s="250">
        <v>45873.0</v>
      </c>
      <c r="H516" s="250">
        <v>46189.0</v>
      </c>
      <c r="I516" s="228">
        <v>316.0</v>
      </c>
      <c r="K516" s="226" t="s">
        <v>4181</v>
      </c>
      <c r="L516" s="226" t="s">
        <v>210</v>
      </c>
      <c r="M516" s="226" t="s">
        <v>123</v>
      </c>
      <c r="N516" s="226" t="s">
        <v>4185</v>
      </c>
      <c r="O516" s="226" t="s">
        <v>4183</v>
      </c>
      <c r="P516" s="250">
        <v>46106.59635040509</v>
      </c>
    </row>
    <row r="517">
      <c r="A517" s="228">
        <v>516.0</v>
      </c>
      <c r="B517" s="226">
        <v>854.0</v>
      </c>
      <c r="C517" s="226" t="s">
        <v>995</v>
      </c>
      <c r="D517" s="226" t="s">
        <v>4176</v>
      </c>
      <c r="E517" s="228">
        <v>1.0</v>
      </c>
      <c r="F517" s="249"/>
      <c r="G517" s="250">
        <v>45874.0</v>
      </c>
      <c r="H517" s="250">
        <v>46239.0</v>
      </c>
      <c r="I517" s="228">
        <v>365.0</v>
      </c>
      <c r="K517" s="226" t="s">
        <v>4181</v>
      </c>
      <c r="L517" s="226" t="s">
        <v>210</v>
      </c>
      <c r="M517" s="226" t="s">
        <v>14</v>
      </c>
      <c r="N517" s="226" t="s">
        <v>4185</v>
      </c>
      <c r="O517" s="226" t="s">
        <v>4183</v>
      </c>
      <c r="P517" s="250">
        <v>46106.59635040509</v>
      </c>
    </row>
    <row r="518">
      <c r="A518" s="228">
        <v>517.0</v>
      </c>
      <c r="B518" s="226">
        <v>859.0</v>
      </c>
      <c r="C518" s="226" t="s">
        <v>3409</v>
      </c>
      <c r="D518" s="226" t="s">
        <v>4176</v>
      </c>
      <c r="E518" s="228">
        <v>1.0</v>
      </c>
      <c r="F518" s="249"/>
      <c r="G518" s="250">
        <v>45877.0</v>
      </c>
      <c r="H518" s="250">
        <v>46249.0</v>
      </c>
      <c r="I518" s="228">
        <v>372.0</v>
      </c>
      <c r="K518" s="226" t="s">
        <v>4181</v>
      </c>
      <c r="L518" s="226" t="s">
        <v>122</v>
      </c>
      <c r="M518" s="226" t="s">
        <v>38</v>
      </c>
      <c r="N518" s="226" t="s">
        <v>4185</v>
      </c>
      <c r="O518" s="226" t="s">
        <v>4183</v>
      </c>
      <c r="P518" s="250">
        <v>46106.59635040509</v>
      </c>
    </row>
    <row r="519">
      <c r="A519" s="228">
        <v>518.0</v>
      </c>
      <c r="B519" s="226">
        <v>860.0</v>
      </c>
      <c r="C519" s="226" t="s">
        <v>893</v>
      </c>
      <c r="D519" s="226" t="s">
        <v>4176</v>
      </c>
      <c r="E519" s="228">
        <v>1.0</v>
      </c>
      <c r="F519" s="249"/>
      <c r="G519" s="250">
        <v>45877.0</v>
      </c>
      <c r="H519" s="250">
        <v>46280.0</v>
      </c>
      <c r="I519" s="228">
        <v>403.0</v>
      </c>
      <c r="K519" s="226" t="s">
        <v>4181</v>
      </c>
      <c r="L519" s="226" t="s">
        <v>261</v>
      </c>
      <c r="M519" s="226" t="s">
        <v>123</v>
      </c>
      <c r="N519" s="226" t="s">
        <v>4185</v>
      </c>
      <c r="O519" s="226" t="s">
        <v>4183</v>
      </c>
      <c r="P519" s="250">
        <v>46106.59635040509</v>
      </c>
    </row>
    <row r="520">
      <c r="A520" s="228">
        <v>519.0</v>
      </c>
      <c r="B520" s="226">
        <v>861.0</v>
      </c>
      <c r="C520" s="226" t="s">
        <v>3503</v>
      </c>
      <c r="D520" s="226" t="s">
        <v>4176</v>
      </c>
      <c r="E520" s="228">
        <v>1.0</v>
      </c>
      <c r="F520" s="249"/>
      <c r="G520" s="250">
        <v>45881.0</v>
      </c>
      <c r="H520" s="250">
        <v>45972.0</v>
      </c>
      <c r="I520" s="228">
        <v>91.0</v>
      </c>
      <c r="K520" s="226" t="s">
        <v>4181</v>
      </c>
      <c r="L520" s="226" t="s">
        <v>210</v>
      </c>
      <c r="M520" s="226" t="s">
        <v>211</v>
      </c>
      <c r="N520" s="226" t="s">
        <v>4185</v>
      </c>
      <c r="O520" s="226" t="s">
        <v>4183</v>
      </c>
      <c r="P520" s="250">
        <v>46106.59635040509</v>
      </c>
    </row>
    <row r="521">
      <c r="A521" s="228">
        <v>520.0</v>
      </c>
      <c r="B521" s="226">
        <v>863.0</v>
      </c>
      <c r="C521" s="226" t="s">
        <v>4524</v>
      </c>
      <c r="D521" s="226" t="s">
        <v>4176</v>
      </c>
      <c r="E521" s="228">
        <v>1.0</v>
      </c>
      <c r="F521" s="249"/>
      <c r="G521" s="250">
        <v>45881.0</v>
      </c>
      <c r="H521" s="250">
        <v>45891.0</v>
      </c>
      <c r="I521" s="228">
        <v>10.0</v>
      </c>
      <c r="K521" s="226" t="s">
        <v>4181</v>
      </c>
      <c r="L521" s="226" t="s">
        <v>210</v>
      </c>
      <c r="M521" s="226" t="s">
        <v>289</v>
      </c>
      <c r="N521" s="226" t="s">
        <v>4185</v>
      </c>
      <c r="O521" s="226" t="s">
        <v>4183</v>
      </c>
      <c r="P521" s="250">
        <v>46106.59635040509</v>
      </c>
    </row>
    <row r="522">
      <c r="A522" s="228">
        <v>521.0</v>
      </c>
      <c r="B522" s="226">
        <v>865.0</v>
      </c>
      <c r="C522" s="226" t="s">
        <v>4525</v>
      </c>
      <c r="D522" s="226" t="s">
        <v>4176</v>
      </c>
      <c r="E522" s="228">
        <v>1.0</v>
      </c>
      <c r="F522" s="249"/>
      <c r="G522" s="250">
        <v>45887.0</v>
      </c>
      <c r="H522" s="250">
        <v>46219.0</v>
      </c>
      <c r="I522" s="228">
        <v>332.0</v>
      </c>
      <c r="K522" s="226" t="s">
        <v>4181</v>
      </c>
      <c r="L522" s="226" t="s">
        <v>122</v>
      </c>
      <c r="M522" s="226" t="s">
        <v>14</v>
      </c>
      <c r="N522" s="226" t="s">
        <v>4185</v>
      </c>
      <c r="O522" s="226" t="s">
        <v>4183</v>
      </c>
      <c r="P522" s="250">
        <v>46106.59635040509</v>
      </c>
    </row>
    <row r="523">
      <c r="A523" s="228">
        <v>522.0</v>
      </c>
      <c r="B523" s="226">
        <v>864.0</v>
      </c>
      <c r="C523" s="226" t="s">
        <v>4526</v>
      </c>
      <c r="D523" s="226" t="s">
        <v>4188</v>
      </c>
      <c r="E523" s="228">
        <v>1.0</v>
      </c>
      <c r="F523" s="249"/>
      <c r="G523" s="250">
        <v>45887.0</v>
      </c>
      <c r="H523" s="250">
        <v>45918.0</v>
      </c>
      <c r="I523" s="228">
        <v>31.0</v>
      </c>
      <c r="K523" s="226" t="s">
        <v>4181</v>
      </c>
      <c r="L523" s="226" t="s">
        <v>247</v>
      </c>
      <c r="M523" s="226" t="s">
        <v>65</v>
      </c>
      <c r="N523" s="226" t="s">
        <v>4185</v>
      </c>
      <c r="O523" s="226" t="s">
        <v>4183</v>
      </c>
      <c r="P523" s="250">
        <v>46106.59635040509</v>
      </c>
    </row>
    <row r="524">
      <c r="A524" s="228">
        <v>523.0</v>
      </c>
      <c r="B524" s="226">
        <v>867.0</v>
      </c>
      <c r="C524" s="226" t="s">
        <v>3528</v>
      </c>
      <c r="D524" s="226" t="s">
        <v>4176</v>
      </c>
      <c r="E524" s="228">
        <v>1.0</v>
      </c>
      <c r="F524" s="249"/>
      <c r="G524" s="250">
        <v>45888.0</v>
      </c>
      <c r="H524" s="250">
        <v>46252.0</v>
      </c>
      <c r="I524" s="228">
        <v>364.0</v>
      </c>
      <c r="K524" s="226" t="s">
        <v>4181</v>
      </c>
      <c r="L524" s="226" t="s">
        <v>210</v>
      </c>
      <c r="M524" s="226" t="s">
        <v>14</v>
      </c>
      <c r="N524" s="226" t="s">
        <v>4185</v>
      </c>
      <c r="O524" s="226" t="s">
        <v>4183</v>
      </c>
      <c r="P524" s="250">
        <v>46106.59635040509</v>
      </c>
    </row>
    <row r="525">
      <c r="A525" s="228">
        <v>524.0</v>
      </c>
      <c r="B525" s="226">
        <v>868.0</v>
      </c>
      <c r="C525" s="226" t="s">
        <v>3456</v>
      </c>
      <c r="D525" s="226" t="s">
        <v>4176</v>
      </c>
      <c r="E525" s="228">
        <v>1.0</v>
      </c>
      <c r="F525" s="249"/>
      <c r="G525" s="250">
        <v>45890.0</v>
      </c>
      <c r="H525" s="250">
        <v>46254.0</v>
      </c>
      <c r="I525" s="228">
        <v>364.0</v>
      </c>
      <c r="K525" s="226" t="s">
        <v>4181</v>
      </c>
      <c r="L525" s="226" t="s">
        <v>122</v>
      </c>
      <c r="M525" s="226" t="s">
        <v>123</v>
      </c>
      <c r="N525" s="226" t="s">
        <v>4185</v>
      </c>
      <c r="O525" s="226" t="s">
        <v>4183</v>
      </c>
      <c r="P525" s="250">
        <v>46106.59635040509</v>
      </c>
    </row>
    <row r="526">
      <c r="A526" s="228">
        <v>525.0</v>
      </c>
      <c r="B526" s="226">
        <v>869.0</v>
      </c>
      <c r="C526" s="226" t="s">
        <v>3490</v>
      </c>
      <c r="D526" s="226" t="s">
        <v>4176</v>
      </c>
      <c r="E526" s="228">
        <v>1.0</v>
      </c>
      <c r="F526" s="249"/>
      <c r="G526" s="250">
        <v>45891.0</v>
      </c>
      <c r="H526" s="250">
        <v>46162.0</v>
      </c>
      <c r="I526" s="228">
        <v>271.0</v>
      </c>
      <c r="K526" s="226" t="s">
        <v>4181</v>
      </c>
      <c r="L526" s="226" t="s">
        <v>122</v>
      </c>
      <c r="M526" s="226" t="s">
        <v>123</v>
      </c>
      <c r="N526" s="226" t="s">
        <v>4185</v>
      </c>
      <c r="O526" s="226" t="s">
        <v>4183</v>
      </c>
      <c r="P526" s="250">
        <v>46106.59635040509</v>
      </c>
    </row>
    <row r="527">
      <c r="A527" s="228">
        <v>526.0</v>
      </c>
      <c r="B527" s="226">
        <v>870.0</v>
      </c>
      <c r="C527" s="226" t="s">
        <v>3517</v>
      </c>
      <c r="D527" s="226" t="s">
        <v>4176</v>
      </c>
      <c r="E527" s="228">
        <v>1.0</v>
      </c>
      <c r="F527" s="249"/>
      <c r="G527" s="250">
        <v>45895.0</v>
      </c>
      <c r="H527" s="250">
        <v>45905.0</v>
      </c>
      <c r="I527" s="228">
        <v>10.0</v>
      </c>
      <c r="K527" s="226" t="s">
        <v>4181</v>
      </c>
      <c r="L527" s="226" t="s">
        <v>122</v>
      </c>
      <c r="M527" s="226" t="s">
        <v>211</v>
      </c>
      <c r="N527" s="226" t="s">
        <v>4185</v>
      </c>
      <c r="O527" s="226" t="s">
        <v>4183</v>
      </c>
      <c r="P527" s="250">
        <v>46106.59635040509</v>
      </c>
    </row>
    <row r="528">
      <c r="A528" s="228">
        <v>527.0</v>
      </c>
      <c r="B528" s="226">
        <v>871.0</v>
      </c>
      <c r="C528" s="226" t="s">
        <v>746</v>
      </c>
      <c r="D528" s="226" t="s">
        <v>4176</v>
      </c>
      <c r="E528" s="228">
        <v>1.0</v>
      </c>
      <c r="F528" s="249"/>
      <c r="G528" s="250">
        <v>45896.0</v>
      </c>
      <c r="H528" s="250">
        <v>46204.0</v>
      </c>
      <c r="I528" s="228">
        <v>308.0</v>
      </c>
      <c r="K528" s="226" t="s">
        <v>4181</v>
      </c>
      <c r="L528" s="226" t="s">
        <v>122</v>
      </c>
      <c r="M528" s="226" t="s">
        <v>65</v>
      </c>
      <c r="N528" s="226" t="s">
        <v>4185</v>
      </c>
      <c r="O528" s="226" t="s">
        <v>4183</v>
      </c>
      <c r="P528" s="250">
        <v>46106.59635040509</v>
      </c>
    </row>
    <row r="529">
      <c r="A529" s="228">
        <v>528.0</v>
      </c>
      <c r="B529" s="226">
        <v>872.0</v>
      </c>
      <c r="C529" s="226" t="s">
        <v>3556</v>
      </c>
      <c r="D529" s="226" t="s">
        <v>4176</v>
      </c>
      <c r="E529" s="228">
        <v>1.0</v>
      </c>
      <c r="F529" s="249"/>
      <c r="G529" s="250">
        <v>45897.0</v>
      </c>
      <c r="H529" s="250">
        <v>45930.0</v>
      </c>
      <c r="I529" s="228">
        <v>33.0</v>
      </c>
      <c r="K529" s="226" t="s">
        <v>4181</v>
      </c>
      <c r="L529" s="226" t="s">
        <v>122</v>
      </c>
      <c r="M529" s="226" t="s">
        <v>211</v>
      </c>
      <c r="N529" s="226" t="s">
        <v>4185</v>
      </c>
      <c r="O529" s="226" t="s">
        <v>4183</v>
      </c>
      <c r="P529" s="250">
        <v>46106.59635040509</v>
      </c>
    </row>
    <row r="530">
      <c r="A530" s="228">
        <v>529.0</v>
      </c>
      <c r="B530" s="226">
        <v>873.0</v>
      </c>
      <c r="C530" s="226" t="s">
        <v>4528</v>
      </c>
      <c r="D530" s="226" t="s">
        <v>4176</v>
      </c>
      <c r="E530" s="228">
        <v>1.0</v>
      </c>
      <c r="F530" s="249"/>
      <c r="G530" s="250">
        <v>45898.0</v>
      </c>
      <c r="H530" s="250">
        <v>45910.0</v>
      </c>
      <c r="I530" s="228">
        <v>12.0</v>
      </c>
      <c r="K530" s="226" t="s">
        <v>4181</v>
      </c>
      <c r="L530" s="226" t="s">
        <v>122</v>
      </c>
      <c r="M530" s="226" t="s">
        <v>65</v>
      </c>
      <c r="N530" s="226" t="s">
        <v>4185</v>
      </c>
      <c r="O530" s="226" t="s">
        <v>4183</v>
      </c>
      <c r="P530" s="250">
        <v>46106.59635040509</v>
      </c>
    </row>
    <row r="531">
      <c r="A531" s="228">
        <v>530.0</v>
      </c>
      <c r="B531" s="226">
        <v>874.0</v>
      </c>
      <c r="C531" s="226" t="s">
        <v>3611</v>
      </c>
      <c r="D531" s="226" t="s">
        <v>4176</v>
      </c>
      <c r="E531" s="228">
        <v>1.0</v>
      </c>
      <c r="F531" s="249"/>
      <c r="G531" s="250">
        <v>45903.0</v>
      </c>
      <c r="H531" s="250">
        <v>45961.0</v>
      </c>
      <c r="I531" s="228">
        <v>58.0</v>
      </c>
      <c r="K531" s="226" t="s">
        <v>4181</v>
      </c>
      <c r="L531" s="226" t="s">
        <v>210</v>
      </c>
      <c r="M531" s="226" t="s">
        <v>211</v>
      </c>
      <c r="N531" s="226" t="s">
        <v>4185</v>
      </c>
      <c r="O531" s="226" t="s">
        <v>4183</v>
      </c>
      <c r="P531" s="250">
        <v>46106.59635040509</v>
      </c>
    </row>
    <row r="532">
      <c r="A532" s="228">
        <v>531.0</v>
      </c>
      <c r="B532" s="226">
        <v>875.0</v>
      </c>
      <c r="C532" s="226" t="s">
        <v>4529</v>
      </c>
      <c r="D532" s="226" t="s">
        <v>4176</v>
      </c>
      <c r="E532" s="228">
        <v>1.0</v>
      </c>
      <c r="F532" s="249"/>
      <c r="G532" s="250">
        <v>45904.0</v>
      </c>
      <c r="H532" s="250">
        <v>46388.0</v>
      </c>
      <c r="I532" s="228">
        <v>484.0</v>
      </c>
      <c r="K532" s="226" t="s">
        <v>4181</v>
      </c>
      <c r="L532" s="226" t="s">
        <v>122</v>
      </c>
      <c r="M532" s="226" t="s">
        <v>123</v>
      </c>
      <c r="N532" s="226" t="s">
        <v>4185</v>
      </c>
      <c r="O532" s="226" t="s">
        <v>4183</v>
      </c>
      <c r="P532" s="250">
        <v>46106.59635040509</v>
      </c>
    </row>
    <row r="533">
      <c r="A533" s="228">
        <v>532.0</v>
      </c>
      <c r="B533" s="226">
        <v>876.0</v>
      </c>
      <c r="C533" s="226" t="s">
        <v>606</v>
      </c>
      <c r="D533" s="226" t="s">
        <v>4188</v>
      </c>
      <c r="E533" s="228">
        <v>1.0</v>
      </c>
      <c r="F533" s="249"/>
      <c r="G533" s="250">
        <v>45908.0</v>
      </c>
      <c r="H533" s="250">
        <v>45976.0</v>
      </c>
      <c r="I533" s="228">
        <v>68.0</v>
      </c>
      <c r="K533" s="226" t="s">
        <v>4181</v>
      </c>
      <c r="L533" s="226" t="s">
        <v>247</v>
      </c>
      <c r="M533" s="226" t="s">
        <v>123</v>
      </c>
      <c r="N533" s="226" t="s">
        <v>4185</v>
      </c>
      <c r="O533" s="226" t="s">
        <v>4183</v>
      </c>
      <c r="P533" s="250">
        <v>46106.59635040509</v>
      </c>
    </row>
    <row r="534">
      <c r="A534" s="228">
        <v>533.0</v>
      </c>
      <c r="B534" s="226">
        <v>877.0</v>
      </c>
      <c r="C534" s="226" t="s">
        <v>302</v>
      </c>
      <c r="D534" s="226" t="s">
        <v>4176</v>
      </c>
      <c r="E534" s="228">
        <v>1.0</v>
      </c>
      <c r="F534" s="249"/>
      <c r="G534" s="250">
        <v>45909.0</v>
      </c>
      <c r="H534" s="250">
        <v>46273.0</v>
      </c>
      <c r="I534" s="228">
        <v>364.0</v>
      </c>
      <c r="K534" s="226" t="s">
        <v>4181</v>
      </c>
      <c r="L534" s="226" t="s">
        <v>122</v>
      </c>
      <c r="M534" s="226" t="s">
        <v>123</v>
      </c>
      <c r="N534" s="226" t="s">
        <v>4185</v>
      </c>
      <c r="O534" s="226" t="s">
        <v>4183</v>
      </c>
      <c r="P534" s="250">
        <v>46106.59635040509</v>
      </c>
    </row>
    <row r="535">
      <c r="A535" s="228">
        <v>534.0</v>
      </c>
      <c r="B535" s="226">
        <v>879.0</v>
      </c>
      <c r="C535" s="226" t="s">
        <v>980</v>
      </c>
      <c r="D535" s="226" t="s">
        <v>4176</v>
      </c>
      <c r="E535" s="228">
        <v>1.0</v>
      </c>
      <c r="F535" s="249"/>
      <c r="G535" s="250">
        <v>45910.0</v>
      </c>
      <c r="H535" s="250">
        <v>46275.0</v>
      </c>
      <c r="I535" s="228">
        <v>365.0</v>
      </c>
      <c r="K535" s="226" t="s">
        <v>4181</v>
      </c>
      <c r="L535" s="226" t="s">
        <v>210</v>
      </c>
      <c r="M535" s="226" t="s">
        <v>65</v>
      </c>
      <c r="N535" s="226" t="s">
        <v>4185</v>
      </c>
      <c r="O535" s="226" t="s">
        <v>4183</v>
      </c>
      <c r="P535" s="250">
        <v>46106.59635040509</v>
      </c>
    </row>
    <row r="536">
      <c r="A536" s="228">
        <v>535.0</v>
      </c>
      <c r="B536" s="226">
        <v>880.0</v>
      </c>
      <c r="C536" s="226" t="s">
        <v>519</v>
      </c>
      <c r="D536" s="226" t="s">
        <v>4176</v>
      </c>
      <c r="E536" s="228">
        <v>1.0</v>
      </c>
      <c r="F536" s="249"/>
      <c r="G536" s="250">
        <v>45912.0</v>
      </c>
      <c r="H536" s="250">
        <v>46276.0</v>
      </c>
      <c r="I536" s="228">
        <v>364.0</v>
      </c>
      <c r="K536" s="226" t="s">
        <v>4181</v>
      </c>
      <c r="L536" s="226" t="s">
        <v>211</v>
      </c>
      <c r="M536" s="226" t="s">
        <v>123</v>
      </c>
      <c r="N536" s="226" t="s">
        <v>4185</v>
      </c>
      <c r="O536" s="226" t="s">
        <v>4183</v>
      </c>
      <c r="P536" s="250">
        <v>46106.59635040509</v>
      </c>
    </row>
    <row r="537">
      <c r="A537" s="228">
        <v>536.0</v>
      </c>
      <c r="B537" s="226">
        <v>881.0</v>
      </c>
      <c r="C537" s="226" t="s">
        <v>88</v>
      </c>
      <c r="D537" s="226" t="s">
        <v>4176</v>
      </c>
      <c r="E537" s="228">
        <v>1.0</v>
      </c>
      <c r="F537" s="249"/>
      <c r="G537" s="250">
        <v>45912.0</v>
      </c>
      <c r="H537" s="250">
        <v>46397.0</v>
      </c>
      <c r="I537" s="228">
        <v>485.0</v>
      </c>
      <c r="K537" s="226" t="s">
        <v>4181</v>
      </c>
      <c r="L537" s="226" t="s">
        <v>210</v>
      </c>
      <c r="M537" s="226" t="s">
        <v>38</v>
      </c>
      <c r="N537" s="226" t="s">
        <v>4185</v>
      </c>
      <c r="O537" s="226" t="s">
        <v>4183</v>
      </c>
      <c r="P537" s="250">
        <v>46106.59635040509</v>
      </c>
    </row>
    <row r="538">
      <c r="A538" s="228">
        <v>537.0</v>
      </c>
      <c r="B538" s="226">
        <v>882.0</v>
      </c>
      <c r="C538" s="226" t="s">
        <v>4531</v>
      </c>
      <c r="D538" s="226" t="s">
        <v>4176</v>
      </c>
      <c r="E538" s="228">
        <v>1.0</v>
      </c>
      <c r="F538" s="249"/>
      <c r="G538" s="250">
        <v>45916.0</v>
      </c>
      <c r="H538" s="250">
        <v>46097.0</v>
      </c>
      <c r="I538" s="228">
        <v>181.0</v>
      </c>
      <c r="K538" s="226" t="s">
        <v>4181</v>
      </c>
      <c r="L538" s="226" t="s">
        <v>247</v>
      </c>
      <c r="M538" s="226" t="s">
        <v>14</v>
      </c>
      <c r="N538" s="226" t="s">
        <v>4185</v>
      </c>
      <c r="O538" s="226" t="s">
        <v>4183</v>
      </c>
      <c r="P538" s="250">
        <v>46106.59635040509</v>
      </c>
    </row>
    <row r="539">
      <c r="A539" s="228">
        <v>538.0</v>
      </c>
      <c r="B539" s="226">
        <v>883.0</v>
      </c>
      <c r="C539" s="226" t="s">
        <v>4533</v>
      </c>
      <c r="D539" s="226" t="s">
        <v>4176</v>
      </c>
      <c r="E539" s="228">
        <v>1.0</v>
      </c>
      <c r="F539" s="249"/>
      <c r="G539" s="250">
        <v>45917.0</v>
      </c>
      <c r="H539" s="250">
        <v>46275.0</v>
      </c>
      <c r="I539" s="228">
        <v>358.0</v>
      </c>
      <c r="K539" s="226" t="s">
        <v>4181</v>
      </c>
      <c r="L539" s="226" t="s">
        <v>210</v>
      </c>
      <c r="M539" s="226" t="s">
        <v>123</v>
      </c>
      <c r="N539" s="226" t="s">
        <v>4185</v>
      </c>
      <c r="O539" s="226" t="s">
        <v>4183</v>
      </c>
      <c r="P539" s="250">
        <v>46106.59635040509</v>
      </c>
    </row>
    <row r="540">
      <c r="A540" s="228">
        <v>539.0</v>
      </c>
      <c r="B540" s="226">
        <v>893.0</v>
      </c>
      <c r="C540" s="226" t="s">
        <v>796</v>
      </c>
      <c r="D540" s="226" t="s">
        <v>4176</v>
      </c>
      <c r="E540" s="228">
        <v>1.0</v>
      </c>
      <c r="F540" s="249"/>
      <c r="G540" s="250">
        <v>45918.0</v>
      </c>
      <c r="H540" s="250">
        <v>46282.0</v>
      </c>
      <c r="I540" s="228">
        <v>364.0</v>
      </c>
      <c r="K540" s="226" t="s">
        <v>4181</v>
      </c>
      <c r="L540" s="226" t="s">
        <v>211</v>
      </c>
      <c r="M540" s="226" t="s">
        <v>38</v>
      </c>
      <c r="N540" s="226" t="s">
        <v>4185</v>
      </c>
      <c r="O540" s="226" t="s">
        <v>4183</v>
      </c>
      <c r="P540" s="250">
        <v>46106.59635040509</v>
      </c>
    </row>
    <row r="541">
      <c r="A541" s="228">
        <v>540.0</v>
      </c>
      <c r="B541" s="226">
        <v>886.0</v>
      </c>
      <c r="C541" s="226" t="s">
        <v>845</v>
      </c>
      <c r="D541" s="226" t="s">
        <v>4176</v>
      </c>
      <c r="E541" s="228">
        <v>1.0</v>
      </c>
      <c r="F541" s="249"/>
      <c r="G541" s="250">
        <v>45929.0</v>
      </c>
      <c r="H541" s="250">
        <v>46234.0</v>
      </c>
      <c r="I541" s="228">
        <v>305.0</v>
      </c>
      <c r="K541" s="226" t="s">
        <v>4181</v>
      </c>
      <c r="L541" s="226" t="s">
        <v>122</v>
      </c>
      <c r="M541" s="226" t="s">
        <v>14</v>
      </c>
      <c r="N541" s="226" t="s">
        <v>4185</v>
      </c>
      <c r="O541" s="226" t="s">
        <v>4183</v>
      </c>
      <c r="P541" s="250">
        <v>46106.59635040509</v>
      </c>
    </row>
    <row r="542">
      <c r="A542" s="228">
        <v>541.0</v>
      </c>
      <c r="B542" s="226">
        <v>888.0</v>
      </c>
      <c r="C542" s="226" t="s">
        <v>849</v>
      </c>
      <c r="D542" s="226" t="s">
        <v>4176</v>
      </c>
      <c r="E542" s="228">
        <v>1.0</v>
      </c>
      <c r="F542" s="249"/>
      <c r="G542" s="250">
        <v>45929.0</v>
      </c>
      <c r="H542" s="250">
        <v>46234.0</v>
      </c>
      <c r="I542" s="228">
        <v>305.0</v>
      </c>
      <c r="K542" s="226" t="s">
        <v>4181</v>
      </c>
      <c r="L542" s="226" t="s">
        <v>122</v>
      </c>
      <c r="M542" s="226" t="s">
        <v>123</v>
      </c>
      <c r="N542" s="226" t="s">
        <v>4185</v>
      </c>
      <c r="O542" s="226" t="s">
        <v>4183</v>
      </c>
      <c r="P542" s="250">
        <v>46106.59635040509</v>
      </c>
    </row>
    <row r="543">
      <c r="A543" s="228">
        <v>542.0</v>
      </c>
      <c r="B543" s="226">
        <v>889.0</v>
      </c>
      <c r="C543" s="226" t="s">
        <v>977</v>
      </c>
      <c r="D543" s="226" t="s">
        <v>4176</v>
      </c>
      <c r="E543" s="228">
        <v>1.0</v>
      </c>
      <c r="F543" s="249"/>
      <c r="G543" s="250">
        <v>45930.0</v>
      </c>
      <c r="H543" s="250">
        <v>46295.0</v>
      </c>
      <c r="I543" s="228">
        <v>365.0</v>
      </c>
      <c r="K543" s="226" t="s">
        <v>4181</v>
      </c>
      <c r="L543" s="226" t="s">
        <v>122</v>
      </c>
      <c r="M543" s="226" t="s">
        <v>123</v>
      </c>
      <c r="N543" s="226" t="s">
        <v>4185</v>
      </c>
      <c r="O543" s="226" t="s">
        <v>4183</v>
      </c>
      <c r="P543" s="250">
        <v>46106.59635040509</v>
      </c>
    </row>
    <row r="544">
      <c r="A544" s="228">
        <v>543.0</v>
      </c>
      <c r="B544" s="226">
        <v>890.0</v>
      </c>
      <c r="C544" s="226" t="s">
        <v>1046</v>
      </c>
      <c r="D544" s="226" t="s">
        <v>4176</v>
      </c>
      <c r="E544" s="228">
        <v>1.0</v>
      </c>
      <c r="F544" s="249"/>
      <c r="G544" s="250">
        <v>45932.0</v>
      </c>
      <c r="H544" s="250">
        <v>46132.0</v>
      </c>
      <c r="I544" s="228">
        <v>200.0</v>
      </c>
      <c r="K544" s="226" t="s">
        <v>4181</v>
      </c>
      <c r="L544" s="226" t="s">
        <v>247</v>
      </c>
      <c r="M544" s="226" t="s">
        <v>123</v>
      </c>
      <c r="N544" s="226" t="s">
        <v>4185</v>
      </c>
      <c r="O544" s="226" t="s">
        <v>4183</v>
      </c>
      <c r="P544" s="250">
        <v>46106.59635040509</v>
      </c>
    </row>
    <row r="545">
      <c r="A545" s="228">
        <v>544.0</v>
      </c>
      <c r="B545" s="226">
        <v>891.0</v>
      </c>
      <c r="C545" s="226" t="s">
        <v>4537</v>
      </c>
      <c r="D545" s="226" t="s">
        <v>4176</v>
      </c>
      <c r="E545" s="228">
        <v>1.0</v>
      </c>
      <c r="F545" s="249"/>
      <c r="G545" s="250">
        <v>45936.0</v>
      </c>
      <c r="H545" s="250">
        <v>45992.0</v>
      </c>
      <c r="I545" s="228">
        <v>56.0</v>
      </c>
      <c r="K545" s="226" t="s">
        <v>4181</v>
      </c>
      <c r="L545" s="226" t="s">
        <v>261</v>
      </c>
      <c r="M545" s="226" t="s">
        <v>211</v>
      </c>
      <c r="N545" s="226" t="s">
        <v>4185</v>
      </c>
      <c r="O545" s="226" t="s">
        <v>4183</v>
      </c>
      <c r="P545" s="250">
        <v>46106.59635040509</v>
      </c>
    </row>
    <row r="546">
      <c r="A546" s="228">
        <v>545.0</v>
      </c>
      <c r="B546" s="226">
        <v>892.0</v>
      </c>
      <c r="C546" s="226" t="s">
        <v>970</v>
      </c>
      <c r="D546" s="226" t="s">
        <v>4176</v>
      </c>
      <c r="E546" s="228">
        <v>1.0</v>
      </c>
      <c r="F546" s="249"/>
      <c r="G546" s="250">
        <v>45938.0</v>
      </c>
      <c r="H546" s="250">
        <v>46303.0</v>
      </c>
      <c r="I546" s="228">
        <v>365.0</v>
      </c>
      <c r="K546" s="226" t="s">
        <v>4181</v>
      </c>
      <c r="L546" s="226" t="s">
        <v>122</v>
      </c>
      <c r="M546" s="226" t="s">
        <v>123</v>
      </c>
      <c r="N546" s="226" t="s">
        <v>4185</v>
      </c>
      <c r="O546" s="226" t="s">
        <v>4183</v>
      </c>
      <c r="P546" s="250">
        <v>46106.59635040509</v>
      </c>
    </row>
    <row r="547">
      <c r="A547" s="228">
        <v>546.0</v>
      </c>
      <c r="B547" s="226">
        <v>895.0</v>
      </c>
      <c r="C547" s="226" t="s">
        <v>4539</v>
      </c>
      <c r="D547" s="226" t="s">
        <v>4176</v>
      </c>
      <c r="E547" s="228">
        <v>1.0</v>
      </c>
      <c r="F547" s="249"/>
      <c r="G547" s="250">
        <v>45943.0</v>
      </c>
      <c r="H547" s="250">
        <v>45961.0</v>
      </c>
      <c r="I547" s="228">
        <v>18.0</v>
      </c>
      <c r="K547" s="226" t="s">
        <v>4181</v>
      </c>
      <c r="L547" s="226" t="s">
        <v>261</v>
      </c>
      <c r="M547" s="226" t="s">
        <v>211</v>
      </c>
      <c r="N547" s="226" t="s">
        <v>4185</v>
      </c>
      <c r="O547" s="226" t="s">
        <v>4183</v>
      </c>
      <c r="P547" s="250">
        <v>46106.59635040509</v>
      </c>
    </row>
    <row r="548">
      <c r="A548" s="228">
        <v>547.0</v>
      </c>
      <c r="B548" s="226">
        <v>894.0</v>
      </c>
      <c r="C548" s="226" t="s">
        <v>825</v>
      </c>
      <c r="D548" s="226" t="s">
        <v>4176</v>
      </c>
      <c r="E548" s="228">
        <v>1.0</v>
      </c>
      <c r="F548" s="249"/>
      <c r="G548" s="250">
        <v>45943.0</v>
      </c>
      <c r="H548" s="250">
        <v>46112.0</v>
      </c>
      <c r="I548" s="228">
        <v>169.0</v>
      </c>
      <c r="K548" s="226" t="s">
        <v>4181</v>
      </c>
      <c r="L548" s="226" t="s">
        <v>211</v>
      </c>
      <c r="M548" s="226" t="s">
        <v>123</v>
      </c>
      <c r="N548" s="226" t="s">
        <v>4190</v>
      </c>
      <c r="O548" s="226" t="s">
        <v>4183</v>
      </c>
      <c r="P548" s="250">
        <v>46106.59635040509</v>
      </c>
    </row>
    <row r="549">
      <c r="A549" s="228">
        <v>548.0</v>
      </c>
      <c r="B549" s="226">
        <v>896.0</v>
      </c>
      <c r="C549" s="226" t="s">
        <v>806</v>
      </c>
      <c r="D549" s="226" t="s">
        <v>4176</v>
      </c>
      <c r="E549" s="228">
        <v>1.0</v>
      </c>
      <c r="F549" s="249"/>
      <c r="G549" s="250">
        <v>45944.0</v>
      </c>
      <c r="H549" s="250">
        <v>46676.0</v>
      </c>
      <c r="I549" s="228">
        <v>732.0</v>
      </c>
      <c r="K549" s="226" t="s">
        <v>4181</v>
      </c>
      <c r="L549" s="226" t="s">
        <v>210</v>
      </c>
      <c r="M549" s="226" t="s">
        <v>14</v>
      </c>
      <c r="N549" s="226" t="s">
        <v>4185</v>
      </c>
      <c r="O549" s="226" t="s">
        <v>4183</v>
      </c>
      <c r="P549" s="250">
        <v>46106.59635040509</v>
      </c>
    </row>
    <row r="550">
      <c r="A550" s="228">
        <v>549.0</v>
      </c>
      <c r="B550" s="226">
        <v>897.0</v>
      </c>
      <c r="C550" s="226" t="s">
        <v>4542</v>
      </c>
      <c r="D550" s="226" t="s">
        <v>4188</v>
      </c>
      <c r="E550" s="228">
        <v>1.0</v>
      </c>
      <c r="F550" s="249"/>
      <c r="G550" s="250">
        <v>45945.0</v>
      </c>
      <c r="H550" s="250">
        <v>46101.0</v>
      </c>
      <c r="I550" s="228">
        <v>156.0</v>
      </c>
      <c r="K550" s="226" t="s">
        <v>4181</v>
      </c>
      <c r="L550" s="226" t="s">
        <v>247</v>
      </c>
      <c r="M550" s="226" t="s">
        <v>123</v>
      </c>
      <c r="N550" s="226" t="s">
        <v>4185</v>
      </c>
      <c r="O550" s="226" t="s">
        <v>4183</v>
      </c>
      <c r="P550" s="250">
        <v>46106.59635040509</v>
      </c>
    </row>
    <row r="551">
      <c r="A551" s="228">
        <v>550.0</v>
      </c>
      <c r="B551" s="226">
        <v>898.0</v>
      </c>
      <c r="C551" s="226" t="s">
        <v>647</v>
      </c>
      <c r="D551" s="226" t="s">
        <v>4188</v>
      </c>
      <c r="E551" s="228">
        <v>1.0</v>
      </c>
      <c r="F551" s="249"/>
      <c r="G551" s="250">
        <v>45945.0</v>
      </c>
      <c r="H551" s="250">
        <v>46113.0</v>
      </c>
      <c r="I551" s="228">
        <v>168.0</v>
      </c>
      <c r="K551" s="226" t="s">
        <v>4181</v>
      </c>
      <c r="L551" s="226" t="s">
        <v>247</v>
      </c>
      <c r="M551" s="226" t="s">
        <v>38</v>
      </c>
      <c r="N551" s="226" t="s">
        <v>4185</v>
      </c>
      <c r="O551" s="226" t="s">
        <v>4183</v>
      </c>
      <c r="P551" s="250">
        <v>46106.59635040509</v>
      </c>
    </row>
    <row r="552">
      <c r="A552" s="228">
        <v>551.0</v>
      </c>
      <c r="B552" s="226">
        <v>899.0</v>
      </c>
      <c r="C552" s="226" t="s">
        <v>3792</v>
      </c>
      <c r="D552" s="226" t="s">
        <v>4176</v>
      </c>
      <c r="E552" s="228">
        <v>1.0</v>
      </c>
      <c r="F552" s="249"/>
      <c r="G552" s="250">
        <v>45953.0</v>
      </c>
      <c r="H552" s="250">
        <v>45991.0</v>
      </c>
      <c r="I552" s="228">
        <v>38.0</v>
      </c>
      <c r="K552" s="226" t="s">
        <v>4181</v>
      </c>
      <c r="L552" s="226" t="s">
        <v>311</v>
      </c>
      <c r="M552" s="226" t="s">
        <v>211</v>
      </c>
      <c r="N552" s="226" t="s">
        <v>4185</v>
      </c>
      <c r="O552" s="226" t="s">
        <v>4183</v>
      </c>
      <c r="P552" s="250">
        <v>46106.59635040509</v>
      </c>
    </row>
    <row r="553">
      <c r="A553" s="228">
        <v>552.0</v>
      </c>
      <c r="B553" s="226">
        <v>900.0</v>
      </c>
      <c r="C553" s="226" t="s">
        <v>993</v>
      </c>
      <c r="D553" s="226" t="s">
        <v>4176</v>
      </c>
      <c r="E553" s="228">
        <v>1.0</v>
      </c>
      <c r="F553" s="249"/>
      <c r="G553" s="250">
        <v>45958.0</v>
      </c>
      <c r="H553" s="250">
        <v>46163.0</v>
      </c>
      <c r="I553" s="228">
        <v>205.0</v>
      </c>
      <c r="K553" s="226" t="s">
        <v>4181</v>
      </c>
      <c r="L553" s="226" t="s">
        <v>211</v>
      </c>
      <c r="M553" s="226" t="s">
        <v>123</v>
      </c>
      <c r="N553" s="226" t="s">
        <v>4185</v>
      </c>
      <c r="O553" s="226" t="s">
        <v>4183</v>
      </c>
      <c r="P553" s="250">
        <v>46106.59635040509</v>
      </c>
    </row>
    <row r="554">
      <c r="A554" s="228">
        <v>553.0</v>
      </c>
      <c r="B554" s="226">
        <v>902.0</v>
      </c>
      <c r="C554" s="226" t="s">
        <v>968</v>
      </c>
      <c r="D554" s="226" t="s">
        <v>4176</v>
      </c>
      <c r="E554" s="228">
        <v>1.0</v>
      </c>
      <c r="F554" s="249"/>
      <c r="G554" s="250">
        <v>45959.0</v>
      </c>
      <c r="H554" s="250">
        <v>46324.0</v>
      </c>
      <c r="I554" s="228">
        <v>365.0</v>
      </c>
      <c r="K554" s="226" t="s">
        <v>4181</v>
      </c>
      <c r="L554" s="226" t="s">
        <v>122</v>
      </c>
      <c r="M554" s="226" t="s">
        <v>123</v>
      </c>
      <c r="N554" s="226" t="s">
        <v>4185</v>
      </c>
      <c r="O554" s="226" t="s">
        <v>4183</v>
      </c>
      <c r="P554" s="250">
        <v>46106.59635040509</v>
      </c>
    </row>
    <row r="555">
      <c r="A555" s="228">
        <v>554.0</v>
      </c>
      <c r="B555" s="226">
        <v>901.0</v>
      </c>
      <c r="C555" s="226" t="s">
        <v>3835</v>
      </c>
      <c r="D555" s="226" t="s">
        <v>4176</v>
      </c>
      <c r="E555" s="228">
        <v>1.0</v>
      </c>
      <c r="F555" s="249"/>
      <c r="G555" s="250">
        <v>45959.0</v>
      </c>
      <c r="H555" s="250">
        <v>46323.0</v>
      </c>
      <c r="I555" s="228">
        <v>364.0</v>
      </c>
      <c r="K555" s="226" t="s">
        <v>4181</v>
      </c>
      <c r="L555" s="226" t="s">
        <v>311</v>
      </c>
      <c r="M555" s="226" t="s">
        <v>14</v>
      </c>
      <c r="N555" s="226" t="s">
        <v>4185</v>
      </c>
      <c r="O555" s="226" t="s">
        <v>4183</v>
      </c>
      <c r="P555" s="250">
        <v>46106.59635040509</v>
      </c>
    </row>
    <row r="556">
      <c r="A556" s="228">
        <v>555.0</v>
      </c>
      <c r="B556" s="226">
        <v>903.0</v>
      </c>
      <c r="C556" s="226" t="s">
        <v>4543</v>
      </c>
      <c r="D556" s="226" t="s">
        <v>4176</v>
      </c>
      <c r="E556" s="228">
        <v>1.0</v>
      </c>
      <c r="F556" s="249"/>
      <c r="G556" s="250">
        <v>45965.0</v>
      </c>
      <c r="H556" s="250">
        <v>46330.0</v>
      </c>
      <c r="I556" s="228">
        <v>365.0</v>
      </c>
      <c r="K556" s="226" t="s">
        <v>4181</v>
      </c>
      <c r="L556" s="226" t="s">
        <v>261</v>
      </c>
      <c r="M556" s="226" t="s">
        <v>123</v>
      </c>
      <c r="N556" s="226" t="s">
        <v>4185</v>
      </c>
      <c r="O556" s="226" t="s">
        <v>4183</v>
      </c>
      <c r="P556" s="250">
        <v>46106.59635040509</v>
      </c>
    </row>
    <row r="557">
      <c r="A557" s="228">
        <v>556.0</v>
      </c>
      <c r="B557" s="226">
        <v>904.0</v>
      </c>
      <c r="C557" s="226" t="s">
        <v>973</v>
      </c>
      <c r="D557" s="226" t="s">
        <v>4176</v>
      </c>
      <c r="E557" s="228">
        <v>1.0</v>
      </c>
      <c r="F557" s="249"/>
      <c r="G557" s="250">
        <v>45968.0</v>
      </c>
      <c r="H557" s="250">
        <v>46333.0</v>
      </c>
      <c r="I557" s="228">
        <v>365.0</v>
      </c>
      <c r="K557" s="226" t="s">
        <v>4181</v>
      </c>
      <c r="L557" s="226" t="s">
        <v>122</v>
      </c>
      <c r="M557" s="226" t="s">
        <v>123</v>
      </c>
      <c r="N557" s="226" t="s">
        <v>4185</v>
      </c>
      <c r="O557" s="226" t="s">
        <v>4183</v>
      </c>
      <c r="P557" s="250">
        <v>46106.59635040509</v>
      </c>
    </row>
    <row r="558">
      <c r="A558" s="228">
        <v>557.0</v>
      </c>
      <c r="B558" s="226">
        <v>905.0</v>
      </c>
      <c r="C558" s="226" t="s">
        <v>4546</v>
      </c>
      <c r="D558" s="226" t="s">
        <v>4188</v>
      </c>
      <c r="E558" s="228">
        <v>1.0</v>
      </c>
      <c r="F558" s="249"/>
      <c r="G558" s="250">
        <v>45968.0</v>
      </c>
      <c r="H558" s="250">
        <v>46073.0</v>
      </c>
      <c r="I558" s="228">
        <v>105.0</v>
      </c>
      <c r="K558" s="226" t="s">
        <v>4181</v>
      </c>
      <c r="L558" s="226" t="s">
        <v>122</v>
      </c>
      <c r="M558" s="226" t="s">
        <v>123</v>
      </c>
      <c r="N558" s="226" t="s">
        <v>4185</v>
      </c>
      <c r="O558" s="226" t="s">
        <v>4183</v>
      </c>
      <c r="P558" s="250">
        <v>46106.59635040509</v>
      </c>
    </row>
    <row r="559">
      <c r="A559" s="228">
        <v>558.0</v>
      </c>
      <c r="B559" s="226">
        <v>907.0</v>
      </c>
      <c r="C559" s="226" t="s">
        <v>4547</v>
      </c>
      <c r="D559" s="226" t="s">
        <v>4176</v>
      </c>
      <c r="E559" s="228">
        <v>1.0</v>
      </c>
      <c r="F559" s="249"/>
      <c r="G559" s="250">
        <v>45975.0</v>
      </c>
      <c r="H559" s="250">
        <v>46006.0</v>
      </c>
      <c r="I559" s="228">
        <v>31.0</v>
      </c>
      <c r="K559" s="226" t="s">
        <v>4181</v>
      </c>
      <c r="L559" s="226" t="s">
        <v>311</v>
      </c>
      <c r="M559" s="226" t="s">
        <v>123</v>
      </c>
      <c r="N559" s="226" t="s">
        <v>4185</v>
      </c>
      <c r="O559" s="226" t="s">
        <v>4183</v>
      </c>
      <c r="P559" s="250">
        <v>46106.59635040509</v>
      </c>
    </row>
    <row r="560">
      <c r="A560" s="228">
        <v>559.0</v>
      </c>
      <c r="B560" s="226">
        <v>914.0</v>
      </c>
      <c r="C560" s="226" t="s">
        <v>1070</v>
      </c>
      <c r="D560" s="226" t="s">
        <v>4176</v>
      </c>
      <c r="E560" s="228">
        <v>1.0</v>
      </c>
      <c r="F560" s="249"/>
      <c r="G560" s="250">
        <v>45978.0</v>
      </c>
      <c r="H560" s="250">
        <v>46343.0</v>
      </c>
      <c r="I560" s="228">
        <v>365.0</v>
      </c>
      <c r="K560" s="226" t="s">
        <v>4181</v>
      </c>
      <c r="L560" s="226" t="s">
        <v>261</v>
      </c>
      <c r="M560" s="226" t="s">
        <v>4052</v>
      </c>
      <c r="N560" s="226" t="s">
        <v>4185</v>
      </c>
      <c r="O560" s="226" t="s">
        <v>4183</v>
      </c>
      <c r="P560" s="250">
        <v>46106.59635040509</v>
      </c>
    </row>
    <row r="561">
      <c r="A561" s="228">
        <v>560.0</v>
      </c>
      <c r="B561" s="226">
        <v>906.0</v>
      </c>
      <c r="C561" s="226" t="s">
        <v>961</v>
      </c>
      <c r="D561" s="226" t="s">
        <v>4176</v>
      </c>
      <c r="E561" s="228">
        <v>1.0</v>
      </c>
      <c r="F561" s="249"/>
      <c r="G561" s="250">
        <v>45978.0</v>
      </c>
      <c r="H561" s="250">
        <v>46343.0</v>
      </c>
      <c r="I561" s="228">
        <v>365.0</v>
      </c>
      <c r="K561" s="226" t="s">
        <v>4181</v>
      </c>
      <c r="L561" s="226" t="s">
        <v>211</v>
      </c>
      <c r="M561" s="226" t="s">
        <v>14</v>
      </c>
      <c r="N561" s="226" t="s">
        <v>4185</v>
      </c>
      <c r="O561" s="226" t="s">
        <v>4183</v>
      </c>
      <c r="P561" s="250">
        <v>46106.59635040509</v>
      </c>
    </row>
    <row r="562">
      <c r="A562" s="228">
        <v>561.0</v>
      </c>
      <c r="B562" s="226">
        <v>908.0</v>
      </c>
      <c r="C562" s="226" t="s">
        <v>4551</v>
      </c>
      <c r="D562" s="226" t="s">
        <v>4176</v>
      </c>
      <c r="E562" s="228">
        <v>1.0</v>
      </c>
      <c r="F562" s="249"/>
      <c r="G562" s="250">
        <v>45980.0</v>
      </c>
      <c r="H562" s="250">
        <v>45992.0</v>
      </c>
      <c r="I562" s="228">
        <v>12.0</v>
      </c>
      <c r="K562" s="226" t="s">
        <v>4181</v>
      </c>
      <c r="L562" s="226" t="s">
        <v>210</v>
      </c>
      <c r="M562" s="226" t="s">
        <v>211</v>
      </c>
      <c r="N562" s="226" t="s">
        <v>4185</v>
      </c>
      <c r="O562" s="226" t="s">
        <v>4183</v>
      </c>
      <c r="P562" s="250">
        <v>46106.59635040509</v>
      </c>
    </row>
    <row r="563">
      <c r="A563" s="228">
        <v>562.0</v>
      </c>
      <c r="B563" s="226">
        <v>909.0</v>
      </c>
      <c r="C563" s="226" t="s">
        <v>4552</v>
      </c>
      <c r="D563" s="226" t="s">
        <v>4176</v>
      </c>
      <c r="E563" s="228">
        <v>1.0</v>
      </c>
      <c r="F563" s="249"/>
      <c r="G563" s="250">
        <v>45981.0</v>
      </c>
      <c r="H563" s="250">
        <v>45991.0</v>
      </c>
      <c r="I563" s="228">
        <v>10.0</v>
      </c>
      <c r="K563" s="226" t="s">
        <v>4181</v>
      </c>
      <c r="L563" s="226" t="s">
        <v>261</v>
      </c>
      <c r="M563" s="226" t="s">
        <v>211</v>
      </c>
      <c r="N563" s="226" t="s">
        <v>4185</v>
      </c>
      <c r="O563" s="226" t="s">
        <v>4183</v>
      </c>
      <c r="P563" s="250">
        <v>46106.59635040509</v>
      </c>
    </row>
    <row r="564">
      <c r="A564" s="228">
        <v>563.0</v>
      </c>
      <c r="B564" s="226">
        <v>911.0</v>
      </c>
      <c r="C564" s="226" t="s">
        <v>4553</v>
      </c>
      <c r="D564" s="226" t="s">
        <v>4188</v>
      </c>
      <c r="E564" s="228">
        <v>1.0</v>
      </c>
      <c r="F564" s="249"/>
      <c r="G564" s="250">
        <v>45986.0</v>
      </c>
      <c r="H564" s="250">
        <v>46022.0</v>
      </c>
      <c r="I564" s="228">
        <v>36.0</v>
      </c>
      <c r="K564" s="226" t="s">
        <v>4181</v>
      </c>
      <c r="L564" s="226" t="s">
        <v>247</v>
      </c>
      <c r="M564" s="226" t="s">
        <v>65</v>
      </c>
      <c r="N564" s="226" t="s">
        <v>4185</v>
      </c>
      <c r="O564" s="226" t="s">
        <v>4183</v>
      </c>
      <c r="P564" s="250">
        <v>46106.59635040509</v>
      </c>
    </row>
    <row r="565">
      <c r="A565" s="228">
        <v>564.0</v>
      </c>
      <c r="B565" s="226">
        <v>912.0</v>
      </c>
      <c r="C565" s="226" t="s">
        <v>4554</v>
      </c>
      <c r="D565" s="226" t="s">
        <v>4176</v>
      </c>
      <c r="E565" s="228">
        <v>1.0</v>
      </c>
      <c r="F565" s="249"/>
      <c r="G565" s="250">
        <v>45989.0</v>
      </c>
      <c r="H565" s="250">
        <v>46003.0</v>
      </c>
      <c r="I565" s="228">
        <v>14.0</v>
      </c>
      <c r="K565" s="226" t="s">
        <v>4181</v>
      </c>
      <c r="L565" s="226" t="s">
        <v>261</v>
      </c>
      <c r="M565" s="226" t="s">
        <v>211</v>
      </c>
      <c r="N565" s="226" t="s">
        <v>4185</v>
      </c>
      <c r="O565" s="226" t="s">
        <v>4183</v>
      </c>
      <c r="P565" s="250">
        <v>46106.59635040509</v>
      </c>
    </row>
    <row r="566">
      <c r="A566" s="228">
        <v>565.0</v>
      </c>
      <c r="B566" s="226">
        <v>913.0</v>
      </c>
      <c r="C566" s="226" t="s">
        <v>4556</v>
      </c>
      <c r="D566" s="226" t="s">
        <v>4176</v>
      </c>
      <c r="E566" s="228">
        <v>1.0</v>
      </c>
      <c r="F566" s="249"/>
      <c r="G566" s="250">
        <v>45994.0</v>
      </c>
      <c r="H566" s="250">
        <v>46024.0</v>
      </c>
      <c r="I566" s="228">
        <v>30.0</v>
      </c>
      <c r="K566" s="226" t="s">
        <v>4181</v>
      </c>
      <c r="L566" s="226" t="s">
        <v>261</v>
      </c>
      <c r="M566" s="226" t="s">
        <v>211</v>
      </c>
      <c r="N566" s="226" t="s">
        <v>4185</v>
      </c>
      <c r="O566" s="226" t="s">
        <v>4183</v>
      </c>
      <c r="P566" s="250">
        <v>46106.59635040509</v>
      </c>
    </row>
    <row r="567">
      <c r="A567" s="228">
        <v>566.0</v>
      </c>
      <c r="B567" s="226">
        <v>915.0</v>
      </c>
      <c r="C567" s="226" t="s">
        <v>4557</v>
      </c>
      <c r="D567" s="226" t="s">
        <v>4176</v>
      </c>
      <c r="E567" s="228">
        <v>1.0</v>
      </c>
      <c r="F567" s="249"/>
      <c r="G567" s="250">
        <v>46000.0</v>
      </c>
      <c r="H567" s="250">
        <v>46002.0</v>
      </c>
      <c r="I567" s="228">
        <v>2.0</v>
      </c>
      <c r="K567" s="226" t="s">
        <v>4181</v>
      </c>
      <c r="L567" s="226" t="s">
        <v>261</v>
      </c>
      <c r="M567" s="226" t="s">
        <v>211</v>
      </c>
      <c r="N567" s="226" t="s">
        <v>4185</v>
      </c>
      <c r="O567" s="226" t="s">
        <v>4183</v>
      </c>
      <c r="P567" s="250">
        <v>46106.59635040509</v>
      </c>
    </row>
    <row r="568">
      <c r="A568" s="228">
        <v>567.0</v>
      </c>
      <c r="B568" s="226">
        <v>917.0</v>
      </c>
      <c r="C568" s="226" t="s">
        <v>4558</v>
      </c>
      <c r="D568" s="226" t="s">
        <v>4176</v>
      </c>
      <c r="E568" s="228">
        <v>1.0</v>
      </c>
      <c r="F568" s="249"/>
      <c r="G568" s="250">
        <v>46002.0</v>
      </c>
      <c r="H568" s="250">
        <v>46054.0</v>
      </c>
      <c r="I568" s="228">
        <v>52.0</v>
      </c>
      <c r="K568" s="226" t="s">
        <v>4181</v>
      </c>
      <c r="L568" s="226" t="s">
        <v>122</v>
      </c>
      <c r="M568" s="226" t="s">
        <v>211</v>
      </c>
      <c r="N568" s="226" t="s">
        <v>4185</v>
      </c>
      <c r="O568" s="226" t="s">
        <v>4183</v>
      </c>
      <c r="P568" s="250">
        <v>46106.59635040509</v>
      </c>
    </row>
    <row r="569">
      <c r="A569" s="228">
        <v>568.0</v>
      </c>
      <c r="B569" s="226">
        <v>918.0</v>
      </c>
      <c r="C569" s="226" t="s">
        <v>649</v>
      </c>
      <c r="D569" s="226" t="s">
        <v>4188</v>
      </c>
      <c r="E569" s="228">
        <v>1.0</v>
      </c>
      <c r="F569" s="249"/>
      <c r="G569" s="250">
        <v>46003.0</v>
      </c>
      <c r="H569" s="250">
        <v>46081.0</v>
      </c>
      <c r="I569" s="228">
        <v>78.0</v>
      </c>
      <c r="K569" s="226" t="s">
        <v>4181</v>
      </c>
      <c r="L569" s="226" t="s">
        <v>247</v>
      </c>
      <c r="M569" s="226" t="s">
        <v>65</v>
      </c>
      <c r="N569" s="226" t="s">
        <v>4185</v>
      </c>
      <c r="O569" s="226" t="s">
        <v>4183</v>
      </c>
      <c r="P569" s="250">
        <v>46106.59635040509</v>
      </c>
    </row>
    <row r="570">
      <c r="A570" s="228">
        <v>569.0</v>
      </c>
      <c r="B570" s="226">
        <v>919.0</v>
      </c>
      <c r="C570" s="226" t="s">
        <v>4560</v>
      </c>
      <c r="D570" s="226" t="s">
        <v>4188</v>
      </c>
      <c r="E570" s="228">
        <v>1.0</v>
      </c>
      <c r="F570" s="249"/>
      <c r="G570" s="250">
        <v>46003.0</v>
      </c>
      <c r="H570" s="250">
        <v>46072.0</v>
      </c>
      <c r="I570" s="228">
        <v>69.0</v>
      </c>
      <c r="K570" s="226" t="s">
        <v>4181</v>
      </c>
      <c r="L570" s="226" t="s">
        <v>247</v>
      </c>
      <c r="M570" s="226" t="s">
        <v>123</v>
      </c>
      <c r="N570" s="226" t="s">
        <v>4185</v>
      </c>
      <c r="O570" s="226" t="s">
        <v>4183</v>
      </c>
      <c r="P570" s="250">
        <v>46106.59635040509</v>
      </c>
    </row>
    <row r="571">
      <c r="A571" s="228">
        <v>570.0</v>
      </c>
      <c r="B571" s="226">
        <v>406.0</v>
      </c>
      <c r="C571" s="226" t="s">
        <v>1073</v>
      </c>
      <c r="D571" s="226" t="s">
        <v>4176</v>
      </c>
      <c r="E571" s="228">
        <v>1.0</v>
      </c>
      <c r="F571" s="249"/>
      <c r="G571" s="250">
        <v>46006.0</v>
      </c>
      <c r="H571" s="250">
        <v>46188.0</v>
      </c>
      <c r="I571" s="228">
        <v>182.0</v>
      </c>
      <c r="K571" s="226" t="s">
        <v>4181</v>
      </c>
      <c r="L571" s="226" t="s">
        <v>261</v>
      </c>
      <c r="M571" s="226" t="s">
        <v>14</v>
      </c>
      <c r="N571" s="226" t="s">
        <v>4190</v>
      </c>
      <c r="O571" s="226" t="s">
        <v>4183</v>
      </c>
      <c r="P571" s="250">
        <v>46106.59635040509</v>
      </c>
    </row>
    <row r="572">
      <c r="A572" s="228">
        <v>571.0</v>
      </c>
      <c r="B572" s="226">
        <v>920.0</v>
      </c>
      <c r="C572" s="226" t="s">
        <v>4561</v>
      </c>
      <c r="D572" s="226" t="s">
        <v>4176</v>
      </c>
      <c r="E572" s="228">
        <v>1.0</v>
      </c>
      <c r="F572" s="249"/>
      <c r="G572" s="250">
        <v>46006.0</v>
      </c>
      <c r="H572" s="250">
        <v>46375.0</v>
      </c>
      <c r="I572" s="228">
        <v>369.0</v>
      </c>
      <c r="K572" s="226" t="s">
        <v>4181</v>
      </c>
      <c r="L572" s="226" t="s">
        <v>261</v>
      </c>
      <c r="M572" s="226" t="s">
        <v>123</v>
      </c>
      <c r="N572" s="226" t="s">
        <v>4185</v>
      </c>
      <c r="O572" s="226" t="s">
        <v>4183</v>
      </c>
      <c r="P572" s="250">
        <v>46106.59635040509</v>
      </c>
    </row>
    <row r="573">
      <c r="A573" s="228">
        <v>572.0</v>
      </c>
      <c r="B573" s="226">
        <v>921.0</v>
      </c>
      <c r="C573" s="226" t="s">
        <v>4562</v>
      </c>
      <c r="D573" s="226" t="s">
        <v>4188</v>
      </c>
      <c r="E573" s="228">
        <v>1.0</v>
      </c>
      <c r="F573" s="249"/>
      <c r="G573" s="250">
        <v>46008.0</v>
      </c>
      <c r="H573" s="250">
        <v>46022.0</v>
      </c>
      <c r="I573" s="228">
        <v>14.0</v>
      </c>
      <c r="K573" s="226" t="s">
        <v>4181</v>
      </c>
      <c r="L573" s="226" t="s">
        <v>247</v>
      </c>
      <c r="M573" s="226" t="s">
        <v>65</v>
      </c>
      <c r="N573" s="226" t="s">
        <v>4185</v>
      </c>
      <c r="O573" s="226" t="s">
        <v>4183</v>
      </c>
      <c r="P573" s="250">
        <v>46106.59635040509</v>
      </c>
    </row>
    <row r="574">
      <c r="A574" s="228">
        <v>573.0</v>
      </c>
      <c r="B574" s="226">
        <v>922.0</v>
      </c>
      <c r="C574" s="226" t="s">
        <v>4563</v>
      </c>
      <c r="D574" s="226" t="s">
        <v>4176</v>
      </c>
      <c r="E574" s="228">
        <v>1.0</v>
      </c>
      <c r="F574" s="249"/>
      <c r="G574" s="250">
        <v>46013.0</v>
      </c>
      <c r="H574" s="250">
        <v>46387.0</v>
      </c>
      <c r="I574" s="228">
        <v>374.0</v>
      </c>
      <c r="K574" s="226" t="s">
        <v>4181</v>
      </c>
      <c r="L574" s="226" t="s">
        <v>247</v>
      </c>
      <c r="M574" s="226" t="s">
        <v>14</v>
      </c>
      <c r="N574" s="226" t="s">
        <v>4184</v>
      </c>
      <c r="O574" s="226" t="s">
        <v>4183</v>
      </c>
      <c r="P574" s="250">
        <v>46106.59635040509</v>
      </c>
    </row>
    <row r="575">
      <c r="A575" s="228">
        <v>574.0</v>
      </c>
      <c r="B575" s="226">
        <v>923.0</v>
      </c>
      <c r="C575" s="226" t="s">
        <v>4564</v>
      </c>
      <c r="D575" s="226" t="s">
        <v>4176</v>
      </c>
      <c r="E575" s="228">
        <v>1.0</v>
      </c>
      <c r="F575" s="249"/>
      <c r="G575" s="250">
        <v>46014.0</v>
      </c>
      <c r="H575" s="250">
        <v>46044.0</v>
      </c>
      <c r="I575" s="228">
        <v>30.0</v>
      </c>
      <c r="K575" s="226" t="s">
        <v>4181</v>
      </c>
      <c r="L575" s="226" t="s">
        <v>261</v>
      </c>
      <c r="M575" s="226" t="s">
        <v>211</v>
      </c>
      <c r="N575" s="226" t="s">
        <v>4185</v>
      </c>
      <c r="O575" s="226" t="s">
        <v>4183</v>
      </c>
      <c r="P575" s="250">
        <v>46106.59635040509</v>
      </c>
    </row>
    <row r="576">
      <c r="A576" s="228">
        <v>575.0</v>
      </c>
      <c r="B576" s="226">
        <v>916.0</v>
      </c>
      <c r="C576" s="226" t="s">
        <v>986</v>
      </c>
      <c r="D576" s="226" t="s">
        <v>4176</v>
      </c>
      <c r="E576" s="228">
        <v>1.0</v>
      </c>
      <c r="F576" s="249"/>
      <c r="G576" s="250">
        <v>46023.0</v>
      </c>
      <c r="H576" s="250">
        <v>46387.0</v>
      </c>
      <c r="I576" s="228">
        <v>364.0</v>
      </c>
      <c r="K576" s="226" t="s">
        <v>4181</v>
      </c>
      <c r="L576" s="226" t="s">
        <v>261</v>
      </c>
      <c r="M576" s="226" t="s">
        <v>38</v>
      </c>
      <c r="N576" s="226" t="s">
        <v>4185</v>
      </c>
      <c r="O576" s="226" t="s">
        <v>4183</v>
      </c>
      <c r="P576" s="250">
        <v>46106.59635040509</v>
      </c>
    </row>
    <row r="577">
      <c r="A577" s="228">
        <v>576.0</v>
      </c>
      <c r="B577" s="226">
        <v>924.0</v>
      </c>
      <c r="C577" s="226" t="s">
        <v>991</v>
      </c>
      <c r="D577" s="226" t="s">
        <v>4176</v>
      </c>
      <c r="E577" s="228">
        <v>1.0</v>
      </c>
      <c r="F577" s="249"/>
      <c r="G577" s="250">
        <v>46030.0</v>
      </c>
      <c r="H577" s="250">
        <v>46397.0</v>
      </c>
      <c r="I577" s="228">
        <v>367.0</v>
      </c>
      <c r="K577" s="226" t="s">
        <v>4181</v>
      </c>
      <c r="L577" s="226" t="s">
        <v>261</v>
      </c>
      <c r="M577" s="226" t="s">
        <v>38</v>
      </c>
      <c r="N577" s="226" t="s">
        <v>4185</v>
      </c>
      <c r="O577" s="226" t="s">
        <v>4183</v>
      </c>
      <c r="P577" s="250">
        <v>46106.59635040509</v>
      </c>
    </row>
    <row r="578">
      <c r="A578" s="228">
        <v>577.0</v>
      </c>
      <c r="B578" s="226">
        <v>925.0</v>
      </c>
      <c r="C578" s="226" t="s">
        <v>4565</v>
      </c>
      <c r="D578" s="226" t="s">
        <v>4176</v>
      </c>
      <c r="E578" s="228">
        <v>1.0</v>
      </c>
      <c r="F578" s="249"/>
      <c r="G578" s="250">
        <v>46035.0</v>
      </c>
      <c r="H578" s="250">
        <v>46399.0</v>
      </c>
      <c r="I578" s="228">
        <v>364.0</v>
      </c>
      <c r="K578" s="226" t="s">
        <v>4181</v>
      </c>
      <c r="L578" s="226" t="s">
        <v>777</v>
      </c>
      <c r="M578" s="226" t="s">
        <v>211</v>
      </c>
      <c r="N578" s="226" t="s">
        <v>4185</v>
      </c>
      <c r="O578" s="226" t="s">
        <v>4183</v>
      </c>
      <c r="P578" s="250">
        <v>46106.59635040509</v>
      </c>
    </row>
    <row r="579">
      <c r="A579" s="228">
        <v>578.0</v>
      </c>
      <c r="B579" s="226">
        <v>926.0</v>
      </c>
      <c r="C579" s="226" t="s">
        <v>4567</v>
      </c>
      <c r="D579" s="226" t="s">
        <v>4176</v>
      </c>
      <c r="E579" s="228">
        <v>1.0</v>
      </c>
      <c r="F579" s="249"/>
      <c r="G579" s="250">
        <v>46037.0</v>
      </c>
      <c r="H579" s="250">
        <v>46401.0</v>
      </c>
      <c r="I579" s="228">
        <v>364.0</v>
      </c>
      <c r="K579" s="226" t="s">
        <v>4181</v>
      </c>
      <c r="L579" s="226" t="s">
        <v>210</v>
      </c>
      <c r="M579" s="226" t="s">
        <v>211</v>
      </c>
      <c r="N579" s="226" t="s">
        <v>4185</v>
      </c>
      <c r="O579" s="226" t="s">
        <v>4183</v>
      </c>
      <c r="P579" s="250">
        <v>46106.59635040509</v>
      </c>
    </row>
    <row r="580">
      <c r="A580" s="228">
        <v>579.0</v>
      </c>
      <c r="B580" s="226">
        <v>927.0</v>
      </c>
      <c r="C580" s="226" t="s">
        <v>4568</v>
      </c>
      <c r="D580" s="226" t="s">
        <v>4176</v>
      </c>
      <c r="E580" s="228">
        <v>1.0</v>
      </c>
      <c r="F580" s="249"/>
      <c r="G580" s="250">
        <v>46042.0</v>
      </c>
      <c r="H580" s="250">
        <v>46053.0</v>
      </c>
      <c r="I580" s="228">
        <v>11.0</v>
      </c>
      <c r="K580" s="226" t="s">
        <v>4181</v>
      </c>
      <c r="L580" s="226" t="s">
        <v>122</v>
      </c>
      <c r="M580" s="226" t="s">
        <v>211</v>
      </c>
      <c r="N580" s="226" t="s">
        <v>4185</v>
      </c>
      <c r="O580" s="226" t="s">
        <v>4183</v>
      </c>
      <c r="P580" s="250">
        <v>46106.59635040509</v>
      </c>
    </row>
    <row r="581">
      <c r="A581" s="228">
        <v>580.0</v>
      </c>
      <c r="B581" s="226">
        <v>928.0</v>
      </c>
      <c r="C581" s="226" t="s">
        <v>4569</v>
      </c>
      <c r="D581" s="226" t="s">
        <v>4176</v>
      </c>
      <c r="E581" s="228">
        <v>1.0</v>
      </c>
      <c r="F581" s="249"/>
      <c r="G581" s="250">
        <v>46042.0</v>
      </c>
      <c r="H581" s="250">
        <v>46058.0</v>
      </c>
      <c r="I581" s="228">
        <v>16.0</v>
      </c>
      <c r="K581" s="226" t="s">
        <v>4181</v>
      </c>
      <c r="L581" s="226" t="s">
        <v>261</v>
      </c>
      <c r="M581" s="226" t="s">
        <v>211</v>
      </c>
      <c r="N581" s="226" t="s">
        <v>4185</v>
      </c>
      <c r="O581" s="226" t="s">
        <v>4183</v>
      </c>
      <c r="P581" s="250">
        <v>46106.59635040509</v>
      </c>
    </row>
    <row r="582">
      <c r="A582" s="228">
        <v>581.0</v>
      </c>
      <c r="B582" s="226">
        <v>929.0</v>
      </c>
      <c r="C582" s="226" t="s">
        <v>4570</v>
      </c>
      <c r="D582" s="226" t="s">
        <v>4176</v>
      </c>
      <c r="E582" s="228">
        <v>1.0</v>
      </c>
      <c r="F582" s="249"/>
      <c r="G582" s="250">
        <v>46048.0</v>
      </c>
      <c r="H582" s="250">
        <v>46412.0</v>
      </c>
      <c r="I582" s="228">
        <v>364.0</v>
      </c>
      <c r="K582" s="226" t="s">
        <v>4181</v>
      </c>
      <c r="L582" s="226" t="s">
        <v>122</v>
      </c>
      <c r="M582" s="226" t="s">
        <v>14</v>
      </c>
      <c r="N582" s="226" t="s">
        <v>4185</v>
      </c>
      <c r="O582" s="226" t="s">
        <v>4183</v>
      </c>
      <c r="P582" s="250">
        <v>46106.59635040509</v>
      </c>
    </row>
    <row r="583">
      <c r="A583" s="228">
        <v>582.0</v>
      </c>
      <c r="B583" s="226">
        <v>930.0</v>
      </c>
      <c r="C583" s="226" t="s">
        <v>4571</v>
      </c>
      <c r="D583" s="226" t="s">
        <v>4176</v>
      </c>
      <c r="E583" s="228">
        <v>1.0</v>
      </c>
      <c r="F583" s="249"/>
      <c r="G583" s="250">
        <v>46049.0</v>
      </c>
      <c r="H583" s="250">
        <v>46173.0</v>
      </c>
      <c r="I583" s="228">
        <v>124.0</v>
      </c>
      <c r="K583" s="226" t="s">
        <v>4181</v>
      </c>
      <c r="L583" s="226" t="s">
        <v>122</v>
      </c>
      <c r="M583" s="226" t="s">
        <v>211</v>
      </c>
      <c r="N583" s="226" t="s">
        <v>4185</v>
      </c>
      <c r="O583" s="226" t="s">
        <v>4183</v>
      </c>
      <c r="P583" s="250">
        <v>46106.59635040509</v>
      </c>
    </row>
    <row r="584">
      <c r="A584" s="228">
        <v>583.0</v>
      </c>
      <c r="B584" s="226">
        <v>931.0</v>
      </c>
      <c r="C584" s="226" t="s">
        <v>803</v>
      </c>
      <c r="D584" s="226" t="s">
        <v>4176</v>
      </c>
      <c r="E584" s="228">
        <v>1.0</v>
      </c>
      <c r="F584" s="249"/>
      <c r="G584" s="250">
        <v>46050.0</v>
      </c>
      <c r="H584" s="250">
        <v>6.2137638E7</v>
      </c>
      <c r="I584" s="228">
        <v>6.2091588E7</v>
      </c>
      <c r="K584" s="226" t="s">
        <v>4181</v>
      </c>
      <c r="L584" s="226" t="s">
        <v>261</v>
      </c>
      <c r="M584" s="226" t="s">
        <v>14</v>
      </c>
      <c r="N584" s="226" t="s">
        <v>4185</v>
      </c>
      <c r="O584" s="226" t="s">
        <v>4183</v>
      </c>
      <c r="P584" s="250">
        <v>46106.59635040509</v>
      </c>
    </row>
    <row r="585">
      <c r="A585" s="228">
        <v>584.0</v>
      </c>
      <c r="B585" s="226">
        <v>932.0</v>
      </c>
      <c r="C585" s="226" t="s">
        <v>4572</v>
      </c>
      <c r="D585" s="226" t="s">
        <v>4176</v>
      </c>
      <c r="E585" s="228">
        <v>1.0</v>
      </c>
      <c r="F585" s="249"/>
      <c r="G585" s="250">
        <v>46050.0</v>
      </c>
      <c r="H585" s="250">
        <v>46387.0</v>
      </c>
      <c r="I585" s="228">
        <v>337.0</v>
      </c>
      <c r="K585" s="226" t="s">
        <v>4181</v>
      </c>
      <c r="L585" s="226" t="s">
        <v>261</v>
      </c>
      <c r="M585" s="226" t="s">
        <v>211</v>
      </c>
      <c r="N585" s="226" t="s">
        <v>4185</v>
      </c>
      <c r="O585" s="226" t="s">
        <v>4183</v>
      </c>
      <c r="P585" s="250">
        <v>46106.59635040509</v>
      </c>
    </row>
    <row r="586">
      <c r="A586" s="228">
        <v>585.0</v>
      </c>
      <c r="B586" s="226">
        <v>933.0</v>
      </c>
      <c r="C586" s="226" t="s">
        <v>927</v>
      </c>
      <c r="D586" s="226" t="s">
        <v>4176</v>
      </c>
      <c r="E586" s="228">
        <v>1.0</v>
      </c>
      <c r="F586" s="249"/>
      <c r="G586" s="250">
        <v>46056.0</v>
      </c>
      <c r="H586" s="250">
        <v>46070.0</v>
      </c>
      <c r="I586" s="228">
        <v>14.0</v>
      </c>
      <c r="K586" s="226" t="s">
        <v>4181</v>
      </c>
      <c r="L586" s="226" t="s">
        <v>261</v>
      </c>
      <c r="M586" s="226" t="s">
        <v>211</v>
      </c>
      <c r="N586" s="226" t="s">
        <v>4573</v>
      </c>
      <c r="O586" s="226" t="s">
        <v>4183</v>
      </c>
      <c r="P586" s="250">
        <v>46106.59635040509</v>
      </c>
    </row>
    <row r="587">
      <c r="A587" s="228">
        <v>586.0</v>
      </c>
      <c r="B587" s="226">
        <v>934.0</v>
      </c>
      <c r="C587" s="226" t="s">
        <v>4575</v>
      </c>
      <c r="D587" s="226" t="s">
        <v>4176</v>
      </c>
      <c r="E587" s="228">
        <v>1.0</v>
      </c>
      <c r="F587" s="249"/>
      <c r="G587" s="250">
        <v>46057.0</v>
      </c>
      <c r="H587" s="250">
        <v>46087.0</v>
      </c>
      <c r="I587" s="228">
        <v>30.0</v>
      </c>
      <c r="K587" s="226" t="s">
        <v>4181</v>
      </c>
      <c r="L587" s="226" t="s">
        <v>122</v>
      </c>
      <c r="M587" s="226" t="s">
        <v>211</v>
      </c>
      <c r="N587" s="226" t="s">
        <v>4185</v>
      </c>
      <c r="O587" s="226" t="s">
        <v>4183</v>
      </c>
      <c r="P587" s="250">
        <v>46106.59635040509</v>
      </c>
    </row>
    <row r="588">
      <c r="A588" s="228">
        <v>587.0</v>
      </c>
      <c r="B588" s="226">
        <v>935.0</v>
      </c>
      <c r="C588" s="226" t="s">
        <v>4577</v>
      </c>
      <c r="D588" s="226" t="s">
        <v>4176</v>
      </c>
      <c r="E588" s="228">
        <v>1.0</v>
      </c>
      <c r="F588" s="249"/>
      <c r="G588" s="250">
        <v>46057.0</v>
      </c>
      <c r="H588" s="250">
        <v>46087.0</v>
      </c>
      <c r="I588" s="228">
        <v>30.0</v>
      </c>
      <c r="K588" s="226" t="s">
        <v>4181</v>
      </c>
      <c r="L588" s="226" t="s">
        <v>122</v>
      </c>
      <c r="M588" s="226" t="s">
        <v>211</v>
      </c>
      <c r="N588" s="226" t="s">
        <v>4185</v>
      </c>
      <c r="O588" s="226" t="s">
        <v>4183</v>
      </c>
      <c r="P588" s="250">
        <v>46106.59635040509</v>
      </c>
    </row>
    <row r="589">
      <c r="A589" s="228">
        <v>588.0</v>
      </c>
      <c r="B589" s="226">
        <v>936.0</v>
      </c>
      <c r="C589" s="226" t="s">
        <v>4580</v>
      </c>
      <c r="D589" s="226" t="s">
        <v>4176</v>
      </c>
      <c r="E589" s="228">
        <v>1.0</v>
      </c>
      <c r="F589" s="249"/>
      <c r="G589" s="250">
        <v>46057.0</v>
      </c>
      <c r="H589" s="250">
        <v>46081.0</v>
      </c>
      <c r="I589" s="228">
        <v>24.0</v>
      </c>
      <c r="K589" s="226" t="s">
        <v>4181</v>
      </c>
      <c r="L589" s="226" t="s">
        <v>247</v>
      </c>
      <c r="M589" s="226" t="s">
        <v>65</v>
      </c>
      <c r="N589" s="226" t="s">
        <v>4185</v>
      </c>
      <c r="O589" s="226" t="s">
        <v>4183</v>
      </c>
      <c r="P589" s="250">
        <v>46106.59635040509</v>
      </c>
    </row>
    <row r="590">
      <c r="A590" s="228">
        <v>589.0</v>
      </c>
      <c r="B590" s="226">
        <v>937.0</v>
      </c>
      <c r="C590" s="226" t="s">
        <v>4581</v>
      </c>
      <c r="D590" s="226" t="s">
        <v>4176</v>
      </c>
      <c r="E590" s="228">
        <v>1.0</v>
      </c>
      <c r="F590" s="249"/>
      <c r="G590" s="250">
        <v>46063.0</v>
      </c>
      <c r="H590" s="250">
        <v>46420.0</v>
      </c>
      <c r="I590" s="228">
        <v>357.0</v>
      </c>
      <c r="K590" s="226" t="s">
        <v>4181</v>
      </c>
      <c r="L590" s="226" t="s">
        <v>122</v>
      </c>
      <c r="M590" s="226" t="s">
        <v>123</v>
      </c>
      <c r="N590" s="226" t="s">
        <v>4185</v>
      </c>
      <c r="O590" s="226" t="s">
        <v>4183</v>
      </c>
      <c r="P590" s="250">
        <v>46106.59635040509</v>
      </c>
    </row>
    <row r="591">
      <c r="A591" s="228">
        <v>590.0</v>
      </c>
      <c r="B591" s="226">
        <v>938.0</v>
      </c>
      <c r="C591" s="226" t="s">
        <v>2872</v>
      </c>
      <c r="D591" s="226" t="s">
        <v>4176</v>
      </c>
      <c r="E591" s="228">
        <v>1.0</v>
      </c>
      <c r="F591" s="249"/>
      <c r="G591" s="250">
        <v>45574.0</v>
      </c>
      <c r="H591" s="250">
        <v>46332.0</v>
      </c>
      <c r="I591" s="228">
        <v>758.0</v>
      </c>
      <c r="K591" s="226" t="s">
        <v>4181</v>
      </c>
      <c r="L591" s="226" t="s">
        <v>210</v>
      </c>
      <c r="M591" s="226" t="s">
        <v>14</v>
      </c>
      <c r="N591" s="226" t="s">
        <v>4190</v>
      </c>
      <c r="O591" s="226" t="s">
        <v>4183</v>
      </c>
      <c r="P591" s="250">
        <v>46106.59635040509</v>
      </c>
    </row>
    <row r="592">
      <c r="A592" s="228">
        <v>591.0</v>
      </c>
      <c r="B592" s="226">
        <v>939.0</v>
      </c>
      <c r="C592" s="226" t="s">
        <v>4582</v>
      </c>
      <c r="D592" s="226" t="s">
        <v>4176</v>
      </c>
      <c r="E592" s="228">
        <v>1.0</v>
      </c>
      <c r="F592" s="249"/>
      <c r="G592" s="250">
        <v>46064.0</v>
      </c>
      <c r="H592" s="250">
        <v>46111.0</v>
      </c>
      <c r="I592" s="228">
        <v>47.0</v>
      </c>
      <c r="K592" s="226" t="s">
        <v>4181</v>
      </c>
      <c r="L592" s="226" t="s">
        <v>210</v>
      </c>
      <c r="M592" s="226" t="s">
        <v>211</v>
      </c>
      <c r="N592" s="226" t="s">
        <v>4185</v>
      </c>
      <c r="O592" s="226" t="s">
        <v>4183</v>
      </c>
      <c r="P592" s="250">
        <v>46106.59635040509</v>
      </c>
    </row>
    <row r="593">
      <c r="A593" s="228">
        <v>592.0</v>
      </c>
      <c r="B593" s="226">
        <v>940.0</v>
      </c>
      <c r="C593" s="226" t="s">
        <v>4584</v>
      </c>
      <c r="D593" s="226" t="s">
        <v>4176</v>
      </c>
      <c r="E593" s="228">
        <v>1.0</v>
      </c>
      <c r="F593" s="249"/>
      <c r="G593" s="250">
        <v>46059.0</v>
      </c>
      <c r="H593" s="250">
        <v>46424.0</v>
      </c>
      <c r="I593" s="228">
        <v>365.0</v>
      </c>
      <c r="K593" s="226" t="s">
        <v>4181</v>
      </c>
      <c r="L593" s="226" t="s">
        <v>211</v>
      </c>
      <c r="M593" s="226" t="s">
        <v>14</v>
      </c>
      <c r="N593" s="226" t="s">
        <v>4185</v>
      </c>
      <c r="O593" s="226" t="s">
        <v>4183</v>
      </c>
      <c r="P593" s="250">
        <v>46106.59635040509</v>
      </c>
    </row>
    <row r="594">
      <c r="A594" s="228">
        <v>593.0</v>
      </c>
      <c r="B594" s="226">
        <v>941.0</v>
      </c>
      <c r="C594" s="226" t="s">
        <v>4586</v>
      </c>
      <c r="D594" s="226" t="s">
        <v>4176</v>
      </c>
      <c r="E594" s="228">
        <v>1.0</v>
      </c>
      <c r="F594" s="249"/>
      <c r="G594" s="250">
        <v>46066.0</v>
      </c>
      <c r="H594" s="250">
        <v>46087.0</v>
      </c>
      <c r="I594" s="228">
        <v>21.0</v>
      </c>
      <c r="K594" s="226" t="s">
        <v>4181</v>
      </c>
      <c r="L594" s="226" t="s">
        <v>261</v>
      </c>
      <c r="M594" s="226" t="s">
        <v>211</v>
      </c>
      <c r="N594" s="226" t="s">
        <v>4185</v>
      </c>
      <c r="O594" s="226" t="s">
        <v>4183</v>
      </c>
      <c r="P594" s="250">
        <v>46106.59635040509</v>
      </c>
    </row>
    <row r="595">
      <c r="A595" s="228">
        <v>594.0</v>
      </c>
      <c r="B595" s="226">
        <v>942.0</v>
      </c>
      <c r="C595" s="226" t="s">
        <v>4587</v>
      </c>
      <c r="D595" s="226" t="s">
        <v>4176</v>
      </c>
      <c r="E595" s="228">
        <v>1.0</v>
      </c>
      <c r="F595" s="249"/>
      <c r="G595" s="250">
        <v>46066.0</v>
      </c>
      <c r="H595" s="250">
        <v>46387.0</v>
      </c>
      <c r="I595" s="228">
        <v>321.0</v>
      </c>
      <c r="K595" s="226" t="s">
        <v>4181</v>
      </c>
      <c r="L595" s="226" t="s">
        <v>261</v>
      </c>
      <c r="M595" s="226" t="s">
        <v>14</v>
      </c>
      <c r="N595" s="226" t="s">
        <v>4185</v>
      </c>
      <c r="O595" s="226" t="s">
        <v>4183</v>
      </c>
      <c r="P595" s="250">
        <v>46106.59635040509</v>
      </c>
    </row>
    <row r="596">
      <c r="A596" s="228">
        <v>595.0</v>
      </c>
      <c r="B596" s="226">
        <v>943.0</v>
      </c>
      <c r="C596" s="226" t="s">
        <v>301</v>
      </c>
      <c r="D596" s="226" t="s">
        <v>4176</v>
      </c>
      <c r="E596" s="228">
        <v>1.0</v>
      </c>
      <c r="F596" s="249"/>
      <c r="G596" s="250">
        <v>46079.0</v>
      </c>
      <c r="H596" s="250">
        <v>46443.0</v>
      </c>
      <c r="I596" s="228">
        <v>364.0</v>
      </c>
      <c r="K596" s="226" t="s">
        <v>4181</v>
      </c>
      <c r="L596" s="226" t="s">
        <v>122</v>
      </c>
      <c r="M596" s="226" t="s">
        <v>38</v>
      </c>
      <c r="N596" s="226" t="s">
        <v>4185</v>
      </c>
      <c r="O596" s="226" t="s">
        <v>4183</v>
      </c>
      <c r="P596" s="250">
        <v>46106.59635040509</v>
      </c>
    </row>
    <row r="597">
      <c r="A597" s="228">
        <v>596.0</v>
      </c>
      <c r="B597" s="226">
        <v>944.0</v>
      </c>
      <c r="C597" s="226" t="s">
        <v>4589</v>
      </c>
      <c r="D597" s="226" t="s">
        <v>4176</v>
      </c>
      <c r="E597" s="228">
        <v>1.0</v>
      </c>
      <c r="F597" s="249"/>
      <c r="G597" s="250">
        <v>46079.0</v>
      </c>
      <c r="H597" s="250">
        <v>46107.0</v>
      </c>
      <c r="I597" s="228">
        <v>28.0</v>
      </c>
      <c r="K597" s="226" t="s">
        <v>4181</v>
      </c>
      <c r="L597" s="226" t="s">
        <v>210</v>
      </c>
      <c r="M597" s="226" t="s">
        <v>211</v>
      </c>
      <c r="N597" s="226" t="s">
        <v>4185</v>
      </c>
      <c r="O597" s="226" t="s">
        <v>4183</v>
      </c>
      <c r="P597" s="250">
        <v>46106.59635040509</v>
      </c>
    </row>
    <row r="598">
      <c r="A598" s="228">
        <v>597.0</v>
      </c>
      <c r="B598" s="226">
        <v>945.0</v>
      </c>
      <c r="C598" s="226" t="s">
        <v>4591</v>
      </c>
      <c r="D598" s="226" t="s">
        <v>4176</v>
      </c>
      <c r="E598" s="228">
        <v>1.0</v>
      </c>
      <c r="F598" s="249"/>
      <c r="G598" s="250">
        <v>46080.0</v>
      </c>
      <c r="H598" s="250">
        <v>46135.0</v>
      </c>
      <c r="I598" s="228">
        <v>55.0</v>
      </c>
      <c r="K598" s="226" t="s">
        <v>4181</v>
      </c>
      <c r="L598" s="226" t="s">
        <v>247</v>
      </c>
      <c r="M598" s="226" t="s">
        <v>211</v>
      </c>
      <c r="N598" s="226" t="s">
        <v>4185</v>
      </c>
      <c r="O598" s="226" t="s">
        <v>4183</v>
      </c>
      <c r="P598" s="250">
        <v>46106.59635040509</v>
      </c>
    </row>
    <row r="599">
      <c r="A599" s="228">
        <v>598.0</v>
      </c>
      <c r="B599" s="226">
        <v>946.0</v>
      </c>
      <c r="C599" s="226" t="s">
        <v>4592</v>
      </c>
      <c r="D599" s="226" t="s">
        <v>4176</v>
      </c>
      <c r="E599" s="228">
        <v>1.0</v>
      </c>
      <c r="F599" s="249"/>
      <c r="G599" s="250">
        <v>46087.0</v>
      </c>
      <c r="H599" s="250">
        <v>46451.0</v>
      </c>
      <c r="I599" s="228">
        <v>364.0</v>
      </c>
      <c r="K599" s="226" t="s">
        <v>4181</v>
      </c>
      <c r="L599" s="226" t="s">
        <v>210</v>
      </c>
      <c r="N599" s="226" t="s">
        <v>4185</v>
      </c>
      <c r="O599" s="226" t="s">
        <v>4183</v>
      </c>
      <c r="P599" s="250">
        <v>46106.59635040509</v>
      </c>
    </row>
    <row r="600">
      <c r="A600" s="228">
        <v>599.0</v>
      </c>
      <c r="B600" s="226">
        <v>947.0</v>
      </c>
      <c r="C600" s="226" t="s">
        <v>4593</v>
      </c>
      <c r="D600" s="226" t="s">
        <v>4176</v>
      </c>
      <c r="E600" s="228">
        <v>1.0</v>
      </c>
      <c r="F600" s="249"/>
      <c r="G600" s="250">
        <v>46090.0</v>
      </c>
      <c r="H600" s="250">
        <v>46112.0</v>
      </c>
      <c r="I600" s="228">
        <v>22.0</v>
      </c>
      <c r="K600" s="226" t="s">
        <v>4181</v>
      </c>
      <c r="L600" s="226" t="s">
        <v>122</v>
      </c>
      <c r="M600" s="226" t="s">
        <v>123</v>
      </c>
      <c r="N600" s="226" t="s">
        <v>4185</v>
      </c>
      <c r="O600" s="226" t="s">
        <v>4183</v>
      </c>
      <c r="P600" s="250">
        <v>46106.59635040509</v>
      </c>
    </row>
    <row r="601">
      <c r="A601" s="228">
        <v>600.0</v>
      </c>
      <c r="B601" s="226">
        <v>948.0</v>
      </c>
      <c r="C601" s="226" t="s">
        <v>4594</v>
      </c>
      <c r="D601" s="226" t="s">
        <v>4176</v>
      </c>
      <c r="E601" s="228">
        <v>1.0</v>
      </c>
      <c r="F601" s="249"/>
      <c r="G601" s="250">
        <v>46092.0</v>
      </c>
      <c r="H601" s="250">
        <v>46117.0</v>
      </c>
      <c r="I601" s="228">
        <v>25.0</v>
      </c>
      <c r="K601" s="226" t="s">
        <v>4181</v>
      </c>
      <c r="L601" s="226" t="s">
        <v>211</v>
      </c>
      <c r="M601" s="226" t="s">
        <v>123</v>
      </c>
      <c r="N601" s="226" t="s">
        <v>4185</v>
      </c>
      <c r="O601" s="226" t="s">
        <v>4183</v>
      </c>
      <c r="P601" s="250">
        <v>46106.59635040509</v>
      </c>
    </row>
    <row r="602">
      <c r="A602" s="228">
        <v>601.0</v>
      </c>
      <c r="B602" s="226">
        <v>949.0</v>
      </c>
      <c r="C602" s="226" t="s">
        <v>4595</v>
      </c>
      <c r="D602" s="226" t="s">
        <v>4176</v>
      </c>
      <c r="E602" s="228">
        <v>1.0</v>
      </c>
      <c r="F602" s="249"/>
      <c r="G602" s="250">
        <v>46097.0</v>
      </c>
      <c r="H602" s="250">
        <v>46112.0</v>
      </c>
      <c r="I602" s="228">
        <v>15.0</v>
      </c>
      <c r="K602" s="226" t="s">
        <v>4181</v>
      </c>
      <c r="L602" s="226" t="s">
        <v>261</v>
      </c>
      <c r="M602" s="226" t="s">
        <v>211</v>
      </c>
      <c r="N602" s="226" t="s">
        <v>4185</v>
      </c>
      <c r="O602" s="226" t="s">
        <v>4183</v>
      </c>
      <c r="P602" s="250">
        <v>46106.59635040509</v>
      </c>
    </row>
    <row r="603">
      <c r="A603" s="228">
        <v>602.0</v>
      </c>
      <c r="B603" s="226">
        <v>950.0</v>
      </c>
      <c r="C603" s="226" t="s">
        <v>4597</v>
      </c>
      <c r="D603" s="226" t="s">
        <v>4176</v>
      </c>
      <c r="E603" s="228">
        <v>1.0</v>
      </c>
      <c r="F603" s="249"/>
      <c r="G603" s="250">
        <v>46099.0</v>
      </c>
      <c r="H603" s="250">
        <v>46463.0</v>
      </c>
      <c r="I603" s="228">
        <v>364.0</v>
      </c>
      <c r="K603" s="226" t="s">
        <v>4181</v>
      </c>
      <c r="L603" s="226" t="s">
        <v>211</v>
      </c>
      <c r="M603" s="226" t="s">
        <v>123</v>
      </c>
      <c r="N603" s="226" t="s">
        <v>4185</v>
      </c>
      <c r="O603" s="226" t="s">
        <v>4183</v>
      </c>
      <c r="P603" s="250">
        <v>46106.59635040509</v>
      </c>
    </row>
    <row r="604">
      <c r="A604" s="228">
        <v>603.0</v>
      </c>
      <c r="B604" s="226">
        <v>951.0</v>
      </c>
      <c r="C604" s="226" t="s">
        <v>4598</v>
      </c>
      <c r="D604" s="226" t="s">
        <v>4176</v>
      </c>
      <c r="E604" s="228">
        <v>1.0</v>
      </c>
      <c r="F604" s="249"/>
      <c r="G604" s="250">
        <v>46104.0</v>
      </c>
      <c r="H604" s="250">
        <v>46295.0</v>
      </c>
      <c r="I604" s="228">
        <v>191.0</v>
      </c>
      <c r="K604" s="226" t="s">
        <v>4181</v>
      </c>
      <c r="L604" s="226" t="s">
        <v>210</v>
      </c>
      <c r="M604" s="226" t="s">
        <v>14</v>
      </c>
      <c r="N604" s="226" t="s">
        <v>4185</v>
      </c>
      <c r="O604" s="226" t="s">
        <v>4183</v>
      </c>
      <c r="P604" s="250">
        <v>46106.59635040509</v>
      </c>
    </row>
    <row r="605">
      <c r="A605" s="228">
        <v>604.0</v>
      </c>
      <c r="B605" s="226">
        <v>952.0</v>
      </c>
      <c r="C605" s="226" t="s">
        <v>4599</v>
      </c>
      <c r="D605" s="226" t="s">
        <v>4176</v>
      </c>
      <c r="E605" s="228">
        <v>1.0</v>
      </c>
      <c r="F605" s="249"/>
      <c r="G605" s="250">
        <v>46105.0</v>
      </c>
      <c r="H605" s="250">
        <v>46117.0</v>
      </c>
      <c r="I605" s="228">
        <v>12.0</v>
      </c>
      <c r="K605" s="226" t="s">
        <v>4181</v>
      </c>
      <c r="L605" s="226" t="s">
        <v>210</v>
      </c>
      <c r="M605" s="226" t="s">
        <v>123</v>
      </c>
      <c r="N605" s="226" t="s">
        <v>4185</v>
      </c>
      <c r="O605" s="226" t="s">
        <v>4183</v>
      </c>
      <c r="P605" s="250">
        <v>46106.59635040509</v>
      </c>
    </row>
    <row r="606">
      <c r="A606" s="228">
        <v>605.0</v>
      </c>
      <c r="B606" s="226">
        <v>822.0</v>
      </c>
      <c r="C606" s="226" t="s">
        <v>3205</v>
      </c>
      <c r="D606" s="226" t="s">
        <v>4176</v>
      </c>
      <c r="E606" s="228">
        <v>2.0</v>
      </c>
      <c r="F606" s="274">
        <v>46111.29166666667</v>
      </c>
      <c r="G606" s="275">
        <v>46113.0</v>
      </c>
      <c r="H606" s="274">
        <v>46284.29166666667</v>
      </c>
      <c r="I606" s="228">
        <v>171.0</v>
      </c>
      <c r="J606" s="228">
        <v>0.0</v>
      </c>
      <c r="K606" s="226" t="s">
        <v>4601</v>
      </c>
      <c r="L606" s="226" t="s">
        <v>122</v>
      </c>
      <c r="M606" s="226" t="s">
        <v>65</v>
      </c>
      <c r="O606" s="226" t="s">
        <v>3439</v>
      </c>
      <c r="P606" s="274">
        <v>46111.46872729166</v>
      </c>
    </row>
    <row r="607">
      <c r="F607" s="249"/>
      <c r="G607" s="249"/>
      <c r="H607" s="249"/>
      <c r="P607" s="249"/>
    </row>
    <row r="608">
      <c r="F608" s="249"/>
      <c r="G608" s="249"/>
      <c r="H608" s="249"/>
      <c r="P608" s="249"/>
    </row>
    <row r="609">
      <c r="F609" s="249"/>
      <c r="G609" s="249"/>
      <c r="H609" s="249"/>
      <c r="P609" s="249"/>
    </row>
    <row r="610">
      <c r="F610" s="249"/>
      <c r="G610" s="249"/>
      <c r="H610" s="249"/>
      <c r="P610" s="249"/>
    </row>
    <row r="611">
      <c r="F611" s="249"/>
      <c r="G611" s="249"/>
      <c r="H611" s="249"/>
      <c r="P611" s="249"/>
    </row>
    <row r="612">
      <c r="F612" s="249"/>
      <c r="G612" s="249"/>
      <c r="H612" s="249"/>
      <c r="P612" s="249"/>
    </row>
    <row r="613">
      <c r="F613" s="249"/>
      <c r="G613" s="249"/>
      <c r="H613" s="249"/>
      <c r="P613" s="249"/>
    </row>
    <row r="614">
      <c r="F614" s="249"/>
      <c r="G614" s="249"/>
      <c r="H614" s="249"/>
      <c r="P614" s="249"/>
    </row>
    <row r="615">
      <c r="F615" s="249"/>
      <c r="G615" s="249"/>
      <c r="H615" s="249"/>
      <c r="P615" s="249"/>
    </row>
    <row r="616">
      <c r="F616" s="249"/>
      <c r="G616" s="249"/>
      <c r="H616" s="249"/>
      <c r="P616" s="249"/>
    </row>
    <row r="617">
      <c r="F617" s="249"/>
      <c r="G617" s="249"/>
      <c r="H617" s="249"/>
      <c r="P617" s="249"/>
    </row>
    <row r="618">
      <c r="F618" s="249"/>
      <c r="G618" s="249"/>
      <c r="H618" s="249"/>
      <c r="P618" s="249"/>
    </row>
    <row r="619">
      <c r="F619" s="249"/>
      <c r="G619" s="249"/>
      <c r="H619" s="249"/>
      <c r="P619" s="249"/>
    </row>
    <row r="620">
      <c r="F620" s="249"/>
      <c r="G620" s="249"/>
      <c r="H620" s="249"/>
      <c r="P620" s="249"/>
    </row>
    <row r="621">
      <c r="F621" s="249"/>
      <c r="G621" s="249"/>
      <c r="H621" s="249"/>
      <c r="P621" s="249"/>
    </row>
    <row r="622">
      <c r="F622" s="249"/>
      <c r="G622" s="249"/>
      <c r="H622" s="249"/>
      <c r="P622" s="249"/>
    </row>
    <row r="623">
      <c r="F623" s="249"/>
      <c r="G623" s="249"/>
      <c r="H623" s="249"/>
      <c r="P623" s="249"/>
    </row>
    <row r="624">
      <c r="F624" s="249"/>
      <c r="G624" s="249"/>
      <c r="H624" s="249"/>
      <c r="P624" s="249"/>
    </row>
    <row r="625">
      <c r="F625" s="249"/>
      <c r="G625" s="249"/>
      <c r="H625" s="249"/>
      <c r="P625" s="249"/>
    </row>
    <row r="626">
      <c r="F626" s="249"/>
      <c r="G626" s="249"/>
      <c r="H626" s="249"/>
      <c r="P626" s="249"/>
    </row>
    <row r="627">
      <c r="F627" s="249"/>
      <c r="G627" s="249"/>
      <c r="H627" s="249"/>
      <c r="P627" s="249"/>
    </row>
    <row r="628">
      <c r="F628" s="249"/>
      <c r="G628" s="249"/>
      <c r="H628" s="249"/>
      <c r="P628" s="249"/>
    </row>
    <row r="629">
      <c r="F629" s="249"/>
      <c r="G629" s="249"/>
      <c r="H629" s="249"/>
      <c r="P629" s="249"/>
    </row>
    <row r="630">
      <c r="F630" s="249"/>
      <c r="G630" s="249"/>
      <c r="H630" s="249"/>
      <c r="P630" s="249"/>
    </row>
    <row r="631">
      <c r="F631" s="249"/>
      <c r="G631" s="249"/>
      <c r="H631" s="249"/>
      <c r="P631" s="249"/>
    </row>
    <row r="632">
      <c r="F632" s="249"/>
      <c r="G632" s="249"/>
      <c r="H632" s="249"/>
      <c r="P632" s="249"/>
    </row>
    <row r="633">
      <c r="F633" s="249"/>
      <c r="G633" s="249"/>
      <c r="H633" s="249"/>
      <c r="P633" s="249"/>
    </row>
    <row r="634">
      <c r="F634" s="249"/>
      <c r="G634" s="249"/>
      <c r="H634" s="249"/>
      <c r="P634" s="249"/>
    </row>
    <row r="635">
      <c r="F635" s="249"/>
      <c r="G635" s="249"/>
      <c r="H635" s="249"/>
      <c r="P635" s="249"/>
    </row>
    <row r="636">
      <c r="F636" s="249"/>
      <c r="G636" s="249"/>
      <c r="H636" s="249"/>
      <c r="P636" s="249"/>
    </row>
    <row r="637">
      <c r="F637" s="249"/>
      <c r="G637" s="249"/>
      <c r="H637" s="249"/>
      <c r="P637" s="249"/>
    </row>
    <row r="638">
      <c r="F638" s="249"/>
      <c r="G638" s="249"/>
      <c r="H638" s="249"/>
      <c r="P638" s="249"/>
    </row>
    <row r="639">
      <c r="F639" s="249"/>
      <c r="G639" s="249"/>
      <c r="H639" s="249"/>
      <c r="P639" s="249"/>
    </row>
    <row r="640">
      <c r="F640" s="249"/>
      <c r="G640" s="249"/>
      <c r="H640" s="249"/>
      <c r="P640" s="249"/>
    </row>
    <row r="641">
      <c r="F641" s="249"/>
      <c r="G641" s="249"/>
      <c r="H641" s="249"/>
      <c r="P641" s="249"/>
    </row>
    <row r="642">
      <c r="F642" s="249"/>
      <c r="G642" s="249"/>
      <c r="H642" s="249"/>
      <c r="P642" s="249"/>
    </row>
    <row r="643">
      <c r="F643" s="249"/>
      <c r="G643" s="249"/>
      <c r="H643" s="249"/>
      <c r="P643" s="249"/>
    </row>
    <row r="644">
      <c r="F644" s="249"/>
      <c r="G644" s="249"/>
      <c r="H644" s="249"/>
      <c r="P644" s="249"/>
    </row>
    <row r="645">
      <c r="F645" s="249"/>
      <c r="G645" s="249"/>
      <c r="H645" s="249"/>
      <c r="P645" s="249"/>
    </row>
    <row r="646">
      <c r="F646" s="249"/>
      <c r="G646" s="249"/>
      <c r="H646" s="249"/>
      <c r="P646" s="249"/>
    </row>
    <row r="647">
      <c r="F647" s="249"/>
      <c r="G647" s="249"/>
      <c r="H647" s="249"/>
      <c r="P647" s="249"/>
    </row>
    <row r="648">
      <c r="F648" s="249"/>
      <c r="G648" s="249"/>
      <c r="H648" s="249"/>
      <c r="P648" s="249"/>
    </row>
    <row r="649">
      <c r="F649" s="249"/>
      <c r="G649" s="249"/>
      <c r="H649" s="249"/>
      <c r="P649" s="249"/>
    </row>
    <row r="650">
      <c r="F650" s="249"/>
      <c r="G650" s="249"/>
      <c r="H650" s="249"/>
      <c r="P650" s="249"/>
    </row>
    <row r="651">
      <c r="F651" s="249"/>
      <c r="G651" s="249"/>
      <c r="H651" s="249"/>
      <c r="P651" s="249"/>
    </row>
    <row r="652">
      <c r="F652" s="249"/>
      <c r="G652" s="249"/>
      <c r="H652" s="249"/>
      <c r="P652" s="249"/>
    </row>
    <row r="653">
      <c r="F653" s="249"/>
      <c r="G653" s="249"/>
      <c r="H653" s="249"/>
      <c r="P653" s="249"/>
    </row>
    <row r="654">
      <c r="F654" s="249"/>
      <c r="G654" s="249"/>
      <c r="H654" s="249"/>
      <c r="P654" s="249"/>
    </row>
    <row r="655">
      <c r="F655" s="249"/>
      <c r="G655" s="249"/>
      <c r="H655" s="249"/>
      <c r="P655" s="249"/>
    </row>
    <row r="656">
      <c r="F656" s="249"/>
      <c r="G656" s="249"/>
      <c r="H656" s="249"/>
      <c r="P656" s="249"/>
    </row>
    <row r="657">
      <c r="F657" s="249"/>
      <c r="G657" s="249"/>
      <c r="H657" s="249"/>
      <c r="P657" s="249"/>
    </row>
    <row r="658">
      <c r="F658" s="249"/>
      <c r="G658" s="249"/>
      <c r="H658" s="249"/>
      <c r="P658" s="249"/>
    </row>
    <row r="659">
      <c r="F659" s="249"/>
      <c r="G659" s="249"/>
      <c r="H659" s="249"/>
      <c r="P659" s="249"/>
    </row>
    <row r="660">
      <c r="F660" s="249"/>
      <c r="G660" s="249"/>
      <c r="H660" s="249"/>
      <c r="P660" s="249"/>
    </row>
    <row r="661">
      <c r="F661" s="249"/>
      <c r="G661" s="249"/>
      <c r="H661" s="249"/>
      <c r="P661" s="249"/>
    </row>
    <row r="662">
      <c r="F662" s="249"/>
      <c r="G662" s="249"/>
      <c r="H662" s="249"/>
      <c r="P662" s="249"/>
    </row>
    <row r="663">
      <c r="F663" s="249"/>
      <c r="G663" s="249"/>
      <c r="H663" s="249"/>
      <c r="P663" s="249"/>
    </row>
    <row r="664">
      <c r="F664" s="249"/>
      <c r="G664" s="249"/>
      <c r="H664" s="249"/>
      <c r="P664" s="249"/>
    </row>
    <row r="665">
      <c r="F665" s="249"/>
      <c r="G665" s="249"/>
      <c r="H665" s="249"/>
      <c r="P665" s="249"/>
    </row>
    <row r="666">
      <c r="F666" s="249"/>
      <c r="G666" s="249"/>
      <c r="H666" s="249"/>
      <c r="P666" s="249"/>
    </row>
    <row r="667">
      <c r="F667" s="249"/>
      <c r="G667" s="249"/>
      <c r="H667" s="249"/>
      <c r="P667" s="249"/>
    </row>
    <row r="668">
      <c r="F668" s="249"/>
      <c r="G668" s="249"/>
      <c r="H668" s="249"/>
      <c r="P668" s="249"/>
    </row>
    <row r="669">
      <c r="F669" s="249"/>
      <c r="G669" s="249"/>
      <c r="H669" s="249"/>
      <c r="P669" s="249"/>
    </row>
    <row r="670">
      <c r="F670" s="249"/>
      <c r="G670" s="249"/>
      <c r="H670" s="249"/>
      <c r="P670" s="249"/>
    </row>
    <row r="671">
      <c r="F671" s="249"/>
      <c r="G671" s="249"/>
      <c r="H671" s="249"/>
      <c r="P671" s="249"/>
    </row>
    <row r="672">
      <c r="F672" s="249"/>
      <c r="G672" s="249"/>
      <c r="H672" s="249"/>
      <c r="P672" s="249"/>
    </row>
    <row r="673">
      <c r="F673" s="249"/>
      <c r="G673" s="249"/>
      <c r="H673" s="249"/>
      <c r="P673" s="249"/>
    </row>
    <row r="674">
      <c r="F674" s="249"/>
      <c r="G674" s="249"/>
      <c r="H674" s="249"/>
      <c r="P674" s="249"/>
    </row>
    <row r="675">
      <c r="F675" s="249"/>
      <c r="G675" s="249"/>
      <c r="H675" s="249"/>
      <c r="P675" s="249"/>
    </row>
    <row r="676">
      <c r="F676" s="249"/>
      <c r="G676" s="249"/>
      <c r="H676" s="249"/>
      <c r="P676" s="249"/>
    </row>
    <row r="677">
      <c r="F677" s="249"/>
      <c r="G677" s="249"/>
      <c r="H677" s="249"/>
      <c r="P677" s="249"/>
    </row>
    <row r="678">
      <c r="F678" s="249"/>
      <c r="G678" s="249"/>
      <c r="H678" s="249"/>
      <c r="P678" s="249"/>
    </row>
    <row r="679">
      <c r="F679" s="249"/>
      <c r="G679" s="249"/>
      <c r="H679" s="249"/>
      <c r="P679" s="249"/>
    </row>
    <row r="680">
      <c r="F680" s="249"/>
      <c r="G680" s="249"/>
      <c r="H680" s="249"/>
      <c r="P680" s="249"/>
    </row>
    <row r="681">
      <c r="F681" s="249"/>
      <c r="G681" s="249"/>
      <c r="H681" s="249"/>
      <c r="P681" s="249"/>
    </row>
    <row r="682">
      <c r="F682" s="249"/>
      <c r="G682" s="249"/>
      <c r="H682" s="249"/>
      <c r="P682" s="249"/>
    </row>
    <row r="683">
      <c r="F683" s="249"/>
      <c r="G683" s="249"/>
      <c r="H683" s="249"/>
      <c r="P683" s="249"/>
    </row>
    <row r="684">
      <c r="F684" s="249"/>
      <c r="G684" s="249"/>
      <c r="H684" s="249"/>
      <c r="P684" s="249"/>
    </row>
    <row r="685">
      <c r="F685" s="249"/>
      <c r="G685" s="249"/>
      <c r="H685" s="249"/>
      <c r="P685" s="249"/>
    </row>
    <row r="686">
      <c r="F686" s="249"/>
      <c r="G686" s="249"/>
      <c r="H686" s="249"/>
      <c r="P686" s="249"/>
    </row>
    <row r="687">
      <c r="F687" s="249"/>
      <c r="G687" s="249"/>
      <c r="H687" s="249"/>
      <c r="P687" s="249"/>
    </row>
    <row r="688">
      <c r="F688" s="249"/>
      <c r="G688" s="249"/>
      <c r="H688" s="249"/>
      <c r="P688" s="249"/>
    </row>
    <row r="689">
      <c r="F689" s="249"/>
      <c r="G689" s="249"/>
      <c r="H689" s="249"/>
      <c r="P689" s="249"/>
    </row>
    <row r="690">
      <c r="F690" s="249"/>
      <c r="G690" s="249"/>
      <c r="H690" s="249"/>
      <c r="P690" s="249"/>
    </row>
    <row r="691">
      <c r="F691" s="249"/>
      <c r="G691" s="249"/>
      <c r="H691" s="249"/>
      <c r="P691" s="249"/>
    </row>
    <row r="692">
      <c r="F692" s="249"/>
      <c r="G692" s="249"/>
      <c r="H692" s="249"/>
      <c r="P692" s="249"/>
    </row>
    <row r="693">
      <c r="F693" s="249"/>
      <c r="G693" s="249"/>
      <c r="H693" s="249"/>
      <c r="P693" s="249"/>
    </row>
    <row r="694">
      <c r="F694" s="249"/>
      <c r="G694" s="249"/>
      <c r="H694" s="249"/>
      <c r="P694" s="249"/>
    </row>
    <row r="695">
      <c r="F695" s="249"/>
      <c r="G695" s="249"/>
      <c r="H695" s="249"/>
      <c r="P695" s="249"/>
    </row>
    <row r="696">
      <c r="F696" s="249"/>
      <c r="G696" s="249"/>
      <c r="H696" s="249"/>
      <c r="P696" s="249"/>
    </row>
    <row r="697">
      <c r="F697" s="249"/>
      <c r="G697" s="249"/>
      <c r="H697" s="249"/>
      <c r="P697" s="249"/>
    </row>
    <row r="698">
      <c r="F698" s="249"/>
      <c r="G698" s="249"/>
      <c r="H698" s="249"/>
      <c r="P698" s="249"/>
    </row>
    <row r="699">
      <c r="F699" s="249"/>
      <c r="G699" s="249"/>
      <c r="H699" s="249"/>
      <c r="P699" s="249"/>
    </row>
    <row r="700">
      <c r="F700" s="249"/>
      <c r="G700" s="249"/>
      <c r="H700" s="249"/>
      <c r="P700" s="249"/>
    </row>
    <row r="701">
      <c r="F701" s="249"/>
      <c r="G701" s="249"/>
      <c r="H701" s="249"/>
      <c r="P701" s="249"/>
    </row>
    <row r="702">
      <c r="F702" s="249"/>
      <c r="G702" s="249"/>
      <c r="H702" s="249"/>
      <c r="P702" s="249"/>
    </row>
    <row r="703">
      <c r="F703" s="249"/>
      <c r="G703" s="249"/>
      <c r="H703" s="249"/>
      <c r="P703" s="249"/>
    </row>
    <row r="704">
      <c r="F704" s="249"/>
      <c r="G704" s="249"/>
      <c r="H704" s="249"/>
      <c r="P704" s="249"/>
    </row>
    <row r="705">
      <c r="F705" s="249"/>
      <c r="G705" s="249"/>
      <c r="H705" s="249"/>
      <c r="P705" s="249"/>
    </row>
    <row r="706">
      <c r="F706" s="249"/>
      <c r="G706" s="249"/>
      <c r="H706" s="249"/>
      <c r="P706" s="249"/>
    </row>
    <row r="707">
      <c r="F707" s="249"/>
      <c r="G707" s="249"/>
      <c r="H707" s="249"/>
      <c r="P707" s="249"/>
    </row>
    <row r="708">
      <c r="F708" s="249"/>
      <c r="G708" s="249"/>
      <c r="H708" s="249"/>
      <c r="P708" s="249"/>
    </row>
    <row r="709">
      <c r="F709" s="249"/>
      <c r="G709" s="249"/>
      <c r="H709" s="249"/>
      <c r="P709" s="249"/>
    </row>
    <row r="710">
      <c r="F710" s="249"/>
      <c r="G710" s="249"/>
      <c r="H710" s="249"/>
      <c r="P710" s="249"/>
    </row>
    <row r="711">
      <c r="F711" s="249"/>
      <c r="G711" s="249"/>
      <c r="H711" s="249"/>
      <c r="P711" s="249"/>
    </row>
    <row r="712">
      <c r="F712" s="249"/>
      <c r="G712" s="249"/>
      <c r="H712" s="249"/>
      <c r="P712" s="249"/>
    </row>
    <row r="713">
      <c r="F713" s="249"/>
      <c r="G713" s="249"/>
      <c r="H713" s="249"/>
      <c r="P713" s="249"/>
    </row>
    <row r="714">
      <c r="F714" s="249"/>
      <c r="G714" s="249"/>
      <c r="H714" s="249"/>
      <c r="P714" s="249"/>
    </row>
    <row r="715">
      <c r="F715" s="249"/>
      <c r="G715" s="249"/>
      <c r="H715" s="249"/>
      <c r="P715" s="249"/>
    </row>
    <row r="716">
      <c r="F716" s="249"/>
      <c r="G716" s="249"/>
      <c r="H716" s="249"/>
      <c r="P716" s="249"/>
    </row>
    <row r="717">
      <c r="F717" s="249"/>
      <c r="G717" s="249"/>
      <c r="H717" s="249"/>
      <c r="P717" s="249"/>
    </row>
    <row r="718">
      <c r="F718" s="249"/>
      <c r="G718" s="249"/>
      <c r="H718" s="249"/>
      <c r="P718" s="249"/>
    </row>
    <row r="719">
      <c r="F719" s="249"/>
      <c r="G719" s="249"/>
      <c r="H719" s="249"/>
      <c r="P719" s="249"/>
    </row>
    <row r="720">
      <c r="F720" s="249"/>
      <c r="G720" s="249"/>
      <c r="H720" s="249"/>
      <c r="P720" s="249"/>
    </row>
    <row r="721">
      <c r="F721" s="249"/>
      <c r="G721" s="249"/>
      <c r="H721" s="249"/>
      <c r="P721" s="249"/>
    </row>
    <row r="722">
      <c r="F722" s="249"/>
      <c r="G722" s="249"/>
      <c r="H722" s="249"/>
      <c r="P722" s="249"/>
    </row>
    <row r="723">
      <c r="F723" s="249"/>
      <c r="G723" s="249"/>
      <c r="H723" s="249"/>
      <c r="P723" s="249"/>
    </row>
    <row r="724">
      <c r="F724" s="249"/>
      <c r="G724" s="249"/>
      <c r="H724" s="249"/>
      <c r="P724" s="249"/>
    </row>
    <row r="725">
      <c r="F725" s="249"/>
      <c r="G725" s="249"/>
      <c r="H725" s="249"/>
      <c r="P725" s="249"/>
    </row>
    <row r="726">
      <c r="F726" s="249"/>
      <c r="G726" s="249"/>
      <c r="H726" s="249"/>
      <c r="P726" s="249"/>
    </row>
    <row r="727">
      <c r="F727" s="249"/>
      <c r="G727" s="249"/>
      <c r="H727" s="249"/>
      <c r="P727" s="249"/>
    </row>
    <row r="728">
      <c r="F728" s="249"/>
      <c r="G728" s="249"/>
      <c r="H728" s="249"/>
      <c r="P728" s="249"/>
    </row>
    <row r="729">
      <c r="F729" s="249"/>
      <c r="G729" s="249"/>
      <c r="H729" s="249"/>
      <c r="P729" s="249"/>
    </row>
    <row r="730">
      <c r="F730" s="249"/>
      <c r="G730" s="249"/>
      <c r="H730" s="249"/>
      <c r="P730" s="249"/>
    </row>
    <row r="731">
      <c r="F731" s="249"/>
      <c r="G731" s="249"/>
      <c r="H731" s="249"/>
      <c r="P731" s="249"/>
    </row>
    <row r="732">
      <c r="F732" s="249"/>
      <c r="G732" s="249"/>
      <c r="H732" s="249"/>
      <c r="P732" s="249"/>
    </row>
    <row r="733">
      <c r="F733" s="249"/>
      <c r="G733" s="249"/>
      <c r="H733" s="249"/>
      <c r="P733" s="249"/>
    </row>
    <row r="734">
      <c r="F734" s="249"/>
      <c r="G734" s="249"/>
      <c r="H734" s="249"/>
      <c r="P734" s="249"/>
    </row>
    <row r="735">
      <c r="F735" s="249"/>
      <c r="G735" s="249"/>
      <c r="H735" s="249"/>
      <c r="P735" s="249"/>
    </row>
    <row r="736">
      <c r="F736" s="249"/>
      <c r="G736" s="249"/>
      <c r="H736" s="249"/>
      <c r="P736" s="249"/>
    </row>
    <row r="737">
      <c r="F737" s="249"/>
      <c r="G737" s="249"/>
      <c r="H737" s="249"/>
      <c r="P737" s="249"/>
    </row>
    <row r="738">
      <c r="F738" s="249"/>
      <c r="G738" s="249"/>
      <c r="H738" s="249"/>
      <c r="P738" s="249"/>
    </row>
    <row r="739">
      <c r="F739" s="249"/>
      <c r="G739" s="249"/>
      <c r="H739" s="249"/>
      <c r="P739" s="249"/>
    </row>
    <row r="740">
      <c r="F740" s="249"/>
      <c r="G740" s="249"/>
      <c r="H740" s="249"/>
      <c r="P740" s="249"/>
    </row>
    <row r="741">
      <c r="F741" s="249"/>
      <c r="G741" s="249"/>
      <c r="H741" s="249"/>
      <c r="P741" s="249"/>
    </row>
    <row r="742">
      <c r="F742" s="249"/>
      <c r="G742" s="249"/>
      <c r="H742" s="249"/>
      <c r="P742" s="249"/>
    </row>
    <row r="743">
      <c r="F743" s="249"/>
      <c r="G743" s="249"/>
      <c r="H743" s="249"/>
      <c r="P743" s="249"/>
    </row>
    <row r="744">
      <c r="F744" s="249"/>
      <c r="G744" s="249"/>
      <c r="H744" s="249"/>
      <c r="P744" s="249"/>
    </row>
    <row r="745">
      <c r="F745" s="249"/>
      <c r="G745" s="249"/>
      <c r="H745" s="249"/>
      <c r="P745" s="249"/>
    </row>
    <row r="746">
      <c r="F746" s="249"/>
      <c r="G746" s="249"/>
      <c r="H746" s="249"/>
      <c r="P746" s="249"/>
    </row>
    <row r="747">
      <c r="F747" s="249"/>
      <c r="G747" s="249"/>
      <c r="H747" s="249"/>
      <c r="P747" s="249"/>
    </row>
    <row r="748">
      <c r="F748" s="249"/>
      <c r="G748" s="249"/>
      <c r="H748" s="249"/>
      <c r="P748" s="249"/>
    </row>
    <row r="749">
      <c r="F749" s="249"/>
      <c r="G749" s="249"/>
      <c r="H749" s="249"/>
      <c r="P749" s="249"/>
    </row>
    <row r="750">
      <c r="F750" s="249"/>
      <c r="G750" s="249"/>
      <c r="H750" s="249"/>
      <c r="P750" s="249"/>
    </row>
    <row r="751">
      <c r="F751" s="249"/>
      <c r="G751" s="249"/>
      <c r="H751" s="249"/>
      <c r="P751" s="249"/>
    </row>
    <row r="752">
      <c r="F752" s="249"/>
      <c r="G752" s="249"/>
      <c r="H752" s="249"/>
      <c r="P752" s="249"/>
    </row>
    <row r="753">
      <c r="F753" s="249"/>
      <c r="G753" s="249"/>
      <c r="H753" s="249"/>
      <c r="P753" s="249"/>
    </row>
    <row r="754">
      <c r="F754" s="249"/>
      <c r="G754" s="249"/>
      <c r="H754" s="249"/>
      <c r="P754" s="249"/>
    </row>
    <row r="755">
      <c r="F755" s="249"/>
      <c r="G755" s="249"/>
      <c r="H755" s="249"/>
      <c r="P755" s="249"/>
    </row>
    <row r="756">
      <c r="F756" s="249"/>
      <c r="G756" s="249"/>
      <c r="H756" s="249"/>
      <c r="P756" s="249"/>
    </row>
    <row r="757">
      <c r="F757" s="249"/>
      <c r="G757" s="249"/>
      <c r="H757" s="249"/>
      <c r="P757" s="249"/>
    </row>
    <row r="758">
      <c r="F758" s="249"/>
      <c r="G758" s="249"/>
      <c r="H758" s="249"/>
      <c r="P758" s="249"/>
    </row>
    <row r="759">
      <c r="F759" s="249"/>
      <c r="G759" s="249"/>
      <c r="H759" s="249"/>
      <c r="P759" s="249"/>
    </row>
    <row r="760">
      <c r="F760" s="249"/>
      <c r="G760" s="249"/>
      <c r="H760" s="249"/>
      <c r="P760" s="249"/>
    </row>
    <row r="761">
      <c r="F761" s="249"/>
      <c r="G761" s="249"/>
      <c r="H761" s="249"/>
      <c r="P761" s="249"/>
    </row>
    <row r="762">
      <c r="F762" s="249"/>
      <c r="G762" s="249"/>
      <c r="H762" s="249"/>
      <c r="P762" s="249"/>
    </row>
    <row r="763">
      <c r="F763" s="249"/>
      <c r="G763" s="249"/>
      <c r="H763" s="249"/>
      <c r="P763" s="249"/>
    </row>
    <row r="764">
      <c r="F764" s="249"/>
      <c r="G764" s="249"/>
      <c r="H764" s="249"/>
      <c r="P764" s="249"/>
    </row>
    <row r="765">
      <c r="F765" s="249"/>
      <c r="G765" s="249"/>
      <c r="H765" s="249"/>
      <c r="P765" s="249"/>
    </row>
    <row r="766">
      <c r="F766" s="249"/>
      <c r="G766" s="249"/>
      <c r="H766" s="249"/>
      <c r="P766" s="249"/>
    </row>
    <row r="767">
      <c r="F767" s="249"/>
      <c r="G767" s="249"/>
      <c r="H767" s="249"/>
      <c r="P767" s="249"/>
    </row>
    <row r="768">
      <c r="F768" s="249"/>
      <c r="G768" s="249"/>
      <c r="H768" s="249"/>
      <c r="P768" s="249"/>
    </row>
    <row r="769">
      <c r="F769" s="249"/>
      <c r="G769" s="249"/>
      <c r="H769" s="249"/>
      <c r="P769" s="249"/>
    </row>
    <row r="770">
      <c r="F770" s="249"/>
      <c r="G770" s="249"/>
      <c r="H770" s="249"/>
      <c r="P770" s="249"/>
    </row>
    <row r="771">
      <c r="F771" s="249"/>
      <c r="G771" s="249"/>
      <c r="H771" s="249"/>
      <c r="P771" s="249"/>
    </row>
    <row r="772">
      <c r="F772" s="249"/>
      <c r="G772" s="249"/>
      <c r="H772" s="249"/>
      <c r="P772" s="249"/>
    </row>
    <row r="773">
      <c r="F773" s="249"/>
      <c r="G773" s="249"/>
      <c r="H773" s="249"/>
      <c r="P773" s="249"/>
    </row>
    <row r="774">
      <c r="F774" s="249"/>
      <c r="G774" s="249"/>
      <c r="H774" s="249"/>
      <c r="P774" s="249"/>
    </row>
    <row r="775">
      <c r="F775" s="249"/>
      <c r="G775" s="249"/>
      <c r="H775" s="249"/>
      <c r="P775" s="249"/>
    </row>
    <row r="776">
      <c r="F776" s="249"/>
      <c r="G776" s="249"/>
      <c r="H776" s="249"/>
      <c r="P776" s="249"/>
    </row>
    <row r="777">
      <c r="F777" s="249"/>
      <c r="G777" s="249"/>
      <c r="H777" s="249"/>
      <c r="P777" s="249"/>
    </row>
    <row r="778">
      <c r="F778" s="249"/>
      <c r="G778" s="249"/>
      <c r="H778" s="249"/>
      <c r="P778" s="249"/>
    </row>
    <row r="779">
      <c r="F779" s="249"/>
      <c r="G779" s="249"/>
      <c r="H779" s="249"/>
      <c r="P779" s="249"/>
    </row>
    <row r="780">
      <c r="F780" s="249"/>
      <c r="G780" s="249"/>
      <c r="H780" s="249"/>
      <c r="P780" s="249"/>
    </row>
    <row r="781">
      <c r="F781" s="249"/>
      <c r="G781" s="249"/>
      <c r="H781" s="249"/>
      <c r="P781" s="249"/>
    </row>
    <row r="782">
      <c r="F782" s="249"/>
      <c r="G782" s="249"/>
      <c r="H782" s="249"/>
      <c r="P782" s="249"/>
    </row>
    <row r="783">
      <c r="F783" s="249"/>
      <c r="G783" s="249"/>
      <c r="H783" s="249"/>
      <c r="P783" s="249"/>
    </row>
    <row r="784">
      <c r="F784" s="249"/>
      <c r="G784" s="249"/>
      <c r="H784" s="249"/>
      <c r="P784" s="249"/>
    </row>
    <row r="785">
      <c r="F785" s="249"/>
      <c r="G785" s="249"/>
      <c r="H785" s="249"/>
      <c r="P785" s="249"/>
    </row>
    <row r="786">
      <c r="F786" s="249"/>
      <c r="G786" s="249"/>
      <c r="H786" s="249"/>
      <c r="P786" s="249"/>
    </row>
    <row r="787">
      <c r="F787" s="249"/>
      <c r="G787" s="249"/>
      <c r="H787" s="249"/>
      <c r="P787" s="249"/>
    </row>
    <row r="788">
      <c r="F788" s="249"/>
      <c r="G788" s="249"/>
      <c r="H788" s="249"/>
      <c r="P788" s="249"/>
    </row>
    <row r="789">
      <c r="F789" s="249"/>
      <c r="G789" s="249"/>
      <c r="H789" s="249"/>
      <c r="P789" s="249"/>
    </row>
    <row r="790">
      <c r="F790" s="249"/>
      <c r="G790" s="249"/>
      <c r="H790" s="249"/>
      <c r="P790" s="249"/>
    </row>
    <row r="791">
      <c r="F791" s="249"/>
      <c r="G791" s="249"/>
      <c r="H791" s="249"/>
      <c r="P791" s="249"/>
    </row>
    <row r="792">
      <c r="F792" s="249"/>
      <c r="G792" s="249"/>
      <c r="H792" s="249"/>
      <c r="P792" s="249"/>
    </row>
    <row r="793">
      <c r="F793" s="249"/>
      <c r="G793" s="249"/>
      <c r="H793" s="249"/>
      <c r="P793" s="249"/>
    </row>
    <row r="794">
      <c r="F794" s="249"/>
      <c r="G794" s="249"/>
      <c r="H794" s="249"/>
      <c r="P794" s="249"/>
    </row>
    <row r="795">
      <c r="F795" s="249"/>
      <c r="G795" s="249"/>
      <c r="H795" s="249"/>
      <c r="P795" s="249"/>
    </row>
    <row r="796">
      <c r="F796" s="249"/>
      <c r="G796" s="249"/>
      <c r="H796" s="249"/>
      <c r="P796" s="249"/>
    </row>
    <row r="797">
      <c r="F797" s="249"/>
      <c r="G797" s="249"/>
      <c r="H797" s="249"/>
      <c r="P797" s="249"/>
    </row>
    <row r="798">
      <c r="F798" s="249"/>
      <c r="G798" s="249"/>
      <c r="H798" s="249"/>
      <c r="P798" s="249"/>
    </row>
    <row r="799">
      <c r="F799" s="249"/>
      <c r="G799" s="249"/>
      <c r="H799" s="249"/>
      <c r="P799" s="249"/>
    </row>
    <row r="800">
      <c r="F800" s="249"/>
      <c r="G800" s="249"/>
      <c r="H800" s="249"/>
      <c r="P800" s="249"/>
    </row>
    <row r="801">
      <c r="F801" s="249"/>
      <c r="G801" s="249"/>
      <c r="H801" s="249"/>
      <c r="P801" s="249"/>
    </row>
    <row r="802">
      <c r="F802" s="249"/>
      <c r="G802" s="249"/>
      <c r="H802" s="249"/>
      <c r="P802" s="249"/>
    </row>
    <row r="803">
      <c r="F803" s="249"/>
      <c r="G803" s="249"/>
      <c r="H803" s="249"/>
      <c r="P803" s="249"/>
    </row>
    <row r="804">
      <c r="F804" s="249"/>
      <c r="G804" s="249"/>
      <c r="H804" s="249"/>
      <c r="P804" s="249"/>
    </row>
    <row r="805">
      <c r="F805" s="249"/>
      <c r="G805" s="249"/>
      <c r="H805" s="249"/>
      <c r="P805" s="249"/>
    </row>
    <row r="806">
      <c r="F806" s="249"/>
      <c r="G806" s="249"/>
      <c r="H806" s="249"/>
      <c r="P806" s="249"/>
    </row>
    <row r="807">
      <c r="F807" s="249"/>
      <c r="G807" s="249"/>
      <c r="H807" s="249"/>
      <c r="P807" s="249"/>
    </row>
    <row r="808">
      <c r="F808" s="249"/>
      <c r="G808" s="249"/>
      <c r="H808" s="249"/>
      <c r="P808" s="249"/>
    </row>
    <row r="809">
      <c r="F809" s="249"/>
      <c r="G809" s="249"/>
      <c r="H809" s="249"/>
      <c r="P809" s="249"/>
    </row>
    <row r="810">
      <c r="F810" s="249"/>
      <c r="G810" s="249"/>
      <c r="H810" s="249"/>
      <c r="P810" s="249"/>
    </row>
    <row r="811">
      <c r="F811" s="249"/>
      <c r="G811" s="249"/>
      <c r="H811" s="249"/>
      <c r="P811" s="249"/>
    </row>
    <row r="812">
      <c r="F812" s="249"/>
      <c r="G812" s="249"/>
      <c r="H812" s="249"/>
      <c r="P812" s="249"/>
    </row>
    <row r="813">
      <c r="F813" s="249"/>
      <c r="G813" s="249"/>
      <c r="H813" s="249"/>
      <c r="P813" s="249"/>
    </row>
    <row r="814">
      <c r="F814" s="249"/>
      <c r="G814" s="249"/>
      <c r="H814" s="249"/>
      <c r="P814" s="249"/>
    </row>
    <row r="815">
      <c r="F815" s="249"/>
      <c r="G815" s="249"/>
      <c r="H815" s="249"/>
      <c r="P815" s="249"/>
    </row>
    <row r="816">
      <c r="F816" s="249"/>
      <c r="G816" s="249"/>
      <c r="H816" s="249"/>
      <c r="P816" s="249"/>
    </row>
    <row r="817">
      <c r="F817" s="249"/>
      <c r="G817" s="249"/>
      <c r="H817" s="249"/>
      <c r="P817" s="249"/>
    </row>
    <row r="818">
      <c r="F818" s="249"/>
      <c r="G818" s="249"/>
      <c r="H818" s="249"/>
      <c r="P818" s="249"/>
    </row>
    <row r="819">
      <c r="F819" s="249"/>
      <c r="G819" s="249"/>
      <c r="H819" s="249"/>
      <c r="P819" s="249"/>
    </row>
    <row r="820">
      <c r="F820" s="249"/>
      <c r="G820" s="249"/>
      <c r="H820" s="249"/>
      <c r="P820" s="249"/>
    </row>
    <row r="821">
      <c r="F821" s="249"/>
      <c r="G821" s="249"/>
      <c r="H821" s="249"/>
      <c r="P821" s="249"/>
    </row>
    <row r="822">
      <c r="F822" s="249"/>
      <c r="G822" s="249"/>
      <c r="H822" s="249"/>
      <c r="P822" s="249"/>
    </row>
    <row r="823">
      <c r="F823" s="249"/>
      <c r="G823" s="249"/>
      <c r="H823" s="249"/>
      <c r="P823" s="249"/>
    </row>
    <row r="824">
      <c r="F824" s="249"/>
      <c r="G824" s="249"/>
      <c r="H824" s="249"/>
      <c r="P824" s="249"/>
    </row>
    <row r="825">
      <c r="F825" s="249"/>
      <c r="G825" s="249"/>
      <c r="H825" s="249"/>
      <c r="P825" s="249"/>
    </row>
    <row r="826">
      <c r="F826" s="249"/>
      <c r="G826" s="249"/>
      <c r="H826" s="249"/>
      <c r="P826" s="249"/>
    </row>
    <row r="827">
      <c r="F827" s="249"/>
      <c r="G827" s="249"/>
      <c r="H827" s="249"/>
      <c r="P827" s="249"/>
    </row>
    <row r="828">
      <c r="F828" s="249"/>
      <c r="G828" s="249"/>
      <c r="H828" s="249"/>
      <c r="P828" s="249"/>
    </row>
    <row r="829">
      <c r="F829" s="249"/>
      <c r="G829" s="249"/>
      <c r="H829" s="249"/>
      <c r="P829" s="249"/>
    </row>
    <row r="830">
      <c r="F830" s="249"/>
      <c r="G830" s="249"/>
      <c r="H830" s="249"/>
      <c r="P830" s="249"/>
    </row>
    <row r="831">
      <c r="F831" s="249"/>
      <c r="G831" s="249"/>
      <c r="H831" s="249"/>
      <c r="P831" s="249"/>
    </row>
    <row r="832">
      <c r="F832" s="249"/>
      <c r="G832" s="249"/>
      <c r="H832" s="249"/>
      <c r="P832" s="249"/>
    </row>
    <row r="833">
      <c r="F833" s="249"/>
      <c r="G833" s="249"/>
      <c r="H833" s="249"/>
      <c r="P833" s="249"/>
    </row>
    <row r="834">
      <c r="F834" s="249"/>
      <c r="G834" s="249"/>
      <c r="H834" s="249"/>
      <c r="P834" s="249"/>
    </row>
    <row r="835">
      <c r="F835" s="249"/>
      <c r="G835" s="249"/>
      <c r="H835" s="249"/>
      <c r="P835" s="249"/>
    </row>
    <row r="836">
      <c r="F836" s="249"/>
      <c r="G836" s="249"/>
      <c r="H836" s="249"/>
      <c r="P836" s="249"/>
    </row>
    <row r="837">
      <c r="F837" s="249"/>
      <c r="G837" s="249"/>
      <c r="H837" s="249"/>
      <c r="P837" s="249"/>
    </row>
    <row r="838">
      <c r="F838" s="249"/>
      <c r="G838" s="249"/>
      <c r="H838" s="249"/>
      <c r="P838" s="249"/>
    </row>
    <row r="839">
      <c r="F839" s="249"/>
      <c r="G839" s="249"/>
      <c r="H839" s="249"/>
      <c r="P839" s="249"/>
    </row>
    <row r="840">
      <c r="F840" s="249"/>
      <c r="G840" s="249"/>
      <c r="H840" s="249"/>
      <c r="P840" s="249"/>
    </row>
    <row r="841">
      <c r="F841" s="249"/>
      <c r="G841" s="249"/>
      <c r="H841" s="249"/>
      <c r="P841" s="249"/>
    </row>
    <row r="842">
      <c r="F842" s="249"/>
      <c r="G842" s="249"/>
      <c r="H842" s="249"/>
      <c r="P842" s="249"/>
    </row>
    <row r="843">
      <c r="F843" s="249"/>
      <c r="G843" s="249"/>
      <c r="H843" s="249"/>
      <c r="P843" s="249"/>
    </row>
    <row r="844">
      <c r="F844" s="249"/>
      <c r="G844" s="249"/>
      <c r="H844" s="249"/>
      <c r="P844" s="249"/>
    </row>
    <row r="845">
      <c r="F845" s="249"/>
      <c r="G845" s="249"/>
      <c r="H845" s="249"/>
      <c r="P845" s="249"/>
    </row>
    <row r="846">
      <c r="F846" s="249"/>
      <c r="G846" s="249"/>
      <c r="H846" s="249"/>
      <c r="P846" s="249"/>
    </row>
    <row r="847">
      <c r="F847" s="249"/>
      <c r="G847" s="249"/>
      <c r="H847" s="249"/>
      <c r="P847" s="249"/>
    </row>
    <row r="848">
      <c r="F848" s="249"/>
      <c r="G848" s="249"/>
      <c r="H848" s="249"/>
      <c r="P848" s="249"/>
    </row>
    <row r="849">
      <c r="F849" s="249"/>
      <c r="G849" s="249"/>
      <c r="H849" s="249"/>
      <c r="P849" s="249"/>
    </row>
    <row r="850">
      <c r="F850" s="249"/>
      <c r="G850" s="249"/>
      <c r="H850" s="249"/>
      <c r="P850" s="249"/>
    </row>
    <row r="851">
      <c r="F851" s="249"/>
      <c r="G851" s="249"/>
      <c r="H851" s="249"/>
      <c r="P851" s="249"/>
    </row>
    <row r="852">
      <c r="F852" s="249"/>
      <c r="G852" s="249"/>
      <c r="H852" s="249"/>
      <c r="P852" s="249"/>
    </row>
    <row r="853">
      <c r="F853" s="249"/>
      <c r="G853" s="249"/>
      <c r="H853" s="249"/>
      <c r="P853" s="249"/>
    </row>
    <row r="854">
      <c r="F854" s="249"/>
      <c r="G854" s="249"/>
      <c r="H854" s="249"/>
      <c r="P854" s="249"/>
    </row>
    <row r="855">
      <c r="F855" s="249"/>
      <c r="G855" s="249"/>
      <c r="H855" s="249"/>
      <c r="P855" s="249"/>
    </row>
    <row r="856">
      <c r="F856" s="249"/>
      <c r="G856" s="249"/>
      <c r="H856" s="249"/>
      <c r="P856" s="249"/>
    </row>
    <row r="857">
      <c r="F857" s="249"/>
      <c r="G857" s="249"/>
      <c r="H857" s="249"/>
      <c r="P857" s="249"/>
    </row>
    <row r="858">
      <c r="F858" s="249"/>
      <c r="G858" s="249"/>
      <c r="H858" s="249"/>
      <c r="P858" s="249"/>
    </row>
    <row r="859">
      <c r="F859" s="249"/>
      <c r="G859" s="249"/>
      <c r="H859" s="249"/>
      <c r="P859" s="249"/>
    </row>
    <row r="860">
      <c r="F860" s="249"/>
      <c r="G860" s="249"/>
      <c r="H860" s="249"/>
      <c r="P860" s="249"/>
    </row>
    <row r="861">
      <c r="F861" s="249"/>
      <c r="G861" s="249"/>
      <c r="H861" s="249"/>
      <c r="P861" s="249"/>
    </row>
    <row r="862">
      <c r="F862" s="249"/>
      <c r="G862" s="249"/>
      <c r="H862" s="249"/>
      <c r="P862" s="249"/>
    </row>
    <row r="863">
      <c r="F863" s="249"/>
      <c r="G863" s="249"/>
      <c r="H863" s="249"/>
      <c r="P863" s="249"/>
    </row>
    <row r="864">
      <c r="F864" s="249"/>
      <c r="G864" s="249"/>
      <c r="H864" s="249"/>
      <c r="P864" s="249"/>
    </row>
    <row r="865">
      <c r="F865" s="249"/>
      <c r="G865" s="249"/>
      <c r="H865" s="249"/>
      <c r="P865" s="249"/>
    </row>
    <row r="866">
      <c r="F866" s="249"/>
      <c r="G866" s="249"/>
      <c r="H866" s="249"/>
      <c r="P866" s="249"/>
    </row>
    <row r="867">
      <c r="F867" s="249"/>
      <c r="G867" s="249"/>
      <c r="H867" s="249"/>
      <c r="P867" s="249"/>
    </row>
    <row r="868">
      <c r="F868" s="249"/>
      <c r="G868" s="249"/>
      <c r="H868" s="249"/>
      <c r="P868" s="249"/>
    </row>
    <row r="869">
      <c r="F869" s="249"/>
      <c r="G869" s="249"/>
      <c r="H869" s="249"/>
      <c r="P869" s="249"/>
    </row>
    <row r="870">
      <c r="F870" s="249"/>
      <c r="G870" s="249"/>
      <c r="H870" s="249"/>
      <c r="P870" s="249"/>
    </row>
    <row r="871">
      <c r="F871" s="249"/>
      <c r="G871" s="249"/>
      <c r="H871" s="249"/>
      <c r="P871" s="249"/>
    </row>
    <row r="872">
      <c r="F872" s="249"/>
      <c r="G872" s="249"/>
      <c r="H872" s="249"/>
      <c r="P872" s="249"/>
    </row>
    <row r="873">
      <c r="F873" s="249"/>
      <c r="G873" s="249"/>
      <c r="H873" s="249"/>
      <c r="P873" s="249"/>
    </row>
    <row r="874">
      <c r="F874" s="249"/>
      <c r="G874" s="249"/>
      <c r="H874" s="249"/>
      <c r="P874" s="249"/>
    </row>
    <row r="875">
      <c r="F875" s="249"/>
      <c r="G875" s="249"/>
      <c r="H875" s="249"/>
      <c r="P875" s="249"/>
    </row>
    <row r="876">
      <c r="F876" s="249"/>
      <c r="G876" s="249"/>
      <c r="H876" s="249"/>
      <c r="P876" s="249"/>
    </row>
    <row r="877">
      <c r="F877" s="249"/>
      <c r="G877" s="249"/>
      <c r="H877" s="249"/>
      <c r="P877" s="249"/>
    </row>
    <row r="878">
      <c r="F878" s="249"/>
      <c r="G878" s="249"/>
      <c r="H878" s="249"/>
      <c r="P878" s="249"/>
    </row>
    <row r="879">
      <c r="F879" s="249"/>
      <c r="G879" s="249"/>
      <c r="H879" s="249"/>
      <c r="P879" s="249"/>
    </row>
    <row r="880">
      <c r="F880" s="249"/>
      <c r="G880" s="249"/>
      <c r="H880" s="249"/>
      <c r="P880" s="249"/>
    </row>
    <row r="881">
      <c r="F881" s="249"/>
      <c r="G881" s="249"/>
      <c r="H881" s="249"/>
      <c r="P881" s="249"/>
    </row>
    <row r="882">
      <c r="F882" s="249"/>
      <c r="G882" s="249"/>
      <c r="H882" s="249"/>
      <c r="P882" s="249"/>
    </row>
    <row r="883">
      <c r="F883" s="249"/>
      <c r="G883" s="249"/>
      <c r="H883" s="249"/>
      <c r="P883" s="249"/>
    </row>
    <row r="884">
      <c r="F884" s="249"/>
      <c r="G884" s="249"/>
      <c r="H884" s="249"/>
      <c r="P884" s="249"/>
    </row>
    <row r="885">
      <c r="F885" s="249"/>
      <c r="G885" s="249"/>
      <c r="H885" s="249"/>
      <c r="P885" s="249"/>
    </row>
    <row r="886">
      <c r="F886" s="249"/>
      <c r="G886" s="249"/>
      <c r="H886" s="249"/>
      <c r="P886" s="249"/>
    </row>
    <row r="887">
      <c r="F887" s="249"/>
      <c r="G887" s="249"/>
      <c r="H887" s="249"/>
      <c r="P887" s="249"/>
    </row>
    <row r="888">
      <c r="F888" s="249"/>
      <c r="G888" s="249"/>
      <c r="H888" s="249"/>
      <c r="P888" s="249"/>
    </row>
    <row r="889">
      <c r="F889" s="249"/>
      <c r="G889" s="249"/>
      <c r="H889" s="249"/>
      <c r="P889" s="249"/>
    </row>
    <row r="890">
      <c r="F890" s="249"/>
      <c r="G890" s="249"/>
      <c r="H890" s="249"/>
      <c r="P890" s="249"/>
    </row>
    <row r="891">
      <c r="F891" s="249"/>
      <c r="G891" s="249"/>
      <c r="H891" s="249"/>
      <c r="P891" s="249"/>
    </row>
    <row r="892">
      <c r="F892" s="249"/>
      <c r="G892" s="249"/>
      <c r="H892" s="249"/>
      <c r="P892" s="249"/>
    </row>
    <row r="893">
      <c r="F893" s="249"/>
      <c r="G893" s="249"/>
      <c r="H893" s="249"/>
      <c r="P893" s="249"/>
    </row>
    <row r="894">
      <c r="F894" s="249"/>
      <c r="G894" s="249"/>
      <c r="H894" s="249"/>
      <c r="P894" s="249"/>
    </row>
    <row r="895">
      <c r="F895" s="249"/>
      <c r="G895" s="249"/>
      <c r="H895" s="249"/>
      <c r="P895" s="249"/>
    </row>
    <row r="896">
      <c r="F896" s="249"/>
      <c r="G896" s="249"/>
      <c r="H896" s="249"/>
      <c r="P896" s="249"/>
    </row>
    <row r="897">
      <c r="F897" s="249"/>
      <c r="G897" s="249"/>
      <c r="H897" s="249"/>
      <c r="P897" s="249"/>
    </row>
    <row r="898">
      <c r="F898" s="249"/>
      <c r="G898" s="249"/>
      <c r="H898" s="249"/>
      <c r="P898" s="249"/>
    </row>
    <row r="899">
      <c r="F899" s="249"/>
      <c r="G899" s="249"/>
      <c r="H899" s="249"/>
      <c r="P899" s="249"/>
    </row>
    <row r="900">
      <c r="F900" s="249"/>
      <c r="G900" s="249"/>
      <c r="H900" s="249"/>
      <c r="P900" s="249"/>
    </row>
    <row r="901">
      <c r="F901" s="249"/>
      <c r="G901" s="249"/>
      <c r="H901" s="249"/>
      <c r="P901" s="249"/>
    </row>
    <row r="902">
      <c r="F902" s="249"/>
      <c r="G902" s="249"/>
      <c r="H902" s="249"/>
      <c r="P902" s="249"/>
    </row>
    <row r="903">
      <c r="F903" s="249"/>
      <c r="G903" s="249"/>
      <c r="H903" s="249"/>
      <c r="P903" s="249"/>
    </row>
    <row r="904">
      <c r="F904" s="249"/>
      <c r="G904" s="249"/>
      <c r="H904" s="249"/>
      <c r="P904" s="249"/>
    </row>
    <row r="905">
      <c r="F905" s="249"/>
      <c r="G905" s="249"/>
      <c r="H905" s="249"/>
      <c r="P905" s="249"/>
    </row>
    <row r="906">
      <c r="F906" s="249"/>
      <c r="G906" s="249"/>
      <c r="H906" s="249"/>
      <c r="P906" s="249"/>
    </row>
    <row r="907">
      <c r="F907" s="249"/>
      <c r="G907" s="249"/>
      <c r="H907" s="249"/>
      <c r="P907" s="249"/>
    </row>
    <row r="908">
      <c r="F908" s="249"/>
      <c r="G908" s="249"/>
      <c r="H908" s="249"/>
      <c r="P908" s="249"/>
    </row>
    <row r="909">
      <c r="F909" s="249"/>
      <c r="G909" s="249"/>
      <c r="H909" s="249"/>
      <c r="P909" s="249"/>
    </row>
    <row r="910">
      <c r="F910" s="249"/>
      <c r="G910" s="249"/>
      <c r="H910" s="249"/>
      <c r="P910" s="249"/>
    </row>
    <row r="911">
      <c r="F911" s="249"/>
      <c r="G911" s="249"/>
      <c r="H911" s="249"/>
      <c r="P911" s="249"/>
    </row>
    <row r="912">
      <c r="F912" s="249"/>
      <c r="G912" s="249"/>
      <c r="H912" s="249"/>
      <c r="P912" s="249"/>
    </row>
    <row r="913">
      <c r="F913" s="249"/>
      <c r="G913" s="249"/>
      <c r="H913" s="249"/>
      <c r="P913" s="249"/>
    </row>
    <row r="914">
      <c r="F914" s="249"/>
      <c r="G914" s="249"/>
      <c r="H914" s="249"/>
      <c r="P914" s="249"/>
    </row>
    <row r="915">
      <c r="F915" s="249"/>
      <c r="G915" s="249"/>
      <c r="H915" s="249"/>
      <c r="P915" s="249"/>
    </row>
    <row r="916">
      <c r="F916" s="249"/>
      <c r="G916" s="249"/>
      <c r="H916" s="249"/>
      <c r="P916" s="249"/>
    </row>
    <row r="917">
      <c r="F917" s="249"/>
      <c r="G917" s="249"/>
      <c r="H917" s="249"/>
      <c r="P917" s="249"/>
    </row>
    <row r="918">
      <c r="F918" s="249"/>
      <c r="G918" s="249"/>
      <c r="H918" s="249"/>
      <c r="P918" s="249"/>
    </row>
    <row r="919">
      <c r="F919" s="249"/>
      <c r="G919" s="249"/>
      <c r="H919" s="249"/>
      <c r="P919" s="249"/>
    </row>
    <row r="920">
      <c r="F920" s="249"/>
      <c r="G920" s="249"/>
      <c r="H920" s="249"/>
      <c r="P920" s="249"/>
    </row>
    <row r="921">
      <c r="F921" s="249"/>
      <c r="G921" s="249"/>
      <c r="H921" s="249"/>
      <c r="P921" s="249"/>
    </row>
    <row r="922">
      <c r="F922" s="249"/>
      <c r="G922" s="249"/>
      <c r="H922" s="249"/>
      <c r="P922" s="249"/>
    </row>
    <row r="923">
      <c r="F923" s="249"/>
      <c r="G923" s="249"/>
      <c r="H923" s="249"/>
      <c r="P923" s="249"/>
    </row>
    <row r="924">
      <c r="F924" s="249"/>
      <c r="G924" s="249"/>
      <c r="H924" s="249"/>
      <c r="P924" s="249"/>
    </row>
    <row r="925">
      <c r="F925" s="249"/>
      <c r="G925" s="249"/>
      <c r="H925" s="249"/>
      <c r="P925" s="249"/>
    </row>
    <row r="926">
      <c r="F926" s="249"/>
      <c r="G926" s="249"/>
      <c r="H926" s="249"/>
      <c r="P926" s="249"/>
    </row>
    <row r="927">
      <c r="F927" s="249"/>
      <c r="G927" s="249"/>
      <c r="H927" s="249"/>
      <c r="P927" s="249"/>
    </row>
    <row r="928">
      <c r="F928" s="249"/>
      <c r="G928" s="249"/>
      <c r="H928" s="249"/>
      <c r="P928" s="249"/>
    </row>
    <row r="929">
      <c r="F929" s="249"/>
      <c r="G929" s="249"/>
      <c r="H929" s="249"/>
      <c r="P929" s="249"/>
    </row>
    <row r="930">
      <c r="F930" s="249"/>
      <c r="G930" s="249"/>
      <c r="H930" s="249"/>
      <c r="P930" s="249"/>
    </row>
    <row r="931">
      <c r="F931" s="249"/>
      <c r="G931" s="249"/>
      <c r="H931" s="249"/>
      <c r="P931" s="249"/>
    </row>
    <row r="932">
      <c r="F932" s="249"/>
      <c r="G932" s="249"/>
      <c r="H932" s="249"/>
      <c r="P932" s="249"/>
    </row>
    <row r="933">
      <c r="F933" s="249"/>
      <c r="G933" s="249"/>
      <c r="H933" s="249"/>
      <c r="P933" s="249"/>
    </row>
    <row r="934">
      <c r="F934" s="249"/>
      <c r="G934" s="249"/>
      <c r="H934" s="249"/>
      <c r="P934" s="249"/>
    </row>
    <row r="935">
      <c r="F935" s="249"/>
      <c r="G935" s="249"/>
      <c r="H935" s="249"/>
      <c r="P935" s="249"/>
    </row>
    <row r="936">
      <c r="F936" s="249"/>
      <c r="G936" s="249"/>
      <c r="H936" s="249"/>
      <c r="P936" s="249"/>
    </row>
    <row r="937">
      <c r="F937" s="249"/>
      <c r="G937" s="249"/>
      <c r="H937" s="249"/>
      <c r="P937" s="249"/>
    </row>
    <row r="938">
      <c r="F938" s="249"/>
      <c r="G938" s="249"/>
      <c r="H938" s="249"/>
      <c r="P938" s="249"/>
    </row>
    <row r="939">
      <c r="F939" s="249"/>
      <c r="G939" s="249"/>
      <c r="H939" s="249"/>
      <c r="P939" s="249"/>
    </row>
    <row r="940">
      <c r="F940" s="249"/>
      <c r="G940" s="249"/>
      <c r="H940" s="249"/>
      <c r="P940" s="249"/>
    </row>
    <row r="941">
      <c r="F941" s="249"/>
      <c r="G941" s="249"/>
      <c r="H941" s="249"/>
      <c r="P941" s="249"/>
    </row>
    <row r="942">
      <c r="F942" s="249"/>
      <c r="G942" s="249"/>
      <c r="H942" s="249"/>
      <c r="P942" s="249"/>
    </row>
    <row r="943">
      <c r="F943" s="249"/>
      <c r="G943" s="249"/>
      <c r="H943" s="249"/>
      <c r="P943" s="249"/>
    </row>
    <row r="944">
      <c r="F944" s="249"/>
      <c r="G944" s="249"/>
      <c r="H944" s="249"/>
      <c r="P944" s="249"/>
    </row>
    <row r="945">
      <c r="F945" s="249"/>
      <c r="G945" s="249"/>
      <c r="H945" s="249"/>
      <c r="P945" s="249"/>
    </row>
    <row r="946">
      <c r="F946" s="249"/>
      <c r="G946" s="249"/>
      <c r="H946" s="249"/>
      <c r="P946" s="249"/>
    </row>
    <row r="947">
      <c r="F947" s="249"/>
      <c r="G947" s="249"/>
      <c r="H947" s="249"/>
      <c r="P947" s="249"/>
    </row>
    <row r="948">
      <c r="F948" s="249"/>
      <c r="G948" s="249"/>
      <c r="H948" s="249"/>
      <c r="P948" s="249"/>
    </row>
    <row r="949">
      <c r="F949" s="249"/>
      <c r="G949" s="249"/>
      <c r="H949" s="249"/>
      <c r="P949" s="249"/>
    </row>
    <row r="950">
      <c r="F950" s="249"/>
      <c r="G950" s="249"/>
      <c r="H950" s="249"/>
      <c r="P950" s="249"/>
    </row>
    <row r="951">
      <c r="F951" s="249"/>
      <c r="G951" s="249"/>
      <c r="H951" s="249"/>
      <c r="P951" s="249"/>
    </row>
    <row r="952">
      <c r="F952" s="249"/>
      <c r="G952" s="249"/>
      <c r="H952" s="249"/>
      <c r="P952" s="249"/>
    </row>
    <row r="953">
      <c r="F953" s="249"/>
      <c r="G953" s="249"/>
      <c r="H953" s="249"/>
      <c r="P953" s="249"/>
    </row>
    <row r="954">
      <c r="F954" s="249"/>
      <c r="G954" s="249"/>
      <c r="H954" s="249"/>
      <c r="P954" s="249"/>
    </row>
    <row r="955">
      <c r="F955" s="249"/>
      <c r="G955" s="249"/>
      <c r="H955" s="249"/>
      <c r="P955" s="249"/>
    </row>
    <row r="956">
      <c r="F956" s="249"/>
      <c r="G956" s="249"/>
      <c r="H956" s="249"/>
      <c r="P956" s="249"/>
    </row>
    <row r="957">
      <c r="F957" s="249"/>
      <c r="G957" s="249"/>
      <c r="H957" s="249"/>
      <c r="P957" s="249"/>
    </row>
    <row r="958">
      <c r="F958" s="249"/>
      <c r="G958" s="249"/>
      <c r="H958" s="249"/>
      <c r="P958" s="249"/>
    </row>
    <row r="959">
      <c r="F959" s="249"/>
      <c r="G959" s="249"/>
      <c r="H959" s="249"/>
      <c r="P959" s="249"/>
    </row>
    <row r="960">
      <c r="F960" s="249"/>
      <c r="G960" s="249"/>
      <c r="H960" s="249"/>
      <c r="P960" s="249"/>
    </row>
    <row r="961">
      <c r="F961" s="249"/>
      <c r="G961" s="249"/>
      <c r="H961" s="249"/>
      <c r="P961" s="249"/>
    </row>
    <row r="962">
      <c r="F962" s="249"/>
      <c r="G962" s="249"/>
      <c r="H962" s="249"/>
      <c r="P962" s="249"/>
    </row>
    <row r="963">
      <c r="F963" s="249"/>
      <c r="G963" s="249"/>
      <c r="H963" s="249"/>
      <c r="P963" s="249"/>
    </row>
    <row r="964">
      <c r="F964" s="249"/>
      <c r="G964" s="249"/>
      <c r="H964" s="249"/>
      <c r="P964" s="249"/>
    </row>
    <row r="965">
      <c r="F965" s="249"/>
      <c r="G965" s="249"/>
      <c r="H965" s="249"/>
      <c r="P965" s="249"/>
    </row>
    <row r="966">
      <c r="F966" s="249"/>
      <c r="G966" s="249"/>
      <c r="H966" s="249"/>
      <c r="P966" s="249"/>
    </row>
    <row r="967">
      <c r="F967" s="249"/>
      <c r="G967" s="249"/>
      <c r="H967" s="249"/>
      <c r="P967" s="249"/>
    </row>
    <row r="968">
      <c r="F968" s="249"/>
      <c r="G968" s="249"/>
      <c r="H968" s="249"/>
      <c r="P968" s="249"/>
    </row>
    <row r="969">
      <c r="F969" s="249"/>
      <c r="G969" s="249"/>
      <c r="H969" s="249"/>
      <c r="P969" s="249"/>
    </row>
    <row r="970">
      <c r="F970" s="249"/>
      <c r="G970" s="249"/>
      <c r="H970" s="249"/>
      <c r="P970" s="249"/>
    </row>
    <row r="971">
      <c r="F971" s="249"/>
      <c r="G971" s="249"/>
      <c r="H971" s="249"/>
      <c r="P971" s="249"/>
    </row>
    <row r="972">
      <c r="F972" s="249"/>
      <c r="G972" s="249"/>
      <c r="H972" s="249"/>
      <c r="P972" s="249"/>
    </row>
    <row r="973">
      <c r="F973" s="249"/>
      <c r="G973" s="249"/>
      <c r="H973" s="249"/>
      <c r="P973" s="249"/>
    </row>
    <row r="974">
      <c r="F974" s="249"/>
      <c r="G974" s="249"/>
      <c r="H974" s="249"/>
      <c r="P974" s="249"/>
    </row>
    <row r="975">
      <c r="F975" s="249"/>
      <c r="G975" s="249"/>
      <c r="H975" s="249"/>
      <c r="P975" s="249"/>
    </row>
    <row r="976">
      <c r="F976" s="249"/>
      <c r="G976" s="249"/>
      <c r="H976" s="249"/>
      <c r="P976" s="249"/>
    </row>
    <row r="977">
      <c r="F977" s="249"/>
      <c r="G977" s="249"/>
      <c r="H977" s="249"/>
      <c r="P977" s="249"/>
    </row>
    <row r="978">
      <c r="F978" s="249"/>
      <c r="G978" s="249"/>
      <c r="H978" s="249"/>
      <c r="P978" s="249"/>
    </row>
    <row r="979">
      <c r="F979" s="249"/>
      <c r="G979" s="249"/>
      <c r="H979" s="249"/>
      <c r="P979" s="249"/>
    </row>
    <row r="980">
      <c r="F980" s="249"/>
      <c r="G980" s="249"/>
      <c r="H980" s="249"/>
      <c r="P980" s="249"/>
    </row>
    <row r="981">
      <c r="F981" s="249"/>
      <c r="G981" s="249"/>
      <c r="H981" s="249"/>
      <c r="P981" s="249"/>
    </row>
    <row r="982">
      <c r="F982" s="249"/>
      <c r="G982" s="249"/>
      <c r="H982" s="249"/>
      <c r="P982" s="249"/>
    </row>
    <row r="983">
      <c r="F983" s="249"/>
      <c r="G983" s="249"/>
      <c r="H983" s="249"/>
      <c r="P983" s="249"/>
    </row>
    <row r="984">
      <c r="F984" s="249"/>
      <c r="G984" s="249"/>
      <c r="H984" s="249"/>
      <c r="P984" s="249"/>
    </row>
    <row r="985">
      <c r="F985" s="249"/>
      <c r="G985" s="249"/>
      <c r="H985" s="249"/>
      <c r="P985" s="249"/>
    </row>
    <row r="986">
      <c r="F986" s="249"/>
      <c r="G986" s="249"/>
      <c r="H986" s="249"/>
      <c r="P986" s="249"/>
    </row>
    <row r="987">
      <c r="F987" s="249"/>
      <c r="G987" s="249"/>
      <c r="H987" s="249"/>
      <c r="P987" s="249"/>
    </row>
    <row r="988">
      <c r="F988" s="249"/>
      <c r="G988" s="249"/>
      <c r="H988" s="249"/>
      <c r="P988" s="249"/>
    </row>
    <row r="989">
      <c r="F989" s="249"/>
      <c r="G989" s="249"/>
      <c r="H989" s="249"/>
      <c r="P989" s="249"/>
    </row>
    <row r="990">
      <c r="F990" s="249"/>
      <c r="G990" s="249"/>
      <c r="H990" s="249"/>
      <c r="P990" s="249"/>
    </row>
    <row r="991">
      <c r="F991" s="249"/>
      <c r="G991" s="249"/>
      <c r="H991" s="249"/>
      <c r="P991" s="249"/>
    </row>
    <row r="992">
      <c r="F992" s="249"/>
      <c r="G992" s="249"/>
      <c r="H992" s="249"/>
      <c r="P992" s="249"/>
    </row>
    <row r="993">
      <c r="F993" s="249"/>
      <c r="G993" s="249"/>
      <c r="H993" s="249"/>
      <c r="P993" s="249"/>
    </row>
    <row r="994">
      <c r="F994" s="249"/>
      <c r="G994" s="249"/>
      <c r="H994" s="249"/>
      <c r="P994" s="249"/>
    </row>
    <row r="995">
      <c r="F995" s="249"/>
      <c r="G995" s="249"/>
      <c r="H995" s="249"/>
      <c r="P995" s="249"/>
    </row>
    <row r="996">
      <c r="F996" s="249"/>
      <c r="G996" s="249"/>
      <c r="H996" s="249"/>
      <c r="P996" s="249"/>
    </row>
    <row r="997">
      <c r="F997" s="249"/>
      <c r="G997" s="249"/>
      <c r="H997" s="249"/>
      <c r="P997" s="249"/>
    </row>
    <row r="998">
      <c r="F998" s="249"/>
      <c r="G998" s="249"/>
      <c r="H998" s="249"/>
      <c r="P998" s="249"/>
    </row>
    <row r="999">
      <c r="F999" s="249"/>
      <c r="G999" s="249"/>
      <c r="H999" s="249"/>
      <c r="P999" s="249"/>
    </row>
    <row r="1000">
      <c r="F1000" s="249"/>
      <c r="G1000" s="249"/>
      <c r="H1000" s="249"/>
      <c r="P1000" s="249"/>
    </row>
    <row r="1001">
      <c r="F1001" s="249"/>
      <c r="G1001" s="249"/>
      <c r="H1001" s="249"/>
      <c r="P1001" s="24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4" max="4" width="19.25"/>
    <col customWidth="1" min="5" max="5" width="15.13"/>
    <col customWidth="1" min="13" max="13" width="20.5"/>
    <col customWidth="1" min="14" max="14" width="16.75"/>
  </cols>
  <sheetData>
    <row r="1">
      <c r="A1" s="265" t="str">
        <f>IFERROR(__xludf.DUMMYFUNCTION("ARRAYFORMULA(
  QUERY(
TRIM(
    SPLIT(
      FLATTEN(
        IMPORTRANGE(""1r9BL0meDj0_P7ECoIKndcsy1mCDsviJS4SxuDTXr5N0"", ""'Acc GapOne ver2'!C2:C"") &amp; ""|"" &amp; 
        IMPORTRANGE(""1r9BL0meDj0_P7ECoIKndcsy1mCDsviJS4SxuDTXr5N0"", ""'Acc GapOne ver2'!A"&amp;"2:A"") &amp; ""|"" &amp; 
        IMPORTRANGE(""1r9BL0meDj0_P7ECoIKndcsy1mCDsviJS4SxuDTXr5N0"", ""'Acc GapOne ver2'!B2:B"") &amp; ""|"" &amp; 
        IMPORTRANGE(""1r9BL0meDj0_P7ECoIKndcsy1mCDsviJS4SxuDTXr5N0"", ""'Acc GapOne ver2'!Y2:Y"") &amp; ""|"" &amp; 
        IMPORTRANGE"&amp;"(""1r9BL0meDj0_P7ECoIKndcsy1mCDsviJS4SxuDTXr5N0"", ""'Acc GapOne ver2'!Z2:Z"") &amp; ""|"" &amp; 
        IMPORTRANGE(""1r9BL0meDj0_P7ECoIKndcsy1mCDsviJS4SxuDTXr5N0"", ""'Acc GapOne ver2'!AC2:AC"") &amp; ""|"" &amp; 
        IMPORTRANGE(""1r9BL0meDj0_P7ECoIKndcsy1mCDsviJ"&amp;"S4SxuDTXr5N0"", ""'Acc GapOne ver2'!H2:H"") &amp; ""|"" &amp; 
        IMPORTRANGE(""1r9BL0meDj0_P7ECoIKndcsy1mCDsviJS4SxuDTXr5N0"", ""'Acc GapOne ver2'!I2:I"") &amp; ""|"" &amp; 
        IMPORTRANGE(""1r9BL0meDj0_P7ECoIKndcsy1mCDsviJS4SxuDTXr5N0"", ""'Acc GapOne ver2'!J"&amp;"2:J"") &amp; ""|"" &amp; 
        SPLIT(IMPORTRANGE(""1r9BL0meDj0_P7ECoIKndcsy1mCDsviJS4SxuDTXr5N0"", ""'Acc GapOne ver2'!L2:L""), "","")
      ), ""|""
)
    ),
    ""SELECT Col1, Col2, Col3, Col4, Col5, Col6, Col7, Col8, Col9, Col10 WHERE Col10 IS NOT NULL LABE"&amp;"L Col1 'ORG ID', Col2 'Khu vực', Col3 'Status', Col4 'Ngành nghề', Col5 'CS', Col6 'Phân khúc', Col7 'Loại gói cước', Col8 'Hình thức thanh toán', Col9 'Hình thức sử dụng', Col10 'Kênh gửi tin chi tiết'""
  )
)"),"ORG ID")</f>
        <v>ORG ID</v>
      </c>
      <c r="B1" s="265" t="str">
        <f>IFERROR(__xludf.DUMMYFUNCTION("""COMPUTED_VALUE"""),"Khu vực")</f>
        <v>Khu vực</v>
      </c>
      <c r="C1" s="265" t="str">
        <f>IFERROR(__xludf.DUMMYFUNCTION("""COMPUTED_VALUE"""),"Status")</f>
        <v>Status</v>
      </c>
      <c r="D1" s="265" t="str">
        <f>IFERROR(__xludf.DUMMYFUNCTION("""COMPUTED_VALUE"""),"Ngành nghề")</f>
        <v>Ngành nghề</v>
      </c>
      <c r="E1" s="265" t="str">
        <f>IFERROR(__xludf.DUMMYFUNCTION("""COMPUTED_VALUE"""),"CS")</f>
        <v>CS</v>
      </c>
      <c r="F1" s="265" t="str">
        <f>IFERROR(__xludf.DUMMYFUNCTION("""COMPUTED_VALUE"""),"Phân khúc")</f>
        <v>Phân khúc</v>
      </c>
      <c r="G1" s="265" t="str">
        <f>IFERROR(__xludf.DUMMYFUNCTION("""COMPUTED_VALUE"""),"Loại gói cước")</f>
        <v>Loại gói cước</v>
      </c>
      <c r="H1" s="265" t="str">
        <f>IFERROR(__xludf.DUMMYFUNCTION("""COMPUTED_VALUE"""),"Hình thức thanh toán")</f>
        <v>Hình thức thanh toán</v>
      </c>
      <c r="I1" s="265" t="str">
        <f>IFERROR(__xludf.DUMMYFUNCTION("""COMPUTED_VALUE"""),"Hình thức sử dụng")</f>
        <v>Hình thức sử dụng</v>
      </c>
      <c r="J1" s="265" t="str">
        <f>IFERROR(__xludf.DUMMYFUNCTION("""COMPUTED_VALUE"""),"Kênh gửi tin chi tiết")</f>
        <v>Kênh gửi tin chi tiết</v>
      </c>
    </row>
    <row r="2">
      <c r="A2" s="247" t="str">
        <f>IFERROR(__xludf.DUMMYFUNCTION("""COMPUTED_VALUE"""),"29")</f>
        <v>29</v>
      </c>
      <c r="B2" s="265" t="str">
        <f>IFERROR(__xludf.DUMMYFUNCTION("""COMPUTED_VALUE"""),"Hà Nội")</f>
        <v>Hà Nội</v>
      </c>
      <c r="C2" s="265" t="str">
        <f>IFERROR(__xludf.DUMMYFUNCTION("""COMPUTED_VALUE"""),"Active")</f>
        <v>Active</v>
      </c>
      <c r="D2" s="247" t="str">
        <f>IFERROR(__xludf.DUMMYFUNCTION("""COMPUTED_VALUE"""),"Vận tải &amp; logistics")</f>
        <v>Vận tải &amp; logistics</v>
      </c>
      <c r="E2" s="265" t="str">
        <f>IFERROR(__xludf.DUMMYFUNCTION("""COMPUTED_VALUE"""),"TùngLD")</f>
        <v>TùngLD</v>
      </c>
      <c r="F2" s="265" t="str">
        <f>IFERROR(__xludf.DUMMYFUNCTION("""COMPUTED_VALUE"""),"Gold")</f>
        <v>Gold</v>
      </c>
      <c r="G2" s="265" t="str">
        <f>IFERROR(__xludf.DUMMYFUNCTION("""COMPUTED_VALUE"""),"Enterprise")</f>
        <v>Enterprise</v>
      </c>
      <c r="H2" s="265" t="str">
        <f>IFERROR(__xludf.DUMMYFUNCTION("""COMPUTED_VALUE"""),"Trả sau")</f>
        <v>Trả sau</v>
      </c>
      <c r="I2" s="265" t="str">
        <f>IFERROR(__xludf.DUMMYFUNCTION("""COMPUTED_VALUE"""),"API")</f>
        <v>API</v>
      </c>
      <c r="J2" s="265" t="str">
        <f>IFERROR(__xludf.DUMMYFUNCTION("""COMPUTED_VALUE"""),"SMS CSKH")</f>
        <v>SMS CSKH</v>
      </c>
    </row>
    <row r="3">
      <c r="A3" s="247" t="str">
        <f>IFERROR(__xludf.DUMMYFUNCTION("""COMPUTED_VALUE"""),"29")</f>
        <v>29</v>
      </c>
      <c r="B3" s="265" t="str">
        <f>IFERROR(__xludf.DUMMYFUNCTION("""COMPUTED_VALUE"""),"Hà Nội")</f>
        <v>Hà Nội</v>
      </c>
      <c r="C3" s="265" t="str">
        <f>IFERROR(__xludf.DUMMYFUNCTION("""COMPUTED_VALUE"""),"Active")</f>
        <v>Active</v>
      </c>
      <c r="D3" s="247" t="str">
        <f>IFERROR(__xludf.DUMMYFUNCTION("""COMPUTED_VALUE"""),"Vận tải &amp; logistics")</f>
        <v>Vận tải &amp; logistics</v>
      </c>
      <c r="E3" s="265" t="str">
        <f>IFERROR(__xludf.DUMMYFUNCTION("""COMPUTED_VALUE"""),"TùngLD")</f>
        <v>TùngLD</v>
      </c>
      <c r="F3" s="265" t="str">
        <f>IFERROR(__xludf.DUMMYFUNCTION("""COMPUTED_VALUE"""),"Gold")</f>
        <v>Gold</v>
      </c>
      <c r="G3" s="265" t="str">
        <f>IFERROR(__xludf.DUMMYFUNCTION("""COMPUTED_VALUE"""),"Enterprise")</f>
        <v>Enterprise</v>
      </c>
      <c r="H3" s="265" t="str">
        <f>IFERROR(__xludf.DUMMYFUNCTION("""COMPUTED_VALUE"""),"Trả sau")</f>
        <v>Trả sau</v>
      </c>
      <c r="I3" s="265" t="str">
        <f>IFERROR(__xludf.DUMMYFUNCTION("""COMPUTED_VALUE"""),"API")</f>
        <v>API</v>
      </c>
      <c r="J3" s="265" t="str">
        <f>IFERROR(__xludf.DUMMYFUNCTION("""COMPUTED_VALUE"""),"Zalo ZNS")</f>
        <v>Zalo ZNS</v>
      </c>
    </row>
    <row r="4">
      <c r="A4" s="247" t="str">
        <f>IFERROR(__xludf.DUMMYFUNCTION("""COMPUTED_VALUE"""),"75")</f>
        <v>75</v>
      </c>
      <c r="B4" s="265" t="str">
        <f>IFERROR(__xludf.DUMMYFUNCTION("""COMPUTED_VALUE"""),"Hà Nội")</f>
        <v>Hà Nội</v>
      </c>
      <c r="C4" s="265" t="str">
        <f>IFERROR(__xludf.DUMMYFUNCTION("""COMPUTED_VALUE"""),"Active")</f>
        <v>Active</v>
      </c>
      <c r="D4" s="247" t="str">
        <f>IFERROR(__xludf.DUMMYFUNCTION("""COMPUTED_VALUE"""),"Sale chưa cung cấp")</f>
        <v>Sale chưa cung cấp</v>
      </c>
      <c r="E4" s="265" t="str">
        <f>IFERROR(__xludf.DUMMYFUNCTION("""COMPUTED_VALUE"""),"TùngLD")</f>
        <v>TùngLD</v>
      </c>
      <c r="F4" s="265" t="str">
        <f>IFERROR(__xludf.DUMMYFUNCTION("""COMPUTED_VALUE"""),"Diamond")</f>
        <v>Diamond</v>
      </c>
      <c r="G4" s="265" t="str">
        <f>IFERROR(__xludf.DUMMYFUNCTION("""COMPUTED_VALUE"""),"Enterprise")</f>
        <v>Enterprise</v>
      </c>
      <c r="H4" s="265" t="str">
        <f>IFERROR(__xludf.DUMMYFUNCTION("""COMPUTED_VALUE"""),"Trả sau")</f>
        <v>Trả sau</v>
      </c>
      <c r="I4" s="265" t="str">
        <f>IFERROR(__xludf.DUMMYFUNCTION("""COMPUTED_VALUE"""),"API &amp; Portal")</f>
        <v>API &amp; Portal</v>
      </c>
      <c r="J4" s="265" t="str">
        <f>IFERROR(__xludf.DUMMYFUNCTION("""COMPUTED_VALUE"""),"SMS CSKH")</f>
        <v>SMS CSKH</v>
      </c>
    </row>
    <row r="5">
      <c r="A5" s="247" t="str">
        <f>IFERROR(__xludf.DUMMYFUNCTION("""COMPUTED_VALUE"""),"75")</f>
        <v>75</v>
      </c>
      <c r="B5" s="265" t="str">
        <f>IFERROR(__xludf.DUMMYFUNCTION("""COMPUTED_VALUE"""),"Hà Nội")</f>
        <v>Hà Nội</v>
      </c>
      <c r="C5" s="265" t="str">
        <f>IFERROR(__xludf.DUMMYFUNCTION("""COMPUTED_VALUE"""),"Active")</f>
        <v>Active</v>
      </c>
      <c r="D5" s="247" t="str">
        <f>IFERROR(__xludf.DUMMYFUNCTION("""COMPUTED_VALUE"""),"Sale chưa cung cấp")</f>
        <v>Sale chưa cung cấp</v>
      </c>
      <c r="E5" s="265" t="str">
        <f>IFERROR(__xludf.DUMMYFUNCTION("""COMPUTED_VALUE"""),"TùngLD")</f>
        <v>TùngLD</v>
      </c>
      <c r="F5" s="265" t="str">
        <f>IFERROR(__xludf.DUMMYFUNCTION("""COMPUTED_VALUE"""),"Diamond")</f>
        <v>Diamond</v>
      </c>
      <c r="G5" s="265" t="str">
        <f>IFERROR(__xludf.DUMMYFUNCTION("""COMPUTED_VALUE"""),"Enterprise")</f>
        <v>Enterprise</v>
      </c>
      <c r="H5" s="265" t="str">
        <f>IFERROR(__xludf.DUMMYFUNCTION("""COMPUTED_VALUE"""),"Trả sau")</f>
        <v>Trả sau</v>
      </c>
      <c r="I5" s="265" t="str">
        <f>IFERROR(__xludf.DUMMYFUNCTION("""COMPUTED_VALUE"""),"API &amp; Portal")</f>
        <v>API &amp; Portal</v>
      </c>
      <c r="J5" s="265" t="str">
        <f>IFERROR(__xludf.DUMMYFUNCTION("""COMPUTED_VALUE"""),"Zalo ZNS")</f>
        <v>Zalo ZNS</v>
      </c>
    </row>
    <row r="6">
      <c r="A6" s="247" t="str">
        <f>IFERROR(__xludf.DUMMYFUNCTION("""COMPUTED_VALUE"""),"119")</f>
        <v>119</v>
      </c>
      <c r="B6" s="265" t="str">
        <f>IFERROR(__xludf.DUMMYFUNCTION("""COMPUTED_VALUE"""),"Sài Gòn")</f>
        <v>Sài Gòn</v>
      </c>
      <c r="C6" s="265" t="str">
        <f>IFERROR(__xludf.DUMMYFUNCTION("""COMPUTED_VALUE"""),"Locked")</f>
        <v>Locked</v>
      </c>
      <c r="D6" s="247" t="str">
        <f>IFERROR(__xludf.DUMMYFUNCTION("""COMPUTED_VALUE"""),"Giáo dục &amp; Đào tạo")</f>
        <v>Giáo dục &amp; Đào tạo</v>
      </c>
      <c r="E6" s="265" t="str">
        <f>IFERROR(__xludf.DUMMYFUNCTION("""COMPUTED_VALUE"""),"TúPHN")</f>
        <v>TúPHN</v>
      </c>
      <c r="F6" s="265" t="str">
        <f>IFERROR(__xludf.DUMMYFUNCTION("""COMPUTED_VALUE"""),"Sale chưa cung cấp")</f>
        <v>Sale chưa cung cấp</v>
      </c>
      <c r="G6" s="265" t="str">
        <f>IFERROR(__xludf.DUMMYFUNCTION("""COMPUTED_VALUE"""),"Standard")</f>
        <v>Standard</v>
      </c>
      <c r="H6" s="265" t="str">
        <f>IFERROR(__xludf.DUMMYFUNCTION("""COMPUTED_VALUE"""),"Trial")</f>
        <v>Trial</v>
      </c>
      <c r="I6" s="265" t="str">
        <f>IFERROR(__xludf.DUMMYFUNCTION("""COMPUTED_VALUE"""),"API &amp; Portal")</f>
        <v>API &amp; Portal</v>
      </c>
      <c r="J6" s="265" t="str">
        <f>IFERROR(__xludf.DUMMYFUNCTION("""COMPUTED_VALUE"""),"Zalo ZNS")</f>
        <v>Zalo ZNS</v>
      </c>
    </row>
    <row r="7">
      <c r="A7" s="247" t="str">
        <f>IFERROR(__xludf.DUMMYFUNCTION("""COMPUTED_VALUE"""),"878")</f>
        <v>878</v>
      </c>
      <c r="B7" s="265" t="str">
        <f>IFERROR(__xludf.DUMMYFUNCTION("""COMPUTED_VALUE"""),"Sài Gòn")</f>
        <v>Sài Gòn</v>
      </c>
      <c r="C7" s="265" t="str">
        <f>IFERROR(__xludf.DUMMYFUNCTION("""COMPUTED_VALUE"""),"Locked")</f>
        <v>Locked</v>
      </c>
      <c r="D7" s="247" t="str">
        <f>IFERROR(__xludf.DUMMYFUNCTION("""COMPUTED_VALUE"""),"Thực phẩm &amp; Đồ uống")</f>
        <v>Thực phẩm &amp; Đồ uống</v>
      </c>
      <c r="E7" s="265" t="str">
        <f>IFERROR(__xludf.DUMMYFUNCTION("""COMPUTED_VALUE"""),"HoaNTM")</f>
        <v>HoaNTM</v>
      </c>
      <c r="F7" s="265" t="str">
        <f>IFERROR(__xludf.DUMMYFUNCTION("""COMPUTED_VALUE"""),"Diamond")</f>
        <v>Diamond</v>
      </c>
      <c r="G7" s="265" t="str">
        <f>IFERROR(__xludf.DUMMYFUNCTION("""COMPUTED_VALUE"""),"Starter")</f>
        <v>Starter</v>
      </c>
      <c r="H7" s="265" t="str">
        <f>IFERROR(__xludf.DUMMYFUNCTION("""COMPUTED_VALUE"""),"Trả sau")</f>
        <v>Trả sau</v>
      </c>
      <c r="I7" s="265" t="str">
        <f>IFERROR(__xludf.DUMMYFUNCTION("""COMPUTED_VALUE"""),"Portal")</f>
        <v>Portal</v>
      </c>
      <c r="J7" s="265" t="str">
        <f>IFERROR(__xludf.DUMMYFUNCTION("""COMPUTED_VALUE"""),"SMS CSKH")</f>
        <v>SMS CSKH</v>
      </c>
    </row>
    <row r="8">
      <c r="A8" s="247" t="str">
        <f>IFERROR(__xludf.DUMMYFUNCTION("""COMPUTED_VALUE"""),"188")</f>
        <v>188</v>
      </c>
      <c r="B8" s="265" t="str">
        <f>IFERROR(__xludf.DUMMYFUNCTION("""COMPUTED_VALUE"""),"Hà Nội")</f>
        <v>Hà Nội</v>
      </c>
      <c r="C8" s="265" t="str">
        <f>IFERROR(__xludf.DUMMYFUNCTION("""COMPUTED_VALUE"""),"Active")</f>
        <v>Active</v>
      </c>
      <c r="D8" s="247" t="str">
        <f>IFERROR(__xludf.DUMMYFUNCTION("""COMPUTED_VALUE"""),"Tài chính &amp; Ngân hàng")</f>
        <v>Tài chính &amp; Ngân hàng</v>
      </c>
      <c r="E8" s="265" t="str">
        <f>IFERROR(__xludf.DUMMYFUNCTION("""COMPUTED_VALUE"""),"TúPHN")</f>
        <v>TúPHN</v>
      </c>
      <c r="F8" s="265" t="str">
        <f>IFERROR(__xludf.DUMMYFUNCTION("""COMPUTED_VALUE"""),"Silver")</f>
        <v>Silver</v>
      </c>
      <c r="G8" s="265" t="str">
        <f>IFERROR(__xludf.DUMMYFUNCTION("""COMPUTED_VALUE"""),"Starter")</f>
        <v>Starter</v>
      </c>
      <c r="H8" s="265" t="str">
        <f>IFERROR(__xludf.DUMMYFUNCTION("""COMPUTED_VALUE"""),"Trả sau")</f>
        <v>Trả sau</v>
      </c>
      <c r="I8" s="265" t="str">
        <f>IFERROR(__xludf.DUMMYFUNCTION("""COMPUTED_VALUE"""),"API")</f>
        <v>API</v>
      </c>
      <c r="J8" s="265" t="str">
        <f>IFERROR(__xludf.DUMMYFUNCTION("""COMPUTED_VALUE"""),"Zalo ZNS")</f>
        <v>Zalo ZNS</v>
      </c>
    </row>
    <row r="9">
      <c r="A9" s="247" t="str">
        <f>IFERROR(__xludf.DUMMYFUNCTION("""COMPUTED_VALUE"""),"209")</f>
        <v>209</v>
      </c>
      <c r="B9" s="265" t="str">
        <f>IFERROR(__xludf.DUMMYFUNCTION("""COMPUTED_VALUE"""),"Hà Nội")</f>
        <v>Hà Nội</v>
      </c>
      <c r="C9" s="265" t="str">
        <f>IFERROR(__xludf.DUMMYFUNCTION("""COMPUTED_VALUE"""),"Locked")</f>
        <v>Locked</v>
      </c>
      <c r="D9" s="247" t="str">
        <f>IFERROR(__xludf.DUMMYFUNCTION("""COMPUTED_VALUE"""),"Sale chưa cung cấp")</f>
        <v>Sale chưa cung cấp</v>
      </c>
      <c r="E9" s="265" t="str">
        <f>IFERROR(__xludf.DUMMYFUNCTION("""COMPUTED_VALUE"""),"PhươngDTB")</f>
        <v>PhươngDTB</v>
      </c>
      <c r="F9" s="265" t="str">
        <f>IFERROR(__xludf.DUMMYFUNCTION("""COMPUTED_VALUE"""),"Sale chưa cung cấp")</f>
        <v>Sale chưa cung cấp</v>
      </c>
      <c r="G9" s="265" t="str">
        <f>IFERROR(__xludf.DUMMYFUNCTION("""COMPUTED_VALUE"""),"Enterprise")</f>
        <v>Enterprise</v>
      </c>
      <c r="H9" s="265" t="str">
        <f>IFERROR(__xludf.DUMMYFUNCTION("""COMPUTED_VALUE"""),"(Chưa recheck)")</f>
        <v>(Chưa recheck)</v>
      </c>
      <c r="I9" s="265" t="str">
        <f>IFERROR(__xludf.DUMMYFUNCTION("""COMPUTED_VALUE"""),"(Chưa recheck)")</f>
        <v>(Chưa recheck)</v>
      </c>
      <c r="J9" s="265" t="str">
        <f>IFERROR(__xludf.DUMMYFUNCTION("""COMPUTED_VALUE"""),"(Chưa recheck)")</f>
        <v>(Chưa recheck)</v>
      </c>
    </row>
    <row r="10">
      <c r="A10" s="247" t="str">
        <f>IFERROR(__xludf.DUMMYFUNCTION("""COMPUTED_VALUE"""),"220")</f>
        <v>220</v>
      </c>
      <c r="B10" s="265" t="str">
        <f>IFERROR(__xludf.DUMMYFUNCTION("""COMPUTED_VALUE"""),"Hà Nội")</f>
        <v>Hà Nội</v>
      </c>
      <c r="C10" s="265" t="str">
        <f>IFERROR(__xludf.DUMMYFUNCTION("""COMPUTED_VALUE"""),"Locked")</f>
        <v>Locked</v>
      </c>
      <c r="D10" s="247" t="str">
        <f>IFERROR(__xludf.DUMMYFUNCTION("""COMPUTED_VALUE"""),"Sale chưa cung cấp")</f>
        <v>Sale chưa cung cấp</v>
      </c>
      <c r="E10" s="265" t="str">
        <f>IFERROR(__xludf.DUMMYFUNCTION("""COMPUTED_VALUE"""),"TùngLD")</f>
        <v>TùngLD</v>
      </c>
      <c r="F10" s="265" t="str">
        <f>IFERROR(__xludf.DUMMYFUNCTION("""COMPUTED_VALUE"""),"Bronze")</f>
        <v>Bronze</v>
      </c>
      <c r="G10" s="265" t="str">
        <f>IFERROR(__xludf.DUMMYFUNCTION("""COMPUTED_VALUE"""),"API")</f>
        <v>API</v>
      </c>
      <c r="H10" s="265" t="str">
        <f>IFERROR(__xludf.DUMMYFUNCTION("""COMPUTED_VALUE"""),"Trả sau")</f>
        <v>Trả sau</v>
      </c>
      <c r="I10" s="265" t="str">
        <f>IFERROR(__xludf.DUMMYFUNCTION("""COMPUTED_VALUE"""),"API")</f>
        <v>API</v>
      </c>
      <c r="J10" s="265" t="str">
        <f>IFERROR(__xludf.DUMMYFUNCTION("""COMPUTED_VALUE"""),"SMS CSKH")</f>
        <v>SMS CSKH</v>
      </c>
    </row>
    <row r="11">
      <c r="A11" s="247" t="str">
        <f>IFERROR(__xludf.DUMMYFUNCTION("""COMPUTED_VALUE"""),"226")</f>
        <v>226</v>
      </c>
      <c r="B11" s="265" t="str">
        <f>IFERROR(__xludf.DUMMYFUNCTION("""COMPUTED_VALUE"""),"Sài Gòn")</f>
        <v>Sài Gòn</v>
      </c>
      <c r="C11" s="265" t="str">
        <f>IFERROR(__xludf.DUMMYFUNCTION("""COMPUTED_VALUE"""),"Locked")</f>
        <v>Locked</v>
      </c>
      <c r="D11" s="247" t="str">
        <f>IFERROR(__xludf.DUMMYFUNCTION("""COMPUTED_VALUE"""),"Sale chưa cung cấp")</f>
        <v>Sale chưa cung cấp</v>
      </c>
      <c r="E11" s="265" t="str">
        <f>IFERROR(__xludf.DUMMYFUNCTION("""COMPUTED_VALUE"""),"HoaNTM")</f>
        <v>HoaNTM</v>
      </c>
      <c r="F11" s="265" t="str">
        <f>IFERROR(__xludf.DUMMYFUNCTION("""COMPUTED_VALUE"""),"Sale chưa cung cấp")</f>
        <v>Sale chưa cung cấp</v>
      </c>
      <c r="G11" s="265" t="str">
        <f>IFERROR(__xludf.DUMMYFUNCTION("""COMPUTED_VALUE"""),"API")</f>
        <v>API</v>
      </c>
      <c r="H11" s="265" t="str">
        <f>IFERROR(__xludf.DUMMYFUNCTION("""COMPUTED_VALUE"""),"(Chưa recheck)")</f>
        <v>(Chưa recheck)</v>
      </c>
      <c r="I11" s="265" t="str">
        <f>IFERROR(__xludf.DUMMYFUNCTION("""COMPUTED_VALUE"""),"(Chưa recheck)")</f>
        <v>(Chưa recheck)</v>
      </c>
      <c r="J11" s="265" t="str">
        <f>IFERROR(__xludf.DUMMYFUNCTION("""COMPUTED_VALUE"""),"(Chưa recheck)")</f>
        <v>(Chưa recheck)</v>
      </c>
      <c r="N11" s="265" t="s">
        <v>4430</v>
      </c>
      <c r="O11" s="265" t="s">
        <v>15</v>
      </c>
      <c r="P11" s="265"/>
      <c r="Q11" s="265"/>
      <c r="R11" s="265"/>
    </row>
    <row r="12">
      <c r="A12" s="265" t="str">
        <f>IFERROR(__xludf.DUMMYFUNCTION("""COMPUTED_VALUE"""),"225")</f>
        <v>225</v>
      </c>
      <c r="B12" s="265" t="str">
        <f>IFERROR(__xludf.DUMMYFUNCTION("""COMPUTED_VALUE"""),"Sài Gòn")</f>
        <v>Sài Gòn</v>
      </c>
      <c r="C12" s="265" t="str">
        <f>IFERROR(__xludf.DUMMYFUNCTION("""COMPUTED_VALUE"""),"Active")</f>
        <v>Active</v>
      </c>
      <c r="D12" s="265" t="str">
        <f>IFERROR(__xludf.DUMMYFUNCTION("""COMPUTED_VALUE"""),"Sale chưa cung cấp")</f>
        <v>Sale chưa cung cấp</v>
      </c>
      <c r="E12" s="265" t="str">
        <f>IFERROR(__xludf.DUMMYFUNCTION("""COMPUTED_VALUE"""),"TúPHN")</f>
        <v>TúPHN</v>
      </c>
      <c r="F12" s="265" t="str">
        <f>IFERROR(__xludf.DUMMYFUNCTION("""COMPUTED_VALUE"""),"Diamond")</f>
        <v>Diamond</v>
      </c>
      <c r="G12" s="265" t="str">
        <f>IFERROR(__xludf.DUMMYFUNCTION("""COMPUTED_VALUE"""),"Starter")</f>
        <v>Starter</v>
      </c>
      <c r="H12" s="265" t="str">
        <f>IFERROR(__xludf.DUMMYFUNCTION("""COMPUTED_VALUE"""),"Trả sau")</f>
        <v>Trả sau</v>
      </c>
      <c r="I12" s="265" t="str">
        <f>IFERROR(__xludf.DUMMYFUNCTION("""COMPUTED_VALUE"""),"API &amp; Portal")</f>
        <v>API &amp; Portal</v>
      </c>
      <c r="J12" s="265" t="str">
        <f>IFERROR(__xludf.DUMMYFUNCTION("""COMPUTED_VALUE"""),"SMS CSKH")</f>
        <v>SMS CSKH</v>
      </c>
      <c r="N12" s="265" t="s">
        <v>4433</v>
      </c>
      <c r="O12" s="265"/>
      <c r="P12" s="265" t="s">
        <v>19</v>
      </c>
      <c r="Q12" s="265" t="s">
        <v>67</v>
      </c>
      <c r="R12" s="265" t="s">
        <v>4434</v>
      </c>
    </row>
    <row r="13">
      <c r="A13" s="265" t="str">
        <f>IFERROR(__xludf.DUMMYFUNCTION("""COMPUTED_VALUE"""),"225")</f>
        <v>225</v>
      </c>
      <c r="B13" s="265" t="str">
        <f>IFERROR(__xludf.DUMMYFUNCTION("""COMPUTED_VALUE"""),"Sài Gòn")</f>
        <v>Sài Gòn</v>
      </c>
      <c r="C13" s="265" t="str">
        <f>IFERROR(__xludf.DUMMYFUNCTION("""COMPUTED_VALUE"""),"Active")</f>
        <v>Active</v>
      </c>
      <c r="D13" s="265" t="str">
        <f>IFERROR(__xludf.DUMMYFUNCTION("""COMPUTED_VALUE"""),"Sale chưa cung cấp")</f>
        <v>Sale chưa cung cấp</v>
      </c>
      <c r="E13" s="265" t="str">
        <f>IFERROR(__xludf.DUMMYFUNCTION("""COMPUTED_VALUE"""),"TúPHN")</f>
        <v>TúPHN</v>
      </c>
      <c r="F13" s="265" t="str">
        <f>IFERROR(__xludf.DUMMYFUNCTION("""COMPUTED_VALUE"""),"Diamond")</f>
        <v>Diamond</v>
      </c>
      <c r="G13" s="265" t="str">
        <f>IFERROR(__xludf.DUMMYFUNCTION("""COMPUTED_VALUE"""),"Starter")</f>
        <v>Starter</v>
      </c>
      <c r="H13" s="265" t="str">
        <f>IFERROR(__xludf.DUMMYFUNCTION("""COMPUTED_VALUE"""),"Trả sau")</f>
        <v>Trả sau</v>
      </c>
      <c r="I13" s="265" t="str">
        <f>IFERROR(__xludf.DUMMYFUNCTION("""COMPUTED_VALUE"""),"API &amp; Portal")</f>
        <v>API &amp; Portal</v>
      </c>
      <c r="J13" s="265" t="str">
        <f>IFERROR(__xludf.DUMMYFUNCTION("""COMPUTED_VALUE"""),"Zalo ZNS")</f>
        <v>Zalo ZNS</v>
      </c>
      <c r="N13" s="265"/>
      <c r="O13" s="265">
        <v>0.0</v>
      </c>
      <c r="P13" s="265"/>
      <c r="Q13" s="265"/>
      <c r="R13" s="265">
        <v>0.0</v>
      </c>
    </row>
    <row r="14">
      <c r="A14" s="265" t="str">
        <f>IFERROR(__xludf.DUMMYFUNCTION("""COMPUTED_VALUE"""),"239")</f>
        <v>239</v>
      </c>
      <c r="B14" s="265" t="str">
        <f>IFERROR(__xludf.DUMMYFUNCTION("""COMPUTED_VALUE"""),"Hà Nội")</f>
        <v>Hà Nội</v>
      </c>
      <c r="C14" s="265" t="str">
        <f>IFERROR(__xludf.DUMMYFUNCTION("""COMPUTED_VALUE"""),"Locked")</f>
        <v>Locked</v>
      </c>
      <c r="D14" s="265" t="str">
        <f>IFERROR(__xludf.DUMMYFUNCTION("""COMPUTED_VALUE"""),"Sale chưa cung cấp")</f>
        <v>Sale chưa cung cấp</v>
      </c>
      <c r="E14" s="265" t="str">
        <f>IFERROR(__xludf.DUMMYFUNCTION("""COMPUTED_VALUE"""),"HangNT")</f>
        <v>HangNT</v>
      </c>
      <c r="F14" s="265" t="str">
        <f>IFERROR(__xludf.DUMMYFUNCTION("""COMPUTED_VALUE"""),"Bronze")</f>
        <v>Bronze</v>
      </c>
      <c r="G14" s="265" t="str">
        <f>IFERROR(__xludf.DUMMYFUNCTION("""COMPUTED_VALUE"""),"Enterprise")</f>
        <v>Enterprise</v>
      </c>
      <c r="H14" s="265" t="str">
        <f>IFERROR(__xludf.DUMMYFUNCTION("""COMPUTED_VALUE"""),"(Chưa recheck)")</f>
        <v>(Chưa recheck)</v>
      </c>
      <c r="I14" s="265" t="str">
        <f>IFERROR(__xludf.DUMMYFUNCTION("""COMPUTED_VALUE"""),"(Chưa recheck)")</f>
        <v>(Chưa recheck)</v>
      </c>
      <c r="J14" s="265" t="str">
        <f>IFERROR(__xludf.DUMMYFUNCTION("""COMPUTED_VALUE"""),"(Chưa recheck)")</f>
        <v>(Chưa recheck)</v>
      </c>
      <c r="N14" s="265" t="s">
        <v>289</v>
      </c>
      <c r="O14" s="265"/>
      <c r="P14" s="265"/>
      <c r="Q14" s="265">
        <v>91.0</v>
      </c>
      <c r="R14" s="265">
        <v>91.0</v>
      </c>
    </row>
    <row r="15">
      <c r="A15" s="265" t="str">
        <f>IFERROR(__xludf.DUMMYFUNCTION("""COMPUTED_VALUE"""),"247")</f>
        <v>247</v>
      </c>
      <c r="B15" s="265" t="str">
        <f>IFERROR(__xludf.DUMMYFUNCTION("""COMPUTED_VALUE"""),"Đà Nẵng")</f>
        <v>Đà Nẵng</v>
      </c>
      <c r="C15" s="265" t="str">
        <f>IFERROR(__xludf.DUMMYFUNCTION("""COMPUTED_VALUE"""),"Active")</f>
        <v>Active</v>
      </c>
      <c r="D15" s="265" t="str">
        <f>IFERROR(__xludf.DUMMYFUNCTION("""COMPUTED_VALUE"""),"Sale chưa cung cấp")</f>
        <v>Sale chưa cung cấp</v>
      </c>
      <c r="E15" s="265" t="str">
        <f>IFERROR(__xludf.DUMMYFUNCTION("""COMPUTED_VALUE"""),"AnhNM")</f>
        <v>AnhNM</v>
      </c>
      <c r="F15" s="265" t="str">
        <f>IFERROR(__xludf.DUMMYFUNCTION("""COMPUTED_VALUE"""),"Bronze")</f>
        <v>Bronze</v>
      </c>
      <c r="G15" s="265" t="str">
        <f>IFERROR(__xludf.DUMMYFUNCTION("""COMPUTED_VALUE"""),"Starter")</f>
        <v>Starter</v>
      </c>
      <c r="H15" s="265" t="str">
        <f>IFERROR(__xludf.DUMMYFUNCTION("""COMPUTED_VALUE"""),"Trả sau")</f>
        <v>Trả sau</v>
      </c>
      <c r="I15" s="265" t="str">
        <f>IFERROR(__xludf.DUMMYFUNCTION("""COMPUTED_VALUE"""),"API &amp; Portal")</f>
        <v>API &amp; Portal</v>
      </c>
      <c r="J15" s="265" t="str">
        <f>IFERROR(__xludf.DUMMYFUNCTION("""COMPUTED_VALUE"""),"Zalo ZNS")</f>
        <v>Zalo ZNS</v>
      </c>
      <c r="N15" s="265" t="s">
        <v>175</v>
      </c>
      <c r="O15" s="265"/>
      <c r="P15" s="265"/>
      <c r="Q15" s="265">
        <v>47.0</v>
      </c>
      <c r="R15" s="265">
        <v>47.0</v>
      </c>
    </row>
    <row r="16">
      <c r="A16" s="265" t="str">
        <f>IFERROR(__xludf.DUMMYFUNCTION("""COMPUTED_VALUE"""),"264")</f>
        <v>264</v>
      </c>
      <c r="B16" s="265" t="str">
        <f>IFERROR(__xludf.DUMMYFUNCTION("""COMPUTED_VALUE"""),"Hà Nội")</f>
        <v>Hà Nội</v>
      </c>
      <c r="C16" s="265" t="str">
        <f>IFERROR(__xludf.DUMMYFUNCTION("""COMPUTED_VALUE"""),"Locked")</f>
        <v>Locked</v>
      </c>
      <c r="D16" s="265" t="str">
        <f>IFERROR(__xludf.DUMMYFUNCTION("""COMPUTED_VALUE"""),"Sale chưa cung cấp")</f>
        <v>Sale chưa cung cấp</v>
      </c>
      <c r="E16" s="265" t="str">
        <f>IFERROR(__xludf.DUMMYFUNCTION("""COMPUTED_VALUE"""),"PhươngDTB")</f>
        <v>PhươngDTB</v>
      </c>
      <c r="F16" s="265" t="str">
        <f>IFERROR(__xludf.DUMMYFUNCTION("""COMPUTED_VALUE"""),"Sale chưa cung cấp")</f>
        <v>Sale chưa cung cấp</v>
      </c>
      <c r="G16" s="265" t="str">
        <f>IFERROR(__xludf.DUMMYFUNCTION("""COMPUTED_VALUE"""),"Enterprise")</f>
        <v>Enterprise</v>
      </c>
      <c r="H16" s="265" t="str">
        <f>IFERROR(__xludf.DUMMYFUNCTION("""COMPUTED_VALUE"""),"Trial")</f>
        <v>Trial</v>
      </c>
      <c r="I16" s="265" t="str">
        <f>IFERROR(__xludf.DUMMYFUNCTION("""COMPUTED_VALUE"""),"(Không recheck)")</f>
        <v>(Không recheck)</v>
      </c>
      <c r="J16" s="265" t="str">
        <f>IFERROR(__xludf.DUMMYFUNCTION("""COMPUTED_VALUE"""),"(Không recheck)")</f>
        <v>(Không recheck)</v>
      </c>
      <c r="N16" s="265" t="s">
        <v>1275</v>
      </c>
      <c r="O16" s="265"/>
      <c r="P16" s="265">
        <v>7.0</v>
      </c>
      <c r="Q16" s="265">
        <v>6.0</v>
      </c>
      <c r="R16" s="265">
        <v>13.0</v>
      </c>
    </row>
    <row r="17">
      <c r="A17" s="265" t="str">
        <f>IFERROR(__xludf.DUMMYFUNCTION("""COMPUTED_VALUE"""),"248")</f>
        <v>248</v>
      </c>
      <c r="B17" s="265" t="str">
        <f>IFERROR(__xludf.DUMMYFUNCTION("""COMPUTED_VALUE"""),"Sài Gòn")</f>
        <v>Sài Gòn</v>
      </c>
      <c r="C17" s="265" t="str">
        <f>IFERROR(__xludf.DUMMYFUNCTION("""COMPUTED_VALUE"""),"Active")</f>
        <v>Active</v>
      </c>
      <c r="D17" s="265" t="str">
        <f>IFERROR(__xludf.DUMMYFUNCTION("""COMPUTED_VALUE"""),"Sale chưa cung cấp")</f>
        <v>Sale chưa cung cấp</v>
      </c>
      <c r="E17" s="265" t="str">
        <f>IFERROR(__xludf.DUMMYFUNCTION("""COMPUTED_VALUE"""),"TúPHN")</f>
        <v>TúPHN</v>
      </c>
      <c r="F17" s="265" t="str">
        <f>IFERROR(__xludf.DUMMYFUNCTION("""COMPUTED_VALUE"""),"Silver")</f>
        <v>Silver</v>
      </c>
      <c r="G17" s="265" t="str">
        <f>IFERROR(__xludf.DUMMYFUNCTION("""COMPUTED_VALUE"""),"Enterprise")</f>
        <v>Enterprise</v>
      </c>
      <c r="H17" s="265" t="str">
        <f>IFERROR(__xludf.DUMMYFUNCTION("""COMPUTED_VALUE"""),"Trả sau")</f>
        <v>Trả sau</v>
      </c>
      <c r="I17" s="265" t="str">
        <f>IFERROR(__xludf.DUMMYFUNCTION("""COMPUTED_VALUE"""),"Portal")</f>
        <v>Portal</v>
      </c>
      <c r="J17" s="265" t="str">
        <f>IFERROR(__xludf.DUMMYFUNCTION("""COMPUTED_VALUE"""),"Zalo ZNS")</f>
        <v>Zalo ZNS</v>
      </c>
      <c r="N17" s="265" t="s">
        <v>48</v>
      </c>
      <c r="O17" s="265"/>
      <c r="P17" s="265"/>
      <c r="Q17" s="265">
        <v>65.0</v>
      </c>
      <c r="R17" s="265">
        <v>65.0</v>
      </c>
    </row>
    <row r="18">
      <c r="A18" s="265" t="str">
        <f>IFERROR(__xludf.DUMMYFUNCTION("""COMPUTED_VALUE"""),"248")</f>
        <v>248</v>
      </c>
      <c r="B18" s="265" t="str">
        <f>IFERROR(__xludf.DUMMYFUNCTION("""COMPUTED_VALUE"""),"Sài Gòn")</f>
        <v>Sài Gòn</v>
      </c>
      <c r="C18" s="265" t="str">
        <f>IFERROR(__xludf.DUMMYFUNCTION("""COMPUTED_VALUE"""),"Active")</f>
        <v>Active</v>
      </c>
      <c r="D18" s="265" t="str">
        <f>IFERROR(__xludf.DUMMYFUNCTION("""COMPUTED_VALUE"""),"Sale chưa cung cấp")</f>
        <v>Sale chưa cung cấp</v>
      </c>
      <c r="E18" s="265" t="str">
        <f>IFERROR(__xludf.DUMMYFUNCTION("""COMPUTED_VALUE"""),"TúPHN")</f>
        <v>TúPHN</v>
      </c>
      <c r="F18" s="265" t="str">
        <f>IFERROR(__xludf.DUMMYFUNCTION("""COMPUTED_VALUE"""),"Silver")</f>
        <v>Silver</v>
      </c>
      <c r="G18" s="265" t="str">
        <f>IFERROR(__xludf.DUMMYFUNCTION("""COMPUTED_VALUE"""),"Enterprise")</f>
        <v>Enterprise</v>
      </c>
      <c r="H18" s="265" t="str">
        <f>IFERROR(__xludf.DUMMYFUNCTION("""COMPUTED_VALUE"""),"Trả sau")</f>
        <v>Trả sau</v>
      </c>
      <c r="I18" s="265" t="str">
        <f>IFERROR(__xludf.DUMMYFUNCTION("""COMPUTED_VALUE"""),"Portal")</f>
        <v>Portal</v>
      </c>
      <c r="J18" s="265" t="str">
        <f>IFERROR(__xludf.DUMMYFUNCTION("""COMPUTED_VALUE"""),"Email")</f>
        <v>Email</v>
      </c>
      <c r="N18" s="265" t="s">
        <v>25</v>
      </c>
      <c r="O18" s="265"/>
      <c r="P18" s="265">
        <v>106.0</v>
      </c>
      <c r="Q18" s="265">
        <v>98.0</v>
      </c>
      <c r="R18" s="265">
        <v>204.0</v>
      </c>
    </row>
    <row r="19">
      <c r="A19" s="265" t="str">
        <f>IFERROR(__xludf.DUMMYFUNCTION("""COMPUTED_VALUE"""),"300")</f>
        <v>300</v>
      </c>
      <c r="B19" s="265" t="str">
        <f>IFERROR(__xludf.DUMMYFUNCTION("""COMPUTED_VALUE"""),"Hà Nội")</f>
        <v>Hà Nội</v>
      </c>
      <c r="C19" s="265" t="str">
        <f>IFERROR(__xludf.DUMMYFUNCTION("""COMPUTED_VALUE"""),"Active")</f>
        <v>Active</v>
      </c>
      <c r="D19" s="265" t="str">
        <f>IFERROR(__xludf.DUMMYFUNCTION("""COMPUTED_VALUE"""),"Sale chưa cung cấp")</f>
        <v>Sale chưa cung cấp</v>
      </c>
      <c r="E19" s="265" t="str">
        <f>IFERROR(__xludf.DUMMYFUNCTION("""COMPUTED_VALUE"""),"TùngLD")</f>
        <v>TùngLD</v>
      </c>
      <c r="F19" s="265" t="str">
        <f>IFERROR(__xludf.DUMMYFUNCTION("""COMPUTED_VALUE"""),"Gold")</f>
        <v>Gold</v>
      </c>
      <c r="G19" s="265" t="str">
        <f>IFERROR(__xludf.DUMMYFUNCTION("""COMPUTED_VALUE"""),"Starter")</f>
        <v>Starter</v>
      </c>
      <c r="H19" s="265" t="str">
        <f>IFERROR(__xludf.DUMMYFUNCTION("""COMPUTED_VALUE"""),"Trả sau")</f>
        <v>Trả sau</v>
      </c>
      <c r="I19" s="265" t="str">
        <f>IFERROR(__xludf.DUMMYFUNCTION("""COMPUTED_VALUE"""),"API")</f>
        <v>API</v>
      </c>
      <c r="J19" s="265" t="str">
        <f>IFERROR(__xludf.DUMMYFUNCTION("""COMPUTED_VALUE"""),"Zalo ZNS")</f>
        <v>Zalo ZNS</v>
      </c>
      <c r="N19" s="265" t="s">
        <v>3222</v>
      </c>
      <c r="O19" s="265"/>
      <c r="P19" s="265">
        <v>17.0</v>
      </c>
      <c r="Q19" s="265">
        <v>2.0</v>
      </c>
      <c r="R19" s="265">
        <v>19.0</v>
      </c>
    </row>
    <row r="20">
      <c r="A20" s="265" t="str">
        <f>IFERROR(__xludf.DUMMYFUNCTION("""COMPUTED_VALUE"""),"301")</f>
        <v>301</v>
      </c>
      <c r="B20" s="265" t="str">
        <f>IFERROR(__xludf.DUMMYFUNCTION("""COMPUTED_VALUE"""),"Đà Nẵng")</f>
        <v>Đà Nẵng</v>
      </c>
      <c r="C20" s="265" t="str">
        <f>IFERROR(__xludf.DUMMYFUNCTION("""COMPUTED_VALUE"""),"Locked")</f>
        <v>Locked</v>
      </c>
      <c r="D20" s="265" t="str">
        <f>IFERROR(__xludf.DUMMYFUNCTION("""COMPUTED_VALUE"""),"Sale chưa cung cấp")</f>
        <v>Sale chưa cung cấp</v>
      </c>
      <c r="E20" s="265" t="str">
        <f>IFERROR(__xludf.DUMMYFUNCTION("""COMPUTED_VALUE"""),"PhươngDTB")</f>
        <v>PhươngDTB</v>
      </c>
      <c r="F20" s="265" t="str">
        <f>IFERROR(__xludf.DUMMYFUNCTION("""COMPUTED_VALUE"""),"Bronze")</f>
        <v>Bronze</v>
      </c>
      <c r="G20" s="265" t="str">
        <f>IFERROR(__xludf.DUMMYFUNCTION("""COMPUTED_VALUE"""),"Enterprise")</f>
        <v>Enterprise</v>
      </c>
      <c r="H20" s="265" t="str">
        <f>IFERROR(__xludf.DUMMYFUNCTION("""COMPUTED_VALUE"""),"(Chưa recheck)")</f>
        <v>(Chưa recheck)</v>
      </c>
      <c r="I20" s="265" t="str">
        <f>IFERROR(__xludf.DUMMYFUNCTION("""COMPUTED_VALUE"""),"(Chưa recheck)")</f>
        <v>(Chưa recheck)</v>
      </c>
      <c r="J20" s="265" t="str">
        <f>IFERROR(__xludf.DUMMYFUNCTION("""COMPUTED_VALUE"""),"(Chưa recheck)")</f>
        <v>(Chưa recheck)</v>
      </c>
      <c r="N20" s="265" t="s">
        <v>484</v>
      </c>
      <c r="O20" s="265"/>
      <c r="P20" s="265">
        <v>18.0</v>
      </c>
      <c r="Q20" s="265">
        <v>41.0</v>
      </c>
      <c r="R20" s="265">
        <v>59.0</v>
      </c>
    </row>
    <row r="21">
      <c r="A21" s="265" t="str">
        <f>IFERROR(__xludf.DUMMYFUNCTION("""COMPUTED_VALUE"""),"306")</f>
        <v>306</v>
      </c>
      <c r="B21" s="265" t="str">
        <f>IFERROR(__xludf.DUMMYFUNCTION("""COMPUTED_VALUE"""),"Hà Nội")</f>
        <v>Hà Nội</v>
      </c>
      <c r="C21" s="265" t="str">
        <f>IFERROR(__xludf.DUMMYFUNCTION("""COMPUTED_VALUE"""),"Active")</f>
        <v>Active</v>
      </c>
      <c r="D21" s="265" t="str">
        <f>IFERROR(__xludf.DUMMYFUNCTION("""COMPUTED_VALUE"""),"Sale chưa cung cấp")</f>
        <v>Sale chưa cung cấp</v>
      </c>
      <c r="E21" s="265" t="str">
        <f>IFERROR(__xludf.DUMMYFUNCTION("""COMPUTED_VALUE"""),"TùngLD")</f>
        <v>TùngLD</v>
      </c>
      <c r="F21" s="265" t="str">
        <f>IFERROR(__xludf.DUMMYFUNCTION("""COMPUTED_VALUE"""),"Bronze")</f>
        <v>Bronze</v>
      </c>
      <c r="G21" s="265" t="str">
        <f>IFERROR(__xludf.DUMMYFUNCTION("""COMPUTED_VALUE"""),"Starter")</f>
        <v>Starter</v>
      </c>
      <c r="H21" s="265" t="str">
        <f>IFERROR(__xludf.DUMMYFUNCTION("""COMPUTED_VALUE"""),"Trả sau")</f>
        <v>Trả sau</v>
      </c>
      <c r="I21" s="265" t="str">
        <f>IFERROR(__xludf.DUMMYFUNCTION("""COMPUTED_VALUE"""),"API")</f>
        <v>API</v>
      </c>
      <c r="J21" s="265" t="str">
        <f>IFERROR(__xludf.DUMMYFUNCTION("""COMPUTED_VALUE"""),"SMS CSKH")</f>
        <v>SMS CSKH</v>
      </c>
      <c r="N21" s="265" t="s">
        <v>3234</v>
      </c>
      <c r="O21" s="265"/>
      <c r="P21" s="265">
        <v>3.0</v>
      </c>
      <c r="Q21" s="265">
        <v>3.0</v>
      </c>
      <c r="R21" s="265">
        <v>6.0</v>
      </c>
    </row>
    <row r="22">
      <c r="A22" s="265" t="str">
        <f>IFERROR(__xludf.DUMMYFUNCTION("""COMPUTED_VALUE"""),"306")</f>
        <v>306</v>
      </c>
      <c r="B22" s="265" t="str">
        <f>IFERROR(__xludf.DUMMYFUNCTION("""COMPUTED_VALUE"""),"Hà Nội")</f>
        <v>Hà Nội</v>
      </c>
      <c r="C22" s="265" t="str">
        <f>IFERROR(__xludf.DUMMYFUNCTION("""COMPUTED_VALUE"""),"Active")</f>
        <v>Active</v>
      </c>
      <c r="D22" s="265" t="str">
        <f>IFERROR(__xludf.DUMMYFUNCTION("""COMPUTED_VALUE"""),"Sale chưa cung cấp")</f>
        <v>Sale chưa cung cấp</v>
      </c>
      <c r="E22" s="265" t="str">
        <f>IFERROR(__xludf.DUMMYFUNCTION("""COMPUTED_VALUE"""),"TùngLD")</f>
        <v>TùngLD</v>
      </c>
      <c r="F22" s="265" t="str">
        <f>IFERROR(__xludf.DUMMYFUNCTION("""COMPUTED_VALUE"""),"Bronze")</f>
        <v>Bronze</v>
      </c>
      <c r="G22" s="265" t="str">
        <f>IFERROR(__xludf.DUMMYFUNCTION("""COMPUTED_VALUE"""),"Starter")</f>
        <v>Starter</v>
      </c>
      <c r="H22" s="265" t="str">
        <f>IFERROR(__xludf.DUMMYFUNCTION("""COMPUTED_VALUE"""),"Trả sau")</f>
        <v>Trả sau</v>
      </c>
      <c r="I22" s="265" t="str">
        <f>IFERROR(__xludf.DUMMYFUNCTION("""COMPUTED_VALUE"""),"API")</f>
        <v>API</v>
      </c>
      <c r="J22" s="265" t="str">
        <f>IFERROR(__xludf.DUMMYFUNCTION("""COMPUTED_VALUE"""),"Zalo ZNS")</f>
        <v>Zalo ZNS</v>
      </c>
      <c r="N22" s="265" t="s">
        <v>3243</v>
      </c>
      <c r="O22" s="265"/>
      <c r="P22" s="265">
        <v>1.0</v>
      </c>
      <c r="Q22" s="265">
        <v>3.0</v>
      </c>
      <c r="R22" s="265">
        <v>4.0</v>
      </c>
    </row>
    <row r="23">
      <c r="A23" s="265" t="str">
        <f>IFERROR(__xludf.DUMMYFUNCTION("""COMPUTED_VALUE"""),"312")</f>
        <v>312</v>
      </c>
      <c r="B23" s="265" t="str">
        <f>IFERROR(__xludf.DUMMYFUNCTION("""COMPUTED_VALUE"""),"Sài Gòn")</f>
        <v>Sài Gòn</v>
      </c>
      <c r="C23" s="265" t="str">
        <f>IFERROR(__xludf.DUMMYFUNCTION("""COMPUTED_VALUE"""),"Active")</f>
        <v>Active</v>
      </c>
      <c r="D23" s="265" t="str">
        <f>IFERROR(__xludf.DUMMYFUNCTION("""COMPUTED_VALUE"""),"Trang sức")</f>
        <v>Trang sức</v>
      </c>
      <c r="E23" s="265" t="str">
        <f>IFERROR(__xludf.DUMMYFUNCTION("""COMPUTED_VALUE"""),"AnhNM")</f>
        <v>AnhNM</v>
      </c>
      <c r="F23" s="265" t="str">
        <f>IFERROR(__xludf.DUMMYFUNCTION("""COMPUTED_VALUE"""),"Silver")</f>
        <v>Silver</v>
      </c>
      <c r="G23" s="265" t="str">
        <f>IFERROR(__xludf.DUMMYFUNCTION("""COMPUTED_VALUE"""),"Starter")</f>
        <v>Starter</v>
      </c>
      <c r="H23" s="265" t="str">
        <f>IFERROR(__xludf.DUMMYFUNCTION("""COMPUTED_VALUE"""),"Trả sau")</f>
        <v>Trả sau</v>
      </c>
      <c r="I23" s="265" t="str">
        <f>IFERROR(__xludf.DUMMYFUNCTION("""COMPUTED_VALUE"""),"Portal")</f>
        <v>Portal</v>
      </c>
      <c r="J23" s="265" t="str">
        <f>IFERROR(__xludf.DUMMYFUNCTION("""COMPUTED_VALUE"""),"SMS CSKH")</f>
        <v>SMS CSKH</v>
      </c>
      <c r="N23" s="265" t="s">
        <v>1242</v>
      </c>
      <c r="O23" s="265"/>
      <c r="P23" s="265"/>
      <c r="Q23" s="265">
        <v>1.0</v>
      </c>
      <c r="R23" s="265">
        <v>1.0</v>
      </c>
    </row>
    <row r="24">
      <c r="A24" s="265" t="str">
        <f>IFERROR(__xludf.DUMMYFUNCTION("""COMPUTED_VALUE"""),"312")</f>
        <v>312</v>
      </c>
      <c r="B24" s="265" t="str">
        <f>IFERROR(__xludf.DUMMYFUNCTION("""COMPUTED_VALUE"""),"Sài Gòn")</f>
        <v>Sài Gòn</v>
      </c>
      <c r="C24" s="265" t="str">
        <f>IFERROR(__xludf.DUMMYFUNCTION("""COMPUTED_VALUE"""),"Active")</f>
        <v>Active</v>
      </c>
      <c r="D24" s="265" t="str">
        <f>IFERROR(__xludf.DUMMYFUNCTION("""COMPUTED_VALUE"""),"Trang sức")</f>
        <v>Trang sức</v>
      </c>
      <c r="E24" s="265" t="str">
        <f>IFERROR(__xludf.DUMMYFUNCTION("""COMPUTED_VALUE"""),"AnhNM")</f>
        <v>AnhNM</v>
      </c>
      <c r="F24" s="265" t="str">
        <f>IFERROR(__xludf.DUMMYFUNCTION("""COMPUTED_VALUE"""),"Silver")</f>
        <v>Silver</v>
      </c>
      <c r="G24" s="265" t="str">
        <f>IFERROR(__xludf.DUMMYFUNCTION("""COMPUTED_VALUE"""),"Starter")</f>
        <v>Starter</v>
      </c>
      <c r="H24" s="265" t="str">
        <f>IFERROR(__xludf.DUMMYFUNCTION("""COMPUTED_VALUE"""),"Trả sau")</f>
        <v>Trả sau</v>
      </c>
      <c r="I24" s="265" t="str">
        <f>IFERROR(__xludf.DUMMYFUNCTION("""COMPUTED_VALUE"""),"Portal")</f>
        <v>Portal</v>
      </c>
      <c r="J24" s="265" t="str">
        <f>IFERROR(__xludf.DUMMYFUNCTION("""COMPUTED_VALUE"""),"SMS QC")</f>
        <v>SMS QC</v>
      </c>
      <c r="N24" s="265" t="s">
        <v>3230</v>
      </c>
      <c r="O24" s="265"/>
      <c r="P24" s="265">
        <v>11.0</v>
      </c>
      <c r="Q24" s="265">
        <v>4.0</v>
      </c>
      <c r="R24" s="265">
        <v>15.0</v>
      </c>
    </row>
    <row r="25">
      <c r="A25" s="265" t="str">
        <f>IFERROR(__xludf.DUMMYFUNCTION("""COMPUTED_VALUE"""),"312")</f>
        <v>312</v>
      </c>
      <c r="B25" s="265" t="str">
        <f>IFERROR(__xludf.DUMMYFUNCTION("""COMPUTED_VALUE"""),"Sài Gòn")</f>
        <v>Sài Gòn</v>
      </c>
      <c r="C25" s="265" t="str">
        <f>IFERROR(__xludf.DUMMYFUNCTION("""COMPUTED_VALUE"""),"Active")</f>
        <v>Active</v>
      </c>
      <c r="D25" s="265" t="str">
        <f>IFERROR(__xludf.DUMMYFUNCTION("""COMPUTED_VALUE"""),"Trang sức")</f>
        <v>Trang sức</v>
      </c>
      <c r="E25" s="265" t="str">
        <f>IFERROR(__xludf.DUMMYFUNCTION("""COMPUTED_VALUE"""),"AnhNM")</f>
        <v>AnhNM</v>
      </c>
      <c r="F25" s="265" t="str">
        <f>IFERROR(__xludf.DUMMYFUNCTION("""COMPUTED_VALUE"""),"Silver")</f>
        <v>Silver</v>
      </c>
      <c r="G25" s="265" t="str">
        <f>IFERROR(__xludf.DUMMYFUNCTION("""COMPUTED_VALUE"""),"Starter")</f>
        <v>Starter</v>
      </c>
      <c r="H25" s="265" t="str">
        <f>IFERROR(__xludf.DUMMYFUNCTION("""COMPUTED_VALUE"""),"Trả sau")</f>
        <v>Trả sau</v>
      </c>
      <c r="I25" s="265" t="str">
        <f>IFERROR(__xludf.DUMMYFUNCTION("""COMPUTED_VALUE"""),"Portal")</f>
        <v>Portal</v>
      </c>
      <c r="J25" s="265" t="str">
        <f>IFERROR(__xludf.DUMMYFUNCTION("""COMPUTED_VALUE"""),"Zalo ZNS")</f>
        <v>Zalo ZNS</v>
      </c>
      <c r="N25" s="265" t="s">
        <v>181</v>
      </c>
      <c r="O25" s="265"/>
      <c r="P25" s="265">
        <v>142.0</v>
      </c>
      <c r="Q25" s="265">
        <v>144.0</v>
      </c>
      <c r="R25" s="265">
        <v>286.0</v>
      </c>
    </row>
    <row r="26">
      <c r="A26" s="265" t="str">
        <f>IFERROR(__xludf.DUMMYFUNCTION("""COMPUTED_VALUE"""),"314")</f>
        <v>314</v>
      </c>
      <c r="B26" s="265" t="str">
        <f>IFERROR(__xludf.DUMMYFUNCTION("""COMPUTED_VALUE"""),"Sài Gòn")</f>
        <v>Sài Gòn</v>
      </c>
      <c r="C26" s="265" t="str">
        <f>IFERROR(__xludf.DUMMYFUNCTION("""COMPUTED_VALUE"""),"Locked")</f>
        <v>Locked</v>
      </c>
      <c r="D26" s="265" t="str">
        <f>IFERROR(__xludf.DUMMYFUNCTION("""COMPUTED_VALUE"""),"Sale chưa cung cấp")</f>
        <v>Sale chưa cung cấp</v>
      </c>
      <c r="E26" s="265" t="str">
        <f>IFERROR(__xludf.DUMMYFUNCTION("""COMPUTED_VALUE"""),"PhươngDTB")</f>
        <v>PhươngDTB</v>
      </c>
      <c r="F26" s="265" t="str">
        <f>IFERROR(__xludf.DUMMYFUNCTION("""COMPUTED_VALUE"""),"Sale chưa cung cấp")</f>
        <v>Sale chưa cung cấp</v>
      </c>
      <c r="G26" s="265" t="str">
        <f>IFERROR(__xludf.DUMMYFUNCTION("""COMPUTED_VALUE"""),"API")</f>
        <v>API</v>
      </c>
      <c r="H26" s="265" t="str">
        <f>IFERROR(__xludf.DUMMYFUNCTION("""COMPUTED_VALUE"""),"(Chưa recheck)")</f>
        <v>(Chưa recheck)</v>
      </c>
      <c r="I26" s="265" t="str">
        <f>IFERROR(__xludf.DUMMYFUNCTION("""COMPUTED_VALUE"""),"(Chưa recheck)")</f>
        <v>(Chưa recheck)</v>
      </c>
      <c r="J26" s="265" t="str">
        <f>IFERROR(__xludf.DUMMYFUNCTION("""COMPUTED_VALUE"""),"(Chưa recheck)")</f>
        <v>(Chưa recheck)</v>
      </c>
      <c r="N26" s="265" t="s">
        <v>4434</v>
      </c>
      <c r="O26" s="265">
        <v>0.0</v>
      </c>
      <c r="P26" s="265">
        <v>226.0</v>
      </c>
      <c r="Q26" s="265">
        <v>467.0</v>
      </c>
      <c r="R26" s="265">
        <v>693.0</v>
      </c>
    </row>
    <row r="27">
      <c r="A27" s="265" t="str">
        <f>IFERROR(__xludf.DUMMYFUNCTION("""COMPUTED_VALUE"""),"321")</f>
        <v>321</v>
      </c>
      <c r="B27" s="265" t="str">
        <f>IFERROR(__xludf.DUMMYFUNCTION("""COMPUTED_VALUE"""),"Sài Gòn")</f>
        <v>Sài Gòn</v>
      </c>
      <c r="C27" s="265" t="str">
        <f>IFERROR(__xludf.DUMMYFUNCTION("""COMPUTED_VALUE"""),"Locked")</f>
        <v>Locked</v>
      </c>
      <c r="D27" s="265" t="str">
        <f>IFERROR(__xludf.DUMMYFUNCTION("""COMPUTED_VALUE"""),"Sale chưa cung cấp")</f>
        <v>Sale chưa cung cấp</v>
      </c>
      <c r="E27" s="265" t="str">
        <f>IFERROR(__xludf.DUMMYFUNCTION("""COMPUTED_VALUE"""),"HoaNTM")</f>
        <v>HoaNTM</v>
      </c>
      <c r="F27" s="265" t="str">
        <f>IFERROR(__xludf.DUMMYFUNCTION("""COMPUTED_VALUE"""),"Bronze")</f>
        <v>Bronze</v>
      </c>
      <c r="G27" s="265" t="str">
        <f>IFERROR(__xludf.DUMMYFUNCTION("""COMPUTED_VALUE"""),"API")</f>
        <v>API</v>
      </c>
      <c r="H27" s="265" t="str">
        <f>IFERROR(__xludf.DUMMYFUNCTION("""COMPUTED_VALUE"""),"(Chưa recheck)")</f>
        <v>(Chưa recheck)</v>
      </c>
      <c r="I27" s="265" t="str">
        <f>IFERROR(__xludf.DUMMYFUNCTION("""COMPUTED_VALUE"""),"(Chưa recheck)")</f>
        <v>(Chưa recheck)</v>
      </c>
      <c r="J27" s="265" t="str">
        <f>IFERROR(__xludf.DUMMYFUNCTION("""COMPUTED_VALUE"""),"(Chưa recheck)")</f>
        <v>(Chưa recheck)</v>
      </c>
    </row>
    <row r="28">
      <c r="A28" s="265" t="str">
        <f>IFERROR(__xludf.DUMMYFUNCTION("""COMPUTED_VALUE"""),"None 1")</f>
        <v>None 1</v>
      </c>
      <c r="B28" s="265" t="str">
        <f>IFERROR(__xludf.DUMMYFUNCTION("""COMPUTED_VALUE"""),"Hà Nội")</f>
        <v>Hà Nội</v>
      </c>
      <c r="C28" s="265" t="str">
        <f>IFERROR(__xludf.DUMMYFUNCTION("""COMPUTED_VALUE"""),"Locked")</f>
        <v>Locked</v>
      </c>
      <c r="D28" s="265" t="str">
        <f>IFERROR(__xludf.DUMMYFUNCTION("""COMPUTED_VALUE"""),"Sale chưa cung cấp")</f>
        <v>Sale chưa cung cấp</v>
      </c>
      <c r="E28" s="265" t="str">
        <f>IFERROR(__xludf.DUMMYFUNCTION("""COMPUTED_VALUE"""),"HangNT")</f>
        <v>HangNT</v>
      </c>
      <c r="F28" s="265" t="str">
        <f>IFERROR(__xludf.DUMMYFUNCTION("""COMPUTED_VALUE"""),"Sale chưa cung cấp")</f>
        <v>Sale chưa cung cấp</v>
      </c>
      <c r="G28" s="265" t="str">
        <f>IFERROR(__xludf.DUMMYFUNCTION("""COMPUTED_VALUE"""),"GAPONE HUBSPOT")</f>
        <v>GAPONE HUBSPOT</v>
      </c>
      <c r="H28" s="265" t="str">
        <f>IFERROR(__xludf.DUMMYFUNCTION("""COMPUTED_VALUE"""),"(Chưa recheck)")</f>
        <v>(Chưa recheck)</v>
      </c>
      <c r="I28" s="265" t="str">
        <f>IFERROR(__xludf.DUMMYFUNCTION("""COMPUTED_VALUE"""),"(Chưa recheck)")</f>
        <v>(Chưa recheck)</v>
      </c>
      <c r="J28" s="265" t="str">
        <f>IFERROR(__xludf.DUMMYFUNCTION("""COMPUTED_VALUE"""),"(Chưa recheck)")</f>
        <v>(Chưa recheck)</v>
      </c>
    </row>
    <row r="29">
      <c r="A29" s="265" t="str">
        <f>IFERROR(__xludf.DUMMYFUNCTION("""COMPUTED_VALUE"""),"324")</f>
        <v>324</v>
      </c>
      <c r="B29" s="265" t="str">
        <f>IFERROR(__xludf.DUMMYFUNCTION("""COMPUTED_VALUE"""),"Hà Nội")</f>
        <v>Hà Nội</v>
      </c>
      <c r="C29" s="265" t="str">
        <f>IFERROR(__xludf.DUMMYFUNCTION("""COMPUTED_VALUE"""),"Active")</f>
        <v>Active</v>
      </c>
      <c r="D29" s="265" t="str">
        <f>IFERROR(__xludf.DUMMYFUNCTION("""COMPUTED_VALUE"""),"Sale chưa cung cấp")</f>
        <v>Sale chưa cung cấp</v>
      </c>
      <c r="E29" s="265" t="str">
        <f>IFERROR(__xludf.DUMMYFUNCTION("""COMPUTED_VALUE"""),"TúPHN")</f>
        <v>TúPHN</v>
      </c>
      <c r="F29" s="265" t="str">
        <f>IFERROR(__xludf.DUMMYFUNCTION("""COMPUTED_VALUE"""),"Gold")</f>
        <v>Gold</v>
      </c>
      <c r="G29" s="265" t="str">
        <f>IFERROR(__xludf.DUMMYFUNCTION("""COMPUTED_VALUE"""),"Enterprise")</f>
        <v>Enterprise</v>
      </c>
      <c r="H29" s="265" t="str">
        <f>IFERROR(__xludf.DUMMYFUNCTION("""COMPUTED_VALUE"""),"Trả sau")</f>
        <v>Trả sau</v>
      </c>
      <c r="I29" s="265" t="str">
        <f>IFERROR(__xludf.DUMMYFUNCTION("""COMPUTED_VALUE"""),"API")</f>
        <v>API</v>
      </c>
      <c r="J29" s="265" t="str">
        <f>IFERROR(__xludf.DUMMYFUNCTION("""COMPUTED_VALUE"""),"SMS CSKH")</f>
        <v>SMS CSKH</v>
      </c>
    </row>
    <row r="30">
      <c r="A30" s="265" t="str">
        <f>IFERROR(__xludf.DUMMYFUNCTION("""COMPUTED_VALUE"""),"324")</f>
        <v>324</v>
      </c>
      <c r="B30" s="265" t="str">
        <f>IFERROR(__xludf.DUMMYFUNCTION("""COMPUTED_VALUE"""),"Hà Nội")</f>
        <v>Hà Nội</v>
      </c>
      <c r="C30" s="265" t="str">
        <f>IFERROR(__xludf.DUMMYFUNCTION("""COMPUTED_VALUE"""),"Active")</f>
        <v>Active</v>
      </c>
      <c r="D30" s="265" t="str">
        <f>IFERROR(__xludf.DUMMYFUNCTION("""COMPUTED_VALUE"""),"Sale chưa cung cấp")</f>
        <v>Sale chưa cung cấp</v>
      </c>
      <c r="E30" s="265" t="str">
        <f>IFERROR(__xludf.DUMMYFUNCTION("""COMPUTED_VALUE"""),"TúPHN")</f>
        <v>TúPHN</v>
      </c>
      <c r="F30" s="265" t="str">
        <f>IFERROR(__xludf.DUMMYFUNCTION("""COMPUTED_VALUE"""),"Gold")</f>
        <v>Gold</v>
      </c>
      <c r="G30" s="265" t="str">
        <f>IFERROR(__xludf.DUMMYFUNCTION("""COMPUTED_VALUE"""),"Enterprise")</f>
        <v>Enterprise</v>
      </c>
      <c r="H30" s="265" t="str">
        <f>IFERROR(__xludf.DUMMYFUNCTION("""COMPUTED_VALUE"""),"Trả sau")</f>
        <v>Trả sau</v>
      </c>
      <c r="I30" s="265" t="str">
        <f>IFERROR(__xludf.DUMMYFUNCTION("""COMPUTED_VALUE"""),"API")</f>
        <v>API</v>
      </c>
      <c r="J30" s="265" t="str">
        <f>IFERROR(__xludf.DUMMYFUNCTION("""COMPUTED_VALUE"""),"Zalo ZNS")</f>
        <v>Zalo ZNS</v>
      </c>
    </row>
    <row r="31">
      <c r="A31" s="265" t="str">
        <f>IFERROR(__xludf.DUMMYFUNCTION("""COMPUTED_VALUE"""),"327")</f>
        <v>327</v>
      </c>
      <c r="B31" s="265" t="str">
        <f>IFERROR(__xludf.DUMMYFUNCTION("""COMPUTED_VALUE"""),"Đà Nẵng")</f>
        <v>Đà Nẵng</v>
      </c>
      <c r="C31" s="265" t="str">
        <f>IFERROR(__xludf.DUMMYFUNCTION("""COMPUTED_VALUE"""),"Active")</f>
        <v>Active</v>
      </c>
      <c r="D31" s="265" t="str">
        <f>IFERROR(__xludf.DUMMYFUNCTION("""COMPUTED_VALUE"""),"Sale chưa cung cấp")</f>
        <v>Sale chưa cung cấp</v>
      </c>
      <c r="E31" s="265" t="str">
        <f>IFERROR(__xludf.DUMMYFUNCTION("""COMPUTED_VALUE"""),"TùngLD")</f>
        <v>TùngLD</v>
      </c>
      <c r="F31" s="265" t="str">
        <f>IFERROR(__xludf.DUMMYFUNCTION("""COMPUTED_VALUE"""),"Silver")</f>
        <v>Silver</v>
      </c>
      <c r="G31" s="265" t="str">
        <f>IFERROR(__xludf.DUMMYFUNCTION("""COMPUTED_VALUE"""),"Starter")</f>
        <v>Starter</v>
      </c>
      <c r="H31" s="265" t="str">
        <f>IFERROR(__xludf.DUMMYFUNCTION("""COMPUTED_VALUE"""),"Trả trước")</f>
        <v>Trả trước</v>
      </c>
      <c r="I31" s="265" t="str">
        <f>IFERROR(__xludf.DUMMYFUNCTION("""COMPUTED_VALUE"""),"API")</f>
        <v>API</v>
      </c>
      <c r="J31" s="265" t="str">
        <f>IFERROR(__xludf.DUMMYFUNCTION("""COMPUTED_VALUE"""),"Zalo ZNS")</f>
        <v>Zalo ZNS</v>
      </c>
    </row>
    <row r="32">
      <c r="A32" s="265" t="str">
        <f>IFERROR(__xludf.DUMMYFUNCTION("""COMPUTED_VALUE"""),"None 3")</f>
        <v>None 3</v>
      </c>
      <c r="B32" s="265" t="str">
        <f>IFERROR(__xludf.DUMMYFUNCTION("""COMPUTED_VALUE"""),"Hà Nội")</f>
        <v>Hà Nội</v>
      </c>
      <c r="C32" s="265" t="str">
        <f>IFERROR(__xludf.DUMMYFUNCTION("""COMPUTED_VALUE"""),"Locked")</f>
        <v>Locked</v>
      </c>
      <c r="D32" s="265" t="str">
        <f>IFERROR(__xludf.DUMMYFUNCTION("""COMPUTED_VALUE"""),"Viễn thông")</f>
        <v>Viễn thông</v>
      </c>
      <c r="E32" s="265" t="str">
        <f>IFERROR(__xludf.DUMMYFUNCTION("""COMPUTED_VALUE"""),"TúPHN")</f>
        <v>TúPHN</v>
      </c>
      <c r="F32" s="265" t="str">
        <f>IFERROR(__xludf.DUMMYFUNCTION("""COMPUTED_VALUE"""),"Silver")</f>
        <v>Silver</v>
      </c>
      <c r="G32" s="265" t="str">
        <f>IFERROR(__xludf.DUMMYFUNCTION("""COMPUTED_VALUE"""),"None")</f>
        <v>None</v>
      </c>
      <c r="H32" s="265" t="str">
        <f>IFERROR(__xludf.DUMMYFUNCTION("""COMPUTED_VALUE"""),"Trả sau")</f>
        <v>Trả sau</v>
      </c>
      <c r="I32" s="265" t="str">
        <f>IFERROR(__xludf.DUMMYFUNCTION("""COMPUTED_VALUE"""),"API")</f>
        <v>API</v>
      </c>
      <c r="J32" s="265" t="str">
        <f>IFERROR(__xludf.DUMMYFUNCTION("""COMPUTED_VALUE"""),"Zalo ZNS")</f>
        <v>Zalo ZNS</v>
      </c>
    </row>
    <row r="33">
      <c r="A33" s="265" t="str">
        <f>IFERROR(__xludf.DUMMYFUNCTION("""COMPUTED_VALUE"""),"331")</f>
        <v>331</v>
      </c>
      <c r="B33" s="265" t="str">
        <f>IFERROR(__xludf.DUMMYFUNCTION("""COMPUTED_VALUE"""),"Hà Nội")</f>
        <v>Hà Nội</v>
      </c>
      <c r="C33" s="265" t="str">
        <f>IFERROR(__xludf.DUMMYFUNCTION("""COMPUTED_VALUE"""),"Active")</f>
        <v>Active</v>
      </c>
      <c r="D33" s="265" t="str">
        <f>IFERROR(__xludf.DUMMYFUNCTION("""COMPUTED_VALUE"""),"Sale chưa cung cấp")</f>
        <v>Sale chưa cung cấp</v>
      </c>
      <c r="E33" s="265" t="str">
        <f>IFERROR(__xludf.DUMMYFUNCTION("""COMPUTED_VALUE"""),"TúPHN")</f>
        <v>TúPHN</v>
      </c>
      <c r="F33" s="265" t="str">
        <f>IFERROR(__xludf.DUMMYFUNCTION("""COMPUTED_VALUE"""),"Diamond")</f>
        <v>Diamond</v>
      </c>
      <c r="G33" s="265" t="str">
        <f>IFERROR(__xludf.DUMMYFUNCTION("""COMPUTED_VALUE"""),"Enterprise")</f>
        <v>Enterprise</v>
      </c>
      <c r="H33" s="265" t="str">
        <f>IFERROR(__xludf.DUMMYFUNCTION("""COMPUTED_VALUE"""),"Trả sau")</f>
        <v>Trả sau</v>
      </c>
      <c r="I33" s="265" t="str">
        <f>IFERROR(__xludf.DUMMYFUNCTION("""COMPUTED_VALUE"""),"API &amp; Portal")</f>
        <v>API &amp; Portal</v>
      </c>
      <c r="J33" s="265" t="str">
        <f>IFERROR(__xludf.DUMMYFUNCTION("""COMPUTED_VALUE"""),"SMS CSKH")</f>
        <v>SMS CSKH</v>
      </c>
    </row>
    <row r="34">
      <c r="A34" s="265" t="str">
        <f>IFERROR(__xludf.DUMMYFUNCTION("""COMPUTED_VALUE"""),"331")</f>
        <v>331</v>
      </c>
      <c r="B34" s="265" t="str">
        <f>IFERROR(__xludf.DUMMYFUNCTION("""COMPUTED_VALUE"""),"Hà Nội")</f>
        <v>Hà Nội</v>
      </c>
      <c r="C34" s="265" t="str">
        <f>IFERROR(__xludf.DUMMYFUNCTION("""COMPUTED_VALUE"""),"Active")</f>
        <v>Active</v>
      </c>
      <c r="D34" s="265" t="str">
        <f>IFERROR(__xludf.DUMMYFUNCTION("""COMPUTED_VALUE"""),"Sale chưa cung cấp")</f>
        <v>Sale chưa cung cấp</v>
      </c>
      <c r="E34" s="265" t="str">
        <f>IFERROR(__xludf.DUMMYFUNCTION("""COMPUTED_VALUE"""),"TúPHN")</f>
        <v>TúPHN</v>
      </c>
      <c r="F34" s="265" t="str">
        <f>IFERROR(__xludf.DUMMYFUNCTION("""COMPUTED_VALUE"""),"Diamond")</f>
        <v>Diamond</v>
      </c>
      <c r="G34" s="265" t="str">
        <f>IFERROR(__xludf.DUMMYFUNCTION("""COMPUTED_VALUE"""),"Enterprise")</f>
        <v>Enterprise</v>
      </c>
      <c r="H34" s="265" t="str">
        <f>IFERROR(__xludf.DUMMYFUNCTION("""COMPUTED_VALUE"""),"Trả sau")</f>
        <v>Trả sau</v>
      </c>
      <c r="I34" s="265" t="str">
        <f>IFERROR(__xludf.DUMMYFUNCTION("""COMPUTED_VALUE"""),"API &amp; Portal")</f>
        <v>API &amp; Portal</v>
      </c>
      <c r="J34" s="265" t="str">
        <f>IFERROR(__xludf.DUMMYFUNCTION("""COMPUTED_VALUE"""),"SMS QC")</f>
        <v>SMS QC</v>
      </c>
    </row>
    <row r="35">
      <c r="A35" s="265" t="str">
        <f>IFERROR(__xludf.DUMMYFUNCTION("""COMPUTED_VALUE"""),"331")</f>
        <v>331</v>
      </c>
      <c r="B35" s="265" t="str">
        <f>IFERROR(__xludf.DUMMYFUNCTION("""COMPUTED_VALUE"""),"Hà Nội")</f>
        <v>Hà Nội</v>
      </c>
      <c r="C35" s="265" t="str">
        <f>IFERROR(__xludf.DUMMYFUNCTION("""COMPUTED_VALUE"""),"Active")</f>
        <v>Active</v>
      </c>
      <c r="D35" s="265" t="str">
        <f>IFERROR(__xludf.DUMMYFUNCTION("""COMPUTED_VALUE"""),"Sale chưa cung cấp")</f>
        <v>Sale chưa cung cấp</v>
      </c>
      <c r="E35" s="265" t="str">
        <f>IFERROR(__xludf.DUMMYFUNCTION("""COMPUTED_VALUE"""),"TúPHN")</f>
        <v>TúPHN</v>
      </c>
      <c r="F35" s="265" t="str">
        <f>IFERROR(__xludf.DUMMYFUNCTION("""COMPUTED_VALUE"""),"Diamond")</f>
        <v>Diamond</v>
      </c>
      <c r="G35" s="265" t="str">
        <f>IFERROR(__xludf.DUMMYFUNCTION("""COMPUTED_VALUE"""),"Enterprise")</f>
        <v>Enterprise</v>
      </c>
      <c r="H35" s="265" t="str">
        <f>IFERROR(__xludf.DUMMYFUNCTION("""COMPUTED_VALUE"""),"Trả sau")</f>
        <v>Trả sau</v>
      </c>
      <c r="I35" s="265" t="str">
        <f>IFERROR(__xludf.DUMMYFUNCTION("""COMPUTED_VALUE"""),"API &amp; Portal")</f>
        <v>API &amp; Portal</v>
      </c>
      <c r="J35" s="265" t="str">
        <f>IFERROR(__xludf.DUMMYFUNCTION("""COMPUTED_VALUE"""),"Zalo ZNS")</f>
        <v>Zalo ZNS</v>
      </c>
    </row>
    <row r="36">
      <c r="A36" s="265" t="str">
        <f>IFERROR(__xludf.DUMMYFUNCTION("""COMPUTED_VALUE"""),"332")</f>
        <v>332</v>
      </c>
      <c r="B36" s="265" t="str">
        <f>IFERROR(__xludf.DUMMYFUNCTION("""COMPUTED_VALUE"""),"Hà Nội")</f>
        <v>Hà Nội</v>
      </c>
      <c r="C36" s="265" t="str">
        <f>IFERROR(__xludf.DUMMYFUNCTION("""COMPUTED_VALUE"""),"Locked")</f>
        <v>Locked</v>
      </c>
      <c r="D36" s="265" t="str">
        <f>IFERROR(__xludf.DUMMYFUNCTION("""COMPUTED_VALUE"""),"Sale chưa cung cấp")</f>
        <v>Sale chưa cung cấp</v>
      </c>
      <c r="E36" s="265" t="str">
        <f>IFERROR(__xludf.DUMMYFUNCTION("""COMPUTED_VALUE"""),"PhươngDTB")</f>
        <v>PhươngDTB</v>
      </c>
      <c r="F36" s="265" t="str">
        <f>IFERROR(__xludf.DUMMYFUNCTION("""COMPUTED_VALUE"""),"Sale chưa cung cấp")</f>
        <v>Sale chưa cung cấp</v>
      </c>
      <c r="G36" s="265" t="str">
        <f>IFERROR(__xludf.DUMMYFUNCTION("""COMPUTED_VALUE"""),"Enterprise")</f>
        <v>Enterprise</v>
      </c>
      <c r="H36" s="265" t="str">
        <f>IFERROR(__xludf.DUMMYFUNCTION("""COMPUTED_VALUE"""),"Trial")</f>
        <v>Trial</v>
      </c>
      <c r="I36" s="265" t="str">
        <f>IFERROR(__xludf.DUMMYFUNCTION("""COMPUTED_VALUE"""),"(Chưa recheck)")</f>
        <v>(Chưa recheck)</v>
      </c>
      <c r="J36" s="265" t="str">
        <f>IFERROR(__xludf.DUMMYFUNCTION("""COMPUTED_VALUE"""),"(Chưa recheck)")</f>
        <v>(Chưa recheck)</v>
      </c>
    </row>
    <row r="37">
      <c r="A37" s="265" t="str">
        <f>IFERROR(__xludf.DUMMYFUNCTION("""COMPUTED_VALUE"""),"344")</f>
        <v>344</v>
      </c>
      <c r="B37" s="265" t="str">
        <f>IFERROR(__xludf.DUMMYFUNCTION("""COMPUTED_VALUE"""),"Hà Nội")</f>
        <v>Hà Nội</v>
      </c>
      <c r="C37" s="265" t="str">
        <f>IFERROR(__xludf.DUMMYFUNCTION("""COMPUTED_VALUE"""),"Locked")</f>
        <v>Locked</v>
      </c>
      <c r="D37" s="265" t="str">
        <f>IFERROR(__xludf.DUMMYFUNCTION("""COMPUTED_VALUE"""),"Sale chưa cung cấp")</f>
        <v>Sale chưa cung cấp</v>
      </c>
      <c r="E37" s="265" t="str">
        <f>IFERROR(__xludf.DUMMYFUNCTION("""COMPUTED_VALUE"""),"TùngLD")</f>
        <v>TùngLD</v>
      </c>
      <c r="F37" s="265" t="str">
        <f>IFERROR(__xludf.DUMMYFUNCTION("""COMPUTED_VALUE"""),"Sale chưa cung cấp")</f>
        <v>Sale chưa cung cấp</v>
      </c>
      <c r="G37" s="265" t="str">
        <f>IFERROR(__xludf.DUMMYFUNCTION("""COMPUTED_VALUE"""),"Enterprise")</f>
        <v>Enterprise</v>
      </c>
      <c r="H37" s="265" t="str">
        <f>IFERROR(__xludf.DUMMYFUNCTION("""COMPUTED_VALUE"""),"Trả sau")</f>
        <v>Trả sau</v>
      </c>
      <c r="I37" s="265" t="str">
        <f>IFERROR(__xludf.DUMMYFUNCTION("""COMPUTED_VALUE"""),"API &amp; Portal")</f>
        <v>API &amp; Portal</v>
      </c>
      <c r="J37" s="265" t="str">
        <f>IFERROR(__xludf.DUMMYFUNCTION("""COMPUTED_VALUE"""),"Tất cả")</f>
        <v>Tất cả</v>
      </c>
    </row>
    <row r="38">
      <c r="A38" s="265" t="str">
        <f>IFERROR(__xludf.DUMMYFUNCTION("""COMPUTED_VALUE"""),"346")</f>
        <v>346</v>
      </c>
      <c r="B38" s="265" t="str">
        <f>IFERROR(__xludf.DUMMYFUNCTION("""COMPUTED_VALUE"""),"Hà Nội")</f>
        <v>Hà Nội</v>
      </c>
      <c r="C38" s="265" t="str">
        <f>IFERROR(__xludf.DUMMYFUNCTION("""COMPUTED_VALUE"""),"Active")</f>
        <v>Active</v>
      </c>
      <c r="D38" s="265" t="str">
        <f>IFERROR(__xludf.DUMMYFUNCTION("""COMPUTED_VALUE"""),"Sale chưa cung cấp")</f>
        <v>Sale chưa cung cấp</v>
      </c>
      <c r="E38" s="265" t="str">
        <f>IFERROR(__xludf.DUMMYFUNCTION("""COMPUTED_VALUE"""),"Không phân công")</f>
        <v>Không phân công</v>
      </c>
      <c r="F38" s="265" t="str">
        <f>IFERROR(__xludf.DUMMYFUNCTION("""COMPUTED_VALUE"""),"Sale chưa cung cấp")</f>
        <v>Sale chưa cung cấp</v>
      </c>
      <c r="G38" s="265" t="str">
        <f>IFERROR(__xludf.DUMMYFUNCTION("""COMPUTED_VALUE"""),"API")</f>
        <v>API</v>
      </c>
      <c r="H38" s="265" t="str">
        <f>IFERROR(__xludf.DUMMYFUNCTION("""COMPUTED_VALUE"""),"Trả sau")</f>
        <v>Trả sau</v>
      </c>
      <c r="I38" s="265" t="str">
        <f>IFERROR(__xludf.DUMMYFUNCTION("""COMPUTED_VALUE"""),"API")</f>
        <v>API</v>
      </c>
      <c r="J38" s="265" t="str">
        <f>IFERROR(__xludf.DUMMYFUNCTION("""COMPUTED_VALUE"""),"SMS CSKH")</f>
        <v>SMS CSKH</v>
      </c>
    </row>
    <row r="39">
      <c r="A39" s="265" t="str">
        <f>IFERROR(__xludf.DUMMYFUNCTION("""COMPUTED_VALUE"""),"347")</f>
        <v>347</v>
      </c>
      <c r="B39" s="265" t="str">
        <f>IFERROR(__xludf.DUMMYFUNCTION("""COMPUTED_VALUE"""),"Sài Gòn")</f>
        <v>Sài Gòn</v>
      </c>
      <c r="C39" s="265" t="str">
        <f>IFERROR(__xludf.DUMMYFUNCTION("""COMPUTED_VALUE"""),"Locked")</f>
        <v>Locked</v>
      </c>
      <c r="D39" s="265" t="str">
        <f>IFERROR(__xludf.DUMMYFUNCTION("""COMPUTED_VALUE"""),"Sale chưa cung cấp")</f>
        <v>Sale chưa cung cấp</v>
      </c>
      <c r="E39" s="265" t="str">
        <f>IFERROR(__xludf.DUMMYFUNCTION("""COMPUTED_VALUE"""),"HoaNTM")</f>
        <v>HoaNTM</v>
      </c>
      <c r="F39" s="265" t="str">
        <f>IFERROR(__xludf.DUMMYFUNCTION("""COMPUTED_VALUE"""),"Sale chưa cung cấp")</f>
        <v>Sale chưa cung cấp</v>
      </c>
      <c r="G39" s="265" t="str">
        <f>IFERROR(__xludf.DUMMYFUNCTION("""COMPUTED_VALUE"""),"API")</f>
        <v>API</v>
      </c>
      <c r="H39" s="265" t="str">
        <f>IFERROR(__xludf.DUMMYFUNCTION("""COMPUTED_VALUE"""),"(Chưa recheck)")</f>
        <v>(Chưa recheck)</v>
      </c>
      <c r="I39" s="265" t="str">
        <f>IFERROR(__xludf.DUMMYFUNCTION("""COMPUTED_VALUE"""),"(Chưa recheck)")</f>
        <v>(Chưa recheck)</v>
      </c>
      <c r="J39" s="265" t="str">
        <f>IFERROR(__xludf.DUMMYFUNCTION("""COMPUTED_VALUE"""),"(Chưa recheck)")</f>
        <v>(Chưa recheck)</v>
      </c>
    </row>
    <row r="40">
      <c r="A40" s="265" t="str">
        <f>IFERROR(__xludf.DUMMYFUNCTION("""COMPUTED_VALUE"""),"350")</f>
        <v>350</v>
      </c>
      <c r="B40" s="265" t="str">
        <f>IFERROR(__xludf.DUMMYFUNCTION("""COMPUTED_VALUE"""),"Hà Nội")</f>
        <v>Hà Nội</v>
      </c>
      <c r="C40" s="265" t="str">
        <f>IFERROR(__xludf.DUMMYFUNCTION("""COMPUTED_VALUE"""),"Locked")</f>
        <v>Locked</v>
      </c>
      <c r="D40" s="265" t="str">
        <f>IFERROR(__xludf.DUMMYFUNCTION("""COMPUTED_VALUE"""),"Tài chính &amp; Ngân hàng")</f>
        <v>Tài chính &amp; Ngân hàng</v>
      </c>
      <c r="E40" s="265" t="str">
        <f>IFERROR(__xludf.DUMMYFUNCTION("""COMPUTED_VALUE"""),"(Không recheck)")</f>
        <v>(Không recheck)</v>
      </c>
      <c r="F40" s="265" t="str">
        <f>IFERROR(__xludf.DUMMYFUNCTION("""COMPUTED_VALUE"""),"Diamond")</f>
        <v>Diamond</v>
      </c>
      <c r="G40" s="265" t="str">
        <f>IFERROR(__xludf.DUMMYFUNCTION("""COMPUTED_VALUE"""),"API")</f>
        <v>API</v>
      </c>
      <c r="H40" s="265" t="str">
        <f>IFERROR(__xludf.DUMMYFUNCTION("""COMPUTED_VALUE"""),"Trial")</f>
        <v>Trial</v>
      </c>
      <c r="I40" s="265" t="str">
        <f>IFERROR(__xludf.DUMMYFUNCTION("""COMPUTED_VALUE"""),"API")</f>
        <v>API</v>
      </c>
      <c r="J40" s="265" t="str">
        <f>IFERROR(__xludf.DUMMYFUNCTION("""COMPUTED_VALUE"""),"(Không recheck)")</f>
        <v>(Không recheck)</v>
      </c>
    </row>
    <row r="41">
      <c r="A41" s="265" t="str">
        <f>IFERROR(__xludf.DUMMYFUNCTION("""COMPUTED_VALUE"""),"351")</f>
        <v>351</v>
      </c>
      <c r="B41" s="265" t="str">
        <f>IFERROR(__xludf.DUMMYFUNCTION("""COMPUTED_VALUE"""),"Hà Nội")</f>
        <v>Hà Nội</v>
      </c>
      <c r="C41" s="265" t="str">
        <f>IFERROR(__xludf.DUMMYFUNCTION("""COMPUTED_VALUE"""),"Locked")</f>
        <v>Locked</v>
      </c>
      <c r="D41" s="265" t="str">
        <f>IFERROR(__xludf.DUMMYFUNCTION("""COMPUTED_VALUE"""),"Sale chưa cung cấp")</f>
        <v>Sale chưa cung cấp</v>
      </c>
      <c r="E41" s="265" t="str">
        <f>IFERROR(__xludf.DUMMYFUNCTION("""COMPUTED_VALUE"""),"HangNT")</f>
        <v>HangNT</v>
      </c>
      <c r="F41" s="265" t="str">
        <f>IFERROR(__xludf.DUMMYFUNCTION("""COMPUTED_VALUE"""),"Sale chưa cung cấp")</f>
        <v>Sale chưa cung cấp</v>
      </c>
      <c r="G41" s="265" t="str">
        <f>IFERROR(__xludf.DUMMYFUNCTION("""COMPUTED_VALUE"""),"Enterprise")</f>
        <v>Enterprise</v>
      </c>
      <c r="H41" s="265" t="str">
        <f>IFERROR(__xludf.DUMMYFUNCTION("""COMPUTED_VALUE"""),"(Chưa recheck)")</f>
        <v>(Chưa recheck)</v>
      </c>
      <c r="I41" s="265" t="str">
        <f>IFERROR(__xludf.DUMMYFUNCTION("""COMPUTED_VALUE"""),"(Chưa recheck)")</f>
        <v>(Chưa recheck)</v>
      </c>
      <c r="J41" s="265" t="str">
        <f>IFERROR(__xludf.DUMMYFUNCTION("""COMPUTED_VALUE"""),"(Chưa recheck)")</f>
        <v>(Chưa recheck)</v>
      </c>
    </row>
    <row r="42">
      <c r="A42" s="265" t="str">
        <f>IFERROR(__xludf.DUMMYFUNCTION("""COMPUTED_VALUE"""),"352")</f>
        <v>352</v>
      </c>
      <c r="B42" s="265" t="str">
        <f>IFERROR(__xludf.DUMMYFUNCTION("""COMPUTED_VALUE"""),"Hà Nội")</f>
        <v>Hà Nội</v>
      </c>
      <c r="C42" s="265" t="str">
        <f>IFERROR(__xludf.DUMMYFUNCTION("""COMPUTED_VALUE"""),"Locked")</f>
        <v>Locked</v>
      </c>
      <c r="D42" s="265" t="str">
        <f>IFERROR(__xludf.DUMMYFUNCTION("""COMPUTED_VALUE"""),"Sale chưa cung cấp")</f>
        <v>Sale chưa cung cấp</v>
      </c>
      <c r="E42" s="265" t="str">
        <f>IFERROR(__xludf.DUMMYFUNCTION("""COMPUTED_VALUE"""),"(Chưa recheck)")</f>
        <v>(Chưa recheck)</v>
      </c>
      <c r="F42" s="265" t="str">
        <f>IFERROR(__xludf.DUMMYFUNCTION("""COMPUTED_VALUE"""),"Sale chưa cung cấp")</f>
        <v>Sale chưa cung cấp</v>
      </c>
      <c r="G42" s="265" t="str">
        <f>IFERROR(__xludf.DUMMYFUNCTION("""COMPUTED_VALUE"""),"API")</f>
        <v>API</v>
      </c>
      <c r="H42" s="265" t="str">
        <f>IFERROR(__xludf.DUMMYFUNCTION("""COMPUTED_VALUE"""),"(Chưa recheck)")</f>
        <v>(Chưa recheck)</v>
      </c>
      <c r="I42" s="265" t="str">
        <f>IFERROR(__xludf.DUMMYFUNCTION("""COMPUTED_VALUE"""),"API")</f>
        <v>API</v>
      </c>
      <c r="J42" s="265" t="str">
        <f>IFERROR(__xludf.DUMMYFUNCTION("""COMPUTED_VALUE"""),"(Chưa recheck)")</f>
        <v>(Chưa recheck)</v>
      </c>
    </row>
    <row r="43">
      <c r="A43" s="265" t="str">
        <f>IFERROR(__xludf.DUMMYFUNCTION("""COMPUTED_VALUE"""),"353")</f>
        <v>353</v>
      </c>
      <c r="B43" s="265" t="str">
        <f>IFERROR(__xludf.DUMMYFUNCTION("""COMPUTED_VALUE"""),"Hà Nội")</f>
        <v>Hà Nội</v>
      </c>
      <c r="C43" s="265" t="str">
        <f>IFERROR(__xludf.DUMMYFUNCTION("""COMPUTED_VALUE"""),"Locked")</f>
        <v>Locked</v>
      </c>
      <c r="D43" s="265" t="str">
        <f>IFERROR(__xludf.DUMMYFUNCTION("""COMPUTED_VALUE"""),"Sale chưa cung cấp")</f>
        <v>Sale chưa cung cấp</v>
      </c>
      <c r="E43" s="265" t="str">
        <f>IFERROR(__xludf.DUMMYFUNCTION("""COMPUTED_VALUE"""),"(Không recheck)")</f>
        <v>(Không recheck)</v>
      </c>
      <c r="F43" s="265" t="str">
        <f>IFERROR(__xludf.DUMMYFUNCTION("""COMPUTED_VALUE"""),"Sale chưa cung cấp")</f>
        <v>Sale chưa cung cấp</v>
      </c>
      <c r="G43" s="265" t="str">
        <f>IFERROR(__xludf.DUMMYFUNCTION("""COMPUTED_VALUE"""),"Enterprise")</f>
        <v>Enterprise</v>
      </c>
      <c r="H43" s="265" t="str">
        <f>IFERROR(__xludf.DUMMYFUNCTION("""COMPUTED_VALUE"""),"Trial")</f>
        <v>Trial</v>
      </c>
      <c r="I43" s="265" t="str">
        <f>IFERROR(__xludf.DUMMYFUNCTION("""COMPUTED_VALUE"""),"(Không recheck)")</f>
        <v>(Không recheck)</v>
      </c>
      <c r="J43" s="265" t="str">
        <f>IFERROR(__xludf.DUMMYFUNCTION("""COMPUTED_VALUE"""),"(Không recheck)")</f>
        <v>(Không recheck)</v>
      </c>
    </row>
    <row r="44">
      <c r="A44" s="265" t="str">
        <f>IFERROR(__xludf.DUMMYFUNCTION("""COMPUTED_VALUE"""),"354")</f>
        <v>354</v>
      </c>
      <c r="B44" s="265" t="str">
        <f>IFERROR(__xludf.DUMMYFUNCTION("""COMPUTED_VALUE"""),"Sài Gòn")</f>
        <v>Sài Gòn</v>
      </c>
      <c r="C44" s="265" t="str">
        <f>IFERROR(__xludf.DUMMYFUNCTION("""COMPUTED_VALUE"""),"Locked")</f>
        <v>Locked</v>
      </c>
      <c r="D44" s="265" t="str">
        <f>IFERROR(__xludf.DUMMYFUNCTION("""COMPUTED_VALUE"""),"Sale chưa cung cấp")</f>
        <v>Sale chưa cung cấp</v>
      </c>
      <c r="E44" s="265" t="str">
        <f>IFERROR(__xludf.DUMMYFUNCTION("""COMPUTED_VALUE"""),"MaiTP")</f>
        <v>MaiTP</v>
      </c>
      <c r="F44" s="265" t="str">
        <f>IFERROR(__xludf.DUMMYFUNCTION("""COMPUTED_VALUE"""),"Sale chưa cung cấp")</f>
        <v>Sale chưa cung cấp</v>
      </c>
      <c r="G44" s="265" t="str">
        <f>IFERROR(__xludf.DUMMYFUNCTION("""COMPUTED_VALUE"""),"Enterprise")</f>
        <v>Enterprise</v>
      </c>
      <c r="H44" s="265" t="str">
        <f>IFERROR(__xludf.DUMMYFUNCTION("""COMPUTED_VALUE"""),"(Chưa recheck)")</f>
        <v>(Chưa recheck)</v>
      </c>
      <c r="I44" s="265" t="str">
        <f>IFERROR(__xludf.DUMMYFUNCTION("""COMPUTED_VALUE"""),"(Chưa recheck)")</f>
        <v>(Chưa recheck)</v>
      </c>
      <c r="J44" s="265" t="str">
        <f>IFERROR(__xludf.DUMMYFUNCTION("""COMPUTED_VALUE"""),"(Chưa recheck)")</f>
        <v>(Chưa recheck)</v>
      </c>
    </row>
    <row r="45">
      <c r="A45" s="265" t="str">
        <f>IFERROR(__xludf.DUMMYFUNCTION("""COMPUTED_VALUE"""),"355")</f>
        <v>355</v>
      </c>
      <c r="B45" s="265" t="str">
        <f>IFERROR(__xludf.DUMMYFUNCTION("""COMPUTED_VALUE"""),"Hà Nội")</f>
        <v>Hà Nội</v>
      </c>
      <c r="C45" s="265" t="str">
        <f>IFERROR(__xludf.DUMMYFUNCTION("""COMPUTED_VALUE"""),"Locked")</f>
        <v>Locked</v>
      </c>
      <c r="D45" s="265" t="str">
        <f>IFERROR(__xludf.DUMMYFUNCTION("""COMPUTED_VALUE"""),"Sale chưa cung cấp")</f>
        <v>Sale chưa cung cấp</v>
      </c>
      <c r="E45" s="265" t="str">
        <f>IFERROR(__xludf.DUMMYFUNCTION("""COMPUTED_VALUE"""),"(Không recheck)")</f>
        <v>(Không recheck)</v>
      </c>
      <c r="F45" s="265" t="str">
        <f>IFERROR(__xludf.DUMMYFUNCTION("""COMPUTED_VALUE"""),"Bronze")</f>
        <v>Bronze</v>
      </c>
      <c r="G45" s="265" t="str">
        <f>IFERROR(__xludf.DUMMYFUNCTION("""COMPUTED_VALUE"""),"MSG")</f>
        <v>MSG</v>
      </c>
      <c r="H45" s="265" t="str">
        <f>IFERROR(__xludf.DUMMYFUNCTION("""COMPUTED_VALUE"""),"Trial")</f>
        <v>Trial</v>
      </c>
      <c r="I45" s="265" t="str">
        <f>IFERROR(__xludf.DUMMYFUNCTION("""COMPUTED_VALUE"""),"Portal")</f>
        <v>Portal</v>
      </c>
      <c r="J45" s="265" t="str">
        <f>IFERROR(__xludf.DUMMYFUNCTION("""COMPUTED_VALUE"""),"(Không recheck)")</f>
        <v>(Không recheck)</v>
      </c>
    </row>
    <row r="46">
      <c r="A46" s="265" t="str">
        <f>IFERROR(__xludf.DUMMYFUNCTION("""COMPUTED_VALUE"""),"356")</f>
        <v>356</v>
      </c>
      <c r="B46" s="265" t="str">
        <f>IFERROR(__xludf.DUMMYFUNCTION("""COMPUTED_VALUE"""),"Sài Gòn")</f>
        <v>Sài Gòn</v>
      </c>
      <c r="C46" s="265" t="str">
        <f>IFERROR(__xludf.DUMMYFUNCTION("""COMPUTED_VALUE"""),"Active")</f>
        <v>Active</v>
      </c>
      <c r="D46" s="265" t="str">
        <f>IFERROR(__xludf.DUMMYFUNCTION("""COMPUTED_VALUE"""),"Sale chưa cung cấp")</f>
        <v>Sale chưa cung cấp</v>
      </c>
      <c r="E46" s="265" t="str">
        <f>IFERROR(__xludf.DUMMYFUNCTION("""COMPUTED_VALUE"""),"TúPHN")</f>
        <v>TúPHN</v>
      </c>
      <c r="F46" s="265" t="str">
        <f>IFERROR(__xludf.DUMMYFUNCTION("""COMPUTED_VALUE"""),"Gold")</f>
        <v>Gold</v>
      </c>
      <c r="G46" s="265" t="str">
        <f>IFERROR(__xludf.DUMMYFUNCTION("""COMPUTED_VALUE"""),"Standard")</f>
        <v>Standard</v>
      </c>
      <c r="H46" s="265" t="str">
        <f>IFERROR(__xludf.DUMMYFUNCTION("""COMPUTED_VALUE"""),"Trả sau")</f>
        <v>Trả sau</v>
      </c>
      <c r="I46" s="265" t="str">
        <f>IFERROR(__xludf.DUMMYFUNCTION("""COMPUTED_VALUE"""),"API &amp; Portal")</f>
        <v>API &amp; Portal</v>
      </c>
      <c r="J46" s="265" t="str">
        <f>IFERROR(__xludf.DUMMYFUNCTION("""COMPUTED_VALUE"""),"Zalo ZNS")</f>
        <v>Zalo ZNS</v>
      </c>
    </row>
    <row r="47">
      <c r="A47" s="265" t="str">
        <f>IFERROR(__xludf.DUMMYFUNCTION("""COMPUTED_VALUE"""),"359")</f>
        <v>359</v>
      </c>
      <c r="B47" s="265" t="str">
        <f>IFERROR(__xludf.DUMMYFUNCTION("""COMPUTED_VALUE"""),"Hà Nội")</f>
        <v>Hà Nội</v>
      </c>
      <c r="C47" s="265" t="str">
        <f>IFERROR(__xludf.DUMMYFUNCTION("""COMPUTED_VALUE"""),"Locked")</f>
        <v>Locked</v>
      </c>
      <c r="D47" s="265" t="str">
        <f>IFERROR(__xludf.DUMMYFUNCTION("""COMPUTED_VALUE"""),"Sale chưa cung cấp")</f>
        <v>Sale chưa cung cấp</v>
      </c>
      <c r="E47" s="265" t="str">
        <f>IFERROR(__xludf.DUMMYFUNCTION("""COMPUTED_VALUE"""),"(Không recheck)")</f>
        <v>(Không recheck)</v>
      </c>
      <c r="F47" s="265" t="str">
        <f>IFERROR(__xludf.DUMMYFUNCTION("""COMPUTED_VALUE"""),"Sale chưa cung cấp")</f>
        <v>Sale chưa cung cấp</v>
      </c>
      <c r="G47" s="265" t="str">
        <f>IFERROR(__xludf.DUMMYFUNCTION("""COMPUTED_VALUE"""),"Enterprise")</f>
        <v>Enterprise</v>
      </c>
      <c r="H47" s="265" t="str">
        <f>IFERROR(__xludf.DUMMYFUNCTION("""COMPUTED_VALUE"""),"Trial")</f>
        <v>Trial</v>
      </c>
      <c r="I47" s="265" t="str">
        <f>IFERROR(__xludf.DUMMYFUNCTION("""COMPUTED_VALUE"""),"(Không recheck)")</f>
        <v>(Không recheck)</v>
      </c>
      <c r="J47" s="265" t="str">
        <f>IFERROR(__xludf.DUMMYFUNCTION("""COMPUTED_VALUE"""),"(Không recheck)")</f>
        <v>(Không recheck)</v>
      </c>
    </row>
    <row r="48">
      <c r="A48" s="265" t="str">
        <f>IFERROR(__xludf.DUMMYFUNCTION("""COMPUTED_VALUE"""),"358")</f>
        <v>358</v>
      </c>
      <c r="B48" s="265" t="str">
        <f>IFERROR(__xludf.DUMMYFUNCTION("""COMPUTED_VALUE"""),"Sài Gòn")</f>
        <v>Sài Gòn</v>
      </c>
      <c r="C48" s="265" t="str">
        <f>IFERROR(__xludf.DUMMYFUNCTION("""COMPUTED_VALUE"""),"Locked")</f>
        <v>Locked</v>
      </c>
      <c r="D48" s="265" t="str">
        <f>IFERROR(__xludf.DUMMYFUNCTION("""COMPUTED_VALUE"""),"Sale chưa cung cấp")</f>
        <v>Sale chưa cung cấp</v>
      </c>
      <c r="E48" s="265" t="str">
        <f>IFERROR(__xludf.DUMMYFUNCTION("""COMPUTED_VALUE"""),"(Chưa recheck)")</f>
        <v>(Chưa recheck)</v>
      </c>
      <c r="F48" s="265" t="str">
        <f>IFERROR(__xludf.DUMMYFUNCTION("""COMPUTED_VALUE"""),"Sale chưa cung cấp")</f>
        <v>Sale chưa cung cấp</v>
      </c>
      <c r="G48" s="265" t="str">
        <f>IFERROR(__xludf.DUMMYFUNCTION("""COMPUTED_VALUE"""),"API")</f>
        <v>API</v>
      </c>
      <c r="H48" s="265" t="str">
        <f>IFERROR(__xludf.DUMMYFUNCTION("""COMPUTED_VALUE"""),"(Chưa recheck)")</f>
        <v>(Chưa recheck)</v>
      </c>
      <c r="I48" s="265" t="str">
        <f>IFERROR(__xludf.DUMMYFUNCTION("""COMPUTED_VALUE"""),"(Chưa recheck)")</f>
        <v>(Chưa recheck)</v>
      </c>
      <c r="J48" s="265" t="str">
        <f>IFERROR(__xludf.DUMMYFUNCTION("""COMPUTED_VALUE"""),"(Chưa recheck)")</f>
        <v>(Chưa recheck)</v>
      </c>
    </row>
    <row r="49">
      <c r="A49" s="265" t="str">
        <f>IFERROR(__xludf.DUMMYFUNCTION("""COMPUTED_VALUE"""),"357")</f>
        <v>357</v>
      </c>
      <c r="B49" s="265" t="str">
        <f>IFERROR(__xludf.DUMMYFUNCTION("""COMPUTED_VALUE"""),"Đà Nẵng")</f>
        <v>Đà Nẵng</v>
      </c>
      <c r="C49" s="265" t="str">
        <f>IFERROR(__xludf.DUMMYFUNCTION("""COMPUTED_VALUE"""),"Locked")</f>
        <v>Locked</v>
      </c>
      <c r="D49" s="265" t="str">
        <f>IFERROR(__xludf.DUMMYFUNCTION("""COMPUTED_VALUE"""),"Sale chưa cung cấp")</f>
        <v>Sale chưa cung cấp</v>
      </c>
      <c r="E49" s="265" t="str">
        <f>IFERROR(__xludf.DUMMYFUNCTION("""COMPUTED_VALUE"""),"HoaNTM")</f>
        <v>HoaNTM</v>
      </c>
      <c r="F49" s="265" t="str">
        <f>IFERROR(__xludf.DUMMYFUNCTION("""COMPUTED_VALUE"""),"Sale chưa cung cấp")</f>
        <v>Sale chưa cung cấp</v>
      </c>
      <c r="G49" s="265" t="str">
        <f>IFERROR(__xludf.DUMMYFUNCTION("""COMPUTED_VALUE"""),"API")</f>
        <v>API</v>
      </c>
      <c r="H49" s="265" t="str">
        <f>IFERROR(__xludf.DUMMYFUNCTION("""COMPUTED_VALUE"""),"(Chưa recheck)")</f>
        <v>(Chưa recheck)</v>
      </c>
      <c r="I49" s="265" t="str">
        <f>IFERROR(__xludf.DUMMYFUNCTION("""COMPUTED_VALUE"""),"(Chưa recheck)")</f>
        <v>(Chưa recheck)</v>
      </c>
      <c r="J49" s="265" t="str">
        <f>IFERROR(__xludf.DUMMYFUNCTION("""COMPUTED_VALUE"""),"GapOne")</f>
        <v>GapOne</v>
      </c>
    </row>
    <row r="50">
      <c r="A50" s="265" t="str">
        <f>IFERROR(__xludf.DUMMYFUNCTION("""COMPUTED_VALUE"""),"360")</f>
        <v>360</v>
      </c>
      <c r="B50" s="265" t="str">
        <f>IFERROR(__xludf.DUMMYFUNCTION("""COMPUTED_VALUE"""),"Hà Nội")</f>
        <v>Hà Nội</v>
      </c>
      <c r="C50" s="265" t="str">
        <f>IFERROR(__xludf.DUMMYFUNCTION("""COMPUTED_VALUE"""),"Locked")</f>
        <v>Locked</v>
      </c>
      <c r="D50" s="265" t="str">
        <f>IFERROR(__xludf.DUMMYFUNCTION("""COMPUTED_VALUE"""),"Sale chưa cung cấp")</f>
        <v>Sale chưa cung cấp</v>
      </c>
      <c r="E50" s="265" t="str">
        <f>IFERROR(__xludf.DUMMYFUNCTION("""COMPUTED_VALUE"""),"(Chưa recheck)")</f>
        <v>(Chưa recheck)</v>
      </c>
      <c r="F50" s="265" t="str">
        <f>IFERROR(__xludf.DUMMYFUNCTION("""COMPUTED_VALUE"""),"Bronze")</f>
        <v>Bronze</v>
      </c>
      <c r="G50" s="265" t="str">
        <f>IFERROR(__xludf.DUMMYFUNCTION("""COMPUTED_VALUE"""),"MSG")</f>
        <v>MSG</v>
      </c>
      <c r="H50" s="265" t="str">
        <f>IFERROR(__xludf.DUMMYFUNCTION("""COMPUTED_VALUE"""),"(Chưa recheck)")</f>
        <v>(Chưa recheck)</v>
      </c>
      <c r="I50" s="265" t="str">
        <f>IFERROR(__xludf.DUMMYFUNCTION("""COMPUTED_VALUE"""),"(Chưa recheck)")</f>
        <v>(Chưa recheck)</v>
      </c>
      <c r="J50" s="265" t="str">
        <f>IFERROR(__xludf.DUMMYFUNCTION("""COMPUTED_VALUE"""),"(Chưa recheck)")</f>
        <v>(Chưa recheck)</v>
      </c>
    </row>
    <row r="51">
      <c r="A51" s="265" t="str">
        <f>IFERROR(__xludf.DUMMYFUNCTION("""COMPUTED_VALUE"""),"362")</f>
        <v>362</v>
      </c>
      <c r="B51" s="265" t="str">
        <f>IFERROR(__xludf.DUMMYFUNCTION("""COMPUTED_VALUE"""),"Hà Nội")</f>
        <v>Hà Nội</v>
      </c>
      <c r="C51" s="265" t="str">
        <f>IFERROR(__xludf.DUMMYFUNCTION("""COMPUTED_VALUE"""),"Active")</f>
        <v>Active</v>
      </c>
      <c r="D51" s="265" t="str">
        <f>IFERROR(__xludf.DUMMYFUNCTION("""COMPUTED_VALUE"""),"Sale chưa cung cấp")</f>
        <v>Sale chưa cung cấp</v>
      </c>
      <c r="E51" s="265" t="str">
        <f>IFERROR(__xludf.DUMMYFUNCTION("""COMPUTED_VALUE"""),"AnhNM")</f>
        <v>AnhNM</v>
      </c>
      <c r="F51" s="265" t="str">
        <f>IFERROR(__xludf.DUMMYFUNCTION("""COMPUTED_VALUE"""),"Bronze")</f>
        <v>Bronze</v>
      </c>
      <c r="G51" s="265" t="str">
        <f>IFERROR(__xludf.DUMMYFUNCTION("""COMPUTED_VALUE"""),"Starter")</f>
        <v>Starter</v>
      </c>
      <c r="H51" s="265" t="str">
        <f>IFERROR(__xludf.DUMMYFUNCTION("""COMPUTED_VALUE"""),"Trả sau")</f>
        <v>Trả sau</v>
      </c>
      <c r="I51" s="265" t="str">
        <f>IFERROR(__xludf.DUMMYFUNCTION("""COMPUTED_VALUE"""),"API")</f>
        <v>API</v>
      </c>
      <c r="J51" s="265" t="str">
        <f>IFERROR(__xludf.DUMMYFUNCTION("""COMPUTED_VALUE"""),"SMS CSKH")</f>
        <v>SMS CSKH</v>
      </c>
    </row>
    <row r="52">
      <c r="A52" s="265" t="str">
        <f>IFERROR(__xludf.DUMMYFUNCTION("""COMPUTED_VALUE"""),"361")</f>
        <v>361</v>
      </c>
      <c r="B52" s="265" t="str">
        <f>IFERROR(__xludf.DUMMYFUNCTION("""COMPUTED_VALUE"""),"Hà Nội")</f>
        <v>Hà Nội</v>
      </c>
      <c r="C52" s="265" t="str">
        <f>IFERROR(__xludf.DUMMYFUNCTION("""COMPUTED_VALUE"""),"Locked")</f>
        <v>Locked</v>
      </c>
      <c r="D52" s="265" t="str">
        <f>IFERROR(__xludf.DUMMYFUNCTION("""COMPUTED_VALUE"""),"Sale chưa cung cấp")</f>
        <v>Sale chưa cung cấp</v>
      </c>
      <c r="E52" s="265" t="str">
        <f>IFERROR(__xludf.DUMMYFUNCTION("""COMPUTED_VALUE"""),"(Chưa recheck)")</f>
        <v>(Chưa recheck)</v>
      </c>
      <c r="F52" s="265" t="str">
        <f>IFERROR(__xludf.DUMMYFUNCTION("""COMPUTED_VALUE"""),"Sale chưa cung cấp")</f>
        <v>Sale chưa cung cấp</v>
      </c>
      <c r="G52" s="265" t="str">
        <f>IFERROR(__xludf.DUMMYFUNCTION("""COMPUTED_VALUE"""),"Enterprise")</f>
        <v>Enterprise</v>
      </c>
      <c r="H52" s="265" t="str">
        <f>IFERROR(__xludf.DUMMYFUNCTION("""COMPUTED_VALUE"""),"(Chưa recheck)")</f>
        <v>(Chưa recheck)</v>
      </c>
      <c r="I52" s="265" t="str">
        <f>IFERROR(__xludf.DUMMYFUNCTION("""COMPUTED_VALUE"""),"(Chưa recheck)")</f>
        <v>(Chưa recheck)</v>
      </c>
      <c r="J52" s="265" t="str">
        <f>IFERROR(__xludf.DUMMYFUNCTION("""COMPUTED_VALUE"""),"(Chưa recheck)")</f>
        <v>(Chưa recheck)</v>
      </c>
    </row>
    <row r="53">
      <c r="A53" s="265" t="str">
        <f>IFERROR(__xludf.DUMMYFUNCTION("""COMPUTED_VALUE"""),"363")</f>
        <v>363</v>
      </c>
      <c r="B53" s="265" t="str">
        <f>IFERROR(__xludf.DUMMYFUNCTION("""COMPUTED_VALUE"""),"Hà Nội")</f>
        <v>Hà Nội</v>
      </c>
      <c r="C53" s="265" t="str">
        <f>IFERROR(__xludf.DUMMYFUNCTION("""COMPUTED_VALUE"""),"Locked")</f>
        <v>Locked</v>
      </c>
      <c r="D53" s="265" t="str">
        <f>IFERROR(__xludf.DUMMYFUNCTION("""COMPUTED_VALUE"""),"Sale chưa cung cấp")</f>
        <v>Sale chưa cung cấp</v>
      </c>
      <c r="E53" s="265" t="str">
        <f>IFERROR(__xludf.DUMMYFUNCTION("""COMPUTED_VALUE"""),"NamDT")</f>
        <v>NamDT</v>
      </c>
      <c r="F53" s="265" t="str">
        <f>IFERROR(__xludf.DUMMYFUNCTION("""COMPUTED_VALUE"""),"Bronze")</f>
        <v>Bronze</v>
      </c>
      <c r="G53" s="265" t="str">
        <f>IFERROR(__xludf.DUMMYFUNCTION("""COMPUTED_VALUE"""),"MSG")</f>
        <v>MSG</v>
      </c>
      <c r="H53" s="265" t="str">
        <f>IFERROR(__xludf.DUMMYFUNCTION("""COMPUTED_VALUE"""),"(Chưa recheck)")</f>
        <v>(Chưa recheck)</v>
      </c>
      <c r="I53" s="265" t="str">
        <f>IFERROR(__xludf.DUMMYFUNCTION("""COMPUTED_VALUE"""),"(Chưa recheck)")</f>
        <v>(Chưa recheck)</v>
      </c>
      <c r="J53" s="265" t="str">
        <f>IFERROR(__xludf.DUMMYFUNCTION("""COMPUTED_VALUE"""),"(Chưa recheck)")</f>
        <v>(Chưa recheck)</v>
      </c>
    </row>
    <row r="54">
      <c r="A54" s="265" t="str">
        <f>IFERROR(__xludf.DUMMYFUNCTION("""COMPUTED_VALUE"""),"364")</f>
        <v>364</v>
      </c>
      <c r="B54" s="265" t="str">
        <f>IFERROR(__xludf.DUMMYFUNCTION("""COMPUTED_VALUE"""),"Hà Nội")</f>
        <v>Hà Nội</v>
      </c>
      <c r="C54" s="265" t="str">
        <f>IFERROR(__xludf.DUMMYFUNCTION("""COMPUTED_VALUE"""),"Locked")</f>
        <v>Locked</v>
      </c>
      <c r="D54" s="265" t="str">
        <f>IFERROR(__xludf.DUMMYFUNCTION("""COMPUTED_VALUE"""),"Sale chưa cung cấp")</f>
        <v>Sale chưa cung cấp</v>
      </c>
      <c r="E54" s="265" t="str">
        <f>IFERROR(__xludf.DUMMYFUNCTION("""COMPUTED_VALUE"""),"(Chưa recheck)")</f>
        <v>(Chưa recheck)</v>
      </c>
      <c r="F54" s="265" t="str">
        <f>IFERROR(__xludf.DUMMYFUNCTION("""COMPUTED_VALUE"""),"Bronze")</f>
        <v>Bronze</v>
      </c>
      <c r="G54" s="265" t="str">
        <f>IFERROR(__xludf.DUMMYFUNCTION("""COMPUTED_VALUE"""),"API")</f>
        <v>API</v>
      </c>
      <c r="H54" s="265" t="str">
        <f>IFERROR(__xludf.DUMMYFUNCTION("""COMPUTED_VALUE"""),"(Chưa recheck)")</f>
        <v>(Chưa recheck)</v>
      </c>
      <c r="I54" s="265" t="str">
        <f>IFERROR(__xludf.DUMMYFUNCTION("""COMPUTED_VALUE"""),"(Chưa recheck)")</f>
        <v>(Chưa recheck)</v>
      </c>
      <c r="J54" s="265" t="str">
        <f>IFERROR(__xludf.DUMMYFUNCTION("""COMPUTED_VALUE"""),"(Chưa recheck)")</f>
        <v>(Chưa recheck)</v>
      </c>
    </row>
    <row r="55">
      <c r="A55" s="265" t="str">
        <f>IFERROR(__xludf.DUMMYFUNCTION("""COMPUTED_VALUE"""),"366")</f>
        <v>366</v>
      </c>
      <c r="B55" s="265" t="str">
        <f>IFERROR(__xludf.DUMMYFUNCTION("""COMPUTED_VALUE"""),"Hà Nội")</f>
        <v>Hà Nội</v>
      </c>
      <c r="C55" s="265" t="str">
        <f>IFERROR(__xludf.DUMMYFUNCTION("""COMPUTED_VALUE"""),"Locked")</f>
        <v>Locked</v>
      </c>
      <c r="D55" s="265" t="str">
        <f>IFERROR(__xludf.DUMMYFUNCTION("""COMPUTED_VALUE"""),"Sale chưa cung cấp")</f>
        <v>Sale chưa cung cấp</v>
      </c>
      <c r="E55" s="265" t="str">
        <f>IFERROR(__xludf.DUMMYFUNCTION("""COMPUTED_VALUE"""),"(Chưa recheck)")</f>
        <v>(Chưa recheck)</v>
      </c>
      <c r="F55" s="265" t="str">
        <f>IFERROR(__xludf.DUMMYFUNCTION("""COMPUTED_VALUE"""),"Sale chưa cung cấp")</f>
        <v>Sale chưa cung cấp</v>
      </c>
      <c r="G55" s="265" t="str">
        <f>IFERROR(__xludf.DUMMYFUNCTION("""COMPUTED_VALUE"""),"API")</f>
        <v>API</v>
      </c>
      <c r="H55" s="265" t="str">
        <f>IFERROR(__xludf.DUMMYFUNCTION("""COMPUTED_VALUE"""),"(Chưa recheck)")</f>
        <v>(Chưa recheck)</v>
      </c>
      <c r="I55" s="265" t="str">
        <f>IFERROR(__xludf.DUMMYFUNCTION("""COMPUTED_VALUE"""),"(Chưa recheck)")</f>
        <v>(Chưa recheck)</v>
      </c>
      <c r="J55" s="265" t="str">
        <f>IFERROR(__xludf.DUMMYFUNCTION("""COMPUTED_VALUE"""),"(Chưa recheck)")</f>
        <v>(Chưa recheck)</v>
      </c>
    </row>
    <row r="56">
      <c r="A56" s="265" t="str">
        <f>IFERROR(__xludf.DUMMYFUNCTION("""COMPUTED_VALUE"""),"367")</f>
        <v>367</v>
      </c>
      <c r="B56" s="265" t="str">
        <f>IFERROR(__xludf.DUMMYFUNCTION("""COMPUTED_VALUE"""),"Hà Nội")</f>
        <v>Hà Nội</v>
      </c>
      <c r="C56" s="265" t="str">
        <f>IFERROR(__xludf.DUMMYFUNCTION("""COMPUTED_VALUE"""),"Locked")</f>
        <v>Locked</v>
      </c>
      <c r="D56" s="265" t="str">
        <f>IFERROR(__xludf.DUMMYFUNCTION("""COMPUTED_VALUE"""),"Sale chưa cung cấp")</f>
        <v>Sale chưa cung cấp</v>
      </c>
      <c r="E56" s="265" t="str">
        <f>IFERROR(__xludf.DUMMYFUNCTION("""COMPUTED_VALUE"""),"AnhNM")</f>
        <v>AnhNM</v>
      </c>
      <c r="F56" s="265" t="str">
        <f>IFERROR(__xludf.DUMMYFUNCTION("""COMPUTED_VALUE"""),"Sale chưa cung cấp")</f>
        <v>Sale chưa cung cấp</v>
      </c>
      <c r="G56" s="265" t="str">
        <f>IFERROR(__xludf.DUMMYFUNCTION("""COMPUTED_VALUE"""),"API")</f>
        <v>API</v>
      </c>
      <c r="H56" s="265" t="str">
        <f>IFERROR(__xludf.DUMMYFUNCTION("""COMPUTED_VALUE"""),"Trả sau")</f>
        <v>Trả sau</v>
      </c>
      <c r="I56" s="265" t="str">
        <f>IFERROR(__xludf.DUMMYFUNCTION("""COMPUTED_VALUE"""),"API")</f>
        <v>API</v>
      </c>
      <c r="J56" s="265" t="str">
        <f>IFERROR(__xludf.DUMMYFUNCTION("""COMPUTED_VALUE"""),"Zalo ZNS")</f>
        <v>Zalo ZNS</v>
      </c>
    </row>
    <row r="57">
      <c r="A57" s="265" t="str">
        <f>IFERROR(__xludf.DUMMYFUNCTION("""COMPUTED_VALUE"""),"368")</f>
        <v>368</v>
      </c>
      <c r="B57" s="265" t="str">
        <f>IFERROR(__xludf.DUMMYFUNCTION("""COMPUTED_VALUE"""),"Hà Nội")</f>
        <v>Hà Nội</v>
      </c>
      <c r="C57" s="265" t="str">
        <f>IFERROR(__xludf.DUMMYFUNCTION("""COMPUTED_VALUE"""),"Locked")</f>
        <v>Locked</v>
      </c>
      <c r="D57" s="265" t="str">
        <f>IFERROR(__xludf.DUMMYFUNCTION("""COMPUTED_VALUE"""),"Sale chưa cung cấp")</f>
        <v>Sale chưa cung cấp</v>
      </c>
      <c r="E57" s="265" t="str">
        <f>IFERROR(__xludf.DUMMYFUNCTION("""COMPUTED_VALUE"""),"(Không recheck)")</f>
        <v>(Không recheck)</v>
      </c>
      <c r="F57" s="265" t="str">
        <f>IFERROR(__xludf.DUMMYFUNCTION("""COMPUTED_VALUE"""),"Sale chưa cung cấp")</f>
        <v>Sale chưa cung cấp</v>
      </c>
      <c r="G57" s="265" t="str">
        <f>IFERROR(__xludf.DUMMYFUNCTION("""COMPUTED_VALUE"""),"Enterprise")</f>
        <v>Enterprise</v>
      </c>
      <c r="H57" s="265" t="str">
        <f>IFERROR(__xludf.DUMMYFUNCTION("""COMPUTED_VALUE"""),"Trial")</f>
        <v>Trial</v>
      </c>
      <c r="I57" s="265" t="str">
        <f>IFERROR(__xludf.DUMMYFUNCTION("""COMPUTED_VALUE"""),"(Không recheck)")</f>
        <v>(Không recheck)</v>
      </c>
      <c r="J57" s="265" t="str">
        <f>IFERROR(__xludf.DUMMYFUNCTION("""COMPUTED_VALUE"""),"(Không recheck)")</f>
        <v>(Không recheck)</v>
      </c>
    </row>
    <row r="58">
      <c r="A58" s="265" t="str">
        <f>IFERROR(__xludf.DUMMYFUNCTION("""COMPUTED_VALUE"""),"369")</f>
        <v>369</v>
      </c>
      <c r="B58" s="265" t="str">
        <f>IFERROR(__xludf.DUMMYFUNCTION("""COMPUTED_VALUE"""),"Hà Nội")</f>
        <v>Hà Nội</v>
      </c>
      <c r="C58" s="265" t="str">
        <f>IFERROR(__xludf.DUMMYFUNCTION("""COMPUTED_VALUE"""),"Active")</f>
        <v>Active</v>
      </c>
      <c r="D58" s="265" t="str">
        <f>IFERROR(__xludf.DUMMYFUNCTION("""COMPUTED_VALUE"""),"Sale chưa cung cấp")</f>
        <v>Sale chưa cung cấp</v>
      </c>
      <c r="E58" s="265" t="str">
        <f>IFERROR(__xludf.DUMMYFUNCTION("""COMPUTED_VALUE"""),"TuPHN")</f>
        <v>TuPHN</v>
      </c>
      <c r="F58" s="265" t="str">
        <f>IFERROR(__xludf.DUMMYFUNCTION("""COMPUTED_VALUE"""),"Gold")</f>
        <v>Gold</v>
      </c>
      <c r="G58" s="265" t="str">
        <f>IFERROR(__xludf.DUMMYFUNCTION("""COMPUTED_VALUE"""),"Starter")</f>
        <v>Starter</v>
      </c>
      <c r="H58" s="265" t="str">
        <f>IFERROR(__xludf.DUMMYFUNCTION("""COMPUTED_VALUE"""),"Trả sau")</f>
        <v>Trả sau</v>
      </c>
      <c r="I58" s="265" t="str">
        <f>IFERROR(__xludf.DUMMYFUNCTION("""COMPUTED_VALUE"""),"API")</f>
        <v>API</v>
      </c>
      <c r="J58" s="265" t="str">
        <f>IFERROR(__xludf.DUMMYFUNCTION("""COMPUTED_VALUE"""),"Zalo ZNS")</f>
        <v>Zalo ZNS</v>
      </c>
    </row>
    <row r="59">
      <c r="A59" s="265" t="str">
        <f>IFERROR(__xludf.DUMMYFUNCTION("""COMPUTED_VALUE"""),"370")</f>
        <v>370</v>
      </c>
      <c r="B59" s="265" t="str">
        <f>IFERROR(__xludf.DUMMYFUNCTION("""COMPUTED_VALUE"""),"Hà Nội")</f>
        <v>Hà Nội</v>
      </c>
      <c r="C59" s="265" t="str">
        <f>IFERROR(__xludf.DUMMYFUNCTION("""COMPUTED_VALUE"""),"Locked")</f>
        <v>Locked</v>
      </c>
      <c r="D59" s="265" t="str">
        <f>IFERROR(__xludf.DUMMYFUNCTION("""COMPUTED_VALUE"""),"Sale chưa cung cấp")</f>
        <v>Sale chưa cung cấp</v>
      </c>
      <c r="E59" s="265" t="str">
        <f>IFERROR(__xludf.DUMMYFUNCTION("""COMPUTED_VALUE"""),"(Chưa recheck)")</f>
        <v>(Chưa recheck)</v>
      </c>
      <c r="F59" s="265" t="str">
        <f>IFERROR(__xludf.DUMMYFUNCTION("""COMPUTED_VALUE"""),"Sale chưa cung cấp")</f>
        <v>Sale chưa cung cấp</v>
      </c>
      <c r="G59" s="265" t="str">
        <f>IFERROR(__xludf.DUMMYFUNCTION("""COMPUTED_VALUE"""),"Enterprise")</f>
        <v>Enterprise</v>
      </c>
      <c r="H59" s="265" t="str">
        <f>IFERROR(__xludf.DUMMYFUNCTION("""COMPUTED_VALUE"""),"(Chưa recheck)")</f>
        <v>(Chưa recheck)</v>
      </c>
      <c r="I59" s="265" t="str">
        <f>IFERROR(__xludf.DUMMYFUNCTION("""COMPUTED_VALUE"""),"(Chưa recheck)")</f>
        <v>(Chưa recheck)</v>
      </c>
      <c r="J59" s="265" t="str">
        <f>IFERROR(__xludf.DUMMYFUNCTION("""COMPUTED_VALUE"""),"(Chưa recheck)")</f>
        <v>(Chưa recheck)</v>
      </c>
    </row>
    <row r="60">
      <c r="A60" s="265" t="str">
        <f>IFERROR(__xludf.DUMMYFUNCTION("""COMPUTED_VALUE"""),"372")</f>
        <v>372</v>
      </c>
      <c r="B60" s="265" t="str">
        <f>IFERROR(__xludf.DUMMYFUNCTION("""COMPUTED_VALUE"""),"Hà Nội")</f>
        <v>Hà Nội</v>
      </c>
      <c r="C60" s="265" t="str">
        <f>IFERROR(__xludf.DUMMYFUNCTION("""COMPUTED_VALUE"""),"Locked")</f>
        <v>Locked</v>
      </c>
      <c r="D60" s="265" t="str">
        <f>IFERROR(__xludf.DUMMYFUNCTION("""COMPUTED_VALUE"""),"Sale chưa cung cấp")</f>
        <v>Sale chưa cung cấp</v>
      </c>
      <c r="E60" s="265" t="str">
        <f>IFERROR(__xludf.DUMMYFUNCTION("""COMPUTED_VALUE"""),"(Không recheck)")</f>
        <v>(Không recheck)</v>
      </c>
      <c r="F60" s="265" t="str">
        <f>IFERROR(__xludf.DUMMYFUNCTION("""COMPUTED_VALUE"""),"Sale chưa cung cấp")</f>
        <v>Sale chưa cung cấp</v>
      </c>
      <c r="G60" s="265" t="str">
        <f>IFERROR(__xludf.DUMMYFUNCTION("""COMPUTED_VALUE"""),"Enterprise")</f>
        <v>Enterprise</v>
      </c>
      <c r="H60" s="265" t="str">
        <f>IFERROR(__xludf.DUMMYFUNCTION("""COMPUTED_VALUE"""),"Trial")</f>
        <v>Trial</v>
      </c>
      <c r="I60" s="265" t="str">
        <f>IFERROR(__xludf.DUMMYFUNCTION("""COMPUTED_VALUE"""),"(Không recheck)")</f>
        <v>(Không recheck)</v>
      </c>
      <c r="J60" s="265" t="str">
        <f>IFERROR(__xludf.DUMMYFUNCTION("""COMPUTED_VALUE"""),"(Không recheck)")</f>
        <v>(Không recheck)</v>
      </c>
    </row>
    <row r="61">
      <c r="A61" s="265" t="str">
        <f>IFERROR(__xludf.DUMMYFUNCTION("""COMPUTED_VALUE"""),"373")</f>
        <v>373</v>
      </c>
      <c r="B61" s="265" t="str">
        <f>IFERROR(__xludf.DUMMYFUNCTION("""COMPUTED_VALUE"""),"Hà Nội")</f>
        <v>Hà Nội</v>
      </c>
      <c r="C61" s="265" t="str">
        <f>IFERROR(__xludf.DUMMYFUNCTION("""COMPUTED_VALUE"""),"Locked")</f>
        <v>Locked</v>
      </c>
      <c r="D61" s="265" t="str">
        <f>IFERROR(__xludf.DUMMYFUNCTION("""COMPUTED_VALUE"""),"Sale chưa cung cấp")</f>
        <v>Sale chưa cung cấp</v>
      </c>
      <c r="E61" s="265" t="str">
        <f>IFERROR(__xludf.DUMMYFUNCTION("""COMPUTED_VALUE"""),"(Không recheck)")</f>
        <v>(Không recheck)</v>
      </c>
      <c r="F61" s="265" t="str">
        <f>IFERROR(__xludf.DUMMYFUNCTION("""COMPUTED_VALUE"""),"Sale chưa cung cấp")</f>
        <v>Sale chưa cung cấp</v>
      </c>
      <c r="G61" s="265" t="str">
        <f>IFERROR(__xludf.DUMMYFUNCTION("""COMPUTED_VALUE"""),"Enterprise")</f>
        <v>Enterprise</v>
      </c>
      <c r="H61" s="265" t="str">
        <f>IFERROR(__xludf.DUMMYFUNCTION("""COMPUTED_VALUE"""),"Trial")</f>
        <v>Trial</v>
      </c>
      <c r="I61" s="265" t="str">
        <f>IFERROR(__xludf.DUMMYFUNCTION("""COMPUTED_VALUE"""),"(Không recheck)")</f>
        <v>(Không recheck)</v>
      </c>
      <c r="J61" s="265" t="str">
        <f>IFERROR(__xludf.DUMMYFUNCTION("""COMPUTED_VALUE"""),"(Không recheck)")</f>
        <v>(Không recheck)</v>
      </c>
    </row>
    <row r="62">
      <c r="A62" s="265" t="str">
        <f>IFERROR(__xludf.DUMMYFUNCTION("""COMPUTED_VALUE"""),"375")</f>
        <v>375</v>
      </c>
      <c r="B62" s="265" t="str">
        <f>IFERROR(__xludf.DUMMYFUNCTION("""COMPUTED_VALUE"""),"Hà Nội")</f>
        <v>Hà Nội</v>
      </c>
      <c r="C62" s="265" t="str">
        <f>IFERROR(__xludf.DUMMYFUNCTION("""COMPUTED_VALUE"""),"Locked")</f>
        <v>Locked</v>
      </c>
      <c r="D62" s="265" t="str">
        <f>IFERROR(__xludf.DUMMYFUNCTION("""COMPUTED_VALUE"""),"Sale chưa cung cấp")</f>
        <v>Sale chưa cung cấp</v>
      </c>
      <c r="E62" s="265" t="str">
        <f>IFERROR(__xludf.DUMMYFUNCTION("""COMPUTED_VALUE"""),"(Không recheck)")</f>
        <v>(Không recheck)</v>
      </c>
      <c r="F62" s="265" t="str">
        <f>IFERROR(__xludf.DUMMYFUNCTION("""COMPUTED_VALUE"""),"Sale chưa cung cấp")</f>
        <v>Sale chưa cung cấp</v>
      </c>
      <c r="G62" s="265" t="str">
        <f>IFERROR(__xludf.DUMMYFUNCTION("""COMPUTED_VALUE"""),"Enterprise")</f>
        <v>Enterprise</v>
      </c>
      <c r="H62" s="265" t="str">
        <f>IFERROR(__xludf.DUMMYFUNCTION("""COMPUTED_VALUE"""),"Trial")</f>
        <v>Trial</v>
      </c>
      <c r="I62" s="265" t="str">
        <f>IFERROR(__xludf.DUMMYFUNCTION("""COMPUTED_VALUE"""),"(Không recheck)")</f>
        <v>(Không recheck)</v>
      </c>
      <c r="J62" s="265" t="str">
        <f>IFERROR(__xludf.DUMMYFUNCTION("""COMPUTED_VALUE"""),"(Không recheck)")</f>
        <v>(Không recheck)</v>
      </c>
    </row>
    <row r="63">
      <c r="A63" s="265" t="str">
        <f>IFERROR(__xludf.DUMMYFUNCTION("""COMPUTED_VALUE"""),"374")</f>
        <v>374</v>
      </c>
      <c r="B63" s="265" t="str">
        <f>IFERROR(__xludf.DUMMYFUNCTION("""COMPUTED_VALUE"""),"Sài Gòn")</f>
        <v>Sài Gòn</v>
      </c>
      <c r="C63" s="265" t="str">
        <f>IFERROR(__xludf.DUMMYFUNCTION("""COMPUTED_VALUE"""),"Locked")</f>
        <v>Locked</v>
      </c>
      <c r="D63" s="265" t="str">
        <f>IFERROR(__xludf.DUMMYFUNCTION("""COMPUTED_VALUE"""),"Sale chưa cung cấp")</f>
        <v>Sale chưa cung cấp</v>
      </c>
      <c r="E63" s="265" t="str">
        <f>IFERROR(__xludf.DUMMYFUNCTION("""COMPUTED_VALUE"""),"NamDT")</f>
        <v>NamDT</v>
      </c>
      <c r="F63" s="265" t="str">
        <f>IFERROR(__xludf.DUMMYFUNCTION("""COMPUTED_VALUE"""),"Sale chưa cung cấp")</f>
        <v>Sale chưa cung cấp</v>
      </c>
      <c r="G63" s="265" t="str">
        <f>IFERROR(__xludf.DUMMYFUNCTION("""COMPUTED_VALUE"""),"Enterprise")</f>
        <v>Enterprise</v>
      </c>
      <c r="H63" s="265" t="str">
        <f>IFERROR(__xludf.DUMMYFUNCTION("""COMPUTED_VALUE"""),"(Chưa recheck)")</f>
        <v>(Chưa recheck)</v>
      </c>
      <c r="I63" s="265" t="str">
        <f>IFERROR(__xludf.DUMMYFUNCTION("""COMPUTED_VALUE"""),"(Chưa recheck)")</f>
        <v>(Chưa recheck)</v>
      </c>
      <c r="J63" s="265" t="str">
        <f>IFERROR(__xludf.DUMMYFUNCTION("""COMPUTED_VALUE"""),"(Chưa recheck)")</f>
        <v>(Chưa recheck)</v>
      </c>
    </row>
    <row r="64">
      <c r="A64" s="265" t="str">
        <f>IFERROR(__xludf.DUMMYFUNCTION("""COMPUTED_VALUE"""),"376")</f>
        <v>376</v>
      </c>
      <c r="B64" s="265" t="str">
        <f>IFERROR(__xludf.DUMMYFUNCTION("""COMPUTED_VALUE"""),"Hà Nội")</f>
        <v>Hà Nội</v>
      </c>
      <c r="C64" s="265" t="str">
        <f>IFERROR(__xludf.DUMMYFUNCTION("""COMPUTED_VALUE"""),"Locked")</f>
        <v>Locked</v>
      </c>
      <c r="D64" s="265" t="str">
        <f>IFERROR(__xludf.DUMMYFUNCTION("""COMPUTED_VALUE"""),"Sale chưa cung cấp")</f>
        <v>Sale chưa cung cấp</v>
      </c>
      <c r="E64" s="265" t="str">
        <f>IFERROR(__xludf.DUMMYFUNCTION("""COMPUTED_VALUE"""),"(Không recheck)")</f>
        <v>(Không recheck)</v>
      </c>
      <c r="F64" s="265" t="str">
        <f>IFERROR(__xludf.DUMMYFUNCTION("""COMPUTED_VALUE"""),"Sale chưa cung cấp")</f>
        <v>Sale chưa cung cấp</v>
      </c>
      <c r="G64" s="265" t="str">
        <f>IFERROR(__xludf.DUMMYFUNCTION("""COMPUTED_VALUE"""),"Enterprise")</f>
        <v>Enterprise</v>
      </c>
      <c r="H64" s="265" t="str">
        <f>IFERROR(__xludf.DUMMYFUNCTION("""COMPUTED_VALUE"""),"Trial")</f>
        <v>Trial</v>
      </c>
      <c r="I64" s="265" t="str">
        <f>IFERROR(__xludf.DUMMYFUNCTION("""COMPUTED_VALUE"""),"(Không recheck)")</f>
        <v>(Không recheck)</v>
      </c>
      <c r="J64" s="265" t="str">
        <f>IFERROR(__xludf.DUMMYFUNCTION("""COMPUTED_VALUE"""),"(Không recheck)")</f>
        <v>(Không recheck)</v>
      </c>
    </row>
    <row r="65">
      <c r="A65" s="265" t="str">
        <f>IFERROR(__xludf.DUMMYFUNCTION("""COMPUTED_VALUE"""),"377")</f>
        <v>377</v>
      </c>
      <c r="B65" s="265" t="str">
        <f>IFERROR(__xludf.DUMMYFUNCTION("""COMPUTED_VALUE"""),"Hà Nội")</f>
        <v>Hà Nội</v>
      </c>
      <c r="C65" s="265" t="str">
        <f>IFERROR(__xludf.DUMMYFUNCTION("""COMPUTED_VALUE"""),"Locked")</f>
        <v>Locked</v>
      </c>
      <c r="D65" s="265" t="str">
        <f>IFERROR(__xludf.DUMMYFUNCTION("""COMPUTED_VALUE"""),"Sale chưa cung cấp")</f>
        <v>Sale chưa cung cấp</v>
      </c>
      <c r="E65" s="265" t="str">
        <f>IFERROR(__xludf.DUMMYFUNCTION("""COMPUTED_VALUE"""),"(Không recheck)")</f>
        <v>(Không recheck)</v>
      </c>
      <c r="F65" s="265" t="str">
        <f>IFERROR(__xludf.DUMMYFUNCTION("""COMPUTED_VALUE"""),"Sale chưa cung cấp")</f>
        <v>Sale chưa cung cấp</v>
      </c>
      <c r="G65" s="265" t="str">
        <f>IFERROR(__xludf.DUMMYFUNCTION("""COMPUTED_VALUE"""),"API")</f>
        <v>API</v>
      </c>
      <c r="H65" s="265" t="str">
        <f>IFERROR(__xludf.DUMMYFUNCTION("""COMPUTED_VALUE"""),"Trial")</f>
        <v>Trial</v>
      </c>
      <c r="I65" s="265" t="str">
        <f>IFERROR(__xludf.DUMMYFUNCTION("""COMPUTED_VALUE"""),"(Không recheck)")</f>
        <v>(Không recheck)</v>
      </c>
      <c r="J65" s="265" t="str">
        <f>IFERROR(__xludf.DUMMYFUNCTION("""COMPUTED_VALUE"""),"(Không recheck)")</f>
        <v>(Không recheck)</v>
      </c>
    </row>
    <row r="66">
      <c r="A66" s="265" t="str">
        <f>IFERROR(__xludf.DUMMYFUNCTION("""COMPUTED_VALUE"""),"378")</f>
        <v>378</v>
      </c>
      <c r="B66" s="265" t="str">
        <f>IFERROR(__xludf.DUMMYFUNCTION("""COMPUTED_VALUE"""),"Hà Nội")</f>
        <v>Hà Nội</v>
      </c>
      <c r="C66" s="265" t="str">
        <f>IFERROR(__xludf.DUMMYFUNCTION("""COMPUTED_VALUE"""),"Locked")</f>
        <v>Locked</v>
      </c>
      <c r="D66" s="265" t="str">
        <f>IFERROR(__xludf.DUMMYFUNCTION("""COMPUTED_VALUE"""),"Sale chưa cung cấp")</f>
        <v>Sale chưa cung cấp</v>
      </c>
      <c r="E66" s="265" t="str">
        <f>IFERROR(__xludf.DUMMYFUNCTION("""COMPUTED_VALUE"""),"(Không recheck)")</f>
        <v>(Không recheck)</v>
      </c>
      <c r="F66" s="265" t="str">
        <f>IFERROR(__xludf.DUMMYFUNCTION("""COMPUTED_VALUE"""),"Sale chưa cung cấp")</f>
        <v>Sale chưa cung cấp</v>
      </c>
      <c r="G66" s="265" t="str">
        <f>IFERROR(__xludf.DUMMYFUNCTION("""COMPUTED_VALUE"""),"MSG")</f>
        <v>MSG</v>
      </c>
      <c r="H66" s="265" t="str">
        <f>IFERROR(__xludf.DUMMYFUNCTION("""COMPUTED_VALUE"""),"Trial")</f>
        <v>Trial</v>
      </c>
      <c r="I66" s="265" t="str">
        <f>IFERROR(__xludf.DUMMYFUNCTION("""COMPUTED_VALUE"""),"(Không recheck)")</f>
        <v>(Không recheck)</v>
      </c>
      <c r="J66" s="265" t="str">
        <f>IFERROR(__xludf.DUMMYFUNCTION("""COMPUTED_VALUE"""),"(Không recheck)")</f>
        <v>(Không recheck)</v>
      </c>
    </row>
    <row r="67">
      <c r="A67" s="265" t="str">
        <f>IFERROR(__xludf.DUMMYFUNCTION("""COMPUTED_VALUE"""),"379")</f>
        <v>379</v>
      </c>
      <c r="B67" s="265" t="str">
        <f>IFERROR(__xludf.DUMMYFUNCTION("""COMPUTED_VALUE"""),"Hà Nội")</f>
        <v>Hà Nội</v>
      </c>
      <c r="C67" s="265" t="str">
        <f>IFERROR(__xludf.DUMMYFUNCTION("""COMPUTED_VALUE"""),"Locked")</f>
        <v>Locked</v>
      </c>
      <c r="D67" s="265" t="str">
        <f>IFERROR(__xludf.DUMMYFUNCTION("""COMPUTED_VALUE"""),"Sale chưa cung cấp")</f>
        <v>Sale chưa cung cấp</v>
      </c>
      <c r="E67" s="265" t="str">
        <f>IFERROR(__xludf.DUMMYFUNCTION("""COMPUTED_VALUE"""),"(Không recheck)")</f>
        <v>(Không recheck)</v>
      </c>
      <c r="F67" s="265" t="str">
        <f>IFERROR(__xludf.DUMMYFUNCTION("""COMPUTED_VALUE"""),"Sale chưa cung cấp")</f>
        <v>Sale chưa cung cấp</v>
      </c>
      <c r="G67" s="265" t="str">
        <f>IFERROR(__xludf.DUMMYFUNCTION("""COMPUTED_VALUE"""),"Enterprise")</f>
        <v>Enterprise</v>
      </c>
      <c r="H67" s="265" t="str">
        <f>IFERROR(__xludf.DUMMYFUNCTION("""COMPUTED_VALUE"""),"Trial")</f>
        <v>Trial</v>
      </c>
      <c r="I67" s="265" t="str">
        <f>IFERROR(__xludf.DUMMYFUNCTION("""COMPUTED_VALUE"""),"(Không recheck)")</f>
        <v>(Không recheck)</v>
      </c>
      <c r="J67" s="265" t="str">
        <f>IFERROR(__xludf.DUMMYFUNCTION("""COMPUTED_VALUE"""),"(Không recheck)")</f>
        <v>(Không recheck)</v>
      </c>
    </row>
    <row r="68">
      <c r="A68" s="265" t="str">
        <f>IFERROR(__xludf.DUMMYFUNCTION("""COMPUTED_VALUE"""),"380")</f>
        <v>380</v>
      </c>
      <c r="B68" s="265" t="str">
        <f>IFERROR(__xludf.DUMMYFUNCTION("""COMPUTED_VALUE"""),"Hà Nội")</f>
        <v>Hà Nội</v>
      </c>
      <c r="C68" s="265" t="str">
        <f>IFERROR(__xludf.DUMMYFUNCTION("""COMPUTED_VALUE"""),"Locked")</f>
        <v>Locked</v>
      </c>
      <c r="D68" s="265" t="str">
        <f>IFERROR(__xludf.DUMMYFUNCTION("""COMPUTED_VALUE"""),"Sale chưa cung cấp")</f>
        <v>Sale chưa cung cấp</v>
      </c>
      <c r="E68" s="265" t="str">
        <f>IFERROR(__xludf.DUMMYFUNCTION("""COMPUTED_VALUE"""),"(Chưa recheck)")</f>
        <v>(Chưa recheck)</v>
      </c>
      <c r="F68" s="265" t="str">
        <f>IFERROR(__xludf.DUMMYFUNCTION("""COMPUTED_VALUE"""),"Sale chưa cung cấp")</f>
        <v>Sale chưa cung cấp</v>
      </c>
      <c r="G68" s="265" t="str">
        <f>IFERROR(__xludf.DUMMYFUNCTION("""COMPUTED_VALUE"""),"API")</f>
        <v>API</v>
      </c>
      <c r="H68" s="265" t="str">
        <f>IFERROR(__xludf.DUMMYFUNCTION("""COMPUTED_VALUE"""),"(Chưa recheck)")</f>
        <v>(Chưa recheck)</v>
      </c>
      <c r="I68" s="265" t="str">
        <f>IFERROR(__xludf.DUMMYFUNCTION("""COMPUTED_VALUE"""),"(Chưa recheck)")</f>
        <v>(Chưa recheck)</v>
      </c>
      <c r="J68" s="265" t="str">
        <f>IFERROR(__xludf.DUMMYFUNCTION("""COMPUTED_VALUE"""),"(Chưa recheck)")</f>
        <v>(Chưa recheck)</v>
      </c>
    </row>
    <row r="69">
      <c r="A69" s="265" t="str">
        <f>IFERROR(__xludf.DUMMYFUNCTION("""COMPUTED_VALUE"""),"383")</f>
        <v>383</v>
      </c>
      <c r="B69" s="265" t="str">
        <f>IFERROR(__xludf.DUMMYFUNCTION("""COMPUTED_VALUE"""),"Hà Nội")</f>
        <v>Hà Nội</v>
      </c>
      <c r="C69" s="265" t="str">
        <f>IFERROR(__xludf.DUMMYFUNCTION("""COMPUTED_VALUE"""),"Locked")</f>
        <v>Locked</v>
      </c>
      <c r="D69" s="265" t="str">
        <f>IFERROR(__xludf.DUMMYFUNCTION("""COMPUTED_VALUE"""),"Sale chưa cung cấp")</f>
        <v>Sale chưa cung cấp</v>
      </c>
      <c r="E69" s="265" t="str">
        <f>IFERROR(__xludf.DUMMYFUNCTION("""COMPUTED_VALUE"""),"HangNT")</f>
        <v>HangNT</v>
      </c>
      <c r="F69" s="265" t="str">
        <f>IFERROR(__xludf.DUMMYFUNCTION("""COMPUTED_VALUE"""),"Sale chưa cung cấp")</f>
        <v>Sale chưa cung cấp</v>
      </c>
      <c r="G69" s="265" t="str">
        <f>IFERROR(__xludf.DUMMYFUNCTION("""COMPUTED_VALUE"""),"API")</f>
        <v>API</v>
      </c>
      <c r="H69" s="265" t="str">
        <f>IFERROR(__xludf.DUMMYFUNCTION("""COMPUTED_VALUE"""),"Trả sau")</f>
        <v>Trả sau</v>
      </c>
      <c r="I69" s="265" t="str">
        <f>IFERROR(__xludf.DUMMYFUNCTION("""COMPUTED_VALUE"""),"(Chưa recheck)")</f>
        <v>(Chưa recheck)</v>
      </c>
      <c r="J69" s="265" t="str">
        <f>IFERROR(__xludf.DUMMYFUNCTION("""COMPUTED_VALUE"""),"(Chưa recheck)")</f>
        <v>(Chưa recheck)</v>
      </c>
    </row>
    <row r="70">
      <c r="A70" s="265" t="str">
        <f>IFERROR(__xludf.DUMMYFUNCTION("""COMPUTED_VALUE"""),"384")</f>
        <v>384</v>
      </c>
      <c r="B70" s="265" t="str">
        <f>IFERROR(__xludf.DUMMYFUNCTION("""COMPUTED_VALUE"""),"Hà Nội")</f>
        <v>Hà Nội</v>
      </c>
      <c r="C70" s="265" t="str">
        <f>IFERROR(__xludf.DUMMYFUNCTION("""COMPUTED_VALUE"""),"Locked")</f>
        <v>Locked</v>
      </c>
      <c r="D70" s="265" t="str">
        <f>IFERROR(__xludf.DUMMYFUNCTION("""COMPUTED_VALUE"""),"Sale chưa cung cấp")</f>
        <v>Sale chưa cung cấp</v>
      </c>
      <c r="E70" s="265" t="str">
        <f>IFERROR(__xludf.DUMMYFUNCTION("""COMPUTED_VALUE"""),"(Chưa recheck)")</f>
        <v>(Chưa recheck)</v>
      </c>
      <c r="F70" s="265" t="str">
        <f>IFERROR(__xludf.DUMMYFUNCTION("""COMPUTED_VALUE"""),"Sale chưa cung cấp")</f>
        <v>Sale chưa cung cấp</v>
      </c>
      <c r="G70" s="265" t="str">
        <f>IFERROR(__xludf.DUMMYFUNCTION("""COMPUTED_VALUE"""),"MSG")</f>
        <v>MSG</v>
      </c>
      <c r="H70" s="265" t="str">
        <f>IFERROR(__xludf.DUMMYFUNCTION("""COMPUTED_VALUE"""),"(Chưa recheck)")</f>
        <v>(Chưa recheck)</v>
      </c>
      <c r="I70" s="265" t="str">
        <f>IFERROR(__xludf.DUMMYFUNCTION("""COMPUTED_VALUE"""),"(Chưa recheck)")</f>
        <v>(Chưa recheck)</v>
      </c>
      <c r="J70" s="265" t="str">
        <f>IFERROR(__xludf.DUMMYFUNCTION("""COMPUTED_VALUE"""),"(Chưa recheck)")</f>
        <v>(Chưa recheck)</v>
      </c>
    </row>
    <row r="71">
      <c r="A71" s="265" t="str">
        <f>IFERROR(__xludf.DUMMYFUNCTION("""COMPUTED_VALUE"""),"386")</f>
        <v>386</v>
      </c>
      <c r="B71" s="265" t="str">
        <f>IFERROR(__xludf.DUMMYFUNCTION("""COMPUTED_VALUE"""),"Hà Nội")</f>
        <v>Hà Nội</v>
      </c>
      <c r="C71" s="265" t="str">
        <f>IFERROR(__xludf.DUMMYFUNCTION("""COMPUTED_VALUE"""),"Locked")</f>
        <v>Locked</v>
      </c>
      <c r="D71" s="265" t="str">
        <f>IFERROR(__xludf.DUMMYFUNCTION("""COMPUTED_VALUE"""),"Sale chưa cung cấp")</f>
        <v>Sale chưa cung cấp</v>
      </c>
      <c r="E71" s="265" t="str">
        <f>IFERROR(__xludf.DUMMYFUNCTION("""COMPUTED_VALUE"""),"(Không recheck)")</f>
        <v>(Không recheck)</v>
      </c>
      <c r="F71" s="265" t="str">
        <f>IFERROR(__xludf.DUMMYFUNCTION("""COMPUTED_VALUE"""),"Sale chưa cung cấp")</f>
        <v>Sale chưa cung cấp</v>
      </c>
      <c r="G71" s="265" t="str">
        <f>IFERROR(__xludf.DUMMYFUNCTION("""COMPUTED_VALUE"""),"Enterprise")</f>
        <v>Enterprise</v>
      </c>
      <c r="H71" s="265" t="str">
        <f>IFERROR(__xludf.DUMMYFUNCTION("""COMPUTED_VALUE"""),"Trial")</f>
        <v>Trial</v>
      </c>
      <c r="I71" s="265" t="str">
        <f>IFERROR(__xludf.DUMMYFUNCTION("""COMPUTED_VALUE"""),"(Không recheck)")</f>
        <v>(Không recheck)</v>
      </c>
      <c r="J71" s="265" t="str">
        <f>IFERROR(__xludf.DUMMYFUNCTION("""COMPUTED_VALUE"""),"(Không recheck)")</f>
        <v>(Không recheck)</v>
      </c>
    </row>
    <row r="72">
      <c r="A72" s="265" t="str">
        <f>IFERROR(__xludf.DUMMYFUNCTION("""COMPUTED_VALUE"""),"387")</f>
        <v>387</v>
      </c>
      <c r="B72" s="265" t="str">
        <f>IFERROR(__xludf.DUMMYFUNCTION("""COMPUTED_VALUE"""),"Hà Nội")</f>
        <v>Hà Nội</v>
      </c>
      <c r="C72" s="265" t="str">
        <f>IFERROR(__xludf.DUMMYFUNCTION("""COMPUTED_VALUE"""),"Locked")</f>
        <v>Locked</v>
      </c>
      <c r="D72" s="265" t="str">
        <f>IFERROR(__xludf.DUMMYFUNCTION("""COMPUTED_VALUE"""),"Sale chưa cung cấp")</f>
        <v>Sale chưa cung cấp</v>
      </c>
      <c r="E72" s="265" t="str">
        <f>IFERROR(__xludf.DUMMYFUNCTION("""COMPUTED_VALUE"""),"(Không recheck)")</f>
        <v>(Không recheck)</v>
      </c>
      <c r="F72" s="265" t="str">
        <f>IFERROR(__xludf.DUMMYFUNCTION("""COMPUTED_VALUE"""),"Sale chưa cung cấp")</f>
        <v>Sale chưa cung cấp</v>
      </c>
      <c r="G72" s="265" t="str">
        <f>IFERROR(__xludf.DUMMYFUNCTION("""COMPUTED_VALUE"""),"Enterprise")</f>
        <v>Enterprise</v>
      </c>
      <c r="H72" s="265" t="str">
        <f>IFERROR(__xludf.DUMMYFUNCTION("""COMPUTED_VALUE"""),"Trial")</f>
        <v>Trial</v>
      </c>
      <c r="I72" s="265" t="str">
        <f>IFERROR(__xludf.DUMMYFUNCTION("""COMPUTED_VALUE"""),"(Không recheck)")</f>
        <v>(Không recheck)</v>
      </c>
      <c r="J72" s="265" t="str">
        <f>IFERROR(__xludf.DUMMYFUNCTION("""COMPUTED_VALUE"""),"(Không recheck)")</f>
        <v>(Không recheck)</v>
      </c>
    </row>
    <row r="73">
      <c r="A73" s="265" t="str">
        <f>IFERROR(__xludf.DUMMYFUNCTION("""COMPUTED_VALUE"""),"388")</f>
        <v>388</v>
      </c>
      <c r="B73" s="265" t="str">
        <f>IFERROR(__xludf.DUMMYFUNCTION("""COMPUTED_VALUE"""),"Hà Nội")</f>
        <v>Hà Nội</v>
      </c>
      <c r="C73" s="265" t="str">
        <f>IFERROR(__xludf.DUMMYFUNCTION("""COMPUTED_VALUE"""),"Active")</f>
        <v>Active</v>
      </c>
      <c r="D73" s="265" t="str">
        <f>IFERROR(__xludf.DUMMYFUNCTION("""COMPUTED_VALUE"""),"Sale chưa cung cấp")</f>
        <v>Sale chưa cung cấp</v>
      </c>
      <c r="E73" s="265" t="str">
        <f>IFERROR(__xludf.DUMMYFUNCTION("""COMPUTED_VALUE"""),"TúPHN")</f>
        <v>TúPHN</v>
      </c>
      <c r="F73" s="265" t="str">
        <f>IFERROR(__xludf.DUMMYFUNCTION("""COMPUTED_VALUE"""),"Bronze")</f>
        <v>Bronze</v>
      </c>
      <c r="G73" s="265" t="str">
        <f>IFERROR(__xludf.DUMMYFUNCTION("""COMPUTED_VALUE"""),"Standard")</f>
        <v>Standard</v>
      </c>
      <c r="H73" s="265" t="str">
        <f>IFERROR(__xludf.DUMMYFUNCTION("""COMPUTED_VALUE"""),"Trả trước")</f>
        <v>Trả trước</v>
      </c>
      <c r="I73" s="265" t="str">
        <f>IFERROR(__xludf.DUMMYFUNCTION("""COMPUTED_VALUE"""),"API")</f>
        <v>API</v>
      </c>
      <c r="J73" s="265" t="str">
        <f>IFERROR(__xludf.DUMMYFUNCTION("""COMPUTED_VALUE"""),"Zalo ZNS")</f>
        <v>Zalo ZNS</v>
      </c>
    </row>
    <row r="74">
      <c r="A74" s="265" t="str">
        <f>IFERROR(__xludf.DUMMYFUNCTION("""COMPUTED_VALUE"""),"385")</f>
        <v>385</v>
      </c>
      <c r="B74" s="265" t="str">
        <f>IFERROR(__xludf.DUMMYFUNCTION("""COMPUTED_VALUE"""),"Sài Gòn")</f>
        <v>Sài Gòn</v>
      </c>
      <c r="C74" s="265" t="str">
        <f>IFERROR(__xludf.DUMMYFUNCTION("""COMPUTED_VALUE"""),"Locked")</f>
        <v>Locked</v>
      </c>
      <c r="D74" s="265" t="str">
        <f>IFERROR(__xludf.DUMMYFUNCTION("""COMPUTED_VALUE"""),"Sale chưa cung cấp")</f>
        <v>Sale chưa cung cấp</v>
      </c>
      <c r="E74" s="265" t="str">
        <f>IFERROR(__xludf.DUMMYFUNCTION("""COMPUTED_VALUE"""),"PhươngDTB")</f>
        <v>PhươngDTB</v>
      </c>
      <c r="F74" s="265" t="str">
        <f>IFERROR(__xludf.DUMMYFUNCTION("""COMPUTED_VALUE"""),"Silver")</f>
        <v>Silver</v>
      </c>
      <c r="G74" s="265" t="str">
        <f>IFERROR(__xludf.DUMMYFUNCTION("""COMPUTED_VALUE"""),"Enterprise")</f>
        <v>Enterprise</v>
      </c>
      <c r="H74" s="265" t="str">
        <f>IFERROR(__xludf.DUMMYFUNCTION("""COMPUTED_VALUE"""),"(Chưa recheck)")</f>
        <v>(Chưa recheck)</v>
      </c>
      <c r="I74" s="265" t="str">
        <f>IFERROR(__xludf.DUMMYFUNCTION("""COMPUTED_VALUE"""),"(Chưa recheck)")</f>
        <v>(Chưa recheck)</v>
      </c>
      <c r="J74" s="265" t="str">
        <f>IFERROR(__xludf.DUMMYFUNCTION("""COMPUTED_VALUE"""),"(Chưa recheck)")</f>
        <v>(Chưa recheck)</v>
      </c>
    </row>
    <row r="75">
      <c r="A75" s="265" t="str">
        <f>IFERROR(__xludf.DUMMYFUNCTION("""COMPUTED_VALUE"""),"390")</f>
        <v>390</v>
      </c>
      <c r="B75" s="265" t="str">
        <f>IFERROR(__xludf.DUMMYFUNCTION("""COMPUTED_VALUE"""),"Sài Gòn")</f>
        <v>Sài Gòn</v>
      </c>
      <c r="C75" s="265" t="str">
        <f>IFERROR(__xludf.DUMMYFUNCTION("""COMPUTED_VALUE"""),"Locked")</f>
        <v>Locked</v>
      </c>
      <c r="D75" s="265" t="str">
        <f>IFERROR(__xludf.DUMMYFUNCTION("""COMPUTED_VALUE"""),"Sale chưa cung cấp")</f>
        <v>Sale chưa cung cấp</v>
      </c>
      <c r="E75" s="265" t="str">
        <f>IFERROR(__xludf.DUMMYFUNCTION("""COMPUTED_VALUE"""),"NamDT")</f>
        <v>NamDT</v>
      </c>
      <c r="F75" s="265" t="str">
        <f>IFERROR(__xludf.DUMMYFUNCTION("""COMPUTED_VALUE"""),"Sale chưa cung cấp")</f>
        <v>Sale chưa cung cấp</v>
      </c>
      <c r="G75" s="265" t="str">
        <f>IFERROR(__xludf.DUMMYFUNCTION("""COMPUTED_VALUE"""),"Enterprise")</f>
        <v>Enterprise</v>
      </c>
      <c r="H75" s="265" t="str">
        <f>IFERROR(__xludf.DUMMYFUNCTION("""COMPUTED_VALUE"""),"(Chưa recheck)")</f>
        <v>(Chưa recheck)</v>
      </c>
      <c r="I75" s="265" t="str">
        <f>IFERROR(__xludf.DUMMYFUNCTION("""COMPUTED_VALUE"""),"(Chưa recheck)")</f>
        <v>(Chưa recheck)</v>
      </c>
      <c r="J75" s="265" t="str">
        <f>IFERROR(__xludf.DUMMYFUNCTION("""COMPUTED_VALUE"""),"(Chưa recheck)")</f>
        <v>(Chưa recheck)</v>
      </c>
    </row>
    <row r="76">
      <c r="A76" s="265" t="str">
        <f>IFERROR(__xludf.DUMMYFUNCTION("""COMPUTED_VALUE"""),"391")</f>
        <v>391</v>
      </c>
      <c r="B76" s="265" t="str">
        <f>IFERROR(__xludf.DUMMYFUNCTION("""COMPUTED_VALUE"""),"Sài Gòn")</f>
        <v>Sài Gòn</v>
      </c>
      <c r="C76" s="265" t="str">
        <f>IFERROR(__xludf.DUMMYFUNCTION("""COMPUTED_VALUE"""),"Locked")</f>
        <v>Locked</v>
      </c>
      <c r="D76" s="265" t="str">
        <f>IFERROR(__xludf.DUMMYFUNCTION("""COMPUTED_VALUE"""),"Sale chưa cung cấp")</f>
        <v>Sale chưa cung cấp</v>
      </c>
      <c r="E76" s="265" t="str">
        <f>IFERROR(__xludf.DUMMYFUNCTION("""COMPUTED_VALUE"""),"NamDT")</f>
        <v>NamDT</v>
      </c>
      <c r="F76" s="265" t="str">
        <f>IFERROR(__xludf.DUMMYFUNCTION("""COMPUTED_VALUE"""),"Sale chưa cung cấp")</f>
        <v>Sale chưa cung cấp</v>
      </c>
      <c r="G76" s="265" t="str">
        <f>IFERROR(__xludf.DUMMYFUNCTION("""COMPUTED_VALUE"""),"Enterprise")</f>
        <v>Enterprise</v>
      </c>
      <c r="H76" s="265" t="str">
        <f>IFERROR(__xludf.DUMMYFUNCTION("""COMPUTED_VALUE"""),"(Chưa recheck)")</f>
        <v>(Chưa recheck)</v>
      </c>
      <c r="I76" s="265" t="str">
        <f>IFERROR(__xludf.DUMMYFUNCTION("""COMPUTED_VALUE"""),"(Chưa recheck)")</f>
        <v>(Chưa recheck)</v>
      </c>
      <c r="J76" s="265" t="str">
        <f>IFERROR(__xludf.DUMMYFUNCTION("""COMPUTED_VALUE"""),"(Chưa recheck)")</f>
        <v>(Chưa recheck)</v>
      </c>
    </row>
    <row r="77">
      <c r="A77" s="265" t="str">
        <f>IFERROR(__xludf.DUMMYFUNCTION("""COMPUTED_VALUE"""),"392")</f>
        <v>392</v>
      </c>
      <c r="B77" s="265" t="str">
        <f>IFERROR(__xludf.DUMMYFUNCTION("""COMPUTED_VALUE"""),"Hà Nội")</f>
        <v>Hà Nội</v>
      </c>
      <c r="C77" s="265" t="str">
        <f>IFERROR(__xludf.DUMMYFUNCTION("""COMPUTED_VALUE"""),"Locked")</f>
        <v>Locked</v>
      </c>
      <c r="D77" s="265" t="str">
        <f>IFERROR(__xludf.DUMMYFUNCTION("""COMPUTED_VALUE"""),"Sale chưa cung cấp")</f>
        <v>Sale chưa cung cấp</v>
      </c>
      <c r="E77" s="265" t="str">
        <f>IFERROR(__xludf.DUMMYFUNCTION("""COMPUTED_VALUE"""),"HangNT")</f>
        <v>HangNT</v>
      </c>
      <c r="F77" s="265" t="str">
        <f>IFERROR(__xludf.DUMMYFUNCTION("""COMPUTED_VALUE"""),"Bronze")</f>
        <v>Bronze</v>
      </c>
      <c r="G77" s="265" t="str">
        <f>IFERROR(__xludf.DUMMYFUNCTION("""COMPUTED_VALUE"""),"Enterprise")</f>
        <v>Enterprise</v>
      </c>
      <c r="H77" s="265" t="str">
        <f>IFERROR(__xludf.DUMMYFUNCTION("""COMPUTED_VALUE"""),"(Chưa recheck)")</f>
        <v>(Chưa recheck)</v>
      </c>
      <c r="I77" s="265" t="str">
        <f>IFERROR(__xludf.DUMMYFUNCTION("""COMPUTED_VALUE"""),"(Chưa recheck)")</f>
        <v>(Chưa recheck)</v>
      </c>
      <c r="J77" s="265" t="str">
        <f>IFERROR(__xludf.DUMMYFUNCTION("""COMPUTED_VALUE"""),"(Chưa recheck)")</f>
        <v>(Chưa recheck)</v>
      </c>
    </row>
    <row r="78">
      <c r="A78" s="265" t="str">
        <f>IFERROR(__xludf.DUMMYFUNCTION("""COMPUTED_VALUE"""),"393")</f>
        <v>393</v>
      </c>
      <c r="B78" s="265" t="str">
        <f>IFERROR(__xludf.DUMMYFUNCTION("""COMPUTED_VALUE"""),"Hà Nội")</f>
        <v>Hà Nội</v>
      </c>
      <c r="C78" s="265" t="str">
        <f>IFERROR(__xludf.DUMMYFUNCTION("""COMPUTED_VALUE"""),"Locked")</f>
        <v>Locked</v>
      </c>
      <c r="D78" s="265" t="str">
        <f>IFERROR(__xludf.DUMMYFUNCTION("""COMPUTED_VALUE"""),"Sale chưa cung cấp")</f>
        <v>Sale chưa cung cấp</v>
      </c>
      <c r="E78" s="265" t="str">
        <f>IFERROR(__xludf.DUMMYFUNCTION("""COMPUTED_VALUE"""),"HangNT")</f>
        <v>HangNT</v>
      </c>
      <c r="F78" s="265" t="str">
        <f>IFERROR(__xludf.DUMMYFUNCTION("""COMPUTED_VALUE"""),"Bronze")</f>
        <v>Bronze</v>
      </c>
      <c r="G78" s="265" t="str">
        <f>IFERROR(__xludf.DUMMYFUNCTION("""COMPUTED_VALUE"""),"Enterprise")</f>
        <v>Enterprise</v>
      </c>
      <c r="H78" s="265" t="str">
        <f>IFERROR(__xludf.DUMMYFUNCTION("""COMPUTED_VALUE"""),"(Chưa recheck)")</f>
        <v>(Chưa recheck)</v>
      </c>
      <c r="I78" s="265" t="str">
        <f>IFERROR(__xludf.DUMMYFUNCTION("""COMPUTED_VALUE"""),"(Chưa recheck)")</f>
        <v>(Chưa recheck)</v>
      </c>
      <c r="J78" s="265" t="str">
        <f>IFERROR(__xludf.DUMMYFUNCTION("""COMPUTED_VALUE"""),"(Chưa recheck)")</f>
        <v>(Chưa recheck)</v>
      </c>
    </row>
    <row r="79">
      <c r="A79" s="265" t="str">
        <f>IFERROR(__xludf.DUMMYFUNCTION("""COMPUTED_VALUE"""),"394")</f>
        <v>394</v>
      </c>
      <c r="B79" s="265" t="str">
        <f>IFERROR(__xludf.DUMMYFUNCTION("""COMPUTED_VALUE"""),"Hà Nội")</f>
        <v>Hà Nội</v>
      </c>
      <c r="C79" s="265" t="str">
        <f>IFERROR(__xludf.DUMMYFUNCTION("""COMPUTED_VALUE"""),"Locked")</f>
        <v>Locked</v>
      </c>
      <c r="D79" s="265" t="str">
        <f>IFERROR(__xludf.DUMMYFUNCTION("""COMPUTED_VALUE"""),"Sale chưa cung cấp")</f>
        <v>Sale chưa cung cấp</v>
      </c>
      <c r="E79" s="265" t="str">
        <f>IFERROR(__xludf.DUMMYFUNCTION("""COMPUTED_VALUE"""),"(Chưa recheck)")</f>
        <v>(Chưa recheck)</v>
      </c>
      <c r="F79" s="265" t="str">
        <f>IFERROR(__xludf.DUMMYFUNCTION("""COMPUTED_VALUE"""),"Bronze")</f>
        <v>Bronze</v>
      </c>
      <c r="G79" s="265" t="str">
        <f>IFERROR(__xludf.DUMMYFUNCTION("""COMPUTED_VALUE"""),"MSG")</f>
        <v>MSG</v>
      </c>
      <c r="H79" s="265" t="str">
        <f>IFERROR(__xludf.DUMMYFUNCTION("""COMPUTED_VALUE"""),"(Chưa recheck)")</f>
        <v>(Chưa recheck)</v>
      </c>
      <c r="I79" s="265" t="str">
        <f>IFERROR(__xludf.DUMMYFUNCTION("""COMPUTED_VALUE"""),"(Chưa recheck)")</f>
        <v>(Chưa recheck)</v>
      </c>
      <c r="J79" s="265" t="str">
        <f>IFERROR(__xludf.DUMMYFUNCTION("""COMPUTED_VALUE"""),"(Chưa recheck)")</f>
        <v>(Chưa recheck)</v>
      </c>
    </row>
    <row r="80">
      <c r="A80" s="265" t="str">
        <f>IFERROR(__xludf.DUMMYFUNCTION("""COMPUTED_VALUE"""),"395")</f>
        <v>395</v>
      </c>
      <c r="B80" s="265" t="str">
        <f>IFERROR(__xludf.DUMMYFUNCTION("""COMPUTED_VALUE"""),"Hà Nội")</f>
        <v>Hà Nội</v>
      </c>
      <c r="C80" s="265" t="str">
        <f>IFERROR(__xludf.DUMMYFUNCTION("""COMPUTED_VALUE"""),"Locked")</f>
        <v>Locked</v>
      </c>
      <c r="D80" s="265" t="str">
        <f>IFERROR(__xludf.DUMMYFUNCTION("""COMPUTED_VALUE"""),"Sale chưa cung cấp")</f>
        <v>Sale chưa cung cấp</v>
      </c>
      <c r="E80" s="265" t="str">
        <f>IFERROR(__xludf.DUMMYFUNCTION("""COMPUTED_VALUE"""),"HangNT")</f>
        <v>HangNT</v>
      </c>
      <c r="F80" s="265" t="str">
        <f>IFERROR(__xludf.DUMMYFUNCTION("""COMPUTED_VALUE"""),"Sale chưa cung cấp")</f>
        <v>Sale chưa cung cấp</v>
      </c>
      <c r="G80" s="265" t="str">
        <f>IFERROR(__xludf.DUMMYFUNCTION("""COMPUTED_VALUE"""),"API")</f>
        <v>API</v>
      </c>
      <c r="H80" s="265" t="str">
        <f>IFERROR(__xludf.DUMMYFUNCTION("""COMPUTED_VALUE"""),"(Chưa recheck)")</f>
        <v>(Chưa recheck)</v>
      </c>
      <c r="I80" s="265" t="str">
        <f>IFERROR(__xludf.DUMMYFUNCTION("""COMPUTED_VALUE"""),"(Chưa recheck)")</f>
        <v>(Chưa recheck)</v>
      </c>
      <c r="J80" s="265" t="str">
        <f>IFERROR(__xludf.DUMMYFUNCTION("""COMPUTED_VALUE"""),"(Chưa recheck)")</f>
        <v>(Chưa recheck)</v>
      </c>
    </row>
    <row r="81">
      <c r="A81" s="265" t="str">
        <f>IFERROR(__xludf.DUMMYFUNCTION("""COMPUTED_VALUE"""),"396")</f>
        <v>396</v>
      </c>
      <c r="B81" s="265" t="str">
        <f>IFERROR(__xludf.DUMMYFUNCTION("""COMPUTED_VALUE"""),"Hà Nội")</f>
        <v>Hà Nội</v>
      </c>
      <c r="C81" s="265" t="str">
        <f>IFERROR(__xludf.DUMMYFUNCTION("""COMPUTED_VALUE"""),"Locked")</f>
        <v>Locked</v>
      </c>
      <c r="D81" s="265" t="str">
        <f>IFERROR(__xludf.DUMMYFUNCTION("""COMPUTED_VALUE"""),"Sale chưa cung cấp")</f>
        <v>Sale chưa cung cấp</v>
      </c>
      <c r="E81" s="265" t="str">
        <f>IFERROR(__xludf.DUMMYFUNCTION("""COMPUTED_VALUE"""),"HangNT")</f>
        <v>HangNT</v>
      </c>
      <c r="F81" s="265" t="str">
        <f>IFERROR(__xludf.DUMMYFUNCTION("""COMPUTED_VALUE"""),"Bronze")</f>
        <v>Bronze</v>
      </c>
      <c r="G81" s="265" t="str">
        <f>IFERROR(__xludf.DUMMYFUNCTION("""COMPUTED_VALUE"""),"Enterprise")</f>
        <v>Enterprise</v>
      </c>
      <c r="H81" s="265" t="str">
        <f>IFERROR(__xludf.DUMMYFUNCTION("""COMPUTED_VALUE"""),"(Chưa recheck)")</f>
        <v>(Chưa recheck)</v>
      </c>
      <c r="I81" s="265" t="str">
        <f>IFERROR(__xludf.DUMMYFUNCTION("""COMPUTED_VALUE"""),"(Chưa recheck)")</f>
        <v>(Chưa recheck)</v>
      </c>
      <c r="J81" s="265" t="str">
        <f>IFERROR(__xludf.DUMMYFUNCTION("""COMPUTED_VALUE"""),"(Chưa recheck)")</f>
        <v>(Chưa recheck)</v>
      </c>
    </row>
    <row r="82">
      <c r="A82" s="265" t="str">
        <f>IFERROR(__xludf.DUMMYFUNCTION("""COMPUTED_VALUE"""),"398")</f>
        <v>398</v>
      </c>
      <c r="B82" s="265" t="str">
        <f>IFERROR(__xludf.DUMMYFUNCTION("""COMPUTED_VALUE"""),"Sài Gòn")</f>
        <v>Sài Gòn</v>
      </c>
      <c r="C82" s="265" t="str">
        <f>IFERROR(__xludf.DUMMYFUNCTION("""COMPUTED_VALUE"""),"Locked")</f>
        <v>Locked</v>
      </c>
      <c r="D82" s="265" t="str">
        <f>IFERROR(__xludf.DUMMYFUNCTION("""COMPUTED_VALUE"""),"Sale chưa cung cấp")</f>
        <v>Sale chưa cung cấp</v>
      </c>
      <c r="E82" s="265" t="str">
        <f>IFERROR(__xludf.DUMMYFUNCTION("""COMPUTED_VALUE"""),"(Chưa recheck)")</f>
        <v>(Chưa recheck)</v>
      </c>
      <c r="F82" s="265" t="str">
        <f>IFERROR(__xludf.DUMMYFUNCTION("""COMPUTED_VALUE"""),"Diamond")</f>
        <v>Diamond</v>
      </c>
      <c r="G82" s="265" t="str">
        <f>IFERROR(__xludf.DUMMYFUNCTION("""COMPUTED_VALUE"""),"MSG")</f>
        <v>MSG</v>
      </c>
      <c r="H82" s="265" t="str">
        <f>IFERROR(__xludf.DUMMYFUNCTION("""COMPUTED_VALUE"""),"Trial")</f>
        <v>Trial</v>
      </c>
      <c r="I82" s="265" t="str">
        <f>IFERROR(__xludf.DUMMYFUNCTION("""COMPUTED_VALUE"""),"(Chưa recheck)")</f>
        <v>(Chưa recheck)</v>
      </c>
      <c r="J82" s="265" t="str">
        <f>IFERROR(__xludf.DUMMYFUNCTION("""COMPUTED_VALUE"""),"(Chưa recheck)")</f>
        <v>(Chưa recheck)</v>
      </c>
    </row>
    <row r="83">
      <c r="A83" s="265" t="str">
        <f>IFERROR(__xludf.DUMMYFUNCTION("""COMPUTED_VALUE"""),"371")</f>
        <v>371</v>
      </c>
      <c r="B83" s="265" t="str">
        <f>IFERROR(__xludf.DUMMYFUNCTION("""COMPUTED_VALUE"""),"Hà Nội")</f>
        <v>Hà Nội</v>
      </c>
      <c r="C83" s="265" t="str">
        <f>IFERROR(__xludf.DUMMYFUNCTION("""COMPUTED_VALUE"""),"Locked")</f>
        <v>Locked</v>
      </c>
      <c r="D83" s="265" t="str">
        <f>IFERROR(__xludf.DUMMYFUNCTION("""COMPUTED_VALUE"""),"Sale chưa cung cấp")</f>
        <v>Sale chưa cung cấp</v>
      </c>
      <c r="E83" s="265" t="str">
        <f>IFERROR(__xludf.DUMMYFUNCTION("""COMPUTED_VALUE"""),"PhươngDTB")</f>
        <v>PhươngDTB</v>
      </c>
      <c r="F83" s="265" t="str">
        <f>IFERROR(__xludf.DUMMYFUNCTION("""COMPUTED_VALUE"""),"Sale chưa cung cấp")</f>
        <v>Sale chưa cung cấp</v>
      </c>
      <c r="G83" s="265" t="str">
        <f>IFERROR(__xludf.DUMMYFUNCTION("""COMPUTED_VALUE"""),"Enterprise")</f>
        <v>Enterprise</v>
      </c>
      <c r="H83" s="265" t="str">
        <f>IFERROR(__xludf.DUMMYFUNCTION("""COMPUTED_VALUE"""),"Trả sau")</f>
        <v>Trả sau</v>
      </c>
      <c r="I83" s="265" t="str">
        <f>IFERROR(__xludf.DUMMYFUNCTION("""COMPUTED_VALUE"""),"API &amp; Portal")</f>
        <v>API &amp; Portal</v>
      </c>
      <c r="J83" s="265" t="str">
        <f>IFERROR(__xludf.DUMMYFUNCTION("""COMPUTED_VALUE"""),"Email")</f>
        <v>Email</v>
      </c>
    </row>
    <row r="84">
      <c r="A84" s="265" t="str">
        <f>IFERROR(__xludf.DUMMYFUNCTION("""COMPUTED_VALUE"""),"399")</f>
        <v>399</v>
      </c>
      <c r="B84" s="265" t="str">
        <f>IFERROR(__xludf.DUMMYFUNCTION("""COMPUTED_VALUE"""),"Hà Nội")</f>
        <v>Hà Nội</v>
      </c>
      <c r="C84" s="265" t="str">
        <f>IFERROR(__xludf.DUMMYFUNCTION("""COMPUTED_VALUE"""),"Locked")</f>
        <v>Locked</v>
      </c>
      <c r="D84" s="265" t="str">
        <f>IFERROR(__xludf.DUMMYFUNCTION("""COMPUTED_VALUE"""),"Sale chưa cung cấp")</f>
        <v>Sale chưa cung cấp</v>
      </c>
      <c r="E84" s="265" t="str">
        <f>IFERROR(__xludf.DUMMYFUNCTION("""COMPUTED_VALUE"""),"TúPHN")</f>
        <v>TúPHN</v>
      </c>
      <c r="F84" s="265" t="str">
        <f>IFERROR(__xludf.DUMMYFUNCTION("""COMPUTED_VALUE"""),"Sale chưa cung cấp")</f>
        <v>Sale chưa cung cấp</v>
      </c>
      <c r="G84" s="265" t="str">
        <f>IFERROR(__xludf.DUMMYFUNCTION("""COMPUTED_VALUE"""),"Starter")</f>
        <v>Starter</v>
      </c>
      <c r="H84" s="265" t="str">
        <f>IFERROR(__xludf.DUMMYFUNCTION("""COMPUTED_VALUE"""),"Trial")</f>
        <v>Trial</v>
      </c>
      <c r="I84" s="265" t="str">
        <f>IFERROR(__xludf.DUMMYFUNCTION("""COMPUTED_VALUE"""),"API")</f>
        <v>API</v>
      </c>
      <c r="J84" s="265" t="str">
        <f>IFERROR(__xludf.DUMMYFUNCTION("""COMPUTED_VALUE"""),"Zalo ZNS")</f>
        <v>Zalo ZNS</v>
      </c>
    </row>
    <row r="85">
      <c r="A85" s="265" t="str">
        <f>IFERROR(__xludf.DUMMYFUNCTION("""COMPUTED_VALUE"""),"400")</f>
        <v>400</v>
      </c>
      <c r="B85" s="265" t="str">
        <f>IFERROR(__xludf.DUMMYFUNCTION("""COMPUTED_VALUE"""),"Đà Nẵng")</f>
        <v>Đà Nẵng</v>
      </c>
      <c r="C85" s="265" t="str">
        <f>IFERROR(__xludf.DUMMYFUNCTION("""COMPUTED_VALUE"""),"Locked")</f>
        <v>Locked</v>
      </c>
      <c r="D85" s="265" t="str">
        <f>IFERROR(__xludf.DUMMYFUNCTION("""COMPUTED_VALUE"""),"Sale chưa cung cấp")</f>
        <v>Sale chưa cung cấp</v>
      </c>
      <c r="E85" s="265" t="str">
        <f>IFERROR(__xludf.DUMMYFUNCTION("""COMPUTED_VALUE"""),"HangNT")</f>
        <v>HangNT</v>
      </c>
      <c r="F85" s="265" t="str">
        <f>IFERROR(__xludf.DUMMYFUNCTION("""COMPUTED_VALUE"""),"Sale chưa cung cấp")</f>
        <v>Sale chưa cung cấp</v>
      </c>
      <c r="G85" s="265" t="str">
        <f>IFERROR(__xludf.DUMMYFUNCTION("""COMPUTED_VALUE"""),"Enterprise")</f>
        <v>Enterprise</v>
      </c>
      <c r="H85" s="265" t="str">
        <f>IFERROR(__xludf.DUMMYFUNCTION("""COMPUTED_VALUE"""),"(Chưa recheck)")</f>
        <v>(Chưa recheck)</v>
      </c>
      <c r="I85" s="265" t="str">
        <f>IFERROR(__xludf.DUMMYFUNCTION("""COMPUTED_VALUE"""),"(Chưa recheck)")</f>
        <v>(Chưa recheck)</v>
      </c>
      <c r="J85" s="265" t="str">
        <f>IFERROR(__xludf.DUMMYFUNCTION("""COMPUTED_VALUE"""),"(Chưa recheck)")</f>
        <v>(Chưa recheck)</v>
      </c>
    </row>
    <row r="86">
      <c r="A86" s="265" t="str">
        <f>IFERROR(__xludf.DUMMYFUNCTION("""COMPUTED_VALUE"""),"401")</f>
        <v>401</v>
      </c>
      <c r="B86" s="265" t="str">
        <f>IFERROR(__xludf.DUMMYFUNCTION("""COMPUTED_VALUE"""),"Hà Nội")</f>
        <v>Hà Nội</v>
      </c>
      <c r="C86" s="265" t="str">
        <f>IFERROR(__xludf.DUMMYFUNCTION("""COMPUTED_VALUE"""),"Locked")</f>
        <v>Locked</v>
      </c>
      <c r="D86" s="265" t="str">
        <f>IFERROR(__xludf.DUMMYFUNCTION("""COMPUTED_VALUE"""),"Sale chưa cung cấp")</f>
        <v>Sale chưa cung cấp</v>
      </c>
      <c r="E86" s="265" t="str">
        <f>IFERROR(__xludf.DUMMYFUNCTION("""COMPUTED_VALUE"""),"HangNT")</f>
        <v>HangNT</v>
      </c>
      <c r="F86" s="265" t="str">
        <f>IFERROR(__xludf.DUMMYFUNCTION("""COMPUTED_VALUE"""),"Sale chưa cung cấp")</f>
        <v>Sale chưa cung cấp</v>
      </c>
      <c r="G86" s="265" t="str">
        <f>IFERROR(__xludf.DUMMYFUNCTION("""COMPUTED_VALUE"""),"Enterprise")</f>
        <v>Enterprise</v>
      </c>
      <c r="H86" s="265" t="str">
        <f>IFERROR(__xludf.DUMMYFUNCTION("""COMPUTED_VALUE"""),"(Chưa recheck)")</f>
        <v>(Chưa recheck)</v>
      </c>
      <c r="I86" s="265" t="str">
        <f>IFERROR(__xludf.DUMMYFUNCTION("""COMPUTED_VALUE"""),"(Chưa recheck)")</f>
        <v>(Chưa recheck)</v>
      </c>
      <c r="J86" s="265" t="str">
        <f>IFERROR(__xludf.DUMMYFUNCTION("""COMPUTED_VALUE"""),"(Chưa recheck)")</f>
        <v>(Chưa recheck)</v>
      </c>
    </row>
    <row r="87">
      <c r="A87" s="265" t="str">
        <f>IFERROR(__xludf.DUMMYFUNCTION("""COMPUTED_VALUE"""),"403")</f>
        <v>403</v>
      </c>
      <c r="B87" s="265" t="str">
        <f>IFERROR(__xludf.DUMMYFUNCTION("""COMPUTED_VALUE"""),"Sài Gòn")</f>
        <v>Sài Gòn</v>
      </c>
      <c r="C87" s="265" t="str">
        <f>IFERROR(__xludf.DUMMYFUNCTION("""COMPUTED_VALUE"""),"Active")</f>
        <v>Active</v>
      </c>
      <c r="D87" s="265" t="str">
        <f>IFERROR(__xludf.DUMMYFUNCTION("""COMPUTED_VALUE"""),"Sale chưa cung cấp")</f>
        <v>Sale chưa cung cấp</v>
      </c>
      <c r="E87" s="265" t="str">
        <f>IFERROR(__xludf.DUMMYFUNCTION("""COMPUTED_VALUE"""),"TùngLD")</f>
        <v>TùngLD</v>
      </c>
      <c r="F87" s="265" t="str">
        <f>IFERROR(__xludf.DUMMYFUNCTION("""COMPUTED_VALUE"""),"Gold")</f>
        <v>Gold</v>
      </c>
      <c r="G87" s="265" t="str">
        <f>IFERROR(__xludf.DUMMYFUNCTION("""COMPUTED_VALUE"""),"Enterprise")</f>
        <v>Enterprise</v>
      </c>
      <c r="H87" s="265" t="str">
        <f>IFERROR(__xludf.DUMMYFUNCTION("""COMPUTED_VALUE"""),"Trả sau")</f>
        <v>Trả sau</v>
      </c>
      <c r="I87" s="265" t="str">
        <f>IFERROR(__xludf.DUMMYFUNCTION("""COMPUTED_VALUE"""),"API")</f>
        <v>API</v>
      </c>
      <c r="J87" s="265" t="str">
        <f>IFERROR(__xludf.DUMMYFUNCTION("""COMPUTED_VALUE"""),"Zalo ZNS")</f>
        <v>Zalo ZNS</v>
      </c>
    </row>
    <row r="88">
      <c r="A88" s="265" t="str">
        <f>IFERROR(__xludf.DUMMYFUNCTION("""COMPUTED_VALUE"""),"404")</f>
        <v>404</v>
      </c>
      <c r="B88" s="265" t="str">
        <f>IFERROR(__xludf.DUMMYFUNCTION("""COMPUTED_VALUE"""),"Sài Gòn")</f>
        <v>Sài Gòn</v>
      </c>
      <c r="C88" s="265" t="str">
        <f>IFERROR(__xludf.DUMMYFUNCTION("""COMPUTED_VALUE"""),"Locked")</f>
        <v>Locked</v>
      </c>
      <c r="D88" s="265" t="str">
        <f>IFERROR(__xludf.DUMMYFUNCTION("""COMPUTED_VALUE"""),"Thực phẩm &amp; Đồ uống")</f>
        <v>Thực phẩm &amp; Đồ uống</v>
      </c>
      <c r="E88" s="265" t="str">
        <f>IFERROR(__xludf.DUMMYFUNCTION("""COMPUTED_VALUE"""),"PhươngDTB")</f>
        <v>PhươngDTB</v>
      </c>
      <c r="F88" s="265" t="str">
        <f>IFERROR(__xludf.DUMMYFUNCTION("""COMPUTED_VALUE"""),"Silver")</f>
        <v>Silver</v>
      </c>
      <c r="G88" s="265" t="str">
        <f>IFERROR(__xludf.DUMMYFUNCTION("""COMPUTED_VALUE"""),"Enterprise")</f>
        <v>Enterprise</v>
      </c>
      <c r="H88" s="265" t="str">
        <f>IFERROR(__xludf.DUMMYFUNCTION("""COMPUTED_VALUE"""),"Trả trước")</f>
        <v>Trả trước</v>
      </c>
      <c r="I88" s="265" t="str">
        <f>IFERROR(__xludf.DUMMYFUNCTION("""COMPUTED_VALUE"""),"(Chưa recheck)")</f>
        <v>(Chưa recheck)</v>
      </c>
      <c r="J88" s="265" t="str">
        <f>IFERROR(__xludf.DUMMYFUNCTION("""COMPUTED_VALUE"""),"GapOne")</f>
        <v>GapOne</v>
      </c>
    </row>
    <row r="89">
      <c r="A89" s="265" t="str">
        <f>IFERROR(__xludf.DUMMYFUNCTION("""COMPUTED_VALUE"""),"405")</f>
        <v>405</v>
      </c>
      <c r="B89" s="265" t="str">
        <f>IFERROR(__xludf.DUMMYFUNCTION("""COMPUTED_VALUE"""),"Hà Nội")</f>
        <v>Hà Nội</v>
      </c>
      <c r="C89" s="265" t="str">
        <f>IFERROR(__xludf.DUMMYFUNCTION("""COMPUTED_VALUE"""),"Locked")</f>
        <v>Locked</v>
      </c>
      <c r="D89" s="265" t="str">
        <f>IFERROR(__xludf.DUMMYFUNCTION("""COMPUTED_VALUE"""),"Sale chưa cung cấp")</f>
        <v>Sale chưa cung cấp</v>
      </c>
      <c r="E89" s="265" t="str">
        <f>IFERROR(__xludf.DUMMYFUNCTION("""COMPUTED_VALUE"""),"(Không recheck)")</f>
        <v>(Không recheck)</v>
      </c>
      <c r="F89" s="265" t="str">
        <f>IFERROR(__xludf.DUMMYFUNCTION("""COMPUTED_VALUE"""),"Sale chưa cung cấp")</f>
        <v>Sale chưa cung cấp</v>
      </c>
      <c r="G89" s="265" t="str">
        <f>IFERROR(__xludf.DUMMYFUNCTION("""COMPUTED_VALUE"""),"Enterprise")</f>
        <v>Enterprise</v>
      </c>
      <c r="H89" s="265" t="str">
        <f>IFERROR(__xludf.DUMMYFUNCTION("""COMPUTED_VALUE"""),"Trial")</f>
        <v>Trial</v>
      </c>
      <c r="I89" s="265" t="str">
        <f>IFERROR(__xludf.DUMMYFUNCTION("""COMPUTED_VALUE"""),"(Không recheck)")</f>
        <v>(Không recheck)</v>
      </c>
      <c r="J89" s="265" t="str">
        <f>IFERROR(__xludf.DUMMYFUNCTION("""COMPUTED_VALUE"""),"(Không recheck)")</f>
        <v>(Không recheck)</v>
      </c>
    </row>
    <row r="90">
      <c r="A90" s="265" t="str">
        <f>IFERROR(__xludf.DUMMYFUNCTION("""COMPUTED_VALUE"""),"407")</f>
        <v>407</v>
      </c>
      <c r="B90" s="265" t="str">
        <f>IFERROR(__xludf.DUMMYFUNCTION("""COMPUTED_VALUE"""),"Sài Gòn")</f>
        <v>Sài Gòn</v>
      </c>
      <c r="C90" s="265" t="str">
        <f>IFERROR(__xludf.DUMMYFUNCTION("""COMPUTED_VALUE"""),"Locked")</f>
        <v>Locked</v>
      </c>
      <c r="D90" s="265" t="str">
        <f>IFERROR(__xludf.DUMMYFUNCTION("""COMPUTED_VALUE"""),"Sale chưa cung cấp")</f>
        <v>Sale chưa cung cấp</v>
      </c>
      <c r="E90" s="265" t="str">
        <f>IFERROR(__xludf.DUMMYFUNCTION("""COMPUTED_VALUE"""),"HangNT")</f>
        <v>HangNT</v>
      </c>
      <c r="F90" s="265" t="str">
        <f>IFERROR(__xludf.DUMMYFUNCTION("""COMPUTED_VALUE"""),"Sale chưa cung cấp")</f>
        <v>Sale chưa cung cấp</v>
      </c>
      <c r="G90" s="265" t="str">
        <f>IFERROR(__xludf.DUMMYFUNCTION("""COMPUTED_VALUE"""),"Enterprise")</f>
        <v>Enterprise</v>
      </c>
      <c r="H90" s="265" t="str">
        <f>IFERROR(__xludf.DUMMYFUNCTION("""COMPUTED_VALUE"""),"(Chưa recheck)")</f>
        <v>(Chưa recheck)</v>
      </c>
      <c r="I90" s="265" t="str">
        <f>IFERROR(__xludf.DUMMYFUNCTION("""COMPUTED_VALUE"""),"(Chưa recheck)")</f>
        <v>(Chưa recheck)</v>
      </c>
      <c r="J90" s="265" t="str">
        <f>IFERROR(__xludf.DUMMYFUNCTION("""COMPUTED_VALUE"""),"(Chưa recheck)")</f>
        <v>(Chưa recheck)</v>
      </c>
    </row>
    <row r="91">
      <c r="A91" s="265" t="str">
        <f>IFERROR(__xludf.DUMMYFUNCTION("""COMPUTED_VALUE"""),"408")</f>
        <v>408</v>
      </c>
      <c r="B91" s="265" t="str">
        <f>IFERROR(__xludf.DUMMYFUNCTION("""COMPUTED_VALUE"""),"Đà Nẵng")</f>
        <v>Đà Nẵng</v>
      </c>
      <c r="C91" s="265" t="str">
        <f>IFERROR(__xludf.DUMMYFUNCTION("""COMPUTED_VALUE"""),"Locked")</f>
        <v>Locked</v>
      </c>
      <c r="D91" s="265" t="str">
        <f>IFERROR(__xludf.DUMMYFUNCTION("""COMPUTED_VALUE"""),"Sale chưa cung cấp")</f>
        <v>Sale chưa cung cấp</v>
      </c>
      <c r="E91" s="265" t="str">
        <f>IFERROR(__xludf.DUMMYFUNCTION("""COMPUTED_VALUE"""),"PhươngDTB")</f>
        <v>PhươngDTB</v>
      </c>
      <c r="F91" s="265" t="str">
        <f>IFERROR(__xludf.DUMMYFUNCTION("""COMPUTED_VALUE"""),"Sale chưa cung cấp")</f>
        <v>Sale chưa cung cấp</v>
      </c>
      <c r="G91" s="265" t="str">
        <f>IFERROR(__xludf.DUMMYFUNCTION("""COMPUTED_VALUE"""),"Enterprise")</f>
        <v>Enterprise</v>
      </c>
      <c r="H91" s="265" t="str">
        <f>IFERROR(__xludf.DUMMYFUNCTION("""COMPUTED_VALUE"""),"(Chưa recheck)")</f>
        <v>(Chưa recheck)</v>
      </c>
      <c r="I91" s="265" t="str">
        <f>IFERROR(__xludf.DUMMYFUNCTION("""COMPUTED_VALUE"""),"(Chưa recheck)")</f>
        <v>(Chưa recheck)</v>
      </c>
      <c r="J91" s="265" t="str">
        <f>IFERROR(__xludf.DUMMYFUNCTION("""COMPUTED_VALUE"""),"(Chưa recheck)")</f>
        <v>(Chưa recheck)</v>
      </c>
    </row>
    <row r="92">
      <c r="A92" s="265" t="str">
        <f>IFERROR(__xludf.DUMMYFUNCTION("""COMPUTED_VALUE"""),"410")</f>
        <v>410</v>
      </c>
      <c r="B92" s="265" t="str">
        <f>IFERROR(__xludf.DUMMYFUNCTION("""COMPUTED_VALUE"""),"Hà Nội")</f>
        <v>Hà Nội</v>
      </c>
      <c r="C92" s="265" t="str">
        <f>IFERROR(__xludf.DUMMYFUNCTION("""COMPUTED_VALUE"""),"Locked")</f>
        <v>Locked</v>
      </c>
      <c r="D92" s="265" t="str">
        <f>IFERROR(__xludf.DUMMYFUNCTION("""COMPUTED_VALUE"""),"Sale chưa cung cấp")</f>
        <v>Sale chưa cung cấp</v>
      </c>
      <c r="E92" s="265" t="str">
        <f>IFERROR(__xludf.DUMMYFUNCTION("""COMPUTED_VALUE"""),"HangNT")</f>
        <v>HangNT</v>
      </c>
      <c r="F92" s="265" t="str">
        <f>IFERROR(__xludf.DUMMYFUNCTION("""COMPUTED_VALUE"""),"Bronze")</f>
        <v>Bronze</v>
      </c>
      <c r="G92" s="265" t="str">
        <f>IFERROR(__xludf.DUMMYFUNCTION("""COMPUTED_VALUE"""),"Enterprise")</f>
        <v>Enterprise</v>
      </c>
      <c r="H92" s="265" t="str">
        <f>IFERROR(__xludf.DUMMYFUNCTION("""COMPUTED_VALUE"""),"(Chưa recheck)")</f>
        <v>(Chưa recheck)</v>
      </c>
      <c r="I92" s="265" t="str">
        <f>IFERROR(__xludf.DUMMYFUNCTION("""COMPUTED_VALUE"""),"(Chưa recheck)")</f>
        <v>(Chưa recheck)</v>
      </c>
      <c r="J92" s="265" t="str">
        <f>IFERROR(__xludf.DUMMYFUNCTION("""COMPUTED_VALUE"""),"(Chưa recheck)")</f>
        <v>(Chưa recheck)</v>
      </c>
    </row>
    <row r="93">
      <c r="A93" s="265" t="str">
        <f>IFERROR(__xludf.DUMMYFUNCTION("""COMPUTED_VALUE"""),"409")</f>
        <v>409</v>
      </c>
      <c r="B93" s="265" t="str">
        <f>IFERROR(__xludf.DUMMYFUNCTION("""COMPUTED_VALUE"""),"Sài Gòn")</f>
        <v>Sài Gòn</v>
      </c>
      <c r="C93" s="265" t="str">
        <f>IFERROR(__xludf.DUMMYFUNCTION("""COMPUTED_VALUE"""),"Locked")</f>
        <v>Locked</v>
      </c>
      <c r="D93" s="265" t="str">
        <f>IFERROR(__xludf.DUMMYFUNCTION("""COMPUTED_VALUE"""),"Sale chưa cung cấp")</f>
        <v>Sale chưa cung cấp</v>
      </c>
      <c r="E93" s="265" t="str">
        <f>IFERROR(__xludf.DUMMYFUNCTION("""COMPUTED_VALUE"""),"HoaNTM")</f>
        <v>HoaNTM</v>
      </c>
      <c r="F93" s="265" t="str">
        <f>IFERROR(__xludf.DUMMYFUNCTION("""COMPUTED_VALUE"""),"Gold")</f>
        <v>Gold</v>
      </c>
      <c r="G93" s="265" t="str">
        <f>IFERROR(__xludf.DUMMYFUNCTION("""COMPUTED_VALUE"""),"Enterprise")</f>
        <v>Enterprise</v>
      </c>
      <c r="H93" s="265" t="str">
        <f>IFERROR(__xludf.DUMMYFUNCTION("""COMPUTED_VALUE"""),"(Chưa recheck)")</f>
        <v>(Chưa recheck)</v>
      </c>
      <c r="I93" s="265" t="str">
        <f>IFERROR(__xludf.DUMMYFUNCTION("""COMPUTED_VALUE"""),"(Chưa recheck)")</f>
        <v>(Chưa recheck)</v>
      </c>
      <c r="J93" s="265" t="str">
        <f>IFERROR(__xludf.DUMMYFUNCTION("""COMPUTED_VALUE"""),"(Chưa recheck)")</f>
        <v>(Chưa recheck)</v>
      </c>
    </row>
    <row r="94">
      <c r="A94" s="265" t="str">
        <f>IFERROR(__xludf.DUMMYFUNCTION("""COMPUTED_VALUE"""),"412")</f>
        <v>412</v>
      </c>
      <c r="B94" s="265" t="str">
        <f>IFERROR(__xludf.DUMMYFUNCTION("""COMPUTED_VALUE"""),"Sài Gòn")</f>
        <v>Sài Gòn</v>
      </c>
      <c r="C94" s="265" t="str">
        <f>IFERROR(__xludf.DUMMYFUNCTION("""COMPUTED_VALUE"""),"Locked")</f>
        <v>Locked</v>
      </c>
      <c r="D94" s="265" t="str">
        <f>IFERROR(__xludf.DUMMYFUNCTION("""COMPUTED_VALUE"""),"Sale chưa cung cấp")</f>
        <v>Sale chưa cung cấp</v>
      </c>
      <c r="E94" s="265" t="str">
        <f>IFERROR(__xludf.DUMMYFUNCTION("""COMPUTED_VALUE"""),"PhươngDTB")</f>
        <v>PhươngDTB</v>
      </c>
      <c r="F94" s="265" t="str">
        <f>IFERROR(__xludf.DUMMYFUNCTION("""COMPUTED_VALUE"""),"Sale chưa cung cấp")</f>
        <v>Sale chưa cung cấp</v>
      </c>
      <c r="G94" s="265" t="str">
        <f>IFERROR(__xludf.DUMMYFUNCTION("""COMPUTED_VALUE"""),"Enterprise")</f>
        <v>Enterprise</v>
      </c>
      <c r="H94" s="265" t="str">
        <f>IFERROR(__xludf.DUMMYFUNCTION("""COMPUTED_VALUE"""),"(Chưa recheck)")</f>
        <v>(Chưa recheck)</v>
      </c>
      <c r="I94" s="265" t="str">
        <f>IFERROR(__xludf.DUMMYFUNCTION("""COMPUTED_VALUE"""),"(Chưa recheck)")</f>
        <v>(Chưa recheck)</v>
      </c>
      <c r="J94" s="265" t="str">
        <f>IFERROR(__xludf.DUMMYFUNCTION("""COMPUTED_VALUE"""),"(Chưa recheck)")</f>
        <v>(Chưa recheck)</v>
      </c>
    </row>
    <row r="95">
      <c r="A95" s="265" t="str">
        <f>IFERROR(__xludf.DUMMYFUNCTION("""COMPUTED_VALUE"""),"413")</f>
        <v>413</v>
      </c>
      <c r="B95" s="265" t="str">
        <f>IFERROR(__xludf.DUMMYFUNCTION("""COMPUTED_VALUE"""),"Hà Nội")</f>
        <v>Hà Nội</v>
      </c>
      <c r="C95" s="265" t="str">
        <f>IFERROR(__xludf.DUMMYFUNCTION("""COMPUTED_VALUE"""),"Locked")</f>
        <v>Locked</v>
      </c>
      <c r="D95" s="265" t="str">
        <f>IFERROR(__xludf.DUMMYFUNCTION("""COMPUTED_VALUE"""),"Sale chưa cung cấp")</f>
        <v>Sale chưa cung cấp</v>
      </c>
      <c r="E95" s="265" t="str">
        <f>IFERROR(__xludf.DUMMYFUNCTION("""COMPUTED_VALUE"""),"HangNT")</f>
        <v>HangNT</v>
      </c>
      <c r="F95" s="265" t="str">
        <f>IFERROR(__xludf.DUMMYFUNCTION("""COMPUTED_VALUE"""),"Diamond")</f>
        <v>Diamond</v>
      </c>
      <c r="G95" s="265" t="str">
        <f>IFERROR(__xludf.DUMMYFUNCTION("""COMPUTED_VALUE"""),"API")</f>
        <v>API</v>
      </c>
      <c r="H95" s="265" t="str">
        <f>IFERROR(__xludf.DUMMYFUNCTION("""COMPUTED_VALUE"""),"Trả sau")</f>
        <v>Trả sau</v>
      </c>
      <c r="I95" s="265" t="str">
        <f>IFERROR(__xludf.DUMMYFUNCTION("""COMPUTED_VALUE"""),"(Chưa recheck)")</f>
        <v>(Chưa recheck)</v>
      </c>
      <c r="J95" s="265" t="str">
        <f>IFERROR(__xludf.DUMMYFUNCTION("""COMPUTED_VALUE"""),"(Chưa recheck)")</f>
        <v>(Chưa recheck)</v>
      </c>
    </row>
    <row r="96">
      <c r="A96" s="265" t="str">
        <f>IFERROR(__xludf.DUMMYFUNCTION("""COMPUTED_VALUE"""),"416")</f>
        <v>416</v>
      </c>
      <c r="B96" s="265" t="str">
        <f>IFERROR(__xludf.DUMMYFUNCTION("""COMPUTED_VALUE"""),"Hà Nội")</f>
        <v>Hà Nội</v>
      </c>
      <c r="C96" s="265" t="str">
        <f>IFERROR(__xludf.DUMMYFUNCTION("""COMPUTED_VALUE"""),"Locked")</f>
        <v>Locked</v>
      </c>
      <c r="D96" s="265" t="str">
        <f>IFERROR(__xludf.DUMMYFUNCTION("""COMPUTED_VALUE"""),"Sale chưa cung cấp")</f>
        <v>Sale chưa cung cấp</v>
      </c>
      <c r="E96" s="265" t="str">
        <f>IFERROR(__xludf.DUMMYFUNCTION("""COMPUTED_VALUE"""),"(Chưa recheck)")</f>
        <v>(Chưa recheck)</v>
      </c>
      <c r="F96" s="265" t="str">
        <f>IFERROR(__xludf.DUMMYFUNCTION("""COMPUTED_VALUE"""),"Sale chưa cung cấp")</f>
        <v>Sale chưa cung cấp</v>
      </c>
      <c r="G96" s="265" t="str">
        <f>IFERROR(__xludf.DUMMYFUNCTION("""COMPUTED_VALUE"""),"API")</f>
        <v>API</v>
      </c>
      <c r="H96" s="265" t="str">
        <f>IFERROR(__xludf.DUMMYFUNCTION("""COMPUTED_VALUE"""),"Trả sau")</f>
        <v>Trả sau</v>
      </c>
      <c r="I96" s="265" t="str">
        <f>IFERROR(__xludf.DUMMYFUNCTION("""COMPUTED_VALUE"""),"(Chưa recheck)")</f>
        <v>(Chưa recheck)</v>
      </c>
      <c r="J96" s="265" t="str">
        <f>IFERROR(__xludf.DUMMYFUNCTION("""COMPUTED_VALUE"""),"(Chưa recheck)")</f>
        <v>(Chưa recheck)</v>
      </c>
    </row>
    <row r="97">
      <c r="A97" s="265" t="str">
        <f>IFERROR(__xludf.DUMMYFUNCTION("""COMPUTED_VALUE"""),"417")</f>
        <v>417</v>
      </c>
      <c r="B97" s="265" t="str">
        <f>IFERROR(__xludf.DUMMYFUNCTION("""COMPUTED_VALUE"""),"Đà Nẵng")</f>
        <v>Đà Nẵng</v>
      </c>
      <c r="C97" s="265" t="str">
        <f>IFERROR(__xludf.DUMMYFUNCTION("""COMPUTED_VALUE"""),"Active")</f>
        <v>Active</v>
      </c>
      <c r="D97" s="265" t="str">
        <f>IFERROR(__xludf.DUMMYFUNCTION("""COMPUTED_VALUE"""),"Viễn thông")</f>
        <v>Viễn thông</v>
      </c>
      <c r="E97" s="265" t="str">
        <f>IFERROR(__xludf.DUMMYFUNCTION("""COMPUTED_VALUE"""),"AnhNM")</f>
        <v>AnhNM</v>
      </c>
      <c r="F97" s="265" t="str">
        <f>IFERROR(__xludf.DUMMYFUNCTION("""COMPUTED_VALUE"""),"Silver")</f>
        <v>Silver</v>
      </c>
      <c r="G97" s="265" t="str">
        <f>IFERROR(__xludf.DUMMYFUNCTION("""COMPUTED_VALUE"""),"Enterprise")</f>
        <v>Enterprise</v>
      </c>
      <c r="H97" s="265" t="str">
        <f>IFERROR(__xludf.DUMMYFUNCTION("""COMPUTED_VALUE"""),"Trả sau")</f>
        <v>Trả sau</v>
      </c>
      <c r="I97" s="265" t="str">
        <f>IFERROR(__xludf.DUMMYFUNCTION("""COMPUTED_VALUE"""),"API &amp; Portal")</f>
        <v>API &amp; Portal</v>
      </c>
      <c r="J97" s="265" t="str">
        <f>IFERROR(__xludf.DUMMYFUNCTION("""COMPUTED_VALUE"""),"Zalo ZNS")</f>
        <v>Zalo ZNS</v>
      </c>
    </row>
    <row r="98">
      <c r="A98" s="265" t="str">
        <f>IFERROR(__xludf.DUMMYFUNCTION("""COMPUTED_VALUE"""),"417")</f>
        <v>417</v>
      </c>
      <c r="B98" s="265" t="str">
        <f>IFERROR(__xludf.DUMMYFUNCTION("""COMPUTED_VALUE"""),"Đà Nẵng")</f>
        <v>Đà Nẵng</v>
      </c>
      <c r="C98" s="265" t="str">
        <f>IFERROR(__xludf.DUMMYFUNCTION("""COMPUTED_VALUE"""),"Active")</f>
        <v>Active</v>
      </c>
      <c r="D98" s="265" t="str">
        <f>IFERROR(__xludf.DUMMYFUNCTION("""COMPUTED_VALUE"""),"Viễn thông")</f>
        <v>Viễn thông</v>
      </c>
      <c r="E98" s="265" t="str">
        <f>IFERROR(__xludf.DUMMYFUNCTION("""COMPUTED_VALUE"""),"AnhNM")</f>
        <v>AnhNM</v>
      </c>
      <c r="F98" s="265" t="str">
        <f>IFERROR(__xludf.DUMMYFUNCTION("""COMPUTED_VALUE"""),"Silver")</f>
        <v>Silver</v>
      </c>
      <c r="G98" s="265" t="str">
        <f>IFERROR(__xludf.DUMMYFUNCTION("""COMPUTED_VALUE"""),"Enterprise")</f>
        <v>Enterprise</v>
      </c>
      <c r="H98" s="265" t="str">
        <f>IFERROR(__xludf.DUMMYFUNCTION("""COMPUTED_VALUE"""),"Trả sau")</f>
        <v>Trả sau</v>
      </c>
      <c r="I98" s="265" t="str">
        <f>IFERROR(__xludf.DUMMYFUNCTION("""COMPUTED_VALUE"""),"API &amp; Portal")</f>
        <v>API &amp; Portal</v>
      </c>
      <c r="J98" s="265" t="str">
        <f>IFERROR(__xludf.DUMMYFUNCTION("""COMPUTED_VALUE"""),"SMS CSKH")</f>
        <v>SMS CSKH</v>
      </c>
    </row>
    <row r="99">
      <c r="A99" s="265" t="str">
        <f>IFERROR(__xludf.DUMMYFUNCTION("""COMPUTED_VALUE"""),"418")</f>
        <v>418</v>
      </c>
      <c r="B99" s="265" t="str">
        <f>IFERROR(__xludf.DUMMYFUNCTION("""COMPUTED_VALUE"""),"Hà Nội")</f>
        <v>Hà Nội</v>
      </c>
      <c r="C99" s="265" t="str">
        <f>IFERROR(__xludf.DUMMYFUNCTION("""COMPUTED_VALUE"""),"Locked")</f>
        <v>Locked</v>
      </c>
      <c r="D99" s="265" t="str">
        <f>IFERROR(__xludf.DUMMYFUNCTION("""COMPUTED_VALUE"""),"Sale chưa cung cấp")</f>
        <v>Sale chưa cung cấp</v>
      </c>
      <c r="E99" s="265" t="str">
        <f>IFERROR(__xludf.DUMMYFUNCTION("""COMPUTED_VALUE"""),"(Không recheck)")</f>
        <v>(Không recheck)</v>
      </c>
      <c r="F99" s="265" t="str">
        <f>IFERROR(__xludf.DUMMYFUNCTION("""COMPUTED_VALUE"""),"Sale chưa cung cấp")</f>
        <v>Sale chưa cung cấp</v>
      </c>
      <c r="G99" s="265" t="str">
        <f>IFERROR(__xludf.DUMMYFUNCTION("""COMPUTED_VALUE"""),"Enterprise")</f>
        <v>Enterprise</v>
      </c>
      <c r="H99" s="265" t="str">
        <f>IFERROR(__xludf.DUMMYFUNCTION("""COMPUTED_VALUE"""),"Trial")</f>
        <v>Trial</v>
      </c>
      <c r="I99" s="265" t="str">
        <f>IFERROR(__xludf.DUMMYFUNCTION("""COMPUTED_VALUE"""),"(Không recheck)")</f>
        <v>(Không recheck)</v>
      </c>
      <c r="J99" s="265" t="str">
        <f>IFERROR(__xludf.DUMMYFUNCTION("""COMPUTED_VALUE"""),"(Không recheck)")</f>
        <v>(Không recheck)</v>
      </c>
    </row>
    <row r="100">
      <c r="A100" s="265" t="str">
        <f>IFERROR(__xludf.DUMMYFUNCTION("""COMPUTED_VALUE"""),"420")</f>
        <v>420</v>
      </c>
      <c r="B100" s="265" t="str">
        <f>IFERROR(__xludf.DUMMYFUNCTION("""COMPUTED_VALUE"""),"Hà Nội")</f>
        <v>Hà Nội</v>
      </c>
      <c r="C100" s="265" t="str">
        <f>IFERROR(__xludf.DUMMYFUNCTION("""COMPUTED_VALUE"""),"Active")</f>
        <v>Active</v>
      </c>
      <c r="D100" s="265" t="str">
        <f>IFERROR(__xludf.DUMMYFUNCTION("""COMPUTED_VALUE"""),"Sale chưa cung cấp")</f>
        <v>Sale chưa cung cấp</v>
      </c>
      <c r="E100" s="265" t="str">
        <f>IFERROR(__xludf.DUMMYFUNCTION("""COMPUTED_VALUE"""),"TùngLD")</f>
        <v>TùngLD</v>
      </c>
      <c r="F100" s="265" t="str">
        <f>IFERROR(__xludf.DUMMYFUNCTION("""COMPUTED_VALUE"""),"Diamond")</f>
        <v>Diamond</v>
      </c>
      <c r="G100" s="265" t="str">
        <f>IFERROR(__xludf.DUMMYFUNCTION("""COMPUTED_VALUE"""),"Enterprise")</f>
        <v>Enterprise</v>
      </c>
      <c r="H100" s="265" t="str">
        <f>IFERROR(__xludf.DUMMYFUNCTION("""COMPUTED_VALUE"""),"Trả sau")</f>
        <v>Trả sau</v>
      </c>
      <c r="I100" s="265" t="str">
        <f>IFERROR(__xludf.DUMMYFUNCTION("""COMPUTED_VALUE"""),"API &amp; Portal")</f>
        <v>API &amp; Portal</v>
      </c>
      <c r="J100" s="265" t="str">
        <f>IFERROR(__xludf.DUMMYFUNCTION("""COMPUTED_VALUE"""),"Tất cả")</f>
        <v>Tất cả</v>
      </c>
    </row>
    <row r="101">
      <c r="A101" s="265" t="str">
        <f>IFERROR(__xludf.DUMMYFUNCTION("""COMPUTED_VALUE"""),"421")</f>
        <v>421</v>
      </c>
      <c r="B101" s="265" t="str">
        <f>IFERROR(__xludf.DUMMYFUNCTION("""COMPUTED_VALUE"""),"Hà Nội")</f>
        <v>Hà Nội</v>
      </c>
      <c r="C101" s="265" t="str">
        <f>IFERROR(__xludf.DUMMYFUNCTION("""COMPUTED_VALUE"""),"Locked")</f>
        <v>Locked</v>
      </c>
      <c r="D101" s="265" t="str">
        <f>IFERROR(__xludf.DUMMYFUNCTION("""COMPUTED_VALUE"""),"Sale chưa cung cấp")</f>
        <v>Sale chưa cung cấp</v>
      </c>
      <c r="E101" s="265" t="str">
        <f>IFERROR(__xludf.DUMMYFUNCTION("""COMPUTED_VALUE"""),"TùngLD")</f>
        <v>TùngLD</v>
      </c>
      <c r="F101" s="265" t="str">
        <f>IFERROR(__xludf.DUMMYFUNCTION("""COMPUTED_VALUE"""),"Diamond")</f>
        <v>Diamond</v>
      </c>
      <c r="G101" s="265" t="str">
        <f>IFERROR(__xludf.DUMMYFUNCTION("""COMPUTED_VALUE"""),"Enterprise")</f>
        <v>Enterprise</v>
      </c>
      <c r="H101" s="265" t="str">
        <f>IFERROR(__xludf.DUMMYFUNCTION("""COMPUTED_VALUE"""),"Trả sau")</f>
        <v>Trả sau</v>
      </c>
      <c r="I101" s="265" t="str">
        <f>IFERROR(__xludf.DUMMYFUNCTION("""COMPUTED_VALUE"""),"API &amp; Portal")</f>
        <v>API &amp; Portal</v>
      </c>
      <c r="J101" s="265" t="str">
        <f>IFERROR(__xludf.DUMMYFUNCTION("""COMPUTED_VALUE"""),"Tất cả")</f>
        <v>Tất cả</v>
      </c>
    </row>
    <row r="102">
      <c r="A102" s="265" t="str">
        <f>IFERROR(__xludf.DUMMYFUNCTION("""COMPUTED_VALUE"""),"422")</f>
        <v>422</v>
      </c>
      <c r="B102" s="265" t="str">
        <f>IFERROR(__xludf.DUMMYFUNCTION("""COMPUTED_VALUE"""),"Hà Nội")</f>
        <v>Hà Nội</v>
      </c>
      <c r="C102" s="265" t="str">
        <f>IFERROR(__xludf.DUMMYFUNCTION("""COMPUTED_VALUE"""),"Locked")</f>
        <v>Locked</v>
      </c>
      <c r="D102" s="265" t="str">
        <f>IFERROR(__xludf.DUMMYFUNCTION("""COMPUTED_VALUE"""),"Sale chưa cung cấp")</f>
        <v>Sale chưa cung cấp</v>
      </c>
      <c r="E102" s="265" t="str">
        <f>IFERROR(__xludf.DUMMYFUNCTION("""COMPUTED_VALUE"""),"TùngLD")</f>
        <v>TùngLD</v>
      </c>
      <c r="F102" s="265" t="str">
        <f>IFERROR(__xludf.DUMMYFUNCTION("""COMPUTED_VALUE"""),"Diamond")</f>
        <v>Diamond</v>
      </c>
      <c r="G102" s="265" t="str">
        <f>IFERROR(__xludf.DUMMYFUNCTION("""COMPUTED_VALUE"""),"Enterprise")</f>
        <v>Enterprise</v>
      </c>
      <c r="H102" s="265" t="str">
        <f>IFERROR(__xludf.DUMMYFUNCTION("""COMPUTED_VALUE"""),"Trả sau")</f>
        <v>Trả sau</v>
      </c>
      <c r="I102" s="265" t="str">
        <f>IFERROR(__xludf.DUMMYFUNCTION("""COMPUTED_VALUE"""),"API &amp; Portal")</f>
        <v>API &amp; Portal</v>
      </c>
      <c r="J102" s="265" t="str">
        <f>IFERROR(__xludf.DUMMYFUNCTION("""COMPUTED_VALUE"""),"Tất cả")</f>
        <v>Tất cả</v>
      </c>
    </row>
    <row r="103">
      <c r="A103" s="265" t="str">
        <f>IFERROR(__xludf.DUMMYFUNCTION("""COMPUTED_VALUE"""),"423")</f>
        <v>423</v>
      </c>
      <c r="B103" s="265" t="str">
        <f>IFERROR(__xludf.DUMMYFUNCTION("""COMPUTED_VALUE"""),"Hà Nội")</f>
        <v>Hà Nội</v>
      </c>
      <c r="C103" s="265" t="str">
        <f>IFERROR(__xludf.DUMMYFUNCTION("""COMPUTED_VALUE"""),"Locked")</f>
        <v>Locked</v>
      </c>
      <c r="D103" s="265" t="str">
        <f>IFERROR(__xludf.DUMMYFUNCTION("""COMPUTED_VALUE"""),"Sale chưa cung cấp")</f>
        <v>Sale chưa cung cấp</v>
      </c>
      <c r="E103" s="265" t="str">
        <f>IFERROR(__xludf.DUMMYFUNCTION("""COMPUTED_VALUE"""),"TùngLD")</f>
        <v>TùngLD</v>
      </c>
      <c r="F103" s="265" t="str">
        <f>IFERROR(__xludf.DUMMYFUNCTION("""COMPUTED_VALUE"""),"Gold")</f>
        <v>Gold</v>
      </c>
      <c r="G103" s="265" t="str">
        <f>IFERROR(__xludf.DUMMYFUNCTION("""COMPUTED_VALUE"""),"Enterprise")</f>
        <v>Enterprise</v>
      </c>
      <c r="H103" s="265" t="str">
        <f>IFERROR(__xludf.DUMMYFUNCTION("""COMPUTED_VALUE"""),"Trả sau")</f>
        <v>Trả sau</v>
      </c>
      <c r="I103" s="265" t="str">
        <f>IFERROR(__xludf.DUMMYFUNCTION("""COMPUTED_VALUE"""),"API &amp; Portal")</f>
        <v>API &amp; Portal</v>
      </c>
      <c r="J103" s="265" t="str">
        <f>IFERROR(__xludf.DUMMYFUNCTION("""COMPUTED_VALUE"""),"Tất cả")</f>
        <v>Tất cả</v>
      </c>
    </row>
    <row r="104">
      <c r="A104" s="265" t="str">
        <f>IFERROR(__xludf.DUMMYFUNCTION("""COMPUTED_VALUE"""),"424")</f>
        <v>424</v>
      </c>
      <c r="B104" s="265" t="str">
        <f>IFERROR(__xludf.DUMMYFUNCTION("""COMPUTED_VALUE"""),"Đà Nẵng")</f>
        <v>Đà Nẵng</v>
      </c>
      <c r="C104" s="265" t="str">
        <f>IFERROR(__xludf.DUMMYFUNCTION("""COMPUTED_VALUE"""),"Locked")</f>
        <v>Locked</v>
      </c>
      <c r="D104" s="265" t="str">
        <f>IFERROR(__xludf.DUMMYFUNCTION("""COMPUTED_VALUE"""),"Sale chưa cung cấp")</f>
        <v>Sale chưa cung cấp</v>
      </c>
      <c r="E104" s="265" t="str">
        <f>IFERROR(__xludf.DUMMYFUNCTION("""COMPUTED_VALUE"""),"MaiTP")</f>
        <v>MaiTP</v>
      </c>
      <c r="F104" s="265" t="str">
        <f>IFERROR(__xludf.DUMMYFUNCTION("""COMPUTED_VALUE"""),"Sale chưa cung cấp")</f>
        <v>Sale chưa cung cấp</v>
      </c>
      <c r="G104" s="265" t="str">
        <f>IFERROR(__xludf.DUMMYFUNCTION("""COMPUTED_VALUE"""),"Enterprise")</f>
        <v>Enterprise</v>
      </c>
      <c r="H104" s="265" t="str">
        <f>IFERROR(__xludf.DUMMYFUNCTION("""COMPUTED_VALUE"""),"(Chưa recheck)")</f>
        <v>(Chưa recheck)</v>
      </c>
      <c r="I104" s="265" t="str">
        <f>IFERROR(__xludf.DUMMYFUNCTION("""COMPUTED_VALUE"""),"(Chưa recheck)")</f>
        <v>(Chưa recheck)</v>
      </c>
      <c r="J104" s="265" t="str">
        <f>IFERROR(__xludf.DUMMYFUNCTION("""COMPUTED_VALUE"""),"(Chưa recheck)")</f>
        <v>(Chưa recheck)</v>
      </c>
    </row>
    <row r="105">
      <c r="A105" s="265" t="str">
        <f>IFERROR(__xludf.DUMMYFUNCTION("""COMPUTED_VALUE"""),"425")</f>
        <v>425</v>
      </c>
      <c r="B105" s="265" t="str">
        <f>IFERROR(__xludf.DUMMYFUNCTION("""COMPUTED_VALUE"""),"Hà Nội")</f>
        <v>Hà Nội</v>
      </c>
      <c r="C105" s="265" t="str">
        <f>IFERROR(__xludf.DUMMYFUNCTION("""COMPUTED_VALUE"""),"Active")</f>
        <v>Active</v>
      </c>
      <c r="D105" s="265" t="str">
        <f>IFERROR(__xludf.DUMMYFUNCTION("""COMPUTED_VALUE"""),"Thực phẩm và đồ uống")</f>
        <v>Thực phẩm và đồ uống</v>
      </c>
      <c r="E105" s="265" t="str">
        <f>IFERROR(__xludf.DUMMYFUNCTION("""COMPUTED_VALUE"""),"AnhNM")</f>
        <v>AnhNM</v>
      </c>
      <c r="F105" s="265" t="str">
        <f>IFERROR(__xludf.DUMMYFUNCTION("""COMPUTED_VALUE"""),"Silver")</f>
        <v>Silver</v>
      </c>
      <c r="G105" s="265" t="str">
        <f>IFERROR(__xludf.DUMMYFUNCTION("""COMPUTED_VALUE"""),"Starter")</f>
        <v>Starter</v>
      </c>
      <c r="H105" s="265" t="str">
        <f>IFERROR(__xludf.DUMMYFUNCTION("""COMPUTED_VALUE"""),"Trả sau")</f>
        <v>Trả sau</v>
      </c>
      <c r="I105" s="265" t="str">
        <f>IFERROR(__xludf.DUMMYFUNCTION("""COMPUTED_VALUE"""),"API")</f>
        <v>API</v>
      </c>
      <c r="J105" s="265" t="str">
        <f>IFERROR(__xludf.DUMMYFUNCTION("""COMPUTED_VALUE"""),"Zalo ZNS")</f>
        <v>Zalo ZNS</v>
      </c>
    </row>
    <row r="106">
      <c r="A106" s="265" t="str">
        <f>IFERROR(__xludf.DUMMYFUNCTION("""COMPUTED_VALUE"""),"428")</f>
        <v>428</v>
      </c>
      <c r="B106" s="265" t="str">
        <f>IFERROR(__xludf.DUMMYFUNCTION("""COMPUTED_VALUE"""),"Hà Nội")</f>
        <v>Hà Nội</v>
      </c>
      <c r="C106" s="265" t="str">
        <f>IFERROR(__xludf.DUMMYFUNCTION("""COMPUTED_VALUE"""),"Active")</f>
        <v>Active</v>
      </c>
      <c r="D106" s="265" t="str">
        <f>IFERROR(__xludf.DUMMYFUNCTION("""COMPUTED_VALUE"""),"Sale chưa cung cấp")</f>
        <v>Sale chưa cung cấp</v>
      </c>
      <c r="E106" s="265" t="str">
        <f>IFERROR(__xludf.DUMMYFUNCTION("""COMPUTED_VALUE"""),"AnhNM")</f>
        <v>AnhNM</v>
      </c>
      <c r="F106" s="265" t="str">
        <f>IFERROR(__xludf.DUMMYFUNCTION("""COMPUTED_VALUE"""),"Silver")</f>
        <v>Silver</v>
      </c>
      <c r="G106" s="265" t="str">
        <f>IFERROR(__xludf.DUMMYFUNCTION("""COMPUTED_VALUE"""),"Premium")</f>
        <v>Premium</v>
      </c>
      <c r="H106" s="265" t="str">
        <f>IFERROR(__xludf.DUMMYFUNCTION("""COMPUTED_VALUE"""),"Trả sau")</f>
        <v>Trả sau</v>
      </c>
      <c r="I106" s="265" t="str">
        <f>IFERROR(__xludf.DUMMYFUNCTION("""COMPUTED_VALUE"""),"API &amp; Portal")</f>
        <v>API &amp; Portal</v>
      </c>
      <c r="J106" s="265" t="str">
        <f>IFERROR(__xludf.DUMMYFUNCTION("""COMPUTED_VALUE"""),"Email")</f>
        <v>Email</v>
      </c>
    </row>
    <row r="107">
      <c r="A107" s="265" t="str">
        <f>IFERROR(__xludf.DUMMYFUNCTION("""COMPUTED_VALUE"""),"426")</f>
        <v>426</v>
      </c>
      <c r="B107" s="265" t="str">
        <f>IFERROR(__xludf.DUMMYFUNCTION("""COMPUTED_VALUE"""),"Sài Gòn")</f>
        <v>Sài Gòn</v>
      </c>
      <c r="C107" s="265" t="str">
        <f>IFERROR(__xludf.DUMMYFUNCTION("""COMPUTED_VALUE"""),"Locked")</f>
        <v>Locked</v>
      </c>
      <c r="D107" s="265" t="str">
        <f>IFERROR(__xludf.DUMMYFUNCTION("""COMPUTED_VALUE"""),"Sale chưa cung cấp")</f>
        <v>Sale chưa cung cấp</v>
      </c>
      <c r="E107" s="265" t="str">
        <f>IFERROR(__xludf.DUMMYFUNCTION("""COMPUTED_VALUE"""),"HoaNTM")</f>
        <v>HoaNTM</v>
      </c>
      <c r="F107" s="265" t="str">
        <f>IFERROR(__xludf.DUMMYFUNCTION("""COMPUTED_VALUE"""),"Sale chưa cung cấp")</f>
        <v>Sale chưa cung cấp</v>
      </c>
      <c r="G107" s="265" t="str">
        <f>IFERROR(__xludf.DUMMYFUNCTION("""COMPUTED_VALUE"""),"API")</f>
        <v>API</v>
      </c>
      <c r="H107" s="265" t="str">
        <f>IFERROR(__xludf.DUMMYFUNCTION("""COMPUTED_VALUE"""),"Trả sau")</f>
        <v>Trả sau</v>
      </c>
      <c r="I107" s="265" t="str">
        <f>IFERROR(__xludf.DUMMYFUNCTION("""COMPUTED_VALUE"""),"API")</f>
        <v>API</v>
      </c>
      <c r="J107" s="265" t="str">
        <f>IFERROR(__xludf.DUMMYFUNCTION("""COMPUTED_VALUE"""),"Zalo ZNS")</f>
        <v>Zalo ZNS</v>
      </c>
    </row>
    <row r="108">
      <c r="A108" s="265" t="str">
        <f>IFERROR(__xludf.DUMMYFUNCTION("""COMPUTED_VALUE"""),"429")</f>
        <v>429</v>
      </c>
      <c r="B108" s="265" t="str">
        <f>IFERROR(__xludf.DUMMYFUNCTION("""COMPUTED_VALUE"""),"Hà Nội")</f>
        <v>Hà Nội</v>
      </c>
      <c r="C108" s="265" t="str">
        <f>IFERROR(__xludf.DUMMYFUNCTION("""COMPUTED_VALUE"""),"Locked")</f>
        <v>Locked</v>
      </c>
      <c r="D108" s="265" t="str">
        <f>IFERROR(__xludf.DUMMYFUNCTION("""COMPUTED_VALUE"""),"Sale chưa cung cấp")</f>
        <v>Sale chưa cung cấp</v>
      </c>
      <c r="E108" s="265" t="str">
        <f>IFERROR(__xludf.DUMMYFUNCTION("""COMPUTED_VALUE"""),"NamDT")</f>
        <v>NamDT</v>
      </c>
      <c r="F108" s="265" t="str">
        <f>IFERROR(__xludf.DUMMYFUNCTION("""COMPUTED_VALUE"""),"Sale chưa cung cấp")</f>
        <v>Sale chưa cung cấp</v>
      </c>
      <c r="G108" s="265" t="str">
        <f>IFERROR(__xludf.DUMMYFUNCTION("""COMPUTED_VALUE"""),"Enterprise")</f>
        <v>Enterprise</v>
      </c>
      <c r="H108" s="265" t="str">
        <f>IFERROR(__xludf.DUMMYFUNCTION("""COMPUTED_VALUE"""),"(Chưa recheck)")</f>
        <v>(Chưa recheck)</v>
      </c>
      <c r="I108" s="265" t="str">
        <f>IFERROR(__xludf.DUMMYFUNCTION("""COMPUTED_VALUE"""),"(Chưa recheck)")</f>
        <v>(Chưa recheck)</v>
      </c>
      <c r="J108" s="265" t="str">
        <f>IFERROR(__xludf.DUMMYFUNCTION("""COMPUTED_VALUE"""),"(Chưa recheck)")</f>
        <v>(Chưa recheck)</v>
      </c>
    </row>
    <row r="109">
      <c r="A109" s="265" t="str">
        <f>IFERROR(__xludf.DUMMYFUNCTION("""COMPUTED_VALUE"""),"427")</f>
        <v>427</v>
      </c>
      <c r="B109" s="265" t="str">
        <f>IFERROR(__xludf.DUMMYFUNCTION("""COMPUTED_VALUE"""),"Sài Gòn")</f>
        <v>Sài Gòn</v>
      </c>
      <c r="C109" s="265" t="str">
        <f>IFERROR(__xludf.DUMMYFUNCTION("""COMPUTED_VALUE"""),"Locked")</f>
        <v>Locked</v>
      </c>
      <c r="D109" s="265" t="str">
        <f>IFERROR(__xludf.DUMMYFUNCTION("""COMPUTED_VALUE"""),"Sale chưa cung cấp")</f>
        <v>Sale chưa cung cấp</v>
      </c>
      <c r="E109" s="265" t="str">
        <f>IFERROR(__xludf.DUMMYFUNCTION("""COMPUTED_VALUE"""),"HoaNTM")</f>
        <v>HoaNTM</v>
      </c>
      <c r="F109" s="265" t="str">
        <f>IFERROR(__xludf.DUMMYFUNCTION("""COMPUTED_VALUE"""),"Bronze")</f>
        <v>Bronze</v>
      </c>
      <c r="G109" s="265" t="str">
        <f>IFERROR(__xludf.DUMMYFUNCTION("""COMPUTED_VALUE"""),"MSG")</f>
        <v>MSG</v>
      </c>
      <c r="H109" s="265" t="str">
        <f>IFERROR(__xludf.DUMMYFUNCTION("""COMPUTED_VALUE"""),"(Chưa recheck)")</f>
        <v>(Chưa recheck)</v>
      </c>
      <c r="I109" s="265" t="str">
        <f>IFERROR(__xludf.DUMMYFUNCTION("""COMPUTED_VALUE"""),"(Chưa recheck)")</f>
        <v>(Chưa recheck)</v>
      </c>
      <c r="J109" s="265" t="str">
        <f>IFERROR(__xludf.DUMMYFUNCTION("""COMPUTED_VALUE"""),"(Chưa recheck)")</f>
        <v>(Chưa recheck)</v>
      </c>
    </row>
    <row r="110">
      <c r="A110" s="265" t="str">
        <f>IFERROR(__xludf.DUMMYFUNCTION("""COMPUTED_VALUE"""),"431")</f>
        <v>431</v>
      </c>
      <c r="B110" s="265" t="str">
        <f>IFERROR(__xludf.DUMMYFUNCTION("""COMPUTED_VALUE"""),"Đà Nẵng")</f>
        <v>Đà Nẵng</v>
      </c>
      <c r="C110" s="265" t="str">
        <f>IFERROR(__xludf.DUMMYFUNCTION("""COMPUTED_VALUE"""),"Active")</f>
        <v>Active</v>
      </c>
      <c r="D110" s="265" t="str">
        <f>IFERROR(__xludf.DUMMYFUNCTION("""COMPUTED_VALUE"""),"Sale chưa cung cấp")</f>
        <v>Sale chưa cung cấp</v>
      </c>
      <c r="E110" s="265" t="str">
        <f>IFERROR(__xludf.DUMMYFUNCTION("""COMPUTED_VALUE"""),"AnhNM")</f>
        <v>AnhNM</v>
      </c>
      <c r="F110" s="265" t="str">
        <f>IFERROR(__xludf.DUMMYFUNCTION("""COMPUTED_VALUE"""),"Gold")</f>
        <v>Gold</v>
      </c>
      <c r="G110" s="265" t="str">
        <f>IFERROR(__xludf.DUMMYFUNCTION("""COMPUTED_VALUE"""),"Enterprise")</f>
        <v>Enterprise</v>
      </c>
      <c r="H110" s="265" t="str">
        <f>IFERROR(__xludf.DUMMYFUNCTION("""COMPUTED_VALUE"""),"Trả sau")</f>
        <v>Trả sau</v>
      </c>
      <c r="I110" s="265" t="str">
        <f>IFERROR(__xludf.DUMMYFUNCTION("""COMPUTED_VALUE"""),"API &amp; Portal")</f>
        <v>API &amp; Portal</v>
      </c>
      <c r="J110" s="265" t="str">
        <f>IFERROR(__xludf.DUMMYFUNCTION("""COMPUTED_VALUE"""),"Zalo ZNS")</f>
        <v>Zalo ZNS</v>
      </c>
    </row>
    <row r="111">
      <c r="A111" s="265" t="str">
        <f>IFERROR(__xludf.DUMMYFUNCTION("""COMPUTED_VALUE"""),"432")</f>
        <v>432</v>
      </c>
      <c r="B111" s="265" t="str">
        <f>IFERROR(__xludf.DUMMYFUNCTION("""COMPUTED_VALUE"""),"Đà Nẵng")</f>
        <v>Đà Nẵng</v>
      </c>
      <c r="C111" s="265" t="str">
        <f>IFERROR(__xludf.DUMMYFUNCTION("""COMPUTED_VALUE"""),"Active")</f>
        <v>Active</v>
      </c>
      <c r="D111" s="265" t="str">
        <f>IFERROR(__xludf.DUMMYFUNCTION("""COMPUTED_VALUE"""),"Sale chưa cung cấp")</f>
        <v>Sale chưa cung cấp</v>
      </c>
      <c r="E111" s="265" t="str">
        <f>IFERROR(__xludf.DUMMYFUNCTION("""COMPUTED_VALUE"""),"AnhNM")</f>
        <v>AnhNM</v>
      </c>
      <c r="F111" s="265" t="str">
        <f>IFERROR(__xludf.DUMMYFUNCTION("""COMPUTED_VALUE"""),"Silver")</f>
        <v>Silver</v>
      </c>
      <c r="G111" s="265" t="str">
        <f>IFERROR(__xludf.DUMMYFUNCTION("""COMPUTED_VALUE"""),"Enterprise")</f>
        <v>Enterprise</v>
      </c>
      <c r="H111" s="265" t="str">
        <f>IFERROR(__xludf.DUMMYFUNCTION("""COMPUTED_VALUE"""),"Trả sau")</f>
        <v>Trả sau</v>
      </c>
      <c r="I111" s="265" t="str">
        <f>IFERROR(__xludf.DUMMYFUNCTION("""COMPUTED_VALUE"""),"API &amp; Portal")</f>
        <v>API &amp; Portal</v>
      </c>
      <c r="J111" s="265" t="str">
        <f>IFERROR(__xludf.DUMMYFUNCTION("""COMPUTED_VALUE"""),"Zalo ZNS")</f>
        <v>Zalo ZNS</v>
      </c>
    </row>
    <row r="112">
      <c r="A112" s="265" t="str">
        <f>IFERROR(__xludf.DUMMYFUNCTION("""COMPUTED_VALUE"""),"433")</f>
        <v>433</v>
      </c>
      <c r="B112" s="265" t="str">
        <f>IFERROR(__xludf.DUMMYFUNCTION("""COMPUTED_VALUE"""),"Sài Gòn")</f>
        <v>Sài Gòn</v>
      </c>
      <c r="C112" s="265" t="str">
        <f>IFERROR(__xludf.DUMMYFUNCTION("""COMPUTED_VALUE"""),"Active")</f>
        <v>Active</v>
      </c>
      <c r="D112" s="265" t="str">
        <f>IFERROR(__xludf.DUMMYFUNCTION("""COMPUTED_VALUE"""),"Sale chưa cung cấp")</f>
        <v>Sale chưa cung cấp</v>
      </c>
      <c r="E112" s="265" t="str">
        <f>IFERROR(__xludf.DUMMYFUNCTION("""COMPUTED_VALUE"""),"AnhNM")</f>
        <v>AnhNM</v>
      </c>
      <c r="F112" s="265" t="str">
        <f>IFERROR(__xludf.DUMMYFUNCTION("""COMPUTED_VALUE"""),"Silver")</f>
        <v>Silver</v>
      </c>
      <c r="G112" s="265" t="str">
        <f>IFERROR(__xludf.DUMMYFUNCTION("""COMPUTED_VALUE"""),"Enterprise")</f>
        <v>Enterprise</v>
      </c>
      <c r="H112" s="265" t="str">
        <f>IFERROR(__xludf.DUMMYFUNCTION("""COMPUTED_VALUE"""),"Trả trước")</f>
        <v>Trả trước</v>
      </c>
      <c r="I112" s="265" t="str">
        <f>IFERROR(__xludf.DUMMYFUNCTION("""COMPUTED_VALUE"""),"API &amp; Portal")</f>
        <v>API &amp; Portal</v>
      </c>
      <c r="J112" s="265" t="str">
        <f>IFERROR(__xludf.DUMMYFUNCTION("""COMPUTED_VALUE"""),"Zalo ZNS")</f>
        <v>Zalo ZNS</v>
      </c>
    </row>
    <row r="113">
      <c r="A113" s="265" t="str">
        <f>IFERROR(__xludf.DUMMYFUNCTION("""COMPUTED_VALUE"""),"437")</f>
        <v>437</v>
      </c>
      <c r="B113" s="265" t="str">
        <f>IFERROR(__xludf.DUMMYFUNCTION("""COMPUTED_VALUE"""),"Sài Gòn")</f>
        <v>Sài Gòn</v>
      </c>
      <c r="C113" s="265" t="str">
        <f>IFERROR(__xludf.DUMMYFUNCTION("""COMPUTED_VALUE"""),"Locked")</f>
        <v>Locked</v>
      </c>
      <c r="D113" s="265" t="str">
        <f>IFERROR(__xludf.DUMMYFUNCTION("""COMPUTED_VALUE"""),"Sale chưa cung cấp")</f>
        <v>Sale chưa cung cấp</v>
      </c>
      <c r="E113" s="265" t="str">
        <f>IFERROR(__xludf.DUMMYFUNCTION("""COMPUTED_VALUE"""),"HoaNTM")</f>
        <v>HoaNTM</v>
      </c>
      <c r="F113" s="265" t="str">
        <f>IFERROR(__xludf.DUMMYFUNCTION("""COMPUTED_VALUE"""),"Sale chưa cung cấp")</f>
        <v>Sale chưa cung cấp</v>
      </c>
      <c r="G113" s="265" t="str">
        <f>IFERROR(__xludf.DUMMYFUNCTION("""COMPUTED_VALUE"""),"API")</f>
        <v>API</v>
      </c>
      <c r="H113" s="265" t="str">
        <f>IFERROR(__xludf.DUMMYFUNCTION("""COMPUTED_VALUE"""),"(Chưa recheck)")</f>
        <v>(Chưa recheck)</v>
      </c>
      <c r="I113" s="265" t="str">
        <f>IFERROR(__xludf.DUMMYFUNCTION("""COMPUTED_VALUE"""),"(Chưa recheck)")</f>
        <v>(Chưa recheck)</v>
      </c>
      <c r="J113" s="265" t="str">
        <f>IFERROR(__xludf.DUMMYFUNCTION("""COMPUTED_VALUE"""),"(Chưa recheck)")</f>
        <v>(Chưa recheck)</v>
      </c>
    </row>
    <row r="114">
      <c r="A114" s="265" t="str">
        <f>IFERROR(__xludf.DUMMYFUNCTION("""COMPUTED_VALUE"""),"438")</f>
        <v>438</v>
      </c>
      <c r="B114" s="265" t="str">
        <f>IFERROR(__xludf.DUMMYFUNCTION("""COMPUTED_VALUE"""),"Sài Gòn")</f>
        <v>Sài Gòn</v>
      </c>
      <c r="C114" s="265" t="str">
        <f>IFERROR(__xludf.DUMMYFUNCTION("""COMPUTED_VALUE"""),"Locked")</f>
        <v>Locked</v>
      </c>
      <c r="D114" s="265" t="str">
        <f>IFERROR(__xludf.DUMMYFUNCTION("""COMPUTED_VALUE"""),"Sale chưa cung cấp")</f>
        <v>Sale chưa cung cấp</v>
      </c>
      <c r="E114" s="265" t="str">
        <f>IFERROR(__xludf.DUMMYFUNCTION("""COMPUTED_VALUE"""),"PhươngDTB")</f>
        <v>PhươngDTB</v>
      </c>
      <c r="F114" s="265" t="str">
        <f>IFERROR(__xludf.DUMMYFUNCTION("""COMPUTED_VALUE"""),"Bronze")</f>
        <v>Bronze</v>
      </c>
      <c r="G114" s="265" t="str">
        <f>IFERROR(__xludf.DUMMYFUNCTION("""COMPUTED_VALUE"""),"MSG")</f>
        <v>MSG</v>
      </c>
      <c r="H114" s="265" t="str">
        <f>IFERROR(__xludf.DUMMYFUNCTION("""COMPUTED_VALUE"""),"(Chưa recheck)")</f>
        <v>(Chưa recheck)</v>
      </c>
      <c r="I114" s="265" t="str">
        <f>IFERROR(__xludf.DUMMYFUNCTION("""COMPUTED_VALUE"""),"(Chưa recheck)")</f>
        <v>(Chưa recheck)</v>
      </c>
      <c r="J114" s="265" t="str">
        <f>IFERROR(__xludf.DUMMYFUNCTION("""COMPUTED_VALUE"""),"(Chưa recheck)")</f>
        <v>(Chưa recheck)</v>
      </c>
    </row>
    <row r="115">
      <c r="A115" s="265" t="str">
        <f>IFERROR(__xludf.DUMMYFUNCTION("""COMPUTED_VALUE"""),"439")</f>
        <v>439</v>
      </c>
      <c r="B115" s="265" t="str">
        <f>IFERROR(__xludf.DUMMYFUNCTION("""COMPUTED_VALUE"""),"Hà Nội")</f>
        <v>Hà Nội</v>
      </c>
      <c r="C115" s="265" t="str">
        <f>IFERROR(__xludf.DUMMYFUNCTION("""COMPUTED_VALUE"""),"Locked")</f>
        <v>Locked</v>
      </c>
      <c r="D115" s="265" t="str">
        <f>IFERROR(__xludf.DUMMYFUNCTION("""COMPUTED_VALUE"""),"Sale chưa cung cấp")</f>
        <v>Sale chưa cung cấp</v>
      </c>
      <c r="E115" s="265" t="str">
        <f>IFERROR(__xludf.DUMMYFUNCTION("""COMPUTED_VALUE"""),"NamDT")</f>
        <v>NamDT</v>
      </c>
      <c r="F115" s="265" t="str">
        <f>IFERROR(__xludf.DUMMYFUNCTION("""COMPUTED_VALUE"""),"Sale chưa cung cấp")</f>
        <v>Sale chưa cung cấp</v>
      </c>
      <c r="G115" s="265" t="str">
        <f>IFERROR(__xludf.DUMMYFUNCTION("""COMPUTED_VALUE"""),"Enterprise")</f>
        <v>Enterprise</v>
      </c>
      <c r="H115" s="265" t="str">
        <f>IFERROR(__xludf.DUMMYFUNCTION("""COMPUTED_VALUE"""),"Trial")</f>
        <v>Trial</v>
      </c>
      <c r="I115" s="265" t="str">
        <f>IFERROR(__xludf.DUMMYFUNCTION("""COMPUTED_VALUE"""),"(Không recheck)")</f>
        <v>(Không recheck)</v>
      </c>
      <c r="J115" s="265" t="str">
        <f>IFERROR(__xludf.DUMMYFUNCTION("""COMPUTED_VALUE"""),"(Không recheck)")</f>
        <v>(Không recheck)</v>
      </c>
    </row>
    <row r="116">
      <c r="A116" s="265" t="str">
        <f>IFERROR(__xludf.DUMMYFUNCTION("""COMPUTED_VALUE"""),"440")</f>
        <v>440</v>
      </c>
      <c r="B116" s="265" t="str">
        <f>IFERROR(__xludf.DUMMYFUNCTION("""COMPUTED_VALUE"""),"Sài Gòn")</f>
        <v>Sài Gòn</v>
      </c>
      <c r="C116" s="265" t="str">
        <f>IFERROR(__xludf.DUMMYFUNCTION("""COMPUTED_VALUE"""),"Locked")</f>
        <v>Locked</v>
      </c>
      <c r="D116" s="265" t="str">
        <f>IFERROR(__xludf.DUMMYFUNCTION("""COMPUTED_VALUE"""),"Sale chưa cung cấp")</f>
        <v>Sale chưa cung cấp</v>
      </c>
      <c r="E116" s="265" t="str">
        <f>IFERROR(__xludf.DUMMYFUNCTION("""COMPUTED_VALUE"""),"TúPHN")</f>
        <v>TúPHN</v>
      </c>
      <c r="F116" s="265" t="str">
        <f>IFERROR(__xludf.DUMMYFUNCTION("""COMPUTED_VALUE"""),"Bronze")</f>
        <v>Bronze</v>
      </c>
      <c r="G116" s="265" t="str">
        <f>IFERROR(__xludf.DUMMYFUNCTION("""COMPUTED_VALUE"""),"MSG")</f>
        <v>MSG</v>
      </c>
      <c r="H116" s="265" t="str">
        <f>IFERROR(__xludf.DUMMYFUNCTION("""COMPUTED_VALUE"""),"(Chưa recheck)")</f>
        <v>(Chưa recheck)</v>
      </c>
      <c r="I116" s="265" t="str">
        <f>IFERROR(__xludf.DUMMYFUNCTION("""COMPUTED_VALUE"""),"(Chưa recheck)")</f>
        <v>(Chưa recheck)</v>
      </c>
      <c r="J116" s="265" t="str">
        <f>IFERROR(__xludf.DUMMYFUNCTION("""COMPUTED_VALUE"""),"(Chưa recheck)")</f>
        <v>(Chưa recheck)</v>
      </c>
    </row>
    <row r="117">
      <c r="A117" s="265" t="str">
        <f>IFERROR(__xludf.DUMMYFUNCTION("""COMPUTED_VALUE"""),"307")</f>
        <v>307</v>
      </c>
      <c r="B117" s="265" t="str">
        <f>IFERROR(__xludf.DUMMYFUNCTION("""COMPUTED_VALUE"""),"Hà Nội")</f>
        <v>Hà Nội</v>
      </c>
      <c r="C117" s="265" t="str">
        <f>IFERROR(__xludf.DUMMYFUNCTION("""COMPUTED_VALUE"""),"Locked")</f>
        <v>Locked</v>
      </c>
      <c r="D117" s="265" t="str">
        <f>IFERROR(__xludf.DUMMYFUNCTION("""COMPUTED_VALUE"""),"Sale chưa cung cấp")</f>
        <v>Sale chưa cung cấp</v>
      </c>
      <c r="E117" s="265" t="str">
        <f>IFERROR(__xludf.DUMMYFUNCTION("""COMPUTED_VALUE"""),"MaiTP")</f>
        <v>MaiTP</v>
      </c>
      <c r="F117" s="265" t="str">
        <f>IFERROR(__xludf.DUMMYFUNCTION("""COMPUTED_VALUE"""),"Sale chưa cung cấp")</f>
        <v>Sale chưa cung cấp</v>
      </c>
      <c r="G117" s="265" t="str">
        <f>IFERROR(__xludf.DUMMYFUNCTION("""COMPUTED_VALUE"""),"API")</f>
        <v>API</v>
      </c>
      <c r="H117" s="265" t="str">
        <f>IFERROR(__xludf.DUMMYFUNCTION("""COMPUTED_VALUE"""),"(Chưa recheck)")</f>
        <v>(Chưa recheck)</v>
      </c>
      <c r="I117" s="265" t="str">
        <f>IFERROR(__xludf.DUMMYFUNCTION("""COMPUTED_VALUE"""),"(Chưa recheck)")</f>
        <v>(Chưa recheck)</v>
      </c>
      <c r="J117" s="265" t="str">
        <f>IFERROR(__xludf.DUMMYFUNCTION("""COMPUTED_VALUE"""),"(Chưa recheck)")</f>
        <v>(Chưa recheck)</v>
      </c>
    </row>
    <row r="118">
      <c r="A118" s="265" t="str">
        <f>IFERROR(__xludf.DUMMYFUNCTION("""COMPUTED_VALUE"""),"441")</f>
        <v>441</v>
      </c>
      <c r="B118" s="265" t="str">
        <f>IFERROR(__xludf.DUMMYFUNCTION("""COMPUTED_VALUE"""),"Hà Nội")</f>
        <v>Hà Nội</v>
      </c>
      <c r="C118" s="265" t="str">
        <f>IFERROR(__xludf.DUMMYFUNCTION("""COMPUTED_VALUE"""),"Locked")</f>
        <v>Locked</v>
      </c>
      <c r="D118" s="265" t="str">
        <f>IFERROR(__xludf.DUMMYFUNCTION("""COMPUTED_VALUE"""),"Sale chưa cung cấp")</f>
        <v>Sale chưa cung cấp</v>
      </c>
      <c r="E118" s="265" t="str">
        <f>IFERROR(__xludf.DUMMYFUNCTION("""COMPUTED_VALUE"""),"PhươngDTB")</f>
        <v>PhươngDTB</v>
      </c>
      <c r="F118" s="265" t="str">
        <f>IFERROR(__xludf.DUMMYFUNCTION("""COMPUTED_VALUE"""),"Bronze")</f>
        <v>Bronze</v>
      </c>
      <c r="G118" s="265" t="str">
        <f>IFERROR(__xludf.DUMMYFUNCTION("""COMPUTED_VALUE"""),"API")</f>
        <v>API</v>
      </c>
      <c r="H118" s="265" t="str">
        <f>IFERROR(__xludf.DUMMYFUNCTION("""COMPUTED_VALUE"""),"(Chưa recheck)")</f>
        <v>(Chưa recheck)</v>
      </c>
      <c r="I118" s="265" t="str">
        <f>IFERROR(__xludf.DUMMYFUNCTION("""COMPUTED_VALUE"""),"(Chưa recheck)")</f>
        <v>(Chưa recheck)</v>
      </c>
      <c r="J118" s="265" t="str">
        <f>IFERROR(__xludf.DUMMYFUNCTION("""COMPUTED_VALUE"""),"Zalo ZNS")</f>
        <v>Zalo ZNS</v>
      </c>
    </row>
    <row r="119">
      <c r="A119" s="265" t="str">
        <f>IFERROR(__xludf.DUMMYFUNCTION("""COMPUTED_VALUE"""),"442")</f>
        <v>442</v>
      </c>
      <c r="B119" s="265" t="str">
        <f>IFERROR(__xludf.DUMMYFUNCTION("""COMPUTED_VALUE"""),"Sài Gòn")</f>
        <v>Sài Gòn</v>
      </c>
      <c r="C119" s="265" t="str">
        <f>IFERROR(__xludf.DUMMYFUNCTION("""COMPUTED_VALUE"""),"Locked")</f>
        <v>Locked</v>
      </c>
      <c r="D119" s="265" t="str">
        <f>IFERROR(__xludf.DUMMYFUNCTION("""COMPUTED_VALUE"""),"Truyền thông &amp; Giải trí")</f>
        <v>Truyền thông &amp; Giải trí</v>
      </c>
      <c r="E119" s="265" t="str">
        <f>IFERROR(__xludf.DUMMYFUNCTION("""COMPUTED_VALUE"""),"Không phân công")</f>
        <v>Không phân công</v>
      </c>
      <c r="F119" s="265" t="str">
        <f>IFERROR(__xludf.DUMMYFUNCTION("""COMPUTED_VALUE"""),"Diamond")</f>
        <v>Diamond</v>
      </c>
      <c r="G119" s="265" t="str">
        <f>IFERROR(__xludf.DUMMYFUNCTION("""COMPUTED_VALUE"""),"Starter")</f>
        <v>Starter</v>
      </c>
      <c r="H119" s="265" t="str">
        <f>IFERROR(__xludf.DUMMYFUNCTION("""COMPUTED_VALUE"""),"Trả sau")</f>
        <v>Trả sau</v>
      </c>
      <c r="I119" s="265" t="str">
        <f>IFERROR(__xludf.DUMMYFUNCTION("""COMPUTED_VALUE"""),"API")</f>
        <v>API</v>
      </c>
      <c r="J119" s="265" t="str">
        <f>IFERROR(__xludf.DUMMYFUNCTION("""COMPUTED_VALUE"""),"SMS CSKH")</f>
        <v>SMS CSKH</v>
      </c>
    </row>
    <row r="120">
      <c r="A120" s="265" t="str">
        <f>IFERROR(__xludf.DUMMYFUNCTION("""COMPUTED_VALUE"""),"443")</f>
        <v>443</v>
      </c>
      <c r="B120" s="265" t="str">
        <f>IFERROR(__xludf.DUMMYFUNCTION("""COMPUTED_VALUE"""),"Hà Nội")</f>
        <v>Hà Nội</v>
      </c>
      <c r="C120" s="265" t="str">
        <f>IFERROR(__xludf.DUMMYFUNCTION("""COMPUTED_VALUE"""),"Locked")</f>
        <v>Locked</v>
      </c>
      <c r="D120" s="265" t="str">
        <f>IFERROR(__xludf.DUMMYFUNCTION("""COMPUTED_VALUE"""),"Sale chưa cung cấp")</f>
        <v>Sale chưa cung cấp</v>
      </c>
      <c r="E120" s="265" t="str">
        <f>IFERROR(__xludf.DUMMYFUNCTION("""COMPUTED_VALUE"""),"PhươngDTB")</f>
        <v>PhươngDTB</v>
      </c>
      <c r="F120" s="265" t="str">
        <f>IFERROR(__xludf.DUMMYFUNCTION("""COMPUTED_VALUE"""),"Bronze")</f>
        <v>Bronze</v>
      </c>
      <c r="G120" s="265" t="str">
        <f>IFERROR(__xludf.DUMMYFUNCTION("""COMPUTED_VALUE"""),"Enterprise")</f>
        <v>Enterprise</v>
      </c>
      <c r="H120" s="265" t="str">
        <f>IFERROR(__xludf.DUMMYFUNCTION("""COMPUTED_VALUE"""),"(Chưa recheck)")</f>
        <v>(Chưa recheck)</v>
      </c>
      <c r="I120" s="265" t="str">
        <f>IFERROR(__xludf.DUMMYFUNCTION("""COMPUTED_VALUE"""),"(Chưa recheck)")</f>
        <v>(Chưa recheck)</v>
      </c>
      <c r="J120" s="265" t="str">
        <f>IFERROR(__xludf.DUMMYFUNCTION("""COMPUTED_VALUE"""),"(Chưa recheck)")</f>
        <v>(Chưa recheck)</v>
      </c>
    </row>
    <row r="121">
      <c r="A121" s="265" t="str">
        <f>IFERROR(__xludf.DUMMYFUNCTION("""COMPUTED_VALUE"""),"446")</f>
        <v>446</v>
      </c>
      <c r="B121" s="265" t="str">
        <f>IFERROR(__xludf.DUMMYFUNCTION("""COMPUTED_VALUE"""),"Hà Nội")</f>
        <v>Hà Nội</v>
      </c>
      <c r="C121" s="265" t="str">
        <f>IFERROR(__xludf.DUMMYFUNCTION("""COMPUTED_VALUE"""),"Active")</f>
        <v>Active</v>
      </c>
      <c r="D121" s="265" t="str">
        <f>IFERROR(__xludf.DUMMYFUNCTION("""COMPUTED_VALUE"""),"Sale chưa cung cấp")</f>
        <v>Sale chưa cung cấp</v>
      </c>
      <c r="E121" s="265" t="str">
        <f>IFERROR(__xludf.DUMMYFUNCTION("""COMPUTED_VALUE"""),"TúPHN")</f>
        <v>TúPHN</v>
      </c>
      <c r="F121" s="265" t="str">
        <f>IFERROR(__xludf.DUMMYFUNCTION("""COMPUTED_VALUE"""),"Bronze")</f>
        <v>Bronze</v>
      </c>
      <c r="G121" s="265" t="str">
        <f>IFERROR(__xludf.DUMMYFUNCTION("""COMPUTED_VALUE"""),"API")</f>
        <v>API</v>
      </c>
      <c r="H121" s="265" t="str">
        <f>IFERROR(__xludf.DUMMYFUNCTION("""COMPUTED_VALUE"""),"Trả sau")</f>
        <v>Trả sau</v>
      </c>
      <c r="I121" s="265" t="str">
        <f>IFERROR(__xludf.DUMMYFUNCTION("""COMPUTED_VALUE"""),"API")</f>
        <v>API</v>
      </c>
      <c r="J121" s="265" t="str">
        <f>IFERROR(__xludf.DUMMYFUNCTION("""COMPUTED_VALUE"""),"SMS CSKH")</f>
        <v>SMS CSKH</v>
      </c>
    </row>
    <row r="122">
      <c r="A122" s="265" t="str">
        <f>IFERROR(__xludf.DUMMYFUNCTION("""COMPUTED_VALUE"""),"445")</f>
        <v>445</v>
      </c>
      <c r="B122" s="265" t="str">
        <f>IFERROR(__xludf.DUMMYFUNCTION("""COMPUTED_VALUE"""),"Sài Gòn")</f>
        <v>Sài Gòn</v>
      </c>
      <c r="C122" s="265" t="str">
        <f>IFERROR(__xludf.DUMMYFUNCTION("""COMPUTED_VALUE"""),"Locked")</f>
        <v>Locked</v>
      </c>
      <c r="D122" s="265" t="str">
        <f>IFERROR(__xludf.DUMMYFUNCTION("""COMPUTED_VALUE"""),"Sale chưa cung cấp")</f>
        <v>Sale chưa cung cấp</v>
      </c>
      <c r="E122" s="265" t="str">
        <f>IFERROR(__xludf.DUMMYFUNCTION("""COMPUTED_VALUE"""),"HoaNTM")</f>
        <v>HoaNTM</v>
      </c>
      <c r="F122" s="265" t="str">
        <f>IFERROR(__xludf.DUMMYFUNCTION("""COMPUTED_VALUE"""),"Sale chưa cung cấp")</f>
        <v>Sale chưa cung cấp</v>
      </c>
      <c r="G122" s="265" t="str">
        <f>IFERROR(__xludf.DUMMYFUNCTION("""COMPUTED_VALUE"""),"MSG")</f>
        <v>MSG</v>
      </c>
      <c r="H122" s="265" t="str">
        <f>IFERROR(__xludf.DUMMYFUNCTION("""COMPUTED_VALUE"""),"(Chưa recheck)")</f>
        <v>(Chưa recheck)</v>
      </c>
      <c r="I122" s="265" t="str">
        <f>IFERROR(__xludf.DUMMYFUNCTION("""COMPUTED_VALUE"""),"(Chưa recheck)")</f>
        <v>(Chưa recheck)</v>
      </c>
      <c r="J122" s="265" t="str">
        <f>IFERROR(__xludf.DUMMYFUNCTION("""COMPUTED_VALUE"""),"(Chưa recheck)")</f>
        <v>(Chưa recheck)</v>
      </c>
    </row>
    <row r="123">
      <c r="A123" s="265" t="str">
        <f>IFERROR(__xludf.DUMMYFUNCTION("""COMPUTED_VALUE"""),"447")</f>
        <v>447</v>
      </c>
      <c r="B123" s="265" t="str">
        <f>IFERROR(__xludf.DUMMYFUNCTION("""COMPUTED_VALUE"""),"Hà Nội")</f>
        <v>Hà Nội</v>
      </c>
      <c r="C123" s="265" t="str">
        <f>IFERROR(__xludf.DUMMYFUNCTION("""COMPUTED_VALUE"""),"Active")</f>
        <v>Active</v>
      </c>
      <c r="D123" s="265" t="str">
        <f>IFERROR(__xludf.DUMMYFUNCTION("""COMPUTED_VALUE"""),"Sale chưa cung cấp")</f>
        <v>Sale chưa cung cấp</v>
      </c>
      <c r="E123" s="265" t="str">
        <f>IFERROR(__xludf.DUMMYFUNCTION("""COMPUTED_VALUE"""),"AnhNM")</f>
        <v>AnhNM</v>
      </c>
      <c r="F123" s="265" t="str">
        <f>IFERROR(__xludf.DUMMYFUNCTION("""COMPUTED_VALUE"""),"Silver")</f>
        <v>Silver</v>
      </c>
      <c r="G123" s="265" t="str">
        <f>IFERROR(__xludf.DUMMYFUNCTION("""COMPUTED_VALUE"""),"Standard")</f>
        <v>Standard</v>
      </c>
      <c r="H123" s="265" t="str">
        <f>IFERROR(__xludf.DUMMYFUNCTION("""COMPUTED_VALUE"""),"Trả sau")</f>
        <v>Trả sau</v>
      </c>
      <c r="I123" s="265" t="str">
        <f>IFERROR(__xludf.DUMMYFUNCTION("""COMPUTED_VALUE"""),"Portal")</f>
        <v>Portal</v>
      </c>
      <c r="J123" s="265" t="str">
        <f>IFERROR(__xludf.DUMMYFUNCTION("""COMPUTED_VALUE"""),"SMS CSKH")</f>
        <v>SMS CSKH</v>
      </c>
    </row>
    <row r="124">
      <c r="A124" s="265" t="str">
        <f>IFERROR(__xludf.DUMMYFUNCTION("""COMPUTED_VALUE"""),"447")</f>
        <v>447</v>
      </c>
      <c r="B124" s="265" t="str">
        <f>IFERROR(__xludf.DUMMYFUNCTION("""COMPUTED_VALUE"""),"Hà Nội")</f>
        <v>Hà Nội</v>
      </c>
      <c r="C124" s="265" t="str">
        <f>IFERROR(__xludf.DUMMYFUNCTION("""COMPUTED_VALUE"""),"Active")</f>
        <v>Active</v>
      </c>
      <c r="D124" s="265" t="str">
        <f>IFERROR(__xludf.DUMMYFUNCTION("""COMPUTED_VALUE"""),"Sale chưa cung cấp")</f>
        <v>Sale chưa cung cấp</v>
      </c>
      <c r="E124" s="265" t="str">
        <f>IFERROR(__xludf.DUMMYFUNCTION("""COMPUTED_VALUE"""),"AnhNM")</f>
        <v>AnhNM</v>
      </c>
      <c r="F124" s="265" t="str">
        <f>IFERROR(__xludf.DUMMYFUNCTION("""COMPUTED_VALUE"""),"Silver")</f>
        <v>Silver</v>
      </c>
      <c r="G124" s="265" t="str">
        <f>IFERROR(__xludf.DUMMYFUNCTION("""COMPUTED_VALUE"""),"Standard")</f>
        <v>Standard</v>
      </c>
      <c r="H124" s="265" t="str">
        <f>IFERROR(__xludf.DUMMYFUNCTION("""COMPUTED_VALUE"""),"Trả sau")</f>
        <v>Trả sau</v>
      </c>
      <c r="I124" s="265" t="str">
        <f>IFERROR(__xludf.DUMMYFUNCTION("""COMPUTED_VALUE"""),"Portal")</f>
        <v>Portal</v>
      </c>
      <c r="J124" s="265" t="str">
        <f>IFERROR(__xludf.DUMMYFUNCTION("""COMPUTED_VALUE"""),"Zalo ZNS")</f>
        <v>Zalo ZNS</v>
      </c>
    </row>
    <row r="125">
      <c r="A125" s="265" t="str">
        <f>IFERROR(__xludf.DUMMYFUNCTION("""COMPUTED_VALUE"""),"448")</f>
        <v>448</v>
      </c>
      <c r="B125" s="265" t="str">
        <f>IFERROR(__xludf.DUMMYFUNCTION("""COMPUTED_VALUE"""),"Hà Nội")</f>
        <v>Hà Nội</v>
      </c>
      <c r="C125" s="265" t="str">
        <f>IFERROR(__xludf.DUMMYFUNCTION("""COMPUTED_VALUE"""),"Locked")</f>
        <v>Locked</v>
      </c>
      <c r="D125" s="265" t="str">
        <f>IFERROR(__xludf.DUMMYFUNCTION("""COMPUTED_VALUE"""),"Sale chưa cung cấp")</f>
        <v>Sale chưa cung cấp</v>
      </c>
      <c r="E125" s="265" t="str">
        <f>IFERROR(__xludf.DUMMYFUNCTION("""COMPUTED_VALUE"""),"NamDT")</f>
        <v>NamDT</v>
      </c>
      <c r="F125" s="265" t="str">
        <f>IFERROR(__xludf.DUMMYFUNCTION("""COMPUTED_VALUE"""),"Bronze")</f>
        <v>Bronze</v>
      </c>
      <c r="G125" s="265" t="str">
        <f>IFERROR(__xludf.DUMMYFUNCTION("""COMPUTED_VALUE"""),"Enterprise")</f>
        <v>Enterprise</v>
      </c>
      <c r="H125" s="265" t="str">
        <f>IFERROR(__xludf.DUMMYFUNCTION("""COMPUTED_VALUE"""),"(Chưa recheck)")</f>
        <v>(Chưa recheck)</v>
      </c>
      <c r="I125" s="265" t="str">
        <f>IFERROR(__xludf.DUMMYFUNCTION("""COMPUTED_VALUE"""),"(Chưa recheck)")</f>
        <v>(Chưa recheck)</v>
      </c>
      <c r="J125" s="265" t="str">
        <f>IFERROR(__xludf.DUMMYFUNCTION("""COMPUTED_VALUE"""),"(Chưa recheck)")</f>
        <v>(Chưa recheck)</v>
      </c>
    </row>
    <row r="126">
      <c r="A126" s="265" t="str">
        <f>IFERROR(__xludf.DUMMYFUNCTION("""COMPUTED_VALUE"""),"449")</f>
        <v>449</v>
      </c>
      <c r="B126" s="265" t="str">
        <f>IFERROR(__xludf.DUMMYFUNCTION("""COMPUTED_VALUE"""),"Hà Nội")</f>
        <v>Hà Nội</v>
      </c>
      <c r="C126" s="265" t="str">
        <f>IFERROR(__xludf.DUMMYFUNCTION("""COMPUTED_VALUE"""),"Locked")</f>
        <v>Locked</v>
      </c>
      <c r="D126" s="265" t="str">
        <f>IFERROR(__xludf.DUMMYFUNCTION("""COMPUTED_VALUE"""),"Sale chưa cung cấp")</f>
        <v>Sale chưa cung cấp</v>
      </c>
      <c r="E126" s="265" t="str">
        <f>IFERROR(__xludf.DUMMYFUNCTION("""COMPUTED_VALUE"""),"HangNT")</f>
        <v>HangNT</v>
      </c>
      <c r="F126" s="265" t="str">
        <f>IFERROR(__xludf.DUMMYFUNCTION("""COMPUTED_VALUE"""),"Sale chưa cung cấp")</f>
        <v>Sale chưa cung cấp</v>
      </c>
      <c r="G126" s="265" t="str">
        <f>IFERROR(__xludf.DUMMYFUNCTION("""COMPUTED_VALUE"""),"API")</f>
        <v>API</v>
      </c>
      <c r="H126" s="265" t="str">
        <f>IFERROR(__xludf.DUMMYFUNCTION("""COMPUTED_VALUE"""),"(Chưa recheck)")</f>
        <v>(Chưa recheck)</v>
      </c>
      <c r="I126" s="265" t="str">
        <f>IFERROR(__xludf.DUMMYFUNCTION("""COMPUTED_VALUE"""),"(Chưa recheck)")</f>
        <v>(Chưa recheck)</v>
      </c>
      <c r="J126" s="265" t="str">
        <f>IFERROR(__xludf.DUMMYFUNCTION("""COMPUTED_VALUE"""),"SMS CSKH")</f>
        <v>SMS CSKH</v>
      </c>
    </row>
    <row r="127">
      <c r="A127" s="265" t="str">
        <f>IFERROR(__xludf.DUMMYFUNCTION("""COMPUTED_VALUE"""),"478")</f>
        <v>478</v>
      </c>
      <c r="B127" s="265" t="str">
        <f>IFERROR(__xludf.DUMMYFUNCTION("""COMPUTED_VALUE"""),"Sài Gòn")</f>
        <v>Sài Gòn</v>
      </c>
      <c r="C127" s="265" t="str">
        <f>IFERROR(__xludf.DUMMYFUNCTION("""COMPUTED_VALUE"""),"Locked")</f>
        <v>Locked</v>
      </c>
      <c r="D127" s="265" t="str">
        <f>IFERROR(__xludf.DUMMYFUNCTION("""COMPUTED_VALUE"""),"Sale chưa cung cấp")</f>
        <v>Sale chưa cung cấp</v>
      </c>
      <c r="E127" s="265" t="str">
        <f>IFERROR(__xludf.DUMMYFUNCTION("""COMPUTED_VALUE"""),"HoaNTM")</f>
        <v>HoaNTM</v>
      </c>
      <c r="F127" s="265" t="str">
        <f>IFERROR(__xludf.DUMMYFUNCTION("""COMPUTED_VALUE"""),"Silver")</f>
        <v>Silver</v>
      </c>
      <c r="G127" s="265" t="str">
        <f>IFERROR(__xludf.DUMMYFUNCTION("""COMPUTED_VALUE"""),"Enterprise")</f>
        <v>Enterprise</v>
      </c>
      <c r="H127" s="265" t="str">
        <f>IFERROR(__xludf.DUMMYFUNCTION("""COMPUTED_VALUE"""),"(Chưa recheck)")</f>
        <v>(Chưa recheck)</v>
      </c>
      <c r="I127" s="265" t="str">
        <f>IFERROR(__xludf.DUMMYFUNCTION("""COMPUTED_VALUE"""),"(Chưa recheck)")</f>
        <v>(Chưa recheck)</v>
      </c>
      <c r="J127" s="265" t="str">
        <f>IFERROR(__xludf.DUMMYFUNCTION("""COMPUTED_VALUE"""),"GapOne")</f>
        <v>GapOne</v>
      </c>
    </row>
    <row r="128">
      <c r="A128" s="265" t="str">
        <f>IFERROR(__xludf.DUMMYFUNCTION("""COMPUTED_VALUE"""),"450")</f>
        <v>450</v>
      </c>
      <c r="B128" s="265" t="str">
        <f>IFERROR(__xludf.DUMMYFUNCTION("""COMPUTED_VALUE"""),"Sài Gòn")</f>
        <v>Sài Gòn</v>
      </c>
      <c r="C128" s="265" t="str">
        <f>IFERROR(__xludf.DUMMYFUNCTION("""COMPUTED_VALUE"""),"Active")</f>
        <v>Active</v>
      </c>
      <c r="D128" s="265" t="str">
        <f>IFERROR(__xludf.DUMMYFUNCTION("""COMPUTED_VALUE"""),"Sale chưa cung cấp")</f>
        <v>Sale chưa cung cấp</v>
      </c>
      <c r="E128" s="265" t="str">
        <f>IFERROR(__xludf.DUMMYFUNCTION("""COMPUTED_VALUE"""),"TùngLD")</f>
        <v>TùngLD</v>
      </c>
      <c r="F128" s="265" t="str">
        <f>IFERROR(__xludf.DUMMYFUNCTION("""COMPUTED_VALUE"""),"Bronze")</f>
        <v>Bronze</v>
      </c>
      <c r="G128" s="265" t="str">
        <f>IFERROR(__xludf.DUMMYFUNCTION("""COMPUTED_VALUE"""),"Enterprise")</f>
        <v>Enterprise</v>
      </c>
      <c r="H128" s="265" t="str">
        <f>IFERROR(__xludf.DUMMYFUNCTION("""COMPUTED_VALUE"""),"Trả sau")</f>
        <v>Trả sau</v>
      </c>
      <c r="I128" s="265" t="str">
        <f>IFERROR(__xludf.DUMMYFUNCTION("""COMPUTED_VALUE"""),"Portal")</f>
        <v>Portal</v>
      </c>
      <c r="J128" s="265" t="str">
        <f>IFERROR(__xludf.DUMMYFUNCTION("""COMPUTED_VALUE"""),"Zalo ZNS")</f>
        <v>Zalo ZNS</v>
      </c>
    </row>
    <row r="129">
      <c r="A129" s="265" t="str">
        <f>IFERROR(__xludf.DUMMYFUNCTION("""COMPUTED_VALUE"""),"451")</f>
        <v>451</v>
      </c>
      <c r="B129" s="265" t="str">
        <f>IFERROR(__xludf.DUMMYFUNCTION("""COMPUTED_VALUE"""),"Hà Nội")</f>
        <v>Hà Nội</v>
      </c>
      <c r="C129" s="265" t="str">
        <f>IFERROR(__xludf.DUMMYFUNCTION("""COMPUTED_VALUE"""),"Locked")</f>
        <v>Locked</v>
      </c>
      <c r="D129" s="265" t="str">
        <f>IFERROR(__xludf.DUMMYFUNCTION("""COMPUTED_VALUE"""),"Sale chưa cung cấp")</f>
        <v>Sale chưa cung cấp</v>
      </c>
      <c r="E129" s="265" t="str">
        <f>IFERROR(__xludf.DUMMYFUNCTION("""COMPUTED_VALUE"""),"PhươngDTB")</f>
        <v>PhươngDTB</v>
      </c>
      <c r="F129" s="265" t="str">
        <f>IFERROR(__xludf.DUMMYFUNCTION("""COMPUTED_VALUE"""),"Bronze")</f>
        <v>Bronze</v>
      </c>
      <c r="G129" s="265" t="str">
        <f>IFERROR(__xludf.DUMMYFUNCTION("""COMPUTED_VALUE"""),"Enterprise")</f>
        <v>Enterprise</v>
      </c>
      <c r="H129" s="265" t="str">
        <f>IFERROR(__xludf.DUMMYFUNCTION("""COMPUTED_VALUE"""),"(Chưa recheck)")</f>
        <v>(Chưa recheck)</v>
      </c>
      <c r="I129" s="265" t="str">
        <f>IFERROR(__xludf.DUMMYFUNCTION("""COMPUTED_VALUE"""),"(Chưa recheck)")</f>
        <v>(Chưa recheck)</v>
      </c>
      <c r="J129" s="265" t="str">
        <f>IFERROR(__xludf.DUMMYFUNCTION("""COMPUTED_VALUE"""),"Zalo mini App")</f>
        <v>Zalo mini App</v>
      </c>
    </row>
    <row r="130">
      <c r="A130" s="265" t="str">
        <f>IFERROR(__xludf.DUMMYFUNCTION("""COMPUTED_VALUE"""),"452")</f>
        <v>452</v>
      </c>
      <c r="B130" s="265" t="str">
        <f>IFERROR(__xludf.DUMMYFUNCTION("""COMPUTED_VALUE"""),"Hà Nội")</f>
        <v>Hà Nội</v>
      </c>
      <c r="C130" s="265" t="str">
        <f>IFERROR(__xludf.DUMMYFUNCTION("""COMPUTED_VALUE"""),"Locked")</f>
        <v>Locked</v>
      </c>
      <c r="D130" s="265" t="str">
        <f>IFERROR(__xludf.DUMMYFUNCTION("""COMPUTED_VALUE"""),"Sale chưa cung cấp")</f>
        <v>Sale chưa cung cấp</v>
      </c>
      <c r="E130" s="265" t="str">
        <f>IFERROR(__xludf.DUMMYFUNCTION("""COMPUTED_VALUE"""),"TùngLD")</f>
        <v>TùngLD</v>
      </c>
      <c r="F130" s="265" t="str">
        <f>IFERROR(__xludf.DUMMYFUNCTION("""COMPUTED_VALUE"""),"Bronze")</f>
        <v>Bronze</v>
      </c>
      <c r="G130" s="265" t="str">
        <f>IFERROR(__xludf.DUMMYFUNCTION("""COMPUTED_VALUE"""),"Enterprise")</f>
        <v>Enterprise</v>
      </c>
      <c r="H130" s="265" t="str">
        <f>IFERROR(__xludf.DUMMYFUNCTION("""COMPUTED_VALUE"""),"(Chưa recheck)")</f>
        <v>(Chưa recheck)</v>
      </c>
      <c r="I130" s="265" t="str">
        <f>IFERROR(__xludf.DUMMYFUNCTION("""COMPUTED_VALUE"""),"Portal")</f>
        <v>Portal</v>
      </c>
      <c r="J130" s="265" t="str">
        <f>IFERROR(__xludf.DUMMYFUNCTION("""COMPUTED_VALUE"""),"(Chưa recheck)")</f>
        <v>(Chưa recheck)</v>
      </c>
    </row>
    <row r="131">
      <c r="A131" s="265" t="str">
        <f>IFERROR(__xludf.DUMMYFUNCTION("""COMPUTED_VALUE"""),"436")</f>
        <v>436</v>
      </c>
      <c r="B131" s="265" t="str">
        <f>IFERROR(__xludf.DUMMYFUNCTION("""COMPUTED_VALUE"""),"Sài Gòn")</f>
        <v>Sài Gòn</v>
      </c>
      <c r="C131" s="265" t="str">
        <f>IFERROR(__xludf.DUMMYFUNCTION("""COMPUTED_VALUE"""),"Locked")</f>
        <v>Locked</v>
      </c>
      <c r="D131" s="265" t="str">
        <f>IFERROR(__xludf.DUMMYFUNCTION("""COMPUTED_VALUE"""),"Sale chưa cung cấp")</f>
        <v>Sale chưa cung cấp</v>
      </c>
      <c r="E131" s="265" t="str">
        <f>IFERROR(__xludf.DUMMYFUNCTION("""COMPUTED_VALUE"""),"HoaNTM")</f>
        <v>HoaNTM</v>
      </c>
      <c r="F131" s="265" t="str">
        <f>IFERROR(__xludf.DUMMYFUNCTION("""COMPUTED_VALUE"""),"Bronze")</f>
        <v>Bronze</v>
      </c>
      <c r="G131" s="265" t="str">
        <f>IFERROR(__xludf.DUMMYFUNCTION("""COMPUTED_VALUE"""),"Enterprise")</f>
        <v>Enterprise</v>
      </c>
      <c r="H131" s="265" t="str">
        <f>IFERROR(__xludf.DUMMYFUNCTION("""COMPUTED_VALUE"""),"(Chưa recheck)")</f>
        <v>(Chưa recheck)</v>
      </c>
      <c r="I131" s="265" t="str">
        <f>IFERROR(__xludf.DUMMYFUNCTION("""COMPUTED_VALUE"""),"(Chưa recheck)")</f>
        <v>(Chưa recheck)</v>
      </c>
      <c r="J131" s="265" t="str">
        <f>IFERROR(__xludf.DUMMYFUNCTION("""COMPUTED_VALUE"""),"(Chưa recheck)")</f>
        <v>(Chưa recheck)</v>
      </c>
    </row>
    <row r="132">
      <c r="A132" s="265" t="str">
        <f>IFERROR(__xludf.DUMMYFUNCTION("""COMPUTED_VALUE"""),"453")</f>
        <v>453</v>
      </c>
      <c r="B132" s="265" t="str">
        <f>IFERROR(__xludf.DUMMYFUNCTION("""COMPUTED_VALUE"""),"Sài Gòn")</f>
        <v>Sài Gòn</v>
      </c>
      <c r="C132" s="265" t="str">
        <f>IFERROR(__xludf.DUMMYFUNCTION("""COMPUTED_VALUE"""),"Locked")</f>
        <v>Locked</v>
      </c>
      <c r="D132" s="265" t="str">
        <f>IFERROR(__xludf.DUMMYFUNCTION("""COMPUTED_VALUE"""),"Sale chưa cung cấp")</f>
        <v>Sale chưa cung cấp</v>
      </c>
      <c r="E132" s="265" t="str">
        <f>IFERROR(__xludf.DUMMYFUNCTION("""COMPUTED_VALUE"""),"HoaNTM")</f>
        <v>HoaNTM</v>
      </c>
      <c r="F132" s="265" t="str">
        <f>IFERROR(__xludf.DUMMYFUNCTION("""COMPUTED_VALUE"""),"Sale chưa cung cấp")</f>
        <v>Sale chưa cung cấp</v>
      </c>
      <c r="G132" s="265" t="str">
        <f>IFERROR(__xludf.DUMMYFUNCTION("""COMPUTED_VALUE"""),"MSG")</f>
        <v>MSG</v>
      </c>
      <c r="H132" s="265" t="str">
        <f>IFERROR(__xludf.DUMMYFUNCTION("""COMPUTED_VALUE"""),"(Chưa recheck)")</f>
        <v>(Chưa recheck)</v>
      </c>
      <c r="I132" s="265" t="str">
        <f>IFERROR(__xludf.DUMMYFUNCTION("""COMPUTED_VALUE"""),"(Chưa recheck)")</f>
        <v>(Chưa recheck)</v>
      </c>
      <c r="J132" s="265" t="str">
        <f>IFERROR(__xludf.DUMMYFUNCTION("""COMPUTED_VALUE"""),"(Chưa recheck)")</f>
        <v>(Chưa recheck)</v>
      </c>
    </row>
    <row r="133">
      <c r="A133" s="265" t="str">
        <f>IFERROR(__xludf.DUMMYFUNCTION("""COMPUTED_VALUE"""),"454")</f>
        <v>454</v>
      </c>
      <c r="B133" s="265" t="str">
        <f>IFERROR(__xludf.DUMMYFUNCTION("""COMPUTED_VALUE"""),"Sài Gòn")</f>
        <v>Sài Gòn</v>
      </c>
      <c r="C133" s="265" t="str">
        <f>IFERROR(__xludf.DUMMYFUNCTION("""COMPUTED_VALUE"""),"Locked")</f>
        <v>Locked</v>
      </c>
      <c r="D133" s="265" t="str">
        <f>IFERROR(__xludf.DUMMYFUNCTION("""COMPUTED_VALUE"""),"Sale chưa cung cấp")</f>
        <v>Sale chưa cung cấp</v>
      </c>
      <c r="E133" s="265" t="str">
        <f>IFERROR(__xludf.DUMMYFUNCTION("""COMPUTED_VALUE"""),"HoaNTM")</f>
        <v>HoaNTM</v>
      </c>
      <c r="F133" s="265" t="str">
        <f>IFERROR(__xludf.DUMMYFUNCTION("""COMPUTED_VALUE"""),"Sale chưa cung cấp")</f>
        <v>Sale chưa cung cấp</v>
      </c>
      <c r="G133" s="265" t="str">
        <f>IFERROR(__xludf.DUMMYFUNCTION("""COMPUTED_VALUE"""),"MSG")</f>
        <v>MSG</v>
      </c>
      <c r="H133" s="265" t="str">
        <f>IFERROR(__xludf.DUMMYFUNCTION("""COMPUTED_VALUE"""),"(Chưa recheck)")</f>
        <v>(Chưa recheck)</v>
      </c>
      <c r="I133" s="265" t="str">
        <f>IFERROR(__xludf.DUMMYFUNCTION("""COMPUTED_VALUE"""),"(Chưa recheck)")</f>
        <v>(Chưa recheck)</v>
      </c>
      <c r="J133" s="265" t="str">
        <f>IFERROR(__xludf.DUMMYFUNCTION("""COMPUTED_VALUE"""),"(Chưa recheck)")</f>
        <v>(Chưa recheck)</v>
      </c>
    </row>
    <row r="134">
      <c r="A134" s="265" t="str">
        <f>IFERROR(__xludf.DUMMYFUNCTION("""COMPUTED_VALUE"""),"455")</f>
        <v>455</v>
      </c>
      <c r="B134" s="265" t="str">
        <f>IFERROR(__xludf.DUMMYFUNCTION("""COMPUTED_VALUE"""),"Sài Gòn")</f>
        <v>Sài Gòn</v>
      </c>
      <c r="C134" s="265" t="str">
        <f>IFERROR(__xludf.DUMMYFUNCTION("""COMPUTED_VALUE"""),"Active")</f>
        <v>Active</v>
      </c>
      <c r="D134" s="265" t="str">
        <f>IFERROR(__xludf.DUMMYFUNCTION("""COMPUTED_VALUE"""),"Sale chưa cung cấp")</f>
        <v>Sale chưa cung cấp</v>
      </c>
      <c r="E134" s="265" t="str">
        <f>IFERROR(__xludf.DUMMYFUNCTION("""COMPUTED_VALUE"""),"AnhNM")</f>
        <v>AnhNM</v>
      </c>
      <c r="F134" s="265" t="str">
        <f>IFERROR(__xludf.DUMMYFUNCTION("""COMPUTED_VALUE"""),"Silver")</f>
        <v>Silver</v>
      </c>
      <c r="G134" s="265" t="str">
        <f>IFERROR(__xludf.DUMMYFUNCTION("""COMPUTED_VALUE"""),"Enterprise")</f>
        <v>Enterprise</v>
      </c>
      <c r="H134" s="265" t="str">
        <f>IFERROR(__xludf.DUMMYFUNCTION("""COMPUTED_VALUE"""),"Trả sau")</f>
        <v>Trả sau</v>
      </c>
      <c r="I134" s="265" t="str">
        <f>IFERROR(__xludf.DUMMYFUNCTION("""COMPUTED_VALUE"""),"API &amp; Portal")</f>
        <v>API &amp; Portal</v>
      </c>
      <c r="J134" s="265" t="str">
        <f>IFERROR(__xludf.DUMMYFUNCTION("""COMPUTED_VALUE"""),"Zalo ZNS")</f>
        <v>Zalo ZNS</v>
      </c>
    </row>
    <row r="135">
      <c r="A135" s="265" t="str">
        <f>IFERROR(__xludf.DUMMYFUNCTION("""COMPUTED_VALUE"""),"456")</f>
        <v>456</v>
      </c>
      <c r="B135" s="265" t="str">
        <f>IFERROR(__xludf.DUMMYFUNCTION("""COMPUTED_VALUE"""),"Sài Gòn")</f>
        <v>Sài Gòn</v>
      </c>
      <c r="C135" s="265" t="str">
        <f>IFERROR(__xludf.DUMMYFUNCTION("""COMPUTED_VALUE"""),"Locked")</f>
        <v>Locked</v>
      </c>
      <c r="D135" s="265" t="str">
        <f>IFERROR(__xludf.DUMMYFUNCTION("""COMPUTED_VALUE"""),"Sale chưa cung cấp")</f>
        <v>Sale chưa cung cấp</v>
      </c>
      <c r="E135" s="265" t="str">
        <f>IFERROR(__xludf.DUMMYFUNCTION("""COMPUTED_VALUE"""),"HoaNTM")</f>
        <v>HoaNTM</v>
      </c>
      <c r="F135" s="265" t="str">
        <f>IFERROR(__xludf.DUMMYFUNCTION("""COMPUTED_VALUE"""),"Sale chưa cung cấp")</f>
        <v>Sale chưa cung cấp</v>
      </c>
      <c r="G135" s="265" t="str">
        <f>IFERROR(__xludf.DUMMYFUNCTION("""COMPUTED_VALUE"""),"MSG")</f>
        <v>MSG</v>
      </c>
      <c r="H135" s="265" t="str">
        <f>IFERROR(__xludf.DUMMYFUNCTION("""COMPUTED_VALUE"""),"(Chưa recheck)")</f>
        <v>(Chưa recheck)</v>
      </c>
      <c r="I135" s="265" t="str">
        <f>IFERROR(__xludf.DUMMYFUNCTION("""COMPUTED_VALUE"""),"(Chưa recheck)")</f>
        <v>(Chưa recheck)</v>
      </c>
      <c r="J135" s="265" t="str">
        <f>IFERROR(__xludf.DUMMYFUNCTION("""COMPUTED_VALUE"""),"(Chưa recheck)")</f>
        <v>(Chưa recheck)</v>
      </c>
    </row>
    <row r="136">
      <c r="A136" s="265" t="str">
        <f>IFERROR(__xludf.DUMMYFUNCTION("""COMPUTED_VALUE"""),"457")</f>
        <v>457</v>
      </c>
      <c r="B136" s="265" t="str">
        <f>IFERROR(__xludf.DUMMYFUNCTION("""COMPUTED_VALUE"""),"Sài Gòn")</f>
        <v>Sài Gòn</v>
      </c>
      <c r="C136" s="265" t="str">
        <f>IFERROR(__xludf.DUMMYFUNCTION("""COMPUTED_VALUE"""),"Locked")</f>
        <v>Locked</v>
      </c>
      <c r="D136" s="265" t="str">
        <f>IFERROR(__xludf.DUMMYFUNCTION("""COMPUTED_VALUE"""),"Sale chưa cung cấp")</f>
        <v>Sale chưa cung cấp</v>
      </c>
      <c r="E136" s="265" t="str">
        <f>IFERROR(__xludf.DUMMYFUNCTION("""COMPUTED_VALUE"""),"HoaNTM")</f>
        <v>HoaNTM</v>
      </c>
      <c r="F136" s="265" t="str">
        <f>IFERROR(__xludf.DUMMYFUNCTION("""COMPUTED_VALUE"""),"Sale chưa cung cấp")</f>
        <v>Sale chưa cung cấp</v>
      </c>
      <c r="G136" s="265" t="str">
        <f>IFERROR(__xludf.DUMMYFUNCTION("""COMPUTED_VALUE"""),"Enterprise")</f>
        <v>Enterprise</v>
      </c>
      <c r="H136" s="265" t="str">
        <f>IFERROR(__xludf.DUMMYFUNCTION("""COMPUTED_VALUE"""),"Trial")</f>
        <v>Trial</v>
      </c>
      <c r="I136" s="265" t="str">
        <f>IFERROR(__xludf.DUMMYFUNCTION("""COMPUTED_VALUE"""),"(Không recheck)")</f>
        <v>(Không recheck)</v>
      </c>
      <c r="J136" s="265" t="str">
        <f>IFERROR(__xludf.DUMMYFUNCTION("""COMPUTED_VALUE"""),"(Không recheck)")</f>
        <v>(Không recheck)</v>
      </c>
    </row>
    <row r="137">
      <c r="A137" s="265" t="str">
        <f>IFERROR(__xludf.DUMMYFUNCTION("""COMPUTED_VALUE"""),"458")</f>
        <v>458</v>
      </c>
      <c r="B137" s="265" t="str">
        <f>IFERROR(__xludf.DUMMYFUNCTION("""COMPUTED_VALUE"""),"Sài Gòn")</f>
        <v>Sài Gòn</v>
      </c>
      <c r="C137" s="265" t="str">
        <f>IFERROR(__xludf.DUMMYFUNCTION("""COMPUTED_VALUE"""),"Locked")</f>
        <v>Locked</v>
      </c>
      <c r="D137" s="265" t="str">
        <f>IFERROR(__xludf.DUMMYFUNCTION("""COMPUTED_VALUE"""),"Sale chưa cung cấp")</f>
        <v>Sale chưa cung cấp</v>
      </c>
      <c r="E137" s="265" t="str">
        <f>IFERROR(__xludf.DUMMYFUNCTION("""COMPUTED_VALUE"""),"HoaNTM")</f>
        <v>HoaNTM</v>
      </c>
      <c r="F137" s="265" t="str">
        <f>IFERROR(__xludf.DUMMYFUNCTION("""COMPUTED_VALUE"""),"Sale chưa cung cấp")</f>
        <v>Sale chưa cung cấp</v>
      </c>
      <c r="G137" s="265" t="str">
        <f>IFERROR(__xludf.DUMMYFUNCTION("""COMPUTED_VALUE"""),"MSG")</f>
        <v>MSG</v>
      </c>
      <c r="H137" s="265" t="str">
        <f>IFERROR(__xludf.DUMMYFUNCTION("""COMPUTED_VALUE"""),"(Chưa recheck)")</f>
        <v>(Chưa recheck)</v>
      </c>
      <c r="I137" s="265" t="str">
        <f>IFERROR(__xludf.DUMMYFUNCTION("""COMPUTED_VALUE"""),"(Chưa recheck)")</f>
        <v>(Chưa recheck)</v>
      </c>
      <c r="J137" s="265" t="str">
        <f>IFERROR(__xludf.DUMMYFUNCTION("""COMPUTED_VALUE"""),"(Chưa recheck)")</f>
        <v>(Chưa recheck)</v>
      </c>
    </row>
    <row r="138">
      <c r="A138" s="265" t="str">
        <f>IFERROR(__xludf.DUMMYFUNCTION("""COMPUTED_VALUE"""),"460")</f>
        <v>460</v>
      </c>
      <c r="B138" s="265" t="str">
        <f>IFERROR(__xludf.DUMMYFUNCTION("""COMPUTED_VALUE"""),"Hà Nội")</f>
        <v>Hà Nội</v>
      </c>
      <c r="C138" s="265" t="str">
        <f>IFERROR(__xludf.DUMMYFUNCTION("""COMPUTED_VALUE"""),"Locked")</f>
        <v>Locked</v>
      </c>
      <c r="D138" s="265" t="str">
        <f>IFERROR(__xludf.DUMMYFUNCTION("""COMPUTED_VALUE"""),"Sale chưa cung cấp")</f>
        <v>Sale chưa cung cấp</v>
      </c>
      <c r="E138" s="265" t="str">
        <f>IFERROR(__xludf.DUMMYFUNCTION("""COMPUTED_VALUE"""),"NamDT")</f>
        <v>NamDT</v>
      </c>
      <c r="F138" s="265" t="str">
        <f>IFERROR(__xludf.DUMMYFUNCTION("""COMPUTED_VALUE"""),"Sale chưa cung cấp")</f>
        <v>Sale chưa cung cấp</v>
      </c>
      <c r="G138" s="265" t="str">
        <f>IFERROR(__xludf.DUMMYFUNCTION("""COMPUTED_VALUE"""),"API")</f>
        <v>API</v>
      </c>
      <c r="H138" s="265" t="str">
        <f>IFERROR(__xludf.DUMMYFUNCTION("""COMPUTED_VALUE"""),"Trial")</f>
        <v>Trial</v>
      </c>
      <c r="I138" s="265" t="str">
        <f>IFERROR(__xludf.DUMMYFUNCTION("""COMPUTED_VALUE"""),"(Không recheck)")</f>
        <v>(Không recheck)</v>
      </c>
      <c r="J138" s="265" t="str">
        <f>IFERROR(__xludf.DUMMYFUNCTION("""COMPUTED_VALUE"""),"(Không recheck)")</f>
        <v>(Không recheck)</v>
      </c>
    </row>
    <row r="139">
      <c r="A139" s="265" t="str">
        <f>IFERROR(__xludf.DUMMYFUNCTION("""COMPUTED_VALUE"""),"461")</f>
        <v>461</v>
      </c>
      <c r="B139" s="265" t="str">
        <f>IFERROR(__xludf.DUMMYFUNCTION("""COMPUTED_VALUE"""),"Hà Nội")</f>
        <v>Hà Nội</v>
      </c>
      <c r="C139" s="265" t="str">
        <f>IFERROR(__xludf.DUMMYFUNCTION("""COMPUTED_VALUE"""),"Active")</f>
        <v>Active</v>
      </c>
      <c r="D139" s="265" t="str">
        <f>IFERROR(__xludf.DUMMYFUNCTION("""COMPUTED_VALUE"""),"Sale chưa cung cấp")</f>
        <v>Sale chưa cung cấp</v>
      </c>
      <c r="E139" s="265" t="str">
        <f>IFERROR(__xludf.DUMMYFUNCTION("""COMPUTED_VALUE"""),"AnhNM")</f>
        <v>AnhNM</v>
      </c>
      <c r="F139" s="265" t="str">
        <f>IFERROR(__xludf.DUMMYFUNCTION("""COMPUTED_VALUE"""),"Bronze")</f>
        <v>Bronze</v>
      </c>
      <c r="G139" s="265" t="str">
        <f>IFERROR(__xludf.DUMMYFUNCTION("""COMPUTED_VALUE"""),"Starter")</f>
        <v>Starter</v>
      </c>
      <c r="H139" s="265" t="str">
        <f>IFERROR(__xludf.DUMMYFUNCTION("""COMPUTED_VALUE"""),"Trả sau")</f>
        <v>Trả sau</v>
      </c>
      <c r="I139" s="265" t="str">
        <f>IFERROR(__xludf.DUMMYFUNCTION("""COMPUTED_VALUE"""),"API")</f>
        <v>API</v>
      </c>
      <c r="J139" s="265" t="str">
        <f>IFERROR(__xludf.DUMMYFUNCTION("""COMPUTED_VALUE"""),"Zalo ZNS")</f>
        <v>Zalo ZNS</v>
      </c>
    </row>
    <row r="140">
      <c r="A140" s="265" t="str">
        <f>IFERROR(__xludf.DUMMYFUNCTION("""COMPUTED_VALUE"""),"462")</f>
        <v>462</v>
      </c>
      <c r="B140" s="265" t="str">
        <f>IFERROR(__xludf.DUMMYFUNCTION("""COMPUTED_VALUE"""),"Sài Gòn")</f>
        <v>Sài Gòn</v>
      </c>
      <c r="C140" s="265" t="str">
        <f>IFERROR(__xludf.DUMMYFUNCTION("""COMPUTED_VALUE"""),"Active")</f>
        <v>Active</v>
      </c>
      <c r="D140" s="265" t="str">
        <f>IFERROR(__xludf.DUMMYFUNCTION("""COMPUTED_VALUE"""),"Sale chưa cung cấp")</f>
        <v>Sale chưa cung cấp</v>
      </c>
      <c r="E140" s="265" t="str">
        <f>IFERROR(__xludf.DUMMYFUNCTION("""COMPUTED_VALUE"""),"TúPHN")</f>
        <v>TúPHN</v>
      </c>
      <c r="F140" s="265" t="str">
        <f>IFERROR(__xludf.DUMMYFUNCTION("""COMPUTED_VALUE"""),"Silver")</f>
        <v>Silver</v>
      </c>
      <c r="G140" s="265" t="str">
        <f>IFERROR(__xludf.DUMMYFUNCTION("""COMPUTED_VALUE"""),"Enterprise")</f>
        <v>Enterprise</v>
      </c>
      <c r="H140" s="265" t="str">
        <f>IFERROR(__xludf.DUMMYFUNCTION("""COMPUTED_VALUE"""),"Trả sau")</f>
        <v>Trả sau</v>
      </c>
      <c r="I140" s="265" t="str">
        <f>IFERROR(__xludf.DUMMYFUNCTION("""COMPUTED_VALUE"""),"API")</f>
        <v>API</v>
      </c>
      <c r="J140" s="265" t="str">
        <f>IFERROR(__xludf.DUMMYFUNCTION("""COMPUTED_VALUE"""),"Zalo ZNS")</f>
        <v>Zalo ZNS</v>
      </c>
    </row>
    <row r="141">
      <c r="A141" s="265" t="str">
        <f>IFERROR(__xludf.DUMMYFUNCTION("""COMPUTED_VALUE"""),"464")</f>
        <v>464</v>
      </c>
      <c r="B141" s="265" t="str">
        <f>IFERROR(__xludf.DUMMYFUNCTION("""COMPUTED_VALUE"""),"Hà Nội")</f>
        <v>Hà Nội</v>
      </c>
      <c r="C141" s="265" t="str">
        <f>IFERROR(__xludf.DUMMYFUNCTION("""COMPUTED_VALUE"""),"Locked")</f>
        <v>Locked</v>
      </c>
      <c r="D141" s="265" t="str">
        <f>IFERROR(__xludf.DUMMYFUNCTION("""COMPUTED_VALUE"""),"Sale chưa cung cấp")</f>
        <v>Sale chưa cung cấp</v>
      </c>
      <c r="E141" s="265" t="str">
        <f>IFERROR(__xludf.DUMMYFUNCTION("""COMPUTED_VALUE"""),"PhươngDTB")</f>
        <v>PhươngDTB</v>
      </c>
      <c r="F141" s="265" t="str">
        <f>IFERROR(__xludf.DUMMYFUNCTION("""COMPUTED_VALUE"""),"Bronze")</f>
        <v>Bronze</v>
      </c>
      <c r="G141" s="265" t="str">
        <f>IFERROR(__xludf.DUMMYFUNCTION("""COMPUTED_VALUE"""),"Enterprise")</f>
        <v>Enterprise</v>
      </c>
      <c r="H141" s="265" t="str">
        <f>IFERROR(__xludf.DUMMYFUNCTION("""COMPUTED_VALUE"""),"Trả sau")</f>
        <v>Trả sau</v>
      </c>
      <c r="I141" s="265" t="str">
        <f>IFERROR(__xludf.DUMMYFUNCTION("""COMPUTED_VALUE"""),"API")</f>
        <v>API</v>
      </c>
      <c r="J141" s="265" t="str">
        <f>IFERROR(__xludf.DUMMYFUNCTION("""COMPUTED_VALUE"""),"Zalo ZNS")</f>
        <v>Zalo ZNS</v>
      </c>
    </row>
    <row r="142">
      <c r="A142" s="265" t="str">
        <f>IFERROR(__xludf.DUMMYFUNCTION("""COMPUTED_VALUE"""),"463")</f>
        <v>463</v>
      </c>
      <c r="B142" s="265" t="str">
        <f>IFERROR(__xludf.DUMMYFUNCTION("""COMPUTED_VALUE"""),"Hà Nội")</f>
        <v>Hà Nội</v>
      </c>
      <c r="C142" s="265" t="str">
        <f>IFERROR(__xludf.DUMMYFUNCTION("""COMPUTED_VALUE"""),"Locked")</f>
        <v>Locked</v>
      </c>
      <c r="D142" s="265" t="str">
        <f>IFERROR(__xludf.DUMMYFUNCTION("""COMPUTED_VALUE"""),"Sale chưa cung cấp")</f>
        <v>Sale chưa cung cấp</v>
      </c>
      <c r="E142" s="265" t="str">
        <f>IFERROR(__xludf.DUMMYFUNCTION("""COMPUTED_VALUE"""),"HangNT")</f>
        <v>HangNT</v>
      </c>
      <c r="F142" s="265" t="str">
        <f>IFERROR(__xludf.DUMMYFUNCTION("""COMPUTED_VALUE"""),"Sale chưa cung cấp")</f>
        <v>Sale chưa cung cấp</v>
      </c>
      <c r="G142" s="265" t="str">
        <f>IFERROR(__xludf.DUMMYFUNCTION("""COMPUTED_VALUE"""),"Enterprise")</f>
        <v>Enterprise</v>
      </c>
      <c r="H142" s="265" t="str">
        <f>IFERROR(__xludf.DUMMYFUNCTION("""COMPUTED_VALUE"""),"(Chưa recheck)")</f>
        <v>(Chưa recheck)</v>
      </c>
      <c r="I142" s="265" t="str">
        <f>IFERROR(__xludf.DUMMYFUNCTION("""COMPUTED_VALUE"""),"(Chưa recheck)")</f>
        <v>(Chưa recheck)</v>
      </c>
      <c r="J142" s="265" t="str">
        <f>IFERROR(__xludf.DUMMYFUNCTION("""COMPUTED_VALUE"""),"(Chưa recheck)")</f>
        <v>(Chưa recheck)</v>
      </c>
    </row>
    <row r="143">
      <c r="A143" s="265" t="str">
        <f>IFERROR(__xludf.DUMMYFUNCTION("""COMPUTED_VALUE"""),"465")</f>
        <v>465</v>
      </c>
      <c r="B143" s="265" t="str">
        <f>IFERROR(__xludf.DUMMYFUNCTION("""COMPUTED_VALUE"""),"Sài Gòn")</f>
        <v>Sài Gòn</v>
      </c>
      <c r="C143" s="265" t="str">
        <f>IFERROR(__xludf.DUMMYFUNCTION("""COMPUTED_VALUE"""),"Locked")</f>
        <v>Locked</v>
      </c>
      <c r="D143" s="265" t="str">
        <f>IFERROR(__xludf.DUMMYFUNCTION("""COMPUTED_VALUE"""),"Sale chưa cung cấp")</f>
        <v>Sale chưa cung cấp</v>
      </c>
      <c r="E143" s="265" t="str">
        <f>IFERROR(__xludf.DUMMYFUNCTION("""COMPUTED_VALUE"""),"HoaNTM")</f>
        <v>HoaNTM</v>
      </c>
      <c r="F143" s="265" t="str">
        <f>IFERROR(__xludf.DUMMYFUNCTION("""COMPUTED_VALUE"""),"Diamond")</f>
        <v>Diamond</v>
      </c>
      <c r="G143" s="265" t="str">
        <f>IFERROR(__xludf.DUMMYFUNCTION("""COMPUTED_VALUE"""),"API")</f>
        <v>API</v>
      </c>
      <c r="H143" s="265" t="str">
        <f>IFERROR(__xludf.DUMMYFUNCTION("""COMPUTED_VALUE"""),"Trả sau")</f>
        <v>Trả sau</v>
      </c>
      <c r="I143" s="265" t="str">
        <f>IFERROR(__xludf.DUMMYFUNCTION("""COMPUTED_VALUE"""),"(Chưa recheck)")</f>
        <v>(Chưa recheck)</v>
      </c>
      <c r="J143" s="265" t="str">
        <f>IFERROR(__xludf.DUMMYFUNCTION("""COMPUTED_VALUE"""),"(Chưa recheck)")</f>
        <v>(Chưa recheck)</v>
      </c>
    </row>
    <row r="144">
      <c r="A144" s="265" t="str">
        <f>IFERROR(__xludf.DUMMYFUNCTION("""COMPUTED_VALUE"""),"466")</f>
        <v>466</v>
      </c>
      <c r="B144" s="265" t="str">
        <f>IFERROR(__xludf.DUMMYFUNCTION("""COMPUTED_VALUE"""),"Sài Gòn")</f>
        <v>Sài Gòn</v>
      </c>
      <c r="C144" s="265" t="str">
        <f>IFERROR(__xludf.DUMMYFUNCTION("""COMPUTED_VALUE"""),"Locked")</f>
        <v>Locked</v>
      </c>
      <c r="D144" s="265" t="str">
        <f>IFERROR(__xludf.DUMMYFUNCTION("""COMPUTED_VALUE"""),"Sale chưa cung cấp")</f>
        <v>Sale chưa cung cấp</v>
      </c>
      <c r="E144" s="265" t="str">
        <f>IFERROR(__xludf.DUMMYFUNCTION("""COMPUTED_VALUE"""),"HoaNTM")</f>
        <v>HoaNTM</v>
      </c>
      <c r="F144" s="265" t="str">
        <f>IFERROR(__xludf.DUMMYFUNCTION("""COMPUTED_VALUE"""),"Diamond")</f>
        <v>Diamond</v>
      </c>
      <c r="G144" s="265" t="str">
        <f>IFERROR(__xludf.DUMMYFUNCTION("""COMPUTED_VALUE"""),"API")</f>
        <v>API</v>
      </c>
      <c r="H144" s="265" t="str">
        <f>IFERROR(__xludf.DUMMYFUNCTION("""COMPUTED_VALUE"""),"Trial")</f>
        <v>Trial</v>
      </c>
      <c r="I144" s="265" t="str">
        <f>IFERROR(__xludf.DUMMYFUNCTION("""COMPUTED_VALUE"""),"(Không recheck)")</f>
        <v>(Không recheck)</v>
      </c>
      <c r="J144" s="265" t="str">
        <f>IFERROR(__xludf.DUMMYFUNCTION("""COMPUTED_VALUE"""),"(Không recheck)")</f>
        <v>(Không recheck)</v>
      </c>
    </row>
    <row r="145">
      <c r="A145" s="265" t="str">
        <f>IFERROR(__xludf.DUMMYFUNCTION("""COMPUTED_VALUE"""),"468")</f>
        <v>468</v>
      </c>
      <c r="B145" s="265" t="str">
        <f>IFERROR(__xludf.DUMMYFUNCTION("""COMPUTED_VALUE"""),"Hà Nội")</f>
        <v>Hà Nội</v>
      </c>
      <c r="C145" s="265" t="str">
        <f>IFERROR(__xludf.DUMMYFUNCTION("""COMPUTED_VALUE"""),"Locked")</f>
        <v>Locked</v>
      </c>
      <c r="D145" s="265" t="str">
        <f>IFERROR(__xludf.DUMMYFUNCTION("""COMPUTED_VALUE"""),"Sale chưa cung cấp")</f>
        <v>Sale chưa cung cấp</v>
      </c>
      <c r="E145" s="265" t="str">
        <f>IFERROR(__xludf.DUMMYFUNCTION("""COMPUTED_VALUE"""),"(Không recheck)")</f>
        <v>(Không recheck)</v>
      </c>
      <c r="F145" s="265" t="str">
        <f>IFERROR(__xludf.DUMMYFUNCTION("""COMPUTED_VALUE"""),"Sale chưa cung cấp")</f>
        <v>Sale chưa cung cấp</v>
      </c>
      <c r="G145" s="265" t="str">
        <f>IFERROR(__xludf.DUMMYFUNCTION("""COMPUTED_VALUE"""),"MSG")</f>
        <v>MSG</v>
      </c>
      <c r="H145" s="265" t="str">
        <f>IFERROR(__xludf.DUMMYFUNCTION("""COMPUTED_VALUE"""),"Trial")</f>
        <v>Trial</v>
      </c>
      <c r="I145" s="265" t="str">
        <f>IFERROR(__xludf.DUMMYFUNCTION("""COMPUTED_VALUE"""),"(Không recheck)")</f>
        <v>(Không recheck)</v>
      </c>
      <c r="J145" s="265" t="str">
        <f>IFERROR(__xludf.DUMMYFUNCTION("""COMPUTED_VALUE"""),"(Không recheck)")</f>
        <v>(Không recheck)</v>
      </c>
    </row>
    <row r="146">
      <c r="A146" s="265" t="str">
        <f>IFERROR(__xludf.DUMMYFUNCTION("""COMPUTED_VALUE"""),"467")</f>
        <v>467</v>
      </c>
      <c r="B146" s="265" t="str">
        <f>IFERROR(__xludf.DUMMYFUNCTION("""COMPUTED_VALUE"""),"Sài Gòn")</f>
        <v>Sài Gòn</v>
      </c>
      <c r="C146" s="265" t="str">
        <f>IFERROR(__xludf.DUMMYFUNCTION("""COMPUTED_VALUE"""),"Locked")</f>
        <v>Locked</v>
      </c>
      <c r="D146" s="265" t="str">
        <f>IFERROR(__xludf.DUMMYFUNCTION("""COMPUTED_VALUE"""),"Sale chưa cung cấp")</f>
        <v>Sale chưa cung cấp</v>
      </c>
      <c r="E146" s="265" t="str">
        <f>IFERROR(__xludf.DUMMYFUNCTION("""COMPUTED_VALUE"""),"HoaNTM")</f>
        <v>HoaNTM</v>
      </c>
      <c r="F146" s="265" t="str">
        <f>IFERROR(__xludf.DUMMYFUNCTION("""COMPUTED_VALUE"""),"Sale chưa cung cấp")</f>
        <v>Sale chưa cung cấp</v>
      </c>
      <c r="G146" s="265" t="str">
        <f>IFERROR(__xludf.DUMMYFUNCTION("""COMPUTED_VALUE"""),"Enterprise")</f>
        <v>Enterprise</v>
      </c>
      <c r="H146" s="265" t="str">
        <f>IFERROR(__xludf.DUMMYFUNCTION("""COMPUTED_VALUE"""),"(Chưa recheck)")</f>
        <v>(Chưa recheck)</v>
      </c>
      <c r="I146" s="265" t="str">
        <f>IFERROR(__xludf.DUMMYFUNCTION("""COMPUTED_VALUE"""),"(Chưa recheck)")</f>
        <v>(Chưa recheck)</v>
      </c>
      <c r="J146" s="265" t="str">
        <f>IFERROR(__xludf.DUMMYFUNCTION("""COMPUTED_VALUE"""),"(Chưa recheck)")</f>
        <v>(Chưa recheck)</v>
      </c>
    </row>
    <row r="147">
      <c r="A147" s="265" t="str">
        <f>IFERROR(__xludf.DUMMYFUNCTION("""COMPUTED_VALUE"""),"365")</f>
        <v>365</v>
      </c>
      <c r="B147" s="265" t="str">
        <f>IFERROR(__xludf.DUMMYFUNCTION("""COMPUTED_VALUE"""),"Đà Nẵng")</f>
        <v>Đà Nẵng</v>
      </c>
      <c r="C147" s="265" t="str">
        <f>IFERROR(__xludf.DUMMYFUNCTION("""COMPUTED_VALUE"""),"Locked")</f>
        <v>Locked</v>
      </c>
      <c r="D147" s="265" t="str">
        <f>IFERROR(__xludf.DUMMYFUNCTION("""COMPUTED_VALUE"""),"Sale chưa cung cấp")</f>
        <v>Sale chưa cung cấp</v>
      </c>
      <c r="E147" s="265" t="str">
        <f>IFERROR(__xludf.DUMMYFUNCTION("""COMPUTED_VALUE"""),"HoaNTM")</f>
        <v>HoaNTM</v>
      </c>
      <c r="F147" s="265" t="str">
        <f>IFERROR(__xludf.DUMMYFUNCTION("""COMPUTED_VALUE"""),"Bronze")</f>
        <v>Bronze</v>
      </c>
      <c r="G147" s="265" t="str">
        <f>IFERROR(__xludf.DUMMYFUNCTION("""COMPUTED_VALUE"""),"Enterprise")</f>
        <v>Enterprise</v>
      </c>
      <c r="H147" s="265" t="str">
        <f>IFERROR(__xludf.DUMMYFUNCTION("""COMPUTED_VALUE"""),"(Chưa recheck)")</f>
        <v>(Chưa recheck)</v>
      </c>
      <c r="I147" s="265" t="str">
        <f>IFERROR(__xludf.DUMMYFUNCTION("""COMPUTED_VALUE"""),"(Chưa recheck)")</f>
        <v>(Chưa recheck)</v>
      </c>
      <c r="J147" s="265" t="str">
        <f>IFERROR(__xludf.DUMMYFUNCTION("""COMPUTED_VALUE"""),"(Chưa recheck)")</f>
        <v>(Chưa recheck)</v>
      </c>
    </row>
    <row r="148">
      <c r="A148" s="265" t="str">
        <f>IFERROR(__xludf.DUMMYFUNCTION("""COMPUTED_VALUE"""),"470")</f>
        <v>470</v>
      </c>
      <c r="B148" s="265" t="str">
        <f>IFERROR(__xludf.DUMMYFUNCTION("""COMPUTED_VALUE"""),"Hà Nội")</f>
        <v>Hà Nội</v>
      </c>
      <c r="C148" s="265" t="str">
        <f>IFERROR(__xludf.DUMMYFUNCTION("""COMPUTED_VALUE"""),"Locked")</f>
        <v>Locked</v>
      </c>
      <c r="D148" s="265" t="str">
        <f>IFERROR(__xludf.DUMMYFUNCTION("""COMPUTED_VALUE"""),"Sale chưa cung cấp")</f>
        <v>Sale chưa cung cấp</v>
      </c>
      <c r="E148" s="265" t="str">
        <f>IFERROR(__xludf.DUMMYFUNCTION("""COMPUTED_VALUE"""),"HangNT")</f>
        <v>HangNT</v>
      </c>
      <c r="F148" s="265" t="str">
        <f>IFERROR(__xludf.DUMMYFUNCTION("""COMPUTED_VALUE"""),"Sale chưa cung cấp")</f>
        <v>Sale chưa cung cấp</v>
      </c>
      <c r="G148" s="265" t="str">
        <f>IFERROR(__xludf.DUMMYFUNCTION("""COMPUTED_VALUE"""),"API")</f>
        <v>API</v>
      </c>
      <c r="H148" s="265" t="str">
        <f>IFERROR(__xludf.DUMMYFUNCTION("""COMPUTED_VALUE"""),"Trả sau")</f>
        <v>Trả sau</v>
      </c>
      <c r="I148" s="265" t="str">
        <f>IFERROR(__xludf.DUMMYFUNCTION("""COMPUTED_VALUE"""),"(Chưa recheck)")</f>
        <v>(Chưa recheck)</v>
      </c>
      <c r="J148" s="265" t="str">
        <f>IFERROR(__xludf.DUMMYFUNCTION("""COMPUTED_VALUE"""),"(Chưa recheck)")</f>
        <v>(Chưa recheck)</v>
      </c>
    </row>
    <row r="149">
      <c r="A149" s="265" t="str">
        <f>IFERROR(__xludf.DUMMYFUNCTION("""COMPUTED_VALUE"""),"471")</f>
        <v>471</v>
      </c>
      <c r="B149" s="265" t="str">
        <f>IFERROR(__xludf.DUMMYFUNCTION("""COMPUTED_VALUE"""),"Hà Nội")</f>
        <v>Hà Nội</v>
      </c>
      <c r="C149" s="265" t="str">
        <f>IFERROR(__xludf.DUMMYFUNCTION("""COMPUTED_VALUE"""),"Locked")</f>
        <v>Locked</v>
      </c>
      <c r="D149" s="265" t="str">
        <f>IFERROR(__xludf.DUMMYFUNCTION("""COMPUTED_VALUE"""),"Sale chưa cung cấp")</f>
        <v>Sale chưa cung cấp</v>
      </c>
      <c r="E149" s="265" t="str">
        <f>IFERROR(__xludf.DUMMYFUNCTION("""COMPUTED_VALUE"""),"TrangHTT")</f>
        <v>TrangHTT</v>
      </c>
      <c r="F149" s="265" t="str">
        <f>IFERROR(__xludf.DUMMYFUNCTION("""COMPUTED_VALUE"""),"Sale chưa cung cấp")</f>
        <v>Sale chưa cung cấp</v>
      </c>
      <c r="G149" s="265" t="str">
        <f>IFERROR(__xludf.DUMMYFUNCTION("""COMPUTED_VALUE"""),"Enterprise")</f>
        <v>Enterprise</v>
      </c>
      <c r="H149" s="265" t="str">
        <f>IFERROR(__xludf.DUMMYFUNCTION("""COMPUTED_VALUE"""),"Trial")</f>
        <v>Trial</v>
      </c>
      <c r="I149" s="265" t="str">
        <f>IFERROR(__xludf.DUMMYFUNCTION("""COMPUTED_VALUE"""),"(Không recheck)")</f>
        <v>(Không recheck)</v>
      </c>
      <c r="J149" s="265" t="str">
        <f>IFERROR(__xludf.DUMMYFUNCTION("""COMPUTED_VALUE"""),"(Không recheck)")</f>
        <v>(Không recheck)</v>
      </c>
    </row>
    <row r="150">
      <c r="A150" s="265" t="str">
        <f>IFERROR(__xludf.DUMMYFUNCTION("""COMPUTED_VALUE"""),"477")</f>
        <v>477</v>
      </c>
      <c r="B150" s="265" t="str">
        <f>IFERROR(__xludf.DUMMYFUNCTION("""COMPUTED_VALUE"""),"Sài Gòn")</f>
        <v>Sài Gòn</v>
      </c>
      <c r="C150" s="265" t="str">
        <f>IFERROR(__xludf.DUMMYFUNCTION("""COMPUTED_VALUE"""),"Locked")</f>
        <v>Locked</v>
      </c>
      <c r="D150" s="265" t="str">
        <f>IFERROR(__xludf.DUMMYFUNCTION("""COMPUTED_VALUE"""),"Sale chưa cung cấp")</f>
        <v>Sale chưa cung cấp</v>
      </c>
      <c r="E150" s="265" t="str">
        <f>IFERROR(__xludf.DUMMYFUNCTION("""COMPUTED_VALUE"""),"HoaNTM")</f>
        <v>HoaNTM</v>
      </c>
      <c r="F150" s="265" t="str">
        <f>IFERROR(__xludf.DUMMYFUNCTION("""COMPUTED_VALUE"""),"Sale chưa cung cấp")</f>
        <v>Sale chưa cung cấp</v>
      </c>
      <c r="G150" s="265" t="str">
        <f>IFERROR(__xludf.DUMMYFUNCTION("""COMPUTED_VALUE"""),"MSG")</f>
        <v>MSG</v>
      </c>
      <c r="H150" s="265" t="str">
        <f>IFERROR(__xludf.DUMMYFUNCTION("""COMPUTED_VALUE"""),"(Chưa recheck)")</f>
        <v>(Chưa recheck)</v>
      </c>
      <c r="I150" s="265" t="str">
        <f>IFERROR(__xludf.DUMMYFUNCTION("""COMPUTED_VALUE"""),"(Chưa recheck)")</f>
        <v>(Chưa recheck)</v>
      </c>
      <c r="J150" s="265" t="str">
        <f>IFERROR(__xludf.DUMMYFUNCTION("""COMPUTED_VALUE"""),"(Chưa recheck)")</f>
        <v>(Chưa recheck)</v>
      </c>
    </row>
    <row r="151">
      <c r="A151" s="265" t="str">
        <f>IFERROR(__xludf.DUMMYFUNCTION("""COMPUTED_VALUE"""),"472")</f>
        <v>472</v>
      </c>
      <c r="B151" s="265" t="str">
        <f>IFERROR(__xludf.DUMMYFUNCTION("""COMPUTED_VALUE"""),"Sài Gòn")</f>
        <v>Sài Gòn</v>
      </c>
      <c r="C151" s="265" t="str">
        <f>IFERROR(__xludf.DUMMYFUNCTION("""COMPUTED_VALUE"""),"Active")</f>
        <v>Active</v>
      </c>
      <c r="D151" s="265" t="str">
        <f>IFERROR(__xludf.DUMMYFUNCTION("""COMPUTED_VALUE"""),"Sale chưa cung cấp")</f>
        <v>Sale chưa cung cấp</v>
      </c>
      <c r="E151" s="265" t="str">
        <f>IFERROR(__xludf.DUMMYFUNCTION("""COMPUTED_VALUE"""),"TùngLD")</f>
        <v>TùngLD</v>
      </c>
      <c r="F151" s="265" t="str">
        <f>IFERROR(__xludf.DUMMYFUNCTION("""COMPUTED_VALUE"""),"Diamond")</f>
        <v>Diamond</v>
      </c>
      <c r="G151" s="265" t="str">
        <f>IFERROR(__xludf.DUMMYFUNCTION("""COMPUTED_VALUE"""),"Enterprise")</f>
        <v>Enterprise</v>
      </c>
      <c r="H151" s="265" t="str">
        <f>IFERROR(__xludf.DUMMYFUNCTION("""COMPUTED_VALUE"""),"Trả sau")</f>
        <v>Trả sau</v>
      </c>
      <c r="I151" s="265" t="str">
        <f>IFERROR(__xludf.DUMMYFUNCTION("""COMPUTED_VALUE"""),"API &amp; Portal")</f>
        <v>API &amp; Portal</v>
      </c>
      <c r="J151" s="265" t="str">
        <f>IFERROR(__xludf.DUMMYFUNCTION("""COMPUTED_VALUE"""),"SMS CSKH")</f>
        <v>SMS CSKH</v>
      </c>
    </row>
    <row r="152">
      <c r="A152" s="265" t="str">
        <f>IFERROR(__xludf.DUMMYFUNCTION("""COMPUTED_VALUE"""),"472")</f>
        <v>472</v>
      </c>
      <c r="B152" s="265" t="str">
        <f>IFERROR(__xludf.DUMMYFUNCTION("""COMPUTED_VALUE"""),"Sài Gòn")</f>
        <v>Sài Gòn</v>
      </c>
      <c r="C152" s="265" t="str">
        <f>IFERROR(__xludf.DUMMYFUNCTION("""COMPUTED_VALUE"""),"Active")</f>
        <v>Active</v>
      </c>
      <c r="D152" s="265" t="str">
        <f>IFERROR(__xludf.DUMMYFUNCTION("""COMPUTED_VALUE"""),"Sale chưa cung cấp")</f>
        <v>Sale chưa cung cấp</v>
      </c>
      <c r="E152" s="265" t="str">
        <f>IFERROR(__xludf.DUMMYFUNCTION("""COMPUTED_VALUE"""),"TùngLD")</f>
        <v>TùngLD</v>
      </c>
      <c r="F152" s="265" t="str">
        <f>IFERROR(__xludf.DUMMYFUNCTION("""COMPUTED_VALUE"""),"Diamond")</f>
        <v>Diamond</v>
      </c>
      <c r="G152" s="265" t="str">
        <f>IFERROR(__xludf.DUMMYFUNCTION("""COMPUTED_VALUE"""),"Enterprise")</f>
        <v>Enterprise</v>
      </c>
      <c r="H152" s="265" t="str">
        <f>IFERROR(__xludf.DUMMYFUNCTION("""COMPUTED_VALUE"""),"Trả sau")</f>
        <v>Trả sau</v>
      </c>
      <c r="I152" s="265" t="str">
        <f>IFERROR(__xludf.DUMMYFUNCTION("""COMPUTED_VALUE"""),"API &amp; Portal")</f>
        <v>API &amp; Portal</v>
      </c>
      <c r="J152" s="265" t="str">
        <f>IFERROR(__xludf.DUMMYFUNCTION("""COMPUTED_VALUE"""),"SMS QC")</f>
        <v>SMS QC</v>
      </c>
    </row>
    <row r="153">
      <c r="A153" s="265" t="str">
        <f>IFERROR(__xludf.DUMMYFUNCTION("""COMPUTED_VALUE"""),"472")</f>
        <v>472</v>
      </c>
      <c r="B153" s="265" t="str">
        <f>IFERROR(__xludf.DUMMYFUNCTION("""COMPUTED_VALUE"""),"Sài Gòn")</f>
        <v>Sài Gòn</v>
      </c>
      <c r="C153" s="265" t="str">
        <f>IFERROR(__xludf.DUMMYFUNCTION("""COMPUTED_VALUE"""),"Active")</f>
        <v>Active</v>
      </c>
      <c r="D153" s="265" t="str">
        <f>IFERROR(__xludf.DUMMYFUNCTION("""COMPUTED_VALUE"""),"Sale chưa cung cấp")</f>
        <v>Sale chưa cung cấp</v>
      </c>
      <c r="E153" s="265" t="str">
        <f>IFERROR(__xludf.DUMMYFUNCTION("""COMPUTED_VALUE"""),"TùngLD")</f>
        <v>TùngLD</v>
      </c>
      <c r="F153" s="265" t="str">
        <f>IFERROR(__xludf.DUMMYFUNCTION("""COMPUTED_VALUE"""),"Diamond")</f>
        <v>Diamond</v>
      </c>
      <c r="G153" s="265" t="str">
        <f>IFERROR(__xludf.DUMMYFUNCTION("""COMPUTED_VALUE"""),"Enterprise")</f>
        <v>Enterprise</v>
      </c>
      <c r="H153" s="265" t="str">
        <f>IFERROR(__xludf.DUMMYFUNCTION("""COMPUTED_VALUE"""),"Trả sau")</f>
        <v>Trả sau</v>
      </c>
      <c r="I153" s="265" t="str">
        <f>IFERROR(__xludf.DUMMYFUNCTION("""COMPUTED_VALUE"""),"API &amp; Portal")</f>
        <v>API &amp; Portal</v>
      </c>
      <c r="J153" s="265" t="str">
        <f>IFERROR(__xludf.DUMMYFUNCTION("""COMPUTED_VALUE"""),"Zalo ZNS")</f>
        <v>Zalo ZNS</v>
      </c>
    </row>
    <row r="154">
      <c r="A154" s="265" t="str">
        <f>IFERROR(__xludf.DUMMYFUNCTION("""COMPUTED_VALUE"""),"472")</f>
        <v>472</v>
      </c>
      <c r="B154" s="265" t="str">
        <f>IFERROR(__xludf.DUMMYFUNCTION("""COMPUTED_VALUE"""),"Sài Gòn")</f>
        <v>Sài Gòn</v>
      </c>
      <c r="C154" s="265" t="str">
        <f>IFERROR(__xludf.DUMMYFUNCTION("""COMPUTED_VALUE"""),"Active")</f>
        <v>Active</v>
      </c>
      <c r="D154" s="265" t="str">
        <f>IFERROR(__xludf.DUMMYFUNCTION("""COMPUTED_VALUE"""),"Sale chưa cung cấp")</f>
        <v>Sale chưa cung cấp</v>
      </c>
      <c r="E154" s="265" t="str">
        <f>IFERROR(__xludf.DUMMYFUNCTION("""COMPUTED_VALUE"""),"TùngLD")</f>
        <v>TùngLD</v>
      </c>
      <c r="F154" s="265" t="str">
        <f>IFERROR(__xludf.DUMMYFUNCTION("""COMPUTED_VALUE"""),"Diamond")</f>
        <v>Diamond</v>
      </c>
      <c r="G154" s="265" t="str">
        <f>IFERROR(__xludf.DUMMYFUNCTION("""COMPUTED_VALUE"""),"Enterprise")</f>
        <v>Enterprise</v>
      </c>
      <c r="H154" s="265" t="str">
        <f>IFERROR(__xludf.DUMMYFUNCTION("""COMPUTED_VALUE"""),"Trả sau")</f>
        <v>Trả sau</v>
      </c>
      <c r="I154" s="265" t="str">
        <f>IFERROR(__xludf.DUMMYFUNCTION("""COMPUTED_VALUE"""),"API &amp; Portal")</f>
        <v>API &amp; Portal</v>
      </c>
      <c r="J154" s="265" t="str">
        <f>IFERROR(__xludf.DUMMYFUNCTION("""COMPUTED_VALUE"""),"Zalo UID")</f>
        <v>Zalo UID</v>
      </c>
    </row>
    <row r="155">
      <c r="A155" s="265" t="str">
        <f>IFERROR(__xludf.DUMMYFUNCTION("""COMPUTED_VALUE"""),"473")</f>
        <v>473</v>
      </c>
      <c r="B155" s="265" t="str">
        <f>IFERROR(__xludf.DUMMYFUNCTION("""COMPUTED_VALUE"""),"Sài Gòn")</f>
        <v>Sài Gòn</v>
      </c>
      <c r="C155" s="265" t="str">
        <f>IFERROR(__xludf.DUMMYFUNCTION("""COMPUTED_VALUE"""),"Locked")</f>
        <v>Locked</v>
      </c>
      <c r="D155" s="265" t="str">
        <f>IFERROR(__xludf.DUMMYFUNCTION("""COMPUTED_VALUE"""),"Sale chưa cung cấp")</f>
        <v>Sale chưa cung cấp</v>
      </c>
      <c r="E155" s="265" t="str">
        <f>IFERROR(__xludf.DUMMYFUNCTION("""COMPUTED_VALUE"""),"HoaNTM")</f>
        <v>HoaNTM</v>
      </c>
      <c r="F155" s="265" t="str">
        <f>IFERROR(__xludf.DUMMYFUNCTION("""COMPUTED_VALUE"""),"Sale chưa cung cấp")</f>
        <v>Sale chưa cung cấp</v>
      </c>
      <c r="G155" s="265" t="str">
        <f>IFERROR(__xludf.DUMMYFUNCTION("""COMPUTED_VALUE"""),"Enterprise")</f>
        <v>Enterprise</v>
      </c>
      <c r="H155" s="265" t="str">
        <f>IFERROR(__xludf.DUMMYFUNCTION("""COMPUTED_VALUE"""),"Trial")</f>
        <v>Trial</v>
      </c>
      <c r="I155" s="265" t="str">
        <f>IFERROR(__xludf.DUMMYFUNCTION("""COMPUTED_VALUE"""),"(Không recheck)")</f>
        <v>(Không recheck)</v>
      </c>
      <c r="J155" s="265" t="str">
        <f>IFERROR(__xludf.DUMMYFUNCTION("""COMPUTED_VALUE"""),"(Không recheck)")</f>
        <v>(Không recheck)</v>
      </c>
    </row>
    <row r="156">
      <c r="A156" s="265" t="str">
        <f>IFERROR(__xludf.DUMMYFUNCTION("""COMPUTED_VALUE"""),"474")</f>
        <v>474</v>
      </c>
      <c r="B156" s="265" t="str">
        <f>IFERROR(__xludf.DUMMYFUNCTION("""COMPUTED_VALUE"""),"Hà Nội")</f>
        <v>Hà Nội</v>
      </c>
      <c r="C156" s="265" t="str">
        <f>IFERROR(__xludf.DUMMYFUNCTION("""COMPUTED_VALUE"""),"Active")</f>
        <v>Active</v>
      </c>
      <c r="D156" s="265" t="str">
        <f>IFERROR(__xludf.DUMMYFUNCTION("""COMPUTED_VALUE"""),"Sale chưa cung cấp")</f>
        <v>Sale chưa cung cấp</v>
      </c>
      <c r="E156" s="265" t="str">
        <f>IFERROR(__xludf.DUMMYFUNCTION("""COMPUTED_VALUE"""),"TúPHN")</f>
        <v>TúPHN</v>
      </c>
      <c r="F156" s="265" t="str">
        <f>IFERROR(__xludf.DUMMYFUNCTION("""COMPUTED_VALUE"""),"Gold")</f>
        <v>Gold</v>
      </c>
      <c r="G156" s="265" t="str">
        <f>IFERROR(__xludf.DUMMYFUNCTION("""COMPUTED_VALUE"""),"Starter")</f>
        <v>Starter</v>
      </c>
      <c r="H156" s="265" t="str">
        <f>IFERROR(__xludf.DUMMYFUNCTION("""COMPUTED_VALUE"""),"Trả sau")</f>
        <v>Trả sau</v>
      </c>
      <c r="I156" s="265" t="str">
        <f>IFERROR(__xludf.DUMMYFUNCTION("""COMPUTED_VALUE"""),"API")</f>
        <v>API</v>
      </c>
      <c r="J156" s="265" t="str">
        <f>IFERROR(__xludf.DUMMYFUNCTION("""COMPUTED_VALUE"""),"SMS CSKH")</f>
        <v>SMS CSKH</v>
      </c>
    </row>
    <row r="157">
      <c r="A157" s="265" t="str">
        <f>IFERROR(__xludf.DUMMYFUNCTION("""COMPUTED_VALUE"""),"474")</f>
        <v>474</v>
      </c>
      <c r="B157" s="265" t="str">
        <f>IFERROR(__xludf.DUMMYFUNCTION("""COMPUTED_VALUE"""),"Hà Nội")</f>
        <v>Hà Nội</v>
      </c>
      <c r="C157" s="265" t="str">
        <f>IFERROR(__xludf.DUMMYFUNCTION("""COMPUTED_VALUE"""),"Active")</f>
        <v>Active</v>
      </c>
      <c r="D157" s="265" t="str">
        <f>IFERROR(__xludf.DUMMYFUNCTION("""COMPUTED_VALUE"""),"Sale chưa cung cấp")</f>
        <v>Sale chưa cung cấp</v>
      </c>
      <c r="E157" s="265" t="str">
        <f>IFERROR(__xludf.DUMMYFUNCTION("""COMPUTED_VALUE"""),"TúPHN")</f>
        <v>TúPHN</v>
      </c>
      <c r="F157" s="265" t="str">
        <f>IFERROR(__xludf.DUMMYFUNCTION("""COMPUTED_VALUE"""),"Gold")</f>
        <v>Gold</v>
      </c>
      <c r="G157" s="265" t="str">
        <f>IFERROR(__xludf.DUMMYFUNCTION("""COMPUTED_VALUE"""),"Starter")</f>
        <v>Starter</v>
      </c>
      <c r="H157" s="265" t="str">
        <f>IFERROR(__xludf.DUMMYFUNCTION("""COMPUTED_VALUE"""),"Trả sau")</f>
        <v>Trả sau</v>
      </c>
      <c r="I157" s="265" t="str">
        <f>IFERROR(__xludf.DUMMYFUNCTION("""COMPUTED_VALUE"""),"API")</f>
        <v>API</v>
      </c>
      <c r="J157" s="265" t="str">
        <f>IFERROR(__xludf.DUMMYFUNCTION("""COMPUTED_VALUE"""),"Zalo ZNS")</f>
        <v>Zalo ZNS</v>
      </c>
    </row>
    <row r="158">
      <c r="A158" s="265" t="str">
        <f>IFERROR(__xludf.DUMMYFUNCTION("""COMPUTED_VALUE"""),"476")</f>
        <v>476</v>
      </c>
      <c r="B158" s="265" t="str">
        <f>IFERROR(__xludf.DUMMYFUNCTION("""COMPUTED_VALUE"""),"Sài Gòn")</f>
        <v>Sài Gòn</v>
      </c>
      <c r="C158" s="265" t="str">
        <f>IFERROR(__xludf.DUMMYFUNCTION("""COMPUTED_VALUE"""),"Locked")</f>
        <v>Locked</v>
      </c>
      <c r="D158" s="265" t="str">
        <f>IFERROR(__xludf.DUMMYFUNCTION("""COMPUTED_VALUE"""),"Sale chưa cung cấp")</f>
        <v>Sale chưa cung cấp</v>
      </c>
      <c r="E158" s="265" t="str">
        <f>IFERROR(__xludf.DUMMYFUNCTION("""COMPUTED_VALUE"""),"HoaNTM")</f>
        <v>HoaNTM</v>
      </c>
      <c r="F158" s="265" t="str">
        <f>IFERROR(__xludf.DUMMYFUNCTION("""COMPUTED_VALUE"""),"Sale chưa cung cấp")</f>
        <v>Sale chưa cung cấp</v>
      </c>
      <c r="G158" s="265" t="str">
        <f>IFERROR(__xludf.DUMMYFUNCTION("""COMPUTED_VALUE"""),"MSG")</f>
        <v>MSG</v>
      </c>
      <c r="H158" s="265" t="str">
        <f>IFERROR(__xludf.DUMMYFUNCTION("""COMPUTED_VALUE"""),"(Chưa recheck)")</f>
        <v>(Chưa recheck)</v>
      </c>
      <c r="I158" s="265" t="str">
        <f>IFERROR(__xludf.DUMMYFUNCTION("""COMPUTED_VALUE"""),"(Chưa recheck)")</f>
        <v>(Chưa recheck)</v>
      </c>
      <c r="J158" s="265" t="str">
        <f>IFERROR(__xludf.DUMMYFUNCTION("""COMPUTED_VALUE"""),"(Chưa recheck)")</f>
        <v>(Chưa recheck)</v>
      </c>
    </row>
    <row r="159">
      <c r="A159" s="265" t="str">
        <f>IFERROR(__xludf.DUMMYFUNCTION("""COMPUTED_VALUE"""),"475")</f>
        <v>475</v>
      </c>
      <c r="B159" s="265" t="str">
        <f>IFERROR(__xludf.DUMMYFUNCTION("""COMPUTED_VALUE"""),"Sài Gòn")</f>
        <v>Sài Gòn</v>
      </c>
      <c r="C159" s="265" t="str">
        <f>IFERROR(__xludf.DUMMYFUNCTION("""COMPUTED_VALUE"""),"Locked")</f>
        <v>Locked</v>
      </c>
      <c r="D159" s="265" t="str">
        <f>IFERROR(__xludf.DUMMYFUNCTION("""COMPUTED_VALUE"""),"Sale chưa cung cấp")</f>
        <v>Sale chưa cung cấp</v>
      </c>
      <c r="E159" s="265" t="str">
        <f>IFERROR(__xludf.DUMMYFUNCTION("""COMPUTED_VALUE"""),"HoaNTM")</f>
        <v>HoaNTM</v>
      </c>
      <c r="F159" s="265" t="str">
        <f>IFERROR(__xludf.DUMMYFUNCTION("""COMPUTED_VALUE"""),"Sale chưa cung cấp")</f>
        <v>Sale chưa cung cấp</v>
      </c>
      <c r="G159" s="265" t="str">
        <f>IFERROR(__xludf.DUMMYFUNCTION("""COMPUTED_VALUE"""),"Enterprise")</f>
        <v>Enterprise</v>
      </c>
      <c r="H159" s="265" t="str">
        <f>IFERROR(__xludf.DUMMYFUNCTION("""COMPUTED_VALUE"""),"Trial")</f>
        <v>Trial</v>
      </c>
      <c r="I159" s="265" t="str">
        <f>IFERROR(__xludf.DUMMYFUNCTION("""COMPUTED_VALUE"""),"(Không recheck)")</f>
        <v>(Không recheck)</v>
      </c>
      <c r="J159" s="265" t="str">
        <f>IFERROR(__xludf.DUMMYFUNCTION("""COMPUTED_VALUE"""),"(Không recheck)")</f>
        <v>(Không recheck)</v>
      </c>
    </row>
    <row r="160">
      <c r="A160" s="265" t="str">
        <f>IFERROR(__xludf.DUMMYFUNCTION("""COMPUTED_VALUE"""),"479")</f>
        <v>479</v>
      </c>
      <c r="B160" s="265" t="str">
        <f>IFERROR(__xludf.DUMMYFUNCTION("""COMPUTED_VALUE"""),"Sài Gòn")</f>
        <v>Sài Gòn</v>
      </c>
      <c r="C160" s="265" t="str">
        <f>IFERROR(__xludf.DUMMYFUNCTION("""COMPUTED_VALUE"""),"Locked")</f>
        <v>Locked</v>
      </c>
      <c r="D160" s="265" t="str">
        <f>IFERROR(__xludf.DUMMYFUNCTION("""COMPUTED_VALUE"""),"Sale chưa cung cấp")</f>
        <v>Sale chưa cung cấp</v>
      </c>
      <c r="E160" s="265" t="str">
        <f>IFERROR(__xludf.DUMMYFUNCTION("""COMPUTED_VALUE"""),"HoaNTM")</f>
        <v>HoaNTM</v>
      </c>
      <c r="F160" s="265" t="str">
        <f>IFERROR(__xludf.DUMMYFUNCTION("""COMPUTED_VALUE"""),"Sale chưa cung cấp")</f>
        <v>Sale chưa cung cấp</v>
      </c>
      <c r="G160" s="265" t="str">
        <f>IFERROR(__xludf.DUMMYFUNCTION("""COMPUTED_VALUE"""),"Enterprise")</f>
        <v>Enterprise</v>
      </c>
      <c r="H160" s="265" t="str">
        <f>IFERROR(__xludf.DUMMYFUNCTION("""COMPUTED_VALUE"""),"(Chưa recheck)")</f>
        <v>(Chưa recheck)</v>
      </c>
      <c r="I160" s="265" t="str">
        <f>IFERROR(__xludf.DUMMYFUNCTION("""COMPUTED_VALUE"""),"(Chưa recheck)")</f>
        <v>(Chưa recheck)</v>
      </c>
      <c r="J160" s="265" t="str">
        <f>IFERROR(__xludf.DUMMYFUNCTION("""COMPUTED_VALUE"""),"(Chưa recheck)")</f>
        <v>(Chưa recheck)</v>
      </c>
    </row>
    <row r="161">
      <c r="A161" s="265" t="str">
        <f>IFERROR(__xludf.DUMMYFUNCTION("""COMPUTED_VALUE"""),"482")</f>
        <v>482</v>
      </c>
      <c r="B161" s="265" t="str">
        <f>IFERROR(__xludf.DUMMYFUNCTION("""COMPUTED_VALUE"""),"Hà Nội")</f>
        <v>Hà Nội</v>
      </c>
      <c r="C161" s="265" t="str">
        <f>IFERROR(__xludf.DUMMYFUNCTION("""COMPUTED_VALUE"""),"Locked")</f>
        <v>Locked</v>
      </c>
      <c r="D161" s="265" t="str">
        <f>IFERROR(__xludf.DUMMYFUNCTION("""COMPUTED_VALUE"""),"Sale chưa cung cấp")</f>
        <v>Sale chưa cung cấp</v>
      </c>
      <c r="E161" s="265" t="str">
        <f>IFERROR(__xludf.DUMMYFUNCTION("""COMPUTED_VALUE"""),"HangNT")</f>
        <v>HangNT</v>
      </c>
      <c r="F161" s="265" t="str">
        <f>IFERROR(__xludf.DUMMYFUNCTION("""COMPUTED_VALUE"""),"Bronze")</f>
        <v>Bronze</v>
      </c>
      <c r="G161" s="265" t="str">
        <f>IFERROR(__xludf.DUMMYFUNCTION("""COMPUTED_VALUE"""),"Enterprise")</f>
        <v>Enterprise</v>
      </c>
      <c r="H161" s="265" t="str">
        <f>IFERROR(__xludf.DUMMYFUNCTION("""COMPUTED_VALUE"""),"(Chưa recheck)")</f>
        <v>(Chưa recheck)</v>
      </c>
      <c r="I161" s="265" t="str">
        <f>IFERROR(__xludf.DUMMYFUNCTION("""COMPUTED_VALUE"""),"(Chưa recheck)")</f>
        <v>(Chưa recheck)</v>
      </c>
      <c r="J161" s="265" t="str">
        <f>IFERROR(__xludf.DUMMYFUNCTION("""COMPUTED_VALUE"""),"(Chưa recheck)")</f>
        <v>(Chưa recheck)</v>
      </c>
    </row>
    <row r="162">
      <c r="A162" s="265" t="str">
        <f>IFERROR(__xludf.DUMMYFUNCTION("""COMPUTED_VALUE"""),"480")</f>
        <v>480</v>
      </c>
      <c r="B162" s="265" t="str">
        <f>IFERROR(__xludf.DUMMYFUNCTION("""COMPUTED_VALUE"""),"Sài Gòn")</f>
        <v>Sài Gòn</v>
      </c>
      <c r="C162" s="265" t="str">
        <f>IFERROR(__xludf.DUMMYFUNCTION("""COMPUTED_VALUE"""),"Locked")</f>
        <v>Locked</v>
      </c>
      <c r="D162" s="265" t="str">
        <f>IFERROR(__xludf.DUMMYFUNCTION("""COMPUTED_VALUE"""),"Sale chưa cung cấp")</f>
        <v>Sale chưa cung cấp</v>
      </c>
      <c r="E162" s="265" t="str">
        <f>IFERROR(__xludf.DUMMYFUNCTION("""COMPUTED_VALUE"""),"HoaNTM")</f>
        <v>HoaNTM</v>
      </c>
      <c r="F162" s="265" t="str">
        <f>IFERROR(__xludf.DUMMYFUNCTION("""COMPUTED_VALUE"""),"Sale chưa cung cấp")</f>
        <v>Sale chưa cung cấp</v>
      </c>
      <c r="G162" s="265" t="str">
        <f>IFERROR(__xludf.DUMMYFUNCTION("""COMPUTED_VALUE"""),"MSG")</f>
        <v>MSG</v>
      </c>
      <c r="H162" s="265" t="str">
        <f>IFERROR(__xludf.DUMMYFUNCTION("""COMPUTED_VALUE"""),"(Chưa recheck)")</f>
        <v>(Chưa recheck)</v>
      </c>
      <c r="I162" s="265" t="str">
        <f>IFERROR(__xludf.DUMMYFUNCTION("""COMPUTED_VALUE"""),"(Chưa recheck)")</f>
        <v>(Chưa recheck)</v>
      </c>
      <c r="J162" s="265" t="str">
        <f>IFERROR(__xludf.DUMMYFUNCTION("""COMPUTED_VALUE"""),"(Chưa recheck)")</f>
        <v>(Chưa recheck)</v>
      </c>
    </row>
    <row r="163">
      <c r="A163" s="265" t="str">
        <f>IFERROR(__xludf.DUMMYFUNCTION("""COMPUTED_VALUE"""),"481")</f>
        <v>481</v>
      </c>
      <c r="B163" s="265" t="str">
        <f>IFERROR(__xludf.DUMMYFUNCTION("""COMPUTED_VALUE"""),"Sài Gòn")</f>
        <v>Sài Gòn</v>
      </c>
      <c r="C163" s="265" t="str">
        <f>IFERROR(__xludf.DUMMYFUNCTION("""COMPUTED_VALUE"""),"Locked")</f>
        <v>Locked</v>
      </c>
      <c r="D163" s="265" t="str">
        <f>IFERROR(__xludf.DUMMYFUNCTION("""COMPUTED_VALUE"""),"Sale chưa cung cấp")</f>
        <v>Sale chưa cung cấp</v>
      </c>
      <c r="E163" s="265" t="str">
        <f>IFERROR(__xludf.DUMMYFUNCTION("""COMPUTED_VALUE"""),"HoaNTM")</f>
        <v>HoaNTM</v>
      </c>
      <c r="F163" s="265" t="str">
        <f>IFERROR(__xludf.DUMMYFUNCTION("""COMPUTED_VALUE"""),"Sale chưa cung cấp")</f>
        <v>Sale chưa cung cấp</v>
      </c>
      <c r="G163" s="265" t="str">
        <f>IFERROR(__xludf.DUMMYFUNCTION("""COMPUTED_VALUE"""),"MSG")</f>
        <v>MSG</v>
      </c>
      <c r="H163" s="265" t="str">
        <f>IFERROR(__xludf.DUMMYFUNCTION("""COMPUTED_VALUE"""),"(Chưa recheck)")</f>
        <v>(Chưa recheck)</v>
      </c>
      <c r="I163" s="265" t="str">
        <f>IFERROR(__xludf.DUMMYFUNCTION("""COMPUTED_VALUE"""),"(Chưa recheck)")</f>
        <v>(Chưa recheck)</v>
      </c>
      <c r="J163" s="265" t="str">
        <f>IFERROR(__xludf.DUMMYFUNCTION("""COMPUTED_VALUE"""),"(Chưa recheck)")</f>
        <v>(Chưa recheck)</v>
      </c>
    </row>
    <row r="164">
      <c r="A164" s="265" t="str">
        <f>IFERROR(__xludf.DUMMYFUNCTION("""COMPUTED_VALUE"""),"483")</f>
        <v>483</v>
      </c>
      <c r="B164" s="265" t="str">
        <f>IFERROR(__xludf.DUMMYFUNCTION("""COMPUTED_VALUE"""),"Hà Nội")</f>
        <v>Hà Nội</v>
      </c>
      <c r="C164" s="265" t="str">
        <f>IFERROR(__xludf.DUMMYFUNCTION("""COMPUTED_VALUE"""),"Locked")</f>
        <v>Locked</v>
      </c>
      <c r="D164" s="265" t="str">
        <f>IFERROR(__xludf.DUMMYFUNCTION("""COMPUTED_VALUE"""),"Sale chưa cung cấp")</f>
        <v>Sale chưa cung cấp</v>
      </c>
      <c r="E164" s="265" t="str">
        <f>IFERROR(__xludf.DUMMYFUNCTION("""COMPUTED_VALUE"""),"TrangHTT")</f>
        <v>TrangHTT</v>
      </c>
      <c r="F164" s="265" t="str">
        <f>IFERROR(__xludf.DUMMYFUNCTION("""COMPUTED_VALUE"""),"Sale chưa cung cấp")</f>
        <v>Sale chưa cung cấp</v>
      </c>
      <c r="G164" s="265" t="str">
        <f>IFERROR(__xludf.DUMMYFUNCTION("""COMPUTED_VALUE"""),"Enterprise")</f>
        <v>Enterprise</v>
      </c>
      <c r="H164" s="265" t="str">
        <f>IFERROR(__xludf.DUMMYFUNCTION("""COMPUTED_VALUE"""),"Trial")</f>
        <v>Trial</v>
      </c>
      <c r="I164" s="265" t="str">
        <f>IFERROR(__xludf.DUMMYFUNCTION("""COMPUTED_VALUE"""),"(Không recheck)")</f>
        <v>(Không recheck)</v>
      </c>
      <c r="J164" s="265" t="str">
        <f>IFERROR(__xludf.DUMMYFUNCTION("""COMPUTED_VALUE"""),"(Không recheck)")</f>
        <v>(Không recheck)</v>
      </c>
    </row>
    <row r="165">
      <c r="A165" s="265" t="str">
        <f>IFERROR(__xludf.DUMMYFUNCTION("""COMPUTED_VALUE"""),"484")</f>
        <v>484</v>
      </c>
      <c r="B165" s="265" t="str">
        <f>IFERROR(__xludf.DUMMYFUNCTION("""COMPUTED_VALUE"""),"Hà Nội")</f>
        <v>Hà Nội</v>
      </c>
      <c r="C165" s="265" t="str">
        <f>IFERROR(__xludf.DUMMYFUNCTION("""COMPUTED_VALUE"""),"Locked")</f>
        <v>Locked</v>
      </c>
      <c r="D165" s="265" t="str">
        <f>IFERROR(__xludf.DUMMYFUNCTION("""COMPUTED_VALUE"""),"Sale chưa cung cấp")</f>
        <v>Sale chưa cung cấp</v>
      </c>
      <c r="E165" s="265" t="str">
        <f>IFERROR(__xludf.DUMMYFUNCTION("""COMPUTED_VALUE"""),"NamDT")</f>
        <v>NamDT</v>
      </c>
      <c r="F165" s="265" t="str">
        <f>IFERROR(__xludf.DUMMYFUNCTION("""COMPUTED_VALUE"""),"Sale chưa cung cấp")</f>
        <v>Sale chưa cung cấp</v>
      </c>
      <c r="G165" s="265" t="str">
        <f>IFERROR(__xludf.DUMMYFUNCTION("""COMPUTED_VALUE"""),"API")</f>
        <v>API</v>
      </c>
      <c r="H165" s="265" t="str">
        <f>IFERROR(__xludf.DUMMYFUNCTION("""COMPUTED_VALUE"""),"(Chưa recheck)")</f>
        <v>(Chưa recheck)</v>
      </c>
      <c r="I165" s="265" t="str">
        <f>IFERROR(__xludf.DUMMYFUNCTION("""COMPUTED_VALUE"""),"(Chưa recheck)")</f>
        <v>(Chưa recheck)</v>
      </c>
      <c r="J165" s="265" t="str">
        <f>IFERROR(__xludf.DUMMYFUNCTION("""COMPUTED_VALUE"""),"(Chưa recheck)")</f>
        <v>(Chưa recheck)</v>
      </c>
    </row>
    <row r="166">
      <c r="A166" s="265" t="str">
        <f>IFERROR(__xludf.DUMMYFUNCTION("""COMPUTED_VALUE"""),"486")</f>
        <v>486</v>
      </c>
      <c r="B166" s="265" t="str">
        <f>IFERROR(__xludf.DUMMYFUNCTION("""COMPUTED_VALUE"""),"Hà Nội")</f>
        <v>Hà Nội</v>
      </c>
      <c r="C166" s="265" t="str">
        <f>IFERROR(__xludf.DUMMYFUNCTION("""COMPUTED_VALUE"""),"Active")</f>
        <v>Active</v>
      </c>
      <c r="D166" s="265" t="str">
        <f>IFERROR(__xludf.DUMMYFUNCTION("""COMPUTED_VALUE"""),"Công nghệ &amp; Phần mềm")</f>
        <v>Công nghệ &amp; Phần mềm</v>
      </c>
      <c r="E166" s="265" t="str">
        <f>IFERROR(__xludf.DUMMYFUNCTION("""COMPUTED_VALUE"""),"TúPHN")</f>
        <v>TúPHN</v>
      </c>
      <c r="F166" s="265" t="str">
        <f>IFERROR(__xludf.DUMMYFUNCTION("""COMPUTED_VALUE"""),"Gold")</f>
        <v>Gold</v>
      </c>
      <c r="G166" s="265" t="str">
        <f>IFERROR(__xludf.DUMMYFUNCTION("""COMPUTED_VALUE"""),"Starter")</f>
        <v>Starter</v>
      </c>
      <c r="H166" s="265" t="str">
        <f>IFERROR(__xludf.DUMMYFUNCTION("""COMPUTED_VALUE"""),"Trả trước")</f>
        <v>Trả trước</v>
      </c>
      <c r="I166" s="265" t="str">
        <f>IFERROR(__xludf.DUMMYFUNCTION("""COMPUTED_VALUE"""),"API")</f>
        <v>API</v>
      </c>
      <c r="J166" s="265" t="str">
        <f>IFERROR(__xludf.DUMMYFUNCTION("""COMPUTED_VALUE"""),"Zalo ZNS")</f>
        <v>Zalo ZNS</v>
      </c>
    </row>
    <row r="167">
      <c r="A167" s="265" t="str">
        <f>IFERROR(__xludf.DUMMYFUNCTION("""COMPUTED_VALUE"""),"485")</f>
        <v>485</v>
      </c>
      <c r="B167" s="265" t="str">
        <f>IFERROR(__xludf.DUMMYFUNCTION("""COMPUTED_VALUE"""),"Hà Nội")</f>
        <v>Hà Nội</v>
      </c>
      <c r="C167" s="265" t="str">
        <f>IFERROR(__xludf.DUMMYFUNCTION("""COMPUTED_VALUE"""),"Locked")</f>
        <v>Locked</v>
      </c>
      <c r="D167" s="265" t="str">
        <f>IFERROR(__xludf.DUMMYFUNCTION("""COMPUTED_VALUE"""),"Sale chưa cung cấp")</f>
        <v>Sale chưa cung cấp</v>
      </c>
      <c r="E167" s="265" t="str">
        <f>IFERROR(__xludf.DUMMYFUNCTION("""COMPUTED_VALUE"""),"PhươngDTB")</f>
        <v>PhươngDTB</v>
      </c>
      <c r="F167" s="265" t="str">
        <f>IFERROR(__xludf.DUMMYFUNCTION("""COMPUTED_VALUE"""),"Sale chưa cung cấp")</f>
        <v>Sale chưa cung cấp</v>
      </c>
      <c r="G167" s="265" t="str">
        <f>IFERROR(__xludf.DUMMYFUNCTION("""COMPUTED_VALUE"""),"Enterprise")</f>
        <v>Enterprise</v>
      </c>
      <c r="H167" s="265" t="str">
        <f>IFERROR(__xludf.DUMMYFUNCTION("""COMPUTED_VALUE"""),"Trial")</f>
        <v>Trial</v>
      </c>
      <c r="I167" s="265" t="str">
        <f>IFERROR(__xludf.DUMMYFUNCTION("""COMPUTED_VALUE"""),"(Không recheck)")</f>
        <v>(Không recheck)</v>
      </c>
      <c r="J167" s="265" t="str">
        <f>IFERROR(__xludf.DUMMYFUNCTION("""COMPUTED_VALUE"""),"(Không recheck)")</f>
        <v>(Không recheck)</v>
      </c>
    </row>
    <row r="168">
      <c r="A168" s="265" t="str">
        <f>IFERROR(__xludf.DUMMYFUNCTION("""COMPUTED_VALUE"""),"487")</f>
        <v>487</v>
      </c>
      <c r="B168" s="265" t="str">
        <f>IFERROR(__xludf.DUMMYFUNCTION("""COMPUTED_VALUE"""),"Hà Nội")</f>
        <v>Hà Nội</v>
      </c>
      <c r="C168" s="265" t="str">
        <f>IFERROR(__xludf.DUMMYFUNCTION("""COMPUTED_VALUE"""),"Locked")</f>
        <v>Locked</v>
      </c>
      <c r="D168" s="265" t="str">
        <f>IFERROR(__xludf.DUMMYFUNCTION("""COMPUTED_VALUE"""),"Sale chưa cung cấp")</f>
        <v>Sale chưa cung cấp</v>
      </c>
      <c r="E168" s="265" t="str">
        <f>IFERROR(__xludf.DUMMYFUNCTION("""COMPUTED_VALUE"""),"NamDT")</f>
        <v>NamDT</v>
      </c>
      <c r="F168" s="265" t="str">
        <f>IFERROR(__xludf.DUMMYFUNCTION("""COMPUTED_VALUE"""),"Silver")</f>
        <v>Silver</v>
      </c>
      <c r="G168" s="265" t="str">
        <f>IFERROR(__xludf.DUMMYFUNCTION("""COMPUTED_VALUE"""),"Enterprise")</f>
        <v>Enterprise</v>
      </c>
      <c r="H168" s="265" t="str">
        <f>IFERROR(__xludf.DUMMYFUNCTION("""COMPUTED_VALUE"""),"(Chưa recheck)")</f>
        <v>(Chưa recheck)</v>
      </c>
      <c r="I168" s="265" t="str">
        <f>IFERROR(__xludf.DUMMYFUNCTION("""COMPUTED_VALUE"""),"(Chưa recheck)")</f>
        <v>(Chưa recheck)</v>
      </c>
      <c r="J168" s="265" t="str">
        <f>IFERROR(__xludf.DUMMYFUNCTION("""COMPUTED_VALUE"""),"Tất cả")</f>
        <v>Tất cả</v>
      </c>
    </row>
    <row r="169">
      <c r="A169" s="265" t="str">
        <f>IFERROR(__xludf.DUMMYFUNCTION("""COMPUTED_VALUE"""),"488")</f>
        <v>488</v>
      </c>
      <c r="B169" s="265" t="str">
        <f>IFERROR(__xludf.DUMMYFUNCTION("""COMPUTED_VALUE"""),"Sài Gòn")</f>
        <v>Sài Gòn</v>
      </c>
      <c r="C169" s="265" t="str">
        <f>IFERROR(__xludf.DUMMYFUNCTION("""COMPUTED_VALUE"""),"Locked")</f>
        <v>Locked</v>
      </c>
      <c r="D169" s="265" t="str">
        <f>IFERROR(__xludf.DUMMYFUNCTION("""COMPUTED_VALUE"""),"Sale chưa cung cấp")</f>
        <v>Sale chưa cung cấp</v>
      </c>
      <c r="E169" s="265" t="str">
        <f>IFERROR(__xludf.DUMMYFUNCTION("""COMPUTED_VALUE"""),"HoaNTM")</f>
        <v>HoaNTM</v>
      </c>
      <c r="F169" s="265" t="str">
        <f>IFERROR(__xludf.DUMMYFUNCTION("""COMPUTED_VALUE"""),"Sale chưa cung cấp")</f>
        <v>Sale chưa cung cấp</v>
      </c>
      <c r="G169" s="265" t="str">
        <f>IFERROR(__xludf.DUMMYFUNCTION("""COMPUTED_VALUE"""),"MSG")</f>
        <v>MSG</v>
      </c>
      <c r="H169" s="265" t="str">
        <f>IFERROR(__xludf.DUMMYFUNCTION("""COMPUTED_VALUE"""),"Trial")</f>
        <v>Trial</v>
      </c>
      <c r="I169" s="265" t="str">
        <f>IFERROR(__xludf.DUMMYFUNCTION("""COMPUTED_VALUE"""),"(Không recheck)")</f>
        <v>(Không recheck)</v>
      </c>
      <c r="J169" s="265" t="str">
        <f>IFERROR(__xludf.DUMMYFUNCTION("""COMPUTED_VALUE"""),"(Không recheck)")</f>
        <v>(Không recheck)</v>
      </c>
    </row>
    <row r="170">
      <c r="A170" s="265" t="str">
        <f>IFERROR(__xludf.DUMMYFUNCTION("""COMPUTED_VALUE"""),"489")</f>
        <v>489</v>
      </c>
      <c r="B170" s="265" t="str">
        <f>IFERROR(__xludf.DUMMYFUNCTION("""COMPUTED_VALUE"""),"Sài Gòn")</f>
        <v>Sài Gòn</v>
      </c>
      <c r="C170" s="265" t="str">
        <f>IFERROR(__xludf.DUMMYFUNCTION("""COMPUTED_VALUE"""),"Locked")</f>
        <v>Locked</v>
      </c>
      <c r="D170" s="265" t="str">
        <f>IFERROR(__xludf.DUMMYFUNCTION("""COMPUTED_VALUE"""),"Sale chưa cung cấp")</f>
        <v>Sale chưa cung cấp</v>
      </c>
      <c r="E170" s="265" t="str">
        <f>IFERROR(__xludf.DUMMYFUNCTION("""COMPUTED_VALUE"""),"HoaNTM")</f>
        <v>HoaNTM</v>
      </c>
      <c r="F170" s="265" t="str">
        <f>IFERROR(__xludf.DUMMYFUNCTION("""COMPUTED_VALUE"""),"Sale chưa cung cấp")</f>
        <v>Sale chưa cung cấp</v>
      </c>
      <c r="G170" s="265" t="str">
        <f>IFERROR(__xludf.DUMMYFUNCTION("""COMPUTED_VALUE"""),"Enterprise")</f>
        <v>Enterprise</v>
      </c>
      <c r="H170" s="265" t="str">
        <f>IFERROR(__xludf.DUMMYFUNCTION("""COMPUTED_VALUE"""),"Trial")</f>
        <v>Trial</v>
      </c>
      <c r="I170" s="265" t="str">
        <f>IFERROR(__xludf.DUMMYFUNCTION("""COMPUTED_VALUE"""),"(Không recheck)")</f>
        <v>(Không recheck)</v>
      </c>
      <c r="J170" s="265" t="str">
        <f>IFERROR(__xludf.DUMMYFUNCTION("""COMPUTED_VALUE"""),"(Không recheck)")</f>
        <v>(Không recheck)</v>
      </c>
    </row>
    <row r="171">
      <c r="A171" s="265" t="str">
        <f>IFERROR(__xludf.DUMMYFUNCTION("""COMPUTED_VALUE"""),"490")</f>
        <v>490</v>
      </c>
      <c r="B171" s="265" t="str">
        <f>IFERROR(__xludf.DUMMYFUNCTION("""COMPUTED_VALUE"""),"Hà Nội")</f>
        <v>Hà Nội</v>
      </c>
      <c r="C171" s="265" t="str">
        <f>IFERROR(__xludf.DUMMYFUNCTION("""COMPUTED_VALUE"""),"Locked")</f>
        <v>Locked</v>
      </c>
      <c r="D171" s="265" t="str">
        <f>IFERROR(__xludf.DUMMYFUNCTION("""COMPUTED_VALUE"""),"Sale chưa cung cấp")</f>
        <v>Sale chưa cung cấp</v>
      </c>
      <c r="E171" s="265" t="str">
        <f>IFERROR(__xludf.DUMMYFUNCTION("""COMPUTED_VALUE"""),"TúPHN")</f>
        <v>TúPHN</v>
      </c>
      <c r="F171" s="265" t="str">
        <f>IFERROR(__xludf.DUMMYFUNCTION("""COMPUTED_VALUE"""),"Silver")</f>
        <v>Silver</v>
      </c>
      <c r="G171" s="265" t="str">
        <f>IFERROR(__xludf.DUMMYFUNCTION("""COMPUTED_VALUE"""),"Enterprise")</f>
        <v>Enterprise</v>
      </c>
      <c r="H171" s="265" t="str">
        <f>IFERROR(__xludf.DUMMYFUNCTION("""COMPUTED_VALUE"""),"(Chưa recheck)")</f>
        <v>(Chưa recheck)</v>
      </c>
      <c r="I171" s="265" t="str">
        <f>IFERROR(__xludf.DUMMYFUNCTION("""COMPUTED_VALUE"""),"(Chưa recheck)")</f>
        <v>(Chưa recheck)</v>
      </c>
      <c r="J171" s="265" t="str">
        <f>IFERROR(__xludf.DUMMYFUNCTION("""COMPUTED_VALUE"""),"(Chưa recheck)")</f>
        <v>(Chưa recheck)</v>
      </c>
    </row>
    <row r="172">
      <c r="A172" s="265" t="str">
        <f>IFERROR(__xludf.DUMMYFUNCTION("""COMPUTED_VALUE"""),"491")</f>
        <v>491</v>
      </c>
      <c r="B172" s="265" t="str">
        <f>IFERROR(__xludf.DUMMYFUNCTION("""COMPUTED_VALUE"""),"Hà Nội")</f>
        <v>Hà Nội</v>
      </c>
      <c r="C172" s="265" t="str">
        <f>IFERROR(__xludf.DUMMYFUNCTION("""COMPUTED_VALUE"""),"Locked")</f>
        <v>Locked</v>
      </c>
      <c r="D172" s="265" t="str">
        <f>IFERROR(__xludf.DUMMYFUNCTION("""COMPUTED_VALUE"""),"Sale chưa cung cấp")</f>
        <v>Sale chưa cung cấp</v>
      </c>
      <c r="E172" s="265" t="str">
        <f>IFERROR(__xludf.DUMMYFUNCTION("""COMPUTED_VALUE"""),"(Không recheck)")</f>
        <v>(Không recheck)</v>
      </c>
      <c r="F172" s="265" t="str">
        <f>IFERROR(__xludf.DUMMYFUNCTION("""COMPUTED_VALUE"""),"Sale chưa cung cấp")</f>
        <v>Sale chưa cung cấp</v>
      </c>
      <c r="G172" s="265" t="str">
        <f>IFERROR(__xludf.DUMMYFUNCTION("""COMPUTED_VALUE"""),"API")</f>
        <v>API</v>
      </c>
      <c r="H172" s="265" t="str">
        <f>IFERROR(__xludf.DUMMYFUNCTION("""COMPUTED_VALUE"""),"Trial")</f>
        <v>Trial</v>
      </c>
      <c r="I172" s="265" t="str">
        <f>IFERROR(__xludf.DUMMYFUNCTION("""COMPUTED_VALUE"""),"(Không recheck)")</f>
        <v>(Không recheck)</v>
      </c>
      <c r="J172" s="265" t="str">
        <f>IFERROR(__xludf.DUMMYFUNCTION("""COMPUTED_VALUE"""),"(Không recheck)")</f>
        <v>(Không recheck)</v>
      </c>
    </row>
    <row r="173">
      <c r="A173" s="265" t="str">
        <f>IFERROR(__xludf.DUMMYFUNCTION("""COMPUTED_VALUE"""),"492")</f>
        <v>492</v>
      </c>
      <c r="B173" s="265" t="str">
        <f>IFERROR(__xludf.DUMMYFUNCTION("""COMPUTED_VALUE"""),"Sài Gòn")</f>
        <v>Sài Gòn</v>
      </c>
      <c r="C173" s="265" t="str">
        <f>IFERROR(__xludf.DUMMYFUNCTION("""COMPUTED_VALUE"""),"Locked")</f>
        <v>Locked</v>
      </c>
      <c r="D173" s="265" t="str">
        <f>IFERROR(__xludf.DUMMYFUNCTION("""COMPUTED_VALUE"""),"Sale chưa cung cấp")</f>
        <v>Sale chưa cung cấp</v>
      </c>
      <c r="E173" s="265" t="str">
        <f>IFERROR(__xludf.DUMMYFUNCTION("""COMPUTED_VALUE"""),"HoaNTM")</f>
        <v>HoaNTM</v>
      </c>
      <c r="F173" s="265" t="str">
        <f>IFERROR(__xludf.DUMMYFUNCTION("""COMPUTED_VALUE"""),"Sale chưa cung cấp")</f>
        <v>Sale chưa cung cấp</v>
      </c>
      <c r="G173" s="265" t="str">
        <f>IFERROR(__xludf.DUMMYFUNCTION("""COMPUTED_VALUE"""),"MSG")</f>
        <v>MSG</v>
      </c>
      <c r="H173" s="265" t="str">
        <f>IFERROR(__xludf.DUMMYFUNCTION("""COMPUTED_VALUE"""),"(Chưa recheck)")</f>
        <v>(Chưa recheck)</v>
      </c>
      <c r="I173" s="265" t="str">
        <f>IFERROR(__xludf.DUMMYFUNCTION("""COMPUTED_VALUE"""),"(Chưa recheck)")</f>
        <v>(Chưa recheck)</v>
      </c>
      <c r="J173" s="265" t="str">
        <f>IFERROR(__xludf.DUMMYFUNCTION("""COMPUTED_VALUE"""),"(Chưa recheck)")</f>
        <v>(Chưa recheck)</v>
      </c>
    </row>
    <row r="174">
      <c r="A174" s="265" t="str">
        <f>IFERROR(__xludf.DUMMYFUNCTION("""COMPUTED_VALUE"""),"494")</f>
        <v>494</v>
      </c>
      <c r="B174" s="265" t="str">
        <f>IFERROR(__xludf.DUMMYFUNCTION("""COMPUTED_VALUE"""),"Sài Gòn")</f>
        <v>Sài Gòn</v>
      </c>
      <c r="C174" s="265" t="str">
        <f>IFERROR(__xludf.DUMMYFUNCTION("""COMPUTED_VALUE"""),"Locked")</f>
        <v>Locked</v>
      </c>
      <c r="D174" s="265" t="str">
        <f>IFERROR(__xludf.DUMMYFUNCTION("""COMPUTED_VALUE"""),"Sale chưa cung cấp")</f>
        <v>Sale chưa cung cấp</v>
      </c>
      <c r="E174" s="265" t="str">
        <f>IFERROR(__xludf.DUMMYFUNCTION("""COMPUTED_VALUE"""),"HoaNTM")</f>
        <v>HoaNTM</v>
      </c>
      <c r="F174" s="265" t="str">
        <f>IFERROR(__xludf.DUMMYFUNCTION("""COMPUTED_VALUE"""),"Diamond")</f>
        <v>Diamond</v>
      </c>
      <c r="G174" s="265" t="str">
        <f>IFERROR(__xludf.DUMMYFUNCTION("""COMPUTED_VALUE"""),"API")</f>
        <v>API</v>
      </c>
      <c r="H174" s="265" t="str">
        <f>IFERROR(__xludf.DUMMYFUNCTION("""COMPUTED_VALUE"""),"Trả sau")</f>
        <v>Trả sau</v>
      </c>
      <c r="I174" s="265" t="str">
        <f>IFERROR(__xludf.DUMMYFUNCTION("""COMPUTED_VALUE"""),"(Chưa recheck)")</f>
        <v>(Chưa recheck)</v>
      </c>
      <c r="J174" s="265" t="str">
        <f>IFERROR(__xludf.DUMMYFUNCTION("""COMPUTED_VALUE"""),"(Chưa recheck)")</f>
        <v>(Chưa recheck)</v>
      </c>
    </row>
    <row r="175">
      <c r="A175" s="265" t="str">
        <f>IFERROR(__xludf.DUMMYFUNCTION("""COMPUTED_VALUE"""),"493")</f>
        <v>493</v>
      </c>
      <c r="B175" s="265" t="str">
        <f>IFERROR(__xludf.DUMMYFUNCTION("""COMPUTED_VALUE"""),"Sài Gòn")</f>
        <v>Sài Gòn</v>
      </c>
      <c r="C175" s="265" t="str">
        <f>IFERROR(__xludf.DUMMYFUNCTION("""COMPUTED_VALUE"""),"Locked")</f>
        <v>Locked</v>
      </c>
      <c r="D175" s="265" t="str">
        <f>IFERROR(__xludf.DUMMYFUNCTION("""COMPUTED_VALUE"""),"Sale chưa cung cấp")</f>
        <v>Sale chưa cung cấp</v>
      </c>
      <c r="E175" s="265" t="str">
        <f>IFERROR(__xludf.DUMMYFUNCTION("""COMPUTED_VALUE"""),"HoaNTM")</f>
        <v>HoaNTM</v>
      </c>
      <c r="F175" s="265" t="str">
        <f>IFERROR(__xludf.DUMMYFUNCTION("""COMPUTED_VALUE"""),"Sale chưa cung cấp")</f>
        <v>Sale chưa cung cấp</v>
      </c>
      <c r="G175" s="265" t="str">
        <f>IFERROR(__xludf.DUMMYFUNCTION("""COMPUTED_VALUE"""),"Enterprise")</f>
        <v>Enterprise</v>
      </c>
      <c r="H175" s="265" t="str">
        <f>IFERROR(__xludf.DUMMYFUNCTION("""COMPUTED_VALUE"""),"Trial")</f>
        <v>Trial</v>
      </c>
      <c r="I175" s="265" t="str">
        <f>IFERROR(__xludf.DUMMYFUNCTION("""COMPUTED_VALUE"""),"(Không recheck)")</f>
        <v>(Không recheck)</v>
      </c>
      <c r="J175" s="265" t="str">
        <f>IFERROR(__xludf.DUMMYFUNCTION("""COMPUTED_VALUE"""),"(Không recheck)")</f>
        <v>(Không recheck)</v>
      </c>
    </row>
    <row r="176">
      <c r="A176" s="265" t="str">
        <f>IFERROR(__xludf.DUMMYFUNCTION("""COMPUTED_VALUE"""),"496")</f>
        <v>496</v>
      </c>
      <c r="B176" s="265" t="str">
        <f>IFERROR(__xludf.DUMMYFUNCTION("""COMPUTED_VALUE"""),"Hà Nội")</f>
        <v>Hà Nội</v>
      </c>
      <c r="C176" s="265" t="str">
        <f>IFERROR(__xludf.DUMMYFUNCTION("""COMPUTED_VALUE"""),"Locked")</f>
        <v>Locked</v>
      </c>
      <c r="D176" s="265" t="str">
        <f>IFERROR(__xludf.DUMMYFUNCTION("""COMPUTED_VALUE"""),"Sale chưa cung cấp")</f>
        <v>Sale chưa cung cấp</v>
      </c>
      <c r="E176" s="265" t="str">
        <f>IFERROR(__xludf.DUMMYFUNCTION("""COMPUTED_VALUE"""),"PhươngDTB")</f>
        <v>PhươngDTB</v>
      </c>
      <c r="F176" s="265" t="str">
        <f>IFERROR(__xludf.DUMMYFUNCTION("""COMPUTED_VALUE"""),"Sale chưa cung cấp")</f>
        <v>Sale chưa cung cấp</v>
      </c>
      <c r="G176" s="265" t="str">
        <f>IFERROR(__xludf.DUMMYFUNCTION("""COMPUTED_VALUE"""),"Enterprise")</f>
        <v>Enterprise</v>
      </c>
      <c r="H176" s="265" t="str">
        <f>IFERROR(__xludf.DUMMYFUNCTION("""COMPUTED_VALUE"""),"Trial")</f>
        <v>Trial</v>
      </c>
      <c r="I176" s="265" t="str">
        <f>IFERROR(__xludf.DUMMYFUNCTION("""COMPUTED_VALUE"""),"(Không recheck)")</f>
        <v>(Không recheck)</v>
      </c>
      <c r="J176" s="265" t="str">
        <f>IFERROR(__xludf.DUMMYFUNCTION("""COMPUTED_VALUE"""),"(Không recheck)")</f>
        <v>(Không recheck)</v>
      </c>
    </row>
    <row r="177">
      <c r="A177" s="265" t="str">
        <f>IFERROR(__xludf.DUMMYFUNCTION("""COMPUTED_VALUE"""),"495")</f>
        <v>495</v>
      </c>
      <c r="B177" s="265" t="str">
        <f>IFERROR(__xludf.DUMMYFUNCTION("""COMPUTED_VALUE"""),"Sài Gòn")</f>
        <v>Sài Gòn</v>
      </c>
      <c r="C177" s="265" t="str">
        <f>IFERROR(__xludf.DUMMYFUNCTION("""COMPUTED_VALUE"""),"Active")</f>
        <v>Active</v>
      </c>
      <c r="D177" s="265" t="str">
        <f>IFERROR(__xludf.DUMMYFUNCTION("""COMPUTED_VALUE"""),"Sale chưa cung cấp")</f>
        <v>Sale chưa cung cấp</v>
      </c>
      <c r="E177" s="265" t="str">
        <f>IFERROR(__xludf.DUMMYFUNCTION("""COMPUTED_VALUE"""),"TùngLD")</f>
        <v>TùngLD</v>
      </c>
      <c r="F177" s="265" t="str">
        <f>IFERROR(__xludf.DUMMYFUNCTION("""COMPUTED_VALUE"""),"Diamond")</f>
        <v>Diamond</v>
      </c>
      <c r="G177" s="265" t="str">
        <f>IFERROR(__xludf.DUMMYFUNCTION("""COMPUTED_VALUE"""),"Enterprise")</f>
        <v>Enterprise</v>
      </c>
      <c r="H177" s="265" t="str">
        <f>IFERROR(__xludf.DUMMYFUNCTION("""COMPUTED_VALUE"""),"Trả sau")</f>
        <v>Trả sau</v>
      </c>
      <c r="I177" s="265" t="str">
        <f>IFERROR(__xludf.DUMMYFUNCTION("""COMPUTED_VALUE"""),"API &amp; Portal")</f>
        <v>API &amp; Portal</v>
      </c>
      <c r="J177" s="265" t="str">
        <f>IFERROR(__xludf.DUMMYFUNCTION("""COMPUTED_VALUE"""),"SMS CSKH")</f>
        <v>SMS CSKH</v>
      </c>
    </row>
    <row r="178">
      <c r="A178" s="265" t="str">
        <f>IFERROR(__xludf.DUMMYFUNCTION("""COMPUTED_VALUE"""),"495")</f>
        <v>495</v>
      </c>
      <c r="B178" s="265" t="str">
        <f>IFERROR(__xludf.DUMMYFUNCTION("""COMPUTED_VALUE"""),"Sài Gòn")</f>
        <v>Sài Gòn</v>
      </c>
      <c r="C178" s="265" t="str">
        <f>IFERROR(__xludf.DUMMYFUNCTION("""COMPUTED_VALUE"""),"Active")</f>
        <v>Active</v>
      </c>
      <c r="D178" s="265" t="str">
        <f>IFERROR(__xludf.DUMMYFUNCTION("""COMPUTED_VALUE"""),"Sale chưa cung cấp")</f>
        <v>Sale chưa cung cấp</v>
      </c>
      <c r="E178" s="265" t="str">
        <f>IFERROR(__xludf.DUMMYFUNCTION("""COMPUTED_VALUE"""),"TùngLD")</f>
        <v>TùngLD</v>
      </c>
      <c r="F178" s="265" t="str">
        <f>IFERROR(__xludf.DUMMYFUNCTION("""COMPUTED_VALUE"""),"Diamond")</f>
        <v>Diamond</v>
      </c>
      <c r="G178" s="265" t="str">
        <f>IFERROR(__xludf.DUMMYFUNCTION("""COMPUTED_VALUE"""),"Enterprise")</f>
        <v>Enterprise</v>
      </c>
      <c r="H178" s="265" t="str">
        <f>IFERROR(__xludf.DUMMYFUNCTION("""COMPUTED_VALUE"""),"Trả sau")</f>
        <v>Trả sau</v>
      </c>
      <c r="I178" s="265" t="str">
        <f>IFERROR(__xludf.DUMMYFUNCTION("""COMPUTED_VALUE"""),"API &amp; Portal")</f>
        <v>API &amp; Portal</v>
      </c>
      <c r="J178" s="265" t="str">
        <f>IFERROR(__xludf.DUMMYFUNCTION("""COMPUTED_VALUE"""),"Zalo ZNS")</f>
        <v>Zalo ZNS</v>
      </c>
    </row>
    <row r="179">
      <c r="A179" s="265" t="str">
        <f>IFERROR(__xludf.DUMMYFUNCTION("""COMPUTED_VALUE"""),"495")</f>
        <v>495</v>
      </c>
      <c r="B179" s="265" t="str">
        <f>IFERROR(__xludf.DUMMYFUNCTION("""COMPUTED_VALUE"""),"Sài Gòn")</f>
        <v>Sài Gòn</v>
      </c>
      <c r="C179" s="265" t="str">
        <f>IFERROR(__xludf.DUMMYFUNCTION("""COMPUTED_VALUE"""),"Active")</f>
        <v>Active</v>
      </c>
      <c r="D179" s="265" t="str">
        <f>IFERROR(__xludf.DUMMYFUNCTION("""COMPUTED_VALUE"""),"Sale chưa cung cấp")</f>
        <v>Sale chưa cung cấp</v>
      </c>
      <c r="E179" s="265" t="str">
        <f>IFERROR(__xludf.DUMMYFUNCTION("""COMPUTED_VALUE"""),"TùngLD")</f>
        <v>TùngLD</v>
      </c>
      <c r="F179" s="265" t="str">
        <f>IFERROR(__xludf.DUMMYFUNCTION("""COMPUTED_VALUE"""),"Diamond")</f>
        <v>Diamond</v>
      </c>
      <c r="G179" s="265" t="str">
        <f>IFERROR(__xludf.DUMMYFUNCTION("""COMPUTED_VALUE"""),"Enterprise")</f>
        <v>Enterprise</v>
      </c>
      <c r="H179" s="265" t="str">
        <f>IFERROR(__xludf.DUMMYFUNCTION("""COMPUTED_VALUE"""),"Trả sau")</f>
        <v>Trả sau</v>
      </c>
      <c r="I179" s="265" t="str">
        <f>IFERROR(__xludf.DUMMYFUNCTION("""COMPUTED_VALUE"""),"API &amp; Portal")</f>
        <v>API &amp; Portal</v>
      </c>
      <c r="J179" s="265" t="str">
        <f>IFERROR(__xludf.DUMMYFUNCTION("""COMPUTED_VALUE"""),"Viber")</f>
        <v>Viber</v>
      </c>
    </row>
    <row r="180">
      <c r="A180" s="265" t="str">
        <f>IFERROR(__xludf.DUMMYFUNCTION("""COMPUTED_VALUE"""),"497")</f>
        <v>497</v>
      </c>
      <c r="B180" s="265" t="str">
        <f>IFERROR(__xludf.DUMMYFUNCTION("""COMPUTED_VALUE"""),"Sài Gòn")</f>
        <v>Sài Gòn</v>
      </c>
      <c r="C180" s="265" t="str">
        <f>IFERROR(__xludf.DUMMYFUNCTION("""COMPUTED_VALUE"""),"Locked")</f>
        <v>Locked</v>
      </c>
      <c r="D180" s="265" t="str">
        <f>IFERROR(__xludf.DUMMYFUNCTION("""COMPUTED_VALUE"""),"Sale chưa cung cấp")</f>
        <v>Sale chưa cung cấp</v>
      </c>
      <c r="E180" s="265" t="str">
        <f>IFERROR(__xludf.DUMMYFUNCTION("""COMPUTED_VALUE"""),"HoaNTM")</f>
        <v>HoaNTM</v>
      </c>
      <c r="F180" s="265" t="str">
        <f>IFERROR(__xludf.DUMMYFUNCTION("""COMPUTED_VALUE"""),"Sale chưa cung cấp")</f>
        <v>Sale chưa cung cấp</v>
      </c>
      <c r="G180" s="265" t="str">
        <f>IFERROR(__xludf.DUMMYFUNCTION("""COMPUTED_VALUE"""),"Enterprise")</f>
        <v>Enterprise</v>
      </c>
      <c r="H180" s="265" t="str">
        <f>IFERROR(__xludf.DUMMYFUNCTION("""COMPUTED_VALUE"""),"Trial")</f>
        <v>Trial</v>
      </c>
      <c r="I180" s="265" t="str">
        <f>IFERROR(__xludf.DUMMYFUNCTION("""COMPUTED_VALUE"""),"(Không recheck)")</f>
        <v>(Không recheck)</v>
      </c>
      <c r="J180" s="265" t="str">
        <f>IFERROR(__xludf.DUMMYFUNCTION("""COMPUTED_VALUE"""),"(Không recheck)")</f>
        <v>(Không recheck)</v>
      </c>
    </row>
    <row r="181">
      <c r="A181" s="265" t="str">
        <f>IFERROR(__xludf.DUMMYFUNCTION("""COMPUTED_VALUE"""),"499")</f>
        <v>499</v>
      </c>
      <c r="B181" s="265" t="str">
        <f>IFERROR(__xludf.DUMMYFUNCTION("""COMPUTED_VALUE"""),"Hà Nội")</f>
        <v>Hà Nội</v>
      </c>
      <c r="C181" s="265" t="str">
        <f>IFERROR(__xludf.DUMMYFUNCTION("""COMPUTED_VALUE"""),"Locked")</f>
        <v>Locked</v>
      </c>
      <c r="D181" s="265" t="str">
        <f>IFERROR(__xludf.DUMMYFUNCTION("""COMPUTED_VALUE"""),"Sale chưa cung cấp")</f>
        <v>Sale chưa cung cấp</v>
      </c>
      <c r="E181" s="265" t="str">
        <f>IFERROR(__xludf.DUMMYFUNCTION("""COMPUTED_VALUE"""),"(Không recheck)")</f>
        <v>(Không recheck)</v>
      </c>
      <c r="F181" s="265" t="str">
        <f>IFERROR(__xludf.DUMMYFUNCTION("""COMPUTED_VALUE"""),"Sale chưa cung cấp")</f>
        <v>Sale chưa cung cấp</v>
      </c>
      <c r="G181" s="265" t="str">
        <f>IFERROR(__xludf.DUMMYFUNCTION("""COMPUTED_VALUE"""),"API")</f>
        <v>API</v>
      </c>
      <c r="H181" s="265" t="str">
        <f>IFERROR(__xludf.DUMMYFUNCTION("""COMPUTED_VALUE"""),"Trial")</f>
        <v>Trial</v>
      </c>
      <c r="I181" s="265" t="str">
        <f>IFERROR(__xludf.DUMMYFUNCTION("""COMPUTED_VALUE"""),"(Không recheck)")</f>
        <v>(Không recheck)</v>
      </c>
      <c r="J181" s="265" t="str">
        <f>IFERROR(__xludf.DUMMYFUNCTION("""COMPUTED_VALUE"""),"(Không recheck)")</f>
        <v>(Không recheck)</v>
      </c>
    </row>
    <row r="182">
      <c r="A182" s="265" t="str">
        <f>IFERROR(__xludf.DUMMYFUNCTION("""COMPUTED_VALUE"""),"500")</f>
        <v>500</v>
      </c>
      <c r="B182" s="265" t="str">
        <f>IFERROR(__xludf.DUMMYFUNCTION("""COMPUTED_VALUE"""),"Hà Nội")</f>
        <v>Hà Nội</v>
      </c>
      <c r="C182" s="265" t="str">
        <f>IFERROR(__xludf.DUMMYFUNCTION("""COMPUTED_VALUE"""),"Locked")</f>
        <v>Locked</v>
      </c>
      <c r="D182" s="265" t="str">
        <f>IFERROR(__xludf.DUMMYFUNCTION("""COMPUTED_VALUE"""),"Sale chưa cung cấp")</f>
        <v>Sale chưa cung cấp</v>
      </c>
      <c r="E182" s="265" t="str">
        <f>IFERROR(__xludf.DUMMYFUNCTION("""COMPUTED_VALUE"""),"AnhNM")</f>
        <v>AnhNM</v>
      </c>
      <c r="F182" s="265" t="str">
        <f>IFERROR(__xludf.DUMMYFUNCTION("""COMPUTED_VALUE"""),"Gold")</f>
        <v>Gold</v>
      </c>
      <c r="G182" s="265" t="str">
        <f>IFERROR(__xludf.DUMMYFUNCTION("""COMPUTED_VALUE"""),"Enterprise")</f>
        <v>Enterprise</v>
      </c>
      <c r="H182" s="265" t="str">
        <f>IFERROR(__xludf.DUMMYFUNCTION("""COMPUTED_VALUE"""),"Trả trước")</f>
        <v>Trả trước</v>
      </c>
      <c r="I182" s="265" t="str">
        <f>IFERROR(__xludf.DUMMYFUNCTION("""COMPUTED_VALUE"""),"API")</f>
        <v>API</v>
      </c>
      <c r="J182" s="265" t="str">
        <f>IFERROR(__xludf.DUMMYFUNCTION("""COMPUTED_VALUE"""),"SMS CSKH")</f>
        <v>SMS CSKH</v>
      </c>
    </row>
    <row r="183">
      <c r="A183" s="265" t="str">
        <f>IFERROR(__xludf.DUMMYFUNCTION("""COMPUTED_VALUE"""),"500")</f>
        <v>500</v>
      </c>
      <c r="B183" s="265" t="str">
        <f>IFERROR(__xludf.DUMMYFUNCTION("""COMPUTED_VALUE"""),"Hà Nội")</f>
        <v>Hà Nội</v>
      </c>
      <c r="C183" s="265" t="str">
        <f>IFERROR(__xludf.DUMMYFUNCTION("""COMPUTED_VALUE"""),"Locked")</f>
        <v>Locked</v>
      </c>
      <c r="D183" s="265" t="str">
        <f>IFERROR(__xludf.DUMMYFUNCTION("""COMPUTED_VALUE"""),"Sale chưa cung cấp")</f>
        <v>Sale chưa cung cấp</v>
      </c>
      <c r="E183" s="265" t="str">
        <f>IFERROR(__xludf.DUMMYFUNCTION("""COMPUTED_VALUE"""),"AnhNM")</f>
        <v>AnhNM</v>
      </c>
      <c r="F183" s="265" t="str">
        <f>IFERROR(__xludf.DUMMYFUNCTION("""COMPUTED_VALUE"""),"Gold")</f>
        <v>Gold</v>
      </c>
      <c r="G183" s="265" t="str">
        <f>IFERROR(__xludf.DUMMYFUNCTION("""COMPUTED_VALUE"""),"Enterprise")</f>
        <v>Enterprise</v>
      </c>
      <c r="H183" s="265" t="str">
        <f>IFERROR(__xludf.DUMMYFUNCTION("""COMPUTED_VALUE"""),"Trả trước")</f>
        <v>Trả trước</v>
      </c>
      <c r="I183" s="265" t="str">
        <f>IFERROR(__xludf.DUMMYFUNCTION("""COMPUTED_VALUE"""),"API")</f>
        <v>API</v>
      </c>
      <c r="J183" s="265" t="str">
        <f>IFERROR(__xludf.DUMMYFUNCTION("""COMPUTED_VALUE"""),"Zalo ZNS")</f>
        <v>Zalo ZNS</v>
      </c>
    </row>
    <row r="184">
      <c r="A184" s="265" t="str">
        <f>IFERROR(__xludf.DUMMYFUNCTION("""COMPUTED_VALUE"""),"501")</f>
        <v>501</v>
      </c>
      <c r="B184" s="265" t="str">
        <f>IFERROR(__xludf.DUMMYFUNCTION("""COMPUTED_VALUE"""),"Hà Nội")</f>
        <v>Hà Nội</v>
      </c>
      <c r="C184" s="265" t="str">
        <f>IFERROR(__xludf.DUMMYFUNCTION("""COMPUTED_VALUE"""),"Locked")</f>
        <v>Locked</v>
      </c>
      <c r="D184" s="265" t="str">
        <f>IFERROR(__xludf.DUMMYFUNCTION("""COMPUTED_VALUE"""),"Sale chưa cung cấp")</f>
        <v>Sale chưa cung cấp</v>
      </c>
      <c r="E184" s="265" t="str">
        <f>IFERROR(__xludf.DUMMYFUNCTION("""COMPUTED_VALUE"""),"PhươngDTB")</f>
        <v>PhươngDTB</v>
      </c>
      <c r="F184" s="265" t="str">
        <f>IFERROR(__xludf.DUMMYFUNCTION("""COMPUTED_VALUE"""),"Bronze")</f>
        <v>Bronze</v>
      </c>
      <c r="G184" s="265" t="str">
        <f>IFERROR(__xludf.DUMMYFUNCTION("""COMPUTED_VALUE"""),"Enterprise")</f>
        <v>Enterprise</v>
      </c>
      <c r="H184" s="265" t="str">
        <f>IFERROR(__xludf.DUMMYFUNCTION("""COMPUTED_VALUE"""),"(Chưa recheck)")</f>
        <v>(Chưa recheck)</v>
      </c>
      <c r="I184" s="265" t="str">
        <f>IFERROR(__xludf.DUMMYFUNCTION("""COMPUTED_VALUE"""),"(Chưa recheck)")</f>
        <v>(Chưa recheck)</v>
      </c>
      <c r="J184" s="265" t="str">
        <f>IFERROR(__xludf.DUMMYFUNCTION("""COMPUTED_VALUE"""),"(Chưa recheck)")</f>
        <v>(Chưa recheck)</v>
      </c>
    </row>
    <row r="185">
      <c r="A185" s="265" t="str">
        <f>IFERROR(__xludf.DUMMYFUNCTION("""COMPUTED_VALUE"""),"504")</f>
        <v>504</v>
      </c>
      <c r="B185" s="265" t="str">
        <f>IFERROR(__xludf.DUMMYFUNCTION("""COMPUTED_VALUE"""),"Hà Nội")</f>
        <v>Hà Nội</v>
      </c>
      <c r="C185" s="265" t="str">
        <f>IFERROR(__xludf.DUMMYFUNCTION("""COMPUTED_VALUE"""),"Locked")</f>
        <v>Locked</v>
      </c>
      <c r="D185" s="265" t="str">
        <f>IFERROR(__xludf.DUMMYFUNCTION("""COMPUTED_VALUE"""),"Sale chưa cung cấp")</f>
        <v>Sale chưa cung cấp</v>
      </c>
      <c r="E185" s="265" t="str">
        <f>IFERROR(__xludf.DUMMYFUNCTION("""COMPUTED_VALUE"""),"NamDT")</f>
        <v>NamDT</v>
      </c>
      <c r="F185" s="265" t="str">
        <f>IFERROR(__xludf.DUMMYFUNCTION("""COMPUTED_VALUE"""),"Sale chưa cung cấp")</f>
        <v>Sale chưa cung cấp</v>
      </c>
      <c r="G185" s="265" t="str">
        <f>IFERROR(__xludf.DUMMYFUNCTION("""COMPUTED_VALUE"""),"MSG")</f>
        <v>MSG</v>
      </c>
      <c r="H185" s="265" t="str">
        <f>IFERROR(__xludf.DUMMYFUNCTION("""COMPUTED_VALUE"""),"(Chưa recheck)")</f>
        <v>(Chưa recheck)</v>
      </c>
      <c r="I185" s="265" t="str">
        <f>IFERROR(__xludf.DUMMYFUNCTION("""COMPUTED_VALUE"""),"(Chưa recheck)")</f>
        <v>(Chưa recheck)</v>
      </c>
      <c r="J185" s="265" t="str">
        <f>IFERROR(__xludf.DUMMYFUNCTION("""COMPUTED_VALUE"""),"Zalo ZNS")</f>
        <v>Zalo ZNS</v>
      </c>
    </row>
    <row r="186">
      <c r="A186" s="265" t="str">
        <f>IFERROR(__xludf.DUMMYFUNCTION("""COMPUTED_VALUE"""),"506")</f>
        <v>506</v>
      </c>
      <c r="B186" s="265" t="str">
        <f>IFERROR(__xludf.DUMMYFUNCTION("""COMPUTED_VALUE"""),"Sài Gòn")</f>
        <v>Sài Gòn</v>
      </c>
      <c r="C186" s="265" t="str">
        <f>IFERROR(__xludf.DUMMYFUNCTION("""COMPUTED_VALUE"""),"Locked")</f>
        <v>Locked</v>
      </c>
      <c r="D186" s="265" t="str">
        <f>IFERROR(__xludf.DUMMYFUNCTION("""COMPUTED_VALUE"""),"Sale chưa cung cấp")</f>
        <v>Sale chưa cung cấp</v>
      </c>
      <c r="E186" s="265" t="str">
        <f>IFERROR(__xludf.DUMMYFUNCTION("""COMPUTED_VALUE"""),"HoaNTM")</f>
        <v>HoaNTM</v>
      </c>
      <c r="F186" s="265" t="str">
        <f>IFERROR(__xludf.DUMMYFUNCTION("""COMPUTED_VALUE"""),"Bronze")</f>
        <v>Bronze</v>
      </c>
      <c r="G186" s="265" t="str">
        <f>IFERROR(__xludf.DUMMYFUNCTION("""COMPUTED_VALUE"""),"Enterprise")</f>
        <v>Enterprise</v>
      </c>
      <c r="H186" s="265" t="str">
        <f>IFERROR(__xludf.DUMMYFUNCTION("""COMPUTED_VALUE"""),"(Chưa recheck)")</f>
        <v>(Chưa recheck)</v>
      </c>
      <c r="I186" s="265" t="str">
        <f>IFERROR(__xludf.DUMMYFUNCTION("""COMPUTED_VALUE"""),"(Chưa recheck)")</f>
        <v>(Chưa recheck)</v>
      </c>
      <c r="J186" s="265" t="str">
        <f>IFERROR(__xludf.DUMMYFUNCTION("""COMPUTED_VALUE"""),"(Chưa recheck)")</f>
        <v>(Chưa recheck)</v>
      </c>
    </row>
    <row r="187">
      <c r="A187" s="265" t="str">
        <f>IFERROR(__xludf.DUMMYFUNCTION("""COMPUTED_VALUE"""),"505")</f>
        <v>505</v>
      </c>
      <c r="B187" s="265" t="str">
        <f>IFERROR(__xludf.DUMMYFUNCTION("""COMPUTED_VALUE"""),"Sài Gòn")</f>
        <v>Sài Gòn</v>
      </c>
      <c r="C187" s="265" t="str">
        <f>IFERROR(__xludf.DUMMYFUNCTION("""COMPUTED_VALUE"""),"Locked")</f>
        <v>Locked</v>
      </c>
      <c r="D187" s="265" t="str">
        <f>IFERROR(__xludf.DUMMYFUNCTION("""COMPUTED_VALUE"""),"Sale chưa cung cấp")</f>
        <v>Sale chưa cung cấp</v>
      </c>
      <c r="E187" s="265" t="str">
        <f>IFERROR(__xludf.DUMMYFUNCTION("""COMPUTED_VALUE"""),"HoaNTM")</f>
        <v>HoaNTM</v>
      </c>
      <c r="F187" s="265" t="str">
        <f>IFERROR(__xludf.DUMMYFUNCTION("""COMPUTED_VALUE"""),"Sale chưa cung cấp")</f>
        <v>Sale chưa cung cấp</v>
      </c>
      <c r="G187" s="265" t="str">
        <f>IFERROR(__xludf.DUMMYFUNCTION("""COMPUTED_VALUE"""),"Enterprise")</f>
        <v>Enterprise</v>
      </c>
      <c r="H187" s="265" t="str">
        <f>IFERROR(__xludf.DUMMYFUNCTION("""COMPUTED_VALUE"""),"Trial")</f>
        <v>Trial</v>
      </c>
      <c r="I187" s="265" t="str">
        <f>IFERROR(__xludf.DUMMYFUNCTION("""COMPUTED_VALUE"""),"(Không recheck)")</f>
        <v>(Không recheck)</v>
      </c>
      <c r="J187" s="265" t="str">
        <f>IFERROR(__xludf.DUMMYFUNCTION("""COMPUTED_VALUE"""),"(Không recheck)")</f>
        <v>(Không recheck)</v>
      </c>
    </row>
    <row r="188">
      <c r="A188" s="265" t="str">
        <f>IFERROR(__xludf.DUMMYFUNCTION("""COMPUTED_VALUE"""),"507")</f>
        <v>507</v>
      </c>
      <c r="B188" s="265" t="str">
        <f>IFERROR(__xludf.DUMMYFUNCTION("""COMPUTED_VALUE"""),"Sài Gòn")</f>
        <v>Sài Gòn</v>
      </c>
      <c r="C188" s="265" t="str">
        <f>IFERROR(__xludf.DUMMYFUNCTION("""COMPUTED_VALUE"""),"Locked")</f>
        <v>Locked</v>
      </c>
      <c r="D188" s="265" t="str">
        <f>IFERROR(__xludf.DUMMYFUNCTION("""COMPUTED_VALUE"""),"Sale chưa cung cấp")</f>
        <v>Sale chưa cung cấp</v>
      </c>
      <c r="E188" s="265" t="str">
        <f>IFERROR(__xludf.DUMMYFUNCTION("""COMPUTED_VALUE"""),"HoaNTM")</f>
        <v>HoaNTM</v>
      </c>
      <c r="F188" s="265" t="str">
        <f>IFERROR(__xludf.DUMMYFUNCTION("""COMPUTED_VALUE"""),"Sale chưa cung cấp")</f>
        <v>Sale chưa cung cấp</v>
      </c>
      <c r="G188" s="265" t="str">
        <f>IFERROR(__xludf.DUMMYFUNCTION("""COMPUTED_VALUE"""),"MSG")</f>
        <v>MSG</v>
      </c>
      <c r="H188" s="265" t="str">
        <f>IFERROR(__xludf.DUMMYFUNCTION("""COMPUTED_VALUE"""),"(Chưa recheck)")</f>
        <v>(Chưa recheck)</v>
      </c>
      <c r="I188" s="265" t="str">
        <f>IFERROR(__xludf.DUMMYFUNCTION("""COMPUTED_VALUE"""),"(Chưa recheck)")</f>
        <v>(Chưa recheck)</v>
      </c>
      <c r="J188" s="265" t="str">
        <f>IFERROR(__xludf.DUMMYFUNCTION("""COMPUTED_VALUE"""),"(Chưa recheck)")</f>
        <v>(Chưa recheck)</v>
      </c>
    </row>
    <row r="189">
      <c r="A189" s="265" t="str">
        <f>IFERROR(__xludf.DUMMYFUNCTION("""COMPUTED_VALUE"""),"None 5")</f>
        <v>None 5</v>
      </c>
      <c r="B189" s="265" t="str">
        <f>IFERROR(__xludf.DUMMYFUNCTION("""COMPUTED_VALUE"""),"Hà Nội")</f>
        <v>Hà Nội</v>
      </c>
      <c r="C189" s="265" t="str">
        <f>IFERROR(__xludf.DUMMYFUNCTION("""COMPUTED_VALUE"""),"Locked")</f>
        <v>Locked</v>
      </c>
      <c r="D189" s="265" t="str">
        <f>IFERROR(__xludf.DUMMYFUNCTION("""COMPUTED_VALUE"""),"Sale chưa cung cấp")</f>
        <v>Sale chưa cung cấp</v>
      </c>
      <c r="E189" s="265" t="str">
        <f>IFERROR(__xludf.DUMMYFUNCTION("""COMPUTED_VALUE"""),"Không phân công")</f>
        <v>Không phân công</v>
      </c>
      <c r="F189" s="265" t="str">
        <f>IFERROR(__xludf.DUMMYFUNCTION("""COMPUTED_VALUE"""),"Sale chưa cung cấp")</f>
        <v>Sale chưa cung cấp</v>
      </c>
      <c r="G189" s="265" t="str">
        <f>IFERROR(__xludf.DUMMYFUNCTION("""COMPUTED_VALUE"""),"API")</f>
        <v>API</v>
      </c>
      <c r="H189" s="265" t="str">
        <f>IFERROR(__xludf.DUMMYFUNCTION("""COMPUTED_VALUE"""),"(Chưa recheck)")</f>
        <v>(Chưa recheck)</v>
      </c>
      <c r="I189" s="265" t="str">
        <f>IFERROR(__xludf.DUMMYFUNCTION("""COMPUTED_VALUE"""),"(Chưa recheck)")</f>
        <v>(Chưa recheck)</v>
      </c>
      <c r="J189" s="265" t="str">
        <f>IFERROR(__xludf.DUMMYFUNCTION("""COMPUTED_VALUE"""),"Zalo ZNS")</f>
        <v>Zalo ZNS</v>
      </c>
    </row>
    <row r="190">
      <c r="A190" s="265" t="str">
        <f>IFERROR(__xludf.DUMMYFUNCTION("""COMPUTED_VALUE"""),"508")</f>
        <v>508</v>
      </c>
      <c r="B190" s="265" t="str">
        <f>IFERROR(__xludf.DUMMYFUNCTION("""COMPUTED_VALUE"""),"Sài Gòn")</f>
        <v>Sài Gòn</v>
      </c>
      <c r="C190" s="265" t="str">
        <f>IFERROR(__xludf.DUMMYFUNCTION("""COMPUTED_VALUE"""),"Locked")</f>
        <v>Locked</v>
      </c>
      <c r="D190" s="265" t="str">
        <f>IFERROR(__xludf.DUMMYFUNCTION("""COMPUTED_VALUE"""),"Sale chưa cung cấp")</f>
        <v>Sale chưa cung cấp</v>
      </c>
      <c r="E190" s="265" t="str">
        <f>IFERROR(__xludf.DUMMYFUNCTION("""COMPUTED_VALUE"""),"HoaNTM")</f>
        <v>HoaNTM</v>
      </c>
      <c r="F190" s="265" t="str">
        <f>IFERROR(__xludf.DUMMYFUNCTION("""COMPUTED_VALUE"""),"Bronze")</f>
        <v>Bronze</v>
      </c>
      <c r="G190" s="265" t="str">
        <f>IFERROR(__xludf.DUMMYFUNCTION("""COMPUTED_VALUE"""),"MSG")</f>
        <v>MSG</v>
      </c>
      <c r="H190" s="265" t="str">
        <f>IFERROR(__xludf.DUMMYFUNCTION("""COMPUTED_VALUE"""),"(Chưa recheck)")</f>
        <v>(Chưa recheck)</v>
      </c>
      <c r="I190" s="265" t="str">
        <f>IFERROR(__xludf.DUMMYFUNCTION("""COMPUTED_VALUE"""),"(Chưa recheck)")</f>
        <v>(Chưa recheck)</v>
      </c>
      <c r="J190" s="265" t="str">
        <f>IFERROR(__xludf.DUMMYFUNCTION("""COMPUTED_VALUE"""),"(Chưa recheck)")</f>
        <v>(Chưa recheck)</v>
      </c>
    </row>
    <row r="191">
      <c r="A191" s="265" t="str">
        <f>IFERROR(__xludf.DUMMYFUNCTION("""COMPUTED_VALUE"""),"509")</f>
        <v>509</v>
      </c>
      <c r="B191" s="265" t="str">
        <f>IFERROR(__xludf.DUMMYFUNCTION("""COMPUTED_VALUE"""),"Sài Gòn")</f>
        <v>Sài Gòn</v>
      </c>
      <c r="C191" s="265" t="str">
        <f>IFERROR(__xludf.DUMMYFUNCTION("""COMPUTED_VALUE"""),"Locked")</f>
        <v>Locked</v>
      </c>
      <c r="D191" s="265" t="str">
        <f>IFERROR(__xludf.DUMMYFUNCTION("""COMPUTED_VALUE"""),"Sale chưa cung cấp")</f>
        <v>Sale chưa cung cấp</v>
      </c>
      <c r="E191" s="265" t="str">
        <f>IFERROR(__xludf.DUMMYFUNCTION("""COMPUTED_VALUE"""),"HoaNTM")</f>
        <v>HoaNTM</v>
      </c>
      <c r="F191" s="265" t="str">
        <f>IFERROR(__xludf.DUMMYFUNCTION("""COMPUTED_VALUE"""),"Sale chưa cung cấp")</f>
        <v>Sale chưa cung cấp</v>
      </c>
      <c r="G191" s="265" t="str">
        <f>IFERROR(__xludf.DUMMYFUNCTION("""COMPUTED_VALUE"""),"Enterprise")</f>
        <v>Enterprise</v>
      </c>
      <c r="H191" s="265" t="str">
        <f>IFERROR(__xludf.DUMMYFUNCTION("""COMPUTED_VALUE"""),"Trả sau")</f>
        <v>Trả sau</v>
      </c>
      <c r="I191" s="265" t="str">
        <f>IFERROR(__xludf.DUMMYFUNCTION("""COMPUTED_VALUE"""),"(Chưa recheck)")</f>
        <v>(Chưa recheck)</v>
      </c>
      <c r="J191" s="265" t="str">
        <f>IFERROR(__xludf.DUMMYFUNCTION("""COMPUTED_VALUE"""),"(Chưa recheck)")</f>
        <v>(Chưa recheck)</v>
      </c>
    </row>
    <row r="192">
      <c r="A192" s="265" t="str">
        <f>IFERROR(__xludf.DUMMYFUNCTION("""COMPUTED_VALUE"""),"510")</f>
        <v>510</v>
      </c>
      <c r="B192" s="265" t="str">
        <f>IFERROR(__xludf.DUMMYFUNCTION("""COMPUTED_VALUE"""),"Sài Gòn")</f>
        <v>Sài Gòn</v>
      </c>
      <c r="C192" s="265" t="str">
        <f>IFERROR(__xludf.DUMMYFUNCTION("""COMPUTED_VALUE"""),"Locked")</f>
        <v>Locked</v>
      </c>
      <c r="D192" s="265" t="str">
        <f>IFERROR(__xludf.DUMMYFUNCTION("""COMPUTED_VALUE"""),"Sale chưa cung cấp")</f>
        <v>Sale chưa cung cấp</v>
      </c>
      <c r="E192" s="265" t="str">
        <f>IFERROR(__xludf.DUMMYFUNCTION("""COMPUTED_VALUE"""),"Không phân công")</f>
        <v>Không phân công</v>
      </c>
      <c r="F192" s="265" t="str">
        <f>IFERROR(__xludf.DUMMYFUNCTION("""COMPUTED_VALUE"""),"Sale chưa cung cấp")</f>
        <v>Sale chưa cung cấp</v>
      </c>
      <c r="G192" s="265" t="str">
        <f>IFERROR(__xludf.DUMMYFUNCTION("""COMPUTED_VALUE"""),"Starter")</f>
        <v>Starter</v>
      </c>
      <c r="H192" s="265" t="str">
        <f>IFERROR(__xludf.DUMMYFUNCTION("""COMPUTED_VALUE"""),"Trả sau")</f>
        <v>Trả sau</v>
      </c>
      <c r="I192" s="265" t="str">
        <f>IFERROR(__xludf.DUMMYFUNCTION("""COMPUTED_VALUE"""),"API")</f>
        <v>API</v>
      </c>
      <c r="J192" s="265" t="str">
        <f>IFERROR(__xludf.DUMMYFUNCTION("""COMPUTED_VALUE"""),"SMS CSKH")</f>
        <v>SMS CSKH</v>
      </c>
    </row>
    <row r="193">
      <c r="A193" s="265" t="str">
        <f>IFERROR(__xludf.DUMMYFUNCTION("""COMPUTED_VALUE"""),"511")</f>
        <v>511</v>
      </c>
      <c r="B193" s="265" t="str">
        <f>IFERROR(__xludf.DUMMYFUNCTION("""COMPUTED_VALUE"""),"Hà Nội")</f>
        <v>Hà Nội</v>
      </c>
      <c r="C193" s="265" t="str">
        <f>IFERROR(__xludf.DUMMYFUNCTION("""COMPUTED_VALUE"""),"Locked")</f>
        <v>Locked</v>
      </c>
      <c r="D193" s="265" t="str">
        <f>IFERROR(__xludf.DUMMYFUNCTION("""COMPUTED_VALUE"""),"Sale chưa cung cấp")</f>
        <v>Sale chưa cung cấp</v>
      </c>
      <c r="E193" s="265" t="str">
        <f>IFERROR(__xludf.DUMMYFUNCTION("""COMPUTED_VALUE"""),"PhươngDTB")</f>
        <v>PhươngDTB</v>
      </c>
      <c r="F193" s="265" t="str">
        <f>IFERROR(__xludf.DUMMYFUNCTION("""COMPUTED_VALUE"""),"Sale chưa cung cấp")</f>
        <v>Sale chưa cung cấp</v>
      </c>
      <c r="G193" s="265" t="str">
        <f>IFERROR(__xludf.DUMMYFUNCTION("""COMPUTED_VALUE"""),"MSG")</f>
        <v>MSG</v>
      </c>
      <c r="H193" s="265" t="str">
        <f>IFERROR(__xludf.DUMMYFUNCTION("""COMPUTED_VALUE"""),"Trả sau")</f>
        <v>Trả sau</v>
      </c>
      <c r="I193" s="265" t="str">
        <f>IFERROR(__xludf.DUMMYFUNCTION("""COMPUTED_VALUE"""),"(Chưa recheck)")</f>
        <v>(Chưa recheck)</v>
      </c>
      <c r="J193" s="265" t="str">
        <f>IFERROR(__xludf.DUMMYFUNCTION("""COMPUTED_VALUE"""),"Zalo ZNS")</f>
        <v>Zalo ZNS</v>
      </c>
    </row>
    <row r="194">
      <c r="A194" s="265" t="str">
        <f>IFERROR(__xludf.DUMMYFUNCTION("""COMPUTED_VALUE"""),"512")</f>
        <v>512</v>
      </c>
      <c r="B194" s="265" t="str">
        <f>IFERROR(__xludf.DUMMYFUNCTION("""COMPUTED_VALUE"""),"Sài Gòn")</f>
        <v>Sài Gòn</v>
      </c>
      <c r="C194" s="265" t="str">
        <f>IFERROR(__xludf.DUMMYFUNCTION("""COMPUTED_VALUE"""),"Locked")</f>
        <v>Locked</v>
      </c>
      <c r="D194" s="265" t="str">
        <f>IFERROR(__xludf.DUMMYFUNCTION("""COMPUTED_VALUE"""),"Sale chưa cung cấp")</f>
        <v>Sale chưa cung cấp</v>
      </c>
      <c r="E194" s="265" t="str">
        <f>IFERROR(__xludf.DUMMYFUNCTION("""COMPUTED_VALUE"""),"HoaNTM")</f>
        <v>HoaNTM</v>
      </c>
      <c r="F194" s="265" t="str">
        <f>IFERROR(__xludf.DUMMYFUNCTION("""COMPUTED_VALUE"""),"Sale chưa cung cấp")</f>
        <v>Sale chưa cung cấp</v>
      </c>
      <c r="G194" s="265" t="str">
        <f>IFERROR(__xludf.DUMMYFUNCTION("""COMPUTED_VALUE"""),"API")</f>
        <v>API</v>
      </c>
      <c r="H194" s="265" t="str">
        <f>IFERROR(__xludf.DUMMYFUNCTION("""COMPUTED_VALUE"""),"Trial")</f>
        <v>Trial</v>
      </c>
      <c r="I194" s="265" t="str">
        <f>IFERROR(__xludf.DUMMYFUNCTION("""COMPUTED_VALUE"""),"(Không recheck)")</f>
        <v>(Không recheck)</v>
      </c>
      <c r="J194" s="265" t="str">
        <f>IFERROR(__xludf.DUMMYFUNCTION("""COMPUTED_VALUE"""),"(Không recheck)")</f>
        <v>(Không recheck)</v>
      </c>
    </row>
    <row r="195">
      <c r="A195" s="265" t="str">
        <f>IFERROR(__xludf.DUMMYFUNCTION("""COMPUTED_VALUE"""),"515")</f>
        <v>515</v>
      </c>
      <c r="B195" s="265" t="str">
        <f>IFERROR(__xludf.DUMMYFUNCTION("""COMPUTED_VALUE"""),"Hà Nội")</f>
        <v>Hà Nội</v>
      </c>
      <c r="C195" s="265" t="str">
        <f>IFERROR(__xludf.DUMMYFUNCTION("""COMPUTED_VALUE"""),"Active")</f>
        <v>Active</v>
      </c>
      <c r="D195" s="265" t="str">
        <f>IFERROR(__xludf.DUMMYFUNCTION("""COMPUTED_VALUE"""),"Nhà hàng &amp; Quán")</f>
        <v>Nhà hàng &amp; Quán</v>
      </c>
      <c r="E195" s="265" t="str">
        <f>IFERROR(__xludf.DUMMYFUNCTION("""COMPUTED_VALUE"""),"TùngLD")</f>
        <v>TùngLD</v>
      </c>
      <c r="F195" s="265" t="str">
        <f>IFERROR(__xludf.DUMMYFUNCTION("""COMPUTED_VALUE"""),"Silver")</f>
        <v>Silver</v>
      </c>
      <c r="G195" s="265" t="str">
        <f>IFERROR(__xludf.DUMMYFUNCTION("""COMPUTED_VALUE"""),"Enterprise")</f>
        <v>Enterprise</v>
      </c>
      <c r="H195" s="265" t="str">
        <f>IFERROR(__xludf.DUMMYFUNCTION("""COMPUTED_VALUE"""),"Trả sau")</f>
        <v>Trả sau</v>
      </c>
      <c r="I195" s="265" t="str">
        <f>IFERROR(__xludf.DUMMYFUNCTION("""COMPUTED_VALUE"""),"API &amp; Portal")</f>
        <v>API &amp; Portal</v>
      </c>
      <c r="J195" s="265" t="str">
        <f>IFERROR(__xludf.DUMMYFUNCTION("""COMPUTED_VALUE"""),"Zalo ZNS")</f>
        <v>Zalo ZNS</v>
      </c>
    </row>
    <row r="196">
      <c r="A196" s="265" t="str">
        <f>IFERROR(__xludf.DUMMYFUNCTION("""COMPUTED_VALUE"""),"245")</f>
        <v>245</v>
      </c>
      <c r="B196" s="265" t="str">
        <f>IFERROR(__xludf.DUMMYFUNCTION("""COMPUTED_VALUE"""),"Hà Nội")</f>
        <v>Hà Nội</v>
      </c>
      <c r="C196" s="265" t="str">
        <f>IFERROR(__xludf.DUMMYFUNCTION("""COMPUTED_VALUE"""),"Active")</f>
        <v>Active</v>
      </c>
      <c r="D196" s="265" t="str">
        <f>IFERROR(__xludf.DUMMYFUNCTION("""COMPUTED_VALUE"""),"Sale chưa cung cấp")</f>
        <v>Sale chưa cung cấp</v>
      </c>
      <c r="E196" s="265" t="str">
        <f>IFERROR(__xludf.DUMMYFUNCTION("""COMPUTED_VALUE"""),"AnhNM")</f>
        <v>AnhNM</v>
      </c>
      <c r="F196" s="265" t="str">
        <f>IFERROR(__xludf.DUMMYFUNCTION("""COMPUTED_VALUE"""),"Gold")</f>
        <v>Gold</v>
      </c>
      <c r="G196" s="265" t="str">
        <f>IFERROR(__xludf.DUMMYFUNCTION("""COMPUTED_VALUE"""),"Starter")</f>
        <v>Starter</v>
      </c>
      <c r="H196" s="265" t="str">
        <f>IFERROR(__xludf.DUMMYFUNCTION("""COMPUTED_VALUE"""),"Trả sau")</f>
        <v>Trả sau</v>
      </c>
      <c r="I196" s="265" t="str">
        <f>IFERROR(__xludf.DUMMYFUNCTION("""COMPUTED_VALUE"""),"Portal")</f>
        <v>Portal</v>
      </c>
      <c r="J196" s="265" t="str">
        <f>IFERROR(__xludf.DUMMYFUNCTION("""COMPUTED_VALUE"""),"Zalo ZNS")</f>
        <v>Zalo ZNS</v>
      </c>
    </row>
    <row r="197">
      <c r="A197" s="265" t="str">
        <f>IFERROR(__xludf.DUMMYFUNCTION("""COMPUTED_VALUE"""),"516")</f>
        <v>516</v>
      </c>
      <c r="B197" s="265" t="str">
        <f>IFERROR(__xludf.DUMMYFUNCTION("""COMPUTED_VALUE"""),"Sài Gòn")</f>
        <v>Sài Gòn</v>
      </c>
      <c r="C197" s="265" t="str">
        <f>IFERROR(__xludf.DUMMYFUNCTION("""COMPUTED_VALUE"""),"Active")</f>
        <v>Active</v>
      </c>
      <c r="D197" s="265" t="str">
        <f>IFERROR(__xludf.DUMMYFUNCTION("""COMPUTED_VALUE"""),"Sale chưa cung cấp")</f>
        <v>Sale chưa cung cấp</v>
      </c>
      <c r="E197" s="265" t="str">
        <f>IFERROR(__xludf.DUMMYFUNCTION("""COMPUTED_VALUE"""),"TúPHN")</f>
        <v>TúPHN</v>
      </c>
      <c r="F197" s="265" t="str">
        <f>IFERROR(__xludf.DUMMYFUNCTION("""COMPUTED_VALUE"""),"Gold")</f>
        <v>Gold</v>
      </c>
      <c r="G197" s="265" t="str">
        <f>IFERROR(__xludf.DUMMYFUNCTION("""COMPUTED_VALUE"""),"Premium")</f>
        <v>Premium</v>
      </c>
      <c r="H197" s="265" t="str">
        <f>IFERROR(__xludf.DUMMYFUNCTION("""COMPUTED_VALUE"""),"Trả sau")</f>
        <v>Trả sau</v>
      </c>
      <c r="I197" s="265" t="str">
        <f>IFERROR(__xludf.DUMMYFUNCTION("""COMPUTED_VALUE"""),"API &amp; Portal")</f>
        <v>API &amp; Portal</v>
      </c>
      <c r="J197" s="265" t="str">
        <f>IFERROR(__xludf.DUMMYFUNCTION("""COMPUTED_VALUE"""),"SMS CSKH")</f>
        <v>SMS CSKH</v>
      </c>
    </row>
    <row r="198">
      <c r="A198" s="265" t="str">
        <f>IFERROR(__xludf.DUMMYFUNCTION("""COMPUTED_VALUE"""),"514")</f>
        <v>514</v>
      </c>
      <c r="B198" s="265" t="str">
        <f>IFERROR(__xludf.DUMMYFUNCTION("""COMPUTED_VALUE"""),"Hà Nội")</f>
        <v>Hà Nội</v>
      </c>
      <c r="C198" s="265" t="str">
        <f>IFERROR(__xludf.DUMMYFUNCTION("""COMPUTED_VALUE"""),"Locked")</f>
        <v>Locked</v>
      </c>
      <c r="D198" s="265" t="str">
        <f>IFERROR(__xludf.DUMMYFUNCTION("""COMPUTED_VALUE"""),"Sale chưa cung cấp")</f>
        <v>Sale chưa cung cấp</v>
      </c>
      <c r="E198" s="265" t="str">
        <f>IFERROR(__xludf.DUMMYFUNCTION("""COMPUTED_VALUE"""),"HangNT")</f>
        <v>HangNT</v>
      </c>
      <c r="F198" s="265" t="str">
        <f>IFERROR(__xludf.DUMMYFUNCTION("""COMPUTED_VALUE"""),"Sale chưa cung cấp")</f>
        <v>Sale chưa cung cấp</v>
      </c>
      <c r="G198" s="265" t="str">
        <f>IFERROR(__xludf.DUMMYFUNCTION("""COMPUTED_VALUE"""),"Enterprise")</f>
        <v>Enterprise</v>
      </c>
      <c r="H198" s="265" t="str">
        <f>IFERROR(__xludf.DUMMYFUNCTION("""COMPUTED_VALUE"""),"(Chưa recheck)")</f>
        <v>(Chưa recheck)</v>
      </c>
      <c r="I198" s="265" t="str">
        <f>IFERROR(__xludf.DUMMYFUNCTION("""COMPUTED_VALUE"""),"(Chưa recheck)")</f>
        <v>(Chưa recheck)</v>
      </c>
      <c r="J198" s="265" t="str">
        <f>IFERROR(__xludf.DUMMYFUNCTION("""COMPUTED_VALUE"""),"(Chưa recheck)")</f>
        <v>(Chưa recheck)</v>
      </c>
    </row>
    <row r="199">
      <c r="A199" s="265" t="str">
        <f>IFERROR(__xludf.DUMMYFUNCTION("""COMPUTED_VALUE"""),"517")</f>
        <v>517</v>
      </c>
      <c r="B199" s="265" t="str">
        <f>IFERROR(__xludf.DUMMYFUNCTION("""COMPUTED_VALUE"""),"Sài Gòn")</f>
        <v>Sài Gòn</v>
      </c>
      <c r="C199" s="265" t="str">
        <f>IFERROR(__xludf.DUMMYFUNCTION("""COMPUTED_VALUE"""),"Active")</f>
        <v>Active</v>
      </c>
      <c r="D199" s="265" t="str">
        <f>IFERROR(__xludf.DUMMYFUNCTION("""COMPUTED_VALUE"""),"Sale chưa cung cấp")</f>
        <v>Sale chưa cung cấp</v>
      </c>
      <c r="E199" s="265" t="str">
        <f>IFERROR(__xludf.DUMMYFUNCTION("""COMPUTED_VALUE"""),"TúPHN")</f>
        <v>TúPHN</v>
      </c>
      <c r="F199" s="265" t="str">
        <f>IFERROR(__xludf.DUMMYFUNCTION("""COMPUTED_VALUE"""),"Silver")</f>
        <v>Silver</v>
      </c>
      <c r="G199" s="265" t="str">
        <f>IFERROR(__xludf.DUMMYFUNCTION("""COMPUTED_VALUE"""),"Starter")</f>
        <v>Starter</v>
      </c>
      <c r="H199" s="265" t="str">
        <f>IFERROR(__xludf.DUMMYFUNCTION("""COMPUTED_VALUE"""),"Trả trước")</f>
        <v>Trả trước</v>
      </c>
      <c r="I199" s="265" t="str">
        <f>IFERROR(__xludf.DUMMYFUNCTION("""COMPUTED_VALUE"""),"API &amp; Portal")</f>
        <v>API &amp; Portal</v>
      </c>
      <c r="J199" s="265" t="str">
        <f>IFERROR(__xludf.DUMMYFUNCTION("""COMPUTED_VALUE"""),"Zalo ZNS")</f>
        <v>Zalo ZNS</v>
      </c>
    </row>
    <row r="200">
      <c r="A200" s="265" t="str">
        <f>IFERROR(__xludf.DUMMYFUNCTION("""COMPUTED_VALUE"""),"518")</f>
        <v>518</v>
      </c>
      <c r="B200" s="265" t="str">
        <f>IFERROR(__xludf.DUMMYFUNCTION("""COMPUTED_VALUE"""),"Hà Nội")</f>
        <v>Hà Nội</v>
      </c>
      <c r="C200" s="265" t="str">
        <f>IFERROR(__xludf.DUMMYFUNCTION("""COMPUTED_VALUE"""),"Active")</f>
        <v>Active</v>
      </c>
      <c r="D200" s="265" t="str">
        <f>IFERROR(__xludf.DUMMYFUNCTION("""COMPUTED_VALUE"""),"Mỹ phẩm &amp; Làm đẹp")</f>
        <v>Mỹ phẩm &amp; Làm đẹp</v>
      </c>
      <c r="E200" s="265" t="str">
        <f>IFERROR(__xludf.DUMMYFUNCTION("""COMPUTED_VALUE"""),"TúPHN")</f>
        <v>TúPHN</v>
      </c>
      <c r="F200" s="265" t="str">
        <f>IFERROR(__xludf.DUMMYFUNCTION("""COMPUTED_VALUE"""),"Gold")</f>
        <v>Gold</v>
      </c>
      <c r="G200" s="265" t="str">
        <f>IFERROR(__xludf.DUMMYFUNCTION("""COMPUTED_VALUE"""),"Enterprise")</f>
        <v>Enterprise</v>
      </c>
      <c r="H200" s="265" t="str">
        <f>IFERROR(__xludf.DUMMYFUNCTION("""COMPUTED_VALUE"""),"Trả sau")</f>
        <v>Trả sau</v>
      </c>
      <c r="I200" s="265" t="str">
        <f>IFERROR(__xludf.DUMMYFUNCTION("""COMPUTED_VALUE"""),"API &amp; Portal")</f>
        <v>API &amp; Portal</v>
      </c>
      <c r="J200" s="265" t="str">
        <f>IFERROR(__xludf.DUMMYFUNCTION("""COMPUTED_VALUE"""),"Zalo ZNS")</f>
        <v>Zalo ZNS</v>
      </c>
    </row>
    <row r="201">
      <c r="A201" s="265" t="str">
        <f>IFERROR(__xludf.DUMMYFUNCTION("""COMPUTED_VALUE"""),"519")</f>
        <v>519</v>
      </c>
      <c r="B201" s="265" t="str">
        <f>IFERROR(__xludf.DUMMYFUNCTION("""COMPUTED_VALUE"""),"Sài Gòn")</f>
        <v>Sài Gòn</v>
      </c>
      <c r="C201" s="265" t="str">
        <f>IFERROR(__xludf.DUMMYFUNCTION("""COMPUTED_VALUE"""),"Active")</f>
        <v>Active</v>
      </c>
      <c r="D201" s="265" t="str">
        <f>IFERROR(__xludf.DUMMYFUNCTION("""COMPUTED_VALUE"""),"Sale chưa cung cấp")</f>
        <v>Sale chưa cung cấp</v>
      </c>
      <c r="E201" s="265" t="str">
        <f>IFERROR(__xludf.DUMMYFUNCTION("""COMPUTED_VALUE"""),"TúPHN")</f>
        <v>TúPHN</v>
      </c>
      <c r="F201" s="265" t="str">
        <f>IFERROR(__xludf.DUMMYFUNCTION("""COMPUTED_VALUE"""),"Silver")</f>
        <v>Silver</v>
      </c>
      <c r="G201" s="265" t="str">
        <f>IFERROR(__xludf.DUMMYFUNCTION("""COMPUTED_VALUE"""),"Starter")</f>
        <v>Starter</v>
      </c>
      <c r="H201" s="265" t="str">
        <f>IFERROR(__xludf.DUMMYFUNCTION("""COMPUTED_VALUE"""),"Trả sau")</f>
        <v>Trả sau</v>
      </c>
      <c r="I201" s="265" t="str">
        <f>IFERROR(__xludf.DUMMYFUNCTION("""COMPUTED_VALUE"""),"API &amp; Portal")</f>
        <v>API &amp; Portal</v>
      </c>
      <c r="J201" s="265" t="str">
        <f>IFERROR(__xludf.DUMMYFUNCTION("""COMPUTED_VALUE"""),"SMS CSKH")</f>
        <v>SMS CSKH</v>
      </c>
    </row>
    <row r="202">
      <c r="A202" s="265" t="str">
        <f>IFERROR(__xludf.DUMMYFUNCTION("""COMPUTED_VALUE"""),"519")</f>
        <v>519</v>
      </c>
      <c r="B202" s="265" t="str">
        <f>IFERROR(__xludf.DUMMYFUNCTION("""COMPUTED_VALUE"""),"Sài Gòn")</f>
        <v>Sài Gòn</v>
      </c>
      <c r="C202" s="265" t="str">
        <f>IFERROR(__xludf.DUMMYFUNCTION("""COMPUTED_VALUE"""),"Active")</f>
        <v>Active</v>
      </c>
      <c r="D202" s="265" t="str">
        <f>IFERROR(__xludf.DUMMYFUNCTION("""COMPUTED_VALUE"""),"Sale chưa cung cấp")</f>
        <v>Sale chưa cung cấp</v>
      </c>
      <c r="E202" s="265" t="str">
        <f>IFERROR(__xludf.DUMMYFUNCTION("""COMPUTED_VALUE"""),"TúPHN")</f>
        <v>TúPHN</v>
      </c>
      <c r="F202" s="265" t="str">
        <f>IFERROR(__xludf.DUMMYFUNCTION("""COMPUTED_VALUE"""),"Silver")</f>
        <v>Silver</v>
      </c>
      <c r="G202" s="265" t="str">
        <f>IFERROR(__xludf.DUMMYFUNCTION("""COMPUTED_VALUE"""),"Starter")</f>
        <v>Starter</v>
      </c>
      <c r="H202" s="265" t="str">
        <f>IFERROR(__xludf.DUMMYFUNCTION("""COMPUTED_VALUE"""),"Trả sau")</f>
        <v>Trả sau</v>
      </c>
      <c r="I202" s="265" t="str">
        <f>IFERROR(__xludf.DUMMYFUNCTION("""COMPUTED_VALUE"""),"API &amp; Portal")</f>
        <v>API &amp; Portal</v>
      </c>
      <c r="J202" s="265" t="str">
        <f>IFERROR(__xludf.DUMMYFUNCTION("""COMPUTED_VALUE"""),"Zalo ZNS")</f>
        <v>Zalo ZNS</v>
      </c>
    </row>
    <row r="203">
      <c r="A203" s="265" t="str">
        <f>IFERROR(__xludf.DUMMYFUNCTION("""COMPUTED_VALUE"""),"520")</f>
        <v>520</v>
      </c>
      <c r="B203" s="265" t="str">
        <f>IFERROR(__xludf.DUMMYFUNCTION("""COMPUTED_VALUE"""),"Sài Gòn")</f>
        <v>Sài Gòn</v>
      </c>
      <c r="C203" s="265" t="str">
        <f>IFERROR(__xludf.DUMMYFUNCTION("""COMPUTED_VALUE"""),"Locked")</f>
        <v>Locked</v>
      </c>
      <c r="D203" s="265" t="str">
        <f>IFERROR(__xludf.DUMMYFUNCTION("""COMPUTED_VALUE"""),"Sale chưa cung cấp")</f>
        <v>Sale chưa cung cấp</v>
      </c>
      <c r="E203" s="265" t="str">
        <f>IFERROR(__xludf.DUMMYFUNCTION("""COMPUTED_VALUE"""),"HoaNTM")</f>
        <v>HoaNTM</v>
      </c>
      <c r="F203" s="265" t="str">
        <f>IFERROR(__xludf.DUMMYFUNCTION("""COMPUTED_VALUE"""),"Bronze")</f>
        <v>Bronze</v>
      </c>
      <c r="G203" s="265" t="str">
        <f>IFERROR(__xludf.DUMMYFUNCTION("""COMPUTED_VALUE"""),"Enterprise")</f>
        <v>Enterprise</v>
      </c>
      <c r="H203" s="265" t="str">
        <f>IFERROR(__xludf.DUMMYFUNCTION("""COMPUTED_VALUE"""),"(Chưa recheck)")</f>
        <v>(Chưa recheck)</v>
      </c>
      <c r="I203" s="265" t="str">
        <f>IFERROR(__xludf.DUMMYFUNCTION("""COMPUTED_VALUE"""),"(Chưa recheck)")</f>
        <v>(Chưa recheck)</v>
      </c>
      <c r="J203" s="265" t="str">
        <f>IFERROR(__xludf.DUMMYFUNCTION("""COMPUTED_VALUE"""),"(Chưa recheck)")</f>
        <v>(Chưa recheck)</v>
      </c>
    </row>
    <row r="204">
      <c r="A204" s="265" t="str">
        <f>IFERROR(__xludf.DUMMYFUNCTION("""COMPUTED_VALUE"""),"540")</f>
        <v>540</v>
      </c>
      <c r="B204" s="265" t="str">
        <f>IFERROR(__xludf.DUMMYFUNCTION("""COMPUTED_VALUE"""),"Hà Nội")</f>
        <v>Hà Nội</v>
      </c>
      <c r="C204" s="265" t="str">
        <f>IFERROR(__xludf.DUMMYFUNCTION("""COMPUTED_VALUE"""),"Active")</f>
        <v>Active</v>
      </c>
      <c r="D204" s="265" t="str">
        <f>IFERROR(__xludf.DUMMYFUNCTION("""COMPUTED_VALUE"""),"Sale chưa cung cấp")</f>
        <v>Sale chưa cung cấp</v>
      </c>
      <c r="E204" s="265" t="str">
        <f>IFERROR(__xludf.DUMMYFUNCTION("""COMPUTED_VALUE"""),"TùngLD")</f>
        <v>TùngLD</v>
      </c>
      <c r="F204" s="265" t="str">
        <f>IFERROR(__xludf.DUMMYFUNCTION("""COMPUTED_VALUE"""),"Bronze")</f>
        <v>Bronze</v>
      </c>
      <c r="G204" s="265" t="str">
        <f>IFERROR(__xludf.DUMMYFUNCTION("""COMPUTED_VALUE"""),"Starter")</f>
        <v>Starter</v>
      </c>
      <c r="H204" s="265" t="str">
        <f>IFERROR(__xludf.DUMMYFUNCTION("""COMPUTED_VALUE"""),"Trả sau")</f>
        <v>Trả sau</v>
      </c>
      <c r="I204" s="265" t="str">
        <f>IFERROR(__xludf.DUMMYFUNCTION("""COMPUTED_VALUE"""),"API")</f>
        <v>API</v>
      </c>
      <c r="J204" s="265" t="str">
        <f>IFERROR(__xludf.DUMMYFUNCTION("""COMPUTED_VALUE"""),"SMS CSKH")</f>
        <v>SMS CSKH</v>
      </c>
    </row>
    <row r="205">
      <c r="A205" s="265" t="str">
        <f>IFERROR(__xludf.DUMMYFUNCTION("""COMPUTED_VALUE"""),"540")</f>
        <v>540</v>
      </c>
      <c r="B205" s="265" t="str">
        <f>IFERROR(__xludf.DUMMYFUNCTION("""COMPUTED_VALUE"""),"Hà Nội")</f>
        <v>Hà Nội</v>
      </c>
      <c r="C205" s="265" t="str">
        <f>IFERROR(__xludf.DUMMYFUNCTION("""COMPUTED_VALUE"""),"Active")</f>
        <v>Active</v>
      </c>
      <c r="D205" s="265" t="str">
        <f>IFERROR(__xludf.DUMMYFUNCTION("""COMPUTED_VALUE"""),"Sale chưa cung cấp")</f>
        <v>Sale chưa cung cấp</v>
      </c>
      <c r="E205" s="265" t="str">
        <f>IFERROR(__xludf.DUMMYFUNCTION("""COMPUTED_VALUE"""),"TùngLD")</f>
        <v>TùngLD</v>
      </c>
      <c r="F205" s="265" t="str">
        <f>IFERROR(__xludf.DUMMYFUNCTION("""COMPUTED_VALUE"""),"Bronze")</f>
        <v>Bronze</v>
      </c>
      <c r="G205" s="265" t="str">
        <f>IFERROR(__xludf.DUMMYFUNCTION("""COMPUTED_VALUE"""),"Starter")</f>
        <v>Starter</v>
      </c>
      <c r="H205" s="265" t="str">
        <f>IFERROR(__xludf.DUMMYFUNCTION("""COMPUTED_VALUE"""),"Trả sau")</f>
        <v>Trả sau</v>
      </c>
      <c r="I205" s="265" t="str">
        <f>IFERROR(__xludf.DUMMYFUNCTION("""COMPUTED_VALUE"""),"API")</f>
        <v>API</v>
      </c>
      <c r="J205" s="265" t="str">
        <f>IFERROR(__xludf.DUMMYFUNCTION("""COMPUTED_VALUE"""),"SMS QC")</f>
        <v>SMS QC</v>
      </c>
    </row>
    <row r="206">
      <c r="A206" s="265" t="str">
        <f>IFERROR(__xludf.DUMMYFUNCTION("""COMPUTED_VALUE"""),"540")</f>
        <v>540</v>
      </c>
      <c r="B206" s="265" t="str">
        <f>IFERROR(__xludf.DUMMYFUNCTION("""COMPUTED_VALUE"""),"Hà Nội")</f>
        <v>Hà Nội</v>
      </c>
      <c r="C206" s="265" t="str">
        <f>IFERROR(__xludf.DUMMYFUNCTION("""COMPUTED_VALUE"""),"Active")</f>
        <v>Active</v>
      </c>
      <c r="D206" s="265" t="str">
        <f>IFERROR(__xludf.DUMMYFUNCTION("""COMPUTED_VALUE"""),"Sale chưa cung cấp")</f>
        <v>Sale chưa cung cấp</v>
      </c>
      <c r="E206" s="265" t="str">
        <f>IFERROR(__xludf.DUMMYFUNCTION("""COMPUTED_VALUE"""),"TùngLD")</f>
        <v>TùngLD</v>
      </c>
      <c r="F206" s="265" t="str">
        <f>IFERROR(__xludf.DUMMYFUNCTION("""COMPUTED_VALUE"""),"Bronze")</f>
        <v>Bronze</v>
      </c>
      <c r="G206" s="265" t="str">
        <f>IFERROR(__xludf.DUMMYFUNCTION("""COMPUTED_VALUE"""),"Starter")</f>
        <v>Starter</v>
      </c>
      <c r="H206" s="265" t="str">
        <f>IFERROR(__xludf.DUMMYFUNCTION("""COMPUTED_VALUE"""),"Trả sau")</f>
        <v>Trả sau</v>
      </c>
      <c r="I206" s="265" t="str">
        <f>IFERROR(__xludf.DUMMYFUNCTION("""COMPUTED_VALUE"""),"API")</f>
        <v>API</v>
      </c>
      <c r="J206" s="265" t="str">
        <f>IFERROR(__xludf.DUMMYFUNCTION("""COMPUTED_VALUE"""),"Zalo ZNS")</f>
        <v>Zalo ZNS</v>
      </c>
    </row>
    <row r="207">
      <c r="A207" s="265" t="str">
        <f>IFERROR(__xludf.DUMMYFUNCTION("""COMPUTED_VALUE"""),"521")</f>
        <v>521</v>
      </c>
      <c r="B207" s="265" t="str">
        <f>IFERROR(__xludf.DUMMYFUNCTION("""COMPUTED_VALUE"""),"Hà Nội")</f>
        <v>Hà Nội</v>
      </c>
      <c r="C207" s="265" t="str">
        <f>IFERROR(__xludf.DUMMYFUNCTION("""COMPUTED_VALUE"""),"Locked")</f>
        <v>Locked</v>
      </c>
      <c r="D207" s="265" t="str">
        <f>IFERROR(__xludf.DUMMYFUNCTION("""COMPUTED_VALUE"""),"Sale chưa cung cấp")</f>
        <v>Sale chưa cung cấp</v>
      </c>
      <c r="E207" s="265" t="str">
        <f>IFERROR(__xludf.DUMMYFUNCTION("""COMPUTED_VALUE"""),"PhươngDTB")</f>
        <v>PhươngDTB</v>
      </c>
      <c r="F207" s="265" t="str">
        <f>IFERROR(__xludf.DUMMYFUNCTION("""COMPUTED_VALUE"""),"Bronze")</f>
        <v>Bronze</v>
      </c>
      <c r="G207" s="265" t="str">
        <f>IFERROR(__xludf.DUMMYFUNCTION("""COMPUTED_VALUE"""),"Enterprise")</f>
        <v>Enterprise</v>
      </c>
      <c r="H207" s="265" t="str">
        <f>IFERROR(__xludf.DUMMYFUNCTION("""COMPUTED_VALUE"""),"(Chưa recheck)")</f>
        <v>(Chưa recheck)</v>
      </c>
      <c r="I207" s="265" t="str">
        <f>IFERROR(__xludf.DUMMYFUNCTION("""COMPUTED_VALUE"""),"(Chưa recheck)")</f>
        <v>(Chưa recheck)</v>
      </c>
      <c r="J207" s="265" t="str">
        <f>IFERROR(__xludf.DUMMYFUNCTION("""COMPUTED_VALUE"""),"(Chưa recheck)")</f>
        <v>(Chưa recheck)</v>
      </c>
    </row>
    <row r="208">
      <c r="A208" s="265" t="str">
        <f>IFERROR(__xludf.DUMMYFUNCTION("""COMPUTED_VALUE"""),"522")</f>
        <v>522</v>
      </c>
      <c r="B208" s="265" t="str">
        <f>IFERROR(__xludf.DUMMYFUNCTION("""COMPUTED_VALUE"""),"Hà Nội")</f>
        <v>Hà Nội</v>
      </c>
      <c r="C208" s="265" t="str">
        <f>IFERROR(__xludf.DUMMYFUNCTION("""COMPUTED_VALUE"""),"Locked")</f>
        <v>Locked</v>
      </c>
      <c r="D208" s="265" t="str">
        <f>IFERROR(__xludf.DUMMYFUNCTION("""COMPUTED_VALUE"""),"Sale chưa cung cấp")</f>
        <v>Sale chưa cung cấp</v>
      </c>
      <c r="E208" s="265" t="str">
        <f>IFERROR(__xludf.DUMMYFUNCTION("""COMPUTED_VALUE"""),"TùngLD")</f>
        <v>TùngLD</v>
      </c>
      <c r="F208" s="265" t="str">
        <f>IFERROR(__xludf.DUMMYFUNCTION("""COMPUTED_VALUE"""),"Sale chưa cung cấp")</f>
        <v>Sale chưa cung cấp</v>
      </c>
      <c r="G208" s="265" t="str">
        <f>IFERROR(__xludf.DUMMYFUNCTION("""COMPUTED_VALUE"""),"API")</f>
        <v>API</v>
      </c>
      <c r="H208" s="265" t="str">
        <f>IFERROR(__xludf.DUMMYFUNCTION("""COMPUTED_VALUE"""),"Trial")</f>
        <v>Trial</v>
      </c>
      <c r="I208" s="265" t="str">
        <f>IFERROR(__xludf.DUMMYFUNCTION("""COMPUTED_VALUE"""),"API")</f>
        <v>API</v>
      </c>
      <c r="J208" s="265" t="str">
        <f>IFERROR(__xludf.DUMMYFUNCTION("""COMPUTED_VALUE"""),"(Không recheck)")</f>
        <v>(Không recheck)</v>
      </c>
    </row>
    <row r="209">
      <c r="A209" s="265" t="str">
        <f>IFERROR(__xludf.DUMMYFUNCTION("""COMPUTED_VALUE"""),"523")</f>
        <v>523</v>
      </c>
      <c r="B209" s="265" t="str">
        <f>IFERROR(__xludf.DUMMYFUNCTION("""COMPUTED_VALUE"""),"Hà Nội")</f>
        <v>Hà Nội</v>
      </c>
      <c r="C209" s="265" t="str">
        <f>IFERROR(__xludf.DUMMYFUNCTION("""COMPUTED_VALUE"""),"Locked")</f>
        <v>Locked</v>
      </c>
      <c r="D209" s="265" t="str">
        <f>IFERROR(__xludf.DUMMYFUNCTION("""COMPUTED_VALUE"""),"Sale chưa cung cấp")</f>
        <v>Sale chưa cung cấp</v>
      </c>
      <c r="E209" s="265" t="str">
        <f>IFERROR(__xludf.DUMMYFUNCTION("""COMPUTED_VALUE"""),"TùngLD")</f>
        <v>TùngLD</v>
      </c>
      <c r="F209" s="265" t="str">
        <f>IFERROR(__xludf.DUMMYFUNCTION("""COMPUTED_VALUE"""),"Bronze")</f>
        <v>Bronze</v>
      </c>
      <c r="G209" s="265" t="str">
        <f>IFERROR(__xludf.DUMMYFUNCTION("""COMPUTED_VALUE"""),"API")</f>
        <v>API</v>
      </c>
      <c r="H209" s="265" t="str">
        <f>IFERROR(__xludf.DUMMYFUNCTION("""COMPUTED_VALUE"""),"Trả sau")</f>
        <v>Trả sau</v>
      </c>
      <c r="I209" s="265" t="str">
        <f>IFERROR(__xludf.DUMMYFUNCTION("""COMPUTED_VALUE"""),"API &amp; Portal")</f>
        <v>API &amp; Portal</v>
      </c>
      <c r="J209" s="265" t="str">
        <f>IFERROR(__xludf.DUMMYFUNCTION("""COMPUTED_VALUE"""),"Tất cả")</f>
        <v>Tất cả</v>
      </c>
    </row>
    <row r="210">
      <c r="A210" s="265" t="str">
        <f>IFERROR(__xludf.DUMMYFUNCTION("""COMPUTED_VALUE"""),"524")</f>
        <v>524</v>
      </c>
      <c r="B210" s="265" t="str">
        <f>IFERROR(__xludf.DUMMYFUNCTION("""COMPUTED_VALUE"""),"Sài Gòn")</f>
        <v>Sài Gòn</v>
      </c>
      <c r="C210" s="265" t="str">
        <f>IFERROR(__xludf.DUMMYFUNCTION("""COMPUTED_VALUE"""),"Active")</f>
        <v>Active</v>
      </c>
      <c r="D210" s="265" t="str">
        <f>IFERROR(__xludf.DUMMYFUNCTION("""COMPUTED_VALUE"""),"Mua sắm &amp; Bán lẻ")</f>
        <v>Mua sắm &amp; Bán lẻ</v>
      </c>
      <c r="E210" s="265" t="str">
        <f>IFERROR(__xludf.DUMMYFUNCTION("""COMPUTED_VALUE"""),"TùngLD")</f>
        <v>TùngLD</v>
      </c>
      <c r="F210" s="265" t="str">
        <f>IFERROR(__xludf.DUMMYFUNCTION("""COMPUTED_VALUE"""),"Silver")</f>
        <v>Silver</v>
      </c>
      <c r="G210" s="265" t="str">
        <f>IFERROR(__xludf.DUMMYFUNCTION("""COMPUTED_VALUE"""),"Enterprise")</f>
        <v>Enterprise</v>
      </c>
      <c r="H210" s="265" t="str">
        <f>IFERROR(__xludf.DUMMYFUNCTION("""COMPUTED_VALUE"""),"Trả trước")</f>
        <v>Trả trước</v>
      </c>
      <c r="I210" s="265" t="str">
        <f>IFERROR(__xludf.DUMMYFUNCTION("""COMPUTED_VALUE"""),"API &amp; Portal")</f>
        <v>API &amp; Portal</v>
      </c>
      <c r="J210" s="265" t="str">
        <f>IFERROR(__xludf.DUMMYFUNCTION("""COMPUTED_VALUE"""),"Zalo ZNS")</f>
        <v>Zalo ZNS</v>
      </c>
    </row>
    <row r="211">
      <c r="A211" s="265" t="str">
        <f>IFERROR(__xludf.DUMMYFUNCTION("""COMPUTED_VALUE"""),"525")</f>
        <v>525</v>
      </c>
      <c r="B211" s="265" t="str">
        <f>IFERROR(__xludf.DUMMYFUNCTION("""COMPUTED_VALUE"""),"Sài Gòn")</f>
        <v>Sài Gòn</v>
      </c>
      <c r="C211" s="265" t="str">
        <f>IFERROR(__xludf.DUMMYFUNCTION("""COMPUTED_VALUE"""),"Locked")</f>
        <v>Locked</v>
      </c>
      <c r="D211" s="265" t="str">
        <f>IFERROR(__xludf.DUMMYFUNCTION("""COMPUTED_VALUE"""),"Sale chưa cung cấp")</f>
        <v>Sale chưa cung cấp</v>
      </c>
      <c r="E211" s="265" t="str">
        <f>IFERROR(__xludf.DUMMYFUNCTION("""COMPUTED_VALUE"""),"HoaNTM")</f>
        <v>HoaNTM</v>
      </c>
      <c r="F211" s="265" t="str">
        <f>IFERROR(__xludf.DUMMYFUNCTION("""COMPUTED_VALUE"""),"Diamond")</f>
        <v>Diamond</v>
      </c>
      <c r="G211" s="265" t="str">
        <f>IFERROR(__xludf.DUMMYFUNCTION("""COMPUTED_VALUE"""),"API")</f>
        <v>API</v>
      </c>
      <c r="H211" s="265" t="str">
        <f>IFERROR(__xludf.DUMMYFUNCTION("""COMPUTED_VALUE"""),"Trả sau")</f>
        <v>Trả sau</v>
      </c>
      <c r="I211" s="265" t="str">
        <f>IFERROR(__xludf.DUMMYFUNCTION("""COMPUTED_VALUE"""),"(Chưa recheck)")</f>
        <v>(Chưa recheck)</v>
      </c>
      <c r="J211" s="265" t="str">
        <f>IFERROR(__xludf.DUMMYFUNCTION("""COMPUTED_VALUE"""),"(Chưa recheck)")</f>
        <v>(Chưa recheck)</v>
      </c>
    </row>
    <row r="212">
      <c r="A212" s="265" t="str">
        <f>IFERROR(__xludf.DUMMYFUNCTION("""COMPUTED_VALUE"""),"526")</f>
        <v>526</v>
      </c>
      <c r="B212" s="265" t="str">
        <f>IFERROR(__xludf.DUMMYFUNCTION("""COMPUTED_VALUE"""),"Sài Gòn")</f>
        <v>Sài Gòn</v>
      </c>
      <c r="C212" s="265" t="str">
        <f>IFERROR(__xludf.DUMMYFUNCTION("""COMPUTED_VALUE"""),"Locked")</f>
        <v>Locked</v>
      </c>
      <c r="D212" s="265" t="str">
        <f>IFERROR(__xludf.DUMMYFUNCTION("""COMPUTED_VALUE"""),"Sale chưa cung cấp")</f>
        <v>Sale chưa cung cấp</v>
      </c>
      <c r="E212" s="265" t="str">
        <f>IFERROR(__xludf.DUMMYFUNCTION("""COMPUTED_VALUE"""),"HoaNTM")</f>
        <v>HoaNTM</v>
      </c>
      <c r="F212" s="265" t="str">
        <f>IFERROR(__xludf.DUMMYFUNCTION("""COMPUTED_VALUE"""),"Bronze")</f>
        <v>Bronze</v>
      </c>
      <c r="G212" s="265" t="str">
        <f>IFERROR(__xludf.DUMMYFUNCTION("""COMPUTED_VALUE"""),"Enterprise")</f>
        <v>Enterprise</v>
      </c>
      <c r="H212" s="265" t="str">
        <f>IFERROR(__xludf.DUMMYFUNCTION("""COMPUTED_VALUE"""),"(Chưa recheck)")</f>
        <v>(Chưa recheck)</v>
      </c>
      <c r="I212" s="265" t="str">
        <f>IFERROR(__xludf.DUMMYFUNCTION("""COMPUTED_VALUE"""),"(Chưa recheck)")</f>
        <v>(Chưa recheck)</v>
      </c>
      <c r="J212" s="265" t="str">
        <f>IFERROR(__xludf.DUMMYFUNCTION("""COMPUTED_VALUE"""),"(Chưa recheck)")</f>
        <v>(Chưa recheck)</v>
      </c>
    </row>
    <row r="213">
      <c r="A213" s="265" t="str">
        <f>IFERROR(__xludf.DUMMYFUNCTION("""COMPUTED_VALUE"""),"531")</f>
        <v>531</v>
      </c>
      <c r="B213" s="265" t="str">
        <f>IFERROR(__xludf.DUMMYFUNCTION("""COMPUTED_VALUE"""),"Sài Gòn")</f>
        <v>Sài Gòn</v>
      </c>
      <c r="C213" s="265" t="str">
        <f>IFERROR(__xludf.DUMMYFUNCTION("""COMPUTED_VALUE"""),"Locked")</f>
        <v>Locked</v>
      </c>
      <c r="D213" s="265" t="str">
        <f>IFERROR(__xludf.DUMMYFUNCTION("""COMPUTED_VALUE"""),"Sale chưa cung cấp")</f>
        <v>Sale chưa cung cấp</v>
      </c>
      <c r="E213" s="265" t="str">
        <f>IFERROR(__xludf.DUMMYFUNCTION("""COMPUTED_VALUE"""),"HoaNTM")</f>
        <v>HoaNTM</v>
      </c>
      <c r="F213" s="265" t="str">
        <f>IFERROR(__xludf.DUMMYFUNCTION("""COMPUTED_VALUE"""),"Sale chưa cung cấp")</f>
        <v>Sale chưa cung cấp</v>
      </c>
      <c r="G213" s="265" t="str">
        <f>IFERROR(__xludf.DUMMYFUNCTION("""COMPUTED_VALUE"""),"Enterprise")</f>
        <v>Enterprise</v>
      </c>
      <c r="H213" s="265" t="str">
        <f>IFERROR(__xludf.DUMMYFUNCTION("""COMPUTED_VALUE"""),"(Chưa recheck)")</f>
        <v>(Chưa recheck)</v>
      </c>
      <c r="I213" s="265" t="str">
        <f>IFERROR(__xludf.DUMMYFUNCTION("""COMPUTED_VALUE"""),"(Chưa recheck)")</f>
        <v>(Chưa recheck)</v>
      </c>
      <c r="J213" s="265" t="str">
        <f>IFERROR(__xludf.DUMMYFUNCTION("""COMPUTED_VALUE"""),"(Chưa recheck)")</f>
        <v>(Chưa recheck)</v>
      </c>
    </row>
    <row r="214">
      <c r="A214" s="265" t="str">
        <f>IFERROR(__xludf.DUMMYFUNCTION("""COMPUTED_VALUE"""),"527")</f>
        <v>527</v>
      </c>
      <c r="B214" s="265" t="str">
        <f>IFERROR(__xludf.DUMMYFUNCTION("""COMPUTED_VALUE"""),"Hà Nội")</f>
        <v>Hà Nội</v>
      </c>
      <c r="C214" s="265" t="str">
        <f>IFERROR(__xludf.DUMMYFUNCTION("""COMPUTED_VALUE"""),"Locked")</f>
        <v>Locked</v>
      </c>
      <c r="D214" s="265" t="str">
        <f>IFERROR(__xludf.DUMMYFUNCTION("""COMPUTED_VALUE"""),"Công nghệ &amp; Phần mềm")</f>
        <v>Công nghệ &amp; Phần mềm</v>
      </c>
      <c r="E214" s="265" t="str">
        <f>IFERROR(__xludf.DUMMYFUNCTION("""COMPUTED_VALUE"""),"TùngLD")</f>
        <v>TùngLD</v>
      </c>
      <c r="F214" s="265" t="str">
        <f>IFERROR(__xludf.DUMMYFUNCTION("""COMPUTED_VALUE"""),"Silver")</f>
        <v>Silver</v>
      </c>
      <c r="G214" s="265" t="str">
        <f>IFERROR(__xludf.DUMMYFUNCTION("""COMPUTED_VALUE"""),"Enterprise")</f>
        <v>Enterprise</v>
      </c>
      <c r="H214" s="265" t="str">
        <f>IFERROR(__xludf.DUMMYFUNCTION("""COMPUTED_VALUE"""),"Trả trước")</f>
        <v>Trả trước</v>
      </c>
      <c r="I214" s="265" t="str">
        <f>IFERROR(__xludf.DUMMYFUNCTION("""COMPUTED_VALUE"""),"API &amp; Portal")</f>
        <v>API &amp; Portal</v>
      </c>
      <c r="J214" s="265" t="str">
        <f>IFERROR(__xludf.DUMMYFUNCTION("""COMPUTED_VALUE"""),"Zalo ZNS")</f>
        <v>Zalo ZNS</v>
      </c>
    </row>
    <row r="215">
      <c r="A215" s="265" t="str">
        <f>IFERROR(__xludf.DUMMYFUNCTION("""COMPUTED_VALUE"""),"528")</f>
        <v>528</v>
      </c>
      <c r="B215" s="265" t="str">
        <f>IFERROR(__xludf.DUMMYFUNCTION("""COMPUTED_VALUE"""),"Sài Gòn")</f>
        <v>Sài Gòn</v>
      </c>
      <c r="C215" s="265" t="str">
        <f>IFERROR(__xludf.DUMMYFUNCTION("""COMPUTED_VALUE"""),"Active")</f>
        <v>Active</v>
      </c>
      <c r="D215" s="265" t="str">
        <f>IFERROR(__xludf.DUMMYFUNCTION("""COMPUTED_VALUE"""),"Sale chưa cung cấp")</f>
        <v>Sale chưa cung cấp</v>
      </c>
      <c r="E215" s="265" t="str">
        <f>IFERROR(__xludf.DUMMYFUNCTION("""COMPUTED_VALUE"""),"TúPHN")</f>
        <v>TúPHN</v>
      </c>
      <c r="F215" s="265" t="str">
        <f>IFERROR(__xludf.DUMMYFUNCTION("""COMPUTED_VALUE"""),"Diamond")</f>
        <v>Diamond</v>
      </c>
      <c r="G215" s="265" t="str">
        <f>IFERROR(__xludf.DUMMYFUNCTION("""COMPUTED_VALUE"""),"Enterprise")</f>
        <v>Enterprise</v>
      </c>
      <c r="H215" s="265" t="str">
        <f>IFERROR(__xludf.DUMMYFUNCTION("""COMPUTED_VALUE"""),"Trả sau")</f>
        <v>Trả sau</v>
      </c>
      <c r="I215" s="265" t="str">
        <f>IFERROR(__xludf.DUMMYFUNCTION("""COMPUTED_VALUE"""),"Portal")</f>
        <v>Portal</v>
      </c>
      <c r="J215" s="265" t="str">
        <f>IFERROR(__xludf.DUMMYFUNCTION("""COMPUTED_VALUE"""),"SMS CSKH")</f>
        <v>SMS CSKH</v>
      </c>
    </row>
    <row r="216">
      <c r="A216" s="265" t="str">
        <f>IFERROR(__xludf.DUMMYFUNCTION("""COMPUTED_VALUE"""),"528")</f>
        <v>528</v>
      </c>
      <c r="B216" s="265" t="str">
        <f>IFERROR(__xludf.DUMMYFUNCTION("""COMPUTED_VALUE"""),"Sài Gòn")</f>
        <v>Sài Gòn</v>
      </c>
      <c r="C216" s="265" t="str">
        <f>IFERROR(__xludf.DUMMYFUNCTION("""COMPUTED_VALUE"""),"Active")</f>
        <v>Active</v>
      </c>
      <c r="D216" s="265" t="str">
        <f>IFERROR(__xludf.DUMMYFUNCTION("""COMPUTED_VALUE"""),"Sale chưa cung cấp")</f>
        <v>Sale chưa cung cấp</v>
      </c>
      <c r="E216" s="265" t="str">
        <f>IFERROR(__xludf.DUMMYFUNCTION("""COMPUTED_VALUE"""),"TúPHN")</f>
        <v>TúPHN</v>
      </c>
      <c r="F216" s="265" t="str">
        <f>IFERROR(__xludf.DUMMYFUNCTION("""COMPUTED_VALUE"""),"Diamond")</f>
        <v>Diamond</v>
      </c>
      <c r="G216" s="265" t="str">
        <f>IFERROR(__xludf.DUMMYFUNCTION("""COMPUTED_VALUE"""),"Enterprise")</f>
        <v>Enterprise</v>
      </c>
      <c r="H216" s="265" t="str">
        <f>IFERROR(__xludf.DUMMYFUNCTION("""COMPUTED_VALUE"""),"Trả sau")</f>
        <v>Trả sau</v>
      </c>
      <c r="I216" s="265" t="str">
        <f>IFERROR(__xludf.DUMMYFUNCTION("""COMPUTED_VALUE"""),"Portal")</f>
        <v>Portal</v>
      </c>
      <c r="J216" s="265" t="str">
        <f>IFERROR(__xludf.DUMMYFUNCTION("""COMPUTED_VALUE"""),"Zalo ZNS")</f>
        <v>Zalo ZNS</v>
      </c>
    </row>
    <row r="217">
      <c r="A217" s="265" t="str">
        <f>IFERROR(__xludf.DUMMYFUNCTION("""COMPUTED_VALUE"""),"529")</f>
        <v>529</v>
      </c>
      <c r="B217" s="265" t="str">
        <f>IFERROR(__xludf.DUMMYFUNCTION("""COMPUTED_VALUE"""),"Hà Nội")</f>
        <v>Hà Nội</v>
      </c>
      <c r="C217" s="265" t="str">
        <f>IFERROR(__xludf.DUMMYFUNCTION("""COMPUTED_VALUE"""),"Locked")</f>
        <v>Locked</v>
      </c>
      <c r="D217" s="265" t="str">
        <f>IFERROR(__xludf.DUMMYFUNCTION("""COMPUTED_VALUE"""),"Sale chưa cung cấp")</f>
        <v>Sale chưa cung cấp</v>
      </c>
      <c r="E217" s="265" t="str">
        <f>IFERROR(__xludf.DUMMYFUNCTION("""COMPUTED_VALUE"""),"PhươngDTB")</f>
        <v>PhươngDTB</v>
      </c>
      <c r="F217" s="265" t="str">
        <f>IFERROR(__xludf.DUMMYFUNCTION("""COMPUTED_VALUE"""),"Bronze")</f>
        <v>Bronze</v>
      </c>
      <c r="G217" s="265" t="str">
        <f>IFERROR(__xludf.DUMMYFUNCTION("""COMPUTED_VALUE"""),"Enterprise")</f>
        <v>Enterprise</v>
      </c>
      <c r="H217" s="265" t="str">
        <f>IFERROR(__xludf.DUMMYFUNCTION("""COMPUTED_VALUE"""),"(Chưa recheck)")</f>
        <v>(Chưa recheck)</v>
      </c>
      <c r="I217" s="265" t="str">
        <f>IFERROR(__xludf.DUMMYFUNCTION("""COMPUTED_VALUE"""),"(Chưa recheck)")</f>
        <v>(Chưa recheck)</v>
      </c>
      <c r="J217" s="265" t="str">
        <f>IFERROR(__xludf.DUMMYFUNCTION("""COMPUTED_VALUE"""),"Tất cả")</f>
        <v>Tất cả</v>
      </c>
    </row>
    <row r="218">
      <c r="A218" s="265" t="str">
        <f>IFERROR(__xludf.DUMMYFUNCTION("""COMPUTED_VALUE"""),"530")</f>
        <v>530</v>
      </c>
      <c r="B218" s="265" t="str">
        <f>IFERROR(__xludf.DUMMYFUNCTION("""COMPUTED_VALUE"""),"Sài Gòn")</f>
        <v>Sài Gòn</v>
      </c>
      <c r="C218" s="265" t="str">
        <f>IFERROR(__xludf.DUMMYFUNCTION("""COMPUTED_VALUE"""),"Active")</f>
        <v>Active</v>
      </c>
      <c r="D218" s="265" t="str">
        <f>IFERROR(__xludf.DUMMYFUNCTION("""COMPUTED_VALUE"""),"Công nghệ &amp; Phần mềm")</f>
        <v>Công nghệ &amp; Phần mềm</v>
      </c>
      <c r="E218" s="265" t="str">
        <f>IFERROR(__xludf.DUMMYFUNCTION("""COMPUTED_VALUE"""),"TùngLD")</f>
        <v>TùngLD</v>
      </c>
      <c r="F218" s="265" t="str">
        <f>IFERROR(__xludf.DUMMYFUNCTION("""COMPUTED_VALUE"""),"Silver")</f>
        <v>Silver</v>
      </c>
      <c r="G218" s="265" t="str">
        <f>IFERROR(__xludf.DUMMYFUNCTION("""COMPUTED_VALUE"""),"API")</f>
        <v>API</v>
      </c>
      <c r="H218" s="265" t="str">
        <f>IFERROR(__xludf.DUMMYFUNCTION("""COMPUTED_VALUE"""),"Trả sau")</f>
        <v>Trả sau</v>
      </c>
      <c r="I218" s="265" t="str">
        <f>IFERROR(__xludf.DUMMYFUNCTION("""COMPUTED_VALUE"""),"API")</f>
        <v>API</v>
      </c>
      <c r="J218" s="265" t="str">
        <f>IFERROR(__xludf.DUMMYFUNCTION("""COMPUTED_VALUE"""),"SMS CSKH")</f>
        <v>SMS CSKH</v>
      </c>
    </row>
    <row r="219">
      <c r="A219" s="265" t="str">
        <f>IFERROR(__xludf.DUMMYFUNCTION("""COMPUTED_VALUE"""),"530")</f>
        <v>530</v>
      </c>
      <c r="B219" s="265" t="str">
        <f>IFERROR(__xludf.DUMMYFUNCTION("""COMPUTED_VALUE"""),"Sài Gòn")</f>
        <v>Sài Gòn</v>
      </c>
      <c r="C219" s="265" t="str">
        <f>IFERROR(__xludf.DUMMYFUNCTION("""COMPUTED_VALUE"""),"Active")</f>
        <v>Active</v>
      </c>
      <c r="D219" s="265" t="str">
        <f>IFERROR(__xludf.DUMMYFUNCTION("""COMPUTED_VALUE"""),"Công nghệ &amp; Phần mềm")</f>
        <v>Công nghệ &amp; Phần mềm</v>
      </c>
      <c r="E219" s="265" t="str">
        <f>IFERROR(__xludf.DUMMYFUNCTION("""COMPUTED_VALUE"""),"TùngLD")</f>
        <v>TùngLD</v>
      </c>
      <c r="F219" s="265" t="str">
        <f>IFERROR(__xludf.DUMMYFUNCTION("""COMPUTED_VALUE"""),"Silver")</f>
        <v>Silver</v>
      </c>
      <c r="G219" s="265" t="str">
        <f>IFERROR(__xludf.DUMMYFUNCTION("""COMPUTED_VALUE"""),"API")</f>
        <v>API</v>
      </c>
      <c r="H219" s="265" t="str">
        <f>IFERROR(__xludf.DUMMYFUNCTION("""COMPUTED_VALUE"""),"Trả sau")</f>
        <v>Trả sau</v>
      </c>
      <c r="I219" s="265" t="str">
        <f>IFERROR(__xludf.DUMMYFUNCTION("""COMPUTED_VALUE"""),"API")</f>
        <v>API</v>
      </c>
      <c r="J219" s="265" t="str">
        <f>IFERROR(__xludf.DUMMYFUNCTION("""COMPUTED_VALUE"""),"Zalo ZNS")</f>
        <v>Zalo ZNS</v>
      </c>
    </row>
    <row r="220">
      <c r="A220" s="265" t="str">
        <f>IFERROR(__xludf.DUMMYFUNCTION("""COMPUTED_VALUE"""),"533")</f>
        <v>533</v>
      </c>
      <c r="B220" s="265" t="str">
        <f>IFERROR(__xludf.DUMMYFUNCTION("""COMPUTED_VALUE"""),"Sài Gòn")</f>
        <v>Sài Gòn</v>
      </c>
      <c r="C220" s="265" t="str">
        <f>IFERROR(__xludf.DUMMYFUNCTION("""COMPUTED_VALUE"""),"Locked")</f>
        <v>Locked</v>
      </c>
      <c r="D220" s="265" t="str">
        <f>IFERROR(__xludf.DUMMYFUNCTION("""COMPUTED_VALUE"""),"Sale chưa cung cấp")</f>
        <v>Sale chưa cung cấp</v>
      </c>
      <c r="E220" s="265" t="str">
        <f>IFERROR(__xludf.DUMMYFUNCTION("""COMPUTED_VALUE"""),"HoaNTM")</f>
        <v>HoaNTM</v>
      </c>
      <c r="F220" s="265" t="str">
        <f>IFERROR(__xludf.DUMMYFUNCTION("""COMPUTED_VALUE"""),"Bronze")</f>
        <v>Bronze</v>
      </c>
      <c r="G220" s="265" t="str">
        <f>IFERROR(__xludf.DUMMYFUNCTION("""COMPUTED_VALUE"""),"Enterprise")</f>
        <v>Enterprise</v>
      </c>
      <c r="H220" s="265" t="str">
        <f>IFERROR(__xludf.DUMMYFUNCTION("""COMPUTED_VALUE"""),"(Chưa recheck)")</f>
        <v>(Chưa recheck)</v>
      </c>
      <c r="I220" s="265" t="str">
        <f>IFERROR(__xludf.DUMMYFUNCTION("""COMPUTED_VALUE"""),"(Chưa recheck)")</f>
        <v>(Chưa recheck)</v>
      </c>
      <c r="J220" s="265" t="str">
        <f>IFERROR(__xludf.DUMMYFUNCTION("""COMPUTED_VALUE"""),"(Chưa recheck)")</f>
        <v>(Chưa recheck)</v>
      </c>
    </row>
    <row r="221">
      <c r="A221" s="265" t="str">
        <f>IFERROR(__xludf.DUMMYFUNCTION("""COMPUTED_VALUE"""),"532")</f>
        <v>532</v>
      </c>
      <c r="B221" s="265" t="str">
        <f>IFERROR(__xludf.DUMMYFUNCTION("""COMPUTED_VALUE"""),"Hà Nội")</f>
        <v>Hà Nội</v>
      </c>
      <c r="C221" s="265" t="str">
        <f>IFERROR(__xludf.DUMMYFUNCTION("""COMPUTED_VALUE"""),"Locked")</f>
        <v>Locked</v>
      </c>
      <c r="D221" s="265" t="str">
        <f>IFERROR(__xludf.DUMMYFUNCTION("""COMPUTED_VALUE"""),"Sale chưa cung cấp")</f>
        <v>Sale chưa cung cấp</v>
      </c>
      <c r="E221" s="265" t="str">
        <f>IFERROR(__xludf.DUMMYFUNCTION("""COMPUTED_VALUE"""),"TùngLD")</f>
        <v>TùngLD</v>
      </c>
      <c r="F221" s="265" t="str">
        <f>IFERROR(__xludf.DUMMYFUNCTION("""COMPUTED_VALUE"""),"Sale chưa cung cấp")</f>
        <v>Sale chưa cung cấp</v>
      </c>
      <c r="G221" s="265" t="str">
        <f>IFERROR(__xludf.DUMMYFUNCTION("""COMPUTED_VALUE"""),"Enterprise")</f>
        <v>Enterprise</v>
      </c>
      <c r="H221" s="265" t="str">
        <f>IFERROR(__xludf.DUMMYFUNCTION("""COMPUTED_VALUE"""),"Trial")</f>
        <v>Trial</v>
      </c>
      <c r="I221" s="265" t="str">
        <f>IFERROR(__xludf.DUMMYFUNCTION("""COMPUTED_VALUE"""),"Portal")</f>
        <v>Portal</v>
      </c>
      <c r="J221" s="265" t="str">
        <f>IFERROR(__xludf.DUMMYFUNCTION("""COMPUTED_VALUE"""),"Zalo ZNS")</f>
        <v>Zalo ZNS</v>
      </c>
    </row>
    <row r="222">
      <c r="A222" s="265" t="str">
        <f>IFERROR(__xludf.DUMMYFUNCTION("""COMPUTED_VALUE"""),"534")</f>
        <v>534</v>
      </c>
      <c r="B222" s="265" t="str">
        <f>IFERROR(__xludf.DUMMYFUNCTION("""COMPUTED_VALUE"""),"Sài Gòn")</f>
        <v>Sài Gòn</v>
      </c>
      <c r="C222" s="265" t="str">
        <f>IFERROR(__xludf.DUMMYFUNCTION("""COMPUTED_VALUE"""),"Locked")</f>
        <v>Locked</v>
      </c>
      <c r="D222" s="265" t="str">
        <f>IFERROR(__xludf.DUMMYFUNCTION("""COMPUTED_VALUE"""),"Sale chưa cung cấp")</f>
        <v>Sale chưa cung cấp</v>
      </c>
      <c r="E222" s="265" t="str">
        <f>IFERROR(__xludf.DUMMYFUNCTION("""COMPUTED_VALUE"""),"HoaNTM")</f>
        <v>HoaNTM</v>
      </c>
      <c r="F222" s="265" t="str">
        <f>IFERROR(__xludf.DUMMYFUNCTION("""COMPUTED_VALUE"""),"Bronze")</f>
        <v>Bronze</v>
      </c>
      <c r="G222" s="265" t="str">
        <f>IFERROR(__xludf.DUMMYFUNCTION("""COMPUTED_VALUE"""),"Enterprise")</f>
        <v>Enterprise</v>
      </c>
      <c r="H222" s="265" t="str">
        <f>IFERROR(__xludf.DUMMYFUNCTION("""COMPUTED_VALUE"""),"(Chưa recheck)")</f>
        <v>(Chưa recheck)</v>
      </c>
      <c r="I222" s="265" t="str">
        <f>IFERROR(__xludf.DUMMYFUNCTION("""COMPUTED_VALUE"""),"(Chưa recheck)")</f>
        <v>(Chưa recheck)</v>
      </c>
      <c r="J222" s="265" t="str">
        <f>IFERROR(__xludf.DUMMYFUNCTION("""COMPUTED_VALUE"""),"(Chưa recheck)")</f>
        <v>(Chưa recheck)</v>
      </c>
    </row>
    <row r="223">
      <c r="A223" s="265" t="str">
        <f>IFERROR(__xludf.DUMMYFUNCTION("""COMPUTED_VALUE"""),"535")</f>
        <v>535</v>
      </c>
      <c r="B223" s="265" t="str">
        <f>IFERROR(__xludf.DUMMYFUNCTION("""COMPUTED_VALUE"""),"Sài Gòn")</f>
        <v>Sài Gòn</v>
      </c>
      <c r="C223" s="265" t="str">
        <f>IFERROR(__xludf.DUMMYFUNCTION("""COMPUTED_VALUE"""),"Locked")</f>
        <v>Locked</v>
      </c>
      <c r="D223" s="265" t="str">
        <f>IFERROR(__xludf.DUMMYFUNCTION("""COMPUTED_VALUE"""),"Sale chưa cung cấp")</f>
        <v>Sale chưa cung cấp</v>
      </c>
      <c r="E223" s="265" t="str">
        <f>IFERROR(__xludf.DUMMYFUNCTION("""COMPUTED_VALUE"""),"HoaNTM")</f>
        <v>HoaNTM</v>
      </c>
      <c r="F223" s="265" t="str">
        <f>IFERROR(__xludf.DUMMYFUNCTION("""COMPUTED_VALUE"""),"Sale chưa cung cấp")</f>
        <v>Sale chưa cung cấp</v>
      </c>
      <c r="G223" s="265" t="str">
        <f>IFERROR(__xludf.DUMMYFUNCTION("""COMPUTED_VALUE"""),"Enterprise")</f>
        <v>Enterprise</v>
      </c>
      <c r="H223" s="265" t="str">
        <f>IFERROR(__xludf.DUMMYFUNCTION("""COMPUTED_VALUE"""),"Trial")</f>
        <v>Trial</v>
      </c>
      <c r="I223" s="265" t="str">
        <f>IFERROR(__xludf.DUMMYFUNCTION("""COMPUTED_VALUE"""),"(Không recheck)")</f>
        <v>(Không recheck)</v>
      </c>
      <c r="J223" s="265" t="str">
        <f>IFERROR(__xludf.DUMMYFUNCTION("""COMPUTED_VALUE"""),"(Không recheck)")</f>
        <v>(Không recheck)</v>
      </c>
    </row>
    <row r="224">
      <c r="A224" s="265" t="str">
        <f>IFERROR(__xludf.DUMMYFUNCTION("""COMPUTED_VALUE"""),"536")</f>
        <v>536</v>
      </c>
      <c r="B224" s="265" t="str">
        <f>IFERROR(__xludf.DUMMYFUNCTION("""COMPUTED_VALUE"""),"Hà Nội")</f>
        <v>Hà Nội</v>
      </c>
      <c r="C224" s="265" t="str">
        <f>IFERROR(__xludf.DUMMYFUNCTION("""COMPUTED_VALUE"""),"Active")</f>
        <v>Active</v>
      </c>
      <c r="D224" s="265" t="str">
        <f>IFERROR(__xludf.DUMMYFUNCTION("""COMPUTED_VALUE"""),"Sale chưa cung cấp")</f>
        <v>Sale chưa cung cấp</v>
      </c>
      <c r="E224" s="265" t="str">
        <f>IFERROR(__xludf.DUMMYFUNCTION("""COMPUTED_VALUE"""),"TùngLD")</f>
        <v>TùngLD</v>
      </c>
      <c r="F224" s="265" t="str">
        <f>IFERROR(__xludf.DUMMYFUNCTION("""COMPUTED_VALUE"""),"Silver")</f>
        <v>Silver</v>
      </c>
      <c r="G224" s="265" t="str">
        <f>IFERROR(__xludf.DUMMYFUNCTION("""COMPUTED_VALUE"""),"API")</f>
        <v>API</v>
      </c>
      <c r="H224" s="265" t="str">
        <f>IFERROR(__xludf.DUMMYFUNCTION("""COMPUTED_VALUE"""),"Trả sau")</f>
        <v>Trả sau</v>
      </c>
      <c r="I224" s="265" t="str">
        <f>IFERROR(__xludf.DUMMYFUNCTION("""COMPUTED_VALUE"""),"API")</f>
        <v>API</v>
      </c>
      <c r="J224" s="265" t="str">
        <f>IFERROR(__xludf.DUMMYFUNCTION("""COMPUTED_VALUE"""),"SMS CSKH")</f>
        <v>SMS CSKH</v>
      </c>
    </row>
    <row r="225">
      <c r="A225" s="265" t="str">
        <f>IFERROR(__xludf.DUMMYFUNCTION("""COMPUTED_VALUE"""),"537")</f>
        <v>537</v>
      </c>
      <c r="B225" s="265" t="str">
        <f>IFERROR(__xludf.DUMMYFUNCTION("""COMPUTED_VALUE"""),"Hà Nội")</f>
        <v>Hà Nội</v>
      </c>
      <c r="C225" s="265" t="str">
        <f>IFERROR(__xludf.DUMMYFUNCTION("""COMPUTED_VALUE"""),"Locked")</f>
        <v>Locked</v>
      </c>
      <c r="D225" s="265" t="str">
        <f>IFERROR(__xludf.DUMMYFUNCTION("""COMPUTED_VALUE"""),"Sale chưa cung cấp")</f>
        <v>Sale chưa cung cấp</v>
      </c>
      <c r="E225" s="265" t="str">
        <f>IFERROR(__xludf.DUMMYFUNCTION("""COMPUTED_VALUE"""),"TùngLD")</f>
        <v>TùngLD</v>
      </c>
      <c r="F225" s="265" t="str">
        <f>IFERROR(__xludf.DUMMYFUNCTION("""COMPUTED_VALUE"""),"Bronze")</f>
        <v>Bronze</v>
      </c>
      <c r="G225" s="265" t="str">
        <f>IFERROR(__xludf.DUMMYFUNCTION("""COMPUTED_VALUE"""),"API")</f>
        <v>API</v>
      </c>
      <c r="H225" s="265" t="str">
        <f>IFERROR(__xludf.DUMMYFUNCTION("""COMPUTED_VALUE"""),"(Chưa recheck)")</f>
        <v>(Chưa recheck)</v>
      </c>
      <c r="I225" s="265" t="str">
        <f>IFERROR(__xludf.DUMMYFUNCTION("""COMPUTED_VALUE"""),"API &amp; Portal")</f>
        <v>API &amp; Portal</v>
      </c>
      <c r="J225" s="265" t="str">
        <f>IFERROR(__xludf.DUMMYFUNCTION("""COMPUTED_VALUE"""),"Zalo ZNS")</f>
        <v>Zalo ZNS</v>
      </c>
    </row>
    <row r="226">
      <c r="A226" s="265" t="str">
        <f>IFERROR(__xludf.DUMMYFUNCTION("""COMPUTED_VALUE"""),"538")</f>
        <v>538</v>
      </c>
      <c r="B226" s="265" t="str">
        <f>IFERROR(__xludf.DUMMYFUNCTION("""COMPUTED_VALUE"""),"Hà Nội")</f>
        <v>Hà Nội</v>
      </c>
      <c r="C226" s="265" t="str">
        <f>IFERROR(__xludf.DUMMYFUNCTION("""COMPUTED_VALUE"""),"Locked")</f>
        <v>Locked</v>
      </c>
      <c r="D226" s="265" t="str">
        <f>IFERROR(__xludf.DUMMYFUNCTION("""COMPUTED_VALUE"""),"Sale chưa cung cấp")</f>
        <v>Sale chưa cung cấp</v>
      </c>
      <c r="E226" s="265" t="str">
        <f>IFERROR(__xludf.DUMMYFUNCTION("""COMPUTED_VALUE"""),"TùngLD")</f>
        <v>TùngLD</v>
      </c>
      <c r="F226" s="265" t="str">
        <f>IFERROR(__xludf.DUMMYFUNCTION("""COMPUTED_VALUE"""),"Sale chưa cung cấp")</f>
        <v>Sale chưa cung cấp</v>
      </c>
      <c r="G226" s="265" t="str">
        <f>IFERROR(__xludf.DUMMYFUNCTION("""COMPUTED_VALUE"""),"Enterprise")</f>
        <v>Enterprise</v>
      </c>
      <c r="H226" s="265" t="str">
        <f>IFERROR(__xludf.DUMMYFUNCTION("""COMPUTED_VALUE"""),"Trial")</f>
        <v>Trial</v>
      </c>
      <c r="I226" s="265" t="str">
        <f>IFERROR(__xludf.DUMMYFUNCTION("""COMPUTED_VALUE"""),"Portal")</f>
        <v>Portal</v>
      </c>
      <c r="J226" s="265" t="str">
        <f>IFERROR(__xludf.DUMMYFUNCTION("""COMPUTED_VALUE"""),"(Không recheck)")</f>
        <v>(Không recheck)</v>
      </c>
    </row>
    <row r="227">
      <c r="A227" s="265" t="str">
        <f>IFERROR(__xludf.DUMMYFUNCTION("""COMPUTED_VALUE"""),"539")</f>
        <v>539</v>
      </c>
      <c r="B227" s="265" t="str">
        <f>IFERROR(__xludf.DUMMYFUNCTION("""COMPUTED_VALUE"""),"Sài Gòn")</f>
        <v>Sài Gòn</v>
      </c>
      <c r="C227" s="265" t="str">
        <f>IFERROR(__xludf.DUMMYFUNCTION("""COMPUTED_VALUE"""),"Locked")</f>
        <v>Locked</v>
      </c>
      <c r="D227" s="265" t="str">
        <f>IFERROR(__xludf.DUMMYFUNCTION("""COMPUTED_VALUE"""),"Sale chưa cung cấp")</f>
        <v>Sale chưa cung cấp</v>
      </c>
      <c r="E227" s="265" t="str">
        <f>IFERROR(__xludf.DUMMYFUNCTION("""COMPUTED_VALUE"""),"(Không recheck)")</f>
        <v>(Không recheck)</v>
      </c>
      <c r="F227" s="265" t="str">
        <f>IFERROR(__xludf.DUMMYFUNCTION("""COMPUTED_VALUE"""),"Diamond")</f>
        <v>Diamond</v>
      </c>
      <c r="G227" s="265" t="str">
        <f>IFERROR(__xludf.DUMMYFUNCTION("""COMPUTED_VALUE"""),"API")</f>
        <v>API</v>
      </c>
      <c r="H227" s="265" t="str">
        <f>IFERROR(__xludf.DUMMYFUNCTION("""COMPUTED_VALUE"""),"Trial")</f>
        <v>Trial</v>
      </c>
      <c r="I227" s="265" t="str">
        <f>IFERROR(__xludf.DUMMYFUNCTION("""COMPUTED_VALUE"""),"(Không recheck)")</f>
        <v>(Không recheck)</v>
      </c>
      <c r="J227" s="265" t="str">
        <f>IFERROR(__xludf.DUMMYFUNCTION("""COMPUTED_VALUE"""),"SMS CSKH")</f>
        <v>SMS CSKH</v>
      </c>
    </row>
    <row r="228">
      <c r="A228" s="265" t="str">
        <f>IFERROR(__xludf.DUMMYFUNCTION("""COMPUTED_VALUE"""),"216")</f>
        <v>216</v>
      </c>
      <c r="B228" s="265" t="str">
        <f>IFERROR(__xludf.DUMMYFUNCTION("""COMPUTED_VALUE"""),"Hà Nội")</f>
        <v>Hà Nội</v>
      </c>
      <c r="C228" s="265" t="str">
        <f>IFERROR(__xludf.DUMMYFUNCTION("""COMPUTED_VALUE"""),"Active")</f>
        <v>Active</v>
      </c>
      <c r="D228" s="265" t="str">
        <f>IFERROR(__xludf.DUMMYFUNCTION("""COMPUTED_VALUE"""),"Sale chưa cung cấp")</f>
        <v>Sale chưa cung cấp</v>
      </c>
      <c r="E228" s="265" t="str">
        <f>IFERROR(__xludf.DUMMYFUNCTION("""COMPUTED_VALUE"""),"Không phân công")</f>
        <v>Không phân công</v>
      </c>
      <c r="F228" s="265" t="str">
        <f>IFERROR(__xludf.DUMMYFUNCTION("""COMPUTED_VALUE"""),"Bronze")</f>
        <v>Bronze</v>
      </c>
      <c r="G228" s="265" t="str">
        <f>IFERROR(__xludf.DUMMYFUNCTION("""COMPUTED_VALUE"""),"Enterprise")</f>
        <v>Enterprise</v>
      </c>
      <c r="H228" s="265" t="str">
        <f>IFERROR(__xludf.DUMMYFUNCTION("""COMPUTED_VALUE"""),"Trả sau")</f>
        <v>Trả sau</v>
      </c>
      <c r="I228" s="265" t="str">
        <f>IFERROR(__xludf.DUMMYFUNCTION("""COMPUTED_VALUE"""),"API &amp; Portal")</f>
        <v>API &amp; Portal</v>
      </c>
      <c r="J228" s="265" t="str">
        <f>IFERROR(__xludf.DUMMYFUNCTION("""COMPUTED_VALUE"""),"SMS CSKH")</f>
        <v>SMS CSKH</v>
      </c>
    </row>
    <row r="229">
      <c r="A229" s="265" t="str">
        <f>IFERROR(__xludf.DUMMYFUNCTION("""COMPUTED_VALUE"""),"541")</f>
        <v>541</v>
      </c>
      <c r="B229" s="265" t="str">
        <f>IFERROR(__xludf.DUMMYFUNCTION("""COMPUTED_VALUE"""),"Sài Gòn")</f>
        <v>Sài Gòn</v>
      </c>
      <c r="C229" s="265" t="str">
        <f>IFERROR(__xludf.DUMMYFUNCTION("""COMPUTED_VALUE"""),"Active")</f>
        <v>Active</v>
      </c>
      <c r="D229" s="265" t="str">
        <f>IFERROR(__xludf.DUMMYFUNCTION("""COMPUTED_VALUE"""),"Sale chưa cung cấp")</f>
        <v>Sale chưa cung cấp</v>
      </c>
      <c r="E229" s="265" t="str">
        <f>IFERROR(__xludf.DUMMYFUNCTION("""COMPUTED_VALUE"""),"AnhNM")</f>
        <v>AnhNM</v>
      </c>
      <c r="F229" s="265" t="str">
        <f>IFERROR(__xludf.DUMMYFUNCTION("""COMPUTED_VALUE"""),"Gold")</f>
        <v>Gold</v>
      </c>
      <c r="G229" s="265" t="str">
        <f>IFERROR(__xludf.DUMMYFUNCTION("""COMPUTED_VALUE"""),"Enterprise")</f>
        <v>Enterprise</v>
      </c>
      <c r="H229" s="265" t="str">
        <f>IFERROR(__xludf.DUMMYFUNCTION("""COMPUTED_VALUE"""),"Trả sau")</f>
        <v>Trả sau</v>
      </c>
      <c r="I229" s="265" t="str">
        <f>IFERROR(__xludf.DUMMYFUNCTION("""COMPUTED_VALUE"""),"API &amp; Portal")</f>
        <v>API &amp; Portal</v>
      </c>
      <c r="J229" s="265" t="str">
        <f>IFERROR(__xludf.DUMMYFUNCTION("""COMPUTED_VALUE"""),"SMS CSKH")</f>
        <v>SMS CSKH</v>
      </c>
    </row>
    <row r="230">
      <c r="A230" s="265" t="str">
        <f>IFERROR(__xludf.DUMMYFUNCTION("""COMPUTED_VALUE"""),"541")</f>
        <v>541</v>
      </c>
      <c r="B230" s="265" t="str">
        <f>IFERROR(__xludf.DUMMYFUNCTION("""COMPUTED_VALUE"""),"Sài Gòn")</f>
        <v>Sài Gòn</v>
      </c>
      <c r="C230" s="265" t="str">
        <f>IFERROR(__xludf.DUMMYFUNCTION("""COMPUTED_VALUE"""),"Active")</f>
        <v>Active</v>
      </c>
      <c r="D230" s="265" t="str">
        <f>IFERROR(__xludf.DUMMYFUNCTION("""COMPUTED_VALUE"""),"Sale chưa cung cấp")</f>
        <v>Sale chưa cung cấp</v>
      </c>
      <c r="E230" s="265" t="str">
        <f>IFERROR(__xludf.DUMMYFUNCTION("""COMPUTED_VALUE"""),"AnhNM")</f>
        <v>AnhNM</v>
      </c>
      <c r="F230" s="265" t="str">
        <f>IFERROR(__xludf.DUMMYFUNCTION("""COMPUTED_VALUE"""),"Gold")</f>
        <v>Gold</v>
      </c>
      <c r="G230" s="265" t="str">
        <f>IFERROR(__xludf.DUMMYFUNCTION("""COMPUTED_VALUE"""),"Enterprise")</f>
        <v>Enterprise</v>
      </c>
      <c r="H230" s="265" t="str">
        <f>IFERROR(__xludf.DUMMYFUNCTION("""COMPUTED_VALUE"""),"Trả sau")</f>
        <v>Trả sau</v>
      </c>
      <c r="I230" s="265" t="str">
        <f>IFERROR(__xludf.DUMMYFUNCTION("""COMPUTED_VALUE"""),"API &amp; Portal")</f>
        <v>API &amp; Portal</v>
      </c>
      <c r="J230" s="265" t="str">
        <f>IFERROR(__xludf.DUMMYFUNCTION("""COMPUTED_VALUE"""),"SMS QC")</f>
        <v>SMS QC</v>
      </c>
    </row>
    <row r="231">
      <c r="A231" s="265" t="str">
        <f>IFERROR(__xludf.DUMMYFUNCTION("""COMPUTED_VALUE"""),"541")</f>
        <v>541</v>
      </c>
      <c r="B231" s="265" t="str">
        <f>IFERROR(__xludf.DUMMYFUNCTION("""COMPUTED_VALUE"""),"Sài Gòn")</f>
        <v>Sài Gòn</v>
      </c>
      <c r="C231" s="265" t="str">
        <f>IFERROR(__xludf.DUMMYFUNCTION("""COMPUTED_VALUE"""),"Active")</f>
        <v>Active</v>
      </c>
      <c r="D231" s="265" t="str">
        <f>IFERROR(__xludf.DUMMYFUNCTION("""COMPUTED_VALUE"""),"Sale chưa cung cấp")</f>
        <v>Sale chưa cung cấp</v>
      </c>
      <c r="E231" s="265" t="str">
        <f>IFERROR(__xludf.DUMMYFUNCTION("""COMPUTED_VALUE"""),"AnhNM")</f>
        <v>AnhNM</v>
      </c>
      <c r="F231" s="265" t="str">
        <f>IFERROR(__xludf.DUMMYFUNCTION("""COMPUTED_VALUE"""),"Gold")</f>
        <v>Gold</v>
      </c>
      <c r="G231" s="265" t="str">
        <f>IFERROR(__xludf.DUMMYFUNCTION("""COMPUTED_VALUE"""),"Enterprise")</f>
        <v>Enterprise</v>
      </c>
      <c r="H231" s="265" t="str">
        <f>IFERROR(__xludf.DUMMYFUNCTION("""COMPUTED_VALUE"""),"Trả sau")</f>
        <v>Trả sau</v>
      </c>
      <c r="I231" s="265" t="str">
        <f>IFERROR(__xludf.DUMMYFUNCTION("""COMPUTED_VALUE"""),"API &amp; Portal")</f>
        <v>API &amp; Portal</v>
      </c>
      <c r="J231" s="265" t="str">
        <f>IFERROR(__xludf.DUMMYFUNCTION("""COMPUTED_VALUE"""),"Zalo ZNS")</f>
        <v>Zalo ZNS</v>
      </c>
    </row>
    <row r="232">
      <c r="A232" s="265" t="str">
        <f>IFERROR(__xludf.DUMMYFUNCTION("""COMPUTED_VALUE"""),"542")</f>
        <v>542</v>
      </c>
      <c r="B232" s="265" t="str">
        <f>IFERROR(__xludf.DUMMYFUNCTION("""COMPUTED_VALUE"""),"Sài Gòn")</f>
        <v>Sài Gòn</v>
      </c>
      <c r="C232" s="265" t="str">
        <f>IFERROR(__xludf.DUMMYFUNCTION("""COMPUTED_VALUE"""),"Locked")</f>
        <v>Locked</v>
      </c>
      <c r="D232" s="265" t="str">
        <f>IFERROR(__xludf.DUMMYFUNCTION("""COMPUTED_VALUE"""),"Sale chưa cung cấp")</f>
        <v>Sale chưa cung cấp</v>
      </c>
      <c r="E232" s="265" t="str">
        <f>IFERROR(__xludf.DUMMYFUNCTION("""COMPUTED_VALUE"""),"HoaNTM")</f>
        <v>HoaNTM</v>
      </c>
      <c r="F232" s="265" t="str">
        <f>IFERROR(__xludf.DUMMYFUNCTION("""COMPUTED_VALUE"""),"Sale chưa cung cấp")</f>
        <v>Sale chưa cung cấp</v>
      </c>
      <c r="G232" s="265" t="str">
        <f>IFERROR(__xludf.DUMMYFUNCTION("""COMPUTED_VALUE"""),"Enterprise")</f>
        <v>Enterprise</v>
      </c>
      <c r="H232" s="265" t="str">
        <f>IFERROR(__xludf.DUMMYFUNCTION("""COMPUTED_VALUE"""),"(Chưa recheck)")</f>
        <v>(Chưa recheck)</v>
      </c>
      <c r="I232" s="265" t="str">
        <f>IFERROR(__xludf.DUMMYFUNCTION("""COMPUTED_VALUE"""),"(Chưa recheck)")</f>
        <v>(Chưa recheck)</v>
      </c>
      <c r="J232" s="265" t="str">
        <f>IFERROR(__xludf.DUMMYFUNCTION("""COMPUTED_VALUE"""),"Zalo ZNS")</f>
        <v>Zalo ZNS</v>
      </c>
    </row>
    <row r="233">
      <c r="A233" s="265" t="str">
        <f>IFERROR(__xludf.DUMMYFUNCTION("""COMPUTED_VALUE"""),"544")</f>
        <v>544</v>
      </c>
      <c r="B233" s="265" t="str">
        <f>IFERROR(__xludf.DUMMYFUNCTION("""COMPUTED_VALUE"""),"Sài Gòn")</f>
        <v>Sài Gòn</v>
      </c>
      <c r="C233" s="265" t="str">
        <f>IFERROR(__xludf.DUMMYFUNCTION("""COMPUTED_VALUE"""),"Locked")</f>
        <v>Locked</v>
      </c>
      <c r="D233" s="265" t="str">
        <f>IFERROR(__xludf.DUMMYFUNCTION("""COMPUTED_VALUE"""),"Sale chưa cung cấp")</f>
        <v>Sale chưa cung cấp</v>
      </c>
      <c r="E233" s="265" t="str">
        <f>IFERROR(__xludf.DUMMYFUNCTION("""COMPUTED_VALUE"""),"TùngLD")</f>
        <v>TùngLD</v>
      </c>
      <c r="F233" s="265" t="str">
        <f>IFERROR(__xludf.DUMMYFUNCTION("""COMPUTED_VALUE"""),"Sale chưa cung cấp")</f>
        <v>Sale chưa cung cấp</v>
      </c>
      <c r="G233" s="265" t="str">
        <f>IFERROR(__xludf.DUMMYFUNCTION("""COMPUTED_VALUE"""),"MSG")</f>
        <v>MSG</v>
      </c>
      <c r="H233" s="265" t="str">
        <f>IFERROR(__xludf.DUMMYFUNCTION("""COMPUTED_VALUE"""),"(Chưa recheck)")</f>
        <v>(Chưa recheck)</v>
      </c>
      <c r="I233" s="265" t="str">
        <f>IFERROR(__xludf.DUMMYFUNCTION("""COMPUTED_VALUE"""),"(Chưa recheck)")</f>
        <v>(Chưa recheck)</v>
      </c>
      <c r="J233" s="265" t="str">
        <f>IFERROR(__xludf.DUMMYFUNCTION("""COMPUTED_VALUE"""),"Zalo ZNS")</f>
        <v>Zalo ZNS</v>
      </c>
    </row>
    <row r="234">
      <c r="A234" s="265" t="str">
        <f>IFERROR(__xludf.DUMMYFUNCTION("""COMPUTED_VALUE"""),"545")</f>
        <v>545</v>
      </c>
      <c r="B234" s="265" t="str">
        <f>IFERROR(__xludf.DUMMYFUNCTION("""COMPUTED_VALUE"""),"Sài Gòn")</f>
        <v>Sài Gòn</v>
      </c>
      <c r="C234" s="265" t="str">
        <f>IFERROR(__xludf.DUMMYFUNCTION("""COMPUTED_VALUE"""),"Locked")</f>
        <v>Locked</v>
      </c>
      <c r="D234" s="265" t="str">
        <f>IFERROR(__xludf.DUMMYFUNCTION("""COMPUTED_VALUE"""),"Sale chưa cung cấp")</f>
        <v>Sale chưa cung cấp</v>
      </c>
      <c r="E234" s="265" t="str">
        <f>IFERROR(__xludf.DUMMYFUNCTION("""COMPUTED_VALUE"""),"HoaNTM")</f>
        <v>HoaNTM</v>
      </c>
      <c r="F234" s="265" t="str">
        <f>IFERROR(__xludf.DUMMYFUNCTION("""COMPUTED_VALUE"""),"Gold")</f>
        <v>Gold</v>
      </c>
      <c r="G234" s="265" t="str">
        <f>IFERROR(__xludf.DUMMYFUNCTION("""COMPUTED_VALUE"""),"API")</f>
        <v>API</v>
      </c>
      <c r="H234" s="265" t="str">
        <f>IFERROR(__xludf.DUMMYFUNCTION("""COMPUTED_VALUE"""),"Trả sau")</f>
        <v>Trả sau</v>
      </c>
      <c r="I234" s="265" t="str">
        <f>IFERROR(__xludf.DUMMYFUNCTION("""COMPUTED_VALUE"""),"API &amp; Portal")</f>
        <v>API &amp; Portal</v>
      </c>
      <c r="J234" s="265" t="str">
        <f>IFERROR(__xludf.DUMMYFUNCTION("""COMPUTED_VALUE"""),"Zalo ZNS")</f>
        <v>Zalo ZNS</v>
      </c>
    </row>
    <row r="235">
      <c r="A235" s="265" t="str">
        <f>IFERROR(__xludf.DUMMYFUNCTION("""COMPUTED_VALUE"""),"547")</f>
        <v>547</v>
      </c>
      <c r="B235" s="265" t="str">
        <f>IFERROR(__xludf.DUMMYFUNCTION("""COMPUTED_VALUE"""),"Hà Nội")</f>
        <v>Hà Nội</v>
      </c>
      <c r="C235" s="265" t="str">
        <f>IFERROR(__xludf.DUMMYFUNCTION("""COMPUTED_VALUE"""),"Active")</f>
        <v>Active</v>
      </c>
      <c r="D235" s="265" t="str">
        <f>IFERROR(__xludf.DUMMYFUNCTION("""COMPUTED_VALUE"""),"Sale chưa cung cấp")</f>
        <v>Sale chưa cung cấp</v>
      </c>
      <c r="E235" s="265" t="str">
        <f>IFERROR(__xludf.DUMMYFUNCTION("""COMPUTED_VALUE"""),"TùngLD")</f>
        <v>TùngLD</v>
      </c>
      <c r="F235" s="265" t="str">
        <f>IFERROR(__xludf.DUMMYFUNCTION("""COMPUTED_VALUE"""),"Gold")</f>
        <v>Gold</v>
      </c>
      <c r="G235" s="265" t="str">
        <f>IFERROR(__xludf.DUMMYFUNCTION("""COMPUTED_VALUE"""),"API")</f>
        <v>API</v>
      </c>
      <c r="H235" s="265" t="str">
        <f>IFERROR(__xludf.DUMMYFUNCTION("""COMPUTED_VALUE"""),"Trả sau")</f>
        <v>Trả sau</v>
      </c>
      <c r="I235" s="265" t="str">
        <f>IFERROR(__xludf.DUMMYFUNCTION("""COMPUTED_VALUE"""),"API")</f>
        <v>API</v>
      </c>
      <c r="J235" s="265" t="str">
        <f>IFERROR(__xludf.DUMMYFUNCTION("""COMPUTED_VALUE"""),"SMS CSKH")</f>
        <v>SMS CSKH</v>
      </c>
    </row>
    <row r="236">
      <c r="A236" s="265" t="str">
        <f>IFERROR(__xludf.DUMMYFUNCTION("""COMPUTED_VALUE"""),"547")</f>
        <v>547</v>
      </c>
      <c r="B236" s="265" t="str">
        <f>IFERROR(__xludf.DUMMYFUNCTION("""COMPUTED_VALUE"""),"Hà Nội")</f>
        <v>Hà Nội</v>
      </c>
      <c r="C236" s="265" t="str">
        <f>IFERROR(__xludf.DUMMYFUNCTION("""COMPUTED_VALUE"""),"Active")</f>
        <v>Active</v>
      </c>
      <c r="D236" s="265" t="str">
        <f>IFERROR(__xludf.DUMMYFUNCTION("""COMPUTED_VALUE"""),"Sale chưa cung cấp")</f>
        <v>Sale chưa cung cấp</v>
      </c>
      <c r="E236" s="265" t="str">
        <f>IFERROR(__xludf.DUMMYFUNCTION("""COMPUTED_VALUE"""),"TùngLD")</f>
        <v>TùngLD</v>
      </c>
      <c r="F236" s="265" t="str">
        <f>IFERROR(__xludf.DUMMYFUNCTION("""COMPUTED_VALUE"""),"Gold")</f>
        <v>Gold</v>
      </c>
      <c r="G236" s="265" t="str">
        <f>IFERROR(__xludf.DUMMYFUNCTION("""COMPUTED_VALUE"""),"API")</f>
        <v>API</v>
      </c>
      <c r="H236" s="265" t="str">
        <f>IFERROR(__xludf.DUMMYFUNCTION("""COMPUTED_VALUE"""),"Trả sau")</f>
        <v>Trả sau</v>
      </c>
      <c r="I236" s="265" t="str">
        <f>IFERROR(__xludf.DUMMYFUNCTION("""COMPUTED_VALUE"""),"API")</f>
        <v>API</v>
      </c>
      <c r="J236" s="265" t="str">
        <f>IFERROR(__xludf.DUMMYFUNCTION("""COMPUTED_VALUE"""),"Zalo ZNS")</f>
        <v>Zalo ZNS</v>
      </c>
    </row>
    <row r="237">
      <c r="A237" s="265" t="str">
        <f>IFERROR(__xludf.DUMMYFUNCTION("""COMPUTED_VALUE"""),"None 2")</f>
        <v>None 2</v>
      </c>
      <c r="B237" s="265" t="str">
        <f>IFERROR(__xludf.DUMMYFUNCTION("""COMPUTED_VALUE"""),"Hà Nội")</f>
        <v>Hà Nội</v>
      </c>
      <c r="C237" s="265" t="str">
        <f>IFERROR(__xludf.DUMMYFUNCTION("""COMPUTED_VALUE"""),"Locked")</f>
        <v>Locked</v>
      </c>
      <c r="D237" s="265" t="str">
        <f>IFERROR(__xludf.DUMMYFUNCTION("""COMPUTED_VALUE"""),"Sale chưa cung cấp")</f>
        <v>Sale chưa cung cấp</v>
      </c>
      <c r="E237" s="265" t="str">
        <f>IFERROR(__xludf.DUMMYFUNCTION("""COMPUTED_VALUE"""),"TúPHN")</f>
        <v>TúPHN</v>
      </c>
      <c r="F237" s="265" t="str">
        <f>IFERROR(__xludf.DUMMYFUNCTION("""COMPUTED_VALUE"""),"Bronze")</f>
        <v>Bronze</v>
      </c>
      <c r="G237" s="265" t="str">
        <f>IFERROR(__xludf.DUMMYFUNCTION("""COMPUTED_VALUE"""),"API")</f>
        <v>API</v>
      </c>
      <c r="H237" s="265" t="str">
        <f>IFERROR(__xludf.DUMMYFUNCTION("""COMPUTED_VALUE"""),"Trả sau")</f>
        <v>Trả sau</v>
      </c>
      <c r="I237" s="265" t="str">
        <f>IFERROR(__xludf.DUMMYFUNCTION("""COMPUTED_VALUE"""),"API")</f>
        <v>API</v>
      </c>
      <c r="J237" s="265" t="str">
        <f>IFERROR(__xludf.DUMMYFUNCTION("""COMPUTED_VALUE"""),"Zalo ZNS")</f>
        <v>Zalo ZNS</v>
      </c>
    </row>
    <row r="238">
      <c r="A238" s="265" t="str">
        <f>IFERROR(__xludf.DUMMYFUNCTION("""COMPUTED_VALUE"""),"None 2")</f>
        <v>None 2</v>
      </c>
      <c r="B238" s="265" t="str">
        <f>IFERROR(__xludf.DUMMYFUNCTION("""COMPUTED_VALUE"""),"Hà Nội")</f>
        <v>Hà Nội</v>
      </c>
      <c r="C238" s="265" t="str">
        <f>IFERROR(__xludf.DUMMYFUNCTION("""COMPUTED_VALUE"""),"Locked")</f>
        <v>Locked</v>
      </c>
      <c r="D238" s="265" t="str">
        <f>IFERROR(__xludf.DUMMYFUNCTION("""COMPUTED_VALUE"""),"Sale chưa cung cấp")</f>
        <v>Sale chưa cung cấp</v>
      </c>
      <c r="E238" s="265" t="str">
        <f>IFERROR(__xludf.DUMMYFUNCTION("""COMPUTED_VALUE"""),"TúPHN")</f>
        <v>TúPHN</v>
      </c>
      <c r="F238" s="265" t="str">
        <f>IFERROR(__xludf.DUMMYFUNCTION("""COMPUTED_VALUE"""),"Bronze")</f>
        <v>Bronze</v>
      </c>
      <c r="G238" s="265" t="str">
        <f>IFERROR(__xludf.DUMMYFUNCTION("""COMPUTED_VALUE"""),"API")</f>
        <v>API</v>
      </c>
      <c r="H238" s="265" t="str">
        <f>IFERROR(__xludf.DUMMYFUNCTION("""COMPUTED_VALUE"""),"Trả sau")</f>
        <v>Trả sau</v>
      </c>
      <c r="I238" s="265" t="str">
        <f>IFERROR(__xludf.DUMMYFUNCTION("""COMPUTED_VALUE"""),"API")</f>
        <v>API</v>
      </c>
      <c r="J238" s="265" t="str">
        <f>IFERROR(__xludf.DUMMYFUNCTION("""COMPUTED_VALUE"""),"Zalo UID")</f>
        <v>Zalo UID</v>
      </c>
    </row>
    <row r="239">
      <c r="A239" s="265" t="str">
        <f>IFERROR(__xludf.DUMMYFUNCTION("""COMPUTED_VALUE"""),"546")</f>
        <v>546</v>
      </c>
      <c r="B239" s="265" t="str">
        <f>IFERROR(__xludf.DUMMYFUNCTION("""COMPUTED_VALUE"""),"Sài Gòn")</f>
        <v>Sài Gòn</v>
      </c>
      <c r="C239" s="265" t="str">
        <f>IFERROR(__xludf.DUMMYFUNCTION("""COMPUTED_VALUE"""),"Locked")</f>
        <v>Locked</v>
      </c>
      <c r="D239" s="265" t="str">
        <f>IFERROR(__xludf.DUMMYFUNCTION("""COMPUTED_VALUE"""),"Sale chưa cung cấp")</f>
        <v>Sale chưa cung cấp</v>
      </c>
      <c r="E239" s="265" t="str">
        <f>IFERROR(__xludf.DUMMYFUNCTION("""COMPUTED_VALUE"""),"HoaNTM")</f>
        <v>HoaNTM</v>
      </c>
      <c r="F239" s="265" t="str">
        <f>IFERROR(__xludf.DUMMYFUNCTION("""COMPUTED_VALUE"""),"Bronze")</f>
        <v>Bronze</v>
      </c>
      <c r="G239" s="265" t="str">
        <f>IFERROR(__xludf.DUMMYFUNCTION("""COMPUTED_VALUE"""),"Enterprise")</f>
        <v>Enterprise</v>
      </c>
      <c r="H239" s="265" t="str">
        <f>IFERROR(__xludf.DUMMYFUNCTION("""COMPUTED_VALUE"""),"(Chưa recheck)")</f>
        <v>(Chưa recheck)</v>
      </c>
      <c r="I239" s="265" t="str">
        <f>IFERROR(__xludf.DUMMYFUNCTION("""COMPUTED_VALUE"""),"(Chưa recheck)")</f>
        <v>(Chưa recheck)</v>
      </c>
      <c r="J239" s="265" t="str">
        <f>IFERROR(__xludf.DUMMYFUNCTION("""COMPUTED_VALUE"""),"GapOne")</f>
        <v>GapOne</v>
      </c>
    </row>
    <row r="240">
      <c r="A240" s="265" t="str">
        <f>IFERROR(__xludf.DUMMYFUNCTION("""COMPUTED_VALUE"""),"548")</f>
        <v>548</v>
      </c>
      <c r="B240" s="265" t="str">
        <f>IFERROR(__xludf.DUMMYFUNCTION("""COMPUTED_VALUE"""),"Sài Gòn")</f>
        <v>Sài Gòn</v>
      </c>
      <c r="C240" s="265" t="str">
        <f>IFERROR(__xludf.DUMMYFUNCTION("""COMPUTED_VALUE"""),"Locked")</f>
        <v>Locked</v>
      </c>
      <c r="D240" s="265" t="str">
        <f>IFERROR(__xludf.DUMMYFUNCTION("""COMPUTED_VALUE"""),"Sale chưa cung cấp")</f>
        <v>Sale chưa cung cấp</v>
      </c>
      <c r="E240" s="265" t="str">
        <f>IFERROR(__xludf.DUMMYFUNCTION("""COMPUTED_VALUE"""),"HoaNTM")</f>
        <v>HoaNTM</v>
      </c>
      <c r="F240" s="265" t="str">
        <f>IFERROR(__xludf.DUMMYFUNCTION("""COMPUTED_VALUE"""),"Sale chưa cung cấp")</f>
        <v>Sale chưa cung cấp</v>
      </c>
      <c r="G240" s="265" t="str">
        <f>IFERROR(__xludf.DUMMYFUNCTION("""COMPUTED_VALUE"""),"Enterprise")</f>
        <v>Enterprise</v>
      </c>
      <c r="H240" s="265" t="str">
        <f>IFERROR(__xludf.DUMMYFUNCTION("""COMPUTED_VALUE"""),"(Chưa recheck)")</f>
        <v>(Chưa recheck)</v>
      </c>
      <c r="I240" s="265" t="str">
        <f>IFERROR(__xludf.DUMMYFUNCTION("""COMPUTED_VALUE"""),"(Chưa recheck)")</f>
        <v>(Chưa recheck)</v>
      </c>
      <c r="J240" s="265" t="str">
        <f>IFERROR(__xludf.DUMMYFUNCTION("""COMPUTED_VALUE"""),"GapOne")</f>
        <v>GapOne</v>
      </c>
    </row>
    <row r="241">
      <c r="A241" s="265" t="str">
        <f>IFERROR(__xludf.DUMMYFUNCTION("""COMPUTED_VALUE"""),"549")</f>
        <v>549</v>
      </c>
      <c r="B241" s="265" t="str">
        <f>IFERROR(__xludf.DUMMYFUNCTION("""COMPUTED_VALUE"""),"Sài Gòn")</f>
        <v>Sài Gòn</v>
      </c>
      <c r="C241" s="265" t="str">
        <f>IFERROR(__xludf.DUMMYFUNCTION("""COMPUTED_VALUE"""),"Locked")</f>
        <v>Locked</v>
      </c>
      <c r="D241" s="265" t="str">
        <f>IFERROR(__xludf.DUMMYFUNCTION("""COMPUTED_VALUE"""),"Sale chưa cung cấp")</f>
        <v>Sale chưa cung cấp</v>
      </c>
      <c r="E241" s="265" t="str">
        <f>IFERROR(__xludf.DUMMYFUNCTION("""COMPUTED_VALUE"""),"HoaNTM")</f>
        <v>HoaNTM</v>
      </c>
      <c r="F241" s="265" t="str">
        <f>IFERROR(__xludf.DUMMYFUNCTION("""COMPUTED_VALUE"""),"Sale chưa cung cấp")</f>
        <v>Sale chưa cung cấp</v>
      </c>
      <c r="G241" s="265" t="str">
        <f>IFERROR(__xludf.DUMMYFUNCTION("""COMPUTED_VALUE"""),"Enterprise")</f>
        <v>Enterprise</v>
      </c>
      <c r="H241" s="265" t="str">
        <f>IFERROR(__xludf.DUMMYFUNCTION("""COMPUTED_VALUE"""),"(Chưa recheck)")</f>
        <v>(Chưa recheck)</v>
      </c>
      <c r="I241" s="265" t="str">
        <f>IFERROR(__xludf.DUMMYFUNCTION("""COMPUTED_VALUE"""),"(Chưa recheck)")</f>
        <v>(Chưa recheck)</v>
      </c>
      <c r="J241" s="265" t="str">
        <f>IFERROR(__xludf.DUMMYFUNCTION("""COMPUTED_VALUE"""),"GapOne")</f>
        <v>GapOne</v>
      </c>
    </row>
    <row r="242">
      <c r="A242" s="265" t="str">
        <f>IFERROR(__xludf.DUMMYFUNCTION("""COMPUTED_VALUE"""),"550")</f>
        <v>550</v>
      </c>
      <c r="B242" s="265" t="str">
        <f>IFERROR(__xludf.DUMMYFUNCTION("""COMPUTED_VALUE"""),"Sài Gòn")</f>
        <v>Sài Gòn</v>
      </c>
      <c r="C242" s="265" t="str">
        <f>IFERROR(__xludf.DUMMYFUNCTION("""COMPUTED_VALUE"""),"Locked")</f>
        <v>Locked</v>
      </c>
      <c r="D242" s="265" t="str">
        <f>IFERROR(__xludf.DUMMYFUNCTION("""COMPUTED_VALUE"""),"Sale chưa cung cấp")</f>
        <v>Sale chưa cung cấp</v>
      </c>
      <c r="E242" s="265" t="str">
        <f>IFERROR(__xludf.DUMMYFUNCTION("""COMPUTED_VALUE"""),"HoaNTM")</f>
        <v>HoaNTM</v>
      </c>
      <c r="F242" s="265" t="str">
        <f>IFERROR(__xludf.DUMMYFUNCTION("""COMPUTED_VALUE"""),"Sale chưa cung cấp")</f>
        <v>Sale chưa cung cấp</v>
      </c>
      <c r="G242" s="265" t="str">
        <f>IFERROR(__xludf.DUMMYFUNCTION("""COMPUTED_VALUE"""),"Enterprise")</f>
        <v>Enterprise</v>
      </c>
      <c r="H242" s="265" t="str">
        <f>IFERROR(__xludf.DUMMYFUNCTION("""COMPUTED_VALUE"""),"Trial")</f>
        <v>Trial</v>
      </c>
      <c r="I242" s="265" t="str">
        <f>IFERROR(__xludf.DUMMYFUNCTION("""COMPUTED_VALUE"""),"(Không recheck)")</f>
        <v>(Không recheck)</v>
      </c>
      <c r="J242" s="265" t="str">
        <f>IFERROR(__xludf.DUMMYFUNCTION("""COMPUTED_VALUE"""),"GapOne")</f>
        <v>GapOne</v>
      </c>
    </row>
    <row r="243">
      <c r="A243" s="265" t="str">
        <f>IFERROR(__xludf.DUMMYFUNCTION("""COMPUTED_VALUE"""),"554")</f>
        <v>554</v>
      </c>
      <c r="B243" s="265" t="str">
        <f>IFERROR(__xludf.DUMMYFUNCTION("""COMPUTED_VALUE"""),"Hà Nội")</f>
        <v>Hà Nội</v>
      </c>
      <c r="C243" s="265" t="str">
        <f>IFERROR(__xludf.DUMMYFUNCTION("""COMPUTED_VALUE"""),"Active")</f>
        <v>Active</v>
      </c>
      <c r="D243" s="265" t="str">
        <f>IFERROR(__xludf.DUMMYFUNCTION("""COMPUTED_VALUE"""),"Truyền thông &amp; Giải trí")</f>
        <v>Truyền thông &amp; Giải trí</v>
      </c>
      <c r="E243" s="265" t="str">
        <f>IFERROR(__xludf.DUMMYFUNCTION("""COMPUTED_VALUE"""),"TùngLD")</f>
        <v>TùngLD</v>
      </c>
      <c r="F243" s="265" t="str">
        <f>IFERROR(__xludf.DUMMYFUNCTION("""COMPUTED_VALUE"""),"Silver")</f>
        <v>Silver</v>
      </c>
      <c r="G243" s="265" t="str">
        <f>IFERROR(__xludf.DUMMYFUNCTION("""COMPUTED_VALUE"""),"Enterprise")</f>
        <v>Enterprise</v>
      </c>
      <c r="H243" s="265" t="str">
        <f>IFERROR(__xludf.DUMMYFUNCTION("""COMPUTED_VALUE"""),"Trả sau")</f>
        <v>Trả sau</v>
      </c>
      <c r="I243" s="265" t="str">
        <f>IFERROR(__xludf.DUMMYFUNCTION("""COMPUTED_VALUE"""),"API &amp; Portal")</f>
        <v>API &amp; Portal</v>
      </c>
      <c r="J243" s="265" t="str">
        <f>IFERROR(__xludf.DUMMYFUNCTION("""COMPUTED_VALUE"""),"SMS CSKH")</f>
        <v>SMS CSKH</v>
      </c>
    </row>
    <row r="244">
      <c r="A244" s="265" t="str">
        <f>IFERROR(__xludf.DUMMYFUNCTION("""COMPUTED_VALUE"""),"554")</f>
        <v>554</v>
      </c>
      <c r="B244" s="265" t="str">
        <f>IFERROR(__xludf.DUMMYFUNCTION("""COMPUTED_VALUE"""),"Hà Nội")</f>
        <v>Hà Nội</v>
      </c>
      <c r="C244" s="265" t="str">
        <f>IFERROR(__xludf.DUMMYFUNCTION("""COMPUTED_VALUE"""),"Active")</f>
        <v>Active</v>
      </c>
      <c r="D244" s="265" t="str">
        <f>IFERROR(__xludf.DUMMYFUNCTION("""COMPUTED_VALUE"""),"Truyền thông &amp; Giải trí")</f>
        <v>Truyền thông &amp; Giải trí</v>
      </c>
      <c r="E244" s="265" t="str">
        <f>IFERROR(__xludf.DUMMYFUNCTION("""COMPUTED_VALUE"""),"TùngLD")</f>
        <v>TùngLD</v>
      </c>
      <c r="F244" s="265" t="str">
        <f>IFERROR(__xludf.DUMMYFUNCTION("""COMPUTED_VALUE"""),"Silver")</f>
        <v>Silver</v>
      </c>
      <c r="G244" s="265" t="str">
        <f>IFERROR(__xludf.DUMMYFUNCTION("""COMPUTED_VALUE"""),"Enterprise")</f>
        <v>Enterprise</v>
      </c>
      <c r="H244" s="265" t="str">
        <f>IFERROR(__xludf.DUMMYFUNCTION("""COMPUTED_VALUE"""),"Trả sau")</f>
        <v>Trả sau</v>
      </c>
      <c r="I244" s="265" t="str">
        <f>IFERROR(__xludf.DUMMYFUNCTION("""COMPUTED_VALUE"""),"API &amp; Portal")</f>
        <v>API &amp; Portal</v>
      </c>
      <c r="J244" s="265" t="str">
        <f>IFERROR(__xludf.DUMMYFUNCTION("""COMPUTED_VALUE"""),"SMS QC")</f>
        <v>SMS QC</v>
      </c>
    </row>
    <row r="245">
      <c r="A245" s="265" t="str">
        <f>IFERROR(__xludf.DUMMYFUNCTION("""COMPUTED_VALUE"""),"554")</f>
        <v>554</v>
      </c>
      <c r="B245" s="265" t="str">
        <f>IFERROR(__xludf.DUMMYFUNCTION("""COMPUTED_VALUE"""),"Hà Nội")</f>
        <v>Hà Nội</v>
      </c>
      <c r="C245" s="265" t="str">
        <f>IFERROR(__xludf.DUMMYFUNCTION("""COMPUTED_VALUE"""),"Active")</f>
        <v>Active</v>
      </c>
      <c r="D245" s="265" t="str">
        <f>IFERROR(__xludf.DUMMYFUNCTION("""COMPUTED_VALUE"""),"Truyền thông &amp; Giải trí")</f>
        <v>Truyền thông &amp; Giải trí</v>
      </c>
      <c r="E245" s="265" t="str">
        <f>IFERROR(__xludf.DUMMYFUNCTION("""COMPUTED_VALUE"""),"TùngLD")</f>
        <v>TùngLD</v>
      </c>
      <c r="F245" s="265" t="str">
        <f>IFERROR(__xludf.DUMMYFUNCTION("""COMPUTED_VALUE"""),"Silver")</f>
        <v>Silver</v>
      </c>
      <c r="G245" s="265" t="str">
        <f>IFERROR(__xludf.DUMMYFUNCTION("""COMPUTED_VALUE"""),"Enterprise")</f>
        <v>Enterprise</v>
      </c>
      <c r="H245" s="265" t="str">
        <f>IFERROR(__xludf.DUMMYFUNCTION("""COMPUTED_VALUE"""),"Trả sau")</f>
        <v>Trả sau</v>
      </c>
      <c r="I245" s="265" t="str">
        <f>IFERROR(__xludf.DUMMYFUNCTION("""COMPUTED_VALUE"""),"API &amp; Portal")</f>
        <v>API &amp; Portal</v>
      </c>
      <c r="J245" s="265" t="str">
        <f>IFERROR(__xludf.DUMMYFUNCTION("""COMPUTED_VALUE"""),"Zalo ZNS")</f>
        <v>Zalo ZNS</v>
      </c>
    </row>
    <row r="246">
      <c r="A246" s="265" t="str">
        <f>IFERROR(__xludf.DUMMYFUNCTION("""COMPUTED_VALUE"""),"551")</f>
        <v>551</v>
      </c>
      <c r="B246" s="265" t="str">
        <f>IFERROR(__xludf.DUMMYFUNCTION("""COMPUTED_VALUE"""),"Sài Gòn")</f>
        <v>Sài Gòn</v>
      </c>
      <c r="C246" s="265" t="str">
        <f>IFERROR(__xludf.DUMMYFUNCTION("""COMPUTED_VALUE"""),"Locked")</f>
        <v>Locked</v>
      </c>
      <c r="D246" s="265" t="str">
        <f>IFERROR(__xludf.DUMMYFUNCTION("""COMPUTED_VALUE"""),"Sale chưa cung cấp")</f>
        <v>Sale chưa cung cấp</v>
      </c>
      <c r="E246" s="265" t="str">
        <f>IFERROR(__xludf.DUMMYFUNCTION("""COMPUTED_VALUE"""),"HoaNTM")</f>
        <v>HoaNTM</v>
      </c>
      <c r="F246" s="265" t="str">
        <f>IFERROR(__xludf.DUMMYFUNCTION("""COMPUTED_VALUE"""),"Sale chưa cung cấp")</f>
        <v>Sale chưa cung cấp</v>
      </c>
      <c r="G246" s="265" t="str">
        <f>IFERROR(__xludf.DUMMYFUNCTION("""COMPUTED_VALUE"""),"MSG")</f>
        <v>MSG</v>
      </c>
      <c r="H246" s="265" t="str">
        <f>IFERROR(__xludf.DUMMYFUNCTION("""COMPUTED_VALUE"""),"(Chưa recheck)")</f>
        <v>(Chưa recheck)</v>
      </c>
      <c r="I246" s="265" t="str">
        <f>IFERROR(__xludf.DUMMYFUNCTION("""COMPUTED_VALUE"""),"(Chưa recheck)")</f>
        <v>(Chưa recheck)</v>
      </c>
      <c r="J246" s="265" t="str">
        <f>IFERROR(__xludf.DUMMYFUNCTION("""COMPUTED_VALUE"""),"Zalo ZNS")</f>
        <v>Zalo ZNS</v>
      </c>
    </row>
    <row r="247">
      <c r="A247" s="265" t="str">
        <f>IFERROR(__xludf.DUMMYFUNCTION("""COMPUTED_VALUE"""),"552")</f>
        <v>552</v>
      </c>
      <c r="B247" s="265" t="str">
        <f>IFERROR(__xludf.DUMMYFUNCTION("""COMPUTED_VALUE"""),"Sài Gòn")</f>
        <v>Sài Gòn</v>
      </c>
      <c r="C247" s="265" t="str">
        <f>IFERROR(__xludf.DUMMYFUNCTION("""COMPUTED_VALUE"""),"Locked")</f>
        <v>Locked</v>
      </c>
      <c r="D247" s="265" t="str">
        <f>IFERROR(__xludf.DUMMYFUNCTION("""COMPUTED_VALUE"""),"Sale chưa cung cấp")</f>
        <v>Sale chưa cung cấp</v>
      </c>
      <c r="E247" s="265" t="str">
        <f>IFERROR(__xludf.DUMMYFUNCTION("""COMPUTED_VALUE"""),"HoaNTM")</f>
        <v>HoaNTM</v>
      </c>
      <c r="F247" s="265" t="str">
        <f>IFERROR(__xludf.DUMMYFUNCTION("""COMPUTED_VALUE"""),"Gold")</f>
        <v>Gold</v>
      </c>
      <c r="G247" s="265" t="str">
        <f>IFERROR(__xludf.DUMMYFUNCTION("""COMPUTED_VALUE"""),"Enterprise")</f>
        <v>Enterprise</v>
      </c>
      <c r="H247" s="265" t="str">
        <f>IFERROR(__xludf.DUMMYFUNCTION("""COMPUTED_VALUE"""),"Trả sau")</f>
        <v>Trả sau</v>
      </c>
      <c r="I247" s="265" t="str">
        <f>IFERROR(__xludf.DUMMYFUNCTION("""COMPUTED_VALUE"""),"(Chưa recheck)")</f>
        <v>(Chưa recheck)</v>
      </c>
      <c r="J247" s="265" t="str">
        <f>IFERROR(__xludf.DUMMYFUNCTION("""COMPUTED_VALUE"""),"GapOne")</f>
        <v>GapOne</v>
      </c>
    </row>
    <row r="248">
      <c r="A248" s="265" t="str">
        <f>IFERROR(__xludf.DUMMYFUNCTION("""COMPUTED_VALUE"""),"553")</f>
        <v>553</v>
      </c>
      <c r="B248" s="265" t="str">
        <f>IFERROR(__xludf.DUMMYFUNCTION("""COMPUTED_VALUE"""),"Sài Gòn")</f>
        <v>Sài Gòn</v>
      </c>
      <c r="C248" s="265" t="str">
        <f>IFERROR(__xludf.DUMMYFUNCTION("""COMPUTED_VALUE"""),"Locked")</f>
        <v>Locked</v>
      </c>
      <c r="D248" s="265" t="str">
        <f>IFERROR(__xludf.DUMMYFUNCTION("""COMPUTED_VALUE"""),"Sale chưa cung cấp")</f>
        <v>Sale chưa cung cấp</v>
      </c>
      <c r="E248" s="265" t="str">
        <f>IFERROR(__xludf.DUMMYFUNCTION("""COMPUTED_VALUE"""),"HoaNTM")</f>
        <v>HoaNTM</v>
      </c>
      <c r="F248" s="265" t="str">
        <f>IFERROR(__xludf.DUMMYFUNCTION("""COMPUTED_VALUE"""),"Sale chưa cung cấp")</f>
        <v>Sale chưa cung cấp</v>
      </c>
      <c r="G248" s="265" t="str">
        <f>IFERROR(__xludf.DUMMYFUNCTION("""COMPUTED_VALUE"""),"Enterprise")</f>
        <v>Enterprise</v>
      </c>
      <c r="H248" s="265" t="str">
        <f>IFERROR(__xludf.DUMMYFUNCTION("""COMPUTED_VALUE"""),"(Chưa recheck)")</f>
        <v>(Chưa recheck)</v>
      </c>
      <c r="I248" s="265" t="str">
        <f>IFERROR(__xludf.DUMMYFUNCTION("""COMPUTED_VALUE"""),"(Chưa recheck)")</f>
        <v>(Chưa recheck)</v>
      </c>
      <c r="J248" s="265" t="str">
        <f>IFERROR(__xludf.DUMMYFUNCTION("""COMPUTED_VALUE"""),"GapOne")</f>
        <v>GapOne</v>
      </c>
    </row>
    <row r="249">
      <c r="A249" s="265" t="str">
        <f>IFERROR(__xludf.DUMMYFUNCTION("""COMPUTED_VALUE"""),"555")</f>
        <v>555</v>
      </c>
      <c r="B249" s="265" t="str">
        <f>IFERROR(__xludf.DUMMYFUNCTION("""COMPUTED_VALUE"""),"Sài Gòn")</f>
        <v>Sài Gòn</v>
      </c>
      <c r="C249" s="265" t="str">
        <f>IFERROR(__xludf.DUMMYFUNCTION("""COMPUTED_VALUE"""),"Locked")</f>
        <v>Locked</v>
      </c>
      <c r="D249" s="265" t="str">
        <f>IFERROR(__xludf.DUMMYFUNCTION("""COMPUTED_VALUE"""),"Sale chưa cung cấp")</f>
        <v>Sale chưa cung cấp</v>
      </c>
      <c r="E249" s="265" t="str">
        <f>IFERROR(__xludf.DUMMYFUNCTION("""COMPUTED_VALUE"""),"HoaNTM")</f>
        <v>HoaNTM</v>
      </c>
      <c r="F249" s="265" t="str">
        <f>IFERROR(__xludf.DUMMYFUNCTION("""COMPUTED_VALUE"""),"Sale chưa cung cấp")</f>
        <v>Sale chưa cung cấp</v>
      </c>
      <c r="G249" s="265" t="str">
        <f>IFERROR(__xludf.DUMMYFUNCTION("""COMPUTED_VALUE"""),"MSG")</f>
        <v>MSG</v>
      </c>
      <c r="H249" s="265" t="str">
        <f>IFERROR(__xludf.DUMMYFUNCTION("""COMPUTED_VALUE"""),"(Chưa recheck)")</f>
        <v>(Chưa recheck)</v>
      </c>
      <c r="I249" s="265" t="str">
        <f>IFERROR(__xludf.DUMMYFUNCTION("""COMPUTED_VALUE"""),"(Chưa recheck)")</f>
        <v>(Chưa recheck)</v>
      </c>
      <c r="J249" s="265" t="str">
        <f>IFERROR(__xludf.DUMMYFUNCTION("""COMPUTED_VALUE"""),"Zalo ZNS")</f>
        <v>Zalo ZNS</v>
      </c>
    </row>
    <row r="250">
      <c r="A250" s="265" t="str">
        <f>IFERROR(__xludf.DUMMYFUNCTION("""COMPUTED_VALUE"""),"503")</f>
        <v>503</v>
      </c>
      <c r="B250" s="265" t="str">
        <f>IFERROR(__xludf.DUMMYFUNCTION("""COMPUTED_VALUE"""),"Hà Nội")</f>
        <v>Hà Nội</v>
      </c>
      <c r="C250" s="265" t="str">
        <f>IFERROR(__xludf.DUMMYFUNCTION("""COMPUTED_VALUE"""),"Locked")</f>
        <v>Locked</v>
      </c>
      <c r="D250" s="265" t="str">
        <f>IFERROR(__xludf.DUMMYFUNCTION("""COMPUTED_VALUE"""),"Sale chưa cung cấp")</f>
        <v>Sale chưa cung cấp</v>
      </c>
      <c r="E250" s="265" t="str">
        <f>IFERROR(__xludf.DUMMYFUNCTION("""COMPUTED_VALUE"""),"NamDT")</f>
        <v>NamDT</v>
      </c>
      <c r="F250" s="265" t="str">
        <f>IFERROR(__xludf.DUMMYFUNCTION("""COMPUTED_VALUE"""),"Sale chưa cung cấp")</f>
        <v>Sale chưa cung cấp</v>
      </c>
      <c r="G250" s="265" t="str">
        <f>IFERROR(__xludf.DUMMYFUNCTION("""COMPUTED_VALUE"""),"MSG")</f>
        <v>MSG</v>
      </c>
      <c r="H250" s="265" t="str">
        <f>IFERROR(__xludf.DUMMYFUNCTION("""COMPUTED_VALUE"""),"(Chưa recheck)")</f>
        <v>(Chưa recheck)</v>
      </c>
      <c r="I250" s="265" t="str">
        <f>IFERROR(__xludf.DUMMYFUNCTION("""COMPUTED_VALUE"""),"(Chưa recheck)")</f>
        <v>(Chưa recheck)</v>
      </c>
      <c r="J250" s="265" t="str">
        <f>IFERROR(__xludf.DUMMYFUNCTION("""COMPUTED_VALUE"""),"Zalo ZNS")</f>
        <v>Zalo ZNS</v>
      </c>
    </row>
    <row r="251">
      <c r="A251" s="265" t="str">
        <f>IFERROR(__xludf.DUMMYFUNCTION("""COMPUTED_VALUE"""),"557")</f>
        <v>557</v>
      </c>
      <c r="B251" s="265" t="str">
        <f>IFERROR(__xludf.DUMMYFUNCTION("""COMPUTED_VALUE"""),"Hà Nội")</f>
        <v>Hà Nội</v>
      </c>
      <c r="C251" s="265" t="str">
        <f>IFERROR(__xludf.DUMMYFUNCTION("""COMPUTED_VALUE"""),"Active")</f>
        <v>Active</v>
      </c>
      <c r="D251" s="265" t="str">
        <f>IFERROR(__xludf.DUMMYFUNCTION("""COMPUTED_VALUE"""),"Sale chưa cung cấp")</f>
        <v>Sale chưa cung cấp</v>
      </c>
      <c r="E251" s="265" t="str">
        <f>IFERROR(__xludf.DUMMYFUNCTION("""COMPUTED_VALUE"""),"AnhNM")</f>
        <v>AnhNM</v>
      </c>
      <c r="F251" s="265" t="str">
        <f>IFERROR(__xludf.DUMMYFUNCTION("""COMPUTED_VALUE"""),"Bronze")</f>
        <v>Bronze</v>
      </c>
      <c r="G251" s="265" t="str">
        <f>IFERROR(__xludf.DUMMYFUNCTION("""COMPUTED_VALUE"""),"Starter")</f>
        <v>Starter</v>
      </c>
      <c r="H251" s="265" t="str">
        <f>IFERROR(__xludf.DUMMYFUNCTION("""COMPUTED_VALUE"""),"Trả sau")</f>
        <v>Trả sau</v>
      </c>
      <c r="I251" s="265" t="str">
        <f>IFERROR(__xludf.DUMMYFUNCTION("""COMPUTED_VALUE"""),"API")</f>
        <v>API</v>
      </c>
      <c r="J251" s="265" t="str">
        <f>IFERROR(__xludf.DUMMYFUNCTION("""COMPUTED_VALUE"""),"Zalo ZNS")</f>
        <v>Zalo ZNS</v>
      </c>
    </row>
    <row r="252">
      <c r="A252" s="265" t="str">
        <f>IFERROR(__xludf.DUMMYFUNCTION("""COMPUTED_VALUE"""),"558")</f>
        <v>558</v>
      </c>
      <c r="B252" s="265" t="str">
        <f>IFERROR(__xludf.DUMMYFUNCTION("""COMPUTED_VALUE"""),"Sài Gòn")</f>
        <v>Sài Gòn</v>
      </c>
      <c r="C252" s="265" t="str">
        <f>IFERROR(__xludf.DUMMYFUNCTION("""COMPUTED_VALUE"""),"Active")</f>
        <v>Active</v>
      </c>
      <c r="D252" s="265" t="str">
        <f>IFERROR(__xludf.DUMMYFUNCTION("""COMPUTED_VALUE"""),"Dịch vụ khác")</f>
        <v>Dịch vụ khác</v>
      </c>
      <c r="E252" s="265" t="str">
        <f>IFERROR(__xludf.DUMMYFUNCTION("""COMPUTED_VALUE"""),"TúPHN")</f>
        <v>TúPHN</v>
      </c>
      <c r="F252" s="265" t="str">
        <f>IFERROR(__xludf.DUMMYFUNCTION("""COMPUTED_VALUE"""),"Silver")</f>
        <v>Silver</v>
      </c>
      <c r="G252" s="265" t="str">
        <f>IFERROR(__xludf.DUMMYFUNCTION("""COMPUTED_VALUE"""),"Enterprise")</f>
        <v>Enterprise</v>
      </c>
      <c r="H252" s="265" t="str">
        <f>IFERROR(__xludf.DUMMYFUNCTION("""COMPUTED_VALUE"""),"Trả sau")</f>
        <v>Trả sau</v>
      </c>
      <c r="I252" s="265" t="str">
        <f>IFERROR(__xludf.DUMMYFUNCTION("""COMPUTED_VALUE"""),"Portal")</f>
        <v>Portal</v>
      </c>
      <c r="J252" s="265" t="str">
        <f>IFERROR(__xludf.DUMMYFUNCTION("""COMPUTED_VALUE"""),"Zalo ZNS")</f>
        <v>Zalo ZNS</v>
      </c>
    </row>
    <row r="253">
      <c r="A253" s="265" t="str">
        <f>IFERROR(__xludf.DUMMYFUNCTION("""COMPUTED_VALUE"""),"556")</f>
        <v>556</v>
      </c>
      <c r="B253" s="265" t="str">
        <f>IFERROR(__xludf.DUMMYFUNCTION("""COMPUTED_VALUE"""),"Sài Gòn")</f>
        <v>Sài Gòn</v>
      </c>
      <c r="C253" s="265" t="str">
        <f>IFERROR(__xludf.DUMMYFUNCTION("""COMPUTED_VALUE"""),"Active")</f>
        <v>Active</v>
      </c>
      <c r="D253" s="265" t="str">
        <f>IFERROR(__xludf.DUMMYFUNCTION("""COMPUTED_VALUE"""),"Sale chưa cung cấp")</f>
        <v>Sale chưa cung cấp</v>
      </c>
      <c r="E253" s="265" t="str">
        <f>IFERROR(__xludf.DUMMYFUNCTION("""COMPUTED_VALUE"""),"TúPHN")</f>
        <v>TúPHN</v>
      </c>
      <c r="F253" s="265" t="str">
        <f>IFERROR(__xludf.DUMMYFUNCTION("""COMPUTED_VALUE"""),"Diamond")</f>
        <v>Diamond</v>
      </c>
      <c r="G253" s="265" t="str">
        <f>IFERROR(__xludf.DUMMYFUNCTION("""COMPUTED_VALUE"""),"Enterprise")</f>
        <v>Enterprise</v>
      </c>
      <c r="H253" s="265" t="str">
        <f>IFERROR(__xludf.DUMMYFUNCTION("""COMPUTED_VALUE"""),"Trả sau")</f>
        <v>Trả sau</v>
      </c>
      <c r="I253" s="265" t="str">
        <f>IFERROR(__xludf.DUMMYFUNCTION("""COMPUTED_VALUE"""),"Portal")</f>
        <v>Portal</v>
      </c>
      <c r="J253" s="265" t="str">
        <f>IFERROR(__xludf.DUMMYFUNCTION("""COMPUTED_VALUE"""),"Zalo ZNS")</f>
        <v>Zalo ZNS</v>
      </c>
    </row>
    <row r="254">
      <c r="A254" s="265" t="str">
        <f>IFERROR(__xludf.DUMMYFUNCTION("""COMPUTED_VALUE"""),"559")</f>
        <v>559</v>
      </c>
      <c r="B254" s="265" t="str">
        <f>IFERROR(__xludf.DUMMYFUNCTION("""COMPUTED_VALUE"""),"Hà Nội")</f>
        <v>Hà Nội</v>
      </c>
      <c r="C254" s="265" t="str">
        <f>IFERROR(__xludf.DUMMYFUNCTION("""COMPUTED_VALUE"""),"Active")</f>
        <v>Active</v>
      </c>
      <c r="D254" s="265" t="str">
        <f>IFERROR(__xludf.DUMMYFUNCTION("""COMPUTED_VALUE"""),"Sale chưa cung cấp")</f>
        <v>Sale chưa cung cấp</v>
      </c>
      <c r="E254" s="265" t="str">
        <f>IFERROR(__xludf.DUMMYFUNCTION("""COMPUTED_VALUE"""),"Không phân công")</f>
        <v>Không phân công</v>
      </c>
      <c r="F254" s="265" t="str">
        <f>IFERROR(__xludf.DUMMYFUNCTION("""COMPUTED_VALUE"""),"Bronze")</f>
        <v>Bronze</v>
      </c>
      <c r="G254" s="265" t="str">
        <f>IFERROR(__xludf.DUMMYFUNCTION("""COMPUTED_VALUE"""),"MSG")</f>
        <v>MSG</v>
      </c>
      <c r="H254" s="265" t="str">
        <f>IFERROR(__xludf.DUMMYFUNCTION("""COMPUTED_VALUE"""),"Trả sau")</f>
        <v>Trả sau</v>
      </c>
      <c r="I254" s="265" t="str">
        <f>IFERROR(__xludf.DUMMYFUNCTION("""COMPUTED_VALUE"""),"Portal")</f>
        <v>Portal</v>
      </c>
      <c r="J254" s="265" t="str">
        <f>IFERROR(__xludf.DUMMYFUNCTION("""COMPUTED_VALUE"""),"SMS CSKH")</f>
        <v>SMS CSKH</v>
      </c>
    </row>
    <row r="255">
      <c r="A255" s="265" t="str">
        <f>IFERROR(__xludf.DUMMYFUNCTION("""COMPUTED_VALUE"""),"560")</f>
        <v>560</v>
      </c>
      <c r="B255" s="265" t="str">
        <f>IFERROR(__xludf.DUMMYFUNCTION("""COMPUTED_VALUE"""),"Hà Nội")</f>
        <v>Hà Nội</v>
      </c>
      <c r="C255" s="265" t="str">
        <f>IFERROR(__xludf.DUMMYFUNCTION("""COMPUTED_VALUE"""),"Active")</f>
        <v>Active</v>
      </c>
      <c r="D255" s="265" t="str">
        <f>IFERROR(__xludf.DUMMYFUNCTION("""COMPUTED_VALUE"""),"Giáo dục &amp; Đào tạo")</f>
        <v>Giáo dục &amp; Đào tạo</v>
      </c>
      <c r="E255" s="265" t="str">
        <f>IFERROR(__xludf.DUMMYFUNCTION("""COMPUTED_VALUE"""),"Không phân công")</f>
        <v>Không phân công</v>
      </c>
      <c r="F255" s="265" t="str">
        <f>IFERROR(__xludf.DUMMYFUNCTION("""COMPUTED_VALUE"""),"Bronze")</f>
        <v>Bronze</v>
      </c>
      <c r="G255" s="265" t="str">
        <f>IFERROR(__xludf.DUMMYFUNCTION("""COMPUTED_VALUE"""),"Starter")</f>
        <v>Starter</v>
      </c>
      <c r="H255" s="265" t="str">
        <f>IFERROR(__xludf.DUMMYFUNCTION("""COMPUTED_VALUE"""),"Trả sau")</f>
        <v>Trả sau</v>
      </c>
      <c r="I255" s="265" t="str">
        <f>IFERROR(__xludf.DUMMYFUNCTION("""COMPUTED_VALUE"""),"API &amp; Portal")</f>
        <v>API &amp; Portal</v>
      </c>
      <c r="J255" s="265" t="str">
        <f>IFERROR(__xludf.DUMMYFUNCTION("""COMPUTED_VALUE"""),"SMS CSKH")</f>
        <v>SMS CSKH</v>
      </c>
    </row>
    <row r="256">
      <c r="A256" s="265" t="str">
        <f>IFERROR(__xludf.DUMMYFUNCTION("""COMPUTED_VALUE"""),"561")</f>
        <v>561</v>
      </c>
      <c r="B256" s="265" t="str">
        <f>IFERROR(__xludf.DUMMYFUNCTION("""COMPUTED_VALUE"""),"Hà Nội")</f>
        <v>Hà Nội</v>
      </c>
      <c r="C256" s="265" t="str">
        <f>IFERROR(__xludf.DUMMYFUNCTION("""COMPUTED_VALUE"""),"Locked")</f>
        <v>Locked</v>
      </c>
      <c r="D256" s="265" t="str">
        <f>IFERROR(__xludf.DUMMYFUNCTION("""COMPUTED_VALUE"""),"Sale chưa cung cấp")</f>
        <v>Sale chưa cung cấp</v>
      </c>
      <c r="E256" s="265" t="str">
        <f>IFERROR(__xludf.DUMMYFUNCTION("""COMPUTED_VALUE"""),"Không phân công")</f>
        <v>Không phân công</v>
      </c>
      <c r="F256" s="265" t="str">
        <f>IFERROR(__xludf.DUMMYFUNCTION("""COMPUTED_VALUE"""),"Bronze")</f>
        <v>Bronze</v>
      </c>
      <c r="G256" s="265" t="str">
        <f>IFERROR(__xludf.DUMMYFUNCTION("""COMPUTED_VALUE"""),"Starter")</f>
        <v>Starter</v>
      </c>
      <c r="H256" s="265" t="str">
        <f>IFERROR(__xludf.DUMMYFUNCTION("""COMPUTED_VALUE"""),"Trả sau")</f>
        <v>Trả sau</v>
      </c>
      <c r="I256" s="265" t="str">
        <f>IFERROR(__xludf.DUMMYFUNCTION("""COMPUTED_VALUE"""),"Portal")</f>
        <v>Portal</v>
      </c>
      <c r="J256" s="265" t="str">
        <f>IFERROR(__xludf.DUMMYFUNCTION("""COMPUTED_VALUE"""),"SMS CSKH")</f>
        <v>SMS CSKH</v>
      </c>
    </row>
    <row r="257">
      <c r="A257" s="265" t="str">
        <f>IFERROR(__xludf.DUMMYFUNCTION("""COMPUTED_VALUE"""),"564")</f>
        <v>564</v>
      </c>
      <c r="B257" s="265" t="str">
        <f>IFERROR(__xludf.DUMMYFUNCTION("""COMPUTED_VALUE"""),"Sài Gòn")</f>
        <v>Sài Gòn</v>
      </c>
      <c r="C257" s="265" t="str">
        <f>IFERROR(__xludf.DUMMYFUNCTION("""COMPUTED_VALUE"""),"Locked")</f>
        <v>Locked</v>
      </c>
      <c r="D257" s="265" t="str">
        <f>IFERROR(__xludf.DUMMYFUNCTION("""COMPUTED_VALUE"""),"Sale chưa cung cấp")</f>
        <v>Sale chưa cung cấp</v>
      </c>
      <c r="E257" s="265" t="str">
        <f>IFERROR(__xludf.DUMMYFUNCTION("""COMPUTED_VALUE"""),"HoaNTM")</f>
        <v>HoaNTM</v>
      </c>
      <c r="F257" s="265" t="str">
        <f>IFERROR(__xludf.DUMMYFUNCTION("""COMPUTED_VALUE"""),"Bronze")</f>
        <v>Bronze</v>
      </c>
      <c r="G257" s="265" t="str">
        <f>IFERROR(__xludf.DUMMYFUNCTION("""COMPUTED_VALUE"""),"Enterprise")</f>
        <v>Enterprise</v>
      </c>
      <c r="H257" s="265" t="str">
        <f>IFERROR(__xludf.DUMMYFUNCTION("""COMPUTED_VALUE"""),"(Chưa recheck)")</f>
        <v>(Chưa recheck)</v>
      </c>
      <c r="I257" s="265" t="str">
        <f>IFERROR(__xludf.DUMMYFUNCTION("""COMPUTED_VALUE"""),"(Chưa recheck)")</f>
        <v>(Chưa recheck)</v>
      </c>
      <c r="J257" s="265" t="str">
        <f>IFERROR(__xludf.DUMMYFUNCTION("""COMPUTED_VALUE"""),"GapOne")</f>
        <v>GapOne</v>
      </c>
    </row>
    <row r="258">
      <c r="A258" s="265" t="str">
        <f>IFERROR(__xludf.DUMMYFUNCTION("""COMPUTED_VALUE"""),"563")</f>
        <v>563</v>
      </c>
      <c r="B258" s="265" t="str">
        <f>IFERROR(__xludf.DUMMYFUNCTION("""COMPUTED_VALUE"""),"Hà Nội")</f>
        <v>Hà Nội</v>
      </c>
      <c r="C258" s="265" t="str">
        <f>IFERROR(__xludf.DUMMYFUNCTION("""COMPUTED_VALUE"""),"Locked")</f>
        <v>Locked</v>
      </c>
      <c r="D258" s="265" t="str">
        <f>IFERROR(__xludf.DUMMYFUNCTION("""COMPUTED_VALUE"""),"Sale chưa cung cấp")</f>
        <v>Sale chưa cung cấp</v>
      </c>
      <c r="E258" s="265" t="str">
        <f>IFERROR(__xludf.DUMMYFUNCTION("""COMPUTED_VALUE"""),"TùngLD")</f>
        <v>TùngLD</v>
      </c>
      <c r="F258" s="265" t="str">
        <f>IFERROR(__xludf.DUMMYFUNCTION("""COMPUTED_VALUE"""),"Sale chưa cung cấp")</f>
        <v>Sale chưa cung cấp</v>
      </c>
      <c r="G258" s="265" t="str">
        <f>IFERROR(__xludf.DUMMYFUNCTION("""COMPUTED_VALUE"""),"Enterprise")</f>
        <v>Enterprise</v>
      </c>
      <c r="H258" s="265" t="str">
        <f>IFERROR(__xludf.DUMMYFUNCTION("""COMPUTED_VALUE"""),"Trial")</f>
        <v>Trial</v>
      </c>
      <c r="I258" s="265" t="str">
        <f>IFERROR(__xludf.DUMMYFUNCTION("""COMPUTED_VALUE"""),"Portal")</f>
        <v>Portal</v>
      </c>
      <c r="J258" s="265" t="str">
        <f>IFERROR(__xludf.DUMMYFUNCTION("""COMPUTED_VALUE"""),"Tất cả")</f>
        <v>Tất cả</v>
      </c>
    </row>
    <row r="259">
      <c r="A259" s="265" t="str">
        <f>IFERROR(__xludf.DUMMYFUNCTION("""COMPUTED_VALUE"""),"562")</f>
        <v>562</v>
      </c>
      <c r="B259" s="265" t="str">
        <f>IFERROR(__xludf.DUMMYFUNCTION("""COMPUTED_VALUE"""),"Hà Nội")</f>
        <v>Hà Nội</v>
      </c>
      <c r="C259" s="265" t="str">
        <f>IFERROR(__xludf.DUMMYFUNCTION("""COMPUTED_VALUE"""),"Locked")</f>
        <v>Locked</v>
      </c>
      <c r="D259" s="265" t="str">
        <f>IFERROR(__xludf.DUMMYFUNCTION("""COMPUTED_VALUE"""),"Sale chưa cung cấp")</f>
        <v>Sale chưa cung cấp</v>
      </c>
      <c r="E259" s="265" t="str">
        <f>IFERROR(__xludf.DUMMYFUNCTION("""COMPUTED_VALUE"""),"HangNT")</f>
        <v>HangNT</v>
      </c>
      <c r="F259" s="265" t="str">
        <f>IFERROR(__xludf.DUMMYFUNCTION("""COMPUTED_VALUE"""),"Sale chưa cung cấp")</f>
        <v>Sale chưa cung cấp</v>
      </c>
      <c r="G259" s="265" t="str">
        <f>IFERROR(__xludf.DUMMYFUNCTION("""COMPUTED_VALUE"""),"MSG")</f>
        <v>MSG</v>
      </c>
      <c r="H259" s="265" t="str">
        <f>IFERROR(__xludf.DUMMYFUNCTION("""COMPUTED_VALUE"""),"(Chưa recheck)")</f>
        <v>(Chưa recheck)</v>
      </c>
      <c r="I259" s="265" t="str">
        <f>IFERROR(__xludf.DUMMYFUNCTION("""COMPUTED_VALUE"""),"(Chưa recheck)")</f>
        <v>(Chưa recheck)</v>
      </c>
      <c r="J259" s="265" t="str">
        <f>IFERROR(__xludf.DUMMYFUNCTION("""COMPUTED_VALUE"""),"SMS CSKH")</f>
        <v>SMS CSKH</v>
      </c>
    </row>
    <row r="260">
      <c r="A260" s="265" t="str">
        <f>IFERROR(__xludf.DUMMYFUNCTION("""COMPUTED_VALUE"""),"565")</f>
        <v>565</v>
      </c>
      <c r="B260" s="265" t="str">
        <f>IFERROR(__xludf.DUMMYFUNCTION("""COMPUTED_VALUE"""),"Hà Nội")</f>
        <v>Hà Nội</v>
      </c>
      <c r="C260" s="265" t="str">
        <f>IFERROR(__xludf.DUMMYFUNCTION("""COMPUTED_VALUE"""),"Locked")</f>
        <v>Locked</v>
      </c>
      <c r="D260" s="265" t="str">
        <f>IFERROR(__xludf.DUMMYFUNCTION("""COMPUTED_VALUE"""),"Sale chưa cung cấp")</f>
        <v>Sale chưa cung cấp</v>
      </c>
      <c r="E260" s="265" t="str">
        <f>IFERROR(__xludf.DUMMYFUNCTION("""COMPUTED_VALUE"""),"PhươngDTB")</f>
        <v>PhươngDTB</v>
      </c>
      <c r="F260" s="265" t="str">
        <f>IFERROR(__xludf.DUMMYFUNCTION("""COMPUTED_VALUE"""),"Silver")</f>
        <v>Silver</v>
      </c>
      <c r="G260" s="265" t="str">
        <f>IFERROR(__xludf.DUMMYFUNCTION("""COMPUTED_VALUE"""),"MSG")</f>
        <v>MSG</v>
      </c>
      <c r="H260" s="265" t="str">
        <f>IFERROR(__xludf.DUMMYFUNCTION("""COMPUTED_VALUE"""),"(Chưa recheck)")</f>
        <v>(Chưa recheck)</v>
      </c>
      <c r="I260" s="265" t="str">
        <f>IFERROR(__xludf.DUMMYFUNCTION("""COMPUTED_VALUE"""),"(Chưa recheck)")</f>
        <v>(Chưa recheck)</v>
      </c>
      <c r="J260" s="265" t="str">
        <f>IFERROR(__xludf.DUMMYFUNCTION("""COMPUTED_VALUE"""),"SMS CSKH")</f>
        <v>SMS CSKH</v>
      </c>
    </row>
    <row r="261">
      <c r="A261" s="265" t="str">
        <f>IFERROR(__xludf.DUMMYFUNCTION("""COMPUTED_VALUE"""),"566")</f>
        <v>566</v>
      </c>
      <c r="B261" s="265" t="str">
        <f>IFERROR(__xludf.DUMMYFUNCTION("""COMPUTED_VALUE"""),"Sài Gòn")</f>
        <v>Sài Gòn</v>
      </c>
      <c r="C261" s="265" t="str">
        <f>IFERROR(__xludf.DUMMYFUNCTION("""COMPUTED_VALUE"""),"Locked")</f>
        <v>Locked</v>
      </c>
      <c r="D261" s="265" t="str">
        <f>IFERROR(__xludf.DUMMYFUNCTION("""COMPUTED_VALUE"""),"Sale chưa cung cấp")</f>
        <v>Sale chưa cung cấp</v>
      </c>
      <c r="E261" s="265" t="str">
        <f>IFERROR(__xludf.DUMMYFUNCTION("""COMPUTED_VALUE"""),"HoaNTM")</f>
        <v>HoaNTM</v>
      </c>
      <c r="F261" s="265" t="str">
        <f>IFERROR(__xludf.DUMMYFUNCTION("""COMPUTED_VALUE"""),"Sale chưa cung cấp")</f>
        <v>Sale chưa cung cấp</v>
      </c>
      <c r="G261" s="265" t="str">
        <f>IFERROR(__xludf.DUMMYFUNCTION("""COMPUTED_VALUE"""),"Enterprise")</f>
        <v>Enterprise</v>
      </c>
      <c r="H261" s="265" t="str">
        <f>IFERROR(__xludf.DUMMYFUNCTION("""COMPUTED_VALUE"""),"(Chưa recheck)")</f>
        <v>(Chưa recheck)</v>
      </c>
      <c r="I261" s="265" t="str">
        <f>IFERROR(__xludf.DUMMYFUNCTION("""COMPUTED_VALUE"""),"(Chưa recheck)")</f>
        <v>(Chưa recheck)</v>
      </c>
      <c r="J261" s="265" t="str">
        <f>IFERROR(__xludf.DUMMYFUNCTION("""COMPUTED_VALUE"""),"GapOne")</f>
        <v>GapOne</v>
      </c>
    </row>
    <row r="262">
      <c r="A262" s="265" t="str">
        <f>IFERROR(__xludf.DUMMYFUNCTION("""COMPUTED_VALUE"""),"567")</f>
        <v>567</v>
      </c>
      <c r="B262" s="265" t="str">
        <f>IFERROR(__xludf.DUMMYFUNCTION("""COMPUTED_VALUE"""),"Hà Nội")</f>
        <v>Hà Nội</v>
      </c>
      <c r="C262" s="265" t="str">
        <f>IFERROR(__xludf.DUMMYFUNCTION("""COMPUTED_VALUE"""),"Locked")</f>
        <v>Locked</v>
      </c>
      <c r="D262" s="265" t="str">
        <f>IFERROR(__xludf.DUMMYFUNCTION("""COMPUTED_VALUE"""),"Sale chưa cung cấp")</f>
        <v>Sale chưa cung cấp</v>
      </c>
      <c r="E262" s="265" t="str">
        <f>IFERROR(__xludf.DUMMYFUNCTION("""COMPUTED_VALUE"""),"PhươngDTB")</f>
        <v>PhươngDTB</v>
      </c>
      <c r="F262" s="265" t="str">
        <f>IFERROR(__xludf.DUMMYFUNCTION("""COMPUTED_VALUE"""),"Sale chưa cung cấp")</f>
        <v>Sale chưa cung cấp</v>
      </c>
      <c r="G262" s="265" t="str">
        <f>IFERROR(__xludf.DUMMYFUNCTION("""COMPUTED_VALUE"""),"MSG")</f>
        <v>MSG</v>
      </c>
      <c r="H262" s="265" t="str">
        <f>IFERROR(__xludf.DUMMYFUNCTION("""COMPUTED_VALUE"""),"(Chưa recheck)")</f>
        <v>(Chưa recheck)</v>
      </c>
      <c r="I262" s="265" t="str">
        <f>IFERROR(__xludf.DUMMYFUNCTION("""COMPUTED_VALUE"""),"(Chưa recheck)")</f>
        <v>(Chưa recheck)</v>
      </c>
      <c r="J262" s="265" t="str">
        <f>IFERROR(__xludf.DUMMYFUNCTION("""COMPUTED_VALUE"""),"SMS CSKH")</f>
        <v>SMS CSKH</v>
      </c>
    </row>
    <row r="263">
      <c r="A263" s="265" t="str">
        <f>IFERROR(__xludf.DUMMYFUNCTION("""COMPUTED_VALUE"""),"568")</f>
        <v>568</v>
      </c>
      <c r="B263" s="265" t="str">
        <f>IFERROR(__xludf.DUMMYFUNCTION("""COMPUTED_VALUE"""),"Hà Nội")</f>
        <v>Hà Nội</v>
      </c>
      <c r="C263" s="265" t="str">
        <f>IFERROR(__xludf.DUMMYFUNCTION("""COMPUTED_VALUE"""),"Locked")</f>
        <v>Locked</v>
      </c>
      <c r="D263" s="265" t="str">
        <f>IFERROR(__xludf.DUMMYFUNCTION("""COMPUTED_VALUE"""),"Sale chưa cung cấp")</f>
        <v>Sale chưa cung cấp</v>
      </c>
      <c r="E263" s="265" t="str">
        <f>IFERROR(__xludf.DUMMYFUNCTION("""COMPUTED_VALUE"""),"PhươngDTB")</f>
        <v>PhươngDTB</v>
      </c>
      <c r="F263" s="265" t="str">
        <f>IFERROR(__xludf.DUMMYFUNCTION("""COMPUTED_VALUE"""),"Sale chưa cung cấp")</f>
        <v>Sale chưa cung cấp</v>
      </c>
      <c r="G263" s="265" t="str">
        <f>IFERROR(__xludf.DUMMYFUNCTION("""COMPUTED_VALUE"""),"MSG")</f>
        <v>MSG</v>
      </c>
      <c r="H263" s="265" t="str">
        <f>IFERROR(__xludf.DUMMYFUNCTION("""COMPUTED_VALUE"""),"(Chưa recheck)")</f>
        <v>(Chưa recheck)</v>
      </c>
      <c r="I263" s="265" t="str">
        <f>IFERROR(__xludf.DUMMYFUNCTION("""COMPUTED_VALUE"""),"(Chưa recheck)")</f>
        <v>(Chưa recheck)</v>
      </c>
      <c r="J263" s="265" t="str">
        <f>IFERROR(__xludf.DUMMYFUNCTION("""COMPUTED_VALUE"""),"SMS CSKH")</f>
        <v>SMS CSKH</v>
      </c>
    </row>
    <row r="264">
      <c r="A264" s="265" t="str">
        <f>IFERROR(__xludf.DUMMYFUNCTION("""COMPUTED_VALUE"""),"569")</f>
        <v>569</v>
      </c>
      <c r="B264" s="265" t="str">
        <f>IFERROR(__xludf.DUMMYFUNCTION("""COMPUTED_VALUE"""),"Sài Gòn")</f>
        <v>Sài Gòn</v>
      </c>
      <c r="C264" s="265" t="str">
        <f>IFERROR(__xludf.DUMMYFUNCTION("""COMPUTED_VALUE"""),"Locked")</f>
        <v>Locked</v>
      </c>
      <c r="D264" s="265" t="str">
        <f>IFERROR(__xludf.DUMMYFUNCTION("""COMPUTED_VALUE"""),"Sale chưa cung cấp")</f>
        <v>Sale chưa cung cấp</v>
      </c>
      <c r="E264" s="265" t="str">
        <f>IFERROR(__xludf.DUMMYFUNCTION("""COMPUTED_VALUE"""),"HoaNTM")</f>
        <v>HoaNTM</v>
      </c>
      <c r="F264" s="265" t="str">
        <f>IFERROR(__xludf.DUMMYFUNCTION("""COMPUTED_VALUE"""),"Sale chưa cung cấp")</f>
        <v>Sale chưa cung cấp</v>
      </c>
      <c r="G264" s="265" t="str">
        <f>IFERROR(__xludf.DUMMYFUNCTION("""COMPUTED_VALUE"""),"API")</f>
        <v>API</v>
      </c>
      <c r="H264" s="265" t="str">
        <f>IFERROR(__xludf.DUMMYFUNCTION("""COMPUTED_VALUE"""),"(Chưa recheck)")</f>
        <v>(Chưa recheck)</v>
      </c>
      <c r="I264" s="265" t="str">
        <f>IFERROR(__xludf.DUMMYFUNCTION("""COMPUTED_VALUE"""),"(Chưa recheck)")</f>
        <v>(Chưa recheck)</v>
      </c>
      <c r="J264" s="265" t="str">
        <f>IFERROR(__xludf.DUMMYFUNCTION("""COMPUTED_VALUE"""),"GapOne")</f>
        <v>GapOne</v>
      </c>
    </row>
    <row r="265">
      <c r="A265" s="265" t="str">
        <f>IFERROR(__xludf.DUMMYFUNCTION("""COMPUTED_VALUE"""),"574")</f>
        <v>574</v>
      </c>
      <c r="B265" s="265" t="str">
        <f>IFERROR(__xludf.DUMMYFUNCTION("""COMPUTED_VALUE"""),"Hà Nội")</f>
        <v>Hà Nội</v>
      </c>
      <c r="C265" s="265" t="str">
        <f>IFERROR(__xludf.DUMMYFUNCTION("""COMPUTED_VALUE"""),"Locked")</f>
        <v>Locked</v>
      </c>
      <c r="D265" s="265" t="str">
        <f>IFERROR(__xludf.DUMMYFUNCTION("""COMPUTED_VALUE"""),"Sale chưa cung cấp")</f>
        <v>Sale chưa cung cấp</v>
      </c>
      <c r="E265" s="265" t="str">
        <f>IFERROR(__xludf.DUMMYFUNCTION("""COMPUTED_VALUE"""),"TùngLD")</f>
        <v>TùngLD</v>
      </c>
      <c r="F265" s="265" t="str">
        <f>IFERROR(__xludf.DUMMYFUNCTION("""COMPUTED_VALUE"""),"Sale chưa cung cấp")</f>
        <v>Sale chưa cung cấp</v>
      </c>
      <c r="G265" s="265" t="str">
        <f>IFERROR(__xludf.DUMMYFUNCTION("""COMPUTED_VALUE"""),"MSG")</f>
        <v>MSG</v>
      </c>
      <c r="H265" s="265" t="str">
        <f>IFERROR(__xludf.DUMMYFUNCTION("""COMPUTED_VALUE"""),"Trả sau")</f>
        <v>Trả sau</v>
      </c>
      <c r="I265" s="265" t="str">
        <f>IFERROR(__xludf.DUMMYFUNCTION("""COMPUTED_VALUE"""),"Portal")</f>
        <v>Portal</v>
      </c>
      <c r="J265" s="265" t="str">
        <f>IFERROR(__xludf.DUMMYFUNCTION("""COMPUTED_VALUE"""),"Zalo ZNS")</f>
        <v>Zalo ZNS</v>
      </c>
    </row>
    <row r="266">
      <c r="A266" s="265" t="str">
        <f>IFERROR(__xludf.DUMMYFUNCTION("""COMPUTED_VALUE"""),"572")</f>
        <v>572</v>
      </c>
      <c r="B266" s="265" t="str">
        <f>IFERROR(__xludf.DUMMYFUNCTION("""COMPUTED_VALUE"""),"Hà Nội")</f>
        <v>Hà Nội</v>
      </c>
      <c r="C266" s="265" t="str">
        <f>IFERROR(__xludf.DUMMYFUNCTION("""COMPUTED_VALUE"""),"Active")</f>
        <v>Active</v>
      </c>
      <c r="D266" s="265" t="str">
        <f>IFERROR(__xludf.DUMMYFUNCTION("""COMPUTED_VALUE"""),"Trang sức")</f>
        <v>Trang sức</v>
      </c>
      <c r="E266" s="265" t="str">
        <f>IFERROR(__xludf.DUMMYFUNCTION("""COMPUTED_VALUE"""),"AnhNM")</f>
        <v>AnhNM</v>
      </c>
      <c r="F266" s="265" t="str">
        <f>IFERROR(__xludf.DUMMYFUNCTION("""COMPUTED_VALUE"""),"Gold")</f>
        <v>Gold</v>
      </c>
      <c r="G266" s="265" t="str">
        <f>IFERROR(__xludf.DUMMYFUNCTION("""COMPUTED_VALUE"""),"Starter")</f>
        <v>Starter</v>
      </c>
      <c r="H266" s="265" t="str">
        <f>IFERROR(__xludf.DUMMYFUNCTION("""COMPUTED_VALUE"""),"Trả sau")</f>
        <v>Trả sau</v>
      </c>
      <c r="I266" s="265" t="str">
        <f>IFERROR(__xludf.DUMMYFUNCTION("""COMPUTED_VALUE"""),"API &amp; Portal")</f>
        <v>API &amp; Portal</v>
      </c>
      <c r="J266" s="265" t="str">
        <f>IFERROR(__xludf.DUMMYFUNCTION("""COMPUTED_VALUE"""),"SMS CSKH")</f>
        <v>SMS CSKH</v>
      </c>
    </row>
    <row r="267">
      <c r="A267" s="265" t="str">
        <f>IFERROR(__xludf.DUMMYFUNCTION("""COMPUTED_VALUE"""),"570")</f>
        <v>570</v>
      </c>
      <c r="B267" s="265" t="str">
        <f>IFERROR(__xludf.DUMMYFUNCTION("""COMPUTED_VALUE"""),"Sài Gòn")</f>
        <v>Sài Gòn</v>
      </c>
      <c r="C267" s="265" t="str">
        <f>IFERROR(__xludf.DUMMYFUNCTION("""COMPUTED_VALUE"""),"Locked")</f>
        <v>Locked</v>
      </c>
      <c r="D267" s="265" t="str">
        <f>IFERROR(__xludf.DUMMYFUNCTION("""COMPUTED_VALUE"""),"Sale chưa cung cấp")</f>
        <v>Sale chưa cung cấp</v>
      </c>
      <c r="E267" s="265" t="str">
        <f>IFERROR(__xludf.DUMMYFUNCTION("""COMPUTED_VALUE"""),"HoaNTM")</f>
        <v>HoaNTM</v>
      </c>
      <c r="F267" s="265" t="str">
        <f>IFERROR(__xludf.DUMMYFUNCTION("""COMPUTED_VALUE"""),"Sale chưa cung cấp")</f>
        <v>Sale chưa cung cấp</v>
      </c>
      <c r="G267" s="265" t="str">
        <f>IFERROR(__xludf.DUMMYFUNCTION("""COMPUTED_VALUE"""),"Enterprise")</f>
        <v>Enterprise</v>
      </c>
      <c r="H267" s="265" t="str">
        <f>IFERROR(__xludf.DUMMYFUNCTION("""COMPUTED_VALUE"""),"(Chưa recheck)")</f>
        <v>(Chưa recheck)</v>
      </c>
      <c r="I267" s="265" t="str">
        <f>IFERROR(__xludf.DUMMYFUNCTION("""COMPUTED_VALUE"""),"(Chưa recheck)")</f>
        <v>(Chưa recheck)</v>
      </c>
      <c r="J267" s="265" t="str">
        <f>IFERROR(__xludf.DUMMYFUNCTION("""COMPUTED_VALUE"""),"GapOne")</f>
        <v>GapOne</v>
      </c>
    </row>
    <row r="268">
      <c r="A268" s="265" t="str">
        <f>IFERROR(__xludf.DUMMYFUNCTION("""COMPUTED_VALUE"""),"571")</f>
        <v>571</v>
      </c>
      <c r="B268" s="265" t="str">
        <f>IFERROR(__xludf.DUMMYFUNCTION("""COMPUTED_VALUE"""),"Sài Gòn")</f>
        <v>Sài Gòn</v>
      </c>
      <c r="C268" s="265" t="str">
        <f>IFERROR(__xludf.DUMMYFUNCTION("""COMPUTED_VALUE"""),"Locked")</f>
        <v>Locked</v>
      </c>
      <c r="D268" s="265" t="str">
        <f>IFERROR(__xludf.DUMMYFUNCTION("""COMPUTED_VALUE"""),"Sale chưa cung cấp")</f>
        <v>Sale chưa cung cấp</v>
      </c>
      <c r="E268" s="265" t="str">
        <f>IFERROR(__xludf.DUMMYFUNCTION("""COMPUTED_VALUE"""),"HoaNTM")</f>
        <v>HoaNTM</v>
      </c>
      <c r="F268" s="265" t="str">
        <f>IFERROR(__xludf.DUMMYFUNCTION("""COMPUTED_VALUE"""),"Bronze")</f>
        <v>Bronze</v>
      </c>
      <c r="G268" s="265" t="str">
        <f>IFERROR(__xludf.DUMMYFUNCTION("""COMPUTED_VALUE"""),"Enterprise")</f>
        <v>Enterprise</v>
      </c>
      <c r="H268" s="265" t="str">
        <f>IFERROR(__xludf.DUMMYFUNCTION("""COMPUTED_VALUE"""),"(Chưa recheck)")</f>
        <v>(Chưa recheck)</v>
      </c>
      <c r="I268" s="265" t="str">
        <f>IFERROR(__xludf.DUMMYFUNCTION("""COMPUTED_VALUE"""),"(Chưa recheck)")</f>
        <v>(Chưa recheck)</v>
      </c>
      <c r="J268" s="265" t="str">
        <f>IFERROR(__xludf.DUMMYFUNCTION("""COMPUTED_VALUE"""),"GapOne")</f>
        <v>GapOne</v>
      </c>
    </row>
    <row r="269">
      <c r="A269" s="265" t="str">
        <f>IFERROR(__xludf.DUMMYFUNCTION("""COMPUTED_VALUE"""),"573")</f>
        <v>573</v>
      </c>
      <c r="B269" s="265" t="str">
        <f>IFERROR(__xludf.DUMMYFUNCTION("""COMPUTED_VALUE"""),"Hà Nội")</f>
        <v>Hà Nội</v>
      </c>
      <c r="C269" s="265" t="str">
        <f>IFERROR(__xludf.DUMMYFUNCTION("""COMPUTED_VALUE"""),"Locked")</f>
        <v>Locked</v>
      </c>
      <c r="D269" s="265" t="str">
        <f>IFERROR(__xludf.DUMMYFUNCTION("""COMPUTED_VALUE"""),"Sale chưa cung cấp")</f>
        <v>Sale chưa cung cấp</v>
      </c>
      <c r="E269" s="265" t="str">
        <f>IFERROR(__xludf.DUMMYFUNCTION("""COMPUTED_VALUE"""),"TùngLD")</f>
        <v>TùngLD</v>
      </c>
      <c r="F269" s="265" t="str">
        <f>IFERROR(__xludf.DUMMYFUNCTION("""COMPUTED_VALUE"""),"Sale chưa cung cấp")</f>
        <v>Sale chưa cung cấp</v>
      </c>
      <c r="G269" s="265" t="str">
        <f>IFERROR(__xludf.DUMMYFUNCTION("""COMPUTED_VALUE"""),"API")</f>
        <v>API</v>
      </c>
      <c r="H269" s="265" t="str">
        <f>IFERROR(__xludf.DUMMYFUNCTION("""COMPUTED_VALUE"""),"Trial")</f>
        <v>Trial</v>
      </c>
      <c r="I269" s="265" t="str">
        <f>IFERROR(__xludf.DUMMYFUNCTION("""COMPUTED_VALUE"""),"API")</f>
        <v>API</v>
      </c>
      <c r="J269" s="265" t="str">
        <f>IFERROR(__xludf.DUMMYFUNCTION("""COMPUTED_VALUE"""),"SMS CSKH")</f>
        <v>SMS CSKH</v>
      </c>
    </row>
    <row r="270">
      <c r="A270" s="265" t="str">
        <f>IFERROR(__xludf.DUMMYFUNCTION("""COMPUTED_VALUE"""),"573")</f>
        <v>573</v>
      </c>
      <c r="B270" s="265" t="str">
        <f>IFERROR(__xludf.DUMMYFUNCTION("""COMPUTED_VALUE"""),"Hà Nội")</f>
        <v>Hà Nội</v>
      </c>
      <c r="C270" s="265" t="str">
        <f>IFERROR(__xludf.DUMMYFUNCTION("""COMPUTED_VALUE"""),"Locked")</f>
        <v>Locked</v>
      </c>
      <c r="D270" s="265" t="str">
        <f>IFERROR(__xludf.DUMMYFUNCTION("""COMPUTED_VALUE"""),"Sale chưa cung cấp")</f>
        <v>Sale chưa cung cấp</v>
      </c>
      <c r="E270" s="265" t="str">
        <f>IFERROR(__xludf.DUMMYFUNCTION("""COMPUTED_VALUE"""),"TùngLD")</f>
        <v>TùngLD</v>
      </c>
      <c r="F270" s="265" t="str">
        <f>IFERROR(__xludf.DUMMYFUNCTION("""COMPUTED_VALUE"""),"Sale chưa cung cấp")</f>
        <v>Sale chưa cung cấp</v>
      </c>
      <c r="G270" s="265" t="str">
        <f>IFERROR(__xludf.DUMMYFUNCTION("""COMPUTED_VALUE"""),"API")</f>
        <v>API</v>
      </c>
      <c r="H270" s="265" t="str">
        <f>IFERROR(__xludf.DUMMYFUNCTION("""COMPUTED_VALUE"""),"Trial")</f>
        <v>Trial</v>
      </c>
      <c r="I270" s="265" t="str">
        <f>IFERROR(__xludf.DUMMYFUNCTION("""COMPUTED_VALUE"""),"API")</f>
        <v>API</v>
      </c>
      <c r="J270" s="265" t="str">
        <f>IFERROR(__xludf.DUMMYFUNCTION("""COMPUTED_VALUE"""),"Zalo ZNS")</f>
        <v>Zalo ZNS</v>
      </c>
    </row>
    <row r="271">
      <c r="A271" s="265" t="str">
        <f>IFERROR(__xludf.DUMMYFUNCTION("""COMPUTED_VALUE"""),"575")</f>
        <v>575</v>
      </c>
      <c r="B271" s="265" t="str">
        <f>IFERROR(__xludf.DUMMYFUNCTION("""COMPUTED_VALUE"""),"Sài Gòn")</f>
        <v>Sài Gòn</v>
      </c>
      <c r="C271" s="265" t="str">
        <f>IFERROR(__xludf.DUMMYFUNCTION("""COMPUTED_VALUE"""),"Locked")</f>
        <v>Locked</v>
      </c>
      <c r="D271" s="265" t="str">
        <f>IFERROR(__xludf.DUMMYFUNCTION("""COMPUTED_VALUE"""),"Sale chưa cung cấp")</f>
        <v>Sale chưa cung cấp</v>
      </c>
      <c r="E271" s="265" t="str">
        <f>IFERROR(__xludf.DUMMYFUNCTION("""COMPUTED_VALUE"""),"HoaNTM")</f>
        <v>HoaNTM</v>
      </c>
      <c r="F271" s="265" t="str">
        <f>IFERROR(__xludf.DUMMYFUNCTION("""COMPUTED_VALUE"""),"Diamond")</f>
        <v>Diamond</v>
      </c>
      <c r="G271" s="265" t="str">
        <f>IFERROR(__xludf.DUMMYFUNCTION("""COMPUTED_VALUE"""),"MSG")</f>
        <v>MSG</v>
      </c>
      <c r="H271" s="265" t="str">
        <f>IFERROR(__xludf.DUMMYFUNCTION("""COMPUTED_VALUE"""),"Trả sau")</f>
        <v>Trả sau</v>
      </c>
      <c r="I271" s="265" t="str">
        <f>IFERROR(__xludf.DUMMYFUNCTION("""COMPUTED_VALUE"""),"(Chưa recheck)")</f>
        <v>(Chưa recheck)</v>
      </c>
      <c r="J271" s="265" t="str">
        <f>IFERROR(__xludf.DUMMYFUNCTION("""COMPUTED_VALUE"""),"GapOne")</f>
        <v>GapOne</v>
      </c>
    </row>
    <row r="272">
      <c r="A272" s="265" t="str">
        <f>IFERROR(__xludf.DUMMYFUNCTION("""COMPUTED_VALUE"""),"576")</f>
        <v>576</v>
      </c>
      <c r="B272" s="265" t="str">
        <f>IFERROR(__xludf.DUMMYFUNCTION("""COMPUTED_VALUE"""),"Sài Gòn")</f>
        <v>Sài Gòn</v>
      </c>
      <c r="C272" s="265" t="str">
        <f>IFERROR(__xludf.DUMMYFUNCTION("""COMPUTED_VALUE"""),"Active")</f>
        <v>Active</v>
      </c>
      <c r="D272" s="265" t="str">
        <f>IFERROR(__xludf.DUMMYFUNCTION("""COMPUTED_VALUE"""),"Sale chưa cung cấp")</f>
        <v>Sale chưa cung cấp</v>
      </c>
      <c r="E272" s="265" t="str">
        <f>IFERROR(__xludf.DUMMYFUNCTION("""COMPUTED_VALUE"""),"Không phân công")</f>
        <v>Không phân công</v>
      </c>
      <c r="F272" s="265" t="str">
        <f>IFERROR(__xludf.DUMMYFUNCTION("""COMPUTED_VALUE"""),"Gold")</f>
        <v>Gold</v>
      </c>
      <c r="G272" s="265" t="str">
        <f>IFERROR(__xludf.DUMMYFUNCTION("""COMPUTED_VALUE"""),"Starter")</f>
        <v>Starter</v>
      </c>
      <c r="H272" s="265" t="str">
        <f>IFERROR(__xludf.DUMMYFUNCTION("""COMPUTED_VALUE"""),"Trả sau")</f>
        <v>Trả sau</v>
      </c>
      <c r="I272" s="265" t="str">
        <f>IFERROR(__xludf.DUMMYFUNCTION("""COMPUTED_VALUE"""),"API")</f>
        <v>API</v>
      </c>
      <c r="J272" s="265" t="str">
        <f>IFERROR(__xludf.DUMMYFUNCTION("""COMPUTED_VALUE"""),"SMS CSKH")</f>
        <v>SMS CSKH</v>
      </c>
    </row>
    <row r="273">
      <c r="A273" s="265" t="str">
        <f>IFERROR(__xludf.DUMMYFUNCTION("""COMPUTED_VALUE"""),"577")</f>
        <v>577</v>
      </c>
      <c r="B273" s="265" t="str">
        <f>IFERROR(__xludf.DUMMYFUNCTION("""COMPUTED_VALUE"""),"Hà Nội")</f>
        <v>Hà Nội</v>
      </c>
      <c r="C273" s="265" t="str">
        <f>IFERROR(__xludf.DUMMYFUNCTION("""COMPUTED_VALUE"""),"Locked")</f>
        <v>Locked</v>
      </c>
      <c r="D273" s="265" t="str">
        <f>IFERROR(__xludf.DUMMYFUNCTION("""COMPUTED_VALUE"""),"Sale chưa cung cấp")</f>
        <v>Sale chưa cung cấp</v>
      </c>
      <c r="E273" s="265" t="str">
        <f>IFERROR(__xludf.DUMMYFUNCTION("""COMPUTED_VALUE"""),"HangNT")</f>
        <v>HangNT</v>
      </c>
      <c r="F273" s="265" t="str">
        <f>IFERROR(__xludf.DUMMYFUNCTION("""COMPUTED_VALUE"""),"Bronze")</f>
        <v>Bronze</v>
      </c>
      <c r="G273" s="265" t="str">
        <f>IFERROR(__xludf.DUMMYFUNCTION("""COMPUTED_VALUE"""),"Enterprise")</f>
        <v>Enterprise</v>
      </c>
      <c r="H273" s="265" t="str">
        <f>IFERROR(__xludf.DUMMYFUNCTION("""COMPUTED_VALUE"""),"(Chưa recheck)")</f>
        <v>(Chưa recheck)</v>
      </c>
      <c r="I273" s="265" t="str">
        <f>IFERROR(__xludf.DUMMYFUNCTION("""COMPUTED_VALUE"""),"(Chưa recheck)")</f>
        <v>(Chưa recheck)</v>
      </c>
      <c r="J273" s="265" t="str">
        <f>IFERROR(__xludf.DUMMYFUNCTION("""COMPUTED_VALUE"""),"Zalo ZNS")</f>
        <v>Zalo ZNS</v>
      </c>
    </row>
    <row r="274">
      <c r="A274" s="265" t="str">
        <f>IFERROR(__xludf.DUMMYFUNCTION("""COMPUTED_VALUE"""),"578")</f>
        <v>578</v>
      </c>
      <c r="B274" s="265" t="str">
        <f>IFERROR(__xludf.DUMMYFUNCTION("""COMPUTED_VALUE"""),"Sài Gòn")</f>
        <v>Sài Gòn</v>
      </c>
      <c r="C274" s="265" t="str">
        <f>IFERROR(__xludf.DUMMYFUNCTION("""COMPUTED_VALUE"""),"Locked")</f>
        <v>Locked</v>
      </c>
      <c r="D274" s="265" t="str">
        <f>IFERROR(__xludf.DUMMYFUNCTION("""COMPUTED_VALUE"""),"Sale chưa cung cấp")</f>
        <v>Sale chưa cung cấp</v>
      </c>
      <c r="E274" s="265" t="str">
        <f>IFERROR(__xludf.DUMMYFUNCTION("""COMPUTED_VALUE"""),"HoaNTM")</f>
        <v>HoaNTM</v>
      </c>
      <c r="F274" s="265" t="str">
        <f>IFERROR(__xludf.DUMMYFUNCTION("""COMPUTED_VALUE"""),"Sale chưa cung cấp")</f>
        <v>Sale chưa cung cấp</v>
      </c>
      <c r="G274" s="265" t="str">
        <f>IFERROR(__xludf.DUMMYFUNCTION("""COMPUTED_VALUE"""),"Enterprise")</f>
        <v>Enterprise</v>
      </c>
      <c r="H274" s="265" t="str">
        <f>IFERROR(__xludf.DUMMYFUNCTION("""COMPUTED_VALUE"""),"Trial")</f>
        <v>Trial</v>
      </c>
      <c r="I274" s="265" t="str">
        <f>IFERROR(__xludf.DUMMYFUNCTION("""COMPUTED_VALUE"""),"(Chưa recheck)")</f>
        <v>(Chưa recheck)</v>
      </c>
      <c r="J274" s="265" t="str">
        <f>IFERROR(__xludf.DUMMYFUNCTION("""COMPUTED_VALUE"""),"GapOne")</f>
        <v>GapOne</v>
      </c>
    </row>
    <row r="275">
      <c r="A275" s="265" t="str">
        <f>IFERROR(__xludf.DUMMYFUNCTION("""COMPUTED_VALUE"""),"682")</f>
        <v>682</v>
      </c>
      <c r="B275" s="265" t="str">
        <f>IFERROR(__xludf.DUMMYFUNCTION("""COMPUTED_VALUE"""),"Hà Nội")</f>
        <v>Hà Nội</v>
      </c>
      <c r="C275" s="265" t="str">
        <f>IFERROR(__xludf.DUMMYFUNCTION("""COMPUTED_VALUE"""),"Active")</f>
        <v>Active</v>
      </c>
      <c r="D275" s="265" t="str">
        <f>IFERROR(__xludf.DUMMYFUNCTION("""COMPUTED_VALUE"""),"Sale chưa cung cấp")</f>
        <v>Sale chưa cung cấp</v>
      </c>
      <c r="E275" s="265" t="str">
        <f>IFERROR(__xludf.DUMMYFUNCTION("""COMPUTED_VALUE"""),"Không phân công")</f>
        <v>Không phân công</v>
      </c>
      <c r="F275" s="265" t="str">
        <f>IFERROR(__xludf.DUMMYFUNCTION("""COMPUTED_VALUE"""),"Bronze")</f>
        <v>Bronze</v>
      </c>
      <c r="G275" s="265" t="str">
        <f>IFERROR(__xludf.DUMMYFUNCTION("""COMPUTED_VALUE"""),"MSG")</f>
        <v>MSG</v>
      </c>
      <c r="H275" s="265" t="str">
        <f>IFERROR(__xludf.DUMMYFUNCTION("""COMPUTED_VALUE"""),"Trả sau")</f>
        <v>Trả sau</v>
      </c>
      <c r="I275" s="265" t="str">
        <f>IFERROR(__xludf.DUMMYFUNCTION("""COMPUTED_VALUE"""),"Portal")</f>
        <v>Portal</v>
      </c>
      <c r="J275" s="265" t="str">
        <f>IFERROR(__xludf.DUMMYFUNCTION("""COMPUTED_VALUE"""),"SMS CSKH")</f>
        <v>SMS CSKH</v>
      </c>
    </row>
    <row r="276">
      <c r="A276" s="265" t="str">
        <f>IFERROR(__xludf.DUMMYFUNCTION("""COMPUTED_VALUE"""),"579")</f>
        <v>579</v>
      </c>
      <c r="B276" s="265" t="str">
        <f>IFERROR(__xludf.DUMMYFUNCTION("""COMPUTED_VALUE"""),"Sài Gòn")</f>
        <v>Sài Gòn</v>
      </c>
      <c r="C276" s="265" t="str">
        <f>IFERROR(__xludf.DUMMYFUNCTION("""COMPUTED_VALUE"""),"Locked")</f>
        <v>Locked</v>
      </c>
      <c r="D276" s="265" t="str">
        <f>IFERROR(__xludf.DUMMYFUNCTION("""COMPUTED_VALUE"""),"Sale chưa cung cấp")</f>
        <v>Sale chưa cung cấp</v>
      </c>
      <c r="E276" s="265" t="str">
        <f>IFERROR(__xludf.DUMMYFUNCTION("""COMPUTED_VALUE"""),"HoaNTM")</f>
        <v>HoaNTM</v>
      </c>
      <c r="F276" s="265" t="str">
        <f>IFERROR(__xludf.DUMMYFUNCTION("""COMPUTED_VALUE"""),"Diamond")</f>
        <v>Diamond</v>
      </c>
      <c r="G276" s="265" t="str">
        <f>IFERROR(__xludf.DUMMYFUNCTION("""COMPUTED_VALUE"""),"MSG")</f>
        <v>MSG</v>
      </c>
      <c r="H276" s="265" t="str">
        <f>IFERROR(__xludf.DUMMYFUNCTION("""COMPUTED_VALUE"""),"Trả sau")</f>
        <v>Trả sau</v>
      </c>
      <c r="I276" s="265" t="str">
        <f>IFERROR(__xludf.DUMMYFUNCTION("""COMPUTED_VALUE"""),"(Chưa recheck)")</f>
        <v>(Chưa recheck)</v>
      </c>
      <c r="J276" s="265" t="str">
        <f>IFERROR(__xludf.DUMMYFUNCTION("""COMPUTED_VALUE"""),"GapOne")</f>
        <v>GapOne</v>
      </c>
    </row>
    <row r="277">
      <c r="A277" s="265" t="str">
        <f>IFERROR(__xludf.DUMMYFUNCTION("""COMPUTED_VALUE"""),"580")</f>
        <v>580</v>
      </c>
      <c r="B277" s="265" t="str">
        <f>IFERROR(__xludf.DUMMYFUNCTION("""COMPUTED_VALUE"""),"Sài Gòn")</f>
        <v>Sài Gòn</v>
      </c>
      <c r="C277" s="265" t="str">
        <f>IFERROR(__xludf.DUMMYFUNCTION("""COMPUTED_VALUE"""),"Locked")</f>
        <v>Locked</v>
      </c>
      <c r="D277" s="265" t="str">
        <f>IFERROR(__xludf.DUMMYFUNCTION("""COMPUTED_VALUE"""),"Sale chưa cung cấp")</f>
        <v>Sale chưa cung cấp</v>
      </c>
      <c r="E277" s="265" t="str">
        <f>IFERROR(__xludf.DUMMYFUNCTION("""COMPUTED_VALUE"""),"HoaNTM")</f>
        <v>HoaNTM</v>
      </c>
      <c r="F277" s="265" t="str">
        <f>IFERROR(__xludf.DUMMYFUNCTION("""COMPUTED_VALUE"""),"Diamond")</f>
        <v>Diamond</v>
      </c>
      <c r="G277" s="265" t="str">
        <f>IFERROR(__xludf.DUMMYFUNCTION("""COMPUTED_VALUE"""),"MSG")</f>
        <v>MSG</v>
      </c>
      <c r="H277" s="265" t="str">
        <f>IFERROR(__xludf.DUMMYFUNCTION("""COMPUTED_VALUE"""),"Trả sau")</f>
        <v>Trả sau</v>
      </c>
      <c r="I277" s="265" t="str">
        <f>IFERROR(__xludf.DUMMYFUNCTION("""COMPUTED_VALUE"""),"(Chưa recheck)")</f>
        <v>(Chưa recheck)</v>
      </c>
      <c r="J277" s="265" t="str">
        <f>IFERROR(__xludf.DUMMYFUNCTION("""COMPUTED_VALUE"""),"GapOne")</f>
        <v>GapOne</v>
      </c>
    </row>
    <row r="278">
      <c r="A278" s="265" t="str">
        <f>IFERROR(__xludf.DUMMYFUNCTION("""COMPUTED_VALUE"""),"581")</f>
        <v>581</v>
      </c>
      <c r="B278" s="265" t="str">
        <f>IFERROR(__xludf.DUMMYFUNCTION("""COMPUTED_VALUE"""),"Sài Gòn")</f>
        <v>Sài Gòn</v>
      </c>
      <c r="C278" s="265" t="str">
        <f>IFERROR(__xludf.DUMMYFUNCTION("""COMPUTED_VALUE"""),"Locked")</f>
        <v>Locked</v>
      </c>
      <c r="D278" s="265" t="str">
        <f>IFERROR(__xludf.DUMMYFUNCTION("""COMPUTED_VALUE"""),"Sale chưa cung cấp")</f>
        <v>Sale chưa cung cấp</v>
      </c>
      <c r="E278" s="265" t="str">
        <f>IFERROR(__xludf.DUMMYFUNCTION("""COMPUTED_VALUE"""),"HoaNTM")</f>
        <v>HoaNTM</v>
      </c>
      <c r="F278" s="265" t="str">
        <f>IFERROR(__xludf.DUMMYFUNCTION("""COMPUTED_VALUE"""),"Diamond")</f>
        <v>Diamond</v>
      </c>
      <c r="G278" s="265" t="str">
        <f>IFERROR(__xludf.DUMMYFUNCTION("""COMPUTED_VALUE"""),"MSG")</f>
        <v>MSG</v>
      </c>
      <c r="H278" s="265" t="str">
        <f>IFERROR(__xludf.DUMMYFUNCTION("""COMPUTED_VALUE"""),"Trả sau")</f>
        <v>Trả sau</v>
      </c>
      <c r="I278" s="265" t="str">
        <f>IFERROR(__xludf.DUMMYFUNCTION("""COMPUTED_VALUE"""),"(Chưa recheck)")</f>
        <v>(Chưa recheck)</v>
      </c>
      <c r="J278" s="265" t="str">
        <f>IFERROR(__xludf.DUMMYFUNCTION("""COMPUTED_VALUE"""),"GapOne")</f>
        <v>GapOne</v>
      </c>
    </row>
    <row r="279">
      <c r="A279" s="265" t="str">
        <f>IFERROR(__xludf.DUMMYFUNCTION("""COMPUTED_VALUE"""),"582")</f>
        <v>582</v>
      </c>
      <c r="B279" s="265" t="str">
        <f>IFERROR(__xludf.DUMMYFUNCTION("""COMPUTED_VALUE"""),"Sài Gòn")</f>
        <v>Sài Gòn</v>
      </c>
      <c r="C279" s="265" t="str">
        <f>IFERROR(__xludf.DUMMYFUNCTION("""COMPUTED_VALUE"""),"Locked")</f>
        <v>Locked</v>
      </c>
      <c r="D279" s="265" t="str">
        <f>IFERROR(__xludf.DUMMYFUNCTION("""COMPUTED_VALUE"""),"Sale chưa cung cấp")</f>
        <v>Sale chưa cung cấp</v>
      </c>
      <c r="E279" s="265" t="str">
        <f>IFERROR(__xludf.DUMMYFUNCTION("""COMPUTED_VALUE"""),"HoaNTM")</f>
        <v>HoaNTM</v>
      </c>
      <c r="F279" s="265" t="str">
        <f>IFERROR(__xludf.DUMMYFUNCTION("""COMPUTED_VALUE"""),"Diamond")</f>
        <v>Diamond</v>
      </c>
      <c r="G279" s="265" t="str">
        <f>IFERROR(__xludf.DUMMYFUNCTION("""COMPUTED_VALUE"""),"MSG")</f>
        <v>MSG</v>
      </c>
      <c r="H279" s="265" t="str">
        <f>IFERROR(__xludf.DUMMYFUNCTION("""COMPUTED_VALUE"""),"Trả sau")</f>
        <v>Trả sau</v>
      </c>
      <c r="I279" s="265" t="str">
        <f>IFERROR(__xludf.DUMMYFUNCTION("""COMPUTED_VALUE"""),"(Chưa recheck)")</f>
        <v>(Chưa recheck)</v>
      </c>
      <c r="J279" s="265" t="str">
        <f>IFERROR(__xludf.DUMMYFUNCTION("""COMPUTED_VALUE"""),"GapOne")</f>
        <v>GapOne</v>
      </c>
    </row>
    <row r="280">
      <c r="A280" s="265" t="str">
        <f>IFERROR(__xludf.DUMMYFUNCTION("""COMPUTED_VALUE"""),"583")</f>
        <v>583</v>
      </c>
      <c r="B280" s="265" t="str">
        <f>IFERROR(__xludf.DUMMYFUNCTION("""COMPUTED_VALUE"""),"Sài Gòn")</f>
        <v>Sài Gòn</v>
      </c>
      <c r="C280" s="265" t="str">
        <f>IFERROR(__xludf.DUMMYFUNCTION("""COMPUTED_VALUE"""),"Locked")</f>
        <v>Locked</v>
      </c>
      <c r="D280" s="265" t="str">
        <f>IFERROR(__xludf.DUMMYFUNCTION("""COMPUTED_VALUE"""),"Sale chưa cung cấp")</f>
        <v>Sale chưa cung cấp</v>
      </c>
      <c r="E280" s="265" t="str">
        <f>IFERROR(__xludf.DUMMYFUNCTION("""COMPUTED_VALUE"""),"HoaNTM")</f>
        <v>HoaNTM</v>
      </c>
      <c r="F280" s="265" t="str">
        <f>IFERROR(__xludf.DUMMYFUNCTION("""COMPUTED_VALUE"""),"Diamond")</f>
        <v>Diamond</v>
      </c>
      <c r="G280" s="265" t="str">
        <f>IFERROR(__xludf.DUMMYFUNCTION("""COMPUTED_VALUE"""),"MSG")</f>
        <v>MSG</v>
      </c>
      <c r="H280" s="265" t="str">
        <f>IFERROR(__xludf.DUMMYFUNCTION("""COMPUTED_VALUE"""),"Trả sau")</f>
        <v>Trả sau</v>
      </c>
      <c r="I280" s="265" t="str">
        <f>IFERROR(__xludf.DUMMYFUNCTION("""COMPUTED_VALUE"""),"(Chưa recheck)")</f>
        <v>(Chưa recheck)</v>
      </c>
      <c r="J280" s="265" t="str">
        <f>IFERROR(__xludf.DUMMYFUNCTION("""COMPUTED_VALUE"""),"GapOne")</f>
        <v>GapOne</v>
      </c>
    </row>
    <row r="281">
      <c r="A281" s="265" t="str">
        <f>IFERROR(__xludf.DUMMYFUNCTION("""COMPUTED_VALUE"""),"584")</f>
        <v>584</v>
      </c>
      <c r="B281" s="265" t="str">
        <f>IFERROR(__xludf.DUMMYFUNCTION("""COMPUTED_VALUE"""),"Sài Gòn")</f>
        <v>Sài Gòn</v>
      </c>
      <c r="C281" s="265" t="str">
        <f>IFERROR(__xludf.DUMMYFUNCTION("""COMPUTED_VALUE"""),"Locked")</f>
        <v>Locked</v>
      </c>
      <c r="D281" s="265" t="str">
        <f>IFERROR(__xludf.DUMMYFUNCTION("""COMPUTED_VALUE"""),"Sale chưa cung cấp")</f>
        <v>Sale chưa cung cấp</v>
      </c>
      <c r="E281" s="265" t="str">
        <f>IFERROR(__xludf.DUMMYFUNCTION("""COMPUTED_VALUE"""),"HoaNTM")</f>
        <v>HoaNTM</v>
      </c>
      <c r="F281" s="265" t="str">
        <f>IFERROR(__xludf.DUMMYFUNCTION("""COMPUTED_VALUE"""),"Diamond")</f>
        <v>Diamond</v>
      </c>
      <c r="G281" s="265" t="str">
        <f>IFERROR(__xludf.DUMMYFUNCTION("""COMPUTED_VALUE"""),"MSG")</f>
        <v>MSG</v>
      </c>
      <c r="H281" s="265" t="str">
        <f>IFERROR(__xludf.DUMMYFUNCTION("""COMPUTED_VALUE"""),"Trả sau")</f>
        <v>Trả sau</v>
      </c>
      <c r="I281" s="265" t="str">
        <f>IFERROR(__xludf.DUMMYFUNCTION("""COMPUTED_VALUE"""),"(Chưa recheck)")</f>
        <v>(Chưa recheck)</v>
      </c>
      <c r="J281" s="265" t="str">
        <f>IFERROR(__xludf.DUMMYFUNCTION("""COMPUTED_VALUE"""),"GapOne")</f>
        <v>GapOne</v>
      </c>
    </row>
    <row r="282">
      <c r="A282" s="265" t="str">
        <f>IFERROR(__xludf.DUMMYFUNCTION("""COMPUTED_VALUE"""),"585")</f>
        <v>585</v>
      </c>
      <c r="B282" s="265" t="str">
        <f>IFERROR(__xludf.DUMMYFUNCTION("""COMPUTED_VALUE"""),"Hà Nội")</f>
        <v>Hà Nội</v>
      </c>
      <c r="C282" s="265" t="str">
        <f>IFERROR(__xludf.DUMMYFUNCTION("""COMPUTED_VALUE"""),"Active")</f>
        <v>Active</v>
      </c>
      <c r="D282" s="265" t="str">
        <f>IFERROR(__xludf.DUMMYFUNCTION("""COMPUTED_VALUE"""),"Sale chưa cung cấp")</f>
        <v>Sale chưa cung cấp</v>
      </c>
      <c r="E282" s="265" t="str">
        <f>IFERROR(__xludf.DUMMYFUNCTION("""COMPUTED_VALUE"""),"Không phân công")</f>
        <v>Không phân công</v>
      </c>
      <c r="F282" s="265" t="str">
        <f>IFERROR(__xludf.DUMMYFUNCTION("""COMPUTED_VALUE"""),"Bronze")</f>
        <v>Bronze</v>
      </c>
      <c r="G282" s="265" t="str">
        <f>IFERROR(__xludf.DUMMYFUNCTION("""COMPUTED_VALUE"""),"Starter")</f>
        <v>Starter</v>
      </c>
      <c r="H282" s="265" t="str">
        <f>IFERROR(__xludf.DUMMYFUNCTION("""COMPUTED_VALUE"""),"Trả sau")</f>
        <v>Trả sau</v>
      </c>
      <c r="I282" s="265" t="str">
        <f>IFERROR(__xludf.DUMMYFUNCTION("""COMPUTED_VALUE"""),"Portal")</f>
        <v>Portal</v>
      </c>
      <c r="J282" s="265" t="str">
        <f>IFERROR(__xludf.DUMMYFUNCTION("""COMPUTED_VALUE"""),"SMS CSKH")</f>
        <v>SMS CSKH</v>
      </c>
    </row>
    <row r="283">
      <c r="A283" s="265" t="str">
        <f>IFERROR(__xludf.DUMMYFUNCTION("""COMPUTED_VALUE"""),"586")</f>
        <v>586</v>
      </c>
      <c r="B283" s="265" t="str">
        <f>IFERROR(__xludf.DUMMYFUNCTION("""COMPUTED_VALUE"""),"Hà Nội")</f>
        <v>Hà Nội</v>
      </c>
      <c r="C283" s="265" t="str">
        <f>IFERROR(__xludf.DUMMYFUNCTION("""COMPUTED_VALUE"""),"Active")</f>
        <v>Active</v>
      </c>
      <c r="D283" s="265" t="str">
        <f>IFERROR(__xludf.DUMMYFUNCTION("""COMPUTED_VALUE"""),"Sale chưa cung cấp")</f>
        <v>Sale chưa cung cấp</v>
      </c>
      <c r="E283" s="265" t="str">
        <f>IFERROR(__xludf.DUMMYFUNCTION("""COMPUTED_VALUE"""),"TúPHN")</f>
        <v>TúPHN</v>
      </c>
      <c r="F283" s="265" t="str">
        <f>IFERROR(__xludf.DUMMYFUNCTION("""COMPUTED_VALUE"""),"Gold")</f>
        <v>Gold</v>
      </c>
      <c r="G283" s="265" t="str">
        <f>IFERROR(__xludf.DUMMYFUNCTION("""COMPUTED_VALUE"""),"Premium")</f>
        <v>Premium</v>
      </c>
      <c r="H283" s="265" t="str">
        <f>IFERROR(__xludf.DUMMYFUNCTION("""COMPUTED_VALUE"""),"Trả sau")</f>
        <v>Trả sau</v>
      </c>
      <c r="I283" s="265" t="str">
        <f>IFERROR(__xludf.DUMMYFUNCTION("""COMPUTED_VALUE"""),"Portal")</f>
        <v>Portal</v>
      </c>
      <c r="J283" s="265" t="str">
        <f>IFERROR(__xludf.DUMMYFUNCTION("""COMPUTED_VALUE"""),"SMS CSKH")</f>
        <v>SMS CSKH</v>
      </c>
    </row>
    <row r="284">
      <c r="A284" s="265" t="str">
        <f>IFERROR(__xludf.DUMMYFUNCTION("""COMPUTED_VALUE"""),"586")</f>
        <v>586</v>
      </c>
      <c r="B284" s="265" t="str">
        <f>IFERROR(__xludf.DUMMYFUNCTION("""COMPUTED_VALUE"""),"Hà Nội")</f>
        <v>Hà Nội</v>
      </c>
      <c r="C284" s="265" t="str">
        <f>IFERROR(__xludf.DUMMYFUNCTION("""COMPUTED_VALUE"""),"Active")</f>
        <v>Active</v>
      </c>
      <c r="D284" s="265" t="str">
        <f>IFERROR(__xludf.DUMMYFUNCTION("""COMPUTED_VALUE"""),"Sale chưa cung cấp")</f>
        <v>Sale chưa cung cấp</v>
      </c>
      <c r="E284" s="265" t="str">
        <f>IFERROR(__xludf.DUMMYFUNCTION("""COMPUTED_VALUE"""),"TúPHN")</f>
        <v>TúPHN</v>
      </c>
      <c r="F284" s="265" t="str">
        <f>IFERROR(__xludf.DUMMYFUNCTION("""COMPUTED_VALUE"""),"Gold")</f>
        <v>Gold</v>
      </c>
      <c r="G284" s="265" t="str">
        <f>IFERROR(__xludf.DUMMYFUNCTION("""COMPUTED_VALUE"""),"Premium")</f>
        <v>Premium</v>
      </c>
      <c r="H284" s="265" t="str">
        <f>IFERROR(__xludf.DUMMYFUNCTION("""COMPUTED_VALUE"""),"Trả sau")</f>
        <v>Trả sau</v>
      </c>
      <c r="I284" s="265" t="str">
        <f>IFERROR(__xludf.DUMMYFUNCTION("""COMPUTED_VALUE"""),"Portal")</f>
        <v>Portal</v>
      </c>
      <c r="J284" s="265" t="str">
        <f>IFERROR(__xludf.DUMMYFUNCTION("""COMPUTED_VALUE"""),"Zalo ZNS")</f>
        <v>Zalo ZNS</v>
      </c>
    </row>
    <row r="285">
      <c r="A285" s="265" t="str">
        <f>IFERROR(__xludf.DUMMYFUNCTION("""COMPUTED_VALUE"""),"589")</f>
        <v>589</v>
      </c>
      <c r="B285" s="265" t="str">
        <f>IFERROR(__xludf.DUMMYFUNCTION("""COMPUTED_VALUE"""),"Hà Nội")</f>
        <v>Hà Nội</v>
      </c>
      <c r="C285" s="265" t="str">
        <f>IFERROR(__xludf.DUMMYFUNCTION("""COMPUTED_VALUE"""),"Active")</f>
        <v>Active</v>
      </c>
      <c r="D285" s="265" t="str">
        <f>IFERROR(__xludf.DUMMYFUNCTION("""COMPUTED_VALUE"""),"Sale chưa cung cấp")</f>
        <v>Sale chưa cung cấp</v>
      </c>
      <c r="E285" s="265" t="str">
        <f>IFERROR(__xludf.DUMMYFUNCTION("""COMPUTED_VALUE"""),"Không phân công")</f>
        <v>Không phân công</v>
      </c>
      <c r="F285" s="265" t="str">
        <f>IFERROR(__xludf.DUMMYFUNCTION("""COMPUTED_VALUE"""),"Bronze")</f>
        <v>Bronze</v>
      </c>
      <c r="G285" s="265" t="str">
        <f>IFERROR(__xludf.DUMMYFUNCTION("""COMPUTED_VALUE"""),"MSG")</f>
        <v>MSG</v>
      </c>
      <c r="H285" s="265" t="str">
        <f>IFERROR(__xludf.DUMMYFUNCTION("""COMPUTED_VALUE"""),"Trả sau")</f>
        <v>Trả sau</v>
      </c>
      <c r="I285" s="265" t="str">
        <f>IFERROR(__xludf.DUMMYFUNCTION("""COMPUTED_VALUE"""),"Portal")</f>
        <v>Portal</v>
      </c>
      <c r="J285" s="265" t="str">
        <f>IFERROR(__xludf.DUMMYFUNCTION("""COMPUTED_VALUE"""),"SMS CSKH")</f>
        <v>SMS CSKH</v>
      </c>
    </row>
    <row r="286">
      <c r="A286" s="265" t="str">
        <f>IFERROR(__xludf.DUMMYFUNCTION("""COMPUTED_VALUE"""),"587")</f>
        <v>587</v>
      </c>
      <c r="B286" s="265" t="str">
        <f>IFERROR(__xludf.DUMMYFUNCTION("""COMPUTED_VALUE"""),"Hà Nội")</f>
        <v>Hà Nội</v>
      </c>
      <c r="C286" s="265" t="str">
        <f>IFERROR(__xludf.DUMMYFUNCTION("""COMPUTED_VALUE"""),"Active")</f>
        <v>Active</v>
      </c>
      <c r="D286" s="265" t="str">
        <f>IFERROR(__xludf.DUMMYFUNCTION("""COMPUTED_VALUE"""),"Sale chưa cung cấp")</f>
        <v>Sale chưa cung cấp</v>
      </c>
      <c r="E286" s="265" t="str">
        <f>IFERROR(__xludf.DUMMYFUNCTION("""COMPUTED_VALUE"""),"Không phân công")</f>
        <v>Không phân công</v>
      </c>
      <c r="F286" s="265" t="str">
        <f>IFERROR(__xludf.DUMMYFUNCTION("""COMPUTED_VALUE"""),"Silver")</f>
        <v>Silver</v>
      </c>
      <c r="G286" s="265" t="str">
        <f>IFERROR(__xludf.DUMMYFUNCTION("""COMPUTED_VALUE"""),"Starter")</f>
        <v>Starter</v>
      </c>
      <c r="H286" s="265" t="str">
        <f>IFERROR(__xludf.DUMMYFUNCTION("""COMPUTED_VALUE"""),"Trả sau")</f>
        <v>Trả sau</v>
      </c>
      <c r="I286" s="265" t="str">
        <f>IFERROR(__xludf.DUMMYFUNCTION("""COMPUTED_VALUE"""),"Portal")</f>
        <v>Portal</v>
      </c>
      <c r="J286" s="265" t="str">
        <f>IFERROR(__xludf.DUMMYFUNCTION("""COMPUTED_VALUE"""),"SMS CSKH")</f>
        <v>SMS CSKH</v>
      </c>
    </row>
    <row r="287">
      <c r="A287" s="265" t="str">
        <f>IFERROR(__xludf.DUMMYFUNCTION("""COMPUTED_VALUE"""),"590")</f>
        <v>590</v>
      </c>
      <c r="B287" s="265" t="str">
        <f>IFERROR(__xludf.DUMMYFUNCTION("""COMPUTED_VALUE"""),"Hà Nội")</f>
        <v>Hà Nội</v>
      </c>
      <c r="C287" s="265" t="str">
        <f>IFERROR(__xludf.DUMMYFUNCTION("""COMPUTED_VALUE"""),"Active")</f>
        <v>Active</v>
      </c>
      <c r="D287" s="265" t="str">
        <f>IFERROR(__xludf.DUMMYFUNCTION("""COMPUTED_VALUE"""),"Sale chưa cung cấp")</f>
        <v>Sale chưa cung cấp</v>
      </c>
      <c r="E287" s="265" t="str">
        <f>IFERROR(__xludf.DUMMYFUNCTION("""COMPUTED_VALUE"""),"Không phân công")</f>
        <v>Không phân công</v>
      </c>
      <c r="F287" s="265" t="str">
        <f>IFERROR(__xludf.DUMMYFUNCTION("""COMPUTED_VALUE"""),"Bronze")</f>
        <v>Bronze</v>
      </c>
      <c r="G287" s="265" t="str">
        <f>IFERROR(__xludf.DUMMYFUNCTION("""COMPUTED_VALUE"""),"Starter")</f>
        <v>Starter</v>
      </c>
      <c r="H287" s="265" t="str">
        <f>IFERROR(__xludf.DUMMYFUNCTION("""COMPUTED_VALUE"""),"Trả sau")</f>
        <v>Trả sau</v>
      </c>
      <c r="I287" s="265" t="str">
        <f>IFERROR(__xludf.DUMMYFUNCTION("""COMPUTED_VALUE"""),"API &amp; Portal")</f>
        <v>API &amp; Portal</v>
      </c>
      <c r="J287" s="265" t="str">
        <f>IFERROR(__xludf.DUMMYFUNCTION("""COMPUTED_VALUE"""),"SMS CSKH")</f>
        <v>SMS CSKH</v>
      </c>
    </row>
    <row r="288">
      <c r="A288" s="265" t="str">
        <f>IFERROR(__xludf.DUMMYFUNCTION("""COMPUTED_VALUE"""),"588")</f>
        <v>588</v>
      </c>
      <c r="B288" s="265" t="str">
        <f>IFERROR(__xludf.DUMMYFUNCTION("""COMPUTED_VALUE"""),"Hà Nội")</f>
        <v>Hà Nội</v>
      </c>
      <c r="C288" s="265" t="str">
        <f>IFERROR(__xludf.DUMMYFUNCTION("""COMPUTED_VALUE"""),"Locked")</f>
        <v>Locked</v>
      </c>
      <c r="D288" s="265" t="str">
        <f>IFERROR(__xludf.DUMMYFUNCTION("""COMPUTED_VALUE"""),"Sale chưa cung cấp")</f>
        <v>Sale chưa cung cấp</v>
      </c>
      <c r="E288" s="265" t="str">
        <f>IFERROR(__xludf.DUMMYFUNCTION("""COMPUTED_VALUE"""),"HangNT")</f>
        <v>HangNT</v>
      </c>
      <c r="F288" s="265" t="str">
        <f>IFERROR(__xludf.DUMMYFUNCTION("""COMPUTED_VALUE"""),"Silver")</f>
        <v>Silver</v>
      </c>
      <c r="G288" s="265" t="str">
        <f>IFERROR(__xludf.DUMMYFUNCTION("""COMPUTED_VALUE"""),"MSG")</f>
        <v>MSG</v>
      </c>
      <c r="H288" s="265" t="str">
        <f>IFERROR(__xludf.DUMMYFUNCTION("""COMPUTED_VALUE"""),"(Chưa recheck)")</f>
        <v>(Chưa recheck)</v>
      </c>
      <c r="I288" s="265" t="str">
        <f>IFERROR(__xludf.DUMMYFUNCTION("""COMPUTED_VALUE"""),"(Chưa recheck)")</f>
        <v>(Chưa recheck)</v>
      </c>
      <c r="J288" s="265" t="str">
        <f>IFERROR(__xludf.DUMMYFUNCTION("""COMPUTED_VALUE"""),"SMS CSKH")</f>
        <v>SMS CSKH</v>
      </c>
    </row>
    <row r="289">
      <c r="A289" s="265" t="str">
        <f>IFERROR(__xludf.DUMMYFUNCTION("""COMPUTED_VALUE"""),"591")</f>
        <v>591</v>
      </c>
      <c r="B289" s="265" t="str">
        <f>IFERROR(__xludf.DUMMYFUNCTION("""COMPUTED_VALUE"""),"Hà Nội")</f>
        <v>Hà Nội</v>
      </c>
      <c r="C289" s="265" t="str">
        <f>IFERROR(__xludf.DUMMYFUNCTION("""COMPUTED_VALUE"""),"Locked")</f>
        <v>Locked</v>
      </c>
      <c r="D289" s="265" t="str">
        <f>IFERROR(__xludf.DUMMYFUNCTION("""COMPUTED_VALUE"""),"Sale chưa cung cấp")</f>
        <v>Sale chưa cung cấp</v>
      </c>
      <c r="E289" s="265" t="str">
        <f>IFERROR(__xludf.DUMMYFUNCTION("""COMPUTED_VALUE"""),"TùngLD")</f>
        <v>TùngLD</v>
      </c>
      <c r="F289" s="265" t="str">
        <f>IFERROR(__xludf.DUMMYFUNCTION("""COMPUTED_VALUE"""),"Sale chưa cung cấp")</f>
        <v>Sale chưa cung cấp</v>
      </c>
      <c r="G289" s="265" t="str">
        <f>IFERROR(__xludf.DUMMYFUNCTION("""COMPUTED_VALUE"""),"MSG")</f>
        <v>MSG</v>
      </c>
      <c r="H289" s="265" t="str">
        <f>IFERROR(__xludf.DUMMYFUNCTION("""COMPUTED_VALUE"""),"(Chưa recheck)")</f>
        <v>(Chưa recheck)</v>
      </c>
      <c r="I289" s="265" t="str">
        <f>IFERROR(__xludf.DUMMYFUNCTION("""COMPUTED_VALUE"""),"API &amp; Portal")</f>
        <v>API &amp; Portal</v>
      </c>
      <c r="J289" s="265" t="str">
        <f>IFERROR(__xludf.DUMMYFUNCTION("""COMPUTED_VALUE"""),"SMS CSKH")</f>
        <v>SMS CSKH</v>
      </c>
    </row>
    <row r="290">
      <c r="A290" s="265" t="str">
        <f>IFERROR(__xludf.DUMMYFUNCTION("""COMPUTED_VALUE"""),"593")</f>
        <v>593</v>
      </c>
      <c r="B290" s="265" t="str">
        <f>IFERROR(__xludf.DUMMYFUNCTION("""COMPUTED_VALUE"""),"Sài Gòn")</f>
        <v>Sài Gòn</v>
      </c>
      <c r="C290" s="265" t="str">
        <f>IFERROR(__xludf.DUMMYFUNCTION("""COMPUTED_VALUE"""),"Locked")</f>
        <v>Locked</v>
      </c>
      <c r="D290" s="265" t="str">
        <f>IFERROR(__xludf.DUMMYFUNCTION("""COMPUTED_VALUE"""),"Sale chưa cung cấp")</f>
        <v>Sale chưa cung cấp</v>
      </c>
      <c r="E290" s="265" t="str">
        <f>IFERROR(__xludf.DUMMYFUNCTION("""COMPUTED_VALUE"""),"HoaNTM")</f>
        <v>HoaNTM</v>
      </c>
      <c r="F290" s="265" t="str">
        <f>IFERROR(__xludf.DUMMYFUNCTION("""COMPUTED_VALUE"""),"Diamond")</f>
        <v>Diamond</v>
      </c>
      <c r="G290" s="265" t="str">
        <f>IFERROR(__xludf.DUMMYFUNCTION("""COMPUTED_VALUE"""),"MSG")</f>
        <v>MSG</v>
      </c>
      <c r="H290" s="265" t="str">
        <f>IFERROR(__xludf.DUMMYFUNCTION("""COMPUTED_VALUE"""),"Trả sau")</f>
        <v>Trả sau</v>
      </c>
      <c r="I290" s="265" t="str">
        <f>IFERROR(__xludf.DUMMYFUNCTION("""COMPUTED_VALUE"""),"(Chưa recheck)")</f>
        <v>(Chưa recheck)</v>
      </c>
      <c r="J290" s="265" t="str">
        <f>IFERROR(__xludf.DUMMYFUNCTION("""COMPUTED_VALUE"""),"GapOne")</f>
        <v>GapOne</v>
      </c>
    </row>
    <row r="291">
      <c r="A291" s="265" t="str">
        <f>IFERROR(__xludf.DUMMYFUNCTION("""COMPUTED_VALUE"""),"592")</f>
        <v>592</v>
      </c>
      <c r="B291" s="265" t="str">
        <f>IFERROR(__xludf.DUMMYFUNCTION("""COMPUTED_VALUE"""),"Sài Gòn")</f>
        <v>Sài Gòn</v>
      </c>
      <c r="C291" s="265" t="str">
        <f>IFERROR(__xludf.DUMMYFUNCTION("""COMPUTED_VALUE"""),"Locked")</f>
        <v>Locked</v>
      </c>
      <c r="D291" s="265" t="str">
        <f>IFERROR(__xludf.DUMMYFUNCTION("""COMPUTED_VALUE"""),"Sale chưa cung cấp")</f>
        <v>Sale chưa cung cấp</v>
      </c>
      <c r="E291" s="265" t="str">
        <f>IFERROR(__xludf.DUMMYFUNCTION("""COMPUTED_VALUE"""),"HoaNTM")</f>
        <v>HoaNTM</v>
      </c>
      <c r="F291" s="265" t="str">
        <f>IFERROR(__xludf.DUMMYFUNCTION("""COMPUTED_VALUE"""),"Sale chưa cung cấp")</f>
        <v>Sale chưa cung cấp</v>
      </c>
      <c r="G291" s="265" t="str">
        <f>IFERROR(__xludf.DUMMYFUNCTION("""COMPUTED_VALUE"""),"Enterprise")</f>
        <v>Enterprise</v>
      </c>
      <c r="H291" s="265" t="str">
        <f>IFERROR(__xludf.DUMMYFUNCTION("""COMPUTED_VALUE"""),"Trial")</f>
        <v>Trial</v>
      </c>
      <c r="I291" s="265" t="str">
        <f>IFERROR(__xludf.DUMMYFUNCTION("""COMPUTED_VALUE"""),"(Không recheck)")</f>
        <v>(Không recheck)</v>
      </c>
      <c r="J291" s="265" t="str">
        <f>IFERROR(__xludf.DUMMYFUNCTION("""COMPUTED_VALUE"""),"GapOne")</f>
        <v>GapOne</v>
      </c>
    </row>
    <row r="292">
      <c r="A292" s="265" t="str">
        <f>IFERROR(__xludf.DUMMYFUNCTION("""COMPUTED_VALUE"""),"594")</f>
        <v>594</v>
      </c>
      <c r="B292" s="265" t="str">
        <f>IFERROR(__xludf.DUMMYFUNCTION("""COMPUTED_VALUE"""),"Sài Gòn")</f>
        <v>Sài Gòn</v>
      </c>
      <c r="C292" s="265" t="str">
        <f>IFERROR(__xludf.DUMMYFUNCTION("""COMPUTED_VALUE"""),"Locked")</f>
        <v>Locked</v>
      </c>
      <c r="D292" s="265" t="str">
        <f>IFERROR(__xludf.DUMMYFUNCTION("""COMPUTED_VALUE"""),"Sale chưa cung cấp")</f>
        <v>Sale chưa cung cấp</v>
      </c>
      <c r="E292" s="265" t="str">
        <f>IFERROR(__xludf.DUMMYFUNCTION("""COMPUTED_VALUE"""),"HoaNTM")</f>
        <v>HoaNTM</v>
      </c>
      <c r="F292" s="265" t="str">
        <f>IFERROR(__xludf.DUMMYFUNCTION("""COMPUTED_VALUE"""),"Silver")</f>
        <v>Silver</v>
      </c>
      <c r="G292" s="265" t="str">
        <f>IFERROR(__xludf.DUMMYFUNCTION("""COMPUTED_VALUE"""),"Enterprise")</f>
        <v>Enterprise</v>
      </c>
      <c r="H292" s="265" t="str">
        <f>IFERROR(__xludf.DUMMYFUNCTION("""COMPUTED_VALUE"""),"(Chưa recheck)")</f>
        <v>(Chưa recheck)</v>
      </c>
      <c r="I292" s="265" t="str">
        <f>IFERROR(__xludf.DUMMYFUNCTION("""COMPUTED_VALUE"""),"(Chưa recheck)")</f>
        <v>(Chưa recheck)</v>
      </c>
      <c r="J292" s="265" t="str">
        <f>IFERROR(__xludf.DUMMYFUNCTION("""COMPUTED_VALUE"""),"GapOne")</f>
        <v>GapOne</v>
      </c>
    </row>
    <row r="293">
      <c r="A293" s="265" t="str">
        <f>IFERROR(__xludf.DUMMYFUNCTION("""COMPUTED_VALUE"""),"595")</f>
        <v>595</v>
      </c>
      <c r="B293" s="265" t="str">
        <f>IFERROR(__xludf.DUMMYFUNCTION("""COMPUTED_VALUE"""),"Sài Gòn")</f>
        <v>Sài Gòn</v>
      </c>
      <c r="C293" s="265" t="str">
        <f>IFERROR(__xludf.DUMMYFUNCTION("""COMPUTED_VALUE"""),"Locked")</f>
        <v>Locked</v>
      </c>
      <c r="D293" s="265" t="str">
        <f>IFERROR(__xludf.DUMMYFUNCTION("""COMPUTED_VALUE"""),"Sale chưa cung cấp")</f>
        <v>Sale chưa cung cấp</v>
      </c>
      <c r="E293" s="265" t="str">
        <f>IFERROR(__xludf.DUMMYFUNCTION("""COMPUTED_VALUE"""),"HoaNTM")</f>
        <v>HoaNTM</v>
      </c>
      <c r="F293" s="265" t="str">
        <f>IFERROR(__xludf.DUMMYFUNCTION("""COMPUTED_VALUE"""),"Bronze")</f>
        <v>Bronze</v>
      </c>
      <c r="G293" s="265" t="str">
        <f>IFERROR(__xludf.DUMMYFUNCTION("""COMPUTED_VALUE"""),"Enterprise")</f>
        <v>Enterprise</v>
      </c>
      <c r="H293" s="265" t="str">
        <f>IFERROR(__xludf.DUMMYFUNCTION("""COMPUTED_VALUE"""),"(Chưa recheck)")</f>
        <v>(Chưa recheck)</v>
      </c>
      <c r="I293" s="265" t="str">
        <f>IFERROR(__xludf.DUMMYFUNCTION("""COMPUTED_VALUE"""),"(Chưa recheck)")</f>
        <v>(Chưa recheck)</v>
      </c>
      <c r="J293" s="265" t="str">
        <f>IFERROR(__xludf.DUMMYFUNCTION("""COMPUTED_VALUE"""),"GapOne")</f>
        <v>GapOne</v>
      </c>
    </row>
    <row r="294">
      <c r="A294" s="265" t="str">
        <f>IFERROR(__xludf.DUMMYFUNCTION("""COMPUTED_VALUE"""),"596")</f>
        <v>596</v>
      </c>
      <c r="B294" s="265" t="str">
        <f>IFERROR(__xludf.DUMMYFUNCTION("""COMPUTED_VALUE"""),"Hà Nội")</f>
        <v>Hà Nội</v>
      </c>
      <c r="C294" s="265" t="str">
        <f>IFERROR(__xludf.DUMMYFUNCTION("""COMPUTED_VALUE"""),"Locked")</f>
        <v>Locked</v>
      </c>
      <c r="D294" s="265" t="str">
        <f>IFERROR(__xludf.DUMMYFUNCTION("""COMPUTED_VALUE"""),"Sale chưa cung cấp")</f>
        <v>Sale chưa cung cấp</v>
      </c>
      <c r="E294" s="265" t="str">
        <f>IFERROR(__xludf.DUMMYFUNCTION("""COMPUTED_VALUE"""),"PhươngDTB")</f>
        <v>PhươngDTB</v>
      </c>
      <c r="F294" s="265" t="str">
        <f>IFERROR(__xludf.DUMMYFUNCTION("""COMPUTED_VALUE"""),"Bronze")</f>
        <v>Bronze</v>
      </c>
      <c r="G294" s="265" t="str">
        <f>IFERROR(__xludf.DUMMYFUNCTION("""COMPUTED_VALUE"""),"Enterprise")</f>
        <v>Enterprise</v>
      </c>
      <c r="H294" s="265" t="str">
        <f>IFERROR(__xludf.DUMMYFUNCTION("""COMPUTED_VALUE"""),"(Chưa recheck)")</f>
        <v>(Chưa recheck)</v>
      </c>
      <c r="I294" s="265" t="str">
        <f>IFERROR(__xludf.DUMMYFUNCTION("""COMPUTED_VALUE"""),"(Chưa recheck)")</f>
        <v>(Chưa recheck)</v>
      </c>
      <c r="J294" s="265" t="str">
        <f>IFERROR(__xludf.DUMMYFUNCTION("""COMPUTED_VALUE"""),"Tất cả")</f>
        <v>Tất cả</v>
      </c>
    </row>
    <row r="295">
      <c r="A295" s="265" t="str">
        <f>IFERROR(__xludf.DUMMYFUNCTION("""COMPUTED_VALUE"""),"598")</f>
        <v>598</v>
      </c>
      <c r="B295" s="265" t="str">
        <f>IFERROR(__xludf.DUMMYFUNCTION("""COMPUTED_VALUE"""),"Sài Gòn")</f>
        <v>Sài Gòn</v>
      </c>
      <c r="C295" s="265" t="str">
        <f>IFERROR(__xludf.DUMMYFUNCTION("""COMPUTED_VALUE"""),"Locked")</f>
        <v>Locked</v>
      </c>
      <c r="D295" s="265" t="str">
        <f>IFERROR(__xludf.DUMMYFUNCTION("""COMPUTED_VALUE"""),"Sale chưa cung cấp")</f>
        <v>Sale chưa cung cấp</v>
      </c>
      <c r="E295" s="265" t="str">
        <f>IFERROR(__xludf.DUMMYFUNCTION("""COMPUTED_VALUE"""),"HoaNTM")</f>
        <v>HoaNTM</v>
      </c>
      <c r="F295" s="265" t="str">
        <f>IFERROR(__xludf.DUMMYFUNCTION("""COMPUTED_VALUE"""),"Silver")</f>
        <v>Silver</v>
      </c>
      <c r="G295" s="265" t="str">
        <f>IFERROR(__xludf.DUMMYFUNCTION("""COMPUTED_VALUE"""),"MSG")</f>
        <v>MSG</v>
      </c>
      <c r="H295" s="265" t="str">
        <f>IFERROR(__xludf.DUMMYFUNCTION("""COMPUTED_VALUE"""),"(Chưa recheck)")</f>
        <v>(Chưa recheck)</v>
      </c>
      <c r="I295" s="265" t="str">
        <f>IFERROR(__xludf.DUMMYFUNCTION("""COMPUTED_VALUE"""),"(Chưa recheck)")</f>
        <v>(Chưa recheck)</v>
      </c>
      <c r="J295" s="265" t="str">
        <f>IFERROR(__xludf.DUMMYFUNCTION("""COMPUTED_VALUE"""),"GapOne")</f>
        <v>GapOne</v>
      </c>
    </row>
    <row r="296">
      <c r="A296" s="265" t="str">
        <f>IFERROR(__xludf.DUMMYFUNCTION("""COMPUTED_VALUE"""),"600")</f>
        <v>600</v>
      </c>
      <c r="B296" s="265" t="str">
        <f>IFERROR(__xludf.DUMMYFUNCTION("""COMPUTED_VALUE"""),"Sài Gòn")</f>
        <v>Sài Gòn</v>
      </c>
      <c r="C296" s="265" t="str">
        <f>IFERROR(__xludf.DUMMYFUNCTION("""COMPUTED_VALUE"""),"Locked")</f>
        <v>Locked</v>
      </c>
      <c r="D296" s="265" t="str">
        <f>IFERROR(__xludf.DUMMYFUNCTION("""COMPUTED_VALUE"""),"Sale chưa cung cấp")</f>
        <v>Sale chưa cung cấp</v>
      </c>
      <c r="E296" s="265" t="str">
        <f>IFERROR(__xludf.DUMMYFUNCTION("""COMPUTED_VALUE"""),"HoaNTM")</f>
        <v>HoaNTM</v>
      </c>
      <c r="F296" s="265" t="str">
        <f>IFERROR(__xludf.DUMMYFUNCTION("""COMPUTED_VALUE"""),"Silver")</f>
        <v>Silver</v>
      </c>
      <c r="G296" s="265" t="str">
        <f>IFERROR(__xludf.DUMMYFUNCTION("""COMPUTED_VALUE"""),"Enterprise")</f>
        <v>Enterprise</v>
      </c>
      <c r="H296" s="265" t="str">
        <f>IFERROR(__xludf.DUMMYFUNCTION("""COMPUTED_VALUE"""),"(Chưa recheck)")</f>
        <v>(Chưa recheck)</v>
      </c>
      <c r="I296" s="265" t="str">
        <f>IFERROR(__xludf.DUMMYFUNCTION("""COMPUTED_VALUE"""),"(Chưa recheck)")</f>
        <v>(Chưa recheck)</v>
      </c>
      <c r="J296" s="265" t="str">
        <f>IFERROR(__xludf.DUMMYFUNCTION("""COMPUTED_VALUE"""),"GapOne")</f>
        <v>GapOne</v>
      </c>
    </row>
    <row r="297">
      <c r="A297" s="265" t="str">
        <f>IFERROR(__xludf.DUMMYFUNCTION("""COMPUTED_VALUE"""),"597")</f>
        <v>597</v>
      </c>
      <c r="B297" s="265" t="str">
        <f>IFERROR(__xludf.DUMMYFUNCTION("""COMPUTED_VALUE"""),"Sài Gòn")</f>
        <v>Sài Gòn</v>
      </c>
      <c r="C297" s="265" t="str">
        <f>IFERROR(__xludf.DUMMYFUNCTION("""COMPUTED_VALUE"""),"Active")</f>
        <v>Active</v>
      </c>
      <c r="D297" s="265" t="str">
        <f>IFERROR(__xludf.DUMMYFUNCTION("""COMPUTED_VALUE"""),"Sale chưa cung cấp")</f>
        <v>Sale chưa cung cấp</v>
      </c>
      <c r="E297" s="265" t="str">
        <f>IFERROR(__xludf.DUMMYFUNCTION("""COMPUTED_VALUE"""),"Không phân công")</f>
        <v>Không phân công</v>
      </c>
      <c r="F297" s="265" t="str">
        <f>IFERROR(__xludf.DUMMYFUNCTION("""COMPUTED_VALUE"""),"Silver")</f>
        <v>Silver</v>
      </c>
      <c r="G297" s="265" t="str">
        <f>IFERROR(__xludf.DUMMYFUNCTION("""COMPUTED_VALUE"""),"Standard")</f>
        <v>Standard</v>
      </c>
      <c r="H297" s="265" t="str">
        <f>IFERROR(__xludf.DUMMYFUNCTION("""COMPUTED_VALUE"""),"Trả trước")</f>
        <v>Trả trước</v>
      </c>
      <c r="I297" s="265" t="str">
        <f>IFERROR(__xludf.DUMMYFUNCTION("""COMPUTED_VALUE"""),"Portal")</f>
        <v>Portal</v>
      </c>
      <c r="J297" s="265" t="str">
        <f>IFERROR(__xludf.DUMMYFUNCTION("""COMPUTED_VALUE"""),"SMS CSKH")</f>
        <v>SMS CSKH</v>
      </c>
    </row>
    <row r="298">
      <c r="A298" s="265" t="str">
        <f>IFERROR(__xludf.DUMMYFUNCTION("""COMPUTED_VALUE"""),"599")</f>
        <v>599</v>
      </c>
      <c r="B298" s="265" t="str">
        <f>IFERROR(__xludf.DUMMYFUNCTION("""COMPUTED_VALUE"""),"Sài Gòn")</f>
        <v>Sài Gòn</v>
      </c>
      <c r="C298" s="265" t="str">
        <f>IFERROR(__xludf.DUMMYFUNCTION("""COMPUTED_VALUE"""),"Active")</f>
        <v>Active</v>
      </c>
      <c r="D298" s="265" t="str">
        <f>IFERROR(__xludf.DUMMYFUNCTION("""COMPUTED_VALUE"""),"Sale chưa cung cấp")</f>
        <v>Sale chưa cung cấp</v>
      </c>
      <c r="E298" s="265" t="str">
        <f>IFERROR(__xludf.DUMMYFUNCTION("""COMPUTED_VALUE"""),"Không phân công")</f>
        <v>Không phân công</v>
      </c>
      <c r="F298" s="265" t="str">
        <f>IFERROR(__xludf.DUMMYFUNCTION("""COMPUTED_VALUE"""),"Diamond")</f>
        <v>Diamond</v>
      </c>
      <c r="G298" s="265" t="str">
        <f>IFERROR(__xludf.DUMMYFUNCTION("""COMPUTED_VALUE"""),"Enterprise")</f>
        <v>Enterprise</v>
      </c>
      <c r="H298" s="265" t="str">
        <f>IFERROR(__xludf.DUMMYFUNCTION("""COMPUTED_VALUE"""),"Trả sau")</f>
        <v>Trả sau</v>
      </c>
      <c r="I298" s="265" t="str">
        <f>IFERROR(__xludf.DUMMYFUNCTION("""COMPUTED_VALUE"""),"Portal")</f>
        <v>Portal</v>
      </c>
      <c r="J298" s="265" t="str">
        <f>IFERROR(__xludf.DUMMYFUNCTION("""COMPUTED_VALUE"""),"SMS CSKH")</f>
        <v>SMS CSKH</v>
      </c>
    </row>
    <row r="299">
      <c r="A299" s="265" t="str">
        <f>IFERROR(__xludf.DUMMYFUNCTION("""COMPUTED_VALUE"""),"601")</f>
        <v>601</v>
      </c>
      <c r="B299" s="265" t="str">
        <f>IFERROR(__xludf.DUMMYFUNCTION("""COMPUTED_VALUE"""),"Sài Gòn")</f>
        <v>Sài Gòn</v>
      </c>
      <c r="C299" s="265" t="str">
        <f>IFERROR(__xludf.DUMMYFUNCTION("""COMPUTED_VALUE"""),"Locked")</f>
        <v>Locked</v>
      </c>
      <c r="D299" s="265" t="str">
        <f>IFERROR(__xludf.DUMMYFUNCTION("""COMPUTED_VALUE"""),"Sale chưa cung cấp")</f>
        <v>Sale chưa cung cấp</v>
      </c>
      <c r="E299" s="265" t="str">
        <f>IFERROR(__xludf.DUMMYFUNCTION("""COMPUTED_VALUE"""),"HoaNTM")</f>
        <v>HoaNTM</v>
      </c>
      <c r="F299" s="265" t="str">
        <f>IFERROR(__xludf.DUMMYFUNCTION("""COMPUTED_VALUE"""),"Sale chưa cung cấp")</f>
        <v>Sale chưa cung cấp</v>
      </c>
      <c r="G299" s="265" t="str">
        <f>IFERROR(__xludf.DUMMYFUNCTION("""COMPUTED_VALUE"""),"MSG")</f>
        <v>MSG</v>
      </c>
      <c r="H299" s="265" t="str">
        <f>IFERROR(__xludf.DUMMYFUNCTION("""COMPUTED_VALUE"""),"(Chưa recheck)")</f>
        <v>(Chưa recheck)</v>
      </c>
      <c r="I299" s="265" t="str">
        <f>IFERROR(__xludf.DUMMYFUNCTION("""COMPUTED_VALUE"""),"(Chưa recheck)")</f>
        <v>(Chưa recheck)</v>
      </c>
      <c r="J299" s="265" t="str">
        <f>IFERROR(__xludf.DUMMYFUNCTION("""COMPUTED_VALUE"""),"GapOne")</f>
        <v>GapOne</v>
      </c>
    </row>
    <row r="300">
      <c r="A300" s="265" t="str">
        <f>IFERROR(__xludf.DUMMYFUNCTION("""COMPUTED_VALUE"""),"602")</f>
        <v>602</v>
      </c>
      <c r="B300" s="265" t="str">
        <f>IFERROR(__xludf.DUMMYFUNCTION("""COMPUTED_VALUE"""),"Sài Gòn")</f>
        <v>Sài Gòn</v>
      </c>
      <c r="C300" s="265" t="str">
        <f>IFERROR(__xludf.DUMMYFUNCTION("""COMPUTED_VALUE"""),"Locked")</f>
        <v>Locked</v>
      </c>
      <c r="D300" s="265" t="str">
        <f>IFERROR(__xludf.DUMMYFUNCTION("""COMPUTED_VALUE"""),"Sale chưa cung cấp")</f>
        <v>Sale chưa cung cấp</v>
      </c>
      <c r="E300" s="265" t="str">
        <f>IFERROR(__xludf.DUMMYFUNCTION("""COMPUTED_VALUE"""),"Không phân công")</f>
        <v>Không phân công</v>
      </c>
      <c r="F300" s="265" t="str">
        <f>IFERROR(__xludf.DUMMYFUNCTION("""COMPUTED_VALUE"""),"Bronze")</f>
        <v>Bronze</v>
      </c>
      <c r="G300" s="265" t="str">
        <f>IFERROR(__xludf.DUMMYFUNCTION("""COMPUTED_VALUE"""),"Starter")</f>
        <v>Starter</v>
      </c>
      <c r="H300" s="265" t="str">
        <f>IFERROR(__xludf.DUMMYFUNCTION("""COMPUTED_VALUE"""),"Trả trước")</f>
        <v>Trả trước</v>
      </c>
      <c r="I300" s="265" t="str">
        <f>IFERROR(__xludf.DUMMYFUNCTION("""COMPUTED_VALUE"""),"Portal")</f>
        <v>Portal</v>
      </c>
      <c r="J300" s="265" t="str">
        <f>IFERROR(__xludf.DUMMYFUNCTION("""COMPUTED_VALUE"""),"SMS CSKH")</f>
        <v>SMS CSKH</v>
      </c>
    </row>
    <row r="301">
      <c r="A301" s="265" t="str">
        <f>IFERROR(__xludf.DUMMYFUNCTION("""COMPUTED_VALUE"""),"603")</f>
        <v>603</v>
      </c>
      <c r="B301" s="265" t="str">
        <f>IFERROR(__xludf.DUMMYFUNCTION("""COMPUTED_VALUE"""),"Sài Gòn")</f>
        <v>Sài Gòn</v>
      </c>
      <c r="C301" s="265" t="str">
        <f>IFERROR(__xludf.DUMMYFUNCTION("""COMPUTED_VALUE"""),"Locked")</f>
        <v>Locked</v>
      </c>
      <c r="D301" s="265" t="str">
        <f>IFERROR(__xludf.DUMMYFUNCTION("""COMPUTED_VALUE"""),"Sale chưa cung cấp")</f>
        <v>Sale chưa cung cấp</v>
      </c>
      <c r="E301" s="265" t="str">
        <f>IFERROR(__xludf.DUMMYFUNCTION("""COMPUTED_VALUE"""),"Không phân công")</f>
        <v>Không phân công</v>
      </c>
      <c r="F301" s="265" t="str">
        <f>IFERROR(__xludf.DUMMYFUNCTION("""COMPUTED_VALUE"""),"Bronze")</f>
        <v>Bronze</v>
      </c>
      <c r="G301" s="265" t="str">
        <f>IFERROR(__xludf.DUMMYFUNCTION("""COMPUTED_VALUE"""),"Starter")</f>
        <v>Starter</v>
      </c>
      <c r="H301" s="265" t="str">
        <f>IFERROR(__xludf.DUMMYFUNCTION("""COMPUTED_VALUE"""),"Trả trước")</f>
        <v>Trả trước</v>
      </c>
      <c r="I301" s="265" t="str">
        <f>IFERROR(__xludf.DUMMYFUNCTION("""COMPUTED_VALUE"""),"Portal")</f>
        <v>Portal</v>
      </c>
      <c r="J301" s="265" t="str">
        <f>IFERROR(__xludf.DUMMYFUNCTION("""COMPUTED_VALUE"""),"SMS CSKH")</f>
        <v>SMS CSKH</v>
      </c>
    </row>
    <row r="302">
      <c r="A302" s="265" t="str">
        <f>IFERROR(__xludf.DUMMYFUNCTION("""COMPUTED_VALUE"""),"604")</f>
        <v>604</v>
      </c>
      <c r="B302" s="265" t="str">
        <f>IFERROR(__xludf.DUMMYFUNCTION("""COMPUTED_VALUE"""),"Hà Nội")</f>
        <v>Hà Nội</v>
      </c>
      <c r="C302" s="265" t="str">
        <f>IFERROR(__xludf.DUMMYFUNCTION("""COMPUTED_VALUE"""),"Locked")</f>
        <v>Locked</v>
      </c>
      <c r="D302" s="265" t="str">
        <f>IFERROR(__xludf.DUMMYFUNCTION("""COMPUTED_VALUE"""),"Sale chưa cung cấp")</f>
        <v>Sale chưa cung cấp</v>
      </c>
      <c r="E302" s="265" t="str">
        <f>IFERROR(__xludf.DUMMYFUNCTION("""COMPUTED_VALUE"""),"TùngLD")</f>
        <v>TùngLD</v>
      </c>
      <c r="F302" s="265" t="str">
        <f>IFERROR(__xludf.DUMMYFUNCTION("""COMPUTED_VALUE"""),"Sale chưa cung cấp")</f>
        <v>Sale chưa cung cấp</v>
      </c>
      <c r="G302" s="265" t="str">
        <f>IFERROR(__xludf.DUMMYFUNCTION("""COMPUTED_VALUE"""),"Enterprise")</f>
        <v>Enterprise</v>
      </c>
      <c r="H302" s="265" t="str">
        <f>IFERROR(__xludf.DUMMYFUNCTION("""COMPUTED_VALUE"""),"Trial")</f>
        <v>Trial</v>
      </c>
      <c r="I302" s="265" t="str">
        <f>IFERROR(__xludf.DUMMYFUNCTION("""COMPUTED_VALUE"""),"Portal")</f>
        <v>Portal</v>
      </c>
      <c r="J302" s="265" t="str">
        <f>IFERROR(__xludf.DUMMYFUNCTION("""COMPUTED_VALUE"""),"Tất cả")</f>
        <v>Tất cả</v>
      </c>
    </row>
    <row r="303">
      <c r="A303" s="265" t="str">
        <f>IFERROR(__xludf.DUMMYFUNCTION("""COMPUTED_VALUE"""),"605")</f>
        <v>605</v>
      </c>
      <c r="B303" s="265" t="str">
        <f>IFERROR(__xludf.DUMMYFUNCTION("""COMPUTED_VALUE"""),"Hà Nội")</f>
        <v>Hà Nội</v>
      </c>
      <c r="C303" s="265" t="str">
        <f>IFERROR(__xludf.DUMMYFUNCTION("""COMPUTED_VALUE"""),"Active")</f>
        <v>Active</v>
      </c>
      <c r="D303" s="265" t="str">
        <f>IFERROR(__xludf.DUMMYFUNCTION("""COMPUTED_VALUE"""),"Sale chưa cung cấp")</f>
        <v>Sale chưa cung cấp</v>
      </c>
      <c r="E303" s="265" t="str">
        <f>IFERROR(__xludf.DUMMYFUNCTION("""COMPUTED_VALUE"""),"Không phân công")</f>
        <v>Không phân công</v>
      </c>
      <c r="F303" s="265" t="str">
        <f>IFERROR(__xludf.DUMMYFUNCTION("""COMPUTED_VALUE"""),"Bronze")</f>
        <v>Bronze</v>
      </c>
      <c r="G303" s="265" t="str">
        <f>IFERROR(__xludf.DUMMYFUNCTION("""COMPUTED_VALUE"""),"Starter")</f>
        <v>Starter</v>
      </c>
      <c r="H303" s="265" t="str">
        <f>IFERROR(__xludf.DUMMYFUNCTION("""COMPUTED_VALUE"""),"Trả sau")</f>
        <v>Trả sau</v>
      </c>
      <c r="I303" s="265" t="str">
        <f>IFERROR(__xludf.DUMMYFUNCTION("""COMPUTED_VALUE"""),"API")</f>
        <v>API</v>
      </c>
      <c r="J303" s="265" t="str">
        <f>IFERROR(__xludf.DUMMYFUNCTION("""COMPUTED_VALUE"""),"SMS CSKH")</f>
        <v>SMS CSKH</v>
      </c>
    </row>
    <row r="304">
      <c r="A304" s="265" t="str">
        <f>IFERROR(__xludf.DUMMYFUNCTION("""COMPUTED_VALUE"""),"606")</f>
        <v>606</v>
      </c>
      <c r="B304" s="265" t="str">
        <f>IFERROR(__xludf.DUMMYFUNCTION("""COMPUTED_VALUE"""),"Sài Gòn")</f>
        <v>Sài Gòn</v>
      </c>
      <c r="C304" s="265" t="str">
        <f>IFERROR(__xludf.DUMMYFUNCTION("""COMPUTED_VALUE"""),"Locked")</f>
        <v>Locked</v>
      </c>
      <c r="D304" s="265" t="str">
        <f>IFERROR(__xludf.DUMMYFUNCTION("""COMPUTED_VALUE"""),"Sale chưa cung cấp")</f>
        <v>Sale chưa cung cấp</v>
      </c>
      <c r="E304" s="265" t="str">
        <f>IFERROR(__xludf.DUMMYFUNCTION("""COMPUTED_VALUE"""),"HoaNTM")</f>
        <v>HoaNTM</v>
      </c>
      <c r="F304" s="265" t="str">
        <f>IFERROR(__xludf.DUMMYFUNCTION("""COMPUTED_VALUE"""),"Bronze")</f>
        <v>Bronze</v>
      </c>
      <c r="G304" s="265" t="str">
        <f>IFERROR(__xludf.DUMMYFUNCTION("""COMPUTED_VALUE"""),"Enterprise")</f>
        <v>Enterprise</v>
      </c>
      <c r="H304" s="265" t="str">
        <f>IFERROR(__xludf.DUMMYFUNCTION("""COMPUTED_VALUE"""),"(Chưa recheck)")</f>
        <v>(Chưa recheck)</v>
      </c>
      <c r="I304" s="265" t="str">
        <f>IFERROR(__xludf.DUMMYFUNCTION("""COMPUTED_VALUE"""),"(Chưa recheck)")</f>
        <v>(Chưa recheck)</v>
      </c>
      <c r="J304" s="265" t="str">
        <f>IFERROR(__xludf.DUMMYFUNCTION("""COMPUTED_VALUE"""),"GapOne")</f>
        <v>GapOne</v>
      </c>
    </row>
    <row r="305">
      <c r="A305" s="265" t="str">
        <f>IFERROR(__xludf.DUMMYFUNCTION("""COMPUTED_VALUE"""),"609")</f>
        <v>609</v>
      </c>
      <c r="B305" s="265" t="str">
        <f>IFERROR(__xludf.DUMMYFUNCTION("""COMPUTED_VALUE"""),"Sài Gòn")</f>
        <v>Sài Gòn</v>
      </c>
      <c r="C305" s="265" t="str">
        <f>IFERROR(__xludf.DUMMYFUNCTION("""COMPUTED_VALUE"""),"Locked")</f>
        <v>Locked</v>
      </c>
      <c r="D305" s="265" t="str">
        <f>IFERROR(__xludf.DUMMYFUNCTION("""COMPUTED_VALUE"""),"Sale chưa cung cấp")</f>
        <v>Sale chưa cung cấp</v>
      </c>
      <c r="E305" s="265" t="str">
        <f>IFERROR(__xludf.DUMMYFUNCTION("""COMPUTED_VALUE"""),"HoaNTM")</f>
        <v>HoaNTM</v>
      </c>
      <c r="F305" s="265" t="str">
        <f>IFERROR(__xludf.DUMMYFUNCTION("""COMPUTED_VALUE"""),"Gold")</f>
        <v>Gold</v>
      </c>
      <c r="G305" s="265" t="str">
        <f>IFERROR(__xludf.DUMMYFUNCTION("""COMPUTED_VALUE"""),"MSG")</f>
        <v>MSG</v>
      </c>
      <c r="H305" s="265" t="str">
        <f>IFERROR(__xludf.DUMMYFUNCTION("""COMPUTED_VALUE"""),"(Chưa recheck)")</f>
        <v>(Chưa recheck)</v>
      </c>
      <c r="I305" s="265" t="str">
        <f>IFERROR(__xludf.DUMMYFUNCTION("""COMPUTED_VALUE"""),"(Chưa recheck)")</f>
        <v>(Chưa recheck)</v>
      </c>
      <c r="J305" s="265" t="str">
        <f>IFERROR(__xludf.DUMMYFUNCTION("""COMPUTED_VALUE"""),"GapOne")</f>
        <v>GapOne</v>
      </c>
    </row>
    <row r="306">
      <c r="A306" s="265" t="str">
        <f>IFERROR(__xludf.DUMMYFUNCTION("""COMPUTED_VALUE"""),"607")</f>
        <v>607</v>
      </c>
      <c r="B306" s="265" t="str">
        <f>IFERROR(__xludf.DUMMYFUNCTION("""COMPUTED_VALUE"""),"Sài Gòn")</f>
        <v>Sài Gòn</v>
      </c>
      <c r="C306" s="265" t="str">
        <f>IFERROR(__xludf.DUMMYFUNCTION("""COMPUTED_VALUE"""),"Locked")</f>
        <v>Locked</v>
      </c>
      <c r="D306" s="265" t="str">
        <f>IFERROR(__xludf.DUMMYFUNCTION("""COMPUTED_VALUE"""),"Sale chưa cung cấp")</f>
        <v>Sale chưa cung cấp</v>
      </c>
      <c r="E306" s="265" t="str">
        <f>IFERROR(__xludf.DUMMYFUNCTION("""COMPUTED_VALUE"""),"HoaNTM")</f>
        <v>HoaNTM</v>
      </c>
      <c r="F306" s="265" t="str">
        <f>IFERROR(__xludf.DUMMYFUNCTION("""COMPUTED_VALUE"""),"Sale chưa cung cấp")</f>
        <v>Sale chưa cung cấp</v>
      </c>
      <c r="G306" s="265" t="str">
        <f>IFERROR(__xludf.DUMMYFUNCTION("""COMPUTED_VALUE"""),"Enterprise")</f>
        <v>Enterprise</v>
      </c>
      <c r="H306" s="265" t="str">
        <f>IFERROR(__xludf.DUMMYFUNCTION("""COMPUTED_VALUE"""),"Trial")</f>
        <v>Trial</v>
      </c>
      <c r="I306" s="265" t="str">
        <f>IFERROR(__xludf.DUMMYFUNCTION("""COMPUTED_VALUE"""),"(Không recheck)")</f>
        <v>(Không recheck)</v>
      </c>
      <c r="J306" s="265" t="str">
        <f>IFERROR(__xludf.DUMMYFUNCTION("""COMPUTED_VALUE"""),"GapOne")</f>
        <v>GapOne</v>
      </c>
    </row>
    <row r="307">
      <c r="A307" s="265" t="str">
        <f>IFERROR(__xludf.DUMMYFUNCTION("""COMPUTED_VALUE"""),"611")</f>
        <v>611</v>
      </c>
      <c r="B307" s="265" t="str">
        <f>IFERROR(__xludf.DUMMYFUNCTION("""COMPUTED_VALUE"""),"Hà Nội")</f>
        <v>Hà Nội</v>
      </c>
      <c r="C307" s="265" t="str">
        <f>IFERROR(__xludf.DUMMYFUNCTION("""COMPUTED_VALUE"""),"Active")</f>
        <v>Active</v>
      </c>
      <c r="D307" s="265" t="str">
        <f>IFERROR(__xludf.DUMMYFUNCTION("""COMPUTED_VALUE"""),"Sale chưa cung cấp")</f>
        <v>Sale chưa cung cấp</v>
      </c>
      <c r="E307" s="265" t="str">
        <f>IFERROR(__xludf.DUMMYFUNCTION("""COMPUTED_VALUE"""),"TùngLD")</f>
        <v>TùngLD</v>
      </c>
      <c r="F307" s="265" t="str">
        <f>IFERROR(__xludf.DUMMYFUNCTION("""COMPUTED_VALUE"""),"Silver")</f>
        <v>Silver</v>
      </c>
      <c r="G307" s="265" t="str">
        <f>IFERROR(__xludf.DUMMYFUNCTION("""COMPUTED_VALUE"""),"Enterprise")</f>
        <v>Enterprise</v>
      </c>
      <c r="H307" s="265" t="str">
        <f>IFERROR(__xludf.DUMMYFUNCTION("""COMPUTED_VALUE"""),"Trả trước")</f>
        <v>Trả trước</v>
      </c>
      <c r="I307" s="265" t="str">
        <f>IFERROR(__xludf.DUMMYFUNCTION("""COMPUTED_VALUE"""),"API &amp; Portal")</f>
        <v>API &amp; Portal</v>
      </c>
      <c r="J307" s="265" t="str">
        <f>IFERROR(__xludf.DUMMYFUNCTION("""COMPUTED_VALUE"""),"Zalo ZNS")</f>
        <v>Zalo ZNS</v>
      </c>
    </row>
    <row r="308">
      <c r="A308" s="265" t="str">
        <f>IFERROR(__xludf.DUMMYFUNCTION("""COMPUTED_VALUE"""),"612")</f>
        <v>612</v>
      </c>
      <c r="B308" s="265" t="str">
        <f>IFERROR(__xludf.DUMMYFUNCTION("""COMPUTED_VALUE"""),"Hà Nội")</f>
        <v>Hà Nội</v>
      </c>
      <c r="C308" s="265" t="str">
        <f>IFERROR(__xludf.DUMMYFUNCTION("""COMPUTED_VALUE"""),"Locked")</f>
        <v>Locked</v>
      </c>
      <c r="D308" s="265" t="str">
        <f>IFERROR(__xludf.DUMMYFUNCTION("""COMPUTED_VALUE"""),"Sale chưa cung cấp")</f>
        <v>Sale chưa cung cấp</v>
      </c>
      <c r="E308" s="265" t="str">
        <f>IFERROR(__xludf.DUMMYFUNCTION("""COMPUTED_VALUE"""),"TùngLD")</f>
        <v>TùngLD</v>
      </c>
      <c r="F308" s="265" t="str">
        <f>IFERROR(__xludf.DUMMYFUNCTION("""COMPUTED_VALUE"""),"Sale chưa cung cấp")</f>
        <v>Sale chưa cung cấp</v>
      </c>
      <c r="G308" s="265" t="str">
        <f>IFERROR(__xludf.DUMMYFUNCTION("""COMPUTED_VALUE"""),"API")</f>
        <v>API</v>
      </c>
      <c r="H308" s="265" t="str">
        <f>IFERROR(__xludf.DUMMYFUNCTION("""COMPUTED_VALUE"""),"Trả sau")</f>
        <v>Trả sau</v>
      </c>
      <c r="I308" s="265" t="str">
        <f>IFERROR(__xludf.DUMMYFUNCTION("""COMPUTED_VALUE"""),"API")</f>
        <v>API</v>
      </c>
      <c r="J308" s="265" t="str">
        <f>IFERROR(__xludf.DUMMYFUNCTION("""COMPUTED_VALUE"""),"Zalo ZNS")</f>
        <v>Zalo ZNS</v>
      </c>
    </row>
    <row r="309">
      <c r="A309" s="265" t="str">
        <f>IFERROR(__xludf.DUMMYFUNCTION("""COMPUTED_VALUE"""),"610")</f>
        <v>610</v>
      </c>
      <c r="B309" s="265" t="str">
        <f>IFERROR(__xludf.DUMMYFUNCTION("""COMPUTED_VALUE"""),"Hà Nội")</f>
        <v>Hà Nội</v>
      </c>
      <c r="C309" s="265" t="str">
        <f>IFERROR(__xludf.DUMMYFUNCTION("""COMPUTED_VALUE"""),"Locked")</f>
        <v>Locked</v>
      </c>
      <c r="D309" s="265" t="str">
        <f>IFERROR(__xludf.DUMMYFUNCTION("""COMPUTED_VALUE"""),"Sale chưa cung cấp")</f>
        <v>Sale chưa cung cấp</v>
      </c>
      <c r="E309" s="265" t="str">
        <f>IFERROR(__xludf.DUMMYFUNCTION("""COMPUTED_VALUE"""),"TùngLD")</f>
        <v>TùngLD</v>
      </c>
      <c r="F309" s="265" t="str">
        <f>IFERROR(__xludf.DUMMYFUNCTION("""COMPUTED_VALUE"""),"Bronze")</f>
        <v>Bronze</v>
      </c>
      <c r="G309" s="265" t="str">
        <f>IFERROR(__xludf.DUMMYFUNCTION("""COMPUTED_VALUE"""),"Enterprise")</f>
        <v>Enterprise</v>
      </c>
      <c r="H309" s="265" t="str">
        <f>IFERROR(__xludf.DUMMYFUNCTION("""COMPUTED_VALUE"""),"Trả trước")</f>
        <v>Trả trước</v>
      </c>
      <c r="I309" s="265" t="str">
        <f>IFERROR(__xludf.DUMMYFUNCTION("""COMPUTED_VALUE"""),"Portal")</f>
        <v>Portal</v>
      </c>
      <c r="J309" s="265" t="str">
        <f>IFERROR(__xludf.DUMMYFUNCTION("""COMPUTED_VALUE"""),"Zalo ZNS")</f>
        <v>Zalo ZNS</v>
      </c>
    </row>
    <row r="310">
      <c r="A310" s="265" t="str">
        <f>IFERROR(__xludf.DUMMYFUNCTION("""COMPUTED_VALUE"""),"613")</f>
        <v>613</v>
      </c>
      <c r="B310" s="265" t="str">
        <f>IFERROR(__xludf.DUMMYFUNCTION("""COMPUTED_VALUE"""),"Sài Gòn")</f>
        <v>Sài Gòn</v>
      </c>
      <c r="C310" s="265" t="str">
        <f>IFERROR(__xludf.DUMMYFUNCTION("""COMPUTED_VALUE"""),"Locked")</f>
        <v>Locked</v>
      </c>
      <c r="D310" s="265" t="str">
        <f>IFERROR(__xludf.DUMMYFUNCTION("""COMPUTED_VALUE"""),"Sale chưa cung cấp")</f>
        <v>Sale chưa cung cấp</v>
      </c>
      <c r="E310" s="265" t="str">
        <f>IFERROR(__xludf.DUMMYFUNCTION("""COMPUTED_VALUE"""),"HoaNTM")</f>
        <v>HoaNTM</v>
      </c>
      <c r="F310" s="265" t="str">
        <f>IFERROR(__xludf.DUMMYFUNCTION("""COMPUTED_VALUE"""),"Sale chưa cung cấp")</f>
        <v>Sale chưa cung cấp</v>
      </c>
      <c r="G310" s="265" t="str">
        <f>IFERROR(__xludf.DUMMYFUNCTION("""COMPUTED_VALUE"""),"Enterprise")</f>
        <v>Enterprise</v>
      </c>
      <c r="H310" s="265" t="str">
        <f>IFERROR(__xludf.DUMMYFUNCTION("""COMPUTED_VALUE"""),"(Chưa recheck)")</f>
        <v>(Chưa recheck)</v>
      </c>
      <c r="I310" s="265" t="str">
        <f>IFERROR(__xludf.DUMMYFUNCTION("""COMPUTED_VALUE"""),"(Chưa recheck)")</f>
        <v>(Chưa recheck)</v>
      </c>
      <c r="J310" s="265" t="str">
        <f>IFERROR(__xludf.DUMMYFUNCTION("""COMPUTED_VALUE"""),"GapOne")</f>
        <v>GapOne</v>
      </c>
    </row>
    <row r="311">
      <c r="A311" s="265" t="str">
        <f>IFERROR(__xludf.DUMMYFUNCTION("""COMPUTED_VALUE"""),"616")</f>
        <v>616</v>
      </c>
      <c r="B311" s="265" t="str">
        <f>IFERROR(__xludf.DUMMYFUNCTION("""COMPUTED_VALUE"""),"Hà Nội")</f>
        <v>Hà Nội</v>
      </c>
      <c r="C311" s="265" t="str">
        <f>IFERROR(__xludf.DUMMYFUNCTION("""COMPUTED_VALUE"""),"Locked")</f>
        <v>Locked</v>
      </c>
      <c r="D311" s="265" t="str">
        <f>IFERROR(__xludf.DUMMYFUNCTION("""COMPUTED_VALUE"""),"Sale chưa cung cấp")</f>
        <v>Sale chưa cung cấp</v>
      </c>
      <c r="E311" s="265" t="str">
        <f>IFERROR(__xludf.DUMMYFUNCTION("""COMPUTED_VALUE"""),"Không phân công")</f>
        <v>Không phân công</v>
      </c>
      <c r="F311" s="265" t="str">
        <f>IFERROR(__xludf.DUMMYFUNCTION("""COMPUTED_VALUE"""),"Bronze")</f>
        <v>Bronze</v>
      </c>
      <c r="G311" s="265" t="str">
        <f>IFERROR(__xludf.DUMMYFUNCTION("""COMPUTED_VALUE"""),"Enterprise")</f>
        <v>Enterprise</v>
      </c>
      <c r="H311" s="265" t="str">
        <f>IFERROR(__xludf.DUMMYFUNCTION("""COMPUTED_VALUE"""),"Trả sau")</f>
        <v>Trả sau</v>
      </c>
      <c r="I311" s="265" t="str">
        <f>IFERROR(__xludf.DUMMYFUNCTION("""COMPUTED_VALUE"""),"API &amp; Portal")</f>
        <v>API &amp; Portal</v>
      </c>
      <c r="J311" s="265" t="str">
        <f>IFERROR(__xludf.DUMMYFUNCTION("""COMPUTED_VALUE"""),"SMS CSKH")</f>
        <v>SMS CSKH</v>
      </c>
    </row>
    <row r="312">
      <c r="A312" s="265" t="str">
        <f>IFERROR(__xludf.DUMMYFUNCTION("""COMPUTED_VALUE"""),"615")</f>
        <v>615</v>
      </c>
      <c r="B312" s="265" t="str">
        <f>IFERROR(__xludf.DUMMYFUNCTION("""COMPUTED_VALUE"""),"Hà Nội")</f>
        <v>Hà Nội</v>
      </c>
      <c r="C312" s="265" t="str">
        <f>IFERROR(__xludf.DUMMYFUNCTION("""COMPUTED_VALUE"""),"Locked")</f>
        <v>Locked</v>
      </c>
      <c r="D312" s="265" t="str">
        <f>IFERROR(__xludf.DUMMYFUNCTION("""COMPUTED_VALUE"""),"Sale chưa cung cấp")</f>
        <v>Sale chưa cung cấp</v>
      </c>
      <c r="E312" s="265" t="str">
        <f>IFERROR(__xludf.DUMMYFUNCTION("""COMPUTED_VALUE"""),"PhươngDTB")</f>
        <v>PhươngDTB</v>
      </c>
      <c r="F312" s="265" t="str">
        <f>IFERROR(__xludf.DUMMYFUNCTION("""COMPUTED_VALUE"""),"Silver")</f>
        <v>Silver</v>
      </c>
      <c r="G312" s="265" t="str">
        <f>IFERROR(__xludf.DUMMYFUNCTION("""COMPUTED_VALUE"""),"Enterprise")</f>
        <v>Enterprise</v>
      </c>
      <c r="H312" s="265" t="str">
        <f>IFERROR(__xludf.DUMMYFUNCTION("""COMPUTED_VALUE"""),"(Chưa recheck)")</f>
        <v>(Chưa recheck)</v>
      </c>
      <c r="I312" s="265" t="str">
        <f>IFERROR(__xludf.DUMMYFUNCTION("""COMPUTED_VALUE"""),"(Chưa recheck)")</f>
        <v>(Chưa recheck)</v>
      </c>
      <c r="J312" s="265" t="str">
        <f>IFERROR(__xludf.DUMMYFUNCTION("""COMPUTED_VALUE"""),"Tất cả")</f>
        <v>Tất cả</v>
      </c>
    </row>
    <row r="313">
      <c r="A313" s="265" t="str">
        <f>IFERROR(__xludf.DUMMYFUNCTION("""COMPUTED_VALUE"""),"617")</f>
        <v>617</v>
      </c>
      <c r="B313" s="265" t="str">
        <f>IFERROR(__xludf.DUMMYFUNCTION("""COMPUTED_VALUE"""),"Sài Gòn")</f>
        <v>Sài Gòn</v>
      </c>
      <c r="C313" s="265" t="str">
        <f>IFERROR(__xludf.DUMMYFUNCTION("""COMPUTED_VALUE"""),"Locked")</f>
        <v>Locked</v>
      </c>
      <c r="D313" s="265" t="str">
        <f>IFERROR(__xludf.DUMMYFUNCTION("""COMPUTED_VALUE"""),"Sale chưa cung cấp")</f>
        <v>Sale chưa cung cấp</v>
      </c>
      <c r="E313" s="265" t="str">
        <f>IFERROR(__xludf.DUMMYFUNCTION("""COMPUTED_VALUE"""),"HoaNTM")</f>
        <v>HoaNTM</v>
      </c>
      <c r="F313" s="265" t="str">
        <f>IFERROR(__xludf.DUMMYFUNCTION("""COMPUTED_VALUE"""),"Diamond")</f>
        <v>Diamond</v>
      </c>
      <c r="G313" s="265" t="str">
        <f>IFERROR(__xludf.DUMMYFUNCTION("""COMPUTED_VALUE"""),"SIMILAR")</f>
        <v>SIMILAR</v>
      </c>
      <c r="H313" s="265" t="str">
        <f>IFERROR(__xludf.DUMMYFUNCTION("""COMPUTED_VALUE"""),"Trả sau")</f>
        <v>Trả sau</v>
      </c>
      <c r="I313" s="265" t="str">
        <f>IFERROR(__xludf.DUMMYFUNCTION("""COMPUTED_VALUE"""),"(Chưa recheck)")</f>
        <v>(Chưa recheck)</v>
      </c>
      <c r="J313" s="265" t="str">
        <f>IFERROR(__xludf.DUMMYFUNCTION("""COMPUTED_VALUE"""),"GapOne")</f>
        <v>GapOne</v>
      </c>
    </row>
    <row r="314">
      <c r="A314" s="265" t="str">
        <f>IFERROR(__xludf.DUMMYFUNCTION("""COMPUTED_VALUE"""),"608")</f>
        <v>608</v>
      </c>
      <c r="B314" s="265" t="str">
        <f>IFERROR(__xludf.DUMMYFUNCTION("""COMPUTED_VALUE"""),"Hà Nội")</f>
        <v>Hà Nội</v>
      </c>
      <c r="C314" s="265" t="str">
        <f>IFERROR(__xludf.DUMMYFUNCTION("""COMPUTED_VALUE"""),"Locked")</f>
        <v>Locked</v>
      </c>
      <c r="D314" s="265" t="str">
        <f>IFERROR(__xludf.DUMMYFUNCTION("""COMPUTED_VALUE"""),"Sale chưa cung cấp")</f>
        <v>Sale chưa cung cấp</v>
      </c>
      <c r="E314" s="265" t="str">
        <f>IFERROR(__xludf.DUMMYFUNCTION("""COMPUTED_VALUE"""),"TùngLD")</f>
        <v>TùngLD</v>
      </c>
      <c r="F314" s="265" t="str">
        <f>IFERROR(__xludf.DUMMYFUNCTION("""COMPUTED_VALUE"""),"Sale chưa cung cấp")</f>
        <v>Sale chưa cung cấp</v>
      </c>
      <c r="G314" s="265" t="str">
        <f>IFERROR(__xludf.DUMMYFUNCTION("""COMPUTED_VALUE"""),"API")</f>
        <v>API</v>
      </c>
      <c r="H314" s="265" t="str">
        <f>IFERROR(__xludf.DUMMYFUNCTION("""COMPUTED_VALUE"""),"Trial")</f>
        <v>Trial</v>
      </c>
      <c r="I314" s="265" t="str">
        <f>IFERROR(__xludf.DUMMYFUNCTION("""COMPUTED_VALUE"""),"API")</f>
        <v>API</v>
      </c>
      <c r="J314" s="265" t="str">
        <f>IFERROR(__xludf.DUMMYFUNCTION("""COMPUTED_VALUE"""),"(Không recheck)")</f>
        <v>(Không recheck)</v>
      </c>
    </row>
    <row r="315">
      <c r="A315" s="265" t="str">
        <f>IFERROR(__xludf.DUMMYFUNCTION("""COMPUTED_VALUE"""),"618")</f>
        <v>618</v>
      </c>
      <c r="B315" s="265" t="str">
        <f>IFERROR(__xludf.DUMMYFUNCTION("""COMPUTED_VALUE"""),"Hà Nội")</f>
        <v>Hà Nội</v>
      </c>
      <c r="C315" s="265" t="str">
        <f>IFERROR(__xludf.DUMMYFUNCTION("""COMPUTED_VALUE"""),"Active")</f>
        <v>Active</v>
      </c>
      <c r="D315" s="265" t="str">
        <f>IFERROR(__xludf.DUMMYFUNCTION("""COMPUTED_VALUE"""),"Sale chưa cung cấp")</f>
        <v>Sale chưa cung cấp</v>
      </c>
      <c r="E315" s="265" t="str">
        <f>IFERROR(__xludf.DUMMYFUNCTION("""COMPUTED_VALUE"""),"TúPHN")</f>
        <v>TúPHN</v>
      </c>
      <c r="F315" s="265" t="str">
        <f>IFERROR(__xludf.DUMMYFUNCTION("""COMPUTED_VALUE"""),"Gold")</f>
        <v>Gold</v>
      </c>
      <c r="G315" s="265" t="str">
        <f>IFERROR(__xludf.DUMMYFUNCTION("""COMPUTED_VALUE"""),"Premium")</f>
        <v>Premium</v>
      </c>
      <c r="H315" s="265" t="str">
        <f>IFERROR(__xludf.DUMMYFUNCTION("""COMPUTED_VALUE"""),"Trả sau")</f>
        <v>Trả sau</v>
      </c>
      <c r="I315" s="265" t="str">
        <f>IFERROR(__xludf.DUMMYFUNCTION("""COMPUTED_VALUE"""),"Portal")</f>
        <v>Portal</v>
      </c>
      <c r="J315" s="265" t="str">
        <f>IFERROR(__xludf.DUMMYFUNCTION("""COMPUTED_VALUE"""),"SMS CSKH")</f>
        <v>SMS CSKH</v>
      </c>
    </row>
    <row r="316">
      <c r="A316" s="265" t="str">
        <f>IFERROR(__xludf.DUMMYFUNCTION("""COMPUTED_VALUE"""),"618")</f>
        <v>618</v>
      </c>
      <c r="B316" s="265" t="str">
        <f>IFERROR(__xludf.DUMMYFUNCTION("""COMPUTED_VALUE"""),"Hà Nội")</f>
        <v>Hà Nội</v>
      </c>
      <c r="C316" s="265" t="str">
        <f>IFERROR(__xludf.DUMMYFUNCTION("""COMPUTED_VALUE"""),"Active")</f>
        <v>Active</v>
      </c>
      <c r="D316" s="265" t="str">
        <f>IFERROR(__xludf.DUMMYFUNCTION("""COMPUTED_VALUE"""),"Sale chưa cung cấp")</f>
        <v>Sale chưa cung cấp</v>
      </c>
      <c r="E316" s="265" t="str">
        <f>IFERROR(__xludf.DUMMYFUNCTION("""COMPUTED_VALUE"""),"TúPHN")</f>
        <v>TúPHN</v>
      </c>
      <c r="F316" s="265" t="str">
        <f>IFERROR(__xludf.DUMMYFUNCTION("""COMPUTED_VALUE"""),"Gold")</f>
        <v>Gold</v>
      </c>
      <c r="G316" s="265" t="str">
        <f>IFERROR(__xludf.DUMMYFUNCTION("""COMPUTED_VALUE"""),"Premium")</f>
        <v>Premium</v>
      </c>
      <c r="H316" s="265" t="str">
        <f>IFERROR(__xludf.DUMMYFUNCTION("""COMPUTED_VALUE"""),"Trả sau")</f>
        <v>Trả sau</v>
      </c>
      <c r="I316" s="265" t="str">
        <f>IFERROR(__xludf.DUMMYFUNCTION("""COMPUTED_VALUE"""),"Portal")</f>
        <v>Portal</v>
      </c>
      <c r="J316" s="265" t="str">
        <f>IFERROR(__xludf.DUMMYFUNCTION("""COMPUTED_VALUE"""),"Zalo ZNS")</f>
        <v>Zalo ZNS</v>
      </c>
    </row>
    <row r="317">
      <c r="A317" s="265" t="str">
        <f>IFERROR(__xludf.DUMMYFUNCTION("""COMPUTED_VALUE"""),"619")</f>
        <v>619</v>
      </c>
      <c r="B317" s="265" t="str">
        <f>IFERROR(__xludf.DUMMYFUNCTION("""COMPUTED_VALUE"""),"Sài Gòn")</f>
        <v>Sài Gòn</v>
      </c>
      <c r="C317" s="265" t="str">
        <f>IFERROR(__xludf.DUMMYFUNCTION("""COMPUTED_VALUE"""),"Locked")</f>
        <v>Locked</v>
      </c>
      <c r="D317" s="265" t="str">
        <f>IFERROR(__xludf.DUMMYFUNCTION("""COMPUTED_VALUE"""),"Sale chưa cung cấp")</f>
        <v>Sale chưa cung cấp</v>
      </c>
      <c r="E317" s="265" t="str">
        <f>IFERROR(__xludf.DUMMYFUNCTION("""COMPUTED_VALUE"""),"HoaNTM")</f>
        <v>HoaNTM</v>
      </c>
      <c r="F317" s="265" t="str">
        <f>IFERROR(__xludf.DUMMYFUNCTION("""COMPUTED_VALUE"""),"Sale chưa cung cấp")</f>
        <v>Sale chưa cung cấp</v>
      </c>
      <c r="G317" s="265" t="str">
        <f>IFERROR(__xludf.DUMMYFUNCTION("""COMPUTED_VALUE"""),"MSG")</f>
        <v>MSG</v>
      </c>
      <c r="H317" s="265" t="str">
        <f>IFERROR(__xludf.DUMMYFUNCTION("""COMPUTED_VALUE"""),"(Chưa recheck)")</f>
        <v>(Chưa recheck)</v>
      </c>
      <c r="I317" s="265" t="str">
        <f>IFERROR(__xludf.DUMMYFUNCTION("""COMPUTED_VALUE"""),"(Chưa recheck)")</f>
        <v>(Chưa recheck)</v>
      </c>
      <c r="J317" s="265" t="str">
        <f>IFERROR(__xludf.DUMMYFUNCTION("""COMPUTED_VALUE"""),"GapOne")</f>
        <v>GapOne</v>
      </c>
    </row>
    <row r="318">
      <c r="A318" s="265" t="str">
        <f>IFERROR(__xludf.DUMMYFUNCTION("""COMPUTED_VALUE"""),"621")</f>
        <v>621</v>
      </c>
      <c r="B318" s="265" t="str">
        <f>IFERROR(__xludf.DUMMYFUNCTION("""COMPUTED_VALUE"""),"Sài Gòn")</f>
        <v>Sài Gòn</v>
      </c>
      <c r="C318" s="265" t="str">
        <f>IFERROR(__xludf.DUMMYFUNCTION("""COMPUTED_VALUE"""),"Active")</f>
        <v>Active</v>
      </c>
      <c r="D318" s="265" t="str">
        <f>IFERROR(__xludf.DUMMYFUNCTION("""COMPUTED_VALUE"""),"Sale chưa cung cấp")</f>
        <v>Sale chưa cung cấp</v>
      </c>
      <c r="E318" s="265" t="str">
        <f>IFERROR(__xludf.DUMMYFUNCTION("""COMPUTED_VALUE"""),"TúPHN")</f>
        <v>TúPHN</v>
      </c>
      <c r="F318" s="265" t="str">
        <f>IFERROR(__xludf.DUMMYFUNCTION("""COMPUTED_VALUE"""),"Bronze")</f>
        <v>Bronze</v>
      </c>
      <c r="G318" s="265" t="str">
        <f>IFERROR(__xludf.DUMMYFUNCTION("""COMPUTED_VALUE"""),"Enterprise")</f>
        <v>Enterprise</v>
      </c>
      <c r="H318" s="265" t="str">
        <f>IFERROR(__xludf.DUMMYFUNCTION("""COMPUTED_VALUE"""),"Trả trước")</f>
        <v>Trả trước</v>
      </c>
      <c r="I318" s="265" t="str">
        <f>IFERROR(__xludf.DUMMYFUNCTION("""COMPUTED_VALUE"""),"Portal")</f>
        <v>Portal</v>
      </c>
      <c r="J318" s="265" t="str">
        <f>IFERROR(__xludf.DUMMYFUNCTION("""COMPUTED_VALUE"""),"Zalo ZNS")</f>
        <v>Zalo ZNS</v>
      </c>
    </row>
    <row r="319">
      <c r="A319" s="265" t="str">
        <f>IFERROR(__xludf.DUMMYFUNCTION("""COMPUTED_VALUE"""),"622")</f>
        <v>622</v>
      </c>
      <c r="B319" s="265" t="str">
        <f>IFERROR(__xludf.DUMMYFUNCTION("""COMPUTED_VALUE"""),"Hà Nội")</f>
        <v>Hà Nội</v>
      </c>
      <c r="C319" s="265" t="str">
        <f>IFERROR(__xludf.DUMMYFUNCTION("""COMPUTED_VALUE"""),"Locked")</f>
        <v>Locked</v>
      </c>
      <c r="D319" s="265" t="str">
        <f>IFERROR(__xludf.DUMMYFUNCTION("""COMPUTED_VALUE"""),"Sale chưa cung cấp")</f>
        <v>Sale chưa cung cấp</v>
      </c>
      <c r="E319" s="265" t="str">
        <f>IFERROR(__xludf.DUMMYFUNCTION("""COMPUTED_VALUE"""),"AnhNP")</f>
        <v>AnhNP</v>
      </c>
      <c r="F319" s="265" t="str">
        <f>IFERROR(__xludf.DUMMYFUNCTION("""COMPUTED_VALUE"""),"Sale chưa cung cấp")</f>
        <v>Sale chưa cung cấp</v>
      </c>
      <c r="G319" s="265" t="str">
        <f>IFERROR(__xludf.DUMMYFUNCTION("""COMPUTED_VALUE"""),"MSG")</f>
        <v>MSG</v>
      </c>
      <c r="H319" s="265" t="str">
        <f>IFERROR(__xludf.DUMMYFUNCTION("""COMPUTED_VALUE"""),"(Chưa recheck)")</f>
        <v>(Chưa recheck)</v>
      </c>
      <c r="I319" s="265" t="str">
        <f>IFERROR(__xludf.DUMMYFUNCTION("""COMPUTED_VALUE"""),"Portal")</f>
        <v>Portal</v>
      </c>
      <c r="J319" s="265" t="str">
        <f>IFERROR(__xludf.DUMMYFUNCTION("""COMPUTED_VALUE"""),"SMS CSKH")</f>
        <v>SMS CSKH</v>
      </c>
    </row>
    <row r="320">
      <c r="A320" s="265" t="str">
        <f>IFERROR(__xludf.DUMMYFUNCTION("""COMPUTED_VALUE"""),"620")</f>
        <v>620</v>
      </c>
      <c r="B320" s="265" t="str">
        <f>IFERROR(__xludf.DUMMYFUNCTION("""COMPUTED_VALUE"""),"Hà Nội")</f>
        <v>Hà Nội</v>
      </c>
      <c r="C320" s="265" t="str">
        <f>IFERROR(__xludf.DUMMYFUNCTION("""COMPUTED_VALUE"""),"Locked")</f>
        <v>Locked</v>
      </c>
      <c r="D320" s="265" t="str">
        <f>IFERROR(__xludf.DUMMYFUNCTION("""COMPUTED_VALUE"""),"Sale chưa cung cấp")</f>
        <v>Sale chưa cung cấp</v>
      </c>
      <c r="E320" s="265" t="str">
        <f>IFERROR(__xludf.DUMMYFUNCTION("""COMPUTED_VALUE"""),"TùngLD")</f>
        <v>TùngLD</v>
      </c>
      <c r="F320" s="265" t="str">
        <f>IFERROR(__xludf.DUMMYFUNCTION("""COMPUTED_VALUE"""),"Sale chưa cung cấp")</f>
        <v>Sale chưa cung cấp</v>
      </c>
      <c r="G320" s="265" t="str">
        <f>IFERROR(__xludf.DUMMYFUNCTION("""COMPUTED_VALUE"""),"SIMILAR")</f>
        <v>SIMILAR</v>
      </c>
      <c r="H320" s="265" t="str">
        <f>IFERROR(__xludf.DUMMYFUNCTION("""COMPUTED_VALUE"""),"(Chưa recheck)")</f>
        <v>(Chưa recheck)</v>
      </c>
      <c r="I320" s="265" t="str">
        <f>IFERROR(__xludf.DUMMYFUNCTION("""COMPUTED_VALUE"""),"Portal")</f>
        <v>Portal</v>
      </c>
      <c r="J320" s="265" t="str">
        <f>IFERROR(__xludf.DUMMYFUNCTION("""COMPUTED_VALUE"""),"Zalo ZNS")</f>
        <v>Zalo ZNS</v>
      </c>
    </row>
    <row r="321">
      <c r="A321" s="265" t="str">
        <f>IFERROR(__xludf.DUMMYFUNCTION("""COMPUTED_VALUE"""),"623")</f>
        <v>623</v>
      </c>
      <c r="B321" s="265" t="str">
        <f>IFERROR(__xludf.DUMMYFUNCTION("""COMPUTED_VALUE"""),"Sài Gòn")</f>
        <v>Sài Gòn</v>
      </c>
      <c r="C321" s="265" t="str">
        <f>IFERROR(__xludf.DUMMYFUNCTION("""COMPUTED_VALUE"""),"Locked")</f>
        <v>Locked</v>
      </c>
      <c r="D321" s="265" t="str">
        <f>IFERROR(__xludf.DUMMYFUNCTION("""COMPUTED_VALUE"""),"Sale chưa cung cấp")</f>
        <v>Sale chưa cung cấp</v>
      </c>
      <c r="E321" s="265" t="str">
        <f>IFERROR(__xludf.DUMMYFUNCTION("""COMPUTED_VALUE"""),"HoaNTM")</f>
        <v>HoaNTM</v>
      </c>
      <c r="F321" s="265" t="str">
        <f>IFERROR(__xludf.DUMMYFUNCTION("""COMPUTED_VALUE"""),"Sale chưa cung cấp")</f>
        <v>Sale chưa cung cấp</v>
      </c>
      <c r="G321" s="265" t="str">
        <f>IFERROR(__xludf.DUMMYFUNCTION("""COMPUTED_VALUE"""),"MSG")</f>
        <v>MSG</v>
      </c>
      <c r="H321" s="265" t="str">
        <f>IFERROR(__xludf.DUMMYFUNCTION("""COMPUTED_VALUE"""),"Trả sau")</f>
        <v>Trả sau</v>
      </c>
      <c r="I321" s="265" t="str">
        <f>IFERROR(__xludf.DUMMYFUNCTION("""COMPUTED_VALUE"""),"(Chưa recheck)")</f>
        <v>(Chưa recheck)</v>
      </c>
      <c r="J321" s="265" t="str">
        <f>IFERROR(__xludf.DUMMYFUNCTION("""COMPUTED_VALUE"""),"SMS CSKH")</f>
        <v>SMS CSKH</v>
      </c>
    </row>
    <row r="322">
      <c r="A322" s="265" t="str">
        <f>IFERROR(__xludf.DUMMYFUNCTION("""COMPUTED_VALUE"""),"624")</f>
        <v>624</v>
      </c>
      <c r="B322" s="265" t="str">
        <f>IFERROR(__xludf.DUMMYFUNCTION("""COMPUTED_VALUE"""),"Sài Gòn")</f>
        <v>Sài Gòn</v>
      </c>
      <c r="C322" s="265" t="str">
        <f>IFERROR(__xludf.DUMMYFUNCTION("""COMPUTED_VALUE"""),"Locked")</f>
        <v>Locked</v>
      </c>
      <c r="D322" s="265" t="str">
        <f>IFERROR(__xludf.DUMMYFUNCTION("""COMPUTED_VALUE"""),"Sale chưa cung cấp")</f>
        <v>Sale chưa cung cấp</v>
      </c>
      <c r="E322" s="265" t="str">
        <f>IFERROR(__xludf.DUMMYFUNCTION("""COMPUTED_VALUE"""),"TuVTC")</f>
        <v>TuVTC</v>
      </c>
      <c r="F322" s="265" t="str">
        <f>IFERROR(__xludf.DUMMYFUNCTION("""COMPUTED_VALUE"""),"Sale chưa cung cấp")</f>
        <v>Sale chưa cung cấp</v>
      </c>
      <c r="G322" s="265" t="str">
        <f>IFERROR(__xludf.DUMMYFUNCTION("""COMPUTED_VALUE"""),"MSG")</f>
        <v>MSG</v>
      </c>
      <c r="H322" s="265" t="str">
        <f>IFERROR(__xludf.DUMMYFUNCTION("""COMPUTED_VALUE"""),"(Chưa recheck)")</f>
        <v>(Chưa recheck)</v>
      </c>
      <c r="I322" s="265" t="str">
        <f>IFERROR(__xludf.DUMMYFUNCTION("""COMPUTED_VALUE"""),"(Chưa recheck)")</f>
        <v>(Chưa recheck)</v>
      </c>
      <c r="J322" s="265" t="str">
        <f>IFERROR(__xludf.DUMMYFUNCTION("""COMPUTED_VALUE"""),"SMS CSKH")</f>
        <v>SMS CSKH</v>
      </c>
    </row>
    <row r="323">
      <c r="A323" s="265" t="str">
        <f>IFERROR(__xludf.DUMMYFUNCTION("""COMPUTED_VALUE"""),"625")</f>
        <v>625</v>
      </c>
      <c r="B323" s="265" t="str">
        <f>IFERROR(__xludf.DUMMYFUNCTION("""COMPUTED_VALUE"""),"Sài Gòn")</f>
        <v>Sài Gòn</v>
      </c>
      <c r="C323" s="265" t="str">
        <f>IFERROR(__xludf.DUMMYFUNCTION("""COMPUTED_VALUE"""),"Active")</f>
        <v>Active</v>
      </c>
      <c r="D323" s="265" t="str">
        <f>IFERROR(__xludf.DUMMYFUNCTION("""COMPUTED_VALUE"""),"Sale chưa cung cấp")</f>
        <v>Sale chưa cung cấp</v>
      </c>
      <c r="E323" s="265" t="str">
        <f>IFERROR(__xludf.DUMMYFUNCTION("""COMPUTED_VALUE"""),"TúPHN")</f>
        <v>TúPHN</v>
      </c>
      <c r="F323" s="265" t="str">
        <f>IFERROR(__xludf.DUMMYFUNCTION("""COMPUTED_VALUE"""),"Gold")</f>
        <v>Gold</v>
      </c>
      <c r="G323" s="265" t="str">
        <f>IFERROR(__xludf.DUMMYFUNCTION("""COMPUTED_VALUE"""),"GAPONE HUBSPOT")</f>
        <v>GAPONE HUBSPOT</v>
      </c>
      <c r="H323" s="265" t="str">
        <f>IFERROR(__xludf.DUMMYFUNCTION("""COMPUTED_VALUE"""),"Trả sau")</f>
        <v>Trả sau</v>
      </c>
      <c r="I323" s="265" t="str">
        <f>IFERROR(__xludf.DUMMYFUNCTION("""COMPUTED_VALUE"""),"API")</f>
        <v>API</v>
      </c>
      <c r="J323" s="265" t="str">
        <f>IFERROR(__xludf.DUMMYFUNCTION("""COMPUTED_VALUE"""),"Tất cả")</f>
        <v>Tất cả</v>
      </c>
    </row>
    <row r="324">
      <c r="A324" s="265" t="str">
        <f>IFERROR(__xludf.DUMMYFUNCTION("""COMPUTED_VALUE"""),"626")</f>
        <v>626</v>
      </c>
      <c r="B324" s="265" t="str">
        <f>IFERROR(__xludf.DUMMYFUNCTION("""COMPUTED_VALUE"""),"Hà Nội")</f>
        <v>Hà Nội</v>
      </c>
      <c r="C324" s="265" t="str">
        <f>IFERROR(__xludf.DUMMYFUNCTION("""COMPUTED_VALUE"""),"Locked")</f>
        <v>Locked</v>
      </c>
      <c r="D324" s="265" t="str">
        <f>IFERROR(__xludf.DUMMYFUNCTION("""COMPUTED_VALUE"""),"Sale chưa cung cấp")</f>
        <v>Sale chưa cung cấp</v>
      </c>
      <c r="E324" s="265" t="str">
        <f>IFERROR(__xludf.DUMMYFUNCTION("""COMPUTED_VALUE"""),"TùngLD")</f>
        <v>TùngLD</v>
      </c>
      <c r="F324" s="265" t="str">
        <f>IFERROR(__xludf.DUMMYFUNCTION("""COMPUTED_VALUE"""),"Sale chưa cung cấp")</f>
        <v>Sale chưa cung cấp</v>
      </c>
      <c r="G324" s="265" t="str">
        <f>IFERROR(__xludf.DUMMYFUNCTION("""COMPUTED_VALUE"""),"Enterprise")</f>
        <v>Enterprise</v>
      </c>
      <c r="H324" s="265" t="str">
        <f>IFERROR(__xludf.DUMMYFUNCTION("""COMPUTED_VALUE"""),"Trial")</f>
        <v>Trial</v>
      </c>
      <c r="I324" s="265" t="str">
        <f>IFERROR(__xludf.DUMMYFUNCTION("""COMPUTED_VALUE"""),"Portal")</f>
        <v>Portal</v>
      </c>
      <c r="J324" s="265" t="str">
        <f>IFERROR(__xludf.DUMMYFUNCTION("""COMPUTED_VALUE"""),"(Không recheck)")</f>
        <v>(Không recheck)</v>
      </c>
    </row>
    <row r="325">
      <c r="A325" s="265" t="str">
        <f>IFERROR(__xludf.DUMMYFUNCTION("""COMPUTED_VALUE"""),"627")</f>
        <v>627</v>
      </c>
      <c r="B325" s="265" t="str">
        <f>IFERROR(__xludf.DUMMYFUNCTION("""COMPUTED_VALUE"""),"Sài Gòn")</f>
        <v>Sài Gòn</v>
      </c>
      <c r="C325" s="265" t="str">
        <f>IFERROR(__xludf.DUMMYFUNCTION("""COMPUTED_VALUE"""),"Active")</f>
        <v>Active</v>
      </c>
      <c r="D325" s="265" t="str">
        <f>IFERROR(__xludf.DUMMYFUNCTION("""COMPUTED_VALUE"""),"Sale chưa cung cấp")</f>
        <v>Sale chưa cung cấp</v>
      </c>
      <c r="E325" s="265" t="str">
        <f>IFERROR(__xludf.DUMMYFUNCTION("""COMPUTED_VALUE"""),"TùngLD")</f>
        <v>TùngLD</v>
      </c>
      <c r="F325" s="265" t="str">
        <f>IFERROR(__xludf.DUMMYFUNCTION("""COMPUTED_VALUE"""),"Bronze")</f>
        <v>Bronze</v>
      </c>
      <c r="G325" s="265" t="str">
        <f>IFERROR(__xludf.DUMMYFUNCTION("""COMPUTED_VALUE"""),"Starter")</f>
        <v>Starter</v>
      </c>
      <c r="H325" s="265" t="str">
        <f>IFERROR(__xludf.DUMMYFUNCTION("""COMPUTED_VALUE"""),"Trả sau")</f>
        <v>Trả sau</v>
      </c>
      <c r="I325" s="265" t="str">
        <f>IFERROR(__xludf.DUMMYFUNCTION("""COMPUTED_VALUE"""),"API &amp; Portal")</f>
        <v>API &amp; Portal</v>
      </c>
      <c r="J325" s="265" t="str">
        <f>IFERROR(__xludf.DUMMYFUNCTION("""COMPUTED_VALUE"""),"Zalo ZNS")</f>
        <v>Zalo ZNS</v>
      </c>
    </row>
    <row r="326">
      <c r="A326" s="265" t="str">
        <f>IFERROR(__xludf.DUMMYFUNCTION("""COMPUTED_VALUE"""),"628")</f>
        <v>628</v>
      </c>
      <c r="B326" s="265" t="str">
        <f>IFERROR(__xludf.DUMMYFUNCTION("""COMPUTED_VALUE"""),"Hà Nội")</f>
        <v>Hà Nội</v>
      </c>
      <c r="C326" s="265" t="str">
        <f>IFERROR(__xludf.DUMMYFUNCTION("""COMPUTED_VALUE"""),"Locked")</f>
        <v>Locked</v>
      </c>
      <c r="D326" s="265" t="str">
        <f>IFERROR(__xludf.DUMMYFUNCTION("""COMPUTED_VALUE"""),"Bảo hiểm")</f>
        <v>Bảo hiểm</v>
      </c>
      <c r="E326" s="265" t="str">
        <f>IFERROR(__xludf.DUMMYFUNCTION("""COMPUTED_VALUE"""),"TùngLD")</f>
        <v>TùngLD</v>
      </c>
      <c r="F326" s="265" t="str">
        <f>IFERROR(__xludf.DUMMYFUNCTION("""COMPUTED_VALUE"""),"Diamond")</f>
        <v>Diamond</v>
      </c>
      <c r="G326" s="265" t="str">
        <f>IFERROR(__xludf.DUMMYFUNCTION("""COMPUTED_VALUE"""),"Starter")</f>
        <v>Starter</v>
      </c>
      <c r="H326" s="265" t="str">
        <f>IFERROR(__xludf.DUMMYFUNCTION("""COMPUTED_VALUE"""),"Trả sau")</f>
        <v>Trả sau</v>
      </c>
      <c r="I326" s="265" t="str">
        <f>IFERROR(__xludf.DUMMYFUNCTION("""COMPUTED_VALUE"""),"API")</f>
        <v>API</v>
      </c>
      <c r="J326" s="265" t="str">
        <f>IFERROR(__xludf.DUMMYFUNCTION("""COMPUTED_VALUE"""),"SMS CSKH")</f>
        <v>SMS CSKH</v>
      </c>
    </row>
    <row r="327">
      <c r="A327" s="265" t="str">
        <f>IFERROR(__xludf.DUMMYFUNCTION("""COMPUTED_VALUE"""),"628")</f>
        <v>628</v>
      </c>
      <c r="B327" s="265" t="str">
        <f>IFERROR(__xludf.DUMMYFUNCTION("""COMPUTED_VALUE"""),"Hà Nội")</f>
        <v>Hà Nội</v>
      </c>
      <c r="C327" s="265" t="str">
        <f>IFERROR(__xludf.DUMMYFUNCTION("""COMPUTED_VALUE"""),"Locked")</f>
        <v>Locked</v>
      </c>
      <c r="D327" s="265" t="str">
        <f>IFERROR(__xludf.DUMMYFUNCTION("""COMPUTED_VALUE"""),"Bảo hiểm")</f>
        <v>Bảo hiểm</v>
      </c>
      <c r="E327" s="265" t="str">
        <f>IFERROR(__xludf.DUMMYFUNCTION("""COMPUTED_VALUE"""),"TùngLD")</f>
        <v>TùngLD</v>
      </c>
      <c r="F327" s="265" t="str">
        <f>IFERROR(__xludf.DUMMYFUNCTION("""COMPUTED_VALUE"""),"Diamond")</f>
        <v>Diamond</v>
      </c>
      <c r="G327" s="265" t="str">
        <f>IFERROR(__xludf.DUMMYFUNCTION("""COMPUTED_VALUE"""),"Starter")</f>
        <v>Starter</v>
      </c>
      <c r="H327" s="265" t="str">
        <f>IFERROR(__xludf.DUMMYFUNCTION("""COMPUTED_VALUE"""),"Trả sau")</f>
        <v>Trả sau</v>
      </c>
      <c r="I327" s="265" t="str">
        <f>IFERROR(__xludf.DUMMYFUNCTION("""COMPUTED_VALUE"""),"API")</f>
        <v>API</v>
      </c>
      <c r="J327" s="265" t="str">
        <f>IFERROR(__xludf.DUMMYFUNCTION("""COMPUTED_VALUE"""),"Zalo ZNS")</f>
        <v>Zalo ZNS</v>
      </c>
    </row>
    <row r="328">
      <c r="A328" s="265" t="str">
        <f>IFERROR(__xludf.DUMMYFUNCTION("""COMPUTED_VALUE"""),"349")</f>
        <v>349</v>
      </c>
      <c r="B328" s="265" t="str">
        <f>IFERROR(__xludf.DUMMYFUNCTION("""COMPUTED_VALUE"""),"Hà Nội")</f>
        <v>Hà Nội</v>
      </c>
      <c r="C328" s="265" t="str">
        <f>IFERROR(__xludf.DUMMYFUNCTION("""COMPUTED_VALUE"""),"Locked")</f>
        <v>Locked</v>
      </c>
      <c r="D328" s="265" t="str">
        <f>IFERROR(__xludf.DUMMYFUNCTION("""COMPUTED_VALUE"""),"Sale chưa cung cấp")</f>
        <v>Sale chưa cung cấp</v>
      </c>
      <c r="E328" s="265" t="str">
        <f>IFERROR(__xludf.DUMMYFUNCTION("""COMPUTED_VALUE"""),"TúPHN")</f>
        <v>TúPHN</v>
      </c>
      <c r="F328" s="265" t="str">
        <f>IFERROR(__xludf.DUMMYFUNCTION("""COMPUTED_VALUE"""),"Bronze")</f>
        <v>Bronze</v>
      </c>
      <c r="G328" s="265" t="str">
        <f>IFERROR(__xludf.DUMMYFUNCTION("""COMPUTED_VALUE"""),"Starter")</f>
        <v>Starter</v>
      </c>
      <c r="H328" s="265" t="str">
        <f>IFERROR(__xludf.DUMMYFUNCTION("""COMPUTED_VALUE"""),"Trả trước")</f>
        <v>Trả trước</v>
      </c>
      <c r="I328" s="265" t="str">
        <f>IFERROR(__xludf.DUMMYFUNCTION("""COMPUTED_VALUE"""),"Portal")</f>
        <v>Portal</v>
      </c>
      <c r="J328" s="265" t="str">
        <f>IFERROR(__xludf.DUMMYFUNCTION("""COMPUTED_VALUE"""),"Email")</f>
        <v>Email</v>
      </c>
    </row>
    <row r="329">
      <c r="A329" s="265" t="str">
        <f>IFERROR(__xludf.DUMMYFUNCTION("""COMPUTED_VALUE"""),"629")</f>
        <v>629</v>
      </c>
      <c r="B329" s="265" t="str">
        <f>IFERROR(__xludf.DUMMYFUNCTION("""COMPUTED_VALUE"""),"Hà Nội")</f>
        <v>Hà Nội</v>
      </c>
      <c r="C329" s="265" t="str">
        <f>IFERROR(__xludf.DUMMYFUNCTION("""COMPUTED_VALUE"""),"Active")</f>
        <v>Active</v>
      </c>
      <c r="D329" s="265" t="str">
        <f>IFERROR(__xludf.DUMMYFUNCTION("""COMPUTED_VALUE"""),"Sale chưa cung cấp")</f>
        <v>Sale chưa cung cấp</v>
      </c>
      <c r="E329" s="265" t="str">
        <f>IFERROR(__xludf.DUMMYFUNCTION("""COMPUTED_VALUE"""),"Không phân công")</f>
        <v>Không phân công</v>
      </c>
      <c r="F329" s="265" t="str">
        <f>IFERROR(__xludf.DUMMYFUNCTION("""COMPUTED_VALUE"""),"Bronze")</f>
        <v>Bronze</v>
      </c>
      <c r="G329" s="265" t="str">
        <f>IFERROR(__xludf.DUMMYFUNCTION("""COMPUTED_VALUE"""),"Starter")</f>
        <v>Starter</v>
      </c>
      <c r="H329" s="265" t="str">
        <f>IFERROR(__xludf.DUMMYFUNCTION("""COMPUTED_VALUE"""),"Trả sau")</f>
        <v>Trả sau</v>
      </c>
      <c r="I329" s="265" t="str">
        <f>IFERROR(__xludf.DUMMYFUNCTION("""COMPUTED_VALUE"""),"API")</f>
        <v>API</v>
      </c>
      <c r="J329" s="265" t="str">
        <f>IFERROR(__xludf.DUMMYFUNCTION("""COMPUTED_VALUE"""),"SMS CSKH")</f>
        <v>SMS CSKH</v>
      </c>
    </row>
    <row r="330">
      <c r="A330" s="265" t="str">
        <f>IFERROR(__xludf.DUMMYFUNCTION("""COMPUTED_VALUE"""),"631")</f>
        <v>631</v>
      </c>
      <c r="B330" s="265" t="str">
        <f>IFERROR(__xludf.DUMMYFUNCTION("""COMPUTED_VALUE"""),"Sài Gòn")</f>
        <v>Sài Gòn</v>
      </c>
      <c r="C330" s="265" t="str">
        <f>IFERROR(__xludf.DUMMYFUNCTION("""COMPUTED_VALUE"""),"Active")</f>
        <v>Active</v>
      </c>
      <c r="D330" s="265" t="str">
        <f>IFERROR(__xludf.DUMMYFUNCTION("""COMPUTED_VALUE"""),"Sale chưa cung cấp")</f>
        <v>Sale chưa cung cấp</v>
      </c>
      <c r="E330" s="265" t="str">
        <f>IFERROR(__xludf.DUMMYFUNCTION("""COMPUTED_VALUE"""),"AnhNM")</f>
        <v>AnhNM</v>
      </c>
      <c r="F330" s="265" t="str">
        <f>IFERROR(__xludf.DUMMYFUNCTION("""COMPUTED_VALUE"""),"Diamond")</f>
        <v>Diamond</v>
      </c>
      <c r="G330" s="265" t="str">
        <f>IFERROR(__xludf.DUMMYFUNCTION("""COMPUTED_VALUE"""),"Enterprise")</f>
        <v>Enterprise</v>
      </c>
      <c r="H330" s="265" t="str">
        <f>IFERROR(__xludf.DUMMYFUNCTION("""COMPUTED_VALUE"""),"Trả sau")</f>
        <v>Trả sau</v>
      </c>
      <c r="I330" s="265" t="str">
        <f>IFERROR(__xludf.DUMMYFUNCTION("""COMPUTED_VALUE"""),"API")</f>
        <v>API</v>
      </c>
      <c r="J330" s="265" t="str">
        <f>IFERROR(__xludf.DUMMYFUNCTION("""COMPUTED_VALUE"""),"SMS CSKH")</f>
        <v>SMS CSKH</v>
      </c>
    </row>
    <row r="331">
      <c r="A331" s="265" t="str">
        <f>IFERROR(__xludf.DUMMYFUNCTION("""COMPUTED_VALUE"""),"631")</f>
        <v>631</v>
      </c>
      <c r="B331" s="265" t="str">
        <f>IFERROR(__xludf.DUMMYFUNCTION("""COMPUTED_VALUE"""),"Sài Gòn")</f>
        <v>Sài Gòn</v>
      </c>
      <c r="C331" s="265" t="str">
        <f>IFERROR(__xludf.DUMMYFUNCTION("""COMPUTED_VALUE"""),"Active")</f>
        <v>Active</v>
      </c>
      <c r="D331" s="265" t="str">
        <f>IFERROR(__xludf.DUMMYFUNCTION("""COMPUTED_VALUE"""),"Sale chưa cung cấp")</f>
        <v>Sale chưa cung cấp</v>
      </c>
      <c r="E331" s="265" t="str">
        <f>IFERROR(__xludf.DUMMYFUNCTION("""COMPUTED_VALUE"""),"AnhNM")</f>
        <v>AnhNM</v>
      </c>
      <c r="F331" s="265" t="str">
        <f>IFERROR(__xludf.DUMMYFUNCTION("""COMPUTED_VALUE"""),"Diamond")</f>
        <v>Diamond</v>
      </c>
      <c r="G331" s="265" t="str">
        <f>IFERROR(__xludf.DUMMYFUNCTION("""COMPUTED_VALUE"""),"Enterprise")</f>
        <v>Enterprise</v>
      </c>
      <c r="H331" s="265" t="str">
        <f>IFERROR(__xludf.DUMMYFUNCTION("""COMPUTED_VALUE"""),"Trả sau")</f>
        <v>Trả sau</v>
      </c>
      <c r="I331" s="265" t="str">
        <f>IFERROR(__xludf.DUMMYFUNCTION("""COMPUTED_VALUE"""),"API")</f>
        <v>API</v>
      </c>
      <c r="J331" s="265" t="str">
        <f>IFERROR(__xludf.DUMMYFUNCTION("""COMPUTED_VALUE"""),"Zalo ZNS")</f>
        <v>Zalo ZNS</v>
      </c>
    </row>
    <row r="332">
      <c r="A332" s="265" t="str">
        <f>IFERROR(__xludf.DUMMYFUNCTION("""COMPUTED_VALUE"""),"630")</f>
        <v>630</v>
      </c>
      <c r="B332" s="265" t="str">
        <f>IFERROR(__xludf.DUMMYFUNCTION("""COMPUTED_VALUE"""),"Hà Nội")</f>
        <v>Hà Nội</v>
      </c>
      <c r="C332" s="265" t="str">
        <f>IFERROR(__xludf.DUMMYFUNCTION("""COMPUTED_VALUE"""),"Active")</f>
        <v>Active</v>
      </c>
      <c r="D332" s="265" t="str">
        <f>IFERROR(__xludf.DUMMYFUNCTION("""COMPUTED_VALUE"""),"Sale chưa cung cấp")</f>
        <v>Sale chưa cung cấp</v>
      </c>
      <c r="E332" s="265" t="str">
        <f>IFERROR(__xludf.DUMMYFUNCTION("""COMPUTED_VALUE"""),"TúPHN")</f>
        <v>TúPHN</v>
      </c>
      <c r="F332" s="265" t="str">
        <f>IFERROR(__xludf.DUMMYFUNCTION("""COMPUTED_VALUE"""),"Gold")</f>
        <v>Gold</v>
      </c>
      <c r="G332" s="265" t="str">
        <f>IFERROR(__xludf.DUMMYFUNCTION("""COMPUTED_VALUE"""),"Starter")</f>
        <v>Starter</v>
      </c>
      <c r="H332" s="265" t="str">
        <f>IFERROR(__xludf.DUMMYFUNCTION("""COMPUTED_VALUE"""),"Trả sau")</f>
        <v>Trả sau</v>
      </c>
      <c r="I332" s="265" t="str">
        <f>IFERROR(__xludf.DUMMYFUNCTION("""COMPUTED_VALUE"""),"API")</f>
        <v>API</v>
      </c>
      <c r="J332" s="265" t="str">
        <f>IFERROR(__xludf.DUMMYFUNCTION("""COMPUTED_VALUE"""),"Tất cả")</f>
        <v>Tất cả</v>
      </c>
    </row>
    <row r="333">
      <c r="A333" s="265" t="str">
        <f>IFERROR(__xludf.DUMMYFUNCTION("""COMPUTED_VALUE"""),"633")</f>
        <v>633</v>
      </c>
      <c r="B333" s="265" t="str">
        <f>IFERROR(__xludf.DUMMYFUNCTION("""COMPUTED_VALUE"""),"Sài Gòn")</f>
        <v>Sài Gòn</v>
      </c>
      <c r="C333" s="265" t="str">
        <f>IFERROR(__xludf.DUMMYFUNCTION("""COMPUTED_VALUE"""),"Locked")</f>
        <v>Locked</v>
      </c>
      <c r="D333" s="265" t="str">
        <f>IFERROR(__xludf.DUMMYFUNCTION("""COMPUTED_VALUE"""),"Sale chưa cung cấp")</f>
        <v>Sale chưa cung cấp</v>
      </c>
      <c r="E333" s="265" t="str">
        <f>IFERROR(__xludf.DUMMYFUNCTION("""COMPUTED_VALUE"""),"HoaNTM")</f>
        <v>HoaNTM</v>
      </c>
      <c r="F333" s="265" t="str">
        <f>IFERROR(__xludf.DUMMYFUNCTION("""COMPUTED_VALUE"""),"Sale chưa cung cấp")</f>
        <v>Sale chưa cung cấp</v>
      </c>
      <c r="G333" s="265" t="str">
        <f>IFERROR(__xludf.DUMMYFUNCTION("""COMPUTED_VALUE"""),"SIMILAR")</f>
        <v>SIMILAR</v>
      </c>
      <c r="H333" s="265" t="str">
        <f>IFERROR(__xludf.DUMMYFUNCTION("""COMPUTED_VALUE"""),"(Chưa recheck)")</f>
        <v>(Chưa recheck)</v>
      </c>
      <c r="I333" s="265" t="str">
        <f>IFERROR(__xludf.DUMMYFUNCTION("""COMPUTED_VALUE"""),"(Chưa recheck)")</f>
        <v>(Chưa recheck)</v>
      </c>
      <c r="J333" s="265" t="str">
        <f>IFERROR(__xludf.DUMMYFUNCTION("""COMPUTED_VALUE"""),"GapOne")</f>
        <v>GapOne</v>
      </c>
    </row>
    <row r="334">
      <c r="A334" s="265" t="str">
        <f>IFERROR(__xludf.DUMMYFUNCTION("""COMPUTED_VALUE"""),"632")</f>
        <v>632</v>
      </c>
      <c r="B334" s="265" t="str">
        <f>IFERROR(__xludf.DUMMYFUNCTION("""COMPUTED_VALUE"""),"Đà Nẵng")</f>
        <v>Đà Nẵng</v>
      </c>
      <c r="C334" s="265" t="str">
        <f>IFERROR(__xludf.DUMMYFUNCTION("""COMPUTED_VALUE"""),"Active")</f>
        <v>Active</v>
      </c>
      <c r="D334" s="265" t="str">
        <f>IFERROR(__xludf.DUMMYFUNCTION("""COMPUTED_VALUE"""),"Sale chưa cung cấp")</f>
        <v>Sale chưa cung cấp</v>
      </c>
      <c r="E334" s="265" t="str">
        <f>IFERROR(__xludf.DUMMYFUNCTION("""COMPUTED_VALUE"""),"AnhNM")</f>
        <v>AnhNM</v>
      </c>
      <c r="F334" s="265" t="str">
        <f>IFERROR(__xludf.DUMMYFUNCTION("""COMPUTED_VALUE"""),"Silver")</f>
        <v>Silver</v>
      </c>
      <c r="G334" s="265" t="str">
        <f>IFERROR(__xludf.DUMMYFUNCTION("""COMPUTED_VALUE"""),"Premium")</f>
        <v>Premium</v>
      </c>
      <c r="H334" s="265" t="str">
        <f>IFERROR(__xludf.DUMMYFUNCTION("""COMPUTED_VALUE"""),"Trả sau")</f>
        <v>Trả sau</v>
      </c>
      <c r="I334" s="265" t="str">
        <f>IFERROR(__xludf.DUMMYFUNCTION("""COMPUTED_VALUE"""),"Portal")</f>
        <v>Portal</v>
      </c>
      <c r="J334" s="265" t="str">
        <f>IFERROR(__xludf.DUMMYFUNCTION("""COMPUTED_VALUE"""),"Zalo ZNS")</f>
        <v>Zalo ZNS</v>
      </c>
    </row>
    <row r="335">
      <c r="A335" s="265" t="str">
        <f>IFERROR(__xludf.DUMMYFUNCTION("""COMPUTED_VALUE"""),"634")</f>
        <v>634</v>
      </c>
      <c r="B335" s="265" t="str">
        <f>IFERROR(__xludf.DUMMYFUNCTION("""COMPUTED_VALUE"""),"Hà Nội")</f>
        <v>Hà Nội</v>
      </c>
      <c r="C335" s="265" t="str">
        <f>IFERROR(__xludf.DUMMYFUNCTION("""COMPUTED_VALUE"""),"Locked")</f>
        <v>Locked</v>
      </c>
      <c r="D335" s="265" t="str">
        <f>IFERROR(__xludf.DUMMYFUNCTION("""COMPUTED_VALUE"""),"Sale chưa cung cấp")</f>
        <v>Sale chưa cung cấp</v>
      </c>
      <c r="E335" s="265" t="str">
        <f>IFERROR(__xludf.DUMMYFUNCTION("""COMPUTED_VALUE"""),"(Chưa recheck)")</f>
        <v>(Chưa recheck)</v>
      </c>
      <c r="F335" s="265" t="str">
        <f>IFERROR(__xludf.DUMMYFUNCTION("""COMPUTED_VALUE"""),"Sale chưa cung cấp")</f>
        <v>Sale chưa cung cấp</v>
      </c>
      <c r="G335" s="265" t="str">
        <f>IFERROR(__xludf.DUMMYFUNCTION("""COMPUTED_VALUE"""),"MSG")</f>
        <v>MSG</v>
      </c>
      <c r="H335" s="265" t="str">
        <f>IFERROR(__xludf.DUMMYFUNCTION("""COMPUTED_VALUE"""),"Trả sau")</f>
        <v>Trả sau</v>
      </c>
      <c r="I335" s="265" t="str">
        <f>IFERROR(__xludf.DUMMYFUNCTION("""COMPUTED_VALUE"""),"Portal")</f>
        <v>Portal</v>
      </c>
      <c r="J335" s="265" t="str">
        <f>IFERROR(__xludf.DUMMYFUNCTION("""COMPUTED_VALUE"""),"SMS CSKH")</f>
        <v>SMS CSKH</v>
      </c>
    </row>
    <row r="336">
      <c r="A336" s="265" t="str">
        <f>IFERROR(__xludf.DUMMYFUNCTION("""COMPUTED_VALUE"""),"635")</f>
        <v>635</v>
      </c>
      <c r="B336" s="265" t="str">
        <f>IFERROR(__xludf.DUMMYFUNCTION("""COMPUTED_VALUE"""),"Sài Gòn")</f>
        <v>Sài Gòn</v>
      </c>
      <c r="C336" s="265" t="str">
        <f>IFERROR(__xludf.DUMMYFUNCTION("""COMPUTED_VALUE"""),"Locked")</f>
        <v>Locked</v>
      </c>
      <c r="D336" s="265" t="str">
        <f>IFERROR(__xludf.DUMMYFUNCTION("""COMPUTED_VALUE"""),"Sale chưa cung cấp")</f>
        <v>Sale chưa cung cấp</v>
      </c>
      <c r="E336" s="265" t="str">
        <f>IFERROR(__xludf.DUMMYFUNCTION("""COMPUTED_VALUE"""),"HoaNTM")</f>
        <v>HoaNTM</v>
      </c>
      <c r="F336" s="265" t="str">
        <f>IFERROR(__xludf.DUMMYFUNCTION("""COMPUTED_VALUE"""),"Sale chưa cung cấp")</f>
        <v>Sale chưa cung cấp</v>
      </c>
      <c r="G336" s="265" t="str">
        <f>IFERROR(__xludf.DUMMYFUNCTION("""COMPUTED_VALUE"""),"SIMILAR")</f>
        <v>SIMILAR</v>
      </c>
      <c r="H336" s="265" t="str">
        <f>IFERROR(__xludf.DUMMYFUNCTION("""COMPUTED_VALUE"""),"Trả sau")</f>
        <v>Trả sau</v>
      </c>
      <c r="I336" s="265" t="str">
        <f>IFERROR(__xludf.DUMMYFUNCTION("""COMPUTED_VALUE"""),"(Chưa recheck)")</f>
        <v>(Chưa recheck)</v>
      </c>
      <c r="J336" s="265" t="str">
        <f>IFERROR(__xludf.DUMMYFUNCTION("""COMPUTED_VALUE"""),"GapOne")</f>
        <v>GapOne</v>
      </c>
    </row>
    <row r="337">
      <c r="A337" s="265" t="str">
        <f>IFERROR(__xludf.DUMMYFUNCTION("""COMPUTED_VALUE"""),"636")</f>
        <v>636</v>
      </c>
      <c r="B337" s="265" t="str">
        <f>IFERROR(__xludf.DUMMYFUNCTION("""COMPUTED_VALUE"""),"Hà Nội")</f>
        <v>Hà Nội</v>
      </c>
      <c r="C337" s="265" t="str">
        <f>IFERROR(__xludf.DUMMYFUNCTION("""COMPUTED_VALUE"""),"Locked")</f>
        <v>Locked</v>
      </c>
      <c r="D337" s="265" t="str">
        <f>IFERROR(__xludf.DUMMYFUNCTION("""COMPUTED_VALUE"""),"Thực phẩm &amp; Đồ uống")</f>
        <v>Thực phẩm &amp; Đồ uống</v>
      </c>
      <c r="E337" s="265" t="str">
        <f>IFERROR(__xludf.DUMMYFUNCTION("""COMPUTED_VALUE"""),"HangNT")</f>
        <v>HangNT</v>
      </c>
      <c r="F337" s="265" t="str">
        <f>IFERROR(__xludf.DUMMYFUNCTION("""COMPUTED_VALUE"""),"Sale chưa cung cấp")</f>
        <v>Sale chưa cung cấp</v>
      </c>
      <c r="G337" s="265" t="str">
        <f>IFERROR(__xludf.DUMMYFUNCTION("""COMPUTED_VALUE"""),"SIMILAR")</f>
        <v>SIMILAR</v>
      </c>
      <c r="H337" s="265" t="str">
        <f>IFERROR(__xludf.DUMMYFUNCTION("""COMPUTED_VALUE"""),"Trả sau")</f>
        <v>Trả sau</v>
      </c>
      <c r="I337" s="265" t="str">
        <f>IFERROR(__xludf.DUMMYFUNCTION("""COMPUTED_VALUE"""),"Portal")</f>
        <v>Portal</v>
      </c>
      <c r="J337" s="265" t="str">
        <f>IFERROR(__xludf.DUMMYFUNCTION("""COMPUTED_VALUE"""),"SMS CSKH")</f>
        <v>SMS CSKH</v>
      </c>
    </row>
    <row r="338">
      <c r="A338" s="265" t="str">
        <f>IFERROR(__xludf.DUMMYFUNCTION("""COMPUTED_VALUE"""),"637")</f>
        <v>637</v>
      </c>
      <c r="B338" s="265" t="str">
        <f>IFERROR(__xludf.DUMMYFUNCTION("""COMPUTED_VALUE"""),"Đà Nẵng")</f>
        <v>Đà Nẵng</v>
      </c>
      <c r="C338" s="265" t="str">
        <f>IFERROR(__xludf.DUMMYFUNCTION("""COMPUTED_VALUE"""),"Active")</f>
        <v>Active</v>
      </c>
      <c r="D338" s="265" t="str">
        <f>IFERROR(__xludf.DUMMYFUNCTION("""COMPUTED_VALUE"""),"Sale chưa cung cấp")</f>
        <v>Sale chưa cung cấp</v>
      </c>
      <c r="E338" s="265" t="str">
        <f>IFERROR(__xludf.DUMMYFUNCTION("""COMPUTED_VALUE"""),"AnhNM")</f>
        <v>AnhNM</v>
      </c>
      <c r="F338" s="265" t="str">
        <f>IFERROR(__xludf.DUMMYFUNCTION("""COMPUTED_VALUE"""),"Silver")</f>
        <v>Silver</v>
      </c>
      <c r="G338" s="265" t="str">
        <f>IFERROR(__xludf.DUMMYFUNCTION("""COMPUTED_VALUE"""),"Enterprise")</f>
        <v>Enterprise</v>
      </c>
      <c r="H338" s="265" t="str">
        <f>IFERROR(__xludf.DUMMYFUNCTION("""COMPUTED_VALUE"""),"Trả sau")</f>
        <v>Trả sau</v>
      </c>
      <c r="I338" s="265" t="str">
        <f>IFERROR(__xludf.DUMMYFUNCTION("""COMPUTED_VALUE"""),"Portal")</f>
        <v>Portal</v>
      </c>
      <c r="J338" s="265" t="str">
        <f>IFERROR(__xludf.DUMMYFUNCTION("""COMPUTED_VALUE"""),"Zalo ZNS")</f>
        <v>Zalo ZNS</v>
      </c>
    </row>
    <row r="339">
      <c r="A339" s="265" t="str">
        <f>IFERROR(__xludf.DUMMYFUNCTION("""COMPUTED_VALUE"""),"639")</f>
        <v>639</v>
      </c>
      <c r="B339" s="265" t="str">
        <f>IFERROR(__xludf.DUMMYFUNCTION("""COMPUTED_VALUE"""),"Hà Nội")</f>
        <v>Hà Nội</v>
      </c>
      <c r="C339" s="265" t="str">
        <f>IFERROR(__xludf.DUMMYFUNCTION("""COMPUTED_VALUE"""),"Locked")</f>
        <v>Locked</v>
      </c>
      <c r="D339" s="265" t="str">
        <f>IFERROR(__xludf.DUMMYFUNCTION("""COMPUTED_VALUE"""),"Sale chưa cung cấp")</f>
        <v>Sale chưa cung cấp</v>
      </c>
      <c r="E339" s="265" t="str">
        <f>IFERROR(__xludf.DUMMYFUNCTION("""COMPUTED_VALUE"""),"PhươngDTB")</f>
        <v>PhươngDTB</v>
      </c>
      <c r="F339" s="265" t="str">
        <f>IFERROR(__xludf.DUMMYFUNCTION("""COMPUTED_VALUE"""),"Sale chưa cung cấp")</f>
        <v>Sale chưa cung cấp</v>
      </c>
      <c r="G339" s="265" t="str">
        <f>IFERROR(__xludf.DUMMYFUNCTION("""COMPUTED_VALUE"""),"API")</f>
        <v>API</v>
      </c>
      <c r="H339" s="265" t="str">
        <f>IFERROR(__xludf.DUMMYFUNCTION("""COMPUTED_VALUE"""),"Trial")</f>
        <v>Trial</v>
      </c>
      <c r="I339" s="265" t="str">
        <f>IFERROR(__xludf.DUMMYFUNCTION("""COMPUTED_VALUE"""),"API")</f>
        <v>API</v>
      </c>
      <c r="J339" s="265" t="str">
        <f>IFERROR(__xludf.DUMMYFUNCTION("""COMPUTED_VALUE"""),"Zalo ZNS")</f>
        <v>Zalo ZNS</v>
      </c>
    </row>
    <row r="340">
      <c r="A340" s="265" t="str">
        <f>IFERROR(__xludf.DUMMYFUNCTION("""COMPUTED_VALUE"""),"640")</f>
        <v>640</v>
      </c>
      <c r="B340" s="265" t="str">
        <f>IFERROR(__xludf.DUMMYFUNCTION("""COMPUTED_VALUE"""),"Hà Nội")</f>
        <v>Hà Nội</v>
      </c>
      <c r="C340" s="265" t="str">
        <f>IFERROR(__xludf.DUMMYFUNCTION("""COMPUTED_VALUE"""),"Locked")</f>
        <v>Locked</v>
      </c>
      <c r="D340" s="265" t="str">
        <f>IFERROR(__xludf.DUMMYFUNCTION("""COMPUTED_VALUE"""),"Viễn thông")</f>
        <v>Viễn thông</v>
      </c>
      <c r="E340" s="265" t="str">
        <f>IFERROR(__xludf.DUMMYFUNCTION("""COMPUTED_VALUE"""),"TùngLD")</f>
        <v>TùngLD</v>
      </c>
      <c r="F340" s="265" t="str">
        <f>IFERROR(__xludf.DUMMYFUNCTION("""COMPUTED_VALUE"""),"Gold")</f>
        <v>Gold</v>
      </c>
      <c r="G340" s="265" t="str">
        <f>IFERROR(__xludf.DUMMYFUNCTION("""COMPUTED_VALUE"""),"SIMILAR")</f>
        <v>SIMILAR</v>
      </c>
      <c r="H340" s="265" t="str">
        <f>IFERROR(__xludf.DUMMYFUNCTION("""COMPUTED_VALUE"""),"Trả sau")</f>
        <v>Trả sau</v>
      </c>
      <c r="I340" s="265" t="str">
        <f>IFERROR(__xludf.DUMMYFUNCTION("""COMPUTED_VALUE"""),"Portal")</f>
        <v>Portal</v>
      </c>
      <c r="J340" s="265" t="str">
        <f>IFERROR(__xludf.DUMMYFUNCTION("""COMPUTED_VALUE"""),"Zalo ZNS")</f>
        <v>Zalo ZNS</v>
      </c>
    </row>
    <row r="341">
      <c r="A341" s="265" t="str">
        <f>IFERROR(__xludf.DUMMYFUNCTION("""COMPUTED_VALUE"""),"638")</f>
        <v>638</v>
      </c>
      <c r="B341" s="265" t="str">
        <f>IFERROR(__xludf.DUMMYFUNCTION("""COMPUTED_VALUE"""),"Sài Gòn")</f>
        <v>Sài Gòn</v>
      </c>
      <c r="C341" s="265" t="str">
        <f>IFERROR(__xludf.DUMMYFUNCTION("""COMPUTED_VALUE"""),"Locked")</f>
        <v>Locked</v>
      </c>
      <c r="D341" s="265" t="str">
        <f>IFERROR(__xludf.DUMMYFUNCTION("""COMPUTED_VALUE"""),"Sale chưa cung cấp")</f>
        <v>Sale chưa cung cấp</v>
      </c>
      <c r="E341" s="265" t="str">
        <f>IFERROR(__xludf.DUMMYFUNCTION("""COMPUTED_VALUE"""),"HoaNTM")</f>
        <v>HoaNTM</v>
      </c>
      <c r="F341" s="265" t="str">
        <f>IFERROR(__xludf.DUMMYFUNCTION("""COMPUTED_VALUE"""),"Diamond")</f>
        <v>Diamond</v>
      </c>
      <c r="G341" s="265" t="str">
        <f>IFERROR(__xludf.DUMMYFUNCTION("""COMPUTED_VALUE"""),"SIMILAR")</f>
        <v>SIMILAR</v>
      </c>
      <c r="H341" s="265" t="str">
        <f>IFERROR(__xludf.DUMMYFUNCTION("""COMPUTED_VALUE"""),"Trả sau")</f>
        <v>Trả sau</v>
      </c>
      <c r="I341" s="265" t="str">
        <f>IFERROR(__xludf.DUMMYFUNCTION("""COMPUTED_VALUE"""),"(Chưa recheck)")</f>
        <v>(Chưa recheck)</v>
      </c>
      <c r="J341" s="265" t="str">
        <f>IFERROR(__xludf.DUMMYFUNCTION("""COMPUTED_VALUE"""),"GapOne")</f>
        <v>GapOne</v>
      </c>
    </row>
    <row r="342">
      <c r="A342" s="265" t="str">
        <f>IFERROR(__xludf.DUMMYFUNCTION("""COMPUTED_VALUE"""),"641")</f>
        <v>641</v>
      </c>
      <c r="B342" s="265" t="str">
        <f>IFERROR(__xludf.DUMMYFUNCTION("""COMPUTED_VALUE"""),"Sài Gòn")</f>
        <v>Sài Gòn</v>
      </c>
      <c r="C342" s="265" t="str">
        <f>IFERROR(__xludf.DUMMYFUNCTION("""COMPUTED_VALUE"""),"Active")</f>
        <v>Active</v>
      </c>
      <c r="D342" s="265" t="str">
        <f>IFERROR(__xludf.DUMMYFUNCTION("""COMPUTED_VALUE"""),"Sale chưa cung cấp")</f>
        <v>Sale chưa cung cấp</v>
      </c>
      <c r="E342" s="265" t="str">
        <f>IFERROR(__xludf.DUMMYFUNCTION("""COMPUTED_VALUE"""),"Không phân công")</f>
        <v>Không phân công</v>
      </c>
      <c r="F342" s="265" t="str">
        <f>IFERROR(__xludf.DUMMYFUNCTION("""COMPUTED_VALUE"""),"Silver")</f>
        <v>Silver</v>
      </c>
      <c r="G342" s="265" t="str">
        <f>IFERROR(__xludf.DUMMYFUNCTION("""COMPUTED_VALUE"""),"Starter")</f>
        <v>Starter</v>
      </c>
      <c r="H342" s="265" t="str">
        <f>IFERROR(__xludf.DUMMYFUNCTION("""COMPUTED_VALUE"""),"Trả sau")</f>
        <v>Trả sau</v>
      </c>
      <c r="I342" s="265" t="str">
        <f>IFERROR(__xludf.DUMMYFUNCTION("""COMPUTED_VALUE"""),"Portal")</f>
        <v>Portal</v>
      </c>
      <c r="J342" s="265" t="str">
        <f>IFERROR(__xludf.DUMMYFUNCTION("""COMPUTED_VALUE"""),"SMS CSKH")</f>
        <v>SMS CSKH</v>
      </c>
    </row>
    <row r="343">
      <c r="A343" s="265" t="str">
        <f>IFERROR(__xludf.DUMMYFUNCTION("""COMPUTED_VALUE"""),"642")</f>
        <v>642</v>
      </c>
      <c r="B343" s="265" t="str">
        <f>IFERROR(__xludf.DUMMYFUNCTION("""COMPUTED_VALUE"""),"Hà Nội")</f>
        <v>Hà Nội</v>
      </c>
      <c r="C343" s="265" t="str">
        <f>IFERROR(__xludf.DUMMYFUNCTION("""COMPUTED_VALUE"""),"Locked")</f>
        <v>Locked</v>
      </c>
      <c r="D343" s="265" t="str">
        <f>IFERROR(__xludf.DUMMYFUNCTION("""COMPUTED_VALUE"""),"Mua sắm &amp; Bán lẻ")</f>
        <v>Mua sắm &amp; Bán lẻ</v>
      </c>
      <c r="E343" s="265" t="str">
        <f>IFERROR(__xludf.DUMMYFUNCTION("""COMPUTED_VALUE"""),"Không phân công")</f>
        <v>Không phân công</v>
      </c>
      <c r="F343" s="265" t="str">
        <f>IFERROR(__xludf.DUMMYFUNCTION("""COMPUTED_VALUE"""),"Silver")</f>
        <v>Silver</v>
      </c>
      <c r="G343" s="265" t="str">
        <f>IFERROR(__xludf.DUMMYFUNCTION("""COMPUTED_VALUE"""),"Starter")</f>
        <v>Starter</v>
      </c>
      <c r="H343" s="265" t="str">
        <f>IFERROR(__xludf.DUMMYFUNCTION("""COMPUTED_VALUE"""),"Trả sau")</f>
        <v>Trả sau</v>
      </c>
      <c r="I343" s="265" t="str">
        <f>IFERROR(__xludf.DUMMYFUNCTION("""COMPUTED_VALUE"""),"API")</f>
        <v>API</v>
      </c>
      <c r="J343" s="265" t="str">
        <f>IFERROR(__xludf.DUMMYFUNCTION("""COMPUTED_VALUE"""),"SMS CSKH")</f>
        <v>SMS CSKH</v>
      </c>
    </row>
    <row r="344">
      <c r="A344" s="265" t="str">
        <f>IFERROR(__xludf.DUMMYFUNCTION("""COMPUTED_VALUE"""),"402")</f>
        <v>402</v>
      </c>
      <c r="B344" s="265" t="str">
        <f>IFERROR(__xludf.DUMMYFUNCTION("""COMPUTED_VALUE"""),"Hà Nội")</f>
        <v>Hà Nội</v>
      </c>
      <c r="C344" s="265" t="str">
        <f>IFERROR(__xludf.DUMMYFUNCTION("""COMPUTED_VALUE"""),"Locked")</f>
        <v>Locked</v>
      </c>
      <c r="D344" s="265" t="str">
        <f>IFERROR(__xludf.DUMMYFUNCTION("""COMPUTED_VALUE"""),"Sale chưa cung cấp")</f>
        <v>Sale chưa cung cấp</v>
      </c>
      <c r="E344" s="265" t="str">
        <f>IFERROR(__xludf.DUMMYFUNCTION("""COMPUTED_VALUE"""),"PhươngDTB")</f>
        <v>PhươngDTB</v>
      </c>
      <c r="F344" s="265" t="str">
        <f>IFERROR(__xludf.DUMMYFUNCTION("""COMPUTED_VALUE"""),"Gold")</f>
        <v>Gold</v>
      </c>
      <c r="G344" s="265" t="str">
        <f>IFERROR(__xludf.DUMMYFUNCTION("""COMPUTED_VALUE"""),"API")</f>
        <v>API</v>
      </c>
      <c r="H344" s="265" t="str">
        <f>IFERROR(__xludf.DUMMYFUNCTION("""COMPUTED_VALUE"""),"(Chưa recheck)")</f>
        <v>(Chưa recheck)</v>
      </c>
      <c r="I344" s="265" t="str">
        <f>IFERROR(__xludf.DUMMYFUNCTION("""COMPUTED_VALUE"""),"(Chưa recheck)")</f>
        <v>(Chưa recheck)</v>
      </c>
      <c r="J344" s="265" t="str">
        <f>IFERROR(__xludf.DUMMYFUNCTION("""COMPUTED_VALUE"""),"(Chưa recheck)")</f>
        <v>(Chưa recheck)</v>
      </c>
    </row>
    <row r="345">
      <c r="A345" s="265" t="str">
        <f>IFERROR(__xludf.DUMMYFUNCTION("""COMPUTED_VALUE"""),"643")</f>
        <v>643</v>
      </c>
      <c r="B345" s="265" t="str">
        <f>IFERROR(__xludf.DUMMYFUNCTION("""COMPUTED_VALUE"""),"Sài Gòn")</f>
        <v>Sài Gòn</v>
      </c>
      <c r="C345" s="265" t="str">
        <f>IFERROR(__xludf.DUMMYFUNCTION("""COMPUTED_VALUE"""),"Locked")</f>
        <v>Locked</v>
      </c>
      <c r="D345" s="265" t="str">
        <f>IFERROR(__xludf.DUMMYFUNCTION("""COMPUTED_VALUE"""),"Sale chưa cung cấp")</f>
        <v>Sale chưa cung cấp</v>
      </c>
      <c r="E345" s="265" t="str">
        <f>IFERROR(__xludf.DUMMYFUNCTION("""COMPUTED_VALUE"""),"TuVTC")</f>
        <v>TuVTC</v>
      </c>
      <c r="F345" s="265" t="str">
        <f>IFERROR(__xludf.DUMMYFUNCTION("""COMPUTED_VALUE"""),"Sale chưa cung cấp")</f>
        <v>Sale chưa cung cấp</v>
      </c>
      <c r="G345" s="265" t="str">
        <f>IFERROR(__xludf.DUMMYFUNCTION("""COMPUTED_VALUE"""),"MSG")</f>
        <v>MSG</v>
      </c>
      <c r="H345" s="265" t="str">
        <f>IFERROR(__xludf.DUMMYFUNCTION("""COMPUTED_VALUE"""),"(Chưa recheck)")</f>
        <v>(Chưa recheck)</v>
      </c>
      <c r="I345" s="265" t="str">
        <f>IFERROR(__xludf.DUMMYFUNCTION("""COMPUTED_VALUE"""),"(Chưa recheck)")</f>
        <v>(Chưa recheck)</v>
      </c>
      <c r="J345" s="265" t="str">
        <f>IFERROR(__xludf.DUMMYFUNCTION("""COMPUTED_VALUE"""),"GapOne")</f>
        <v>GapOne</v>
      </c>
    </row>
    <row r="346">
      <c r="A346" s="265" t="str">
        <f>IFERROR(__xludf.DUMMYFUNCTION("""COMPUTED_VALUE"""),"644")</f>
        <v>644</v>
      </c>
      <c r="B346" s="265" t="str">
        <f>IFERROR(__xludf.DUMMYFUNCTION("""COMPUTED_VALUE"""),"Sài Gòn")</f>
        <v>Sài Gòn</v>
      </c>
      <c r="C346" s="265" t="str">
        <f>IFERROR(__xludf.DUMMYFUNCTION("""COMPUTED_VALUE"""),"Active")</f>
        <v>Active</v>
      </c>
      <c r="D346" s="265" t="str">
        <f>IFERROR(__xludf.DUMMYFUNCTION("""COMPUTED_VALUE"""),"Sale chưa cung cấp")</f>
        <v>Sale chưa cung cấp</v>
      </c>
      <c r="E346" s="265" t="str">
        <f>IFERROR(__xludf.DUMMYFUNCTION("""COMPUTED_VALUE"""),"TúPHN")</f>
        <v>TúPHN</v>
      </c>
      <c r="F346" s="265" t="str">
        <f>IFERROR(__xludf.DUMMYFUNCTION("""COMPUTED_VALUE"""),"Gold")</f>
        <v>Gold</v>
      </c>
      <c r="G346" s="265" t="str">
        <f>IFERROR(__xludf.DUMMYFUNCTION("""COMPUTED_VALUE"""),"Starter")</f>
        <v>Starter</v>
      </c>
      <c r="H346" s="265" t="str">
        <f>IFERROR(__xludf.DUMMYFUNCTION("""COMPUTED_VALUE"""),"Trả sau")</f>
        <v>Trả sau</v>
      </c>
      <c r="I346" s="265" t="str">
        <f>IFERROR(__xludf.DUMMYFUNCTION("""COMPUTED_VALUE"""),"Portal")</f>
        <v>Portal</v>
      </c>
      <c r="J346" s="265" t="str">
        <f>IFERROR(__xludf.DUMMYFUNCTION("""COMPUTED_VALUE"""),"SMS CSKH")</f>
        <v>SMS CSKH</v>
      </c>
    </row>
    <row r="347">
      <c r="A347" s="265" t="str">
        <f>IFERROR(__xludf.DUMMYFUNCTION("""COMPUTED_VALUE"""),"644")</f>
        <v>644</v>
      </c>
      <c r="B347" s="265" t="str">
        <f>IFERROR(__xludf.DUMMYFUNCTION("""COMPUTED_VALUE"""),"Sài Gòn")</f>
        <v>Sài Gòn</v>
      </c>
      <c r="C347" s="265" t="str">
        <f>IFERROR(__xludf.DUMMYFUNCTION("""COMPUTED_VALUE"""),"Active")</f>
        <v>Active</v>
      </c>
      <c r="D347" s="265" t="str">
        <f>IFERROR(__xludf.DUMMYFUNCTION("""COMPUTED_VALUE"""),"Sale chưa cung cấp")</f>
        <v>Sale chưa cung cấp</v>
      </c>
      <c r="E347" s="265" t="str">
        <f>IFERROR(__xludf.DUMMYFUNCTION("""COMPUTED_VALUE"""),"TúPHN")</f>
        <v>TúPHN</v>
      </c>
      <c r="F347" s="265" t="str">
        <f>IFERROR(__xludf.DUMMYFUNCTION("""COMPUTED_VALUE"""),"Gold")</f>
        <v>Gold</v>
      </c>
      <c r="G347" s="265" t="str">
        <f>IFERROR(__xludf.DUMMYFUNCTION("""COMPUTED_VALUE"""),"Starter")</f>
        <v>Starter</v>
      </c>
      <c r="H347" s="265" t="str">
        <f>IFERROR(__xludf.DUMMYFUNCTION("""COMPUTED_VALUE"""),"Trả sau")</f>
        <v>Trả sau</v>
      </c>
      <c r="I347" s="265" t="str">
        <f>IFERROR(__xludf.DUMMYFUNCTION("""COMPUTED_VALUE"""),"Portal")</f>
        <v>Portal</v>
      </c>
      <c r="J347" s="265" t="str">
        <f>IFERROR(__xludf.DUMMYFUNCTION("""COMPUTED_VALUE"""),"SMS QC")</f>
        <v>SMS QC</v>
      </c>
    </row>
    <row r="348">
      <c r="A348" s="265" t="str">
        <f>IFERROR(__xludf.DUMMYFUNCTION("""COMPUTED_VALUE"""),"644")</f>
        <v>644</v>
      </c>
      <c r="B348" s="265" t="str">
        <f>IFERROR(__xludf.DUMMYFUNCTION("""COMPUTED_VALUE"""),"Sài Gòn")</f>
        <v>Sài Gòn</v>
      </c>
      <c r="C348" s="265" t="str">
        <f>IFERROR(__xludf.DUMMYFUNCTION("""COMPUTED_VALUE"""),"Active")</f>
        <v>Active</v>
      </c>
      <c r="D348" s="265" t="str">
        <f>IFERROR(__xludf.DUMMYFUNCTION("""COMPUTED_VALUE"""),"Sale chưa cung cấp")</f>
        <v>Sale chưa cung cấp</v>
      </c>
      <c r="E348" s="265" t="str">
        <f>IFERROR(__xludf.DUMMYFUNCTION("""COMPUTED_VALUE"""),"TúPHN")</f>
        <v>TúPHN</v>
      </c>
      <c r="F348" s="265" t="str">
        <f>IFERROR(__xludf.DUMMYFUNCTION("""COMPUTED_VALUE"""),"Gold")</f>
        <v>Gold</v>
      </c>
      <c r="G348" s="265" t="str">
        <f>IFERROR(__xludf.DUMMYFUNCTION("""COMPUTED_VALUE"""),"Starter")</f>
        <v>Starter</v>
      </c>
      <c r="H348" s="265" t="str">
        <f>IFERROR(__xludf.DUMMYFUNCTION("""COMPUTED_VALUE"""),"Trả sau")</f>
        <v>Trả sau</v>
      </c>
      <c r="I348" s="265" t="str">
        <f>IFERROR(__xludf.DUMMYFUNCTION("""COMPUTED_VALUE"""),"Portal")</f>
        <v>Portal</v>
      </c>
      <c r="J348" s="265" t="str">
        <f>IFERROR(__xludf.DUMMYFUNCTION("""COMPUTED_VALUE"""),"Zalo ZNS")</f>
        <v>Zalo ZNS</v>
      </c>
    </row>
    <row r="349">
      <c r="A349" s="265" t="str">
        <f>IFERROR(__xludf.DUMMYFUNCTION("""COMPUTED_VALUE"""),"645")</f>
        <v>645</v>
      </c>
      <c r="B349" s="265" t="str">
        <f>IFERROR(__xludf.DUMMYFUNCTION("""COMPUTED_VALUE"""),"Hà Nội")</f>
        <v>Hà Nội</v>
      </c>
      <c r="C349" s="265" t="str">
        <f>IFERROR(__xludf.DUMMYFUNCTION("""COMPUTED_VALUE"""),"Locked")</f>
        <v>Locked</v>
      </c>
      <c r="D349" s="265" t="str">
        <f>IFERROR(__xludf.DUMMYFUNCTION("""COMPUTED_VALUE"""),"Y tế &amp; Dược phẩm")</f>
        <v>Y tế &amp; Dược phẩm</v>
      </c>
      <c r="E349" s="265" t="str">
        <f>IFERROR(__xludf.DUMMYFUNCTION("""COMPUTED_VALUE"""),"HangNT")</f>
        <v>HangNT</v>
      </c>
      <c r="F349" s="265" t="str">
        <f>IFERROR(__xludf.DUMMYFUNCTION("""COMPUTED_VALUE"""),"Bronze")</f>
        <v>Bronze</v>
      </c>
      <c r="G349" s="265" t="str">
        <f>IFERROR(__xludf.DUMMYFUNCTION("""COMPUTED_VALUE"""),"Enterprise")</f>
        <v>Enterprise</v>
      </c>
      <c r="H349" s="265" t="str">
        <f>IFERROR(__xludf.DUMMYFUNCTION("""COMPUTED_VALUE"""),"Trả trước")</f>
        <v>Trả trước</v>
      </c>
      <c r="I349" s="265" t="str">
        <f>IFERROR(__xludf.DUMMYFUNCTION("""COMPUTED_VALUE"""),"Portal")</f>
        <v>Portal</v>
      </c>
      <c r="J349" s="265" t="str">
        <f>IFERROR(__xludf.DUMMYFUNCTION("""COMPUTED_VALUE"""),"Zalo ZNS")</f>
        <v>Zalo ZNS</v>
      </c>
    </row>
    <row r="350">
      <c r="A350" s="265" t="str">
        <f>IFERROR(__xludf.DUMMYFUNCTION("""COMPUTED_VALUE"""),"647")</f>
        <v>647</v>
      </c>
      <c r="B350" s="265" t="str">
        <f>IFERROR(__xludf.DUMMYFUNCTION("""COMPUTED_VALUE"""),"Hà Nội")</f>
        <v>Hà Nội</v>
      </c>
      <c r="C350" s="265" t="str">
        <f>IFERROR(__xludf.DUMMYFUNCTION("""COMPUTED_VALUE"""),"Locked")</f>
        <v>Locked</v>
      </c>
      <c r="D350" s="265" t="str">
        <f>IFERROR(__xludf.DUMMYFUNCTION("""COMPUTED_VALUE"""),"Sale chưa cung cấp")</f>
        <v>Sale chưa cung cấp</v>
      </c>
      <c r="E350" s="265" t="str">
        <f>IFERROR(__xludf.DUMMYFUNCTION("""COMPUTED_VALUE"""),"AnhNP")</f>
        <v>AnhNP</v>
      </c>
      <c r="F350" s="265" t="str">
        <f>IFERROR(__xludf.DUMMYFUNCTION("""COMPUTED_VALUE"""),"Sale chưa cung cấp")</f>
        <v>Sale chưa cung cấp</v>
      </c>
      <c r="G350" s="265" t="str">
        <f>IFERROR(__xludf.DUMMYFUNCTION("""COMPUTED_VALUE"""),"MSG")</f>
        <v>MSG</v>
      </c>
      <c r="H350" s="265" t="str">
        <f>IFERROR(__xludf.DUMMYFUNCTION("""COMPUTED_VALUE"""),"Trial")</f>
        <v>Trial</v>
      </c>
      <c r="I350" s="265" t="str">
        <f>IFERROR(__xludf.DUMMYFUNCTION("""COMPUTED_VALUE"""),"Portal")</f>
        <v>Portal</v>
      </c>
      <c r="J350" s="265" t="str">
        <f>IFERROR(__xludf.DUMMYFUNCTION("""COMPUTED_VALUE"""),"Zalo ZNS")</f>
        <v>Zalo ZNS</v>
      </c>
    </row>
    <row r="351">
      <c r="A351" s="265" t="str">
        <f>IFERROR(__xludf.DUMMYFUNCTION("""COMPUTED_VALUE"""),"651")</f>
        <v>651</v>
      </c>
      <c r="B351" s="265" t="str">
        <f>IFERROR(__xludf.DUMMYFUNCTION("""COMPUTED_VALUE"""),"Hà Nội")</f>
        <v>Hà Nội</v>
      </c>
      <c r="C351" s="265" t="str">
        <f>IFERROR(__xludf.DUMMYFUNCTION("""COMPUTED_VALUE"""),"Active")</f>
        <v>Active</v>
      </c>
      <c r="D351" s="265" t="str">
        <f>IFERROR(__xludf.DUMMYFUNCTION("""COMPUTED_VALUE"""),"Sản xuất &amp; Chế tạo")</f>
        <v>Sản xuất &amp; Chế tạo</v>
      </c>
      <c r="E351" s="265" t="str">
        <f>IFERROR(__xludf.DUMMYFUNCTION("""COMPUTED_VALUE"""),"TúPHN")</f>
        <v>TúPHN</v>
      </c>
      <c r="F351" s="265" t="str">
        <f>IFERROR(__xludf.DUMMYFUNCTION("""COMPUTED_VALUE"""),"Bronze")</f>
        <v>Bronze</v>
      </c>
      <c r="G351" s="265" t="str">
        <f>IFERROR(__xludf.DUMMYFUNCTION("""COMPUTED_VALUE"""),"Standard")</f>
        <v>Standard</v>
      </c>
      <c r="H351" s="265" t="str">
        <f>IFERROR(__xludf.DUMMYFUNCTION("""COMPUTED_VALUE"""),"Trả trước")</f>
        <v>Trả trước</v>
      </c>
      <c r="I351" s="265" t="str">
        <f>IFERROR(__xludf.DUMMYFUNCTION("""COMPUTED_VALUE"""),"API &amp; Portal")</f>
        <v>API &amp; Portal</v>
      </c>
      <c r="J351" s="265" t="str">
        <f>IFERROR(__xludf.DUMMYFUNCTION("""COMPUTED_VALUE"""),"SMS CSKH")</f>
        <v>SMS CSKH</v>
      </c>
    </row>
    <row r="352">
      <c r="A352" s="265" t="str">
        <f>IFERROR(__xludf.DUMMYFUNCTION("""COMPUTED_VALUE"""),"651")</f>
        <v>651</v>
      </c>
      <c r="B352" s="265" t="str">
        <f>IFERROR(__xludf.DUMMYFUNCTION("""COMPUTED_VALUE"""),"Hà Nội")</f>
        <v>Hà Nội</v>
      </c>
      <c r="C352" s="265" t="str">
        <f>IFERROR(__xludf.DUMMYFUNCTION("""COMPUTED_VALUE"""),"Active")</f>
        <v>Active</v>
      </c>
      <c r="D352" s="265" t="str">
        <f>IFERROR(__xludf.DUMMYFUNCTION("""COMPUTED_VALUE"""),"Sản xuất &amp; Chế tạo")</f>
        <v>Sản xuất &amp; Chế tạo</v>
      </c>
      <c r="E352" s="265" t="str">
        <f>IFERROR(__xludf.DUMMYFUNCTION("""COMPUTED_VALUE"""),"TúPHN")</f>
        <v>TúPHN</v>
      </c>
      <c r="F352" s="265" t="str">
        <f>IFERROR(__xludf.DUMMYFUNCTION("""COMPUTED_VALUE"""),"Bronze")</f>
        <v>Bronze</v>
      </c>
      <c r="G352" s="265" t="str">
        <f>IFERROR(__xludf.DUMMYFUNCTION("""COMPUTED_VALUE"""),"Standard")</f>
        <v>Standard</v>
      </c>
      <c r="H352" s="265" t="str">
        <f>IFERROR(__xludf.DUMMYFUNCTION("""COMPUTED_VALUE"""),"Trả trước")</f>
        <v>Trả trước</v>
      </c>
      <c r="I352" s="265" t="str">
        <f>IFERROR(__xludf.DUMMYFUNCTION("""COMPUTED_VALUE"""),"API &amp; Portal")</f>
        <v>API &amp; Portal</v>
      </c>
      <c r="J352" s="265" t="str">
        <f>IFERROR(__xludf.DUMMYFUNCTION("""COMPUTED_VALUE"""),"SMS QC")</f>
        <v>SMS QC</v>
      </c>
    </row>
    <row r="353">
      <c r="A353" s="265" t="str">
        <f>IFERROR(__xludf.DUMMYFUNCTION("""COMPUTED_VALUE"""),"651")</f>
        <v>651</v>
      </c>
      <c r="B353" s="265" t="str">
        <f>IFERROR(__xludf.DUMMYFUNCTION("""COMPUTED_VALUE"""),"Hà Nội")</f>
        <v>Hà Nội</v>
      </c>
      <c r="C353" s="265" t="str">
        <f>IFERROR(__xludf.DUMMYFUNCTION("""COMPUTED_VALUE"""),"Active")</f>
        <v>Active</v>
      </c>
      <c r="D353" s="265" t="str">
        <f>IFERROR(__xludf.DUMMYFUNCTION("""COMPUTED_VALUE"""),"Sản xuất &amp; Chế tạo")</f>
        <v>Sản xuất &amp; Chế tạo</v>
      </c>
      <c r="E353" s="265" t="str">
        <f>IFERROR(__xludf.DUMMYFUNCTION("""COMPUTED_VALUE"""),"TúPHN")</f>
        <v>TúPHN</v>
      </c>
      <c r="F353" s="265" t="str">
        <f>IFERROR(__xludf.DUMMYFUNCTION("""COMPUTED_VALUE"""),"Bronze")</f>
        <v>Bronze</v>
      </c>
      <c r="G353" s="265" t="str">
        <f>IFERROR(__xludf.DUMMYFUNCTION("""COMPUTED_VALUE"""),"Standard")</f>
        <v>Standard</v>
      </c>
      <c r="H353" s="265" t="str">
        <f>IFERROR(__xludf.DUMMYFUNCTION("""COMPUTED_VALUE"""),"Trả trước")</f>
        <v>Trả trước</v>
      </c>
      <c r="I353" s="265" t="str">
        <f>IFERROR(__xludf.DUMMYFUNCTION("""COMPUTED_VALUE"""),"API &amp; Portal")</f>
        <v>API &amp; Portal</v>
      </c>
      <c r="J353" s="265" t="str">
        <f>IFERROR(__xludf.DUMMYFUNCTION("""COMPUTED_VALUE"""),"Zalo ZNS")</f>
        <v>Zalo ZNS</v>
      </c>
    </row>
    <row r="354">
      <c r="A354" s="265" t="str">
        <f>IFERROR(__xludf.DUMMYFUNCTION("""COMPUTED_VALUE"""),"646")</f>
        <v>646</v>
      </c>
      <c r="B354" s="265" t="str">
        <f>IFERROR(__xludf.DUMMYFUNCTION("""COMPUTED_VALUE"""),"Sài Gòn")</f>
        <v>Sài Gòn</v>
      </c>
      <c r="C354" s="265" t="str">
        <f>IFERROR(__xludf.DUMMYFUNCTION("""COMPUTED_VALUE"""),"Locked")</f>
        <v>Locked</v>
      </c>
      <c r="D354" s="265" t="str">
        <f>IFERROR(__xludf.DUMMYFUNCTION("""COMPUTED_VALUE"""),"Hành chính công")</f>
        <v>Hành chính công</v>
      </c>
      <c r="E354" s="265" t="str">
        <f>IFERROR(__xludf.DUMMYFUNCTION("""COMPUTED_VALUE"""),"TùngLD")</f>
        <v>TùngLD</v>
      </c>
      <c r="F354" s="265" t="str">
        <f>IFERROR(__xludf.DUMMYFUNCTION("""COMPUTED_VALUE"""),"Gold")</f>
        <v>Gold</v>
      </c>
      <c r="G354" s="265" t="str">
        <f>IFERROR(__xludf.DUMMYFUNCTION("""COMPUTED_VALUE"""),"Enterprise")</f>
        <v>Enterprise</v>
      </c>
      <c r="H354" s="265" t="str">
        <f>IFERROR(__xludf.DUMMYFUNCTION("""COMPUTED_VALUE"""),"(Chưa recheck)")</f>
        <v>(Chưa recheck)</v>
      </c>
      <c r="I354" s="265" t="str">
        <f>IFERROR(__xludf.DUMMYFUNCTION("""COMPUTED_VALUE"""),"Portal")</f>
        <v>Portal</v>
      </c>
      <c r="J354" s="265" t="str">
        <f>IFERROR(__xludf.DUMMYFUNCTION("""COMPUTED_VALUE"""),"Zalo ZNS")</f>
        <v>Zalo ZNS</v>
      </c>
    </row>
    <row r="355">
      <c r="A355" s="265" t="str">
        <f>IFERROR(__xludf.DUMMYFUNCTION("""COMPUTED_VALUE"""),"648")</f>
        <v>648</v>
      </c>
      <c r="B355" s="265" t="str">
        <f>IFERROR(__xludf.DUMMYFUNCTION("""COMPUTED_VALUE"""),"Sài Gòn")</f>
        <v>Sài Gòn</v>
      </c>
      <c r="C355" s="265" t="str">
        <f>IFERROR(__xludf.DUMMYFUNCTION("""COMPUTED_VALUE"""),"Locked")</f>
        <v>Locked</v>
      </c>
      <c r="D355" s="265" t="str">
        <f>IFERROR(__xludf.DUMMYFUNCTION("""COMPUTED_VALUE"""),"Sale chưa cung cấp")</f>
        <v>Sale chưa cung cấp</v>
      </c>
      <c r="E355" s="265" t="str">
        <f>IFERROR(__xludf.DUMMYFUNCTION("""COMPUTED_VALUE"""),"(Không recheck)")</f>
        <v>(Không recheck)</v>
      </c>
      <c r="F355" s="265" t="str">
        <f>IFERROR(__xludf.DUMMYFUNCTION("""COMPUTED_VALUE"""),"Diamond")</f>
        <v>Diamond</v>
      </c>
      <c r="G355" s="265" t="str">
        <f>IFERROR(__xludf.DUMMYFUNCTION("""COMPUTED_VALUE"""),"Enterprise")</f>
        <v>Enterprise</v>
      </c>
      <c r="H355" s="265" t="str">
        <f>IFERROR(__xludf.DUMMYFUNCTION("""COMPUTED_VALUE"""),"Trial")</f>
        <v>Trial</v>
      </c>
      <c r="I355" s="265" t="str">
        <f>IFERROR(__xludf.DUMMYFUNCTION("""COMPUTED_VALUE"""),"(Không recheck)")</f>
        <v>(Không recheck)</v>
      </c>
      <c r="J355" s="265" t="str">
        <f>IFERROR(__xludf.DUMMYFUNCTION("""COMPUTED_VALUE"""),"(Không recheck)")</f>
        <v>(Không recheck)</v>
      </c>
    </row>
    <row r="356">
      <c r="A356" s="265" t="str">
        <f>IFERROR(__xludf.DUMMYFUNCTION("""COMPUTED_VALUE"""),"649")</f>
        <v>649</v>
      </c>
      <c r="B356" s="265" t="str">
        <f>IFERROR(__xludf.DUMMYFUNCTION("""COMPUTED_VALUE"""),"Sài Gòn")</f>
        <v>Sài Gòn</v>
      </c>
      <c r="C356" s="265" t="str">
        <f>IFERROR(__xludf.DUMMYFUNCTION("""COMPUTED_VALUE"""),"Locked")</f>
        <v>Locked</v>
      </c>
      <c r="D356" s="265" t="str">
        <f>IFERROR(__xludf.DUMMYFUNCTION("""COMPUTED_VALUE"""),"Sale chưa cung cấp")</f>
        <v>Sale chưa cung cấp</v>
      </c>
      <c r="E356" s="265" t="str">
        <f>IFERROR(__xludf.DUMMYFUNCTION("""COMPUTED_VALUE"""),"HoaNTM")</f>
        <v>HoaNTM</v>
      </c>
      <c r="F356" s="265" t="str">
        <f>IFERROR(__xludf.DUMMYFUNCTION("""COMPUTED_VALUE"""),"Silver")</f>
        <v>Silver</v>
      </c>
      <c r="G356" s="265" t="str">
        <f>IFERROR(__xludf.DUMMYFUNCTION("""COMPUTED_VALUE"""),"Enterprise")</f>
        <v>Enterprise</v>
      </c>
      <c r="H356" s="265" t="str">
        <f>IFERROR(__xludf.DUMMYFUNCTION("""COMPUTED_VALUE"""),"(Chưa recheck)")</f>
        <v>(Chưa recheck)</v>
      </c>
      <c r="I356" s="265" t="str">
        <f>IFERROR(__xludf.DUMMYFUNCTION("""COMPUTED_VALUE"""),"(Chưa recheck)")</f>
        <v>(Chưa recheck)</v>
      </c>
      <c r="J356" s="265" t="str">
        <f>IFERROR(__xludf.DUMMYFUNCTION("""COMPUTED_VALUE"""),"GapOne")</f>
        <v>GapOne</v>
      </c>
    </row>
    <row r="357">
      <c r="A357" s="265" t="str">
        <f>IFERROR(__xludf.DUMMYFUNCTION("""COMPUTED_VALUE"""),"650")</f>
        <v>650</v>
      </c>
      <c r="B357" s="265" t="str">
        <f>IFERROR(__xludf.DUMMYFUNCTION("""COMPUTED_VALUE"""),"Hà Nội")</f>
        <v>Hà Nội</v>
      </c>
      <c r="C357" s="265" t="str">
        <f>IFERROR(__xludf.DUMMYFUNCTION("""COMPUTED_VALUE"""),"Active")</f>
        <v>Active</v>
      </c>
      <c r="D357" s="265" t="str">
        <f>IFERROR(__xludf.DUMMYFUNCTION("""COMPUTED_VALUE"""),"Sản xuất &amp; Chế tạo")</f>
        <v>Sản xuất &amp; Chế tạo</v>
      </c>
      <c r="E357" s="265" t="str">
        <f>IFERROR(__xludf.DUMMYFUNCTION("""COMPUTED_VALUE"""),"AnhNM")</f>
        <v>AnhNM</v>
      </c>
      <c r="F357" s="265" t="str">
        <f>IFERROR(__xludf.DUMMYFUNCTION("""COMPUTED_VALUE"""),"Bronze")</f>
        <v>Bronze</v>
      </c>
      <c r="G357" s="265" t="str">
        <f>IFERROR(__xludf.DUMMYFUNCTION("""COMPUTED_VALUE"""),"Premium")</f>
        <v>Premium</v>
      </c>
      <c r="H357" s="265" t="str">
        <f>IFERROR(__xludf.DUMMYFUNCTION("""COMPUTED_VALUE"""),"Trả sau")</f>
        <v>Trả sau</v>
      </c>
      <c r="I357" s="265" t="str">
        <f>IFERROR(__xludf.DUMMYFUNCTION("""COMPUTED_VALUE"""),"API")</f>
        <v>API</v>
      </c>
      <c r="J357" s="265" t="str">
        <f>IFERROR(__xludf.DUMMYFUNCTION("""COMPUTED_VALUE"""),"Zalo ZNS")</f>
        <v>Zalo ZNS</v>
      </c>
    </row>
    <row r="358">
      <c r="A358" s="265" t="str">
        <f>IFERROR(__xludf.DUMMYFUNCTION("""COMPUTED_VALUE"""),"652")</f>
        <v>652</v>
      </c>
      <c r="B358" s="265" t="str">
        <f>IFERROR(__xludf.DUMMYFUNCTION("""COMPUTED_VALUE"""),"Hà Nội")</f>
        <v>Hà Nội</v>
      </c>
      <c r="C358" s="265" t="str">
        <f>IFERROR(__xludf.DUMMYFUNCTION("""COMPUTED_VALUE"""),"Locked")</f>
        <v>Locked</v>
      </c>
      <c r="D358" s="265" t="str">
        <f>IFERROR(__xludf.DUMMYFUNCTION("""COMPUTED_VALUE"""),"Y tế &amp; Dược phẩm")</f>
        <v>Y tế &amp; Dược phẩm</v>
      </c>
      <c r="E358" s="265" t="str">
        <f>IFERROR(__xludf.DUMMYFUNCTION("""COMPUTED_VALUE"""),"NamDT")</f>
        <v>NamDT</v>
      </c>
      <c r="F358" s="265" t="str">
        <f>IFERROR(__xludf.DUMMYFUNCTION("""COMPUTED_VALUE"""),"Sale chưa cung cấp")</f>
        <v>Sale chưa cung cấp</v>
      </c>
      <c r="G358" s="265" t="str">
        <f>IFERROR(__xludf.DUMMYFUNCTION("""COMPUTED_VALUE"""),"Enterprise")</f>
        <v>Enterprise</v>
      </c>
      <c r="H358" s="265" t="str">
        <f>IFERROR(__xludf.DUMMYFUNCTION("""COMPUTED_VALUE"""),"Trả trước")</f>
        <v>Trả trước</v>
      </c>
      <c r="I358" s="265" t="str">
        <f>IFERROR(__xludf.DUMMYFUNCTION("""COMPUTED_VALUE"""),"Portal")</f>
        <v>Portal</v>
      </c>
      <c r="J358" s="265" t="str">
        <f>IFERROR(__xludf.DUMMYFUNCTION("""COMPUTED_VALUE"""),"Zalo ZNS")</f>
        <v>Zalo ZNS</v>
      </c>
    </row>
    <row r="359">
      <c r="A359" s="265" t="str">
        <f>IFERROR(__xludf.DUMMYFUNCTION("""COMPUTED_VALUE"""),"654")</f>
        <v>654</v>
      </c>
      <c r="B359" s="265" t="str">
        <f>IFERROR(__xludf.DUMMYFUNCTION("""COMPUTED_VALUE"""),"Sài Gòn")</f>
        <v>Sài Gòn</v>
      </c>
      <c r="C359" s="265" t="str">
        <f>IFERROR(__xludf.DUMMYFUNCTION("""COMPUTED_VALUE"""),"Locked")</f>
        <v>Locked</v>
      </c>
      <c r="D359" s="265" t="str">
        <f>IFERROR(__xludf.DUMMYFUNCTION("""COMPUTED_VALUE"""),"Viễn thông")</f>
        <v>Viễn thông</v>
      </c>
      <c r="E359" s="265" t="str">
        <f>IFERROR(__xludf.DUMMYFUNCTION("""COMPUTED_VALUE"""),"HoaNTM")</f>
        <v>HoaNTM</v>
      </c>
      <c r="F359" s="265" t="str">
        <f>IFERROR(__xludf.DUMMYFUNCTION("""COMPUTED_VALUE"""),"Sale chưa cung cấp")</f>
        <v>Sale chưa cung cấp</v>
      </c>
      <c r="G359" s="265" t="str">
        <f>IFERROR(__xludf.DUMMYFUNCTION("""COMPUTED_VALUE"""),"Enterprise")</f>
        <v>Enterprise</v>
      </c>
      <c r="H359" s="265" t="str">
        <f>IFERROR(__xludf.DUMMYFUNCTION("""COMPUTED_VALUE"""),"Trả sau")</f>
        <v>Trả sau</v>
      </c>
      <c r="I359" s="265" t="str">
        <f>IFERROR(__xludf.DUMMYFUNCTION("""COMPUTED_VALUE"""),"API &amp; Portal")</f>
        <v>API &amp; Portal</v>
      </c>
      <c r="J359" s="265" t="str">
        <f>IFERROR(__xludf.DUMMYFUNCTION("""COMPUTED_VALUE"""),"GapOne")</f>
        <v>GapOne</v>
      </c>
    </row>
    <row r="360">
      <c r="A360" s="265" t="str">
        <f>IFERROR(__xludf.DUMMYFUNCTION("""COMPUTED_VALUE"""),"655")</f>
        <v>655</v>
      </c>
      <c r="B360" s="265" t="str">
        <f>IFERROR(__xludf.DUMMYFUNCTION("""COMPUTED_VALUE"""),"Sài Gòn")</f>
        <v>Sài Gòn</v>
      </c>
      <c r="C360" s="265" t="str">
        <f>IFERROR(__xludf.DUMMYFUNCTION("""COMPUTED_VALUE"""),"Active")</f>
        <v>Active</v>
      </c>
      <c r="D360" s="265" t="str">
        <f>IFERROR(__xludf.DUMMYFUNCTION("""COMPUTED_VALUE"""),"Thực phẩm &amp; Đồ uống")</f>
        <v>Thực phẩm &amp; Đồ uống</v>
      </c>
      <c r="E360" s="265" t="str">
        <f>IFERROR(__xludf.DUMMYFUNCTION("""COMPUTED_VALUE"""),"TùngLD")</f>
        <v>TùngLD</v>
      </c>
      <c r="F360" s="265" t="str">
        <f>IFERROR(__xludf.DUMMYFUNCTION("""COMPUTED_VALUE"""),"Diamond")</f>
        <v>Diamond</v>
      </c>
      <c r="G360" s="265" t="str">
        <f>IFERROR(__xludf.DUMMYFUNCTION("""COMPUTED_VALUE"""),"Enterprise")</f>
        <v>Enterprise</v>
      </c>
      <c r="H360" s="265" t="str">
        <f>IFERROR(__xludf.DUMMYFUNCTION("""COMPUTED_VALUE"""),"Trả sau")</f>
        <v>Trả sau</v>
      </c>
      <c r="I360" s="265" t="str">
        <f>IFERROR(__xludf.DUMMYFUNCTION("""COMPUTED_VALUE"""),"API")</f>
        <v>API</v>
      </c>
      <c r="J360" s="265" t="str">
        <f>IFERROR(__xludf.DUMMYFUNCTION("""COMPUTED_VALUE"""),"Zalo ZNS")</f>
        <v>Zalo ZNS</v>
      </c>
    </row>
    <row r="361">
      <c r="A361" s="265" t="str">
        <f>IFERROR(__xludf.DUMMYFUNCTION("""COMPUTED_VALUE"""),"656")</f>
        <v>656</v>
      </c>
      <c r="B361" s="265" t="str">
        <f>IFERROR(__xludf.DUMMYFUNCTION("""COMPUTED_VALUE"""),"Hà Nội")</f>
        <v>Hà Nội</v>
      </c>
      <c r="C361" s="265" t="str">
        <f>IFERROR(__xludf.DUMMYFUNCTION("""COMPUTED_VALUE"""),"Locked")</f>
        <v>Locked</v>
      </c>
      <c r="D361" s="265" t="str">
        <f>IFERROR(__xludf.DUMMYFUNCTION("""COMPUTED_VALUE"""),"Giáo dục &amp; Đào tạo")</f>
        <v>Giáo dục &amp; Đào tạo</v>
      </c>
      <c r="E361" s="265" t="str">
        <f>IFERROR(__xludf.DUMMYFUNCTION("""COMPUTED_VALUE"""),"AnhNP")</f>
        <v>AnhNP</v>
      </c>
      <c r="F361" s="265" t="str">
        <f>IFERROR(__xludf.DUMMYFUNCTION("""COMPUTED_VALUE"""),"Sale chưa cung cấp")</f>
        <v>Sale chưa cung cấp</v>
      </c>
      <c r="G361" s="265" t="str">
        <f>IFERROR(__xludf.DUMMYFUNCTION("""COMPUTED_VALUE"""),"Enterprise")</f>
        <v>Enterprise</v>
      </c>
      <c r="H361" s="265" t="str">
        <f>IFERROR(__xludf.DUMMYFUNCTION("""COMPUTED_VALUE"""),"Trả trước")</f>
        <v>Trả trước</v>
      </c>
      <c r="I361" s="265" t="str">
        <f>IFERROR(__xludf.DUMMYFUNCTION("""COMPUTED_VALUE"""),"Portal")</f>
        <v>Portal</v>
      </c>
      <c r="J361" s="265" t="str">
        <f>IFERROR(__xludf.DUMMYFUNCTION("""COMPUTED_VALUE"""),"Tất cả")</f>
        <v>Tất cả</v>
      </c>
    </row>
    <row r="362">
      <c r="A362" s="265" t="str">
        <f>IFERROR(__xludf.DUMMYFUNCTION("""COMPUTED_VALUE"""),"674")</f>
        <v>674</v>
      </c>
      <c r="B362" s="265" t="str">
        <f>IFERROR(__xludf.DUMMYFUNCTION("""COMPUTED_VALUE"""),"Hà Nội")</f>
        <v>Hà Nội</v>
      </c>
      <c r="C362" s="265" t="str">
        <f>IFERROR(__xludf.DUMMYFUNCTION("""COMPUTED_VALUE"""),"Active")</f>
        <v>Active</v>
      </c>
      <c r="D362" s="265" t="str">
        <f>IFERROR(__xludf.DUMMYFUNCTION("""COMPUTED_VALUE"""),"Mua sắm &amp; Bán lẻ")</f>
        <v>Mua sắm &amp; Bán lẻ</v>
      </c>
      <c r="E362" s="265" t="str">
        <f>IFERROR(__xludf.DUMMYFUNCTION("""COMPUTED_VALUE"""),"TúPHN")</f>
        <v>TúPHN</v>
      </c>
      <c r="F362" s="265" t="str">
        <f>IFERROR(__xludf.DUMMYFUNCTION("""COMPUTED_VALUE"""),"Diamond")</f>
        <v>Diamond</v>
      </c>
      <c r="G362" s="265" t="str">
        <f>IFERROR(__xludf.DUMMYFUNCTION("""COMPUTED_VALUE"""),"Enterprise")</f>
        <v>Enterprise</v>
      </c>
      <c r="H362" s="265" t="str">
        <f>IFERROR(__xludf.DUMMYFUNCTION("""COMPUTED_VALUE"""),"Trả sau")</f>
        <v>Trả sau</v>
      </c>
      <c r="I362" s="265" t="str">
        <f>IFERROR(__xludf.DUMMYFUNCTION("""COMPUTED_VALUE"""),"Portal")</f>
        <v>Portal</v>
      </c>
      <c r="J362" s="265" t="str">
        <f>IFERROR(__xludf.DUMMYFUNCTION("""COMPUTED_VALUE"""),"Tất cả")</f>
        <v>Tất cả</v>
      </c>
    </row>
    <row r="363">
      <c r="A363" s="265" t="str">
        <f>IFERROR(__xludf.DUMMYFUNCTION("""COMPUTED_VALUE"""),"657")</f>
        <v>657</v>
      </c>
      <c r="B363" s="265" t="str">
        <f>IFERROR(__xludf.DUMMYFUNCTION("""COMPUTED_VALUE"""),"Hà Nội")</f>
        <v>Hà Nội</v>
      </c>
      <c r="C363" s="265" t="str">
        <f>IFERROR(__xludf.DUMMYFUNCTION("""COMPUTED_VALUE"""),"Locked")</f>
        <v>Locked</v>
      </c>
      <c r="D363" s="265" t="str">
        <f>IFERROR(__xludf.DUMMYFUNCTION("""COMPUTED_VALUE"""),"Tài chính &amp; Ngân hàng")</f>
        <v>Tài chính &amp; Ngân hàng</v>
      </c>
      <c r="E363" s="265" t="str">
        <f>IFERROR(__xludf.DUMMYFUNCTION("""COMPUTED_VALUE"""),"AnhNM")</f>
        <v>AnhNM</v>
      </c>
      <c r="F363" s="265" t="str">
        <f>IFERROR(__xludf.DUMMYFUNCTION("""COMPUTED_VALUE"""),"Silver")</f>
        <v>Silver</v>
      </c>
      <c r="G363" s="265" t="str">
        <f>IFERROR(__xludf.DUMMYFUNCTION("""COMPUTED_VALUE"""),"Starter")</f>
        <v>Starter</v>
      </c>
      <c r="H363" s="265" t="str">
        <f>IFERROR(__xludf.DUMMYFUNCTION("""COMPUTED_VALUE"""),"Trả sau")</f>
        <v>Trả sau</v>
      </c>
      <c r="I363" s="265" t="str">
        <f>IFERROR(__xludf.DUMMYFUNCTION("""COMPUTED_VALUE"""),"API &amp; Portal")</f>
        <v>API &amp; Portal</v>
      </c>
      <c r="J363" s="265" t="str">
        <f>IFERROR(__xludf.DUMMYFUNCTION("""COMPUTED_VALUE"""),"Tất cả")</f>
        <v>Tất cả</v>
      </c>
    </row>
    <row r="364">
      <c r="A364" s="265" t="str">
        <f>IFERROR(__xludf.DUMMYFUNCTION("""COMPUTED_VALUE"""),"659")</f>
        <v>659</v>
      </c>
      <c r="B364" s="265" t="str">
        <f>IFERROR(__xludf.DUMMYFUNCTION("""COMPUTED_VALUE"""),"Hà Nội")</f>
        <v>Hà Nội</v>
      </c>
      <c r="C364" s="265" t="str">
        <f>IFERROR(__xludf.DUMMYFUNCTION("""COMPUTED_VALUE"""),"Locked")</f>
        <v>Locked</v>
      </c>
      <c r="D364" s="265" t="str">
        <f>IFERROR(__xludf.DUMMYFUNCTION("""COMPUTED_VALUE"""),"Tài chính &amp; Ngân hàng")</f>
        <v>Tài chính &amp; Ngân hàng</v>
      </c>
      <c r="E364" s="265" t="str">
        <f>IFERROR(__xludf.DUMMYFUNCTION("""COMPUTED_VALUE"""),"NamDT")</f>
        <v>NamDT</v>
      </c>
      <c r="F364" s="265" t="str">
        <f>IFERROR(__xludf.DUMMYFUNCTION("""COMPUTED_VALUE"""),"Sale chưa cung cấp")</f>
        <v>Sale chưa cung cấp</v>
      </c>
      <c r="G364" s="265" t="str">
        <f>IFERROR(__xludf.DUMMYFUNCTION("""COMPUTED_VALUE"""),"Enterprise")</f>
        <v>Enterprise</v>
      </c>
      <c r="H364" s="265" t="str">
        <f>IFERROR(__xludf.DUMMYFUNCTION("""COMPUTED_VALUE"""),"Trial")</f>
        <v>Trial</v>
      </c>
      <c r="I364" s="265" t="str">
        <f>IFERROR(__xludf.DUMMYFUNCTION("""COMPUTED_VALUE"""),"API")</f>
        <v>API</v>
      </c>
      <c r="J364" s="265" t="str">
        <f>IFERROR(__xludf.DUMMYFUNCTION("""COMPUTED_VALUE"""),"Tất cả")</f>
        <v>Tất cả</v>
      </c>
    </row>
    <row r="365">
      <c r="A365" s="265" t="str">
        <f>IFERROR(__xludf.DUMMYFUNCTION("""COMPUTED_VALUE"""),"658")</f>
        <v>658</v>
      </c>
      <c r="B365" s="265" t="str">
        <f>IFERROR(__xludf.DUMMYFUNCTION("""COMPUTED_VALUE"""),"Sài Gòn")</f>
        <v>Sài Gòn</v>
      </c>
      <c r="C365" s="265" t="str">
        <f>IFERROR(__xludf.DUMMYFUNCTION("""COMPUTED_VALUE"""),"Active")</f>
        <v>Active</v>
      </c>
      <c r="D365" s="265" t="str">
        <f>IFERROR(__xludf.DUMMYFUNCTION("""COMPUTED_VALUE"""),"Công nghệ &amp; Phần mềm")</f>
        <v>Công nghệ &amp; Phần mềm</v>
      </c>
      <c r="E365" s="265" t="str">
        <f>IFERROR(__xludf.DUMMYFUNCTION("""COMPUTED_VALUE"""),"TúPHN")</f>
        <v>TúPHN</v>
      </c>
      <c r="F365" s="265" t="str">
        <f>IFERROR(__xludf.DUMMYFUNCTION("""COMPUTED_VALUE"""),"Gold")</f>
        <v>Gold</v>
      </c>
      <c r="G365" s="265" t="str">
        <f>IFERROR(__xludf.DUMMYFUNCTION("""COMPUTED_VALUE"""),"Premium")</f>
        <v>Premium</v>
      </c>
      <c r="H365" s="265" t="str">
        <f>IFERROR(__xludf.DUMMYFUNCTION("""COMPUTED_VALUE"""),"Trả sau")</f>
        <v>Trả sau</v>
      </c>
      <c r="I365" s="265" t="str">
        <f>IFERROR(__xludf.DUMMYFUNCTION("""COMPUTED_VALUE"""),"API")</f>
        <v>API</v>
      </c>
      <c r="J365" s="265" t="str">
        <f>IFERROR(__xludf.DUMMYFUNCTION("""COMPUTED_VALUE"""),"Zalo ZNS")</f>
        <v>Zalo ZNS</v>
      </c>
    </row>
    <row r="366">
      <c r="A366" s="265" t="str">
        <f>IFERROR(__xludf.DUMMYFUNCTION("""COMPUTED_VALUE"""),"660")</f>
        <v>660</v>
      </c>
      <c r="B366" s="265" t="str">
        <f>IFERROR(__xludf.DUMMYFUNCTION("""COMPUTED_VALUE"""),"Sài Gòn")</f>
        <v>Sài Gòn</v>
      </c>
      <c r="C366" s="265" t="str">
        <f>IFERROR(__xludf.DUMMYFUNCTION("""COMPUTED_VALUE"""),"Active")</f>
        <v>Active</v>
      </c>
      <c r="D366" s="265" t="str">
        <f>IFERROR(__xludf.DUMMYFUNCTION("""COMPUTED_VALUE"""),"Sale chưa cung cấp")</f>
        <v>Sale chưa cung cấp</v>
      </c>
      <c r="E366" s="265" t="str">
        <f>IFERROR(__xludf.DUMMYFUNCTION("""COMPUTED_VALUE"""),"TùngLD")</f>
        <v>TùngLD</v>
      </c>
      <c r="F366" s="265" t="str">
        <f>IFERROR(__xludf.DUMMYFUNCTION("""COMPUTED_VALUE"""),"Diamond")</f>
        <v>Diamond</v>
      </c>
      <c r="G366" s="265" t="str">
        <f>IFERROR(__xludf.DUMMYFUNCTION("""COMPUTED_VALUE"""),"Starter")</f>
        <v>Starter</v>
      </c>
      <c r="H366" s="265" t="str">
        <f>IFERROR(__xludf.DUMMYFUNCTION("""COMPUTED_VALUE"""),"Trả sau")</f>
        <v>Trả sau</v>
      </c>
      <c r="I366" s="265" t="str">
        <f>IFERROR(__xludf.DUMMYFUNCTION("""COMPUTED_VALUE"""),"Portal")</f>
        <v>Portal</v>
      </c>
      <c r="J366" s="265" t="str">
        <f>IFERROR(__xludf.DUMMYFUNCTION("""COMPUTED_VALUE"""),"SMS CSKH")</f>
        <v>SMS CSKH</v>
      </c>
    </row>
    <row r="367">
      <c r="A367" s="265" t="str">
        <f>IFERROR(__xludf.DUMMYFUNCTION("""COMPUTED_VALUE"""),"660")</f>
        <v>660</v>
      </c>
      <c r="B367" s="265" t="str">
        <f>IFERROR(__xludf.DUMMYFUNCTION("""COMPUTED_VALUE"""),"Sài Gòn")</f>
        <v>Sài Gòn</v>
      </c>
      <c r="C367" s="265" t="str">
        <f>IFERROR(__xludf.DUMMYFUNCTION("""COMPUTED_VALUE"""),"Active")</f>
        <v>Active</v>
      </c>
      <c r="D367" s="265" t="str">
        <f>IFERROR(__xludf.DUMMYFUNCTION("""COMPUTED_VALUE"""),"Sale chưa cung cấp")</f>
        <v>Sale chưa cung cấp</v>
      </c>
      <c r="E367" s="265" t="str">
        <f>IFERROR(__xludf.DUMMYFUNCTION("""COMPUTED_VALUE"""),"TùngLD")</f>
        <v>TùngLD</v>
      </c>
      <c r="F367" s="265" t="str">
        <f>IFERROR(__xludf.DUMMYFUNCTION("""COMPUTED_VALUE"""),"Diamond")</f>
        <v>Diamond</v>
      </c>
      <c r="G367" s="265" t="str">
        <f>IFERROR(__xludf.DUMMYFUNCTION("""COMPUTED_VALUE"""),"Starter")</f>
        <v>Starter</v>
      </c>
      <c r="H367" s="265" t="str">
        <f>IFERROR(__xludf.DUMMYFUNCTION("""COMPUTED_VALUE"""),"Trả sau")</f>
        <v>Trả sau</v>
      </c>
      <c r="I367" s="265" t="str">
        <f>IFERROR(__xludf.DUMMYFUNCTION("""COMPUTED_VALUE"""),"Portal")</f>
        <v>Portal</v>
      </c>
      <c r="J367" s="265" t="str">
        <f>IFERROR(__xludf.DUMMYFUNCTION("""COMPUTED_VALUE"""),"SMS QC")</f>
        <v>SMS QC</v>
      </c>
    </row>
    <row r="368">
      <c r="A368" s="265" t="str">
        <f>IFERROR(__xludf.DUMMYFUNCTION("""COMPUTED_VALUE"""),"660")</f>
        <v>660</v>
      </c>
      <c r="B368" s="265" t="str">
        <f>IFERROR(__xludf.DUMMYFUNCTION("""COMPUTED_VALUE"""),"Sài Gòn")</f>
        <v>Sài Gòn</v>
      </c>
      <c r="C368" s="265" t="str">
        <f>IFERROR(__xludf.DUMMYFUNCTION("""COMPUTED_VALUE"""),"Active")</f>
        <v>Active</v>
      </c>
      <c r="D368" s="265" t="str">
        <f>IFERROR(__xludf.DUMMYFUNCTION("""COMPUTED_VALUE"""),"Sale chưa cung cấp")</f>
        <v>Sale chưa cung cấp</v>
      </c>
      <c r="E368" s="265" t="str">
        <f>IFERROR(__xludf.DUMMYFUNCTION("""COMPUTED_VALUE"""),"TùngLD")</f>
        <v>TùngLD</v>
      </c>
      <c r="F368" s="265" t="str">
        <f>IFERROR(__xludf.DUMMYFUNCTION("""COMPUTED_VALUE"""),"Diamond")</f>
        <v>Diamond</v>
      </c>
      <c r="G368" s="265" t="str">
        <f>IFERROR(__xludf.DUMMYFUNCTION("""COMPUTED_VALUE"""),"Starter")</f>
        <v>Starter</v>
      </c>
      <c r="H368" s="265" t="str">
        <f>IFERROR(__xludf.DUMMYFUNCTION("""COMPUTED_VALUE"""),"Trả sau")</f>
        <v>Trả sau</v>
      </c>
      <c r="I368" s="265" t="str">
        <f>IFERROR(__xludf.DUMMYFUNCTION("""COMPUTED_VALUE"""),"Portal")</f>
        <v>Portal</v>
      </c>
      <c r="J368" s="265" t="str">
        <f>IFERROR(__xludf.DUMMYFUNCTION("""COMPUTED_VALUE"""),"Zalo ZNS")</f>
        <v>Zalo ZNS</v>
      </c>
    </row>
    <row r="369">
      <c r="A369" s="265" t="str">
        <f>IFERROR(__xludf.DUMMYFUNCTION("""COMPUTED_VALUE"""),"661")</f>
        <v>661</v>
      </c>
      <c r="B369" s="265" t="str">
        <f>IFERROR(__xludf.DUMMYFUNCTION("""COMPUTED_VALUE"""),"Hà Nội")</f>
        <v>Hà Nội</v>
      </c>
      <c r="C369" s="265" t="str">
        <f>IFERROR(__xludf.DUMMYFUNCTION("""COMPUTED_VALUE"""),"Locked")</f>
        <v>Locked</v>
      </c>
      <c r="D369" s="265" t="str">
        <f>IFERROR(__xludf.DUMMYFUNCTION("""COMPUTED_VALUE"""),"Viễn thông")</f>
        <v>Viễn thông</v>
      </c>
      <c r="E369" s="265" t="str">
        <f>IFERROR(__xludf.DUMMYFUNCTION("""COMPUTED_VALUE"""),"TùngLD")</f>
        <v>TùngLD</v>
      </c>
      <c r="F369" s="265" t="str">
        <f>IFERROR(__xludf.DUMMYFUNCTION("""COMPUTED_VALUE"""),"Gold")</f>
        <v>Gold</v>
      </c>
      <c r="G369" s="265" t="str">
        <f>IFERROR(__xludf.DUMMYFUNCTION("""COMPUTED_VALUE"""),"Enterprise")</f>
        <v>Enterprise</v>
      </c>
      <c r="H369" s="265" t="str">
        <f>IFERROR(__xludf.DUMMYFUNCTION("""COMPUTED_VALUE"""),"Trả sau")</f>
        <v>Trả sau</v>
      </c>
      <c r="I369" s="265" t="str">
        <f>IFERROR(__xludf.DUMMYFUNCTION("""COMPUTED_VALUE"""),"Portal")</f>
        <v>Portal</v>
      </c>
      <c r="J369" s="265" t="str">
        <f>IFERROR(__xludf.DUMMYFUNCTION("""COMPUTED_VALUE"""),"Zalo ZNS")</f>
        <v>Zalo ZNS</v>
      </c>
    </row>
    <row r="370">
      <c r="A370" s="265" t="str">
        <f>IFERROR(__xludf.DUMMYFUNCTION("""COMPUTED_VALUE"""),"662")</f>
        <v>662</v>
      </c>
      <c r="B370" s="265" t="str">
        <f>IFERROR(__xludf.DUMMYFUNCTION("""COMPUTED_VALUE"""),"Sài Gòn")</f>
        <v>Sài Gòn</v>
      </c>
      <c r="C370" s="265" t="str">
        <f>IFERROR(__xludf.DUMMYFUNCTION("""COMPUTED_VALUE"""),"Locked")</f>
        <v>Locked</v>
      </c>
      <c r="D370" s="265" t="str">
        <f>IFERROR(__xludf.DUMMYFUNCTION("""COMPUTED_VALUE"""),"Sale chưa cung cấp")</f>
        <v>Sale chưa cung cấp</v>
      </c>
      <c r="E370" s="265" t="str">
        <f>IFERROR(__xludf.DUMMYFUNCTION("""COMPUTED_VALUE"""),"TuVTC")</f>
        <v>TuVTC</v>
      </c>
      <c r="F370" s="265" t="str">
        <f>IFERROR(__xludf.DUMMYFUNCTION("""COMPUTED_VALUE"""),"Sale chưa cung cấp")</f>
        <v>Sale chưa cung cấp</v>
      </c>
      <c r="G370" s="265" t="str">
        <f>IFERROR(__xludf.DUMMYFUNCTION("""COMPUTED_VALUE"""),"MSG")</f>
        <v>MSG</v>
      </c>
      <c r="H370" s="265" t="str">
        <f>IFERROR(__xludf.DUMMYFUNCTION("""COMPUTED_VALUE"""),"Trả sau")</f>
        <v>Trả sau</v>
      </c>
      <c r="I370" s="265" t="str">
        <f>IFERROR(__xludf.DUMMYFUNCTION("""COMPUTED_VALUE"""),"(Chưa recheck)")</f>
        <v>(Chưa recheck)</v>
      </c>
      <c r="J370" s="265" t="str">
        <f>IFERROR(__xludf.DUMMYFUNCTION("""COMPUTED_VALUE"""),"GapOne")</f>
        <v>GapOne</v>
      </c>
    </row>
    <row r="371">
      <c r="A371" s="265" t="str">
        <f>IFERROR(__xludf.DUMMYFUNCTION("""COMPUTED_VALUE"""),"663")</f>
        <v>663</v>
      </c>
      <c r="B371" s="265" t="str">
        <f>IFERROR(__xludf.DUMMYFUNCTION("""COMPUTED_VALUE"""),"Hà Nội")</f>
        <v>Hà Nội</v>
      </c>
      <c r="C371" s="265" t="str">
        <f>IFERROR(__xludf.DUMMYFUNCTION("""COMPUTED_VALUE"""),"Locked")</f>
        <v>Locked</v>
      </c>
      <c r="D371" s="265" t="str">
        <f>IFERROR(__xludf.DUMMYFUNCTION("""COMPUTED_VALUE"""),"Y tế &amp; Dược phẩm")</f>
        <v>Y tế &amp; Dược phẩm</v>
      </c>
      <c r="E371" s="265" t="str">
        <f>IFERROR(__xludf.DUMMYFUNCTION("""COMPUTED_VALUE"""),"TúPHN")</f>
        <v>TúPHN</v>
      </c>
      <c r="F371" s="265" t="str">
        <f>IFERROR(__xludf.DUMMYFUNCTION("""COMPUTED_VALUE"""),"Sale chưa cung cấp")</f>
        <v>Sale chưa cung cấp</v>
      </c>
      <c r="G371" s="265" t="str">
        <f>IFERROR(__xludf.DUMMYFUNCTION("""COMPUTED_VALUE"""),"Enterprise")</f>
        <v>Enterprise</v>
      </c>
      <c r="H371" s="265" t="str">
        <f>IFERROR(__xludf.DUMMYFUNCTION("""COMPUTED_VALUE"""),"Trial")</f>
        <v>Trial</v>
      </c>
      <c r="I371" s="265" t="str">
        <f>IFERROR(__xludf.DUMMYFUNCTION("""COMPUTED_VALUE"""),"API &amp; Portal")</f>
        <v>API &amp; Portal</v>
      </c>
      <c r="J371" s="265" t="str">
        <f>IFERROR(__xludf.DUMMYFUNCTION("""COMPUTED_VALUE"""),"SMS CSKH")</f>
        <v>SMS CSKH</v>
      </c>
    </row>
    <row r="372">
      <c r="A372" s="265" t="str">
        <f>IFERROR(__xludf.DUMMYFUNCTION("""COMPUTED_VALUE"""),"665")</f>
        <v>665</v>
      </c>
      <c r="B372" s="265" t="str">
        <f>IFERROR(__xludf.DUMMYFUNCTION("""COMPUTED_VALUE"""),"Sài Gòn")</f>
        <v>Sài Gòn</v>
      </c>
      <c r="C372" s="265" t="str">
        <f>IFERROR(__xludf.DUMMYFUNCTION("""COMPUTED_VALUE"""),"Locked")</f>
        <v>Locked</v>
      </c>
      <c r="D372" s="265" t="str">
        <f>IFERROR(__xludf.DUMMYFUNCTION("""COMPUTED_VALUE"""),"Công nghệ &amp; Phần mềm")</f>
        <v>Công nghệ &amp; Phần mềm</v>
      </c>
      <c r="E372" s="265" t="str">
        <f>IFERROR(__xludf.DUMMYFUNCTION("""COMPUTED_VALUE"""),"TùngLD")</f>
        <v>TùngLD</v>
      </c>
      <c r="F372" s="265" t="str">
        <f>IFERROR(__xludf.DUMMYFUNCTION("""COMPUTED_VALUE"""),"Bronze")</f>
        <v>Bronze</v>
      </c>
      <c r="G372" s="265" t="str">
        <f>IFERROR(__xludf.DUMMYFUNCTION("""COMPUTED_VALUE"""),"Enterprise")</f>
        <v>Enterprise</v>
      </c>
      <c r="H372" s="265" t="str">
        <f>IFERROR(__xludf.DUMMYFUNCTION("""COMPUTED_VALUE"""),"(Chưa recheck)")</f>
        <v>(Chưa recheck)</v>
      </c>
      <c r="I372" s="265" t="str">
        <f>IFERROR(__xludf.DUMMYFUNCTION("""COMPUTED_VALUE"""),"(Chưa recheck)")</f>
        <v>(Chưa recheck)</v>
      </c>
      <c r="J372" s="265" t="str">
        <f>IFERROR(__xludf.DUMMYFUNCTION("""COMPUTED_VALUE"""),"Zalo ZNS")</f>
        <v>Zalo ZNS</v>
      </c>
    </row>
    <row r="373">
      <c r="A373" s="265" t="str">
        <f>IFERROR(__xludf.DUMMYFUNCTION("""COMPUTED_VALUE"""),"664")</f>
        <v>664</v>
      </c>
      <c r="B373" s="265" t="str">
        <f>IFERROR(__xludf.DUMMYFUNCTION("""COMPUTED_VALUE"""),"Sài Gòn")</f>
        <v>Sài Gòn</v>
      </c>
      <c r="C373" s="265" t="str">
        <f>IFERROR(__xludf.DUMMYFUNCTION("""COMPUTED_VALUE"""),"Locked")</f>
        <v>Locked</v>
      </c>
      <c r="D373" s="265" t="str">
        <f>IFERROR(__xludf.DUMMYFUNCTION("""COMPUTED_VALUE"""),"Sale chưa cung cấp")</f>
        <v>Sale chưa cung cấp</v>
      </c>
      <c r="E373" s="265" t="str">
        <f>IFERROR(__xludf.DUMMYFUNCTION("""COMPUTED_VALUE"""),"Không phân công")</f>
        <v>Không phân công</v>
      </c>
      <c r="F373" s="265" t="str">
        <f>IFERROR(__xludf.DUMMYFUNCTION("""COMPUTED_VALUE"""),"Sale chưa cung cấp")</f>
        <v>Sale chưa cung cấp</v>
      </c>
      <c r="G373" s="265" t="str">
        <f>IFERROR(__xludf.DUMMYFUNCTION("""COMPUTED_VALUE"""),"SIMILAR")</f>
        <v>SIMILAR</v>
      </c>
      <c r="H373" s="265" t="str">
        <f>IFERROR(__xludf.DUMMYFUNCTION("""COMPUTED_VALUE"""),"Trả sau")</f>
        <v>Trả sau</v>
      </c>
      <c r="I373" s="265" t="str">
        <f>IFERROR(__xludf.DUMMYFUNCTION("""COMPUTED_VALUE"""),"API")</f>
        <v>API</v>
      </c>
      <c r="J373" s="265" t="str">
        <f>IFERROR(__xludf.DUMMYFUNCTION("""COMPUTED_VALUE"""),"SMS CSKH")</f>
        <v>SMS CSKH</v>
      </c>
    </row>
    <row r="374">
      <c r="A374" s="265" t="str">
        <f>IFERROR(__xludf.DUMMYFUNCTION("""COMPUTED_VALUE"""),"666")</f>
        <v>666</v>
      </c>
      <c r="B374" s="265" t="str">
        <f>IFERROR(__xludf.DUMMYFUNCTION("""COMPUTED_VALUE"""),"Sài Gòn")</f>
        <v>Sài Gòn</v>
      </c>
      <c r="C374" s="265" t="str">
        <f>IFERROR(__xludf.DUMMYFUNCTION("""COMPUTED_VALUE"""),"Locked")</f>
        <v>Locked</v>
      </c>
      <c r="D374" s="265" t="str">
        <f>IFERROR(__xludf.DUMMYFUNCTION("""COMPUTED_VALUE"""),"Sale chưa cung cấp")</f>
        <v>Sale chưa cung cấp</v>
      </c>
      <c r="E374" s="265" t="str">
        <f>IFERROR(__xludf.DUMMYFUNCTION("""COMPUTED_VALUE"""),"TúPHN")</f>
        <v>TúPHN</v>
      </c>
      <c r="F374" s="265" t="str">
        <f>IFERROR(__xludf.DUMMYFUNCTION("""COMPUTED_VALUE"""),"Sale chưa cung cấp")</f>
        <v>Sale chưa cung cấp</v>
      </c>
      <c r="G374" s="265" t="str">
        <f>IFERROR(__xludf.DUMMYFUNCTION("""COMPUTED_VALUE"""),"API")</f>
        <v>API</v>
      </c>
      <c r="H374" s="265" t="str">
        <f>IFERROR(__xludf.DUMMYFUNCTION("""COMPUTED_VALUE"""),"Trial")</f>
        <v>Trial</v>
      </c>
      <c r="I374" s="265" t="str">
        <f>IFERROR(__xludf.DUMMYFUNCTION("""COMPUTED_VALUE"""),"API")</f>
        <v>API</v>
      </c>
      <c r="J374" s="265" t="str">
        <f>IFERROR(__xludf.DUMMYFUNCTION("""COMPUTED_VALUE"""),"SMS CSKH")</f>
        <v>SMS CSKH</v>
      </c>
    </row>
    <row r="375">
      <c r="A375" s="265" t="str">
        <f>IFERROR(__xludf.DUMMYFUNCTION("""COMPUTED_VALUE"""),"667")</f>
        <v>667</v>
      </c>
      <c r="B375" s="265" t="str">
        <f>IFERROR(__xludf.DUMMYFUNCTION("""COMPUTED_VALUE"""),"Đà Nẵng")</f>
        <v>Đà Nẵng</v>
      </c>
      <c r="C375" s="265" t="str">
        <f>IFERROR(__xludf.DUMMYFUNCTION("""COMPUTED_VALUE"""),"Active")</f>
        <v>Active</v>
      </c>
      <c r="D375" s="265" t="str">
        <f>IFERROR(__xludf.DUMMYFUNCTION("""COMPUTED_VALUE"""),"Sale chưa cung cấp")</f>
        <v>Sale chưa cung cấp</v>
      </c>
      <c r="E375" s="265" t="str">
        <f>IFERROR(__xludf.DUMMYFUNCTION("""COMPUTED_VALUE"""),"Không phân công")</f>
        <v>Không phân công</v>
      </c>
      <c r="F375" s="265" t="str">
        <f>IFERROR(__xludf.DUMMYFUNCTION("""COMPUTED_VALUE"""),"Gold")</f>
        <v>Gold</v>
      </c>
      <c r="G375" s="265" t="str">
        <f>IFERROR(__xludf.DUMMYFUNCTION("""COMPUTED_VALUE"""),"Standard")</f>
        <v>Standard</v>
      </c>
      <c r="H375" s="265" t="str">
        <f>IFERROR(__xludf.DUMMYFUNCTION("""COMPUTED_VALUE"""),"Trả trước")</f>
        <v>Trả trước</v>
      </c>
      <c r="I375" s="265" t="str">
        <f>IFERROR(__xludf.DUMMYFUNCTION("""COMPUTED_VALUE"""),"API")</f>
        <v>API</v>
      </c>
      <c r="J375" s="265" t="str">
        <f>IFERROR(__xludf.DUMMYFUNCTION("""COMPUTED_VALUE"""),"SMS CSKH")</f>
        <v>SMS CSKH</v>
      </c>
    </row>
    <row r="376">
      <c r="A376" s="265" t="str">
        <f>IFERROR(__xludf.DUMMYFUNCTION("""COMPUTED_VALUE"""),"668")</f>
        <v>668</v>
      </c>
      <c r="B376" s="265" t="str">
        <f>IFERROR(__xludf.DUMMYFUNCTION("""COMPUTED_VALUE"""),"Hà Nội")</f>
        <v>Hà Nội</v>
      </c>
      <c r="C376" s="265" t="str">
        <f>IFERROR(__xludf.DUMMYFUNCTION("""COMPUTED_VALUE"""),"Locked")</f>
        <v>Locked</v>
      </c>
      <c r="D376" s="265" t="str">
        <f>IFERROR(__xludf.DUMMYFUNCTION("""COMPUTED_VALUE"""),"Viễn thông")</f>
        <v>Viễn thông</v>
      </c>
      <c r="E376" s="265" t="str">
        <f>IFERROR(__xludf.DUMMYFUNCTION("""COMPUTED_VALUE"""),"TúPHN")</f>
        <v>TúPHN</v>
      </c>
      <c r="F376" s="265" t="str">
        <f>IFERROR(__xludf.DUMMYFUNCTION("""COMPUTED_VALUE"""),"Gold")</f>
        <v>Gold</v>
      </c>
      <c r="G376" s="265" t="str">
        <f>IFERROR(__xludf.DUMMYFUNCTION("""COMPUTED_VALUE"""),"Enterprise")</f>
        <v>Enterprise</v>
      </c>
      <c r="H376" s="265" t="str">
        <f>IFERROR(__xludf.DUMMYFUNCTION("""COMPUTED_VALUE"""),"Trả sau")</f>
        <v>Trả sau</v>
      </c>
      <c r="I376" s="265" t="str">
        <f>IFERROR(__xludf.DUMMYFUNCTION("""COMPUTED_VALUE"""),"Portal")</f>
        <v>Portal</v>
      </c>
      <c r="J376" s="265" t="str">
        <f>IFERROR(__xludf.DUMMYFUNCTION("""COMPUTED_VALUE"""),"Zalo ZNS")</f>
        <v>Zalo ZNS</v>
      </c>
    </row>
    <row r="377">
      <c r="A377" s="265" t="str">
        <f>IFERROR(__xludf.DUMMYFUNCTION("""COMPUTED_VALUE"""),"669")</f>
        <v>669</v>
      </c>
      <c r="B377" s="265" t="str">
        <f>IFERROR(__xludf.DUMMYFUNCTION("""COMPUTED_VALUE"""),"Hà Nội")</f>
        <v>Hà Nội</v>
      </c>
      <c r="C377" s="265" t="str">
        <f>IFERROR(__xludf.DUMMYFUNCTION("""COMPUTED_VALUE"""),"Locked")</f>
        <v>Locked</v>
      </c>
      <c r="D377" s="265" t="str">
        <f>IFERROR(__xludf.DUMMYFUNCTION("""COMPUTED_VALUE"""),"Tài chính &amp; Ngân hàng")</f>
        <v>Tài chính &amp; Ngân hàng</v>
      </c>
      <c r="E377" s="265" t="str">
        <f>IFERROR(__xludf.DUMMYFUNCTION("""COMPUTED_VALUE"""),"DungDT")</f>
        <v>DungDT</v>
      </c>
      <c r="F377" s="265" t="str">
        <f>IFERROR(__xludf.DUMMYFUNCTION("""COMPUTED_VALUE"""),"Sale chưa cung cấp")</f>
        <v>Sale chưa cung cấp</v>
      </c>
      <c r="G377" s="265" t="str">
        <f>IFERROR(__xludf.DUMMYFUNCTION("""COMPUTED_VALUE"""),"Enterprise")</f>
        <v>Enterprise</v>
      </c>
      <c r="H377" s="265" t="str">
        <f>IFERROR(__xludf.DUMMYFUNCTION("""COMPUTED_VALUE"""),"Trial")</f>
        <v>Trial</v>
      </c>
      <c r="I377" s="265" t="str">
        <f>IFERROR(__xludf.DUMMYFUNCTION("""COMPUTED_VALUE"""),"(Không recheck)")</f>
        <v>(Không recheck)</v>
      </c>
      <c r="J377" s="265" t="str">
        <f>IFERROR(__xludf.DUMMYFUNCTION("""COMPUTED_VALUE"""),"(Không recheck)")</f>
        <v>(Không recheck)</v>
      </c>
    </row>
    <row r="378">
      <c r="A378" s="265" t="str">
        <f>IFERROR(__xludf.DUMMYFUNCTION("""COMPUTED_VALUE"""),"670")</f>
        <v>670</v>
      </c>
      <c r="B378" s="265" t="str">
        <f>IFERROR(__xludf.DUMMYFUNCTION("""COMPUTED_VALUE"""),"Sài Gòn")</f>
        <v>Sài Gòn</v>
      </c>
      <c r="C378" s="265" t="str">
        <f>IFERROR(__xludf.DUMMYFUNCTION("""COMPUTED_VALUE"""),"Locked")</f>
        <v>Locked</v>
      </c>
      <c r="D378" s="265" t="str">
        <f>IFERROR(__xludf.DUMMYFUNCTION("""COMPUTED_VALUE"""),"Viễn thông")</f>
        <v>Viễn thông</v>
      </c>
      <c r="E378" s="265" t="str">
        <f>IFERROR(__xludf.DUMMYFUNCTION("""COMPUTED_VALUE"""),"HoaNTM")</f>
        <v>HoaNTM</v>
      </c>
      <c r="F378" s="265" t="str">
        <f>IFERROR(__xludf.DUMMYFUNCTION("""COMPUTED_VALUE"""),"Sale chưa cung cấp")</f>
        <v>Sale chưa cung cấp</v>
      </c>
      <c r="G378" s="265" t="str">
        <f>IFERROR(__xludf.DUMMYFUNCTION("""COMPUTED_VALUE"""),"Enterprise")</f>
        <v>Enterprise</v>
      </c>
      <c r="H378" s="265" t="str">
        <f>IFERROR(__xludf.DUMMYFUNCTION("""COMPUTED_VALUE"""),"(Chưa recheck)")</f>
        <v>(Chưa recheck)</v>
      </c>
      <c r="I378" s="265" t="str">
        <f>IFERROR(__xludf.DUMMYFUNCTION("""COMPUTED_VALUE"""),"API &amp; Portal")</f>
        <v>API &amp; Portal</v>
      </c>
      <c r="J378" s="265" t="str">
        <f>IFERROR(__xludf.DUMMYFUNCTION("""COMPUTED_VALUE"""),"GapOne")</f>
        <v>GapOne</v>
      </c>
    </row>
    <row r="379">
      <c r="A379" s="265" t="str">
        <f>IFERROR(__xludf.DUMMYFUNCTION("""COMPUTED_VALUE"""),"411")</f>
        <v>411</v>
      </c>
      <c r="B379" s="265" t="str">
        <f>IFERROR(__xludf.DUMMYFUNCTION("""COMPUTED_VALUE"""),"Sài Gòn")</f>
        <v>Sài Gòn</v>
      </c>
      <c r="C379" s="265" t="str">
        <f>IFERROR(__xludf.DUMMYFUNCTION("""COMPUTED_VALUE"""),"Locked")</f>
        <v>Locked</v>
      </c>
      <c r="D379" s="265" t="str">
        <f>IFERROR(__xludf.DUMMYFUNCTION("""COMPUTED_VALUE"""),"Sale chưa cung cấp")</f>
        <v>Sale chưa cung cấp</v>
      </c>
      <c r="E379" s="265" t="str">
        <f>IFERROR(__xludf.DUMMYFUNCTION("""COMPUTED_VALUE"""),"TúPHN")</f>
        <v>TúPHN</v>
      </c>
      <c r="F379" s="265" t="str">
        <f>IFERROR(__xludf.DUMMYFUNCTION("""COMPUTED_VALUE"""),"Silver")</f>
        <v>Silver</v>
      </c>
      <c r="G379" s="265" t="str">
        <f>IFERROR(__xludf.DUMMYFUNCTION("""COMPUTED_VALUE"""),"Enterprise")</f>
        <v>Enterprise</v>
      </c>
      <c r="H379" s="265" t="str">
        <f>IFERROR(__xludf.DUMMYFUNCTION("""COMPUTED_VALUE"""),"(Chưa recheck)")</f>
        <v>(Chưa recheck)</v>
      </c>
      <c r="I379" s="265" t="str">
        <f>IFERROR(__xludf.DUMMYFUNCTION("""COMPUTED_VALUE"""),"(Chưa recheck)")</f>
        <v>(Chưa recheck)</v>
      </c>
      <c r="J379" s="265" t="str">
        <f>IFERROR(__xludf.DUMMYFUNCTION("""COMPUTED_VALUE"""),"(Chưa recheck)")</f>
        <v>(Chưa recheck)</v>
      </c>
    </row>
    <row r="380">
      <c r="A380" s="265" t="str">
        <f>IFERROR(__xludf.DUMMYFUNCTION("""COMPUTED_VALUE"""),"671")</f>
        <v>671</v>
      </c>
      <c r="B380" s="265" t="str">
        <f>IFERROR(__xludf.DUMMYFUNCTION("""COMPUTED_VALUE"""),"Hà Nội")</f>
        <v>Hà Nội</v>
      </c>
      <c r="C380" s="265" t="str">
        <f>IFERROR(__xludf.DUMMYFUNCTION("""COMPUTED_VALUE"""),"Locked")</f>
        <v>Locked</v>
      </c>
      <c r="D380" s="265" t="str">
        <f>IFERROR(__xludf.DUMMYFUNCTION("""COMPUTED_VALUE"""),"Tài chính &amp; Ngân hàng")</f>
        <v>Tài chính &amp; Ngân hàng</v>
      </c>
      <c r="E380" s="265" t="str">
        <f>IFERROR(__xludf.DUMMYFUNCTION("""COMPUTED_VALUE"""),"(Không recheck)")</f>
        <v>(Không recheck)</v>
      </c>
      <c r="F380" s="265" t="str">
        <f>IFERROR(__xludf.DUMMYFUNCTION("""COMPUTED_VALUE"""),"Sale chưa cung cấp")</f>
        <v>Sale chưa cung cấp</v>
      </c>
      <c r="G380" s="265" t="str">
        <f>IFERROR(__xludf.DUMMYFUNCTION("""COMPUTED_VALUE"""),"API")</f>
        <v>API</v>
      </c>
      <c r="H380" s="265" t="str">
        <f>IFERROR(__xludf.DUMMYFUNCTION("""COMPUTED_VALUE"""),"Trial")</f>
        <v>Trial</v>
      </c>
      <c r="I380" s="265" t="str">
        <f>IFERROR(__xludf.DUMMYFUNCTION("""COMPUTED_VALUE"""),"API")</f>
        <v>API</v>
      </c>
      <c r="J380" s="265" t="str">
        <f>IFERROR(__xludf.DUMMYFUNCTION("""COMPUTED_VALUE"""),"SMS CSKH")</f>
        <v>SMS CSKH</v>
      </c>
    </row>
    <row r="381">
      <c r="A381" s="265" t="str">
        <f>IFERROR(__xludf.DUMMYFUNCTION("""COMPUTED_VALUE"""),"672")</f>
        <v>672</v>
      </c>
      <c r="B381" s="265" t="str">
        <f>IFERROR(__xludf.DUMMYFUNCTION("""COMPUTED_VALUE"""),"Hà Nội")</f>
        <v>Hà Nội</v>
      </c>
      <c r="C381" s="265" t="str">
        <f>IFERROR(__xludf.DUMMYFUNCTION("""COMPUTED_VALUE"""),"Locked")</f>
        <v>Locked</v>
      </c>
      <c r="D381" s="265" t="str">
        <f>IFERROR(__xludf.DUMMYFUNCTION("""COMPUTED_VALUE"""),"Bất động sản")</f>
        <v>Bất động sản</v>
      </c>
      <c r="E381" s="265" t="str">
        <f>IFERROR(__xludf.DUMMYFUNCTION("""COMPUTED_VALUE"""),"TúPHN")</f>
        <v>TúPHN</v>
      </c>
      <c r="F381" s="265" t="str">
        <f>IFERROR(__xludf.DUMMYFUNCTION("""COMPUTED_VALUE"""),"Bronze")</f>
        <v>Bronze</v>
      </c>
      <c r="G381" s="265" t="str">
        <f>IFERROR(__xludf.DUMMYFUNCTION("""COMPUTED_VALUE"""),"Enterprise")</f>
        <v>Enterprise</v>
      </c>
      <c r="H381" s="265" t="str">
        <f>IFERROR(__xludf.DUMMYFUNCTION("""COMPUTED_VALUE"""),"Trả trước")</f>
        <v>Trả trước</v>
      </c>
      <c r="I381" s="265" t="str">
        <f>IFERROR(__xludf.DUMMYFUNCTION("""COMPUTED_VALUE"""),"Portal")</f>
        <v>Portal</v>
      </c>
      <c r="J381" s="265" t="str">
        <f>IFERROR(__xludf.DUMMYFUNCTION("""COMPUTED_VALUE"""),"Zalo ZNS")</f>
        <v>Zalo ZNS</v>
      </c>
    </row>
    <row r="382">
      <c r="A382" s="265" t="str">
        <f>IFERROR(__xludf.DUMMYFUNCTION("""COMPUTED_VALUE"""),"673")</f>
        <v>673</v>
      </c>
      <c r="B382" s="265" t="str">
        <f>IFERROR(__xludf.DUMMYFUNCTION("""COMPUTED_VALUE"""),"Hà Nội")</f>
        <v>Hà Nội</v>
      </c>
      <c r="C382" s="265" t="str">
        <f>IFERROR(__xludf.DUMMYFUNCTION("""COMPUTED_VALUE"""),"Locked")</f>
        <v>Locked</v>
      </c>
      <c r="D382" s="265" t="str">
        <f>IFERROR(__xludf.DUMMYFUNCTION("""COMPUTED_VALUE"""),"Sale chưa cung cấp")</f>
        <v>Sale chưa cung cấp</v>
      </c>
      <c r="E382" s="265" t="str">
        <f>IFERROR(__xludf.DUMMYFUNCTION("""COMPUTED_VALUE"""),"TùngLD")</f>
        <v>TùngLD</v>
      </c>
      <c r="F382" s="265" t="str">
        <f>IFERROR(__xludf.DUMMYFUNCTION("""COMPUTED_VALUE"""),"Sale chưa cung cấp")</f>
        <v>Sale chưa cung cấp</v>
      </c>
      <c r="G382" s="265" t="str">
        <f>IFERROR(__xludf.DUMMYFUNCTION("""COMPUTED_VALUE"""),"Enterprise")</f>
        <v>Enterprise</v>
      </c>
      <c r="H382" s="265" t="str">
        <f>IFERROR(__xludf.DUMMYFUNCTION("""COMPUTED_VALUE"""),"Trial")</f>
        <v>Trial</v>
      </c>
      <c r="I382" s="265" t="str">
        <f>IFERROR(__xludf.DUMMYFUNCTION("""COMPUTED_VALUE"""),"Portal")</f>
        <v>Portal</v>
      </c>
      <c r="J382" s="265" t="str">
        <f>IFERROR(__xludf.DUMMYFUNCTION("""COMPUTED_VALUE"""),"(Không recheck)")</f>
        <v>(Không recheck)</v>
      </c>
    </row>
    <row r="383">
      <c r="A383" s="265" t="str">
        <f>IFERROR(__xludf.DUMMYFUNCTION("""COMPUTED_VALUE"""),"675")</f>
        <v>675</v>
      </c>
      <c r="B383" s="265" t="str">
        <f>IFERROR(__xludf.DUMMYFUNCTION("""COMPUTED_VALUE"""),"Hà Nội")</f>
        <v>Hà Nội</v>
      </c>
      <c r="C383" s="265" t="str">
        <f>IFERROR(__xludf.DUMMYFUNCTION("""COMPUTED_VALUE"""),"Active")</f>
        <v>Active</v>
      </c>
      <c r="D383" s="265" t="str">
        <f>IFERROR(__xludf.DUMMYFUNCTION("""COMPUTED_VALUE"""),"Du lịch &amp; Lưu trú")</f>
        <v>Du lịch &amp; Lưu trú</v>
      </c>
      <c r="E383" s="265" t="str">
        <f>IFERROR(__xludf.DUMMYFUNCTION("""COMPUTED_VALUE"""),"TúPHN")</f>
        <v>TúPHN</v>
      </c>
      <c r="F383" s="265" t="str">
        <f>IFERROR(__xludf.DUMMYFUNCTION("""COMPUTED_VALUE"""),"Bronze")</f>
        <v>Bronze</v>
      </c>
      <c r="G383" s="265" t="str">
        <f>IFERROR(__xludf.DUMMYFUNCTION("""COMPUTED_VALUE"""),"Standard")</f>
        <v>Standard</v>
      </c>
      <c r="H383" s="265" t="str">
        <f>IFERROR(__xludf.DUMMYFUNCTION("""COMPUTED_VALUE"""),"Trả trước")</f>
        <v>Trả trước</v>
      </c>
      <c r="I383" s="265" t="str">
        <f>IFERROR(__xludf.DUMMYFUNCTION("""COMPUTED_VALUE"""),"Portal")</f>
        <v>Portal</v>
      </c>
      <c r="J383" s="265" t="str">
        <f>IFERROR(__xludf.DUMMYFUNCTION("""COMPUTED_VALUE"""),"Zalo ZNS")</f>
        <v>Zalo ZNS</v>
      </c>
    </row>
    <row r="384">
      <c r="A384" s="265" t="str">
        <f>IFERROR(__xludf.DUMMYFUNCTION("""COMPUTED_VALUE"""),"676")</f>
        <v>676</v>
      </c>
      <c r="B384" s="265" t="str">
        <f>IFERROR(__xludf.DUMMYFUNCTION("""COMPUTED_VALUE"""),"Hà Nội")</f>
        <v>Hà Nội</v>
      </c>
      <c r="C384" s="265" t="str">
        <f>IFERROR(__xludf.DUMMYFUNCTION("""COMPUTED_VALUE"""),"Locked")</f>
        <v>Locked</v>
      </c>
      <c r="D384" s="265" t="str">
        <f>IFERROR(__xludf.DUMMYFUNCTION("""COMPUTED_VALUE"""),"Giáo dục &amp; Đào tạo")</f>
        <v>Giáo dục &amp; Đào tạo</v>
      </c>
      <c r="E384" s="265" t="str">
        <f>IFERROR(__xludf.DUMMYFUNCTION("""COMPUTED_VALUE"""),"TùngLD")</f>
        <v>TùngLD</v>
      </c>
      <c r="F384" s="265" t="str">
        <f>IFERROR(__xludf.DUMMYFUNCTION("""COMPUTED_VALUE"""),"Sale chưa cung cấp")</f>
        <v>Sale chưa cung cấp</v>
      </c>
      <c r="G384" s="265" t="str">
        <f>IFERROR(__xludf.DUMMYFUNCTION("""COMPUTED_VALUE"""),"Enterprise")</f>
        <v>Enterprise</v>
      </c>
      <c r="H384" s="265" t="str">
        <f>IFERROR(__xludf.DUMMYFUNCTION("""COMPUTED_VALUE"""),"Trả sau")</f>
        <v>Trả sau</v>
      </c>
      <c r="I384" s="265" t="str">
        <f>IFERROR(__xludf.DUMMYFUNCTION("""COMPUTED_VALUE"""),"Portal")</f>
        <v>Portal</v>
      </c>
      <c r="J384" s="265" t="str">
        <f>IFERROR(__xludf.DUMMYFUNCTION("""COMPUTED_VALUE"""),"Zalo ZNS")</f>
        <v>Zalo ZNS</v>
      </c>
    </row>
    <row r="385">
      <c r="A385" s="265" t="str">
        <f>IFERROR(__xludf.DUMMYFUNCTION("""COMPUTED_VALUE"""),"677")</f>
        <v>677</v>
      </c>
      <c r="B385" s="265" t="str">
        <f>IFERROR(__xludf.DUMMYFUNCTION("""COMPUTED_VALUE"""),"Sài Gòn")</f>
        <v>Sài Gòn</v>
      </c>
      <c r="C385" s="265" t="str">
        <f>IFERROR(__xludf.DUMMYFUNCTION("""COMPUTED_VALUE"""),"Locked")</f>
        <v>Locked</v>
      </c>
      <c r="D385" s="265" t="str">
        <f>IFERROR(__xludf.DUMMYFUNCTION("""COMPUTED_VALUE"""),"Nhà hàng &amp; Quán")</f>
        <v>Nhà hàng &amp; Quán</v>
      </c>
      <c r="E385" s="265" t="str">
        <f>IFERROR(__xludf.DUMMYFUNCTION("""COMPUTED_VALUE"""),"HoaNTM")</f>
        <v>HoaNTM</v>
      </c>
      <c r="F385" s="265" t="str">
        <f>IFERROR(__xludf.DUMMYFUNCTION("""COMPUTED_VALUE"""),"Bronze")</f>
        <v>Bronze</v>
      </c>
      <c r="G385" s="265" t="str">
        <f>IFERROR(__xludf.DUMMYFUNCTION("""COMPUTED_VALUE"""),"SIMILAR")</f>
        <v>SIMILAR</v>
      </c>
      <c r="H385" s="265" t="str">
        <f>IFERROR(__xludf.DUMMYFUNCTION("""COMPUTED_VALUE"""),"(Chưa recheck)")</f>
        <v>(Chưa recheck)</v>
      </c>
      <c r="I385" s="265" t="str">
        <f>IFERROR(__xludf.DUMMYFUNCTION("""COMPUTED_VALUE"""),"API &amp; Portal")</f>
        <v>API &amp; Portal</v>
      </c>
      <c r="J385" s="265" t="str">
        <f>IFERROR(__xludf.DUMMYFUNCTION("""COMPUTED_VALUE"""),"GapOne")</f>
        <v>GapOne</v>
      </c>
    </row>
    <row r="386">
      <c r="A386" s="265" t="str">
        <f>IFERROR(__xludf.DUMMYFUNCTION("""COMPUTED_VALUE"""),"679")</f>
        <v>679</v>
      </c>
      <c r="B386" s="265" t="str">
        <f>IFERROR(__xludf.DUMMYFUNCTION("""COMPUTED_VALUE"""),"Đà Nẵng")</f>
        <v>Đà Nẵng</v>
      </c>
      <c r="C386" s="265" t="str">
        <f>IFERROR(__xludf.DUMMYFUNCTION("""COMPUTED_VALUE"""),"Active")</f>
        <v>Active</v>
      </c>
      <c r="D386" s="265" t="str">
        <f>IFERROR(__xludf.DUMMYFUNCTION("""COMPUTED_VALUE"""),"Giáo dục &amp; Đào tạo")</f>
        <v>Giáo dục &amp; Đào tạo</v>
      </c>
      <c r="E386" s="265" t="str">
        <f>IFERROR(__xludf.DUMMYFUNCTION("""COMPUTED_VALUE"""),"TúPHN")</f>
        <v>TúPHN</v>
      </c>
      <c r="F386" s="265" t="str">
        <f>IFERROR(__xludf.DUMMYFUNCTION("""COMPUTED_VALUE"""),"Bronze")</f>
        <v>Bronze</v>
      </c>
      <c r="G386" s="265" t="str">
        <f>IFERROR(__xludf.DUMMYFUNCTION("""COMPUTED_VALUE"""),"Standard")</f>
        <v>Standard</v>
      </c>
      <c r="H386" s="265" t="str">
        <f>IFERROR(__xludf.DUMMYFUNCTION("""COMPUTED_VALUE"""),"Trả trước")</f>
        <v>Trả trước</v>
      </c>
      <c r="I386" s="265" t="str">
        <f>IFERROR(__xludf.DUMMYFUNCTION("""COMPUTED_VALUE"""),"Portal")</f>
        <v>Portal</v>
      </c>
      <c r="J386" s="265" t="str">
        <f>IFERROR(__xludf.DUMMYFUNCTION("""COMPUTED_VALUE"""),"Zalo ZNS")</f>
        <v>Zalo ZNS</v>
      </c>
    </row>
    <row r="387">
      <c r="A387" s="265" t="str">
        <f>IFERROR(__xludf.DUMMYFUNCTION("""COMPUTED_VALUE"""),"680")</f>
        <v>680</v>
      </c>
      <c r="B387" s="265" t="str">
        <f>IFERROR(__xludf.DUMMYFUNCTION("""COMPUTED_VALUE"""),"Hà Nội")</f>
        <v>Hà Nội</v>
      </c>
      <c r="C387" s="265" t="str">
        <f>IFERROR(__xludf.DUMMYFUNCTION("""COMPUTED_VALUE"""),"Active")</f>
        <v>Active</v>
      </c>
      <c r="D387" s="265" t="str">
        <f>IFERROR(__xludf.DUMMYFUNCTION("""COMPUTED_VALUE"""),"Truyền thông &amp; Giải trí")</f>
        <v>Truyền thông &amp; Giải trí</v>
      </c>
      <c r="E387" s="265" t="str">
        <f>IFERROR(__xludf.DUMMYFUNCTION("""COMPUTED_VALUE"""),"Không phân công")</f>
        <v>Không phân công</v>
      </c>
      <c r="F387" s="265" t="str">
        <f>IFERROR(__xludf.DUMMYFUNCTION("""COMPUTED_VALUE"""),"Sale chưa cung cấp")</f>
        <v>Sale chưa cung cấp</v>
      </c>
      <c r="G387" s="265" t="str">
        <f>IFERROR(__xludf.DUMMYFUNCTION("""COMPUTED_VALUE"""),"Enterprise")</f>
        <v>Enterprise</v>
      </c>
      <c r="H387" s="265" t="str">
        <f>IFERROR(__xludf.DUMMYFUNCTION("""COMPUTED_VALUE"""),"Trả sau")</f>
        <v>Trả sau</v>
      </c>
      <c r="I387" s="265" t="str">
        <f>IFERROR(__xludf.DUMMYFUNCTION("""COMPUTED_VALUE"""),"API &amp; Portal")</f>
        <v>API &amp; Portal</v>
      </c>
      <c r="J387" s="265" t="str">
        <f>IFERROR(__xludf.DUMMYFUNCTION("""COMPUTED_VALUE"""),"Tất cả")</f>
        <v>Tất cả</v>
      </c>
    </row>
    <row r="388">
      <c r="A388" s="265" t="str">
        <f>IFERROR(__xludf.DUMMYFUNCTION("""COMPUTED_VALUE"""),"414")</f>
        <v>414</v>
      </c>
      <c r="B388" s="265" t="str">
        <f>IFERROR(__xludf.DUMMYFUNCTION("""COMPUTED_VALUE"""),"Hà Nội")</f>
        <v>Hà Nội</v>
      </c>
      <c r="C388" s="265" t="str">
        <f>IFERROR(__xludf.DUMMYFUNCTION("""COMPUTED_VALUE"""),"Active")</f>
        <v>Active</v>
      </c>
      <c r="D388" s="265" t="str">
        <f>IFERROR(__xludf.DUMMYFUNCTION("""COMPUTED_VALUE"""),"Sale chưa cung cấp")</f>
        <v>Sale chưa cung cấp</v>
      </c>
      <c r="E388" s="265" t="str">
        <f>IFERROR(__xludf.DUMMYFUNCTION("""COMPUTED_VALUE"""),"TúPHN")</f>
        <v>TúPHN</v>
      </c>
      <c r="F388" s="265" t="str">
        <f>IFERROR(__xludf.DUMMYFUNCTION("""COMPUTED_VALUE"""),"Bronze")</f>
        <v>Bronze</v>
      </c>
      <c r="G388" s="265" t="str">
        <f>IFERROR(__xludf.DUMMYFUNCTION("""COMPUTED_VALUE"""),"Enterprise")</f>
        <v>Enterprise</v>
      </c>
      <c r="H388" s="265" t="str">
        <f>IFERROR(__xludf.DUMMYFUNCTION("""COMPUTED_VALUE"""),"Trả trước")</f>
        <v>Trả trước</v>
      </c>
      <c r="I388" s="265" t="str">
        <f>IFERROR(__xludf.DUMMYFUNCTION("""COMPUTED_VALUE"""),"API")</f>
        <v>API</v>
      </c>
      <c r="J388" s="265" t="str">
        <f>IFERROR(__xludf.DUMMYFUNCTION("""COMPUTED_VALUE"""),"SMS CSKH")</f>
        <v>SMS CSKH</v>
      </c>
    </row>
    <row r="389">
      <c r="A389" s="265" t="str">
        <f>IFERROR(__xludf.DUMMYFUNCTION("""COMPUTED_VALUE"""),"414")</f>
        <v>414</v>
      </c>
      <c r="B389" s="265" t="str">
        <f>IFERROR(__xludf.DUMMYFUNCTION("""COMPUTED_VALUE"""),"Hà Nội")</f>
        <v>Hà Nội</v>
      </c>
      <c r="C389" s="265" t="str">
        <f>IFERROR(__xludf.DUMMYFUNCTION("""COMPUTED_VALUE"""),"Active")</f>
        <v>Active</v>
      </c>
      <c r="D389" s="265" t="str">
        <f>IFERROR(__xludf.DUMMYFUNCTION("""COMPUTED_VALUE"""),"Sale chưa cung cấp")</f>
        <v>Sale chưa cung cấp</v>
      </c>
      <c r="E389" s="265" t="str">
        <f>IFERROR(__xludf.DUMMYFUNCTION("""COMPUTED_VALUE"""),"TúPHN")</f>
        <v>TúPHN</v>
      </c>
      <c r="F389" s="265" t="str">
        <f>IFERROR(__xludf.DUMMYFUNCTION("""COMPUTED_VALUE"""),"Bronze")</f>
        <v>Bronze</v>
      </c>
      <c r="G389" s="265" t="str">
        <f>IFERROR(__xludf.DUMMYFUNCTION("""COMPUTED_VALUE"""),"Enterprise")</f>
        <v>Enterprise</v>
      </c>
      <c r="H389" s="265" t="str">
        <f>IFERROR(__xludf.DUMMYFUNCTION("""COMPUTED_VALUE"""),"Trả trước")</f>
        <v>Trả trước</v>
      </c>
      <c r="I389" s="265" t="str">
        <f>IFERROR(__xludf.DUMMYFUNCTION("""COMPUTED_VALUE"""),"API")</f>
        <v>API</v>
      </c>
      <c r="J389" s="265" t="str">
        <f>IFERROR(__xludf.DUMMYFUNCTION("""COMPUTED_VALUE"""),"Zalo ZNS")</f>
        <v>Zalo ZNS</v>
      </c>
    </row>
    <row r="390">
      <c r="A390" s="265" t="str">
        <f>IFERROR(__xludf.DUMMYFUNCTION("""COMPUTED_VALUE"""),"683")</f>
        <v>683</v>
      </c>
      <c r="B390" s="265" t="str">
        <f>IFERROR(__xludf.DUMMYFUNCTION("""COMPUTED_VALUE"""),"Hà Nội")</f>
        <v>Hà Nội</v>
      </c>
      <c r="C390" s="265" t="str">
        <f>IFERROR(__xludf.DUMMYFUNCTION("""COMPUTED_VALUE"""),"Locked")</f>
        <v>Locked</v>
      </c>
      <c r="D390" s="265" t="str">
        <f>IFERROR(__xludf.DUMMYFUNCTION("""COMPUTED_VALUE"""),"Ô tô &amp; Xe máy")</f>
        <v>Ô tô &amp; Xe máy</v>
      </c>
      <c r="E390" s="265" t="str">
        <f>IFERROR(__xludf.DUMMYFUNCTION("""COMPUTED_VALUE"""),"DungDT")</f>
        <v>DungDT</v>
      </c>
      <c r="F390" s="265" t="str">
        <f>IFERROR(__xludf.DUMMYFUNCTION("""COMPUTED_VALUE"""),"Sale chưa cung cấp")</f>
        <v>Sale chưa cung cấp</v>
      </c>
      <c r="G390" s="265" t="str">
        <f>IFERROR(__xludf.DUMMYFUNCTION("""COMPUTED_VALUE"""),"Enterprise")</f>
        <v>Enterprise</v>
      </c>
      <c r="H390" s="265" t="str">
        <f>IFERROR(__xludf.DUMMYFUNCTION("""COMPUTED_VALUE"""),"Trial")</f>
        <v>Trial</v>
      </c>
      <c r="I390" s="265" t="str">
        <f>IFERROR(__xludf.DUMMYFUNCTION("""COMPUTED_VALUE"""),"Portal")</f>
        <v>Portal</v>
      </c>
      <c r="J390" s="265" t="str">
        <f>IFERROR(__xludf.DUMMYFUNCTION("""COMPUTED_VALUE"""),"SMS CSKH")</f>
        <v>SMS CSKH</v>
      </c>
    </row>
    <row r="391">
      <c r="A391" s="265" t="str">
        <f>IFERROR(__xludf.DUMMYFUNCTION("""COMPUTED_VALUE"""),"684")</f>
        <v>684</v>
      </c>
      <c r="B391" s="265" t="str">
        <f>IFERROR(__xludf.DUMMYFUNCTION("""COMPUTED_VALUE"""),"Hà Nội")</f>
        <v>Hà Nội</v>
      </c>
      <c r="C391" s="265" t="str">
        <f>IFERROR(__xludf.DUMMYFUNCTION("""COMPUTED_VALUE"""),"Active")</f>
        <v>Active</v>
      </c>
      <c r="D391" s="265" t="str">
        <f>IFERROR(__xludf.DUMMYFUNCTION("""COMPUTED_VALUE"""),"Y tế &amp; Dược phẩm")</f>
        <v>Y tế &amp; Dược phẩm</v>
      </c>
      <c r="E391" s="265" t="str">
        <f>IFERROR(__xludf.DUMMYFUNCTION("""COMPUTED_VALUE"""),"TúPHN")</f>
        <v>TúPHN</v>
      </c>
      <c r="F391" s="265" t="str">
        <f>IFERROR(__xludf.DUMMYFUNCTION("""COMPUTED_VALUE"""),"Silver")</f>
        <v>Silver</v>
      </c>
      <c r="G391" s="265" t="str">
        <f>IFERROR(__xludf.DUMMYFUNCTION("""COMPUTED_VALUE"""),"Starter")</f>
        <v>Starter</v>
      </c>
      <c r="H391" s="265" t="str">
        <f>IFERROR(__xludf.DUMMYFUNCTION("""COMPUTED_VALUE"""),"Trả sau")</f>
        <v>Trả sau</v>
      </c>
      <c r="I391" s="265" t="str">
        <f>IFERROR(__xludf.DUMMYFUNCTION("""COMPUTED_VALUE"""),"API")</f>
        <v>API</v>
      </c>
      <c r="J391" s="265" t="str">
        <f>IFERROR(__xludf.DUMMYFUNCTION("""COMPUTED_VALUE"""),"Zalo ZNS")</f>
        <v>Zalo ZNS</v>
      </c>
    </row>
    <row r="392">
      <c r="A392" s="265" t="str">
        <f>IFERROR(__xludf.DUMMYFUNCTION("""COMPUTED_VALUE"""),"685")</f>
        <v>685</v>
      </c>
      <c r="B392" s="265" t="str">
        <f>IFERROR(__xludf.DUMMYFUNCTION("""COMPUTED_VALUE"""),"Hà Nội")</f>
        <v>Hà Nội</v>
      </c>
      <c r="C392" s="265" t="str">
        <f>IFERROR(__xludf.DUMMYFUNCTION("""COMPUTED_VALUE"""),"Locked")</f>
        <v>Locked</v>
      </c>
      <c r="D392" s="265" t="str">
        <f>IFERROR(__xludf.DUMMYFUNCTION("""COMPUTED_VALUE"""),"Giáo dục &amp; Đào tạo")</f>
        <v>Giáo dục &amp; Đào tạo</v>
      </c>
      <c r="E392" s="265" t="str">
        <f>IFERROR(__xludf.DUMMYFUNCTION("""COMPUTED_VALUE"""),"TùngLD")</f>
        <v>TùngLD</v>
      </c>
      <c r="F392" s="265" t="str">
        <f>IFERROR(__xludf.DUMMYFUNCTION("""COMPUTED_VALUE"""),"Sale chưa cung cấp")</f>
        <v>Sale chưa cung cấp</v>
      </c>
      <c r="G392" s="265" t="str">
        <f>IFERROR(__xludf.DUMMYFUNCTION("""COMPUTED_VALUE"""),"SIMILAR")</f>
        <v>SIMILAR</v>
      </c>
      <c r="H392" s="265" t="str">
        <f>IFERROR(__xludf.DUMMYFUNCTION("""COMPUTED_VALUE"""),"Trả trước")</f>
        <v>Trả trước</v>
      </c>
      <c r="I392" s="265" t="str">
        <f>IFERROR(__xludf.DUMMYFUNCTION("""COMPUTED_VALUE"""),"Portal")</f>
        <v>Portal</v>
      </c>
      <c r="J392" s="265" t="str">
        <f>IFERROR(__xludf.DUMMYFUNCTION("""COMPUTED_VALUE"""),"Zalo ZNS")</f>
        <v>Zalo ZNS</v>
      </c>
    </row>
    <row r="393">
      <c r="A393" s="265" t="str">
        <f>IFERROR(__xludf.DUMMYFUNCTION("""COMPUTED_VALUE"""),"686")</f>
        <v>686</v>
      </c>
      <c r="B393" s="265" t="str">
        <f>IFERROR(__xludf.DUMMYFUNCTION("""COMPUTED_VALUE"""),"Hà Nội")</f>
        <v>Hà Nội</v>
      </c>
      <c r="C393" s="265" t="str">
        <f>IFERROR(__xludf.DUMMYFUNCTION("""COMPUTED_VALUE"""),"Locked")</f>
        <v>Locked</v>
      </c>
      <c r="D393" s="265" t="str">
        <f>IFERROR(__xludf.DUMMYFUNCTION("""COMPUTED_VALUE"""),"Vận tải &amp; logistics")</f>
        <v>Vận tải &amp; logistics</v>
      </c>
      <c r="E393" s="265" t="str">
        <f>IFERROR(__xludf.DUMMYFUNCTION("""COMPUTED_VALUE"""),"TúPHN")</f>
        <v>TúPHN</v>
      </c>
      <c r="F393" s="265" t="str">
        <f>IFERROR(__xludf.DUMMYFUNCTION("""COMPUTED_VALUE"""),"Diamond")</f>
        <v>Diamond</v>
      </c>
      <c r="G393" s="265" t="str">
        <f>IFERROR(__xludf.DUMMYFUNCTION("""COMPUTED_VALUE"""),"Enterprise")</f>
        <v>Enterprise</v>
      </c>
      <c r="H393" s="265" t="str">
        <f>IFERROR(__xludf.DUMMYFUNCTION("""COMPUTED_VALUE"""),"Trả trước")</f>
        <v>Trả trước</v>
      </c>
      <c r="I393" s="265" t="str">
        <f>IFERROR(__xludf.DUMMYFUNCTION("""COMPUTED_VALUE"""),"API &amp; Portal")</f>
        <v>API &amp; Portal</v>
      </c>
      <c r="J393" s="265" t="str">
        <f>IFERROR(__xludf.DUMMYFUNCTION("""COMPUTED_VALUE"""),"Tất cả")</f>
        <v>Tất cả</v>
      </c>
    </row>
    <row r="394">
      <c r="A394" s="265" t="str">
        <f>IFERROR(__xludf.DUMMYFUNCTION("""COMPUTED_VALUE"""),"338")</f>
        <v>338</v>
      </c>
      <c r="B394" s="265" t="str">
        <f>IFERROR(__xludf.DUMMYFUNCTION("""COMPUTED_VALUE"""),"Sài Gòn")</f>
        <v>Sài Gòn</v>
      </c>
      <c r="C394" s="265" t="str">
        <f>IFERROR(__xludf.DUMMYFUNCTION("""COMPUTED_VALUE"""),"Locked")</f>
        <v>Locked</v>
      </c>
      <c r="D394" s="265" t="str">
        <f>IFERROR(__xludf.DUMMYFUNCTION("""COMPUTED_VALUE"""),"Mua sắm &amp; Bán lẻ")</f>
        <v>Mua sắm &amp; Bán lẻ</v>
      </c>
      <c r="E394" s="265" t="str">
        <f>IFERROR(__xludf.DUMMYFUNCTION("""COMPUTED_VALUE"""),"HoaNTM")</f>
        <v>HoaNTM</v>
      </c>
      <c r="F394" s="265" t="str">
        <f>IFERROR(__xludf.DUMMYFUNCTION("""COMPUTED_VALUE"""),"Sale chưa cung cấp")</f>
        <v>Sale chưa cung cấp</v>
      </c>
      <c r="G394" s="265" t="str">
        <f>IFERROR(__xludf.DUMMYFUNCTION("""COMPUTED_VALUE"""),"SIMILAR")</f>
        <v>SIMILAR</v>
      </c>
      <c r="H394" s="265" t="str">
        <f>IFERROR(__xludf.DUMMYFUNCTION("""COMPUTED_VALUE"""),"(Chưa recheck)")</f>
        <v>(Chưa recheck)</v>
      </c>
      <c r="I394" s="265" t="str">
        <f>IFERROR(__xludf.DUMMYFUNCTION("""COMPUTED_VALUE"""),"API &amp; Portal")</f>
        <v>API &amp; Portal</v>
      </c>
      <c r="J394" s="265" t="str">
        <f>IFERROR(__xludf.DUMMYFUNCTION("""COMPUTED_VALUE"""),"Zalo ZNS")</f>
        <v>Zalo ZNS</v>
      </c>
    </row>
    <row r="395">
      <c r="A395" s="265" t="str">
        <f>IFERROR(__xludf.DUMMYFUNCTION("""COMPUTED_VALUE"""),"688")</f>
        <v>688</v>
      </c>
      <c r="B395" s="265" t="str">
        <f>IFERROR(__xludf.DUMMYFUNCTION("""COMPUTED_VALUE"""),"Hà Nội")</f>
        <v>Hà Nội</v>
      </c>
      <c r="C395" s="265" t="str">
        <f>IFERROR(__xludf.DUMMYFUNCTION("""COMPUTED_VALUE"""),"Locked")</f>
        <v>Locked</v>
      </c>
      <c r="D395" s="265" t="str">
        <f>IFERROR(__xludf.DUMMYFUNCTION("""COMPUTED_VALUE"""),"Vận tải &amp; logistics")</f>
        <v>Vận tải &amp; logistics</v>
      </c>
      <c r="E395" s="265" t="str">
        <f>IFERROR(__xludf.DUMMYFUNCTION("""COMPUTED_VALUE"""),"PhươngDTB")</f>
        <v>PhươngDTB</v>
      </c>
      <c r="F395" s="265" t="str">
        <f>IFERROR(__xludf.DUMMYFUNCTION("""COMPUTED_VALUE"""),"Sale chưa cung cấp")</f>
        <v>Sale chưa cung cấp</v>
      </c>
      <c r="G395" s="265" t="str">
        <f>IFERROR(__xludf.DUMMYFUNCTION("""COMPUTED_VALUE"""),"API")</f>
        <v>API</v>
      </c>
      <c r="H395" s="265" t="str">
        <f>IFERROR(__xludf.DUMMYFUNCTION("""COMPUTED_VALUE"""),"Trial")</f>
        <v>Trial</v>
      </c>
      <c r="I395" s="265" t="str">
        <f>IFERROR(__xludf.DUMMYFUNCTION("""COMPUTED_VALUE"""),"API")</f>
        <v>API</v>
      </c>
      <c r="J395" s="265" t="str">
        <f>IFERROR(__xludf.DUMMYFUNCTION("""COMPUTED_VALUE"""),"SMS CSKH")</f>
        <v>SMS CSKH</v>
      </c>
    </row>
    <row r="396">
      <c r="A396" s="265" t="str">
        <f>IFERROR(__xludf.DUMMYFUNCTION("""COMPUTED_VALUE"""),"687")</f>
        <v>687</v>
      </c>
      <c r="B396" s="265" t="str">
        <f>IFERROR(__xludf.DUMMYFUNCTION("""COMPUTED_VALUE"""),"Hà Nội")</f>
        <v>Hà Nội</v>
      </c>
      <c r="C396" s="265" t="str">
        <f>IFERROR(__xludf.DUMMYFUNCTION("""COMPUTED_VALUE"""),"Locked")</f>
        <v>Locked</v>
      </c>
      <c r="D396" s="265" t="str">
        <f>IFERROR(__xludf.DUMMYFUNCTION("""COMPUTED_VALUE"""),"Vận tải &amp; logistics")</f>
        <v>Vận tải &amp; logistics</v>
      </c>
      <c r="E396" s="265" t="str">
        <f>IFERROR(__xludf.DUMMYFUNCTION("""COMPUTED_VALUE"""),"PhươngDTB")</f>
        <v>PhươngDTB</v>
      </c>
      <c r="F396" s="265" t="str">
        <f>IFERROR(__xludf.DUMMYFUNCTION("""COMPUTED_VALUE"""),"Sale chưa cung cấp")</f>
        <v>Sale chưa cung cấp</v>
      </c>
      <c r="G396" s="265" t="str">
        <f>IFERROR(__xludf.DUMMYFUNCTION("""COMPUTED_VALUE"""),"API")</f>
        <v>API</v>
      </c>
      <c r="H396" s="265" t="str">
        <f>IFERROR(__xludf.DUMMYFUNCTION("""COMPUTED_VALUE"""),"(Chưa recheck)")</f>
        <v>(Chưa recheck)</v>
      </c>
      <c r="I396" s="265" t="str">
        <f>IFERROR(__xludf.DUMMYFUNCTION("""COMPUTED_VALUE"""),"API")</f>
        <v>API</v>
      </c>
      <c r="J396" s="265" t="str">
        <f>IFERROR(__xludf.DUMMYFUNCTION("""COMPUTED_VALUE"""),"Zalo ZNS")</f>
        <v>Zalo ZNS</v>
      </c>
    </row>
    <row r="397">
      <c r="A397" s="265" t="str">
        <f>IFERROR(__xludf.DUMMYFUNCTION("""COMPUTED_VALUE"""),"389")</f>
        <v>389</v>
      </c>
      <c r="B397" s="265" t="str">
        <f>IFERROR(__xludf.DUMMYFUNCTION("""COMPUTED_VALUE"""),"Hà Nội")</f>
        <v>Hà Nội</v>
      </c>
      <c r="C397" s="265" t="str">
        <f>IFERROR(__xludf.DUMMYFUNCTION("""COMPUTED_VALUE"""),"Locked")</f>
        <v>Locked</v>
      </c>
      <c r="D397" s="265" t="str">
        <f>IFERROR(__xludf.DUMMYFUNCTION("""COMPUTED_VALUE"""),"Bất động sản")</f>
        <v>Bất động sản</v>
      </c>
      <c r="E397" s="265" t="str">
        <f>IFERROR(__xludf.DUMMYFUNCTION("""COMPUTED_VALUE"""),"TúPHN")</f>
        <v>TúPHN</v>
      </c>
      <c r="F397" s="265" t="str">
        <f>IFERROR(__xludf.DUMMYFUNCTION("""COMPUTED_VALUE"""),"Bronze")</f>
        <v>Bronze</v>
      </c>
      <c r="G397" s="265" t="str">
        <f>IFERROR(__xludf.DUMMYFUNCTION("""COMPUTED_VALUE"""),"Enterprise")</f>
        <v>Enterprise</v>
      </c>
      <c r="H397" s="265" t="str">
        <f>IFERROR(__xludf.DUMMYFUNCTION("""COMPUTED_VALUE"""),"(Chưa recheck)")</f>
        <v>(Chưa recheck)</v>
      </c>
      <c r="I397" s="265" t="str">
        <f>IFERROR(__xludf.DUMMYFUNCTION("""COMPUTED_VALUE"""),"(Chưa recheck)")</f>
        <v>(Chưa recheck)</v>
      </c>
      <c r="J397" s="265" t="str">
        <f>IFERROR(__xludf.DUMMYFUNCTION("""COMPUTED_VALUE"""),"(Chưa recheck)")</f>
        <v>(Chưa recheck)</v>
      </c>
    </row>
    <row r="398">
      <c r="A398" s="265" t="str">
        <f>IFERROR(__xludf.DUMMYFUNCTION("""COMPUTED_VALUE"""),"689")</f>
        <v>689</v>
      </c>
      <c r="B398" s="265" t="str">
        <f>IFERROR(__xludf.DUMMYFUNCTION("""COMPUTED_VALUE"""),"Sài Gòn")</f>
        <v>Sài Gòn</v>
      </c>
      <c r="C398" s="265" t="str">
        <f>IFERROR(__xludf.DUMMYFUNCTION("""COMPUTED_VALUE"""),"Locked")</f>
        <v>Locked</v>
      </c>
      <c r="D398" s="265" t="str">
        <f>IFERROR(__xludf.DUMMYFUNCTION("""COMPUTED_VALUE"""),"Sale chưa cung cấp")</f>
        <v>Sale chưa cung cấp</v>
      </c>
      <c r="E398" s="265" t="str">
        <f>IFERROR(__xludf.DUMMYFUNCTION("""COMPUTED_VALUE"""),"HoaNTM")</f>
        <v>HoaNTM</v>
      </c>
      <c r="F398" s="265" t="str">
        <f>IFERROR(__xludf.DUMMYFUNCTION("""COMPUTED_VALUE"""),"Sale chưa cung cấp")</f>
        <v>Sale chưa cung cấp</v>
      </c>
      <c r="G398" s="265" t="str">
        <f>IFERROR(__xludf.DUMMYFUNCTION("""COMPUTED_VALUE"""),"Enterprise")</f>
        <v>Enterprise</v>
      </c>
      <c r="H398" s="265" t="str">
        <f>IFERROR(__xludf.DUMMYFUNCTION("""COMPUTED_VALUE"""),"Trial")</f>
        <v>Trial</v>
      </c>
      <c r="I398" s="265" t="str">
        <f>IFERROR(__xludf.DUMMYFUNCTION("""COMPUTED_VALUE"""),"API &amp; Portal")</f>
        <v>API &amp; Portal</v>
      </c>
      <c r="J398" s="265" t="str">
        <f>IFERROR(__xludf.DUMMYFUNCTION("""COMPUTED_VALUE"""),"GapOne")</f>
        <v>GapOne</v>
      </c>
    </row>
    <row r="399">
      <c r="A399" s="265" t="str">
        <f>IFERROR(__xludf.DUMMYFUNCTION("""COMPUTED_VALUE"""),"690")</f>
        <v>690</v>
      </c>
      <c r="B399" s="265" t="str">
        <f>IFERROR(__xludf.DUMMYFUNCTION("""COMPUTED_VALUE"""),"Hà Nội")</f>
        <v>Hà Nội</v>
      </c>
      <c r="C399" s="265" t="str">
        <f>IFERROR(__xludf.DUMMYFUNCTION("""COMPUTED_VALUE"""),"Locked")</f>
        <v>Locked</v>
      </c>
      <c r="D399" s="265" t="str">
        <f>IFERROR(__xludf.DUMMYFUNCTION("""COMPUTED_VALUE"""),"Thực phẩm &amp; Đồ uống")</f>
        <v>Thực phẩm &amp; Đồ uống</v>
      </c>
      <c r="E399" s="265" t="str">
        <f>IFERROR(__xludf.DUMMYFUNCTION("""COMPUTED_VALUE"""),"AnhNP")</f>
        <v>AnhNP</v>
      </c>
      <c r="F399" s="265" t="str">
        <f>IFERROR(__xludf.DUMMYFUNCTION("""COMPUTED_VALUE"""),"Sale chưa cung cấp")</f>
        <v>Sale chưa cung cấp</v>
      </c>
      <c r="G399" s="265" t="str">
        <f>IFERROR(__xludf.DUMMYFUNCTION("""COMPUTED_VALUE"""),"Enterprise")</f>
        <v>Enterprise</v>
      </c>
      <c r="H399" s="265" t="str">
        <f>IFERROR(__xludf.DUMMYFUNCTION("""COMPUTED_VALUE"""),"Trial")</f>
        <v>Trial</v>
      </c>
      <c r="I399" s="265" t="str">
        <f>IFERROR(__xludf.DUMMYFUNCTION("""COMPUTED_VALUE"""),"API &amp; Portal")</f>
        <v>API &amp; Portal</v>
      </c>
      <c r="J399" s="265" t="str">
        <f>IFERROR(__xludf.DUMMYFUNCTION("""COMPUTED_VALUE"""),"Zalo ZNS")</f>
        <v>Zalo ZNS</v>
      </c>
    </row>
    <row r="400">
      <c r="A400" s="265" t="str">
        <f>IFERROR(__xludf.DUMMYFUNCTION("""COMPUTED_VALUE"""),"691")</f>
        <v>691</v>
      </c>
      <c r="B400" s="265" t="str">
        <f>IFERROR(__xludf.DUMMYFUNCTION("""COMPUTED_VALUE"""),"Hà Nội")</f>
        <v>Hà Nội</v>
      </c>
      <c r="C400" s="265" t="str">
        <f>IFERROR(__xludf.DUMMYFUNCTION("""COMPUTED_VALUE"""),"Locked")</f>
        <v>Locked</v>
      </c>
      <c r="D400" s="265" t="str">
        <f>IFERROR(__xludf.DUMMYFUNCTION("""COMPUTED_VALUE"""),"Mua sắm &amp; Bán lẻ")</f>
        <v>Mua sắm &amp; Bán lẻ</v>
      </c>
      <c r="E400" s="265" t="str">
        <f>IFERROR(__xludf.DUMMYFUNCTION("""COMPUTED_VALUE"""),"HangNT")</f>
        <v>HangNT</v>
      </c>
      <c r="F400" s="265" t="str">
        <f>IFERROR(__xludf.DUMMYFUNCTION("""COMPUTED_VALUE"""),"Gold")</f>
        <v>Gold</v>
      </c>
      <c r="G400" s="265" t="str">
        <f>IFERROR(__xludf.DUMMYFUNCTION("""COMPUTED_VALUE"""),"SIMILAR")</f>
        <v>SIMILAR</v>
      </c>
      <c r="H400" s="265" t="str">
        <f>IFERROR(__xludf.DUMMYFUNCTION("""COMPUTED_VALUE"""),"Trial")</f>
        <v>Trial</v>
      </c>
      <c r="I400" s="265" t="str">
        <f>IFERROR(__xludf.DUMMYFUNCTION("""COMPUTED_VALUE"""),"Portal")</f>
        <v>Portal</v>
      </c>
      <c r="J400" s="265" t="str">
        <f>IFERROR(__xludf.DUMMYFUNCTION("""COMPUTED_VALUE"""),"SMS CSKH")</f>
        <v>SMS CSKH</v>
      </c>
    </row>
    <row r="401">
      <c r="A401" s="265" t="str">
        <f>IFERROR(__xludf.DUMMYFUNCTION("""COMPUTED_VALUE"""),"693")</f>
        <v>693</v>
      </c>
      <c r="B401" s="265" t="str">
        <f>IFERROR(__xludf.DUMMYFUNCTION("""COMPUTED_VALUE"""),"Hà Nội")</f>
        <v>Hà Nội</v>
      </c>
      <c r="C401" s="265" t="str">
        <f>IFERROR(__xludf.DUMMYFUNCTION("""COMPUTED_VALUE"""),"Locked")</f>
        <v>Locked</v>
      </c>
      <c r="D401" s="265" t="str">
        <f>IFERROR(__xludf.DUMMYFUNCTION("""COMPUTED_VALUE"""),"Giáo dục &amp; Đào tạo")</f>
        <v>Giáo dục &amp; Đào tạo</v>
      </c>
      <c r="E401" s="265" t="str">
        <f>IFERROR(__xludf.DUMMYFUNCTION("""COMPUTED_VALUE"""),"TùngLD")</f>
        <v>TùngLD</v>
      </c>
      <c r="F401" s="265" t="str">
        <f>IFERROR(__xludf.DUMMYFUNCTION("""COMPUTED_VALUE"""),"Sale chưa cung cấp")</f>
        <v>Sale chưa cung cấp</v>
      </c>
      <c r="G401" s="265" t="str">
        <f>IFERROR(__xludf.DUMMYFUNCTION("""COMPUTED_VALUE"""),"Enterprise")</f>
        <v>Enterprise</v>
      </c>
      <c r="H401" s="265" t="str">
        <f>IFERROR(__xludf.DUMMYFUNCTION("""COMPUTED_VALUE"""),"Trial")</f>
        <v>Trial</v>
      </c>
      <c r="I401" s="265" t="str">
        <f>IFERROR(__xludf.DUMMYFUNCTION("""COMPUTED_VALUE"""),"Portal")</f>
        <v>Portal</v>
      </c>
      <c r="J401" s="265" t="str">
        <f>IFERROR(__xludf.DUMMYFUNCTION("""COMPUTED_VALUE"""),"(Không recheck)")</f>
        <v>(Không recheck)</v>
      </c>
    </row>
    <row r="402">
      <c r="A402" s="265" t="str">
        <f>IFERROR(__xludf.DUMMYFUNCTION("""COMPUTED_VALUE"""),"692")</f>
        <v>692</v>
      </c>
      <c r="B402" s="265" t="str">
        <f>IFERROR(__xludf.DUMMYFUNCTION("""COMPUTED_VALUE"""),"Sài Gòn")</f>
        <v>Sài Gòn</v>
      </c>
      <c r="C402" s="265" t="str">
        <f>IFERROR(__xludf.DUMMYFUNCTION("""COMPUTED_VALUE"""),"Locked")</f>
        <v>Locked</v>
      </c>
      <c r="D402" s="265" t="str">
        <f>IFERROR(__xludf.DUMMYFUNCTION("""COMPUTED_VALUE"""),"Sale chưa cung cấp")</f>
        <v>Sale chưa cung cấp</v>
      </c>
      <c r="E402" s="265" t="str">
        <f>IFERROR(__xludf.DUMMYFUNCTION("""COMPUTED_VALUE"""),"HoaNTM")</f>
        <v>HoaNTM</v>
      </c>
      <c r="F402" s="265" t="str">
        <f>IFERROR(__xludf.DUMMYFUNCTION("""COMPUTED_VALUE"""),"Sale chưa cung cấp")</f>
        <v>Sale chưa cung cấp</v>
      </c>
      <c r="G402" s="265" t="str">
        <f>IFERROR(__xludf.DUMMYFUNCTION("""COMPUTED_VALUE"""),"Enterprise")</f>
        <v>Enterprise</v>
      </c>
      <c r="H402" s="265" t="str">
        <f>IFERROR(__xludf.DUMMYFUNCTION("""COMPUTED_VALUE"""),"Trial")</f>
        <v>Trial</v>
      </c>
      <c r="I402" s="265" t="str">
        <f>IFERROR(__xludf.DUMMYFUNCTION("""COMPUTED_VALUE"""),"API &amp; Portal")</f>
        <v>API &amp; Portal</v>
      </c>
      <c r="J402" s="265" t="str">
        <f>IFERROR(__xludf.DUMMYFUNCTION("""COMPUTED_VALUE"""),"GapOne")</f>
        <v>GapOne</v>
      </c>
    </row>
    <row r="403">
      <c r="A403" s="265" t="str">
        <f>IFERROR(__xludf.DUMMYFUNCTION("""COMPUTED_VALUE"""),"694")</f>
        <v>694</v>
      </c>
      <c r="B403" s="265" t="str">
        <f>IFERROR(__xludf.DUMMYFUNCTION("""COMPUTED_VALUE"""),"Hà Nội")</f>
        <v>Hà Nội</v>
      </c>
      <c r="C403" s="265" t="str">
        <f>IFERROR(__xludf.DUMMYFUNCTION("""COMPUTED_VALUE"""),"Active")</f>
        <v>Active</v>
      </c>
      <c r="D403" s="265" t="str">
        <f>IFERROR(__xludf.DUMMYFUNCTION("""COMPUTED_VALUE"""),"Bất động sản")</f>
        <v>Bất động sản</v>
      </c>
      <c r="E403" s="265" t="str">
        <f>IFERROR(__xludf.DUMMYFUNCTION("""COMPUTED_VALUE"""),"TúPHN")</f>
        <v>TúPHN</v>
      </c>
      <c r="F403" s="265" t="str">
        <f>IFERROR(__xludf.DUMMYFUNCTION("""COMPUTED_VALUE"""),"Diamond")</f>
        <v>Diamond</v>
      </c>
      <c r="G403" s="265" t="str">
        <f>IFERROR(__xludf.DUMMYFUNCTION("""COMPUTED_VALUE"""),"Standard")</f>
        <v>Standard</v>
      </c>
      <c r="H403" s="265" t="str">
        <f>IFERROR(__xludf.DUMMYFUNCTION("""COMPUTED_VALUE"""),"Trả sau")</f>
        <v>Trả sau</v>
      </c>
      <c r="I403" s="265" t="str">
        <f>IFERROR(__xludf.DUMMYFUNCTION("""COMPUTED_VALUE"""),"API")</f>
        <v>API</v>
      </c>
      <c r="J403" s="265" t="str">
        <f>IFERROR(__xludf.DUMMYFUNCTION("""COMPUTED_VALUE"""),"Tất cả")</f>
        <v>Tất cả</v>
      </c>
    </row>
    <row r="404">
      <c r="A404" s="265" t="str">
        <f>IFERROR(__xludf.DUMMYFUNCTION("""COMPUTED_VALUE"""),"695")</f>
        <v>695</v>
      </c>
      <c r="B404" s="265" t="str">
        <f>IFERROR(__xludf.DUMMYFUNCTION("""COMPUTED_VALUE"""),"Đà Nẵng")</f>
        <v>Đà Nẵng</v>
      </c>
      <c r="C404" s="265" t="str">
        <f>IFERROR(__xludf.DUMMYFUNCTION("""COMPUTED_VALUE"""),"Locked")</f>
        <v>Locked</v>
      </c>
      <c r="D404" s="265" t="str">
        <f>IFERROR(__xludf.DUMMYFUNCTION("""COMPUTED_VALUE"""),"Sản xuất &amp; Chế tạo")</f>
        <v>Sản xuất &amp; Chế tạo</v>
      </c>
      <c r="E404" s="265" t="str">
        <f>IFERROR(__xludf.DUMMYFUNCTION("""COMPUTED_VALUE"""),"TúPHN")</f>
        <v>TúPHN</v>
      </c>
      <c r="F404" s="265" t="str">
        <f>IFERROR(__xludf.DUMMYFUNCTION("""COMPUTED_VALUE"""),"Bronze")</f>
        <v>Bronze</v>
      </c>
      <c r="G404" s="265" t="str">
        <f>IFERROR(__xludf.DUMMYFUNCTION("""COMPUTED_VALUE"""),"SIMILAR")</f>
        <v>SIMILAR</v>
      </c>
      <c r="H404" s="265" t="str">
        <f>IFERROR(__xludf.DUMMYFUNCTION("""COMPUTED_VALUE"""),"Trả trước")</f>
        <v>Trả trước</v>
      </c>
      <c r="I404" s="265" t="str">
        <f>IFERROR(__xludf.DUMMYFUNCTION("""COMPUTED_VALUE"""),"Portal")</f>
        <v>Portal</v>
      </c>
      <c r="J404" s="265" t="str">
        <f>IFERROR(__xludf.DUMMYFUNCTION("""COMPUTED_VALUE"""),"Zalo ZNS")</f>
        <v>Zalo ZNS</v>
      </c>
    </row>
    <row r="405">
      <c r="A405" s="265" t="str">
        <f>IFERROR(__xludf.DUMMYFUNCTION("""COMPUTED_VALUE"""),"698")</f>
        <v>698</v>
      </c>
      <c r="B405" s="265" t="str">
        <f>IFERROR(__xludf.DUMMYFUNCTION("""COMPUTED_VALUE"""),"Hà Nội")</f>
        <v>Hà Nội</v>
      </c>
      <c r="C405" s="265" t="str">
        <f>IFERROR(__xludf.DUMMYFUNCTION("""COMPUTED_VALUE"""),"Locked")</f>
        <v>Locked</v>
      </c>
      <c r="D405" s="265" t="str">
        <f>IFERROR(__xludf.DUMMYFUNCTION("""COMPUTED_VALUE"""),"Mua sắm &amp; Bán lẻ")</f>
        <v>Mua sắm &amp; Bán lẻ</v>
      </c>
      <c r="E405" s="265" t="str">
        <f>IFERROR(__xludf.DUMMYFUNCTION("""COMPUTED_VALUE"""),"HangNT")</f>
        <v>HangNT</v>
      </c>
      <c r="F405" s="265" t="str">
        <f>IFERROR(__xludf.DUMMYFUNCTION("""COMPUTED_VALUE"""),"Bronze")</f>
        <v>Bronze</v>
      </c>
      <c r="G405" s="265" t="str">
        <f>IFERROR(__xludf.DUMMYFUNCTION("""COMPUTED_VALUE"""),"MSG")</f>
        <v>MSG</v>
      </c>
      <c r="H405" s="265" t="str">
        <f>IFERROR(__xludf.DUMMYFUNCTION("""COMPUTED_VALUE"""),"Trial")</f>
        <v>Trial</v>
      </c>
      <c r="I405" s="265" t="str">
        <f>IFERROR(__xludf.DUMMYFUNCTION("""COMPUTED_VALUE"""),"Portal")</f>
        <v>Portal</v>
      </c>
      <c r="J405" s="265" t="str">
        <f>IFERROR(__xludf.DUMMYFUNCTION("""COMPUTED_VALUE"""),"Zalo ZNS")</f>
        <v>Zalo ZNS</v>
      </c>
    </row>
    <row r="406">
      <c r="A406" s="265" t="str">
        <f>IFERROR(__xludf.DUMMYFUNCTION("""COMPUTED_VALUE"""),"697")</f>
        <v>697</v>
      </c>
      <c r="B406" s="265" t="str">
        <f>IFERROR(__xludf.DUMMYFUNCTION("""COMPUTED_VALUE"""),"Sài Gòn")</f>
        <v>Sài Gòn</v>
      </c>
      <c r="C406" s="265" t="str">
        <f>IFERROR(__xludf.DUMMYFUNCTION("""COMPUTED_VALUE"""),"Locked")</f>
        <v>Locked</v>
      </c>
      <c r="D406" s="265" t="str">
        <f>IFERROR(__xludf.DUMMYFUNCTION("""COMPUTED_VALUE"""),"Thời trang &amp; May mặc")</f>
        <v>Thời trang &amp; May mặc</v>
      </c>
      <c r="E406" s="265" t="str">
        <f>IFERROR(__xludf.DUMMYFUNCTION("""COMPUTED_VALUE"""),"HoaNTM")</f>
        <v>HoaNTM</v>
      </c>
      <c r="F406" s="265" t="str">
        <f>IFERROR(__xludf.DUMMYFUNCTION("""COMPUTED_VALUE"""),"Bronze")</f>
        <v>Bronze</v>
      </c>
      <c r="G406" s="265" t="str">
        <f>IFERROR(__xludf.DUMMYFUNCTION("""COMPUTED_VALUE"""),"Enterprise")</f>
        <v>Enterprise</v>
      </c>
      <c r="H406" s="265" t="str">
        <f>IFERROR(__xludf.DUMMYFUNCTION("""COMPUTED_VALUE"""),"(Chưa recheck)")</f>
        <v>(Chưa recheck)</v>
      </c>
      <c r="I406" s="265" t="str">
        <f>IFERROR(__xludf.DUMMYFUNCTION("""COMPUTED_VALUE"""),"API &amp; Portal")</f>
        <v>API &amp; Portal</v>
      </c>
      <c r="J406" s="265" t="str">
        <f>IFERROR(__xludf.DUMMYFUNCTION("""COMPUTED_VALUE"""),"Zalo ZNS")</f>
        <v>Zalo ZNS</v>
      </c>
    </row>
    <row r="407">
      <c r="A407" s="265" t="str">
        <f>IFERROR(__xludf.DUMMYFUNCTION("""COMPUTED_VALUE"""),"696")</f>
        <v>696</v>
      </c>
      <c r="B407" s="265" t="str">
        <f>IFERROR(__xludf.DUMMYFUNCTION("""COMPUTED_VALUE"""),"Sài Gòn")</f>
        <v>Sài Gòn</v>
      </c>
      <c r="C407" s="265" t="str">
        <f>IFERROR(__xludf.DUMMYFUNCTION("""COMPUTED_VALUE"""),"Locked")</f>
        <v>Locked</v>
      </c>
      <c r="D407" s="265" t="str">
        <f>IFERROR(__xludf.DUMMYFUNCTION("""COMPUTED_VALUE"""),"Viễn thông")</f>
        <v>Viễn thông</v>
      </c>
      <c r="E407" s="265" t="str">
        <f>IFERROR(__xludf.DUMMYFUNCTION("""COMPUTED_VALUE"""),"HoaNTM")</f>
        <v>HoaNTM</v>
      </c>
      <c r="F407" s="265" t="str">
        <f>IFERROR(__xludf.DUMMYFUNCTION("""COMPUTED_VALUE"""),"Gold")</f>
        <v>Gold</v>
      </c>
      <c r="G407" s="265" t="str">
        <f>IFERROR(__xludf.DUMMYFUNCTION("""COMPUTED_VALUE"""),"Enterprise")</f>
        <v>Enterprise</v>
      </c>
      <c r="H407" s="265" t="str">
        <f>IFERROR(__xludf.DUMMYFUNCTION("""COMPUTED_VALUE"""),"(Chưa recheck)")</f>
        <v>(Chưa recheck)</v>
      </c>
      <c r="I407" s="265" t="str">
        <f>IFERROR(__xludf.DUMMYFUNCTION("""COMPUTED_VALUE"""),"API &amp; Portal")</f>
        <v>API &amp; Portal</v>
      </c>
      <c r="J407" s="265" t="str">
        <f>IFERROR(__xludf.DUMMYFUNCTION("""COMPUTED_VALUE"""),"GapOne")</f>
        <v>GapOne</v>
      </c>
    </row>
    <row r="408">
      <c r="A408" s="265" t="str">
        <f>IFERROR(__xludf.DUMMYFUNCTION("""COMPUTED_VALUE"""),"699")</f>
        <v>699</v>
      </c>
      <c r="B408" s="265" t="str">
        <f>IFERROR(__xludf.DUMMYFUNCTION("""COMPUTED_VALUE"""),"Hà Nội")</f>
        <v>Hà Nội</v>
      </c>
      <c r="C408" s="265" t="str">
        <f>IFERROR(__xludf.DUMMYFUNCTION("""COMPUTED_VALUE"""),"Active")</f>
        <v>Active</v>
      </c>
      <c r="D408" s="265" t="str">
        <f>IFERROR(__xludf.DUMMYFUNCTION("""COMPUTED_VALUE"""),"Vận tải &amp; logistics")</f>
        <v>Vận tải &amp; logistics</v>
      </c>
      <c r="E408" s="265" t="str">
        <f>IFERROR(__xludf.DUMMYFUNCTION("""COMPUTED_VALUE"""),"AnhNM")</f>
        <v>AnhNM</v>
      </c>
      <c r="F408" s="265" t="str">
        <f>IFERROR(__xludf.DUMMYFUNCTION("""COMPUTED_VALUE"""),"Silver")</f>
        <v>Silver</v>
      </c>
      <c r="G408" s="265" t="str">
        <f>IFERROR(__xludf.DUMMYFUNCTION("""COMPUTED_VALUE"""),"Starter")</f>
        <v>Starter</v>
      </c>
      <c r="H408" s="265" t="str">
        <f>IFERROR(__xludf.DUMMYFUNCTION("""COMPUTED_VALUE"""),"Trả sau")</f>
        <v>Trả sau</v>
      </c>
      <c r="I408" s="265" t="str">
        <f>IFERROR(__xludf.DUMMYFUNCTION("""COMPUTED_VALUE"""),"API &amp; Portal")</f>
        <v>API &amp; Portal</v>
      </c>
      <c r="J408" s="265" t="str">
        <f>IFERROR(__xludf.DUMMYFUNCTION("""COMPUTED_VALUE"""),"Tất cả")</f>
        <v>Tất cả</v>
      </c>
    </row>
    <row r="409">
      <c r="A409" s="265" t="str">
        <f>IFERROR(__xludf.DUMMYFUNCTION("""COMPUTED_VALUE"""),"701")</f>
        <v>701</v>
      </c>
      <c r="B409" s="265" t="str">
        <f>IFERROR(__xludf.DUMMYFUNCTION("""COMPUTED_VALUE"""),"Hà Nội")</f>
        <v>Hà Nội</v>
      </c>
      <c r="C409" s="265" t="str">
        <f>IFERROR(__xludf.DUMMYFUNCTION("""COMPUTED_VALUE"""),"Locked")</f>
        <v>Locked</v>
      </c>
      <c r="D409" s="265" t="str">
        <f>IFERROR(__xludf.DUMMYFUNCTION("""COMPUTED_VALUE"""),"Sản xuất &amp; Chế tạo")</f>
        <v>Sản xuất &amp; Chế tạo</v>
      </c>
      <c r="E409" s="265" t="str">
        <f>IFERROR(__xludf.DUMMYFUNCTION("""COMPUTED_VALUE"""),"TùngLD")</f>
        <v>TùngLD</v>
      </c>
      <c r="F409" s="265" t="str">
        <f>IFERROR(__xludf.DUMMYFUNCTION("""COMPUTED_VALUE"""),"Sale chưa cung cấp")</f>
        <v>Sale chưa cung cấp</v>
      </c>
      <c r="G409" s="265" t="str">
        <f>IFERROR(__xludf.DUMMYFUNCTION("""COMPUTED_VALUE"""),"Enterprise")</f>
        <v>Enterprise</v>
      </c>
      <c r="H409" s="265" t="str">
        <f>IFERROR(__xludf.DUMMYFUNCTION("""COMPUTED_VALUE"""),"(Chưa recheck)")</f>
        <v>(Chưa recheck)</v>
      </c>
      <c r="I409" s="265" t="str">
        <f>IFERROR(__xludf.DUMMYFUNCTION("""COMPUTED_VALUE"""),"Portal")</f>
        <v>Portal</v>
      </c>
      <c r="J409" s="265" t="str">
        <f>IFERROR(__xludf.DUMMYFUNCTION("""COMPUTED_VALUE"""),"Zalo ZNS")</f>
        <v>Zalo ZNS</v>
      </c>
    </row>
    <row r="410">
      <c r="A410" s="265" t="str">
        <f>IFERROR(__xludf.DUMMYFUNCTION("""COMPUTED_VALUE"""),"702")</f>
        <v>702</v>
      </c>
      <c r="B410" s="265" t="str">
        <f>IFERROR(__xludf.DUMMYFUNCTION("""COMPUTED_VALUE"""),"Sài Gòn")</f>
        <v>Sài Gòn</v>
      </c>
      <c r="C410" s="265" t="str">
        <f>IFERROR(__xludf.DUMMYFUNCTION("""COMPUTED_VALUE"""),"Active")</f>
        <v>Active</v>
      </c>
      <c r="D410" s="265" t="str">
        <f>IFERROR(__xludf.DUMMYFUNCTION("""COMPUTED_VALUE"""),"Mua sắm &amp; Bán lẻ")</f>
        <v>Mua sắm &amp; Bán lẻ</v>
      </c>
      <c r="E410" s="265" t="str">
        <f>IFERROR(__xludf.DUMMYFUNCTION("""COMPUTED_VALUE"""),"TúPHN")</f>
        <v>TúPHN</v>
      </c>
      <c r="F410" s="265" t="str">
        <f>IFERROR(__xludf.DUMMYFUNCTION("""COMPUTED_VALUE"""),"Silver")</f>
        <v>Silver</v>
      </c>
      <c r="G410" s="265" t="str">
        <f>IFERROR(__xludf.DUMMYFUNCTION("""COMPUTED_VALUE"""),"Enterprise")</f>
        <v>Enterprise</v>
      </c>
      <c r="H410" s="265" t="str">
        <f>IFERROR(__xludf.DUMMYFUNCTION("""COMPUTED_VALUE"""),"Trả sau")</f>
        <v>Trả sau</v>
      </c>
      <c r="I410" s="265" t="str">
        <f>IFERROR(__xludf.DUMMYFUNCTION("""COMPUTED_VALUE"""),"API &amp; Portal")</f>
        <v>API &amp; Portal</v>
      </c>
      <c r="J410" s="265" t="str">
        <f>IFERROR(__xludf.DUMMYFUNCTION("""COMPUTED_VALUE"""),"Zalo ZNS")</f>
        <v>Zalo ZNS</v>
      </c>
    </row>
    <row r="411">
      <c r="A411" s="265" t="str">
        <f>IFERROR(__xludf.DUMMYFUNCTION("""COMPUTED_VALUE"""),"722")</f>
        <v>722</v>
      </c>
      <c r="B411" s="265" t="str">
        <f>IFERROR(__xludf.DUMMYFUNCTION("""COMPUTED_VALUE"""),"Hà Nội")</f>
        <v>Hà Nội</v>
      </c>
      <c r="C411" s="265" t="str">
        <f>IFERROR(__xludf.DUMMYFUNCTION("""COMPUTED_VALUE"""),"Locked")</f>
        <v>Locked</v>
      </c>
      <c r="D411" s="265" t="str">
        <f>IFERROR(__xludf.DUMMYFUNCTION("""COMPUTED_VALUE"""),"Công nghệ &amp; Phần mềm")</f>
        <v>Công nghệ &amp; Phần mềm</v>
      </c>
      <c r="E411" s="265" t="str">
        <f>IFERROR(__xludf.DUMMYFUNCTION("""COMPUTED_VALUE"""),"TúPHN")</f>
        <v>TúPHN</v>
      </c>
      <c r="F411" s="265" t="str">
        <f>IFERROR(__xludf.DUMMYFUNCTION("""COMPUTED_VALUE"""),"Bronze")</f>
        <v>Bronze</v>
      </c>
      <c r="G411" s="265" t="str">
        <f>IFERROR(__xludf.DUMMYFUNCTION("""COMPUTED_VALUE"""),"API")</f>
        <v>API</v>
      </c>
      <c r="H411" s="265" t="str">
        <f>IFERROR(__xludf.DUMMYFUNCTION("""COMPUTED_VALUE"""),"(Chưa recheck)")</f>
        <v>(Chưa recheck)</v>
      </c>
      <c r="I411" s="265" t="str">
        <f>IFERROR(__xludf.DUMMYFUNCTION("""COMPUTED_VALUE"""),"API")</f>
        <v>API</v>
      </c>
      <c r="J411" s="265" t="str">
        <f>IFERROR(__xludf.DUMMYFUNCTION("""COMPUTED_VALUE"""),"SMS CSKH")</f>
        <v>SMS CSKH</v>
      </c>
    </row>
    <row r="412">
      <c r="A412" s="265" t="str">
        <f>IFERROR(__xludf.DUMMYFUNCTION("""COMPUTED_VALUE"""),"705")</f>
        <v>705</v>
      </c>
      <c r="B412" s="265" t="str">
        <f>IFERROR(__xludf.DUMMYFUNCTION("""COMPUTED_VALUE"""),"Sài Gòn")</f>
        <v>Sài Gòn</v>
      </c>
      <c r="C412" s="265" t="str">
        <f>IFERROR(__xludf.DUMMYFUNCTION("""COMPUTED_VALUE"""),"Locked")</f>
        <v>Locked</v>
      </c>
      <c r="D412" s="265" t="str">
        <f>IFERROR(__xludf.DUMMYFUNCTION("""COMPUTED_VALUE"""),"Thời trang &amp; May mặc")</f>
        <v>Thời trang &amp; May mặc</v>
      </c>
      <c r="E412" s="265" t="str">
        <f>IFERROR(__xludf.DUMMYFUNCTION("""COMPUTED_VALUE"""),"HoaNTM")</f>
        <v>HoaNTM</v>
      </c>
      <c r="F412" s="265" t="str">
        <f>IFERROR(__xludf.DUMMYFUNCTION("""COMPUTED_VALUE"""),"Sale chưa cung cấp")</f>
        <v>Sale chưa cung cấp</v>
      </c>
      <c r="G412" s="265" t="str">
        <f>IFERROR(__xludf.DUMMYFUNCTION("""COMPUTED_VALUE"""),"Enterprise")</f>
        <v>Enterprise</v>
      </c>
      <c r="H412" s="265" t="str">
        <f>IFERROR(__xludf.DUMMYFUNCTION("""COMPUTED_VALUE"""),"Trial")</f>
        <v>Trial</v>
      </c>
      <c r="I412" s="265" t="str">
        <f>IFERROR(__xludf.DUMMYFUNCTION("""COMPUTED_VALUE"""),"API &amp; Portal")</f>
        <v>API &amp; Portal</v>
      </c>
      <c r="J412" s="265" t="str">
        <f>IFERROR(__xludf.DUMMYFUNCTION("""COMPUTED_VALUE"""),"GapOne")</f>
        <v>GapOne</v>
      </c>
    </row>
    <row r="413">
      <c r="A413" s="265" t="str">
        <f>IFERROR(__xludf.DUMMYFUNCTION("""COMPUTED_VALUE"""),"704")</f>
        <v>704</v>
      </c>
      <c r="B413" s="265" t="str">
        <f>IFERROR(__xludf.DUMMYFUNCTION("""COMPUTED_VALUE"""),"Sài Gòn")</f>
        <v>Sài Gòn</v>
      </c>
      <c r="C413" s="265" t="str">
        <f>IFERROR(__xludf.DUMMYFUNCTION("""COMPUTED_VALUE"""),"Locked")</f>
        <v>Locked</v>
      </c>
      <c r="D413" s="265" t="str">
        <f>IFERROR(__xludf.DUMMYFUNCTION("""COMPUTED_VALUE"""),"Y tế &amp; Dược phẩm")</f>
        <v>Y tế &amp; Dược phẩm</v>
      </c>
      <c r="E413" s="265" t="str">
        <f>IFERROR(__xludf.DUMMYFUNCTION("""COMPUTED_VALUE"""),"TùngLD")</f>
        <v>TùngLD</v>
      </c>
      <c r="F413" s="265" t="str">
        <f>IFERROR(__xludf.DUMMYFUNCTION("""COMPUTED_VALUE"""),"Bronze")</f>
        <v>Bronze</v>
      </c>
      <c r="G413" s="265" t="str">
        <f>IFERROR(__xludf.DUMMYFUNCTION("""COMPUTED_VALUE"""),"Enterprise")</f>
        <v>Enterprise</v>
      </c>
      <c r="H413" s="265" t="str">
        <f>IFERROR(__xludf.DUMMYFUNCTION("""COMPUTED_VALUE"""),"Trả sau")</f>
        <v>Trả sau</v>
      </c>
      <c r="I413" s="265" t="str">
        <f>IFERROR(__xludf.DUMMYFUNCTION("""COMPUTED_VALUE"""),"API &amp; Portal")</f>
        <v>API &amp; Portal</v>
      </c>
      <c r="J413" s="265" t="str">
        <f>IFERROR(__xludf.DUMMYFUNCTION("""COMPUTED_VALUE"""),"Zalo ZNS")</f>
        <v>Zalo ZNS</v>
      </c>
    </row>
    <row r="414">
      <c r="A414" s="265" t="str">
        <f>IFERROR(__xludf.DUMMYFUNCTION("""COMPUTED_VALUE"""),"706")</f>
        <v>706</v>
      </c>
      <c r="B414" s="265" t="str">
        <f>IFERROR(__xludf.DUMMYFUNCTION("""COMPUTED_VALUE"""),"Hà Nội")</f>
        <v>Hà Nội</v>
      </c>
      <c r="C414" s="265" t="str">
        <f>IFERROR(__xludf.DUMMYFUNCTION("""COMPUTED_VALUE"""),"Locked")</f>
        <v>Locked</v>
      </c>
      <c r="D414" s="265" t="str">
        <f>IFERROR(__xludf.DUMMYFUNCTION("""COMPUTED_VALUE"""),"Mua sắm &amp; Bán lẻ")</f>
        <v>Mua sắm &amp; Bán lẻ</v>
      </c>
      <c r="E414" s="265" t="str">
        <f>IFERROR(__xludf.DUMMYFUNCTION("""COMPUTED_VALUE"""),"TùngLD")</f>
        <v>TùngLD</v>
      </c>
      <c r="F414" s="265" t="str">
        <f>IFERROR(__xludf.DUMMYFUNCTION("""COMPUTED_VALUE"""),"Diamond")</f>
        <v>Diamond</v>
      </c>
      <c r="G414" s="265" t="str">
        <f>IFERROR(__xludf.DUMMYFUNCTION("""COMPUTED_VALUE"""),"Starter")</f>
        <v>Starter</v>
      </c>
      <c r="H414" s="265" t="str">
        <f>IFERROR(__xludf.DUMMYFUNCTION("""COMPUTED_VALUE"""),"Trả sau")</f>
        <v>Trả sau</v>
      </c>
      <c r="I414" s="265" t="str">
        <f>IFERROR(__xludf.DUMMYFUNCTION("""COMPUTED_VALUE"""),"API")</f>
        <v>API</v>
      </c>
      <c r="J414" s="265" t="str">
        <f>IFERROR(__xludf.DUMMYFUNCTION("""COMPUTED_VALUE"""),"Zalo ZNS")</f>
        <v>Zalo ZNS</v>
      </c>
    </row>
    <row r="415">
      <c r="A415" s="265" t="str">
        <f>IFERROR(__xludf.DUMMYFUNCTION("""COMPUTED_VALUE"""),"700")</f>
        <v>700</v>
      </c>
      <c r="B415" s="265" t="str">
        <f>IFERROR(__xludf.DUMMYFUNCTION("""COMPUTED_VALUE"""),"Sài Gòn")</f>
        <v>Sài Gòn</v>
      </c>
      <c r="C415" s="265" t="str">
        <f>IFERROR(__xludf.DUMMYFUNCTION("""COMPUTED_VALUE"""),"Locked")</f>
        <v>Locked</v>
      </c>
      <c r="D415" s="265" t="str">
        <f>IFERROR(__xludf.DUMMYFUNCTION("""COMPUTED_VALUE"""),"Viễn thông")</f>
        <v>Viễn thông</v>
      </c>
      <c r="E415" s="265" t="str">
        <f>IFERROR(__xludf.DUMMYFUNCTION("""COMPUTED_VALUE"""),"HoaNTM")</f>
        <v>HoaNTM</v>
      </c>
      <c r="F415" s="265" t="str">
        <f>IFERROR(__xludf.DUMMYFUNCTION("""COMPUTED_VALUE"""),"Sale chưa cung cấp")</f>
        <v>Sale chưa cung cấp</v>
      </c>
      <c r="G415" s="265" t="str">
        <f>IFERROR(__xludf.DUMMYFUNCTION("""COMPUTED_VALUE"""),"Enterprise")</f>
        <v>Enterprise</v>
      </c>
      <c r="H415" s="265" t="str">
        <f>IFERROR(__xludf.DUMMYFUNCTION("""COMPUTED_VALUE"""),"(Chưa recheck)")</f>
        <v>(Chưa recheck)</v>
      </c>
      <c r="I415" s="265" t="str">
        <f>IFERROR(__xludf.DUMMYFUNCTION("""COMPUTED_VALUE"""),"API &amp; Portal")</f>
        <v>API &amp; Portal</v>
      </c>
      <c r="J415" s="265" t="str">
        <f>IFERROR(__xludf.DUMMYFUNCTION("""COMPUTED_VALUE"""),"GapOne")</f>
        <v>GapOne</v>
      </c>
    </row>
    <row r="416">
      <c r="A416" s="265" t="str">
        <f>IFERROR(__xludf.DUMMYFUNCTION("""COMPUTED_VALUE"""),"707")</f>
        <v>707</v>
      </c>
      <c r="B416" s="265" t="str">
        <f>IFERROR(__xludf.DUMMYFUNCTION("""COMPUTED_VALUE"""),"Hà Nội")</f>
        <v>Hà Nội</v>
      </c>
      <c r="C416" s="265" t="str">
        <f>IFERROR(__xludf.DUMMYFUNCTION("""COMPUTED_VALUE"""),"Locked")</f>
        <v>Locked</v>
      </c>
      <c r="D416" s="265" t="str">
        <f>IFERROR(__xludf.DUMMYFUNCTION("""COMPUTED_VALUE"""),"Mua sắm &amp; Bán lẻ")</f>
        <v>Mua sắm &amp; Bán lẻ</v>
      </c>
      <c r="E416" s="265" t="str">
        <f>IFERROR(__xludf.DUMMYFUNCTION("""COMPUTED_VALUE"""),"PhươngDTB")</f>
        <v>PhươngDTB</v>
      </c>
      <c r="F416" s="265" t="str">
        <f>IFERROR(__xludf.DUMMYFUNCTION("""COMPUTED_VALUE"""),"Bronze")</f>
        <v>Bronze</v>
      </c>
      <c r="G416" s="265" t="str">
        <f>IFERROR(__xludf.DUMMYFUNCTION("""COMPUTED_VALUE"""),"Enterprise")</f>
        <v>Enterprise</v>
      </c>
      <c r="H416" s="265" t="str">
        <f>IFERROR(__xludf.DUMMYFUNCTION("""COMPUTED_VALUE"""),"(Chưa recheck)")</f>
        <v>(Chưa recheck)</v>
      </c>
      <c r="I416" s="265" t="str">
        <f>IFERROR(__xludf.DUMMYFUNCTION("""COMPUTED_VALUE"""),"API &amp; Portal")</f>
        <v>API &amp; Portal</v>
      </c>
      <c r="J416" s="265" t="str">
        <f>IFERROR(__xludf.DUMMYFUNCTION("""COMPUTED_VALUE"""),"Zalo ZNS")</f>
        <v>Zalo ZNS</v>
      </c>
    </row>
    <row r="417">
      <c r="A417" s="265" t="str">
        <f>IFERROR(__xludf.DUMMYFUNCTION("""COMPUTED_VALUE"""),"709")</f>
        <v>709</v>
      </c>
      <c r="B417" s="265" t="str">
        <f>IFERROR(__xludf.DUMMYFUNCTION("""COMPUTED_VALUE"""),"Hà Nội")</f>
        <v>Hà Nội</v>
      </c>
      <c r="C417" s="265" t="str">
        <f>IFERROR(__xludf.DUMMYFUNCTION("""COMPUTED_VALUE"""),"Locked")</f>
        <v>Locked</v>
      </c>
      <c r="D417" s="265" t="str">
        <f>IFERROR(__xludf.DUMMYFUNCTION("""COMPUTED_VALUE"""),"Viễn thông")</f>
        <v>Viễn thông</v>
      </c>
      <c r="E417" s="265" t="str">
        <f>IFERROR(__xludf.DUMMYFUNCTION("""COMPUTED_VALUE"""),"NamDT")</f>
        <v>NamDT</v>
      </c>
      <c r="F417" s="265" t="str">
        <f>IFERROR(__xludf.DUMMYFUNCTION("""COMPUTED_VALUE"""),"Sale chưa cung cấp")</f>
        <v>Sale chưa cung cấp</v>
      </c>
      <c r="G417" s="265" t="str">
        <f>IFERROR(__xludf.DUMMYFUNCTION("""COMPUTED_VALUE"""),"Enterprise")</f>
        <v>Enterprise</v>
      </c>
      <c r="H417" s="265" t="str">
        <f>IFERROR(__xludf.DUMMYFUNCTION("""COMPUTED_VALUE"""),"Trial")</f>
        <v>Trial</v>
      </c>
      <c r="I417" s="265" t="str">
        <f>IFERROR(__xludf.DUMMYFUNCTION("""COMPUTED_VALUE"""),"Portal")</f>
        <v>Portal</v>
      </c>
      <c r="J417" s="265" t="str">
        <f>IFERROR(__xludf.DUMMYFUNCTION("""COMPUTED_VALUE"""),"Zalo ZNS")</f>
        <v>Zalo ZNS</v>
      </c>
    </row>
    <row r="418">
      <c r="A418" s="265" t="str">
        <f>IFERROR(__xludf.DUMMYFUNCTION("""COMPUTED_VALUE"""),"708")</f>
        <v>708</v>
      </c>
      <c r="B418" s="265" t="str">
        <f>IFERROR(__xludf.DUMMYFUNCTION("""COMPUTED_VALUE"""),"Sài Gòn")</f>
        <v>Sài Gòn</v>
      </c>
      <c r="C418" s="265" t="str">
        <f>IFERROR(__xludf.DUMMYFUNCTION("""COMPUTED_VALUE"""),"Locked")</f>
        <v>Locked</v>
      </c>
      <c r="D418" s="265" t="str">
        <f>IFERROR(__xludf.DUMMYFUNCTION("""COMPUTED_VALUE"""),"Y tế &amp; Dược phẩm")</f>
        <v>Y tế &amp; Dược phẩm</v>
      </c>
      <c r="E418" s="265" t="str">
        <f>IFERROR(__xludf.DUMMYFUNCTION("""COMPUTED_VALUE"""),"HoaNTM")</f>
        <v>HoaNTM</v>
      </c>
      <c r="F418" s="265" t="str">
        <f>IFERROR(__xludf.DUMMYFUNCTION("""COMPUTED_VALUE"""),"Gold")</f>
        <v>Gold</v>
      </c>
      <c r="G418" s="265" t="str">
        <f>IFERROR(__xludf.DUMMYFUNCTION("""COMPUTED_VALUE"""),"Starter")</f>
        <v>Starter</v>
      </c>
      <c r="H418" s="265" t="str">
        <f>IFERROR(__xludf.DUMMYFUNCTION("""COMPUTED_VALUE"""),"(Chưa recheck)")</f>
        <v>(Chưa recheck)</v>
      </c>
      <c r="I418" s="265" t="str">
        <f>IFERROR(__xludf.DUMMYFUNCTION("""COMPUTED_VALUE"""),"API &amp; Portal")</f>
        <v>API &amp; Portal</v>
      </c>
      <c r="J418" s="265" t="str">
        <f>IFERROR(__xludf.DUMMYFUNCTION("""COMPUTED_VALUE"""),"GapOne")</f>
        <v>GapOne</v>
      </c>
    </row>
    <row r="419">
      <c r="A419" s="265" t="str">
        <f>IFERROR(__xludf.DUMMYFUNCTION("""COMPUTED_VALUE"""),"710")</f>
        <v>710</v>
      </c>
      <c r="B419" s="265" t="str">
        <f>IFERROR(__xludf.DUMMYFUNCTION("""COMPUTED_VALUE"""),"Hà Nội")</f>
        <v>Hà Nội</v>
      </c>
      <c r="C419" s="265" t="str">
        <f>IFERROR(__xludf.DUMMYFUNCTION("""COMPUTED_VALUE"""),"Locked")</f>
        <v>Locked</v>
      </c>
      <c r="D419" s="265" t="str">
        <f>IFERROR(__xludf.DUMMYFUNCTION("""COMPUTED_VALUE"""),"Mua sắm &amp; Bán lẻ")</f>
        <v>Mua sắm &amp; Bán lẻ</v>
      </c>
      <c r="E419" s="265" t="str">
        <f>IFERROR(__xludf.DUMMYFUNCTION("""COMPUTED_VALUE"""),"TúPHN")</f>
        <v>TúPHN</v>
      </c>
      <c r="F419" s="265" t="str">
        <f>IFERROR(__xludf.DUMMYFUNCTION("""COMPUTED_VALUE"""),"Bronze")</f>
        <v>Bronze</v>
      </c>
      <c r="G419" s="265" t="str">
        <f>IFERROR(__xludf.DUMMYFUNCTION("""COMPUTED_VALUE"""),"Enterprise")</f>
        <v>Enterprise</v>
      </c>
      <c r="H419" s="265" t="str">
        <f>IFERROR(__xludf.DUMMYFUNCTION("""COMPUTED_VALUE"""),"Trả trước")</f>
        <v>Trả trước</v>
      </c>
      <c r="I419" s="265" t="str">
        <f>IFERROR(__xludf.DUMMYFUNCTION("""COMPUTED_VALUE"""),"API &amp; Portal")</f>
        <v>API &amp; Portal</v>
      </c>
      <c r="J419" s="265" t="str">
        <f>IFERROR(__xludf.DUMMYFUNCTION("""COMPUTED_VALUE"""),"Zalo ZNS")</f>
        <v>Zalo ZNS</v>
      </c>
    </row>
    <row r="420">
      <c r="A420" s="265" t="str">
        <f>IFERROR(__xludf.DUMMYFUNCTION("""COMPUTED_VALUE"""),"712")</f>
        <v>712</v>
      </c>
      <c r="B420" s="265" t="str">
        <f>IFERROR(__xludf.DUMMYFUNCTION("""COMPUTED_VALUE"""),"Hà Nội")</f>
        <v>Hà Nội</v>
      </c>
      <c r="C420" s="265" t="str">
        <f>IFERROR(__xludf.DUMMYFUNCTION("""COMPUTED_VALUE"""),"Locked")</f>
        <v>Locked</v>
      </c>
      <c r="D420" s="265" t="str">
        <f>IFERROR(__xludf.DUMMYFUNCTION("""COMPUTED_VALUE"""),"Thời trang &amp; May mặc")</f>
        <v>Thời trang &amp; May mặc</v>
      </c>
      <c r="E420" s="265" t="str">
        <f>IFERROR(__xludf.DUMMYFUNCTION("""COMPUTED_VALUE"""),"TùngLD")</f>
        <v>TùngLD</v>
      </c>
      <c r="F420" s="265" t="str">
        <f>IFERROR(__xludf.DUMMYFUNCTION("""COMPUTED_VALUE"""),"Silver")</f>
        <v>Silver</v>
      </c>
      <c r="G420" s="265" t="str">
        <f>IFERROR(__xludf.DUMMYFUNCTION("""COMPUTED_VALUE"""),"Enterprise")</f>
        <v>Enterprise</v>
      </c>
      <c r="H420" s="265" t="str">
        <f>IFERROR(__xludf.DUMMYFUNCTION("""COMPUTED_VALUE"""),"Trả trước")</f>
        <v>Trả trước</v>
      </c>
      <c r="I420" s="265" t="str">
        <f>IFERROR(__xludf.DUMMYFUNCTION("""COMPUTED_VALUE"""),"Portal")</f>
        <v>Portal</v>
      </c>
      <c r="J420" s="265" t="str">
        <f>IFERROR(__xludf.DUMMYFUNCTION("""COMPUTED_VALUE"""),"Zalo ZNS")</f>
        <v>Zalo ZNS</v>
      </c>
    </row>
    <row r="421">
      <c r="A421" s="265" t="str">
        <f>IFERROR(__xludf.DUMMYFUNCTION("""COMPUTED_VALUE"""),"711")</f>
        <v>711</v>
      </c>
      <c r="B421" s="265" t="str">
        <f>IFERROR(__xludf.DUMMYFUNCTION("""COMPUTED_VALUE"""),"Hà Nội")</f>
        <v>Hà Nội</v>
      </c>
      <c r="C421" s="265" t="str">
        <f>IFERROR(__xludf.DUMMYFUNCTION("""COMPUTED_VALUE"""),"Locked")</f>
        <v>Locked</v>
      </c>
      <c r="D421" s="265" t="str">
        <f>IFERROR(__xludf.DUMMYFUNCTION("""COMPUTED_VALUE"""),"Thực phẩm &amp; Đồ uống")</f>
        <v>Thực phẩm &amp; Đồ uống</v>
      </c>
      <c r="E421" s="265" t="str">
        <f>IFERROR(__xludf.DUMMYFUNCTION("""COMPUTED_VALUE"""),"NamDT")</f>
        <v>NamDT</v>
      </c>
      <c r="F421" s="265" t="str">
        <f>IFERROR(__xludf.DUMMYFUNCTION("""COMPUTED_VALUE"""),"Sale chưa cung cấp")</f>
        <v>Sale chưa cung cấp</v>
      </c>
      <c r="G421" s="265" t="str">
        <f>IFERROR(__xludf.DUMMYFUNCTION("""COMPUTED_VALUE"""),"Enterprise")</f>
        <v>Enterprise</v>
      </c>
      <c r="H421" s="265" t="str">
        <f>IFERROR(__xludf.DUMMYFUNCTION("""COMPUTED_VALUE"""),"Trả sau")</f>
        <v>Trả sau</v>
      </c>
      <c r="I421" s="265" t="str">
        <f>IFERROR(__xludf.DUMMYFUNCTION("""COMPUTED_VALUE"""),"Portal")</f>
        <v>Portal</v>
      </c>
      <c r="J421" s="265" t="str">
        <f>IFERROR(__xludf.DUMMYFUNCTION("""COMPUTED_VALUE"""),"SMS CSKH")</f>
        <v>SMS CSKH</v>
      </c>
    </row>
    <row r="422">
      <c r="A422" s="265" t="str">
        <f>IFERROR(__xludf.DUMMYFUNCTION("""COMPUTED_VALUE"""),"713")</f>
        <v>713</v>
      </c>
      <c r="B422" s="265" t="str">
        <f>IFERROR(__xludf.DUMMYFUNCTION("""COMPUTED_VALUE"""),"Hà Nội")</f>
        <v>Hà Nội</v>
      </c>
      <c r="C422" s="265" t="str">
        <f>IFERROR(__xludf.DUMMYFUNCTION("""COMPUTED_VALUE"""),"Locked")</f>
        <v>Locked</v>
      </c>
      <c r="D422" s="265" t="str">
        <f>IFERROR(__xludf.DUMMYFUNCTION("""COMPUTED_VALUE"""),"Thực phẩm &amp; Đồ uống")</f>
        <v>Thực phẩm &amp; Đồ uống</v>
      </c>
      <c r="E422" s="265" t="str">
        <f>IFERROR(__xludf.DUMMYFUNCTION("""COMPUTED_VALUE"""),"NamDT")</f>
        <v>NamDT</v>
      </c>
      <c r="F422" s="265" t="str">
        <f>IFERROR(__xludf.DUMMYFUNCTION("""COMPUTED_VALUE"""),"Sale chưa cung cấp")</f>
        <v>Sale chưa cung cấp</v>
      </c>
      <c r="G422" s="265" t="str">
        <f>IFERROR(__xludf.DUMMYFUNCTION("""COMPUTED_VALUE"""),"Enterprise")</f>
        <v>Enterprise</v>
      </c>
      <c r="H422" s="265" t="str">
        <f>IFERROR(__xludf.DUMMYFUNCTION("""COMPUTED_VALUE"""),"Trả sau")</f>
        <v>Trả sau</v>
      </c>
      <c r="I422" s="265" t="str">
        <f>IFERROR(__xludf.DUMMYFUNCTION("""COMPUTED_VALUE"""),"Portal")</f>
        <v>Portal</v>
      </c>
      <c r="J422" s="265" t="str">
        <f>IFERROR(__xludf.DUMMYFUNCTION("""COMPUTED_VALUE"""),"SMS CSKH")</f>
        <v>SMS CSKH</v>
      </c>
    </row>
    <row r="423">
      <c r="A423" s="265" t="str">
        <f>IFERROR(__xludf.DUMMYFUNCTION("""COMPUTED_VALUE"""),"715")</f>
        <v>715</v>
      </c>
      <c r="B423" s="265" t="str">
        <f>IFERROR(__xludf.DUMMYFUNCTION("""COMPUTED_VALUE"""),"Hà Nội")</f>
        <v>Hà Nội</v>
      </c>
      <c r="C423" s="265" t="str">
        <f>IFERROR(__xludf.DUMMYFUNCTION("""COMPUTED_VALUE"""),"Active")</f>
        <v>Active</v>
      </c>
      <c r="D423" s="265" t="str">
        <f>IFERROR(__xludf.DUMMYFUNCTION("""COMPUTED_VALUE"""),"Tài chính &amp; Ngân hàng")</f>
        <v>Tài chính &amp; Ngân hàng</v>
      </c>
      <c r="E423" s="265" t="str">
        <f>IFERROR(__xludf.DUMMYFUNCTION("""COMPUTED_VALUE"""),"AnhNM")</f>
        <v>AnhNM</v>
      </c>
      <c r="F423" s="265" t="str">
        <f>IFERROR(__xludf.DUMMYFUNCTION("""COMPUTED_VALUE"""),"Sale chưa cung cấp")</f>
        <v>Sale chưa cung cấp</v>
      </c>
      <c r="G423" s="265" t="str">
        <f>IFERROR(__xludf.DUMMYFUNCTION("""COMPUTED_VALUE"""),"Starter")</f>
        <v>Starter</v>
      </c>
      <c r="H423" s="265" t="str">
        <f>IFERROR(__xludf.DUMMYFUNCTION("""COMPUTED_VALUE"""),"Trả sau")</f>
        <v>Trả sau</v>
      </c>
      <c r="I423" s="265" t="str">
        <f>IFERROR(__xludf.DUMMYFUNCTION("""COMPUTED_VALUE"""),"API")</f>
        <v>API</v>
      </c>
      <c r="J423" s="265" t="str">
        <f>IFERROR(__xludf.DUMMYFUNCTION("""COMPUTED_VALUE"""),"Zalo ZNS")</f>
        <v>Zalo ZNS</v>
      </c>
    </row>
    <row r="424">
      <c r="A424" s="265" t="str">
        <f>IFERROR(__xludf.DUMMYFUNCTION("""COMPUTED_VALUE"""),"714")</f>
        <v>714</v>
      </c>
      <c r="B424" s="265" t="str">
        <f>IFERROR(__xludf.DUMMYFUNCTION("""COMPUTED_VALUE"""),"Sài Gòn")</f>
        <v>Sài Gòn</v>
      </c>
      <c r="C424" s="265" t="str">
        <f>IFERROR(__xludf.DUMMYFUNCTION("""COMPUTED_VALUE"""),"Locked")</f>
        <v>Locked</v>
      </c>
      <c r="D424" s="265" t="str">
        <f>IFERROR(__xludf.DUMMYFUNCTION("""COMPUTED_VALUE"""),"Thực phẩm &amp; Đồ uống")</f>
        <v>Thực phẩm &amp; Đồ uống</v>
      </c>
      <c r="E424" s="265" t="str">
        <f>IFERROR(__xludf.DUMMYFUNCTION("""COMPUTED_VALUE"""),"HoaNTM")</f>
        <v>HoaNTM</v>
      </c>
      <c r="F424" s="265" t="str">
        <f>IFERROR(__xludf.DUMMYFUNCTION("""COMPUTED_VALUE"""),"Sale chưa cung cấp")</f>
        <v>Sale chưa cung cấp</v>
      </c>
      <c r="G424" s="265" t="str">
        <f>IFERROR(__xludf.DUMMYFUNCTION("""COMPUTED_VALUE"""),"Enterprise")</f>
        <v>Enterprise</v>
      </c>
      <c r="H424" s="265" t="str">
        <f>IFERROR(__xludf.DUMMYFUNCTION("""COMPUTED_VALUE"""),"Trả sau")</f>
        <v>Trả sau</v>
      </c>
      <c r="I424" s="265" t="str">
        <f>IFERROR(__xludf.DUMMYFUNCTION("""COMPUTED_VALUE"""),"Portal")</f>
        <v>Portal</v>
      </c>
      <c r="J424" s="265" t="str">
        <f>IFERROR(__xludf.DUMMYFUNCTION("""COMPUTED_VALUE"""),"GapOne")</f>
        <v>GapOne</v>
      </c>
    </row>
    <row r="425">
      <c r="A425" s="265" t="str">
        <f>IFERROR(__xludf.DUMMYFUNCTION("""COMPUTED_VALUE"""),"717")</f>
        <v>717</v>
      </c>
      <c r="B425" s="265" t="str">
        <f>IFERROR(__xludf.DUMMYFUNCTION("""COMPUTED_VALUE"""),"Sài Gòn")</f>
        <v>Sài Gòn</v>
      </c>
      <c r="C425" s="265" t="str">
        <f>IFERROR(__xludf.DUMMYFUNCTION("""COMPUTED_VALUE"""),"Locked")</f>
        <v>Locked</v>
      </c>
      <c r="D425" s="265" t="str">
        <f>IFERROR(__xludf.DUMMYFUNCTION("""COMPUTED_VALUE"""),"Sale chưa cung cấp")</f>
        <v>Sale chưa cung cấp</v>
      </c>
      <c r="E425" s="265" t="str">
        <f>IFERROR(__xludf.DUMMYFUNCTION("""COMPUTED_VALUE"""),"Không phân công")</f>
        <v>Không phân công</v>
      </c>
      <c r="F425" s="265" t="str">
        <f>IFERROR(__xludf.DUMMYFUNCTION("""COMPUTED_VALUE"""),"Sale chưa cung cấp")</f>
        <v>Sale chưa cung cấp</v>
      </c>
      <c r="G425" s="265" t="str">
        <f>IFERROR(__xludf.DUMMYFUNCTION("""COMPUTED_VALUE"""),"MSG")</f>
        <v>MSG</v>
      </c>
      <c r="H425" s="265" t="str">
        <f>IFERROR(__xludf.DUMMYFUNCTION("""COMPUTED_VALUE"""),"Trả trước")</f>
        <v>Trả trước</v>
      </c>
      <c r="I425" s="265" t="str">
        <f>IFERROR(__xludf.DUMMYFUNCTION("""COMPUTED_VALUE"""),"Portal")</f>
        <v>Portal</v>
      </c>
      <c r="J425" s="265" t="str">
        <f>IFERROR(__xludf.DUMMYFUNCTION("""COMPUTED_VALUE"""),"SMS CSKH")</f>
        <v>SMS CSKH</v>
      </c>
    </row>
    <row r="426">
      <c r="A426" s="265" t="str">
        <f>IFERROR(__xludf.DUMMYFUNCTION("""COMPUTED_VALUE"""),"718")</f>
        <v>718</v>
      </c>
      <c r="B426" s="265" t="str">
        <f>IFERROR(__xludf.DUMMYFUNCTION("""COMPUTED_VALUE"""),"Hà Nội")</f>
        <v>Hà Nội</v>
      </c>
      <c r="C426" s="265" t="str">
        <f>IFERROR(__xludf.DUMMYFUNCTION("""COMPUTED_VALUE"""),"Locked")</f>
        <v>Locked</v>
      </c>
      <c r="D426" s="265" t="str">
        <f>IFERROR(__xludf.DUMMYFUNCTION("""COMPUTED_VALUE"""),"Công nghệ &amp; Phần mềm")</f>
        <v>Công nghệ &amp; Phần mềm</v>
      </c>
      <c r="E426" s="265" t="str">
        <f>IFERROR(__xludf.DUMMYFUNCTION("""COMPUTED_VALUE"""),"NganNT1")</f>
        <v>NganNT1</v>
      </c>
      <c r="F426" s="265" t="str">
        <f>IFERROR(__xludf.DUMMYFUNCTION("""COMPUTED_VALUE"""),"Sale chưa cung cấp")</f>
        <v>Sale chưa cung cấp</v>
      </c>
      <c r="G426" s="265" t="str">
        <f>IFERROR(__xludf.DUMMYFUNCTION("""COMPUTED_VALUE"""),"API")</f>
        <v>API</v>
      </c>
      <c r="H426" s="265" t="str">
        <f>IFERROR(__xludf.DUMMYFUNCTION("""COMPUTED_VALUE"""),"Trial")</f>
        <v>Trial</v>
      </c>
      <c r="I426" s="265" t="str">
        <f>IFERROR(__xludf.DUMMYFUNCTION("""COMPUTED_VALUE"""),"API")</f>
        <v>API</v>
      </c>
      <c r="J426" s="265" t="str">
        <f>IFERROR(__xludf.DUMMYFUNCTION("""COMPUTED_VALUE"""),"Zalo ZNS")</f>
        <v>Zalo ZNS</v>
      </c>
    </row>
    <row r="427">
      <c r="A427" s="265" t="str">
        <f>IFERROR(__xludf.DUMMYFUNCTION("""COMPUTED_VALUE"""),"719")</f>
        <v>719</v>
      </c>
      <c r="B427" s="265" t="str">
        <f>IFERROR(__xludf.DUMMYFUNCTION("""COMPUTED_VALUE"""),"Hà Nội")</f>
        <v>Hà Nội</v>
      </c>
      <c r="C427" s="265" t="str">
        <f>IFERROR(__xludf.DUMMYFUNCTION("""COMPUTED_VALUE"""),"Active")</f>
        <v>Active</v>
      </c>
      <c r="D427" s="265" t="str">
        <f>IFERROR(__xludf.DUMMYFUNCTION("""COMPUTED_VALUE"""),"Tài chính &amp; Ngân hàng")</f>
        <v>Tài chính &amp; Ngân hàng</v>
      </c>
      <c r="E427" s="265" t="str">
        <f>IFERROR(__xludf.DUMMYFUNCTION("""COMPUTED_VALUE"""),"Không phân công")</f>
        <v>Không phân công</v>
      </c>
      <c r="F427" s="265" t="str">
        <f>IFERROR(__xludf.DUMMYFUNCTION("""COMPUTED_VALUE"""),"Sale chưa cung cấp")</f>
        <v>Sale chưa cung cấp</v>
      </c>
      <c r="G427" s="265" t="str">
        <f>IFERROR(__xludf.DUMMYFUNCTION("""COMPUTED_VALUE"""),"Starter")</f>
        <v>Starter</v>
      </c>
      <c r="H427" s="265" t="str">
        <f>IFERROR(__xludf.DUMMYFUNCTION("""COMPUTED_VALUE"""),"Trả sau")</f>
        <v>Trả sau</v>
      </c>
      <c r="I427" s="265" t="str">
        <f>IFERROR(__xludf.DUMMYFUNCTION("""COMPUTED_VALUE"""),"API &amp; Portal")</f>
        <v>API &amp; Portal</v>
      </c>
      <c r="J427" s="265" t="str">
        <f>IFERROR(__xludf.DUMMYFUNCTION("""COMPUTED_VALUE"""),"SMS CSKH")</f>
        <v>SMS CSKH</v>
      </c>
    </row>
    <row r="428">
      <c r="A428" s="265" t="str">
        <f>IFERROR(__xludf.DUMMYFUNCTION("""COMPUTED_VALUE"""),"721")</f>
        <v>721</v>
      </c>
      <c r="B428" s="265" t="str">
        <f>IFERROR(__xludf.DUMMYFUNCTION("""COMPUTED_VALUE"""),"Sài Gòn")</f>
        <v>Sài Gòn</v>
      </c>
      <c r="C428" s="265" t="str">
        <f>IFERROR(__xludf.DUMMYFUNCTION("""COMPUTED_VALUE"""),"Locked")</f>
        <v>Locked</v>
      </c>
      <c r="D428" s="265" t="str">
        <f>IFERROR(__xludf.DUMMYFUNCTION("""COMPUTED_VALUE"""),"Thực phẩm &amp; Đồ uống")</f>
        <v>Thực phẩm &amp; Đồ uống</v>
      </c>
      <c r="E428" s="265" t="str">
        <f>IFERROR(__xludf.DUMMYFUNCTION("""COMPUTED_VALUE"""),"(Chưa recheck)")</f>
        <v>(Chưa recheck)</v>
      </c>
      <c r="F428" s="265" t="str">
        <f>IFERROR(__xludf.DUMMYFUNCTION("""COMPUTED_VALUE"""),"Sale chưa cung cấp")</f>
        <v>Sale chưa cung cấp</v>
      </c>
      <c r="G428" s="265" t="str">
        <f>IFERROR(__xludf.DUMMYFUNCTION("""COMPUTED_VALUE"""),"API")</f>
        <v>API</v>
      </c>
      <c r="H428" s="265" t="str">
        <f>IFERROR(__xludf.DUMMYFUNCTION("""COMPUTED_VALUE"""),"Trả sau")</f>
        <v>Trả sau</v>
      </c>
      <c r="I428" s="265" t="str">
        <f>IFERROR(__xludf.DUMMYFUNCTION("""COMPUTED_VALUE"""),"API")</f>
        <v>API</v>
      </c>
      <c r="J428" s="265" t="str">
        <f>IFERROR(__xludf.DUMMYFUNCTION("""COMPUTED_VALUE"""),"GapOne")</f>
        <v>GapOne</v>
      </c>
    </row>
    <row r="429">
      <c r="A429" s="265" t="str">
        <f>IFERROR(__xludf.DUMMYFUNCTION("""COMPUTED_VALUE"""),"723")</f>
        <v>723</v>
      </c>
      <c r="B429" s="265" t="str">
        <f>IFERROR(__xludf.DUMMYFUNCTION("""COMPUTED_VALUE"""),"Hà Nội")</f>
        <v>Hà Nội</v>
      </c>
      <c r="C429" s="265" t="str">
        <f>IFERROR(__xludf.DUMMYFUNCTION("""COMPUTED_VALUE"""),"Locked")</f>
        <v>Locked</v>
      </c>
      <c r="D429" s="265" t="str">
        <f>IFERROR(__xludf.DUMMYFUNCTION("""COMPUTED_VALUE"""),"Bất động sản")</f>
        <v>Bất động sản</v>
      </c>
      <c r="E429" s="265" t="str">
        <f>IFERROR(__xludf.DUMMYFUNCTION("""COMPUTED_VALUE"""),"DungDT")</f>
        <v>DungDT</v>
      </c>
      <c r="F429" s="265" t="str">
        <f>IFERROR(__xludf.DUMMYFUNCTION("""COMPUTED_VALUE"""),"Sale chưa cung cấp")</f>
        <v>Sale chưa cung cấp</v>
      </c>
      <c r="G429" s="265" t="str">
        <f>IFERROR(__xludf.DUMMYFUNCTION("""COMPUTED_VALUE"""),"Enterprise")</f>
        <v>Enterprise</v>
      </c>
      <c r="H429" s="265" t="str">
        <f>IFERROR(__xludf.DUMMYFUNCTION("""COMPUTED_VALUE"""),"Trial")</f>
        <v>Trial</v>
      </c>
      <c r="I429" s="265" t="str">
        <f>IFERROR(__xludf.DUMMYFUNCTION("""COMPUTED_VALUE"""),"API &amp; Portal")</f>
        <v>API &amp; Portal</v>
      </c>
      <c r="J429" s="265" t="str">
        <f>IFERROR(__xludf.DUMMYFUNCTION("""COMPUTED_VALUE"""),"Tất cả")</f>
        <v>Tất cả</v>
      </c>
    </row>
    <row r="430">
      <c r="A430" s="265" t="str">
        <f>IFERROR(__xludf.DUMMYFUNCTION("""COMPUTED_VALUE"""),"726")</f>
        <v>726</v>
      </c>
      <c r="B430" s="265" t="str">
        <f>IFERROR(__xludf.DUMMYFUNCTION("""COMPUTED_VALUE"""),"Hà Nội")</f>
        <v>Hà Nội</v>
      </c>
      <c r="C430" s="265" t="str">
        <f>IFERROR(__xludf.DUMMYFUNCTION("""COMPUTED_VALUE"""),"Locked")</f>
        <v>Locked</v>
      </c>
      <c r="D430" s="265" t="str">
        <f>IFERROR(__xludf.DUMMYFUNCTION("""COMPUTED_VALUE"""),"Vận tải &amp; logistics")</f>
        <v>Vận tải &amp; logistics</v>
      </c>
      <c r="E430" s="265" t="str">
        <f>IFERROR(__xludf.DUMMYFUNCTION("""COMPUTED_VALUE"""),"TùngLD")</f>
        <v>TùngLD</v>
      </c>
      <c r="F430" s="265" t="str">
        <f>IFERROR(__xludf.DUMMYFUNCTION("""COMPUTED_VALUE"""),"Bronze")</f>
        <v>Bronze</v>
      </c>
      <c r="G430" s="265" t="str">
        <f>IFERROR(__xludf.DUMMYFUNCTION("""COMPUTED_VALUE"""),"MSG")</f>
        <v>MSG</v>
      </c>
      <c r="H430" s="265" t="str">
        <f>IFERROR(__xludf.DUMMYFUNCTION("""COMPUTED_VALUE"""),"Trả trước")</f>
        <v>Trả trước</v>
      </c>
      <c r="I430" s="265" t="str">
        <f>IFERROR(__xludf.DUMMYFUNCTION("""COMPUTED_VALUE"""),"Portal")</f>
        <v>Portal</v>
      </c>
      <c r="J430" s="265" t="str">
        <f>IFERROR(__xludf.DUMMYFUNCTION("""COMPUTED_VALUE"""),"Zalo ZNS")</f>
        <v>Zalo ZNS</v>
      </c>
    </row>
    <row r="431">
      <c r="A431" s="265" t="str">
        <f>IFERROR(__xludf.DUMMYFUNCTION("""COMPUTED_VALUE"""),"727")</f>
        <v>727</v>
      </c>
      <c r="B431" s="265" t="str">
        <f>IFERROR(__xludf.DUMMYFUNCTION("""COMPUTED_VALUE"""),"Sài Gòn")</f>
        <v>Sài Gòn</v>
      </c>
      <c r="C431" s="265" t="str">
        <f>IFERROR(__xludf.DUMMYFUNCTION("""COMPUTED_VALUE"""),"Locked")</f>
        <v>Locked</v>
      </c>
      <c r="D431" s="265" t="str">
        <f>IFERROR(__xludf.DUMMYFUNCTION("""COMPUTED_VALUE"""),"Thực phẩm &amp; Đồ uống")</f>
        <v>Thực phẩm &amp; Đồ uống</v>
      </c>
      <c r="E431" s="265" t="str">
        <f>IFERROR(__xludf.DUMMYFUNCTION("""COMPUTED_VALUE"""),"(Chưa recheck)")</f>
        <v>(Chưa recheck)</v>
      </c>
      <c r="F431" s="265" t="str">
        <f>IFERROR(__xludf.DUMMYFUNCTION("""COMPUTED_VALUE"""),"Sale chưa cung cấp")</f>
        <v>Sale chưa cung cấp</v>
      </c>
      <c r="G431" s="265" t="str">
        <f>IFERROR(__xludf.DUMMYFUNCTION("""COMPUTED_VALUE"""),"MSG")</f>
        <v>MSG</v>
      </c>
      <c r="H431" s="265" t="str">
        <f>IFERROR(__xludf.DUMMYFUNCTION("""COMPUTED_VALUE"""),"Trả sau")</f>
        <v>Trả sau</v>
      </c>
      <c r="I431" s="265" t="str">
        <f>IFERROR(__xludf.DUMMYFUNCTION("""COMPUTED_VALUE"""),"Portal")</f>
        <v>Portal</v>
      </c>
      <c r="J431" s="265" t="str">
        <f>IFERROR(__xludf.DUMMYFUNCTION("""COMPUTED_VALUE"""),"SMS CSKH")</f>
        <v>SMS CSKH</v>
      </c>
    </row>
    <row r="432">
      <c r="A432" s="265" t="str">
        <f>IFERROR(__xludf.DUMMYFUNCTION("""COMPUTED_VALUE"""),"728")</f>
        <v>728</v>
      </c>
      <c r="B432" s="265" t="str">
        <f>IFERROR(__xludf.DUMMYFUNCTION("""COMPUTED_VALUE"""),"Hà Nội")</f>
        <v>Hà Nội</v>
      </c>
      <c r="C432" s="265" t="str">
        <f>IFERROR(__xludf.DUMMYFUNCTION("""COMPUTED_VALUE"""),"Locked")</f>
        <v>Locked</v>
      </c>
      <c r="D432" s="265" t="str">
        <f>IFERROR(__xludf.DUMMYFUNCTION("""COMPUTED_VALUE"""),"Dịch vụ khác")</f>
        <v>Dịch vụ khác</v>
      </c>
      <c r="E432" s="265" t="str">
        <f>IFERROR(__xludf.DUMMYFUNCTION("""COMPUTED_VALUE"""),"PhươngDTB")</f>
        <v>PhươngDTB</v>
      </c>
      <c r="F432" s="265" t="str">
        <f>IFERROR(__xludf.DUMMYFUNCTION("""COMPUTED_VALUE"""),"Sale chưa cung cấp")</f>
        <v>Sale chưa cung cấp</v>
      </c>
      <c r="G432" s="265" t="str">
        <f>IFERROR(__xludf.DUMMYFUNCTION("""COMPUTED_VALUE"""),"API")</f>
        <v>API</v>
      </c>
      <c r="H432" s="265" t="str">
        <f>IFERROR(__xludf.DUMMYFUNCTION("""COMPUTED_VALUE"""),"Trial")</f>
        <v>Trial</v>
      </c>
      <c r="I432" s="265" t="str">
        <f>IFERROR(__xludf.DUMMYFUNCTION("""COMPUTED_VALUE"""),"Portal")</f>
        <v>Portal</v>
      </c>
      <c r="J432" s="265" t="str">
        <f>IFERROR(__xludf.DUMMYFUNCTION("""COMPUTED_VALUE"""),"Zalo ZNS")</f>
        <v>Zalo ZNS</v>
      </c>
    </row>
    <row r="433">
      <c r="A433" s="265" t="str">
        <f>IFERROR(__xludf.DUMMYFUNCTION("""COMPUTED_VALUE"""),"730")</f>
        <v>730</v>
      </c>
      <c r="B433" s="265" t="str">
        <f>IFERROR(__xludf.DUMMYFUNCTION("""COMPUTED_VALUE"""),"Hà Nội")</f>
        <v>Hà Nội</v>
      </c>
      <c r="C433" s="265" t="str">
        <f>IFERROR(__xludf.DUMMYFUNCTION("""COMPUTED_VALUE"""),"Locked")</f>
        <v>Locked</v>
      </c>
      <c r="D433" s="265" t="str">
        <f>IFERROR(__xludf.DUMMYFUNCTION("""COMPUTED_VALUE"""),"Viễn thông")</f>
        <v>Viễn thông</v>
      </c>
      <c r="E433" s="265" t="str">
        <f>IFERROR(__xludf.DUMMYFUNCTION("""COMPUTED_VALUE"""),"DungDT")</f>
        <v>DungDT</v>
      </c>
      <c r="F433" s="265" t="str">
        <f>IFERROR(__xludf.DUMMYFUNCTION("""COMPUTED_VALUE"""),"Sale chưa cung cấp")</f>
        <v>Sale chưa cung cấp</v>
      </c>
      <c r="G433" s="265" t="str">
        <f>IFERROR(__xludf.DUMMYFUNCTION("""COMPUTED_VALUE"""),"API")</f>
        <v>API</v>
      </c>
      <c r="H433" s="265" t="str">
        <f>IFERROR(__xludf.DUMMYFUNCTION("""COMPUTED_VALUE"""),"Trả Sau")</f>
        <v>Trả Sau</v>
      </c>
      <c r="I433" s="265" t="str">
        <f>IFERROR(__xludf.DUMMYFUNCTION("""COMPUTED_VALUE"""),"API")</f>
        <v>API</v>
      </c>
      <c r="J433" s="265" t="str">
        <f>IFERROR(__xludf.DUMMYFUNCTION("""COMPUTED_VALUE"""),"Zalo ZNS")</f>
        <v>Zalo ZNS</v>
      </c>
    </row>
    <row r="434">
      <c r="A434" s="265" t="str">
        <f>IFERROR(__xludf.DUMMYFUNCTION("""COMPUTED_VALUE"""),"729")</f>
        <v>729</v>
      </c>
      <c r="B434" s="265" t="str">
        <f>IFERROR(__xludf.DUMMYFUNCTION("""COMPUTED_VALUE"""),"Sài Gòn")</f>
        <v>Sài Gòn</v>
      </c>
      <c r="C434" s="265" t="str">
        <f>IFERROR(__xludf.DUMMYFUNCTION("""COMPUTED_VALUE"""),"Active")</f>
        <v>Active</v>
      </c>
      <c r="D434" s="265" t="str">
        <f>IFERROR(__xludf.DUMMYFUNCTION("""COMPUTED_VALUE"""),"Sale chưa cung cấp")</f>
        <v>Sale chưa cung cấp</v>
      </c>
      <c r="E434" s="265" t="str">
        <f>IFERROR(__xludf.DUMMYFUNCTION("""COMPUTED_VALUE"""),"AnhNM")</f>
        <v>AnhNM</v>
      </c>
      <c r="F434" s="265" t="str">
        <f>IFERROR(__xludf.DUMMYFUNCTION("""COMPUTED_VALUE"""),"Gold")</f>
        <v>Gold</v>
      </c>
      <c r="G434" s="265" t="str">
        <f>IFERROR(__xludf.DUMMYFUNCTION("""COMPUTED_VALUE"""),"Enterprise")</f>
        <v>Enterprise</v>
      </c>
      <c r="H434" s="265" t="str">
        <f>IFERROR(__xludf.DUMMYFUNCTION("""COMPUTED_VALUE"""),"Trả sau")</f>
        <v>Trả sau</v>
      </c>
      <c r="I434" s="265" t="str">
        <f>IFERROR(__xludf.DUMMYFUNCTION("""COMPUTED_VALUE"""),"API &amp; Portal")</f>
        <v>API &amp; Portal</v>
      </c>
      <c r="J434" s="265" t="str">
        <f>IFERROR(__xludf.DUMMYFUNCTION("""COMPUTED_VALUE"""),"SMS CSKH")</f>
        <v>SMS CSKH</v>
      </c>
    </row>
    <row r="435">
      <c r="A435" s="265" t="str">
        <f>IFERROR(__xludf.DUMMYFUNCTION("""COMPUTED_VALUE"""),"729")</f>
        <v>729</v>
      </c>
      <c r="B435" s="265" t="str">
        <f>IFERROR(__xludf.DUMMYFUNCTION("""COMPUTED_VALUE"""),"Sài Gòn")</f>
        <v>Sài Gòn</v>
      </c>
      <c r="C435" s="265" t="str">
        <f>IFERROR(__xludf.DUMMYFUNCTION("""COMPUTED_VALUE"""),"Active")</f>
        <v>Active</v>
      </c>
      <c r="D435" s="265" t="str">
        <f>IFERROR(__xludf.DUMMYFUNCTION("""COMPUTED_VALUE"""),"Sale chưa cung cấp")</f>
        <v>Sale chưa cung cấp</v>
      </c>
      <c r="E435" s="265" t="str">
        <f>IFERROR(__xludf.DUMMYFUNCTION("""COMPUTED_VALUE"""),"AnhNM")</f>
        <v>AnhNM</v>
      </c>
      <c r="F435" s="265" t="str">
        <f>IFERROR(__xludf.DUMMYFUNCTION("""COMPUTED_VALUE"""),"Gold")</f>
        <v>Gold</v>
      </c>
      <c r="G435" s="265" t="str">
        <f>IFERROR(__xludf.DUMMYFUNCTION("""COMPUTED_VALUE"""),"Enterprise")</f>
        <v>Enterprise</v>
      </c>
      <c r="H435" s="265" t="str">
        <f>IFERROR(__xludf.DUMMYFUNCTION("""COMPUTED_VALUE"""),"Trả sau")</f>
        <v>Trả sau</v>
      </c>
      <c r="I435" s="265" t="str">
        <f>IFERROR(__xludf.DUMMYFUNCTION("""COMPUTED_VALUE"""),"API &amp; Portal")</f>
        <v>API &amp; Portal</v>
      </c>
      <c r="J435" s="265" t="str">
        <f>IFERROR(__xludf.DUMMYFUNCTION("""COMPUTED_VALUE"""),"SMS QC")</f>
        <v>SMS QC</v>
      </c>
    </row>
    <row r="436">
      <c r="A436" s="265" t="str">
        <f>IFERROR(__xludf.DUMMYFUNCTION("""COMPUTED_VALUE"""),"729")</f>
        <v>729</v>
      </c>
      <c r="B436" s="265" t="str">
        <f>IFERROR(__xludf.DUMMYFUNCTION("""COMPUTED_VALUE"""),"Sài Gòn")</f>
        <v>Sài Gòn</v>
      </c>
      <c r="C436" s="265" t="str">
        <f>IFERROR(__xludf.DUMMYFUNCTION("""COMPUTED_VALUE"""),"Active")</f>
        <v>Active</v>
      </c>
      <c r="D436" s="265" t="str">
        <f>IFERROR(__xludf.DUMMYFUNCTION("""COMPUTED_VALUE"""),"Sale chưa cung cấp")</f>
        <v>Sale chưa cung cấp</v>
      </c>
      <c r="E436" s="265" t="str">
        <f>IFERROR(__xludf.DUMMYFUNCTION("""COMPUTED_VALUE"""),"AnhNM")</f>
        <v>AnhNM</v>
      </c>
      <c r="F436" s="265" t="str">
        <f>IFERROR(__xludf.DUMMYFUNCTION("""COMPUTED_VALUE"""),"Gold")</f>
        <v>Gold</v>
      </c>
      <c r="G436" s="265" t="str">
        <f>IFERROR(__xludf.DUMMYFUNCTION("""COMPUTED_VALUE"""),"Enterprise")</f>
        <v>Enterprise</v>
      </c>
      <c r="H436" s="265" t="str">
        <f>IFERROR(__xludf.DUMMYFUNCTION("""COMPUTED_VALUE"""),"Trả sau")</f>
        <v>Trả sau</v>
      </c>
      <c r="I436" s="265" t="str">
        <f>IFERROR(__xludf.DUMMYFUNCTION("""COMPUTED_VALUE"""),"API &amp; Portal")</f>
        <v>API &amp; Portal</v>
      </c>
      <c r="J436" s="265" t="str">
        <f>IFERROR(__xludf.DUMMYFUNCTION("""COMPUTED_VALUE"""),"Zalo ZNS")</f>
        <v>Zalo ZNS</v>
      </c>
    </row>
    <row r="437">
      <c r="A437" s="265" t="str">
        <f>IFERROR(__xludf.DUMMYFUNCTION("""COMPUTED_VALUE"""),"725")</f>
        <v>725</v>
      </c>
      <c r="B437" s="265" t="str">
        <f>IFERROR(__xludf.DUMMYFUNCTION("""COMPUTED_VALUE"""),"Hà Nội")</f>
        <v>Hà Nội</v>
      </c>
      <c r="C437" s="265" t="str">
        <f>IFERROR(__xludf.DUMMYFUNCTION("""COMPUTED_VALUE"""),"Locked")</f>
        <v>Locked</v>
      </c>
      <c r="D437" s="265" t="str">
        <f>IFERROR(__xludf.DUMMYFUNCTION("""COMPUTED_VALUE"""),"Tài chính &amp; Ngân hàng")</f>
        <v>Tài chính &amp; Ngân hàng</v>
      </c>
      <c r="E437" s="265" t="str">
        <f>IFERROR(__xludf.DUMMYFUNCTION("""COMPUTED_VALUE"""),"Không phân công")</f>
        <v>Không phân công</v>
      </c>
      <c r="F437" s="265" t="str">
        <f>IFERROR(__xludf.DUMMYFUNCTION("""COMPUTED_VALUE"""),"Sale chưa cung cấp")</f>
        <v>Sale chưa cung cấp</v>
      </c>
      <c r="G437" s="265" t="str">
        <f>IFERROR(__xludf.DUMMYFUNCTION("""COMPUTED_VALUE"""),"SIMILAR")</f>
        <v>SIMILAR</v>
      </c>
      <c r="H437" s="265" t="str">
        <f>IFERROR(__xludf.DUMMYFUNCTION("""COMPUTED_VALUE"""),"Trả sau")</f>
        <v>Trả sau</v>
      </c>
      <c r="I437" s="265" t="str">
        <f>IFERROR(__xludf.DUMMYFUNCTION("""COMPUTED_VALUE"""),"Portal")</f>
        <v>Portal</v>
      </c>
      <c r="J437" s="265" t="str">
        <f>IFERROR(__xludf.DUMMYFUNCTION("""COMPUTED_VALUE"""),"SMS CSKH")</f>
        <v>SMS CSKH</v>
      </c>
    </row>
    <row r="438">
      <c r="A438" s="265" t="str">
        <f>IFERROR(__xludf.DUMMYFUNCTION("""COMPUTED_VALUE"""),"614")</f>
        <v>614</v>
      </c>
      <c r="B438" s="265" t="str">
        <f>IFERROR(__xludf.DUMMYFUNCTION("""COMPUTED_VALUE"""),"Hà Nội")</f>
        <v>Hà Nội</v>
      </c>
      <c r="C438" s="265" t="str">
        <f>IFERROR(__xludf.DUMMYFUNCTION("""COMPUTED_VALUE"""),"Active")</f>
        <v>Active</v>
      </c>
      <c r="D438" s="265" t="str">
        <f>IFERROR(__xludf.DUMMYFUNCTION("""COMPUTED_VALUE"""),"Viễn thông")</f>
        <v>Viễn thông</v>
      </c>
      <c r="E438" s="265" t="str">
        <f>IFERROR(__xludf.DUMMYFUNCTION("""COMPUTED_VALUE"""),"Không phân công")</f>
        <v>Không phân công</v>
      </c>
      <c r="F438" s="265" t="str">
        <f>IFERROR(__xludf.DUMMYFUNCTION("""COMPUTED_VALUE"""),"Sale chưa cung cấp")</f>
        <v>Sale chưa cung cấp</v>
      </c>
      <c r="G438" s="265" t="str">
        <f>IFERROR(__xludf.DUMMYFUNCTION("""COMPUTED_VALUE"""),"Starter")</f>
        <v>Starter</v>
      </c>
      <c r="H438" s="265" t="str">
        <f>IFERROR(__xludf.DUMMYFUNCTION("""COMPUTED_VALUE"""),"Trial")</f>
        <v>Trial</v>
      </c>
      <c r="I438" s="265" t="str">
        <f>IFERROR(__xludf.DUMMYFUNCTION("""COMPUTED_VALUE"""),"Portal")</f>
        <v>Portal</v>
      </c>
      <c r="J438" s="265" t="str">
        <f>IFERROR(__xludf.DUMMYFUNCTION("""COMPUTED_VALUE"""),"SMS CSKH")</f>
        <v>SMS CSKH</v>
      </c>
    </row>
    <row r="439">
      <c r="A439" s="265" t="str">
        <f>IFERROR(__xludf.DUMMYFUNCTION("""COMPUTED_VALUE"""),"614")</f>
        <v>614</v>
      </c>
      <c r="B439" s="265" t="str">
        <f>IFERROR(__xludf.DUMMYFUNCTION("""COMPUTED_VALUE"""),"Hà Nội")</f>
        <v>Hà Nội</v>
      </c>
      <c r="C439" s="265" t="str">
        <f>IFERROR(__xludf.DUMMYFUNCTION("""COMPUTED_VALUE"""),"Active")</f>
        <v>Active</v>
      </c>
      <c r="D439" s="265" t="str">
        <f>IFERROR(__xludf.DUMMYFUNCTION("""COMPUTED_VALUE"""),"Viễn thông")</f>
        <v>Viễn thông</v>
      </c>
      <c r="E439" s="265" t="str">
        <f>IFERROR(__xludf.DUMMYFUNCTION("""COMPUTED_VALUE"""),"Không phân công")</f>
        <v>Không phân công</v>
      </c>
      <c r="F439" s="265" t="str">
        <f>IFERROR(__xludf.DUMMYFUNCTION("""COMPUTED_VALUE"""),"Sale chưa cung cấp")</f>
        <v>Sale chưa cung cấp</v>
      </c>
      <c r="G439" s="265" t="str">
        <f>IFERROR(__xludf.DUMMYFUNCTION("""COMPUTED_VALUE"""),"Starter")</f>
        <v>Starter</v>
      </c>
      <c r="H439" s="265" t="str">
        <f>IFERROR(__xludf.DUMMYFUNCTION("""COMPUTED_VALUE"""),"Trial")</f>
        <v>Trial</v>
      </c>
      <c r="I439" s="265" t="str">
        <f>IFERROR(__xludf.DUMMYFUNCTION("""COMPUTED_VALUE"""),"Portal")</f>
        <v>Portal</v>
      </c>
      <c r="J439" s="265" t="str">
        <f>IFERROR(__xludf.DUMMYFUNCTION("""COMPUTED_VALUE"""),"Zalo ZNS")</f>
        <v>Zalo ZNS</v>
      </c>
    </row>
    <row r="440">
      <c r="A440" s="265" t="str">
        <f>IFERROR(__xludf.DUMMYFUNCTION("""COMPUTED_VALUE"""),"731")</f>
        <v>731</v>
      </c>
      <c r="B440" s="265" t="str">
        <f>IFERROR(__xludf.DUMMYFUNCTION("""COMPUTED_VALUE"""),"Sài Gòn")</f>
        <v>Sài Gòn</v>
      </c>
      <c r="C440" s="265" t="str">
        <f>IFERROR(__xludf.DUMMYFUNCTION("""COMPUTED_VALUE"""),"Locked")</f>
        <v>Locked</v>
      </c>
      <c r="D440" s="265" t="str">
        <f>IFERROR(__xludf.DUMMYFUNCTION("""COMPUTED_VALUE"""),"Viễn thông")</f>
        <v>Viễn thông</v>
      </c>
      <c r="E440" s="265" t="str">
        <f>IFERROR(__xludf.DUMMYFUNCTION("""COMPUTED_VALUE"""),"HoaNTM")</f>
        <v>HoaNTM</v>
      </c>
      <c r="F440" s="265" t="str">
        <f>IFERROR(__xludf.DUMMYFUNCTION("""COMPUTED_VALUE"""),"Gold")</f>
        <v>Gold</v>
      </c>
      <c r="G440" s="265" t="str">
        <f>IFERROR(__xludf.DUMMYFUNCTION("""COMPUTED_VALUE"""),"Enterprise")</f>
        <v>Enterprise</v>
      </c>
      <c r="H440" s="265" t="str">
        <f>IFERROR(__xludf.DUMMYFUNCTION("""COMPUTED_VALUE"""),"(Chưa recheck)")</f>
        <v>(Chưa recheck)</v>
      </c>
      <c r="I440" s="265" t="str">
        <f>IFERROR(__xludf.DUMMYFUNCTION("""COMPUTED_VALUE"""),"API &amp; Portal")</f>
        <v>API &amp; Portal</v>
      </c>
      <c r="J440" s="265" t="str">
        <f>IFERROR(__xludf.DUMMYFUNCTION("""COMPUTED_VALUE"""),"GapOne")</f>
        <v>GapOne</v>
      </c>
    </row>
    <row r="441">
      <c r="A441" s="265" t="str">
        <f>IFERROR(__xludf.DUMMYFUNCTION("""COMPUTED_VALUE"""),"720")</f>
        <v>720</v>
      </c>
      <c r="B441" s="265" t="str">
        <f>IFERROR(__xludf.DUMMYFUNCTION("""COMPUTED_VALUE"""),"Hà Nội")</f>
        <v>Hà Nội</v>
      </c>
      <c r="C441" s="265" t="str">
        <f>IFERROR(__xludf.DUMMYFUNCTION("""COMPUTED_VALUE"""),"Locked")</f>
        <v>Locked</v>
      </c>
      <c r="D441" s="265" t="str">
        <f>IFERROR(__xludf.DUMMYFUNCTION("""COMPUTED_VALUE"""),"Thiết kế &amp; Thi công")</f>
        <v>Thiết kế &amp; Thi công</v>
      </c>
      <c r="E441" s="265" t="str">
        <f>IFERROR(__xludf.DUMMYFUNCTION("""COMPUTED_VALUE"""),"TùngLD")</f>
        <v>TùngLD</v>
      </c>
      <c r="F441" s="265" t="str">
        <f>IFERROR(__xludf.DUMMYFUNCTION("""COMPUTED_VALUE"""),"Bronze")</f>
        <v>Bronze</v>
      </c>
      <c r="G441" s="265" t="str">
        <f>IFERROR(__xludf.DUMMYFUNCTION("""COMPUTED_VALUE"""),"SIMILAR")</f>
        <v>SIMILAR</v>
      </c>
      <c r="H441" s="265" t="str">
        <f>IFERROR(__xludf.DUMMYFUNCTION("""COMPUTED_VALUE"""),"Trả trước")</f>
        <v>Trả trước</v>
      </c>
      <c r="I441" s="265" t="str">
        <f>IFERROR(__xludf.DUMMYFUNCTION("""COMPUTED_VALUE"""),"Portal")</f>
        <v>Portal</v>
      </c>
      <c r="J441" s="265" t="str">
        <f>IFERROR(__xludf.DUMMYFUNCTION("""COMPUTED_VALUE"""),"Zalo ZNS")</f>
        <v>Zalo ZNS</v>
      </c>
    </row>
    <row r="442">
      <c r="A442" s="265" t="str">
        <f>IFERROR(__xludf.DUMMYFUNCTION("""COMPUTED_VALUE"""),"732")</f>
        <v>732</v>
      </c>
      <c r="B442" s="265" t="str">
        <f>IFERROR(__xludf.DUMMYFUNCTION("""COMPUTED_VALUE"""),"Hà Nội")</f>
        <v>Hà Nội</v>
      </c>
      <c r="C442" s="265" t="str">
        <f>IFERROR(__xludf.DUMMYFUNCTION("""COMPUTED_VALUE"""),"Active")</f>
        <v>Active</v>
      </c>
      <c r="D442" s="265" t="str">
        <f>IFERROR(__xludf.DUMMYFUNCTION("""COMPUTED_VALUE"""),"Mua sắm &amp; Bán lẻ")</f>
        <v>Mua sắm &amp; Bán lẻ</v>
      </c>
      <c r="E442" s="265" t="str">
        <f>IFERROR(__xludf.DUMMYFUNCTION("""COMPUTED_VALUE"""),"TúPHN")</f>
        <v>TúPHN</v>
      </c>
      <c r="F442" s="265" t="str">
        <f>IFERROR(__xludf.DUMMYFUNCTION("""COMPUTED_VALUE"""),"Bronze")</f>
        <v>Bronze</v>
      </c>
      <c r="G442" s="265" t="str">
        <f>IFERROR(__xludf.DUMMYFUNCTION("""COMPUTED_VALUE"""),"Starter")</f>
        <v>Starter</v>
      </c>
      <c r="H442" s="265" t="str">
        <f>IFERROR(__xludf.DUMMYFUNCTION("""COMPUTED_VALUE"""),"Trả sau")</f>
        <v>Trả sau</v>
      </c>
      <c r="I442" s="265" t="str">
        <f>IFERROR(__xludf.DUMMYFUNCTION("""COMPUTED_VALUE"""),"API")</f>
        <v>API</v>
      </c>
      <c r="J442" s="265" t="str">
        <f>IFERROR(__xludf.DUMMYFUNCTION("""COMPUTED_VALUE"""),"Zalo ZNS")</f>
        <v>Zalo ZNS</v>
      </c>
    </row>
    <row r="443">
      <c r="A443" s="265" t="str">
        <f>IFERROR(__xludf.DUMMYFUNCTION("""COMPUTED_VALUE"""),"733")</f>
        <v>733</v>
      </c>
      <c r="B443" s="265" t="str">
        <f>IFERROR(__xludf.DUMMYFUNCTION("""COMPUTED_VALUE"""),"Hà Nội")</f>
        <v>Hà Nội</v>
      </c>
      <c r="C443" s="265" t="str">
        <f>IFERROR(__xludf.DUMMYFUNCTION("""COMPUTED_VALUE"""),"Active")</f>
        <v>Active</v>
      </c>
      <c r="D443" s="265" t="str">
        <f>IFERROR(__xludf.DUMMYFUNCTION("""COMPUTED_VALUE"""),"Viễn thông")</f>
        <v>Viễn thông</v>
      </c>
      <c r="E443" s="265" t="str">
        <f>IFERROR(__xludf.DUMMYFUNCTION("""COMPUTED_VALUE"""),"TúPHN")</f>
        <v>TúPHN</v>
      </c>
      <c r="F443" s="265" t="str">
        <f>IFERROR(__xludf.DUMMYFUNCTION("""COMPUTED_VALUE"""),"Diamond")</f>
        <v>Diamond</v>
      </c>
      <c r="G443" s="265" t="str">
        <f>IFERROR(__xludf.DUMMYFUNCTION("""COMPUTED_VALUE"""),"Enterprise")</f>
        <v>Enterprise</v>
      </c>
      <c r="H443" s="265" t="str">
        <f>IFERROR(__xludf.DUMMYFUNCTION("""COMPUTED_VALUE"""),"Trả sau")</f>
        <v>Trả sau</v>
      </c>
      <c r="I443" s="265" t="str">
        <f>IFERROR(__xludf.DUMMYFUNCTION("""COMPUTED_VALUE"""),"Portal")</f>
        <v>Portal</v>
      </c>
      <c r="J443" s="265" t="str">
        <f>IFERROR(__xludf.DUMMYFUNCTION("""COMPUTED_VALUE"""),"Zalo ZNS")</f>
        <v>Zalo ZNS</v>
      </c>
    </row>
    <row r="444">
      <c r="A444" s="265" t="str">
        <f>IFERROR(__xludf.DUMMYFUNCTION("""COMPUTED_VALUE"""),"734")</f>
        <v>734</v>
      </c>
      <c r="B444" s="265" t="str">
        <f>IFERROR(__xludf.DUMMYFUNCTION("""COMPUTED_VALUE"""),"Hà Nội")</f>
        <v>Hà Nội</v>
      </c>
      <c r="C444" s="265" t="str">
        <f>IFERROR(__xludf.DUMMYFUNCTION("""COMPUTED_VALUE"""),"Active")</f>
        <v>Active</v>
      </c>
      <c r="D444" s="265" t="str">
        <f>IFERROR(__xludf.DUMMYFUNCTION("""COMPUTED_VALUE"""),"Sản xuất &amp; Chế tạo")</f>
        <v>Sản xuất &amp; Chế tạo</v>
      </c>
      <c r="E444" s="265" t="str">
        <f>IFERROR(__xludf.DUMMYFUNCTION("""COMPUTED_VALUE"""),"Không phân công")</f>
        <v>Không phân công</v>
      </c>
      <c r="F444" s="265" t="str">
        <f>IFERROR(__xludf.DUMMYFUNCTION("""COMPUTED_VALUE"""),"Bronze")</f>
        <v>Bronze</v>
      </c>
      <c r="G444" s="265" t="str">
        <f>IFERROR(__xludf.DUMMYFUNCTION("""COMPUTED_VALUE"""),"Starter")</f>
        <v>Starter</v>
      </c>
      <c r="H444" s="265" t="str">
        <f>IFERROR(__xludf.DUMMYFUNCTION("""COMPUTED_VALUE"""),"Trả sau")</f>
        <v>Trả sau</v>
      </c>
      <c r="I444" s="265" t="str">
        <f>IFERROR(__xludf.DUMMYFUNCTION("""COMPUTED_VALUE"""),"Portal")</f>
        <v>Portal</v>
      </c>
      <c r="J444" s="265" t="str">
        <f>IFERROR(__xludf.DUMMYFUNCTION("""COMPUTED_VALUE"""),"SMS CSKH")</f>
        <v>SMS CSKH</v>
      </c>
    </row>
    <row r="445">
      <c r="A445" s="265" t="str">
        <f>IFERROR(__xludf.DUMMYFUNCTION("""COMPUTED_VALUE"""),"735")</f>
        <v>735</v>
      </c>
      <c r="B445" s="265" t="str">
        <f>IFERROR(__xludf.DUMMYFUNCTION("""COMPUTED_VALUE"""),"Hà Nội")</f>
        <v>Hà Nội</v>
      </c>
      <c r="C445" s="265" t="str">
        <f>IFERROR(__xludf.DUMMYFUNCTION("""COMPUTED_VALUE"""),"Locked")</f>
        <v>Locked</v>
      </c>
      <c r="D445" s="265" t="str">
        <f>IFERROR(__xludf.DUMMYFUNCTION("""COMPUTED_VALUE"""),"Ô tô &amp; Xe máy")</f>
        <v>Ô tô &amp; Xe máy</v>
      </c>
      <c r="E445" s="265" t="str">
        <f>IFERROR(__xludf.DUMMYFUNCTION("""COMPUTED_VALUE"""),"DungDT")</f>
        <v>DungDT</v>
      </c>
      <c r="F445" s="265" t="str">
        <f>IFERROR(__xludf.DUMMYFUNCTION("""COMPUTED_VALUE"""),"Sale chưa cung cấp")</f>
        <v>Sale chưa cung cấp</v>
      </c>
      <c r="G445" s="265" t="str">
        <f>IFERROR(__xludf.DUMMYFUNCTION("""COMPUTED_VALUE"""),"MSG")</f>
        <v>MSG</v>
      </c>
      <c r="H445" s="265" t="str">
        <f>IFERROR(__xludf.DUMMYFUNCTION("""COMPUTED_VALUE"""),"Trial")</f>
        <v>Trial</v>
      </c>
      <c r="I445" s="265" t="str">
        <f>IFERROR(__xludf.DUMMYFUNCTION("""COMPUTED_VALUE"""),"API &amp; Portal")</f>
        <v>API &amp; Portal</v>
      </c>
      <c r="J445" s="265" t="str">
        <f>IFERROR(__xludf.DUMMYFUNCTION("""COMPUTED_VALUE"""),"Zalo ZNS")</f>
        <v>Zalo ZNS</v>
      </c>
    </row>
    <row r="446">
      <c r="A446" s="265" t="str">
        <f>IFERROR(__xludf.DUMMYFUNCTION("""COMPUTED_VALUE"""),"736")</f>
        <v>736</v>
      </c>
      <c r="B446" s="265" t="str">
        <f>IFERROR(__xludf.DUMMYFUNCTION("""COMPUTED_VALUE"""),"Hà Nội")</f>
        <v>Hà Nội</v>
      </c>
      <c r="C446" s="265" t="str">
        <f>IFERROR(__xludf.DUMMYFUNCTION("""COMPUTED_VALUE"""),"Locked")</f>
        <v>Locked</v>
      </c>
      <c r="D446" s="265" t="str">
        <f>IFERROR(__xludf.DUMMYFUNCTION("""COMPUTED_VALUE"""),"Vận tải &amp; logistics")</f>
        <v>Vận tải &amp; logistics</v>
      </c>
      <c r="E446" s="265" t="str">
        <f>IFERROR(__xludf.DUMMYFUNCTION("""COMPUTED_VALUE"""),"TùngLD")</f>
        <v>TùngLD</v>
      </c>
      <c r="F446" s="265" t="str">
        <f>IFERROR(__xludf.DUMMYFUNCTION("""COMPUTED_VALUE"""),"Bronze")</f>
        <v>Bronze</v>
      </c>
      <c r="G446" s="265" t="str">
        <f>IFERROR(__xludf.DUMMYFUNCTION("""COMPUTED_VALUE"""),"MSG")</f>
        <v>MSG</v>
      </c>
      <c r="H446" s="265" t="str">
        <f>IFERROR(__xludf.DUMMYFUNCTION("""COMPUTED_VALUE"""),"Trả trước")</f>
        <v>Trả trước</v>
      </c>
      <c r="I446" s="265" t="str">
        <f>IFERROR(__xludf.DUMMYFUNCTION("""COMPUTED_VALUE"""),"Portal")</f>
        <v>Portal</v>
      </c>
      <c r="J446" s="265" t="str">
        <f>IFERROR(__xludf.DUMMYFUNCTION("""COMPUTED_VALUE"""),"Zalo ZNS")</f>
        <v>Zalo ZNS</v>
      </c>
    </row>
    <row r="447">
      <c r="A447" s="265" t="str">
        <f>IFERROR(__xludf.DUMMYFUNCTION("""COMPUTED_VALUE"""),"737")</f>
        <v>737</v>
      </c>
      <c r="B447" s="265" t="str">
        <f>IFERROR(__xludf.DUMMYFUNCTION("""COMPUTED_VALUE"""),"Sài Gòn")</f>
        <v>Sài Gòn</v>
      </c>
      <c r="C447" s="265" t="str">
        <f>IFERROR(__xludf.DUMMYFUNCTION("""COMPUTED_VALUE"""),"Locked")</f>
        <v>Locked</v>
      </c>
      <c r="D447" s="265" t="str">
        <f>IFERROR(__xludf.DUMMYFUNCTION("""COMPUTED_VALUE"""),"Thời trang &amp; May mặc")</f>
        <v>Thời trang &amp; May mặc</v>
      </c>
      <c r="E447" s="265" t="str">
        <f>IFERROR(__xludf.DUMMYFUNCTION("""COMPUTED_VALUE"""),"PhươngDTB")</f>
        <v>PhươngDTB</v>
      </c>
      <c r="F447" s="265" t="str">
        <f>IFERROR(__xludf.DUMMYFUNCTION("""COMPUTED_VALUE"""),"Sale chưa cung cấp")</f>
        <v>Sale chưa cung cấp</v>
      </c>
      <c r="G447" s="265" t="str">
        <f>IFERROR(__xludf.DUMMYFUNCTION("""COMPUTED_VALUE"""),"Enterprise")</f>
        <v>Enterprise</v>
      </c>
      <c r="H447" s="265" t="str">
        <f>IFERROR(__xludf.DUMMYFUNCTION("""COMPUTED_VALUE"""),"Trả trước")</f>
        <v>Trả trước</v>
      </c>
      <c r="I447" s="265" t="str">
        <f>IFERROR(__xludf.DUMMYFUNCTION("""COMPUTED_VALUE"""),"API &amp; Portal")</f>
        <v>API &amp; Portal</v>
      </c>
      <c r="J447" s="265" t="str">
        <f>IFERROR(__xludf.DUMMYFUNCTION("""COMPUTED_VALUE"""),"Zalo ZNS")</f>
        <v>Zalo ZNS</v>
      </c>
    </row>
    <row r="448">
      <c r="A448" s="265" t="str">
        <f>IFERROR(__xludf.DUMMYFUNCTION("""COMPUTED_VALUE"""),"738")</f>
        <v>738</v>
      </c>
      <c r="B448" s="265" t="str">
        <f>IFERROR(__xludf.DUMMYFUNCTION("""COMPUTED_VALUE"""),"Hà Nội")</f>
        <v>Hà Nội</v>
      </c>
      <c r="C448" s="265" t="str">
        <f>IFERROR(__xludf.DUMMYFUNCTION("""COMPUTED_VALUE"""),"Active")</f>
        <v>Active</v>
      </c>
      <c r="D448" s="265" t="str">
        <f>IFERROR(__xludf.DUMMYFUNCTION("""COMPUTED_VALUE"""),"Y tế &amp; Dược phẩm")</f>
        <v>Y tế &amp; Dược phẩm</v>
      </c>
      <c r="E448" s="265" t="str">
        <f>IFERROR(__xludf.DUMMYFUNCTION("""COMPUTED_VALUE"""),"TúPHN")</f>
        <v>TúPHN</v>
      </c>
      <c r="F448" s="265" t="str">
        <f>IFERROR(__xludf.DUMMYFUNCTION("""COMPUTED_VALUE"""),"Silver")</f>
        <v>Silver</v>
      </c>
      <c r="G448" s="265" t="str">
        <f>IFERROR(__xludf.DUMMYFUNCTION("""COMPUTED_VALUE"""),"Enterprise")</f>
        <v>Enterprise</v>
      </c>
      <c r="H448" s="265" t="str">
        <f>IFERROR(__xludf.DUMMYFUNCTION("""COMPUTED_VALUE"""),"Trả trước")</f>
        <v>Trả trước</v>
      </c>
      <c r="I448" s="265" t="str">
        <f>IFERROR(__xludf.DUMMYFUNCTION("""COMPUTED_VALUE"""),"API &amp; Portal")</f>
        <v>API &amp; Portal</v>
      </c>
      <c r="J448" s="265" t="str">
        <f>IFERROR(__xludf.DUMMYFUNCTION("""COMPUTED_VALUE"""),"Zalo ZNS")</f>
        <v>Zalo ZNS</v>
      </c>
    </row>
    <row r="449">
      <c r="A449" s="265" t="str">
        <f>IFERROR(__xludf.DUMMYFUNCTION("""COMPUTED_VALUE"""),"739")</f>
        <v>739</v>
      </c>
      <c r="B449" s="265" t="str">
        <f>IFERROR(__xludf.DUMMYFUNCTION("""COMPUTED_VALUE"""),"Sài Gòn")</f>
        <v>Sài Gòn</v>
      </c>
      <c r="C449" s="265" t="str">
        <f>IFERROR(__xludf.DUMMYFUNCTION("""COMPUTED_VALUE"""),"Active")</f>
        <v>Active</v>
      </c>
      <c r="D449" s="265" t="str">
        <f>IFERROR(__xludf.DUMMYFUNCTION("""COMPUTED_VALUE"""),"Thực phẩm &amp; Đồ uống")</f>
        <v>Thực phẩm &amp; Đồ uống</v>
      </c>
      <c r="E449" s="265" t="str">
        <f>IFERROR(__xludf.DUMMYFUNCTION("""COMPUTED_VALUE"""),"Không phân công")</f>
        <v>Không phân công</v>
      </c>
      <c r="F449" s="265" t="str">
        <f>IFERROR(__xludf.DUMMYFUNCTION("""COMPUTED_VALUE"""),"Sale chưa cung cấp")</f>
        <v>Sale chưa cung cấp</v>
      </c>
      <c r="G449" s="265" t="str">
        <f>IFERROR(__xludf.DUMMYFUNCTION("""COMPUTED_VALUE"""),"Enterprise")</f>
        <v>Enterprise</v>
      </c>
      <c r="H449" s="265" t="str">
        <f>IFERROR(__xludf.DUMMYFUNCTION("""COMPUTED_VALUE"""),"Trả sau")</f>
        <v>Trả sau</v>
      </c>
      <c r="I449" s="265" t="str">
        <f>IFERROR(__xludf.DUMMYFUNCTION("""COMPUTED_VALUE"""),"API &amp; Portal")</f>
        <v>API &amp; Portal</v>
      </c>
      <c r="J449" s="265" t="str">
        <f>IFERROR(__xludf.DUMMYFUNCTION("""COMPUTED_VALUE"""),"SMS QC")</f>
        <v>SMS QC</v>
      </c>
    </row>
    <row r="450">
      <c r="A450" s="265" t="str">
        <f>IFERROR(__xludf.DUMMYFUNCTION("""COMPUTED_VALUE"""),"740")</f>
        <v>740</v>
      </c>
      <c r="B450" s="265" t="str">
        <f>IFERROR(__xludf.DUMMYFUNCTION("""COMPUTED_VALUE"""),"Hà Nội")</f>
        <v>Hà Nội</v>
      </c>
      <c r="C450" s="265" t="str">
        <f>IFERROR(__xludf.DUMMYFUNCTION("""COMPUTED_VALUE"""),"Locked")</f>
        <v>Locked</v>
      </c>
      <c r="D450" s="265" t="str">
        <f>IFERROR(__xludf.DUMMYFUNCTION("""COMPUTED_VALUE"""),"Viễn thông")</f>
        <v>Viễn thông</v>
      </c>
      <c r="E450" s="265" t="str">
        <f>IFERROR(__xludf.DUMMYFUNCTION("""COMPUTED_VALUE"""),"PhươngDTB")</f>
        <v>PhươngDTB</v>
      </c>
      <c r="F450" s="265" t="str">
        <f>IFERROR(__xludf.DUMMYFUNCTION("""COMPUTED_VALUE"""),"Gold")</f>
        <v>Gold</v>
      </c>
      <c r="G450" s="265" t="str">
        <f>IFERROR(__xludf.DUMMYFUNCTION("""COMPUTED_VALUE"""),"Standard")</f>
        <v>Standard</v>
      </c>
      <c r="H450" s="265" t="str">
        <f>IFERROR(__xludf.DUMMYFUNCTION("""COMPUTED_VALUE"""),"Trả sau")</f>
        <v>Trả sau</v>
      </c>
      <c r="I450" s="265" t="str">
        <f>IFERROR(__xludf.DUMMYFUNCTION("""COMPUTED_VALUE"""),"API &amp; Portal")</f>
        <v>API &amp; Portal</v>
      </c>
      <c r="J450" s="265" t="str">
        <f>IFERROR(__xludf.DUMMYFUNCTION("""COMPUTED_VALUE"""),"Zalo ZNS")</f>
        <v>Zalo ZNS</v>
      </c>
    </row>
    <row r="451">
      <c r="A451" s="265" t="str">
        <f>IFERROR(__xludf.DUMMYFUNCTION("""COMPUTED_VALUE"""),"742")</f>
        <v>742</v>
      </c>
      <c r="B451" s="265" t="str">
        <f>IFERROR(__xludf.DUMMYFUNCTION("""COMPUTED_VALUE"""),"Sài Gòn")</f>
        <v>Sài Gòn</v>
      </c>
      <c r="C451" s="265" t="str">
        <f>IFERROR(__xludf.DUMMYFUNCTION("""COMPUTED_VALUE"""),"Locked")</f>
        <v>Locked</v>
      </c>
      <c r="D451" s="265" t="str">
        <f>IFERROR(__xludf.DUMMYFUNCTION("""COMPUTED_VALUE"""),"Thực phẩm &amp; Đồ uống")</f>
        <v>Thực phẩm &amp; Đồ uống</v>
      </c>
      <c r="E451" s="265" t="str">
        <f>IFERROR(__xludf.DUMMYFUNCTION("""COMPUTED_VALUE"""),"TuVTC")</f>
        <v>TuVTC</v>
      </c>
      <c r="F451" s="265" t="str">
        <f>IFERROR(__xludf.DUMMYFUNCTION("""COMPUTED_VALUE"""),"Gold")</f>
        <v>Gold</v>
      </c>
      <c r="G451" s="265" t="str">
        <f>IFERROR(__xludf.DUMMYFUNCTION("""COMPUTED_VALUE"""),"API")</f>
        <v>API</v>
      </c>
      <c r="H451" s="265" t="str">
        <f>IFERROR(__xludf.DUMMYFUNCTION("""COMPUTED_VALUE"""),"Trả sau")</f>
        <v>Trả sau</v>
      </c>
      <c r="I451" s="265" t="str">
        <f>IFERROR(__xludf.DUMMYFUNCTION("""COMPUTED_VALUE"""),"API")</f>
        <v>API</v>
      </c>
      <c r="J451" s="265" t="str">
        <f>IFERROR(__xludf.DUMMYFUNCTION("""COMPUTED_VALUE"""),"SMS CSKH")</f>
        <v>SMS CSKH</v>
      </c>
    </row>
    <row r="452">
      <c r="A452" s="265" t="str">
        <f>IFERROR(__xludf.DUMMYFUNCTION("""COMPUTED_VALUE"""),"716")</f>
        <v>716</v>
      </c>
      <c r="B452" s="265" t="str">
        <f>IFERROR(__xludf.DUMMYFUNCTION("""COMPUTED_VALUE"""),"Hà Nội")</f>
        <v>Hà Nội</v>
      </c>
      <c r="C452" s="265" t="str">
        <f>IFERROR(__xludf.DUMMYFUNCTION("""COMPUTED_VALUE"""),"Active")</f>
        <v>Active</v>
      </c>
      <c r="D452" s="265" t="str">
        <f>IFERROR(__xludf.DUMMYFUNCTION("""COMPUTED_VALUE"""),"Tài chính &amp; Ngân hàng")</f>
        <v>Tài chính &amp; Ngân hàng</v>
      </c>
      <c r="E452" s="265" t="str">
        <f>IFERROR(__xludf.DUMMYFUNCTION("""COMPUTED_VALUE"""),"TùngLD")</f>
        <v>TùngLD</v>
      </c>
      <c r="F452" s="265" t="str">
        <f>IFERROR(__xludf.DUMMYFUNCTION("""COMPUTED_VALUE"""),"Bronze")</f>
        <v>Bronze</v>
      </c>
      <c r="G452" s="265" t="str">
        <f>IFERROR(__xludf.DUMMYFUNCTION("""COMPUTED_VALUE"""),"Starter")</f>
        <v>Starter</v>
      </c>
      <c r="H452" s="265" t="str">
        <f>IFERROR(__xludf.DUMMYFUNCTION("""COMPUTED_VALUE"""),"Trả sau")</f>
        <v>Trả sau</v>
      </c>
      <c r="I452" s="265" t="str">
        <f>IFERROR(__xludf.DUMMYFUNCTION("""COMPUTED_VALUE"""),"API")</f>
        <v>API</v>
      </c>
      <c r="J452" s="265" t="str">
        <f>IFERROR(__xludf.DUMMYFUNCTION("""COMPUTED_VALUE"""),"SMS CSKH")</f>
        <v>SMS CSKH</v>
      </c>
    </row>
    <row r="453">
      <c r="A453" s="265" t="str">
        <f>IFERROR(__xludf.DUMMYFUNCTION("""COMPUTED_VALUE"""),"716")</f>
        <v>716</v>
      </c>
      <c r="B453" s="265" t="str">
        <f>IFERROR(__xludf.DUMMYFUNCTION("""COMPUTED_VALUE"""),"Hà Nội")</f>
        <v>Hà Nội</v>
      </c>
      <c r="C453" s="265" t="str">
        <f>IFERROR(__xludf.DUMMYFUNCTION("""COMPUTED_VALUE"""),"Active")</f>
        <v>Active</v>
      </c>
      <c r="D453" s="265" t="str">
        <f>IFERROR(__xludf.DUMMYFUNCTION("""COMPUTED_VALUE"""),"Tài chính &amp; Ngân hàng")</f>
        <v>Tài chính &amp; Ngân hàng</v>
      </c>
      <c r="E453" s="265" t="str">
        <f>IFERROR(__xludf.DUMMYFUNCTION("""COMPUTED_VALUE"""),"TùngLD")</f>
        <v>TùngLD</v>
      </c>
      <c r="F453" s="265" t="str">
        <f>IFERROR(__xludf.DUMMYFUNCTION("""COMPUTED_VALUE"""),"Bronze")</f>
        <v>Bronze</v>
      </c>
      <c r="G453" s="265" t="str">
        <f>IFERROR(__xludf.DUMMYFUNCTION("""COMPUTED_VALUE"""),"Starter")</f>
        <v>Starter</v>
      </c>
      <c r="H453" s="265" t="str">
        <f>IFERROR(__xludf.DUMMYFUNCTION("""COMPUTED_VALUE"""),"Trả sau")</f>
        <v>Trả sau</v>
      </c>
      <c r="I453" s="265" t="str">
        <f>IFERROR(__xludf.DUMMYFUNCTION("""COMPUTED_VALUE"""),"API")</f>
        <v>API</v>
      </c>
      <c r="J453" s="265" t="str">
        <f>IFERROR(__xludf.DUMMYFUNCTION("""COMPUTED_VALUE"""),"Zalo ZNS")</f>
        <v>Zalo ZNS</v>
      </c>
    </row>
    <row r="454">
      <c r="A454" s="265" t="str">
        <f>IFERROR(__xludf.DUMMYFUNCTION("""COMPUTED_VALUE"""),"744")</f>
        <v>744</v>
      </c>
      <c r="B454" s="265" t="str">
        <f>IFERROR(__xludf.DUMMYFUNCTION("""COMPUTED_VALUE"""),"Hà Nội")</f>
        <v>Hà Nội</v>
      </c>
      <c r="C454" s="265" t="str">
        <f>IFERROR(__xludf.DUMMYFUNCTION("""COMPUTED_VALUE"""),"Locked")</f>
        <v>Locked</v>
      </c>
      <c r="D454" s="265" t="str">
        <f>IFERROR(__xludf.DUMMYFUNCTION("""COMPUTED_VALUE"""),"Truyền thông &amp; Giải trí")</f>
        <v>Truyền thông &amp; Giải trí</v>
      </c>
      <c r="E454" s="265" t="str">
        <f>IFERROR(__xludf.DUMMYFUNCTION("""COMPUTED_VALUE"""),"TúPHN")</f>
        <v>TúPHN</v>
      </c>
      <c r="F454" s="265" t="str">
        <f>IFERROR(__xludf.DUMMYFUNCTION("""COMPUTED_VALUE"""),"Sale chưa cung cấp")</f>
        <v>Sale chưa cung cấp</v>
      </c>
      <c r="G454" s="265" t="str">
        <f>IFERROR(__xludf.DUMMYFUNCTION("""COMPUTED_VALUE"""),"API")</f>
        <v>API</v>
      </c>
      <c r="H454" s="265" t="str">
        <f>IFERROR(__xludf.DUMMYFUNCTION("""COMPUTED_VALUE"""),"Trả sau")</f>
        <v>Trả sau</v>
      </c>
      <c r="I454" s="265" t="str">
        <f>IFERROR(__xludf.DUMMYFUNCTION("""COMPUTED_VALUE"""),"API")</f>
        <v>API</v>
      </c>
      <c r="J454" s="265" t="str">
        <f>IFERROR(__xludf.DUMMYFUNCTION("""COMPUTED_VALUE"""),"Zalo ZNS")</f>
        <v>Zalo ZNS</v>
      </c>
    </row>
    <row r="455">
      <c r="A455" s="265" t="str">
        <f>IFERROR(__xludf.DUMMYFUNCTION("""COMPUTED_VALUE"""),"745")</f>
        <v>745</v>
      </c>
      <c r="B455" s="265" t="str">
        <f>IFERROR(__xludf.DUMMYFUNCTION("""COMPUTED_VALUE"""),"Sài Gòn")</f>
        <v>Sài Gòn</v>
      </c>
      <c r="C455" s="265" t="str">
        <f>IFERROR(__xludf.DUMMYFUNCTION("""COMPUTED_VALUE"""),"Active")</f>
        <v>Active</v>
      </c>
      <c r="D455" s="265" t="str">
        <f>IFERROR(__xludf.DUMMYFUNCTION("""COMPUTED_VALUE"""),"Sản xuất &amp; Chế tạo")</f>
        <v>Sản xuất &amp; Chế tạo</v>
      </c>
      <c r="E455" s="265" t="str">
        <f>IFERROR(__xludf.DUMMYFUNCTION("""COMPUTED_VALUE"""),"TúPHN")</f>
        <v>TúPHN</v>
      </c>
      <c r="F455" s="265" t="str">
        <f>IFERROR(__xludf.DUMMYFUNCTION("""COMPUTED_VALUE"""),"Bronze")</f>
        <v>Bronze</v>
      </c>
      <c r="G455" s="265" t="str">
        <f>IFERROR(__xludf.DUMMYFUNCTION("""COMPUTED_VALUE"""),"Premium")</f>
        <v>Premium</v>
      </c>
      <c r="H455" s="265" t="str">
        <f>IFERROR(__xludf.DUMMYFUNCTION("""COMPUTED_VALUE"""),"Trả sau")</f>
        <v>Trả sau</v>
      </c>
      <c r="I455" s="265" t="str">
        <f>IFERROR(__xludf.DUMMYFUNCTION("""COMPUTED_VALUE"""),"API &amp; Portal")</f>
        <v>API &amp; Portal</v>
      </c>
      <c r="J455" s="265" t="str">
        <f>IFERROR(__xludf.DUMMYFUNCTION("""COMPUTED_VALUE"""),"Zalo ZNS")</f>
        <v>Zalo ZNS</v>
      </c>
    </row>
    <row r="456">
      <c r="A456" s="265" t="str">
        <f>IFERROR(__xludf.DUMMYFUNCTION("""COMPUTED_VALUE"""),"746")</f>
        <v>746</v>
      </c>
      <c r="B456" s="265" t="str">
        <f>IFERROR(__xludf.DUMMYFUNCTION("""COMPUTED_VALUE"""),"Sài Gòn")</f>
        <v>Sài Gòn</v>
      </c>
      <c r="C456" s="265" t="str">
        <f>IFERROR(__xludf.DUMMYFUNCTION("""COMPUTED_VALUE"""),"Active")</f>
        <v>Active</v>
      </c>
      <c r="D456" s="265" t="str">
        <f>IFERROR(__xludf.DUMMYFUNCTION("""COMPUTED_VALUE"""),"Viễn thông")</f>
        <v>Viễn thông</v>
      </c>
      <c r="E456" s="265" t="str">
        <f>IFERROR(__xludf.DUMMYFUNCTION("""COMPUTED_VALUE"""),"TùngLD")</f>
        <v>TùngLD</v>
      </c>
      <c r="F456" s="265" t="str">
        <f>IFERROR(__xludf.DUMMYFUNCTION("""COMPUTED_VALUE"""),"Gold")</f>
        <v>Gold</v>
      </c>
      <c r="G456" s="265" t="str">
        <f>IFERROR(__xludf.DUMMYFUNCTION("""COMPUTED_VALUE"""),"Premium")</f>
        <v>Premium</v>
      </c>
      <c r="H456" s="265" t="str">
        <f>IFERROR(__xludf.DUMMYFUNCTION("""COMPUTED_VALUE"""),"Trả sau")</f>
        <v>Trả sau</v>
      </c>
      <c r="I456" s="265" t="str">
        <f>IFERROR(__xludf.DUMMYFUNCTION("""COMPUTED_VALUE"""),"API")</f>
        <v>API</v>
      </c>
      <c r="J456" s="265" t="str">
        <f>IFERROR(__xludf.DUMMYFUNCTION("""COMPUTED_VALUE"""),"Email")</f>
        <v>Email</v>
      </c>
    </row>
    <row r="457">
      <c r="A457" s="265" t="str">
        <f>IFERROR(__xludf.DUMMYFUNCTION("""COMPUTED_VALUE"""),"498")</f>
        <v>498</v>
      </c>
      <c r="B457" s="265" t="str">
        <f>IFERROR(__xludf.DUMMYFUNCTION("""COMPUTED_VALUE"""),"Hà Nội")</f>
        <v>Hà Nội</v>
      </c>
      <c r="C457" s="265" t="str">
        <f>IFERROR(__xludf.DUMMYFUNCTION("""COMPUTED_VALUE"""),"Locked")</f>
        <v>Locked</v>
      </c>
      <c r="D457" s="265" t="str">
        <f>IFERROR(__xludf.DUMMYFUNCTION("""COMPUTED_VALUE"""),"Sale chưa cung cấp")</f>
        <v>Sale chưa cung cấp</v>
      </c>
      <c r="E457" s="265" t="str">
        <f>IFERROR(__xludf.DUMMYFUNCTION("""COMPUTED_VALUE"""),"TùngLD")</f>
        <v>TùngLD</v>
      </c>
      <c r="F457" s="265" t="str">
        <f>IFERROR(__xludf.DUMMYFUNCTION("""COMPUTED_VALUE"""),"Bronze")</f>
        <v>Bronze</v>
      </c>
      <c r="G457" s="265" t="str">
        <f>IFERROR(__xludf.DUMMYFUNCTION("""COMPUTED_VALUE"""),"Enterprise")</f>
        <v>Enterprise</v>
      </c>
      <c r="H457" s="265" t="str">
        <f>IFERROR(__xludf.DUMMYFUNCTION("""COMPUTED_VALUE"""),"Trả sau")</f>
        <v>Trả sau</v>
      </c>
      <c r="I457" s="265" t="str">
        <f>IFERROR(__xludf.DUMMYFUNCTION("""COMPUTED_VALUE"""),"Portal")</f>
        <v>Portal</v>
      </c>
      <c r="J457" s="265" t="str">
        <f>IFERROR(__xludf.DUMMYFUNCTION("""COMPUTED_VALUE"""),"Zalo ZNS")</f>
        <v>Zalo ZNS</v>
      </c>
    </row>
    <row r="458">
      <c r="A458" s="265" t="str">
        <f>IFERROR(__xludf.DUMMYFUNCTION("""COMPUTED_VALUE"""),"747")</f>
        <v>747</v>
      </c>
      <c r="B458" s="265" t="str">
        <f>IFERROR(__xludf.DUMMYFUNCTION("""COMPUTED_VALUE"""),"Sài Gòn")</f>
        <v>Sài Gòn</v>
      </c>
      <c r="C458" s="265" t="str">
        <f>IFERROR(__xludf.DUMMYFUNCTION("""COMPUTED_VALUE"""),"Locked")</f>
        <v>Locked</v>
      </c>
      <c r="D458" s="265" t="str">
        <f>IFERROR(__xludf.DUMMYFUNCTION("""COMPUTED_VALUE"""),"Y tế &amp; Dược phẩm")</f>
        <v>Y tế &amp; Dược phẩm</v>
      </c>
      <c r="E458" s="265" t="str">
        <f>IFERROR(__xludf.DUMMYFUNCTION("""COMPUTED_VALUE"""),"HoaNTM")</f>
        <v>HoaNTM</v>
      </c>
      <c r="F458" s="265" t="str">
        <f>IFERROR(__xludf.DUMMYFUNCTION("""COMPUTED_VALUE"""),"Sale chưa cung cấp")</f>
        <v>Sale chưa cung cấp</v>
      </c>
      <c r="G458" s="265" t="str">
        <f>IFERROR(__xludf.DUMMYFUNCTION("""COMPUTED_VALUE"""),"Starter")</f>
        <v>Starter</v>
      </c>
      <c r="H458" s="265" t="str">
        <f>IFERROR(__xludf.DUMMYFUNCTION("""COMPUTED_VALUE"""),"Trả trước")</f>
        <v>Trả trước</v>
      </c>
      <c r="I458" s="265" t="str">
        <f>IFERROR(__xludf.DUMMYFUNCTION("""COMPUTED_VALUE"""),"API &amp; Portal")</f>
        <v>API &amp; Portal</v>
      </c>
      <c r="J458" s="265" t="str">
        <f>IFERROR(__xludf.DUMMYFUNCTION("""COMPUTED_VALUE"""),"Zalo ZNS")</f>
        <v>Zalo ZNS</v>
      </c>
    </row>
    <row r="459">
      <c r="A459" s="265" t="str">
        <f>IFERROR(__xludf.DUMMYFUNCTION("""COMPUTED_VALUE"""),"748")</f>
        <v>748</v>
      </c>
      <c r="B459" s="265" t="str">
        <f>IFERROR(__xludf.DUMMYFUNCTION("""COMPUTED_VALUE"""),"Sài Gòn")</f>
        <v>Sài Gòn</v>
      </c>
      <c r="C459" s="265" t="str">
        <f>IFERROR(__xludf.DUMMYFUNCTION("""COMPUTED_VALUE"""),"Locked")</f>
        <v>Locked</v>
      </c>
      <c r="D459" s="265" t="str">
        <f>IFERROR(__xludf.DUMMYFUNCTION("""COMPUTED_VALUE"""),"Truyền thông &amp; Giải trí")</f>
        <v>Truyền thông &amp; Giải trí</v>
      </c>
      <c r="E459" s="265" t="str">
        <f>IFERROR(__xludf.DUMMYFUNCTION("""COMPUTED_VALUE"""),"HoaNTM")</f>
        <v>HoaNTM</v>
      </c>
      <c r="F459" s="265" t="str">
        <f>IFERROR(__xludf.DUMMYFUNCTION("""COMPUTED_VALUE"""),"Gold")</f>
        <v>Gold</v>
      </c>
      <c r="G459" s="265" t="str">
        <f>IFERROR(__xludf.DUMMYFUNCTION("""COMPUTED_VALUE"""),"Premium")</f>
        <v>Premium</v>
      </c>
      <c r="H459" s="265" t="str">
        <f>IFERROR(__xludf.DUMMYFUNCTION("""COMPUTED_VALUE"""),"Trả trước")</f>
        <v>Trả trước</v>
      </c>
      <c r="I459" s="265" t="str">
        <f>IFERROR(__xludf.DUMMYFUNCTION("""COMPUTED_VALUE"""),"API &amp; Portal")</f>
        <v>API &amp; Portal</v>
      </c>
      <c r="J459" s="265" t="str">
        <f>IFERROR(__xludf.DUMMYFUNCTION("""COMPUTED_VALUE"""),"Zalo ZNS")</f>
        <v>Zalo ZNS</v>
      </c>
    </row>
    <row r="460">
      <c r="A460" s="265" t="str">
        <f>IFERROR(__xludf.DUMMYFUNCTION("""COMPUTED_VALUE"""),"750")</f>
        <v>750</v>
      </c>
      <c r="B460" s="265" t="str">
        <f>IFERROR(__xludf.DUMMYFUNCTION("""COMPUTED_VALUE"""),"Hà Nội")</f>
        <v>Hà Nội</v>
      </c>
      <c r="C460" s="265" t="str">
        <f>IFERROR(__xludf.DUMMYFUNCTION("""COMPUTED_VALUE"""),"Locked")</f>
        <v>Locked</v>
      </c>
      <c r="D460" s="265" t="str">
        <f>IFERROR(__xludf.DUMMYFUNCTION("""COMPUTED_VALUE"""),"Truyền thông &amp; Giải trí")</f>
        <v>Truyền thông &amp; Giải trí</v>
      </c>
      <c r="E460" s="265" t="str">
        <f>IFERROR(__xludf.DUMMYFUNCTION("""COMPUTED_VALUE"""),"TúPHN")</f>
        <v>TúPHN</v>
      </c>
      <c r="F460" s="265" t="str">
        <f>IFERROR(__xludf.DUMMYFUNCTION("""COMPUTED_VALUE"""),"Bronze")</f>
        <v>Bronze</v>
      </c>
      <c r="G460" s="265" t="str">
        <f>IFERROR(__xludf.DUMMYFUNCTION("""COMPUTED_VALUE"""),"Starter")</f>
        <v>Starter</v>
      </c>
      <c r="H460" s="265" t="str">
        <f>IFERROR(__xludf.DUMMYFUNCTION("""COMPUTED_VALUE"""),"Trả sau")</f>
        <v>Trả sau</v>
      </c>
      <c r="I460" s="265" t="str">
        <f>IFERROR(__xludf.DUMMYFUNCTION("""COMPUTED_VALUE"""),"API &amp; Portal")</f>
        <v>API &amp; Portal</v>
      </c>
      <c r="J460" s="265" t="str">
        <f>IFERROR(__xludf.DUMMYFUNCTION("""COMPUTED_VALUE"""),"Tất cả")</f>
        <v>Tất cả</v>
      </c>
    </row>
    <row r="461">
      <c r="A461" s="265" t="str">
        <f>IFERROR(__xludf.DUMMYFUNCTION("""COMPUTED_VALUE"""),"751")</f>
        <v>751</v>
      </c>
      <c r="B461" s="265" t="str">
        <f>IFERROR(__xludf.DUMMYFUNCTION("""COMPUTED_VALUE"""),"Sài Gòn")</f>
        <v>Sài Gòn</v>
      </c>
      <c r="C461" s="265" t="str">
        <f>IFERROR(__xludf.DUMMYFUNCTION("""COMPUTED_VALUE"""),"Locked")</f>
        <v>Locked</v>
      </c>
      <c r="D461" s="265" t="str">
        <f>IFERROR(__xludf.DUMMYFUNCTION("""COMPUTED_VALUE"""),"Mua sắm &amp; Bán lẻ")</f>
        <v>Mua sắm &amp; Bán lẻ</v>
      </c>
      <c r="E461" s="265" t="str">
        <f>IFERROR(__xludf.DUMMYFUNCTION("""COMPUTED_VALUE"""),"HoaNTM")</f>
        <v>HoaNTM</v>
      </c>
      <c r="F461" s="265" t="str">
        <f>IFERROR(__xludf.DUMMYFUNCTION("""COMPUTED_VALUE"""),"Sale chưa cung cấp")</f>
        <v>Sale chưa cung cấp</v>
      </c>
      <c r="G461" s="265" t="str">
        <f>IFERROR(__xludf.DUMMYFUNCTION("""COMPUTED_VALUE"""),"Premium")</f>
        <v>Premium</v>
      </c>
      <c r="H461" s="265" t="str">
        <f>IFERROR(__xludf.DUMMYFUNCTION("""COMPUTED_VALUE"""),"Trial")</f>
        <v>Trial</v>
      </c>
      <c r="I461" s="265" t="str">
        <f>IFERROR(__xludf.DUMMYFUNCTION("""COMPUTED_VALUE"""),"API &amp; Portal")</f>
        <v>API &amp; Portal</v>
      </c>
      <c r="J461" s="265" t="str">
        <f>IFERROR(__xludf.DUMMYFUNCTION("""COMPUTED_VALUE"""),"GapOne")</f>
        <v>GapOne</v>
      </c>
    </row>
    <row r="462">
      <c r="A462" s="265" t="str">
        <f>IFERROR(__xludf.DUMMYFUNCTION("""COMPUTED_VALUE"""),"754")</f>
        <v>754</v>
      </c>
      <c r="B462" s="265" t="str">
        <f>IFERROR(__xludf.DUMMYFUNCTION("""COMPUTED_VALUE"""),"Hà Nội")</f>
        <v>Hà Nội</v>
      </c>
      <c r="C462" s="265" t="str">
        <f>IFERROR(__xludf.DUMMYFUNCTION("""COMPUTED_VALUE"""),"Locked")</f>
        <v>Locked</v>
      </c>
      <c r="D462" s="265" t="str">
        <f>IFERROR(__xludf.DUMMYFUNCTION("""COMPUTED_VALUE"""),"Viễn thông")</f>
        <v>Viễn thông</v>
      </c>
      <c r="E462" s="265" t="str">
        <f>IFERROR(__xludf.DUMMYFUNCTION("""COMPUTED_VALUE"""),"AnhNP")</f>
        <v>AnhNP</v>
      </c>
      <c r="F462" s="265" t="str">
        <f>IFERROR(__xludf.DUMMYFUNCTION("""COMPUTED_VALUE"""),"Sale chưa cung cấp")</f>
        <v>Sale chưa cung cấp</v>
      </c>
      <c r="G462" s="265" t="str">
        <f>IFERROR(__xludf.DUMMYFUNCTION("""COMPUTED_VALUE"""),"Starter")</f>
        <v>Starter</v>
      </c>
      <c r="H462" s="265" t="str">
        <f>IFERROR(__xludf.DUMMYFUNCTION("""COMPUTED_VALUE"""),"Trial")</f>
        <v>Trial</v>
      </c>
      <c r="I462" s="265" t="str">
        <f>IFERROR(__xludf.DUMMYFUNCTION("""COMPUTED_VALUE"""),"API &amp; Portal")</f>
        <v>API &amp; Portal</v>
      </c>
      <c r="J462" s="265" t="str">
        <f>IFERROR(__xludf.DUMMYFUNCTION("""COMPUTED_VALUE"""),"Tất cả")</f>
        <v>Tất cả</v>
      </c>
    </row>
    <row r="463">
      <c r="A463" s="265" t="str">
        <f>IFERROR(__xludf.DUMMYFUNCTION("""COMPUTED_VALUE"""),"753")</f>
        <v>753</v>
      </c>
      <c r="B463" s="265" t="str">
        <f>IFERROR(__xludf.DUMMYFUNCTION("""COMPUTED_VALUE"""),"Sài Gòn")</f>
        <v>Sài Gòn</v>
      </c>
      <c r="C463" s="265" t="str">
        <f>IFERROR(__xludf.DUMMYFUNCTION("""COMPUTED_VALUE"""),"Locked")</f>
        <v>Locked</v>
      </c>
      <c r="D463" s="265" t="str">
        <f>IFERROR(__xludf.DUMMYFUNCTION("""COMPUTED_VALUE"""),"Giáo dục &amp; Đào tạo")</f>
        <v>Giáo dục &amp; Đào tạo</v>
      </c>
      <c r="E463" s="265" t="str">
        <f>IFERROR(__xludf.DUMMYFUNCTION("""COMPUTED_VALUE"""),"HoaNTM")</f>
        <v>HoaNTM</v>
      </c>
      <c r="F463" s="265" t="str">
        <f>IFERROR(__xludf.DUMMYFUNCTION("""COMPUTED_VALUE"""),"Bronze")</f>
        <v>Bronze</v>
      </c>
      <c r="G463" s="265" t="str">
        <f>IFERROR(__xludf.DUMMYFUNCTION("""COMPUTED_VALUE"""),"Starter")</f>
        <v>Starter</v>
      </c>
      <c r="H463" s="265" t="str">
        <f>IFERROR(__xludf.DUMMYFUNCTION("""COMPUTED_VALUE"""),"(Chưa recheck)")</f>
        <v>(Chưa recheck)</v>
      </c>
      <c r="I463" s="265" t="str">
        <f>IFERROR(__xludf.DUMMYFUNCTION("""COMPUTED_VALUE"""),"API &amp; Portal")</f>
        <v>API &amp; Portal</v>
      </c>
      <c r="J463" s="265" t="str">
        <f>IFERROR(__xludf.DUMMYFUNCTION("""COMPUTED_VALUE"""),"GapOne")</f>
        <v>GapOne</v>
      </c>
    </row>
    <row r="464">
      <c r="A464" s="265" t="str">
        <f>IFERROR(__xludf.DUMMYFUNCTION("""COMPUTED_VALUE"""),"755")</f>
        <v>755</v>
      </c>
      <c r="B464" s="265" t="str">
        <f>IFERROR(__xludf.DUMMYFUNCTION("""COMPUTED_VALUE"""),"Sài Gòn")</f>
        <v>Sài Gòn</v>
      </c>
      <c r="C464" s="265" t="str">
        <f>IFERROR(__xludf.DUMMYFUNCTION("""COMPUTED_VALUE"""),"Locked")</f>
        <v>Locked</v>
      </c>
      <c r="D464" s="265" t="str">
        <f>IFERROR(__xludf.DUMMYFUNCTION("""COMPUTED_VALUE"""),"Sale chưa cung cấp")</f>
        <v>Sale chưa cung cấp</v>
      </c>
      <c r="E464" s="265" t="str">
        <f>IFERROR(__xludf.DUMMYFUNCTION("""COMPUTED_VALUE"""),"TuVTC")</f>
        <v>TuVTC</v>
      </c>
      <c r="F464" s="265" t="str">
        <f>IFERROR(__xludf.DUMMYFUNCTION("""COMPUTED_VALUE"""),"Bronze")</f>
        <v>Bronze</v>
      </c>
      <c r="G464" s="265" t="str">
        <f>IFERROR(__xludf.DUMMYFUNCTION("""COMPUTED_VALUE"""),"API")</f>
        <v>API</v>
      </c>
      <c r="H464" s="265" t="str">
        <f>IFERROR(__xludf.DUMMYFUNCTION("""COMPUTED_VALUE"""),"Trả trước")</f>
        <v>Trả trước</v>
      </c>
      <c r="I464" s="265" t="str">
        <f>IFERROR(__xludf.DUMMYFUNCTION("""COMPUTED_VALUE"""),"API")</f>
        <v>API</v>
      </c>
      <c r="J464" s="265" t="str">
        <f>IFERROR(__xludf.DUMMYFUNCTION("""COMPUTED_VALUE"""),"SMS CSKH")</f>
        <v>SMS CSKH</v>
      </c>
    </row>
    <row r="465">
      <c r="A465" s="265" t="str">
        <f>IFERROR(__xludf.DUMMYFUNCTION("""COMPUTED_VALUE"""),"756")</f>
        <v>756</v>
      </c>
      <c r="B465" s="265" t="str">
        <f>IFERROR(__xludf.DUMMYFUNCTION("""COMPUTED_VALUE"""),"Sài Gòn")</f>
        <v>Sài Gòn</v>
      </c>
      <c r="C465" s="265" t="str">
        <f>IFERROR(__xludf.DUMMYFUNCTION("""COMPUTED_VALUE"""),"Locked")</f>
        <v>Locked</v>
      </c>
      <c r="D465" s="265" t="str">
        <f>IFERROR(__xludf.DUMMYFUNCTION("""COMPUTED_VALUE"""),"Du lịch &amp; Lưu trú")</f>
        <v>Du lịch &amp; Lưu trú</v>
      </c>
      <c r="E465" s="265" t="str">
        <f>IFERROR(__xludf.DUMMYFUNCTION("""COMPUTED_VALUE"""),"HoaNTM")</f>
        <v>HoaNTM</v>
      </c>
      <c r="F465" s="265" t="str">
        <f>IFERROR(__xludf.DUMMYFUNCTION("""COMPUTED_VALUE"""),"Sale chưa cung cấp")</f>
        <v>Sale chưa cung cấp</v>
      </c>
      <c r="G465" s="265" t="str">
        <f>IFERROR(__xludf.DUMMYFUNCTION("""COMPUTED_VALUE"""),"Starter")</f>
        <v>Starter</v>
      </c>
      <c r="H465" s="265" t="str">
        <f>IFERROR(__xludf.DUMMYFUNCTION("""COMPUTED_VALUE"""),"(Chưa recheck)")</f>
        <v>(Chưa recheck)</v>
      </c>
      <c r="I465" s="265" t="str">
        <f>IFERROR(__xludf.DUMMYFUNCTION("""COMPUTED_VALUE"""),"Portal")</f>
        <v>Portal</v>
      </c>
      <c r="J465" s="265" t="str">
        <f>IFERROR(__xludf.DUMMYFUNCTION("""COMPUTED_VALUE"""),"GapOne")</f>
        <v>GapOne</v>
      </c>
    </row>
    <row r="466">
      <c r="A466" s="265" t="str">
        <f>IFERROR(__xludf.DUMMYFUNCTION("""COMPUTED_VALUE"""),"758")</f>
        <v>758</v>
      </c>
      <c r="B466" s="265" t="str">
        <f>IFERROR(__xludf.DUMMYFUNCTION("""COMPUTED_VALUE"""),"Hà Nội")</f>
        <v>Hà Nội</v>
      </c>
      <c r="C466" s="265" t="str">
        <f>IFERROR(__xludf.DUMMYFUNCTION("""COMPUTED_VALUE"""),"Active")</f>
        <v>Active</v>
      </c>
      <c r="D466" s="265" t="str">
        <f>IFERROR(__xludf.DUMMYFUNCTION("""COMPUTED_VALUE"""),"Giáo dục &amp; Đào tạo")</f>
        <v>Giáo dục &amp; Đào tạo</v>
      </c>
      <c r="E466" s="265" t="str">
        <f>IFERROR(__xludf.DUMMYFUNCTION("""COMPUTED_VALUE"""),"TùngLD")</f>
        <v>TùngLD</v>
      </c>
      <c r="F466" s="265" t="str">
        <f>IFERROR(__xludf.DUMMYFUNCTION("""COMPUTED_VALUE"""),"Silver")</f>
        <v>Silver</v>
      </c>
      <c r="G466" s="265" t="str">
        <f>IFERROR(__xludf.DUMMYFUNCTION("""COMPUTED_VALUE"""),"Premium")</f>
        <v>Premium</v>
      </c>
      <c r="H466" s="265" t="str">
        <f>IFERROR(__xludf.DUMMYFUNCTION("""COMPUTED_VALUE"""),"Trả sau")</f>
        <v>Trả sau</v>
      </c>
      <c r="I466" s="265" t="str">
        <f>IFERROR(__xludf.DUMMYFUNCTION("""COMPUTED_VALUE"""),"API &amp; Portal")</f>
        <v>API &amp; Portal</v>
      </c>
      <c r="J466" s="265" t="str">
        <f>IFERROR(__xludf.DUMMYFUNCTION("""COMPUTED_VALUE"""),"Zalo ZNS")</f>
        <v>Zalo ZNS</v>
      </c>
    </row>
    <row r="467">
      <c r="A467" s="265" t="str">
        <f>IFERROR(__xludf.DUMMYFUNCTION("""COMPUTED_VALUE"""),"759")</f>
        <v>759</v>
      </c>
      <c r="B467" s="265" t="str">
        <f>IFERROR(__xludf.DUMMYFUNCTION("""COMPUTED_VALUE"""),"Sài Gòn")</f>
        <v>Sài Gòn</v>
      </c>
      <c r="C467" s="265" t="str">
        <f>IFERROR(__xludf.DUMMYFUNCTION("""COMPUTED_VALUE"""),"Locked")</f>
        <v>Locked</v>
      </c>
      <c r="D467" s="265" t="str">
        <f>IFERROR(__xludf.DUMMYFUNCTION("""COMPUTED_VALUE"""),"Thực phẩm &amp; Đồ uống")</f>
        <v>Thực phẩm &amp; Đồ uống</v>
      </c>
      <c r="E467" s="265" t="str">
        <f>IFERROR(__xludf.DUMMYFUNCTION("""COMPUTED_VALUE"""),"HoaNTM")</f>
        <v>HoaNTM</v>
      </c>
      <c r="F467" s="265" t="str">
        <f>IFERROR(__xludf.DUMMYFUNCTION("""COMPUTED_VALUE"""),"Sale chưa cung cấp")</f>
        <v>Sale chưa cung cấp</v>
      </c>
      <c r="G467" s="265" t="str">
        <f>IFERROR(__xludf.DUMMYFUNCTION("""COMPUTED_VALUE"""),"Enterprise")</f>
        <v>Enterprise</v>
      </c>
      <c r="H467" s="265" t="str">
        <f>IFERROR(__xludf.DUMMYFUNCTION("""COMPUTED_VALUE"""),"Trả sau")</f>
        <v>Trả sau</v>
      </c>
      <c r="I467" s="265" t="str">
        <f>IFERROR(__xludf.DUMMYFUNCTION("""COMPUTED_VALUE"""),"API &amp; Portal")</f>
        <v>API &amp; Portal</v>
      </c>
      <c r="J467" s="265" t="str">
        <f>IFERROR(__xludf.DUMMYFUNCTION("""COMPUTED_VALUE"""),"GapOne")</f>
        <v>GapOne</v>
      </c>
    </row>
    <row r="468">
      <c r="A468" s="265" t="str">
        <f>IFERROR(__xludf.DUMMYFUNCTION("""COMPUTED_VALUE"""),"762")</f>
        <v>762</v>
      </c>
      <c r="B468" s="265" t="str">
        <f>IFERROR(__xludf.DUMMYFUNCTION("""COMPUTED_VALUE"""),"Sài Gòn")</f>
        <v>Sài Gòn</v>
      </c>
      <c r="C468" s="265" t="str">
        <f>IFERROR(__xludf.DUMMYFUNCTION("""COMPUTED_VALUE"""),"Locked")</f>
        <v>Locked</v>
      </c>
      <c r="D468" s="265" t="str">
        <f>IFERROR(__xludf.DUMMYFUNCTION("""COMPUTED_VALUE"""),"Thực phẩm &amp; Đồ uống")</f>
        <v>Thực phẩm &amp; Đồ uống</v>
      </c>
      <c r="E468" s="265" t="str">
        <f>IFERROR(__xludf.DUMMYFUNCTION("""COMPUTED_VALUE"""),"HoaNTM")</f>
        <v>HoaNTM</v>
      </c>
      <c r="F468" s="265" t="str">
        <f>IFERROR(__xludf.DUMMYFUNCTION("""COMPUTED_VALUE"""),"Sale chưa cung cấp")</f>
        <v>Sale chưa cung cấp</v>
      </c>
      <c r="G468" s="265" t="str">
        <f>IFERROR(__xludf.DUMMYFUNCTION("""COMPUTED_VALUE"""),"Enterprise")</f>
        <v>Enterprise</v>
      </c>
      <c r="H468" s="265" t="str">
        <f>IFERROR(__xludf.DUMMYFUNCTION("""COMPUTED_VALUE"""),"Trả sau")</f>
        <v>Trả sau</v>
      </c>
      <c r="I468" s="265" t="str">
        <f>IFERROR(__xludf.DUMMYFUNCTION("""COMPUTED_VALUE"""),"API &amp; Portal")</f>
        <v>API &amp; Portal</v>
      </c>
      <c r="J468" s="265" t="str">
        <f>IFERROR(__xludf.DUMMYFUNCTION("""COMPUTED_VALUE"""),"GapOne")</f>
        <v>GapOne</v>
      </c>
    </row>
    <row r="469">
      <c r="A469" s="265" t="str">
        <f>IFERROR(__xludf.DUMMYFUNCTION("""COMPUTED_VALUE"""),"749")</f>
        <v>749</v>
      </c>
      <c r="B469" s="265" t="str">
        <f>IFERROR(__xludf.DUMMYFUNCTION("""COMPUTED_VALUE"""),"Sài Gòn")</f>
        <v>Sài Gòn</v>
      </c>
      <c r="C469" s="265" t="str">
        <f>IFERROR(__xludf.DUMMYFUNCTION("""COMPUTED_VALUE"""),"Active")</f>
        <v>Active</v>
      </c>
      <c r="D469" s="265" t="str">
        <f>IFERROR(__xludf.DUMMYFUNCTION("""COMPUTED_VALUE"""),"Vận tải &amp; logistics")</f>
        <v>Vận tải &amp; logistics</v>
      </c>
      <c r="E469" s="265" t="str">
        <f>IFERROR(__xludf.DUMMYFUNCTION("""COMPUTED_VALUE"""),"AnhNM")</f>
        <v>AnhNM</v>
      </c>
      <c r="F469" s="265" t="str">
        <f>IFERROR(__xludf.DUMMYFUNCTION("""COMPUTED_VALUE"""),"Silver")</f>
        <v>Silver</v>
      </c>
      <c r="G469" s="265" t="str">
        <f>IFERROR(__xludf.DUMMYFUNCTION("""COMPUTED_VALUE"""),"Enterprise")</f>
        <v>Enterprise</v>
      </c>
      <c r="H469" s="265" t="str">
        <f>IFERROR(__xludf.DUMMYFUNCTION("""COMPUTED_VALUE"""),"Trả trước")</f>
        <v>Trả trước</v>
      </c>
      <c r="I469" s="265" t="str">
        <f>IFERROR(__xludf.DUMMYFUNCTION("""COMPUTED_VALUE"""),"API &amp; Portal")</f>
        <v>API &amp; Portal</v>
      </c>
      <c r="J469" s="265" t="str">
        <f>IFERROR(__xludf.DUMMYFUNCTION("""COMPUTED_VALUE"""),"Zalo ZNS")</f>
        <v>Zalo ZNS</v>
      </c>
    </row>
    <row r="470">
      <c r="A470" s="265" t="str">
        <f>IFERROR(__xludf.DUMMYFUNCTION("""COMPUTED_VALUE"""),"None 6")</f>
        <v>None 6</v>
      </c>
      <c r="B470" s="265" t="str">
        <f>IFERROR(__xludf.DUMMYFUNCTION("""COMPUTED_VALUE"""),"Hà Nội")</f>
        <v>Hà Nội</v>
      </c>
      <c r="C470" s="265" t="str">
        <f>IFERROR(__xludf.DUMMYFUNCTION("""COMPUTED_VALUE"""),"Active")</f>
        <v>Active</v>
      </c>
      <c r="D470" s="265" t="str">
        <f>IFERROR(__xludf.DUMMYFUNCTION("""COMPUTED_VALUE"""),"Công nghệ &amp; Phần mềm")</f>
        <v>Công nghệ &amp; Phần mềm</v>
      </c>
      <c r="E470" s="265" t="str">
        <f>IFERROR(__xludf.DUMMYFUNCTION("""COMPUTED_VALUE"""),"TùngLD")</f>
        <v>TùngLD</v>
      </c>
      <c r="F470" s="265" t="str">
        <f>IFERROR(__xludf.DUMMYFUNCTION("""COMPUTED_VALUE"""),"Diamond")</f>
        <v>Diamond</v>
      </c>
      <c r="G470" s="265" t="str">
        <f>IFERROR(__xludf.DUMMYFUNCTION("""COMPUTED_VALUE"""),"Starter")</f>
        <v>Starter</v>
      </c>
      <c r="H470" s="265" t="str">
        <f>IFERROR(__xludf.DUMMYFUNCTION("""COMPUTED_VALUE"""),"Trả sau")</f>
        <v>Trả sau</v>
      </c>
      <c r="I470" s="265" t="str">
        <f>IFERROR(__xludf.DUMMYFUNCTION("""COMPUTED_VALUE"""),"API")</f>
        <v>API</v>
      </c>
      <c r="J470" s="265" t="str">
        <f>IFERROR(__xludf.DUMMYFUNCTION("""COMPUTED_VALUE"""),"Zalo ZNS")</f>
        <v>Zalo ZNS</v>
      </c>
    </row>
    <row r="471">
      <c r="A471" s="265" t="str">
        <f>IFERROR(__xludf.DUMMYFUNCTION("""COMPUTED_VALUE"""),"760")</f>
        <v>760</v>
      </c>
      <c r="B471" s="265" t="str">
        <f>IFERROR(__xludf.DUMMYFUNCTION("""COMPUTED_VALUE"""),"Sài Gòn")</f>
        <v>Sài Gòn</v>
      </c>
      <c r="C471" s="265" t="str">
        <f>IFERROR(__xludf.DUMMYFUNCTION("""COMPUTED_VALUE"""),"Locked")</f>
        <v>Locked</v>
      </c>
      <c r="D471" s="265" t="str">
        <f>IFERROR(__xludf.DUMMYFUNCTION("""COMPUTED_VALUE"""),"Thực phẩm &amp; Đồ uống")</f>
        <v>Thực phẩm &amp; Đồ uống</v>
      </c>
      <c r="E471" s="265" t="str">
        <f>IFERROR(__xludf.DUMMYFUNCTION("""COMPUTED_VALUE"""),"HoaNTM")</f>
        <v>HoaNTM</v>
      </c>
      <c r="F471" s="265" t="str">
        <f>IFERROR(__xludf.DUMMYFUNCTION("""COMPUTED_VALUE"""),"Diamond")</f>
        <v>Diamond</v>
      </c>
      <c r="G471" s="265" t="str">
        <f>IFERROR(__xludf.DUMMYFUNCTION("""COMPUTED_VALUE"""),"MSG")</f>
        <v>MSG</v>
      </c>
      <c r="H471" s="265" t="str">
        <f>IFERROR(__xludf.DUMMYFUNCTION("""COMPUTED_VALUE"""),"Trả trước")</f>
        <v>Trả trước</v>
      </c>
      <c r="I471" s="265" t="str">
        <f>IFERROR(__xludf.DUMMYFUNCTION("""COMPUTED_VALUE"""),"Portal")</f>
        <v>Portal</v>
      </c>
      <c r="J471" s="265" t="str">
        <f>IFERROR(__xludf.DUMMYFUNCTION("""COMPUTED_VALUE"""),"SMS CSKH")</f>
        <v>SMS CSKH</v>
      </c>
    </row>
    <row r="472">
      <c r="A472" s="265" t="str">
        <f>IFERROR(__xludf.DUMMYFUNCTION("""COMPUTED_VALUE"""),"763")</f>
        <v>763</v>
      </c>
      <c r="B472" s="265" t="str">
        <f>IFERROR(__xludf.DUMMYFUNCTION("""COMPUTED_VALUE"""),"Sài Gòn")</f>
        <v>Sài Gòn</v>
      </c>
      <c r="C472" s="265" t="str">
        <f>IFERROR(__xludf.DUMMYFUNCTION("""COMPUTED_VALUE"""),"Locked")</f>
        <v>Locked</v>
      </c>
      <c r="D472" s="265" t="str">
        <f>IFERROR(__xludf.DUMMYFUNCTION("""COMPUTED_VALUE"""),"Sale chưa cung cấp")</f>
        <v>Sale chưa cung cấp</v>
      </c>
      <c r="E472" s="265" t="str">
        <f>IFERROR(__xludf.DUMMYFUNCTION("""COMPUTED_VALUE"""),"HoaNTM")</f>
        <v>HoaNTM</v>
      </c>
      <c r="F472" s="265" t="str">
        <f>IFERROR(__xludf.DUMMYFUNCTION("""COMPUTED_VALUE"""),"Sale chưa cung cấp")</f>
        <v>Sale chưa cung cấp</v>
      </c>
      <c r="G472" s="265" t="str">
        <f>IFERROR(__xludf.DUMMYFUNCTION("""COMPUTED_VALUE"""),"Starter")</f>
        <v>Starter</v>
      </c>
      <c r="H472" s="265" t="str">
        <f>IFERROR(__xludf.DUMMYFUNCTION("""COMPUTED_VALUE"""),"Trial")</f>
        <v>Trial</v>
      </c>
      <c r="I472" s="265" t="str">
        <f>IFERROR(__xludf.DUMMYFUNCTION("""COMPUTED_VALUE"""),"API &amp; Portal")</f>
        <v>API &amp; Portal</v>
      </c>
      <c r="J472" s="265" t="str">
        <f>IFERROR(__xludf.DUMMYFUNCTION("""COMPUTED_VALUE"""),"GapOne")</f>
        <v>GapOne</v>
      </c>
    </row>
    <row r="473">
      <c r="A473" s="265" t="str">
        <f>IFERROR(__xludf.DUMMYFUNCTION("""COMPUTED_VALUE"""),"764")</f>
        <v>764</v>
      </c>
      <c r="B473" s="265" t="str">
        <f>IFERROR(__xludf.DUMMYFUNCTION("""COMPUTED_VALUE"""),"Sài Gòn")</f>
        <v>Sài Gòn</v>
      </c>
      <c r="C473" s="265" t="str">
        <f>IFERROR(__xludf.DUMMYFUNCTION("""COMPUTED_VALUE"""),"Active")</f>
        <v>Active</v>
      </c>
      <c r="D473" s="265" t="str">
        <f>IFERROR(__xludf.DUMMYFUNCTION("""COMPUTED_VALUE"""),"Sale chưa cung cấp")</f>
        <v>Sale chưa cung cấp</v>
      </c>
      <c r="E473" s="265" t="str">
        <f>IFERROR(__xludf.DUMMYFUNCTION("""COMPUTED_VALUE"""),"Không phân công")</f>
        <v>Không phân công</v>
      </c>
      <c r="F473" s="265" t="str">
        <f>IFERROR(__xludf.DUMMYFUNCTION("""COMPUTED_VALUE"""),"Bronze")</f>
        <v>Bronze</v>
      </c>
      <c r="G473" s="265" t="str">
        <f>IFERROR(__xludf.DUMMYFUNCTION("""COMPUTED_VALUE"""),"Starter")</f>
        <v>Starter</v>
      </c>
      <c r="H473" s="265" t="str">
        <f>IFERROR(__xludf.DUMMYFUNCTION("""COMPUTED_VALUE"""),"Trả sau")</f>
        <v>Trả sau</v>
      </c>
      <c r="I473" s="265" t="str">
        <f>IFERROR(__xludf.DUMMYFUNCTION("""COMPUTED_VALUE"""),"API &amp; Portal")</f>
        <v>API &amp; Portal</v>
      </c>
      <c r="J473" s="265" t="str">
        <f>IFERROR(__xludf.DUMMYFUNCTION("""COMPUTED_VALUE"""),"SMS CSKH")</f>
        <v>SMS CSKH</v>
      </c>
    </row>
    <row r="474">
      <c r="A474" s="265" t="str">
        <f>IFERROR(__xludf.DUMMYFUNCTION("""COMPUTED_VALUE"""),"765")</f>
        <v>765</v>
      </c>
      <c r="B474" s="265" t="str">
        <f>IFERROR(__xludf.DUMMYFUNCTION("""COMPUTED_VALUE"""),"Sài Gòn")</f>
        <v>Sài Gòn</v>
      </c>
      <c r="C474" s="265" t="str">
        <f>IFERROR(__xludf.DUMMYFUNCTION("""COMPUTED_VALUE"""),"Active")</f>
        <v>Active</v>
      </c>
      <c r="D474" s="265" t="str">
        <f>IFERROR(__xludf.DUMMYFUNCTION("""COMPUTED_VALUE"""),"Du lịch &amp; Lưu trú")</f>
        <v>Du lịch &amp; Lưu trú</v>
      </c>
      <c r="E474" s="265" t="str">
        <f>IFERROR(__xludf.DUMMYFUNCTION("""COMPUTED_VALUE"""),"Không phân công")</f>
        <v>Không phân công</v>
      </c>
      <c r="F474" s="265" t="str">
        <f>IFERROR(__xludf.DUMMYFUNCTION("""COMPUTED_VALUE"""),"Bronze")</f>
        <v>Bronze</v>
      </c>
      <c r="G474" s="265" t="str">
        <f>IFERROR(__xludf.DUMMYFUNCTION("""COMPUTED_VALUE"""),"Starter")</f>
        <v>Starter</v>
      </c>
      <c r="H474" s="265" t="str">
        <f>IFERROR(__xludf.DUMMYFUNCTION("""COMPUTED_VALUE"""),"Trả sau")</f>
        <v>Trả sau</v>
      </c>
      <c r="I474" s="265" t="str">
        <f>IFERROR(__xludf.DUMMYFUNCTION("""COMPUTED_VALUE"""),"Portal")</f>
        <v>Portal</v>
      </c>
      <c r="J474" s="265" t="str">
        <f>IFERROR(__xludf.DUMMYFUNCTION("""COMPUTED_VALUE"""),"SMS CSKH")</f>
        <v>SMS CSKH</v>
      </c>
    </row>
    <row r="475">
      <c r="A475" s="265" t="str">
        <f>IFERROR(__xludf.DUMMYFUNCTION("""COMPUTED_VALUE"""),"766")</f>
        <v>766</v>
      </c>
      <c r="B475" s="265" t="str">
        <f>IFERROR(__xludf.DUMMYFUNCTION("""COMPUTED_VALUE"""),"Hà Nội")</f>
        <v>Hà Nội</v>
      </c>
      <c r="C475" s="265" t="str">
        <f>IFERROR(__xludf.DUMMYFUNCTION("""COMPUTED_VALUE"""),"Locked")</f>
        <v>Locked</v>
      </c>
      <c r="D475" s="265" t="str">
        <f>IFERROR(__xludf.DUMMYFUNCTION("""COMPUTED_VALUE"""),"Y tế &amp; Dược phẩm")</f>
        <v>Y tế &amp; Dược phẩm</v>
      </c>
      <c r="E475" s="265" t="str">
        <f>IFERROR(__xludf.DUMMYFUNCTION("""COMPUTED_VALUE"""),"TúPHN")</f>
        <v>TúPHN</v>
      </c>
      <c r="F475" s="265" t="str">
        <f>IFERROR(__xludf.DUMMYFUNCTION("""COMPUTED_VALUE"""),"Silver")</f>
        <v>Silver</v>
      </c>
      <c r="G475" s="265" t="str">
        <f>IFERROR(__xludf.DUMMYFUNCTION("""COMPUTED_VALUE"""),"Standard")</f>
        <v>Standard</v>
      </c>
      <c r="H475" s="265" t="str">
        <f>IFERROR(__xludf.DUMMYFUNCTION("""COMPUTED_VALUE"""),"Trả sau")</f>
        <v>Trả sau</v>
      </c>
      <c r="I475" s="265" t="str">
        <f>IFERROR(__xludf.DUMMYFUNCTION("""COMPUTED_VALUE"""),"API")</f>
        <v>API</v>
      </c>
      <c r="J475" s="265" t="str">
        <f>IFERROR(__xludf.DUMMYFUNCTION("""COMPUTED_VALUE"""),"SMS CSKH")</f>
        <v>SMS CSKH</v>
      </c>
    </row>
    <row r="476">
      <c r="A476" s="265" t="str">
        <f>IFERROR(__xludf.DUMMYFUNCTION("""COMPUTED_VALUE"""),"767")</f>
        <v>767</v>
      </c>
      <c r="B476" s="265" t="str">
        <f>IFERROR(__xludf.DUMMYFUNCTION("""COMPUTED_VALUE"""),"Hà Nội")</f>
        <v>Hà Nội</v>
      </c>
      <c r="C476" s="265" t="str">
        <f>IFERROR(__xludf.DUMMYFUNCTION("""COMPUTED_VALUE"""),"Locked")</f>
        <v>Locked</v>
      </c>
      <c r="D476" s="265" t="str">
        <f>IFERROR(__xludf.DUMMYFUNCTION("""COMPUTED_VALUE"""),"Vận tải &amp; logistics")</f>
        <v>Vận tải &amp; logistics</v>
      </c>
      <c r="E476" s="265" t="str">
        <f>IFERROR(__xludf.DUMMYFUNCTION("""COMPUTED_VALUE"""),"PhươngDTB")</f>
        <v>PhươngDTB</v>
      </c>
      <c r="F476" s="265" t="str">
        <f>IFERROR(__xludf.DUMMYFUNCTION("""COMPUTED_VALUE"""),"Sale chưa cung cấp")</f>
        <v>Sale chưa cung cấp</v>
      </c>
      <c r="G476" s="265" t="str">
        <f>IFERROR(__xludf.DUMMYFUNCTION("""COMPUTED_VALUE"""),"Starter")</f>
        <v>Starter</v>
      </c>
      <c r="H476" s="265" t="str">
        <f>IFERROR(__xludf.DUMMYFUNCTION("""COMPUTED_VALUE"""),"Trả trước")</f>
        <v>Trả trước</v>
      </c>
      <c r="I476" s="265" t="str">
        <f>IFERROR(__xludf.DUMMYFUNCTION("""COMPUTED_VALUE"""),"Portal")</f>
        <v>Portal</v>
      </c>
      <c r="J476" s="265" t="str">
        <f>IFERROR(__xludf.DUMMYFUNCTION("""COMPUTED_VALUE"""),"Zalo ZNS")</f>
        <v>Zalo ZNS</v>
      </c>
    </row>
    <row r="477">
      <c r="A477" s="265" t="str">
        <f>IFERROR(__xludf.DUMMYFUNCTION("""COMPUTED_VALUE"""),"769")</f>
        <v>769</v>
      </c>
      <c r="B477" s="265" t="str">
        <f>IFERROR(__xludf.DUMMYFUNCTION("""COMPUTED_VALUE"""),"Hà Nội")</f>
        <v>Hà Nội</v>
      </c>
      <c r="C477" s="265" t="str">
        <f>IFERROR(__xludf.DUMMYFUNCTION("""COMPUTED_VALUE"""),"Locked")</f>
        <v>Locked</v>
      </c>
      <c r="D477" s="265" t="str">
        <f>IFERROR(__xludf.DUMMYFUNCTION("""COMPUTED_VALUE"""),"Công nghệ &amp; Phần mềm")</f>
        <v>Công nghệ &amp; Phần mềm</v>
      </c>
      <c r="E477" s="265" t="str">
        <f>IFERROR(__xludf.DUMMYFUNCTION("""COMPUTED_VALUE"""),"DungDT")</f>
        <v>DungDT</v>
      </c>
      <c r="F477" s="265" t="str">
        <f>IFERROR(__xludf.DUMMYFUNCTION("""COMPUTED_VALUE"""),"Sale chưa cung cấp")</f>
        <v>Sale chưa cung cấp</v>
      </c>
      <c r="G477" s="265" t="str">
        <f>IFERROR(__xludf.DUMMYFUNCTION("""COMPUTED_VALUE"""),"Premium")</f>
        <v>Premium</v>
      </c>
      <c r="H477" s="265" t="str">
        <f>IFERROR(__xludf.DUMMYFUNCTION("""COMPUTED_VALUE"""),"Trial")</f>
        <v>Trial</v>
      </c>
      <c r="I477" s="265" t="str">
        <f>IFERROR(__xludf.DUMMYFUNCTION("""COMPUTED_VALUE"""),"(Không recheck)")</f>
        <v>(Không recheck)</v>
      </c>
      <c r="J477" s="265" t="str">
        <f>IFERROR(__xludf.DUMMYFUNCTION("""COMPUTED_VALUE"""),"(Không recheck)")</f>
        <v>(Không recheck)</v>
      </c>
    </row>
    <row r="478">
      <c r="A478" s="265" t="str">
        <f>IFERROR(__xludf.DUMMYFUNCTION("""COMPUTED_VALUE"""),"770")</f>
        <v>770</v>
      </c>
      <c r="B478" s="265" t="str">
        <f>IFERROR(__xludf.DUMMYFUNCTION("""COMPUTED_VALUE"""),"Sài Gòn")</f>
        <v>Sài Gòn</v>
      </c>
      <c r="C478" s="265" t="str">
        <f>IFERROR(__xludf.DUMMYFUNCTION("""COMPUTED_VALUE"""),"Locked")</f>
        <v>Locked</v>
      </c>
      <c r="D478" s="265" t="str">
        <f>IFERROR(__xludf.DUMMYFUNCTION("""COMPUTED_VALUE"""),"Thực phẩm &amp; Đồ uống")</f>
        <v>Thực phẩm &amp; Đồ uống</v>
      </c>
      <c r="E478" s="265" t="str">
        <f>IFERROR(__xludf.DUMMYFUNCTION("""COMPUTED_VALUE"""),"HoaNTM")</f>
        <v>HoaNTM</v>
      </c>
      <c r="F478" s="265" t="str">
        <f>IFERROR(__xludf.DUMMYFUNCTION("""COMPUTED_VALUE"""),"Diamond")</f>
        <v>Diamond</v>
      </c>
      <c r="G478" s="265" t="str">
        <f>IFERROR(__xludf.DUMMYFUNCTION("""COMPUTED_VALUE"""),"Starter")</f>
        <v>Starter</v>
      </c>
      <c r="H478" s="265" t="str">
        <f>IFERROR(__xludf.DUMMYFUNCTION("""COMPUTED_VALUE"""),"Trả sau")</f>
        <v>Trả sau</v>
      </c>
      <c r="I478" s="265" t="str">
        <f>IFERROR(__xludf.DUMMYFUNCTION("""COMPUTED_VALUE"""),"API &amp; Portal")</f>
        <v>API &amp; Portal</v>
      </c>
      <c r="J478" s="265" t="str">
        <f>IFERROR(__xludf.DUMMYFUNCTION("""COMPUTED_VALUE"""),"GapOne")</f>
        <v>GapOne</v>
      </c>
    </row>
    <row r="479">
      <c r="A479" s="265" t="str">
        <f>IFERROR(__xludf.DUMMYFUNCTION("""COMPUTED_VALUE"""),"771")</f>
        <v>771</v>
      </c>
      <c r="B479" s="265" t="str">
        <f>IFERROR(__xludf.DUMMYFUNCTION("""COMPUTED_VALUE"""),"Sài Gòn")</f>
        <v>Sài Gòn</v>
      </c>
      <c r="C479" s="265" t="str">
        <f>IFERROR(__xludf.DUMMYFUNCTION("""COMPUTED_VALUE"""),"Locked")</f>
        <v>Locked</v>
      </c>
      <c r="D479" s="265" t="str">
        <f>IFERROR(__xludf.DUMMYFUNCTION("""COMPUTED_VALUE"""),"Thực phẩm &amp; Đồ uống")</f>
        <v>Thực phẩm &amp; Đồ uống</v>
      </c>
      <c r="E479" s="265" t="str">
        <f>IFERROR(__xludf.DUMMYFUNCTION("""COMPUTED_VALUE"""),"TùngLD")</f>
        <v>TùngLD</v>
      </c>
      <c r="F479" s="265" t="str">
        <f>IFERROR(__xludf.DUMMYFUNCTION("""COMPUTED_VALUE"""),"Gold")</f>
        <v>Gold</v>
      </c>
      <c r="G479" s="265" t="str">
        <f>IFERROR(__xludf.DUMMYFUNCTION("""COMPUTED_VALUE"""),"Premium")</f>
        <v>Premium</v>
      </c>
      <c r="H479" s="265" t="str">
        <f>IFERROR(__xludf.DUMMYFUNCTION("""COMPUTED_VALUE"""),"Trả trước")</f>
        <v>Trả trước</v>
      </c>
      <c r="I479" s="265" t="str">
        <f>IFERROR(__xludf.DUMMYFUNCTION("""COMPUTED_VALUE"""),"API &amp; Portal")</f>
        <v>API &amp; Portal</v>
      </c>
      <c r="J479" s="265" t="str">
        <f>IFERROR(__xludf.DUMMYFUNCTION("""COMPUTED_VALUE"""),"Zalo ZNS")</f>
        <v>Zalo ZNS</v>
      </c>
    </row>
    <row r="480">
      <c r="A480" s="265" t="str">
        <f>IFERROR(__xludf.DUMMYFUNCTION("""COMPUTED_VALUE"""),"772")</f>
        <v>772</v>
      </c>
      <c r="B480" s="265" t="str">
        <f>IFERROR(__xludf.DUMMYFUNCTION("""COMPUTED_VALUE"""),"Sài Gòn")</f>
        <v>Sài Gòn</v>
      </c>
      <c r="C480" s="265" t="str">
        <f>IFERROR(__xludf.DUMMYFUNCTION("""COMPUTED_VALUE"""),"Locked")</f>
        <v>Locked</v>
      </c>
      <c r="D480" s="265" t="str">
        <f>IFERROR(__xludf.DUMMYFUNCTION("""COMPUTED_VALUE"""),"Sale chưa cung cấp")</f>
        <v>Sale chưa cung cấp</v>
      </c>
      <c r="E480" s="265" t="str">
        <f>IFERROR(__xludf.DUMMYFUNCTION("""COMPUTED_VALUE"""),"HoaNTM")</f>
        <v>HoaNTM</v>
      </c>
      <c r="F480" s="265" t="str">
        <f>IFERROR(__xludf.DUMMYFUNCTION("""COMPUTED_VALUE"""),"Sale chưa cung cấp")</f>
        <v>Sale chưa cung cấp</v>
      </c>
      <c r="G480" s="265" t="str">
        <f>IFERROR(__xludf.DUMMYFUNCTION("""COMPUTED_VALUE"""),"Premium")</f>
        <v>Premium</v>
      </c>
      <c r="H480" s="265" t="str">
        <f>IFERROR(__xludf.DUMMYFUNCTION("""COMPUTED_VALUE"""),"Trial")</f>
        <v>Trial</v>
      </c>
      <c r="I480" s="265" t="str">
        <f>IFERROR(__xludf.DUMMYFUNCTION("""COMPUTED_VALUE"""),"API &amp; Portal")</f>
        <v>API &amp; Portal</v>
      </c>
      <c r="J480" s="265" t="str">
        <f>IFERROR(__xludf.DUMMYFUNCTION("""COMPUTED_VALUE"""),"GapOne")</f>
        <v>GapOne</v>
      </c>
    </row>
    <row r="481">
      <c r="A481" s="265" t="str">
        <f>IFERROR(__xludf.DUMMYFUNCTION("""COMPUTED_VALUE"""),"773")</f>
        <v>773</v>
      </c>
      <c r="B481" s="265" t="str">
        <f>IFERROR(__xludf.DUMMYFUNCTION("""COMPUTED_VALUE"""),"Sài Gòn")</f>
        <v>Sài Gòn</v>
      </c>
      <c r="C481" s="265" t="str">
        <f>IFERROR(__xludf.DUMMYFUNCTION("""COMPUTED_VALUE"""),"Locked")</f>
        <v>Locked</v>
      </c>
      <c r="D481" s="265" t="str">
        <f>IFERROR(__xludf.DUMMYFUNCTION("""COMPUTED_VALUE"""),"Thực phẩm &amp; Đồ uống")</f>
        <v>Thực phẩm &amp; Đồ uống</v>
      </c>
      <c r="E481" s="265" t="str">
        <f>IFERROR(__xludf.DUMMYFUNCTION("""COMPUTED_VALUE"""),"Không phân công")</f>
        <v>Không phân công</v>
      </c>
      <c r="F481" s="265" t="str">
        <f>IFERROR(__xludf.DUMMYFUNCTION("""COMPUTED_VALUE"""),"Sale chưa cung cấp")</f>
        <v>Sale chưa cung cấp</v>
      </c>
      <c r="G481" s="265" t="str">
        <f>IFERROR(__xludf.DUMMYFUNCTION("""COMPUTED_VALUE"""),"Starter")</f>
        <v>Starter</v>
      </c>
      <c r="H481" s="265" t="str">
        <f>IFERROR(__xludf.DUMMYFUNCTION("""COMPUTED_VALUE"""),"Trả sau")</f>
        <v>Trả sau</v>
      </c>
      <c r="I481" s="265" t="str">
        <f>IFERROR(__xludf.DUMMYFUNCTION("""COMPUTED_VALUE"""),"Portal")</f>
        <v>Portal</v>
      </c>
      <c r="J481" s="265" t="str">
        <f>IFERROR(__xludf.DUMMYFUNCTION("""COMPUTED_VALUE"""),"SMS CSKH")</f>
        <v>SMS CSKH</v>
      </c>
    </row>
    <row r="482">
      <c r="A482" s="265" t="str">
        <f>IFERROR(__xludf.DUMMYFUNCTION("""COMPUTED_VALUE"""),"774")</f>
        <v>774</v>
      </c>
      <c r="B482" s="265" t="str">
        <f>IFERROR(__xludf.DUMMYFUNCTION("""COMPUTED_VALUE"""),"Hà Nội")</f>
        <v>Hà Nội</v>
      </c>
      <c r="C482" s="265" t="str">
        <f>IFERROR(__xludf.DUMMYFUNCTION("""COMPUTED_VALUE"""),"Active")</f>
        <v>Active</v>
      </c>
      <c r="D482" s="265" t="str">
        <f>IFERROR(__xludf.DUMMYFUNCTION("""COMPUTED_VALUE"""),"Công nghệ &amp; Phần mềm")</f>
        <v>Công nghệ &amp; Phần mềm</v>
      </c>
      <c r="E482" s="265" t="str">
        <f>IFERROR(__xludf.DUMMYFUNCTION("""COMPUTED_VALUE"""),"AnhNM")</f>
        <v>AnhNM</v>
      </c>
      <c r="F482" s="265" t="str">
        <f>IFERROR(__xludf.DUMMYFUNCTION("""COMPUTED_VALUE"""),"Bronze")</f>
        <v>Bronze</v>
      </c>
      <c r="G482" s="265" t="str">
        <f>IFERROR(__xludf.DUMMYFUNCTION("""COMPUTED_VALUE"""),"Starter")</f>
        <v>Starter</v>
      </c>
      <c r="H482" s="265" t="str">
        <f>IFERROR(__xludf.DUMMYFUNCTION("""COMPUTED_VALUE"""),"Trả sau")</f>
        <v>Trả sau</v>
      </c>
      <c r="I482" s="265" t="str">
        <f>IFERROR(__xludf.DUMMYFUNCTION("""COMPUTED_VALUE"""),"Portal")</f>
        <v>Portal</v>
      </c>
      <c r="J482" s="265" t="str">
        <f>IFERROR(__xludf.DUMMYFUNCTION("""COMPUTED_VALUE"""),"SMS CSKH")</f>
        <v>SMS CSKH</v>
      </c>
    </row>
    <row r="483">
      <c r="A483" s="265" t="str">
        <f>IFERROR(__xludf.DUMMYFUNCTION("""COMPUTED_VALUE"""),"774")</f>
        <v>774</v>
      </c>
      <c r="B483" s="265" t="str">
        <f>IFERROR(__xludf.DUMMYFUNCTION("""COMPUTED_VALUE"""),"Hà Nội")</f>
        <v>Hà Nội</v>
      </c>
      <c r="C483" s="265" t="str">
        <f>IFERROR(__xludf.DUMMYFUNCTION("""COMPUTED_VALUE"""),"Active")</f>
        <v>Active</v>
      </c>
      <c r="D483" s="265" t="str">
        <f>IFERROR(__xludf.DUMMYFUNCTION("""COMPUTED_VALUE"""),"Công nghệ &amp; Phần mềm")</f>
        <v>Công nghệ &amp; Phần mềm</v>
      </c>
      <c r="E483" s="265" t="str">
        <f>IFERROR(__xludf.DUMMYFUNCTION("""COMPUTED_VALUE"""),"AnhNM")</f>
        <v>AnhNM</v>
      </c>
      <c r="F483" s="265" t="str">
        <f>IFERROR(__xludf.DUMMYFUNCTION("""COMPUTED_VALUE"""),"Bronze")</f>
        <v>Bronze</v>
      </c>
      <c r="G483" s="265" t="str">
        <f>IFERROR(__xludf.DUMMYFUNCTION("""COMPUTED_VALUE"""),"Starter")</f>
        <v>Starter</v>
      </c>
      <c r="H483" s="265" t="str">
        <f>IFERROR(__xludf.DUMMYFUNCTION("""COMPUTED_VALUE"""),"Trả sau")</f>
        <v>Trả sau</v>
      </c>
      <c r="I483" s="265" t="str">
        <f>IFERROR(__xludf.DUMMYFUNCTION("""COMPUTED_VALUE"""),"Portal")</f>
        <v>Portal</v>
      </c>
      <c r="J483" s="265" t="str">
        <f>IFERROR(__xludf.DUMMYFUNCTION("""COMPUTED_VALUE"""),"Zalo ZNS")</f>
        <v>Zalo ZNS</v>
      </c>
    </row>
    <row r="484">
      <c r="A484" s="265" t="str">
        <f>IFERROR(__xludf.DUMMYFUNCTION("""COMPUTED_VALUE"""),"775")</f>
        <v>775</v>
      </c>
      <c r="B484" s="265" t="str">
        <f>IFERROR(__xludf.DUMMYFUNCTION("""COMPUTED_VALUE"""),"Sài Gòn")</f>
        <v>Sài Gòn</v>
      </c>
      <c r="C484" s="265" t="str">
        <f>IFERROR(__xludf.DUMMYFUNCTION("""COMPUTED_VALUE"""),"Active")</f>
        <v>Active</v>
      </c>
      <c r="D484" s="265" t="str">
        <f>IFERROR(__xludf.DUMMYFUNCTION("""COMPUTED_VALUE"""),"Du lịch &amp; Lưu trú")</f>
        <v>Du lịch &amp; Lưu trú</v>
      </c>
      <c r="E484" s="265" t="str">
        <f>IFERROR(__xludf.DUMMYFUNCTION("""COMPUTED_VALUE"""),"Không phân công")</f>
        <v>Không phân công</v>
      </c>
      <c r="F484" s="265" t="str">
        <f>IFERROR(__xludf.DUMMYFUNCTION("""COMPUTED_VALUE"""),"Bronze")</f>
        <v>Bronze</v>
      </c>
      <c r="G484" s="265" t="str">
        <f>IFERROR(__xludf.DUMMYFUNCTION("""COMPUTED_VALUE"""),"Starter")</f>
        <v>Starter</v>
      </c>
      <c r="H484" s="265" t="str">
        <f>IFERROR(__xludf.DUMMYFUNCTION("""COMPUTED_VALUE"""),"Trả sau")</f>
        <v>Trả sau</v>
      </c>
      <c r="I484" s="265" t="str">
        <f>IFERROR(__xludf.DUMMYFUNCTION("""COMPUTED_VALUE"""),"Portal")</f>
        <v>Portal</v>
      </c>
      <c r="J484" s="265" t="str">
        <f>IFERROR(__xludf.DUMMYFUNCTION("""COMPUTED_VALUE"""),"SMS CSKH")</f>
        <v>SMS CSKH</v>
      </c>
    </row>
    <row r="485">
      <c r="A485" s="265" t="str">
        <f>IFERROR(__xludf.DUMMYFUNCTION("""COMPUTED_VALUE"""),"776")</f>
        <v>776</v>
      </c>
      <c r="B485" s="265" t="str">
        <f>IFERROR(__xludf.DUMMYFUNCTION("""COMPUTED_VALUE"""),"Sài Gòn")</f>
        <v>Sài Gòn</v>
      </c>
      <c r="C485" s="265" t="str">
        <f>IFERROR(__xludf.DUMMYFUNCTION("""COMPUTED_VALUE"""),"Active")</f>
        <v>Active</v>
      </c>
      <c r="D485" s="265" t="str">
        <f>IFERROR(__xludf.DUMMYFUNCTION("""COMPUTED_VALUE"""),"Du lịch &amp; Lưu trú")</f>
        <v>Du lịch &amp; Lưu trú</v>
      </c>
      <c r="E485" s="265" t="str">
        <f>IFERROR(__xludf.DUMMYFUNCTION("""COMPUTED_VALUE"""),"Không phân công")</f>
        <v>Không phân công</v>
      </c>
      <c r="F485" s="265" t="str">
        <f>IFERROR(__xludf.DUMMYFUNCTION("""COMPUTED_VALUE"""),"Bronze")</f>
        <v>Bronze</v>
      </c>
      <c r="G485" s="265" t="str">
        <f>IFERROR(__xludf.DUMMYFUNCTION("""COMPUTED_VALUE"""),"Starter")</f>
        <v>Starter</v>
      </c>
      <c r="H485" s="265" t="str">
        <f>IFERROR(__xludf.DUMMYFUNCTION("""COMPUTED_VALUE"""),"Trả sau")</f>
        <v>Trả sau</v>
      </c>
      <c r="I485" s="265" t="str">
        <f>IFERROR(__xludf.DUMMYFUNCTION("""COMPUTED_VALUE"""),"Portal")</f>
        <v>Portal</v>
      </c>
      <c r="J485" s="265" t="str">
        <f>IFERROR(__xludf.DUMMYFUNCTION("""COMPUTED_VALUE"""),"SMS CSKH")</f>
        <v>SMS CSKH</v>
      </c>
    </row>
    <row r="486">
      <c r="A486" s="265" t="str">
        <f>IFERROR(__xludf.DUMMYFUNCTION("""COMPUTED_VALUE"""),"777")</f>
        <v>777</v>
      </c>
      <c r="B486" s="265" t="str">
        <f>IFERROR(__xludf.DUMMYFUNCTION("""COMPUTED_VALUE"""),"Hà Nội")</f>
        <v>Hà Nội</v>
      </c>
      <c r="C486" s="265" t="str">
        <f>IFERROR(__xludf.DUMMYFUNCTION("""COMPUTED_VALUE"""),"Locked")</f>
        <v>Locked</v>
      </c>
      <c r="D486" s="265" t="str">
        <f>IFERROR(__xludf.DUMMYFUNCTION("""COMPUTED_VALUE"""),"Dịch vụ khác")</f>
        <v>Dịch vụ khác</v>
      </c>
      <c r="E486" s="265" t="str">
        <f>IFERROR(__xludf.DUMMYFUNCTION("""COMPUTED_VALUE"""),"PhươngDTB")</f>
        <v>PhươngDTB</v>
      </c>
      <c r="F486" s="265" t="str">
        <f>IFERROR(__xludf.DUMMYFUNCTION("""COMPUTED_VALUE"""),"Sale chưa cung cấp")</f>
        <v>Sale chưa cung cấp</v>
      </c>
      <c r="G486" s="265" t="str">
        <f>IFERROR(__xludf.DUMMYFUNCTION("""COMPUTED_VALUE"""),"API")</f>
        <v>API</v>
      </c>
      <c r="H486" s="265" t="str">
        <f>IFERROR(__xludf.DUMMYFUNCTION("""COMPUTED_VALUE"""),"Trial")</f>
        <v>Trial</v>
      </c>
      <c r="I486" s="265" t="str">
        <f>IFERROR(__xludf.DUMMYFUNCTION("""COMPUTED_VALUE"""),"API")</f>
        <v>API</v>
      </c>
      <c r="J486" s="265" t="str">
        <f>IFERROR(__xludf.DUMMYFUNCTION("""COMPUTED_VALUE"""),"(Không recheck)")</f>
        <v>(Không recheck)</v>
      </c>
    </row>
    <row r="487">
      <c r="A487" s="265" t="str">
        <f>IFERROR(__xludf.DUMMYFUNCTION("""COMPUTED_VALUE"""),"778")</f>
        <v>778</v>
      </c>
      <c r="B487" s="265" t="str">
        <f>IFERROR(__xludf.DUMMYFUNCTION("""COMPUTED_VALUE"""),"Hà Nội")</f>
        <v>Hà Nội</v>
      </c>
      <c r="C487" s="265" t="str">
        <f>IFERROR(__xludf.DUMMYFUNCTION("""COMPUTED_VALUE"""),"Locked")</f>
        <v>Locked</v>
      </c>
      <c r="D487" s="265" t="str">
        <f>IFERROR(__xludf.DUMMYFUNCTION("""COMPUTED_VALUE"""),"Y tế &amp; Dược phẩm")</f>
        <v>Y tế &amp; Dược phẩm</v>
      </c>
      <c r="E487" s="265" t="str">
        <f>IFERROR(__xludf.DUMMYFUNCTION("""COMPUTED_VALUE"""),"TúPHN")</f>
        <v>TúPHN</v>
      </c>
      <c r="F487" s="265" t="str">
        <f>IFERROR(__xludf.DUMMYFUNCTION("""COMPUTED_VALUE"""),"Bronze")</f>
        <v>Bronze</v>
      </c>
      <c r="G487" s="265" t="str">
        <f>IFERROR(__xludf.DUMMYFUNCTION("""COMPUTED_VALUE"""),"Starter")</f>
        <v>Starter</v>
      </c>
      <c r="H487" s="265" t="str">
        <f>IFERROR(__xludf.DUMMYFUNCTION("""COMPUTED_VALUE"""),"Trả trước")</f>
        <v>Trả trước</v>
      </c>
      <c r="I487" s="265" t="str">
        <f>IFERROR(__xludf.DUMMYFUNCTION("""COMPUTED_VALUE"""),"API &amp; Portal")</f>
        <v>API &amp; Portal</v>
      </c>
      <c r="J487" s="265" t="str">
        <f>IFERROR(__xludf.DUMMYFUNCTION("""COMPUTED_VALUE"""),"Zalo ZNS")</f>
        <v>Zalo ZNS</v>
      </c>
    </row>
    <row r="488">
      <c r="A488" s="265" t="str">
        <f>IFERROR(__xludf.DUMMYFUNCTION("""COMPUTED_VALUE"""),"781")</f>
        <v>781</v>
      </c>
      <c r="B488" s="265" t="str">
        <f>IFERROR(__xludf.DUMMYFUNCTION("""COMPUTED_VALUE"""),"Sài Gòn")</f>
        <v>Sài Gòn</v>
      </c>
      <c r="C488" s="265" t="str">
        <f>IFERROR(__xludf.DUMMYFUNCTION("""COMPUTED_VALUE"""),"Active")</f>
        <v>Active</v>
      </c>
      <c r="D488" s="265" t="str">
        <f>IFERROR(__xludf.DUMMYFUNCTION("""COMPUTED_VALUE"""),"Giáo dục &amp; Đào tạo")</f>
        <v>Giáo dục &amp; Đào tạo</v>
      </c>
      <c r="E488" s="265" t="str">
        <f>IFERROR(__xludf.DUMMYFUNCTION("""COMPUTED_VALUE"""),"TúPHN")</f>
        <v>TúPHN</v>
      </c>
      <c r="F488" s="265" t="str">
        <f>IFERROR(__xludf.DUMMYFUNCTION("""COMPUTED_VALUE"""),"Silver")</f>
        <v>Silver</v>
      </c>
      <c r="G488" s="265" t="str">
        <f>IFERROR(__xludf.DUMMYFUNCTION("""COMPUTED_VALUE"""),"Starter")</f>
        <v>Starter</v>
      </c>
      <c r="H488" s="265" t="str">
        <f>IFERROR(__xludf.DUMMYFUNCTION("""COMPUTED_VALUE"""),"Trả sau")</f>
        <v>Trả sau</v>
      </c>
      <c r="I488" s="265" t="str">
        <f>IFERROR(__xludf.DUMMYFUNCTION("""COMPUTED_VALUE"""),"API")</f>
        <v>API</v>
      </c>
      <c r="J488" s="265" t="str">
        <f>IFERROR(__xludf.DUMMYFUNCTION("""COMPUTED_VALUE"""),"Zalo ZNS")</f>
        <v>Zalo ZNS</v>
      </c>
    </row>
    <row r="489">
      <c r="A489" s="265" t="str">
        <f>IFERROR(__xludf.DUMMYFUNCTION("""COMPUTED_VALUE"""),"678")</f>
        <v>678</v>
      </c>
      <c r="B489" s="265" t="str">
        <f>IFERROR(__xludf.DUMMYFUNCTION("""COMPUTED_VALUE"""),"Hà Nội")</f>
        <v>Hà Nội</v>
      </c>
      <c r="C489" s="265" t="str">
        <f>IFERROR(__xludf.DUMMYFUNCTION("""COMPUTED_VALUE"""),"Locked")</f>
        <v>Locked</v>
      </c>
      <c r="D489" s="265" t="str">
        <f>IFERROR(__xludf.DUMMYFUNCTION("""COMPUTED_VALUE"""),"Giáo dục &amp; Đào tạo")</f>
        <v>Giáo dục &amp; Đào tạo</v>
      </c>
      <c r="E489" s="265" t="str">
        <f>IFERROR(__xludf.DUMMYFUNCTION("""COMPUTED_VALUE"""),"TúPHN")</f>
        <v>TúPHN</v>
      </c>
      <c r="F489" s="265" t="str">
        <f>IFERROR(__xludf.DUMMYFUNCTION("""COMPUTED_VALUE"""),"Bronze")</f>
        <v>Bronze</v>
      </c>
      <c r="G489" s="265" t="str">
        <f>IFERROR(__xludf.DUMMYFUNCTION("""COMPUTED_VALUE"""),"Starter")</f>
        <v>Starter</v>
      </c>
      <c r="H489" s="265" t="str">
        <f>IFERROR(__xludf.DUMMYFUNCTION("""COMPUTED_VALUE"""),"Trả trước")</f>
        <v>Trả trước</v>
      </c>
      <c r="I489" s="265" t="str">
        <f>IFERROR(__xludf.DUMMYFUNCTION("""COMPUTED_VALUE"""),"Portal")</f>
        <v>Portal</v>
      </c>
      <c r="J489" s="265" t="str">
        <f>IFERROR(__xludf.DUMMYFUNCTION("""COMPUTED_VALUE"""),"Zalo ZNS")</f>
        <v>Zalo ZNS</v>
      </c>
    </row>
    <row r="490">
      <c r="A490" s="265" t="str">
        <f>IFERROR(__xludf.DUMMYFUNCTION("""COMPUTED_VALUE"""),"782")</f>
        <v>782</v>
      </c>
      <c r="B490" s="265" t="str">
        <f>IFERROR(__xludf.DUMMYFUNCTION("""COMPUTED_VALUE"""),"Sài Gòn")</f>
        <v>Sài Gòn</v>
      </c>
      <c r="C490" s="265" t="str">
        <f>IFERROR(__xludf.DUMMYFUNCTION("""COMPUTED_VALUE"""),"Locked")</f>
        <v>Locked</v>
      </c>
      <c r="D490" s="265" t="str">
        <f>IFERROR(__xludf.DUMMYFUNCTION("""COMPUTED_VALUE"""),"Dịch vụ khác")</f>
        <v>Dịch vụ khác</v>
      </c>
      <c r="E490" s="265" t="str">
        <f>IFERROR(__xludf.DUMMYFUNCTION("""COMPUTED_VALUE"""),"HoaNTM")</f>
        <v>HoaNTM</v>
      </c>
      <c r="F490" s="265" t="str">
        <f>IFERROR(__xludf.DUMMYFUNCTION("""COMPUTED_VALUE"""),"Sale chưa cung cấp")</f>
        <v>Sale chưa cung cấp</v>
      </c>
      <c r="G490" s="265" t="str">
        <f>IFERROR(__xludf.DUMMYFUNCTION("""COMPUTED_VALUE"""),"Enterprise")</f>
        <v>Enterprise</v>
      </c>
      <c r="H490" s="265" t="str">
        <f>IFERROR(__xludf.DUMMYFUNCTION("""COMPUTED_VALUE"""),"Trial")</f>
        <v>Trial</v>
      </c>
      <c r="I490" s="265" t="str">
        <f>IFERROR(__xludf.DUMMYFUNCTION("""COMPUTED_VALUE"""),"API &amp; Portal")</f>
        <v>API &amp; Portal</v>
      </c>
      <c r="J490" s="265" t="str">
        <f>IFERROR(__xludf.DUMMYFUNCTION("""COMPUTED_VALUE"""),"GapOne")</f>
        <v>GapOne</v>
      </c>
    </row>
    <row r="491">
      <c r="A491" s="265" t="str">
        <f>IFERROR(__xludf.DUMMYFUNCTION("""COMPUTED_VALUE"""),"783")</f>
        <v>783</v>
      </c>
      <c r="B491" s="265" t="str">
        <f>IFERROR(__xludf.DUMMYFUNCTION("""COMPUTED_VALUE"""),"Hà Nội")</f>
        <v>Hà Nội</v>
      </c>
      <c r="C491" s="265" t="str">
        <f>IFERROR(__xludf.DUMMYFUNCTION("""COMPUTED_VALUE"""),"Locked")</f>
        <v>Locked</v>
      </c>
      <c r="D491" s="265" t="str">
        <f>IFERROR(__xludf.DUMMYFUNCTION("""COMPUTED_VALUE"""),"Sale chưa cung cấp")</f>
        <v>Sale chưa cung cấp</v>
      </c>
      <c r="E491" s="265" t="str">
        <f>IFERROR(__xludf.DUMMYFUNCTION("""COMPUTED_VALUE"""),"PhươngDTB")</f>
        <v>PhươngDTB</v>
      </c>
      <c r="F491" s="265" t="str">
        <f>IFERROR(__xludf.DUMMYFUNCTION("""COMPUTED_VALUE"""),"Sale chưa cung cấp")</f>
        <v>Sale chưa cung cấp</v>
      </c>
      <c r="G491" s="265" t="str">
        <f>IFERROR(__xludf.DUMMYFUNCTION("""COMPUTED_VALUE"""),"API")</f>
        <v>API</v>
      </c>
      <c r="H491" s="265" t="str">
        <f>IFERROR(__xludf.DUMMYFUNCTION("""COMPUTED_VALUE"""),"Trial")</f>
        <v>Trial</v>
      </c>
      <c r="I491" s="265" t="str">
        <f>IFERROR(__xludf.DUMMYFUNCTION("""COMPUTED_VALUE"""),"API")</f>
        <v>API</v>
      </c>
      <c r="J491" s="265" t="str">
        <f>IFERROR(__xludf.DUMMYFUNCTION("""COMPUTED_VALUE"""),"Zalo ZNS")</f>
        <v>Zalo ZNS</v>
      </c>
    </row>
    <row r="492">
      <c r="A492" s="265" t="str">
        <f>IFERROR(__xludf.DUMMYFUNCTION("""COMPUTED_VALUE"""),"784")</f>
        <v>784</v>
      </c>
      <c r="B492" s="265" t="str">
        <f>IFERROR(__xludf.DUMMYFUNCTION("""COMPUTED_VALUE"""),"Sài Gòn")</f>
        <v>Sài Gòn</v>
      </c>
      <c r="C492" s="265" t="str">
        <f>IFERROR(__xludf.DUMMYFUNCTION("""COMPUTED_VALUE"""),"Active")</f>
        <v>Active</v>
      </c>
      <c r="D492" s="265" t="str">
        <f>IFERROR(__xludf.DUMMYFUNCTION("""COMPUTED_VALUE"""),"Dịch vụ khác")</f>
        <v>Dịch vụ khác</v>
      </c>
      <c r="E492" s="265" t="str">
        <f>IFERROR(__xludf.DUMMYFUNCTION("""COMPUTED_VALUE"""),"AnhNM")</f>
        <v>AnhNM</v>
      </c>
      <c r="F492" s="265" t="str">
        <f>IFERROR(__xludf.DUMMYFUNCTION("""COMPUTED_VALUE"""),"Silver")</f>
        <v>Silver</v>
      </c>
      <c r="G492" s="265" t="str">
        <f>IFERROR(__xludf.DUMMYFUNCTION("""COMPUTED_VALUE"""),"Starter")</f>
        <v>Starter</v>
      </c>
      <c r="H492" s="265" t="str">
        <f>IFERROR(__xludf.DUMMYFUNCTION("""COMPUTED_VALUE"""),"Trả sau")</f>
        <v>Trả sau</v>
      </c>
      <c r="I492" s="265" t="str">
        <f>IFERROR(__xludf.DUMMYFUNCTION("""COMPUTED_VALUE"""),"API")</f>
        <v>API</v>
      </c>
      <c r="J492" s="265" t="str">
        <f>IFERROR(__xludf.DUMMYFUNCTION("""COMPUTED_VALUE"""),"SMS CSKH")</f>
        <v>SMS CSKH</v>
      </c>
    </row>
    <row r="493">
      <c r="A493" s="265" t="str">
        <f>IFERROR(__xludf.DUMMYFUNCTION("""COMPUTED_VALUE"""),"784")</f>
        <v>784</v>
      </c>
      <c r="B493" s="265" t="str">
        <f>IFERROR(__xludf.DUMMYFUNCTION("""COMPUTED_VALUE"""),"Sài Gòn")</f>
        <v>Sài Gòn</v>
      </c>
      <c r="C493" s="265" t="str">
        <f>IFERROR(__xludf.DUMMYFUNCTION("""COMPUTED_VALUE"""),"Active")</f>
        <v>Active</v>
      </c>
      <c r="D493" s="265" t="str">
        <f>IFERROR(__xludf.DUMMYFUNCTION("""COMPUTED_VALUE"""),"Dịch vụ khác")</f>
        <v>Dịch vụ khác</v>
      </c>
      <c r="E493" s="265" t="str">
        <f>IFERROR(__xludf.DUMMYFUNCTION("""COMPUTED_VALUE"""),"AnhNM")</f>
        <v>AnhNM</v>
      </c>
      <c r="F493" s="265" t="str">
        <f>IFERROR(__xludf.DUMMYFUNCTION("""COMPUTED_VALUE"""),"Silver")</f>
        <v>Silver</v>
      </c>
      <c r="G493" s="265" t="str">
        <f>IFERROR(__xludf.DUMMYFUNCTION("""COMPUTED_VALUE"""),"Starter")</f>
        <v>Starter</v>
      </c>
      <c r="H493" s="265" t="str">
        <f>IFERROR(__xludf.DUMMYFUNCTION("""COMPUTED_VALUE"""),"Trả sau")</f>
        <v>Trả sau</v>
      </c>
      <c r="I493" s="265" t="str">
        <f>IFERROR(__xludf.DUMMYFUNCTION("""COMPUTED_VALUE"""),"API")</f>
        <v>API</v>
      </c>
      <c r="J493" s="265" t="str">
        <f>IFERROR(__xludf.DUMMYFUNCTION("""COMPUTED_VALUE"""),"Zalo ZNS")</f>
        <v>Zalo ZNS</v>
      </c>
    </row>
    <row r="494">
      <c r="A494" s="265" t="str">
        <f>IFERROR(__xludf.DUMMYFUNCTION("""COMPUTED_VALUE"""),"785")</f>
        <v>785</v>
      </c>
      <c r="B494" s="265" t="str">
        <f>IFERROR(__xludf.DUMMYFUNCTION("""COMPUTED_VALUE"""),"Hà Nội")</f>
        <v>Hà Nội</v>
      </c>
      <c r="C494" s="265" t="str">
        <f>IFERROR(__xludf.DUMMYFUNCTION("""COMPUTED_VALUE"""),"Active")</f>
        <v>Active</v>
      </c>
      <c r="D494" s="265" t="str">
        <f>IFERROR(__xludf.DUMMYFUNCTION("""COMPUTED_VALUE"""),"Vận tải &amp; logistics")</f>
        <v>Vận tải &amp; logistics</v>
      </c>
      <c r="E494" s="265" t="str">
        <f>IFERROR(__xludf.DUMMYFUNCTION("""COMPUTED_VALUE"""),"AnhNM")</f>
        <v>AnhNM</v>
      </c>
      <c r="F494" s="265" t="str">
        <f>IFERROR(__xludf.DUMMYFUNCTION("""COMPUTED_VALUE"""),"Sale chưa cung cấp")</f>
        <v>Sale chưa cung cấp</v>
      </c>
      <c r="G494" s="265" t="str">
        <f>IFERROR(__xludf.DUMMYFUNCTION("""COMPUTED_VALUE"""),"Starter")</f>
        <v>Starter</v>
      </c>
      <c r="H494" s="265" t="str">
        <f>IFERROR(__xludf.DUMMYFUNCTION("""COMPUTED_VALUE"""),"Trả trước")</f>
        <v>Trả trước</v>
      </c>
      <c r="I494" s="265" t="str">
        <f>IFERROR(__xludf.DUMMYFUNCTION("""COMPUTED_VALUE"""),"Portal")</f>
        <v>Portal</v>
      </c>
      <c r="J494" s="265" t="str">
        <f>IFERROR(__xludf.DUMMYFUNCTION("""COMPUTED_VALUE"""),"Zalo ZNS")</f>
        <v>Zalo ZNS</v>
      </c>
    </row>
    <row r="495">
      <c r="A495" s="265" t="str">
        <f>IFERROR(__xludf.DUMMYFUNCTION("""COMPUTED_VALUE"""),"786")</f>
        <v>786</v>
      </c>
      <c r="B495" s="265" t="str">
        <f>IFERROR(__xludf.DUMMYFUNCTION("""COMPUTED_VALUE"""),"Sài Gòn")</f>
        <v>Sài Gòn</v>
      </c>
      <c r="C495" s="265" t="str">
        <f>IFERROR(__xludf.DUMMYFUNCTION("""COMPUTED_VALUE"""),"Active")</f>
        <v>Active</v>
      </c>
      <c r="D495" s="265" t="str">
        <f>IFERROR(__xludf.DUMMYFUNCTION("""COMPUTED_VALUE"""),"Dịch vụ khác")</f>
        <v>Dịch vụ khác</v>
      </c>
      <c r="E495" s="265" t="str">
        <f>IFERROR(__xludf.DUMMYFUNCTION("""COMPUTED_VALUE"""),"AnhNM")</f>
        <v>AnhNM</v>
      </c>
      <c r="F495" s="265" t="str">
        <f>IFERROR(__xludf.DUMMYFUNCTION("""COMPUTED_VALUE"""),"Bronze")</f>
        <v>Bronze</v>
      </c>
      <c r="G495" s="265" t="str">
        <f>IFERROR(__xludf.DUMMYFUNCTION("""COMPUTED_VALUE"""),"Premium")</f>
        <v>Premium</v>
      </c>
      <c r="H495" s="265" t="str">
        <f>IFERROR(__xludf.DUMMYFUNCTION("""COMPUTED_VALUE"""),"Trả trước")</f>
        <v>Trả trước</v>
      </c>
      <c r="I495" s="265" t="str">
        <f>IFERROR(__xludf.DUMMYFUNCTION("""COMPUTED_VALUE"""),"API")</f>
        <v>API</v>
      </c>
      <c r="J495" s="265" t="str">
        <f>IFERROR(__xludf.DUMMYFUNCTION("""COMPUTED_VALUE"""),"Zalo ZNS")</f>
        <v>Zalo ZNS</v>
      </c>
    </row>
    <row r="496">
      <c r="A496" s="265" t="str">
        <f>IFERROR(__xludf.DUMMYFUNCTION("""COMPUTED_VALUE"""),"787")</f>
        <v>787</v>
      </c>
      <c r="B496" s="265" t="str">
        <f>IFERROR(__xludf.DUMMYFUNCTION("""COMPUTED_VALUE"""),"Hà Nội")</f>
        <v>Hà Nội</v>
      </c>
      <c r="C496" s="265" t="str">
        <f>IFERROR(__xludf.DUMMYFUNCTION("""COMPUTED_VALUE"""),"Locked")</f>
        <v>Locked</v>
      </c>
      <c r="D496" s="265" t="str">
        <f>IFERROR(__xludf.DUMMYFUNCTION("""COMPUTED_VALUE"""),"Truyền thông &amp; Giải trí")</f>
        <v>Truyền thông &amp; Giải trí</v>
      </c>
      <c r="E496" s="265" t="str">
        <f>IFERROR(__xludf.DUMMYFUNCTION("""COMPUTED_VALUE"""),"TúPHN")</f>
        <v>TúPHN</v>
      </c>
      <c r="F496" s="265" t="str">
        <f>IFERROR(__xludf.DUMMYFUNCTION("""COMPUTED_VALUE"""),"Gold")</f>
        <v>Gold</v>
      </c>
      <c r="G496" s="265" t="str">
        <f>IFERROR(__xludf.DUMMYFUNCTION("""COMPUTED_VALUE"""),"Starter")</f>
        <v>Starter</v>
      </c>
      <c r="H496" s="265" t="str">
        <f>IFERROR(__xludf.DUMMYFUNCTION("""COMPUTED_VALUE"""),"Trả sau")</f>
        <v>Trả sau</v>
      </c>
      <c r="I496" s="265" t="str">
        <f>IFERROR(__xludf.DUMMYFUNCTION("""COMPUTED_VALUE"""),"API")</f>
        <v>API</v>
      </c>
      <c r="J496" s="265" t="str">
        <f>IFERROR(__xludf.DUMMYFUNCTION("""COMPUTED_VALUE"""),"Tất cả")</f>
        <v>Tất cả</v>
      </c>
    </row>
    <row r="497">
      <c r="A497" s="265" t="str">
        <f>IFERROR(__xludf.DUMMYFUNCTION("""COMPUTED_VALUE"""),"789")</f>
        <v>789</v>
      </c>
      <c r="B497" s="265" t="str">
        <f>IFERROR(__xludf.DUMMYFUNCTION("""COMPUTED_VALUE"""),"Sài Gòn")</f>
        <v>Sài Gòn</v>
      </c>
      <c r="C497" s="265" t="str">
        <f>IFERROR(__xludf.DUMMYFUNCTION("""COMPUTED_VALUE"""),"Locked")</f>
        <v>Locked</v>
      </c>
      <c r="D497" s="265" t="str">
        <f>IFERROR(__xludf.DUMMYFUNCTION("""COMPUTED_VALUE"""),"Dịch vụ khác")</f>
        <v>Dịch vụ khác</v>
      </c>
      <c r="E497" s="265" t="str">
        <f>IFERROR(__xludf.DUMMYFUNCTION("""COMPUTED_VALUE"""),"PhươngDTB")</f>
        <v>PhươngDTB</v>
      </c>
      <c r="F497" s="265" t="str">
        <f>IFERROR(__xludf.DUMMYFUNCTION("""COMPUTED_VALUE"""),"Sale chưa cung cấp")</f>
        <v>Sale chưa cung cấp</v>
      </c>
      <c r="G497" s="265" t="str">
        <f>IFERROR(__xludf.DUMMYFUNCTION("""COMPUTED_VALUE"""),"Premium")</f>
        <v>Premium</v>
      </c>
      <c r="H497" s="265" t="str">
        <f>IFERROR(__xludf.DUMMYFUNCTION("""COMPUTED_VALUE"""),"Trả trước")</f>
        <v>Trả trước</v>
      </c>
      <c r="I497" s="265" t="str">
        <f>IFERROR(__xludf.DUMMYFUNCTION("""COMPUTED_VALUE"""),"API &amp; Portal")</f>
        <v>API &amp; Portal</v>
      </c>
      <c r="J497" s="265" t="str">
        <f>IFERROR(__xludf.DUMMYFUNCTION("""COMPUTED_VALUE"""),"Zalo ZNS")</f>
        <v>Zalo ZNS</v>
      </c>
    </row>
    <row r="498">
      <c r="A498" s="265" t="str">
        <f>IFERROR(__xludf.DUMMYFUNCTION("""COMPUTED_VALUE"""),"790")</f>
        <v>790</v>
      </c>
      <c r="B498" s="265" t="str">
        <f>IFERROR(__xludf.DUMMYFUNCTION("""COMPUTED_VALUE"""),"Hà Nội")</f>
        <v>Hà Nội</v>
      </c>
      <c r="C498" s="265" t="str">
        <f>IFERROR(__xludf.DUMMYFUNCTION("""COMPUTED_VALUE"""),"Locked")</f>
        <v>Locked</v>
      </c>
      <c r="D498" s="265" t="str">
        <f>IFERROR(__xludf.DUMMYFUNCTION("""COMPUTED_VALUE"""),"Mua sắm &amp; Bán lẻ")</f>
        <v>Mua sắm &amp; Bán lẻ</v>
      </c>
      <c r="E498" s="265" t="str">
        <f>IFERROR(__xludf.DUMMYFUNCTION("""COMPUTED_VALUE"""),"TùngLD")</f>
        <v>TùngLD</v>
      </c>
      <c r="F498" s="265" t="str">
        <f>IFERROR(__xludf.DUMMYFUNCTION("""COMPUTED_VALUE"""),"Sale chưa cung cấp")</f>
        <v>Sale chưa cung cấp</v>
      </c>
      <c r="G498" s="265" t="str">
        <f>IFERROR(__xludf.DUMMYFUNCTION("""COMPUTED_VALUE"""),"Premium")</f>
        <v>Premium</v>
      </c>
      <c r="H498" s="265" t="str">
        <f>IFERROR(__xludf.DUMMYFUNCTION("""COMPUTED_VALUE"""),"Trial")</f>
        <v>Trial</v>
      </c>
      <c r="I498" s="265" t="str">
        <f>IFERROR(__xludf.DUMMYFUNCTION("""COMPUTED_VALUE"""),"Portal")</f>
        <v>Portal</v>
      </c>
      <c r="J498" s="265" t="str">
        <f>IFERROR(__xludf.DUMMYFUNCTION("""COMPUTED_VALUE"""),"Zalo ZNS")</f>
        <v>Zalo ZNS</v>
      </c>
    </row>
    <row r="499">
      <c r="A499" s="265" t="str">
        <f>IFERROR(__xludf.DUMMYFUNCTION("""COMPUTED_VALUE"""),"None 4")</f>
        <v>None 4</v>
      </c>
      <c r="B499" s="265" t="str">
        <f>IFERROR(__xludf.DUMMYFUNCTION("""COMPUTED_VALUE"""),"Hà Nội")</f>
        <v>Hà Nội</v>
      </c>
      <c r="C499" s="265" t="str">
        <f>IFERROR(__xludf.DUMMYFUNCTION("""COMPUTED_VALUE"""),"Locked")</f>
        <v>Locked</v>
      </c>
      <c r="D499" s="265" t="str">
        <f>IFERROR(__xludf.DUMMYFUNCTION("""COMPUTED_VALUE"""),"Viễn thông")</f>
        <v>Viễn thông</v>
      </c>
      <c r="E499" s="265" t="str">
        <f>IFERROR(__xludf.DUMMYFUNCTION("""COMPUTED_VALUE"""),"TúPHN")</f>
        <v>TúPHN</v>
      </c>
      <c r="F499" s="265" t="str">
        <f>IFERROR(__xludf.DUMMYFUNCTION("""COMPUTED_VALUE"""),"Gold")</f>
        <v>Gold</v>
      </c>
      <c r="G499" s="265" t="str">
        <f>IFERROR(__xludf.DUMMYFUNCTION("""COMPUTED_VALUE"""),"None")</f>
        <v>None</v>
      </c>
      <c r="H499" s="265" t="str">
        <f>IFERROR(__xludf.DUMMYFUNCTION("""COMPUTED_VALUE"""),"Trả sau")</f>
        <v>Trả sau</v>
      </c>
      <c r="I499" s="265" t="str">
        <f>IFERROR(__xludf.DUMMYFUNCTION("""COMPUTED_VALUE"""),"API")</f>
        <v>API</v>
      </c>
      <c r="J499" s="265" t="str">
        <f>IFERROR(__xludf.DUMMYFUNCTION("""COMPUTED_VALUE"""),"Zalo ZNS")</f>
        <v>Zalo ZNS</v>
      </c>
    </row>
    <row r="500">
      <c r="A500" s="265" t="str">
        <f>IFERROR(__xludf.DUMMYFUNCTION("""COMPUTED_VALUE"""),"793")</f>
        <v>793</v>
      </c>
      <c r="B500" s="265" t="str">
        <f>IFERROR(__xludf.DUMMYFUNCTION("""COMPUTED_VALUE"""),"Hà Nội")</f>
        <v>Hà Nội</v>
      </c>
      <c r="C500" s="265" t="str">
        <f>IFERROR(__xludf.DUMMYFUNCTION("""COMPUTED_VALUE"""),"Locked")</f>
        <v>Locked</v>
      </c>
      <c r="D500" s="265" t="str">
        <f>IFERROR(__xludf.DUMMYFUNCTION("""COMPUTED_VALUE"""),"Mua sắm &amp; Bán lẻ")</f>
        <v>Mua sắm &amp; Bán lẻ</v>
      </c>
      <c r="E500" s="265" t="str">
        <f>IFERROR(__xludf.DUMMYFUNCTION("""COMPUTED_VALUE"""),"TùngLD")</f>
        <v>TùngLD</v>
      </c>
      <c r="F500" s="265" t="str">
        <f>IFERROR(__xludf.DUMMYFUNCTION("""COMPUTED_VALUE"""),"Bronze")</f>
        <v>Bronze</v>
      </c>
      <c r="G500" s="265" t="str">
        <f>IFERROR(__xludf.DUMMYFUNCTION("""COMPUTED_VALUE"""),"Starter")</f>
        <v>Starter</v>
      </c>
      <c r="H500" s="265" t="str">
        <f>IFERROR(__xludf.DUMMYFUNCTION("""COMPUTED_VALUE"""),"Trả trước")</f>
        <v>Trả trước</v>
      </c>
      <c r="I500" s="265" t="str">
        <f>IFERROR(__xludf.DUMMYFUNCTION("""COMPUTED_VALUE"""),"Portal")</f>
        <v>Portal</v>
      </c>
      <c r="J500" s="265" t="str">
        <f>IFERROR(__xludf.DUMMYFUNCTION("""COMPUTED_VALUE"""),"Zalo ZNS")</f>
        <v>Zalo ZNS</v>
      </c>
    </row>
    <row r="501">
      <c r="A501" s="265" t="str">
        <f>IFERROR(__xludf.DUMMYFUNCTION("""COMPUTED_VALUE"""),"792")</f>
        <v>792</v>
      </c>
      <c r="B501" s="265" t="str">
        <f>IFERROR(__xludf.DUMMYFUNCTION("""COMPUTED_VALUE"""),"Hà Nội")</f>
        <v>Hà Nội</v>
      </c>
      <c r="C501" s="265" t="str">
        <f>IFERROR(__xludf.DUMMYFUNCTION("""COMPUTED_VALUE"""),"Locked")</f>
        <v>Locked</v>
      </c>
      <c r="D501" s="265" t="str">
        <f>IFERROR(__xludf.DUMMYFUNCTION("""COMPUTED_VALUE"""),"Công nghệ &amp; Phần mềm")</f>
        <v>Công nghệ &amp; Phần mềm</v>
      </c>
      <c r="E501" s="265" t="str">
        <f>IFERROR(__xludf.DUMMYFUNCTION("""COMPUTED_VALUE"""),"TúPHN")</f>
        <v>TúPHN</v>
      </c>
      <c r="F501" s="265" t="str">
        <f>IFERROR(__xludf.DUMMYFUNCTION("""COMPUTED_VALUE"""),"Sale chưa cung cấp")</f>
        <v>Sale chưa cung cấp</v>
      </c>
      <c r="G501" s="265" t="str">
        <f>IFERROR(__xludf.DUMMYFUNCTION("""COMPUTED_VALUE"""),"Premium")</f>
        <v>Premium</v>
      </c>
      <c r="H501" s="265" t="str">
        <f>IFERROR(__xludf.DUMMYFUNCTION("""COMPUTED_VALUE"""),"Trial")</f>
        <v>Trial</v>
      </c>
      <c r="I501" s="265" t="str">
        <f>IFERROR(__xludf.DUMMYFUNCTION("""COMPUTED_VALUE"""),"Portal")</f>
        <v>Portal</v>
      </c>
      <c r="J501" s="265" t="str">
        <f>IFERROR(__xludf.DUMMYFUNCTION("""COMPUTED_VALUE"""),"Tất cả")</f>
        <v>Tất cả</v>
      </c>
    </row>
    <row r="502">
      <c r="A502" s="265" t="str">
        <f>IFERROR(__xludf.DUMMYFUNCTION("""COMPUTED_VALUE"""),"794")</f>
        <v>794</v>
      </c>
      <c r="B502" s="265" t="str">
        <f>IFERROR(__xludf.DUMMYFUNCTION("""COMPUTED_VALUE"""),"Hà Nội")</f>
        <v>Hà Nội</v>
      </c>
      <c r="C502" s="265" t="str">
        <f>IFERROR(__xludf.DUMMYFUNCTION("""COMPUTED_VALUE"""),"Locked")</f>
        <v>Locked</v>
      </c>
      <c r="D502" s="265" t="str">
        <f>IFERROR(__xludf.DUMMYFUNCTION("""COMPUTED_VALUE"""),"Ô tô &amp; Xe máy")</f>
        <v>Ô tô &amp; Xe máy</v>
      </c>
      <c r="E502" s="265" t="str">
        <f>IFERROR(__xludf.DUMMYFUNCTION("""COMPUTED_VALUE"""),"TúPHN")</f>
        <v>TúPHN</v>
      </c>
      <c r="F502" s="265" t="str">
        <f>IFERROR(__xludf.DUMMYFUNCTION("""COMPUTED_VALUE"""),"Bronze")</f>
        <v>Bronze</v>
      </c>
      <c r="G502" s="265" t="str">
        <f>IFERROR(__xludf.DUMMYFUNCTION("""COMPUTED_VALUE"""),"Starter")</f>
        <v>Starter</v>
      </c>
      <c r="H502" s="265" t="str">
        <f>IFERROR(__xludf.DUMMYFUNCTION("""COMPUTED_VALUE"""),"Trả sau")</f>
        <v>Trả sau</v>
      </c>
      <c r="I502" s="265" t="str">
        <f>IFERROR(__xludf.DUMMYFUNCTION("""COMPUTED_VALUE"""),"API")</f>
        <v>API</v>
      </c>
      <c r="J502" s="265" t="str">
        <f>IFERROR(__xludf.DUMMYFUNCTION("""COMPUTED_VALUE"""),"Zalo ZNS")</f>
        <v>Zalo ZNS</v>
      </c>
    </row>
    <row r="503">
      <c r="A503" s="265" t="str">
        <f>IFERROR(__xludf.DUMMYFUNCTION("""COMPUTED_VALUE"""),"796")</f>
        <v>796</v>
      </c>
      <c r="B503" s="265" t="str">
        <f>IFERROR(__xludf.DUMMYFUNCTION("""COMPUTED_VALUE"""),"Hà Nội")</f>
        <v>Hà Nội</v>
      </c>
      <c r="C503" s="265" t="str">
        <f>IFERROR(__xludf.DUMMYFUNCTION("""COMPUTED_VALUE"""),"Locked")</f>
        <v>Locked</v>
      </c>
      <c r="D503" s="265" t="str">
        <f>IFERROR(__xludf.DUMMYFUNCTION("""COMPUTED_VALUE"""),"Ô tô &amp; Xe máy")</f>
        <v>Ô tô &amp; Xe máy</v>
      </c>
      <c r="E503" s="265" t="str">
        <f>IFERROR(__xludf.DUMMYFUNCTION("""COMPUTED_VALUE"""),"TúPHN")</f>
        <v>TúPHN</v>
      </c>
      <c r="F503" s="265" t="str">
        <f>IFERROR(__xludf.DUMMYFUNCTION("""COMPUTED_VALUE"""),"Diamond")</f>
        <v>Diamond</v>
      </c>
      <c r="G503" s="265" t="str">
        <f>IFERROR(__xludf.DUMMYFUNCTION("""COMPUTED_VALUE"""),"Enterprise")</f>
        <v>Enterprise</v>
      </c>
      <c r="H503" s="265" t="str">
        <f>IFERROR(__xludf.DUMMYFUNCTION("""COMPUTED_VALUE"""),"Trial")</f>
        <v>Trial</v>
      </c>
      <c r="I503" s="265" t="str">
        <f>IFERROR(__xludf.DUMMYFUNCTION("""COMPUTED_VALUE"""),"API")</f>
        <v>API</v>
      </c>
      <c r="J503" s="265" t="str">
        <f>IFERROR(__xludf.DUMMYFUNCTION("""COMPUTED_VALUE"""),"SMS CSKH")</f>
        <v>SMS CSKH</v>
      </c>
    </row>
    <row r="504">
      <c r="A504" s="265" t="str">
        <f>IFERROR(__xludf.DUMMYFUNCTION("""COMPUTED_VALUE"""),"796")</f>
        <v>796</v>
      </c>
      <c r="B504" s="265" t="str">
        <f>IFERROR(__xludf.DUMMYFUNCTION("""COMPUTED_VALUE"""),"Hà Nội")</f>
        <v>Hà Nội</v>
      </c>
      <c r="C504" s="265" t="str">
        <f>IFERROR(__xludf.DUMMYFUNCTION("""COMPUTED_VALUE"""),"Locked")</f>
        <v>Locked</v>
      </c>
      <c r="D504" s="265" t="str">
        <f>IFERROR(__xludf.DUMMYFUNCTION("""COMPUTED_VALUE"""),"Ô tô &amp; Xe máy")</f>
        <v>Ô tô &amp; Xe máy</v>
      </c>
      <c r="E504" s="265" t="str">
        <f>IFERROR(__xludf.DUMMYFUNCTION("""COMPUTED_VALUE"""),"TúPHN")</f>
        <v>TúPHN</v>
      </c>
      <c r="F504" s="265" t="str">
        <f>IFERROR(__xludf.DUMMYFUNCTION("""COMPUTED_VALUE"""),"Diamond")</f>
        <v>Diamond</v>
      </c>
      <c r="G504" s="265" t="str">
        <f>IFERROR(__xludf.DUMMYFUNCTION("""COMPUTED_VALUE"""),"Enterprise")</f>
        <v>Enterprise</v>
      </c>
      <c r="H504" s="265" t="str">
        <f>IFERROR(__xludf.DUMMYFUNCTION("""COMPUTED_VALUE"""),"Trial")</f>
        <v>Trial</v>
      </c>
      <c r="I504" s="265" t="str">
        <f>IFERROR(__xludf.DUMMYFUNCTION("""COMPUTED_VALUE"""),"API")</f>
        <v>API</v>
      </c>
      <c r="J504" s="265" t="str">
        <f>IFERROR(__xludf.DUMMYFUNCTION("""COMPUTED_VALUE"""),"Zalo ZNS")</f>
        <v>Zalo ZNS</v>
      </c>
    </row>
    <row r="505">
      <c r="A505" s="265" t="str">
        <f>IFERROR(__xludf.DUMMYFUNCTION("""COMPUTED_VALUE"""),"795")</f>
        <v>795</v>
      </c>
      <c r="B505" s="265" t="str">
        <f>IFERROR(__xludf.DUMMYFUNCTION("""COMPUTED_VALUE"""),"Sài Gòn")</f>
        <v>Sài Gòn</v>
      </c>
      <c r="C505" s="265" t="str">
        <f>IFERROR(__xludf.DUMMYFUNCTION("""COMPUTED_VALUE"""),"Locked")</f>
        <v>Locked</v>
      </c>
      <c r="D505" s="265" t="str">
        <f>IFERROR(__xludf.DUMMYFUNCTION("""COMPUTED_VALUE"""),"Công nghệ &amp; Phần mềm")</f>
        <v>Công nghệ &amp; Phần mềm</v>
      </c>
      <c r="E505" s="265" t="str">
        <f>IFERROR(__xludf.DUMMYFUNCTION("""COMPUTED_VALUE"""),"HoaNTM")</f>
        <v>HoaNTM</v>
      </c>
      <c r="F505" s="265" t="str">
        <f>IFERROR(__xludf.DUMMYFUNCTION("""COMPUTED_VALUE"""),"Sale chưa cung cấp")</f>
        <v>Sale chưa cung cấp</v>
      </c>
      <c r="G505" s="265" t="str">
        <f>IFERROR(__xludf.DUMMYFUNCTION("""COMPUTED_VALUE"""),"Standard")</f>
        <v>Standard</v>
      </c>
      <c r="H505" s="265" t="str">
        <f>IFERROR(__xludf.DUMMYFUNCTION("""COMPUTED_VALUE"""),"Trial")</f>
        <v>Trial</v>
      </c>
      <c r="I505" s="265" t="str">
        <f>IFERROR(__xludf.DUMMYFUNCTION("""COMPUTED_VALUE"""),"API &amp; Portal")</f>
        <v>API &amp; Portal</v>
      </c>
      <c r="J505" s="265" t="str">
        <f>IFERROR(__xludf.DUMMYFUNCTION("""COMPUTED_VALUE"""),"Zalo ZNS")</f>
        <v>Zalo ZNS</v>
      </c>
    </row>
    <row r="506">
      <c r="A506" s="265" t="str">
        <f>IFERROR(__xludf.DUMMYFUNCTION("""COMPUTED_VALUE"""),"797")</f>
        <v>797</v>
      </c>
      <c r="B506" s="265" t="str">
        <f>IFERROR(__xludf.DUMMYFUNCTION("""COMPUTED_VALUE"""),"Hà Nội")</f>
        <v>Hà Nội</v>
      </c>
      <c r="C506" s="265" t="str">
        <f>IFERROR(__xludf.DUMMYFUNCTION("""COMPUTED_VALUE"""),"Locked")</f>
        <v>Locked</v>
      </c>
      <c r="D506" s="265" t="str">
        <f>IFERROR(__xludf.DUMMYFUNCTION("""COMPUTED_VALUE"""),"Ô tô &amp; Xe máy")</f>
        <v>Ô tô &amp; Xe máy</v>
      </c>
      <c r="E506" s="265" t="str">
        <f>IFERROR(__xludf.DUMMYFUNCTION("""COMPUTED_VALUE"""),"TúPHN")</f>
        <v>TúPHN</v>
      </c>
      <c r="F506" s="265" t="str">
        <f>IFERROR(__xludf.DUMMYFUNCTION("""COMPUTED_VALUE"""),"Silver")</f>
        <v>Silver</v>
      </c>
      <c r="G506" s="265" t="str">
        <f>IFERROR(__xludf.DUMMYFUNCTION("""COMPUTED_VALUE"""),"Starter")</f>
        <v>Starter</v>
      </c>
      <c r="H506" s="265" t="str">
        <f>IFERROR(__xludf.DUMMYFUNCTION("""COMPUTED_VALUE"""),"Trial")</f>
        <v>Trial</v>
      </c>
      <c r="I506" s="265" t="str">
        <f>IFERROR(__xludf.DUMMYFUNCTION("""COMPUTED_VALUE"""),"API")</f>
        <v>API</v>
      </c>
      <c r="J506" s="265" t="str">
        <f>IFERROR(__xludf.DUMMYFUNCTION("""COMPUTED_VALUE"""),"Zalo ZNS")</f>
        <v>Zalo ZNS</v>
      </c>
    </row>
    <row r="507">
      <c r="A507" s="265" t="str">
        <f>IFERROR(__xludf.DUMMYFUNCTION("""COMPUTED_VALUE"""),"798")</f>
        <v>798</v>
      </c>
      <c r="B507" s="265" t="str">
        <f>IFERROR(__xludf.DUMMYFUNCTION("""COMPUTED_VALUE"""),"Hà Nội")</f>
        <v>Hà Nội</v>
      </c>
      <c r="C507" s="265" t="str">
        <f>IFERROR(__xludf.DUMMYFUNCTION("""COMPUTED_VALUE"""),"Active")</f>
        <v>Active</v>
      </c>
      <c r="D507" s="265" t="str">
        <f>IFERROR(__xludf.DUMMYFUNCTION("""COMPUTED_VALUE"""),"Công nghệ &amp; Phần mềm")</f>
        <v>Công nghệ &amp; Phần mềm</v>
      </c>
      <c r="E507" s="265" t="str">
        <f>IFERROR(__xludf.DUMMYFUNCTION("""COMPUTED_VALUE"""),"TùngLD")</f>
        <v>TùngLD</v>
      </c>
      <c r="F507" s="265" t="str">
        <f>IFERROR(__xludf.DUMMYFUNCTION("""COMPUTED_VALUE"""),"Gold")</f>
        <v>Gold</v>
      </c>
      <c r="G507" s="265" t="str">
        <f>IFERROR(__xludf.DUMMYFUNCTION("""COMPUTED_VALUE"""),"Starter")</f>
        <v>Starter</v>
      </c>
      <c r="H507" s="265" t="str">
        <f>IFERROR(__xludf.DUMMYFUNCTION("""COMPUTED_VALUE"""),"Trả sau")</f>
        <v>Trả sau</v>
      </c>
      <c r="I507" s="265" t="str">
        <f>IFERROR(__xludf.DUMMYFUNCTION("""COMPUTED_VALUE"""),"API &amp; Portal")</f>
        <v>API &amp; Portal</v>
      </c>
      <c r="J507" s="265" t="str">
        <f>IFERROR(__xludf.DUMMYFUNCTION("""COMPUTED_VALUE"""),"SMS CSKH")</f>
        <v>SMS CSKH</v>
      </c>
    </row>
    <row r="508">
      <c r="A508" s="265" t="str">
        <f>IFERROR(__xludf.DUMMYFUNCTION("""COMPUTED_VALUE"""),"798")</f>
        <v>798</v>
      </c>
      <c r="B508" s="265" t="str">
        <f>IFERROR(__xludf.DUMMYFUNCTION("""COMPUTED_VALUE"""),"Hà Nội")</f>
        <v>Hà Nội</v>
      </c>
      <c r="C508" s="265" t="str">
        <f>IFERROR(__xludf.DUMMYFUNCTION("""COMPUTED_VALUE"""),"Active")</f>
        <v>Active</v>
      </c>
      <c r="D508" s="265" t="str">
        <f>IFERROR(__xludf.DUMMYFUNCTION("""COMPUTED_VALUE"""),"Công nghệ &amp; Phần mềm")</f>
        <v>Công nghệ &amp; Phần mềm</v>
      </c>
      <c r="E508" s="265" t="str">
        <f>IFERROR(__xludf.DUMMYFUNCTION("""COMPUTED_VALUE"""),"TùngLD")</f>
        <v>TùngLD</v>
      </c>
      <c r="F508" s="265" t="str">
        <f>IFERROR(__xludf.DUMMYFUNCTION("""COMPUTED_VALUE"""),"Gold")</f>
        <v>Gold</v>
      </c>
      <c r="G508" s="265" t="str">
        <f>IFERROR(__xludf.DUMMYFUNCTION("""COMPUTED_VALUE"""),"Starter")</f>
        <v>Starter</v>
      </c>
      <c r="H508" s="265" t="str">
        <f>IFERROR(__xludf.DUMMYFUNCTION("""COMPUTED_VALUE"""),"Trả sau")</f>
        <v>Trả sau</v>
      </c>
      <c r="I508" s="265" t="str">
        <f>IFERROR(__xludf.DUMMYFUNCTION("""COMPUTED_VALUE"""),"API &amp; Portal")</f>
        <v>API &amp; Portal</v>
      </c>
      <c r="J508" s="265" t="str">
        <f>IFERROR(__xludf.DUMMYFUNCTION("""COMPUTED_VALUE"""),"Zalo ZNS")</f>
        <v>Zalo ZNS</v>
      </c>
    </row>
    <row r="509">
      <c r="A509" s="265" t="str">
        <f>IFERROR(__xludf.DUMMYFUNCTION("""COMPUTED_VALUE"""),"757")</f>
        <v>757</v>
      </c>
      <c r="B509" s="265" t="str">
        <f>IFERROR(__xludf.DUMMYFUNCTION("""COMPUTED_VALUE"""),"Hà Nội")</f>
        <v>Hà Nội</v>
      </c>
      <c r="C509" s="265" t="str">
        <f>IFERROR(__xludf.DUMMYFUNCTION("""COMPUTED_VALUE"""),"Active")</f>
        <v>Active</v>
      </c>
      <c r="D509" s="265" t="str">
        <f>IFERROR(__xludf.DUMMYFUNCTION("""COMPUTED_VALUE"""),"Vận tải &amp; logistics")</f>
        <v>Vận tải &amp; logistics</v>
      </c>
      <c r="E509" s="265" t="str">
        <f>IFERROR(__xludf.DUMMYFUNCTION("""COMPUTED_VALUE"""),"AnhNM")</f>
        <v>AnhNM</v>
      </c>
      <c r="F509" s="265" t="str">
        <f>IFERROR(__xludf.DUMMYFUNCTION("""COMPUTED_VALUE"""),"Sale chưa cung cấp")</f>
        <v>Sale chưa cung cấp</v>
      </c>
      <c r="G509" s="265" t="str">
        <f>IFERROR(__xludf.DUMMYFUNCTION("""COMPUTED_VALUE"""),"Starter")</f>
        <v>Starter</v>
      </c>
      <c r="H509" s="265" t="str">
        <f>IFERROR(__xludf.DUMMYFUNCTION("""COMPUTED_VALUE"""),"Trả sau")</f>
        <v>Trả sau</v>
      </c>
      <c r="I509" s="265" t="str">
        <f>IFERROR(__xludf.DUMMYFUNCTION("""COMPUTED_VALUE"""),"API")</f>
        <v>API</v>
      </c>
      <c r="J509" s="265" t="str">
        <f>IFERROR(__xludf.DUMMYFUNCTION("""COMPUTED_VALUE"""),"Zalo ZNS")</f>
        <v>Zalo ZNS</v>
      </c>
    </row>
    <row r="510">
      <c r="A510" s="265" t="str">
        <f>IFERROR(__xludf.DUMMYFUNCTION("""COMPUTED_VALUE"""),"799")</f>
        <v>799</v>
      </c>
      <c r="B510" s="265" t="str">
        <f>IFERROR(__xludf.DUMMYFUNCTION("""COMPUTED_VALUE"""),"Hà Nội")</f>
        <v>Hà Nội</v>
      </c>
      <c r="C510" s="265" t="str">
        <f>IFERROR(__xludf.DUMMYFUNCTION("""COMPUTED_VALUE"""),"Locked")</f>
        <v>Locked</v>
      </c>
      <c r="D510" s="265" t="str">
        <f>IFERROR(__xludf.DUMMYFUNCTION("""COMPUTED_VALUE"""),"Sale chưa cung cấp")</f>
        <v>Sale chưa cung cấp</v>
      </c>
      <c r="E510" s="265" t="str">
        <f>IFERROR(__xludf.DUMMYFUNCTION("""COMPUTED_VALUE"""),"HangNT")</f>
        <v>HangNT</v>
      </c>
      <c r="F510" s="265" t="str">
        <f>IFERROR(__xludf.DUMMYFUNCTION("""COMPUTED_VALUE"""),"Sale chưa cung cấp")</f>
        <v>Sale chưa cung cấp</v>
      </c>
      <c r="G510" s="265" t="str">
        <f>IFERROR(__xludf.DUMMYFUNCTION("""COMPUTED_VALUE"""),"Premium")</f>
        <v>Premium</v>
      </c>
      <c r="H510" s="265" t="str">
        <f>IFERROR(__xludf.DUMMYFUNCTION("""COMPUTED_VALUE"""),"Trial")</f>
        <v>Trial</v>
      </c>
      <c r="I510" s="265" t="str">
        <f>IFERROR(__xludf.DUMMYFUNCTION("""COMPUTED_VALUE"""),"Portal")</f>
        <v>Portal</v>
      </c>
      <c r="J510" s="265" t="str">
        <f>IFERROR(__xludf.DUMMYFUNCTION("""COMPUTED_VALUE"""),"Zalo ZNS")</f>
        <v>Zalo ZNS</v>
      </c>
    </row>
    <row r="511">
      <c r="A511" s="265" t="str">
        <f>IFERROR(__xludf.DUMMYFUNCTION("""COMPUTED_VALUE"""),"800")</f>
        <v>800</v>
      </c>
      <c r="B511" s="265" t="str">
        <f>IFERROR(__xludf.DUMMYFUNCTION("""COMPUTED_VALUE"""),"Hà Nội")</f>
        <v>Hà Nội</v>
      </c>
      <c r="C511" s="265" t="str">
        <f>IFERROR(__xludf.DUMMYFUNCTION("""COMPUTED_VALUE"""),"Active")</f>
        <v>Active</v>
      </c>
      <c r="D511" s="265" t="str">
        <f>IFERROR(__xludf.DUMMYFUNCTION("""COMPUTED_VALUE"""),"Vận tải &amp; logistics")</f>
        <v>Vận tải &amp; logistics</v>
      </c>
      <c r="E511" s="265" t="str">
        <f>IFERROR(__xludf.DUMMYFUNCTION("""COMPUTED_VALUE"""),"TúPHN")</f>
        <v>TúPHN</v>
      </c>
      <c r="F511" s="265" t="str">
        <f>IFERROR(__xludf.DUMMYFUNCTION("""COMPUTED_VALUE"""),"Gold")</f>
        <v>Gold</v>
      </c>
      <c r="G511" s="265" t="str">
        <f>IFERROR(__xludf.DUMMYFUNCTION("""COMPUTED_VALUE"""),"Starter")</f>
        <v>Starter</v>
      </c>
      <c r="H511" s="265" t="str">
        <f>IFERROR(__xludf.DUMMYFUNCTION("""COMPUTED_VALUE"""),"Trả sau")</f>
        <v>Trả sau</v>
      </c>
      <c r="I511" s="265" t="str">
        <f>IFERROR(__xludf.DUMMYFUNCTION("""COMPUTED_VALUE"""),"API &amp; Portal")</f>
        <v>API &amp; Portal</v>
      </c>
      <c r="J511" s="265" t="str">
        <f>IFERROR(__xludf.DUMMYFUNCTION("""COMPUTED_VALUE"""),"Zalo ZNS")</f>
        <v>Zalo ZNS</v>
      </c>
    </row>
    <row r="512">
      <c r="A512" s="265" t="str">
        <f>IFERROR(__xludf.DUMMYFUNCTION("""COMPUTED_VALUE"""),"802")</f>
        <v>802</v>
      </c>
      <c r="B512" s="265" t="str">
        <f>IFERROR(__xludf.DUMMYFUNCTION("""COMPUTED_VALUE"""),"Sài Gòn")</f>
        <v>Sài Gòn</v>
      </c>
      <c r="C512" s="265" t="str">
        <f>IFERROR(__xludf.DUMMYFUNCTION("""COMPUTED_VALUE"""),"Active")</f>
        <v>Active</v>
      </c>
      <c r="D512" s="265" t="str">
        <f>IFERROR(__xludf.DUMMYFUNCTION("""COMPUTED_VALUE"""),"Dịch vụ khác")</f>
        <v>Dịch vụ khác</v>
      </c>
      <c r="E512" s="265" t="str">
        <f>IFERROR(__xludf.DUMMYFUNCTION("""COMPUTED_VALUE"""),"TúPHN")</f>
        <v>TúPHN</v>
      </c>
      <c r="F512" s="265" t="str">
        <f>IFERROR(__xludf.DUMMYFUNCTION("""COMPUTED_VALUE"""),"Silver")</f>
        <v>Silver</v>
      </c>
      <c r="G512" s="265" t="str">
        <f>IFERROR(__xludf.DUMMYFUNCTION("""COMPUTED_VALUE"""),"Standard")</f>
        <v>Standard</v>
      </c>
      <c r="H512" s="265" t="str">
        <f>IFERROR(__xludf.DUMMYFUNCTION("""COMPUTED_VALUE"""),"Trả trước")</f>
        <v>Trả trước</v>
      </c>
      <c r="I512" s="265" t="str">
        <f>IFERROR(__xludf.DUMMYFUNCTION("""COMPUTED_VALUE"""),"Portal")</f>
        <v>Portal</v>
      </c>
      <c r="J512" s="265" t="str">
        <f>IFERROR(__xludf.DUMMYFUNCTION("""COMPUTED_VALUE"""),"Zalo ZNS")</f>
        <v>Zalo ZNS</v>
      </c>
    </row>
    <row r="513">
      <c r="A513" s="265" t="str">
        <f>IFERROR(__xludf.DUMMYFUNCTION("""COMPUTED_VALUE"""),"803")</f>
        <v>803</v>
      </c>
      <c r="B513" s="265" t="str">
        <f>IFERROR(__xludf.DUMMYFUNCTION("""COMPUTED_VALUE"""),"Sài Gòn")</f>
        <v>Sài Gòn</v>
      </c>
      <c r="C513" s="265" t="str">
        <f>IFERROR(__xludf.DUMMYFUNCTION("""COMPUTED_VALUE"""),"Locked")</f>
        <v>Locked</v>
      </c>
      <c r="D513" s="265" t="str">
        <f>IFERROR(__xludf.DUMMYFUNCTION("""COMPUTED_VALUE"""),"Thực phẩm &amp; Đồ uống")</f>
        <v>Thực phẩm &amp; Đồ uống</v>
      </c>
      <c r="E513" s="265" t="str">
        <f>IFERROR(__xludf.DUMMYFUNCTION("""COMPUTED_VALUE"""),"HoaNTM")</f>
        <v>HoaNTM</v>
      </c>
      <c r="F513" s="265" t="str">
        <f>IFERROR(__xludf.DUMMYFUNCTION("""COMPUTED_VALUE"""),"Sale chưa cung cấp")</f>
        <v>Sale chưa cung cấp</v>
      </c>
      <c r="G513" s="265" t="str">
        <f>IFERROR(__xludf.DUMMYFUNCTION("""COMPUTED_VALUE"""),"Enterprise")</f>
        <v>Enterprise</v>
      </c>
      <c r="H513" s="265" t="str">
        <f>IFERROR(__xludf.DUMMYFUNCTION("""COMPUTED_VALUE"""),"Trả sau")</f>
        <v>Trả sau</v>
      </c>
      <c r="I513" s="265" t="str">
        <f>IFERROR(__xludf.DUMMYFUNCTION("""COMPUTED_VALUE"""),"Portal")</f>
        <v>Portal</v>
      </c>
      <c r="J513" s="265" t="str">
        <f>IFERROR(__xludf.DUMMYFUNCTION("""COMPUTED_VALUE"""),"Zalo ZNS")</f>
        <v>Zalo ZNS</v>
      </c>
    </row>
    <row r="514">
      <c r="A514" s="265" t="str">
        <f>IFERROR(__xludf.DUMMYFUNCTION("""COMPUTED_VALUE"""),"804")</f>
        <v>804</v>
      </c>
      <c r="B514" s="265" t="str">
        <f>IFERROR(__xludf.DUMMYFUNCTION("""COMPUTED_VALUE"""),"Sài Gòn")</f>
        <v>Sài Gòn</v>
      </c>
      <c r="C514" s="265" t="str">
        <f>IFERROR(__xludf.DUMMYFUNCTION("""COMPUTED_VALUE"""),"Active")</f>
        <v>Active</v>
      </c>
      <c r="D514" s="265" t="str">
        <f>IFERROR(__xludf.DUMMYFUNCTION("""COMPUTED_VALUE"""),"Mỹ phẩm &amp; Làm đẹp")</f>
        <v>Mỹ phẩm &amp; Làm đẹp</v>
      </c>
      <c r="E514" s="265" t="str">
        <f>IFERROR(__xludf.DUMMYFUNCTION("""COMPUTED_VALUE"""),"TùngLD")</f>
        <v>TùngLD</v>
      </c>
      <c r="F514" s="265" t="str">
        <f>IFERROR(__xludf.DUMMYFUNCTION("""COMPUTED_VALUE"""),"Silver")</f>
        <v>Silver</v>
      </c>
      <c r="G514" s="265" t="str">
        <f>IFERROR(__xludf.DUMMYFUNCTION("""COMPUTED_VALUE"""),"Premium")</f>
        <v>Premium</v>
      </c>
      <c r="H514" s="265" t="str">
        <f>IFERROR(__xludf.DUMMYFUNCTION("""COMPUTED_VALUE"""),"Trả trước")</f>
        <v>Trả trước</v>
      </c>
      <c r="I514" s="265" t="str">
        <f>IFERROR(__xludf.DUMMYFUNCTION("""COMPUTED_VALUE"""),"Portal")</f>
        <v>Portal</v>
      </c>
      <c r="J514" s="265" t="str">
        <f>IFERROR(__xludf.DUMMYFUNCTION("""COMPUTED_VALUE"""),"Zalo ZNS")</f>
        <v>Zalo ZNS</v>
      </c>
    </row>
    <row r="515">
      <c r="A515" s="265" t="str">
        <f>IFERROR(__xludf.DUMMYFUNCTION("""COMPUTED_VALUE"""),"805")</f>
        <v>805</v>
      </c>
      <c r="B515" s="265" t="str">
        <f>IFERROR(__xludf.DUMMYFUNCTION("""COMPUTED_VALUE"""),"Hà Nội")</f>
        <v>Hà Nội</v>
      </c>
      <c r="C515" s="265" t="str">
        <f>IFERROR(__xludf.DUMMYFUNCTION("""COMPUTED_VALUE"""),"Locked")</f>
        <v>Locked</v>
      </c>
      <c r="D515" s="265" t="str">
        <f>IFERROR(__xludf.DUMMYFUNCTION("""COMPUTED_VALUE"""),"Sale chưa cung cấp")</f>
        <v>Sale chưa cung cấp</v>
      </c>
      <c r="E515" s="265" t="str">
        <f>IFERROR(__xludf.DUMMYFUNCTION("""COMPUTED_VALUE"""),"TùngLD")</f>
        <v>TùngLD</v>
      </c>
      <c r="F515" s="265" t="str">
        <f>IFERROR(__xludf.DUMMYFUNCTION("""COMPUTED_VALUE"""),"Sale chưa cung cấp")</f>
        <v>Sale chưa cung cấp</v>
      </c>
      <c r="G515" s="265" t="str">
        <f>IFERROR(__xludf.DUMMYFUNCTION("""COMPUTED_VALUE"""),"Enterprise")</f>
        <v>Enterprise</v>
      </c>
      <c r="H515" s="265" t="str">
        <f>IFERROR(__xludf.DUMMYFUNCTION("""COMPUTED_VALUE"""),"Trả sau")</f>
        <v>Trả sau</v>
      </c>
      <c r="I515" s="265" t="str">
        <f>IFERROR(__xludf.DUMMYFUNCTION("""COMPUTED_VALUE"""),"Portal")</f>
        <v>Portal</v>
      </c>
      <c r="J515" s="265" t="str">
        <f>IFERROR(__xludf.DUMMYFUNCTION("""COMPUTED_VALUE"""),"Tất cả")</f>
        <v>Tất cả</v>
      </c>
    </row>
    <row r="516">
      <c r="A516" s="265" t="str">
        <f>IFERROR(__xludf.DUMMYFUNCTION("""COMPUTED_VALUE"""),"806")</f>
        <v>806</v>
      </c>
      <c r="B516" s="265" t="str">
        <f>IFERROR(__xludf.DUMMYFUNCTION("""COMPUTED_VALUE"""),"Hà Nội")</f>
        <v>Hà Nội</v>
      </c>
      <c r="C516" s="265" t="str">
        <f>IFERROR(__xludf.DUMMYFUNCTION("""COMPUTED_VALUE"""),"Locked")</f>
        <v>Locked</v>
      </c>
      <c r="D516" s="265" t="str">
        <f>IFERROR(__xludf.DUMMYFUNCTION("""COMPUTED_VALUE"""),"Sale chưa cung cấp")</f>
        <v>Sale chưa cung cấp</v>
      </c>
      <c r="E516" s="265" t="str">
        <f>IFERROR(__xludf.DUMMYFUNCTION("""COMPUTED_VALUE"""),"TùngLD")</f>
        <v>TùngLD</v>
      </c>
      <c r="F516" s="265" t="str">
        <f>IFERROR(__xludf.DUMMYFUNCTION("""COMPUTED_VALUE"""),"Sale chưa cung cấp")</f>
        <v>Sale chưa cung cấp</v>
      </c>
      <c r="G516" s="265" t="str">
        <f>IFERROR(__xludf.DUMMYFUNCTION("""COMPUTED_VALUE"""),"Enterprise")</f>
        <v>Enterprise</v>
      </c>
      <c r="H516" s="265" t="str">
        <f>IFERROR(__xludf.DUMMYFUNCTION("""COMPUTED_VALUE"""),"Trả sau")</f>
        <v>Trả sau</v>
      </c>
      <c r="I516" s="265" t="str">
        <f>IFERROR(__xludf.DUMMYFUNCTION("""COMPUTED_VALUE"""),"Portal")</f>
        <v>Portal</v>
      </c>
      <c r="J516" s="265" t="str">
        <f>IFERROR(__xludf.DUMMYFUNCTION("""COMPUTED_VALUE"""),"Tất cả")</f>
        <v>Tất cả</v>
      </c>
    </row>
    <row r="517">
      <c r="A517" s="265" t="str">
        <f>IFERROR(__xludf.DUMMYFUNCTION("""COMPUTED_VALUE"""),"808")</f>
        <v>808</v>
      </c>
      <c r="B517" s="265" t="str">
        <f>IFERROR(__xludf.DUMMYFUNCTION("""COMPUTED_VALUE"""),"Sài Gòn")</f>
        <v>Sài Gòn</v>
      </c>
      <c r="C517" s="265" t="str">
        <f>IFERROR(__xludf.DUMMYFUNCTION("""COMPUTED_VALUE"""),"Active")</f>
        <v>Active</v>
      </c>
      <c r="D517" s="265" t="str">
        <f>IFERROR(__xludf.DUMMYFUNCTION("""COMPUTED_VALUE"""),"Truyền thông &amp; Giải trí")</f>
        <v>Truyền thông &amp; Giải trí</v>
      </c>
      <c r="E517" s="265" t="str">
        <f>IFERROR(__xludf.DUMMYFUNCTION("""COMPUTED_VALUE"""),"TúPHN")</f>
        <v>TúPHN</v>
      </c>
      <c r="F517" s="265" t="str">
        <f>IFERROR(__xludf.DUMMYFUNCTION("""COMPUTED_VALUE"""),"Bronze")</f>
        <v>Bronze</v>
      </c>
      <c r="G517" s="265" t="str">
        <f>IFERROR(__xludf.DUMMYFUNCTION("""COMPUTED_VALUE"""),"Starter")</f>
        <v>Starter</v>
      </c>
      <c r="H517" s="265" t="str">
        <f>IFERROR(__xludf.DUMMYFUNCTION("""COMPUTED_VALUE"""),"Trả sau")</f>
        <v>Trả sau</v>
      </c>
      <c r="I517" s="265" t="str">
        <f>IFERROR(__xludf.DUMMYFUNCTION("""COMPUTED_VALUE"""),"API")</f>
        <v>API</v>
      </c>
      <c r="J517" s="265" t="str">
        <f>IFERROR(__xludf.DUMMYFUNCTION("""COMPUTED_VALUE"""),"Zalo ZNS")</f>
        <v>Zalo ZNS</v>
      </c>
    </row>
    <row r="518">
      <c r="A518" s="265" t="str">
        <f>IFERROR(__xludf.DUMMYFUNCTION("""COMPUTED_VALUE"""),"807")</f>
        <v>807</v>
      </c>
      <c r="B518" s="265" t="str">
        <f>IFERROR(__xludf.DUMMYFUNCTION("""COMPUTED_VALUE"""),"Hà Nội")</f>
        <v>Hà Nội</v>
      </c>
      <c r="C518" s="265" t="str">
        <f>IFERROR(__xludf.DUMMYFUNCTION("""COMPUTED_VALUE"""),"Active")</f>
        <v>Active</v>
      </c>
      <c r="D518" s="265" t="str">
        <f>IFERROR(__xludf.DUMMYFUNCTION("""COMPUTED_VALUE"""),"Công nghệ &amp; Phần mềm")</f>
        <v>Công nghệ &amp; Phần mềm</v>
      </c>
      <c r="E518" s="265" t="str">
        <f>IFERROR(__xludf.DUMMYFUNCTION("""COMPUTED_VALUE"""),"Không phân công")</f>
        <v>Không phân công</v>
      </c>
      <c r="F518" s="265" t="str">
        <f>IFERROR(__xludf.DUMMYFUNCTION("""COMPUTED_VALUE"""),"Silver")</f>
        <v>Silver</v>
      </c>
      <c r="G518" s="265" t="str">
        <f>IFERROR(__xludf.DUMMYFUNCTION("""COMPUTED_VALUE"""),"API")</f>
        <v>API</v>
      </c>
      <c r="H518" s="265" t="str">
        <f>IFERROR(__xludf.DUMMYFUNCTION("""COMPUTED_VALUE"""),"Trả sau")</f>
        <v>Trả sau</v>
      </c>
      <c r="I518" s="265" t="str">
        <f>IFERROR(__xludf.DUMMYFUNCTION("""COMPUTED_VALUE"""),"API")</f>
        <v>API</v>
      </c>
      <c r="J518" s="265" t="str">
        <f>IFERROR(__xludf.DUMMYFUNCTION("""COMPUTED_VALUE"""),"SMS CSKH")</f>
        <v>SMS CSKH</v>
      </c>
    </row>
    <row r="519">
      <c r="A519" s="265" t="str">
        <f>IFERROR(__xludf.DUMMYFUNCTION("""COMPUTED_VALUE"""),"788")</f>
        <v>788</v>
      </c>
      <c r="B519" s="265" t="str">
        <f>IFERROR(__xludf.DUMMYFUNCTION("""COMPUTED_VALUE"""),"Hà Nội")</f>
        <v>Hà Nội</v>
      </c>
      <c r="C519" s="265" t="str">
        <f>IFERROR(__xludf.DUMMYFUNCTION("""COMPUTED_VALUE"""),"Active")</f>
        <v>Active</v>
      </c>
      <c r="D519" s="265" t="str">
        <f>IFERROR(__xludf.DUMMYFUNCTION("""COMPUTED_VALUE"""),"Mua sắm &amp; Bán lẻ")</f>
        <v>Mua sắm &amp; Bán lẻ</v>
      </c>
      <c r="E519" s="265" t="str">
        <f>IFERROR(__xludf.DUMMYFUNCTION("""COMPUTED_VALUE"""),"TùngLD")</f>
        <v>TùngLD</v>
      </c>
      <c r="F519" s="265" t="str">
        <f>IFERROR(__xludf.DUMMYFUNCTION("""COMPUTED_VALUE"""),"Bronze")</f>
        <v>Bronze</v>
      </c>
      <c r="G519" s="265" t="str">
        <f>IFERROR(__xludf.DUMMYFUNCTION("""COMPUTED_VALUE"""),"Starter")</f>
        <v>Starter</v>
      </c>
      <c r="H519" s="265" t="str">
        <f>IFERROR(__xludf.DUMMYFUNCTION("""COMPUTED_VALUE"""),"Trả sau")</f>
        <v>Trả sau</v>
      </c>
      <c r="I519" s="265" t="str">
        <f>IFERROR(__xludf.DUMMYFUNCTION("""COMPUTED_VALUE"""),"API &amp; Portal")</f>
        <v>API &amp; Portal</v>
      </c>
      <c r="J519" s="265" t="str">
        <f>IFERROR(__xludf.DUMMYFUNCTION("""COMPUTED_VALUE"""),"Tất cả")</f>
        <v>Tất cả</v>
      </c>
    </row>
    <row r="520">
      <c r="A520" s="265" t="str">
        <f>IFERROR(__xludf.DUMMYFUNCTION("""COMPUTED_VALUE"""),"809")</f>
        <v>809</v>
      </c>
      <c r="B520" s="265" t="str">
        <f>IFERROR(__xludf.DUMMYFUNCTION("""COMPUTED_VALUE"""),"Hà Nội")</f>
        <v>Hà Nội</v>
      </c>
      <c r="C520" s="265" t="str">
        <f>IFERROR(__xludf.DUMMYFUNCTION("""COMPUTED_VALUE"""),"Locked")</f>
        <v>Locked</v>
      </c>
      <c r="D520" s="265" t="str">
        <f>IFERROR(__xludf.DUMMYFUNCTION("""COMPUTED_VALUE"""),"Sale chưa cung cấp")</f>
        <v>Sale chưa cung cấp</v>
      </c>
      <c r="E520" s="265" t="str">
        <f>IFERROR(__xludf.DUMMYFUNCTION("""COMPUTED_VALUE"""),"TúPHN")</f>
        <v>TúPHN</v>
      </c>
      <c r="F520" s="265" t="str">
        <f>IFERROR(__xludf.DUMMYFUNCTION("""COMPUTED_VALUE"""),"Silver")</f>
        <v>Silver</v>
      </c>
      <c r="G520" s="265" t="str">
        <f>IFERROR(__xludf.DUMMYFUNCTION("""COMPUTED_VALUE"""),"Starter")</f>
        <v>Starter</v>
      </c>
      <c r="H520" s="265" t="str">
        <f>IFERROR(__xludf.DUMMYFUNCTION("""COMPUTED_VALUE"""),"Trial")</f>
        <v>Trial</v>
      </c>
      <c r="I520" s="265" t="str">
        <f>IFERROR(__xludf.DUMMYFUNCTION("""COMPUTED_VALUE"""),"API")</f>
        <v>API</v>
      </c>
      <c r="J520" s="265" t="str">
        <f>IFERROR(__xludf.DUMMYFUNCTION("""COMPUTED_VALUE"""),"Tất cả")</f>
        <v>Tất cả</v>
      </c>
    </row>
    <row r="521">
      <c r="A521" s="265" t="str">
        <f>IFERROR(__xludf.DUMMYFUNCTION("""COMPUTED_VALUE"""),"810")</f>
        <v>810</v>
      </c>
      <c r="B521" s="265" t="str">
        <f>IFERROR(__xludf.DUMMYFUNCTION("""COMPUTED_VALUE"""),"Hà Nội")</f>
        <v>Hà Nội</v>
      </c>
      <c r="C521" s="265" t="str">
        <f>IFERROR(__xludf.DUMMYFUNCTION("""COMPUTED_VALUE"""),"Locked")</f>
        <v>Locked</v>
      </c>
      <c r="D521" s="265" t="str">
        <f>IFERROR(__xludf.DUMMYFUNCTION("""COMPUTED_VALUE"""),"Sale chưa cung cấp")</f>
        <v>Sale chưa cung cấp</v>
      </c>
      <c r="E521" s="265" t="str">
        <f>IFERROR(__xludf.DUMMYFUNCTION("""COMPUTED_VALUE"""),"HangNT")</f>
        <v>HangNT</v>
      </c>
      <c r="F521" s="265" t="str">
        <f>IFERROR(__xludf.DUMMYFUNCTION("""COMPUTED_VALUE"""),"Sale chưa cung cấp")</f>
        <v>Sale chưa cung cấp</v>
      </c>
      <c r="G521" s="265" t="str">
        <f>IFERROR(__xludf.DUMMYFUNCTION("""COMPUTED_VALUE"""),"Starter")</f>
        <v>Starter</v>
      </c>
      <c r="H521" s="265" t="str">
        <f>IFERROR(__xludf.DUMMYFUNCTION("""COMPUTED_VALUE"""),"Trial")</f>
        <v>Trial</v>
      </c>
      <c r="I521" s="265" t="str">
        <f>IFERROR(__xludf.DUMMYFUNCTION("""COMPUTED_VALUE"""),"API")</f>
        <v>API</v>
      </c>
      <c r="J521" s="265" t="str">
        <f>IFERROR(__xludf.DUMMYFUNCTION("""COMPUTED_VALUE"""),"Tất cả")</f>
        <v>Tất cả</v>
      </c>
    </row>
    <row r="522">
      <c r="A522" s="265" t="str">
        <f>IFERROR(__xludf.DUMMYFUNCTION("""COMPUTED_VALUE"""),"811")</f>
        <v>811</v>
      </c>
      <c r="B522" s="265" t="str">
        <f>IFERROR(__xludf.DUMMYFUNCTION("""COMPUTED_VALUE"""),"Hà Nội")</f>
        <v>Hà Nội</v>
      </c>
      <c r="C522" s="265" t="str">
        <f>IFERROR(__xludf.DUMMYFUNCTION("""COMPUTED_VALUE"""),"Active")</f>
        <v>Active</v>
      </c>
      <c r="D522" s="265" t="str">
        <f>IFERROR(__xludf.DUMMYFUNCTION("""COMPUTED_VALUE"""),"Truyền thông &amp; Giải trí")</f>
        <v>Truyền thông &amp; Giải trí</v>
      </c>
      <c r="E522" s="265" t="str">
        <f>IFERROR(__xludf.DUMMYFUNCTION("""COMPUTED_VALUE"""),"TúPHN")</f>
        <v>TúPHN</v>
      </c>
      <c r="F522" s="265" t="str">
        <f>IFERROR(__xludf.DUMMYFUNCTION("""COMPUTED_VALUE"""),"Bronze")</f>
        <v>Bronze</v>
      </c>
      <c r="G522" s="265" t="str">
        <f>IFERROR(__xludf.DUMMYFUNCTION("""COMPUTED_VALUE"""),"Starter")</f>
        <v>Starter</v>
      </c>
      <c r="H522" s="265" t="str">
        <f>IFERROR(__xludf.DUMMYFUNCTION("""COMPUTED_VALUE"""),"Trả sau")</f>
        <v>Trả sau</v>
      </c>
      <c r="I522" s="265" t="str">
        <f>IFERROR(__xludf.DUMMYFUNCTION("""COMPUTED_VALUE"""),"API")</f>
        <v>API</v>
      </c>
      <c r="J522" s="265" t="str">
        <f>IFERROR(__xludf.DUMMYFUNCTION("""COMPUTED_VALUE"""),"Tất cả")</f>
        <v>Tất cả</v>
      </c>
    </row>
    <row r="523">
      <c r="A523" s="265" t="str">
        <f>IFERROR(__xludf.DUMMYFUNCTION("""COMPUTED_VALUE"""),"812")</f>
        <v>812</v>
      </c>
      <c r="B523" s="265" t="str">
        <f>IFERROR(__xludf.DUMMYFUNCTION("""COMPUTED_VALUE"""),"Sài Gòn")</f>
        <v>Sài Gòn</v>
      </c>
      <c r="C523" s="265" t="str">
        <f>IFERROR(__xludf.DUMMYFUNCTION("""COMPUTED_VALUE"""),"Locked")</f>
        <v>Locked</v>
      </c>
      <c r="D523" s="265" t="str">
        <f>IFERROR(__xludf.DUMMYFUNCTION("""COMPUTED_VALUE"""),"Sản xuất &amp; Chế tạo")</f>
        <v>Sản xuất &amp; Chế tạo</v>
      </c>
      <c r="E523" s="265" t="str">
        <f>IFERROR(__xludf.DUMMYFUNCTION("""COMPUTED_VALUE"""),"HoaNTM")</f>
        <v>HoaNTM</v>
      </c>
      <c r="F523" s="265" t="str">
        <f>IFERROR(__xludf.DUMMYFUNCTION("""COMPUTED_VALUE"""),"Sale chưa cung cấp")</f>
        <v>Sale chưa cung cấp</v>
      </c>
      <c r="G523" s="265" t="str">
        <f>IFERROR(__xludf.DUMMYFUNCTION("""COMPUTED_VALUE"""),"API")</f>
        <v>API</v>
      </c>
      <c r="H523" s="265" t="str">
        <f>IFERROR(__xludf.DUMMYFUNCTION("""COMPUTED_VALUE"""),"Trả sau")</f>
        <v>Trả sau</v>
      </c>
      <c r="I523" s="265" t="str">
        <f>IFERROR(__xludf.DUMMYFUNCTION("""COMPUTED_VALUE"""),"API")</f>
        <v>API</v>
      </c>
      <c r="J523" s="265" t="str">
        <f>IFERROR(__xludf.DUMMYFUNCTION("""COMPUTED_VALUE"""),"GapOne")</f>
        <v>GapOne</v>
      </c>
    </row>
    <row r="524">
      <c r="A524" s="265" t="str">
        <f>IFERROR(__xludf.DUMMYFUNCTION("""COMPUTED_VALUE"""),"813")</f>
        <v>813</v>
      </c>
      <c r="B524" s="265" t="str">
        <f>IFERROR(__xludf.DUMMYFUNCTION("""COMPUTED_VALUE"""),"Sài Gòn")</f>
        <v>Sài Gòn</v>
      </c>
      <c r="C524" s="265" t="str">
        <f>IFERROR(__xludf.DUMMYFUNCTION("""COMPUTED_VALUE"""),"Locked")</f>
        <v>Locked</v>
      </c>
      <c r="D524" s="265" t="str">
        <f>IFERROR(__xludf.DUMMYFUNCTION("""COMPUTED_VALUE"""),"Giáo dục &amp; Đào tạo")</f>
        <v>Giáo dục &amp; Đào tạo</v>
      </c>
      <c r="E524" s="265" t="str">
        <f>IFERROR(__xludf.DUMMYFUNCTION("""COMPUTED_VALUE"""),"HoaNTM")</f>
        <v>HoaNTM</v>
      </c>
      <c r="F524" s="265" t="str">
        <f>IFERROR(__xludf.DUMMYFUNCTION("""COMPUTED_VALUE"""),"Sale chưa cung cấp")</f>
        <v>Sale chưa cung cấp</v>
      </c>
      <c r="G524" s="265" t="str">
        <f>IFERROR(__xludf.DUMMYFUNCTION("""COMPUTED_VALUE"""),"Premium")</f>
        <v>Premium</v>
      </c>
      <c r="H524" s="265" t="str">
        <f>IFERROR(__xludf.DUMMYFUNCTION("""COMPUTED_VALUE"""),"Trial")</f>
        <v>Trial</v>
      </c>
      <c r="I524" s="265" t="str">
        <f>IFERROR(__xludf.DUMMYFUNCTION("""COMPUTED_VALUE"""),"API &amp; Portal")</f>
        <v>API &amp; Portal</v>
      </c>
      <c r="J524" s="265" t="str">
        <f>IFERROR(__xludf.DUMMYFUNCTION("""COMPUTED_VALUE"""),"Zalo ZNS")</f>
        <v>Zalo ZNS</v>
      </c>
    </row>
    <row r="525">
      <c r="A525" s="265" t="str">
        <f>IFERROR(__xludf.DUMMYFUNCTION("""COMPUTED_VALUE"""),"814")</f>
        <v>814</v>
      </c>
      <c r="B525" s="265" t="str">
        <f>IFERROR(__xludf.DUMMYFUNCTION("""COMPUTED_VALUE"""),"Sài Gòn")</f>
        <v>Sài Gòn</v>
      </c>
      <c r="C525" s="265" t="str">
        <f>IFERROR(__xludf.DUMMYFUNCTION("""COMPUTED_VALUE"""),"Active")</f>
        <v>Active</v>
      </c>
      <c r="D525" s="265" t="str">
        <f>IFERROR(__xludf.DUMMYFUNCTION("""COMPUTED_VALUE"""),"Thực phẩm &amp; Đồ uống")</f>
        <v>Thực phẩm &amp; Đồ uống</v>
      </c>
      <c r="E525" s="265" t="str">
        <f>IFERROR(__xludf.DUMMYFUNCTION("""COMPUTED_VALUE"""),"TrâmNNB")</f>
        <v>TrâmNNB</v>
      </c>
      <c r="F525" s="265" t="str">
        <f>IFERROR(__xludf.DUMMYFUNCTION("""COMPUTED_VALUE"""),"Diamond")</f>
        <v>Diamond</v>
      </c>
      <c r="G525" s="265" t="str">
        <f>IFERROR(__xludf.DUMMYFUNCTION("""COMPUTED_VALUE"""),"Enterprise")</f>
        <v>Enterprise</v>
      </c>
      <c r="H525" s="265" t="str">
        <f>IFERROR(__xludf.DUMMYFUNCTION("""COMPUTED_VALUE"""),"Trả sau")</f>
        <v>Trả sau</v>
      </c>
      <c r="I525" s="265" t="str">
        <f>IFERROR(__xludf.DUMMYFUNCTION("""COMPUTED_VALUE"""),"API &amp; Portal")</f>
        <v>API &amp; Portal</v>
      </c>
      <c r="J525" s="265" t="str">
        <f>IFERROR(__xludf.DUMMYFUNCTION("""COMPUTED_VALUE"""),"Zalo ZNS")</f>
        <v>Zalo ZNS</v>
      </c>
    </row>
    <row r="526">
      <c r="A526" s="265" t="str">
        <f>IFERROR(__xludf.DUMMYFUNCTION("""COMPUTED_VALUE"""),"814")</f>
        <v>814</v>
      </c>
      <c r="B526" s="265" t="str">
        <f>IFERROR(__xludf.DUMMYFUNCTION("""COMPUTED_VALUE"""),"Sài Gòn")</f>
        <v>Sài Gòn</v>
      </c>
      <c r="C526" s="265" t="str">
        <f>IFERROR(__xludf.DUMMYFUNCTION("""COMPUTED_VALUE"""),"Active")</f>
        <v>Active</v>
      </c>
      <c r="D526" s="265" t="str">
        <f>IFERROR(__xludf.DUMMYFUNCTION("""COMPUTED_VALUE"""),"Thực phẩm &amp; Đồ uống")</f>
        <v>Thực phẩm &amp; Đồ uống</v>
      </c>
      <c r="E526" s="265" t="str">
        <f>IFERROR(__xludf.DUMMYFUNCTION("""COMPUTED_VALUE"""),"TrâmNNB")</f>
        <v>TrâmNNB</v>
      </c>
      <c r="F526" s="265" t="str">
        <f>IFERROR(__xludf.DUMMYFUNCTION("""COMPUTED_VALUE"""),"Diamond")</f>
        <v>Diamond</v>
      </c>
      <c r="G526" s="265" t="str">
        <f>IFERROR(__xludf.DUMMYFUNCTION("""COMPUTED_VALUE"""),"Enterprise")</f>
        <v>Enterprise</v>
      </c>
      <c r="H526" s="265" t="str">
        <f>IFERROR(__xludf.DUMMYFUNCTION("""COMPUTED_VALUE"""),"Trả sau")</f>
        <v>Trả sau</v>
      </c>
      <c r="I526" s="265" t="str">
        <f>IFERROR(__xludf.DUMMYFUNCTION("""COMPUTED_VALUE"""),"API &amp; Portal")</f>
        <v>API &amp; Portal</v>
      </c>
      <c r="J526" s="265" t="str">
        <f>IFERROR(__xludf.DUMMYFUNCTION("""COMPUTED_VALUE"""),"Zalo UID")</f>
        <v>Zalo UID</v>
      </c>
    </row>
    <row r="527">
      <c r="A527" s="265" t="str">
        <f>IFERROR(__xludf.DUMMYFUNCTION("""COMPUTED_VALUE"""),"815")</f>
        <v>815</v>
      </c>
      <c r="B527" s="265" t="str">
        <f>IFERROR(__xludf.DUMMYFUNCTION("""COMPUTED_VALUE"""),"Sài Gòn")</f>
        <v>Sài Gòn</v>
      </c>
      <c r="C527" s="265" t="str">
        <f>IFERROR(__xludf.DUMMYFUNCTION("""COMPUTED_VALUE"""),"Locked")</f>
        <v>Locked</v>
      </c>
      <c r="D527" s="265" t="str">
        <f>IFERROR(__xludf.DUMMYFUNCTION("""COMPUTED_VALUE"""),"Sản xuất &amp; Chế tạo")</f>
        <v>Sản xuất &amp; Chế tạo</v>
      </c>
      <c r="E527" s="265" t="str">
        <f>IFERROR(__xludf.DUMMYFUNCTION("""COMPUTED_VALUE"""),"HoaNTM")</f>
        <v>HoaNTM</v>
      </c>
      <c r="F527" s="265" t="str">
        <f>IFERROR(__xludf.DUMMYFUNCTION("""COMPUTED_VALUE"""),"Silver")</f>
        <v>Silver</v>
      </c>
      <c r="G527" s="265" t="str">
        <f>IFERROR(__xludf.DUMMYFUNCTION("""COMPUTED_VALUE"""),"Starter")</f>
        <v>Starter</v>
      </c>
      <c r="H527" s="265" t="str">
        <f>IFERROR(__xludf.DUMMYFUNCTION("""COMPUTED_VALUE"""),"Trial")</f>
        <v>Trial</v>
      </c>
      <c r="I527" s="265" t="str">
        <f>IFERROR(__xludf.DUMMYFUNCTION("""COMPUTED_VALUE"""),"Portal")</f>
        <v>Portal</v>
      </c>
      <c r="J527" s="265" t="str">
        <f>IFERROR(__xludf.DUMMYFUNCTION("""COMPUTED_VALUE"""),"Zalo ZNS")</f>
        <v>Zalo ZNS</v>
      </c>
    </row>
    <row r="528">
      <c r="A528" s="265" t="str">
        <f>IFERROR(__xludf.DUMMYFUNCTION("""COMPUTED_VALUE"""),"820")</f>
        <v>820</v>
      </c>
      <c r="B528" s="265" t="str">
        <f>IFERROR(__xludf.DUMMYFUNCTION("""COMPUTED_VALUE"""),"Sài Gòn")</f>
        <v>Sài Gòn</v>
      </c>
      <c r="C528" s="265" t="str">
        <f>IFERROR(__xludf.DUMMYFUNCTION("""COMPUTED_VALUE"""),"Locked")</f>
        <v>Locked</v>
      </c>
      <c r="D528" s="265" t="str">
        <f>IFERROR(__xludf.DUMMYFUNCTION("""COMPUTED_VALUE"""),"Thực phẩm &amp; Đồ uống")</f>
        <v>Thực phẩm &amp; Đồ uống</v>
      </c>
      <c r="E528" s="265" t="str">
        <f>IFERROR(__xludf.DUMMYFUNCTION("""COMPUTED_VALUE"""),"HoaNTM")</f>
        <v>HoaNTM</v>
      </c>
      <c r="F528" s="265" t="str">
        <f>IFERROR(__xludf.DUMMYFUNCTION("""COMPUTED_VALUE"""),"Sale chưa cung cấp")</f>
        <v>Sale chưa cung cấp</v>
      </c>
      <c r="G528" s="265" t="str">
        <f>IFERROR(__xludf.DUMMYFUNCTION("""COMPUTED_VALUE"""),"Enterprise")</f>
        <v>Enterprise</v>
      </c>
      <c r="H528" s="265" t="str">
        <f>IFERROR(__xludf.DUMMYFUNCTION("""COMPUTED_VALUE"""),"Trả sau")</f>
        <v>Trả sau</v>
      </c>
      <c r="I528" s="265" t="str">
        <f>IFERROR(__xludf.DUMMYFUNCTION("""COMPUTED_VALUE"""),"API &amp; Portal")</f>
        <v>API &amp; Portal</v>
      </c>
      <c r="J528" s="265" t="str">
        <f>IFERROR(__xludf.DUMMYFUNCTION("""COMPUTED_VALUE"""),"Zalo ZNS")</f>
        <v>Zalo ZNS</v>
      </c>
    </row>
    <row r="529">
      <c r="A529" s="265" t="str">
        <f>IFERROR(__xludf.DUMMYFUNCTION("""COMPUTED_VALUE"""),"821")</f>
        <v>821</v>
      </c>
      <c r="B529" s="265" t="str">
        <f>IFERROR(__xludf.DUMMYFUNCTION("""COMPUTED_VALUE"""),"Sài Gòn")</f>
        <v>Sài Gòn</v>
      </c>
      <c r="C529" s="265" t="str">
        <f>IFERROR(__xludf.DUMMYFUNCTION("""COMPUTED_VALUE"""),"Locked")</f>
        <v>Locked</v>
      </c>
      <c r="D529" s="265" t="str">
        <f>IFERROR(__xludf.DUMMYFUNCTION("""COMPUTED_VALUE"""),"Thực phẩm &amp; Đồ uống")</f>
        <v>Thực phẩm &amp; Đồ uống</v>
      </c>
      <c r="E529" s="265" t="str">
        <f>IFERROR(__xludf.DUMMYFUNCTION("""COMPUTED_VALUE"""),"HoaNTM")</f>
        <v>HoaNTM</v>
      </c>
      <c r="F529" s="265" t="str">
        <f>IFERROR(__xludf.DUMMYFUNCTION("""COMPUTED_VALUE"""),"Sale chưa cung cấp")</f>
        <v>Sale chưa cung cấp</v>
      </c>
      <c r="G529" s="265" t="str">
        <f>IFERROR(__xludf.DUMMYFUNCTION("""COMPUTED_VALUE"""),"Enterprise")</f>
        <v>Enterprise</v>
      </c>
      <c r="H529" s="265" t="str">
        <f>IFERROR(__xludf.DUMMYFUNCTION("""COMPUTED_VALUE"""),"Trả sau")</f>
        <v>Trả sau</v>
      </c>
      <c r="I529" s="265" t="str">
        <f>IFERROR(__xludf.DUMMYFUNCTION("""COMPUTED_VALUE"""),"API &amp; Portal")</f>
        <v>API &amp; Portal</v>
      </c>
      <c r="J529" s="265" t="str">
        <f>IFERROR(__xludf.DUMMYFUNCTION("""COMPUTED_VALUE"""),"Zalo ZNS")</f>
        <v>Zalo ZNS</v>
      </c>
    </row>
    <row r="530">
      <c r="A530" s="265" t="str">
        <f>IFERROR(__xludf.DUMMYFUNCTION("""COMPUTED_VALUE"""),"816")</f>
        <v>816</v>
      </c>
      <c r="B530" s="265" t="str">
        <f>IFERROR(__xludf.DUMMYFUNCTION("""COMPUTED_VALUE"""),"Hà Nội")</f>
        <v>Hà Nội</v>
      </c>
      <c r="C530" s="265" t="str">
        <f>IFERROR(__xludf.DUMMYFUNCTION("""COMPUTED_VALUE"""),"Locked")</f>
        <v>Locked</v>
      </c>
      <c r="D530" s="265" t="str">
        <f>IFERROR(__xludf.DUMMYFUNCTION("""COMPUTED_VALUE"""),"Sale chưa cung cấp")</f>
        <v>Sale chưa cung cấp</v>
      </c>
      <c r="E530" s="265" t="str">
        <f>IFERROR(__xludf.DUMMYFUNCTION("""COMPUTED_VALUE"""),"TùngLD")</f>
        <v>TùngLD</v>
      </c>
      <c r="F530" s="265" t="str">
        <f>IFERROR(__xludf.DUMMYFUNCTION("""COMPUTED_VALUE"""),"Gold")</f>
        <v>Gold</v>
      </c>
      <c r="G530" s="265" t="str">
        <f>IFERROR(__xludf.DUMMYFUNCTION("""COMPUTED_VALUE"""),"Premium")</f>
        <v>Premium</v>
      </c>
      <c r="H530" s="265" t="str">
        <f>IFERROR(__xludf.DUMMYFUNCTION("""COMPUTED_VALUE"""),"Trả sau")</f>
        <v>Trả sau</v>
      </c>
      <c r="I530" s="265" t="str">
        <f>IFERROR(__xludf.DUMMYFUNCTION("""COMPUTED_VALUE"""),"API")</f>
        <v>API</v>
      </c>
      <c r="J530" s="265" t="str">
        <f>IFERROR(__xludf.DUMMYFUNCTION("""COMPUTED_VALUE"""),"Tất cả")</f>
        <v>Tất cả</v>
      </c>
    </row>
    <row r="531">
      <c r="A531" s="265" t="str">
        <f>IFERROR(__xludf.DUMMYFUNCTION("""COMPUTED_VALUE"""),"817")</f>
        <v>817</v>
      </c>
      <c r="B531" s="265" t="str">
        <f>IFERROR(__xludf.DUMMYFUNCTION("""COMPUTED_VALUE"""),"Hà Nội")</f>
        <v>Hà Nội</v>
      </c>
      <c r="C531" s="265" t="str">
        <f>IFERROR(__xludf.DUMMYFUNCTION("""COMPUTED_VALUE"""),"Locked")</f>
        <v>Locked</v>
      </c>
      <c r="D531" s="265" t="str">
        <f>IFERROR(__xludf.DUMMYFUNCTION("""COMPUTED_VALUE"""),"Sale chưa cung cấp")</f>
        <v>Sale chưa cung cấp</v>
      </c>
      <c r="E531" s="265" t="str">
        <f>IFERROR(__xludf.DUMMYFUNCTION("""COMPUTED_VALUE"""),"AnhNM")</f>
        <v>AnhNM</v>
      </c>
      <c r="F531" s="265" t="str">
        <f>IFERROR(__xludf.DUMMYFUNCTION("""COMPUTED_VALUE"""),"Bronze")</f>
        <v>Bronze</v>
      </c>
      <c r="G531" s="265" t="str">
        <f>IFERROR(__xludf.DUMMYFUNCTION("""COMPUTED_VALUE"""),"Starter")</f>
        <v>Starter</v>
      </c>
      <c r="H531" s="265" t="str">
        <f>IFERROR(__xludf.DUMMYFUNCTION("""COMPUTED_VALUE"""),"Trả trước")</f>
        <v>Trả trước</v>
      </c>
      <c r="I531" s="265" t="str">
        <f>IFERROR(__xludf.DUMMYFUNCTION("""COMPUTED_VALUE"""),"Portal")</f>
        <v>Portal</v>
      </c>
      <c r="J531" s="265" t="str">
        <f>IFERROR(__xludf.DUMMYFUNCTION("""COMPUTED_VALUE"""),"Zalo ZNS")</f>
        <v>Zalo ZNS</v>
      </c>
    </row>
    <row r="532">
      <c r="A532" s="265" t="str">
        <f>IFERROR(__xludf.DUMMYFUNCTION("""COMPUTED_VALUE"""),"819")</f>
        <v>819</v>
      </c>
      <c r="B532" s="265" t="str">
        <f>IFERROR(__xludf.DUMMYFUNCTION("""COMPUTED_VALUE"""),"Đà Nẵng")</f>
        <v>Đà Nẵng</v>
      </c>
      <c r="C532" s="265" t="str">
        <f>IFERROR(__xludf.DUMMYFUNCTION("""COMPUTED_VALUE"""),"Active")</f>
        <v>Active</v>
      </c>
      <c r="D532" s="265" t="str">
        <f>IFERROR(__xludf.DUMMYFUNCTION("""COMPUTED_VALUE"""),"Sale chưa cung cấp")</f>
        <v>Sale chưa cung cấp</v>
      </c>
      <c r="E532" s="265" t="str">
        <f>IFERROR(__xludf.DUMMYFUNCTION("""COMPUTED_VALUE"""),"AnhNM")</f>
        <v>AnhNM</v>
      </c>
      <c r="F532" s="265" t="str">
        <f>IFERROR(__xludf.DUMMYFUNCTION("""COMPUTED_VALUE"""),"Bronze")</f>
        <v>Bronze</v>
      </c>
      <c r="G532" s="265" t="str">
        <f>IFERROR(__xludf.DUMMYFUNCTION("""COMPUTED_VALUE"""),"Starter")</f>
        <v>Starter</v>
      </c>
      <c r="H532" s="265" t="str">
        <f>IFERROR(__xludf.DUMMYFUNCTION("""COMPUTED_VALUE"""),"Trả sau")</f>
        <v>Trả sau</v>
      </c>
      <c r="I532" s="265" t="str">
        <f>IFERROR(__xludf.DUMMYFUNCTION("""COMPUTED_VALUE"""),"API")</f>
        <v>API</v>
      </c>
      <c r="J532" s="265" t="str">
        <f>IFERROR(__xludf.DUMMYFUNCTION("""COMPUTED_VALUE"""),"SMS CSKH")</f>
        <v>SMS CSKH</v>
      </c>
    </row>
    <row r="533">
      <c r="A533" s="265" t="str">
        <f>IFERROR(__xludf.DUMMYFUNCTION("""COMPUTED_VALUE"""),"818")</f>
        <v>818</v>
      </c>
      <c r="B533" s="265" t="str">
        <f>IFERROR(__xludf.DUMMYFUNCTION("""COMPUTED_VALUE"""),"Đà Nẵng")</f>
        <v>Đà Nẵng</v>
      </c>
      <c r="C533" s="265" t="str">
        <f>IFERROR(__xludf.DUMMYFUNCTION("""COMPUTED_VALUE"""),"Locked")</f>
        <v>Locked</v>
      </c>
      <c r="D533" s="265" t="str">
        <f>IFERROR(__xludf.DUMMYFUNCTION("""COMPUTED_VALUE"""),"Mua sắm &amp; Bán lẻ")</f>
        <v>Mua sắm &amp; Bán lẻ</v>
      </c>
      <c r="E533" s="265" t="str">
        <f>IFERROR(__xludf.DUMMYFUNCTION("""COMPUTED_VALUE"""),"TúPHN")</f>
        <v>TúPHN</v>
      </c>
      <c r="F533" s="265" t="str">
        <f>IFERROR(__xludf.DUMMYFUNCTION("""COMPUTED_VALUE"""),"Gold")</f>
        <v>Gold</v>
      </c>
      <c r="G533" s="265" t="str">
        <f>IFERROR(__xludf.DUMMYFUNCTION("""COMPUTED_VALUE"""),"Enterprise")</f>
        <v>Enterprise</v>
      </c>
      <c r="H533" s="265" t="str">
        <f>IFERROR(__xludf.DUMMYFUNCTION("""COMPUTED_VALUE"""),"Trả trước")</f>
        <v>Trả trước</v>
      </c>
      <c r="I533" s="265" t="str">
        <f>IFERROR(__xludf.DUMMYFUNCTION("""COMPUTED_VALUE"""),"API &amp; Portal")</f>
        <v>API &amp; Portal</v>
      </c>
      <c r="J533" s="265" t="str">
        <f>IFERROR(__xludf.DUMMYFUNCTION("""COMPUTED_VALUE"""),"Tất cả")</f>
        <v>Tất cả</v>
      </c>
    </row>
    <row r="534">
      <c r="A534" s="265" t="str">
        <f>IFERROR(__xludf.DUMMYFUNCTION("""COMPUTED_VALUE"""),"822")</f>
        <v>822</v>
      </c>
      <c r="B534" s="265" t="str">
        <f>IFERROR(__xludf.DUMMYFUNCTION("""COMPUTED_VALUE"""),"Hà Nội")</f>
        <v>Hà Nội</v>
      </c>
      <c r="C534" s="265" t="str">
        <f>IFERROR(__xludf.DUMMYFUNCTION("""COMPUTED_VALUE"""),"Active")</f>
        <v>Active</v>
      </c>
      <c r="D534" s="265" t="str">
        <f>IFERROR(__xludf.DUMMYFUNCTION("""COMPUTED_VALUE"""),"Công nghệ &amp; Phần mềm")</f>
        <v>Công nghệ &amp; Phần mềm</v>
      </c>
      <c r="E534" s="265" t="str">
        <f>IFERROR(__xludf.DUMMYFUNCTION("""COMPUTED_VALUE"""),"TùngLD")</f>
        <v>TùngLD</v>
      </c>
      <c r="F534" s="265" t="str">
        <f>IFERROR(__xludf.DUMMYFUNCTION("""COMPUTED_VALUE"""),"Silver")</f>
        <v>Silver</v>
      </c>
      <c r="G534" s="265" t="str">
        <f>IFERROR(__xludf.DUMMYFUNCTION("""COMPUTED_VALUE"""),"Premium")</f>
        <v>Premium</v>
      </c>
      <c r="H534" s="265" t="str">
        <f>IFERROR(__xludf.DUMMYFUNCTION("""COMPUTED_VALUE"""),"Trả sau")</f>
        <v>Trả sau</v>
      </c>
      <c r="I534" s="265" t="str">
        <f>IFERROR(__xludf.DUMMYFUNCTION("""COMPUTED_VALUE"""),"Portal")</f>
        <v>Portal</v>
      </c>
      <c r="J534" s="265" t="str">
        <f>IFERROR(__xludf.DUMMYFUNCTION("""COMPUTED_VALUE"""),"Whatsapp")</f>
        <v>Whatsapp</v>
      </c>
    </row>
    <row r="535">
      <c r="A535" s="265" t="str">
        <f>IFERROR(__xludf.DUMMYFUNCTION("""COMPUTED_VALUE"""),"822")</f>
        <v>822</v>
      </c>
      <c r="B535" s="265" t="str">
        <f>IFERROR(__xludf.DUMMYFUNCTION("""COMPUTED_VALUE"""),"Hà Nội")</f>
        <v>Hà Nội</v>
      </c>
      <c r="C535" s="265" t="str">
        <f>IFERROR(__xludf.DUMMYFUNCTION("""COMPUTED_VALUE"""),"Active")</f>
        <v>Active</v>
      </c>
      <c r="D535" s="265" t="str">
        <f>IFERROR(__xludf.DUMMYFUNCTION("""COMPUTED_VALUE"""),"Công nghệ &amp; Phần mềm")</f>
        <v>Công nghệ &amp; Phần mềm</v>
      </c>
      <c r="E535" s="265" t="str">
        <f>IFERROR(__xludf.DUMMYFUNCTION("""COMPUTED_VALUE"""),"TùngLD")</f>
        <v>TùngLD</v>
      </c>
      <c r="F535" s="265" t="str">
        <f>IFERROR(__xludf.DUMMYFUNCTION("""COMPUTED_VALUE"""),"Silver")</f>
        <v>Silver</v>
      </c>
      <c r="G535" s="265" t="str">
        <f>IFERROR(__xludf.DUMMYFUNCTION("""COMPUTED_VALUE"""),"Premium")</f>
        <v>Premium</v>
      </c>
      <c r="H535" s="265" t="str">
        <f>IFERROR(__xludf.DUMMYFUNCTION("""COMPUTED_VALUE"""),"Trả sau")</f>
        <v>Trả sau</v>
      </c>
      <c r="I535" s="265" t="str">
        <f>IFERROR(__xludf.DUMMYFUNCTION("""COMPUTED_VALUE"""),"Portal")</f>
        <v>Portal</v>
      </c>
      <c r="J535" s="265" t="str">
        <f>IFERROR(__xludf.DUMMYFUNCTION("""COMPUTED_VALUE"""),"Email")</f>
        <v>Email</v>
      </c>
    </row>
    <row r="536">
      <c r="A536" s="265" t="str">
        <f>IFERROR(__xludf.DUMMYFUNCTION("""COMPUTED_VALUE"""),"823")</f>
        <v>823</v>
      </c>
      <c r="B536" s="265" t="str">
        <f>IFERROR(__xludf.DUMMYFUNCTION("""COMPUTED_VALUE"""),"Sài Gòn")</f>
        <v>Sài Gòn</v>
      </c>
      <c r="C536" s="265" t="str">
        <f>IFERROR(__xludf.DUMMYFUNCTION("""COMPUTED_VALUE"""),"Active")</f>
        <v>Active</v>
      </c>
      <c r="D536" s="265" t="str">
        <f>IFERROR(__xludf.DUMMYFUNCTION("""COMPUTED_VALUE"""),"Sale chưa cung cấp")</f>
        <v>Sale chưa cung cấp</v>
      </c>
      <c r="E536" s="265" t="str">
        <f>IFERROR(__xludf.DUMMYFUNCTION("""COMPUTED_VALUE"""),"TùngLD")</f>
        <v>TùngLD</v>
      </c>
      <c r="F536" s="265" t="str">
        <f>IFERROR(__xludf.DUMMYFUNCTION("""COMPUTED_VALUE"""),"Diamond")</f>
        <v>Diamond</v>
      </c>
      <c r="G536" s="265" t="str">
        <f>IFERROR(__xludf.DUMMYFUNCTION("""COMPUTED_VALUE"""),"Enterprise")</f>
        <v>Enterprise</v>
      </c>
      <c r="H536" s="265" t="str">
        <f>IFERROR(__xludf.DUMMYFUNCTION("""COMPUTED_VALUE"""),"Trả sau")</f>
        <v>Trả sau</v>
      </c>
      <c r="I536" s="265" t="str">
        <f>IFERROR(__xludf.DUMMYFUNCTION("""COMPUTED_VALUE"""),"API &amp; Portal")</f>
        <v>API &amp; Portal</v>
      </c>
      <c r="J536" s="265" t="str">
        <f>IFERROR(__xludf.DUMMYFUNCTION("""COMPUTED_VALUE"""),"Zalo ZNS")</f>
        <v>Zalo ZNS</v>
      </c>
    </row>
    <row r="537">
      <c r="A537" s="265" t="str">
        <f>IFERROR(__xludf.DUMMYFUNCTION("""COMPUTED_VALUE"""),"823")</f>
        <v>823</v>
      </c>
      <c r="B537" s="265" t="str">
        <f>IFERROR(__xludf.DUMMYFUNCTION("""COMPUTED_VALUE"""),"Sài Gòn")</f>
        <v>Sài Gòn</v>
      </c>
      <c r="C537" s="265" t="str">
        <f>IFERROR(__xludf.DUMMYFUNCTION("""COMPUTED_VALUE"""),"Active")</f>
        <v>Active</v>
      </c>
      <c r="D537" s="265" t="str">
        <f>IFERROR(__xludf.DUMMYFUNCTION("""COMPUTED_VALUE"""),"Sale chưa cung cấp")</f>
        <v>Sale chưa cung cấp</v>
      </c>
      <c r="E537" s="265" t="str">
        <f>IFERROR(__xludf.DUMMYFUNCTION("""COMPUTED_VALUE"""),"TùngLD")</f>
        <v>TùngLD</v>
      </c>
      <c r="F537" s="265" t="str">
        <f>IFERROR(__xludf.DUMMYFUNCTION("""COMPUTED_VALUE"""),"Diamond")</f>
        <v>Diamond</v>
      </c>
      <c r="G537" s="265" t="str">
        <f>IFERROR(__xludf.DUMMYFUNCTION("""COMPUTED_VALUE"""),"Enterprise")</f>
        <v>Enterprise</v>
      </c>
      <c r="H537" s="265" t="str">
        <f>IFERROR(__xludf.DUMMYFUNCTION("""COMPUTED_VALUE"""),"Trả sau")</f>
        <v>Trả sau</v>
      </c>
      <c r="I537" s="265" t="str">
        <f>IFERROR(__xludf.DUMMYFUNCTION("""COMPUTED_VALUE"""),"API &amp; Portal")</f>
        <v>API &amp; Portal</v>
      </c>
      <c r="J537" s="265" t="str">
        <f>IFERROR(__xludf.DUMMYFUNCTION("""COMPUTED_VALUE"""),"Zalo UID")</f>
        <v>Zalo UID</v>
      </c>
    </row>
    <row r="538">
      <c r="A538" s="265" t="str">
        <f>IFERROR(__xludf.DUMMYFUNCTION("""COMPUTED_VALUE"""),"761")</f>
        <v>761</v>
      </c>
      <c r="B538" s="265" t="str">
        <f>IFERROR(__xludf.DUMMYFUNCTION("""COMPUTED_VALUE"""),"Hà Nội")</f>
        <v>Hà Nội</v>
      </c>
      <c r="C538" s="265" t="str">
        <f>IFERROR(__xludf.DUMMYFUNCTION("""COMPUTED_VALUE"""),"Locked")</f>
        <v>Locked</v>
      </c>
      <c r="D538" s="265" t="str">
        <f>IFERROR(__xludf.DUMMYFUNCTION("""COMPUTED_VALUE"""),"Y tế &amp; Dược phẩm")</f>
        <v>Y tế &amp; Dược phẩm</v>
      </c>
      <c r="E538" s="265" t="str">
        <f>IFERROR(__xludf.DUMMYFUNCTION("""COMPUTED_VALUE"""),"TùngLD")</f>
        <v>TùngLD</v>
      </c>
      <c r="F538" s="265" t="str">
        <f>IFERROR(__xludf.DUMMYFUNCTION("""COMPUTED_VALUE"""),"Sale chưa cung cấp")</f>
        <v>Sale chưa cung cấp</v>
      </c>
      <c r="G538" s="265" t="str">
        <f>IFERROR(__xludf.DUMMYFUNCTION("""COMPUTED_VALUE"""),"Premium")</f>
        <v>Premium</v>
      </c>
      <c r="H538" s="265" t="str">
        <f>IFERROR(__xludf.DUMMYFUNCTION("""COMPUTED_VALUE"""),"Trial")</f>
        <v>Trial</v>
      </c>
      <c r="I538" s="265" t="str">
        <f>IFERROR(__xludf.DUMMYFUNCTION("""COMPUTED_VALUE"""),"API")</f>
        <v>API</v>
      </c>
      <c r="J538" s="265" t="str">
        <f>IFERROR(__xludf.DUMMYFUNCTION("""COMPUTED_VALUE"""),"Tất cả")</f>
        <v>Tất cả</v>
      </c>
    </row>
    <row r="539">
      <c r="A539" s="265" t="str">
        <f>IFERROR(__xludf.DUMMYFUNCTION("""COMPUTED_VALUE"""),"824")</f>
        <v>824</v>
      </c>
      <c r="B539" s="265" t="str">
        <f>IFERROR(__xludf.DUMMYFUNCTION("""COMPUTED_VALUE"""),"Hà Nội")</f>
        <v>Hà Nội</v>
      </c>
      <c r="C539" s="265" t="str">
        <f>IFERROR(__xludf.DUMMYFUNCTION("""COMPUTED_VALUE"""),"Locked")</f>
        <v>Locked</v>
      </c>
      <c r="D539" s="265" t="str">
        <f>IFERROR(__xludf.DUMMYFUNCTION("""COMPUTED_VALUE"""),"Sale chưa cung cấp")</f>
        <v>Sale chưa cung cấp</v>
      </c>
      <c r="E539" s="265" t="str">
        <f>IFERROR(__xludf.DUMMYFUNCTION("""COMPUTED_VALUE"""),"TùngLD")</f>
        <v>TùngLD</v>
      </c>
      <c r="F539" s="265" t="str">
        <f>IFERROR(__xludf.DUMMYFUNCTION("""COMPUTED_VALUE"""),"Diamond")</f>
        <v>Diamond</v>
      </c>
      <c r="G539" s="265" t="str">
        <f>IFERROR(__xludf.DUMMYFUNCTION("""COMPUTED_VALUE"""),"Starter")</f>
        <v>Starter</v>
      </c>
      <c r="H539" s="265" t="str">
        <f>IFERROR(__xludf.DUMMYFUNCTION("""COMPUTED_VALUE"""),"Trial")</f>
        <v>Trial</v>
      </c>
      <c r="I539" s="265" t="str">
        <f>IFERROR(__xludf.DUMMYFUNCTION("""COMPUTED_VALUE"""),"Portal")</f>
        <v>Portal</v>
      </c>
      <c r="J539" s="265" t="str">
        <f>IFERROR(__xludf.DUMMYFUNCTION("""COMPUTED_VALUE"""),"Tất cả")</f>
        <v>Tất cả</v>
      </c>
    </row>
    <row r="540">
      <c r="A540" s="265" t="str">
        <f>IFERROR(__xludf.DUMMYFUNCTION("""COMPUTED_VALUE"""),"825")</f>
        <v>825</v>
      </c>
      <c r="B540" s="265" t="str">
        <f>IFERROR(__xludf.DUMMYFUNCTION("""COMPUTED_VALUE"""),"Hà Nội")</f>
        <v>Hà Nội</v>
      </c>
      <c r="C540" s="265" t="str">
        <f>IFERROR(__xludf.DUMMYFUNCTION("""COMPUTED_VALUE"""),"Active")</f>
        <v>Active</v>
      </c>
      <c r="D540" s="265" t="str">
        <f>IFERROR(__xludf.DUMMYFUNCTION("""COMPUTED_VALUE"""),"Sale chưa cung cấp")</f>
        <v>Sale chưa cung cấp</v>
      </c>
      <c r="E540" s="265" t="str">
        <f>IFERROR(__xludf.DUMMYFUNCTION("""COMPUTED_VALUE"""),"AnhNM")</f>
        <v>AnhNM</v>
      </c>
      <c r="F540" s="265" t="str">
        <f>IFERROR(__xludf.DUMMYFUNCTION("""COMPUTED_VALUE"""),"Silver")</f>
        <v>Silver</v>
      </c>
      <c r="G540" s="265" t="str">
        <f>IFERROR(__xludf.DUMMYFUNCTION("""COMPUTED_VALUE"""),"Starter")</f>
        <v>Starter</v>
      </c>
      <c r="H540" s="265" t="str">
        <f>IFERROR(__xludf.DUMMYFUNCTION("""COMPUTED_VALUE"""),"Trả trước")</f>
        <v>Trả trước</v>
      </c>
      <c r="I540" s="265" t="str">
        <f>IFERROR(__xludf.DUMMYFUNCTION("""COMPUTED_VALUE"""),"Portal")</f>
        <v>Portal</v>
      </c>
      <c r="J540" s="265" t="str">
        <f>IFERROR(__xludf.DUMMYFUNCTION("""COMPUTED_VALUE"""),"Zalo ZNS")</f>
        <v>Zalo ZNS</v>
      </c>
    </row>
    <row r="541">
      <c r="A541" s="265" t="str">
        <f>IFERROR(__xludf.DUMMYFUNCTION("""COMPUTED_VALUE"""),"826")</f>
        <v>826</v>
      </c>
      <c r="B541" s="265" t="str">
        <f>IFERROR(__xludf.DUMMYFUNCTION("""COMPUTED_VALUE"""),"Sài Gòn")</f>
        <v>Sài Gòn</v>
      </c>
      <c r="C541" s="265" t="str">
        <f>IFERROR(__xludf.DUMMYFUNCTION("""COMPUTED_VALUE"""),"Locked")</f>
        <v>Locked</v>
      </c>
      <c r="D541" s="265" t="str">
        <f>IFERROR(__xludf.DUMMYFUNCTION("""COMPUTED_VALUE"""),"Sản xuất &amp; Chế tạo")</f>
        <v>Sản xuất &amp; Chế tạo</v>
      </c>
      <c r="E541" s="265" t="str">
        <f>IFERROR(__xludf.DUMMYFUNCTION("""COMPUTED_VALUE"""),"HoaNTM")</f>
        <v>HoaNTM</v>
      </c>
      <c r="F541" s="265" t="str">
        <f>IFERROR(__xludf.DUMMYFUNCTION("""COMPUTED_VALUE"""),"Sale chưa cung cấp")</f>
        <v>Sale chưa cung cấp</v>
      </c>
      <c r="G541" s="265" t="str">
        <f>IFERROR(__xludf.DUMMYFUNCTION("""COMPUTED_VALUE"""),"API")</f>
        <v>API</v>
      </c>
      <c r="H541" s="265" t="str">
        <f>IFERROR(__xludf.DUMMYFUNCTION("""COMPUTED_VALUE"""),"Trả trước")</f>
        <v>Trả trước</v>
      </c>
      <c r="I541" s="265" t="str">
        <f>IFERROR(__xludf.DUMMYFUNCTION("""COMPUTED_VALUE"""),"API")</f>
        <v>API</v>
      </c>
      <c r="J541" s="265" t="str">
        <f>IFERROR(__xludf.DUMMYFUNCTION("""COMPUTED_VALUE"""),"GapOne")</f>
        <v>GapOne</v>
      </c>
    </row>
    <row r="542">
      <c r="A542" s="265" t="str">
        <f>IFERROR(__xludf.DUMMYFUNCTION("""COMPUTED_VALUE"""),"827")</f>
        <v>827</v>
      </c>
      <c r="B542" s="265" t="str">
        <f>IFERROR(__xludf.DUMMYFUNCTION("""COMPUTED_VALUE"""),"Sài Gòn")</f>
        <v>Sài Gòn</v>
      </c>
      <c r="C542" s="265" t="str">
        <f>IFERROR(__xludf.DUMMYFUNCTION("""COMPUTED_VALUE"""),"Locked")</f>
        <v>Locked</v>
      </c>
      <c r="D542" s="265" t="str">
        <f>IFERROR(__xludf.DUMMYFUNCTION("""COMPUTED_VALUE"""),"Mua sắm &amp; Bán lẻ")</f>
        <v>Mua sắm &amp; Bán lẻ</v>
      </c>
      <c r="E542" s="265" t="str">
        <f>IFERROR(__xludf.DUMMYFUNCTION("""COMPUTED_VALUE"""),"TúPHN")</f>
        <v>TúPHN</v>
      </c>
      <c r="F542" s="265" t="str">
        <f>IFERROR(__xludf.DUMMYFUNCTION("""COMPUTED_VALUE"""),"Silver")</f>
        <v>Silver</v>
      </c>
      <c r="G542" s="265" t="str">
        <f>IFERROR(__xludf.DUMMYFUNCTION("""COMPUTED_VALUE"""),"Premium")</f>
        <v>Premium</v>
      </c>
      <c r="H542" s="265" t="str">
        <f>IFERROR(__xludf.DUMMYFUNCTION("""COMPUTED_VALUE"""),"Trả sau")</f>
        <v>Trả sau</v>
      </c>
      <c r="I542" s="265" t="str">
        <f>IFERROR(__xludf.DUMMYFUNCTION("""COMPUTED_VALUE"""),"API &amp; Portal")</f>
        <v>API &amp; Portal</v>
      </c>
      <c r="J542" s="265" t="str">
        <f>IFERROR(__xludf.DUMMYFUNCTION("""COMPUTED_VALUE"""),"Tất cả")</f>
        <v>Tất cả</v>
      </c>
    </row>
    <row r="543">
      <c r="A543" s="265" t="str">
        <f>IFERROR(__xludf.DUMMYFUNCTION("""COMPUTED_VALUE"""),"828")</f>
        <v>828</v>
      </c>
      <c r="B543" s="265" t="str">
        <f>IFERROR(__xludf.DUMMYFUNCTION("""COMPUTED_VALUE"""),"Hà Nội")</f>
        <v>Hà Nội</v>
      </c>
      <c r="C543" s="265" t="str">
        <f>IFERROR(__xludf.DUMMYFUNCTION("""COMPUTED_VALUE"""),"Active")</f>
        <v>Active</v>
      </c>
      <c r="D543" s="265" t="str">
        <f>IFERROR(__xludf.DUMMYFUNCTION("""COMPUTED_VALUE"""),"Vận tải &amp; logistics")</f>
        <v>Vận tải &amp; logistics</v>
      </c>
      <c r="E543" s="265" t="str">
        <f>IFERROR(__xludf.DUMMYFUNCTION("""COMPUTED_VALUE"""),"TùngLD")</f>
        <v>TùngLD</v>
      </c>
      <c r="F543" s="265" t="str">
        <f>IFERROR(__xludf.DUMMYFUNCTION("""COMPUTED_VALUE"""),"Silver")</f>
        <v>Silver</v>
      </c>
      <c r="G543" s="265" t="str">
        <f>IFERROR(__xludf.DUMMYFUNCTION("""COMPUTED_VALUE"""),"Premium")</f>
        <v>Premium</v>
      </c>
      <c r="H543" s="265" t="str">
        <f>IFERROR(__xludf.DUMMYFUNCTION("""COMPUTED_VALUE"""),"Trả sau")</f>
        <v>Trả sau</v>
      </c>
      <c r="I543" s="265" t="str">
        <f>IFERROR(__xludf.DUMMYFUNCTION("""COMPUTED_VALUE"""),"API &amp; Portal")</f>
        <v>API &amp; Portal</v>
      </c>
      <c r="J543" s="265" t="str">
        <f>IFERROR(__xludf.DUMMYFUNCTION("""COMPUTED_VALUE"""),"Tất cả")</f>
        <v>Tất cả</v>
      </c>
    </row>
    <row r="544">
      <c r="A544" s="265" t="str">
        <f>IFERROR(__xludf.DUMMYFUNCTION("""COMPUTED_VALUE"""),"829")</f>
        <v>829</v>
      </c>
      <c r="B544" s="265" t="str">
        <f>IFERROR(__xludf.DUMMYFUNCTION("""COMPUTED_VALUE"""),"Sài Gòn")</f>
        <v>Sài Gòn</v>
      </c>
      <c r="C544" s="265" t="str">
        <f>IFERROR(__xludf.DUMMYFUNCTION("""COMPUTED_VALUE"""),"Locked")</f>
        <v>Locked</v>
      </c>
      <c r="D544" s="265" t="str">
        <f>IFERROR(__xludf.DUMMYFUNCTION("""COMPUTED_VALUE"""),"Sale chưa cung cấp")</f>
        <v>Sale chưa cung cấp</v>
      </c>
      <c r="E544" s="265" t="str">
        <f>IFERROR(__xludf.DUMMYFUNCTION("""COMPUTED_VALUE"""),"TùngLD")</f>
        <v>TùngLD</v>
      </c>
      <c r="F544" s="265" t="str">
        <f>IFERROR(__xludf.DUMMYFUNCTION("""COMPUTED_VALUE"""),"Silver")</f>
        <v>Silver</v>
      </c>
      <c r="G544" s="265" t="str">
        <f>IFERROR(__xludf.DUMMYFUNCTION("""COMPUTED_VALUE"""),"Starter")</f>
        <v>Starter</v>
      </c>
      <c r="H544" s="265" t="str">
        <f>IFERROR(__xludf.DUMMYFUNCTION("""COMPUTED_VALUE"""),"Trial")</f>
        <v>Trial</v>
      </c>
      <c r="I544" s="265" t="str">
        <f>IFERROR(__xludf.DUMMYFUNCTION("""COMPUTED_VALUE"""),"API")</f>
        <v>API</v>
      </c>
      <c r="J544" s="265" t="str">
        <f>IFERROR(__xludf.DUMMYFUNCTION("""COMPUTED_VALUE"""),"Zalo ZNS")</f>
        <v>Zalo ZNS</v>
      </c>
    </row>
    <row r="545">
      <c r="A545" s="265" t="str">
        <f>IFERROR(__xludf.DUMMYFUNCTION("""COMPUTED_VALUE"""),"830")</f>
        <v>830</v>
      </c>
      <c r="B545" s="265" t="str">
        <f>IFERROR(__xludf.DUMMYFUNCTION("""COMPUTED_VALUE"""),"Hà Nội")</f>
        <v>Hà Nội</v>
      </c>
      <c r="C545" s="265" t="str">
        <f>IFERROR(__xludf.DUMMYFUNCTION("""COMPUTED_VALUE"""),"Locked")</f>
        <v>Locked</v>
      </c>
      <c r="D545" s="265" t="str">
        <f>IFERROR(__xludf.DUMMYFUNCTION("""COMPUTED_VALUE"""),"Viễn thông")</f>
        <v>Viễn thông</v>
      </c>
      <c r="E545" s="265" t="str">
        <f>IFERROR(__xludf.DUMMYFUNCTION("""COMPUTED_VALUE"""),"TúPHN")</f>
        <v>TúPHN</v>
      </c>
      <c r="F545" s="265" t="str">
        <f>IFERROR(__xludf.DUMMYFUNCTION("""COMPUTED_VALUE"""),"Gold")</f>
        <v>Gold</v>
      </c>
      <c r="G545" s="265" t="str">
        <f>IFERROR(__xludf.DUMMYFUNCTION("""COMPUTED_VALUE"""),"Starter")</f>
        <v>Starter</v>
      </c>
      <c r="H545" s="265" t="str">
        <f>IFERROR(__xludf.DUMMYFUNCTION("""COMPUTED_VALUE"""),"Trả sau")</f>
        <v>Trả sau</v>
      </c>
      <c r="I545" s="265" t="str">
        <f>IFERROR(__xludf.DUMMYFUNCTION("""COMPUTED_VALUE"""),"API")</f>
        <v>API</v>
      </c>
      <c r="J545" s="265" t="str">
        <f>IFERROR(__xludf.DUMMYFUNCTION("""COMPUTED_VALUE"""),"Zalo ZNS")</f>
        <v>Zalo ZNS</v>
      </c>
    </row>
    <row r="546">
      <c r="A546" s="265" t="str">
        <f>IFERROR(__xludf.DUMMYFUNCTION("""COMPUTED_VALUE"""),"831")</f>
        <v>831</v>
      </c>
      <c r="B546" s="265" t="str">
        <f>IFERROR(__xludf.DUMMYFUNCTION("""COMPUTED_VALUE"""),"Sài Gòn")</f>
        <v>Sài Gòn</v>
      </c>
      <c r="C546" s="265" t="str">
        <f>IFERROR(__xludf.DUMMYFUNCTION("""COMPUTED_VALUE"""),"Locked")</f>
        <v>Locked</v>
      </c>
      <c r="D546" s="265" t="str">
        <f>IFERROR(__xludf.DUMMYFUNCTION("""COMPUTED_VALUE"""),"Sale chưa cung cấp")</f>
        <v>Sale chưa cung cấp</v>
      </c>
      <c r="E546" s="265" t="str">
        <f>IFERROR(__xludf.DUMMYFUNCTION("""COMPUTED_VALUE"""),"HoaNTM")</f>
        <v>HoaNTM</v>
      </c>
      <c r="F546" s="265" t="str">
        <f>IFERROR(__xludf.DUMMYFUNCTION("""COMPUTED_VALUE"""),"Diamond")</f>
        <v>Diamond</v>
      </c>
      <c r="G546" s="265" t="str">
        <f>IFERROR(__xludf.DUMMYFUNCTION("""COMPUTED_VALUE"""),"Standard")</f>
        <v>Standard</v>
      </c>
      <c r="H546" s="265" t="str">
        <f>IFERROR(__xludf.DUMMYFUNCTION("""COMPUTED_VALUE"""),"Trả trước")</f>
        <v>Trả trước</v>
      </c>
      <c r="I546" s="265" t="str">
        <f>IFERROR(__xludf.DUMMYFUNCTION("""COMPUTED_VALUE"""),"Portal")</f>
        <v>Portal</v>
      </c>
      <c r="J546" s="265" t="str">
        <f>IFERROR(__xludf.DUMMYFUNCTION("""COMPUTED_VALUE"""),"Zalo ZNS")</f>
        <v>Zalo ZNS</v>
      </c>
    </row>
    <row r="547">
      <c r="A547" s="265" t="str">
        <f>IFERROR(__xludf.DUMMYFUNCTION("""COMPUTED_VALUE"""),"832")</f>
        <v>832</v>
      </c>
      <c r="B547" s="265" t="str">
        <f>IFERROR(__xludf.DUMMYFUNCTION("""COMPUTED_VALUE"""),"Sài Gòn")</f>
        <v>Sài Gòn</v>
      </c>
      <c r="C547" s="265" t="str">
        <f>IFERROR(__xludf.DUMMYFUNCTION("""COMPUTED_VALUE"""),"Locked")</f>
        <v>Locked</v>
      </c>
      <c r="D547" s="265" t="str">
        <f>IFERROR(__xludf.DUMMYFUNCTION("""COMPUTED_VALUE"""),"Truyền thông &amp; Giải trí")</f>
        <v>Truyền thông &amp; Giải trí</v>
      </c>
      <c r="E547" s="265" t="str">
        <f>IFERROR(__xludf.DUMMYFUNCTION("""COMPUTED_VALUE"""),"HoaNTM")</f>
        <v>HoaNTM</v>
      </c>
      <c r="F547" s="265" t="str">
        <f>IFERROR(__xludf.DUMMYFUNCTION("""COMPUTED_VALUE"""),"Sale chưa cung cấp")</f>
        <v>Sale chưa cung cấp</v>
      </c>
      <c r="G547" s="265" t="str">
        <f>IFERROR(__xludf.DUMMYFUNCTION("""COMPUTED_VALUE"""),"Standard")</f>
        <v>Standard</v>
      </c>
      <c r="H547" s="265" t="str">
        <f>IFERROR(__xludf.DUMMYFUNCTION("""COMPUTED_VALUE"""),"Trial")</f>
        <v>Trial</v>
      </c>
      <c r="I547" s="265" t="str">
        <f>IFERROR(__xludf.DUMMYFUNCTION("""COMPUTED_VALUE"""),"API &amp; Portal")</f>
        <v>API &amp; Portal</v>
      </c>
      <c r="J547" s="265" t="str">
        <f>IFERROR(__xludf.DUMMYFUNCTION("""COMPUTED_VALUE"""),"Tất cả")</f>
        <v>Tất cả</v>
      </c>
    </row>
    <row r="548">
      <c r="A548" s="265" t="str">
        <f>IFERROR(__xludf.DUMMYFUNCTION("""COMPUTED_VALUE"""),"837")</f>
        <v>837</v>
      </c>
      <c r="B548" s="265" t="str">
        <f>IFERROR(__xludf.DUMMYFUNCTION("""COMPUTED_VALUE"""),"Sài Gòn")</f>
        <v>Sài Gòn</v>
      </c>
      <c r="C548" s="265" t="str">
        <f>IFERROR(__xludf.DUMMYFUNCTION("""COMPUTED_VALUE"""),"Locked")</f>
        <v>Locked</v>
      </c>
      <c r="D548" s="265" t="str">
        <f>IFERROR(__xludf.DUMMYFUNCTION("""COMPUTED_VALUE"""),"Sale chưa cung cấp")</f>
        <v>Sale chưa cung cấp</v>
      </c>
      <c r="E548" s="265" t="str">
        <f>IFERROR(__xludf.DUMMYFUNCTION("""COMPUTED_VALUE"""),"TùngLD")</f>
        <v>TùngLD</v>
      </c>
      <c r="F548" s="265" t="str">
        <f>IFERROR(__xludf.DUMMYFUNCTION("""COMPUTED_VALUE"""),"Gold")</f>
        <v>Gold</v>
      </c>
      <c r="G548" s="265" t="str">
        <f>IFERROR(__xludf.DUMMYFUNCTION("""COMPUTED_VALUE"""),"Premium")</f>
        <v>Premium</v>
      </c>
      <c r="H548" s="265" t="str">
        <f>IFERROR(__xludf.DUMMYFUNCTION("""COMPUTED_VALUE"""),"Trả sau")</f>
        <v>Trả sau</v>
      </c>
      <c r="I548" s="265" t="str">
        <f>IFERROR(__xludf.DUMMYFUNCTION("""COMPUTED_VALUE"""),"API")</f>
        <v>API</v>
      </c>
      <c r="J548" s="265" t="str">
        <f>IFERROR(__xludf.DUMMYFUNCTION("""COMPUTED_VALUE"""),"Zalo ZNS")</f>
        <v>Zalo ZNS</v>
      </c>
    </row>
    <row r="549">
      <c r="A549" s="265" t="str">
        <f>IFERROR(__xludf.DUMMYFUNCTION("""COMPUTED_VALUE"""),"833")</f>
        <v>833</v>
      </c>
      <c r="B549" s="265" t="str">
        <f>IFERROR(__xludf.DUMMYFUNCTION("""COMPUTED_VALUE"""),"Hà Nội")</f>
        <v>Hà Nội</v>
      </c>
      <c r="C549" s="265" t="str">
        <f>IFERROR(__xludf.DUMMYFUNCTION("""COMPUTED_VALUE"""),"Locked")</f>
        <v>Locked</v>
      </c>
      <c r="D549" s="265" t="str">
        <f>IFERROR(__xludf.DUMMYFUNCTION("""COMPUTED_VALUE"""),"Sale chưa cung cấp")</f>
        <v>Sale chưa cung cấp</v>
      </c>
      <c r="E549" s="265" t="str">
        <f>IFERROR(__xludf.DUMMYFUNCTION("""COMPUTED_VALUE"""),"TùngLD")</f>
        <v>TùngLD</v>
      </c>
      <c r="F549" s="265" t="str">
        <f>IFERROR(__xludf.DUMMYFUNCTION("""COMPUTED_VALUE"""),"Sale chưa cung cấp")</f>
        <v>Sale chưa cung cấp</v>
      </c>
      <c r="G549" s="265" t="str">
        <f>IFERROR(__xludf.DUMMYFUNCTION("""COMPUTED_VALUE"""),"(Không recheck)")</f>
        <v>(Không recheck)</v>
      </c>
      <c r="H549" s="265" t="str">
        <f>IFERROR(__xludf.DUMMYFUNCTION("""COMPUTED_VALUE"""),"Trial")</f>
        <v>Trial</v>
      </c>
      <c r="I549" s="265" t="str">
        <f>IFERROR(__xludf.DUMMYFUNCTION("""COMPUTED_VALUE"""),"API")</f>
        <v>API</v>
      </c>
      <c r="J549" s="265" t="str">
        <f>IFERROR(__xludf.DUMMYFUNCTION("""COMPUTED_VALUE"""),"Zalo ZNS")</f>
        <v>Zalo ZNS</v>
      </c>
    </row>
    <row r="550">
      <c r="A550" s="265" t="str">
        <f>IFERROR(__xludf.DUMMYFUNCTION("""COMPUTED_VALUE"""),"833")</f>
        <v>833</v>
      </c>
      <c r="B550" s="265" t="str">
        <f>IFERROR(__xludf.DUMMYFUNCTION("""COMPUTED_VALUE"""),"Hà Nội")</f>
        <v>Hà Nội</v>
      </c>
      <c r="C550" s="265" t="str">
        <f>IFERROR(__xludf.DUMMYFUNCTION("""COMPUTED_VALUE"""),"Locked")</f>
        <v>Locked</v>
      </c>
      <c r="D550" s="265" t="str">
        <f>IFERROR(__xludf.DUMMYFUNCTION("""COMPUTED_VALUE"""),"Sale chưa cung cấp")</f>
        <v>Sale chưa cung cấp</v>
      </c>
      <c r="E550" s="265" t="str">
        <f>IFERROR(__xludf.DUMMYFUNCTION("""COMPUTED_VALUE"""),"TùngLD")</f>
        <v>TùngLD</v>
      </c>
      <c r="F550" s="265" t="str">
        <f>IFERROR(__xludf.DUMMYFUNCTION("""COMPUTED_VALUE"""),"Sale chưa cung cấp")</f>
        <v>Sale chưa cung cấp</v>
      </c>
      <c r="G550" s="265" t="str">
        <f>IFERROR(__xludf.DUMMYFUNCTION("""COMPUTED_VALUE"""),"(Không recheck)")</f>
        <v>(Không recheck)</v>
      </c>
      <c r="H550" s="265" t="str">
        <f>IFERROR(__xludf.DUMMYFUNCTION("""COMPUTED_VALUE"""),"Trial")</f>
        <v>Trial</v>
      </c>
      <c r="I550" s="265" t="str">
        <f>IFERROR(__xludf.DUMMYFUNCTION("""COMPUTED_VALUE"""),"API")</f>
        <v>API</v>
      </c>
      <c r="J550" s="265" t="str">
        <f>IFERROR(__xludf.DUMMYFUNCTION("""COMPUTED_VALUE"""),"SMS CSKH")</f>
        <v>SMS CSKH</v>
      </c>
    </row>
    <row r="551">
      <c r="A551" s="265" t="str">
        <f>IFERROR(__xludf.DUMMYFUNCTION("""COMPUTED_VALUE"""),"834")</f>
        <v>834</v>
      </c>
      <c r="B551" s="265" t="str">
        <f>IFERROR(__xludf.DUMMYFUNCTION("""COMPUTED_VALUE"""),"Hà Nội")</f>
        <v>Hà Nội</v>
      </c>
      <c r="C551" s="265" t="str">
        <f>IFERROR(__xludf.DUMMYFUNCTION("""COMPUTED_VALUE"""),"Locked")</f>
        <v>Locked</v>
      </c>
      <c r="D551" s="265" t="str">
        <f>IFERROR(__xludf.DUMMYFUNCTION("""COMPUTED_VALUE"""),"Sale chưa cung cấp")</f>
        <v>Sale chưa cung cấp</v>
      </c>
      <c r="E551" s="265" t="str">
        <f>IFERROR(__xludf.DUMMYFUNCTION("""COMPUTED_VALUE"""),"AnhNM")</f>
        <v>AnhNM</v>
      </c>
      <c r="F551" s="265" t="str">
        <f>IFERROR(__xludf.DUMMYFUNCTION("""COMPUTED_VALUE"""),"Sale chưa cung cấp")</f>
        <v>Sale chưa cung cấp</v>
      </c>
      <c r="G551" s="265" t="str">
        <f>IFERROR(__xludf.DUMMYFUNCTION("""COMPUTED_VALUE"""),"Premium")</f>
        <v>Premium</v>
      </c>
      <c r="H551" s="265" t="str">
        <f>IFERROR(__xludf.DUMMYFUNCTION("""COMPUTED_VALUE"""),"Trả trước")</f>
        <v>Trả trước</v>
      </c>
      <c r="I551" s="265" t="str">
        <f>IFERROR(__xludf.DUMMYFUNCTION("""COMPUTED_VALUE"""),"API &amp; Portal")</f>
        <v>API &amp; Portal</v>
      </c>
      <c r="J551" s="265" t="str">
        <f>IFERROR(__xludf.DUMMYFUNCTION("""COMPUTED_VALUE"""),"Zalo ZNS")</f>
        <v>Zalo ZNS</v>
      </c>
    </row>
    <row r="552">
      <c r="A552" s="265" t="str">
        <f>IFERROR(__xludf.DUMMYFUNCTION("""COMPUTED_VALUE"""),"836")</f>
        <v>836</v>
      </c>
      <c r="B552" s="265" t="str">
        <f>IFERROR(__xludf.DUMMYFUNCTION("""COMPUTED_VALUE"""),"Sài Gòn")</f>
        <v>Sài Gòn</v>
      </c>
      <c r="C552" s="265" t="str">
        <f>IFERROR(__xludf.DUMMYFUNCTION("""COMPUTED_VALUE"""),"Locked")</f>
        <v>Locked</v>
      </c>
      <c r="D552" s="265" t="str">
        <f>IFERROR(__xludf.DUMMYFUNCTION("""COMPUTED_VALUE"""),"Sale chưa cung cấp")</f>
        <v>Sale chưa cung cấp</v>
      </c>
      <c r="E552" s="265" t="str">
        <f>IFERROR(__xludf.DUMMYFUNCTION("""COMPUTED_VALUE"""),"HoaNTM")</f>
        <v>HoaNTM</v>
      </c>
      <c r="F552" s="265" t="str">
        <f>IFERROR(__xludf.DUMMYFUNCTION("""COMPUTED_VALUE"""),"Diamond")</f>
        <v>Diamond</v>
      </c>
      <c r="G552" s="265" t="str">
        <f>IFERROR(__xludf.DUMMYFUNCTION("""COMPUTED_VALUE"""),"API")</f>
        <v>API</v>
      </c>
      <c r="H552" s="265" t="str">
        <f>IFERROR(__xludf.DUMMYFUNCTION("""COMPUTED_VALUE"""),"Trả trước")</f>
        <v>Trả trước</v>
      </c>
      <c r="I552" s="265" t="str">
        <f>IFERROR(__xludf.DUMMYFUNCTION("""COMPUTED_VALUE"""),"API")</f>
        <v>API</v>
      </c>
      <c r="J552" s="265" t="str">
        <f>IFERROR(__xludf.DUMMYFUNCTION("""COMPUTED_VALUE"""),"Zalo ZNS")</f>
        <v>Zalo ZNS</v>
      </c>
    </row>
    <row r="553">
      <c r="A553" s="265" t="str">
        <f>IFERROR(__xludf.DUMMYFUNCTION("""COMPUTED_VALUE"""),"836")</f>
        <v>836</v>
      </c>
      <c r="B553" s="265" t="str">
        <f>IFERROR(__xludf.DUMMYFUNCTION("""COMPUTED_VALUE"""),"Sài Gòn")</f>
        <v>Sài Gòn</v>
      </c>
      <c r="C553" s="265" t="str">
        <f>IFERROR(__xludf.DUMMYFUNCTION("""COMPUTED_VALUE"""),"Locked")</f>
        <v>Locked</v>
      </c>
      <c r="D553" s="265" t="str">
        <f>IFERROR(__xludf.DUMMYFUNCTION("""COMPUTED_VALUE"""),"Sale chưa cung cấp")</f>
        <v>Sale chưa cung cấp</v>
      </c>
      <c r="E553" s="265" t="str">
        <f>IFERROR(__xludf.DUMMYFUNCTION("""COMPUTED_VALUE"""),"HoaNTM")</f>
        <v>HoaNTM</v>
      </c>
      <c r="F553" s="265" t="str">
        <f>IFERROR(__xludf.DUMMYFUNCTION("""COMPUTED_VALUE"""),"Diamond")</f>
        <v>Diamond</v>
      </c>
      <c r="G553" s="265" t="str">
        <f>IFERROR(__xludf.DUMMYFUNCTION("""COMPUTED_VALUE"""),"API")</f>
        <v>API</v>
      </c>
      <c r="H553" s="265" t="str">
        <f>IFERROR(__xludf.DUMMYFUNCTION("""COMPUTED_VALUE"""),"Trả trước")</f>
        <v>Trả trước</v>
      </c>
      <c r="I553" s="265" t="str">
        <f>IFERROR(__xludf.DUMMYFUNCTION("""COMPUTED_VALUE"""),"API")</f>
        <v>API</v>
      </c>
      <c r="J553" s="265" t="str">
        <f>IFERROR(__xludf.DUMMYFUNCTION("""COMPUTED_VALUE"""),"Zalo UID")</f>
        <v>Zalo UID</v>
      </c>
    </row>
    <row r="554">
      <c r="A554" s="265" t="str">
        <f>IFERROR(__xludf.DUMMYFUNCTION("""COMPUTED_VALUE"""),"838")</f>
        <v>838</v>
      </c>
      <c r="B554" s="265" t="str">
        <f>IFERROR(__xludf.DUMMYFUNCTION("""COMPUTED_VALUE"""),"Hà Nội")</f>
        <v>Hà Nội</v>
      </c>
      <c r="C554" s="265" t="str">
        <f>IFERROR(__xludf.DUMMYFUNCTION("""COMPUTED_VALUE"""),"Locked")</f>
        <v>Locked</v>
      </c>
      <c r="D554" s="265" t="str">
        <f>IFERROR(__xludf.DUMMYFUNCTION("""COMPUTED_VALUE"""),"Dịch vụ khác")</f>
        <v>Dịch vụ khác</v>
      </c>
      <c r="E554" s="265" t="str">
        <f>IFERROR(__xludf.DUMMYFUNCTION("""COMPUTED_VALUE"""),"AnhNM")</f>
        <v>AnhNM</v>
      </c>
      <c r="F554" s="265" t="str">
        <f>IFERROR(__xludf.DUMMYFUNCTION("""COMPUTED_VALUE"""),"Sale chưa cung cấp")</f>
        <v>Sale chưa cung cấp</v>
      </c>
      <c r="G554" s="265" t="str">
        <f>IFERROR(__xludf.DUMMYFUNCTION("""COMPUTED_VALUE"""),"Premium")</f>
        <v>Premium</v>
      </c>
      <c r="H554" s="265" t="str">
        <f>IFERROR(__xludf.DUMMYFUNCTION("""COMPUTED_VALUE"""),"Trả trước")</f>
        <v>Trả trước</v>
      </c>
      <c r="I554" s="265" t="str">
        <f>IFERROR(__xludf.DUMMYFUNCTION("""COMPUTED_VALUE"""),"API &amp; Portal")</f>
        <v>API &amp; Portal</v>
      </c>
      <c r="J554" s="265" t="str">
        <f>IFERROR(__xludf.DUMMYFUNCTION("""COMPUTED_VALUE"""),"Zalo ZNS")</f>
        <v>Zalo ZNS</v>
      </c>
    </row>
    <row r="555">
      <c r="A555" s="265" t="str">
        <f>IFERROR(__xludf.DUMMYFUNCTION("""COMPUTED_VALUE"""),"884")</f>
        <v>884</v>
      </c>
      <c r="B555" s="265" t="str">
        <f>IFERROR(__xludf.DUMMYFUNCTION("""COMPUTED_VALUE"""),"Đà Nẵng")</f>
        <v>Đà Nẵng</v>
      </c>
      <c r="C555" s="265" t="str">
        <f>IFERROR(__xludf.DUMMYFUNCTION("""COMPUTED_VALUE"""),"Locked")</f>
        <v>Locked</v>
      </c>
      <c r="D555" s="265" t="str">
        <f>IFERROR(__xludf.DUMMYFUNCTION("""COMPUTED_VALUE"""),"Thời trang &amp; May mặc")</f>
        <v>Thời trang &amp; May mặc</v>
      </c>
      <c r="E555" s="265" t="str">
        <f>IFERROR(__xludf.DUMMYFUNCTION("""COMPUTED_VALUE"""),"TúPHN")</f>
        <v>TúPHN</v>
      </c>
      <c r="F555" s="265" t="str">
        <f>IFERROR(__xludf.DUMMYFUNCTION("""COMPUTED_VALUE"""),"Bronze")</f>
        <v>Bronze</v>
      </c>
      <c r="G555" s="265" t="str">
        <f>IFERROR(__xludf.DUMMYFUNCTION("""COMPUTED_VALUE"""),"Starter")</f>
        <v>Starter</v>
      </c>
      <c r="H555" s="265" t="str">
        <f>IFERROR(__xludf.DUMMYFUNCTION("""COMPUTED_VALUE"""),"Trả sau")</f>
        <v>Trả sau</v>
      </c>
      <c r="I555" s="265" t="str">
        <f>IFERROR(__xludf.DUMMYFUNCTION("""COMPUTED_VALUE"""),"Portal")</f>
        <v>Portal</v>
      </c>
      <c r="J555" s="265" t="str">
        <f>IFERROR(__xludf.DUMMYFUNCTION("""COMPUTED_VALUE"""),"Zalo ZNS")</f>
        <v>Zalo ZNS</v>
      </c>
    </row>
    <row r="556">
      <c r="A556" s="265" t="str">
        <f>IFERROR(__xludf.DUMMYFUNCTION("""COMPUTED_VALUE"""),"839")</f>
        <v>839</v>
      </c>
      <c r="B556" s="265" t="str">
        <f>IFERROR(__xludf.DUMMYFUNCTION("""COMPUTED_VALUE"""),"Sài Gòn")</f>
        <v>Sài Gòn</v>
      </c>
      <c r="C556" s="265" t="str">
        <f>IFERROR(__xludf.DUMMYFUNCTION("""COMPUTED_VALUE"""),"Locked")</f>
        <v>Locked</v>
      </c>
      <c r="D556" s="265" t="str">
        <f>IFERROR(__xludf.DUMMYFUNCTION("""COMPUTED_VALUE"""),"Sale chưa cung cấp")</f>
        <v>Sale chưa cung cấp</v>
      </c>
      <c r="E556" s="265" t="str">
        <f>IFERROR(__xludf.DUMMYFUNCTION("""COMPUTED_VALUE"""),"HoaNTM")</f>
        <v>HoaNTM</v>
      </c>
      <c r="F556" s="265" t="str">
        <f>IFERROR(__xludf.DUMMYFUNCTION("""COMPUTED_VALUE"""),"Diamond")</f>
        <v>Diamond</v>
      </c>
      <c r="G556" s="265" t="str">
        <f>IFERROR(__xludf.DUMMYFUNCTION("""COMPUTED_VALUE"""),"Enterprise")</f>
        <v>Enterprise</v>
      </c>
      <c r="H556" s="265" t="str">
        <f>IFERROR(__xludf.DUMMYFUNCTION("""COMPUTED_VALUE"""),"Trả sau")</f>
        <v>Trả sau</v>
      </c>
      <c r="I556" s="265" t="str">
        <f>IFERROR(__xludf.DUMMYFUNCTION("""COMPUTED_VALUE"""),"Portal")</f>
        <v>Portal</v>
      </c>
      <c r="J556" s="265" t="str">
        <f>IFERROR(__xludf.DUMMYFUNCTION("""COMPUTED_VALUE"""),"Zalo ZNS")</f>
        <v>Zalo ZNS</v>
      </c>
    </row>
    <row r="557">
      <c r="A557" s="265" t="str">
        <f>IFERROR(__xludf.DUMMYFUNCTION("""COMPUTED_VALUE"""),"841")</f>
        <v>841</v>
      </c>
      <c r="B557" s="265" t="str">
        <f>IFERROR(__xludf.DUMMYFUNCTION("""COMPUTED_VALUE"""),"Sài Gòn")</f>
        <v>Sài Gòn</v>
      </c>
      <c r="C557" s="265" t="str">
        <f>IFERROR(__xludf.DUMMYFUNCTION("""COMPUTED_VALUE"""),"Locked")</f>
        <v>Locked</v>
      </c>
      <c r="D557" s="265" t="str">
        <f>IFERROR(__xludf.DUMMYFUNCTION("""COMPUTED_VALUE"""),"Vận tải &amp; logistics")</f>
        <v>Vận tải &amp; logistics</v>
      </c>
      <c r="E557" s="265" t="str">
        <f>IFERROR(__xludf.DUMMYFUNCTION("""COMPUTED_VALUE"""),"TúPHN")</f>
        <v>TúPHN</v>
      </c>
      <c r="F557" s="265" t="str">
        <f>IFERROR(__xludf.DUMMYFUNCTION("""COMPUTED_VALUE"""),"Sale chưa cung cấp")</f>
        <v>Sale chưa cung cấp</v>
      </c>
      <c r="G557" s="265" t="str">
        <f>IFERROR(__xludf.DUMMYFUNCTION("""COMPUTED_VALUE"""),"Starter")</f>
        <v>Starter</v>
      </c>
      <c r="H557" s="265" t="str">
        <f>IFERROR(__xludf.DUMMYFUNCTION("""COMPUTED_VALUE"""),"Trial")</f>
        <v>Trial</v>
      </c>
      <c r="I557" s="265" t="str">
        <f>IFERROR(__xludf.DUMMYFUNCTION("""COMPUTED_VALUE"""),"API &amp; Portal")</f>
        <v>API &amp; Portal</v>
      </c>
      <c r="J557" s="265" t="str">
        <f>IFERROR(__xludf.DUMMYFUNCTION("""COMPUTED_VALUE"""),"Zalo ZNS")</f>
        <v>Zalo ZNS</v>
      </c>
    </row>
    <row r="558">
      <c r="A558" s="265" t="str">
        <f>IFERROR(__xludf.DUMMYFUNCTION("""COMPUTED_VALUE"""),"841")</f>
        <v>841</v>
      </c>
      <c r="B558" s="265" t="str">
        <f>IFERROR(__xludf.DUMMYFUNCTION("""COMPUTED_VALUE"""),"Sài Gòn")</f>
        <v>Sài Gòn</v>
      </c>
      <c r="C558" s="265" t="str">
        <f>IFERROR(__xludf.DUMMYFUNCTION("""COMPUTED_VALUE"""),"Locked")</f>
        <v>Locked</v>
      </c>
      <c r="D558" s="265" t="str">
        <f>IFERROR(__xludf.DUMMYFUNCTION("""COMPUTED_VALUE"""),"Vận tải &amp; logistics")</f>
        <v>Vận tải &amp; logistics</v>
      </c>
      <c r="E558" s="265" t="str">
        <f>IFERROR(__xludf.DUMMYFUNCTION("""COMPUTED_VALUE"""),"TúPHN")</f>
        <v>TúPHN</v>
      </c>
      <c r="F558" s="265" t="str">
        <f>IFERROR(__xludf.DUMMYFUNCTION("""COMPUTED_VALUE"""),"Sale chưa cung cấp")</f>
        <v>Sale chưa cung cấp</v>
      </c>
      <c r="G558" s="265" t="str">
        <f>IFERROR(__xludf.DUMMYFUNCTION("""COMPUTED_VALUE"""),"Starter")</f>
        <v>Starter</v>
      </c>
      <c r="H558" s="265" t="str">
        <f>IFERROR(__xludf.DUMMYFUNCTION("""COMPUTED_VALUE"""),"Trial")</f>
        <v>Trial</v>
      </c>
      <c r="I558" s="265" t="str">
        <f>IFERROR(__xludf.DUMMYFUNCTION("""COMPUTED_VALUE"""),"API &amp; Portal")</f>
        <v>API &amp; Portal</v>
      </c>
      <c r="J558" s="265" t="str">
        <f>IFERROR(__xludf.DUMMYFUNCTION("""COMPUTED_VALUE"""),"SMS CSKH")</f>
        <v>SMS CSKH</v>
      </c>
    </row>
    <row r="559">
      <c r="A559" s="265" t="str">
        <f>IFERROR(__xludf.DUMMYFUNCTION("""COMPUTED_VALUE"""),"840")</f>
        <v>840</v>
      </c>
      <c r="B559" s="265" t="str">
        <f>IFERROR(__xludf.DUMMYFUNCTION("""COMPUTED_VALUE"""),"Sài Gòn")</f>
        <v>Sài Gòn</v>
      </c>
      <c r="C559" s="265" t="str">
        <f>IFERROR(__xludf.DUMMYFUNCTION("""COMPUTED_VALUE"""),"Locked")</f>
        <v>Locked</v>
      </c>
      <c r="D559" s="265" t="str">
        <f>IFERROR(__xludf.DUMMYFUNCTION("""COMPUTED_VALUE"""),"Thực phẩm &amp; Đồ uống")</f>
        <v>Thực phẩm &amp; Đồ uống</v>
      </c>
      <c r="E559" s="265" t="str">
        <f>IFERROR(__xludf.DUMMYFUNCTION("""COMPUTED_VALUE"""),"HoaNTM")</f>
        <v>HoaNTM</v>
      </c>
      <c r="F559" s="265" t="str">
        <f>IFERROR(__xludf.DUMMYFUNCTION("""COMPUTED_VALUE"""),"Gold")</f>
        <v>Gold</v>
      </c>
      <c r="G559" s="265" t="str">
        <f>IFERROR(__xludf.DUMMYFUNCTION("""COMPUTED_VALUE"""),"API")</f>
        <v>API</v>
      </c>
      <c r="H559" s="265" t="str">
        <f>IFERROR(__xludf.DUMMYFUNCTION("""COMPUTED_VALUE"""),"Trả sau")</f>
        <v>Trả sau</v>
      </c>
      <c r="I559" s="265" t="str">
        <f>IFERROR(__xludf.DUMMYFUNCTION("""COMPUTED_VALUE"""),"API")</f>
        <v>API</v>
      </c>
      <c r="J559" s="265" t="str">
        <f>IFERROR(__xludf.DUMMYFUNCTION("""COMPUTED_VALUE"""),"Zalo ZNS")</f>
        <v>Zalo ZNS</v>
      </c>
    </row>
    <row r="560">
      <c r="A560" s="265" t="str">
        <f>IFERROR(__xludf.DUMMYFUNCTION("""COMPUTED_VALUE"""),"842")</f>
        <v>842</v>
      </c>
      <c r="B560" s="265" t="str">
        <f>IFERROR(__xludf.DUMMYFUNCTION("""COMPUTED_VALUE"""),"Sài Gòn")</f>
        <v>Sài Gòn</v>
      </c>
      <c r="C560" s="265" t="str">
        <f>IFERROR(__xludf.DUMMYFUNCTION("""COMPUTED_VALUE"""),"Locked")</f>
        <v>Locked</v>
      </c>
      <c r="D560" s="265" t="str">
        <f>IFERROR(__xludf.DUMMYFUNCTION("""COMPUTED_VALUE"""),"Bảo hiểm")</f>
        <v>Bảo hiểm</v>
      </c>
      <c r="E560" s="265" t="str">
        <f>IFERROR(__xludf.DUMMYFUNCTION("""COMPUTED_VALUE"""),"HoaNTM")</f>
        <v>HoaNTM</v>
      </c>
      <c r="F560" s="265" t="str">
        <f>IFERROR(__xludf.DUMMYFUNCTION("""COMPUTED_VALUE"""),"Sale chưa cung cấp")</f>
        <v>Sale chưa cung cấp</v>
      </c>
      <c r="G560" s="265" t="str">
        <f>IFERROR(__xludf.DUMMYFUNCTION("""COMPUTED_VALUE"""),"Starter")</f>
        <v>Starter</v>
      </c>
      <c r="H560" s="265" t="str">
        <f>IFERROR(__xludf.DUMMYFUNCTION("""COMPUTED_VALUE"""),"Trial")</f>
        <v>Trial</v>
      </c>
      <c r="I560" s="265" t="str">
        <f>IFERROR(__xludf.DUMMYFUNCTION("""COMPUTED_VALUE"""),"API &amp; Portal")</f>
        <v>API &amp; Portal</v>
      </c>
      <c r="J560" s="265" t="str">
        <f>IFERROR(__xludf.DUMMYFUNCTION("""COMPUTED_VALUE"""),"GapOne")</f>
        <v>GapOne</v>
      </c>
    </row>
    <row r="561">
      <c r="A561" s="265" t="str">
        <f>IFERROR(__xludf.DUMMYFUNCTION("""COMPUTED_VALUE"""),"843")</f>
        <v>843</v>
      </c>
      <c r="B561" s="265" t="str">
        <f>IFERROR(__xludf.DUMMYFUNCTION("""COMPUTED_VALUE"""),"Sài Gòn")</f>
        <v>Sài Gòn</v>
      </c>
      <c r="C561" s="265" t="str">
        <f>IFERROR(__xludf.DUMMYFUNCTION("""COMPUTED_VALUE"""),"Locked")</f>
        <v>Locked</v>
      </c>
      <c r="D561" s="265" t="str">
        <f>IFERROR(__xludf.DUMMYFUNCTION("""COMPUTED_VALUE"""),"Sale chưa cung cấp")</f>
        <v>Sale chưa cung cấp</v>
      </c>
      <c r="E561" s="265" t="str">
        <f>IFERROR(__xludf.DUMMYFUNCTION("""COMPUTED_VALUE"""),"(Chưa recheck)")</f>
        <v>(Chưa recheck)</v>
      </c>
      <c r="F561" s="265" t="str">
        <f>IFERROR(__xludf.DUMMYFUNCTION("""COMPUTED_VALUE"""),"Sale chưa cung cấp")</f>
        <v>Sale chưa cung cấp</v>
      </c>
      <c r="G561" s="265" t="str">
        <f>IFERROR(__xludf.DUMMYFUNCTION("""COMPUTED_VALUE"""),"Standard")</f>
        <v>Standard</v>
      </c>
      <c r="H561" s="265" t="str">
        <f>IFERROR(__xludf.DUMMYFUNCTION("""COMPUTED_VALUE"""),"Trial")</f>
        <v>Trial</v>
      </c>
      <c r="I561" s="265" t="str">
        <f>IFERROR(__xludf.DUMMYFUNCTION("""COMPUTED_VALUE"""),"API")</f>
        <v>API</v>
      </c>
      <c r="J561" s="265" t="str">
        <f>IFERROR(__xludf.DUMMYFUNCTION("""COMPUTED_VALUE"""),"(Chưa recheck)")</f>
        <v>(Chưa recheck)</v>
      </c>
    </row>
    <row r="562">
      <c r="A562" s="265" t="str">
        <f>IFERROR(__xludf.DUMMYFUNCTION("""COMPUTED_VALUE"""),"844")</f>
        <v>844</v>
      </c>
      <c r="B562" s="265" t="str">
        <f>IFERROR(__xludf.DUMMYFUNCTION("""COMPUTED_VALUE"""),"Sài Gòn")</f>
        <v>Sài Gòn</v>
      </c>
      <c r="C562" s="265" t="str">
        <f>IFERROR(__xludf.DUMMYFUNCTION("""COMPUTED_VALUE"""),"Locked")</f>
        <v>Locked</v>
      </c>
      <c r="D562" s="265" t="str">
        <f>IFERROR(__xludf.DUMMYFUNCTION("""COMPUTED_VALUE"""),"Mua sắm &amp; Bán lẻ")</f>
        <v>Mua sắm &amp; Bán lẻ</v>
      </c>
      <c r="E562" s="265" t="str">
        <f>IFERROR(__xludf.DUMMYFUNCTION("""COMPUTED_VALUE"""),"TúPHN")</f>
        <v>TúPHN</v>
      </c>
      <c r="F562" s="265" t="str">
        <f>IFERROR(__xludf.DUMMYFUNCTION("""COMPUTED_VALUE"""),"Sale chưa cung cấp")</f>
        <v>Sale chưa cung cấp</v>
      </c>
      <c r="G562" s="265" t="str">
        <f>IFERROR(__xludf.DUMMYFUNCTION("""COMPUTED_VALUE"""),"Premium")</f>
        <v>Premium</v>
      </c>
      <c r="H562" s="265" t="str">
        <f>IFERROR(__xludf.DUMMYFUNCTION("""COMPUTED_VALUE"""),"Trial")</f>
        <v>Trial</v>
      </c>
      <c r="I562" s="265" t="str">
        <f>IFERROR(__xludf.DUMMYFUNCTION("""COMPUTED_VALUE"""),"API &amp; Portal")</f>
        <v>API &amp; Portal</v>
      </c>
      <c r="J562" s="265" t="str">
        <f>IFERROR(__xludf.DUMMYFUNCTION("""COMPUTED_VALUE"""),"Zalo ZNS")</f>
        <v>Zalo ZNS</v>
      </c>
    </row>
    <row r="563">
      <c r="A563" s="265" t="str">
        <f>IFERROR(__xludf.DUMMYFUNCTION("""COMPUTED_VALUE"""),"845")</f>
        <v>845</v>
      </c>
      <c r="B563" s="265" t="str">
        <f>IFERROR(__xludf.DUMMYFUNCTION("""COMPUTED_VALUE"""),"Sài Gòn")</f>
        <v>Sài Gòn</v>
      </c>
      <c r="C563" s="265" t="str">
        <f>IFERROR(__xludf.DUMMYFUNCTION("""COMPUTED_VALUE"""),"Locked")</f>
        <v>Locked</v>
      </c>
      <c r="D563" s="265" t="str">
        <f>IFERROR(__xludf.DUMMYFUNCTION("""COMPUTED_VALUE"""),"Mỹ phẩm &amp; Làm đẹp")</f>
        <v>Mỹ phẩm &amp; Làm đẹp</v>
      </c>
      <c r="E563" s="265" t="str">
        <f>IFERROR(__xludf.DUMMYFUNCTION("""COMPUTED_VALUE"""),"TùngLD")</f>
        <v>TùngLD</v>
      </c>
      <c r="F563" s="265" t="str">
        <f>IFERROR(__xludf.DUMMYFUNCTION("""COMPUTED_VALUE"""),"Sale chưa cung cấp")</f>
        <v>Sale chưa cung cấp</v>
      </c>
      <c r="G563" s="265" t="str">
        <f>IFERROR(__xludf.DUMMYFUNCTION("""COMPUTED_VALUE"""),"Premium")</f>
        <v>Premium</v>
      </c>
      <c r="H563" s="265" t="str">
        <f>IFERROR(__xludf.DUMMYFUNCTION("""COMPUTED_VALUE"""),"Trial")</f>
        <v>Trial</v>
      </c>
      <c r="I563" s="265" t="str">
        <f>IFERROR(__xludf.DUMMYFUNCTION("""COMPUTED_VALUE"""),"API &amp; Portal")</f>
        <v>API &amp; Portal</v>
      </c>
      <c r="J563" s="265" t="str">
        <f>IFERROR(__xludf.DUMMYFUNCTION("""COMPUTED_VALUE"""),"Zalo ZNS")</f>
        <v>Zalo ZNS</v>
      </c>
    </row>
    <row r="564">
      <c r="A564" s="265" t="str">
        <f>IFERROR(__xludf.DUMMYFUNCTION("""COMPUTED_VALUE"""),"846")</f>
        <v>846</v>
      </c>
      <c r="B564" s="265" t="str">
        <f>IFERROR(__xludf.DUMMYFUNCTION("""COMPUTED_VALUE"""),"Hà Nội")</f>
        <v>Hà Nội</v>
      </c>
      <c r="C564" s="265" t="str">
        <f>IFERROR(__xludf.DUMMYFUNCTION("""COMPUTED_VALUE"""),"Locked")</f>
        <v>Locked</v>
      </c>
      <c r="D564" s="265" t="str">
        <f>IFERROR(__xludf.DUMMYFUNCTION("""COMPUTED_VALUE"""),"Hành chính công")</f>
        <v>Hành chính công</v>
      </c>
      <c r="E564" s="265" t="str">
        <f>IFERROR(__xludf.DUMMYFUNCTION("""COMPUTED_VALUE"""),"TùngLD")</f>
        <v>TùngLD</v>
      </c>
      <c r="F564" s="265" t="str">
        <f>IFERROR(__xludf.DUMMYFUNCTION("""COMPUTED_VALUE"""),"Bronze")</f>
        <v>Bronze</v>
      </c>
      <c r="G564" s="265" t="str">
        <f>IFERROR(__xludf.DUMMYFUNCTION("""COMPUTED_VALUE"""),"Premium")</f>
        <v>Premium</v>
      </c>
      <c r="H564" s="265" t="str">
        <f>IFERROR(__xludf.DUMMYFUNCTION("""COMPUTED_VALUE"""),"Trả trước")</f>
        <v>Trả trước</v>
      </c>
      <c r="I564" s="265" t="str">
        <f>IFERROR(__xludf.DUMMYFUNCTION("""COMPUTED_VALUE"""),"Portal")</f>
        <v>Portal</v>
      </c>
      <c r="J564" s="265" t="str">
        <f>IFERROR(__xludf.DUMMYFUNCTION("""COMPUTED_VALUE"""),"Tất cả")</f>
        <v>Tất cả</v>
      </c>
    </row>
    <row r="565">
      <c r="A565" s="265" t="str">
        <f>IFERROR(__xludf.DUMMYFUNCTION("""COMPUTED_VALUE"""),"847")</f>
        <v>847</v>
      </c>
      <c r="B565" s="265" t="str">
        <f>IFERROR(__xludf.DUMMYFUNCTION("""COMPUTED_VALUE"""),"Sài Gòn")</f>
        <v>Sài Gòn</v>
      </c>
      <c r="C565" s="265" t="str">
        <f>IFERROR(__xludf.DUMMYFUNCTION("""COMPUTED_VALUE"""),"Locked")</f>
        <v>Locked</v>
      </c>
      <c r="D565" s="265" t="str">
        <f>IFERROR(__xludf.DUMMYFUNCTION("""COMPUTED_VALUE"""),"Du lịch &amp; Lưu trú")</f>
        <v>Du lịch &amp; Lưu trú</v>
      </c>
      <c r="E565" s="265" t="str">
        <f>IFERROR(__xludf.DUMMYFUNCTION("""COMPUTED_VALUE"""),"TúPHN")</f>
        <v>TúPHN</v>
      </c>
      <c r="F565" s="265" t="str">
        <f>IFERROR(__xludf.DUMMYFUNCTION("""COMPUTED_VALUE"""),"Sale chưa cung cấp")</f>
        <v>Sale chưa cung cấp</v>
      </c>
      <c r="G565" s="265" t="str">
        <f>IFERROR(__xludf.DUMMYFUNCTION("""COMPUTED_VALUE"""),"Premium")</f>
        <v>Premium</v>
      </c>
      <c r="H565" s="265" t="str">
        <f>IFERROR(__xludf.DUMMYFUNCTION("""COMPUTED_VALUE"""),"Trial")</f>
        <v>Trial</v>
      </c>
      <c r="I565" s="265" t="str">
        <f>IFERROR(__xludf.DUMMYFUNCTION("""COMPUTED_VALUE"""),"API &amp; Portal")</f>
        <v>API &amp; Portal</v>
      </c>
      <c r="J565" s="265" t="str">
        <f>IFERROR(__xludf.DUMMYFUNCTION("""COMPUTED_VALUE"""),"Zalo ZNS")</f>
        <v>Zalo ZNS</v>
      </c>
    </row>
    <row r="566">
      <c r="A566" s="265" t="str">
        <f>IFERROR(__xludf.DUMMYFUNCTION("""COMPUTED_VALUE"""),"847")</f>
        <v>847</v>
      </c>
      <c r="B566" s="265" t="str">
        <f>IFERROR(__xludf.DUMMYFUNCTION("""COMPUTED_VALUE"""),"Sài Gòn")</f>
        <v>Sài Gòn</v>
      </c>
      <c r="C566" s="265" t="str">
        <f>IFERROR(__xludf.DUMMYFUNCTION("""COMPUTED_VALUE"""),"Locked")</f>
        <v>Locked</v>
      </c>
      <c r="D566" s="265" t="str">
        <f>IFERROR(__xludf.DUMMYFUNCTION("""COMPUTED_VALUE"""),"Du lịch &amp; Lưu trú")</f>
        <v>Du lịch &amp; Lưu trú</v>
      </c>
      <c r="E566" s="265" t="str">
        <f>IFERROR(__xludf.DUMMYFUNCTION("""COMPUTED_VALUE"""),"TúPHN")</f>
        <v>TúPHN</v>
      </c>
      <c r="F566" s="265" t="str">
        <f>IFERROR(__xludf.DUMMYFUNCTION("""COMPUTED_VALUE"""),"Sale chưa cung cấp")</f>
        <v>Sale chưa cung cấp</v>
      </c>
      <c r="G566" s="265" t="str">
        <f>IFERROR(__xludf.DUMMYFUNCTION("""COMPUTED_VALUE"""),"Premium")</f>
        <v>Premium</v>
      </c>
      <c r="H566" s="265" t="str">
        <f>IFERROR(__xludf.DUMMYFUNCTION("""COMPUTED_VALUE"""),"Trial")</f>
        <v>Trial</v>
      </c>
      <c r="I566" s="265" t="str">
        <f>IFERROR(__xludf.DUMMYFUNCTION("""COMPUTED_VALUE"""),"API &amp; Portal")</f>
        <v>API &amp; Portal</v>
      </c>
      <c r="J566" s="265" t="str">
        <f>IFERROR(__xludf.DUMMYFUNCTION("""COMPUTED_VALUE"""),"SMS CSKH")</f>
        <v>SMS CSKH</v>
      </c>
    </row>
    <row r="567">
      <c r="A567" s="265" t="str">
        <f>IFERROR(__xludf.DUMMYFUNCTION("""COMPUTED_VALUE"""),"848")</f>
        <v>848</v>
      </c>
      <c r="B567" s="265" t="str">
        <f>IFERROR(__xludf.DUMMYFUNCTION("""COMPUTED_VALUE"""),"Sài Gòn")</f>
        <v>Sài Gòn</v>
      </c>
      <c r="C567" s="265" t="str">
        <f>IFERROR(__xludf.DUMMYFUNCTION("""COMPUTED_VALUE"""),"Locked")</f>
        <v>Locked</v>
      </c>
      <c r="D567" s="265" t="str">
        <f>IFERROR(__xludf.DUMMYFUNCTION("""COMPUTED_VALUE"""),"Sale chưa cung cấp")</f>
        <v>Sale chưa cung cấp</v>
      </c>
      <c r="E567" s="265" t="str">
        <f>IFERROR(__xludf.DUMMYFUNCTION("""COMPUTED_VALUE"""),"(Chưa recheck)")</f>
        <v>(Chưa recheck)</v>
      </c>
      <c r="F567" s="265" t="str">
        <f>IFERROR(__xludf.DUMMYFUNCTION("""COMPUTED_VALUE"""),"Sale chưa cung cấp")</f>
        <v>Sale chưa cung cấp</v>
      </c>
      <c r="G567" s="265" t="str">
        <f>IFERROR(__xludf.DUMMYFUNCTION("""COMPUTED_VALUE"""),"(Chưa recheck)")</f>
        <v>(Chưa recheck)</v>
      </c>
      <c r="H567" s="265" t="str">
        <f>IFERROR(__xludf.DUMMYFUNCTION("""COMPUTED_VALUE"""),"Trial")</f>
        <v>Trial</v>
      </c>
      <c r="I567" s="265" t="str">
        <f>IFERROR(__xludf.DUMMYFUNCTION("""COMPUTED_VALUE"""),"(Chưa recheck)")</f>
        <v>(Chưa recheck)</v>
      </c>
      <c r="J567" s="265" t="str">
        <f>IFERROR(__xludf.DUMMYFUNCTION("""COMPUTED_VALUE"""),"(Chưa recheck)")</f>
        <v>(Chưa recheck)</v>
      </c>
    </row>
    <row r="568">
      <c r="A568" s="265" t="str">
        <f>IFERROR(__xludf.DUMMYFUNCTION("""COMPUTED_VALUE"""),"850")</f>
        <v>850</v>
      </c>
      <c r="B568" s="265" t="str">
        <f>IFERROR(__xludf.DUMMYFUNCTION("""COMPUTED_VALUE"""),"Hà Nội")</f>
        <v>Hà Nội</v>
      </c>
      <c r="C568" s="265" t="str">
        <f>IFERROR(__xludf.DUMMYFUNCTION("""COMPUTED_VALUE"""),"Locked")</f>
        <v>Locked</v>
      </c>
      <c r="D568" s="265" t="str">
        <f>IFERROR(__xludf.DUMMYFUNCTION("""COMPUTED_VALUE"""),"Viễn thông")</f>
        <v>Viễn thông</v>
      </c>
      <c r="E568" s="265" t="str">
        <f>IFERROR(__xludf.DUMMYFUNCTION("""COMPUTED_VALUE"""),"TúPHN")</f>
        <v>TúPHN</v>
      </c>
      <c r="F568" s="265" t="str">
        <f>IFERROR(__xludf.DUMMYFUNCTION("""COMPUTED_VALUE"""),"Sale chưa cung cấp")</f>
        <v>Sale chưa cung cấp</v>
      </c>
      <c r="G568" s="265" t="str">
        <f>IFERROR(__xludf.DUMMYFUNCTION("""COMPUTED_VALUE"""),"Premium")</f>
        <v>Premium</v>
      </c>
      <c r="H568" s="265" t="str">
        <f>IFERROR(__xludf.DUMMYFUNCTION("""COMPUTED_VALUE"""),"Trial")</f>
        <v>Trial</v>
      </c>
      <c r="I568" s="265" t="str">
        <f>IFERROR(__xludf.DUMMYFUNCTION("""COMPUTED_VALUE"""),"API")</f>
        <v>API</v>
      </c>
      <c r="J568" s="265" t="str">
        <f>IFERROR(__xludf.DUMMYFUNCTION("""COMPUTED_VALUE"""),"Tất cả")</f>
        <v>Tất cả</v>
      </c>
    </row>
    <row r="569">
      <c r="A569" s="265" t="str">
        <f>IFERROR(__xludf.DUMMYFUNCTION("""COMPUTED_VALUE"""),"849")</f>
        <v>849</v>
      </c>
      <c r="B569" s="265" t="str">
        <f>IFERROR(__xludf.DUMMYFUNCTION("""COMPUTED_VALUE"""),"Hà Nội")</f>
        <v>Hà Nội</v>
      </c>
      <c r="C569" s="265" t="str">
        <f>IFERROR(__xludf.DUMMYFUNCTION("""COMPUTED_VALUE"""),"Locked")</f>
        <v>Locked</v>
      </c>
      <c r="D569" s="265" t="str">
        <f>IFERROR(__xludf.DUMMYFUNCTION("""COMPUTED_VALUE"""),"Sale chưa cung cấp")</f>
        <v>Sale chưa cung cấp</v>
      </c>
      <c r="E569" s="265" t="str">
        <f>IFERROR(__xludf.DUMMYFUNCTION("""COMPUTED_VALUE"""),"AnhNM")</f>
        <v>AnhNM</v>
      </c>
      <c r="F569" s="265" t="str">
        <f>IFERROR(__xludf.DUMMYFUNCTION("""COMPUTED_VALUE"""),"Silver")</f>
        <v>Silver</v>
      </c>
      <c r="G569" s="265" t="str">
        <f>IFERROR(__xludf.DUMMYFUNCTION("""COMPUTED_VALUE"""),"Premium")</f>
        <v>Premium</v>
      </c>
      <c r="H569" s="265" t="str">
        <f>IFERROR(__xludf.DUMMYFUNCTION("""COMPUTED_VALUE"""),"Trả trước")</f>
        <v>Trả trước</v>
      </c>
      <c r="I569" s="265" t="str">
        <f>IFERROR(__xludf.DUMMYFUNCTION("""COMPUTED_VALUE"""),"Portal")</f>
        <v>Portal</v>
      </c>
      <c r="J569" s="265" t="str">
        <f>IFERROR(__xludf.DUMMYFUNCTION("""COMPUTED_VALUE"""),"Tất cả")</f>
        <v>Tất cả</v>
      </c>
    </row>
    <row r="570">
      <c r="A570" s="265" t="str">
        <f>IFERROR(__xludf.DUMMYFUNCTION("""COMPUTED_VALUE"""),"851")</f>
        <v>851</v>
      </c>
      <c r="B570" s="265" t="str">
        <f>IFERROR(__xludf.DUMMYFUNCTION("""COMPUTED_VALUE"""),"Sài Gòn")</f>
        <v>Sài Gòn</v>
      </c>
      <c r="C570" s="265" t="str">
        <f>IFERROR(__xludf.DUMMYFUNCTION("""COMPUTED_VALUE"""),"Locked")</f>
        <v>Locked</v>
      </c>
      <c r="D570" s="265" t="str">
        <f>IFERROR(__xludf.DUMMYFUNCTION("""COMPUTED_VALUE"""),"Thực phẩm &amp; Đồ uống")</f>
        <v>Thực phẩm &amp; Đồ uống</v>
      </c>
      <c r="E570" s="265" t="str">
        <f>IFERROR(__xludf.DUMMYFUNCTION("""COMPUTED_VALUE"""),"HoaNTM")</f>
        <v>HoaNTM</v>
      </c>
      <c r="F570" s="265" t="str">
        <f>IFERROR(__xludf.DUMMYFUNCTION("""COMPUTED_VALUE"""),"Diamond")</f>
        <v>Diamond</v>
      </c>
      <c r="G570" s="265" t="str">
        <f>IFERROR(__xludf.DUMMYFUNCTION("""COMPUTED_VALUE"""),"Starter")</f>
        <v>Starter</v>
      </c>
      <c r="H570" s="265" t="str">
        <f>IFERROR(__xludf.DUMMYFUNCTION("""COMPUTED_VALUE"""),"Trả trước")</f>
        <v>Trả trước</v>
      </c>
      <c r="I570" s="265" t="str">
        <f>IFERROR(__xludf.DUMMYFUNCTION("""COMPUTED_VALUE"""),"API &amp; Portal")</f>
        <v>API &amp; Portal</v>
      </c>
      <c r="J570" s="265" t="str">
        <f>IFERROR(__xludf.DUMMYFUNCTION("""COMPUTED_VALUE"""),"SMS CSKH")</f>
        <v>SMS CSKH</v>
      </c>
    </row>
    <row r="571">
      <c r="A571" s="265" t="str">
        <f>IFERROR(__xludf.DUMMYFUNCTION("""COMPUTED_VALUE"""),"853")</f>
        <v>853</v>
      </c>
      <c r="B571" s="265" t="str">
        <f>IFERROR(__xludf.DUMMYFUNCTION("""COMPUTED_VALUE"""),"Sài Gòn")</f>
        <v>Sài Gòn</v>
      </c>
      <c r="C571" s="265" t="str">
        <f>IFERROR(__xludf.DUMMYFUNCTION("""COMPUTED_VALUE"""),"Active")</f>
        <v>Active</v>
      </c>
      <c r="D571" s="265" t="str">
        <f>IFERROR(__xludf.DUMMYFUNCTION("""COMPUTED_VALUE"""),"Sale chưa cung cấp")</f>
        <v>Sale chưa cung cấp</v>
      </c>
      <c r="E571" s="265" t="str">
        <f>IFERROR(__xludf.DUMMYFUNCTION("""COMPUTED_VALUE"""),"TùngLD")</f>
        <v>TùngLD</v>
      </c>
      <c r="F571" s="265" t="str">
        <f>IFERROR(__xludf.DUMMYFUNCTION("""COMPUTED_VALUE"""),"Silver")</f>
        <v>Silver</v>
      </c>
      <c r="G571" s="265" t="str">
        <f>IFERROR(__xludf.DUMMYFUNCTION("""COMPUTED_VALUE"""),"Standard")</f>
        <v>Standard</v>
      </c>
      <c r="H571" s="265" t="str">
        <f>IFERROR(__xludf.DUMMYFUNCTION("""COMPUTED_VALUE"""),"Trả sau")</f>
        <v>Trả sau</v>
      </c>
      <c r="I571" s="265" t="str">
        <f>IFERROR(__xludf.DUMMYFUNCTION("""COMPUTED_VALUE"""),"API")</f>
        <v>API</v>
      </c>
      <c r="J571" s="265" t="str">
        <f>IFERROR(__xludf.DUMMYFUNCTION("""COMPUTED_VALUE"""),"Zalo ZNS")</f>
        <v>Zalo ZNS</v>
      </c>
    </row>
    <row r="572">
      <c r="A572" s="265" t="str">
        <f>IFERROR(__xludf.DUMMYFUNCTION("""COMPUTED_VALUE"""),"852")</f>
        <v>852</v>
      </c>
      <c r="B572" s="265" t="str">
        <f>IFERROR(__xludf.DUMMYFUNCTION("""COMPUTED_VALUE"""),"Hà Nội")</f>
        <v>Hà Nội</v>
      </c>
      <c r="C572" s="265" t="str">
        <f>IFERROR(__xludf.DUMMYFUNCTION("""COMPUTED_VALUE"""),"Active")</f>
        <v>Active</v>
      </c>
      <c r="D572" s="265" t="str">
        <f>IFERROR(__xludf.DUMMYFUNCTION("""COMPUTED_VALUE"""),"Mua sắm &amp; Bán lẻ")</f>
        <v>Mua sắm &amp; Bán lẻ</v>
      </c>
      <c r="E572" s="265" t="str">
        <f>IFERROR(__xludf.DUMMYFUNCTION("""COMPUTED_VALUE"""),"TúPHN")</f>
        <v>TúPHN</v>
      </c>
      <c r="F572" s="265" t="str">
        <f>IFERROR(__xludf.DUMMYFUNCTION("""COMPUTED_VALUE"""),"Gold")</f>
        <v>Gold</v>
      </c>
      <c r="G572" s="265" t="str">
        <f>IFERROR(__xludf.DUMMYFUNCTION("""COMPUTED_VALUE"""),"Starter")</f>
        <v>Starter</v>
      </c>
      <c r="H572" s="265" t="str">
        <f>IFERROR(__xludf.DUMMYFUNCTION("""COMPUTED_VALUE"""),"Trả sau")</f>
        <v>Trả sau</v>
      </c>
      <c r="I572" s="265" t="str">
        <f>IFERROR(__xludf.DUMMYFUNCTION("""COMPUTED_VALUE"""),"API &amp; Portal")</f>
        <v>API &amp; Portal</v>
      </c>
      <c r="J572" s="265" t="str">
        <f>IFERROR(__xludf.DUMMYFUNCTION("""COMPUTED_VALUE"""),"SMS CSKH")</f>
        <v>SMS CSKH</v>
      </c>
    </row>
    <row r="573">
      <c r="A573" s="265" t="str">
        <f>IFERROR(__xludf.DUMMYFUNCTION("""COMPUTED_VALUE"""),"852")</f>
        <v>852</v>
      </c>
      <c r="B573" s="265" t="str">
        <f>IFERROR(__xludf.DUMMYFUNCTION("""COMPUTED_VALUE"""),"Hà Nội")</f>
        <v>Hà Nội</v>
      </c>
      <c r="C573" s="265" t="str">
        <f>IFERROR(__xludf.DUMMYFUNCTION("""COMPUTED_VALUE"""),"Active")</f>
        <v>Active</v>
      </c>
      <c r="D573" s="265" t="str">
        <f>IFERROR(__xludf.DUMMYFUNCTION("""COMPUTED_VALUE"""),"Mua sắm &amp; Bán lẻ")</f>
        <v>Mua sắm &amp; Bán lẻ</v>
      </c>
      <c r="E573" s="265" t="str">
        <f>IFERROR(__xludf.DUMMYFUNCTION("""COMPUTED_VALUE"""),"TúPHN")</f>
        <v>TúPHN</v>
      </c>
      <c r="F573" s="265" t="str">
        <f>IFERROR(__xludf.DUMMYFUNCTION("""COMPUTED_VALUE"""),"Gold")</f>
        <v>Gold</v>
      </c>
      <c r="G573" s="265" t="str">
        <f>IFERROR(__xludf.DUMMYFUNCTION("""COMPUTED_VALUE"""),"Starter")</f>
        <v>Starter</v>
      </c>
      <c r="H573" s="265" t="str">
        <f>IFERROR(__xludf.DUMMYFUNCTION("""COMPUTED_VALUE"""),"Trả sau")</f>
        <v>Trả sau</v>
      </c>
      <c r="I573" s="265" t="str">
        <f>IFERROR(__xludf.DUMMYFUNCTION("""COMPUTED_VALUE"""),"API &amp; Portal")</f>
        <v>API &amp; Portal</v>
      </c>
      <c r="J573" s="265" t="str">
        <f>IFERROR(__xludf.DUMMYFUNCTION("""COMPUTED_VALUE"""),"Zalo ZNS")</f>
        <v>Zalo ZNS</v>
      </c>
    </row>
    <row r="574">
      <c r="A574" s="265" t="str">
        <f>IFERROR(__xludf.DUMMYFUNCTION("""COMPUTED_VALUE"""),"854")</f>
        <v>854</v>
      </c>
      <c r="B574" s="265" t="str">
        <f>IFERROR(__xludf.DUMMYFUNCTION("""COMPUTED_VALUE"""),"Hà Nội")</f>
        <v>Hà Nội</v>
      </c>
      <c r="C574" s="265" t="str">
        <f>IFERROR(__xludf.DUMMYFUNCTION("""COMPUTED_VALUE"""),"Active")</f>
        <v>Active</v>
      </c>
      <c r="D574" s="265" t="str">
        <f>IFERROR(__xludf.DUMMYFUNCTION("""COMPUTED_VALUE"""),"Sale chưa cung cấp")</f>
        <v>Sale chưa cung cấp</v>
      </c>
      <c r="E574" s="265" t="str">
        <f>IFERROR(__xludf.DUMMYFUNCTION("""COMPUTED_VALUE"""),"TúPHN")</f>
        <v>TúPHN</v>
      </c>
      <c r="F574" s="265" t="str">
        <f>IFERROR(__xludf.DUMMYFUNCTION("""COMPUTED_VALUE"""),"Bronze")</f>
        <v>Bronze</v>
      </c>
      <c r="G574" s="265" t="str">
        <f>IFERROR(__xludf.DUMMYFUNCTION("""COMPUTED_VALUE"""),"Starter")</f>
        <v>Starter</v>
      </c>
      <c r="H574" s="265" t="str">
        <f>IFERROR(__xludf.DUMMYFUNCTION("""COMPUTED_VALUE"""),"Trả sau")</f>
        <v>Trả sau</v>
      </c>
      <c r="I574" s="265" t="str">
        <f>IFERROR(__xludf.DUMMYFUNCTION("""COMPUTED_VALUE"""),"API &amp; Portal")</f>
        <v>API &amp; Portal</v>
      </c>
      <c r="J574" s="265" t="str">
        <f>IFERROR(__xludf.DUMMYFUNCTION("""COMPUTED_VALUE"""),"Zalo ZNS")</f>
        <v>Zalo ZNS</v>
      </c>
    </row>
    <row r="575">
      <c r="A575" s="265" t="str">
        <f>IFERROR(__xludf.DUMMYFUNCTION("""COMPUTED_VALUE"""),"859")</f>
        <v>859</v>
      </c>
      <c r="B575" s="265" t="str">
        <f>IFERROR(__xludf.DUMMYFUNCTION("""COMPUTED_VALUE"""),"Hà Nội")</f>
        <v>Hà Nội</v>
      </c>
      <c r="C575" s="265" t="str">
        <f>IFERROR(__xludf.DUMMYFUNCTION("""COMPUTED_VALUE"""),"Active")</f>
        <v>Active</v>
      </c>
      <c r="D575" s="265" t="str">
        <f>IFERROR(__xludf.DUMMYFUNCTION("""COMPUTED_VALUE"""),"Mua sắm &amp; Bán lẻ")</f>
        <v>Mua sắm &amp; Bán lẻ</v>
      </c>
      <c r="E575" s="265" t="str">
        <f>IFERROR(__xludf.DUMMYFUNCTION("""COMPUTED_VALUE"""),"TùngLD")</f>
        <v>TùngLD</v>
      </c>
      <c r="F575" s="265" t="str">
        <f>IFERROR(__xludf.DUMMYFUNCTION("""COMPUTED_VALUE"""),"Bronze")</f>
        <v>Bronze</v>
      </c>
      <c r="G575" s="265" t="str">
        <f>IFERROR(__xludf.DUMMYFUNCTION("""COMPUTED_VALUE"""),"Starter")</f>
        <v>Starter</v>
      </c>
      <c r="H575" s="265" t="str">
        <f>IFERROR(__xludf.DUMMYFUNCTION("""COMPUTED_VALUE"""),"Trả sau")</f>
        <v>Trả sau</v>
      </c>
      <c r="I575" s="265" t="str">
        <f>IFERROR(__xludf.DUMMYFUNCTION("""COMPUTED_VALUE"""),"API &amp; Portal")</f>
        <v>API &amp; Portal</v>
      </c>
      <c r="J575" s="265" t="str">
        <f>IFERROR(__xludf.DUMMYFUNCTION("""COMPUTED_VALUE"""),"Tất cả")</f>
        <v>Tất cả</v>
      </c>
    </row>
    <row r="576">
      <c r="A576" s="265" t="str">
        <f>IFERROR(__xludf.DUMMYFUNCTION("""COMPUTED_VALUE"""),"860")</f>
        <v>860</v>
      </c>
      <c r="B576" s="265" t="str">
        <f>IFERROR(__xludf.DUMMYFUNCTION("""COMPUTED_VALUE"""),"Hà Nội")</f>
        <v>Hà Nội</v>
      </c>
      <c r="C576" s="265" t="str">
        <f>IFERROR(__xludf.DUMMYFUNCTION("""COMPUTED_VALUE"""),"Active")</f>
        <v>Active</v>
      </c>
      <c r="D576" s="265" t="str">
        <f>IFERROR(__xludf.DUMMYFUNCTION("""COMPUTED_VALUE"""),"Tài chính &amp; Ngân hàng")</f>
        <v>Tài chính &amp; Ngân hàng</v>
      </c>
      <c r="E576" s="265" t="str">
        <f>IFERROR(__xludf.DUMMYFUNCTION("""COMPUTED_VALUE"""),"AnhNM")</f>
        <v>AnhNM</v>
      </c>
      <c r="F576" s="265" t="str">
        <f>IFERROR(__xludf.DUMMYFUNCTION("""COMPUTED_VALUE"""),"Sale chưa cung cấp")</f>
        <v>Sale chưa cung cấp</v>
      </c>
      <c r="G576" s="265" t="str">
        <f>IFERROR(__xludf.DUMMYFUNCTION("""COMPUTED_VALUE"""),"Starter")</f>
        <v>Starter</v>
      </c>
      <c r="H576" s="265" t="str">
        <f>IFERROR(__xludf.DUMMYFUNCTION("""COMPUTED_VALUE"""),"Trả sau")</f>
        <v>Trả sau</v>
      </c>
      <c r="I576" s="265" t="str">
        <f>IFERROR(__xludf.DUMMYFUNCTION("""COMPUTED_VALUE"""),"API")</f>
        <v>API</v>
      </c>
      <c r="J576" s="265" t="str">
        <f>IFERROR(__xludf.DUMMYFUNCTION("""COMPUTED_VALUE"""),"SMS CSKH")</f>
        <v>SMS CSKH</v>
      </c>
    </row>
    <row r="577">
      <c r="A577" s="265" t="str">
        <f>IFERROR(__xludf.DUMMYFUNCTION("""COMPUTED_VALUE"""),"861")</f>
        <v>861</v>
      </c>
      <c r="B577" s="265" t="str">
        <f>IFERROR(__xludf.DUMMYFUNCTION("""COMPUTED_VALUE"""),"Hà Nội")</f>
        <v>Hà Nội</v>
      </c>
      <c r="C577" s="265" t="str">
        <f>IFERROR(__xludf.DUMMYFUNCTION("""COMPUTED_VALUE"""),"Locked")</f>
        <v>Locked</v>
      </c>
      <c r="D577" s="265" t="str">
        <f>IFERROR(__xludf.DUMMYFUNCTION("""COMPUTED_VALUE"""),"Sale chưa cung cấp")</f>
        <v>Sale chưa cung cấp</v>
      </c>
      <c r="E577" s="265" t="str">
        <f>IFERROR(__xludf.DUMMYFUNCTION("""COMPUTED_VALUE"""),"TúPHN")</f>
        <v>TúPHN</v>
      </c>
      <c r="F577" s="265" t="str">
        <f>IFERROR(__xludf.DUMMYFUNCTION("""COMPUTED_VALUE"""),"Diamond")</f>
        <v>Diamond</v>
      </c>
      <c r="G577" s="265" t="str">
        <f>IFERROR(__xludf.DUMMYFUNCTION("""COMPUTED_VALUE"""),"Premium")</f>
        <v>Premium</v>
      </c>
      <c r="H577" s="265" t="str">
        <f>IFERROR(__xludf.DUMMYFUNCTION("""COMPUTED_VALUE"""),"Trial")</f>
        <v>Trial</v>
      </c>
      <c r="I577" s="265" t="str">
        <f>IFERROR(__xludf.DUMMYFUNCTION("""COMPUTED_VALUE"""),"API &amp; Portal")</f>
        <v>API &amp; Portal</v>
      </c>
      <c r="J577" s="265" t="str">
        <f>IFERROR(__xludf.DUMMYFUNCTION("""COMPUTED_VALUE"""),"Tất cả")</f>
        <v>Tất cả</v>
      </c>
    </row>
    <row r="578">
      <c r="A578" s="265" t="str">
        <f>IFERROR(__xludf.DUMMYFUNCTION("""COMPUTED_VALUE"""),"863")</f>
        <v>863</v>
      </c>
      <c r="B578" s="265" t="str">
        <f>IFERROR(__xludf.DUMMYFUNCTION("""COMPUTED_VALUE"""),"Sài Gòn")</f>
        <v>Sài Gòn</v>
      </c>
      <c r="C578" s="265" t="str">
        <f>IFERROR(__xludf.DUMMYFUNCTION("""COMPUTED_VALUE"""),"Locked")</f>
        <v>Locked</v>
      </c>
      <c r="D578" s="265" t="str">
        <f>IFERROR(__xludf.DUMMYFUNCTION("""COMPUTED_VALUE"""),"Công nghệ &amp; Phần mềm")</f>
        <v>Công nghệ &amp; Phần mềm</v>
      </c>
      <c r="E578" s="265" t="str">
        <f>IFERROR(__xludf.DUMMYFUNCTION("""COMPUTED_VALUE"""),"TúPHN")</f>
        <v>TúPHN</v>
      </c>
      <c r="F578" s="265" t="str">
        <f>IFERROR(__xludf.DUMMYFUNCTION("""COMPUTED_VALUE"""),"Sale chưa cung cấp")</f>
        <v>Sale chưa cung cấp</v>
      </c>
      <c r="G578" s="265" t="str">
        <f>IFERROR(__xludf.DUMMYFUNCTION("""COMPUTED_VALUE"""),"Premium")</f>
        <v>Premium</v>
      </c>
      <c r="H578" s="265" t="str">
        <f>IFERROR(__xludf.DUMMYFUNCTION("""COMPUTED_VALUE"""),"Trial")</f>
        <v>Trial</v>
      </c>
      <c r="I578" s="265" t="str">
        <f>IFERROR(__xludf.DUMMYFUNCTION("""COMPUTED_VALUE"""),"API &amp; Portal")</f>
        <v>API &amp; Portal</v>
      </c>
      <c r="J578" s="265" t="str">
        <f>IFERROR(__xludf.DUMMYFUNCTION("""COMPUTED_VALUE"""),"(Chưa recheck)")</f>
        <v>(Chưa recheck)</v>
      </c>
    </row>
    <row r="579">
      <c r="A579" s="265" t="str">
        <f>IFERROR(__xludf.DUMMYFUNCTION("""COMPUTED_VALUE"""),"865")</f>
        <v>865</v>
      </c>
      <c r="B579" s="265" t="str">
        <f>IFERROR(__xludf.DUMMYFUNCTION("""COMPUTED_VALUE"""),"Hà Nội")</f>
        <v>Hà Nội</v>
      </c>
      <c r="C579" s="265" t="str">
        <f>IFERROR(__xludf.DUMMYFUNCTION("""COMPUTED_VALUE"""),"Active")</f>
        <v>Active</v>
      </c>
      <c r="D579" s="265" t="str">
        <f>IFERROR(__xludf.DUMMYFUNCTION("""COMPUTED_VALUE"""),"Sale chưa cung cấp")</f>
        <v>Sale chưa cung cấp</v>
      </c>
      <c r="E579" s="265" t="str">
        <f>IFERROR(__xludf.DUMMYFUNCTION("""COMPUTED_VALUE"""),"TùngLD")</f>
        <v>TùngLD</v>
      </c>
      <c r="F579" s="265" t="str">
        <f>IFERROR(__xludf.DUMMYFUNCTION("""COMPUTED_VALUE"""),"Bronze")</f>
        <v>Bronze</v>
      </c>
      <c r="G579" s="265" t="str">
        <f>IFERROR(__xludf.DUMMYFUNCTION("""COMPUTED_VALUE"""),"Starter")</f>
        <v>Starter</v>
      </c>
      <c r="H579" s="265" t="str">
        <f>IFERROR(__xludf.DUMMYFUNCTION("""COMPUTED_VALUE"""),"Trả sau")</f>
        <v>Trả sau</v>
      </c>
      <c r="I579" s="265" t="str">
        <f>IFERROR(__xludf.DUMMYFUNCTION("""COMPUTED_VALUE"""),"API &amp; Portal")</f>
        <v>API &amp; Portal</v>
      </c>
      <c r="J579" s="265" t="str">
        <f>IFERROR(__xludf.DUMMYFUNCTION("""COMPUTED_VALUE"""),"Tất cả")</f>
        <v>Tất cả</v>
      </c>
    </row>
    <row r="580">
      <c r="A580" s="265" t="str">
        <f>IFERROR(__xludf.DUMMYFUNCTION("""COMPUTED_VALUE"""),"864")</f>
        <v>864</v>
      </c>
      <c r="B580" s="265" t="str">
        <f>IFERROR(__xludf.DUMMYFUNCTION("""COMPUTED_VALUE"""),"Sài Gòn")</f>
        <v>Sài Gòn</v>
      </c>
      <c r="C580" s="265" t="str">
        <f>IFERROR(__xludf.DUMMYFUNCTION("""COMPUTED_VALUE"""),"Locked")</f>
        <v>Locked</v>
      </c>
      <c r="D580" s="265" t="str">
        <f>IFERROR(__xludf.DUMMYFUNCTION("""COMPUTED_VALUE"""),"Thực phẩm &amp; Đồ uống")</f>
        <v>Thực phẩm &amp; Đồ uống</v>
      </c>
      <c r="E580" s="265" t="str">
        <f>IFERROR(__xludf.DUMMYFUNCTION("""COMPUTED_VALUE"""),"HoaNTM")</f>
        <v>HoaNTM</v>
      </c>
      <c r="F580" s="265" t="str">
        <f>IFERROR(__xludf.DUMMYFUNCTION("""COMPUTED_VALUE"""),"Diamond")</f>
        <v>Diamond</v>
      </c>
      <c r="G580" s="265" t="str">
        <f>IFERROR(__xludf.DUMMYFUNCTION("""COMPUTED_VALUE"""),"Standard")</f>
        <v>Standard</v>
      </c>
      <c r="H580" s="265" t="str">
        <f>IFERROR(__xludf.DUMMYFUNCTION("""COMPUTED_VALUE"""),"Trả sau")</f>
        <v>Trả sau</v>
      </c>
      <c r="I580" s="265" t="str">
        <f>IFERROR(__xludf.DUMMYFUNCTION("""COMPUTED_VALUE"""),"API")</f>
        <v>API</v>
      </c>
      <c r="J580" s="265" t="str">
        <f>IFERROR(__xludf.DUMMYFUNCTION("""COMPUTED_VALUE"""),"Zalo ZNS")</f>
        <v>Zalo ZNS</v>
      </c>
    </row>
    <row r="581">
      <c r="A581" s="265" t="str">
        <f>IFERROR(__xludf.DUMMYFUNCTION("""COMPUTED_VALUE"""),"867")</f>
        <v>867</v>
      </c>
      <c r="B581" s="265" t="str">
        <f>IFERROR(__xludf.DUMMYFUNCTION("""COMPUTED_VALUE"""),"Hà Nội")</f>
        <v>Hà Nội</v>
      </c>
      <c r="C581" s="265" t="str">
        <f>IFERROR(__xludf.DUMMYFUNCTION("""COMPUTED_VALUE"""),"Active")</f>
        <v>Active</v>
      </c>
      <c r="D581" s="265" t="str">
        <f>IFERROR(__xludf.DUMMYFUNCTION("""COMPUTED_VALUE"""),"Sale chưa cung cấp")</f>
        <v>Sale chưa cung cấp</v>
      </c>
      <c r="E581" s="265" t="str">
        <f>IFERROR(__xludf.DUMMYFUNCTION("""COMPUTED_VALUE"""),"TúPHN")</f>
        <v>TúPHN</v>
      </c>
      <c r="F581" s="265" t="str">
        <f>IFERROR(__xludf.DUMMYFUNCTION("""COMPUTED_VALUE"""),"Bronze")</f>
        <v>Bronze</v>
      </c>
      <c r="G581" s="265" t="str">
        <f>IFERROR(__xludf.DUMMYFUNCTION("""COMPUTED_VALUE"""),"Starter")</f>
        <v>Starter</v>
      </c>
      <c r="H581" s="265" t="str">
        <f>IFERROR(__xludf.DUMMYFUNCTION("""COMPUTED_VALUE"""),"Trả trước")</f>
        <v>Trả trước</v>
      </c>
      <c r="I581" s="265" t="str">
        <f>IFERROR(__xludf.DUMMYFUNCTION("""COMPUTED_VALUE"""),"API &amp; Portal")</f>
        <v>API &amp; Portal</v>
      </c>
      <c r="J581" s="265" t="str">
        <f>IFERROR(__xludf.DUMMYFUNCTION("""COMPUTED_VALUE"""),"Zalo ZNS")</f>
        <v>Zalo ZNS</v>
      </c>
    </row>
    <row r="582">
      <c r="A582" s="265" t="str">
        <f>IFERROR(__xludf.DUMMYFUNCTION("""COMPUTED_VALUE"""),"868")</f>
        <v>868</v>
      </c>
      <c r="B582" s="265" t="str">
        <f>IFERROR(__xludf.DUMMYFUNCTION("""COMPUTED_VALUE"""),"Hà Nội")</f>
        <v>Hà Nội</v>
      </c>
      <c r="C582" s="265" t="str">
        <f>IFERROR(__xludf.DUMMYFUNCTION("""COMPUTED_VALUE"""),"Active")</f>
        <v>Active</v>
      </c>
      <c r="D582" s="265" t="str">
        <f>IFERROR(__xludf.DUMMYFUNCTION("""COMPUTED_VALUE"""),"Sale chưa cung cấp")</f>
        <v>Sale chưa cung cấp</v>
      </c>
      <c r="E582" s="265" t="str">
        <f>IFERROR(__xludf.DUMMYFUNCTION("""COMPUTED_VALUE"""),"TùngLD")</f>
        <v>TùngLD</v>
      </c>
      <c r="F582" s="265" t="str">
        <f>IFERROR(__xludf.DUMMYFUNCTION("""COMPUTED_VALUE"""),"Silver")</f>
        <v>Silver</v>
      </c>
      <c r="G582" s="265" t="str">
        <f>IFERROR(__xludf.DUMMYFUNCTION("""COMPUTED_VALUE"""),"Starter")</f>
        <v>Starter</v>
      </c>
      <c r="H582" s="265" t="str">
        <f>IFERROR(__xludf.DUMMYFUNCTION("""COMPUTED_VALUE"""),"Trả sau")</f>
        <v>Trả sau</v>
      </c>
      <c r="I582" s="265" t="str">
        <f>IFERROR(__xludf.DUMMYFUNCTION("""COMPUTED_VALUE"""),"API")</f>
        <v>API</v>
      </c>
      <c r="J582" s="265" t="str">
        <f>IFERROR(__xludf.DUMMYFUNCTION("""COMPUTED_VALUE"""),"Zalo ZNS")</f>
        <v>Zalo ZNS</v>
      </c>
    </row>
    <row r="583">
      <c r="A583" s="265" t="str">
        <f>IFERROR(__xludf.DUMMYFUNCTION("""COMPUTED_VALUE"""),"869")</f>
        <v>869</v>
      </c>
      <c r="B583" s="265" t="str">
        <f>IFERROR(__xludf.DUMMYFUNCTION("""COMPUTED_VALUE"""),"Hà Nội")</f>
        <v>Hà Nội</v>
      </c>
      <c r="C583" s="265" t="str">
        <f>IFERROR(__xludf.DUMMYFUNCTION("""COMPUTED_VALUE"""),"Active")</f>
        <v>Active</v>
      </c>
      <c r="D583" s="265" t="str">
        <f>IFERROR(__xludf.DUMMYFUNCTION("""COMPUTED_VALUE"""),"Sale chưa cung cấp")</f>
        <v>Sale chưa cung cấp</v>
      </c>
      <c r="E583" s="265" t="str">
        <f>IFERROR(__xludf.DUMMYFUNCTION("""COMPUTED_VALUE"""),"TùngLD")</f>
        <v>TùngLD</v>
      </c>
      <c r="F583" s="265" t="str">
        <f>IFERROR(__xludf.DUMMYFUNCTION("""COMPUTED_VALUE"""),"Silver")</f>
        <v>Silver</v>
      </c>
      <c r="G583" s="265" t="str">
        <f>IFERROR(__xludf.DUMMYFUNCTION("""COMPUTED_VALUE"""),"Starter")</f>
        <v>Starter</v>
      </c>
      <c r="H583" s="265" t="str">
        <f>IFERROR(__xludf.DUMMYFUNCTION("""COMPUTED_VALUE"""),"Trả sau")</f>
        <v>Trả sau</v>
      </c>
      <c r="I583" s="265" t="str">
        <f>IFERROR(__xludf.DUMMYFUNCTION("""COMPUTED_VALUE"""),"API")</f>
        <v>API</v>
      </c>
      <c r="J583" s="265" t="str">
        <f>IFERROR(__xludf.DUMMYFUNCTION("""COMPUTED_VALUE"""),"SMS CSKH")</f>
        <v>SMS CSKH</v>
      </c>
    </row>
    <row r="584">
      <c r="A584" s="265" t="str">
        <f>IFERROR(__xludf.DUMMYFUNCTION("""COMPUTED_VALUE"""),"869")</f>
        <v>869</v>
      </c>
      <c r="B584" s="265" t="str">
        <f>IFERROR(__xludf.DUMMYFUNCTION("""COMPUTED_VALUE"""),"Hà Nội")</f>
        <v>Hà Nội</v>
      </c>
      <c r="C584" s="265" t="str">
        <f>IFERROR(__xludf.DUMMYFUNCTION("""COMPUTED_VALUE"""),"Active")</f>
        <v>Active</v>
      </c>
      <c r="D584" s="265" t="str">
        <f>IFERROR(__xludf.DUMMYFUNCTION("""COMPUTED_VALUE"""),"Sale chưa cung cấp")</f>
        <v>Sale chưa cung cấp</v>
      </c>
      <c r="E584" s="265" t="str">
        <f>IFERROR(__xludf.DUMMYFUNCTION("""COMPUTED_VALUE"""),"TùngLD")</f>
        <v>TùngLD</v>
      </c>
      <c r="F584" s="265" t="str">
        <f>IFERROR(__xludf.DUMMYFUNCTION("""COMPUTED_VALUE"""),"Silver")</f>
        <v>Silver</v>
      </c>
      <c r="G584" s="265" t="str">
        <f>IFERROR(__xludf.DUMMYFUNCTION("""COMPUTED_VALUE"""),"Starter")</f>
        <v>Starter</v>
      </c>
      <c r="H584" s="265" t="str">
        <f>IFERROR(__xludf.DUMMYFUNCTION("""COMPUTED_VALUE"""),"Trả sau")</f>
        <v>Trả sau</v>
      </c>
      <c r="I584" s="265" t="str">
        <f>IFERROR(__xludf.DUMMYFUNCTION("""COMPUTED_VALUE"""),"API")</f>
        <v>API</v>
      </c>
      <c r="J584" s="265" t="str">
        <f>IFERROR(__xludf.DUMMYFUNCTION("""COMPUTED_VALUE"""),"Zalo ZNS")</f>
        <v>Zalo ZNS</v>
      </c>
    </row>
    <row r="585">
      <c r="A585" s="265" t="str">
        <f>IFERROR(__xludf.DUMMYFUNCTION("""COMPUTED_VALUE"""),"870")</f>
        <v>870</v>
      </c>
      <c r="B585" s="265" t="str">
        <f>IFERROR(__xludf.DUMMYFUNCTION("""COMPUTED_VALUE"""),"Hà Nội")</f>
        <v>Hà Nội</v>
      </c>
      <c r="C585" s="265" t="str">
        <f>IFERROR(__xludf.DUMMYFUNCTION("""COMPUTED_VALUE"""),"Locked")</f>
        <v>Locked</v>
      </c>
      <c r="D585" s="265" t="str">
        <f>IFERROR(__xludf.DUMMYFUNCTION("""COMPUTED_VALUE"""),"Sale chưa cung cấp")</f>
        <v>Sale chưa cung cấp</v>
      </c>
      <c r="E585" s="265" t="str">
        <f>IFERROR(__xludf.DUMMYFUNCTION("""COMPUTED_VALUE"""),"TùngLD")</f>
        <v>TùngLD</v>
      </c>
      <c r="F585" s="265" t="str">
        <f>IFERROR(__xludf.DUMMYFUNCTION("""COMPUTED_VALUE"""),"Sale chưa cung cấp")</f>
        <v>Sale chưa cung cấp</v>
      </c>
      <c r="G585" s="265" t="str">
        <f>IFERROR(__xludf.DUMMYFUNCTION("""COMPUTED_VALUE"""),"Premium")</f>
        <v>Premium</v>
      </c>
      <c r="H585" s="265" t="str">
        <f>IFERROR(__xludf.DUMMYFUNCTION("""COMPUTED_VALUE"""),"Trial")</f>
        <v>Trial</v>
      </c>
      <c r="I585" s="265" t="str">
        <f>IFERROR(__xludf.DUMMYFUNCTION("""COMPUTED_VALUE"""),"Portal")</f>
        <v>Portal</v>
      </c>
      <c r="J585" s="265" t="str">
        <f>IFERROR(__xludf.DUMMYFUNCTION("""COMPUTED_VALUE"""),"Tất cả")</f>
        <v>Tất cả</v>
      </c>
    </row>
    <row r="586">
      <c r="A586" s="265" t="str">
        <f>IFERROR(__xludf.DUMMYFUNCTION("""COMPUTED_VALUE"""),"871")</f>
        <v>871</v>
      </c>
      <c r="B586" s="265" t="str">
        <f>IFERROR(__xludf.DUMMYFUNCTION("""COMPUTED_VALUE"""),"Hà Nội")</f>
        <v>Hà Nội</v>
      </c>
      <c r="C586" s="265" t="str">
        <f>IFERROR(__xludf.DUMMYFUNCTION("""COMPUTED_VALUE"""),"Active")</f>
        <v>Active</v>
      </c>
      <c r="D586" s="265" t="str">
        <f>IFERROR(__xludf.DUMMYFUNCTION("""COMPUTED_VALUE"""),"Tài chính &amp; Ngân hàng")</f>
        <v>Tài chính &amp; Ngân hàng</v>
      </c>
      <c r="E586" s="265" t="str">
        <f>IFERROR(__xludf.DUMMYFUNCTION("""COMPUTED_VALUE"""),"TùngLD")</f>
        <v>TùngLD</v>
      </c>
      <c r="F586" s="265" t="str">
        <f>IFERROR(__xludf.DUMMYFUNCTION("""COMPUTED_VALUE"""),"Diamond")</f>
        <v>Diamond</v>
      </c>
      <c r="G586" s="265" t="str">
        <f>IFERROR(__xludf.DUMMYFUNCTION("""COMPUTED_VALUE"""),"Starter")</f>
        <v>Starter</v>
      </c>
      <c r="H586" s="265" t="str">
        <f>IFERROR(__xludf.DUMMYFUNCTION("""COMPUTED_VALUE"""),"Trả sau")</f>
        <v>Trả sau</v>
      </c>
      <c r="I586" s="265" t="str">
        <f>IFERROR(__xludf.DUMMYFUNCTION("""COMPUTED_VALUE"""),"API &amp; Portal")</f>
        <v>API &amp; Portal</v>
      </c>
      <c r="J586" s="265" t="str">
        <f>IFERROR(__xludf.DUMMYFUNCTION("""COMPUTED_VALUE"""),"SMS CSKH")</f>
        <v>SMS CSKH</v>
      </c>
    </row>
    <row r="587">
      <c r="A587" s="265" t="str">
        <f>IFERROR(__xludf.DUMMYFUNCTION("""COMPUTED_VALUE"""),"871")</f>
        <v>871</v>
      </c>
      <c r="B587" s="265" t="str">
        <f>IFERROR(__xludf.DUMMYFUNCTION("""COMPUTED_VALUE"""),"Hà Nội")</f>
        <v>Hà Nội</v>
      </c>
      <c r="C587" s="265" t="str">
        <f>IFERROR(__xludf.DUMMYFUNCTION("""COMPUTED_VALUE"""),"Active")</f>
        <v>Active</v>
      </c>
      <c r="D587" s="265" t="str">
        <f>IFERROR(__xludf.DUMMYFUNCTION("""COMPUTED_VALUE"""),"Tài chính &amp; Ngân hàng")</f>
        <v>Tài chính &amp; Ngân hàng</v>
      </c>
      <c r="E587" s="265" t="str">
        <f>IFERROR(__xludf.DUMMYFUNCTION("""COMPUTED_VALUE"""),"TùngLD")</f>
        <v>TùngLD</v>
      </c>
      <c r="F587" s="265" t="str">
        <f>IFERROR(__xludf.DUMMYFUNCTION("""COMPUTED_VALUE"""),"Diamond")</f>
        <v>Diamond</v>
      </c>
      <c r="G587" s="265" t="str">
        <f>IFERROR(__xludf.DUMMYFUNCTION("""COMPUTED_VALUE"""),"Starter")</f>
        <v>Starter</v>
      </c>
      <c r="H587" s="265" t="str">
        <f>IFERROR(__xludf.DUMMYFUNCTION("""COMPUTED_VALUE"""),"Trả sau")</f>
        <v>Trả sau</v>
      </c>
      <c r="I587" s="265" t="str">
        <f>IFERROR(__xludf.DUMMYFUNCTION("""COMPUTED_VALUE"""),"API &amp; Portal")</f>
        <v>API &amp; Portal</v>
      </c>
      <c r="J587" s="265" t="str">
        <f>IFERROR(__xludf.DUMMYFUNCTION("""COMPUTED_VALUE"""),"Zalo ZNS")</f>
        <v>Zalo ZNS</v>
      </c>
    </row>
    <row r="588">
      <c r="A588" s="265" t="str">
        <f>IFERROR(__xludf.DUMMYFUNCTION("""COMPUTED_VALUE"""),"872")</f>
        <v>872</v>
      </c>
      <c r="B588" s="265" t="str">
        <f>IFERROR(__xludf.DUMMYFUNCTION("""COMPUTED_VALUE"""),"Hà Nội")</f>
        <v>Hà Nội</v>
      </c>
      <c r="C588" s="265" t="str">
        <f>IFERROR(__xludf.DUMMYFUNCTION("""COMPUTED_VALUE"""),"Locked")</f>
        <v>Locked</v>
      </c>
      <c r="D588" s="265" t="str">
        <f>IFERROR(__xludf.DUMMYFUNCTION("""COMPUTED_VALUE"""),"Y tế &amp; Dược phẩm")</f>
        <v>Y tế &amp; Dược phẩm</v>
      </c>
      <c r="E588" s="265" t="str">
        <f>IFERROR(__xludf.DUMMYFUNCTION("""COMPUTED_VALUE"""),"TùngLD")</f>
        <v>TùngLD</v>
      </c>
      <c r="F588" s="265" t="str">
        <f>IFERROR(__xludf.DUMMYFUNCTION("""COMPUTED_VALUE"""),"Sale chưa cung cấp")</f>
        <v>Sale chưa cung cấp</v>
      </c>
      <c r="G588" s="265" t="str">
        <f>IFERROR(__xludf.DUMMYFUNCTION("""COMPUTED_VALUE"""),"Premium")</f>
        <v>Premium</v>
      </c>
      <c r="H588" s="265" t="str">
        <f>IFERROR(__xludf.DUMMYFUNCTION("""COMPUTED_VALUE"""),"Trial")</f>
        <v>Trial</v>
      </c>
      <c r="I588" s="265" t="str">
        <f>IFERROR(__xludf.DUMMYFUNCTION("""COMPUTED_VALUE"""),"API")</f>
        <v>API</v>
      </c>
      <c r="J588" s="265" t="str">
        <f>IFERROR(__xludf.DUMMYFUNCTION("""COMPUTED_VALUE"""),"Tất cả")</f>
        <v>Tất cả</v>
      </c>
    </row>
    <row r="589">
      <c r="A589" s="265" t="str">
        <f>IFERROR(__xludf.DUMMYFUNCTION("""COMPUTED_VALUE"""),"873")</f>
        <v>873</v>
      </c>
      <c r="B589" s="265" t="str">
        <f>IFERROR(__xludf.DUMMYFUNCTION("""COMPUTED_VALUE"""),"Sài Gòn")</f>
        <v>Sài Gòn</v>
      </c>
      <c r="C589" s="265" t="str">
        <f>IFERROR(__xludf.DUMMYFUNCTION("""COMPUTED_VALUE"""),"Locked")</f>
        <v>Locked</v>
      </c>
      <c r="D589" s="265" t="str">
        <f>IFERROR(__xludf.DUMMYFUNCTION("""COMPUTED_VALUE"""),"Dịch vụ khác")</f>
        <v>Dịch vụ khác</v>
      </c>
      <c r="E589" s="265" t="str">
        <f>IFERROR(__xludf.DUMMYFUNCTION("""COMPUTED_VALUE"""),"TùngLD")</f>
        <v>TùngLD</v>
      </c>
      <c r="F589" s="265" t="str">
        <f>IFERROR(__xludf.DUMMYFUNCTION("""COMPUTED_VALUE"""),"Sale chưa cung cấp")</f>
        <v>Sale chưa cung cấp</v>
      </c>
      <c r="G589" s="265" t="str">
        <f>IFERROR(__xludf.DUMMYFUNCTION("""COMPUTED_VALUE"""),"Standard")</f>
        <v>Standard</v>
      </c>
      <c r="H589" s="265" t="str">
        <f>IFERROR(__xludf.DUMMYFUNCTION("""COMPUTED_VALUE"""),"Trial")</f>
        <v>Trial</v>
      </c>
      <c r="I589" s="265" t="str">
        <f>IFERROR(__xludf.DUMMYFUNCTION("""COMPUTED_VALUE"""),"API &amp; Portal")</f>
        <v>API &amp; Portal</v>
      </c>
      <c r="J589" s="265" t="str">
        <f>IFERROR(__xludf.DUMMYFUNCTION("""COMPUTED_VALUE"""),"WhatsApp")</f>
        <v>WhatsApp</v>
      </c>
    </row>
    <row r="590">
      <c r="A590" s="265" t="str">
        <f>IFERROR(__xludf.DUMMYFUNCTION("""COMPUTED_VALUE"""),"874")</f>
        <v>874</v>
      </c>
      <c r="B590" s="265" t="str">
        <f>IFERROR(__xludf.DUMMYFUNCTION("""COMPUTED_VALUE"""),"Hà Nội")</f>
        <v>Hà Nội</v>
      </c>
      <c r="C590" s="265" t="str">
        <f>IFERROR(__xludf.DUMMYFUNCTION("""COMPUTED_VALUE"""),"Locked")</f>
        <v>Locked</v>
      </c>
      <c r="D590" s="265" t="str">
        <f>IFERROR(__xludf.DUMMYFUNCTION("""COMPUTED_VALUE"""),"Dịch vụ khác")</f>
        <v>Dịch vụ khác</v>
      </c>
      <c r="E590" s="265" t="str">
        <f>IFERROR(__xludf.DUMMYFUNCTION("""COMPUTED_VALUE"""),"TúPHN")</f>
        <v>TúPHN</v>
      </c>
      <c r="F590" s="265" t="str">
        <f>IFERROR(__xludf.DUMMYFUNCTION("""COMPUTED_VALUE"""),"Sale chưa cung cấp")</f>
        <v>Sale chưa cung cấp</v>
      </c>
      <c r="G590" s="265" t="str">
        <f>IFERROR(__xludf.DUMMYFUNCTION("""COMPUTED_VALUE"""),"Starter")</f>
        <v>Starter</v>
      </c>
      <c r="H590" s="265" t="str">
        <f>IFERROR(__xludf.DUMMYFUNCTION("""COMPUTED_VALUE"""),"Trial")</f>
        <v>Trial</v>
      </c>
      <c r="I590" s="265" t="str">
        <f>IFERROR(__xludf.DUMMYFUNCTION("""COMPUTED_VALUE"""),"API")</f>
        <v>API</v>
      </c>
      <c r="J590" s="265" t="str">
        <f>IFERROR(__xludf.DUMMYFUNCTION("""COMPUTED_VALUE"""),"Tất cả")</f>
        <v>Tất cả</v>
      </c>
    </row>
    <row r="591">
      <c r="A591" s="265" t="str">
        <f>IFERROR(__xludf.DUMMYFUNCTION("""COMPUTED_VALUE"""),"875")</f>
        <v>875</v>
      </c>
      <c r="B591" s="265" t="str">
        <f>IFERROR(__xludf.DUMMYFUNCTION("""COMPUTED_VALUE"""),"Hà Nội")</f>
        <v>Hà Nội</v>
      </c>
      <c r="C591" s="265" t="str">
        <f>IFERROR(__xludf.DUMMYFUNCTION("""COMPUTED_VALUE"""),"Active")</f>
        <v>Active</v>
      </c>
      <c r="D591" s="265" t="str">
        <f>IFERROR(__xludf.DUMMYFUNCTION("""COMPUTED_VALUE"""),"Công nghệ &amp; Phần mềm")</f>
        <v>Công nghệ &amp; Phần mềm</v>
      </c>
      <c r="E591" s="265" t="str">
        <f>IFERROR(__xludf.DUMMYFUNCTION("""COMPUTED_VALUE"""),"TùngLD")</f>
        <v>TùngLD</v>
      </c>
      <c r="F591" s="265" t="str">
        <f>IFERROR(__xludf.DUMMYFUNCTION("""COMPUTED_VALUE"""),"Sale chưa cung cấp")</f>
        <v>Sale chưa cung cấp</v>
      </c>
      <c r="G591" s="265" t="str">
        <f>IFERROR(__xludf.DUMMYFUNCTION("""COMPUTED_VALUE"""),"Starter")</f>
        <v>Starter</v>
      </c>
      <c r="H591" s="265" t="str">
        <f>IFERROR(__xludf.DUMMYFUNCTION("""COMPUTED_VALUE"""),"Trả sau")</f>
        <v>Trả sau</v>
      </c>
      <c r="I591" s="265" t="str">
        <f>IFERROR(__xludf.DUMMYFUNCTION("""COMPUTED_VALUE"""),"API")</f>
        <v>API</v>
      </c>
      <c r="J591" s="265" t="str">
        <f>IFERROR(__xludf.DUMMYFUNCTION("""COMPUTED_VALUE"""),"Zalo ZNS")</f>
        <v>Zalo ZNS</v>
      </c>
    </row>
    <row r="592">
      <c r="A592" s="265" t="str">
        <f>IFERROR(__xludf.DUMMYFUNCTION("""COMPUTED_VALUE"""),"876")</f>
        <v>876</v>
      </c>
      <c r="B592" s="265" t="str">
        <f>IFERROR(__xludf.DUMMYFUNCTION("""COMPUTED_VALUE"""),"Sài Gòn")</f>
        <v>Sài Gòn</v>
      </c>
      <c r="C592" s="265" t="str">
        <f>IFERROR(__xludf.DUMMYFUNCTION("""COMPUTED_VALUE"""),"Locked")</f>
        <v>Locked</v>
      </c>
      <c r="D592" s="265" t="str">
        <f>IFERROR(__xludf.DUMMYFUNCTION("""COMPUTED_VALUE"""),"Sản xuất &amp; Chế tạo")</f>
        <v>Sản xuất &amp; Chế tạo</v>
      </c>
      <c r="E592" s="265" t="str">
        <f>IFERROR(__xludf.DUMMYFUNCTION("""COMPUTED_VALUE"""),"HoaNTM")</f>
        <v>HoaNTM</v>
      </c>
      <c r="F592" s="265" t="str">
        <f>IFERROR(__xludf.DUMMYFUNCTION("""COMPUTED_VALUE"""),"Diamond")</f>
        <v>Diamond</v>
      </c>
      <c r="G592" s="265" t="str">
        <f>IFERROR(__xludf.DUMMYFUNCTION("""COMPUTED_VALUE"""),"Starter")</f>
        <v>Starter</v>
      </c>
      <c r="H592" s="265" t="str">
        <f>IFERROR(__xludf.DUMMYFUNCTION("""COMPUTED_VALUE"""),"Trả trước")</f>
        <v>Trả trước</v>
      </c>
      <c r="I592" s="265" t="str">
        <f>IFERROR(__xludf.DUMMYFUNCTION("""COMPUTED_VALUE"""),"API &amp; Portal")</f>
        <v>API &amp; Portal</v>
      </c>
      <c r="J592" s="265" t="str">
        <f>IFERROR(__xludf.DUMMYFUNCTION("""COMPUTED_VALUE"""),"SMS CSKH")</f>
        <v>SMS CSKH</v>
      </c>
    </row>
    <row r="593">
      <c r="A593" s="265" t="str">
        <f>IFERROR(__xludf.DUMMYFUNCTION("""COMPUTED_VALUE"""),"876")</f>
        <v>876</v>
      </c>
      <c r="B593" s="265" t="str">
        <f>IFERROR(__xludf.DUMMYFUNCTION("""COMPUTED_VALUE"""),"Sài Gòn")</f>
        <v>Sài Gòn</v>
      </c>
      <c r="C593" s="265" t="str">
        <f>IFERROR(__xludf.DUMMYFUNCTION("""COMPUTED_VALUE"""),"Locked")</f>
        <v>Locked</v>
      </c>
      <c r="D593" s="265" t="str">
        <f>IFERROR(__xludf.DUMMYFUNCTION("""COMPUTED_VALUE"""),"Sản xuất &amp; Chế tạo")</f>
        <v>Sản xuất &amp; Chế tạo</v>
      </c>
      <c r="E593" s="265" t="str">
        <f>IFERROR(__xludf.DUMMYFUNCTION("""COMPUTED_VALUE"""),"HoaNTM")</f>
        <v>HoaNTM</v>
      </c>
      <c r="F593" s="265" t="str">
        <f>IFERROR(__xludf.DUMMYFUNCTION("""COMPUTED_VALUE"""),"Diamond")</f>
        <v>Diamond</v>
      </c>
      <c r="G593" s="265" t="str">
        <f>IFERROR(__xludf.DUMMYFUNCTION("""COMPUTED_VALUE"""),"Starter")</f>
        <v>Starter</v>
      </c>
      <c r="H593" s="265" t="str">
        <f>IFERROR(__xludf.DUMMYFUNCTION("""COMPUTED_VALUE"""),"Trả trước")</f>
        <v>Trả trước</v>
      </c>
      <c r="I593" s="265" t="str">
        <f>IFERROR(__xludf.DUMMYFUNCTION("""COMPUTED_VALUE"""),"API &amp; Portal")</f>
        <v>API &amp; Portal</v>
      </c>
      <c r="J593" s="265" t="str">
        <f>IFERROR(__xludf.DUMMYFUNCTION("""COMPUTED_VALUE"""),"Zalo ZNS")</f>
        <v>Zalo ZNS</v>
      </c>
    </row>
    <row r="594">
      <c r="A594" s="265" t="str">
        <f>IFERROR(__xludf.DUMMYFUNCTION("""COMPUTED_VALUE"""),"877")</f>
        <v>877</v>
      </c>
      <c r="B594" s="265" t="str">
        <f>IFERROR(__xludf.DUMMYFUNCTION("""COMPUTED_VALUE"""),"Sài Gòn")</f>
        <v>Sài Gòn</v>
      </c>
      <c r="C594" s="265" t="str">
        <f>IFERROR(__xludf.DUMMYFUNCTION("""COMPUTED_VALUE"""),"Active")</f>
        <v>Active</v>
      </c>
      <c r="D594" s="265" t="str">
        <f>IFERROR(__xludf.DUMMYFUNCTION("""COMPUTED_VALUE"""),"Sale chưa cung cấp")</f>
        <v>Sale chưa cung cấp</v>
      </c>
      <c r="E594" s="265" t="str">
        <f>IFERROR(__xludf.DUMMYFUNCTION("""COMPUTED_VALUE"""),"TùngLD")</f>
        <v>TùngLD</v>
      </c>
      <c r="F594" s="265" t="str">
        <f>IFERROR(__xludf.DUMMYFUNCTION("""COMPUTED_VALUE"""),"Gold")</f>
        <v>Gold</v>
      </c>
      <c r="G594" s="265" t="str">
        <f>IFERROR(__xludf.DUMMYFUNCTION("""COMPUTED_VALUE"""),"Standard")</f>
        <v>Standard</v>
      </c>
      <c r="H594" s="265" t="str">
        <f>IFERROR(__xludf.DUMMYFUNCTION("""COMPUTED_VALUE"""),"Trả sau")</f>
        <v>Trả sau</v>
      </c>
      <c r="I594" s="265" t="str">
        <f>IFERROR(__xludf.DUMMYFUNCTION("""COMPUTED_VALUE"""),"API")</f>
        <v>API</v>
      </c>
      <c r="J594" s="265" t="str">
        <f>IFERROR(__xludf.DUMMYFUNCTION("""COMPUTED_VALUE"""),"SMS CSKH")</f>
        <v>SMS CSKH</v>
      </c>
    </row>
    <row r="595">
      <c r="A595" s="265" t="str">
        <f>IFERROR(__xludf.DUMMYFUNCTION("""COMPUTED_VALUE"""),"877")</f>
        <v>877</v>
      </c>
      <c r="B595" s="265" t="str">
        <f>IFERROR(__xludf.DUMMYFUNCTION("""COMPUTED_VALUE"""),"Sài Gòn")</f>
        <v>Sài Gòn</v>
      </c>
      <c r="C595" s="265" t="str">
        <f>IFERROR(__xludf.DUMMYFUNCTION("""COMPUTED_VALUE"""),"Active")</f>
        <v>Active</v>
      </c>
      <c r="D595" s="265" t="str">
        <f>IFERROR(__xludf.DUMMYFUNCTION("""COMPUTED_VALUE"""),"Sale chưa cung cấp")</f>
        <v>Sale chưa cung cấp</v>
      </c>
      <c r="E595" s="265" t="str">
        <f>IFERROR(__xludf.DUMMYFUNCTION("""COMPUTED_VALUE"""),"TùngLD")</f>
        <v>TùngLD</v>
      </c>
      <c r="F595" s="265" t="str">
        <f>IFERROR(__xludf.DUMMYFUNCTION("""COMPUTED_VALUE"""),"Gold")</f>
        <v>Gold</v>
      </c>
      <c r="G595" s="265" t="str">
        <f>IFERROR(__xludf.DUMMYFUNCTION("""COMPUTED_VALUE"""),"Standard")</f>
        <v>Standard</v>
      </c>
      <c r="H595" s="265" t="str">
        <f>IFERROR(__xludf.DUMMYFUNCTION("""COMPUTED_VALUE"""),"Trả sau")</f>
        <v>Trả sau</v>
      </c>
      <c r="I595" s="265" t="str">
        <f>IFERROR(__xludf.DUMMYFUNCTION("""COMPUTED_VALUE"""),"API")</f>
        <v>API</v>
      </c>
      <c r="J595" s="265" t="str">
        <f>IFERROR(__xludf.DUMMYFUNCTION("""COMPUTED_VALUE"""),"Zalo ZNS")</f>
        <v>Zalo ZNS</v>
      </c>
    </row>
    <row r="596">
      <c r="A596" s="265" t="str">
        <f>IFERROR(__xludf.DUMMYFUNCTION("""COMPUTED_VALUE"""),"879")</f>
        <v>879</v>
      </c>
      <c r="B596" s="265" t="str">
        <f>IFERROR(__xludf.DUMMYFUNCTION("""COMPUTED_VALUE"""),"Đà Nẵng")</f>
        <v>Đà Nẵng</v>
      </c>
      <c r="C596" s="265" t="str">
        <f>IFERROR(__xludf.DUMMYFUNCTION("""COMPUTED_VALUE"""),"Active")</f>
        <v>Active</v>
      </c>
      <c r="D596" s="265" t="str">
        <f>IFERROR(__xludf.DUMMYFUNCTION("""COMPUTED_VALUE"""),"Công nghệ &amp; Phần mềm")</f>
        <v>Công nghệ &amp; Phần mềm</v>
      </c>
      <c r="E596" s="265" t="str">
        <f>IFERROR(__xludf.DUMMYFUNCTION("""COMPUTED_VALUE"""),"TúPHN")</f>
        <v>TúPHN</v>
      </c>
      <c r="F596" s="265" t="str">
        <f>IFERROR(__xludf.DUMMYFUNCTION("""COMPUTED_VALUE"""),"Silver")</f>
        <v>Silver</v>
      </c>
      <c r="G596" s="265" t="str">
        <f>IFERROR(__xludf.DUMMYFUNCTION("""COMPUTED_VALUE"""),"Standard")</f>
        <v>Standard</v>
      </c>
      <c r="H596" s="265" t="str">
        <f>IFERROR(__xludf.DUMMYFUNCTION("""COMPUTED_VALUE"""),"Trả sau")</f>
        <v>Trả sau</v>
      </c>
      <c r="I596" s="265" t="str">
        <f>IFERROR(__xludf.DUMMYFUNCTION("""COMPUTED_VALUE"""),"API &amp; Portal")</f>
        <v>API &amp; Portal</v>
      </c>
      <c r="J596" s="265" t="str">
        <f>IFERROR(__xludf.DUMMYFUNCTION("""COMPUTED_VALUE"""),"Tất cả")</f>
        <v>Tất cả</v>
      </c>
    </row>
    <row r="597">
      <c r="A597" s="265" t="str">
        <f>IFERROR(__xludf.DUMMYFUNCTION("""COMPUTED_VALUE"""),"880")</f>
        <v>880</v>
      </c>
      <c r="B597" s="265" t="str">
        <f>IFERROR(__xludf.DUMMYFUNCTION("""COMPUTED_VALUE"""),"Sài Gòn")</f>
        <v>Sài Gòn</v>
      </c>
      <c r="C597" s="265" t="str">
        <f>IFERROR(__xludf.DUMMYFUNCTION("""COMPUTED_VALUE"""),"Active")</f>
        <v>Active</v>
      </c>
      <c r="D597" s="265" t="str">
        <f>IFERROR(__xludf.DUMMYFUNCTION("""COMPUTED_VALUE"""),"Sale chưa cung cấp")</f>
        <v>Sale chưa cung cấp</v>
      </c>
      <c r="E597" s="265" t="str">
        <f>IFERROR(__xludf.DUMMYFUNCTION("""COMPUTED_VALUE"""),"Không phân công")</f>
        <v>Không phân công</v>
      </c>
      <c r="F597" s="265" t="str">
        <f>IFERROR(__xludf.DUMMYFUNCTION("""COMPUTED_VALUE"""),"Gold")</f>
        <v>Gold</v>
      </c>
      <c r="G597" s="265" t="str">
        <f>IFERROR(__xludf.DUMMYFUNCTION("""COMPUTED_VALUE"""),"Standard")</f>
        <v>Standard</v>
      </c>
      <c r="H597" s="265" t="str">
        <f>IFERROR(__xludf.DUMMYFUNCTION("""COMPUTED_VALUE"""),"Trả sau")</f>
        <v>Trả sau</v>
      </c>
      <c r="I597" s="265" t="str">
        <f>IFERROR(__xludf.DUMMYFUNCTION("""COMPUTED_VALUE"""),"API")</f>
        <v>API</v>
      </c>
      <c r="J597" s="265" t="str">
        <f>IFERROR(__xludf.DUMMYFUNCTION("""COMPUTED_VALUE"""),"SMS CSKH")</f>
        <v>SMS CSKH</v>
      </c>
    </row>
    <row r="598">
      <c r="A598" s="265" t="str">
        <f>IFERROR(__xludf.DUMMYFUNCTION("""COMPUTED_VALUE"""),"881")</f>
        <v>881</v>
      </c>
      <c r="B598" s="265" t="str">
        <f>IFERROR(__xludf.DUMMYFUNCTION("""COMPUTED_VALUE"""),"Hà Nội")</f>
        <v>Hà Nội</v>
      </c>
      <c r="C598" s="265" t="str">
        <f>IFERROR(__xludf.DUMMYFUNCTION("""COMPUTED_VALUE"""),"Active")</f>
        <v>Active</v>
      </c>
      <c r="D598" s="265" t="str">
        <f>IFERROR(__xludf.DUMMYFUNCTION("""COMPUTED_VALUE"""),"Truyền thông &amp; Giải trí")</f>
        <v>Truyền thông &amp; Giải trí</v>
      </c>
      <c r="E598" s="265" t="str">
        <f>IFERROR(__xludf.DUMMYFUNCTION("""COMPUTED_VALUE"""),"TúPHN")</f>
        <v>TúPHN</v>
      </c>
      <c r="F598" s="265" t="str">
        <f>IFERROR(__xludf.DUMMYFUNCTION("""COMPUTED_VALUE"""),"Gold")</f>
        <v>Gold</v>
      </c>
      <c r="G598" s="265" t="str">
        <f>IFERROR(__xludf.DUMMYFUNCTION("""COMPUTED_VALUE"""),"Starter")</f>
        <v>Starter</v>
      </c>
      <c r="H598" s="265" t="str">
        <f>IFERROR(__xludf.DUMMYFUNCTION("""COMPUTED_VALUE"""),"Trả trước")</f>
        <v>Trả trước</v>
      </c>
      <c r="I598" s="265" t="str">
        <f>IFERROR(__xludf.DUMMYFUNCTION("""COMPUTED_VALUE"""),"API")</f>
        <v>API</v>
      </c>
      <c r="J598" s="265" t="str">
        <f>IFERROR(__xludf.DUMMYFUNCTION("""COMPUTED_VALUE"""),"SMS CSKH")</f>
        <v>SMS CSKH</v>
      </c>
    </row>
    <row r="599">
      <c r="A599" s="265" t="str">
        <f>IFERROR(__xludf.DUMMYFUNCTION("""COMPUTED_VALUE"""),"881")</f>
        <v>881</v>
      </c>
      <c r="B599" s="265" t="str">
        <f>IFERROR(__xludf.DUMMYFUNCTION("""COMPUTED_VALUE"""),"Hà Nội")</f>
        <v>Hà Nội</v>
      </c>
      <c r="C599" s="265" t="str">
        <f>IFERROR(__xludf.DUMMYFUNCTION("""COMPUTED_VALUE"""),"Active")</f>
        <v>Active</v>
      </c>
      <c r="D599" s="265" t="str">
        <f>IFERROR(__xludf.DUMMYFUNCTION("""COMPUTED_VALUE"""),"Truyền thông &amp; Giải trí")</f>
        <v>Truyền thông &amp; Giải trí</v>
      </c>
      <c r="E599" s="265" t="str">
        <f>IFERROR(__xludf.DUMMYFUNCTION("""COMPUTED_VALUE"""),"TúPHN")</f>
        <v>TúPHN</v>
      </c>
      <c r="F599" s="265" t="str">
        <f>IFERROR(__xludf.DUMMYFUNCTION("""COMPUTED_VALUE"""),"Gold")</f>
        <v>Gold</v>
      </c>
      <c r="G599" s="265" t="str">
        <f>IFERROR(__xludf.DUMMYFUNCTION("""COMPUTED_VALUE"""),"Starter")</f>
        <v>Starter</v>
      </c>
      <c r="H599" s="265" t="str">
        <f>IFERROR(__xludf.DUMMYFUNCTION("""COMPUTED_VALUE"""),"Trả trước")</f>
        <v>Trả trước</v>
      </c>
      <c r="I599" s="265" t="str">
        <f>IFERROR(__xludf.DUMMYFUNCTION("""COMPUTED_VALUE"""),"API")</f>
        <v>API</v>
      </c>
      <c r="J599" s="265" t="str">
        <f>IFERROR(__xludf.DUMMYFUNCTION("""COMPUTED_VALUE"""),"Zalo ZNS")</f>
        <v>Zalo ZNS</v>
      </c>
    </row>
    <row r="600">
      <c r="A600" s="265" t="str">
        <f>IFERROR(__xludf.DUMMYFUNCTION("""COMPUTED_VALUE"""),"882")</f>
        <v>882</v>
      </c>
      <c r="B600" s="265" t="str">
        <f>IFERROR(__xludf.DUMMYFUNCTION("""COMPUTED_VALUE"""),"Sài Gòn")</f>
        <v>Sài Gòn</v>
      </c>
      <c r="C600" s="265" t="str">
        <f>IFERROR(__xludf.DUMMYFUNCTION("""COMPUTED_VALUE"""),"Active")</f>
        <v>Active</v>
      </c>
      <c r="D600" s="265" t="str">
        <f>IFERROR(__xludf.DUMMYFUNCTION("""COMPUTED_VALUE"""),"Công nghệ &amp; Phần mềm")</f>
        <v>Công nghệ &amp; Phần mềm</v>
      </c>
      <c r="E600" s="265" t="str">
        <f>IFERROR(__xludf.DUMMYFUNCTION("""COMPUTED_VALUE"""),"AnhNM")</f>
        <v>AnhNM</v>
      </c>
      <c r="F600" s="265" t="str">
        <f>IFERROR(__xludf.DUMMYFUNCTION("""COMPUTED_VALUE"""),"Gold")</f>
        <v>Gold</v>
      </c>
      <c r="G600" s="265" t="str">
        <f>IFERROR(__xludf.DUMMYFUNCTION("""COMPUTED_VALUE"""),"Starter")</f>
        <v>Starter</v>
      </c>
      <c r="H600" s="265" t="str">
        <f>IFERROR(__xludf.DUMMYFUNCTION("""COMPUTED_VALUE"""),"Trả sau")</f>
        <v>Trả sau</v>
      </c>
      <c r="I600" s="265" t="str">
        <f>IFERROR(__xludf.DUMMYFUNCTION("""COMPUTED_VALUE"""),"API &amp; Portal")</f>
        <v>API &amp; Portal</v>
      </c>
      <c r="J600" s="265" t="str">
        <f>IFERROR(__xludf.DUMMYFUNCTION("""COMPUTED_VALUE"""),"Zalo ZNS")</f>
        <v>Zalo ZNS</v>
      </c>
    </row>
    <row r="601">
      <c r="A601" s="265" t="str">
        <f>IFERROR(__xludf.DUMMYFUNCTION("""COMPUTED_VALUE"""),"883")</f>
        <v>883</v>
      </c>
      <c r="B601" s="265" t="str">
        <f>IFERROR(__xludf.DUMMYFUNCTION("""COMPUTED_VALUE"""),"Hà Nội")</f>
        <v>Hà Nội</v>
      </c>
      <c r="C601" s="265" t="str">
        <f>IFERROR(__xludf.DUMMYFUNCTION("""COMPUTED_VALUE"""),"Active")</f>
        <v>Active</v>
      </c>
      <c r="D601" s="265" t="str">
        <f>IFERROR(__xludf.DUMMYFUNCTION("""COMPUTED_VALUE"""),"Dịch vụ khác")</f>
        <v>Dịch vụ khác</v>
      </c>
      <c r="E601" s="265" t="str">
        <f>IFERROR(__xludf.DUMMYFUNCTION("""COMPUTED_VALUE"""),"TúPHN")</f>
        <v>TúPHN</v>
      </c>
      <c r="F601" s="265" t="str">
        <f>IFERROR(__xludf.DUMMYFUNCTION("""COMPUTED_VALUE"""),"Silver")</f>
        <v>Silver</v>
      </c>
      <c r="G601" s="265" t="str">
        <f>IFERROR(__xludf.DUMMYFUNCTION("""COMPUTED_VALUE"""),"Starter")</f>
        <v>Starter</v>
      </c>
      <c r="H601" s="265" t="str">
        <f>IFERROR(__xludf.DUMMYFUNCTION("""COMPUTED_VALUE"""),"Trả trước")</f>
        <v>Trả trước</v>
      </c>
      <c r="I601" s="265" t="str">
        <f>IFERROR(__xludf.DUMMYFUNCTION("""COMPUTED_VALUE"""),"Portal")</f>
        <v>Portal</v>
      </c>
      <c r="J601" s="265" t="str">
        <f>IFERROR(__xludf.DUMMYFUNCTION("""COMPUTED_VALUE"""),"Zalo ZNS")</f>
        <v>Zalo ZNS</v>
      </c>
    </row>
    <row r="602">
      <c r="A602" s="265" t="str">
        <f>IFERROR(__xludf.DUMMYFUNCTION("""COMPUTED_VALUE"""),"893")</f>
        <v>893</v>
      </c>
      <c r="B602" s="265" t="str">
        <f>IFERROR(__xludf.DUMMYFUNCTION("""COMPUTED_VALUE"""),"Hà Nội")</f>
        <v>Hà Nội</v>
      </c>
      <c r="C602" s="265" t="str">
        <f>IFERROR(__xludf.DUMMYFUNCTION("""COMPUTED_VALUE"""),"Active")</f>
        <v>Active</v>
      </c>
      <c r="D602" s="265" t="str">
        <f>IFERROR(__xludf.DUMMYFUNCTION("""COMPUTED_VALUE"""),"Sale chưa cung cấp")</f>
        <v>Sale chưa cung cấp</v>
      </c>
      <c r="E602" s="265" t="str">
        <f>IFERROR(__xludf.DUMMYFUNCTION("""COMPUTED_VALUE"""),"Không phân công")</f>
        <v>Không phân công</v>
      </c>
      <c r="F602" s="265" t="str">
        <f>IFERROR(__xludf.DUMMYFUNCTION("""COMPUTED_VALUE"""),"Sale chưa cung cấp")</f>
        <v>Sale chưa cung cấp</v>
      </c>
      <c r="G602" s="265" t="str">
        <f>IFERROR(__xludf.DUMMYFUNCTION("""COMPUTED_VALUE"""),"Starter")</f>
        <v>Starter</v>
      </c>
      <c r="H602" s="265" t="str">
        <f>IFERROR(__xludf.DUMMYFUNCTION("""COMPUTED_VALUE"""),"Trả sau")</f>
        <v>Trả sau</v>
      </c>
      <c r="I602" s="265" t="str">
        <f>IFERROR(__xludf.DUMMYFUNCTION("""COMPUTED_VALUE"""),"API")</f>
        <v>API</v>
      </c>
      <c r="J602" s="265" t="str">
        <f>IFERROR(__xludf.DUMMYFUNCTION("""COMPUTED_VALUE"""),"SMS CSKH")</f>
        <v>SMS CSKH</v>
      </c>
    </row>
    <row r="603">
      <c r="A603" s="265" t="str">
        <f>IFERROR(__xludf.DUMMYFUNCTION("""COMPUTED_VALUE"""),"886")</f>
        <v>886</v>
      </c>
      <c r="B603" s="265" t="str">
        <f>IFERROR(__xludf.DUMMYFUNCTION("""COMPUTED_VALUE"""),"Hà Nội")</f>
        <v>Hà Nội</v>
      </c>
      <c r="C603" s="265" t="str">
        <f>IFERROR(__xludf.DUMMYFUNCTION("""COMPUTED_VALUE"""),"Active")</f>
        <v>Active</v>
      </c>
      <c r="D603" s="265" t="str">
        <f>IFERROR(__xludf.DUMMYFUNCTION("""COMPUTED_VALUE"""),"Công nghệ &amp; Phần mềm")</f>
        <v>Công nghệ &amp; Phần mềm</v>
      </c>
      <c r="E603" s="265" t="str">
        <f>IFERROR(__xludf.DUMMYFUNCTION("""COMPUTED_VALUE"""),"TùngLD")</f>
        <v>TùngLD</v>
      </c>
      <c r="F603" s="265" t="str">
        <f>IFERROR(__xludf.DUMMYFUNCTION("""COMPUTED_VALUE"""),"Bronze")</f>
        <v>Bronze</v>
      </c>
      <c r="G603" s="265" t="str">
        <f>IFERROR(__xludf.DUMMYFUNCTION("""COMPUTED_VALUE"""),"Starter")</f>
        <v>Starter</v>
      </c>
      <c r="H603" s="265" t="str">
        <f>IFERROR(__xludf.DUMMYFUNCTION("""COMPUTED_VALUE"""),"Trả sau")</f>
        <v>Trả sau</v>
      </c>
      <c r="I603" s="265" t="str">
        <f>IFERROR(__xludf.DUMMYFUNCTION("""COMPUTED_VALUE"""),"API &amp; Portal")</f>
        <v>API &amp; Portal</v>
      </c>
      <c r="J603" s="265" t="str">
        <f>IFERROR(__xludf.DUMMYFUNCTION("""COMPUTED_VALUE"""),"SMS CSKH")</f>
        <v>SMS CSKH</v>
      </c>
    </row>
    <row r="604">
      <c r="A604" s="265" t="str">
        <f>IFERROR(__xludf.DUMMYFUNCTION("""COMPUTED_VALUE"""),"886")</f>
        <v>886</v>
      </c>
      <c r="B604" s="265" t="str">
        <f>IFERROR(__xludf.DUMMYFUNCTION("""COMPUTED_VALUE"""),"Hà Nội")</f>
        <v>Hà Nội</v>
      </c>
      <c r="C604" s="265" t="str">
        <f>IFERROR(__xludf.DUMMYFUNCTION("""COMPUTED_VALUE"""),"Active")</f>
        <v>Active</v>
      </c>
      <c r="D604" s="265" t="str">
        <f>IFERROR(__xludf.DUMMYFUNCTION("""COMPUTED_VALUE"""),"Công nghệ &amp; Phần mềm")</f>
        <v>Công nghệ &amp; Phần mềm</v>
      </c>
      <c r="E604" s="265" t="str">
        <f>IFERROR(__xludf.DUMMYFUNCTION("""COMPUTED_VALUE"""),"TùngLD")</f>
        <v>TùngLD</v>
      </c>
      <c r="F604" s="265" t="str">
        <f>IFERROR(__xludf.DUMMYFUNCTION("""COMPUTED_VALUE"""),"Bronze")</f>
        <v>Bronze</v>
      </c>
      <c r="G604" s="265" t="str">
        <f>IFERROR(__xludf.DUMMYFUNCTION("""COMPUTED_VALUE"""),"Starter")</f>
        <v>Starter</v>
      </c>
      <c r="H604" s="265" t="str">
        <f>IFERROR(__xludf.DUMMYFUNCTION("""COMPUTED_VALUE"""),"Trả sau")</f>
        <v>Trả sau</v>
      </c>
      <c r="I604" s="265" t="str">
        <f>IFERROR(__xludf.DUMMYFUNCTION("""COMPUTED_VALUE"""),"API &amp; Portal")</f>
        <v>API &amp; Portal</v>
      </c>
      <c r="J604" s="265" t="str">
        <f>IFERROR(__xludf.DUMMYFUNCTION("""COMPUTED_VALUE"""),"Zalo ZNS")</f>
        <v>Zalo ZNS</v>
      </c>
    </row>
    <row r="605">
      <c r="A605" s="265" t="str">
        <f>IFERROR(__xludf.DUMMYFUNCTION("""COMPUTED_VALUE"""),"888")</f>
        <v>888</v>
      </c>
      <c r="B605" s="265" t="str">
        <f>IFERROR(__xludf.DUMMYFUNCTION("""COMPUTED_VALUE"""),"Hà Nội")</f>
        <v>Hà Nội</v>
      </c>
      <c r="C605" s="265" t="str">
        <f>IFERROR(__xludf.DUMMYFUNCTION("""COMPUTED_VALUE"""),"Active")</f>
        <v>Active</v>
      </c>
      <c r="D605" s="265" t="str">
        <f>IFERROR(__xludf.DUMMYFUNCTION("""COMPUTED_VALUE"""),"Tài chính &amp; Ngân hàng")</f>
        <v>Tài chính &amp; Ngân hàng</v>
      </c>
      <c r="E605" s="265" t="str">
        <f>IFERROR(__xludf.DUMMYFUNCTION("""COMPUTED_VALUE"""),"TùngLD")</f>
        <v>TùngLD</v>
      </c>
      <c r="F605" s="265" t="str">
        <f>IFERROR(__xludf.DUMMYFUNCTION("""COMPUTED_VALUE"""),"Silver")</f>
        <v>Silver</v>
      </c>
      <c r="G605" s="265" t="str">
        <f>IFERROR(__xludf.DUMMYFUNCTION("""COMPUTED_VALUE"""),"Starter")</f>
        <v>Starter</v>
      </c>
      <c r="H605" s="265" t="str">
        <f>IFERROR(__xludf.DUMMYFUNCTION("""COMPUTED_VALUE"""),"Trả sau")</f>
        <v>Trả sau</v>
      </c>
      <c r="I605" s="265" t="str">
        <f>IFERROR(__xludf.DUMMYFUNCTION("""COMPUTED_VALUE"""),"API &amp; Portal")</f>
        <v>API &amp; Portal</v>
      </c>
      <c r="J605" s="265" t="str">
        <f>IFERROR(__xludf.DUMMYFUNCTION("""COMPUTED_VALUE"""),"SMS CSKH")</f>
        <v>SMS CSKH</v>
      </c>
    </row>
    <row r="606">
      <c r="A606" s="265" t="str">
        <f>IFERROR(__xludf.DUMMYFUNCTION("""COMPUTED_VALUE"""),"889")</f>
        <v>889</v>
      </c>
      <c r="B606" s="265" t="str">
        <f>IFERROR(__xludf.DUMMYFUNCTION("""COMPUTED_VALUE"""),"Hà Nội")</f>
        <v>Hà Nội</v>
      </c>
      <c r="C606" s="265" t="str">
        <f>IFERROR(__xludf.DUMMYFUNCTION("""COMPUTED_VALUE"""),"Active")</f>
        <v>Active</v>
      </c>
      <c r="D606" s="265" t="str">
        <f>IFERROR(__xludf.DUMMYFUNCTION("""COMPUTED_VALUE"""),"Y tế &amp; Dược phẩm")</f>
        <v>Y tế &amp; Dược phẩm</v>
      </c>
      <c r="E606" s="265" t="str">
        <f>IFERROR(__xludf.DUMMYFUNCTION("""COMPUTED_VALUE"""),"TùngLD")</f>
        <v>TùngLD</v>
      </c>
      <c r="F606" s="265" t="str">
        <f>IFERROR(__xludf.DUMMYFUNCTION("""COMPUTED_VALUE"""),"Gold")</f>
        <v>Gold</v>
      </c>
      <c r="G606" s="265" t="str">
        <f>IFERROR(__xludf.DUMMYFUNCTION("""COMPUTED_VALUE"""),"Premium")</f>
        <v>Premium</v>
      </c>
      <c r="H606" s="265" t="str">
        <f>IFERROR(__xludf.DUMMYFUNCTION("""COMPUTED_VALUE"""),"Trả sau")</f>
        <v>Trả sau</v>
      </c>
      <c r="I606" s="265" t="str">
        <f>IFERROR(__xludf.DUMMYFUNCTION("""COMPUTED_VALUE"""),"API &amp; Portal")</f>
        <v>API &amp; Portal</v>
      </c>
      <c r="J606" s="265" t="str">
        <f>IFERROR(__xludf.DUMMYFUNCTION("""COMPUTED_VALUE"""),"Zalo ZNS")</f>
        <v>Zalo ZNS</v>
      </c>
    </row>
    <row r="607">
      <c r="A607" s="265" t="str">
        <f>IFERROR(__xludf.DUMMYFUNCTION("""COMPUTED_VALUE"""),"890")</f>
        <v>890</v>
      </c>
      <c r="B607" s="265" t="str">
        <f>IFERROR(__xludf.DUMMYFUNCTION("""COMPUTED_VALUE"""),"Sài Gòn")</f>
        <v>Sài Gòn</v>
      </c>
      <c r="C607" s="265" t="str">
        <f>IFERROR(__xludf.DUMMYFUNCTION("""COMPUTED_VALUE"""),"Active")</f>
        <v>Active</v>
      </c>
      <c r="D607" s="265" t="str">
        <f>IFERROR(__xludf.DUMMYFUNCTION("""COMPUTED_VALUE"""),"Công nghệ &amp; Phần mềm")</f>
        <v>Công nghệ &amp; Phần mềm</v>
      </c>
      <c r="E607" s="265" t="str">
        <f>IFERROR(__xludf.DUMMYFUNCTION("""COMPUTED_VALUE"""),"TúPHN")</f>
        <v>TúPHN</v>
      </c>
      <c r="F607" s="265" t="str">
        <f>IFERROR(__xludf.DUMMYFUNCTION("""COMPUTED_VALUE"""),"Gold")</f>
        <v>Gold</v>
      </c>
      <c r="G607" s="265" t="str">
        <f>IFERROR(__xludf.DUMMYFUNCTION("""COMPUTED_VALUE"""),"Starter")</f>
        <v>Starter</v>
      </c>
      <c r="H607" s="265" t="str">
        <f>IFERROR(__xludf.DUMMYFUNCTION("""COMPUTED_VALUE"""),"Trả sau")</f>
        <v>Trả sau</v>
      </c>
      <c r="I607" s="265" t="str">
        <f>IFERROR(__xludf.DUMMYFUNCTION("""COMPUTED_VALUE"""),"API &amp; Portal")</f>
        <v>API &amp; Portal</v>
      </c>
      <c r="J607" s="265" t="str">
        <f>IFERROR(__xludf.DUMMYFUNCTION("""COMPUTED_VALUE"""),"Zalo ZNS")</f>
        <v>Zalo ZNS</v>
      </c>
    </row>
    <row r="608">
      <c r="A608" s="265" t="str">
        <f>IFERROR(__xludf.DUMMYFUNCTION("""COMPUTED_VALUE"""),"891")</f>
        <v>891</v>
      </c>
      <c r="B608" s="265" t="str">
        <f>IFERROR(__xludf.DUMMYFUNCTION("""COMPUTED_VALUE"""),"Sài Gòn")</f>
        <v>Sài Gòn</v>
      </c>
      <c r="C608" s="265" t="str">
        <f>IFERROR(__xludf.DUMMYFUNCTION("""COMPUTED_VALUE"""),"Locked")</f>
        <v>Locked</v>
      </c>
      <c r="D608" s="265" t="str">
        <f>IFERROR(__xludf.DUMMYFUNCTION("""COMPUTED_VALUE"""),"Sale chưa cung cấp")</f>
        <v>Sale chưa cung cấp</v>
      </c>
      <c r="E608" s="265" t="str">
        <f>IFERROR(__xludf.DUMMYFUNCTION("""COMPUTED_VALUE"""),"AnhNM")</f>
        <v>AnhNM</v>
      </c>
      <c r="F608" s="265" t="str">
        <f>IFERROR(__xludf.DUMMYFUNCTION("""COMPUTED_VALUE"""),"Sale chưa cung cấp")</f>
        <v>Sale chưa cung cấp</v>
      </c>
      <c r="G608" s="265" t="str">
        <f>IFERROR(__xludf.DUMMYFUNCTION("""COMPUTED_VALUE"""),"Standard")</f>
        <v>Standard</v>
      </c>
      <c r="H608" s="265" t="str">
        <f>IFERROR(__xludf.DUMMYFUNCTION("""COMPUTED_VALUE"""),"Trial")</f>
        <v>Trial</v>
      </c>
      <c r="I608" s="265" t="str">
        <f>IFERROR(__xludf.DUMMYFUNCTION("""COMPUTED_VALUE"""),"API")</f>
        <v>API</v>
      </c>
      <c r="J608" s="265" t="str">
        <f>IFERROR(__xludf.DUMMYFUNCTION("""COMPUTED_VALUE"""),"Zalo ZNS")</f>
        <v>Zalo ZNS</v>
      </c>
    </row>
    <row r="609">
      <c r="A609" s="265" t="str">
        <f>IFERROR(__xludf.DUMMYFUNCTION("""COMPUTED_VALUE"""),"892")</f>
        <v>892</v>
      </c>
      <c r="B609" s="265" t="str">
        <f>IFERROR(__xludf.DUMMYFUNCTION("""COMPUTED_VALUE"""),"Hà Nội")</f>
        <v>Hà Nội</v>
      </c>
      <c r="C609" s="265" t="str">
        <f>IFERROR(__xludf.DUMMYFUNCTION("""COMPUTED_VALUE"""),"Active")</f>
        <v>Active</v>
      </c>
      <c r="D609" s="265" t="str">
        <f>IFERROR(__xludf.DUMMYFUNCTION("""COMPUTED_VALUE"""),"Y tế &amp; Dược phẩm")</f>
        <v>Y tế &amp; Dược phẩm</v>
      </c>
      <c r="E609" s="265" t="str">
        <f>IFERROR(__xludf.DUMMYFUNCTION("""COMPUTED_VALUE"""),"TùngLD")</f>
        <v>TùngLD</v>
      </c>
      <c r="F609" s="265" t="str">
        <f>IFERROR(__xludf.DUMMYFUNCTION("""COMPUTED_VALUE"""),"Gold")</f>
        <v>Gold</v>
      </c>
      <c r="G609" s="265" t="str">
        <f>IFERROR(__xludf.DUMMYFUNCTION("""COMPUTED_VALUE"""),"Premium")</f>
        <v>Premium</v>
      </c>
      <c r="H609" s="265" t="str">
        <f>IFERROR(__xludf.DUMMYFUNCTION("""COMPUTED_VALUE"""),"Trả sau")</f>
        <v>Trả sau</v>
      </c>
      <c r="I609" s="265" t="str">
        <f>IFERROR(__xludf.DUMMYFUNCTION("""COMPUTED_VALUE"""),"API &amp; Portal")</f>
        <v>API &amp; Portal</v>
      </c>
      <c r="J609" s="265" t="str">
        <f>IFERROR(__xludf.DUMMYFUNCTION("""COMPUTED_VALUE"""),"SMS CSKH")</f>
        <v>SMS CSKH</v>
      </c>
    </row>
    <row r="610">
      <c r="A610" s="265" t="str">
        <f>IFERROR(__xludf.DUMMYFUNCTION("""COMPUTED_VALUE"""),"892")</f>
        <v>892</v>
      </c>
      <c r="B610" s="265" t="str">
        <f>IFERROR(__xludf.DUMMYFUNCTION("""COMPUTED_VALUE"""),"Hà Nội")</f>
        <v>Hà Nội</v>
      </c>
      <c r="C610" s="265" t="str">
        <f>IFERROR(__xludf.DUMMYFUNCTION("""COMPUTED_VALUE"""),"Active")</f>
        <v>Active</v>
      </c>
      <c r="D610" s="265" t="str">
        <f>IFERROR(__xludf.DUMMYFUNCTION("""COMPUTED_VALUE"""),"Y tế &amp; Dược phẩm")</f>
        <v>Y tế &amp; Dược phẩm</v>
      </c>
      <c r="E610" s="265" t="str">
        <f>IFERROR(__xludf.DUMMYFUNCTION("""COMPUTED_VALUE"""),"TùngLD")</f>
        <v>TùngLD</v>
      </c>
      <c r="F610" s="265" t="str">
        <f>IFERROR(__xludf.DUMMYFUNCTION("""COMPUTED_VALUE"""),"Gold")</f>
        <v>Gold</v>
      </c>
      <c r="G610" s="265" t="str">
        <f>IFERROR(__xludf.DUMMYFUNCTION("""COMPUTED_VALUE"""),"Premium")</f>
        <v>Premium</v>
      </c>
      <c r="H610" s="265" t="str">
        <f>IFERROR(__xludf.DUMMYFUNCTION("""COMPUTED_VALUE"""),"Trả sau")</f>
        <v>Trả sau</v>
      </c>
      <c r="I610" s="265" t="str">
        <f>IFERROR(__xludf.DUMMYFUNCTION("""COMPUTED_VALUE"""),"API &amp; Portal")</f>
        <v>API &amp; Portal</v>
      </c>
      <c r="J610" s="265" t="str">
        <f>IFERROR(__xludf.DUMMYFUNCTION("""COMPUTED_VALUE"""),"Zalo ZNS")</f>
        <v>Zalo ZNS</v>
      </c>
    </row>
    <row r="611">
      <c r="A611" s="265" t="str">
        <f>IFERROR(__xludf.DUMMYFUNCTION("""COMPUTED_VALUE"""),"895")</f>
        <v>895</v>
      </c>
      <c r="B611" s="265" t="str">
        <f>IFERROR(__xludf.DUMMYFUNCTION("""COMPUTED_VALUE"""),"Sài Gòn")</f>
        <v>Sài Gòn</v>
      </c>
      <c r="C611" s="265" t="str">
        <f>IFERROR(__xludf.DUMMYFUNCTION("""COMPUTED_VALUE"""),"Locked")</f>
        <v>Locked</v>
      </c>
      <c r="D611" s="265" t="str">
        <f>IFERROR(__xludf.DUMMYFUNCTION("""COMPUTED_VALUE"""),"Sale chưa cung cấp")</f>
        <v>Sale chưa cung cấp</v>
      </c>
      <c r="E611" s="265" t="str">
        <f>IFERROR(__xludf.DUMMYFUNCTION("""COMPUTED_VALUE"""),"AnhNM")</f>
        <v>AnhNM</v>
      </c>
      <c r="F611" s="265" t="str">
        <f>IFERROR(__xludf.DUMMYFUNCTION("""COMPUTED_VALUE"""),"Sale chưa cung cấp")</f>
        <v>Sale chưa cung cấp</v>
      </c>
      <c r="G611" s="265" t="str">
        <f>IFERROR(__xludf.DUMMYFUNCTION("""COMPUTED_VALUE"""),"Starter")</f>
        <v>Starter</v>
      </c>
      <c r="H611" s="265" t="str">
        <f>IFERROR(__xludf.DUMMYFUNCTION("""COMPUTED_VALUE"""),"Trial")</f>
        <v>Trial</v>
      </c>
      <c r="I611" s="265" t="str">
        <f>IFERROR(__xludf.DUMMYFUNCTION("""COMPUTED_VALUE"""),"API")</f>
        <v>API</v>
      </c>
      <c r="J611" s="265" t="str">
        <f>IFERROR(__xludf.DUMMYFUNCTION("""COMPUTED_VALUE"""),"SMS CSKH")</f>
        <v>SMS CSKH</v>
      </c>
    </row>
    <row r="612">
      <c r="A612" s="265" t="str">
        <f>IFERROR(__xludf.DUMMYFUNCTION("""COMPUTED_VALUE"""),"894")</f>
        <v>894</v>
      </c>
      <c r="B612" s="265" t="str">
        <f>IFERROR(__xludf.DUMMYFUNCTION("""COMPUTED_VALUE"""),"Sài Gòn")</f>
        <v>Sài Gòn</v>
      </c>
      <c r="C612" s="265" t="str">
        <f>IFERROR(__xludf.DUMMYFUNCTION("""COMPUTED_VALUE"""),"Active")</f>
        <v>Active</v>
      </c>
      <c r="D612" s="265" t="str">
        <f>IFERROR(__xludf.DUMMYFUNCTION("""COMPUTED_VALUE"""),"Sale chưa cung cấp")</f>
        <v>Sale chưa cung cấp</v>
      </c>
      <c r="E612" s="265" t="str">
        <f>IFERROR(__xludf.DUMMYFUNCTION("""COMPUTED_VALUE"""),"Không phân công")</f>
        <v>Không phân công</v>
      </c>
      <c r="F612" s="265" t="str">
        <f>IFERROR(__xludf.DUMMYFUNCTION("""COMPUTED_VALUE"""),"Diamond")</f>
        <v>Diamond</v>
      </c>
      <c r="G612" s="265" t="str">
        <f>IFERROR(__xludf.DUMMYFUNCTION("""COMPUTED_VALUE"""),"Standard")</f>
        <v>Standard</v>
      </c>
      <c r="H612" s="265" t="str">
        <f>IFERROR(__xludf.DUMMYFUNCTION("""COMPUTED_VALUE"""),"Trả trước")</f>
        <v>Trả trước</v>
      </c>
      <c r="I612" s="265" t="str">
        <f>IFERROR(__xludf.DUMMYFUNCTION("""COMPUTED_VALUE"""),"API")</f>
        <v>API</v>
      </c>
      <c r="J612" s="265" t="str">
        <f>IFERROR(__xludf.DUMMYFUNCTION("""COMPUTED_VALUE"""),"SMS CSKH")</f>
        <v>SMS CSKH</v>
      </c>
    </row>
    <row r="613">
      <c r="A613" s="265" t="str">
        <f>IFERROR(__xludf.DUMMYFUNCTION("""COMPUTED_VALUE"""),"896")</f>
        <v>896</v>
      </c>
      <c r="B613" s="265" t="str">
        <f>IFERROR(__xludf.DUMMYFUNCTION("""COMPUTED_VALUE"""),"Hà Nội")</f>
        <v>Hà Nội</v>
      </c>
      <c r="C613" s="265" t="str">
        <f>IFERROR(__xludf.DUMMYFUNCTION("""COMPUTED_VALUE"""),"Active")</f>
        <v>Active</v>
      </c>
      <c r="D613" s="265" t="str">
        <f>IFERROR(__xludf.DUMMYFUNCTION("""COMPUTED_VALUE"""),"Mua sắm &amp; Bán lẻ")</f>
        <v>Mua sắm &amp; Bán lẻ</v>
      </c>
      <c r="E613" s="265" t="str">
        <f>IFERROR(__xludf.DUMMYFUNCTION("""COMPUTED_VALUE"""),"TúPHN")</f>
        <v>TúPHN</v>
      </c>
      <c r="F613" s="265" t="str">
        <f>IFERROR(__xludf.DUMMYFUNCTION("""COMPUTED_VALUE"""),"Bronze")</f>
        <v>Bronze</v>
      </c>
      <c r="G613" s="265" t="str">
        <f>IFERROR(__xludf.DUMMYFUNCTION("""COMPUTED_VALUE"""),"Starter")</f>
        <v>Starter</v>
      </c>
      <c r="H613" s="265" t="str">
        <f>IFERROR(__xludf.DUMMYFUNCTION("""COMPUTED_VALUE"""),"Trả sau")</f>
        <v>Trả sau</v>
      </c>
      <c r="I613" s="265" t="str">
        <f>IFERROR(__xludf.DUMMYFUNCTION("""COMPUTED_VALUE"""),"API &amp; Portal")</f>
        <v>API &amp; Portal</v>
      </c>
      <c r="J613" s="265" t="str">
        <f>IFERROR(__xludf.DUMMYFUNCTION("""COMPUTED_VALUE"""),"Tất cả")</f>
        <v>Tất cả</v>
      </c>
    </row>
    <row r="614">
      <c r="A614" s="265" t="str">
        <f>IFERROR(__xludf.DUMMYFUNCTION("""COMPUTED_VALUE"""),"897")</f>
        <v>897</v>
      </c>
      <c r="B614" s="265" t="str">
        <f>IFERROR(__xludf.DUMMYFUNCTION("""COMPUTED_VALUE"""),"Sài Gòn")</f>
        <v>Sài Gòn</v>
      </c>
      <c r="C614" s="265" t="str">
        <f>IFERROR(__xludf.DUMMYFUNCTION("""COMPUTED_VALUE"""),"Locked")</f>
        <v>Locked</v>
      </c>
      <c r="D614" s="265" t="str">
        <f>IFERROR(__xludf.DUMMYFUNCTION("""COMPUTED_VALUE"""),"Thực phẩm &amp; Đồ uống")</f>
        <v>Thực phẩm &amp; Đồ uống</v>
      </c>
      <c r="E614" s="265" t="str">
        <f>IFERROR(__xludf.DUMMYFUNCTION("""COMPUTED_VALUE"""),"HoaNTM")</f>
        <v>HoaNTM</v>
      </c>
      <c r="F614" s="265" t="str">
        <f>IFERROR(__xludf.DUMMYFUNCTION("""COMPUTED_VALUE"""),"Diamond")</f>
        <v>Diamond</v>
      </c>
      <c r="G614" s="265" t="str">
        <f>IFERROR(__xludf.DUMMYFUNCTION("""COMPUTED_VALUE"""),"Premium")</f>
        <v>Premium</v>
      </c>
      <c r="H614" s="265" t="str">
        <f>IFERROR(__xludf.DUMMYFUNCTION("""COMPUTED_VALUE"""),"Trả trước")</f>
        <v>Trả trước</v>
      </c>
      <c r="I614" s="265" t="str">
        <f>IFERROR(__xludf.DUMMYFUNCTION("""COMPUTED_VALUE"""),"API &amp; Portal")</f>
        <v>API &amp; Portal</v>
      </c>
      <c r="J614" s="265" t="str">
        <f>IFERROR(__xludf.DUMMYFUNCTION("""COMPUTED_VALUE"""),"Zalo ZNS")</f>
        <v>Zalo ZNS</v>
      </c>
    </row>
    <row r="615">
      <c r="A615" s="265" t="str">
        <f>IFERROR(__xludf.DUMMYFUNCTION("""COMPUTED_VALUE"""),"898")</f>
        <v>898</v>
      </c>
      <c r="B615" s="265" t="str">
        <f>IFERROR(__xludf.DUMMYFUNCTION("""COMPUTED_VALUE"""),"Sài Gòn")</f>
        <v>Sài Gòn</v>
      </c>
      <c r="C615" s="265" t="str">
        <f>IFERROR(__xludf.DUMMYFUNCTION("""COMPUTED_VALUE"""),"Locked")</f>
        <v>Locked</v>
      </c>
      <c r="D615" s="265" t="str">
        <f>IFERROR(__xludf.DUMMYFUNCTION("""COMPUTED_VALUE"""),"Thực phẩm &amp; Đồ uống")</f>
        <v>Thực phẩm &amp; Đồ uống</v>
      </c>
      <c r="E615" s="265" t="str">
        <f>IFERROR(__xludf.DUMMYFUNCTION("""COMPUTED_VALUE"""),"HoaNTM")</f>
        <v>HoaNTM</v>
      </c>
      <c r="F615" s="265" t="str">
        <f>IFERROR(__xludf.DUMMYFUNCTION("""COMPUTED_VALUE"""),"Diamond")</f>
        <v>Diamond</v>
      </c>
      <c r="G615" s="265" t="str">
        <f>IFERROR(__xludf.DUMMYFUNCTION("""COMPUTED_VALUE"""),"Premium")</f>
        <v>Premium</v>
      </c>
      <c r="H615" s="265" t="str">
        <f>IFERROR(__xludf.DUMMYFUNCTION("""COMPUTED_VALUE"""),"Trả sau")</f>
        <v>Trả sau</v>
      </c>
      <c r="I615" s="265" t="str">
        <f>IFERROR(__xludf.DUMMYFUNCTION("""COMPUTED_VALUE"""),"API &amp; Portal")</f>
        <v>API &amp; Portal</v>
      </c>
      <c r="J615" s="265" t="str">
        <f>IFERROR(__xludf.DUMMYFUNCTION("""COMPUTED_VALUE"""),"SMS CSKH")</f>
        <v>SMS CSKH</v>
      </c>
    </row>
    <row r="616">
      <c r="A616" s="265" t="str">
        <f>IFERROR(__xludf.DUMMYFUNCTION("""COMPUTED_VALUE"""),"899")</f>
        <v>899</v>
      </c>
      <c r="B616" s="265" t="str">
        <f>IFERROR(__xludf.DUMMYFUNCTION("""COMPUTED_VALUE"""),"Hà Nội")</f>
        <v>Hà Nội</v>
      </c>
      <c r="C616" s="265" t="str">
        <f>IFERROR(__xludf.DUMMYFUNCTION("""COMPUTED_VALUE"""),"Active")</f>
        <v>Active</v>
      </c>
      <c r="D616" s="265" t="str">
        <f>IFERROR(__xludf.DUMMYFUNCTION("""COMPUTED_VALUE"""),"Sale chưa cung cấp")</f>
        <v>Sale chưa cung cấp</v>
      </c>
      <c r="E616" s="265" t="str">
        <f>IFERROR(__xludf.DUMMYFUNCTION("""COMPUTED_VALUE"""),"AnhNM")</f>
        <v>AnhNM</v>
      </c>
      <c r="F616" s="265" t="str">
        <f>IFERROR(__xludf.DUMMYFUNCTION("""COMPUTED_VALUE"""),"Bronze")</f>
        <v>Bronze</v>
      </c>
      <c r="G616" s="265" t="str">
        <f>IFERROR(__xludf.DUMMYFUNCTION("""COMPUTED_VALUE"""),"Starter")</f>
        <v>Starter</v>
      </c>
      <c r="H616" s="265" t="str">
        <f>IFERROR(__xludf.DUMMYFUNCTION("""COMPUTED_VALUE"""),"Trả trước")</f>
        <v>Trả trước</v>
      </c>
      <c r="I616" s="265" t="str">
        <f>IFERROR(__xludf.DUMMYFUNCTION("""COMPUTED_VALUE"""),"API")</f>
        <v>API</v>
      </c>
      <c r="J616" s="265" t="str">
        <f>IFERROR(__xludf.DUMMYFUNCTION("""COMPUTED_VALUE"""),"Zalo ZNS")</f>
        <v>Zalo ZNS</v>
      </c>
    </row>
    <row r="617">
      <c r="A617" s="265" t="str">
        <f>IFERROR(__xludf.DUMMYFUNCTION("""COMPUTED_VALUE"""),"900")</f>
        <v>900</v>
      </c>
      <c r="B617" s="265" t="str">
        <f>IFERROR(__xludf.DUMMYFUNCTION("""COMPUTED_VALUE"""),"Hà Nội")</f>
        <v>Hà Nội</v>
      </c>
      <c r="C617" s="265" t="str">
        <f>IFERROR(__xludf.DUMMYFUNCTION("""COMPUTED_VALUE"""),"Active")</f>
        <v>Active</v>
      </c>
      <c r="D617" s="265" t="str">
        <f>IFERROR(__xludf.DUMMYFUNCTION("""COMPUTED_VALUE"""),"Sale chưa cung cấp")</f>
        <v>Sale chưa cung cấp</v>
      </c>
      <c r="E617" s="265" t="str">
        <f>IFERROR(__xludf.DUMMYFUNCTION("""COMPUTED_VALUE"""),"Không phân công")</f>
        <v>Không phân công</v>
      </c>
      <c r="F617" s="265" t="str">
        <f>IFERROR(__xludf.DUMMYFUNCTION("""COMPUTED_VALUE"""),"Sale chưa cung cấp")</f>
        <v>Sale chưa cung cấp</v>
      </c>
      <c r="G617" s="265" t="str">
        <f>IFERROR(__xludf.DUMMYFUNCTION("""COMPUTED_VALUE"""),"Starter")</f>
        <v>Starter</v>
      </c>
      <c r="H617" s="265" t="str">
        <f>IFERROR(__xludf.DUMMYFUNCTION("""COMPUTED_VALUE"""),"Trả sau")</f>
        <v>Trả sau</v>
      </c>
      <c r="I617" s="265" t="str">
        <f>IFERROR(__xludf.DUMMYFUNCTION("""COMPUTED_VALUE"""),"API &amp; Portal")</f>
        <v>API &amp; Portal</v>
      </c>
      <c r="J617" s="265" t="str">
        <f>IFERROR(__xludf.DUMMYFUNCTION("""COMPUTED_VALUE"""),"SMS CSKH")</f>
        <v>SMS CSKH</v>
      </c>
    </row>
    <row r="618">
      <c r="A618" s="265" t="str">
        <f>IFERROR(__xludf.DUMMYFUNCTION("""COMPUTED_VALUE"""),"902")</f>
        <v>902</v>
      </c>
      <c r="B618" s="265" t="str">
        <f>IFERROR(__xludf.DUMMYFUNCTION("""COMPUTED_VALUE"""),"Hà Nội")</f>
        <v>Hà Nội</v>
      </c>
      <c r="C618" s="265" t="str">
        <f>IFERROR(__xludf.DUMMYFUNCTION("""COMPUTED_VALUE"""),"Active")</f>
        <v>Active</v>
      </c>
      <c r="D618" s="265" t="str">
        <f>IFERROR(__xludf.DUMMYFUNCTION("""COMPUTED_VALUE"""),"Y tế &amp; Dược phẩm")</f>
        <v>Y tế &amp; Dược phẩm</v>
      </c>
      <c r="E618" s="265" t="str">
        <f>IFERROR(__xludf.DUMMYFUNCTION("""COMPUTED_VALUE"""),"TùngLD")</f>
        <v>TùngLD</v>
      </c>
      <c r="F618" s="265" t="str">
        <f>IFERROR(__xludf.DUMMYFUNCTION("""COMPUTED_VALUE"""),"Gold")</f>
        <v>Gold</v>
      </c>
      <c r="G618" s="265" t="str">
        <f>IFERROR(__xludf.DUMMYFUNCTION("""COMPUTED_VALUE"""),"Premium")</f>
        <v>Premium</v>
      </c>
      <c r="H618" s="265" t="str">
        <f>IFERROR(__xludf.DUMMYFUNCTION("""COMPUTED_VALUE"""),"Trả sau")</f>
        <v>Trả sau</v>
      </c>
      <c r="I618" s="265" t="str">
        <f>IFERROR(__xludf.DUMMYFUNCTION("""COMPUTED_VALUE"""),"API &amp; Portal")</f>
        <v>API &amp; Portal</v>
      </c>
      <c r="J618" s="265" t="str">
        <f>IFERROR(__xludf.DUMMYFUNCTION("""COMPUTED_VALUE"""),"Zalo ZNS")</f>
        <v>Zalo ZNS</v>
      </c>
    </row>
    <row r="619">
      <c r="A619" s="265" t="str">
        <f>IFERROR(__xludf.DUMMYFUNCTION("""COMPUTED_VALUE"""),"901")</f>
        <v>901</v>
      </c>
      <c r="B619" s="265" t="str">
        <f>IFERROR(__xludf.DUMMYFUNCTION("""COMPUTED_VALUE"""),"Hà Nội")</f>
        <v>Hà Nội</v>
      </c>
      <c r="C619" s="265" t="str">
        <f>IFERROR(__xludf.DUMMYFUNCTION("""COMPUTED_VALUE"""),"Locked")</f>
        <v>Locked</v>
      </c>
      <c r="D619" s="265" t="str">
        <f>IFERROR(__xludf.DUMMYFUNCTION("""COMPUTED_VALUE"""),"Sale chưa cung cấp")</f>
        <v>Sale chưa cung cấp</v>
      </c>
      <c r="E619" s="265" t="str">
        <f>IFERROR(__xludf.DUMMYFUNCTION("""COMPUTED_VALUE"""),"PhươngDTB")</f>
        <v>PhươngDTB</v>
      </c>
      <c r="F619" s="265" t="str">
        <f>IFERROR(__xludf.DUMMYFUNCTION("""COMPUTED_VALUE"""),"Sale chưa cung cấp")</f>
        <v>Sale chưa cung cấp</v>
      </c>
      <c r="G619" s="265" t="str">
        <f>IFERROR(__xludf.DUMMYFUNCTION("""COMPUTED_VALUE"""),"Enterprise")</f>
        <v>Enterprise</v>
      </c>
      <c r="H619" s="265" t="str">
        <f>IFERROR(__xludf.DUMMYFUNCTION("""COMPUTED_VALUE"""),"Trial")</f>
        <v>Trial</v>
      </c>
      <c r="I619" s="265" t="str">
        <f>IFERROR(__xludf.DUMMYFUNCTION("""COMPUTED_VALUE"""),"API")</f>
        <v>API</v>
      </c>
      <c r="J619" s="265" t="str">
        <f>IFERROR(__xludf.DUMMYFUNCTION("""COMPUTED_VALUE"""),"Zalo ZNS")</f>
        <v>Zalo ZNS</v>
      </c>
    </row>
    <row r="620">
      <c r="A620" s="265" t="str">
        <f>IFERROR(__xludf.DUMMYFUNCTION("""COMPUTED_VALUE"""),"903")</f>
        <v>903</v>
      </c>
      <c r="B620" s="265" t="str">
        <f>IFERROR(__xludf.DUMMYFUNCTION("""COMPUTED_VALUE"""),"Sài Gòn")</f>
        <v>Sài Gòn</v>
      </c>
      <c r="C620" s="265" t="str">
        <f>IFERROR(__xludf.DUMMYFUNCTION("""COMPUTED_VALUE"""),"Active")</f>
        <v>Active</v>
      </c>
      <c r="D620" s="265" t="str">
        <f>IFERROR(__xludf.DUMMYFUNCTION("""COMPUTED_VALUE"""),"Ô tô &amp; Xe máy")</f>
        <v>Ô tô &amp; Xe máy</v>
      </c>
      <c r="E620" s="265" t="str">
        <f>IFERROR(__xludf.DUMMYFUNCTION("""COMPUTED_VALUE"""),"AnhNM")</f>
        <v>AnhNM</v>
      </c>
      <c r="F620" s="265" t="str">
        <f>IFERROR(__xludf.DUMMYFUNCTION("""COMPUTED_VALUE"""),"Silver")</f>
        <v>Silver</v>
      </c>
      <c r="G620" s="265" t="str">
        <f>IFERROR(__xludf.DUMMYFUNCTION("""COMPUTED_VALUE"""),"Standard")</f>
        <v>Standard</v>
      </c>
      <c r="H620" s="265" t="str">
        <f>IFERROR(__xludf.DUMMYFUNCTION("""COMPUTED_VALUE"""),"Trả trước")</f>
        <v>Trả trước</v>
      </c>
      <c r="I620" s="265" t="str">
        <f>IFERROR(__xludf.DUMMYFUNCTION("""COMPUTED_VALUE"""),"Portal")</f>
        <v>Portal</v>
      </c>
      <c r="J620" s="265" t="str">
        <f>IFERROR(__xludf.DUMMYFUNCTION("""COMPUTED_VALUE"""),"Zalo ZNS")</f>
        <v>Zalo ZNS</v>
      </c>
    </row>
    <row r="621">
      <c r="A621" s="265" t="str">
        <f>IFERROR(__xludf.DUMMYFUNCTION("""COMPUTED_VALUE"""),"903")</f>
        <v>903</v>
      </c>
      <c r="B621" s="265" t="str">
        <f>IFERROR(__xludf.DUMMYFUNCTION("""COMPUTED_VALUE"""),"Sài Gòn")</f>
        <v>Sài Gòn</v>
      </c>
      <c r="C621" s="265" t="str">
        <f>IFERROR(__xludf.DUMMYFUNCTION("""COMPUTED_VALUE"""),"Active")</f>
        <v>Active</v>
      </c>
      <c r="D621" s="265" t="str">
        <f>IFERROR(__xludf.DUMMYFUNCTION("""COMPUTED_VALUE"""),"Ô tô &amp; Xe máy")</f>
        <v>Ô tô &amp; Xe máy</v>
      </c>
      <c r="E621" s="265" t="str">
        <f>IFERROR(__xludf.DUMMYFUNCTION("""COMPUTED_VALUE"""),"AnhNM")</f>
        <v>AnhNM</v>
      </c>
      <c r="F621" s="265" t="str">
        <f>IFERROR(__xludf.DUMMYFUNCTION("""COMPUTED_VALUE"""),"Silver")</f>
        <v>Silver</v>
      </c>
      <c r="G621" s="265" t="str">
        <f>IFERROR(__xludf.DUMMYFUNCTION("""COMPUTED_VALUE"""),"Standard")</f>
        <v>Standard</v>
      </c>
      <c r="H621" s="265" t="str">
        <f>IFERROR(__xludf.DUMMYFUNCTION("""COMPUTED_VALUE"""),"Trả trước")</f>
        <v>Trả trước</v>
      </c>
      <c r="I621" s="265" t="str">
        <f>IFERROR(__xludf.DUMMYFUNCTION("""COMPUTED_VALUE"""),"Portal")</f>
        <v>Portal</v>
      </c>
      <c r="J621" s="265" t="str">
        <f>IFERROR(__xludf.DUMMYFUNCTION("""COMPUTED_VALUE"""),"SMS CSKH")</f>
        <v>SMS CSKH</v>
      </c>
    </row>
    <row r="622">
      <c r="A622" s="265" t="str">
        <f>IFERROR(__xludf.DUMMYFUNCTION("""COMPUTED_VALUE"""),"903")</f>
        <v>903</v>
      </c>
      <c r="B622" s="265" t="str">
        <f>IFERROR(__xludf.DUMMYFUNCTION("""COMPUTED_VALUE"""),"Sài Gòn")</f>
        <v>Sài Gòn</v>
      </c>
      <c r="C622" s="265" t="str">
        <f>IFERROR(__xludf.DUMMYFUNCTION("""COMPUTED_VALUE"""),"Active")</f>
        <v>Active</v>
      </c>
      <c r="D622" s="265" t="str">
        <f>IFERROR(__xludf.DUMMYFUNCTION("""COMPUTED_VALUE"""),"Ô tô &amp; Xe máy")</f>
        <v>Ô tô &amp; Xe máy</v>
      </c>
      <c r="E622" s="265" t="str">
        <f>IFERROR(__xludf.DUMMYFUNCTION("""COMPUTED_VALUE"""),"AnhNM")</f>
        <v>AnhNM</v>
      </c>
      <c r="F622" s="265" t="str">
        <f>IFERROR(__xludf.DUMMYFUNCTION("""COMPUTED_VALUE"""),"Silver")</f>
        <v>Silver</v>
      </c>
      <c r="G622" s="265" t="str">
        <f>IFERROR(__xludf.DUMMYFUNCTION("""COMPUTED_VALUE"""),"Standard")</f>
        <v>Standard</v>
      </c>
      <c r="H622" s="265" t="str">
        <f>IFERROR(__xludf.DUMMYFUNCTION("""COMPUTED_VALUE"""),"Trả trước")</f>
        <v>Trả trước</v>
      </c>
      <c r="I622" s="265" t="str">
        <f>IFERROR(__xludf.DUMMYFUNCTION("""COMPUTED_VALUE"""),"Portal")</f>
        <v>Portal</v>
      </c>
      <c r="J622" s="265" t="str">
        <f>IFERROR(__xludf.DUMMYFUNCTION("""COMPUTED_VALUE"""),"SMS QC")</f>
        <v>SMS QC</v>
      </c>
    </row>
    <row r="623">
      <c r="A623" s="265" t="str">
        <f>IFERROR(__xludf.DUMMYFUNCTION("""COMPUTED_VALUE"""),"904")</f>
        <v>904</v>
      </c>
      <c r="B623" s="265" t="str">
        <f>IFERROR(__xludf.DUMMYFUNCTION("""COMPUTED_VALUE"""),"Hà Nội")</f>
        <v>Hà Nội</v>
      </c>
      <c r="C623" s="265" t="str">
        <f>IFERROR(__xludf.DUMMYFUNCTION("""COMPUTED_VALUE"""),"Active")</f>
        <v>Active</v>
      </c>
      <c r="D623" s="265" t="str">
        <f>IFERROR(__xludf.DUMMYFUNCTION("""COMPUTED_VALUE"""),"Y tế &amp; Dược phẩm")</f>
        <v>Y tế &amp; Dược phẩm</v>
      </c>
      <c r="E623" s="265" t="str">
        <f>IFERROR(__xludf.DUMMYFUNCTION("""COMPUTED_VALUE"""),"TùngLD")</f>
        <v>TùngLD</v>
      </c>
      <c r="F623" s="265" t="str">
        <f>IFERROR(__xludf.DUMMYFUNCTION("""COMPUTED_VALUE"""),"Gold")</f>
        <v>Gold</v>
      </c>
      <c r="G623" s="265" t="str">
        <f>IFERROR(__xludf.DUMMYFUNCTION("""COMPUTED_VALUE"""),"Premium")</f>
        <v>Premium</v>
      </c>
      <c r="H623" s="265" t="str">
        <f>IFERROR(__xludf.DUMMYFUNCTION("""COMPUTED_VALUE"""),"Trả sau")</f>
        <v>Trả sau</v>
      </c>
      <c r="I623" s="265" t="str">
        <f>IFERROR(__xludf.DUMMYFUNCTION("""COMPUTED_VALUE"""),"API &amp; Portal")</f>
        <v>API &amp; Portal</v>
      </c>
      <c r="J623" s="265" t="str">
        <f>IFERROR(__xludf.DUMMYFUNCTION("""COMPUTED_VALUE"""),"SMS CSKH")</f>
        <v>SMS CSKH</v>
      </c>
    </row>
    <row r="624">
      <c r="A624" s="265" t="str">
        <f>IFERROR(__xludf.DUMMYFUNCTION("""COMPUTED_VALUE"""),"904")</f>
        <v>904</v>
      </c>
      <c r="B624" s="265" t="str">
        <f>IFERROR(__xludf.DUMMYFUNCTION("""COMPUTED_VALUE"""),"Hà Nội")</f>
        <v>Hà Nội</v>
      </c>
      <c r="C624" s="265" t="str">
        <f>IFERROR(__xludf.DUMMYFUNCTION("""COMPUTED_VALUE"""),"Active")</f>
        <v>Active</v>
      </c>
      <c r="D624" s="265" t="str">
        <f>IFERROR(__xludf.DUMMYFUNCTION("""COMPUTED_VALUE"""),"Y tế &amp; Dược phẩm")</f>
        <v>Y tế &amp; Dược phẩm</v>
      </c>
      <c r="E624" s="265" t="str">
        <f>IFERROR(__xludf.DUMMYFUNCTION("""COMPUTED_VALUE"""),"TùngLD")</f>
        <v>TùngLD</v>
      </c>
      <c r="F624" s="265" t="str">
        <f>IFERROR(__xludf.DUMMYFUNCTION("""COMPUTED_VALUE"""),"Gold")</f>
        <v>Gold</v>
      </c>
      <c r="G624" s="265" t="str">
        <f>IFERROR(__xludf.DUMMYFUNCTION("""COMPUTED_VALUE"""),"Premium")</f>
        <v>Premium</v>
      </c>
      <c r="H624" s="265" t="str">
        <f>IFERROR(__xludf.DUMMYFUNCTION("""COMPUTED_VALUE"""),"Trả sau")</f>
        <v>Trả sau</v>
      </c>
      <c r="I624" s="265" t="str">
        <f>IFERROR(__xludf.DUMMYFUNCTION("""COMPUTED_VALUE"""),"API &amp; Portal")</f>
        <v>API &amp; Portal</v>
      </c>
      <c r="J624" s="265" t="str">
        <f>IFERROR(__xludf.DUMMYFUNCTION("""COMPUTED_VALUE"""),"Zalo ZNS")</f>
        <v>Zalo ZNS</v>
      </c>
    </row>
    <row r="625">
      <c r="A625" s="265" t="str">
        <f>IFERROR(__xludf.DUMMYFUNCTION("""COMPUTED_VALUE"""),"904")</f>
        <v>904</v>
      </c>
      <c r="B625" s="265" t="str">
        <f>IFERROR(__xludf.DUMMYFUNCTION("""COMPUTED_VALUE"""),"Hà Nội")</f>
        <v>Hà Nội</v>
      </c>
      <c r="C625" s="265" t="str">
        <f>IFERROR(__xludf.DUMMYFUNCTION("""COMPUTED_VALUE"""),"Active")</f>
        <v>Active</v>
      </c>
      <c r="D625" s="265" t="str">
        <f>IFERROR(__xludf.DUMMYFUNCTION("""COMPUTED_VALUE"""),"Y tế &amp; Dược phẩm")</f>
        <v>Y tế &amp; Dược phẩm</v>
      </c>
      <c r="E625" s="265" t="str">
        <f>IFERROR(__xludf.DUMMYFUNCTION("""COMPUTED_VALUE"""),"TùngLD")</f>
        <v>TùngLD</v>
      </c>
      <c r="F625" s="265" t="str">
        <f>IFERROR(__xludf.DUMMYFUNCTION("""COMPUTED_VALUE"""),"Gold")</f>
        <v>Gold</v>
      </c>
      <c r="G625" s="265" t="str">
        <f>IFERROR(__xludf.DUMMYFUNCTION("""COMPUTED_VALUE"""),"Premium")</f>
        <v>Premium</v>
      </c>
      <c r="H625" s="265" t="str">
        <f>IFERROR(__xludf.DUMMYFUNCTION("""COMPUTED_VALUE"""),"Trả sau")</f>
        <v>Trả sau</v>
      </c>
      <c r="I625" s="265" t="str">
        <f>IFERROR(__xludf.DUMMYFUNCTION("""COMPUTED_VALUE"""),"API &amp; Portal")</f>
        <v>API &amp; Portal</v>
      </c>
      <c r="J625" s="265" t="str">
        <f>IFERROR(__xludf.DUMMYFUNCTION("""COMPUTED_VALUE"""),"Zalo UID")</f>
        <v>Zalo UID</v>
      </c>
    </row>
    <row r="626">
      <c r="A626" s="265" t="str">
        <f>IFERROR(__xludf.DUMMYFUNCTION("""COMPUTED_VALUE"""),"905")</f>
        <v>905</v>
      </c>
      <c r="B626" s="265" t="str">
        <f>IFERROR(__xludf.DUMMYFUNCTION("""COMPUTED_VALUE"""),"Hà Nội")</f>
        <v>Hà Nội</v>
      </c>
      <c r="C626" s="265" t="str">
        <f>IFERROR(__xludf.DUMMYFUNCTION("""COMPUTED_VALUE"""),"Locked")</f>
        <v>Locked</v>
      </c>
      <c r="D626" s="265" t="str">
        <f>IFERROR(__xludf.DUMMYFUNCTION("""COMPUTED_VALUE"""),"Ô tô &amp; Xe máy")</f>
        <v>Ô tô &amp; Xe máy</v>
      </c>
      <c r="E626" s="265" t="str">
        <f>IFERROR(__xludf.DUMMYFUNCTION("""COMPUTED_VALUE"""),"TùngLD")</f>
        <v>TùngLD</v>
      </c>
      <c r="F626" s="265" t="str">
        <f>IFERROR(__xludf.DUMMYFUNCTION("""COMPUTED_VALUE"""),"Sale chưa cung cấp")</f>
        <v>Sale chưa cung cấp</v>
      </c>
      <c r="G626" s="265" t="str">
        <f>IFERROR(__xludf.DUMMYFUNCTION("""COMPUTED_VALUE"""),"Starter")</f>
        <v>Starter</v>
      </c>
      <c r="H626" s="265" t="str">
        <f>IFERROR(__xludf.DUMMYFUNCTION("""COMPUTED_VALUE"""),"Trả sau")</f>
        <v>Trả sau</v>
      </c>
      <c r="I626" s="265" t="str">
        <f>IFERROR(__xludf.DUMMYFUNCTION("""COMPUTED_VALUE"""),"API")</f>
        <v>API</v>
      </c>
      <c r="J626" s="265" t="str">
        <f>IFERROR(__xludf.DUMMYFUNCTION("""COMPUTED_VALUE"""),"Zalo ZNS")</f>
        <v>Zalo ZNS</v>
      </c>
    </row>
    <row r="627">
      <c r="A627" s="265" t="str">
        <f>IFERROR(__xludf.DUMMYFUNCTION("""COMPUTED_VALUE"""),"907")</f>
        <v>907</v>
      </c>
      <c r="B627" s="265" t="str">
        <f>IFERROR(__xludf.DUMMYFUNCTION("""COMPUTED_VALUE"""),"Hà Nội")</f>
        <v>Hà Nội</v>
      </c>
      <c r="C627" s="265" t="str">
        <f>IFERROR(__xludf.DUMMYFUNCTION("""COMPUTED_VALUE"""),"Locked")</f>
        <v>Locked</v>
      </c>
      <c r="D627" s="265" t="str">
        <f>IFERROR(__xludf.DUMMYFUNCTION("""COMPUTED_VALUE"""),"Sale chưa cung cấp")</f>
        <v>Sale chưa cung cấp</v>
      </c>
      <c r="E627" s="265" t="str">
        <f>IFERROR(__xludf.DUMMYFUNCTION("""COMPUTED_VALUE"""),"PhươngDTB")</f>
        <v>PhươngDTB</v>
      </c>
      <c r="F627" s="265" t="str">
        <f>IFERROR(__xludf.DUMMYFUNCTION("""COMPUTED_VALUE"""),"Sale chưa cung cấp")</f>
        <v>Sale chưa cung cấp</v>
      </c>
      <c r="G627" s="265" t="str">
        <f>IFERROR(__xludf.DUMMYFUNCTION("""COMPUTED_VALUE"""),"Premium")</f>
        <v>Premium</v>
      </c>
      <c r="H627" s="265" t="str">
        <f>IFERROR(__xludf.DUMMYFUNCTION("""COMPUTED_VALUE"""),"Trial")</f>
        <v>Trial</v>
      </c>
      <c r="I627" s="265" t="str">
        <f>IFERROR(__xludf.DUMMYFUNCTION("""COMPUTED_VALUE"""),"API")</f>
        <v>API</v>
      </c>
      <c r="J627" s="265" t="str">
        <f>IFERROR(__xludf.DUMMYFUNCTION("""COMPUTED_VALUE"""),"Zalo ZNS")</f>
        <v>Zalo ZNS</v>
      </c>
    </row>
    <row r="628">
      <c r="A628" s="265" t="str">
        <f>IFERROR(__xludf.DUMMYFUNCTION("""COMPUTED_VALUE"""),"914")</f>
        <v>914</v>
      </c>
      <c r="B628" s="265" t="str">
        <f>IFERROR(__xludf.DUMMYFUNCTION("""COMPUTED_VALUE"""),"Sài Gòn")</f>
        <v>Sài Gòn</v>
      </c>
      <c r="C628" s="265" t="str">
        <f>IFERROR(__xludf.DUMMYFUNCTION("""COMPUTED_VALUE"""),"Locked")</f>
        <v>Locked</v>
      </c>
      <c r="D628" s="265" t="str">
        <f>IFERROR(__xludf.DUMMYFUNCTION("""COMPUTED_VALUE"""),"Dịch vụ khác")</f>
        <v>Dịch vụ khác</v>
      </c>
      <c r="E628" s="265" t="str">
        <f>IFERROR(__xludf.DUMMYFUNCTION("""COMPUTED_VALUE"""),"AnhNM")</f>
        <v>AnhNM</v>
      </c>
      <c r="F628" s="265" t="str">
        <f>IFERROR(__xludf.DUMMYFUNCTION("""COMPUTED_VALUE"""),"Gold")</f>
        <v>Gold</v>
      </c>
      <c r="G628" s="265" t="str">
        <f>IFERROR(__xludf.DUMMYFUNCTION("""COMPUTED_VALUE"""),"Standard")</f>
        <v>Standard</v>
      </c>
      <c r="H628" s="265" t="str">
        <f>IFERROR(__xludf.DUMMYFUNCTION("""COMPUTED_VALUE"""),"Trả sau")</f>
        <v>Trả sau</v>
      </c>
      <c r="I628" s="265" t="str">
        <f>IFERROR(__xludf.DUMMYFUNCTION("""COMPUTED_VALUE"""),"API &amp; Portal")</f>
        <v>API &amp; Portal</v>
      </c>
      <c r="J628" s="265" t="str">
        <f>IFERROR(__xludf.DUMMYFUNCTION("""COMPUTED_VALUE"""),"SMS CSKH")</f>
        <v>SMS CSKH</v>
      </c>
    </row>
    <row r="629">
      <c r="A629" s="265" t="str">
        <f>IFERROR(__xludf.DUMMYFUNCTION("""COMPUTED_VALUE"""),"914")</f>
        <v>914</v>
      </c>
      <c r="B629" s="265" t="str">
        <f>IFERROR(__xludf.DUMMYFUNCTION("""COMPUTED_VALUE"""),"Sài Gòn")</f>
        <v>Sài Gòn</v>
      </c>
      <c r="C629" s="265" t="str">
        <f>IFERROR(__xludf.DUMMYFUNCTION("""COMPUTED_VALUE"""),"Locked")</f>
        <v>Locked</v>
      </c>
      <c r="D629" s="265" t="str">
        <f>IFERROR(__xludf.DUMMYFUNCTION("""COMPUTED_VALUE"""),"Dịch vụ khác")</f>
        <v>Dịch vụ khác</v>
      </c>
      <c r="E629" s="265" t="str">
        <f>IFERROR(__xludf.DUMMYFUNCTION("""COMPUTED_VALUE"""),"AnhNM")</f>
        <v>AnhNM</v>
      </c>
      <c r="F629" s="265" t="str">
        <f>IFERROR(__xludf.DUMMYFUNCTION("""COMPUTED_VALUE"""),"Gold")</f>
        <v>Gold</v>
      </c>
      <c r="G629" s="265" t="str">
        <f>IFERROR(__xludf.DUMMYFUNCTION("""COMPUTED_VALUE"""),"Standard")</f>
        <v>Standard</v>
      </c>
      <c r="H629" s="265" t="str">
        <f>IFERROR(__xludf.DUMMYFUNCTION("""COMPUTED_VALUE"""),"Trả sau")</f>
        <v>Trả sau</v>
      </c>
      <c r="I629" s="265" t="str">
        <f>IFERROR(__xludf.DUMMYFUNCTION("""COMPUTED_VALUE"""),"API &amp; Portal")</f>
        <v>API &amp; Portal</v>
      </c>
      <c r="J629" s="265" t="str">
        <f>IFERROR(__xludf.DUMMYFUNCTION("""COMPUTED_VALUE"""),"SMS QC")</f>
        <v>SMS QC</v>
      </c>
    </row>
    <row r="630">
      <c r="A630" s="265" t="str">
        <f>IFERROR(__xludf.DUMMYFUNCTION("""COMPUTED_VALUE"""),"914")</f>
        <v>914</v>
      </c>
      <c r="B630" s="265" t="str">
        <f>IFERROR(__xludf.DUMMYFUNCTION("""COMPUTED_VALUE"""),"Sài Gòn")</f>
        <v>Sài Gòn</v>
      </c>
      <c r="C630" s="265" t="str">
        <f>IFERROR(__xludf.DUMMYFUNCTION("""COMPUTED_VALUE"""),"Locked")</f>
        <v>Locked</v>
      </c>
      <c r="D630" s="265" t="str">
        <f>IFERROR(__xludf.DUMMYFUNCTION("""COMPUTED_VALUE"""),"Dịch vụ khác")</f>
        <v>Dịch vụ khác</v>
      </c>
      <c r="E630" s="265" t="str">
        <f>IFERROR(__xludf.DUMMYFUNCTION("""COMPUTED_VALUE"""),"AnhNM")</f>
        <v>AnhNM</v>
      </c>
      <c r="F630" s="265" t="str">
        <f>IFERROR(__xludf.DUMMYFUNCTION("""COMPUTED_VALUE"""),"Gold")</f>
        <v>Gold</v>
      </c>
      <c r="G630" s="265" t="str">
        <f>IFERROR(__xludf.DUMMYFUNCTION("""COMPUTED_VALUE"""),"Standard")</f>
        <v>Standard</v>
      </c>
      <c r="H630" s="265" t="str">
        <f>IFERROR(__xludf.DUMMYFUNCTION("""COMPUTED_VALUE"""),"Trả sau")</f>
        <v>Trả sau</v>
      </c>
      <c r="I630" s="265" t="str">
        <f>IFERROR(__xludf.DUMMYFUNCTION("""COMPUTED_VALUE"""),"API &amp; Portal")</f>
        <v>API &amp; Portal</v>
      </c>
      <c r="J630" s="265" t="str">
        <f>IFERROR(__xludf.DUMMYFUNCTION("""COMPUTED_VALUE"""),"Zalo ZNS")</f>
        <v>Zalo ZNS</v>
      </c>
    </row>
    <row r="631">
      <c r="A631" s="265" t="str">
        <f>IFERROR(__xludf.DUMMYFUNCTION("""COMPUTED_VALUE"""),"914")</f>
        <v>914</v>
      </c>
      <c r="B631" s="265" t="str">
        <f>IFERROR(__xludf.DUMMYFUNCTION("""COMPUTED_VALUE"""),"Sài Gòn")</f>
        <v>Sài Gòn</v>
      </c>
      <c r="C631" s="265" t="str">
        <f>IFERROR(__xludf.DUMMYFUNCTION("""COMPUTED_VALUE"""),"Locked")</f>
        <v>Locked</v>
      </c>
      <c r="D631" s="265" t="str">
        <f>IFERROR(__xludf.DUMMYFUNCTION("""COMPUTED_VALUE"""),"Dịch vụ khác")</f>
        <v>Dịch vụ khác</v>
      </c>
      <c r="E631" s="265" t="str">
        <f>IFERROR(__xludf.DUMMYFUNCTION("""COMPUTED_VALUE"""),"AnhNM")</f>
        <v>AnhNM</v>
      </c>
      <c r="F631" s="265" t="str">
        <f>IFERROR(__xludf.DUMMYFUNCTION("""COMPUTED_VALUE"""),"Gold")</f>
        <v>Gold</v>
      </c>
      <c r="G631" s="265" t="str">
        <f>IFERROR(__xludf.DUMMYFUNCTION("""COMPUTED_VALUE"""),"Standard")</f>
        <v>Standard</v>
      </c>
      <c r="H631" s="265" t="str">
        <f>IFERROR(__xludf.DUMMYFUNCTION("""COMPUTED_VALUE"""),"Trả sau")</f>
        <v>Trả sau</v>
      </c>
      <c r="I631" s="265" t="str">
        <f>IFERROR(__xludf.DUMMYFUNCTION("""COMPUTED_VALUE"""),"API &amp; Portal")</f>
        <v>API &amp; Portal</v>
      </c>
      <c r="J631" s="265" t="str">
        <f>IFERROR(__xludf.DUMMYFUNCTION("""COMPUTED_VALUE"""),"Viber")</f>
        <v>Viber</v>
      </c>
    </row>
    <row r="632">
      <c r="A632" s="265" t="str">
        <f>IFERROR(__xludf.DUMMYFUNCTION("""COMPUTED_VALUE"""),"914")</f>
        <v>914</v>
      </c>
      <c r="B632" s="265" t="str">
        <f>IFERROR(__xludf.DUMMYFUNCTION("""COMPUTED_VALUE"""),"Sài Gòn")</f>
        <v>Sài Gòn</v>
      </c>
      <c r="C632" s="265" t="str">
        <f>IFERROR(__xludf.DUMMYFUNCTION("""COMPUTED_VALUE"""),"Locked")</f>
        <v>Locked</v>
      </c>
      <c r="D632" s="265" t="str">
        <f>IFERROR(__xludf.DUMMYFUNCTION("""COMPUTED_VALUE"""),"Dịch vụ khác")</f>
        <v>Dịch vụ khác</v>
      </c>
      <c r="E632" s="265" t="str">
        <f>IFERROR(__xludf.DUMMYFUNCTION("""COMPUTED_VALUE"""),"AnhNM")</f>
        <v>AnhNM</v>
      </c>
      <c r="F632" s="265" t="str">
        <f>IFERROR(__xludf.DUMMYFUNCTION("""COMPUTED_VALUE"""),"Gold")</f>
        <v>Gold</v>
      </c>
      <c r="G632" s="265" t="str">
        <f>IFERROR(__xludf.DUMMYFUNCTION("""COMPUTED_VALUE"""),"Standard")</f>
        <v>Standard</v>
      </c>
      <c r="H632" s="265" t="str">
        <f>IFERROR(__xludf.DUMMYFUNCTION("""COMPUTED_VALUE"""),"Trả sau")</f>
        <v>Trả sau</v>
      </c>
      <c r="I632" s="265" t="str">
        <f>IFERROR(__xludf.DUMMYFUNCTION("""COMPUTED_VALUE"""),"API &amp; Portal")</f>
        <v>API &amp; Portal</v>
      </c>
      <c r="J632" s="265" t="str">
        <f>IFERROR(__xludf.DUMMYFUNCTION("""COMPUTED_VALUE"""),"Email")</f>
        <v>Email</v>
      </c>
    </row>
    <row r="633">
      <c r="A633" s="265" t="str">
        <f>IFERROR(__xludf.DUMMYFUNCTION("""COMPUTED_VALUE"""),"906")</f>
        <v>906</v>
      </c>
      <c r="B633" s="265" t="str">
        <f>IFERROR(__xludf.DUMMYFUNCTION("""COMPUTED_VALUE"""),"Hà Nội")</f>
        <v>Hà Nội</v>
      </c>
      <c r="C633" s="265" t="str">
        <f>IFERROR(__xludf.DUMMYFUNCTION("""COMPUTED_VALUE"""),"Active")</f>
        <v>Active</v>
      </c>
      <c r="D633" s="265" t="str">
        <f>IFERROR(__xludf.DUMMYFUNCTION("""COMPUTED_VALUE"""),"Công nghệ &amp; Phần mềm")</f>
        <v>Công nghệ &amp; Phần mềm</v>
      </c>
      <c r="E633" s="265" t="str">
        <f>IFERROR(__xludf.DUMMYFUNCTION("""COMPUTED_VALUE"""),"Không phân công")</f>
        <v>Không phân công</v>
      </c>
      <c r="F633" s="265" t="str">
        <f>IFERROR(__xludf.DUMMYFUNCTION("""COMPUTED_VALUE"""),"Bronze")</f>
        <v>Bronze</v>
      </c>
      <c r="G633" s="265" t="str">
        <f>IFERROR(__xludf.DUMMYFUNCTION("""COMPUTED_VALUE"""),"Starter")</f>
        <v>Starter</v>
      </c>
      <c r="H633" s="265" t="str">
        <f>IFERROR(__xludf.DUMMYFUNCTION("""COMPUTED_VALUE"""),"Trả sau")</f>
        <v>Trả sau</v>
      </c>
      <c r="I633" s="265" t="str">
        <f>IFERROR(__xludf.DUMMYFUNCTION("""COMPUTED_VALUE"""),"API &amp; Portal")</f>
        <v>API &amp; Portal</v>
      </c>
      <c r="J633" s="265" t="str">
        <f>IFERROR(__xludf.DUMMYFUNCTION("""COMPUTED_VALUE"""),"SMS CSKH")</f>
        <v>SMS CSKH</v>
      </c>
    </row>
    <row r="634">
      <c r="A634" s="265" t="str">
        <f>IFERROR(__xludf.DUMMYFUNCTION("""COMPUTED_VALUE"""),"908")</f>
        <v>908</v>
      </c>
      <c r="B634" s="265" t="str">
        <f>IFERROR(__xludf.DUMMYFUNCTION("""COMPUTED_VALUE"""),"Sài Gòn")</f>
        <v>Sài Gòn</v>
      </c>
      <c r="C634" s="265" t="str">
        <f>IFERROR(__xludf.DUMMYFUNCTION("""COMPUTED_VALUE"""),"Locked")</f>
        <v>Locked</v>
      </c>
      <c r="D634" s="265" t="str">
        <f>IFERROR(__xludf.DUMMYFUNCTION("""COMPUTED_VALUE"""),"Công nghệ &amp; Phần mềm")</f>
        <v>Công nghệ &amp; Phần mềm</v>
      </c>
      <c r="E634" s="265" t="str">
        <f>IFERROR(__xludf.DUMMYFUNCTION("""COMPUTED_VALUE"""),"TúPHN")</f>
        <v>TúPHN</v>
      </c>
      <c r="F634" s="265" t="str">
        <f>IFERROR(__xludf.DUMMYFUNCTION("""COMPUTED_VALUE"""),"Gold")</f>
        <v>Gold</v>
      </c>
      <c r="G634" s="265" t="str">
        <f>IFERROR(__xludf.DUMMYFUNCTION("""COMPUTED_VALUE"""),"Standard")</f>
        <v>Standard</v>
      </c>
      <c r="H634" s="265" t="str">
        <f>IFERROR(__xludf.DUMMYFUNCTION("""COMPUTED_VALUE"""),"Trial")</f>
        <v>Trial</v>
      </c>
      <c r="I634" s="265" t="str">
        <f>IFERROR(__xludf.DUMMYFUNCTION("""COMPUTED_VALUE"""),"Portal")</f>
        <v>Portal</v>
      </c>
      <c r="J634" s="265" t="str">
        <f>IFERROR(__xludf.DUMMYFUNCTION("""COMPUTED_VALUE"""),"Tất cả")</f>
        <v>Tất cả</v>
      </c>
    </row>
    <row r="635">
      <c r="A635" s="265" t="str">
        <f>IFERROR(__xludf.DUMMYFUNCTION("""COMPUTED_VALUE"""),"909")</f>
        <v>909</v>
      </c>
      <c r="B635" s="265" t="str">
        <f>IFERROR(__xludf.DUMMYFUNCTION("""COMPUTED_VALUE"""),"Sài Gòn")</f>
        <v>Sài Gòn</v>
      </c>
      <c r="C635" s="265" t="str">
        <f>IFERROR(__xludf.DUMMYFUNCTION("""COMPUTED_VALUE"""),"Locked")</f>
        <v>Locked</v>
      </c>
      <c r="D635" s="265" t="str">
        <f>IFERROR(__xludf.DUMMYFUNCTION("""COMPUTED_VALUE"""),"Dịch vụ khác")</f>
        <v>Dịch vụ khác</v>
      </c>
      <c r="E635" s="265" t="str">
        <f>IFERROR(__xludf.DUMMYFUNCTION("""COMPUTED_VALUE"""),"AnhNM")</f>
        <v>AnhNM</v>
      </c>
      <c r="F635" s="265" t="str">
        <f>IFERROR(__xludf.DUMMYFUNCTION("""COMPUTED_VALUE"""),"Sale chưa cung cấp")</f>
        <v>Sale chưa cung cấp</v>
      </c>
      <c r="G635" s="265" t="str">
        <f>IFERROR(__xludf.DUMMYFUNCTION("""COMPUTED_VALUE"""),"Premium")</f>
        <v>Premium</v>
      </c>
      <c r="H635" s="265" t="str">
        <f>IFERROR(__xludf.DUMMYFUNCTION("""COMPUTED_VALUE"""),"Trial")</f>
        <v>Trial</v>
      </c>
      <c r="I635" s="265" t="str">
        <f>IFERROR(__xludf.DUMMYFUNCTION("""COMPUTED_VALUE"""),"API &amp; Portal")</f>
        <v>API &amp; Portal</v>
      </c>
      <c r="J635" s="265" t="str">
        <f>IFERROR(__xludf.DUMMYFUNCTION("""COMPUTED_VALUE"""),"SMS CSKH")</f>
        <v>SMS CSKH</v>
      </c>
    </row>
    <row r="636">
      <c r="A636" s="265" t="str">
        <f>IFERROR(__xludf.DUMMYFUNCTION("""COMPUTED_VALUE"""),"909")</f>
        <v>909</v>
      </c>
      <c r="B636" s="265" t="str">
        <f>IFERROR(__xludf.DUMMYFUNCTION("""COMPUTED_VALUE"""),"Sài Gòn")</f>
        <v>Sài Gòn</v>
      </c>
      <c r="C636" s="265" t="str">
        <f>IFERROR(__xludf.DUMMYFUNCTION("""COMPUTED_VALUE"""),"Locked")</f>
        <v>Locked</v>
      </c>
      <c r="D636" s="265" t="str">
        <f>IFERROR(__xludf.DUMMYFUNCTION("""COMPUTED_VALUE"""),"Dịch vụ khác")</f>
        <v>Dịch vụ khác</v>
      </c>
      <c r="E636" s="265" t="str">
        <f>IFERROR(__xludf.DUMMYFUNCTION("""COMPUTED_VALUE"""),"AnhNM")</f>
        <v>AnhNM</v>
      </c>
      <c r="F636" s="265" t="str">
        <f>IFERROR(__xludf.DUMMYFUNCTION("""COMPUTED_VALUE"""),"Sale chưa cung cấp")</f>
        <v>Sale chưa cung cấp</v>
      </c>
      <c r="G636" s="265" t="str">
        <f>IFERROR(__xludf.DUMMYFUNCTION("""COMPUTED_VALUE"""),"Premium")</f>
        <v>Premium</v>
      </c>
      <c r="H636" s="265" t="str">
        <f>IFERROR(__xludf.DUMMYFUNCTION("""COMPUTED_VALUE"""),"Trial")</f>
        <v>Trial</v>
      </c>
      <c r="I636" s="265" t="str">
        <f>IFERROR(__xludf.DUMMYFUNCTION("""COMPUTED_VALUE"""),"API &amp; Portal")</f>
        <v>API &amp; Portal</v>
      </c>
      <c r="J636" s="265" t="str">
        <f>IFERROR(__xludf.DUMMYFUNCTION("""COMPUTED_VALUE"""),"Zalo ZNS")</f>
        <v>Zalo ZNS</v>
      </c>
    </row>
    <row r="637">
      <c r="A637" s="265" t="str">
        <f>IFERROR(__xludf.DUMMYFUNCTION("""COMPUTED_VALUE"""),"911")</f>
        <v>911</v>
      </c>
      <c r="B637" s="265" t="str">
        <f>IFERROR(__xludf.DUMMYFUNCTION("""COMPUTED_VALUE"""),"Sài Gòn")</f>
        <v>Sài Gòn</v>
      </c>
      <c r="C637" s="265" t="str">
        <f>IFERROR(__xludf.DUMMYFUNCTION("""COMPUTED_VALUE"""),"Locked")</f>
        <v>Locked</v>
      </c>
      <c r="D637" s="265" t="str">
        <f>IFERROR(__xludf.DUMMYFUNCTION("""COMPUTED_VALUE"""),"Thực phẩm &amp; Đồ uống")</f>
        <v>Thực phẩm &amp; Đồ uống</v>
      </c>
      <c r="E637" s="265" t="str">
        <f>IFERROR(__xludf.DUMMYFUNCTION("""COMPUTED_VALUE"""),"HoaNTM")</f>
        <v>HoaNTM</v>
      </c>
      <c r="F637" s="265" t="str">
        <f>IFERROR(__xludf.DUMMYFUNCTION("""COMPUTED_VALUE"""),"Sale chưa cung cấp")</f>
        <v>Sale chưa cung cấp</v>
      </c>
      <c r="G637" s="265" t="str">
        <f>IFERROR(__xludf.DUMMYFUNCTION("""COMPUTED_VALUE"""),"Premium")</f>
        <v>Premium</v>
      </c>
      <c r="H637" s="265" t="str">
        <f>IFERROR(__xludf.DUMMYFUNCTION("""COMPUTED_VALUE"""),"Trả trước")</f>
        <v>Trả trước</v>
      </c>
      <c r="I637" s="265" t="str">
        <f>IFERROR(__xludf.DUMMYFUNCTION("""COMPUTED_VALUE"""),"Portal")</f>
        <v>Portal</v>
      </c>
      <c r="J637" s="265" t="str">
        <f>IFERROR(__xludf.DUMMYFUNCTION("""COMPUTED_VALUE"""),"Zalo ZNS")</f>
        <v>Zalo ZNS</v>
      </c>
    </row>
    <row r="638">
      <c r="A638" s="265" t="str">
        <f>IFERROR(__xludf.DUMMYFUNCTION("""COMPUTED_VALUE"""),"912")</f>
        <v>912</v>
      </c>
      <c r="B638" s="265" t="str">
        <f>IFERROR(__xludf.DUMMYFUNCTION("""COMPUTED_VALUE"""),"Sài Gòn")</f>
        <v>Sài Gòn</v>
      </c>
      <c r="C638" s="265" t="str">
        <f>IFERROR(__xludf.DUMMYFUNCTION("""COMPUTED_VALUE"""),"Locked")</f>
        <v>Locked</v>
      </c>
      <c r="D638" s="265" t="str">
        <f>IFERROR(__xludf.DUMMYFUNCTION("""COMPUTED_VALUE"""),"Truyền thông &amp; Giải trí")</f>
        <v>Truyền thông &amp; Giải trí</v>
      </c>
      <c r="E638" s="265" t="str">
        <f>IFERROR(__xludf.DUMMYFUNCTION("""COMPUTED_VALUE"""),"AnhNM")</f>
        <v>AnhNM</v>
      </c>
      <c r="F638" s="265" t="str">
        <f>IFERROR(__xludf.DUMMYFUNCTION("""COMPUTED_VALUE"""),"Sale chưa cung cấp")</f>
        <v>Sale chưa cung cấp</v>
      </c>
      <c r="G638" s="265" t="str">
        <f>IFERROR(__xludf.DUMMYFUNCTION("""COMPUTED_VALUE"""),"Standard")</f>
        <v>Standard</v>
      </c>
      <c r="H638" s="265" t="str">
        <f>IFERROR(__xludf.DUMMYFUNCTION("""COMPUTED_VALUE"""),"Trial")</f>
        <v>Trial</v>
      </c>
      <c r="I638" s="265" t="str">
        <f>IFERROR(__xludf.DUMMYFUNCTION("""COMPUTED_VALUE"""),"API &amp; Portal")</f>
        <v>API &amp; Portal</v>
      </c>
      <c r="J638" s="265" t="str">
        <f>IFERROR(__xludf.DUMMYFUNCTION("""COMPUTED_VALUE"""),"Tất cả")</f>
        <v>Tất cả</v>
      </c>
    </row>
    <row r="639">
      <c r="A639" s="265" t="str">
        <f>IFERROR(__xludf.DUMMYFUNCTION("""COMPUTED_VALUE"""),"913")</f>
        <v>913</v>
      </c>
      <c r="B639" s="265" t="str">
        <f>IFERROR(__xludf.DUMMYFUNCTION("""COMPUTED_VALUE"""),"Hà Nội")</f>
        <v>Hà Nội</v>
      </c>
      <c r="C639" s="265" t="str">
        <f>IFERROR(__xludf.DUMMYFUNCTION("""COMPUTED_VALUE"""),"Locked")</f>
        <v>Locked</v>
      </c>
      <c r="D639" s="265" t="str">
        <f>IFERROR(__xludf.DUMMYFUNCTION("""COMPUTED_VALUE"""),"Công nghệ &amp; Phần mềm")</f>
        <v>Công nghệ &amp; Phần mềm</v>
      </c>
      <c r="E639" s="265" t="str">
        <f>IFERROR(__xludf.DUMMYFUNCTION("""COMPUTED_VALUE"""),"AnhNM")</f>
        <v>AnhNM</v>
      </c>
      <c r="F639" s="265" t="str">
        <f>IFERROR(__xludf.DUMMYFUNCTION("""COMPUTED_VALUE"""),"Sale chưa cung cấp")</f>
        <v>Sale chưa cung cấp</v>
      </c>
      <c r="G639" s="265" t="str">
        <f>IFERROR(__xludf.DUMMYFUNCTION("""COMPUTED_VALUE"""),"Premium")</f>
        <v>Premium</v>
      </c>
      <c r="H639" s="265" t="str">
        <f>IFERROR(__xludf.DUMMYFUNCTION("""COMPUTED_VALUE"""),"Trial")</f>
        <v>Trial</v>
      </c>
      <c r="I639" s="265" t="str">
        <f>IFERROR(__xludf.DUMMYFUNCTION("""COMPUTED_VALUE"""),"API &amp; Portal")</f>
        <v>API &amp; Portal</v>
      </c>
      <c r="J639" s="265" t="str">
        <f>IFERROR(__xludf.DUMMYFUNCTION("""COMPUTED_VALUE"""),"SMS CSKH")</f>
        <v>SMS CSKH</v>
      </c>
    </row>
    <row r="640">
      <c r="A640" s="265" t="str">
        <f>IFERROR(__xludf.DUMMYFUNCTION("""COMPUTED_VALUE"""),"913")</f>
        <v>913</v>
      </c>
      <c r="B640" s="265" t="str">
        <f>IFERROR(__xludf.DUMMYFUNCTION("""COMPUTED_VALUE"""),"Hà Nội")</f>
        <v>Hà Nội</v>
      </c>
      <c r="C640" s="265" t="str">
        <f>IFERROR(__xludf.DUMMYFUNCTION("""COMPUTED_VALUE"""),"Locked")</f>
        <v>Locked</v>
      </c>
      <c r="D640" s="265" t="str">
        <f>IFERROR(__xludf.DUMMYFUNCTION("""COMPUTED_VALUE"""),"Công nghệ &amp; Phần mềm")</f>
        <v>Công nghệ &amp; Phần mềm</v>
      </c>
      <c r="E640" s="265" t="str">
        <f>IFERROR(__xludf.DUMMYFUNCTION("""COMPUTED_VALUE"""),"AnhNM")</f>
        <v>AnhNM</v>
      </c>
      <c r="F640" s="265" t="str">
        <f>IFERROR(__xludf.DUMMYFUNCTION("""COMPUTED_VALUE"""),"Sale chưa cung cấp")</f>
        <v>Sale chưa cung cấp</v>
      </c>
      <c r="G640" s="265" t="str">
        <f>IFERROR(__xludf.DUMMYFUNCTION("""COMPUTED_VALUE"""),"Premium")</f>
        <v>Premium</v>
      </c>
      <c r="H640" s="265" t="str">
        <f>IFERROR(__xludf.DUMMYFUNCTION("""COMPUTED_VALUE"""),"Trial")</f>
        <v>Trial</v>
      </c>
      <c r="I640" s="265" t="str">
        <f>IFERROR(__xludf.DUMMYFUNCTION("""COMPUTED_VALUE"""),"API &amp; Portal")</f>
        <v>API &amp; Portal</v>
      </c>
      <c r="J640" s="265" t="str">
        <f>IFERROR(__xludf.DUMMYFUNCTION("""COMPUTED_VALUE"""),"Zalo ZNS")</f>
        <v>Zalo ZNS</v>
      </c>
    </row>
    <row r="641">
      <c r="A641" s="265" t="str">
        <f>IFERROR(__xludf.DUMMYFUNCTION("""COMPUTED_VALUE"""),"915")</f>
        <v>915</v>
      </c>
      <c r="B641" s="265" t="str">
        <f>IFERROR(__xludf.DUMMYFUNCTION("""COMPUTED_VALUE"""),"Đà Nẵng")</f>
        <v>Đà Nẵng</v>
      </c>
      <c r="C641" s="265" t="str">
        <f>IFERROR(__xludf.DUMMYFUNCTION("""COMPUTED_VALUE"""),"Locked")</f>
        <v>Locked</v>
      </c>
      <c r="D641" s="265" t="str">
        <f>IFERROR(__xludf.DUMMYFUNCTION("""COMPUTED_VALUE"""),"Thời trang &amp; May mặc")</f>
        <v>Thời trang &amp; May mặc</v>
      </c>
      <c r="E641" s="265" t="str">
        <f>IFERROR(__xludf.DUMMYFUNCTION("""COMPUTED_VALUE"""),"AnhNM")</f>
        <v>AnhNM</v>
      </c>
      <c r="F641" s="265" t="str">
        <f>IFERROR(__xludf.DUMMYFUNCTION("""COMPUTED_VALUE"""),"Sale chưa cung cấp")</f>
        <v>Sale chưa cung cấp</v>
      </c>
      <c r="G641" s="265" t="str">
        <f>IFERROR(__xludf.DUMMYFUNCTION("""COMPUTED_VALUE"""),"Premium")</f>
        <v>Premium</v>
      </c>
      <c r="H641" s="265" t="str">
        <f>IFERROR(__xludf.DUMMYFUNCTION("""COMPUTED_VALUE"""),"Trial")</f>
        <v>Trial</v>
      </c>
      <c r="I641" s="265" t="str">
        <f>IFERROR(__xludf.DUMMYFUNCTION("""COMPUTED_VALUE"""),"Portal")</f>
        <v>Portal</v>
      </c>
      <c r="J641" s="265" t="str">
        <f>IFERROR(__xludf.DUMMYFUNCTION("""COMPUTED_VALUE"""),"Zalo ZNS")</f>
        <v>Zalo ZNS</v>
      </c>
    </row>
    <row r="642">
      <c r="A642" s="265" t="str">
        <f>IFERROR(__xludf.DUMMYFUNCTION("""COMPUTED_VALUE"""),"917")</f>
        <v>917</v>
      </c>
      <c r="B642" s="265" t="str">
        <f>IFERROR(__xludf.DUMMYFUNCTION("""COMPUTED_VALUE"""),"Hà Nội")</f>
        <v>Hà Nội</v>
      </c>
      <c r="C642" s="265" t="str">
        <f>IFERROR(__xludf.DUMMYFUNCTION("""COMPUTED_VALUE"""),"Locked")</f>
        <v>Locked</v>
      </c>
      <c r="D642" s="265" t="str">
        <f>IFERROR(__xludf.DUMMYFUNCTION("""COMPUTED_VALUE"""),"Sale chưa cung cấp")</f>
        <v>Sale chưa cung cấp</v>
      </c>
      <c r="E642" s="265" t="str">
        <f>IFERROR(__xludf.DUMMYFUNCTION("""COMPUTED_VALUE"""),"TùngLD")</f>
        <v>TùngLD</v>
      </c>
      <c r="F642" s="265" t="str">
        <f>IFERROR(__xludf.DUMMYFUNCTION("""COMPUTED_VALUE"""),"Sale chưa cung cấp")</f>
        <v>Sale chưa cung cấp</v>
      </c>
      <c r="G642" s="265" t="str">
        <f>IFERROR(__xludf.DUMMYFUNCTION("""COMPUTED_VALUE"""),"Standard")</f>
        <v>Standard</v>
      </c>
      <c r="H642" s="265" t="str">
        <f>IFERROR(__xludf.DUMMYFUNCTION("""COMPUTED_VALUE"""),"Trial")</f>
        <v>Trial</v>
      </c>
      <c r="I642" s="265" t="str">
        <f>IFERROR(__xludf.DUMMYFUNCTION("""COMPUTED_VALUE"""),"API &amp; Portal")</f>
        <v>API &amp; Portal</v>
      </c>
      <c r="J642" s="265" t="str">
        <f>IFERROR(__xludf.DUMMYFUNCTION("""COMPUTED_VALUE"""),"Zalo ZNS")</f>
        <v>Zalo ZNS</v>
      </c>
    </row>
    <row r="643">
      <c r="A643" s="265" t="str">
        <f>IFERROR(__xludf.DUMMYFUNCTION("""COMPUTED_VALUE"""),"917")</f>
        <v>917</v>
      </c>
      <c r="B643" s="265" t="str">
        <f>IFERROR(__xludf.DUMMYFUNCTION("""COMPUTED_VALUE"""),"Hà Nội")</f>
        <v>Hà Nội</v>
      </c>
      <c r="C643" s="265" t="str">
        <f>IFERROR(__xludf.DUMMYFUNCTION("""COMPUTED_VALUE"""),"Locked")</f>
        <v>Locked</v>
      </c>
      <c r="D643" s="265" t="str">
        <f>IFERROR(__xludf.DUMMYFUNCTION("""COMPUTED_VALUE"""),"Sale chưa cung cấp")</f>
        <v>Sale chưa cung cấp</v>
      </c>
      <c r="E643" s="265" t="str">
        <f>IFERROR(__xludf.DUMMYFUNCTION("""COMPUTED_VALUE"""),"TùngLD")</f>
        <v>TùngLD</v>
      </c>
      <c r="F643" s="265" t="str">
        <f>IFERROR(__xludf.DUMMYFUNCTION("""COMPUTED_VALUE"""),"Sale chưa cung cấp")</f>
        <v>Sale chưa cung cấp</v>
      </c>
      <c r="G643" s="265" t="str">
        <f>IFERROR(__xludf.DUMMYFUNCTION("""COMPUTED_VALUE"""),"Standard")</f>
        <v>Standard</v>
      </c>
      <c r="H643" s="265" t="str">
        <f>IFERROR(__xludf.DUMMYFUNCTION("""COMPUTED_VALUE"""),"Trial")</f>
        <v>Trial</v>
      </c>
      <c r="I643" s="265" t="str">
        <f>IFERROR(__xludf.DUMMYFUNCTION("""COMPUTED_VALUE"""),"API &amp; Portal")</f>
        <v>API &amp; Portal</v>
      </c>
      <c r="J643" s="265" t="str">
        <f>IFERROR(__xludf.DUMMYFUNCTION("""COMPUTED_VALUE"""),"Zalo UID")</f>
        <v>Zalo UID</v>
      </c>
    </row>
    <row r="644">
      <c r="A644" s="265" t="str">
        <f>IFERROR(__xludf.DUMMYFUNCTION("""COMPUTED_VALUE"""),"918")</f>
        <v>918</v>
      </c>
      <c r="B644" s="265" t="str">
        <f>IFERROR(__xludf.DUMMYFUNCTION("""COMPUTED_VALUE"""),"Sài Gòn")</f>
        <v>Sài Gòn</v>
      </c>
      <c r="C644" s="265" t="str">
        <f>IFERROR(__xludf.DUMMYFUNCTION("""COMPUTED_VALUE"""),"Locked")</f>
        <v>Locked</v>
      </c>
      <c r="D644" s="265" t="str">
        <f>IFERROR(__xludf.DUMMYFUNCTION("""COMPUTED_VALUE"""),"Thực phẩm &amp; Đồ uống")</f>
        <v>Thực phẩm &amp; Đồ uống</v>
      </c>
      <c r="E644" s="265" t="str">
        <f>IFERROR(__xludf.DUMMYFUNCTION("""COMPUTED_VALUE"""),"HoaNTM")</f>
        <v>HoaNTM</v>
      </c>
      <c r="F644" s="265" t="str">
        <f>IFERROR(__xludf.DUMMYFUNCTION("""COMPUTED_VALUE"""),"Diamond")</f>
        <v>Diamond</v>
      </c>
      <c r="G644" s="265" t="str">
        <f>IFERROR(__xludf.DUMMYFUNCTION("""COMPUTED_VALUE"""),"Starter")</f>
        <v>Starter</v>
      </c>
      <c r="H644" s="265" t="str">
        <f>IFERROR(__xludf.DUMMYFUNCTION("""COMPUTED_VALUE"""),"Trả trước")</f>
        <v>Trả trước</v>
      </c>
      <c r="I644" s="265" t="str">
        <f>IFERROR(__xludf.DUMMYFUNCTION("""COMPUTED_VALUE"""),"API")</f>
        <v>API</v>
      </c>
      <c r="J644" s="265" t="str">
        <f>IFERROR(__xludf.DUMMYFUNCTION("""COMPUTED_VALUE"""),"SMS CSKH")</f>
        <v>SMS CSKH</v>
      </c>
    </row>
    <row r="645">
      <c r="A645" s="265" t="str">
        <f>IFERROR(__xludf.DUMMYFUNCTION("""COMPUTED_VALUE"""),"919")</f>
        <v>919</v>
      </c>
      <c r="B645" s="265" t="str">
        <f>IFERROR(__xludf.DUMMYFUNCTION("""COMPUTED_VALUE"""),"Sài Gòn")</f>
        <v>Sài Gòn</v>
      </c>
      <c r="C645" s="265" t="str">
        <f>IFERROR(__xludf.DUMMYFUNCTION("""COMPUTED_VALUE"""),"Locked")</f>
        <v>Locked</v>
      </c>
      <c r="D645" s="265" t="str">
        <f>IFERROR(__xludf.DUMMYFUNCTION("""COMPUTED_VALUE"""),"Thực phẩm &amp; Đồ uống")</f>
        <v>Thực phẩm &amp; Đồ uống</v>
      </c>
      <c r="E645" s="265" t="str">
        <f>IFERROR(__xludf.DUMMYFUNCTION("""COMPUTED_VALUE"""),"HoaNTM")</f>
        <v>HoaNTM</v>
      </c>
      <c r="F645" s="265" t="str">
        <f>IFERROR(__xludf.DUMMYFUNCTION("""COMPUTED_VALUE"""),"Diamond")</f>
        <v>Diamond</v>
      </c>
      <c r="G645" s="265" t="str">
        <f>IFERROR(__xludf.DUMMYFUNCTION("""COMPUTED_VALUE"""),"Enterprise")</f>
        <v>Enterprise</v>
      </c>
      <c r="H645" s="265" t="str">
        <f>IFERROR(__xludf.DUMMYFUNCTION("""COMPUTED_VALUE"""),"Trả trước")</f>
        <v>Trả trước</v>
      </c>
      <c r="I645" s="265" t="str">
        <f>IFERROR(__xludf.DUMMYFUNCTION("""COMPUTED_VALUE"""),"API &amp; Portal")</f>
        <v>API &amp; Portal</v>
      </c>
      <c r="J645" s="265" t="str">
        <f>IFERROR(__xludf.DUMMYFUNCTION("""COMPUTED_VALUE"""),"Zalo ZNS")</f>
        <v>Zalo ZNS</v>
      </c>
    </row>
    <row r="646">
      <c r="A646" s="265" t="str">
        <f>IFERROR(__xludf.DUMMYFUNCTION("""COMPUTED_VALUE"""),"406")</f>
        <v>406</v>
      </c>
      <c r="B646" s="265" t="str">
        <f>IFERROR(__xludf.DUMMYFUNCTION("""COMPUTED_VALUE"""),"Hà Nội")</f>
        <v>Hà Nội</v>
      </c>
      <c r="C646" s="265" t="str">
        <f>IFERROR(__xludf.DUMMYFUNCTION("""COMPUTED_VALUE"""),"Locked")</f>
        <v>Locked</v>
      </c>
      <c r="D646" s="265" t="str">
        <f>IFERROR(__xludf.DUMMYFUNCTION("""COMPUTED_VALUE"""),"Thời trang &amp; May mặc")</f>
        <v>Thời trang &amp; May mặc</v>
      </c>
      <c r="E646" s="265" t="str">
        <f>IFERROR(__xludf.DUMMYFUNCTION("""COMPUTED_VALUE"""),"AnhNM")</f>
        <v>AnhNM</v>
      </c>
      <c r="F646" s="265" t="str">
        <f>IFERROR(__xludf.DUMMYFUNCTION("""COMPUTED_VALUE"""),"Bronze")</f>
        <v>Bronze</v>
      </c>
      <c r="G646" s="265" t="str">
        <f>IFERROR(__xludf.DUMMYFUNCTION("""COMPUTED_VALUE"""),"Premium")</f>
        <v>Premium</v>
      </c>
      <c r="H646" s="265" t="str">
        <f>IFERROR(__xludf.DUMMYFUNCTION("""COMPUTED_VALUE"""),"Trả trước")</f>
        <v>Trả trước</v>
      </c>
      <c r="I646" s="265" t="str">
        <f>IFERROR(__xludf.DUMMYFUNCTION("""COMPUTED_VALUE"""),"Portal")</f>
        <v>Portal</v>
      </c>
      <c r="J646" s="265" t="str">
        <f>IFERROR(__xludf.DUMMYFUNCTION("""COMPUTED_VALUE"""),"Zalo ZNS")</f>
        <v>Zalo ZNS</v>
      </c>
    </row>
    <row r="647">
      <c r="A647" s="265" t="str">
        <f>IFERROR(__xludf.DUMMYFUNCTION("""COMPUTED_VALUE"""),"920")</f>
        <v>920</v>
      </c>
      <c r="B647" s="265" t="str">
        <f>IFERROR(__xludf.DUMMYFUNCTION("""COMPUTED_VALUE"""),"Hà Nội")</f>
        <v>Hà Nội</v>
      </c>
      <c r="C647" s="265" t="str">
        <f>IFERROR(__xludf.DUMMYFUNCTION("""COMPUTED_VALUE"""),"Active")</f>
        <v>Active</v>
      </c>
      <c r="D647" s="265" t="str">
        <f>IFERROR(__xludf.DUMMYFUNCTION("""COMPUTED_VALUE"""),"Công nghệ &amp; Phần mềm")</f>
        <v>Công nghệ &amp; Phần mềm</v>
      </c>
      <c r="E647" s="265" t="str">
        <f>IFERROR(__xludf.DUMMYFUNCTION("""COMPUTED_VALUE"""),"AnhNM")</f>
        <v>AnhNM</v>
      </c>
      <c r="F647" s="265" t="str">
        <f>IFERROR(__xludf.DUMMYFUNCTION("""COMPUTED_VALUE"""),"Silver")</f>
        <v>Silver</v>
      </c>
      <c r="G647" s="265" t="str">
        <f>IFERROR(__xludf.DUMMYFUNCTION("""COMPUTED_VALUE"""),"Starter")</f>
        <v>Starter</v>
      </c>
      <c r="H647" s="265" t="str">
        <f>IFERROR(__xludf.DUMMYFUNCTION("""COMPUTED_VALUE"""),"Trả sau")</f>
        <v>Trả sau</v>
      </c>
      <c r="I647" s="265" t="str">
        <f>IFERROR(__xludf.DUMMYFUNCTION("""COMPUTED_VALUE"""),"API &amp; Portal")</f>
        <v>API &amp; Portal</v>
      </c>
      <c r="J647" s="265" t="str">
        <f>IFERROR(__xludf.DUMMYFUNCTION("""COMPUTED_VALUE"""),"Zalo ZNS")</f>
        <v>Zalo ZNS</v>
      </c>
    </row>
    <row r="648">
      <c r="A648" s="265" t="str">
        <f>IFERROR(__xludf.DUMMYFUNCTION("""COMPUTED_VALUE"""),"921")</f>
        <v>921</v>
      </c>
      <c r="B648" s="265" t="str">
        <f>IFERROR(__xludf.DUMMYFUNCTION("""COMPUTED_VALUE"""),"Sài Gòn")</f>
        <v>Sài Gòn</v>
      </c>
      <c r="C648" s="265" t="str">
        <f>IFERROR(__xludf.DUMMYFUNCTION("""COMPUTED_VALUE"""),"Locked")</f>
        <v>Locked</v>
      </c>
      <c r="D648" s="265" t="str">
        <f>IFERROR(__xludf.DUMMYFUNCTION("""COMPUTED_VALUE"""),"Thực phẩm &amp; Đồ uống")</f>
        <v>Thực phẩm &amp; Đồ uống</v>
      </c>
      <c r="E648" s="265" t="str">
        <f>IFERROR(__xludf.DUMMYFUNCTION("""COMPUTED_VALUE"""),"HoaNTM")</f>
        <v>HoaNTM</v>
      </c>
      <c r="F648" s="265" t="str">
        <f>IFERROR(__xludf.DUMMYFUNCTION("""COMPUTED_VALUE"""),"Diamond")</f>
        <v>Diamond</v>
      </c>
      <c r="G648" s="265" t="str">
        <f>IFERROR(__xludf.DUMMYFUNCTION("""COMPUTED_VALUE"""),"Starter")</f>
        <v>Starter</v>
      </c>
      <c r="H648" s="265" t="str">
        <f>IFERROR(__xludf.DUMMYFUNCTION("""COMPUTED_VALUE"""),"Trả sau")</f>
        <v>Trả sau</v>
      </c>
      <c r="I648" s="265" t="str">
        <f>IFERROR(__xludf.DUMMYFUNCTION("""COMPUTED_VALUE"""),"Portal")</f>
        <v>Portal</v>
      </c>
      <c r="J648" s="265" t="str">
        <f>IFERROR(__xludf.DUMMYFUNCTION("""COMPUTED_VALUE"""),"Zalo ZNS")</f>
        <v>Zalo ZNS</v>
      </c>
    </row>
    <row r="649">
      <c r="A649" s="265" t="str">
        <f>IFERROR(__xludf.DUMMYFUNCTION("""COMPUTED_VALUE"""),"922")</f>
        <v>922</v>
      </c>
      <c r="B649" s="265" t="str">
        <f>IFERROR(__xludf.DUMMYFUNCTION("""COMPUTED_VALUE"""),"Sài Gòn")</f>
        <v>Sài Gòn</v>
      </c>
      <c r="C649" s="265" t="str">
        <f>IFERROR(__xludf.DUMMYFUNCTION("""COMPUTED_VALUE"""),"Active")</f>
        <v>Active</v>
      </c>
      <c r="D649" s="265" t="str">
        <f>IFERROR(__xludf.DUMMYFUNCTION("""COMPUTED_VALUE"""),"Viễn thông")</f>
        <v>Viễn thông</v>
      </c>
      <c r="E649" s="265" t="str">
        <f>IFERROR(__xludf.DUMMYFUNCTION("""COMPUTED_VALUE"""),"TúPHN")</f>
        <v>TúPHN</v>
      </c>
      <c r="F649" s="265" t="str">
        <f>IFERROR(__xludf.DUMMYFUNCTION("""COMPUTED_VALUE"""),"Gold")</f>
        <v>Gold</v>
      </c>
      <c r="G649" s="265" t="str">
        <f>IFERROR(__xludf.DUMMYFUNCTION("""COMPUTED_VALUE"""),"Standard")</f>
        <v>Standard</v>
      </c>
      <c r="H649" s="265" t="str">
        <f>IFERROR(__xludf.DUMMYFUNCTION("""COMPUTED_VALUE"""),"Trả trước")</f>
        <v>Trả trước</v>
      </c>
      <c r="I649" s="265" t="str">
        <f>IFERROR(__xludf.DUMMYFUNCTION("""COMPUTED_VALUE"""),"Portal")</f>
        <v>Portal</v>
      </c>
      <c r="J649" s="265" t="str">
        <f>IFERROR(__xludf.DUMMYFUNCTION("""COMPUTED_VALUE"""),"Zalo ZNS")</f>
        <v>Zalo ZNS</v>
      </c>
    </row>
    <row r="650">
      <c r="A650" s="265" t="str">
        <f>IFERROR(__xludf.DUMMYFUNCTION("""COMPUTED_VALUE"""),"923")</f>
        <v>923</v>
      </c>
      <c r="B650" s="265" t="str">
        <f>IFERROR(__xludf.DUMMYFUNCTION("""COMPUTED_VALUE"""),"Hà Nội")</f>
        <v>Hà Nội</v>
      </c>
      <c r="C650" s="265" t="str">
        <f>IFERROR(__xludf.DUMMYFUNCTION("""COMPUTED_VALUE"""),"Locked")</f>
        <v>Locked</v>
      </c>
      <c r="D650" s="265" t="str">
        <f>IFERROR(__xludf.DUMMYFUNCTION("""COMPUTED_VALUE"""),"Vận tải &amp; logistics")</f>
        <v>Vận tải &amp; logistics</v>
      </c>
      <c r="E650" s="265" t="str">
        <f>IFERROR(__xludf.DUMMYFUNCTION("""COMPUTED_VALUE"""),"AnhNM")</f>
        <v>AnhNM</v>
      </c>
      <c r="F650" s="265" t="str">
        <f>IFERROR(__xludf.DUMMYFUNCTION("""COMPUTED_VALUE"""),"Bronze")</f>
        <v>Bronze</v>
      </c>
      <c r="G650" s="265" t="str">
        <f>IFERROR(__xludf.DUMMYFUNCTION("""COMPUTED_VALUE"""),"Premium")</f>
        <v>Premium</v>
      </c>
      <c r="H650" s="265" t="str">
        <f>IFERROR(__xludf.DUMMYFUNCTION("""COMPUTED_VALUE"""),"Trial")</f>
        <v>Trial</v>
      </c>
      <c r="I650" s="265" t="str">
        <f>IFERROR(__xludf.DUMMYFUNCTION("""COMPUTED_VALUE"""),"API &amp; Portal")</f>
        <v>API &amp; Portal</v>
      </c>
      <c r="J650" s="265" t="str">
        <f>IFERROR(__xludf.DUMMYFUNCTION("""COMPUTED_VALUE"""),"Email")</f>
        <v>Email</v>
      </c>
    </row>
    <row r="651">
      <c r="A651" s="265" t="str">
        <f>IFERROR(__xludf.DUMMYFUNCTION("""COMPUTED_VALUE"""),"923")</f>
        <v>923</v>
      </c>
      <c r="B651" s="265" t="str">
        <f>IFERROR(__xludf.DUMMYFUNCTION("""COMPUTED_VALUE"""),"Hà Nội")</f>
        <v>Hà Nội</v>
      </c>
      <c r="C651" s="265" t="str">
        <f>IFERROR(__xludf.DUMMYFUNCTION("""COMPUTED_VALUE"""),"Locked")</f>
        <v>Locked</v>
      </c>
      <c r="D651" s="265" t="str">
        <f>IFERROR(__xludf.DUMMYFUNCTION("""COMPUTED_VALUE"""),"Vận tải &amp; logistics")</f>
        <v>Vận tải &amp; logistics</v>
      </c>
      <c r="E651" s="265" t="str">
        <f>IFERROR(__xludf.DUMMYFUNCTION("""COMPUTED_VALUE"""),"AnhNM")</f>
        <v>AnhNM</v>
      </c>
      <c r="F651" s="265" t="str">
        <f>IFERROR(__xludf.DUMMYFUNCTION("""COMPUTED_VALUE"""),"Bronze")</f>
        <v>Bronze</v>
      </c>
      <c r="G651" s="265" t="str">
        <f>IFERROR(__xludf.DUMMYFUNCTION("""COMPUTED_VALUE"""),"Premium")</f>
        <v>Premium</v>
      </c>
      <c r="H651" s="265" t="str">
        <f>IFERROR(__xludf.DUMMYFUNCTION("""COMPUTED_VALUE"""),"Trial")</f>
        <v>Trial</v>
      </c>
      <c r="I651" s="265" t="str">
        <f>IFERROR(__xludf.DUMMYFUNCTION("""COMPUTED_VALUE"""),"API &amp; Portal")</f>
        <v>API &amp; Portal</v>
      </c>
      <c r="J651" s="265" t="str">
        <f>IFERROR(__xludf.DUMMYFUNCTION("""COMPUTED_VALUE"""),"Zalo ZNS")</f>
        <v>Zalo ZNS</v>
      </c>
    </row>
    <row r="652">
      <c r="A652" s="265" t="str">
        <f>IFERROR(__xludf.DUMMYFUNCTION("""COMPUTED_VALUE"""),"916")</f>
        <v>916</v>
      </c>
      <c r="B652" s="265" t="str">
        <f>IFERROR(__xludf.DUMMYFUNCTION("""COMPUTED_VALUE"""),"Hà Nội")</f>
        <v>Hà Nội</v>
      </c>
      <c r="C652" s="265" t="str">
        <f>IFERROR(__xludf.DUMMYFUNCTION("""COMPUTED_VALUE"""),"Active")</f>
        <v>Active</v>
      </c>
      <c r="D652" s="265" t="str">
        <f>IFERROR(__xludf.DUMMYFUNCTION("""COMPUTED_VALUE"""),"Công nghệ &amp; Phần mềm")</f>
        <v>Công nghệ &amp; Phần mềm</v>
      </c>
      <c r="E652" s="265" t="str">
        <f>IFERROR(__xludf.DUMMYFUNCTION("""COMPUTED_VALUE"""),"AnhNM")</f>
        <v>AnhNM</v>
      </c>
      <c r="F652" s="265" t="str">
        <f>IFERROR(__xludf.DUMMYFUNCTION("""COMPUTED_VALUE"""),"Gold")</f>
        <v>Gold</v>
      </c>
      <c r="G652" s="265" t="str">
        <f>IFERROR(__xludf.DUMMYFUNCTION("""COMPUTED_VALUE"""),"Starter")</f>
        <v>Starter</v>
      </c>
      <c r="H652" s="265" t="str">
        <f>IFERROR(__xludf.DUMMYFUNCTION("""COMPUTED_VALUE"""),"Trả sau")</f>
        <v>Trả sau</v>
      </c>
      <c r="I652" s="265" t="str">
        <f>IFERROR(__xludf.DUMMYFUNCTION("""COMPUTED_VALUE"""),"API &amp; Portal")</f>
        <v>API &amp; Portal</v>
      </c>
      <c r="J652" s="265" t="str">
        <f>IFERROR(__xludf.DUMMYFUNCTION("""COMPUTED_VALUE"""),"SMS CSKH")</f>
        <v>SMS CSKH</v>
      </c>
    </row>
    <row r="653">
      <c r="A653" s="265" t="str">
        <f>IFERROR(__xludf.DUMMYFUNCTION("""COMPUTED_VALUE"""),"916")</f>
        <v>916</v>
      </c>
      <c r="B653" s="265" t="str">
        <f>IFERROR(__xludf.DUMMYFUNCTION("""COMPUTED_VALUE"""),"Hà Nội")</f>
        <v>Hà Nội</v>
      </c>
      <c r="C653" s="265" t="str">
        <f>IFERROR(__xludf.DUMMYFUNCTION("""COMPUTED_VALUE"""),"Active")</f>
        <v>Active</v>
      </c>
      <c r="D653" s="265" t="str">
        <f>IFERROR(__xludf.DUMMYFUNCTION("""COMPUTED_VALUE"""),"Công nghệ &amp; Phần mềm")</f>
        <v>Công nghệ &amp; Phần mềm</v>
      </c>
      <c r="E653" s="265" t="str">
        <f>IFERROR(__xludf.DUMMYFUNCTION("""COMPUTED_VALUE"""),"AnhNM")</f>
        <v>AnhNM</v>
      </c>
      <c r="F653" s="265" t="str">
        <f>IFERROR(__xludf.DUMMYFUNCTION("""COMPUTED_VALUE"""),"Gold")</f>
        <v>Gold</v>
      </c>
      <c r="G653" s="265" t="str">
        <f>IFERROR(__xludf.DUMMYFUNCTION("""COMPUTED_VALUE"""),"Starter")</f>
        <v>Starter</v>
      </c>
      <c r="H653" s="265" t="str">
        <f>IFERROR(__xludf.DUMMYFUNCTION("""COMPUTED_VALUE"""),"Trả sau")</f>
        <v>Trả sau</v>
      </c>
      <c r="I653" s="265" t="str">
        <f>IFERROR(__xludf.DUMMYFUNCTION("""COMPUTED_VALUE"""),"API &amp; Portal")</f>
        <v>API &amp; Portal</v>
      </c>
      <c r="J653" s="265" t="str">
        <f>IFERROR(__xludf.DUMMYFUNCTION("""COMPUTED_VALUE"""),"Zalo ZNS")</f>
        <v>Zalo ZNS</v>
      </c>
    </row>
    <row r="654">
      <c r="A654" s="265" t="str">
        <f>IFERROR(__xludf.DUMMYFUNCTION("""COMPUTED_VALUE"""),"924")</f>
        <v>924</v>
      </c>
      <c r="B654" s="265" t="str">
        <f>IFERROR(__xludf.DUMMYFUNCTION("""COMPUTED_VALUE"""),"Hà Nội")</f>
        <v>Hà Nội</v>
      </c>
      <c r="C654" s="265" t="str">
        <f>IFERROR(__xludf.DUMMYFUNCTION("""COMPUTED_VALUE"""),"Active")</f>
        <v>Active</v>
      </c>
      <c r="D654" s="265" t="str">
        <f>IFERROR(__xludf.DUMMYFUNCTION("""COMPUTED_VALUE"""),"Dịch vụ khác")</f>
        <v>Dịch vụ khác</v>
      </c>
      <c r="E654" s="265" t="str">
        <f>IFERROR(__xludf.DUMMYFUNCTION("""COMPUTED_VALUE"""),"AnhNM")</f>
        <v>AnhNM</v>
      </c>
      <c r="F654" s="265" t="str">
        <f>IFERROR(__xludf.DUMMYFUNCTION("""COMPUTED_VALUE"""),"Silver")</f>
        <v>Silver</v>
      </c>
      <c r="G654" s="265" t="str">
        <f>IFERROR(__xludf.DUMMYFUNCTION("""COMPUTED_VALUE"""),"Starter")</f>
        <v>Starter</v>
      </c>
      <c r="H654" s="265" t="str">
        <f>IFERROR(__xludf.DUMMYFUNCTION("""COMPUTED_VALUE"""),"Trả sau")</f>
        <v>Trả sau</v>
      </c>
      <c r="I654" s="265" t="str">
        <f>IFERROR(__xludf.DUMMYFUNCTION("""COMPUTED_VALUE"""),"API &amp; Portal")</f>
        <v>API &amp; Portal</v>
      </c>
      <c r="J654" s="265" t="str">
        <f>IFERROR(__xludf.DUMMYFUNCTION("""COMPUTED_VALUE"""),"SMS CSKH")</f>
        <v>SMS CSKH</v>
      </c>
    </row>
    <row r="655">
      <c r="A655" s="265" t="str">
        <f>IFERROR(__xludf.DUMMYFUNCTION("""COMPUTED_VALUE"""),"925")</f>
        <v>925</v>
      </c>
      <c r="B655" s="265" t="str">
        <f>IFERROR(__xludf.DUMMYFUNCTION("""COMPUTED_VALUE"""),"Hà Nội")</f>
        <v>Hà Nội</v>
      </c>
      <c r="C655" s="265" t="str">
        <f>IFERROR(__xludf.DUMMYFUNCTION("""COMPUTED_VALUE"""),"Active")</f>
        <v>Active</v>
      </c>
      <c r="D655" s="265" t="str">
        <f>IFERROR(__xludf.DUMMYFUNCTION("""COMPUTED_VALUE"""),"Dịch vụ khác")</f>
        <v>Dịch vụ khác</v>
      </c>
      <c r="E655" s="265" t="str">
        <f>IFERROR(__xludf.DUMMYFUNCTION("""COMPUTED_VALUE"""),"TuPHN")</f>
        <v>TuPHN</v>
      </c>
      <c r="F655" s="265" t="str">
        <f>IFERROR(__xludf.DUMMYFUNCTION("""COMPUTED_VALUE"""),"Diamond")</f>
        <v>Diamond</v>
      </c>
      <c r="G655" s="265" t="str">
        <f>IFERROR(__xludf.DUMMYFUNCTION("""COMPUTED_VALUE"""),"Starter")</f>
        <v>Starter</v>
      </c>
      <c r="H655" s="265" t="str">
        <f>IFERROR(__xludf.DUMMYFUNCTION("""COMPUTED_VALUE"""),"Trả trước")</f>
        <v>Trả trước</v>
      </c>
      <c r="I655" s="265" t="str">
        <f>IFERROR(__xludf.DUMMYFUNCTION("""COMPUTED_VALUE"""),"API")</f>
        <v>API</v>
      </c>
      <c r="J655" s="265" t="str">
        <f>IFERROR(__xludf.DUMMYFUNCTION("""COMPUTED_VALUE"""),"Zalo ZNS")</f>
        <v>Zalo ZNS</v>
      </c>
    </row>
    <row r="656">
      <c r="A656" s="265" t="str">
        <f>IFERROR(__xludf.DUMMYFUNCTION("""COMPUTED_VALUE"""),"926")</f>
        <v>926</v>
      </c>
      <c r="B656" s="265" t="str">
        <f>IFERROR(__xludf.DUMMYFUNCTION("""COMPUTED_VALUE"""),"Hà Nội")</f>
        <v>Hà Nội</v>
      </c>
      <c r="C656" s="265" t="str">
        <f>IFERROR(__xludf.DUMMYFUNCTION("""COMPUTED_VALUE"""),"Active")</f>
        <v>Active</v>
      </c>
      <c r="D656" s="265" t="str">
        <f>IFERROR(__xludf.DUMMYFUNCTION("""COMPUTED_VALUE"""),"Mua sắm &amp; Bán lẻ")</f>
        <v>Mua sắm &amp; Bán lẻ</v>
      </c>
      <c r="E656" s="265" t="str">
        <f>IFERROR(__xludf.DUMMYFUNCTION("""COMPUTED_VALUE"""),"TúPHN")</f>
        <v>TúPHN</v>
      </c>
      <c r="F656" s="265" t="str">
        <f>IFERROR(__xludf.DUMMYFUNCTION("""COMPUTED_VALUE"""),"Sale chưa cung cấp")</f>
        <v>Sale chưa cung cấp</v>
      </c>
      <c r="G656" s="265" t="str">
        <f>IFERROR(__xludf.DUMMYFUNCTION("""COMPUTED_VALUE"""),"Starter")</f>
        <v>Starter</v>
      </c>
      <c r="H656" s="265" t="str">
        <f>IFERROR(__xludf.DUMMYFUNCTION("""COMPUTED_VALUE"""),"Trả sau")</f>
        <v>Trả sau</v>
      </c>
      <c r="I656" s="265" t="str">
        <f>IFERROR(__xludf.DUMMYFUNCTION("""COMPUTED_VALUE"""),"API")</f>
        <v>API</v>
      </c>
      <c r="J656" s="265" t="str">
        <f>IFERROR(__xludf.DUMMYFUNCTION("""COMPUTED_VALUE"""),"Zalo ZNS")</f>
        <v>Zalo ZNS</v>
      </c>
    </row>
    <row r="657">
      <c r="A657" s="265" t="str">
        <f>IFERROR(__xludf.DUMMYFUNCTION("""COMPUTED_VALUE"""),"927")</f>
        <v>927</v>
      </c>
      <c r="B657" s="265" t="str">
        <f>IFERROR(__xludf.DUMMYFUNCTION("""COMPUTED_VALUE"""),"Hà Nội")</f>
        <v>Hà Nội</v>
      </c>
      <c r="C657" s="265" t="str">
        <f>IFERROR(__xludf.DUMMYFUNCTION("""COMPUTED_VALUE"""),"Active")</f>
        <v>Active</v>
      </c>
      <c r="D657" s="265" t="str">
        <f>IFERROR(__xludf.DUMMYFUNCTION("""COMPUTED_VALUE"""),"Viễn thông")</f>
        <v>Viễn thông</v>
      </c>
      <c r="E657" s="265" t="str">
        <f>IFERROR(__xludf.DUMMYFUNCTION("""COMPUTED_VALUE"""),"TùngLD")</f>
        <v>TùngLD</v>
      </c>
      <c r="F657" s="265" t="str">
        <f>IFERROR(__xludf.DUMMYFUNCTION("""COMPUTED_VALUE"""),"Gold")</f>
        <v>Gold</v>
      </c>
      <c r="G657" s="265" t="str">
        <f>IFERROR(__xludf.DUMMYFUNCTION("""COMPUTED_VALUE"""),"Enterprise")</f>
        <v>Enterprise</v>
      </c>
      <c r="H657" s="265" t="str">
        <f>IFERROR(__xludf.DUMMYFUNCTION("""COMPUTED_VALUE"""),"Trả sau")</f>
        <v>Trả sau</v>
      </c>
      <c r="I657" s="265" t="str">
        <f>IFERROR(__xludf.DUMMYFUNCTION("""COMPUTED_VALUE"""),"API &amp; Portal")</f>
        <v>API &amp; Portal</v>
      </c>
      <c r="J657" s="265" t="str">
        <f>IFERROR(__xludf.DUMMYFUNCTION("""COMPUTED_VALUE"""),"Tất cả")</f>
        <v>Tất cả</v>
      </c>
    </row>
    <row r="658">
      <c r="A658" s="265" t="str">
        <f>IFERROR(__xludf.DUMMYFUNCTION("""COMPUTED_VALUE"""),"928")</f>
        <v>928</v>
      </c>
      <c r="B658" s="265" t="str">
        <f>IFERROR(__xludf.DUMMYFUNCTION("""COMPUTED_VALUE"""),"Hà Nội")</f>
        <v>Hà Nội</v>
      </c>
      <c r="C658" s="265" t="str">
        <f>IFERROR(__xludf.DUMMYFUNCTION("""COMPUTED_VALUE"""),"Locked")</f>
        <v>Locked</v>
      </c>
      <c r="D658" s="265" t="str">
        <f>IFERROR(__xludf.DUMMYFUNCTION("""COMPUTED_VALUE"""),"Công nghệ &amp; Phần mềm")</f>
        <v>Công nghệ &amp; Phần mềm</v>
      </c>
      <c r="E658" s="265" t="str">
        <f>IFERROR(__xludf.DUMMYFUNCTION("""COMPUTED_VALUE"""),"AnhNM")</f>
        <v>AnhNM</v>
      </c>
      <c r="F658" s="265" t="str">
        <f>IFERROR(__xludf.DUMMYFUNCTION("""COMPUTED_VALUE"""),"Bronze")</f>
        <v>Bronze</v>
      </c>
      <c r="G658" s="265" t="str">
        <f>IFERROR(__xludf.DUMMYFUNCTION("""COMPUTED_VALUE"""),"Standard")</f>
        <v>Standard</v>
      </c>
      <c r="H658" s="265" t="str">
        <f>IFERROR(__xludf.DUMMYFUNCTION("""COMPUTED_VALUE"""),"Trial")</f>
        <v>Trial</v>
      </c>
      <c r="I658" s="265" t="str">
        <f>IFERROR(__xludf.DUMMYFUNCTION("""COMPUTED_VALUE"""),"API")</f>
        <v>API</v>
      </c>
      <c r="J658" s="265" t="str">
        <f>IFERROR(__xludf.DUMMYFUNCTION("""COMPUTED_VALUE"""),"Viber")</f>
        <v>Viber</v>
      </c>
    </row>
    <row r="659">
      <c r="A659" s="265" t="str">
        <f>IFERROR(__xludf.DUMMYFUNCTION("""COMPUTED_VALUE"""),"929")</f>
        <v>929</v>
      </c>
      <c r="B659" s="265" t="str">
        <f>IFERROR(__xludf.DUMMYFUNCTION("""COMPUTED_VALUE"""),"Sài Gòn")</f>
        <v>Sài Gòn</v>
      </c>
      <c r="C659" s="265" t="str">
        <f>IFERROR(__xludf.DUMMYFUNCTION("""COMPUTED_VALUE"""),"Active")</f>
        <v>Active</v>
      </c>
      <c r="D659" s="265" t="str">
        <f>IFERROR(__xludf.DUMMYFUNCTION("""COMPUTED_VALUE"""),"Giáo dục &amp; Đào tạo")</f>
        <v>Giáo dục &amp; Đào tạo</v>
      </c>
      <c r="E659" s="265" t="str">
        <f>IFERROR(__xludf.DUMMYFUNCTION("""COMPUTED_VALUE"""),"TùngLD")</f>
        <v>TùngLD</v>
      </c>
      <c r="F659" s="265" t="str">
        <f>IFERROR(__xludf.DUMMYFUNCTION("""COMPUTED_VALUE"""),"Silver")</f>
        <v>Silver</v>
      </c>
      <c r="G659" s="265" t="str">
        <f>IFERROR(__xludf.DUMMYFUNCTION("""COMPUTED_VALUE"""),"Starter")</f>
        <v>Starter</v>
      </c>
      <c r="H659" s="265" t="str">
        <f>IFERROR(__xludf.DUMMYFUNCTION("""COMPUTED_VALUE"""),"Trả sau")</f>
        <v>Trả sau</v>
      </c>
      <c r="I659" s="265" t="str">
        <f>IFERROR(__xludf.DUMMYFUNCTION("""COMPUTED_VALUE"""),"API")</f>
        <v>API</v>
      </c>
      <c r="J659" s="265" t="str">
        <f>IFERROR(__xludf.DUMMYFUNCTION("""COMPUTED_VALUE"""),"Zalo ZNS")</f>
        <v>Zalo ZNS</v>
      </c>
    </row>
    <row r="660">
      <c r="A660" s="265" t="str">
        <f>IFERROR(__xludf.DUMMYFUNCTION("""COMPUTED_VALUE"""),"930")</f>
        <v>930</v>
      </c>
      <c r="B660" s="265" t="str">
        <f>IFERROR(__xludf.DUMMYFUNCTION("""COMPUTED_VALUE"""),"Hà Nội")</f>
        <v>Hà Nội</v>
      </c>
      <c r="C660" s="265" t="str">
        <f>IFERROR(__xludf.DUMMYFUNCTION("""COMPUTED_VALUE"""),"Locked")</f>
        <v>Locked</v>
      </c>
      <c r="D660" s="265" t="str">
        <f>IFERROR(__xludf.DUMMYFUNCTION("""COMPUTED_VALUE"""),"Dịch vụ khác")</f>
        <v>Dịch vụ khác</v>
      </c>
      <c r="E660" s="265" t="str">
        <f>IFERROR(__xludf.DUMMYFUNCTION("""COMPUTED_VALUE"""),"TùngLD")</f>
        <v>TùngLD</v>
      </c>
      <c r="F660" s="265" t="str">
        <f>IFERROR(__xludf.DUMMYFUNCTION("""COMPUTED_VALUE"""),"Diamond")</f>
        <v>Diamond</v>
      </c>
      <c r="G660" s="265" t="str">
        <f>IFERROR(__xludf.DUMMYFUNCTION("""COMPUTED_VALUE"""),"Premium")</f>
        <v>Premium</v>
      </c>
      <c r="H660" s="265" t="str">
        <f>IFERROR(__xludf.DUMMYFUNCTION("""COMPUTED_VALUE"""),"Trial")</f>
        <v>Trial</v>
      </c>
      <c r="I660" s="265" t="str">
        <f>IFERROR(__xludf.DUMMYFUNCTION("""COMPUTED_VALUE"""),"API")</f>
        <v>API</v>
      </c>
      <c r="J660" s="265" t="str">
        <f>IFERROR(__xludf.DUMMYFUNCTION("""COMPUTED_VALUE"""),"SMS CSKH")</f>
        <v>SMS CSKH</v>
      </c>
    </row>
    <row r="661">
      <c r="A661" s="265" t="str">
        <f>IFERROR(__xludf.DUMMYFUNCTION("""COMPUTED_VALUE"""),"930")</f>
        <v>930</v>
      </c>
      <c r="B661" s="265" t="str">
        <f>IFERROR(__xludf.DUMMYFUNCTION("""COMPUTED_VALUE"""),"Hà Nội")</f>
        <v>Hà Nội</v>
      </c>
      <c r="C661" s="265" t="str">
        <f>IFERROR(__xludf.DUMMYFUNCTION("""COMPUTED_VALUE"""),"Locked")</f>
        <v>Locked</v>
      </c>
      <c r="D661" s="265" t="str">
        <f>IFERROR(__xludf.DUMMYFUNCTION("""COMPUTED_VALUE"""),"Dịch vụ khác")</f>
        <v>Dịch vụ khác</v>
      </c>
      <c r="E661" s="265" t="str">
        <f>IFERROR(__xludf.DUMMYFUNCTION("""COMPUTED_VALUE"""),"TùngLD")</f>
        <v>TùngLD</v>
      </c>
      <c r="F661" s="265" t="str">
        <f>IFERROR(__xludf.DUMMYFUNCTION("""COMPUTED_VALUE"""),"Diamond")</f>
        <v>Diamond</v>
      </c>
      <c r="G661" s="265" t="str">
        <f>IFERROR(__xludf.DUMMYFUNCTION("""COMPUTED_VALUE"""),"Premium")</f>
        <v>Premium</v>
      </c>
      <c r="H661" s="265" t="str">
        <f>IFERROR(__xludf.DUMMYFUNCTION("""COMPUTED_VALUE"""),"Trial")</f>
        <v>Trial</v>
      </c>
      <c r="I661" s="265" t="str">
        <f>IFERROR(__xludf.DUMMYFUNCTION("""COMPUTED_VALUE"""),"API")</f>
        <v>API</v>
      </c>
      <c r="J661" s="265" t="str">
        <f>IFERROR(__xludf.DUMMYFUNCTION("""COMPUTED_VALUE"""),"SMS QC")</f>
        <v>SMS QC</v>
      </c>
    </row>
    <row r="662">
      <c r="A662" s="265" t="str">
        <f>IFERROR(__xludf.DUMMYFUNCTION("""COMPUTED_VALUE"""),"930")</f>
        <v>930</v>
      </c>
      <c r="B662" s="265" t="str">
        <f>IFERROR(__xludf.DUMMYFUNCTION("""COMPUTED_VALUE"""),"Hà Nội")</f>
        <v>Hà Nội</v>
      </c>
      <c r="C662" s="265" t="str">
        <f>IFERROR(__xludf.DUMMYFUNCTION("""COMPUTED_VALUE"""),"Locked")</f>
        <v>Locked</v>
      </c>
      <c r="D662" s="265" t="str">
        <f>IFERROR(__xludf.DUMMYFUNCTION("""COMPUTED_VALUE"""),"Dịch vụ khác")</f>
        <v>Dịch vụ khác</v>
      </c>
      <c r="E662" s="265" t="str">
        <f>IFERROR(__xludf.DUMMYFUNCTION("""COMPUTED_VALUE"""),"TùngLD")</f>
        <v>TùngLD</v>
      </c>
      <c r="F662" s="265" t="str">
        <f>IFERROR(__xludf.DUMMYFUNCTION("""COMPUTED_VALUE"""),"Diamond")</f>
        <v>Diamond</v>
      </c>
      <c r="G662" s="265" t="str">
        <f>IFERROR(__xludf.DUMMYFUNCTION("""COMPUTED_VALUE"""),"Premium")</f>
        <v>Premium</v>
      </c>
      <c r="H662" s="265" t="str">
        <f>IFERROR(__xludf.DUMMYFUNCTION("""COMPUTED_VALUE"""),"Trial")</f>
        <v>Trial</v>
      </c>
      <c r="I662" s="265" t="str">
        <f>IFERROR(__xludf.DUMMYFUNCTION("""COMPUTED_VALUE"""),"API")</f>
        <v>API</v>
      </c>
      <c r="J662" s="265" t="str">
        <f>IFERROR(__xludf.DUMMYFUNCTION("""COMPUTED_VALUE"""),"Zalo ZNS")</f>
        <v>Zalo ZNS</v>
      </c>
    </row>
    <row r="663">
      <c r="A663" s="265" t="str">
        <f>IFERROR(__xludf.DUMMYFUNCTION("""COMPUTED_VALUE"""),"930")</f>
        <v>930</v>
      </c>
      <c r="B663" s="265" t="str">
        <f>IFERROR(__xludf.DUMMYFUNCTION("""COMPUTED_VALUE"""),"Hà Nội")</f>
        <v>Hà Nội</v>
      </c>
      <c r="C663" s="265" t="str">
        <f>IFERROR(__xludf.DUMMYFUNCTION("""COMPUTED_VALUE"""),"Locked")</f>
        <v>Locked</v>
      </c>
      <c r="D663" s="265" t="str">
        <f>IFERROR(__xludf.DUMMYFUNCTION("""COMPUTED_VALUE"""),"Dịch vụ khác")</f>
        <v>Dịch vụ khác</v>
      </c>
      <c r="E663" s="265" t="str">
        <f>IFERROR(__xludf.DUMMYFUNCTION("""COMPUTED_VALUE"""),"TùngLD")</f>
        <v>TùngLD</v>
      </c>
      <c r="F663" s="265" t="str">
        <f>IFERROR(__xludf.DUMMYFUNCTION("""COMPUTED_VALUE"""),"Diamond")</f>
        <v>Diamond</v>
      </c>
      <c r="G663" s="265" t="str">
        <f>IFERROR(__xludf.DUMMYFUNCTION("""COMPUTED_VALUE"""),"Premium")</f>
        <v>Premium</v>
      </c>
      <c r="H663" s="265" t="str">
        <f>IFERROR(__xludf.DUMMYFUNCTION("""COMPUTED_VALUE"""),"Trial")</f>
        <v>Trial</v>
      </c>
      <c r="I663" s="265" t="str">
        <f>IFERROR(__xludf.DUMMYFUNCTION("""COMPUTED_VALUE"""),"API")</f>
        <v>API</v>
      </c>
      <c r="J663" s="265" t="str">
        <f>IFERROR(__xludf.DUMMYFUNCTION("""COMPUTED_VALUE"""),"Viber")</f>
        <v>Viber</v>
      </c>
    </row>
    <row r="664">
      <c r="A664" s="265" t="str">
        <f>IFERROR(__xludf.DUMMYFUNCTION("""COMPUTED_VALUE"""),"930")</f>
        <v>930</v>
      </c>
      <c r="B664" s="265" t="str">
        <f>IFERROR(__xludf.DUMMYFUNCTION("""COMPUTED_VALUE"""),"Hà Nội")</f>
        <v>Hà Nội</v>
      </c>
      <c r="C664" s="265" t="str">
        <f>IFERROR(__xludf.DUMMYFUNCTION("""COMPUTED_VALUE"""),"Locked")</f>
        <v>Locked</v>
      </c>
      <c r="D664" s="265" t="str">
        <f>IFERROR(__xludf.DUMMYFUNCTION("""COMPUTED_VALUE"""),"Dịch vụ khác")</f>
        <v>Dịch vụ khác</v>
      </c>
      <c r="E664" s="265" t="str">
        <f>IFERROR(__xludf.DUMMYFUNCTION("""COMPUTED_VALUE"""),"TùngLD")</f>
        <v>TùngLD</v>
      </c>
      <c r="F664" s="265" t="str">
        <f>IFERROR(__xludf.DUMMYFUNCTION("""COMPUTED_VALUE"""),"Diamond")</f>
        <v>Diamond</v>
      </c>
      <c r="G664" s="265" t="str">
        <f>IFERROR(__xludf.DUMMYFUNCTION("""COMPUTED_VALUE"""),"Premium")</f>
        <v>Premium</v>
      </c>
      <c r="H664" s="265" t="str">
        <f>IFERROR(__xludf.DUMMYFUNCTION("""COMPUTED_VALUE"""),"Trial")</f>
        <v>Trial</v>
      </c>
      <c r="I664" s="265" t="str">
        <f>IFERROR(__xludf.DUMMYFUNCTION("""COMPUTED_VALUE"""),"API")</f>
        <v>API</v>
      </c>
      <c r="J664" s="265" t="str">
        <f>IFERROR(__xludf.DUMMYFUNCTION("""COMPUTED_VALUE"""),"WhatsApp")</f>
        <v>WhatsApp</v>
      </c>
    </row>
    <row r="665">
      <c r="A665" s="265" t="str">
        <f>IFERROR(__xludf.DUMMYFUNCTION("""COMPUTED_VALUE"""),"930")</f>
        <v>930</v>
      </c>
      <c r="B665" s="265" t="str">
        <f>IFERROR(__xludf.DUMMYFUNCTION("""COMPUTED_VALUE"""),"Hà Nội")</f>
        <v>Hà Nội</v>
      </c>
      <c r="C665" s="265" t="str">
        <f>IFERROR(__xludf.DUMMYFUNCTION("""COMPUTED_VALUE"""),"Locked")</f>
        <v>Locked</v>
      </c>
      <c r="D665" s="265" t="str">
        <f>IFERROR(__xludf.DUMMYFUNCTION("""COMPUTED_VALUE"""),"Dịch vụ khác")</f>
        <v>Dịch vụ khác</v>
      </c>
      <c r="E665" s="265" t="str">
        <f>IFERROR(__xludf.DUMMYFUNCTION("""COMPUTED_VALUE"""),"TùngLD")</f>
        <v>TùngLD</v>
      </c>
      <c r="F665" s="265" t="str">
        <f>IFERROR(__xludf.DUMMYFUNCTION("""COMPUTED_VALUE"""),"Diamond")</f>
        <v>Diamond</v>
      </c>
      <c r="G665" s="265" t="str">
        <f>IFERROR(__xludf.DUMMYFUNCTION("""COMPUTED_VALUE"""),"Premium")</f>
        <v>Premium</v>
      </c>
      <c r="H665" s="265" t="str">
        <f>IFERROR(__xludf.DUMMYFUNCTION("""COMPUTED_VALUE"""),"Trial")</f>
        <v>Trial</v>
      </c>
      <c r="I665" s="265" t="str">
        <f>IFERROR(__xludf.DUMMYFUNCTION("""COMPUTED_VALUE"""),"API")</f>
        <v>API</v>
      </c>
      <c r="J665" s="265" t="str">
        <f>IFERROR(__xludf.DUMMYFUNCTION("""COMPUTED_VALUE"""),"Email")</f>
        <v>Email</v>
      </c>
    </row>
    <row r="666">
      <c r="A666" s="265" t="str">
        <f>IFERROR(__xludf.DUMMYFUNCTION("""COMPUTED_VALUE"""),"931")</f>
        <v>931</v>
      </c>
      <c r="B666" s="265" t="str">
        <f>IFERROR(__xludf.DUMMYFUNCTION("""COMPUTED_VALUE"""),"Hà Nội")</f>
        <v>Hà Nội</v>
      </c>
      <c r="C666" s="265" t="str">
        <f>IFERROR(__xludf.DUMMYFUNCTION("""COMPUTED_VALUE"""),"Active")</f>
        <v>Active</v>
      </c>
      <c r="D666" s="265" t="str">
        <f>IFERROR(__xludf.DUMMYFUNCTION("""COMPUTED_VALUE"""),"Công nghệ &amp; Phần mềm")</f>
        <v>Công nghệ &amp; Phần mềm</v>
      </c>
      <c r="E666" s="265" t="str">
        <f>IFERROR(__xludf.DUMMYFUNCTION("""COMPUTED_VALUE"""),"AnhNM")</f>
        <v>AnhNM</v>
      </c>
      <c r="F666" s="265" t="str">
        <f>IFERROR(__xludf.DUMMYFUNCTION("""COMPUTED_VALUE"""),"Silver")</f>
        <v>Silver</v>
      </c>
      <c r="G666" s="265" t="str">
        <f>IFERROR(__xludf.DUMMYFUNCTION("""COMPUTED_VALUE"""),"Starter")</f>
        <v>Starter</v>
      </c>
      <c r="H666" s="265" t="str">
        <f>IFERROR(__xludf.DUMMYFUNCTION("""COMPUTED_VALUE"""),"Trả sau")</f>
        <v>Trả sau</v>
      </c>
      <c r="I666" s="265" t="str">
        <f>IFERROR(__xludf.DUMMYFUNCTION("""COMPUTED_VALUE"""),"API &amp; Portal")</f>
        <v>API &amp; Portal</v>
      </c>
      <c r="J666" s="265" t="str">
        <f>IFERROR(__xludf.DUMMYFUNCTION("""COMPUTED_VALUE"""),"SMS CSKH")</f>
        <v>SMS CSKH</v>
      </c>
    </row>
    <row r="667">
      <c r="A667" s="265" t="str">
        <f>IFERROR(__xludf.DUMMYFUNCTION("""COMPUTED_VALUE"""),"931")</f>
        <v>931</v>
      </c>
      <c r="B667" s="265" t="str">
        <f>IFERROR(__xludf.DUMMYFUNCTION("""COMPUTED_VALUE"""),"Hà Nội")</f>
        <v>Hà Nội</v>
      </c>
      <c r="C667" s="265" t="str">
        <f>IFERROR(__xludf.DUMMYFUNCTION("""COMPUTED_VALUE"""),"Active")</f>
        <v>Active</v>
      </c>
      <c r="D667" s="265" t="str">
        <f>IFERROR(__xludf.DUMMYFUNCTION("""COMPUTED_VALUE"""),"Công nghệ &amp; Phần mềm")</f>
        <v>Công nghệ &amp; Phần mềm</v>
      </c>
      <c r="E667" s="265" t="str">
        <f>IFERROR(__xludf.DUMMYFUNCTION("""COMPUTED_VALUE"""),"AnhNM")</f>
        <v>AnhNM</v>
      </c>
      <c r="F667" s="265" t="str">
        <f>IFERROR(__xludf.DUMMYFUNCTION("""COMPUTED_VALUE"""),"Silver")</f>
        <v>Silver</v>
      </c>
      <c r="G667" s="265" t="str">
        <f>IFERROR(__xludf.DUMMYFUNCTION("""COMPUTED_VALUE"""),"Starter")</f>
        <v>Starter</v>
      </c>
      <c r="H667" s="265" t="str">
        <f>IFERROR(__xludf.DUMMYFUNCTION("""COMPUTED_VALUE"""),"Trả sau")</f>
        <v>Trả sau</v>
      </c>
      <c r="I667" s="265" t="str">
        <f>IFERROR(__xludf.DUMMYFUNCTION("""COMPUTED_VALUE"""),"API &amp; Portal")</f>
        <v>API &amp; Portal</v>
      </c>
      <c r="J667" s="265" t="str">
        <f>IFERROR(__xludf.DUMMYFUNCTION("""COMPUTED_VALUE"""),"Zalo ZNS")</f>
        <v>Zalo ZNS</v>
      </c>
    </row>
    <row r="668">
      <c r="A668" s="265" t="str">
        <f>IFERROR(__xludf.DUMMYFUNCTION("""COMPUTED_VALUE"""),"932")</f>
        <v>932</v>
      </c>
      <c r="B668" s="265" t="str">
        <f>IFERROR(__xludf.DUMMYFUNCTION("""COMPUTED_VALUE"""),"Hà Nội")</f>
        <v>Hà Nội</v>
      </c>
      <c r="C668" s="265" t="str">
        <f>IFERROR(__xludf.DUMMYFUNCTION("""COMPUTED_VALUE"""),"Active")</f>
        <v>Active</v>
      </c>
      <c r="D668" s="265" t="str">
        <f>IFERROR(__xludf.DUMMYFUNCTION("""COMPUTED_VALUE"""),"Giáo dục &amp; Đào tạo")</f>
        <v>Giáo dục &amp; Đào tạo</v>
      </c>
      <c r="E668" s="265" t="str">
        <f>IFERROR(__xludf.DUMMYFUNCTION("""COMPUTED_VALUE"""),"AnhNM")</f>
        <v>AnhNM</v>
      </c>
      <c r="F668" s="265" t="str">
        <f>IFERROR(__xludf.DUMMYFUNCTION("""COMPUTED_VALUE"""),"Silver")</f>
        <v>Silver</v>
      </c>
      <c r="G668" s="265" t="str">
        <f>IFERROR(__xludf.DUMMYFUNCTION("""COMPUTED_VALUE"""),"Starter")</f>
        <v>Starter</v>
      </c>
      <c r="H668" s="265" t="str">
        <f>IFERROR(__xludf.DUMMYFUNCTION("""COMPUTED_VALUE"""),"Trả sau")</f>
        <v>Trả sau</v>
      </c>
      <c r="I668" s="265" t="str">
        <f>IFERROR(__xludf.DUMMYFUNCTION("""COMPUTED_VALUE"""),"API &amp; Portal")</f>
        <v>API &amp; Portal</v>
      </c>
      <c r="J668" s="265" t="str">
        <f>IFERROR(__xludf.DUMMYFUNCTION("""COMPUTED_VALUE"""),"Email")</f>
        <v>Email</v>
      </c>
    </row>
    <row r="669">
      <c r="A669" s="265" t="str">
        <f>IFERROR(__xludf.DUMMYFUNCTION("""COMPUTED_VALUE"""),"933")</f>
        <v>933</v>
      </c>
      <c r="B669" s="265" t="str">
        <f>IFERROR(__xludf.DUMMYFUNCTION("""COMPUTED_VALUE"""),"Hà Nội")</f>
        <v>Hà Nội</v>
      </c>
      <c r="C669" s="265" t="str">
        <f>IFERROR(__xludf.DUMMYFUNCTION("""COMPUTED_VALUE"""),"Locked")</f>
        <v>Locked</v>
      </c>
      <c r="D669" s="265" t="str">
        <f>IFERROR(__xludf.DUMMYFUNCTION("""COMPUTED_VALUE"""),"Vận tải &amp; logistics")</f>
        <v>Vận tải &amp; logistics</v>
      </c>
      <c r="E669" s="265" t="str">
        <f>IFERROR(__xludf.DUMMYFUNCTION("""COMPUTED_VALUE"""),"Không phân công")</f>
        <v>Không phân công</v>
      </c>
      <c r="F669" s="265" t="str">
        <f>IFERROR(__xludf.DUMMYFUNCTION("""COMPUTED_VALUE"""),"Bronze")</f>
        <v>Bronze</v>
      </c>
      <c r="G669" s="265" t="str">
        <f>IFERROR(__xludf.DUMMYFUNCTION("""COMPUTED_VALUE"""),"Starter")</f>
        <v>Starter</v>
      </c>
      <c r="H669" s="265" t="str">
        <f>IFERROR(__xludf.DUMMYFUNCTION("""COMPUTED_VALUE"""),"Trả sau")</f>
        <v>Trả sau</v>
      </c>
      <c r="I669" s="265" t="str">
        <f>IFERROR(__xludf.DUMMYFUNCTION("""COMPUTED_VALUE"""),"API")</f>
        <v>API</v>
      </c>
      <c r="J669" s="265" t="str">
        <f>IFERROR(__xludf.DUMMYFUNCTION("""COMPUTED_VALUE"""),"SMS CSKH")</f>
        <v>SMS CSKH</v>
      </c>
    </row>
    <row r="670">
      <c r="A670" s="265" t="str">
        <f>IFERROR(__xludf.DUMMYFUNCTION("""COMPUTED_VALUE"""),"934")</f>
        <v>934</v>
      </c>
      <c r="B670" s="265" t="str">
        <f>IFERROR(__xludf.DUMMYFUNCTION("""COMPUTED_VALUE"""),"Đà Nẵng")</f>
        <v>Đà Nẵng</v>
      </c>
      <c r="C670" s="265" t="str">
        <f>IFERROR(__xludf.DUMMYFUNCTION("""COMPUTED_VALUE"""),"Locked")</f>
        <v>Locked</v>
      </c>
      <c r="D670" s="265" t="str">
        <f>IFERROR(__xludf.DUMMYFUNCTION("""COMPUTED_VALUE"""),"Tài chính &amp; Ngân hàng")</f>
        <v>Tài chính &amp; Ngân hàng</v>
      </c>
      <c r="E670" s="265" t="str">
        <f>IFERROR(__xludf.DUMMYFUNCTION("""COMPUTED_VALUE"""),"TùngLD")</f>
        <v>TùngLD</v>
      </c>
      <c r="F670" s="265" t="str">
        <f>IFERROR(__xludf.DUMMYFUNCTION("""COMPUTED_VALUE"""),"Diamond")</f>
        <v>Diamond</v>
      </c>
      <c r="G670" s="265" t="str">
        <f>IFERROR(__xludf.DUMMYFUNCTION("""COMPUTED_VALUE"""),"Premium")</f>
        <v>Premium</v>
      </c>
      <c r="H670" s="265" t="str">
        <f>IFERROR(__xludf.DUMMYFUNCTION("""COMPUTED_VALUE"""),"Trial")</f>
        <v>Trial</v>
      </c>
      <c r="I670" s="265" t="str">
        <f>IFERROR(__xludf.DUMMYFUNCTION("""COMPUTED_VALUE"""),"API &amp; Portal")</f>
        <v>API &amp; Portal</v>
      </c>
      <c r="J670" s="265" t="str">
        <f>IFERROR(__xludf.DUMMYFUNCTION("""COMPUTED_VALUE"""),"SMS CSKH")</f>
        <v>SMS CSKH</v>
      </c>
    </row>
    <row r="671">
      <c r="A671" s="265" t="str">
        <f>IFERROR(__xludf.DUMMYFUNCTION("""COMPUTED_VALUE"""),"934")</f>
        <v>934</v>
      </c>
      <c r="B671" s="265" t="str">
        <f>IFERROR(__xludf.DUMMYFUNCTION("""COMPUTED_VALUE"""),"Đà Nẵng")</f>
        <v>Đà Nẵng</v>
      </c>
      <c r="C671" s="265" t="str">
        <f>IFERROR(__xludf.DUMMYFUNCTION("""COMPUTED_VALUE"""),"Locked")</f>
        <v>Locked</v>
      </c>
      <c r="D671" s="265" t="str">
        <f>IFERROR(__xludf.DUMMYFUNCTION("""COMPUTED_VALUE"""),"Tài chính &amp; Ngân hàng")</f>
        <v>Tài chính &amp; Ngân hàng</v>
      </c>
      <c r="E671" s="265" t="str">
        <f>IFERROR(__xludf.DUMMYFUNCTION("""COMPUTED_VALUE"""),"TùngLD")</f>
        <v>TùngLD</v>
      </c>
      <c r="F671" s="265" t="str">
        <f>IFERROR(__xludf.DUMMYFUNCTION("""COMPUTED_VALUE"""),"Diamond")</f>
        <v>Diamond</v>
      </c>
      <c r="G671" s="265" t="str">
        <f>IFERROR(__xludf.DUMMYFUNCTION("""COMPUTED_VALUE"""),"Premium")</f>
        <v>Premium</v>
      </c>
      <c r="H671" s="265" t="str">
        <f>IFERROR(__xludf.DUMMYFUNCTION("""COMPUTED_VALUE"""),"Trial")</f>
        <v>Trial</v>
      </c>
      <c r="I671" s="265" t="str">
        <f>IFERROR(__xludf.DUMMYFUNCTION("""COMPUTED_VALUE"""),"API &amp; Portal")</f>
        <v>API &amp; Portal</v>
      </c>
      <c r="J671" s="265" t="str">
        <f>IFERROR(__xludf.DUMMYFUNCTION("""COMPUTED_VALUE"""),"Zalo ZNS")</f>
        <v>Zalo ZNS</v>
      </c>
    </row>
    <row r="672">
      <c r="A672" s="265" t="str">
        <f>IFERROR(__xludf.DUMMYFUNCTION("""COMPUTED_VALUE"""),"935")</f>
        <v>935</v>
      </c>
      <c r="B672" s="265" t="str">
        <f>IFERROR(__xludf.DUMMYFUNCTION("""COMPUTED_VALUE"""),"Đà Nẵng")</f>
        <v>Đà Nẵng</v>
      </c>
      <c r="C672" s="265" t="str">
        <f>IFERROR(__xludf.DUMMYFUNCTION("""COMPUTED_VALUE"""),"Locked")</f>
        <v>Locked</v>
      </c>
      <c r="D672" s="265" t="str">
        <f>IFERROR(__xludf.DUMMYFUNCTION("""COMPUTED_VALUE"""),"Dịch vụ khác")</f>
        <v>Dịch vụ khác</v>
      </c>
      <c r="E672" s="265" t="str">
        <f>IFERROR(__xludf.DUMMYFUNCTION("""COMPUTED_VALUE"""),"TùngLD")</f>
        <v>TùngLD</v>
      </c>
      <c r="F672" s="265" t="str">
        <f>IFERROR(__xludf.DUMMYFUNCTION("""COMPUTED_VALUE"""),"Diamond")</f>
        <v>Diamond</v>
      </c>
      <c r="G672" s="265" t="str">
        <f>IFERROR(__xludf.DUMMYFUNCTION("""COMPUTED_VALUE"""),"Premium")</f>
        <v>Premium</v>
      </c>
      <c r="H672" s="265" t="str">
        <f>IFERROR(__xludf.DUMMYFUNCTION("""COMPUTED_VALUE"""),"Trial")</f>
        <v>Trial</v>
      </c>
      <c r="I672" s="265" t="str">
        <f>IFERROR(__xludf.DUMMYFUNCTION("""COMPUTED_VALUE"""),"API &amp; Portal")</f>
        <v>API &amp; Portal</v>
      </c>
      <c r="J672" s="265" t="str">
        <f>IFERROR(__xludf.DUMMYFUNCTION("""COMPUTED_VALUE"""),"SMS CSKH")</f>
        <v>SMS CSKH</v>
      </c>
    </row>
    <row r="673">
      <c r="A673" s="265" t="str">
        <f>IFERROR(__xludf.DUMMYFUNCTION("""COMPUTED_VALUE"""),"935")</f>
        <v>935</v>
      </c>
      <c r="B673" s="265" t="str">
        <f>IFERROR(__xludf.DUMMYFUNCTION("""COMPUTED_VALUE"""),"Đà Nẵng")</f>
        <v>Đà Nẵng</v>
      </c>
      <c r="C673" s="265" t="str">
        <f>IFERROR(__xludf.DUMMYFUNCTION("""COMPUTED_VALUE"""),"Locked")</f>
        <v>Locked</v>
      </c>
      <c r="D673" s="265" t="str">
        <f>IFERROR(__xludf.DUMMYFUNCTION("""COMPUTED_VALUE"""),"Dịch vụ khác")</f>
        <v>Dịch vụ khác</v>
      </c>
      <c r="E673" s="265" t="str">
        <f>IFERROR(__xludf.DUMMYFUNCTION("""COMPUTED_VALUE"""),"TùngLD")</f>
        <v>TùngLD</v>
      </c>
      <c r="F673" s="265" t="str">
        <f>IFERROR(__xludf.DUMMYFUNCTION("""COMPUTED_VALUE"""),"Diamond")</f>
        <v>Diamond</v>
      </c>
      <c r="G673" s="265" t="str">
        <f>IFERROR(__xludf.DUMMYFUNCTION("""COMPUTED_VALUE"""),"Premium")</f>
        <v>Premium</v>
      </c>
      <c r="H673" s="265" t="str">
        <f>IFERROR(__xludf.DUMMYFUNCTION("""COMPUTED_VALUE"""),"Trial")</f>
        <v>Trial</v>
      </c>
      <c r="I673" s="265" t="str">
        <f>IFERROR(__xludf.DUMMYFUNCTION("""COMPUTED_VALUE"""),"API &amp; Portal")</f>
        <v>API &amp; Portal</v>
      </c>
      <c r="J673" s="265" t="str">
        <f>IFERROR(__xludf.DUMMYFUNCTION("""COMPUTED_VALUE"""),"Zalo ZNS")</f>
        <v>Zalo ZNS</v>
      </c>
    </row>
    <row r="674">
      <c r="A674" s="265" t="str">
        <f>IFERROR(__xludf.DUMMYFUNCTION("""COMPUTED_VALUE"""),"936")</f>
        <v>936</v>
      </c>
      <c r="B674" s="265" t="str">
        <f>IFERROR(__xludf.DUMMYFUNCTION("""COMPUTED_VALUE"""),"Sài Gòn")</f>
        <v>Sài Gòn</v>
      </c>
      <c r="C674" s="265" t="str">
        <f>IFERROR(__xludf.DUMMYFUNCTION("""COMPUTED_VALUE"""),"Locked")</f>
        <v>Locked</v>
      </c>
      <c r="D674" s="265" t="str">
        <f>IFERROR(__xludf.DUMMYFUNCTION("""COMPUTED_VALUE"""),"Thực phẩm &amp; Đồ uống")</f>
        <v>Thực phẩm &amp; Đồ uống</v>
      </c>
      <c r="E674" s="265" t="str">
        <f>IFERROR(__xludf.DUMMYFUNCTION("""COMPUTED_VALUE"""),"HoaNTM")</f>
        <v>HoaNTM</v>
      </c>
      <c r="F674" s="265" t="str">
        <f>IFERROR(__xludf.DUMMYFUNCTION("""COMPUTED_VALUE"""),"Diamond")</f>
        <v>Diamond</v>
      </c>
      <c r="G674" s="265" t="str">
        <f>IFERROR(__xludf.DUMMYFUNCTION("""COMPUTED_VALUE"""),"Starter")</f>
        <v>Starter</v>
      </c>
      <c r="H674" s="265" t="str">
        <f>IFERROR(__xludf.DUMMYFUNCTION("""COMPUTED_VALUE"""),"Trả trước")</f>
        <v>Trả trước</v>
      </c>
      <c r="I674" s="265" t="str">
        <f>IFERROR(__xludf.DUMMYFUNCTION("""COMPUTED_VALUE"""),"Portal")</f>
        <v>Portal</v>
      </c>
      <c r="J674" s="265" t="str">
        <f>IFERROR(__xludf.DUMMYFUNCTION("""COMPUTED_VALUE"""),"Zalo ZNS")</f>
        <v>Zalo ZNS</v>
      </c>
    </row>
    <row r="675">
      <c r="A675" s="265" t="str">
        <f>IFERROR(__xludf.DUMMYFUNCTION("""COMPUTED_VALUE"""),"937")</f>
        <v>937</v>
      </c>
      <c r="B675" s="265" t="str">
        <f>IFERROR(__xludf.DUMMYFUNCTION("""COMPUTED_VALUE"""),"Hà Nội")</f>
        <v>Hà Nội</v>
      </c>
      <c r="C675" s="265" t="str">
        <f>IFERROR(__xludf.DUMMYFUNCTION("""COMPUTED_VALUE"""),"Active")</f>
        <v>Active</v>
      </c>
      <c r="D675" s="265" t="str">
        <f>IFERROR(__xludf.DUMMYFUNCTION("""COMPUTED_VALUE"""),"Y tế &amp; Dược phẩm")</f>
        <v>Y tế &amp; Dược phẩm</v>
      </c>
      <c r="E675" s="265" t="str">
        <f>IFERROR(__xludf.DUMMYFUNCTION("""COMPUTED_VALUE"""),"TùngLD")</f>
        <v>TùngLD</v>
      </c>
      <c r="F675" s="265" t="str">
        <f>IFERROR(__xludf.DUMMYFUNCTION("""COMPUTED_VALUE"""),"Sale chưa cung cấp")</f>
        <v>Sale chưa cung cấp</v>
      </c>
      <c r="G675" s="265" t="str">
        <f>IFERROR(__xludf.DUMMYFUNCTION("""COMPUTED_VALUE"""),"Premium")</f>
        <v>Premium</v>
      </c>
      <c r="H675" s="265" t="str">
        <f>IFERROR(__xludf.DUMMYFUNCTION("""COMPUTED_VALUE"""),"Trả sau")</f>
        <v>Trả sau</v>
      </c>
      <c r="I675" s="265" t="str">
        <f>IFERROR(__xludf.DUMMYFUNCTION("""COMPUTED_VALUE"""),"API &amp; Portal")</f>
        <v>API &amp; Portal</v>
      </c>
      <c r="J675" s="265" t="str">
        <f>IFERROR(__xludf.DUMMYFUNCTION("""COMPUTED_VALUE"""),"Zalo ZNS")</f>
        <v>Zalo ZNS</v>
      </c>
    </row>
    <row r="676">
      <c r="A676" s="265" t="str">
        <f>IFERROR(__xludf.DUMMYFUNCTION("""COMPUTED_VALUE"""),"938")</f>
        <v>938</v>
      </c>
      <c r="B676" s="265" t="str">
        <f>IFERROR(__xludf.DUMMYFUNCTION("""COMPUTED_VALUE"""),"Hà Nội")</f>
        <v>Hà Nội</v>
      </c>
      <c r="C676" s="265" t="str">
        <f>IFERROR(__xludf.DUMMYFUNCTION("""COMPUTED_VALUE"""),"Active")</f>
        <v>Active</v>
      </c>
      <c r="D676" s="265" t="str">
        <f>IFERROR(__xludf.DUMMYFUNCTION("""COMPUTED_VALUE"""),"Viễn thông")</f>
        <v>Viễn thông</v>
      </c>
      <c r="E676" s="265" t="str">
        <f>IFERROR(__xludf.DUMMYFUNCTION("""COMPUTED_VALUE"""),"TúPHN")</f>
        <v>TúPHN</v>
      </c>
      <c r="F676" s="265" t="str">
        <f>IFERROR(__xludf.DUMMYFUNCTION("""COMPUTED_VALUE"""),"Diamond")</f>
        <v>Diamond</v>
      </c>
      <c r="G676" s="265" t="str">
        <f>IFERROR(__xludf.DUMMYFUNCTION("""COMPUTED_VALUE"""),"Starter")</f>
        <v>Starter</v>
      </c>
      <c r="H676" s="265" t="str">
        <f>IFERROR(__xludf.DUMMYFUNCTION("""COMPUTED_VALUE"""),"Trả sau")</f>
        <v>Trả sau</v>
      </c>
      <c r="I676" s="265" t="str">
        <f>IFERROR(__xludf.DUMMYFUNCTION("""COMPUTED_VALUE"""),"API &amp; Portal")</f>
        <v>API &amp; Portal</v>
      </c>
      <c r="J676" s="265" t="str">
        <f>IFERROR(__xludf.DUMMYFUNCTION("""COMPUTED_VALUE"""),"Zalo ZNS")</f>
        <v>Zalo ZNS</v>
      </c>
    </row>
    <row r="677">
      <c r="A677" s="265" t="str">
        <f>IFERROR(__xludf.DUMMYFUNCTION("""COMPUTED_VALUE"""),"938")</f>
        <v>938</v>
      </c>
      <c r="B677" s="265" t="str">
        <f>IFERROR(__xludf.DUMMYFUNCTION("""COMPUTED_VALUE"""),"Hà Nội")</f>
        <v>Hà Nội</v>
      </c>
      <c r="C677" s="265" t="str">
        <f>IFERROR(__xludf.DUMMYFUNCTION("""COMPUTED_VALUE"""),"Active")</f>
        <v>Active</v>
      </c>
      <c r="D677" s="265" t="str">
        <f>IFERROR(__xludf.DUMMYFUNCTION("""COMPUTED_VALUE"""),"Viễn thông")</f>
        <v>Viễn thông</v>
      </c>
      <c r="E677" s="265" t="str">
        <f>IFERROR(__xludf.DUMMYFUNCTION("""COMPUTED_VALUE"""),"TúPHN")</f>
        <v>TúPHN</v>
      </c>
      <c r="F677" s="265" t="str">
        <f>IFERROR(__xludf.DUMMYFUNCTION("""COMPUTED_VALUE"""),"Diamond")</f>
        <v>Diamond</v>
      </c>
      <c r="G677" s="265" t="str">
        <f>IFERROR(__xludf.DUMMYFUNCTION("""COMPUTED_VALUE"""),"Starter")</f>
        <v>Starter</v>
      </c>
      <c r="H677" s="265" t="str">
        <f>IFERROR(__xludf.DUMMYFUNCTION("""COMPUTED_VALUE"""),"Trả sau")</f>
        <v>Trả sau</v>
      </c>
      <c r="I677" s="265" t="str">
        <f>IFERROR(__xludf.DUMMYFUNCTION("""COMPUTED_VALUE"""),"API &amp; Portal")</f>
        <v>API &amp; Portal</v>
      </c>
      <c r="J677" s="265" t="str">
        <f>IFERROR(__xludf.DUMMYFUNCTION("""COMPUTED_VALUE"""),"Zalo UID")</f>
        <v>Zalo UID</v>
      </c>
    </row>
    <row r="678">
      <c r="A678" s="265" t="str">
        <f>IFERROR(__xludf.DUMMYFUNCTION("""COMPUTED_VALUE"""),"939")</f>
        <v>939</v>
      </c>
      <c r="B678" s="265" t="str">
        <f>IFERROR(__xludf.DUMMYFUNCTION("""COMPUTED_VALUE"""),"Hà Nội")</f>
        <v>Hà Nội</v>
      </c>
      <c r="C678" s="265" t="str">
        <f>IFERROR(__xludf.DUMMYFUNCTION("""COMPUTED_VALUE"""),"Active")</f>
        <v>Active</v>
      </c>
      <c r="D678" s="265" t="str">
        <f>IFERROR(__xludf.DUMMYFUNCTION("""COMPUTED_VALUE"""),"Truyền thông &amp; Giải trí")</f>
        <v>Truyền thông &amp; Giải trí</v>
      </c>
      <c r="E678" s="265" t="str">
        <f>IFERROR(__xludf.DUMMYFUNCTION("""COMPUTED_VALUE"""),"TúPHN")</f>
        <v>TúPHN</v>
      </c>
      <c r="F678" s="265" t="str">
        <f>IFERROR(__xludf.DUMMYFUNCTION("""COMPUTED_VALUE"""),"Silver")</f>
        <v>Silver</v>
      </c>
      <c r="G678" s="265" t="str">
        <f>IFERROR(__xludf.DUMMYFUNCTION("""COMPUTED_VALUE"""),"Starter")</f>
        <v>Starter</v>
      </c>
      <c r="H678" s="265" t="str">
        <f>IFERROR(__xludf.DUMMYFUNCTION("""COMPUTED_VALUE"""),"Trả sau")</f>
        <v>Trả sau</v>
      </c>
      <c r="I678" s="265" t="str">
        <f>IFERROR(__xludf.DUMMYFUNCTION("""COMPUTED_VALUE"""),"API")</f>
        <v>API</v>
      </c>
      <c r="J678" s="265" t="str">
        <f>IFERROR(__xludf.DUMMYFUNCTION("""COMPUTED_VALUE"""),"SMS CSKH")</f>
        <v>SMS CSKH</v>
      </c>
    </row>
    <row r="679">
      <c r="A679" s="265" t="str">
        <f>IFERROR(__xludf.DUMMYFUNCTION("""COMPUTED_VALUE"""),"940")</f>
        <v>940</v>
      </c>
      <c r="B679" s="265" t="str">
        <f>IFERROR(__xludf.DUMMYFUNCTION("""COMPUTED_VALUE"""),"Hà Nội")</f>
        <v>Hà Nội</v>
      </c>
      <c r="C679" s="265" t="str">
        <f>IFERROR(__xludf.DUMMYFUNCTION("""COMPUTED_VALUE"""),"Active")</f>
        <v>Active</v>
      </c>
      <c r="D679" s="265" t="str">
        <f>IFERROR(__xludf.DUMMYFUNCTION("""COMPUTED_VALUE"""),"Y tế &amp; Dược phẩm")</f>
        <v>Y tế &amp; Dược phẩm</v>
      </c>
      <c r="E679" s="265" t="str">
        <f>IFERROR(__xludf.DUMMYFUNCTION("""COMPUTED_VALUE"""),"Không phân công")</f>
        <v>Không phân công</v>
      </c>
      <c r="F679" s="265" t="str">
        <f>IFERROR(__xludf.DUMMYFUNCTION("""COMPUTED_VALUE"""),"Silver")</f>
        <v>Silver</v>
      </c>
      <c r="G679" s="265" t="str">
        <f>IFERROR(__xludf.DUMMYFUNCTION("""COMPUTED_VALUE"""),"Starter")</f>
        <v>Starter</v>
      </c>
      <c r="H679" s="265" t="str">
        <f>IFERROR(__xludf.DUMMYFUNCTION("""COMPUTED_VALUE"""),"Trả sau")</f>
        <v>Trả sau</v>
      </c>
      <c r="I679" s="265" t="str">
        <f>IFERROR(__xludf.DUMMYFUNCTION("""COMPUTED_VALUE"""),"Portal")</f>
        <v>Portal</v>
      </c>
      <c r="J679" s="265" t="str">
        <f>IFERROR(__xludf.DUMMYFUNCTION("""COMPUTED_VALUE"""),"SMS CSKH")</f>
        <v>SMS CSKH</v>
      </c>
    </row>
    <row r="680">
      <c r="A680" s="265" t="str">
        <f>IFERROR(__xludf.DUMMYFUNCTION("""COMPUTED_VALUE"""),"941")</f>
        <v>941</v>
      </c>
      <c r="B680" s="265" t="str">
        <f>IFERROR(__xludf.DUMMYFUNCTION("""COMPUTED_VALUE"""),"Hà Nội")</f>
        <v>Hà Nội</v>
      </c>
      <c r="C680" s="265" t="str">
        <f>IFERROR(__xludf.DUMMYFUNCTION("""COMPUTED_VALUE"""),"Active")</f>
        <v>Active</v>
      </c>
      <c r="D680" s="265" t="str">
        <f>IFERROR(__xludf.DUMMYFUNCTION("""COMPUTED_VALUE"""),"Giáo dục &amp; Đào tạo")</f>
        <v>Giáo dục &amp; Đào tạo</v>
      </c>
      <c r="E680" s="265" t="str">
        <f>IFERROR(__xludf.DUMMYFUNCTION("""COMPUTED_VALUE"""),"AnhNM")</f>
        <v>AnhNM</v>
      </c>
      <c r="F680" s="265" t="str">
        <f>IFERROR(__xludf.DUMMYFUNCTION("""COMPUTED_VALUE"""),"Bronze")</f>
        <v>Bronze</v>
      </c>
      <c r="G680" s="265" t="str">
        <f>IFERROR(__xludf.DUMMYFUNCTION("""COMPUTED_VALUE"""),"Starter")</f>
        <v>Starter</v>
      </c>
      <c r="H680" s="265" t="str">
        <f>IFERROR(__xludf.DUMMYFUNCTION("""COMPUTED_VALUE"""),"Trả sau")</f>
        <v>Trả sau</v>
      </c>
      <c r="I680" s="265" t="str">
        <f>IFERROR(__xludf.DUMMYFUNCTION("""COMPUTED_VALUE"""),"API")</f>
        <v>API</v>
      </c>
      <c r="J680" s="265" t="str">
        <f>IFERROR(__xludf.DUMMYFUNCTION("""COMPUTED_VALUE"""),"SMS CSKH")</f>
        <v>SMS CSKH</v>
      </c>
    </row>
    <row r="681">
      <c r="A681" s="265" t="str">
        <f>IFERROR(__xludf.DUMMYFUNCTION("""COMPUTED_VALUE"""),"941")</f>
        <v>941</v>
      </c>
      <c r="B681" s="265" t="str">
        <f>IFERROR(__xludf.DUMMYFUNCTION("""COMPUTED_VALUE"""),"Hà Nội")</f>
        <v>Hà Nội</v>
      </c>
      <c r="C681" s="265" t="str">
        <f>IFERROR(__xludf.DUMMYFUNCTION("""COMPUTED_VALUE"""),"Active")</f>
        <v>Active</v>
      </c>
      <c r="D681" s="265" t="str">
        <f>IFERROR(__xludf.DUMMYFUNCTION("""COMPUTED_VALUE"""),"Giáo dục &amp; Đào tạo")</f>
        <v>Giáo dục &amp; Đào tạo</v>
      </c>
      <c r="E681" s="265" t="str">
        <f>IFERROR(__xludf.DUMMYFUNCTION("""COMPUTED_VALUE"""),"AnhNM")</f>
        <v>AnhNM</v>
      </c>
      <c r="F681" s="265" t="str">
        <f>IFERROR(__xludf.DUMMYFUNCTION("""COMPUTED_VALUE"""),"Bronze")</f>
        <v>Bronze</v>
      </c>
      <c r="G681" s="265" t="str">
        <f>IFERROR(__xludf.DUMMYFUNCTION("""COMPUTED_VALUE"""),"Starter")</f>
        <v>Starter</v>
      </c>
      <c r="H681" s="265" t="str">
        <f>IFERROR(__xludf.DUMMYFUNCTION("""COMPUTED_VALUE"""),"Trả sau")</f>
        <v>Trả sau</v>
      </c>
      <c r="I681" s="265" t="str">
        <f>IFERROR(__xludf.DUMMYFUNCTION("""COMPUTED_VALUE"""),"API")</f>
        <v>API</v>
      </c>
      <c r="J681" s="265" t="str">
        <f>IFERROR(__xludf.DUMMYFUNCTION("""COMPUTED_VALUE"""),"Zalo ZNS")</f>
        <v>Zalo ZNS</v>
      </c>
    </row>
    <row r="682">
      <c r="A682" s="265" t="str">
        <f>IFERROR(__xludf.DUMMYFUNCTION("""COMPUTED_VALUE"""),"942")</f>
        <v>942</v>
      </c>
      <c r="B682" s="265" t="str">
        <f>IFERROR(__xludf.DUMMYFUNCTION("""COMPUTED_VALUE"""),"Sài Gòn")</f>
        <v>Sài Gòn</v>
      </c>
      <c r="C682" s="265" t="str">
        <f>IFERROR(__xludf.DUMMYFUNCTION("""COMPUTED_VALUE"""),"Active")</f>
        <v>Active</v>
      </c>
      <c r="D682" s="265" t="str">
        <f>IFERROR(__xludf.DUMMYFUNCTION("""COMPUTED_VALUE"""),"Viễn thông")</f>
        <v>Viễn thông</v>
      </c>
      <c r="E682" s="265" t="str">
        <f>IFERROR(__xludf.DUMMYFUNCTION("""COMPUTED_VALUE"""),"AnhNM")</f>
        <v>AnhNM</v>
      </c>
      <c r="F682" s="265" t="str">
        <f>IFERROR(__xludf.DUMMYFUNCTION("""COMPUTED_VALUE"""),"Gold")</f>
        <v>Gold</v>
      </c>
      <c r="G682" s="265" t="str">
        <f>IFERROR(__xludf.DUMMYFUNCTION("""COMPUTED_VALUE"""),"Premium")</f>
        <v>Premium</v>
      </c>
      <c r="H682" s="265" t="str">
        <f>IFERROR(__xludf.DUMMYFUNCTION("""COMPUTED_VALUE"""),"Trả sau")</f>
        <v>Trả sau</v>
      </c>
      <c r="I682" s="265" t="str">
        <f>IFERROR(__xludf.DUMMYFUNCTION("""COMPUTED_VALUE"""),"API &amp; Portal")</f>
        <v>API &amp; Portal</v>
      </c>
      <c r="J682" s="265" t="str">
        <f>IFERROR(__xludf.DUMMYFUNCTION("""COMPUTED_VALUE"""),"Zalo ZNS")</f>
        <v>Zalo ZNS</v>
      </c>
    </row>
    <row r="683">
      <c r="A683" s="265" t="str">
        <f>IFERROR(__xludf.DUMMYFUNCTION("""COMPUTED_VALUE"""),"943")</f>
        <v>943</v>
      </c>
      <c r="B683" s="265" t="str">
        <f>IFERROR(__xludf.DUMMYFUNCTION("""COMPUTED_VALUE"""),"Hà Nội")</f>
        <v>Hà Nội</v>
      </c>
      <c r="C683" s="265" t="str">
        <f>IFERROR(__xludf.DUMMYFUNCTION("""COMPUTED_VALUE"""),"Active")</f>
        <v>Active</v>
      </c>
      <c r="D683" s="265" t="str">
        <f>IFERROR(__xludf.DUMMYFUNCTION("""COMPUTED_VALUE"""),"Bất động sản")</f>
        <v>Bất động sản</v>
      </c>
      <c r="E683" s="265" t="str">
        <f>IFERROR(__xludf.DUMMYFUNCTION("""COMPUTED_VALUE"""),"TùngLD")</f>
        <v>TùngLD</v>
      </c>
      <c r="F683" s="265" t="str">
        <f>IFERROR(__xludf.DUMMYFUNCTION("""COMPUTED_VALUE"""),"Silver")</f>
        <v>Silver</v>
      </c>
      <c r="G683" s="265" t="str">
        <f>IFERROR(__xludf.DUMMYFUNCTION("""COMPUTED_VALUE"""),"Starter")</f>
        <v>Starter</v>
      </c>
      <c r="H683" s="265" t="str">
        <f>IFERROR(__xludf.DUMMYFUNCTION("""COMPUTED_VALUE"""),"Trả sau")</f>
        <v>Trả sau</v>
      </c>
      <c r="I683" s="265" t="str">
        <f>IFERROR(__xludf.DUMMYFUNCTION("""COMPUTED_VALUE"""),"API")</f>
        <v>API</v>
      </c>
      <c r="J683" s="265" t="str">
        <f>IFERROR(__xludf.DUMMYFUNCTION("""COMPUTED_VALUE"""),"SMS CSKH")</f>
        <v>SMS CSKH</v>
      </c>
    </row>
    <row r="684">
      <c r="A684" s="265" t="str">
        <f>IFERROR(__xludf.DUMMYFUNCTION("""COMPUTED_VALUE"""),"943")</f>
        <v>943</v>
      </c>
      <c r="B684" s="265" t="str">
        <f>IFERROR(__xludf.DUMMYFUNCTION("""COMPUTED_VALUE"""),"Hà Nội")</f>
        <v>Hà Nội</v>
      </c>
      <c r="C684" s="265" t="str">
        <f>IFERROR(__xludf.DUMMYFUNCTION("""COMPUTED_VALUE"""),"Active")</f>
        <v>Active</v>
      </c>
      <c r="D684" s="265" t="str">
        <f>IFERROR(__xludf.DUMMYFUNCTION("""COMPUTED_VALUE"""),"Bất động sản")</f>
        <v>Bất động sản</v>
      </c>
      <c r="E684" s="265" t="str">
        <f>IFERROR(__xludf.DUMMYFUNCTION("""COMPUTED_VALUE"""),"TùngLD")</f>
        <v>TùngLD</v>
      </c>
      <c r="F684" s="265" t="str">
        <f>IFERROR(__xludf.DUMMYFUNCTION("""COMPUTED_VALUE"""),"Silver")</f>
        <v>Silver</v>
      </c>
      <c r="G684" s="265" t="str">
        <f>IFERROR(__xludf.DUMMYFUNCTION("""COMPUTED_VALUE"""),"Starter")</f>
        <v>Starter</v>
      </c>
      <c r="H684" s="265" t="str">
        <f>IFERROR(__xludf.DUMMYFUNCTION("""COMPUTED_VALUE"""),"Trả sau")</f>
        <v>Trả sau</v>
      </c>
      <c r="I684" s="265" t="str">
        <f>IFERROR(__xludf.DUMMYFUNCTION("""COMPUTED_VALUE"""),"API")</f>
        <v>API</v>
      </c>
      <c r="J684" s="265" t="str">
        <f>IFERROR(__xludf.DUMMYFUNCTION("""COMPUTED_VALUE"""),"SMS QC")</f>
        <v>SMS QC</v>
      </c>
    </row>
    <row r="685">
      <c r="A685" s="265" t="str">
        <f>IFERROR(__xludf.DUMMYFUNCTION("""COMPUTED_VALUE"""),"944")</f>
        <v>944</v>
      </c>
      <c r="B685" s="265" t="str">
        <f>IFERROR(__xludf.DUMMYFUNCTION("""COMPUTED_VALUE"""),"Sài Gòn")</f>
        <v>Sài Gòn</v>
      </c>
      <c r="C685" s="265" t="str">
        <f>IFERROR(__xludf.DUMMYFUNCTION("""COMPUTED_VALUE"""),"Active")</f>
        <v>Active</v>
      </c>
      <c r="D685" s="265" t="str">
        <f>IFERROR(__xludf.DUMMYFUNCTION("""COMPUTED_VALUE"""),"Hành chính công")</f>
        <v>Hành chính công</v>
      </c>
      <c r="E685" s="265" t="str">
        <f>IFERROR(__xludf.DUMMYFUNCTION("""COMPUTED_VALUE"""),"TúPHN")</f>
        <v>TúPHN</v>
      </c>
      <c r="F685" s="265" t="str">
        <f>IFERROR(__xludf.DUMMYFUNCTION("""COMPUTED_VALUE"""),"Bronze")</f>
        <v>Bronze</v>
      </c>
      <c r="G685" s="265" t="str">
        <f>IFERROR(__xludf.DUMMYFUNCTION("""COMPUTED_VALUE"""),"Standard")</f>
        <v>Standard</v>
      </c>
      <c r="H685" s="265" t="str">
        <f>IFERROR(__xludf.DUMMYFUNCTION("""COMPUTED_VALUE"""),"Trả trước")</f>
        <v>Trả trước</v>
      </c>
      <c r="I685" s="265" t="str">
        <f>IFERROR(__xludf.DUMMYFUNCTION("""COMPUTED_VALUE"""),"API &amp; Portal")</f>
        <v>API &amp; Portal</v>
      </c>
      <c r="J685" s="265" t="str">
        <f>IFERROR(__xludf.DUMMYFUNCTION("""COMPUTED_VALUE"""),"Zalo ZNS")</f>
        <v>Zalo ZNS</v>
      </c>
    </row>
    <row r="686">
      <c r="A686" s="265" t="str">
        <f>IFERROR(__xludf.DUMMYFUNCTION("""COMPUTED_VALUE"""),"945")</f>
        <v>945</v>
      </c>
      <c r="B686" s="265" t="str">
        <f>IFERROR(__xludf.DUMMYFUNCTION("""COMPUTED_VALUE"""),"Sài Gòn")</f>
        <v>Sài Gòn</v>
      </c>
      <c r="C686" s="265" t="str">
        <f>IFERROR(__xludf.DUMMYFUNCTION("""COMPUTED_VALUE"""),"Locked")</f>
        <v>Locked</v>
      </c>
      <c r="D686" s="265" t="str">
        <f>IFERROR(__xludf.DUMMYFUNCTION("""COMPUTED_VALUE"""),"Sản xuất &amp; Chế tạo")</f>
        <v>Sản xuất &amp; Chế tạo</v>
      </c>
      <c r="E686" s="265" t="str">
        <f>IFERROR(__xludf.DUMMYFUNCTION("""COMPUTED_VALUE"""),"HoaNTM")</f>
        <v>HoaNTM</v>
      </c>
      <c r="F686" s="265" t="str">
        <f>IFERROR(__xludf.DUMMYFUNCTION("""COMPUTED_VALUE"""),"Gold")</f>
        <v>Gold</v>
      </c>
      <c r="G686" s="265" t="str">
        <f>IFERROR(__xludf.DUMMYFUNCTION("""COMPUTED_VALUE"""),"Starter")</f>
        <v>Starter</v>
      </c>
      <c r="H686" s="265" t="str">
        <f>IFERROR(__xludf.DUMMYFUNCTION("""COMPUTED_VALUE"""),"Trả sau")</f>
        <v>Trả sau</v>
      </c>
      <c r="I686" s="265" t="str">
        <f>IFERROR(__xludf.DUMMYFUNCTION("""COMPUTED_VALUE"""),"API &amp; Portal")</f>
        <v>API &amp; Portal</v>
      </c>
      <c r="J686" s="265" t="str">
        <f>IFERROR(__xludf.DUMMYFUNCTION("""COMPUTED_VALUE"""),"Zalo ZNS")</f>
        <v>Zalo ZNS</v>
      </c>
    </row>
    <row r="687">
      <c r="A687" s="265" t="str">
        <f>IFERROR(__xludf.DUMMYFUNCTION("""COMPUTED_VALUE"""),"946")</f>
        <v>946</v>
      </c>
      <c r="B687" s="265" t="str">
        <f>IFERROR(__xludf.DUMMYFUNCTION("""COMPUTED_VALUE"""),"Hà Nội")</f>
        <v>Hà Nội</v>
      </c>
      <c r="C687" s="265" t="str">
        <f>IFERROR(__xludf.DUMMYFUNCTION("""COMPUTED_VALUE"""),"Active")</f>
        <v>Active</v>
      </c>
      <c r="D687" s="265" t="str">
        <f>IFERROR(__xludf.DUMMYFUNCTION("""COMPUTED_VALUE"""),"Mua sắm &amp; Bán lẻ")</f>
        <v>Mua sắm &amp; Bán lẻ</v>
      </c>
      <c r="E687" s="265" t="str">
        <f>IFERROR(__xludf.DUMMYFUNCTION("""COMPUTED_VALUE"""),"TúPHN")</f>
        <v>TúPHN</v>
      </c>
      <c r="F687" s="265" t="str">
        <f>IFERROR(__xludf.DUMMYFUNCTION("""COMPUTED_VALUE"""),"Diamond")</f>
        <v>Diamond</v>
      </c>
      <c r="G687" s="265" t="str">
        <f>IFERROR(__xludf.DUMMYFUNCTION("""COMPUTED_VALUE"""),"Starter")</f>
        <v>Starter</v>
      </c>
      <c r="H687" s="265" t="str">
        <f>IFERROR(__xludf.DUMMYFUNCTION("""COMPUTED_VALUE"""),"Trả sau")</f>
        <v>Trả sau</v>
      </c>
      <c r="I687" s="265" t="str">
        <f>IFERROR(__xludf.DUMMYFUNCTION("""COMPUTED_VALUE"""),"API")</f>
        <v>API</v>
      </c>
      <c r="J687" s="265" t="str">
        <f>IFERROR(__xludf.DUMMYFUNCTION("""COMPUTED_VALUE"""),"Zalo ZNS")</f>
        <v>Zalo ZNS</v>
      </c>
    </row>
    <row r="688">
      <c r="A688" s="265" t="str">
        <f>IFERROR(__xludf.DUMMYFUNCTION("""COMPUTED_VALUE"""),"947")</f>
        <v>947</v>
      </c>
      <c r="B688" s="265" t="str">
        <f>IFERROR(__xludf.DUMMYFUNCTION("""COMPUTED_VALUE"""),"Sài Gòn")</f>
        <v>Sài Gòn</v>
      </c>
      <c r="C688" s="265" t="str">
        <f>IFERROR(__xludf.DUMMYFUNCTION("""COMPUTED_VALUE"""),"Locked")</f>
        <v>Locked</v>
      </c>
      <c r="D688" s="265" t="str">
        <f>IFERROR(__xludf.DUMMYFUNCTION("""COMPUTED_VALUE"""),"Thiết kế &amp; Thi công")</f>
        <v>Thiết kế &amp; Thi công</v>
      </c>
      <c r="E688" s="265" t="str">
        <f>IFERROR(__xludf.DUMMYFUNCTION("""COMPUTED_VALUE"""),"TùngLD")</f>
        <v>TùngLD</v>
      </c>
      <c r="F688" s="265" t="str">
        <f>IFERROR(__xludf.DUMMYFUNCTION("""COMPUTED_VALUE"""),"Diamond")</f>
        <v>Diamond</v>
      </c>
      <c r="G688" s="265" t="str">
        <f>IFERROR(__xludf.DUMMYFUNCTION("""COMPUTED_VALUE"""),"Standard")</f>
        <v>Standard</v>
      </c>
      <c r="H688" s="265" t="str">
        <f>IFERROR(__xludf.DUMMYFUNCTION("""COMPUTED_VALUE"""),"Trial")</f>
        <v>Trial</v>
      </c>
      <c r="I688" s="265" t="str">
        <f>IFERROR(__xludf.DUMMYFUNCTION("""COMPUTED_VALUE"""),"API &amp; Portal")</f>
        <v>API &amp; Portal</v>
      </c>
      <c r="J688" s="265" t="str">
        <f>IFERROR(__xludf.DUMMYFUNCTION("""COMPUTED_VALUE"""),"SMS CSKH")</f>
        <v>SMS CSKH</v>
      </c>
    </row>
    <row r="689">
      <c r="A689" s="265" t="str">
        <f>IFERROR(__xludf.DUMMYFUNCTION("""COMPUTED_VALUE"""),"947")</f>
        <v>947</v>
      </c>
      <c r="B689" s="265" t="str">
        <f>IFERROR(__xludf.DUMMYFUNCTION("""COMPUTED_VALUE"""),"Sài Gòn")</f>
        <v>Sài Gòn</v>
      </c>
      <c r="C689" s="265" t="str">
        <f>IFERROR(__xludf.DUMMYFUNCTION("""COMPUTED_VALUE"""),"Locked")</f>
        <v>Locked</v>
      </c>
      <c r="D689" s="265" t="str">
        <f>IFERROR(__xludf.DUMMYFUNCTION("""COMPUTED_VALUE"""),"Thiết kế &amp; Thi công")</f>
        <v>Thiết kế &amp; Thi công</v>
      </c>
      <c r="E689" s="265" t="str">
        <f>IFERROR(__xludf.DUMMYFUNCTION("""COMPUTED_VALUE"""),"TùngLD")</f>
        <v>TùngLD</v>
      </c>
      <c r="F689" s="265" t="str">
        <f>IFERROR(__xludf.DUMMYFUNCTION("""COMPUTED_VALUE"""),"Diamond")</f>
        <v>Diamond</v>
      </c>
      <c r="G689" s="265" t="str">
        <f>IFERROR(__xludf.DUMMYFUNCTION("""COMPUTED_VALUE"""),"Standard")</f>
        <v>Standard</v>
      </c>
      <c r="H689" s="265" t="str">
        <f>IFERROR(__xludf.DUMMYFUNCTION("""COMPUTED_VALUE"""),"Trial")</f>
        <v>Trial</v>
      </c>
      <c r="I689" s="265" t="str">
        <f>IFERROR(__xludf.DUMMYFUNCTION("""COMPUTED_VALUE"""),"API &amp; Portal")</f>
        <v>API &amp; Portal</v>
      </c>
      <c r="J689" s="265" t="str">
        <f>IFERROR(__xludf.DUMMYFUNCTION("""COMPUTED_VALUE"""),"Zalo ZNS")</f>
        <v>Zalo ZNS</v>
      </c>
    </row>
    <row r="690">
      <c r="A690" s="265" t="str">
        <f>IFERROR(__xludf.DUMMYFUNCTION("""COMPUTED_VALUE"""),"948")</f>
        <v>948</v>
      </c>
      <c r="B690" s="265" t="str">
        <f>IFERROR(__xludf.DUMMYFUNCTION("""COMPUTED_VALUE"""),"Sài Gòn")</f>
        <v>Sài Gòn</v>
      </c>
      <c r="C690" s="265" t="str">
        <f>IFERROR(__xludf.DUMMYFUNCTION("""COMPUTED_VALUE"""),"Locked")</f>
        <v>Locked</v>
      </c>
      <c r="D690" s="265" t="str">
        <f>IFERROR(__xludf.DUMMYFUNCTION("""COMPUTED_VALUE"""),"Sale chưa cung cấp")</f>
        <v>Sale chưa cung cấp</v>
      </c>
      <c r="E690" s="265" t="str">
        <f>IFERROR(__xludf.DUMMYFUNCTION("""COMPUTED_VALUE"""),"Không phân công")</f>
        <v>Không phân công</v>
      </c>
      <c r="F690" s="265" t="str">
        <f>IFERROR(__xludf.DUMMYFUNCTION("""COMPUTED_VALUE"""),"Sale chưa cung cấp")</f>
        <v>Sale chưa cung cấp</v>
      </c>
      <c r="G690" s="265" t="str">
        <f>IFERROR(__xludf.DUMMYFUNCTION("""COMPUTED_VALUE"""),"Standard")</f>
        <v>Standard</v>
      </c>
      <c r="H690" s="265" t="str">
        <f>IFERROR(__xludf.DUMMYFUNCTION("""COMPUTED_VALUE"""),"Trial")</f>
        <v>Trial</v>
      </c>
      <c r="I690" s="265" t="str">
        <f>IFERROR(__xludf.DUMMYFUNCTION("""COMPUTED_VALUE"""),"Portal")</f>
        <v>Portal</v>
      </c>
      <c r="J690" s="265" t="str">
        <f>IFERROR(__xludf.DUMMYFUNCTION("""COMPUTED_VALUE"""),"Zalo ZNS")</f>
        <v>Zalo ZNS</v>
      </c>
    </row>
    <row r="691">
      <c r="A691" s="265" t="str">
        <f>IFERROR(__xludf.DUMMYFUNCTION("""COMPUTED_VALUE"""),"949")</f>
        <v>949</v>
      </c>
      <c r="B691" s="265" t="str">
        <f>IFERROR(__xludf.DUMMYFUNCTION("""COMPUTED_VALUE"""),"Hà Nội")</f>
        <v>Hà Nội</v>
      </c>
      <c r="C691" s="265" t="str">
        <f>IFERROR(__xludf.DUMMYFUNCTION("""COMPUTED_VALUE"""),"Locked")</f>
        <v>Locked</v>
      </c>
      <c r="D691" s="265" t="str">
        <f>IFERROR(__xludf.DUMMYFUNCTION("""COMPUTED_VALUE"""),"Mua sắm &amp; Bán lẻ")</f>
        <v>Mua sắm &amp; Bán lẻ</v>
      </c>
      <c r="E691" s="265" t="str">
        <f>IFERROR(__xludf.DUMMYFUNCTION("""COMPUTED_VALUE"""),"AnhNM")</f>
        <v>AnhNM</v>
      </c>
      <c r="F691" s="265" t="str">
        <f>IFERROR(__xludf.DUMMYFUNCTION("""COMPUTED_VALUE"""),"Bronze")</f>
        <v>Bronze</v>
      </c>
      <c r="G691" s="265" t="str">
        <f>IFERROR(__xludf.DUMMYFUNCTION("""COMPUTED_VALUE"""),"Premium")</f>
        <v>Premium</v>
      </c>
      <c r="H691" s="265" t="str">
        <f>IFERROR(__xludf.DUMMYFUNCTION("""COMPUTED_VALUE"""),"Trial")</f>
        <v>Trial</v>
      </c>
      <c r="I691" s="265" t="str">
        <f>IFERROR(__xludf.DUMMYFUNCTION("""COMPUTED_VALUE"""),"API &amp; Portal")</f>
        <v>API &amp; Portal</v>
      </c>
      <c r="J691" s="265" t="str">
        <f>IFERROR(__xludf.DUMMYFUNCTION("""COMPUTED_VALUE"""),"SMS CSKH")</f>
        <v>SMS CSKH</v>
      </c>
    </row>
    <row r="692">
      <c r="A692" s="265" t="str">
        <f>IFERROR(__xludf.DUMMYFUNCTION("""COMPUTED_VALUE"""),"949")</f>
        <v>949</v>
      </c>
      <c r="B692" s="265" t="str">
        <f>IFERROR(__xludf.DUMMYFUNCTION("""COMPUTED_VALUE"""),"Hà Nội")</f>
        <v>Hà Nội</v>
      </c>
      <c r="C692" s="265" t="str">
        <f>IFERROR(__xludf.DUMMYFUNCTION("""COMPUTED_VALUE"""),"Locked")</f>
        <v>Locked</v>
      </c>
      <c r="D692" s="265" t="str">
        <f>IFERROR(__xludf.DUMMYFUNCTION("""COMPUTED_VALUE"""),"Mua sắm &amp; Bán lẻ")</f>
        <v>Mua sắm &amp; Bán lẻ</v>
      </c>
      <c r="E692" s="265" t="str">
        <f>IFERROR(__xludf.DUMMYFUNCTION("""COMPUTED_VALUE"""),"AnhNM")</f>
        <v>AnhNM</v>
      </c>
      <c r="F692" s="265" t="str">
        <f>IFERROR(__xludf.DUMMYFUNCTION("""COMPUTED_VALUE"""),"Bronze")</f>
        <v>Bronze</v>
      </c>
      <c r="G692" s="265" t="str">
        <f>IFERROR(__xludf.DUMMYFUNCTION("""COMPUTED_VALUE"""),"Premium")</f>
        <v>Premium</v>
      </c>
      <c r="H692" s="265" t="str">
        <f>IFERROR(__xludf.DUMMYFUNCTION("""COMPUTED_VALUE"""),"Trial")</f>
        <v>Trial</v>
      </c>
      <c r="I692" s="265" t="str">
        <f>IFERROR(__xludf.DUMMYFUNCTION("""COMPUTED_VALUE"""),"API &amp; Portal")</f>
        <v>API &amp; Portal</v>
      </c>
      <c r="J692" s="265" t="str">
        <f>IFERROR(__xludf.DUMMYFUNCTION("""COMPUTED_VALUE"""),"Zalo ZNS")</f>
        <v>Zalo ZNS</v>
      </c>
    </row>
    <row r="693">
      <c r="A693" s="265" t="str">
        <f>IFERROR(__xludf.DUMMYFUNCTION("""COMPUTED_VALUE"""),"950")</f>
        <v>950</v>
      </c>
      <c r="B693" s="265" t="str">
        <f>IFERROR(__xludf.DUMMYFUNCTION("""COMPUTED_VALUE"""),"Sài Gòn")</f>
        <v>Sài Gòn</v>
      </c>
      <c r="C693" s="265" t="str">
        <f>IFERROR(__xludf.DUMMYFUNCTION("""COMPUTED_VALUE"""),"Active")</f>
        <v>Active</v>
      </c>
      <c r="D693" s="265" t="str">
        <f>IFERROR(__xludf.DUMMYFUNCTION("""COMPUTED_VALUE"""),"Thực phẩm &amp; Đồ uống")</f>
        <v>Thực phẩm &amp; Đồ uống</v>
      </c>
      <c r="E693" s="265" t="str">
        <f>IFERROR(__xludf.DUMMYFUNCTION("""COMPUTED_VALUE"""),"Không phân công")</f>
        <v>Không phân công</v>
      </c>
      <c r="F693" s="265" t="str">
        <f>IFERROR(__xludf.DUMMYFUNCTION("""COMPUTED_VALUE"""),"Gold")</f>
        <v>Gold</v>
      </c>
      <c r="G693" s="265" t="str">
        <f>IFERROR(__xludf.DUMMYFUNCTION("""COMPUTED_VALUE"""),"Starter")</f>
        <v>Starter</v>
      </c>
      <c r="H693" s="265" t="str">
        <f>IFERROR(__xludf.DUMMYFUNCTION("""COMPUTED_VALUE"""),"Trả sau")</f>
        <v>Trả sau</v>
      </c>
      <c r="I693" s="265" t="str">
        <f>IFERROR(__xludf.DUMMYFUNCTION("""COMPUTED_VALUE"""),"API")</f>
        <v>API</v>
      </c>
      <c r="J693" s="265" t="str">
        <f>IFERROR(__xludf.DUMMYFUNCTION("""COMPUTED_VALUE"""),"SMS CSKH")</f>
        <v>SMS CSKH</v>
      </c>
    </row>
    <row r="694">
      <c r="A694" s="265" t="str">
        <f>IFERROR(__xludf.DUMMYFUNCTION("""COMPUTED_VALUE"""),"951")</f>
        <v>951</v>
      </c>
      <c r="B694" s="265" t="str">
        <f>IFERROR(__xludf.DUMMYFUNCTION("""COMPUTED_VALUE"""),"Hà Nội")</f>
        <v>Hà Nội</v>
      </c>
      <c r="C694" s="265" t="str">
        <f>IFERROR(__xludf.DUMMYFUNCTION("""COMPUTED_VALUE"""),"Active")</f>
        <v>Active</v>
      </c>
      <c r="D694" s="265" t="str">
        <f>IFERROR(__xludf.DUMMYFUNCTION("""COMPUTED_VALUE"""),"Vận tải &amp; logistics")</f>
        <v>Vận tải &amp; logistics</v>
      </c>
      <c r="E694" s="265" t="str">
        <f>IFERROR(__xludf.DUMMYFUNCTION("""COMPUTED_VALUE"""),"TúPHN")</f>
        <v>TúPHN</v>
      </c>
      <c r="F694" s="265" t="str">
        <f>IFERROR(__xludf.DUMMYFUNCTION("""COMPUTED_VALUE"""),"Silver")</f>
        <v>Silver</v>
      </c>
      <c r="G694" s="265" t="str">
        <f>IFERROR(__xludf.DUMMYFUNCTION("""COMPUTED_VALUE"""),"Starter")</f>
        <v>Starter</v>
      </c>
      <c r="H694" s="265" t="str">
        <f>IFERROR(__xludf.DUMMYFUNCTION("""COMPUTED_VALUE"""),"Trả trước")</f>
        <v>Trả trước</v>
      </c>
      <c r="I694" s="265" t="str">
        <f>IFERROR(__xludf.DUMMYFUNCTION("""COMPUTED_VALUE"""),"Portal")</f>
        <v>Portal</v>
      </c>
      <c r="J694" s="265" t="str">
        <f>IFERROR(__xludf.DUMMYFUNCTION("""COMPUTED_VALUE"""),"Zalo ZNS")</f>
        <v>Zalo ZNS</v>
      </c>
    </row>
    <row r="695">
      <c r="A695" s="265" t="str">
        <f>IFERROR(__xludf.DUMMYFUNCTION("""COMPUTED_VALUE"""),"952")</f>
        <v>952</v>
      </c>
      <c r="B695" s="265" t="str">
        <f>IFERROR(__xludf.DUMMYFUNCTION("""COMPUTED_VALUE"""),"Sài Gòn")</f>
        <v>Sài Gòn</v>
      </c>
      <c r="C695" s="265" t="str">
        <f>IFERROR(__xludf.DUMMYFUNCTION("""COMPUTED_VALUE"""),"Locked")</f>
        <v>Locked</v>
      </c>
      <c r="D695" s="265" t="str">
        <f>IFERROR(__xludf.DUMMYFUNCTION("""COMPUTED_VALUE"""),"Thực phẩm &amp; Đồ uống")</f>
        <v>Thực phẩm &amp; Đồ uống</v>
      </c>
      <c r="E695" s="265" t="str">
        <f>IFERROR(__xludf.DUMMYFUNCTION("""COMPUTED_VALUE"""),"TúPHN")</f>
        <v>TúPHN</v>
      </c>
      <c r="F695" s="265" t="str">
        <f>IFERROR(__xludf.DUMMYFUNCTION("""COMPUTED_VALUE"""),"Gold")</f>
        <v>Gold</v>
      </c>
      <c r="G695" s="265" t="str">
        <f>IFERROR(__xludf.DUMMYFUNCTION("""COMPUTED_VALUE"""),"Standard")</f>
        <v>Standard</v>
      </c>
      <c r="H695" s="265" t="str">
        <f>IFERROR(__xludf.DUMMYFUNCTION("""COMPUTED_VALUE"""),"Trả trước")</f>
        <v>Trả trước</v>
      </c>
      <c r="I695" s="265" t="str">
        <f>IFERROR(__xludf.DUMMYFUNCTION("""COMPUTED_VALUE"""),"Portal")</f>
        <v>Portal</v>
      </c>
      <c r="J695" s="265" t="str">
        <f>IFERROR(__xludf.DUMMYFUNCTION("""COMPUTED_VALUE"""),"Zalo ZNS")</f>
        <v>Zalo ZNS</v>
      </c>
    </row>
    <row r="696">
      <c r="A696" s="265" t="str">
        <f>IFERROR(__xludf.DUMMYFUNCTION("""COMPUTED_VALUE"""),"953")</f>
        <v>953</v>
      </c>
      <c r="B696" s="265" t="str">
        <f>IFERROR(__xludf.DUMMYFUNCTION("""COMPUTED_VALUE"""),"Sài Gòn")</f>
        <v>Sài Gòn</v>
      </c>
      <c r="C696" s="265" t="str">
        <f>IFERROR(__xludf.DUMMYFUNCTION("""COMPUTED_VALUE"""),"Locked")</f>
        <v>Locked</v>
      </c>
      <c r="D696" s="265" t="str">
        <f>IFERROR(__xludf.DUMMYFUNCTION("""COMPUTED_VALUE"""),"Thực phẩm &amp; Đồ uống")</f>
        <v>Thực phẩm &amp; Đồ uống</v>
      </c>
      <c r="E696" s="265" t="str">
        <f>IFERROR(__xludf.DUMMYFUNCTION("""COMPUTED_VALUE"""),"TúPHN")</f>
        <v>TúPHN</v>
      </c>
      <c r="F696" s="265" t="str">
        <f>IFERROR(__xludf.DUMMYFUNCTION("""COMPUTED_VALUE"""),"Diamond")</f>
        <v>Diamond</v>
      </c>
      <c r="G696" s="265" t="str">
        <f>IFERROR(__xludf.DUMMYFUNCTION("""COMPUTED_VALUE"""),"Starter")</f>
        <v>Starter</v>
      </c>
      <c r="H696" s="265" t="str">
        <f>IFERROR(__xludf.DUMMYFUNCTION("""COMPUTED_VALUE"""),"Trial")</f>
        <v>Trial</v>
      </c>
      <c r="I696" s="265" t="str">
        <f>IFERROR(__xludf.DUMMYFUNCTION("""COMPUTED_VALUE"""),"Portal")</f>
        <v>Portal</v>
      </c>
      <c r="J696" s="265" t="str">
        <f>IFERROR(__xludf.DUMMYFUNCTION("""COMPUTED_VALUE"""),"Zalo ZNS")</f>
        <v>Zalo ZNS</v>
      </c>
    </row>
    <row r="697">
      <c r="A697" s="265" t="str">
        <f>IFERROR(__xludf.DUMMYFUNCTION("""COMPUTED_VALUE"""),"954")</f>
        <v>954</v>
      </c>
      <c r="B697" s="265" t="str">
        <f>IFERROR(__xludf.DUMMYFUNCTION("""COMPUTED_VALUE"""),"Hà Nội")</f>
        <v>Hà Nội</v>
      </c>
      <c r="C697" s="265" t="str">
        <f>IFERROR(__xludf.DUMMYFUNCTION("""COMPUTED_VALUE"""),"Locked")</f>
        <v>Locked</v>
      </c>
      <c r="D697" s="265" t="str">
        <f>IFERROR(__xludf.DUMMYFUNCTION("""COMPUTED_VALUE"""),"Dịch vụ khác")</f>
        <v>Dịch vụ khác</v>
      </c>
      <c r="E697" s="265" t="str">
        <f>IFERROR(__xludf.DUMMYFUNCTION("""COMPUTED_VALUE"""),"TúPHN")</f>
        <v>TúPHN</v>
      </c>
      <c r="F697" s="265" t="str">
        <f>IFERROR(__xludf.DUMMYFUNCTION("""COMPUTED_VALUE"""),"Bronze")</f>
        <v>Bronze</v>
      </c>
      <c r="G697" s="265" t="str">
        <f>IFERROR(__xludf.DUMMYFUNCTION("""COMPUTED_VALUE"""),"Premium")</f>
        <v>Premium</v>
      </c>
      <c r="H697" s="265" t="str">
        <f>IFERROR(__xludf.DUMMYFUNCTION("""COMPUTED_VALUE"""),"Trial")</f>
        <v>Trial</v>
      </c>
      <c r="I697" s="265" t="str">
        <f>IFERROR(__xludf.DUMMYFUNCTION("""COMPUTED_VALUE"""),"API &amp; Portal")</f>
        <v>API &amp; Portal</v>
      </c>
      <c r="J697" s="265" t="str">
        <f>IFERROR(__xludf.DUMMYFUNCTION("""COMPUTED_VALUE"""),"SMS CSKH")</f>
        <v>SMS CSKH</v>
      </c>
    </row>
    <row r="698">
      <c r="A698" s="265" t="str">
        <f>IFERROR(__xludf.DUMMYFUNCTION("""COMPUTED_VALUE"""),"954")</f>
        <v>954</v>
      </c>
      <c r="B698" s="265" t="str">
        <f>IFERROR(__xludf.DUMMYFUNCTION("""COMPUTED_VALUE"""),"Hà Nội")</f>
        <v>Hà Nội</v>
      </c>
      <c r="C698" s="265" t="str">
        <f>IFERROR(__xludf.DUMMYFUNCTION("""COMPUTED_VALUE"""),"Locked")</f>
        <v>Locked</v>
      </c>
      <c r="D698" s="265" t="str">
        <f>IFERROR(__xludf.DUMMYFUNCTION("""COMPUTED_VALUE"""),"Dịch vụ khác")</f>
        <v>Dịch vụ khác</v>
      </c>
      <c r="E698" s="265" t="str">
        <f>IFERROR(__xludf.DUMMYFUNCTION("""COMPUTED_VALUE"""),"TúPHN")</f>
        <v>TúPHN</v>
      </c>
      <c r="F698" s="265" t="str">
        <f>IFERROR(__xludf.DUMMYFUNCTION("""COMPUTED_VALUE"""),"Bronze")</f>
        <v>Bronze</v>
      </c>
      <c r="G698" s="265" t="str">
        <f>IFERROR(__xludf.DUMMYFUNCTION("""COMPUTED_VALUE"""),"Premium")</f>
        <v>Premium</v>
      </c>
      <c r="H698" s="265" t="str">
        <f>IFERROR(__xludf.DUMMYFUNCTION("""COMPUTED_VALUE"""),"Trial")</f>
        <v>Trial</v>
      </c>
      <c r="I698" s="265" t="str">
        <f>IFERROR(__xludf.DUMMYFUNCTION("""COMPUTED_VALUE"""),"API &amp; Portal")</f>
        <v>API &amp; Portal</v>
      </c>
      <c r="J698" s="265" t="str">
        <f>IFERROR(__xludf.DUMMYFUNCTION("""COMPUTED_VALUE"""),"Zalo ZNS")</f>
        <v>Zalo ZNS</v>
      </c>
    </row>
    <row r="699">
      <c r="A699" s="265" t="str">
        <f>IFERROR(__xludf.DUMMYFUNCTION("""COMPUTED_VALUE"""),"955")</f>
        <v>955</v>
      </c>
      <c r="B699" s="265" t="str">
        <f>IFERROR(__xludf.DUMMYFUNCTION("""COMPUTED_VALUE"""),"Đà Nẵng")</f>
        <v>Đà Nẵng</v>
      </c>
      <c r="C699" s="265" t="str">
        <f>IFERROR(__xludf.DUMMYFUNCTION("""COMPUTED_VALUE"""),"Locked")</f>
        <v>Locked</v>
      </c>
      <c r="D699" s="265" t="str">
        <f>IFERROR(__xludf.DUMMYFUNCTION("""COMPUTED_VALUE"""),"Công nghệ &amp; Phần mềm")</f>
        <v>Công nghệ &amp; Phần mềm</v>
      </c>
      <c r="E699" s="265" t="str">
        <f>IFERROR(__xludf.DUMMYFUNCTION("""COMPUTED_VALUE"""),"TùngLD")</f>
        <v>TùngLD</v>
      </c>
      <c r="F699" s="265" t="str">
        <f>IFERROR(__xludf.DUMMYFUNCTION("""COMPUTED_VALUE"""),"Gold")</f>
        <v>Gold</v>
      </c>
      <c r="G699" s="265" t="str">
        <f>IFERROR(__xludf.DUMMYFUNCTION("""COMPUTED_VALUE"""),"Premium")</f>
        <v>Premium</v>
      </c>
      <c r="H699" s="265" t="str">
        <f>IFERROR(__xludf.DUMMYFUNCTION("""COMPUTED_VALUE"""),"Trial")</f>
        <v>Trial</v>
      </c>
      <c r="I699" s="265" t="str">
        <f>IFERROR(__xludf.DUMMYFUNCTION("""COMPUTED_VALUE"""),"API &amp; Portal")</f>
        <v>API &amp; Portal</v>
      </c>
      <c r="J699" s="265" t="str">
        <f>IFERROR(__xludf.DUMMYFUNCTION("""COMPUTED_VALUE"""),"Tất cả")</f>
        <v>Tất cả</v>
      </c>
    </row>
    <row r="700">
      <c r="A700" s="265" t="str">
        <f>IFERROR(__xludf.DUMMYFUNCTION("""COMPUTED_VALUE"""),"955")</f>
        <v>955</v>
      </c>
      <c r="B700" s="265" t="str">
        <f>IFERROR(__xludf.DUMMYFUNCTION("""COMPUTED_VALUE"""),"Đà Nẵng")</f>
        <v>Đà Nẵng</v>
      </c>
      <c r="C700" s="265" t="str">
        <f>IFERROR(__xludf.DUMMYFUNCTION("""COMPUTED_VALUE"""),"Locked")</f>
        <v>Locked</v>
      </c>
      <c r="D700" s="265" t="str">
        <f>IFERROR(__xludf.DUMMYFUNCTION("""COMPUTED_VALUE"""),"Công nghệ &amp; Phần mềm")</f>
        <v>Công nghệ &amp; Phần mềm</v>
      </c>
      <c r="E700" s="265" t="str">
        <f>IFERROR(__xludf.DUMMYFUNCTION("""COMPUTED_VALUE"""),"TùngLD")</f>
        <v>TùngLD</v>
      </c>
      <c r="F700" s="265" t="str">
        <f>IFERROR(__xludf.DUMMYFUNCTION("""COMPUTED_VALUE"""),"Gold")</f>
        <v>Gold</v>
      </c>
      <c r="G700" s="265" t="str">
        <f>IFERROR(__xludf.DUMMYFUNCTION("""COMPUTED_VALUE"""),"Premium")</f>
        <v>Premium</v>
      </c>
      <c r="H700" s="265" t="str">
        <f>IFERROR(__xludf.DUMMYFUNCTION("""COMPUTED_VALUE"""),"Trial")</f>
        <v>Trial</v>
      </c>
      <c r="I700" s="265" t="str">
        <f>IFERROR(__xludf.DUMMYFUNCTION("""COMPUTED_VALUE"""),"API &amp; Portal")</f>
        <v>API &amp; Portal</v>
      </c>
      <c r="J700" s="265" t="str">
        <f>IFERROR(__xludf.DUMMYFUNCTION("""COMPUTED_VALUE"""),"SMS CSKH")</f>
        <v>SMS CSKH</v>
      </c>
    </row>
    <row r="701">
      <c r="A701" s="265" t="str">
        <f>IFERROR(__xludf.DUMMYFUNCTION("""COMPUTED_VALUE"""),"955")</f>
        <v>955</v>
      </c>
      <c r="B701" s="265" t="str">
        <f>IFERROR(__xludf.DUMMYFUNCTION("""COMPUTED_VALUE"""),"Đà Nẵng")</f>
        <v>Đà Nẵng</v>
      </c>
      <c r="C701" s="265" t="str">
        <f>IFERROR(__xludf.DUMMYFUNCTION("""COMPUTED_VALUE"""),"Locked")</f>
        <v>Locked</v>
      </c>
      <c r="D701" s="265" t="str">
        <f>IFERROR(__xludf.DUMMYFUNCTION("""COMPUTED_VALUE"""),"Công nghệ &amp; Phần mềm")</f>
        <v>Công nghệ &amp; Phần mềm</v>
      </c>
      <c r="E701" s="265" t="str">
        <f>IFERROR(__xludf.DUMMYFUNCTION("""COMPUTED_VALUE"""),"TùngLD")</f>
        <v>TùngLD</v>
      </c>
      <c r="F701" s="265" t="str">
        <f>IFERROR(__xludf.DUMMYFUNCTION("""COMPUTED_VALUE"""),"Gold")</f>
        <v>Gold</v>
      </c>
      <c r="G701" s="265" t="str">
        <f>IFERROR(__xludf.DUMMYFUNCTION("""COMPUTED_VALUE"""),"Premium")</f>
        <v>Premium</v>
      </c>
      <c r="H701" s="265" t="str">
        <f>IFERROR(__xludf.DUMMYFUNCTION("""COMPUTED_VALUE"""),"Trial")</f>
        <v>Trial</v>
      </c>
      <c r="I701" s="265" t="str">
        <f>IFERROR(__xludf.DUMMYFUNCTION("""COMPUTED_VALUE"""),"API &amp; Portal")</f>
        <v>API &amp; Portal</v>
      </c>
      <c r="J701" s="265" t="str">
        <f>IFERROR(__xludf.DUMMYFUNCTION("""COMPUTED_VALUE"""),"Zalo ZNS")</f>
        <v>Zalo ZNS</v>
      </c>
    </row>
    <row r="702">
      <c r="A702" s="265" t="str">
        <f>IFERROR(__xludf.DUMMYFUNCTION("""COMPUTED_VALUE"""),"955")</f>
        <v>955</v>
      </c>
      <c r="B702" s="265" t="str">
        <f>IFERROR(__xludf.DUMMYFUNCTION("""COMPUTED_VALUE"""),"Đà Nẵng")</f>
        <v>Đà Nẵng</v>
      </c>
      <c r="C702" s="265" t="str">
        <f>IFERROR(__xludf.DUMMYFUNCTION("""COMPUTED_VALUE"""),"Locked")</f>
        <v>Locked</v>
      </c>
      <c r="D702" s="265" t="str">
        <f>IFERROR(__xludf.DUMMYFUNCTION("""COMPUTED_VALUE"""),"Công nghệ &amp; Phần mềm")</f>
        <v>Công nghệ &amp; Phần mềm</v>
      </c>
      <c r="E702" s="265" t="str">
        <f>IFERROR(__xludf.DUMMYFUNCTION("""COMPUTED_VALUE"""),"TùngLD")</f>
        <v>TùngLD</v>
      </c>
      <c r="F702" s="265" t="str">
        <f>IFERROR(__xludf.DUMMYFUNCTION("""COMPUTED_VALUE"""),"Gold")</f>
        <v>Gold</v>
      </c>
      <c r="G702" s="265" t="str">
        <f>IFERROR(__xludf.DUMMYFUNCTION("""COMPUTED_VALUE"""),"Premium")</f>
        <v>Premium</v>
      </c>
      <c r="H702" s="265" t="str">
        <f>IFERROR(__xludf.DUMMYFUNCTION("""COMPUTED_VALUE"""),"Trial")</f>
        <v>Trial</v>
      </c>
      <c r="I702" s="265" t="str">
        <f>IFERROR(__xludf.DUMMYFUNCTION("""COMPUTED_VALUE"""),"API &amp; Portal")</f>
        <v>API &amp; Portal</v>
      </c>
      <c r="J702" s="265" t="str">
        <f>IFERROR(__xludf.DUMMYFUNCTION("""COMPUTED_VALUE"""),"Zalo UID")</f>
        <v>Zalo UID</v>
      </c>
    </row>
    <row r="703">
      <c r="A703" s="265" t="str">
        <f>IFERROR(__xludf.DUMMYFUNCTION("""COMPUTED_VALUE"""),"956")</f>
        <v>956</v>
      </c>
      <c r="B703" s="265" t="str">
        <f>IFERROR(__xludf.DUMMYFUNCTION("""COMPUTED_VALUE"""),"Hà Nội")</f>
        <v>Hà Nội</v>
      </c>
      <c r="C703" s="265" t="str">
        <f>IFERROR(__xludf.DUMMYFUNCTION("""COMPUTED_VALUE"""),"Active")</f>
        <v>Active</v>
      </c>
      <c r="D703" s="265" t="str">
        <f>IFERROR(__xludf.DUMMYFUNCTION("""COMPUTED_VALUE"""),"Dịch vụ khác")</f>
        <v>Dịch vụ khác</v>
      </c>
      <c r="E703" s="265" t="str">
        <f>IFERROR(__xludf.DUMMYFUNCTION("""COMPUTED_VALUE"""),"AnhNM")</f>
        <v>AnhNM</v>
      </c>
      <c r="F703" s="265" t="str">
        <f>IFERROR(__xludf.DUMMYFUNCTION("""COMPUTED_VALUE"""),"Bronze")</f>
        <v>Bronze</v>
      </c>
      <c r="G703" s="265" t="str">
        <f>IFERROR(__xludf.DUMMYFUNCTION("""COMPUTED_VALUE"""),"Starter")</f>
        <v>Starter</v>
      </c>
      <c r="H703" s="265" t="str">
        <f>IFERROR(__xludf.DUMMYFUNCTION("""COMPUTED_VALUE"""),"Trả sau")</f>
        <v>Trả sau</v>
      </c>
      <c r="I703" s="265" t="str">
        <f>IFERROR(__xludf.DUMMYFUNCTION("""COMPUTED_VALUE"""),"API &amp; Portal")</f>
        <v>API &amp; Portal</v>
      </c>
      <c r="J703" s="265" t="str">
        <f>IFERROR(__xludf.DUMMYFUNCTION("""COMPUTED_VALUE"""),"SMS CSKH")</f>
        <v>SMS CSKH</v>
      </c>
    </row>
    <row r="704">
      <c r="A704" s="265" t="str">
        <f>IFERROR(__xludf.DUMMYFUNCTION("""COMPUTED_VALUE"""),"956")</f>
        <v>956</v>
      </c>
      <c r="B704" s="265" t="str">
        <f>IFERROR(__xludf.DUMMYFUNCTION("""COMPUTED_VALUE"""),"Hà Nội")</f>
        <v>Hà Nội</v>
      </c>
      <c r="C704" s="265" t="str">
        <f>IFERROR(__xludf.DUMMYFUNCTION("""COMPUTED_VALUE"""),"Active")</f>
        <v>Active</v>
      </c>
      <c r="D704" s="265" t="str">
        <f>IFERROR(__xludf.DUMMYFUNCTION("""COMPUTED_VALUE"""),"Dịch vụ khác")</f>
        <v>Dịch vụ khác</v>
      </c>
      <c r="E704" s="265" t="str">
        <f>IFERROR(__xludf.DUMMYFUNCTION("""COMPUTED_VALUE"""),"AnhNM")</f>
        <v>AnhNM</v>
      </c>
      <c r="F704" s="265" t="str">
        <f>IFERROR(__xludf.DUMMYFUNCTION("""COMPUTED_VALUE"""),"Bronze")</f>
        <v>Bronze</v>
      </c>
      <c r="G704" s="265" t="str">
        <f>IFERROR(__xludf.DUMMYFUNCTION("""COMPUTED_VALUE"""),"Starter")</f>
        <v>Starter</v>
      </c>
      <c r="H704" s="265" t="str">
        <f>IFERROR(__xludf.DUMMYFUNCTION("""COMPUTED_VALUE"""),"Trả sau")</f>
        <v>Trả sau</v>
      </c>
      <c r="I704" s="265" t="str">
        <f>IFERROR(__xludf.DUMMYFUNCTION("""COMPUTED_VALUE"""),"API &amp; Portal")</f>
        <v>API &amp; Portal</v>
      </c>
      <c r="J704" s="265" t="str">
        <f>IFERROR(__xludf.DUMMYFUNCTION("""COMPUTED_VALUE"""),"Zalo ZNS")</f>
        <v>Zalo ZNS</v>
      </c>
    </row>
    <row r="705">
      <c r="A705" s="265" t="str">
        <f>IFERROR(__xludf.DUMMYFUNCTION("""COMPUTED_VALUE"""),"957")</f>
        <v>957</v>
      </c>
      <c r="B705" s="265" t="str">
        <f>IFERROR(__xludf.DUMMYFUNCTION("""COMPUTED_VALUE"""),"Sài Gòn")</f>
        <v>Sài Gòn</v>
      </c>
      <c r="C705" s="265" t="str">
        <f>IFERROR(__xludf.DUMMYFUNCTION("""COMPUTED_VALUE"""),"Active")</f>
        <v>Active</v>
      </c>
      <c r="D705" s="265" t="str">
        <f>IFERROR(__xludf.DUMMYFUNCTION("""COMPUTED_VALUE"""),"Truyền thông &amp; Giải trí")</f>
        <v>Truyền thông &amp; Giải trí</v>
      </c>
      <c r="E705" s="265" t="str">
        <f>IFERROR(__xludf.DUMMYFUNCTION("""COMPUTED_VALUE"""),"AnhNM")</f>
        <v>AnhNM</v>
      </c>
      <c r="F705" s="265" t="str">
        <f>IFERROR(__xludf.DUMMYFUNCTION("""COMPUTED_VALUE"""),"Bronze")</f>
        <v>Bronze</v>
      </c>
      <c r="G705" s="265" t="str">
        <f>IFERROR(__xludf.DUMMYFUNCTION("""COMPUTED_VALUE"""),"Standard")</f>
        <v>Standard</v>
      </c>
      <c r="H705" s="265" t="str">
        <f>IFERROR(__xludf.DUMMYFUNCTION("""COMPUTED_VALUE"""),"Trả trước")</f>
        <v>Trả trước</v>
      </c>
      <c r="I705" s="265" t="str">
        <f>IFERROR(__xludf.DUMMYFUNCTION("""COMPUTED_VALUE"""),"API &amp; Portal")</f>
        <v>API &amp; Portal</v>
      </c>
      <c r="J705" s="265" t="str">
        <f>IFERROR(__xludf.DUMMYFUNCTION("""COMPUTED_VALUE"""),"Email")</f>
        <v>Email</v>
      </c>
    </row>
    <row r="706">
      <c r="A706" s="265" t="str">
        <f>IFERROR(__xludf.DUMMYFUNCTION("""COMPUTED_VALUE"""),"958")</f>
        <v>958</v>
      </c>
      <c r="B706" s="265" t="str">
        <f>IFERROR(__xludf.DUMMYFUNCTION("""COMPUTED_VALUE"""),"Hà Nội")</f>
        <v>Hà Nội</v>
      </c>
      <c r="C706" s="265" t="str">
        <f>IFERROR(__xludf.DUMMYFUNCTION("""COMPUTED_VALUE"""),"Active")</f>
        <v>Active</v>
      </c>
      <c r="D706" s="265" t="str">
        <f>IFERROR(__xludf.DUMMYFUNCTION("""COMPUTED_VALUE"""),"Du lịch &amp; Lưu trú")</f>
        <v>Du lịch &amp; Lưu trú</v>
      </c>
      <c r="E706" s="265" t="str">
        <f>IFERROR(__xludf.DUMMYFUNCTION("""COMPUTED_VALUE"""),"TùngLD")</f>
        <v>TùngLD</v>
      </c>
      <c r="F706" s="265" t="str">
        <f>IFERROR(__xludf.DUMMYFUNCTION("""COMPUTED_VALUE"""),"Gold")</f>
        <v>Gold</v>
      </c>
      <c r="G706" s="265" t="str">
        <f>IFERROR(__xludf.DUMMYFUNCTION("""COMPUTED_VALUE"""),"Premium")</f>
        <v>Premium</v>
      </c>
      <c r="H706" s="265" t="str">
        <f>IFERROR(__xludf.DUMMYFUNCTION("""COMPUTED_VALUE"""),"Trả trước")</f>
        <v>Trả trước</v>
      </c>
      <c r="I706" s="265" t="str">
        <f>IFERROR(__xludf.DUMMYFUNCTION("""COMPUTED_VALUE"""),"API")</f>
        <v>API</v>
      </c>
      <c r="J706" s="265" t="str">
        <f>IFERROR(__xludf.DUMMYFUNCTION("""COMPUTED_VALUE"""),"Zalo UID")</f>
        <v>Zalo UID</v>
      </c>
    </row>
    <row r="707">
      <c r="A707" s="265" t="str">
        <f>IFERROR(__xludf.DUMMYFUNCTION("""COMPUTED_VALUE"""),"960")</f>
        <v>960</v>
      </c>
      <c r="B707" s="265" t="str">
        <f>IFERROR(__xludf.DUMMYFUNCTION("""COMPUTED_VALUE"""),"Sài Gòn")</f>
        <v>Sài Gòn</v>
      </c>
      <c r="C707" s="265" t="str">
        <f>IFERROR(__xludf.DUMMYFUNCTION("""COMPUTED_VALUE"""),"Locked")</f>
        <v>Locked</v>
      </c>
      <c r="D707" s="265" t="str">
        <f>IFERROR(__xludf.DUMMYFUNCTION("""COMPUTED_VALUE"""),"Viễn thông")</f>
        <v>Viễn thông</v>
      </c>
      <c r="E707" s="265" t="str">
        <f>IFERROR(__xludf.DUMMYFUNCTION("""COMPUTED_VALUE"""),"TúPHN")</f>
        <v>TúPHN</v>
      </c>
      <c r="F707" s="265" t="str">
        <f>IFERROR(__xludf.DUMMYFUNCTION("""COMPUTED_VALUE"""),"Gold")</f>
        <v>Gold</v>
      </c>
      <c r="G707" s="265" t="str">
        <f>IFERROR(__xludf.DUMMYFUNCTION("""COMPUTED_VALUE"""),"Premium")</f>
        <v>Premium</v>
      </c>
      <c r="H707" s="265" t="str">
        <f>IFERROR(__xludf.DUMMYFUNCTION("""COMPUTED_VALUE"""),"Trial")</f>
        <v>Trial</v>
      </c>
      <c r="I707" s="265" t="str">
        <f>IFERROR(__xludf.DUMMYFUNCTION("""COMPUTED_VALUE"""),"Portal")</f>
        <v>Portal</v>
      </c>
      <c r="J707" s="265" t="str">
        <f>IFERROR(__xludf.DUMMYFUNCTION("""COMPUTED_VALUE"""),"Tất cả")</f>
        <v>Tất cả</v>
      </c>
    </row>
    <row r="708">
      <c r="A708" s="265" t="str">
        <f>IFERROR(__xludf.DUMMYFUNCTION("""COMPUTED_VALUE"""),"961")</f>
        <v>961</v>
      </c>
      <c r="B708" s="265" t="str">
        <f>IFERROR(__xludf.DUMMYFUNCTION("""COMPUTED_VALUE"""),"Sài Gòn")</f>
        <v>Sài Gòn</v>
      </c>
      <c r="C708" s="265" t="str">
        <f>IFERROR(__xludf.DUMMYFUNCTION("""COMPUTED_VALUE"""),"Locked")</f>
        <v>Locked</v>
      </c>
      <c r="D708" s="265" t="str">
        <f>IFERROR(__xludf.DUMMYFUNCTION("""COMPUTED_VALUE"""),"Mua sắm &amp; Bán lẻ")</f>
        <v>Mua sắm &amp; Bán lẻ</v>
      </c>
      <c r="E708" s="265" t="str">
        <f>IFERROR(__xludf.DUMMYFUNCTION("""COMPUTED_VALUE"""),"TrâmNNB")</f>
        <v>TrâmNNB</v>
      </c>
      <c r="F708" s="265" t="str">
        <f>IFERROR(__xludf.DUMMYFUNCTION("""COMPUTED_VALUE"""),"Sale chưa cung cấp")</f>
        <v>Sale chưa cung cấp</v>
      </c>
      <c r="G708" s="265" t="str">
        <f>IFERROR(__xludf.DUMMYFUNCTION("""COMPUTED_VALUE"""),"Standard")</f>
        <v>Standard</v>
      </c>
      <c r="H708" s="265" t="str">
        <f>IFERROR(__xludf.DUMMYFUNCTION("""COMPUTED_VALUE"""),"Trả trước")</f>
        <v>Trả trước</v>
      </c>
      <c r="I708" s="265" t="str">
        <f>IFERROR(__xludf.DUMMYFUNCTION("""COMPUTED_VALUE"""),"API &amp; Portal")</f>
        <v>API &amp; Portal</v>
      </c>
      <c r="J708" s="265" t="str">
        <f>IFERROR(__xludf.DUMMYFUNCTION("""COMPUTED_VALUE"""),"Zalo ZNS")</f>
        <v>Zalo ZNS</v>
      </c>
    </row>
    <row r="709">
      <c r="A709" s="265" t="str">
        <f>IFERROR(__xludf.DUMMYFUNCTION("""COMPUTED_VALUE"""),"962")</f>
        <v>962</v>
      </c>
      <c r="B709" s="265" t="str">
        <f>IFERROR(__xludf.DUMMYFUNCTION("""COMPUTED_VALUE"""),"Hà Nội")</f>
        <v>Hà Nội</v>
      </c>
      <c r="C709" s="265" t="str">
        <f>IFERROR(__xludf.DUMMYFUNCTION("""COMPUTED_VALUE"""),"Active")</f>
        <v>Active</v>
      </c>
      <c r="D709" s="265" t="str">
        <f>IFERROR(__xludf.DUMMYFUNCTION("""COMPUTED_VALUE"""),"Viễn thông")</f>
        <v>Viễn thông</v>
      </c>
      <c r="E709" s="265" t="str">
        <f>IFERROR(__xludf.DUMMYFUNCTION("""COMPUTED_VALUE"""),"AnhNM")</f>
        <v>AnhNM</v>
      </c>
      <c r="F709" s="265" t="str">
        <f>IFERROR(__xludf.DUMMYFUNCTION("""COMPUTED_VALUE"""),"Bronze")</f>
        <v>Bronze</v>
      </c>
      <c r="G709" s="265" t="str">
        <f>IFERROR(__xludf.DUMMYFUNCTION("""COMPUTED_VALUE"""),"Starter")</f>
        <v>Starter</v>
      </c>
      <c r="H709" s="265" t="str">
        <f>IFERROR(__xludf.DUMMYFUNCTION("""COMPUTED_VALUE"""),"Trả sau")</f>
        <v>Trả sau</v>
      </c>
      <c r="I709" s="265" t="str">
        <f>IFERROR(__xludf.DUMMYFUNCTION("""COMPUTED_VALUE"""),"API")</f>
        <v>API</v>
      </c>
      <c r="J709" s="265" t="str">
        <f>IFERROR(__xludf.DUMMYFUNCTION("""COMPUTED_VALUE"""),"SMS CSKH")</f>
        <v>SMS CSKH</v>
      </c>
    </row>
    <row r="710">
      <c r="A710" s="265" t="str">
        <f>IFERROR(__xludf.DUMMYFUNCTION("""COMPUTED_VALUE"""),"963")</f>
        <v>963</v>
      </c>
      <c r="B710" s="265" t="str">
        <f>IFERROR(__xludf.DUMMYFUNCTION("""COMPUTED_VALUE"""),"Hà Nội")</f>
        <v>Hà Nội</v>
      </c>
      <c r="C710" s="265" t="str">
        <f>IFERROR(__xludf.DUMMYFUNCTION("""COMPUTED_VALUE"""),"Locked")</f>
        <v>Locked</v>
      </c>
      <c r="D710" s="265" t="str">
        <f>IFERROR(__xludf.DUMMYFUNCTION("""COMPUTED_VALUE"""),"Thực phẩm &amp; Đồ uống")</f>
        <v>Thực phẩm &amp; Đồ uống</v>
      </c>
      <c r="E710" s="265" t="str">
        <f>IFERROR(__xludf.DUMMYFUNCTION("""COMPUTED_VALUE"""),"TúPHN")</f>
        <v>TúPHN</v>
      </c>
      <c r="F710" s="265" t="str">
        <f>IFERROR(__xludf.DUMMYFUNCTION("""COMPUTED_VALUE"""),"Bronze")</f>
        <v>Bronze</v>
      </c>
      <c r="G710" s="265" t="str">
        <f>IFERROR(__xludf.DUMMYFUNCTION("""COMPUTED_VALUE"""),"Premium")</f>
        <v>Premium</v>
      </c>
      <c r="H710" s="265" t="str">
        <f>IFERROR(__xludf.DUMMYFUNCTION("""COMPUTED_VALUE"""),"Trial")</f>
        <v>Trial</v>
      </c>
      <c r="I710" s="265" t="str">
        <f>IFERROR(__xludf.DUMMYFUNCTION("""COMPUTED_VALUE"""),"API &amp; Portal")</f>
        <v>API &amp; Portal</v>
      </c>
      <c r="J710" s="265" t="str">
        <f>IFERROR(__xludf.DUMMYFUNCTION("""COMPUTED_VALUE"""),"Zalo ZNS")</f>
        <v>Zalo ZNS</v>
      </c>
    </row>
    <row r="711">
      <c r="A711" s="265" t="str">
        <f>IFERROR(__xludf.DUMMYFUNCTION("""COMPUTED_VALUE"""),"964")</f>
        <v>964</v>
      </c>
      <c r="B711" s="265" t="str">
        <f>IFERROR(__xludf.DUMMYFUNCTION("""COMPUTED_VALUE"""),"Sài Gòn")</f>
        <v>Sài Gòn</v>
      </c>
      <c r="C711" s="265" t="str">
        <f>IFERROR(__xludf.DUMMYFUNCTION("""COMPUTED_VALUE"""),"Active")</f>
        <v>Active</v>
      </c>
      <c r="D711" s="265" t="str">
        <f>IFERROR(__xludf.DUMMYFUNCTION("""COMPUTED_VALUE"""),"Dịch vụ khác")</f>
        <v>Dịch vụ khác</v>
      </c>
      <c r="E711" s="265" t="str">
        <f>IFERROR(__xludf.DUMMYFUNCTION("""COMPUTED_VALUE"""),"Không phân công")</f>
        <v>Không phân công</v>
      </c>
      <c r="F711" s="265" t="str">
        <f>IFERROR(__xludf.DUMMYFUNCTION("""COMPUTED_VALUE"""),"Diamond")</f>
        <v>Diamond</v>
      </c>
      <c r="G711" s="265" t="str">
        <f>IFERROR(__xludf.DUMMYFUNCTION("""COMPUTED_VALUE"""),"Starter")</f>
        <v>Starter</v>
      </c>
      <c r="H711" s="265" t="str">
        <f>IFERROR(__xludf.DUMMYFUNCTION("""COMPUTED_VALUE"""),"Trả sau")</f>
        <v>Trả sau</v>
      </c>
      <c r="I711" s="265" t="str">
        <f>IFERROR(__xludf.DUMMYFUNCTION("""COMPUTED_VALUE"""),"API")</f>
        <v>API</v>
      </c>
      <c r="J711" s="265" t="str">
        <f>IFERROR(__xludf.DUMMYFUNCTION("""COMPUTED_VALUE"""),"SMS CSKH")</f>
        <v>SMS CSKH</v>
      </c>
    </row>
    <row r="712">
      <c r="A712" s="265" t="str">
        <f>IFERROR(__xludf.DUMMYFUNCTION("""COMPUTED_VALUE"""),"965")</f>
        <v>965</v>
      </c>
      <c r="B712" s="265" t="str">
        <f>IFERROR(__xludf.DUMMYFUNCTION("""COMPUTED_VALUE"""),"Hà Nội")</f>
        <v>Hà Nội</v>
      </c>
      <c r="C712" s="265" t="str">
        <f>IFERROR(__xludf.DUMMYFUNCTION("""COMPUTED_VALUE"""),"Active")</f>
        <v>Active</v>
      </c>
      <c r="D712" s="265" t="str">
        <f>IFERROR(__xludf.DUMMYFUNCTION("""COMPUTED_VALUE"""),"Tài chính &amp; Ngân hàng")</f>
        <v>Tài chính &amp; Ngân hàng</v>
      </c>
      <c r="E712" s="265" t="str">
        <f>IFERROR(__xludf.DUMMYFUNCTION("""COMPUTED_VALUE"""),"TùngLD")</f>
        <v>TùngLD</v>
      </c>
      <c r="F712" s="265" t="str">
        <f>IFERROR(__xludf.DUMMYFUNCTION("""COMPUTED_VALUE"""),"Diamond")</f>
        <v>Diamond</v>
      </c>
      <c r="G712" s="265" t="str">
        <f>IFERROR(__xludf.DUMMYFUNCTION("""COMPUTED_VALUE"""),"Premium")</f>
        <v>Premium</v>
      </c>
      <c r="H712" s="265" t="str">
        <f>IFERROR(__xludf.DUMMYFUNCTION("""COMPUTED_VALUE"""),"Trả sau")</f>
        <v>Trả sau</v>
      </c>
      <c r="I712" s="265" t="str">
        <f>IFERROR(__xludf.DUMMYFUNCTION("""COMPUTED_VALUE"""),"API &amp; Portal")</f>
        <v>API &amp; Portal</v>
      </c>
      <c r="J712" s="265" t="str">
        <f>IFERROR(__xludf.DUMMYFUNCTION("""COMPUTED_VALUE"""),"Zalo ZNS")</f>
        <v>Zalo ZNS</v>
      </c>
    </row>
    <row r="713">
      <c r="A713" s="265" t="str">
        <f>IFERROR(__xludf.DUMMYFUNCTION("""COMPUTED_VALUE"""),"966")</f>
        <v>966</v>
      </c>
      <c r="B713" s="265" t="str">
        <f>IFERROR(__xludf.DUMMYFUNCTION("""COMPUTED_VALUE"""),"Sài Gòn")</f>
        <v>Sài Gòn</v>
      </c>
      <c r="C713" s="265" t="str">
        <f>IFERROR(__xludf.DUMMYFUNCTION("""COMPUTED_VALUE"""),"Active")</f>
        <v>Active</v>
      </c>
      <c r="D713" s="265" t="str">
        <f>IFERROR(__xludf.DUMMYFUNCTION("""COMPUTED_VALUE"""),"Vận tải &amp; logistics")</f>
        <v>Vận tải &amp; logistics</v>
      </c>
      <c r="E713" s="265" t="str">
        <f>IFERROR(__xludf.DUMMYFUNCTION("""COMPUTED_VALUE"""),"Không phân công")</f>
        <v>Không phân công</v>
      </c>
      <c r="F713" s="265" t="str">
        <f>IFERROR(__xludf.DUMMYFUNCTION("""COMPUTED_VALUE"""),"Gold")</f>
        <v>Gold</v>
      </c>
      <c r="G713" s="265" t="str">
        <f>IFERROR(__xludf.DUMMYFUNCTION("""COMPUTED_VALUE"""),"Starter")</f>
        <v>Starter</v>
      </c>
      <c r="H713" s="265" t="str">
        <f>IFERROR(__xludf.DUMMYFUNCTION("""COMPUTED_VALUE"""),"Trả sau")</f>
        <v>Trả sau</v>
      </c>
      <c r="I713" s="265" t="str">
        <f>IFERROR(__xludf.DUMMYFUNCTION("""COMPUTED_VALUE"""),"API")</f>
        <v>API</v>
      </c>
      <c r="J713" s="265" t="str">
        <f>IFERROR(__xludf.DUMMYFUNCTION("""COMPUTED_VALUE"""),"SMS CSKH")</f>
        <v>SMS CSKH</v>
      </c>
    </row>
    <row r="714">
      <c r="A714" s="265" t="str">
        <f>IFERROR(__xludf.DUMMYFUNCTION("""COMPUTED_VALUE"""),"970")</f>
        <v>970</v>
      </c>
      <c r="B714" s="265" t="str">
        <f>IFERROR(__xludf.DUMMYFUNCTION("""COMPUTED_VALUE"""),"Hà Nội")</f>
        <v>Hà Nội</v>
      </c>
      <c r="C714" s="265" t="str">
        <f>IFERROR(__xludf.DUMMYFUNCTION("""COMPUTED_VALUE"""),"Active")</f>
        <v>Active</v>
      </c>
      <c r="D714" s="265" t="str">
        <f>IFERROR(__xludf.DUMMYFUNCTION("""COMPUTED_VALUE"""),"Bất động sản")</f>
        <v>Bất động sản</v>
      </c>
      <c r="E714" s="265" t="str">
        <f>IFERROR(__xludf.DUMMYFUNCTION("""COMPUTED_VALUE"""),"TùngLD")</f>
        <v>TùngLD</v>
      </c>
      <c r="F714" s="265" t="str">
        <f>IFERROR(__xludf.DUMMYFUNCTION("""COMPUTED_VALUE"""),"Gold")</f>
        <v>Gold</v>
      </c>
      <c r="G714" s="265" t="str">
        <f>IFERROR(__xludf.DUMMYFUNCTION("""COMPUTED_VALUE"""),"Starter")</f>
        <v>Starter</v>
      </c>
      <c r="H714" s="265" t="str">
        <f>IFERROR(__xludf.DUMMYFUNCTION("""COMPUTED_VALUE"""),"Trả sau")</f>
        <v>Trả sau</v>
      </c>
      <c r="I714" s="265" t="str">
        <f>IFERROR(__xludf.DUMMYFUNCTION("""COMPUTED_VALUE"""),"API &amp; Portal")</f>
        <v>API &amp; Portal</v>
      </c>
      <c r="J714" s="265" t="str">
        <f>IFERROR(__xludf.DUMMYFUNCTION("""COMPUTED_VALUE"""),"Zalo ZNS")</f>
        <v>Zalo ZNS</v>
      </c>
    </row>
    <row r="715">
      <c r="A715" s="265" t="str">
        <f>IFERROR(__xludf.DUMMYFUNCTION("""COMPUTED_VALUE"""),"969")</f>
        <v>969</v>
      </c>
      <c r="B715" s="265" t="str">
        <f>IFERROR(__xludf.DUMMYFUNCTION("""COMPUTED_VALUE"""),"Hà Nội")</f>
        <v>Hà Nội</v>
      </c>
      <c r="C715" s="265" t="str">
        <f>IFERROR(__xludf.DUMMYFUNCTION("""COMPUTED_VALUE"""),"Active")</f>
        <v>Active</v>
      </c>
      <c r="D715" s="265" t="str">
        <f>IFERROR(__xludf.DUMMYFUNCTION("""COMPUTED_VALUE"""),"Mua sắm &amp; Bán lẻ")</f>
        <v>Mua sắm &amp; Bán lẻ</v>
      </c>
      <c r="E715" s="265" t="str">
        <f>IFERROR(__xludf.DUMMYFUNCTION("""COMPUTED_VALUE"""),"TúPHN")</f>
        <v>TúPHN</v>
      </c>
      <c r="F715" s="265" t="str">
        <f>IFERROR(__xludf.DUMMYFUNCTION("""COMPUTED_VALUE"""),"Bronze")</f>
        <v>Bronze</v>
      </c>
      <c r="G715" s="265" t="str">
        <f>IFERROR(__xludf.DUMMYFUNCTION("""COMPUTED_VALUE"""),"Starter")</f>
        <v>Starter</v>
      </c>
      <c r="H715" s="265" t="str">
        <f>IFERROR(__xludf.DUMMYFUNCTION("""COMPUTED_VALUE"""),"Trả sau")</f>
        <v>Trả sau</v>
      </c>
      <c r="I715" s="265" t="str">
        <f>IFERROR(__xludf.DUMMYFUNCTION("""COMPUTED_VALUE"""),"API &amp; Portal")</f>
        <v>API &amp; Portal</v>
      </c>
      <c r="J715" s="265" t="str">
        <f>IFERROR(__xludf.DUMMYFUNCTION("""COMPUTED_VALUE"""),"Zalo ZNS")</f>
        <v>Zalo ZNS</v>
      </c>
    </row>
    <row r="716">
      <c r="A716" s="265" t="str">
        <f>IFERROR(__xludf.DUMMYFUNCTION("""COMPUTED_VALUE"""),"971")</f>
        <v>971</v>
      </c>
      <c r="B716" s="265" t="str">
        <f>IFERROR(__xludf.DUMMYFUNCTION("""COMPUTED_VALUE"""),"Sài Gòn")</f>
        <v>Sài Gòn</v>
      </c>
      <c r="C716" s="265" t="str">
        <f>IFERROR(__xludf.DUMMYFUNCTION("""COMPUTED_VALUE"""),"Locked")</f>
        <v>Locked</v>
      </c>
      <c r="D716" s="265" t="str">
        <f>IFERROR(__xludf.DUMMYFUNCTION("""COMPUTED_VALUE"""),"Dịch vụ khác")</f>
        <v>Dịch vụ khác</v>
      </c>
      <c r="E716" s="265" t="str">
        <f>IFERROR(__xludf.DUMMYFUNCTION("""COMPUTED_VALUE"""),"AnhNM")</f>
        <v>AnhNM</v>
      </c>
      <c r="F716" s="265" t="str">
        <f>IFERROR(__xludf.DUMMYFUNCTION("""COMPUTED_VALUE"""),"Gold")</f>
        <v>Gold</v>
      </c>
      <c r="G716" s="265" t="str">
        <f>IFERROR(__xludf.DUMMYFUNCTION("""COMPUTED_VALUE"""),"Standard")</f>
        <v>Standard</v>
      </c>
      <c r="H716" s="265" t="str">
        <f>IFERROR(__xludf.DUMMYFUNCTION("""COMPUTED_VALUE"""),"Trial")</f>
        <v>Trial</v>
      </c>
      <c r="I716" s="265" t="str">
        <f>IFERROR(__xludf.DUMMYFUNCTION("""COMPUTED_VALUE"""),"API &amp; Portal")</f>
        <v>API &amp; Portal</v>
      </c>
      <c r="J716" s="265" t="str">
        <f>IFERROR(__xludf.DUMMYFUNCTION("""COMPUTED_VALUE"""),"SMS CSKH")</f>
        <v>SMS CSKH</v>
      </c>
    </row>
    <row r="717">
      <c r="A717" s="265" t="str">
        <f>IFERROR(__xludf.DUMMYFUNCTION("""COMPUTED_VALUE"""),"972")</f>
        <v>972</v>
      </c>
      <c r="B717" s="265" t="str">
        <f>IFERROR(__xludf.DUMMYFUNCTION("""COMPUTED_VALUE"""),"Sài Gòn")</f>
        <v>Sài Gòn</v>
      </c>
      <c r="C717" s="265" t="str">
        <f>IFERROR(__xludf.DUMMYFUNCTION("""COMPUTED_VALUE"""),"Locked")</f>
        <v>Locked</v>
      </c>
      <c r="D717" s="265" t="str">
        <f>IFERROR(__xludf.DUMMYFUNCTION("""COMPUTED_VALUE"""),"Mua sắm &amp; Bán lẻ")</f>
        <v>Mua sắm &amp; Bán lẻ</v>
      </c>
      <c r="E717" s="265" t="str">
        <f>IFERROR(__xludf.DUMMYFUNCTION("""COMPUTED_VALUE"""),"AnhNM")</f>
        <v>AnhNM</v>
      </c>
      <c r="F717" s="265" t="str">
        <f>IFERROR(__xludf.DUMMYFUNCTION("""COMPUTED_VALUE"""),"Bronze")</f>
        <v>Bronze</v>
      </c>
      <c r="G717" s="265" t="str">
        <f>IFERROR(__xludf.DUMMYFUNCTION("""COMPUTED_VALUE"""),"Starter")</f>
        <v>Starter</v>
      </c>
      <c r="H717" s="265" t="str">
        <f>IFERROR(__xludf.DUMMYFUNCTION("""COMPUTED_VALUE"""),"Trial")</f>
        <v>Trial</v>
      </c>
      <c r="I717" s="265" t="str">
        <f>IFERROR(__xludf.DUMMYFUNCTION("""COMPUTED_VALUE"""),"API")</f>
        <v>API</v>
      </c>
      <c r="J717" s="265" t="str">
        <f>IFERROR(__xludf.DUMMYFUNCTION("""COMPUTED_VALUE"""),"Zalo ZNS")</f>
        <v>Zalo ZNS</v>
      </c>
    </row>
    <row r="718">
      <c r="A718" s="265" t="str">
        <f>IFERROR(__xludf.DUMMYFUNCTION("""COMPUTED_VALUE"""),"973")</f>
        <v>973</v>
      </c>
      <c r="B718" s="265" t="str">
        <f>IFERROR(__xludf.DUMMYFUNCTION("""COMPUTED_VALUE"""),"Hà Nội")</f>
        <v>Hà Nội</v>
      </c>
      <c r="C718" s="265" t="str">
        <f>IFERROR(__xludf.DUMMYFUNCTION("""COMPUTED_VALUE"""),"Locked")</f>
        <v>Locked</v>
      </c>
      <c r="D718" s="265" t="str">
        <f>IFERROR(__xludf.DUMMYFUNCTION("""COMPUTED_VALUE"""),"Vận tải &amp; logistics")</f>
        <v>Vận tải &amp; logistics</v>
      </c>
      <c r="E718" s="265" t="str">
        <f>IFERROR(__xludf.DUMMYFUNCTION("""COMPUTED_VALUE"""),"Không phân công")</f>
        <v>Không phân công</v>
      </c>
      <c r="F718" s="265" t="str">
        <f>IFERROR(__xludf.DUMMYFUNCTION("""COMPUTED_VALUE"""),"Silver")</f>
        <v>Silver</v>
      </c>
      <c r="G718" s="265" t="str">
        <f>IFERROR(__xludf.DUMMYFUNCTION("""COMPUTED_VALUE"""),"Starter")</f>
        <v>Starter</v>
      </c>
      <c r="H718" s="265" t="str">
        <f>IFERROR(__xludf.DUMMYFUNCTION("""COMPUTED_VALUE"""),"Trả sau")</f>
        <v>Trả sau</v>
      </c>
      <c r="I718" s="265" t="str">
        <f>IFERROR(__xludf.DUMMYFUNCTION("""COMPUTED_VALUE"""),"API")</f>
        <v>API</v>
      </c>
      <c r="J718" s="265" t="str">
        <f>IFERROR(__xludf.DUMMYFUNCTION("""COMPUTED_VALUE"""),"SMS CSKH")</f>
        <v>SMS CSKH</v>
      </c>
    </row>
    <row r="719">
      <c r="A719" s="265" t="str">
        <f>IFERROR(__xludf.DUMMYFUNCTION("""COMPUTED_VALUE"""),"974")</f>
        <v>974</v>
      </c>
      <c r="B719" s="265" t="str">
        <f>IFERROR(__xludf.DUMMYFUNCTION("""COMPUTED_VALUE"""),"Đà Nẵng")</f>
        <v>Đà Nẵng</v>
      </c>
      <c r="C719" s="265" t="str">
        <f>IFERROR(__xludf.DUMMYFUNCTION("""COMPUTED_VALUE"""),"Active")</f>
        <v>Active</v>
      </c>
      <c r="D719" s="265" t="str">
        <f>IFERROR(__xludf.DUMMYFUNCTION("""COMPUTED_VALUE"""),"Sale chưa cung cấp")</f>
        <v>Sale chưa cung cấp</v>
      </c>
      <c r="E719" s="265" t="str">
        <f>IFERROR(__xludf.DUMMYFUNCTION("""COMPUTED_VALUE"""),"Không phân công")</f>
        <v>Không phân công</v>
      </c>
      <c r="F719" s="265" t="str">
        <f>IFERROR(__xludf.DUMMYFUNCTION("""COMPUTED_VALUE"""),"Silver")</f>
        <v>Silver</v>
      </c>
      <c r="G719" s="265" t="str">
        <f>IFERROR(__xludf.DUMMYFUNCTION("""COMPUTED_VALUE"""),"Starter")</f>
        <v>Starter</v>
      </c>
      <c r="H719" s="265" t="str">
        <f>IFERROR(__xludf.DUMMYFUNCTION("""COMPUTED_VALUE"""),"Trả sau")</f>
        <v>Trả sau</v>
      </c>
      <c r="I719" s="265" t="str">
        <f>IFERROR(__xludf.DUMMYFUNCTION("""COMPUTED_VALUE"""),"API")</f>
        <v>API</v>
      </c>
      <c r="J719" s="265" t="str">
        <f>IFERROR(__xludf.DUMMYFUNCTION("""COMPUTED_VALUE"""),"SMS CSKH")</f>
        <v>SMS CSKH</v>
      </c>
    </row>
    <row r="720">
      <c r="A720" s="265" t="str">
        <f>IFERROR(__xludf.DUMMYFUNCTION("""COMPUTED_VALUE"""),"975")</f>
        <v>975</v>
      </c>
      <c r="B720" s="265" t="str">
        <f>IFERROR(__xludf.DUMMYFUNCTION("""COMPUTED_VALUE"""),"Hà Nội")</f>
        <v>Hà Nội</v>
      </c>
      <c r="C720" s="265" t="str">
        <f>IFERROR(__xludf.DUMMYFUNCTION("""COMPUTED_VALUE"""),"Active")</f>
        <v>Active</v>
      </c>
      <c r="D720" s="265" t="str">
        <f>IFERROR(__xludf.DUMMYFUNCTION("""COMPUTED_VALUE"""),"Tài chính &amp; Ngân hàng")</f>
        <v>Tài chính &amp; Ngân hàng</v>
      </c>
      <c r="E720" s="265" t="str">
        <f>IFERROR(__xludf.DUMMYFUNCTION("""COMPUTED_VALUE"""),"TúPHN")</f>
        <v>TúPHN</v>
      </c>
      <c r="F720" s="265" t="str">
        <f>IFERROR(__xludf.DUMMYFUNCTION("""COMPUTED_VALUE"""),"Bronze")</f>
        <v>Bronze</v>
      </c>
      <c r="G720" s="265" t="str">
        <f>IFERROR(__xludf.DUMMYFUNCTION("""COMPUTED_VALUE"""),"Starter")</f>
        <v>Starter</v>
      </c>
      <c r="H720" s="265" t="str">
        <f>IFERROR(__xludf.DUMMYFUNCTION("""COMPUTED_VALUE"""),"Trả sau")</f>
        <v>Trả sau</v>
      </c>
      <c r="I720" s="265" t="str">
        <f>IFERROR(__xludf.DUMMYFUNCTION("""COMPUTED_VALUE"""),"API")</f>
        <v>API</v>
      </c>
      <c r="J720" s="265" t="str">
        <f>IFERROR(__xludf.DUMMYFUNCTION("""COMPUTED_VALUE"""),"SMS CSKH")</f>
        <v>SMS CSKH</v>
      </c>
    </row>
    <row r="721">
      <c r="A721" s="265" t="str">
        <f>IFERROR(__xludf.DUMMYFUNCTION("""COMPUTED_VALUE"""),"976")</f>
        <v>976</v>
      </c>
      <c r="B721" s="265" t="str">
        <f>IFERROR(__xludf.DUMMYFUNCTION("""COMPUTED_VALUE"""),"Hà Nội")</f>
        <v>Hà Nội</v>
      </c>
      <c r="C721" s="265" t="str">
        <f>IFERROR(__xludf.DUMMYFUNCTION("""COMPUTED_VALUE"""),"Locked")</f>
        <v>Locked</v>
      </c>
      <c r="D721" s="265" t="str">
        <f>IFERROR(__xludf.DUMMYFUNCTION("""COMPUTED_VALUE"""),"Du lịch &amp; Lưu trú")</f>
        <v>Du lịch &amp; Lưu trú</v>
      </c>
      <c r="E721" s="265" t="str">
        <f>IFERROR(__xludf.DUMMYFUNCTION("""COMPUTED_VALUE"""),"AnhNM")</f>
        <v>AnhNM</v>
      </c>
      <c r="F721" s="265" t="str">
        <f>IFERROR(__xludf.DUMMYFUNCTION("""COMPUTED_VALUE"""),"Silver")</f>
        <v>Silver</v>
      </c>
      <c r="G721" s="265" t="str">
        <f>IFERROR(__xludf.DUMMYFUNCTION("""COMPUTED_VALUE"""),"Premium")</f>
        <v>Premium</v>
      </c>
      <c r="H721" s="265" t="str">
        <f>IFERROR(__xludf.DUMMYFUNCTION("""COMPUTED_VALUE"""),"Trial")</f>
        <v>Trial</v>
      </c>
      <c r="I721" s="265" t="str">
        <f>IFERROR(__xludf.DUMMYFUNCTION("""COMPUTED_VALUE"""),"API &amp; Portal")</f>
        <v>API &amp; Portal</v>
      </c>
      <c r="J721" s="265" t="str">
        <f>IFERROR(__xludf.DUMMYFUNCTION("""COMPUTED_VALUE"""),"Whatsapp")</f>
        <v>Whatsapp</v>
      </c>
    </row>
    <row r="722">
      <c r="A722" s="265" t="str">
        <f>IFERROR(__xludf.DUMMYFUNCTION("""COMPUTED_VALUE"""),"976")</f>
        <v>976</v>
      </c>
      <c r="B722" s="265" t="str">
        <f>IFERROR(__xludf.DUMMYFUNCTION("""COMPUTED_VALUE"""),"Hà Nội")</f>
        <v>Hà Nội</v>
      </c>
      <c r="C722" s="265" t="str">
        <f>IFERROR(__xludf.DUMMYFUNCTION("""COMPUTED_VALUE"""),"Locked")</f>
        <v>Locked</v>
      </c>
      <c r="D722" s="265" t="str">
        <f>IFERROR(__xludf.DUMMYFUNCTION("""COMPUTED_VALUE"""),"Du lịch &amp; Lưu trú")</f>
        <v>Du lịch &amp; Lưu trú</v>
      </c>
      <c r="E722" s="265" t="str">
        <f>IFERROR(__xludf.DUMMYFUNCTION("""COMPUTED_VALUE"""),"AnhNM")</f>
        <v>AnhNM</v>
      </c>
      <c r="F722" s="265" t="str">
        <f>IFERROR(__xludf.DUMMYFUNCTION("""COMPUTED_VALUE"""),"Silver")</f>
        <v>Silver</v>
      </c>
      <c r="G722" s="265" t="str">
        <f>IFERROR(__xludf.DUMMYFUNCTION("""COMPUTED_VALUE"""),"Premium")</f>
        <v>Premium</v>
      </c>
      <c r="H722" s="265" t="str">
        <f>IFERROR(__xludf.DUMMYFUNCTION("""COMPUTED_VALUE"""),"Trial")</f>
        <v>Trial</v>
      </c>
      <c r="I722" s="265" t="str">
        <f>IFERROR(__xludf.DUMMYFUNCTION("""COMPUTED_VALUE"""),"API &amp; Portal")</f>
        <v>API &amp; Portal</v>
      </c>
      <c r="J722" s="265" t="str">
        <f>IFERROR(__xludf.DUMMYFUNCTION("""COMPUTED_VALUE"""),"Email")</f>
        <v>Email</v>
      </c>
    </row>
    <row r="723">
      <c r="A723" s="265" t="str">
        <f>IFERROR(__xludf.DUMMYFUNCTION("""COMPUTED_VALUE"""),"977")</f>
        <v>977</v>
      </c>
      <c r="B723" s="265" t="str">
        <f>IFERROR(__xludf.DUMMYFUNCTION("""COMPUTED_VALUE"""),"Sài Gòn")</f>
        <v>Sài Gòn</v>
      </c>
      <c r="C723" s="265" t="str">
        <f>IFERROR(__xludf.DUMMYFUNCTION("""COMPUTED_VALUE"""),"Active")</f>
        <v>Active</v>
      </c>
      <c r="D723" s="265" t="str">
        <f>IFERROR(__xludf.DUMMYFUNCTION("""COMPUTED_VALUE"""),"Thực phẩm &amp; Đồ uống")</f>
        <v>Thực phẩm &amp; Đồ uống</v>
      </c>
      <c r="E723" s="265" t="str">
        <f>IFERROR(__xludf.DUMMYFUNCTION("""COMPUTED_VALUE"""),"TrâmNNB")</f>
        <v>TrâmNNB</v>
      </c>
      <c r="F723" s="265" t="str">
        <f>IFERROR(__xludf.DUMMYFUNCTION("""COMPUTED_VALUE"""),"Sale chưa cung cấp")</f>
        <v>Sale chưa cung cấp</v>
      </c>
      <c r="G723" s="265" t="str">
        <f>IFERROR(__xludf.DUMMYFUNCTION("""COMPUTED_VALUE"""),"Starter")</f>
        <v>Starter</v>
      </c>
      <c r="H723" s="265" t="str">
        <f>IFERROR(__xludf.DUMMYFUNCTION("""COMPUTED_VALUE"""),"Trả sau")</f>
        <v>Trả sau</v>
      </c>
      <c r="I723" s="265" t="str">
        <f>IFERROR(__xludf.DUMMYFUNCTION("""COMPUTED_VALUE"""),"Portal")</f>
        <v>Portal</v>
      </c>
      <c r="J723" s="265" t="str">
        <f>IFERROR(__xludf.DUMMYFUNCTION("""COMPUTED_VALUE"""),"Zalo ZNS")</f>
        <v>Zalo ZNS</v>
      </c>
    </row>
    <row r="724">
      <c r="A724" s="265" t="str">
        <f>IFERROR(__xludf.DUMMYFUNCTION("""COMPUTED_VALUE"""),"977")</f>
        <v>977</v>
      </c>
      <c r="B724" s="265" t="str">
        <f>IFERROR(__xludf.DUMMYFUNCTION("""COMPUTED_VALUE"""),"Sài Gòn")</f>
        <v>Sài Gòn</v>
      </c>
      <c r="C724" s="265" t="str">
        <f>IFERROR(__xludf.DUMMYFUNCTION("""COMPUTED_VALUE"""),"Active")</f>
        <v>Active</v>
      </c>
      <c r="D724" s="265" t="str">
        <f>IFERROR(__xludf.DUMMYFUNCTION("""COMPUTED_VALUE"""),"Thực phẩm &amp; Đồ uống")</f>
        <v>Thực phẩm &amp; Đồ uống</v>
      </c>
      <c r="E724" s="265" t="str">
        <f>IFERROR(__xludf.DUMMYFUNCTION("""COMPUTED_VALUE"""),"TrâmNNB")</f>
        <v>TrâmNNB</v>
      </c>
      <c r="F724" s="265" t="str">
        <f>IFERROR(__xludf.DUMMYFUNCTION("""COMPUTED_VALUE"""),"Sale chưa cung cấp")</f>
        <v>Sale chưa cung cấp</v>
      </c>
      <c r="G724" s="265" t="str">
        <f>IFERROR(__xludf.DUMMYFUNCTION("""COMPUTED_VALUE"""),"Starter")</f>
        <v>Starter</v>
      </c>
      <c r="H724" s="265" t="str">
        <f>IFERROR(__xludf.DUMMYFUNCTION("""COMPUTED_VALUE"""),"Trả sau")</f>
        <v>Trả sau</v>
      </c>
      <c r="I724" s="265" t="str">
        <f>IFERROR(__xludf.DUMMYFUNCTION("""COMPUTED_VALUE"""),"Portal")</f>
        <v>Portal</v>
      </c>
      <c r="J724" s="265" t="str">
        <f>IFERROR(__xludf.DUMMYFUNCTION("""COMPUTED_VALUE"""),"Zalo UID")</f>
        <v>Zalo UID</v>
      </c>
    </row>
    <row r="725">
      <c r="A725" s="265" t="str">
        <f>IFERROR(__xludf.DUMMYFUNCTION("""COMPUTED_VALUE"""),"978")</f>
        <v>978</v>
      </c>
      <c r="B725" s="265" t="str">
        <f>IFERROR(__xludf.DUMMYFUNCTION("""COMPUTED_VALUE"""),"Hà Nội")</f>
        <v>Hà Nội</v>
      </c>
      <c r="C725" s="265" t="str">
        <f>IFERROR(__xludf.DUMMYFUNCTION("""COMPUTED_VALUE"""),"Active")</f>
        <v>Active</v>
      </c>
      <c r="D725" s="265" t="str">
        <f>IFERROR(__xludf.DUMMYFUNCTION("""COMPUTED_VALUE"""),"Tài chính &amp; Ngân hàng")</f>
        <v>Tài chính &amp; Ngân hàng</v>
      </c>
      <c r="E725" s="265" t="str">
        <f>IFERROR(__xludf.DUMMYFUNCTION("""COMPUTED_VALUE"""),"TùngLD")</f>
        <v>TùngLD</v>
      </c>
      <c r="F725" s="265" t="str">
        <f>IFERROR(__xludf.DUMMYFUNCTION("""COMPUTED_VALUE"""),"Diamond")</f>
        <v>Diamond</v>
      </c>
      <c r="G725" s="265" t="str">
        <f>IFERROR(__xludf.DUMMYFUNCTION("""COMPUTED_VALUE"""),"Standard")</f>
        <v>Standard</v>
      </c>
      <c r="H725" s="265" t="str">
        <f>IFERROR(__xludf.DUMMYFUNCTION("""COMPUTED_VALUE"""),"Trả sau")</f>
        <v>Trả sau</v>
      </c>
      <c r="I725" s="265" t="str">
        <f>IFERROR(__xludf.DUMMYFUNCTION("""COMPUTED_VALUE"""),"API")</f>
        <v>API</v>
      </c>
      <c r="J725" s="265" t="str">
        <f>IFERROR(__xludf.DUMMYFUNCTION("""COMPUTED_VALUE"""),"SMS CSKH")</f>
        <v>SMS CSKH</v>
      </c>
    </row>
    <row r="726">
      <c r="A726" s="265" t="str">
        <f>IFERROR(__xludf.DUMMYFUNCTION("""COMPUTED_VALUE"""),"978")</f>
        <v>978</v>
      </c>
      <c r="B726" s="265" t="str">
        <f>IFERROR(__xludf.DUMMYFUNCTION("""COMPUTED_VALUE"""),"Hà Nội")</f>
        <v>Hà Nội</v>
      </c>
      <c r="C726" s="265" t="str">
        <f>IFERROR(__xludf.DUMMYFUNCTION("""COMPUTED_VALUE"""),"Active")</f>
        <v>Active</v>
      </c>
      <c r="D726" s="265" t="str">
        <f>IFERROR(__xludf.DUMMYFUNCTION("""COMPUTED_VALUE"""),"Tài chính &amp; Ngân hàng")</f>
        <v>Tài chính &amp; Ngân hàng</v>
      </c>
      <c r="E726" s="265" t="str">
        <f>IFERROR(__xludf.DUMMYFUNCTION("""COMPUTED_VALUE"""),"TùngLD")</f>
        <v>TùngLD</v>
      </c>
      <c r="F726" s="265" t="str">
        <f>IFERROR(__xludf.DUMMYFUNCTION("""COMPUTED_VALUE"""),"Diamond")</f>
        <v>Diamond</v>
      </c>
      <c r="G726" s="265" t="str">
        <f>IFERROR(__xludf.DUMMYFUNCTION("""COMPUTED_VALUE"""),"Standard")</f>
        <v>Standard</v>
      </c>
      <c r="H726" s="265" t="str">
        <f>IFERROR(__xludf.DUMMYFUNCTION("""COMPUTED_VALUE"""),"Trả sau")</f>
        <v>Trả sau</v>
      </c>
      <c r="I726" s="265" t="str">
        <f>IFERROR(__xludf.DUMMYFUNCTION("""COMPUTED_VALUE"""),"API")</f>
        <v>API</v>
      </c>
      <c r="J726" s="265" t="str">
        <f>IFERROR(__xludf.DUMMYFUNCTION("""COMPUTED_VALUE"""),"SMS QC")</f>
        <v>SMS QC</v>
      </c>
    </row>
    <row r="727">
      <c r="A727" s="265" t="str">
        <f>IFERROR(__xludf.DUMMYFUNCTION("""COMPUTED_VALUE"""),"978")</f>
        <v>978</v>
      </c>
      <c r="B727" s="265" t="str">
        <f>IFERROR(__xludf.DUMMYFUNCTION("""COMPUTED_VALUE"""),"Hà Nội")</f>
        <v>Hà Nội</v>
      </c>
      <c r="C727" s="265" t="str">
        <f>IFERROR(__xludf.DUMMYFUNCTION("""COMPUTED_VALUE"""),"Active")</f>
        <v>Active</v>
      </c>
      <c r="D727" s="265" t="str">
        <f>IFERROR(__xludf.DUMMYFUNCTION("""COMPUTED_VALUE"""),"Tài chính &amp; Ngân hàng")</f>
        <v>Tài chính &amp; Ngân hàng</v>
      </c>
      <c r="E727" s="265" t="str">
        <f>IFERROR(__xludf.DUMMYFUNCTION("""COMPUTED_VALUE"""),"TùngLD")</f>
        <v>TùngLD</v>
      </c>
      <c r="F727" s="265" t="str">
        <f>IFERROR(__xludf.DUMMYFUNCTION("""COMPUTED_VALUE"""),"Diamond")</f>
        <v>Diamond</v>
      </c>
      <c r="G727" s="265" t="str">
        <f>IFERROR(__xludf.DUMMYFUNCTION("""COMPUTED_VALUE"""),"Standard")</f>
        <v>Standard</v>
      </c>
      <c r="H727" s="265" t="str">
        <f>IFERROR(__xludf.DUMMYFUNCTION("""COMPUTED_VALUE"""),"Trả sau")</f>
        <v>Trả sau</v>
      </c>
      <c r="I727" s="265" t="str">
        <f>IFERROR(__xludf.DUMMYFUNCTION("""COMPUTED_VALUE"""),"API")</f>
        <v>API</v>
      </c>
      <c r="J727" s="265" t="str">
        <f>IFERROR(__xludf.DUMMYFUNCTION("""COMPUTED_VALUE"""),"Zalo ZNS")</f>
        <v>Zalo ZNS</v>
      </c>
    </row>
    <row r="728">
      <c r="A728" s="265" t="str">
        <f>IFERROR(__xludf.DUMMYFUNCTION("""COMPUTED_VALUE"""),"978")</f>
        <v>978</v>
      </c>
      <c r="B728" s="265" t="str">
        <f>IFERROR(__xludf.DUMMYFUNCTION("""COMPUTED_VALUE"""),"Hà Nội")</f>
        <v>Hà Nội</v>
      </c>
      <c r="C728" s="265" t="str">
        <f>IFERROR(__xludf.DUMMYFUNCTION("""COMPUTED_VALUE"""),"Active")</f>
        <v>Active</v>
      </c>
      <c r="D728" s="265" t="str">
        <f>IFERROR(__xludf.DUMMYFUNCTION("""COMPUTED_VALUE"""),"Tài chính &amp; Ngân hàng")</f>
        <v>Tài chính &amp; Ngân hàng</v>
      </c>
      <c r="E728" s="265" t="str">
        <f>IFERROR(__xludf.DUMMYFUNCTION("""COMPUTED_VALUE"""),"TùngLD")</f>
        <v>TùngLD</v>
      </c>
      <c r="F728" s="265" t="str">
        <f>IFERROR(__xludf.DUMMYFUNCTION("""COMPUTED_VALUE"""),"Diamond")</f>
        <v>Diamond</v>
      </c>
      <c r="G728" s="265" t="str">
        <f>IFERROR(__xludf.DUMMYFUNCTION("""COMPUTED_VALUE"""),"Standard")</f>
        <v>Standard</v>
      </c>
      <c r="H728" s="265" t="str">
        <f>IFERROR(__xludf.DUMMYFUNCTION("""COMPUTED_VALUE"""),"Trả sau")</f>
        <v>Trả sau</v>
      </c>
      <c r="I728" s="265" t="str">
        <f>IFERROR(__xludf.DUMMYFUNCTION("""COMPUTED_VALUE"""),"API")</f>
        <v>API</v>
      </c>
      <c r="J728" s="265" t="str">
        <f>IFERROR(__xludf.DUMMYFUNCTION("""COMPUTED_VALUE"""),"Viber")</f>
        <v>Viber</v>
      </c>
    </row>
    <row r="729">
      <c r="A729" s="265" t="str">
        <f>IFERROR(__xludf.DUMMYFUNCTION("""COMPUTED_VALUE"""),"979")</f>
        <v>979</v>
      </c>
      <c r="B729" s="265" t="str">
        <f>IFERROR(__xludf.DUMMYFUNCTION("""COMPUTED_VALUE"""),"Sài Gòn")</f>
        <v>Sài Gòn</v>
      </c>
      <c r="C729" s="265" t="str">
        <f>IFERROR(__xludf.DUMMYFUNCTION("""COMPUTED_VALUE"""),"Active")</f>
        <v>Active</v>
      </c>
      <c r="D729" s="265" t="str">
        <f>IFERROR(__xludf.DUMMYFUNCTION("""COMPUTED_VALUE"""),"Thực phẩm &amp; Đồ uống")</f>
        <v>Thực phẩm &amp; Đồ uống</v>
      </c>
      <c r="E729" s="265" t="str">
        <f>IFERROR(__xludf.DUMMYFUNCTION("""COMPUTED_VALUE"""),"TrâmNNB")</f>
        <v>TrâmNNB</v>
      </c>
      <c r="F729" s="265" t="str">
        <f>IFERROR(__xludf.DUMMYFUNCTION("""COMPUTED_VALUE"""),"Diamond")</f>
        <v>Diamond</v>
      </c>
      <c r="G729" s="265" t="str">
        <f>IFERROR(__xludf.DUMMYFUNCTION("""COMPUTED_VALUE"""),"Enterprise")</f>
        <v>Enterprise</v>
      </c>
      <c r="H729" s="265" t="str">
        <f>IFERROR(__xludf.DUMMYFUNCTION("""COMPUTED_VALUE"""),"Trả trước")</f>
        <v>Trả trước</v>
      </c>
      <c r="I729" s="265" t="str">
        <f>IFERROR(__xludf.DUMMYFUNCTION("""COMPUTED_VALUE"""),"Portal")</f>
        <v>Portal</v>
      </c>
      <c r="J729" s="265" t="str">
        <f>IFERROR(__xludf.DUMMYFUNCTION("""COMPUTED_VALUE"""),"Zalo ZNS")</f>
        <v>Zalo ZNS</v>
      </c>
    </row>
    <row r="730">
      <c r="A730" s="265" t="str">
        <f>IFERROR(__xludf.DUMMYFUNCTION("""COMPUTED_VALUE"""),"959")</f>
        <v>959</v>
      </c>
      <c r="B730" s="265" t="str">
        <f>IFERROR(__xludf.DUMMYFUNCTION("""COMPUTED_VALUE"""),"Sài Gòn")</f>
        <v>Sài Gòn</v>
      </c>
      <c r="C730" s="265" t="str">
        <f>IFERROR(__xludf.DUMMYFUNCTION("""COMPUTED_VALUE"""),"Active")</f>
        <v>Active</v>
      </c>
      <c r="D730" s="265" t="str">
        <f>IFERROR(__xludf.DUMMYFUNCTION("""COMPUTED_VALUE"""),"Dịch vụ khác")</f>
        <v>Dịch vụ khác</v>
      </c>
      <c r="E730" s="265" t="str">
        <f>IFERROR(__xludf.DUMMYFUNCTION("""COMPUTED_VALUE"""),"TúPHN")</f>
        <v>TúPHN</v>
      </c>
      <c r="F730" s="265" t="str">
        <f>IFERROR(__xludf.DUMMYFUNCTION("""COMPUTED_VALUE"""),"Silver")</f>
        <v>Silver</v>
      </c>
      <c r="G730" s="265" t="str">
        <f>IFERROR(__xludf.DUMMYFUNCTION("""COMPUTED_VALUE"""),"Starter")</f>
        <v>Starter</v>
      </c>
      <c r="H730" s="265" t="str">
        <f>IFERROR(__xludf.DUMMYFUNCTION("""COMPUTED_VALUE"""),"Trả sau")</f>
        <v>Trả sau</v>
      </c>
      <c r="I730" s="265" t="str">
        <f>IFERROR(__xludf.DUMMYFUNCTION("""COMPUTED_VALUE"""),"API")</f>
        <v>API</v>
      </c>
      <c r="J730" s="265" t="str">
        <f>IFERROR(__xludf.DUMMYFUNCTION("""COMPUTED_VALUE"""),"Zalo ZNS")</f>
        <v>Zalo ZNS</v>
      </c>
    </row>
    <row r="731">
      <c r="A731" s="265" t="str">
        <f>IFERROR(__xludf.DUMMYFUNCTION("""COMPUTED_VALUE"""),"968")</f>
        <v>968</v>
      </c>
      <c r="B731" s="265" t="str">
        <f>IFERROR(__xludf.DUMMYFUNCTION("""COMPUTED_VALUE"""),"Sài Gòn")</f>
        <v>Sài Gòn</v>
      </c>
      <c r="C731" s="265" t="str">
        <f>IFERROR(__xludf.DUMMYFUNCTION("""COMPUTED_VALUE"""),"Active")</f>
        <v>Active</v>
      </c>
      <c r="D731" s="265" t="str">
        <f>IFERROR(__xludf.DUMMYFUNCTION("""COMPUTED_VALUE"""),"Dịch vụ khác")</f>
        <v>Dịch vụ khác</v>
      </c>
      <c r="E731" s="265" t="str">
        <f>IFERROR(__xludf.DUMMYFUNCTION("""COMPUTED_VALUE"""),"Không phân công")</f>
        <v>Không phân công</v>
      </c>
      <c r="F731" s="265" t="str">
        <f>IFERROR(__xludf.DUMMYFUNCTION("""COMPUTED_VALUE"""),"Gold")</f>
        <v>Gold</v>
      </c>
      <c r="G731" s="265" t="str">
        <f>IFERROR(__xludf.DUMMYFUNCTION("""COMPUTED_VALUE"""),"Starter")</f>
        <v>Starter</v>
      </c>
      <c r="H731" s="265" t="str">
        <f>IFERROR(__xludf.DUMMYFUNCTION("""COMPUTED_VALUE"""),"Trial")</f>
        <v>Trial</v>
      </c>
      <c r="I731" s="265" t="str">
        <f>IFERROR(__xludf.DUMMYFUNCTION("""COMPUTED_VALUE"""),"API")</f>
        <v>API</v>
      </c>
      <c r="J731" s="265" t="str">
        <f>IFERROR(__xludf.DUMMYFUNCTION("""COMPUTED_VALUE"""),"SMS CSKH")</f>
        <v>SMS CSKH</v>
      </c>
    </row>
    <row r="732">
      <c r="A732" s="265" t="str">
        <f>IFERROR(__xludf.DUMMYFUNCTION("""COMPUTED_VALUE"""),"980")</f>
        <v>980</v>
      </c>
      <c r="B732" s="265" t="str">
        <f>IFERROR(__xludf.DUMMYFUNCTION("""COMPUTED_VALUE"""),"Sài Gòn")</f>
        <v>Sài Gòn</v>
      </c>
      <c r="C732" s="265" t="str">
        <f>IFERROR(__xludf.DUMMYFUNCTION("""COMPUTED_VALUE"""),"Locked")</f>
        <v>Locked</v>
      </c>
      <c r="D732" s="265" t="str">
        <f>IFERROR(__xludf.DUMMYFUNCTION("""COMPUTED_VALUE"""),"Dịch vụ khác")</f>
        <v>Dịch vụ khác</v>
      </c>
      <c r="E732" s="265" t="str">
        <f>IFERROR(__xludf.DUMMYFUNCTION("""COMPUTED_VALUE"""),"Không phân công")</f>
        <v>Không phân công</v>
      </c>
      <c r="F732" s="265" t="str">
        <f>IFERROR(__xludf.DUMMYFUNCTION("""COMPUTED_VALUE"""),"Diamond")</f>
        <v>Diamond</v>
      </c>
      <c r="G732" s="265" t="str">
        <f>IFERROR(__xludf.DUMMYFUNCTION("""COMPUTED_VALUE"""),"Starter")</f>
        <v>Starter</v>
      </c>
      <c r="H732" s="265" t="str">
        <f>IFERROR(__xludf.DUMMYFUNCTION("""COMPUTED_VALUE"""),"Trial")</f>
        <v>Trial</v>
      </c>
      <c r="I732" s="265" t="str">
        <f>IFERROR(__xludf.DUMMYFUNCTION("""COMPUTED_VALUE"""),"API")</f>
        <v>API</v>
      </c>
      <c r="J732" s="265" t="str">
        <f>IFERROR(__xludf.DUMMYFUNCTION("""COMPUTED_VALUE"""),"SMS CSKH")</f>
        <v>SMS CSKH</v>
      </c>
    </row>
    <row r="733">
      <c r="A733" s="265" t="str">
        <f>IFERROR(__xludf.DUMMYFUNCTION("""COMPUTED_VALUE"""),"981")</f>
        <v>981</v>
      </c>
      <c r="B733" s="265" t="str">
        <f>IFERROR(__xludf.DUMMYFUNCTION("""COMPUTED_VALUE"""),"Sài Gòn")</f>
        <v>Sài Gòn</v>
      </c>
      <c r="C733" s="265" t="str">
        <f>IFERROR(__xludf.DUMMYFUNCTION("""COMPUTED_VALUE"""),"Active")</f>
        <v>Active</v>
      </c>
      <c r="D733" s="265" t="str">
        <f>IFERROR(__xludf.DUMMYFUNCTION("""COMPUTED_VALUE"""),"Truyền thông &amp; Giải trí")</f>
        <v>Truyền thông &amp; Giải trí</v>
      </c>
      <c r="E733" s="265" t="str">
        <f>IFERROR(__xludf.DUMMYFUNCTION("""COMPUTED_VALUE"""),"Không phân công")</f>
        <v>Không phân công</v>
      </c>
      <c r="F733" s="265" t="str">
        <f>IFERROR(__xludf.DUMMYFUNCTION("""COMPUTED_VALUE"""),"Diamond")</f>
        <v>Diamond</v>
      </c>
      <c r="G733" s="265" t="str">
        <f>IFERROR(__xludf.DUMMYFUNCTION("""COMPUTED_VALUE"""),"Starter")</f>
        <v>Starter</v>
      </c>
      <c r="H733" s="265" t="str">
        <f>IFERROR(__xludf.DUMMYFUNCTION("""COMPUTED_VALUE"""),"Trả trước")</f>
        <v>Trả trước</v>
      </c>
      <c r="I733" s="265" t="str">
        <f>IFERROR(__xludf.DUMMYFUNCTION("""COMPUTED_VALUE"""),"API")</f>
        <v>API</v>
      </c>
      <c r="J733" s="265" t="str">
        <f>IFERROR(__xludf.DUMMYFUNCTION("""COMPUTED_VALUE"""),"SMS CSKH")</f>
        <v>SMS CSKH</v>
      </c>
    </row>
    <row r="734">
      <c r="A734" s="265" t="str">
        <f>IFERROR(__xludf.DUMMYFUNCTION("""COMPUTED_VALUE"""),"982")</f>
        <v>982</v>
      </c>
      <c r="B734" s="265" t="str">
        <f>IFERROR(__xludf.DUMMYFUNCTION("""COMPUTED_VALUE"""),"Hà Nội")</f>
        <v>Hà Nội</v>
      </c>
      <c r="C734" s="265" t="str">
        <f>IFERROR(__xludf.DUMMYFUNCTION("""COMPUTED_VALUE"""),"Locked")</f>
        <v>Locked</v>
      </c>
      <c r="D734" s="265" t="str">
        <f>IFERROR(__xludf.DUMMYFUNCTION("""COMPUTED_VALUE"""),"Vận tải &amp; logistics")</f>
        <v>Vận tải &amp; logistics</v>
      </c>
      <c r="E734" s="265" t="str">
        <f>IFERROR(__xludf.DUMMYFUNCTION("""COMPUTED_VALUE"""),"Không phân công")</f>
        <v>Không phân công</v>
      </c>
      <c r="F734" s="265" t="str">
        <f>IFERROR(__xludf.DUMMYFUNCTION("""COMPUTED_VALUE"""),"Sale chưa cung cấp")</f>
        <v>Sale chưa cung cấp</v>
      </c>
      <c r="G734" s="265" t="str">
        <f>IFERROR(__xludf.DUMMYFUNCTION("""COMPUTED_VALUE"""),"Starter")</f>
        <v>Starter</v>
      </c>
      <c r="H734" s="265" t="str">
        <f>IFERROR(__xludf.DUMMYFUNCTION("""COMPUTED_VALUE"""),"Trả sau")</f>
        <v>Trả sau</v>
      </c>
      <c r="I734" s="265" t="str">
        <f>IFERROR(__xludf.DUMMYFUNCTION("""COMPUTED_VALUE"""),"API")</f>
        <v>API</v>
      </c>
      <c r="J734" s="265" t="str">
        <f>IFERROR(__xludf.DUMMYFUNCTION("""COMPUTED_VALUE"""),"SMS CSKH")</f>
        <v>SMS CSKH</v>
      </c>
    </row>
    <row r="735">
      <c r="A735" s="265" t="str">
        <f>IFERROR(__xludf.DUMMYFUNCTION("""COMPUTED_VALUE"""),"983")</f>
        <v>983</v>
      </c>
      <c r="B735" s="265" t="str">
        <f>IFERROR(__xludf.DUMMYFUNCTION("""COMPUTED_VALUE"""),"Sài Gòn")</f>
        <v>Sài Gòn</v>
      </c>
      <c r="C735" s="265" t="str">
        <f>IFERROR(__xludf.DUMMYFUNCTION("""COMPUTED_VALUE"""),"Locked")</f>
        <v>Locked</v>
      </c>
      <c r="D735" s="265" t="str">
        <f>IFERROR(__xludf.DUMMYFUNCTION("""COMPUTED_VALUE"""),"Nhà hàng &amp; Quán")</f>
        <v>Nhà hàng &amp; Quán</v>
      </c>
      <c r="E735" s="265" t="str">
        <f>IFERROR(__xludf.DUMMYFUNCTION("""COMPUTED_VALUE"""),"Không phân công")</f>
        <v>Không phân công</v>
      </c>
      <c r="F735" s="265" t="str">
        <f>IFERROR(__xludf.DUMMYFUNCTION("""COMPUTED_VALUE"""),"Sale chưa cung cấp")</f>
        <v>Sale chưa cung cấp</v>
      </c>
      <c r="G735" s="265" t="str">
        <f>IFERROR(__xludf.DUMMYFUNCTION("""COMPUTED_VALUE"""),"Starter")</f>
        <v>Starter</v>
      </c>
      <c r="H735" s="265" t="str">
        <f>IFERROR(__xludf.DUMMYFUNCTION("""COMPUTED_VALUE"""),"Trả sau")</f>
        <v>Trả sau</v>
      </c>
      <c r="I735" s="265" t="str">
        <f>IFERROR(__xludf.DUMMYFUNCTION("""COMPUTED_VALUE"""),"API")</f>
        <v>API</v>
      </c>
      <c r="J735" s="265" t="str">
        <f>IFERROR(__xludf.DUMMYFUNCTION("""COMPUTED_VALUE"""),"SMS CSKH")</f>
        <v>SMS CSKH</v>
      </c>
    </row>
    <row r="736">
      <c r="A736" s="265" t="str">
        <f>IFERROR(__xludf.DUMMYFUNCTION("""COMPUTED_VALUE"""),"984")</f>
        <v>984</v>
      </c>
      <c r="B736" s="265" t="str">
        <f>IFERROR(__xludf.DUMMYFUNCTION("""COMPUTED_VALUE"""),"Sài Gòn")</f>
        <v>Sài Gòn</v>
      </c>
      <c r="C736" s="265" t="str">
        <f>IFERROR(__xludf.DUMMYFUNCTION("""COMPUTED_VALUE"""),"Locked")</f>
        <v>Locked</v>
      </c>
      <c r="D736" s="265" t="str">
        <f>IFERROR(__xludf.DUMMYFUNCTION("""COMPUTED_VALUE"""),"Bất động sản")</f>
        <v>Bất động sản</v>
      </c>
      <c r="E736" s="265" t="str">
        <f>IFERROR(__xludf.DUMMYFUNCTION("""COMPUTED_VALUE"""),"Không phân công")</f>
        <v>Không phân công</v>
      </c>
      <c r="F736" s="265" t="str">
        <f>IFERROR(__xludf.DUMMYFUNCTION("""COMPUTED_VALUE"""),"Sale chưa cung cấp")</f>
        <v>Sale chưa cung cấp</v>
      </c>
      <c r="G736" s="265" t="str">
        <f>IFERROR(__xludf.DUMMYFUNCTION("""COMPUTED_VALUE"""),"Starter")</f>
        <v>Starter</v>
      </c>
      <c r="H736" s="265" t="str">
        <f>IFERROR(__xludf.DUMMYFUNCTION("""COMPUTED_VALUE"""),"Trả sau")</f>
        <v>Trả sau</v>
      </c>
      <c r="I736" s="265" t="str">
        <f>IFERROR(__xludf.DUMMYFUNCTION("""COMPUTED_VALUE"""),"API")</f>
        <v>API</v>
      </c>
      <c r="J736" s="265" t="str">
        <f>IFERROR(__xludf.DUMMYFUNCTION("""COMPUTED_VALUE"""),"SMS CSKH")</f>
        <v>SMS CSKH</v>
      </c>
    </row>
    <row r="737">
      <c r="A737" s="265" t="str">
        <f>IFERROR(__xludf.DUMMYFUNCTION("""COMPUTED_VALUE"""),"985")</f>
        <v>985</v>
      </c>
      <c r="B737" s="265" t="str">
        <f>IFERROR(__xludf.DUMMYFUNCTION("""COMPUTED_VALUE"""),"Hà Nội")</f>
        <v>Hà Nội</v>
      </c>
      <c r="C737" s="265" t="str">
        <f>IFERROR(__xludf.DUMMYFUNCTION("""COMPUTED_VALUE"""),"Locked")</f>
        <v>Locked</v>
      </c>
      <c r="D737" s="265" t="str">
        <f>IFERROR(__xludf.DUMMYFUNCTION("""COMPUTED_VALUE"""),"Sale chưa cung cấp")</f>
        <v>Sale chưa cung cấp</v>
      </c>
      <c r="E737" s="265" t="str">
        <f>IFERROR(__xludf.DUMMYFUNCTION("""COMPUTED_VALUE"""),"Không phân công")</f>
        <v>Không phân công</v>
      </c>
      <c r="F737" s="265" t="str">
        <f>IFERROR(__xludf.DUMMYFUNCTION("""COMPUTED_VALUE"""),"Sale chưa cung cấp")</f>
        <v>Sale chưa cung cấp</v>
      </c>
      <c r="G737" s="265" t="str">
        <f>IFERROR(__xludf.DUMMYFUNCTION("""COMPUTED_VALUE"""),"Starter")</f>
        <v>Starter</v>
      </c>
      <c r="H737" s="265" t="str">
        <f>IFERROR(__xludf.DUMMYFUNCTION("""COMPUTED_VALUE"""),"Trả sau")</f>
        <v>Trả sau</v>
      </c>
      <c r="I737" s="265" t="str">
        <f>IFERROR(__xludf.DUMMYFUNCTION("""COMPUTED_VALUE"""),"API")</f>
        <v>API</v>
      </c>
      <c r="J737" s="265" t="str">
        <f>IFERROR(__xludf.DUMMYFUNCTION("""COMPUTED_VALUE"""),"SMS CSKH")</f>
        <v>SMS CSKH</v>
      </c>
    </row>
    <row r="738">
      <c r="A738" s="265" t="str">
        <f>IFERROR(__xludf.DUMMYFUNCTION("""COMPUTED_VALUE"""),"986")</f>
        <v>986</v>
      </c>
      <c r="B738" s="265" t="str">
        <f>IFERROR(__xludf.DUMMYFUNCTION("""COMPUTED_VALUE"""),"Hà Nội")</f>
        <v>Hà Nội</v>
      </c>
      <c r="C738" s="265" t="str">
        <f>IFERROR(__xludf.DUMMYFUNCTION("""COMPUTED_VALUE"""),"Locked")</f>
        <v>Locked</v>
      </c>
      <c r="D738" s="265" t="str">
        <f>IFERROR(__xludf.DUMMYFUNCTION("""COMPUTED_VALUE"""),"Ô tô &amp; Xe máy")</f>
        <v>Ô tô &amp; Xe máy</v>
      </c>
      <c r="E738" s="265" t="str">
        <f>IFERROR(__xludf.DUMMYFUNCTION("""COMPUTED_VALUE"""),"Không phân công")</f>
        <v>Không phân công</v>
      </c>
      <c r="F738" s="265" t="str">
        <f>IFERROR(__xludf.DUMMYFUNCTION("""COMPUTED_VALUE"""),"Sale chưa cung cấp")</f>
        <v>Sale chưa cung cấp</v>
      </c>
      <c r="G738" s="265" t="str">
        <f>IFERROR(__xludf.DUMMYFUNCTION("""COMPUTED_VALUE"""),"Starter")</f>
        <v>Starter</v>
      </c>
      <c r="H738" s="265" t="str">
        <f>IFERROR(__xludf.DUMMYFUNCTION("""COMPUTED_VALUE"""),"Trả sau")</f>
        <v>Trả sau</v>
      </c>
      <c r="I738" s="265" t="str">
        <f>IFERROR(__xludf.DUMMYFUNCTION("""COMPUTED_VALUE"""),"API")</f>
        <v>API</v>
      </c>
      <c r="J738" s="265" t="str">
        <f>IFERROR(__xludf.DUMMYFUNCTION("""COMPUTED_VALUE"""),"SMS CSKH")</f>
        <v>SMS CSKH</v>
      </c>
    </row>
    <row r="739">
      <c r="A739" s="265" t="str">
        <f>IFERROR(__xludf.DUMMYFUNCTION("""COMPUTED_VALUE"""),"987")</f>
        <v>987</v>
      </c>
      <c r="B739" s="265" t="str">
        <f>IFERROR(__xludf.DUMMYFUNCTION("""COMPUTED_VALUE"""),"Hà Nội")</f>
        <v>Hà Nội</v>
      </c>
      <c r="C739" s="265" t="str">
        <f>IFERROR(__xludf.DUMMYFUNCTION("""COMPUTED_VALUE"""),"Locked")</f>
        <v>Locked</v>
      </c>
      <c r="D739" s="265" t="str">
        <f>IFERROR(__xludf.DUMMYFUNCTION("""COMPUTED_VALUE"""),"Sale chưa cung cấp")</f>
        <v>Sale chưa cung cấp</v>
      </c>
      <c r="E739" s="265" t="str">
        <f>IFERROR(__xludf.DUMMYFUNCTION("""COMPUTED_VALUE"""),"Không phân công")</f>
        <v>Không phân công</v>
      </c>
      <c r="F739" s="265" t="str">
        <f>IFERROR(__xludf.DUMMYFUNCTION("""COMPUTED_VALUE"""),"Sale chưa cung cấp")</f>
        <v>Sale chưa cung cấp</v>
      </c>
      <c r="G739" s="265" t="str">
        <f>IFERROR(__xludf.DUMMYFUNCTION("""COMPUTED_VALUE"""),"Starter")</f>
        <v>Starter</v>
      </c>
      <c r="H739" s="265" t="str">
        <f>IFERROR(__xludf.DUMMYFUNCTION("""COMPUTED_VALUE"""),"Trả sau")</f>
        <v>Trả sau</v>
      </c>
      <c r="I739" s="265" t="str">
        <f>IFERROR(__xludf.DUMMYFUNCTION("""COMPUTED_VALUE"""),"API")</f>
        <v>API</v>
      </c>
      <c r="J739" s="265" t="str">
        <f>IFERROR(__xludf.DUMMYFUNCTION("""COMPUTED_VALUE"""),"SMS CSKH")</f>
        <v>SMS CSKH</v>
      </c>
    </row>
    <row r="740">
      <c r="A740" s="265" t="str">
        <f>IFERROR(__xludf.DUMMYFUNCTION("""COMPUTED_VALUE"""),"989")</f>
        <v>989</v>
      </c>
      <c r="B740" s="265" t="str">
        <f>IFERROR(__xludf.DUMMYFUNCTION("""COMPUTED_VALUE"""),"Hà Nội")</f>
        <v>Hà Nội</v>
      </c>
      <c r="C740" s="265" t="str">
        <f>IFERROR(__xludf.DUMMYFUNCTION("""COMPUTED_VALUE"""),"Locked")</f>
        <v>Locked</v>
      </c>
      <c r="D740" s="265" t="str">
        <f>IFERROR(__xludf.DUMMYFUNCTION("""COMPUTED_VALUE"""),"Viễn thông")</f>
        <v>Viễn thông</v>
      </c>
      <c r="E740" s="265" t="str">
        <f>IFERROR(__xludf.DUMMYFUNCTION("""COMPUTED_VALUE"""),"Không phân công")</f>
        <v>Không phân công</v>
      </c>
      <c r="F740" s="265" t="str">
        <f>IFERROR(__xludf.DUMMYFUNCTION("""COMPUTED_VALUE"""),"Sale chưa cung cấp")</f>
        <v>Sale chưa cung cấp</v>
      </c>
      <c r="G740" s="265" t="str">
        <f>IFERROR(__xludf.DUMMYFUNCTION("""COMPUTED_VALUE"""),"Starter")</f>
        <v>Starter</v>
      </c>
      <c r="H740" s="265" t="str">
        <f>IFERROR(__xludf.DUMMYFUNCTION("""COMPUTED_VALUE"""),"Trả sau")</f>
        <v>Trả sau</v>
      </c>
      <c r="I740" s="265" t="str">
        <f>IFERROR(__xludf.DUMMYFUNCTION("""COMPUTED_VALUE"""),"API")</f>
        <v>API</v>
      </c>
      <c r="J740" s="265" t="str">
        <f>IFERROR(__xludf.DUMMYFUNCTION("""COMPUTED_VALUE"""),"SMS CSKH")</f>
        <v>SMS CSKH</v>
      </c>
    </row>
    <row r="741">
      <c r="A741" s="265" t="str">
        <f>IFERROR(__xludf.DUMMYFUNCTION("""COMPUTED_VALUE"""),"988")</f>
        <v>988</v>
      </c>
      <c r="B741" s="265" t="str">
        <f>IFERROR(__xludf.DUMMYFUNCTION("""COMPUTED_VALUE"""),"Hà Nội")</f>
        <v>Hà Nội</v>
      </c>
      <c r="C741" s="265" t="str">
        <f>IFERROR(__xludf.DUMMYFUNCTION("""COMPUTED_VALUE"""),"Active")</f>
        <v>Active</v>
      </c>
      <c r="D741" s="265" t="str">
        <f>IFERROR(__xludf.DUMMYFUNCTION("""COMPUTED_VALUE"""),"Viễn thông")</f>
        <v>Viễn thông</v>
      </c>
      <c r="E741" s="265" t="str">
        <f>IFERROR(__xludf.DUMMYFUNCTION("""COMPUTED_VALUE"""),"Không phân công")</f>
        <v>Không phân công</v>
      </c>
      <c r="F741" s="265" t="str">
        <f>IFERROR(__xludf.DUMMYFUNCTION("""COMPUTED_VALUE"""),"Sale chưa cung cấp")</f>
        <v>Sale chưa cung cấp</v>
      </c>
      <c r="G741" s="265" t="str">
        <f>IFERROR(__xludf.DUMMYFUNCTION("""COMPUTED_VALUE"""),"Starter")</f>
        <v>Starter</v>
      </c>
      <c r="H741" s="265" t="str">
        <f>IFERROR(__xludf.DUMMYFUNCTION("""COMPUTED_VALUE"""),"Trả sau")</f>
        <v>Trả sau</v>
      </c>
      <c r="I741" s="265" t="str">
        <f>IFERROR(__xludf.DUMMYFUNCTION("""COMPUTED_VALUE"""),"API")</f>
        <v>API</v>
      </c>
      <c r="J741" s="265" t="str">
        <f>IFERROR(__xludf.DUMMYFUNCTION("""COMPUTED_VALUE"""),"SMS CSKH")</f>
        <v>SMS CSKH</v>
      </c>
    </row>
    <row r="742">
      <c r="A742" s="265" t="str">
        <f>IFERROR(__xludf.DUMMYFUNCTION("""COMPUTED_VALUE"""),"990")</f>
        <v>990</v>
      </c>
      <c r="B742" s="265" t="str">
        <f>IFERROR(__xludf.DUMMYFUNCTION("""COMPUTED_VALUE"""),"Sài Gòn")</f>
        <v>Sài Gòn</v>
      </c>
      <c r="C742" s="265" t="str">
        <f>IFERROR(__xludf.DUMMYFUNCTION("""COMPUTED_VALUE"""),"Locked")</f>
        <v>Locked</v>
      </c>
      <c r="D742" s="265" t="str">
        <f>IFERROR(__xludf.DUMMYFUNCTION("""COMPUTED_VALUE"""),"Sale chưa cung cấp")</f>
        <v>Sale chưa cung cấp</v>
      </c>
      <c r="E742" s="265" t="str">
        <f>IFERROR(__xludf.DUMMYFUNCTION("""COMPUTED_VALUE"""),"Không phân công")</f>
        <v>Không phân công</v>
      </c>
      <c r="F742" s="265" t="str">
        <f>IFERROR(__xludf.DUMMYFUNCTION("""COMPUTED_VALUE"""),"Sale chưa cung cấp")</f>
        <v>Sale chưa cung cấp</v>
      </c>
      <c r="G742" s="265" t="str">
        <f>IFERROR(__xludf.DUMMYFUNCTION("""COMPUTED_VALUE"""),"Starter")</f>
        <v>Starter</v>
      </c>
      <c r="H742" s="265" t="str">
        <f>IFERROR(__xludf.DUMMYFUNCTION("""COMPUTED_VALUE"""),"Trả sau")</f>
        <v>Trả sau</v>
      </c>
      <c r="I742" s="265" t="str">
        <f>IFERROR(__xludf.DUMMYFUNCTION("""COMPUTED_VALUE"""),"API")</f>
        <v>API</v>
      </c>
      <c r="J742" s="265" t="str">
        <f>IFERROR(__xludf.DUMMYFUNCTION("""COMPUTED_VALUE"""),"SMS CSKH")</f>
        <v>SMS CSKH</v>
      </c>
    </row>
    <row r="743">
      <c r="A743" s="265" t="str">
        <f>IFERROR(__xludf.DUMMYFUNCTION("""COMPUTED_VALUE"""),"991")</f>
        <v>991</v>
      </c>
      <c r="B743" s="265" t="str">
        <f>IFERROR(__xludf.DUMMYFUNCTION("""COMPUTED_VALUE"""),"Hà Nội")</f>
        <v>Hà Nội</v>
      </c>
      <c r="C743" s="265" t="str">
        <f>IFERROR(__xludf.DUMMYFUNCTION("""COMPUTED_VALUE"""),"Locked")</f>
        <v>Locked</v>
      </c>
      <c r="D743" s="265" t="str">
        <f>IFERROR(__xludf.DUMMYFUNCTION("""COMPUTED_VALUE"""),"Viễn thông")</f>
        <v>Viễn thông</v>
      </c>
      <c r="E743" s="265" t="str">
        <f>IFERROR(__xludf.DUMMYFUNCTION("""COMPUTED_VALUE"""),"Không phân công")</f>
        <v>Không phân công</v>
      </c>
      <c r="F743" s="265" t="str">
        <f>IFERROR(__xludf.DUMMYFUNCTION("""COMPUTED_VALUE"""),"Sale chưa cung cấp")</f>
        <v>Sale chưa cung cấp</v>
      </c>
      <c r="G743" s="265" t="str">
        <f>IFERROR(__xludf.DUMMYFUNCTION("""COMPUTED_VALUE"""),"Starter")</f>
        <v>Starter</v>
      </c>
      <c r="H743" s="265" t="str">
        <f>IFERROR(__xludf.DUMMYFUNCTION("""COMPUTED_VALUE"""),"Trả sau")</f>
        <v>Trả sau</v>
      </c>
      <c r="I743" s="265" t="str">
        <f>IFERROR(__xludf.DUMMYFUNCTION("""COMPUTED_VALUE"""),"API")</f>
        <v>API</v>
      </c>
      <c r="J743" s="265" t="str">
        <f>IFERROR(__xludf.DUMMYFUNCTION("""COMPUTED_VALUE"""),"SMS CSKH")</f>
        <v>SMS CSKH</v>
      </c>
    </row>
    <row r="744">
      <c r="A744" s="265" t="str">
        <f>IFERROR(__xludf.DUMMYFUNCTION("""COMPUTED_VALUE"""),"992")</f>
        <v>992</v>
      </c>
      <c r="B744" s="265" t="str">
        <f>IFERROR(__xludf.DUMMYFUNCTION("""COMPUTED_VALUE"""),"Hà Nội")</f>
        <v>Hà Nội</v>
      </c>
      <c r="C744" s="265" t="str">
        <f>IFERROR(__xludf.DUMMYFUNCTION("""COMPUTED_VALUE"""),"Locked")</f>
        <v>Locked</v>
      </c>
      <c r="D744" s="265" t="str">
        <f>IFERROR(__xludf.DUMMYFUNCTION("""COMPUTED_VALUE"""),"Sale chưa cung cấp")</f>
        <v>Sale chưa cung cấp</v>
      </c>
      <c r="E744" s="265" t="str">
        <f>IFERROR(__xludf.DUMMYFUNCTION("""COMPUTED_VALUE"""),"Không phân công")</f>
        <v>Không phân công</v>
      </c>
      <c r="F744" s="265" t="str">
        <f>IFERROR(__xludf.DUMMYFUNCTION("""COMPUTED_VALUE"""),"Sale chưa cung cấp")</f>
        <v>Sale chưa cung cấp</v>
      </c>
      <c r="G744" s="265" t="str">
        <f>IFERROR(__xludf.DUMMYFUNCTION("""COMPUTED_VALUE"""),"Starter")</f>
        <v>Starter</v>
      </c>
      <c r="H744" s="265" t="str">
        <f>IFERROR(__xludf.DUMMYFUNCTION("""COMPUTED_VALUE"""),"Trả sau")</f>
        <v>Trả sau</v>
      </c>
      <c r="I744" s="265" t="str">
        <f>IFERROR(__xludf.DUMMYFUNCTION("""COMPUTED_VALUE"""),"API")</f>
        <v>API</v>
      </c>
      <c r="J744" s="265" t="str">
        <f>IFERROR(__xludf.DUMMYFUNCTION("""COMPUTED_VALUE"""),"SMS CSKH")</f>
        <v>SMS CSKH</v>
      </c>
    </row>
    <row r="745">
      <c r="A745" s="265" t="str">
        <f>IFERROR(__xludf.DUMMYFUNCTION("""COMPUTED_VALUE"""),"993")</f>
        <v>993</v>
      </c>
      <c r="B745" s="265" t="str">
        <f>IFERROR(__xludf.DUMMYFUNCTION("""COMPUTED_VALUE"""),"Hà Nội")</f>
        <v>Hà Nội</v>
      </c>
      <c r="C745" s="265" t="str">
        <f>IFERROR(__xludf.DUMMYFUNCTION("""COMPUTED_VALUE"""),"Locked")</f>
        <v>Locked</v>
      </c>
      <c r="D745" s="265" t="str">
        <f>IFERROR(__xludf.DUMMYFUNCTION("""COMPUTED_VALUE"""),"Viễn thông")</f>
        <v>Viễn thông</v>
      </c>
      <c r="E745" s="265" t="str">
        <f>IFERROR(__xludf.DUMMYFUNCTION("""COMPUTED_VALUE"""),"Không phân công")</f>
        <v>Không phân công</v>
      </c>
      <c r="F745" s="265" t="str">
        <f>IFERROR(__xludf.DUMMYFUNCTION("""COMPUTED_VALUE"""),"Sale chưa cung cấp")</f>
        <v>Sale chưa cung cấp</v>
      </c>
      <c r="G745" s="265" t="str">
        <f>IFERROR(__xludf.DUMMYFUNCTION("""COMPUTED_VALUE"""),"Starter")</f>
        <v>Starter</v>
      </c>
      <c r="H745" s="265" t="str">
        <f>IFERROR(__xludf.DUMMYFUNCTION("""COMPUTED_VALUE"""),"Trả sau")</f>
        <v>Trả sau</v>
      </c>
      <c r="I745" s="265" t="str">
        <f>IFERROR(__xludf.DUMMYFUNCTION("""COMPUTED_VALUE"""),"API")</f>
        <v>API</v>
      </c>
      <c r="J745" s="265" t="str">
        <f>IFERROR(__xludf.DUMMYFUNCTION("""COMPUTED_VALUE"""),"SMS CSKH")</f>
        <v>SMS CSKH</v>
      </c>
    </row>
    <row r="746">
      <c r="A746" s="265" t="str">
        <f>IFERROR(__xludf.DUMMYFUNCTION("""COMPUTED_VALUE"""),"994")</f>
        <v>994</v>
      </c>
      <c r="B746" s="265" t="str">
        <f>IFERROR(__xludf.DUMMYFUNCTION("""COMPUTED_VALUE"""),"Hà Nội")</f>
        <v>Hà Nội</v>
      </c>
      <c r="C746" s="265" t="str">
        <f>IFERROR(__xludf.DUMMYFUNCTION("""COMPUTED_VALUE"""),"Locked")</f>
        <v>Locked</v>
      </c>
      <c r="D746" s="265" t="str">
        <f>IFERROR(__xludf.DUMMYFUNCTION("""COMPUTED_VALUE"""),"Dịch vụ khác")</f>
        <v>Dịch vụ khác</v>
      </c>
      <c r="E746" s="265" t="str">
        <f>IFERROR(__xludf.DUMMYFUNCTION("""COMPUTED_VALUE"""),"Không phân công")</f>
        <v>Không phân công</v>
      </c>
      <c r="F746" s="265" t="str">
        <f>IFERROR(__xludf.DUMMYFUNCTION("""COMPUTED_VALUE"""),"Sale chưa cung cấp")</f>
        <v>Sale chưa cung cấp</v>
      </c>
      <c r="G746" s="265" t="str">
        <f>IFERROR(__xludf.DUMMYFUNCTION("""COMPUTED_VALUE"""),"Starter")</f>
        <v>Starter</v>
      </c>
      <c r="H746" s="265" t="str">
        <f>IFERROR(__xludf.DUMMYFUNCTION("""COMPUTED_VALUE"""),"Trả sau")</f>
        <v>Trả sau</v>
      </c>
      <c r="I746" s="265" t="str">
        <f>IFERROR(__xludf.DUMMYFUNCTION("""COMPUTED_VALUE"""),"API")</f>
        <v>API</v>
      </c>
      <c r="J746" s="265" t="str">
        <f>IFERROR(__xludf.DUMMYFUNCTION("""COMPUTED_VALUE"""),"SMS CSKH")</f>
        <v>SMS CSKH</v>
      </c>
    </row>
    <row r="747">
      <c r="A747" s="265" t="str">
        <f>IFERROR(__xludf.DUMMYFUNCTION("""COMPUTED_VALUE"""),"995")</f>
        <v>995</v>
      </c>
      <c r="B747" s="265" t="str">
        <f>IFERROR(__xludf.DUMMYFUNCTION("""COMPUTED_VALUE"""),"Hà Nội")</f>
        <v>Hà Nội</v>
      </c>
      <c r="C747" s="265" t="str">
        <f>IFERROR(__xludf.DUMMYFUNCTION("""COMPUTED_VALUE"""),"Locked")</f>
        <v>Locked</v>
      </c>
      <c r="D747" s="265" t="str">
        <f>IFERROR(__xludf.DUMMYFUNCTION("""COMPUTED_VALUE"""),"Viễn thông")</f>
        <v>Viễn thông</v>
      </c>
      <c r="E747" s="265" t="str">
        <f>IFERROR(__xludf.DUMMYFUNCTION("""COMPUTED_VALUE"""),"Không phân công")</f>
        <v>Không phân công</v>
      </c>
      <c r="F747" s="265" t="str">
        <f>IFERROR(__xludf.DUMMYFUNCTION("""COMPUTED_VALUE"""),"Sale chưa cung cấp")</f>
        <v>Sale chưa cung cấp</v>
      </c>
      <c r="G747" s="265" t="str">
        <f>IFERROR(__xludf.DUMMYFUNCTION("""COMPUTED_VALUE"""),"Starter")</f>
        <v>Starter</v>
      </c>
      <c r="H747" s="265" t="str">
        <f>IFERROR(__xludf.DUMMYFUNCTION("""COMPUTED_VALUE"""),"Trả sau")</f>
        <v>Trả sau</v>
      </c>
      <c r="I747" s="265" t="str">
        <f>IFERROR(__xludf.DUMMYFUNCTION("""COMPUTED_VALUE"""),"API")</f>
        <v>API</v>
      </c>
      <c r="J747" s="265" t="str">
        <f>IFERROR(__xludf.DUMMYFUNCTION("""COMPUTED_VALUE"""),"SMS CSKH")</f>
        <v>SMS CSKH</v>
      </c>
    </row>
    <row r="748">
      <c r="A748" s="265" t="str">
        <f>IFERROR(__xludf.DUMMYFUNCTION("""COMPUTED_VALUE"""),"996")</f>
        <v>996</v>
      </c>
      <c r="B748" s="265" t="str">
        <f>IFERROR(__xludf.DUMMYFUNCTION("""COMPUTED_VALUE"""),"Sài Gòn")</f>
        <v>Sài Gòn</v>
      </c>
      <c r="C748" s="265" t="str">
        <f>IFERROR(__xludf.DUMMYFUNCTION("""COMPUTED_VALUE"""),"Active")</f>
        <v>Active</v>
      </c>
      <c r="D748" s="265" t="str">
        <f>IFERROR(__xludf.DUMMYFUNCTION("""COMPUTED_VALUE"""),"Dịch vụ khác")</f>
        <v>Dịch vụ khác</v>
      </c>
      <c r="E748" s="265" t="str">
        <f>IFERROR(__xludf.DUMMYFUNCTION("""COMPUTED_VALUE"""),"Không phân công")</f>
        <v>Không phân công</v>
      </c>
      <c r="F748" s="265" t="str">
        <f>IFERROR(__xludf.DUMMYFUNCTION("""COMPUTED_VALUE"""),"Silver")</f>
        <v>Silver</v>
      </c>
      <c r="G748" s="265" t="str">
        <f>IFERROR(__xludf.DUMMYFUNCTION("""COMPUTED_VALUE"""),"Standard")</f>
        <v>Standard</v>
      </c>
      <c r="H748" s="265" t="str">
        <f>IFERROR(__xludf.DUMMYFUNCTION("""COMPUTED_VALUE"""),"Trả sau")</f>
        <v>Trả sau</v>
      </c>
      <c r="I748" s="265" t="str">
        <f>IFERROR(__xludf.DUMMYFUNCTION("""COMPUTED_VALUE"""),"Portal")</f>
        <v>Portal</v>
      </c>
      <c r="J748" s="265" t="str">
        <f>IFERROR(__xludf.DUMMYFUNCTION("""COMPUTED_VALUE"""),"SMS QC")</f>
        <v>SMS QC</v>
      </c>
    </row>
    <row r="749">
      <c r="A749" s="265" t="str">
        <f>IFERROR(__xludf.DUMMYFUNCTION("""COMPUTED_VALUE"""),"997")</f>
        <v>997</v>
      </c>
      <c r="B749" s="265" t="str">
        <f>IFERROR(__xludf.DUMMYFUNCTION("""COMPUTED_VALUE"""),"Hà Nội")</f>
        <v>Hà Nội</v>
      </c>
      <c r="C749" s="265" t="str">
        <f>IFERROR(__xludf.DUMMYFUNCTION("""COMPUTED_VALUE"""),"Locked")</f>
        <v>Locked</v>
      </c>
      <c r="D749" s="265" t="str">
        <f>IFERROR(__xludf.DUMMYFUNCTION("""COMPUTED_VALUE"""),"Dịch vụ khác")</f>
        <v>Dịch vụ khác</v>
      </c>
      <c r="E749" s="265" t="str">
        <f>IFERROR(__xludf.DUMMYFUNCTION("""COMPUTED_VALUE"""),"Không phân công")</f>
        <v>Không phân công</v>
      </c>
      <c r="F749" s="265" t="str">
        <f>IFERROR(__xludf.DUMMYFUNCTION("""COMPUTED_VALUE"""),"Sale chưa cung cấp")</f>
        <v>Sale chưa cung cấp</v>
      </c>
      <c r="G749" s="265" t="str">
        <f>IFERROR(__xludf.DUMMYFUNCTION("""COMPUTED_VALUE"""),"Starter")</f>
        <v>Starter</v>
      </c>
      <c r="H749" s="265" t="str">
        <f>IFERROR(__xludf.DUMMYFUNCTION("""COMPUTED_VALUE"""),"Trả sau")</f>
        <v>Trả sau</v>
      </c>
      <c r="I749" s="265" t="str">
        <f>IFERROR(__xludf.DUMMYFUNCTION("""COMPUTED_VALUE"""),"API")</f>
        <v>API</v>
      </c>
      <c r="J749" s="265" t="str">
        <f>IFERROR(__xludf.DUMMYFUNCTION("""COMPUTED_VALUE"""),"SMS CSKH")</f>
        <v>SMS CSKH</v>
      </c>
    </row>
    <row r="750">
      <c r="A750" s="265" t="str">
        <f>IFERROR(__xludf.DUMMYFUNCTION("""COMPUTED_VALUE"""),"998")</f>
        <v>998</v>
      </c>
      <c r="B750" s="265" t="str">
        <f>IFERROR(__xludf.DUMMYFUNCTION("""COMPUTED_VALUE"""),"Hà Nội")</f>
        <v>Hà Nội</v>
      </c>
      <c r="C750" s="265" t="str">
        <f>IFERROR(__xludf.DUMMYFUNCTION("""COMPUTED_VALUE"""),"Locked")</f>
        <v>Locked</v>
      </c>
      <c r="D750" s="265" t="str">
        <f>IFERROR(__xludf.DUMMYFUNCTION("""COMPUTED_VALUE"""),"Truyền thông &amp; Giải trí")</f>
        <v>Truyền thông &amp; Giải trí</v>
      </c>
      <c r="E750" s="265" t="str">
        <f>IFERROR(__xludf.DUMMYFUNCTION("""COMPUTED_VALUE"""),"Không phân công")</f>
        <v>Không phân công</v>
      </c>
      <c r="F750" s="265" t="str">
        <f>IFERROR(__xludf.DUMMYFUNCTION("""COMPUTED_VALUE"""),"Silver")</f>
        <v>Silver</v>
      </c>
      <c r="G750" s="265" t="str">
        <f>IFERROR(__xludf.DUMMYFUNCTION("""COMPUTED_VALUE"""),"Starter")</f>
        <v>Starter</v>
      </c>
      <c r="H750" s="265" t="str">
        <f>IFERROR(__xludf.DUMMYFUNCTION("""COMPUTED_VALUE"""),"Trả sau")</f>
        <v>Trả sau</v>
      </c>
      <c r="I750" s="265" t="str">
        <f>IFERROR(__xludf.DUMMYFUNCTION("""COMPUTED_VALUE"""),"API")</f>
        <v>API</v>
      </c>
      <c r="J750" s="265" t="str">
        <f>IFERROR(__xludf.DUMMYFUNCTION("""COMPUTED_VALUE"""),"SMS CSKH")</f>
        <v>SMS CSKH</v>
      </c>
    </row>
    <row r="751">
      <c r="A751" s="265" t="str">
        <f>IFERROR(__xludf.DUMMYFUNCTION("""COMPUTED_VALUE"""),"999")</f>
        <v>999</v>
      </c>
      <c r="B751" s="265" t="str">
        <f>IFERROR(__xludf.DUMMYFUNCTION("""COMPUTED_VALUE"""),"Hà Nội")</f>
        <v>Hà Nội</v>
      </c>
      <c r="C751" s="265" t="str">
        <f>IFERROR(__xludf.DUMMYFUNCTION("""COMPUTED_VALUE"""),"Locked")</f>
        <v>Locked</v>
      </c>
      <c r="D751" s="265" t="str">
        <f>IFERROR(__xludf.DUMMYFUNCTION("""COMPUTED_VALUE"""),"Dịch vụ khác")</f>
        <v>Dịch vụ khác</v>
      </c>
      <c r="E751" s="265" t="str">
        <f>IFERROR(__xludf.DUMMYFUNCTION("""COMPUTED_VALUE"""),"Không phân công")</f>
        <v>Không phân công</v>
      </c>
      <c r="F751" s="265" t="str">
        <f>IFERROR(__xludf.DUMMYFUNCTION("""COMPUTED_VALUE"""),"Sale chưa cung cấp")</f>
        <v>Sale chưa cung cấp</v>
      </c>
      <c r="G751" s="265" t="str">
        <f>IFERROR(__xludf.DUMMYFUNCTION("""COMPUTED_VALUE"""),"Starter")</f>
        <v>Starter</v>
      </c>
      <c r="H751" s="265" t="str">
        <f>IFERROR(__xludf.DUMMYFUNCTION("""COMPUTED_VALUE"""),"Trả sau")</f>
        <v>Trả sau</v>
      </c>
      <c r="I751" s="265" t="str">
        <f>IFERROR(__xludf.DUMMYFUNCTION("""COMPUTED_VALUE"""),"API")</f>
        <v>API</v>
      </c>
      <c r="J751" s="265" t="str">
        <f>IFERROR(__xludf.DUMMYFUNCTION("""COMPUTED_VALUE"""),"SMS CSKH")</f>
        <v>SMS CSKH</v>
      </c>
    </row>
    <row r="752">
      <c r="A752" s="265" t="str">
        <f>IFERROR(__xludf.DUMMYFUNCTION("""COMPUTED_VALUE"""),"1001")</f>
        <v>1001</v>
      </c>
      <c r="B752" s="265" t="str">
        <f>IFERROR(__xludf.DUMMYFUNCTION("""COMPUTED_VALUE"""),"Hà Nội")</f>
        <v>Hà Nội</v>
      </c>
      <c r="C752" s="265" t="str">
        <f>IFERROR(__xludf.DUMMYFUNCTION("""COMPUTED_VALUE"""),"Locked")</f>
        <v>Locked</v>
      </c>
      <c r="D752" s="265" t="str">
        <f>IFERROR(__xludf.DUMMYFUNCTION("""COMPUTED_VALUE"""),"Truyền thông &amp; Giải trí")</f>
        <v>Truyền thông &amp; Giải trí</v>
      </c>
      <c r="E752" s="265" t="str">
        <f>IFERROR(__xludf.DUMMYFUNCTION("""COMPUTED_VALUE"""),"Không phân công")</f>
        <v>Không phân công</v>
      </c>
      <c r="F752" s="265" t="str">
        <f>IFERROR(__xludf.DUMMYFUNCTION("""COMPUTED_VALUE"""),"Silver")</f>
        <v>Silver</v>
      </c>
      <c r="G752" s="265" t="str">
        <f>IFERROR(__xludf.DUMMYFUNCTION("""COMPUTED_VALUE"""),"Starter")</f>
        <v>Starter</v>
      </c>
      <c r="H752" s="265" t="str">
        <f>IFERROR(__xludf.DUMMYFUNCTION("""COMPUTED_VALUE"""),"Trả sau")</f>
        <v>Trả sau</v>
      </c>
      <c r="I752" s="265" t="str">
        <f>IFERROR(__xludf.DUMMYFUNCTION("""COMPUTED_VALUE"""),"API")</f>
        <v>API</v>
      </c>
      <c r="J752" s="265" t="str">
        <f>IFERROR(__xludf.DUMMYFUNCTION("""COMPUTED_VALUE"""),"SMS CSKH")</f>
        <v>SMS CSKH</v>
      </c>
    </row>
    <row r="753">
      <c r="A753" s="265" t="str">
        <f>IFERROR(__xludf.DUMMYFUNCTION("""COMPUTED_VALUE"""),"1000")</f>
        <v>1000</v>
      </c>
      <c r="B753" s="265" t="str">
        <f>IFERROR(__xludf.DUMMYFUNCTION("""COMPUTED_VALUE"""),"Hà Nội")</f>
        <v>Hà Nội</v>
      </c>
      <c r="C753" s="265" t="str">
        <f>IFERROR(__xludf.DUMMYFUNCTION("""COMPUTED_VALUE"""),"Locked")</f>
        <v>Locked</v>
      </c>
      <c r="D753" s="265" t="str">
        <f>IFERROR(__xludf.DUMMYFUNCTION("""COMPUTED_VALUE"""),"Dịch vụ khác")</f>
        <v>Dịch vụ khác</v>
      </c>
      <c r="E753" s="265" t="str">
        <f>IFERROR(__xludf.DUMMYFUNCTION("""COMPUTED_VALUE"""),"Không phân công")</f>
        <v>Không phân công</v>
      </c>
      <c r="F753" s="265" t="str">
        <f>IFERROR(__xludf.DUMMYFUNCTION("""COMPUTED_VALUE"""),"Sale chưa cung cấp")</f>
        <v>Sale chưa cung cấp</v>
      </c>
      <c r="G753" s="265" t="str">
        <f>IFERROR(__xludf.DUMMYFUNCTION("""COMPUTED_VALUE"""),"Starter")</f>
        <v>Starter</v>
      </c>
      <c r="H753" s="265" t="str">
        <f>IFERROR(__xludf.DUMMYFUNCTION("""COMPUTED_VALUE"""),"Trả sau")</f>
        <v>Trả sau</v>
      </c>
      <c r="I753" s="265" t="str">
        <f>IFERROR(__xludf.DUMMYFUNCTION("""COMPUTED_VALUE"""),"API")</f>
        <v>API</v>
      </c>
      <c r="J753" s="265" t="str">
        <f>IFERROR(__xludf.DUMMYFUNCTION("""COMPUTED_VALUE"""),"SMS CSKH")</f>
        <v>SMS CSKH</v>
      </c>
    </row>
    <row r="754">
      <c r="A754" s="265" t="str">
        <f>IFERROR(__xludf.DUMMYFUNCTION("""COMPUTED_VALUE"""),"1002")</f>
        <v>1002</v>
      </c>
      <c r="B754" s="265" t="str">
        <f>IFERROR(__xludf.DUMMYFUNCTION("""COMPUTED_VALUE"""),"Hà Nội")</f>
        <v>Hà Nội</v>
      </c>
      <c r="C754" s="265" t="str">
        <f>IFERROR(__xludf.DUMMYFUNCTION("""COMPUTED_VALUE"""),"Locked")</f>
        <v>Locked</v>
      </c>
      <c r="D754" s="265" t="str">
        <f>IFERROR(__xludf.DUMMYFUNCTION("""COMPUTED_VALUE"""),"Dịch vụ khác")</f>
        <v>Dịch vụ khác</v>
      </c>
      <c r="E754" s="265" t="str">
        <f>IFERROR(__xludf.DUMMYFUNCTION("""COMPUTED_VALUE"""),"Không phân công")</f>
        <v>Không phân công</v>
      </c>
      <c r="F754" s="265" t="str">
        <f>IFERROR(__xludf.DUMMYFUNCTION("""COMPUTED_VALUE"""),"Sale chưa cung cấp")</f>
        <v>Sale chưa cung cấp</v>
      </c>
      <c r="G754" s="265" t="str">
        <f>IFERROR(__xludf.DUMMYFUNCTION("""COMPUTED_VALUE"""),"Starter")</f>
        <v>Starter</v>
      </c>
      <c r="H754" s="265" t="str">
        <f>IFERROR(__xludf.DUMMYFUNCTION("""COMPUTED_VALUE"""),"Trả sau")</f>
        <v>Trả sau</v>
      </c>
      <c r="I754" s="265" t="str">
        <f>IFERROR(__xludf.DUMMYFUNCTION("""COMPUTED_VALUE"""),"API")</f>
        <v>API</v>
      </c>
      <c r="J754" s="265" t="str">
        <f>IFERROR(__xludf.DUMMYFUNCTION("""COMPUTED_VALUE"""),"SMS CSKH")</f>
        <v>SMS CSKH</v>
      </c>
    </row>
    <row r="755">
      <c r="A755" s="265" t="str">
        <f>IFERROR(__xludf.DUMMYFUNCTION("""COMPUTED_VALUE"""),"1003")</f>
        <v>1003</v>
      </c>
      <c r="B755" s="265" t="str">
        <f>IFERROR(__xludf.DUMMYFUNCTION("""COMPUTED_VALUE"""),"Hà Nội")</f>
        <v>Hà Nội</v>
      </c>
      <c r="C755" s="265" t="str">
        <f>IFERROR(__xludf.DUMMYFUNCTION("""COMPUTED_VALUE"""),"Locked")</f>
        <v>Locked</v>
      </c>
      <c r="D755" s="265" t="str">
        <f>IFERROR(__xludf.DUMMYFUNCTION("""COMPUTED_VALUE"""),"Truyền thông &amp; Giải trí")</f>
        <v>Truyền thông &amp; Giải trí</v>
      </c>
      <c r="E755" s="265" t="str">
        <f>IFERROR(__xludf.DUMMYFUNCTION("""COMPUTED_VALUE"""),"Không phân công")</f>
        <v>Không phân công</v>
      </c>
      <c r="F755" s="265" t="str">
        <f>IFERROR(__xludf.DUMMYFUNCTION("""COMPUTED_VALUE"""),"Bronze")</f>
        <v>Bronze</v>
      </c>
      <c r="G755" s="265" t="str">
        <f>IFERROR(__xludf.DUMMYFUNCTION("""COMPUTED_VALUE"""),"Starter")</f>
        <v>Starter</v>
      </c>
      <c r="H755" s="265" t="str">
        <f>IFERROR(__xludf.DUMMYFUNCTION("""COMPUTED_VALUE"""),"Trả sau")</f>
        <v>Trả sau</v>
      </c>
      <c r="I755" s="265" t="str">
        <f>IFERROR(__xludf.DUMMYFUNCTION("""COMPUTED_VALUE"""),"API")</f>
        <v>API</v>
      </c>
      <c r="J755" s="265" t="str">
        <f>IFERROR(__xludf.DUMMYFUNCTION("""COMPUTED_VALUE"""),"SMS CSKH")</f>
        <v>SMS CSKH</v>
      </c>
    </row>
    <row r="756">
      <c r="A756" s="265" t="str">
        <f>IFERROR(__xludf.DUMMYFUNCTION("""COMPUTED_VALUE"""),"1004")</f>
        <v>1004</v>
      </c>
      <c r="B756" s="265" t="str">
        <f>IFERROR(__xludf.DUMMYFUNCTION("""COMPUTED_VALUE"""),"Sài Gòn")</f>
        <v>Sài Gòn</v>
      </c>
      <c r="C756" s="265" t="str">
        <f>IFERROR(__xludf.DUMMYFUNCTION("""COMPUTED_VALUE"""),"Locked")</f>
        <v>Locked</v>
      </c>
      <c r="D756" s="265" t="str">
        <f>IFERROR(__xludf.DUMMYFUNCTION("""COMPUTED_VALUE"""),"Thực phẩm &amp; Đồ uống")</f>
        <v>Thực phẩm &amp; Đồ uống</v>
      </c>
      <c r="E756" s="265" t="str">
        <f>IFERROR(__xludf.DUMMYFUNCTION("""COMPUTED_VALUE"""),"TrâmNNB")</f>
        <v>TrâmNNB</v>
      </c>
      <c r="F756" s="265" t="str">
        <f>IFERROR(__xludf.DUMMYFUNCTION("""COMPUTED_VALUE"""),"Diamond")</f>
        <v>Diamond</v>
      </c>
      <c r="G756" s="265" t="str">
        <f>IFERROR(__xludf.DUMMYFUNCTION("""COMPUTED_VALUE"""),"Starter")</f>
        <v>Starter</v>
      </c>
      <c r="H756" s="265" t="str">
        <f>IFERROR(__xludf.DUMMYFUNCTION("""COMPUTED_VALUE"""),"Trả sau")</f>
        <v>Trả sau</v>
      </c>
      <c r="I756" s="265" t="str">
        <f>IFERROR(__xludf.DUMMYFUNCTION("""COMPUTED_VALUE"""),"API")</f>
        <v>API</v>
      </c>
      <c r="J756" s="265" t="str">
        <f>IFERROR(__xludf.DUMMYFUNCTION("""COMPUTED_VALUE"""),"SMS CSKH")</f>
        <v>SMS CSKH</v>
      </c>
    </row>
    <row r="757">
      <c r="A757" s="265" t="str">
        <f>IFERROR(__xludf.DUMMYFUNCTION("""COMPUTED_VALUE"""),"1005")</f>
        <v>1005</v>
      </c>
      <c r="B757" s="265" t="str">
        <f>IFERROR(__xludf.DUMMYFUNCTION("""COMPUTED_VALUE"""),"Hà Nội")</f>
        <v>Hà Nội</v>
      </c>
      <c r="C757" s="265" t="str">
        <f>IFERROR(__xludf.DUMMYFUNCTION("""COMPUTED_VALUE"""),"Locked")</f>
        <v>Locked</v>
      </c>
      <c r="D757" s="265" t="str">
        <f>IFERROR(__xludf.DUMMYFUNCTION("""COMPUTED_VALUE"""),"Công nghệ &amp; Phần mềm")</f>
        <v>Công nghệ &amp; Phần mềm</v>
      </c>
      <c r="E757" s="265" t="str">
        <f>IFERROR(__xludf.DUMMYFUNCTION("""COMPUTED_VALUE"""),"Không phân công")</f>
        <v>Không phân công</v>
      </c>
      <c r="F757" s="265" t="str">
        <f>IFERROR(__xludf.DUMMYFUNCTION("""COMPUTED_VALUE"""),"Silver")</f>
        <v>Silver</v>
      </c>
      <c r="G757" s="265" t="str">
        <f>IFERROR(__xludf.DUMMYFUNCTION("""COMPUTED_VALUE"""),"Starter")</f>
        <v>Starter</v>
      </c>
      <c r="H757" s="265" t="str">
        <f>IFERROR(__xludf.DUMMYFUNCTION("""COMPUTED_VALUE"""),"Trả sau")</f>
        <v>Trả sau</v>
      </c>
      <c r="I757" s="265" t="str">
        <f>IFERROR(__xludf.DUMMYFUNCTION("""COMPUTED_VALUE"""),"API")</f>
        <v>API</v>
      </c>
      <c r="J757" s="265" t="str">
        <f>IFERROR(__xludf.DUMMYFUNCTION("""COMPUTED_VALUE"""),"SMS CSKH")</f>
        <v>SMS CSKH</v>
      </c>
    </row>
    <row r="758">
      <c r="A758" s="265" t="str">
        <f>IFERROR(__xludf.DUMMYFUNCTION("""COMPUTED_VALUE"""),"1006")</f>
        <v>1006</v>
      </c>
      <c r="B758" s="265" t="str">
        <f>IFERROR(__xludf.DUMMYFUNCTION("""COMPUTED_VALUE"""),"Hà Nội")</f>
        <v>Hà Nội</v>
      </c>
      <c r="C758" s="265" t="str">
        <f>IFERROR(__xludf.DUMMYFUNCTION("""COMPUTED_VALUE"""),"Locked")</f>
        <v>Locked</v>
      </c>
      <c r="D758" s="265" t="str">
        <f>IFERROR(__xludf.DUMMYFUNCTION("""COMPUTED_VALUE"""),"Tài chính &amp; Ngân hàng")</f>
        <v>Tài chính &amp; Ngân hàng</v>
      </c>
      <c r="E758" s="265" t="str">
        <f>IFERROR(__xludf.DUMMYFUNCTION("""COMPUTED_VALUE"""),"Không phân công")</f>
        <v>Không phân công</v>
      </c>
      <c r="F758" s="265" t="str">
        <f>IFERROR(__xludf.DUMMYFUNCTION("""COMPUTED_VALUE"""),"Silver")</f>
        <v>Silver</v>
      </c>
      <c r="G758" s="265" t="str">
        <f>IFERROR(__xludf.DUMMYFUNCTION("""COMPUTED_VALUE"""),"Starter")</f>
        <v>Starter</v>
      </c>
      <c r="H758" s="265" t="str">
        <f>IFERROR(__xludf.DUMMYFUNCTION("""COMPUTED_VALUE"""),"Trả sau")</f>
        <v>Trả sau</v>
      </c>
      <c r="I758" s="265" t="str">
        <f>IFERROR(__xludf.DUMMYFUNCTION("""COMPUTED_VALUE"""),"API")</f>
        <v>API</v>
      </c>
      <c r="J758" s="265" t="str">
        <f>IFERROR(__xludf.DUMMYFUNCTION("""COMPUTED_VALUE"""),"SMS CSKH")</f>
        <v>SMS CSKH</v>
      </c>
    </row>
    <row r="759">
      <c r="A759" s="265" t="str">
        <f>IFERROR(__xludf.DUMMYFUNCTION("""COMPUTED_VALUE"""),"1007")</f>
        <v>1007</v>
      </c>
      <c r="B759" s="265" t="str">
        <f>IFERROR(__xludf.DUMMYFUNCTION("""COMPUTED_VALUE"""),"Hà Nội")</f>
        <v>Hà Nội</v>
      </c>
      <c r="C759" s="265" t="str">
        <f>IFERROR(__xludf.DUMMYFUNCTION("""COMPUTED_VALUE"""),"Locked")</f>
        <v>Locked</v>
      </c>
      <c r="D759" s="265" t="str">
        <f>IFERROR(__xludf.DUMMYFUNCTION("""COMPUTED_VALUE"""),"Y tế &amp; Dược phẩm")</f>
        <v>Y tế &amp; Dược phẩm</v>
      </c>
      <c r="E759" s="265" t="str">
        <f>IFERROR(__xludf.DUMMYFUNCTION("""COMPUTED_VALUE"""),"Không phân công")</f>
        <v>Không phân công</v>
      </c>
      <c r="F759" s="265" t="str">
        <f>IFERROR(__xludf.DUMMYFUNCTION("""COMPUTED_VALUE"""),"Sale chưa cung cấp")</f>
        <v>Sale chưa cung cấp</v>
      </c>
      <c r="G759" s="265" t="str">
        <f>IFERROR(__xludf.DUMMYFUNCTION("""COMPUTED_VALUE"""),"Starter")</f>
        <v>Starter</v>
      </c>
      <c r="H759" s="265" t="str">
        <f>IFERROR(__xludf.DUMMYFUNCTION("""COMPUTED_VALUE"""),"Trả sau")</f>
        <v>Trả sau</v>
      </c>
      <c r="I759" s="265" t="str">
        <f>IFERROR(__xludf.DUMMYFUNCTION("""COMPUTED_VALUE"""),"API")</f>
        <v>API</v>
      </c>
      <c r="J759" s="265" t="str">
        <f>IFERROR(__xludf.DUMMYFUNCTION("""COMPUTED_VALUE"""),"SMS CSKH")</f>
        <v>SMS CSKH</v>
      </c>
    </row>
    <row r="760">
      <c r="A760" s="265" t="str">
        <f>IFERROR(__xludf.DUMMYFUNCTION("""COMPUTED_VALUE"""),"1008")</f>
        <v>1008</v>
      </c>
      <c r="B760" s="265" t="str">
        <f>IFERROR(__xludf.DUMMYFUNCTION("""COMPUTED_VALUE"""),"Sài Gòn")</f>
        <v>Sài Gòn</v>
      </c>
      <c r="C760" s="265" t="str">
        <f>IFERROR(__xludf.DUMMYFUNCTION("""COMPUTED_VALUE"""),"Active")</f>
        <v>Active</v>
      </c>
      <c r="D760" s="265" t="str">
        <f>IFERROR(__xludf.DUMMYFUNCTION("""COMPUTED_VALUE"""),"Dịch vụ khác")</f>
        <v>Dịch vụ khác</v>
      </c>
      <c r="E760" s="265" t="str">
        <f>IFERROR(__xludf.DUMMYFUNCTION("""COMPUTED_VALUE"""),"Không phân công")</f>
        <v>Không phân công</v>
      </c>
      <c r="F760" s="265" t="str">
        <f>IFERROR(__xludf.DUMMYFUNCTION("""COMPUTED_VALUE"""),"Bronze")</f>
        <v>Bronze</v>
      </c>
      <c r="G760" s="265" t="str">
        <f>IFERROR(__xludf.DUMMYFUNCTION("""COMPUTED_VALUE"""),"Starter")</f>
        <v>Starter</v>
      </c>
      <c r="H760" s="265" t="str">
        <f>IFERROR(__xludf.DUMMYFUNCTION("""COMPUTED_VALUE"""),"Trả sau")</f>
        <v>Trả sau</v>
      </c>
      <c r="I760" s="265" t="str">
        <f>IFERROR(__xludf.DUMMYFUNCTION("""COMPUTED_VALUE"""),"API")</f>
        <v>API</v>
      </c>
      <c r="J760" s="265" t="str">
        <f>IFERROR(__xludf.DUMMYFUNCTION("""COMPUTED_VALUE"""),"SMS CSKH")</f>
        <v>SMS CSKH</v>
      </c>
    </row>
    <row r="761">
      <c r="A761" s="265" t="str">
        <f>IFERROR(__xludf.DUMMYFUNCTION("""COMPUTED_VALUE"""),"1009")</f>
        <v>1009</v>
      </c>
      <c r="B761" s="265" t="str">
        <f>IFERROR(__xludf.DUMMYFUNCTION("""COMPUTED_VALUE"""),"Hà Nội")</f>
        <v>Hà Nội</v>
      </c>
      <c r="C761" s="265" t="str">
        <f>IFERROR(__xludf.DUMMYFUNCTION("""COMPUTED_VALUE"""),"Locked")</f>
        <v>Locked</v>
      </c>
      <c r="D761" s="265" t="str">
        <f>IFERROR(__xludf.DUMMYFUNCTION("""COMPUTED_VALUE"""),"Dịch vụ khác")</f>
        <v>Dịch vụ khác</v>
      </c>
      <c r="E761" s="265" t="str">
        <f>IFERROR(__xludf.DUMMYFUNCTION("""COMPUTED_VALUE"""),"AnhNM")</f>
        <v>AnhNM</v>
      </c>
      <c r="F761" s="265" t="str">
        <f>IFERROR(__xludf.DUMMYFUNCTION("""COMPUTED_VALUE"""),"Bronze")</f>
        <v>Bronze</v>
      </c>
      <c r="G761" s="265" t="str">
        <f>IFERROR(__xludf.DUMMYFUNCTION("""COMPUTED_VALUE"""),"Starter")</f>
        <v>Starter</v>
      </c>
      <c r="H761" s="265" t="str">
        <f>IFERROR(__xludf.DUMMYFUNCTION("""COMPUTED_VALUE"""),"Trial")</f>
        <v>Trial</v>
      </c>
      <c r="I761" s="265" t="str">
        <f>IFERROR(__xludf.DUMMYFUNCTION("""COMPUTED_VALUE"""),"API &amp; Portal")</f>
        <v>API &amp; Portal</v>
      </c>
      <c r="J761" s="265" t="str">
        <f>IFERROR(__xludf.DUMMYFUNCTION("""COMPUTED_VALUE"""),"Zalo ZNS")</f>
        <v>Zalo ZNS</v>
      </c>
    </row>
    <row r="762">
      <c r="A762" s="265" t="str">
        <f>IFERROR(__xludf.DUMMYFUNCTION("""COMPUTED_VALUE"""),"1010")</f>
        <v>1010</v>
      </c>
      <c r="B762" s="265" t="str">
        <f>IFERROR(__xludf.DUMMYFUNCTION("""COMPUTED_VALUE"""),"Sài Gòn")</f>
        <v>Sài Gòn</v>
      </c>
      <c r="C762" s="265" t="str">
        <f>IFERROR(__xludf.DUMMYFUNCTION("""COMPUTED_VALUE"""),"Locked")</f>
        <v>Locked</v>
      </c>
      <c r="D762" s="265" t="str">
        <f>IFERROR(__xludf.DUMMYFUNCTION("""COMPUTED_VALUE"""),"Bất động sản")</f>
        <v>Bất động sản</v>
      </c>
      <c r="E762" s="265" t="str">
        <f>IFERROR(__xludf.DUMMYFUNCTION("""COMPUTED_VALUE"""),"Không phân công")</f>
        <v>Không phân công</v>
      </c>
      <c r="F762" s="265" t="str">
        <f>IFERROR(__xludf.DUMMYFUNCTION("""COMPUTED_VALUE"""),"Sale chưa cung cấp")</f>
        <v>Sale chưa cung cấp</v>
      </c>
      <c r="G762" s="265" t="str">
        <f>IFERROR(__xludf.DUMMYFUNCTION("""COMPUTED_VALUE"""),"Starter")</f>
        <v>Starter</v>
      </c>
      <c r="H762" s="265" t="str">
        <f>IFERROR(__xludf.DUMMYFUNCTION("""COMPUTED_VALUE"""),"Trả sau")</f>
        <v>Trả sau</v>
      </c>
      <c r="I762" s="265" t="str">
        <f>IFERROR(__xludf.DUMMYFUNCTION("""COMPUTED_VALUE"""),"API")</f>
        <v>API</v>
      </c>
      <c r="J762" s="265" t="str">
        <f>IFERROR(__xludf.DUMMYFUNCTION("""COMPUTED_VALUE"""),"SMS CSKH")</f>
        <v>SMS CSKH</v>
      </c>
    </row>
    <row r="763">
      <c r="A763" s="265" t="str">
        <f>IFERROR(__xludf.DUMMYFUNCTION("""COMPUTED_VALUE"""),"1011")</f>
        <v>1011</v>
      </c>
      <c r="B763" s="265" t="str">
        <f>IFERROR(__xludf.DUMMYFUNCTION("""COMPUTED_VALUE"""),"Hà Nội")</f>
        <v>Hà Nội</v>
      </c>
      <c r="C763" s="265" t="str">
        <f>IFERROR(__xludf.DUMMYFUNCTION("""COMPUTED_VALUE"""),"Locked")</f>
        <v>Locked</v>
      </c>
      <c r="D763" s="265" t="str">
        <f>IFERROR(__xludf.DUMMYFUNCTION("""COMPUTED_VALUE"""),"Dịch vụ khác")</f>
        <v>Dịch vụ khác</v>
      </c>
      <c r="E763" s="265" t="str">
        <f>IFERROR(__xludf.DUMMYFUNCTION("""COMPUTED_VALUE"""),"Không phân công")</f>
        <v>Không phân công</v>
      </c>
      <c r="F763" s="265" t="str">
        <f>IFERROR(__xludf.DUMMYFUNCTION("""COMPUTED_VALUE"""),"Sale chưa cung cấp")</f>
        <v>Sale chưa cung cấp</v>
      </c>
      <c r="G763" s="265" t="str">
        <f>IFERROR(__xludf.DUMMYFUNCTION("""COMPUTED_VALUE"""),"Starter")</f>
        <v>Starter</v>
      </c>
      <c r="H763" s="265" t="str">
        <f>IFERROR(__xludf.DUMMYFUNCTION("""COMPUTED_VALUE"""),"Trả sau")</f>
        <v>Trả sau</v>
      </c>
      <c r="I763" s="265" t="str">
        <f>IFERROR(__xludf.DUMMYFUNCTION("""COMPUTED_VALUE"""),"API")</f>
        <v>API</v>
      </c>
      <c r="J763" s="265" t="str">
        <f>IFERROR(__xludf.DUMMYFUNCTION("""COMPUTED_VALUE"""),"SMS CSKH")</f>
        <v>SMS CSKH</v>
      </c>
    </row>
    <row r="764">
      <c r="A764" s="265" t="str">
        <f>IFERROR(__xludf.DUMMYFUNCTION("""COMPUTED_VALUE"""),"1012")</f>
        <v>1012</v>
      </c>
      <c r="B764" s="265" t="str">
        <f>IFERROR(__xludf.DUMMYFUNCTION("""COMPUTED_VALUE"""),"Sài Gòn")</f>
        <v>Sài Gòn</v>
      </c>
      <c r="C764" s="265" t="str">
        <f>IFERROR(__xludf.DUMMYFUNCTION("""COMPUTED_VALUE"""),"Active")</f>
        <v>Active</v>
      </c>
      <c r="D764" s="265" t="str">
        <f>IFERROR(__xludf.DUMMYFUNCTION("""COMPUTED_VALUE"""),"Viễn thông")</f>
        <v>Viễn thông</v>
      </c>
      <c r="E764" s="265" t="str">
        <f>IFERROR(__xludf.DUMMYFUNCTION("""COMPUTED_VALUE"""),"AnhNM")</f>
        <v>AnhNM</v>
      </c>
      <c r="F764" s="265" t="str">
        <f>IFERROR(__xludf.DUMMYFUNCTION("""COMPUTED_VALUE"""),"Sale chưa cung cấp")</f>
        <v>Sale chưa cung cấp</v>
      </c>
      <c r="G764" s="265" t="str">
        <f>IFERROR(__xludf.DUMMYFUNCTION("""COMPUTED_VALUE"""),"Standard")</f>
        <v>Standard</v>
      </c>
      <c r="H764" s="265" t="str">
        <f>IFERROR(__xludf.DUMMYFUNCTION("""COMPUTED_VALUE"""),"Trả sau")</f>
        <v>Trả sau</v>
      </c>
      <c r="I764" s="265" t="str">
        <f>IFERROR(__xludf.DUMMYFUNCTION("""COMPUTED_VALUE"""),"Portal")</f>
        <v>Portal</v>
      </c>
      <c r="J764" s="265" t="str">
        <f>IFERROR(__xludf.DUMMYFUNCTION("""COMPUTED_VALUE"""),"Zalo ZNS")</f>
        <v>Zalo ZNS</v>
      </c>
    </row>
    <row r="765">
      <c r="A765" s="265" t="str">
        <f>IFERROR(__xludf.DUMMYFUNCTION("""COMPUTED_VALUE"""),"1013")</f>
        <v>1013</v>
      </c>
      <c r="B765" s="265" t="str">
        <f>IFERROR(__xludf.DUMMYFUNCTION("""COMPUTED_VALUE"""),"Sài Gòn")</f>
        <v>Sài Gòn</v>
      </c>
      <c r="C765" s="265" t="str">
        <f>IFERROR(__xludf.DUMMYFUNCTION("""COMPUTED_VALUE"""),"Active")</f>
        <v>Active</v>
      </c>
      <c r="D765" s="265" t="str">
        <f>IFERROR(__xludf.DUMMYFUNCTION("""COMPUTED_VALUE"""),"Mua sắm &amp; Bán lẻ")</f>
        <v>Mua sắm &amp; Bán lẻ</v>
      </c>
      <c r="E765" s="265" t="str">
        <f>IFERROR(__xludf.DUMMYFUNCTION("""COMPUTED_VALUE"""),"Không phân công")</f>
        <v>Không phân công</v>
      </c>
      <c r="F765" s="265" t="str">
        <f>IFERROR(__xludf.DUMMYFUNCTION("""COMPUTED_VALUE"""),"Diamond")</f>
        <v>Diamond</v>
      </c>
      <c r="G765" s="265" t="str">
        <f>IFERROR(__xludf.DUMMYFUNCTION("""COMPUTED_VALUE"""),"Starter")</f>
        <v>Starter</v>
      </c>
      <c r="H765" s="265" t="str">
        <f>IFERROR(__xludf.DUMMYFUNCTION("""COMPUTED_VALUE"""),"Trả sau")</f>
        <v>Trả sau</v>
      </c>
      <c r="I765" s="265" t="str">
        <f>IFERROR(__xludf.DUMMYFUNCTION("""COMPUTED_VALUE"""),"API")</f>
        <v>API</v>
      </c>
      <c r="J765" s="265" t="str">
        <f>IFERROR(__xludf.DUMMYFUNCTION("""COMPUTED_VALUE"""),"SMS CSKH")</f>
        <v>SMS CSKH</v>
      </c>
    </row>
    <row r="766">
      <c r="A766" s="265" t="str">
        <f>IFERROR(__xludf.DUMMYFUNCTION("""COMPUTED_VALUE"""),"1014")</f>
        <v>1014</v>
      </c>
      <c r="B766" s="265" t="str">
        <f>IFERROR(__xludf.DUMMYFUNCTION("""COMPUTED_VALUE"""),"Sài Gòn")</f>
        <v>Sài Gòn</v>
      </c>
      <c r="C766" s="265" t="str">
        <f>IFERROR(__xludf.DUMMYFUNCTION("""COMPUTED_VALUE"""),"Active")</f>
        <v>Active</v>
      </c>
      <c r="D766" s="265" t="str">
        <f>IFERROR(__xludf.DUMMYFUNCTION("""COMPUTED_VALUE"""),"Dịch vụ khác")</f>
        <v>Dịch vụ khác</v>
      </c>
      <c r="E766" s="265" t="str">
        <f>IFERROR(__xludf.DUMMYFUNCTION("""COMPUTED_VALUE"""),"AnhNM")</f>
        <v>AnhNM</v>
      </c>
      <c r="F766" s="265" t="str">
        <f>IFERROR(__xludf.DUMMYFUNCTION("""COMPUTED_VALUE"""),"Diamond")</f>
        <v>Diamond</v>
      </c>
      <c r="G766" s="265" t="str">
        <f>IFERROR(__xludf.DUMMYFUNCTION("""COMPUTED_VALUE"""),"Premium")</f>
        <v>Premium</v>
      </c>
      <c r="H766" s="265" t="str">
        <f>IFERROR(__xludf.DUMMYFUNCTION("""COMPUTED_VALUE"""),"Trả sau")</f>
        <v>Trả sau</v>
      </c>
      <c r="I766" s="265" t="str">
        <f>IFERROR(__xludf.DUMMYFUNCTION("""COMPUTED_VALUE"""),"API &amp; Portal")</f>
        <v>API &amp; Portal</v>
      </c>
      <c r="J766" s="265" t="str">
        <f>IFERROR(__xludf.DUMMYFUNCTION("""COMPUTED_VALUE"""),"Zalo ZNS")</f>
        <v>Zalo ZNS</v>
      </c>
    </row>
    <row r="767">
      <c r="A767" s="265" t="str">
        <f>IFERROR(__xludf.DUMMYFUNCTION("""COMPUTED_VALUE"""),"1014")</f>
        <v>1014</v>
      </c>
      <c r="B767" s="265" t="str">
        <f>IFERROR(__xludf.DUMMYFUNCTION("""COMPUTED_VALUE"""),"Sài Gòn")</f>
        <v>Sài Gòn</v>
      </c>
      <c r="C767" s="265" t="str">
        <f>IFERROR(__xludf.DUMMYFUNCTION("""COMPUTED_VALUE"""),"Active")</f>
        <v>Active</v>
      </c>
      <c r="D767" s="265" t="str">
        <f>IFERROR(__xludf.DUMMYFUNCTION("""COMPUTED_VALUE"""),"Dịch vụ khác")</f>
        <v>Dịch vụ khác</v>
      </c>
      <c r="E767" s="265" t="str">
        <f>IFERROR(__xludf.DUMMYFUNCTION("""COMPUTED_VALUE"""),"AnhNM")</f>
        <v>AnhNM</v>
      </c>
      <c r="F767" s="265" t="str">
        <f>IFERROR(__xludf.DUMMYFUNCTION("""COMPUTED_VALUE"""),"Diamond")</f>
        <v>Diamond</v>
      </c>
      <c r="G767" s="265" t="str">
        <f>IFERROR(__xludf.DUMMYFUNCTION("""COMPUTED_VALUE"""),"Premium")</f>
        <v>Premium</v>
      </c>
      <c r="H767" s="265" t="str">
        <f>IFERROR(__xludf.DUMMYFUNCTION("""COMPUTED_VALUE"""),"Trả sau")</f>
        <v>Trả sau</v>
      </c>
      <c r="I767" s="265" t="str">
        <f>IFERROR(__xludf.DUMMYFUNCTION("""COMPUTED_VALUE"""),"API &amp; Portal")</f>
        <v>API &amp; Portal</v>
      </c>
      <c r="J767" s="265" t="str">
        <f>IFERROR(__xludf.DUMMYFUNCTION("""COMPUTED_VALUE"""),"Email")</f>
        <v>Email</v>
      </c>
    </row>
    <row r="768">
      <c r="A768" s="265" t="str">
        <f>IFERROR(__xludf.DUMMYFUNCTION("""COMPUTED_VALUE"""),"1015")</f>
        <v>1015</v>
      </c>
      <c r="B768" s="265" t="str">
        <f>IFERROR(__xludf.DUMMYFUNCTION("""COMPUTED_VALUE"""),"Hà Nội")</f>
        <v>Hà Nội</v>
      </c>
      <c r="C768" s="265" t="str">
        <f>IFERROR(__xludf.DUMMYFUNCTION("""COMPUTED_VALUE"""),"Locked")</f>
        <v>Locked</v>
      </c>
      <c r="D768" s="265" t="str">
        <f>IFERROR(__xludf.DUMMYFUNCTION("""COMPUTED_VALUE"""),"Mua sắm &amp; Bán lẻ")</f>
        <v>Mua sắm &amp; Bán lẻ</v>
      </c>
      <c r="E768" s="265" t="str">
        <f>IFERROR(__xludf.DUMMYFUNCTION("""COMPUTED_VALUE"""),"AnhNM")</f>
        <v>AnhNM</v>
      </c>
      <c r="F768" s="265" t="str">
        <f>IFERROR(__xludf.DUMMYFUNCTION("""COMPUTED_VALUE"""),"Diamond")</f>
        <v>Diamond</v>
      </c>
      <c r="G768" s="265" t="str">
        <f>IFERROR(__xludf.DUMMYFUNCTION("""COMPUTED_VALUE"""),"Premium")</f>
        <v>Premium</v>
      </c>
      <c r="H768" s="265" t="str">
        <f>IFERROR(__xludf.DUMMYFUNCTION("""COMPUTED_VALUE"""),"Trial")</f>
        <v>Trial</v>
      </c>
      <c r="I768" s="265" t="str">
        <f>IFERROR(__xludf.DUMMYFUNCTION("""COMPUTED_VALUE"""),"API &amp; Portal")</f>
        <v>API &amp; Portal</v>
      </c>
      <c r="J768" s="265" t="str">
        <f>IFERROR(__xludf.DUMMYFUNCTION("""COMPUTED_VALUE"""),"SMS CSKH")</f>
        <v>SMS CSKH</v>
      </c>
    </row>
    <row r="769">
      <c r="A769" s="265" t="str">
        <f>IFERROR(__xludf.DUMMYFUNCTION("""COMPUTED_VALUE"""),"1015")</f>
        <v>1015</v>
      </c>
      <c r="B769" s="265" t="str">
        <f>IFERROR(__xludf.DUMMYFUNCTION("""COMPUTED_VALUE"""),"Hà Nội")</f>
        <v>Hà Nội</v>
      </c>
      <c r="C769" s="265" t="str">
        <f>IFERROR(__xludf.DUMMYFUNCTION("""COMPUTED_VALUE"""),"Locked")</f>
        <v>Locked</v>
      </c>
      <c r="D769" s="265" t="str">
        <f>IFERROR(__xludf.DUMMYFUNCTION("""COMPUTED_VALUE"""),"Mua sắm &amp; Bán lẻ")</f>
        <v>Mua sắm &amp; Bán lẻ</v>
      </c>
      <c r="E769" s="265" t="str">
        <f>IFERROR(__xludf.DUMMYFUNCTION("""COMPUTED_VALUE"""),"AnhNM")</f>
        <v>AnhNM</v>
      </c>
      <c r="F769" s="265" t="str">
        <f>IFERROR(__xludf.DUMMYFUNCTION("""COMPUTED_VALUE"""),"Diamond")</f>
        <v>Diamond</v>
      </c>
      <c r="G769" s="265" t="str">
        <f>IFERROR(__xludf.DUMMYFUNCTION("""COMPUTED_VALUE"""),"Premium")</f>
        <v>Premium</v>
      </c>
      <c r="H769" s="265" t="str">
        <f>IFERROR(__xludf.DUMMYFUNCTION("""COMPUTED_VALUE"""),"Trial")</f>
        <v>Trial</v>
      </c>
      <c r="I769" s="265" t="str">
        <f>IFERROR(__xludf.DUMMYFUNCTION("""COMPUTED_VALUE"""),"API &amp; Portal")</f>
        <v>API &amp; Portal</v>
      </c>
      <c r="J769" s="265" t="str">
        <f>IFERROR(__xludf.DUMMYFUNCTION("""COMPUTED_VALUE"""),"Zalo ZNS")</f>
        <v>Zalo ZNS</v>
      </c>
    </row>
    <row r="770">
      <c r="A770" s="265" t="str">
        <f>IFERROR(__xludf.DUMMYFUNCTION("""COMPUTED_VALUE"""),"1016")</f>
        <v>1016</v>
      </c>
      <c r="B770" s="265" t="str">
        <f>IFERROR(__xludf.DUMMYFUNCTION("""COMPUTED_VALUE"""),"Sài Gòn")</f>
        <v>Sài Gòn</v>
      </c>
      <c r="C770" s="265" t="str">
        <f>IFERROR(__xludf.DUMMYFUNCTION("""COMPUTED_VALUE"""),"Locked")</f>
        <v>Locked</v>
      </c>
      <c r="D770" s="265" t="str">
        <f>IFERROR(__xludf.DUMMYFUNCTION("""COMPUTED_VALUE"""),"Thực phẩm &amp; Đồ uống")</f>
        <v>Thực phẩm &amp; Đồ uống</v>
      </c>
      <c r="E770" s="265" t="str">
        <f>IFERROR(__xludf.DUMMYFUNCTION("""COMPUTED_VALUE"""),"TúPHN")</f>
        <v>TúPHN</v>
      </c>
      <c r="F770" s="265" t="str">
        <f>IFERROR(__xludf.DUMMYFUNCTION("""COMPUTED_VALUE"""),"Gold")</f>
        <v>Gold</v>
      </c>
      <c r="G770" s="265" t="str">
        <f>IFERROR(__xludf.DUMMYFUNCTION("""COMPUTED_VALUE"""),"Standard")</f>
        <v>Standard</v>
      </c>
      <c r="H770" s="265" t="str">
        <f>IFERROR(__xludf.DUMMYFUNCTION("""COMPUTED_VALUE"""),"Trả sau")</f>
        <v>Trả sau</v>
      </c>
      <c r="I770" s="265" t="str">
        <f>IFERROR(__xludf.DUMMYFUNCTION("""COMPUTED_VALUE"""),"Portal")</f>
        <v>Portal</v>
      </c>
      <c r="J770" s="265" t="str">
        <f>IFERROR(__xludf.DUMMYFUNCTION("""COMPUTED_VALUE"""),"Zalo ZNS")</f>
        <v>Zalo ZNS</v>
      </c>
    </row>
    <row r="771">
      <c r="A771" s="265" t="str">
        <f>IFERROR(__xludf.DUMMYFUNCTION("""COMPUTED_VALUE"""),"1017")</f>
        <v>1017</v>
      </c>
      <c r="B771" s="265" t="str">
        <f>IFERROR(__xludf.DUMMYFUNCTION("""COMPUTED_VALUE"""),"Hà Nội")</f>
        <v>Hà Nội</v>
      </c>
      <c r="C771" s="265" t="str">
        <f>IFERROR(__xludf.DUMMYFUNCTION("""COMPUTED_VALUE"""),"Locked")</f>
        <v>Locked</v>
      </c>
      <c r="D771" s="265" t="str">
        <f>IFERROR(__xludf.DUMMYFUNCTION("""COMPUTED_VALUE"""),"Truyền thông &amp; Giải trí")</f>
        <v>Truyền thông &amp; Giải trí</v>
      </c>
      <c r="E771" s="265" t="str">
        <f>IFERROR(__xludf.DUMMYFUNCTION("""COMPUTED_VALUE"""),"TúPHN")</f>
        <v>TúPHN</v>
      </c>
      <c r="F771" s="265" t="str">
        <f>IFERROR(__xludf.DUMMYFUNCTION("""COMPUTED_VALUE"""),"Bronze")</f>
        <v>Bronze</v>
      </c>
      <c r="G771" s="265" t="str">
        <f>IFERROR(__xludf.DUMMYFUNCTION("""COMPUTED_VALUE"""),"Starter")</f>
        <v>Starter</v>
      </c>
      <c r="H771" s="265" t="str">
        <f>IFERROR(__xludf.DUMMYFUNCTION("""COMPUTED_VALUE"""),"Trả trước")</f>
        <v>Trả trước</v>
      </c>
      <c r="I771" s="265" t="str">
        <f>IFERROR(__xludf.DUMMYFUNCTION("""COMPUTED_VALUE"""),"Portal")</f>
        <v>Portal</v>
      </c>
      <c r="J771" s="265" t="str">
        <f>IFERROR(__xludf.DUMMYFUNCTION("""COMPUTED_VALUE"""),"Zalo ZNS")</f>
        <v>Zalo ZNS</v>
      </c>
    </row>
    <row r="772">
      <c r="A772" s="265" t="str">
        <f>IFERROR(__xludf.DUMMYFUNCTION("""COMPUTED_VALUE"""),"1018")</f>
        <v>1018</v>
      </c>
      <c r="B772" s="265" t="str">
        <f>IFERROR(__xludf.DUMMYFUNCTION("""COMPUTED_VALUE"""),"Hà Nội")</f>
        <v>Hà Nội</v>
      </c>
      <c r="C772" s="265" t="str">
        <f>IFERROR(__xludf.DUMMYFUNCTION("""COMPUTED_VALUE"""),"Locked")</f>
        <v>Locked</v>
      </c>
      <c r="D772" s="265" t="str">
        <f>IFERROR(__xludf.DUMMYFUNCTION("""COMPUTED_VALUE"""),"Sale chưa cung cấp")</f>
        <v>Sale chưa cung cấp</v>
      </c>
      <c r="E772" s="265" t="str">
        <f>IFERROR(__xludf.DUMMYFUNCTION("""COMPUTED_VALUE"""),"TúPHN")</f>
        <v>TúPHN</v>
      </c>
      <c r="F772" s="265" t="str">
        <f>IFERROR(__xludf.DUMMYFUNCTION("""COMPUTED_VALUE"""),"Bronze")</f>
        <v>Bronze</v>
      </c>
      <c r="G772" s="265" t="str">
        <f>IFERROR(__xludf.DUMMYFUNCTION("""COMPUTED_VALUE"""),"Starter")</f>
        <v>Starter</v>
      </c>
      <c r="H772" s="265" t="str">
        <f>IFERROR(__xludf.DUMMYFUNCTION("""COMPUTED_VALUE"""),"Trial")</f>
        <v>Trial</v>
      </c>
      <c r="I772" s="265" t="str">
        <f>IFERROR(__xludf.DUMMYFUNCTION("""COMPUTED_VALUE"""),"API &amp; Portal")</f>
        <v>API &amp; Portal</v>
      </c>
      <c r="J772" s="265" t="str">
        <f>IFERROR(__xludf.DUMMYFUNCTION("""COMPUTED_VALUE"""),"SMS CSKH")</f>
        <v>SMS CSKH</v>
      </c>
    </row>
    <row r="773">
      <c r="A773" s="265" t="str">
        <f>IFERROR(__xludf.DUMMYFUNCTION("""COMPUTED_VALUE"""),"1018")</f>
        <v>1018</v>
      </c>
      <c r="B773" s="265" t="str">
        <f>IFERROR(__xludf.DUMMYFUNCTION("""COMPUTED_VALUE"""),"Hà Nội")</f>
        <v>Hà Nội</v>
      </c>
      <c r="C773" s="265" t="str">
        <f>IFERROR(__xludf.DUMMYFUNCTION("""COMPUTED_VALUE"""),"Locked")</f>
        <v>Locked</v>
      </c>
      <c r="D773" s="265" t="str">
        <f>IFERROR(__xludf.DUMMYFUNCTION("""COMPUTED_VALUE"""),"Sale chưa cung cấp")</f>
        <v>Sale chưa cung cấp</v>
      </c>
      <c r="E773" s="265" t="str">
        <f>IFERROR(__xludf.DUMMYFUNCTION("""COMPUTED_VALUE"""),"TúPHN")</f>
        <v>TúPHN</v>
      </c>
      <c r="F773" s="265" t="str">
        <f>IFERROR(__xludf.DUMMYFUNCTION("""COMPUTED_VALUE"""),"Bronze")</f>
        <v>Bronze</v>
      </c>
      <c r="G773" s="265" t="str">
        <f>IFERROR(__xludf.DUMMYFUNCTION("""COMPUTED_VALUE"""),"Starter")</f>
        <v>Starter</v>
      </c>
      <c r="H773" s="265" t="str">
        <f>IFERROR(__xludf.DUMMYFUNCTION("""COMPUTED_VALUE"""),"Trial")</f>
        <v>Trial</v>
      </c>
      <c r="I773" s="265" t="str">
        <f>IFERROR(__xludf.DUMMYFUNCTION("""COMPUTED_VALUE"""),"API &amp; Portal")</f>
        <v>API &amp; Portal</v>
      </c>
      <c r="J773" s="265" t="str">
        <f>IFERROR(__xludf.DUMMYFUNCTION("""COMPUTED_VALUE"""),"Zalo ZNS")</f>
        <v>Zalo ZNS</v>
      </c>
    </row>
    <row r="774">
      <c r="A774" s="265" t="str">
        <f>IFERROR(__xludf.DUMMYFUNCTION("""COMPUTED_VALUE"""),"1019")</f>
        <v>1019</v>
      </c>
      <c r="B774" s="265" t="str">
        <f>IFERROR(__xludf.DUMMYFUNCTION("""COMPUTED_VALUE"""),"Hà Nội")</f>
        <v>Hà Nội</v>
      </c>
      <c r="C774" s="265" t="str">
        <f>IFERROR(__xludf.DUMMYFUNCTION("""COMPUTED_VALUE"""),"Active")</f>
        <v>Active</v>
      </c>
      <c r="D774" s="265" t="str">
        <f>IFERROR(__xludf.DUMMYFUNCTION("""COMPUTED_VALUE"""),"Sale chưa cung cấp")</f>
        <v>Sale chưa cung cấp</v>
      </c>
      <c r="E774" s="265" t="str">
        <f>IFERROR(__xludf.DUMMYFUNCTION("""COMPUTED_VALUE"""),"TúPHN")</f>
        <v>TúPHN</v>
      </c>
      <c r="F774" s="265" t="str">
        <f>IFERROR(__xludf.DUMMYFUNCTION("""COMPUTED_VALUE"""),"Silver")</f>
        <v>Silver</v>
      </c>
      <c r="G774" s="265" t="str">
        <f>IFERROR(__xludf.DUMMYFUNCTION("""COMPUTED_VALUE"""),"Premium")</f>
        <v>Premium</v>
      </c>
      <c r="H774" s="265" t="str">
        <f>IFERROR(__xludf.DUMMYFUNCTION("""COMPUTED_VALUE"""),"Trả sau")</f>
        <v>Trả sau</v>
      </c>
      <c r="I774" s="265" t="str">
        <f>IFERROR(__xludf.DUMMYFUNCTION("""COMPUTED_VALUE"""),"API")</f>
        <v>API</v>
      </c>
      <c r="J774" s="265" t="str">
        <f>IFERROR(__xludf.DUMMYFUNCTION("""COMPUTED_VALUE"""),"Zalo ZNS")</f>
        <v>Zalo ZNS</v>
      </c>
    </row>
    <row r="775">
      <c r="A775" s="265" t="str">
        <f>IFERROR(__xludf.DUMMYFUNCTION("""COMPUTED_VALUE"""),"1020")</f>
        <v>1020</v>
      </c>
      <c r="B775" s="265" t="str">
        <f>IFERROR(__xludf.DUMMYFUNCTION("""COMPUTED_VALUE"""),"Sài Gòn")</f>
        <v>Sài Gòn</v>
      </c>
      <c r="C775" s="265" t="str">
        <f>IFERROR(__xludf.DUMMYFUNCTION("""COMPUTED_VALUE"""),"Locked")</f>
        <v>Locked</v>
      </c>
      <c r="D775" s="265" t="str">
        <f>IFERROR(__xludf.DUMMYFUNCTION("""COMPUTED_VALUE"""),"Y tế &amp; Dược phẩm")</f>
        <v>Y tế &amp; Dược phẩm</v>
      </c>
      <c r="E775" s="265" t="str">
        <f>IFERROR(__xludf.DUMMYFUNCTION("""COMPUTED_VALUE"""),"AnhNM")</f>
        <v>AnhNM</v>
      </c>
      <c r="F775" s="265" t="str">
        <f>IFERROR(__xludf.DUMMYFUNCTION("""COMPUTED_VALUE"""),"Bronze")</f>
        <v>Bronze</v>
      </c>
      <c r="G775" s="265" t="str">
        <f>IFERROR(__xludf.DUMMYFUNCTION("""COMPUTED_VALUE"""),"Starter")</f>
        <v>Starter</v>
      </c>
      <c r="H775" s="265" t="str">
        <f>IFERROR(__xludf.DUMMYFUNCTION("""COMPUTED_VALUE"""),"Trial")</f>
        <v>Trial</v>
      </c>
      <c r="I775" s="265" t="str">
        <f>IFERROR(__xludf.DUMMYFUNCTION("""COMPUTED_VALUE"""),"Portal")</f>
        <v>Portal</v>
      </c>
      <c r="J775" s="265" t="str">
        <f>IFERROR(__xludf.DUMMYFUNCTION("""COMPUTED_VALUE"""),"Zalo ZNS")</f>
        <v>Zalo ZNS</v>
      </c>
    </row>
    <row r="776">
      <c r="A776" s="265" t="str">
        <f>IFERROR(__xludf.DUMMYFUNCTION("""COMPUTED_VALUE"""),"1021")</f>
        <v>1021</v>
      </c>
      <c r="B776" s="265" t="str">
        <f>IFERROR(__xludf.DUMMYFUNCTION("""COMPUTED_VALUE"""),"Hà Nội")</f>
        <v>Hà Nội</v>
      </c>
      <c r="C776" s="265" t="str">
        <f>IFERROR(__xludf.DUMMYFUNCTION("""COMPUTED_VALUE"""),"Locked")</f>
        <v>Locked</v>
      </c>
      <c r="D776" s="265" t="str">
        <f>IFERROR(__xludf.DUMMYFUNCTION("""COMPUTED_VALUE"""),"Công nghệ &amp; Phần mềm")</f>
        <v>Công nghệ &amp; Phần mềm</v>
      </c>
      <c r="E776" s="265" t="str">
        <f>IFERROR(__xludf.DUMMYFUNCTION("""COMPUTED_VALUE"""),"TúPHN")</f>
        <v>TúPHN</v>
      </c>
      <c r="F776" s="265" t="str">
        <f>IFERROR(__xludf.DUMMYFUNCTION("""COMPUTED_VALUE"""),"Gold")</f>
        <v>Gold</v>
      </c>
      <c r="G776" s="265" t="str">
        <f>IFERROR(__xludf.DUMMYFUNCTION("""COMPUTED_VALUE"""),"Starter")</f>
        <v>Starter</v>
      </c>
      <c r="H776" s="265" t="str">
        <f>IFERROR(__xludf.DUMMYFUNCTION("""COMPUTED_VALUE"""),"Trả sau")</f>
        <v>Trả sau</v>
      </c>
      <c r="I776" s="265" t="str">
        <f>IFERROR(__xludf.DUMMYFUNCTION("""COMPUTED_VALUE"""),"API")</f>
        <v>API</v>
      </c>
      <c r="J776" s="265" t="str">
        <f>IFERROR(__xludf.DUMMYFUNCTION("""COMPUTED_VALUE"""),"SMS CSKH")</f>
        <v>SMS CSKH</v>
      </c>
    </row>
    <row r="777">
      <c r="A777" s="265" t="str">
        <f>IFERROR(__xludf.DUMMYFUNCTION("""COMPUTED_VALUE"""),"1021")</f>
        <v>1021</v>
      </c>
      <c r="B777" s="265" t="str">
        <f>IFERROR(__xludf.DUMMYFUNCTION("""COMPUTED_VALUE"""),"Hà Nội")</f>
        <v>Hà Nội</v>
      </c>
      <c r="C777" s="265" t="str">
        <f>IFERROR(__xludf.DUMMYFUNCTION("""COMPUTED_VALUE"""),"Locked")</f>
        <v>Locked</v>
      </c>
      <c r="D777" s="265" t="str">
        <f>IFERROR(__xludf.DUMMYFUNCTION("""COMPUTED_VALUE"""),"Công nghệ &amp; Phần mềm")</f>
        <v>Công nghệ &amp; Phần mềm</v>
      </c>
      <c r="E777" s="265" t="str">
        <f>IFERROR(__xludf.DUMMYFUNCTION("""COMPUTED_VALUE"""),"TúPHN")</f>
        <v>TúPHN</v>
      </c>
      <c r="F777" s="265" t="str">
        <f>IFERROR(__xludf.DUMMYFUNCTION("""COMPUTED_VALUE"""),"Gold")</f>
        <v>Gold</v>
      </c>
      <c r="G777" s="265" t="str">
        <f>IFERROR(__xludf.DUMMYFUNCTION("""COMPUTED_VALUE"""),"Starter")</f>
        <v>Starter</v>
      </c>
      <c r="H777" s="265" t="str">
        <f>IFERROR(__xludf.DUMMYFUNCTION("""COMPUTED_VALUE"""),"Trả sau")</f>
        <v>Trả sau</v>
      </c>
      <c r="I777" s="265" t="str">
        <f>IFERROR(__xludf.DUMMYFUNCTION("""COMPUTED_VALUE"""),"API")</f>
        <v>API</v>
      </c>
      <c r="J777" s="265" t="str">
        <f>IFERROR(__xludf.DUMMYFUNCTION("""COMPUTED_VALUE"""),"Zalo ZNS")</f>
        <v>Zalo ZNS</v>
      </c>
    </row>
    <row r="778">
      <c r="A778" s="265" t="str">
        <f>IFERROR(__xludf.DUMMYFUNCTION("""COMPUTED_VALUE"""),"1022")</f>
        <v>1022</v>
      </c>
      <c r="B778" s="265" t="str">
        <f>IFERROR(__xludf.DUMMYFUNCTION("""COMPUTED_VALUE"""),"Sài Gòn")</f>
        <v>Sài Gòn</v>
      </c>
      <c r="C778" s="265" t="str">
        <f>IFERROR(__xludf.DUMMYFUNCTION("""COMPUTED_VALUE"""),"Active")</f>
        <v>Active</v>
      </c>
      <c r="D778" s="265" t="str">
        <f>IFERROR(__xludf.DUMMYFUNCTION("""COMPUTED_VALUE"""),"Mua sắm &amp; Bán lẻ")</f>
        <v>Mua sắm &amp; Bán lẻ</v>
      </c>
      <c r="E778" s="265" t="str">
        <f>IFERROR(__xludf.DUMMYFUNCTION("""COMPUTED_VALUE"""),"TrâmNNB")</f>
        <v>TrâmNNB</v>
      </c>
      <c r="F778" s="265" t="str">
        <f>IFERROR(__xludf.DUMMYFUNCTION("""COMPUTED_VALUE"""),"Diamond")</f>
        <v>Diamond</v>
      </c>
      <c r="G778" s="265" t="str">
        <f>IFERROR(__xludf.DUMMYFUNCTION("""COMPUTED_VALUE"""),"Premium")</f>
        <v>Premium</v>
      </c>
      <c r="H778" s="265" t="str">
        <f>IFERROR(__xludf.DUMMYFUNCTION("""COMPUTED_VALUE"""),"Trả sau")</f>
        <v>Trả sau</v>
      </c>
      <c r="I778" s="265" t="str">
        <f>IFERROR(__xludf.DUMMYFUNCTION("""COMPUTED_VALUE"""),"API")</f>
        <v>API</v>
      </c>
      <c r="J778" s="265" t="str">
        <f>IFERROR(__xludf.DUMMYFUNCTION("""COMPUTED_VALUE"""),"SMS CSKH")</f>
        <v>SMS CSKH</v>
      </c>
    </row>
    <row r="779">
      <c r="A779" s="265" t="str">
        <f>IFERROR(__xludf.DUMMYFUNCTION("""COMPUTED_VALUE"""),"1022")</f>
        <v>1022</v>
      </c>
      <c r="B779" s="265" t="str">
        <f>IFERROR(__xludf.DUMMYFUNCTION("""COMPUTED_VALUE"""),"Sài Gòn")</f>
        <v>Sài Gòn</v>
      </c>
      <c r="C779" s="265" t="str">
        <f>IFERROR(__xludf.DUMMYFUNCTION("""COMPUTED_VALUE"""),"Active")</f>
        <v>Active</v>
      </c>
      <c r="D779" s="265" t="str">
        <f>IFERROR(__xludf.DUMMYFUNCTION("""COMPUTED_VALUE"""),"Mua sắm &amp; Bán lẻ")</f>
        <v>Mua sắm &amp; Bán lẻ</v>
      </c>
      <c r="E779" s="265" t="str">
        <f>IFERROR(__xludf.DUMMYFUNCTION("""COMPUTED_VALUE"""),"TrâmNNB")</f>
        <v>TrâmNNB</v>
      </c>
      <c r="F779" s="265" t="str">
        <f>IFERROR(__xludf.DUMMYFUNCTION("""COMPUTED_VALUE"""),"Diamond")</f>
        <v>Diamond</v>
      </c>
      <c r="G779" s="265" t="str">
        <f>IFERROR(__xludf.DUMMYFUNCTION("""COMPUTED_VALUE"""),"Premium")</f>
        <v>Premium</v>
      </c>
      <c r="H779" s="265" t="str">
        <f>IFERROR(__xludf.DUMMYFUNCTION("""COMPUTED_VALUE"""),"Trả sau")</f>
        <v>Trả sau</v>
      </c>
      <c r="I779" s="265" t="str">
        <f>IFERROR(__xludf.DUMMYFUNCTION("""COMPUTED_VALUE"""),"API")</f>
        <v>API</v>
      </c>
      <c r="J779" s="265" t="str">
        <f>IFERROR(__xludf.DUMMYFUNCTION("""COMPUTED_VALUE"""),"SMS QC")</f>
        <v>SMS QC</v>
      </c>
    </row>
    <row r="780">
      <c r="A780" s="265" t="str">
        <f>IFERROR(__xludf.DUMMYFUNCTION("""COMPUTED_VALUE"""),"1022")</f>
        <v>1022</v>
      </c>
      <c r="B780" s="265" t="str">
        <f>IFERROR(__xludf.DUMMYFUNCTION("""COMPUTED_VALUE"""),"Sài Gòn")</f>
        <v>Sài Gòn</v>
      </c>
      <c r="C780" s="265" t="str">
        <f>IFERROR(__xludf.DUMMYFUNCTION("""COMPUTED_VALUE"""),"Active")</f>
        <v>Active</v>
      </c>
      <c r="D780" s="265" t="str">
        <f>IFERROR(__xludf.DUMMYFUNCTION("""COMPUTED_VALUE"""),"Mua sắm &amp; Bán lẻ")</f>
        <v>Mua sắm &amp; Bán lẻ</v>
      </c>
      <c r="E780" s="265" t="str">
        <f>IFERROR(__xludf.DUMMYFUNCTION("""COMPUTED_VALUE"""),"TrâmNNB")</f>
        <v>TrâmNNB</v>
      </c>
      <c r="F780" s="265" t="str">
        <f>IFERROR(__xludf.DUMMYFUNCTION("""COMPUTED_VALUE"""),"Diamond")</f>
        <v>Diamond</v>
      </c>
      <c r="G780" s="265" t="str">
        <f>IFERROR(__xludf.DUMMYFUNCTION("""COMPUTED_VALUE"""),"Premium")</f>
        <v>Premium</v>
      </c>
      <c r="H780" s="265" t="str">
        <f>IFERROR(__xludf.DUMMYFUNCTION("""COMPUTED_VALUE"""),"Trả sau")</f>
        <v>Trả sau</v>
      </c>
      <c r="I780" s="265" t="str">
        <f>IFERROR(__xludf.DUMMYFUNCTION("""COMPUTED_VALUE"""),"API")</f>
        <v>API</v>
      </c>
      <c r="J780" s="265" t="str">
        <f>IFERROR(__xludf.DUMMYFUNCTION("""COMPUTED_VALUE"""),"Zalo ZNS")</f>
        <v>Zalo ZNS</v>
      </c>
    </row>
    <row r="781">
      <c r="A781" s="265" t="str">
        <f>IFERROR(__xludf.DUMMYFUNCTION("""COMPUTED_VALUE"""),"1022")</f>
        <v>1022</v>
      </c>
      <c r="B781" s="265" t="str">
        <f>IFERROR(__xludf.DUMMYFUNCTION("""COMPUTED_VALUE"""),"Sài Gòn")</f>
        <v>Sài Gòn</v>
      </c>
      <c r="C781" s="265" t="str">
        <f>IFERROR(__xludf.DUMMYFUNCTION("""COMPUTED_VALUE"""),"Active")</f>
        <v>Active</v>
      </c>
      <c r="D781" s="265" t="str">
        <f>IFERROR(__xludf.DUMMYFUNCTION("""COMPUTED_VALUE"""),"Mua sắm &amp; Bán lẻ")</f>
        <v>Mua sắm &amp; Bán lẻ</v>
      </c>
      <c r="E781" s="265" t="str">
        <f>IFERROR(__xludf.DUMMYFUNCTION("""COMPUTED_VALUE"""),"TrâmNNB")</f>
        <v>TrâmNNB</v>
      </c>
      <c r="F781" s="265" t="str">
        <f>IFERROR(__xludf.DUMMYFUNCTION("""COMPUTED_VALUE"""),"Diamond")</f>
        <v>Diamond</v>
      </c>
      <c r="G781" s="265" t="str">
        <f>IFERROR(__xludf.DUMMYFUNCTION("""COMPUTED_VALUE"""),"Premium")</f>
        <v>Premium</v>
      </c>
      <c r="H781" s="265" t="str">
        <f>IFERROR(__xludf.DUMMYFUNCTION("""COMPUTED_VALUE"""),"Trả sau")</f>
        <v>Trả sau</v>
      </c>
      <c r="I781" s="265" t="str">
        <f>IFERROR(__xludf.DUMMYFUNCTION("""COMPUTED_VALUE"""),"API")</f>
        <v>API</v>
      </c>
      <c r="J781" s="265" t="str">
        <f>IFERROR(__xludf.DUMMYFUNCTION("""COMPUTED_VALUE"""),"Zalo UID")</f>
        <v>Zalo UID</v>
      </c>
    </row>
    <row r="782">
      <c r="A782" s="265" t="str">
        <f>IFERROR(__xludf.DUMMYFUNCTION("""COMPUTED_VALUE"""),"1023")</f>
        <v>1023</v>
      </c>
      <c r="B782" s="265" t="str">
        <f>IFERROR(__xludf.DUMMYFUNCTION("""COMPUTED_VALUE"""),"Hà Nội")</f>
        <v>Hà Nội</v>
      </c>
      <c r="C782" s="265" t="str">
        <f>IFERROR(__xludf.DUMMYFUNCTION("""COMPUTED_VALUE"""),"Active")</f>
        <v>Active</v>
      </c>
      <c r="D782" s="265" t="str">
        <f>IFERROR(__xludf.DUMMYFUNCTION("""COMPUTED_VALUE"""),"Tài chính &amp; Ngân hàng")</f>
        <v>Tài chính &amp; Ngân hàng</v>
      </c>
      <c r="E782" s="265" t="str">
        <f>IFERROR(__xludf.DUMMYFUNCTION("""COMPUTED_VALUE"""),"Không phân công")</f>
        <v>Không phân công</v>
      </c>
      <c r="F782" s="265" t="str">
        <f>IFERROR(__xludf.DUMMYFUNCTION("""COMPUTED_VALUE"""),"Diamond")</f>
        <v>Diamond</v>
      </c>
      <c r="G782" s="265" t="str">
        <f>IFERROR(__xludf.DUMMYFUNCTION("""COMPUTED_VALUE"""),"Starter")</f>
        <v>Starter</v>
      </c>
      <c r="H782" s="265" t="str">
        <f>IFERROR(__xludf.DUMMYFUNCTION("""COMPUTED_VALUE"""),"Trả sau")</f>
        <v>Trả sau</v>
      </c>
      <c r="I782" s="265" t="str">
        <f>IFERROR(__xludf.DUMMYFUNCTION("""COMPUTED_VALUE"""),"API")</f>
        <v>API</v>
      </c>
      <c r="J782" s="265" t="str">
        <f>IFERROR(__xludf.DUMMYFUNCTION("""COMPUTED_VALUE"""),"SMS CSKH")</f>
        <v>SMS CSKH</v>
      </c>
    </row>
    <row r="783">
      <c r="A783" s="265" t="str">
        <f>IFERROR(__xludf.DUMMYFUNCTION("""COMPUTED_VALUE"""),"1024")</f>
        <v>1024</v>
      </c>
      <c r="B783" s="265" t="str">
        <f>IFERROR(__xludf.DUMMYFUNCTION("""COMPUTED_VALUE"""),"Hà Nội")</f>
        <v>Hà Nội</v>
      </c>
      <c r="C783" s="265" t="str">
        <f>IFERROR(__xludf.DUMMYFUNCTION("""COMPUTED_VALUE"""),"Active")</f>
        <v>Active</v>
      </c>
      <c r="D783" s="265" t="str">
        <f>IFERROR(__xludf.DUMMYFUNCTION("""COMPUTED_VALUE"""),"Tài chính &amp; Ngân hàng")</f>
        <v>Tài chính &amp; Ngân hàng</v>
      </c>
      <c r="E783" s="265" t="str">
        <f>IFERROR(__xludf.DUMMYFUNCTION("""COMPUTED_VALUE"""),"Không phân công")</f>
        <v>Không phân công</v>
      </c>
      <c r="F783" s="265" t="str">
        <f>IFERROR(__xludf.DUMMYFUNCTION("""COMPUTED_VALUE"""),"Diamond")</f>
        <v>Diamond</v>
      </c>
      <c r="G783" s="265" t="str">
        <f>IFERROR(__xludf.DUMMYFUNCTION("""COMPUTED_VALUE"""),"Starter")</f>
        <v>Starter</v>
      </c>
      <c r="H783" s="265" t="str">
        <f>IFERROR(__xludf.DUMMYFUNCTION("""COMPUTED_VALUE"""),"Trả sau")</f>
        <v>Trả sau</v>
      </c>
      <c r="I783" s="265" t="str">
        <f>IFERROR(__xludf.DUMMYFUNCTION("""COMPUTED_VALUE"""),"API")</f>
        <v>API</v>
      </c>
      <c r="J783" s="265" t="str">
        <f>IFERROR(__xludf.DUMMYFUNCTION("""COMPUTED_VALUE"""),"SMS CSKH")</f>
        <v>SMS CSKH</v>
      </c>
    </row>
    <row r="784">
      <c r="A784" s="265" t="str">
        <f>IFERROR(__xludf.DUMMYFUNCTION("""COMPUTED_VALUE"""),"1025")</f>
        <v>1025</v>
      </c>
      <c r="B784" s="265" t="str">
        <f>IFERROR(__xludf.DUMMYFUNCTION("""COMPUTED_VALUE"""),"Sài Gòn")</f>
        <v>Sài Gòn</v>
      </c>
      <c r="C784" s="265" t="str">
        <f>IFERROR(__xludf.DUMMYFUNCTION("""COMPUTED_VALUE"""),"Locked")</f>
        <v>Locked</v>
      </c>
      <c r="D784" s="265" t="str">
        <f>IFERROR(__xludf.DUMMYFUNCTION("""COMPUTED_VALUE"""),"Viễn thông")</f>
        <v>Viễn thông</v>
      </c>
      <c r="E784" s="265" t="str">
        <f>IFERROR(__xludf.DUMMYFUNCTION("""COMPUTED_VALUE"""),"TùngLD")</f>
        <v>TùngLD</v>
      </c>
      <c r="F784" s="265" t="str">
        <f>IFERROR(__xludf.DUMMYFUNCTION("""COMPUTED_VALUE"""),"Bronze")</f>
        <v>Bronze</v>
      </c>
      <c r="G784" s="265" t="str">
        <f>IFERROR(__xludf.DUMMYFUNCTION("""COMPUTED_VALUE"""),"Standard")</f>
        <v>Standard</v>
      </c>
      <c r="H784" s="265" t="str">
        <f>IFERROR(__xludf.DUMMYFUNCTION("""COMPUTED_VALUE"""),"Trả sau")</f>
        <v>Trả sau</v>
      </c>
      <c r="I784" s="265" t="str">
        <f>IFERROR(__xludf.DUMMYFUNCTION("""COMPUTED_VALUE"""),"Portal")</f>
        <v>Portal</v>
      </c>
      <c r="J784" s="265" t="str">
        <f>IFERROR(__xludf.DUMMYFUNCTION("""COMPUTED_VALUE"""),"Zalo ZNS")</f>
        <v>Zalo ZNS</v>
      </c>
    </row>
    <row r="785">
      <c r="A785" s="265" t="str">
        <f>IFERROR(__xludf.DUMMYFUNCTION("""COMPUTED_VALUE"""),"1026")</f>
        <v>1026</v>
      </c>
      <c r="B785" s="265" t="str">
        <f>IFERROR(__xludf.DUMMYFUNCTION("""COMPUTED_VALUE"""),"Sài Gòn")</f>
        <v>Sài Gòn</v>
      </c>
      <c r="C785" s="265" t="str">
        <f>IFERROR(__xludf.DUMMYFUNCTION("""COMPUTED_VALUE"""),"Active")</f>
        <v>Active</v>
      </c>
      <c r="D785" s="265" t="str">
        <f>IFERROR(__xludf.DUMMYFUNCTION("""COMPUTED_VALUE"""),"Du lịch &amp; Lưu trú")</f>
        <v>Du lịch &amp; Lưu trú</v>
      </c>
      <c r="E785" s="265" t="str">
        <f>IFERROR(__xludf.DUMMYFUNCTION("""COMPUTED_VALUE"""),"TùngLD")</f>
        <v>TùngLD</v>
      </c>
      <c r="F785" s="265" t="str">
        <f>IFERROR(__xludf.DUMMYFUNCTION("""COMPUTED_VALUE"""),"Sale chưa cung cấp")</f>
        <v>Sale chưa cung cấp</v>
      </c>
      <c r="G785" s="265" t="str">
        <f>IFERROR(__xludf.DUMMYFUNCTION("""COMPUTED_VALUE"""),"Standard")</f>
        <v>Standard</v>
      </c>
      <c r="H785" s="265" t="str">
        <f>IFERROR(__xludf.DUMMYFUNCTION("""COMPUTED_VALUE"""),"Trả sau")</f>
        <v>Trả sau</v>
      </c>
      <c r="I785" s="265" t="str">
        <f>IFERROR(__xludf.DUMMYFUNCTION("""COMPUTED_VALUE"""),"API")</f>
        <v>API</v>
      </c>
      <c r="J785" s="265" t="str">
        <f>IFERROR(__xludf.DUMMYFUNCTION("""COMPUTED_VALUE"""),"SMS CSKH")</f>
        <v>SMS CSKH</v>
      </c>
    </row>
    <row r="786">
      <c r="A786" s="265" t="str">
        <f>IFERROR(__xludf.DUMMYFUNCTION("""COMPUTED_VALUE"""),"1027")</f>
        <v>1027</v>
      </c>
      <c r="B786" s="265" t="str">
        <f>IFERROR(__xludf.DUMMYFUNCTION("""COMPUTED_VALUE"""),"Hà Nội")</f>
        <v>Hà Nội</v>
      </c>
      <c r="C786" s="265" t="str">
        <f>IFERROR(__xludf.DUMMYFUNCTION("""COMPUTED_VALUE"""),"Locked")</f>
        <v>Locked</v>
      </c>
      <c r="D786" s="265" t="str">
        <f>IFERROR(__xludf.DUMMYFUNCTION("""COMPUTED_VALUE"""),"Truyền thông &amp; Giải trí")</f>
        <v>Truyền thông &amp; Giải trí</v>
      </c>
      <c r="E786" s="265" t="str">
        <f>IFERROR(__xludf.DUMMYFUNCTION("""COMPUTED_VALUE"""),"TùngLD")</f>
        <v>TùngLD</v>
      </c>
      <c r="F786" s="265" t="str">
        <f>IFERROR(__xludf.DUMMYFUNCTION("""COMPUTED_VALUE"""),"Silver")</f>
        <v>Silver</v>
      </c>
      <c r="G786" s="265" t="str">
        <f>IFERROR(__xludf.DUMMYFUNCTION("""COMPUTED_VALUE"""),"Starter")</f>
        <v>Starter</v>
      </c>
      <c r="H786" s="265" t="str">
        <f>IFERROR(__xludf.DUMMYFUNCTION("""COMPUTED_VALUE"""),"Trial")</f>
        <v>Trial</v>
      </c>
      <c r="I786" s="265" t="str">
        <f>IFERROR(__xludf.DUMMYFUNCTION("""COMPUTED_VALUE"""),"API &amp; Portal")</f>
        <v>API &amp; Portal</v>
      </c>
      <c r="J786" s="265" t="str">
        <f>IFERROR(__xludf.DUMMYFUNCTION("""COMPUTED_VALUE"""),"SMS CSKH")</f>
        <v>SMS CSKH</v>
      </c>
    </row>
    <row r="787">
      <c r="A787" s="265" t="str">
        <f>IFERROR(__xludf.DUMMYFUNCTION("""COMPUTED_VALUE"""),"1027")</f>
        <v>1027</v>
      </c>
      <c r="B787" s="265" t="str">
        <f>IFERROR(__xludf.DUMMYFUNCTION("""COMPUTED_VALUE"""),"Hà Nội")</f>
        <v>Hà Nội</v>
      </c>
      <c r="C787" s="265" t="str">
        <f>IFERROR(__xludf.DUMMYFUNCTION("""COMPUTED_VALUE"""),"Locked")</f>
        <v>Locked</v>
      </c>
      <c r="D787" s="265" t="str">
        <f>IFERROR(__xludf.DUMMYFUNCTION("""COMPUTED_VALUE"""),"Truyền thông &amp; Giải trí")</f>
        <v>Truyền thông &amp; Giải trí</v>
      </c>
      <c r="E787" s="265" t="str">
        <f>IFERROR(__xludf.DUMMYFUNCTION("""COMPUTED_VALUE"""),"TùngLD")</f>
        <v>TùngLD</v>
      </c>
      <c r="F787" s="265" t="str">
        <f>IFERROR(__xludf.DUMMYFUNCTION("""COMPUTED_VALUE"""),"Silver")</f>
        <v>Silver</v>
      </c>
      <c r="G787" s="265" t="str">
        <f>IFERROR(__xludf.DUMMYFUNCTION("""COMPUTED_VALUE"""),"Starter")</f>
        <v>Starter</v>
      </c>
      <c r="H787" s="265" t="str">
        <f>IFERROR(__xludf.DUMMYFUNCTION("""COMPUTED_VALUE"""),"Trial")</f>
        <v>Trial</v>
      </c>
      <c r="I787" s="265" t="str">
        <f>IFERROR(__xludf.DUMMYFUNCTION("""COMPUTED_VALUE"""),"API &amp; Portal")</f>
        <v>API &amp; Portal</v>
      </c>
      <c r="J787" s="265" t="str">
        <f>IFERROR(__xludf.DUMMYFUNCTION("""COMPUTED_VALUE"""),"Zalo ZNS")</f>
        <v>Zalo ZNS</v>
      </c>
    </row>
    <row r="788">
      <c r="A788" s="265" t="str">
        <f>IFERROR(__xludf.DUMMYFUNCTION("""COMPUTED_VALUE"""),"1028")</f>
        <v>1028</v>
      </c>
      <c r="B788" s="265" t="str">
        <f>IFERROR(__xludf.DUMMYFUNCTION("""COMPUTED_VALUE"""),"Hà Nội")</f>
        <v>Hà Nội</v>
      </c>
      <c r="C788" s="265" t="str">
        <f>IFERROR(__xludf.DUMMYFUNCTION("""COMPUTED_VALUE"""),"Locked")</f>
        <v>Locked</v>
      </c>
      <c r="D788" s="265" t="str">
        <f>IFERROR(__xludf.DUMMYFUNCTION("""COMPUTED_VALUE"""),"Thời trang &amp; May mặc")</f>
        <v>Thời trang &amp; May mặc</v>
      </c>
      <c r="E788" s="265" t="str">
        <f>IFERROR(__xludf.DUMMYFUNCTION("""COMPUTED_VALUE"""),"AnhNM")</f>
        <v>AnhNM</v>
      </c>
      <c r="F788" s="265" t="str">
        <f>IFERROR(__xludf.DUMMYFUNCTION("""COMPUTED_VALUE"""),"Diamond")</f>
        <v>Diamond</v>
      </c>
      <c r="G788" s="265" t="str">
        <f>IFERROR(__xludf.DUMMYFUNCTION("""COMPUTED_VALUE"""),"Standard")</f>
        <v>Standard</v>
      </c>
      <c r="H788" s="265" t="str">
        <f>IFERROR(__xludf.DUMMYFUNCTION("""COMPUTED_VALUE"""),"Trial")</f>
        <v>Trial</v>
      </c>
      <c r="I788" s="265" t="str">
        <f>IFERROR(__xludf.DUMMYFUNCTION("""COMPUTED_VALUE"""),"API")</f>
        <v>API</v>
      </c>
      <c r="J788" s="265" t="str">
        <f>IFERROR(__xludf.DUMMYFUNCTION("""COMPUTED_VALUE"""),"SMS CSKH")</f>
        <v>SMS CSKH</v>
      </c>
    </row>
    <row r="789">
      <c r="A789" s="265" t="str">
        <f>IFERROR(__xludf.DUMMYFUNCTION("""COMPUTED_VALUE"""),"1028")</f>
        <v>1028</v>
      </c>
      <c r="B789" s="265" t="str">
        <f>IFERROR(__xludf.DUMMYFUNCTION("""COMPUTED_VALUE"""),"Hà Nội")</f>
        <v>Hà Nội</v>
      </c>
      <c r="C789" s="265" t="str">
        <f>IFERROR(__xludf.DUMMYFUNCTION("""COMPUTED_VALUE"""),"Locked")</f>
        <v>Locked</v>
      </c>
      <c r="D789" s="265" t="str">
        <f>IFERROR(__xludf.DUMMYFUNCTION("""COMPUTED_VALUE"""),"Thời trang &amp; May mặc")</f>
        <v>Thời trang &amp; May mặc</v>
      </c>
      <c r="E789" s="265" t="str">
        <f>IFERROR(__xludf.DUMMYFUNCTION("""COMPUTED_VALUE"""),"AnhNM")</f>
        <v>AnhNM</v>
      </c>
      <c r="F789" s="265" t="str">
        <f>IFERROR(__xludf.DUMMYFUNCTION("""COMPUTED_VALUE"""),"Diamond")</f>
        <v>Diamond</v>
      </c>
      <c r="G789" s="265" t="str">
        <f>IFERROR(__xludf.DUMMYFUNCTION("""COMPUTED_VALUE"""),"Standard")</f>
        <v>Standard</v>
      </c>
      <c r="H789" s="265" t="str">
        <f>IFERROR(__xludf.DUMMYFUNCTION("""COMPUTED_VALUE"""),"Trial")</f>
        <v>Trial</v>
      </c>
      <c r="I789" s="265" t="str">
        <f>IFERROR(__xludf.DUMMYFUNCTION("""COMPUTED_VALUE"""),"API")</f>
        <v>API</v>
      </c>
      <c r="J789" s="265" t="str">
        <f>IFERROR(__xludf.DUMMYFUNCTION("""COMPUTED_VALUE"""),"Zalo ZNS")</f>
        <v>Zalo ZNS</v>
      </c>
    </row>
    <row r="790">
      <c r="A790" s="265" t="str">
        <f>IFERROR(__xludf.DUMMYFUNCTION("""COMPUTED_VALUE"""),"1035")</f>
        <v>1035</v>
      </c>
      <c r="B790" s="265" t="str">
        <f>IFERROR(__xludf.DUMMYFUNCTION("""COMPUTED_VALUE"""),"Hà Nội")</f>
        <v>Hà Nội</v>
      </c>
      <c r="C790" s="265" t="str">
        <f>IFERROR(__xludf.DUMMYFUNCTION("""COMPUTED_VALUE"""),"Active")</f>
        <v>Active</v>
      </c>
      <c r="D790" s="265" t="str">
        <f>IFERROR(__xludf.DUMMYFUNCTION("""COMPUTED_VALUE"""),"Thời trang &amp; May mặc")</f>
        <v>Thời trang &amp; May mặc</v>
      </c>
      <c r="E790" s="265" t="str">
        <f>IFERROR(__xludf.DUMMYFUNCTION("""COMPUTED_VALUE"""),"AnhNM")</f>
        <v>AnhNM</v>
      </c>
      <c r="F790" s="265" t="str">
        <f>IFERROR(__xludf.DUMMYFUNCTION("""COMPUTED_VALUE"""),"Diamond")</f>
        <v>Diamond</v>
      </c>
      <c r="G790" s="265" t="str">
        <f>IFERROR(__xludf.DUMMYFUNCTION("""COMPUTED_VALUE"""),"Standard")</f>
        <v>Standard</v>
      </c>
      <c r="H790" s="265" t="str">
        <f>IFERROR(__xludf.DUMMYFUNCTION("""COMPUTED_VALUE"""),"Trả sau")</f>
        <v>Trả sau</v>
      </c>
      <c r="I790" s="265" t="str">
        <f>IFERROR(__xludf.DUMMYFUNCTION("""COMPUTED_VALUE"""),"API")</f>
        <v>API</v>
      </c>
      <c r="J790" s="265" t="str">
        <f>IFERROR(__xludf.DUMMYFUNCTION("""COMPUTED_VALUE"""),"SMS CSKH")</f>
        <v>SMS CSKH</v>
      </c>
    </row>
    <row r="791">
      <c r="A791" s="265" t="str">
        <f>IFERROR(__xludf.DUMMYFUNCTION("""COMPUTED_VALUE"""),"1035")</f>
        <v>1035</v>
      </c>
      <c r="B791" s="265" t="str">
        <f>IFERROR(__xludf.DUMMYFUNCTION("""COMPUTED_VALUE"""),"Hà Nội")</f>
        <v>Hà Nội</v>
      </c>
      <c r="C791" s="265" t="str">
        <f>IFERROR(__xludf.DUMMYFUNCTION("""COMPUTED_VALUE"""),"Active")</f>
        <v>Active</v>
      </c>
      <c r="D791" s="265" t="str">
        <f>IFERROR(__xludf.DUMMYFUNCTION("""COMPUTED_VALUE"""),"Thời trang &amp; May mặc")</f>
        <v>Thời trang &amp; May mặc</v>
      </c>
      <c r="E791" s="265" t="str">
        <f>IFERROR(__xludf.DUMMYFUNCTION("""COMPUTED_VALUE"""),"AnhNM")</f>
        <v>AnhNM</v>
      </c>
      <c r="F791" s="265" t="str">
        <f>IFERROR(__xludf.DUMMYFUNCTION("""COMPUTED_VALUE"""),"Diamond")</f>
        <v>Diamond</v>
      </c>
      <c r="G791" s="265" t="str">
        <f>IFERROR(__xludf.DUMMYFUNCTION("""COMPUTED_VALUE"""),"Standard")</f>
        <v>Standard</v>
      </c>
      <c r="H791" s="265" t="str">
        <f>IFERROR(__xludf.DUMMYFUNCTION("""COMPUTED_VALUE"""),"Trả sau")</f>
        <v>Trả sau</v>
      </c>
      <c r="I791" s="265" t="str">
        <f>IFERROR(__xludf.DUMMYFUNCTION("""COMPUTED_VALUE"""),"API")</f>
        <v>API</v>
      </c>
      <c r="J791" s="265" t="str">
        <f>IFERROR(__xludf.DUMMYFUNCTION("""COMPUTED_VALUE"""),"SMS QC")</f>
        <v>SMS QC</v>
      </c>
    </row>
    <row r="792">
      <c r="A792" s="265" t="str">
        <f>IFERROR(__xludf.DUMMYFUNCTION("""COMPUTED_VALUE"""),"1035")</f>
        <v>1035</v>
      </c>
      <c r="B792" s="265" t="str">
        <f>IFERROR(__xludf.DUMMYFUNCTION("""COMPUTED_VALUE"""),"Hà Nội")</f>
        <v>Hà Nội</v>
      </c>
      <c r="C792" s="265" t="str">
        <f>IFERROR(__xludf.DUMMYFUNCTION("""COMPUTED_VALUE"""),"Active")</f>
        <v>Active</v>
      </c>
      <c r="D792" s="265" t="str">
        <f>IFERROR(__xludf.DUMMYFUNCTION("""COMPUTED_VALUE"""),"Thời trang &amp; May mặc")</f>
        <v>Thời trang &amp; May mặc</v>
      </c>
      <c r="E792" s="265" t="str">
        <f>IFERROR(__xludf.DUMMYFUNCTION("""COMPUTED_VALUE"""),"AnhNM")</f>
        <v>AnhNM</v>
      </c>
      <c r="F792" s="265" t="str">
        <f>IFERROR(__xludf.DUMMYFUNCTION("""COMPUTED_VALUE"""),"Diamond")</f>
        <v>Diamond</v>
      </c>
      <c r="G792" s="265" t="str">
        <f>IFERROR(__xludf.DUMMYFUNCTION("""COMPUTED_VALUE"""),"Standard")</f>
        <v>Standard</v>
      </c>
      <c r="H792" s="265" t="str">
        <f>IFERROR(__xludf.DUMMYFUNCTION("""COMPUTED_VALUE"""),"Trả sau")</f>
        <v>Trả sau</v>
      </c>
      <c r="I792" s="265" t="str">
        <f>IFERROR(__xludf.DUMMYFUNCTION("""COMPUTED_VALUE"""),"API")</f>
        <v>API</v>
      </c>
      <c r="J792" s="265" t="str">
        <f>IFERROR(__xludf.DUMMYFUNCTION("""COMPUTED_VALUE"""),"Zalo ZNS")</f>
        <v>Zalo ZNS</v>
      </c>
    </row>
    <row r="793">
      <c r="A793" s="265" t="str">
        <f>IFERROR(__xludf.DUMMYFUNCTION("""COMPUTED_VALUE"""),"1029")</f>
        <v>1029</v>
      </c>
      <c r="B793" s="265" t="str">
        <f>IFERROR(__xludf.DUMMYFUNCTION("""COMPUTED_VALUE"""),"Sài Gòn")</f>
        <v>Sài Gòn</v>
      </c>
      <c r="C793" s="265" t="str">
        <f>IFERROR(__xludf.DUMMYFUNCTION("""COMPUTED_VALUE"""),"Active")</f>
        <v>Active</v>
      </c>
      <c r="D793" s="265" t="str">
        <f>IFERROR(__xludf.DUMMYFUNCTION("""COMPUTED_VALUE"""),"Thực phẩm &amp; Đồ uống")</f>
        <v>Thực phẩm &amp; Đồ uống</v>
      </c>
      <c r="E793" s="265" t="str">
        <f>IFERROR(__xludf.DUMMYFUNCTION("""COMPUTED_VALUE"""),"Không phân công")</f>
        <v>Không phân công</v>
      </c>
      <c r="F793" s="265" t="str">
        <f>IFERROR(__xludf.DUMMYFUNCTION("""COMPUTED_VALUE"""),"Bronze")</f>
        <v>Bronze</v>
      </c>
      <c r="G793" s="265" t="str">
        <f>IFERROR(__xludf.DUMMYFUNCTION("""COMPUTED_VALUE"""),"Standard")</f>
        <v>Standard</v>
      </c>
      <c r="H793" s="265" t="str">
        <f>IFERROR(__xludf.DUMMYFUNCTION("""COMPUTED_VALUE"""),"Trả sau")</f>
        <v>Trả sau</v>
      </c>
      <c r="I793" s="265" t="str">
        <f>IFERROR(__xludf.DUMMYFUNCTION("""COMPUTED_VALUE"""),"API &amp; Portal")</f>
        <v>API &amp; Portal</v>
      </c>
      <c r="J793" s="265" t="str">
        <f>IFERROR(__xludf.DUMMYFUNCTION("""COMPUTED_VALUE"""),"SMS CSKH")</f>
        <v>SMS CSKH</v>
      </c>
    </row>
    <row r="794">
      <c r="A794" s="265" t="str">
        <f>IFERROR(__xludf.DUMMYFUNCTION("""COMPUTED_VALUE"""),"1030")</f>
        <v>1030</v>
      </c>
      <c r="B794" s="265" t="str">
        <f>IFERROR(__xludf.DUMMYFUNCTION("""COMPUTED_VALUE"""),"Hà Nội")</f>
        <v>Hà Nội</v>
      </c>
      <c r="C794" s="265" t="str">
        <f>IFERROR(__xludf.DUMMYFUNCTION("""COMPUTED_VALUE"""),"Active")</f>
        <v>Active</v>
      </c>
      <c r="D794" s="265" t="str">
        <f>IFERROR(__xludf.DUMMYFUNCTION("""COMPUTED_VALUE"""),"Sale chưa cung cấp")</f>
        <v>Sale chưa cung cấp</v>
      </c>
      <c r="E794" s="265" t="str">
        <f>IFERROR(__xludf.DUMMYFUNCTION("""COMPUTED_VALUE"""),"TùngLD")</f>
        <v>TùngLD</v>
      </c>
      <c r="F794" s="265" t="str">
        <f>IFERROR(__xludf.DUMMYFUNCTION("""COMPUTED_VALUE"""),"Gold")</f>
        <v>Gold</v>
      </c>
      <c r="G794" s="265" t="str">
        <f>IFERROR(__xludf.DUMMYFUNCTION("""COMPUTED_VALUE"""),"Premium")</f>
        <v>Premium</v>
      </c>
      <c r="H794" s="265" t="str">
        <f>IFERROR(__xludf.DUMMYFUNCTION("""COMPUTED_VALUE"""),"Trả sau")</f>
        <v>Trả sau</v>
      </c>
      <c r="I794" s="265" t="str">
        <f>IFERROR(__xludf.DUMMYFUNCTION("""COMPUTED_VALUE"""),"API")</f>
        <v>API</v>
      </c>
      <c r="J794" s="265" t="str">
        <f>IFERROR(__xludf.DUMMYFUNCTION("""COMPUTED_VALUE"""),"Zalo ZNS")</f>
        <v>Zalo ZNS</v>
      </c>
    </row>
    <row r="795">
      <c r="A795" s="265" t="str">
        <f>IFERROR(__xludf.DUMMYFUNCTION("""COMPUTED_VALUE"""),"1030")</f>
        <v>1030</v>
      </c>
      <c r="B795" s="265" t="str">
        <f>IFERROR(__xludf.DUMMYFUNCTION("""COMPUTED_VALUE"""),"Hà Nội")</f>
        <v>Hà Nội</v>
      </c>
      <c r="C795" s="265" t="str">
        <f>IFERROR(__xludf.DUMMYFUNCTION("""COMPUTED_VALUE"""),"Active")</f>
        <v>Active</v>
      </c>
      <c r="D795" s="265" t="str">
        <f>IFERROR(__xludf.DUMMYFUNCTION("""COMPUTED_VALUE"""),"Sale chưa cung cấp")</f>
        <v>Sale chưa cung cấp</v>
      </c>
      <c r="E795" s="265" t="str">
        <f>IFERROR(__xludf.DUMMYFUNCTION("""COMPUTED_VALUE"""),"TùngLD")</f>
        <v>TùngLD</v>
      </c>
      <c r="F795" s="265" t="str">
        <f>IFERROR(__xludf.DUMMYFUNCTION("""COMPUTED_VALUE"""),"Gold")</f>
        <v>Gold</v>
      </c>
      <c r="G795" s="265" t="str">
        <f>IFERROR(__xludf.DUMMYFUNCTION("""COMPUTED_VALUE"""),"Premium")</f>
        <v>Premium</v>
      </c>
      <c r="H795" s="265" t="str">
        <f>IFERROR(__xludf.DUMMYFUNCTION("""COMPUTED_VALUE"""),"Trả sau")</f>
        <v>Trả sau</v>
      </c>
      <c r="I795" s="265" t="str">
        <f>IFERROR(__xludf.DUMMYFUNCTION("""COMPUTED_VALUE"""),"API")</f>
        <v>API</v>
      </c>
      <c r="J795" s="265" t="str">
        <f>IFERROR(__xludf.DUMMYFUNCTION("""COMPUTED_VALUE"""),"Zalo UID")</f>
        <v>Zalo UID</v>
      </c>
    </row>
    <row r="796">
      <c r="A796" s="265" t="str">
        <f>IFERROR(__xludf.DUMMYFUNCTION("""COMPUTED_VALUE"""),"1031")</f>
        <v>1031</v>
      </c>
      <c r="B796" s="265" t="str">
        <f>IFERROR(__xludf.DUMMYFUNCTION("""COMPUTED_VALUE"""),"Hà Nội")</f>
        <v>Hà Nội</v>
      </c>
      <c r="C796" s="265" t="str">
        <f>IFERROR(__xludf.DUMMYFUNCTION("""COMPUTED_VALUE"""),"Active")</f>
        <v>Active</v>
      </c>
      <c r="D796" s="265" t="str">
        <f>IFERROR(__xludf.DUMMYFUNCTION("""COMPUTED_VALUE"""),"Viễn thông")</f>
        <v>Viễn thông</v>
      </c>
      <c r="E796" s="265" t="str">
        <f>IFERROR(__xludf.DUMMYFUNCTION("""COMPUTED_VALUE"""),"TùngLD")</f>
        <v>TùngLD</v>
      </c>
      <c r="F796" s="265" t="str">
        <f>IFERROR(__xludf.DUMMYFUNCTION("""COMPUTED_VALUE"""),"Gold")</f>
        <v>Gold</v>
      </c>
      <c r="G796" s="265" t="str">
        <f>IFERROR(__xludf.DUMMYFUNCTION("""COMPUTED_VALUE"""),"Enterprise")</f>
        <v>Enterprise</v>
      </c>
      <c r="H796" s="265" t="str">
        <f>IFERROR(__xludf.DUMMYFUNCTION("""COMPUTED_VALUE"""),"Trả trước")</f>
        <v>Trả trước</v>
      </c>
      <c r="I796" s="265" t="str">
        <f>IFERROR(__xludf.DUMMYFUNCTION("""COMPUTED_VALUE"""),"API")</f>
        <v>API</v>
      </c>
      <c r="J796" s="265" t="str">
        <f>IFERROR(__xludf.DUMMYFUNCTION("""COMPUTED_VALUE"""),"Tất cả")</f>
        <v>Tất cả</v>
      </c>
    </row>
    <row r="797">
      <c r="A797" s="265" t="str">
        <f>IFERROR(__xludf.DUMMYFUNCTION("""COMPUTED_VALUE"""),"1032")</f>
        <v>1032</v>
      </c>
      <c r="B797" s="265" t="str">
        <f>IFERROR(__xludf.DUMMYFUNCTION("""COMPUTED_VALUE"""),"Sài Gòn")</f>
        <v>Sài Gòn</v>
      </c>
      <c r="C797" s="265" t="str">
        <f>IFERROR(__xludf.DUMMYFUNCTION("""COMPUTED_VALUE"""),"Active")</f>
        <v>Active</v>
      </c>
      <c r="D797" s="265" t="str">
        <f>IFERROR(__xludf.DUMMYFUNCTION("""COMPUTED_VALUE"""),"Mua sắm &amp; Bán lẻ")</f>
        <v>Mua sắm &amp; Bán lẻ</v>
      </c>
      <c r="E797" s="265" t="str">
        <f>IFERROR(__xludf.DUMMYFUNCTION("""COMPUTED_VALUE"""),"TrâmNNB")</f>
        <v>TrâmNNB</v>
      </c>
      <c r="F797" s="265" t="str">
        <f>IFERROR(__xludf.DUMMYFUNCTION("""COMPUTED_VALUE"""),"Sale chưa cung cấp")</f>
        <v>Sale chưa cung cấp</v>
      </c>
      <c r="G797" s="265" t="str">
        <f>IFERROR(__xludf.DUMMYFUNCTION("""COMPUTED_VALUE"""),"Premium")</f>
        <v>Premium</v>
      </c>
      <c r="H797" s="265" t="str">
        <f>IFERROR(__xludf.DUMMYFUNCTION("""COMPUTED_VALUE"""),"Trả trước")</f>
        <v>Trả trước</v>
      </c>
      <c r="I797" s="265" t="str">
        <f>IFERROR(__xludf.DUMMYFUNCTION("""COMPUTED_VALUE"""),"API &amp; Portal")</f>
        <v>API &amp; Portal</v>
      </c>
      <c r="J797" s="265" t="str">
        <f>IFERROR(__xludf.DUMMYFUNCTION("""COMPUTED_VALUE"""),"Zalo ZNS")</f>
        <v>Zalo ZNS</v>
      </c>
    </row>
    <row r="798">
      <c r="A798" s="265" t="str">
        <f>IFERROR(__xludf.DUMMYFUNCTION("""COMPUTED_VALUE"""),"1033")</f>
        <v>1033</v>
      </c>
      <c r="B798" s="265" t="str">
        <f>IFERROR(__xludf.DUMMYFUNCTION("""COMPUTED_VALUE"""),"Sài Gòn")</f>
        <v>Sài Gòn</v>
      </c>
      <c r="C798" s="265" t="str">
        <f>IFERROR(__xludf.DUMMYFUNCTION("""COMPUTED_VALUE"""),"Active")</f>
        <v>Active</v>
      </c>
      <c r="D798" s="265" t="str">
        <f>IFERROR(__xludf.DUMMYFUNCTION("""COMPUTED_VALUE"""),"Y tế &amp; Dược phẩm")</f>
        <v>Y tế &amp; Dược phẩm</v>
      </c>
      <c r="E798" s="265" t="str">
        <f>IFERROR(__xludf.DUMMYFUNCTION("""COMPUTED_VALUE"""),"AnhNM")</f>
        <v>AnhNM</v>
      </c>
      <c r="F798" s="265" t="str">
        <f>IFERROR(__xludf.DUMMYFUNCTION("""COMPUTED_VALUE"""),"Bronze")</f>
        <v>Bronze</v>
      </c>
      <c r="G798" s="265" t="str">
        <f>IFERROR(__xludf.DUMMYFUNCTION("""COMPUTED_VALUE"""),"Enterprise")</f>
        <v>Enterprise</v>
      </c>
      <c r="H798" s="265" t="str">
        <f>IFERROR(__xludf.DUMMYFUNCTION("""COMPUTED_VALUE"""),"Trả trước")</f>
        <v>Trả trước</v>
      </c>
      <c r="I798" s="265" t="str">
        <f>IFERROR(__xludf.DUMMYFUNCTION("""COMPUTED_VALUE"""),"Portal")</f>
        <v>Portal</v>
      </c>
      <c r="J798" s="265" t="str">
        <f>IFERROR(__xludf.DUMMYFUNCTION("""COMPUTED_VALUE"""),"Zalo ZNS")</f>
        <v>Zalo ZNS</v>
      </c>
    </row>
    <row r="799">
      <c r="A799" s="265" t="str">
        <f>IFERROR(__xludf.DUMMYFUNCTION("""COMPUTED_VALUE"""),"1034")</f>
        <v>1034</v>
      </c>
      <c r="B799" s="265" t="str">
        <f>IFERROR(__xludf.DUMMYFUNCTION("""COMPUTED_VALUE"""),"Hà Nội")</f>
        <v>Hà Nội</v>
      </c>
      <c r="C799" s="265" t="str">
        <f>IFERROR(__xludf.DUMMYFUNCTION("""COMPUTED_VALUE"""),"Locked")</f>
        <v>Locked</v>
      </c>
      <c r="D799" s="265" t="str">
        <f>IFERROR(__xludf.DUMMYFUNCTION("""COMPUTED_VALUE"""),"Vận tải &amp; logistics")</f>
        <v>Vận tải &amp; logistics</v>
      </c>
      <c r="E799" s="265" t="str">
        <f>IFERROR(__xludf.DUMMYFUNCTION("""COMPUTED_VALUE"""),"TúPHN")</f>
        <v>TúPHN</v>
      </c>
      <c r="F799" s="265" t="str">
        <f>IFERROR(__xludf.DUMMYFUNCTION("""COMPUTED_VALUE"""),"Bronze")</f>
        <v>Bronze</v>
      </c>
      <c r="G799" s="265" t="str">
        <f>IFERROR(__xludf.DUMMYFUNCTION("""COMPUTED_VALUE"""),"Starter")</f>
        <v>Starter</v>
      </c>
      <c r="H799" s="265" t="str">
        <f>IFERROR(__xludf.DUMMYFUNCTION("""COMPUTED_VALUE"""),"Trial")</f>
        <v>Trial</v>
      </c>
      <c r="I799" s="265" t="str">
        <f>IFERROR(__xludf.DUMMYFUNCTION("""COMPUTED_VALUE"""),"API &amp; Portal")</f>
        <v>API &amp; Portal</v>
      </c>
      <c r="J799" s="265" t="str">
        <f>IFERROR(__xludf.DUMMYFUNCTION("""COMPUTED_VALUE"""),"SMS CSKH")</f>
        <v>SMS CSKH</v>
      </c>
    </row>
    <row r="800">
      <c r="A800" s="265" t="str">
        <f>IFERROR(__xludf.DUMMYFUNCTION("""COMPUTED_VALUE"""),"1034")</f>
        <v>1034</v>
      </c>
      <c r="B800" s="265" t="str">
        <f>IFERROR(__xludf.DUMMYFUNCTION("""COMPUTED_VALUE"""),"Hà Nội")</f>
        <v>Hà Nội</v>
      </c>
      <c r="C800" s="265" t="str">
        <f>IFERROR(__xludf.DUMMYFUNCTION("""COMPUTED_VALUE"""),"Locked")</f>
        <v>Locked</v>
      </c>
      <c r="D800" s="265" t="str">
        <f>IFERROR(__xludf.DUMMYFUNCTION("""COMPUTED_VALUE"""),"Vận tải &amp; logistics")</f>
        <v>Vận tải &amp; logistics</v>
      </c>
      <c r="E800" s="265" t="str">
        <f>IFERROR(__xludf.DUMMYFUNCTION("""COMPUTED_VALUE"""),"TúPHN")</f>
        <v>TúPHN</v>
      </c>
      <c r="F800" s="265" t="str">
        <f>IFERROR(__xludf.DUMMYFUNCTION("""COMPUTED_VALUE"""),"Bronze")</f>
        <v>Bronze</v>
      </c>
      <c r="G800" s="265" t="str">
        <f>IFERROR(__xludf.DUMMYFUNCTION("""COMPUTED_VALUE"""),"Starter")</f>
        <v>Starter</v>
      </c>
      <c r="H800" s="265" t="str">
        <f>IFERROR(__xludf.DUMMYFUNCTION("""COMPUTED_VALUE"""),"Trial")</f>
        <v>Trial</v>
      </c>
      <c r="I800" s="265" t="str">
        <f>IFERROR(__xludf.DUMMYFUNCTION("""COMPUTED_VALUE"""),"API &amp; Portal")</f>
        <v>API &amp; Portal</v>
      </c>
      <c r="J800" s="265" t="str">
        <f>IFERROR(__xludf.DUMMYFUNCTION("""COMPUTED_VALUE"""),"Zalo ZNS")</f>
        <v>Zalo ZNS</v>
      </c>
    </row>
    <row r="801">
      <c r="A801" s="265" t="str">
        <f>IFERROR(__xludf.DUMMYFUNCTION("""COMPUTED_VALUE"""),"1036")</f>
        <v>1036</v>
      </c>
      <c r="B801" s="265" t="str">
        <f>IFERROR(__xludf.DUMMYFUNCTION("""COMPUTED_VALUE"""),"Hà Nội")</f>
        <v>Hà Nội</v>
      </c>
      <c r="C801" s="265" t="str">
        <f>IFERROR(__xludf.DUMMYFUNCTION("""COMPUTED_VALUE"""),"Active")</f>
        <v>Active</v>
      </c>
      <c r="D801" s="265" t="str">
        <f>IFERROR(__xludf.DUMMYFUNCTION("""COMPUTED_VALUE"""),"Dịch vụ khác")</f>
        <v>Dịch vụ khác</v>
      </c>
      <c r="E801" s="265" t="str">
        <f>IFERROR(__xludf.DUMMYFUNCTION("""COMPUTED_VALUE"""),"Không phân công")</f>
        <v>Không phân công</v>
      </c>
      <c r="F801" s="265" t="str">
        <f>IFERROR(__xludf.DUMMYFUNCTION("""COMPUTED_VALUE"""),"Silver")</f>
        <v>Silver</v>
      </c>
      <c r="G801" s="265" t="str">
        <f>IFERROR(__xludf.DUMMYFUNCTION("""COMPUTED_VALUE"""),"Starter")</f>
        <v>Starter</v>
      </c>
      <c r="H801" s="265" t="str">
        <f>IFERROR(__xludf.DUMMYFUNCTION("""COMPUTED_VALUE"""),"Trial")</f>
        <v>Trial</v>
      </c>
      <c r="I801" s="265" t="str">
        <f>IFERROR(__xludf.DUMMYFUNCTION("""COMPUTED_VALUE"""),"API")</f>
        <v>API</v>
      </c>
      <c r="J801" s="265" t="str">
        <f>IFERROR(__xludf.DUMMYFUNCTION("""COMPUTED_VALUE"""),"Viber")</f>
        <v>Viber</v>
      </c>
    </row>
    <row r="802">
      <c r="A802" s="265" t="str">
        <f>IFERROR(__xludf.DUMMYFUNCTION("""COMPUTED_VALUE"""),"1037")</f>
        <v>1037</v>
      </c>
      <c r="B802" s="265" t="str">
        <f>IFERROR(__xludf.DUMMYFUNCTION("""COMPUTED_VALUE"""),"Sài Gòn")</f>
        <v>Sài Gòn</v>
      </c>
      <c r="C802" s="265" t="str">
        <f>IFERROR(__xludf.DUMMYFUNCTION("""COMPUTED_VALUE"""),"Active")</f>
        <v>Active</v>
      </c>
      <c r="D802" s="265" t="str">
        <f>IFERROR(__xludf.DUMMYFUNCTION("""COMPUTED_VALUE"""),"Mỹ phẩm &amp; Làm đẹp")</f>
        <v>Mỹ phẩm &amp; Làm đẹp</v>
      </c>
      <c r="E802" s="265" t="str">
        <f>IFERROR(__xludf.DUMMYFUNCTION("""COMPUTED_VALUE"""),"TùngLD")</f>
        <v>TùngLD</v>
      </c>
      <c r="F802" s="265" t="str">
        <f>IFERROR(__xludf.DUMMYFUNCTION("""COMPUTED_VALUE"""),"Gold")</f>
        <v>Gold</v>
      </c>
      <c r="G802" s="265" t="str">
        <f>IFERROR(__xludf.DUMMYFUNCTION("""COMPUTED_VALUE"""),"Premium")</f>
        <v>Premium</v>
      </c>
      <c r="H802" s="265" t="str">
        <f>IFERROR(__xludf.DUMMYFUNCTION("""COMPUTED_VALUE"""),"Trial")</f>
        <v>Trial</v>
      </c>
      <c r="I802" s="265" t="str">
        <f>IFERROR(__xludf.DUMMYFUNCTION("""COMPUTED_VALUE"""),"API &amp; Portal")</f>
        <v>API &amp; Portal</v>
      </c>
      <c r="J802" s="265" t="str">
        <f>IFERROR(__xludf.DUMMYFUNCTION("""COMPUTED_VALUE"""),"Zalo ZNS")</f>
        <v>Zalo ZNS</v>
      </c>
    </row>
    <row r="803">
      <c r="A803" s="265" t="str">
        <f>IFERROR(__xludf.DUMMYFUNCTION("""COMPUTED_VALUE"""),"1037")</f>
        <v>1037</v>
      </c>
      <c r="B803" s="265" t="str">
        <f>IFERROR(__xludf.DUMMYFUNCTION("""COMPUTED_VALUE"""),"Sài Gòn")</f>
        <v>Sài Gòn</v>
      </c>
      <c r="C803" s="265" t="str">
        <f>IFERROR(__xludf.DUMMYFUNCTION("""COMPUTED_VALUE"""),"Active")</f>
        <v>Active</v>
      </c>
      <c r="D803" s="265" t="str">
        <f>IFERROR(__xludf.DUMMYFUNCTION("""COMPUTED_VALUE"""),"Mỹ phẩm &amp; Làm đẹp")</f>
        <v>Mỹ phẩm &amp; Làm đẹp</v>
      </c>
      <c r="E803" s="265" t="str">
        <f>IFERROR(__xludf.DUMMYFUNCTION("""COMPUTED_VALUE"""),"TùngLD")</f>
        <v>TùngLD</v>
      </c>
      <c r="F803" s="265" t="str">
        <f>IFERROR(__xludf.DUMMYFUNCTION("""COMPUTED_VALUE"""),"Gold")</f>
        <v>Gold</v>
      </c>
      <c r="G803" s="265" t="str">
        <f>IFERROR(__xludf.DUMMYFUNCTION("""COMPUTED_VALUE"""),"Premium")</f>
        <v>Premium</v>
      </c>
      <c r="H803" s="265" t="str">
        <f>IFERROR(__xludf.DUMMYFUNCTION("""COMPUTED_VALUE"""),"Trial")</f>
        <v>Trial</v>
      </c>
      <c r="I803" s="265" t="str">
        <f>IFERROR(__xludf.DUMMYFUNCTION("""COMPUTED_VALUE"""),"API &amp; Portal")</f>
        <v>API &amp; Portal</v>
      </c>
      <c r="J803" s="265" t="str">
        <f>IFERROR(__xludf.DUMMYFUNCTION("""COMPUTED_VALUE"""),"Zalo UID")</f>
        <v>Zalo UID</v>
      </c>
    </row>
    <row r="804">
      <c r="A804" s="265" t="str">
        <f>IFERROR(__xludf.DUMMYFUNCTION("""COMPUTED_VALUE"""),"1039")</f>
        <v>1039</v>
      </c>
      <c r="B804" s="265" t="str">
        <f>IFERROR(__xludf.DUMMYFUNCTION("""COMPUTED_VALUE"""),"Sài Gòn")</f>
        <v>Sài Gòn</v>
      </c>
      <c r="C804" s="265" t="str">
        <f>IFERROR(__xludf.DUMMYFUNCTION("""COMPUTED_VALUE"""),"Active")</f>
        <v>Active</v>
      </c>
      <c r="D804" s="265" t="str">
        <f>IFERROR(__xludf.DUMMYFUNCTION("""COMPUTED_VALUE"""),"Dịch vụ khác")</f>
        <v>Dịch vụ khác</v>
      </c>
      <c r="E804" s="265" t="str">
        <f>IFERROR(__xludf.DUMMYFUNCTION("""COMPUTED_VALUE"""),"Không phân công")</f>
        <v>Không phân công</v>
      </c>
      <c r="F804" s="265" t="str">
        <f>IFERROR(__xludf.DUMMYFUNCTION("""COMPUTED_VALUE"""),"Diamond")</f>
        <v>Diamond</v>
      </c>
      <c r="G804" s="265" t="str">
        <f>IFERROR(__xludf.DUMMYFUNCTION("""COMPUTED_VALUE"""),"Starter")</f>
        <v>Starter</v>
      </c>
      <c r="H804" s="265" t="str">
        <f>IFERROR(__xludf.DUMMYFUNCTION("""COMPUTED_VALUE"""),"Trả trước")</f>
        <v>Trả trước</v>
      </c>
      <c r="I804" s="265" t="str">
        <f>IFERROR(__xludf.DUMMYFUNCTION("""COMPUTED_VALUE"""),"API")</f>
        <v>API</v>
      </c>
      <c r="J804" s="265" t="str">
        <f>IFERROR(__xludf.DUMMYFUNCTION("""COMPUTED_VALUE"""),"SMS CSKH")</f>
        <v>SMS CSKH</v>
      </c>
    </row>
    <row r="805">
      <c r="A805" s="265" t="str">
        <f>IFERROR(__xludf.DUMMYFUNCTION("""COMPUTED_VALUE"""),"1040")</f>
        <v>1040</v>
      </c>
      <c r="B805" s="265" t="str">
        <f>IFERROR(__xludf.DUMMYFUNCTION("""COMPUTED_VALUE"""),"Hà Nội")</f>
        <v>Hà Nội</v>
      </c>
      <c r="C805" s="265" t="str">
        <f>IFERROR(__xludf.DUMMYFUNCTION("""COMPUTED_VALUE"""),"Active")</f>
        <v>Active</v>
      </c>
      <c r="D805" s="265" t="str">
        <f>IFERROR(__xludf.DUMMYFUNCTION("""COMPUTED_VALUE"""),"Truyền thông &amp; Giải trí")</f>
        <v>Truyền thông &amp; Giải trí</v>
      </c>
      <c r="E805" s="265" t="str">
        <f>IFERROR(__xludf.DUMMYFUNCTION("""COMPUTED_VALUE"""),"AnhNM")</f>
        <v>AnhNM</v>
      </c>
      <c r="F805" s="265" t="str">
        <f>IFERROR(__xludf.DUMMYFUNCTION("""COMPUTED_VALUE"""),"Diamond")</f>
        <v>Diamond</v>
      </c>
      <c r="G805" s="265" t="str">
        <f>IFERROR(__xludf.DUMMYFUNCTION("""COMPUTED_VALUE"""),"Enterprise")</f>
        <v>Enterprise</v>
      </c>
      <c r="H805" s="265" t="str">
        <f>IFERROR(__xludf.DUMMYFUNCTION("""COMPUTED_VALUE"""),"Trial")</f>
        <v>Trial</v>
      </c>
      <c r="I805" s="265" t="str">
        <f>IFERROR(__xludf.DUMMYFUNCTION("""COMPUTED_VALUE"""),"API")</f>
        <v>API</v>
      </c>
      <c r="J805" s="265" t="str">
        <f>IFERROR(__xludf.DUMMYFUNCTION("""COMPUTED_VALUE"""),"Tất cả")</f>
        <v>Tất cả</v>
      </c>
    </row>
    <row r="806">
      <c r="A806" s="265" t="str">
        <f>IFERROR(__xludf.DUMMYFUNCTION("""COMPUTED_VALUE"""),"1038")</f>
        <v>1038</v>
      </c>
      <c r="B806" s="265" t="str">
        <f>IFERROR(__xludf.DUMMYFUNCTION("""COMPUTED_VALUE"""),"Hà Nội")</f>
        <v>Hà Nội</v>
      </c>
      <c r="C806" s="265" t="str">
        <f>IFERROR(__xludf.DUMMYFUNCTION("""COMPUTED_VALUE"""),"Active")</f>
        <v>Active</v>
      </c>
      <c r="D806" s="265" t="str">
        <f>IFERROR(__xludf.DUMMYFUNCTION("""COMPUTED_VALUE"""),"Y tế &amp; Dược phẩm")</f>
        <v>Y tế &amp; Dược phẩm</v>
      </c>
      <c r="E806" s="265" t="str">
        <f>IFERROR(__xludf.DUMMYFUNCTION("""COMPUTED_VALUE"""),"Không phân công")</f>
        <v>Không phân công</v>
      </c>
      <c r="F806" s="265" t="str">
        <f>IFERROR(__xludf.DUMMYFUNCTION("""COMPUTED_VALUE"""),"Bronze")</f>
        <v>Bronze</v>
      </c>
      <c r="G806" s="265" t="str">
        <f>IFERROR(__xludf.DUMMYFUNCTION("""COMPUTED_VALUE"""),"Starter")</f>
        <v>Starter</v>
      </c>
      <c r="H806" s="265" t="str">
        <f>IFERROR(__xludf.DUMMYFUNCTION("""COMPUTED_VALUE"""),"Trả sau")</f>
        <v>Trả sau</v>
      </c>
      <c r="I806" s="265" t="str">
        <f>IFERROR(__xludf.DUMMYFUNCTION("""COMPUTED_VALUE"""),"API &amp; Portal")</f>
        <v>API &amp; Portal</v>
      </c>
      <c r="J806" s="265" t="str">
        <f>IFERROR(__xludf.DUMMYFUNCTION("""COMPUTED_VALUE"""),"SMS CSKH")</f>
        <v>SMS CSKH</v>
      </c>
    </row>
    <row r="807">
      <c r="A807" s="265" t="str">
        <f>IFERROR(__xludf.DUMMYFUNCTION("""COMPUTED_VALUE"""),"1041")</f>
        <v>1041</v>
      </c>
      <c r="B807" s="265" t="str">
        <f>IFERROR(__xludf.DUMMYFUNCTION("""COMPUTED_VALUE"""),"Sài Gòn")</f>
        <v>Sài Gòn</v>
      </c>
      <c r="C807" s="265" t="str">
        <f>IFERROR(__xludf.DUMMYFUNCTION("""COMPUTED_VALUE"""),"Active")</f>
        <v>Active</v>
      </c>
      <c r="D807" s="265" t="str">
        <f>IFERROR(__xludf.DUMMYFUNCTION("""COMPUTED_VALUE"""),"Dịch vụ khác")</f>
        <v>Dịch vụ khác</v>
      </c>
      <c r="E807" s="265" t="str">
        <f>IFERROR(__xludf.DUMMYFUNCTION("""COMPUTED_VALUE"""),"TùngLD")</f>
        <v>TùngLD</v>
      </c>
      <c r="F807" s="265" t="str">
        <f>IFERROR(__xludf.DUMMYFUNCTION("""COMPUTED_VALUE"""),"Diamond")</f>
        <v>Diamond</v>
      </c>
      <c r="G807" s="265" t="str">
        <f>IFERROR(__xludf.DUMMYFUNCTION("""COMPUTED_VALUE"""),"Starter")</f>
        <v>Starter</v>
      </c>
      <c r="H807" s="265" t="str">
        <f>IFERROR(__xludf.DUMMYFUNCTION("""COMPUTED_VALUE"""),"Trial")</f>
        <v>Trial</v>
      </c>
      <c r="I807" s="265" t="str">
        <f>IFERROR(__xludf.DUMMYFUNCTION("""COMPUTED_VALUE"""),"API")</f>
        <v>API</v>
      </c>
      <c r="J807" s="265" t="str">
        <f>IFERROR(__xludf.DUMMYFUNCTION("""COMPUTED_VALUE"""),"SMS CSKH")</f>
        <v>SMS CSKH</v>
      </c>
    </row>
    <row r="808">
      <c r="A808" s="265" t="str">
        <f>IFERROR(__xludf.DUMMYFUNCTION("""COMPUTED_VALUE"""),"1041")</f>
        <v>1041</v>
      </c>
      <c r="B808" s="265" t="str">
        <f>IFERROR(__xludf.DUMMYFUNCTION("""COMPUTED_VALUE"""),"Sài Gòn")</f>
        <v>Sài Gòn</v>
      </c>
      <c r="C808" s="265" t="str">
        <f>IFERROR(__xludf.DUMMYFUNCTION("""COMPUTED_VALUE"""),"Active")</f>
        <v>Active</v>
      </c>
      <c r="D808" s="265" t="str">
        <f>IFERROR(__xludf.DUMMYFUNCTION("""COMPUTED_VALUE"""),"Dịch vụ khác")</f>
        <v>Dịch vụ khác</v>
      </c>
      <c r="E808" s="265" t="str">
        <f>IFERROR(__xludf.DUMMYFUNCTION("""COMPUTED_VALUE"""),"TùngLD")</f>
        <v>TùngLD</v>
      </c>
      <c r="F808" s="265" t="str">
        <f>IFERROR(__xludf.DUMMYFUNCTION("""COMPUTED_VALUE"""),"Diamond")</f>
        <v>Diamond</v>
      </c>
      <c r="G808" s="265" t="str">
        <f>IFERROR(__xludf.DUMMYFUNCTION("""COMPUTED_VALUE"""),"Starter")</f>
        <v>Starter</v>
      </c>
      <c r="H808" s="265" t="str">
        <f>IFERROR(__xludf.DUMMYFUNCTION("""COMPUTED_VALUE"""),"Trial")</f>
        <v>Trial</v>
      </c>
      <c r="I808" s="265" t="str">
        <f>IFERROR(__xludf.DUMMYFUNCTION("""COMPUTED_VALUE"""),"API")</f>
        <v>API</v>
      </c>
      <c r="J808" s="265" t="str">
        <f>IFERROR(__xludf.DUMMYFUNCTION("""COMPUTED_VALUE"""),"Zalo ZNS")</f>
        <v>Zalo ZNS</v>
      </c>
    </row>
    <row r="809">
      <c r="A809" s="265" t="str">
        <f>IFERROR(__xludf.DUMMYFUNCTION("""COMPUTED_VALUE"""),"1043")</f>
        <v>1043</v>
      </c>
      <c r="B809" s="265" t="str">
        <f>IFERROR(__xludf.DUMMYFUNCTION("""COMPUTED_VALUE"""),"Sài Gòn")</f>
        <v>Sài Gòn</v>
      </c>
      <c r="C809" s="265" t="str">
        <f>IFERROR(__xludf.DUMMYFUNCTION("""COMPUTED_VALUE"""),"Active")</f>
        <v>Active</v>
      </c>
      <c r="D809" s="265" t="str">
        <f>IFERROR(__xludf.DUMMYFUNCTION("""COMPUTED_VALUE"""),"Thực phẩm &amp; Đồ uống")</f>
        <v>Thực phẩm &amp; Đồ uống</v>
      </c>
      <c r="E809" s="265" t="str">
        <f>IFERROR(__xludf.DUMMYFUNCTION("""COMPUTED_VALUE"""),"TúPHN")</f>
        <v>TúPHN</v>
      </c>
      <c r="F809" s="265" t="str">
        <f>IFERROR(__xludf.DUMMYFUNCTION("""COMPUTED_VALUE"""),"Bronze")</f>
        <v>Bronze</v>
      </c>
      <c r="G809" s="265" t="str">
        <f>IFERROR(__xludf.DUMMYFUNCTION("""COMPUTED_VALUE"""),"Premium")</f>
        <v>Premium</v>
      </c>
      <c r="H809" s="265" t="str">
        <f>IFERROR(__xludf.DUMMYFUNCTION("""COMPUTED_VALUE"""),"Trial")</f>
        <v>Trial</v>
      </c>
      <c r="I809" s="265" t="str">
        <f>IFERROR(__xludf.DUMMYFUNCTION("""COMPUTED_VALUE"""),"Portal")</f>
        <v>Portal</v>
      </c>
      <c r="J809" s="265" t="str">
        <f>IFERROR(__xludf.DUMMYFUNCTION("""COMPUTED_VALUE"""),"Tất cả")</f>
        <v>Tất cả</v>
      </c>
    </row>
    <row r="810">
      <c r="A810" s="265" t="str">
        <f>IFERROR(__xludf.DUMMYFUNCTION("""COMPUTED_VALUE"""),"1044")</f>
        <v>1044</v>
      </c>
      <c r="B810" s="265" t="str">
        <f>IFERROR(__xludf.DUMMYFUNCTION("""COMPUTED_VALUE"""),"Hà Nội")</f>
        <v>Hà Nội</v>
      </c>
      <c r="C810" s="265" t="str">
        <f>IFERROR(__xludf.DUMMYFUNCTION("""COMPUTED_VALUE"""),"Active")</f>
        <v>Active</v>
      </c>
      <c r="D810" s="265" t="str">
        <f>IFERROR(__xludf.DUMMYFUNCTION("""COMPUTED_VALUE"""),"Giáo dục &amp; Đào tạo")</f>
        <v>Giáo dục &amp; Đào tạo</v>
      </c>
      <c r="E810" s="265" t="str">
        <f>IFERROR(__xludf.DUMMYFUNCTION("""COMPUTED_VALUE"""),"TúPHN")</f>
        <v>TúPHN</v>
      </c>
      <c r="F810" s="265" t="str">
        <f>IFERROR(__xludf.DUMMYFUNCTION("""COMPUTED_VALUE"""),"Bronze")</f>
        <v>Bronze</v>
      </c>
      <c r="G810" s="265" t="str">
        <f>IFERROR(__xludf.DUMMYFUNCTION("""COMPUTED_VALUE"""),"Starter")</f>
        <v>Starter</v>
      </c>
      <c r="H810" s="265" t="str">
        <f>IFERROR(__xludf.DUMMYFUNCTION("""COMPUTED_VALUE"""),"Trả trước")</f>
        <v>Trả trước</v>
      </c>
      <c r="I810" s="265" t="str">
        <f>IFERROR(__xludf.DUMMYFUNCTION("""COMPUTED_VALUE"""),"API &amp; Portal")</f>
        <v>API &amp; Portal</v>
      </c>
      <c r="J810" s="265" t="str">
        <f>IFERROR(__xludf.DUMMYFUNCTION("""COMPUTED_VALUE"""),"Zalo ZNS")</f>
        <v>Zalo ZNS</v>
      </c>
    </row>
    <row r="811">
      <c r="A811" s="265" t="str">
        <f>IFERROR(__xludf.DUMMYFUNCTION("""COMPUTED_VALUE"""),"1044")</f>
        <v>1044</v>
      </c>
      <c r="B811" s="265" t="str">
        <f>IFERROR(__xludf.DUMMYFUNCTION("""COMPUTED_VALUE"""),"Hà Nội")</f>
        <v>Hà Nội</v>
      </c>
      <c r="C811" s="265" t="str">
        <f>IFERROR(__xludf.DUMMYFUNCTION("""COMPUTED_VALUE"""),"Active")</f>
        <v>Active</v>
      </c>
      <c r="D811" s="265" t="str">
        <f>IFERROR(__xludf.DUMMYFUNCTION("""COMPUTED_VALUE"""),"Giáo dục &amp; Đào tạo")</f>
        <v>Giáo dục &amp; Đào tạo</v>
      </c>
      <c r="E811" s="265" t="str">
        <f>IFERROR(__xludf.DUMMYFUNCTION("""COMPUTED_VALUE"""),"TúPHN")</f>
        <v>TúPHN</v>
      </c>
      <c r="F811" s="265" t="str">
        <f>IFERROR(__xludf.DUMMYFUNCTION("""COMPUTED_VALUE"""),"Bronze")</f>
        <v>Bronze</v>
      </c>
      <c r="G811" s="265" t="str">
        <f>IFERROR(__xludf.DUMMYFUNCTION("""COMPUTED_VALUE"""),"Starter")</f>
        <v>Starter</v>
      </c>
      <c r="H811" s="265" t="str">
        <f>IFERROR(__xludf.DUMMYFUNCTION("""COMPUTED_VALUE"""),"Trả trước")</f>
        <v>Trả trước</v>
      </c>
      <c r="I811" s="265" t="str">
        <f>IFERROR(__xludf.DUMMYFUNCTION("""COMPUTED_VALUE"""),"API &amp; Portal")</f>
        <v>API &amp; Portal</v>
      </c>
      <c r="J811" s="265" t="str">
        <f>IFERROR(__xludf.DUMMYFUNCTION("""COMPUTED_VALUE"""),"Zalo UID")</f>
        <v>Zalo UID</v>
      </c>
    </row>
  </sheetData>
  <autoFilter ref="$A$1:$J$635"/>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0.25"/>
    <col customWidth="1" min="3" max="3" width="8.63"/>
    <col customWidth="1" min="4" max="4" width="19.25"/>
    <col customWidth="1" min="5" max="5" width="14.13"/>
    <col customWidth="1" min="6" max="6" width="15.88"/>
    <col customWidth="1" min="7" max="7" width="16.63"/>
    <col customWidth="1" min="8" max="8" width="20.38"/>
    <col customWidth="1" min="9" max="9" width="18.5"/>
    <col customWidth="1" min="10" max="10" width="19.13"/>
  </cols>
  <sheetData>
    <row r="1">
      <c r="A1" s="265" t="str">
        <f>IFERROR(__xludf.DUMMYFUNCTION("ARRAYFORMULA(
  QUERY(
    TRIM(
      SPLIT(
        FLATTEN(
          'Acc GapOne ver2'!C2:C3351 &amp; ""|"" &amp; 
          'Acc GapOne ver2'!A2:A3351 &amp; ""|"" &amp; 
          'Acc GapOne ver2'!B2:B3351 &amp; ""|"" &amp; 
          'Acc GapOne ver2'!Y2:Y3351 &amp; ""|"" &amp; 
"&amp;"          'Acc GapOne ver2'!Z2:Z3351 &amp; ""|"" &amp;
          'Acc GapOne ver2'!AC2:AC3351 &amp; ""|"" &amp;
          'Acc GapOne ver2'!H2:H3351 &amp; ""|"" &amp; 
          'Acc GapOne ver2'!I2:I3351 &amp; ""|"" &amp; 
          'Acc GapOne ver2'!J2:J3351 &amp; ""|"" &amp; 
          'Acc "&amp;"GapOne ver2'!AA2:AA3351 &amp; ""|"" &amp; 
          SPLIT('Acc GapOne ver2'!L2:L3351, "","")
        ), ""|""
      )
    ),
    ""SELECT Col1, Col2, Col3, Col4, Col5, Col6, Col7, Col8, Col9, Col11, Col10 WHERE Col11 IS NOT NULL LABEL Col1 'ORG ID', Col2 'Khu vự"&amp;"c', Col3 'Status', Col4 'Ngành nghề', Col5 'CS', Col6 'Phân khúc', Col7 'Loại gói cước', Col8 'Hình thức thanh toán', Col9 'Hình thức sử dụng',Col10 'SUP', Col11 'Kênh gửi tin chi tiết'""
  )
)"),"ORG ID")</f>
        <v>ORG ID</v>
      </c>
      <c r="B1" s="265" t="str">
        <f>IFERROR(__xludf.DUMMYFUNCTION("""COMPUTED_VALUE"""),"Khu vực")</f>
        <v>Khu vực</v>
      </c>
      <c r="C1" s="265" t="str">
        <f>IFERROR(__xludf.DUMMYFUNCTION("""COMPUTED_VALUE"""),"Status")</f>
        <v>Status</v>
      </c>
      <c r="D1" s="265" t="str">
        <f>IFERROR(__xludf.DUMMYFUNCTION("""COMPUTED_VALUE"""),"Ngành nghề")</f>
        <v>Ngành nghề</v>
      </c>
      <c r="E1" s="265" t="str">
        <f>IFERROR(__xludf.DUMMYFUNCTION("""COMPUTED_VALUE"""),"CS")</f>
        <v>CS</v>
      </c>
      <c r="F1" s="265" t="str">
        <f>IFERROR(__xludf.DUMMYFUNCTION("""COMPUTED_VALUE"""),"Phân khúc")</f>
        <v>Phân khúc</v>
      </c>
      <c r="G1" s="265" t="str">
        <f>IFERROR(__xludf.DUMMYFUNCTION("""COMPUTED_VALUE"""),"Loại gói cước")</f>
        <v>Loại gói cước</v>
      </c>
      <c r="H1" s="265" t="str">
        <f>IFERROR(__xludf.DUMMYFUNCTION("""COMPUTED_VALUE"""),"Hình thức thanh toán")</f>
        <v>Hình thức thanh toán</v>
      </c>
      <c r="I1" s="265" t="str">
        <f>IFERROR(__xludf.DUMMYFUNCTION("""COMPUTED_VALUE"""),"Hình thức sử dụng")</f>
        <v>Hình thức sử dụng</v>
      </c>
      <c r="J1" s="265" t="str">
        <f>IFERROR(__xludf.DUMMYFUNCTION("""COMPUTED_VALUE"""),"Kênh gửi tin chi tiết")</f>
        <v>Kênh gửi tin chi tiết</v>
      </c>
      <c r="K1" s="265" t="str">
        <f>IFERROR(__xludf.DUMMYFUNCTION("""COMPUTED_VALUE"""),"SUP")</f>
        <v>SUP</v>
      </c>
    </row>
    <row r="2">
      <c r="A2" s="265" t="str">
        <f>IFERROR(__xludf.DUMMYFUNCTION("""COMPUTED_VALUE"""),"29")</f>
        <v>29</v>
      </c>
      <c r="B2" s="265" t="str">
        <f>IFERROR(__xludf.DUMMYFUNCTION("""COMPUTED_VALUE"""),"Hà Nội")</f>
        <v>Hà Nội</v>
      </c>
      <c r="C2" s="265" t="str">
        <f>IFERROR(__xludf.DUMMYFUNCTION("""COMPUTED_VALUE"""),"Active")</f>
        <v>Active</v>
      </c>
      <c r="D2" s="265" t="str">
        <f>IFERROR(__xludf.DUMMYFUNCTION("""COMPUTED_VALUE"""),"Vận tải &amp; logistics")</f>
        <v>Vận tải &amp; logistics</v>
      </c>
      <c r="E2" s="265" t="str">
        <f>IFERROR(__xludf.DUMMYFUNCTION("""COMPUTED_VALUE"""),"TùngLD")</f>
        <v>TùngLD</v>
      </c>
      <c r="F2" s="265" t="str">
        <f>IFERROR(__xludf.DUMMYFUNCTION("""COMPUTED_VALUE"""),"Gold")</f>
        <v>Gold</v>
      </c>
      <c r="G2" s="265" t="str">
        <f>IFERROR(__xludf.DUMMYFUNCTION("""COMPUTED_VALUE"""),"Enterprise")</f>
        <v>Enterprise</v>
      </c>
      <c r="H2" s="265" t="str">
        <f>IFERROR(__xludf.DUMMYFUNCTION("""COMPUTED_VALUE"""),"Trả sau")</f>
        <v>Trả sau</v>
      </c>
      <c r="I2" s="265" t="str">
        <f>IFERROR(__xludf.DUMMYFUNCTION("""COMPUTED_VALUE"""),"API")</f>
        <v>API</v>
      </c>
      <c r="J2" s="265" t="str">
        <f>IFERROR(__xludf.DUMMYFUNCTION("""COMPUTED_VALUE"""),"SMS CSKH")</f>
        <v>SMS CSKH</v>
      </c>
      <c r="K2" s="265" t="str">
        <f>IFERROR(__xludf.DUMMYFUNCTION("""COMPUTED_VALUE"""),"LinhNTT1")</f>
        <v>LinhNTT1</v>
      </c>
    </row>
    <row r="3">
      <c r="A3" s="265" t="str">
        <f>IFERROR(__xludf.DUMMYFUNCTION("""COMPUTED_VALUE"""),"29")</f>
        <v>29</v>
      </c>
      <c r="B3" s="265" t="str">
        <f>IFERROR(__xludf.DUMMYFUNCTION("""COMPUTED_VALUE"""),"Hà Nội")</f>
        <v>Hà Nội</v>
      </c>
      <c r="C3" s="265" t="str">
        <f>IFERROR(__xludf.DUMMYFUNCTION("""COMPUTED_VALUE"""),"Active")</f>
        <v>Active</v>
      </c>
      <c r="D3" s="265" t="str">
        <f>IFERROR(__xludf.DUMMYFUNCTION("""COMPUTED_VALUE"""),"Vận tải &amp; logistics")</f>
        <v>Vận tải &amp; logistics</v>
      </c>
      <c r="E3" s="265" t="str">
        <f>IFERROR(__xludf.DUMMYFUNCTION("""COMPUTED_VALUE"""),"TùngLD")</f>
        <v>TùngLD</v>
      </c>
      <c r="F3" s="265" t="str">
        <f>IFERROR(__xludf.DUMMYFUNCTION("""COMPUTED_VALUE"""),"Gold")</f>
        <v>Gold</v>
      </c>
      <c r="G3" s="265" t="str">
        <f>IFERROR(__xludf.DUMMYFUNCTION("""COMPUTED_VALUE"""),"Enterprise")</f>
        <v>Enterprise</v>
      </c>
      <c r="H3" s="265" t="str">
        <f>IFERROR(__xludf.DUMMYFUNCTION("""COMPUTED_VALUE"""),"Trả sau")</f>
        <v>Trả sau</v>
      </c>
      <c r="I3" s="265" t="str">
        <f>IFERROR(__xludf.DUMMYFUNCTION("""COMPUTED_VALUE"""),"API")</f>
        <v>API</v>
      </c>
      <c r="J3" s="265" t="str">
        <f>IFERROR(__xludf.DUMMYFUNCTION("""COMPUTED_VALUE"""),"Zalo ZNS")</f>
        <v>Zalo ZNS</v>
      </c>
      <c r="K3" s="265" t="str">
        <f>IFERROR(__xludf.DUMMYFUNCTION("""COMPUTED_VALUE"""),"LinhNTT1")</f>
        <v>LinhNTT1</v>
      </c>
    </row>
    <row r="4">
      <c r="A4" s="265" t="str">
        <f>IFERROR(__xludf.DUMMYFUNCTION("""COMPUTED_VALUE"""),"75")</f>
        <v>75</v>
      </c>
      <c r="B4" s="265" t="str">
        <f>IFERROR(__xludf.DUMMYFUNCTION("""COMPUTED_VALUE"""),"Hà Nội")</f>
        <v>Hà Nội</v>
      </c>
      <c r="C4" s="265" t="str">
        <f>IFERROR(__xludf.DUMMYFUNCTION("""COMPUTED_VALUE"""),"Active")</f>
        <v>Active</v>
      </c>
      <c r="D4" s="265" t="str">
        <f>IFERROR(__xludf.DUMMYFUNCTION("""COMPUTED_VALUE"""),"Sale chưa cung cấp")</f>
        <v>Sale chưa cung cấp</v>
      </c>
      <c r="E4" s="265" t="str">
        <f>IFERROR(__xludf.DUMMYFUNCTION("""COMPUTED_VALUE"""),"TùngLD")</f>
        <v>TùngLD</v>
      </c>
      <c r="F4" s="265" t="str">
        <f>IFERROR(__xludf.DUMMYFUNCTION("""COMPUTED_VALUE"""),"Diamond")</f>
        <v>Diamond</v>
      </c>
      <c r="G4" s="265" t="str">
        <f>IFERROR(__xludf.DUMMYFUNCTION("""COMPUTED_VALUE"""),"Enterprise")</f>
        <v>Enterprise</v>
      </c>
      <c r="H4" s="265" t="str">
        <f>IFERROR(__xludf.DUMMYFUNCTION("""COMPUTED_VALUE"""),"Trả sau")</f>
        <v>Trả sau</v>
      </c>
      <c r="I4" s="265" t="str">
        <f>IFERROR(__xludf.DUMMYFUNCTION("""COMPUTED_VALUE"""),"API &amp; Portal")</f>
        <v>API &amp; Portal</v>
      </c>
      <c r="J4" s="265" t="str">
        <f>IFERROR(__xludf.DUMMYFUNCTION("""COMPUTED_VALUE"""),"SMS CSKH")</f>
        <v>SMS CSKH</v>
      </c>
      <c r="K4" s="265" t="str">
        <f>IFERROR(__xludf.DUMMYFUNCTION("""COMPUTED_VALUE"""),"DungPL")</f>
        <v>DungPL</v>
      </c>
    </row>
    <row r="5">
      <c r="A5" s="265" t="str">
        <f>IFERROR(__xludf.DUMMYFUNCTION("""COMPUTED_VALUE"""),"75")</f>
        <v>75</v>
      </c>
      <c r="B5" s="265" t="str">
        <f>IFERROR(__xludf.DUMMYFUNCTION("""COMPUTED_VALUE"""),"Hà Nội")</f>
        <v>Hà Nội</v>
      </c>
      <c r="C5" s="265" t="str">
        <f>IFERROR(__xludf.DUMMYFUNCTION("""COMPUTED_VALUE"""),"Active")</f>
        <v>Active</v>
      </c>
      <c r="D5" s="265" t="str">
        <f>IFERROR(__xludf.DUMMYFUNCTION("""COMPUTED_VALUE"""),"Sale chưa cung cấp")</f>
        <v>Sale chưa cung cấp</v>
      </c>
      <c r="E5" s="265" t="str">
        <f>IFERROR(__xludf.DUMMYFUNCTION("""COMPUTED_VALUE"""),"TùngLD")</f>
        <v>TùngLD</v>
      </c>
      <c r="F5" s="265" t="str">
        <f>IFERROR(__xludf.DUMMYFUNCTION("""COMPUTED_VALUE"""),"Diamond")</f>
        <v>Diamond</v>
      </c>
      <c r="G5" s="265" t="str">
        <f>IFERROR(__xludf.DUMMYFUNCTION("""COMPUTED_VALUE"""),"Enterprise")</f>
        <v>Enterprise</v>
      </c>
      <c r="H5" s="265" t="str">
        <f>IFERROR(__xludf.DUMMYFUNCTION("""COMPUTED_VALUE"""),"Trả sau")</f>
        <v>Trả sau</v>
      </c>
      <c r="I5" s="265" t="str">
        <f>IFERROR(__xludf.DUMMYFUNCTION("""COMPUTED_VALUE"""),"API &amp; Portal")</f>
        <v>API &amp; Portal</v>
      </c>
      <c r="J5" s="265" t="str">
        <f>IFERROR(__xludf.DUMMYFUNCTION("""COMPUTED_VALUE"""),"Zalo ZNS")</f>
        <v>Zalo ZNS</v>
      </c>
      <c r="K5" s="265" t="str">
        <f>IFERROR(__xludf.DUMMYFUNCTION("""COMPUTED_VALUE"""),"DungPL")</f>
        <v>DungPL</v>
      </c>
    </row>
    <row r="6">
      <c r="A6" s="265" t="str">
        <f>IFERROR(__xludf.DUMMYFUNCTION("""COMPUTED_VALUE"""),"119")</f>
        <v>119</v>
      </c>
      <c r="B6" s="265" t="str">
        <f>IFERROR(__xludf.DUMMYFUNCTION("""COMPUTED_VALUE"""),"Sài Gòn")</f>
        <v>Sài Gòn</v>
      </c>
      <c r="C6" s="265" t="str">
        <f>IFERROR(__xludf.DUMMYFUNCTION("""COMPUTED_VALUE"""),"Locked")</f>
        <v>Locked</v>
      </c>
      <c r="D6" s="265" t="str">
        <f>IFERROR(__xludf.DUMMYFUNCTION("""COMPUTED_VALUE"""),"Giáo dục &amp; Đào tạo")</f>
        <v>Giáo dục &amp; Đào tạo</v>
      </c>
      <c r="E6" s="265" t="str">
        <f>IFERROR(__xludf.DUMMYFUNCTION("""COMPUTED_VALUE"""),"TúPHN")</f>
        <v>TúPHN</v>
      </c>
      <c r="F6" s="265" t="str">
        <f>IFERROR(__xludf.DUMMYFUNCTION("""COMPUTED_VALUE"""),"Sale chưa cung cấp")</f>
        <v>Sale chưa cung cấp</v>
      </c>
      <c r="G6" s="265" t="str">
        <f>IFERROR(__xludf.DUMMYFUNCTION("""COMPUTED_VALUE"""),"Standard")</f>
        <v>Standard</v>
      </c>
      <c r="H6" s="265" t="str">
        <f>IFERROR(__xludf.DUMMYFUNCTION("""COMPUTED_VALUE"""),"Trial")</f>
        <v>Trial</v>
      </c>
      <c r="I6" s="265" t="str">
        <f>IFERROR(__xludf.DUMMYFUNCTION("""COMPUTED_VALUE"""),"API &amp; Portal")</f>
        <v>API &amp; Portal</v>
      </c>
      <c r="J6" s="265" t="str">
        <f>IFERROR(__xludf.DUMMYFUNCTION("""COMPUTED_VALUE"""),"Zalo ZNS")</f>
        <v>Zalo ZNS</v>
      </c>
      <c r="K6" s="265" t="str">
        <f>IFERROR(__xludf.DUMMYFUNCTION("""COMPUTED_VALUE"""),"Không phân công")</f>
        <v>Không phân công</v>
      </c>
    </row>
    <row r="7">
      <c r="A7" s="265" t="str">
        <f>IFERROR(__xludf.DUMMYFUNCTION("""COMPUTED_VALUE"""),"878")</f>
        <v>878</v>
      </c>
      <c r="B7" s="265" t="str">
        <f>IFERROR(__xludf.DUMMYFUNCTION("""COMPUTED_VALUE"""),"Sài Gòn")</f>
        <v>Sài Gòn</v>
      </c>
      <c r="C7" s="265" t="str">
        <f>IFERROR(__xludf.DUMMYFUNCTION("""COMPUTED_VALUE"""),"Locked")</f>
        <v>Locked</v>
      </c>
      <c r="D7" s="265" t="str">
        <f>IFERROR(__xludf.DUMMYFUNCTION("""COMPUTED_VALUE"""),"Thực phẩm &amp; Đồ uống")</f>
        <v>Thực phẩm &amp; Đồ uống</v>
      </c>
      <c r="E7" s="265" t="str">
        <f>IFERROR(__xludf.DUMMYFUNCTION("""COMPUTED_VALUE"""),"HoaNTM")</f>
        <v>HoaNTM</v>
      </c>
      <c r="F7" s="265" t="str">
        <f>IFERROR(__xludf.DUMMYFUNCTION("""COMPUTED_VALUE"""),"Diamond")</f>
        <v>Diamond</v>
      </c>
      <c r="G7" s="265" t="str">
        <f>IFERROR(__xludf.DUMMYFUNCTION("""COMPUTED_VALUE"""),"Starter")</f>
        <v>Starter</v>
      </c>
      <c r="H7" s="265" t="str">
        <f>IFERROR(__xludf.DUMMYFUNCTION("""COMPUTED_VALUE"""),"Trả sau")</f>
        <v>Trả sau</v>
      </c>
      <c r="I7" s="265" t="str">
        <f>IFERROR(__xludf.DUMMYFUNCTION("""COMPUTED_VALUE"""),"Portal")</f>
        <v>Portal</v>
      </c>
      <c r="J7" s="265" t="str">
        <f>IFERROR(__xludf.DUMMYFUNCTION("""COMPUTED_VALUE"""),"SMS CSKH")</f>
        <v>SMS CSKH</v>
      </c>
      <c r="K7" s="265" t="str">
        <f>IFERROR(__xludf.DUMMYFUNCTION("""COMPUTED_VALUE"""),"LinhNTT1")</f>
        <v>LinhNTT1</v>
      </c>
    </row>
    <row r="8">
      <c r="A8" s="265" t="str">
        <f>IFERROR(__xludf.DUMMYFUNCTION("""COMPUTED_VALUE"""),"188")</f>
        <v>188</v>
      </c>
      <c r="B8" s="265" t="str">
        <f>IFERROR(__xludf.DUMMYFUNCTION("""COMPUTED_VALUE"""),"Hà Nội")</f>
        <v>Hà Nội</v>
      </c>
      <c r="C8" s="265" t="str">
        <f>IFERROR(__xludf.DUMMYFUNCTION("""COMPUTED_VALUE"""),"Active")</f>
        <v>Active</v>
      </c>
      <c r="D8" s="265" t="str">
        <f>IFERROR(__xludf.DUMMYFUNCTION("""COMPUTED_VALUE"""),"Tài chính &amp; Ngân hàng")</f>
        <v>Tài chính &amp; Ngân hàng</v>
      </c>
      <c r="E8" s="265" t="str">
        <f>IFERROR(__xludf.DUMMYFUNCTION("""COMPUTED_VALUE"""),"TúPHN")</f>
        <v>TúPHN</v>
      </c>
      <c r="F8" s="265" t="str">
        <f>IFERROR(__xludf.DUMMYFUNCTION("""COMPUTED_VALUE"""),"Silver")</f>
        <v>Silver</v>
      </c>
      <c r="G8" s="265" t="str">
        <f>IFERROR(__xludf.DUMMYFUNCTION("""COMPUTED_VALUE"""),"Starter")</f>
        <v>Starter</v>
      </c>
      <c r="H8" s="265" t="str">
        <f>IFERROR(__xludf.DUMMYFUNCTION("""COMPUTED_VALUE"""),"Trả sau")</f>
        <v>Trả sau</v>
      </c>
      <c r="I8" s="265" t="str">
        <f>IFERROR(__xludf.DUMMYFUNCTION("""COMPUTED_VALUE"""),"API")</f>
        <v>API</v>
      </c>
      <c r="J8" s="265" t="str">
        <f>IFERROR(__xludf.DUMMYFUNCTION("""COMPUTED_VALUE"""),"Zalo ZNS")</f>
        <v>Zalo ZNS</v>
      </c>
      <c r="K8" s="265" t="str">
        <f>IFERROR(__xludf.DUMMYFUNCTION("""COMPUTED_VALUE"""),"Không phân công")</f>
        <v>Không phân công</v>
      </c>
    </row>
    <row r="9">
      <c r="A9" s="265" t="str">
        <f>IFERROR(__xludf.DUMMYFUNCTION("""COMPUTED_VALUE"""),"209")</f>
        <v>209</v>
      </c>
      <c r="B9" s="265" t="str">
        <f>IFERROR(__xludf.DUMMYFUNCTION("""COMPUTED_VALUE"""),"Hà Nội")</f>
        <v>Hà Nội</v>
      </c>
      <c r="C9" s="265" t="str">
        <f>IFERROR(__xludf.DUMMYFUNCTION("""COMPUTED_VALUE"""),"Locked")</f>
        <v>Locked</v>
      </c>
      <c r="D9" s="265" t="str">
        <f>IFERROR(__xludf.DUMMYFUNCTION("""COMPUTED_VALUE"""),"Sale chưa cung cấp")</f>
        <v>Sale chưa cung cấp</v>
      </c>
      <c r="E9" s="265" t="str">
        <f>IFERROR(__xludf.DUMMYFUNCTION("""COMPUTED_VALUE"""),"PhươngDTB")</f>
        <v>PhươngDTB</v>
      </c>
      <c r="F9" s="265" t="str">
        <f>IFERROR(__xludf.DUMMYFUNCTION("""COMPUTED_VALUE"""),"Sale chưa cung cấp")</f>
        <v>Sale chưa cung cấp</v>
      </c>
      <c r="G9" s="265" t="str">
        <f>IFERROR(__xludf.DUMMYFUNCTION("""COMPUTED_VALUE"""),"Enterprise")</f>
        <v>Enterprise</v>
      </c>
      <c r="H9" s="265" t="str">
        <f>IFERROR(__xludf.DUMMYFUNCTION("""COMPUTED_VALUE"""),"(Chưa recheck)")</f>
        <v>(Chưa recheck)</v>
      </c>
      <c r="I9" s="265" t="str">
        <f>IFERROR(__xludf.DUMMYFUNCTION("""COMPUTED_VALUE"""),"(Chưa recheck)")</f>
        <v>(Chưa recheck)</v>
      </c>
      <c r="J9" s="265" t="str">
        <f>IFERROR(__xludf.DUMMYFUNCTION("""COMPUTED_VALUE"""),"(Chưa recheck)")</f>
        <v>(Chưa recheck)</v>
      </c>
      <c r="K9" s="265" t="str">
        <f>IFERROR(__xludf.DUMMYFUNCTION("""COMPUTED_VALUE"""),"(Chưa recheck)")</f>
        <v>(Chưa recheck)</v>
      </c>
    </row>
    <row r="10">
      <c r="A10" s="265" t="str">
        <f>IFERROR(__xludf.DUMMYFUNCTION("""COMPUTED_VALUE"""),"220")</f>
        <v>220</v>
      </c>
      <c r="B10" s="265" t="str">
        <f>IFERROR(__xludf.DUMMYFUNCTION("""COMPUTED_VALUE"""),"Hà Nội")</f>
        <v>Hà Nội</v>
      </c>
      <c r="C10" s="265" t="str">
        <f>IFERROR(__xludf.DUMMYFUNCTION("""COMPUTED_VALUE"""),"Locked")</f>
        <v>Locked</v>
      </c>
      <c r="D10" s="265" t="str">
        <f>IFERROR(__xludf.DUMMYFUNCTION("""COMPUTED_VALUE"""),"Sale chưa cung cấp")</f>
        <v>Sale chưa cung cấp</v>
      </c>
      <c r="E10" s="265" t="str">
        <f>IFERROR(__xludf.DUMMYFUNCTION("""COMPUTED_VALUE"""),"TùngLD")</f>
        <v>TùngLD</v>
      </c>
      <c r="F10" s="265" t="str">
        <f>IFERROR(__xludf.DUMMYFUNCTION("""COMPUTED_VALUE"""),"Bronze")</f>
        <v>Bronze</v>
      </c>
      <c r="G10" s="265" t="str">
        <f>IFERROR(__xludf.DUMMYFUNCTION("""COMPUTED_VALUE"""),"API")</f>
        <v>API</v>
      </c>
      <c r="H10" s="265" t="str">
        <f>IFERROR(__xludf.DUMMYFUNCTION("""COMPUTED_VALUE"""),"Trả sau")</f>
        <v>Trả sau</v>
      </c>
      <c r="I10" s="265" t="str">
        <f>IFERROR(__xludf.DUMMYFUNCTION("""COMPUTED_VALUE"""),"API")</f>
        <v>API</v>
      </c>
      <c r="J10" s="265" t="str">
        <f>IFERROR(__xludf.DUMMYFUNCTION("""COMPUTED_VALUE"""),"SMS CSKH")</f>
        <v>SMS CSKH</v>
      </c>
      <c r="K10" s="265" t="str">
        <f>IFERROR(__xludf.DUMMYFUNCTION("""COMPUTED_VALUE"""),"AnhNM")</f>
        <v>AnhNM</v>
      </c>
    </row>
    <row r="11">
      <c r="A11" s="265" t="str">
        <f>IFERROR(__xludf.DUMMYFUNCTION("""COMPUTED_VALUE"""),"226")</f>
        <v>226</v>
      </c>
      <c r="B11" s="265" t="str">
        <f>IFERROR(__xludf.DUMMYFUNCTION("""COMPUTED_VALUE"""),"Sài Gòn")</f>
        <v>Sài Gòn</v>
      </c>
      <c r="C11" s="265" t="str">
        <f>IFERROR(__xludf.DUMMYFUNCTION("""COMPUTED_VALUE"""),"Locked")</f>
        <v>Locked</v>
      </c>
      <c r="D11" s="265" t="str">
        <f>IFERROR(__xludf.DUMMYFUNCTION("""COMPUTED_VALUE"""),"Sale chưa cung cấp")</f>
        <v>Sale chưa cung cấp</v>
      </c>
      <c r="E11" s="265" t="str">
        <f>IFERROR(__xludf.DUMMYFUNCTION("""COMPUTED_VALUE"""),"HoaNTM")</f>
        <v>HoaNTM</v>
      </c>
      <c r="F11" s="265" t="str">
        <f>IFERROR(__xludf.DUMMYFUNCTION("""COMPUTED_VALUE"""),"Sale chưa cung cấp")</f>
        <v>Sale chưa cung cấp</v>
      </c>
      <c r="G11" s="265" t="str">
        <f>IFERROR(__xludf.DUMMYFUNCTION("""COMPUTED_VALUE"""),"API")</f>
        <v>API</v>
      </c>
      <c r="H11" s="265" t="str">
        <f>IFERROR(__xludf.DUMMYFUNCTION("""COMPUTED_VALUE"""),"(Chưa recheck)")</f>
        <v>(Chưa recheck)</v>
      </c>
      <c r="I11" s="265" t="str">
        <f>IFERROR(__xludf.DUMMYFUNCTION("""COMPUTED_VALUE"""),"(Chưa recheck)")</f>
        <v>(Chưa recheck)</v>
      </c>
      <c r="J11" s="265" t="str">
        <f>IFERROR(__xludf.DUMMYFUNCTION("""COMPUTED_VALUE"""),"(Chưa recheck)")</f>
        <v>(Chưa recheck)</v>
      </c>
      <c r="K11" s="265" t="str">
        <f>IFERROR(__xludf.DUMMYFUNCTION("""COMPUTED_VALUE"""),"AnhNM")</f>
        <v>AnhNM</v>
      </c>
    </row>
    <row r="12">
      <c r="A12" s="265" t="str">
        <f>IFERROR(__xludf.DUMMYFUNCTION("""COMPUTED_VALUE"""),"225")</f>
        <v>225</v>
      </c>
      <c r="B12" s="265" t="str">
        <f>IFERROR(__xludf.DUMMYFUNCTION("""COMPUTED_VALUE"""),"Sài Gòn")</f>
        <v>Sài Gòn</v>
      </c>
      <c r="C12" s="265" t="str">
        <f>IFERROR(__xludf.DUMMYFUNCTION("""COMPUTED_VALUE"""),"Active")</f>
        <v>Active</v>
      </c>
      <c r="D12" s="265" t="str">
        <f>IFERROR(__xludf.DUMMYFUNCTION("""COMPUTED_VALUE"""),"Sale chưa cung cấp")</f>
        <v>Sale chưa cung cấp</v>
      </c>
      <c r="E12" s="265" t="str">
        <f>IFERROR(__xludf.DUMMYFUNCTION("""COMPUTED_VALUE"""),"TúPHN")</f>
        <v>TúPHN</v>
      </c>
      <c r="F12" s="265" t="str">
        <f>IFERROR(__xludf.DUMMYFUNCTION("""COMPUTED_VALUE"""),"Diamond")</f>
        <v>Diamond</v>
      </c>
      <c r="G12" s="265" t="str">
        <f>IFERROR(__xludf.DUMMYFUNCTION("""COMPUTED_VALUE"""),"Starter")</f>
        <v>Starter</v>
      </c>
      <c r="H12" s="265" t="str">
        <f>IFERROR(__xludf.DUMMYFUNCTION("""COMPUTED_VALUE"""),"Trả sau")</f>
        <v>Trả sau</v>
      </c>
      <c r="I12" s="265" t="str">
        <f>IFERROR(__xludf.DUMMYFUNCTION("""COMPUTED_VALUE"""),"API &amp; Portal")</f>
        <v>API &amp; Portal</v>
      </c>
      <c r="J12" s="265" t="str">
        <f>IFERROR(__xludf.DUMMYFUNCTION("""COMPUTED_VALUE"""),"SMS CSKH")</f>
        <v>SMS CSKH</v>
      </c>
      <c r="K12" s="265" t="str">
        <f>IFERROR(__xludf.DUMMYFUNCTION("""COMPUTED_VALUE"""),"LinhNTT1, YếnĐH")</f>
        <v>LinhNTT1, YếnĐH</v>
      </c>
    </row>
    <row r="13">
      <c r="A13" s="265" t="str">
        <f>IFERROR(__xludf.DUMMYFUNCTION("""COMPUTED_VALUE"""),"225")</f>
        <v>225</v>
      </c>
      <c r="B13" s="265" t="str">
        <f>IFERROR(__xludf.DUMMYFUNCTION("""COMPUTED_VALUE"""),"Sài Gòn")</f>
        <v>Sài Gòn</v>
      </c>
      <c r="C13" s="265" t="str">
        <f>IFERROR(__xludf.DUMMYFUNCTION("""COMPUTED_VALUE"""),"Active")</f>
        <v>Active</v>
      </c>
      <c r="D13" s="265" t="str">
        <f>IFERROR(__xludf.DUMMYFUNCTION("""COMPUTED_VALUE"""),"Sale chưa cung cấp")</f>
        <v>Sale chưa cung cấp</v>
      </c>
      <c r="E13" s="265" t="str">
        <f>IFERROR(__xludf.DUMMYFUNCTION("""COMPUTED_VALUE"""),"TúPHN")</f>
        <v>TúPHN</v>
      </c>
      <c r="F13" s="265" t="str">
        <f>IFERROR(__xludf.DUMMYFUNCTION("""COMPUTED_VALUE"""),"Diamond")</f>
        <v>Diamond</v>
      </c>
      <c r="G13" s="265" t="str">
        <f>IFERROR(__xludf.DUMMYFUNCTION("""COMPUTED_VALUE"""),"Starter")</f>
        <v>Starter</v>
      </c>
      <c r="H13" s="265" t="str">
        <f>IFERROR(__xludf.DUMMYFUNCTION("""COMPUTED_VALUE"""),"Trả sau")</f>
        <v>Trả sau</v>
      </c>
      <c r="I13" s="265" t="str">
        <f>IFERROR(__xludf.DUMMYFUNCTION("""COMPUTED_VALUE"""),"API &amp; Portal")</f>
        <v>API &amp; Portal</v>
      </c>
      <c r="J13" s="265" t="str">
        <f>IFERROR(__xludf.DUMMYFUNCTION("""COMPUTED_VALUE"""),"Zalo ZNS")</f>
        <v>Zalo ZNS</v>
      </c>
      <c r="K13" s="265" t="str">
        <f>IFERROR(__xludf.DUMMYFUNCTION("""COMPUTED_VALUE"""),"LinhNTT1, YếnĐH")</f>
        <v>LinhNTT1, YếnĐH</v>
      </c>
    </row>
    <row r="14">
      <c r="A14" s="265" t="str">
        <f>IFERROR(__xludf.DUMMYFUNCTION("""COMPUTED_VALUE"""),"239")</f>
        <v>239</v>
      </c>
      <c r="B14" s="265" t="str">
        <f>IFERROR(__xludf.DUMMYFUNCTION("""COMPUTED_VALUE"""),"Hà Nội")</f>
        <v>Hà Nội</v>
      </c>
      <c r="C14" s="265" t="str">
        <f>IFERROR(__xludf.DUMMYFUNCTION("""COMPUTED_VALUE"""),"Locked")</f>
        <v>Locked</v>
      </c>
      <c r="D14" s="265" t="str">
        <f>IFERROR(__xludf.DUMMYFUNCTION("""COMPUTED_VALUE"""),"Sale chưa cung cấp")</f>
        <v>Sale chưa cung cấp</v>
      </c>
      <c r="E14" s="265" t="str">
        <f>IFERROR(__xludf.DUMMYFUNCTION("""COMPUTED_VALUE"""),"HangNT")</f>
        <v>HangNT</v>
      </c>
      <c r="F14" s="265" t="str">
        <f>IFERROR(__xludf.DUMMYFUNCTION("""COMPUTED_VALUE"""),"Bronze")</f>
        <v>Bronze</v>
      </c>
      <c r="G14" s="265" t="str">
        <f>IFERROR(__xludf.DUMMYFUNCTION("""COMPUTED_VALUE"""),"Enterprise")</f>
        <v>Enterprise</v>
      </c>
      <c r="H14" s="265" t="str">
        <f>IFERROR(__xludf.DUMMYFUNCTION("""COMPUTED_VALUE"""),"(Chưa recheck)")</f>
        <v>(Chưa recheck)</v>
      </c>
      <c r="I14" s="265" t="str">
        <f>IFERROR(__xludf.DUMMYFUNCTION("""COMPUTED_VALUE"""),"(Chưa recheck)")</f>
        <v>(Chưa recheck)</v>
      </c>
      <c r="J14" s="265" t="str">
        <f>IFERROR(__xludf.DUMMYFUNCTION("""COMPUTED_VALUE"""),"(Chưa recheck)")</f>
        <v>(Chưa recheck)</v>
      </c>
      <c r="K14" s="265" t="str">
        <f>IFERROR(__xludf.DUMMYFUNCTION("""COMPUTED_VALUE"""),"AnhNM")</f>
        <v>AnhNM</v>
      </c>
    </row>
    <row r="15">
      <c r="A15" s="265" t="str">
        <f>IFERROR(__xludf.DUMMYFUNCTION("""COMPUTED_VALUE"""),"247")</f>
        <v>247</v>
      </c>
      <c r="B15" s="265" t="str">
        <f>IFERROR(__xludf.DUMMYFUNCTION("""COMPUTED_VALUE"""),"Đà Nẵng")</f>
        <v>Đà Nẵng</v>
      </c>
      <c r="C15" s="265" t="str">
        <f>IFERROR(__xludf.DUMMYFUNCTION("""COMPUTED_VALUE"""),"Active")</f>
        <v>Active</v>
      </c>
      <c r="D15" s="265" t="str">
        <f>IFERROR(__xludf.DUMMYFUNCTION("""COMPUTED_VALUE"""),"Sale chưa cung cấp")</f>
        <v>Sale chưa cung cấp</v>
      </c>
      <c r="E15" s="265" t="str">
        <f>IFERROR(__xludf.DUMMYFUNCTION("""COMPUTED_VALUE"""),"AnhNM")</f>
        <v>AnhNM</v>
      </c>
      <c r="F15" s="265" t="str">
        <f>IFERROR(__xludf.DUMMYFUNCTION("""COMPUTED_VALUE"""),"Bronze")</f>
        <v>Bronze</v>
      </c>
      <c r="G15" s="265" t="str">
        <f>IFERROR(__xludf.DUMMYFUNCTION("""COMPUTED_VALUE"""),"Starter")</f>
        <v>Starter</v>
      </c>
      <c r="H15" s="265" t="str">
        <f>IFERROR(__xludf.DUMMYFUNCTION("""COMPUTED_VALUE"""),"Trả sau")</f>
        <v>Trả sau</v>
      </c>
      <c r="I15" s="265" t="str">
        <f>IFERROR(__xludf.DUMMYFUNCTION("""COMPUTED_VALUE"""),"API &amp; Portal")</f>
        <v>API &amp; Portal</v>
      </c>
      <c r="J15" s="265" t="str">
        <f>IFERROR(__xludf.DUMMYFUNCTION("""COMPUTED_VALUE"""),"Zalo ZNS")</f>
        <v>Zalo ZNS</v>
      </c>
      <c r="K15" s="265" t="str">
        <f>IFERROR(__xludf.DUMMYFUNCTION("""COMPUTED_VALUE"""),"DungPL")</f>
        <v>DungPL</v>
      </c>
    </row>
    <row r="16">
      <c r="A16" s="265" t="str">
        <f>IFERROR(__xludf.DUMMYFUNCTION("""COMPUTED_VALUE"""),"264")</f>
        <v>264</v>
      </c>
      <c r="B16" s="265" t="str">
        <f>IFERROR(__xludf.DUMMYFUNCTION("""COMPUTED_VALUE"""),"Hà Nội")</f>
        <v>Hà Nội</v>
      </c>
      <c r="C16" s="265" t="str">
        <f>IFERROR(__xludf.DUMMYFUNCTION("""COMPUTED_VALUE"""),"Locked")</f>
        <v>Locked</v>
      </c>
      <c r="D16" s="265" t="str">
        <f>IFERROR(__xludf.DUMMYFUNCTION("""COMPUTED_VALUE"""),"Sale chưa cung cấp")</f>
        <v>Sale chưa cung cấp</v>
      </c>
      <c r="E16" s="265" t="str">
        <f>IFERROR(__xludf.DUMMYFUNCTION("""COMPUTED_VALUE"""),"PhươngDTB")</f>
        <v>PhươngDTB</v>
      </c>
      <c r="F16" s="265" t="str">
        <f>IFERROR(__xludf.DUMMYFUNCTION("""COMPUTED_VALUE"""),"Sale chưa cung cấp")</f>
        <v>Sale chưa cung cấp</v>
      </c>
      <c r="G16" s="265" t="str">
        <f>IFERROR(__xludf.DUMMYFUNCTION("""COMPUTED_VALUE"""),"Enterprise")</f>
        <v>Enterprise</v>
      </c>
      <c r="H16" s="265" t="str">
        <f>IFERROR(__xludf.DUMMYFUNCTION("""COMPUTED_VALUE"""),"Trial")</f>
        <v>Trial</v>
      </c>
      <c r="I16" s="265" t="str">
        <f>IFERROR(__xludf.DUMMYFUNCTION("""COMPUTED_VALUE"""),"(Không recheck)")</f>
        <v>(Không recheck)</v>
      </c>
      <c r="J16" s="265" t="str">
        <f>IFERROR(__xludf.DUMMYFUNCTION("""COMPUTED_VALUE"""),"(Không recheck)")</f>
        <v>(Không recheck)</v>
      </c>
      <c r="K16" s="265" t="str">
        <f>IFERROR(__xludf.DUMMYFUNCTION("""COMPUTED_VALUE"""),"(Không recheck)")</f>
        <v>(Không recheck)</v>
      </c>
    </row>
    <row r="17">
      <c r="A17" s="265" t="str">
        <f>IFERROR(__xludf.DUMMYFUNCTION("""COMPUTED_VALUE"""),"248")</f>
        <v>248</v>
      </c>
      <c r="B17" s="265" t="str">
        <f>IFERROR(__xludf.DUMMYFUNCTION("""COMPUTED_VALUE"""),"Sài Gòn")</f>
        <v>Sài Gòn</v>
      </c>
      <c r="C17" s="265" t="str">
        <f>IFERROR(__xludf.DUMMYFUNCTION("""COMPUTED_VALUE"""),"Active")</f>
        <v>Active</v>
      </c>
      <c r="D17" s="265" t="str">
        <f>IFERROR(__xludf.DUMMYFUNCTION("""COMPUTED_VALUE"""),"Sale chưa cung cấp")</f>
        <v>Sale chưa cung cấp</v>
      </c>
      <c r="E17" s="265" t="str">
        <f>IFERROR(__xludf.DUMMYFUNCTION("""COMPUTED_VALUE"""),"TúPHN")</f>
        <v>TúPHN</v>
      </c>
      <c r="F17" s="265" t="str">
        <f>IFERROR(__xludf.DUMMYFUNCTION("""COMPUTED_VALUE"""),"Silver")</f>
        <v>Silver</v>
      </c>
      <c r="G17" s="265" t="str">
        <f>IFERROR(__xludf.DUMMYFUNCTION("""COMPUTED_VALUE"""),"Enterprise")</f>
        <v>Enterprise</v>
      </c>
      <c r="H17" s="265" t="str">
        <f>IFERROR(__xludf.DUMMYFUNCTION("""COMPUTED_VALUE"""),"Trả sau")</f>
        <v>Trả sau</v>
      </c>
      <c r="I17" s="265" t="str">
        <f>IFERROR(__xludf.DUMMYFUNCTION("""COMPUTED_VALUE"""),"Portal")</f>
        <v>Portal</v>
      </c>
      <c r="J17" s="265" t="str">
        <f>IFERROR(__xludf.DUMMYFUNCTION("""COMPUTED_VALUE"""),"Zalo ZNS")</f>
        <v>Zalo ZNS</v>
      </c>
      <c r="K17" s="265" t="str">
        <f>IFERROR(__xludf.DUMMYFUNCTION("""COMPUTED_VALUE"""),"LinhNTT1")</f>
        <v>LinhNTT1</v>
      </c>
    </row>
    <row r="18">
      <c r="A18" s="265" t="str">
        <f>IFERROR(__xludf.DUMMYFUNCTION("""COMPUTED_VALUE"""),"248")</f>
        <v>248</v>
      </c>
      <c r="B18" s="265" t="str">
        <f>IFERROR(__xludf.DUMMYFUNCTION("""COMPUTED_VALUE"""),"Sài Gòn")</f>
        <v>Sài Gòn</v>
      </c>
      <c r="C18" s="265" t="str">
        <f>IFERROR(__xludf.DUMMYFUNCTION("""COMPUTED_VALUE"""),"Active")</f>
        <v>Active</v>
      </c>
      <c r="D18" s="265" t="str">
        <f>IFERROR(__xludf.DUMMYFUNCTION("""COMPUTED_VALUE"""),"Sale chưa cung cấp")</f>
        <v>Sale chưa cung cấp</v>
      </c>
      <c r="E18" s="265" t="str">
        <f>IFERROR(__xludf.DUMMYFUNCTION("""COMPUTED_VALUE"""),"TúPHN")</f>
        <v>TúPHN</v>
      </c>
      <c r="F18" s="265" t="str">
        <f>IFERROR(__xludf.DUMMYFUNCTION("""COMPUTED_VALUE"""),"Silver")</f>
        <v>Silver</v>
      </c>
      <c r="G18" s="265" t="str">
        <f>IFERROR(__xludf.DUMMYFUNCTION("""COMPUTED_VALUE"""),"Enterprise")</f>
        <v>Enterprise</v>
      </c>
      <c r="H18" s="265" t="str">
        <f>IFERROR(__xludf.DUMMYFUNCTION("""COMPUTED_VALUE"""),"Trả sau")</f>
        <v>Trả sau</v>
      </c>
      <c r="I18" s="265" t="str">
        <f>IFERROR(__xludf.DUMMYFUNCTION("""COMPUTED_VALUE"""),"Portal")</f>
        <v>Portal</v>
      </c>
      <c r="J18" s="265" t="str">
        <f>IFERROR(__xludf.DUMMYFUNCTION("""COMPUTED_VALUE"""),"Email")</f>
        <v>Email</v>
      </c>
      <c r="K18" s="265" t="str">
        <f>IFERROR(__xludf.DUMMYFUNCTION("""COMPUTED_VALUE"""),"LinhNTT1")</f>
        <v>LinhNTT1</v>
      </c>
    </row>
    <row r="19">
      <c r="A19" s="265" t="str">
        <f>IFERROR(__xludf.DUMMYFUNCTION("""COMPUTED_VALUE"""),"300")</f>
        <v>300</v>
      </c>
      <c r="B19" s="265" t="str">
        <f>IFERROR(__xludf.DUMMYFUNCTION("""COMPUTED_VALUE"""),"Hà Nội")</f>
        <v>Hà Nội</v>
      </c>
      <c r="C19" s="265" t="str">
        <f>IFERROR(__xludf.DUMMYFUNCTION("""COMPUTED_VALUE"""),"Active")</f>
        <v>Active</v>
      </c>
      <c r="D19" s="265" t="str">
        <f>IFERROR(__xludf.DUMMYFUNCTION("""COMPUTED_VALUE"""),"Sale chưa cung cấp")</f>
        <v>Sale chưa cung cấp</v>
      </c>
      <c r="E19" s="265" t="str">
        <f>IFERROR(__xludf.DUMMYFUNCTION("""COMPUTED_VALUE"""),"TùngLD")</f>
        <v>TùngLD</v>
      </c>
      <c r="F19" s="265" t="str">
        <f>IFERROR(__xludf.DUMMYFUNCTION("""COMPUTED_VALUE"""),"Gold")</f>
        <v>Gold</v>
      </c>
      <c r="G19" s="265" t="str">
        <f>IFERROR(__xludf.DUMMYFUNCTION("""COMPUTED_VALUE"""),"Starter")</f>
        <v>Starter</v>
      </c>
      <c r="H19" s="265" t="str">
        <f>IFERROR(__xludf.DUMMYFUNCTION("""COMPUTED_VALUE"""),"Trả sau")</f>
        <v>Trả sau</v>
      </c>
      <c r="I19" s="265" t="str">
        <f>IFERROR(__xludf.DUMMYFUNCTION("""COMPUTED_VALUE"""),"API")</f>
        <v>API</v>
      </c>
      <c r="J19" s="265" t="str">
        <f>IFERROR(__xludf.DUMMYFUNCTION("""COMPUTED_VALUE"""),"Zalo ZNS")</f>
        <v>Zalo ZNS</v>
      </c>
      <c r="K19" s="265" t="str">
        <f>IFERROR(__xludf.DUMMYFUNCTION("""COMPUTED_VALUE"""),"LinhNTT1")</f>
        <v>LinhNTT1</v>
      </c>
    </row>
    <row r="20">
      <c r="A20" s="265" t="str">
        <f>IFERROR(__xludf.DUMMYFUNCTION("""COMPUTED_VALUE"""),"301")</f>
        <v>301</v>
      </c>
      <c r="B20" s="265" t="str">
        <f>IFERROR(__xludf.DUMMYFUNCTION("""COMPUTED_VALUE"""),"Đà Nẵng")</f>
        <v>Đà Nẵng</v>
      </c>
      <c r="C20" s="265" t="str">
        <f>IFERROR(__xludf.DUMMYFUNCTION("""COMPUTED_VALUE"""),"Locked")</f>
        <v>Locked</v>
      </c>
      <c r="D20" s="265" t="str">
        <f>IFERROR(__xludf.DUMMYFUNCTION("""COMPUTED_VALUE"""),"Sale chưa cung cấp")</f>
        <v>Sale chưa cung cấp</v>
      </c>
      <c r="E20" s="265" t="str">
        <f>IFERROR(__xludf.DUMMYFUNCTION("""COMPUTED_VALUE"""),"PhươngDTB")</f>
        <v>PhươngDTB</v>
      </c>
      <c r="F20" s="265" t="str">
        <f>IFERROR(__xludf.DUMMYFUNCTION("""COMPUTED_VALUE"""),"Bronze")</f>
        <v>Bronze</v>
      </c>
      <c r="G20" s="265" t="str">
        <f>IFERROR(__xludf.DUMMYFUNCTION("""COMPUTED_VALUE"""),"Enterprise")</f>
        <v>Enterprise</v>
      </c>
      <c r="H20" s="265" t="str">
        <f>IFERROR(__xludf.DUMMYFUNCTION("""COMPUTED_VALUE"""),"(Chưa recheck)")</f>
        <v>(Chưa recheck)</v>
      </c>
      <c r="I20" s="265" t="str">
        <f>IFERROR(__xludf.DUMMYFUNCTION("""COMPUTED_VALUE"""),"(Chưa recheck)")</f>
        <v>(Chưa recheck)</v>
      </c>
      <c r="J20" s="265" t="str">
        <f>IFERROR(__xludf.DUMMYFUNCTION("""COMPUTED_VALUE"""),"(Chưa recheck)")</f>
        <v>(Chưa recheck)</v>
      </c>
      <c r="K20" s="265" t="str">
        <f>IFERROR(__xludf.DUMMYFUNCTION("""COMPUTED_VALUE"""),"(Chưa recheck)")</f>
        <v>(Chưa recheck)</v>
      </c>
    </row>
    <row r="21">
      <c r="A21" s="265" t="str">
        <f>IFERROR(__xludf.DUMMYFUNCTION("""COMPUTED_VALUE"""),"306")</f>
        <v>306</v>
      </c>
      <c r="B21" s="265" t="str">
        <f>IFERROR(__xludf.DUMMYFUNCTION("""COMPUTED_VALUE"""),"Hà Nội")</f>
        <v>Hà Nội</v>
      </c>
      <c r="C21" s="265" t="str">
        <f>IFERROR(__xludf.DUMMYFUNCTION("""COMPUTED_VALUE"""),"Active")</f>
        <v>Active</v>
      </c>
      <c r="D21" s="265" t="str">
        <f>IFERROR(__xludf.DUMMYFUNCTION("""COMPUTED_VALUE"""),"Sale chưa cung cấp")</f>
        <v>Sale chưa cung cấp</v>
      </c>
      <c r="E21" s="265" t="str">
        <f>IFERROR(__xludf.DUMMYFUNCTION("""COMPUTED_VALUE"""),"TùngLD")</f>
        <v>TùngLD</v>
      </c>
      <c r="F21" s="265" t="str">
        <f>IFERROR(__xludf.DUMMYFUNCTION("""COMPUTED_VALUE"""),"Bronze")</f>
        <v>Bronze</v>
      </c>
      <c r="G21" s="265" t="str">
        <f>IFERROR(__xludf.DUMMYFUNCTION("""COMPUTED_VALUE"""),"Starter")</f>
        <v>Starter</v>
      </c>
      <c r="H21" s="265" t="str">
        <f>IFERROR(__xludf.DUMMYFUNCTION("""COMPUTED_VALUE"""),"Trả sau")</f>
        <v>Trả sau</v>
      </c>
      <c r="I21" s="265" t="str">
        <f>IFERROR(__xludf.DUMMYFUNCTION("""COMPUTED_VALUE"""),"API")</f>
        <v>API</v>
      </c>
      <c r="J21" s="265" t="str">
        <f>IFERROR(__xludf.DUMMYFUNCTION("""COMPUTED_VALUE"""),"SMS CSKH")</f>
        <v>SMS CSKH</v>
      </c>
      <c r="K21" s="265" t="str">
        <f>IFERROR(__xludf.DUMMYFUNCTION("""COMPUTED_VALUE"""),"LinhNTT1")</f>
        <v>LinhNTT1</v>
      </c>
    </row>
    <row r="22">
      <c r="A22" s="265" t="str">
        <f>IFERROR(__xludf.DUMMYFUNCTION("""COMPUTED_VALUE"""),"306")</f>
        <v>306</v>
      </c>
      <c r="B22" s="265" t="str">
        <f>IFERROR(__xludf.DUMMYFUNCTION("""COMPUTED_VALUE"""),"Hà Nội")</f>
        <v>Hà Nội</v>
      </c>
      <c r="C22" s="265" t="str">
        <f>IFERROR(__xludf.DUMMYFUNCTION("""COMPUTED_VALUE"""),"Active")</f>
        <v>Active</v>
      </c>
      <c r="D22" s="265" t="str">
        <f>IFERROR(__xludf.DUMMYFUNCTION("""COMPUTED_VALUE"""),"Sale chưa cung cấp")</f>
        <v>Sale chưa cung cấp</v>
      </c>
      <c r="E22" s="265" t="str">
        <f>IFERROR(__xludf.DUMMYFUNCTION("""COMPUTED_VALUE"""),"TùngLD")</f>
        <v>TùngLD</v>
      </c>
      <c r="F22" s="265" t="str">
        <f>IFERROR(__xludf.DUMMYFUNCTION("""COMPUTED_VALUE"""),"Bronze")</f>
        <v>Bronze</v>
      </c>
      <c r="G22" s="265" t="str">
        <f>IFERROR(__xludf.DUMMYFUNCTION("""COMPUTED_VALUE"""),"Starter")</f>
        <v>Starter</v>
      </c>
      <c r="H22" s="265" t="str">
        <f>IFERROR(__xludf.DUMMYFUNCTION("""COMPUTED_VALUE"""),"Trả sau")</f>
        <v>Trả sau</v>
      </c>
      <c r="I22" s="265" t="str">
        <f>IFERROR(__xludf.DUMMYFUNCTION("""COMPUTED_VALUE"""),"API")</f>
        <v>API</v>
      </c>
      <c r="J22" s="265" t="str">
        <f>IFERROR(__xludf.DUMMYFUNCTION("""COMPUTED_VALUE"""),"Zalo ZNS")</f>
        <v>Zalo ZNS</v>
      </c>
      <c r="K22" s="265" t="str">
        <f>IFERROR(__xludf.DUMMYFUNCTION("""COMPUTED_VALUE"""),"LinhNTT1")</f>
        <v>LinhNTT1</v>
      </c>
    </row>
    <row r="23">
      <c r="A23" s="265" t="str">
        <f>IFERROR(__xludf.DUMMYFUNCTION("""COMPUTED_VALUE"""),"312")</f>
        <v>312</v>
      </c>
      <c r="B23" s="265" t="str">
        <f>IFERROR(__xludf.DUMMYFUNCTION("""COMPUTED_VALUE"""),"Sài Gòn")</f>
        <v>Sài Gòn</v>
      </c>
      <c r="C23" s="265" t="str">
        <f>IFERROR(__xludf.DUMMYFUNCTION("""COMPUTED_VALUE"""),"Active")</f>
        <v>Active</v>
      </c>
      <c r="D23" s="265" t="str">
        <f>IFERROR(__xludf.DUMMYFUNCTION("""COMPUTED_VALUE"""),"Trang sức")</f>
        <v>Trang sức</v>
      </c>
      <c r="E23" s="265" t="str">
        <f>IFERROR(__xludf.DUMMYFUNCTION("""COMPUTED_VALUE"""),"AnhNM")</f>
        <v>AnhNM</v>
      </c>
      <c r="F23" s="265" t="str">
        <f>IFERROR(__xludf.DUMMYFUNCTION("""COMPUTED_VALUE"""),"Silver")</f>
        <v>Silver</v>
      </c>
      <c r="G23" s="265" t="str">
        <f>IFERROR(__xludf.DUMMYFUNCTION("""COMPUTED_VALUE"""),"Starter")</f>
        <v>Starter</v>
      </c>
      <c r="H23" s="265" t="str">
        <f>IFERROR(__xludf.DUMMYFUNCTION("""COMPUTED_VALUE"""),"Trả sau")</f>
        <v>Trả sau</v>
      </c>
      <c r="I23" s="265" t="str">
        <f>IFERROR(__xludf.DUMMYFUNCTION("""COMPUTED_VALUE"""),"Portal")</f>
        <v>Portal</v>
      </c>
      <c r="J23" s="265" t="str">
        <f>IFERROR(__xludf.DUMMYFUNCTION("""COMPUTED_VALUE"""),"SMS CSKH")</f>
        <v>SMS CSKH</v>
      </c>
      <c r="K23" s="265" t="str">
        <f>IFERROR(__xludf.DUMMYFUNCTION("""COMPUTED_VALUE"""),"LinhNTT1")</f>
        <v>LinhNTT1</v>
      </c>
    </row>
    <row r="24">
      <c r="A24" s="265" t="str">
        <f>IFERROR(__xludf.DUMMYFUNCTION("""COMPUTED_VALUE"""),"312")</f>
        <v>312</v>
      </c>
      <c r="B24" s="265" t="str">
        <f>IFERROR(__xludf.DUMMYFUNCTION("""COMPUTED_VALUE"""),"Sài Gòn")</f>
        <v>Sài Gòn</v>
      </c>
      <c r="C24" s="265" t="str">
        <f>IFERROR(__xludf.DUMMYFUNCTION("""COMPUTED_VALUE"""),"Active")</f>
        <v>Active</v>
      </c>
      <c r="D24" s="265" t="str">
        <f>IFERROR(__xludf.DUMMYFUNCTION("""COMPUTED_VALUE"""),"Trang sức")</f>
        <v>Trang sức</v>
      </c>
      <c r="E24" s="265" t="str">
        <f>IFERROR(__xludf.DUMMYFUNCTION("""COMPUTED_VALUE"""),"AnhNM")</f>
        <v>AnhNM</v>
      </c>
      <c r="F24" s="265" t="str">
        <f>IFERROR(__xludf.DUMMYFUNCTION("""COMPUTED_VALUE"""),"Silver")</f>
        <v>Silver</v>
      </c>
      <c r="G24" s="265" t="str">
        <f>IFERROR(__xludf.DUMMYFUNCTION("""COMPUTED_VALUE"""),"Starter")</f>
        <v>Starter</v>
      </c>
      <c r="H24" s="265" t="str">
        <f>IFERROR(__xludf.DUMMYFUNCTION("""COMPUTED_VALUE"""),"Trả sau")</f>
        <v>Trả sau</v>
      </c>
      <c r="I24" s="265" t="str">
        <f>IFERROR(__xludf.DUMMYFUNCTION("""COMPUTED_VALUE"""),"Portal")</f>
        <v>Portal</v>
      </c>
      <c r="J24" s="265" t="str">
        <f>IFERROR(__xludf.DUMMYFUNCTION("""COMPUTED_VALUE"""),"SMS QC")</f>
        <v>SMS QC</v>
      </c>
      <c r="K24" s="265" t="str">
        <f>IFERROR(__xludf.DUMMYFUNCTION("""COMPUTED_VALUE"""),"LinhNTT1")</f>
        <v>LinhNTT1</v>
      </c>
    </row>
    <row r="25">
      <c r="A25" s="265" t="str">
        <f>IFERROR(__xludf.DUMMYFUNCTION("""COMPUTED_VALUE"""),"312")</f>
        <v>312</v>
      </c>
      <c r="B25" s="265" t="str">
        <f>IFERROR(__xludf.DUMMYFUNCTION("""COMPUTED_VALUE"""),"Sài Gòn")</f>
        <v>Sài Gòn</v>
      </c>
      <c r="C25" s="265" t="str">
        <f>IFERROR(__xludf.DUMMYFUNCTION("""COMPUTED_VALUE"""),"Active")</f>
        <v>Active</v>
      </c>
      <c r="D25" s="265" t="str">
        <f>IFERROR(__xludf.DUMMYFUNCTION("""COMPUTED_VALUE"""),"Trang sức")</f>
        <v>Trang sức</v>
      </c>
      <c r="E25" s="265" t="str">
        <f>IFERROR(__xludf.DUMMYFUNCTION("""COMPUTED_VALUE"""),"AnhNM")</f>
        <v>AnhNM</v>
      </c>
      <c r="F25" s="265" t="str">
        <f>IFERROR(__xludf.DUMMYFUNCTION("""COMPUTED_VALUE"""),"Silver")</f>
        <v>Silver</v>
      </c>
      <c r="G25" s="265" t="str">
        <f>IFERROR(__xludf.DUMMYFUNCTION("""COMPUTED_VALUE"""),"Starter")</f>
        <v>Starter</v>
      </c>
      <c r="H25" s="265" t="str">
        <f>IFERROR(__xludf.DUMMYFUNCTION("""COMPUTED_VALUE"""),"Trả sau")</f>
        <v>Trả sau</v>
      </c>
      <c r="I25" s="265" t="str">
        <f>IFERROR(__xludf.DUMMYFUNCTION("""COMPUTED_VALUE"""),"Portal")</f>
        <v>Portal</v>
      </c>
      <c r="J25" s="265" t="str">
        <f>IFERROR(__xludf.DUMMYFUNCTION("""COMPUTED_VALUE"""),"Zalo ZNS")</f>
        <v>Zalo ZNS</v>
      </c>
      <c r="K25" s="265" t="str">
        <f>IFERROR(__xludf.DUMMYFUNCTION("""COMPUTED_VALUE"""),"LinhNTT1")</f>
        <v>LinhNTT1</v>
      </c>
    </row>
    <row r="26">
      <c r="A26" s="265" t="str">
        <f>IFERROR(__xludf.DUMMYFUNCTION("""COMPUTED_VALUE"""),"314")</f>
        <v>314</v>
      </c>
      <c r="B26" s="265" t="str">
        <f>IFERROR(__xludf.DUMMYFUNCTION("""COMPUTED_VALUE"""),"Sài Gòn")</f>
        <v>Sài Gòn</v>
      </c>
      <c r="C26" s="265" t="str">
        <f>IFERROR(__xludf.DUMMYFUNCTION("""COMPUTED_VALUE"""),"Locked")</f>
        <v>Locked</v>
      </c>
      <c r="D26" s="265" t="str">
        <f>IFERROR(__xludf.DUMMYFUNCTION("""COMPUTED_VALUE"""),"Sale chưa cung cấp")</f>
        <v>Sale chưa cung cấp</v>
      </c>
      <c r="E26" s="265" t="str">
        <f>IFERROR(__xludf.DUMMYFUNCTION("""COMPUTED_VALUE"""),"PhươngDTB")</f>
        <v>PhươngDTB</v>
      </c>
      <c r="F26" s="265" t="str">
        <f>IFERROR(__xludf.DUMMYFUNCTION("""COMPUTED_VALUE"""),"Sale chưa cung cấp")</f>
        <v>Sale chưa cung cấp</v>
      </c>
      <c r="G26" s="265" t="str">
        <f>IFERROR(__xludf.DUMMYFUNCTION("""COMPUTED_VALUE"""),"API")</f>
        <v>API</v>
      </c>
      <c r="H26" s="265" t="str">
        <f>IFERROR(__xludf.DUMMYFUNCTION("""COMPUTED_VALUE"""),"(Chưa recheck)")</f>
        <v>(Chưa recheck)</v>
      </c>
      <c r="I26" s="265" t="str">
        <f>IFERROR(__xludf.DUMMYFUNCTION("""COMPUTED_VALUE"""),"(Chưa recheck)")</f>
        <v>(Chưa recheck)</v>
      </c>
      <c r="J26" s="265" t="str">
        <f>IFERROR(__xludf.DUMMYFUNCTION("""COMPUTED_VALUE"""),"(Chưa recheck)")</f>
        <v>(Chưa recheck)</v>
      </c>
      <c r="K26" s="265" t="str">
        <f>IFERROR(__xludf.DUMMYFUNCTION("""COMPUTED_VALUE"""),"(Chưa recheck)")</f>
        <v>(Chưa recheck)</v>
      </c>
    </row>
    <row r="27">
      <c r="A27" s="265" t="str">
        <f>IFERROR(__xludf.DUMMYFUNCTION("""COMPUTED_VALUE"""),"321")</f>
        <v>321</v>
      </c>
      <c r="B27" s="265" t="str">
        <f>IFERROR(__xludf.DUMMYFUNCTION("""COMPUTED_VALUE"""),"Sài Gòn")</f>
        <v>Sài Gòn</v>
      </c>
      <c r="C27" s="265" t="str">
        <f>IFERROR(__xludf.DUMMYFUNCTION("""COMPUTED_VALUE"""),"Locked")</f>
        <v>Locked</v>
      </c>
      <c r="D27" s="265" t="str">
        <f>IFERROR(__xludf.DUMMYFUNCTION("""COMPUTED_VALUE"""),"Sale chưa cung cấp")</f>
        <v>Sale chưa cung cấp</v>
      </c>
      <c r="E27" s="265" t="str">
        <f>IFERROR(__xludf.DUMMYFUNCTION("""COMPUTED_VALUE"""),"HoaNTM")</f>
        <v>HoaNTM</v>
      </c>
      <c r="F27" s="265" t="str">
        <f>IFERROR(__xludf.DUMMYFUNCTION("""COMPUTED_VALUE"""),"Bronze")</f>
        <v>Bronze</v>
      </c>
      <c r="G27" s="265" t="str">
        <f>IFERROR(__xludf.DUMMYFUNCTION("""COMPUTED_VALUE"""),"API")</f>
        <v>API</v>
      </c>
      <c r="H27" s="265" t="str">
        <f>IFERROR(__xludf.DUMMYFUNCTION("""COMPUTED_VALUE"""),"(Chưa recheck)")</f>
        <v>(Chưa recheck)</v>
      </c>
      <c r="I27" s="265" t="str">
        <f>IFERROR(__xludf.DUMMYFUNCTION("""COMPUTED_VALUE"""),"(Chưa recheck)")</f>
        <v>(Chưa recheck)</v>
      </c>
      <c r="J27" s="265" t="str">
        <f>IFERROR(__xludf.DUMMYFUNCTION("""COMPUTED_VALUE"""),"(Chưa recheck)")</f>
        <v>(Chưa recheck)</v>
      </c>
      <c r="K27" s="265" t="str">
        <f>IFERROR(__xludf.DUMMYFUNCTION("""COMPUTED_VALUE"""),"AnhNM")</f>
        <v>AnhNM</v>
      </c>
    </row>
    <row r="28">
      <c r="A28" s="265" t="str">
        <f>IFERROR(__xludf.DUMMYFUNCTION("""COMPUTED_VALUE"""),"None 1")</f>
        <v>None 1</v>
      </c>
      <c r="B28" s="265" t="str">
        <f>IFERROR(__xludf.DUMMYFUNCTION("""COMPUTED_VALUE"""),"Hà Nội")</f>
        <v>Hà Nội</v>
      </c>
      <c r="C28" s="265" t="str">
        <f>IFERROR(__xludf.DUMMYFUNCTION("""COMPUTED_VALUE"""),"Locked")</f>
        <v>Locked</v>
      </c>
      <c r="D28" s="265" t="str">
        <f>IFERROR(__xludf.DUMMYFUNCTION("""COMPUTED_VALUE"""),"Sale chưa cung cấp")</f>
        <v>Sale chưa cung cấp</v>
      </c>
      <c r="E28" s="265" t="str">
        <f>IFERROR(__xludf.DUMMYFUNCTION("""COMPUTED_VALUE"""),"HangNT")</f>
        <v>HangNT</v>
      </c>
      <c r="F28" s="265" t="str">
        <f>IFERROR(__xludf.DUMMYFUNCTION("""COMPUTED_VALUE"""),"Sale chưa cung cấp")</f>
        <v>Sale chưa cung cấp</v>
      </c>
      <c r="G28" s="265" t="str">
        <f>IFERROR(__xludf.DUMMYFUNCTION("""COMPUTED_VALUE"""),"GAPONE HUBSPOT")</f>
        <v>GAPONE HUBSPOT</v>
      </c>
      <c r="H28" s="265" t="str">
        <f>IFERROR(__xludf.DUMMYFUNCTION("""COMPUTED_VALUE"""),"(Chưa recheck)")</f>
        <v>(Chưa recheck)</v>
      </c>
      <c r="I28" s="265" t="str">
        <f>IFERROR(__xludf.DUMMYFUNCTION("""COMPUTED_VALUE"""),"(Chưa recheck)")</f>
        <v>(Chưa recheck)</v>
      </c>
      <c r="J28" s="265" t="str">
        <f>IFERROR(__xludf.DUMMYFUNCTION("""COMPUTED_VALUE"""),"(Chưa recheck)")</f>
        <v>(Chưa recheck)</v>
      </c>
      <c r="K28" s="265" t="str">
        <f>IFERROR(__xludf.DUMMYFUNCTION("""COMPUTED_VALUE"""),"(Chưa recheck)")</f>
        <v>(Chưa recheck)</v>
      </c>
    </row>
    <row r="29">
      <c r="A29" s="265" t="str">
        <f>IFERROR(__xludf.DUMMYFUNCTION("""COMPUTED_VALUE"""),"324")</f>
        <v>324</v>
      </c>
      <c r="B29" s="265" t="str">
        <f>IFERROR(__xludf.DUMMYFUNCTION("""COMPUTED_VALUE"""),"Hà Nội")</f>
        <v>Hà Nội</v>
      </c>
      <c r="C29" s="265" t="str">
        <f>IFERROR(__xludf.DUMMYFUNCTION("""COMPUTED_VALUE"""),"Active")</f>
        <v>Active</v>
      </c>
      <c r="D29" s="265" t="str">
        <f>IFERROR(__xludf.DUMMYFUNCTION("""COMPUTED_VALUE"""),"Sale chưa cung cấp")</f>
        <v>Sale chưa cung cấp</v>
      </c>
      <c r="E29" s="265" t="str">
        <f>IFERROR(__xludf.DUMMYFUNCTION("""COMPUTED_VALUE"""),"TúPHN")</f>
        <v>TúPHN</v>
      </c>
      <c r="F29" s="265" t="str">
        <f>IFERROR(__xludf.DUMMYFUNCTION("""COMPUTED_VALUE"""),"Gold")</f>
        <v>Gold</v>
      </c>
      <c r="G29" s="265" t="str">
        <f>IFERROR(__xludf.DUMMYFUNCTION("""COMPUTED_VALUE"""),"Enterprise")</f>
        <v>Enterprise</v>
      </c>
      <c r="H29" s="265" t="str">
        <f>IFERROR(__xludf.DUMMYFUNCTION("""COMPUTED_VALUE"""),"Trả sau")</f>
        <v>Trả sau</v>
      </c>
      <c r="I29" s="265" t="str">
        <f>IFERROR(__xludf.DUMMYFUNCTION("""COMPUTED_VALUE"""),"API")</f>
        <v>API</v>
      </c>
      <c r="J29" s="265" t="str">
        <f>IFERROR(__xludf.DUMMYFUNCTION("""COMPUTED_VALUE"""),"SMS CSKH")</f>
        <v>SMS CSKH</v>
      </c>
      <c r="K29" s="265" t="str">
        <f>IFERROR(__xludf.DUMMYFUNCTION("""COMPUTED_VALUE"""),"YếnĐH")</f>
        <v>YếnĐH</v>
      </c>
    </row>
    <row r="30">
      <c r="A30" s="265" t="str">
        <f>IFERROR(__xludf.DUMMYFUNCTION("""COMPUTED_VALUE"""),"324")</f>
        <v>324</v>
      </c>
      <c r="B30" s="265" t="str">
        <f>IFERROR(__xludf.DUMMYFUNCTION("""COMPUTED_VALUE"""),"Hà Nội")</f>
        <v>Hà Nội</v>
      </c>
      <c r="C30" s="265" t="str">
        <f>IFERROR(__xludf.DUMMYFUNCTION("""COMPUTED_VALUE"""),"Active")</f>
        <v>Active</v>
      </c>
      <c r="D30" s="265" t="str">
        <f>IFERROR(__xludf.DUMMYFUNCTION("""COMPUTED_VALUE"""),"Sale chưa cung cấp")</f>
        <v>Sale chưa cung cấp</v>
      </c>
      <c r="E30" s="265" t="str">
        <f>IFERROR(__xludf.DUMMYFUNCTION("""COMPUTED_VALUE"""),"TúPHN")</f>
        <v>TúPHN</v>
      </c>
      <c r="F30" s="265" t="str">
        <f>IFERROR(__xludf.DUMMYFUNCTION("""COMPUTED_VALUE"""),"Gold")</f>
        <v>Gold</v>
      </c>
      <c r="G30" s="265" t="str">
        <f>IFERROR(__xludf.DUMMYFUNCTION("""COMPUTED_VALUE"""),"Enterprise")</f>
        <v>Enterprise</v>
      </c>
      <c r="H30" s="265" t="str">
        <f>IFERROR(__xludf.DUMMYFUNCTION("""COMPUTED_VALUE"""),"Trả sau")</f>
        <v>Trả sau</v>
      </c>
      <c r="I30" s="265" t="str">
        <f>IFERROR(__xludf.DUMMYFUNCTION("""COMPUTED_VALUE"""),"API")</f>
        <v>API</v>
      </c>
      <c r="J30" s="265" t="str">
        <f>IFERROR(__xludf.DUMMYFUNCTION("""COMPUTED_VALUE"""),"Zalo ZNS")</f>
        <v>Zalo ZNS</v>
      </c>
      <c r="K30" s="265" t="str">
        <f>IFERROR(__xludf.DUMMYFUNCTION("""COMPUTED_VALUE"""),"YếnĐH")</f>
        <v>YếnĐH</v>
      </c>
    </row>
    <row r="31">
      <c r="A31" s="265" t="str">
        <f>IFERROR(__xludf.DUMMYFUNCTION("""COMPUTED_VALUE"""),"327")</f>
        <v>327</v>
      </c>
      <c r="B31" s="265" t="str">
        <f>IFERROR(__xludf.DUMMYFUNCTION("""COMPUTED_VALUE"""),"Đà Nẵng")</f>
        <v>Đà Nẵng</v>
      </c>
      <c r="C31" s="265" t="str">
        <f>IFERROR(__xludf.DUMMYFUNCTION("""COMPUTED_VALUE"""),"Active")</f>
        <v>Active</v>
      </c>
      <c r="D31" s="265" t="str">
        <f>IFERROR(__xludf.DUMMYFUNCTION("""COMPUTED_VALUE"""),"Sale chưa cung cấp")</f>
        <v>Sale chưa cung cấp</v>
      </c>
      <c r="E31" s="265" t="str">
        <f>IFERROR(__xludf.DUMMYFUNCTION("""COMPUTED_VALUE"""),"TùngLD")</f>
        <v>TùngLD</v>
      </c>
      <c r="F31" s="265" t="str">
        <f>IFERROR(__xludf.DUMMYFUNCTION("""COMPUTED_VALUE"""),"Silver")</f>
        <v>Silver</v>
      </c>
      <c r="G31" s="265" t="str">
        <f>IFERROR(__xludf.DUMMYFUNCTION("""COMPUTED_VALUE"""),"Starter")</f>
        <v>Starter</v>
      </c>
      <c r="H31" s="265" t="str">
        <f>IFERROR(__xludf.DUMMYFUNCTION("""COMPUTED_VALUE"""),"Trả trước")</f>
        <v>Trả trước</v>
      </c>
      <c r="I31" s="265" t="str">
        <f>IFERROR(__xludf.DUMMYFUNCTION("""COMPUTED_VALUE"""),"API")</f>
        <v>API</v>
      </c>
      <c r="J31" s="265" t="str">
        <f>IFERROR(__xludf.DUMMYFUNCTION("""COMPUTED_VALUE"""),"Zalo ZNS")</f>
        <v>Zalo ZNS</v>
      </c>
      <c r="K31" s="265" t="str">
        <f>IFERROR(__xludf.DUMMYFUNCTION("""COMPUTED_VALUE"""),"DungPL")</f>
        <v>DungPL</v>
      </c>
    </row>
    <row r="32">
      <c r="A32" s="265" t="str">
        <f>IFERROR(__xludf.DUMMYFUNCTION("""COMPUTED_VALUE"""),"None 3")</f>
        <v>None 3</v>
      </c>
      <c r="B32" s="265" t="str">
        <f>IFERROR(__xludf.DUMMYFUNCTION("""COMPUTED_VALUE"""),"Hà Nội")</f>
        <v>Hà Nội</v>
      </c>
      <c r="C32" s="265" t="str">
        <f>IFERROR(__xludf.DUMMYFUNCTION("""COMPUTED_VALUE"""),"Locked")</f>
        <v>Locked</v>
      </c>
      <c r="D32" s="265" t="str">
        <f>IFERROR(__xludf.DUMMYFUNCTION("""COMPUTED_VALUE"""),"Viễn thông")</f>
        <v>Viễn thông</v>
      </c>
      <c r="E32" s="265" t="str">
        <f>IFERROR(__xludf.DUMMYFUNCTION("""COMPUTED_VALUE"""),"TúPHN")</f>
        <v>TúPHN</v>
      </c>
      <c r="F32" s="265" t="str">
        <f>IFERROR(__xludf.DUMMYFUNCTION("""COMPUTED_VALUE"""),"Silver")</f>
        <v>Silver</v>
      </c>
      <c r="G32" s="265" t="str">
        <f>IFERROR(__xludf.DUMMYFUNCTION("""COMPUTED_VALUE"""),"None")</f>
        <v>None</v>
      </c>
      <c r="H32" s="265" t="str">
        <f>IFERROR(__xludf.DUMMYFUNCTION("""COMPUTED_VALUE"""),"Trả sau")</f>
        <v>Trả sau</v>
      </c>
      <c r="I32" s="265" t="str">
        <f>IFERROR(__xludf.DUMMYFUNCTION("""COMPUTED_VALUE"""),"API")</f>
        <v>API</v>
      </c>
      <c r="J32" s="265" t="str">
        <f>IFERROR(__xludf.DUMMYFUNCTION("""COMPUTED_VALUE"""),"Zalo ZNS")</f>
        <v>Zalo ZNS</v>
      </c>
      <c r="K32" s="265" t="str">
        <f>IFERROR(__xludf.DUMMYFUNCTION("""COMPUTED_VALUE"""),"AnhNM")</f>
        <v>AnhNM</v>
      </c>
    </row>
    <row r="33">
      <c r="A33" s="265" t="str">
        <f>IFERROR(__xludf.DUMMYFUNCTION("""COMPUTED_VALUE"""),"331")</f>
        <v>331</v>
      </c>
      <c r="B33" s="265" t="str">
        <f>IFERROR(__xludf.DUMMYFUNCTION("""COMPUTED_VALUE"""),"Hà Nội")</f>
        <v>Hà Nội</v>
      </c>
      <c r="C33" s="265" t="str">
        <f>IFERROR(__xludf.DUMMYFUNCTION("""COMPUTED_VALUE"""),"Active")</f>
        <v>Active</v>
      </c>
      <c r="D33" s="265" t="str">
        <f>IFERROR(__xludf.DUMMYFUNCTION("""COMPUTED_VALUE"""),"Sale chưa cung cấp")</f>
        <v>Sale chưa cung cấp</v>
      </c>
      <c r="E33" s="265" t="str">
        <f>IFERROR(__xludf.DUMMYFUNCTION("""COMPUTED_VALUE"""),"TúPHN")</f>
        <v>TúPHN</v>
      </c>
      <c r="F33" s="265" t="str">
        <f>IFERROR(__xludf.DUMMYFUNCTION("""COMPUTED_VALUE"""),"Diamond")</f>
        <v>Diamond</v>
      </c>
      <c r="G33" s="265" t="str">
        <f>IFERROR(__xludf.DUMMYFUNCTION("""COMPUTED_VALUE"""),"Enterprise")</f>
        <v>Enterprise</v>
      </c>
      <c r="H33" s="265" t="str">
        <f>IFERROR(__xludf.DUMMYFUNCTION("""COMPUTED_VALUE"""),"Trả sau")</f>
        <v>Trả sau</v>
      </c>
      <c r="I33" s="265" t="str">
        <f>IFERROR(__xludf.DUMMYFUNCTION("""COMPUTED_VALUE"""),"API &amp; Portal")</f>
        <v>API &amp; Portal</v>
      </c>
      <c r="J33" s="265" t="str">
        <f>IFERROR(__xludf.DUMMYFUNCTION("""COMPUTED_VALUE"""),"SMS CSKH")</f>
        <v>SMS CSKH</v>
      </c>
      <c r="K33" s="265" t="str">
        <f>IFERROR(__xludf.DUMMYFUNCTION("""COMPUTED_VALUE"""),"DungPL, DungVT")</f>
        <v>DungPL, DungVT</v>
      </c>
    </row>
    <row r="34">
      <c r="A34" s="265" t="str">
        <f>IFERROR(__xludf.DUMMYFUNCTION("""COMPUTED_VALUE"""),"331")</f>
        <v>331</v>
      </c>
      <c r="B34" s="265" t="str">
        <f>IFERROR(__xludf.DUMMYFUNCTION("""COMPUTED_VALUE"""),"Hà Nội")</f>
        <v>Hà Nội</v>
      </c>
      <c r="C34" s="265" t="str">
        <f>IFERROR(__xludf.DUMMYFUNCTION("""COMPUTED_VALUE"""),"Active")</f>
        <v>Active</v>
      </c>
      <c r="D34" s="265" t="str">
        <f>IFERROR(__xludf.DUMMYFUNCTION("""COMPUTED_VALUE"""),"Sale chưa cung cấp")</f>
        <v>Sale chưa cung cấp</v>
      </c>
      <c r="E34" s="265" t="str">
        <f>IFERROR(__xludf.DUMMYFUNCTION("""COMPUTED_VALUE"""),"TúPHN")</f>
        <v>TúPHN</v>
      </c>
      <c r="F34" s="265" t="str">
        <f>IFERROR(__xludf.DUMMYFUNCTION("""COMPUTED_VALUE"""),"Diamond")</f>
        <v>Diamond</v>
      </c>
      <c r="G34" s="265" t="str">
        <f>IFERROR(__xludf.DUMMYFUNCTION("""COMPUTED_VALUE"""),"Enterprise")</f>
        <v>Enterprise</v>
      </c>
      <c r="H34" s="265" t="str">
        <f>IFERROR(__xludf.DUMMYFUNCTION("""COMPUTED_VALUE"""),"Trả sau")</f>
        <v>Trả sau</v>
      </c>
      <c r="I34" s="265" t="str">
        <f>IFERROR(__xludf.DUMMYFUNCTION("""COMPUTED_VALUE"""),"API &amp; Portal")</f>
        <v>API &amp; Portal</v>
      </c>
      <c r="J34" s="265" t="str">
        <f>IFERROR(__xludf.DUMMYFUNCTION("""COMPUTED_VALUE"""),"SMS QC")</f>
        <v>SMS QC</v>
      </c>
      <c r="K34" s="265" t="str">
        <f>IFERROR(__xludf.DUMMYFUNCTION("""COMPUTED_VALUE"""),"DungPL, DungVT")</f>
        <v>DungPL, DungVT</v>
      </c>
    </row>
    <row r="35">
      <c r="A35" s="265" t="str">
        <f>IFERROR(__xludf.DUMMYFUNCTION("""COMPUTED_VALUE"""),"331")</f>
        <v>331</v>
      </c>
      <c r="B35" s="265" t="str">
        <f>IFERROR(__xludf.DUMMYFUNCTION("""COMPUTED_VALUE"""),"Hà Nội")</f>
        <v>Hà Nội</v>
      </c>
      <c r="C35" s="265" t="str">
        <f>IFERROR(__xludf.DUMMYFUNCTION("""COMPUTED_VALUE"""),"Active")</f>
        <v>Active</v>
      </c>
      <c r="D35" s="265" t="str">
        <f>IFERROR(__xludf.DUMMYFUNCTION("""COMPUTED_VALUE"""),"Sale chưa cung cấp")</f>
        <v>Sale chưa cung cấp</v>
      </c>
      <c r="E35" s="265" t="str">
        <f>IFERROR(__xludf.DUMMYFUNCTION("""COMPUTED_VALUE"""),"TúPHN")</f>
        <v>TúPHN</v>
      </c>
      <c r="F35" s="265" t="str">
        <f>IFERROR(__xludf.DUMMYFUNCTION("""COMPUTED_VALUE"""),"Diamond")</f>
        <v>Diamond</v>
      </c>
      <c r="G35" s="265" t="str">
        <f>IFERROR(__xludf.DUMMYFUNCTION("""COMPUTED_VALUE"""),"Enterprise")</f>
        <v>Enterprise</v>
      </c>
      <c r="H35" s="265" t="str">
        <f>IFERROR(__xludf.DUMMYFUNCTION("""COMPUTED_VALUE"""),"Trả sau")</f>
        <v>Trả sau</v>
      </c>
      <c r="I35" s="265" t="str">
        <f>IFERROR(__xludf.DUMMYFUNCTION("""COMPUTED_VALUE"""),"API &amp; Portal")</f>
        <v>API &amp; Portal</v>
      </c>
      <c r="J35" s="265" t="str">
        <f>IFERROR(__xludf.DUMMYFUNCTION("""COMPUTED_VALUE"""),"Zalo ZNS")</f>
        <v>Zalo ZNS</v>
      </c>
      <c r="K35" s="265" t="str">
        <f>IFERROR(__xludf.DUMMYFUNCTION("""COMPUTED_VALUE"""),"DungPL, DungVT")</f>
        <v>DungPL, DungVT</v>
      </c>
    </row>
    <row r="36">
      <c r="A36" s="265" t="str">
        <f>IFERROR(__xludf.DUMMYFUNCTION("""COMPUTED_VALUE"""),"332")</f>
        <v>332</v>
      </c>
      <c r="B36" s="265" t="str">
        <f>IFERROR(__xludf.DUMMYFUNCTION("""COMPUTED_VALUE"""),"Hà Nội")</f>
        <v>Hà Nội</v>
      </c>
      <c r="C36" s="265" t="str">
        <f>IFERROR(__xludf.DUMMYFUNCTION("""COMPUTED_VALUE"""),"Locked")</f>
        <v>Locked</v>
      </c>
      <c r="D36" s="265" t="str">
        <f>IFERROR(__xludf.DUMMYFUNCTION("""COMPUTED_VALUE"""),"Sale chưa cung cấp")</f>
        <v>Sale chưa cung cấp</v>
      </c>
      <c r="E36" s="265" t="str">
        <f>IFERROR(__xludf.DUMMYFUNCTION("""COMPUTED_VALUE"""),"PhươngDTB")</f>
        <v>PhươngDTB</v>
      </c>
      <c r="F36" s="265" t="str">
        <f>IFERROR(__xludf.DUMMYFUNCTION("""COMPUTED_VALUE"""),"Sale chưa cung cấp")</f>
        <v>Sale chưa cung cấp</v>
      </c>
      <c r="G36" s="265" t="str">
        <f>IFERROR(__xludf.DUMMYFUNCTION("""COMPUTED_VALUE"""),"Enterprise")</f>
        <v>Enterprise</v>
      </c>
      <c r="H36" s="265" t="str">
        <f>IFERROR(__xludf.DUMMYFUNCTION("""COMPUTED_VALUE"""),"Trial")</f>
        <v>Trial</v>
      </c>
      <c r="I36" s="265" t="str">
        <f>IFERROR(__xludf.DUMMYFUNCTION("""COMPUTED_VALUE"""),"(Chưa recheck)")</f>
        <v>(Chưa recheck)</v>
      </c>
      <c r="J36" s="265" t="str">
        <f>IFERROR(__xludf.DUMMYFUNCTION("""COMPUTED_VALUE"""),"(Chưa recheck)")</f>
        <v>(Chưa recheck)</v>
      </c>
      <c r="K36" s="265" t="str">
        <f>IFERROR(__xludf.DUMMYFUNCTION("""COMPUTED_VALUE"""),"(Chưa recheck)")</f>
        <v>(Chưa recheck)</v>
      </c>
    </row>
    <row r="37">
      <c r="A37" s="265" t="str">
        <f>IFERROR(__xludf.DUMMYFUNCTION("""COMPUTED_VALUE"""),"344")</f>
        <v>344</v>
      </c>
      <c r="B37" s="265" t="str">
        <f>IFERROR(__xludf.DUMMYFUNCTION("""COMPUTED_VALUE"""),"Hà Nội")</f>
        <v>Hà Nội</v>
      </c>
      <c r="C37" s="265" t="str">
        <f>IFERROR(__xludf.DUMMYFUNCTION("""COMPUTED_VALUE"""),"Locked")</f>
        <v>Locked</v>
      </c>
      <c r="D37" s="265" t="str">
        <f>IFERROR(__xludf.DUMMYFUNCTION("""COMPUTED_VALUE"""),"Sale chưa cung cấp")</f>
        <v>Sale chưa cung cấp</v>
      </c>
      <c r="E37" s="265" t="str">
        <f>IFERROR(__xludf.DUMMYFUNCTION("""COMPUTED_VALUE"""),"TùngLD")</f>
        <v>TùngLD</v>
      </c>
      <c r="F37" s="265" t="str">
        <f>IFERROR(__xludf.DUMMYFUNCTION("""COMPUTED_VALUE"""),"Sale chưa cung cấp")</f>
        <v>Sale chưa cung cấp</v>
      </c>
      <c r="G37" s="265" t="str">
        <f>IFERROR(__xludf.DUMMYFUNCTION("""COMPUTED_VALUE"""),"Enterprise")</f>
        <v>Enterprise</v>
      </c>
      <c r="H37" s="265" t="str">
        <f>IFERROR(__xludf.DUMMYFUNCTION("""COMPUTED_VALUE"""),"Trả sau")</f>
        <v>Trả sau</v>
      </c>
      <c r="I37" s="265" t="str">
        <f>IFERROR(__xludf.DUMMYFUNCTION("""COMPUTED_VALUE"""),"API &amp; Portal")</f>
        <v>API &amp; Portal</v>
      </c>
      <c r="J37" s="265" t="str">
        <f>IFERROR(__xludf.DUMMYFUNCTION("""COMPUTED_VALUE"""),"Tất cả")</f>
        <v>Tất cả</v>
      </c>
      <c r="K37" s="265" t="str">
        <f>IFERROR(__xludf.DUMMYFUNCTION("""COMPUTED_VALUE"""),"LinhNTT1")</f>
        <v>LinhNTT1</v>
      </c>
    </row>
    <row r="38">
      <c r="A38" s="265" t="str">
        <f>IFERROR(__xludf.DUMMYFUNCTION("""COMPUTED_VALUE"""),"346")</f>
        <v>346</v>
      </c>
      <c r="B38" s="265" t="str">
        <f>IFERROR(__xludf.DUMMYFUNCTION("""COMPUTED_VALUE"""),"Hà Nội")</f>
        <v>Hà Nội</v>
      </c>
      <c r="C38" s="265" t="str">
        <f>IFERROR(__xludf.DUMMYFUNCTION("""COMPUTED_VALUE"""),"Active")</f>
        <v>Active</v>
      </c>
      <c r="D38" s="265" t="str">
        <f>IFERROR(__xludf.DUMMYFUNCTION("""COMPUTED_VALUE"""),"Sale chưa cung cấp")</f>
        <v>Sale chưa cung cấp</v>
      </c>
      <c r="E38" s="265" t="str">
        <f>IFERROR(__xludf.DUMMYFUNCTION("""COMPUTED_VALUE"""),"Không phân công")</f>
        <v>Không phân công</v>
      </c>
      <c r="F38" s="265" t="str">
        <f>IFERROR(__xludf.DUMMYFUNCTION("""COMPUTED_VALUE"""),"Sale chưa cung cấp")</f>
        <v>Sale chưa cung cấp</v>
      </c>
      <c r="G38" s="265" t="str">
        <f>IFERROR(__xludf.DUMMYFUNCTION("""COMPUTED_VALUE"""),"API")</f>
        <v>API</v>
      </c>
      <c r="H38" s="265" t="str">
        <f>IFERROR(__xludf.DUMMYFUNCTION("""COMPUTED_VALUE"""),"Trả sau")</f>
        <v>Trả sau</v>
      </c>
      <c r="I38" s="265" t="str">
        <f>IFERROR(__xludf.DUMMYFUNCTION("""COMPUTED_VALUE"""),"API")</f>
        <v>API</v>
      </c>
      <c r="J38" s="265" t="str">
        <f>IFERROR(__xludf.DUMMYFUNCTION("""COMPUTED_VALUE"""),"SMS CSKH")</f>
        <v>SMS CSKH</v>
      </c>
      <c r="K38" s="265" t="str">
        <f>IFERROR(__xludf.DUMMYFUNCTION("""COMPUTED_VALUE"""),"LinhNTT1")</f>
        <v>LinhNTT1</v>
      </c>
    </row>
    <row r="39">
      <c r="A39" s="265" t="str">
        <f>IFERROR(__xludf.DUMMYFUNCTION("""COMPUTED_VALUE"""),"347")</f>
        <v>347</v>
      </c>
      <c r="B39" s="265" t="str">
        <f>IFERROR(__xludf.DUMMYFUNCTION("""COMPUTED_VALUE"""),"Sài Gòn")</f>
        <v>Sài Gòn</v>
      </c>
      <c r="C39" s="265" t="str">
        <f>IFERROR(__xludf.DUMMYFUNCTION("""COMPUTED_VALUE"""),"Locked")</f>
        <v>Locked</v>
      </c>
      <c r="D39" s="265" t="str">
        <f>IFERROR(__xludf.DUMMYFUNCTION("""COMPUTED_VALUE"""),"Sale chưa cung cấp")</f>
        <v>Sale chưa cung cấp</v>
      </c>
      <c r="E39" s="265" t="str">
        <f>IFERROR(__xludf.DUMMYFUNCTION("""COMPUTED_VALUE"""),"HoaNTM")</f>
        <v>HoaNTM</v>
      </c>
      <c r="F39" s="265" t="str">
        <f>IFERROR(__xludf.DUMMYFUNCTION("""COMPUTED_VALUE"""),"Sale chưa cung cấp")</f>
        <v>Sale chưa cung cấp</v>
      </c>
      <c r="G39" s="265" t="str">
        <f>IFERROR(__xludf.DUMMYFUNCTION("""COMPUTED_VALUE"""),"API")</f>
        <v>API</v>
      </c>
      <c r="H39" s="265" t="str">
        <f>IFERROR(__xludf.DUMMYFUNCTION("""COMPUTED_VALUE"""),"(Chưa recheck)")</f>
        <v>(Chưa recheck)</v>
      </c>
      <c r="I39" s="265" t="str">
        <f>IFERROR(__xludf.DUMMYFUNCTION("""COMPUTED_VALUE"""),"(Chưa recheck)")</f>
        <v>(Chưa recheck)</v>
      </c>
      <c r="J39" s="265" t="str">
        <f>IFERROR(__xludf.DUMMYFUNCTION("""COMPUTED_VALUE"""),"(Chưa recheck)")</f>
        <v>(Chưa recheck)</v>
      </c>
      <c r="K39" s="265" t="str">
        <f>IFERROR(__xludf.DUMMYFUNCTION("""COMPUTED_VALUE"""),"(Chưa recheck)")</f>
        <v>(Chưa recheck)</v>
      </c>
    </row>
    <row r="40">
      <c r="A40" s="265" t="str">
        <f>IFERROR(__xludf.DUMMYFUNCTION("""COMPUTED_VALUE"""),"350")</f>
        <v>350</v>
      </c>
      <c r="B40" s="265" t="str">
        <f>IFERROR(__xludf.DUMMYFUNCTION("""COMPUTED_VALUE"""),"Hà Nội")</f>
        <v>Hà Nội</v>
      </c>
      <c r="C40" s="265" t="str">
        <f>IFERROR(__xludf.DUMMYFUNCTION("""COMPUTED_VALUE"""),"Locked")</f>
        <v>Locked</v>
      </c>
      <c r="D40" s="265" t="str">
        <f>IFERROR(__xludf.DUMMYFUNCTION("""COMPUTED_VALUE"""),"Tài chính &amp; Ngân hàng")</f>
        <v>Tài chính &amp; Ngân hàng</v>
      </c>
      <c r="E40" s="265" t="str">
        <f>IFERROR(__xludf.DUMMYFUNCTION("""COMPUTED_VALUE"""),"(Không recheck)")</f>
        <v>(Không recheck)</v>
      </c>
      <c r="F40" s="265" t="str">
        <f>IFERROR(__xludf.DUMMYFUNCTION("""COMPUTED_VALUE"""),"Diamond")</f>
        <v>Diamond</v>
      </c>
      <c r="G40" s="265" t="str">
        <f>IFERROR(__xludf.DUMMYFUNCTION("""COMPUTED_VALUE"""),"API")</f>
        <v>API</v>
      </c>
      <c r="H40" s="265" t="str">
        <f>IFERROR(__xludf.DUMMYFUNCTION("""COMPUTED_VALUE"""),"Trial")</f>
        <v>Trial</v>
      </c>
      <c r="I40" s="265" t="str">
        <f>IFERROR(__xludf.DUMMYFUNCTION("""COMPUTED_VALUE"""),"API")</f>
        <v>API</v>
      </c>
      <c r="J40" s="265" t="str">
        <f>IFERROR(__xludf.DUMMYFUNCTION("""COMPUTED_VALUE"""),"(Không recheck)")</f>
        <v>(Không recheck)</v>
      </c>
      <c r="K40" s="265" t="str">
        <f>IFERROR(__xludf.DUMMYFUNCTION("""COMPUTED_VALUE"""),"(Không recheck)")</f>
        <v>(Không recheck)</v>
      </c>
    </row>
    <row r="41">
      <c r="A41" s="265" t="str">
        <f>IFERROR(__xludf.DUMMYFUNCTION("""COMPUTED_VALUE"""),"351")</f>
        <v>351</v>
      </c>
      <c r="B41" s="265" t="str">
        <f>IFERROR(__xludf.DUMMYFUNCTION("""COMPUTED_VALUE"""),"Hà Nội")</f>
        <v>Hà Nội</v>
      </c>
      <c r="C41" s="265" t="str">
        <f>IFERROR(__xludf.DUMMYFUNCTION("""COMPUTED_VALUE"""),"Locked")</f>
        <v>Locked</v>
      </c>
      <c r="D41" s="265" t="str">
        <f>IFERROR(__xludf.DUMMYFUNCTION("""COMPUTED_VALUE"""),"Sale chưa cung cấp")</f>
        <v>Sale chưa cung cấp</v>
      </c>
      <c r="E41" s="265" t="str">
        <f>IFERROR(__xludf.DUMMYFUNCTION("""COMPUTED_VALUE"""),"HangNT")</f>
        <v>HangNT</v>
      </c>
      <c r="F41" s="265" t="str">
        <f>IFERROR(__xludf.DUMMYFUNCTION("""COMPUTED_VALUE"""),"Sale chưa cung cấp")</f>
        <v>Sale chưa cung cấp</v>
      </c>
      <c r="G41" s="265" t="str">
        <f>IFERROR(__xludf.DUMMYFUNCTION("""COMPUTED_VALUE"""),"Enterprise")</f>
        <v>Enterprise</v>
      </c>
      <c r="H41" s="265" t="str">
        <f>IFERROR(__xludf.DUMMYFUNCTION("""COMPUTED_VALUE"""),"(Chưa recheck)")</f>
        <v>(Chưa recheck)</v>
      </c>
      <c r="I41" s="265" t="str">
        <f>IFERROR(__xludf.DUMMYFUNCTION("""COMPUTED_VALUE"""),"(Chưa recheck)")</f>
        <v>(Chưa recheck)</v>
      </c>
      <c r="J41" s="265" t="str">
        <f>IFERROR(__xludf.DUMMYFUNCTION("""COMPUTED_VALUE"""),"(Chưa recheck)")</f>
        <v>(Chưa recheck)</v>
      </c>
      <c r="K41" s="265" t="str">
        <f>IFERROR(__xludf.DUMMYFUNCTION("""COMPUTED_VALUE"""),"(Chưa recheck)")</f>
        <v>(Chưa recheck)</v>
      </c>
    </row>
    <row r="42">
      <c r="A42" s="265" t="str">
        <f>IFERROR(__xludf.DUMMYFUNCTION("""COMPUTED_VALUE"""),"352")</f>
        <v>352</v>
      </c>
      <c r="B42" s="265" t="str">
        <f>IFERROR(__xludf.DUMMYFUNCTION("""COMPUTED_VALUE"""),"Hà Nội")</f>
        <v>Hà Nội</v>
      </c>
      <c r="C42" s="265" t="str">
        <f>IFERROR(__xludf.DUMMYFUNCTION("""COMPUTED_VALUE"""),"Locked")</f>
        <v>Locked</v>
      </c>
      <c r="D42" s="265" t="str">
        <f>IFERROR(__xludf.DUMMYFUNCTION("""COMPUTED_VALUE"""),"Sale chưa cung cấp")</f>
        <v>Sale chưa cung cấp</v>
      </c>
      <c r="E42" s="265" t="str">
        <f>IFERROR(__xludf.DUMMYFUNCTION("""COMPUTED_VALUE"""),"(Chưa recheck)")</f>
        <v>(Chưa recheck)</v>
      </c>
      <c r="F42" s="265" t="str">
        <f>IFERROR(__xludf.DUMMYFUNCTION("""COMPUTED_VALUE"""),"Sale chưa cung cấp")</f>
        <v>Sale chưa cung cấp</v>
      </c>
      <c r="G42" s="265" t="str">
        <f>IFERROR(__xludf.DUMMYFUNCTION("""COMPUTED_VALUE"""),"API")</f>
        <v>API</v>
      </c>
      <c r="H42" s="265" t="str">
        <f>IFERROR(__xludf.DUMMYFUNCTION("""COMPUTED_VALUE"""),"(Chưa recheck)")</f>
        <v>(Chưa recheck)</v>
      </c>
      <c r="I42" s="265" t="str">
        <f>IFERROR(__xludf.DUMMYFUNCTION("""COMPUTED_VALUE"""),"API")</f>
        <v>API</v>
      </c>
      <c r="J42" s="265" t="str">
        <f>IFERROR(__xludf.DUMMYFUNCTION("""COMPUTED_VALUE"""),"(Chưa recheck)")</f>
        <v>(Chưa recheck)</v>
      </c>
      <c r="K42" s="265" t="str">
        <f>IFERROR(__xludf.DUMMYFUNCTION("""COMPUTED_VALUE"""),"(Chưa recheck)")</f>
        <v>(Chưa recheck)</v>
      </c>
    </row>
    <row r="43">
      <c r="A43" s="265" t="str">
        <f>IFERROR(__xludf.DUMMYFUNCTION("""COMPUTED_VALUE"""),"353")</f>
        <v>353</v>
      </c>
      <c r="B43" s="265" t="str">
        <f>IFERROR(__xludf.DUMMYFUNCTION("""COMPUTED_VALUE"""),"Hà Nội")</f>
        <v>Hà Nội</v>
      </c>
      <c r="C43" s="265" t="str">
        <f>IFERROR(__xludf.DUMMYFUNCTION("""COMPUTED_VALUE"""),"Locked")</f>
        <v>Locked</v>
      </c>
      <c r="D43" s="265" t="str">
        <f>IFERROR(__xludf.DUMMYFUNCTION("""COMPUTED_VALUE"""),"Sale chưa cung cấp")</f>
        <v>Sale chưa cung cấp</v>
      </c>
      <c r="E43" s="265" t="str">
        <f>IFERROR(__xludf.DUMMYFUNCTION("""COMPUTED_VALUE"""),"(Không recheck)")</f>
        <v>(Không recheck)</v>
      </c>
      <c r="F43" s="265" t="str">
        <f>IFERROR(__xludf.DUMMYFUNCTION("""COMPUTED_VALUE"""),"Sale chưa cung cấp")</f>
        <v>Sale chưa cung cấp</v>
      </c>
      <c r="G43" s="265" t="str">
        <f>IFERROR(__xludf.DUMMYFUNCTION("""COMPUTED_VALUE"""),"Enterprise")</f>
        <v>Enterprise</v>
      </c>
      <c r="H43" s="265" t="str">
        <f>IFERROR(__xludf.DUMMYFUNCTION("""COMPUTED_VALUE"""),"Trial")</f>
        <v>Trial</v>
      </c>
      <c r="I43" s="265" t="str">
        <f>IFERROR(__xludf.DUMMYFUNCTION("""COMPUTED_VALUE"""),"(Không recheck)")</f>
        <v>(Không recheck)</v>
      </c>
      <c r="J43" s="265" t="str">
        <f>IFERROR(__xludf.DUMMYFUNCTION("""COMPUTED_VALUE"""),"(Không recheck)")</f>
        <v>(Không recheck)</v>
      </c>
      <c r="K43" s="265" t="str">
        <f>IFERROR(__xludf.DUMMYFUNCTION("""COMPUTED_VALUE"""),"(Không recheck)")</f>
        <v>(Không recheck)</v>
      </c>
    </row>
    <row r="44">
      <c r="A44" s="265" t="str">
        <f>IFERROR(__xludf.DUMMYFUNCTION("""COMPUTED_VALUE"""),"354")</f>
        <v>354</v>
      </c>
      <c r="B44" s="265" t="str">
        <f>IFERROR(__xludf.DUMMYFUNCTION("""COMPUTED_VALUE"""),"Sài Gòn")</f>
        <v>Sài Gòn</v>
      </c>
      <c r="C44" s="265" t="str">
        <f>IFERROR(__xludf.DUMMYFUNCTION("""COMPUTED_VALUE"""),"Locked")</f>
        <v>Locked</v>
      </c>
      <c r="D44" s="265" t="str">
        <f>IFERROR(__xludf.DUMMYFUNCTION("""COMPUTED_VALUE"""),"Sale chưa cung cấp")</f>
        <v>Sale chưa cung cấp</v>
      </c>
      <c r="E44" s="265" t="str">
        <f>IFERROR(__xludf.DUMMYFUNCTION("""COMPUTED_VALUE"""),"MaiTP")</f>
        <v>MaiTP</v>
      </c>
      <c r="F44" s="265" t="str">
        <f>IFERROR(__xludf.DUMMYFUNCTION("""COMPUTED_VALUE"""),"Sale chưa cung cấp")</f>
        <v>Sale chưa cung cấp</v>
      </c>
      <c r="G44" s="265" t="str">
        <f>IFERROR(__xludf.DUMMYFUNCTION("""COMPUTED_VALUE"""),"Enterprise")</f>
        <v>Enterprise</v>
      </c>
      <c r="H44" s="265" t="str">
        <f>IFERROR(__xludf.DUMMYFUNCTION("""COMPUTED_VALUE"""),"(Chưa recheck)")</f>
        <v>(Chưa recheck)</v>
      </c>
      <c r="I44" s="265" t="str">
        <f>IFERROR(__xludf.DUMMYFUNCTION("""COMPUTED_VALUE"""),"(Chưa recheck)")</f>
        <v>(Chưa recheck)</v>
      </c>
      <c r="J44" s="265" t="str">
        <f>IFERROR(__xludf.DUMMYFUNCTION("""COMPUTED_VALUE"""),"(Chưa recheck)")</f>
        <v>(Chưa recheck)</v>
      </c>
      <c r="K44" s="265" t="str">
        <f>IFERROR(__xludf.DUMMYFUNCTION("""COMPUTED_VALUE"""),"(Chưa recheck)")</f>
        <v>(Chưa recheck)</v>
      </c>
    </row>
    <row r="45">
      <c r="A45" s="265" t="str">
        <f>IFERROR(__xludf.DUMMYFUNCTION("""COMPUTED_VALUE"""),"355")</f>
        <v>355</v>
      </c>
      <c r="B45" s="265" t="str">
        <f>IFERROR(__xludf.DUMMYFUNCTION("""COMPUTED_VALUE"""),"Hà Nội")</f>
        <v>Hà Nội</v>
      </c>
      <c r="C45" s="265" t="str">
        <f>IFERROR(__xludf.DUMMYFUNCTION("""COMPUTED_VALUE"""),"Locked")</f>
        <v>Locked</v>
      </c>
      <c r="D45" s="265" t="str">
        <f>IFERROR(__xludf.DUMMYFUNCTION("""COMPUTED_VALUE"""),"Sale chưa cung cấp")</f>
        <v>Sale chưa cung cấp</v>
      </c>
      <c r="E45" s="265" t="str">
        <f>IFERROR(__xludf.DUMMYFUNCTION("""COMPUTED_VALUE"""),"(Không recheck)")</f>
        <v>(Không recheck)</v>
      </c>
      <c r="F45" s="265" t="str">
        <f>IFERROR(__xludf.DUMMYFUNCTION("""COMPUTED_VALUE"""),"Bronze")</f>
        <v>Bronze</v>
      </c>
      <c r="G45" s="265" t="str">
        <f>IFERROR(__xludf.DUMMYFUNCTION("""COMPUTED_VALUE"""),"MSG")</f>
        <v>MSG</v>
      </c>
      <c r="H45" s="265" t="str">
        <f>IFERROR(__xludf.DUMMYFUNCTION("""COMPUTED_VALUE"""),"Trial")</f>
        <v>Trial</v>
      </c>
      <c r="I45" s="265" t="str">
        <f>IFERROR(__xludf.DUMMYFUNCTION("""COMPUTED_VALUE"""),"Portal")</f>
        <v>Portal</v>
      </c>
      <c r="J45" s="265" t="str">
        <f>IFERROR(__xludf.DUMMYFUNCTION("""COMPUTED_VALUE"""),"(Không recheck)")</f>
        <v>(Không recheck)</v>
      </c>
      <c r="K45" s="265" t="str">
        <f>IFERROR(__xludf.DUMMYFUNCTION("""COMPUTED_VALUE"""),"(Không recheck)")</f>
        <v>(Không recheck)</v>
      </c>
    </row>
    <row r="46">
      <c r="A46" s="265" t="str">
        <f>IFERROR(__xludf.DUMMYFUNCTION("""COMPUTED_VALUE"""),"356")</f>
        <v>356</v>
      </c>
      <c r="B46" s="265" t="str">
        <f>IFERROR(__xludf.DUMMYFUNCTION("""COMPUTED_VALUE"""),"Sài Gòn")</f>
        <v>Sài Gòn</v>
      </c>
      <c r="C46" s="265" t="str">
        <f>IFERROR(__xludf.DUMMYFUNCTION("""COMPUTED_VALUE"""),"Active")</f>
        <v>Active</v>
      </c>
      <c r="D46" s="265" t="str">
        <f>IFERROR(__xludf.DUMMYFUNCTION("""COMPUTED_VALUE"""),"Sale chưa cung cấp")</f>
        <v>Sale chưa cung cấp</v>
      </c>
      <c r="E46" s="265" t="str">
        <f>IFERROR(__xludf.DUMMYFUNCTION("""COMPUTED_VALUE"""),"TúPHN")</f>
        <v>TúPHN</v>
      </c>
      <c r="F46" s="265" t="str">
        <f>IFERROR(__xludf.DUMMYFUNCTION("""COMPUTED_VALUE"""),"Gold")</f>
        <v>Gold</v>
      </c>
      <c r="G46" s="265" t="str">
        <f>IFERROR(__xludf.DUMMYFUNCTION("""COMPUTED_VALUE"""),"Standard")</f>
        <v>Standard</v>
      </c>
      <c r="H46" s="265" t="str">
        <f>IFERROR(__xludf.DUMMYFUNCTION("""COMPUTED_VALUE"""),"Trả sau")</f>
        <v>Trả sau</v>
      </c>
      <c r="I46" s="265" t="str">
        <f>IFERROR(__xludf.DUMMYFUNCTION("""COMPUTED_VALUE"""),"API &amp; Portal")</f>
        <v>API &amp; Portal</v>
      </c>
      <c r="J46" s="265" t="str">
        <f>IFERROR(__xludf.DUMMYFUNCTION("""COMPUTED_VALUE"""),"Zalo ZNS")</f>
        <v>Zalo ZNS</v>
      </c>
      <c r="K46" s="265" t="str">
        <f>IFERROR(__xludf.DUMMYFUNCTION("""COMPUTED_VALUE"""),"DungPL")</f>
        <v>DungPL</v>
      </c>
    </row>
    <row r="47">
      <c r="A47" s="265" t="str">
        <f>IFERROR(__xludf.DUMMYFUNCTION("""COMPUTED_VALUE"""),"359")</f>
        <v>359</v>
      </c>
      <c r="B47" s="265" t="str">
        <f>IFERROR(__xludf.DUMMYFUNCTION("""COMPUTED_VALUE"""),"Hà Nội")</f>
        <v>Hà Nội</v>
      </c>
      <c r="C47" s="265" t="str">
        <f>IFERROR(__xludf.DUMMYFUNCTION("""COMPUTED_VALUE"""),"Locked")</f>
        <v>Locked</v>
      </c>
      <c r="D47" s="265" t="str">
        <f>IFERROR(__xludf.DUMMYFUNCTION("""COMPUTED_VALUE"""),"Sale chưa cung cấp")</f>
        <v>Sale chưa cung cấp</v>
      </c>
      <c r="E47" s="265" t="str">
        <f>IFERROR(__xludf.DUMMYFUNCTION("""COMPUTED_VALUE"""),"(Không recheck)")</f>
        <v>(Không recheck)</v>
      </c>
      <c r="F47" s="265" t="str">
        <f>IFERROR(__xludf.DUMMYFUNCTION("""COMPUTED_VALUE"""),"Sale chưa cung cấp")</f>
        <v>Sale chưa cung cấp</v>
      </c>
      <c r="G47" s="265" t="str">
        <f>IFERROR(__xludf.DUMMYFUNCTION("""COMPUTED_VALUE"""),"Enterprise")</f>
        <v>Enterprise</v>
      </c>
      <c r="H47" s="265" t="str">
        <f>IFERROR(__xludf.DUMMYFUNCTION("""COMPUTED_VALUE"""),"Trial")</f>
        <v>Trial</v>
      </c>
      <c r="I47" s="265" t="str">
        <f>IFERROR(__xludf.DUMMYFUNCTION("""COMPUTED_VALUE"""),"(Không recheck)")</f>
        <v>(Không recheck)</v>
      </c>
      <c r="J47" s="265" t="str">
        <f>IFERROR(__xludf.DUMMYFUNCTION("""COMPUTED_VALUE"""),"(Không recheck)")</f>
        <v>(Không recheck)</v>
      </c>
      <c r="K47" s="265" t="str">
        <f>IFERROR(__xludf.DUMMYFUNCTION("""COMPUTED_VALUE"""),"(Không recheck)")</f>
        <v>(Không recheck)</v>
      </c>
    </row>
    <row r="48">
      <c r="A48" s="265" t="str">
        <f>IFERROR(__xludf.DUMMYFUNCTION("""COMPUTED_VALUE"""),"358")</f>
        <v>358</v>
      </c>
      <c r="B48" s="265" t="str">
        <f>IFERROR(__xludf.DUMMYFUNCTION("""COMPUTED_VALUE"""),"Sài Gòn")</f>
        <v>Sài Gòn</v>
      </c>
      <c r="C48" s="265" t="str">
        <f>IFERROR(__xludf.DUMMYFUNCTION("""COMPUTED_VALUE"""),"Locked")</f>
        <v>Locked</v>
      </c>
      <c r="D48" s="265" t="str">
        <f>IFERROR(__xludf.DUMMYFUNCTION("""COMPUTED_VALUE"""),"Sale chưa cung cấp")</f>
        <v>Sale chưa cung cấp</v>
      </c>
      <c r="E48" s="265" t="str">
        <f>IFERROR(__xludf.DUMMYFUNCTION("""COMPUTED_VALUE"""),"(Chưa recheck)")</f>
        <v>(Chưa recheck)</v>
      </c>
      <c r="F48" s="265" t="str">
        <f>IFERROR(__xludf.DUMMYFUNCTION("""COMPUTED_VALUE"""),"Sale chưa cung cấp")</f>
        <v>Sale chưa cung cấp</v>
      </c>
      <c r="G48" s="265" t="str">
        <f>IFERROR(__xludf.DUMMYFUNCTION("""COMPUTED_VALUE"""),"API")</f>
        <v>API</v>
      </c>
      <c r="H48" s="265" t="str">
        <f>IFERROR(__xludf.DUMMYFUNCTION("""COMPUTED_VALUE"""),"(Chưa recheck)")</f>
        <v>(Chưa recheck)</v>
      </c>
      <c r="I48" s="265" t="str">
        <f>IFERROR(__xludf.DUMMYFUNCTION("""COMPUTED_VALUE"""),"(Chưa recheck)")</f>
        <v>(Chưa recheck)</v>
      </c>
      <c r="J48" s="265" t="str">
        <f>IFERROR(__xludf.DUMMYFUNCTION("""COMPUTED_VALUE"""),"(Chưa recheck)")</f>
        <v>(Chưa recheck)</v>
      </c>
      <c r="K48" s="265" t="str">
        <f>IFERROR(__xludf.DUMMYFUNCTION("""COMPUTED_VALUE"""),"AnhNM")</f>
        <v>AnhNM</v>
      </c>
    </row>
    <row r="49">
      <c r="A49" s="265" t="str">
        <f>IFERROR(__xludf.DUMMYFUNCTION("""COMPUTED_VALUE"""),"357")</f>
        <v>357</v>
      </c>
      <c r="B49" s="265" t="str">
        <f>IFERROR(__xludf.DUMMYFUNCTION("""COMPUTED_VALUE"""),"Đà Nẵng")</f>
        <v>Đà Nẵng</v>
      </c>
      <c r="C49" s="265" t="str">
        <f>IFERROR(__xludf.DUMMYFUNCTION("""COMPUTED_VALUE"""),"Locked")</f>
        <v>Locked</v>
      </c>
      <c r="D49" s="265" t="str">
        <f>IFERROR(__xludf.DUMMYFUNCTION("""COMPUTED_VALUE"""),"Sale chưa cung cấp")</f>
        <v>Sale chưa cung cấp</v>
      </c>
      <c r="E49" s="265" t="str">
        <f>IFERROR(__xludf.DUMMYFUNCTION("""COMPUTED_VALUE"""),"HoaNTM")</f>
        <v>HoaNTM</v>
      </c>
      <c r="F49" s="265" t="str">
        <f>IFERROR(__xludf.DUMMYFUNCTION("""COMPUTED_VALUE"""),"Sale chưa cung cấp")</f>
        <v>Sale chưa cung cấp</v>
      </c>
      <c r="G49" s="265" t="str">
        <f>IFERROR(__xludf.DUMMYFUNCTION("""COMPUTED_VALUE"""),"API")</f>
        <v>API</v>
      </c>
      <c r="H49" s="265" t="str">
        <f>IFERROR(__xludf.DUMMYFUNCTION("""COMPUTED_VALUE"""),"(Chưa recheck)")</f>
        <v>(Chưa recheck)</v>
      </c>
      <c r="I49" s="265" t="str">
        <f>IFERROR(__xludf.DUMMYFUNCTION("""COMPUTED_VALUE"""),"(Chưa recheck)")</f>
        <v>(Chưa recheck)</v>
      </c>
      <c r="J49" s="265" t="str">
        <f>IFERROR(__xludf.DUMMYFUNCTION("""COMPUTED_VALUE"""),"GapOne")</f>
        <v>GapOne</v>
      </c>
      <c r="K49" s="265" t="str">
        <f>IFERROR(__xludf.DUMMYFUNCTION("""COMPUTED_VALUE"""),"AnhNM")</f>
        <v>AnhNM</v>
      </c>
    </row>
    <row r="50">
      <c r="A50" s="265" t="str">
        <f>IFERROR(__xludf.DUMMYFUNCTION("""COMPUTED_VALUE"""),"360")</f>
        <v>360</v>
      </c>
      <c r="B50" s="265" t="str">
        <f>IFERROR(__xludf.DUMMYFUNCTION("""COMPUTED_VALUE"""),"Hà Nội")</f>
        <v>Hà Nội</v>
      </c>
      <c r="C50" s="265" t="str">
        <f>IFERROR(__xludf.DUMMYFUNCTION("""COMPUTED_VALUE"""),"Locked")</f>
        <v>Locked</v>
      </c>
      <c r="D50" s="265" t="str">
        <f>IFERROR(__xludf.DUMMYFUNCTION("""COMPUTED_VALUE"""),"Sale chưa cung cấp")</f>
        <v>Sale chưa cung cấp</v>
      </c>
      <c r="E50" s="265" t="str">
        <f>IFERROR(__xludf.DUMMYFUNCTION("""COMPUTED_VALUE"""),"(Chưa recheck)")</f>
        <v>(Chưa recheck)</v>
      </c>
      <c r="F50" s="265" t="str">
        <f>IFERROR(__xludf.DUMMYFUNCTION("""COMPUTED_VALUE"""),"Bronze")</f>
        <v>Bronze</v>
      </c>
      <c r="G50" s="265" t="str">
        <f>IFERROR(__xludf.DUMMYFUNCTION("""COMPUTED_VALUE"""),"MSG")</f>
        <v>MSG</v>
      </c>
      <c r="H50" s="265" t="str">
        <f>IFERROR(__xludf.DUMMYFUNCTION("""COMPUTED_VALUE"""),"(Chưa recheck)")</f>
        <v>(Chưa recheck)</v>
      </c>
      <c r="I50" s="265" t="str">
        <f>IFERROR(__xludf.DUMMYFUNCTION("""COMPUTED_VALUE"""),"(Chưa recheck)")</f>
        <v>(Chưa recheck)</v>
      </c>
      <c r="J50" s="265" t="str">
        <f>IFERROR(__xludf.DUMMYFUNCTION("""COMPUTED_VALUE"""),"(Chưa recheck)")</f>
        <v>(Chưa recheck)</v>
      </c>
      <c r="K50" s="265" t="str">
        <f>IFERROR(__xludf.DUMMYFUNCTION("""COMPUTED_VALUE"""),"AnhNM")</f>
        <v>AnhNM</v>
      </c>
    </row>
    <row r="51">
      <c r="A51" s="265" t="str">
        <f>IFERROR(__xludf.DUMMYFUNCTION("""COMPUTED_VALUE"""),"362")</f>
        <v>362</v>
      </c>
      <c r="B51" s="265" t="str">
        <f>IFERROR(__xludf.DUMMYFUNCTION("""COMPUTED_VALUE"""),"Hà Nội")</f>
        <v>Hà Nội</v>
      </c>
      <c r="C51" s="265" t="str">
        <f>IFERROR(__xludf.DUMMYFUNCTION("""COMPUTED_VALUE"""),"Active")</f>
        <v>Active</v>
      </c>
      <c r="D51" s="265" t="str">
        <f>IFERROR(__xludf.DUMMYFUNCTION("""COMPUTED_VALUE"""),"Sale chưa cung cấp")</f>
        <v>Sale chưa cung cấp</v>
      </c>
      <c r="E51" s="265" t="str">
        <f>IFERROR(__xludf.DUMMYFUNCTION("""COMPUTED_VALUE"""),"AnhNM")</f>
        <v>AnhNM</v>
      </c>
      <c r="F51" s="265" t="str">
        <f>IFERROR(__xludf.DUMMYFUNCTION("""COMPUTED_VALUE"""),"Bronze")</f>
        <v>Bronze</v>
      </c>
      <c r="G51" s="265" t="str">
        <f>IFERROR(__xludf.DUMMYFUNCTION("""COMPUTED_VALUE"""),"Starter")</f>
        <v>Starter</v>
      </c>
      <c r="H51" s="265" t="str">
        <f>IFERROR(__xludf.DUMMYFUNCTION("""COMPUTED_VALUE"""),"Trả sau")</f>
        <v>Trả sau</v>
      </c>
      <c r="I51" s="265" t="str">
        <f>IFERROR(__xludf.DUMMYFUNCTION("""COMPUTED_VALUE"""),"API")</f>
        <v>API</v>
      </c>
      <c r="J51" s="265" t="str">
        <f>IFERROR(__xludf.DUMMYFUNCTION("""COMPUTED_VALUE"""),"SMS CSKH")</f>
        <v>SMS CSKH</v>
      </c>
      <c r="K51" s="265" t="str">
        <f>IFERROR(__xludf.DUMMYFUNCTION("""COMPUTED_VALUE"""),"DungPL")</f>
        <v>DungPL</v>
      </c>
    </row>
    <row r="52">
      <c r="A52" s="265" t="str">
        <f>IFERROR(__xludf.DUMMYFUNCTION("""COMPUTED_VALUE"""),"361")</f>
        <v>361</v>
      </c>
      <c r="B52" s="265" t="str">
        <f>IFERROR(__xludf.DUMMYFUNCTION("""COMPUTED_VALUE"""),"Hà Nội")</f>
        <v>Hà Nội</v>
      </c>
      <c r="C52" s="265" t="str">
        <f>IFERROR(__xludf.DUMMYFUNCTION("""COMPUTED_VALUE"""),"Locked")</f>
        <v>Locked</v>
      </c>
      <c r="D52" s="265" t="str">
        <f>IFERROR(__xludf.DUMMYFUNCTION("""COMPUTED_VALUE"""),"Sale chưa cung cấp")</f>
        <v>Sale chưa cung cấp</v>
      </c>
      <c r="E52" s="265" t="str">
        <f>IFERROR(__xludf.DUMMYFUNCTION("""COMPUTED_VALUE"""),"(Chưa recheck)")</f>
        <v>(Chưa recheck)</v>
      </c>
      <c r="F52" s="265" t="str">
        <f>IFERROR(__xludf.DUMMYFUNCTION("""COMPUTED_VALUE"""),"Sale chưa cung cấp")</f>
        <v>Sale chưa cung cấp</v>
      </c>
      <c r="G52" s="265" t="str">
        <f>IFERROR(__xludf.DUMMYFUNCTION("""COMPUTED_VALUE"""),"Enterprise")</f>
        <v>Enterprise</v>
      </c>
      <c r="H52" s="265" t="str">
        <f>IFERROR(__xludf.DUMMYFUNCTION("""COMPUTED_VALUE"""),"(Chưa recheck)")</f>
        <v>(Chưa recheck)</v>
      </c>
      <c r="I52" s="265" t="str">
        <f>IFERROR(__xludf.DUMMYFUNCTION("""COMPUTED_VALUE"""),"(Chưa recheck)")</f>
        <v>(Chưa recheck)</v>
      </c>
      <c r="J52" s="265" t="str">
        <f>IFERROR(__xludf.DUMMYFUNCTION("""COMPUTED_VALUE"""),"(Chưa recheck)")</f>
        <v>(Chưa recheck)</v>
      </c>
      <c r="K52" s="265" t="str">
        <f>IFERROR(__xludf.DUMMYFUNCTION("""COMPUTED_VALUE"""),"AnhNM")</f>
        <v>AnhNM</v>
      </c>
    </row>
    <row r="53">
      <c r="A53" s="265" t="str">
        <f>IFERROR(__xludf.DUMMYFUNCTION("""COMPUTED_VALUE"""),"363")</f>
        <v>363</v>
      </c>
      <c r="B53" s="265" t="str">
        <f>IFERROR(__xludf.DUMMYFUNCTION("""COMPUTED_VALUE"""),"Hà Nội")</f>
        <v>Hà Nội</v>
      </c>
      <c r="C53" s="265" t="str">
        <f>IFERROR(__xludf.DUMMYFUNCTION("""COMPUTED_VALUE"""),"Locked")</f>
        <v>Locked</v>
      </c>
      <c r="D53" s="265" t="str">
        <f>IFERROR(__xludf.DUMMYFUNCTION("""COMPUTED_VALUE"""),"Sale chưa cung cấp")</f>
        <v>Sale chưa cung cấp</v>
      </c>
      <c r="E53" s="265" t="str">
        <f>IFERROR(__xludf.DUMMYFUNCTION("""COMPUTED_VALUE"""),"NamDT")</f>
        <v>NamDT</v>
      </c>
      <c r="F53" s="265" t="str">
        <f>IFERROR(__xludf.DUMMYFUNCTION("""COMPUTED_VALUE"""),"Bronze")</f>
        <v>Bronze</v>
      </c>
      <c r="G53" s="265" t="str">
        <f>IFERROR(__xludf.DUMMYFUNCTION("""COMPUTED_VALUE"""),"MSG")</f>
        <v>MSG</v>
      </c>
      <c r="H53" s="265" t="str">
        <f>IFERROR(__xludf.DUMMYFUNCTION("""COMPUTED_VALUE"""),"(Chưa recheck)")</f>
        <v>(Chưa recheck)</v>
      </c>
      <c r="I53" s="265" t="str">
        <f>IFERROR(__xludf.DUMMYFUNCTION("""COMPUTED_VALUE"""),"(Chưa recheck)")</f>
        <v>(Chưa recheck)</v>
      </c>
      <c r="J53" s="265" t="str">
        <f>IFERROR(__xludf.DUMMYFUNCTION("""COMPUTED_VALUE"""),"(Chưa recheck)")</f>
        <v>(Chưa recheck)</v>
      </c>
      <c r="K53" s="265" t="str">
        <f>IFERROR(__xludf.DUMMYFUNCTION("""COMPUTED_VALUE"""),"(Chưa recheck)")</f>
        <v>(Chưa recheck)</v>
      </c>
    </row>
    <row r="54">
      <c r="A54" s="265" t="str">
        <f>IFERROR(__xludf.DUMMYFUNCTION("""COMPUTED_VALUE"""),"364")</f>
        <v>364</v>
      </c>
      <c r="B54" s="265" t="str">
        <f>IFERROR(__xludf.DUMMYFUNCTION("""COMPUTED_VALUE"""),"Hà Nội")</f>
        <v>Hà Nội</v>
      </c>
      <c r="C54" s="265" t="str">
        <f>IFERROR(__xludf.DUMMYFUNCTION("""COMPUTED_VALUE"""),"Locked")</f>
        <v>Locked</v>
      </c>
      <c r="D54" s="265" t="str">
        <f>IFERROR(__xludf.DUMMYFUNCTION("""COMPUTED_VALUE"""),"Sale chưa cung cấp")</f>
        <v>Sale chưa cung cấp</v>
      </c>
      <c r="E54" s="265" t="str">
        <f>IFERROR(__xludf.DUMMYFUNCTION("""COMPUTED_VALUE"""),"(Chưa recheck)")</f>
        <v>(Chưa recheck)</v>
      </c>
      <c r="F54" s="265" t="str">
        <f>IFERROR(__xludf.DUMMYFUNCTION("""COMPUTED_VALUE"""),"Bronze")</f>
        <v>Bronze</v>
      </c>
      <c r="G54" s="265" t="str">
        <f>IFERROR(__xludf.DUMMYFUNCTION("""COMPUTED_VALUE"""),"API")</f>
        <v>API</v>
      </c>
      <c r="H54" s="265" t="str">
        <f>IFERROR(__xludf.DUMMYFUNCTION("""COMPUTED_VALUE"""),"(Chưa recheck)")</f>
        <v>(Chưa recheck)</v>
      </c>
      <c r="I54" s="265" t="str">
        <f>IFERROR(__xludf.DUMMYFUNCTION("""COMPUTED_VALUE"""),"(Chưa recheck)")</f>
        <v>(Chưa recheck)</v>
      </c>
      <c r="J54" s="265" t="str">
        <f>IFERROR(__xludf.DUMMYFUNCTION("""COMPUTED_VALUE"""),"(Chưa recheck)")</f>
        <v>(Chưa recheck)</v>
      </c>
      <c r="K54" s="265" t="str">
        <f>IFERROR(__xludf.DUMMYFUNCTION("""COMPUTED_VALUE"""),"(Chưa recheck)")</f>
        <v>(Chưa recheck)</v>
      </c>
    </row>
    <row r="55">
      <c r="A55" s="265" t="str">
        <f>IFERROR(__xludf.DUMMYFUNCTION("""COMPUTED_VALUE"""),"366")</f>
        <v>366</v>
      </c>
      <c r="B55" s="265" t="str">
        <f>IFERROR(__xludf.DUMMYFUNCTION("""COMPUTED_VALUE"""),"Hà Nội")</f>
        <v>Hà Nội</v>
      </c>
      <c r="C55" s="265" t="str">
        <f>IFERROR(__xludf.DUMMYFUNCTION("""COMPUTED_VALUE"""),"Locked")</f>
        <v>Locked</v>
      </c>
      <c r="D55" s="265" t="str">
        <f>IFERROR(__xludf.DUMMYFUNCTION("""COMPUTED_VALUE"""),"Sale chưa cung cấp")</f>
        <v>Sale chưa cung cấp</v>
      </c>
      <c r="E55" s="265" t="str">
        <f>IFERROR(__xludf.DUMMYFUNCTION("""COMPUTED_VALUE"""),"(Chưa recheck)")</f>
        <v>(Chưa recheck)</v>
      </c>
      <c r="F55" s="265" t="str">
        <f>IFERROR(__xludf.DUMMYFUNCTION("""COMPUTED_VALUE"""),"Sale chưa cung cấp")</f>
        <v>Sale chưa cung cấp</v>
      </c>
      <c r="G55" s="265" t="str">
        <f>IFERROR(__xludf.DUMMYFUNCTION("""COMPUTED_VALUE"""),"API")</f>
        <v>API</v>
      </c>
      <c r="H55" s="265" t="str">
        <f>IFERROR(__xludf.DUMMYFUNCTION("""COMPUTED_VALUE"""),"(Chưa recheck)")</f>
        <v>(Chưa recheck)</v>
      </c>
      <c r="I55" s="265" t="str">
        <f>IFERROR(__xludf.DUMMYFUNCTION("""COMPUTED_VALUE"""),"(Chưa recheck)")</f>
        <v>(Chưa recheck)</v>
      </c>
      <c r="J55" s="265" t="str">
        <f>IFERROR(__xludf.DUMMYFUNCTION("""COMPUTED_VALUE"""),"(Chưa recheck)")</f>
        <v>(Chưa recheck)</v>
      </c>
      <c r="K55" s="265" t="str">
        <f>IFERROR(__xludf.DUMMYFUNCTION("""COMPUTED_VALUE"""),"(Chưa recheck)")</f>
        <v>(Chưa recheck)</v>
      </c>
    </row>
    <row r="56">
      <c r="A56" s="265" t="str">
        <f>IFERROR(__xludf.DUMMYFUNCTION("""COMPUTED_VALUE"""),"367")</f>
        <v>367</v>
      </c>
      <c r="B56" s="265" t="str">
        <f>IFERROR(__xludf.DUMMYFUNCTION("""COMPUTED_VALUE"""),"Hà Nội")</f>
        <v>Hà Nội</v>
      </c>
      <c r="C56" s="265" t="str">
        <f>IFERROR(__xludf.DUMMYFUNCTION("""COMPUTED_VALUE"""),"Locked")</f>
        <v>Locked</v>
      </c>
      <c r="D56" s="265" t="str">
        <f>IFERROR(__xludf.DUMMYFUNCTION("""COMPUTED_VALUE"""),"Sale chưa cung cấp")</f>
        <v>Sale chưa cung cấp</v>
      </c>
      <c r="E56" s="265" t="str">
        <f>IFERROR(__xludf.DUMMYFUNCTION("""COMPUTED_VALUE"""),"AnhNM")</f>
        <v>AnhNM</v>
      </c>
      <c r="F56" s="265" t="str">
        <f>IFERROR(__xludf.DUMMYFUNCTION("""COMPUTED_VALUE"""),"Sale chưa cung cấp")</f>
        <v>Sale chưa cung cấp</v>
      </c>
      <c r="G56" s="265" t="str">
        <f>IFERROR(__xludf.DUMMYFUNCTION("""COMPUTED_VALUE"""),"API")</f>
        <v>API</v>
      </c>
      <c r="H56" s="265" t="str">
        <f>IFERROR(__xludf.DUMMYFUNCTION("""COMPUTED_VALUE"""),"Trả sau")</f>
        <v>Trả sau</v>
      </c>
      <c r="I56" s="265" t="str">
        <f>IFERROR(__xludf.DUMMYFUNCTION("""COMPUTED_VALUE"""),"API")</f>
        <v>API</v>
      </c>
      <c r="J56" s="265" t="str">
        <f>IFERROR(__xludf.DUMMYFUNCTION("""COMPUTED_VALUE"""),"Zalo ZNS")</f>
        <v>Zalo ZNS</v>
      </c>
      <c r="K56" s="265" t="str">
        <f>IFERROR(__xludf.DUMMYFUNCTION("""COMPUTED_VALUE"""),"LinhNTT1")</f>
        <v>LinhNTT1</v>
      </c>
    </row>
    <row r="57">
      <c r="A57" s="265" t="str">
        <f>IFERROR(__xludf.DUMMYFUNCTION("""COMPUTED_VALUE"""),"368")</f>
        <v>368</v>
      </c>
      <c r="B57" s="265" t="str">
        <f>IFERROR(__xludf.DUMMYFUNCTION("""COMPUTED_VALUE"""),"Hà Nội")</f>
        <v>Hà Nội</v>
      </c>
      <c r="C57" s="265" t="str">
        <f>IFERROR(__xludf.DUMMYFUNCTION("""COMPUTED_VALUE"""),"Locked")</f>
        <v>Locked</v>
      </c>
      <c r="D57" s="265" t="str">
        <f>IFERROR(__xludf.DUMMYFUNCTION("""COMPUTED_VALUE"""),"Sale chưa cung cấp")</f>
        <v>Sale chưa cung cấp</v>
      </c>
      <c r="E57" s="265" t="str">
        <f>IFERROR(__xludf.DUMMYFUNCTION("""COMPUTED_VALUE"""),"(Không recheck)")</f>
        <v>(Không recheck)</v>
      </c>
      <c r="F57" s="265" t="str">
        <f>IFERROR(__xludf.DUMMYFUNCTION("""COMPUTED_VALUE"""),"Sale chưa cung cấp")</f>
        <v>Sale chưa cung cấp</v>
      </c>
      <c r="G57" s="265" t="str">
        <f>IFERROR(__xludf.DUMMYFUNCTION("""COMPUTED_VALUE"""),"Enterprise")</f>
        <v>Enterprise</v>
      </c>
      <c r="H57" s="265" t="str">
        <f>IFERROR(__xludf.DUMMYFUNCTION("""COMPUTED_VALUE"""),"Trial")</f>
        <v>Trial</v>
      </c>
      <c r="I57" s="265" t="str">
        <f>IFERROR(__xludf.DUMMYFUNCTION("""COMPUTED_VALUE"""),"(Không recheck)")</f>
        <v>(Không recheck)</v>
      </c>
      <c r="J57" s="265" t="str">
        <f>IFERROR(__xludf.DUMMYFUNCTION("""COMPUTED_VALUE"""),"(Không recheck)")</f>
        <v>(Không recheck)</v>
      </c>
      <c r="K57" s="265" t="str">
        <f>IFERROR(__xludf.DUMMYFUNCTION("""COMPUTED_VALUE"""),"(Không recheck)")</f>
        <v>(Không recheck)</v>
      </c>
    </row>
    <row r="58">
      <c r="A58" s="265" t="str">
        <f>IFERROR(__xludf.DUMMYFUNCTION("""COMPUTED_VALUE"""),"369")</f>
        <v>369</v>
      </c>
      <c r="B58" s="265" t="str">
        <f>IFERROR(__xludf.DUMMYFUNCTION("""COMPUTED_VALUE"""),"Hà Nội")</f>
        <v>Hà Nội</v>
      </c>
      <c r="C58" s="265" t="str">
        <f>IFERROR(__xludf.DUMMYFUNCTION("""COMPUTED_VALUE"""),"Active")</f>
        <v>Active</v>
      </c>
      <c r="D58" s="265" t="str">
        <f>IFERROR(__xludf.DUMMYFUNCTION("""COMPUTED_VALUE"""),"Sale chưa cung cấp")</f>
        <v>Sale chưa cung cấp</v>
      </c>
      <c r="E58" s="265" t="str">
        <f>IFERROR(__xludf.DUMMYFUNCTION("""COMPUTED_VALUE"""),"TuPHN")</f>
        <v>TuPHN</v>
      </c>
      <c r="F58" s="265" t="str">
        <f>IFERROR(__xludf.DUMMYFUNCTION("""COMPUTED_VALUE"""),"Gold")</f>
        <v>Gold</v>
      </c>
      <c r="G58" s="265" t="str">
        <f>IFERROR(__xludf.DUMMYFUNCTION("""COMPUTED_VALUE"""),"Starter")</f>
        <v>Starter</v>
      </c>
      <c r="H58" s="265" t="str">
        <f>IFERROR(__xludf.DUMMYFUNCTION("""COMPUTED_VALUE"""),"Trả sau")</f>
        <v>Trả sau</v>
      </c>
      <c r="I58" s="265" t="str">
        <f>IFERROR(__xludf.DUMMYFUNCTION("""COMPUTED_VALUE"""),"API")</f>
        <v>API</v>
      </c>
      <c r="J58" s="265" t="str">
        <f>IFERROR(__xludf.DUMMYFUNCTION("""COMPUTED_VALUE"""),"Zalo ZNS")</f>
        <v>Zalo ZNS</v>
      </c>
      <c r="K58" s="265" t="str">
        <f>IFERROR(__xludf.DUMMYFUNCTION("""COMPUTED_VALUE"""),"DungPL")</f>
        <v>DungPL</v>
      </c>
    </row>
    <row r="59">
      <c r="A59" s="265" t="str">
        <f>IFERROR(__xludf.DUMMYFUNCTION("""COMPUTED_VALUE"""),"370")</f>
        <v>370</v>
      </c>
      <c r="B59" s="265" t="str">
        <f>IFERROR(__xludf.DUMMYFUNCTION("""COMPUTED_VALUE"""),"Hà Nội")</f>
        <v>Hà Nội</v>
      </c>
      <c r="C59" s="265" t="str">
        <f>IFERROR(__xludf.DUMMYFUNCTION("""COMPUTED_VALUE"""),"Locked")</f>
        <v>Locked</v>
      </c>
      <c r="D59" s="265" t="str">
        <f>IFERROR(__xludf.DUMMYFUNCTION("""COMPUTED_VALUE"""),"Sale chưa cung cấp")</f>
        <v>Sale chưa cung cấp</v>
      </c>
      <c r="E59" s="265" t="str">
        <f>IFERROR(__xludf.DUMMYFUNCTION("""COMPUTED_VALUE"""),"(Chưa recheck)")</f>
        <v>(Chưa recheck)</v>
      </c>
      <c r="F59" s="265" t="str">
        <f>IFERROR(__xludf.DUMMYFUNCTION("""COMPUTED_VALUE"""),"Sale chưa cung cấp")</f>
        <v>Sale chưa cung cấp</v>
      </c>
      <c r="G59" s="265" t="str">
        <f>IFERROR(__xludf.DUMMYFUNCTION("""COMPUTED_VALUE"""),"Enterprise")</f>
        <v>Enterprise</v>
      </c>
      <c r="H59" s="265" t="str">
        <f>IFERROR(__xludf.DUMMYFUNCTION("""COMPUTED_VALUE"""),"(Chưa recheck)")</f>
        <v>(Chưa recheck)</v>
      </c>
      <c r="I59" s="265" t="str">
        <f>IFERROR(__xludf.DUMMYFUNCTION("""COMPUTED_VALUE"""),"(Chưa recheck)")</f>
        <v>(Chưa recheck)</v>
      </c>
      <c r="J59" s="265" t="str">
        <f>IFERROR(__xludf.DUMMYFUNCTION("""COMPUTED_VALUE"""),"(Chưa recheck)")</f>
        <v>(Chưa recheck)</v>
      </c>
      <c r="K59" s="265" t="str">
        <f>IFERROR(__xludf.DUMMYFUNCTION("""COMPUTED_VALUE"""),"(Chưa recheck)")</f>
        <v>(Chưa recheck)</v>
      </c>
    </row>
    <row r="60">
      <c r="A60" s="265" t="str">
        <f>IFERROR(__xludf.DUMMYFUNCTION("""COMPUTED_VALUE"""),"372")</f>
        <v>372</v>
      </c>
      <c r="B60" s="265" t="str">
        <f>IFERROR(__xludf.DUMMYFUNCTION("""COMPUTED_VALUE"""),"Hà Nội")</f>
        <v>Hà Nội</v>
      </c>
      <c r="C60" s="265" t="str">
        <f>IFERROR(__xludf.DUMMYFUNCTION("""COMPUTED_VALUE"""),"Locked")</f>
        <v>Locked</v>
      </c>
      <c r="D60" s="265" t="str">
        <f>IFERROR(__xludf.DUMMYFUNCTION("""COMPUTED_VALUE"""),"Sale chưa cung cấp")</f>
        <v>Sale chưa cung cấp</v>
      </c>
      <c r="E60" s="265" t="str">
        <f>IFERROR(__xludf.DUMMYFUNCTION("""COMPUTED_VALUE"""),"(Không recheck)")</f>
        <v>(Không recheck)</v>
      </c>
      <c r="F60" s="265" t="str">
        <f>IFERROR(__xludf.DUMMYFUNCTION("""COMPUTED_VALUE"""),"Sale chưa cung cấp")</f>
        <v>Sale chưa cung cấp</v>
      </c>
      <c r="G60" s="265" t="str">
        <f>IFERROR(__xludf.DUMMYFUNCTION("""COMPUTED_VALUE"""),"Enterprise")</f>
        <v>Enterprise</v>
      </c>
      <c r="H60" s="265" t="str">
        <f>IFERROR(__xludf.DUMMYFUNCTION("""COMPUTED_VALUE"""),"Trial")</f>
        <v>Trial</v>
      </c>
      <c r="I60" s="265" t="str">
        <f>IFERROR(__xludf.DUMMYFUNCTION("""COMPUTED_VALUE"""),"(Không recheck)")</f>
        <v>(Không recheck)</v>
      </c>
      <c r="J60" s="265" t="str">
        <f>IFERROR(__xludf.DUMMYFUNCTION("""COMPUTED_VALUE"""),"(Không recheck)")</f>
        <v>(Không recheck)</v>
      </c>
      <c r="K60" s="265" t="str">
        <f>IFERROR(__xludf.DUMMYFUNCTION("""COMPUTED_VALUE"""),"(Không recheck)")</f>
        <v>(Không recheck)</v>
      </c>
    </row>
    <row r="61">
      <c r="A61" s="265" t="str">
        <f>IFERROR(__xludf.DUMMYFUNCTION("""COMPUTED_VALUE"""),"373")</f>
        <v>373</v>
      </c>
      <c r="B61" s="265" t="str">
        <f>IFERROR(__xludf.DUMMYFUNCTION("""COMPUTED_VALUE"""),"Hà Nội")</f>
        <v>Hà Nội</v>
      </c>
      <c r="C61" s="265" t="str">
        <f>IFERROR(__xludf.DUMMYFUNCTION("""COMPUTED_VALUE"""),"Locked")</f>
        <v>Locked</v>
      </c>
      <c r="D61" s="265" t="str">
        <f>IFERROR(__xludf.DUMMYFUNCTION("""COMPUTED_VALUE"""),"Sale chưa cung cấp")</f>
        <v>Sale chưa cung cấp</v>
      </c>
      <c r="E61" s="265" t="str">
        <f>IFERROR(__xludf.DUMMYFUNCTION("""COMPUTED_VALUE"""),"(Không recheck)")</f>
        <v>(Không recheck)</v>
      </c>
      <c r="F61" s="265" t="str">
        <f>IFERROR(__xludf.DUMMYFUNCTION("""COMPUTED_VALUE"""),"Sale chưa cung cấp")</f>
        <v>Sale chưa cung cấp</v>
      </c>
      <c r="G61" s="265" t="str">
        <f>IFERROR(__xludf.DUMMYFUNCTION("""COMPUTED_VALUE"""),"Enterprise")</f>
        <v>Enterprise</v>
      </c>
      <c r="H61" s="265" t="str">
        <f>IFERROR(__xludf.DUMMYFUNCTION("""COMPUTED_VALUE"""),"Trial")</f>
        <v>Trial</v>
      </c>
      <c r="I61" s="265" t="str">
        <f>IFERROR(__xludf.DUMMYFUNCTION("""COMPUTED_VALUE"""),"(Không recheck)")</f>
        <v>(Không recheck)</v>
      </c>
      <c r="J61" s="265" t="str">
        <f>IFERROR(__xludf.DUMMYFUNCTION("""COMPUTED_VALUE"""),"(Không recheck)")</f>
        <v>(Không recheck)</v>
      </c>
      <c r="K61" s="265" t="str">
        <f>IFERROR(__xludf.DUMMYFUNCTION("""COMPUTED_VALUE"""),"(Không recheck)")</f>
        <v>(Không recheck)</v>
      </c>
    </row>
    <row r="62">
      <c r="A62" s="265" t="str">
        <f>IFERROR(__xludf.DUMMYFUNCTION("""COMPUTED_VALUE"""),"375")</f>
        <v>375</v>
      </c>
      <c r="B62" s="265" t="str">
        <f>IFERROR(__xludf.DUMMYFUNCTION("""COMPUTED_VALUE"""),"Hà Nội")</f>
        <v>Hà Nội</v>
      </c>
      <c r="C62" s="265" t="str">
        <f>IFERROR(__xludf.DUMMYFUNCTION("""COMPUTED_VALUE"""),"Locked")</f>
        <v>Locked</v>
      </c>
      <c r="D62" s="265" t="str">
        <f>IFERROR(__xludf.DUMMYFUNCTION("""COMPUTED_VALUE"""),"Sale chưa cung cấp")</f>
        <v>Sale chưa cung cấp</v>
      </c>
      <c r="E62" s="265" t="str">
        <f>IFERROR(__xludf.DUMMYFUNCTION("""COMPUTED_VALUE"""),"(Không recheck)")</f>
        <v>(Không recheck)</v>
      </c>
      <c r="F62" s="265" t="str">
        <f>IFERROR(__xludf.DUMMYFUNCTION("""COMPUTED_VALUE"""),"Sale chưa cung cấp")</f>
        <v>Sale chưa cung cấp</v>
      </c>
      <c r="G62" s="265" t="str">
        <f>IFERROR(__xludf.DUMMYFUNCTION("""COMPUTED_VALUE"""),"Enterprise")</f>
        <v>Enterprise</v>
      </c>
      <c r="H62" s="265" t="str">
        <f>IFERROR(__xludf.DUMMYFUNCTION("""COMPUTED_VALUE"""),"Trial")</f>
        <v>Trial</v>
      </c>
      <c r="I62" s="265" t="str">
        <f>IFERROR(__xludf.DUMMYFUNCTION("""COMPUTED_VALUE"""),"(Không recheck)")</f>
        <v>(Không recheck)</v>
      </c>
      <c r="J62" s="265" t="str">
        <f>IFERROR(__xludf.DUMMYFUNCTION("""COMPUTED_VALUE"""),"(Không recheck)")</f>
        <v>(Không recheck)</v>
      </c>
      <c r="K62" s="265" t="str">
        <f>IFERROR(__xludf.DUMMYFUNCTION("""COMPUTED_VALUE"""),"(Không recheck)")</f>
        <v>(Không recheck)</v>
      </c>
    </row>
    <row r="63">
      <c r="A63" s="265" t="str">
        <f>IFERROR(__xludf.DUMMYFUNCTION("""COMPUTED_VALUE"""),"374")</f>
        <v>374</v>
      </c>
      <c r="B63" s="265" t="str">
        <f>IFERROR(__xludf.DUMMYFUNCTION("""COMPUTED_VALUE"""),"Sài Gòn")</f>
        <v>Sài Gòn</v>
      </c>
      <c r="C63" s="265" t="str">
        <f>IFERROR(__xludf.DUMMYFUNCTION("""COMPUTED_VALUE"""),"Locked")</f>
        <v>Locked</v>
      </c>
      <c r="D63" s="265" t="str">
        <f>IFERROR(__xludf.DUMMYFUNCTION("""COMPUTED_VALUE"""),"Sale chưa cung cấp")</f>
        <v>Sale chưa cung cấp</v>
      </c>
      <c r="E63" s="265" t="str">
        <f>IFERROR(__xludf.DUMMYFUNCTION("""COMPUTED_VALUE"""),"NamDT")</f>
        <v>NamDT</v>
      </c>
      <c r="F63" s="265" t="str">
        <f>IFERROR(__xludf.DUMMYFUNCTION("""COMPUTED_VALUE"""),"Sale chưa cung cấp")</f>
        <v>Sale chưa cung cấp</v>
      </c>
      <c r="G63" s="265" t="str">
        <f>IFERROR(__xludf.DUMMYFUNCTION("""COMPUTED_VALUE"""),"Enterprise")</f>
        <v>Enterprise</v>
      </c>
      <c r="H63" s="265" t="str">
        <f>IFERROR(__xludf.DUMMYFUNCTION("""COMPUTED_VALUE"""),"(Chưa recheck)")</f>
        <v>(Chưa recheck)</v>
      </c>
      <c r="I63" s="265" t="str">
        <f>IFERROR(__xludf.DUMMYFUNCTION("""COMPUTED_VALUE"""),"(Chưa recheck)")</f>
        <v>(Chưa recheck)</v>
      </c>
      <c r="J63" s="265" t="str">
        <f>IFERROR(__xludf.DUMMYFUNCTION("""COMPUTED_VALUE"""),"(Chưa recheck)")</f>
        <v>(Chưa recheck)</v>
      </c>
      <c r="K63" s="265" t="str">
        <f>IFERROR(__xludf.DUMMYFUNCTION("""COMPUTED_VALUE"""),"(Chưa recheck)")</f>
        <v>(Chưa recheck)</v>
      </c>
    </row>
    <row r="64">
      <c r="A64" s="265" t="str">
        <f>IFERROR(__xludf.DUMMYFUNCTION("""COMPUTED_VALUE"""),"376")</f>
        <v>376</v>
      </c>
      <c r="B64" s="265" t="str">
        <f>IFERROR(__xludf.DUMMYFUNCTION("""COMPUTED_VALUE"""),"Hà Nội")</f>
        <v>Hà Nội</v>
      </c>
      <c r="C64" s="265" t="str">
        <f>IFERROR(__xludf.DUMMYFUNCTION("""COMPUTED_VALUE"""),"Locked")</f>
        <v>Locked</v>
      </c>
      <c r="D64" s="265" t="str">
        <f>IFERROR(__xludf.DUMMYFUNCTION("""COMPUTED_VALUE"""),"Sale chưa cung cấp")</f>
        <v>Sale chưa cung cấp</v>
      </c>
      <c r="E64" s="265" t="str">
        <f>IFERROR(__xludf.DUMMYFUNCTION("""COMPUTED_VALUE"""),"(Không recheck)")</f>
        <v>(Không recheck)</v>
      </c>
      <c r="F64" s="265" t="str">
        <f>IFERROR(__xludf.DUMMYFUNCTION("""COMPUTED_VALUE"""),"Sale chưa cung cấp")</f>
        <v>Sale chưa cung cấp</v>
      </c>
      <c r="G64" s="265" t="str">
        <f>IFERROR(__xludf.DUMMYFUNCTION("""COMPUTED_VALUE"""),"Enterprise")</f>
        <v>Enterprise</v>
      </c>
      <c r="H64" s="265" t="str">
        <f>IFERROR(__xludf.DUMMYFUNCTION("""COMPUTED_VALUE"""),"Trial")</f>
        <v>Trial</v>
      </c>
      <c r="I64" s="265" t="str">
        <f>IFERROR(__xludf.DUMMYFUNCTION("""COMPUTED_VALUE"""),"(Không recheck)")</f>
        <v>(Không recheck)</v>
      </c>
      <c r="J64" s="265" t="str">
        <f>IFERROR(__xludf.DUMMYFUNCTION("""COMPUTED_VALUE"""),"(Không recheck)")</f>
        <v>(Không recheck)</v>
      </c>
      <c r="K64" s="265" t="str">
        <f>IFERROR(__xludf.DUMMYFUNCTION("""COMPUTED_VALUE"""),"(Không recheck)")</f>
        <v>(Không recheck)</v>
      </c>
    </row>
    <row r="65">
      <c r="A65" s="265" t="str">
        <f>IFERROR(__xludf.DUMMYFUNCTION("""COMPUTED_VALUE"""),"377")</f>
        <v>377</v>
      </c>
      <c r="B65" s="265" t="str">
        <f>IFERROR(__xludf.DUMMYFUNCTION("""COMPUTED_VALUE"""),"Hà Nội")</f>
        <v>Hà Nội</v>
      </c>
      <c r="C65" s="265" t="str">
        <f>IFERROR(__xludf.DUMMYFUNCTION("""COMPUTED_VALUE"""),"Locked")</f>
        <v>Locked</v>
      </c>
      <c r="D65" s="265" t="str">
        <f>IFERROR(__xludf.DUMMYFUNCTION("""COMPUTED_VALUE"""),"Sale chưa cung cấp")</f>
        <v>Sale chưa cung cấp</v>
      </c>
      <c r="E65" s="265" t="str">
        <f>IFERROR(__xludf.DUMMYFUNCTION("""COMPUTED_VALUE"""),"(Không recheck)")</f>
        <v>(Không recheck)</v>
      </c>
      <c r="F65" s="265" t="str">
        <f>IFERROR(__xludf.DUMMYFUNCTION("""COMPUTED_VALUE"""),"Sale chưa cung cấp")</f>
        <v>Sale chưa cung cấp</v>
      </c>
      <c r="G65" s="265" t="str">
        <f>IFERROR(__xludf.DUMMYFUNCTION("""COMPUTED_VALUE"""),"API")</f>
        <v>API</v>
      </c>
      <c r="H65" s="265" t="str">
        <f>IFERROR(__xludf.DUMMYFUNCTION("""COMPUTED_VALUE"""),"Trial")</f>
        <v>Trial</v>
      </c>
      <c r="I65" s="265" t="str">
        <f>IFERROR(__xludf.DUMMYFUNCTION("""COMPUTED_VALUE"""),"(Không recheck)")</f>
        <v>(Không recheck)</v>
      </c>
      <c r="J65" s="265" t="str">
        <f>IFERROR(__xludf.DUMMYFUNCTION("""COMPUTED_VALUE"""),"(Không recheck)")</f>
        <v>(Không recheck)</v>
      </c>
      <c r="K65" s="265" t="str">
        <f>IFERROR(__xludf.DUMMYFUNCTION("""COMPUTED_VALUE"""),"(Không recheck)")</f>
        <v>(Không recheck)</v>
      </c>
    </row>
    <row r="66">
      <c r="A66" s="265" t="str">
        <f>IFERROR(__xludf.DUMMYFUNCTION("""COMPUTED_VALUE"""),"378")</f>
        <v>378</v>
      </c>
      <c r="B66" s="265" t="str">
        <f>IFERROR(__xludf.DUMMYFUNCTION("""COMPUTED_VALUE"""),"Hà Nội")</f>
        <v>Hà Nội</v>
      </c>
      <c r="C66" s="265" t="str">
        <f>IFERROR(__xludf.DUMMYFUNCTION("""COMPUTED_VALUE"""),"Locked")</f>
        <v>Locked</v>
      </c>
      <c r="D66" s="265" t="str">
        <f>IFERROR(__xludf.DUMMYFUNCTION("""COMPUTED_VALUE"""),"Sale chưa cung cấp")</f>
        <v>Sale chưa cung cấp</v>
      </c>
      <c r="E66" s="265" t="str">
        <f>IFERROR(__xludf.DUMMYFUNCTION("""COMPUTED_VALUE"""),"(Không recheck)")</f>
        <v>(Không recheck)</v>
      </c>
      <c r="F66" s="265" t="str">
        <f>IFERROR(__xludf.DUMMYFUNCTION("""COMPUTED_VALUE"""),"Sale chưa cung cấp")</f>
        <v>Sale chưa cung cấp</v>
      </c>
      <c r="G66" s="265" t="str">
        <f>IFERROR(__xludf.DUMMYFUNCTION("""COMPUTED_VALUE"""),"MSG")</f>
        <v>MSG</v>
      </c>
      <c r="H66" s="265" t="str">
        <f>IFERROR(__xludf.DUMMYFUNCTION("""COMPUTED_VALUE"""),"Trial")</f>
        <v>Trial</v>
      </c>
      <c r="I66" s="265" t="str">
        <f>IFERROR(__xludf.DUMMYFUNCTION("""COMPUTED_VALUE"""),"(Không recheck)")</f>
        <v>(Không recheck)</v>
      </c>
      <c r="J66" s="265" t="str">
        <f>IFERROR(__xludf.DUMMYFUNCTION("""COMPUTED_VALUE"""),"(Không recheck)")</f>
        <v>(Không recheck)</v>
      </c>
      <c r="K66" s="265" t="str">
        <f>IFERROR(__xludf.DUMMYFUNCTION("""COMPUTED_VALUE"""),"(Không recheck)")</f>
        <v>(Không recheck)</v>
      </c>
    </row>
    <row r="67">
      <c r="A67" s="265" t="str">
        <f>IFERROR(__xludf.DUMMYFUNCTION("""COMPUTED_VALUE"""),"379")</f>
        <v>379</v>
      </c>
      <c r="B67" s="265" t="str">
        <f>IFERROR(__xludf.DUMMYFUNCTION("""COMPUTED_VALUE"""),"Hà Nội")</f>
        <v>Hà Nội</v>
      </c>
      <c r="C67" s="265" t="str">
        <f>IFERROR(__xludf.DUMMYFUNCTION("""COMPUTED_VALUE"""),"Locked")</f>
        <v>Locked</v>
      </c>
      <c r="D67" s="265" t="str">
        <f>IFERROR(__xludf.DUMMYFUNCTION("""COMPUTED_VALUE"""),"Sale chưa cung cấp")</f>
        <v>Sale chưa cung cấp</v>
      </c>
      <c r="E67" s="265" t="str">
        <f>IFERROR(__xludf.DUMMYFUNCTION("""COMPUTED_VALUE"""),"(Không recheck)")</f>
        <v>(Không recheck)</v>
      </c>
      <c r="F67" s="265" t="str">
        <f>IFERROR(__xludf.DUMMYFUNCTION("""COMPUTED_VALUE"""),"Sale chưa cung cấp")</f>
        <v>Sale chưa cung cấp</v>
      </c>
      <c r="G67" s="265" t="str">
        <f>IFERROR(__xludf.DUMMYFUNCTION("""COMPUTED_VALUE"""),"Enterprise")</f>
        <v>Enterprise</v>
      </c>
      <c r="H67" s="265" t="str">
        <f>IFERROR(__xludf.DUMMYFUNCTION("""COMPUTED_VALUE"""),"Trial")</f>
        <v>Trial</v>
      </c>
      <c r="I67" s="265" t="str">
        <f>IFERROR(__xludf.DUMMYFUNCTION("""COMPUTED_VALUE"""),"(Không recheck)")</f>
        <v>(Không recheck)</v>
      </c>
      <c r="J67" s="265" t="str">
        <f>IFERROR(__xludf.DUMMYFUNCTION("""COMPUTED_VALUE"""),"(Không recheck)")</f>
        <v>(Không recheck)</v>
      </c>
      <c r="K67" s="265" t="str">
        <f>IFERROR(__xludf.DUMMYFUNCTION("""COMPUTED_VALUE"""),"(Không recheck)")</f>
        <v>(Không recheck)</v>
      </c>
    </row>
    <row r="68">
      <c r="A68" s="265" t="str">
        <f>IFERROR(__xludf.DUMMYFUNCTION("""COMPUTED_VALUE"""),"380")</f>
        <v>380</v>
      </c>
      <c r="B68" s="265" t="str">
        <f>IFERROR(__xludf.DUMMYFUNCTION("""COMPUTED_VALUE"""),"Hà Nội")</f>
        <v>Hà Nội</v>
      </c>
      <c r="C68" s="265" t="str">
        <f>IFERROR(__xludf.DUMMYFUNCTION("""COMPUTED_VALUE"""),"Locked")</f>
        <v>Locked</v>
      </c>
      <c r="D68" s="265" t="str">
        <f>IFERROR(__xludf.DUMMYFUNCTION("""COMPUTED_VALUE"""),"Sale chưa cung cấp")</f>
        <v>Sale chưa cung cấp</v>
      </c>
      <c r="E68" s="265" t="str">
        <f>IFERROR(__xludf.DUMMYFUNCTION("""COMPUTED_VALUE"""),"(Chưa recheck)")</f>
        <v>(Chưa recheck)</v>
      </c>
      <c r="F68" s="265" t="str">
        <f>IFERROR(__xludf.DUMMYFUNCTION("""COMPUTED_VALUE"""),"Sale chưa cung cấp")</f>
        <v>Sale chưa cung cấp</v>
      </c>
      <c r="G68" s="265" t="str">
        <f>IFERROR(__xludf.DUMMYFUNCTION("""COMPUTED_VALUE"""),"API")</f>
        <v>API</v>
      </c>
      <c r="H68" s="265" t="str">
        <f>IFERROR(__xludf.DUMMYFUNCTION("""COMPUTED_VALUE"""),"(Chưa recheck)")</f>
        <v>(Chưa recheck)</v>
      </c>
      <c r="I68" s="265" t="str">
        <f>IFERROR(__xludf.DUMMYFUNCTION("""COMPUTED_VALUE"""),"(Chưa recheck)")</f>
        <v>(Chưa recheck)</v>
      </c>
      <c r="J68" s="265" t="str">
        <f>IFERROR(__xludf.DUMMYFUNCTION("""COMPUTED_VALUE"""),"(Chưa recheck)")</f>
        <v>(Chưa recheck)</v>
      </c>
      <c r="K68" s="265" t="str">
        <f>IFERROR(__xludf.DUMMYFUNCTION("""COMPUTED_VALUE"""),"(Chưa recheck)")</f>
        <v>(Chưa recheck)</v>
      </c>
    </row>
    <row r="69">
      <c r="A69" s="265" t="str">
        <f>IFERROR(__xludf.DUMMYFUNCTION("""COMPUTED_VALUE"""),"383")</f>
        <v>383</v>
      </c>
      <c r="B69" s="265" t="str">
        <f>IFERROR(__xludf.DUMMYFUNCTION("""COMPUTED_VALUE"""),"Hà Nội")</f>
        <v>Hà Nội</v>
      </c>
      <c r="C69" s="265" t="str">
        <f>IFERROR(__xludf.DUMMYFUNCTION("""COMPUTED_VALUE"""),"Locked")</f>
        <v>Locked</v>
      </c>
      <c r="D69" s="265" t="str">
        <f>IFERROR(__xludf.DUMMYFUNCTION("""COMPUTED_VALUE"""),"Sale chưa cung cấp")</f>
        <v>Sale chưa cung cấp</v>
      </c>
      <c r="E69" s="265" t="str">
        <f>IFERROR(__xludf.DUMMYFUNCTION("""COMPUTED_VALUE"""),"HangNT")</f>
        <v>HangNT</v>
      </c>
      <c r="F69" s="265" t="str">
        <f>IFERROR(__xludf.DUMMYFUNCTION("""COMPUTED_VALUE"""),"Sale chưa cung cấp")</f>
        <v>Sale chưa cung cấp</v>
      </c>
      <c r="G69" s="265" t="str">
        <f>IFERROR(__xludf.DUMMYFUNCTION("""COMPUTED_VALUE"""),"API")</f>
        <v>API</v>
      </c>
      <c r="H69" s="265" t="str">
        <f>IFERROR(__xludf.DUMMYFUNCTION("""COMPUTED_VALUE"""),"Trả sau")</f>
        <v>Trả sau</v>
      </c>
      <c r="I69" s="265" t="str">
        <f>IFERROR(__xludf.DUMMYFUNCTION("""COMPUTED_VALUE"""),"(Chưa recheck)")</f>
        <v>(Chưa recheck)</v>
      </c>
      <c r="J69" s="265" t="str">
        <f>IFERROR(__xludf.DUMMYFUNCTION("""COMPUTED_VALUE"""),"(Chưa recheck)")</f>
        <v>(Chưa recheck)</v>
      </c>
      <c r="K69" s="265" t="str">
        <f>IFERROR(__xludf.DUMMYFUNCTION("""COMPUTED_VALUE"""),"(Chưa recheck)")</f>
        <v>(Chưa recheck)</v>
      </c>
    </row>
    <row r="70">
      <c r="A70" s="265" t="str">
        <f>IFERROR(__xludf.DUMMYFUNCTION("""COMPUTED_VALUE"""),"384")</f>
        <v>384</v>
      </c>
      <c r="B70" s="265" t="str">
        <f>IFERROR(__xludf.DUMMYFUNCTION("""COMPUTED_VALUE"""),"Hà Nội")</f>
        <v>Hà Nội</v>
      </c>
      <c r="C70" s="265" t="str">
        <f>IFERROR(__xludf.DUMMYFUNCTION("""COMPUTED_VALUE"""),"Locked")</f>
        <v>Locked</v>
      </c>
      <c r="D70" s="265" t="str">
        <f>IFERROR(__xludf.DUMMYFUNCTION("""COMPUTED_VALUE"""),"Sale chưa cung cấp")</f>
        <v>Sale chưa cung cấp</v>
      </c>
      <c r="E70" s="265" t="str">
        <f>IFERROR(__xludf.DUMMYFUNCTION("""COMPUTED_VALUE"""),"(Chưa recheck)")</f>
        <v>(Chưa recheck)</v>
      </c>
      <c r="F70" s="265" t="str">
        <f>IFERROR(__xludf.DUMMYFUNCTION("""COMPUTED_VALUE"""),"Sale chưa cung cấp")</f>
        <v>Sale chưa cung cấp</v>
      </c>
      <c r="G70" s="265" t="str">
        <f>IFERROR(__xludf.DUMMYFUNCTION("""COMPUTED_VALUE"""),"MSG")</f>
        <v>MSG</v>
      </c>
      <c r="H70" s="265" t="str">
        <f>IFERROR(__xludf.DUMMYFUNCTION("""COMPUTED_VALUE"""),"(Chưa recheck)")</f>
        <v>(Chưa recheck)</v>
      </c>
      <c r="I70" s="265" t="str">
        <f>IFERROR(__xludf.DUMMYFUNCTION("""COMPUTED_VALUE"""),"(Chưa recheck)")</f>
        <v>(Chưa recheck)</v>
      </c>
      <c r="J70" s="265" t="str">
        <f>IFERROR(__xludf.DUMMYFUNCTION("""COMPUTED_VALUE"""),"(Chưa recheck)")</f>
        <v>(Chưa recheck)</v>
      </c>
      <c r="K70" s="265" t="str">
        <f>IFERROR(__xludf.DUMMYFUNCTION("""COMPUTED_VALUE"""),"(Chưa recheck)")</f>
        <v>(Chưa recheck)</v>
      </c>
    </row>
    <row r="71">
      <c r="A71" s="265" t="str">
        <f>IFERROR(__xludf.DUMMYFUNCTION("""COMPUTED_VALUE"""),"386")</f>
        <v>386</v>
      </c>
      <c r="B71" s="265" t="str">
        <f>IFERROR(__xludf.DUMMYFUNCTION("""COMPUTED_VALUE"""),"Hà Nội")</f>
        <v>Hà Nội</v>
      </c>
      <c r="C71" s="265" t="str">
        <f>IFERROR(__xludf.DUMMYFUNCTION("""COMPUTED_VALUE"""),"Locked")</f>
        <v>Locked</v>
      </c>
      <c r="D71" s="265" t="str">
        <f>IFERROR(__xludf.DUMMYFUNCTION("""COMPUTED_VALUE"""),"Sale chưa cung cấp")</f>
        <v>Sale chưa cung cấp</v>
      </c>
      <c r="E71" s="265" t="str">
        <f>IFERROR(__xludf.DUMMYFUNCTION("""COMPUTED_VALUE"""),"(Không recheck)")</f>
        <v>(Không recheck)</v>
      </c>
      <c r="F71" s="265" t="str">
        <f>IFERROR(__xludf.DUMMYFUNCTION("""COMPUTED_VALUE"""),"Sale chưa cung cấp")</f>
        <v>Sale chưa cung cấp</v>
      </c>
      <c r="G71" s="265" t="str">
        <f>IFERROR(__xludf.DUMMYFUNCTION("""COMPUTED_VALUE"""),"Enterprise")</f>
        <v>Enterprise</v>
      </c>
      <c r="H71" s="265" t="str">
        <f>IFERROR(__xludf.DUMMYFUNCTION("""COMPUTED_VALUE"""),"Trial")</f>
        <v>Trial</v>
      </c>
      <c r="I71" s="265" t="str">
        <f>IFERROR(__xludf.DUMMYFUNCTION("""COMPUTED_VALUE"""),"(Không recheck)")</f>
        <v>(Không recheck)</v>
      </c>
      <c r="J71" s="265" t="str">
        <f>IFERROR(__xludf.DUMMYFUNCTION("""COMPUTED_VALUE"""),"(Không recheck)")</f>
        <v>(Không recheck)</v>
      </c>
      <c r="K71" s="265" t="str">
        <f>IFERROR(__xludf.DUMMYFUNCTION("""COMPUTED_VALUE"""),"(Không recheck)")</f>
        <v>(Không recheck)</v>
      </c>
    </row>
    <row r="72">
      <c r="A72" s="265" t="str">
        <f>IFERROR(__xludf.DUMMYFUNCTION("""COMPUTED_VALUE"""),"387")</f>
        <v>387</v>
      </c>
      <c r="B72" s="265" t="str">
        <f>IFERROR(__xludf.DUMMYFUNCTION("""COMPUTED_VALUE"""),"Hà Nội")</f>
        <v>Hà Nội</v>
      </c>
      <c r="C72" s="265" t="str">
        <f>IFERROR(__xludf.DUMMYFUNCTION("""COMPUTED_VALUE"""),"Locked")</f>
        <v>Locked</v>
      </c>
      <c r="D72" s="265" t="str">
        <f>IFERROR(__xludf.DUMMYFUNCTION("""COMPUTED_VALUE"""),"Sale chưa cung cấp")</f>
        <v>Sale chưa cung cấp</v>
      </c>
      <c r="E72" s="265" t="str">
        <f>IFERROR(__xludf.DUMMYFUNCTION("""COMPUTED_VALUE"""),"(Không recheck)")</f>
        <v>(Không recheck)</v>
      </c>
      <c r="F72" s="265" t="str">
        <f>IFERROR(__xludf.DUMMYFUNCTION("""COMPUTED_VALUE"""),"Sale chưa cung cấp")</f>
        <v>Sale chưa cung cấp</v>
      </c>
      <c r="G72" s="265" t="str">
        <f>IFERROR(__xludf.DUMMYFUNCTION("""COMPUTED_VALUE"""),"Enterprise")</f>
        <v>Enterprise</v>
      </c>
      <c r="H72" s="265" t="str">
        <f>IFERROR(__xludf.DUMMYFUNCTION("""COMPUTED_VALUE"""),"Trial")</f>
        <v>Trial</v>
      </c>
      <c r="I72" s="265" t="str">
        <f>IFERROR(__xludf.DUMMYFUNCTION("""COMPUTED_VALUE"""),"(Không recheck)")</f>
        <v>(Không recheck)</v>
      </c>
      <c r="J72" s="265" t="str">
        <f>IFERROR(__xludf.DUMMYFUNCTION("""COMPUTED_VALUE"""),"(Không recheck)")</f>
        <v>(Không recheck)</v>
      </c>
      <c r="K72" s="265" t="str">
        <f>IFERROR(__xludf.DUMMYFUNCTION("""COMPUTED_VALUE"""),"(Không recheck)")</f>
        <v>(Không recheck)</v>
      </c>
    </row>
    <row r="73">
      <c r="A73" s="265" t="str">
        <f>IFERROR(__xludf.DUMMYFUNCTION("""COMPUTED_VALUE"""),"388")</f>
        <v>388</v>
      </c>
      <c r="B73" s="265" t="str">
        <f>IFERROR(__xludf.DUMMYFUNCTION("""COMPUTED_VALUE"""),"Hà Nội")</f>
        <v>Hà Nội</v>
      </c>
      <c r="C73" s="265" t="str">
        <f>IFERROR(__xludf.DUMMYFUNCTION("""COMPUTED_VALUE"""),"Active")</f>
        <v>Active</v>
      </c>
      <c r="D73" s="265" t="str">
        <f>IFERROR(__xludf.DUMMYFUNCTION("""COMPUTED_VALUE"""),"Sale chưa cung cấp")</f>
        <v>Sale chưa cung cấp</v>
      </c>
      <c r="E73" s="265" t="str">
        <f>IFERROR(__xludf.DUMMYFUNCTION("""COMPUTED_VALUE"""),"TúPHN")</f>
        <v>TúPHN</v>
      </c>
      <c r="F73" s="265" t="str">
        <f>IFERROR(__xludf.DUMMYFUNCTION("""COMPUTED_VALUE"""),"Bronze")</f>
        <v>Bronze</v>
      </c>
      <c r="G73" s="265" t="str">
        <f>IFERROR(__xludf.DUMMYFUNCTION("""COMPUTED_VALUE"""),"Standard")</f>
        <v>Standard</v>
      </c>
      <c r="H73" s="265" t="str">
        <f>IFERROR(__xludf.DUMMYFUNCTION("""COMPUTED_VALUE"""),"Trả trước")</f>
        <v>Trả trước</v>
      </c>
      <c r="I73" s="265" t="str">
        <f>IFERROR(__xludf.DUMMYFUNCTION("""COMPUTED_VALUE"""),"API")</f>
        <v>API</v>
      </c>
      <c r="J73" s="265" t="str">
        <f>IFERROR(__xludf.DUMMYFUNCTION("""COMPUTED_VALUE"""),"Zalo ZNS")</f>
        <v>Zalo ZNS</v>
      </c>
      <c r="K73" s="265" t="str">
        <f>IFERROR(__xludf.DUMMYFUNCTION("""COMPUTED_VALUE"""),"DungPL")</f>
        <v>DungPL</v>
      </c>
    </row>
    <row r="74">
      <c r="A74" s="265" t="str">
        <f>IFERROR(__xludf.DUMMYFUNCTION("""COMPUTED_VALUE"""),"385")</f>
        <v>385</v>
      </c>
      <c r="B74" s="265" t="str">
        <f>IFERROR(__xludf.DUMMYFUNCTION("""COMPUTED_VALUE"""),"Sài Gòn")</f>
        <v>Sài Gòn</v>
      </c>
      <c r="C74" s="265" t="str">
        <f>IFERROR(__xludf.DUMMYFUNCTION("""COMPUTED_VALUE"""),"Locked")</f>
        <v>Locked</v>
      </c>
      <c r="D74" s="265" t="str">
        <f>IFERROR(__xludf.DUMMYFUNCTION("""COMPUTED_VALUE"""),"Sale chưa cung cấp")</f>
        <v>Sale chưa cung cấp</v>
      </c>
      <c r="E74" s="265" t="str">
        <f>IFERROR(__xludf.DUMMYFUNCTION("""COMPUTED_VALUE"""),"PhươngDTB")</f>
        <v>PhươngDTB</v>
      </c>
      <c r="F74" s="265" t="str">
        <f>IFERROR(__xludf.DUMMYFUNCTION("""COMPUTED_VALUE"""),"Silver")</f>
        <v>Silver</v>
      </c>
      <c r="G74" s="265" t="str">
        <f>IFERROR(__xludf.DUMMYFUNCTION("""COMPUTED_VALUE"""),"Enterprise")</f>
        <v>Enterprise</v>
      </c>
      <c r="H74" s="265" t="str">
        <f>IFERROR(__xludf.DUMMYFUNCTION("""COMPUTED_VALUE"""),"(Chưa recheck)")</f>
        <v>(Chưa recheck)</v>
      </c>
      <c r="I74" s="265" t="str">
        <f>IFERROR(__xludf.DUMMYFUNCTION("""COMPUTED_VALUE"""),"(Chưa recheck)")</f>
        <v>(Chưa recheck)</v>
      </c>
      <c r="J74" s="265" t="str">
        <f>IFERROR(__xludf.DUMMYFUNCTION("""COMPUTED_VALUE"""),"(Chưa recheck)")</f>
        <v>(Chưa recheck)</v>
      </c>
      <c r="K74" s="265" t="str">
        <f>IFERROR(__xludf.DUMMYFUNCTION("""COMPUTED_VALUE"""),"AnhNM")</f>
        <v>AnhNM</v>
      </c>
    </row>
    <row r="75">
      <c r="A75" s="265" t="str">
        <f>IFERROR(__xludf.DUMMYFUNCTION("""COMPUTED_VALUE"""),"390")</f>
        <v>390</v>
      </c>
      <c r="B75" s="265" t="str">
        <f>IFERROR(__xludf.DUMMYFUNCTION("""COMPUTED_VALUE"""),"Sài Gòn")</f>
        <v>Sài Gòn</v>
      </c>
      <c r="C75" s="265" t="str">
        <f>IFERROR(__xludf.DUMMYFUNCTION("""COMPUTED_VALUE"""),"Locked")</f>
        <v>Locked</v>
      </c>
      <c r="D75" s="265" t="str">
        <f>IFERROR(__xludf.DUMMYFUNCTION("""COMPUTED_VALUE"""),"Sale chưa cung cấp")</f>
        <v>Sale chưa cung cấp</v>
      </c>
      <c r="E75" s="265" t="str">
        <f>IFERROR(__xludf.DUMMYFUNCTION("""COMPUTED_VALUE"""),"NamDT")</f>
        <v>NamDT</v>
      </c>
      <c r="F75" s="265" t="str">
        <f>IFERROR(__xludf.DUMMYFUNCTION("""COMPUTED_VALUE"""),"Sale chưa cung cấp")</f>
        <v>Sale chưa cung cấp</v>
      </c>
      <c r="G75" s="265" t="str">
        <f>IFERROR(__xludf.DUMMYFUNCTION("""COMPUTED_VALUE"""),"Enterprise")</f>
        <v>Enterprise</v>
      </c>
      <c r="H75" s="265" t="str">
        <f>IFERROR(__xludf.DUMMYFUNCTION("""COMPUTED_VALUE"""),"(Chưa recheck)")</f>
        <v>(Chưa recheck)</v>
      </c>
      <c r="I75" s="265" t="str">
        <f>IFERROR(__xludf.DUMMYFUNCTION("""COMPUTED_VALUE"""),"(Chưa recheck)")</f>
        <v>(Chưa recheck)</v>
      </c>
      <c r="J75" s="265" t="str">
        <f>IFERROR(__xludf.DUMMYFUNCTION("""COMPUTED_VALUE"""),"(Chưa recheck)")</f>
        <v>(Chưa recheck)</v>
      </c>
      <c r="K75" s="265" t="str">
        <f>IFERROR(__xludf.DUMMYFUNCTION("""COMPUTED_VALUE"""),"AnhNM")</f>
        <v>AnhNM</v>
      </c>
    </row>
    <row r="76">
      <c r="A76" s="265" t="str">
        <f>IFERROR(__xludf.DUMMYFUNCTION("""COMPUTED_VALUE"""),"391")</f>
        <v>391</v>
      </c>
      <c r="B76" s="265" t="str">
        <f>IFERROR(__xludf.DUMMYFUNCTION("""COMPUTED_VALUE"""),"Sài Gòn")</f>
        <v>Sài Gòn</v>
      </c>
      <c r="C76" s="265" t="str">
        <f>IFERROR(__xludf.DUMMYFUNCTION("""COMPUTED_VALUE"""),"Locked")</f>
        <v>Locked</v>
      </c>
      <c r="D76" s="265" t="str">
        <f>IFERROR(__xludf.DUMMYFUNCTION("""COMPUTED_VALUE"""),"Sale chưa cung cấp")</f>
        <v>Sale chưa cung cấp</v>
      </c>
      <c r="E76" s="265" t="str">
        <f>IFERROR(__xludf.DUMMYFUNCTION("""COMPUTED_VALUE"""),"NamDT")</f>
        <v>NamDT</v>
      </c>
      <c r="F76" s="265" t="str">
        <f>IFERROR(__xludf.DUMMYFUNCTION("""COMPUTED_VALUE"""),"Sale chưa cung cấp")</f>
        <v>Sale chưa cung cấp</v>
      </c>
      <c r="G76" s="265" t="str">
        <f>IFERROR(__xludf.DUMMYFUNCTION("""COMPUTED_VALUE"""),"Enterprise")</f>
        <v>Enterprise</v>
      </c>
      <c r="H76" s="265" t="str">
        <f>IFERROR(__xludf.DUMMYFUNCTION("""COMPUTED_VALUE"""),"(Chưa recheck)")</f>
        <v>(Chưa recheck)</v>
      </c>
      <c r="I76" s="265" t="str">
        <f>IFERROR(__xludf.DUMMYFUNCTION("""COMPUTED_VALUE"""),"(Chưa recheck)")</f>
        <v>(Chưa recheck)</v>
      </c>
      <c r="J76" s="265" t="str">
        <f>IFERROR(__xludf.DUMMYFUNCTION("""COMPUTED_VALUE"""),"(Chưa recheck)")</f>
        <v>(Chưa recheck)</v>
      </c>
      <c r="K76" s="265" t="str">
        <f>IFERROR(__xludf.DUMMYFUNCTION("""COMPUTED_VALUE"""),"AnhNM")</f>
        <v>AnhNM</v>
      </c>
    </row>
    <row r="77">
      <c r="A77" s="265" t="str">
        <f>IFERROR(__xludf.DUMMYFUNCTION("""COMPUTED_VALUE"""),"392")</f>
        <v>392</v>
      </c>
      <c r="B77" s="265" t="str">
        <f>IFERROR(__xludf.DUMMYFUNCTION("""COMPUTED_VALUE"""),"Hà Nội")</f>
        <v>Hà Nội</v>
      </c>
      <c r="C77" s="265" t="str">
        <f>IFERROR(__xludf.DUMMYFUNCTION("""COMPUTED_VALUE"""),"Locked")</f>
        <v>Locked</v>
      </c>
      <c r="D77" s="265" t="str">
        <f>IFERROR(__xludf.DUMMYFUNCTION("""COMPUTED_VALUE"""),"Sale chưa cung cấp")</f>
        <v>Sale chưa cung cấp</v>
      </c>
      <c r="E77" s="265" t="str">
        <f>IFERROR(__xludf.DUMMYFUNCTION("""COMPUTED_VALUE"""),"HangNT")</f>
        <v>HangNT</v>
      </c>
      <c r="F77" s="265" t="str">
        <f>IFERROR(__xludf.DUMMYFUNCTION("""COMPUTED_VALUE"""),"Bronze")</f>
        <v>Bronze</v>
      </c>
      <c r="G77" s="265" t="str">
        <f>IFERROR(__xludf.DUMMYFUNCTION("""COMPUTED_VALUE"""),"Enterprise")</f>
        <v>Enterprise</v>
      </c>
      <c r="H77" s="265" t="str">
        <f>IFERROR(__xludf.DUMMYFUNCTION("""COMPUTED_VALUE"""),"(Chưa recheck)")</f>
        <v>(Chưa recheck)</v>
      </c>
      <c r="I77" s="265" t="str">
        <f>IFERROR(__xludf.DUMMYFUNCTION("""COMPUTED_VALUE"""),"(Chưa recheck)")</f>
        <v>(Chưa recheck)</v>
      </c>
      <c r="J77" s="265" t="str">
        <f>IFERROR(__xludf.DUMMYFUNCTION("""COMPUTED_VALUE"""),"(Chưa recheck)")</f>
        <v>(Chưa recheck)</v>
      </c>
      <c r="K77" s="265" t="str">
        <f>IFERROR(__xludf.DUMMYFUNCTION("""COMPUTED_VALUE"""),"AnhNM")</f>
        <v>AnhNM</v>
      </c>
    </row>
    <row r="78">
      <c r="A78" s="265" t="str">
        <f>IFERROR(__xludf.DUMMYFUNCTION("""COMPUTED_VALUE"""),"393")</f>
        <v>393</v>
      </c>
      <c r="B78" s="265" t="str">
        <f>IFERROR(__xludf.DUMMYFUNCTION("""COMPUTED_VALUE"""),"Hà Nội")</f>
        <v>Hà Nội</v>
      </c>
      <c r="C78" s="265" t="str">
        <f>IFERROR(__xludf.DUMMYFUNCTION("""COMPUTED_VALUE"""),"Locked")</f>
        <v>Locked</v>
      </c>
      <c r="D78" s="265" t="str">
        <f>IFERROR(__xludf.DUMMYFUNCTION("""COMPUTED_VALUE"""),"Sale chưa cung cấp")</f>
        <v>Sale chưa cung cấp</v>
      </c>
      <c r="E78" s="265" t="str">
        <f>IFERROR(__xludf.DUMMYFUNCTION("""COMPUTED_VALUE"""),"HangNT")</f>
        <v>HangNT</v>
      </c>
      <c r="F78" s="265" t="str">
        <f>IFERROR(__xludf.DUMMYFUNCTION("""COMPUTED_VALUE"""),"Bronze")</f>
        <v>Bronze</v>
      </c>
      <c r="G78" s="265" t="str">
        <f>IFERROR(__xludf.DUMMYFUNCTION("""COMPUTED_VALUE"""),"Enterprise")</f>
        <v>Enterprise</v>
      </c>
      <c r="H78" s="265" t="str">
        <f>IFERROR(__xludf.DUMMYFUNCTION("""COMPUTED_VALUE"""),"(Chưa recheck)")</f>
        <v>(Chưa recheck)</v>
      </c>
      <c r="I78" s="265" t="str">
        <f>IFERROR(__xludf.DUMMYFUNCTION("""COMPUTED_VALUE"""),"(Chưa recheck)")</f>
        <v>(Chưa recheck)</v>
      </c>
      <c r="J78" s="265" t="str">
        <f>IFERROR(__xludf.DUMMYFUNCTION("""COMPUTED_VALUE"""),"(Chưa recheck)")</f>
        <v>(Chưa recheck)</v>
      </c>
      <c r="K78" s="265" t="str">
        <f>IFERROR(__xludf.DUMMYFUNCTION("""COMPUTED_VALUE"""),"AnhNM")</f>
        <v>AnhNM</v>
      </c>
    </row>
    <row r="79">
      <c r="A79" s="265" t="str">
        <f>IFERROR(__xludf.DUMMYFUNCTION("""COMPUTED_VALUE"""),"394")</f>
        <v>394</v>
      </c>
      <c r="B79" s="265" t="str">
        <f>IFERROR(__xludf.DUMMYFUNCTION("""COMPUTED_VALUE"""),"Hà Nội")</f>
        <v>Hà Nội</v>
      </c>
      <c r="C79" s="265" t="str">
        <f>IFERROR(__xludf.DUMMYFUNCTION("""COMPUTED_VALUE"""),"Locked")</f>
        <v>Locked</v>
      </c>
      <c r="D79" s="265" t="str">
        <f>IFERROR(__xludf.DUMMYFUNCTION("""COMPUTED_VALUE"""),"Sale chưa cung cấp")</f>
        <v>Sale chưa cung cấp</v>
      </c>
      <c r="E79" s="265" t="str">
        <f>IFERROR(__xludf.DUMMYFUNCTION("""COMPUTED_VALUE"""),"(Chưa recheck)")</f>
        <v>(Chưa recheck)</v>
      </c>
      <c r="F79" s="265" t="str">
        <f>IFERROR(__xludf.DUMMYFUNCTION("""COMPUTED_VALUE"""),"Bronze")</f>
        <v>Bronze</v>
      </c>
      <c r="G79" s="265" t="str">
        <f>IFERROR(__xludf.DUMMYFUNCTION("""COMPUTED_VALUE"""),"MSG")</f>
        <v>MSG</v>
      </c>
      <c r="H79" s="265" t="str">
        <f>IFERROR(__xludf.DUMMYFUNCTION("""COMPUTED_VALUE"""),"(Chưa recheck)")</f>
        <v>(Chưa recheck)</v>
      </c>
      <c r="I79" s="265" t="str">
        <f>IFERROR(__xludf.DUMMYFUNCTION("""COMPUTED_VALUE"""),"(Chưa recheck)")</f>
        <v>(Chưa recheck)</v>
      </c>
      <c r="J79" s="265" t="str">
        <f>IFERROR(__xludf.DUMMYFUNCTION("""COMPUTED_VALUE"""),"(Chưa recheck)")</f>
        <v>(Chưa recheck)</v>
      </c>
      <c r="K79" s="265" t="str">
        <f>IFERROR(__xludf.DUMMYFUNCTION("""COMPUTED_VALUE"""),"AnhNM")</f>
        <v>AnhNM</v>
      </c>
    </row>
    <row r="80">
      <c r="A80" s="265" t="str">
        <f>IFERROR(__xludf.DUMMYFUNCTION("""COMPUTED_VALUE"""),"395")</f>
        <v>395</v>
      </c>
      <c r="B80" s="265" t="str">
        <f>IFERROR(__xludf.DUMMYFUNCTION("""COMPUTED_VALUE"""),"Hà Nội")</f>
        <v>Hà Nội</v>
      </c>
      <c r="C80" s="265" t="str">
        <f>IFERROR(__xludf.DUMMYFUNCTION("""COMPUTED_VALUE"""),"Locked")</f>
        <v>Locked</v>
      </c>
      <c r="D80" s="265" t="str">
        <f>IFERROR(__xludf.DUMMYFUNCTION("""COMPUTED_VALUE"""),"Sale chưa cung cấp")</f>
        <v>Sale chưa cung cấp</v>
      </c>
      <c r="E80" s="265" t="str">
        <f>IFERROR(__xludf.DUMMYFUNCTION("""COMPUTED_VALUE"""),"HangNT")</f>
        <v>HangNT</v>
      </c>
      <c r="F80" s="265" t="str">
        <f>IFERROR(__xludf.DUMMYFUNCTION("""COMPUTED_VALUE"""),"Sale chưa cung cấp")</f>
        <v>Sale chưa cung cấp</v>
      </c>
      <c r="G80" s="265" t="str">
        <f>IFERROR(__xludf.DUMMYFUNCTION("""COMPUTED_VALUE"""),"API")</f>
        <v>API</v>
      </c>
      <c r="H80" s="265" t="str">
        <f>IFERROR(__xludf.DUMMYFUNCTION("""COMPUTED_VALUE"""),"(Chưa recheck)")</f>
        <v>(Chưa recheck)</v>
      </c>
      <c r="I80" s="265" t="str">
        <f>IFERROR(__xludf.DUMMYFUNCTION("""COMPUTED_VALUE"""),"(Chưa recheck)")</f>
        <v>(Chưa recheck)</v>
      </c>
      <c r="J80" s="265" t="str">
        <f>IFERROR(__xludf.DUMMYFUNCTION("""COMPUTED_VALUE"""),"(Chưa recheck)")</f>
        <v>(Chưa recheck)</v>
      </c>
      <c r="K80" s="265" t="str">
        <f>IFERROR(__xludf.DUMMYFUNCTION("""COMPUTED_VALUE"""),"(Chưa recheck)")</f>
        <v>(Chưa recheck)</v>
      </c>
    </row>
    <row r="81">
      <c r="A81" s="265" t="str">
        <f>IFERROR(__xludf.DUMMYFUNCTION("""COMPUTED_VALUE"""),"396")</f>
        <v>396</v>
      </c>
      <c r="B81" s="265" t="str">
        <f>IFERROR(__xludf.DUMMYFUNCTION("""COMPUTED_VALUE"""),"Hà Nội")</f>
        <v>Hà Nội</v>
      </c>
      <c r="C81" s="265" t="str">
        <f>IFERROR(__xludf.DUMMYFUNCTION("""COMPUTED_VALUE"""),"Locked")</f>
        <v>Locked</v>
      </c>
      <c r="D81" s="265" t="str">
        <f>IFERROR(__xludf.DUMMYFUNCTION("""COMPUTED_VALUE"""),"Sale chưa cung cấp")</f>
        <v>Sale chưa cung cấp</v>
      </c>
      <c r="E81" s="265" t="str">
        <f>IFERROR(__xludf.DUMMYFUNCTION("""COMPUTED_VALUE"""),"HangNT")</f>
        <v>HangNT</v>
      </c>
      <c r="F81" s="265" t="str">
        <f>IFERROR(__xludf.DUMMYFUNCTION("""COMPUTED_VALUE"""),"Bronze")</f>
        <v>Bronze</v>
      </c>
      <c r="G81" s="265" t="str">
        <f>IFERROR(__xludf.DUMMYFUNCTION("""COMPUTED_VALUE"""),"Enterprise")</f>
        <v>Enterprise</v>
      </c>
      <c r="H81" s="265" t="str">
        <f>IFERROR(__xludf.DUMMYFUNCTION("""COMPUTED_VALUE"""),"(Chưa recheck)")</f>
        <v>(Chưa recheck)</v>
      </c>
      <c r="I81" s="265" t="str">
        <f>IFERROR(__xludf.DUMMYFUNCTION("""COMPUTED_VALUE"""),"(Chưa recheck)")</f>
        <v>(Chưa recheck)</v>
      </c>
      <c r="J81" s="265" t="str">
        <f>IFERROR(__xludf.DUMMYFUNCTION("""COMPUTED_VALUE"""),"(Chưa recheck)")</f>
        <v>(Chưa recheck)</v>
      </c>
      <c r="K81" s="265" t="str">
        <f>IFERROR(__xludf.DUMMYFUNCTION("""COMPUTED_VALUE"""),"AnhNM")</f>
        <v>AnhNM</v>
      </c>
    </row>
    <row r="82">
      <c r="A82" s="265" t="str">
        <f>IFERROR(__xludf.DUMMYFUNCTION("""COMPUTED_VALUE"""),"398")</f>
        <v>398</v>
      </c>
      <c r="B82" s="265" t="str">
        <f>IFERROR(__xludf.DUMMYFUNCTION("""COMPUTED_VALUE"""),"Sài Gòn")</f>
        <v>Sài Gòn</v>
      </c>
      <c r="C82" s="265" t="str">
        <f>IFERROR(__xludf.DUMMYFUNCTION("""COMPUTED_VALUE"""),"Locked")</f>
        <v>Locked</v>
      </c>
      <c r="D82" s="265" t="str">
        <f>IFERROR(__xludf.DUMMYFUNCTION("""COMPUTED_VALUE"""),"Sale chưa cung cấp")</f>
        <v>Sale chưa cung cấp</v>
      </c>
      <c r="E82" s="265" t="str">
        <f>IFERROR(__xludf.DUMMYFUNCTION("""COMPUTED_VALUE"""),"(Chưa recheck)")</f>
        <v>(Chưa recheck)</v>
      </c>
      <c r="F82" s="265" t="str">
        <f>IFERROR(__xludf.DUMMYFUNCTION("""COMPUTED_VALUE"""),"Diamond")</f>
        <v>Diamond</v>
      </c>
      <c r="G82" s="265" t="str">
        <f>IFERROR(__xludf.DUMMYFUNCTION("""COMPUTED_VALUE"""),"MSG")</f>
        <v>MSG</v>
      </c>
      <c r="H82" s="265" t="str">
        <f>IFERROR(__xludf.DUMMYFUNCTION("""COMPUTED_VALUE"""),"Trial")</f>
        <v>Trial</v>
      </c>
      <c r="I82" s="265" t="str">
        <f>IFERROR(__xludf.DUMMYFUNCTION("""COMPUTED_VALUE"""),"(Chưa recheck)")</f>
        <v>(Chưa recheck)</v>
      </c>
      <c r="J82" s="265" t="str">
        <f>IFERROR(__xludf.DUMMYFUNCTION("""COMPUTED_VALUE"""),"(Chưa recheck)")</f>
        <v>(Chưa recheck)</v>
      </c>
      <c r="K82" s="265" t="str">
        <f>IFERROR(__xludf.DUMMYFUNCTION("""COMPUTED_VALUE"""),"(Chưa recheck)")</f>
        <v>(Chưa recheck)</v>
      </c>
    </row>
    <row r="83">
      <c r="A83" s="265" t="str">
        <f>IFERROR(__xludf.DUMMYFUNCTION("""COMPUTED_VALUE"""),"371")</f>
        <v>371</v>
      </c>
      <c r="B83" s="265" t="str">
        <f>IFERROR(__xludf.DUMMYFUNCTION("""COMPUTED_VALUE"""),"Hà Nội")</f>
        <v>Hà Nội</v>
      </c>
      <c r="C83" s="265" t="str">
        <f>IFERROR(__xludf.DUMMYFUNCTION("""COMPUTED_VALUE"""),"Locked")</f>
        <v>Locked</v>
      </c>
      <c r="D83" s="265" t="str">
        <f>IFERROR(__xludf.DUMMYFUNCTION("""COMPUTED_VALUE"""),"Sale chưa cung cấp")</f>
        <v>Sale chưa cung cấp</v>
      </c>
      <c r="E83" s="265" t="str">
        <f>IFERROR(__xludf.DUMMYFUNCTION("""COMPUTED_VALUE"""),"PhươngDTB")</f>
        <v>PhươngDTB</v>
      </c>
      <c r="F83" s="265" t="str">
        <f>IFERROR(__xludf.DUMMYFUNCTION("""COMPUTED_VALUE"""),"Sale chưa cung cấp")</f>
        <v>Sale chưa cung cấp</v>
      </c>
      <c r="G83" s="265" t="str">
        <f>IFERROR(__xludf.DUMMYFUNCTION("""COMPUTED_VALUE"""),"Enterprise")</f>
        <v>Enterprise</v>
      </c>
      <c r="H83" s="265" t="str">
        <f>IFERROR(__xludf.DUMMYFUNCTION("""COMPUTED_VALUE"""),"Trả sau")</f>
        <v>Trả sau</v>
      </c>
      <c r="I83" s="265" t="str">
        <f>IFERROR(__xludf.DUMMYFUNCTION("""COMPUTED_VALUE"""),"API &amp; Portal")</f>
        <v>API &amp; Portal</v>
      </c>
      <c r="J83" s="265" t="str">
        <f>IFERROR(__xludf.DUMMYFUNCTION("""COMPUTED_VALUE"""),"Email")</f>
        <v>Email</v>
      </c>
      <c r="K83" s="265" t="str">
        <f>IFERROR(__xludf.DUMMYFUNCTION("""COMPUTED_VALUE"""),"(Chưa recheck)")</f>
        <v>(Chưa recheck)</v>
      </c>
    </row>
    <row r="84">
      <c r="A84" s="265" t="str">
        <f>IFERROR(__xludf.DUMMYFUNCTION("""COMPUTED_VALUE"""),"399")</f>
        <v>399</v>
      </c>
      <c r="B84" s="265" t="str">
        <f>IFERROR(__xludf.DUMMYFUNCTION("""COMPUTED_VALUE"""),"Hà Nội")</f>
        <v>Hà Nội</v>
      </c>
      <c r="C84" s="265" t="str">
        <f>IFERROR(__xludf.DUMMYFUNCTION("""COMPUTED_VALUE"""),"Locked")</f>
        <v>Locked</v>
      </c>
      <c r="D84" s="265" t="str">
        <f>IFERROR(__xludf.DUMMYFUNCTION("""COMPUTED_VALUE"""),"Sale chưa cung cấp")</f>
        <v>Sale chưa cung cấp</v>
      </c>
      <c r="E84" s="265" t="str">
        <f>IFERROR(__xludf.DUMMYFUNCTION("""COMPUTED_VALUE"""),"TúPHN")</f>
        <v>TúPHN</v>
      </c>
      <c r="F84" s="265" t="str">
        <f>IFERROR(__xludf.DUMMYFUNCTION("""COMPUTED_VALUE"""),"Sale chưa cung cấp")</f>
        <v>Sale chưa cung cấp</v>
      </c>
      <c r="G84" s="265" t="str">
        <f>IFERROR(__xludf.DUMMYFUNCTION("""COMPUTED_VALUE"""),"Starter")</f>
        <v>Starter</v>
      </c>
      <c r="H84" s="265" t="str">
        <f>IFERROR(__xludf.DUMMYFUNCTION("""COMPUTED_VALUE"""),"Trial")</f>
        <v>Trial</v>
      </c>
      <c r="I84" s="265" t="str">
        <f>IFERROR(__xludf.DUMMYFUNCTION("""COMPUTED_VALUE"""),"API")</f>
        <v>API</v>
      </c>
      <c r="J84" s="265" t="str">
        <f>IFERROR(__xludf.DUMMYFUNCTION("""COMPUTED_VALUE"""),"Zalo ZNS")</f>
        <v>Zalo ZNS</v>
      </c>
      <c r="K84" s="265" t="str">
        <f>IFERROR(__xludf.DUMMYFUNCTION("""COMPUTED_VALUE"""),"Không phân công")</f>
        <v>Không phân công</v>
      </c>
    </row>
    <row r="85">
      <c r="A85" s="265" t="str">
        <f>IFERROR(__xludf.DUMMYFUNCTION("""COMPUTED_VALUE"""),"400")</f>
        <v>400</v>
      </c>
      <c r="B85" s="265" t="str">
        <f>IFERROR(__xludf.DUMMYFUNCTION("""COMPUTED_VALUE"""),"Đà Nẵng")</f>
        <v>Đà Nẵng</v>
      </c>
      <c r="C85" s="265" t="str">
        <f>IFERROR(__xludf.DUMMYFUNCTION("""COMPUTED_VALUE"""),"Locked")</f>
        <v>Locked</v>
      </c>
      <c r="D85" s="265" t="str">
        <f>IFERROR(__xludf.DUMMYFUNCTION("""COMPUTED_VALUE"""),"Sale chưa cung cấp")</f>
        <v>Sale chưa cung cấp</v>
      </c>
      <c r="E85" s="265" t="str">
        <f>IFERROR(__xludf.DUMMYFUNCTION("""COMPUTED_VALUE"""),"HangNT")</f>
        <v>HangNT</v>
      </c>
      <c r="F85" s="265" t="str">
        <f>IFERROR(__xludf.DUMMYFUNCTION("""COMPUTED_VALUE"""),"Sale chưa cung cấp")</f>
        <v>Sale chưa cung cấp</v>
      </c>
      <c r="G85" s="265" t="str">
        <f>IFERROR(__xludf.DUMMYFUNCTION("""COMPUTED_VALUE"""),"Enterprise")</f>
        <v>Enterprise</v>
      </c>
      <c r="H85" s="265" t="str">
        <f>IFERROR(__xludf.DUMMYFUNCTION("""COMPUTED_VALUE"""),"(Chưa recheck)")</f>
        <v>(Chưa recheck)</v>
      </c>
      <c r="I85" s="265" t="str">
        <f>IFERROR(__xludf.DUMMYFUNCTION("""COMPUTED_VALUE"""),"(Chưa recheck)")</f>
        <v>(Chưa recheck)</v>
      </c>
      <c r="J85" s="265" t="str">
        <f>IFERROR(__xludf.DUMMYFUNCTION("""COMPUTED_VALUE"""),"(Chưa recheck)")</f>
        <v>(Chưa recheck)</v>
      </c>
      <c r="K85" s="265" t="str">
        <f>IFERROR(__xludf.DUMMYFUNCTION("""COMPUTED_VALUE"""),"AnhNM")</f>
        <v>AnhNM</v>
      </c>
    </row>
    <row r="86">
      <c r="A86" s="265" t="str">
        <f>IFERROR(__xludf.DUMMYFUNCTION("""COMPUTED_VALUE"""),"401")</f>
        <v>401</v>
      </c>
      <c r="B86" s="265" t="str">
        <f>IFERROR(__xludf.DUMMYFUNCTION("""COMPUTED_VALUE"""),"Hà Nội")</f>
        <v>Hà Nội</v>
      </c>
      <c r="C86" s="265" t="str">
        <f>IFERROR(__xludf.DUMMYFUNCTION("""COMPUTED_VALUE"""),"Locked")</f>
        <v>Locked</v>
      </c>
      <c r="D86" s="265" t="str">
        <f>IFERROR(__xludf.DUMMYFUNCTION("""COMPUTED_VALUE"""),"Sale chưa cung cấp")</f>
        <v>Sale chưa cung cấp</v>
      </c>
      <c r="E86" s="265" t="str">
        <f>IFERROR(__xludf.DUMMYFUNCTION("""COMPUTED_VALUE"""),"HangNT")</f>
        <v>HangNT</v>
      </c>
      <c r="F86" s="265" t="str">
        <f>IFERROR(__xludf.DUMMYFUNCTION("""COMPUTED_VALUE"""),"Sale chưa cung cấp")</f>
        <v>Sale chưa cung cấp</v>
      </c>
      <c r="G86" s="265" t="str">
        <f>IFERROR(__xludf.DUMMYFUNCTION("""COMPUTED_VALUE"""),"Enterprise")</f>
        <v>Enterprise</v>
      </c>
      <c r="H86" s="265" t="str">
        <f>IFERROR(__xludf.DUMMYFUNCTION("""COMPUTED_VALUE"""),"(Chưa recheck)")</f>
        <v>(Chưa recheck)</v>
      </c>
      <c r="I86" s="265" t="str">
        <f>IFERROR(__xludf.DUMMYFUNCTION("""COMPUTED_VALUE"""),"(Chưa recheck)")</f>
        <v>(Chưa recheck)</v>
      </c>
      <c r="J86" s="265" t="str">
        <f>IFERROR(__xludf.DUMMYFUNCTION("""COMPUTED_VALUE"""),"(Chưa recheck)")</f>
        <v>(Chưa recheck)</v>
      </c>
      <c r="K86" s="265" t="str">
        <f>IFERROR(__xludf.DUMMYFUNCTION("""COMPUTED_VALUE"""),"(Chưa recheck)")</f>
        <v>(Chưa recheck)</v>
      </c>
    </row>
    <row r="87">
      <c r="A87" s="265" t="str">
        <f>IFERROR(__xludf.DUMMYFUNCTION("""COMPUTED_VALUE"""),"403")</f>
        <v>403</v>
      </c>
      <c r="B87" s="265" t="str">
        <f>IFERROR(__xludf.DUMMYFUNCTION("""COMPUTED_VALUE"""),"Sài Gòn")</f>
        <v>Sài Gòn</v>
      </c>
      <c r="C87" s="265" t="str">
        <f>IFERROR(__xludf.DUMMYFUNCTION("""COMPUTED_VALUE"""),"Active")</f>
        <v>Active</v>
      </c>
      <c r="D87" s="265" t="str">
        <f>IFERROR(__xludf.DUMMYFUNCTION("""COMPUTED_VALUE"""),"Sale chưa cung cấp")</f>
        <v>Sale chưa cung cấp</v>
      </c>
      <c r="E87" s="265" t="str">
        <f>IFERROR(__xludf.DUMMYFUNCTION("""COMPUTED_VALUE"""),"TùngLD")</f>
        <v>TùngLD</v>
      </c>
      <c r="F87" s="265" t="str">
        <f>IFERROR(__xludf.DUMMYFUNCTION("""COMPUTED_VALUE"""),"Gold")</f>
        <v>Gold</v>
      </c>
      <c r="G87" s="265" t="str">
        <f>IFERROR(__xludf.DUMMYFUNCTION("""COMPUTED_VALUE"""),"Enterprise")</f>
        <v>Enterprise</v>
      </c>
      <c r="H87" s="265" t="str">
        <f>IFERROR(__xludf.DUMMYFUNCTION("""COMPUTED_VALUE"""),"Trả sau")</f>
        <v>Trả sau</v>
      </c>
      <c r="I87" s="265" t="str">
        <f>IFERROR(__xludf.DUMMYFUNCTION("""COMPUTED_VALUE"""),"API")</f>
        <v>API</v>
      </c>
      <c r="J87" s="265" t="str">
        <f>IFERROR(__xludf.DUMMYFUNCTION("""COMPUTED_VALUE"""),"Zalo ZNS")</f>
        <v>Zalo ZNS</v>
      </c>
      <c r="K87" s="265" t="str">
        <f>IFERROR(__xludf.DUMMYFUNCTION("""COMPUTED_VALUE"""),"DungPL")</f>
        <v>DungPL</v>
      </c>
    </row>
    <row r="88">
      <c r="A88" s="265" t="str">
        <f>IFERROR(__xludf.DUMMYFUNCTION("""COMPUTED_VALUE"""),"404")</f>
        <v>404</v>
      </c>
      <c r="B88" s="265" t="str">
        <f>IFERROR(__xludf.DUMMYFUNCTION("""COMPUTED_VALUE"""),"Sài Gòn")</f>
        <v>Sài Gòn</v>
      </c>
      <c r="C88" s="265" t="str">
        <f>IFERROR(__xludf.DUMMYFUNCTION("""COMPUTED_VALUE"""),"Locked")</f>
        <v>Locked</v>
      </c>
      <c r="D88" s="265" t="str">
        <f>IFERROR(__xludf.DUMMYFUNCTION("""COMPUTED_VALUE"""),"Thực phẩm &amp; Đồ uống")</f>
        <v>Thực phẩm &amp; Đồ uống</v>
      </c>
      <c r="E88" s="265" t="str">
        <f>IFERROR(__xludf.DUMMYFUNCTION("""COMPUTED_VALUE"""),"PhươngDTB")</f>
        <v>PhươngDTB</v>
      </c>
      <c r="F88" s="265" t="str">
        <f>IFERROR(__xludf.DUMMYFUNCTION("""COMPUTED_VALUE"""),"Silver")</f>
        <v>Silver</v>
      </c>
      <c r="G88" s="265" t="str">
        <f>IFERROR(__xludf.DUMMYFUNCTION("""COMPUTED_VALUE"""),"Enterprise")</f>
        <v>Enterprise</v>
      </c>
      <c r="H88" s="265" t="str">
        <f>IFERROR(__xludf.DUMMYFUNCTION("""COMPUTED_VALUE"""),"Trả trước")</f>
        <v>Trả trước</v>
      </c>
      <c r="I88" s="265" t="str">
        <f>IFERROR(__xludf.DUMMYFUNCTION("""COMPUTED_VALUE"""),"(Chưa recheck)")</f>
        <v>(Chưa recheck)</v>
      </c>
      <c r="J88" s="265" t="str">
        <f>IFERROR(__xludf.DUMMYFUNCTION("""COMPUTED_VALUE"""),"GapOne")</f>
        <v>GapOne</v>
      </c>
      <c r="K88" s="265" t="str">
        <f>IFERROR(__xludf.DUMMYFUNCTION("""COMPUTED_VALUE"""),"AnhNM")</f>
        <v>AnhNM</v>
      </c>
    </row>
    <row r="89">
      <c r="A89" s="265" t="str">
        <f>IFERROR(__xludf.DUMMYFUNCTION("""COMPUTED_VALUE"""),"405")</f>
        <v>405</v>
      </c>
      <c r="B89" s="265" t="str">
        <f>IFERROR(__xludf.DUMMYFUNCTION("""COMPUTED_VALUE"""),"Hà Nội")</f>
        <v>Hà Nội</v>
      </c>
      <c r="C89" s="265" t="str">
        <f>IFERROR(__xludf.DUMMYFUNCTION("""COMPUTED_VALUE"""),"Locked")</f>
        <v>Locked</v>
      </c>
      <c r="D89" s="265" t="str">
        <f>IFERROR(__xludf.DUMMYFUNCTION("""COMPUTED_VALUE"""),"Sale chưa cung cấp")</f>
        <v>Sale chưa cung cấp</v>
      </c>
      <c r="E89" s="265" t="str">
        <f>IFERROR(__xludf.DUMMYFUNCTION("""COMPUTED_VALUE"""),"(Không recheck)")</f>
        <v>(Không recheck)</v>
      </c>
      <c r="F89" s="265" t="str">
        <f>IFERROR(__xludf.DUMMYFUNCTION("""COMPUTED_VALUE"""),"Sale chưa cung cấp")</f>
        <v>Sale chưa cung cấp</v>
      </c>
      <c r="G89" s="265" t="str">
        <f>IFERROR(__xludf.DUMMYFUNCTION("""COMPUTED_VALUE"""),"Enterprise")</f>
        <v>Enterprise</v>
      </c>
      <c r="H89" s="265" t="str">
        <f>IFERROR(__xludf.DUMMYFUNCTION("""COMPUTED_VALUE"""),"Trial")</f>
        <v>Trial</v>
      </c>
      <c r="I89" s="265" t="str">
        <f>IFERROR(__xludf.DUMMYFUNCTION("""COMPUTED_VALUE"""),"(Không recheck)")</f>
        <v>(Không recheck)</v>
      </c>
      <c r="J89" s="265" t="str">
        <f>IFERROR(__xludf.DUMMYFUNCTION("""COMPUTED_VALUE"""),"(Không recheck)")</f>
        <v>(Không recheck)</v>
      </c>
      <c r="K89" s="265" t="str">
        <f>IFERROR(__xludf.DUMMYFUNCTION("""COMPUTED_VALUE"""),"(Không recheck)")</f>
        <v>(Không recheck)</v>
      </c>
    </row>
    <row r="90">
      <c r="A90" s="265" t="str">
        <f>IFERROR(__xludf.DUMMYFUNCTION("""COMPUTED_VALUE"""),"407")</f>
        <v>407</v>
      </c>
      <c r="B90" s="265" t="str">
        <f>IFERROR(__xludf.DUMMYFUNCTION("""COMPUTED_VALUE"""),"Sài Gòn")</f>
        <v>Sài Gòn</v>
      </c>
      <c r="C90" s="265" t="str">
        <f>IFERROR(__xludf.DUMMYFUNCTION("""COMPUTED_VALUE"""),"Locked")</f>
        <v>Locked</v>
      </c>
      <c r="D90" s="265" t="str">
        <f>IFERROR(__xludf.DUMMYFUNCTION("""COMPUTED_VALUE"""),"Sale chưa cung cấp")</f>
        <v>Sale chưa cung cấp</v>
      </c>
      <c r="E90" s="265" t="str">
        <f>IFERROR(__xludf.DUMMYFUNCTION("""COMPUTED_VALUE"""),"HangNT")</f>
        <v>HangNT</v>
      </c>
      <c r="F90" s="265" t="str">
        <f>IFERROR(__xludf.DUMMYFUNCTION("""COMPUTED_VALUE"""),"Sale chưa cung cấp")</f>
        <v>Sale chưa cung cấp</v>
      </c>
      <c r="G90" s="265" t="str">
        <f>IFERROR(__xludf.DUMMYFUNCTION("""COMPUTED_VALUE"""),"Enterprise")</f>
        <v>Enterprise</v>
      </c>
      <c r="H90" s="265" t="str">
        <f>IFERROR(__xludf.DUMMYFUNCTION("""COMPUTED_VALUE"""),"(Chưa recheck)")</f>
        <v>(Chưa recheck)</v>
      </c>
      <c r="I90" s="265" t="str">
        <f>IFERROR(__xludf.DUMMYFUNCTION("""COMPUTED_VALUE"""),"(Chưa recheck)")</f>
        <v>(Chưa recheck)</v>
      </c>
      <c r="J90" s="265" t="str">
        <f>IFERROR(__xludf.DUMMYFUNCTION("""COMPUTED_VALUE"""),"(Chưa recheck)")</f>
        <v>(Chưa recheck)</v>
      </c>
      <c r="K90" s="265" t="str">
        <f>IFERROR(__xludf.DUMMYFUNCTION("""COMPUTED_VALUE"""),"AnhNM")</f>
        <v>AnhNM</v>
      </c>
    </row>
    <row r="91">
      <c r="A91" s="265" t="str">
        <f>IFERROR(__xludf.DUMMYFUNCTION("""COMPUTED_VALUE"""),"408")</f>
        <v>408</v>
      </c>
      <c r="B91" s="265" t="str">
        <f>IFERROR(__xludf.DUMMYFUNCTION("""COMPUTED_VALUE"""),"Đà Nẵng")</f>
        <v>Đà Nẵng</v>
      </c>
      <c r="C91" s="265" t="str">
        <f>IFERROR(__xludf.DUMMYFUNCTION("""COMPUTED_VALUE"""),"Locked")</f>
        <v>Locked</v>
      </c>
      <c r="D91" s="265" t="str">
        <f>IFERROR(__xludf.DUMMYFUNCTION("""COMPUTED_VALUE"""),"Sale chưa cung cấp")</f>
        <v>Sale chưa cung cấp</v>
      </c>
      <c r="E91" s="265" t="str">
        <f>IFERROR(__xludf.DUMMYFUNCTION("""COMPUTED_VALUE"""),"PhươngDTB")</f>
        <v>PhươngDTB</v>
      </c>
      <c r="F91" s="265" t="str">
        <f>IFERROR(__xludf.DUMMYFUNCTION("""COMPUTED_VALUE"""),"Sale chưa cung cấp")</f>
        <v>Sale chưa cung cấp</v>
      </c>
      <c r="G91" s="265" t="str">
        <f>IFERROR(__xludf.DUMMYFUNCTION("""COMPUTED_VALUE"""),"Enterprise")</f>
        <v>Enterprise</v>
      </c>
      <c r="H91" s="265" t="str">
        <f>IFERROR(__xludf.DUMMYFUNCTION("""COMPUTED_VALUE"""),"(Chưa recheck)")</f>
        <v>(Chưa recheck)</v>
      </c>
      <c r="I91" s="265" t="str">
        <f>IFERROR(__xludf.DUMMYFUNCTION("""COMPUTED_VALUE"""),"(Chưa recheck)")</f>
        <v>(Chưa recheck)</v>
      </c>
      <c r="J91" s="265" t="str">
        <f>IFERROR(__xludf.DUMMYFUNCTION("""COMPUTED_VALUE"""),"(Chưa recheck)")</f>
        <v>(Chưa recheck)</v>
      </c>
      <c r="K91" s="265" t="str">
        <f>IFERROR(__xludf.DUMMYFUNCTION("""COMPUTED_VALUE"""),"(Chưa recheck)")</f>
        <v>(Chưa recheck)</v>
      </c>
    </row>
    <row r="92">
      <c r="A92" s="265" t="str">
        <f>IFERROR(__xludf.DUMMYFUNCTION("""COMPUTED_VALUE"""),"410")</f>
        <v>410</v>
      </c>
      <c r="B92" s="265" t="str">
        <f>IFERROR(__xludf.DUMMYFUNCTION("""COMPUTED_VALUE"""),"Hà Nội")</f>
        <v>Hà Nội</v>
      </c>
      <c r="C92" s="265" t="str">
        <f>IFERROR(__xludf.DUMMYFUNCTION("""COMPUTED_VALUE"""),"Locked")</f>
        <v>Locked</v>
      </c>
      <c r="D92" s="265" t="str">
        <f>IFERROR(__xludf.DUMMYFUNCTION("""COMPUTED_VALUE"""),"Sale chưa cung cấp")</f>
        <v>Sale chưa cung cấp</v>
      </c>
      <c r="E92" s="265" t="str">
        <f>IFERROR(__xludf.DUMMYFUNCTION("""COMPUTED_VALUE"""),"HangNT")</f>
        <v>HangNT</v>
      </c>
      <c r="F92" s="265" t="str">
        <f>IFERROR(__xludf.DUMMYFUNCTION("""COMPUTED_VALUE"""),"Bronze")</f>
        <v>Bronze</v>
      </c>
      <c r="G92" s="265" t="str">
        <f>IFERROR(__xludf.DUMMYFUNCTION("""COMPUTED_VALUE"""),"Enterprise")</f>
        <v>Enterprise</v>
      </c>
      <c r="H92" s="265" t="str">
        <f>IFERROR(__xludf.DUMMYFUNCTION("""COMPUTED_VALUE"""),"(Chưa recheck)")</f>
        <v>(Chưa recheck)</v>
      </c>
      <c r="I92" s="265" t="str">
        <f>IFERROR(__xludf.DUMMYFUNCTION("""COMPUTED_VALUE"""),"(Chưa recheck)")</f>
        <v>(Chưa recheck)</v>
      </c>
      <c r="J92" s="265" t="str">
        <f>IFERROR(__xludf.DUMMYFUNCTION("""COMPUTED_VALUE"""),"(Chưa recheck)")</f>
        <v>(Chưa recheck)</v>
      </c>
      <c r="K92" s="265" t="str">
        <f>IFERROR(__xludf.DUMMYFUNCTION("""COMPUTED_VALUE"""),"(Chưa recheck)")</f>
        <v>(Chưa recheck)</v>
      </c>
    </row>
    <row r="93">
      <c r="A93" s="265" t="str">
        <f>IFERROR(__xludf.DUMMYFUNCTION("""COMPUTED_VALUE"""),"409")</f>
        <v>409</v>
      </c>
      <c r="B93" s="265" t="str">
        <f>IFERROR(__xludf.DUMMYFUNCTION("""COMPUTED_VALUE"""),"Sài Gòn")</f>
        <v>Sài Gòn</v>
      </c>
      <c r="C93" s="265" t="str">
        <f>IFERROR(__xludf.DUMMYFUNCTION("""COMPUTED_VALUE"""),"Locked")</f>
        <v>Locked</v>
      </c>
      <c r="D93" s="265" t="str">
        <f>IFERROR(__xludf.DUMMYFUNCTION("""COMPUTED_VALUE"""),"Sale chưa cung cấp")</f>
        <v>Sale chưa cung cấp</v>
      </c>
      <c r="E93" s="265" t="str">
        <f>IFERROR(__xludf.DUMMYFUNCTION("""COMPUTED_VALUE"""),"HoaNTM")</f>
        <v>HoaNTM</v>
      </c>
      <c r="F93" s="265" t="str">
        <f>IFERROR(__xludf.DUMMYFUNCTION("""COMPUTED_VALUE"""),"Gold")</f>
        <v>Gold</v>
      </c>
      <c r="G93" s="265" t="str">
        <f>IFERROR(__xludf.DUMMYFUNCTION("""COMPUTED_VALUE"""),"Enterprise")</f>
        <v>Enterprise</v>
      </c>
      <c r="H93" s="265" t="str">
        <f>IFERROR(__xludf.DUMMYFUNCTION("""COMPUTED_VALUE"""),"(Chưa recheck)")</f>
        <v>(Chưa recheck)</v>
      </c>
      <c r="I93" s="265" t="str">
        <f>IFERROR(__xludf.DUMMYFUNCTION("""COMPUTED_VALUE"""),"(Chưa recheck)")</f>
        <v>(Chưa recheck)</v>
      </c>
      <c r="J93" s="265" t="str">
        <f>IFERROR(__xludf.DUMMYFUNCTION("""COMPUTED_VALUE"""),"(Chưa recheck)")</f>
        <v>(Chưa recheck)</v>
      </c>
      <c r="K93" s="265" t="str">
        <f>IFERROR(__xludf.DUMMYFUNCTION("""COMPUTED_VALUE"""),"DungPL")</f>
        <v>DungPL</v>
      </c>
    </row>
    <row r="94">
      <c r="A94" s="265" t="str">
        <f>IFERROR(__xludf.DUMMYFUNCTION("""COMPUTED_VALUE"""),"412")</f>
        <v>412</v>
      </c>
      <c r="B94" s="265" t="str">
        <f>IFERROR(__xludf.DUMMYFUNCTION("""COMPUTED_VALUE"""),"Sài Gòn")</f>
        <v>Sài Gòn</v>
      </c>
      <c r="C94" s="265" t="str">
        <f>IFERROR(__xludf.DUMMYFUNCTION("""COMPUTED_VALUE"""),"Locked")</f>
        <v>Locked</v>
      </c>
      <c r="D94" s="265" t="str">
        <f>IFERROR(__xludf.DUMMYFUNCTION("""COMPUTED_VALUE"""),"Sale chưa cung cấp")</f>
        <v>Sale chưa cung cấp</v>
      </c>
      <c r="E94" s="265" t="str">
        <f>IFERROR(__xludf.DUMMYFUNCTION("""COMPUTED_VALUE"""),"PhươngDTB")</f>
        <v>PhươngDTB</v>
      </c>
      <c r="F94" s="265" t="str">
        <f>IFERROR(__xludf.DUMMYFUNCTION("""COMPUTED_VALUE"""),"Sale chưa cung cấp")</f>
        <v>Sale chưa cung cấp</v>
      </c>
      <c r="G94" s="265" t="str">
        <f>IFERROR(__xludf.DUMMYFUNCTION("""COMPUTED_VALUE"""),"Enterprise")</f>
        <v>Enterprise</v>
      </c>
      <c r="H94" s="265" t="str">
        <f>IFERROR(__xludf.DUMMYFUNCTION("""COMPUTED_VALUE"""),"(Chưa recheck)")</f>
        <v>(Chưa recheck)</v>
      </c>
      <c r="I94" s="265" t="str">
        <f>IFERROR(__xludf.DUMMYFUNCTION("""COMPUTED_VALUE"""),"(Chưa recheck)")</f>
        <v>(Chưa recheck)</v>
      </c>
      <c r="J94" s="265" t="str">
        <f>IFERROR(__xludf.DUMMYFUNCTION("""COMPUTED_VALUE"""),"(Chưa recheck)")</f>
        <v>(Chưa recheck)</v>
      </c>
      <c r="K94" s="265" t="str">
        <f>IFERROR(__xludf.DUMMYFUNCTION("""COMPUTED_VALUE"""),"(Chưa recheck)")</f>
        <v>(Chưa recheck)</v>
      </c>
    </row>
    <row r="95">
      <c r="A95" s="265" t="str">
        <f>IFERROR(__xludf.DUMMYFUNCTION("""COMPUTED_VALUE"""),"413")</f>
        <v>413</v>
      </c>
      <c r="B95" s="265" t="str">
        <f>IFERROR(__xludf.DUMMYFUNCTION("""COMPUTED_VALUE"""),"Hà Nội")</f>
        <v>Hà Nội</v>
      </c>
      <c r="C95" s="265" t="str">
        <f>IFERROR(__xludf.DUMMYFUNCTION("""COMPUTED_VALUE"""),"Locked")</f>
        <v>Locked</v>
      </c>
      <c r="D95" s="265" t="str">
        <f>IFERROR(__xludf.DUMMYFUNCTION("""COMPUTED_VALUE"""),"Sale chưa cung cấp")</f>
        <v>Sale chưa cung cấp</v>
      </c>
      <c r="E95" s="265" t="str">
        <f>IFERROR(__xludf.DUMMYFUNCTION("""COMPUTED_VALUE"""),"HangNT")</f>
        <v>HangNT</v>
      </c>
      <c r="F95" s="265" t="str">
        <f>IFERROR(__xludf.DUMMYFUNCTION("""COMPUTED_VALUE"""),"Diamond")</f>
        <v>Diamond</v>
      </c>
      <c r="G95" s="265" t="str">
        <f>IFERROR(__xludf.DUMMYFUNCTION("""COMPUTED_VALUE"""),"API")</f>
        <v>API</v>
      </c>
      <c r="H95" s="265" t="str">
        <f>IFERROR(__xludf.DUMMYFUNCTION("""COMPUTED_VALUE"""),"Trả sau")</f>
        <v>Trả sau</v>
      </c>
      <c r="I95" s="265" t="str">
        <f>IFERROR(__xludf.DUMMYFUNCTION("""COMPUTED_VALUE"""),"(Chưa recheck)")</f>
        <v>(Chưa recheck)</v>
      </c>
      <c r="J95" s="265" t="str">
        <f>IFERROR(__xludf.DUMMYFUNCTION("""COMPUTED_VALUE"""),"(Chưa recheck)")</f>
        <v>(Chưa recheck)</v>
      </c>
      <c r="K95" s="265" t="str">
        <f>IFERROR(__xludf.DUMMYFUNCTION("""COMPUTED_VALUE"""),"(Chưa recheck)")</f>
        <v>(Chưa recheck)</v>
      </c>
    </row>
    <row r="96">
      <c r="A96" s="265" t="str">
        <f>IFERROR(__xludf.DUMMYFUNCTION("""COMPUTED_VALUE"""),"416")</f>
        <v>416</v>
      </c>
      <c r="B96" s="265" t="str">
        <f>IFERROR(__xludf.DUMMYFUNCTION("""COMPUTED_VALUE"""),"Hà Nội")</f>
        <v>Hà Nội</v>
      </c>
      <c r="C96" s="265" t="str">
        <f>IFERROR(__xludf.DUMMYFUNCTION("""COMPUTED_VALUE"""),"Locked")</f>
        <v>Locked</v>
      </c>
      <c r="D96" s="265" t="str">
        <f>IFERROR(__xludf.DUMMYFUNCTION("""COMPUTED_VALUE"""),"Sale chưa cung cấp")</f>
        <v>Sale chưa cung cấp</v>
      </c>
      <c r="E96" s="265" t="str">
        <f>IFERROR(__xludf.DUMMYFUNCTION("""COMPUTED_VALUE"""),"(Chưa recheck)")</f>
        <v>(Chưa recheck)</v>
      </c>
      <c r="F96" s="265" t="str">
        <f>IFERROR(__xludf.DUMMYFUNCTION("""COMPUTED_VALUE"""),"Sale chưa cung cấp")</f>
        <v>Sale chưa cung cấp</v>
      </c>
      <c r="G96" s="265" t="str">
        <f>IFERROR(__xludf.DUMMYFUNCTION("""COMPUTED_VALUE"""),"API")</f>
        <v>API</v>
      </c>
      <c r="H96" s="265" t="str">
        <f>IFERROR(__xludf.DUMMYFUNCTION("""COMPUTED_VALUE"""),"Trả sau")</f>
        <v>Trả sau</v>
      </c>
      <c r="I96" s="265" t="str">
        <f>IFERROR(__xludf.DUMMYFUNCTION("""COMPUTED_VALUE"""),"(Chưa recheck)")</f>
        <v>(Chưa recheck)</v>
      </c>
      <c r="J96" s="265" t="str">
        <f>IFERROR(__xludf.DUMMYFUNCTION("""COMPUTED_VALUE"""),"(Chưa recheck)")</f>
        <v>(Chưa recheck)</v>
      </c>
      <c r="K96" s="265" t="str">
        <f>IFERROR(__xludf.DUMMYFUNCTION("""COMPUTED_VALUE"""),"(Chưa recheck)")</f>
        <v>(Chưa recheck)</v>
      </c>
    </row>
    <row r="97">
      <c r="A97" s="265" t="str">
        <f>IFERROR(__xludf.DUMMYFUNCTION("""COMPUTED_VALUE"""),"417")</f>
        <v>417</v>
      </c>
      <c r="B97" s="265" t="str">
        <f>IFERROR(__xludf.DUMMYFUNCTION("""COMPUTED_VALUE"""),"Đà Nẵng")</f>
        <v>Đà Nẵng</v>
      </c>
      <c r="C97" s="265" t="str">
        <f>IFERROR(__xludf.DUMMYFUNCTION("""COMPUTED_VALUE"""),"Active")</f>
        <v>Active</v>
      </c>
      <c r="D97" s="265" t="str">
        <f>IFERROR(__xludf.DUMMYFUNCTION("""COMPUTED_VALUE"""),"Viễn thông")</f>
        <v>Viễn thông</v>
      </c>
      <c r="E97" s="265" t="str">
        <f>IFERROR(__xludf.DUMMYFUNCTION("""COMPUTED_VALUE"""),"AnhNM")</f>
        <v>AnhNM</v>
      </c>
      <c r="F97" s="265" t="str">
        <f>IFERROR(__xludf.DUMMYFUNCTION("""COMPUTED_VALUE"""),"Silver")</f>
        <v>Silver</v>
      </c>
      <c r="G97" s="265" t="str">
        <f>IFERROR(__xludf.DUMMYFUNCTION("""COMPUTED_VALUE"""),"Enterprise")</f>
        <v>Enterprise</v>
      </c>
      <c r="H97" s="265" t="str">
        <f>IFERROR(__xludf.DUMMYFUNCTION("""COMPUTED_VALUE"""),"Trả sau")</f>
        <v>Trả sau</v>
      </c>
      <c r="I97" s="265" t="str">
        <f>IFERROR(__xludf.DUMMYFUNCTION("""COMPUTED_VALUE"""),"API &amp; Portal")</f>
        <v>API &amp; Portal</v>
      </c>
      <c r="J97" s="265" t="str">
        <f>IFERROR(__xludf.DUMMYFUNCTION("""COMPUTED_VALUE"""),"Zalo ZNS")</f>
        <v>Zalo ZNS</v>
      </c>
      <c r="K97" s="265" t="str">
        <f>IFERROR(__xludf.DUMMYFUNCTION("""COMPUTED_VALUE"""),"LinhNTT1")</f>
        <v>LinhNTT1</v>
      </c>
    </row>
    <row r="98">
      <c r="A98" s="265" t="str">
        <f>IFERROR(__xludf.DUMMYFUNCTION("""COMPUTED_VALUE"""),"417")</f>
        <v>417</v>
      </c>
      <c r="B98" s="265" t="str">
        <f>IFERROR(__xludf.DUMMYFUNCTION("""COMPUTED_VALUE"""),"Đà Nẵng")</f>
        <v>Đà Nẵng</v>
      </c>
      <c r="C98" s="265" t="str">
        <f>IFERROR(__xludf.DUMMYFUNCTION("""COMPUTED_VALUE"""),"Active")</f>
        <v>Active</v>
      </c>
      <c r="D98" s="265" t="str">
        <f>IFERROR(__xludf.DUMMYFUNCTION("""COMPUTED_VALUE"""),"Viễn thông")</f>
        <v>Viễn thông</v>
      </c>
      <c r="E98" s="265" t="str">
        <f>IFERROR(__xludf.DUMMYFUNCTION("""COMPUTED_VALUE"""),"AnhNM")</f>
        <v>AnhNM</v>
      </c>
      <c r="F98" s="265" t="str">
        <f>IFERROR(__xludf.DUMMYFUNCTION("""COMPUTED_VALUE"""),"Silver")</f>
        <v>Silver</v>
      </c>
      <c r="G98" s="265" t="str">
        <f>IFERROR(__xludf.DUMMYFUNCTION("""COMPUTED_VALUE"""),"Enterprise")</f>
        <v>Enterprise</v>
      </c>
      <c r="H98" s="265" t="str">
        <f>IFERROR(__xludf.DUMMYFUNCTION("""COMPUTED_VALUE"""),"Trả sau")</f>
        <v>Trả sau</v>
      </c>
      <c r="I98" s="265" t="str">
        <f>IFERROR(__xludf.DUMMYFUNCTION("""COMPUTED_VALUE"""),"API &amp; Portal")</f>
        <v>API &amp; Portal</v>
      </c>
      <c r="J98" s="265" t="str">
        <f>IFERROR(__xludf.DUMMYFUNCTION("""COMPUTED_VALUE"""),"SMS CSKH")</f>
        <v>SMS CSKH</v>
      </c>
      <c r="K98" s="265" t="str">
        <f>IFERROR(__xludf.DUMMYFUNCTION("""COMPUTED_VALUE"""),"LinhNTT1")</f>
        <v>LinhNTT1</v>
      </c>
    </row>
    <row r="99">
      <c r="A99" s="265" t="str">
        <f>IFERROR(__xludf.DUMMYFUNCTION("""COMPUTED_VALUE"""),"418")</f>
        <v>418</v>
      </c>
      <c r="B99" s="265" t="str">
        <f>IFERROR(__xludf.DUMMYFUNCTION("""COMPUTED_VALUE"""),"Hà Nội")</f>
        <v>Hà Nội</v>
      </c>
      <c r="C99" s="265" t="str">
        <f>IFERROR(__xludf.DUMMYFUNCTION("""COMPUTED_VALUE"""),"Locked")</f>
        <v>Locked</v>
      </c>
      <c r="D99" s="265" t="str">
        <f>IFERROR(__xludf.DUMMYFUNCTION("""COMPUTED_VALUE"""),"Sale chưa cung cấp")</f>
        <v>Sale chưa cung cấp</v>
      </c>
      <c r="E99" s="265" t="str">
        <f>IFERROR(__xludf.DUMMYFUNCTION("""COMPUTED_VALUE"""),"(Không recheck)")</f>
        <v>(Không recheck)</v>
      </c>
      <c r="F99" s="265" t="str">
        <f>IFERROR(__xludf.DUMMYFUNCTION("""COMPUTED_VALUE"""),"Sale chưa cung cấp")</f>
        <v>Sale chưa cung cấp</v>
      </c>
      <c r="G99" s="265" t="str">
        <f>IFERROR(__xludf.DUMMYFUNCTION("""COMPUTED_VALUE"""),"Enterprise")</f>
        <v>Enterprise</v>
      </c>
      <c r="H99" s="265" t="str">
        <f>IFERROR(__xludf.DUMMYFUNCTION("""COMPUTED_VALUE"""),"Trial")</f>
        <v>Trial</v>
      </c>
      <c r="I99" s="265" t="str">
        <f>IFERROR(__xludf.DUMMYFUNCTION("""COMPUTED_VALUE"""),"(Không recheck)")</f>
        <v>(Không recheck)</v>
      </c>
      <c r="J99" s="265" t="str">
        <f>IFERROR(__xludf.DUMMYFUNCTION("""COMPUTED_VALUE"""),"(Không recheck)")</f>
        <v>(Không recheck)</v>
      </c>
      <c r="K99" s="265" t="str">
        <f>IFERROR(__xludf.DUMMYFUNCTION("""COMPUTED_VALUE"""),"(Không recheck)")</f>
        <v>(Không recheck)</v>
      </c>
    </row>
    <row r="100">
      <c r="A100" s="265" t="str">
        <f>IFERROR(__xludf.DUMMYFUNCTION("""COMPUTED_VALUE"""),"420")</f>
        <v>420</v>
      </c>
      <c r="B100" s="265" t="str">
        <f>IFERROR(__xludf.DUMMYFUNCTION("""COMPUTED_VALUE"""),"Hà Nội")</f>
        <v>Hà Nội</v>
      </c>
      <c r="C100" s="265" t="str">
        <f>IFERROR(__xludf.DUMMYFUNCTION("""COMPUTED_VALUE"""),"Active")</f>
        <v>Active</v>
      </c>
      <c r="D100" s="265" t="str">
        <f>IFERROR(__xludf.DUMMYFUNCTION("""COMPUTED_VALUE"""),"Sale chưa cung cấp")</f>
        <v>Sale chưa cung cấp</v>
      </c>
      <c r="E100" s="265" t="str">
        <f>IFERROR(__xludf.DUMMYFUNCTION("""COMPUTED_VALUE"""),"TùngLD")</f>
        <v>TùngLD</v>
      </c>
      <c r="F100" s="265" t="str">
        <f>IFERROR(__xludf.DUMMYFUNCTION("""COMPUTED_VALUE"""),"Diamond")</f>
        <v>Diamond</v>
      </c>
      <c r="G100" s="265" t="str">
        <f>IFERROR(__xludf.DUMMYFUNCTION("""COMPUTED_VALUE"""),"Enterprise")</f>
        <v>Enterprise</v>
      </c>
      <c r="H100" s="265" t="str">
        <f>IFERROR(__xludf.DUMMYFUNCTION("""COMPUTED_VALUE"""),"Trả sau")</f>
        <v>Trả sau</v>
      </c>
      <c r="I100" s="265" t="str">
        <f>IFERROR(__xludf.DUMMYFUNCTION("""COMPUTED_VALUE"""),"API &amp; Portal")</f>
        <v>API &amp; Portal</v>
      </c>
      <c r="J100" s="265" t="str">
        <f>IFERROR(__xludf.DUMMYFUNCTION("""COMPUTED_VALUE"""),"Tất cả")</f>
        <v>Tất cả</v>
      </c>
      <c r="K100" s="265" t="str">
        <f>IFERROR(__xludf.DUMMYFUNCTION("""COMPUTED_VALUE"""),"LinhNTT1")</f>
        <v>LinhNTT1</v>
      </c>
    </row>
    <row r="101">
      <c r="A101" s="265" t="str">
        <f>IFERROR(__xludf.DUMMYFUNCTION("""COMPUTED_VALUE"""),"421")</f>
        <v>421</v>
      </c>
      <c r="B101" s="265" t="str">
        <f>IFERROR(__xludf.DUMMYFUNCTION("""COMPUTED_VALUE"""),"Hà Nội")</f>
        <v>Hà Nội</v>
      </c>
      <c r="C101" s="265" t="str">
        <f>IFERROR(__xludf.DUMMYFUNCTION("""COMPUTED_VALUE"""),"Locked")</f>
        <v>Locked</v>
      </c>
      <c r="D101" s="265" t="str">
        <f>IFERROR(__xludf.DUMMYFUNCTION("""COMPUTED_VALUE"""),"Sale chưa cung cấp")</f>
        <v>Sale chưa cung cấp</v>
      </c>
      <c r="E101" s="265" t="str">
        <f>IFERROR(__xludf.DUMMYFUNCTION("""COMPUTED_VALUE"""),"TùngLD")</f>
        <v>TùngLD</v>
      </c>
      <c r="F101" s="265" t="str">
        <f>IFERROR(__xludf.DUMMYFUNCTION("""COMPUTED_VALUE"""),"Diamond")</f>
        <v>Diamond</v>
      </c>
      <c r="G101" s="265" t="str">
        <f>IFERROR(__xludf.DUMMYFUNCTION("""COMPUTED_VALUE"""),"Enterprise")</f>
        <v>Enterprise</v>
      </c>
      <c r="H101" s="265" t="str">
        <f>IFERROR(__xludf.DUMMYFUNCTION("""COMPUTED_VALUE"""),"Trả sau")</f>
        <v>Trả sau</v>
      </c>
      <c r="I101" s="265" t="str">
        <f>IFERROR(__xludf.DUMMYFUNCTION("""COMPUTED_VALUE"""),"API &amp; Portal")</f>
        <v>API &amp; Portal</v>
      </c>
      <c r="J101" s="265" t="str">
        <f>IFERROR(__xludf.DUMMYFUNCTION("""COMPUTED_VALUE"""),"Tất cả")</f>
        <v>Tất cả</v>
      </c>
      <c r="K101" s="265" t="str">
        <f>IFERROR(__xludf.DUMMYFUNCTION("""COMPUTED_VALUE"""),"LinhNTT1")</f>
        <v>LinhNTT1</v>
      </c>
    </row>
    <row r="102">
      <c r="A102" s="265" t="str">
        <f>IFERROR(__xludf.DUMMYFUNCTION("""COMPUTED_VALUE"""),"422")</f>
        <v>422</v>
      </c>
      <c r="B102" s="265" t="str">
        <f>IFERROR(__xludf.DUMMYFUNCTION("""COMPUTED_VALUE"""),"Hà Nội")</f>
        <v>Hà Nội</v>
      </c>
      <c r="C102" s="265" t="str">
        <f>IFERROR(__xludf.DUMMYFUNCTION("""COMPUTED_VALUE"""),"Locked")</f>
        <v>Locked</v>
      </c>
      <c r="D102" s="265" t="str">
        <f>IFERROR(__xludf.DUMMYFUNCTION("""COMPUTED_VALUE"""),"Sale chưa cung cấp")</f>
        <v>Sale chưa cung cấp</v>
      </c>
      <c r="E102" s="265" t="str">
        <f>IFERROR(__xludf.DUMMYFUNCTION("""COMPUTED_VALUE"""),"TùngLD")</f>
        <v>TùngLD</v>
      </c>
      <c r="F102" s="265" t="str">
        <f>IFERROR(__xludf.DUMMYFUNCTION("""COMPUTED_VALUE"""),"Diamond")</f>
        <v>Diamond</v>
      </c>
      <c r="G102" s="265" t="str">
        <f>IFERROR(__xludf.DUMMYFUNCTION("""COMPUTED_VALUE"""),"Enterprise")</f>
        <v>Enterprise</v>
      </c>
      <c r="H102" s="265" t="str">
        <f>IFERROR(__xludf.DUMMYFUNCTION("""COMPUTED_VALUE"""),"Trả sau")</f>
        <v>Trả sau</v>
      </c>
      <c r="I102" s="265" t="str">
        <f>IFERROR(__xludf.DUMMYFUNCTION("""COMPUTED_VALUE"""),"API &amp; Portal")</f>
        <v>API &amp; Portal</v>
      </c>
      <c r="J102" s="265" t="str">
        <f>IFERROR(__xludf.DUMMYFUNCTION("""COMPUTED_VALUE"""),"Tất cả")</f>
        <v>Tất cả</v>
      </c>
      <c r="K102" s="265" t="str">
        <f>IFERROR(__xludf.DUMMYFUNCTION("""COMPUTED_VALUE"""),"LinhNTT1")</f>
        <v>LinhNTT1</v>
      </c>
    </row>
    <row r="103">
      <c r="A103" s="265" t="str">
        <f>IFERROR(__xludf.DUMMYFUNCTION("""COMPUTED_VALUE"""),"423")</f>
        <v>423</v>
      </c>
      <c r="B103" s="265" t="str">
        <f>IFERROR(__xludf.DUMMYFUNCTION("""COMPUTED_VALUE"""),"Hà Nội")</f>
        <v>Hà Nội</v>
      </c>
      <c r="C103" s="265" t="str">
        <f>IFERROR(__xludf.DUMMYFUNCTION("""COMPUTED_VALUE"""),"Locked")</f>
        <v>Locked</v>
      </c>
      <c r="D103" s="265" t="str">
        <f>IFERROR(__xludf.DUMMYFUNCTION("""COMPUTED_VALUE"""),"Sale chưa cung cấp")</f>
        <v>Sale chưa cung cấp</v>
      </c>
      <c r="E103" s="265" t="str">
        <f>IFERROR(__xludf.DUMMYFUNCTION("""COMPUTED_VALUE"""),"TùngLD")</f>
        <v>TùngLD</v>
      </c>
      <c r="F103" s="265" t="str">
        <f>IFERROR(__xludf.DUMMYFUNCTION("""COMPUTED_VALUE"""),"Gold")</f>
        <v>Gold</v>
      </c>
      <c r="G103" s="265" t="str">
        <f>IFERROR(__xludf.DUMMYFUNCTION("""COMPUTED_VALUE"""),"Enterprise")</f>
        <v>Enterprise</v>
      </c>
      <c r="H103" s="265" t="str">
        <f>IFERROR(__xludf.DUMMYFUNCTION("""COMPUTED_VALUE"""),"Trả sau")</f>
        <v>Trả sau</v>
      </c>
      <c r="I103" s="265" t="str">
        <f>IFERROR(__xludf.DUMMYFUNCTION("""COMPUTED_VALUE"""),"API &amp; Portal")</f>
        <v>API &amp; Portal</v>
      </c>
      <c r="J103" s="265" t="str">
        <f>IFERROR(__xludf.DUMMYFUNCTION("""COMPUTED_VALUE"""),"Tất cả")</f>
        <v>Tất cả</v>
      </c>
      <c r="K103" s="265" t="str">
        <f>IFERROR(__xludf.DUMMYFUNCTION("""COMPUTED_VALUE"""),"LinhNTT1")</f>
        <v>LinhNTT1</v>
      </c>
    </row>
    <row r="104">
      <c r="A104" s="265" t="str">
        <f>IFERROR(__xludf.DUMMYFUNCTION("""COMPUTED_VALUE"""),"424")</f>
        <v>424</v>
      </c>
      <c r="B104" s="265" t="str">
        <f>IFERROR(__xludf.DUMMYFUNCTION("""COMPUTED_VALUE"""),"Đà Nẵng")</f>
        <v>Đà Nẵng</v>
      </c>
      <c r="C104" s="265" t="str">
        <f>IFERROR(__xludf.DUMMYFUNCTION("""COMPUTED_VALUE"""),"Locked")</f>
        <v>Locked</v>
      </c>
      <c r="D104" s="265" t="str">
        <f>IFERROR(__xludf.DUMMYFUNCTION("""COMPUTED_VALUE"""),"Sale chưa cung cấp")</f>
        <v>Sale chưa cung cấp</v>
      </c>
      <c r="E104" s="265" t="str">
        <f>IFERROR(__xludf.DUMMYFUNCTION("""COMPUTED_VALUE"""),"MaiTP")</f>
        <v>MaiTP</v>
      </c>
      <c r="F104" s="265" t="str">
        <f>IFERROR(__xludf.DUMMYFUNCTION("""COMPUTED_VALUE"""),"Sale chưa cung cấp")</f>
        <v>Sale chưa cung cấp</v>
      </c>
      <c r="G104" s="265" t="str">
        <f>IFERROR(__xludf.DUMMYFUNCTION("""COMPUTED_VALUE"""),"Enterprise")</f>
        <v>Enterprise</v>
      </c>
      <c r="H104" s="265" t="str">
        <f>IFERROR(__xludf.DUMMYFUNCTION("""COMPUTED_VALUE"""),"(Chưa recheck)")</f>
        <v>(Chưa recheck)</v>
      </c>
      <c r="I104" s="265" t="str">
        <f>IFERROR(__xludf.DUMMYFUNCTION("""COMPUTED_VALUE"""),"(Chưa recheck)")</f>
        <v>(Chưa recheck)</v>
      </c>
      <c r="J104" s="265" t="str">
        <f>IFERROR(__xludf.DUMMYFUNCTION("""COMPUTED_VALUE"""),"(Chưa recheck)")</f>
        <v>(Chưa recheck)</v>
      </c>
      <c r="K104" s="265" t="str">
        <f>IFERROR(__xludf.DUMMYFUNCTION("""COMPUTED_VALUE"""),"(Chưa recheck)")</f>
        <v>(Chưa recheck)</v>
      </c>
    </row>
    <row r="105">
      <c r="A105" s="265" t="str">
        <f>IFERROR(__xludf.DUMMYFUNCTION("""COMPUTED_VALUE"""),"425")</f>
        <v>425</v>
      </c>
      <c r="B105" s="265" t="str">
        <f>IFERROR(__xludf.DUMMYFUNCTION("""COMPUTED_VALUE"""),"Hà Nội")</f>
        <v>Hà Nội</v>
      </c>
      <c r="C105" s="265" t="str">
        <f>IFERROR(__xludf.DUMMYFUNCTION("""COMPUTED_VALUE"""),"Active")</f>
        <v>Active</v>
      </c>
      <c r="D105" s="265" t="str">
        <f>IFERROR(__xludf.DUMMYFUNCTION("""COMPUTED_VALUE"""),"Thực phẩm và đồ uống")</f>
        <v>Thực phẩm và đồ uống</v>
      </c>
      <c r="E105" s="265" t="str">
        <f>IFERROR(__xludf.DUMMYFUNCTION("""COMPUTED_VALUE"""),"AnhNM")</f>
        <v>AnhNM</v>
      </c>
      <c r="F105" s="265" t="str">
        <f>IFERROR(__xludf.DUMMYFUNCTION("""COMPUTED_VALUE"""),"Silver")</f>
        <v>Silver</v>
      </c>
      <c r="G105" s="265" t="str">
        <f>IFERROR(__xludf.DUMMYFUNCTION("""COMPUTED_VALUE"""),"Starter")</f>
        <v>Starter</v>
      </c>
      <c r="H105" s="265" t="str">
        <f>IFERROR(__xludf.DUMMYFUNCTION("""COMPUTED_VALUE"""),"Trả sau")</f>
        <v>Trả sau</v>
      </c>
      <c r="I105" s="265" t="str">
        <f>IFERROR(__xludf.DUMMYFUNCTION("""COMPUTED_VALUE"""),"API")</f>
        <v>API</v>
      </c>
      <c r="J105" s="265" t="str">
        <f>IFERROR(__xludf.DUMMYFUNCTION("""COMPUTED_VALUE"""),"Zalo ZNS")</f>
        <v>Zalo ZNS</v>
      </c>
      <c r="K105" s="265" t="str">
        <f>IFERROR(__xludf.DUMMYFUNCTION("""COMPUTED_VALUE"""),"LinhNTT1")</f>
        <v>LinhNTT1</v>
      </c>
    </row>
    <row r="106">
      <c r="A106" s="265" t="str">
        <f>IFERROR(__xludf.DUMMYFUNCTION("""COMPUTED_VALUE"""),"428")</f>
        <v>428</v>
      </c>
      <c r="B106" s="265" t="str">
        <f>IFERROR(__xludf.DUMMYFUNCTION("""COMPUTED_VALUE"""),"Hà Nội")</f>
        <v>Hà Nội</v>
      </c>
      <c r="C106" s="265" t="str">
        <f>IFERROR(__xludf.DUMMYFUNCTION("""COMPUTED_VALUE"""),"Active")</f>
        <v>Active</v>
      </c>
      <c r="D106" s="265" t="str">
        <f>IFERROR(__xludf.DUMMYFUNCTION("""COMPUTED_VALUE"""),"Sale chưa cung cấp")</f>
        <v>Sale chưa cung cấp</v>
      </c>
      <c r="E106" s="265" t="str">
        <f>IFERROR(__xludf.DUMMYFUNCTION("""COMPUTED_VALUE"""),"AnhNM")</f>
        <v>AnhNM</v>
      </c>
      <c r="F106" s="265" t="str">
        <f>IFERROR(__xludf.DUMMYFUNCTION("""COMPUTED_VALUE"""),"Silver")</f>
        <v>Silver</v>
      </c>
      <c r="G106" s="265" t="str">
        <f>IFERROR(__xludf.DUMMYFUNCTION("""COMPUTED_VALUE"""),"Premium")</f>
        <v>Premium</v>
      </c>
      <c r="H106" s="265" t="str">
        <f>IFERROR(__xludf.DUMMYFUNCTION("""COMPUTED_VALUE"""),"Trả sau")</f>
        <v>Trả sau</v>
      </c>
      <c r="I106" s="265" t="str">
        <f>IFERROR(__xludf.DUMMYFUNCTION("""COMPUTED_VALUE"""),"API &amp; Portal")</f>
        <v>API &amp; Portal</v>
      </c>
      <c r="J106" s="265" t="str">
        <f>IFERROR(__xludf.DUMMYFUNCTION("""COMPUTED_VALUE"""),"Email")</f>
        <v>Email</v>
      </c>
      <c r="K106" s="265" t="str">
        <f>IFERROR(__xludf.DUMMYFUNCTION("""COMPUTED_VALUE"""),"DungPL")</f>
        <v>DungPL</v>
      </c>
    </row>
    <row r="107">
      <c r="A107" s="265" t="str">
        <f>IFERROR(__xludf.DUMMYFUNCTION("""COMPUTED_VALUE"""),"426")</f>
        <v>426</v>
      </c>
      <c r="B107" s="265" t="str">
        <f>IFERROR(__xludf.DUMMYFUNCTION("""COMPUTED_VALUE"""),"Sài Gòn")</f>
        <v>Sài Gòn</v>
      </c>
      <c r="C107" s="265" t="str">
        <f>IFERROR(__xludf.DUMMYFUNCTION("""COMPUTED_VALUE"""),"Locked")</f>
        <v>Locked</v>
      </c>
      <c r="D107" s="265" t="str">
        <f>IFERROR(__xludf.DUMMYFUNCTION("""COMPUTED_VALUE"""),"Sale chưa cung cấp")</f>
        <v>Sale chưa cung cấp</v>
      </c>
      <c r="E107" s="265" t="str">
        <f>IFERROR(__xludf.DUMMYFUNCTION("""COMPUTED_VALUE"""),"HoaNTM")</f>
        <v>HoaNTM</v>
      </c>
      <c r="F107" s="265" t="str">
        <f>IFERROR(__xludf.DUMMYFUNCTION("""COMPUTED_VALUE"""),"Sale chưa cung cấp")</f>
        <v>Sale chưa cung cấp</v>
      </c>
      <c r="G107" s="265" t="str">
        <f>IFERROR(__xludf.DUMMYFUNCTION("""COMPUTED_VALUE"""),"API")</f>
        <v>API</v>
      </c>
      <c r="H107" s="265" t="str">
        <f>IFERROR(__xludf.DUMMYFUNCTION("""COMPUTED_VALUE"""),"Trả sau")</f>
        <v>Trả sau</v>
      </c>
      <c r="I107" s="265" t="str">
        <f>IFERROR(__xludf.DUMMYFUNCTION("""COMPUTED_VALUE"""),"API")</f>
        <v>API</v>
      </c>
      <c r="J107" s="265" t="str">
        <f>IFERROR(__xludf.DUMMYFUNCTION("""COMPUTED_VALUE"""),"Zalo ZNS")</f>
        <v>Zalo ZNS</v>
      </c>
      <c r="K107" s="265" t="str">
        <f>IFERROR(__xludf.DUMMYFUNCTION("""COMPUTED_VALUE"""),"DungPL")</f>
        <v>DungPL</v>
      </c>
    </row>
    <row r="108">
      <c r="A108" s="265" t="str">
        <f>IFERROR(__xludf.DUMMYFUNCTION("""COMPUTED_VALUE"""),"429")</f>
        <v>429</v>
      </c>
      <c r="B108" s="265" t="str">
        <f>IFERROR(__xludf.DUMMYFUNCTION("""COMPUTED_VALUE"""),"Hà Nội")</f>
        <v>Hà Nội</v>
      </c>
      <c r="C108" s="265" t="str">
        <f>IFERROR(__xludf.DUMMYFUNCTION("""COMPUTED_VALUE"""),"Locked")</f>
        <v>Locked</v>
      </c>
      <c r="D108" s="265" t="str">
        <f>IFERROR(__xludf.DUMMYFUNCTION("""COMPUTED_VALUE"""),"Sale chưa cung cấp")</f>
        <v>Sale chưa cung cấp</v>
      </c>
      <c r="E108" s="265" t="str">
        <f>IFERROR(__xludf.DUMMYFUNCTION("""COMPUTED_VALUE"""),"NamDT")</f>
        <v>NamDT</v>
      </c>
      <c r="F108" s="265" t="str">
        <f>IFERROR(__xludf.DUMMYFUNCTION("""COMPUTED_VALUE"""),"Sale chưa cung cấp")</f>
        <v>Sale chưa cung cấp</v>
      </c>
      <c r="G108" s="265" t="str">
        <f>IFERROR(__xludf.DUMMYFUNCTION("""COMPUTED_VALUE"""),"Enterprise")</f>
        <v>Enterprise</v>
      </c>
      <c r="H108" s="265" t="str">
        <f>IFERROR(__xludf.DUMMYFUNCTION("""COMPUTED_VALUE"""),"(Chưa recheck)")</f>
        <v>(Chưa recheck)</v>
      </c>
      <c r="I108" s="265" t="str">
        <f>IFERROR(__xludf.DUMMYFUNCTION("""COMPUTED_VALUE"""),"(Chưa recheck)")</f>
        <v>(Chưa recheck)</v>
      </c>
      <c r="J108" s="265" t="str">
        <f>IFERROR(__xludf.DUMMYFUNCTION("""COMPUTED_VALUE"""),"(Chưa recheck)")</f>
        <v>(Chưa recheck)</v>
      </c>
      <c r="K108" s="265" t="str">
        <f>IFERROR(__xludf.DUMMYFUNCTION("""COMPUTED_VALUE"""),"(Chưa recheck)")</f>
        <v>(Chưa recheck)</v>
      </c>
    </row>
    <row r="109">
      <c r="A109" s="265" t="str">
        <f>IFERROR(__xludf.DUMMYFUNCTION("""COMPUTED_VALUE"""),"427")</f>
        <v>427</v>
      </c>
      <c r="B109" s="265" t="str">
        <f>IFERROR(__xludf.DUMMYFUNCTION("""COMPUTED_VALUE"""),"Sài Gòn")</f>
        <v>Sài Gòn</v>
      </c>
      <c r="C109" s="265" t="str">
        <f>IFERROR(__xludf.DUMMYFUNCTION("""COMPUTED_VALUE"""),"Locked")</f>
        <v>Locked</v>
      </c>
      <c r="D109" s="265" t="str">
        <f>IFERROR(__xludf.DUMMYFUNCTION("""COMPUTED_VALUE"""),"Sale chưa cung cấp")</f>
        <v>Sale chưa cung cấp</v>
      </c>
      <c r="E109" s="265" t="str">
        <f>IFERROR(__xludf.DUMMYFUNCTION("""COMPUTED_VALUE"""),"HoaNTM")</f>
        <v>HoaNTM</v>
      </c>
      <c r="F109" s="265" t="str">
        <f>IFERROR(__xludf.DUMMYFUNCTION("""COMPUTED_VALUE"""),"Bronze")</f>
        <v>Bronze</v>
      </c>
      <c r="G109" s="265" t="str">
        <f>IFERROR(__xludf.DUMMYFUNCTION("""COMPUTED_VALUE"""),"MSG")</f>
        <v>MSG</v>
      </c>
      <c r="H109" s="265" t="str">
        <f>IFERROR(__xludf.DUMMYFUNCTION("""COMPUTED_VALUE"""),"(Chưa recheck)")</f>
        <v>(Chưa recheck)</v>
      </c>
      <c r="I109" s="265" t="str">
        <f>IFERROR(__xludf.DUMMYFUNCTION("""COMPUTED_VALUE"""),"(Chưa recheck)")</f>
        <v>(Chưa recheck)</v>
      </c>
      <c r="J109" s="265" t="str">
        <f>IFERROR(__xludf.DUMMYFUNCTION("""COMPUTED_VALUE"""),"(Chưa recheck)")</f>
        <v>(Chưa recheck)</v>
      </c>
      <c r="K109" s="265" t="str">
        <f>IFERROR(__xludf.DUMMYFUNCTION("""COMPUTED_VALUE"""),"AnhNM")</f>
        <v>AnhNM</v>
      </c>
    </row>
    <row r="110">
      <c r="A110" s="265" t="str">
        <f>IFERROR(__xludf.DUMMYFUNCTION("""COMPUTED_VALUE"""),"431")</f>
        <v>431</v>
      </c>
      <c r="B110" s="265" t="str">
        <f>IFERROR(__xludf.DUMMYFUNCTION("""COMPUTED_VALUE"""),"Đà Nẵng")</f>
        <v>Đà Nẵng</v>
      </c>
      <c r="C110" s="265" t="str">
        <f>IFERROR(__xludf.DUMMYFUNCTION("""COMPUTED_VALUE"""),"Active")</f>
        <v>Active</v>
      </c>
      <c r="D110" s="265" t="str">
        <f>IFERROR(__xludf.DUMMYFUNCTION("""COMPUTED_VALUE"""),"Sale chưa cung cấp")</f>
        <v>Sale chưa cung cấp</v>
      </c>
      <c r="E110" s="265" t="str">
        <f>IFERROR(__xludf.DUMMYFUNCTION("""COMPUTED_VALUE"""),"AnhNM")</f>
        <v>AnhNM</v>
      </c>
      <c r="F110" s="265" t="str">
        <f>IFERROR(__xludf.DUMMYFUNCTION("""COMPUTED_VALUE"""),"Gold")</f>
        <v>Gold</v>
      </c>
      <c r="G110" s="265" t="str">
        <f>IFERROR(__xludf.DUMMYFUNCTION("""COMPUTED_VALUE"""),"Enterprise")</f>
        <v>Enterprise</v>
      </c>
      <c r="H110" s="265" t="str">
        <f>IFERROR(__xludf.DUMMYFUNCTION("""COMPUTED_VALUE"""),"Trả sau")</f>
        <v>Trả sau</v>
      </c>
      <c r="I110" s="265" t="str">
        <f>IFERROR(__xludf.DUMMYFUNCTION("""COMPUTED_VALUE"""),"API &amp; Portal")</f>
        <v>API &amp; Portal</v>
      </c>
      <c r="J110" s="265" t="str">
        <f>IFERROR(__xludf.DUMMYFUNCTION("""COMPUTED_VALUE"""),"Zalo ZNS")</f>
        <v>Zalo ZNS</v>
      </c>
      <c r="K110" s="265" t="str">
        <f>IFERROR(__xludf.DUMMYFUNCTION("""COMPUTED_VALUE"""),"LinhNTT1")</f>
        <v>LinhNTT1</v>
      </c>
    </row>
    <row r="111">
      <c r="A111" s="265" t="str">
        <f>IFERROR(__xludf.DUMMYFUNCTION("""COMPUTED_VALUE"""),"432")</f>
        <v>432</v>
      </c>
      <c r="B111" s="265" t="str">
        <f>IFERROR(__xludf.DUMMYFUNCTION("""COMPUTED_VALUE"""),"Đà Nẵng")</f>
        <v>Đà Nẵng</v>
      </c>
      <c r="C111" s="265" t="str">
        <f>IFERROR(__xludf.DUMMYFUNCTION("""COMPUTED_VALUE"""),"Active")</f>
        <v>Active</v>
      </c>
      <c r="D111" s="265" t="str">
        <f>IFERROR(__xludf.DUMMYFUNCTION("""COMPUTED_VALUE"""),"Sale chưa cung cấp")</f>
        <v>Sale chưa cung cấp</v>
      </c>
      <c r="E111" s="265" t="str">
        <f>IFERROR(__xludf.DUMMYFUNCTION("""COMPUTED_VALUE"""),"AnhNM")</f>
        <v>AnhNM</v>
      </c>
      <c r="F111" s="265" t="str">
        <f>IFERROR(__xludf.DUMMYFUNCTION("""COMPUTED_VALUE"""),"Silver")</f>
        <v>Silver</v>
      </c>
      <c r="G111" s="265" t="str">
        <f>IFERROR(__xludf.DUMMYFUNCTION("""COMPUTED_VALUE"""),"Enterprise")</f>
        <v>Enterprise</v>
      </c>
      <c r="H111" s="265" t="str">
        <f>IFERROR(__xludf.DUMMYFUNCTION("""COMPUTED_VALUE"""),"Trả sau")</f>
        <v>Trả sau</v>
      </c>
      <c r="I111" s="265" t="str">
        <f>IFERROR(__xludf.DUMMYFUNCTION("""COMPUTED_VALUE"""),"API &amp; Portal")</f>
        <v>API &amp; Portal</v>
      </c>
      <c r="J111" s="265" t="str">
        <f>IFERROR(__xludf.DUMMYFUNCTION("""COMPUTED_VALUE"""),"Zalo ZNS")</f>
        <v>Zalo ZNS</v>
      </c>
      <c r="K111" s="265" t="str">
        <f>IFERROR(__xludf.DUMMYFUNCTION("""COMPUTED_VALUE"""),"DungPL")</f>
        <v>DungPL</v>
      </c>
    </row>
    <row r="112">
      <c r="A112" s="265" t="str">
        <f>IFERROR(__xludf.DUMMYFUNCTION("""COMPUTED_VALUE"""),"433")</f>
        <v>433</v>
      </c>
      <c r="B112" s="265" t="str">
        <f>IFERROR(__xludf.DUMMYFUNCTION("""COMPUTED_VALUE"""),"Sài Gòn")</f>
        <v>Sài Gòn</v>
      </c>
      <c r="C112" s="265" t="str">
        <f>IFERROR(__xludf.DUMMYFUNCTION("""COMPUTED_VALUE"""),"Active")</f>
        <v>Active</v>
      </c>
      <c r="D112" s="265" t="str">
        <f>IFERROR(__xludf.DUMMYFUNCTION("""COMPUTED_VALUE"""),"Sale chưa cung cấp")</f>
        <v>Sale chưa cung cấp</v>
      </c>
      <c r="E112" s="265" t="str">
        <f>IFERROR(__xludf.DUMMYFUNCTION("""COMPUTED_VALUE"""),"AnhNM")</f>
        <v>AnhNM</v>
      </c>
      <c r="F112" s="265" t="str">
        <f>IFERROR(__xludf.DUMMYFUNCTION("""COMPUTED_VALUE"""),"Silver")</f>
        <v>Silver</v>
      </c>
      <c r="G112" s="265" t="str">
        <f>IFERROR(__xludf.DUMMYFUNCTION("""COMPUTED_VALUE"""),"Enterprise")</f>
        <v>Enterprise</v>
      </c>
      <c r="H112" s="265" t="str">
        <f>IFERROR(__xludf.DUMMYFUNCTION("""COMPUTED_VALUE"""),"Trả trước")</f>
        <v>Trả trước</v>
      </c>
      <c r="I112" s="265" t="str">
        <f>IFERROR(__xludf.DUMMYFUNCTION("""COMPUTED_VALUE"""),"API &amp; Portal")</f>
        <v>API &amp; Portal</v>
      </c>
      <c r="J112" s="265" t="str">
        <f>IFERROR(__xludf.DUMMYFUNCTION("""COMPUTED_VALUE"""),"Zalo ZNS")</f>
        <v>Zalo ZNS</v>
      </c>
      <c r="K112" s="265" t="str">
        <f>IFERROR(__xludf.DUMMYFUNCTION("""COMPUTED_VALUE"""),"LinhNTT1")</f>
        <v>LinhNTT1</v>
      </c>
    </row>
    <row r="113">
      <c r="A113" s="265" t="str">
        <f>IFERROR(__xludf.DUMMYFUNCTION("""COMPUTED_VALUE"""),"437")</f>
        <v>437</v>
      </c>
      <c r="B113" s="265" t="str">
        <f>IFERROR(__xludf.DUMMYFUNCTION("""COMPUTED_VALUE"""),"Sài Gòn")</f>
        <v>Sài Gòn</v>
      </c>
      <c r="C113" s="265" t="str">
        <f>IFERROR(__xludf.DUMMYFUNCTION("""COMPUTED_VALUE"""),"Locked")</f>
        <v>Locked</v>
      </c>
      <c r="D113" s="265" t="str">
        <f>IFERROR(__xludf.DUMMYFUNCTION("""COMPUTED_VALUE"""),"Sale chưa cung cấp")</f>
        <v>Sale chưa cung cấp</v>
      </c>
      <c r="E113" s="265" t="str">
        <f>IFERROR(__xludf.DUMMYFUNCTION("""COMPUTED_VALUE"""),"HoaNTM")</f>
        <v>HoaNTM</v>
      </c>
      <c r="F113" s="265" t="str">
        <f>IFERROR(__xludf.DUMMYFUNCTION("""COMPUTED_VALUE"""),"Sale chưa cung cấp")</f>
        <v>Sale chưa cung cấp</v>
      </c>
      <c r="G113" s="265" t="str">
        <f>IFERROR(__xludf.DUMMYFUNCTION("""COMPUTED_VALUE"""),"API")</f>
        <v>API</v>
      </c>
      <c r="H113" s="265" t="str">
        <f>IFERROR(__xludf.DUMMYFUNCTION("""COMPUTED_VALUE"""),"(Chưa recheck)")</f>
        <v>(Chưa recheck)</v>
      </c>
      <c r="I113" s="265" t="str">
        <f>IFERROR(__xludf.DUMMYFUNCTION("""COMPUTED_VALUE"""),"(Chưa recheck)")</f>
        <v>(Chưa recheck)</v>
      </c>
      <c r="J113" s="265" t="str">
        <f>IFERROR(__xludf.DUMMYFUNCTION("""COMPUTED_VALUE"""),"(Chưa recheck)")</f>
        <v>(Chưa recheck)</v>
      </c>
      <c r="K113" s="265" t="str">
        <f>IFERROR(__xludf.DUMMYFUNCTION("""COMPUTED_VALUE"""),"(Chưa recheck)")</f>
        <v>(Chưa recheck)</v>
      </c>
    </row>
    <row r="114">
      <c r="A114" s="265" t="str">
        <f>IFERROR(__xludf.DUMMYFUNCTION("""COMPUTED_VALUE"""),"438")</f>
        <v>438</v>
      </c>
      <c r="B114" s="265" t="str">
        <f>IFERROR(__xludf.DUMMYFUNCTION("""COMPUTED_VALUE"""),"Sài Gòn")</f>
        <v>Sài Gòn</v>
      </c>
      <c r="C114" s="265" t="str">
        <f>IFERROR(__xludf.DUMMYFUNCTION("""COMPUTED_VALUE"""),"Locked")</f>
        <v>Locked</v>
      </c>
      <c r="D114" s="265" t="str">
        <f>IFERROR(__xludf.DUMMYFUNCTION("""COMPUTED_VALUE"""),"Sale chưa cung cấp")</f>
        <v>Sale chưa cung cấp</v>
      </c>
      <c r="E114" s="265" t="str">
        <f>IFERROR(__xludf.DUMMYFUNCTION("""COMPUTED_VALUE"""),"PhươngDTB")</f>
        <v>PhươngDTB</v>
      </c>
      <c r="F114" s="265" t="str">
        <f>IFERROR(__xludf.DUMMYFUNCTION("""COMPUTED_VALUE"""),"Bronze")</f>
        <v>Bronze</v>
      </c>
      <c r="G114" s="265" t="str">
        <f>IFERROR(__xludf.DUMMYFUNCTION("""COMPUTED_VALUE"""),"MSG")</f>
        <v>MSG</v>
      </c>
      <c r="H114" s="265" t="str">
        <f>IFERROR(__xludf.DUMMYFUNCTION("""COMPUTED_VALUE"""),"(Chưa recheck)")</f>
        <v>(Chưa recheck)</v>
      </c>
      <c r="I114" s="265" t="str">
        <f>IFERROR(__xludf.DUMMYFUNCTION("""COMPUTED_VALUE"""),"(Chưa recheck)")</f>
        <v>(Chưa recheck)</v>
      </c>
      <c r="J114" s="265" t="str">
        <f>IFERROR(__xludf.DUMMYFUNCTION("""COMPUTED_VALUE"""),"(Chưa recheck)")</f>
        <v>(Chưa recheck)</v>
      </c>
      <c r="K114" s="265" t="str">
        <f>IFERROR(__xludf.DUMMYFUNCTION("""COMPUTED_VALUE"""),"AnhNM")</f>
        <v>AnhNM</v>
      </c>
    </row>
    <row r="115">
      <c r="A115" s="265" t="str">
        <f>IFERROR(__xludf.DUMMYFUNCTION("""COMPUTED_VALUE"""),"439")</f>
        <v>439</v>
      </c>
      <c r="B115" s="265" t="str">
        <f>IFERROR(__xludf.DUMMYFUNCTION("""COMPUTED_VALUE"""),"Hà Nội")</f>
        <v>Hà Nội</v>
      </c>
      <c r="C115" s="265" t="str">
        <f>IFERROR(__xludf.DUMMYFUNCTION("""COMPUTED_VALUE"""),"Locked")</f>
        <v>Locked</v>
      </c>
      <c r="D115" s="265" t="str">
        <f>IFERROR(__xludf.DUMMYFUNCTION("""COMPUTED_VALUE"""),"Sale chưa cung cấp")</f>
        <v>Sale chưa cung cấp</v>
      </c>
      <c r="E115" s="265" t="str">
        <f>IFERROR(__xludf.DUMMYFUNCTION("""COMPUTED_VALUE"""),"NamDT")</f>
        <v>NamDT</v>
      </c>
      <c r="F115" s="265" t="str">
        <f>IFERROR(__xludf.DUMMYFUNCTION("""COMPUTED_VALUE"""),"Sale chưa cung cấp")</f>
        <v>Sale chưa cung cấp</v>
      </c>
      <c r="G115" s="265" t="str">
        <f>IFERROR(__xludf.DUMMYFUNCTION("""COMPUTED_VALUE"""),"Enterprise")</f>
        <v>Enterprise</v>
      </c>
      <c r="H115" s="265" t="str">
        <f>IFERROR(__xludf.DUMMYFUNCTION("""COMPUTED_VALUE"""),"Trial")</f>
        <v>Trial</v>
      </c>
      <c r="I115" s="265" t="str">
        <f>IFERROR(__xludf.DUMMYFUNCTION("""COMPUTED_VALUE"""),"(Không recheck)")</f>
        <v>(Không recheck)</v>
      </c>
      <c r="J115" s="265" t="str">
        <f>IFERROR(__xludf.DUMMYFUNCTION("""COMPUTED_VALUE"""),"(Không recheck)")</f>
        <v>(Không recheck)</v>
      </c>
      <c r="K115" s="265" t="str">
        <f>IFERROR(__xludf.DUMMYFUNCTION("""COMPUTED_VALUE"""),"(Không recheck)")</f>
        <v>(Không recheck)</v>
      </c>
    </row>
    <row r="116">
      <c r="A116" s="265" t="str">
        <f>IFERROR(__xludf.DUMMYFUNCTION("""COMPUTED_VALUE"""),"440")</f>
        <v>440</v>
      </c>
      <c r="B116" s="265" t="str">
        <f>IFERROR(__xludf.DUMMYFUNCTION("""COMPUTED_VALUE"""),"Sài Gòn")</f>
        <v>Sài Gòn</v>
      </c>
      <c r="C116" s="265" t="str">
        <f>IFERROR(__xludf.DUMMYFUNCTION("""COMPUTED_VALUE"""),"Locked")</f>
        <v>Locked</v>
      </c>
      <c r="D116" s="265" t="str">
        <f>IFERROR(__xludf.DUMMYFUNCTION("""COMPUTED_VALUE"""),"Sale chưa cung cấp")</f>
        <v>Sale chưa cung cấp</v>
      </c>
      <c r="E116" s="265" t="str">
        <f>IFERROR(__xludf.DUMMYFUNCTION("""COMPUTED_VALUE"""),"TúPHN")</f>
        <v>TúPHN</v>
      </c>
      <c r="F116" s="265" t="str">
        <f>IFERROR(__xludf.DUMMYFUNCTION("""COMPUTED_VALUE"""),"Bronze")</f>
        <v>Bronze</v>
      </c>
      <c r="G116" s="265" t="str">
        <f>IFERROR(__xludf.DUMMYFUNCTION("""COMPUTED_VALUE"""),"MSG")</f>
        <v>MSG</v>
      </c>
      <c r="H116" s="265" t="str">
        <f>IFERROR(__xludf.DUMMYFUNCTION("""COMPUTED_VALUE"""),"(Chưa recheck)")</f>
        <v>(Chưa recheck)</v>
      </c>
      <c r="I116" s="265" t="str">
        <f>IFERROR(__xludf.DUMMYFUNCTION("""COMPUTED_VALUE"""),"(Chưa recheck)")</f>
        <v>(Chưa recheck)</v>
      </c>
      <c r="J116" s="265" t="str">
        <f>IFERROR(__xludf.DUMMYFUNCTION("""COMPUTED_VALUE"""),"(Chưa recheck)")</f>
        <v>(Chưa recheck)</v>
      </c>
      <c r="K116" s="265" t="str">
        <f>IFERROR(__xludf.DUMMYFUNCTION("""COMPUTED_VALUE"""),"AnhNM")</f>
        <v>AnhNM</v>
      </c>
    </row>
    <row r="117">
      <c r="A117" s="265" t="str">
        <f>IFERROR(__xludf.DUMMYFUNCTION("""COMPUTED_VALUE"""),"307")</f>
        <v>307</v>
      </c>
      <c r="B117" s="265" t="str">
        <f>IFERROR(__xludf.DUMMYFUNCTION("""COMPUTED_VALUE"""),"Hà Nội")</f>
        <v>Hà Nội</v>
      </c>
      <c r="C117" s="265" t="str">
        <f>IFERROR(__xludf.DUMMYFUNCTION("""COMPUTED_VALUE"""),"Locked")</f>
        <v>Locked</v>
      </c>
      <c r="D117" s="265" t="str">
        <f>IFERROR(__xludf.DUMMYFUNCTION("""COMPUTED_VALUE"""),"Sale chưa cung cấp")</f>
        <v>Sale chưa cung cấp</v>
      </c>
      <c r="E117" s="265" t="str">
        <f>IFERROR(__xludf.DUMMYFUNCTION("""COMPUTED_VALUE"""),"MaiTP")</f>
        <v>MaiTP</v>
      </c>
      <c r="F117" s="265" t="str">
        <f>IFERROR(__xludf.DUMMYFUNCTION("""COMPUTED_VALUE"""),"Sale chưa cung cấp")</f>
        <v>Sale chưa cung cấp</v>
      </c>
      <c r="G117" s="265" t="str">
        <f>IFERROR(__xludf.DUMMYFUNCTION("""COMPUTED_VALUE"""),"API")</f>
        <v>API</v>
      </c>
      <c r="H117" s="265" t="str">
        <f>IFERROR(__xludf.DUMMYFUNCTION("""COMPUTED_VALUE"""),"(Chưa recheck)")</f>
        <v>(Chưa recheck)</v>
      </c>
      <c r="I117" s="265" t="str">
        <f>IFERROR(__xludf.DUMMYFUNCTION("""COMPUTED_VALUE"""),"(Chưa recheck)")</f>
        <v>(Chưa recheck)</v>
      </c>
      <c r="J117" s="265" t="str">
        <f>IFERROR(__xludf.DUMMYFUNCTION("""COMPUTED_VALUE"""),"(Chưa recheck)")</f>
        <v>(Chưa recheck)</v>
      </c>
      <c r="K117" s="265" t="str">
        <f>IFERROR(__xludf.DUMMYFUNCTION("""COMPUTED_VALUE"""),"(Chưa recheck)")</f>
        <v>(Chưa recheck)</v>
      </c>
    </row>
    <row r="118">
      <c r="A118" s="265" t="str">
        <f>IFERROR(__xludf.DUMMYFUNCTION("""COMPUTED_VALUE"""),"441")</f>
        <v>441</v>
      </c>
      <c r="B118" s="265" t="str">
        <f>IFERROR(__xludf.DUMMYFUNCTION("""COMPUTED_VALUE"""),"Hà Nội")</f>
        <v>Hà Nội</v>
      </c>
      <c r="C118" s="265" t="str">
        <f>IFERROR(__xludf.DUMMYFUNCTION("""COMPUTED_VALUE"""),"Locked")</f>
        <v>Locked</v>
      </c>
      <c r="D118" s="265" t="str">
        <f>IFERROR(__xludf.DUMMYFUNCTION("""COMPUTED_VALUE"""),"Sale chưa cung cấp")</f>
        <v>Sale chưa cung cấp</v>
      </c>
      <c r="E118" s="265" t="str">
        <f>IFERROR(__xludf.DUMMYFUNCTION("""COMPUTED_VALUE"""),"PhươngDTB")</f>
        <v>PhươngDTB</v>
      </c>
      <c r="F118" s="265" t="str">
        <f>IFERROR(__xludf.DUMMYFUNCTION("""COMPUTED_VALUE"""),"Bronze")</f>
        <v>Bronze</v>
      </c>
      <c r="G118" s="265" t="str">
        <f>IFERROR(__xludf.DUMMYFUNCTION("""COMPUTED_VALUE"""),"API")</f>
        <v>API</v>
      </c>
      <c r="H118" s="265" t="str">
        <f>IFERROR(__xludf.DUMMYFUNCTION("""COMPUTED_VALUE"""),"(Chưa recheck)")</f>
        <v>(Chưa recheck)</v>
      </c>
      <c r="I118" s="265" t="str">
        <f>IFERROR(__xludf.DUMMYFUNCTION("""COMPUTED_VALUE"""),"(Chưa recheck)")</f>
        <v>(Chưa recheck)</v>
      </c>
      <c r="J118" s="265" t="str">
        <f>IFERROR(__xludf.DUMMYFUNCTION("""COMPUTED_VALUE"""),"Zalo ZNS")</f>
        <v>Zalo ZNS</v>
      </c>
      <c r="K118" s="265" t="str">
        <f>IFERROR(__xludf.DUMMYFUNCTION("""COMPUTED_VALUE"""),"(Chưa recheck)")</f>
        <v>(Chưa recheck)</v>
      </c>
    </row>
    <row r="119">
      <c r="A119" s="265" t="str">
        <f>IFERROR(__xludf.DUMMYFUNCTION("""COMPUTED_VALUE"""),"442")</f>
        <v>442</v>
      </c>
      <c r="B119" s="265" t="str">
        <f>IFERROR(__xludf.DUMMYFUNCTION("""COMPUTED_VALUE"""),"Sài Gòn")</f>
        <v>Sài Gòn</v>
      </c>
      <c r="C119" s="265" t="str">
        <f>IFERROR(__xludf.DUMMYFUNCTION("""COMPUTED_VALUE"""),"Locked")</f>
        <v>Locked</v>
      </c>
      <c r="D119" s="265" t="str">
        <f>IFERROR(__xludf.DUMMYFUNCTION("""COMPUTED_VALUE"""),"Truyền thông &amp; Giải trí")</f>
        <v>Truyền thông &amp; Giải trí</v>
      </c>
      <c r="E119" s="265" t="str">
        <f>IFERROR(__xludf.DUMMYFUNCTION("""COMPUTED_VALUE"""),"Không phân công")</f>
        <v>Không phân công</v>
      </c>
      <c r="F119" s="265" t="str">
        <f>IFERROR(__xludf.DUMMYFUNCTION("""COMPUTED_VALUE"""),"Diamond")</f>
        <v>Diamond</v>
      </c>
      <c r="G119" s="265" t="str">
        <f>IFERROR(__xludf.DUMMYFUNCTION("""COMPUTED_VALUE"""),"Starter")</f>
        <v>Starter</v>
      </c>
      <c r="H119" s="265" t="str">
        <f>IFERROR(__xludf.DUMMYFUNCTION("""COMPUTED_VALUE"""),"Trả sau")</f>
        <v>Trả sau</v>
      </c>
      <c r="I119" s="265" t="str">
        <f>IFERROR(__xludf.DUMMYFUNCTION("""COMPUTED_VALUE"""),"API")</f>
        <v>API</v>
      </c>
      <c r="J119" s="265" t="str">
        <f>IFERROR(__xludf.DUMMYFUNCTION("""COMPUTED_VALUE"""),"SMS CSKH")</f>
        <v>SMS CSKH</v>
      </c>
      <c r="K119" s="265" t="str">
        <f>IFERROR(__xludf.DUMMYFUNCTION("""COMPUTED_VALUE"""),"LinhNTT1")</f>
        <v>LinhNTT1</v>
      </c>
    </row>
    <row r="120">
      <c r="A120" s="265" t="str">
        <f>IFERROR(__xludf.DUMMYFUNCTION("""COMPUTED_VALUE"""),"443")</f>
        <v>443</v>
      </c>
      <c r="B120" s="265" t="str">
        <f>IFERROR(__xludf.DUMMYFUNCTION("""COMPUTED_VALUE"""),"Hà Nội")</f>
        <v>Hà Nội</v>
      </c>
      <c r="C120" s="265" t="str">
        <f>IFERROR(__xludf.DUMMYFUNCTION("""COMPUTED_VALUE"""),"Locked")</f>
        <v>Locked</v>
      </c>
      <c r="D120" s="265" t="str">
        <f>IFERROR(__xludf.DUMMYFUNCTION("""COMPUTED_VALUE"""),"Sale chưa cung cấp")</f>
        <v>Sale chưa cung cấp</v>
      </c>
      <c r="E120" s="265" t="str">
        <f>IFERROR(__xludf.DUMMYFUNCTION("""COMPUTED_VALUE"""),"PhươngDTB")</f>
        <v>PhươngDTB</v>
      </c>
      <c r="F120" s="265" t="str">
        <f>IFERROR(__xludf.DUMMYFUNCTION("""COMPUTED_VALUE"""),"Bronze")</f>
        <v>Bronze</v>
      </c>
      <c r="G120" s="265" t="str">
        <f>IFERROR(__xludf.DUMMYFUNCTION("""COMPUTED_VALUE"""),"Enterprise")</f>
        <v>Enterprise</v>
      </c>
      <c r="H120" s="265" t="str">
        <f>IFERROR(__xludf.DUMMYFUNCTION("""COMPUTED_VALUE"""),"(Chưa recheck)")</f>
        <v>(Chưa recheck)</v>
      </c>
      <c r="I120" s="265" t="str">
        <f>IFERROR(__xludf.DUMMYFUNCTION("""COMPUTED_VALUE"""),"(Chưa recheck)")</f>
        <v>(Chưa recheck)</v>
      </c>
      <c r="J120" s="265" t="str">
        <f>IFERROR(__xludf.DUMMYFUNCTION("""COMPUTED_VALUE"""),"(Chưa recheck)")</f>
        <v>(Chưa recheck)</v>
      </c>
      <c r="K120" s="265" t="str">
        <f>IFERROR(__xludf.DUMMYFUNCTION("""COMPUTED_VALUE"""),"(Chưa recheck)")</f>
        <v>(Chưa recheck)</v>
      </c>
    </row>
    <row r="121">
      <c r="A121" s="265" t="str">
        <f>IFERROR(__xludf.DUMMYFUNCTION("""COMPUTED_VALUE"""),"446")</f>
        <v>446</v>
      </c>
      <c r="B121" s="265" t="str">
        <f>IFERROR(__xludf.DUMMYFUNCTION("""COMPUTED_VALUE"""),"Hà Nội")</f>
        <v>Hà Nội</v>
      </c>
      <c r="C121" s="265" t="str">
        <f>IFERROR(__xludf.DUMMYFUNCTION("""COMPUTED_VALUE"""),"Active")</f>
        <v>Active</v>
      </c>
      <c r="D121" s="265" t="str">
        <f>IFERROR(__xludf.DUMMYFUNCTION("""COMPUTED_VALUE"""),"Sale chưa cung cấp")</f>
        <v>Sale chưa cung cấp</v>
      </c>
      <c r="E121" s="265" t="str">
        <f>IFERROR(__xludf.DUMMYFUNCTION("""COMPUTED_VALUE"""),"TúPHN")</f>
        <v>TúPHN</v>
      </c>
      <c r="F121" s="265" t="str">
        <f>IFERROR(__xludf.DUMMYFUNCTION("""COMPUTED_VALUE"""),"Bronze")</f>
        <v>Bronze</v>
      </c>
      <c r="G121" s="265" t="str">
        <f>IFERROR(__xludf.DUMMYFUNCTION("""COMPUTED_VALUE"""),"API")</f>
        <v>API</v>
      </c>
      <c r="H121" s="265" t="str">
        <f>IFERROR(__xludf.DUMMYFUNCTION("""COMPUTED_VALUE"""),"Trả sau")</f>
        <v>Trả sau</v>
      </c>
      <c r="I121" s="265" t="str">
        <f>IFERROR(__xludf.DUMMYFUNCTION("""COMPUTED_VALUE"""),"API")</f>
        <v>API</v>
      </c>
      <c r="J121" s="265" t="str">
        <f>IFERROR(__xludf.DUMMYFUNCTION("""COMPUTED_VALUE"""),"SMS CSKH")</f>
        <v>SMS CSKH</v>
      </c>
      <c r="K121" s="265" t="str">
        <f>IFERROR(__xludf.DUMMYFUNCTION("""COMPUTED_VALUE"""),"DungVT")</f>
        <v>DungVT</v>
      </c>
    </row>
    <row r="122">
      <c r="A122" s="265" t="str">
        <f>IFERROR(__xludf.DUMMYFUNCTION("""COMPUTED_VALUE"""),"445")</f>
        <v>445</v>
      </c>
      <c r="B122" s="265" t="str">
        <f>IFERROR(__xludf.DUMMYFUNCTION("""COMPUTED_VALUE"""),"Sài Gòn")</f>
        <v>Sài Gòn</v>
      </c>
      <c r="C122" s="265" t="str">
        <f>IFERROR(__xludf.DUMMYFUNCTION("""COMPUTED_VALUE"""),"Locked")</f>
        <v>Locked</v>
      </c>
      <c r="D122" s="265" t="str">
        <f>IFERROR(__xludf.DUMMYFUNCTION("""COMPUTED_VALUE"""),"Sale chưa cung cấp")</f>
        <v>Sale chưa cung cấp</v>
      </c>
      <c r="E122" s="265" t="str">
        <f>IFERROR(__xludf.DUMMYFUNCTION("""COMPUTED_VALUE"""),"HoaNTM")</f>
        <v>HoaNTM</v>
      </c>
      <c r="F122" s="265" t="str">
        <f>IFERROR(__xludf.DUMMYFUNCTION("""COMPUTED_VALUE"""),"Sale chưa cung cấp")</f>
        <v>Sale chưa cung cấp</v>
      </c>
      <c r="G122" s="265" t="str">
        <f>IFERROR(__xludf.DUMMYFUNCTION("""COMPUTED_VALUE"""),"MSG")</f>
        <v>MSG</v>
      </c>
      <c r="H122" s="265" t="str">
        <f>IFERROR(__xludf.DUMMYFUNCTION("""COMPUTED_VALUE"""),"(Chưa recheck)")</f>
        <v>(Chưa recheck)</v>
      </c>
      <c r="I122" s="265" t="str">
        <f>IFERROR(__xludf.DUMMYFUNCTION("""COMPUTED_VALUE"""),"(Chưa recheck)")</f>
        <v>(Chưa recheck)</v>
      </c>
      <c r="J122" s="265" t="str">
        <f>IFERROR(__xludf.DUMMYFUNCTION("""COMPUTED_VALUE"""),"(Chưa recheck)")</f>
        <v>(Chưa recheck)</v>
      </c>
      <c r="K122" s="265" t="str">
        <f>IFERROR(__xludf.DUMMYFUNCTION("""COMPUTED_VALUE"""),"AnhNM")</f>
        <v>AnhNM</v>
      </c>
    </row>
    <row r="123">
      <c r="A123" s="265" t="str">
        <f>IFERROR(__xludf.DUMMYFUNCTION("""COMPUTED_VALUE"""),"447")</f>
        <v>447</v>
      </c>
      <c r="B123" s="265" t="str">
        <f>IFERROR(__xludf.DUMMYFUNCTION("""COMPUTED_VALUE"""),"Hà Nội")</f>
        <v>Hà Nội</v>
      </c>
      <c r="C123" s="265" t="str">
        <f>IFERROR(__xludf.DUMMYFUNCTION("""COMPUTED_VALUE"""),"Active")</f>
        <v>Active</v>
      </c>
      <c r="D123" s="265" t="str">
        <f>IFERROR(__xludf.DUMMYFUNCTION("""COMPUTED_VALUE"""),"Sale chưa cung cấp")</f>
        <v>Sale chưa cung cấp</v>
      </c>
      <c r="E123" s="265" t="str">
        <f>IFERROR(__xludf.DUMMYFUNCTION("""COMPUTED_VALUE"""),"AnhNM")</f>
        <v>AnhNM</v>
      </c>
      <c r="F123" s="265" t="str">
        <f>IFERROR(__xludf.DUMMYFUNCTION("""COMPUTED_VALUE"""),"Silver")</f>
        <v>Silver</v>
      </c>
      <c r="G123" s="265" t="str">
        <f>IFERROR(__xludf.DUMMYFUNCTION("""COMPUTED_VALUE"""),"Standard")</f>
        <v>Standard</v>
      </c>
      <c r="H123" s="265" t="str">
        <f>IFERROR(__xludf.DUMMYFUNCTION("""COMPUTED_VALUE"""),"Trả sau")</f>
        <v>Trả sau</v>
      </c>
      <c r="I123" s="265" t="str">
        <f>IFERROR(__xludf.DUMMYFUNCTION("""COMPUTED_VALUE"""),"Portal")</f>
        <v>Portal</v>
      </c>
      <c r="J123" s="265" t="str">
        <f>IFERROR(__xludf.DUMMYFUNCTION("""COMPUTED_VALUE"""),"SMS CSKH")</f>
        <v>SMS CSKH</v>
      </c>
      <c r="K123" s="265" t="str">
        <f>IFERROR(__xludf.DUMMYFUNCTION("""COMPUTED_VALUE"""),"DungPL")</f>
        <v>DungPL</v>
      </c>
    </row>
    <row r="124">
      <c r="A124" s="265" t="str">
        <f>IFERROR(__xludf.DUMMYFUNCTION("""COMPUTED_VALUE"""),"447")</f>
        <v>447</v>
      </c>
      <c r="B124" s="265" t="str">
        <f>IFERROR(__xludf.DUMMYFUNCTION("""COMPUTED_VALUE"""),"Hà Nội")</f>
        <v>Hà Nội</v>
      </c>
      <c r="C124" s="265" t="str">
        <f>IFERROR(__xludf.DUMMYFUNCTION("""COMPUTED_VALUE"""),"Active")</f>
        <v>Active</v>
      </c>
      <c r="D124" s="265" t="str">
        <f>IFERROR(__xludf.DUMMYFUNCTION("""COMPUTED_VALUE"""),"Sale chưa cung cấp")</f>
        <v>Sale chưa cung cấp</v>
      </c>
      <c r="E124" s="265" t="str">
        <f>IFERROR(__xludf.DUMMYFUNCTION("""COMPUTED_VALUE"""),"AnhNM")</f>
        <v>AnhNM</v>
      </c>
      <c r="F124" s="265" t="str">
        <f>IFERROR(__xludf.DUMMYFUNCTION("""COMPUTED_VALUE"""),"Silver")</f>
        <v>Silver</v>
      </c>
      <c r="G124" s="265" t="str">
        <f>IFERROR(__xludf.DUMMYFUNCTION("""COMPUTED_VALUE"""),"Standard")</f>
        <v>Standard</v>
      </c>
      <c r="H124" s="265" t="str">
        <f>IFERROR(__xludf.DUMMYFUNCTION("""COMPUTED_VALUE"""),"Trả sau")</f>
        <v>Trả sau</v>
      </c>
      <c r="I124" s="265" t="str">
        <f>IFERROR(__xludf.DUMMYFUNCTION("""COMPUTED_VALUE"""),"Portal")</f>
        <v>Portal</v>
      </c>
      <c r="J124" s="265" t="str">
        <f>IFERROR(__xludf.DUMMYFUNCTION("""COMPUTED_VALUE"""),"Zalo ZNS")</f>
        <v>Zalo ZNS</v>
      </c>
      <c r="K124" s="265" t="str">
        <f>IFERROR(__xludf.DUMMYFUNCTION("""COMPUTED_VALUE"""),"DungPL")</f>
        <v>DungPL</v>
      </c>
    </row>
    <row r="125">
      <c r="A125" s="265" t="str">
        <f>IFERROR(__xludf.DUMMYFUNCTION("""COMPUTED_VALUE"""),"448")</f>
        <v>448</v>
      </c>
      <c r="B125" s="265" t="str">
        <f>IFERROR(__xludf.DUMMYFUNCTION("""COMPUTED_VALUE"""),"Hà Nội")</f>
        <v>Hà Nội</v>
      </c>
      <c r="C125" s="265" t="str">
        <f>IFERROR(__xludf.DUMMYFUNCTION("""COMPUTED_VALUE"""),"Locked")</f>
        <v>Locked</v>
      </c>
      <c r="D125" s="265" t="str">
        <f>IFERROR(__xludf.DUMMYFUNCTION("""COMPUTED_VALUE"""),"Sale chưa cung cấp")</f>
        <v>Sale chưa cung cấp</v>
      </c>
      <c r="E125" s="265" t="str">
        <f>IFERROR(__xludf.DUMMYFUNCTION("""COMPUTED_VALUE"""),"NamDT")</f>
        <v>NamDT</v>
      </c>
      <c r="F125" s="265" t="str">
        <f>IFERROR(__xludf.DUMMYFUNCTION("""COMPUTED_VALUE"""),"Bronze")</f>
        <v>Bronze</v>
      </c>
      <c r="G125" s="265" t="str">
        <f>IFERROR(__xludf.DUMMYFUNCTION("""COMPUTED_VALUE"""),"Enterprise")</f>
        <v>Enterprise</v>
      </c>
      <c r="H125" s="265" t="str">
        <f>IFERROR(__xludf.DUMMYFUNCTION("""COMPUTED_VALUE"""),"(Chưa recheck)")</f>
        <v>(Chưa recheck)</v>
      </c>
      <c r="I125" s="265" t="str">
        <f>IFERROR(__xludf.DUMMYFUNCTION("""COMPUTED_VALUE"""),"(Chưa recheck)")</f>
        <v>(Chưa recheck)</v>
      </c>
      <c r="J125" s="265" t="str">
        <f>IFERROR(__xludf.DUMMYFUNCTION("""COMPUTED_VALUE"""),"(Chưa recheck)")</f>
        <v>(Chưa recheck)</v>
      </c>
      <c r="K125" s="265" t="str">
        <f>IFERROR(__xludf.DUMMYFUNCTION("""COMPUTED_VALUE"""),"(Chưa recheck)")</f>
        <v>(Chưa recheck)</v>
      </c>
    </row>
    <row r="126">
      <c r="A126" s="265" t="str">
        <f>IFERROR(__xludf.DUMMYFUNCTION("""COMPUTED_VALUE"""),"449")</f>
        <v>449</v>
      </c>
      <c r="B126" s="265" t="str">
        <f>IFERROR(__xludf.DUMMYFUNCTION("""COMPUTED_VALUE"""),"Hà Nội")</f>
        <v>Hà Nội</v>
      </c>
      <c r="C126" s="265" t="str">
        <f>IFERROR(__xludf.DUMMYFUNCTION("""COMPUTED_VALUE"""),"Locked")</f>
        <v>Locked</v>
      </c>
      <c r="D126" s="265" t="str">
        <f>IFERROR(__xludf.DUMMYFUNCTION("""COMPUTED_VALUE"""),"Sale chưa cung cấp")</f>
        <v>Sale chưa cung cấp</v>
      </c>
      <c r="E126" s="265" t="str">
        <f>IFERROR(__xludf.DUMMYFUNCTION("""COMPUTED_VALUE"""),"HangNT")</f>
        <v>HangNT</v>
      </c>
      <c r="F126" s="265" t="str">
        <f>IFERROR(__xludf.DUMMYFUNCTION("""COMPUTED_VALUE"""),"Sale chưa cung cấp")</f>
        <v>Sale chưa cung cấp</v>
      </c>
      <c r="G126" s="265" t="str">
        <f>IFERROR(__xludf.DUMMYFUNCTION("""COMPUTED_VALUE"""),"API")</f>
        <v>API</v>
      </c>
      <c r="H126" s="265" t="str">
        <f>IFERROR(__xludf.DUMMYFUNCTION("""COMPUTED_VALUE"""),"(Chưa recheck)")</f>
        <v>(Chưa recheck)</v>
      </c>
      <c r="I126" s="265" t="str">
        <f>IFERROR(__xludf.DUMMYFUNCTION("""COMPUTED_VALUE"""),"(Chưa recheck)")</f>
        <v>(Chưa recheck)</v>
      </c>
      <c r="J126" s="265" t="str">
        <f>IFERROR(__xludf.DUMMYFUNCTION("""COMPUTED_VALUE"""),"SMS CSKH")</f>
        <v>SMS CSKH</v>
      </c>
      <c r="K126" s="265" t="str">
        <f>IFERROR(__xludf.DUMMYFUNCTION("""COMPUTED_VALUE"""),"(Chưa recheck)")</f>
        <v>(Chưa recheck)</v>
      </c>
    </row>
    <row r="127">
      <c r="A127" s="265" t="str">
        <f>IFERROR(__xludf.DUMMYFUNCTION("""COMPUTED_VALUE"""),"478")</f>
        <v>478</v>
      </c>
      <c r="B127" s="265" t="str">
        <f>IFERROR(__xludf.DUMMYFUNCTION("""COMPUTED_VALUE"""),"Sài Gòn")</f>
        <v>Sài Gòn</v>
      </c>
      <c r="C127" s="265" t="str">
        <f>IFERROR(__xludf.DUMMYFUNCTION("""COMPUTED_VALUE"""),"Locked")</f>
        <v>Locked</v>
      </c>
      <c r="D127" s="265" t="str">
        <f>IFERROR(__xludf.DUMMYFUNCTION("""COMPUTED_VALUE"""),"Sale chưa cung cấp")</f>
        <v>Sale chưa cung cấp</v>
      </c>
      <c r="E127" s="265" t="str">
        <f>IFERROR(__xludf.DUMMYFUNCTION("""COMPUTED_VALUE"""),"HoaNTM")</f>
        <v>HoaNTM</v>
      </c>
      <c r="F127" s="265" t="str">
        <f>IFERROR(__xludf.DUMMYFUNCTION("""COMPUTED_VALUE"""),"Silver")</f>
        <v>Silver</v>
      </c>
      <c r="G127" s="265" t="str">
        <f>IFERROR(__xludf.DUMMYFUNCTION("""COMPUTED_VALUE"""),"Enterprise")</f>
        <v>Enterprise</v>
      </c>
      <c r="H127" s="265" t="str">
        <f>IFERROR(__xludf.DUMMYFUNCTION("""COMPUTED_VALUE"""),"(Chưa recheck)")</f>
        <v>(Chưa recheck)</v>
      </c>
      <c r="I127" s="265" t="str">
        <f>IFERROR(__xludf.DUMMYFUNCTION("""COMPUTED_VALUE"""),"(Chưa recheck)")</f>
        <v>(Chưa recheck)</v>
      </c>
      <c r="J127" s="265" t="str">
        <f>IFERROR(__xludf.DUMMYFUNCTION("""COMPUTED_VALUE"""),"GapOne")</f>
        <v>GapOne</v>
      </c>
      <c r="K127" s="265" t="str">
        <f>IFERROR(__xludf.DUMMYFUNCTION("""COMPUTED_VALUE"""),"AnhNM")</f>
        <v>AnhNM</v>
      </c>
    </row>
    <row r="128">
      <c r="A128" s="265" t="str">
        <f>IFERROR(__xludf.DUMMYFUNCTION("""COMPUTED_VALUE"""),"450")</f>
        <v>450</v>
      </c>
      <c r="B128" s="265" t="str">
        <f>IFERROR(__xludf.DUMMYFUNCTION("""COMPUTED_VALUE"""),"Sài Gòn")</f>
        <v>Sài Gòn</v>
      </c>
      <c r="C128" s="265" t="str">
        <f>IFERROR(__xludf.DUMMYFUNCTION("""COMPUTED_VALUE"""),"Active")</f>
        <v>Active</v>
      </c>
      <c r="D128" s="265" t="str">
        <f>IFERROR(__xludf.DUMMYFUNCTION("""COMPUTED_VALUE"""),"Sale chưa cung cấp")</f>
        <v>Sale chưa cung cấp</v>
      </c>
      <c r="E128" s="265" t="str">
        <f>IFERROR(__xludf.DUMMYFUNCTION("""COMPUTED_VALUE"""),"TùngLD")</f>
        <v>TùngLD</v>
      </c>
      <c r="F128" s="265" t="str">
        <f>IFERROR(__xludf.DUMMYFUNCTION("""COMPUTED_VALUE"""),"Bronze")</f>
        <v>Bronze</v>
      </c>
      <c r="G128" s="265" t="str">
        <f>IFERROR(__xludf.DUMMYFUNCTION("""COMPUTED_VALUE"""),"Enterprise")</f>
        <v>Enterprise</v>
      </c>
      <c r="H128" s="265" t="str">
        <f>IFERROR(__xludf.DUMMYFUNCTION("""COMPUTED_VALUE"""),"Trả sau")</f>
        <v>Trả sau</v>
      </c>
      <c r="I128" s="265" t="str">
        <f>IFERROR(__xludf.DUMMYFUNCTION("""COMPUTED_VALUE"""),"Portal")</f>
        <v>Portal</v>
      </c>
      <c r="J128" s="265" t="str">
        <f>IFERROR(__xludf.DUMMYFUNCTION("""COMPUTED_VALUE"""),"Zalo ZNS")</f>
        <v>Zalo ZNS</v>
      </c>
      <c r="K128" s="265" t="str">
        <f>IFERROR(__xludf.DUMMYFUNCTION("""COMPUTED_VALUE"""),"DungPL")</f>
        <v>DungPL</v>
      </c>
    </row>
    <row r="129">
      <c r="A129" s="265" t="str">
        <f>IFERROR(__xludf.DUMMYFUNCTION("""COMPUTED_VALUE"""),"451")</f>
        <v>451</v>
      </c>
      <c r="B129" s="265" t="str">
        <f>IFERROR(__xludf.DUMMYFUNCTION("""COMPUTED_VALUE"""),"Hà Nội")</f>
        <v>Hà Nội</v>
      </c>
      <c r="C129" s="265" t="str">
        <f>IFERROR(__xludf.DUMMYFUNCTION("""COMPUTED_VALUE"""),"Locked")</f>
        <v>Locked</v>
      </c>
      <c r="D129" s="265" t="str">
        <f>IFERROR(__xludf.DUMMYFUNCTION("""COMPUTED_VALUE"""),"Sale chưa cung cấp")</f>
        <v>Sale chưa cung cấp</v>
      </c>
      <c r="E129" s="265" t="str">
        <f>IFERROR(__xludf.DUMMYFUNCTION("""COMPUTED_VALUE"""),"PhươngDTB")</f>
        <v>PhươngDTB</v>
      </c>
      <c r="F129" s="265" t="str">
        <f>IFERROR(__xludf.DUMMYFUNCTION("""COMPUTED_VALUE"""),"Bronze")</f>
        <v>Bronze</v>
      </c>
      <c r="G129" s="265" t="str">
        <f>IFERROR(__xludf.DUMMYFUNCTION("""COMPUTED_VALUE"""),"Enterprise")</f>
        <v>Enterprise</v>
      </c>
      <c r="H129" s="265" t="str">
        <f>IFERROR(__xludf.DUMMYFUNCTION("""COMPUTED_VALUE"""),"(Chưa recheck)")</f>
        <v>(Chưa recheck)</v>
      </c>
      <c r="I129" s="265" t="str">
        <f>IFERROR(__xludf.DUMMYFUNCTION("""COMPUTED_VALUE"""),"(Chưa recheck)")</f>
        <v>(Chưa recheck)</v>
      </c>
      <c r="J129" s="265" t="str">
        <f>IFERROR(__xludf.DUMMYFUNCTION("""COMPUTED_VALUE"""),"Zalo mini App")</f>
        <v>Zalo mini App</v>
      </c>
      <c r="K129" s="265" t="str">
        <f>IFERROR(__xludf.DUMMYFUNCTION("""COMPUTED_VALUE"""),"(Chưa recheck)")</f>
        <v>(Chưa recheck)</v>
      </c>
    </row>
    <row r="130">
      <c r="A130" s="265" t="str">
        <f>IFERROR(__xludf.DUMMYFUNCTION("""COMPUTED_VALUE"""),"452")</f>
        <v>452</v>
      </c>
      <c r="B130" s="265" t="str">
        <f>IFERROR(__xludf.DUMMYFUNCTION("""COMPUTED_VALUE"""),"Hà Nội")</f>
        <v>Hà Nội</v>
      </c>
      <c r="C130" s="265" t="str">
        <f>IFERROR(__xludf.DUMMYFUNCTION("""COMPUTED_VALUE"""),"Locked")</f>
        <v>Locked</v>
      </c>
      <c r="D130" s="265" t="str">
        <f>IFERROR(__xludf.DUMMYFUNCTION("""COMPUTED_VALUE"""),"Sale chưa cung cấp")</f>
        <v>Sale chưa cung cấp</v>
      </c>
      <c r="E130" s="265" t="str">
        <f>IFERROR(__xludf.DUMMYFUNCTION("""COMPUTED_VALUE"""),"TùngLD")</f>
        <v>TùngLD</v>
      </c>
      <c r="F130" s="265" t="str">
        <f>IFERROR(__xludf.DUMMYFUNCTION("""COMPUTED_VALUE"""),"Bronze")</f>
        <v>Bronze</v>
      </c>
      <c r="G130" s="265" t="str">
        <f>IFERROR(__xludf.DUMMYFUNCTION("""COMPUTED_VALUE"""),"Enterprise")</f>
        <v>Enterprise</v>
      </c>
      <c r="H130" s="265" t="str">
        <f>IFERROR(__xludf.DUMMYFUNCTION("""COMPUTED_VALUE"""),"(Chưa recheck)")</f>
        <v>(Chưa recheck)</v>
      </c>
      <c r="I130" s="265" t="str">
        <f>IFERROR(__xludf.DUMMYFUNCTION("""COMPUTED_VALUE"""),"Portal")</f>
        <v>Portal</v>
      </c>
      <c r="J130" s="265" t="str">
        <f>IFERROR(__xludf.DUMMYFUNCTION("""COMPUTED_VALUE"""),"(Chưa recheck)")</f>
        <v>(Chưa recheck)</v>
      </c>
      <c r="K130" s="265" t="str">
        <f>IFERROR(__xludf.DUMMYFUNCTION("""COMPUTED_VALUE"""),"AnhNM")</f>
        <v>AnhNM</v>
      </c>
    </row>
    <row r="131">
      <c r="A131" s="265" t="str">
        <f>IFERROR(__xludf.DUMMYFUNCTION("""COMPUTED_VALUE"""),"436")</f>
        <v>436</v>
      </c>
      <c r="B131" s="265" t="str">
        <f>IFERROR(__xludf.DUMMYFUNCTION("""COMPUTED_VALUE"""),"Sài Gòn")</f>
        <v>Sài Gòn</v>
      </c>
      <c r="C131" s="265" t="str">
        <f>IFERROR(__xludf.DUMMYFUNCTION("""COMPUTED_VALUE"""),"Locked")</f>
        <v>Locked</v>
      </c>
      <c r="D131" s="265" t="str">
        <f>IFERROR(__xludf.DUMMYFUNCTION("""COMPUTED_VALUE"""),"Sale chưa cung cấp")</f>
        <v>Sale chưa cung cấp</v>
      </c>
      <c r="E131" s="265" t="str">
        <f>IFERROR(__xludf.DUMMYFUNCTION("""COMPUTED_VALUE"""),"HoaNTM")</f>
        <v>HoaNTM</v>
      </c>
      <c r="F131" s="265" t="str">
        <f>IFERROR(__xludf.DUMMYFUNCTION("""COMPUTED_VALUE"""),"Bronze")</f>
        <v>Bronze</v>
      </c>
      <c r="G131" s="265" t="str">
        <f>IFERROR(__xludf.DUMMYFUNCTION("""COMPUTED_VALUE"""),"Enterprise")</f>
        <v>Enterprise</v>
      </c>
      <c r="H131" s="265" t="str">
        <f>IFERROR(__xludf.DUMMYFUNCTION("""COMPUTED_VALUE"""),"(Chưa recheck)")</f>
        <v>(Chưa recheck)</v>
      </c>
      <c r="I131" s="265" t="str">
        <f>IFERROR(__xludf.DUMMYFUNCTION("""COMPUTED_VALUE"""),"(Chưa recheck)")</f>
        <v>(Chưa recheck)</v>
      </c>
      <c r="J131" s="265" t="str">
        <f>IFERROR(__xludf.DUMMYFUNCTION("""COMPUTED_VALUE"""),"(Chưa recheck)")</f>
        <v>(Chưa recheck)</v>
      </c>
      <c r="K131" s="265" t="str">
        <f>IFERROR(__xludf.DUMMYFUNCTION("""COMPUTED_VALUE"""),"AnhNM")</f>
        <v>AnhNM</v>
      </c>
    </row>
    <row r="132">
      <c r="A132" s="265" t="str">
        <f>IFERROR(__xludf.DUMMYFUNCTION("""COMPUTED_VALUE"""),"453")</f>
        <v>453</v>
      </c>
      <c r="B132" s="265" t="str">
        <f>IFERROR(__xludf.DUMMYFUNCTION("""COMPUTED_VALUE"""),"Sài Gòn")</f>
        <v>Sài Gòn</v>
      </c>
      <c r="C132" s="265" t="str">
        <f>IFERROR(__xludf.DUMMYFUNCTION("""COMPUTED_VALUE"""),"Locked")</f>
        <v>Locked</v>
      </c>
      <c r="D132" s="265" t="str">
        <f>IFERROR(__xludf.DUMMYFUNCTION("""COMPUTED_VALUE"""),"Sale chưa cung cấp")</f>
        <v>Sale chưa cung cấp</v>
      </c>
      <c r="E132" s="265" t="str">
        <f>IFERROR(__xludf.DUMMYFUNCTION("""COMPUTED_VALUE"""),"HoaNTM")</f>
        <v>HoaNTM</v>
      </c>
      <c r="F132" s="265" t="str">
        <f>IFERROR(__xludf.DUMMYFUNCTION("""COMPUTED_VALUE"""),"Sale chưa cung cấp")</f>
        <v>Sale chưa cung cấp</v>
      </c>
      <c r="G132" s="265" t="str">
        <f>IFERROR(__xludf.DUMMYFUNCTION("""COMPUTED_VALUE"""),"MSG")</f>
        <v>MSG</v>
      </c>
      <c r="H132" s="265" t="str">
        <f>IFERROR(__xludf.DUMMYFUNCTION("""COMPUTED_VALUE"""),"(Chưa recheck)")</f>
        <v>(Chưa recheck)</v>
      </c>
      <c r="I132" s="265" t="str">
        <f>IFERROR(__xludf.DUMMYFUNCTION("""COMPUTED_VALUE"""),"(Chưa recheck)")</f>
        <v>(Chưa recheck)</v>
      </c>
      <c r="J132" s="265" t="str">
        <f>IFERROR(__xludf.DUMMYFUNCTION("""COMPUTED_VALUE"""),"(Chưa recheck)")</f>
        <v>(Chưa recheck)</v>
      </c>
      <c r="K132" s="265" t="str">
        <f>IFERROR(__xludf.DUMMYFUNCTION("""COMPUTED_VALUE"""),"AnhNM")</f>
        <v>AnhNM</v>
      </c>
    </row>
    <row r="133">
      <c r="A133" s="265" t="str">
        <f>IFERROR(__xludf.DUMMYFUNCTION("""COMPUTED_VALUE"""),"454")</f>
        <v>454</v>
      </c>
      <c r="B133" s="265" t="str">
        <f>IFERROR(__xludf.DUMMYFUNCTION("""COMPUTED_VALUE"""),"Sài Gòn")</f>
        <v>Sài Gòn</v>
      </c>
      <c r="C133" s="265" t="str">
        <f>IFERROR(__xludf.DUMMYFUNCTION("""COMPUTED_VALUE"""),"Locked")</f>
        <v>Locked</v>
      </c>
      <c r="D133" s="265" t="str">
        <f>IFERROR(__xludf.DUMMYFUNCTION("""COMPUTED_VALUE"""),"Sale chưa cung cấp")</f>
        <v>Sale chưa cung cấp</v>
      </c>
      <c r="E133" s="265" t="str">
        <f>IFERROR(__xludf.DUMMYFUNCTION("""COMPUTED_VALUE"""),"HoaNTM")</f>
        <v>HoaNTM</v>
      </c>
      <c r="F133" s="265" t="str">
        <f>IFERROR(__xludf.DUMMYFUNCTION("""COMPUTED_VALUE"""),"Sale chưa cung cấp")</f>
        <v>Sale chưa cung cấp</v>
      </c>
      <c r="G133" s="265" t="str">
        <f>IFERROR(__xludf.DUMMYFUNCTION("""COMPUTED_VALUE"""),"MSG")</f>
        <v>MSG</v>
      </c>
      <c r="H133" s="265" t="str">
        <f>IFERROR(__xludf.DUMMYFUNCTION("""COMPUTED_VALUE"""),"(Chưa recheck)")</f>
        <v>(Chưa recheck)</v>
      </c>
      <c r="I133" s="265" t="str">
        <f>IFERROR(__xludf.DUMMYFUNCTION("""COMPUTED_VALUE"""),"(Chưa recheck)")</f>
        <v>(Chưa recheck)</v>
      </c>
      <c r="J133" s="265" t="str">
        <f>IFERROR(__xludf.DUMMYFUNCTION("""COMPUTED_VALUE"""),"(Chưa recheck)")</f>
        <v>(Chưa recheck)</v>
      </c>
      <c r="K133" s="265" t="str">
        <f>IFERROR(__xludf.DUMMYFUNCTION("""COMPUTED_VALUE"""),"AnhNM")</f>
        <v>AnhNM</v>
      </c>
    </row>
    <row r="134">
      <c r="A134" s="265" t="str">
        <f>IFERROR(__xludf.DUMMYFUNCTION("""COMPUTED_VALUE"""),"455")</f>
        <v>455</v>
      </c>
      <c r="B134" s="265" t="str">
        <f>IFERROR(__xludf.DUMMYFUNCTION("""COMPUTED_VALUE"""),"Sài Gòn")</f>
        <v>Sài Gòn</v>
      </c>
      <c r="C134" s="265" t="str">
        <f>IFERROR(__xludf.DUMMYFUNCTION("""COMPUTED_VALUE"""),"Active")</f>
        <v>Active</v>
      </c>
      <c r="D134" s="265" t="str">
        <f>IFERROR(__xludf.DUMMYFUNCTION("""COMPUTED_VALUE"""),"Sale chưa cung cấp")</f>
        <v>Sale chưa cung cấp</v>
      </c>
      <c r="E134" s="265" t="str">
        <f>IFERROR(__xludf.DUMMYFUNCTION("""COMPUTED_VALUE"""),"AnhNM")</f>
        <v>AnhNM</v>
      </c>
      <c r="F134" s="265" t="str">
        <f>IFERROR(__xludf.DUMMYFUNCTION("""COMPUTED_VALUE"""),"Silver")</f>
        <v>Silver</v>
      </c>
      <c r="G134" s="265" t="str">
        <f>IFERROR(__xludf.DUMMYFUNCTION("""COMPUTED_VALUE"""),"Enterprise")</f>
        <v>Enterprise</v>
      </c>
      <c r="H134" s="265" t="str">
        <f>IFERROR(__xludf.DUMMYFUNCTION("""COMPUTED_VALUE"""),"Trả sau")</f>
        <v>Trả sau</v>
      </c>
      <c r="I134" s="265" t="str">
        <f>IFERROR(__xludf.DUMMYFUNCTION("""COMPUTED_VALUE"""),"API &amp; Portal")</f>
        <v>API &amp; Portal</v>
      </c>
      <c r="J134" s="265" t="str">
        <f>IFERROR(__xludf.DUMMYFUNCTION("""COMPUTED_VALUE"""),"Zalo ZNS")</f>
        <v>Zalo ZNS</v>
      </c>
      <c r="K134" s="265" t="str">
        <f>IFERROR(__xludf.DUMMYFUNCTION("""COMPUTED_VALUE"""),"DungPL")</f>
        <v>DungPL</v>
      </c>
    </row>
    <row r="135">
      <c r="A135" s="265" t="str">
        <f>IFERROR(__xludf.DUMMYFUNCTION("""COMPUTED_VALUE"""),"456")</f>
        <v>456</v>
      </c>
      <c r="B135" s="265" t="str">
        <f>IFERROR(__xludf.DUMMYFUNCTION("""COMPUTED_VALUE"""),"Sài Gòn")</f>
        <v>Sài Gòn</v>
      </c>
      <c r="C135" s="265" t="str">
        <f>IFERROR(__xludf.DUMMYFUNCTION("""COMPUTED_VALUE"""),"Locked")</f>
        <v>Locked</v>
      </c>
      <c r="D135" s="265" t="str">
        <f>IFERROR(__xludf.DUMMYFUNCTION("""COMPUTED_VALUE"""),"Sale chưa cung cấp")</f>
        <v>Sale chưa cung cấp</v>
      </c>
      <c r="E135" s="265" t="str">
        <f>IFERROR(__xludf.DUMMYFUNCTION("""COMPUTED_VALUE"""),"HoaNTM")</f>
        <v>HoaNTM</v>
      </c>
      <c r="F135" s="265" t="str">
        <f>IFERROR(__xludf.DUMMYFUNCTION("""COMPUTED_VALUE"""),"Sale chưa cung cấp")</f>
        <v>Sale chưa cung cấp</v>
      </c>
      <c r="G135" s="265" t="str">
        <f>IFERROR(__xludf.DUMMYFUNCTION("""COMPUTED_VALUE"""),"MSG")</f>
        <v>MSG</v>
      </c>
      <c r="H135" s="265" t="str">
        <f>IFERROR(__xludf.DUMMYFUNCTION("""COMPUTED_VALUE"""),"(Chưa recheck)")</f>
        <v>(Chưa recheck)</v>
      </c>
      <c r="I135" s="265" t="str">
        <f>IFERROR(__xludf.DUMMYFUNCTION("""COMPUTED_VALUE"""),"(Chưa recheck)")</f>
        <v>(Chưa recheck)</v>
      </c>
      <c r="J135" s="265" t="str">
        <f>IFERROR(__xludf.DUMMYFUNCTION("""COMPUTED_VALUE"""),"(Chưa recheck)")</f>
        <v>(Chưa recheck)</v>
      </c>
      <c r="K135" s="265" t="str">
        <f>IFERROR(__xludf.DUMMYFUNCTION("""COMPUTED_VALUE"""),"(Chưa recheck)")</f>
        <v>(Chưa recheck)</v>
      </c>
    </row>
    <row r="136">
      <c r="A136" s="265" t="str">
        <f>IFERROR(__xludf.DUMMYFUNCTION("""COMPUTED_VALUE"""),"457")</f>
        <v>457</v>
      </c>
      <c r="B136" s="265" t="str">
        <f>IFERROR(__xludf.DUMMYFUNCTION("""COMPUTED_VALUE"""),"Sài Gòn")</f>
        <v>Sài Gòn</v>
      </c>
      <c r="C136" s="265" t="str">
        <f>IFERROR(__xludf.DUMMYFUNCTION("""COMPUTED_VALUE"""),"Locked")</f>
        <v>Locked</v>
      </c>
      <c r="D136" s="265" t="str">
        <f>IFERROR(__xludf.DUMMYFUNCTION("""COMPUTED_VALUE"""),"Sale chưa cung cấp")</f>
        <v>Sale chưa cung cấp</v>
      </c>
      <c r="E136" s="265" t="str">
        <f>IFERROR(__xludf.DUMMYFUNCTION("""COMPUTED_VALUE"""),"HoaNTM")</f>
        <v>HoaNTM</v>
      </c>
      <c r="F136" s="265" t="str">
        <f>IFERROR(__xludf.DUMMYFUNCTION("""COMPUTED_VALUE"""),"Sale chưa cung cấp")</f>
        <v>Sale chưa cung cấp</v>
      </c>
      <c r="G136" s="265" t="str">
        <f>IFERROR(__xludf.DUMMYFUNCTION("""COMPUTED_VALUE"""),"Enterprise")</f>
        <v>Enterprise</v>
      </c>
      <c r="H136" s="265" t="str">
        <f>IFERROR(__xludf.DUMMYFUNCTION("""COMPUTED_VALUE"""),"Trial")</f>
        <v>Trial</v>
      </c>
      <c r="I136" s="265" t="str">
        <f>IFERROR(__xludf.DUMMYFUNCTION("""COMPUTED_VALUE"""),"(Không recheck)")</f>
        <v>(Không recheck)</v>
      </c>
      <c r="J136" s="265" t="str">
        <f>IFERROR(__xludf.DUMMYFUNCTION("""COMPUTED_VALUE"""),"(Không recheck)")</f>
        <v>(Không recheck)</v>
      </c>
      <c r="K136" s="265" t="str">
        <f>IFERROR(__xludf.DUMMYFUNCTION("""COMPUTED_VALUE"""),"(Không recheck)")</f>
        <v>(Không recheck)</v>
      </c>
    </row>
    <row r="137">
      <c r="A137" s="265" t="str">
        <f>IFERROR(__xludf.DUMMYFUNCTION("""COMPUTED_VALUE"""),"458")</f>
        <v>458</v>
      </c>
      <c r="B137" s="265" t="str">
        <f>IFERROR(__xludf.DUMMYFUNCTION("""COMPUTED_VALUE"""),"Sài Gòn")</f>
        <v>Sài Gòn</v>
      </c>
      <c r="C137" s="265" t="str">
        <f>IFERROR(__xludf.DUMMYFUNCTION("""COMPUTED_VALUE"""),"Locked")</f>
        <v>Locked</v>
      </c>
      <c r="D137" s="265" t="str">
        <f>IFERROR(__xludf.DUMMYFUNCTION("""COMPUTED_VALUE"""),"Sale chưa cung cấp")</f>
        <v>Sale chưa cung cấp</v>
      </c>
      <c r="E137" s="265" t="str">
        <f>IFERROR(__xludf.DUMMYFUNCTION("""COMPUTED_VALUE"""),"HoaNTM")</f>
        <v>HoaNTM</v>
      </c>
      <c r="F137" s="265" t="str">
        <f>IFERROR(__xludf.DUMMYFUNCTION("""COMPUTED_VALUE"""),"Sale chưa cung cấp")</f>
        <v>Sale chưa cung cấp</v>
      </c>
      <c r="G137" s="265" t="str">
        <f>IFERROR(__xludf.DUMMYFUNCTION("""COMPUTED_VALUE"""),"MSG")</f>
        <v>MSG</v>
      </c>
      <c r="H137" s="265" t="str">
        <f>IFERROR(__xludf.DUMMYFUNCTION("""COMPUTED_VALUE"""),"(Chưa recheck)")</f>
        <v>(Chưa recheck)</v>
      </c>
      <c r="I137" s="265" t="str">
        <f>IFERROR(__xludf.DUMMYFUNCTION("""COMPUTED_VALUE"""),"(Chưa recheck)")</f>
        <v>(Chưa recheck)</v>
      </c>
      <c r="J137" s="265" t="str">
        <f>IFERROR(__xludf.DUMMYFUNCTION("""COMPUTED_VALUE"""),"(Chưa recheck)")</f>
        <v>(Chưa recheck)</v>
      </c>
      <c r="K137" s="265" t="str">
        <f>IFERROR(__xludf.DUMMYFUNCTION("""COMPUTED_VALUE"""),"AnhNM")</f>
        <v>AnhNM</v>
      </c>
    </row>
    <row r="138">
      <c r="A138" s="265" t="str">
        <f>IFERROR(__xludf.DUMMYFUNCTION("""COMPUTED_VALUE"""),"460")</f>
        <v>460</v>
      </c>
      <c r="B138" s="265" t="str">
        <f>IFERROR(__xludf.DUMMYFUNCTION("""COMPUTED_VALUE"""),"Hà Nội")</f>
        <v>Hà Nội</v>
      </c>
      <c r="C138" s="265" t="str">
        <f>IFERROR(__xludf.DUMMYFUNCTION("""COMPUTED_VALUE"""),"Locked")</f>
        <v>Locked</v>
      </c>
      <c r="D138" s="265" t="str">
        <f>IFERROR(__xludf.DUMMYFUNCTION("""COMPUTED_VALUE"""),"Sale chưa cung cấp")</f>
        <v>Sale chưa cung cấp</v>
      </c>
      <c r="E138" s="265" t="str">
        <f>IFERROR(__xludf.DUMMYFUNCTION("""COMPUTED_VALUE"""),"NamDT")</f>
        <v>NamDT</v>
      </c>
      <c r="F138" s="265" t="str">
        <f>IFERROR(__xludf.DUMMYFUNCTION("""COMPUTED_VALUE"""),"Sale chưa cung cấp")</f>
        <v>Sale chưa cung cấp</v>
      </c>
      <c r="G138" s="265" t="str">
        <f>IFERROR(__xludf.DUMMYFUNCTION("""COMPUTED_VALUE"""),"API")</f>
        <v>API</v>
      </c>
      <c r="H138" s="265" t="str">
        <f>IFERROR(__xludf.DUMMYFUNCTION("""COMPUTED_VALUE"""),"Trial")</f>
        <v>Trial</v>
      </c>
      <c r="I138" s="265" t="str">
        <f>IFERROR(__xludf.DUMMYFUNCTION("""COMPUTED_VALUE"""),"(Không recheck)")</f>
        <v>(Không recheck)</v>
      </c>
      <c r="J138" s="265" t="str">
        <f>IFERROR(__xludf.DUMMYFUNCTION("""COMPUTED_VALUE"""),"(Không recheck)")</f>
        <v>(Không recheck)</v>
      </c>
      <c r="K138" s="265" t="str">
        <f>IFERROR(__xludf.DUMMYFUNCTION("""COMPUTED_VALUE"""),"(Không recheck)")</f>
        <v>(Không recheck)</v>
      </c>
    </row>
    <row r="139">
      <c r="A139" s="265" t="str">
        <f>IFERROR(__xludf.DUMMYFUNCTION("""COMPUTED_VALUE"""),"461")</f>
        <v>461</v>
      </c>
      <c r="B139" s="265" t="str">
        <f>IFERROR(__xludf.DUMMYFUNCTION("""COMPUTED_VALUE"""),"Hà Nội")</f>
        <v>Hà Nội</v>
      </c>
      <c r="C139" s="265" t="str">
        <f>IFERROR(__xludf.DUMMYFUNCTION("""COMPUTED_VALUE"""),"Active")</f>
        <v>Active</v>
      </c>
      <c r="D139" s="265" t="str">
        <f>IFERROR(__xludf.DUMMYFUNCTION("""COMPUTED_VALUE"""),"Sale chưa cung cấp")</f>
        <v>Sale chưa cung cấp</v>
      </c>
      <c r="E139" s="265" t="str">
        <f>IFERROR(__xludf.DUMMYFUNCTION("""COMPUTED_VALUE"""),"AnhNM")</f>
        <v>AnhNM</v>
      </c>
      <c r="F139" s="265" t="str">
        <f>IFERROR(__xludf.DUMMYFUNCTION("""COMPUTED_VALUE"""),"Bronze")</f>
        <v>Bronze</v>
      </c>
      <c r="G139" s="265" t="str">
        <f>IFERROR(__xludf.DUMMYFUNCTION("""COMPUTED_VALUE"""),"Starter")</f>
        <v>Starter</v>
      </c>
      <c r="H139" s="265" t="str">
        <f>IFERROR(__xludf.DUMMYFUNCTION("""COMPUTED_VALUE"""),"Trả sau")</f>
        <v>Trả sau</v>
      </c>
      <c r="I139" s="265" t="str">
        <f>IFERROR(__xludf.DUMMYFUNCTION("""COMPUTED_VALUE"""),"API")</f>
        <v>API</v>
      </c>
      <c r="J139" s="265" t="str">
        <f>IFERROR(__xludf.DUMMYFUNCTION("""COMPUTED_VALUE"""),"Zalo ZNS")</f>
        <v>Zalo ZNS</v>
      </c>
      <c r="K139" s="265" t="str">
        <f>IFERROR(__xludf.DUMMYFUNCTION("""COMPUTED_VALUE"""),"LinhNTT1")</f>
        <v>LinhNTT1</v>
      </c>
    </row>
    <row r="140">
      <c r="A140" s="265" t="str">
        <f>IFERROR(__xludf.DUMMYFUNCTION("""COMPUTED_VALUE"""),"462")</f>
        <v>462</v>
      </c>
      <c r="B140" s="265" t="str">
        <f>IFERROR(__xludf.DUMMYFUNCTION("""COMPUTED_VALUE"""),"Sài Gòn")</f>
        <v>Sài Gòn</v>
      </c>
      <c r="C140" s="265" t="str">
        <f>IFERROR(__xludf.DUMMYFUNCTION("""COMPUTED_VALUE"""),"Active")</f>
        <v>Active</v>
      </c>
      <c r="D140" s="265" t="str">
        <f>IFERROR(__xludf.DUMMYFUNCTION("""COMPUTED_VALUE"""),"Sale chưa cung cấp")</f>
        <v>Sale chưa cung cấp</v>
      </c>
      <c r="E140" s="265" t="str">
        <f>IFERROR(__xludf.DUMMYFUNCTION("""COMPUTED_VALUE"""),"TúPHN")</f>
        <v>TúPHN</v>
      </c>
      <c r="F140" s="265" t="str">
        <f>IFERROR(__xludf.DUMMYFUNCTION("""COMPUTED_VALUE"""),"Silver")</f>
        <v>Silver</v>
      </c>
      <c r="G140" s="265" t="str">
        <f>IFERROR(__xludf.DUMMYFUNCTION("""COMPUTED_VALUE"""),"Enterprise")</f>
        <v>Enterprise</v>
      </c>
      <c r="H140" s="265" t="str">
        <f>IFERROR(__xludf.DUMMYFUNCTION("""COMPUTED_VALUE"""),"Trả sau")</f>
        <v>Trả sau</v>
      </c>
      <c r="I140" s="265" t="str">
        <f>IFERROR(__xludf.DUMMYFUNCTION("""COMPUTED_VALUE"""),"API")</f>
        <v>API</v>
      </c>
      <c r="J140" s="265" t="str">
        <f>IFERROR(__xludf.DUMMYFUNCTION("""COMPUTED_VALUE"""),"Zalo ZNS")</f>
        <v>Zalo ZNS</v>
      </c>
      <c r="K140" s="265" t="str">
        <f>IFERROR(__xludf.DUMMYFUNCTION("""COMPUTED_VALUE"""),"DungPL")</f>
        <v>DungPL</v>
      </c>
    </row>
    <row r="141">
      <c r="A141" s="265" t="str">
        <f>IFERROR(__xludf.DUMMYFUNCTION("""COMPUTED_VALUE"""),"464")</f>
        <v>464</v>
      </c>
      <c r="B141" s="265" t="str">
        <f>IFERROR(__xludf.DUMMYFUNCTION("""COMPUTED_VALUE"""),"Hà Nội")</f>
        <v>Hà Nội</v>
      </c>
      <c r="C141" s="265" t="str">
        <f>IFERROR(__xludf.DUMMYFUNCTION("""COMPUTED_VALUE"""),"Locked")</f>
        <v>Locked</v>
      </c>
      <c r="D141" s="265" t="str">
        <f>IFERROR(__xludf.DUMMYFUNCTION("""COMPUTED_VALUE"""),"Sale chưa cung cấp")</f>
        <v>Sale chưa cung cấp</v>
      </c>
      <c r="E141" s="265" t="str">
        <f>IFERROR(__xludf.DUMMYFUNCTION("""COMPUTED_VALUE"""),"PhươngDTB")</f>
        <v>PhươngDTB</v>
      </c>
      <c r="F141" s="265" t="str">
        <f>IFERROR(__xludf.DUMMYFUNCTION("""COMPUTED_VALUE"""),"Bronze")</f>
        <v>Bronze</v>
      </c>
      <c r="G141" s="265" t="str">
        <f>IFERROR(__xludf.DUMMYFUNCTION("""COMPUTED_VALUE"""),"Enterprise")</f>
        <v>Enterprise</v>
      </c>
      <c r="H141" s="265" t="str">
        <f>IFERROR(__xludf.DUMMYFUNCTION("""COMPUTED_VALUE"""),"Trả sau")</f>
        <v>Trả sau</v>
      </c>
      <c r="I141" s="265" t="str">
        <f>IFERROR(__xludf.DUMMYFUNCTION("""COMPUTED_VALUE"""),"API")</f>
        <v>API</v>
      </c>
      <c r="J141" s="265" t="str">
        <f>IFERROR(__xludf.DUMMYFUNCTION("""COMPUTED_VALUE"""),"Zalo ZNS")</f>
        <v>Zalo ZNS</v>
      </c>
      <c r="K141" s="265" t="str">
        <f>IFERROR(__xludf.DUMMYFUNCTION("""COMPUTED_VALUE"""),"Không phân công")</f>
        <v>Không phân công</v>
      </c>
    </row>
    <row r="142">
      <c r="A142" s="265" t="str">
        <f>IFERROR(__xludf.DUMMYFUNCTION("""COMPUTED_VALUE"""),"463")</f>
        <v>463</v>
      </c>
      <c r="B142" s="265" t="str">
        <f>IFERROR(__xludf.DUMMYFUNCTION("""COMPUTED_VALUE"""),"Hà Nội")</f>
        <v>Hà Nội</v>
      </c>
      <c r="C142" s="265" t="str">
        <f>IFERROR(__xludf.DUMMYFUNCTION("""COMPUTED_VALUE"""),"Locked")</f>
        <v>Locked</v>
      </c>
      <c r="D142" s="265" t="str">
        <f>IFERROR(__xludf.DUMMYFUNCTION("""COMPUTED_VALUE"""),"Sale chưa cung cấp")</f>
        <v>Sale chưa cung cấp</v>
      </c>
      <c r="E142" s="265" t="str">
        <f>IFERROR(__xludf.DUMMYFUNCTION("""COMPUTED_VALUE"""),"HangNT")</f>
        <v>HangNT</v>
      </c>
      <c r="F142" s="265" t="str">
        <f>IFERROR(__xludf.DUMMYFUNCTION("""COMPUTED_VALUE"""),"Sale chưa cung cấp")</f>
        <v>Sale chưa cung cấp</v>
      </c>
      <c r="G142" s="265" t="str">
        <f>IFERROR(__xludf.DUMMYFUNCTION("""COMPUTED_VALUE"""),"Enterprise")</f>
        <v>Enterprise</v>
      </c>
      <c r="H142" s="265" t="str">
        <f>IFERROR(__xludf.DUMMYFUNCTION("""COMPUTED_VALUE"""),"(Chưa recheck)")</f>
        <v>(Chưa recheck)</v>
      </c>
      <c r="I142" s="265" t="str">
        <f>IFERROR(__xludf.DUMMYFUNCTION("""COMPUTED_VALUE"""),"(Chưa recheck)")</f>
        <v>(Chưa recheck)</v>
      </c>
      <c r="J142" s="265" t="str">
        <f>IFERROR(__xludf.DUMMYFUNCTION("""COMPUTED_VALUE"""),"(Chưa recheck)")</f>
        <v>(Chưa recheck)</v>
      </c>
      <c r="K142" s="265" t="str">
        <f>IFERROR(__xludf.DUMMYFUNCTION("""COMPUTED_VALUE"""),"(Chưa recheck)")</f>
        <v>(Chưa recheck)</v>
      </c>
    </row>
    <row r="143">
      <c r="A143" s="265" t="str">
        <f>IFERROR(__xludf.DUMMYFUNCTION("""COMPUTED_VALUE"""),"465")</f>
        <v>465</v>
      </c>
      <c r="B143" s="265" t="str">
        <f>IFERROR(__xludf.DUMMYFUNCTION("""COMPUTED_VALUE"""),"Sài Gòn")</f>
        <v>Sài Gòn</v>
      </c>
      <c r="C143" s="265" t="str">
        <f>IFERROR(__xludf.DUMMYFUNCTION("""COMPUTED_VALUE"""),"Locked")</f>
        <v>Locked</v>
      </c>
      <c r="D143" s="265" t="str">
        <f>IFERROR(__xludf.DUMMYFUNCTION("""COMPUTED_VALUE"""),"Sale chưa cung cấp")</f>
        <v>Sale chưa cung cấp</v>
      </c>
      <c r="E143" s="265" t="str">
        <f>IFERROR(__xludf.DUMMYFUNCTION("""COMPUTED_VALUE"""),"HoaNTM")</f>
        <v>HoaNTM</v>
      </c>
      <c r="F143" s="265" t="str">
        <f>IFERROR(__xludf.DUMMYFUNCTION("""COMPUTED_VALUE"""),"Diamond")</f>
        <v>Diamond</v>
      </c>
      <c r="G143" s="265" t="str">
        <f>IFERROR(__xludf.DUMMYFUNCTION("""COMPUTED_VALUE"""),"API")</f>
        <v>API</v>
      </c>
      <c r="H143" s="265" t="str">
        <f>IFERROR(__xludf.DUMMYFUNCTION("""COMPUTED_VALUE"""),"Trả sau")</f>
        <v>Trả sau</v>
      </c>
      <c r="I143" s="265" t="str">
        <f>IFERROR(__xludf.DUMMYFUNCTION("""COMPUTED_VALUE"""),"(Chưa recheck)")</f>
        <v>(Chưa recheck)</v>
      </c>
      <c r="J143" s="265" t="str">
        <f>IFERROR(__xludf.DUMMYFUNCTION("""COMPUTED_VALUE"""),"(Chưa recheck)")</f>
        <v>(Chưa recheck)</v>
      </c>
      <c r="K143" s="265" t="str">
        <f>IFERROR(__xludf.DUMMYFUNCTION("""COMPUTED_VALUE"""),"AnhNM")</f>
        <v>AnhNM</v>
      </c>
    </row>
    <row r="144">
      <c r="A144" s="265" t="str">
        <f>IFERROR(__xludf.DUMMYFUNCTION("""COMPUTED_VALUE"""),"466")</f>
        <v>466</v>
      </c>
      <c r="B144" s="265" t="str">
        <f>IFERROR(__xludf.DUMMYFUNCTION("""COMPUTED_VALUE"""),"Sài Gòn")</f>
        <v>Sài Gòn</v>
      </c>
      <c r="C144" s="265" t="str">
        <f>IFERROR(__xludf.DUMMYFUNCTION("""COMPUTED_VALUE"""),"Locked")</f>
        <v>Locked</v>
      </c>
      <c r="D144" s="265" t="str">
        <f>IFERROR(__xludf.DUMMYFUNCTION("""COMPUTED_VALUE"""),"Sale chưa cung cấp")</f>
        <v>Sale chưa cung cấp</v>
      </c>
      <c r="E144" s="265" t="str">
        <f>IFERROR(__xludf.DUMMYFUNCTION("""COMPUTED_VALUE"""),"HoaNTM")</f>
        <v>HoaNTM</v>
      </c>
      <c r="F144" s="265" t="str">
        <f>IFERROR(__xludf.DUMMYFUNCTION("""COMPUTED_VALUE"""),"Diamond")</f>
        <v>Diamond</v>
      </c>
      <c r="G144" s="265" t="str">
        <f>IFERROR(__xludf.DUMMYFUNCTION("""COMPUTED_VALUE"""),"API")</f>
        <v>API</v>
      </c>
      <c r="H144" s="265" t="str">
        <f>IFERROR(__xludf.DUMMYFUNCTION("""COMPUTED_VALUE"""),"Trial")</f>
        <v>Trial</v>
      </c>
      <c r="I144" s="265" t="str">
        <f>IFERROR(__xludf.DUMMYFUNCTION("""COMPUTED_VALUE"""),"(Không recheck)")</f>
        <v>(Không recheck)</v>
      </c>
      <c r="J144" s="265" t="str">
        <f>IFERROR(__xludf.DUMMYFUNCTION("""COMPUTED_VALUE"""),"(Không recheck)")</f>
        <v>(Không recheck)</v>
      </c>
      <c r="K144" s="265" t="str">
        <f>IFERROR(__xludf.DUMMYFUNCTION("""COMPUTED_VALUE"""),"(Không recheck)")</f>
        <v>(Không recheck)</v>
      </c>
    </row>
    <row r="145">
      <c r="A145" s="265" t="str">
        <f>IFERROR(__xludf.DUMMYFUNCTION("""COMPUTED_VALUE"""),"468")</f>
        <v>468</v>
      </c>
      <c r="B145" s="265" t="str">
        <f>IFERROR(__xludf.DUMMYFUNCTION("""COMPUTED_VALUE"""),"Hà Nội")</f>
        <v>Hà Nội</v>
      </c>
      <c r="C145" s="265" t="str">
        <f>IFERROR(__xludf.DUMMYFUNCTION("""COMPUTED_VALUE"""),"Locked")</f>
        <v>Locked</v>
      </c>
      <c r="D145" s="265" t="str">
        <f>IFERROR(__xludf.DUMMYFUNCTION("""COMPUTED_VALUE"""),"Sale chưa cung cấp")</f>
        <v>Sale chưa cung cấp</v>
      </c>
      <c r="E145" s="265" t="str">
        <f>IFERROR(__xludf.DUMMYFUNCTION("""COMPUTED_VALUE"""),"(Không recheck)")</f>
        <v>(Không recheck)</v>
      </c>
      <c r="F145" s="265" t="str">
        <f>IFERROR(__xludf.DUMMYFUNCTION("""COMPUTED_VALUE"""),"Sale chưa cung cấp")</f>
        <v>Sale chưa cung cấp</v>
      </c>
      <c r="G145" s="265" t="str">
        <f>IFERROR(__xludf.DUMMYFUNCTION("""COMPUTED_VALUE"""),"MSG")</f>
        <v>MSG</v>
      </c>
      <c r="H145" s="265" t="str">
        <f>IFERROR(__xludf.DUMMYFUNCTION("""COMPUTED_VALUE"""),"Trial")</f>
        <v>Trial</v>
      </c>
      <c r="I145" s="265" t="str">
        <f>IFERROR(__xludf.DUMMYFUNCTION("""COMPUTED_VALUE"""),"(Không recheck)")</f>
        <v>(Không recheck)</v>
      </c>
      <c r="J145" s="265" t="str">
        <f>IFERROR(__xludf.DUMMYFUNCTION("""COMPUTED_VALUE"""),"(Không recheck)")</f>
        <v>(Không recheck)</v>
      </c>
      <c r="K145" s="265" t="str">
        <f>IFERROR(__xludf.DUMMYFUNCTION("""COMPUTED_VALUE"""),"(Không recheck)")</f>
        <v>(Không recheck)</v>
      </c>
    </row>
    <row r="146">
      <c r="A146" s="265" t="str">
        <f>IFERROR(__xludf.DUMMYFUNCTION("""COMPUTED_VALUE"""),"467")</f>
        <v>467</v>
      </c>
      <c r="B146" s="265" t="str">
        <f>IFERROR(__xludf.DUMMYFUNCTION("""COMPUTED_VALUE"""),"Sài Gòn")</f>
        <v>Sài Gòn</v>
      </c>
      <c r="C146" s="265" t="str">
        <f>IFERROR(__xludf.DUMMYFUNCTION("""COMPUTED_VALUE"""),"Locked")</f>
        <v>Locked</v>
      </c>
      <c r="D146" s="265" t="str">
        <f>IFERROR(__xludf.DUMMYFUNCTION("""COMPUTED_VALUE"""),"Sale chưa cung cấp")</f>
        <v>Sale chưa cung cấp</v>
      </c>
      <c r="E146" s="265" t="str">
        <f>IFERROR(__xludf.DUMMYFUNCTION("""COMPUTED_VALUE"""),"HoaNTM")</f>
        <v>HoaNTM</v>
      </c>
      <c r="F146" s="265" t="str">
        <f>IFERROR(__xludf.DUMMYFUNCTION("""COMPUTED_VALUE"""),"Sale chưa cung cấp")</f>
        <v>Sale chưa cung cấp</v>
      </c>
      <c r="G146" s="265" t="str">
        <f>IFERROR(__xludf.DUMMYFUNCTION("""COMPUTED_VALUE"""),"Enterprise")</f>
        <v>Enterprise</v>
      </c>
      <c r="H146" s="265" t="str">
        <f>IFERROR(__xludf.DUMMYFUNCTION("""COMPUTED_VALUE"""),"(Chưa recheck)")</f>
        <v>(Chưa recheck)</v>
      </c>
      <c r="I146" s="265" t="str">
        <f>IFERROR(__xludf.DUMMYFUNCTION("""COMPUTED_VALUE"""),"(Chưa recheck)")</f>
        <v>(Chưa recheck)</v>
      </c>
      <c r="J146" s="265" t="str">
        <f>IFERROR(__xludf.DUMMYFUNCTION("""COMPUTED_VALUE"""),"(Chưa recheck)")</f>
        <v>(Chưa recheck)</v>
      </c>
      <c r="K146" s="265" t="str">
        <f>IFERROR(__xludf.DUMMYFUNCTION("""COMPUTED_VALUE"""),"AnhNM")</f>
        <v>AnhNM</v>
      </c>
    </row>
    <row r="147">
      <c r="A147" s="265" t="str">
        <f>IFERROR(__xludf.DUMMYFUNCTION("""COMPUTED_VALUE"""),"365")</f>
        <v>365</v>
      </c>
      <c r="B147" s="265" t="str">
        <f>IFERROR(__xludf.DUMMYFUNCTION("""COMPUTED_VALUE"""),"Đà Nẵng")</f>
        <v>Đà Nẵng</v>
      </c>
      <c r="C147" s="265" t="str">
        <f>IFERROR(__xludf.DUMMYFUNCTION("""COMPUTED_VALUE"""),"Locked")</f>
        <v>Locked</v>
      </c>
      <c r="D147" s="265" t="str">
        <f>IFERROR(__xludf.DUMMYFUNCTION("""COMPUTED_VALUE"""),"Sale chưa cung cấp")</f>
        <v>Sale chưa cung cấp</v>
      </c>
      <c r="E147" s="265" t="str">
        <f>IFERROR(__xludf.DUMMYFUNCTION("""COMPUTED_VALUE"""),"HoaNTM")</f>
        <v>HoaNTM</v>
      </c>
      <c r="F147" s="265" t="str">
        <f>IFERROR(__xludf.DUMMYFUNCTION("""COMPUTED_VALUE"""),"Bronze")</f>
        <v>Bronze</v>
      </c>
      <c r="G147" s="265" t="str">
        <f>IFERROR(__xludf.DUMMYFUNCTION("""COMPUTED_VALUE"""),"Enterprise")</f>
        <v>Enterprise</v>
      </c>
      <c r="H147" s="265" t="str">
        <f>IFERROR(__xludf.DUMMYFUNCTION("""COMPUTED_VALUE"""),"(Chưa recheck)")</f>
        <v>(Chưa recheck)</v>
      </c>
      <c r="I147" s="265" t="str">
        <f>IFERROR(__xludf.DUMMYFUNCTION("""COMPUTED_VALUE"""),"(Chưa recheck)")</f>
        <v>(Chưa recheck)</v>
      </c>
      <c r="J147" s="265" t="str">
        <f>IFERROR(__xludf.DUMMYFUNCTION("""COMPUTED_VALUE"""),"(Chưa recheck)")</f>
        <v>(Chưa recheck)</v>
      </c>
      <c r="K147" s="265" t="str">
        <f>IFERROR(__xludf.DUMMYFUNCTION("""COMPUTED_VALUE"""),"AnhNM")</f>
        <v>AnhNM</v>
      </c>
    </row>
    <row r="148">
      <c r="A148" s="265" t="str">
        <f>IFERROR(__xludf.DUMMYFUNCTION("""COMPUTED_VALUE"""),"470")</f>
        <v>470</v>
      </c>
      <c r="B148" s="265" t="str">
        <f>IFERROR(__xludf.DUMMYFUNCTION("""COMPUTED_VALUE"""),"Hà Nội")</f>
        <v>Hà Nội</v>
      </c>
      <c r="C148" s="265" t="str">
        <f>IFERROR(__xludf.DUMMYFUNCTION("""COMPUTED_VALUE"""),"Locked")</f>
        <v>Locked</v>
      </c>
      <c r="D148" s="265" t="str">
        <f>IFERROR(__xludf.DUMMYFUNCTION("""COMPUTED_VALUE"""),"Sale chưa cung cấp")</f>
        <v>Sale chưa cung cấp</v>
      </c>
      <c r="E148" s="265" t="str">
        <f>IFERROR(__xludf.DUMMYFUNCTION("""COMPUTED_VALUE"""),"HangNT")</f>
        <v>HangNT</v>
      </c>
      <c r="F148" s="265" t="str">
        <f>IFERROR(__xludf.DUMMYFUNCTION("""COMPUTED_VALUE"""),"Sale chưa cung cấp")</f>
        <v>Sale chưa cung cấp</v>
      </c>
      <c r="G148" s="265" t="str">
        <f>IFERROR(__xludf.DUMMYFUNCTION("""COMPUTED_VALUE"""),"API")</f>
        <v>API</v>
      </c>
      <c r="H148" s="265" t="str">
        <f>IFERROR(__xludf.DUMMYFUNCTION("""COMPUTED_VALUE"""),"Trả sau")</f>
        <v>Trả sau</v>
      </c>
      <c r="I148" s="265" t="str">
        <f>IFERROR(__xludf.DUMMYFUNCTION("""COMPUTED_VALUE"""),"(Chưa recheck)")</f>
        <v>(Chưa recheck)</v>
      </c>
      <c r="J148" s="265" t="str">
        <f>IFERROR(__xludf.DUMMYFUNCTION("""COMPUTED_VALUE"""),"(Chưa recheck)")</f>
        <v>(Chưa recheck)</v>
      </c>
      <c r="K148" s="265" t="str">
        <f>IFERROR(__xludf.DUMMYFUNCTION("""COMPUTED_VALUE"""),"(Chưa recheck)")</f>
        <v>(Chưa recheck)</v>
      </c>
    </row>
    <row r="149">
      <c r="A149" s="265" t="str">
        <f>IFERROR(__xludf.DUMMYFUNCTION("""COMPUTED_VALUE"""),"471")</f>
        <v>471</v>
      </c>
      <c r="B149" s="265" t="str">
        <f>IFERROR(__xludf.DUMMYFUNCTION("""COMPUTED_VALUE"""),"Hà Nội")</f>
        <v>Hà Nội</v>
      </c>
      <c r="C149" s="265" t="str">
        <f>IFERROR(__xludf.DUMMYFUNCTION("""COMPUTED_VALUE"""),"Locked")</f>
        <v>Locked</v>
      </c>
      <c r="D149" s="265" t="str">
        <f>IFERROR(__xludf.DUMMYFUNCTION("""COMPUTED_VALUE"""),"Sale chưa cung cấp")</f>
        <v>Sale chưa cung cấp</v>
      </c>
      <c r="E149" s="265" t="str">
        <f>IFERROR(__xludf.DUMMYFUNCTION("""COMPUTED_VALUE"""),"TrangHTT")</f>
        <v>TrangHTT</v>
      </c>
      <c r="F149" s="265" t="str">
        <f>IFERROR(__xludf.DUMMYFUNCTION("""COMPUTED_VALUE"""),"Sale chưa cung cấp")</f>
        <v>Sale chưa cung cấp</v>
      </c>
      <c r="G149" s="265" t="str">
        <f>IFERROR(__xludf.DUMMYFUNCTION("""COMPUTED_VALUE"""),"Enterprise")</f>
        <v>Enterprise</v>
      </c>
      <c r="H149" s="265" t="str">
        <f>IFERROR(__xludf.DUMMYFUNCTION("""COMPUTED_VALUE"""),"Trial")</f>
        <v>Trial</v>
      </c>
      <c r="I149" s="265" t="str">
        <f>IFERROR(__xludf.DUMMYFUNCTION("""COMPUTED_VALUE"""),"(Không recheck)")</f>
        <v>(Không recheck)</v>
      </c>
      <c r="J149" s="265" t="str">
        <f>IFERROR(__xludf.DUMMYFUNCTION("""COMPUTED_VALUE"""),"(Không recheck)")</f>
        <v>(Không recheck)</v>
      </c>
      <c r="K149" s="265" t="str">
        <f>IFERROR(__xludf.DUMMYFUNCTION("""COMPUTED_VALUE"""),"(Không recheck)")</f>
        <v>(Không recheck)</v>
      </c>
    </row>
    <row r="150">
      <c r="A150" s="265" t="str">
        <f>IFERROR(__xludf.DUMMYFUNCTION("""COMPUTED_VALUE"""),"477")</f>
        <v>477</v>
      </c>
      <c r="B150" s="265" t="str">
        <f>IFERROR(__xludf.DUMMYFUNCTION("""COMPUTED_VALUE"""),"Sài Gòn")</f>
        <v>Sài Gòn</v>
      </c>
      <c r="C150" s="265" t="str">
        <f>IFERROR(__xludf.DUMMYFUNCTION("""COMPUTED_VALUE"""),"Locked")</f>
        <v>Locked</v>
      </c>
      <c r="D150" s="265" t="str">
        <f>IFERROR(__xludf.DUMMYFUNCTION("""COMPUTED_VALUE"""),"Sale chưa cung cấp")</f>
        <v>Sale chưa cung cấp</v>
      </c>
      <c r="E150" s="265" t="str">
        <f>IFERROR(__xludf.DUMMYFUNCTION("""COMPUTED_VALUE"""),"HoaNTM")</f>
        <v>HoaNTM</v>
      </c>
      <c r="F150" s="265" t="str">
        <f>IFERROR(__xludf.DUMMYFUNCTION("""COMPUTED_VALUE"""),"Sale chưa cung cấp")</f>
        <v>Sale chưa cung cấp</v>
      </c>
      <c r="G150" s="265" t="str">
        <f>IFERROR(__xludf.DUMMYFUNCTION("""COMPUTED_VALUE"""),"MSG")</f>
        <v>MSG</v>
      </c>
      <c r="H150" s="265" t="str">
        <f>IFERROR(__xludf.DUMMYFUNCTION("""COMPUTED_VALUE"""),"(Chưa recheck)")</f>
        <v>(Chưa recheck)</v>
      </c>
      <c r="I150" s="265" t="str">
        <f>IFERROR(__xludf.DUMMYFUNCTION("""COMPUTED_VALUE"""),"(Chưa recheck)")</f>
        <v>(Chưa recheck)</v>
      </c>
      <c r="J150" s="265" t="str">
        <f>IFERROR(__xludf.DUMMYFUNCTION("""COMPUTED_VALUE"""),"(Chưa recheck)")</f>
        <v>(Chưa recheck)</v>
      </c>
      <c r="K150" s="265" t="str">
        <f>IFERROR(__xludf.DUMMYFUNCTION("""COMPUTED_VALUE"""),"AnhNM")</f>
        <v>AnhNM</v>
      </c>
    </row>
    <row r="151">
      <c r="A151" s="265" t="str">
        <f>IFERROR(__xludf.DUMMYFUNCTION("""COMPUTED_VALUE"""),"472")</f>
        <v>472</v>
      </c>
      <c r="B151" s="265" t="str">
        <f>IFERROR(__xludf.DUMMYFUNCTION("""COMPUTED_VALUE"""),"Sài Gòn")</f>
        <v>Sài Gòn</v>
      </c>
      <c r="C151" s="265" t="str">
        <f>IFERROR(__xludf.DUMMYFUNCTION("""COMPUTED_VALUE"""),"Active")</f>
        <v>Active</v>
      </c>
      <c r="D151" s="265" t="str">
        <f>IFERROR(__xludf.DUMMYFUNCTION("""COMPUTED_VALUE"""),"Sale chưa cung cấp")</f>
        <v>Sale chưa cung cấp</v>
      </c>
      <c r="E151" s="265" t="str">
        <f>IFERROR(__xludf.DUMMYFUNCTION("""COMPUTED_VALUE"""),"TùngLD")</f>
        <v>TùngLD</v>
      </c>
      <c r="F151" s="265" t="str">
        <f>IFERROR(__xludf.DUMMYFUNCTION("""COMPUTED_VALUE"""),"Diamond")</f>
        <v>Diamond</v>
      </c>
      <c r="G151" s="265" t="str">
        <f>IFERROR(__xludf.DUMMYFUNCTION("""COMPUTED_VALUE"""),"Enterprise")</f>
        <v>Enterprise</v>
      </c>
      <c r="H151" s="265" t="str">
        <f>IFERROR(__xludf.DUMMYFUNCTION("""COMPUTED_VALUE"""),"Trả sau")</f>
        <v>Trả sau</v>
      </c>
      <c r="I151" s="265" t="str">
        <f>IFERROR(__xludf.DUMMYFUNCTION("""COMPUTED_VALUE"""),"API &amp; Portal")</f>
        <v>API &amp; Portal</v>
      </c>
      <c r="J151" s="265" t="str">
        <f>IFERROR(__xludf.DUMMYFUNCTION("""COMPUTED_VALUE"""),"SMS CSKH")</f>
        <v>SMS CSKH</v>
      </c>
      <c r="K151" s="265" t="str">
        <f>IFERROR(__xludf.DUMMYFUNCTION("""COMPUTED_VALUE"""),"DungPL")</f>
        <v>DungPL</v>
      </c>
    </row>
    <row r="152">
      <c r="A152" s="265" t="str">
        <f>IFERROR(__xludf.DUMMYFUNCTION("""COMPUTED_VALUE"""),"472")</f>
        <v>472</v>
      </c>
      <c r="B152" s="265" t="str">
        <f>IFERROR(__xludf.DUMMYFUNCTION("""COMPUTED_VALUE"""),"Sài Gòn")</f>
        <v>Sài Gòn</v>
      </c>
      <c r="C152" s="265" t="str">
        <f>IFERROR(__xludf.DUMMYFUNCTION("""COMPUTED_VALUE"""),"Active")</f>
        <v>Active</v>
      </c>
      <c r="D152" s="265" t="str">
        <f>IFERROR(__xludf.DUMMYFUNCTION("""COMPUTED_VALUE"""),"Sale chưa cung cấp")</f>
        <v>Sale chưa cung cấp</v>
      </c>
      <c r="E152" s="265" t="str">
        <f>IFERROR(__xludf.DUMMYFUNCTION("""COMPUTED_VALUE"""),"TùngLD")</f>
        <v>TùngLD</v>
      </c>
      <c r="F152" s="265" t="str">
        <f>IFERROR(__xludf.DUMMYFUNCTION("""COMPUTED_VALUE"""),"Diamond")</f>
        <v>Diamond</v>
      </c>
      <c r="G152" s="265" t="str">
        <f>IFERROR(__xludf.DUMMYFUNCTION("""COMPUTED_VALUE"""),"Enterprise")</f>
        <v>Enterprise</v>
      </c>
      <c r="H152" s="265" t="str">
        <f>IFERROR(__xludf.DUMMYFUNCTION("""COMPUTED_VALUE"""),"Trả sau")</f>
        <v>Trả sau</v>
      </c>
      <c r="I152" s="265" t="str">
        <f>IFERROR(__xludf.DUMMYFUNCTION("""COMPUTED_VALUE"""),"API &amp; Portal")</f>
        <v>API &amp; Portal</v>
      </c>
      <c r="J152" s="265" t="str">
        <f>IFERROR(__xludf.DUMMYFUNCTION("""COMPUTED_VALUE"""),"SMS QC")</f>
        <v>SMS QC</v>
      </c>
      <c r="K152" s="265" t="str">
        <f>IFERROR(__xludf.DUMMYFUNCTION("""COMPUTED_VALUE"""),"DungPL")</f>
        <v>DungPL</v>
      </c>
    </row>
    <row r="153">
      <c r="A153" s="265" t="str">
        <f>IFERROR(__xludf.DUMMYFUNCTION("""COMPUTED_VALUE"""),"472")</f>
        <v>472</v>
      </c>
      <c r="B153" s="265" t="str">
        <f>IFERROR(__xludf.DUMMYFUNCTION("""COMPUTED_VALUE"""),"Sài Gòn")</f>
        <v>Sài Gòn</v>
      </c>
      <c r="C153" s="265" t="str">
        <f>IFERROR(__xludf.DUMMYFUNCTION("""COMPUTED_VALUE"""),"Active")</f>
        <v>Active</v>
      </c>
      <c r="D153" s="265" t="str">
        <f>IFERROR(__xludf.DUMMYFUNCTION("""COMPUTED_VALUE"""),"Sale chưa cung cấp")</f>
        <v>Sale chưa cung cấp</v>
      </c>
      <c r="E153" s="265" t="str">
        <f>IFERROR(__xludf.DUMMYFUNCTION("""COMPUTED_VALUE"""),"TùngLD")</f>
        <v>TùngLD</v>
      </c>
      <c r="F153" s="265" t="str">
        <f>IFERROR(__xludf.DUMMYFUNCTION("""COMPUTED_VALUE"""),"Diamond")</f>
        <v>Diamond</v>
      </c>
      <c r="G153" s="265" t="str">
        <f>IFERROR(__xludf.DUMMYFUNCTION("""COMPUTED_VALUE"""),"Enterprise")</f>
        <v>Enterprise</v>
      </c>
      <c r="H153" s="265" t="str">
        <f>IFERROR(__xludf.DUMMYFUNCTION("""COMPUTED_VALUE"""),"Trả sau")</f>
        <v>Trả sau</v>
      </c>
      <c r="I153" s="265" t="str">
        <f>IFERROR(__xludf.DUMMYFUNCTION("""COMPUTED_VALUE"""),"API &amp; Portal")</f>
        <v>API &amp; Portal</v>
      </c>
      <c r="J153" s="265" t="str">
        <f>IFERROR(__xludf.DUMMYFUNCTION("""COMPUTED_VALUE"""),"Zalo ZNS")</f>
        <v>Zalo ZNS</v>
      </c>
      <c r="K153" s="265" t="str">
        <f>IFERROR(__xludf.DUMMYFUNCTION("""COMPUTED_VALUE"""),"DungPL")</f>
        <v>DungPL</v>
      </c>
    </row>
    <row r="154">
      <c r="A154" s="265" t="str">
        <f>IFERROR(__xludf.DUMMYFUNCTION("""COMPUTED_VALUE"""),"472")</f>
        <v>472</v>
      </c>
      <c r="B154" s="265" t="str">
        <f>IFERROR(__xludf.DUMMYFUNCTION("""COMPUTED_VALUE"""),"Sài Gòn")</f>
        <v>Sài Gòn</v>
      </c>
      <c r="C154" s="265" t="str">
        <f>IFERROR(__xludf.DUMMYFUNCTION("""COMPUTED_VALUE"""),"Active")</f>
        <v>Active</v>
      </c>
      <c r="D154" s="265" t="str">
        <f>IFERROR(__xludf.DUMMYFUNCTION("""COMPUTED_VALUE"""),"Sale chưa cung cấp")</f>
        <v>Sale chưa cung cấp</v>
      </c>
      <c r="E154" s="265" t="str">
        <f>IFERROR(__xludf.DUMMYFUNCTION("""COMPUTED_VALUE"""),"TùngLD")</f>
        <v>TùngLD</v>
      </c>
      <c r="F154" s="265" t="str">
        <f>IFERROR(__xludf.DUMMYFUNCTION("""COMPUTED_VALUE"""),"Diamond")</f>
        <v>Diamond</v>
      </c>
      <c r="G154" s="265" t="str">
        <f>IFERROR(__xludf.DUMMYFUNCTION("""COMPUTED_VALUE"""),"Enterprise")</f>
        <v>Enterprise</v>
      </c>
      <c r="H154" s="265" t="str">
        <f>IFERROR(__xludf.DUMMYFUNCTION("""COMPUTED_VALUE"""),"Trả sau")</f>
        <v>Trả sau</v>
      </c>
      <c r="I154" s="265" t="str">
        <f>IFERROR(__xludf.DUMMYFUNCTION("""COMPUTED_VALUE"""),"API &amp; Portal")</f>
        <v>API &amp; Portal</v>
      </c>
      <c r="J154" s="265" t="str">
        <f>IFERROR(__xludf.DUMMYFUNCTION("""COMPUTED_VALUE"""),"Zalo UID")</f>
        <v>Zalo UID</v>
      </c>
      <c r="K154" s="265" t="str">
        <f>IFERROR(__xludf.DUMMYFUNCTION("""COMPUTED_VALUE"""),"DungPL")</f>
        <v>DungPL</v>
      </c>
    </row>
    <row r="155">
      <c r="A155" s="265" t="str">
        <f>IFERROR(__xludf.DUMMYFUNCTION("""COMPUTED_VALUE"""),"473")</f>
        <v>473</v>
      </c>
      <c r="B155" s="265" t="str">
        <f>IFERROR(__xludf.DUMMYFUNCTION("""COMPUTED_VALUE"""),"Sài Gòn")</f>
        <v>Sài Gòn</v>
      </c>
      <c r="C155" s="265" t="str">
        <f>IFERROR(__xludf.DUMMYFUNCTION("""COMPUTED_VALUE"""),"Locked")</f>
        <v>Locked</v>
      </c>
      <c r="D155" s="265" t="str">
        <f>IFERROR(__xludf.DUMMYFUNCTION("""COMPUTED_VALUE"""),"Sale chưa cung cấp")</f>
        <v>Sale chưa cung cấp</v>
      </c>
      <c r="E155" s="265" t="str">
        <f>IFERROR(__xludf.DUMMYFUNCTION("""COMPUTED_VALUE"""),"HoaNTM")</f>
        <v>HoaNTM</v>
      </c>
      <c r="F155" s="265" t="str">
        <f>IFERROR(__xludf.DUMMYFUNCTION("""COMPUTED_VALUE"""),"Sale chưa cung cấp")</f>
        <v>Sale chưa cung cấp</v>
      </c>
      <c r="G155" s="265" t="str">
        <f>IFERROR(__xludf.DUMMYFUNCTION("""COMPUTED_VALUE"""),"Enterprise")</f>
        <v>Enterprise</v>
      </c>
      <c r="H155" s="265" t="str">
        <f>IFERROR(__xludf.DUMMYFUNCTION("""COMPUTED_VALUE"""),"Trial")</f>
        <v>Trial</v>
      </c>
      <c r="I155" s="265" t="str">
        <f>IFERROR(__xludf.DUMMYFUNCTION("""COMPUTED_VALUE"""),"(Không recheck)")</f>
        <v>(Không recheck)</v>
      </c>
      <c r="J155" s="265" t="str">
        <f>IFERROR(__xludf.DUMMYFUNCTION("""COMPUTED_VALUE"""),"(Không recheck)")</f>
        <v>(Không recheck)</v>
      </c>
      <c r="K155" s="265" t="str">
        <f>IFERROR(__xludf.DUMMYFUNCTION("""COMPUTED_VALUE"""),"(Không recheck)")</f>
        <v>(Không recheck)</v>
      </c>
    </row>
    <row r="156">
      <c r="A156" s="265" t="str">
        <f>IFERROR(__xludf.DUMMYFUNCTION("""COMPUTED_VALUE"""),"474")</f>
        <v>474</v>
      </c>
      <c r="B156" s="265" t="str">
        <f>IFERROR(__xludf.DUMMYFUNCTION("""COMPUTED_VALUE"""),"Hà Nội")</f>
        <v>Hà Nội</v>
      </c>
      <c r="C156" s="265" t="str">
        <f>IFERROR(__xludf.DUMMYFUNCTION("""COMPUTED_VALUE"""),"Active")</f>
        <v>Active</v>
      </c>
      <c r="D156" s="265" t="str">
        <f>IFERROR(__xludf.DUMMYFUNCTION("""COMPUTED_VALUE"""),"Sale chưa cung cấp")</f>
        <v>Sale chưa cung cấp</v>
      </c>
      <c r="E156" s="265" t="str">
        <f>IFERROR(__xludf.DUMMYFUNCTION("""COMPUTED_VALUE"""),"TúPHN")</f>
        <v>TúPHN</v>
      </c>
      <c r="F156" s="265" t="str">
        <f>IFERROR(__xludf.DUMMYFUNCTION("""COMPUTED_VALUE"""),"Gold")</f>
        <v>Gold</v>
      </c>
      <c r="G156" s="265" t="str">
        <f>IFERROR(__xludf.DUMMYFUNCTION("""COMPUTED_VALUE"""),"Starter")</f>
        <v>Starter</v>
      </c>
      <c r="H156" s="265" t="str">
        <f>IFERROR(__xludf.DUMMYFUNCTION("""COMPUTED_VALUE"""),"Trả sau")</f>
        <v>Trả sau</v>
      </c>
      <c r="I156" s="265" t="str">
        <f>IFERROR(__xludf.DUMMYFUNCTION("""COMPUTED_VALUE"""),"API")</f>
        <v>API</v>
      </c>
      <c r="J156" s="265" t="str">
        <f>IFERROR(__xludf.DUMMYFUNCTION("""COMPUTED_VALUE"""),"SMS CSKH")</f>
        <v>SMS CSKH</v>
      </c>
      <c r="K156" s="265" t="str">
        <f>IFERROR(__xludf.DUMMYFUNCTION("""COMPUTED_VALUE"""),"DungPL")</f>
        <v>DungPL</v>
      </c>
    </row>
    <row r="157">
      <c r="A157" s="265" t="str">
        <f>IFERROR(__xludf.DUMMYFUNCTION("""COMPUTED_VALUE"""),"474")</f>
        <v>474</v>
      </c>
      <c r="B157" s="265" t="str">
        <f>IFERROR(__xludf.DUMMYFUNCTION("""COMPUTED_VALUE"""),"Hà Nội")</f>
        <v>Hà Nội</v>
      </c>
      <c r="C157" s="265" t="str">
        <f>IFERROR(__xludf.DUMMYFUNCTION("""COMPUTED_VALUE"""),"Active")</f>
        <v>Active</v>
      </c>
      <c r="D157" s="265" t="str">
        <f>IFERROR(__xludf.DUMMYFUNCTION("""COMPUTED_VALUE"""),"Sale chưa cung cấp")</f>
        <v>Sale chưa cung cấp</v>
      </c>
      <c r="E157" s="265" t="str">
        <f>IFERROR(__xludf.DUMMYFUNCTION("""COMPUTED_VALUE"""),"TúPHN")</f>
        <v>TúPHN</v>
      </c>
      <c r="F157" s="265" t="str">
        <f>IFERROR(__xludf.DUMMYFUNCTION("""COMPUTED_VALUE"""),"Gold")</f>
        <v>Gold</v>
      </c>
      <c r="G157" s="265" t="str">
        <f>IFERROR(__xludf.DUMMYFUNCTION("""COMPUTED_VALUE"""),"Starter")</f>
        <v>Starter</v>
      </c>
      <c r="H157" s="265" t="str">
        <f>IFERROR(__xludf.DUMMYFUNCTION("""COMPUTED_VALUE"""),"Trả sau")</f>
        <v>Trả sau</v>
      </c>
      <c r="I157" s="265" t="str">
        <f>IFERROR(__xludf.DUMMYFUNCTION("""COMPUTED_VALUE"""),"API")</f>
        <v>API</v>
      </c>
      <c r="J157" s="265" t="str">
        <f>IFERROR(__xludf.DUMMYFUNCTION("""COMPUTED_VALUE"""),"Zalo ZNS")</f>
        <v>Zalo ZNS</v>
      </c>
      <c r="K157" s="265" t="str">
        <f>IFERROR(__xludf.DUMMYFUNCTION("""COMPUTED_VALUE"""),"DungPL")</f>
        <v>DungPL</v>
      </c>
    </row>
    <row r="158">
      <c r="A158" s="265" t="str">
        <f>IFERROR(__xludf.DUMMYFUNCTION("""COMPUTED_VALUE"""),"476")</f>
        <v>476</v>
      </c>
      <c r="B158" s="265" t="str">
        <f>IFERROR(__xludf.DUMMYFUNCTION("""COMPUTED_VALUE"""),"Sài Gòn")</f>
        <v>Sài Gòn</v>
      </c>
      <c r="C158" s="265" t="str">
        <f>IFERROR(__xludf.DUMMYFUNCTION("""COMPUTED_VALUE"""),"Locked")</f>
        <v>Locked</v>
      </c>
      <c r="D158" s="265" t="str">
        <f>IFERROR(__xludf.DUMMYFUNCTION("""COMPUTED_VALUE"""),"Sale chưa cung cấp")</f>
        <v>Sale chưa cung cấp</v>
      </c>
      <c r="E158" s="265" t="str">
        <f>IFERROR(__xludf.DUMMYFUNCTION("""COMPUTED_VALUE"""),"HoaNTM")</f>
        <v>HoaNTM</v>
      </c>
      <c r="F158" s="265" t="str">
        <f>IFERROR(__xludf.DUMMYFUNCTION("""COMPUTED_VALUE"""),"Sale chưa cung cấp")</f>
        <v>Sale chưa cung cấp</v>
      </c>
      <c r="G158" s="265" t="str">
        <f>IFERROR(__xludf.DUMMYFUNCTION("""COMPUTED_VALUE"""),"MSG")</f>
        <v>MSG</v>
      </c>
      <c r="H158" s="265" t="str">
        <f>IFERROR(__xludf.DUMMYFUNCTION("""COMPUTED_VALUE"""),"(Chưa recheck)")</f>
        <v>(Chưa recheck)</v>
      </c>
      <c r="I158" s="265" t="str">
        <f>IFERROR(__xludf.DUMMYFUNCTION("""COMPUTED_VALUE"""),"(Chưa recheck)")</f>
        <v>(Chưa recheck)</v>
      </c>
      <c r="J158" s="265" t="str">
        <f>IFERROR(__xludf.DUMMYFUNCTION("""COMPUTED_VALUE"""),"(Chưa recheck)")</f>
        <v>(Chưa recheck)</v>
      </c>
      <c r="K158" s="265" t="str">
        <f>IFERROR(__xludf.DUMMYFUNCTION("""COMPUTED_VALUE"""),"AnhNM")</f>
        <v>AnhNM</v>
      </c>
    </row>
    <row r="159">
      <c r="A159" s="265" t="str">
        <f>IFERROR(__xludf.DUMMYFUNCTION("""COMPUTED_VALUE"""),"475")</f>
        <v>475</v>
      </c>
      <c r="B159" s="265" t="str">
        <f>IFERROR(__xludf.DUMMYFUNCTION("""COMPUTED_VALUE"""),"Sài Gòn")</f>
        <v>Sài Gòn</v>
      </c>
      <c r="C159" s="265" t="str">
        <f>IFERROR(__xludf.DUMMYFUNCTION("""COMPUTED_VALUE"""),"Locked")</f>
        <v>Locked</v>
      </c>
      <c r="D159" s="265" t="str">
        <f>IFERROR(__xludf.DUMMYFUNCTION("""COMPUTED_VALUE"""),"Sale chưa cung cấp")</f>
        <v>Sale chưa cung cấp</v>
      </c>
      <c r="E159" s="265" t="str">
        <f>IFERROR(__xludf.DUMMYFUNCTION("""COMPUTED_VALUE"""),"HoaNTM")</f>
        <v>HoaNTM</v>
      </c>
      <c r="F159" s="265" t="str">
        <f>IFERROR(__xludf.DUMMYFUNCTION("""COMPUTED_VALUE"""),"Sale chưa cung cấp")</f>
        <v>Sale chưa cung cấp</v>
      </c>
      <c r="G159" s="265" t="str">
        <f>IFERROR(__xludf.DUMMYFUNCTION("""COMPUTED_VALUE"""),"Enterprise")</f>
        <v>Enterprise</v>
      </c>
      <c r="H159" s="265" t="str">
        <f>IFERROR(__xludf.DUMMYFUNCTION("""COMPUTED_VALUE"""),"Trial")</f>
        <v>Trial</v>
      </c>
      <c r="I159" s="265" t="str">
        <f>IFERROR(__xludf.DUMMYFUNCTION("""COMPUTED_VALUE"""),"(Không recheck)")</f>
        <v>(Không recheck)</v>
      </c>
      <c r="J159" s="265" t="str">
        <f>IFERROR(__xludf.DUMMYFUNCTION("""COMPUTED_VALUE"""),"(Không recheck)")</f>
        <v>(Không recheck)</v>
      </c>
      <c r="K159" s="265" t="str">
        <f>IFERROR(__xludf.DUMMYFUNCTION("""COMPUTED_VALUE"""),"(Không recheck)")</f>
        <v>(Không recheck)</v>
      </c>
    </row>
    <row r="160">
      <c r="A160" s="265" t="str">
        <f>IFERROR(__xludf.DUMMYFUNCTION("""COMPUTED_VALUE"""),"479")</f>
        <v>479</v>
      </c>
      <c r="B160" s="265" t="str">
        <f>IFERROR(__xludf.DUMMYFUNCTION("""COMPUTED_VALUE"""),"Sài Gòn")</f>
        <v>Sài Gòn</v>
      </c>
      <c r="C160" s="265" t="str">
        <f>IFERROR(__xludf.DUMMYFUNCTION("""COMPUTED_VALUE"""),"Locked")</f>
        <v>Locked</v>
      </c>
      <c r="D160" s="265" t="str">
        <f>IFERROR(__xludf.DUMMYFUNCTION("""COMPUTED_VALUE"""),"Sale chưa cung cấp")</f>
        <v>Sale chưa cung cấp</v>
      </c>
      <c r="E160" s="265" t="str">
        <f>IFERROR(__xludf.DUMMYFUNCTION("""COMPUTED_VALUE"""),"HoaNTM")</f>
        <v>HoaNTM</v>
      </c>
      <c r="F160" s="265" t="str">
        <f>IFERROR(__xludf.DUMMYFUNCTION("""COMPUTED_VALUE"""),"Sale chưa cung cấp")</f>
        <v>Sale chưa cung cấp</v>
      </c>
      <c r="G160" s="265" t="str">
        <f>IFERROR(__xludf.DUMMYFUNCTION("""COMPUTED_VALUE"""),"Enterprise")</f>
        <v>Enterprise</v>
      </c>
      <c r="H160" s="265" t="str">
        <f>IFERROR(__xludf.DUMMYFUNCTION("""COMPUTED_VALUE"""),"(Chưa recheck)")</f>
        <v>(Chưa recheck)</v>
      </c>
      <c r="I160" s="265" t="str">
        <f>IFERROR(__xludf.DUMMYFUNCTION("""COMPUTED_VALUE"""),"(Chưa recheck)")</f>
        <v>(Chưa recheck)</v>
      </c>
      <c r="J160" s="265" t="str">
        <f>IFERROR(__xludf.DUMMYFUNCTION("""COMPUTED_VALUE"""),"(Chưa recheck)")</f>
        <v>(Chưa recheck)</v>
      </c>
      <c r="K160" s="265" t="str">
        <f>IFERROR(__xludf.DUMMYFUNCTION("""COMPUTED_VALUE"""),"AnhNM")</f>
        <v>AnhNM</v>
      </c>
    </row>
    <row r="161">
      <c r="A161" s="265" t="str">
        <f>IFERROR(__xludf.DUMMYFUNCTION("""COMPUTED_VALUE"""),"482")</f>
        <v>482</v>
      </c>
      <c r="B161" s="265" t="str">
        <f>IFERROR(__xludf.DUMMYFUNCTION("""COMPUTED_VALUE"""),"Hà Nội")</f>
        <v>Hà Nội</v>
      </c>
      <c r="C161" s="265" t="str">
        <f>IFERROR(__xludf.DUMMYFUNCTION("""COMPUTED_VALUE"""),"Locked")</f>
        <v>Locked</v>
      </c>
      <c r="D161" s="265" t="str">
        <f>IFERROR(__xludf.DUMMYFUNCTION("""COMPUTED_VALUE"""),"Sale chưa cung cấp")</f>
        <v>Sale chưa cung cấp</v>
      </c>
      <c r="E161" s="265" t="str">
        <f>IFERROR(__xludf.DUMMYFUNCTION("""COMPUTED_VALUE"""),"HangNT")</f>
        <v>HangNT</v>
      </c>
      <c r="F161" s="265" t="str">
        <f>IFERROR(__xludf.DUMMYFUNCTION("""COMPUTED_VALUE"""),"Bronze")</f>
        <v>Bronze</v>
      </c>
      <c r="G161" s="265" t="str">
        <f>IFERROR(__xludf.DUMMYFUNCTION("""COMPUTED_VALUE"""),"Enterprise")</f>
        <v>Enterprise</v>
      </c>
      <c r="H161" s="265" t="str">
        <f>IFERROR(__xludf.DUMMYFUNCTION("""COMPUTED_VALUE"""),"(Chưa recheck)")</f>
        <v>(Chưa recheck)</v>
      </c>
      <c r="I161" s="265" t="str">
        <f>IFERROR(__xludf.DUMMYFUNCTION("""COMPUTED_VALUE"""),"(Chưa recheck)")</f>
        <v>(Chưa recheck)</v>
      </c>
      <c r="J161" s="265" t="str">
        <f>IFERROR(__xludf.DUMMYFUNCTION("""COMPUTED_VALUE"""),"(Chưa recheck)")</f>
        <v>(Chưa recheck)</v>
      </c>
      <c r="K161" s="265" t="str">
        <f>IFERROR(__xludf.DUMMYFUNCTION("""COMPUTED_VALUE"""),"(Chưa recheck)")</f>
        <v>(Chưa recheck)</v>
      </c>
    </row>
    <row r="162">
      <c r="A162" s="265" t="str">
        <f>IFERROR(__xludf.DUMMYFUNCTION("""COMPUTED_VALUE"""),"480")</f>
        <v>480</v>
      </c>
      <c r="B162" s="265" t="str">
        <f>IFERROR(__xludf.DUMMYFUNCTION("""COMPUTED_VALUE"""),"Sài Gòn")</f>
        <v>Sài Gòn</v>
      </c>
      <c r="C162" s="265" t="str">
        <f>IFERROR(__xludf.DUMMYFUNCTION("""COMPUTED_VALUE"""),"Locked")</f>
        <v>Locked</v>
      </c>
      <c r="D162" s="265" t="str">
        <f>IFERROR(__xludf.DUMMYFUNCTION("""COMPUTED_VALUE"""),"Sale chưa cung cấp")</f>
        <v>Sale chưa cung cấp</v>
      </c>
      <c r="E162" s="265" t="str">
        <f>IFERROR(__xludf.DUMMYFUNCTION("""COMPUTED_VALUE"""),"HoaNTM")</f>
        <v>HoaNTM</v>
      </c>
      <c r="F162" s="265" t="str">
        <f>IFERROR(__xludf.DUMMYFUNCTION("""COMPUTED_VALUE"""),"Sale chưa cung cấp")</f>
        <v>Sale chưa cung cấp</v>
      </c>
      <c r="G162" s="265" t="str">
        <f>IFERROR(__xludf.DUMMYFUNCTION("""COMPUTED_VALUE"""),"MSG")</f>
        <v>MSG</v>
      </c>
      <c r="H162" s="265" t="str">
        <f>IFERROR(__xludf.DUMMYFUNCTION("""COMPUTED_VALUE"""),"(Chưa recheck)")</f>
        <v>(Chưa recheck)</v>
      </c>
      <c r="I162" s="265" t="str">
        <f>IFERROR(__xludf.DUMMYFUNCTION("""COMPUTED_VALUE"""),"(Chưa recheck)")</f>
        <v>(Chưa recheck)</v>
      </c>
      <c r="J162" s="265" t="str">
        <f>IFERROR(__xludf.DUMMYFUNCTION("""COMPUTED_VALUE"""),"(Chưa recheck)")</f>
        <v>(Chưa recheck)</v>
      </c>
      <c r="K162" s="265" t="str">
        <f>IFERROR(__xludf.DUMMYFUNCTION("""COMPUTED_VALUE"""),"AnhNM")</f>
        <v>AnhNM</v>
      </c>
    </row>
    <row r="163">
      <c r="A163" s="265" t="str">
        <f>IFERROR(__xludf.DUMMYFUNCTION("""COMPUTED_VALUE"""),"481")</f>
        <v>481</v>
      </c>
      <c r="B163" s="265" t="str">
        <f>IFERROR(__xludf.DUMMYFUNCTION("""COMPUTED_VALUE"""),"Sài Gòn")</f>
        <v>Sài Gòn</v>
      </c>
      <c r="C163" s="265" t="str">
        <f>IFERROR(__xludf.DUMMYFUNCTION("""COMPUTED_VALUE"""),"Locked")</f>
        <v>Locked</v>
      </c>
      <c r="D163" s="265" t="str">
        <f>IFERROR(__xludf.DUMMYFUNCTION("""COMPUTED_VALUE"""),"Sale chưa cung cấp")</f>
        <v>Sale chưa cung cấp</v>
      </c>
      <c r="E163" s="265" t="str">
        <f>IFERROR(__xludf.DUMMYFUNCTION("""COMPUTED_VALUE"""),"HoaNTM")</f>
        <v>HoaNTM</v>
      </c>
      <c r="F163" s="265" t="str">
        <f>IFERROR(__xludf.DUMMYFUNCTION("""COMPUTED_VALUE"""),"Sale chưa cung cấp")</f>
        <v>Sale chưa cung cấp</v>
      </c>
      <c r="G163" s="265" t="str">
        <f>IFERROR(__xludf.DUMMYFUNCTION("""COMPUTED_VALUE"""),"MSG")</f>
        <v>MSG</v>
      </c>
      <c r="H163" s="265" t="str">
        <f>IFERROR(__xludf.DUMMYFUNCTION("""COMPUTED_VALUE"""),"(Chưa recheck)")</f>
        <v>(Chưa recheck)</v>
      </c>
      <c r="I163" s="265" t="str">
        <f>IFERROR(__xludf.DUMMYFUNCTION("""COMPUTED_VALUE"""),"(Chưa recheck)")</f>
        <v>(Chưa recheck)</v>
      </c>
      <c r="J163" s="265" t="str">
        <f>IFERROR(__xludf.DUMMYFUNCTION("""COMPUTED_VALUE"""),"(Chưa recheck)")</f>
        <v>(Chưa recheck)</v>
      </c>
      <c r="K163" s="265" t="str">
        <f>IFERROR(__xludf.DUMMYFUNCTION("""COMPUTED_VALUE"""),"AnhNM")</f>
        <v>AnhNM</v>
      </c>
    </row>
    <row r="164">
      <c r="A164" s="265" t="str">
        <f>IFERROR(__xludf.DUMMYFUNCTION("""COMPUTED_VALUE"""),"483")</f>
        <v>483</v>
      </c>
      <c r="B164" s="265" t="str">
        <f>IFERROR(__xludf.DUMMYFUNCTION("""COMPUTED_VALUE"""),"Hà Nội")</f>
        <v>Hà Nội</v>
      </c>
      <c r="C164" s="265" t="str">
        <f>IFERROR(__xludf.DUMMYFUNCTION("""COMPUTED_VALUE"""),"Locked")</f>
        <v>Locked</v>
      </c>
      <c r="D164" s="265" t="str">
        <f>IFERROR(__xludf.DUMMYFUNCTION("""COMPUTED_VALUE"""),"Sale chưa cung cấp")</f>
        <v>Sale chưa cung cấp</v>
      </c>
      <c r="E164" s="265" t="str">
        <f>IFERROR(__xludf.DUMMYFUNCTION("""COMPUTED_VALUE"""),"TrangHTT")</f>
        <v>TrangHTT</v>
      </c>
      <c r="F164" s="265" t="str">
        <f>IFERROR(__xludf.DUMMYFUNCTION("""COMPUTED_VALUE"""),"Sale chưa cung cấp")</f>
        <v>Sale chưa cung cấp</v>
      </c>
      <c r="G164" s="265" t="str">
        <f>IFERROR(__xludf.DUMMYFUNCTION("""COMPUTED_VALUE"""),"Enterprise")</f>
        <v>Enterprise</v>
      </c>
      <c r="H164" s="265" t="str">
        <f>IFERROR(__xludf.DUMMYFUNCTION("""COMPUTED_VALUE"""),"Trial")</f>
        <v>Trial</v>
      </c>
      <c r="I164" s="265" t="str">
        <f>IFERROR(__xludf.DUMMYFUNCTION("""COMPUTED_VALUE"""),"(Không recheck)")</f>
        <v>(Không recheck)</v>
      </c>
      <c r="J164" s="265" t="str">
        <f>IFERROR(__xludf.DUMMYFUNCTION("""COMPUTED_VALUE"""),"(Không recheck)")</f>
        <v>(Không recheck)</v>
      </c>
      <c r="K164" s="265" t="str">
        <f>IFERROR(__xludf.DUMMYFUNCTION("""COMPUTED_VALUE"""),"(Không recheck)")</f>
        <v>(Không recheck)</v>
      </c>
    </row>
    <row r="165">
      <c r="A165" s="265" t="str">
        <f>IFERROR(__xludf.DUMMYFUNCTION("""COMPUTED_VALUE"""),"484")</f>
        <v>484</v>
      </c>
      <c r="B165" s="265" t="str">
        <f>IFERROR(__xludf.DUMMYFUNCTION("""COMPUTED_VALUE"""),"Hà Nội")</f>
        <v>Hà Nội</v>
      </c>
      <c r="C165" s="265" t="str">
        <f>IFERROR(__xludf.DUMMYFUNCTION("""COMPUTED_VALUE"""),"Locked")</f>
        <v>Locked</v>
      </c>
      <c r="D165" s="265" t="str">
        <f>IFERROR(__xludf.DUMMYFUNCTION("""COMPUTED_VALUE"""),"Sale chưa cung cấp")</f>
        <v>Sale chưa cung cấp</v>
      </c>
      <c r="E165" s="265" t="str">
        <f>IFERROR(__xludf.DUMMYFUNCTION("""COMPUTED_VALUE"""),"NamDT")</f>
        <v>NamDT</v>
      </c>
      <c r="F165" s="265" t="str">
        <f>IFERROR(__xludf.DUMMYFUNCTION("""COMPUTED_VALUE"""),"Sale chưa cung cấp")</f>
        <v>Sale chưa cung cấp</v>
      </c>
      <c r="G165" s="265" t="str">
        <f>IFERROR(__xludf.DUMMYFUNCTION("""COMPUTED_VALUE"""),"API")</f>
        <v>API</v>
      </c>
      <c r="H165" s="265" t="str">
        <f>IFERROR(__xludf.DUMMYFUNCTION("""COMPUTED_VALUE"""),"(Chưa recheck)")</f>
        <v>(Chưa recheck)</v>
      </c>
      <c r="I165" s="265" t="str">
        <f>IFERROR(__xludf.DUMMYFUNCTION("""COMPUTED_VALUE"""),"(Chưa recheck)")</f>
        <v>(Chưa recheck)</v>
      </c>
      <c r="J165" s="265" t="str">
        <f>IFERROR(__xludf.DUMMYFUNCTION("""COMPUTED_VALUE"""),"(Chưa recheck)")</f>
        <v>(Chưa recheck)</v>
      </c>
      <c r="K165" s="265" t="str">
        <f>IFERROR(__xludf.DUMMYFUNCTION("""COMPUTED_VALUE"""),"AnhNM")</f>
        <v>AnhNM</v>
      </c>
    </row>
    <row r="166">
      <c r="A166" s="265" t="str">
        <f>IFERROR(__xludf.DUMMYFUNCTION("""COMPUTED_VALUE"""),"486")</f>
        <v>486</v>
      </c>
      <c r="B166" s="265" t="str">
        <f>IFERROR(__xludf.DUMMYFUNCTION("""COMPUTED_VALUE"""),"Hà Nội")</f>
        <v>Hà Nội</v>
      </c>
      <c r="C166" s="265" t="str">
        <f>IFERROR(__xludf.DUMMYFUNCTION("""COMPUTED_VALUE"""),"Active")</f>
        <v>Active</v>
      </c>
      <c r="D166" s="265" t="str">
        <f>IFERROR(__xludf.DUMMYFUNCTION("""COMPUTED_VALUE"""),"Công nghệ &amp; Phần mềm")</f>
        <v>Công nghệ &amp; Phần mềm</v>
      </c>
      <c r="E166" s="265" t="str">
        <f>IFERROR(__xludf.DUMMYFUNCTION("""COMPUTED_VALUE"""),"TúPHN")</f>
        <v>TúPHN</v>
      </c>
      <c r="F166" s="265" t="str">
        <f>IFERROR(__xludf.DUMMYFUNCTION("""COMPUTED_VALUE"""),"Gold")</f>
        <v>Gold</v>
      </c>
      <c r="G166" s="265" t="str">
        <f>IFERROR(__xludf.DUMMYFUNCTION("""COMPUTED_VALUE"""),"Starter")</f>
        <v>Starter</v>
      </c>
      <c r="H166" s="265" t="str">
        <f>IFERROR(__xludf.DUMMYFUNCTION("""COMPUTED_VALUE"""),"Trả trước")</f>
        <v>Trả trước</v>
      </c>
      <c r="I166" s="265" t="str">
        <f>IFERROR(__xludf.DUMMYFUNCTION("""COMPUTED_VALUE"""),"API")</f>
        <v>API</v>
      </c>
      <c r="J166" s="265" t="str">
        <f>IFERROR(__xludf.DUMMYFUNCTION("""COMPUTED_VALUE"""),"Zalo ZNS")</f>
        <v>Zalo ZNS</v>
      </c>
      <c r="K166" s="265" t="str">
        <f>IFERROR(__xludf.DUMMYFUNCTION("""COMPUTED_VALUE"""),"DungPL")</f>
        <v>DungPL</v>
      </c>
    </row>
    <row r="167">
      <c r="A167" s="265" t="str">
        <f>IFERROR(__xludf.DUMMYFUNCTION("""COMPUTED_VALUE"""),"485")</f>
        <v>485</v>
      </c>
      <c r="B167" s="265" t="str">
        <f>IFERROR(__xludf.DUMMYFUNCTION("""COMPUTED_VALUE"""),"Hà Nội")</f>
        <v>Hà Nội</v>
      </c>
      <c r="C167" s="265" t="str">
        <f>IFERROR(__xludf.DUMMYFUNCTION("""COMPUTED_VALUE"""),"Locked")</f>
        <v>Locked</v>
      </c>
      <c r="D167" s="265" t="str">
        <f>IFERROR(__xludf.DUMMYFUNCTION("""COMPUTED_VALUE"""),"Sale chưa cung cấp")</f>
        <v>Sale chưa cung cấp</v>
      </c>
      <c r="E167" s="265" t="str">
        <f>IFERROR(__xludf.DUMMYFUNCTION("""COMPUTED_VALUE"""),"PhươngDTB")</f>
        <v>PhươngDTB</v>
      </c>
      <c r="F167" s="265" t="str">
        <f>IFERROR(__xludf.DUMMYFUNCTION("""COMPUTED_VALUE"""),"Sale chưa cung cấp")</f>
        <v>Sale chưa cung cấp</v>
      </c>
      <c r="G167" s="265" t="str">
        <f>IFERROR(__xludf.DUMMYFUNCTION("""COMPUTED_VALUE"""),"Enterprise")</f>
        <v>Enterprise</v>
      </c>
      <c r="H167" s="265" t="str">
        <f>IFERROR(__xludf.DUMMYFUNCTION("""COMPUTED_VALUE"""),"Trial")</f>
        <v>Trial</v>
      </c>
      <c r="I167" s="265" t="str">
        <f>IFERROR(__xludf.DUMMYFUNCTION("""COMPUTED_VALUE"""),"(Không recheck)")</f>
        <v>(Không recheck)</v>
      </c>
      <c r="J167" s="265" t="str">
        <f>IFERROR(__xludf.DUMMYFUNCTION("""COMPUTED_VALUE"""),"(Không recheck)")</f>
        <v>(Không recheck)</v>
      </c>
      <c r="K167" s="265" t="str">
        <f>IFERROR(__xludf.DUMMYFUNCTION("""COMPUTED_VALUE"""),"(Không recheck)")</f>
        <v>(Không recheck)</v>
      </c>
    </row>
    <row r="168">
      <c r="A168" s="265" t="str">
        <f>IFERROR(__xludf.DUMMYFUNCTION("""COMPUTED_VALUE"""),"487")</f>
        <v>487</v>
      </c>
      <c r="B168" s="265" t="str">
        <f>IFERROR(__xludf.DUMMYFUNCTION("""COMPUTED_VALUE"""),"Hà Nội")</f>
        <v>Hà Nội</v>
      </c>
      <c r="C168" s="265" t="str">
        <f>IFERROR(__xludf.DUMMYFUNCTION("""COMPUTED_VALUE"""),"Locked")</f>
        <v>Locked</v>
      </c>
      <c r="D168" s="265" t="str">
        <f>IFERROR(__xludf.DUMMYFUNCTION("""COMPUTED_VALUE"""),"Sale chưa cung cấp")</f>
        <v>Sale chưa cung cấp</v>
      </c>
      <c r="E168" s="265" t="str">
        <f>IFERROR(__xludf.DUMMYFUNCTION("""COMPUTED_VALUE"""),"NamDT")</f>
        <v>NamDT</v>
      </c>
      <c r="F168" s="265" t="str">
        <f>IFERROR(__xludf.DUMMYFUNCTION("""COMPUTED_VALUE"""),"Silver")</f>
        <v>Silver</v>
      </c>
      <c r="G168" s="265" t="str">
        <f>IFERROR(__xludf.DUMMYFUNCTION("""COMPUTED_VALUE"""),"Enterprise")</f>
        <v>Enterprise</v>
      </c>
      <c r="H168" s="265" t="str">
        <f>IFERROR(__xludf.DUMMYFUNCTION("""COMPUTED_VALUE"""),"(Chưa recheck)")</f>
        <v>(Chưa recheck)</v>
      </c>
      <c r="I168" s="265" t="str">
        <f>IFERROR(__xludf.DUMMYFUNCTION("""COMPUTED_VALUE"""),"(Chưa recheck)")</f>
        <v>(Chưa recheck)</v>
      </c>
      <c r="J168" s="265" t="str">
        <f>IFERROR(__xludf.DUMMYFUNCTION("""COMPUTED_VALUE"""),"Tất cả")</f>
        <v>Tất cả</v>
      </c>
      <c r="K168" s="265" t="str">
        <f>IFERROR(__xludf.DUMMYFUNCTION("""COMPUTED_VALUE"""),"AnhNM")</f>
        <v>AnhNM</v>
      </c>
    </row>
    <row r="169">
      <c r="A169" s="265" t="str">
        <f>IFERROR(__xludf.DUMMYFUNCTION("""COMPUTED_VALUE"""),"488")</f>
        <v>488</v>
      </c>
      <c r="B169" s="265" t="str">
        <f>IFERROR(__xludf.DUMMYFUNCTION("""COMPUTED_VALUE"""),"Sài Gòn")</f>
        <v>Sài Gòn</v>
      </c>
      <c r="C169" s="265" t="str">
        <f>IFERROR(__xludf.DUMMYFUNCTION("""COMPUTED_VALUE"""),"Locked")</f>
        <v>Locked</v>
      </c>
      <c r="D169" s="265" t="str">
        <f>IFERROR(__xludf.DUMMYFUNCTION("""COMPUTED_VALUE"""),"Sale chưa cung cấp")</f>
        <v>Sale chưa cung cấp</v>
      </c>
      <c r="E169" s="265" t="str">
        <f>IFERROR(__xludf.DUMMYFUNCTION("""COMPUTED_VALUE"""),"HoaNTM")</f>
        <v>HoaNTM</v>
      </c>
      <c r="F169" s="265" t="str">
        <f>IFERROR(__xludf.DUMMYFUNCTION("""COMPUTED_VALUE"""),"Sale chưa cung cấp")</f>
        <v>Sale chưa cung cấp</v>
      </c>
      <c r="G169" s="265" t="str">
        <f>IFERROR(__xludf.DUMMYFUNCTION("""COMPUTED_VALUE"""),"MSG")</f>
        <v>MSG</v>
      </c>
      <c r="H169" s="265" t="str">
        <f>IFERROR(__xludf.DUMMYFUNCTION("""COMPUTED_VALUE"""),"Trial")</f>
        <v>Trial</v>
      </c>
      <c r="I169" s="265" t="str">
        <f>IFERROR(__xludf.DUMMYFUNCTION("""COMPUTED_VALUE"""),"(Không recheck)")</f>
        <v>(Không recheck)</v>
      </c>
      <c r="J169" s="265" t="str">
        <f>IFERROR(__xludf.DUMMYFUNCTION("""COMPUTED_VALUE"""),"(Không recheck)")</f>
        <v>(Không recheck)</v>
      </c>
      <c r="K169" s="265" t="str">
        <f>IFERROR(__xludf.DUMMYFUNCTION("""COMPUTED_VALUE"""),"DungPL")</f>
        <v>DungPL</v>
      </c>
    </row>
    <row r="170">
      <c r="A170" s="265" t="str">
        <f>IFERROR(__xludf.DUMMYFUNCTION("""COMPUTED_VALUE"""),"489")</f>
        <v>489</v>
      </c>
      <c r="B170" s="265" t="str">
        <f>IFERROR(__xludf.DUMMYFUNCTION("""COMPUTED_VALUE"""),"Sài Gòn")</f>
        <v>Sài Gòn</v>
      </c>
      <c r="C170" s="265" t="str">
        <f>IFERROR(__xludf.DUMMYFUNCTION("""COMPUTED_VALUE"""),"Locked")</f>
        <v>Locked</v>
      </c>
      <c r="D170" s="265" t="str">
        <f>IFERROR(__xludf.DUMMYFUNCTION("""COMPUTED_VALUE"""),"Sale chưa cung cấp")</f>
        <v>Sale chưa cung cấp</v>
      </c>
      <c r="E170" s="265" t="str">
        <f>IFERROR(__xludf.DUMMYFUNCTION("""COMPUTED_VALUE"""),"HoaNTM")</f>
        <v>HoaNTM</v>
      </c>
      <c r="F170" s="265" t="str">
        <f>IFERROR(__xludf.DUMMYFUNCTION("""COMPUTED_VALUE"""),"Sale chưa cung cấp")</f>
        <v>Sale chưa cung cấp</v>
      </c>
      <c r="G170" s="265" t="str">
        <f>IFERROR(__xludf.DUMMYFUNCTION("""COMPUTED_VALUE"""),"Enterprise")</f>
        <v>Enterprise</v>
      </c>
      <c r="H170" s="265" t="str">
        <f>IFERROR(__xludf.DUMMYFUNCTION("""COMPUTED_VALUE"""),"Trial")</f>
        <v>Trial</v>
      </c>
      <c r="I170" s="265" t="str">
        <f>IFERROR(__xludf.DUMMYFUNCTION("""COMPUTED_VALUE"""),"(Không recheck)")</f>
        <v>(Không recheck)</v>
      </c>
      <c r="J170" s="265" t="str">
        <f>IFERROR(__xludf.DUMMYFUNCTION("""COMPUTED_VALUE"""),"(Không recheck)")</f>
        <v>(Không recheck)</v>
      </c>
      <c r="K170" s="265" t="str">
        <f>IFERROR(__xludf.DUMMYFUNCTION("""COMPUTED_VALUE"""),"(Không recheck)")</f>
        <v>(Không recheck)</v>
      </c>
    </row>
    <row r="171">
      <c r="A171" s="265" t="str">
        <f>IFERROR(__xludf.DUMMYFUNCTION("""COMPUTED_VALUE"""),"490")</f>
        <v>490</v>
      </c>
      <c r="B171" s="265" t="str">
        <f>IFERROR(__xludf.DUMMYFUNCTION("""COMPUTED_VALUE"""),"Hà Nội")</f>
        <v>Hà Nội</v>
      </c>
      <c r="C171" s="265" t="str">
        <f>IFERROR(__xludf.DUMMYFUNCTION("""COMPUTED_VALUE"""),"Locked")</f>
        <v>Locked</v>
      </c>
      <c r="D171" s="265" t="str">
        <f>IFERROR(__xludf.DUMMYFUNCTION("""COMPUTED_VALUE"""),"Sale chưa cung cấp")</f>
        <v>Sale chưa cung cấp</v>
      </c>
      <c r="E171" s="265" t="str">
        <f>IFERROR(__xludf.DUMMYFUNCTION("""COMPUTED_VALUE"""),"TúPHN")</f>
        <v>TúPHN</v>
      </c>
      <c r="F171" s="265" t="str">
        <f>IFERROR(__xludf.DUMMYFUNCTION("""COMPUTED_VALUE"""),"Silver")</f>
        <v>Silver</v>
      </c>
      <c r="G171" s="265" t="str">
        <f>IFERROR(__xludf.DUMMYFUNCTION("""COMPUTED_VALUE"""),"Enterprise")</f>
        <v>Enterprise</v>
      </c>
      <c r="H171" s="265" t="str">
        <f>IFERROR(__xludf.DUMMYFUNCTION("""COMPUTED_VALUE"""),"(Chưa recheck)")</f>
        <v>(Chưa recheck)</v>
      </c>
      <c r="I171" s="265" t="str">
        <f>IFERROR(__xludf.DUMMYFUNCTION("""COMPUTED_VALUE"""),"(Chưa recheck)")</f>
        <v>(Chưa recheck)</v>
      </c>
      <c r="J171" s="265" t="str">
        <f>IFERROR(__xludf.DUMMYFUNCTION("""COMPUTED_VALUE"""),"(Chưa recheck)")</f>
        <v>(Chưa recheck)</v>
      </c>
      <c r="K171" s="265" t="str">
        <f>IFERROR(__xludf.DUMMYFUNCTION("""COMPUTED_VALUE"""),"AnhNM")</f>
        <v>AnhNM</v>
      </c>
    </row>
    <row r="172">
      <c r="A172" s="265" t="str">
        <f>IFERROR(__xludf.DUMMYFUNCTION("""COMPUTED_VALUE"""),"491")</f>
        <v>491</v>
      </c>
      <c r="B172" s="265" t="str">
        <f>IFERROR(__xludf.DUMMYFUNCTION("""COMPUTED_VALUE"""),"Hà Nội")</f>
        <v>Hà Nội</v>
      </c>
      <c r="C172" s="265" t="str">
        <f>IFERROR(__xludf.DUMMYFUNCTION("""COMPUTED_VALUE"""),"Locked")</f>
        <v>Locked</v>
      </c>
      <c r="D172" s="265" t="str">
        <f>IFERROR(__xludf.DUMMYFUNCTION("""COMPUTED_VALUE"""),"Sale chưa cung cấp")</f>
        <v>Sale chưa cung cấp</v>
      </c>
      <c r="E172" s="265" t="str">
        <f>IFERROR(__xludf.DUMMYFUNCTION("""COMPUTED_VALUE"""),"(Không recheck)")</f>
        <v>(Không recheck)</v>
      </c>
      <c r="F172" s="265" t="str">
        <f>IFERROR(__xludf.DUMMYFUNCTION("""COMPUTED_VALUE"""),"Sale chưa cung cấp")</f>
        <v>Sale chưa cung cấp</v>
      </c>
      <c r="G172" s="265" t="str">
        <f>IFERROR(__xludf.DUMMYFUNCTION("""COMPUTED_VALUE"""),"API")</f>
        <v>API</v>
      </c>
      <c r="H172" s="265" t="str">
        <f>IFERROR(__xludf.DUMMYFUNCTION("""COMPUTED_VALUE"""),"Trial")</f>
        <v>Trial</v>
      </c>
      <c r="I172" s="265" t="str">
        <f>IFERROR(__xludf.DUMMYFUNCTION("""COMPUTED_VALUE"""),"(Không recheck)")</f>
        <v>(Không recheck)</v>
      </c>
      <c r="J172" s="265" t="str">
        <f>IFERROR(__xludf.DUMMYFUNCTION("""COMPUTED_VALUE"""),"(Không recheck)")</f>
        <v>(Không recheck)</v>
      </c>
      <c r="K172" s="265" t="str">
        <f>IFERROR(__xludf.DUMMYFUNCTION("""COMPUTED_VALUE"""),"AnhNM")</f>
        <v>AnhNM</v>
      </c>
    </row>
    <row r="173">
      <c r="A173" s="265" t="str">
        <f>IFERROR(__xludf.DUMMYFUNCTION("""COMPUTED_VALUE"""),"492")</f>
        <v>492</v>
      </c>
      <c r="B173" s="265" t="str">
        <f>IFERROR(__xludf.DUMMYFUNCTION("""COMPUTED_VALUE"""),"Sài Gòn")</f>
        <v>Sài Gòn</v>
      </c>
      <c r="C173" s="265" t="str">
        <f>IFERROR(__xludf.DUMMYFUNCTION("""COMPUTED_VALUE"""),"Locked")</f>
        <v>Locked</v>
      </c>
      <c r="D173" s="265" t="str">
        <f>IFERROR(__xludf.DUMMYFUNCTION("""COMPUTED_VALUE"""),"Sale chưa cung cấp")</f>
        <v>Sale chưa cung cấp</v>
      </c>
      <c r="E173" s="265" t="str">
        <f>IFERROR(__xludf.DUMMYFUNCTION("""COMPUTED_VALUE"""),"HoaNTM")</f>
        <v>HoaNTM</v>
      </c>
      <c r="F173" s="265" t="str">
        <f>IFERROR(__xludf.DUMMYFUNCTION("""COMPUTED_VALUE"""),"Sale chưa cung cấp")</f>
        <v>Sale chưa cung cấp</v>
      </c>
      <c r="G173" s="265" t="str">
        <f>IFERROR(__xludf.DUMMYFUNCTION("""COMPUTED_VALUE"""),"MSG")</f>
        <v>MSG</v>
      </c>
      <c r="H173" s="265" t="str">
        <f>IFERROR(__xludf.DUMMYFUNCTION("""COMPUTED_VALUE"""),"(Chưa recheck)")</f>
        <v>(Chưa recheck)</v>
      </c>
      <c r="I173" s="265" t="str">
        <f>IFERROR(__xludf.DUMMYFUNCTION("""COMPUTED_VALUE"""),"(Chưa recheck)")</f>
        <v>(Chưa recheck)</v>
      </c>
      <c r="J173" s="265" t="str">
        <f>IFERROR(__xludf.DUMMYFUNCTION("""COMPUTED_VALUE"""),"(Chưa recheck)")</f>
        <v>(Chưa recheck)</v>
      </c>
      <c r="K173" s="265" t="str">
        <f>IFERROR(__xludf.DUMMYFUNCTION("""COMPUTED_VALUE"""),"AnhNM")</f>
        <v>AnhNM</v>
      </c>
    </row>
    <row r="174">
      <c r="A174" s="265" t="str">
        <f>IFERROR(__xludf.DUMMYFUNCTION("""COMPUTED_VALUE"""),"494")</f>
        <v>494</v>
      </c>
      <c r="B174" s="265" t="str">
        <f>IFERROR(__xludf.DUMMYFUNCTION("""COMPUTED_VALUE"""),"Sài Gòn")</f>
        <v>Sài Gòn</v>
      </c>
      <c r="C174" s="265" t="str">
        <f>IFERROR(__xludf.DUMMYFUNCTION("""COMPUTED_VALUE"""),"Locked")</f>
        <v>Locked</v>
      </c>
      <c r="D174" s="265" t="str">
        <f>IFERROR(__xludf.DUMMYFUNCTION("""COMPUTED_VALUE"""),"Sale chưa cung cấp")</f>
        <v>Sale chưa cung cấp</v>
      </c>
      <c r="E174" s="265" t="str">
        <f>IFERROR(__xludf.DUMMYFUNCTION("""COMPUTED_VALUE"""),"HoaNTM")</f>
        <v>HoaNTM</v>
      </c>
      <c r="F174" s="265" t="str">
        <f>IFERROR(__xludf.DUMMYFUNCTION("""COMPUTED_VALUE"""),"Diamond")</f>
        <v>Diamond</v>
      </c>
      <c r="G174" s="265" t="str">
        <f>IFERROR(__xludf.DUMMYFUNCTION("""COMPUTED_VALUE"""),"API")</f>
        <v>API</v>
      </c>
      <c r="H174" s="265" t="str">
        <f>IFERROR(__xludf.DUMMYFUNCTION("""COMPUTED_VALUE"""),"Trả sau")</f>
        <v>Trả sau</v>
      </c>
      <c r="I174" s="265" t="str">
        <f>IFERROR(__xludf.DUMMYFUNCTION("""COMPUTED_VALUE"""),"(Chưa recheck)")</f>
        <v>(Chưa recheck)</v>
      </c>
      <c r="J174" s="265" t="str">
        <f>IFERROR(__xludf.DUMMYFUNCTION("""COMPUTED_VALUE"""),"(Chưa recheck)")</f>
        <v>(Chưa recheck)</v>
      </c>
      <c r="K174" s="265" t="str">
        <f>IFERROR(__xludf.DUMMYFUNCTION("""COMPUTED_VALUE"""),"(Chưa recheck)")</f>
        <v>(Chưa recheck)</v>
      </c>
    </row>
    <row r="175">
      <c r="A175" s="265" t="str">
        <f>IFERROR(__xludf.DUMMYFUNCTION("""COMPUTED_VALUE"""),"493")</f>
        <v>493</v>
      </c>
      <c r="B175" s="265" t="str">
        <f>IFERROR(__xludf.DUMMYFUNCTION("""COMPUTED_VALUE"""),"Sài Gòn")</f>
        <v>Sài Gòn</v>
      </c>
      <c r="C175" s="265" t="str">
        <f>IFERROR(__xludf.DUMMYFUNCTION("""COMPUTED_VALUE"""),"Locked")</f>
        <v>Locked</v>
      </c>
      <c r="D175" s="265" t="str">
        <f>IFERROR(__xludf.DUMMYFUNCTION("""COMPUTED_VALUE"""),"Sale chưa cung cấp")</f>
        <v>Sale chưa cung cấp</v>
      </c>
      <c r="E175" s="265" t="str">
        <f>IFERROR(__xludf.DUMMYFUNCTION("""COMPUTED_VALUE"""),"HoaNTM")</f>
        <v>HoaNTM</v>
      </c>
      <c r="F175" s="265" t="str">
        <f>IFERROR(__xludf.DUMMYFUNCTION("""COMPUTED_VALUE"""),"Sale chưa cung cấp")</f>
        <v>Sale chưa cung cấp</v>
      </c>
      <c r="G175" s="265" t="str">
        <f>IFERROR(__xludf.DUMMYFUNCTION("""COMPUTED_VALUE"""),"Enterprise")</f>
        <v>Enterprise</v>
      </c>
      <c r="H175" s="265" t="str">
        <f>IFERROR(__xludf.DUMMYFUNCTION("""COMPUTED_VALUE"""),"Trial")</f>
        <v>Trial</v>
      </c>
      <c r="I175" s="265" t="str">
        <f>IFERROR(__xludf.DUMMYFUNCTION("""COMPUTED_VALUE"""),"(Không recheck)")</f>
        <v>(Không recheck)</v>
      </c>
      <c r="J175" s="265" t="str">
        <f>IFERROR(__xludf.DUMMYFUNCTION("""COMPUTED_VALUE"""),"(Không recheck)")</f>
        <v>(Không recheck)</v>
      </c>
      <c r="K175" s="265" t="str">
        <f>IFERROR(__xludf.DUMMYFUNCTION("""COMPUTED_VALUE"""),"(Không recheck)")</f>
        <v>(Không recheck)</v>
      </c>
    </row>
    <row r="176">
      <c r="A176" s="265" t="str">
        <f>IFERROR(__xludf.DUMMYFUNCTION("""COMPUTED_VALUE"""),"496")</f>
        <v>496</v>
      </c>
      <c r="B176" s="265" t="str">
        <f>IFERROR(__xludf.DUMMYFUNCTION("""COMPUTED_VALUE"""),"Hà Nội")</f>
        <v>Hà Nội</v>
      </c>
      <c r="C176" s="265" t="str">
        <f>IFERROR(__xludf.DUMMYFUNCTION("""COMPUTED_VALUE"""),"Locked")</f>
        <v>Locked</v>
      </c>
      <c r="D176" s="265" t="str">
        <f>IFERROR(__xludf.DUMMYFUNCTION("""COMPUTED_VALUE"""),"Sale chưa cung cấp")</f>
        <v>Sale chưa cung cấp</v>
      </c>
      <c r="E176" s="265" t="str">
        <f>IFERROR(__xludf.DUMMYFUNCTION("""COMPUTED_VALUE"""),"PhươngDTB")</f>
        <v>PhươngDTB</v>
      </c>
      <c r="F176" s="265" t="str">
        <f>IFERROR(__xludf.DUMMYFUNCTION("""COMPUTED_VALUE"""),"Sale chưa cung cấp")</f>
        <v>Sale chưa cung cấp</v>
      </c>
      <c r="G176" s="265" t="str">
        <f>IFERROR(__xludf.DUMMYFUNCTION("""COMPUTED_VALUE"""),"Enterprise")</f>
        <v>Enterprise</v>
      </c>
      <c r="H176" s="265" t="str">
        <f>IFERROR(__xludf.DUMMYFUNCTION("""COMPUTED_VALUE"""),"Trial")</f>
        <v>Trial</v>
      </c>
      <c r="I176" s="265" t="str">
        <f>IFERROR(__xludf.DUMMYFUNCTION("""COMPUTED_VALUE"""),"(Không recheck)")</f>
        <v>(Không recheck)</v>
      </c>
      <c r="J176" s="265" t="str">
        <f>IFERROR(__xludf.DUMMYFUNCTION("""COMPUTED_VALUE"""),"(Không recheck)")</f>
        <v>(Không recheck)</v>
      </c>
      <c r="K176" s="265" t="str">
        <f>IFERROR(__xludf.DUMMYFUNCTION("""COMPUTED_VALUE"""),"(Không recheck)")</f>
        <v>(Không recheck)</v>
      </c>
    </row>
    <row r="177">
      <c r="A177" s="265" t="str">
        <f>IFERROR(__xludf.DUMMYFUNCTION("""COMPUTED_VALUE"""),"495")</f>
        <v>495</v>
      </c>
      <c r="B177" s="265" t="str">
        <f>IFERROR(__xludf.DUMMYFUNCTION("""COMPUTED_VALUE"""),"Sài Gòn")</f>
        <v>Sài Gòn</v>
      </c>
      <c r="C177" s="265" t="str">
        <f>IFERROR(__xludf.DUMMYFUNCTION("""COMPUTED_VALUE"""),"Active")</f>
        <v>Active</v>
      </c>
      <c r="D177" s="265" t="str">
        <f>IFERROR(__xludf.DUMMYFUNCTION("""COMPUTED_VALUE"""),"Sale chưa cung cấp")</f>
        <v>Sale chưa cung cấp</v>
      </c>
      <c r="E177" s="265" t="str">
        <f>IFERROR(__xludf.DUMMYFUNCTION("""COMPUTED_VALUE"""),"TùngLD")</f>
        <v>TùngLD</v>
      </c>
      <c r="F177" s="265" t="str">
        <f>IFERROR(__xludf.DUMMYFUNCTION("""COMPUTED_VALUE"""),"Diamond")</f>
        <v>Diamond</v>
      </c>
      <c r="G177" s="265" t="str">
        <f>IFERROR(__xludf.DUMMYFUNCTION("""COMPUTED_VALUE"""),"Enterprise")</f>
        <v>Enterprise</v>
      </c>
      <c r="H177" s="265" t="str">
        <f>IFERROR(__xludf.DUMMYFUNCTION("""COMPUTED_VALUE"""),"Trả sau")</f>
        <v>Trả sau</v>
      </c>
      <c r="I177" s="265" t="str">
        <f>IFERROR(__xludf.DUMMYFUNCTION("""COMPUTED_VALUE"""),"API &amp; Portal")</f>
        <v>API &amp; Portal</v>
      </c>
      <c r="J177" s="265" t="str">
        <f>IFERROR(__xludf.DUMMYFUNCTION("""COMPUTED_VALUE"""),"SMS CSKH")</f>
        <v>SMS CSKH</v>
      </c>
      <c r="K177" s="265" t="str">
        <f>IFERROR(__xludf.DUMMYFUNCTION("""COMPUTED_VALUE"""),"LinhNTT1")</f>
        <v>LinhNTT1</v>
      </c>
    </row>
    <row r="178">
      <c r="A178" s="265" t="str">
        <f>IFERROR(__xludf.DUMMYFUNCTION("""COMPUTED_VALUE"""),"495")</f>
        <v>495</v>
      </c>
      <c r="B178" s="265" t="str">
        <f>IFERROR(__xludf.DUMMYFUNCTION("""COMPUTED_VALUE"""),"Sài Gòn")</f>
        <v>Sài Gòn</v>
      </c>
      <c r="C178" s="265" t="str">
        <f>IFERROR(__xludf.DUMMYFUNCTION("""COMPUTED_VALUE"""),"Active")</f>
        <v>Active</v>
      </c>
      <c r="D178" s="265" t="str">
        <f>IFERROR(__xludf.DUMMYFUNCTION("""COMPUTED_VALUE"""),"Sale chưa cung cấp")</f>
        <v>Sale chưa cung cấp</v>
      </c>
      <c r="E178" s="265" t="str">
        <f>IFERROR(__xludf.DUMMYFUNCTION("""COMPUTED_VALUE"""),"TùngLD")</f>
        <v>TùngLD</v>
      </c>
      <c r="F178" s="265" t="str">
        <f>IFERROR(__xludf.DUMMYFUNCTION("""COMPUTED_VALUE"""),"Diamond")</f>
        <v>Diamond</v>
      </c>
      <c r="G178" s="265" t="str">
        <f>IFERROR(__xludf.DUMMYFUNCTION("""COMPUTED_VALUE"""),"Enterprise")</f>
        <v>Enterprise</v>
      </c>
      <c r="H178" s="265" t="str">
        <f>IFERROR(__xludf.DUMMYFUNCTION("""COMPUTED_VALUE"""),"Trả sau")</f>
        <v>Trả sau</v>
      </c>
      <c r="I178" s="265" t="str">
        <f>IFERROR(__xludf.DUMMYFUNCTION("""COMPUTED_VALUE"""),"API &amp; Portal")</f>
        <v>API &amp; Portal</v>
      </c>
      <c r="J178" s="265" t="str">
        <f>IFERROR(__xludf.DUMMYFUNCTION("""COMPUTED_VALUE"""),"Zalo ZNS")</f>
        <v>Zalo ZNS</v>
      </c>
      <c r="K178" s="265" t="str">
        <f>IFERROR(__xludf.DUMMYFUNCTION("""COMPUTED_VALUE"""),"LinhNTT1")</f>
        <v>LinhNTT1</v>
      </c>
    </row>
    <row r="179">
      <c r="A179" s="265" t="str">
        <f>IFERROR(__xludf.DUMMYFUNCTION("""COMPUTED_VALUE"""),"495")</f>
        <v>495</v>
      </c>
      <c r="B179" s="265" t="str">
        <f>IFERROR(__xludf.DUMMYFUNCTION("""COMPUTED_VALUE"""),"Sài Gòn")</f>
        <v>Sài Gòn</v>
      </c>
      <c r="C179" s="265" t="str">
        <f>IFERROR(__xludf.DUMMYFUNCTION("""COMPUTED_VALUE"""),"Active")</f>
        <v>Active</v>
      </c>
      <c r="D179" s="265" t="str">
        <f>IFERROR(__xludf.DUMMYFUNCTION("""COMPUTED_VALUE"""),"Sale chưa cung cấp")</f>
        <v>Sale chưa cung cấp</v>
      </c>
      <c r="E179" s="265" t="str">
        <f>IFERROR(__xludf.DUMMYFUNCTION("""COMPUTED_VALUE"""),"TùngLD")</f>
        <v>TùngLD</v>
      </c>
      <c r="F179" s="265" t="str">
        <f>IFERROR(__xludf.DUMMYFUNCTION("""COMPUTED_VALUE"""),"Diamond")</f>
        <v>Diamond</v>
      </c>
      <c r="G179" s="265" t="str">
        <f>IFERROR(__xludf.DUMMYFUNCTION("""COMPUTED_VALUE"""),"Enterprise")</f>
        <v>Enterprise</v>
      </c>
      <c r="H179" s="265" t="str">
        <f>IFERROR(__xludf.DUMMYFUNCTION("""COMPUTED_VALUE"""),"Trả sau")</f>
        <v>Trả sau</v>
      </c>
      <c r="I179" s="265" t="str">
        <f>IFERROR(__xludf.DUMMYFUNCTION("""COMPUTED_VALUE"""),"API &amp; Portal")</f>
        <v>API &amp; Portal</v>
      </c>
      <c r="J179" s="265" t="str">
        <f>IFERROR(__xludf.DUMMYFUNCTION("""COMPUTED_VALUE"""),"Viber")</f>
        <v>Viber</v>
      </c>
      <c r="K179" s="265" t="str">
        <f>IFERROR(__xludf.DUMMYFUNCTION("""COMPUTED_VALUE"""),"LinhNTT1")</f>
        <v>LinhNTT1</v>
      </c>
    </row>
    <row r="180">
      <c r="A180" s="265" t="str">
        <f>IFERROR(__xludf.DUMMYFUNCTION("""COMPUTED_VALUE"""),"497")</f>
        <v>497</v>
      </c>
      <c r="B180" s="265" t="str">
        <f>IFERROR(__xludf.DUMMYFUNCTION("""COMPUTED_VALUE"""),"Sài Gòn")</f>
        <v>Sài Gòn</v>
      </c>
      <c r="C180" s="265" t="str">
        <f>IFERROR(__xludf.DUMMYFUNCTION("""COMPUTED_VALUE"""),"Locked")</f>
        <v>Locked</v>
      </c>
      <c r="D180" s="265" t="str">
        <f>IFERROR(__xludf.DUMMYFUNCTION("""COMPUTED_VALUE"""),"Sale chưa cung cấp")</f>
        <v>Sale chưa cung cấp</v>
      </c>
      <c r="E180" s="265" t="str">
        <f>IFERROR(__xludf.DUMMYFUNCTION("""COMPUTED_VALUE"""),"HoaNTM")</f>
        <v>HoaNTM</v>
      </c>
      <c r="F180" s="265" t="str">
        <f>IFERROR(__xludf.DUMMYFUNCTION("""COMPUTED_VALUE"""),"Sale chưa cung cấp")</f>
        <v>Sale chưa cung cấp</v>
      </c>
      <c r="G180" s="265" t="str">
        <f>IFERROR(__xludf.DUMMYFUNCTION("""COMPUTED_VALUE"""),"Enterprise")</f>
        <v>Enterprise</v>
      </c>
      <c r="H180" s="265" t="str">
        <f>IFERROR(__xludf.DUMMYFUNCTION("""COMPUTED_VALUE"""),"Trial")</f>
        <v>Trial</v>
      </c>
      <c r="I180" s="265" t="str">
        <f>IFERROR(__xludf.DUMMYFUNCTION("""COMPUTED_VALUE"""),"(Không recheck)")</f>
        <v>(Không recheck)</v>
      </c>
      <c r="J180" s="265" t="str">
        <f>IFERROR(__xludf.DUMMYFUNCTION("""COMPUTED_VALUE"""),"(Không recheck)")</f>
        <v>(Không recheck)</v>
      </c>
      <c r="K180" s="265" t="str">
        <f>IFERROR(__xludf.DUMMYFUNCTION("""COMPUTED_VALUE"""),"(Không recheck)")</f>
        <v>(Không recheck)</v>
      </c>
    </row>
    <row r="181">
      <c r="A181" s="265" t="str">
        <f>IFERROR(__xludf.DUMMYFUNCTION("""COMPUTED_VALUE"""),"499")</f>
        <v>499</v>
      </c>
      <c r="B181" s="265" t="str">
        <f>IFERROR(__xludf.DUMMYFUNCTION("""COMPUTED_VALUE"""),"Hà Nội")</f>
        <v>Hà Nội</v>
      </c>
      <c r="C181" s="265" t="str">
        <f>IFERROR(__xludf.DUMMYFUNCTION("""COMPUTED_VALUE"""),"Locked")</f>
        <v>Locked</v>
      </c>
      <c r="D181" s="265" t="str">
        <f>IFERROR(__xludf.DUMMYFUNCTION("""COMPUTED_VALUE"""),"Sale chưa cung cấp")</f>
        <v>Sale chưa cung cấp</v>
      </c>
      <c r="E181" s="265" t="str">
        <f>IFERROR(__xludf.DUMMYFUNCTION("""COMPUTED_VALUE"""),"(Không recheck)")</f>
        <v>(Không recheck)</v>
      </c>
      <c r="F181" s="265" t="str">
        <f>IFERROR(__xludf.DUMMYFUNCTION("""COMPUTED_VALUE"""),"Sale chưa cung cấp")</f>
        <v>Sale chưa cung cấp</v>
      </c>
      <c r="G181" s="265" t="str">
        <f>IFERROR(__xludf.DUMMYFUNCTION("""COMPUTED_VALUE"""),"API")</f>
        <v>API</v>
      </c>
      <c r="H181" s="265" t="str">
        <f>IFERROR(__xludf.DUMMYFUNCTION("""COMPUTED_VALUE"""),"Trial")</f>
        <v>Trial</v>
      </c>
      <c r="I181" s="265" t="str">
        <f>IFERROR(__xludf.DUMMYFUNCTION("""COMPUTED_VALUE"""),"(Không recheck)")</f>
        <v>(Không recheck)</v>
      </c>
      <c r="J181" s="265" t="str">
        <f>IFERROR(__xludf.DUMMYFUNCTION("""COMPUTED_VALUE"""),"(Không recheck)")</f>
        <v>(Không recheck)</v>
      </c>
      <c r="K181" s="265" t="str">
        <f>IFERROR(__xludf.DUMMYFUNCTION("""COMPUTED_VALUE"""),"AnhNM")</f>
        <v>AnhNM</v>
      </c>
    </row>
    <row r="182">
      <c r="A182" s="265" t="str">
        <f>IFERROR(__xludf.DUMMYFUNCTION("""COMPUTED_VALUE"""),"500")</f>
        <v>500</v>
      </c>
      <c r="B182" s="265" t="str">
        <f>IFERROR(__xludf.DUMMYFUNCTION("""COMPUTED_VALUE"""),"Hà Nội")</f>
        <v>Hà Nội</v>
      </c>
      <c r="C182" s="265" t="str">
        <f>IFERROR(__xludf.DUMMYFUNCTION("""COMPUTED_VALUE"""),"Locked")</f>
        <v>Locked</v>
      </c>
      <c r="D182" s="265" t="str">
        <f>IFERROR(__xludf.DUMMYFUNCTION("""COMPUTED_VALUE"""),"Sale chưa cung cấp")</f>
        <v>Sale chưa cung cấp</v>
      </c>
      <c r="E182" s="265" t="str">
        <f>IFERROR(__xludf.DUMMYFUNCTION("""COMPUTED_VALUE"""),"AnhNM")</f>
        <v>AnhNM</v>
      </c>
      <c r="F182" s="265" t="str">
        <f>IFERROR(__xludf.DUMMYFUNCTION("""COMPUTED_VALUE"""),"Gold")</f>
        <v>Gold</v>
      </c>
      <c r="G182" s="265" t="str">
        <f>IFERROR(__xludf.DUMMYFUNCTION("""COMPUTED_VALUE"""),"Enterprise")</f>
        <v>Enterprise</v>
      </c>
      <c r="H182" s="265" t="str">
        <f>IFERROR(__xludf.DUMMYFUNCTION("""COMPUTED_VALUE"""),"Trả trước")</f>
        <v>Trả trước</v>
      </c>
      <c r="I182" s="265" t="str">
        <f>IFERROR(__xludf.DUMMYFUNCTION("""COMPUTED_VALUE"""),"API")</f>
        <v>API</v>
      </c>
      <c r="J182" s="265" t="str">
        <f>IFERROR(__xludf.DUMMYFUNCTION("""COMPUTED_VALUE"""),"SMS CSKH")</f>
        <v>SMS CSKH</v>
      </c>
      <c r="K182" s="265" t="str">
        <f>IFERROR(__xludf.DUMMYFUNCTION("""COMPUTED_VALUE"""),"LinhNTT1")</f>
        <v>LinhNTT1</v>
      </c>
    </row>
    <row r="183">
      <c r="A183" s="265" t="str">
        <f>IFERROR(__xludf.DUMMYFUNCTION("""COMPUTED_VALUE"""),"500")</f>
        <v>500</v>
      </c>
      <c r="B183" s="265" t="str">
        <f>IFERROR(__xludf.DUMMYFUNCTION("""COMPUTED_VALUE"""),"Hà Nội")</f>
        <v>Hà Nội</v>
      </c>
      <c r="C183" s="265" t="str">
        <f>IFERROR(__xludf.DUMMYFUNCTION("""COMPUTED_VALUE"""),"Locked")</f>
        <v>Locked</v>
      </c>
      <c r="D183" s="265" t="str">
        <f>IFERROR(__xludf.DUMMYFUNCTION("""COMPUTED_VALUE"""),"Sale chưa cung cấp")</f>
        <v>Sale chưa cung cấp</v>
      </c>
      <c r="E183" s="265" t="str">
        <f>IFERROR(__xludf.DUMMYFUNCTION("""COMPUTED_VALUE"""),"AnhNM")</f>
        <v>AnhNM</v>
      </c>
      <c r="F183" s="265" t="str">
        <f>IFERROR(__xludf.DUMMYFUNCTION("""COMPUTED_VALUE"""),"Gold")</f>
        <v>Gold</v>
      </c>
      <c r="G183" s="265" t="str">
        <f>IFERROR(__xludf.DUMMYFUNCTION("""COMPUTED_VALUE"""),"Enterprise")</f>
        <v>Enterprise</v>
      </c>
      <c r="H183" s="265" t="str">
        <f>IFERROR(__xludf.DUMMYFUNCTION("""COMPUTED_VALUE"""),"Trả trước")</f>
        <v>Trả trước</v>
      </c>
      <c r="I183" s="265" t="str">
        <f>IFERROR(__xludf.DUMMYFUNCTION("""COMPUTED_VALUE"""),"API")</f>
        <v>API</v>
      </c>
      <c r="J183" s="265" t="str">
        <f>IFERROR(__xludf.DUMMYFUNCTION("""COMPUTED_VALUE"""),"Zalo ZNS")</f>
        <v>Zalo ZNS</v>
      </c>
      <c r="K183" s="265" t="str">
        <f>IFERROR(__xludf.DUMMYFUNCTION("""COMPUTED_VALUE"""),"LinhNTT1")</f>
        <v>LinhNTT1</v>
      </c>
    </row>
    <row r="184">
      <c r="A184" s="265" t="str">
        <f>IFERROR(__xludf.DUMMYFUNCTION("""COMPUTED_VALUE"""),"501")</f>
        <v>501</v>
      </c>
      <c r="B184" s="265" t="str">
        <f>IFERROR(__xludf.DUMMYFUNCTION("""COMPUTED_VALUE"""),"Hà Nội")</f>
        <v>Hà Nội</v>
      </c>
      <c r="C184" s="265" t="str">
        <f>IFERROR(__xludf.DUMMYFUNCTION("""COMPUTED_VALUE"""),"Locked")</f>
        <v>Locked</v>
      </c>
      <c r="D184" s="265" t="str">
        <f>IFERROR(__xludf.DUMMYFUNCTION("""COMPUTED_VALUE"""),"Sale chưa cung cấp")</f>
        <v>Sale chưa cung cấp</v>
      </c>
      <c r="E184" s="265" t="str">
        <f>IFERROR(__xludf.DUMMYFUNCTION("""COMPUTED_VALUE"""),"PhươngDTB")</f>
        <v>PhươngDTB</v>
      </c>
      <c r="F184" s="265" t="str">
        <f>IFERROR(__xludf.DUMMYFUNCTION("""COMPUTED_VALUE"""),"Bronze")</f>
        <v>Bronze</v>
      </c>
      <c r="G184" s="265" t="str">
        <f>IFERROR(__xludf.DUMMYFUNCTION("""COMPUTED_VALUE"""),"Enterprise")</f>
        <v>Enterprise</v>
      </c>
      <c r="H184" s="265" t="str">
        <f>IFERROR(__xludf.DUMMYFUNCTION("""COMPUTED_VALUE"""),"(Chưa recheck)")</f>
        <v>(Chưa recheck)</v>
      </c>
      <c r="I184" s="265" t="str">
        <f>IFERROR(__xludf.DUMMYFUNCTION("""COMPUTED_VALUE"""),"(Chưa recheck)")</f>
        <v>(Chưa recheck)</v>
      </c>
      <c r="J184" s="265" t="str">
        <f>IFERROR(__xludf.DUMMYFUNCTION("""COMPUTED_VALUE"""),"(Chưa recheck)")</f>
        <v>(Chưa recheck)</v>
      </c>
      <c r="K184" s="265" t="str">
        <f>IFERROR(__xludf.DUMMYFUNCTION("""COMPUTED_VALUE"""),"(Chưa recheck)")</f>
        <v>(Chưa recheck)</v>
      </c>
    </row>
    <row r="185">
      <c r="A185" s="265" t="str">
        <f>IFERROR(__xludf.DUMMYFUNCTION("""COMPUTED_VALUE"""),"504")</f>
        <v>504</v>
      </c>
      <c r="B185" s="265" t="str">
        <f>IFERROR(__xludf.DUMMYFUNCTION("""COMPUTED_VALUE"""),"Hà Nội")</f>
        <v>Hà Nội</v>
      </c>
      <c r="C185" s="265" t="str">
        <f>IFERROR(__xludf.DUMMYFUNCTION("""COMPUTED_VALUE"""),"Locked")</f>
        <v>Locked</v>
      </c>
      <c r="D185" s="265" t="str">
        <f>IFERROR(__xludf.DUMMYFUNCTION("""COMPUTED_VALUE"""),"Sale chưa cung cấp")</f>
        <v>Sale chưa cung cấp</v>
      </c>
      <c r="E185" s="265" t="str">
        <f>IFERROR(__xludf.DUMMYFUNCTION("""COMPUTED_VALUE"""),"NamDT")</f>
        <v>NamDT</v>
      </c>
      <c r="F185" s="265" t="str">
        <f>IFERROR(__xludf.DUMMYFUNCTION("""COMPUTED_VALUE"""),"Sale chưa cung cấp")</f>
        <v>Sale chưa cung cấp</v>
      </c>
      <c r="G185" s="265" t="str">
        <f>IFERROR(__xludf.DUMMYFUNCTION("""COMPUTED_VALUE"""),"MSG")</f>
        <v>MSG</v>
      </c>
      <c r="H185" s="265" t="str">
        <f>IFERROR(__xludf.DUMMYFUNCTION("""COMPUTED_VALUE"""),"(Chưa recheck)")</f>
        <v>(Chưa recheck)</v>
      </c>
      <c r="I185" s="265" t="str">
        <f>IFERROR(__xludf.DUMMYFUNCTION("""COMPUTED_VALUE"""),"(Chưa recheck)")</f>
        <v>(Chưa recheck)</v>
      </c>
      <c r="J185" s="265" t="str">
        <f>IFERROR(__xludf.DUMMYFUNCTION("""COMPUTED_VALUE"""),"Zalo ZNS")</f>
        <v>Zalo ZNS</v>
      </c>
      <c r="K185" s="265" t="str">
        <f>IFERROR(__xludf.DUMMYFUNCTION("""COMPUTED_VALUE"""),"(Chưa recheck)")</f>
        <v>(Chưa recheck)</v>
      </c>
    </row>
    <row r="186">
      <c r="A186" s="265" t="str">
        <f>IFERROR(__xludf.DUMMYFUNCTION("""COMPUTED_VALUE"""),"506")</f>
        <v>506</v>
      </c>
      <c r="B186" s="265" t="str">
        <f>IFERROR(__xludf.DUMMYFUNCTION("""COMPUTED_VALUE"""),"Sài Gòn")</f>
        <v>Sài Gòn</v>
      </c>
      <c r="C186" s="265" t="str">
        <f>IFERROR(__xludf.DUMMYFUNCTION("""COMPUTED_VALUE"""),"Locked")</f>
        <v>Locked</v>
      </c>
      <c r="D186" s="265" t="str">
        <f>IFERROR(__xludf.DUMMYFUNCTION("""COMPUTED_VALUE"""),"Sale chưa cung cấp")</f>
        <v>Sale chưa cung cấp</v>
      </c>
      <c r="E186" s="265" t="str">
        <f>IFERROR(__xludf.DUMMYFUNCTION("""COMPUTED_VALUE"""),"HoaNTM")</f>
        <v>HoaNTM</v>
      </c>
      <c r="F186" s="265" t="str">
        <f>IFERROR(__xludf.DUMMYFUNCTION("""COMPUTED_VALUE"""),"Bronze")</f>
        <v>Bronze</v>
      </c>
      <c r="G186" s="265" t="str">
        <f>IFERROR(__xludf.DUMMYFUNCTION("""COMPUTED_VALUE"""),"Enterprise")</f>
        <v>Enterprise</v>
      </c>
      <c r="H186" s="265" t="str">
        <f>IFERROR(__xludf.DUMMYFUNCTION("""COMPUTED_VALUE"""),"(Chưa recheck)")</f>
        <v>(Chưa recheck)</v>
      </c>
      <c r="I186" s="265" t="str">
        <f>IFERROR(__xludf.DUMMYFUNCTION("""COMPUTED_VALUE"""),"(Chưa recheck)")</f>
        <v>(Chưa recheck)</v>
      </c>
      <c r="J186" s="265" t="str">
        <f>IFERROR(__xludf.DUMMYFUNCTION("""COMPUTED_VALUE"""),"(Chưa recheck)")</f>
        <v>(Chưa recheck)</v>
      </c>
      <c r="K186" s="265" t="str">
        <f>IFERROR(__xludf.DUMMYFUNCTION("""COMPUTED_VALUE"""),"AnhNM")</f>
        <v>AnhNM</v>
      </c>
    </row>
    <row r="187">
      <c r="A187" s="265" t="str">
        <f>IFERROR(__xludf.DUMMYFUNCTION("""COMPUTED_VALUE"""),"505")</f>
        <v>505</v>
      </c>
      <c r="B187" s="265" t="str">
        <f>IFERROR(__xludf.DUMMYFUNCTION("""COMPUTED_VALUE"""),"Sài Gòn")</f>
        <v>Sài Gòn</v>
      </c>
      <c r="C187" s="265" t="str">
        <f>IFERROR(__xludf.DUMMYFUNCTION("""COMPUTED_VALUE"""),"Locked")</f>
        <v>Locked</v>
      </c>
      <c r="D187" s="265" t="str">
        <f>IFERROR(__xludf.DUMMYFUNCTION("""COMPUTED_VALUE"""),"Sale chưa cung cấp")</f>
        <v>Sale chưa cung cấp</v>
      </c>
      <c r="E187" s="265" t="str">
        <f>IFERROR(__xludf.DUMMYFUNCTION("""COMPUTED_VALUE"""),"HoaNTM")</f>
        <v>HoaNTM</v>
      </c>
      <c r="F187" s="265" t="str">
        <f>IFERROR(__xludf.DUMMYFUNCTION("""COMPUTED_VALUE"""),"Sale chưa cung cấp")</f>
        <v>Sale chưa cung cấp</v>
      </c>
      <c r="G187" s="265" t="str">
        <f>IFERROR(__xludf.DUMMYFUNCTION("""COMPUTED_VALUE"""),"Enterprise")</f>
        <v>Enterprise</v>
      </c>
      <c r="H187" s="265" t="str">
        <f>IFERROR(__xludf.DUMMYFUNCTION("""COMPUTED_VALUE"""),"Trial")</f>
        <v>Trial</v>
      </c>
      <c r="I187" s="265" t="str">
        <f>IFERROR(__xludf.DUMMYFUNCTION("""COMPUTED_VALUE"""),"(Không recheck)")</f>
        <v>(Không recheck)</v>
      </c>
      <c r="J187" s="265" t="str">
        <f>IFERROR(__xludf.DUMMYFUNCTION("""COMPUTED_VALUE"""),"(Không recheck)")</f>
        <v>(Không recheck)</v>
      </c>
      <c r="K187" s="265" t="str">
        <f>IFERROR(__xludf.DUMMYFUNCTION("""COMPUTED_VALUE"""),"AnhNM")</f>
        <v>AnhNM</v>
      </c>
    </row>
    <row r="188">
      <c r="A188" s="265" t="str">
        <f>IFERROR(__xludf.DUMMYFUNCTION("""COMPUTED_VALUE"""),"507")</f>
        <v>507</v>
      </c>
      <c r="B188" s="265" t="str">
        <f>IFERROR(__xludf.DUMMYFUNCTION("""COMPUTED_VALUE"""),"Sài Gòn")</f>
        <v>Sài Gòn</v>
      </c>
      <c r="C188" s="265" t="str">
        <f>IFERROR(__xludf.DUMMYFUNCTION("""COMPUTED_VALUE"""),"Locked")</f>
        <v>Locked</v>
      </c>
      <c r="D188" s="265" t="str">
        <f>IFERROR(__xludf.DUMMYFUNCTION("""COMPUTED_VALUE"""),"Sale chưa cung cấp")</f>
        <v>Sale chưa cung cấp</v>
      </c>
      <c r="E188" s="265" t="str">
        <f>IFERROR(__xludf.DUMMYFUNCTION("""COMPUTED_VALUE"""),"HoaNTM")</f>
        <v>HoaNTM</v>
      </c>
      <c r="F188" s="265" t="str">
        <f>IFERROR(__xludf.DUMMYFUNCTION("""COMPUTED_VALUE"""),"Sale chưa cung cấp")</f>
        <v>Sale chưa cung cấp</v>
      </c>
      <c r="G188" s="265" t="str">
        <f>IFERROR(__xludf.DUMMYFUNCTION("""COMPUTED_VALUE"""),"MSG")</f>
        <v>MSG</v>
      </c>
      <c r="H188" s="265" t="str">
        <f>IFERROR(__xludf.DUMMYFUNCTION("""COMPUTED_VALUE"""),"(Chưa recheck)")</f>
        <v>(Chưa recheck)</v>
      </c>
      <c r="I188" s="265" t="str">
        <f>IFERROR(__xludf.DUMMYFUNCTION("""COMPUTED_VALUE"""),"(Chưa recheck)")</f>
        <v>(Chưa recheck)</v>
      </c>
      <c r="J188" s="265" t="str">
        <f>IFERROR(__xludf.DUMMYFUNCTION("""COMPUTED_VALUE"""),"(Chưa recheck)")</f>
        <v>(Chưa recheck)</v>
      </c>
      <c r="K188" s="265" t="str">
        <f>IFERROR(__xludf.DUMMYFUNCTION("""COMPUTED_VALUE"""),"AnhNM")</f>
        <v>AnhNM</v>
      </c>
    </row>
    <row r="189">
      <c r="A189" s="265" t="str">
        <f>IFERROR(__xludf.DUMMYFUNCTION("""COMPUTED_VALUE"""),"None 5")</f>
        <v>None 5</v>
      </c>
      <c r="B189" s="265" t="str">
        <f>IFERROR(__xludf.DUMMYFUNCTION("""COMPUTED_VALUE"""),"Hà Nội")</f>
        <v>Hà Nội</v>
      </c>
      <c r="C189" s="265" t="str">
        <f>IFERROR(__xludf.DUMMYFUNCTION("""COMPUTED_VALUE"""),"Locked")</f>
        <v>Locked</v>
      </c>
      <c r="D189" s="265" t="str">
        <f>IFERROR(__xludf.DUMMYFUNCTION("""COMPUTED_VALUE"""),"Sale chưa cung cấp")</f>
        <v>Sale chưa cung cấp</v>
      </c>
      <c r="E189" s="265" t="str">
        <f>IFERROR(__xludf.DUMMYFUNCTION("""COMPUTED_VALUE"""),"Không phân công")</f>
        <v>Không phân công</v>
      </c>
      <c r="F189" s="265" t="str">
        <f>IFERROR(__xludf.DUMMYFUNCTION("""COMPUTED_VALUE"""),"Sale chưa cung cấp")</f>
        <v>Sale chưa cung cấp</v>
      </c>
      <c r="G189" s="265" t="str">
        <f>IFERROR(__xludf.DUMMYFUNCTION("""COMPUTED_VALUE"""),"API")</f>
        <v>API</v>
      </c>
      <c r="H189" s="265" t="str">
        <f>IFERROR(__xludf.DUMMYFUNCTION("""COMPUTED_VALUE"""),"(Chưa recheck)")</f>
        <v>(Chưa recheck)</v>
      </c>
      <c r="I189" s="265" t="str">
        <f>IFERROR(__xludf.DUMMYFUNCTION("""COMPUTED_VALUE"""),"(Chưa recheck)")</f>
        <v>(Chưa recheck)</v>
      </c>
      <c r="J189" s="265" t="str">
        <f>IFERROR(__xludf.DUMMYFUNCTION("""COMPUTED_VALUE"""),"Zalo ZNS")</f>
        <v>Zalo ZNS</v>
      </c>
      <c r="K189" s="265" t="str">
        <f>IFERROR(__xludf.DUMMYFUNCTION("""COMPUTED_VALUE"""),"AnhNM")</f>
        <v>AnhNM</v>
      </c>
    </row>
    <row r="190">
      <c r="A190" s="265" t="str">
        <f>IFERROR(__xludf.DUMMYFUNCTION("""COMPUTED_VALUE"""),"508")</f>
        <v>508</v>
      </c>
      <c r="B190" s="265" t="str">
        <f>IFERROR(__xludf.DUMMYFUNCTION("""COMPUTED_VALUE"""),"Sài Gòn")</f>
        <v>Sài Gòn</v>
      </c>
      <c r="C190" s="265" t="str">
        <f>IFERROR(__xludf.DUMMYFUNCTION("""COMPUTED_VALUE"""),"Locked")</f>
        <v>Locked</v>
      </c>
      <c r="D190" s="265" t="str">
        <f>IFERROR(__xludf.DUMMYFUNCTION("""COMPUTED_VALUE"""),"Sale chưa cung cấp")</f>
        <v>Sale chưa cung cấp</v>
      </c>
      <c r="E190" s="265" t="str">
        <f>IFERROR(__xludf.DUMMYFUNCTION("""COMPUTED_VALUE"""),"HoaNTM")</f>
        <v>HoaNTM</v>
      </c>
      <c r="F190" s="265" t="str">
        <f>IFERROR(__xludf.DUMMYFUNCTION("""COMPUTED_VALUE"""),"Bronze")</f>
        <v>Bronze</v>
      </c>
      <c r="G190" s="265" t="str">
        <f>IFERROR(__xludf.DUMMYFUNCTION("""COMPUTED_VALUE"""),"MSG")</f>
        <v>MSG</v>
      </c>
      <c r="H190" s="265" t="str">
        <f>IFERROR(__xludf.DUMMYFUNCTION("""COMPUTED_VALUE"""),"(Chưa recheck)")</f>
        <v>(Chưa recheck)</v>
      </c>
      <c r="I190" s="265" t="str">
        <f>IFERROR(__xludf.DUMMYFUNCTION("""COMPUTED_VALUE"""),"(Chưa recheck)")</f>
        <v>(Chưa recheck)</v>
      </c>
      <c r="J190" s="265" t="str">
        <f>IFERROR(__xludf.DUMMYFUNCTION("""COMPUTED_VALUE"""),"(Chưa recheck)")</f>
        <v>(Chưa recheck)</v>
      </c>
      <c r="K190" s="265" t="str">
        <f>IFERROR(__xludf.DUMMYFUNCTION("""COMPUTED_VALUE"""),"AnhNM")</f>
        <v>AnhNM</v>
      </c>
    </row>
    <row r="191">
      <c r="A191" s="265" t="str">
        <f>IFERROR(__xludf.DUMMYFUNCTION("""COMPUTED_VALUE"""),"509")</f>
        <v>509</v>
      </c>
      <c r="B191" s="265" t="str">
        <f>IFERROR(__xludf.DUMMYFUNCTION("""COMPUTED_VALUE"""),"Sài Gòn")</f>
        <v>Sài Gòn</v>
      </c>
      <c r="C191" s="265" t="str">
        <f>IFERROR(__xludf.DUMMYFUNCTION("""COMPUTED_VALUE"""),"Locked")</f>
        <v>Locked</v>
      </c>
      <c r="D191" s="265" t="str">
        <f>IFERROR(__xludf.DUMMYFUNCTION("""COMPUTED_VALUE"""),"Sale chưa cung cấp")</f>
        <v>Sale chưa cung cấp</v>
      </c>
      <c r="E191" s="265" t="str">
        <f>IFERROR(__xludf.DUMMYFUNCTION("""COMPUTED_VALUE"""),"HoaNTM")</f>
        <v>HoaNTM</v>
      </c>
      <c r="F191" s="265" t="str">
        <f>IFERROR(__xludf.DUMMYFUNCTION("""COMPUTED_VALUE"""),"Sale chưa cung cấp")</f>
        <v>Sale chưa cung cấp</v>
      </c>
      <c r="G191" s="265" t="str">
        <f>IFERROR(__xludf.DUMMYFUNCTION("""COMPUTED_VALUE"""),"Enterprise")</f>
        <v>Enterprise</v>
      </c>
      <c r="H191" s="265" t="str">
        <f>IFERROR(__xludf.DUMMYFUNCTION("""COMPUTED_VALUE"""),"Trả sau")</f>
        <v>Trả sau</v>
      </c>
      <c r="I191" s="265" t="str">
        <f>IFERROR(__xludf.DUMMYFUNCTION("""COMPUTED_VALUE"""),"(Chưa recheck)")</f>
        <v>(Chưa recheck)</v>
      </c>
      <c r="J191" s="265" t="str">
        <f>IFERROR(__xludf.DUMMYFUNCTION("""COMPUTED_VALUE"""),"(Chưa recheck)")</f>
        <v>(Chưa recheck)</v>
      </c>
      <c r="K191" s="265" t="str">
        <f>IFERROR(__xludf.DUMMYFUNCTION("""COMPUTED_VALUE"""),"(Chưa recheck)")</f>
        <v>(Chưa recheck)</v>
      </c>
    </row>
    <row r="192">
      <c r="A192" s="265" t="str">
        <f>IFERROR(__xludf.DUMMYFUNCTION("""COMPUTED_VALUE"""),"510")</f>
        <v>510</v>
      </c>
      <c r="B192" s="265" t="str">
        <f>IFERROR(__xludf.DUMMYFUNCTION("""COMPUTED_VALUE"""),"Sài Gòn")</f>
        <v>Sài Gòn</v>
      </c>
      <c r="C192" s="265" t="str">
        <f>IFERROR(__xludf.DUMMYFUNCTION("""COMPUTED_VALUE"""),"Locked")</f>
        <v>Locked</v>
      </c>
      <c r="D192" s="265" t="str">
        <f>IFERROR(__xludf.DUMMYFUNCTION("""COMPUTED_VALUE"""),"Sale chưa cung cấp")</f>
        <v>Sale chưa cung cấp</v>
      </c>
      <c r="E192" s="265" t="str">
        <f>IFERROR(__xludf.DUMMYFUNCTION("""COMPUTED_VALUE"""),"Không phân công")</f>
        <v>Không phân công</v>
      </c>
      <c r="F192" s="265" t="str">
        <f>IFERROR(__xludf.DUMMYFUNCTION("""COMPUTED_VALUE"""),"Sale chưa cung cấp")</f>
        <v>Sale chưa cung cấp</v>
      </c>
      <c r="G192" s="265" t="str">
        <f>IFERROR(__xludf.DUMMYFUNCTION("""COMPUTED_VALUE"""),"Starter")</f>
        <v>Starter</v>
      </c>
      <c r="H192" s="265" t="str">
        <f>IFERROR(__xludf.DUMMYFUNCTION("""COMPUTED_VALUE"""),"Trả sau")</f>
        <v>Trả sau</v>
      </c>
      <c r="I192" s="265" t="str">
        <f>IFERROR(__xludf.DUMMYFUNCTION("""COMPUTED_VALUE"""),"API")</f>
        <v>API</v>
      </c>
      <c r="J192" s="265" t="str">
        <f>IFERROR(__xludf.DUMMYFUNCTION("""COMPUTED_VALUE"""),"SMS CSKH")</f>
        <v>SMS CSKH</v>
      </c>
      <c r="K192" s="265" t="str">
        <f>IFERROR(__xludf.DUMMYFUNCTION("""COMPUTED_VALUE"""),"LinhNTT1")</f>
        <v>LinhNTT1</v>
      </c>
    </row>
    <row r="193">
      <c r="A193" s="265" t="str">
        <f>IFERROR(__xludf.DUMMYFUNCTION("""COMPUTED_VALUE"""),"511")</f>
        <v>511</v>
      </c>
      <c r="B193" s="265" t="str">
        <f>IFERROR(__xludf.DUMMYFUNCTION("""COMPUTED_VALUE"""),"Hà Nội")</f>
        <v>Hà Nội</v>
      </c>
      <c r="C193" s="265" t="str">
        <f>IFERROR(__xludf.DUMMYFUNCTION("""COMPUTED_VALUE"""),"Locked")</f>
        <v>Locked</v>
      </c>
      <c r="D193" s="265" t="str">
        <f>IFERROR(__xludf.DUMMYFUNCTION("""COMPUTED_VALUE"""),"Sale chưa cung cấp")</f>
        <v>Sale chưa cung cấp</v>
      </c>
      <c r="E193" s="265" t="str">
        <f>IFERROR(__xludf.DUMMYFUNCTION("""COMPUTED_VALUE"""),"PhươngDTB")</f>
        <v>PhươngDTB</v>
      </c>
      <c r="F193" s="265" t="str">
        <f>IFERROR(__xludf.DUMMYFUNCTION("""COMPUTED_VALUE"""),"Sale chưa cung cấp")</f>
        <v>Sale chưa cung cấp</v>
      </c>
      <c r="G193" s="265" t="str">
        <f>IFERROR(__xludf.DUMMYFUNCTION("""COMPUTED_VALUE"""),"MSG")</f>
        <v>MSG</v>
      </c>
      <c r="H193" s="265" t="str">
        <f>IFERROR(__xludf.DUMMYFUNCTION("""COMPUTED_VALUE"""),"Trả sau")</f>
        <v>Trả sau</v>
      </c>
      <c r="I193" s="265" t="str">
        <f>IFERROR(__xludf.DUMMYFUNCTION("""COMPUTED_VALUE"""),"(Chưa recheck)")</f>
        <v>(Chưa recheck)</v>
      </c>
      <c r="J193" s="265" t="str">
        <f>IFERROR(__xludf.DUMMYFUNCTION("""COMPUTED_VALUE"""),"Zalo ZNS")</f>
        <v>Zalo ZNS</v>
      </c>
      <c r="K193" s="265" t="str">
        <f>IFERROR(__xludf.DUMMYFUNCTION("""COMPUTED_VALUE"""),"AnhNM")</f>
        <v>AnhNM</v>
      </c>
    </row>
    <row r="194">
      <c r="A194" s="265" t="str">
        <f>IFERROR(__xludf.DUMMYFUNCTION("""COMPUTED_VALUE"""),"512")</f>
        <v>512</v>
      </c>
      <c r="B194" s="265" t="str">
        <f>IFERROR(__xludf.DUMMYFUNCTION("""COMPUTED_VALUE"""),"Sài Gòn")</f>
        <v>Sài Gòn</v>
      </c>
      <c r="C194" s="265" t="str">
        <f>IFERROR(__xludf.DUMMYFUNCTION("""COMPUTED_VALUE"""),"Locked")</f>
        <v>Locked</v>
      </c>
      <c r="D194" s="265" t="str">
        <f>IFERROR(__xludf.DUMMYFUNCTION("""COMPUTED_VALUE"""),"Sale chưa cung cấp")</f>
        <v>Sale chưa cung cấp</v>
      </c>
      <c r="E194" s="265" t="str">
        <f>IFERROR(__xludf.DUMMYFUNCTION("""COMPUTED_VALUE"""),"HoaNTM")</f>
        <v>HoaNTM</v>
      </c>
      <c r="F194" s="265" t="str">
        <f>IFERROR(__xludf.DUMMYFUNCTION("""COMPUTED_VALUE"""),"Sale chưa cung cấp")</f>
        <v>Sale chưa cung cấp</v>
      </c>
      <c r="G194" s="265" t="str">
        <f>IFERROR(__xludf.DUMMYFUNCTION("""COMPUTED_VALUE"""),"API")</f>
        <v>API</v>
      </c>
      <c r="H194" s="265" t="str">
        <f>IFERROR(__xludf.DUMMYFUNCTION("""COMPUTED_VALUE"""),"Trial")</f>
        <v>Trial</v>
      </c>
      <c r="I194" s="265" t="str">
        <f>IFERROR(__xludf.DUMMYFUNCTION("""COMPUTED_VALUE"""),"(Không recheck)")</f>
        <v>(Không recheck)</v>
      </c>
      <c r="J194" s="265" t="str">
        <f>IFERROR(__xludf.DUMMYFUNCTION("""COMPUTED_VALUE"""),"(Không recheck)")</f>
        <v>(Không recheck)</v>
      </c>
      <c r="K194" s="265" t="str">
        <f>IFERROR(__xludf.DUMMYFUNCTION("""COMPUTED_VALUE"""),"(Không recheck)")</f>
        <v>(Không recheck)</v>
      </c>
    </row>
    <row r="195">
      <c r="A195" s="265" t="str">
        <f>IFERROR(__xludf.DUMMYFUNCTION("""COMPUTED_VALUE"""),"515")</f>
        <v>515</v>
      </c>
      <c r="B195" s="265" t="str">
        <f>IFERROR(__xludf.DUMMYFUNCTION("""COMPUTED_VALUE"""),"Hà Nội")</f>
        <v>Hà Nội</v>
      </c>
      <c r="C195" s="265" t="str">
        <f>IFERROR(__xludf.DUMMYFUNCTION("""COMPUTED_VALUE"""),"Active")</f>
        <v>Active</v>
      </c>
      <c r="D195" s="265" t="str">
        <f>IFERROR(__xludf.DUMMYFUNCTION("""COMPUTED_VALUE"""),"Nhà hàng &amp; Quán")</f>
        <v>Nhà hàng &amp; Quán</v>
      </c>
      <c r="E195" s="265" t="str">
        <f>IFERROR(__xludf.DUMMYFUNCTION("""COMPUTED_VALUE"""),"TùngLD")</f>
        <v>TùngLD</v>
      </c>
      <c r="F195" s="265" t="str">
        <f>IFERROR(__xludf.DUMMYFUNCTION("""COMPUTED_VALUE"""),"Silver")</f>
        <v>Silver</v>
      </c>
      <c r="G195" s="265" t="str">
        <f>IFERROR(__xludf.DUMMYFUNCTION("""COMPUTED_VALUE"""),"Enterprise")</f>
        <v>Enterprise</v>
      </c>
      <c r="H195" s="265" t="str">
        <f>IFERROR(__xludf.DUMMYFUNCTION("""COMPUTED_VALUE"""),"Trả sau")</f>
        <v>Trả sau</v>
      </c>
      <c r="I195" s="265" t="str">
        <f>IFERROR(__xludf.DUMMYFUNCTION("""COMPUTED_VALUE"""),"API &amp; Portal")</f>
        <v>API &amp; Portal</v>
      </c>
      <c r="J195" s="265" t="str">
        <f>IFERROR(__xludf.DUMMYFUNCTION("""COMPUTED_VALUE"""),"Zalo ZNS")</f>
        <v>Zalo ZNS</v>
      </c>
      <c r="K195" s="265" t="str">
        <f>IFERROR(__xludf.DUMMYFUNCTION("""COMPUTED_VALUE"""),"LinhNTT1")</f>
        <v>LinhNTT1</v>
      </c>
    </row>
    <row r="196">
      <c r="A196" s="265" t="str">
        <f>IFERROR(__xludf.DUMMYFUNCTION("""COMPUTED_VALUE"""),"245")</f>
        <v>245</v>
      </c>
      <c r="B196" s="265" t="str">
        <f>IFERROR(__xludf.DUMMYFUNCTION("""COMPUTED_VALUE"""),"Hà Nội")</f>
        <v>Hà Nội</v>
      </c>
      <c r="C196" s="265" t="str">
        <f>IFERROR(__xludf.DUMMYFUNCTION("""COMPUTED_VALUE"""),"Active")</f>
        <v>Active</v>
      </c>
      <c r="D196" s="265" t="str">
        <f>IFERROR(__xludf.DUMMYFUNCTION("""COMPUTED_VALUE"""),"Sale chưa cung cấp")</f>
        <v>Sale chưa cung cấp</v>
      </c>
      <c r="E196" s="265" t="str">
        <f>IFERROR(__xludf.DUMMYFUNCTION("""COMPUTED_VALUE"""),"AnhNM")</f>
        <v>AnhNM</v>
      </c>
      <c r="F196" s="265" t="str">
        <f>IFERROR(__xludf.DUMMYFUNCTION("""COMPUTED_VALUE"""),"Gold")</f>
        <v>Gold</v>
      </c>
      <c r="G196" s="265" t="str">
        <f>IFERROR(__xludf.DUMMYFUNCTION("""COMPUTED_VALUE"""),"Starter")</f>
        <v>Starter</v>
      </c>
      <c r="H196" s="265" t="str">
        <f>IFERROR(__xludf.DUMMYFUNCTION("""COMPUTED_VALUE"""),"Trả sau")</f>
        <v>Trả sau</v>
      </c>
      <c r="I196" s="265" t="str">
        <f>IFERROR(__xludf.DUMMYFUNCTION("""COMPUTED_VALUE"""),"Portal")</f>
        <v>Portal</v>
      </c>
      <c r="J196" s="265" t="str">
        <f>IFERROR(__xludf.DUMMYFUNCTION("""COMPUTED_VALUE"""),"Zalo ZNS")</f>
        <v>Zalo ZNS</v>
      </c>
      <c r="K196" s="265" t="str">
        <f>IFERROR(__xludf.DUMMYFUNCTION("""COMPUTED_VALUE"""),"DungPL")</f>
        <v>DungPL</v>
      </c>
    </row>
    <row r="197">
      <c r="A197" s="265" t="str">
        <f>IFERROR(__xludf.DUMMYFUNCTION("""COMPUTED_VALUE"""),"516")</f>
        <v>516</v>
      </c>
      <c r="B197" s="265" t="str">
        <f>IFERROR(__xludf.DUMMYFUNCTION("""COMPUTED_VALUE"""),"Sài Gòn")</f>
        <v>Sài Gòn</v>
      </c>
      <c r="C197" s="265" t="str">
        <f>IFERROR(__xludf.DUMMYFUNCTION("""COMPUTED_VALUE"""),"Active")</f>
        <v>Active</v>
      </c>
      <c r="D197" s="265" t="str">
        <f>IFERROR(__xludf.DUMMYFUNCTION("""COMPUTED_VALUE"""),"Sale chưa cung cấp")</f>
        <v>Sale chưa cung cấp</v>
      </c>
      <c r="E197" s="265" t="str">
        <f>IFERROR(__xludf.DUMMYFUNCTION("""COMPUTED_VALUE"""),"TúPHN")</f>
        <v>TúPHN</v>
      </c>
      <c r="F197" s="265" t="str">
        <f>IFERROR(__xludf.DUMMYFUNCTION("""COMPUTED_VALUE"""),"Gold")</f>
        <v>Gold</v>
      </c>
      <c r="G197" s="265" t="str">
        <f>IFERROR(__xludf.DUMMYFUNCTION("""COMPUTED_VALUE"""),"Premium")</f>
        <v>Premium</v>
      </c>
      <c r="H197" s="265" t="str">
        <f>IFERROR(__xludf.DUMMYFUNCTION("""COMPUTED_VALUE"""),"Trả sau")</f>
        <v>Trả sau</v>
      </c>
      <c r="I197" s="265" t="str">
        <f>IFERROR(__xludf.DUMMYFUNCTION("""COMPUTED_VALUE"""),"API &amp; Portal")</f>
        <v>API &amp; Portal</v>
      </c>
      <c r="J197" s="265" t="str">
        <f>IFERROR(__xludf.DUMMYFUNCTION("""COMPUTED_VALUE"""),"SMS CSKH")</f>
        <v>SMS CSKH</v>
      </c>
      <c r="K197" s="265" t="str">
        <f>IFERROR(__xludf.DUMMYFUNCTION("""COMPUTED_VALUE"""),"LinhNTT1")</f>
        <v>LinhNTT1</v>
      </c>
    </row>
    <row r="198">
      <c r="A198" s="265" t="str">
        <f>IFERROR(__xludf.DUMMYFUNCTION("""COMPUTED_VALUE"""),"514")</f>
        <v>514</v>
      </c>
      <c r="B198" s="265" t="str">
        <f>IFERROR(__xludf.DUMMYFUNCTION("""COMPUTED_VALUE"""),"Hà Nội")</f>
        <v>Hà Nội</v>
      </c>
      <c r="C198" s="265" t="str">
        <f>IFERROR(__xludf.DUMMYFUNCTION("""COMPUTED_VALUE"""),"Locked")</f>
        <v>Locked</v>
      </c>
      <c r="D198" s="265" t="str">
        <f>IFERROR(__xludf.DUMMYFUNCTION("""COMPUTED_VALUE"""),"Sale chưa cung cấp")</f>
        <v>Sale chưa cung cấp</v>
      </c>
      <c r="E198" s="265" t="str">
        <f>IFERROR(__xludf.DUMMYFUNCTION("""COMPUTED_VALUE"""),"HangNT")</f>
        <v>HangNT</v>
      </c>
      <c r="F198" s="265" t="str">
        <f>IFERROR(__xludf.DUMMYFUNCTION("""COMPUTED_VALUE"""),"Sale chưa cung cấp")</f>
        <v>Sale chưa cung cấp</v>
      </c>
      <c r="G198" s="265" t="str">
        <f>IFERROR(__xludf.DUMMYFUNCTION("""COMPUTED_VALUE"""),"Enterprise")</f>
        <v>Enterprise</v>
      </c>
      <c r="H198" s="265" t="str">
        <f>IFERROR(__xludf.DUMMYFUNCTION("""COMPUTED_VALUE"""),"(Chưa recheck)")</f>
        <v>(Chưa recheck)</v>
      </c>
      <c r="I198" s="265" t="str">
        <f>IFERROR(__xludf.DUMMYFUNCTION("""COMPUTED_VALUE"""),"(Chưa recheck)")</f>
        <v>(Chưa recheck)</v>
      </c>
      <c r="J198" s="265" t="str">
        <f>IFERROR(__xludf.DUMMYFUNCTION("""COMPUTED_VALUE"""),"(Chưa recheck)")</f>
        <v>(Chưa recheck)</v>
      </c>
      <c r="K198" s="265" t="str">
        <f>IFERROR(__xludf.DUMMYFUNCTION("""COMPUTED_VALUE"""),"DungPL")</f>
        <v>DungPL</v>
      </c>
    </row>
    <row r="199">
      <c r="A199" s="265" t="str">
        <f>IFERROR(__xludf.DUMMYFUNCTION("""COMPUTED_VALUE"""),"517")</f>
        <v>517</v>
      </c>
      <c r="B199" s="265" t="str">
        <f>IFERROR(__xludf.DUMMYFUNCTION("""COMPUTED_VALUE"""),"Sài Gòn")</f>
        <v>Sài Gòn</v>
      </c>
      <c r="C199" s="265" t="str">
        <f>IFERROR(__xludf.DUMMYFUNCTION("""COMPUTED_VALUE"""),"Active")</f>
        <v>Active</v>
      </c>
      <c r="D199" s="265" t="str">
        <f>IFERROR(__xludf.DUMMYFUNCTION("""COMPUTED_VALUE"""),"Sale chưa cung cấp")</f>
        <v>Sale chưa cung cấp</v>
      </c>
      <c r="E199" s="265" t="str">
        <f>IFERROR(__xludf.DUMMYFUNCTION("""COMPUTED_VALUE"""),"TúPHN")</f>
        <v>TúPHN</v>
      </c>
      <c r="F199" s="265" t="str">
        <f>IFERROR(__xludf.DUMMYFUNCTION("""COMPUTED_VALUE"""),"Silver")</f>
        <v>Silver</v>
      </c>
      <c r="G199" s="265" t="str">
        <f>IFERROR(__xludf.DUMMYFUNCTION("""COMPUTED_VALUE"""),"Starter")</f>
        <v>Starter</v>
      </c>
      <c r="H199" s="265" t="str">
        <f>IFERROR(__xludf.DUMMYFUNCTION("""COMPUTED_VALUE"""),"Trả trước")</f>
        <v>Trả trước</v>
      </c>
      <c r="I199" s="265" t="str">
        <f>IFERROR(__xludf.DUMMYFUNCTION("""COMPUTED_VALUE"""),"API &amp; Portal")</f>
        <v>API &amp; Portal</v>
      </c>
      <c r="J199" s="265" t="str">
        <f>IFERROR(__xludf.DUMMYFUNCTION("""COMPUTED_VALUE"""),"Zalo ZNS")</f>
        <v>Zalo ZNS</v>
      </c>
      <c r="K199" s="265" t="str">
        <f>IFERROR(__xludf.DUMMYFUNCTION("""COMPUTED_VALUE"""),"DungPL")</f>
        <v>DungPL</v>
      </c>
    </row>
    <row r="200">
      <c r="A200" s="265" t="str">
        <f>IFERROR(__xludf.DUMMYFUNCTION("""COMPUTED_VALUE"""),"518")</f>
        <v>518</v>
      </c>
      <c r="B200" s="265" t="str">
        <f>IFERROR(__xludf.DUMMYFUNCTION("""COMPUTED_VALUE"""),"Hà Nội")</f>
        <v>Hà Nội</v>
      </c>
      <c r="C200" s="265" t="str">
        <f>IFERROR(__xludf.DUMMYFUNCTION("""COMPUTED_VALUE"""),"Active")</f>
        <v>Active</v>
      </c>
      <c r="D200" s="265" t="str">
        <f>IFERROR(__xludf.DUMMYFUNCTION("""COMPUTED_VALUE"""),"Mỹ phẩm &amp; Làm đẹp")</f>
        <v>Mỹ phẩm &amp; Làm đẹp</v>
      </c>
      <c r="E200" s="265" t="str">
        <f>IFERROR(__xludf.DUMMYFUNCTION("""COMPUTED_VALUE"""),"TúPHN")</f>
        <v>TúPHN</v>
      </c>
      <c r="F200" s="265" t="str">
        <f>IFERROR(__xludf.DUMMYFUNCTION("""COMPUTED_VALUE"""),"Gold")</f>
        <v>Gold</v>
      </c>
      <c r="G200" s="265" t="str">
        <f>IFERROR(__xludf.DUMMYFUNCTION("""COMPUTED_VALUE"""),"Enterprise")</f>
        <v>Enterprise</v>
      </c>
      <c r="H200" s="265" t="str">
        <f>IFERROR(__xludf.DUMMYFUNCTION("""COMPUTED_VALUE"""),"Trả sau")</f>
        <v>Trả sau</v>
      </c>
      <c r="I200" s="265" t="str">
        <f>IFERROR(__xludf.DUMMYFUNCTION("""COMPUTED_VALUE"""),"API &amp; Portal")</f>
        <v>API &amp; Portal</v>
      </c>
      <c r="J200" s="265" t="str">
        <f>IFERROR(__xludf.DUMMYFUNCTION("""COMPUTED_VALUE"""),"Zalo ZNS")</f>
        <v>Zalo ZNS</v>
      </c>
      <c r="K200" s="265" t="str">
        <f>IFERROR(__xludf.DUMMYFUNCTION("""COMPUTED_VALUE"""),"DungPL")</f>
        <v>DungPL</v>
      </c>
    </row>
    <row r="201">
      <c r="A201" s="265" t="str">
        <f>IFERROR(__xludf.DUMMYFUNCTION("""COMPUTED_VALUE"""),"519")</f>
        <v>519</v>
      </c>
      <c r="B201" s="265" t="str">
        <f>IFERROR(__xludf.DUMMYFUNCTION("""COMPUTED_VALUE"""),"Sài Gòn")</f>
        <v>Sài Gòn</v>
      </c>
      <c r="C201" s="265" t="str">
        <f>IFERROR(__xludf.DUMMYFUNCTION("""COMPUTED_VALUE"""),"Active")</f>
        <v>Active</v>
      </c>
      <c r="D201" s="265" t="str">
        <f>IFERROR(__xludf.DUMMYFUNCTION("""COMPUTED_VALUE"""),"Sale chưa cung cấp")</f>
        <v>Sale chưa cung cấp</v>
      </c>
      <c r="E201" s="265" t="str">
        <f>IFERROR(__xludf.DUMMYFUNCTION("""COMPUTED_VALUE"""),"TúPHN")</f>
        <v>TúPHN</v>
      </c>
      <c r="F201" s="265" t="str">
        <f>IFERROR(__xludf.DUMMYFUNCTION("""COMPUTED_VALUE"""),"Silver")</f>
        <v>Silver</v>
      </c>
      <c r="G201" s="265" t="str">
        <f>IFERROR(__xludf.DUMMYFUNCTION("""COMPUTED_VALUE"""),"Starter")</f>
        <v>Starter</v>
      </c>
      <c r="H201" s="265" t="str">
        <f>IFERROR(__xludf.DUMMYFUNCTION("""COMPUTED_VALUE"""),"Trả sau")</f>
        <v>Trả sau</v>
      </c>
      <c r="I201" s="265" t="str">
        <f>IFERROR(__xludf.DUMMYFUNCTION("""COMPUTED_VALUE"""),"API &amp; Portal")</f>
        <v>API &amp; Portal</v>
      </c>
      <c r="J201" s="265" t="str">
        <f>IFERROR(__xludf.DUMMYFUNCTION("""COMPUTED_VALUE"""),"SMS CSKH")</f>
        <v>SMS CSKH</v>
      </c>
      <c r="K201" s="265" t="str">
        <f>IFERROR(__xludf.DUMMYFUNCTION("""COMPUTED_VALUE"""),"DungPL")</f>
        <v>DungPL</v>
      </c>
    </row>
    <row r="202">
      <c r="A202" s="265" t="str">
        <f>IFERROR(__xludf.DUMMYFUNCTION("""COMPUTED_VALUE"""),"519")</f>
        <v>519</v>
      </c>
      <c r="B202" s="265" t="str">
        <f>IFERROR(__xludf.DUMMYFUNCTION("""COMPUTED_VALUE"""),"Sài Gòn")</f>
        <v>Sài Gòn</v>
      </c>
      <c r="C202" s="265" t="str">
        <f>IFERROR(__xludf.DUMMYFUNCTION("""COMPUTED_VALUE"""),"Active")</f>
        <v>Active</v>
      </c>
      <c r="D202" s="265" t="str">
        <f>IFERROR(__xludf.DUMMYFUNCTION("""COMPUTED_VALUE"""),"Sale chưa cung cấp")</f>
        <v>Sale chưa cung cấp</v>
      </c>
      <c r="E202" s="265" t="str">
        <f>IFERROR(__xludf.DUMMYFUNCTION("""COMPUTED_VALUE"""),"TúPHN")</f>
        <v>TúPHN</v>
      </c>
      <c r="F202" s="265" t="str">
        <f>IFERROR(__xludf.DUMMYFUNCTION("""COMPUTED_VALUE"""),"Silver")</f>
        <v>Silver</v>
      </c>
      <c r="G202" s="265" t="str">
        <f>IFERROR(__xludf.DUMMYFUNCTION("""COMPUTED_VALUE"""),"Starter")</f>
        <v>Starter</v>
      </c>
      <c r="H202" s="265" t="str">
        <f>IFERROR(__xludf.DUMMYFUNCTION("""COMPUTED_VALUE"""),"Trả sau")</f>
        <v>Trả sau</v>
      </c>
      <c r="I202" s="265" t="str">
        <f>IFERROR(__xludf.DUMMYFUNCTION("""COMPUTED_VALUE"""),"API &amp; Portal")</f>
        <v>API &amp; Portal</v>
      </c>
      <c r="J202" s="265" t="str">
        <f>IFERROR(__xludf.DUMMYFUNCTION("""COMPUTED_VALUE"""),"Zalo ZNS")</f>
        <v>Zalo ZNS</v>
      </c>
      <c r="K202" s="265" t="str">
        <f>IFERROR(__xludf.DUMMYFUNCTION("""COMPUTED_VALUE"""),"DungPL")</f>
        <v>DungPL</v>
      </c>
    </row>
    <row r="203">
      <c r="A203" s="265" t="str">
        <f>IFERROR(__xludf.DUMMYFUNCTION("""COMPUTED_VALUE"""),"520")</f>
        <v>520</v>
      </c>
      <c r="B203" s="265" t="str">
        <f>IFERROR(__xludf.DUMMYFUNCTION("""COMPUTED_VALUE"""),"Sài Gòn")</f>
        <v>Sài Gòn</v>
      </c>
      <c r="C203" s="265" t="str">
        <f>IFERROR(__xludf.DUMMYFUNCTION("""COMPUTED_VALUE"""),"Locked")</f>
        <v>Locked</v>
      </c>
      <c r="D203" s="265" t="str">
        <f>IFERROR(__xludf.DUMMYFUNCTION("""COMPUTED_VALUE"""),"Sale chưa cung cấp")</f>
        <v>Sale chưa cung cấp</v>
      </c>
      <c r="E203" s="265" t="str">
        <f>IFERROR(__xludf.DUMMYFUNCTION("""COMPUTED_VALUE"""),"HoaNTM")</f>
        <v>HoaNTM</v>
      </c>
      <c r="F203" s="265" t="str">
        <f>IFERROR(__xludf.DUMMYFUNCTION("""COMPUTED_VALUE"""),"Bronze")</f>
        <v>Bronze</v>
      </c>
      <c r="G203" s="265" t="str">
        <f>IFERROR(__xludf.DUMMYFUNCTION("""COMPUTED_VALUE"""),"Enterprise")</f>
        <v>Enterprise</v>
      </c>
      <c r="H203" s="265" t="str">
        <f>IFERROR(__xludf.DUMMYFUNCTION("""COMPUTED_VALUE"""),"(Chưa recheck)")</f>
        <v>(Chưa recheck)</v>
      </c>
      <c r="I203" s="265" t="str">
        <f>IFERROR(__xludf.DUMMYFUNCTION("""COMPUTED_VALUE"""),"(Chưa recheck)")</f>
        <v>(Chưa recheck)</v>
      </c>
      <c r="J203" s="265" t="str">
        <f>IFERROR(__xludf.DUMMYFUNCTION("""COMPUTED_VALUE"""),"(Chưa recheck)")</f>
        <v>(Chưa recheck)</v>
      </c>
      <c r="K203" s="265" t="str">
        <f>IFERROR(__xludf.DUMMYFUNCTION("""COMPUTED_VALUE"""),"AnhNM")</f>
        <v>AnhNM</v>
      </c>
    </row>
    <row r="204">
      <c r="A204" s="265" t="str">
        <f>IFERROR(__xludf.DUMMYFUNCTION("""COMPUTED_VALUE"""),"540")</f>
        <v>540</v>
      </c>
      <c r="B204" s="265" t="str">
        <f>IFERROR(__xludf.DUMMYFUNCTION("""COMPUTED_VALUE"""),"Hà Nội")</f>
        <v>Hà Nội</v>
      </c>
      <c r="C204" s="265" t="str">
        <f>IFERROR(__xludf.DUMMYFUNCTION("""COMPUTED_VALUE"""),"Active")</f>
        <v>Active</v>
      </c>
      <c r="D204" s="265" t="str">
        <f>IFERROR(__xludf.DUMMYFUNCTION("""COMPUTED_VALUE"""),"Sale chưa cung cấp")</f>
        <v>Sale chưa cung cấp</v>
      </c>
      <c r="E204" s="265" t="str">
        <f>IFERROR(__xludf.DUMMYFUNCTION("""COMPUTED_VALUE"""),"TùngLD")</f>
        <v>TùngLD</v>
      </c>
      <c r="F204" s="265" t="str">
        <f>IFERROR(__xludf.DUMMYFUNCTION("""COMPUTED_VALUE"""),"Bronze")</f>
        <v>Bronze</v>
      </c>
      <c r="G204" s="265" t="str">
        <f>IFERROR(__xludf.DUMMYFUNCTION("""COMPUTED_VALUE"""),"Starter")</f>
        <v>Starter</v>
      </c>
      <c r="H204" s="265" t="str">
        <f>IFERROR(__xludf.DUMMYFUNCTION("""COMPUTED_VALUE"""),"Trả sau")</f>
        <v>Trả sau</v>
      </c>
      <c r="I204" s="265" t="str">
        <f>IFERROR(__xludf.DUMMYFUNCTION("""COMPUTED_VALUE"""),"API")</f>
        <v>API</v>
      </c>
      <c r="J204" s="265" t="str">
        <f>IFERROR(__xludf.DUMMYFUNCTION("""COMPUTED_VALUE"""),"SMS CSKH")</f>
        <v>SMS CSKH</v>
      </c>
      <c r="K204" s="265" t="str">
        <f>IFERROR(__xludf.DUMMYFUNCTION("""COMPUTED_VALUE"""),"DungPL")</f>
        <v>DungPL</v>
      </c>
    </row>
    <row r="205">
      <c r="A205" s="265" t="str">
        <f>IFERROR(__xludf.DUMMYFUNCTION("""COMPUTED_VALUE"""),"540")</f>
        <v>540</v>
      </c>
      <c r="B205" s="265" t="str">
        <f>IFERROR(__xludf.DUMMYFUNCTION("""COMPUTED_VALUE"""),"Hà Nội")</f>
        <v>Hà Nội</v>
      </c>
      <c r="C205" s="265" t="str">
        <f>IFERROR(__xludf.DUMMYFUNCTION("""COMPUTED_VALUE"""),"Active")</f>
        <v>Active</v>
      </c>
      <c r="D205" s="265" t="str">
        <f>IFERROR(__xludf.DUMMYFUNCTION("""COMPUTED_VALUE"""),"Sale chưa cung cấp")</f>
        <v>Sale chưa cung cấp</v>
      </c>
      <c r="E205" s="265" t="str">
        <f>IFERROR(__xludf.DUMMYFUNCTION("""COMPUTED_VALUE"""),"TùngLD")</f>
        <v>TùngLD</v>
      </c>
      <c r="F205" s="265" t="str">
        <f>IFERROR(__xludf.DUMMYFUNCTION("""COMPUTED_VALUE"""),"Bronze")</f>
        <v>Bronze</v>
      </c>
      <c r="G205" s="265" t="str">
        <f>IFERROR(__xludf.DUMMYFUNCTION("""COMPUTED_VALUE"""),"Starter")</f>
        <v>Starter</v>
      </c>
      <c r="H205" s="265" t="str">
        <f>IFERROR(__xludf.DUMMYFUNCTION("""COMPUTED_VALUE"""),"Trả sau")</f>
        <v>Trả sau</v>
      </c>
      <c r="I205" s="265" t="str">
        <f>IFERROR(__xludf.DUMMYFUNCTION("""COMPUTED_VALUE"""),"API")</f>
        <v>API</v>
      </c>
      <c r="J205" s="265" t="str">
        <f>IFERROR(__xludf.DUMMYFUNCTION("""COMPUTED_VALUE"""),"SMS QC")</f>
        <v>SMS QC</v>
      </c>
      <c r="K205" s="265" t="str">
        <f>IFERROR(__xludf.DUMMYFUNCTION("""COMPUTED_VALUE"""),"DungPL")</f>
        <v>DungPL</v>
      </c>
    </row>
    <row r="206">
      <c r="A206" s="265" t="str">
        <f>IFERROR(__xludf.DUMMYFUNCTION("""COMPUTED_VALUE"""),"540")</f>
        <v>540</v>
      </c>
      <c r="B206" s="265" t="str">
        <f>IFERROR(__xludf.DUMMYFUNCTION("""COMPUTED_VALUE"""),"Hà Nội")</f>
        <v>Hà Nội</v>
      </c>
      <c r="C206" s="265" t="str">
        <f>IFERROR(__xludf.DUMMYFUNCTION("""COMPUTED_VALUE"""),"Active")</f>
        <v>Active</v>
      </c>
      <c r="D206" s="265" t="str">
        <f>IFERROR(__xludf.DUMMYFUNCTION("""COMPUTED_VALUE"""),"Sale chưa cung cấp")</f>
        <v>Sale chưa cung cấp</v>
      </c>
      <c r="E206" s="265" t="str">
        <f>IFERROR(__xludf.DUMMYFUNCTION("""COMPUTED_VALUE"""),"TùngLD")</f>
        <v>TùngLD</v>
      </c>
      <c r="F206" s="265" t="str">
        <f>IFERROR(__xludf.DUMMYFUNCTION("""COMPUTED_VALUE"""),"Bronze")</f>
        <v>Bronze</v>
      </c>
      <c r="G206" s="265" t="str">
        <f>IFERROR(__xludf.DUMMYFUNCTION("""COMPUTED_VALUE"""),"Starter")</f>
        <v>Starter</v>
      </c>
      <c r="H206" s="265" t="str">
        <f>IFERROR(__xludf.DUMMYFUNCTION("""COMPUTED_VALUE"""),"Trả sau")</f>
        <v>Trả sau</v>
      </c>
      <c r="I206" s="265" t="str">
        <f>IFERROR(__xludf.DUMMYFUNCTION("""COMPUTED_VALUE"""),"API")</f>
        <v>API</v>
      </c>
      <c r="J206" s="265" t="str">
        <f>IFERROR(__xludf.DUMMYFUNCTION("""COMPUTED_VALUE"""),"Zalo ZNS")</f>
        <v>Zalo ZNS</v>
      </c>
      <c r="K206" s="265" t="str">
        <f>IFERROR(__xludf.DUMMYFUNCTION("""COMPUTED_VALUE"""),"DungPL")</f>
        <v>DungPL</v>
      </c>
    </row>
    <row r="207">
      <c r="A207" s="265" t="str">
        <f>IFERROR(__xludf.DUMMYFUNCTION("""COMPUTED_VALUE"""),"521")</f>
        <v>521</v>
      </c>
      <c r="B207" s="265" t="str">
        <f>IFERROR(__xludf.DUMMYFUNCTION("""COMPUTED_VALUE"""),"Hà Nội")</f>
        <v>Hà Nội</v>
      </c>
      <c r="C207" s="265" t="str">
        <f>IFERROR(__xludf.DUMMYFUNCTION("""COMPUTED_VALUE"""),"Locked")</f>
        <v>Locked</v>
      </c>
      <c r="D207" s="265" t="str">
        <f>IFERROR(__xludf.DUMMYFUNCTION("""COMPUTED_VALUE"""),"Sale chưa cung cấp")</f>
        <v>Sale chưa cung cấp</v>
      </c>
      <c r="E207" s="265" t="str">
        <f>IFERROR(__xludf.DUMMYFUNCTION("""COMPUTED_VALUE"""),"PhươngDTB")</f>
        <v>PhươngDTB</v>
      </c>
      <c r="F207" s="265" t="str">
        <f>IFERROR(__xludf.DUMMYFUNCTION("""COMPUTED_VALUE"""),"Bronze")</f>
        <v>Bronze</v>
      </c>
      <c r="G207" s="265" t="str">
        <f>IFERROR(__xludf.DUMMYFUNCTION("""COMPUTED_VALUE"""),"Enterprise")</f>
        <v>Enterprise</v>
      </c>
      <c r="H207" s="265" t="str">
        <f>IFERROR(__xludf.DUMMYFUNCTION("""COMPUTED_VALUE"""),"(Chưa recheck)")</f>
        <v>(Chưa recheck)</v>
      </c>
      <c r="I207" s="265" t="str">
        <f>IFERROR(__xludf.DUMMYFUNCTION("""COMPUTED_VALUE"""),"(Chưa recheck)")</f>
        <v>(Chưa recheck)</v>
      </c>
      <c r="J207" s="265" t="str">
        <f>IFERROR(__xludf.DUMMYFUNCTION("""COMPUTED_VALUE"""),"(Chưa recheck)")</f>
        <v>(Chưa recheck)</v>
      </c>
      <c r="K207" s="265" t="str">
        <f>IFERROR(__xludf.DUMMYFUNCTION("""COMPUTED_VALUE"""),"AnhNM")</f>
        <v>AnhNM</v>
      </c>
    </row>
    <row r="208">
      <c r="A208" s="265" t="str">
        <f>IFERROR(__xludf.DUMMYFUNCTION("""COMPUTED_VALUE"""),"522")</f>
        <v>522</v>
      </c>
      <c r="B208" s="265" t="str">
        <f>IFERROR(__xludf.DUMMYFUNCTION("""COMPUTED_VALUE"""),"Hà Nội")</f>
        <v>Hà Nội</v>
      </c>
      <c r="C208" s="265" t="str">
        <f>IFERROR(__xludf.DUMMYFUNCTION("""COMPUTED_VALUE"""),"Locked")</f>
        <v>Locked</v>
      </c>
      <c r="D208" s="265" t="str">
        <f>IFERROR(__xludf.DUMMYFUNCTION("""COMPUTED_VALUE"""),"Sale chưa cung cấp")</f>
        <v>Sale chưa cung cấp</v>
      </c>
      <c r="E208" s="265" t="str">
        <f>IFERROR(__xludf.DUMMYFUNCTION("""COMPUTED_VALUE"""),"TùngLD")</f>
        <v>TùngLD</v>
      </c>
      <c r="F208" s="265" t="str">
        <f>IFERROR(__xludf.DUMMYFUNCTION("""COMPUTED_VALUE"""),"Sale chưa cung cấp")</f>
        <v>Sale chưa cung cấp</v>
      </c>
      <c r="G208" s="265" t="str">
        <f>IFERROR(__xludf.DUMMYFUNCTION("""COMPUTED_VALUE"""),"API")</f>
        <v>API</v>
      </c>
      <c r="H208" s="265" t="str">
        <f>IFERROR(__xludf.DUMMYFUNCTION("""COMPUTED_VALUE"""),"Trial")</f>
        <v>Trial</v>
      </c>
      <c r="I208" s="265" t="str">
        <f>IFERROR(__xludf.DUMMYFUNCTION("""COMPUTED_VALUE"""),"API")</f>
        <v>API</v>
      </c>
      <c r="J208" s="265" t="str">
        <f>IFERROR(__xludf.DUMMYFUNCTION("""COMPUTED_VALUE"""),"(Không recheck)")</f>
        <v>(Không recheck)</v>
      </c>
      <c r="K208" s="265" t="str">
        <f>IFERROR(__xludf.DUMMYFUNCTION("""COMPUTED_VALUE"""),"(Không recheck)")</f>
        <v>(Không recheck)</v>
      </c>
    </row>
    <row r="209">
      <c r="A209" s="265" t="str">
        <f>IFERROR(__xludf.DUMMYFUNCTION("""COMPUTED_VALUE"""),"523")</f>
        <v>523</v>
      </c>
      <c r="B209" s="265" t="str">
        <f>IFERROR(__xludf.DUMMYFUNCTION("""COMPUTED_VALUE"""),"Hà Nội")</f>
        <v>Hà Nội</v>
      </c>
      <c r="C209" s="265" t="str">
        <f>IFERROR(__xludf.DUMMYFUNCTION("""COMPUTED_VALUE"""),"Locked")</f>
        <v>Locked</v>
      </c>
      <c r="D209" s="265" t="str">
        <f>IFERROR(__xludf.DUMMYFUNCTION("""COMPUTED_VALUE"""),"Sale chưa cung cấp")</f>
        <v>Sale chưa cung cấp</v>
      </c>
      <c r="E209" s="265" t="str">
        <f>IFERROR(__xludf.DUMMYFUNCTION("""COMPUTED_VALUE"""),"TùngLD")</f>
        <v>TùngLD</v>
      </c>
      <c r="F209" s="265" t="str">
        <f>IFERROR(__xludf.DUMMYFUNCTION("""COMPUTED_VALUE"""),"Bronze")</f>
        <v>Bronze</v>
      </c>
      <c r="G209" s="265" t="str">
        <f>IFERROR(__xludf.DUMMYFUNCTION("""COMPUTED_VALUE"""),"API")</f>
        <v>API</v>
      </c>
      <c r="H209" s="265" t="str">
        <f>IFERROR(__xludf.DUMMYFUNCTION("""COMPUTED_VALUE"""),"Trả sau")</f>
        <v>Trả sau</v>
      </c>
      <c r="I209" s="265" t="str">
        <f>IFERROR(__xludf.DUMMYFUNCTION("""COMPUTED_VALUE"""),"API &amp; Portal")</f>
        <v>API &amp; Portal</v>
      </c>
      <c r="J209" s="265" t="str">
        <f>IFERROR(__xludf.DUMMYFUNCTION("""COMPUTED_VALUE"""),"Tất cả")</f>
        <v>Tất cả</v>
      </c>
      <c r="K209" s="265" t="str">
        <f>IFERROR(__xludf.DUMMYFUNCTION("""COMPUTED_VALUE"""),"AnhNM")</f>
        <v>AnhNM</v>
      </c>
    </row>
    <row r="210">
      <c r="A210" s="265" t="str">
        <f>IFERROR(__xludf.DUMMYFUNCTION("""COMPUTED_VALUE"""),"524")</f>
        <v>524</v>
      </c>
      <c r="B210" s="265" t="str">
        <f>IFERROR(__xludf.DUMMYFUNCTION("""COMPUTED_VALUE"""),"Sài Gòn")</f>
        <v>Sài Gòn</v>
      </c>
      <c r="C210" s="265" t="str">
        <f>IFERROR(__xludf.DUMMYFUNCTION("""COMPUTED_VALUE"""),"Active")</f>
        <v>Active</v>
      </c>
      <c r="D210" s="265" t="str">
        <f>IFERROR(__xludf.DUMMYFUNCTION("""COMPUTED_VALUE"""),"Mua sắm &amp; Bán lẻ")</f>
        <v>Mua sắm &amp; Bán lẻ</v>
      </c>
      <c r="E210" s="265" t="str">
        <f>IFERROR(__xludf.DUMMYFUNCTION("""COMPUTED_VALUE"""),"TùngLD")</f>
        <v>TùngLD</v>
      </c>
      <c r="F210" s="265" t="str">
        <f>IFERROR(__xludf.DUMMYFUNCTION("""COMPUTED_VALUE"""),"Silver")</f>
        <v>Silver</v>
      </c>
      <c r="G210" s="265" t="str">
        <f>IFERROR(__xludf.DUMMYFUNCTION("""COMPUTED_VALUE"""),"Enterprise")</f>
        <v>Enterprise</v>
      </c>
      <c r="H210" s="265" t="str">
        <f>IFERROR(__xludf.DUMMYFUNCTION("""COMPUTED_VALUE"""),"Trả trước")</f>
        <v>Trả trước</v>
      </c>
      <c r="I210" s="265" t="str">
        <f>IFERROR(__xludf.DUMMYFUNCTION("""COMPUTED_VALUE"""),"API &amp; Portal")</f>
        <v>API &amp; Portal</v>
      </c>
      <c r="J210" s="265" t="str">
        <f>IFERROR(__xludf.DUMMYFUNCTION("""COMPUTED_VALUE"""),"Zalo ZNS")</f>
        <v>Zalo ZNS</v>
      </c>
      <c r="K210" s="265" t="str">
        <f>IFERROR(__xludf.DUMMYFUNCTION("""COMPUTED_VALUE"""),"DungPL")</f>
        <v>DungPL</v>
      </c>
    </row>
    <row r="211">
      <c r="A211" s="265" t="str">
        <f>IFERROR(__xludf.DUMMYFUNCTION("""COMPUTED_VALUE"""),"525")</f>
        <v>525</v>
      </c>
      <c r="B211" s="265" t="str">
        <f>IFERROR(__xludf.DUMMYFUNCTION("""COMPUTED_VALUE"""),"Sài Gòn")</f>
        <v>Sài Gòn</v>
      </c>
      <c r="C211" s="265" t="str">
        <f>IFERROR(__xludf.DUMMYFUNCTION("""COMPUTED_VALUE"""),"Locked")</f>
        <v>Locked</v>
      </c>
      <c r="D211" s="265" t="str">
        <f>IFERROR(__xludf.DUMMYFUNCTION("""COMPUTED_VALUE"""),"Sale chưa cung cấp")</f>
        <v>Sale chưa cung cấp</v>
      </c>
      <c r="E211" s="265" t="str">
        <f>IFERROR(__xludf.DUMMYFUNCTION("""COMPUTED_VALUE"""),"HoaNTM")</f>
        <v>HoaNTM</v>
      </c>
      <c r="F211" s="265" t="str">
        <f>IFERROR(__xludf.DUMMYFUNCTION("""COMPUTED_VALUE"""),"Diamond")</f>
        <v>Diamond</v>
      </c>
      <c r="G211" s="265" t="str">
        <f>IFERROR(__xludf.DUMMYFUNCTION("""COMPUTED_VALUE"""),"API")</f>
        <v>API</v>
      </c>
      <c r="H211" s="265" t="str">
        <f>IFERROR(__xludf.DUMMYFUNCTION("""COMPUTED_VALUE"""),"Trả sau")</f>
        <v>Trả sau</v>
      </c>
      <c r="I211" s="265" t="str">
        <f>IFERROR(__xludf.DUMMYFUNCTION("""COMPUTED_VALUE"""),"(Chưa recheck)")</f>
        <v>(Chưa recheck)</v>
      </c>
      <c r="J211" s="265" t="str">
        <f>IFERROR(__xludf.DUMMYFUNCTION("""COMPUTED_VALUE"""),"(Chưa recheck)")</f>
        <v>(Chưa recheck)</v>
      </c>
      <c r="K211" s="265" t="str">
        <f>IFERROR(__xludf.DUMMYFUNCTION("""COMPUTED_VALUE"""),"(Chưa recheck)")</f>
        <v>(Chưa recheck)</v>
      </c>
    </row>
    <row r="212">
      <c r="A212" s="265" t="str">
        <f>IFERROR(__xludf.DUMMYFUNCTION("""COMPUTED_VALUE"""),"526")</f>
        <v>526</v>
      </c>
      <c r="B212" s="265" t="str">
        <f>IFERROR(__xludf.DUMMYFUNCTION("""COMPUTED_VALUE"""),"Sài Gòn")</f>
        <v>Sài Gòn</v>
      </c>
      <c r="C212" s="265" t="str">
        <f>IFERROR(__xludf.DUMMYFUNCTION("""COMPUTED_VALUE"""),"Locked")</f>
        <v>Locked</v>
      </c>
      <c r="D212" s="265" t="str">
        <f>IFERROR(__xludf.DUMMYFUNCTION("""COMPUTED_VALUE"""),"Sale chưa cung cấp")</f>
        <v>Sale chưa cung cấp</v>
      </c>
      <c r="E212" s="265" t="str">
        <f>IFERROR(__xludf.DUMMYFUNCTION("""COMPUTED_VALUE"""),"HoaNTM")</f>
        <v>HoaNTM</v>
      </c>
      <c r="F212" s="265" t="str">
        <f>IFERROR(__xludf.DUMMYFUNCTION("""COMPUTED_VALUE"""),"Bronze")</f>
        <v>Bronze</v>
      </c>
      <c r="G212" s="265" t="str">
        <f>IFERROR(__xludf.DUMMYFUNCTION("""COMPUTED_VALUE"""),"Enterprise")</f>
        <v>Enterprise</v>
      </c>
      <c r="H212" s="265" t="str">
        <f>IFERROR(__xludf.DUMMYFUNCTION("""COMPUTED_VALUE"""),"(Chưa recheck)")</f>
        <v>(Chưa recheck)</v>
      </c>
      <c r="I212" s="265" t="str">
        <f>IFERROR(__xludf.DUMMYFUNCTION("""COMPUTED_VALUE"""),"(Chưa recheck)")</f>
        <v>(Chưa recheck)</v>
      </c>
      <c r="J212" s="265" t="str">
        <f>IFERROR(__xludf.DUMMYFUNCTION("""COMPUTED_VALUE"""),"(Chưa recheck)")</f>
        <v>(Chưa recheck)</v>
      </c>
      <c r="K212" s="265" t="str">
        <f>IFERROR(__xludf.DUMMYFUNCTION("""COMPUTED_VALUE"""),"(Chưa recheck)")</f>
        <v>(Chưa recheck)</v>
      </c>
    </row>
    <row r="213">
      <c r="A213" s="265" t="str">
        <f>IFERROR(__xludf.DUMMYFUNCTION("""COMPUTED_VALUE"""),"531")</f>
        <v>531</v>
      </c>
      <c r="B213" s="265" t="str">
        <f>IFERROR(__xludf.DUMMYFUNCTION("""COMPUTED_VALUE"""),"Sài Gòn")</f>
        <v>Sài Gòn</v>
      </c>
      <c r="C213" s="265" t="str">
        <f>IFERROR(__xludf.DUMMYFUNCTION("""COMPUTED_VALUE"""),"Locked")</f>
        <v>Locked</v>
      </c>
      <c r="D213" s="265" t="str">
        <f>IFERROR(__xludf.DUMMYFUNCTION("""COMPUTED_VALUE"""),"Sale chưa cung cấp")</f>
        <v>Sale chưa cung cấp</v>
      </c>
      <c r="E213" s="265" t="str">
        <f>IFERROR(__xludf.DUMMYFUNCTION("""COMPUTED_VALUE"""),"HoaNTM")</f>
        <v>HoaNTM</v>
      </c>
      <c r="F213" s="265" t="str">
        <f>IFERROR(__xludf.DUMMYFUNCTION("""COMPUTED_VALUE"""),"Sale chưa cung cấp")</f>
        <v>Sale chưa cung cấp</v>
      </c>
      <c r="G213" s="265" t="str">
        <f>IFERROR(__xludf.DUMMYFUNCTION("""COMPUTED_VALUE"""),"Enterprise")</f>
        <v>Enterprise</v>
      </c>
      <c r="H213" s="265" t="str">
        <f>IFERROR(__xludf.DUMMYFUNCTION("""COMPUTED_VALUE"""),"(Chưa recheck)")</f>
        <v>(Chưa recheck)</v>
      </c>
      <c r="I213" s="265" t="str">
        <f>IFERROR(__xludf.DUMMYFUNCTION("""COMPUTED_VALUE"""),"(Chưa recheck)")</f>
        <v>(Chưa recheck)</v>
      </c>
      <c r="J213" s="265" t="str">
        <f>IFERROR(__xludf.DUMMYFUNCTION("""COMPUTED_VALUE"""),"(Chưa recheck)")</f>
        <v>(Chưa recheck)</v>
      </c>
      <c r="K213" s="265" t="str">
        <f>IFERROR(__xludf.DUMMYFUNCTION("""COMPUTED_VALUE"""),"AnhNM")</f>
        <v>AnhNM</v>
      </c>
    </row>
    <row r="214">
      <c r="A214" s="265" t="str">
        <f>IFERROR(__xludf.DUMMYFUNCTION("""COMPUTED_VALUE"""),"527")</f>
        <v>527</v>
      </c>
      <c r="B214" s="265" t="str">
        <f>IFERROR(__xludf.DUMMYFUNCTION("""COMPUTED_VALUE"""),"Hà Nội")</f>
        <v>Hà Nội</v>
      </c>
      <c r="C214" s="265" t="str">
        <f>IFERROR(__xludf.DUMMYFUNCTION("""COMPUTED_VALUE"""),"Locked")</f>
        <v>Locked</v>
      </c>
      <c r="D214" s="265" t="str">
        <f>IFERROR(__xludf.DUMMYFUNCTION("""COMPUTED_VALUE"""),"Công nghệ &amp; Phần mềm")</f>
        <v>Công nghệ &amp; Phần mềm</v>
      </c>
      <c r="E214" s="265" t="str">
        <f>IFERROR(__xludf.DUMMYFUNCTION("""COMPUTED_VALUE"""),"TùngLD")</f>
        <v>TùngLD</v>
      </c>
      <c r="F214" s="265" t="str">
        <f>IFERROR(__xludf.DUMMYFUNCTION("""COMPUTED_VALUE"""),"Silver")</f>
        <v>Silver</v>
      </c>
      <c r="G214" s="265" t="str">
        <f>IFERROR(__xludf.DUMMYFUNCTION("""COMPUTED_VALUE"""),"Enterprise")</f>
        <v>Enterprise</v>
      </c>
      <c r="H214" s="265" t="str">
        <f>IFERROR(__xludf.DUMMYFUNCTION("""COMPUTED_VALUE"""),"Trả trước")</f>
        <v>Trả trước</v>
      </c>
      <c r="I214" s="265" t="str">
        <f>IFERROR(__xludf.DUMMYFUNCTION("""COMPUTED_VALUE"""),"API &amp; Portal")</f>
        <v>API &amp; Portal</v>
      </c>
      <c r="J214" s="265" t="str">
        <f>IFERROR(__xludf.DUMMYFUNCTION("""COMPUTED_VALUE"""),"Zalo ZNS")</f>
        <v>Zalo ZNS</v>
      </c>
      <c r="K214" s="265" t="str">
        <f>IFERROR(__xludf.DUMMYFUNCTION("""COMPUTED_VALUE"""),"LinhNTT1")</f>
        <v>LinhNTT1</v>
      </c>
    </row>
    <row r="215">
      <c r="A215" s="265" t="str">
        <f>IFERROR(__xludf.DUMMYFUNCTION("""COMPUTED_VALUE"""),"528")</f>
        <v>528</v>
      </c>
      <c r="B215" s="265" t="str">
        <f>IFERROR(__xludf.DUMMYFUNCTION("""COMPUTED_VALUE"""),"Sài Gòn")</f>
        <v>Sài Gòn</v>
      </c>
      <c r="C215" s="265" t="str">
        <f>IFERROR(__xludf.DUMMYFUNCTION("""COMPUTED_VALUE"""),"Active")</f>
        <v>Active</v>
      </c>
      <c r="D215" s="265" t="str">
        <f>IFERROR(__xludf.DUMMYFUNCTION("""COMPUTED_VALUE"""),"Sale chưa cung cấp")</f>
        <v>Sale chưa cung cấp</v>
      </c>
      <c r="E215" s="265" t="str">
        <f>IFERROR(__xludf.DUMMYFUNCTION("""COMPUTED_VALUE"""),"TúPHN")</f>
        <v>TúPHN</v>
      </c>
      <c r="F215" s="265" t="str">
        <f>IFERROR(__xludf.DUMMYFUNCTION("""COMPUTED_VALUE"""),"Diamond")</f>
        <v>Diamond</v>
      </c>
      <c r="G215" s="265" t="str">
        <f>IFERROR(__xludf.DUMMYFUNCTION("""COMPUTED_VALUE"""),"Enterprise")</f>
        <v>Enterprise</v>
      </c>
      <c r="H215" s="265" t="str">
        <f>IFERROR(__xludf.DUMMYFUNCTION("""COMPUTED_VALUE"""),"Trả sau")</f>
        <v>Trả sau</v>
      </c>
      <c r="I215" s="265" t="str">
        <f>IFERROR(__xludf.DUMMYFUNCTION("""COMPUTED_VALUE"""),"Portal")</f>
        <v>Portal</v>
      </c>
      <c r="J215" s="265" t="str">
        <f>IFERROR(__xludf.DUMMYFUNCTION("""COMPUTED_VALUE"""),"SMS CSKH")</f>
        <v>SMS CSKH</v>
      </c>
      <c r="K215" s="265" t="str">
        <f>IFERROR(__xludf.DUMMYFUNCTION("""COMPUTED_VALUE"""),"LinhNTT1")</f>
        <v>LinhNTT1</v>
      </c>
    </row>
    <row r="216">
      <c r="A216" s="265" t="str">
        <f>IFERROR(__xludf.DUMMYFUNCTION("""COMPUTED_VALUE"""),"528")</f>
        <v>528</v>
      </c>
      <c r="B216" s="265" t="str">
        <f>IFERROR(__xludf.DUMMYFUNCTION("""COMPUTED_VALUE"""),"Sài Gòn")</f>
        <v>Sài Gòn</v>
      </c>
      <c r="C216" s="265" t="str">
        <f>IFERROR(__xludf.DUMMYFUNCTION("""COMPUTED_VALUE"""),"Active")</f>
        <v>Active</v>
      </c>
      <c r="D216" s="265" t="str">
        <f>IFERROR(__xludf.DUMMYFUNCTION("""COMPUTED_VALUE"""),"Sale chưa cung cấp")</f>
        <v>Sale chưa cung cấp</v>
      </c>
      <c r="E216" s="265" t="str">
        <f>IFERROR(__xludf.DUMMYFUNCTION("""COMPUTED_VALUE"""),"TúPHN")</f>
        <v>TúPHN</v>
      </c>
      <c r="F216" s="265" t="str">
        <f>IFERROR(__xludf.DUMMYFUNCTION("""COMPUTED_VALUE"""),"Diamond")</f>
        <v>Diamond</v>
      </c>
      <c r="G216" s="265" t="str">
        <f>IFERROR(__xludf.DUMMYFUNCTION("""COMPUTED_VALUE"""),"Enterprise")</f>
        <v>Enterprise</v>
      </c>
      <c r="H216" s="265" t="str">
        <f>IFERROR(__xludf.DUMMYFUNCTION("""COMPUTED_VALUE"""),"Trả sau")</f>
        <v>Trả sau</v>
      </c>
      <c r="I216" s="265" t="str">
        <f>IFERROR(__xludf.DUMMYFUNCTION("""COMPUTED_VALUE"""),"Portal")</f>
        <v>Portal</v>
      </c>
      <c r="J216" s="265" t="str">
        <f>IFERROR(__xludf.DUMMYFUNCTION("""COMPUTED_VALUE"""),"Zalo ZNS")</f>
        <v>Zalo ZNS</v>
      </c>
      <c r="K216" s="265" t="str">
        <f>IFERROR(__xludf.DUMMYFUNCTION("""COMPUTED_VALUE"""),"LinhNTT1")</f>
        <v>LinhNTT1</v>
      </c>
    </row>
    <row r="217">
      <c r="A217" s="265" t="str">
        <f>IFERROR(__xludf.DUMMYFUNCTION("""COMPUTED_VALUE"""),"529")</f>
        <v>529</v>
      </c>
      <c r="B217" s="265" t="str">
        <f>IFERROR(__xludf.DUMMYFUNCTION("""COMPUTED_VALUE"""),"Hà Nội")</f>
        <v>Hà Nội</v>
      </c>
      <c r="C217" s="265" t="str">
        <f>IFERROR(__xludf.DUMMYFUNCTION("""COMPUTED_VALUE"""),"Locked")</f>
        <v>Locked</v>
      </c>
      <c r="D217" s="265" t="str">
        <f>IFERROR(__xludf.DUMMYFUNCTION("""COMPUTED_VALUE"""),"Sale chưa cung cấp")</f>
        <v>Sale chưa cung cấp</v>
      </c>
      <c r="E217" s="265" t="str">
        <f>IFERROR(__xludf.DUMMYFUNCTION("""COMPUTED_VALUE"""),"PhươngDTB")</f>
        <v>PhươngDTB</v>
      </c>
      <c r="F217" s="265" t="str">
        <f>IFERROR(__xludf.DUMMYFUNCTION("""COMPUTED_VALUE"""),"Bronze")</f>
        <v>Bronze</v>
      </c>
      <c r="G217" s="265" t="str">
        <f>IFERROR(__xludf.DUMMYFUNCTION("""COMPUTED_VALUE"""),"Enterprise")</f>
        <v>Enterprise</v>
      </c>
      <c r="H217" s="265" t="str">
        <f>IFERROR(__xludf.DUMMYFUNCTION("""COMPUTED_VALUE"""),"(Chưa recheck)")</f>
        <v>(Chưa recheck)</v>
      </c>
      <c r="I217" s="265" t="str">
        <f>IFERROR(__xludf.DUMMYFUNCTION("""COMPUTED_VALUE"""),"(Chưa recheck)")</f>
        <v>(Chưa recheck)</v>
      </c>
      <c r="J217" s="265" t="str">
        <f>IFERROR(__xludf.DUMMYFUNCTION("""COMPUTED_VALUE"""),"Tất cả")</f>
        <v>Tất cả</v>
      </c>
      <c r="K217" s="265" t="str">
        <f>IFERROR(__xludf.DUMMYFUNCTION("""COMPUTED_VALUE"""),"(Chưa recheck)")</f>
        <v>(Chưa recheck)</v>
      </c>
    </row>
    <row r="218">
      <c r="A218" s="265" t="str">
        <f>IFERROR(__xludf.DUMMYFUNCTION("""COMPUTED_VALUE"""),"530")</f>
        <v>530</v>
      </c>
      <c r="B218" s="265" t="str">
        <f>IFERROR(__xludf.DUMMYFUNCTION("""COMPUTED_VALUE"""),"Sài Gòn")</f>
        <v>Sài Gòn</v>
      </c>
      <c r="C218" s="265" t="str">
        <f>IFERROR(__xludf.DUMMYFUNCTION("""COMPUTED_VALUE"""),"Active")</f>
        <v>Active</v>
      </c>
      <c r="D218" s="265" t="str">
        <f>IFERROR(__xludf.DUMMYFUNCTION("""COMPUTED_VALUE"""),"Công nghệ &amp; Phần mềm")</f>
        <v>Công nghệ &amp; Phần mềm</v>
      </c>
      <c r="E218" s="265" t="str">
        <f>IFERROR(__xludf.DUMMYFUNCTION("""COMPUTED_VALUE"""),"TùngLD")</f>
        <v>TùngLD</v>
      </c>
      <c r="F218" s="265" t="str">
        <f>IFERROR(__xludf.DUMMYFUNCTION("""COMPUTED_VALUE"""),"Silver")</f>
        <v>Silver</v>
      </c>
      <c r="G218" s="265" t="str">
        <f>IFERROR(__xludf.DUMMYFUNCTION("""COMPUTED_VALUE"""),"API")</f>
        <v>API</v>
      </c>
      <c r="H218" s="265" t="str">
        <f>IFERROR(__xludf.DUMMYFUNCTION("""COMPUTED_VALUE"""),"Trả sau")</f>
        <v>Trả sau</v>
      </c>
      <c r="I218" s="265" t="str">
        <f>IFERROR(__xludf.DUMMYFUNCTION("""COMPUTED_VALUE"""),"API")</f>
        <v>API</v>
      </c>
      <c r="J218" s="265" t="str">
        <f>IFERROR(__xludf.DUMMYFUNCTION("""COMPUTED_VALUE"""),"SMS CSKH")</f>
        <v>SMS CSKH</v>
      </c>
      <c r="K218" s="265" t="str">
        <f>IFERROR(__xludf.DUMMYFUNCTION("""COMPUTED_VALUE"""),"LinhNTT1")</f>
        <v>LinhNTT1</v>
      </c>
    </row>
    <row r="219">
      <c r="A219" s="265" t="str">
        <f>IFERROR(__xludf.DUMMYFUNCTION("""COMPUTED_VALUE"""),"530")</f>
        <v>530</v>
      </c>
      <c r="B219" s="265" t="str">
        <f>IFERROR(__xludf.DUMMYFUNCTION("""COMPUTED_VALUE"""),"Sài Gòn")</f>
        <v>Sài Gòn</v>
      </c>
      <c r="C219" s="265" t="str">
        <f>IFERROR(__xludf.DUMMYFUNCTION("""COMPUTED_VALUE"""),"Active")</f>
        <v>Active</v>
      </c>
      <c r="D219" s="265" t="str">
        <f>IFERROR(__xludf.DUMMYFUNCTION("""COMPUTED_VALUE"""),"Công nghệ &amp; Phần mềm")</f>
        <v>Công nghệ &amp; Phần mềm</v>
      </c>
      <c r="E219" s="265" t="str">
        <f>IFERROR(__xludf.DUMMYFUNCTION("""COMPUTED_VALUE"""),"TùngLD")</f>
        <v>TùngLD</v>
      </c>
      <c r="F219" s="265" t="str">
        <f>IFERROR(__xludf.DUMMYFUNCTION("""COMPUTED_VALUE"""),"Silver")</f>
        <v>Silver</v>
      </c>
      <c r="G219" s="265" t="str">
        <f>IFERROR(__xludf.DUMMYFUNCTION("""COMPUTED_VALUE"""),"API")</f>
        <v>API</v>
      </c>
      <c r="H219" s="265" t="str">
        <f>IFERROR(__xludf.DUMMYFUNCTION("""COMPUTED_VALUE"""),"Trả sau")</f>
        <v>Trả sau</v>
      </c>
      <c r="I219" s="265" t="str">
        <f>IFERROR(__xludf.DUMMYFUNCTION("""COMPUTED_VALUE"""),"API")</f>
        <v>API</v>
      </c>
      <c r="J219" s="265" t="str">
        <f>IFERROR(__xludf.DUMMYFUNCTION("""COMPUTED_VALUE"""),"Zalo ZNS")</f>
        <v>Zalo ZNS</v>
      </c>
      <c r="K219" s="265" t="str">
        <f>IFERROR(__xludf.DUMMYFUNCTION("""COMPUTED_VALUE"""),"LinhNTT1")</f>
        <v>LinhNTT1</v>
      </c>
    </row>
    <row r="220">
      <c r="A220" s="265" t="str">
        <f>IFERROR(__xludf.DUMMYFUNCTION("""COMPUTED_VALUE"""),"533")</f>
        <v>533</v>
      </c>
      <c r="B220" s="265" t="str">
        <f>IFERROR(__xludf.DUMMYFUNCTION("""COMPUTED_VALUE"""),"Sài Gòn")</f>
        <v>Sài Gòn</v>
      </c>
      <c r="C220" s="265" t="str">
        <f>IFERROR(__xludf.DUMMYFUNCTION("""COMPUTED_VALUE"""),"Locked")</f>
        <v>Locked</v>
      </c>
      <c r="D220" s="265" t="str">
        <f>IFERROR(__xludf.DUMMYFUNCTION("""COMPUTED_VALUE"""),"Sale chưa cung cấp")</f>
        <v>Sale chưa cung cấp</v>
      </c>
      <c r="E220" s="265" t="str">
        <f>IFERROR(__xludf.DUMMYFUNCTION("""COMPUTED_VALUE"""),"HoaNTM")</f>
        <v>HoaNTM</v>
      </c>
      <c r="F220" s="265" t="str">
        <f>IFERROR(__xludf.DUMMYFUNCTION("""COMPUTED_VALUE"""),"Bronze")</f>
        <v>Bronze</v>
      </c>
      <c r="G220" s="265" t="str">
        <f>IFERROR(__xludf.DUMMYFUNCTION("""COMPUTED_VALUE"""),"Enterprise")</f>
        <v>Enterprise</v>
      </c>
      <c r="H220" s="265" t="str">
        <f>IFERROR(__xludf.DUMMYFUNCTION("""COMPUTED_VALUE"""),"(Chưa recheck)")</f>
        <v>(Chưa recheck)</v>
      </c>
      <c r="I220" s="265" t="str">
        <f>IFERROR(__xludf.DUMMYFUNCTION("""COMPUTED_VALUE"""),"(Chưa recheck)")</f>
        <v>(Chưa recheck)</v>
      </c>
      <c r="J220" s="265" t="str">
        <f>IFERROR(__xludf.DUMMYFUNCTION("""COMPUTED_VALUE"""),"(Chưa recheck)")</f>
        <v>(Chưa recheck)</v>
      </c>
      <c r="K220" s="265" t="str">
        <f>IFERROR(__xludf.DUMMYFUNCTION("""COMPUTED_VALUE"""),"(Chưa recheck)")</f>
        <v>(Chưa recheck)</v>
      </c>
    </row>
    <row r="221">
      <c r="A221" s="265" t="str">
        <f>IFERROR(__xludf.DUMMYFUNCTION("""COMPUTED_VALUE"""),"532")</f>
        <v>532</v>
      </c>
      <c r="B221" s="265" t="str">
        <f>IFERROR(__xludf.DUMMYFUNCTION("""COMPUTED_VALUE"""),"Hà Nội")</f>
        <v>Hà Nội</v>
      </c>
      <c r="C221" s="265" t="str">
        <f>IFERROR(__xludf.DUMMYFUNCTION("""COMPUTED_VALUE"""),"Locked")</f>
        <v>Locked</v>
      </c>
      <c r="D221" s="265" t="str">
        <f>IFERROR(__xludf.DUMMYFUNCTION("""COMPUTED_VALUE"""),"Sale chưa cung cấp")</f>
        <v>Sale chưa cung cấp</v>
      </c>
      <c r="E221" s="265" t="str">
        <f>IFERROR(__xludf.DUMMYFUNCTION("""COMPUTED_VALUE"""),"TùngLD")</f>
        <v>TùngLD</v>
      </c>
      <c r="F221" s="265" t="str">
        <f>IFERROR(__xludf.DUMMYFUNCTION("""COMPUTED_VALUE"""),"Sale chưa cung cấp")</f>
        <v>Sale chưa cung cấp</v>
      </c>
      <c r="G221" s="265" t="str">
        <f>IFERROR(__xludf.DUMMYFUNCTION("""COMPUTED_VALUE"""),"Enterprise")</f>
        <v>Enterprise</v>
      </c>
      <c r="H221" s="265" t="str">
        <f>IFERROR(__xludf.DUMMYFUNCTION("""COMPUTED_VALUE"""),"Trial")</f>
        <v>Trial</v>
      </c>
      <c r="I221" s="265" t="str">
        <f>IFERROR(__xludf.DUMMYFUNCTION("""COMPUTED_VALUE"""),"Portal")</f>
        <v>Portal</v>
      </c>
      <c r="J221" s="265" t="str">
        <f>IFERROR(__xludf.DUMMYFUNCTION("""COMPUTED_VALUE"""),"Zalo ZNS")</f>
        <v>Zalo ZNS</v>
      </c>
      <c r="K221" s="265" t="str">
        <f>IFERROR(__xludf.DUMMYFUNCTION("""COMPUTED_VALUE"""),"(Không recheck)")</f>
        <v>(Không recheck)</v>
      </c>
    </row>
    <row r="222">
      <c r="A222" s="265" t="str">
        <f>IFERROR(__xludf.DUMMYFUNCTION("""COMPUTED_VALUE"""),"534")</f>
        <v>534</v>
      </c>
      <c r="B222" s="265" t="str">
        <f>IFERROR(__xludf.DUMMYFUNCTION("""COMPUTED_VALUE"""),"Sài Gòn")</f>
        <v>Sài Gòn</v>
      </c>
      <c r="C222" s="265" t="str">
        <f>IFERROR(__xludf.DUMMYFUNCTION("""COMPUTED_VALUE"""),"Locked")</f>
        <v>Locked</v>
      </c>
      <c r="D222" s="265" t="str">
        <f>IFERROR(__xludf.DUMMYFUNCTION("""COMPUTED_VALUE"""),"Sale chưa cung cấp")</f>
        <v>Sale chưa cung cấp</v>
      </c>
      <c r="E222" s="265" t="str">
        <f>IFERROR(__xludf.DUMMYFUNCTION("""COMPUTED_VALUE"""),"HoaNTM")</f>
        <v>HoaNTM</v>
      </c>
      <c r="F222" s="265" t="str">
        <f>IFERROR(__xludf.DUMMYFUNCTION("""COMPUTED_VALUE"""),"Bronze")</f>
        <v>Bronze</v>
      </c>
      <c r="G222" s="265" t="str">
        <f>IFERROR(__xludf.DUMMYFUNCTION("""COMPUTED_VALUE"""),"Enterprise")</f>
        <v>Enterprise</v>
      </c>
      <c r="H222" s="265" t="str">
        <f>IFERROR(__xludf.DUMMYFUNCTION("""COMPUTED_VALUE"""),"(Chưa recheck)")</f>
        <v>(Chưa recheck)</v>
      </c>
      <c r="I222" s="265" t="str">
        <f>IFERROR(__xludf.DUMMYFUNCTION("""COMPUTED_VALUE"""),"(Chưa recheck)")</f>
        <v>(Chưa recheck)</v>
      </c>
      <c r="J222" s="265" t="str">
        <f>IFERROR(__xludf.DUMMYFUNCTION("""COMPUTED_VALUE"""),"(Chưa recheck)")</f>
        <v>(Chưa recheck)</v>
      </c>
      <c r="K222" s="265" t="str">
        <f>IFERROR(__xludf.DUMMYFUNCTION("""COMPUTED_VALUE"""),"AnhNM")</f>
        <v>AnhNM</v>
      </c>
    </row>
    <row r="223">
      <c r="A223" s="265" t="str">
        <f>IFERROR(__xludf.DUMMYFUNCTION("""COMPUTED_VALUE"""),"535")</f>
        <v>535</v>
      </c>
      <c r="B223" s="265" t="str">
        <f>IFERROR(__xludf.DUMMYFUNCTION("""COMPUTED_VALUE"""),"Sài Gòn")</f>
        <v>Sài Gòn</v>
      </c>
      <c r="C223" s="265" t="str">
        <f>IFERROR(__xludf.DUMMYFUNCTION("""COMPUTED_VALUE"""),"Locked")</f>
        <v>Locked</v>
      </c>
      <c r="D223" s="265" t="str">
        <f>IFERROR(__xludf.DUMMYFUNCTION("""COMPUTED_VALUE"""),"Sale chưa cung cấp")</f>
        <v>Sale chưa cung cấp</v>
      </c>
      <c r="E223" s="265" t="str">
        <f>IFERROR(__xludf.DUMMYFUNCTION("""COMPUTED_VALUE"""),"HoaNTM")</f>
        <v>HoaNTM</v>
      </c>
      <c r="F223" s="265" t="str">
        <f>IFERROR(__xludf.DUMMYFUNCTION("""COMPUTED_VALUE"""),"Sale chưa cung cấp")</f>
        <v>Sale chưa cung cấp</v>
      </c>
      <c r="G223" s="265" t="str">
        <f>IFERROR(__xludf.DUMMYFUNCTION("""COMPUTED_VALUE"""),"Enterprise")</f>
        <v>Enterprise</v>
      </c>
      <c r="H223" s="265" t="str">
        <f>IFERROR(__xludf.DUMMYFUNCTION("""COMPUTED_VALUE"""),"Trial")</f>
        <v>Trial</v>
      </c>
      <c r="I223" s="265" t="str">
        <f>IFERROR(__xludf.DUMMYFUNCTION("""COMPUTED_VALUE"""),"(Không recheck)")</f>
        <v>(Không recheck)</v>
      </c>
      <c r="J223" s="265" t="str">
        <f>IFERROR(__xludf.DUMMYFUNCTION("""COMPUTED_VALUE"""),"(Không recheck)")</f>
        <v>(Không recheck)</v>
      </c>
      <c r="K223" s="265" t="str">
        <f>IFERROR(__xludf.DUMMYFUNCTION("""COMPUTED_VALUE"""),"(Không recheck)")</f>
        <v>(Không recheck)</v>
      </c>
    </row>
    <row r="224">
      <c r="A224" s="265" t="str">
        <f>IFERROR(__xludf.DUMMYFUNCTION("""COMPUTED_VALUE"""),"536")</f>
        <v>536</v>
      </c>
      <c r="B224" s="265" t="str">
        <f>IFERROR(__xludf.DUMMYFUNCTION("""COMPUTED_VALUE"""),"Hà Nội")</f>
        <v>Hà Nội</v>
      </c>
      <c r="C224" s="265" t="str">
        <f>IFERROR(__xludf.DUMMYFUNCTION("""COMPUTED_VALUE"""),"Active")</f>
        <v>Active</v>
      </c>
      <c r="D224" s="265" t="str">
        <f>IFERROR(__xludf.DUMMYFUNCTION("""COMPUTED_VALUE"""),"Sale chưa cung cấp")</f>
        <v>Sale chưa cung cấp</v>
      </c>
      <c r="E224" s="265" t="str">
        <f>IFERROR(__xludf.DUMMYFUNCTION("""COMPUTED_VALUE"""),"TùngLD")</f>
        <v>TùngLD</v>
      </c>
      <c r="F224" s="265" t="str">
        <f>IFERROR(__xludf.DUMMYFUNCTION("""COMPUTED_VALUE"""),"Silver")</f>
        <v>Silver</v>
      </c>
      <c r="G224" s="265" t="str">
        <f>IFERROR(__xludf.DUMMYFUNCTION("""COMPUTED_VALUE"""),"API")</f>
        <v>API</v>
      </c>
      <c r="H224" s="265" t="str">
        <f>IFERROR(__xludf.DUMMYFUNCTION("""COMPUTED_VALUE"""),"Trả sau")</f>
        <v>Trả sau</v>
      </c>
      <c r="I224" s="265" t="str">
        <f>IFERROR(__xludf.DUMMYFUNCTION("""COMPUTED_VALUE"""),"API")</f>
        <v>API</v>
      </c>
      <c r="J224" s="265" t="str">
        <f>IFERROR(__xludf.DUMMYFUNCTION("""COMPUTED_VALUE"""),"SMS CSKH")</f>
        <v>SMS CSKH</v>
      </c>
      <c r="K224" s="265" t="str">
        <f>IFERROR(__xludf.DUMMYFUNCTION("""COMPUTED_VALUE"""),"Không phân công")</f>
        <v>Không phân công</v>
      </c>
    </row>
    <row r="225">
      <c r="A225" s="265" t="str">
        <f>IFERROR(__xludf.DUMMYFUNCTION("""COMPUTED_VALUE"""),"537")</f>
        <v>537</v>
      </c>
      <c r="B225" s="265" t="str">
        <f>IFERROR(__xludf.DUMMYFUNCTION("""COMPUTED_VALUE"""),"Hà Nội")</f>
        <v>Hà Nội</v>
      </c>
      <c r="C225" s="265" t="str">
        <f>IFERROR(__xludf.DUMMYFUNCTION("""COMPUTED_VALUE"""),"Locked")</f>
        <v>Locked</v>
      </c>
      <c r="D225" s="265" t="str">
        <f>IFERROR(__xludf.DUMMYFUNCTION("""COMPUTED_VALUE"""),"Sale chưa cung cấp")</f>
        <v>Sale chưa cung cấp</v>
      </c>
      <c r="E225" s="265" t="str">
        <f>IFERROR(__xludf.DUMMYFUNCTION("""COMPUTED_VALUE"""),"TùngLD")</f>
        <v>TùngLD</v>
      </c>
      <c r="F225" s="265" t="str">
        <f>IFERROR(__xludf.DUMMYFUNCTION("""COMPUTED_VALUE"""),"Bronze")</f>
        <v>Bronze</v>
      </c>
      <c r="G225" s="265" t="str">
        <f>IFERROR(__xludf.DUMMYFUNCTION("""COMPUTED_VALUE"""),"API")</f>
        <v>API</v>
      </c>
      <c r="H225" s="265" t="str">
        <f>IFERROR(__xludf.DUMMYFUNCTION("""COMPUTED_VALUE"""),"(Chưa recheck)")</f>
        <v>(Chưa recheck)</v>
      </c>
      <c r="I225" s="265" t="str">
        <f>IFERROR(__xludf.DUMMYFUNCTION("""COMPUTED_VALUE"""),"API &amp; Portal")</f>
        <v>API &amp; Portal</v>
      </c>
      <c r="J225" s="265" t="str">
        <f>IFERROR(__xludf.DUMMYFUNCTION("""COMPUTED_VALUE"""),"Zalo ZNS")</f>
        <v>Zalo ZNS</v>
      </c>
      <c r="K225" s="265" t="str">
        <f>IFERROR(__xludf.DUMMYFUNCTION("""COMPUTED_VALUE"""),"TuVTC")</f>
        <v>TuVTC</v>
      </c>
    </row>
    <row r="226">
      <c r="A226" s="265" t="str">
        <f>IFERROR(__xludf.DUMMYFUNCTION("""COMPUTED_VALUE"""),"538")</f>
        <v>538</v>
      </c>
      <c r="B226" s="265" t="str">
        <f>IFERROR(__xludf.DUMMYFUNCTION("""COMPUTED_VALUE"""),"Hà Nội")</f>
        <v>Hà Nội</v>
      </c>
      <c r="C226" s="265" t="str">
        <f>IFERROR(__xludf.DUMMYFUNCTION("""COMPUTED_VALUE"""),"Locked")</f>
        <v>Locked</v>
      </c>
      <c r="D226" s="265" t="str">
        <f>IFERROR(__xludf.DUMMYFUNCTION("""COMPUTED_VALUE"""),"Sale chưa cung cấp")</f>
        <v>Sale chưa cung cấp</v>
      </c>
      <c r="E226" s="265" t="str">
        <f>IFERROR(__xludf.DUMMYFUNCTION("""COMPUTED_VALUE"""),"TùngLD")</f>
        <v>TùngLD</v>
      </c>
      <c r="F226" s="265" t="str">
        <f>IFERROR(__xludf.DUMMYFUNCTION("""COMPUTED_VALUE"""),"Sale chưa cung cấp")</f>
        <v>Sale chưa cung cấp</v>
      </c>
      <c r="G226" s="265" t="str">
        <f>IFERROR(__xludf.DUMMYFUNCTION("""COMPUTED_VALUE"""),"Enterprise")</f>
        <v>Enterprise</v>
      </c>
      <c r="H226" s="265" t="str">
        <f>IFERROR(__xludf.DUMMYFUNCTION("""COMPUTED_VALUE"""),"Trial")</f>
        <v>Trial</v>
      </c>
      <c r="I226" s="265" t="str">
        <f>IFERROR(__xludf.DUMMYFUNCTION("""COMPUTED_VALUE"""),"Portal")</f>
        <v>Portal</v>
      </c>
      <c r="J226" s="265" t="str">
        <f>IFERROR(__xludf.DUMMYFUNCTION("""COMPUTED_VALUE"""),"(Không recheck)")</f>
        <v>(Không recheck)</v>
      </c>
      <c r="K226" s="265" t="str">
        <f>IFERROR(__xludf.DUMMYFUNCTION("""COMPUTED_VALUE"""),"(Không recheck)")</f>
        <v>(Không recheck)</v>
      </c>
    </row>
    <row r="227">
      <c r="A227" s="265" t="str">
        <f>IFERROR(__xludf.DUMMYFUNCTION("""COMPUTED_VALUE"""),"539")</f>
        <v>539</v>
      </c>
      <c r="B227" s="265" t="str">
        <f>IFERROR(__xludf.DUMMYFUNCTION("""COMPUTED_VALUE"""),"Sài Gòn")</f>
        <v>Sài Gòn</v>
      </c>
      <c r="C227" s="265" t="str">
        <f>IFERROR(__xludf.DUMMYFUNCTION("""COMPUTED_VALUE"""),"Locked")</f>
        <v>Locked</v>
      </c>
      <c r="D227" s="265" t="str">
        <f>IFERROR(__xludf.DUMMYFUNCTION("""COMPUTED_VALUE"""),"Sale chưa cung cấp")</f>
        <v>Sale chưa cung cấp</v>
      </c>
      <c r="E227" s="265" t="str">
        <f>IFERROR(__xludf.DUMMYFUNCTION("""COMPUTED_VALUE"""),"(Không recheck)")</f>
        <v>(Không recheck)</v>
      </c>
      <c r="F227" s="265" t="str">
        <f>IFERROR(__xludf.DUMMYFUNCTION("""COMPUTED_VALUE"""),"Diamond")</f>
        <v>Diamond</v>
      </c>
      <c r="G227" s="265" t="str">
        <f>IFERROR(__xludf.DUMMYFUNCTION("""COMPUTED_VALUE"""),"API")</f>
        <v>API</v>
      </c>
      <c r="H227" s="265" t="str">
        <f>IFERROR(__xludf.DUMMYFUNCTION("""COMPUTED_VALUE"""),"Trial")</f>
        <v>Trial</v>
      </c>
      <c r="I227" s="265" t="str">
        <f>IFERROR(__xludf.DUMMYFUNCTION("""COMPUTED_VALUE"""),"(Không recheck)")</f>
        <v>(Không recheck)</v>
      </c>
      <c r="J227" s="265" t="str">
        <f>IFERROR(__xludf.DUMMYFUNCTION("""COMPUTED_VALUE"""),"SMS CSKH")</f>
        <v>SMS CSKH</v>
      </c>
      <c r="K227" s="265" t="str">
        <f>IFERROR(__xludf.DUMMYFUNCTION("""COMPUTED_VALUE"""),"(Không recheck)")</f>
        <v>(Không recheck)</v>
      </c>
    </row>
    <row r="228">
      <c r="A228" s="265" t="str">
        <f>IFERROR(__xludf.DUMMYFUNCTION("""COMPUTED_VALUE"""),"216")</f>
        <v>216</v>
      </c>
      <c r="B228" s="265" t="str">
        <f>IFERROR(__xludf.DUMMYFUNCTION("""COMPUTED_VALUE"""),"Hà Nội")</f>
        <v>Hà Nội</v>
      </c>
      <c r="C228" s="265" t="str">
        <f>IFERROR(__xludf.DUMMYFUNCTION("""COMPUTED_VALUE"""),"Active")</f>
        <v>Active</v>
      </c>
      <c r="D228" s="265" t="str">
        <f>IFERROR(__xludf.DUMMYFUNCTION("""COMPUTED_VALUE"""),"Sale chưa cung cấp")</f>
        <v>Sale chưa cung cấp</v>
      </c>
      <c r="E228" s="265" t="str">
        <f>IFERROR(__xludf.DUMMYFUNCTION("""COMPUTED_VALUE"""),"Không phân công")</f>
        <v>Không phân công</v>
      </c>
      <c r="F228" s="265" t="str">
        <f>IFERROR(__xludf.DUMMYFUNCTION("""COMPUTED_VALUE"""),"Bronze")</f>
        <v>Bronze</v>
      </c>
      <c r="G228" s="265" t="str">
        <f>IFERROR(__xludf.DUMMYFUNCTION("""COMPUTED_VALUE"""),"Enterprise")</f>
        <v>Enterprise</v>
      </c>
      <c r="H228" s="265" t="str">
        <f>IFERROR(__xludf.DUMMYFUNCTION("""COMPUTED_VALUE"""),"Trả sau")</f>
        <v>Trả sau</v>
      </c>
      <c r="I228" s="265" t="str">
        <f>IFERROR(__xludf.DUMMYFUNCTION("""COMPUTED_VALUE"""),"API &amp; Portal")</f>
        <v>API &amp; Portal</v>
      </c>
      <c r="J228" s="265" t="str">
        <f>IFERROR(__xludf.DUMMYFUNCTION("""COMPUTED_VALUE"""),"SMS CSKH")</f>
        <v>SMS CSKH</v>
      </c>
      <c r="K228" s="265" t="str">
        <f>IFERROR(__xludf.DUMMYFUNCTION("""COMPUTED_VALUE"""),"LinhNTT1")</f>
        <v>LinhNTT1</v>
      </c>
    </row>
    <row r="229">
      <c r="A229" s="265" t="str">
        <f>IFERROR(__xludf.DUMMYFUNCTION("""COMPUTED_VALUE"""),"541")</f>
        <v>541</v>
      </c>
      <c r="B229" s="265" t="str">
        <f>IFERROR(__xludf.DUMMYFUNCTION("""COMPUTED_VALUE"""),"Sài Gòn")</f>
        <v>Sài Gòn</v>
      </c>
      <c r="C229" s="265" t="str">
        <f>IFERROR(__xludf.DUMMYFUNCTION("""COMPUTED_VALUE"""),"Active")</f>
        <v>Active</v>
      </c>
      <c r="D229" s="265" t="str">
        <f>IFERROR(__xludf.DUMMYFUNCTION("""COMPUTED_VALUE"""),"Sale chưa cung cấp")</f>
        <v>Sale chưa cung cấp</v>
      </c>
      <c r="E229" s="265" t="str">
        <f>IFERROR(__xludf.DUMMYFUNCTION("""COMPUTED_VALUE"""),"AnhNM")</f>
        <v>AnhNM</v>
      </c>
      <c r="F229" s="265" t="str">
        <f>IFERROR(__xludf.DUMMYFUNCTION("""COMPUTED_VALUE"""),"Gold")</f>
        <v>Gold</v>
      </c>
      <c r="G229" s="265" t="str">
        <f>IFERROR(__xludf.DUMMYFUNCTION("""COMPUTED_VALUE"""),"Enterprise")</f>
        <v>Enterprise</v>
      </c>
      <c r="H229" s="265" t="str">
        <f>IFERROR(__xludf.DUMMYFUNCTION("""COMPUTED_VALUE"""),"Trả sau")</f>
        <v>Trả sau</v>
      </c>
      <c r="I229" s="265" t="str">
        <f>IFERROR(__xludf.DUMMYFUNCTION("""COMPUTED_VALUE"""),"API &amp; Portal")</f>
        <v>API &amp; Portal</v>
      </c>
      <c r="J229" s="265" t="str">
        <f>IFERROR(__xludf.DUMMYFUNCTION("""COMPUTED_VALUE"""),"SMS CSKH")</f>
        <v>SMS CSKH</v>
      </c>
      <c r="K229" s="265" t="str">
        <f>IFERROR(__xludf.DUMMYFUNCTION("""COMPUTED_VALUE"""),"LinhNTT1")</f>
        <v>LinhNTT1</v>
      </c>
    </row>
    <row r="230">
      <c r="A230" s="265" t="str">
        <f>IFERROR(__xludf.DUMMYFUNCTION("""COMPUTED_VALUE"""),"541")</f>
        <v>541</v>
      </c>
      <c r="B230" s="265" t="str">
        <f>IFERROR(__xludf.DUMMYFUNCTION("""COMPUTED_VALUE"""),"Sài Gòn")</f>
        <v>Sài Gòn</v>
      </c>
      <c r="C230" s="265" t="str">
        <f>IFERROR(__xludf.DUMMYFUNCTION("""COMPUTED_VALUE"""),"Active")</f>
        <v>Active</v>
      </c>
      <c r="D230" s="265" t="str">
        <f>IFERROR(__xludf.DUMMYFUNCTION("""COMPUTED_VALUE"""),"Sale chưa cung cấp")</f>
        <v>Sale chưa cung cấp</v>
      </c>
      <c r="E230" s="265" t="str">
        <f>IFERROR(__xludf.DUMMYFUNCTION("""COMPUTED_VALUE"""),"AnhNM")</f>
        <v>AnhNM</v>
      </c>
      <c r="F230" s="265" t="str">
        <f>IFERROR(__xludf.DUMMYFUNCTION("""COMPUTED_VALUE"""),"Gold")</f>
        <v>Gold</v>
      </c>
      <c r="G230" s="265" t="str">
        <f>IFERROR(__xludf.DUMMYFUNCTION("""COMPUTED_VALUE"""),"Enterprise")</f>
        <v>Enterprise</v>
      </c>
      <c r="H230" s="265" t="str">
        <f>IFERROR(__xludf.DUMMYFUNCTION("""COMPUTED_VALUE"""),"Trả sau")</f>
        <v>Trả sau</v>
      </c>
      <c r="I230" s="265" t="str">
        <f>IFERROR(__xludf.DUMMYFUNCTION("""COMPUTED_VALUE"""),"API &amp; Portal")</f>
        <v>API &amp; Portal</v>
      </c>
      <c r="J230" s="265" t="str">
        <f>IFERROR(__xludf.DUMMYFUNCTION("""COMPUTED_VALUE"""),"SMS QC")</f>
        <v>SMS QC</v>
      </c>
      <c r="K230" s="265" t="str">
        <f>IFERROR(__xludf.DUMMYFUNCTION("""COMPUTED_VALUE"""),"LinhNTT1")</f>
        <v>LinhNTT1</v>
      </c>
    </row>
    <row r="231">
      <c r="A231" s="265" t="str">
        <f>IFERROR(__xludf.DUMMYFUNCTION("""COMPUTED_VALUE"""),"541")</f>
        <v>541</v>
      </c>
      <c r="B231" s="265" t="str">
        <f>IFERROR(__xludf.DUMMYFUNCTION("""COMPUTED_VALUE"""),"Sài Gòn")</f>
        <v>Sài Gòn</v>
      </c>
      <c r="C231" s="265" t="str">
        <f>IFERROR(__xludf.DUMMYFUNCTION("""COMPUTED_VALUE"""),"Active")</f>
        <v>Active</v>
      </c>
      <c r="D231" s="265" t="str">
        <f>IFERROR(__xludf.DUMMYFUNCTION("""COMPUTED_VALUE"""),"Sale chưa cung cấp")</f>
        <v>Sale chưa cung cấp</v>
      </c>
      <c r="E231" s="265" t="str">
        <f>IFERROR(__xludf.DUMMYFUNCTION("""COMPUTED_VALUE"""),"AnhNM")</f>
        <v>AnhNM</v>
      </c>
      <c r="F231" s="265" t="str">
        <f>IFERROR(__xludf.DUMMYFUNCTION("""COMPUTED_VALUE"""),"Gold")</f>
        <v>Gold</v>
      </c>
      <c r="G231" s="265" t="str">
        <f>IFERROR(__xludf.DUMMYFUNCTION("""COMPUTED_VALUE"""),"Enterprise")</f>
        <v>Enterprise</v>
      </c>
      <c r="H231" s="265" t="str">
        <f>IFERROR(__xludf.DUMMYFUNCTION("""COMPUTED_VALUE"""),"Trả sau")</f>
        <v>Trả sau</v>
      </c>
      <c r="I231" s="265" t="str">
        <f>IFERROR(__xludf.DUMMYFUNCTION("""COMPUTED_VALUE"""),"API &amp; Portal")</f>
        <v>API &amp; Portal</v>
      </c>
      <c r="J231" s="265" t="str">
        <f>IFERROR(__xludf.DUMMYFUNCTION("""COMPUTED_VALUE"""),"Zalo ZNS")</f>
        <v>Zalo ZNS</v>
      </c>
      <c r="K231" s="265" t="str">
        <f>IFERROR(__xludf.DUMMYFUNCTION("""COMPUTED_VALUE"""),"LinhNTT1")</f>
        <v>LinhNTT1</v>
      </c>
    </row>
    <row r="232">
      <c r="A232" s="265" t="str">
        <f>IFERROR(__xludf.DUMMYFUNCTION("""COMPUTED_VALUE"""),"542")</f>
        <v>542</v>
      </c>
      <c r="B232" s="265" t="str">
        <f>IFERROR(__xludf.DUMMYFUNCTION("""COMPUTED_VALUE"""),"Sài Gòn")</f>
        <v>Sài Gòn</v>
      </c>
      <c r="C232" s="265" t="str">
        <f>IFERROR(__xludf.DUMMYFUNCTION("""COMPUTED_VALUE"""),"Locked")</f>
        <v>Locked</v>
      </c>
      <c r="D232" s="265" t="str">
        <f>IFERROR(__xludf.DUMMYFUNCTION("""COMPUTED_VALUE"""),"Sale chưa cung cấp")</f>
        <v>Sale chưa cung cấp</v>
      </c>
      <c r="E232" s="265" t="str">
        <f>IFERROR(__xludf.DUMMYFUNCTION("""COMPUTED_VALUE"""),"HoaNTM")</f>
        <v>HoaNTM</v>
      </c>
      <c r="F232" s="265" t="str">
        <f>IFERROR(__xludf.DUMMYFUNCTION("""COMPUTED_VALUE"""),"Sale chưa cung cấp")</f>
        <v>Sale chưa cung cấp</v>
      </c>
      <c r="G232" s="265" t="str">
        <f>IFERROR(__xludf.DUMMYFUNCTION("""COMPUTED_VALUE"""),"Enterprise")</f>
        <v>Enterprise</v>
      </c>
      <c r="H232" s="265" t="str">
        <f>IFERROR(__xludf.DUMMYFUNCTION("""COMPUTED_VALUE"""),"(Chưa recheck)")</f>
        <v>(Chưa recheck)</v>
      </c>
      <c r="I232" s="265" t="str">
        <f>IFERROR(__xludf.DUMMYFUNCTION("""COMPUTED_VALUE"""),"(Chưa recheck)")</f>
        <v>(Chưa recheck)</v>
      </c>
      <c r="J232" s="265" t="str">
        <f>IFERROR(__xludf.DUMMYFUNCTION("""COMPUTED_VALUE"""),"Zalo ZNS")</f>
        <v>Zalo ZNS</v>
      </c>
      <c r="K232" s="265" t="str">
        <f>IFERROR(__xludf.DUMMYFUNCTION("""COMPUTED_VALUE"""),"AnhNM")</f>
        <v>AnhNM</v>
      </c>
    </row>
    <row r="233">
      <c r="A233" s="265" t="str">
        <f>IFERROR(__xludf.DUMMYFUNCTION("""COMPUTED_VALUE"""),"544")</f>
        <v>544</v>
      </c>
      <c r="B233" s="265" t="str">
        <f>IFERROR(__xludf.DUMMYFUNCTION("""COMPUTED_VALUE"""),"Sài Gòn")</f>
        <v>Sài Gòn</v>
      </c>
      <c r="C233" s="265" t="str">
        <f>IFERROR(__xludf.DUMMYFUNCTION("""COMPUTED_VALUE"""),"Locked")</f>
        <v>Locked</v>
      </c>
      <c r="D233" s="265" t="str">
        <f>IFERROR(__xludf.DUMMYFUNCTION("""COMPUTED_VALUE"""),"Sale chưa cung cấp")</f>
        <v>Sale chưa cung cấp</v>
      </c>
      <c r="E233" s="265" t="str">
        <f>IFERROR(__xludf.DUMMYFUNCTION("""COMPUTED_VALUE"""),"TùngLD")</f>
        <v>TùngLD</v>
      </c>
      <c r="F233" s="265" t="str">
        <f>IFERROR(__xludf.DUMMYFUNCTION("""COMPUTED_VALUE"""),"Sale chưa cung cấp")</f>
        <v>Sale chưa cung cấp</v>
      </c>
      <c r="G233" s="265" t="str">
        <f>IFERROR(__xludf.DUMMYFUNCTION("""COMPUTED_VALUE"""),"MSG")</f>
        <v>MSG</v>
      </c>
      <c r="H233" s="265" t="str">
        <f>IFERROR(__xludf.DUMMYFUNCTION("""COMPUTED_VALUE"""),"(Chưa recheck)")</f>
        <v>(Chưa recheck)</v>
      </c>
      <c r="I233" s="265" t="str">
        <f>IFERROR(__xludf.DUMMYFUNCTION("""COMPUTED_VALUE"""),"(Chưa recheck)")</f>
        <v>(Chưa recheck)</v>
      </c>
      <c r="J233" s="265" t="str">
        <f>IFERROR(__xludf.DUMMYFUNCTION("""COMPUTED_VALUE"""),"Zalo ZNS")</f>
        <v>Zalo ZNS</v>
      </c>
      <c r="K233" s="265" t="str">
        <f>IFERROR(__xludf.DUMMYFUNCTION("""COMPUTED_VALUE"""),"AnhNM")</f>
        <v>AnhNM</v>
      </c>
    </row>
    <row r="234">
      <c r="A234" s="265" t="str">
        <f>IFERROR(__xludf.DUMMYFUNCTION("""COMPUTED_VALUE"""),"545")</f>
        <v>545</v>
      </c>
      <c r="B234" s="265" t="str">
        <f>IFERROR(__xludf.DUMMYFUNCTION("""COMPUTED_VALUE"""),"Sài Gòn")</f>
        <v>Sài Gòn</v>
      </c>
      <c r="C234" s="265" t="str">
        <f>IFERROR(__xludf.DUMMYFUNCTION("""COMPUTED_VALUE"""),"Locked")</f>
        <v>Locked</v>
      </c>
      <c r="D234" s="265" t="str">
        <f>IFERROR(__xludf.DUMMYFUNCTION("""COMPUTED_VALUE"""),"Sale chưa cung cấp")</f>
        <v>Sale chưa cung cấp</v>
      </c>
      <c r="E234" s="265" t="str">
        <f>IFERROR(__xludf.DUMMYFUNCTION("""COMPUTED_VALUE"""),"HoaNTM")</f>
        <v>HoaNTM</v>
      </c>
      <c r="F234" s="265" t="str">
        <f>IFERROR(__xludf.DUMMYFUNCTION("""COMPUTED_VALUE"""),"Gold")</f>
        <v>Gold</v>
      </c>
      <c r="G234" s="265" t="str">
        <f>IFERROR(__xludf.DUMMYFUNCTION("""COMPUTED_VALUE"""),"API")</f>
        <v>API</v>
      </c>
      <c r="H234" s="265" t="str">
        <f>IFERROR(__xludf.DUMMYFUNCTION("""COMPUTED_VALUE"""),"Trả sau")</f>
        <v>Trả sau</v>
      </c>
      <c r="I234" s="265" t="str">
        <f>IFERROR(__xludf.DUMMYFUNCTION("""COMPUTED_VALUE"""),"API &amp; Portal")</f>
        <v>API &amp; Portal</v>
      </c>
      <c r="J234" s="265" t="str">
        <f>IFERROR(__xludf.DUMMYFUNCTION("""COMPUTED_VALUE"""),"Zalo ZNS")</f>
        <v>Zalo ZNS</v>
      </c>
      <c r="K234" s="265" t="str">
        <f>IFERROR(__xludf.DUMMYFUNCTION("""COMPUTED_VALUE"""),"AnhNM")</f>
        <v>AnhNM</v>
      </c>
    </row>
    <row r="235">
      <c r="A235" s="265" t="str">
        <f>IFERROR(__xludf.DUMMYFUNCTION("""COMPUTED_VALUE"""),"547")</f>
        <v>547</v>
      </c>
      <c r="B235" s="265" t="str">
        <f>IFERROR(__xludf.DUMMYFUNCTION("""COMPUTED_VALUE"""),"Hà Nội")</f>
        <v>Hà Nội</v>
      </c>
      <c r="C235" s="265" t="str">
        <f>IFERROR(__xludf.DUMMYFUNCTION("""COMPUTED_VALUE"""),"Active")</f>
        <v>Active</v>
      </c>
      <c r="D235" s="265" t="str">
        <f>IFERROR(__xludf.DUMMYFUNCTION("""COMPUTED_VALUE"""),"Sale chưa cung cấp")</f>
        <v>Sale chưa cung cấp</v>
      </c>
      <c r="E235" s="265" t="str">
        <f>IFERROR(__xludf.DUMMYFUNCTION("""COMPUTED_VALUE"""),"TùngLD")</f>
        <v>TùngLD</v>
      </c>
      <c r="F235" s="265" t="str">
        <f>IFERROR(__xludf.DUMMYFUNCTION("""COMPUTED_VALUE"""),"Gold")</f>
        <v>Gold</v>
      </c>
      <c r="G235" s="265" t="str">
        <f>IFERROR(__xludf.DUMMYFUNCTION("""COMPUTED_VALUE"""),"API")</f>
        <v>API</v>
      </c>
      <c r="H235" s="265" t="str">
        <f>IFERROR(__xludf.DUMMYFUNCTION("""COMPUTED_VALUE"""),"Trả sau")</f>
        <v>Trả sau</v>
      </c>
      <c r="I235" s="265" t="str">
        <f>IFERROR(__xludf.DUMMYFUNCTION("""COMPUTED_VALUE"""),"API")</f>
        <v>API</v>
      </c>
      <c r="J235" s="265" t="str">
        <f>IFERROR(__xludf.DUMMYFUNCTION("""COMPUTED_VALUE"""),"SMS CSKH")</f>
        <v>SMS CSKH</v>
      </c>
      <c r="K235" s="265" t="str">
        <f>IFERROR(__xludf.DUMMYFUNCTION("""COMPUTED_VALUE"""),"LinhNTT1")</f>
        <v>LinhNTT1</v>
      </c>
    </row>
    <row r="236">
      <c r="A236" s="265" t="str">
        <f>IFERROR(__xludf.DUMMYFUNCTION("""COMPUTED_VALUE"""),"547")</f>
        <v>547</v>
      </c>
      <c r="B236" s="265" t="str">
        <f>IFERROR(__xludf.DUMMYFUNCTION("""COMPUTED_VALUE"""),"Hà Nội")</f>
        <v>Hà Nội</v>
      </c>
      <c r="C236" s="265" t="str">
        <f>IFERROR(__xludf.DUMMYFUNCTION("""COMPUTED_VALUE"""),"Active")</f>
        <v>Active</v>
      </c>
      <c r="D236" s="265" t="str">
        <f>IFERROR(__xludf.DUMMYFUNCTION("""COMPUTED_VALUE"""),"Sale chưa cung cấp")</f>
        <v>Sale chưa cung cấp</v>
      </c>
      <c r="E236" s="265" t="str">
        <f>IFERROR(__xludf.DUMMYFUNCTION("""COMPUTED_VALUE"""),"TùngLD")</f>
        <v>TùngLD</v>
      </c>
      <c r="F236" s="265" t="str">
        <f>IFERROR(__xludf.DUMMYFUNCTION("""COMPUTED_VALUE"""),"Gold")</f>
        <v>Gold</v>
      </c>
      <c r="G236" s="265" t="str">
        <f>IFERROR(__xludf.DUMMYFUNCTION("""COMPUTED_VALUE"""),"API")</f>
        <v>API</v>
      </c>
      <c r="H236" s="265" t="str">
        <f>IFERROR(__xludf.DUMMYFUNCTION("""COMPUTED_VALUE"""),"Trả sau")</f>
        <v>Trả sau</v>
      </c>
      <c r="I236" s="265" t="str">
        <f>IFERROR(__xludf.DUMMYFUNCTION("""COMPUTED_VALUE"""),"API")</f>
        <v>API</v>
      </c>
      <c r="J236" s="265" t="str">
        <f>IFERROR(__xludf.DUMMYFUNCTION("""COMPUTED_VALUE"""),"Zalo ZNS")</f>
        <v>Zalo ZNS</v>
      </c>
      <c r="K236" s="265" t="str">
        <f>IFERROR(__xludf.DUMMYFUNCTION("""COMPUTED_VALUE"""),"LinhNTT1")</f>
        <v>LinhNTT1</v>
      </c>
    </row>
    <row r="237">
      <c r="A237" s="265" t="str">
        <f>IFERROR(__xludf.DUMMYFUNCTION("""COMPUTED_VALUE"""),"None 2")</f>
        <v>None 2</v>
      </c>
      <c r="B237" s="265" t="str">
        <f>IFERROR(__xludf.DUMMYFUNCTION("""COMPUTED_VALUE"""),"Hà Nội")</f>
        <v>Hà Nội</v>
      </c>
      <c r="C237" s="265" t="str">
        <f>IFERROR(__xludf.DUMMYFUNCTION("""COMPUTED_VALUE"""),"Locked")</f>
        <v>Locked</v>
      </c>
      <c r="D237" s="265" t="str">
        <f>IFERROR(__xludf.DUMMYFUNCTION("""COMPUTED_VALUE"""),"Sale chưa cung cấp")</f>
        <v>Sale chưa cung cấp</v>
      </c>
      <c r="E237" s="265" t="str">
        <f>IFERROR(__xludf.DUMMYFUNCTION("""COMPUTED_VALUE"""),"TúPHN")</f>
        <v>TúPHN</v>
      </c>
      <c r="F237" s="265" t="str">
        <f>IFERROR(__xludf.DUMMYFUNCTION("""COMPUTED_VALUE"""),"Bronze")</f>
        <v>Bronze</v>
      </c>
      <c r="G237" s="265" t="str">
        <f>IFERROR(__xludf.DUMMYFUNCTION("""COMPUTED_VALUE"""),"API")</f>
        <v>API</v>
      </c>
      <c r="H237" s="265" t="str">
        <f>IFERROR(__xludf.DUMMYFUNCTION("""COMPUTED_VALUE"""),"Trả sau")</f>
        <v>Trả sau</v>
      </c>
      <c r="I237" s="265" t="str">
        <f>IFERROR(__xludf.DUMMYFUNCTION("""COMPUTED_VALUE"""),"API")</f>
        <v>API</v>
      </c>
      <c r="J237" s="265" t="str">
        <f>IFERROR(__xludf.DUMMYFUNCTION("""COMPUTED_VALUE"""),"Zalo ZNS")</f>
        <v>Zalo ZNS</v>
      </c>
      <c r="K237" s="265" t="str">
        <f>IFERROR(__xludf.DUMMYFUNCTION("""COMPUTED_VALUE"""),"AnhNM")</f>
        <v>AnhNM</v>
      </c>
    </row>
    <row r="238">
      <c r="A238" s="265" t="str">
        <f>IFERROR(__xludf.DUMMYFUNCTION("""COMPUTED_VALUE"""),"None 2")</f>
        <v>None 2</v>
      </c>
      <c r="B238" s="265" t="str">
        <f>IFERROR(__xludf.DUMMYFUNCTION("""COMPUTED_VALUE"""),"Hà Nội")</f>
        <v>Hà Nội</v>
      </c>
      <c r="C238" s="265" t="str">
        <f>IFERROR(__xludf.DUMMYFUNCTION("""COMPUTED_VALUE"""),"Locked")</f>
        <v>Locked</v>
      </c>
      <c r="D238" s="265" t="str">
        <f>IFERROR(__xludf.DUMMYFUNCTION("""COMPUTED_VALUE"""),"Sale chưa cung cấp")</f>
        <v>Sale chưa cung cấp</v>
      </c>
      <c r="E238" s="265" t="str">
        <f>IFERROR(__xludf.DUMMYFUNCTION("""COMPUTED_VALUE"""),"TúPHN")</f>
        <v>TúPHN</v>
      </c>
      <c r="F238" s="265" t="str">
        <f>IFERROR(__xludf.DUMMYFUNCTION("""COMPUTED_VALUE"""),"Bronze")</f>
        <v>Bronze</v>
      </c>
      <c r="G238" s="265" t="str">
        <f>IFERROR(__xludf.DUMMYFUNCTION("""COMPUTED_VALUE"""),"API")</f>
        <v>API</v>
      </c>
      <c r="H238" s="265" t="str">
        <f>IFERROR(__xludf.DUMMYFUNCTION("""COMPUTED_VALUE"""),"Trả sau")</f>
        <v>Trả sau</v>
      </c>
      <c r="I238" s="265" t="str">
        <f>IFERROR(__xludf.DUMMYFUNCTION("""COMPUTED_VALUE"""),"API")</f>
        <v>API</v>
      </c>
      <c r="J238" s="265" t="str">
        <f>IFERROR(__xludf.DUMMYFUNCTION("""COMPUTED_VALUE"""),"Zalo UID")</f>
        <v>Zalo UID</v>
      </c>
      <c r="K238" s="265" t="str">
        <f>IFERROR(__xludf.DUMMYFUNCTION("""COMPUTED_VALUE"""),"AnhNM")</f>
        <v>AnhNM</v>
      </c>
    </row>
    <row r="239">
      <c r="A239" s="265" t="str">
        <f>IFERROR(__xludf.DUMMYFUNCTION("""COMPUTED_VALUE"""),"546")</f>
        <v>546</v>
      </c>
      <c r="B239" s="265" t="str">
        <f>IFERROR(__xludf.DUMMYFUNCTION("""COMPUTED_VALUE"""),"Sài Gòn")</f>
        <v>Sài Gòn</v>
      </c>
      <c r="C239" s="265" t="str">
        <f>IFERROR(__xludf.DUMMYFUNCTION("""COMPUTED_VALUE"""),"Locked")</f>
        <v>Locked</v>
      </c>
      <c r="D239" s="265" t="str">
        <f>IFERROR(__xludf.DUMMYFUNCTION("""COMPUTED_VALUE"""),"Sale chưa cung cấp")</f>
        <v>Sale chưa cung cấp</v>
      </c>
      <c r="E239" s="265" t="str">
        <f>IFERROR(__xludf.DUMMYFUNCTION("""COMPUTED_VALUE"""),"HoaNTM")</f>
        <v>HoaNTM</v>
      </c>
      <c r="F239" s="265" t="str">
        <f>IFERROR(__xludf.DUMMYFUNCTION("""COMPUTED_VALUE"""),"Bronze")</f>
        <v>Bronze</v>
      </c>
      <c r="G239" s="265" t="str">
        <f>IFERROR(__xludf.DUMMYFUNCTION("""COMPUTED_VALUE"""),"Enterprise")</f>
        <v>Enterprise</v>
      </c>
      <c r="H239" s="265" t="str">
        <f>IFERROR(__xludf.DUMMYFUNCTION("""COMPUTED_VALUE"""),"(Chưa recheck)")</f>
        <v>(Chưa recheck)</v>
      </c>
      <c r="I239" s="265" t="str">
        <f>IFERROR(__xludf.DUMMYFUNCTION("""COMPUTED_VALUE"""),"(Chưa recheck)")</f>
        <v>(Chưa recheck)</v>
      </c>
      <c r="J239" s="265" t="str">
        <f>IFERROR(__xludf.DUMMYFUNCTION("""COMPUTED_VALUE"""),"GapOne")</f>
        <v>GapOne</v>
      </c>
      <c r="K239" s="265" t="str">
        <f>IFERROR(__xludf.DUMMYFUNCTION("""COMPUTED_VALUE"""),"(Chưa recheck)")</f>
        <v>(Chưa recheck)</v>
      </c>
    </row>
    <row r="240">
      <c r="A240" s="265" t="str">
        <f>IFERROR(__xludf.DUMMYFUNCTION("""COMPUTED_VALUE"""),"548")</f>
        <v>548</v>
      </c>
      <c r="B240" s="265" t="str">
        <f>IFERROR(__xludf.DUMMYFUNCTION("""COMPUTED_VALUE"""),"Sài Gòn")</f>
        <v>Sài Gòn</v>
      </c>
      <c r="C240" s="265" t="str">
        <f>IFERROR(__xludf.DUMMYFUNCTION("""COMPUTED_VALUE"""),"Locked")</f>
        <v>Locked</v>
      </c>
      <c r="D240" s="265" t="str">
        <f>IFERROR(__xludf.DUMMYFUNCTION("""COMPUTED_VALUE"""),"Sale chưa cung cấp")</f>
        <v>Sale chưa cung cấp</v>
      </c>
      <c r="E240" s="265" t="str">
        <f>IFERROR(__xludf.DUMMYFUNCTION("""COMPUTED_VALUE"""),"HoaNTM")</f>
        <v>HoaNTM</v>
      </c>
      <c r="F240" s="265" t="str">
        <f>IFERROR(__xludf.DUMMYFUNCTION("""COMPUTED_VALUE"""),"Sale chưa cung cấp")</f>
        <v>Sale chưa cung cấp</v>
      </c>
      <c r="G240" s="265" t="str">
        <f>IFERROR(__xludf.DUMMYFUNCTION("""COMPUTED_VALUE"""),"Enterprise")</f>
        <v>Enterprise</v>
      </c>
      <c r="H240" s="265" t="str">
        <f>IFERROR(__xludf.DUMMYFUNCTION("""COMPUTED_VALUE"""),"(Chưa recheck)")</f>
        <v>(Chưa recheck)</v>
      </c>
      <c r="I240" s="265" t="str">
        <f>IFERROR(__xludf.DUMMYFUNCTION("""COMPUTED_VALUE"""),"(Chưa recheck)")</f>
        <v>(Chưa recheck)</v>
      </c>
      <c r="J240" s="265" t="str">
        <f>IFERROR(__xludf.DUMMYFUNCTION("""COMPUTED_VALUE"""),"GapOne")</f>
        <v>GapOne</v>
      </c>
      <c r="K240" s="265" t="str">
        <f>IFERROR(__xludf.DUMMYFUNCTION("""COMPUTED_VALUE"""),"(Chưa recheck)")</f>
        <v>(Chưa recheck)</v>
      </c>
    </row>
    <row r="241">
      <c r="A241" s="265" t="str">
        <f>IFERROR(__xludf.DUMMYFUNCTION("""COMPUTED_VALUE"""),"549")</f>
        <v>549</v>
      </c>
      <c r="B241" s="265" t="str">
        <f>IFERROR(__xludf.DUMMYFUNCTION("""COMPUTED_VALUE"""),"Sài Gòn")</f>
        <v>Sài Gòn</v>
      </c>
      <c r="C241" s="265" t="str">
        <f>IFERROR(__xludf.DUMMYFUNCTION("""COMPUTED_VALUE"""),"Locked")</f>
        <v>Locked</v>
      </c>
      <c r="D241" s="265" t="str">
        <f>IFERROR(__xludf.DUMMYFUNCTION("""COMPUTED_VALUE"""),"Sale chưa cung cấp")</f>
        <v>Sale chưa cung cấp</v>
      </c>
      <c r="E241" s="265" t="str">
        <f>IFERROR(__xludf.DUMMYFUNCTION("""COMPUTED_VALUE"""),"HoaNTM")</f>
        <v>HoaNTM</v>
      </c>
      <c r="F241" s="265" t="str">
        <f>IFERROR(__xludf.DUMMYFUNCTION("""COMPUTED_VALUE"""),"Sale chưa cung cấp")</f>
        <v>Sale chưa cung cấp</v>
      </c>
      <c r="G241" s="265" t="str">
        <f>IFERROR(__xludf.DUMMYFUNCTION("""COMPUTED_VALUE"""),"Enterprise")</f>
        <v>Enterprise</v>
      </c>
      <c r="H241" s="265" t="str">
        <f>IFERROR(__xludf.DUMMYFUNCTION("""COMPUTED_VALUE"""),"(Chưa recheck)")</f>
        <v>(Chưa recheck)</v>
      </c>
      <c r="I241" s="265" t="str">
        <f>IFERROR(__xludf.DUMMYFUNCTION("""COMPUTED_VALUE"""),"(Chưa recheck)")</f>
        <v>(Chưa recheck)</v>
      </c>
      <c r="J241" s="265" t="str">
        <f>IFERROR(__xludf.DUMMYFUNCTION("""COMPUTED_VALUE"""),"GapOne")</f>
        <v>GapOne</v>
      </c>
      <c r="K241" s="265" t="str">
        <f>IFERROR(__xludf.DUMMYFUNCTION("""COMPUTED_VALUE"""),"(Chưa recheck)")</f>
        <v>(Chưa recheck)</v>
      </c>
    </row>
    <row r="242">
      <c r="A242" s="265" t="str">
        <f>IFERROR(__xludf.DUMMYFUNCTION("""COMPUTED_VALUE"""),"550")</f>
        <v>550</v>
      </c>
      <c r="B242" s="265" t="str">
        <f>IFERROR(__xludf.DUMMYFUNCTION("""COMPUTED_VALUE"""),"Sài Gòn")</f>
        <v>Sài Gòn</v>
      </c>
      <c r="C242" s="265" t="str">
        <f>IFERROR(__xludf.DUMMYFUNCTION("""COMPUTED_VALUE"""),"Locked")</f>
        <v>Locked</v>
      </c>
      <c r="D242" s="265" t="str">
        <f>IFERROR(__xludf.DUMMYFUNCTION("""COMPUTED_VALUE"""),"Sale chưa cung cấp")</f>
        <v>Sale chưa cung cấp</v>
      </c>
      <c r="E242" s="265" t="str">
        <f>IFERROR(__xludf.DUMMYFUNCTION("""COMPUTED_VALUE"""),"HoaNTM")</f>
        <v>HoaNTM</v>
      </c>
      <c r="F242" s="265" t="str">
        <f>IFERROR(__xludf.DUMMYFUNCTION("""COMPUTED_VALUE"""),"Sale chưa cung cấp")</f>
        <v>Sale chưa cung cấp</v>
      </c>
      <c r="G242" s="265" t="str">
        <f>IFERROR(__xludf.DUMMYFUNCTION("""COMPUTED_VALUE"""),"Enterprise")</f>
        <v>Enterprise</v>
      </c>
      <c r="H242" s="265" t="str">
        <f>IFERROR(__xludf.DUMMYFUNCTION("""COMPUTED_VALUE"""),"Trial")</f>
        <v>Trial</v>
      </c>
      <c r="I242" s="265" t="str">
        <f>IFERROR(__xludf.DUMMYFUNCTION("""COMPUTED_VALUE"""),"(Không recheck)")</f>
        <v>(Không recheck)</v>
      </c>
      <c r="J242" s="265" t="str">
        <f>IFERROR(__xludf.DUMMYFUNCTION("""COMPUTED_VALUE"""),"GapOne")</f>
        <v>GapOne</v>
      </c>
      <c r="K242" s="265" t="str">
        <f>IFERROR(__xludf.DUMMYFUNCTION("""COMPUTED_VALUE"""),"(Không recheck)")</f>
        <v>(Không recheck)</v>
      </c>
    </row>
    <row r="243">
      <c r="A243" s="265" t="str">
        <f>IFERROR(__xludf.DUMMYFUNCTION("""COMPUTED_VALUE"""),"554")</f>
        <v>554</v>
      </c>
      <c r="B243" s="265" t="str">
        <f>IFERROR(__xludf.DUMMYFUNCTION("""COMPUTED_VALUE"""),"Hà Nội")</f>
        <v>Hà Nội</v>
      </c>
      <c r="C243" s="265" t="str">
        <f>IFERROR(__xludf.DUMMYFUNCTION("""COMPUTED_VALUE"""),"Active")</f>
        <v>Active</v>
      </c>
      <c r="D243" s="265" t="str">
        <f>IFERROR(__xludf.DUMMYFUNCTION("""COMPUTED_VALUE"""),"Truyền thông &amp; Giải trí")</f>
        <v>Truyền thông &amp; Giải trí</v>
      </c>
      <c r="E243" s="265" t="str">
        <f>IFERROR(__xludf.DUMMYFUNCTION("""COMPUTED_VALUE"""),"TùngLD")</f>
        <v>TùngLD</v>
      </c>
      <c r="F243" s="265" t="str">
        <f>IFERROR(__xludf.DUMMYFUNCTION("""COMPUTED_VALUE"""),"Silver")</f>
        <v>Silver</v>
      </c>
      <c r="G243" s="265" t="str">
        <f>IFERROR(__xludf.DUMMYFUNCTION("""COMPUTED_VALUE"""),"Enterprise")</f>
        <v>Enterprise</v>
      </c>
      <c r="H243" s="265" t="str">
        <f>IFERROR(__xludf.DUMMYFUNCTION("""COMPUTED_VALUE"""),"Trả sau")</f>
        <v>Trả sau</v>
      </c>
      <c r="I243" s="265" t="str">
        <f>IFERROR(__xludf.DUMMYFUNCTION("""COMPUTED_VALUE"""),"API &amp; Portal")</f>
        <v>API &amp; Portal</v>
      </c>
      <c r="J243" s="265" t="str">
        <f>IFERROR(__xludf.DUMMYFUNCTION("""COMPUTED_VALUE"""),"SMS CSKH")</f>
        <v>SMS CSKH</v>
      </c>
      <c r="K243" s="265" t="str">
        <f>IFERROR(__xludf.DUMMYFUNCTION("""COMPUTED_VALUE"""),"DungPL")</f>
        <v>DungPL</v>
      </c>
    </row>
    <row r="244">
      <c r="A244" s="265" t="str">
        <f>IFERROR(__xludf.DUMMYFUNCTION("""COMPUTED_VALUE"""),"554")</f>
        <v>554</v>
      </c>
      <c r="B244" s="265" t="str">
        <f>IFERROR(__xludf.DUMMYFUNCTION("""COMPUTED_VALUE"""),"Hà Nội")</f>
        <v>Hà Nội</v>
      </c>
      <c r="C244" s="265" t="str">
        <f>IFERROR(__xludf.DUMMYFUNCTION("""COMPUTED_VALUE"""),"Active")</f>
        <v>Active</v>
      </c>
      <c r="D244" s="265" t="str">
        <f>IFERROR(__xludf.DUMMYFUNCTION("""COMPUTED_VALUE"""),"Truyền thông &amp; Giải trí")</f>
        <v>Truyền thông &amp; Giải trí</v>
      </c>
      <c r="E244" s="265" t="str">
        <f>IFERROR(__xludf.DUMMYFUNCTION("""COMPUTED_VALUE"""),"TùngLD")</f>
        <v>TùngLD</v>
      </c>
      <c r="F244" s="265" t="str">
        <f>IFERROR(__xludf.DUMMYFUNCTION("""COMPUTED_VALUE"""),"Silver")</f>
        <v>Silver</v>
      </c>
      <c r="G244" s="265" t="str">
        <f>IFERROR(__xludf.DUMMYFUNCTION("""COMPUTED_VALUE"""),"Enterprise")</f>
        <v>Enterprise</v>
      </c>
      <c r="H244" s="265" t="str">
        <f>IFERROR(__xludf.DUMMYFUNCTION("""COMPUTED_VALUE"""),"Trả sau")</f>
        <v>Trả sau</v>
      </c>
      <c r="I244" s="265" t="str">
        <f>IFERROR(__xludf.DUMMYFUNCTION("""COMPUTED_VALUE"""),"API &amp; Portal")</f>
        <v>API &amp; Portal</v>
      </c>
      <c r="J244" s="265" t="str">
        <f>IFERROR(__xludf.DUMMYFUNCTION("""COMPUTED_VALUE"""),"SMS QC")</f>
        <v>SMS QC</v>
      </c>
      <c r="K244" s="265" t="str">
        <f>IFERROR(__xludf.DUMMYFUNCTION("""COMPUTED_VALUE"""),"DungPL")</f>
        <v>DungPL</v>
      </c>
    </row>
    <row r="245">
      <c r="A245" s="265" t="str">
        <f>IFERROR(__xludf.DUMMYFUNCTION("""COMPUTED_VALUE"""),"554")</f>
        <v>554</v>
      </c>
      <c r="B245" s="265" t="str">
        <f>IFERROR(__xludf.DUMMYFUNCTION("""COMPUTED_VALUE"""),"Hà Nội")</f>
        <v>Hà Nội</v>
      </c>
      <c r="C245" s="265" t="str">
        <f>IFERROR(__xludf.DUMMYFUNCTION("""COMPUTED_VALUE"""),"Active")</f>
        <v>Active</v>
      </c>
      <c r="D245" s="265" t="str">
        <f>IFERROR(__xludf.DUMMYFUNCTION("""COMPUTED_VALUE"""),"Truyền thông &amp; Giải trí")</f>
        <v>Truyền thông &amp; Giải trí</v>
      </c>
      <c r="E245" s="265" t="str">
        <f>IFERROR(__xludf.DUMMYFUNCTION("""COMPUTED_VALUE"""),"TùngLD")</f>
        <v>TùngLD</v>
      </c>
      <c r="F245" s="265" t="str">
        <f>IFERROR(__xludf.DUMMYFUNCTION("""COMPUTED_VALUE"""),"Silver")</f>
        <v>Silver</v>
      </c>
      <c r="G245" s="265" t="str">
        <f>IFERROR(__xludf.DUMMYFUNCTION("""COMPUTED_VALUE"""),"Enterprise")</f>
        <v>Enterprise</v>
      </c>
      <c r="H245" s="265" t="str">
        <f>IFERROR(__xludf.DUMMYFUNCTION("""COMPUTED_VALUE"""),"Trả sau")</f>
        <v>Trả sau</v>
      </c>
      <c r="I245" s="265" t="str">
        <f>IFERROR(__xludf.DUMMYFUNCTION("""COMPUTED_VALUE"""),"API &amp; Portal")</f>
        <v>API &amp; Portal</v>
      </c>
      <c r="J245" s="265" t="str">
        <f>IFERROR(__xludf.DUMMYFUNCTION("""COMPUTED_VALUE"""),"Zalo ZNS")</f>
        <v>Zalo ZNS</v>
      </c>
      <c r="K245" s="265" t="str">
        <f>IFERROR(__xludf.DUMMYFUNCTION("""COMPUTED_VALUE"""),"DungPL")</f>
        <v>DungPL</v>
      </c>
    </row>
    <row r="246">
      <c r="A246" s="265" t="str">
        <f>IFERROR(__xludf.DUMMYFUNCTION("""COMPUTED_VALUE"""),"551")</f>
        <v>551</v>
      </c>
      <c r="B246" s="265" t="str">
        <f>IFERROR(__xludf.DUMMYFUNCTION("""COMPUTED_VALUE"""),"Sài Gòn")</f>
        <v>Sài Gòn</v>
      </c>
      <c r="C246" s="265" t="str">
        <f>IFERROR(__xludf.DUMMYFUNCTION("""COMPUTED_VALUE"""),"Locked")</f>
        <v>Locked</v>
      </c>
      <c r="D246" s="265" t="str">
        <f>IFERROR(__xludf.DUMMYFUNCTION("""COMPUTED_VALUE"""),"Sale chưa cung cấp")</f>
        <v>Sale chưa cung cấp</v>
      </c>
      <c r="E246" s="265" t="str">
        <f>IFERROR(__xludf.DUMMYFUNCTION("""COMPUTED_VALUE"""),"HoaNTM")</f>
        <v>HoaNTM</v>
      </c>
      <c r="F246" s="265" t="str">
        <f>IFERROR(__xludf.DUMMYFUNCTION("""COMPUTED_VALUE"""),"Sale chưa cung cấp")</f>
        <v>Sale chưa cung cấp</v>
      </c>
      <c r="G246" s="265" t="str">
        <f>IFERROR(__xludf.DUMMYFUNCTION("""COMPUTED_VALUE"""),"MSG")</f>
        <v>MSG</v>
      </c>
      <c r="H246" s="265" t="str">
        <f>IFERROR(__xludf.DUMMYFUNCTION("""COMPUTED_VALUE"""),"(Chưa recheck)")</f>
        <v>(Chưa recheck)</v>
      </c>
      <c r="I246" s="265" t="str">
        <f>IFERROR(__xludf.DUMMYFUNCTION("""COMPUTED_VALUE"""),"(Chưa recheck)")</f>
        <v>(Chưa recheck)</v>
      </c>
      <c r="J246" s="265" t="str">
        <f>IFERROR(__xludf.DUMMYFUNCTION("""COMPUTED_VALUE"""),"Zalo ZNS")</f>
        <v>Zalo ZNS</v>
      </c>
      <c r="K246" s="265" t="str">
        <f>IFERROR(__xludf.DUMMYFUNCTION("""COMPUTED_VALUE"""),"(Chưa recheck)")</f>
        <v>(Chưa recheck)</v>
      </c>
    </row>
    <row r="247">
      <c r="A247" s="265" t="str">
        <f>IFERROR(__xludf.DUMMYFUNCTION("""COMPUTED_VALUE"""),"552")</f>
        <v>552</v>
      </c>
      <c r="B247" s="265" t="str">
        <f>IFERROR(__xludf.DUMMYFUNCTION("""COMPUTED_VALUE"""),"Sài Gòn")</f>
        <v>Sài Gòn</v>
      </c>
      <c r="C247" s="265" t="str">
        <f>IFERROR(__xludf.DUMMYFUNCTION("""COMPUTED_VALUE"""),"Locked")</f>
        <v>Locked</v>
      </c>
      <c r="D247" s="265" t="str">
        <f>IFERROR(__xludf.DUMMYFUNCTION("""COMPUTED_VALUE"""),"Sale chưa cung cấp")</f>
        <v>Sale chưa cung cấp</v>
      </c>
      <c r="E247" s="265" t="str">
        <f>IFERROR(__xludf.DUMMYFUNCTION("""COMPUTED_VALUE"""),"HoaNTM")</f>
        <v>HoaNTM</v>
      </c>
      <c r="F247" s="265" t="str">
        <f>IFERROR(__xludf.DUMMYFUNCTION("""COMPUTED_VALUE"""),"Gold")</f>
        <v>Gold</v>
      </c>
      <c r="G247" s="265" t="str">
        <f>IFERROR(__xludf.DUMMYFUNCTION("""COMPUTED_VALUE"""),"Enterprise")</f>
        <v>Enterprise</v>
      </c>
      <c r="H247" s="265" t="str">
        <f>IFERROR(__xludf.DUMMYFUNCTION("""COMPUTED_VALUE"""),"Trả sau")</f>
        <v>Trả sau</v>
      </c>
      <c r="I247" s="265" t="str">
        <f>IFERROR(__xludf.DUMMYFUNCTION("""COMPUTED_VALUE"""),"(Chưa recheck)")</f>
        <v>(Chưa recheck)</v>
      </c>
      <c r="J247" s="265" t="str">
        <f>IFERROR(__xludf.DUMMYFUNCTION("""COMPUTED_VALUE"""),"GapOne")</f>
        <v>GapOne</v>
      </c>
      <c r="K247" s="265" t="str">
        <f>IFERROR(__xludf.DUMMYFUNCTION("""COMPUTED_VALUE"""),"(Chưa recheck)")</f>
        <v>(Chưa recheck)</v>
      </c>
    </row>
    <row r="248">
      <c r="A248" s="265" t="str">
        <f>IFERROR(__xludf.DUMMYFUNCTION("""COMPUTED_VALUE"""),"553")</f>
        <v>553</v>
      </c>
      <c r="B248" s="265" t="str">
        <f>IFERROR(__xludf.DUMMYFUNCTION("""COMPUTED_VALUE"""),"Sài Gòn")</f>
        <v>Sài Gòn</v>
      </c>
      <c r="C248" s="265" t="str">
        <f>IFERROR(__xludf.DUMMYFUNCTION("""COMPUTED_VALUE"""),"Locked")</f>
        <v>Locked</v>
      </c>
      <c r="D248" s="265" t="str">
        <f>IFERROR(__xludf.DUMMYFUNCTION("""COMPUTED_VALUE"""),"Sale chưa cung cấp")</f>
        <v>Sale chưa cung cấp</v>
      </c>
      <c r="E248" s="265" t="str">
        <f>IFERROR(__xludf.DUMMYFUNCTION("""COMPUTED_VALUE"""),"HoaNTM")</f>
        <v>HoaNTM</v>
      </c>
      <c r="F248" s="265" t="str">
        <f>IFERROR(__xludf.DUMMYFUNCTION("""COMPUTED_VALUE"""),"Sale chưa cung cấp")</f>
        <v>Sale chưa cung cấp</v>
      </c>
      <c r="G248" s="265" t="str">
        <f>IFERROR(__xludf.DUMMYFUNCTION("""COMPUTED_VALUE"""),"Enterprise")</f>
        <v>Enterprise</v>
      </c>
      <c r="H248" s="265" t="str">
        <f>IFERROR(__xludf.DUMMYFUNCTION("""COMPUTED_VALUE"""),"(Chưa recheck)")</f>
        <v>(Chưa recheck)</v>
      </c>
      <c r="I248" s="265" t="str">
        <f>IFERROR(__xludf.DUMMYFUNCTION("""COMPUTED_VALUE"""),"(Chưa recheck)")</f>
        <v>(Chưa recheck)</v>
      </c>
      <c r="J248" s="265" t="str">
        <f>IFERROR(__xludf.DUMMYFUNCTION("""COMPUTED_VALUE"""),"GapOne")</f>
        <v>GapOne</v>
      </c>
      <c r="K248" s="265" t="str">
        <f>IFERROR(__xludf.DUMMYFUNCTION("""COMPUTED_VALUE"""),"AnhNM")</f>
        <v>AnhNM</v>
      </c>
    </row>
    <row r="249">
      <c r="A249" s="265" t="str">
        <f>IFERROR(__xludf.DUMMYFUNCTION("""COMPUTED_VALUE"""),"555")</f>
        <v>555</v>
      </c>
      <c r="B249" s="265" t="str">
        <f>IFERROR(__xludf.DUMMYFUNCTION("""COMPUTED_VALUE"""),"Sài Gòn")</f>
        <v>Sài Gòn</v>
      </c>
      <c r="C249" s="265" t="str">
        <f>IFERROR(__xludf.DUMMYFUNCTION("""COMPUTED_VALUE"""),"Locked")</f>
        <v>Locked</v>
      </c>
      <c r="D249" s="265" t="str">
        <f>IFERROR(__xludf.DUMMYFUNCTION("""COMPUTED_VALUE"""),"Sale chưa cung cấp")</f>
        <v>Sale chưa cung cấp</v>
      </c>
      <c r="E249" s="265" t="str">
        <f>IFERROR(__xludf.DUMMYFUNCTION("""COMPUTED_VALUE"""),"HoaNTM")</f>
        <v>HoaNTM</v>
      </c>
      <c r="F249" s="265" t="str">
        <f>IFERROR(__xludf.DUMMYFUNCTION("""COMPUTED_VALUE"""),"Sale chưa cung cấp")</f>
        <v>Sale chưa cung cấp</v>
      </c>
      <c r="G249" s="265" t="str">
        <f>IFERROR(__xludf.DUMMYFUNCTION("""COMPUTED_VALUE"""),"MSG")</f>
        <v>MSG</v>
      </c>
      <c r="H249" s="265" t="str">
        <f>IFERROR(__xludf.DUMMYFUNCTION("""COMPUTED_VALUE"""),"(Chưa recheck)")</f>
        <v>(Chưa recheck)</v>
      </c>
      <c r="I249" s="265" t="str">
        <f>IFERROR(__xludf.DUMMYFUNCTION("""COMPUTED_VALUE"""),"(Chưa recheck)")</f>
        <v>(Chưa recheck)</v>
      </c>
      <c r="J249" s="265" t="str">
        <f>IFERROR(__xludf.DUMMYFUNCTION("""COMPUTED_VALUE"""),"Zalo ZNS")</f>
        <v>Zalo ZNS</v>
      </c>
      <c r="K249" s="265" t="str">
        <f>IFERROR(__xludf.DUMMYFUNCTION("""COMPUTED_VALUE"""),"(Chưa recheck)")</f>
        <v>(Chưa recheck)</v>
      </c>
    </row>
    <row r="250">
      <c r="A250" s="265" t="str">
        <f>IFERROR(__xludf.DUMMYFUNCTION("""COMPUTED_VALUE"""),"503")</f>
        <v>503</v>
      </c>
      <c r="B250" s="265" t="str">
        <f>IFERROR(__xludf.DUMMYFUNCTION("""COMPUTED_VALUE"""),"Hà Nội")</f>
        <v>Hà Nội</v>
      </c>
      <c r="C250" s="265" t="str">
        <f>IFERROR(__xludf.DUMMYFUNCTION("""COMPUTED_VALUE"""),"Locked")</f>
        <v>Locked</v>
      </c>
      <c r="D250" s="265" t="str">
        <f>IFERROR(__xludf.DUMMYFUNCTION("""COMPUTED_VALUE"""),"Sale chưa cung cấp")</f>
        <v>Sale chưa cung cấp</v>
      </c>
      <c r="E250" s="265" t="str">
        <f>IFERROR(__xludf.DUMMYFUNCTION("""COMPUTED_VALUE"""),"NamDT")</f>
        <v>NamDT</v>
      </c>
      <c r="F250" s="265" t="str">
        <f>IFERROR(__xludf.DUMMYFUNCTION("""COMPUTED_VALUE"""),"Sale chưa cung cấp")</f>
        <v>Sale chưa cung cấp</v>
      </c>
      <c r="G250" s="265" t="str">
        <f>IFERROR(__xludf.DUMMYFUNCTION("""COMPUTED_VALUE"""),"MSG")</f>
        <v>MSG</v>
      </c>
      <c r="H250" s="265" t="str">
        <f>IFERROR(__xludf.DUMMYFUNCTION("""COMPUTED_VALUE"""),"(Chưa recheck)")</f>
        <v>(Chưa recheck)</v>
      </c>
      <c r="I250" s="265" t="str">
        <f>IFERROR(__xludf.DUMMYFUNCTION("""COMPUTED_VALUE"""),"(Chưa recheck)")</f>
        <v>(Chưa recheck)</v>
      </c>
      <c r="J250" s="265" t="str">
        <f>IFERROR(__xludf.DUMMYFUNCTION("""COMPUTED_VALUE"""),"Zalo ZNS")</f>
        <v>Zalo ZNS</v>
      </c>
      <c r="K250" s="265" t="str">
        <f>IFERROR(__xludf.DUMMYFUNCTION("""COMPUTED_VALUE"""),"(Chưa recheck)")</f>
        <v>(Chưa recheck)</v>
      </c>
    </row>
    <row r="251">
      <c r="A251" s="265" t="str">
        <f>IFERROR(__xludf.DUMMYFUNCTION("""COMPUTED_VALUE"""),"557")</f>
        <v>557</v>
      </c>
      <c r="B251" s="265" t="str">
        <f>IFERROR(__xludf.DUMMYFUNCTION("""COMPUTED_VALUE"""),"Hà Nội")</f>
        <v>Hà Nội</v>
      </c>
      <c r="C251" s="265" t="str">
        <f>IFERROR(__xludf.DUMMYFUNCTION("""COMPUTED_VALUE"""),"Active")</f>
        <v>Active</v>
      </c>
      <c r="D251" s="265" t="str">
        <f>IFERROR(__xludf.DUMMYFUNCTION("""COMPUTED_VALUE"""),"Sale chưa cung cấp")</f>
        <v>Sale chưa cung cấp</v>
      </c>
      <c r="E251" s="265" t="str">
        <f>IFERROR(__xludf.DUMMYFUNCTION("""COMPUTED_VALUE"""),"AnhNM")</f>
        <v>AnhNM</v>
      </c>
      <c r="F251" s="265" t="str">
        <f>IFERROR(__xludf.DUMMYFUNCTION("""COMPUTED_VALUE"""),"Bronze")</f>
        <v>Bronze</v>
      </c>
      <c r="G251" s="265" t="str">
        <f>IFERROR(__xludf.DUMMYFUNCTION("""COMPUTED_VALUE"""),"Starter")</f>
        <v>Starter</v>
      </c>
      <c r="H251" s="265" t="str">
        <f>IFERROR(__xludf.DUMMYFUNCTION("""COMPUTED_VALUE"""),"Trả sau")</f>
        <v>Trả sau</v>
      </c>
      <c r="I251" s="265" t="str">
        <f>IFERROR(__xludf.DUMMYFUNCTION("""COMPUTED_VALUE"""),"API")</f>
        <v>API</v>
      </c>
      <c r="J251" s="265" t="str">
        <f>IFERROR(__xludf.DUMMYFUNCTION("""COMPUTED_VALUE"""),"Zalo ZNS")</f>
        <v>Zalo ZNS</v>
      </c>
      <c r="K251" s="265" t="str">
        <f>IFERROR(__xludf.DUMMYFUNCTION("""COMPUTED_VALUE"""),"DungPL")</f>
        <v>DungPL</v>
      </c>
    </row>
    <row r="252">
      <c r="A252" s="265" t="str">
        <f>IFERROR(__xludf.DUMMYFUNCTION("""COMPUTED_VALUE"""),"556")</f>
        <v>556</v>
      </c>
      <c r="B252" s="265" t="str">
        <f>IFERROR(__xludf.DUMMYFUNCTION("""COMPUTED_VALUE"""),"Sài Gòn")</f>
        <v>Sài Gòn</v>
      </c>
      <c r="C252" s="265" t="str">
        <f>IFERROR(__xludf.DUMMYFUNCTION("""COMPUTED_VALUE"""),"Active")</f>
        <v>Active</v>
      </c>
      <c r="D252" s="265" t="str">
        <f>IFERROR(__xludf.DUMMYFUNCTION("""COMPUTED_VALUE"""),"Sale chưa cung cấp")</f>
        <v>Sale chưa cung cấp</v>
      </c>
      <c r="E252" s="265" t="str">
        <f>IFERROR(__xludf.DUMMYFUNCTION("""COMPUTED_VALUE"""),"TúPHN")</f>
        <v>TúPHN</v>
      </c>
      <c r="F252" s="265" t="str">
        <f>IFERROR(__xludf.DUMMYFUNCTION("""COMPUTED_VALUE"""),"Diamond")</f>
        <v>Diamond</v>
      </c>
      <c r="G252" s="265" t="str">
        <f>IFERROR(__xludf.DUMMYFUNCTION("""COMPUTED_VALUE"""),"Enterprise")</f>
        <v>Enterprise</v>
      </c>
      <c r="H252" s="265" t="str">
        <f>IFERROR(__xludf.DUMMYFUNCTION("""COMPUTED_VALUE"""),"Trả sau")</f>
        <v>Trả sau</v>
      </c>
      <c r="I252" s="265" t="str">
        <f>IFERROR(__xludf.DUMMYFUNCTION("""COMPUTED_VALUE"""),"Portal")</f>
        <v>Portal</v>
      </c>
      <c r="J252" s="265" t="str">
        <f>IFERROR(__xludf.DUMMYFUNCTION("""COMPUTED_VALUE"""),"Zalo ZNS")</f>
        <v>Zalo ZNS</v>
      </c>
      <c r="K252" s="265" t="str">
        <f>IFERROR(__xludf.DUMMYFUNCTION("""COMPUTED_VALUE"""),"LinhNTT1")</f>
        <v>LinhNTT1</v>
      </c>
    </row>
    <row r="253">
      <c r="A253" s="265" t="str">
        <f>IFERROR(__xludf.DUMMYFUNCTION("""COMPUTED_VALUE"""),"559")</f>
        <v>559</v>
      </c>
      <c r="B253" s="265" t="str">
        <f>IFERROR(__xludf.DUMMYFUNCTION("""COMPUTED_VALUE"""),"Hà Nội")</f>
        <v>Hà Nội</v>
      </c>
      <c r="C253" s="265" t="str">
        <f>IFERROR(__xludf.DUMMYFUNCTION("""COMPUTED_VALUE"""),"Active")</f>
        <v>Active</v>
      </c>
      <c r="D253" s="265" t="str">
        <f>IFERROR(__xludf.DUMMYFUNCTION("""COMPUTED_VALUE"""),"Sale chưa cung cấp")</f>
        <v>Sale chưa cung cấp</v>
      </c>
      <c r="E253" s="265" t="str">
        <f>IFERROR(__xludf.DUMMYFUNCTION("""COMPUTED_VALUE"""),"Không phân công")</f>
        <v>Không phân công</v>
      </c>
      <c r="F253" s="265" t="str">
        <f>IFERROR(__xludf.DUMMYFUNCTION("""COMPUTED_VALUE"""),"Bronze")</f>
        <v>Bronze</v>
      </c>
      <c r="G253" s="265" t="str">
        <f>IFERROR(__xludf.DUMMYFUNCTION("""COMPUTED_VALUE"""),"MSG")</f>
        <v>MSG</v>
      </c>
      <c r="H253" s="265" t="str">
        <f>IFERROR(__xludf.DUMMYFUNCTION("""COMPUTED_VALUE"""),"Trả sau")</f>
        <v>Trả sau</v>
      </c>
      <c r="I253" s="265" t="str">
        <f>IFERROR(__xludf.DUMMYFUNCTION("""COMPUTED_VALUE"""),"Portal")</f>
        <v>Portal</v>
      </c>
      <c r="J253" s="265" t="str">
        <f>IFERROR(__xludf.DUMMYFUNCTION("""COMPUTED_VALUE"""),"SMS CSKH")</f>
        <v>SMS CSKH</v>
      </c>
      <c r="K253" s="265" t="str">
        <f>IFERROR(__xludf.DUMMYFUNCTION("""COMPUTED_VALUE"""),"LinhNTT1")</f>
        <v>LinhNTT1</v>
      </c>
    </row>
    <row r="254">
      <c r="A254" s="265" t="str">
        <f>IFERROR(__xludf.DUMMYFUNCTION("""COMPUTED_VALUE"""),"560")</f>
        <v>560</v>
      </c>
      <c r="B254" s="265" t="str">
        <f>IFERROR(__xludf.DUMMYFUNCTION("""COMPUTED_VALUE"""),"Hà Nội")</f>
        <v>Hà Nội</v>
      </c>
      <c r="C254" s="265" t="str">
        <f>IFERROR(__xludf.DUMMYFUNCTION("""COMPUTED_VALUE"""),"Active")</f>
        <v>Active</v>
      </c>
      <c r="D254" s="265" t="str">
        <f>IFERROR(__xludf.DUMMYFUNCTION("""COMPUTED_VALUE"""),"Giáo dục &amp; Đào tạo")</f>
        <v>Giáo dục &amp; Đào tạo</v>
      </c>
      <c r="E254" s="265" t="str">
        <f>IFERROR(__xludf.DUMMYFUNCTION("""COMPUTED_VALUE"""),"Không phân công")</f>
        <v>Không phân công</v>
      </c>
      <c r="F254" s="265" t="str">
        <f>IFERROR(__xludf.DUMMYFUNCTION("""COMPUTED_VALUE"""),"Bronze")</f>
        <v>Bronze</v>
      </c>
      <c r="G254" s="265" t="str">
        <f>IFERROR(__xludf.DUMMYFUNCTION("""COMPUTED_VALUE"""),"Starter")</f>
        <v>Starter</v>
      </c>
      <c r="H254" s="265" t="str">
        <f>IFERROR(__xludf.DUMMYFUNCTION("""COMPUTED_VALUE"""),"Trả sau")</f>
        <v>Trả sau</v>
      </c>
      <c r="I254" s="265" t="str">
        <f>IFERROR(__xludf.DUMMYFUNCTION("""COMPUTED_VALUE"""),"API &amp; Portal")</f>
        <v>API &amp; Portal</v>
      </c>
      <c r="J254" s="265" t="str">
        <f>IFERROR(__xludf.DUMMYFUNCTION("""COMPUTED_VALUE"""),"SMS CSKH")</f>
        <v>SMS CSKH</v>
      </c>
      <c r="K254" s="265" t="str">
        <f>IFERROR(__xludf.DUMMYFUNCTION("""COMPUTED_VALUE"""),"DungPL")</f>
        <v>DungPL</v>
      </c>
    </row>
    <row r="255">
      <c r="A255" s="265" t="str">
        <f>IFERROR(__xludf.DUMMYFUNCTION("""COMPUTED_VALUE"""),"561")</f>
        <v>561</v>
      </c>
      <c r="B255" s="265" t="str">
        <f>IFERROR(__xludf.DUMMYFUNCTION("""COMPUTED_VALUE"""),"Hà Nội")</f>
        <v>Hà Nội</v>
      </c>
      <c r="C255" s="265" t="str">
        <f>IFERROR(__xludf.DUMMYFUNCTION("""COMPUTED_VALUE"""),"Locked")</f>
        <v>Locked</v>
      </c>
      <c r="D255" s="265" t="str">
        <f>IFERROR(__xludf.DUMMYFUNCTION("""COMPUTED_VALUE"""),"Sale chưa cung cấp")</f>
        <v>Sale chưa cung cấp</v>
      </c>
      <c r="E255" s="265" t="str">
        <f>IFERROR(__xludf.DUMMYFUNCTION("""COMPUTED_VALUE"""),"Không phân công")</f>
        <v>Không phân công</v>
      </c>
      <c r="F255" s="265" t="str">
        <f>IFERROR(__xludf.DUMMYFUNCTION("""COMPUTED_VALUE"""),"Bronze")</f>
        <v>Bronze</v>
      </c>
      <c r="G255" s="265" t="str">
        <f>IFERROR(__xludf.DUMMYFUNCTION("""COMPUTED_VALUE"""),"Starter")</f>
        <v>Starter</v>
      </c>
      <c r="H255" s="265" t="str">
        <f>IFERROR(__xludf.DUMMYFUNCTION("""COMPUTED_VALUE"""),"Trả sau")</f>
        <v>Trả sau</v>
      </c>
      <c r="I255" s="265" t="str">
        <f>IFERROR(__xludf.DUMMYFUNCTION("""COMPUTED_VALUE"""),"Portal")</f>
        <v>Portal</v>
      </c>
      <c r="J255" s="265" t="str">
        <f>IFERROR(__xludf.DUMMYFUNCTION("""COMPUTED_VALUE"""),"SMS CSKH")</f>
        <v>SMS CSKH</v>
      </c>
      <c r="K255" s="265" t="str">
        <f>IFERROR(__xludf.DUMMYFUNCTION("""COMPUTED_VALUE"""),"DungPL")</f>
        <v>DungPL</v>
      </c>
    </row>
    <row r="256">
      <c r="A256" s="265" t="str">
        <f>IFERROR(__xludf.DUMMYFUNCTION("""COMPUTED_VALUE"""),"564")</f>
        <v>564</v>
      </c>
      <c r="B256" s="265" t="str">
        <f>IFERROR(__xludf.DUMMYFUNCTION("""COMPUTED_VALUE"""),"Sài Gòn")</f>
        <v>Sài Gòn</v>
      </c>
      <c r="C256" s="265" t="str">
        <f>IFERROR(__xludf.DUMMYFUNCTION("""COMPUTED_VALUE"""),"Locked")</f>
        <v>Locked</v>
      </c>
      <c r="D256" s="265" t="str">
        <f>IFERROR(__xludf.DUMMYFUNCTION("""COMPUTED_VALUE"""),"Sale chưa cung cấp")</f>
        <v>Sale chưa cung cấp</v>
      </c>
      <c r="E256" s="265" t="str">
        <f>IFERROR(__xludf.DUMMYFUNCTION("""COMPUTED_VALUE"""),"HoaNTM")</f>
        <v>HoaNTM</v>
      </c>
      <c r="F256" s="265" t="str">
        <f>IFERROR(__xludf.DUMMYFUNCTION("""COMPUTED_VALUE"""),"Bronze")</f>
        <v>Bronze</v>
      </c>
      <c r="G256" s="265" t="str">
        <f>IFERROR(__xludf.DUMMYFUNCTION("""COMPUTED_VALUE"""),"Enterprise")</f>
        <v>Enterprise</v>
      </c>
      <c r="H256" s="265" t="str">
        <f>IFERROR(__xludf.DUMMYFUNCTION("""COMPUTED_VALUE"""),"(Chưa recheck)")</f>
        <v>(Chưa recheck)</v>
      </c>
      <c r="I256" s="265" t="str">
        <f>IFERROR(__xludf.DUMMYFUNCTION("""COMPUTED_VALUE"""),"(Chưa recheck)")</f>
        <v>(Chưa recheck)</v>
      </c>
      <c r="J256" s="265" t="str">
        <f>IFERROR(__xludf.DUMMYFUNCTION("""COMPUTED_VALUE"""),"GapOne")</f>
        <v>GapOne</v>
      </c>
      <c r="K256" s="265" t="str">
        <f>IFERROR(__xludf.DUMMYFUNCTION("""COMPUTED_VALUE"""),"AnhNM")</f>
        <v>AnhNM</v>
      </c>
    </row>
    <row r="257">
      <c r="A257" s="265" t="str">
        <f>IFERROR(__xludf.DUMMYFUNCTION("""COMPUTED_VALUE"""),"563")</f>
        <v>563</v>
      </c>
      <c r="B257" s="265" t="str">
        <f>IFERROR(__xludf.DUMMYFUNCTION("""COMPUTED_VALUE"""),"Hà Nội")</f>
        <v>Hà Nội</v>
      </c>
      <c r="C257" s="265" t="str">
        <f>IFERROR(__xludf.DUMMYFUNCTION("""COMPUTED_VALUE"""),"Locked")</f>
        <v>Locked</v>
      </c>
      <c r="D257" s="265" t="str">
        <f>IFERROR(__xludf.DUMMYFUNCTION("""COMPUTED_VALUE"""),"Sale chưa cung cấp")</f>
        <v>Sale chưa cung cấp</v>
      </c>
      <c r="E257" s="265" t="str">
        <f>IFERROR(__xludf.DUMMYFUNCTION("""COMPUTED_VALUE"""),"TùngLD")</f>
        <v>TùngLD</v>
      </c>
      <c r="F257" s="265" t="str">
        <f>IFERROR(__xludf.DUMMYFUNCTION("""COMPUTED_VALUE"""),"Sale chưa cung cấp")</f>
        <v>Sale chưa cung cấp</v>
      </c>
      <c r="G257" s="265" t="str">
        <f>IFERROR(__xludf.DUMMYFUNCTION("""COMPUTED_VALUE"""),"Enterprise")</f>
        <v>Enterprise</v>
      </c>
      <c r="H257" s="265" t="str">
        <f>IFERROR(__xludf.DUMMYFUNCTION("""COMPUTED_VALUE"""),"Trial")</f>
        <v>Trial</v>
      </c>
      <c r="I257" s="265" t="str">
        <f>IFERROR(__xludf.DUMMYFUNCTION("""COMPUTED_VALUE"""),"Portal")</f>
        <v>Portal</v>
      </c>
      <c r="J257" s="265" t="str">
        <f>IFERROR(__xludf.DUMMYFUNCTION("""COMPUTED_VALUE"""),"Tất cả")</f>
        <v>Tất cả</v>
      </c>
      <c r="K257" s="265" t="str">
        <f>IFERROR(__xludf.DUMMYFUNCTION("""COMPUTED_VALUE"""),"(Không recheck)")</f>
        <v>(Không recheck)</v>
      </c>
    </row>
    <row r="258">
      <c r="A258" s="265" t="str">
        <f>IFERROR(__xludf.DUMMYFUNCTION("""COMPUTED_VALUE"""),"562")</f>
        <v>562</v>
      </c>
      <c r="B258" s="265" t="str">
        <f>IFERROR(__xludf.DUMMYFUNCTION("""COMPUTED_VALUE"""),"Hà Nội")</f>
        <v>Hà Nội</v>
      </c>
      <c r="C258" s="265" t="str">
        <f>IFERROR(__xludf.DUMMYFUNCTION("""COMPUTED_VALUE"""),"Locked")</f>
        <v>Locked</v>
      </c>
      <c r="D258" s="265" t="str">
        <f>IFERROR(__xludf.DUMMYFUNCTION("""COMPUTED_VALUE"""),"Sale chưa cung cấp")</f>
        <v>Sale chưa cung cấp</v>
      </c>
      <c r="E258" s="265" t="str">
        <f>IFERROR(__xludf.DUMMYFUNCTION("""COMPUTED_VALUE"""),"HangNT")</f>
        <v>HangNT</v>
      </c>
      <c r="F258" s="265" t="str">
        <f>IFERROR(__xludf.DUMMYFUNCTION("""COMPUTED_VALUE"""),"Sale chưa cung cấp")</f>
        <v>Sale chưa cung cấp</v>
      </c>
      <c r="G258" s="265" t="str">
        <f>IFERROR(__xludf.DUMMYFUNCTION("""COMPUTED_VALUE"""),"MSG")</f>
        <v>MSG</v>
      </c>
      <c r="H258" s="265" t="str">
        <f>IFERROR(__xludf.DUMMYFUNCTION("""COMPUTED_VALUE"""),"(Chưa recheck)")</f>
        <v>(Chưa recheck)</v>
      </c>
      <c r="I258" s="265" t="str">
        <f>IFERROR(__xludf.DUMMYFUNCTION("""COMPUTED_VALUE"""),"(Chưa recheck)")</f>
        <v>(Chưa recheck)</v>
      </c>
      <c r="J258" s="265" t="str">
        <f>IFERROR(__xludf.DUMMYFUNCTION("""COMPUTED_VALUE"""),"SMS CSKH")</f>
        <v>SMS CSKH</v>
      </c>
      <c r="K258" s="265" t="str">
        <f>IFERROR(__xludf.DUMMYFUNCTION("""COMPUTED_VALUE"""),"(Chưa recheck)")</f>
        <v>(Chưa recheck)</v>
      </c>
    </row>
    <row r="259">
      <c r="A259" s="265" t="str">
        <f>IFERROR(__xludf.DUMMYFUNCTION("""COMPUTED_VALUE"""),"565")</f>
        <v>565</v>
      </c>
      <c r="B259" s="265" t="str">
        <f>IFERROR(__xludf.DUMMYFUNCTION("""COMPUTED_VALUE"""),"Hà Nội")</f>
        <v>Hà Nội</v>
      </c>
      <c r="C259" s="265" t="str">
        <f>IFERROR(__xludf.DUMMYFUNCTION("""COMPUTED_VALUE"""),"Locked")</f>
        <v>Locked</v>
      </c>
      <c r="D259" s="265" t="str">
        <f>IFERROR(__xludf.DUMMYFUNCTION("""COMPUTED_VALUE"""),"Sale chưa cung cấp")</f>
        <v>Sale chưa cung cấp</v>
      </c>
      <c r="E259" s="265" t="str">
        <f>IFERROR(__xludf.DUMMYFUNCTION("""COMPUTED_VALUE"""),"PhươngDTB")</f>
        <v>PhươngDTB</v>
      </c>
      <c r="F259" s="265" t="str">
        <f>IFERROR(__xludf.DUMMYFUNCTION("""COMPUTED_VALUE"""),"Silver")</f>
        <v>Silver</v>
      </c>
      <c r="G259" s="265" t="str">
        <f>IFERROR(__xludf.DUMMYFUNCTION("""COMPUTED_VALUE"""),"MSG")</f>
        <v>MSG</v>
      </c>
      <c r="H259" s="265" t="str">
        <f>IFERROR(__xludf.DUMMYFUNCTION("""COMPUTED_VALUE"""),"(Chưa recheck)")</f>
        <v>(Chưa recheck)</v>
      </c>
      <c r="I259" s="265" t="str">
        <f>IFERROR(__xludf.DUMMYFUNCTION("""COMPUTED_VALUE"""),"(Chưa recheck)")</f>
        <v>(Chưa recheck)</v>
      </c>
      <c r="J259" s="265" t="str">
        <f>IFERROR(__xludf.DUMMYFUNCTION("""COMPUTED_VALUE"""),"SMS CSKH")</f>
        <v>SMS CSKH</v>
      </c>
      <c r="K259" s="265" t="str">
        <f>IFERROR(__xludf.DUMMYFUNCTION("""COMPUTED_VALUE"""),"(Chưa recheck)")</f>
        <v>(Chưa recheck)</v>
      </c>
    </row>
    <row r="260">
      <c r="A260" s="265" t="str">
        <f>IFERROR(__xludf.DUMMYFUNCTION("""COMPUTED_VALUE"""),"566")</f>
        <v>566</v>
      </c>
      <c r="B260" s="265" t="str">
        <f>IFERROR(__xludf.DUMMYFUNCTION("""COMPUTED_VALUE"""),"Sài Gòn")</f>
        <v>Sài Gòn</v>
      </c>
      <c r="C260" s="265" t="str">
        <f>IFERROR(__xludf.DUMMYFUNCTION("""COMPUTED_VALUE"""),"Locked")</f>
        <v>Locked</v>
      </c>
      <c r="D260" s="265" t="str">
        <f>IFERROR(__xludf.DUMMYFUNCTION("""COMPUTED_VALUE"""),"Sale chưa cung cấp")</f>
        <v>Sale chưa cung cấp</v>
      </c>
      <c r="E260" s="265" t="str">
        <f>IFERROR(__xludf.DUMMYFUNCTION("""COMPUTED_VALUE"""),"HoaNTM")</f>
        <v>HoaNTM</v>
      </c>
      <c r="F260" s="265" t="str">
        <f>IFERROR(__xludf.DUMMYFUNCTION("""COMPUTED_VALUE"""),"Sale chưa cung cấp")</f>
        <v>Sale chưa cung cấp</v>
      </c>
      <c r="G260" s="265" t="str">
        <f>IFERROR(__xludf.DUMMYFUNCTION("""COMPUTED_VALUE"""),"Enterprise")</f>
        <v>Enterprise</v>
      </c>
      <c r="H260" s="265" t="str">
        <f>IFERROR(__xludf.DUMMYFUNCTION("""COMPUTED_VALUE"""),"(Chưa recheck)")</f>
        <v>(Chưa recheck)</v>
      </c>
      <c r="I260" s="265" t="str">
        <f>IFERROR(__xludf.DUMMYFUNCTION("""COMPUTED_VALUE"""),"(Chưa recheck)")</f>
        <v>(Chưa recheck)</v>
      </c>
      <c r="J260" s="265" t="str">
        <f>IFERROR(__xludf.DUMMYFUNCTION("""COMPUTED_VALUE"""),"GapOne")</f>
        <v>GapOne</v>
      </c>
      <c r="K260" s="265" t="str">
        <f>IFERROR(__xludf.DUMMYFUNCTION("""COMPUTED_VALUE"""),"(Chưa recheck)")</f>
        <v>(Chưa recheck)</v>
      </c>
    </row>
    <row r="261">
      <c r="A261" s="265" t="str">
        <f>IFERROR(__xludf.DUMMYFUNCTION("""COMPUTED_VALUE"""),"567")</f>
        <v>567</v>
      </c>
      <c r="B261" s="265" t="str">
        <f>IFERROR(__xludf.DUMMYFUNCTION("""COMPUTED_VALUE"""),"Hà Nội")</f>
        <v>Hà Nội</v>
      </c>
      <c r="C261" s="265" t="str">
        <f>IFERROR(__xludf.DUMMYFUNCTION("""COMPUTED_VALUE"""),"Locked")</f>
        <v>Locked</v>
      </c>
      <c r="D261" s="265" t="str">
        <f>IFERROR(__xludf.DUMMYFUNCTION("""COMPUTED_VALUE"""),"Sale chưa cung cấp")</f>
        <v>Sale chưa cung cấp</v>
      </c>
      <c r="E261" s="265" t="str">
        <f>IFERROR(__xludf.DUMMYFUNCTION("""COMPUTED_VALUE"""),"PhươngDTB")</f>
        <v>PhươngDTB</v>
      </c>
      <c r="F261" s="265" t="str">
        <f>IFERROR(__xludf.DUMMYFUNCTION("""COMPUTED_VALUE"""),"Sale chưa cung cấp")</f>
        <v>Sale chưa cung cấp</v>
      </c>
      <c r="G261" s="265" t="str">
        <f>IFERROR(__xludf.DUMMYFUNCTION("""COMPUTED_VALUE"""),"MSG")</f>
        <v>MSG</v>
      </c>
      <c r="H261" s="265" t="str">
        <f>IFERROR(__xludf.DUMMYFUNCTION("""COMPUTED_VALUE"""),"(Chưa recheck)")</f>
        <v>(Chưa recheck)</v>
      </c>
      <c r="I261" s="265" t="str">
        <f>IFERROR(__xludf.DUMMYFUNCTION("""COMPUTED_VALUE"""),"(Chưa recheck)")</f>
        <v>(Chưa recheck)</v>
      </c>
      <c r="J261" s="265" t="str">
        <f>IFERROR(__xludf.DUMMYFUNCTION("""COMPUTED_VALUE"""),"SMS CSKH")</f>
        <v>SMS CSKH</v>
      </c>
      <c r="K261" s="265" t="str">
        <f>IFERROR(__xludf.DUMMYFUNCTION("""COMPUTED_VALUE"""),"(Chưa recheck)")</f>
        <v>(Chưa recheck)</v>
      </c>
    </row>
    <row r="262">
      <c r="A262" s="265" t="str">
        <f>IFERROR(__xludf.DUMMYFUNCTION("""COMPUTED_VALUE"""),"568")</f>
        <v>568</v>
      </c>
      <c r="B262" s="265" t="str">
        <f>IFERROR(__xludf.DUMMYFUNCTION("""COMPUTED_VALUE"""),"Hà Nội")</f>
        <v>Hà Nội</v>
      </c>
      <c r="C262" s="265" t="str">
        <f>IFERROR(__xludf.DUMMYFUNCTION("""COMPUTED_VALUE"""),"Locked")</f>
        <v>Locked</v>
      </c>
      <c r="D262" s="265" t="str">
        <f>IFERROR(__xludf.DUMMYFUNCTION("""COMPUTED_VALUE"""),"Sale chưa cung cấp")</f>
        <v>Sale chưa cung cấp</v>
      </c>
      <c r="E262" s="265" t="str">
        <f>IFERROR(__xludf.DUMMYFUNCTION("""COMPUTED_VALUE"""),"PhươngDTB")</f>
        <v>PhươngDTB</v>
      </c>
      <c r="F262" s="265" t="str">
        <f>IFERROR(__xludf.DUMMYFUNCTION("""COMPUTED_VALUE"""),"Sale chưa cung cấp")</f>
        <v>Sale chưa cung cấp</v>
      </c>
      <c r="G262" s="265" t="str">
        <f>IFERROR(__xludf.DUMMYFUNCTION("""COMPUTED_VALUE"""),"MSG")</f>
        <v>MSG</v>
      </c>
      <c r="H262" s="265" t="str">
        <f>IFERROR(__xludf.DUMMYFUNCTION("""COMPUTED_VALUE"""),"(Chưa recheck)")</f>
        <v>(Chưa recheck)</v>
      </c>
      <c r="I262" s="265" t="str">
        <f>IFERROR(__xludf.DUMMYFUNCTION("""COMPUTED_VALUE"""),"(Chưa recheck)")</f>
        <v>(Chưa recheck)</v>
      </c>
      <c r="J262" s="265" t="str">
        <f>IFERROR(__xludf.DUMMYFUNCTION("""COMPUTED_VALUE"""),"SMS CSKH")</f>
        <v>SMS CSKH</v>
      </c>
      <c r="K262" s="265" t="str">
        <f>IFERROR(__xludf.DUMMYFUNCTION("""COMPUTED_VALUE"""),"AnhNM")</f>
        <v>AnhNM</v>
      </c>
    </row>
    <row r="263">
      <c r="A263" s="265" t="str">
        <f>IFERROR(__xludf.DUMMYFUNCTION("""COMPUTED_VALUE"""),"569")</f>
        <v>569</v>
      </c>
      <c r="B263" s="265" t="str">
        <f>IFERROR(__xludf.DUMMYFUNCTION("""COMPUTED_VALUE"""),"Sài Gòn")</f>
        <v>Sài Gòn</v>
      </c>
      <c r="C263" s="265" t="str">
        <f>IFERROR(__xludf.DUMMYFUNCTION("""COMPUTED_VALUE"""),"Locked")</f>
        <v>Locked</v>
      </c>
      <c r="D263" s="265" t="str">
        <f>IFERROR(__xludf.DUMMYFUNCTION("""COMPUTED_VALUE"""),"Sale chưa cung cấp")</f>
        <v>Sale chưa cung cấp</v>
      </c>
      <c r="E263" s="265" t="str">
        <f>IFERROR(__xludf.DUMMYFUNCTION("""COMPUTED_VALUE"""),"HoaNTM")</f>
        <v>HoaNTM</v>
      </c>
      <c r="F263" s="265" t="str">
        <f>IFERROR(__xludf.DUMMYFUNCTION("""COMPUTED_VALUE"""),"Sale chưa cung cấp")</f>
        <v>Sale chưa cung cấp</v>
      </c>
      <c r="G263" s="265" t="str">
        <f>IFERROR(__xludf.DUMMYFUNCTION("""COMPUTED_VALUE"""),"API")</f>
        <v>API</v>
      </c>
      <c r="H263" s="265" t="str">
        <f>IFERROR(__xludf.DUMMYFUNCTION("""COMPUTED_VALUE"""),"(Chưa recheck)")</f>
        <v>(Chưa recheck)</v>
      </c>
      <c r="I263" s="265" t="str">
        <f>IFERROR(__xludf.DUMMYFUNCTION("""COMPUTED_VALUE"""),"(Chưa recheck)")</f>
        <v>(Chưa recheck)</v>
      </c>
      <c r="J263" s="265" t="str">
        <f>IFERROR(__xludf.DUMMYFUNCTION("""COMPUTED_VALUE"""),"GapOne")</f>
        <v>GapOne</v>
      </c>
      <c r="K263" s="265" t="str">
        <f>IFERROR(__xludf.DUMMYFUNCTION("""COMPUTED_VALUE"""),"(Chưa recheck)")</f>
        <v>(Chưa recheck)</v>
      </c>
    </row>
    <row r="264">
      <c r="A264" s="265" t="str">
        <f>IFERROR(__xludf.DUMMYFUNCTION("""COMPUTED_VALUE"""),"574")</f>
        <v>574</v>
      </c>
      <c r="B264" s="265" t="str">
        <f>IFERROR(__xludf.DUMMYFUNCTION("""COMPUTED_VALUE"""),"Hà Nội")</f>
        <v>Hà Nội</v>
      </c>
      <c r="C264" s="265" t="str">
        <f>IFERROR(__xludf.DUMMYFUNCTION("""COMPUTED_VALUE"""),"Locked")</f>
        <v>Locked</v>
      </c>
      <c r="D264" s="265" t="str">
        <f>IFERROR(__xludf.DUMMYFUNCTION("""COMPUTED_VALUE"""),"Sale chưa cung cấp")</f>
        <v>Sale chưa cung cấp</v>
      </c>
      <c r="E264" s="265" t="str">
        <f>IFERROR(__xludf.DUMMYFUNCTION("""COMPUTED_VALUE"""),"TùngLD")</f>
        <v>TùngLD</v>
      </c>
      <c r="F264" s="265" t="str">
        <f>IFERROR(__xludf.DUMMYFUNCTION("""COMPUTED_VALUE"""),"Sale chưa cung cấp")</f>
        <v>Sale chưa cung cấp</v>
      </c>
      <c r="G264" s="265" t="str">
        <f>IFERROR(__xludf.DUMMYFUNCTION("""COMPUTED_VALUE"""),"MSG")</f>
        <v>MSG</v>
      </c>
      <c r="H264" s="265" t="str">
        <f>IFERROR(__xludf.DUMMYFUNCTION("""COMPUTED_VALUE"""),"Trả sau")</f>
        <v>Trả sau</v>
      </c>
      <c r="I264" s="265" t="str">
        <f>IFERROR(__xludf.DUMMYFUNCTION("""COMPUTED_VALUE"""),"Portal")</f>
        <v>Portal</v>
      </c>
      <c r="J264" s="265" t="str">
        <f>IFERROR(__xludf.DUMMYFUNCTION("""COMPUTED_VALUE"""),"Zalo ZNS")</f>
        <v>Zalo ZNS</v>
      </c>
      <c r="K264" s="265" t="str">
        <f>IFERROR(__xludf.DUMMYFUNCTION("""COMPUTED_VALUE"""),"AnhNM")</f>
        <v>AnhNM</v>
      </c>
    </row>
    <row r="265">
      <c r="A265" s="265" t="str">
        <f>IFERROR(__xludf.DUMMYFUNCTION("""COMPUTED_VALUE"""),"572")</f>
        <v>572</v>
      </c>
      <c r="B265" s="265" t="str">
        <f>IFERROR(__xludf.DUMMYFUNCTION("""COMPUTED_VALUE"""),"Hà Nội")</f>
        <v>Hà Nội</v>
      </c>
      <c r="C265" s="265" t="str">
        <f>IFERROR(__xludf.DUMMYFUNCTION("""COMPUTED_VALUE"""),"Active")</f>
        <v>Active</v>
      </c>
      <c r="D265" s="265" t="str">
        <f>IFERROR(__xludf.DUMMYFUNCTION("""COMPUTED_VALUE"""),"Trang sức")</f>
        <v>Trang sức</v>
      </c>
      <c r="E265" s="265" t="str">
        <f>IFERROR(__xludf.DUMMYFUNCTION("""COMPUTED_VALUE"""),"AnhNM")</f>
        <v>AnhNM</v>
      </c>
      <c r="F265" s="265" t="str">
        <f>IFERROR(__xludf.DUMMYFUNCTION("""COMPUTED_VALUE"""),"Gold")</f>
        <v>Gold</v>
      </c>
      <c r="G265" s="265" t="str">
        <f>IFERROR(__xludf.DUMMYFUNCTION("""COMPUTED_VALUE"""),"Starter")</f>
        <v>Starter</v>
      </c>
      <c r="H265" s="265" t="str">
        <f>IFERROR(__xludf.DUMMYFUNCTION("""COMPUTED_VALUE"""),"Trả sau")</f>
        <v>Trả sau</v>
      </c>
      <c r="I265" s="265" t="str">
        <f>IFERROR(__xludf.DUMMYFUNCTION("""COMPUTED_VALUE"""),"API &amp; Portal")</f>
        <v>API &amp; Portal</v>
      </c>
      <c r="J265" s="265" t="str">
        <f>IFERROR(__xludf.DUMMYFUNCTION("""COMPUTED_VALUE"""),"SMS CSKH")</f>
        <v>SMS CSKH</v>
      </c>
      <c r="K265" s="265" t="str">
        <f>IFERROR(__xludf.DUMMYFUNCTION("""COMPUTED_VALUE"""),"DungPL, DungVT")</f>
        <v>DungPL, DungVT</v>
      </c>
    </row>
    <row r="266">
      <c r="A266" s="265" t="str">
        <f>IFERROR(__xludf.DUMMYFUNCTION("""COMPUTED_VALUE"""),"570")</f>
        <v>570</v>
      </c>
      <c r="B266" s="265" t="str">
        <f>IFERROR(__xludf.DUMMYFUNCTION("""COMPUTED_VALUE"""),"Sài Gòn")</f>
        <v>Sài Gòn</v>
      </c>
      <c r="C266" s="265" t="str">
        <f>IFERROR(__xludf.DUMMYFUNCTION("""COMPUTED_VALUE"""),"Locked")</f>
        <v>Locked</v>
      </c>
      <c r="D266" s="265" t="str">
        <f>IFERROR(__xludf.DUMMYFUNCTION("""COMPUTED_VALUE"""),"Sale chưa cung cấp")</f>
        <v>Sale chưa cung cấp</v>
      </c>
      <c r="E266" s="265" t="str">
        <f>IFERROR(__xludf.DUMMYFUNCTION("""COMPUTED_VALUE"""),"HoaNTM")</f>
        <v>HoaNTM</v>
      </c>
      <c r="F266" s="265" t="str">
        <f>IFERROR(__xludf.DUMMYFUNCTION("""COMPUTED_VALUE"""),"Sale chưa cung cấp")</f>
        <v>Sale chưa cung cấp</v>
      </c>
      <c r="G266" s="265" t="str">
        <f>IFERROR(__xludf.DUMMYFUNCTION("""COMPUTED_VALUE"""),"Enterprise")</f>
        <v>Enterprise</v>
      </c>
      <c r="H266" s="265" t="str">
        <f>IFERROR(__xludf.DUMMYFUNCTION("""COMPUTED_VALUE"""),"(Chưa recheck)")</f>
        <v>(Chưa recheck)</v>
      </c>
      <c r="I266" s="265" t="str">
        <f>IFERROR(__xludf.DUMMYFUNCTION("""COMPUTED_VALUE"""),"(Chưa recheck)")</f>
        <v>(Chưa recheck)</v>
      </c>
      <c r="J266" s="265" t="str">
        <f>IFERROR(__xludf.DUMMYFUNCTION("""COMPUTED_VALUE"""),"GapOne")</f>
        <v>GapOne</v>
      </c>
      <c r="K266" s="265" t="str">
        <f>IFERROR(__xludf.DUMMYFUNCTION("""COMPUTED_VALUE"""),"AnhNM")</f>
        <v>AnhNM</v>
      </c>
    </row>
    <row r="267">
      <c r="A267" s="265" t="str">
        <f>IFERROR(__xludf.DUMMYFUNCTION("""COMPUTED_VALUE"""),"571")</f>
        <v>571</v>
      </c>
      <c r="B267" s="265" t="str">
        <f>IFERROR(__xludf.DUMMYFUNCTION("""COMPUTED_VALUE"""),"Sài Gòn")</f>
        <v>Sài Gòn</v>
      </c>
      <c r="C267" s="265" t="str">
        <f>IFERROR(__xludf.DUMMYFUNCTION("""COMPUTED_VALUE"""),"Locked")</f>
        <v>Locked</v>
      </c>
      <c r="D267" s="265" t="str">
        <f>IFERROR(__xludf.DUMMYFUNCTION("""COMPUTED_VALUE"""),"Sale chưa cung cấp")</f>
        <v>Sale chưa cung cấp</v>
      </c>
      <c r="E267" s="265" t="str">
        <f>IFERROR(__xludf.DUMMYFUNCTION("""COMPUTED_VALUE"""),"HoaNTM")</f>
        <v>HoaNTM</v>
      </c>
      <c r="F267" s="265" t="str">
        <f>IFERROR(__xludf.DUMMYFUNCTION("""COMPUTED_VALUE"""),"Bronze")</f>
        <v>Bronze</v>
      </c>
      <c r="G267" s="265" t="str">
        <f>IFERROR(__xludf.DUMMYFUNCTION("""COMPUTED_VALUE"""),"Enterprise")</f>
        <v>Enterprise</v>
      </c>
      <c r="H267" s="265" t="str">
        <f>IFERROR(__xludf.DUMMYFUNCTION("""COMPUTED_VALUE"""),"(Chưa recheck)")</f>
        <v>(Chưa recheck)</v>
      </c>
      <c r="I267" s="265" t="str">
        <f>IFERROR(__xludf.DUMMYFUNCTION("""COMPUTED_VALUE"""),"(Chưa recheck)")</f>
        <v>(Chưa recheck)</v>
      </c>
      <c r="J267" s="265" t="str">
        <f>IFERROR(__xludf.DUMMYFUNCTION("""COMPUTED_VALUE"""),"GapOne")</f>
        <v>GapOne</v>
      </c>
      <c r="K267" s="265" t="str">
        <f>IFERROR(__xludf.DUMMYFUNCTION("""COMPUTED_VALUE"""),"(Chưa recheck)")</f>
        <v>(Chưa recheck)</v>
      </c>
    </row>
    <row r="268">
      <c r="A268" s="265" t="str">
        <f>IFERROR(__xludf.DUMMYFUNCTION("""COMPUTED_VALUE"""),"573")</f>
        <v>573</v>
      </c>
      <c r="B268" s="265" t="str">
        <f>IFERROR(__xludf.DUMMYFUNCTION("""COMPUTED_VALUE"""),"Hà Nội")</f>
        <v>Hà Nội</v>
      </c>
      <c r="C268" s="265" t="str">
        <f>IFERROR(__xludf.DUMMYFUNCTION("""COMPUTED_VALUE"""),"Locked")</f>
        <v>Locked</v>
      </c>
      <c r="D268" s="265" t="str">
        <f>IFERROR(__xludf.DUMMYFUNCTION("""COMPUTED_VALUE"""),"Sale chưa cung cấp")</f>
        <v>Sale chưa cung cấp</v>
      </c>
      <c r="E268" s="265" t="str">
        <f>IFERROR(__xludf.DUMMYFUNCTION("""COMPUTED_VALUE"""),"TùngLD")</f>
        <v>TùngLD</v>
      </c>
      <c r="F268" s="265" t="str">
        <f>IFERROR(__xludf.DUMMYFUNCTION("""COMPUTED_VALUE"""),"Sale chưa cung cấp")</f>
        <v>Sale chưa cung cấp</v>
      </c>
      <c r="G268" s="265" t="str">
        <f>IFERROR(__xludf.DUMMYFUNCTION("""COMPUTED_VALUE"""),"API")</f>
        <v>API</v>
      </c>
      <c r="H268" s="265" t="str">
        <f>IFERROR(__xludf.DUMMYFUNCTION("""COMPUTED_VALUE"""),"Trial")</f>
        <v>Trial</v>
      </c>
      <c r="I268" s="265" t="str">
        <f>IFERROR(__xludf.DUMMYFUNCTION("""COMPUTED_VALUE"""),"API")</f>
        <v>API</v>
      </c>
      <c r="J268" s="265" t="str">
        <f>IFERROR(__xludf.DUMMYFUNCTION("""COMPUTED_VALUE"""),"SMS CSKH")</f>
        <v>SMS CSKH</v>
      </c>
      <c r="K268" s="265" t="str">
        <f>IFERROR(__xludf.DUMMYFUNCTION("""COMPUTED_VALUE"""),"(Không recheck)")</f>
        <v>(Không recheck)</v>
      </c>
    </row>
    <row r="269">
      <c r="A269" s="265" t="str">
        <f>IFERROR(__xludf.DUMMYFUNCTION("""COMPUTED_VALUE"""),"573")</f>
        <v>573</v>
      </c>
      <c r="B269" s="265" t="str">
        <f>IFERROR(__xludf.DUMMYFUNCTION("""COMPUTED_VALUE"""),"Hà Nội")</f>
        <v>Hà Nội</v>
      </c>
      <c r="C269" s="265" t="str">
        <f>IFERROR(__xludf.DUMMYFUNCTION("""COMPUTED_VALUE"""),"Locked")</f>
        <v>Locked</v>
      </c>
      <c r="D269" s="265" t="str">
        <f>IFERROR(__xludf.DUMMYFUNCTION("""COMPUTED_VALUE"""),"Sale chưa cung cấp")</f>
        <v>Sale chưa cung cấp</v>
      </c>
      <c r="E269" s="265" t="str">
        <f>IFERROR(__xludf.DUMMYFUNCTION("""COMPUTED_VALUE"""),"TùngLD")</f>
        <v>TùngLD</v>
      </c>
      <c r="F269" s="265" t="str">
        <f>IFERROR(__xludf.DUMMYFUNCTION("""COMPUTED_VALUE"""),"Sale chưa cung cấp")</f>
        <v>Sale chưa cung cấp</v>
      </c>
      <c r="G269" s="265" t="str">
        <f>IFERROR(__xludf.DUMMYFUNCTION("""COMPUTED_VALUE"""),"API")</f>
        <v>API</v>
      </c>
      <c r="H269" s="265" t="str">
        <f>IFERROR(__xludf.DUMMYFUNCTION("""COMPUTED_VALUE"""),"Trial")</f>
        <v>Trial</v>
      </c>
      <c r="I269" s="265" t="str">
        <f>IFERROR(__xludf.DUMMYFUNCTION("""COMPUTED_VALUE"""),"API")</f>
        <v>API</v>
      </c>
      <c r="J269" s="265" t="str">
        <f>IFERROR(__xludf.DUMMYFUNCTION("""COMPUTED_VALUE"""),"Zalo ZNS")</f>
        <v>Zalo ZNS</v>
      </c>
      <c r="K269" s="265" t="str">
        <f>IFERROR(__xludf.DUMMYFUNCTION("""COMPUTED_VALUE"""),"(Không recheck)")</f>
        <v>(Không recheck)</v>
      </c>
    </row>
    <row r="270">
      <c r="A270" s="265" t="str">
        <f>IFERROR(__xludf.DUMMYFUNCTION("""COMPUTED_VALUE"""),"575")</f>
        <v>575</v>
      </c>
      <c r="B270" s="265" t="str">
        <f>IFERROR(__xludf.DUMMYFUNCTION("""COMPUTED_VALUE"""),"Sài Gòn")</f>
        <v>Sài Gòn</v>
      </c>
      <c r="C270" s="265" t="str">
        <f>IFERROR(__xludf.DUMMYFUNCTION("""COMPUTED_VALUE"""),"Locked")</f>
        <v>Locked</v>
      </c>
      <c r="D270" s="265" t="str">
        <f>IFERROR(__xludf.DUMMYFUNCTION("""COMPUTED_VALUE"""),"Sale chưa cung cấp")</f>
        <v>Sale chưa cung cấp</v>
      </c>
      <c r="E270" s="265" t="str">
        <f>IFERROR(__xludf.DUMMYFUNCTION("""COMPUTED_VALUE"""),"HoaNTM")</f>
        <v>HoaNTM</v>
      </c>
      <c r="F270" s="265" t="str">
        <f>IFERROR(__xludf.DUMMYFUNCTION("""COMPUTED_VALUE"""),"Diamond")</f>
        <v>Diamond</v>
      </c>
      <c r="G270" s="265" t="str">
        <f>IFERROR(__xludf.DUMMYFUNCTION("""COMPUTED_VALUE"""),"MSG")</f>
        <v>MSG</v>
      </c>
      <c r="H270" s="265" t="str">
        <f>IFERROR(__xludf.DUMMYFUNCTION("""COMPUTED_VALUE"""),"Trả sau")</f>
        <v>Trả sau</v>
      </c>
      <c r="I270" s="265" t="str">
        <f>IFERROR(__xludf.DUMMYFUNCTION("""COMPUTED_VALUE"""),"(Chưa recheck)")</f>
        <v>(Chưa recheck)</v>
      </c>
      <c r="J270" s="265" t="str">
        <f>IFERROR(__xludf.DUMMYFUNCTION("""COMPUTED_VALUE"""),"GapOne")</f>
        <v>GapOne</v>
      </c>
      <c r="K270" s="265" t="str">
        <f>IFERROR(__xludf.DUMMYFUNCTION("""COMPUTED_VALUE"""),"(Chưa recheck)")</f>
        <v>(Chưa recheck)</v>
      </c>
    </row>
    <row r="271">
      <c r="A271" s="265" t="str">
        <f>IFERROR(__xludf.DUMMYFUNCTION("""COMPUTED_VALUE"""),"576")</f>
        <v>576</v>
      </c>
      <c r="B271" s="265" t="str">
        <f>IFERROR(__xludf.DUMMYFUNCTION("""COMPUTED_VALUE"""),"Sài Gòn")</f>
        <v>Sài Gòn</v>
      </c>
      <c r="C271" s="265" t="str">
        <f>IFERROR(__xludf.DUMMYFUNCTION("""COMPUTED_VALUE"""),"Active")</f>
        <v>Active</v>
      </c>
      <c r="D271" s="265" t="str">
        <f>IFERROR(__xludf.DUMMYFUNCTION("""COMPUTED_VALUE"""),"Sale chưa cung cấp")</f>
        <v>Sale chưa cung cấp</v>
      </c>
      <c r="E271" s="265" t="str">
        <f>IFERROR(__xludf.DUMMYFUNCTION("""COMPUTED_VALUE"""),"Không phân công")</f>
        <v>Không phân công</v>
      </c>
      <c r="F271" s="265" t="str">
        <f>IFERROR(__xludf.DUMMYFUNCTION("""COMPUTED_VALUE"""),"Gold")</f>
        <v>Gold</v>
      </c>
      <c r="G271" s="265" t="str">
        <f>IFERROR(__xludf.DUMMYFUNCTION("""COMPUTED_VALUE"""),"Starter")</f>
        <v>Starter</v>
      </c>
      <c r="H271" s="265" t="str">
        <f>IFERROR(__xludf.DUMMYFUNCTION("""COMPUTED_VALUE"""),"Trả sau")</f>
        <v>Trả sau</v>
      </c>
      <c r="I271" s="265" t="str">
        <f>IFERROR(__xludf.DUMMYFUNCTION("""COMPUTED_VALUE"""),"API")</f>
        <v>API</v>
      </c>
      <c r="J271" s="265" t="str">
        <f>IFERROR(__xludf.DUMMYFUNCTION("""COMPUTED_VALUE"""),"SMS CSKH")</f>
        <v>SMS CSKH</v>
      </c>
      <c r="K271" s="265" t="str">
        <f>IFERROR(__xludf.DUMMYFUNCTION("""COMPUTED_VALUE"""),"LinhNTT1")</f>
        <v>LinhNTT1</v>
      </c>
    </row>
    <row r="272">
      <c r="A272" s="265" t="str">
        <f>IFERROR(__xludf.DUMMYFUNCTION("""COMPUTED_VALUE"""),"577")</f>
        <v>577</v>
      </c>
      <c r="B272" s="265" t="str">
        <f>IFERROR(__xludf.DUMMYFUNCTION("""COMPUTED_VALUE"""),"Hà Nội")</f>
        <v>Hà Nội</v>
      </c>
      <c r="C272" s="265" t="str">
        <f>IFERROR(__xludf.DUMMYFUNCTION("""COMPUTED_VALUE"""),"Locked")</f>
        <v>Locked</v>
      </c>
      <c r="D272" s="265" t="str">
        <f>IFERROR(__xludf.DUMMYFUNCTION("""COMPUTED_VALUE"""),"Sale chưa cung cấp")</f>
        <v>Sale chưa cung cấp</v>
      </c>
      <c r="E272" s="265" t="str">
        <f>IFERROR(__xludf.DUMMYFUNCTION("""COMPUTED_VALUE"""),"HangNT")</f>
        <v>HangNT</v>
      </c>
      <c r="F272" s="265" t="str">
        <f>IFERROR(__xludf.DUMMYFUNCTION("""COMPUTED_VALUE"""),"Bronze")</f>
        <v>Bronze</v>
      </c>
      <c r="G272" s="265" t="str">
        <f>IFERROR(__xludf.DUMMYFUNCTION("""COMPUTED_VALUE"""),"Enterprise")</f>
        <v>Enterprise</v>
      </c>
      <c r="H272" s="265" t="str">
        <f>IFERROR(__xludf.DUMMYFUNCTION("""COMPUTED_VALUE"""),"(Chưa recheck)")</f>
        <v>(Chưa recheck)</v>
      </c>
      <c r="I272" s="265" t="str">
        <f>IFERROR(__xludf.DUMMYFUNCTION("""COMPUTED_VALUE"""),"(Chưa recheck)")</f>
        <v>(Chưa recheck)</v>
      </c>
      <c r="J272" s="265" t="str">
        <f>IFERROR(__xludf.DUMMYFUNCTION("""COMPUTED_VALUE"""),"Zalo ZNS")</f>
        <v>Zalo ZNS</v>
      </c>
      <c r="K272" s="265" t="str">
        <f>IFERROR(__xludf.DUMMYFUNCTION("""COMPUTED_VALUE"""),"(Chưa recheck)")</f>
        <v>(Chưa recheck)</v>
      </c>
    </row>
    <row r="273">
      <c r="A273" s="265" t="str">
        <f>IFERROR(__xludf.DUMMYFUNCTION("""COMPUTED_VALUE"""),"578")</f>
        <v>578</v>
      </c>
      <c r="B273" s="265" t="str">
        <f>IFERROR(__xludf.DUMMYFUNCTION("""COMPUTED_VALUE"""),"Sài Gòn")</f>
        <v>Sài Gòn</v>
      </c>
      <c r="C273" s="265" t="str">
        <f>IFERROR(__xludf.DUMMYFUNCTION("""COMPUTED_VALUE"""),"Locked")</f>
        <v>Locked</v>
      </c>
      <c r="D273" s="265" t="str">
        <f>IFERROR(__xludf.DUMMYFUNCTION("""COMPUTED_VALUE"""),"Sale chưa cung cấp")</f>
        <v>Sale chưa cung cấp</v>
      </c>
      <c r="E273" s="265" t="str">
        <f>IFERROR(__xludf.DUMMYFUNCTION("""COMPUTED_VALUE"""),"HoaNTM")</f>
        <v>HoaNTM</v>
      </c>
      <c r="F273" s="265" t="str">
        <f>IFERROR(__xludf.DUMMYFUNCTION("""COMPUTED_VALUE"""),"Sale chưa cung cấp")</f>
        <v>Sale chưa cung cấp</v>
      </c>
      <c r="G273" s="265" t="str">
        <f>IFERROR(__xludf.DUMMYFUNCTION("""COMPUTED_VALUE"""),"Enterprise")</f>
        <v>Enterprise</v>
      </c>
      <c r="H273" s="265" t="str">
        <f>IFERROR(__xludf.DUMMYFUNCTION("""COMPUTED_VALUE"""),"Trial")</f>
        <v>Trial</v>
      </c>
      <c r="I273" s="265" t="str">
        <f>IFERROR(__xludf.DUMMYFUNCTION("""COMPUTED_VALUE"""),"(Chưa recheck)")</f>
        <v>(Chưa recheck)</v>
      </c>
      <c r="J273" s="265" t="str">
        <f>IFERROR(__xludf.DUMMYFUNCTION("""COMPUTED_VALUE"""),"GapOne")</f>
        <v>GapOne</v>
      </c>
      <c r="K273" s="265" t="str">
        <f>IFERROR(__xludf.DUMMYFUNCTION("""COMPUTED_VALUE"""),"(Chưa recheck)")</f>
        <v>(Chưa recheck)</v>
      </c>
    </row>
    <row r="274">
      <c r="A274" s="265" t="str">
        <f>IFERROR(__xludf.DUMMYFUNCTION("""COMPUTED_VALUE"""),"682")</f>
        <v>682</v>
      </c>
      <c r="B274" s="265" t="str">
        <f>IFERROR(__xludf.DUMMYFUNCTION("""COMPUTED_VALUE"""),"Hà Nội")</f>
        <v>Hà Nội</v>
      </c>
      <c r="C274" s="265" t="str">
        <f>IFERROR(__xludf.DUMMYFUNCTION("""COMPUTED_VALUE"""),"Active")</f>
        <v>Active</v>
      </c>
      <c r="D274" s="265" t="str">
        <f>IFERROR(__xludf.DUMMYFUNCTION("""COMPUTED_VALUE"""),"Sale chưa cung cấp")</f>
        <v>Sale chưa cung cấp</v>
      </c>
      <c r="E274" s="265" t="str">
        <f>IFERROR(__xludf.DUMMYFUNCTION("""COMPUTED_VALUE"""),"Không phân công")</f>
        <v>Không phân công</v>
      </c>
      <c r="F274" s="265" t="str">
        <f>IFERROR(__xludf.DUMMYFUNCTION("""COMPUTED_VALUE"""),"Bronze")</f>
        <v>Bronze</v>
      </c>
      <c r="G274" s="265" t="str">
        <f>IFERROR(__xludf.DUMMYFUNCTION("""COMPUTED_VALUE"""),"MSG")</f>
        <v>MSG</v>
      </c>
      <c r="H274" s="265" t="str">
        <f>IFERROR(__xludf.DUMMYFUNCTION("""COMPUTED_VALUE"""),"Trả sau")</f>
        <v>Trả sau</v>
      </c>
      <c r="I274" s="265" t="str">
        <f>IFERROR(__xludf.DUMMYFUNCTION("""COMPUTED_VALUE"""),"Portal")</f>
        <v>Portal</v>
      </c>
      <c r="J274" s="265" t="str">
        <f>IFERROR(__xludf.DUMMYFUNCTION("""COMPUTED_VALUE"""),"SMS CSKH")</f>
        <v>SMS CSKH</v>
      </c>
      <c r="K274" s="265" t="str">
        <f>IFERROR(__xludf.DUMMYFUNCTION("""COMPUTED_VALUE"""),"LinhNTT1")</f>
        <v>LinhNTT1</v>
      </c>
    </row>
    <row r="275">
      <c r="A275" s="265" t="str">
        <f>IFERROR(__xludf.DUMMYFUNCTION("""COMPUTED_VALUE"""),"579")</f>
        <v>579</v>
      </c>
      <c r="B275" s="265" t="str">
        <f>IFERROR(__xludf.DUMMYFUNCTION("""COMPUTED_VALUE"""),"Sài Gòn")</f>
        <v>Sài Gòn</v>
      </c>
      <c r="C275" s="265" t="str">
        <f>IFERROR(__xludf.DUMMYFUNCTION("""COMPUTED_VALUE"""),"Locked")</f>
        <v>Locked</v>
      </c>
      <c r="D275" s="265" t="str">
        <f>IFERROR(__xludf.DUMMYFUNCTION("""COMPUTED_VALUE"""),"Sale chưa cung cấp")</f>
        <v>Sale chưa cung cấp</v>
      </c>
      <c r="E275" s="265" t="str">
        <f>IFERROR(__xludf.DUMMYFUNCTION("""COMPUTED_VALUE"""),"HoaNTM")</f>
        <v>HoaNTM</v>
      </c>
      <c r="F275" s="265" t="str">
        <f>IFERROR(__xludf.DUMMYFUNCTION("""COMPUTED_VALUE"""),"Diamond")</f>
        <v>Diamond</v>
      </c>
      <c r="G275" s="265" t="str">
        <f>IFERROR(__xludf.DUMMYFUNCTION("""COMPUTED_VALUE"""),"MSG")</f>
        <v>MSG</v>
      </c>
      <c r="H275" s="265" t="str">
        <f>IFERROR(__xludf.DUMMYFUNCTION("""COMPUTED_VALUE"""),"Trả sau")</f>
        <v>Trả sau</v>
      </c>
      <c r="I275" s="265" t="str">
        <f>IFERROR(__xludf.DUMMYFUNCTION("""COMPUTED_VALUE"""),"(Chưa recheck)")</f>
        <v>(Chưa recheck)</v>
      </c>
      <c r="J275" s="265" t="str">
        <f>IFERROR(__xludf.DUMMYFUNCTION("""COMPUTED_VALUE"""),"GapOne")</f>
        <v>GapOne</v>
      </c>
      <c r="K275" s="265" t="str">
        <f>IFERROR(__xludf.DUMMYFUNCTION("""COMPUTED_VALUE"""),"(Chưa recheck)")</f>
        <v>(Chưa recheck)</v>
      </c>
    </row>
    <row r="276">
      <c r="A276" s="265" t="str">
        <f>IFERROR(__xludf.DUMMYFUNCTION("""COMPUTED_VALUE"""),"580")</f>
        <v>580</v>
      </c>
      <c r="B276" s="265" t="str">
        <f>IFERROR(__xludf.DUMMYFUNCTION("""COMPUTED_VALUE"""),"Sài Gòn")</f>
        <v>Sài Gòn</v>
      </c>
      <c r="C276" s="265" t="str">
        <f>IFERROR(__xludf.DUMMYFUNCTION("""COMPUTED_VALUE"""),"Locked")</f>
        <v>Locked</v>
      </c>
      <c r="D276" s="265" t="str">
        <f>IFERROR(__xludf.DUMMYFUNCTION("""COMPUTED_VALUE"""),"Sale chưa cung cấp")</f>
        <v>Sale chưa cung cấp</v>
      </c>
      <c r="E276" s="265" t="str">
        <f>IFERROR(__xludf.DUMMYFUNCTION("""COMPUTED_VALUE"""),"HoaNTM")</f>
        <v>HoaNTM</v>
      </c>
      <c r="F276" s="265" t="str">
        <f>IFERROR(__xludf.DUMMYFUNCTION("""COMPUTED_VALUE"""),"Diamond")</f>
        <v>Diamond</v>
      </c>
      <c r="G276" s="265" t="str">
        <f>IFERROR(__xludf.DUMMYFUNCTION("""COMPUTED_VALUE"""),"MSG")</f>
        <v>MSG</v>
      </c>
      <c r="H276" s="265" t="str">
        <f>IFERROR(__xludf.DUMMYFUNCTION("""COMPUTED_VALUE"""),"Trả sau")</f>
        <v>Trả sau</v>
      </c>
      <c r="I276" s="265" t="str">
        <f>IFERROR(__xludf.DUMMYFUNCTION("""COMPUTED_VALUE"""),"(Chưa recheck)")</f>
        <v>(Chưa recheck)</v>
      </c>
      <c r="J276" s="265" t="str">
        <f>IFERROR(__xludf.DUMMYFUNCTION("""COMPUTED_VALUE"""),"GapOne")</f>
        <v>GapOne</v>
      </c>
      <c r="K276" s="265" t="str">
        <f>IFERROR(__xludf.DUMMYFUNCTION("""COMPUTED_VALUE"""),"(Chưa recheck)")</f>
        <v>(Chưa recheck)</v>
      </c>
    </row>
    <row r="277">
      <c r="A277" s="265" t="str">
        <f>IFERROR(__xludf.DUMMYFUNCTION("""COMPUTED_VALUE"""),"581")</f>
        <v>581</v>
      </c>
      <c r="B277" s="265" t="str">
        <f>IFERROR(__xludf.DUMMYFUNCTION("""COMPUTED_VALUE"""),"Sài Gòn")</f>
        <v>Sài Gòn</v>
      </c>
      <c r="C277" s="265" t="str">
        <f>IFERROR(__xludf.DUMMYFUNCTION("""COMPUTED_VALUE"""),"Locked")</f>
        <v>Locked</v>
      </c>
      <c r="D277" s="265" t="str">
        <f>IFERROR(__xludf.DUMMYFUNCTION("""COMPUTED_VALUE"""),"Sale chưa cung cấp")</f>
        <v>Sale chưa cung cấp</v>
      </c>
      <c r="E277" s="265" t="str">
        <f>IFERROR(__xludf.DUMMYFUNCTION("""COMPUTED_VALUE"""),"HoaNTM")</f>
        <v>HoaNTM</v>
      </c>
      <c r="F277" s="265" t="str">
        <f>IFERROR(__xludf.DUMMYFUNCTION("""COMPUTED_VALUE"""),"Diamond")</f>
        <v>Diamond</v>
      </c>
      <c r="G277" s="265" t="str">
        <f>IFERROR(__xludf.DUMMYFUNCTION("""COMPUTED_VALUE"""),"MSG")</f>
        <v>MSG</v>
      </c>
      <c r="H277" s="265" t="str">
        <f>IFERROR(__xludf.DUMMYFUNCTION("""COMPUTED_VALUE"""),"Trả sau")</f>
        <v>Trả sau</v>
      </c>
      <c r="I277" s="265" t="str">
        <f>IFERROR(__xludf.DUMMYFUNCTION("""COMPUTED_VALUE"""),"(Chưa recheck)")</f>
        <v>(Chưa recheck)</v>
      </c>
      <c r="J277" s="265" t="str">
        <f>IFERROR(__xludf.DUMMYFUNCTION("""COMPUTED_VALUE"""),"GapOne")</f>
        <v>GapOne</v>
      </c>
      <c r="K277" s="265" t="str">
        <f>IFERROR(__xludf.DUMMYFUNCTION("""COMPUTED_VALUE"""),"(Chưa recheck)")</f>
        <v>(Chưa recheck)</v>
      </c>
    </row>
    <row r="278">
      <c r="A278" s="265" t="str">
        <f>IFERROR(__xludf.DUMMYFUNCTION("""COMPUTED_VALUE"""),"582")</f>
        <v>582</v>
      </c>
      <c r="B278" s="265" t="str">
        <f>IFERROR(__xludf.DUMMYFUNCTION("""COMPUTED_VALUE"""),"Sài Gòn")</f>
        <v>Sài Gòn</v>
      </c>
      <c r="C278" s="265" t="str">
        <f>IFERROR(__xludf.DUMMYFUNCTION("""COMPUTED_VALUE"""),"Locked")</f>
        <v>Locked</v>
      </c>
      <c r="D278" s="265" t="str">
        <f>IFERROR(__xludf.DUMMYFUNCTION("""COMPUTED_VALUE"""),"Sale chưa cung cấp")</f>
        <v>Sale chưa cung cấp</v>
      </c>
      <c r="E278" s="265" t="str">
        <f>IFERROR(__xludf.DUMMYFUNCTION("""COMPUTED_VALUE"""),"HoaNTM")</f>
        <v>HoaNTM</v>
      </c>
      <c r="F278" s="265" t="str">
        <f>IFERROR(__xludf.DUMMYFUNCTION("""COMPUTED_VALUE"""),"Diamond")</f>
        <v>Diamond</v>
      </c>
      <c r="G278" s="265" t="str">
        <f>IFERROR(__xludf.DUMMYFUNCTION("""COMPUTED_VALUE"""),"MSG")</f>
        <v>MSG</v>
      </c>
      <c r="H278" s="265" t="str">
        <f>IFERROR(__xludf.DUMMYFUNCTION("""COMPUTED_VALUE"""),"Trả sau")</f>
        <v>Trả sau</v>
      </c>
      <c r="I278" s="265" t="str">
        <f>IFERROR(__xludf.DUMMYFUNCTION("""COMPUTED_VALUE"""),"(Chưa recheck)")</f>
        <v>(Chưa recheck)</v>
      </c>
      <c r="J278" s="265" t="str">
        <f>IFERROR(__xludf.DUMMYFUNCTION("""COMPUTED_VALUE"""),"GapOne")</f>
        <v>GapOne</v>
      </c>
      <c r="K278" s="265" t="str">
        <f>IFERROR(__xludf.DUMMYFUNCTION("""COMPUTED_VALUE"""),"(Chưa recheck)")</f>
        <v>(Chưa recheck)</v>
      </c>
    </row>
    <row r="279">
      <c r="A279" s="265" t="str">
        <f>IFERROR(__xludf.DUMMYFUNCTION("""COMPUTED_VALUE"""),"583")</f>
        <v>583</v>
      </c>
      <c r="B279" s="265" t="str">
        <f>IFERROR(__xludf.DUMMYFUNCTION("""COMPUTED_VALUE"""),"Sài Gòn")</f>
        <v>Sài Gòn</v>
      </c>
      <c r="C279" s="265" t="str">
        <f>IFERROR(__xludf.DUMMYFUNCTION("""COMPUTED_VALUE"""),"Locked")</f>
        <v>Locked</v>
      </c>
      <c r="D279" s="265" t="str">
        <f>IFERROR(__xludf.DUMMYFUNCTION("""COMPUTED_VALUE"""),"Sale chưa cung cấp")</f>
        <v>Sale chưa cung cấp</v>
      </c>
      <c r="E279" s="265" t="str">
        <f>IFERROR(__xludf.DUMMYFUNCTION("""COMPUTED_VALUE"""),"HoaNTM")</f>
        <v>HoaNTM</v>
      </c>
      <c r="F279" s="265" t="str">
        <f>IFERROR(__xludf.DUMMYFUNCTION("""COMPUTED_VALUE"""),"Diamond")</f>
        <v>Diamond</v>
      </c>
      <c r="G279" s="265" t="str">
        <f>IFERROR(__xludf.DUMMYFUNCTION("""COMPUTED_VALUE"""),"MSG")</f>
        <v>MSG</v>
      </c>
      <c r="H279" s="265" t="str">
        <f>IFERROR(__xludf.DUMMYFUNCTION("""COMPUTED_VALUE"""),"Trả sau")</f>
        <v>Trả sau</v>
      </c>
      <c r="I279" s="265" t="str">
        <f>IFERROR(__xludf.DUMMYFUNCTION("""COMPUTED_VALUE"""),"(Chưa recheck)")</f>
        <v>(Chưa recheck)</v>
      </c>
      <c r="J279" s="265" t="str">
        <f>IFERROR(__xludf.DUMMYFUNCTION("""COMPUTED_VALUE"""),"GapOne")</f>
        <v>GapOne</v>
      </c>
      <c r="K279" s="265" t="str">
        <f>IFERROR(__xludf.DUMMYFUNCTION("""COMPUTED_VALUE"""),"(Chưa recheck)")</f>
        <v>(Chưa recheck)</v>
      </c>
    </row>
    <row r="280">
      <c r="A280" s="265" t="str">
        <f>IFERROR(__xludf.DUMMYFUNCTION("""COMPUTED_VALUE"""),"584")</f>
        <v>584</v>
      </c>
      <c r="B280" s="265" t="str">
        <f>IFERROR(__xludf.DUMMYFUNCTION("""COMPUTED_VALUE"""),"Sài Gòn")</f>
        <v>Sài Gòn</v>
      </c>
      <c r="C280" s="265" t="str">
        <f>IFERROR(__xludf.DUMMYFUNCTION("""COMPUTED_VALUE"""),"Locked")</f>
        <v>Locked</v>
      </c>
      <c r="D280" s="265" t="str">
        <f>IFERROR(__xludf.DUMMYFUNCTION("""COMPUTED_VALUE"""),"Sale chưa cung cấp")</f>
        <v>Sale chưa cung cấp</v>
      </c>
      <c r="E280" s="265" t="str">
        <f>IFERROR(__xludf.DUMMYFUNCTION("""COMPUTED_VALUE"""),"HoaNTM")</f>
        <v>HoaNTM</v>
      </c>
      <c r="F280" s="265" t="str">
        <f>IFERROR(__xludf.DUMMYFUNCTION("""COMPUTED_VALUE"""),"Diamond")</f>
        <v>Diamond</v>
      </c>
      <c r="G280" s="265" t="str">
        <f>IFERROR(__xludf.DUMMYFUNCTION("""COMPUTED_VALUE"""),"MSG")</f>
        <v>MSG</v>
      </c>
      <c r="H280" s="265" t="str">
        <f>IFERROR(__xludf.DUMMYFUNCTION("""COMPUTED_VALUE"""),"Trả sau")</f>
        <v>Trả sau</v>
      </c>
      <c r="I280" s="265" t="str">
        <f>IFERROR(__xludf.DUMMYFUNCTION("""COMPUTED_VALUE"""),"(Chưa recheck)")</f>
        <v>(Chưa recheck)</v>
      </c>
      <c r="J280" s="265" t="str">
        <f>IFERROR(__xludf.DUMMYFUNCTION("""COMPUTED_VALUE"""),"GapOne")</f>
        <v>GapOne</v>
      </c>
      <c r="K280" s="265" t="str">
        <f>IFERROR(__xludf.DUMMYFUNCTION("""COMPUTED_VALUE"""),"(Chưa recheck)")</f>
        <v>(Chưa recheck)</v>
      </c>
    </row>
    <row r="281">
      <c r="A281" s="265" t="str">
        <f>IFERROR(__xludf.DUMMYFUNCTION("""COMPUTED_VALUE"""),"585")</f>
        <v>585</v>
      </c>
      <c r="B281" s="265" t="str">
        <f>IFERROR(__xludf.DUMMYFUNCTION("""COMPUTED_VALUE"""),"Hà Nội")</f>
        <v>Hà Nội</v>
      </c>
      <c r="C281" s="265" t="str">
        <f>IFERROR(__xludf.DUMMYFUNCTION("""COMPUTED_VALUE"""),"Active")</f>
        <v>Active</v>
      </c>
      <c r="D281" s="265" t="str">
        <f>IFERROR(__xludf.DUMMYFUNCTION("""COMPUTED_VALUE"""),"Sale chưa cung cấp")</f>
        <v>Sale chưa cung cấp</v>
      </c>
      <c r="E281" s="265" t="str">
        <f>IFERROR(__xludf.DUMMYFUNCTION("""COMPUTED_VALUE"""),"Không phân công")</f>
        <v>Không phân công</v>
      </c>
      <c r="F281" s="265" t="str">
        <f>IFERROR(__xludf.DUMMYFUNCTION("""COMPUTED_VALUE"""),"Bronze")</f>
        <v>Bronze</v>
      </c>
      <c r="G281" s="265" t="str">
        <f>IFERROR(__xludf.DUMMYFUNCTION("""COMPUTED_VALUE"""),"Starter")</f>
        <v>Starter</v>
      </c>
      <c r="H281" s="265" t="str">
        <f>IFERROR(__xludf.DUMMYFUNCTION("""COMPUTED_VALUE"""),"Trả sau")</f>
        <v>Trả sau</v>
      </c>
      <c r="I281" s="265" t="str">
        <f>IFERROR(__xludf.DUMMYFUNCTION("""COMPUTED_VALUE"""),"Portal")</f>
        <v>Portal</v>
      </c>
      <c r="J281" s="265" t="str">
        <f>IFERROR(__xludf.DUMMYFUNCTION("""COMPUTED_VALUE"""),"SMS CSKH")</f>
        <v>SMS CSKH</v>
      </c>
      <c r="K281" s="265" t="str">
        <f>IFERROR(__xludf.DUMMYFUNCTION("""COMPUTED_VALUE"""),"DungPL")</f>
        <v>DungPL</v>
      </c>
    </row>
    <row r="282">
      <c r="A282" s="265" t="str">
        <f>IFERROR(__xludf.DUMMYFUNCTION("""COMPUTED_VALUE"""),"586")</f>
        <v>586</v>
      </c>
      <c r="B282" s="265" t="str">
        <f>IFERROR(__xludf.DUMMYFUNCTION("""COMPUTED_VALUE"""),"Hà Nội")</f>
        <v>Hà Nội</v>
      </c>
      <c r="C282" s="265" t="str">
        <f>IFERROR(__xludf.DUMMYFUNCTION("""COMPUTED_VALUE"""),"Active")</f>
        <v>Active</v>
      </c>
      <c r="D282" s="265" t="str">
        <f>IFERROR(__xludf.DUMMYFUNCTION("""COMPUTED_VALUE"""),"Sale chưa cung cấp")</f>
        <v>Sale chưa cung cấp</v>
      </c>
      <c r="E282" s="265" t="str">
        <f>IFERROR(__xludf.DUMMYFUNCTION("""COMPUTED_VALUE"""),"TúPHN")</f>
        <v>TúPHN</v>
      </c>
      <c r="F282" s="265" t="str">
        <f>IFERROR(__xludf.DUMMYFUNCTION("""COMPUTED_VALUE"""),"Gold")</f>
        <v>Gold</v>
      </c>
      <c r="G282" s="265" t="str">
        <f>IFERROR(__xludf.DUMMYFUNCTION("""COMPUTED_VALUE"""),"Premium")</f>
        <v>Premium</v>
      </c>
      <c r="H282" s="265" t="str">
        <f>IFERROR(__xludf.DUMMYFUNCTION("""COMPUTED_VALUE"""),"Trả sau")</f>
        <v>Trả sau</v>
      </c>
      <c r="I282" s="265" t="str">
        <f>IFERROR(__xludf.DUMMYFUNCTION("""COMPUTED_VALUE"""),"Portal")</f>
        <v>Portal</v>
      </c>
      <c r="J282" s="265" t="str">
        <f>IFERROR(__xludf.DUMMYFUNCTION("""COMPUTED_VALUE"""),"SMS CSKH")</f>
        <v>SMS CSKH</v>
      </c>
      <c r="K282" s="265" t="str">
        <f>IFERROR(__xludf.DUMMYFUNCTION("""COMPUTED_VALUE"""),"DungPL")</f>
        <v>DungPL</v>
      </c>
    </row>
    <row r="283">
      <c r="A283" s="265" t="str">
        <f>IFERROR(__xludf.DUMMYFUNCTION("""COMPUTED_VALUE"""),"586")</f>
        <v>586</v>
      </c>
      <c r="B283" s="265" t="str">
        <f>IFERROR(__xludf.DUMMYFUNCTION("""COMPUTED_VALUE"""),"Hà Nội")</f>
        <v>Hà Nội</v>
      </c>
      <c r="C283" s="265" t="str">
        <f>IFERROR(__xludf.DUMMYFUNCTION("""COMPUTED_VALUE"""),"Active")</f>
        <v>Active</v>
      </c>
      <c r="D283" s="265" t="str">
        <f>IFERROR(__xludf.DUMMYFUNCTION("""COMPUTED_VALUE"""),"Sale chưa cung cấp")</f>
        <v>Sale chưa cung cấp</v>
      </c>
      <c r="E283" s="265" t="str">
        <f>IFERROR(__xludf.DUMMYFUNCTION("""COMPUTED_VALUE"""),"TúPHN")</f>
        <v>TúPHN</v>
      </c>
      <c r="F283" s="265" t="str">
        <f>IFERROR(__xludf.DUMMYFUNCTION("""COMPUTED_VALUE"""),"Gold")</f>
        <v>Gold</v>
      </c>
      <c r="G283" s="265" t="str">
        <f>IFERROR(__xludf.DUMMYFUNCTION("""COMPUTED_VALUE"""),"Premium")</f>
        <v>Premium</v>
      </c>
      <c r="H283" s="265" t="str">
        <f>IFERROR(__xludf.DUMMYFUNCTION("""COMPUTED_VALUE"""),"Trả sau")</f>
        <v>Trả sau</v>
      </c>
      <c r="I283" s="265" t="str">
        <f>IFERROR(__xludf.DUMMYFUNCTION("""COMPUTED_VALUE"""),"Portal")</f>
        <v>Portal</v>
      </c>
      <c r="J283" s="265" t="str">
        <f>IFERROR(__xludf.DUMMYFUNCTION("""COMPUTED_VALUE"""),"Zalo ZNS")</f>
        <v>Zalo ZNS</v>
      </c>
      <c r="K283" s="265" t="str">
        <f>IFERROR(__xludf.DUMMYFUNCTION("""COMPUTED_VALUE"""),"DungPL")</f>
        <v>DungPL</v>
      </c>
    </row>
    <row r="284">
      <c r="A284" s="265" t="str">
        <f>IFERROR(__xludf.DUMMYFUNCTION("""COMPUTED_VALUE"""),"589")</f>
        <v>589</v>
      </c>
      <c r="B284" s="265" t="str">
        <f>IFERROR(__xludf.DUMMYFUNCTION("""COMPUTED_VALUE"""),"Hà Nội")</f>
        <v>Hà Nội</v>
      </c>
      <c r="C284" s="265" t="str">
        <f>IFERROR(__xludf.DUMMYFUNCTION("""COMPUTED_VALUE"""),"Active")</f>
        <v>Active</v>
      </c>
      <c r="D284" s="265" t="str">
        <f>IFERROR(__xludf.DUMMYFUNCTION("""COMPUTED_VALUE"""),"Sale chưa cung cấp")</f>
        <v>Sale chưa cung cấp</v>
      </c>
      <c r="E284" s="265" t="str">
        <f>IFERROR(__xludf.DUMMYFUNCTION("""COMPUTED_VALUE"""),"Không phân công")</f>
        <v>Không phân công</v>
      </c>
      <c r="F284" s="265" t="str">
        <f>IFERROR(__xludf.DUMMYFUNCTION("""COMPUTED_VALUE"""),"Bronze")</f>
        <v>Bronze</v>
      </c>
      <c r="G284" s="265" t="str">
        <f>IFERROR(__xludf.DUMMYFUNCTION("""COMPUTED_VALUE"""),"MSG")</f>
        <v>MSG</v>
      </c>
      <c r="H284" s="265" t="str">
        <f>IFERROR(__xludf.DUMMYFUNCTION("""COMPUTED_VALUE"""),"Trả sau")</f>
        <v>Trả sau</v>
      </c>
      <c r="I284" s="265" t="str">
        <f>IFERROR(__xludf.DUMMYFUNCTION("""COMPUTED_VALUE"""),"Portal")</f>
        <v>Portal</v>
      </c>
      <c r="J284" s="265" t="str">
        <f>IFERROR(__xludf.DUMMYFUNCTION("""COMPUTED_VALUE"""),"SMS CSKH")</f>
        <v>SMS CSKH</v>
      </c>
      <c r="K284" s="265" t="str">
        <f>IFERROR(__xludf.DUMMYFUNCTION("""COMPUTED_VALUE"""),"DungPL")</f>
        <v>DungPL</v>
      </c>
    </row>
    <row r="285">
      <c r="A285" s="265" t="str">
        <f>IFERROR(__xludf.DUMMYFUNCTION("""COMPUTED_VALUE"""),"587")</f>
        <v>587</v>
      </c>
      <c r="B285" s="265" t="str">
        <f>IFERROR(__xludf.DUMMYFUNCTION("""COMPUTED_VALUE"""),"Hà Nội")</f>
        <v>Hà Nội</v>
      </c>
      <c r="C285" s="265" t="str">
        <f>IFERROR(__xludf.DUMMYFUNCTION("""COMPUTED_VALUE"""),"Active")</f>
        <v>Active</v>
      </c>
      <c r="D285" s="265" t="str">
        <f>IFERROR(__xludf.DUMMYFUNCTION("""COMPUTED_VALUE"""),"Sale chưa cung cấp")</f>
        <v>Sale chưa cung cấp</v>
      </c>
      <c r="E285" s="265" t="str">
        <f>IFERROR(__xludf.DUMMYFUNCTION("""COMPUTED_VALUE"""),"Không phân công")</f>
        <v>Không phân công</v>
      </c>
      <c r="F285" s="265" t="str">
        <f>IFERROR(__xludf.DUMMYFUNCTION("""COMPUTED_VALUE"""),"Silver")</f>
        <v>Silver</v>
      </c>
      <c r="G285" s="265" t="str">
        <f>IFERROR(__xludf.DUMMYFUNCTION("""COMPUTED_VALUE"""),"Starter")</f>
        <v>Starter</v>
      </c>
      <c r="H285" s="265" t="str">
        <f>IFERROR(__xludf.DUMMYFUNCTION("""COMPUTED_VALUE"""),"Trả sau")</f>
        <v>Trả sau</v>
      </c>
      <c r="I285" s="265" t="str">
        <f>IFERROR(__xludf.DUMMYFUNCTION("""COMPUTED_VALUE"""),"Portal")</f>
        <v>Portal</v>
      </c>
      <c r="J285" s="265" t="str">
        <f>IFERROR(__xludf.DUMMYFUNCTION("""COMPUTED_VALUE"""),"SMS CSKH")</f>
        <v>SMS CSKH</v>
      </c>
      <c r="K285" s="265" t="str">
        <f>IFERROR(__xludf.DUMMYFUNCTION("""COMPUTED_VALUE"""),"DungPL")</f>
        <v>DungPL</v>
      </c>
    </row>
    <row r="286">
      <c r="A286" s="265" t="str">
        <f>IFERROR(__xludf.DUMMYFUNCTION("""COMPUTED_VALUE"""),"590")</f>
        <v>590</v>
      </c>
      <c r="B286" s="265" t="str">
        <f>IFERROR(__xludf.DUMMYFUNCTION("""COMPUTED_VALUE"""),"Hà Nội")</f>
        <v>Hà Nội</v>
      </c>
      <c r="C286" s="265" t="str">
        <f>IFERROR(__xludf.DUMMYFUNCTION("""COMPUTED_VALUE"""),"Active")</f>
        <v>Active</v>
      </c>
      <c r="D286" s="265" t="str">
        <f>IFERROR(__xludf.DUMMYFUNCTION("""COMPUTED_VALUE"""),"Sale chưa cung cấp")</f>
        <v>Sale chưa cung cấp</v>
      </c>
      <c r="E286" s="265" t="str">
        <f>IFERROR(__xludf.DUMMYFUNCTION("""COMPUTED_VALUE"""),"Không phân công")</f>
        <v>Không phân công</v>
      </c>
      <c r="F286" s="265" t="str">
        <f>IFERROR(__xludf.DUMMYFUNCTION("""COMPUTED_VALUE"""),"Bronze")</f>
        <v>Bronze</v>
      </c>
      <c r="G286" s="265" t="str">
        <f>IFERROR(__xludf.DUMMYFUNCTION("""COMPUTED_VALUE"""),"Starter")</f>
        <v>Starter</v>
      </c>
      <c r="H286" s="265" t="str">
        <f>IFERROR(__xludf.DUMMYFUNCTION("""COMPUTED_VALUE"""),"Trả sau")</f>
        <v>Trả sau</v>
      </c>
      <c r="I286" s="265" t="str">
        <f>IFERROR(__xludf.DUMMYFUNCTION("""COMPUTED_VALUE"""),"API &amp; Portal")</f>
        <v>API &amp; Portal</v>
      </c>
      <c r="J286" s="265" t="str">
        <f>IFERROR(__xludf.DUMMYFUNCTION("""COMPUTED_VALUE"""),"SMS CSKH")</f>
        <v>SMS CSKH</v>
      </c>
      <c r="K286" s="265" t="str">
        <f>IFERROR(__xludf.DUMMYFUNCTION("""COMPUTED_VALUE"""),"DungPL")</f>
        <v>DungPL</v>
      </c>
    </row>
    <row r="287">
      <c r="A287" s="265" t="str">
        <f>IFERROR(__xludf.DUMMYFUNCTION("""COMPUTED_VALUE"""),"588")</f>
        <v>588</v>
      </c>
      <c r="B287" s="265" t="str">
        <f>IFERROR(__xludf.DUMMYFUNCTION("""COMPUTED_VALUE"""),"Hà Nội")</f>
        <v>Hà Nội</v>
      </c>
      <c r="C287" s="265" t="str">
        <f>IFERROR(__xludf.DUMMYFUNCTION("""COMPUTED_VALUE"""),"Locked")</f>
        <v>Locked</v>
      </c>
      <c r="D287" s="265" t="str">
        <f>IFERROR(__xludf.DUMMYFUNCTION("""COMPUTED_VALUE"""),"Sale chưa cung cấp")</f>
        <v>Sale chưa cung cấp</v>
      </c>
      <c r="E287" s="265" t="str">
        <f>IFERROR(__xludf.DUMMYFUNCTION("""COMPUTED_VALUE"""),"HangNT")</f>
        <v>HangNT</v>
      </c>
      <c r="F287" s="265" t="str">
        <f>IFERROR(__xludf.DUMMYFUNCTION("""COMPUTED_VALUE"""),"Silver")</f>
        <v>Silver</v>
      </c>
      <c r="G287" s="265" t="str">
        <f>IFERROR(__xludf.DUMMYFUNCTION("""COMPUTED_VALUE"""),"MSG")</f>
        <v>MSG</v>
      </c>
      <c r="H287" s="265" t="str">
        <f>IFERROR(__xludf.DUMMYFUNCTION("""COMPUTED_VALUE"""),"(Chưa recheck)")</f>
        <v>(Chưa recheck)</v>
      </c>
      <c r="I287" s="265" t="str">
        <f>IFERROR(__xludf.DUMMYFUNCTION("""COMPUTED_VALUE"""),"(Chưa recheck)")</f>
        <v>(Chưa recheck)</v>
      </c>
      <c r="J287" s="265" t="str">
        <f>IFERROR(__xludf.DUMMYFUNCTION("""COMPUTED_VALUE"""),"SMS CSKH")</f>
        <v>SMS CSKH</v>
      </c>
      <c r="K287" s="265" t="str">
        <f>IFERROR(__xludf.DUMMYFUNCTION("""COMPUTED_VALUE"""),"(Chưa recheck)")</f>
        <v>(Chưa recheck)</v>
      </c>
    </row>
    <row r="288">
      <c r="A288" s="265" t="str">
        <f>IFERROR(__xludf.DUMMYFUNCTION("""COMPUTED_VALUE"""),"591")</f>
        <v>591</v>
      </c>
      <c r="B288" s="265" t="str">
        <f>IFERROR(__xludf.DUMMYFUNCTION("""COMPUTED_VALUE"""),"Hà Nội")</f>
        <v>Hà Nội</v>
      </c>
      <c r="C288" s="265" t="str">
        <f>IFERROR(__xludf.DUMMYFUNCTION("""COMPUTED_VALUE"""),"Locked")</f>
        <v>Locked</v>
      </c>
      <c r="D288" s="265" t="str">
        <f>IFERROR(__xludf.DUMMYFUNCTION("""COMPUTED_VALUE"""),"Sale chưa cung cấp")</f>
        <v>Sale chưa cung cấp</v>
      </c>
      <c r="E288" s="265" t="str">
        <f>IFERROR(__xludf.DUMMYFUNCTION("""COMPUTED_VALUE"""),"TùngLD")</f>
        <v>TùngLD</v>
      </c>
      <c r="F288" s="265" t="str">
        <f>IFERROR(__xludf.DUMMYFUNCTION("""COMPUTED_VALUE"""),"Sale chưa cung cấp")</f>
        <v>Sale chưa cung cấp</v>
      </c>
      <c r="G288" s="265" t="str">
        <f>IFERROR(__xludf.DUMMYFUNCTION("""COMPUTED_VALUE"""),"MSG")</f>
        <v>MSG</v>
      </c>
      <c r="H288" s="265" t="str">
        <f>IFERROR(__xludf.DUMMYFUNCTION("""COMPUTED_VALUE"""),"(Chưa recheck)")</f>
        <v>(Chưa recheck)</v>
      </c>
      <c r="I288" s="265" t="str">
        <f>IFERROR(__xludf.DUMMYFUNCTION("""COMPUTED_VALUE"""),"API &amp; Portal")</f>
        <v>API &amp; Portal</v>
      </c>
      <c r="J288" s="265" t="str">
        <f>IFERROR(__xludf.DUMMYFUNCTION("""COMPUTED_VALUE"""),"SMS CSKH")</f>
        <v>SMS CSKH</v>
      </c>
      <c r="K288" s="265" t="str">
        <f>IFERROR(__xludf.DUMMYFUNCTION("""COMPUTED_VALUE"""),"(Chưa recheck)")</f>
        <v>(Chưa recheck)</v>
      </c>
    </row>
    <row r="289">
      <c r="A289" s="265" t="str">
        <f>IFERROR(__xludf.DUMMYFUNCTION("""COMPUTED_VALUE"""),"593")</f>
        <v>593</v>
      </c>
      <c r="B289" s="265" t="str">
        <f>IFERROR(__xludf.DUMMYFUNCTION("""COMPUTED_VALUE"""),"Sài Gòn")</f>
        <v>Sài Gòn</v>
      </c>
      <c r="C289" s="265" t="str">
        <f>IFERROR(__xludf.DUMMYFUNCTION("""COMPUTED_VALUE"""),"Locked")</f>
        <v>Locked</v>
      </c>
      <c r="D289" s="265" t="str">
        <f>IFERROR(__xludf.DUMMYFUNCTION("""COMPUTED_VALUE"""),"Sale chưa cung cấp")</f>
        <v>Sale chưa cung cấp</v>
      </c>
      <c r="E289" s="265" t="str">
        <f>IFERROR(__xludf.DUMMYFUNCTION("""COMPUTED_VALUE"""),"HoaNTM")</f>
        <v>HoaNTM</v>
      </c>
      <c r="F289" s="265" t="str">
        <f>IFERROR(__xludf.DUMMYFUNCTION("""COMPUTED_VALUE"""),"Diamond")</f>
        <v>Diamond</v>
      </c>
      <c r="G289" s="265" t="str">
        <f>IFERROR(__xludf.DUMMYFUNCTION("""COMPUTED_VALUE"""),"MSG")</f>
        <v>MSG</v>
      </c>
      <c r="H289" s="265" t="str">
        <f>IFERROR(__xludf.DUMMYFUNCTION("""COMPUTED_VALUE"""),"Trả sau")</f>
        <v>Trả sau</v>
      </c>
      <c r="I289" s="265" t="str">
        <f>IFERROR(__xludf.DUMMYFUNCTION("""COMPUTED_VALUE"""),"(Chưa recheck)")</f>
        <v>(Chưa recheck)</v>
      </c>
      <c r="J289" s="265" t="str">
        <f>IFERROR(__xludf.DUMMYFUNCTION("""COMPUTED_VALUE"""),"GapOne")</f>
        <v>GapOne</v>
      </c>
      <c r="K289" s="265" t="str">
        <f>IFERROR(__xludf.DUMMYFUNCTION("""COMPUTED_VALUE"""),"(Chưa recheck)")</f>
        <v>(Chưa recheck)</v>
      </c>
    </row>
    <row r="290">
      <c r="A290" s="265" t="str">
        <f>IFERROR(__xludf.DUMMYFUNCTION("""COMPUTED_VALUE"""),"592")</f>
        <v>592</v>
      </c>
      <c r="B290" s="265" t="str">
        <f>IFERROR(__xludf.DUMMYFUNCTION("""COMPUTED_VALUE"""),"Sài Gòn")</f>
        <v>Sài Gòn</v>
      </c>
      <c r="C290" s="265" t="str">
        <f>IFERROR(__xludf.DUMMYFUNCTION("""COMPUTED_VALUE"""),"Locked")</f>
        <v>Locked</v>
      </c>
      <c r="D290" s="265" t="str">
        <f>IFERROR(__xludf.DUMMYFUNCTION("""COMPUTED_VALUE"""),"Sale chưa cung cấp")</f>
        <v>Sale chưa cung cấp</v>
      </c>
      <c r="E290" s="265" t="str">
        <f>IFERROR(__xludf.DUMMYFUNCTION("""COMPUTED_VALUE"""),"HoaNTM")</f>
        <v>HoaNTM</v>
      </c>
      <c r="F290" s="265" t="str">
        <f>IFERROR(__xludf.DUMMYFUNCTION("""COMPUTED_VALUE"""),"Sale chưa cung cấp")</f>
        <v>Sale chưa cung cấp</v>
      </c>
      <c r="G290" s="265" t="str">
        <f>IFERROR(__xludf.DUMMYFUNCTION("""COMPUTED_VALUE"""),"Enterprise")</f>
        <v>Enterprise</v>
      </c>
      <c r="H290" s="265" t="str">
        <f>IFERROR(__xludf.DUMMYFUNCTION("""COMPUTED_VALUE"""),"Trial")</f>
        <v>Trial</v>
      </c>
      <c r="I290" s="265" t="str">
        <f>IFERROR(__xludf.DUMMYFUNCTION("""COMPUTED_VALUE"""),"(Không recheck)")</f>
        <v>(Không recheck)</v>
      </c>
      <c r="J290" s="265" t="str">
        <f>IFERROR(__xludf.DUMMYFUNCTION("""COMPUTED_VALUE"""),"GapOne")</f>
        <v>GapOne</v>
      </c>
      <c r="K290" s="265" t="str">
        <f>IFERROR(__xludf.DUMMYFUNCTION("""COMPUTED_VALUE"""),"(Không recheck)")</f>
        <v>(Không recheck)</v>
      </c>
    </row>
    <row r="291">
      <c r="A291" s="265" t="str">
        <f>IFERROR(__xludf.DUMMYFUNCTION("""COMPUTED_VALUE"""),"594")</f>
        <v>594</v>
      </c>
      <c r="B291" s="265" t="str">
        <f>IFERROR(__xludf.DUMMYFUNCTION("""COMPUTED_VALUE"""),"Sài Gòn")</f>
        <v>Sài Gòn</v>
      </c>
      <c r="C291" s="265" t="str">
        <f>IFERROR(__xludf.DUMMYFUNCTION("""COMPUTED_VALUE"""),"Locked")</f>
        <v>Locked</v>
      </c>
      <c r="D291" s="265" t="str">
        <f>IFERROR(__xludf.DUMMYFUNCTION("""COMPUTED_VALUE"""),"Sale chưa cung cấp")</f>
        <v>Sale chưa cung cấp</v>
      </c>
      <c r="E291" s="265" t="str">
        <f>IFERROR(__xludf.DUMMYFUNCTION("""COMPUTED_VALUE"""),"HoaNTM")</f>
        <v>HoaNTM</v>
      </c>
      <c r="F291" s="265" t="str">
        <f>IFERROR(__xludf.DUMMYFUNCTION("""COMPUTED_VALUE"""),"Silver")</f>
        <v>Silver</v>
      </c>
      <c r="G291" s="265" t="str">
        <f>IFERROR(__xludf.DUMMYFUNCTION("""COMPUTED_VALUE"""),"Enterprise")</f>
        <v>Enterprise</v>
      </c>
      <c r="H291" s="265" t="str">
        <f>IFERROR(__xludf.DUMMYFUNCTION("""COMPUTED_VALUE"""),"(Chưa recheck)")</f>
        <v>(Chưa recheck)</v>
      </c>
      <c r="I291" s="265" t="str">
        <f>IFERROR(__xludf.DUMMYFUNCTION("""COMPUTED_VALUE"""),"(Chưa recheck)")</f>
        <v>(Chưa recheck)</v>
      </c>
      <c r="J291" s="265" t="str">
        <f>IFERROR(__xludf.DUMMYFUNCTION("""COMPUTED_VALUE"""),"GapOne")</f>
        <v>GapOne</v>
      </c>
      <c r="K291" s="265" t="str">
        <f>IFERROR(__xludf.DUMMYFUNCTION("""COMPUTED_VALUE"""),"AnhNM")</f>
        <v>AnhNM</v>
      </c>
    </row>
    <row r="292">
      <c r="A292" s="265" t="str">
        <f>IFERROR(__xludf.DUMMYFUNCTION("""COMPUTED_VALUE"""),"595")</f>
        <v>595</v>
      </c>
      <c r="B292" s="265" t="str">
        <f>IFERROR(__xludf.DUMMYFUNCTION("""COMPUTED_VALUE"""),"Sài Gòn")</f>
        <v>Sài Gòn</v>
      </c>
      <c r="C292" s="265" t="str">
        <f>IFERROR(__xludf.DUMMYFUNCTION("""COMPUTED_VALUE"""),"Locked")</f>
        <v>Locked</v>
      </c>
      <c r="D292" s="265" t="str">
        <f>IFERROR(__xludf.DUMMYFUNCTION("""COMPUTED_VALUE"""),"Sale chưa cung cấp")</f>
        <v>Sale chưa cung cấp</v>
      </c>
      <c r="E292" s="265" t="str">
        <f>IFERROR(__xludf.DUMMYFUNCTION("""COMPUTED_VALUE"""),"HoaNTM")</f>
        <v>HoaNTM</v>
      </c>
      <c r="F292" s="265" t="str">
        <f>IFERROR(__xludf.DUMMYFUNCTION("""COMPUTED_VALUE"""),"Bronze")</f>
        <v>Bronze</v>
      </c>
      <c r="G292" s="265" t="str">
        <f>IFERROR(__xludf.DUMMYFUNCTION("""COMPUTED_VALUE"""),"Enterprise")</f>
        <v>Enterprise</v>
      </c>
      <c r="H292" s="265" t="str">
        <f>IFERROR(__xludf.DUMMYFUNCTION("""COMPUTED_VALUE"""),"(Chưa recheck)")</f>
        <v>(Chưa recheck)</v>
      </c>
      <c r="I292" s="265" t="str">
        <f>IFERROR(__xludf.DUMMYFUNCTION("""COMPUTED_VALUE"""),"(Chưa recheck)")</f>
        <v>(Chưa recheck)</v>
      </c>
      <c r="J292" s="265" t="str">
        <f>IFERROR(__xludf.DUMMYFUNCTION("""COMPUTED_VALUE"""),"GapOne")</f>
        <v>GapOne</v>
      </c>
      <c r="K292" s="265" t="str">
        <f>IFERROR(__xludf.DUMMYFUNCTION("""COMPUTED_VALUE"""),"AnhNM")</f>
        <v>AnhNM</v>
      </c>
    </row>
    <row r="293">
      <c r="A293" s="265" t="str">
        <f>IFERROR(__xludf.DUMMYFUNCTION("""COMPUTED_VALUE"""),"596")</f>
        <v>596</v>
      </c>
      <c r="B293" s="265" t="str">
        <f>IFERROR(__xludf.DUMMYFUNCTION("""COMPUTED_VALUE"""),"Hà Nội")</f>
        <v>Hà Nội</v>
      </c>
      <c r="C293" s="265" t="str">
        <f>IFERROR(__xludf.DUMMYFUNCTION("""COMPUTED_VALUE"""),"Locked")</f>
        <v>Locked</v>
      </c>
      <c r="D293" s="265" t="str">
        <f>IFERROR(__xludf.DUMMYFUNCTION("""COMPUTED_VALUE"""),"Sale chưa cung cấp")</f>
        <v>Sale chưa cung cấp</v>
      </c>
      <c r="E293" s="265" t="str">
        <f>IFERROR(__xludf.DUMMYFUNCTION("""COMPUTED_VALUE"""),"PhươngDTB")</f>
        <v>PhươngDTB</v>
      </c>
      <c r="F293" s="265" t="str">
        <f>IFERROR(__xludf.DUMMYFUNCTION("""COMPUTED_VALUE"""),"Bronze")</f>
        <v>Bronze</v>
      </c>
      <c r="G293" s="265" t="str">
        <f>IFERROR(__xludf.DUMMYFUNCTION("""COMPUTED_VALUE"""),"Enterprise")</f>
        <v>Enterprise</v>
      </c>
      <c r="H293" s="265" t="str">
        <f>IFERROR(__xludf.DUMMYFUNCTION("""COMPUTED_VALUE"""),"(Chưa recheck)")</f>
        <v>(Chưa recheck)</v>
      </c>
      <c r="I293" s="265" t="str">
        <f>IFERROR(__xludf.DUMMYFUNCTION("""COMPUTED_VALUE"""),"(Chưa recheck)")</f>
        <v>(Chưa recheck)</v>
      </c>
      <c r="J293" s="265" t="str">
        <f>IFERROR(__xludf.DUMMYFUNCTION("""COMPUTED_VALUE"""),"Tất cả")</f>
        <v>Tất cả</v>
      </c>
      <c r="K293" s="265" t="str">
        <f>IFERROR(__xludf.DUMMYFUNCTION("""COMPUTED_VALUE"""),"(Chưa recheck)")</f>
        <v>(Chưa recheck)</v>
      </c>
    </row>
    <row r="294">
      <c r="A294" s="265" t="str">
        <f>IFERROR(__xludf.DUMMYFUNCTION("""COMPUTED_VALUE"""),"598")</f>
        <v>598</v>
      </c>
      <c r="B294" s="265" t="str">
        <f>IFERROR(__xludf.DUMMYFUNCTION("""COMPUTED_VALUE"""),"Sài Gòn")</f>
        <v>Sài Gòn</v>
      </c>
      <c r="C294" s="265" t="str">
        <f>IFERROR(__xludf.DUMMYFUNCTION("""COMPUTED_VALUE"""),"Locked")</f>
        <v>Locked</v>
      </c>
      <c r="D294" s="265" t="str">
        <f>IFERROR(__xludf.DUMMYFUNCTION("""COMPUTED_VALUE"""),"Sale chưa cung cấp")</f>
        <v>Sale chưa cung cấp</v>
      </c>
      <c r="E294" s="265" t="str">
        <f>IFERROR(__xludf.DUMMYFUNCTION("""COMPUTED_VALUE"""),"HoaNTM")</f>
        <v>HoaNTM</v>
      </c>
      <c r="F294" s="265" t="str">
        <f>IFERROR(__xludf.DUMMYFUNCTION("""COMPUTED_VALUE"""),"Silver")</f>
        <v>Silver</v>
      </c>
      <c r="G294" s="265" t="str">
        <f>IFERROR(__xludf.DUMMYFUNCTION("""COMPUTED_VALUE"""),"MSG")</f>
        <v>MSG</v>
      </c>
      <c r="H294" s="265" t="str">
        <f>IFERROR(__xludf.DUMMYFUNCTION("""COMPUTED_VALUE"""),"(Chưa recheck)")</f>
        <v>(Chưa recheck)</v>
      </c>
      <c r="I294" s="265" t="str">
        <f>IFERROR(__xludf.DUMMYFUNCTION("""COMPUTED_VALUE"""),"(Chưa recheck)")</f>
        <v>(Chưa recheck)</v>
      </c>
      <c r="J294" s="265" t="str">
        <f>IFERROR(__xludf.DUMMYFUNCTION("""COMPUTED_VALUE"""),"GapOne")</f>
        <v>GapOne</v>
      </c>
      <c r="K294" s="265" t="str">
        <f>IFERROR(__xludf.DUMMYFUNCTION("""COMPUTED_VALUE"""),"(Chưa recheck)")</f>
        <v>(Chưa recheck)</v>
      </c>
    </row>
    <row r="295">
      <c r="A295" s="265" t="str">
        <f>IFERROR(__xludf.DUMMYFUNCTION("""COMPUTED_VALUE"""),"600")</f>
        <v>600</v>
      </c>
      <c r="B295" s="265" t="str">
        <f>IFERROR(__xludf.DUMMYFUNCTION("""COMPUTED_VALUE"""),"Sài Gòn")</f>
        <v>Sài Gòn</v>
      </c>
      <c r="C295" s="265" t="str">
        <f>IFERROR(__xludf.DUMMYFUNCTION("""COMPUTED_VALUE"""),"Locked")</f>
        <v>Locked</v>
      </c>
      <c r="D295" s="265" t="str">
        <f>IFERROR(__xludf.DUMMYFUNCTION("""COMPUTED_VALUE"""),"Sale chưa cung cấp")</f>
        <v>Sale chưa cung cấp</v>
      </c>
      <c r="E295" s="265" t="str">
        <f>IFERROR(__xludf.DUMMYFUNCTION("""COMPUTED_VALUE"""),"HoaNTM")</f>
        <v>HoaNTM</v>
      </c>
      <c r="F295" s="265" t="str">
        <f>IFERROR(__xludf.DUMMYFUNCTION("""COMPUTED_VALUE"""),"Silver")</f>
        <v>Silver</v>
      </c>
      <c r="G295" s="265" t="str">
        <f>IFERROR(__xludf.DUMMYFUNCTION("""COMPUTED_VALUE"""),"Enterprise")</f>
        <v>Enterprise</v>
      </c>
      <c r="H295" s="265" t="str">
        <f>IFERROR(__xludf.DUMMYFUNCTION("""COMPUTED_VALUE"""),"(Chưa recheck)")</f>
        <v>(Chưa recheck)</v>
      </c>
      <c r="I295" s="265" t="str">
        <f>IFERROR(__xludf.DUMMYFUNCTION("""COMPUTED_VALUE"""),"(Chưa recheck)")</f>
        <v>(Chưa recheck)</v>
      </c>
      <c r="J295" s="265" t="str">
        <f>IFERROR(__xludf.DUMMYFUNCTION("""COMPUTED_VALUE"""),"GapOne")</f>
        <v>GapOne</v>
      </c>
      <c r="K295" s="265" t="str">
        <f>IFERROR(__xludf.DUMMYFUNCTION("""COMPUTED_VALUE"""),"(Chưa recheck)")</f>
        <v>(Chưa recheck)</v>
      </c>
    </row>
    <row r="296">
      <c r="A296" s="265" t="str">
        <f>IFERROR(__xludf.DUMMYFUNCTION("""COMPUTED_VALUE"""),"597")</f>
        <v>597</v>
      </c>
      <c r="B296" s="265" t="str">
        <f>IFERROR(__xludf.DUMMYFUNCTION("""COMPUTED_VALUE"""),"Sài Gòn")</f>
        <v>Sài Gòn</v>
      </c>
      <c r="C296" s="265" t="str">
        <f>IFERROR(__xludf.DUMMYFUNCTION("""COMPUTED_VALUE"""),"Active")</f>
        <v>Active</v>
      </c>
      <c r="D296" s="265" t="str">
        <f>IFERROR(__xludf.DUMMYFUNCTION("""COMPUTED_VALUE"""),"Sale chưa cung cấp")</f>
        <v>Sale chưa cung cấp</v>
      </c>
      <c r="E296" s="265" t="str">
        <f>IFERROR(__xludf.DUMMYFUNCTION("""COMPUTED_VALUE"""),"Không phân công")</f>
        <v>Không phân công</v>
      </c>
      <c r="F296" s="265" t="str">
        <f>IFERROR(__xludf.DUMMYFUNCTION("""COMPUTED_VALUE"""),"Silver")</f>
        <v>Silver</v>
      </c>
      <c r="G296" s="265" t="str">
        <f>IFERROR(__xludf.DUMMYFUNCTION("""COMPUTED_VALUE"""),"Standard")</f>
        <v>Standard</v>
      </c>
      <c r="H296" s="265" t="str">
        <f>IFERROR(__xludf.DUMMYFUNCTION("""COMPUTED_VALUE"""),"Trả trước")</f>
        <v>Trả trước</v>
      </c>
      <c r="I296" s="265" t="str">
        <f>IFERROR(__xludf.DUMMYFUNCTION("""COMPUTED_VALUE"""),"Portal")</f>
        <v>Portal</v>
      </c>
      <c r="J296" s="265" t="str">
        <f>IFERROR(__xludf.DUMMYFUNCTION("""COMPUTED_VALUE"""),"SMS CSKH")</f>
        <v>SMS CSKH</v>
      </c>
      <c r="K296" s="265" t="str">
        <f>IFERROR(__xludf.DUMMYFUNCTION("""COMPUTED_VALUE"""),"DungVT")</f>
        <v>DungVT</v>
      </c>
    </row>
    <row r="297">
      <c r="A297" s="265" t="str">
        <f>IFERROR(__xludf.DUMMYFUNCTION("""COMPUTED_VALUE"""),"599")</f>
        <v>599</v>
      </c>
      <c r="B297" s="265" t="str">
        <f>IFERROR(__xludf.DUMMYFUNCTION("""COMPUTED_VALUE"""),"Sài Gòn")</f>
        <v>Sài Gòn</v>
      </c>
      <c r="C297" s="265" t="str">
        <f>IFERROR(__xludf.DUMMYFUNCTION("""COMPUTED_VALUE"""),"Active")</f>
        <v>Active</v>
      </c>
      <c r="D297" s="265" t="str">
        <f>IFERROR(__xludf.DUMMYFUNCTION("""COMPUTED_VALUE"""),"Sale chưa cung cấp")</f>
        <v>Sale chưa cung cấp</v>
      </c>
      <c r="E297" s="265" t="str">
        <f>IFERROR(__xludf.DUMMYFUNCTION("""COMPUTED_VALUE"""),"Không phân công")</f>
        <v>Không phân công</v>
      </c>
      <c r="F297" s="265" t="str">
        <f>IFERROR(__xludf.DUMMYFUNCTION("""COMPUTED_VALUE"""),"Diamond")</f>
        <v>Diamond</v>
      </c>
      <c r="G297" s="265" t="str">
        <f>IFERROR(__xludf.DUMMYFUNCTION("""COMPUTED_VALUE"""),"Enterprise")</f>
        <v>Enterprise</v>
      </c>
      <c r="H297" s="265" t="str">
        <f>IFERROR(__xludf.DUMMYFUNCTION("""COMPUTED_VALUE"""),"Trả sau")</f>
        <v>Trả sau</v>
      </c>
      <c r="I297" s="265" t="str">
        <f>IFERROR(__xludf.DUMMYFUNCTION("""COMPUTED_VALUE"""),"Portal")</f>
        <v>Portal</v>
      </c>
      <c r="J297" s="265" t="str">
        <f>IFERROR(__xludf.DUMMYFUNCTION("""COMPUTED_VALUE"""),"SMS CSKH")</f>
        <v>SMS CSKH</v>
      </c>
      <c r="K297" s="265" t="str">
        <f>IFERROR(__xludf.DUMMYFUNCTION("""COMPUTED_VALUE"""),"LinhNTT1")</f>
        <v>LinhNTT1</v>
      </c>
    </row>
    <row r="298">
      <c r="A298" s="265" t="str">
        <f>IFERROR(__xludf.DUMMYFUNCTION("""COMPUTED_VALUE"""),"601")</f>
        <v>601</v>
      </c>
      <c r="B298" s="265" t="str">
        <f>IFERROR(__xludf.DUMMYFUNCTION("""COMPUTED_VALUE"""),"Sài Gòn")</f>
        <v>Sài Gòn</v>
      </c>
      <c r="C298" s="265" t="str">
        <f>IFERROR(__xludf.DUMMYFUNCTION("""COMPUTED_VALUE"""),"Locked")</f>
        <v>Locked</v>
      </c>
      <c r="D298" s="265" t="str">
        <f>IFERROR(__xludf.DUMMYFUNCTION("""COMPUTED_VALUE"""),"Sale chưa cung cấp")</f>
        <v>Sale chưa cung cấp</v>
      </c>
      <c r="E298" s="265" t="str">
        <f>IFERROR(__xludf.DUMMYFUNCTION("""COMPUTED_VALUE"""),"HoaNTM")</f>
        <v>HoaNTM</v>
      </c>
      <c r="F298" s="265" t="str">
        <f>IFERROR(__xludf.DUMMYFUNCTION("""COMPUTED_VALUE"""),"Sale chưa cung cấp")</f>
        <v>Sale chưa cung cấp</v>
      </c>
      <c r="G298" s="265" t="str">
        <f>IFERROR(__xludf.DUMMYFUNCTION("""COMPUTED_VALUE"""),"MSG")</f>
        <v>MSG</v>
      </c>
      <c r="H298" s="265" t="str">
        <f>IFERROR(__xludf.DUMMYFUNCTION("""COMPUTED_VALUE"""),"(Chưa recheck)")</f>
        <v>(Chưa recheck)</v>
      </c>
      <c r="I298" s="265" t="str">
        <f>IFERROR(__xludf.DUMMYFUNCTION("""COMPUTED_VALUE"""),"(Chưa recheck)")</f>
        <v>(Chưa recheck)</v>
      </c>
      <c r="J298" s="265" t="str">
        <f>IFERROR(__xludf.DUMMYFUNCTION("""COMPUTED_VALUE"""),"GapOne")</f>
        <v>GapOne</v>
      </c>
      <c r="K298" s="265" t="str">
        <f>IFERROR(__xludf.DUMMYFUNCTION("""COMPUTED_VALUE"""),"(Chưa recheck)")</f>
        <v>(Chưa recheck)</v>
      </c>
    </row>
    <row r="299">
      <c r="A299" s="265" t="str">
        <f>IFERROR(__xludf.DUMMYFUNCTION("""COMPUTED_VALUE"""),"602")</f>
        <v>602</v>
      </c>
      <c r="B299" s="265" t="str">
        <f>IFERROR(__xludf.DUMMYFUNCTION("""COMPUTED_VALUE"""),"Sài Gòn")</f>
        <v>Sài Gòn</v>
      </c>
      <c r="C299" s="265" t="str">
        <f>IFERROR(__xludf.DUMMYFUNCTION("""COMPUTED_VALUE"""),"Locked")</f>
        <v>Locked</v>
      </c>
      <c r="D299" s="265" t="str">
        <f>IFERROR(__xludf.DUMMYFUNCTION("""COMPUTED_VALUE"""),"Sale chưa cung cấp")</f>
        <v>Sale chưa cung cấp</v>
      </c>
      <c r="E299" s="265" t="str">
        <f>IFERROR(__xludf.DUMMYFUNCTION("""COMPUTED_VALUE"""),"Không phân công")</f>
        <v>Không phân công</v>
      </c>
      <c r="F299" s="265" t="str">
        <f>IFERROR(__xludf.DUMMYFUNCTION("""COMPUTED_VALUE"""),"Bronze")</f>
        <v>Bronze</v>
      </c>
      <c r="G299" s="265" t="str">
        <f>IFERROR(__xludf.DUMMYFUNCTION("""COMPUTED_VALUE"""),"Starter")</f>
        <v>Starter</v>
      </c>
      <c r="H299" s="265" t="str">
        <f>IFERROR(__xludf.DUMMYFUNCTION("""COMPUTED_VALUE"""),"Trả trước")</f>
        <v>Trả trước</v>
      </c>
      <c r="I299" s="265" t="str">
        <f>IFERROR(__xludf.DUMMYFUNCTION("""COMPUTED_VALUE"""),"Portal")</f>
        <v>Portal</v>
      </c>
      <c r="J299" s="265" t="str">
        <f>IFERROR(__xludf.DUMMYFUNCTION("""COMPUTED_VALUE"""),"SMS CSKH")</f>
        <v>SMS CSKH</v>
      </c>
      <c r="K299" s="265" t="str">
        <f>IFERROR(__xludf.DUMMYFUNCTION("""COMPUTED_VALUE"""),"LinhNTT1")</f>
        <v>LinhNTT1</v>
      </c>
    </row>
    <row r="300">
      <c r="A300" s="265" t="str">
        <f>IFERROR(__xludf.DUMMYFUNCTION("""COMPUTED_VALUE"""),"603")</f>
        <v>603</v>
      </c>
      <c r="B300" s="265" t="str">
        <f>IFERROR(__xludf.DUMMYFUNCTION("""COMPUTED_VALUE"""),"Sài Gòn")</f>
        <v>Sài Gòn</v>
      </c>
      <c r="C300" s="265" t="str">
        <f>IFERROR(__xludf.DUMMYFUNCTION("""COMPUTED_VALUE"""),"Locked")</f>
        <v>Locked</v>
      </c>
      <c r="D300" s="265" t="str">
        <f>IFERROR(__xludf.DUMMYFUNCTION("""COMPUTED_VALUE"""),"Sale chưa cung cấp")</f>
        <v>Sale chưa cung cấp</v>
      </c>
      <c r="E300" s="265" t="str">
        <f>IFERROR(__xludf.DUMMYFUNCTION("""COMPUTED_VALUE"""),"Không phân công")</f>
        <v>Không phân công</v>
      </c>
      <c r="F300" s="265" t="str">
        <f>IFERROR(__xludf.DUMMYFUNCTION("""COMPUTED_VALUE"""),"Bronze")</f>
        <v>Bronze</v>
      </c>
      <c r="G300" s="265" t="str">
        <f>IFERROR(__xludf.DUMMYFUNCTION("""COMPUTED_VALUE"""),"Starter")</f>
        <v>Starter</v>
      </c>
      <c r="H300" s="265" t="str">
        <f>IFERROR(__xludf.DUMMYFUNCTION("""COMPUTED_VALUE"""),"Trả trước")</f>
        <v>Trả trước</v>
      </c>
      <c r="I300" s="265" t="str">
        <f>IFERROR(__xludf.DUMMYFUNCTION("""COMPUTED_VALUE"""),"Portal")</f>
        <v>Portal</v>
      </c>
      <c r="J300" s="265" t="str">
        <f>IFERROR(__xludf.DUMMYFUNCTION("""COMPUTED_VALUE"""),"SMS CSKH")</f>
        <v>SMS CSKH</v>
      </c>
      <c r="K300" s="265" t="str">
        <f>IFERROR(__xludf.DUMMYFUNCTION("""COMPUTED_VALUE"""),"LinhNTT1")</f>
        <v>LinhNTT1</v>
      </c>
    </row>
    <row r="301">
      <c r="A301" s="265" t="str">
        <f>IFERROR(__xludf.DUMMYFUNCTION("""COMPUTED_VALUE"""),"604")</f>
        <v>604</v>
      </c>
      <c r="B301" s="265" t="str">
        <f>IFERROR(__xludf.DUMMYFUNCTION("""COMPUTED_VALUE"""),"Hà Nội")</f>
        <v>Hà Nội</v>
      </c>
      <c r="C301" s="265" t="str">
        <f>IFERROR(__xludf.DUMMYFUNCTION("""COMPUTED_VALUE"""),"Locked")</f>
        <v>Locked</v>
      </c>
      <c r="D301" s="265" t="str">
        <f>IFERROR(__xludf.DUMMYFUNCTION("""COMPUTED_VALUE"""),"Sale chưa cung cấp")</f>
        <v>Sale chưa cung cấp</v>
      </c>
      <c r="E301" s="265" t="str">
        <f>IFERROR(__xludf.DUMMYFUNCTION("""COMPUTED_VALUE"""),"TùngLD")</f>
        <v>TùngLD</v>
      </c>
      <c r="F301" s="265" t="str">
        <f>IFERROR(__xludf.DUMMYFUNCTION("""COMPUTED_VALUE"""),"Sale chưa cung cấp")</f>
        <v>Sale chưa cung cấp</v>
      </c>
      <c r="G301" s="265" t="str">
        <f>IFERROR(__xludf.DUMMYFUNCTION("""COMPUTED_VALUE"""),"Enterprise")</f>
        <v>Enterprise</v>
      </c>
      <c r="H301" s="265" t="str">
        <f>IFERROR(__xludf.DUMMYFUNCTION("""COMPUTED_VALUE"""),"Trial")</f>
        <v>Trial</v>
      </c>
      <c r="I301" s="265" t="str">
        <f>IFERROR(__xludf.DUMMYFUNCTION("""COMPUTED_VALUE"""),"Portal")</f>
        <v>Portal</v>
      </c>
      <c r="J301" s="265" t="str">
        <f>IFERROR(__xludf.DUMMYFUNCTION("""COMPUTED_VALUE"""),"Tất cả")</f>
        <v>Tất cả</v>
      </c>
      <c r="K301" s="265" t="str">
        <f>IFERROR(__xludf.DUMMYFUNCTION("""COMPUTED_VALUE"""),"(Không recheck)")</f>
        <v>(Không recheck)</v>
      </c>
    </row>
    <row r="302">
      <c r="A302" s="265" t="str">
        <f>IFERROR(__xludf.DUMMYFUNCTION("""COMPUTED_VALUE"""),"605")</f>
        <v>605</v>
      </c>
      <c r="B302" s="265" t="str">
        <f>IFERROR(__xludf.DUMMYFUNCTION("""COMPUTED_VALUE"""),"Hà Nội")</f>
        <v>Hà Nội</v>
      </c>
      <c r="C302" s="265" t="str">
        <f>IFERROR(__xludf.DUMMYFUNCTION("""COMPUTED_VALUE"""),"Active")</f>
        <v>Active</v>
      </c>
      <c r="D302" s="265" t="str">
        <f>IFERROR(__xludf.DUMMYFUNCTION("""COMPUTED_VALUE"""),"Sale chưa cung cấp")</f>
        <v>Sale chưa cung cấp</v>
      </c>
      <c r="E302" s="265" t="str">
        <f>IFERROR(__xludf.DUMMYFUNCTION("""COMPUTED_VALUE"""),"Không phân công")</f>
        <v>Không phân công</v>
      </c>
      <c r="F302" s="265" t="str">
        <f>IFERROR(__xludf.DUMMYFUNCTION("""COMPUTED_VALUE"""),"Bronze")</f>
        <v>Bronze</v>
      </c>
      <c r="G302" s="265" t="str">
        <f>IFERROR(__xludf.DUMMYFUNCTION("""COMPUTED_VALUE"""),"Starter")</f>
        <v>Starter</v>
      </c>
      <c r="H302" s="265" t="str">
        <f>IFERROR(__xludf.DUMMYFUNCTION("""COMPUTED_VALUE"""),"Trả sau")</f>
        <v>Trả sau</v>
      </c>
      <c r="I302" s="265" t="str">
        <f>IFERROR(__xludf.DUMMYFUNCTION("""COMPUTED_VALUE"""),"API")</f>
        <v>API</v>
      </c>
      <c r="J302" s="265" t="str">
        <f>IFERROR(__xludf.DUMMYFUNCTION("""COMPUTED_VALUE"""),"SMS CSKH")</f>
        <v>SMS CSKH</v>
      </c>
      <c r="K302" s="265" t="str">
        <f>IFERROR(__xludf.DUMMYFUNCTION("""COMPUTED_VALUE"""),"DungPL")</f>
        <v>DungPL</v>
      </c>
    </row>
    <row r="303">
      <c r="A303" s="265" t="str">
        <f>IFERROR(__xludf.DUMMYFUNCTION("""COMPUTED_VALUE"""),"606")</f>
        <v>606</v>
      </c>
      <c r="B303" s="265" t="str">
        <f>IFERROR(__xludf.DUMMYFUNCTION("""COMPUTED_VALUE"""),"Sài Gòn")</f>
        <v>Sài Gòn</v>
      </c>
      <c r="C303" s="265" t="str">
        <f>IFERROR(__xludf.DUMMYFUNCTION("""COMPUTED_VALUE"""),"Locked")</f>
        <v>Locked</v>
      </c>
      <c r="D303" s="265" t="str">
        <f>IFERROR(__xludf.DUMMYFUNCTION("""COMPUTED_VALUE"""),"Sale chưa cung cấp")</f>
        <v>Sale chưa cung cấp</v>
      </c>
      <c r="E303" s="265" t="str">
        <f>IFERROR(__xludf.DUMMYFUNCTION("""COMPUTED_VALUE"""),"HoaNTM")</f>
        <v>HoaNTM</v>
      </c>
      <c r="F303" s="265" t="str">
        <f>IFERROR(__xludf.DUMMYFUNCTION("""COMPUTED_VALUE"""),"Bronze")</f>
        <v>Bronze</v>
      </c>
      <c r="G303" s="265" t="str">
        <f>IFERROR(__xludf.DUMMYFUNCTION("""COMPUTED_VALUE"""),"Enterprise")</f>
        <v>Enterprise</v>
      </c>
      <c r="H303" s="265" t="str">
        <f>IFERROR(__xludf.DUMMYFUNCTION("""COMPUTED_VALUE"""),"(Chưa recheck)")</f>
        <v>(Chưa recheck)</v>
      </c>
      <c r="I303" s="265" t="str">
        <f>IFERROR(__xludf.DUMMYFUNCTION("""COMPUTED_VALUE"""),"(Chưa recheck)")</f>
        <v>(Chưa recheck)</v>
      </c>
      <c r="J303" s="265" t="str">
        <f>IFERROR(__xludf.DUMMYFUNCTION("""COMPUTED_VALUE"""),"GapOne")</f>
        <v>GapOne</v>
      </c>
      <c r="K303" s="265" t="str">
        <f>IFERROR(__xludf.DUMMYFUNCTION("""COMPUTED_VALUE"""),"AnhNM")</f>
        <v>AnhNM</v>
      </c>
    </row>
    <row r="304">
      <c r="A304" s="265" t="str">
        <f>IFERROR(__xludf.DUMMYFUNCTION("""COMPUTED_VALUE"""),"609")</f>
        <v>609</v>
      </c>
      <c r="B304" s="265" t="str">
        <f>IFERROR(__xludf.DUMMYFUNCTION("""COMPUTED_VALUE"""),"Sài Gòn")</f>
        <v>Sài Gòn</v>
      </c>
      <c r="C304" s="265" t="str">
        <f>IFERROR(__xludf.DUMMYFUNCTION("""COMPUTED_VALUE"""),"Locked")</f>
        <v>Locked</v>
      </c>
      <c r="D304" s="265" t="str">
        <f>IFERROR(__xludf.DUMMYFUNCTION("""COMPUTED_VALUE"""),"Sale chưa cung cấp")</f>
        <v>Sale chưa cung cấp</v>
      </c>
      <c r="E304" s="265" t="str">
        <f>IFERROR(__xludf.DUMMYFUNCTION("""COMPUTED_VALUE"""),"HoaNTM")</f>
        <v>HoaNTM</v>
      </c>
      <c r="F304" s="265" t="str">
        <f>IFERROR(__xludf.DUMMYFUNCTION("""COMPUTED_VALUE"""),"Gold")</f>
        <v>Gold</v>
      </c>
      <c r="G304" s="265" t="str">
        <f>IFERROR(__xludf.DUMMYFUNCTION("""COMPUTED_VALUE"""),"MSG")</f>
        <v>MSG</v>
      </c>
      <c r="H304" s="265" t="str">
        <f>IFERROR(__xludf.DUMMYFUNCTION("""COMPUTED_VALUE"""),"(Chưa recheck)")</f>
        <v>(Chưa recheck)</v>
      </c>
      <c r="I304" s="265" t="str">
        <f>IFERROR(__xludf.DUMMYFUNCTION("""COMPUTED_VALUE"""),"(Chưa recheck)")</f>
        <v>(Chưa recheck)</v>
      </c>
      <c r="J304" s="265" t="str">
        <f>IFERROR(__xludf.DUMMYFUNCTION("""COMPUTED_VALUE"""),"GapOne")</f>
        <v>GapOne</v>
      </c>
      <c r="K304" s="265" t="str">
        <f>IFERROR(__xludf.DUMMYFUNCTION("""COMPUTED_VALUE"""),"(Chưa recheck)")</f>
        <v>(Chưa recheck)</v>
      </c>
    </row>
    <row r="305">
      <c r="A305" s="265" t="str">
        <f>IFERROR(__xludf.DUMMYFUNCTION("""COMPUTED_VALUE"""),"607")</f>
        <v>607</v>
      </c>
      <c r="B305" s="265" t="str">
        <f>IFERROR(__xludf.DUMMYFUNCTION("""COMPUTED_VALUE"""),"Sài Gòn")</f>
        <v>Sài Gòn</v>
      </c>
      <c r="C305" s="265" t="str">
        <f>IFERROR(__xludf.DUMMYFUNCTION("""COMPUTED_VALUE"""),"Locked")</f>
        <v>Locked</v>
      </c>
      <c r="D305" s="265" t="str">
        <f>IFERROR(__xludf.DUMMYFUNCTION("""COMPUTED_VALUE"""),"Sale chưa cung cấp")</f>
        <v>Sale chưa cung cấp</v>
      </c>
      <c r="E305" s="265" t="str">
        <f>IFERROR(__xludf.DUMMYFUNCTION("""COMPUTED_VALUE"""),"HoaNTM")</f>
        <v>HoaNTM</v>
      </c>
      <c r="F305" s="265" t="str">
        <f>IFERROR(__xludf.DUMMYFUNCTION("""COMPUTED_VALUE"""),"Sale chưa cung cấp")</f>
        <v>Sale chưa cung cấp</v>
      </c>
      <c r="G305" s="265" t="str">
        <f>IFERROR(__xludf.DUMMYFUNCTION("""COMPUTED_VALUE"""),"Enterprise")</f>
        <v>Enterprise</v>
      </c>
      <c r="H305" s="265" t="str">
        <f>IFERROR(__xludf.DUMMYFUNCTION("""COMPUTED_VALUE"""),"Trial")</f>
        <v>Trial</v>
      </c>
      <c r="I305" s="265" t="str">
        <f>IFERROR(__xludf.DUMMYFUNCTION("""COMPUTED_VALUE"""),"(Không recheck)")</f>
        <v>(Không recheck)</v>
      </c>
      <c r="J305" s="265" t="str">
        <f>IFERROR(__xludf.DUMMYFUNCTION("""COMPUTED_VALUE"""),"GapOne")</f>
        <v>GapOne</v>
      </c>
      <c r="K305" s="265" t="str">
        <f>IFERROR(__xludf.DUMMYFUNCTION("""COMPUTED_VALUE"""),"(Không recheck)")</f>
        <v>(Không recheck)</v>
      </c>
    </row>
    <row r="306">
      <c r="A306" s="265" t="str">
        <f>IFERROR(__xludf.DUMMYFUNCTION("""COMPUTED_VALUE"""),"611")</f>
        <v>611</v>
      </c>
      <c r="B306" s="265" t="str">
        <f>IFERROR(__xludf.DUMMYFUNCTION("""COMPUTED_VALUE"""),"Hà Nội")</f>
        <v>Hà Nội</v>
      </c>
      <c r="C306" s="265" t="str">
        <f>IFERROR(__xludf.DUMMYFUNCTION("""COMPUTED_VALUE"""),"Active")</f>
        <v>Active</v>
      </c>
      <c r="D306" s="265" t="str">
        <f>IFERROR(__xludf.DUMMYFUNCTION("""COMPUTED_VALUE"""),"Sale chưa cung cấp")</f>
        <v>Sale chưa cung cấp</v>
      </c>
      <c r="E306" s="265" t="str">
        <f>IFERROR(__xludf.DUMMYFUNCTION("""COMPUTED_VALUE"""),"TùngLD")</f>
        <v>TùngLD</v>
      </c>
      <c r="F306" s="265" t="str">
        <f>IFERROR(__xludf.DUMMYFUNCTION("""COMPUTED_VALUE"""),"Silver")</f>
        <v>Silver</v>
      </c>
      <c r="G306" s="265" t="str">
        <f>IFERROR(__xludf.DUMMYFUNCTION("""COMPUTED_VALUE"""),"Enterprise")</f>
        <v>Enterprise</v>
      </c>
      <c r="H306" s="265" t="str">
        <f>IFERROR(__xludf.DUMMYFUNCTION("""COMPUTED_VALUE"""),"Trả trước")</f>
        <v>Trả trước</v>
      </c>
      <c r="I306" s="265" t="str">
        <f>IFERROR(__xludf.DUMMYFUNCTION("""COMPUTED_VALUE"""),"API &amp; Portal")</f>
        <v>API &amp; Portal</v>
      </c>
      <c r="J306" s="265" t="str">
        <f>IFERROR(__xludf.DUMMYFUNCTION("""COMPUTED_VALUE"""),"Zalo ZNS")</f>
        <v>Zalo ZNS</v>
      </c>
      <c r="K306" s="265" t="str">
        <f>IFERROR(__xludf.DUMMYFUNCTION("""COMPUTED_VALUE"""),"YếnĐH")</f>
        <v>YếnĐH</v>
      </c>
    </row>
    <row r="307">
      <c r="A307" s="265" t="str">
        <f>IFERROR(__xludf.DUMMYFUNCTION("""COMPUTED_VALUE"""),"612")</f>
        <v>612</v>
      </c>
      <c r="B307" s="265" t="str">
        <f>IFERROR(__xludf.DUMMYFUNCTION("""COMPUTED_VALUE"""),"Hà Nội")</f>
        <v>Hà Nội</v>
      </c>
      <c r="C307" s="265" t="str">
        <f>IFERROR(__xludf.DUMMYFUNCTION("""COMPUTED_VALUE"""),"Locked")</f>
        <v>Locked</v>
      </c>
      <c r="D307" s="265" t="str">
        <f>IFERROR(__xludf.DUMMYFUNCTION("""COMPUTED_VALUE"""),"Sale chưa cung cấp")</f>
        <v>Sale chưa cung cấp</v>
      </c>
      <c r="E307" s="265" t="str">
        <f>IFERROR(__xludf.DUMMYFUNCTION("""COMPUTED_VALUE"""),"TùngLD")</f>
        <v>TùngLD</v>
      </c>
      <c r="F307" s="265" t="str">
        <f>IFERROR(__xludf.DUMMYFUNCTION("""COMPUTED_VALUE"""),"Sale chưa cung cấp")</f>
        <v>Sale chưa cung cấp</v>
      </c>
      <c r="G307" s="265" t="str">
        <f>IFERROR(__xludf.DUMMYFUNCTION("""COMPUTED_VALUE"""),"API")</f>
        <v>API</v>
      </c>
      <c r="H307" s="265" t="str">
        <f>IFERROR(__xludf.DUMMYFUNCTION("""COMPUTED_VALUE"""),"Trả sau")</f>
        <v>Trả sau</v>
      </c>
      <c r="I307" s="265" t="str">
        <f>IFERROR(__xludf.DUMMYFUNCTION("""COMPUTED_VALUE"""),"API")</f>
        <v>API</v>
      </c>
      <c r="J307" s="265" t="str">
        <f>IFERROR(__xludf.DUMMYFUNCTION("""COMPUTED_VALUE"""),"Zalo ZNS")</f>
        <v>Zalo ZNS</v>
      </c>
      <c r="K307" s="265" t="str">
        <f>IFERROR(__xludf.DUMMYFUNCTION("""COMPUTED_VALUE"""),"DungPL")</f>
        <v>DungPL</v>
      </c>
    </row>
    <row r="308">
      <c r="A308" s="265" t="str">
        <f>IFERROR(__xludf.DUMMYFUNCTION("""COMPUTED_VALUE"""),"610")</f>
        <v>610</v>
      </c>
      <c r="B308" s="265" t="str">
        <f>IFERROR(__xludf.DUMMYFUNCTION("""COMPUTED_VALUE"""),"Hà Nội")</f>
        <v>Hà Nội</v>
      </c>
      <c r="C308" s="265" t="str">
        <f>IFERROR(__xludf.DUMMYFUNCTION("""COMPUTED_VALUE"""),"Locked")</f>
        <v>Locked</v>
      </c>
      <c r="D308" s="265" t="str">
        <f>IFERROR(__xludf.DUMMYFUNCTION("""COMPUTED_VALUE"""),"Sale chưa cung cấp")</f>
        <v>Sale chưa cung cấp</v>
      </c>
      <c r="E308" s="265" t="str">
        <f>IFERROR(__xludf.DUMMYFUNCTION("""COMPUTED_VALUE"""),"TùngLD")</f>
        <v>TùngLD</v>
      </c>
      <c r="F308" s="265" t="str">
        <f>IFERROR(__xludf.DUMMYFUNCTION("""COMPUTED_VALUE"""),"Bronze")</f>
        <v>Bronze</v>
      </c>
      <c r="G308" s="265" t="str">
        <f>IFERROR(__xludf.DUMMYFUNCTION("""COMPUTED_VALUE"""),"Enterprise")</f>
        <v>Enterprise</v>
      </c>
      <c r="H308" s="265" t="str">
        <f>IFERROR(__xludf.DUMMYFUNCTION("""COMPUTED_VALUE"""),"Trả trước")</f>
        <v>Trả trước</v>
      </c>
      <c r="I308" s="265" t="str">
        <f>IFERROR(__xludf.DUMMYFUNCTION("""COMPUTED_VALUE"""),"Portal")</f>
        <v>Portal</v>
      </c>
      <c r="J308" s="265" t="str">
        <f>IFERROR(__xludf.DUMMYFUNCTION("""COMPUTED_VALUE"""),"Zalo ZNS")</f>
        <v>Zalo ZNS</v>
      </c>
      <c r="K308" s="265" t="str">
        <f>IFERROR(__xludf.DUMMYFUNCTION("""COMPUTED_VALUE"""),"(Chưa recheck)")</f>
        <v>(Chưa recheck)</v>
      </c>
    </row>
    <row r="309">
      <c r="A309" s="265" t="str">
        <f>IFERROR(__xludf.DUMMYFUNCTION("""COMPUTED_VALUE"""),"613")</f>
        <v>613</v>
      </c>
      <c r="B309" s="265" t="str">
        <f>IFERROR(__xludf.DUMMYFUNCTION("""COMPUTED_VALUE"""),"Sài Gòn")</f>
        <v>Sài Gòn</v>
      </c>
      <c r="C309" s="265" t="str">
        <f>IFERROR(__xludf.DUMMYFUNCTION("""COMPUTED_VALUE"""),"Locked")</f>
        <v>Locked</v>
      </c>
      <c r="D309" s="265" t="str">
        <f>IFERROR(__xludf.DUMMYFUNCTION("""COMPUTED_VALUE"""),"Sale chưa cung cấp")</f>
        <v>Sale chưa cung cấp</v>
      </c>
      <c r="E309" s="265" t="str">
        <f>IFERROR(__xludf.DUMMYFUNCTION("""COMPUTED_VALUE"""),"HoaNTM")</f>
        <v>HoaNTM</v>
      </c>
      <c r="F309" s="265" t="str">
        <f>IFERROR(__xludf.DUMMYFUNCTION("""COMPUTED_VALUE"""),"Sale chưa cung cấp")</f>
        <v>Sale chưa cung cấp</v>
      </c>
      <c r="G309" s="265" t="str">
        <f>IFERROR(__xludf.DUMMYFUNCTION("""COMPUTED_VALUE"""),"Enterprise")</f>
        <v>Enterprise</v>
      </c>
      <c r="H309" s="265" t="str">
        <f>IFERROR(__xludf.DUMMYFUNCTION("""COMPUTED_VALUE"""),"(Chưa recheck)")</f>
        <v>(Chưa recheck)</v>
      </c>
      <c r="I309" s="265" t="str">
        <f>IFERROR(__xludf.DUMMYFUNCTION("""COMPUTED_VALUE"""),"(Chưa recheck)")</f>
        <v>(Chưa recheck)</v>
      </c>
      <c r="J309" s="265" t="str">
        <f>IFERROR(__xludf.DUMMYFUNCTION("""COMPUTED_VALUE"""),"GapOne")</f>
        <v>GapOne</v>
      </c>
      <c r="K309" s="265" t="str">
        <f>IFERROR(__xludf.DUMMYFUNCTION("""COMPUTED_VALUE"""),"(Chưa recheck)")</f>
        <v>(Chưa recheck)</v>
      </c>
    </row>
    <row r="310">
      <c r="A310" s="265" t="str">
        <f>IFERROR(__xludf.DUMMYFUNCTION("""COMPUTED_VALUE"""),"616")</f>
        <v>616</v>
      </c>
      <c r="B310" s="265" t="str">
        <f>IFERROR(__xludf.DUMMYFUNCTION("""COMPUTED_VALUE"""),"Hà Nội")</f>
        <v>Hà Nội</v>
      </c>
      <c r="C310" s="265" t="str">
        <f>IFERROR(__xludf.DUMMYFUNCTION("""COMPUTED_VALUE"""),"Locked")</f>
        <v>Locked</v>
      </c>
      <c r="D310" s="265" t="str">
        <f>IFERROR(__xludf.DUMMYFUNCTION("""COMPUTED_VALUE"""),"Sale chưa cung cấp")</f>
        <v>Sale chưa cung cấp</v>
      </c>
      <c r="E310" s="265" t="str">
        <f>IFERROR(__xludf.DUMMYFUNCTION("""COMPUTED_VALUE"""),"Không phân công")</f>
        <v>Không phân công</v>
      </c>
      <c r="F310" s="265" t="str">
        <f>IFERROR(__xludf.DUMMYFUNCTION("""COMPUTED_VALUE"""),"Bronze")</f>
        <v>Bronze</v>
      </c>
      <c r="G310" s="265" t="str">
        <f>IFERROR(__xludf.DUMMYFUNCTION("""COMPUTED_VALUE"""),"Enterprise")</f>
        <v>Enterprise</v>
      </c>
      <c r="H310" s="265" t="str">
        <f>IFERROR(__xludf.DUMMYFUNCTION("""COMPUTED_VALUE"""),"Trả sau")</f>
        <v>Trả sau</v>
      </c>
      <c r="I310" s="265" t="str">
        <f>IFERROR(__xludf.DUMMYFUNCTION("""COMPUTED_VALUE"""),"API &amp; Portal")</f>
        <v>API &amp; Portal</v>
      </c>
      <c r="J310" s="265" t="str">
        <f>IFERROR(__xludf.DUMMYFUNCTION("""COMPUTED_VALUE"""),"SMS CSKH")</f>
        <v>SMS CSKH</v>
      </c>
      <c r="K310" s="265" t="str">
        <f>IFERROR(__xludf.DUMMYFUNCTION("""COMPUTED_VALUE"""),"DungPL")</f>
        <v>DungPL</v>
      </c>
    </row>
    <row r="311">
      <c r="A311" s="265" t="str">
        <f>IFERROR(__xludf.DUMMYFUNCTION("""COMPUTED_VALUE"""),"615")</f>
        <v>615</v>
      </c>
      <c r="B311" s="265" t="str">
        <f>IFERROR(__xludf.DUMMYFUNCTION("""COMPUTED_VALUE"""),"Hà Nội")</f>
        <v>Hà Nội</v>
      </c>
      <c r="C311" s="265" t="str">
        <f>IFERROR(__xludf.DUMMYFUNCTION("""COMPUTED_VALUE"""),"Locked")</f>
        <v>Locked</v>
      </c>
      <c r="D311" s="265" t="str">
        <f>IFERROR(__xludf.DUMMYFUNCTION("""COMPUTED_VALUE"""),"Sale chưa cung cấp")</f>
        <v>Sale chưa cung cấp</v>
      </c>
      <c r="E311" s="265" t="str">
        <f>IFERROR(__xludf.DUMMYFUNCTION("""COMPUTED_VALUE"""),"PhươngDTB")</f>
        <v>PhươngDTB</v>
      </c>
      <c r="F311" s="265" t="str">
        <f>IFERROR(__xludf.DUMMYFUNCTION("""COMPUTED_VALUE"""),"Silver")</f>
        <v>Silver</v>
      </c>
      <c r="G311" s="265" t="str">
        <f>IFERROR(__xludf.DUMMYFUNCTION("""COMPUTED_VALUE"""),"Enterprise")</f>
        <v>Enterprise</v>
      </c>
      <c r="H311" s="265" t="str">
        <f>IFERROR(__xludf.DUMMYFUNCTION("""COMPUTED_VALUE"""),"(Chưa recheck)")</f>
        <v>(Chưa recheck)</v>
      </c>
      <c r="I311" s="265" t="str">
        <f>IFERROR(__xludf.DUMMYFUNCTION("""COMPUTED_VALUE"""),"(Chưa recheck)")</f>
        <v>(Chưa recheck)</v>
      </c>
      <c r="J311" s="265" t="str">
        <f>IFERROR(__xludf.DUMMYFUNCTION("""COMPUTED_VALUE"""),"Tất cả")</f>
        <v>Tất cả</v>
      </c>
      <c r="K311" s="265" t="str">
        <f>IFERROR(__xludf.DUMMYFUNCTION("""COMPUTED_VALUE"""),"(Chưa recheck)")</f>
        <v>(Chưa recheck)</v>
      </c>
    </row>
    <row r="312">
      <c r="A312" s="265" t="str">
        <f>IFERROR(__xludf.DUMMYFUNCTION("""COMPUTED_VALUE"""),"617")</f>
        <v>617</v>
      </c>
      <c r="B312" s="265" t="str">
        <f>IFERROR(__xludf.DUMMYFUNCTION("""COMPUTED_VALUE"""),"Sài Gòn")</f>
        <v>Sài Gòn</v>
      </c>
      <c r="C312" s="265" t="str">
        <f>IFERROR(__xludf.DUMMYFUNCTION("""COMPUTED_VALUE"""),"Locked")</f>
        <v>Locked</v>
      </c>
      <c r="D312" s="265" t="str">
        <f>IFERROR(__xludf.DUMMYFUNCTION("""COMPUTED_VALUE"""),"Sale chưa cung cấp")</f>
        <v>Sale chưa cung cấp</v>
      </c>
      <c r="E312" s="265" t="str">
        <f>IFERROR(__xludf.DUMMYFUNCTION("""COMPUTED_VALUE"""),"HoaNTM")</f>
        <v>HoaNTM</v>
      </c>
      <c r="F312" s="265" t="str">
        <f>IFERROR(__xludf.DUMMYFUNCTION("""COMPUTED_VALUE"""),"Diamond")</f>
        <v>Diamond</v>
      </c>
      <c r="G312" s="265" t="str">
        <f>IFERROR(__xludf.DUMMYFUNCTION("""COMPUTED_VALUE"""),"SIMILAR")</f>
        <v>SIMILAR</v>
      </c>
      <c r="H312" s="265" t="str">
        <f>IFERROR(__xludf.DUMMYFUNCTION("""COMPUTED_VALUE"""),"Trả sau")</f>
        <v>Trả sau</v>
      </c>
      <c r="I312" s="265" t="str">
        <f>IFERROR(__xludf.DUMMYFUNCTION("""COMPUTED_VALUE"""),"(Chưa recheck)")</f>
        <v>(Chưa recheck)</v>
      </c>
      <c r="J312" s="265" t="str">
        <f>IFERROR(__xludf.DUMMYFUNCTION("""COMPUTED_VALUE"""),"GapOne")</f>
        <v>GapOne</v>
      </c>
      <c r="K312" s="265" t="str">
        <f>IFERROR(__xludf.DUMMYFUNCTION("""COMPUTED_VALUE"""),"(Chưa recheck)")</f>
        <v>(Chưa recheck)</v>
      </c>
    </row>
    <row r="313">
      <c r="A313" s="265" t="str">
        <f>IFERROR(__xludf.DUMMYFUNCTION("""COMPUTED_VALUE"""),"608")</f>
        <v>608</v>
      </c>
      <c r="B313" s="265" t="str">
        <f>IFERROR(__xludf.DUMMYFUNCTION("""COMPUTED_VALUE"""),"Hà Nội")</f>
        <v>Hà Nội</v>
      </c>
      <c r="C313" s="265" t="str">
        <f>IFERROR(__xludf.DUMMYFUNCTION("""COMPUTED_VALUE"""),"Locked")</f>
        <v>Locked</v>
      </c>
      <c r="D313" s="265" t="str">
        <f>IFERROR(__xludf.DUMMYFUNCTION("""COMPUTED_VALUE"""),"Sale chưa cung cấp")</f>
        <v>Sale chưa cung cấp</v>
      </c>
      <c r="E313" s="265" t="str">
        <f>IFERROR(__xludf.DUMMYFUNCTION("""COMPUTED_VALUE"""),"TùngLD")</f>
        <v>TùngLD</v>
      </c>
      <c r="F313" s="265" t="str">
        <f>IFERROR(__xludf.DUMMYFUNCTION("""COMPUTED_VALUE"""),"Sale chưa cung cấp")</f>
        <v>Sale chưa cung cấp</v>
      </c>
      <c r="G313" s="265" t="str">
        <f>IFERROR(__xludf.DUMMYFUNCTION("""COMPUTED_VALUE"""),"API")</f>
        <v>API</v>
      </c>
      <c r="H313" s="265" t="str">
        <f>IFERROR(__xludf.DUMMYFUNCTION("""COMPUTED_VALUE"""),"Trial")</f>
        <v>Trial</v>
      </c>
      <c r="I313" s="265" t="str">
        <f>IFERROR(__xludf.DUMMYFUNCTION("""COMPUTED_VALUE"""),"API")</f>
        <v>API</v>
      </c>
      <c r="J313" s="265" t="str">
        <f>IFERROR(__xludf.DUMMYFUNCTION("""COMPUTED_VALUE"""),"(Không recheck)")</f>
        <v>(Không recheck)</v>
      </c>
      <c r="K313" s="265" t="str">
        <f>IFERROR(__xludf.DUMMYFUNCTION("""COMPUTED_VALUE"""),"(Không recheck)")</f>
        <v>(Không recheck)</v>
      </c>
    </row>
    <row r="314">
      <c r="A314" s="265" t="str">
        <f>IFERROR(__xludf.DUMMYFUNCTION("""COMPUTED_VALUE"""),"618")</f>
        <v>618</v>
      </c>
      <c r="B314" s="265" t="str">
        <f>IFERROR(__xludf.DUMMYFUNCTION("""COMPUTED_VALUE"""),"Hà Nội")</f>
        <v>Hà Nội</v>
      </c>
      <c r="C314" s="265" t="str">
        <f>IFERROR(__xludf.DUMMYFUNCTION("""COMPUTED_VALUE"""),"Active")</f>
        <v>Active</v>
      </c>
      <c r="D314" s="265" t="str">
        <f>IFERROR(__xludf.DUMMYFUNCTION("""COMPUTED_VALUE"""),"Sale chưa cung cấp")</f>
        <v>Sale chưa cung cấp</v>
      </c>
      <c r="E314" s="265" t="str">
        <f>IFERROR(__xludf.DUMMYFUNCTION("""COMPUTED_VALUE"""),"TúPHN")</f>
        <v>TúPHN</v>
      </c>
      <c r="F314" s="265" t="str">
        <f>IFERROR(__xludf.DUMMYFUNCTION("""COMPUTED_VALUE"""),"Gold")</f>
        <v>Gold</v>
      </c>
      <c r="G314" s="265" t="str">
        <f>IFERROR(__xludf.DUMMYFUNCTION("""COMPUTED_VALUE"""),"Premium")</f>
        <v>Premium</v>
      </c>
      <c r="H314" s="265" t="str">
        <f>IFERROR(__xludf.DUMMYFUNCTION("""COMPUTED_VALUE"""),"Trả sau")</f>
        <v>Trả sau</v>
      </c>
      <c r="I314" s="265" t="str">
        <f>IFERROR(__xludf.DUMMYFUNCTION("""COMPUTED_VALUE"""),"Portal")</f>
        <v>Portal</v>
      </c>
      <c r="J314" s="265" t="str">
        <f>IFERROR(__xludf.DUMMYFUNCTION("""COMPUTED_VALUE"""),"SMS CSKH")</f>
        <v>SMS CSKH</v>
      </c>
      <c r="K314" s="265" t="str">
        <f>IFERROR(__xludf.DUMMYFUNCTION("""COMPUTED_VALUE"""),"DungPL")</f>
        <v>DungPL</v>
      </c>
    </row>
    <row r="315">
      <c r="A315" s="265" t="str">
        <f>IFERROR(__xludf.DUMMYFUNCTION("""COMPUTED_VALUE"""),"618")</f>
        <v>618</v>
      </c>
      <c r="B315" s="265" t="str">
        <f>IFERROR(__xludf.DUMMYFUNCTION("""COMPUTED_VALUE"""),"Hà Nội")</f>
        <v>Hà Nội</v>
      </c>
      <c r="C315" s="265" t="str">
        <f>IFERROR(__xludf.DUMMYFUNCTION("""COMPUTED_VALUE"""),"Active")</f>
        <v>Active</v>
      </c>
      <c r="D315" s="265" t="str">
        <f>IFERROR(__xludf.DUMMYFUNCTION("""COMPUTED_VALUE"""),"Sale chưa cung cấp")</f>
        <v>Sale chưa cung cấp</v>
      </c>
      <c r="E315" s="265" t="str">
        <f>IFERROR(__xludf.DUMMYFUNCTION("""COMPUTED_VALUE"""),"TúPHN")</f>
        <v>TúPHN</v>
      </c>
      <c r="F315" s="265" t="str">
        <f>IFERROR(__xludf.DUMMYFUNCTION("""COMPUTED_VALUE"""),"Gold")</f>
        <v>Gold</v>
      </c>
      <c r="G315" s="265" t="str">
        <f>IFERROR(__xludf.DUMMYFUNCTION("""COMPUTED_VALUE"""),"Premium")</f>
        <v>Premium</v>
      </c>
      <c r="H315" s="265" t="str">
        <f>IFERROR(__xludf.DUMMYFUNCTION("""COMPUTED_VALUE"""),"Trả sau")</f>
        <v>Trả sau</v>
      </c>
      <c r="I315" s="265" t="str">
        <f>IFERROR(__xludf.DUMMYFUNCTION("""COMPUTED_VALUE"""),"Portal")</f>
        <v>Portal</v>
      </c>
      <c r="J315" s="265" t="str">
        <f>IFERROR(__xludf.DUMMYFUNCTION("""COMPUTED_VALUE"""),"Zalo ZNS")</f>
        <v>Zalo ZNS</v>
      </c>
      <c r="K315" s="265" t="str">
        <f>IFERROR(__xludf.DUMMYFUNCTION("""COMPUTED_VALUE"""),"DungPL")</f>
        <v>DungPL</v>
      </c>
    </row>
    <row r="316">
      <c r="A316" s="265" t="str">
        <f>IFERROR(__xludf.DUMMYFUNCTION("""COMPUTED_VALUE"""),"619")</f>
        <v>619</v>
      </c>
      <c r="B316" s="265" t="str">
        <f>IFERROR(__xludf.DUMMYFUNCTION("""COMPUTED_VALUE"""),"Sài Gòn")</f>
        <v>Sài Gòn</v>
      </c>
      <c r="C316" s="265" t="str">
        <f>IFERROR(__xludf.DUMMYFUNCTION("""COMPUTED_VALUE"""),"Locked")</f>
        <v>Locked</v>
      </c>
      <c r="D316" s="265" t="str">
        <f>IFERROR(__xludf.DUMMYFUNCTION("""COMPUTED_VALUE"""),"Sale chưa cung cấp")</f>
        <v>Sale chưa cung cấp</v>
      </c>
      <c r="E316" s="265" t="str">
        <f>IFERROR(__xludf.DUMMYFUNCTION("""COMPUTED_VALUE"""),"HoaNTM")</f>
        <v>HoaNTM</v>
      </c>
      <c r="F316" s="265" t="str">
        <f>IFERROR(__xludf.DUMMYFUNCTION("""COMPUTED_VALUE"""),"Sale chưa cung cấp")</f>
        <v>Sale chưa cung cấp</v>
      </c>
      <c r="G316" s="265" t="str">
        <f>IFERROR(__xludf.DUMMYFUNCTION("""COMPUTED_VALUE"""),"MSG")</f>
        <v>MSG</v>
      </c>
      <c r="H316" s="265" t="str">
        <f>IFERROR(__xludf.DUMMYFUNCTION("""COMPUTED_VALUE"""),"(Chưa recheck)")</f>
        <v>(Chưa recheck)</v>
      </c>
      <c r="I316" s="265" t="str">
        <f>IFERROR(__xludf.DUMMYFUNCTION("""COMPUTED_VALUE"""),"(Chưa recheck)")</f>
        <v>(Chưa recheck)</v>
      </c>
      <c r="J316" s="265" t="str">
        <f>IFERROR(__xludf.DUMMYFUNCTION("""COMPUTED_VALUE"""),"GapOne")</f>
        <v>GapOne</v>
      </c>
      <c r="K316" s="265" t="str">
        <f>IFERROR(__xludf.DUMMYFUNCTION("""COMPUTED_VALUE"""),"(Chưa recheck)")</f>
        <v>(Chưa recheck)</v>
      </c>
    </row>
    <row r="317">
      <c r="A317" s="265" t="str">
        <f>IFERROR(__xludf.DUMMYFUNCTION("""COMPUTED_VALUE"""),"621")</f>
        <v>621</v>
      </c>
      <c r="B317" s="265" t="str">
        <f>IFERROR(__xludf.DUMMYFUNCTION("""COMPUTED_VALUE"""),"Sài Gòn")</f>
        <v>Sài Gòn</v>
      </c>
      <c r="C317" s="265" t="str">
        <f>IFERROR(__xludf.DUMMYFUNCTION("""COMPUTED_VALUE"""),"Active")</f>
        <v>Active</v>
      </c>
      <c r="D317" s="265" t="str">
        <f>IFERROR(__xludf.DUMMYFUNCTION("""COMPUTED_VALUE"""),"Sale chưa cung cấp")</f>
        <v>Sale chưa cung cấp</v>
      </c>
      <c r="E317" s="265" t="str">
        <f>IFERROR(__xludf.DUMMYFUNCTION("""COMPUTED_VALUE"""),"TúPHN")</f>
        <v>TúPHN</v>
      </c>
      <c r="F317" s="265" t="str">
        <f>IFERROR(__xludf.DUMMYFUNCTION("""COMPUTED_VALUE"""),"Bronze")</f>
        <v>Bronze</v>
      </c>
      <c r="G317" s="265" t="str">
        <f>IFERROR(__xludf.DUMMYFUNCTION("""COMPUTED_VALUE"""),"Enterprise")</f>
        <v>Enterprise</v>
      </c>
      <c r="H317" s="265" t="str">
        <f>IFERROR(__xludf.DUMMYFUNCTION("""COMPUTED_VALUE"""),"Trả trước")</f>
        <v>Trả trước</v>
      </c>
      <c r="I317" s="265" t="str">
        <f>IFERROR(__xludf.DUMMYFUNCTION("""COMPUTED_VALUE"""),"Portal")</f>
        <v>Portal</v>
      </c>
      <c r="J317" s="265" t="str">
        <f>IFERROR(__xludf.DUMMYFUNCTION("""COMPUTED_VALUE"""),"Zalo ZNS")</f>
        <v>Zalo ZNS</v>
      </c>
      <c r="K317" s="265" t="str">
        <f>IFERROR(__xludf.DUMMYFUNCTION("""COMPUTED_VALUE"""),"DungPL")</f>
        <v>DungPL</v>
      </c>
    </row>
    <row r="318">
      <c r="A318" s="265" t="str">
        <f>IFERROR(__xludf.DUMMYFUNCTION("""COMPUTED_VALUE"""),"622")</f>
        <v>622</v>
      </c>
      <c r="B318" s="265" t="str">
        <f>IFERROR(__xludf.DUMMYFUNCTION("""COMPUTED_VALUE"""),"Hà Nội")</f>
        <v>Hà Nội</v>
      </c>
      <c r="C318" s="265" t="str">
        <f>IFERROR(__xludf.DUMMYFUNCTION("""COMPUTED_VALUE"""),"Locked")</f>
        <v>Locked</v>
      </c>
      <c r="D318" s="265" t="str">
        <f>IFERROR(__xludf.DUMMYFUNCTION("""COMPUTED_VALUE"""),"Sale chưa cung cấp")</f>
        <v>Sale chưa cung cấp</v>
      </c>
      <c r="E318" s="265" t="str">
        <f>IFERROR(__xludf.DUMMYFUNCTION("""COMPUTED_VALUE"""),"AnhNP")</f>
        <v>AnhNP</v>
      </c>
      <c r="F318" s="265" t="str">
        <f>IFERROR(__xludf.DUMMYFUNCTION("""COMPUTED_VALUE"""),"Sale chưa cung cấp")</f>
        <v>Sale chưa cung cấp</v>
      </c>
      <c r="G318" s="265" t="str">
        <f>IFERROR(__xludf.DUMMYFUNCTION("""COMPUTED_VALUE"""),"MSG")</f>
        <v>MSG</v>
      </c>
      <c r="H318" s="265" t="str">
        <f>IFERROR(__xludf.DUMMYFUNCTION("""COMPUTED_VALUE"""),"(Chưa recheck)")</f>
        <v>(Chưa recheck)</v>
      </c>
      <c r="I318" s="265" t="str">
        <f>IFERROR(__xludf.DUMMYFUNCTION("""COMPUTED_VALUE"""),"Portal")</f>
        <v>Portal</v>
      </c>
      <c r="J318" s="265" t="str">
        <f>IFERROR(__xludf.DUMMYFUNCTION("""COMPUTED_VALUE"""),"SMS CSKH")</f>
        <v>SMS CSKH</v>
      </c>
      <c r="K318" s="265" t="str">
        <f>IFERROR(__xludf.DUMMYFUNCTION("""COMPUTED_VALUE"""),"(Chưa recheck)")</f>
        <v>(Chưa recheck)</v>
      </c>
    </row>
    <row r="319">
      <c r="A319" s="265" t="str">
        <f>IFERROR(__xludf.DUMMYFUNCTION("""COMPUTED_VALUE"""),"620")</f>
        <v>620</v>
      </c>
      <c r="B319" s="265" t="str">
        <f>IFERROR(__xludf.DUMMYFUNCTION("""COMPUTED_VALUE"""),"Hà Nội")</f>
        <v>Hà Nội</v>
      </c>
      <c r="C319" s="265" t="str">
        <f>IFERROR(__xludf.DUMMYFUNCTION("""COMPUTED_VALUE"""),"Locked")</f>
        <v>Locked</v>
      </c>
      <c r="D319" s="265" t="str">
        <f>IFERROR(__xludf.DUMMYFUNCTION("""COMPUTED_VALUE"""),"Sale chưa cung cấp")</f>
        <v>Sale chưa cung cấp</v>
      </c>
      <c r="E319" s="265" t="str">
        <f>IFERROR(__xludf.DUMMYFUNCTION("""COMPUTED_VALUE"""),"TùngLD")</f>
        <v>TùngLD</v>
      </c>
      <c r="F319" s="265" t="str">
        <f>IFERROR(__xludf.DUMMYFUNCTION("""COMPUTED_VALUE"""),"Sale chưa cung cấp")</f>
        <v>Sale chưa cung cấp</v>
      </c>
      <c r="G319" s="265" t="str">
        <f>IFERROR(__xludf.DUMMYFUNCTION("""COMPUTED_VALUE"""),"SIMILAR")</f>
        <v>SIMILAR</v>
      </c>
      <c r="H319" s="265" t="str">
        <f>IFERROR(__xludf.DUMMYFUNCTION("""COMPUTED_VALUE"""),"(Chưa recheck)")</f>
        <v>(Chưa recheck)</v>
      </c>
      <c r="I319" s="265" t="str">
        <f>IFERROR(__xludf.DUMMYFUNCTION("""COMPUTED_VALUE"""),"Portal")</f>
        <v>Portal</v>
      </c>
      <c r="J319" s="265" t="str">
        <f>IFERROR(__xludf.DUMMYFUNCTION("""COMPUTED_VALUE"""),"Zalo ZNS")</f>
        <v>Zalo ZNS</v>
      </c>
      <c r="K319" s="265" t="str">
        <f>IFERROR(__xludf.DUMMYFUNCTION("""COMPUTED_VALUE"""),"(Chưa recheck)")</f>
        <v>(Chưa recheck)</v>
      </c>
    </row>
    <row r="320">
      <c r="A320" s="265" t="str">
        <f>IFERROR(__xludf.DUMMYFUNCTION("""COMPUTED_VALUE"""),"623")</f>
        <v>623</v>
      </c>
      <c r="B320" s="265" t="str">
        <f>IFERROR(__xludf.DUMMYFUNCTION("""COMPUTED_VALUE"""),"Sài Gòn")</f>
        <v>Sài Gòn</v>
      </c>
      <c r="C320" s="265" t="str">
        <f>IFERROR(__xludf.DUMMYFUNCTION("""COMPUTED_VALUE"""),"Locked")</f>
        <v>Locked</v>
      </c>
      <c r="D320" s="265" t="str">
        <f>IFERROR(__xludf.DUMMYFUNCTION("""COMPUTED_VALUE"""),"Sale chưa cung cấp")</f>
        <v>Sale chưa cung cấp</v>
      </c>
      <c r="E320" s="265" t="str">
        <f>IFERROR(__xludf.DUMMYFUNCTION("""COMPUTED_VALUE"""),"HoaNTM")</f>
        <v>HoaNTM</v>
      </c>
      <c r="F320" s="265" t="str">
        <f>IFERROR(__xludf.DUMMYFUNCTION("""COMPUTED_VALUE"""),"Sale chưa cung cấp")</f>
        <v>Sale chưa cung cấp</v>
      </c>
      <c r="G320" s="265" t="str">
        <f>IFERROR(__xludf.DUMMYFUNCTION("""COMPUTED_VALUE"""),"MSG")</f>
        <v>MSG</v>
      </c>
      <c r="H320" s="265" t="str">
        <f>IFERROR(__xludf.DUMMYFUNCTION("""COMPUTED_VALUE"""),"Trả sau")</f>
        <v>Trả sau</v>
      </c>
      <c r="I320" s="265" t="str">
        <f>IFERROR(__xludf.DUMMYFUNCTION("""COMPUTED_VALUE"""),"(Chưa recheck)")</f>
        <v>(Chưa recheck)</v>
      </c>
      <c r="J320" s="265" t="str">
        <f>IFERROR(__xludf.DUMMYFUNCTION("""COMPUTED_VALUE"""),"SMS CSKH")</f>
        <v>SMS CSKH</v>
      </c>
      <c r="K320" s="265" t="str">
        <f>IFERROR(__xludf.DUMMYFUNCTION("""COMPUTED_VALUE"""),"LinhNTT1")</f>
        <v>LinhNTT1</v>
      </c>
    </row>
    <row r="321">
      <c r="A321" s="265" t="str">
        <f>IFERROR(__xludf.DUMMYFUNCTION("""COMPUTED_VALUE"""),"624")</f>
        <v>624</v>
      </c>
      <c r="B321" s="265" t="str">
        <f>IFERROR(__xludf.DUMMYFUNCTION("""COMPUTED_VALUE"""),"Sài Gòn")</f>
        <v>Sài Gòn</v>
      </c>
      <c r="C321" s="265" t="str">
        <f>IFERROR(__xludf.DUMMYFUNCTION("""COMPUTED_VALUE"""),"Locked")</f>
        <v>Locked</v>
      </c>
      <c r="D321" s="265" t="str">
        <f>IFERROR(__xludf.DUMMYFUNCTION("""COMPUTED_VALUE"""),"Sale chưa cung cấp")</f>
        <v>Sale chưa cung cấp</v>
      </c>
      <c r="E321" s="265" t="str">
        <f>IFERROR(__xludf.DUMMYFUNCTION("""COMPUTED_VALUE"""),"TuVTC")</f>
        <v>TuVTC</v>
      </c>
      <c r="F321" s="265" t="str">
        <f>IFERROR(__xludf.DUMMYFUNCTION("""COMPUTED_VALUE"""),"Sale chưa cung cấp")</f>
        <v>Sale chưa cung cấp</v>
      </c>
      <c r="G321" s="265" t="str">
        <f>IFERROR(__xludf.DUMMYFUNCTION("""COMPUTED_VALUE"""),"MSG")</f>
        <v>MSG</v>
      </c>
      <c r="H321" s="265" t="str">
        <f>IFERROR(__xludf.DUMMYFUNCTION("""COMPUTED_VALUE"""),"(Chưa recheck)")</f>
        <v>(Chưa recheck)</v>
      </c>
      <c r="I321" s="265" t="str">
        <f>IFERROR(__xludf.DUMMYFUNCTION("""COMPUTED_VALUE"""),"(Chưa recheck)")</f>
        <v>(Chưa recheck)</v>
      </c>
      <c r="J321" s="265" t="str">
        <f>IFERROR(__xludf.DUMMYFUNCTION("""COMPUTED_VALUE"""),"SMS CSKH")</f>
        <v>SMS CSKH</v>
      </c>
      <c r="K321" s="265" t="str">
        <f>IFERROR(__xludf.DUMMYFUNCTION("""COMPUTED_VALUE"""),"TuVTC")</f>
        <v>TuVTC</v>
      </c>
    </row>
    <row r="322">
      <c r="A322" s="265" t="str">
        <f>IFERROR(__xludf.DUMMYFUNCTION("""COMPUTED_VALUE"""),"625")</f>
        <v>625</v>
      </c>
      <c r="B322" s="265" t="str">
        <f>IFERROR(__xludf.DUMMYFUNCTION("""COMPUTED_VALUE"""),"Sài Gòn")</f>
        <v>Sài Gòn</v>
      </c>
      <c r="C322" s="265" t="str">
        <f>IFERROR(__xludf.DUMMYFUNCTION("""COMPUTED_VALUE"""),"Active")</f>
        <v>Active</v>
      </c>
      <c r="D322" s="265" t="str">
        <f>IFERROR(__xludf.DUMMYFUNCTION("""COMPUTED_VALUE"""),"Sale chưa cung cấp")</f>
        <v>Sale chưa cung cấp</v>
      </c>
      <c r="E322" s="265" t="str">
        <f>IFERROR(__xludf.DUMMYFUNCTION("""COMPUTED_VALUE"""),"TúPHN")</f>
        <v>TúPHN</v>
      </c>
      <c r="F322" s="265" t="str">
        <f>IFERROR(__xludf.DUMMYFUNCTION("""COMPUTED_VALUE"""),"Gold")</f>
        <v>Gold</v>
      </c>
      <c r="G322" s="265" t="str">
        <f>IFERROR(__xludf.DUMMYFUNCTION("""COMPUTED_VALUE"""),"GAPONE HUBSPOT")</f>
        <v>GAPONE HUBSPOT</v>
      </c>
      <c r="H322" s="265" t="str">
        <f>IFERROR(__xludf.DUMMYFUNCTION("""COMPUTED_VALUE"""),"Trả sau")</f>
        <v>Trả sau</v>
      </c>
      <c r="I322" s="265" t="str">
        <f>IFERROR(__xludf.DUMMYFUNCTION("""COMPUTED_VALUE"""),"API")</f>
        <v>API</v>
      </c>
      <c r="J322" s="265" t="str">
        <f>IFERROR(__xludf.DUMMYFUNCTION("""COMPUTED_VALUE"""),"Tất cả")</f>
        <v>Tất cả</v>
      </c>
      <c r="K322" s="265" t="str">
        <f>IFERROR(__xludf.DUMMYFUNCTION("""COMPUTED_VALUE"""),"DungPL")</f>
        <v>DungPL</v>
      </c>
    </row>
    <row r="323">
      <c r="A323" s="265" t="str">
        <f>IFERROR(__xludf.DUMMYFUNCTION("""COMPUTED_VALUE"""),"626")</f>
        <v>626</v>
      </c>
      <c r="B323" s="265" t="str">
        <f>IFERROR(__xludf.DUMMYFUNCTION("""COMPUTED_VALUE"""),"Hà Nội")</f>
        <v>Hà Nội</v>
      </c>
      <c r="C323" s="265" t="str">
        <f>IFERROR(__xludf.DUMMYFUNCTION("""COMPUTED_VALUE"""),"Locked")</f>
        <v>Locked</v>
      </c>
      <c r="D323" s="265" t="str">
        <f>IFERROR(__xludf.DUMMYFUNCTION("""COMPUTED_VALUE"""),"Sale chưa cung cấp")</f>
        <v>Sale chưa cung cấp</v>
      </c>
      <c r="E323" s="265" t="str">
        <f>IFERROR(__xludf.DUMMYFUNCTION("""COMPUTED_VALUE"""),"TùngLD")</f>
        <v>TùngLD</v>
      </c>
      <c r="F323" s="265" t="str">
        <f>IFERROR(__xludf.DUMMYFUNCTION("""COMPUTED_VALUE"""),"Sale chưa cung cấp")</f>
        <v>Sale chưa cung cấp</v>
      </c>
      <c r="G323" s="265" t="str">
        <f>IFERROR(__xludf.DUMMYFUNCTION("""COMPUTED_VALUE"""),"Enterprise")</f>
        <v>Enterprise</v>
      </c>
      <c r="H323" s="265" t="str">
        <f>IFERROR(__xludf.DUMMYFUNCTION("""COMPUTED_VALUE"""),"Trial")</f>
        <v>Trial</v>
      </c>
      <c r="I323" s="265" t="str">
        <f>IFERROR(__xludf.DUMMYFUNCTION("""COMPUTED_VALUE"""),"Portal")</f>
        <v>Portal</v>
      </c>
      <c r="J323" s="265" t="str">
        <f>IFERROR(__xludf.DUMMYFUNCTION("""COMPUTED_VALUE"""),"(Không recheck)")</f>
        <v>(Không recheck)</v>
      </c>
      <c r="K323" s="265" t="str">
        <f>IFERROR(__xludf.DUMMYFUNCTION("""COMPUTED_VALUE"""),"(Không recheck)")</f>
        <v>(Không recheck)</v>
      </c>
    </row>
    <row r="324">
      <c r="A324" s="265" t="str">
        <f>IFERROR(__xludf.DUMMYFUNCTION("""COMPUTED_VALUE"""),"627")</f>
        <v>627</v>
      </c>
      <c r="B324" s="265" t="str">
        <f>IFERROR(__xludf.DUMMYFUNCTION("""COMPUTED_VALUE"""),"Sài Gòn")</f>
        <v>Sài Gòn</v>
      </c>
      <c r="C324" s="265" t="str">
        <f>IFERROR(__xludf.DUMMYFUNCTION("""COMPUTED_VALUE"""),"Active")</f>
        <v>Active</v>
      </c>
      <c r="D324" s="265" t="str">
        <f>IFERROR(__xludf.DUMMYFUNCTION("""COMPUTED_VALUE"""),"Sale chưa cung cấp")</f>
        <v>Sale chưa cung cấp</v>
      </c>
      <c r="E324" s="265" t="str">
        <f>IFERROR(__xludf.DUMMYFUNCTION("""COMPUTED_VALUE"""),"TùngLD")</f>
        <v>TùngLD</v>
      </c>
      <c r="F324" s="265" t="str">
        <f>IFERROR(__xludf.DUMMYFUNCTION("""COMPUTED_VALUE"""),"Bronze")</f>
        <v>Bronze</v>
      </c>
      <c r="G324" s="265" t="str">
        <f>IFERROR(__xludf.DUMMYFUNCTION("""COMPUTED_VALUE"""),"Starter")</f>
        <v>Starter</v>
      </c>
      <c r="H324" s="265" t="str">
        <f>IFERROR(__xludf.DUMMYFUNCTION("""COMPUTED_VALUE"""),"Trả sau")</f>
        <v>Trả sau</v>
      </c>
      <c r="I324" s="265" t="str">
        <f>IFERROR(__xludf.DUMMYFUNCTION("""COMPUTED_VALUE"""),"API &amp; Portal")</f>
        <v>API &amp; Portal</v>
      </c>
      <c r="J324" s="265" t="str">
        <f>IFERROR(__xludf.DUMMYFUNCTION("""COMPUTED_VALUE"""),"Zalo ZNS")</f>
        <v>Zalo ZNS</v>
      </c>
      <c r="K324" s="265" t="str">
        <f>IFERROR(__xludf.DUMMYFUNCTION("""COMPUTED_VALUE"""),"LinhNTT1")</f>
        <v>LinhNTT1</v>
      </c>
    </row>
    <row r="325">
      <c r="A325" s="265" t="str">
        <f>IFERROR(__xludf.DUMMYFUNCTION("""COMPUTED_VALUE"""),"628")</f>
        <v>628</v>
      </c>
      <c r="B325" s="265" t="str">
        <f>IFERROR(__xludf.DUMMYFUNCTION("""COMPUTED_VALUE"""),"Hà Nội")</f>
        <v>Hà Nội</v>
      </c>
      <c r="C325" s="265" t="str">
        <f>IFERROR(__xludf.DUMMYFUNCTION("""COMPUTED_VALUE"""),"Locked")</f>
        <v>Locked</v>
      </c>
      <c r="D325" s="265" t="str">
        <f>IFERROR(__xludf.DUMMYFUNCTION("""COMPUTED_VALUE"""),"Bảo hiểm")</f>
        <v>Bảo hiểm</v>
      </c>
      <c r="E325" s="265" t="str">
        <f>IFERROR(__xludf.DUMMYFUNCTION("""COMPUTED_VALUE"""),"TùngLD")</f>
        <v>TùngLD</v>
      </c>
      <c r="F325" s="265" t="str">
        <f>IFERROR(__xludf.DUMMYFUNCTION("""COMPUTED_VALUE"""),"Diamond")</f>
        <v>Diamond</v>
      </c>
      <c r="G325" s="265" t="str">
        <f>IFERROR(__xludf.DUMMYFUNCTION("""COMPUTED_VALUE"""),"Starter")</f>
        <v>Starter</v>
      </c>
      <c r="H325" s="265" t="str">
        <f>IFERROR(__xludf.DUMMYFUNCTION("""COMPUTED_VALUE"""),"Trả sau")</f>
        <v>Trả sau</v>
      </c>
      <c r="I325" s="265" t="str">
        <f>IFERROR(__xludf.DUMMYFUNCTION("""COMPUTED_VALUE"""),"API")</f>
        <v>API</v>
      </c>
      <c r="J325" s="265" t="str">
        <f>IFERROR(__xludf.DUMMYFUNCTION("""COMPUTED_VALUE"""),"SMS CSKH")</f>
        <v>SMS CSKH</v>
      </c>
      <c r="K325" s="265" t="str">
        <f>IFERROR(__xludf.DUMMYFUNCTION("""COMPUTED_VALUE"""),"DungPL")</f>
        <v>DungPL</v>
      </c>
    </row>
    <row r="326">
      <c r="A326" s="265" t="str">
        <f>IFERROR(__xludf.DUMMYFUNCTION("""COMPUTED_VALUE"""),"628")</f>
        <v>628</v>
      </c>
      <c r="B326" s="265" t="str">
        <f>IFERROR(__xludf.DUMMYFUNCTION("""COMPUTED_VALUE"""),"Hà Nội")</f>
        <v>Hà Nội</v>
      </c>
      <c r="C326" s="265" t="str">
        <f>IFERROR(__xludf.DUMMYFUNCTION("""COMPUTED_VALUE"""),"Locked")</f>
        <v>Locked</v>
      </c>
      <c r="D326" s="265" t="str">
        <f>IFERROR(__xludf.DUMMYFUNCTION("""COMPUTED_VALUE"""),"Bảo hiểm")</f>
        <v>Bảo hiểm</v>
      </c>
      <c r="E326" s="265" t="str">
        <f>IFERROR(__xludf.DUMMYFUNCTION("""COMPUTED_VALUE"""),"TùngLD")</f>
        <v>TùngLD</v>
      </c>
      <c r="F326" s="265" t="str">
        <f>IFERROR(__xludf.DUMMYFUNCTION("""COMPUTED_VALUE"""),"Diamond")</f>
        <v>Diamond</v>
      </c>
      <c r="G326" s="265" t="str">
        <f>IFERROR(__xludf.DUMMYFUNCTION("""COMPUTED_VALUE"""),"Starter")</f>
        <v>Starter</v>
      </c>
      <c r="H326" s="265" t="str">
        <f>IFERROR(__xludf.DUMMYFUNCTION("""COMPUTED_VALUE"""),"Trả sau")</f>
        <v>Trả sau</v>
      </c>
      <c r="I326" s="265" t="str">
        <f>IFERROR(__xludf.DUMMYFUNCTION("""COMPUTED_VALUE"""),"API")</f>
        <v>API</v>
      </c>
      <c r="J326" s="265" t="str">
        <f>IFERROR(__xludf.DUMMYFUNCTION("""COMPUTED_VALUE"""),"Zalo ZNS")</f>
        <v>Zalo ZNS</v>
      </c>
      <c r="K326" s="265" t="str">
        <f>IFERROR(__xludf.DUMMYFUNCTION("""COMPUTED_VALUE"""),"DungPL")</f>
        <v>DungPL</v>
      </c>
    </row>
    <row r="327">
      <c r="A327" s="265" t="str">
        <f>IFERROR(__xludf.DUMMYFUNCTION("""COMPUTED_VALUE"""),"349")</f>
        <v>349</v>
      </c>
      <c r="B327" s="265" t="str">
        <f>IFERROR(__xludf.DUMMYFUNCTION("""COMPUTED_VALUE"""),"Hà Nội")</f>
        <v>Hà Nội</v>
      </c>
      <c r="C327" s="265" t="str">
        <f>IFERROR(__xludf.DUMMYFUNCTION("""COMPUTED_VALUE"""),"Locked")</f>
        <v>Locked</v>
      </c>
      <c r="D327" s="265" t="str">
        <f>IFERROR(__xludf.DUMMYFUNCTION("""COMPUTED_VALUE"""),"Sale chưa cung cấp")</f>
        <v>Sale chưa cung cấp</v>
      </c>
      <c r="E327" s="265" t="str">
        <f>IFERROR(__xludf.DUMMYFUNCTION("""COMPUTED_VALUE"""),"TúPHN")</f>
        <v>TúPHN</v>
      </c>
      <c r="F327" s="265" t="str">
        <f>IFERROR(__xludf.DUMMYFUNCTION("""COMPUTED_VALUE"""),"Bronze")</f>
        <v>Bronze</v>
      </c>
      <c r="G327" s="265" t="str">
        <f>IFERROR(__xludf.DUMMYFUNCTION("""COMPUTED_VALUE"""),"Starter")</f>
        <v>Starter</v>
      </c>
      <c r="H327" s="265" t="str">
        <f>IFERROR(__xludf.DUMMYFUNCTION("""COMPUTED_VALUE"""),"Trả trước")</f>
        <v>Trả trước</v>
      </c>
      <c r="I327" s="265" t="str">
        <f>IFERROR(__xludf.DUMMYFUNCTION("""COMPUTED_VALUE"""),"Portal")</f>
        <v>Portal</v>
      </c>
      <c r="J327" s="265" t="str">
        <f>IFERROR(__xludf.DUMMYFUNCTION("""COMPUTED_VALUE"""),"Email")</f>
        <v>Email</v>
      </c>
      <c r="K327" s="265" t="str">
        <f>IFERROR(__xludf.DUMMYFUNCTION("""COMPUTED_VALUE"""),"Không phân công")</f>
        <v>Không phân công</v>
      </c>
    </row>
    <row r="328">
      <c r="A328" s="265" t="str">
        <f>IFERROR(__xludf.DUMMYFUNCTION("""COMPUTED_VALUE"""),"629")</f>
        <v>629</v>
      </c>
      <c r="B328" s="265" t="str">
        <f>IFERROR(__xludf.DUMMYFUNCTION("""COMPUTED_VALUE"""),"Hà Nội")</f>
        <v>Hà Nội</v>
      </c>
      <c r="C328" s="265" t="str">
        <f>IFERROR(__xludf.DUMMYFUNCTION("""COMPUTED_VALUE"""),"Active")</f>
        <v>Active</v>
      </c>
      <c r="D328" s="265" t="str">
        <f>IFERROR(__xludf.DUMMYFUNCTION("""COMPUTED_VALUE"""),"Sale chưa cung cấp")</f>
        <v>Sale chưa cung cấp</v>
      </c>
      <c r="E328" s="265" t="str">
        <f>IFERROR(__xludf.DUMMYFUNCTION("""COMPUTED_VALUE"""),"Không phân công")</f>
        <v>Không phân công</v>
      </c>
      <c r="F328" s="265" t="str">
        <f>IFERROR(__xludf.DUMMYFUNCTION("""COMPUTED_VALUE"""),"Bronze")</f>
        <v>Bronze</v>
      </c>
      <c r="G328" s="265" t="str">
        <f>IFERROR(__xludf.DUMMYFUNCTION("""COMPUTED_VALUE"""),"Starter")</f>
        <v>Starter</v>
      </c>
      <c r="H328" s="265" t="str">
        <f>IFERROR(__xludf.DUMMYFUNCTION("""COMPUTED_VALUE"""),"Trả sau")</f>
        <v>Trả sau</v>
      </c>
      <c r="I328" s="265" t="str">
        <f>IFERROR(__xludf.DUMMYFUNCTION("""COMPUTED_VALUE"""),"API")</f>
        <v>API</v>
      </c>
      <c r="J328" s="265" t="str">
        <f>IFERROR(__xludf.DUMMYFUNCTION("""COMPUTED_VALUE"""),"SMS CSKH")</f>
        <v>SMS CSKH</v>
      </c>
      <c r="K328" s="265" t="str">
        <f>IFERROR(__xludf.DUMMYFUNCTION("""COMPUTED_VALUE"""),"YếnĐH")</f>
        <v>YếnĐH</v>
      </c>
    </row>
    <row r="329">
      <c r="A329" s="265" t="str">
        <f>IFERROR(__xludf.DUMMYFUNCTION("""COMPUTED_VALUE"""),"631")</f>
        <v>631</v>
      </c>
      <c r="B329" s="265" t="str">
        <f>IFERROR(__xludf.DUMMYFUNCTION("""COMPUTED_VALUE"""),"Sài Gòn")</f>
        <v>Sài Gòn</v>
      </c>
      <c r="C329" s="265" t="str">
        <f>IFERROR(__xludf.DUMMYFUNCTION("""COMPUTED_VALUE"""),"Active")</f>
        <v>Active</v>
      </c>
      <c r="D329" s="265" t="str">
        <f>IFERROR(__xludf.DUMMYFUNCTION("""COMPUTED_VALUE"""),"Sale chưa cung cấp")</f>
        <v>Sale chưa cung cấp</v>
      </c>
      <c r="E329" s="265" t="str">
        <f>IFERROR(__xludf.DUMMYFUNCTION("""COMPUTED_VALUE"""),"AnhNM")</f>
        <v>AnhNM</v>
      </c>
      <c r="F329" s="265" t="str">
        <f>IFERROR(__xludf.DUMMYFUNCTION("""COMPUTED_VALUE"""),"Diamond")</f>
        <v>Diamond</v>
      </c>
      <c r="G329" s="265" t="str">
        <f>IFERROR(__xludf.DUMMYFUNCTION("""COMPUTED_VALUE"""),"Enterprise")</f>
        <v>Enterprise</v>
      </c>
      <c r="H329" s="265" t="str">
        <f>IFERROR(__xludf.DUMMYFUNCTION("""COMPUTED_VALUE"""),"Trả sau")</f>
        <v>Trả sau</v>
      </c>
      <c r="I329" s="265" t="str">
        <f>IFERROR(__xludf.DUMMYFUNCTION("""COMPUTED_VALUE"""),"API")</f>
        <v>API</v>
      </c>
      <c r="J329" s="265" t="str">
        <f>IFERROR(__xludf.DUMMYFUNCTION("""COMPUTED_VALUE"""),"SMS CSKH")</f>
        <v>SMS CSKH</v>
      </c>
      <c r="K329" s="265" t="str">
        <f>IFERROR(__xludf.DUMMYFUNCTION("""COMPUTED_VALUE"""),"LinhNTT1")</f>
        <v>LinhNTT1</v>
      </c>
    </row>
    <row r="330">
      <c r="A330" s="265" t="str">
        <f>IFERROR(__xludf.DUMMYFUNCTION("""COMPUTED_VALUE"""),"631")</f>
        <v>631</v>
      </c>
      <c r="B330" s="265" t="str">
        <f>IFERROR(__xludf.DUMMYFUNCTION("""COMPUTED_VALUE"""),"Sài Gòn")</f>
        <v>Sài Gòn</v>
      </c>
      <c r="C330" s="265" t="str">
        <f>IFERROR(__xludf.DUMMYFUNCTION("""COMPUTED_VALUE"""),"Active")</f>
        <v>Active</v>
      </c>
      <c r="D330" s="265" t="str">
        <f>IFERROR(__xludf.DUMMYFUNCTION("""COMPUTED_VALUE"""),"Sale chưa cung cấp")</f>
        <v>Sale chưa cung cấp</v>
      </c>
      <c r="E330" s="265" t="str">
        <f>IFERROR(__xludf.DUMMYFUNCTION("""COMPUTED_VALUE"""),"AnhNM")</f>
        <v>AnhNM</v>
      </c>
      <c r="F330" s="265" t="str">
        <f>IFERROR(__xludf.DUMMYFUNCTION("""COMPUTED_VALUE"""),"Diamond")</f>
        <v>Diamond</v>
      </c>
      <c r="G330" s="265" t="str">
        <f>IFERROR(__xludf.DUMMYFUNCTION("""COMPUTED_VALUE"""),"Enterprise")</f>
        <v>Enterprise</v>
      </c>
      <c r="H330" s="265" t="str">
        <f>IFERROR(__xludf.DUMMYFUNCTION("""COMPUTED_VALUE"""),"Trả sau")</f>
        <v>Trả sau</v>
      </c>
      <c r="I330" s="265" t="str">
        <f>IFERROR(__xludf.DUMMYFUNCTION("""COMPUTED_VALUE"""),"API")</f>
        <v>API</v>
      </c>
      <c r="J330" s="265" t="str">
        <f>IFERROR(__xludf.DUMMYFUNCTION("""COMPUTED_VALUE"""),"Zalo ZNS")</f>
        <v>Zalo ZNS</v>
      </c>
      <c r="K330" s="265" t="str">
        <f>IFERROR(__xludf.DUMMYFUNCTION("""COMPUTED_VALUE"""),"LinhNTT1")</f>
        <v>LinhNTT1</v>
      </c>
    </row>
    <row r="331">
      <c r="A331" s="265" t="str">
        <f>IFERROR(__xludf.DUMMYFUNCTION("""COMPUTED_VALUE"""),"630")</f>
        <v>630</v>
      </c>
      <c r="B331" s="265" t="str">
        <f>IFERROR(__xludf.DUMMYFUNCTION("""COMPUTED_VALUE"""),"Hà Nội")</f>
        <v>Hà Nội</v>
      </c>
      <c r="C331" s="265" t="str">
        <f>IFERROR(__xludf.DUMMYFUNCTION("""COMPUTED_VALUE"""),"Active")</f>
        <v>Active</v>
      </c>
      <c r="D331" s="265" t="str">
        <f>IFERROR(__xludf.DUMMYFUNCTION("""COMPUTED_VALUE"""),"Sale chưa cung cấp")</f>
        <v>Sale chưa cung cấp</v>
      </c>
      <c r="E331" s="265" t="str">
        <f>IFERROR(__xludf.DUMMYFUNCTION("""COMPUTED_VALUE"""),"TúPHN")</f>
        <v>TúPHN</v>
      </c>
      <c r="F331" s="265" t="str">
        <f>IFERROR(__xludf.DUMMYFUNCTION("""COMPUTED_VALUE"""),"Gold")</f>
        <v>Gold</v>
      </c>
      <c r="G331" s="265" t="str">
        <f>IFERROR(__xludf.DUMMYFUNCTION("""COMPUTED_VALUE"""),"Starter")</f>
        <v>Starter</v>
      </c>
      <c r="H331" s="265" t="str">
        <f>IFERROR(__xludf.DUMMYFUNCTION("""COMPUTED_VALUE"""),"Trả sau")</f>
        <v>Trả sau</v>
      </c>
      <c r="I331" s="265" t="str">
        <f>IFERROR(__xludf.DUMMYFUNCTION("""COMPUTED_VALUE"""),"API")</f>
        <v>API</v>
      </c>
      <c r="J331" s="265" t="str">
        <f>IFERROR(__xludf.DUMMYFUNCTION("""COMPUTED_VALUE"""),"Tất cả")</f>
        <v>Tất cả</v>
      </c>
      <c r="K331" s="265" t="str">
        <f>IFERROR(__xludf.DUMMYFUNCTION("""COMPUTED_VALUE"""),"DungPL")</f>
        <v>DungPL</v>
      </c>
    </row>
    <row r="332">
      <c r="A332" s="265" t="str">
        <f>IFERROR(__xludf.DUMMYFUNCTION("""COMPUTED_VALUE"""),"633")</f>
        <v>633</v>
      </c>
      <c r="B332" s="265" t="str">
        <f>IFERROR(__xludf.DUMMYFUNCTION("""COMPUTED_VALUE"""),"Sài Gòn")</f>
        <v>Sài Gòn</v>
      </c>
      <c r="C332" s="265" t="str">
        <f>IFERROR(__xludf.DUMMYFUNCTION("""COMPUTED_VALUE"""),"Locked")</f>
        <v>Locked</v>
      </c>
      <c r="D332" s="265" t="str">
        <f>IFERROR(__xludf.DUMMYFUNCTION("""COMPUTED_VALUE"""),"Sale chưa cung cấp")</f>
        <v>Sale chưa cung cấp</v>
      </c>
      <c r="E332" s="265" t="str">
        <f>IFERROR(__xludf.DUMMYFUNCTION("""COMPUTED_VALUE"""),"HoaNTM")</f>
        <v>HoaNTM</v>
      </c>
      <c r="F332" s="265" t="str">
        <f>IFERROR(__xludf.DUMMYFUNCTION("""COMPUTED_VALUE"""),"Sale chưa cung cấp")</f>
        <v>Sale chưa cung cấp</v>
      </c>
      <c r="G332" s="265" t="str">
        <f>IFERROR(__xludf.DUMMYFUNCTION("""COMPUTED_VALUE"""),"SIMILAR")</f>
        <v>SIMILAR</v>
      </c>
      <c r="H332" s="265" t="str">
        <f>IFERROR(__xludf.DUMMYFUNCTION("""COMPUTED_VALUE"""),"(Chưa recheck)")</f>
        <v>(Chưa recheck)</v>
      </c>
      <c r="I332" s="265" t="str">
        <f>IFERROR(__xludf.DUMMYFUNCTION("""COMPUTED_VALUE"""),"(Chưa recheck)")</f>
        <v>(Chưa recheck)</v>
      </c>
      <c r="J332" s="265" t="str">
        <f>IFERROR(__xludf.DUMMYFUNCTION("""COMPUTED_VALUE"""),"GapOne")</f>
        <v>GapOne</v>
      </c>
      <c r="K332" s="265" t="str">
        <f>IFERROR(__xludf.DUMMYFUNCTION("""COMPUTED_VALUE"""),"(Chưa recheck)")</f>
        <v>(Chưa recheck)</v>
      </c>
    </row>
    <row r="333">
      <c r="A333" s="265" t="str">
        <f>IFERROR(__xludf.DUMMYFUNCTION("""COMPUTED_VALUE"""),"632")</f>
        <v>632</v>
      </c>
      <c r="B333" s="265" t="str">
        <f>IFERROR(__xludf.DUMMYFUNCTION("""COMPUTED_VALUE"""),"Đà Nẵng")</f>
        <v>Đà Nẵng</v>
      </c>
      <c r="C333" s="265" t="str">
        <f>IFERROR(__xludf.DUMMYFUNCTION("""COMPUTED_VALUE"""),"Active")</f>
        <v>Active</v>
      </c>
      <c r="D333" s="265" t="str">
        <f>IFERROR(__xludf.DUMMYFUNCTION("""COMPUTED_VALUE"""),"Sale chưa cung cấp")</f>
        <v>Sale chưa cung cấp</v>
      </c>
      <c r="E333" s="265" t="str">
        <f>IFERROR(__xludf.DUMMYFUNCTION("""COMPUTED_VALUE"""),"AnhNM")</f>
        <v>AnhNM</v>
      </c>
      <c r="F333" s="265" t="str">
        <f>IFERROR(__xludf.DUMMYFUNCTION("""COMPUTED_VALUE"""),"Silver")</f>
        <v>Silver</v>
      </c>
      <c r="G333" s="265" t="str">
        <f>IFERROR(__xludf.DUMMYFUNCTION("""COMPUTED_VALUE"""),"Premium")</f>
        <v>Premium</v>
      </c>
      <c r="H333" s="265" t="str">
        <f>IFERROR(__xludf.DUMMYFUNCTION("""COMPUTED_VALUE"""),"Trả sau")</f>
        <v>Trả sau</v>
      </c>
      <c r="I333" s="265" t="str">
        <f>IFERROR(__xludf.DUMMYFUNCTION("""COMPUTED_VALUE"""),"Portal")</f>
        <v>Portal</v>
      </c>
      <c r="J333" s="265" t="str">
        <f>IFERROR(__xludf.DUMMYFUNCTION("""COMPUTED_VALUE"""),"Zalo ZNS")</f>
        <v>Zalo ZNS</v>
      </c>
      <c r="K333" s="265" t="str">
        <f>IFERROR(__xludf.DUMMYFUNCTION("""COMPUTED_VALUE"""),"YếnĐH")</f>
        <v>YếnĐH</v>
      </c>
    </row>
    <row r="334">
      <c r="A334" s="265" t="str">
        <f>IFERROR(__xludf.DUMMYFUNCTION("""COMPUTED_VALUE"""),"634")</f>
        <v>634</v>
      </c>
      <c r="B334" s="265" t="str">
        <f>IFERROR(__xludf.DUMMYFUNCTION("""COMPUTED_VALUE"""),"Hà Nội")</f>
        <v>Hà Nội</v>
      </c>
      <c r="C334" s="265" t="str">
        <f>IFERROR(__xludf.DUMMYFUNCTION("""COMPUTED_VALUE"""),"Locked")</f>
        <v>Locked</v>
      </c>
      <c r="D334" s="265" t="str">
        <f>IFERROR(__xludf.DUMMYFUNCTION("""COMPUTED_VALUE"""),"Sale chưa cung cấp")</f>
        <v>Sale chưa cung cấp</v>
      </c>
      <c r="E334" s="265" t="str">
        <f>IFERROR(__xludf.DUMMYFUNCTION("""COMPUTED_VALUE"""),"(Chưa recheck)")</f>
        <v>(Chưa recheck)</v>
      </c>
      <c r="F334" s="265" t="str">
        <f>IFERROR(__xludf.DUMMYFUNCTION("""COMPUTED_VALUE"""),"Sale chưa cung cấp")</f>
        <v>Sale chưa cung cấp</v>
      </c>
      <c r="G334" s="265" t="str">
        <f>IFERROR(__xludf.DUMMYFUNCTION("""COMPUTED_VALUE"""),"MSG")</f>
        <v>MSG</v>
      </c>
      <c r="H334" s="265" t="str">
        <f>IFERROR(__xludf.DUMMYFUNCTION("""COMPUTED_VALUE"""),"Trả sau")</f>
        <v>Trả sau</v>
      </c>
      <c r="I334" s="265" t="str">
        <f>IFERROR(__xludf.DUMMYFUNCTION("""COMPUTED_VALUE"""),"Portal")</f>
        <v>Portal</v>
      </c>
      <c r="J334" s="265" t="str">
        <f>IFERROR(__xludf.DUMMYFUNCTION("""COMPUTED_VALUE"""),"SMS CSKH")</f>
        <v>SMS CSKH</v>
      </c>
      <c r="K334" s="265" t="str">
        <f>IFERROR(__xludf.DUMMYFUNCTION("""COMPUTED_VALUE"""),"ThanhLT")</f>
        <v>ThanhLT</v>
      </c>
    </row>
    <row r="335">
      <c r="A335" s="265" t="str">
        <f>IFERROR(__xludf.DUMMYFUNCTION("""COMPUTED_VALUE"""),"635")</f>
        <v>635</v>
      </c>
      <c r="B335" s="265" t="str">
        <f>IFERROR(__xludf.DUMMYFUNCTION("""COMPUTED_VALUE"""),"Sài Gòn")</f>
        <v>Sài Gòn</v>
      </c>
      <c r="C335" s="265" t="str">
        <f>IFERROR(__xludf.DUMMYFUNCTION("""COMPUTED_VALUE"""),"Locked")</f>
        <v>Locked</v>
      </c>
      <c r="D335" s="265" t="str">
        <f>IFERROR(__xludf.DUMMYFUNCTION("""COMPUTED_VALUE"""),"Sale chưa cung cấp")</f>
        <v>Sale chưa cung cấp</v>
      </c>
      <c r="E335" s="265" t="str">
        <f>IFERROR(__xludf.DUMMYFUNCTION("""COMPUTED_VALUE"""),"HoaNTM")</f>
        <v>HoaNTM</v>
      </c>
      <c r="F335" s="265" t="str">
        <f>IFERROR(__xludf.DUMMYFUNCTION("""COMPUTED_VALUE"""),"Sale chưa cung cấp")</f>
        <v>Sale chưa cung cấp</v>
      </c>
      <c r="G335" s="265" t="str">
        <f>IFERROR(__xludf.DUMMYFUNCTION("""COMPUTED_VALUE"""),"SIMILAR")</f>
        <v>SIMILAR</v>
      </c>
      <c r="H335" s="265" t="str">
        <f>IFERROR(__xludf.DUMMYFUNCTION("""COMPUTED_VALUE"""),"Trả sau")</f>
        <v>Trả sau</v>
      </c>
      <c r="I335" s="265" t="str">
        <f>IFERROR(__xludf.DUMMYFUNCTION("""COMPUTED_VALUE"""),"(Chưa recheck)")</f>
        <v>(Chưa recheck)</v>
      </c>
      <c r="J335" s="265" t="str">
        <f>IFERROR(__xludf.DUMMYFUNCTION("""COMPUTED_VALUE"""),"GapOne")</f>
        <v>GapOne</v>
      </c>
      <c r="K335" s="265" t="str">
        <f>IFERROR(__xludf.DUMMYFUNCTION("""COMPUTED_VALUE"""),"(Chưa recheck)")</f>
        <v>(Chưa recheck)</v>
      </c>
    </row>
    <row r="336">
      <c r="A336" s="265" t="str">
        <f>IFERROR(__xludf.DUMMYFUNCTION("""COMPUTED_VALUE"""),"636")</f>
        <v>636</v>
      </c>
      <c r="B336" s="265" t="str">
        <f>IFERROR(__xludf.DUMMYFUNCTION("""COMPUTED_VALUE"""),"Hà Nội")</f>
        <v>Hà Nội</v>
      </c>
      <c r="C336" s="265" t="str">
        <f>IFERROR(__xludf.DUMMYFUNCTION("""COMPUTED_VALUE"""),"Locked")</f>
        <v>Locked</v>
      </c>
      <c r="D336" s="265" t="str">
        <f>IFERROR(__xludf.DUMMYFUNCTION("""COMPUTED_VALUE"""),"Thực phẩm &amp; Đồ uống")</f>
        <v>Thực phẩm &amp; Đồ uống</v>
      </c>
      <c r="E336" s="265" t="str">
        <f>IFERROR(__xludf.DUMMYFUNCTION("""COMPUTED_VALUE"""),"HangNT")</f>
        <v>HangNT</v>
      </c>
      <c r="F336" s="265" t="str">
        <f>IFERROR(__xludf.DUMMYFUNCTION("""COMPUTED_VALUE"""),"Sale chưa cung cấp")</f>
        <v>Sale chưa cung cấp</v>
      </c>
      <c r="G336" s="265" t="str">
        <f>IFERROR(__xludf.DUMMYFUNCTION("""COMPUTED_VALUE"""),"SIMILAR")</f>
        <v>SIMILAR</v>
      </c>
      <c r="H336" s="265" t="str">
        <f>IFERROR(__xludf.DUMMYFUNCTION("""COMPUTED_VALUE"""),"Trả sau")</f>
        <v>Trả sau</v>
      </c>
      <c r="I336" s="265" t="str">
        <f>IFERROR(__xludf.DUMMYFUNCTION("""COMPUTED_VALUE"""),"Portal")</f>
        <v>Portal</v>
      </c>
      <c r="J336" s="265" t="str">
        <f>IFERROR(__xludf.DUMMYFUNCTION("""COMPUTED_VALUE"""),"SMS CSKH")</f>
        <v>SMS CSKH</v>
      </c>
      <c r="K336" s="265" t="str">
        <f>IFERROR(__xludf.DUMMYFUNCTION("""COMPUTED_VALUE"""),"(Chưa recheck)")</f>
        <v>(Chưa recheck)</v>
      </c>
    </row>
    <row r="337">
      <c r="A337" s="265" t="str">
        <f>IFERROR(__xludf.DUMMYFUNCTION("""COMPUTED_VALUE"""),"637")</f>
        <v>637</v>
      </c>
      <c r="B337" s="265" t="str">
        <f>IFERROR(__xludf.DUMMYFUNCTION("""COMPUTED_VALUE"""),"Đà Nẵng")</f>
        <v>Đà Nẵng</v>
      </c>
      <c r="C337" s="265" t="str">
        <f>IFERROR(__xludf.DUMMYFUNCTION("""COMPUTED_VALUE"""),"Active")</f>
        <v>Active</v>
      </c>
      <c r="D337" s="265" t="str">
        <f>IFERROR(__xludf.DUMMYFUNCTION("""COMPUTED_VALUE"""),"Sale chưa cung cấp")</f>
        <v>Sale chưa cung cấp</v>
      </c>
      <c r="E337" s="265" t="str">
        <f>IFERROR(__xludf.DUMMYFUNCTION("""COMPUTED_VALUE"""),"AnhNM")</f>
        <v>AnhNM</v>
      </c>
      <c r="F337" s="265" t="str">
        <f>IFERROR(__xludf.DUMMYFUNCTION("""COMPUTED_VALUE"""),"Silver")</f>
        <v>Silver</v>
      </c>
      <c r="G337" s="265" t="str">
        <f>IFERROR(__xludf.DUMMYFUNCTION("""COMPUTED_VALUE"""),"Enterprise")</f>
        <v>Enterprise</v>
      </c>
      <c r="H337" s="265" t="str">
        <f>IFERROR(__xludf.DUMMYFUNCTION("""COMPUTED_VALUE"""),"Trả sau")</f>
        <v>Trả sau</v>
      </c>
      <c r="I337" s="265" t="str">
        <f>IFERROR(__xludf.DUMMYFUNCTION("""COMPUTED_VALUE"""),"Portal")</f>
        <v>Portal</v>
      </c>
      <c r="J337" s="265" t="str">
        <f>IFERROR(__xludf.DUMMYFUNCTION("""COMPUTED_VALUE"""),"Zalo ZNS")</f>
        <v>Zalo ZNS</v>
      </c>
      <c r="K337" s="265" t="str">
        <f>IFERROR(__xludf.DUMMYFUNCTION("""COMPUTED_VALUE"""),"DungPL")</f>
        <v>DungPL</v>
      </c>
    </row>
    <row r="338">
      <c r="A338" s="265" t="str">
        <f>IFERROR(__xludf.DUMMYFUNCTION("""COMPUTED_VALUE"""),"639")</f>
        <v>639</v>
      </c>
      <c r="B338" s="265" t="str">
        <f>IFERROR(__xludf.DUMMYFUNCTION("""COMPUTED_VALUE"""),"Hà Nội")</f>
        <v>Hà Nội</v>
      </c>
      <c r="C338" s="265" t="str">
        <f>IFERROR(__xludf.DUMMYFUNCTION("""COMPUTED_VALUE"""),"Locked")</f>
        <v>Locked</v>
      </c>
      <c r="D338" s="265" t="str">
        <f>IFERROR(__xludf.DUMMYFUNCTION("""COMPUTED_VALUE"""),"Sale chưa cung cấp")</f>
        <v>Sale chưa cung cấp</v>
      </c>
      <c r="E338" s="265" t="str">
        <f>IFERROR(__xludf.DUMMYFUNCTION("""COMPUTED_VALUE"""),"PhươngDTB")</f>
        <v>PhươngDTB</v>
      </c>
      <c r="F338" s="265" t="str">
        <f>IFERROR(__xludf.DUMMYFUNCTION("""COMPUTED_VALUE"""),"Sale chưa cung cấp")</f>
        <v>Sale chưa cung cấp</v>
      </c>
      <c r="G338" s="265" t="str">
        <f>IFERROR(__xludf.DUMMYFUNCTION("""COMPUTED_VALUE"""),"API")</f>
        <v>API</v>
      </c>
      <c r="H338" s="265" t="str">
        <f>IFERROR(__xludf.DUMMYFUNCTION("""COMPUTED_VALUE"""),"Trial")</f>
        <v>Trial</v>
      </c>
      <c r="I338" s="265" t="str">
        <f>IFERROR(__xludf.DUMMYFUNCTION("""COMPUTED_VALUE"""),"API")</f>
        <v>API</v>
      </c>
      <c r="J338" s="265" t="str">
        <f>IFERROR(__xludf.DUMMYFUNCTION("""COMPUTED_VALUE"""),"Zalo ZNS")</f>
        <v>Zalo ZNS</v>
      </c>
      <c r="K338" s="265" t="str">
        <f>IFERROR(__xludf.DUMMYFUNCTION("""COMPUTED_VALUE"""),"(Không recheck)")</f>
        <v>(Không recheck)</v>
      </c>
    </row>
    <row r="339">
      <c r="A339" s="265" t="str">
        <f>IFERROR(__xludf.DUMMYFUNCTION("""COMPUTED_VALUE"""),"640")</f>
        <v>640</v>
      </c>
      <c r="B339" s="265" t="str">
        <f>IFERROR(__xludf.DUMMYFUNCTION("""COMPUTED_VALUE"""),"Hà Nội")</f>
        <v>Hà Nội</v>
      </c>
      <c r="C339" s="265" t="str">
        <f>IFERROR(__xludf.DUMMYFUNCTION("""COMPUTED_VALUE"""),"Locked")</f>
        <v>Locked</v>
      </c>
      <c r="D339" s="265" t="str">
        <f>IFERROR(__xludf.DUMMYFUNCTION("""COMPUTED_VALUE"""),"Viễn thông")</f>
        <v>Viễn thông</v>
      </c>
      <c r="E339" s="265" t="str">
        <f>IFERROR(__xludf.DUMMYFUNCTION("""COMPUTED_VALUE"""),"TùngLD")</f>
        <v>TùngLD</v>
      </c>
      <c r="F339" s="265" t="str">
        <f>IFERROR(__xludf.DUMMYFUNCTION("""COMPUTED_VALUE"""),"Gold")</f>
        <v>Gold</v>
      </c>
      <c r="G339" s="265" t="str">
        <f>IFERROR(__xludf.DUMMYFUNCTION("""COMPUTED_VALUE"""),"SIMILAR")</f>
        <v>SIMILAR</v>
      </c>
      <c r="H339" s="265" t="str">
        <f>IFERROR(__xludf.DUMMYFUNCTION("""COMPUTED_VALUE"""),"Trả sau")</f>
        <v>Trả sau</v>
      </c>
      <c r="I339" s="265" t="str">
        <f>IFERROR(__xludf.DUMMYFUNCTION("""COMPUTED_VALUE"""),"Portal")</f>
        <v>Portal</v>
      </c>
      <c r="J339" s="265" t="str">
        <f>IFERROR(__xludf.DUMMYFUNCTION("""COMPUTED_VALUE"""),"Zalo ZNS")</f>
        <v>Zalo ZNS</v>
      </c>
      <c r="K339" s="265" t="str">
        <f>IFERROR(__xludf.DUMMYFUNCTION("""COMPUTED_VALUE"""),"AnhNM")</f>
        <v>AnhNM</v>
      </c>
    </row>
    <row r="340">
      <c r="A340" s="265" t="str">
        <f>IFERROR(__xludf.DUMMYFUNCTION("""COMPUTED_VALUE"""),"638")</f>
        <v>638</v>
      </c>
      <c r="B340" s="265" t="str">
        <f>IFERROR(__xludf.DUMMYFUNCTION("""COMPUTED_VALUE"""),"Sài Gòn")</f>
        <v>Sài Gòn</v>
      </c>
      <c r="C340" s="265" t="str">
        <f>IFERROR(__xludf.DUMMYFUNCTION("""COMPUTED_VALUE"""),"Locked")</f>
        <v>Locked</v>
      </c>
      <c r="D340" s="265" t="str">
        <f>IFERROR(__xludf.DUMMYFUNCTION("""COMPUTED_VALUE"""),"Sale chưa cung cấp")</f>
        <v>Sale chưa cung cấp</v>
      </c>
      <c r="E340" s="265" t="str">
        <f>IFERROR(__xludf.DUMMYFUNCTION("""COMPUTED_VALUE"""),"HoaNTM")</f>
        <v>HoaNTM</v>
      </c>
      <c r="F340" s="265" t="str">
        <f>IFERROR(__xludf.DUMMYFUNCTION("""COMPUTED_VALUE"""),"Diamond")</f>
        <v>Diamond</v>
      </c>
      <c r="G340" s="265" t="str">
        <f>IFERROR(__xludf.DUMMYFUNCTION("""COMPUTED_VALUE"""),"SIMILAR")</f>
        <v>SIMILAR</v>
      </c>
      <c r="H340" s="265" t="str">
        <f>IFERROR(__xludf.DUMMYFUNCTION("""COMPUTED_VALUE"""),"Trả sau")</f>
        <v>Trả sau</v>
      </c>
      <c r="I340" s="265" t="str">
        <f>IFERROR(__xludf.DUMMYFUNCTION("""COMPUTED_VALUE"""),"(Chưa recheck)")</f>
        <v>(Chưa recheck)</v>
      </c>
      <c r="J340" s="265" t="str">
        <f>IFERROR(__xludf.DUMMYFUNCTION("""COMPUTED_VALUE"""),"GapOne")</f>
        <v>GapOne</v>
      </c>
      <c r="K340" s="265" t="str">
        <f>IFERROR(__xludf.DUMMYFUNCTION("""COMPUTED_VALUE"""),"(Chưa recheck)")</f>
        <v>(Chưa recheck)</v>
      </c>
    </row>
    <row r="341">
      <c r="A341" s="265" t="str">
        <f>IFERROR(__xludf.DUMMYFUNCTION("""COMPUTED_VALUE"""),"641")</f>
        <v>641</v>
      </c>
      <c r="B341" s="265" t="str">
        <f>IFERROR(__xludf.DUMMYFUNCTION("""COMPUTED_VALUE"""),"Sài Gòn")</f>
        <v>Sài Gòn</v>
      </c>
      <c r="C341" s="265" t="str">
        <f>IFERROR(__xludf.DUMMYFUNCTION("""COMPUTED_VALUE"""),"Active")</f>
        <v>Active</v>
      </c>
      <c r="D341" s="265" t="str">
        <f>IFERROR(__xludf.DUMMYFUNCTION("""COMPUTED_VALUE"""),"Sale chưa cung cấp")</f>
        <v>Sale chưa cung cấp</v>
      </c>
      <c r="E341" s="265" t="str">
        <f>IFERROR(__xludf.DUMMYFUNCTION("""COMPUTED_VALUE"""),"Không phân công")</f>
        <v>Không phân công</v>
      </c>
      <c r="F341" s="265" t="str">
        <f>IFERROR(__xludf.DUMMYFUNCTION("""COMPUTED_VALUE"""),"Silver")</f>
        <v>Silver</v>
      </c>
      <c r="G341" s="265" t="str">
        <f>IFERROR(__xludf.DUMMYFUNCTION("""COMPUTED_VALUE"""),"Starter")</f>
        <v>Starter</v>
      </c>
      <c r="H341" s="265" t="str">
        <f>IFERROR(__xludf.DUMMYFUNCTION("""COMPUTED_VALUE"""),"Trả sau")</f>
        <v>Trả sau</v>
      </c>
      <c r="I341" s="265" t="str">
        <f>IFERROR(__xludf.DUMMYFUNCTION("""COMPUTED_VALUE"""),"Portal")</f>
        <v>Portal</v>
      </c>
      <c r="J341" s="265" t="str">
        <f>IFERROR(__xludf.DUMMYFUNCTION("""COMPUTED_VALUE"""),"SMS CSKH")</f>
        <v>SMS CSKH</v>
      </c>
      <c r="K341" s="265" t="str">
        <f>IFERROR(__xludf.DUMMYFUNCTION("""COMPUTED_VALUE"""),"LinhNTT1")</f>
        <v>LinhNTT1</v>
      </c>
    </row>
    <row r="342">
      <c r="A342" s="265" t="str">
        <f>IFERROR(__xludf.DUMMYFUNCTION("""COMPUTED_VALUE"""),"642")</f>
        <v>642</v>
      </c>
      <c r="B342" s="265" t="str">
        <f>IFERROR(__xludf.DUMMYFUNCTION("""COMPUTED_VALUE"""),"Hà Nội")</f>
        <v>Hà Nội</v>
      </c>
      <c r="C342" s="265" t="str">
        <f>IFERROR(__xludf.DUMMYFUNCTION("""COMPUTED_VALUE"""),"Locked")</f>
        <v>Locked</v>
      </c>
      <c r="D342" s="265" t="str">
        <f>IFERROR(__xludf.DUMMYFUNCTION("""COMPUTED_VALUE"""),"Mua sắm &amp; Bán lẻ")</f>
        <v>Mua sắm &amp; Bán lẻ</v>
      </c>
      <c r="E342" s="265" t="str">
        <f>IFERROR(__xludf.DUMMYFUNCTION("""COMPUTED_VALUE"""),"Không phân công")</f>
        <v>Không phân công</v>
      </c>
      <c r="F342" s="265" t="str">
        <f>IFERROR(__xludf.DUMMYFUNCTION("""COMPUTED_VALUE"""),"Silver")</f>
        <v>Silver</v>
      </c>
      <c r="G342" s="265" t="str">
        <f>IFERROR(__xludf.DUMMYFUNCTION("""COMPUTED_VALUE"""),"Starter")</f>
        <v>Starter</v>
      </c>
      <c r="H342" s="265" t="str">
        <f>IFERROR(__xludf.DUMMYFUNCTION("""COMPUTED_VALUE"""),"Trả sau")</f>
        <v>Trả sau</v>
      </c>
      <c r="I342" s="265" t="str">
        <f>IFERROR(__xludf.DUMMYFUNCTION("""COMPUTED_VALUE"""),"API")</f>
        <v>API</v>
      </c>
      <c r="J342" s="265" t="str">
        <f>IFERROR(__xludf.DUMMYFUNCTION("""COMPUTED_VALUE"""),"SMS CSKH")</f>
        <v>SMS CSKH</v>
      </c>
      <c r="K342" s="265" t="str">
        <f>IFERROR(__xludf.DUMMYFUNCTION("""COMPUTED_VALUE"""),"DungVT")</f>
        <v>DungVT</v>
      </c>
    </row>
    <row r="343">
      <c r="A343" s="265" t="str">
        <f>IFERROR(__xludf.DUMMYFUNCTION("""COMPUTED_VALUE"""),"402")</f>
        <v>402</v>
      </c>
      <c r="B343" s="265" t="str">
        <f>IFERROR(__xludf.DUMMYFUNCTION("""COMPUTED_VALUE"""),"Hà Nội")</f>
        <v>Hà Nội</v>
      </c>
      <c r="C343" s="265" t="str">
        <f>IFERROR(__xludf.DUMMYFUNCTION("""COMPUTED_VALUE"""),"Locked")</f>
        <v>Locked</v>
      </c>
      <c r="D343" s="265" t="str">
        <f>IFERROR(__xludf.DUMMYFUNCTION("""COMPUTED_VALUE"""),"Sale chưa cung cấp")</f>
        <v>Sale chưa cung cấp</v>
      </c>
      <c r="E343" s="265" t="str">
        <f>IFERROR(__xludf.DUMMYFUNCTION("""COMPUTED_VALUE"""),"PhươngDTB")</f>
        <v>PhươngDTB</v>
      </c>
      <c r="F343" s="265" t="str">
        <f>IFERROR(__xludf.DUMMYFUNCTION("""COMPUTED_VALUE"""),"Gold")</f>
        <v>Gold</v>
      </c>
      <c r="G343" s="265" t="str">
        <f>IFERROR(__xludf.DUMMYFUNCTION("""COMPUTED_VALUE"""),"API")</f>
        <v>API</v>
      </c>
      <c r="H343" s="265" t="str">
        <f>IFERROR(__xludf.DUMMYFUNCTION("""COMPUTED_VALUE"""),"(Chưa recheck)")</f>
        <v>(Chưa recheck)</v>
      </c>
      <c r="I343" s="265" t="str">
        <f>IFERROR(__xludf.DUMMYFUNCTION("""COMPUTED_VALUE"""),"(Chưa recheck)")</f>
        <v>(Chưa recheck)</v>
      </c>
      <c r="J343" s="265" t="str">
        <f>IFERROR(__xludf.DUMMYFUNCTION("""COMPUTED_VALUE"""),"(Chưa recheck)")</f>
        <v>(Chưa recheck)</v>
      </c>
      <c r="K343" s="265" t="str">
        <f>IFERROR(__xludf.DUMMYFUNCTION("""COMPUTED_VALUE"""),"YếnĐH")</f>
        <v>YếnĐH</v>
      </c>
    </row>
    <row r="344">
      <c r="A344" s="265" t="str">
        <f>IFERROR(__xludf.DUMMYFUNCTION("""COMPUTED_VALUE"""),"643")</f>
        <v>643</v>
      </c>
      <c r="B344" s="265" t="str">
        <f>IFERROR(__xludf.DUMMYFUNCTION("""COMPUTED_VALUE"""),"Sài Gòn")</f>
        <v>Sài Gòn</v>
      </c>
      <c r="C344" s="265" t="str">
        <f>IFERROR(__xludf.DUMMYFUNCTION("""COMPUTED_VALUE"""),"Locked")</f>
        <v>Locked</v>
      </c>
      <c r="D344" s="265" t="str">
        <f>IFERROR(__xludf.DUMMYFUNCTION("""COMPUTED_VALUE"""),"Sale chưa cung cấp")</f>
        <v>Sale chưa cung cấp</v>
      </c>
      <c r="E344" s="265" t="str">
        <f>IFERROR(__xludf.DUMMYFUNCTION("""COMPUTED_VALUE"""),"TuVTC")</f>
        <v>TuVTC</v>
      </c>
      <c r="F344" s="265" t="str">
        <f>IFERROR(__xludf.DUMMYFUNCTION("""COMPUTED_VALUE"""),"Sale chưa cung cấp")</f>
        <v>Sale chưa cung cấp</v>
      </c>
      <c r="G344" s="265" t="str">
        <f>IFERROR(__xludf.DUMMYFUNCTION("""COMPUTED_VALUE"""),"MSG")</f>
        <v>MSG</v>
      </c>
      <c r="H344" s="265" t="str">
        <f>IFERROR(__xludf.DUMMYFUNCTION("""COMPUTED_VALUE"""),"(Chưa recheck)")</f>
        <v>(Chưa recheck)</v>
      </c>
      <c r="I344" s="265" t="str">
        <f>IFERROR(__xludf.DUMMYFUNCTION("""COMPUTED_VALUE"""),"(Chưa recheck)")</f>
        <v>(Chưa recheck)</v>
      </c>
      <c r="J344" s="265" t="str">
        <f>IFERROR(__xludf.DUMMYFUNCTION("""COMPUTED_VALUE"""),"GapOne")</f>
        <v>GapOne</v>
      </c>
      <c r="K344" s="265" t="str">
        <f>IFERROR(__xludf.DUMMYFUNCTION("""COMPUTED_VALUE"""),"TuVTC")</f>
        <v>TuVTC</v>
      </c>
    </row>
    <row r="345">
      <c r="A345" s="265" t="str">
        <f>IFERROR(__xludf.DUMMYFUNCTION("""COMPUTED_VALUE"""),"644")</f>
        <v>644</v>
      </c>
      <c r="B345" s="265" t="str">
        <f>IFERROR(__xludf.DUMMYFUNCTION("""COMPUTED_VALUE"""),"Sài Gòn")</f>
        <v>Sài Gòn</v>
      </c>
      <c r="C345" s="265" t="str">
        <f>IFERROR(__xludf.DUMMYFUNCTION("""COMPUTED_VALUE"""),"Active")</f>
        <v>Active</v>
      </c>
      <c r="D345" s="265" t="str">
        <f>IFERROR(__xludf.DUMMYFUNCTION("""COMPUTED_VALUE"""),"Sale chưa cung cấp")</f>
        <v>Sale chưa cung cấp</v>
      </c>
      <c r="E345" s="265" t="str">
        <f>IFERROR(__xludf.DUMMYFUNCTION("""COMPUTED_VALUE"""),"TúPHN")</f>
        <v>TúPHN</v>
      </c>
      <c r="F345" s="265" t="str">
        <f>IFERROR(__xludf.DUMMYFUNCTION("""COMPUTED_VALUE"""),"Gold")</f>
        <v>Gold</v>
      </c>
      <c r="G345" s="265" t="str">
        <f>IFERROR(__xludf.DUMMYFUNCTION("""COMPUTED_VALUE"""),"Starter")</f>
        <v>Starter</v>
      </c>
      <c r="H345" s="265" t="str">
        <f>IFERROR(__xludf.DUMMYFUNCTION("""COMPUTED_VALUE"""),"Trả sau")</f>
        <v>Trả sau</v>
      </c>
      <c r="I345" s="265" t="str">
        <f>IFERROR(__xludf.DUMMYFUNCTION("""COMPUTED_VALUE"""),"Portal")</f>
        <v>Portal</v>
      </c>
      <c r="J345" s="265" t="str">
        <f>IFERROR(__xludf.DUMMYFUNCTION("""COMPUTED_VALUE"""),"SMS CSKH")</f>
        <v>SMS CSKH</v>
      </c>
      <c r="K345" s="265" t="str">
        <f>IFERROR(__xludf.DUMMYFUNCTION("""COMPUTED_VALUE"""),"LinhNTT1")</f>
        <v>LinhNTT1</v>
      </c>
    </row>
    <row r="346">
      <c r="A346" s="265" t="str">
        <f>IFERROR(__xludf.DUMMYFUNCTION("""COMPUTED_VALUE"""),"644")</f>
        <v>644</v>
      </c>
      <c r="B346" s="265" t="str">
        <f>IFERROR(__xludf.DUMMYFUNCTION("""COMPUTED_VALUE"""),"Sài Gòn")</f>
        <v>Sài Gòn</v>
      </c>
      <c r="C346" s="265" t="str">
        <f>IFERROR(__xludf.DUMMYFUNCTION("""COMPUTED_VALUE"""),"Active")</f>
        <v>Active</v>
      </c>
      <c r="D346" s="265" t="str">
        <f>IFERROR(__xludf.DUMMYFUNCTION("""COMPUTED_VALUE"""),"Sale chưa cung cấp")</f>
        <v>Sale chưa cung cấp</v>
      </c>
      <c r="E346" s="265" t="str">
        <f>IFERROR(__xludf.DUMMYFUNCTION("""COMPUTED_VALUE"""),"TúPHN")</f>
        <v>TúPHN</v>
      </c>
      <c r="F346" s="265" t="str">
        <f>IFERROR(__xludf.DUMMYFUNCTION("""COMPUTED_VALUE"""),"Gold")</f>
        <v>Gold</v>
      </c>
      <c r="G346" s="265" t="str">
        <f>IFERROR(__xludf.DUMMYFUNCTION("""COMPUTED_VALUE"""),"Starter")</f>
        <v>Starter</v>
      </c>
      <c r="H346" s="265" t="str">
        <f>IFERROR(__xludf.DUMMYFUNCTION("""COMPUTED_VALUE"""),"Trả sau")</f>
        <v>Trả sau</v>
      </c>
      <c r="I346" s="265" t="str">
        <f>IFERROR(__xludf.DUMMYFUNCTION("""COMPUTED_VALUE"""),"Portal")</f>
        <v>Portal</v>
      </c>
      <c r="J346" s="265" t="str">
        <f>IFERROR(__xludf.DUMMYFUNCTION("""COMPUTED_VALUE"""),"SMS QC")</f>
        <v>SMS QC</v>
      </c>
      <c r="K346" s="265" t="str">
        <f>IFERROR(__xludf.DUMMYFUNCTION("""COMPUTED_VALUE"""),"LinhNTT1")</f>
        <v>LinhNTT1</v>
      </c>
    </row>
    <row r="347">
      <c r="A347" s="265" t="str">
        <f>IFERROR(__xludf.DUMMYFUNCTION("""COMPUTED_VALUE"""),"644")</f>
        <v>644</v>
      </c>
      <c r="B347" s="265" t="str">
        <f>IFERROR(__xludf.DUMMYFUNCTION("""COMPUTED_VALUE"""),"Sài Gòn")</f>
        <v>Sài Gòn</v>
      </c>
      <c r="C347" s="265" t="str">
        <f>IFERROR(__xludf.DUMMYFUNCTION("""COMPUTED_VALUE"""),"Active")</f>
        <v>Active</v>
      </c>
      <c r="D347" s="265" t="str">
        <f>IFERROR(__xludf.DUMMYFUNCTION("""COMPUTED_VALUE"""),"Sale chưa cung cấp")</f>
        <v>Sale chưa cung cấp</v>
      </c>
      <c r="E347" s="265" t="str">
        <f>IFERROR(__xludf.DUMMYFUNCTION("""COMPUTED_VALUE"""),"TúPHN")</f>
        <v>TúPHN</v>
      </c>
      <c r="F347" s="265" t="str">
        <f>IFERROR(__xludf.DUMMYFUNCTION("""COMPUTED_VALUE"""),"Gold")</f>
        <v>Gold</v>
      </c>
      <c r="G347" s="265" t="str">
        <f>IFERROR(__xludf.DUMMYFUNCTION("""COMPUTED_VALUE"""),"Starter")</f>
        <v>Starter</v>
      </c>
      <c r="H347" s="265" t="str">
        <f>IFERROR(__xludf.DUMMYFUNCTION("""COMPUTED_VALUE"""),"Trả sau")</f>
        <v>Trả sau</v>
      </c>
      <c r="I347" s="265" t="str">
        <f>IFERROR(__xludf.DUMMYFUNCTION("""COMPUTED_VALUE"""),"Portal")</f>
        <v>Portal</v>
      </c>
      <c r="J347" s="265" t="str">
        <f>IFERROR(__xludf.DUMMYFUNCTION("""COMPUTED_VALUE"""),"Zalo ZNS")</f>
        <v>Zalo ZNS</v>
      </c>
      <c r="K347" s="265" t="str">
        <f>IFERROR(__xludf.DUMMYFUNCTION("""COMPUTED_VALUE"""),"LinhNTT1")</f>
        <v>LinhNTT1</v>
      </c>
    </row>
    <row r="348">
      <c r="A348" s="265" t="str">
        <f>IFERROR(__xludf.DUMMYFUNCTION("""COMPUTED_VALUE"""),"645")</f>
        <v>645</v>
      </c>
      <c r="B348" s="265" t="str">
        <f>IFERROR(__xludf.DUMMYFUNCTION("""COMPUTED_VALUE"""),"Hà Nội")</f>
        <v>Hà Nội</v>
      </c>
      <c r="C348" s="265" t="str">
        <f>IFERROR(__xludf.DUMMYFUNCTION("""COMPUTED_VALUE"""),"Locked")</f>
        <v>Locked</v>
      </c>
      <c r="D348" s="265" t="str">
        <f>IFERROR(__xludf.DUMMYFUNCTION("""COMPUTED_VALUE"""),"Y tế &amp; Dược phẩm")</f>
        <v>Y tế &amp; Dược phẩm</v>
      </c>
      <c r="E348" s="265" t="str">
        <f>IFERROR(__xludf.DUMMYFUNCTION("""COMPUTED_VALUE"""),"HangNT")</f>
        <v>HangNT</v>
      </c>
      <c r="F348" s="265" t="str">
        <f>IFERROR(__xludf.DUMMYFUNCTION("""COMPUTED_VALUE"""),"Bronze")</f>
        <v>Bronze</v>
      </c>
      <c r="G348" s="265" t="str">
        <f>IFERROR(__xludf.DUMMYFUNCTION("""COMPUTED_VALUE"""),"Enterprise")</f>
        <v>Enterprise</v>
      </c>
      <c r="H348" s="265" t="str">
        <f>IFERROR(__xludf.DUMMYFUNCTION("""COMPUTED_VALUE"""),"Trả trước")</f>
        <v>Trả trước</v>
      </c>
      <c r="I348" s="265" t="str">
        <f>IFERROR(__xludf.DUMMYFUNCTION("""COMPUTED_VALUE"""),"Portal")</f>
        <v>Portal</v>
      </c>
      <c r="J348" s="265" t="str">
        <f>IFERROR(__xludf.DUMMYFUNCTION("""COMPUTED_VALUE"""),"Zalo ZNS")</f>
        <v>Zalo ZNS</v>
      </c>
      <c r="K348" s="265" t="str">
        <f>IFERROR(__xludf.DUMMYFUNCTION("""COMPUTED_VALUE"""),"(Chưa recheck)")</f>
        <v>(Chưa recheck)</v>
      </c>
    </row>
    <row r="349">
      <c r="A349" s="265" t="str">
        <f>IFERROR(__xludf.DUMMYFUNCTION("""COMPUTED_VALUE"""),"647")</f>
        <v>647</v>
      </c>
      <c r="B349" s="265" t="str">
        <f>IFERROR(__xludf.DUMMYFUNCTION("""COMPUTED_VALUE"""),"Hà Nội")</f>
        <v>Hà Nội</v>
      </c>
      <c r="C349" s="265" t="str">
        <f>IFERROR(__xludf.DUMMYFUNCTION("""COMPUTED_VALUE"""),"Locked")</f>
        <v>Locked</v>
      </c>
      <c r="D349" s="265" t="str">
        <f>IFERROR(__xludf.DUMMYFUNCTION("""COMPUTED_VALUE"""),"Sale chưa cung cấp")</f>
        <v>Sale chưa cung cấp</v>
      </c>
      <c r="E349" s="265" t="str">
        <f>IFERROR(__xludf.DUMMYFUNCTION("""COMPUTED_VALUE"""),"AnhNP")</f>
        <v>AnhNP</v>
      </c>
      <c r="F349" s="265" t="str">
        <f>IFERROR(__xludf.DUMMYFUNCTION("""COMPUTED_VALUE"""),"Sale chưa cung cấp")</f>
        <v>Sale chưa cung cấp</v>
      </c>
      <c r="G349" s="265" t="str">
        <f>IFERROR(__xludf.DUMMYFUNCTION("""COMPUTED_VALUE"""),"MSG")</f>
        <v>MSG</v>
      </c>
      <c r="H349" s="265" t="str">
        <f>IFERROR(__xludf.DUMMYFUNCTION("""COMPUTED_VALUE"""),"Trial")</f>
        <v>Trial</v>
      </c>
      <c r="I349" s="265" t="str">
        <f>IFERROR(__xludf.DUMMYFUNCTION("""COMPUTED_VALUE"""),"Portal")</f>
        <v>Portal</v>
      </c>
      <c r="J349" s="265" t="str">
        <f>IFERROR(__xludf.DUMMYFUNCTION("""COMPUTED_VALUE"""),"Zalo ZNS")</f>
        <v>Zalo ZNS</v>
      </c>
      <c r="K349" s="265" t="str">
        <f>IFERROR(__xludf.DUMMYFUNCTION("""COMPUTED_VALUE"""),"(Không recheck)")</f>
        <v>(Không recheck)</v>
      </c>
    </row>
    <row r="350">
      <c r="A350" s="265" t="str">
        <f>IFERROR(__xludf.DUMMYFUNCTION("""COMPUTED_VALUE"""),"651")</f>
        <v>651</v>
      </c>
      <c r="B350" s="265" t="str">
        <f>IFERROR(__xludf.DUMMYFUNCTION("""COMPUTED_VALUE"""),"Hà Nội")</f>
        <v>Hà Nội</v>
      </c>
      <c r="C350" s="265" t="str">
        <f>IFERROR(__xludf.DUMMYFUNCTION("""COMPUTED_VALUE"""),"Active")</f>
        <v>Active</v>
      </c>
      <c r="D350" s="265" t="str">
        <f>IFERROR(__xludf.DUMMYFUNCTION("""COMPUTED_VALUE"""),"Sản xuất &amp; Chế tạo")</f>
        <v>Sản xuất &amp; Chế tạo</v>
      </c>
      <c r="E350" s="265" t="str">
        <f>IFERROR(__xludf.DUMMYFUNCTION("""COMPUTED_VALUE"""),"TúPHN")</f>
        <v>TúPHN</v>
      </c>
      <c r="F350" s="265" t="str">
        <f>IFERROR(__xludf.DUMMYFUNCTION("""COMPUTED_VALUE"""),"Bronze")</f>
        <v>Bronze</v>
      </c>
      <c r="G350" s="265" t="str">
        <f>IFERROR(__xludf.DUMMYFUNCTION("""COMPUTED_VALUE"""),"Standard")</f>
        <v>Standard</v>
      </c>
      <c r="H350" s="265" t="str">
        <f>IFERROR(__xludf.DUMMYFUNCTION("""COMPUTED_VALUE"""),"Trả trước")</f>
        <v>Trả trước</v>
      </c>
      <c r="I350" s="265" t="str">
        <f>IFERROR(__xludf.DUMMYFUNCTION("""COMPUTED_VALUE"""),"API &amp; Portal")</f>
        <v>API &amp; Portal</v>
      </c>
      <c r="J350" s="265" t="str">
        <f>IFERROR(__xludf.DUMMYFUNCTION("""COMPUTED_VALUE"""),"SMS CSKH")</f>
        <v>SMS CSKH</v>
      </c>
      <c r="K350" s="265" t="str">
        <f>IFERROR(__xludf.DUMMYFUNCTION("""COMPUTED_VALUE"""),"LinhNTT1")</f>
        <v>LinhNTT1</v>
      </c>
    </row>
    <row r="351">
      <c r="A351" s="265" t="str">
        <f>IFERROR(__xludf.DUMMYFUNCTION("""COMPUTED_VALUE"""),"651")</f>
        <v>651</v>
      </c>
      <c r="B351" s="265" t="str">
        <f>IFERROR(__xludf.DUMMYFUNCTION("""COMPUTED_VALUE"""),"Hà Nội")</f>
        <v>Hà Nội</v>
      </c>
      <c r="C351" s="265" t="str">
        <f>IFERROR(__xludf.DUMMYFUNCTION("""COMPUTED_VALUE"""),"Active")</f>
        <v>Active</v>
      </c>
      <c r="D351" s="265" t="str">
        <f>IFERROR(__xludf.DUMMYFUNCTION("""COMPUTED_VALUE"""),"Sản xuất &amp; Chế tạo")</f>
        <v>Sản xuất &amp; Chế tạo</v>
      </c>
      <c r="E351" s="265" t="str">
        <f>IFERROR(__xludf.DUMMYFUNCTION("""COMPUTED_VALUE"""),"TúPHN")</f>
        <v>TúPHN</v>
      </c>
      <c r="F351" s="265" t="str">
        <f>IFERROR(__xludf.DUMMYFUNCTION("""COMPUTED_VALUE"""),"Bronze")</f>
        <v>Bronze</v>
      </c>
      <c r="G351" s="265" t="str">
        <f>IFERROR(__xludf.DUMMYFUNCTION("""COMPUTED_VALUE"""),"Standard")</f>
        <v>Standard</v>
      </c>
      <c r="H351" s="265" t="str">
        <f>IFERROR(__xludf.DUMMYFUNCTION("""COMPUTED_VALUE"""),"Trả trước")</f>
        <v>Trả trước</v>
      </c>
      <c r="I351" s="265" t="str">
        <f>IFERROR(__xludf.DUMMYFUNCTION("""COMPUTED_VALUE"""),"API &amp; Portal")</f>
        <v>API &amp; Portal</v>
      </c>
      <c r="J351" s="265" t="str">
        <f>IFERROR(__xludf.DUMMYFUNCTION("""COMPUTED_VALUE"""),"SMS QC")</f>
        <v>SMS QC</v>
      </c>
      <c r="K351" s="265" t="str">
        <f>IFERROR(__xludf.DUMMYFUNCTION("""COMPUTED_VALUE"""),"LinhNTT1")</f>
        <v>LinhNTT1</v>
      </c>
    </row>
    <row r="352">
      <c r="A352" s="265" t="str">
        <f>IFERROR(__xludf.DUMMYFUNCTION("""COMPUTED_VALUE"""),"651")</f>
        <v>651</v>
      </c>
      <c r="B352" s="265" t="str">
        <f>IFERROR(__xludf.DUMMYFUNCTION("""COMPUTED_VALUE"""),"Hà Nội")</f>
        <v>Hà Nội</v>
      </c>
      <c r="C352" s="265" t="str">
        <f>IFERROR(__xludf.DUMMYFUNCTION("""COMPUTED_VALUE"""),"Active")</f>
        <v>Active</v>
      </c>
      <c r="D352" s="265" t="str">
        <f>IFERROR(__xludf.DUMMYFUNCTION("""COMPUTED_VALUE"""),"Sản xuất &amp; Chế tạo")</f>
        <v>Sản xuất &amp; Chế tạo</v>
      </c>
      <c r="E352" s="265" t="str">
        <f>IFERROR(__xludf.DUMMYFUNCTION("""COMPUTED_VALUE"""),"TúPHN")</f>
        <v>TúPHN</v>
      </c>
      <c r="F352" s="265" t="str">
        <f>IFERROR(__xludf.DUMMYFUNCTION("""COMPUTED_VALUE"""),"Bronze")</f>
        <v>Bronze</v>
      </c>
      <c r="G352" s="265" t="str">
        <f>IFERROR(__xludf.DUMMYFUNCTION("""COMPUTED_VALUE"""),"Standard")</f>
        <v>Standard</v>
      </c>
      <c r="H352" s="265" t="str">
        <f>IFERROR(__xludf.DUMMYFUNCTION("""COMPUTED_VALUE"""),"Trả trước")</f>
        <v>Trả trước</v>
      </c>
      <c r="I352" s="265" t="str">
        <f>IFERROR(__xludf.DUMMYFUNCTION("""COMPUTED_VALUE"""),"API &amp; Portal")</f>
        <v>API &amp; Portal</v>
      </c>
      <c r="J352" s="265" t="str">
        <f>IFERROR(__xludf.DUMMYFUNCTION("""COMPUTED_VALUE"""),"Zalo ZNS")</f>
        <v>Zalo ZNS</v>
      </c>
      <c r="K352" s="265" t="str">
        <f>IFERROR(__xludf.DUMMYFUNCTION("""COMPUTED_VALUE"""),"LinhNTT1")</f>
        <v>LinhNTT1</v>
      </c>
    </row>
    <row r="353">
      <c r="A353" s="265" t="str">
        <f>IFERROR(__xludf.DUMMYFUNCTION("""COMPUTED_VALUE"""),"646")</f>
        <v>646</v>
      </c>
      <c r="B353" s="265" t="str">
        <f>IFERROR(__xludf.DUMMYFUNCTION("""COMPUTED_VALUE"""),"Sài Gòn")</f>
        <v>Sài Gòn</v>
      </c>
      <c r="C353" s="265" t="str">
        <f>IFERROR(__xludf.DUMMYFUNCTION("""COMPUTED_VALUE"""),"Locked")</f>
        <v>Locked</v>
      </c>
      <c r="D353" s="265" t="str">
        <f>IFERROR(__xludf.DUMMYFUNCTION("""COMPUTED_VALUE"""),"Hành chính công")</f>
        <v>Hành chính công</v>
      </c>
      <c r="E353" s="265" t="str">
        <f>IFERROR(__xludf.DUMMYFUNCTION("""COMPUTED_VALUE"""),"TùngLD")</f>
        <v>TùngLD</v>
      </c>
      <c r="F353" s="265" t="str">
        <f>IFERROR(__xludf.DUMMYFUNCTION("""COMPUTED_VALUE"""),"Gold")</f>
        <v>Gold</v>
      </c>
      <c r="G353" s="265" t="str">
        <f>IFERROR(__xludf.DUMMYFUNCTION("""COMPUTED_VALUE"""),"Enterprise")</f>
        <v>Enterprise</v>
      </c>
      <c r="H353" s="265" t="str">
        <f>IFERROR(__xludf.DUMMYFUNCTION("""COMPUTED_VALUE"""),"(Chưa recheck)")</f>
        <v>(Chưa recheck)</v>
      </c>
      <c r="I353" s="265" t="str">
        <f>IFERROR(__xludf.DUMMYFUNCTION("""COMPUTED_VALUE"""),"Portal")</f>
        <v>Portal</v>
      </c>
      <c r="J353" s="265" t="str">
        <f>IFERROR(__xludf.DUMMYFUNCTION("""COMPUTED_VALUE"""),"Zalo ZNS")</f>
        <v>Zalo ZNS</v>
      </c>
      <c r="K353" s="265" t="str">
        <f>IFERROR(__xludf.DUMMYFUNCTION("""COMPUTED_VALUE"""),"AnhNM")</f>
        <v>AnhNM</v>
      </c>
    </row>
    <row r="354">
      <c r="A354" s="265" t="str">
        <f>IFERROR(__xludf.DUMMYFUNCTION("""COMPUTED_VALUE"""),"648")</f>
        <v>648</v>
      </c>
      <c r="B354" s="265" t="str">
        <f>IFERROR(__xludf.DUMMYFUNCTION("""COMPUTED_VALUE"""),"Sài Gòn")</f>
        <v>Sài Gòn</v>
      </c>
      <c r="C354" s="265" t="str">
        <f>IFERROR(__xludf.DUMMYFUNCTION("""COMPUTED_VALUE"""),"Locked")</f>
        <v>Locked</v>
      </c>
      <c r="D354" s="265" t="str">
        <f>IFERROR(__xludf.DUMMYFUNCTION("""COMPUTED_VALUE"""),"Sale chưa cung cấp")</f>
        <v>Sale chưa cung cấp</v>
      </c>
      <c r="E354" s="265" t="str">
        <f>IFERROR(__xludf.DUMMYFUNCTION("""COMPUTED_VALUE"""),"(Không recheck)")</f>
        <v>(Không recheck)</v>
      </c>
      <c r="F354" s="265" t="str">
        <f>IFERROR(__xludf.DUMMYFUNCTION("""COMPUTED_VALUE"""),"Diamond")</f>
        <v>Diamond</v>
      </c>
      <c r="G354" s="265" t="str">
        <f>IFERROR(__xludf.DUMMYFUNCTION("""COMPUTED_VALUE"""),"Enterprise")</f>
        <v>Enterprise</v>
      </c>
      <c r="H354" s="265" t="str">
        <f>IFERROR(__xludf.DUMMYFUNCTION("""COMPUTED_VALUE"""),"Trial")</f>
        <v>Trial</v>
      </c>
      <c r="I354" s="265" t="str">
        <f>IFERROR(__xludf.DUMMYFUNCTION("""COMPUTED_VALUE"""),"(Không recheck)")</f>
        <v>(Không recheck)</v>
      </c>
      <c r="J354" s="265" t="str">
        <f>IFERROR(__xludf.DUMMYFUNCTION("""COMPUTED_VALUE"""),"(Không recheck)")</f>
        <v>(Không recheck)</v>
      </c>
      <c r="K354" s="265" t="str">
        <f>IFERROR(__xludf.DUMMYFUNCTION("""COMPUTED_VALUE"""),"(Không recheck)")</f>
        <v>(Không recheck)</v>
      </c>
    </row>
    <row r="355">
      <c r="A355" s="265" t="str">
        <f>IFERROR(__xludf.DUMMYFUNCTION("""COMPUTED_VALUE"""),"649")</f>
        <v>649</v>
      </c>
      <c r="B355" s="265" t="str">
        <f>IFERROR(__xludf.DUMMYFUNCTION("""COMPUTED_VALUE"""),"Sài Gòn")</f>
        <v>Sài Gòn</v>
      </c>
      <c r="C355" s="265" t="str">
        <f>IFERROR(__xludf.DUMMYFUNCTION("""COMPUTED_VALUE"""),"Locked")</f>
        <v>Locked</v>
      </c>
      <c r="D355" s="265" t="str">
        <f>IFERROR(__xludf.DUMMYFUNCTION("""COMPUTED_VALUE"""),"Sale chưa cung cấp")</f>
        <v>Sale chưa cung cấp</v>
      </c>
      <c r="E355" s="265" t="str">
        <f>IFERROR(__xludf.DUMMYFUNCTION("""COMPUTED_VALUE"""),"HoaNTM")</f>
        <v>HoaNTM</v>
      </c>
      <c r="F355" s="265" t="str">
        <f>IFERROR(__xludf.DUMMYFUNCTION("""COMPUTED_VALUE"""),"Silver")</f>
        <v>Silver</v>
      </c>
      <c r="G355" s="265" t="str">
        <f>IFERROR(__xludf.DUMMYFUNCTION("""COMPUTED_VALUE"""),"Enterprise")</f>
        <v>Enterprise</v>
      </c>
      <c r="H355" s="265" t="str">
        <f>IFERROR(__xludf.DUMMYFUNCTION("""COMPUTED_VALUE"""),"(Chưa recheck)")</f>
        <v>(Chưa recheck)</v>
      </c>
      <c r="I355" s="265" t="str">
        <f>IFERROR(__xludf.DUMMYFUNCTION("""COMPUTED_VALUE"""),"(Chưa recheck)")</f>
        <v>(Chưa recheck)</v>
      </c>
      <c r="J355" s="265" t="str">
        <f>IFERROR(__xludf.DUMMYFUNCTION("""COMPUTED_VALUE"""),"GapOne")</f>
        <v>GapOne</v>
      </c>
      <c r="K355" s="265" t="str">
        <f>IFERROR(__xludf.DUMMYFUNCTION("""COMPUTED_VALUE"""),"DungPL")</f>
        <v>DungPL</v>
      </c>
    </row>
    <row r="356">
      <c r="A356" s="265" t="str">
        <f>IFERROR(__xludf.DUMMYFUNCTION("""COMPUTED_VALUE"""),"650")</f>
        <v>650</v>
      </c>
      <c r="B356" s="265" t="str">
        <f>IFERROR(__xludf.DUMMYFUNCTION("""COMPUTED_VALUE"""),"Hà Nội")</f>
        <v>Hà Nội</v>
      </c>
      <c r="C356" s="265" t="str">
        <f>IFERROR(__xludf.DUMMYFUNCTION("""COMPUTED_VALUE"""),"Active")</f>
        <v>Active</v>
      </c>
      <c r="D356" s="265" t="str">
        <f>IFERROR(__xludf.DUMMYFUNCTION("""COMPUTED_VALUE"""),"Sản xuất &amp; Chế tạo")</f>
        <v>Sản xuất &amp; Chế tạo</v>
      </c>
      <c r="E356" s="265" t="str">
        <f>IFERROR(__xludf.DUMMYFUNCTION("""COMPUTED_VALUE"""),"AnhNM")</f>
        <v>AnhNM</v>
      </c>
      <c r="F356" s="265" t="str">
        <f>IFERROR(__xludf.DUMMYFUNCTION("""COMPUTED_VALUE"""),"Bronze")</f>
        <v>Bronze</v>
      </c>
      <c r="G356" s="265" t="str">
        <f>IFERROR(__xludf.DUMMYFUNCTION("""COMPUTED_VALUE"""),"Premium")</f>
        <v>Premium</v>
      </c>
      <c r="H356" s="265" t="str">
        <f>IFERROR(__xludf.DUMMYFUNCTION("""COMPUTED_VALUE"""),"Trả sau")</f>
        <v>Trả sau</v>
      </c>
      <c r="I356" s="265" t="str">
        <f>IFERROR(__xludf.DUMMYFUNCTION("""COMPUTED_VALUE"""),"API")</f>
        <v>API</v>
      </c>
      <c r="J356" s="265" t="str">
        <f>IFERROR(__xludf.DUMMYFUNCTION("""COMPUTED_VALUE"""),"Zalo ZNS")</f>
        <v>Zalo ZNS</v>
      </c>
      <c r="K356" s="265" t="str">
        <f>IFERROR(__xludf.DUMMYFUNCTION("""COMPUTED_VALUE"""),"LinhNTT1")</f>
        <v>LinhNTT1</v>
      </c>
    </row>
    <row r="357">
      <c r="A357" s="265" t="str">
        <f>IFERROR(__xludf.DUMMYFUNCTION("""COMPUTED_VALUE"""),"652")</f>
        <v>652</v>
      </c>
      <c r="B357" s="265" t="str">
        <f>IFERROR(__xludf.DUMMYFUNCTION("""COMPUTED_VALUE"""),"Hà Nội")</f>
        <v>Hà Nội</v>
      </c>
      <c r="C357" s="265" t="str">
        <f>IFERROR(__xludf.DUMMYFUNCTION("""COMPUTED_VALUE"""),"Locked")</f>
        <v>Locked</v>
      </c>
      <c r="D357" s="265" t="str">
        <f>IFERROR(__xludf.DUMMYFUNCTION("""COMPUTED_VALUE"""),"Y tế &amp; Dược phẩm")</f>
        <v>Y tế &amp; Dược phẩm</v>
      </c>
      <c r="E357" s="265" t="str">
        <f>IFERROR(__xludf.DUMMYFUNCTION("""COMPUTED_VALUE"""),"NamDT")</f>
        <v>NamDT</v>
      </c>
      <c r="F357" s="265" t="str">
        <f>IFERROR(__xludf.DUMMYFUNCTION("""COMPUTED_VALUE"""),"Sale chưa cung cấp")</f>
        <v>Sale chưa cung cấp</v>
      </c>
      <c r="G357" s="265" t="str">
        <f>IFERROR(__xludf.DUMMYFUNCTION("""COMPUTED_VALUE"""),"Enterprise")</f>
        <v>Enterprise</v>
      </c>
      <c r="H357" s="265" t="str">
        <f>IFERROR(__xludf.DUMMYFUNCTION("""COMPUTED_VALUE"""),"Trả trước")</f>
        <v>Trả trước</v>
      </c>
      <c r="I357" s="265" t="str">
        <f>IFERROR(__xludf.DUMMYFUNCTION("""COMPUTED_VALUE"""),"Portal")</f>
        <v>Portal</v>
      </c>
      <c r="J357" s="265" t="str">
        <f>IFERROR(__xludf.DUMMYFUNCTION("""COMPUTED_VALUE"""),"Zalo ZNS")</f>
        <v>Zalo ZNS</v>
      </c>
      <c r="K357" s="265" t="str">
        <f>IFERROR(__xludf.DUMMYFUNCTION("""COMPUTED_VALUE"""),"(Chưa recheck)")</f>
        <v>(Chưa recheck)</v>
      </c>
    </row>
    <row r="358">
      <c r="A358" s="265" t="str">
        <f>IFERROR(__xludf.DUMMYFUNCTION("""COMPUTED_VALUE"""),"654")</f>
        <v>654</v>
      </c>
      <c r="B358" s="265" t="str">
        <f>IFERROR(__xludf.DUMMYFUNCTION("""COMPUTED_VALUE"""),"Sài Gòn")</f>
        <v>Sài Gòn</v>
      </c>
      <c r="C358" s="265" t="str">
        <f>IFERROR(__xludf.DUMMYFUNCTION("""COMPUTED_VALUE"""),"Locked")</f>
        <v>Locked</v>
      </c>
      <c r="D358" s="265" t="str">
        <f>IFERROR(__xludf.DUMMYFUNCTION("""COMPUTED_VALUE"""),"Viễn thông")</f>
        <v>Viễn thông</v>
      </c>
      <c r="E358" s="265" t="str">
        <f>IFERROR(__xludf.DUMMYFUNCTION("""COMPUTED_VALUE"""),"HoaNTM")</f>
        <v>HoaNTM</v>
      </c>
      <c r="F358" s="265" t="str">
        <f>IFERROR(__xludf.DUMMYFUNCTION("""COMPUTED_VALUE"""),"Sale chưa cung cấp")</f>
        <v>Sale chưa cung cấp</v>
      </c>
      <c r="G358" s="265" t="str">
        <f>IFERROR(__xludf.DUMMYFUNCTION("""COMPUTED_VALUE"""),"Enterprise")</f>
        <v>Enterprise</v>
      </c>
      <c r="H358" s="265" t="str">
        <f>IFERROR(__xludf.DUMMYFUNCTION("""COMPUTED_VALUE"""),"Trả sau")</f>
        <v>Trả sau</v>
      </c>
      <c r="I358" s="265" t="str">
        <f>IFERROR(__xludf.DUMMYFUNCTION("""COMPUTED_VALUE"""),"API &amp; Portal")</f>
        <v>API &amp; Portal</v>
      </c>
      <c r="J358" s="265" t="str">
        <f>IFERROR(__xludf.DUMMYFUNCTION("""COMPUTED_VALUE"""),"GapOne")</f>
        <v>GapOne</v>
      </c>
      <c r="K358" s="265" t="str">
        <f>IFERROR(__xludf.DUMMYFUNCTION("""COMPUTED_VALUE"""),"AnhNM")</f>
        <v>AnhNM</v>
      </c>
    </row>
    <row r="359">
      <c r="A359" s="265" t="str">
        <f>IFERROR(__xludf.DUMMYFUNCTION("""COMPUTED_VALUE"""),"655")</f>
        <v>655</v>
      </c>
      <c r="B359" s="265" t="str">
        <f>IFERROR(__xludf.DUMMYFUNCTION("""COMPUTED_VALUE"""),"Sài Gòn")</f>
        <v>Sài Gòn</v>
      </c>
      <c r="C359" s="265" t="str">
        <f>IFERROR(__xludf.DUMMYFUNCTION("""COMPUTED_VALUE"""),"Active")</f>
        <v>Active</v>
      </c>
      <c r="D359" s="265" t="str">
        <f>IFERROR(__xludf.DUMMYFUNCTION("""COMPUTED_VALUE"""),"Thực phẩm &amp; Đồ uống")</f>
        <v>Thực phẩm &amp; Đồ uống</v>
      </c>
      <c r="E359" s="265" t="str">
        <f>IFERROR(__xludf.DUMMYFUNCTION("""COMPUTED_VALUE"""),"TùngLD")</f>
        <v>TùngLD</v>
      </c>
      <c r="F359" s="265" t="str">
        <f>IFERROR(__xludf.DUMMYFUNCTION("""COMPUTED_VALUE"""),"Diamond")</f>
        <v>Diamond</v>
      </c>
      <c r="G359" s="265" t="str">
        <f>IFERROR(__xludf.DUMMYFUNCTION("""COMPUTED_VALUE"""),"Enterprise")</f>
        <v>Enterprise</v>
      </c>
      <c r="H359" s="265" t="str">
        <f>IFERROR(__xludf.DUMMYFUNCTION("""COMPUTED_VALUE"""),"Trả sau")</f>
        <v>Trả sau</v>
      </c>
      <c r="I359" s="265" t="str">
        <f>IFERROR(__xludf.DUMMYFUNCTION("""COMPUTED_VALUE"""),"API")</f>
        <v>API</v>
      </c>
      <c r="J359" s="265" t="str">
        <f>IFERROR(__xludf.DUMMYFUNCTION("""COMPUTED_VALUE"""),"Zalo ZNS")</f>
        <v>Zalo ZNS</v>
      </c>
      <c r="K359" s="265" t="str">
        <f>IFERROR(__xludf.DUMMYFUNCTION("""COMPUTED_VALUE"""),"Không phân công")</f>
        <v>Không phân công</v>
      </c>
    </row>
    <row r="360">
      <c r="A360" s="265" t="str">
        <f>IFERROR(__xludf.DUMMYFUNCTION("""COMPUTED_VALUE"""),"656")</f>
        <v>656</v>
      </c>
      <c r="B360" s="265" t="str">
        <f>IFERROR(__xludf.DUMMYFUNCTION("""COMPUTED_VALUE"""),"Hà Nội")</f>
        <v>Hà Nội</v>
      </c>
      <c r="C360" s="265" t="str">
        <f>IFERROR(__xludf.DUMMYFUNCTION("""COMPUTED_VALUE"""),"Locked")</f>
        <v>Locked</v>
      </c>
      <c r="D360" s="265" t="str">
        <f>IFERROR(__xludf.DUMMYFUNCTION("""COMPUTED_VALUE"""),"Giáo dục &amp; Đào tạo")</f>
        <v>Giáo dục &amp; Đào tạo</v>
      </c>
      <c r="E360" s="265" t="str">
        <f>IFERROR(__xludf.DUMMYFUNCTION("""COMPUTED_VALUE"""),"AnhNP")</f>
        <v>AnhNP</v>
      </c>
      <c r="F360" s="265" t="str">
        <f>IFERROR(__xludf.DUMMYFUNCTION("""COMPUTED_VALUE"""),"Sale chưa cung cấp")</f>
        <v>Sale chưa cung cấp</v>
      </c>
      <c r="G360" s="265" t="str">
        <f>IFERROR(__xludf.DUMMYFUNCTION("""COMPUTED_VALUE"""),"Enterprise")</f>
        <v>Enterprise</v>
      </c>
      <c r="H360" s="265" t="str">
        <f>IFERROR(__xludf.DUMMYFUNCTION("""COMPUTED_VALUE"""),"Trả trước")</f>
        <v>Trả trước</v>
      </c>
      <c r="I360" s="265" t="str">
        <f>IFERROR(__xludf.DUMMYFUNCTION("""COMPUTED_VALUE"""),"Portal")</f>
        <v>Portal</v>
      </c>
      <c r="J360" s="265" t="str">
        <f>IFERROR(__xludf.DUMMYFUNCTION("""COMPUTED_VALUE"""),"Tất cả")</f>
        <v>Tất cả</v>
      </c>
      <c r="K360" s="265" t="str">
        <f>IFERROR(__xludf.DUMMYFUNCTION("""COMPUTED_VALUE"""),"(Chưa recheck)")</f>
        <v>(Chưa recheck)</v>
      </c>
    </row>
    <row r="361">
      <c r="A361" s="265" t="str">
        <f>IFERROR(__xludf.DUMMYFUNCTION("""COMPUTED_VALUE"""),"674")</f>
        <v>674</v>
      </c>
      <c r="B361" s="265" t="str">
        <f>IFERROR(__xludf.DUMMYFUNCTION("""COMPUTED_VALUE"""),"Hà Nội")</f>
        <v>Hà Nội</v>
      </c>
      <c r="C361" s="265" t="str">
        <f>IFERROR(__xludf.DUMMYFUNCTION("""COMPUTED_VALUE"""),"Active")</f>
        <v>Active</v>
      </c>
      <c r="D361" s="265" t="str">
        <f>IFERROR(__xludf.DUMMYFUNCTION("""COMPUTED_VALUE"""),"Mua sắm &amp; Bán lẻ")</f>
        <v>Mua sắm &amp; Bán lẻ</v>
      </c>
      <c r="E361" s="265" t="str">
        <f>IFERROR(__xludf.DUMMYFUNCTION("""COMPUTED_VALUE"""),"TúPHN")</f>
        <v>TúPHN</v>
      </c>
      <c r="F361" s="265" t="str">
        <f>IFERROR(__xludf.DUMMYFUNCTION("""COMPUTED_VALUE"""),"Diamond")</f>
        <v>Diamond</v>
      </c>
      <c r="G361" s="265" t="str">
        <f>IFERROR(__xludf.DUMMYFUNCTION("""COMPUTED_VALUE"""),"Enterprise")</f>
        <v>Enterprise</v>
      </c>
      <c r="H361" s="265" t="str">
        <f>IFERROR(__xludf.DUMMYFUNCTION("""COMPUTED_VALUE"""),"Trả sau")</f>
        <v>Trả sau</v>
      </c>
      <c r="I361" s="265" t="str">
        <f>IFERROR(__xludf.DUMMYFUNCTION("""COMPUTED_VALUE"""),"Portal")</f>
        <v>Portal</v>
      </c>
      <c r="J361" s="265" t="str">
        <f>IFERROR(__xludf.DUMMYFUNCTION("""COMPUTED_VALUE"""),"Tất cả")</f>
        <v>Tất cả</v>
      </c>
      <c r="K361" s="265" t="str">
        <f>IFERROR(__xludf.DUMMYFUNCTION("""COMPUTED_VALUE"""),"DungPL")</f>
        <v>DungPL</v>
      </c>
    </row>
    <row r="362">
      <c r="A362" s="265" t="str">
        <f>IFERROR(__xludf.DUMMYFUNCTION("""COMPUTED_VALUE"""),"659")</f>
        <v>659</v>
      </c>
      <c r="B362" s="265" t="str">
        <f>IFERROR(__xludf.DUMMYFUNCTION("""COMPUTED_VALUE"""),"Hà Nội")</f>
        <v>Hà Nội</v>
      </c>
      <c r="C362" s="265" t="str">
        <f>IFERROR(__xludf.DUMMYFUNCTION("""COMPUTED_VALUE"""),"Locked")</f>
        <v>Locked</v>
      </c>
      <c r="D362" s="265" t="str">
        <f>IFERROR(__xludf.DUMMYFUNCTION("""COMPUTED_VALUE"""),"Tài chính &amp; Ngân hàng")</f>
        <v>Tài chính &amp; Ngân hàng</v>
      </c>
      <c r="E362" s="265" t="str">
        <f>IFERROR(__xludf.DUMMYFUNCTION("""COMPUTED_VALUE"""),"NamDT")</f>
        <v>NamDT</v>
      </c>
      <c r="F362" s="265" t="str">
        <f>IFERROR(__xludf.DUMMYFUNCTION("""COMPUTED_VALUE"""),"Sale chưa cung cấp")</f>
        <v>Sale chưa cung cấp</v>
      </c>
      <c r="G362" s="265" t="str">
        <f>IFERROR(__xludf.DUMMYFUNCTION("""COMPUTED_VALUE"""),"Enterprise")</f>
        <v>Enterprise</v>
      </c>
      <c r="H362" s="265" t="str">
        <f>IFERROR(__xludf.DUMMYFUNCTION("""COMPUTED_VALUE"""),"Trial")</f>
        <v>Trial</v>
      </c>
      <c r="I362" s="265" t="str">
        <f>IFERROR(__xludf.DUMMYFUNCTION("""COMPUTED_VALUE"""),"API")</f>
        <v>API</v>
      </c>
      <c r="J362" s="265" t="str">
        <f>IFERROR(__xludf.DUMMYFUNCTION("""COMPUTED_VALUE"""),"Tất cả")</f>
        <v>Tất cả</v>
      </c>
      <c r="K362" s="265" t="str">
        <f>IFERROR(__xludf.DUMMYFUNCTION("""COMPUTED_VALUE"""),"YếnĐH")</f>
        <v>YếnĐH</v>
      </c>
    </row>
    <row r="363">
      <c r="A363" s="265" t="str">
        <f>IFERROR(__xludf.DUMMYFUNCTION("""COMPUTED_VALUE"""),"658")</f>
        <v>658</v>
      </c>
      <c r="B363" s="265" t="str">
        <f>IFERROR(__xludf.DUMMYFUNCTION("""COMPUTED_VALUE"""),"Sài Gòn")</f>
        <v>Sài Gòn</v>
      </c>
      <c r="C363" s="265" t="str">
        <f>IFERROR(__xludf.DUMMYFUNCTION("""COMPUTED_VALUE"""),"Active")</f>
        <v>Active</v>
      </c>
      <c r="D363" s="265" t="str">
        <f>IFERROR(__xludf.DUMMYFUNCTION("""COMPUTED_VALUE"""),"Công nghệ &amp; Phần mềm")</f>
        <v>Công nghệ &amp; Phần mềm</v>
      </c>
      <c r="E363" s="265" t="str">
        <f>IFERROR(__xludf.DUMMYFUNCTION("""COMPUTED_VALUE"""),"TúPHN")</f>
        <v>TúPHN</v>
      </c>
      <c r="F363" s="265" t="str">
        <f>IFERROR(__xludf.DUMMYFUNCTION("""COMPUTED_VALUE"""),"Gold")</f>
        <v>Gold</v>
      </c>
      <c r="G363" s="265" t="str">
        <f>IFERROR(__xludf.DUMMYFUNCTION("""COMPUTED_VALUE"""),"Premium")</f>
        <v>Premium</v>
      </c>
      <c r="H363" s="265" t="str">
        <f>IFERROR(__xludf.DUMMYFUNCTION("""COMPUTED_VALUE"""),"Trả sau")</f>
        <v>Trả sau</v>
      </c>
      <c r="I363" s="265" t="str">
        <f>IFERROR(__xludf.DUMMYFUNCTION("""COMPUTED_VALUE"""),"API")</f>
        <v>API</v>
      </c>
      <c r="J363" s="265" t="str">
        <f>IFERROR(__xludf.DUMMYFUNCTION("""COMPUTED_VALUE"""),"Zalo ZNS")</f>
        <v>Zalo ZNS</v>
      </c>
      <c r="K363" s="265" t="str">
        <f>IFERROR(__xludf.DUMMYFUNCTION("""COMPUTED_VALUE"""),"LinhNTT1")</f>
        <v>LinhNTT1</v>
      </c>
    </row>
    <row r="364">
      <c r="A364" s="265" t="str">
        <f>IFERROR(__xludf.DUMMYFUNCTION("""COMPUTED_VALUE"""),"660")</f>
        <v>660</v>
      </c>
      <c r="B364" s="265" t="str">
        <f>IFERROR(__xludf.DUMMYFUNCTION("""COMPUTED_VALUE"""),"Sài Gòn")</f>
        <v>Sài Gòn</v>
      </c>
      <c r="C364" s="265" t="str">
        <f>IFERROR(__xludf.DUMMYFUNCTION("""COMPUTED_VALUE"""),"Active")</f>
        <v>Active</v>
      </c>
      <c r="D364" s="265" t="str">
        <f>IFERROR(__xludf.DUMMYFUNCTION("""COMPUTED_VALUE"""),"Sale chưa cung cấp")</f>
        <v>Sale chưa cung cấp</v>
      </c>
      <c r="E364" s="265" t="str">
        <f>IFERROR(__xludf.DUMMYFUNCTION("""COMPUTED_VALUE"""),"TùngLD")</f>
        <v>TùngLD</v>
      </c>
      <c r="F364" s="265" t="str">
        <f>IFERROR(__xludf.DUMMYFUNCTION("""COMPUTED_VALUE"""),"Diamond")</f>
        <v>Diamond</v>
      </c>
      <c r="G364" s="265" t="str">
        <f>IFERROR(__xludf.DUMMYFUNCTION("""COMPUTED_VALUE"""),"Starter")</f>
        <v>Starter</v>
      </c>
      <c r="H364" s="265" t="str">
        <f>IFERROR(__xludf.DUMMYFUNCTION("""COMPUTED_VALUE"""),"Trả sau")</f>
        <v>Trả sau</v>
      </c>
      <c r="I364" s="265" t="str">
        <f>IFERROR(__xludf.DUMMYFUNCTION("""COMPUTED_VALUE"""),"Portal")</f>
        <v>Portal</v>
      </c>
      <c r="J364" s="265" t="str">
        <f>IFERROR(__xludf.DUMMYFUNCTION("""COMPUTED_VALUE"""),"SMS CSKH")</f>
        <v>SMS CSKH</v>
      </c>
      <c r="K364" s="265" t="str">
        <f>IFERROR(__xludf.DUMMYFUNCTION("""COMPUTED_VALUE"""),"LinhNTT1")</f>
        <v>LinhNTT1</v>
      </c>
    </row>
    <row r="365">
      <c r="A365" s="265" t="str">
        <f>IFERROR(__xludf.DUMMYFUNCTION("""COMPUTED_VALUE"""),"660")</f>
        <v>660</v>
      </c>
      <c r="B365" s="265" t="str">
        <f>IFERROR(__xludf.DUMMYFUNCTION("""COMPUTED_VALUE"""),"Sài Gòn")</f>
        <v>Sài Gòn</v>
      </c>
      <c r="C365" s="265" t="str">
        <f>IFERROR(__xludf.DUMMYFUNCTION("""COMPUTED_VALUE"""),"Active")</f>
        <v>Active</v>
      </c>
      <c r="D365" s="265" t="str">
        <f>IFERROR(__xludf.DUMMYFUNCTION("""COMPUTED_VALUE"""),"Sale chưa cung cấp")</f>
        <v>Sale chưa cung cấp</v>
      </c>
      <c r="E365" s="265" t="str">
        <f>IFERROR(__xludf.DUMMYFUNCTION("""COMPUTED_VALUE"""),"TùngLD")</f>
        <v>TùngLD</v>
      </c>
      <c r="F365" s="265" t="str">
        <f>IFERROR(__xludf.DUMMYFUNCTION("""COMPUTED_VALUE"""),"Diamond")</f>
        <v>Diamond</v>
      </c>
      <c r="G365" s="265" t="str">
        <f>IFERROR(__xludf.DUMMYFUNCTION("""COMPUTED_VALUE"""),"Starter")</f>
        <v>Starter</v>
      </c>
      <c r="H365" s="265" t="str">
        <f>IFERROR(__xludf.DUMMYFUNCTION("""COMPUTED_VALUE"""),"Trả sau")</f>
        <v>Trả sau</v>
      </c>
      <c r="I365" s="265" t="str">
        <f>IFERROR(__xludf.DUMMYFUNCTION("""COMPUTED_VALUE"""),"Portal")</f>
        <v>Portal</v>
      </c>
      <c r="J365" s="265" t="str">
        <f>IFERROR(__xludf.DUMMYFUNCTION("""COMPUTED_VALUE"""),"SMS QC")</f>
        <v>SMS QC</v>
      </c>
      <c r="K365" s="265" t="str">
        <f>IFERROR(__xludf.DUMMYFUNCTION("""COMPUTED_VALUE"""),"LinhNTT1")</f>
        <v>LinhNTT1</v>
      </c>
    </row>
    <row r="366">
      <c r="A366" s="265" t="str">
        <f>IFERROR(__xludf.DUMMYFUNCTION("""COMPUTED_VALUE"""),"660")</f>
        <v>660</v>
      </c>
      <c r="B366" s="265" t="str">
        <f>IFERROR(__xludf.DUMMYFUNCTION("""COMPUTED_VALUE"""),"Sài Gòn")</f>
        <v>Sài Gòn</v>
      </c>
      <c r="C366" s="265" t="str">
        <f>IFERROR(__xludf.DUMMYFUNCTION("""COMPUTED_VALUE"""),"Active")</f>
        <v>Active</v>
      </c>
      <c r="D366" s="265" t="str">
        <f>IFERROR(__xludf.DUMMYFUNCTION("""COMPUTED_VALUE"""),"Sale chưa cung cấp")</f>
        <v>Sale chưa cung cấp</v>
      </c>
      <c r="E366" s="265" t="str">
        <f>IFERROR(__xludf.DUMMYFUNCTION("""COMPUTED_VALUE"""),"TùngLD")</f>
        <v>TùngLD</v>
      </c>
      <c r="F366" s="265" t="str">
        <f>IFERROR(__xludf.DUMMYFUNCTION("""COMPUTED_VALUE"""),"Diamond")</f>
        <v>Diamond</v>
      </c>
      <c r="G366" s="265" t="str">
        <f>IFERROR(__xludf.DUMMYFUNCTION("""COMPUTED_VALUE"""),"Starter")</f>
        <v>Starter</v>
      </c>
      <c r="H366" s="265" t="str">
        <f>IFERROR(__xludf.DUMMYFUNCTION("""COMPUTED_VALUE"""),"Trả sau")</f>
        <v>Trả sau</v>
      </c>
      <c r="I366" s="265" t="str">
        <f>IFERROR(__xludf.DUMMYFUNCTION("""COMPUTED_VALUE"""),"Portal")</f>
        <v>Portal</v>
      </c>
      <c r="J366" s="265" t="str">
        <f>IFERROR(__xludf.DUMMYFUNCTION("""COMPUTED_VALUE"""),"Zalo ZNS")</f>
        <v>Zalo ZNS</v>
      </c>
      <c r="K366" s="265" t="str">
        <f>IFERROR(__xludf.DUMMYFUNCTION("""COMPUTED_VALUE"""),"LinhNTT1")</f>
        <v>LinhNTT1</v>
      </c>
    </row>
    <row r="367">
      <c r="A367" s="265" t="str">
        <f>IFERROR(__xludf.DUMMYFUNCTION("""COMPUTED_VALUE"""),"661")</f>
        <v>661</v>
      </c>
      <c r="B367" s="265" t="str">
        <f>IFERROR(__xludf.DUMMYFUNCTION("""COMPUTED_VALUE"""),"Hà Nội")</f>
        <v>Hà Nội</v>
      </c>
      <c r="C367" s="265" t="str">
        <f>IFERROR(__xludf.DUMMYFUNCTION("""COMPUTED_VALUE"""),"Locked")</f>
        <v>Locked</v>
      </c>
      <c r="D367" s="265" t="str">
        <f>IFERROR(__xludf.DUMMYFUNCTION("""COMPUTED_VALUE"""),"Viễn thông")</f>
        <v>Viễn thông</v>
      </c>
      <c r="E367" s="265" t="str">
        <f>IFERROR(__xludf.DUMMYFUNCTION("""COMPUTED_VALUE"""),"TùngLD")</f>
        <v>TùngLD</v>
      </c>
      <c r="F367" s="265" t="str">
        <f>IFERROR(__xludf.DUMMYFUNCTION("""COMPUTED_VALUE"""),"Gold")</f>
        <v>Gold</v>
      </c>
      <c r="G367" s="265" t="str">
        <f>IFERROR(__xludf.DUMMYFUNCTION("""COMPUTED_VALUE"""),"Enterprise")</f>
        <v>Enterprise</v>
      </c>
      <c r="H367" s="265" t="str">
        <f>IFERROR(__xludf.DUMMYFUNCTION("""COMPUTED_VALUE"""),"Trả sau")</f>
        <v>Trả sau</v>
      </c>
      <c r="I367" s="265" t="str">
        <f>IFERROR(__xludf.DUMMYFUNCTION("""COMPUTED_VALUE"""),"Portal")</f>
        <v>Portal</v>
      </c>
      <c r="J367" s="265" t="str">
        <f>IFERROR(__xludf.DUMMYFUNCTION("""COMPUTED_VALUE"""),"Zalo ZNS")</f>
        <v>Zalo ZNS</v>
      </c>
      <c r="K367" s="265" t="str">
        <f>IFERROR(__xludf.DUMMYFUNCTION("""COMPUTED_VALUE"""),"DungPL")</f>
        <v>DungPL</v>
      </c>
    </row>
    <row r="368">
      <c r="A368" s="265" t="str">
        <f>IFERROR(__xludf.DUMMYFUNCTION("""COMPUTED_VALUE"""),"662")</f>
        <v>662</v>
      </c>
      <c r="B368" s="265" t="str">
        <f>IFERROR(__xludf.DUMMYFUNCTION("""COMPUTED_VALUE"""),"Sài Gòn")</f>
        <v>Sài Gòn</v>
      </c>
      <c r="C368" s="265" t="str">
        <f>IFERROR(__xludf.DUMMYFUNCTION("""COMPUTED_VALUE"""),"Locked")</f>
        <v>Locked</v>
      </c>
      <c r="D368" s="265" t="str">
        <f>IFERROR(__xludf.DUMMYFUNCTION("""COMPUTED_VALUE"""),"Sale chưa cung cấp")</f>
        <v>Sale chưa cung cấp</v>
      </c>
      <c r="E368" s="265" t="str">
        <f>IFERROR(__xludf.DUMMYFUNCTION("""COMPUTED_VALUE"""),"TuVTC")</f>
        <v>TuVTC</v>
      </c>
      <c r="F368" s="265" t="str">
        <f>IFERROR(__xludf.DUMMYFUNCTION("""COMPUTED_VALUE"""),"Sale chưa cung cấp")</f>
        <v>Sale chưa cung cấp</v>
      </c>
      <c r="G368" s="265" t="str">
        <f>IFERROR(__xludf.DUMMYFUNCTION("""COMPUTED_VALUE"""),"MSG")</f>
        <v>MSG</v>
      </c>
      <c r="H368" s="265" t="str">
        <f>IFERROR(__xludf.DUMMYFUNCTION("""COMPUTED_VALUE"""),"Trả sau")</f>
        <v>Trả sau</v>
      </c>
      <c r="I368" s="265" t="str">
        <f>IFERROR(__xludf.DUMMYFUNCTION("""COMPUTED_VALUE"""),"(Chưa recheck)")</f>
        <v>(Chưa recheck)</v>
      </c>
      <c r="J368" s="265" t="str">
        <f>IFERROR(__xludf.DUMMYFUNCTION("""COMPUTED_VALUE"""),"GapOne")</f>
        <v>GapOne</v>
      </c>
      <c r="K368" s="265" t="str">
        <f>IFERROR(__xludf.DUMMYFUNCTION("""COMPUTED_VALUE"""),"TuVTC")</f>
        <v>TuVTC</v>
      </c>
    </row>
    <row r="369">
      <c r="A369" s="265" t="str">
        <f>IFERROR(__xludf.DUMMYFUNCTION("""COMPUTED_VALUE"""),"663")</f>
        <v>663</v>
      </c>
      <c r="B369" s="265" t="str">
        <f>IFERROR(__xludf.DUMMYFUNCTION("""COMPUTED_VALUE"""),"Hà Nội")</f>
        <v>Hà Nội</v>
      </c>
      <c r="C369" s="265" t="str">
        <f>IFERROR(__xludf.DUMMYFUNCTION("""COMPUTED_VALUE"""),"Locked")</f>
        <v>Locked</v>
      </c>
      <c r="D369" s="265" t="str">
        <f>IFERROR(__xludf.DUMMYFUNCTION("""COMPUTED_VALUE"""),"Y tế &amp; Dược phẩm")</f>
        <v>Y tế &amp; Dược phẩm</v>
      </c>
      <c r="E369" s="265" t="str">
        <f>IFERROR(__xludf.DUMMYFUNCTION("""COMPUTED_VALUE"""),"TúPHN")</f>
        <v>TúPHN</v>
      </c>
      <c r="F369" s="265" t="str">
        <f>IFERROR(__xludf.DUMMYFUNCTION("""COMPUTED_VALUE"""),"Sale chưa cung cấp")</f>
        <v>Sale chưa cung cấp</v>
      </c>
      <c r="G369" s="265" t="str">
        <f>IFERROR(__xludf.DUMMYFUNCTION("""COMPUTED_VALUE"""),"Enterprise")</f>
        <v>Enterprise</v>
      </c>
      <c r="H369" s="265" t="str">
        <f>IFERROR(__xludf.DUMMYFUNCTION("""COMPUTED_VALUE"""),"Trial")</f>
        <v>Trial</v>
      </c>
      <c r="I369" s="265" t="str">
        <f>IFERROR(__xludf.DUMMYFUNCTION("""COMPUTED_VALUE"""),"API &amp; Portal")</f>
        <v>API &amp; Portal</v>
      </c>
      <c r="J369" s="265" t="str">
        <f>IFERROR(__xludf.DUMMYFUNCTION("""COMPUTED_VALUE"""),"SMS CSKH")</f>
        <v>SMS CSKH</v>
      </c>
      <c r="K369" s="265" t="str">
        <f>IFERROR(__xludf.DUMMYFUNCTION("""COMPUTED_VALUE"""),"DungPL")</f>
        <v>DungPL</v>
      </c>
    </row>
    <row r="370">
      <c r="A370" s="265" t="str">
        <f>IFERROR(__xludf.DUMMYFUNCTION("""COMPUTED_VALUE"""),"665")</f>
        <v>665</v>
      </c>
      <c r="B370" s="265" t="str">
        <f>IFERROR(__xludf.DUMMYFUNCTION("""COMPUTED_VALUE"""),"Sài Gòn")</f>
        <v>Sài Gòn</v>
      </c>
      <c r="C370" s="265" t="str">
        <f>IFERROR(__xludf.DUMMYFUNCTION("""COMPUTED_VALUE"""),"Locked")</f>
        <v>Locked</v>
      </c>
      <c r="D370" s="265" t="str">
        <f>IFERROR(__xludf.DUMMYFUNCTION("""COMPUTED_VALUE"""),"Công nghệ &amp; Phần mềm")</f>
        <v>Công nghệ &amp; Phần mềm</v>
      </c>
      <c r="E370" s="265" t="str">
        <f>IFERROR(__xludf.DUMMYFUNCTION("""COMPUTED_VALUE"""),"TùngLD")</f>
        <v>TùngLD</v>
      </c>
      <c r="F370" s="265" t="str">
        <f>IFERROR(__xludf.DUMMYFUNCTION("""COMPUTED_VALUE"""),"Bronze")</f>
        <v>Bronze</v>
      </c>
      <c r="G370" s="265" t="str">
        <f>IFERROR(__xludf.DUMMYFUNCTION("""COMPUTED_VALUE"""),"Enterprise")</f>
        <v>Enterprise</v>
      </c>
      <c r="H370" s="265" t="str">
        <f>IFERROR(__xludf.DUMMYFUNCTION("""COMPUTED_VALUE"""),"(Chưa recheck)")</f>
        <v>(Chưa recheck)</v>
      </c>
      <c r="I370" s="265" t="str">
        <f>IFERROR(__xludf.DUMMYFUNCTION("""COMPUTED_VALUE"""),"(Chưa recheck)")</f>
        <v>(Chưa recheck)</v>
      </c>
      <c r="J370" s="265" t="str">
        <f>IFERROR(__xludf.DUMMYFUNCTION("""COMPUTED_VALUE"""),"Zalo ZNS")</f>
        <v>Zalo ZNS</v>
      </c>
      <c r="K370" s="265" t="str">
        <f>IFERROR(__xludf.DUMMYFUNCTION("""COMPUTED_VALUE"""),"ThanhLT")</f>
        <v>ThanhLT</v>
      </c>
    </row>
    <row r="371">
      <c r="A371" s="265" t="str">
        <f>IFERROR(__xludf.DUMMYFUNCTION("""COMPUTED_VALUE"""),"664")</f>
        <v>664</v>
      </c>
      <c r="B371" s="265" t="str">
        <f>IFERROR(__xludf.DUMMYFUNCTION("""COMPUTED_VALUE"""),"Sài Gòn")</f>
        <v>Sài Gòn</v>
      </c>
      <c r="C371" s="265" t="str">
        <f>IFERROR(__xludf.DUMMYFUNCTION("""COMPUTED_VALUE"""),"Locked")</f>
        <v>Locked</v>
      </c>
      <c r="D371" s="265" t="str">
        <f>IFERROR(__xludf.DUMMYFUNCTION("""COMPUTED_VALUE"""),"Sale chưa cung cấp")</f>
        <v>Sale chưa cung cấp</v>
      </c>
      <c r="E371" s="265" t="str">
        <f>IFERROR(__xludf.DUMMYFUNCTION("""COMPUTED_VALUE"""),"Không phân công")</f>
        <v>Không phân công</v>
      </c>
      <c r="F371" s="265" t="str">
        <f>IFERROR(__xludf.DUMMYFUNCTION("""COMPUTED_VALUE"""),"Sale chưa cung cấp")</f>
        <v>Sale chưa cung cấp</v>
      </c>
      <c r="G371" s="265" t="str">
        <f>IFERROR(__xludf.DUMMYFUNCTION("""COMPUTED_VALUE"""),"SIMILAR")</f>
        <v>SIMILAR</v>
      </c>
      <c r="H371" s="265" t="str">
        <f>IFERROR(__xludf.DUMMYFUNCTION("""COMPUTED_VALUE"""),"Trả sau")</f>
        <v>Trả sau</v>
      </c>
      <c r="I371" s="265" t="str">
        <f>IFERROR(__xludf.DUMMYFUNCTION("""COMPUTED_VALUE"""),"API")</f>
        <v>API</v>
      </c>
      <c r="J371" s="265" t="str">
        <f>IFERROR(__xludf.DUMMYFUNCTION("""COMPUTED_VALUE"""),"SMS CSKH")</f>
        <v>SMS CSKH</v>
      </c>
      <c r="K371" s="265" t="str">
        <f>IFERROR(__xludf.DUMMYFUNCTION("""COMPUTED_VALUE"""),"LinhNTT1")</f>
        <v>LinhNTT1</v>
      </c>
    </row>
    <row r="372">
      <c r="A372" s="265" t="str">
        <f>IFERROR(__xludf.DUMMYFUNCTION("""COMPUTED_VALUE"""),"666")</f>
        <v>666</v>
      </c>
      <c r="B372" s="265" t="str">
        <f>IFERROR(__xludf.DUMMYFUNCTION("""COMPUTED_VALUE"""),"Sài Gòn")</f>
        <v>Sài Gòn</v>
      </c>
      <c r="C372" s="265" t="str">
        <f>IFERROR(__xludf.DUMMYFUNCTION("""COMPUTED_VALUE"""),"Locked")</f>
        <v>Locked</v>
      </c>
      <c r="D372" s="265" t="str">
        <f>IFERROR(__xludf.DUMMYFUNCTION("""COMPUTED_VALUE"""),"Sale chưa cung cấp")</f>
        <v>Sale chưa cung cấp</v>
      </c>
      <c r="E372" s="265" t="str">
        <f>IFERROR(__xludf.DUMMYFUNCTION("""COMPUTED_VALUE"""),"TúPHN")</f>
        <v>TúPHN</v>
      </c>
      <c r="F372" s="265" t="str">
        <f>IFERROR(__xludf.DUMMYFUNCTION("""COMPUTED_VALUE"""),"Sale chưa cung cấp")</f>
        <v>Sale chưa cung cấp</v>
      </c>
      <c r="G372" s="265" t="str">
        <f>IFERROR(__xludf.DUMMYFUNCTION("""COMPUTED_VALUE"""),"API")</f>
        <v>API</v>
      </c>
      <c r="H372" s="265" t="str">
        <f>IFERROR(__xludf.DUMMYFUNCTION("""COMPUTED_VALUE"""),"Trial")</f>
        <v>Trial</v>
      </c>
      <c r="I372" s="265" t="str">
        <f>IFERROR(__xludf.DUMMYFUNCTION("""COMPUTED_VALUE"""),"API")</f>
        <v>API</v>
      </c>
      <c r="J372" s="265" t="str">
        <f>IFERROR(__xludf.DUMMYFUNCTION("""COMPUTED_VALUE"""),"SMS CSKH")</f>
        <v>SMS CSKH</v>
      </c>
      <c r="K372" s="265" t="str">
        <f>IFERROR(__xludf.DUMMYFUNCTION("""COMPUTED_VALUE"""),"(Không recheck)")</f>
        <v>(Không recheck)</v>
      </c>
    </row>
    <row r="373">
      <c r="A373" s="265" t="str">
        <f>IFERROR(__xludf.DUMMYFUNCTION("""COMPUTED_VALUE"""),"667")</f>
        <v>667</v>
      </c>
      <c r="B373" s="265" t="str">
        <f>IFERROR(__xludf.DUMMYFUNCTION("""COMPUTED_VALUE"""),"Đà Nẵng")</f>
        <v>Đà Nẵng</v>
      </c>
      <c r="C373" s="265" t="str">
        <f>IFERROR(__xludf.DUMMYFUNCTION("""COMPUTED_VALUE"""),"Active")</f>
        <v>Active</v>
      </c>
      <c r="D373" s="265" t="str">
        <f>IFERROR(__xludf.DUMMYFUNCTION("""COMPUTED_VALUE"""),"Sale chưa cung cấp")</f>
        <v>Sale chưa cung cấp</v>
      </c>
      <c r="E373" s="265" t="str">
        <f>IFERROR(__xludf.DUMMYFUNCTION("""COMPUTED_VALUE"""),"Không phân công")</f>
        <v>Không phân công</v>
      </c>
      <c r="F373" s="265" t="str">
        <f>IFERROR(__xludf.DUMMYFUNCTION("""COMPUTED_VALUE"""),"Gold")</f>
        <v>Gold</v>
      </c>
      <c r="G373" s="265" t="str">
        <f>IFERROR(__xludf.DUMMYFUNCTION("""COMPUTED_VALUE"""),"Standard")</f>
        <v>Standard</v>
      </c>
      <c r="H373" s="265" t="str">
        <f>IFERROR(__xludf.DUMMYFUNCTION("""COMPUTED_VALUE"""),"Trả trước")</f>
        <v>Trả trước</v>
      </c>
      <c r="I373" s="265" t="str">
        <f>IFERROR(__xludf.DUMMYFUNCTION("""COMPUTED_VALUE"""),"API")</f>
        <v>API</v>
      </c>
      <c r="J373" s="265" t="str">
        <f>IFERROR(__xludf.DUMMYFUNCTION("""COMPUTED_VALUE"""),"SMS CSKH")</f>
        <v>SMS CSKH</v>
      </c>
      <c r="K373" s="265" t="str">
        <f>IFERROR(__xludf.DUMMYFUNCTION("""COMPUTED_VALUE"""),"DungPL")</f>
        <v>DungPL</v>
      </c>
    </row>
    <row r="374">
      <c r="A374" s="265" t="str">
        <f>IFERROR(__xludf.DUMMYFUNCTION("""COMPUTED_VALUE"""),"668")</f>
        <v>668</v>
      </c>
      <c r="B374" s="265" t="str">
        <f>IFERROR(__xludf.DUMMYFUNCTION("""COMPUTED_VALUE"""),"Hà Nội")</f>
        <v>Hà Nội</v>
      </c>
      <c r="C374" s="265" t="str">
        <f>IFERROR(__xludf.DUMMYFUNCTION("""COMPUTED_VALUE"""),"Locked")</f>
        <v>Locked</v>
      </c>
      <c r="D374" s="265" t="str">
        <f>IFERROR(__xludf.DUMMYFUNCTION("""COMPUTED_VALUE"""),"Viễn thông")</f>
        <v>Viễn thông</v>
      </c>
      <c r="E374" s="265" t="str">
        <f>IFERROR(__xludf.DUMMYFUNCTION("""COMPUTED_VALUE"""),"TúPHN")</f>
        <v>TúPHN</v>
      </c>
      <c r="F374" s="265" t="str">
        <f>IFERROR(__xludf.DUMMYFUNCTION("""COMPUTED_VALUE"""),"Gold")</f>
        <v>Gold</v>
      </c>
      <c r="G374" s="265" t="str">
        <f>IFERROR(__xludf.DUMMYFUNCTION("""COMPUTED_VALUE"""),"Enterprise")</f>
        <v>Enterprise</v>
      </c>
      <c r="H374" s="265" t="str">
        <f>IFERROR(__xludf.DUMMYFUNCTION("""COMPUTED_VALUE"""),"Trả sau")</f>
        <v>Trả sau</v>
      </c>
      <c r="I374" s="265" t="str">
        <f>IFERROR(__xludf.DUMMYFUNCTION("""COMPUTED_VALUE"""),"Portal")</f>
        <v>Portal</v>
      </c>
      <c r="J374" s="265" t="str">
        <f>IFERROR(__xludf.DUMMYFUNCTION("""COMPUTED_VALUE"""),"Zalo ZNS")</f>
        <v>Zalo ZNS</v>
      </c>
      <c r="K374" s="265" t="str">
        <f>IFERROR(__xludf.DUMMYFUNCTION("""COMPUTED_VALUE"""),"AnhNM")</f>
        <v>AnhNM</v>
      </c>
    </row>
    <row r="375">
      <c r="A375" s="265" t="str">
        <f>IFERROR(__xludf.DUMMYFUNCTION("""COMPUTED_VALUE"""),"669")</f>
        <v>669</v>
      </c>
      <c r="B375" s="265" t="str">
        <f>IFERROR(__xludf.DUMMYFUNCTION("""COMPUTED_VALUE"""),"Hà Nội")</f>
        <v>Hà Nội</v>
      </c>
      <c r="C375" s="265" t="str">
        <f>IFERROR(__xludf.DUMMYFUNCTION("""COMPUTED_VALUE"""),"Locked")</f>
        <v>Locked</v>
      </c>
      <c r="D375" s="265" t="str">
        <f>IFERROR(__xludf.DUMMYFUNCTION("""COMPUTED_VALUE"""),"Tài chính &amp; Ngân hàng")</f>
        <v>Tài chính &amp; Ngân hàng</v>
      </c>
      <c r="E375" s="265" t="str">
        <f>IFERROR(__xludf.DUMMYFUNCTION("""COMPUTED_VALUE"""),"DungDT")</f>
        <v>DungDT</v>
      </c>
      <c r="F375" s="265" t="str">
        <f>IFERROR(__xludf.DUMMYFUNCTION("""COMPUTED_VALUE"""),"Sale chưa cung cấp")</f>
        <v>Sale chưa cung cấp</v>
      </c>
      <c r="G375" s="265" t="str">
        <f>IFERROR(__xludf.DUMMYFUNCTION("""COMPUTED_VALUE"""),"Enterprise")</f>
        <v>Enterprise</v>
      </c>
      <c r="H375" s="265" t="str">
        <f>IFERROR(__xludf.DUMMYFUNCTION("""COMPUTED_VALUE"""),"Trial")</f>
        <v>Trial</v>
      </c>
      <c r="I375" s="265" t="str">
        <f>IFERROR(__xludf.DUMMYFUNCTION("""COMPUTED_VALUE"""),"(Không recheck)")</f>
        <v>(Không recheck)</v>
      </c>
      <c r="J375" s="265" t="str">
        <f>IFERROR(__xludf.DUMMYFUNCTION("""COMPUTED_VALUE"""),"(Không recheck)")</f>
        <v>(Không recheck)</v>
      </c>
      <c r="K375" s="265" t="str">
        <f>IFERROR(__xludf.DUMMYFUNCTION("""COMPUTED_VALUE"""),"(Không recheck)")</f>
        <v>(Không recheck)</v>
      </c>
    </row>
    <row r="376">
      <c r="A376" s="265" t="str">
        <f>IFERROR(__xludf.DUMMYFUNCTION("""COMPUTED_VALUE"""),"670")</f>
        <v>670</v>
      </c>
      <c r="B376" s="265" t="str">
        <f>IFERROR(__xludf.DUMMYFUNCTION("""COMPUTED_VALUE"""),"Sài Gòn")</f>
        <v>Sài Gòn</v>
      </c>
      <c r="C376" s="265" t="str">
        <f>IFERROR(__xludf.DUMMYFUNCTION("""COMPUTED_VALUE"""),"Locked")</f>
        <v>Locked</v>
      </c>
      <c r="D376" s="265" t="str">
        <f>IFERROR(__xludf.DUMMYFUNCTION("""COMPUTED_VALUE"""),"Viễn thông")</f>
        <v>Viễn thông</v>
      </c>
      <c r="E376" s="265" t="str">
        <f>IFERROR(__xludf.DUMMYFUNCTION("""COMPUTED_VALUE"""),"HoaNTM")</f>
        <v>HoaNTM</v>
      </c>
      <c r="F376" s="265" t="str">
        <f>IFERROR(__xludf.DUMMYFUNCTION("""COMPUTED_VALUE"""),"Sale chưa cung cấp")</f>
        <v>Sale chưa cung cấp</v>
      </c>
      <c r="G376" s="265" t="str">
        <f>IFERROR(__xludf.DUMMYFUNCTION("""COMPUTED_VALUE"""),"Enterprise")</f>
        <v>Enterprise</v>
      </c>
      <c r="H376" s="265" t="str">
        <f>IFERROR(__xludf.DUMMYFUNCTION("""COMPUTED_VALUE"""),"(Chưa recheck)")</f>
        <v>(Chưa recheck)</v>
      </c>
      <c r="I376" s="265" t="str">
        <f>IFERROR(__xludf.DUMMYFUNCTION("""COMPUTED_VALUE"""),"API &amp; Portal")</f>
        <v>API &amp; Portal</v>
      </c>
      <c r="J376" s="265" t="str">
        <f>IFERROR(__xludf.DUMMYFUNCTION("""COMPUTED_VALUE"""),"GapOne")</f>
        <v>GapOne</v>
      </c>
      <c r="K376" s="265" t="str">
        <f>IFERROR(__xludf.DUMMYFUNCTION("""COMPUTED_VALUE"""),"AnhNM")</f>
        <v>AnhNM</v>
      </c>
    </row>
    <row r="377">
      <c r="A377" s="265" t="str">
        <f>IFERROR(__xludf.DUMMYFUNCTION("""COMPUTED_VALUE"""),"411")</f>
        <v>411</v>
      </c>
      <c r="B377" s="265" t="str">
        <f>IFERROR(__xludf.DUMMYFUNCTION("""COMPUTED_VALUE"""),"Sài Gòn")</f>
        <v>Sài Gòn</v>
      </c>
      <c r="C377" s="265" t="str">
        <f>IFERROR(__xludf.DUMMYFUNCTION("""COMPUTED_VALUE"""),"Locked")</f>
        <v>Locked</v>
      </c>
      <c r="D377" s="265" t="str">
        <f>IFERROR(__xludf.DUMMYFUNCTION("""COMPUTED_VALUE"""),"Sale chưa cung cấp")</f>
        <v>Sale chưa cung cấp</v>
      </c>
      <c r="E377" s="265" t="str">
        <f>IFERROR(__xludf.DUMMYFUNCTION("""COMPUTED_VALUE"""),"TúPHN")</f>
        <v>TúPHN</v>
      </c>
      <c r="F377" s="265" t="str">
        <f>IFERROR(__xludf.DUMMYFUNCTION("""COMPUTED_VALUE"""),"Silver")</f>
        <v>Silver</v>
      </c>
      <c r="G377" s="265" t="str">
        <f>IFERROR(__xludf.DUMMYFUNCTION("""COMPUTED_VALUE"""),"Enterprise")</f>
        <v>Enterprise</v>
      </c>
      <c r="H377" s="265" t="str">
        <f>IFERROR(__xludf.DUMMYFUNCTION("""COMPUTED_VALUE"""),"(Chưa recheck)")</f>
        <v>(Chưa recheck)</v>
      </c>
      <c r="I377" s="265" t="str">
        <f>IFERROR(__xludf.DUMMYFUNCTION("""COMPUTED_VALUE"""),"(Chưa recheck)")</f>
        <v>(Chưa recheck)</v>
      </c>
      <c r="J377" s="265" t="str">
        <f>IFERROR(__xludf.DUMMYFUNCTION("""COMPUTED_VALUE"""),"(Chưa recheck)")</f>
        <v>(Chưa recheck)</v>
      </c>
      <c r="K377" s="265" t="str">
        <f>IFERROR(__xludf.DUMMYFUNCTION("""COMPUTED_VALUE"""),"AnhNM")</f>
        <v>AnhNM</v>
      </c>
    </row>
    <row r="378">
      <c r="A378" s="265" t="str">
        <f>IFERROR(__xludf.DUMMYFUNCTION("""COMPUTED_VALUE"""),"671")</f>
        <v>671</v>
      </c>
      <c r="B378" s="265" t="str">
        <f>IFERROR(__xludf.DUMMYFUNCTION("""COMPUTED_VALUE"""),"Hà Nội")</f>
        <v>Hà Nội</v>
      </c>
      <c r="C378" s="265" t="str">
        <f>IFERROR(__xludf.DUMMYFUNCTION("""COMPUTED_VALUE"""),"Locked")</f>
        <v>Locked</v>
      </c>
      <c r="D378" s="265" t="str">
        <f>IFERROR(__xludf.DUMMYFUNCTION("""COMPUTED_VALUE"""),"Tài chính &amp; Ngân hàng")</f>
        <v>Tài chính &amp; Ngân hàng</v>
      </c>
      <c r="E378" s="265" t="str">
        <f>IFERROR(__xludf.DUMMYFUNCTION("""COMPUTED_VALUE"""),"(Không recheck)")</f>
        <v>(Không recheck)</v>
      </c>
      <c r="F378" s="265" t="str">
        <f>IFERROR(__xludf.DUMMYFUNCTION("""COMPUTED_VALUE"""),"Sale chưa cung cấp")</f>
        <v>Sale chưa cung cấp</v>
      </c>
      <c r="G378" s="265" t="str">
        <f>IFERROR(__xludf.DUMMYFUNCTION("""COMPUTED_VALUE"""),"API")</f>
        <v>API</v>
      </c>
      <c r="H378" s="265" t="str">
        <f>IFERROR(__xludf.DUMMYFUNCTION("""COMPUTED_VALUE"""),"Trial")</f>
        <v>Trial</v>
      </c>
      <c r="I378" s="265" t="str">
        <f>IFERROR(__xludf.DUMMYFUNCTION("""COMPUTED_VALUE"""),"API")</f>
        <v>API</v>
      </c>
      <c r="J378" s="265" t="str">
        <f>IFERROR(__xludf.DUMMYFUNCTION("""COMPUTED_VALUE"""),"SMS CSKH")</f>
        <v>SMS CSKH</v>
      </c>
      <c r="K378" s="265" t="str">
        <f>IFERROR(__xludf.DUMMYFUNCTION("""COMPUTED_VALUE"""),"(Không recheck)")</f>
        <v>(Không recheck)</v>
      </c>
    </row>
    <row r="379">
      <c r="A379" s="265" t="str">
        <f>IFERROR(__xludf.DUMMYFUNCTION("""COMPUTED_VALUE"""),"672")</f>
        <v>672</v>
      </c>
      <c r="B379" s="265" t="str">
        <f>IFERROR(__xludf.DUMMYFUNCTION("""COMPUTED_VALUE"""),"Hà Nội")</f>
        <v>Hà Nội</v>
      </c>
      <c r="C379" s="265" t="str">
        <f>IFERROR(__xludf.DUMMYFUNCTION("""COMPUTED_VALUE"""),"Locked")</f>
        <v>Locked</v>
      </c>
      <c r="D379" s="265" t="str">
        <f>IFERROR(__xludf.DUMMYFUNCTION("""COMPUTED_VALUE"""),"Bất động sản")</f>
        <v>Bất động sản</v>
      </c>
      <c r="E379" s="265" t="str">
        <f>IFERROR(__xludf.DUMMYFUNCTION("""COMPUTED_VALUE"""),"TúPHN")</f>
        <v>TúPHN</v>
      </c>
      <c r="F379" s="265" t="str">
        <f>IFERROR(__xludf.DUMMYFUNCTION("""COMPUTED_VALUE"""),"Bronze")</f>
        <v>Bronze</v>
      </c>
      <c r="G379" s="265" t="str">
        <f>IFERROR(__xludf.DUMMYFUNCTION("""COMPUTED_VALUE"""),"Enterprise")</f>
        <v>Enterprise</v>
      </c>
      <c r="H379" s="265" t="str">
        <f>IFERROR(__xludf.DUMMYFUNCTION("""COMPUTED_VALUE"""),"Trả trước")</f>
        <v>Trả trước</v>
      </c>
      <c r="I379" s="265" t="str">
        <f>IFERROR(__xludf.DUMMYFUNCTION("""COMPUTED_VALUE"""),"Portal")</f>
        <v>Portal</v>
      </c>
      <c r="J379" s="265" t="str">
        <f>IFERROR(__xludf.DUMMYFUNCTION("""COMPUTED_VALUE"""),"Zalo ZNS")</f>
        <v>Zalo ZNS</v>
      </c>
      <c r="K379" s="265" t="str">
        <f>IFERROR(__xludf.DUMMYFUNCTION("""COMPUTED_VALUE"""),"LinhNTT1")</f>
        <v>LinhNTT1</v>
      </c>
    </row>
    <row r="380">
      <c r="A380" s="265" t="str">
        <f>IFERROR(__xludf.DUMMYFUNCTION("""COMPUTED_VALUE"""),"673")</f>
        <v>673</v>
      </c>
      <c r="B380" s="265" t="str">
        <f>IFERROR(__xludf.DUMMYFUNCTION("""COMPUTED_VALUE"""),"Hà Nội")</f>
        <v>Hà Nội</v>
      </c>
      <c r="C380" s="265" t="str">
        <f>IFERROR(__xludf.DUMMYFUNCTION("""COMPUTED_VALUE"""),"Locked")</f>
        <v>Locked</v>
      </c>
      <c r="D380" s="265" t="str">
        <f>IFERROR(__xludf.DUMMYFUNCTION("""COMPUTED_VALUE"""),"Sale chưa cung cấp")</f>
        <v>Sale chưa cung cấp</v>
      </c>
      <c r="E380" s="265" t="str">
        <f>IFERROR(__xludf.DUMMYFUNCTION("""COMPUTED_VALUE"""),"TùngLD")</f>
        <v>TùngLD</v>
      </c>
      <c r="F380" s="265" t="str">
        <f>IFERROR(__xludf.DUMMYFUNCTION("""COMPUTED_VALUE"""),"Sale chưa cung cấp")</f>
        <v>Sale chưa cung cấp</v>
      </c>
      <c r="G380" s="265" t="str">
        <f>IFERROR(__xludf.DUMMYFUNCTION("""COMPUTED_VALUE"""),"Enterprise")</f>
        <v>Enterprise</v>
      </c>
      <c r="H380" s="265" t="str">
        <f>IFERROR(__xludf.DUMMYFUNCTION("""COMPUTED_VALUE"""),"Trial")</f>
        <v>Trial</v>
      </c>
      <c r="I380" s="265" t="str">
        <f>IFERROR(__xludf.DUMMYFUNCTION("""COMPUTED_VALUE"""),"Portal")</f>
        <v>Portal</v>
      </c>
      <c r="J380" s="265" t="str">
        <f>IFERROR(__xludf.DUMMYFUNCTION("""COMPUTED_VALUE"""),"(Không recheck)")</f>
        <v>(Không recheck)</v>
      </c>
      <c r="K380" s="265" t="str">
        <f>IFERROR(__xludf.DUMMYFUNCTION("""COMPUTED_VALUE"""),"(Không recheck)")</f>
        <v>(Không recheck)</v>
      </c>
    </row>
    <row r="381">
      <c r="A381" s="265" t="str">
        <f>IFERROR(__xludf.DUMMYFUNCTION("""COMPUTED_VALUE"""),"675")</f>
        <v>675</v>
      </c>
      <c r="B381" s="265" t="str">
        <f>IFERROR(__xludf.DUMMYFUNCTION("""COMPUTED_VALUE"""),"Hà Nội")</f>
        <v>Hà Nội</v>
      </c>
      <c r="C381" s="265" t="str">
        <f>IFERROR(__xludf.DUMMYFUNCTION("""COMPUTED_VALUE"""),"Active")</f>
        <v>Active</v>
      </c>
      <c r="D381" s="265" t="str">
        <f>IFERROR(__xludf.DUMMYFUNCTION("""COMPUTED_VALUE"""),"Du lịch &amp; Lưu trú")</f>
        <v>Du lịch &amp; Lưu trú</v>
      </c>
      <c r="E381" s="265" t="str">
        <f>IFERROR(__xludf.DUMMYFUNCTION("""COMPUTED_VALUE"""),"TúPHN")</f>
        <v>TúPHN</v>
      </c>
      <c r="F381" s="265" t="str">
        <f>IFERROR(__xludf.DUMMYFUNCTION("""COMPUTED_VALUE"""),"Bronze")</f>
        <v>Bronze</v>
      </c>
      <c r="G381" s="265" t="str">
        <f>IFERROR(__xludf.DUMMYFUNCTION("""COMPUTED_VALUE"""),"Standard")</f>
        <v>Standard</v>
      </c>
      <c r="H381" s="265" t="str">
        <f>IFERROR(__xludf.DUMMYFUNCTION("""COMPUTED_VALUE"""),"Trả trước")</f>
        <v>Trả trước</v>
      </c>
      <c r="I381" s="265" t="str">
        <f>IFERROR(__xludf.DUMMYFUNCTION("""COMPUTED_VALUE"""),"Portal")</f>
        <v>Portal</v>
      </c>
      <c r="J381" s="265" t="str">
        <f>IFERROR(__xludf.DUMMYFUNCTION("""COMPUTED_VALUE"""),"Zalo ZNS")</f>
        <v>Zalo ZNS</v>
      </c>
      <c r="K381" s="265" t="str">
        <f>IFERROR(__xludf.DUMMYFUNCTION("""COMPUTED_VALUE"""),"DungPL")</f>
        <v>DungPL</v>
      </c>
    </row>
    <row r="382">
      <c r="A382" s="265" t="str">
        <f>IFERROR(__xludf.DUMMYFUNCTION("""COMPUTED_VALUE"""),"676")</f>
        <v>676</v>
      </c>
      <c r="B382" s="265" t="str">
        <f>IFERROR(__xludf.DUMMYFUNCTION("""COMPUTED_VALUE"""),"Hà Nội")</f>
        <v>Hà Nội</v>
      </c>
      <c r="C382" s="265" t="str">
        <f>IFERROR(__xludf.DUMMYFUNCTION("""COMPUTED_VALUE"""),"Locked")</f>
        <v>Locked</v>
      </c>
      <c r="D382" s="265" t="str">
        <f>IFERROR(__xludf.DUMMYFUNCTION("""COMPUTED_VALUE"""),"Giáo dục &amp; Đào tạo")</f>
        <v>Giáo dục &amp; Đào tạo</v>
      </c>
      <c r="E382" s="265" t="str">
        <f>IFERROR(__xludf.DUMMYFUNCTION("""COMPUTED_VALUE"""),"TùngLD")</f>
        <v>TùngLD</v>
      </c>
      <c r="F382" s="265" t="str">
        <f>IFERROR(__xludf.DUMMYFUNCTION("""COMPUTED_VALUE"""),"Sale chưa cung cấp")</f>
        <v>Sale chưa cung cấp</v>
      </c>
      <c r="G382" s="265" t="str">
        <f>IFERROR(__xludf.DUMMYFUNCTION("""COMPUTED_VALUE"""),"Enterprise")</f>
        <v>Enterprise</v>
      </c>
      <c r="H382" s="265" t="str">
        <f>IFERROR(__xludf.DUMMYFUNCTION("""COMPUTED_VALUE"""),"Trả sau")</f>
        <v>Trả sau</v>
      </c>
      <c r="I382" s="265" t="str">
        <f>IFERROR(__xludf.DUMMYFUNCTION("""COMPUTED_VALUE"""),"Portal")</f>
        <v>Portal</v>
      </c>
      <c r="J382" s="265" t="str">
        <f>IFERROR(__xludf.DUMMYFUNCTION("""COMPUTED_VALUE"""),"Zalo ZNS")</f>
        <v>Zalo ZNS</v>
      </c>
      <c r="K382" s="265" t="str">
        <f>IFERROR(__xludf.DUMMYFUNCTION("""COMPUTED_VALUE"""),"AnhNM")</f>
        <v>AnhNM</v>
      </c>
    </row>
    <row r="383">
      <c r="A383" s="265" t="str">
        <f>IFERROR(__xludf.DUMMYFUNCTION("""COMPUTED_VALUE"""),"677")</f>
        <v>677</v>
      </c>
      <c r="B383" s="265" t="str">
        <f>IFERROR(__xludf.DUMMYFUNCTION("""COMPUTED_VALUE"""),"Sài Gòn")</f>
        <v>Sài Gòn</v>
      </c>
      <c r="C383" s="265" t="str">
        <f>IFERROR(__xludf.DUMMYFUNCTION("""COMPUTED_VALUE"""),"Locked")</f>
        <v>Locked</v>
      </c>
      <c r="D383" s="265" t="str">
        <f>IFERROR(__xludf.DUMMYFUNCTION("""COMPUTED_VALUE"""),"Nhà hàng &amp; Quán")</f>
        <v>Nhà hàng &amp; Quán</v>
      </c>
      <c r="E383" s="265" t="str">
        <f>IFERROR(__xludf.DUMMYFUNCTION("""COMPUTED_VALUE"""),"HoaNTM")</f>
        <v>HoaNTM</v>
      </c>
      <c r="F383" s="265" t="str">
        <f>IFERROR(__xludf.DUMMYFUNCTION("""COMPUTED_VALUE"""),"Bronze")</f>
        <v>Bronze</v>
      </c>
      <c r="G383" s="265" t="str">
        <f>IFERROR(__xludf.DUMMYFUNCTION("""COMPUTED_VALUE"""),"SIMILAR")</f>
        <v>SIMILAR</v>
      </c>
      <c r="H383" s="265" t="str">
        <f>IFERROR(__xludf.DUMMYFUNCTION("""COMPUTED_VALUE"""),"(Chưa recheck)")</f>
        <v>(Chưa recheck)</v>
      </c>
      <c r="I383" s="265" t="str">
        <f>IFERROR(__xludf.DUMMYFUNCTION("""COMPUTED_VALUE"""),"API &amp; Portal")</f>
        <v>API &amp; Portal</v>
      </c>
      <c r="J383" s="265" t="str">
        <f>IFERROR(__xludf.DUMMYFUNCTION("""COMPUTED_VALUE"""),"GapOne")</f>
        <v>GapOne</v>
      </c>
      <c r="K383" s="265" t="str">
        <f>IFERROR(__xludf.DUMMYFUNCTION("""COMPUTED_VALUE"""),"AnhNM")</f>
        <v>AnhNM</v>
      </c>
    </row>
    <row r="384">
      <c r="A384" s="265" t="str">
        <f>IFERROR(__xludf.DUMMYFUNCTION("""COMPUTED_VALUE"""),"679")</f>
        <v>679</v>
      </c>
      <c r="B384" s="265" t="str">
        <f>IFERROR(__xludf.DUMMYFUNCTION("""COMPUTED_VALUE"""),"Đà Nẵng")</f>
        <v>Đà Nẵng</v>
      </c>
      <c r="C384" s="265" t="str">
        <f>IFERROR(__xludf.DUMMYFUNCTION("""COMPUTED_VALUE"""),"Active")</f>
        <v>Active</v>
      </c>
      <c r="D384" s="265" t="str">
        <f>IFERROR(__xludf.DUMMYFUNCTION("""COMPUTED_VALUE"""),"Giáo dục &amp; Đào tạo")</f>
        <v>Giáo dục &amp; Đào tạo</v>
      </c>
      <c r="E384" s="265" t="str">
        <f>IFERROR(__xludf.DUMMYFUNCTION("""COMPUTED_VALUE"""),"TúPHN")</f>
        <v>TúPHN</v>
      </c>
      <c r="F384" s="265" t="str">
        <f>IFERROR(__xludf.DUMMYFUNCTION("""COMPUTED_VALUE"""),"Bronze")</f>
        <v>Bronze</v>
      </c>
      <c r="G384" s="265" t="str">
        <f>IFERROR(__xludf.DUMMYFUNCTION("""COMPUTED_VALUE"""),"Standard")</f>
        <v>Standard</v>
      </c>
      <c r="H384" s="265" t="str">
        <f>IFERROR(__xludf.DUMMYFUNCTION("""COMPUTED_VALUE"""),"Trả trước")</f>
        <v>Trả trước</v>
      </c>
      <c r="I384" s="265" t="str">
        <f>IFERROR(__xludf.DUMMYFUNCTION("""COMPUTED_VALUE"""),"Portal")</f>
        <v>Portal</v>
      </c>
      <c r="J384" s="265" t="str">
        <f>IFERROR(__xludf.DUMMYFUNCTION("""COMPUTED_VALUE"""),"Zalo ZNS")</f>
        <v>Zalo ZNS</v>
      </c>
      <c r="K384" s="265" t="str">
        <f>IFERROR(__xludf.DUMMYFUNCTION("""COMPUTED_VALUE"""),"LinhNTT1")</f>
        <v>LinhNTT1</v>
      </c>
    </row>
    <row r="385">
      <c r="A385" s="265" t="str">
        <f>IFERROR(__xludf.DUMMYFUNCTION("""COMPUTED_VALUE"""),"680")</f>
        <v>680</v>
      </c>
      <c r="B385" s="265" t="str">
        <f>IFERROR(__xludf.DUMMYFUNCTION("""COMPUTED_VALUE"""),"Hà Nội")</f>
        <v>Hà Nội</v>
      </c>
      <c r="C385" s="265" t="str">
        <f>IFERROR(__xludf.DUMMYFUNCTION("""COMPUTED_VALUE"""),"Active")</f>
        <v>Active</v>
      </c>
      <c r="D385" s="265" t="str">
        <f>IFERROR(__xludf.DUMMYFUNCTION("""COMPUTED_VALUE"""),"Truyền thông &amp; Giải trí")</f>
        <v>Truyền thông &amp; Giải trí</v>
      </c>
      <c r="E385" s="265" t="str">
        <f>IFERROR(__xludf.DUMMYFUNCTION("""COMPUTED_VALUE"""),"Không phân công")</f>
        <v>Không phân công</v>
      </c>
      <c r="F385" s="265" t="str">
        <f>IFERROR(__xludf.DUMMYFUNCTION("""COMPUTED_VALUE"""),"Sale chưa cung cấp")</f>
        <v>Sale chưa cung cấp</v>
      </c>
      <c r="G385" s="265" t="str">
        <f>IFERROR(__xludf.DUMMYFUNCTION("""COMPUTED_VALUE"""),"Enterprise")</f>
        <v>Enterprise</v>
      </c>
      <c r="H385" s="265" t="str">
        <f>IFERROR(__xludf.DUMMYFUNCTION("""COMPUTED_VALUE"""),"Trả sau")</f>
        <v>Trả sau</v>
      </c>
      <c r="I385" s="265" t="str">
        <f>IFERROR(__xludf.DUMMYFUNCTION("""COMPUTED_VALUE"""),"API &amp; Portal")</f>
        <v>API &amp; Portal</v>
      </c>
      <c r="J385" s="265" t="str">
        <f>IFERROR(__xludf.DUMMYFUNCTION("""COMPUTED_VALUE"""),"Tất cả")</f>
        <v>Tất cả</v>
      </c>
      <c r="K385" s="265" t="str">
        <f>IFERROR(__xludf.DUMMYFUNCTION("""COMPUTED_VALUE"""),"Không phân công")</f>
        <v>Không phân công</v>
      </c>
    </row>
    <row r="386">
      <c r="A386" s="265" t="str">
        <f>IFERROR(__xludf.DUMMYFUNCTION("""COMPUTED_VALUE"""),"414")</f>
        <v>414</v>
      </c>
      <c r="B386" s="265" t="str">
        <f>IFERROR(__xludf.DUMMYFUNCTION("""COMPUTED_VALUE"""),"Hà Nội")</f>
        <v>Hà Nội</v>
      </c>
      <c r="C386" s="265" t="str">
        <f>IFERROR(__xludf.DUMMYFUNCTION("""COMPUTED_VALUE"""),"Active")</f>
        <v>Active</v>
      </c>
      <c r="D386" s="265" t="str">
        <f>IFERROR(__xludf.DUMMYFUNCTION("""COMPUTED_VALUE"""),"Sale chưa cung cấp")</f>
        <v>Sale chưa cung cấp</v>
      </c>
      <c r="E386" s="265" t="str">
        <f>IFERROR(__xludf.DUMMYFUNCTION("""COMPUTED_VALUE"""),"TúPHN")</f>
        <v>TúPHN</v>
      </c>
      <c r="F386" s="265" t="str">
        <f>IFERROR(__xludf.DUMMYFUNCTION("""COMPUTED_VALUE"""),"Bronze")</f>
        <v>Bronze</v>
      </c>
      <c r="G386" s="265" t="str">
        <f>IFERROR(__xludf.DUMMYFUNCTION("""COMPUTED_VALUE"""),"Enterprise")</f>
        <v>Enterprise</v>
      </c>
      <c r="H386" s="265" t="str">
        <f>IFERROR(__xludf.DUMMYFUNCTION("""COMPUTED_VALUE"""),"Trả trước")</f>
        <v>Trả trước</v>
      </c>
      <c r="I386" s="265" t="str">
        <f>IFERROR(__xludf.DUMMYFUNCTION("""COMPUTED_VALUE"""),"API")</f>
        <v>API</v>
      </c>
      <c r="J386" s="265" t="str">
        <f>IFERROR(__xludf.DUMMYFUNCTION("""COMPUTED_VALUE"""),"SMS CSKH")</f>
        <v>SMS CSKH</v>
      </c>
      <c r="K386" s="265" t="str">
        <f>IFERROR(__xludf.DUMMYFUNCTION("""COMPUTED_VALUE"""),"LinhNTT1")</f>
        <v>LinhNTT1</v>
      </c>
    </row>
    <row r="387">
      <c r="A387" s="265" t="str">
        <f>IFERROR(__xludf.DUMMYFUNCTION("""COMPUTED_VALUE"""),"414")</f>
        <v>414</v>
      </c>
      <c r="B387" s="265" t="str">
        <f>IFERROR(__xludf.DUMMYFUNCTION("""COMPUTED_VALUE"""),"Hà Nội")</f>
        <v>Hà Nội</v>
      </c>
      <c r="C387" s="265" t="str">
        <f>IFERROR(__xludf.DUMMYFUNCTION("""COMPUTED_VALUE"""),"Active")</f>
        <v>Active</v>
      </c>
      <c r="D387" s="265" t="str">
        <f>IFERROR(__xludf.DUMMYFUNCTION("""COMPUTED_VALUE"""),"Sale chưa cung cấp")</f>
        <v>Sale chưa cung cấp</v>
      </c>
      <c r="E387" s="265" t="str">
        <f>IFERROR(__xludf.DUMMYFUNCTION("""COMPUTED_VALUE"""),"TúPHN")</f>
        <v>TúPHN</v>
      </c>
      <c r="F387" s="265" t="str">
        <f>IFERROR(__xludf.DUMMYFUNCTION("""COMPUTED_VALUE"""),"Bronze")</f>
        <v>Bronze</v>
      </c>
      <c r="G387" s="265" t="str">
        <f>IFERROR(__xludf.DUMMYFUNCTION("""COMPUTED_VALUE"""),"Enterprise")</f>
        <v>Enterprise</v>
      </c>
      <c r="H387" s="265" t="str">
        <f>IFERROR(__xludf.DUMMYFUNCTION("""COMPUTED_VALUE"""),"Trả trước")</f>
        <v>Trả trước</v>
      </c>
      <c r="I387" s="265" t="str">
        <f>IFERROR(__xludf.DUMMYFUNCTION("""COMPUTED_VALUE"""),"API")</f>
        <v>API</v>
      </c>
      <c r="J387" s="265" t="str">
        <f>IFERROR(__xludf.DUMMYFUNCTION("""COMPUTED_VALUE"""),"Zalo ZNS")</f>
        <v>Zalo ZNS</v>
      </c>
      <c r="K387" s="265" t="str">
        <f>IFERROR(__xludf.DUMMYFUNCTION("""COMPUTED_VALUE"""),"LinhNTT1")</f>
        <v>LinhNTT1</v>
      </c>
    </row>
    <row r="388">
      <c r="A388" s="265" t="str">
        <f>IFERROR(__xludf.DUMMYFUNCTION("""COMPUTED_VALUE"""),"683")</f>
        <v>683</v>
      </c>
      <c r="B388" s="265" t="str">
        <f>IFERROR(__xludf.DUMMYFUNCTION("""COMPUTED_VALUE"""),"Hà Nội")</f>
        <v>Hà Nội</v>
      </c>
      <c r="C388" s="265" t="str">
        <f>IFERROR(__xludf.DUMMYFUNCTION("""COMPUTED_VALUE"""),"Locked")</f>
        <v>Locked</v>
      </c>
      <c r="D388" s="265" t="str">
        <f>IFERROR(__xludf.DUMMYFUNCTION("""COMPUTED_VALUE"""),"Ô tô &amp; Xe máy")</f>
        <v>Ô tô &amp; Xe máy</v>
      </c>
      <c r="E388" s="265" t="str">
        <f>IFERROR(__xludf.DUMMYFUNCTION("""COMPUTED_VALUE"""),"DungDT")</f>
        <v>DungDT</v>
      </c>
      <c r="F388" s="265" t="str">
        <f>IFERROR(__xludf.DUMMYFUNCTION("""COMPUTED_VALUE"""),"Sale chưa cung cấp")</f>
        <v>Sale chưa cung cấp</v>
      </c>
      <c r="G388" s="265" t="str">
        <f>IFERROR(__xludf.DUMMYFUNCTION("""COMPUTED_VALUE"""),"Enterprise")</f>
        <v>Enterprise</v>
      </c>
      <c r="H388" s="265" t="str">
        <f>IFERROR(__xludf.DUMMYFUNCTION("""COMPUTED_VALUE"""),"Trial")</f>
        <v>Trial</v>
      </c>
      <c r="I388" s="265" t="str">
        <f>IFERROR(__xludf.DUMMYFUNCTION("""COMPUTED_VALUE"""),"Portal")</f>
        <v>Portal</v>
      </c>
      <c r="J388" s="265" t="str">
        <f>IFERROR(__xludf.DUMMYFUNCTION("""COMPUTED_VALUE"""),"SMS CSKH")</f>
        <v>SMS CSKH</v>
      </c>
      <c r="K388" s="265" t="str">
        <f>IFERROR(__xludf.DUMMYFUNCTION("""COMPUTED_VALUE"""),"(Không recheck)")</f>
        <v>(Không recheck)</v>
      </c>
    </row>
    <row r="389">
      <c r="A389" s="265" t="str">
        <f>IFERROR(__xludf.DUMMYFUNCTION("""COMPUTED_VALUE"""),"684")</f>
        <v>684</v>
      </c>
      <c r="B389" s="265" t="str">
        <f>IFERROR(__xludf.DUMMYFUNCTION("""COMPUTED_VALUE"""),"Hà Nội")</f>
        <v>Hà Nội</v>
      </c>
      <c r="C389" s="265" t="str">
        <f>IFERROR(__xludf.DUMMYFUNCTION("""COMPUTED_VALUE"""),"Active")</f>
        <v>Active</v>
      </c>
      <c r="D389" s="265" t="str">
        <f>IFERROR(__xludf.DUMMYFUNCTION("""COMPUTED_VALUE"""),"Y tế &amp; Dược phẩm")</f>
        <v>Y tế &amp; Dược phẩm</v>
      </c>
      <c r="E389" s="265" t="str">
        <f>IFERROR(__xludf.DUMMYFUNCTION("""COMPUTED_VALUE"""),"TúPHN")</f>
        <v>TúPHN</v>
      </c>
      <c r="F389" s="265" t="str">
        <f>IFERROR(__xludf.DUMMYFUNCTION("""COMPUTED_VALUE"""),"Silver")</f>
        <v>Silver</v>
      </c>
      <c r="G389" s="265" t="str">
        <f>IFERROR(__xludf.DUMMYFUNCTION("""COMPUTED_VALUE"""),"Starter")</f>
        <v>Starter</v>
      </c>
      <c r="H389" s="265" t="str">
        <f>IFERROR(__xludf.DUMMYFUNCTION("""COMPUTED_VALUE"""),"Trả sau")</f>
        <v>Trả sau</v>
      </c>
      <c r="I389" s="265" t="str">
        <f>IFERROR(__xludf.DUMMYFUNCTION("""COMPUTED_VALUE"""),"API")</f>
        <v>API</v>
      </c>
      <c r="J389" s="265" t="str">
        <f>IFERROR(__xludf.DUMMYFUNCTION("""COMPUTED_VALUE"""),"Zalo ZNS")</f>
        <v>Zalo ZNS</v>
      </c>
      <c r="K389" s="265" t="str">
        <f>IFERROR(__xludf.DUMMYFUNCTION("""COMPUTED_VALUE"""),"LinhNTT1")</f>
        <v>LinhNTT1</v>
      </c>
    </row>
    <row r="390">
      <c r="A390" s="265" t="str">
        <f>IFERROR(__xludf.DUMMYFUNCTION("""COMPUTED_VALUE"""),"685")</f>
        <v>685</v>
      </c>
      <c r="B390" s="265" t="str">
        <f>IFERROR(__xludf.DUMMYFUNCTION("""COMPUTED_VALUE"""),"Hà Nội")</f>
        <v>Hà Nội</v>
      </c>
      <c r="C390" s="265" t="str">
        <f>IFERROR(__xludf.DUMMYFUNCTION("""COMPUTED_VALUE"""),"Locked")</f>
        <v>Locked</v>
      </c>
      <c r="D390" s="265" t="str">
        <f>IFERROR(__xludf.DUMMYFUNCTION("""COMPUTED_VALUE"""),"Giáo dục &amp; Đào tạo")</f>
        <v>Giáo dục &amp; Đào tạo</v>
      </c>
      <c r="E390" s="265" t="str">
        <f>IFERROR(__xludf.DUMMYFUNCTION("""COMPUTED_VALUE"""),"TùngLD")</f>
        <v>TùngLD</v>
      </c>
      <c r="F390" s="265" t="str">
        <f>IFERROR(__xludf.DUMMYFUNCTION("""COMPUTED_VALUE"""),"Sale chưa cung cấp")</f>
        <v>Sale chưa cung cấp</v>
      </c>
      <c r="G390" s="265" t="str">
        <f>IFERROR(__xludf.DUMMYFUNCTION("""COMPUTED_VALUE"""),"SIMILAR")</f>
        <v>SIMILAR</v>
      </c>
      <c r="H390" s="265" t="str">
        <f>IFERROR(__xludf.DUMMYFUNCTION("""COMPUTED_VALUE"""),"Trả trước")</f>
        <v>Trả trước</v>
      </c>
      <c r="I390" s="265" t="str">
        <f>IFERROR(__xludf.DUMMYFUNCTION("""COMPUTED_VALUE"""),"Portal")</f>
        <v>Portal</v>
      </c>
      <c r="J390" s="265" t="str">
        <f>IFERROR(__xludf.DUMMYFUNCTION("""COMPUTED_VALUE"""),"Zalo ZNS")</f>
        <v>Zalo ZNS</v>
      </c>
      <c r="K390" s="265" t="str">
        <f>IFERROR(__xludf.DUMMYFUNCTION("""COMPUTED_VALUE"""),"AnhNM")</f>
        <v>AnhNM</v>
      </c>
    </row>
    <row r="391">
      <c r="A391" s="265" t="str">
        <f>IFERROR(__xludf.DUMMYFUNCTION("""COMPUTED_VALUE"""),"686")</f>
        <v>686</v>
      </c>
      <c r="B391" s="265" t="str">
        <f>IFERROR(__xludf.DUMMYFUNCTION("""COMPUTED_VALUE"""),"Hà Nội")</f>
        <v>Hà Nội</v>
      </c>
      <c r="C391" s="265" t="str">
        <f>IFERROR(__xludf.DUMMYFUNCTION("""COMPUTED_VALUE"""),"Locked")</f>
        <v>Locked</v>
      </c>
      <c r="D391" s="265" t="str">
        <f>IFERROR(__xludf.DUMMYFUNCTION("""COMPUTED_VALUE"""),"Vận tải &amp; logistics")</f>
        <v>Vận tải &amp; logistics</v>
      </c>
      <c r="E391" s="265" t="str">
        <f>IFERROR(__xludf.DUMMYFUNCTION("""COMPUTED_VALUE"""),"TúPHN")</f>
        <v>TúPHN</v>
      </c>
      <c r="F391" s="265" t="str">
        <f>IFERROR(__xludf.DUMMYFUNCTION("""COMPUTED_VALUE"""),"Diamond")</f>
        <v>Diamond</v>
      </c>
      <c r="G391" s="265" t="str">
        <f>IFERROR(__xludf.DUMMYFUNCTION("""COMPUTED_VALUE"""),"Enterprise")</f>
        <v>Enterprise</v>
      </c>
      <c r="H391" s="265" t="str">
        <f>IFERROR(__xludf.DUMMYFUNCTION("""COMPUTED_VALUE"""),"Trả trước")</f>
        <v>Trả trước</v>
      </c>
      <c r="I391" s="265" t="str">
        <f>IFERROR(__xludf.DUMMYFUNCTION("""COMPUTED_VALUE"""),"API &amp; Portal")</f>
        <v>API &amp; Portal</v>
      </c>
      <c r="J391" s="265" t="str">
        <f>IFERROR(__xludf.DUMMYFUNCTION("""COMPUTED_VALUE"""),"Tất cả")</f>
        <v>Tất cả</v>
      </c>
      <c r="K391" s="265" t="str">
        <f>IFERROR(__xludf.DUMMYFUNCTION("""COMPUTED_VALUE"""),"LinhNTT1")</f>
        <v>LinhNTT1</v>
      </c>
    </row>
    <row r="392">
      <c r="A392" s="265" t="str">
        <f>IFERROR(__xludf.DUMMYFUNCTION("""COMPUTED_VALUE"""),"338")</f>
        <v>338</v>
      </c>
      <c r="B392" s="265" t="str">
        <f>IFERROR(__xludf.DUMMYFUNCTION("""COMPUTED_VALUE"""),"Sài Gòn")</f>
        <v>Sài Gòn</v>
      </c>
      <c r="C392" s="265" t="str">
        <f>IFERROR(__xludf.DUMMYFUNCTION("""COMPUTED_VALUE"""),"Locked")</f>
        <v>Locked</v>
      </c>
      <c r="D392" s="265" t="str">
        <f>IFERROR(__xludf.DUMMYFUNCTION("""COMPUTED_VALUE"""),"Mua sắm &amp; Bán lẻ")</f>
        <v>Mua sắm &amp; Bán lẻ</v>
      </c>
      <c r="E392" s="265" t="str">
        <f>IFERROR(__xludf.DUMMYFUNCTION("""COMPUTED_VALUE"""),"HoaNTM")</f>
        <v>HoaNTM</v>
      </c>
      <c r="F392" s="265" t="str">
        <f>IFERROR(__xludf.DUMMYFUNCTION("""COMPUTED_VALUE"""),"Sale chưa cung cấp")</f>
        <v>Sale chưa cung cấp</v>
      </c>
      <c r="G392" s="265" t="str">
        <f>IFERROR(__xludf.DUMMYFUNCTION("""COMPUTED_VALUE"""),"SIMILAR")</f>
        <v>SIMILAR</v>
      </c>
      <c r="H392" s="265" t="str">
        <f>IFERROR(__xludf.DUMMYFUNCTION("""COMPUTED_VALUE"""),"(Chưa recheck)")</f>
        <v>(Chưa recheck)</v>
      </c>
      <c r="I392" s="265" t="str">
        <f>IFERROR(__xludf.DUMMYFUNCTION("""COMPUTED_VALUE"""),"API &amp; Portal")</f>
        <v>API &amp; Portal</v>
      </c>
      <c r="J392" s="265" t="str">
        <f>IFERROR(__xludf.DUMMYFUNCTION("""COMPUTED_VALUE"""),"Zalo ZNS")</f>
        <v>Zalo ZNS</v>
      </c>
      <c r="K392" s="265" t="str">
        <f>IFERROR(__xludf.DUMMYFUNCTION("""COMPUTED_VALUE"""),"(Chưa recheck)")</f>
        <v>(Chưa recheck)</v>
      </c>
    </row>
    <row r="393">
      <c r="A393" s="265" t="str">
        <f>IFERROR(__xludf.DUMMYFUNCTION("""COMPUTED_VALUE"""),"688")</f>
        <v>688</v>
      </c>
      <c r="B393" s="265" t="str">
        <f>IFERROR(__xludf.DUMMYFUNCTION("""COMPUTED_VALUE"""),"Hà Nội")</f>
        <v>Hà Nội</v>
      </c>
      <c r="C393" s="265" t="str">
        <f>IFERROR(__xludf.DUMMYFUNCTION("""COMPUTED_VALUE"""),"Locked")</f>
        <v>Locked</v>
      </c>
      <c r="D393" s="265" t="str">
        <f>IFERROR(__xludf.DUMMYFUNCTION("""COMPUTED_VALUE"""),"Vận tải &amp; logistics")</f>
        <v>Vận tải &amp; logistics</v>
      </c>
      <c r="E393" s="265" t="str">
        <f>IFERROR(__xludf.DUMMYFUNCTION("""COMPUTED_VALUE"""),"PhươngDTB")</f>
        <v>PhươngDTB</v>
      </c>
      <c r="F393" s="265" t="str">
        <f>IFERROR(__xludf.DUMMYFUNCTION("""COMPUTED_VALUE"""),"Sale chưa cung cấp")</f>
        <v>Sale chưa cung cấp</v>
      </c>
      <c r="G393" s="265" t="str">
        <f>IFERROR(__xludf.DUMMYFUNCTION("""COMPUTED_VALUE"""),"API")</f>
        <v>API</v>
      </c>
      <c r="H393" s="265" t="str">
        <f>IFERROR(__xludf.DUMMYFUNCTION("""COMPUTED_VALUE"""),"Trial")</f>
        <v>Trial</v>
      </c>
      <c r="I393" s="265" t="str">
        <f>IFERROR(__xludf.DUMMYFUNCTION("""COMPUTED_VALUE"""),"API")</f>
        <v>API</v>
      </c>
      <c r="J393" s="265" t="str">
        <f>IFERROR(__xludf.DUMMYFUNCTION("""COMPUTED_VALUE"""),"SMS CSKH")</f>
        <v>SMS CSKH</v>
      </c>
      <c r="K393" s="265" t="str">
        <f>IFERROR(__xludf.DUMMYFUNCTION("""COMPUTED_VALUE"""),"(Không recheck)")</f>
        <v>(Không recheck)</v>
      </c>
    </row>
    <row r="394">
      <c r="A394" s="265" t="str">
        <f>IFERROR(__xludf.DUMMYFUNCTION("""COMPUTED_VALUE"""),"687")</f>
        <v>687</v>
      </c>
      <c r="B394" s="265" t="str">
        <f>IFERROR(__xludf.DUMMYFUNCTION("""COMPUTED_VALUE"""),"Hà Nội")</f>
        <v>Hà Nội</v>
      </c>
      <c r="C394" s="265" t="str">
        <f>IFERROR(__xludf.DUMMYFUNCTION("""COMPUTED_VALUE"""),"Locked")</f>
        <v>Locked</v>
      </c>
      <c r="D394" s="265" t="str">
        <f>IFERROR(__xludf.DUMMYFUNCTION("""COMPUTED_VALUE"""),"Vận tải &amp; logistics")</f>
        <v>Vận tải &amp; logistics</v>
      </c>
      <c r="E394" s="265" t="str">
        <f>IFERROR(__xludf.DUMMYFUNCTION("""COMPUTED_VALUE"""),"PhươngDTB")</f>
        <v>PhươngDTB</v>
      </c>
      <c r="F394" s="265" t="str">
        <f>IFERROR(__xludf.DUMMYFUNCTION("""COMPUTED_VALUE"""),"Sale chưa cung cấp")</f>
        <v>Sale chưa cung cấp</v>
      </c>
      <c r="G394" s="265" t="str">
        <f>IFERROR(__xludf.DUMMYFUNCTION("""COMPUTED_VALUE"""),"API")</f>
        <v>API</v>
      </c>
      <c r="H394" s="265" t="str">
        <f>IFERROR(__xludf.DUMMYFUNCTION("""COMPUTED_VALUE"""),"(Chưa recheck)")</f>
        <v>(Chưa recheck)</v>
      </c>
      <c r="I394" s="265" t="str">
        <f>IFERROR(__xludf.DUMMYFUNCTION("""COMPUTED_VALUE"""),"API")</f>
        <v>API</v>
      </c>
      <c r="J394" s="265" t="str">
        <f>IFERROR(__xludf.DUMMYFUNCTION("""COMPUTED_VALUE"""),"Zalo ZNS")</f>
        <v>Zalo ZNS</v>
      </c>
      <c r="K394" s="265" t="str">
        <f>IFERROR(__xludf.DUMMYFUNCTION("""COMPUTED_VALUE"""),"(Chưa recheck)")</f>
        <v>(Chưa recheck)</v>
      </c>
    </row>
    <row r="395">
      <c r="A395" s="265" t="str">
        <f>IFERROR(__xludf.DUMMYFUNCTION("""COMPUTED_VALUE"""),"389")</f>
        <v>389</v>
      </c>
      <c r="B395" s="265" t="str">
        <f>IFERROR(__xludf.DUMMYFUNCTION("""COMPUTED_VALUE"""),"Hà Nội")</f>
        <v>Hà Nội</v>
      </c>
      <c r="C395" s="265" t="str">
        <f>IFERROR(__xludf.DUMMYFUNCTION("""COMPUTED_VALUE"""),"Locked")</f>
        <v>Locked</v>
      </c>
      <c r="D395" s="265" t="str">
        <f>IFERROR(__xludf.DUMMYFUNCTION("""COMPUTED_VALUE"""),"Bất động sản")</f>
        <v>Bất động sản</v>
      </c>
      <c r="E395" s="265" t="str">
        <f>IFERROR(__xludf.DUMMYFUNCTION("""COMPUTED_VALUE"""),"TúPHN")</f>
        <v>TúPHN</v>
      </c>
      <c r="F395" s="265" t="str">
        <f>IFERROR(__xludf.DUMMYFUNCTION("""COMPUTED_VALUE"""),"Bronze")</f>
        <v>Bronze</v>
      </c>
      <c r="G395" s="265" t="str">
        <f>IFERROR(__xludf.DUMMYFUNCTION("""COMPUTED_VALUE"""),"Enterprise")</f>
        <v>Enterprise</v>
      </c>
      <c r="H395" s="265" t="str">
        <f>IFERROR(__xludf.DUMMYFUNCTION("""COMPUTED_VALUE"""),"(Chưa recheck)")</f>
        <v>(Chưa recheck)</v>
      </c>
      <c r="I395" s="265" t="str">
        <f>IFERROR(__xludf.DUMMYFUNCTION("""COMPUTED_VALUE"""),"(Chưa recheck)")</f>
        <v>(Chưa recheck)</v>
      </c>
      <c r="J395" s="265" t="str">
        <f>IFERROR(__xludf.DUMMYFUNCTION("""COMPUTED_VALUE"""),"(Chưa recheck)")</f>
        <v>(Chưa recheck)</v>
      </c>
      <c r="K395" s="265" t="str">
        <f>IFERROR(__xludf.DUMMYFUNCTION("""COMPUTED_VALUE"""),"AnhNM")</f>
        <v>AnhNM</v>
      </c>
    </row>
    <row r="396">
      <c r="A396" s="265" t="str">
        <f>IFERROR(__xludf.DUMMYFUNCTION("""COMPUTED_VALUE"""),"689")</f>
        <v>689</v>
      </c>
      <c r="B396" s="265" t="str">
        <f>IFERROR(__xludf.DUMMYFUNCTION("""COMPUTED_VALUE"""),"Sài Gòn")</f>
        <v>Sài Gòn</v>
      </c>
      <c r="C396" s="265" t="str">
        <f>IFERROR(__xludf.DUMMYFUNCTION("""COMPUTED_VALUE"""),"Locked")</f>
        <v>Locked</v>
      </c>
      <c r="D396" s="265" t="str">
        <f>IFERROR(__xludf.DUMMYFUNCTION("""COMPUTED_VALUE"""),"Sale chưa cung cấp")</f>
        <v>Sale chưa cung cấp</v>
      </c>
      <c r="E396" s="265" t="str">
        <f>IFERROR(__xludf.DUMMYFUNCTION("""COMPUTED_VALUE"""),"HoaNTM")</f>
        <v>HoaNTM</v>
      </c>
      <c r="F396" s="265" t="str">
        <f>IFERROR(__xludf.DUMMYFUNCTION("""COMPUTED_VALUE"""),"Sale chưa cung cấp")</f>
        <v>Sale chưa cung cấp</v>
      </c>
      <c r="G396" s="265" t="str">
        <f>IFERROR(__xludf.DUMMYFUNCTION("""COMPUTED_VALUE"""),"Enterprise")</f>
        <v>Enterprise</v>
      </c>
      <c r="H396" s="265" t="str">
        <f>IFERROR(__xludf.DUMMYFUNCTION("""COMPUTED_VALUE"""),"Trial")</f>
        <v>Trial</v>
      </c>
      <c r="I396" s="265" t="str">
        <f>IFERROR(__xludf.DUMMYFUNCTION("""COMPUTED_VALUE"""),"API &amp; Portal")</f>
        <v>API &amp; Portal</v>
      </c>
      <c r="J396" s="265" t="str">
        <f>IFERROR(__xludf.DUMMYFUNCTION("""COMPUTED_VALUE"""),"GapOne")</f>
        <v>GapOne</v>
      </c>
      <c r="K396" s="265" t="str">
        <f>IFERROR(__xludf.DUMMYFUNCTION("""COMPUTED_VALUE"""),"(Không recheck)")</f>
        <v>(Không recheck)</v>
      </c>
    </row>
    <row r="397">
      <c r="A397" s="265" t="str">
        <f>IFERROR(__xludf.DUMMYFUNCTION("""COMPUTED_VALUE"""),"690")</f>
        <v>690</v>
      </c>
      <c r="B397" s="265" t="str">
        <f>IFERROR(__xludf.DUMMYFUNCTION("""COMPUTED_VALUE"""),"Hà Nội")</f>
        <v>Hà Nội</v>
      </c>
      <c r="C397" s="265" t="str">
        <f>IFERROR(__xludf.DUMMYFUNCTION("""COMPUTED_VALUE"""),"Locked")</f>
        <v>Locked</v>
      </c>
      <c r="D397" s="265" t="str">
        <f>IFERROR(__xludf.DUMMYFUNCTION("""COMPUTED_VALUE"""),"Thực phẩm &amp; Đồ uống")</f>
        <v>Thực phẩm &amp; Đồ uống</v>
      </c>
      <c r="E397" s="265" t="str">
        <f>IFERROR(__xludf.DUMMYFUNCTION("""COMPUTED_VALUE"""),"AnhNP")</f>
        <v>AnhNP</v>
      </c>
      <c r="F397" s="265" t="str">
        <f>IFERROR(__xludf.DUMMYFUNCTION("""COMPUTED_VALUE"""),"Sale chưa cung cấp")</f>
        <v>Sale chưa cung cấp</v>
      </c>
      <c r="G397" s="265" t="str">
        <f>IFERROR(__xludf.DUMMYFUNCTION("""COMPUTED_VALUE"""),"Enterprise")</f>
        <v>Enterprise</v>
      </c>
      <c r="H397" s="265" t="str">
        <f>IFERROR(__xludf.DUMMYFUNCTION("""COMPUTED_VALUE"""),"Trial")</f>
        <v>Trial</v>
      </c>
      <c r="I397" s="265" t="str">
        <f>IFERROR(__xludf.DUMMYFUNCTION("""COMPUTED_VALUE"""),"API &amp; Portal")</f>
        <v>API &amp; Portal</v>
      </c>
      <c r="J397" s="265" t="str">
        <f>IFERROR(__xludf.DUMMYFUNCTION("""COMPUTED_VALUE"""),"Zalo ZNS")</f>
        <v>Zalo ZNS</v>
      </c>
      <c r="K397" s="265" t="str">
        <f>IFERROR(__xludf.DUMMYFUNCTION("""COMPUTED_VALUE"""),"(Không recheck)")</f>
        <v>(Không recheck)</v>
      </c>
    </row>
    <row r="398">
      <c r="A398" s="265" t="str">
        <f>IFERROR(__xludf.DUMMYFUNCTION("""COMPUTED_VALUE"""),"691")</f>
        <v>691</v>
      </c>
      <c r="B398" s="265" t="str">
        <f>IFERROR(__xludf.DUMMYFUNCTION("""COMPUTED_VALUE"""),"Hà Nội")</f>
        <v>Hà Nội</v>
      </c>
      <c r="C398" s="265" t="str">
        <f>IFERROR(__xludf.DUMMYFUNCTION("""COMPUTED_VALUE"""),"Locked")</f>
        <v>Locked</v>
      </c>
      <c r="D398" s="265" t="str">
        <f>IFERROR(__xludf.DUMMYFUNCTION("""COMPUTED_VALUE"""),"Mua sắm &amp; Bán lẻ")</f>
        <v>Mua sắm &amp; Bán lẻ</v>
      </c>
      <c r="E398" s="265" t="str">
        <f>IFERROR(__xludf.DUMMYFUNCTION("""COMPUTED_VALUE"""),"HangNT")</f>
        <v>HangNT</v>
      </c>
      <c r="F398" s="265" t="str">
        <f>IFERROR(__xludf.DUMMYFUNCTION("""COMPUTED_VALUE"""),"Gold")</f>
        <v>Gold</v>
      </c>
      <c r="G398" s="265" t="str">
        <f>IFERROR(__xludf.DUMMYFUNCTION("""COMPUTED_VALUE"""),"SIMILAR")</f>
        <v>SIMILAR</v>
      </c>
      <c r="H398" s="265" t="str">
        <f>IFERROR(__xludf.DUMMYFUNCTION("""COMPUTED_VALUE"""),"Trial")</f>
        <v>Trial</v>
      </c>
      <c r="I398" s="265" t="str">
        <f>IFERROR(__xludf.DUMMYFUNCTION("""COMPUTED_VALUE"""),"Portal")</f>
        <v>Portal</v>
      </c>
      <c r="J398" s="265" t="str">
        <f>IFERROR(__xludf.DUMMYFUNCTION("""COMPUTED_VALUE"""),"SMS CSKH")</f>
        <v>SMS CSKH</v>
      </c>
      <c r="K398" s="265" t="str">
        <f>IFERROR(__xludf.DUMMYFUNCTION("""COMPUTED_VALUE"""),"(Chưa recheck)")</f>
        <v>(Chưa recheck)</v>
      </c>
    </row>
    <row r="399">
      <c r="A399" s="265" t="str">
        <f>IFERROR(__xludf.DUMMYFUNCTION("""COMPUTED_VALUE"""),"693")</f>
        <v>693</v>
      </c>
      <c r="B399" s="265" t="str">
        <f>IFERROR(__xludf.DUMMYFUNCTION("""COMPUTED_VALUE"""),"Hà Nội")</f>
        <v>Hà Nội</v>
      </c>
      <c r="C399" s="265" t="str">
        <f>IFERROR(__xludf.DUMMYFUNCTION("""COMPUTED_VALUE"""),"Locked")</f>
        <v>Locked</v>
      </c>
      <c r="D399" s="265" t="str">
        <f>IFERROR(__xludf.DUMMYFUNCTION("""COMPUTED_VALUE"""),"Giáo dục &amp; Đào tạo")</f>
        <v>Giáo dục &amp; Đào tạo</v>
      </c>
      <c r="E399" s="265" t="str">
        <f>IFERROR(__xludf.DUMMYFUNCTION("""COMPUTED_VALUE"""),"TùngLD")</f>
        <v>TùngLD</v>
      </c>
      <c r="F399" s="265" t="str">
        <f>IFERROR(__xludf.DUMMYFUNCTION("""COMPUTED_VALUE"""),"Sale chưa cung cấp")</f>
        <v>Sale chưa cung cấp</v>
      </c>
      <c r="G399" s="265" t="str">
        <f>IFERROR(__xludf.DUMMYFUNCTION("""COMPUTED_VALUE"""),"Enterprise")</f>
        <v>Enterprise</v>
      </c>
      <c r="H399" s="265" t="str">
        <f>IFERROR(__xludf.DUMMYFUNCTION("""COMPUTED_VALUE"""),"Trial")</f>
        <v>Trial</v>
      </c>
      <c r="I399" s="265" t="str">
        <f>IFERROR(__xludf.DUMMYFUNCTION("""COMPUTED_VALUE"""),"Portal")</f>
        <v>Portal</v>
      </c>
      <c r="J399" s="265" t="str">
        <f>IFERROR(__xludf.DUMMYFUNCTION("""COMPUTED_VALUE"""),"(Không recheck)")</f>
        <v>(Không recheck)</v>
      </c>
      <c r="K399" s="265" t="str">
        <f>IFERROR(__xludf.DUMMYFUNCTION("""COMPUTED_VALUE"""),"(Không recheck)")</f>
        <v>(Không recheck)</v>
      </c>
    </row>
    <row r="400">
      <c r="A400" s="265" t="str">
        <f>IFERROR(__xludf.DUMMYFUNCTION("""COMPUTED_VALUE"""),"692")</f>
        <v>692</v>
      </c>
      <c r="B400" s="265" t="str">
        <f>IFERROR(__xludf.DUMMYFUNCTION("""COMPUTED_VALUE"""),"Sài Gòn")</f>
        <v>Sài Gòn</v>
      </c>
      <c r="C400" s="265" t="str">
        <f>IFERROR(__xludf.DUMMYFUNCTION("""COMPUTED_VALUE"""),"Locked")</f>
        <v>Locked</v>
      </c>
      <c r="D400" s="265" t="str">
        <f>IFERROR(__xludf.DUMMYFUNCTION("""COMPUTED_VALUE"""),"Sale chưa cung cấp")</f>
        <v>Sale chưa cung cấp</v>
      </c>
      <c r="E400" s="265" t="str">
        <f>IFERROR(__xludf.DUMMYFUNCTION("""COMPUTED_VALUE"""),"HoaNTM")</f>
        <v>HoaNTM</v>
      </c>
      <c r="F400" s="265" t="str">
        <f>IFERROR(__xludf.DUMMYFUNCTION("""COMPUTED_VALUE"""),"Sale chưa cung cấp")</f>
        <v>Sale chưa cung cấp</v>
      </c>
      <c r="G400" s="265" t="str">
        <f>IFERROR(__xludf.DUMMYFUNCTION("""COMPUTED_VALUE"""),"Enterprise")</f>
        <v>Enterprise</v>
      </c>
      <c r="H400" s="265" t="str">
        <f>IFERROR(__xludf.DUMMYFUNCTION("""COMPUTED_VALUE"""),"Trial")</f>
        <v>Trial</v>
      </c>
      <c r="I400" s="265" t="str">
        <f>IFERROR(__xludf.DUMMYFUNCTION("""COMPUTED_VALUE"""),"API &amp; Portal")</f>
        <v>API &amp; Portal</v>
      </c>
      <c r="J400" s="265" t="str">
        <f>IFERROR(__xludf.DUMMYFUNCTION("""COMPUTED_VALUE"""),"GapOne")</f>
        <v>GapOne</v>
      </c>
      <c r="K400" s="265" t="str">
        <f>IFERROR(__xludf.DUMMYFUNCTION("""COMPUTED_VALUE"""),"(Không recheck)")</f>
        <v>(Không recheck)</v>
      </c>
    </row>
    <row r="401">
      <c r="A401" s="265" t="str">
        <f>IFERROR(__xludf.DUMMYFUNCTION("""COMPUTED_VALUE"""),"694")</f>
        <v>694</v>
      </c>
      <c r="B401" s="265" t="str">
        <f>IFERROR(__xludf.DUMMYFUNCTION("""COMPUTED_VALUE"""),"Hà Nội")</f>
        <v>Hà Nội</v>
      </c>
      <c r="C401" s="265" t="str">
        <f>IFERROR(__xludf.DUMMYFUNCTION("""COMPUTED_VALUE"""),"Active")</f>
        <v>Active</v>
      </c>
      <c r="D401" s="265" t="str">
        <f>IFERROR(__xludf.DUMMYFUNCTION("""COMPUTED_VALUE"""),"Bất động sản")</f>
        <v>Bất động sản</v>
      </c>
      <c r="E401" s="265" t="str">
        <f>IFERROR(__xludf.DUMMYFUNCTION("""COMPUTED_VALUE"""),"TúPHN")</f>
        <v>TúPHN</v>
      </c>
      <c r="F401" s="265" t="str">
        <f>IFERROR(__xludf.DUMMYFUNCTION("""COMPUTED_VALUE"""),"Diamond")</f>
        <v>Diamond</v>
      </c>
      <c r="G401" s="265" t="str">
        <f>IFERROR(__xludf.DUMMYFUNCTION("""COMPUTED_VALUE"""),"Standard")</f>
        <v>Standard</v>
      </c>
      <c r="H401" s="265" t="str">
        <f>IFERROR(__xludf.DUMMYFUNCTION("""COMPUTED_VALUE"""),"Trả sau")</f>
        <v>Trả sau</v>
      </c>
      <c r="I401" s="265" t="str">
        <f>IFERROR(__xludf.DUMMYFUNCTION("""COMPUTED_VALUE"""),"API")</f>
        <v>API</v>
      </c>
      <c r="J401" s="265" t="str">
        <f>IFERROR(__xludf.DUMMYFUNCTION("""COMPUTED_VALUE"""),"Tất cả")</f>
        <v>Tất cả</v>
      </c>
      <c r="K401" s="265" t="str">
        <f>IFERROR(__xludf.DUMMYFUNCTION("""COMPUTED_VALUE"""),"DungPL")</f>
        <v>DungPL</v>
      </c>
    </row>
    <row r="402">
      <c r="A402" s="265" t="str">
        <f>IFERROR(__xludf.DUMMYFUNCTION("""COMPUTED_VALUE"""),"695")</f>
        <v>695</v>
      </c>
      <c r="B402" s="265" t="str">
        <f>IFERROR(__xludf.DUMMYFUNCTION("""COMPUTED_VALUE"""),"Đà Nẵng")</f>
        <v>Đà Nẵng</v>
      </c>
      <c r="C402" s="265" t="str">
        <f>IFERROR(__xludf.DUMMYFUNCTION("""COMPUTED_VALUE"""),"Locked")</f>
        <v>Locked</v>
      </c>
      <c r="D402" s="265" t="str">
        <f>IFERROR(__xludf.DUMMYFUNCTION("""COMPUTED_VALUE"""),"Sản xuất &amp; Chế tạo")</f>
        <v>Sản xuất &amp; Chế tạo</v>
      </c>
      <c r="E402" s="265" t="str">
        <f>IFERROR(__xludf.DUMMYFUNCTION("""COMPUTED_VALUE"""),"TúPHN")</f>
        <v>TúPHN</v>
      </c>
      <c r="F402" s="265" t="str">
        <f>IFERROR(__xludf.DUMMYFUNCTION("""COMPUTED_VALUE"""),"Bronze")</f>
        <v>Bronze</v>
      </c>
      <c r="G402" s="265" t="str">
        <f>IFERROR(__xludf.DUMMYFUNCTION("""COMPUTED_VALUE"""),"SIMILAR")</f>
        <v>SIMILAR</v>
      </c>
      <c r="H402" s="265" t="str">
        <f>IFERROR(__xludf.DUMMYFUNCTION("""COMPUTED_VALUE"""),"Trả trước")</f>
        <v>Trả trước</v>
      </c>
      <c r="I402" s="265" t="str">
        <f>IFERROR(__xludf.DUMMYFUNCTION("""COMPUTED_VALUE"""),"Portal")</f>
        <v>Portal</v>
      </c>
      <c r="J402" s="265" t="str">
        <f>IFERROR(__xludf.DUMMYFUNCTION("""COMPUTED_VALUE"""),"Zalo ZNS")</f>
        <v>Zalo ZNS</v>
      </c>
      <c r="K402" s="265" t="str">
        <f>IFERROR(__xludf.DUMMYFUNCTION("""COMPUTED_VALUE"""),"LinhNTT1")</f>
        <v>LinhNTT1</v>
      </c>
    </row>
    <row r="403">
      <c r="A403" s="265" t="str">
        <f>IFERROR(__xludf.DUMMYFUNCTION("""COMPUTED_VALUE"""),"698")</f>
        <v>698</v>
      </c>
      <c r="B403" s="265" t="str">
        <f>IFERROR(__xludf.DUMMYFUNCTION("""COMPUTED_VALUE"""),"Hà Nội")</f>
        <v>Hà Nội</v>
      </c>
      <c r="C403" s="265" t="str">
        <f>IFERROR(__xludf.DUMMYFUNCTION("""COMPUTED_VALUE"""),"Locked")</f>
        <v>Locked</v>
      </c>
      <c r="D403" s="265" t="str">
        <f>IFERROR(__xludf.DUMMYFUNCTION("""COMPUTED_VALUE"""),"Mua sắm &amp; Bán lẻ")</f>
        <v>Mua sắm &amp; Bán lẻ</v>
      </c>
      <c r="E403" s="265" t="str">
        <f>IFERROR(__xludf.DUMMYFUNCTION("""COMPUTED_VALUE"""),"HangNT")</f>
        <v>HangNT</v>
      </c>
      <c r="F403" s="265" t="str">
        <f>IFERROR(__xludf.DUMMYFUNCTION("""COMPUTED_VALUE"""),"Bronze")</f>
        <v>Bronze</v>
      </c>
      <c r="G403" s="265" t="str">
        <f>IFERROR(__xludf.DUMMYFUNCTION("""COMPUTED_VALUE"""),"MSG")</f>
        <v>MSG</v>
      </c>
      <c r="H403" s="265" t="str">
        <f>IFERROR(__xludf.DUMMYFUNCTION("""COMPUTED_VALUE"""),"Trial")</f>
        <v>Trial</v>
      </c>
      <c r="I403" s="265" t="str">
        <f>IFERROR(__xludf.DUMMYFUNCTION("""COMPUTED_VALUE"""),"Portal")</f>
        <v>Portal</v>
      </c>
      <c r="J403" s="265" t="str">
        <f>IFERROR(__xludf.DUMMYFUNCTION("""COMPUTED_VALUE"""),"Zalo ZNS")</f>
        <v>Zalo ZNS</v>
      </c>
      <c r="K403" s="265" t="str">
        <f>IFERROR(__xludf.DUMMYFUNCTION("""COMPUTED_VALUE"""),"(Không recheck)")</f>
        <v>(Không recheck)</v>
      </c>
    </row>
    <row r="404">
      <c r="A404" s="265" t="str">
        <f>IFERROR(__xludf.DUMMYFUNCTION("""COMPUTED_VALUE"""),"697")</f>
        <v>697</v>
      </c>
      <c r="B404" s="265" t="str">
        <f>IFERROR(__xludf.DUMMYFUNCTION("""COMPUTED_VALUE"""),"Sài Gòn")</f>
        <v>Sài Gòn</v>
      </c>
      <c r="C404" s="265" t="str">
        <f>IFERROR(__xludf.DUMMYFUNCTION("""COMPUTED_VALUE"""),"Locked")</f>
        <v>Locked</v>
      </c>
      <c r="D404" s="265" t="str">
        <f>IFERROR(__xludf.DUMMYFUNCTION("""COMPUTED_VALUE"""),"Thời trang &amp; May mặc")</f>
        <v>Thời trang &amp; May mặc</v>
      </c>
      <c r="E404" s="265" t="str">
        <f>IFERROR(__xludf.DUMMYFUNCTION("""COMPUTED_VALUE"""),"HoaNTM")</f>
        <v>HoaNTM</v>
      </c>
      <c r="F404" s="265" t="str">
        <f>IFERROR(__xludf.DUMMYFUNCTION("""COMPUTED_VALUE"""),"Bronze")</f>
        <v>Bronze</v>
      </c>
      <c r="G404" s="265" t="str">
        <f>IFERROR(__xludf.DUMMYFUNCTION("""COMPUTED_VALUE"""),"Enterprise")</f>
        <v>Enterprise</v>
      </c>
      <c r="H404" s="265" t="str">
        <f>IFERROR(__xludf.DUMMYFUNCTION("""COMPUTED_VALUE"""),"(Chưa recheck)")</f>
        <v>(Chưa recheck)</v>
      </c>
      <c r="I404" s="265" t="str">
        <f>IFERROR(__xludf.DUMMYFUNCTION("""COMPUTED_VALUE"""),"API &amp; Portal")</f>
        <v>API &amp; Portal</v>
      </c>
      <c r="J404" s="265" t="str">
        <f>IFERROR(__xludf.DUMMYFUNCTION("""COMPUTED_VALUE"""),"Zalo ZNS")</f>
        <v>Zalo ZNS</v>
      </c>
      <c r="K404" s="265" t="str">
        <f>IFERROR(__xludf.DUMMYFUNCTION("""COMPUTED_VALUE"""),"Chưa phân công")</f>
        <v>Chưa phân công</v>
      </c>
    </row>
    <row r="405">
      <c r="A405" s="265" t="str">
        <f>IFERROR(__xludf.DUMMYFUNCTION("""COMPUTED_VALUE"""),"696")</f>
        <v>696</v>
      </c>
      <c r="B405" s="265" t="str">
        <f>IFERROR(__xludf.DUMMYFUNCTION("""COMPUTED_VALUE"""),"Sài Gòn")</f>
        <v>Sài Gòn</v>
      </c>
      <c r="C405" s="265" t="str">
        <f>IFERROR(__xludf.DUMMYFUNCTION("""COMPUTED_VALUE"""),"Locked")</f>
        <v>Locked</v>
      </c>
      <c r="D405" s="265" t="str">
        <f>IFERROR(__xludf.DUMMYFUNCTION("""COMPUTED_VALUE"""),"Viễn thông")</f>
        <v>Viễn thông</v>
      </c>
      <c r="E405" s="265" t="str">
        <f>IFERROR(__xludf.DUMMYFUNCTION("""COMPUTED_VALUE"""),"HoaNTM")</f>
        <v>HoaNTM</v>
      </c>
      <c r="F405" s="265" t="str">
        <f>IFERROR(__xludf.DUMMYFUNCTION("""COMPUTED_VALUE"""),"Gold")</f>
        <v>Gold</v>
      </c>
      <c r="G405" s="265" t="str">
        <f>IFERROR(__xludf.DUMMYFUNCTION("""COMPUTED_VALUE"""),"Enterprise")</f>
        <v>Enterprise</v>
      </c>
      <c r="H405" s="265" t="str">
        <f>IFERROR(__xludf.DUMMYFUNCTION("""COMPUTED_VALUE"""),"(Chưa recheck)")</f>
        <v>(Chưa recheck)</v>
      </c>
      <c r="I405" s="265" t="str">
        <f>IFERROR(__xludf.DUMMYFUNCTION("""COMPUTED_VALUE"""),"API &amp; Portal")</f>
        <v>API &amp; Portal</v>
      </c>
      <c r="J405" s="265" t="str">
        <f>IFERROR(__xludf.DUMMYFUNCTION("""COMPUTED_VALUE"""),"GapOne")</f>
        <v>GapOne</v>
      </c>
      <c r="K405" s="265" t="str">
        <f>IFERROR(__xludf.DUMMYFUNCTION("""COMPUTED_VALUE"""),"AnhNM")</f>
        <v>AnhNM</v>
      </c>
    </row>
    <row r="406">
      <c r="A406" s="265" t="str">
        <f>IFERROR(__xludf.DUMMYFUNCTION("""COMPUTED_VALUE"""),"699")</f>
        <v>699</v>
      </c>
      <c r="B406" s="265" t="str">
        <f>IFERROR(__xludf.DUMMYFUNCTION("""COMPUTED_VALUE"""),"Hà Nội")</f>
        <v>Hà Nội</v>
      </c>
      <c r="C406" s="265" t="str">
        <f>IFERROR(__xludf.DUMMYFUNCTION("""COMPUTED_VALUE"""),"Active")</f>
        <v>Active</v>
      </c>
      <c r="D406" s="265" t="str">
        <f>IFERROR(__xludf.DUMMYFUNCTION("""COMPUTED_VALUE"""),"Vận tải &amp; logistics")</f>
        <v>Vận tải &amp; logistics</v>
      </c>
      <c r="E406" s="265" t="str">
        <f>IFERROR(__xludf.DUMMYFUNCTION("""COMPUTED_VALUE"""),"AnhNM")</f>
        <v>AnhNM</v>
      </c>
      <c r="F406" s="265" t="str">
        <f>IFERROR(__xludf.DUMMYFUNCTION("""COMPUTED_VALUE"""),"Silver")</f>
        <v>Silver</v>
      </c>
      <c r="G406" s="265" t="str">
        <f>IFERROR(__xludf.DUMMYFUNCTION("""COMPUTED_VALUE"""),"Starter")</f>
        <v>Starter</v>
      </c>
      <c r="H406" s="265" t="str">
        <f>IFERROR(__xludf.DUMMYFUNCTION("""COMPUTED_VALUE"""),"Trả sau")</f>
        <v>Trả sau</v>
      </c>
      <c r="I406" s="265" t="str">
        <f>IFERROR(__xludf.DUMMYFUNCTION("""COMPUTED_VALUE"""),"API &amp; Portal")</f>
        <v>API &amp; Portal</v>
      </c>
      <c r="J406" s="265" t="str">
        <f>IFERROR(__xludf.DUMMYFUNCTION("""COMPUTED_VALUE"""),"Tất cả")</f>
        <v>Tất cả</v>
      </c>
      <c r="K406" s="265" t="str">
        <f>IFERROR(__xludf.DUMMYFUNCTION("""COMPUTED_VALUE"""),"DungVT, LinhNTT1")</f>
        <v>DungVT, LinhNTT1</v>
      </c>
    </row>
    <row r="407">
      <c r="A407" s="265" t="str">
        <f>IFERROR(__xludf.DUMMYFUNCTION("""COMPUTED_VALUE"""),"701")</f>
        <v>701</v>
      </c>
      <c r="B407" s="265" t="str">
        <f>IFERROR(__xludf.DUMMYFUNCTION("""COMPUTED_VALUE"""),"Hà Nội")</f>
        <v>Hà Nội</v>
      </c>
      <c r="C407" s="265" t="str">
        <f>IFERROR(__xludf.DUMMYFUNCTION("""COMPUTED_VALUE"""),"Locked")</f>
        <v>Locked</v>
      </c>
      <c r="D407" s="265" t="str">
        <f>IFERROR(__xludf.DUMMYFUNCTION("""COMPUTED_VALUE"""),"Sản xuất &amp; Chế tạo")</f>
        <v>Sản xuất &amp; Chế tạo</v>
      </c>
      <c r="E407" s="265" t="str">
        <f>IFERROR(__xludf.DUMMYFUNCTION("""COMPUTED_VALUE"""),"TùngLD")</f>
        <v>TùngLD</v>
      </c>
      <c r="F407" s="265" t="str">
        <f>IFERROR(__xludf.DUMMYFUNCTION("""COMPUTED_VALUE"""),"Sale chưa cung cấp")</f>
        <v>Sale chưa cung cấp</v>
      </c>
      <c r="G407" s="265" t="str">
        <f>IFERROR(__xludf.DUMMYFUNCTION("""COMPUTED_VALUE"""),"Enterprise")</f>
        <v>Enterprise</v>
      </c>
      <c r="H407" s="265" t="str">
        <f>IFERROR(__xludf.DUMMYFUNCTION("""COMPUTED_VALUE"""),"(Chưa recheck)")</f>
        <v>(Chưa recheck)</v>
      </c>
      <c r="I407" s="265" t="str">
        <f>IFERROR(__xludf.DUMMYFUNCTION("""COMPUTED_VALUE"""),"Portal")</f>
        <v>Portal</v>
      </c>
      <c r="J407" s="265" t="str">
        <f>IFERROR(__xludf.DUMMYFUNCTION("""COMPUTED_VALUE"""),"Zalo ZNS")</f>
        <v>Zalo ZNS</v>
      </c>
      <c r="K407" s="265" t="str">
        <f>IFERROR(__xludf.DUMMYFUNCTION("""COMPUTED_VALUE"""),"TuVTC")</f>
        <v>TuVTC</v>
      </c>
    </row>
    <row r="408">
      <c r="A408" s="265" t="str">
        <f>IFERROR(__xludf.DUMMYFUNCTION("""COMPUTED_VALUE"""),"702")</f>
        <v>702</v>
      </c>
      <c r="B408" s="265" t="str">
        <f>IFERROR(__xludf.DUMMYFUNCTION("""COMPUTED_VALUE"""),"Sài Gòn")</f>
        <v>Sài Gòn</v>
      </c>
      <c r="C408" s="265" t="str">
        <f>IFERROR(__xludf.DUMMYFUNCTION("""COMPUTED_VALUE"""),"Active")</f>
        <v>Active</v>
      </c>
      <c r="D408" s="265" t="str">
        <f>IFERROR(__xludf.DUMMYFUNCTION("""COMPUTED_VALUE"""),"Mua sắm &amp; Bán lẻ")</f>
        <v>Mua sắm &amp; Bán lẻ</v>
      </c>
      <c r="E408" s="265" t="str">
        <f>IFERROR(__xludf.DUMMYFUNCTION("""COMPUTED_VALUE"""),"TúPHN")</f>
        <v>TúPHN</v>
      </c>
      <c r="F408" s="265" t="str">
        <f>IFERROR(__xludf.DUMMYFUNCTION("""COMPUTED_VALUE"""),"Silver")</f>
        <v>Silver</v>
      </c>
      <c r="G408" s="265" t="str">
        <f>IFERROR(__xludf.DUMMYFUNCTION("""COMPUTED_VALUE"""),"Enterprise")</f>
        <v>Enterprise</v>
      </c>
      <c r="H408" s="265" t="str">
        <f>IFERROR(__xludf.DUMMYFUNCTION("""COMPUTED_VALUE"""),"Trả sau")</f>
        <v>Trả sau</v>
      </c>
      <c r="I408" s="265" t="str">
        <f>IFERROR(__xludf.DUMMYFUNCTION("""COMPUTED_VALUE"""),"API &amp; Portal")</f>
        <v>API &amp; Portal</v>
      </c>
      <c r="J408" s="265" t="str">
        <f>IFERROR(__xludf.DUMMYFUNCTION("""COMPUTED_VALUE"""),"Zalo ZNS")</f>
        <v>Zalo ZNS</v>
      </c>
      <c r="K408" s="265" t="str">
        <f>IFERROR(__xludf.DUMMYFUNCTION("""COMPUTED_VALUE"""),"DungPL")</f>
        <v>DungPL</v>
      </c>
    </row>
    <row r="409">
      <c r="A409" s="265" t="str">
        <f>IFERROR(__xludf.DUMMYFUNCTION("""COMPUTED_VALUE"""),"722")</f>
        <v>722</v>
      </c>
      <c r="B409" s="265" t="str">
        <f>IFERROR(__xludf.DUMMYFUNCTION("""COMPUTED_VALUE"""),"Hà Nội")</f>
        <v>Hà Nội</v>
      </c>
      <c r="C409" s="265" t="str">
        <f>IFERROR(__xludf.DUMMYFUNCTION("""COMPUTED_VALUE"""),"Locked")</f>
        <v>Locked</v>
      </c>
      <c r="D409" s="265" t="str">
        <f>IFERROR(__xludf.DUMMYFUNCTION("""COMPUTED_VALUE"""),"Công nghệ &amp; Phần mềm")</f>
        <v>Công nghệ &amp; Phần mềm</v>
      </c>
      <c r="E409" s="265" t="str">
        <f>IFERROR(__xludf.DUMMYFUNCTION("""COMPUTED_VALUE"""),"TúPHN")</f>
        <v>TúPHN</v>
      </c>
      <c r="F409" s="265" t="str">
        <f>IFERROR(__xludf.DUMMYFUNCTION("""COMPUTED_VALUE"""),"Bronze")</f>
        <v>Bronze</v>
      </c>
      <c r="G409" s="265" t="str">
        <f>IFERROR(__xludf.DUMMYFUNCTION("""COMPUTED_VALUE"""),"API")</f>
        <v>API</v>
      </c>
      <c r="H409" s="265" t="str">
        <f>IFERROR(__xludf.DUMMYFUNCTION("""COMPUTED_VALUE"""),"(Chưa recheck)")</f>
        <v>(Chưa recheck)</v>
      </c>
      <c r="I409" s="265" t="str">
        <f>IFERROR(__xludf.DUMMYFUNCTION("""COMPUTED_VALUE"""),"API")</f>
        <v>API</v>
      </c>
      <c r="J409" s="265" t="str">
        <f>IFERROR(__xludf.DUMMYFUNCTION("""COMPUTED_VALUE"""),"SMS CSKH")</f>
        <v>SMS CSKH</v>
      </c>
      <c r="K409" s="265" t="str">
        <f>IFERROR(__xludf.DUMMYFUNCTION("""COMPUTED_VALUE"""),"(Chưa recheck)")</f>
        <v>(Chưa recheck)</v>
      </c>
    </row>
    <row r="410">
      <c r="A410" s="265" t="str">
        <f>IFERROR(__xludf.DUMMYFUNCTION("""COMPUTED_VALUE"""),"705")</f>
        <v>705</v>
      </c>
      <c r="B410" s="265" t="str">
        <f>IFERROR(__xludf.DUMMYFUNCTION("""COMPUTED_VALUE"""),"Sài Gòn")</f>
        <v>Sài Gòn</v>
      </c>
      <c r="C410" s="265" t="str">
        <f>IFERROR(__xludf.DUMMYFUNCTION("""COMPUTED_VALUE"""),"Locked")</f>
        <v>Locked</v>
      </c>
      <c r="D410" s="265" t="str">
        <f>IFERROR(__xludf.DUMMYFUNCTION("""COMPUTED_VALUE"""),"Thời trang &amp; May mặc")</f>
        <v>Thời trang &amp; May mặc</v>
      </c>
      <c r="E410" s="265" t="str">
        <f>IFERROR(__xludf.DUMMYFUNCTION("""COMPUTED_VALUE"""),"HoaNTM")</f>
        <v>HoaNTM</v>
      </c>
      <c r="F410" s="265" t="str">
        <f>IFERROR(__xludf.DUMMYFUNCTION("""COMPUTED_VALUE"""),"Sale chưa cung cấp")</f>
        <v>Sale chưa cung cấp</v>
      </c>
      <c r="G410" s="265" t="str">
        <f>IFERROR(__xludf.DUMMYFUNCTION("""COMPUTED_VALUE"""),"Enterprise")</f>
        <v>Enterprise</v>
      </c>
      <c r="H410" s="265" t="str">
        <f>IFERROR(__xludf.DUMMYFUNCTION("""COMPUTED_VALUE"""),"Trial")</f>
        <v>Trial</v>
      </c>
      <c r="I410" s="265" t="str">
        <f>IFERROR(__xludf.DUMMYFUNCTION("""COMPUTED_VALUE"""),"API &amp; Portal")</f>
        <v>API &amp; Portal</v>
      </c>
      <c r="J410" s="265" t="str">
        <f>IFERROR(__xludf.DUMMYFUNCTION("""COMPUTED_VALUE"""),"GapOne")</f>
        <v>GapOne</v>
      </c>
      <c r="K410" s="265" t="str">
        <f>IFERROR(__xludf.DUMMYFUNCTION("""COMPUTED_VALUE"""),"(Không recheck)")</f>
        <v>(Không recheck)</v>
      </c>
    </row>
    <row r="411">
      <c r="A411" s="265" t="str">
        <f>IFERROR(__xludf.DUMMYFUNCTION("""COMPUTED_VALUE"""),"704")</f>
        <v>704</v>
      </c>
      <c r="B411" s="265" t="str">
        <f>IFERROR(__xludf.DUMMYFUNCTION("""COMPUTED_VALUE"""),"Sài Gòn")</f>
        <v>Sài Gòn</v>
      </c>
      <c r="C411" s="265" t="str">
        <f>IFERROR(__xludf.DUMMYFUNCTION("""COMPUTED_VALUE"""),"Locked")</f>
        <v>Locked</v>
      </c>
      <c r="D411" s="265" t="str">
        <f>IFERROR(__xludf.DUMMYFUNCTION("""COMPUTED_VALUE"""),"Y tế &amp; Dược phẩm")</f>
        <v>Y tế &amp; Dược phẩm</v>
      </c>
      <c r="E411" s="265" t="str">
        <f>IFERROR(__xludf.DUMMYFUNCTION("""COMPUTED_VALUE"""),"TùngLD")</f>
        <v>TùngLD</v>
      </c>
      <c r="F411" s="265" t="str">
        <f>IFERROR(__xludf.DUMMYFUNCTION("""COMPUTED_VALUE"""),"Bronze")</f>
        <v>Bronze</v>
      </c>
      <c r="G411" s="265" t="str">
        <f>IFERROR(__xludf.DUMMYFUNCTION("""COMPUTED_VALUE"""),"Enterprise")</f>
        <v>Enterprise</v>
      </c>
      <c r="H411" s="265" t="str">
        <f>IFERROR(__xludf.DUMMYFUNCTION("""COMPUTED_VALUE"""),"Trả sau")</f>
        <v>Trả sau</v>
      </c>
      <c r="I411" s="265" t="str">
        <f>IFERROR(__xludf.DUMMYFUNCTION("""COMPUTED_VALUE"""),"API &amp; Portal")</f>
        <v>API &amp; Portal</v>
      </c>
      <c r="J411" s="265" t="str">
        <f>IFERROR(__xludf.DUMMYFUNCTION("""COMPUTED_VALUE"""),"Zalo ZNS")</f>
        <v>Zalo ZNS</v>
      </c>
      <c r="K411" s="265" t="str">
        <f>IFERROR(__xludf.DUMMYFUNCTION("""COMPUTED_VALUE"""),"Không phân công")</f>
        <v>Không phân công</v>
      </c>
    </row>
    <row r="412">
      <c r="A412" s="265" t="str">
        <f>IFERROR(__xludf.DUMMYFUNCTION("""COMPUTED_VALUE"""),"706")</f>
        <v>706</v>
      </c>
      <c r="B412" s="265" t="str">
        <f>IFERROR(__xludf.DUMMYFUNCTION("""COMPUTED_VALUE"""),"Hà Nội")</f>
        <v>Hà Nội</v>
      </c>
      <c r="C412" s="265" t="str">
        <f>IFERROR(__xludf.DUMMYFUNCTION("""COMPUTED_VALUE"""),"Locked")</f>
        <v>Locked</v>
      </c>
      <c r="D412" s="265" t="str">
        <f>IFERROR(__xludf.DUMMYFUNCTION("""COMPUTED_VALUE"""),"Mua sắm &amp; Bán lẻ")</f>
        <v>Mua sắm &amp; Bán lẻ</v>
      </c>
      <c r="E412" s="265" t="str">
        <f>IFERROR(__xludf.DUMMYFUNCTION("""COMPUTED_VALUE"""),"TùngLD")</f>
        <v>TùngLD</v>
      </c>
      <c r="F412" s="265" t="str">
        <f>IFERROR(__xludf.DUMMYFUNCTION("""COMPUTED_VALUE"""),"Diamond")</f>
        <v>Diamond</v>
      </c>
      <c r="G412" s="265" t="str">
        <f>IFERROR(__xludf.DUMMYFUNCTION("""COMPUTED_VALUE"""),"Starter")</f>
        <v>Starter</v>
      </c>
      <c r="H412" s="265" t="str">
        <f>IFERROR(__xludf.DUMMYFUNCTION("""COMPUTED_VALUE"""),"Trả sau")</f>
        <v>Trả sau</v>
      </c>
      <c r="I412" s="265" t="str">
        <f>IFERROR(__xludf.DUMMYFUNCTION("""COMPUTED_VALUE"""),"API")</f>
        <v>API</v>
      </c>
      <c r="J412" s="265" t="str">
        <f>IFERROR(__xludf.DUMMYFUNCTION("""COMPUTED_VALUE"""),"Zalo ZNS")</f>
        <v>Zalo ZNS</v>
      </c>
      <c r="K412" s="265" t="str">
        <f>IFERROR(__xludf.DUMMYFUNCTION("""COMPUTED_VALUE"""),"DungVT")</f>
        <v>DungVT</v>
      </c>
    </row>
    <row r="413">
      <c r="A413" s="265" t="str">
        <f>IFERROR(__xludf.DUMMYFUNCTION("""COMPUTED_VALUE"""),"700")</f>
        <v>700</v>
      </c>
      <c r="B413" s="265" t="str">
        <f>IFERROR(__xludf.DUMMYFUNCTION("""COMPUTED_VALUE"""),"Sài Gòn")</f>
        <v>Sài Gòn</v>
      </c>
      <c r="C413" s="265" t="str">
        <f>IFERROR(__xludf.DUMMYFUNCTION("""COMPUTED_VALUE"""),"Locked")</f>
        <v>Locked</v>
      </c>
      <c r="D413" s="265" t="str">
        <f>IFERROR(__xludf.DUMMYFUNCTION("""COMPUTED_VALUE"""),"Viễn thông")</f>
        <v>Viễn thông</v>
      </c>
      <c r="E413" s="265" t="str">
        <f>IFERROR(__xludf.DUMMYFUNCTION("""COMPUTED_VALUE"""),"HoaNTM")</f>
        <v>HoaNTM</v>
      </c>
      <c r="F413" s="265" t="str">
        <f>IFERROR(__xludf.DUMMYFUNCTION("""COMPUTED_VALUE"""),"Sale chưa cung cấp")</f>
        <v>Sale chưa cung cấp</v>
      </c>
      <c r="G413" s="265" t="str">
        <f>IFERROR(__xludf.DUMMYFUNCTION("""COMPUTED_VALUE"""),"Enterprise")</f>
        <v>Enterprise</v>
      </c>
      <c r="H413" s="265" t="str">
        <f>IFERROR(__xludf.DUMMYFUNCTION("""COMPUTED_VALUE"""),"(Chưa recheck)")</f>
        <v>(Chưa recheck)</v>
      </c>
      <c r="I413" s="265" t="str">
        <f>IFERROR(__xludf.DUMMYFUNCTION("""COMPUTED_VALUE"""),"API &amp; Portal")</f>
        <v>API &amp; Portal</v>
      </c>
      <c r="J413" s="265" t="str">
        <f>IFERROR(__xludf.DUMMYFUNCTION("""COMPUTED_VALUE"""),"GapOne")</f>
        <v>GapOne</v>
      </c>
      <c r="K413" s="265" t="str">
        <f>IFERROR(__xludf.DUMMYFUNCTION("""COMPUTED_VALUE"""),"(Chưa recheck)")</f>
        <v>(Chưa recheck)</v>
      </c>
    </row>
    <row r="414">
      <c r="A414" s="265" t="str">
        <f>IFERROR(__xludf.DUMMYFUNCTION("""COMPUTED_VALUE"""),"707")</f>
        <v>707</v>
      </c>
      <c r="B414" s="265" t="str">
        <f>IFERROR(__xludf.DUMMYFUNCTION("""COMPUTED_VALUE"""),"Hà Nội")</f>
        <v>Hà Nội</v>
      </c>
      <c r="C414" s="265" t="str">
        <f>IFERROR(__xludf.DUMMYFUNCTION("""COMPUTED_VALUE"""),"Locked")</f>
        <v>Locked</v>
      </c>
      <c r="D414" s="265" t="str">
        <f>IFERROR(__xludf.DUMMYFUNCTION("""COMPUTED_VALUE"""),"Mua sắm &amp; Bán lẻ")</f>
        <v>Mua sắm &amp; Bán lẻ</v>
      </c>
      <c r="E414" s="265" t="str">
        <f>IFERROR(__xludf.DUMMYFUNCTION("""COMPUTED_VALUE"""),"PhươngDTB")</f>
        <v>PhươngDTB</v>
      </c>
      <c r="F414" s="265" t="str">
        <f>IFERROR(__xludf.DUMMYFUNCTION("""COMPUTED_VALUE"""),"Bronze")</f>
        <v>Bronze</v>
      </c>
      <c r="G414" s="265" t="str">
        <f>IFERROR(__xludf.DUMMYFUNCTION("""COMPUTED_VALUE"""),"Enterprise")</f>
        <v>Enterprise</v>
      </c>
      <c r="H414" s="265" t="str">
        <f>IFERROR(__xludf.DUMMYFUNCTION("""COMPUTED_VALUE"""),"(Chưa recheck)")</f>
        <v>(Chưa recheck)</v>
      </c>
      <c r="I414" s="265" t="str">
        <f>IFERROR(__xludf.DUMMYFUNCTION("""COMPUTED_VALUE"""),"API &amp; Portal")</f>
        <v>API &amp; Portal</v>
      </c>
      <c r="J414" s="265" t="str">
        <f>IFERROR(__xludf.DUMMYFUNCTION("""COMPUTED_VALUE"""),"Zalo ZNS")</f>
        <v>Zalo ZNS</v>
      </c>
      <c r="K414" s="265" t="str">
        <f>IFERROR(__xludf.DUMMYFUNCTION("""COMPUTED_VALUE"""),"AnhNM")</f>
        <v>AnhNM</v>
      </c>
    </row>
    <row r="415">
      <c r="A415" s="265" t="str">
        <f>IFERROR(__xludf.DUMMYFUNCTION("""COMPUTED_VALUE"""),"709")</f>
        <v>709</v>
      </c>
      <c r="B415" s="265" t="str">
        <f>IFERROR(__xludf.DUMMYFUNCTION("""COMPUTED_VALUE"""),"Hà Nội")</f>
        <v>Hà Nội</v>
      </c>
      <c r="C415" s="265" t="str">
        <f>IFERROR(__xludf.DUMMYFUNCTION("""COMPUTED_VALUE"""),"Locked")</f>
        <v>Locked</v>
      </c>
      <c r="D415" s="265" t="str">
        <f>IFERROR(__xludf.DUMMYFUNCTION("""COMPUTED_VALUE"""),"Viễn thông")</f>
        <v>Viễn thông</v>
      </c>
      <c r="E415" s="265" t="str">
        <f>IFERROR(__xludf.DUMMYFUNCTION("""COMPUTED_VALUE"""),"NamDT")</f>
        <v>NamDT</v>
      </c>
      <c r="F415" s="265" t="str">
        <f>IFERROR(__xludf.DUMMYFUNCTION("""COMPUTED_VALUE"""),"Sale chưa cung cấp")</f>
        <v>Sale chưa cung cấp</v>
      </c>
      <c r="G415" s="265" t="str">
        <f>IFERROR(__xludf.DUMMYFUNCTION("""COMPUTED_VALUE"""),"Enterprise")</f>
        <v>Enterprise</v>
      </c>
      <c r="H415" s="265" t="str">
        <f>IFERROR(__xludf.DUMMYFUNCTION("""COMPUTED_VALUE"""),"Trial")</f>
        <v>Trial</v>
      </c>
      <c r="I415" s="265" t="str">
        <f>IFERROR(__xludf.DUMMYFUNCTION("""COMPUTED_VALUE"""),"Portal")</f>
        <v>Portal</v>
      </c>
      <c r="J415" s="265" t="str">
        <f>IFERROR(__xludf.DUMMYFUNCTION("""COMPUTED_VALUE"""),"Zalo ZNS")</f>
        <v>Zalo ZNS</v>
      </c>
      <c r="K415" s="265" t="str">
        <f>IFERROR(__xludf.DUMMYFUNCTION("""COMPUTED_VALUE"""),"(Chưa recheck)")</f>
        <v>(Chưa recheck)</v>
      </c>
    </row>
    <row r="416">
      <c r="A416" s="265" t="str">
        <f>IFERROR(__xludf.DUMMYFUNCTION("""COMPUTED_VALUE"""),"708")</f>
        <v>708</v>
      </c>
      <c r="B416" s="265" t="str">
        <f>IFERROR(__xludf.DUMMYFUNCTION("""COMPUTED_VALUE"""),"Sài Gòn")</f>
        <v>Sài Gòn</v>
      </c>
      <c r="C416" s="265" t="str">
        <f>IFERROR(__xludf.DUMMYFUNCTION("""COMPUTED_VALUE"""),"Locked")</f>
        <v>Locked</v>
      </c>
      <c r="D416" s="265" t="str">
        <f>IFERROR(__xludf.DUMMYFUNCTION("""COMPUTED_VALUE"""),"Y tế &amp; Dược phẩm")</f>
        <v>Y tế &amp; Dược phẩm</v>
      </c>
      <c r="E416" s="265" t="str">
        <f>IFERROR(__xludf.DUMMYFUNCTION("""COMPUTED_VALUE"""),"HoaNTM")</f>
        <v>HoaNTM</v>
      </c>
      <c r="F416" s="265" t="str">
        <f>IFERROR(__xludf.DUMMYFUNCTION("""COMPUTED_VALUE"""),"Gold")</f>
        <v>Gold</v>
      </c>
      <c r="G416" s="265" t="str">
        <f>IFERROR(__xludf.DUMMYFUNCTION("""COMPUTED_VALUE"""),"Starter")</f>
        <v>Starter</v>
      </c>
      <c r="H416" s="265" t="str">
        <f>IFERROR(__xludf.DUMMYFUNCTION("""COMPUTED_VALUE"""),"(Chưa recheck)")</f>
        <v>(Chưa recheck)</v>
      </c>
      <c r="I416" s="265" t="str">
        <f>IFERROR(__xludf.DUMMYFUNCTION("""COMPUTED_VALUE"""),"API &amp; Portal")</f>
        <v>API &amp; Portal</v>
      </c>
      <c r="J416" s="265" t="str">
        <f>IFERROR(__xludf.DUMMYFUNCTION("""COMPUTED_VALUE"""),"GapOne")</f>
        <v>GapOne</v>
      </c>
      <c r="K416" s="265" t="str">
        <f>IFERROR(__xludf.DUMMYFUNCTION("""COMPUTED_VALUE"""),"(Chưa recheck)")</f>
        <v>(Chưa recheck)</v>
      </c>
    </row>
    <row r="417">
      <c r="A417" s="265" t="str">
        <f>IFERROR(__xludf.DUMMYFUNCTION("""COMPUTED_VALUE"""),"710")</f>
        <v>710</v>
      </c>
      <c r="B417" s="265" t="str">
        <f>IFERROR(__xludf.DUMMYFUNCTION("""COMPUTED_VALUE"""),"Hà Nội")</f>
        <v>Hà Nội</v>
      </c>
      <c r="C417" s="265" t="str">
        <f>IFERROR(__xludf.DUMMYFUNCTION("""COMPUTED_VALUE"""),"Locked")</f>
        <v>Locked</v>
      </c>
      <c r="D417" s="265" t="str">
        <f>IFERROR(__xludf.DUMMYFUNCTION("""COMPUTED_VALUE"""),"Mua sắm &amp; Bán lẻ")</f>
        <v>Mua sắm &amp; Bán lẻ</v>
      </c>
      <c r="E417" s="265" t="str">
        <f>IFERROR(__xludf.DUMMYFUNCTION("""COMPUTED_VALUE"""),"TúPHN")</f>
        <v>TúPHN</v>
      </c>
      <c r="F417" s="265" t="str">
        <f>IFERROR(__xludf.DUMMYFUNCTION("""COMPUTED_VALUE"""),"Bronze")</f>
        <v>Bronze</v>
      </c>
      <c r="G417" s="265" t="str">
        <f>IFERROR(__xludf.DUMMYFUNCTION("""COMPUTED_VALUE"""),"Enterprise")</f>
        <v>Enterprise</v>
      </c>
      <c r="H417" s="265" t="str">
        <f>IFERROR(__xludf.DUMMYFUNCTION("""COMPUTED_VALUE"""),"Trả trước")</f>
        <v>Trả trước</v>
      </c>
      <c r="I417" s="265" t="str">
        <f>IFERROR(__xludf.DUMMYFUNCTION("""COMPUTED_VALUE"""),"API &amp; Portal")</f>
        <v>API &amp; Portal</v>
      </c>
      <c r="J417" s="265" t="str">
        <f>IFERROR(__xludf.DUMMYFUNCTION("""COMPUTED_VALUE"""),"Zalo ZNS")</f>
        <v>Zalo ZNS</v>
      </c>
      <c r="K417" s="265" t="str">
        <f>IFERROR(__xludf.DUMMYFUNCTION("""COMPUTED_VALUE"""),"AnhNM")</f>
        <v>AnhNM</v>
      </c>
    </row>
    <row r="418">
      <c r="A418" s="265" t="str">
        <f>IFERROR(__xludf.DUMMYFUNCTION("""COMPUTED_VALUE"""),"712")</f>
        <v>712</v>
      </c>
      <c r="B418" s="265" t="str">
        <f>IFERROR(__xludf.DUMMYFUNCTION("""COMPUTED_VALUE"""),"Hà Nội")</f>
        <v>Hà Nội</v>
      </c>
      <c r="C418" s="265" t="str">
        <f>IFERROR(__xludf.DUMMYFUNCTION("""COMPUTED_VALUE"""),"Locked")</f>
        <v>Locked</v>
      </c>
      <c r="D418" s="265" t="str">
        <f>IFERROR(__xludf.DUMMYFUNCTION("""COMPUTED_VALUE"""),"Thời trang &amp; May mặc")</f>
        <v>Thời trang &amp; May mặc</v>
      </c>
      <c r="E418" s="265" t="str">
        <f>IFERROR(__xludf.DUMMYFUNCTION("""COMPUTED_VALUE"""),"TùngLD")</f>
        <v>TùngLD</v>
      </c>
      <c r="F418" s="265" t="str">
        <f>IFERROR(__xludf.DUMMYFUNCTION("""COMPUTED_VALUE"""),"Silver")</f>
        <v>Silver</v>
      </c>
      <c r="G418" s="265" t="str">
        <f>IFERROR(__xludf.DUMMYFUNCTION("""COMPUTED_VALUE"""),"Enterprise")</f>
        <v>Enterprise</v>
      </c>
      <c r="H418" s="265" t="str">
        <f>IFERROR(__xludf.DUMMYFUNCTION("""COMPUTED_VALUE"""),"Trả trước")</f>
        <v>Trả trước</v>
      </c>
      <c r="I418" s="265" t="str">
        <f>IFERROR(__xludf.DUMMYFUNCTION("""COMPUTED_VALUE"""),"Portal")</f>
        <v>Portal</v>
      </c>
      <c r="J418" s="265" t="str">
        <f>IFERROR(__xludf.DUMMYFUNCTION("""COMPUTED_VALUE"""),"Zalo ZNS")</f>
        <v>Zalo ZNS</v>
      </c>
      <c r="K418" s="265" t="str">
        <f>IFERROR(__xludf.DUMMYFUNCTION("""COMPUTED_VALUE"""),"DungPL")</f>
        <v>DungPL</v>
      </c>
    </row>
    <row r="419">
      <c r="A419" s="265" t="str">
        <f>IFERROR(__xludf.DUMMYFUNCTION("""COMPUTED_VALUE"""),"711")</f>
        <v>711</v>
      </c>
      <c r="B419" s="265" t="str">
        <f>IFERROR(__xludf.DUMMYFUNCTION("""COMPUTED_VALUE"""),"Hà Nội")</f>
        <v>Hà Nội</v>
      </c>
      <c r="C419" s="265" t="str">
        <f>IFERROR(__xludf.DUMMYFUNCTION("""COMPUTED_VALUE"""),"Locked")</f>
        <v>Locked</v>
      </c>
      <c r="D419" s="265" t="str">
        <f>IFERROR(__xludf.DUMMYFUNCTION("""COMPUTED_VALUE"""),"Thực phẩm &amp; Đồ uống")</f>
        <v>Thực phẩm &amp; Đồ uống</v>
      </c>
      <c r="E419" s="265" t="str">
        <f>IFERROR(__xludf.DUMMYFUNCTION("""COMPUTED_VALUE"""),"NamDT")</f>
        <v>NamDT</v>
      </c>
      <c r="F419" s="265" t="str">
        <f>IFERROR(__xludf.DUMMYFUNCTION("""COMPUTED_VALUE"""),"Sale chưa cung cấp")</f>
        <v>Sale chưa cung cấp</v>
      </c>
      <c r="G419" s="265" t="str">
        <f>IFERROR(__xludf.DUMMYFUNCTION("""COMPUTED_VALUE"""),"Enterprise")</f>
        <v>Enterprise</v>
      </c>
      <c r="H419" s="265" t="str">
        <f>IFERROR(__xludf.DUMMYFUNCTION("""COMPUTED_VALUE"""),"Trả sau")</f>
        <v>Trả sau</v>
      </c>
      <c r="I419" s="265" t="str">
        <f>IFERROR(__xludf.DUMMYFUNCTION("""COMPUTED_VALUE"""),"Portal")</f>
        <v>Portal</v>
      </c>
      <c r="J419" s="265" t="str">
        <f>IFERROR(__xludf.DUMMYFUNCTION("""COMPUTED_VALUE"""),"SMS CSKH")</f>
        <v>SMS CSKH</v>
      </c>
      <c r="K419" s="265" t="str">
        <f>IFERROR(__xludf.DUMMYFUNCTION("""COMPUTED_VALUE"""),"(Chưa recheck)")</f>
        <v>(Chưa recheck)</v>
      </c>
    </row>
    <row r="420">
      <c r="A420" s="265" t="str">
        <f>IFERROR(__xludf.DUMMYFUNCTION("""COMPUTED_VALUE"""),"713")</f>
        <v>713</v>
      </c>
      <c r="B420" s="265" t="str">
        <f>IFERROR(__xludf.DUMMYFUNCTION("""COMPUTED_VALUE"""),"Hà Nội")</f>
        <v>Hà Nội</v>
      </c>
      <c r="C420" s="265" t="str">
        <f>IFERROR(__xludf.DUMMYFUNCTION("""COMPUTED_VALUE"""),"Locked")</f>
        <v>Locked</v>
      </c>
      <c r="D420" s="265" t="str">
        <f>IFERROR(__xludf.DUMMYFUNCTION("""COMPUTED_VALUE"""),"Thực phẩm &amp; Đồ uống")</f>
        <v>Thực phẩm &amp; Đồ uống</v>
      </c>
      <c r="E420" s="265" t="str">
        <f>IFERROR(__xludf.DUMMYFUNCTION("""COMPUTED_VALUE"""),"NamDT")</f>
        <v>NamDT</v>
      </c>
      <c r="F420" s="265" t="str">
        <f>IFERROR(__xludf.DUMMYFUNCTION("""COMPUTED_VALUE"""),"Sale chưa cung cấp")</f>
        <v>Sale chưa cung cấp</v>
      </c>
      <c r="G420" s="265" t="str">
        <f>IFERROR(__xludf.DUMMYFUNCTION("""COMPUTED_VALUE"""),"Enterprise")</f>
        <v>Enterprise</v>
      </c>
      <c r="H420" s="265" t="str">
        <f>IFERROR(__xludf.DUMMYFUNCTION("""COMPUTED_VALUE"""),"Trả sau")</f>
        <v>Trả sau</v>
      </c>
      <c r="I420" s="265" t="str">
        <f>IFERROR(__xludf.DUMMYFUNCTION("""COMPUTED_VALUE"""),"Portal")</f>
        <v>Portal</v>
      </c>
      <c r="J420" s="265" t="str">
        <f>IFERROR(__xludf.DUMMYFUNCTION("""COMPUTED_VALUE"""),"SMS CSKH")</f>
        <v>SMS CSKH</v>
      </c>
      <c r="K420" s="265" t="str">
        <f>IFERROR(__xludf.DUMMYFUNCTION("""COMPUTED_VALUE"""),"(Chưa recheck)")</f>
        <v>(Chưa recheck)</v>
      </c>
    </row>
    <row r="421">
      <c r="A421" s="265" t="str">
        <f>IFERROR(__xludf.DUMMYFUNCTION("""COMPUTED_VALUE"""),"715")</f>
        <v>715</v>
      </c>
      <c r="B421" s="265" t="str">
        <f>IFERROR(__xludf.DUMMYFUNCTION("""COMPUTED_VALUE"""),"Hà Nội")</f>
        <v>Hà Nội</v>
      </c>
      <c r="C421" s="265" t="str">
        <f>IFERROR(__xludf.DUMMYFUNCTION("""COMPUTED_VALUE"""),"Active")</f>
        <v>Active</v>
      </c>
      <c r="D421" s="265" t="str">
        <f>IFERROR(__xludf.DUMMYFUNCTION("""COMPUTED_VALUE"""),"Tài chính &amp; Ngân hàng")</f>
        <v>Tài chính &amp; Ngân hàng</v>
      </c>
      <c r="E421" s="265" t="str">
        <f>IFERROR(__xludf.DUMMYFUNCTION("""COMPUTED_VALUE"""),"AnhNM")</f>
        <v>AnhNM</v>
      </c>
      <c r="F421" s="265" t="str">
        <f>IFERROR(__xludf.DUMMYFUNCTION("""COMPUTED_VALUE"""),"Sale chưa cung cấp")</f>
        <v>Sale chưa cung cấp</v>
      </c>
      <c r="G421" s="265" t="str">
        <f>IFERROR(__xludf.DUMMYFUNCTION("""COMPUTED_VALUE"""),"Starter")</f>
        <v>Starter</v>
      </c>
      <c r="H421" s="265" t="str">
        <f>IFERROR(__xludf.DUMMYFUNCTION("""COMPUTED_VALUE"""),"Trả sau")</f>
        <v>Trả sau</v>
      </c>
      <c r="I421" s="265" t="str">
        <f>IFERROR(__xludf.DUMMYFUNCTION("""COMPUTED_VALUE"""),"API")</f>
        <v>API</v>
      </c>
      <c r="J421" s="265" t="str">
        <f>IFERROR(__xludf.DUMMYFUNCTION("""COMPUTED_VALUE"""),"Zalo ZNS")</f>
        <v>Zalo ZNS</v>
      </c>
      <c r="K421" s="265" t="str">
        <f>IFERROR(__xludf.DUMMYFUNCTION("""COMPUTED_VALUE"""),"LinhNTT1")</f>
        <v>LinhNTT1</v>
      </c>
    </row>
    <row r="422">
      <c r="A422" s="265" t="str">
        <f>IFERROR(__xludf.DUMMYFUNCTION("""COMPUTED_VALUE"""),"714")</f>
        <v>714</v>
      </c>
      <c r="B422" s="265" t="str">
        <f>IFERROR(__xludf.DUMMYFUNCTION("""COMPUTED_VALUE"""),"Sài Gòn")</f>
        <v>Sài Gòn</v>
      </c>
      <c r="C422" s="265" t="str">
        <f>IFERROR(__xludf.DUMMYFUNCTION("""COMPUTED_VALUE"""),"Locked")</f>
        <v>Locked</v>
      </c>
      <c r="D422" s="265" t="str">
        <f>IFERROR(__xludf.DUMMYFUNCTION("""COMPUTED_VALUE"""),"Thực phẩm &amp; Đồ uống")</f>
        <v>Thực phẩm &amp; Đồ uống</v>
      </c>
      <c r="E422" s="265" t="str">
        <f>IFERROR(__xludf.DUMMYFUNCTION("""COMPUTED_VALUE"""),"HoaNTM")</f>
        <v>HoaNTM</v>
      </c>
      <c r="F422" s="265" t="str">
        <f>IFERROR(__xludf.DUMMYFUNCTION("""COMPUTED_VALUE"""),"Sale chưa cung cấp")</f>
        <v>Sale chưa cung cấp</v>
      </c>
      <c r="G422" s="265" t="str">
        <f>IFERROR(__xludf.DUMMYFUNCTION("""COMPUTED_VALUE"""),"Enterprise")</f>
        <v>Enterprise</v>
      </c>
      <c r="H422" s="265" t="str">
        <f>IFERROR(__xludf.DUMMYFUNCTION("""COMPUTED_VALUE"""),"Trả sau")</f>
        <v>Trả sau</v>
      </c>
      <c r="I422" s="265" t="str">
        <f>IFERROR(__xludf.DUMMYFUNCTION("""COMPUTED_VALUE"""),"Portal")</f>
        <v>Portal</v>
      </c>
      <c r="J422" s="265" t="str">
        <f>IFERROR(__xludf.DUMMYFUNCTION("""COMPUTED_VALUE"""),"GapOne")</f>
        <v>GapOne</v>
      </c>
      <c r="K422" s="265" t="str">
        <f>IFERROR(__xludf.DUMMYFUNCTION("""COMPUTED_VALUE"""),"(Chưa recheck)")</f>
        <v>(Chưa recheck)</v>
      </c>
    </row>
    <row r="423">
      <c r="A423" s="265" t="str">
        <f>IFERROR(__xludf.DUMMYFUNCTION("""COMPUTED_VALUE"""),"717")</f>
        <v>717</v>
      </c>
      <c r="B423" s="265" t="str">
        <f>IFERROR(__xludf.DUMMYFUNCTION("""COMPUTED_VALUE"""),"Sài Gòn")</f>
        <v>Sài Gòn</v>
      </c>
      <c r="C423" s="265" t="str">
        <f>IFERROR(__xludf.DUMMYFUNCTION("""COMPUTED_VALUE"""),"Locked")</f>
        <v>Locked</v>
      </c>
      <c r="D423" s="265" t="str">
        <f>IFERROR(__xludf.DUMMYFUNCTION("""COMPUTED_VALUE"""),"Sale chưa cung cấp")</f>
        <v>Sale chưa cung cấp</v>
      </c>
      <c r="E423" s="265" t="str">
        <f>IFERROR(__xludf.DUMMYFUNCTION("""COMPUTED_VALUE"""),"Không phân công")</f>
        <v>Không phân công</v>
      </c>
      <c r="F423" s="265" t="str">
        <f>IFERROR(__xludf.DUMMYFUNCTION("""COMPUTED_VALUE"""),"Sale chưa cung cấp")</f>
        <v>Sale chưa cung cấp</v>
      </c>
      <c r="G423" s="265" t="str">
        <f>IFERROR(__xludf.DUMMYFUNCTION("""COMPUTED_VALUE"""),"MSG")</f>
        <v>MSG</v>
      </c>
      <c r="H423" s="265" t="str">
        <f>IFERROR(__xludf.DUMMYFUNCTION("""COMPUTED_VALUE"""),"Trả trước")</f>
        <v>Trả trước</v>
      </c>
      <c r="I423" s="265" t="str">
        <f>IFERROR(__xludf.DUMMYFUNCTION("""COMPUTED_VALUE"""),"Portal")</f>
        <v>Portal</v>
      </c>
      <c r="J423" s="265" t="str">
        <f>IFERROR(__xludf.DUMMYFUNCTION("""COMPUTED_VALUE"""),"SMS CSKH")</f>
        <v>SMS CSKH</v>
      </c>
      <c r="K423" s="265" t="str">
        <f>IFERROR(__xludf.DUMMYFUNCTION("""COMPUTED_VALUE"""),"LinhNTT1")</f>
        <v>LinhNTT1</v>
      </c>
    </row>
    <row r="424">
      <c r="A424" s="265" t="str">
        <f>IFERROR(__xludf.DUMMYFUNCTION("""COMPUTED_VALUE"""),"718")</f>
        <v>718</v>
      </c>
      <c r="B424" s="265" t="str">
        <f>IFERROR(__xludf.DUMMYFUNCTION("""COMPUTED_VALUE"""),"Hà Nội")</f>
        <v>Hà Nội</v>
      </c>
      <c r="C424" s="265" t="str">
        <f>IFERROR(__xludf.DUMMYFUNCTION("""COMPUTED_VALUE"""),"Locked")</f>
        <v>Locked</v>
      </c>
      <c r="D424" s="265" t="str">
        <f>IFERROR(__xludf.DUMMYFUNCTION("""COMPUTED_VALUE"""),"Công nghệ &amp; Phần mềm")</f>
        <v>Công nghệ &amp; Phần mềm</v>
      </c>
      <c r="E424" s="265" t="str">
        <f>IFERROR(__xludf.DUMMYFUNCTION("""COMPUTED_VALUE"""),"NganNT1")</f>
        <v>NganNT1</v>
      </c>
      <c r="F424" s="265" t="str">
        <f>IFERROR(__xludf.DUMMYFUNCTION("""COMPUTED_VALUE"""),"Sale chưa cung cấp")</f>
        <v>Sale chưa cung cấp</v>
      </c>
      <c r="G424" s="265" t="str">
        <f>IFERROR(__xludf.DUMMYFUNCTION("""COMPUTED_VALUE"""),"API")</f>
        <v>API</v>
      </c>
      <c r="H424" s="265" t="str">
        <f>IFERROR(__xludf.DUMMYFUNCTION("""COMPUTED_VALUE"""),"Trial")</f>
        <v>Trial</v>
      </c>
      <c r="I424" s="265" t="str">
        <f>IFERROR(__xludf.DUMMYFUNCTION("""COMPUTED_VALUE"""),"API")</f>
        <v>API</v>
      </c>
      <c r="J424" s="265" t="str">
        <f>IFERROR(__xludf.DUMMYFUNCTION("""COMPUTED_VALUE"""),"Zalo ZNS")</f>
        <v>Zalo ZNS</v>
      </c>
      <c r="K424" s="265" t="str">
        <f>IFERROR(__xludf.DUMMYFUNCTION("""COMPUTED_VALUE"""),"(Không recheck)")</f>
        <v>(Không recheck)</v>
      </c>
    </row>
    <row r="425">
      <c r="A425" s="265" t="str">
        <f>IFERROR(__xludf.DUMMYFUNCTION("""COMPUTED_VALUE"""),"719")</f>
        <v>719</v>
      </c>
      <c r="B425" s="265" t="str">
        <f>IFERROR(__xludf.DUMMYFUNCTION("""COMPUTED_VALUE"""),"Hà Nội")</f>
        <v>Hà Nội</v>
      </c>
      <c r="C425" s="265" t="str">
        <f>IFERROR(__xludf.DUMMYFUNCTION("""COMPUTED_VALUE"""),"Active")</f>
        <v>Active</v>
      </c>
      <c r="D425" s="265" t="str">
        <f>IFERROR(__xludf.DUMMYFUNCTION("""COMPUTED_VALUE"""),"Tài chính &amp; Ngân hàng")</f>
        <v>Tài chính &amp; Ngân hàng</v>
      </c>
      <c r="E425" s="265" t="str">
        <f>IFERROR(__xludf.DUMMYFUNCTION("""COMPUTED_VALUE"""),"Không phân công")</f>
        <v>Không phân công</v>
      </c>
      <c r="F425" s="265" t="str">
        <f>IFERROR(__xludf.DUMMYFUNCTION("""COMPUTED_VALUE"""),"Sale chưa cung cấp")</f>
        <v>Sale chưa cung cấp</v>
      </c>
      <c r="G425" s="265" t="str">
        <f>IFERROR(__xludf.DUMMYFUNCTION("""COMPUTED_VALUE"""),"Starter")</f>
        <v>Starter</v>
      </c>
      <c r="H425" s="265" t="str">
        <f>IFERROR(__xludf.DUMMYFUNCTION("""COMPUTED_VALUE"""),"Trả sau")</f>
        <v>Trả sau</v>
      </c>
      <c r="I425" s="265" t="str">
        <f>IFERROR(__xludf.DUMMYFUNCTION("""COMPUTED_VALUE"""),"API &amp; Portal")</f>
        <v>API &amp; Portal</v>
      </c>
      <c r="J425" s="265" t="str">
        <f>IFERROR(__xludf.DUMMYFUNCTION("""COMPUTED_VALUE"""),"SMS CSKH")</f>
        <v>SMS CSKH</v>
      </c>
      <c r="K425" s="265" t="str">
        <f>IFERROR(__xludf.DUMMYFUNCTION("""COMPUTED_VALUE"""),"YếnĐH")</f>
        <v>YếnĐH</v>
      </c>
    </row>
    <row r="426">
      <c r="A426" s="265" t="str">
        <f>IFERROR(__xludf.DUMMYFUNCTION("""COMPUTED_VALUE"""),"721")</f>
        <v>721</v>
      </c>
      <c r="B426" s="265" t="str">
        <f>IFERROR(__xludf.DUMMYFUNCTION("""COMPUTED_VALUE"""),"Sài Gòn")</f>
        <v>Sài Gòn</v>
      </c>
      <c r="C426" s="265" t="str">
        <f>IFERROR(__xludf.DUMMYFUNCTION("""COMPUTED_VALUE"""),"Locked")</f>
        <v>Locked</v>
      </c>
      <c r="D426" s="265" t="str">
        <f>IFERROR(__xludf.DUMMYFUNCTION("""COMPUTED_VALUE"""),"Thực phẩm &amp; Đồ uống")</f>
        <v>Thực phẩm &amp; Đồ uống</v>
      </c>
      <c r="E426" s="265" t="str">
        <f>IFERROR(__xludf.DUMMYFUNCTION("""COMPUTED_VALUE"""),"(Chưa recheck)")</f>
        <v>(Chưa recheck)</v>
      </c>
      <c r="F426" s="265" t="str">
        <f>IFERROR(__xludf.DUMMYFUNCTION("""COMPUTED_VALUE"""),"Sale chưa cung cấp")</f>
        <v>Sale chưa cung cấp</v>
      </c>
      <c r="G426" s="265" t="str">
        <f>IFERROR(__xludf.DUMMYFUNCTION("""COMPUTED_VALUE"""),"API")</f>
        <v>API</v>
      </c>
      <c r="H426" s="265" t="str">
        <f>IFERROR(__xludf.DUMMYFUNCTION("""COMPUTED_VALUE"""),"Trả sau")</f>
        <v>Trả sau</v>
      </c>
      <c r="I426" s="265" t="str">
        <f>IFERROR(__xludf.DUMMYFUNCTION("""COMPUTED_VALUE"""),"API")</f>
        <v>API</v>
      </c>
      <c r="J426" s="265" t="str">
        <f>IFERROR(__xludf.DUMMYFUNCTION("""COMPUTED_VALUE"""),"GapOne")</f>
        <v>GapOne</v>
      </c>
      <c r="K426" s="265" t="str">
        <f>IFERROR(__xludf.DUMMYFUNCTION("""COMPUTED_VALUE"""),"TuVTC")</f>
        <v>TuVTC</v>
      </c>
    </row>
    <row r="427">
      <c r="A427" s="265" t="str">
        <f>IFERROR(__xludf.DUMMYFUNCTION("""COMPUTED_VALUE"""),"723")</f>
        <v>723</v>
      </c>
      <c r="B427" s="265" t="str">
        <f>IFERROR(__xludf.DUMMYFUNCTION("""COMPUTED_VALUE"""),"Hà Nội")</f>
        <v>Hà Nội</v>
      </c>
      <c r="C427" s="265" t="str">
        <f>IFERROR(__xludf.DUMMYFUNCTION("""COMPUTED_VALUE"""),"Locked")</f>
        <v>Locked</v>
      </c>
      <c r="D427" s="265" t="str">
        <f>IFERROR(__xludf.DUMMYFUNCTION("""COMPUTED_VALUE"""),"Bất động sản")</f>
        <v>Bất động sản</v>
      </c>
      <c r="E427" s="265" t="str">
        <f>IFERROR(__xludf.DUMMYFUNCTION("""COMPUTED_VALUE"""),"DungDT")</f>
        <v>DungDT</v>
      </c>
      <c r="F427" s="265" t="str">
        <f>IFERROR(__xludf.DUMMYFUNCTION("""COMPUTED_VALUE"""),"Sale chưa cung cấp")</f>
        <v>Sale chưa cung cấp</v>
      </c>
      <c r="G427" s="265" t="str">
        <f>IFERROR(__xludf.DUMMYFUNCTION("""COMPUTED_VALUE"""),"Enterprise")</f>
        <v>Enterprise</v>
      </c>
      <c r="H427" s="265" t="str">
        <f>IFERROR(__xludf.DUMMYFUNCTION("""COMPUTED_VALUE"""),"Trial")</f>
        <v>Trial</v>
      </c>
      <c r="I427" s="265" t="str">
        <f>IFERROR(__xludf.DUMMYFUNCTION("""COMPUTED_VALUE"""),"API &amp; Portal")</f>
        <v>API &amp; Portal</v>
      </c>
      <c r="J427" s="265" t="str">
        <f>IFERROR(__xludf.DUMMYFUNCTION("""COMPUTED_VALUE"""),"Tất cả")</f>
        <v>Tất cả</v>
      </c>
      <c r="K427" s="265" t="str">
        <f>IFERROR(__xludf.DUMMYFUNCTION("""COMPUTED_VALUE"""),"(Không recheck)")</f>
        <v>(Không recheck)</v>
      </c>
    </row>
    <row r="428">
      <c r="A428" s="265" t="str">
        <f>IFERROR(__xludf.DUMMYFUNCTION("""COMPUTED_VALUE"""),"726")</f>
        <v>726</v>
      </c>
      <c r="B428" s="265" t="str">
        <f>IFERROR(__xludf.DUMMYFUNCTION("""COMPUTED_VALUE"""),"Hà Nội")</f>
        <v>Hà Nội</v>
      </c>
      <c r="C428" s="265" t="str">
        <f>IFERROR(__xludf.DUMMYFUNCTION("""COMPUTED_VALUE"""),"Locked")</f>
        <v>Locked</v>
      </c>
      <c r="D428" s="265" t="str">
        <f>IFERROR(__xludf.DUMMYFUNCTION("""COMPUTED_VALUE"""),"Vận tải &amp; logistics")</f>
        <v>Vận tải &amp; logistics</v>
      </c>
      <c r="E428" s="265" t="str">
        <f>IFERROR(__xludf.DUMMYFUNCTION("""COMPUTED_VALUE"""),"TùngLD")</f>
        <v>TùngLD</v>
      </c>
      <c r="F428" s="265" t="str">
        <f>IFERROR(__xludf.DUMMYFUNCTION("""COMPUTED_VALUE"""),"Bronze")</f>
        <v>Bronze</v>
      </c>
      <c r="G428" s="265" t="str">
        <f>IFERROR(__xludf.DUMMYFUNCTION("""COMPUTED_VALUE"""),"MSG")</f>
        <v>MSG</v>
      </c>
      <c r="H428" s="265" t="str">
        <f>IFERROR(__xludf.DUMMYFUNCTION("""COMPUTED_VALUE"""),"Trả trước")</f>
        <v>Trả trước</v>
      </c>
      <c r="I428" s="265" t="str">
        <f>IFERROR(__xludf.DUMMYFUNCTION("""COMPUTED_VALUE"""),"Portal")</f>
        <v>Portal</v>
      </c>
      <c r="J428" s="265" t="str">
        <f>IFERROR(__xludf.DUMMYFUNCTION("""COMPUTED_VALUE"""),"Zalo ZNS")</f>
        <v>Zalo ZNS</v>
      </c>
      <c r="K428" s="265" t="str">
        <f>IFERROR(__xludf.DUMMYFUNCTION("""COMPUTED_VALUE"""),"AnhNM")</f>
        <v>AnhNM</v>
      </c>
    </row>
    <row r="429">
      <c r="A429" s="265" t="str">
        <f>IFERROR(__xludf.DUMMYFUNCTION("""COMPUTED_VALUE"""),"727")</f>
        <v>727</v>
      </c>
      <c r="B429" s="265" t="str">
        <f>IFERROR(__xludf.DUMMYFUNCTION("""COMPUTED_VALUE"""),"Sài Gòn")</f>
        <v>Sài Gòn</v>
      </c>
      <c r="C429" s="265" t="str">
        <f>IFERROR(__xludf.DUMMYFUNCTION("""COMPUTED_VALUE"""),"Locked")</f>
        <v>Locked</v>
      </c>
      <c r="D429" s="265" t="str">
        <f>IFERROR(__xludf.DUMMYFUNCTION("""COMPUTED_VALUE"""),"Thực phẩm &amp; Đồ uống")</f>
        <v>Thực phẩm &amp; Đồ uống</v>
      </c>
      <c r="E429" s="265" t="str">
        <f>IFERROR(__xludf.DUMMYFUNCTION("""COMPUTED_VALUE"""),"(Chưa recheck)")</f>
        <v>(Chưa recheck)</v>
      </c>
      <c r="F429" s="265" t="str">
        <f>IFERROR(__xludf.DUMMYFUNCTION("""COMPUTED_VALUE"""),"Sale chưa cung cấp")</f>
        <v>Sale chưa cung cấp</v>
      </c>
      <c r="G429" s="265" t="str">
        <f>IFERROR(__xludf.DUMMYFUNCTION("""COMPUTED_VALUE"""),"MSG")</f>
        <v>MSG</v>
      </c>
      <c r="H429" s="265" t="str">
        <f>IFERROR(__xludf.DUMMYFUNCTION("""COMPUTED_VALUE"""),"Trả sau")</f>
        <v>Trả sau</v>
      </c>
      <c r="I429" s="265" t="str">
        <f>IFERROR(__xludf.DUMMYFUNCTION("""COMPUTED_VALUE"""),"Portal")</f>
        <v>Portal</v>
      </c>
      <c r="J429" s="265" t="str">
        <f>IFERROR(__xludf.DUMMYFUNCTION("""COMPUTED_VALUE"""),"SMS CSKH")</f>
        <v>SMS CSKH</v>
      </c>
      <c r="K429" s="265" t="str">
        <f>IFERROR(__xludf.DUMMYFUNCTION("""COMPUTED_VALUE"""),"TuVTC")</f>
        <v>TuVTC</v>
      </c>
    </row>
    <row r="430">
      <c r="A430" s="265" t="str">
        <f>IFERROR(__xludf.DUMMYFUNCTION("""COMPUTED_VALUE"""),"728")</f>
        <v>728</v>
      </c>
      <c r="B430" s="265" t="str">
        <f>IFERROR(__xludf.DUMMYFUNCTION("""COMPUTED_VALUE"""),"Hà Nội")</f>
        <v>Hà Nội</v>
      </c>
      <c r="C430" s="265" t="str">
        <f>IFERROR(__xludf.DUMMYFUNCTION("""COMPUTED_VALUE"""),"Locked")</f>
        <v>Locked</v>
      </c>
      <c r="D430" s="265" t="str">
        <f>IFERROR(__xludf.DUMMYFUNCTION("""COMPUTED_VALUE"""),"Dịch vụ khác")</f>
        <v>Dịch vụ khác</v>
      </c>
      <c r="E430" s="265" t="str">
        <f>IFERROR(__xludf.DUMMYFUNCTION("""COMPUTED_VALUE"""),"PhươngDTB")</f>
        <v>PhươngDTB</v>
      </c>
      <c r="F430" s="265" t="str">
        <f>IFERROR(__xludf.DUMMYFUNCTION("""COMPUTED_VALUE"""),"Sale chưa cung cấp")</f>
        <v>Sale chưa cung cấp</v>
      </c>
      <c r="G430" s="265" t="str">
        <f>IFERROR(__xludf.DUMMYFUNCTION("""COMPUTED_VALUE"""),"API")</f>
        <v>API</v>
      </c>
      <c r="H430" s="265" t="str">
        <f>IFERROR(__xludf.DUMMYFUNCTION("""COMPUTED_VALUE"""),"Trial")</f>
        <v>Trial</v>
      </c>
      <c r="I430" s="265" t="str">
        <f>IFERROR(__xludf.DUMMYFUNCTION("""COMPUTED_VALUE"""),"Portal")</f>
        <v>Portal</v>
      </c>
      <c r="J430" s="265" t="str">
        <f>IFERROR(__xludf.DUMMYFUNCTION("""COMPUTED_VALUE"""),"Zalo ZNS")</f>
        <v>Zalo ZNS</v>
      </c>
      <c r="K430" s="265" t="str">
        <f>IFERROR(__xludf.DUMMYFUNCTION("""COMPUTED_VALUE"""),"(Không recheck)")</f>
        <v>(Không recheck)</v>
      </c>
    </row>
    <row r="431">
      <c r="A431" s="265" t="str">
        <f>IFERROR(__xludf.DUMMYFUNCTION("""COMPUTED_VALUE"""),"730")</f>
        <v>730</v>
      </c>
      <c r="B431" s="265" t="str">
        <f>IFERROR(__xludf.DUMMYFUNCTION("""COMPUTED_VALUE"""),"Hà Nội")</f>
        <v>Hà Nội</v>
      </c>
      <c r="C431" s="265" t="str">
        <f>IFERROR(__xludf.DUMMYFUNCTION("""COMPUTED_VALUE"""),"Locked")</f>
        <v>Locked</v>
      </c>
      <c r="D431" s="265" t="str">
        <f>IFERROR(__xludf.DUMMYFUNCTION("""COMPUTED_VALUE"""),"Viễn thông")</f>
        <v>Viễn thông</v>
      </c>
      <c r="E431" s="265" t="str">
        <f>IFERROR(__xludf.DUMMYFUNCTION("""COMPUTED_VALUE"""),"DungDT")</f>
        <v>DungDT</v>
      </c>
      <c r="F431" s="265" t="str">
        <f>IFERROR(__xludf.DUMMYFUNCTION("""COMPUTED_VALUE"""),"Sale chưa cung cấp")</f>
        <v>Sale chưa cung cấp</v>
      </c>
      <c r="G431" s="265" t="str">
        <f>IFERROR(__xludf.DUMMYFUNCTION("""COMPUTED_VALUE"""),"API")</f>
        <v>API</v>
      </c>
      <c r="H431" s="265" t="str">
        <f>IFERROR(__xludf.DUMMYFUNCTION("""COMPUTED_VALUE"""),"Trả Sau")</f>
        <v>Trả Sau</v>
      </c>
      <c r="I431" s="265" t="str">
        <f>IFERROR(__xludf.DUMMYFUNCTION("""COMPUTED_VALUE"""),"API")</f>
        <v>API</v>
      </c>
      <c r="J431" s="265" t="str">
        <f>IFERROR(__xludf.DUMMYFUNCTION("""COMPUTED_VALUE"""),"Zalo ZNS")</f>
        <v>Zalo ZNS</v>
      </c>
      <c r="K431" s="265" t="str">
        <f>IFERROR(__xludf.DUMMYFUNCTION("""COMPUTED_VALUE"""),"AnhNM")</f>
        <v>AnhNM</v>
      </c>
    </row>
    <row r="432">
      <c r="A432" s="265" t="str">
        <f>IFERROR(__xludf.DUMMYFUNCTION("""COMPUTED_VALUE"""),"729")</f>
        <v>729</v>
      </c>
      <c r="B432" s="265" t="str">
        <f>IFERROR(__xludf.DUMMYFUNCTION("""COMPUTED_VALUE"""),"Sài Gòn")</f>
        <v>Sài Gòn</v>
      </c>
      <c r="C432" s="265" t="str">
        <f>IFERROR(__xludf.DUMMYFUNCTION("""COMPUTED_VALUE"""),"Active")</f>
        <v>Active</v>
      </c>
      <c r="D432" s="265" t="str">
        <f>IFERROR(__xludf.DUMMYFUNCTION("""COMPUTED_VALUE"""),"Sale chưa cung cấp")</f>
        <v>Sale chưa cung cấp</v>
      </c>
      <c r="E432" s="265" t="str">
        <f>IFERROR(__xludf.DUMMYFUNCTION("""COMPUTED_VALUE"""),"AnhNM")</f>
        <v>AnhNM</v>
      </c>
      <c r="F432" s="265" t="str">
        <f>IFERROR(__xludf.DUMMYFUNCTION("""COMPUTED_VALUE"""),"Gold")</f>
        <v>Gold</v>
      </c>
      <c r="G432" s="265" t="str">
        <f>IFERROR(__xludf.DUMMYFUNCTION("""COMPUTED_VALUE"""),"Enterprise")</f>
        <v>Enterprise</v>
      </c>
      <c r="H432" s="265" t="str">
        <f>IFERROR(__xludf.DUMMYFUNCTION("""COMPUTED_VALUE"""),"Trả sau")</f>
        <v>Trả sau</v>
      </c>
      <c r="I432" s="265" t="str">
        <f>IFERROR(__xludf.DUMMYFUNCTION("""COMPUTED_VALUE"""),"API &amp; Portal")</f>
        <v>API &amp; Portal</v>
      </c>
      <c r="J432" s="265" t="str">
        <f>IFERROR(__xludf.DUMMYFUNCTION("""COMPUTED_VALUE"""),"SMS CSKH")</f>
        <v>SMS CSKH</v>
      </c>
      <c r="K432" s="265" t="str">
        <f>IFERROR(__xludf.DUMMYFUNCTION("""COMPUTED_VALUE"""),"LinhNTT1")</f>
        <v>LinhNTT1</v>
      </c>
    </row>
    <row r="433">
      <c r="A433" s="265" t="str">
        <f>IFERROR(__xludf.DUMMYFUNCTION("""COMPUTED_VALUE"""),"729")</f>
        <v>729</v>
      </c>
      <c r="B433" s="265" t="str">
        <f>IFERROR(__xludf.DUMMYFUNCTION("""COMPUTED_VALUE"""),"Sài Gòn")</f>
        <v>Sài Gòn</v>
      </c>
      <c r="C433" s="265" t="str">
        <f>IFERROR(__xludf.DUMMYFUNCTION("""COMPUTED_VALUE"""),"Active")</f>
        <v>Active</v>
      </c>
      <c r="D433" s="265" t="str">
        <f>IFERROR(__xludf.DUMMYFUNCTION("""COMPUTED_VALUE"""),"Sale chưa cung cấp")</f>
        <v>Sale chưa cung cấp</v>
      </c>
      <c r="E433" s="265" t="str">
        <f>IFERROR(__xludf.DUMMYFUNCTION("""COMPUTED_VALUE"""),"AnhNM")</f>
        <v>AnhNM</v>
      </c>
      <c r="F433" s="265" t="str">
        <f>IFERROR(__xludf.DUMMYFUNCTION("""COMPUTED_VALUE"""),"Gold")</f>
        <v>Gold</v>
      </c>
      <c r="G433" s="265" t="str">
        <f>IFERROR(__xludf.DUMMYFUNCTION("""COMPUTED_VALUE"""),"Enterprise")</f>
        <v>Enterprise</v>
      </c>
      <c r="H433" s="265" t="str">
        <f>IFERROR(__xludf.DUMMYFUNCTION("""COMPUTED_VALUE"""),"Trả sau")</f>
        <v>Trả sau</v>
      </c>
      <c r="I433" s="265" t="str">
        <f>IFERROR(__xludf.DUMMYFUNCTION("""COMPUTED_VALUE"""),"API &amp; Portal")</f>
        <v>API &amp; Portal</v>
      </c>
      <c r="J433" s="265" t="str">
        <f>IFERROR(__xludf.DUMMYFUNCTION("""COMPUTED_VALUE"""),"SMS QC")</f>
        <v>SMS QC</v>
      </c>
      <c r="K433" s="265" t="str">
        <f>IFERROR(__xludf.DUMMYFUNCTION("""COMPUTED_VALUE"""),"LinhNTT1")</f>
        <v>LinhNTT1</v>
      </c>
    </row>
    <row r="434">
      <c r="A434" s="265" t="str">
        <f>IFERROR(__xludf.DUMMYFUNCTION("""COMPUTED_VALUE"""),"729")</f>
        <v>729</v>
      </c>
      <c r="B434" s="265" t="str">
        <f>IFERROR(__xludf.DUMMYFUNCTION("""COMPUTED_VALUE"""),"Sài Gòn")</f>
        <v>Sài Gòn</v>
      </c>
      <c r="C434" s="265" t="str">
        <f>IFERROR(__xludf.DUMMYFUNCTION("""COMPUTED_VALUE"""),"Active")</f>
        <v>Active</v>
      </c>
      <c r="D434" s="265" t="str">
        <f>IFERROR(__xludf.DUMMYFUNCTION("""COMPUTED_VALUE"""),"Sale chưa cung cấp")</f>
        <v>Sale chưa cung cấp</v>
      </c>
      <c r="E434" s="265" t="str">
        <f>IFERROR(__xludf.DUMMYFUNCTION("""COMPUTED_VALUE"""),"AnhNM")</f>
        <v>AnhNM</v>
      </c>
      <c r="F434" s="265" t="str">
        <f>IFERROR(__xludf.DUMMYFUNCTION("""COMPUTED_VALUE"""),"Gold")</f>
        <v>Gold</v>
      </c>
      <c r="G434" s="265" t="str">
        <f>IFERROR(__xludf.DUMMYFUNCTION("""COMPUTED_VALUE"""),"Enterprise")</f>
        <v>Enterprise</v>
      </c>
      <c r="H434" s="265" t="str">
        <f>IFERROR(__xludf.DUMMYFUNCTION("""COMPUTED_VALUE"""),"Trả sau")</f>
        <v>Trả sau</v>
      </c>
      <c r="I434" s="265" t="str">
        <f>IFERROR(__xludf.DUMMYFUNCTION("""COMPUTED_VALUE"""),"API &amp; Portal")</f>
        <v>API &amp; Portal</v>
      </c>
      <c r="J434" s="265" t="str">
        <f>IFERROR(__xludf.DUMMYFUNCTION("""COMPUTED_VALUE"""),"Zalo ZNS")</f>
        <v>Zalo ZNS</v>
      </c>
      <c r="K434" s="265" t="str">
        <f>IFERROR(__xludf.DUMMYFUNCTION("""COMPUTED_VALUE"""),"LinhNTT1")</f>
        <v>LinhNTT1</v>
      </c>
    </row>
    <row r="435">
      <c r="A435" s="265" t="str">
        <f>IFERROR(__xludf.DUMMYFUNCTION("""COMPUTED_VALUE"""),"725")</f>
        <v>725</v>
      </c>
      <c r="B435" s="265" t="str">
        <f>IFERROR(__xludf.DUMMYFUNCTION("""COMPUTED_VALUE"""),"Hà Nội")</f>
        <v>Hà Nội</v>
      </c>
      <c r="C435" s="265" t="str">
        <f>IFERROR(__xludf.DUMMYFUNCTION("""COMPUTED_VALUE"""),"Locked")</f>
        <v>Locked</v>
      </c>
      <c r="D435" s="265" t="str">
        <f>IFERROR(__xludf.DUMMYFUNCTION("""COMPUTED_VALUE"""),"Tài chính &amp; Ngân hàng")</f>
        <v>Tài chính &amp; Ngân hàng</v>
      </c>
      <c r="E435" s="265" t="str">
        <f>IFERROR(__xludf.DUMMYFUNCTION("""COMPUTED_VALUE"""),"Không phân công")</f>
        <v>Không phân công</v>
      </c>
      <c r="F435" s="265" t="str">
        <f>IFERROR(__xludf.DUMMYFUNCTION("""COMPUTED_VALUE"""),"Sale chưa cung cấp")</f>
        <v>Sale chưa cung cấp</v>
      </c>
      <c r="G435" s="265" t="str">
        <f>IFERROR(__xludf.DUMMYFUNCTION("""COMPUTED_VALUE"""),"SIMILAR")</f>
        <v>SIMILAR</v>
      </c>
      <c r="H435" s="265" t="str">
        <f>IFERROR(__xludf.DUMMYFUNCTION("""COMPUTED_VALUE"""),"Trả sau")</f>
        <v>Trả sau</v>
      </c>
      <c r="I435" s="265" t="str">
        <f>IFERROR(__xludf.DUMMYFUNCTION("""COMPUTED_VALUE"""),"Portal")</f>
        <v>Portal</v>
      </c>
      <c r="J435" s="265" t="str">
        <f>IFERROR(__xludf.DUMMYFUNCTION("""COMPUTED_VALUE"""),"SMS CSKH")</f>
        <v>SMS CSKH</v>
      </c>
      <c r="K435" s="265" t="str">
        <f>IFERROR(__xludf.DUMMYFUNCTION("""COMPUTED_VALUE"""),"DungPL")</f>
        <v>DungPL</v>
      </c>
    </row>
    <row r="436">
      <c r="A436" s="265" t="str">
        <f>IFERROR(__xludf.DUMMYFUNCTION("""COMPUTED_VALUE"""),"614")</f>
        <v>614</v>
      </c>
      <c r="B436" s="265" t="str">
        <f>IFERROR(__xludf.DUMMYFUNCTION("""COMPUTED_VALUE"""),"Hà Nội")</f>
        <v>Hà Nội</v>
      </c>
      <c r="C436" s="265" t="str">
        <f>IFERROR(__xludf.DUMMYFUNCTION("""COMPUTED_VALUE"""),"Active")</f>
        <v>Active</v>
      </c>
      <c r="D436" s="265" t="str">
        <f>IFERROR(__xludf.DUMMYFUNCTION("""COMPUTED_VALUE"""),"Viễn thông")</f>
        <v>Viễn thông</v>
      </c>
      <c r="E436" s="265" t="str">
        <f>IFERROR(__xludf.DUMMYFUNCTION("""COMPUTED_VALUE"""),"Không phân công")</f>
        <v>Không phân công</v>
      </c>
      <c r="F436" s="265" t="str">
        <f>IFERROR(__xludf.DUMMYFUNCTION("""COMPUTED_VALUE"""),"Sale chưa cung cấp")</f>
        <v>Sale chưa cung cấp</v>
      </c>
      <c r="G436" s="265" t="str">
        <f>IFERROR(__xludf.DUMMYFUNCTION("""COMPUTED_VALUE"""),"Starter")</f>
        <v>Starter</v>
      </c>
      <c r="H436" s="265" t="str">
        <f>IFERROR(__xludf.DUMMYFUNCTION("""COMPUTED_VALUE"""),"Trial")</f>
        <v>Trial</v>
      </c>
      <c r="I436" s="265" t="str">
        <f>IFERROR(__xludf.DUMMYFUNCTION("""COMPUTED_VALUE"""),"Portal")</f>
        <v>Portal</v>
      </c>
      <c r="J436" s="265" t="str">
        <f>IFERROR(__xludf.DUMMYFUNCTION("""COMPUTED_VALUE"""),"SMS CSKH")</f>
        <v>SMS CSKH</v>
      </c>
      <c r="K436" s="265" t="str">
        <f>IFERROR(__xludf.DUMMYFUNCTION("""COMPUTED_VALUE"""),"DungVT")</f>
        <v>DungVT</v>
      </c>
    </row>
    <row r="437">
      <c r="A437" s="265" t="str">
        <f>IFERROR(__xludf.DUMMYFUNCTION("""COMPUTED_VALUE"""),"614")</f>
        <v>614</v>
      </c>
      <c r="B437" s="265" t="str">
        <f>IFERROR(__xludf.DUMMYFUNCTION("""COMPUTED_VALUE"""),"Hà Nội")</f>
        <v>Hà Nội</v>
      </c>
      <c r="C437" s="265" t="str">
        <f>IFERROR(__xludf.DUMMYFUNCTION("""COMPUTED_VALUE"""),"Active")</f>
        <v>Active</v>
      </c>
      <c r="D437" s="265" t="str">
        <f>IFERROR(__xludf.DUMMYFUNCTION("""COMPUTED_VALUE"""),"Viễn thông")</f>
        <v>Viễn thông</v>
      </c>
      <c r="E437" s="265" t="str">
        <f>IFERROR(__xludf.DUMMYFUNCTION("""COMPUTED_VALUE"""),"Không phân công")</f>
        <v>Không phân công</v>
      </c>
      <c r="F437" s="265" t="str">
        <f>IFERROR(__xludf.DUMMYFUNCTION("""COMPUTED_VALUE"""),"Sale chưa cung cấp")</f>
        <v>Sale chưa cung cấp</v>
      </c>
      <c r="G437" s="265" t="str">
        <f>IFERROR(__xludf.DUMMYFUNCTION("""COMPUTED_VALUE"""),"Starter")</f>
        <v>Starter</v>
      </c>
      <c r="H437" s="265" t="str">
        <f>IFERROR(__xludf.DUMMYFUNCTION("""COMPUTED_VALUE"""),"Trial")</f>
        <v>Trial</v>
      </c>
      <c r="I437" s="265" t="str">
        <f>IFERROR(__xludf.DUMMYFUNCTION("""COMPUTED_VALUE"""),"Portal")</f>
        <v>Portal</v>
      </c>
      <c r="J437" s="265" t="str">
        <f>IFERROR(__xludf.DUMMYFUNCTION("""COMPUTED_VALUE"""),"Zalo ZNS")</f>
        <v>Zalo ZNS</v>
      </c>
      <c r="K437" s="265" t="str">
        <f>IFERROR(__xludf.DUMMYFUNCTION("""COMPUTED_VALUE"""),"DungVT")</f>
        <v>DungVT</v>
      </c>
    </row>
    <row r="438">
      <c r="A438" s="265" t="str">
        <f>IFERROR(__xludf.DUMMYFUNCTION("""COMPUTED_VALUE"""),"731")</f>
        <v>731</v>
      </c>
      <c r="B438" s="265" t="str">
        <f>IFERROR(__xludf.DUMMYFUNCTION("""COMPUTED_VALUE"""),"Sài Gòn")</f>
        <v>Sài Gòn</v>
      </c>
      <c r="C438" s="265" t="str">
        <f>IFERROR(__xludf.DUMMYFUNCTION("""COMPUTED_VALUE"""),"Locked")</f>
        <v>Locked</v>
      </c>
      <c r="D438" s="265" t="str">
        <f>IFERROR(__xludf.DUMMYFUNCTION("""COMPUTED_VALUE"""),"Viễn thông")</f>
        <v>Viễn thông</v>
      </c>
      <c r="E438" s="265" t="str">
        <f>IFERROR(__xludf.DUMMYFUNCTION("""COMPUTED_VALUE"""),"HoaNTM")</f>
        <v>HoaNTM</v>
      </c>
      <c r="F438" s="265" t="str">
        <f>IFERROR(__xludf.DUMMYFUNCTION("""COMPUTED_VALUE"""),"Gold")</f>
        <v>Gold</v>
      </c>
      <c r="G438" s="265" t="str">
        <f>IFERROR(__xludf.DUMMYFUNCTION("""COMPUTED_VALUE"""),"Enterprise")</f>
        <v>Enterprise</v>
      </c>
      <c r="H438" s="265" t="str">
        <f>IFERROR(__xludf.DUMMYFUNCTION("""COMPUTED_VALUE"""),"(Chưa recheck)")</f>
        <v>(Chưa recheck)</v>
      </c>
      <c r="I438" s="265" t="str">
        <f>IFERROR(__xludf.DUMMYFUNCTION("""COMPUTED_VALUE"""),"API &amp; Portal")</f>
        <v>API &amp; Portal</v>
      </c>
      <c r="J438" s="265" t="str">
        <f>IFERROR(__xludf.DUMMYFUNCTION("""COMPUTED_VALUE"""),"GapOne")</f>
        <v>GapOne</v>
      </c>
      <c r="K438" s="265" t="str">
        <f>IFERROR(__xludf.DUMMYFUNCTION("""COMPUTED_VALUE"""),"AnhNM")</f>
        <v>AnhNM</v>
      </c>
    </row>
    <row r="439">
      <c r="A439" s="265" t="str">
        <f>IFERROR(__xludf.DUMMYFUNCTION("""COMPUTED_VALUE"""),"720")</f>
        <v>720</v>
      </c>
      <c r="B439" s="265" t="str">
        <f>IFERROR(__xludf.DUMMYFUNCTION("""COMPUTED_VALUE"""),"Hà Nội")</f>
        <v>Hà Nội</v>
      </c>
      <c r="C439" s="265" t="str">
        <f>IFERROR(__xludf.DUMMYFUNCTION("""COMPUTED_VALUE"""),"Locked")</f>
        <v>Locked</v>
      </c>
      <c r="D439" s="265" t="str">
        <f>IFERROR(__xludf.DUMMYFUNCTION("""COMPUTED_VALUE"""),"Thiết kế &amp; Thi công")</f>
        <v>Thiết kế &amp; Thi công</v>
      </c>
      <c r="E439" s="265" t="str">
        <f>IFERROR(__xludf.DUMMYFUNCTION("""COMPUTED_VALUE"""),"TùngLD")</f>
        <v>TùngLD</v>
      </c>
      <c r="F439" s="265" t="str">
        <f>IFERROR(__xludf.DUMMYFUNCTION("""COMPUTED_VALUE"""),"Bronze")</f>
        <v>Bronze</v>
      </c>
      <c r="G439" s="265" t="str">
        <f>IFERROR(__xludf.DUMMYFUNCTION("""COMPUTED_VALUE"""),"SIMILAR")</f>
        <v>SIMILAR</v>
      </c>
      <c r="H439" s="265" t="str">
        <f>IFERROR(__xludf.DUMMYFUNCTION("""COMPUTED_VALUE"""),"Trả trước")</f>
        <v>Trả trước</v>
      </c>
      <c r="I439" s="265" t="str">
        <f>IFERROR(__xludf.DUMMYFUNCTION("""COMPUTED_VALUE"""),"Portal")</f>
        <v>Portal</v>
      </c>
      <c r="J439" s="265" t="str">
        <f>IFERROR(__xludf.DUMMYFUNCTION("""COMPUTED_VALUE"""),"Zalo ZNS")</f>
        <v>Zalo ZNS</v>
      </c>
      <c r="K439" s="265" t="str">
        <f>IFERROR(__xludf.DUMMYFUNCTION("""COMPUTED_VALUE"""),"AnhNM")</f>
        <v>AnhNM</v>
      </c>
    </row>
    <row r="440">
      <c r="A440" s="265" t="str">
        <f>IFERROR(__xludf.DUMMYFUNCTION("""COMPUTED_VALUE"""),"732")</f>
        <v>732</v>
      </c>
      <c r="B440" s="265" t="str">
        <f>IFERROR(__xludf.DUMMYFUNCTION("""COMPUTED_VALUE"""),"Hà Nội")</f>
        <v>Hà Nội</v>
      </c>
      <c r="C440" s="265" t="str">
        <f>IFERROR(__xludf.DUMMYFUNCTION("""COMPUTED_VALUE"""),"Active")</f>
        <v>Active</v>
      </c>
      <c r="D440" s="265" t="str">
        <f>IFERROR(__xludf.DUMMYFUNCTION("""COMPUTED_VALUE"""),"Mua sắm &amp; Bán lẻ")</f>
        <v>Mua sắm &amp; Bán lẻ</v>
      </c>
      <c r="E440" s="265" t="str">
        <f>IFERROR(__xludf.DUMMYFUNCTION("""COMPUTED_VALUE"""),"TúPHN")</f>
        <v>TúPHN</v>
      </c>
      <c r="F440" s="265" t="str">
        <f>IFERROR(__xludf.DUMMYFUNCTION("""COMPUTED_VALUE"""),"Bronze")</f>
        <v>Bronze</v>
      </c>
      <c r="G440" s="265" t="str">
        <f>IFERROR(__xludf.DUMMYFUNCTION("""COMPUTED_VALUE"""),"Starter")</f>
        <v>Starter</v>
      </c>
      <c r="H440" s="265" t="str">
        <f>IFERROR(__xludf.DUMMYFUNCTION("""COMPUTED_VALUE"""),"Trả sau")</f>
        <v>Trả sau</v>
      </c>
      <c r="I440" s="265" t="str">
        <f>IFERROR(__xludf.DUMMYFUNCTION("""COMPUTED_VALUE"""),"API")</f>
        <v>API</v>
      </c>
      <c r="J440" s="265" t="str">
        <f>IFERROR(__xludf.DUMMYFUNCTION("""COMPUTED_VALUE"""),"Zalo ZNS")</f>
        <v>Zalo ZNS</v>
      </c>
      <c r="K440" s="265" t="str">
        <f>IFERROR(__xludf.DUMMYFUNCTION("""COMPUTED_VALUE"""),"LinhNTT1")</f>
        <v>LinhNTT1</v>
      </c>
    </row>
    <row r="441">
      <c r="A441" s="265" t="str">
        <f>IFERROR(__xludf.DUMMYFUNCTION("""COMPUTED_VALUE"""),"733")</f>
        <v>733</v>
      </c>
      <c r="B441" s="265" t="str">
        <f>IFERROR(__xludf.DUMMYFUNCTION("""COMPUTED_VALUE"""),"Hà Nội")</f>
        <v>Hà Nội</v>
      </c>
      <c r="C441" s="265" t="str">
        <f>IFERROR(__xludf.DUMMYFUNCTION("""COMPUTED_VALUE"""),"Active")</f>
        <v>Active</v>
      </c>
      <c r="D441" s="265" t="str">
        <f>IFERROR(__xludf.DUMMYFUNCTION("""COMPUTED_VALUE"""),"Viễn thông")</f>
        <v>Viễn thông</v>
      </c>
      <c r="E441" s="265" t="str">
        <f>IFERROR(__xludf.DUMMYFUNCTION("""COMPUTED_VALUE"""),"TúPHN")</f>
        <v>TúPHN</v>
      </c>
      <c r="F441" s="265" t="str">
        <f>IFERROR(__xludf.DUMMYFUNCTION("""COMPUTED_VALUE"""),"Diamond")</f>
        <v>Diamond</v>
      </c>
      <c r="G441" s="265" t="str">
        <f>IFERROR(__xludf.DUMMYFUNCTION("""COMPUTED_VALUE"""),"Enterprise")</f>
        <v>Enterprise</v>
      </c>
      <c r="H441" s="265" t="str">
        <f>IFERROR(__xludf.DUMMYFUNCTION("""COMPUTED_VALUE"""),"Trả sau")</f>
        <v>Trả sau</v>
      </c>
      <c r="I441" s="265" t="str">
        <f>IFERROR(__xludf.DUMMYFUNCTION("""COMPUTED_VALUE"""),"Portal")</f>
        <v>Portal</v>
      </c>
      <c r="J441" s="265" t="str">
        <f>IFERROR(__xludf.DUMMYFUNCTION("""COMPUTED_VALUE"""),"Zalo ZNS")</f>
        <v>Zalo ZNS</v>
      </c>
      <c r="K441" s="265" t="str">
        <f>IFERROR(__xludf.DUMMYFUNCTION("""COMPUTED_VALUE"""),"DungPL")</f>
        <v>DungPL</v>
      </c>
    </row>
    <row r="442">
      <c r="A442" s="265" t="str">
        <f>IFERROR(__xludf.DUMMYFUNCTION("""COMPUTED_VALUE"""),"734")</f>
        <v>734</v>
      </c>
      <c r="B442" s="265" t="str">
        <f>IFERROR(__xludf.DUMMYFUNCTION("""COMPUTED_VALUE"""),"Hà Nội")</f>
        <v>Hà Nội</v>
      </c>
      <c r="C442" s="265" t="str">
        <f>IFERROR(__xludf.DUMMYFUNCTION("""COMPUTED_VALUE"""),"Active")</f>
        <v>Active</v>
      </c>
      <c r="D442" s="265" t="str">
        <f>IFERROR(__xludf.DUMMYFUNCTION("""COMPUTED_VALUE"""),"Sản xuất &amp; Chế tạo")</f>
        <v>Sản xuất &amp; Chế tạo</v>
      </c>
      <c r="E442" s="265" t="str">
        <f>IFERROR(__xludf.DUMMYFUNCTION("""COMPUTED_VALUE"""),"Không phân công")</f>
        <v>Không phân công</v>
      </c>
      <c r="F442" s="265" t="str">
        <f>IFERROR(__xludf.DUMMYFUNCTION("""COMPUTED_VALUE"""),"Bronze")</f>
        <v>Bronze</v>
      </c>
      <c r="G442" s="265" t="str">
        <f>IFERROR(__xludf.DUMMYFUNCTION("""COMPUTED_VALUE"""),"Starter")</f>
        <v>Starter</v>
      </c>
      <c r="H442" s="265" t="str">
        <f>IFERROR(__xludf.DUMMYFUNCTION("""COMPUTED_VALUE"""),"Trả sau")</f>
        <v>Trả sau</v>
      </c>
      <c r="I442" s="265" t="str">
        <f>IFERROR(__xludf.DUMMYFUNCTION("""COMPUTED_VALUE"""),"Portal")</f>
        <v>Portal</v>
      </c>
      <c r="J442" s="265" t="str">
        <f>IFERROR(__xludf.DUMMYFUNCTION("""COMPUTED_VALUE"""),"SMS CSKH")</f>
        <v>SMS CSKH</v>
      </c>
      <c r="K442" s="265" t="str">
        <f>IFERROR(__xludf.DUMMYFUNCTION("""COMPUTED_VALUE"""),"LinhNTT1")</f>
        <v>LinhNTT1</v>
      </c>
    </row>
    <row r="443">
      <c r="A443" s="265" t="str">
        <f>IFERROR(__xludf.DUMMYFUNCTION("""COMPUTED_VALUE"""),"735")</f>
        <v>735</v>
      </c>
      <c r="B443" s="265" t="str">
        <f>IFERROR(__xludf.DUMMYFUNCTION("""COMPUTED_VALUE"""),"Hà Nội")</f>
        <v>Hà Nội</v>
      </c>
      <c r="C443" s="265" t="str">
        <f>IFERROR(__xludf.DUMMYFUNCTION("""COMPUTED_VALUE"""),"Locked")</f>
        <v>Locked</v>
      </c>
      <c r="D443" s="265" t="str">
        <f>IFERROR(__xludf.DUMMYFUNCTION("""COMPUTED_VALUE"""),"Ô tô &amp; Xe máy")</f>
        <v>Ô tô &amp; Xe máy</v>
      </c>
      <c r="E443" s="265" t="str">
        <f>IFERROR(__xludf.DUMMYFUNCTION("""COMPUTED_VALUE"""),"DungDT")</f>
        <v>DungDT</v>
      </c>
      <c r="F443" s="265" t="str">
        <f>IFERROR(__xludf.DUMMYFUNCTION("""COMPUTED_VALUE"""),"Sale chưa cung cấp")</f>
        <v>Sale chưa cung cấp</v>
      </c>
      <c r="G443" s="265" t="str">
        <f>IFERROR(__xludf.DUMMYFUNCTION("""COMPUTED_VALUE"""),"MSG")</f>
        <v>MSG</v>
      </c>
      <c r="H443" s="265" t="str">
        <f>IFERROR(__xludf.DUMMYFUNCTION("""COMPUTED_VALUE"""),"Trial")</f>
        <v>Trial</v>
      </c>
      <c r="I443" s="265" t="str">
        <f>IFERROR(__xludf.DUMMYFUNCTION("""COMPUTED_VALUE"""),"API &amp; Portal")</f>
        <v>API &amp; Portal</v>
      </c>
      <c r="J443" s="265" t="str">
        <f>IFERROR(__xludf.DUMMYFUNCTION("""COMPUTED_VALUE"""),"Zalo ZNS")</f>
        <v>Zalo ZNS</v>
      </c>
      <c r="K443" s="265" t="str">
        <f>IFERROR(__xludf.DUMMYFUNCTION("""COMPUTED_VALUE"""),"(Không recheck)")</f>
        <v>(Không recheck)</v>
      </c>
    </row>
    <row r="444">
      <c r="A444" s="265" t="str">
        <f>IFERROR(__xludf.DUMMYFUNCTION("""COMPUTED_VALUE"""),"736")</f>
        <v>736</v>
      </c>
      <c r="B444" s="265" t="str">
        <f>IFERROR(__xludf.DUMMYFUNCTION("""COMPUTED_VALUE"""),"Hà Nội")</f>
        <v>Hà Nội</v>
      </c>
      <c r="C444" s="265" t="str">
        <f>IFERROR(__xludf.DUMMYFUNCTION("""COMPUTED_VALUE"""),"Locked")</f>
        <v>Locked</v>
      </c>
      <c r="D444" s="265" t="str">
        <f>IFERROR(__xludf.DUMMYFUNCTION("""COMPUTED_VALUE"""),"Vận tải &amp; logistics")</f>
        <v>Vận tải &amp; logistics</v>
      </c>
      <c r="E444" s="265" t="str">
        <f>IFERROR(__xludf.DUMMYFUNCTION("""COMPUTED_VALUE"""),"TùngLD")</f>
        <v>TùngLD</v>
      </c>
      <c r="F444" s="265" t="str">
        <f>IFERROR(__xludf.DUMMYFUNCTION("""COMPUTED_VALUE"""),"Bronze")</f>
        <v>Bronze</v>
      </c>
      <c r="G444" s="265" t="str">
        <f>IFERROR(__xludf.DUMMYFUNCTION("""COMPUTED_VALUE"""),"MSG")</f>
        <v>MSG</v>
      </c>
      <c r="H444" s="265" t="str">
        <f>IFERROR(__xludf.DUMMYFUNCTION("""COMPUTED_VALUE"""),"Trả trước")</f>
        <v>Trả trước</v>
      </c>
      <c r="I444" s="265" t="str">
        <f>IFERROR(__xludf.DUMMYFUNCTION("""COMPUTED_VALUE"""),"Portal")</f>
        <v>Portal</v>
      </c>
      <c r="J444" s="265" t="str">
        <f>IFERROR(__xludf.DUMMYFUNCTION("""COMPUTED_VALUE"""),"Zalo ZNS")</f>
        <v>Zalo ZNS</v>
      </c>
      <c r="K444" s="265" t="str">
        <f>IFERROR(__xludf.DUMMYFUNCTION("""COMPUTED_VALUE"""),"AnhNM")</f>
        <v>AnhNM</v>
      </c>
    </row>
    <row r="445">
      <c r="A445" s="265" t="str">
        <f>IFERROR(__xludf.DUMMYFUNCTION("""COMPUTED_VALUE"""),"737")</f>
        <v>737</v>
      </c>
      <c r="B445" s="265" t="str">
        <f>IFERROR(__xludf.DUMMYFUNCTION("""COMPUTED_VALUE"""),"Sài Gòn")</f>
        <v>Sài Gòn</v>
      </c>
      <c r="C445" s="265" t="str">
        <f>IFERROR(__xludf.DUMMYFUNCTION("""COMPUTED_VALUE"""),"Locked")</f>
        <v>Locked</v>
      </c>
      <c r="D445" s="265" t="str">
        <f>IFERROR(__xludf.DUMMYFUNCTION("""COMPUTED_VALUE"""),"Thời trang &amp; May mặc")</f>
        <v>Thời trang &amp; May mặc</v>
      </c>
      <c r="E445" s="265" t="str">
        <f>IFERROR(__xludf.DUMMYFUNCTION("""COMPUTED_VALUE"""),"PhươngDTB")</f>
        <v>PhươngDTB</v>
      </c>
      <c r="F445" s="265" t="str">
        <f>IFERROR(__xludf.DUMMYFUNCTION("""COMPUTED_VALUE"""),"Sale chưa cung cấp")</f>
        <v>Sale chưa cung cấp</v>
      </c>
      <c r="G445" s="265" t="str">
        <f>IFERROR(__xludf.DUMMYFUNCTION("""COMPUTED_VALUE"""),"Enterprise")</f>
        <v>Enterprise</v>
      </c>
      <c r="H445" s="265" t="str">
        <f>IFERROR(__xludf.DUMMYFUNCTION("""COMPUTED_VALUE"""),"Trả trước")</f>
        <v>Trả trước</v>
      </c>
      <c r="I445" s="265" t="str">
        <f>IFERROR(__xludf.DUMMYFUNCTION("""COMPUTED_VALUE"""),"API &amp; Portal")</f>
        <v>API &amp; Portal</v>
      </c>
      <c r="J445" s="265" t="str">
        <f>IFERROR(__xludf.DUMMYFUNCTION("""COMPUTED_VALUE"""),"Zalo ZNS")</f>
        <v>Zalo ZNS</v>
      </c>
      <c r="K445" s="265" t="str">
        <f>IFERROR(__xludf.DUMMYFUNCTION("""COMPUTED_VALUE"""),"AnhNM")</f>
        <v>AnhNM</v>
      </c>
    </row>
    <row r="446">
      <c r="A446" s="265" t="str">
        <f>IFERROR(__xludf.DUMMYFUNCTION("""COMPUTED_VALUE"""),"738")</f>
        <v>738</v>
      </c>
      <c r="B446" s="265" t="str">
        <f>IFERROR(__xludf.DUMMYFUNCTION("""COMPUTED_VALUE"""),"Hà Nội")</f>
        <v>Hà Nội</v>
      </c>
      <c r="C446" s="265" t="str">
        <f>IFERROR(__xludf.DUMMYFUNCTION("""COMPUTED_VALUE"""),"Active")</f>
        <v>Active</v>
      </c>
      <c r="D446" s="265" t="str">
        <f>IFERROR(__xludf.DUMMYFUNCTION("""COMPUTED_VALUE"""),"Y tế &amp; Dược phẩm")</f>
        <v>Y tế &amp; Dược phẩm</v>
      </c>
      <c r="E446" s="265" t="str">
        <f>IFERROR(__xludf.DUMMYFUNCTION("""COMPUTED_VALUE"""),"TúPHN")</f>
        <v>TúPHN</v>
      </c>
      <c r="F446" s="265" t="str">
        <f>IFERROR(__xludf.DUMMYFUNCTION("""COMPUTED_VALUE"""),"Silver")</f>
        <v>Silver</v>
      </c>
      <c r="G446" s="265" t="str">
        <f>IFERROR(__xludf.DUMMYFUNCTION("""COMPUTED_VALUE"""),"Enterprise")</f>
        <v>Enterprise</v>
      </c>
      <c r="H446" s="265" t="str">
        <f>IFERROR(__xludf.DUMMYFUNCTION("""COMPUTED_VALUE"""),"Trả trước")</f>
        <v>Trả trước</v>
      </c>
      <c r="I446" s="265" t="str">
        <f>IFERROR(__xludf.DUMMYFUNCTION("""COMPUTED_VALUE"""),"API &amp; Portal")</f>
        <v>API &amp; Portal</v>
      </c>
      <c r="J446" s="265" t="str">
        <f>IFERROR(__xludf.DUMMYFUNCTION("""COMPUTED_VALUE"""),"Zalo ZNS")</f>
        <v>Zalo ZNS</v>
      </c>
      <c r="K446" s="265" t="str">
        <f>IFERROR(__xludf.DUMMYFUNCTION("""COMPUTED_VALUE"""),"DungPL")</f>
        <v>DungPL</v>
      </c>
    </row>
    <row r="447">
      <c r="A447" s="265" t="str">
        <f>IFERROR(__xludf.DUMMYFUNCTION("""COMPUTED_VALUE"""),"739")</f>
        <v>739</v>
      </c>
      <c r="B447" s="265" t="str">
        <f>IFERROR(__xludf.DUMMYFUNCTION("""COMPUTED_VALUE"""),"Sài Gòn")</f>
        <v>Sài Gòn</v>
      </c>
      <c r="C447" s="265" t="str">
        <f>IFERROR(__xludf.DUMMYFUNCTION("""COMPUTED_VALUE"""),"Active")</f>
        <v>Active</v>
      </c>
      <c r="D447" s="265" t="str">
        <f>IFERROR(__xludf.DUMMYFUNCTION("""COMPUTED_VALUE"""),"Thực phẩm &amp; Đồ uống")</f>
        <v>Thực phẩm &amp; Đồ uống</v>
      </c>
      <c r="E447" s="265" t="str">
        <f>IFERROR(__xludf.DUMMYFUNCTION("""COMPUTED_VALUE"""),"Không phân công")</f>
        <v>Không phân công</v>
      </c>
      <c r="F447" s="265" t="str">
        <f>IFERROR(__xludf.DUMMYFUNCTION("""COMPUTED_VALUE"""),"Sale chưa cung cấp")</f>
        <v>Sale chưa cung cấp</v>
      </c>
      <c r="G447" s="265" t="str">
        <f>IFERROR(__xludf.DUMMYFUNCTION("""COMPUTED_VALUE"""),"Enterprise")</f>
        <v>Enterprise</v>
      </c>
      <c r="H447" s="265" t="str">
        <f>IFERROR(__xludf.DUMMYFUNCTION("""COMPUTED_VALUE"""),"Trả sau")</f>
        <v>Trả sau</v>
      </c>
      <c r="I447" s="265" t="str">
        <f>IFERROR(__xludf.DUMMYFUNCTION("""COMPUTED_VALUE"""),"API &amp; Portal")</f>
        <v>API &amp; Portal</v>
      </c>
      <c r="J447" s="265" t="str">
        <f>IFERROR(__xludf.DUMMYFUNCTION("""COMPUTED_VALUE"""),"SMS QC")</f>
        <v>SMS QC</v>
      </c>
      <c r="K447" s="265" t="str">
        <f>IFERROR(__xludf.DUMMYFUNCTION("""COMPUTED_VALUE"""),"LinhNTT1")</f>
        <v>LinhNTT1</v>
      </c>
    </row>
    <row r="448">
      <c r="A448" s="265" t="str">
        <f>IFERROR(__xludf.DUMMYFUNCTION("""COMPUTED_VALUE"""),"740")</f>
        <v>740</v>
      </c>
      <c r="B448" s="265" t="str">
        <f>IFERROR(__xludf.DUMMYFUNCTION("""COMPUTED_VALUE"""),"Hà Nội")</f>
        <v>Hà Nội</v>
      </c>
      <c r="C448" s="265" t="str">
        <f>IFERROR(__xludf.DUMMYFUNCTION("""COMPUTED_VALUE"""),"Locked")</f>
        <v>Locked</v>
      </c>
      <c r="D448" s="265" t="str">
        <f>IFERROR(__xludf.DUMMYFUNCTION("""COMPUTED_VALUE"""),"Viễn thông")</f>
        <v>Viễn thông</v>
      </c>
      <c r="E448" s="265" t="str">
        <f>IFERROR(__xludf.DUMMYFUNCTION("""COMPUTED_VALUE"""),"PhươngDTB")</f>
        <v>PhươngDTB</v>
      </c>
      <c r="F448" s="265" t="str">
        <f>IFERROR(__xludf.DUMMYFUNCTION("""COMPUTED_VALUE"""),"Gold")</f>
        <v>Gold</v>
      </c>
      <c r="G448" s="265" t="str">
        <f>IFERROR(__xludf.DUMMYFUNCTION("""COMPUTED_VALUE"""),"Standard")</f>
        <v>Standard</v>
      </c>
      <c r="H448" s="265" t="str">
        <f>IFERROR(__xludf.DUMMYFUNCTION("""COMPUTED_VALUE"""),"Trả sau")</f>
        <v>Trả sau</v>
      </c>
      <c r="I448" s="265" t="str">
        <f>IFERROR(__xludf.DUMMYFUNCTION("""COMPUTED_VALUE"""),"API &amp; Portal")</f>
        <v>API &amp; Portal</v>
      </c>
      <c r="J448" s="265" t="str">
        <f>IFERROR(__xludf.DUMMYFUNCTION("""COMPUTED_VALUE"""),"Zalo ZNS")</f>
        <v>Zalo ZNS</v>
      </c>
      <c r="K448" s="265" t="str">
        <f>IFERROR(__xludf.DUMMYFUNCTION("""COMPUTED_VALUE"""),"AnhNM")</f>
        <v>AnhNM</v>
      </c>
    </row>
    <row r="449">
      <c r="A449" s="265" t="str">
        <f>IFERROR(__xludf.DUMMYFUNCTION("""COMPUTED_VALUE"""),"742")</f>
        <v>742</v>
      </c>
      <c r="B449" s="265" t="str">
        <f>IFERROR(__xludf.DUMMYFUNCTION("""COMPUTED_VALUE"""),"Sài Gòn")</f>
        <v>Sài Gòn</v>
      </c>
      <c r="C449" s="265" t="str">
        <f>IFERROR(__xludf.DUMMYFUNCTION("""COMPUTED_VALUE"""),"Locked")</f>
        <v>Locked</v>
      </c>
      <c r="D449" s="265" t="str">
        <f>IFERROR(__xludf.DUMMYFUNCTION("""COMPUTED_VALUE"""),"Thực phẩm &amp; Đồ uống")</f>
        <v>Thực phẩm &amp; Đồ uống</v>
      </c>
      <c r="E449" s="265" t="str">
        <f>IFERROR(__xludf.DUMMYFUNCTION("""COMPUTED_VALUE"""),"TuVTC")</f>
        <v>TuVTC</v>
      </c>
      <c r="F449" s="265" t="str">
        <f>IFERROR(__xludf.DUMMYFUNCTION("""COMPUTED_VALUE"""),"Gold")</f>
        <v>Gold</v>
      </c>
      <c r="G449" s="265" t="str">
        <f>IFERROR(__xludf.DUMMYFUNCTION("""COMPUTED_VALUE"""),"API")</f>
        <v>API</v>
      </c>
      <c r="H449" s="265" t="str">
        <f>IFERROR(__xludf.DUMMYFUNCTION("""COMPUTED_VALUE"""),"Trả sau")</f>
        <v>Trả sau</v>
      </c>
      <c r="I449" s="265" t="str">
        <f>IFERROR(__xludf.DUMMYFUNCTION("""COMPUTED_VALUE"""),"API")</f>
        <v>API</v>
      </c>
      <c r="J449" s="265" t="str">
        <f>IFERROR(__xludf.DUMMYFUNCTION("""COMPUTED_VALUE"""),"SMS CSKH")</f>
        <v>SMS CSKH</v>
      </c>
      <c r="K449" s="265" t="str">
        <f>IFERROR(__xludf.DUMMYFUNCTION("""COMPUTED_VALUE"""),"TuVTC")</f>
        <v>TuVTC</v>
      </c>
    </row>
    <row r="450">
      <c r="A450" s="265" t="str">
        <f>IFERROR(__xludf.DUMMYFUNCTION("""COMPUTED_VALUE"""),"716")</f>
        <v>716</v>
      </c>
      <c r="B450" s="265" t="str">
        <f>IFERROR(__xludf.DUMMYFUNCTION("""COMPUTED_VALUE"""),"Hà Nội")</f>
        <v>Hà Nội</v>
      </c>
      <c r="C450" s="265" t="str">
        <f>IFERROR(__xludf.DUMMYFUNCTION("""COMPUTED_VALUE"""),"Active")</f>
        <v>Active</v>
      </c>
      <c r="D450" s="265" t="str">
        <f>IFERROR(__xludf.DUMMYFUNCTION("""COMPUTED_VALUE"""),"Tài chính &amp; Ngân hàng")</f>
        <v>Tài chính &amp; Ngân hàng</v>
      </c>
      <c r="E450" s="265" t="str">
        <f>IFERROR(__xludf.DUMMYFUNCTION("""COMPUTED_VALUE"""),"TùngLD")</f>
        <v>TùngLD</v>
      </c>
      <c r="F450" s="265" t="str">
        <f>IFERROR(__xludf.DUMMYFUNCTION("""COMPUTED_VALUE"""),"Bronze")</f>
        <v>Bronze</v>
      </c>
      <c r="G450" s="265" t="str">
        <f>IFERROR(__xludf.DUMMYFUNCTION("""COMPUTED_VALUE"""),"Starter")</f>
        <v>Starter</v>
      </c>
      <c r="H450" s="265" t="str">
        <f>IFERROR(__xludf.DUMMYFUNCTION("""COMPUTED_VALUE"""),"Trả sau")</f>
        <v>Trả sau</v>
      </c>
      <c r="I450" s="265" t="str">
        <f>IFERROR(__xludf.DUMMYFUNCTION("""COMPUTED_VALUE"""),"API")</f>
        <v>API</v>
      </c>
      <c r="J450" s="265" t="str">
        <f>IFERROR(__xludf.DUMMYFUNCTION("""COMPUTED_VALUE"""),"SMS CSKH")</f>
        <v>SMS CSKH</v>
      </c>
      <c r="K450" s="265" t="str">
        <f>IFERROR(__xludf.DUMMYFUNCTION("""COMPUTED_VALUE"""),"DungPL")</f>
        <v>DungPL</v>
      </c>
    </row>
    <row r="451">
      <c r="A451" s="265" t="str">
        <f>IFERROR(__xludf.DUMMYFUNCTION("""COMPUTED_VALUE"""),"716")</f>
        <v>716</v>
      </c>
      <c r="B451" s="265" t="str">
        <f>IFERROR(__xludf.DUMMYFUNCTION("""COMPUTED_VALUE"""),"Hà Nội")</f>
        <v>Hà Nội</v>
      </c>
      <c r="C451" s="265" t="str">
        <f>IFERROR(__xludf.DUMMYFUNCTION("""COMPUTED_VALUE"""),"Active")</f>
        <v>Active</v>
      </c>
      <c r="D451" s="265" t="str">
        <f>IFERROR(__xludf.DUMMYFUNCTION("""COMPUTED_VALUE"""),"Tài chính &amp; Ngân hàng")</f>
        <v>Tài chính &amp; Ngân hàng</v>
      </c>
      <c r="E451" s="265" t="str">
        <f>IFERROR(__xludf.DUMMYFUNCTION("""COMPUTED_VALUE"""),"TùngLD")</f>
        <v>TùngLD</v>
      </c>
      <c r="F451" s="265" t="str">
        <f>IFERROR(__xludf.DUMMYFUNCTION("""COMPUTED_VALUE"""),"Bronze")</f>
        <v>Bronze</v>
      </c>
      <c r="G451" s="265" t="str">
        <f>IFERROR(__xludf.DUMMYFUNCTION("""COMPUTED_VALUE"""),"Starter")</f>
        <v>Starter</v>
      </c>
      <c r="H451" s="265" t="str">
        <f>IFERROR(__xludf.DUMMYFUNCTION("""COMPUTED_VALUE"""),"Trả sau")</f>
        <v>Trả sau</v>
      </c>
      <c r="I451" s="265" t="str">
        <f>IFERROR(__xludf.DUMMYFUNCTION("""COMPUTED_VALUE"""),"API")</f>
        <v>API</v>
      </c>
      <c r="J451" s="265" t="str">
        <f>IFERROR(__xludf.DUMMYFUNCTION("""COMPUTED_VALUE"""),"Zalo ZNS")</f>
        <v>Zalo ZNS</v>
      </c>
      <c r="K451" s="265" t="str">
        <f>IFERROR(__xludf.DUMMYFUNCTION("""COMPUTED_VALUE"""),"DungPL")</f>
        <v>DungPL</v>
      </c>
    </row>
    <row r="452">
      <c r="A452" s="265" t="str">
        <f>IFERROR(__xludf.DUMMYFUNCTION("""COMPUTED_VALUE"""),"744")</f>
        <v>744</v>
      </c>
      <c r="B452" s="265" t="str">
        <f>IFERROR(__xludf.DUMMYFUNCTION("""COMPUTED_VALUE"""),"Hà Nội")</f>
        <v>Hà Nội</v>
      </c>
      <c r="C452" s="265" t="str">
        <f>IFERROR(__xludf.DUMMYFUNCTION("""COMPUTED_VALUE"""),"Locked")</f>
        <v>Locked</v>
      </c>
      <c r="D452" s="265" t="str">
        <f>IFERROR(__xludf.DUMMYFUNCTION("""COMPUTED_VALUE"""),"Truyền thông &amp; Giải trí")</f>
        <v>Truyền thông &amp; Giải trí</v>
      </c>
      <c r="E452" s="265" t="str">
        <f>IFERROR(__xludf.DUMMYFUNCTION("""COMPUTED_VALUE"""),"TúPHN")</f>
        <v>TúPHN</v>
      </c>
      <c r="F452" s="265" t="str">
        <f>IFERROR(__xludf.DUMMYFUNCTION("""COMPUTED_VALUE"""),"Sale chưa cung cấp")</f>
        <v>Sale chưa cung cấp</v>
      </c>
      <c r="G452" s="265" t="str">
        <f>IFERROR(__xludf.DUMMYFUNCTION("""COMPUTED_VALUE"""),"API")</f>
        <v>API</v>
      </c>
      <c r="H452" s="265" t="str">
        <f>IFERROR(__xludf.DUMMYFUNCTION("""COMPUTED_VALUE"""),"Trả sau")</f>
        <v>Trả sau</v>
      </c>
      <c r="I452" s="265" t="str">
        <f>IFERROR(__xludf.DUMMYFUNCTION("""COMPUTED_VALUE"""),"API")</f>
        <v>API</v>
      </c>
      <c r="J452" s="265" t="str">
        <f>IFERROR(__xludf.DUMMYFUNCTION("""COMPUTED_VALUE"""),"Zalo ZNS")</f>
        <v>Zalo ZNS</v>
      </c>
      <c r="K452" s="265" t="str">
        <f>IFERROR(__xludf.DUMMYFUNCTION("""COMPUTED_VALUE"""),"AnhNM")</f>
        <v>AnhNM</v>
      </c>
    </row>
    <row r="453">
      <c r="A453" s="265" t="str">
        <f>IFERROR(__xludf.DUMMYFUNCTION("""COMPUTED_VALUE"""),"745")</f>
        <v>745</v>
      </c>
      <c r="B453" s="265" t="str">
        <f>IFERROR(__xludf.DUMMYFUNCTION("""COMPUTED_VALUE"""),"Sài Gòn")</f>
        <v>Sài Gòn</v>
      </c>
      <c r="C453" s="265" t="str">
        <f>IFERROR(__xludf.DUMMYFUNCTION("""COMPUTED_VALUE"""),"Active")</f>
        <v>Active</v>
      </c>
      <c r="D453" s="265" t="str">
        <f>IFERROR(__xludf.DUMMYFUNCTION("""COMPUTED_VALUE"""),"Sản xuất &amp; Chế tạo")</f>
        <v>Sản xuất &amp; Chế tạo</v>
      </c>
      <c r="E453" s="265" t="str">
        <f>IFERROR(__xludf.DUMMYFUNCTION("""COMPUTED_VALUE"""),"TúPHN")</f>
        <v>TúPHN</v>
      </c>
      <c r="F453" s="265" t="str">
        <f>IFERROR(__xludf.DUMMYFUNCTION("""COMPUTED_VALUE"""),"Bronze")</f>
        <v>Bronze</v>
      </c>
      <c r="G453" s="265" t="str">
        <f>IFERROR(__xludf.DUMMYFUNCTION("""COMPUTED_VALUE"""),"Premium")</f>
        <v>Premium</v>
      </c>
      <c r="H453" s="265" t="str">
        <f>IFERROR(__xludf.DUMMYFUNCTION("""COMPUTED_VALUE"""),"Trả sau")</f>
        <v>Trả sau</v>
      </c>
      <c r="I453" s="265" t="str">
        <f>IFERROR(__xludf.DUMMYFUNCTION("""COMPUTED_VALUE"""),"API &amp; Portal")</f>
        <v>API &amp; Portal</v>
      </c>
      <c r="J453" s="265" t="str">
        <f>IFERROR(__xludf.DUMMYFUNCTION("""COMPUTED_VALUE"""),"Zalo ZNS")</f>
        <v>Zalo ZNS</v>
      </c>
      <c r="K453" s="265" t="str">
        <f>IFERROR(__xludf.DUMMYFUNCTION("""COMPUTED_VALUE"""),"DungPL")</f>
        <v>DungPL</v>
      </c>
    </row>
    <row r="454">
      <c r="A454" s="265" t="str">
        <f>IFERROR(__xludf.DUMMYFUNCTION("""COMPUTED_VALUE"""),"746")</f>
        <v>746</v>
      </c>
      <c r="B454" s="265" t="str">
        <f>IFERROR(__xludf.DUMMYFUNCTION("""COMPUTED_VALUE"""),"Sài Gòn")</f>
        <v>Sài Gòn</v>
      </c>
      <c r="C454" s="265" t="str">
        <f>IFERROR(__xludf.DUMMYFUNCTION("""COMPUTED_VALUE"""),"Active")</f>
        <v>Active</v>
      </c>
      <c r="D454" s="265" t="str">
        <f>IFERROR(__xludf.DUMMYFUNCTION("""COMPUTED_VALUE"""),"Viễn thông")</f>
        <v>Viễn thông</v>
      </c>
      <c r="E454" s="265" t="str">
        <f>IFERROR(__xludf.DUMMYFUNCTION("""COMPUTED_VALUE"""),"TùngLD")</f>
        <v>TùngLD</v>
      </c>
      <c r="F454" s="265" t="str">
        <f>IFERROR(__xludf.DUMMYFUNCTION("""COMPUTED_VALUE"""),"Gold")</f>
        <v>Gold</v>
      </c>
      <c r="G454" s="265" t="str">
        <f>IFERROR(__xludf.DUMMYFUNCTION("""COMPUTED_VALUE"""),"Premium")</f>
        <v>Premium</v>
      </c>
      <c r="H454" s="265" t="str">
        <f>IFERROR(__xludf.DUMMYFUNCTION("""COMPUTED_VALUE"""),"Trả sau")</f>
        <v>Trả sau</v>
      </c>
      <c r="I454" s="265" t="str">
        <f>IFERROR(__xludf.DUMMYFUNCTION("""COMPUTED_VALUE"""),"API")</f>
        <v>API</v>
      </c>
      <c r="J454" s="265" t="str">
        <f>IFERROR(__xludf.DUMMYFUNCTION("""COMPUTED_VALUE"""),"Email")</f>
        <v>Email</v>
      </c>
      <c r="K454" s="265" t="str">
        <f>IFERROR(__xludf.DUMMYFUNCTION("""COMPUTED_VALUE"""),"YếnĐH")</f>
        <v>YếnĐH</v>
      </c>
    </row>
    <row r="455">
      <c r="A455" s="265" t="str">
        <f>IFERROR(__xludf.DUMMYFUNCTION("""COMPUTED_VALUE"""),"498")</f>
        <v>498</v>
      </c>
      <c r="B455" s="265" t="str">
        <f>IFERROR(__xludf.DUMMYFUNCTION("""COMPUTED_VALUE"""),"Hà Nội")</f>
        <v>Hà Nội</v>
      </c>
      <c r="C455" s="265" t="str">
        <f>IFERROR(__xludf.DUMMYFUNCTION("""COMPUTED_VALUE"""),"Locked")</f>
        <v>Locked</v>
      </c>
      <c r="D455" s="265" t="str">
        <f>IFERROR(__xludf.DUMMYFUNCTION("""COMPUTED_VALUE"""),"Sale chưa cung cấp")</f>
        <v>Sale chưa cung cấp</v>
      </c>
      <c r="E455" s="265" t="str">
        <f>IFERROR(__xludf.DUMMYFUNCTION("""COMPUTED_VALUE"""),"TùngLD")</f>
        <v>TùngLD</v>
      </c>
      <c r="F455" s="265" t="str">
        <f>IFERROR(__xludf.DUMMYFUNCTION("""COMPUTED_VALUE"""),"Bronze")</f>
        <v>Bronze</v>
      </c>
      <c r="G455" s="265" t="str">
        <f>IFERROR(__xludf.DUMMYFUNCTION("""COMPUTED_VALUE"""),"Enterprise")</f>
        <v>Enterprise</v>
      </c>
      <c r="H455" s="265" t="str">
        <f>IFERROR(__xludf.DUMMYFUNCTION("""COMPUTED_VALUE"""),"Trả sau")</f>
        <v>Trả sau</v>
      </c>
      <c r="I455" s="265" t="str">
        <f>IFERROR(__xludf.DUMMYFUNCTION("""COMPUTED_VALUE"""),"Portal")</f>
        <v>Portal</v>
      </c>
      <c r="J455" s="265" t="str">
        <f>IFERROR(__xludf.DUMMYFUNCTION("""COMPUTED_VALUE"""),"Zalo ZNS")</f>
        <v>Zalo ZNS</v>
      </c>
      <c r="K455" s="265" t="str">
        <f>IFERROR(__xludf.DUMMYFUNCTION("""COMPUTED_VALUE"""),"AnhNM, LinhNTT1")</f>
        <v>AnhNM, LinhNTT1</v>
      </c>
    </row>
    <row r="456">
      <c r="A456" s="265" t="str">
        <f>IFERROR(__xludf.DUMMYFUNCTION("""COMPUTED_VALUE"""),"747")</f>
        <v>747</v>
      </c>
      <c r="B456" s="265" t="str">
        <f>IFERROR(__xludf.DUMMYFUNCTION("""COMPUTED_VALUE"""),"Sài Gòn")</f>
        <v>Sài Gòn</v>
      </c>
      <c r="C456" s="265" t="str">
        <f>IFERROR(__xludf.DUMMYFUNCTION("""COMPUTED_VALUE"""),"Locked")</f>
        <v>Locked</v>
      </c>
      <c r="D456" s="265" t="str">
        <f>IFERROR(__xludf.DUMMYFUNCTION("""COMPUTED_VALUE"""),"Y tế &amp; Dược phẩm")</f>
        <v>Y tế &amp; Dược phẩm</v>
      </c>
      <c r="E456" s="265" t="str">
        <f>IFERROR(__xludf.DUMMYFUNCTION("""COMPUTED_VALUE"""),"HoaNTM")</f>
        <v>HoaNTM</v>
      </c>
      <c r="F456" s="265" t="str">
        <f>IFERROR(__xludf.DUMMYFUNCTION("""COMPUTED_VALUE"""),"Sale chưa cung cấp")</f>
        <v>Sale chưa cung cấp</v>
      </c>
      <c r="G456" s="265" t="str">
        <f>IFERROR(__xludf.DUMMYFUNCTION("""COMPUTED_VALUE"""),"Starter")</f>
        <v>Starter</v>
      </c>
      <c r="H456" s="265" t="str">
        <f>IFERROR(__xludf.DUMMYFUNCTION("""COMPUTED_VALUE"""),"Trả trước")</f>
        <v>Trả trước</v>
      </c>
      <c r="I456" s="265" t="str">
        <f>IFERROR(__xludf.DUMMYFUNCTION("""COMPUTED_VALUE"""),"API &amp; Portal")</f>
        <v>API &amp; Portal</v>
      </c>
      <c r="J456" s="265" t="str">
        <f>IFERROR(__xludf.DUMMYFUNCTION("""COMPUTED_VALUE"""),"Zalo ZNS")</f>
        <v>Zalo ZNS</v>
      </c>
      <c r="K456" s="265" t="str">
        <f>IFERROR(__xludf.DUMMYFUNCTION("""COMPUTED_VALUE"""),"DungPL")</f>
        <v>DungPL</v>
      </c>
    </row>
    <row r="457">
      <c r="A457" s="265" t="str">
        <f>IFERROR(__xludf.DUMMYFUNCTION("""COMPUTED_VALUE"""),"748")</f>
        <v>748</v>
      </c>
      <c r="B457" s="265" t="str">
        <f>IFERROR(__xludf.DUMMYFUNCTION("""COMPUTED_VALUE"""),"Sài Gòn")</f>
        <v>Sài Gòn</v>
      </c>
      <c r="C457" s="265" t="str">
        <f>IFERROR(__xludf.DUMMYFUNCTION("""COMPUTED_VALUE"""),"Locked")</f>
        <v>Locked</v>
      </c>
      <c r="D457" s="265" t="str">
        <f>IFERROR(__xludf.DUMMYFUNCTION("""COMPUTED_VALUE"""),"Truyền thông &amp; Giải trí")</f>
        <v>Truyền thông &amp; Giải trí</v>
      </c>
      <c r="E457" s="265" t="str">
        <f>IFERROR(__xludf.DUMMYFUNCTION("""COMPUTED_VALUE"""),"HoaNTM")</f>
        <v>HoaNTM</v>
      </c>
      <c r="F457" s="265" t="str">
        <f>IFERROR(__xludf.DUMMYFUNCTION("""COMPUTED_VALUE"""),"Gold")</f>
        <v>Gold</v>
      </c>
      <c r="G457" s="265" t="str">
        <f>IFERROR(__xludf.DUMMYFUNCTION("""COMPUTED_VALUE"""),"Premium")</f>
        <v>Premium</v>
      </c>
      <c r="H457" s="265" t="str">
        <f>IFERROR(__xludf.DUMMYFUNCTION("""COMPUTED_VALUE"""),"Trả trước")</f>
        <v>Trả trước</v>
      </c>
      <c r="I457" s="265" t="str">
        <f>IFERROR(__xludf.DUMMYFUNCTION("""COMPUTED_VALUE"""),"API &amp; Portal")</f>
        <v>API &amp; Portal</v>
      </c>
      <c r="J457" s="265" t="str">
        <f>IFERROR(__xludf.DUMMYFUNCTION("""COMPUTED_VALUE"""),"Zalo ZNS")</f>
        <v>Zalo ZNS</v>
      </c>
      <c r="K457" s="265" t="str">
        <f>IFERROR(__xludf.DUMMYFUNCTION("""COMPUTED_VALUE"""),"LinhNTT1")</f>
        <v>LinhNTT1</v>
      </c>
    </row>
    <row r="458">
      <c r="A458" s="265" t="str">
        <f>IFERROR(__xludf.DUMMYFUNCTION("""COMPUTED_VALUE"""),"750")</f>
        <v>750</v>
      </c>
      <c r="B458" s="265" t="str">
        <f>IFERROR(__xludf.DUMMYFUNCTION("""COMPUTED_VALUE"""),"Hà Nội")</f>
        <v>Hà Nội</v>
      </c>
      <c r="C458" s="265" t="str">
        <f>IFERROR(__xludf.DUMMYFUNCTION("""COMPUTED_VALUE"""),"Locked")</f>
        <v>Locked</v>
      </c>
      <c r="D458" s="265" t="str">
        <f>IFERROR(__xludf.DUMMYFUNCTION("""COMPUTED_VALUE"""),"Truyền thông &amp; Giải trí")</f>
        <v>Truyền thông &amp; Giải trí</v>
      </c>
      <c r="E458" s="265" t="str">
        <f>IFERROR(__xludf.DUMMYFUNCTION("""COMPUTED_VALUE"""),"TúPHN")</f>
        <v>TúPHN</v>
      </c>
      <c r="F458" s="265" t="str">
        <f>IFERROR(__xludf.DUMMYFUNCTION("""COMPUTED_VALUE"""),"Bronze")</f>
        <v>Bronze</v>
      </c>
      <c r="G458" s="265" t="str">
        <f>IFERROR(__xludf.DUMMYFUNCTION("""COMPUTED_VALUE"""),"Starter")</f>
        <v>Starter</v>
      </c>
      <c r="H458" s="265" t="str">
        <f>IFERROR(__xludf.DUMMYFUNCTION("""COMPUTED_VALUE"""),"Trả sau")</f>
        <v>Trả sau</v>
      </c>
      <c r="I458" s="265" t="str">
        <f>IFERROR(__xludf.DUMMYFUNCTION("""COMPUTED_VALUE"""),"API &amp; Portal")</f>
        <v>API &amp; Portal</v>
      </c>
      <c r="J458" s="265" t="str">
        <f>IFERROR(__xludf.DUMMYFUNCTION("""COMPUTED_VALUE"""),"Tất cả")</f>
        <v>Tất cả</v>
      </c>
      <c r="K458" s="265" t="str">
        <f>IFERROR(__xludf.DUMMYFUNCTION("""COMPUTED_VALUE"""),"LinhNTT1")</f>
        <v>LinhNTT1</v>
      </c>
    </row>
    <row r="459">
      <c r="A459" s="265" t="str">
        <f>IFERROR(__xludf.DUMMYFUNCTION("""COMPUTED_VALUE"""),"751")</f>
        <v>751</v>
      </c>
      <c r="B459" s="265" t="str">
        <f>IFERROR(__xludf.DUMMYFUNCTION("""COMPUTED_VALUE"""),"Sài Gòn")</f>
        <v>Sài Gòn</v>
      </c>
      <c r="C459" s="265" t="str">
        <f>IFERROR(__xludf.DUMMYFUNCTION("""COMPUTED_VALUE"""),"Locked")</f>
        <v>Locked</v>
      </c>
      <c r="D459" s="265" t="str">
        <f>IFERROR(__xludf.DUMMYFUNCTION("""COMPUTED_VALUE"""),"Mua sắm &amp; Bán lẻ")</f>
        <v>Mua sắm &amp; Bán lẻ</v>
      </c>
      <c r="E459" s="265" t="str">
        <f>IFERROR(__xludf.DUMMYFUNCTION("""COMPUTED_VALUE"""),"HoaNTM")</f>
        <v>HoaNTM</v>
      </c>
      <c r="F459" s="265" t="str">
        <f>IFERROR(__xludf.DUMMYFUNCTION("""COMPUTED_VALUE"""),"Sale chưa cung cấp")</f>
        <v>Sale chưa cung cấp</v>
      </c>
      <c r="G459" s="265" t="str">
        <f>IFERROR(__xludf.DUMMYFUNCTION("""COMPUTED_VALUE"""),"Premium")</f>
        <v>Premium</v>
      </c>
      <c r="H459" s="265" t="str">
        <f>IFERROR(__xludf.DUMMYFUNCTION("""COMPUTED_VALUE"""),"Trial")</f>
        <v>Trial</v>
      </c>
      <c r="I459" s="265" t="str">
        <f>IFERROR(__xludf.DUMMYFUNCTION("""COMPUTED_VALUE"""),"API &amp; Portal")</f>
        <v>API &amp; Portal</v>
      </c>
      <c r="J459" s="265" t="str">
        <f>IFERROR(__xludf.DUMMYFUNCTION("""COMPUTED_VALUE"""),"GapOne")</f>
        <v>GapOne</v>
      </c>
      <c r="K459" s="265" t="str">
        <f>IFERROR(__xludf.DUMMYFUNCTION("""COMPUTED_VALUE"""),"(Không recheck)")</f>
        <v>(Không recheck)</v>
      </c>
    </row>
    <row r="460">
      <c r="A460" s="265" t="str">
        <f>IFERROR(__xludf.DUMMYFUNCTION("""COMPUTED_VALUE"""),"754")</f>
        <v>754</v>
      </c>
      <c r="B460" s="265" t="str">
        <f>IFERROR(__xludf.DUMMYFUNCTION("""COMPUTED_VALUE"""),"Hà Nội")</f>
        <v>Hà Nội</v>
      </c>
      <c r="C460" s="265" t="str">
        <f>IFERROR(__xludf.DUMMYFUNCTION("""COMPUTED_VALUE"""),"Locked")</f>
        <v>Locked</v>
      </c>
      <c r="D460" s="265" t="str">
        <f>IFERROR(__xludf.DUMMYFUNCTION("""COMPUTED_VALUE"""),"Viễn thông")</f>
        <v>Viễn thông</v>
      </c>
      <c r="E460" s="265" t="str">
        <f>IFERROR(__xludf.DUMMYFUNCTION("""COMPUTED_VALUE"""),"AnhNP")</f>
        <v>AnhNP</v>
      </c>
      <c r="F460" s="265" t="str">
        <f>IFERROR(__xludf.DUMMYFUNCTION("""COMPUTED_VALUE"""),"Sale chưa cung cấp")</f>
        <v>Sale chưa cung cấp</v>
      </c>
      <c r="G460" s="265" t="str">
        <f>IFERROR(__xludf.DUMMYFUNCTION("""COMPUTED_VALUE"""),"Starter")</f>
        <v>Starter</v>
      </c>
      <c r="H460" s="265" t="str">
        <f>IFERROR(__xludf.DUMMYFUNCTION("""COMPUTED_VALUE"""),"Trial")</f>
        <v>Trial</v>
      </c>
      <c r="I460" s="265" t="str">
        <f>IFERROR(__xludf.DUMMYFUNCTION("""COMPUTED_VALUE"""),"API &amp; Portal")</f>
        <v>API &amp; Portal</v>
      </c>
      <c r="J460" s="265" t="str">
        <f>IFERROR(__xludf.DUMMYFUNCTION("""COMPUTED_VALUE"""),"Tất cả")</f>
        <v>Tất cả</v>
      </c>
      <c r="K460" s="265" t="str">
        <f>IFERROR(__xludf.DUMMYFUNCTION("""COMPUTED_VALUE"""),"(Không recheck)")</f>
        <v>(Không recheck)</v>
      </c>
    </row>
    <row r="461">
      <c r="A461" s="265" t="str">
        <f>IFERROR(__xludf.DUMMYFUNCTION("""COMPUTED_VALUE"""),"753")</f>
        <v>753</v>
      </c>
      <c r="B461" s="265" t="str">
        <f>IFERROR(__xludf.DUMMYFUNCTION("""COMPUTED_VALUE"""),"Sài Gòn")</f>
        <v>Sài Gòn</v>
      </c>
      <c r="C461" s="265" t="str">
        <f>IFERROR(__xludf.DUMMYFUNCTION("""COMPUTED_VALUE"""),"Locked")</f>
        <v>Locked</v>
      </c>
      <c r="D461" s="265" t="str">
        <f>IFERROR(__xludf.DUMMYFUNCTION("""COMPUTED_VALUE"""),"Giáo dục &amp; Đào tạo")</f>
        <v>Giáo dục &amp; Đào tạo</v>
      </c>
      <c r="E461" s="265" t="str">
        <f>IFERROR(__xludf.DUMMYFUNCTION("""COMPUTED_VALUE"""),"HoaNTM")</f>
        <v>HoaNTM</v>
      </c>
      <c r="F461" s="265" t="str">
        <f>IFERROR(__xludf.DUMMYFUNCTION("""COMPUTED_VALUE"""),"Bronze")</f>
        <v>Bronze</v>
      </c>
      <c r="G461" s="265" t="str">
        <f>IFERROR(__xludf.DUMMYFUNCTION("""COMPUTED_VALUE"""),"Starter")</f>
        <v>Starter</v>
      </c>
      <c r="H461" s="265" t="str">
        <f>IFERROR(__xludf.DUMMYFUNCTION("""COMPUTED_VALUE"""),"(Chưa recheck)")</f>
        <v>(Chưa recheck)</v>
      </c>
      <c r="I461" s="265" t="str">
        <f>IFERROR(__xludf.DUMMYFUNCTION("""COMPUTED_VALUE"""),"API &amp; Portal")</f>
        <v>API &amp; Portal</v>
      </c>
      <c r="J461" s="265" t="str">
        <f>IFERROR(__xludf.DUMMYFUNCTION("""COMPUTED_VALUE"""),"GapOne")</f>
        <v>GapOne</v>
      </c>
      <c r="K461" s="265" t="str">
        <f>IFERROR(__xludf.DUMMYFUNCTION("""COMPUTED_VALUE"""),"AnhNM")</f>
        <v>AnhNM</v>
      </c>
    </row>
    <row r="462">
      <c r="A462" s="265" t="str">
        <f>IFERROR(__xludf.DUMMYFUNCTION("""COMPUTED_VALUE"""),"755")</f>
        <v>755</v>
      </c>
      <c r="B462" s="265" t="str">
        <f>IFERROR(__xludf.DUMMYFUNCTION("""COMPUTED_VALUE"""),"Sài Gòn")</f>
        <v>Sài Gòn</v>
      </c>
      <c r="C462" s="265" t="str">
        <f>IFERROR(__xludf.DUMMYFUNCTION("""COMPUTED_VALUE"""),"Locked")</f>
        <v>Locked</v>
      </c>
      <c r="D462" s="265" t="str">
        <f>IFERROR(__xludf.DUMMYFUNCTION("""COMPUTED_VALUE"""),"Sale chưa cung cấp")</f>
        <v>Sale chưa cung cấp</v>
      </c>
      <c r="E462" s="265" t="str">
        <f>IFERROR(__xludf.DUMMYFUNCTION("""COMPUTED_VALUE"""),"TuVTC")</f>
        <v>TuVTC</v>
      </c>
      <c r="F462" s="265" t="str">
        <f>IFERROR(__xludf.DUMMYFUNCTION("""COMPUTED_VALUE"""),"Bronze")</f>
        <v>Bronze</v>
      </c>
      <c r="G462" s="265" t="str">
        <f>IFERROR(__xludf.DUMMYFUNCTION("""COMPUTED_VALUE"""),"API")</f>
        <v>API</v>
      </c>
      <c r="H462" s="265" t="str">
        <f>IFERROR(__xludf.DUMMYFUNCTION("""COMPUTED_VALUE"""),"Trả trước")</f>
        <v>Trả trước</v>
      </c>
      <c r="I462" s="265" t="str">
        <f>IFERROR(__xludf.DUMMYFUNCTION("""COMPUTED_VALUE"""),"API")</f>
        <v>API</v>
      </c>
      <c r="J462" s="265" t="str">
        <f>IFERROR(__xludf.DUMMYFUNCTION("""COMPUTED_VALUE"""),"SMS CSKH")</f>
        <v>SMS CSKH</v>
      </c>
      <c r="K462" s="265" t="str">
        <f>IFERROR(__xludf.DUMMYFUNCTION("""COMPUTED_VALUE"""),"TuVTC")</f>
        <v>TuVTC</v>
      </c>
    </row>
    <row r="463">
      <c r="A463" s="265" t="str">
        <f>IFERROR(__xludf.DUMMYFUNCTION("""COMPUTED_VALUE"""),"756")</f>
        <v>756</v>
      </c>
      <c r="B463" s="265" t="str">
        <f>IFERROR(__xludf.DUMMYFUNCTION("""COMPUTED_VALUE"""),"Sài Gòn")</f>
        <v>Sài Gòn</v>
      </c>
      <c r="C463" s="265" t="str">
        <f>IFERROR(__xludf.DUMMYFUNCTION("""COMPUTED_VALUE"""),"Locked")</f>
        <v>Locked</v>
      </c>
      <c r="D463" s="265" t="str">
        <f>IFERROR(__xludf.DUMMYFUNCTION("""COMPUTED_VALUE"""),"Du lịch &amp; Lưu trú")</f>
        <v>Du lịch &amp; Lưu trú</v>
      </c>
      <c r="E463" s="265" t="str">
        <f>IFERROR(__xludf.DUMMYFUNCTION("""COMPUTED_VALUE"""),"HoaNTM")</f>
        <v>HoaNTM</v>
      </c>
      <c r="F463" s="265" t="str">
        <f>IFERROR(__xludf.DUMMYFUNCTION("""COMPUTED_VALUE"""),"Sale chưa cung cấp")</f>
        <v>Sale chưa cung cấp</v>
      </c>
      <c r="G463" s="265" t="str">
        <f>IFERROR(__xludf.DUMMYFUNCTION("""COMPUTED_VALUE"""),"Starter")</f>
        <v>Starter</v>
      </c>
      <c r="H463" s="265" t="str">
        <f>IFERROR(__xludf.DUMMYFUNCTION("""COMPUTED_VALUE"""),"(Chưa recheck)")</f>
        <v>(Chưa recheck)</v>
      </c>
      <c r="I463" s="265" t="str">
        <f>IFERROR(__xludf.DUMMYFUNCTION("""COMPUTED_VALUE"""),"Portal")</f>
        <v>Portal</v>
      </c>
      <c r="J463" s="265" t="str">
        <f>IFERROR(__xludf.DUMMYFUNCTION("""COMPUTED_VALUE"""),"GapOne")</f>
        <v>GapOne</v>
      </c>
      <c r="K463" s="265" t="str">
        <f>IFERROR(__xludf.DUMMYFUNCTION("""COMPUTED_VALUE"""),"AnhNM")</f>
        <v>AnhNM</v>
      </c>
    </row>
    <row r="464">
      <c r="A464" s="265" t="str">
        <f>IFERROR(__xludf.DUMMYFUNCTION("""COMPUTED_VALUE"""),"758")</f>
        <v>758</v>
      </c>
      <c r="B464" s="265" t="str">
        <f>IFERROR(__xludf.DUMMYFUNCTION("""COMPUTED_VALUE"""),"Hà Nội")</f>
        <v>Hà Nội</v>
      </c>
      <c r="C464" s="265" t="str">
        <f>IFERROR(__xludf.DUMMYFUNCTION("""COMPUTED_VALUE"""),"Active")</f>
        <v>Active</v>
      </c>
      <c r="D464" s="265" t="str">
        <f>IFERROR(__xludf.DUMMYFUNCTION("""COMPUTED_VALUE"""),"Giáo dục &amp; Đào tạo")</f>
        <v>Giáo dục &amp; Đào tạo</v>
      </c>
      <c r="E464" s="265" t="str">
        <f>IFERROR(__xludf.DUMMYFUNCTION("""COMPUTED_VALUE"""),"TùngLD")</f>
        <v>TùngLD</v>
      </c>
      <c r="F464" s="265" t="str">
        <f>IFERROR(__xludf.DUMMYFUNCTION("""COMPUTED_VALUE"""),"Silver")</f>
        <v>Silver</v>
      </c>
      <c r="G464" s="265" t="str">
        <f>IFERROR(__xludf.DUMMYFUNCTION("""COMPUTED_VALUE"""),"Premium")</f>
        <v>Premium</v>
      </c>
      <c r="H464" s="265" t="str">
        <f>IFERROR(__xludf.DUMMYFUNCTION("""COMPUTED_VALUE"""),"Trả sau")</f>
        <v>Trả sau</v>
      </c>
      <c r="I464" s="265" t="str">
        <f>IFERROR(__xludf.DUMMYFUNCTION("""COMPUTED_VALUE"""),"API &amp; Portal")</f>
        <v>API &amp; Portal</v>
      </c>
      <c r="J464" s="265" t="str">
        <f>IFERROR(__xludf.DUMMYFUNCTION("""COMPUTED_VALUE"""),"Zalo ZNS")</f>
        <v>Zalo ZNS</v>
      </c>
      <c r="K464" s="265" t="str">
        <f>IFERROR(__xludf.DUMMYFUNCTION("""COMPUTED_VALUE"""),"DungPL")</f>
        <v>DungPL</v>
      </c>
    </row>
    <row r="465">
      <c r="A465" s="265" t="str">
        <f>IFERROR(__xludf.DUMMYFUNCTION("""COMPUTED_VALUE"""),"759")</f>
        <v>759</v>
      </c>
      <c r="B465" s="265" t="str">
        <f>IFERROR(__xludf.DUMMYFUNCTION("""COMPUTED_VALUE"""),"Sài Gòn")</f>
        <v>Sài Gòn</v>
      </c>
      <c r="C465" s="265" t="str">
        <f>IFERROR(__xludf.DUMMYFUNCTION("""COMPUTED_VALUE"""),"Locked")</f>
        <v>Locked</v>
      </c>
      <c r="D465" s="265" t="str">
        <f>IFERROR(__xludf.DUMMYFUNCTION("""COMPUTED_VALUE"""),"Thực phẩm &amp; Đồ uống")</f>
        <v>Thực phẩm &amp; Đồ uống</v>
      </c>
      <c r="E465" s="265" t="str">
        <f>IFERROR(__xludf.DUMMYFUNCTION("""COMPUTED_VALUE"""),"HoaNTM")</f>
        <v>HoaNTM</v>
      </c>
      <c r="F465" s="265" t="str">
        <f>IFERROR(__xludf.DUMMYFUNCTION("""COMPUTED_VALUE"""),"Sale chưa cung cấp")</f>
        <v>Sale chưa cung cấp</v>
      </c>
      <c r="G465" s="265" t="str">
        <f>IFERROR(__xludf.DUMMYFUNCTION("""COMPUTED_VALUE"""),"Enterprise")</f>
        <v>Enterprise</v>
      </c>
      <c r="H465" s="265" t="str">
        <f>IFERROR(__xludf.DUMMYFUNCTION("""COMPUTED_VALUE"""),"Trả sau")</f>
        <v>Trả sau</v>
      </c>
      <c r="I465" s="265" t="str">
        <f>IFERROR(__xludf.DUMMYFUNCTION("""COMPUTED_VALUE"""),"API &amp; Portal")</f>
        <v>API &amp; Portal</v>
      </c>
      <c r="J465" s="265" t="str">
        <f>IFERROR(__xludf.DUMMYFUNCTION("""COMPUTED_VALUE"""),"GapOne")</f>
        <v>GapOne</v>
      </c>
      <c r="K465" s="265" t="str">
        <f>IFERROR(__xludf.DUMMYFUNCTION("""COMPUTED_VALUE"""),"TuVTC")</f>
        <v>TuVTC</v>
      </c>
    </row>
    <row r="466">
      <c r="A466" s="265" t="str">
        <f>IFERROR(__xludf.DUMMYFUNCTION("""COMPUTED_VALUE"""),"762")</f>
        <v>762</v>
      </c>
      <c r="B466" s="265" t="str">
        <f>IFERROR(__xludf.DUMMYFUNCTION("""COMPUTED_VALUE"""),"Sài Gòn")</f>
        <v>Sài Gòn</v>
      </c>
      <c r="C466" s="265" t="str">
        <f>IFERROR(__xludf.DUMMYFUNCTION("""COMPUTED_VALUE"""),"Locked")</f>
        <v>Locked</v>
      </c>
      <c r="D466" s="265" t="str">
        <f>IFERROR(__xludf.DUMMYFUNCTION("""COMPUTED_VALUE"""),"Thực phẩm &amp; Đồ uống")</f>
        <v>Thực phẩm &amp; Đồ uống</v>
      </c>
      <c r="E466" s="265" t="str">
        <f>IFERROR(__xludf.DUMMYFUNCTION("""COMPUTED_VALUE"""),"HoaNTM")</f>
        <v>HoaNTM</v>
      </c>
      <c r="F466" s="265" t="str">
        <f>IFERROR(__xludf.DUMMYFUNCTION("""COMPUTED_VALUE"""),"Sale chưa cung cấp")</f>
        <v>Sale chưa cung cấp</v>
      </c>
      <c r="G466" s="265" t="str">
        <f>IFERROR(__xludf.DUMMYFUNCTION("""COMPUTED_VALUE"""),"Enterprise")</f>
        <v>Enterprise</v>
      </c>
      <c r="H466" s="265" t="str">
        <f>IFERROR(__xludf.DUMMYFUNCTION("""COMPUTED_VALUE"""),"Trả sau")</f>
        <v>Trả sau</v>
      </c>
      <c r="I466" s="265" t="str">
        <f>IFERROR(__xludf.DUMMYFUNCTION("""COMPUTED_VALUE"""),"API &amp; Portal")</f>
        <v>API &amp; Portal</v>
      </c>
      <c r="J466" s="265" t="str">
        <f>IFERROR(__xludf.DUMMYFUNCTION("""COMPUTED_VALUE"""),"GapOne")</f>
        <v>GapOne</v>
      </c>
      <c r="K466" s="265" t="str">
        <f>IFERROR(__xludf.DUMMYFUNCTION("""COMPUTED_VALUE"""),"LinhNTT1")</f>
        <v>LinhNTT1</v>
      </c>
    </row>
    <row r="467">
      <c r="A467" s="265" t="str">
        <f>IFERROR(__xludf.DUMMYFUNCTION("""COMPUTED_VALUE"""),"749")</f>
        <v>749</v>
      </c>
      <c r="B467" s="265" t="str">
        <f>IFERROR(__xludf.DUMMYFUNCTION("""COMPUTED_VALUE"""),"Sài Gòn")</f>
        <v>Sài Gòn</v>
      </c>
      <c r="C467" s="265" t="str">
        <f>IFERROR(__xludf.DUMMYFUNCTION("""COMPUTED_VALUE"""),"Active")</f>
        <v>Active</v>
      </c>
      <c r="D467" s="265" t="str">
        <f>IFERROR(__xludf.DUMMYFUNCTION("""COMPUTED_VALUE"""),"Vận tải &amp; logistics")</f>
        <v>Vận tải &amp; logistics</v>
      </c>
      <c r="E467" s="265" t="str">
        <f>IFERROR(__xludf.DUMMYFUNCTION("""COMPUTED_VALUE"""),"AnhNM")</f>
        <v>AnhNM</v>
      </c>
      <c r="F467" s="265" t="str">
        <f>IFERROR(__xludf.DUMMYFUNCTION("""COMPUTED_VALUE"""),"Silver")</f>
        <v>Silver</v>
      </c>
      <c r="G467" s="265" t="str">
        <f>IFERROR(__xludf.DUMMYFUNCTION("""COMPUTED_VALUE"""),"Enterprise")</f>
        <v>Enterprise</v>
      </c>
      <c r="H467" s="265" t="str">
        <f>IFERROR(__xludf.DUMMYFUNCTION("""COMPUTED_VALUE"""),"Trả trước")</f>
        <v>Trả trước</v>
      </c>
      <c r="I467" s="265" t="str">
        <f>IFERROR(__xludf.DUMMYFUNCTION("""COMPUTED_VALUE"""),"API &amp; Portal")</f>
        <v>API &amp; Portal</v>
      </c>
      <c r="J467" s="265" t="str">
        <f>IFERROR(__xludf.DUMMYFUNCTION("""COMPUTED_VALUE"""),"Zalo ZNS")</f>
        <v>Zalo ZNS</v>
      </c>
      <c r="K467" s="265" t="str">
        <f>IFERROR(__xludf.DUMMYFUNCTION("""COMPUTED_VALUE"""),"LinhNTT1")</f>
        <v>LinhNTT1</v>
      </c>
    </row>
    <row r="468">
      <c r="A468" s="265" t="str">
        <f>IFERROR(__xludf.DUMMYFUNCTION("""COMPUTED_VALUE"""),"None 6")</f>
        <v>None 6</v>
      </c>
      <c r="B468" s="265" t="str">
        <f>IFERROR(__xludf.DUMMYFUNCTION("""COMPUTED_VALUE"""),"Hà Nội")</f>
        <v>Hà Nội</v>
      </c>
      <c r="C468" s="265" t="str">
        <f>IFERROR(__xludf.DUMMYFUNCTION("""COMPUTED_VALUE"""),"Active")</f>
        <v>Active</v>
      </c>
      <c r="D468" s="265" t="str">
        <f>IFERROR(__xludf.DUMMYFUNCTION("""COMPUTED_VALUE"""),"Công nghệ &amp; Phần mềm")</f>
        <v>Công nghệ &amp; Phần mềm</v>
      </c>
      <c r="E468" s="265" t="str">
        <f>IFERROR(__xludf.DUMMYFUNCTION("""COMPUTED_VALUE"""),"TùngLD")</f>
        <v>TùngLD</v>
      </c>
      <c r="F468" s="265" t="str">
        <f>IFERROR(__xludf.DUMMYFUNCTION("""COMPUTED_VALUE"""),"Diamond")</f>
        <v>Diamond</v>
      </c>
      <c r="G468" s="265" t="str">
        <f>IFERROR(__xludf.DUMMYFUNCTION("""COMPUTED_VALUE"""),"Starter")</f>
        <v>Starter</v>
      </c>
      <c r="H468" s="265" t="str">
        <f>IFERROR(__xludf.DUMMYFUNCTION("""COMPUTED_VALUE"""),"Trả sau")</f>
        <v>Trả sau</v>
      </c>
      <c r="I468" s="265" t="str">
        <f>IFERROR(__xludf.DUMMYFUNCTION("""COMPUTED_VALUE"""),"API")</f>
        <v>API</v>
      </c>
      <c r="J468" s="265" t="str">
        <f>IFERROR(__xludf.DUMMYFUNCTION("""COMPUTED_VALUE"""),"Zalo ZNS")</f>
        <v>Zalo ZNS</v>
      </c>
      <c r="K468" s="265" t="str">
        <f>IFERROR(__xludf.DUMMYFUNCTION("""COMPUTED_VALUE"""),"DungPL")</f>
        <v>DungPL</v>
      </c>
    </row>
    <row r="469">
      <c r="A469" s="265" t="str">
        <f>IFERROR(__xludf.DUMMYFUNCTION("""COMPUTED_VALUE"""),"760")</f>
        <v>760</v>
      </c>
      <c r="B469" s="265" t="str">
        <f>IFERROR(__xludf.DUMMYFUNCTION("""COMPUTED_VALUE"""),"Sài Gòn")</f>
        <v>Sài Gòn</v>
      </c>
      <c r="C469" s="265" t="str">
        <f>IFERROR(__xludf.DUMMYFUNCTION("""COMPUTED_VALUE"""),"Locked")</f>
        <v>Locked</v>
      </c>
      <c r="D469" s="265" t="str">
        <f>IFERROR(__xludf.DUMMYFUNCTION("""COMPUTED_VALUE"""),"Thực phẩm &amp; Đồ uống")</f>
        <v>Thực phẩm &amp; Đồ uống</v>
      </c>
      <c r="E469" s="265" t="str">
        <f>IFERROR(__xludf.DUMMYFUNCTION("""COMPUTED_VALUE"""),"HoaNTM")</f>
        <v>HoaNTM</v>
      </c>
      <c r="F469" s="265" t="str">
        <f>IFERROR(__xludf.DUMMYFUNCTION("""COMPUTED_VALUE"""),"Diamond")</f>
        <v>Diamond</v>
      </c>
      <c r="G469" s="265" t="str">
        <f>IFERROR(__xludf.DUMMYFUNCTION("""COMPUTED_VALUE"""),"MSG")</f>
        <v>MSG</v>
      </c>
      <c r="H469" s="265" t="str">
        <f>IFERROR(__xludf.DUMMYFUNCTION("""COMPUTED_VALUE"""),"Trả trước")</f>
        <v>Trả trước</v>
      </c>
      <c r="I469" s="265" t="str">
        <f>IFERROR(__xludf.DUMMYFUNCTION("""COMPUTED_VALUE"""),"Portal")</f>
        <v>Portal</v>
      </c>
      <c r="J469" s="265" t="str">
        <f>IFERROR(__xludf.DUMMYFUNCTION("""COMPUTED_VALUE"""),"SMS CSKH")</f>
        <v>SMS CSKH</v>
      </c>
      <c r="K469" s="265" t="str">
        <f>IFERROR(__xludf.DUMMYFUNCTION("""COMPUTED_VALUE"""),"TuVTC")</f>
        <v>TuVTC</v>
      </c>
    </row>
    <row r="470">
      <c r="A470" s="265" t="str">
        <f>IFERROR(__xludf.DUMMYFUNCTION("""COMPUTED_VALUE"""),"763")</f>
        <v>763</v>
      </c>
      <c r="B470" s="265" t="str">
        <f>IFERROR(__xludf.DUMMYFUNCTION("""COMPUTED_VALUE"""),"Sài Gòn")</f>
        <v>Sài Gòn</v>
      </c>
      <c r="C470" s="265" t="str">
        <f>IFERROR(__xludf.DUMMYFUNCTION("""COMPUTED_VALUE"""),"Locked")</f>
        <v>Locked</v>
      </c>
      <c r="D470" s="265" t="str">
        <f>IFERROR(__xludf.DUMMYFUNCTION("""COMPUTED_VALUE"""),"Sale chưa cung cấp")</f>
        <v>Sale chưa cung cấp</v>
      </c>
      <c r="E470" s="265" t="str">
        <f>IFERROR(__xludf.DUMMYFUNCTION("""COMPUTED_VALUE"""),"HoaNTM")</f>
        <v>HoaNTM</v>
      </c>
      <c r="F470" s="265" t="str">
        <f>IFERROR(__xludf.DUMMYFUNCTION("""COMPUTED_VALUE"""),"Sale chưa cung cấp")</f>
        <v>Sale chưa cung cấp</v>
      </c>
      <c r="G470" s="265" t="str">
        <f>IFERROR(__xludf.DUMMYFUNCTION("""COMPUTED_VALUE"""),"Starter")</f>
        <v>Starter</v>
      </c>
      <c r="H470" s="265" t="str">
        <f>IFERROR(__xludf.DUMMYFUNCTION("""COMPUTED_VALUE"""),"Trial")</f>
        <v>Trial</v>
      </c>
      <c r="I470" s="265" t="str">
        <f>IFERROR(__xludf.DUMMYFUNCTION("""COMPUTED_VALUE"""),"API &amp; Portal")</f>
        <v>API &amp; Portal</v>
      </c>
      <c r="J470" s="265" t="str">
        <f>IFERROR(__xludf.DUMMYFUNCTION("""COMPUTED_VALUE"""),"GapOne")</f>
        <v>GapOne</v>
      </c>
      <c r="K470" s="265" t="str">
        <f>IFERROR(__xludf.DUMMYFUNCTION("""COMPUTED_VALUE"""),"(Không recheck)")</f>
        <v>(Không recheck)</v>
      </c>
    </row>
    <row r="471">
      <c r="A471" s="265" t="str">
        <f>IFERROR(__xludf.DUMMYFUNCTION("""COMPUTED_VALUE"""),"764")</f>
        <v>764</v>
      </c>
      <c r="B471" s="265" t="str">
        <f>IFERROR(__xludf.DUMMYFUNCTION("""COMPUTED_VALUE"""),"Sài Gòn")</f>
        <v>Sài Gòn</v>
      </c>
      <c r="C471" s="265" t="str">
        <f>IFERROR(__xludf.DUMMYFUNCTION("""COMPUTED_VALUE"""),"Active")</f>
        <v>Active</v>
      </c>
      <c r="D471" s="265" t="str">
        <f>IFERROR(__xludf.DUMMYFUNCTION("""COMPUTED_VALUE"""),"Sale chưa cung cấp")</f>
        <v>Sale chưa cung cấp</v>
      </c>
      <c r="E471" s="265" t="str">
        <f>IFERROR(__xludf.DUMMYFUNCTION("""COMPUTED_VALUE"""),"Không phân công")</f>
        <v>Không phân công</v>
      </c>
      <c r="F471" s="265" t="str">
        <f>IFERROR(__xludf.DUMMYFUNCTION("""COMPUTED_VALUE"""),"Bronze")</f>
        <v>Bronze</v>
      </c>
      <c r="G471" s="265" t="str">
        <f>IFERROR(__xludf.DUMMYFUNCTION("""COMPUTED_VALUE"""),"Starter")</f>
        <v>Starter</v>
      </c>
      <c r="H471" s="265" t="str">
        <f>IFERROR(__xludf.DUMMYFUNCTION("""COMPUTED_VALUE"""),"Trả sau")</f>
        <v>Trả sau</v>
      </c>
      <c r="I471" s="265" t="str">
        <f>IFERROR(__xludf.DUMMYFUNCTION("""COMPUTED_VALUE"""),"API &amp; Portal")</f>
        <v>API &amp; Portal</v>
      </c>
      <c r="J471" s="265" t="str">
        <f>IFERROR(__xludf.DUMMYFUNCTION("""COMPUTED_VALUE"""),"SMS CSKH")</f>
        <v>SMS CSKH</v>
      </c>
      <c r="K471" s="265" t="str">
        <f>IFERROR(__xludf.DUMMYFUNCTION("""COMPUTED_VALUE"""),"LinhNTT1")</f>
        <v>LinhNTT1</v>
      </c>
    </row>
    <row r="472">
      <c r="A472" s="265" t="str">
        <f>IFERROR(__xludf.DUMMYFUNCTION("""COMPUTED_VALUE"""),"765")</f>
        <v>765</v>
      </c>
      <c r="B472" s="265" t="str">
        <f>IFERROR(__xludf.DUMMYFUNCTION("""COMPUTED_VALUE"""),"Sài Gòn")</f>
        <v>Sài Gòn</v>
      </c>
      <c r="C472" s="265" t="str">
        <f>IFERROR(__xludf.DUMMYFUNCTION("""COMPUTED_VALUE"""),"Active")</f>
        <v>Active</v>
      </c>
      <c r="D472" s="265" t="str">
        <f>IFERROR(__xludf.DUMMYFUNCTION("""COMPUTED_VALUE"""),"Du lịch &amp; Lưu trú")</f>
        <v>Du lịch &amp; Lưu trú</v>
      </c>
      <c r="E472" s="265" t="str">
        <f>IFERROR(__xludf.DUMMYFUNCTION("""COMPUTED_VALUE"""),"Không phân công")</f>
        <v>Không phân công</v>
      </c>
      <c r="F472" s="265" t="str">
        <f>IFERROR(__xludf.DUMMYFUNCTION("""COMPUTED_VALUE"""),"Bronze")</f>
        <v>Bronze</v>
      </c>
      <c r="G472" s="265" t="str">
        <f>IFERROR(__xludf.DUMMYFUNCTION("""COMPUTED_VALUE"""),"Starter")</f>
        <v>Starter</v>
      </c>
      <c r="H472" s="265" t="str">
        <f>IFERROR(__xludf.DUMMYFUNCTION("""COMPUTED_VALUE"""),"Trả sau")</f>
        <v>Trả sau</v>
      </c>
      <c r="I472" s="265" t="str">
        <f>IFERROR(__xludf.DUMMYFUNCTION("""COMPUTED_VALUE"""),"Portal")</f>
        <v>Portal</v>
      </c>
      <c r="J472" s="265" t="str">
        <f>IFERROR(__xludf.DUMMYFUNCTION("""COMPUTED_VALUE"""),"SMS CSKH")</f>
        <v>SMS CSKH</v>
      </c>
      <c r="K472" s="265" t="str">
        <f>IFERROR(__xludf.DUMMYFUNCTION("""COMPUTED_VALUE"""),"LinhNTT1")</f>
        <v>LinhNTT1</v>
      </c>
    </row>
    <row r="473">
      <c r="A473" s="265" t="str">
        <f>IFERROR(__xludf.DUMMYFUNCTION("""COMPUTED_VALUE"""),"766")</f>
        <v>766</v>
      </c>
      <c r="B473" s="265" t="str">
        <f>IFERROR(__xludf.DUMMYFUNCTION("""COMPUTED_VALUE"""),"Hà Nội")</f>
        <v>Hà Nội</v>
      </c>
      <c r="C473" s="265" t="str">
        <f>IFERROR(__xludf.DUMMYFUNCTION("""COMPUTED_VALUE"""),"Locked")</f>
        <v>Locked</v>
      </c>
      <c r="D473" s="265" t="str">
        <f>IFERROR(__xludf.DUMMYFUNCTION("""COMPUTED_VALUE"""),"Y tế &amp; Dược phẩm")</f>
        <v>Y tế &amp; Dược phẩm</v>
      </c>
      <c r="E473" s="265" t="str">
        <f>IFERROR(__xludf.DUMMYFUNCTION("""COMPUTED_VALUE"""),"TúPHN")</f>
        <v>TúPHN</v>
      </c>
      <c r="F473" s="265" t="str">
        <f>IFERROR(__xludf.DUMMYFUNCTION("""COMPUTED_VALUE"""),"Silver")</f>
        <v>Silver</v>
      </c>
      <c r="G473" s="265" t="str">
        <f>IFERROR(__xludf.DUMMYFUNCTION("""COMPUTED_VALUE"""),"Standard")</f>
        <v>Standard</v>
      </c>
      <c r="H473" s="265" t="str">
        <f>IFERROR(__xludf.DUMMYFUNCTION("""COMPUTED_VALUE"""),"Trả sau")</f>
        <v>Trả sau</v>
      </c>
      <c r="I473" s="265" t="str">
        <f>IFERROR(__xludf.DUMMYFUNCTION("""COMPUTED_VALUE"""),"API")</f>
        <v>API</v>
      </c>
      <c r="J473" s="265" t="str">
        <f>IFERROR(__xludf.DUMMYFUNCTION("""COMPUTED_VALUE"""),"SMS CSKH")</f>
        <v>SMS CSKH</v>
      </c>
      <c r="K473" s="265" t="str">
        <f>IFERROR(__xludf.DUMMYFUNCTION("""COMPUTED_VALUE"""),"YếnĐH")</f>
        <v>YếnĐH</v>
      </c>
    </row>
    <row r="474">
      <c r="A474" s="265" t="str">
        <f>IFERROR(__xludf.DUMMYFUNCTION("""COMPUTED_VALUE"""),"767")</f>
        <v>767</v>
      </c>
      <c r="B474" s="265" t="str">
        <f>IFERROR(__xludf.DUMMYFUNCTION("""COMPUTED_VALUE"""),"Hà Nội")</f>
        <v>Hà Nội</v>
      </c>
      <c r="C474" s="265" t="str">
        <f>IFERROR(__xludf.DUMMYFUNCTION("""COMPUTED_VALUE"""),"Locked")</f>
        <v>Locked</v>
      </c>
      <c r="D474" s="265" t="str">
        <f>IFERROR(__xludf.DUMMYFUNCTION("""COMPUTED_VALUE"""),"Vận tải &amp; logistics")</f>
        <v>Vận tải &amp; logistics</v>
      </c>
      <c r="E474" s="265" t="str">
        <f>IFERROR(__xludf.DUMMYFUNCTION("""COMPUTED_VALUE"""),"PhươngDTB")</f>
        <v>PhươngDTB</v>
      </c>
      <c r="F474" s="265" t="str">
        <f>IFERROR(__xludf.DUMMYFUNCTION("""COMPUTED_VALUE"""),"Sale chưa cung cấp")</f>
        <v>Sale chưa cung cấp</v>
      </c>
      <c r="G474" s="265" t="str">
        <f>IFERROR(__xludf.DUMMYFUNCTION("""COMPUTED_VALUE"""),"Starter")</f>
        <v>Starter</v>
      </c>
      <c r="H474" s="265" t="str">
        <f>IFERROR(__xludf.DUMMYFUNCTION("""COMPUTED_VALUE"""),"Trả trước")</f>
        <v>Trả trước</v>
      </c>
      <c r="I474" s="265" t="str">
        <f>IFERROR(__xludf.DUMMYFUNCTION("""COMPUTED_VALUE"""),"Portal")</f>
        <v>Portal</v>
      </c>
      <c r="J474" s="265" t="str">
        <f>IFERROR(__xludf.DUMMYFUNCTION("""COMPUTED_VALUE"""),"Zalo ZNS")</f>
        <v>Zalo ZNS</v>
      </c>
      <c r="K474" s="265" t="str">
        <f>IFERROR(__xludf.DUMMYFUNCTION("""COMPUTED_VALUE"""),"(Chưa recheck)")</f>
        <v>(Chưa recheck)</v>
      </c>
    </row>
    <row r="475">
      <c r="A475" s="265" t="str">
        <f>IFERROR(__xludf.DUMMYFUNCTION("""COMPUTED_VALUE"""),"769")</f>
        <v>769</v>
      </c>
      <c r="B475" s="265" t="str">
        <f>IFERROR(__xludf.DUMMYFUNCTION("""COMPUTED_VALUE"""),"Hà Nội")</f>
        <v>Hà Nội</v>
      </c>
      <c r="C475" s="265" t="str">
        <f>IFERROR(__xludf.DUMMYFUNCTION("""COMPUTED_VALUE"""),"Locked")</f>
        <v>Locked</v>
      </c>
      <c r="D475" s="265" t="str">
        <f>IFERROR(__xludf.DUMMYFUNCTION("""COMPUTED_VALUE"""),"Công nghệ &amp; Phần mềm")</f>
        <v>Công nghệ &amp; Phần mềm</v>
      </c>
      <c r="E475" s="265" t="str">
        <f>IFERROR(__xludf.DUMMYFUNCTION("""COMPUTED_VALUE"""),"DungDT")</f>
        <v>DungDT</v>
      </c>
      <c r="F475" s="265" t="str">
        <f>IFERROR(__xludf.DUMMYFUNCTION("""COMPUTED_VALUE"""),"Sale chưa cung cấp")</f>
        <v>Sale chưa cung cấp</v>
      </c>
      <c r="G475" s="265" t="str">
        <f>IFERROR(__xludf.DUMMYFUNCTION("""COMPUTED_VALUE"""),"Premium")</f>
        <v>Premium</v>
      </c>
      <c r="H475" s="265" t="str">
        <f>IFERROR(__xludf.DUMMYFUNCTION("""COMPUTED_VALUE"""),"Trial")</f>
        <v>Trial</v>
      </c>
      <c r="I475" s="265" t="str">
        <f>IFERROR(__xludf.DUMMYFUNCTION("""COMPUTED_VALUE"""),"(Không recheck)")</f>
        <v>(Không recheck)</v>
      </c>
      <c r="J475" s="265" t="str">
        <f>IFERROR(__xludf.DUMMYFUNCTION("""COMPUTED_VALUE"""),"(Không recheck)")</f>
        <v>(Không recheck)</v>
      </c>
      <c r="K475" s="265" t="str">
        <f>IFERROR(__xludf.DUMMYFUNCTION("""COMPUTED_VALUE"""),"(Không recheck)")</f>
        <v>(Không recheck)</v>
      </c>
    </row>
    <row r="476">
      <c r="A476" s="265" t="str">
        <f>IFERROR(__xludf.DUMMYFUNCTION("""COMPUTED_VALUE"""),"770")</f>
        <v>770</v>
      </c>
      <c r="B476" s="265" t="str">
        <f>IFERROR(__xludf.DUMMYFUNCTION("""COMPUTED_VALUE"""),"Sài Gòn")</f>
        <v>Sài Gòn</v>
      </c>
      <c r="C476" s="265" t="str">
        <f>IFERROR(__xludf.DUMMYFUNCTION("""COMPUTED_VALUE"""),"Locked")</f>
        <v>Locked</v>
      </c>
      <c r="D476" s="265" t="str">
        <f>IFERROR(__xludf.DUMMYFUNCTION("""COMPUTED_VALUE"""),"Thực phẩm &amp; Đồ uống")</f>
        <v>Thực phẩm &amp; Đồ uống</v>
      </c>
      <c r="E476" s="265" t="str">
        <f>IFERROR(__xludf.DUMMYFUNCTION("""COMPUTED_VALUE"""),"HoaNTM")</f>
        <v>HoaNTM</v>
      </c>
      <c r="F476" s="265" t="str">
        <f>IFERROR(__xludf.DUMMYFUNCTION("""COMPUTED_VALUE"""),"Diamond")</f>
        <v>Diamond</v>
      </c>
      <c r="G476" s="265" t="str">
        <f>IFERROR(__xludf.DUMMYFUNCTION("""COMPUTED_VALUE"""),"Starter")</f>
        <v>Starter</v>
      </c>
      <c r="H476" s="265" t="str">
        <f>IFERROR(__xludf.DUMMYFUNCTION("""COMPUTED_VALUE"""),"Trả sau")</f>
        <v>Trả sau</v>
      </c>
      <c r="I476" s="265" t="str">
        <f>IFERROR(__xludf.DUMMYFUNCTION("""COMPUTED_VALUE"""),"API &amp; Portal")</f>
        <v>API &amp; Portal</v>
      </c>
      <c r="J476" s="265" t="str">
        <f>IFERROR(__xludf.DUMMYFUNCTION("""COMPUTED_VALUE"""),"GapOne")</f>
        <v>GapOne</v>
      </c>
      <c r="K476" s="265" t="str">
        <f>IFERROR(__xludf.DUMMYFUNCTION("""COMPUTED_VALUE"""),"ThanhLT")</f>
        <v>ThanhLT</v>
      </c>
    </row>
    <row r="477">
      <c r="A477" s="265" t="str">
        <f>IFERROR(__xludf.DUMMYFUNCTION("""COMPUTED_VALUE"""),"771")</f>
        <v>771</v>
      </c>
      <c r="B477" s="265" t="str">
        <f>IFERROR(__xludf.DUMMYFUNCTION("""COMPUTED_VALUE"""),"Sài Gòn")</f>
        <v>Sài Gòn</v>
      </c>
      <c r="C477" s="265" t="str">
        <f>IFERROR(__xludf.DUMMYFUNCTION("""COMPUTED_VALUE"""),"Locked")</f>
        <v>Locked</v>
      </c>
      <c r="D477" s="265" t="str">
        <f>IFERROR(__xludf.DUMMYFUNCTION("""COMPUTED_VALUE"""),"Thực phẩm &amp; Đồ uống")</f>
        <v>Thực phẩm &amp; Đồ uống</v>
      </c>
      <c r="E477" s="265" t="str">
        <f>IFERROR(__xludf.DUMMYFUNCTION("""COMPUTED_VALUE"""),"TùngLD")</f>
        <v>TùngLD</v>
      </c>
      <c r="F477" s="265" t="str">
        <f>IFERROR(__xludf.DUMMYFUNCTION("""COMPUTED_VALUE"""),"Gold")</f>
        <v>Gold</v>
      </c>
      <c r="G477" s="265" t="str">
        <f>IFERROR(__xludf.DUMMYFUNCTION("""COMPUTED_VALUE"""),"Premium")</f>
        <v>Premium</v>
      </c>
      <c r="H477" s="265" t="str">
        <f>IFERROR(__xludf.DUMMYFUNCTION("""COMPUTED_VALUE"""),"Trả trước")</f>
        <v>Trả trước</v>
      </c>
      <c r="I477" s="265" t="str">
        <f>IFERROR(__xludf.DUMMYFUNCTION("""COMPUTED_VALUE"""),"API &amp; Portal")</f>
        <v>API &amp; Portal</v>
      </c>
      <c r="J477" s="265" t="str">
        <f>IFERROR(__xludf.DUMMYFUNCTION("""COMPUTED_VALUE"""),"Zalo ZNS")</f>
        <v>Zalo ZNS</v>
      </c>
      <c r="K477" s="265" t="str">
        <f>IFERROR(__xludf.DUMMYFUNCTION("""COMPUTED_VALUE"""),"AnhNM")</f>
        <v>AnhNM</v>
      </c>
    </row>
    <row r="478">
      <c r="A478" s="265" t="str">
        <f>IFERROR(__xludf.DUMMYFUNCTION("""COMPUTED_VALUE"""),"772")</f>
        <v>772</v>
      </c>
      <c r="B478" s="265" t="str">
        <f>IFERROR(__xludf.DUMMYFUNCTION("""COMPUTED_VALUE"""),"Sài Gòn")</f>
        <v>Sài Gòn</v>
      </c>
      <c r="C478" s="265" t="str">
        <f>IFERROR(__xludf.DUMMYFUNCTION("""COMPUTED_VALUE"""),"Locked")</f>
        <v>Locked</v>
      </c>
      <c r="D478" s="265" t="str">
        <f>IFERROR(__xludf.DUMMYFUNCTION("""COMPUTED_VALUE"""),"Sale chưa cung cấp")</f>
        <v>Sale chưa cung cấp</v>
      </c>
      <c r="E478" s="265" t="str">
        <f>IFERROR(__xludf.DUMMYFUNCTION("""COMPUTED_VALUE"""),"HoaNTM")</f>
        <v>HoaNTM</v>
      </c>
      <c r="F478" s="265" t="str">
        <f>IFERROR(__xludf.DUMMYFUNCTION("""COMPUTED_VALUE"""),"Sale chưa cung cấp")</f>
        <v>Sale chưa cung cấp</v>
      </c>
      <c r="G478" s="265" t="str">
        <f>IFERROR(__xludf.DUMMYFUNCTION("""COMPUTED_VALUE"""),"Premium")</f>
        <v>Premium</v>
      </c>
      <c r="H478" s="265" t="str">
        <f>IFERROR(__xludf.DUMMYFUNCTION("""COMPUTED_VALUE"""),"Trial")</f>
        <v>Trial</v>
      </c>
      <c r="I478" s="265" t="str">
        <f>IFERROR(__xludf.DUMMYFUNCTION("""COMPUTED_VALUE"""),"API &amp; Portal")</f>
        <v>API &amp; Portal</v>
      </c>
      <c r="J478" s="265" t="str">
        <f>IFERROR(__xludf.DUMMYFUNCTION("""COMPUTED_VALUE"""),"GapOne")</f>
        <v>GapOne</v>
      </c>
      <c r="K478" s="265" t="str">
        <f>IFERROR(__xludf.DUMMYFUNCTION("""COMPUTED_VALUE"""),"(Chưa recheck)")</f>
        <v>(Chưa recheck)</v>
      </c>
    </row>
    <row r="479">
      <c r="A479" s="265" t="str">
        <f>IFERROR(__xludf.DUMMYFUNCTION("""COMPUTED_VALUE"""),"773")</f>
        <v>773</v>
      </c>
      <c r="B479" s="265" t="str">
        <f>IFERROR(__xludf.DUMMYFUNCTION("""COMPUTED_VALUE"""),"Sài Gòn")</f>
        <v>Sài Gòn</v>
      </c>
      <c r="C479" s="265" t="str">
        <f>IFERROR(__xludf.DUMMYFUNCTION("""COMPUTED_VALUE"""),"Locked")</f>
        <v>Locked</v>
      </c>
      <c r="D479" s="265" t="str">
        <f>IFERROR(__xludf.DUMMYFUNCTION("""COMPUTED_VALUE"""),"Thực phẩm &amp; Đồ uống")</f>
        <v>Thực phẩm &amp; Đồ uống</v>
      </c>
      <c r="E479" s="265" t="str">
        <f>IFERROR(__xludf.DUMMYFUNCTION("""COMPUTED_VALUE"""),"Không phân công")</f>
        <v>Không phân công</v>
      </c>
      <c r="F479" s="265" t="str">
        <f>IFERROR(__xludf.DUMMYFUNCTION("""COMPUTED_VALUE"""),"Sale chưa cung cấp")</f>
        <v>Sale chưa cung cấp</v>
      </c>
      <c r="G479" s="265" t="str">
        <f>IFERROR(__xludf.DUMMYFUNCTION("""COMPUTED_VALUE"""),"Starter")</f>
        <v>Starter</v>
      </c>
      <c r="H479" s="265" t="str">
        <f>IFERROR(__xludf.DUMMYFUNCTION("""COMPUTED_VALUE"""),"Trả sau")</f>
        <v>Trả sau</v>
      </c>
      <c r="I479" s="265" t="str">
        <f>IFERROR(__xludf.DUMMYFUNCTION("""COMPUTED_VALUE"""),"Portal")</f>
        <v>Portal</v>
      </c>
      <c r="J479" s="265" t="str">
        <f>IFERROR(__xludf.DUMMYFUNCTION("""COMPUTED_VALUE"""),"SMS CSKH")</f>
        <v>SMS CSKH</v>
      </c>
      <c r="K479" s="265" t="str">
        <f>IFERROR(__xludf.DUMMYFUNCTION("""COMPUTED_VALUE"""),"LinhNTT1")</f>
        <v>LinhNTT1</v>
      </c>
    </row>
    <row r="480">
      <c r="A480" s="265" t="str">
        <f>IFERROR(__xludf.DUMMYFUNCTION("""COMPUTED_VALUE"""),"775")</f>
        <v>775</v>
      </c>
      <c r="B480" s="265" t="str">
        <f>IFERROR(__xludf.DUMMYFUNCTION("""COMPUTED_VALUE"""),"Sài Gòn")</f>
        <v>Sài Gòn</v>
      </c>
      <c r="C480" s="265" t="str">
        <f>IFERROR(__xludf.DUMMYFUNCTION("""COMPUTED_VALUE"""),"Active")</f>
        <v>Active</v>
      </c>
      <c r="D480" s="265" t="str">
        <f>IFERROR(__xludf.DUMMYFUNCTION("""COMPUTED_VALUE"""),"Du lịch &amp; Lưu trú")</f>
        <v>Du lịch &amp; Lưu trú</v>
      </c>
      <c r="E480" s="265" t="str">
        <f>IFERROR(__xludf.DUMMYFUNCTION("""COMPUTED_VALUE"""),"Không phân công")</f>
        <v>Không phân công</v>
      </c>
      <c r="F480" s="265" t="str">
        <f>IFERROR(__xludf.DUMMYFUNCTION("""COMPUTED_VALUE"""),"Bronze")</f>
        <v>Bronze</v>
      </c>
      <c r="G480" s="265" t="str">
        <f>IFERROR(__xludf.DUMMYFUNCTION("""COMPUTED_VALUE"""),"Starter")</f>
        <v>Starter</v>
      </c>
      <c r="H480" s="265" t="str">
        <f>IFERROR(__xludf.DUMMYFUNCTION("""COMPUTED_VALUE"""),"Trả sau")</f>
        <v>Trả sau</v>
      </c>
      <c r="I480" s="265" t="str">
        <f>IFERROR(__xludf.DUMMYFUNCTION("""COMPUTED_VALUE"""),"Portal")</f>
        <v>Portal</v>
      </c>
      <c r="J480" s="265" t="str">
        <f>IFERROR(__xludf.DUMMYFUNCTION("""COMPUTED_VALUE"""),"SMS CSKH")</f>
        <v>SMS CSKH</v>
      </c>
      <c r="K480" s="265" t="str">
        <f>IFERROR(__xludf.DUMMYFUNCTION("""COMPUTED_VALUE"""),"LinhNTT1")</f>
        <v>LinhNTT1</v>
      </c>
    </row>
    <row r="481">
      <c r="A481" s="265" t="str">
        <f>IFERROR(__xludf.DUMMYFUNCTION("""COMPUTED_VALUE"""),"776")</f>
        <v>776</v>
      </c>
      <c r="B481" s="265" t="str">
        <f>IFERROR(__xludf.DUMMYFUNCTION("""COMPUTED_VALUE"""),"Sài Gòn")</f>
        <v>Sài Gòn</v>
      </c>
      <c r="C481" s="265" t="str">
        <f>IFERROR(__xludf.DUMMYFUNCTION("""COMPUTED_VALUE"""),"Active")</f>
        <v>Active</v>
      </c>
      <c r="D481" s="265" t="str">
        <f>IFERROR(__xludf.DUMMYFUNCTION("""COMPUTED_VALUE"""),"Du lịch &amp; Lưu trú")</f>
        <v>Du lịch &amp; Lưu trú</v>
      </c>
      <c r="E481" s="265" t="str">
        <f>IFERROR(__xludf.DUMMYFUNCTION("""COMPUTED_VALUE"""),"Không phân công")</f>
        <v>Không phân công</v>
      </c>
      <c r="F481" s="265" t="str">
        <f>IFERROR(__xludf.DUMMYFUNCTION("""COMPUTED_VALUE"""),"Bronze")</f>
        <v>Bronze</v>
      </c>
      <c r="G481" s="265" t="str">
        <f>IFERROR(__xludf.DUMMYFUNCTION("""COMPUTED_VALUE"""),"Starter")</f>
        <v>Starter</v>
      </c>
      <c r="H481" s="265" t="str">
        <f>IFERROR(__xludf.DUMMYFUNCTION("""COMPUTED_VALUE"""),"Trả sau")</f>
        <v>Trả sau</v>
      </c>
      <c r="I481" s="265" t="str">
        <f>IFERROR(__xludf.DUMMYFUNCTION("""COMPUTED_VALUE"""),"Portal")</f>
        <v>Portal</v>
      </c>
      <c r="J481" s="265" t="str">
        <f>IFERROR(__xludf.DUMMYFUNCTION("""COMPUTED_VALUE"""),"SMS CSKH")</f>
        <v>SMS CSKH</v>
      </c>
      <c r="K481" s="265" t="str">
        <f>IFERROR(__xludf.DUMMYFUNCTION("""COMPUTED_VALUE"""),"LinhNTT1")</f>
        <v>LinhNTT1</v>
      </c>
    </row>
    <row r="482">
      <c r="A482" s="265" t="str">
        <f>IFERROR(__xludf.DUMMYFUNCTION("""COMPUTED_VALUE"""),"777")</f>
        <v>777</v>
      </c>
      <c r="B482" s="265" t="str">
        <f>IFERROR(__xludf.DUMMYFUNCTION("""COMPUTED_VALUE"""),"Hà Nội")</f>
        <v>Hà Nội</v>
      </c>
      <c r="C482" s="265" t="str">
        <f>IFERROR(__xludf.DUMMYFUNCTION("""COMPUTED_VALUE"""),"Locked")</f>
        <v>Locked</v>
      </c>
      <c r="D482" s="265" t="str">
        <f>IFERROR(__xludf.DUMMYFUNCTION("""COMPUTED_VALUE"""),"Dịch vụ khác")</f>
        <v>Dịch vụ khác</v>
      </c>
      <c r="E482" s="265" t="str">
        <f>IFERROR(__xludf.DUMMYFUNCTION("""COMPUTED_VALUE"""),"PhươngDTB")</f>
        <v>PhươngDTB</v>
      </c>
      <c r="F482" s="265" t="str">
        <f>IFERROR(__xludf.DUMMYFUNCTION("""COMPUTED_VALUE"""),"Sale chưa cung cấp")</f>
        <v>Sale chưa cung cấp</v>
      </c>
      <c r="G482" s="265" t="str">
        <f>IFERROR(__xludf.DUMMYFUNCTION("""COMPUTED_VALUE"""),"API")</f>
        <v>API</v>
      </c>
      <c r="H482" s="265" t="str">
        <f>IFERROR(__xludf.DUMMYFUNCTION("""COMPUTED_VALUE"""),"Trial")</f>
        <v>Trial</v>
      </c>
      <c r="I482" s="265" t="str">
        <f>IFERROR(__xludf.DUMMYFUNCTION("""COMPUTED_VALUE"""),"API")</f>
        <v>API</v>
      </c>
      <c r="J482" s="265" t="str">
        <f>IFERROR(__xludf.DUMMYFUNCTION("""COMPUTED_VALUE"""),"(Không recheck)")</f>
        <v>(Không recheck)</v>
      </c>
      <c r="K482" s="265" t="str">
        <f>IFERROR(__xludf.DUMMYFUNCTION("""COMPUTED_VALUE"""),"(Không recheck)")</f>
        <v>(Không recheck)</v>
      </c>
    </row>
    <row r="483">
      <c r="A483" s="265" t="str">
        <f>IFERROR(__xludf.DUMMYFUNCTION("""COMPUTED_VALUE"""),"778")</f>
        <v>778</v>
      </c>
      <c r="B483" s="265" t="str">
        <f>IFERROR(__xludf.DUMMYFUNCTION("""COMPUTED_VALUE"""),"Hà Nội")</f>
        <v>Hà Nội</v>
      </c>
      <c r="C483" s="265" t="str">
        <f>IFERROR(__xludf.DUMMYFUNCTION("""COMPUTED_VALUE"""),"Locked")</f>
        <v>Locked</v>
      </c>
      <c r="D483" s="265" t="str">
        <f>IFERROR(__xludf.DUMMYFUNCTION("""COMPUTED_VALUE"""),"Y tế &amp; Dược phẩm")</f>
        <v>Y tế &amp; Dược phẩm</v>
      </c>
      <c r="E483" s="265" t="str">
        <f>IFERROR(__xludf.DUMMYFUNCTION("""COMPUTED_VALUE"""),"TúPHN")</f>
        <v>TúPHN</v>
      </c>
      <c r="F483" s="265" t="str">
        <f>IFERROR(__xludf.DUMMYFUNCTION("""COMPUTED_VALUE"""),"Bronze")</f>
        <v>Bronze</v>
      </c>
      <c r="G483" s="265" t="str">
        <f>IFERROR(__xludf.DUMMYFUNCTION("""COMPUTED_VALUE"""),"Starter")</f>
        <v>Starter</v>
      </c>
      <c r="H483" s="265" t="str">
        <f>IFERROR(__xludf.DUMMYFUNCTION("""COMPUTED_VALUE"""),"Trả trước")</f>
        <v>Trả trước</v>
      </c>
      <c r="I483" s="265" t="str">
        <f>IFERROR(__xludf.DUMMYFUNCTION("""COMPUTED_VALUE"""),"API &amp; Portal")</f>
        <v>API &amp; Portal</v>
      </c>
      <c r="J483" s="265" t="str">
        <f>IFERROR(__xludf.DUMMYFUNCTION("""COMPUTED_VALUE"""),"Zalo ZNS")</f>
        <v>Zalo ZNS</v>
      </c>
      <c r="K483" s="265" t="str">
        <f>IFERROR(__xludf.DUMMYFUNCTION("""COMPUTED_VALUE"""),"AnhNM")</f>
        <v>AnhNM</v>
      </c>
    </row>
    <row r="484">
      <c r="A484" s="265" t="str">
        <f>IFERROR(__xludf.DUMMYFUNCTION("""COMPUTED_VALUE"""),"781")</f>
        <v>781</v>
      </c>
      <c r="B484" s="265" t="str">
        <f>IFERROR(__xludf.DUMMYFUNCTION("""COMPUTED_VALUE"""),"Sài Gòn")</f>
        <v>Sài Gòn</v>
      </c>
      <c r="C484" s="265" t="str">
        <f>IFERROR(__xludf.DUMMYFUNCTION("""COMPUTED_VALUE"""),"Active")</f>
        <v>Active</v>
      </c>
      <c r="D484" s="265" t="str">
        <f>IFERROR(__xludf.DUMMYFUNCTION("""COMPUTED_VALUE"""),"Giáo dục &amp; Đào tạo")</f>
        <v>Giáo dục &amp; Đào tạo</v>
      </c>
      <c r="E484" s="265" t="str">
        <f>IFERROR(__xludf.DUMMYFUNCTION("""COMPUTED_VALUE"""),"TúPHN")</f>
        <v>TúPHN</v>
      </c>
      <c r="F484" s="265" t="str">
        <f>IFERROR(__xludf.DUMMYFUNCTION("""COMPUTED_VALUE"""),"Silver")</f>
        <v>Silver</v>
      </c>
      <c r="G484" s="265" t="str">
        <f>IFERROR(__xludf.DUMMYFUNCTION("""COMPUTED_VALUE"""),"Starter")</f>
        <v>Starter</v>
      </c>
      <c r="H484" s="265" t="str">
        <f>IFERROR(__xludf.DUMMYFUNCTION("""COMPUTED_VALUE"""),"Trả sau")</f>
        <v>Trả sau</v>
      </c>
      <c r="I484" s="265" t="str">
        <f>IFERROR(__xludf.DUMMYFUNCTION("""COMPUTED_VALUE"""),"API")</f>
        <v>API</v>
      </c>
      <c r="J484" s="265" t="str">
        <f>IFERROR(__xludf.DUMMYFUNCTION("""COMPUTED_VALUE"""),"Zalo ZNS")</f>
        <v>Zalo ZNS</v>
      </c>
      <c r="K484" s="265" t="str">
        <f>IFERROR(__xludf.DUMMYFUNCTION("""COMPUTED_VALUE"""),"LinhNTT1")</f>
        <v>LinhNTT1</v>
      </c>
    </row>
    <row r="485">
      <c r="A485" s="265" t="str">
        <f>IFERROR(__xludf.DUMMYFUNCTION("""COMPUTED_VALUE"""),"678")</f>
        <v>678</v>
      </c>
      <c r="B485" s="265" t="str">
        <f>IFERROR(__xludf.DUMMYFUNCTION("""COMPUTED_VALUE"""),"Hà Nội")</f>
        <v>Hà Nội</v>
      </c>
      <c r="C485" s="265" t="str">
        <f>IFERROR(__xludf.DUMMYFUNCTION("""COMPUTED_VALUE"""),"Locked")</f>
        <v>Locked</v>
      </c>
      <c r="D485" s="265" t="str">
        <f>IFERROR(__xludf.DUMMYFUNCTION("""COMPUTED_VALUE"""),"Giáo dục &amp; Đào tạo")</f>
        <v>Giáo dục &amp; Đào tạo</v>
      </c>
      <c r="E485" s="265" t="str">
        <f>IFERROR(__xludf.DUMMYFUNCTION("""COMPUTED_VALUE"""),"TúPHN")</f>
        <v>TúPHN</v>
      </c>
      <c r="F485" s="265" t="str">
        <f>IFERROR(__xludf.DUMMYFUNCTION("""COMPUTED_VALUE"""),"Bronze")</f>
        <v>Bronze</v>
      </c>
      <c r="G485" s="265" t="str">
        <f>IFERROR(__xludf.DUMMYFUNCTION("""COMPUTED_VALUE"""),"Starter")</f>
        <v>Starter</v>
      </c>
      <c r="H485" s="265" t="str">
        <f>IFERROR(__xludf.DUMMYFUNCTION("""COMPUTED_VALUE"""),"Trả trước")</f>
        <v>Trả trước</v>
      </c>
      <c r="I485" s="265" t="str">
        <f>IFERROR(__xludf.DUMMYFUNCTION("""COMPUTED_VALUE"""),"Portal")</f>
        <v>Portal</v>
      </c>
      <c r="J485" s="265" t="str">
        <f>IFERROR(__xludf.DUMMYFUNCTION("""COMPUTED_VALUE"""),"Zalo ZNS")</f>
        <v>Zalo ZNS</v>
      </c>
      <c r="K485" s="265" t="str">
        <f>IFERROR(__xludf.DUMMYFUNCTION("""COMPUTED_VALUE"""),"AnhNM")</f>
        <v>AnhNM</v>
      </c>
    </row>
    <row r="486">
      <c r="A486" s="265" t="str">
        <f>IFERROR(__xludf.DUMMYFUNCTION("""COMPUTED_VALUE"""),"782")</f>
        <v>782</v>
      </c>
      <c r="B486" s="265" t="str">
        <f>IFERROR(__xludf.DUMMYFUNCTION("""COMPUTED_VALUE"""),"Sài Gòn")</f>
        <v>Sài Gòn</v>
      </c>
      <c r="C486" s="265" t="str">
        <f>IFERROR(__xludf.DUMMYFUNCTION("""COMPUTED_VALUE"""),"Locked")</f>
        <v>Locked</v>
      </c>
      <c r="D486" s="265" t="str">
        <f>IFERROR(__xludf.DUMMYFUNCTION("""COMPUTED_VALUE"""),"Dịch vụ khác")</f>
        <v>Dịch vụ khác</v>
      </c>
      <c r="E486" s="265" t="str">
        <f>IFERROR(__xludf.DUMMYFUNCTION("""COMPUTED_VALUE"""),"HoaNTM")</f>
        <v>HoaNTM</v>
      </c>
      <c r="F486" s="265" t="str">
        <f>IFERROR(__xludf.DUMMYFUNCTION("""COMPUTED_VALUE"""),"Sale chưa cung cấp")</f>
        <v>Sale chưa cung cấp</v>
      </c>
      <c r="G486" s="265" t="str">
        <f>IFERROR(__xludf.DUMMYFUNCTION("""COMPUTED_VALUE"""),"Enterprise")</f>
        <v>Enterprise</v>
      </c>
      <c r="H486" s="265" t="str">
        <f>IFERROR(__xludf.DUMMYFUNCTION("""COMPUTED_VALUE"""),"Trial")</f>
        <v>Trial</v>
      </c>
      <c r="I486" s="265" t="str">
        <f>IFERROR(__xludf.DUMMYFUNCTION("""COMPUTED_VALUE"""),"API &amp; Portal")</f>
        <v>API &amp; Portal</v>
      </c>
      <c r="J486" s="265" t="str">
        <f>IFERROR(__xludf.DUMMYFUNCTION("""COMPUTED_VALUE"""),"GapOne")</f>
        <v>GapOne</v>
      </c>
      <c r="K486" s="265" t="str">
        <f>IFERROR(__xludf.DUMMYFUNCTION("""COMPUTED_VALUE"""),"(Không recheck)")</f>
        <v>(Không recheck)</v>
      </c>
    </row>
    <row r="487">
      <c r="A487" s="265" t="str">
        <f>IFERROR(__xludf.DUMMYFUNCTION("""COMPUTED_VALUE"""),"783")</f>
        <v>783</v>
      </c>
      <c r="B487" s="265" t="str">
        <f>IFERROR(__xludf.DUMMYFUNCTION("""COMPUTED_VALUE"""),"Hà Nội")</f>
        <v>Hà Nội</v>
      </c>
      <c r="C487" s="265" t="str">
        <f>IFERROR(__xludf.DUMMYFUNCTION("""COMPUTED_VALUE"""),"Locked")</f>
        <v>Locked</v>
      </c>
      <c r="D487" s="265" t="str">
        <f>IFERROR(__xludf.DUMMYFUNCTION("""COMPUTED_VALUE"""),"Sale chưa cung cấp")</f>
        <v>Sale chưa cung cấp</v>
      </c>
      <c r="E487" s="265" t="str">
        <f>IFERROR(__xludf.DUMMYFUNCTION("""COMPUTED_VALUE"""),"PhươngDTB")</f>
        <v>PhươngDTB</v>
      </c>
      <c r="F487" s="265" t="str">
        <f>IFERROR(__xludf.DUMMYFUNCTION("""COMPUTED_VALUE"""),"Sale chưa cung cấp")</f>
        <v>Sale chưa cung cấp</v>
      </c>
      <c r="G487" s="265" t="str">
        <f>IFERROR(__xludf.DUMMYFUNCTION("""COMPUTED_VALUE"""),"API")</f>
        <v>API</v>
      </c>
      <c r="H487" s="265" t="str">
        <f>IFERROR(__xludf.DUMMYFUNCTION("""COMPUTED_VALUE"""),"Trial")</f>
        <v>Trial</v>
      </c>
      <c r="I487" s="265" t="str">
        <f>IFERROR(__xludf.DUMMYFUNCTION("""COMPUTED_VALUE"""),"API")</f>
        <v>API</v>
      </c>
      <c r="J487" s="265" t="str">
        <f>IFERROR(__xludf.DUMMYFUNCTION("""COMPUTED_VALUE"""),"Zalo ZNS")</f>
        <v>Zalo ZNS</v>
      </c>
      <c r="K487" s="265" t="str">
        <f>IFERROR(__xludf.DUMMYFUNCTION("""COMPUTED_VALUE"""),"(Không recheck)")</f>
        <v>(Không recheck)</v>
      </c>
    </row>
    <row r="488">
      <c r="A488" s="265" t="str">
        <f>IFERROR(__xludf.DUMMYFUNCTION("""COMPUTED_VALUE"""),"784")</f>
        <v>784</v>
      </c>
      <c r="B488" s="265" t="str">
        <f>IFERROR(__xludf.DUMMYFUNCTION("""COMPUTED_VALUE"""),"Sài Gòn")</f>
        <v>Sài Gòn</v>
      </c>
      <c r="C488" s="265" t="str">
        <f>IFERROR(__xludf.DUMMYFUNCTION("""COMPUTED_VALUE"""),"Active")</f>
        <v>Active</v>
      </c>
      <c r="D488" s="265" t="str">
        <f>IFERROR(__xludf.DUMMYFUNCTION("""COMPUTED_VALUE"""),"Dịch vụ khác")</f>
        <v>Dịch vụ khác</v>
      </c>
      <c r="E488" s="265" t="str">
        <f>IFERROR(__xludf.DUMMYFUNCTION("""COMPUTED_VALUE"""),"AnhNM")</f>
        <v>AnhNM</v>
      </c>
      <c r="F488" s="265" t="str">
        <f>IFERROR(__xludf.DUMMYFUNCTION("""COMPUTED_VALUE"""),"Silver")</f>
        <v>Silver</v>
      </c>
      <c r="G488" s="265" t="str">
        <f>IFERROR(__xludf.DUMMYFUNCTION("""COMPUTED_VALUE"""),"Starter")</f>
        <v>Starter</v>
      </c>
      <c r="H488" s="265" t="str">
        <f>IFERROR(__xludf.DUMMYFUNCTION("""COMPUTED_VALUE"""),"Trả sau")</f>
        <v>Trả sau</v>
      </c>
      <c r="I488" s="265" t="str">
        <f>IFERROR(__xludf.DUMMYFUNCTION("""COMPUTED_VALUE"""),"API")</f>
        <v>API</v>
      </c>
      <c r="J488" s="265" t="str">
        <f>IFERROR(__xludf.DUMMYFUNCTION("""COMPUTED_VALUE"""),"SMS CSKH")</f>
        <v>SMS CSKH</v>
      </c>
      <c r="K488" s="265" t="str">
        <f>IFERROR(__xludf.DUMMYFUNCTION("""COMPUTED_VALUE"""),"LinhNTT1")</f>
        <v>LinhNTT1</v>
      </c>
    </row>
    <row r="489">
      <c r="A489" s="265" t="str">
        <f>IFERROR(__xludf.DUMMYFUNCTION("""COMPUTED_VALUE"""),"784")</f>
        <v>784</v>
      </c>
      <c r="B489" s="265" t="str">
        <f>IFERROR(__xludf.DUMMYFUNCTION("""COMPUTED_VALUE"""),"Sài Gòn")</f>
        <v>Sài Gòn</v>
      </c>
      <c r="C489" s="265" t="str">
        <f>IFERROR(__xludf.DUMMYFUNCTION("""COMPUTED_VALUE"""),"Active")</f>
        <v>Active</v>
      </c>
      <c r="D489" s="265" t="str">
        <f>IFERROR(__xludf.DUMMYFUNCTION("""COMPUTED_VALUE"""),"Dịch vụ khác")</f>
        <v>Dịch vụ khác</v>
      </c>
      <c r="E489" s="265" t="str">
        <f>IFERROR(__xludf.DUMMYFUNCTION("""COMPUTED_VALUE"""),"AnhNM")</f>
        <v>AnhNM</v>
      </c>
      <c r="F489" s="265" t="str">
        <f>IFERROR(__xludf.DUMMYFUNCTION("""COMPUTED_VALUE"""),"Silver")</f>
        <v>Silver</v>
      </c>
      <c r="G489" s="265" t="str">
        <f>IFERROR(__xludf.DUMMYFUNCTION("""COMPUTED_VALUE"""),"Starter")</f>
        <v>Starter</v>
      </c>
      <c r="H489" s="265" t="str">
        <f>IFERROR(__xludf.DUMMYFUNCTION("""COMPUTED_VALUE"""),"Trả sau")</f>
        <v>Trả sau</v>
      </c>
      <c r="I489" s="265" t="str">
        <f>IFERROR(__xludf.DUMMYFUNCTION("""COMPUTED_VALUE"""),"API")</f>
        <v>API</v>
      </c>
      <c r="J489" s="265" t="str">
        <f>IFERROR(__xludf.DUMMYFUNCTION("""COMPUTED_VALUE"""),"Zalo ZNS")</f>
        <v>Zalo ZNS</v>
      </c>
      <c r="K489" s="265" t="str">
        <f>IFERROR(__xludf.DUMMYFUNCTION("""COMPUTED_VALUE"""),"LinhNTT1")</f>
        <v>LinhNTT1</v>
      </c>
    </row>
    <row r="490">
      <c r="A490" s="265" t="str">
        <f>IFERROR(__xludf.DUMMYFUNCTION("""COMPUTED_VALUE"""),"785")</f>
        <v>785</v>
      </c>
      <c r="B490" s="265" t="str">
        <f>IFERROR(__xludf.DUMMYFUNCTION("""COMPUTED_VALUE"""),"Hà Nội")</f>
        <v>Hà Nội</v>
      </c>
      <c r="C490" s="265" t="str">
        <f>IFERROR(__xludf.DUMMYFUNCTION("""COMPUTED_VALUE"""),"Active")</f>
        <v>Active</v>
      </c>
      <c r="D490" s="265" t="str">
        <f>IFERROR(__xludf.DUMMYFUNCTION("""COMPUTED_VALUE"""),"Vận tải &amp; logistics")</f>
        <v>Vận tải &amp; logistics</v>
      </c>
      <c r="E490" s="265" t="str">
        <f>IFERROR(__xludf.DUMMYFUNCTION("""COMPUTED_VALUE"""),"AnhNM")</f>
        <v>AnhNM</v>
      </c>
      <c r="F490" s="265" t="str">
        <f>IFERROR(__xludf.DUMMYFUNCTION("""COMPUTED_VALUE"""),"Sale chưa cung cấp")</f>
        <v>Sale chưa cung cấp</v>
      </c>
      <c r="G490" s="265" t="str">
        <f>IFERROR(__xludf.DUMMYFUNCTION("""COMPUTED_VALUE"""),"Starter")</f>
        <v>Starter</v>
      </c>
      <c r="H490" s="265" t="str">
        <f>IFERROR(__xludf.DUMMYFUNCTION("""COMPUTED_VALUE"""),"Trả trước")</f>
        <v>Trả trước</v>
      </c>
      <c r="I490" s="265" t="str">
        <f>IFERROR(__xludf.DUMMYFUNCTION("""COMPUTED_VALUE"""),"Portal")</f>
        <v>Portal</v>
      </c>
      <c r="J490" s="265" t="str">
        <f>IFERROR(__xludf.DUMMYFUNCTION("""COMPUTED_VALUE"""),"Zalo ZNS")</f>
        <v>Zalo ZNS</v>
      </c>
      <c r="K490" s="265" t="str">
        <f>IFERROR(__xludf.DUMMYFUNCTION("""COMPUTED_VALUE"""),"LinhNTT1")</f>
        <v>LinhNTT1</v>
      </c>
    </row>
    <row r="491">
      <c r="A491" s="265" t="str">
        <f>IFERROR(__xludf.DUMMYFUNCTION("""COMPUTED_VALUE"""),"786")</f>
        <v>786</v>
      </c>
      <c r="B491" s="265" t="str">
        <f>IFERROR(__xludf.DUMMYFUNCTION("""COMPUTED_VALUE"""),"Sài Gòn")</f>
        <v>Sài Gòn</v>
      </c>
      <c r="C491" s="265" t="str">
        <f>IFERROR(__xludf.DUMMYFUNCTION("""COMPUTED_VALUE"""),"Active")</f>
        <v>Active</v>
      </c>
      <c r="D491" s="265" t="str">
        <f>IFERROR(__xludf.DUMMYFUNCTION("""COMPUTED_VALUE"""),"Dịch vụ khác")</f>
        <v>Dịch vụ khác</v>
      </c>
      <c r="E491" s="265" t="str">
        <f>IFERROR(__xludf.DUMMYFUNCTION("""COMPUTED_VALUE"""),"AnhNM")</f>
        <v>AnhNM</v>
      </c>
      <c r="F491" s="265" t="str">
        <f>IFERROR(__xludf.DUMMYFUNCTION("""COMPUTED_VALUE"""),"Bronze")</f>
        <v>Bronze</v>
      </c>
      <c r="G491" s="265" t="str">
        <f>IFERROR(__xludf.DUMMYFUNCTION("""COMPUTED_VALUE"""),"Premium")</f>
        <v>Premium</v>
      </c>
      <c r="H491" s="265" t="str">
        <f>IFERROR(__xludf.DUMMYFUNCTION("""COMPUTED_VALUE"""),"Trả trước")</f>
        <v>Trả trước</v>
      </c>
      <c r="I491" s="265" t="str">
        <f>IFERROR(__xludf.DUMMYFUNCTION("""COMPUTED_VALUE"""),"API")</f>
        <v>API</v>
      </c>
      <c r="J491" s="265" t="str">
        <f>IFERROR(__xludf.DUMMYFUNCTION("""COMPUTED_VALUE"""),"Zalo ZNS")</f>
        <v>Zalo ZNS</v>
      </c>
      <c r="K491" s="265" t="str">
        <f>IFERROR(__xludf.DUMMYFUNCTION("""COMPUTED_VALUE"""),"LinhNTT1")</f>
        <v>LinhNTT1</v>
      </c>
    </row>
    <row r="492">
      <c r="A492" s="265" t="str">
        <f>IFERROR(__xludf.DUMMYFUNCTION("""COMPUTED_VALUE"""),"787")</f>
        <v>787</v>
      </c>
      <c r="B492" s="265" t="str">
        <f>IFERROR(__xludf.DUMMYFUNCTION("""COMPUTED_VALUE"""),"Hà Nội")</f>
        <v>Hà Nội</v>
      </c>
      <c r="C492" s="265" t="str">
        <f>IFERROR(__xludf.DUMMYFUNCTION("""COMPUTED_VALUE"""),"Locked")</f>
        <v>Locked</v>
      </c>
      <c r="D492" s="265" t="str">
        <f>IFERROR(__xludf.DUMMYFUNCTION("""COMPUTED_VALUE"""),"Truyền thông &amp; Giải trí")</f>
        <v>Truyền thông &amp; Giải trí</v>
      </c>
      <c r="E492" s="265" t="str">
        <f>IFERROR(__xludf.DUMMYFUNCTION("""COMPUTED_VALUE"""),"TúPHN")</f>
        <v>TúPHN</v>
      </c>
      <c r="F492" s="265" t="str">
        <f>IFERROR(__xludf.DUMMYFUNCTION("""COMPUTED_VALUE"""),"Gold")</f>
        <v>Gold</v>
      </c>
      <c r="G492" s="265" t="str">
        <f>IFERROR(__xludf.DUMMYFUNCTION("""COMPUTED_VALUE"""),"Starter")</f>
        <v>Starter</v>
      </c>
      <c r="H492" s="265" t="str">
        <f>IFERROR(__xludf.DUMMYFUNCTION("""COMPUTED_VALUE"""),"Trả sau")</f>
        <v>Trả sau</v>
      </c>
      <c r="I492" s="265" t="str">
        <f>IFERROR(__xludf.DUMMYFUNCTION("""COMPUTED_VALUE"""),"API")</f>
        <v>API</v>
      </c>
      <c r="J492" s="265" t="str">
        <f>IFERROR(__xludf.DUMMYFUNCTION("""COMPUTED_VALUE"""),"Tất cả")</f>
        <v>Tất cả</v>
      </c>
      <c r="K492" s="265" t="str">
        <f>IFERROR(__xludf.DUMMYFUNCTION("""COMPUTED_VALUE"""),"LinhNTT1")</f>
        <v>LinhNTT1</v>
      </c>
    </row>
    <row r="493">
      <c r="A493" s="265" t="str">
        <f>IFERROR(__xludf.DUMMYFUNCTION("""COMPUTED_VALUE"""),"789")</f>
        <v>789</v>
      </c>
      <c r="B493" s="265" t="str">
        <f>IFERROR(__xludf.DUMMYFUNCTION("""COMPUTED_VALUE"""),"Sài Gòn")</f>
        <v>Sài Gòn</v>
      </c>
      <c r="C493" s="265" t="str">
        <f>IFERROR(__xludf.DUMMYFUNCTION("""COMPUTED_VALUE"""),"Locked")</f>
        <v>Locked</v>
      </c>
      <c r="D493" s="265" t="str">
        <f>IFERROR(__xludf.DUMMYFUNCTION("""COMPUTED_VALUE"""),"Dịch vụ khác")</f>
        <v>Dịch vụ khác</v>
      </c>
      <c r="E493" s="265" t="str">
        <f>IFERROR(__xludf.DUMMYFUNCTION("""COMPUTED_VALUE"""),"PhươngDTB")</f>
        <v>PhươngDTB</v>
      </c>
      <c r="F493" s="265" t="str">
        <f>IFERROR(__xludf.DUMMYFUNCTION("""COMPUTED_VALUE"""),"Sale chưa cung cấp")</f>
        <v>Sale chưa cung cấp</v>
      </c>
      <c r="G493" s="265" t="str">
        <f>IFERROR(__xludf.DUMMYFUNCTION("""COMPUTED_VALUE"""),"Premium")</f>
        <v>Premium</v>
      </c>
      <c r="H493" s="265" t="str">
        <f>IFERROR(__xludf.DUMMYFUNCTION("""COMPUTED_VALUE"""),"Trả trước")</f>
        <v>Trả trước</v>
      </c>
      <c r="I493" s="265" t="str">
        <f>IFERROR(__xludf.DUMMYFUNCTION("""COMPUTED_VALUE"""),"API &amp; Portal")</f>
        <v>API &amp; Portal</v>
      </c>
      <c r="J493" s="265" t="str">
        <f>IFERROR(__xludf.DUMMYFUNCTION("""COMPUTED_VALUE"""),"Zalo ZNS")</f>
        <v>Zalo ZNS</v>
      </c>
      <c r="K493" s="265" t="str">
        <f>IFERROR(__xludf.DUMMYFUNCTION("""COMPUTED_VALUE"""),"AnhNM")</f>
        <v>AnhNM</v>
      </c>
    </row>
    <row r="494">
      <c r="A494" s="265" t="str">
        <f>IFERROR(__xludf.DUMMYFUNCTION("""COMPUTED_VALUE"""),"790")</f>
        <v>790</v>
      </c>
      <c r="B494" s="265" t="str">
        <f>IFERROR(__xludf.DUMMYFUNCTION("""COMPUTED_VALUE"""),"Hà Nội")</f>
        <v>Hà Nội</v>
      </c>
      <c r="C494" s="265" t="str">
        <f>IFERROR(__xludf.DUMMYFUNCTION("""COMPUTED_VALUE"""),"Locked")</f>
        <v>Locked</v>
      </c>
      <c r="D494" s="265" t="str">
        <f>IFERROR(__xludf.DUMMYFUNCTION("""COMPUTED_VALUE"""),"Mua sắm &amp; Bán lẻ")</f>
        <v>Mua sắm &amp; Bán lẻ</v>
      </c>
      <c r="E494" s="265" t="str">
        <f>IFERROR(__xludf.DUMMYFUNCTION("""COMPUTED_VALUE"""),"TùngLD")</f>
        <v>TùngLD</v>
      </c>
      <c r="F494" s="265" t="str">
        <f>IFERROR(__xludf.DUMMYFUNCTION("""COMPUTED_VALUE"""),"Sale chưa cung cấp")</f>
        <v>Sale chưa cung cấp</v>
      </c>
      <c r="G494" s="265" t="str">
        <f>IFERROR(__xludf.DUMMYFUNCTION("""COMPUTED_VALUE"""),"Premium")</f>
        <v>Premium</v>
      </c>
      <c r="H494" s="265" t="str">
        <f>IFERROR(__xludf.DUMMYFUNCTION("""COMPUTED_VALUE"""),"Trial")</f>
        <v>Trial</v>
      </c>
      <c r="I494" s="265" t="str">
        <f>IFERROR(__xludf.DUMMYFUNCTION("""COMPUTED_VALUE"""),"Portal")</f>
        <v>Portal</v>
      </c>
      <c r="J494" s="265" t="str">
        <f>IFERROR(__xludf.DUMMYFUNCTION("""COMPUTED_VALUE"""),"Zalo ZNS")</f>
        <v>Zalo ZNS</v>
      </c>
      <c r="K494" s="265" t="str">
        <f>IFERROR(__xludf.DUMMYFUNCTION("""COMPUTED_VALUE"""),"(Không recheck)")</f>
        <v>(Không recheck)</v>
      </c>
    </row>
    <row r="495">
      <c r="A495" s="265" t="str">
        <f>IFERROR(__xludf.DUMMYFUNCTION("""COMPUTED_VALUE"""),"None 4")</f>
        <v>None 4</v>
      </c>
      <c r="B495" s="265" t="str">
        <f>IFERROR(__xludf.DUMMYFUNCTION("""COMPUTED_VALUE"""),"Hà Nội")</f>
        <v>Hà Nội</v>
      </c>
      <c r="C495" s="265" t="str">
        <f>IFERROR(__xludf.DUMMYFUNCTION("""COMPUTED_VALUE"""),"Locked")</f>
        <v>Locked</v>
      </c>
      <c r="D495" s="265" t="str">
        <f>IFERROR(__xludf.DUMMYFUNCTION("""COMPUTED_VALUE"""),"Viễn thông")</f>
        <v>Viễn thông</v>
      </c>
      <c r="E495" s="265" t="str">
        <f>IFERROR(__xludf.DUMMYFUNCTION("""COMPUTED_VALUE"""),"TúPHN")</f>
        <v>TúPHN</v>
      </c>
      <c r="F495" s="265" t="str">
        <f>IFERROR(__xludf.DUMMYFUNCTION("""COMPUTED_VALUE"""),"Gold")</f>
        <v>Gold</v>
      </c>
      <c r="G495" s="265" t="str">
        <f>IFERROR(__xludf.DUMMYFUNCTION("""COMPUTED_VALUE"""),"None")</f>
        <v>None</v>
      </c>
      <c r="H495" s="265" t="str">
        <f>IFERROR(__xludf.DUMMYFUNCTION("""COMPUTED_VALUE"""),"Trả sau")</f>
        <v>Trả sau</v>
      </c>
      <c r="I495" s="265" t="str">
        <f>IFERROR(__xludf.DUMMYFUNCTION("""COMPUTED_VALUE"""),"API")</f>
        <v>API</v>
      </c>
      <c r="J495" s="265" t="str">
        <f>IFERROR(__xludf.DUMMYFUNCTION("""COMPUTED_VALUE"""),"Zalo ZNS")</f>
        <v>Zalo ZNS</v>
      </c>
      <c r="K495" s="265" t="str">
        <f>IFERROR(__xludf.DUMMYFUNCTION("""COMPUTED_VALUE"""),"AnhNM")</f>
        <v>AnhNM</v>
      </c>
    </row>
    <row r="496">
      <c r="A496" s="265" t="str">
        <f>IFERROR(__xludf.DUMMYFUNCTION("""COMPUTED_VALUE"""),"793")</f>
        <v>793</v>
      </c>
      <c r="B496" s="265" t="str">
        <f>IFERROR(__xludf.DUMMYFUNCTION("""COMPUTED_VALUE"""),"Hà Nội")</f>
        <v>Hà Nội</v>
      </c>
      <c r="C496" s="265" t="str">
        <f>IFERROR(__xludf.DUMMYFUNCTION("""COMPUTED_VALUE"""),"Locked")</f>
        <v>Locked</v>
      </c>
      <c r="D496" s="265" t="str">
        <f>IFERROR(__xludf.DUMMYFUNCTION("""COMPUTED_VALUE"""),"Mua sắm &amp; Bán lẻ")</f>
        <v>Mua sắm &amp; Bán lẻ</v>
      </c>
      <c r="E496" s="265" t="str">
        <f>IFERROR(__xludf.DUMMYFUNCTION("""COMPUTED_VALUE"""),"TùngLD")</f>
        <v>TùngLD</v>
      </c>
      <c r="F496" s="265" t="str">
        <f>IFERROR(__xludf.DUMMYFUNCTION("""COMPUTED_VALUE"""),"Bronze")</f>
        <v>Bronze</v>
      </c>
      <c r="G496" s="265" t="str">
        <f>IFERROR(__xludf.DUMMYFUNCTION("""COMPUTED_VALUE"""),"Starter")</f>
        <v>Starter</v>
      </c>
      <c r="H496" s="265" t="str">
        <f>IFERROR(__xludf.DUMMYFUNCTION("""COMPUTED_VALUE"""),"Trả trước")</f>
        <v>Trả trước</v>
      </c>
      <c r="I496" s="265" t="str">
        <f>IFERROR(__xludf.DUMMYFUNCTION("""COMPUTED_VALUE"""),"Portal")</f>
        <v>Portal</v>
      </c>
      <c r="J496" s="265" t="str">
        <f>IFERROR(__xludf.DUMMYFUNCTION("""COMPUTED_VALUE"""),"Zalo ZNS")</f>
        <v>Zalo ZNS</v>
      </c>
      <c r="K496" s="265" t="str">
        <f>IFERROR(__xludf.DUMMYFUNCTION("""COMPUTED_VALUE"""),"LinhNTT1")</f>
        <v>LinhNTT1</v>
      </c>
    </row>
    <row r="497">
      <c r="A497" s="265" t="str">
        <f>IFERROR(__xludf.DUMMYFUNCTION("""COMPUTED_VALUE"""),"792")</f>
        <v>792</v>
      </c>
      <c r="B497" s="265" t="str">
        <f>IFERROR(__xludf.DUMMYFUNCTION("""COMPUTED_VALUE"""),"Hà Nội")</f>
        <v>Hà Nội</v>
      </c>
      <c r="C497" s="265" t="str">
        <f>IFERROR(__xludf.DUMMYFUNCTION("""COMPUTED_VALUE"""),"Locked")</f>
        <v>Locked</v>
      </c>
      <c r="D497" s="265" t="str">
        <f>IFERROR(__xludf.DUMMYFUNCTION("""COMPUTED_VALUE"""),"Công nghệ &amp; Phần mềm")</f>
        <v>Công nghệ &amp; Phần mềm</v>
      </c>
      <c r="E497" s="265" t="str">
        <f>IFERROR(__xludf.DUMMYFUNCTION("""COMPUTED_VALUE"""),"TúPHN")</f>
        <v>TúPHN</v>
      </c>
      <c r="F497" s="265" t="str">
        <f>IFERROR(__xludf.DUMMYFUNCTION("""COMPUTED_VALUE"""),"Sale chưa cung cấp")</f>
        <v>Sale chưa cung cấp</v>
      </c>
      <c r="G497" s="265" t="str">
        <f>IFERROR(__xludf.DUMMYFUNCTION("""COMPUTED_VALUE"""),"Premium")</f>
        <v>Premium</v>
      </c>
      <c r="H497" s="265" t="str">
        <f>IFERROR(__xludf.DUMMYFUNCTION("""COMPUTED_VALUE"""),"Trial")</f>
        <v>Trial</v>
      </c>
      <c r="I497" s="265" t="str">
        <f>IFERROR(__xludf.DUMMYFUNCTION("""COMPUTED_VALUE"""),"Portal")</f>
        <v>Portal</v>
      </c>
      <c r="J497" s="265" t="str">
        <f>IFERROR(__xludf.DUMMYFUNCTION("""COMPUTED_VALUE"""),"Tất cả")</f>
        <v>Tất cả</v>
      </c>
      <c r="K497" s="265" t="str">
        <f>IFERROR(__xludf.DUMMYFUNCTION("""COMPUTED_VALUE"""),"(Không recheck)")</f>
        <v>(Không recheck)</v>
      </c>
    </row>
    <row r="498">
      <c r="A498" s="265" t="str">
        <f>IFERROR(__xludf.DUMMYFUNCTION("""COMPUTED_VALUE"""),"794")</f>
        <v>794</v>
      </c>
      <c r="B498" s="265" t="str">
        <f>IFERROR(__xludf.DUMMYFUNCTION("""COMPUTED_VALUE"""),"Hà Nội")</f>
        <v>Hà Nội</v>
      </c>
      <c r="C498" s="265" t="str">
        <f>IFERROR(__xludf.DUMMYFUNCTION("""COMPUTED_VALUE"""),"Locked")</f>
        <v>Locked</v>
      </c>
      <c r="D498" s="265" t="str">
        <f>IFERROR(__xludf.DUMMYFUNCTION("""COMPUTED_VALUE"""),"Ô tô &amp; Xe máy")</f>
        <v>Ô tô &amp; Xe máy</v>
      </c>
      <c r="E498" s="265" t="str">
        <f>IFERROR(__xludf.DUMMYFUNCTION("""COMPUTED_VALUE"""),"TúPHN")</f>
        <v>TúPHN</v>
      </c>
      <c r="F498" s="265" t="str">
        <f>IFERROR(__xludf.DUMMYFUNCTION("""COMPUTED_VALUE"""),"Bronze")</f>
        <v>Bronze</v>
      </c>
      <c r="G498" s="265" t="str">
        <f>IFERROR(__xludf.DUMMYFUNCTION("""COMPUTED_VALUE"""),"Starter")</f>
        <v>Starter</v>
      </c>
      <c r="H498" s="265" t="str">
        <f>IFERROR(__xludf.DUMMYFUNCTION("""COMPUTED_VALUE"""),"Trả sau")</f>
        <v>Trả sau</v>
      </c>
      <c r="I498" s="265" t="str">
        <f>IFERROR(__xludf.DUMMYFUNCTION("""COMPUTED_VALUE"""),"API")</f>
        <v>API</v>
      </c>
      <c r="J498" s="265" t="str">
        <f>IFERROR(__xludf.DUMMYFUNCTION("""COMPUTED_VALUE"""),"Zalo ZNS")</f>
        <v>Zalo ZNS</v>
      </c>
      <c r="K498" s="265" t="str">
        <f>IFERROR(__xludf.DUMMYFUNCTION("""COMPUTED_VALUE"""),"AnhNM")</f>
        <v>AnhNM</v>
      </c>
    </row>
    <row r="499">
      <c r="A499" s="265" t="str">
        <f>IFERROR(__xludf.DUMMYFUNCTION("""COMPUTED_VALUE"""),"796")</f>
        <v>796</v>
      </c>
      <c r="B499" s="265" t="str">
        <f>IFERROR(__xludf.DUMMYFUNCTION("""COMPUTED_VALUE"""),"Hà Nội")</f>
        <v>Hà Nội</v>
      </c>
      <c r="C499" s="265" t="str">
        <f>IFERROR(__xludf.DUMMYFUNCTION("""COMPUTED_VALUE"""),"Locked")</f>
        <v>Locked</v>
      </c>
      <c r="D499" s="265" t="str">
        <f>IFERROR(__xludf.DUMMYFUNCTION("""COMPUTED_VALUE"""),"Ô tô &amp; Xe máy")</f>
        <v>Ô tô &amp; Xe máy</v>
      </c>
      <c r="E499" s="265" t="str">
        <f>IFERROR(__xludf.DUMMYFUNCTION("""COMPUTED_VALUE"""),"TúPHN")</f>
        <v>TúPHN</v>
      </c>
      <c r="F499" s="265" t="str">
        <f>IFERROR(__xludf.DUMMYFUNCTION("""COMPUTED_VALUE"""),"Diamond")</f>
        <v>Diamond</v>
      </c>
      <c r="G499" s="265" t="str">
        <f>IFERROR(__xludf.DUMMYFUNCTION("""COMPUTED_VALUE"""),"Enterprise")</f>
        <v>Enterprise</v>
      </c>
      <c r="H499" s="265" t="str">
        <f>IFERROR(__xludf.DUMMYFUNCTION("""COMPUTED_VALUE"""),"Trial")</f>
        <v>Trial</v>
      </c>
      <c r="I499" s="265" t="str">
        <f>IFERROR(__xludf.DUMMYFUNCTION("""COMPUTED_VALUE"""),"API")</f>
        <v>API</v>
      </c>
      <c r="J499" s="265" t="str">
        <f>IFERROR(__xludf.DUMMYFUNCTION("""COMPUTED_VALUE"""),"SMS CSKH")</f>
        <v>SMS CSKH</v>
      </c>
      <c r="K499" s="265" t="str">
        <f>IFERROR(__xludf.DUMMYFUNCTION("""COMPUTED_VALUE"""),"LinhNTT1")</f>
        <v>LinhNTT1</v>
      </c>
    </row>
    <row r="500">
      <c r="A500" s="265" t="str">
        <f>IFERROR(__xludf.DUMMYFUNCTION("""COMPUTED_VALUE"""),"796")</f>
        <v>796</v>
      </c>
      <c r="B500" s="265" t="str">
        <f>IFERROR(__xludf.DUMMYFUNCTION("""COMPUTED_VALUE"""),"Hà Nội")</f>
        <v>Hà Nội</v>
      </c>
      <c r="C500" s="265" t="str">
        <f>IFERROR(__xludf.DUMMYFUNCTION("""COMPUTED_VALUE"""),"Locked")</f>
        <v>Locked</v>
      </c>
      <c r="D500" s="265" t="str">
        <f>IFERROR(__xludf.DUMMYFUNCTION("""COMPUTED_VALUE"""),"Ô tô &amp; Xe máy")</f>
        <v>Ô tô &amp; Xe máy</v>
      </c>
      <c r="E500" s="265" t="str">
        <f>IFERROR(__xludf.DUMMYFUNCTION("""COMPUTED_VALUE"""),"TúPHN")</f>
        <v>TúPHN</v>
      </c>
      <c r="F500" s="265" t="str">
        <f>IFERROR(__xludf.DUMMYFUNCTION("""COMPUTED_VALUE"""),"Diamond")</f>
        <v>Diamond</v>
      </c>
      <c r="G500" s="265" t="str">
        <f>IFERROR(__xludf.DUMMYFUNCTION("""COMPUTED_VALUE"""),"Enterprise")</f>
        <v>Enterprise</v>
      </c>
      <c r="H500" s="265" t="str">
        <f>IFERROR(__xludf.DUMMYFUNCTION("""COMPUTED_VALUE"""),"Trial")</f>
        <v>Trial</v>
      </c>
      <c r="I500" s="265" t="str">
        <f>IFERROR(__xludf.DUMMYFUNCTION("""COMPUTED_VALUE"""),"API")</f>
        <v>API</v>
      </c>
      <c r="J500" s="265" t="str">
        <f>IFERROR(__xludf.DUMMYFUNCTION("""COMPUTED_VALUE"""),"Zalo ZNS")</f>
        <v>Zalo ZNS</v>
      </c>
      <c r="K500" s="265" t="str">
        <f>IFERROR(__xludf.DUMMYFUNCTION("""COMPUTED_VALUE"""),"LinhNTT1")</f>
        <v>LinhNTT1</v>
      </c>
    </row>
    <row r="501">
      <c r="A501" s="265" t="str">
        <f>IFERROR(__xludf.DUMMYFUNCTION("""COMPUTED_VALUE"""),"795")</f>
        <v>795</v>
      </c>
      <c r="B501" s="265" t="str">
        <f>IFERROR(__xludf.DUMMYFUNCTION("""COMPUTED_VALUE"""),"Sài Gòn")</f>
        <v>Sài Gòn</v>
      </c>
      <c r="C501" s="265" t="str">
        <f>IFERROR(__xludf.DUMMYFUNCTION("""COMPUTED_VALUE"""),"Locked")</f>
        <v>Locked</v>
      </c>
      <c r="D501" s="265" t="str">
        <f>IFERROR(__xludf.DUMMYFUNCTION("""COMPUTED_VALUE"""),"Công nghệ &amp; Phần mềm")</f>
        <v>Công nghệ &amp; Phần mềm</v>
      </c>
      <c r="E501" s="265" t="str">
        <f>IFERROR(__xludf.DUMMYFUNCTION("""COMPUTED_VALUE"""),"HoaNTM")</f>
        <v>HoaNTM</v>
      </c>
      <c r="F501" s="265" t="str">
        <f>IFERROR(__xludf.DUMMYFUNCTION("""COMPUTED_VALUE"""),"Sale chưa cung cấp")</f>
        <v>Sale chưa cung cấp</v>
      </c>
      <c r="G501" s="265" t="str">
        <f>IFERROR(__xludf.DUMMYFUNCTION("""COMPUTED_VALUE"""),"Standard")</f>
        <v>Standard</v>
      </c>
      <c r="H501" s="265" t="str">
        <f>IFERROR(__xludf.DUMMYFUNCTION("""COMPUTED_VALUE"""),"Trial")</f>
        <v>Trial</v>
      </c>
      <c r="I501" s="265" t="str">
        <f>IFERROR(__xludf.DUMMYFUNCTION("""COMPUTED_VALUE"""),"API &amp; Portal")</f>
        <v>API &amp; Portal</v>
      </c>
      <c r="J501" s="265" t="str">
        <f>IFERROR(__xludf.DUMMYFUNCTION("""COMPUTED_VALUE"""),"Zalo ZNS")</f>
        <v>Zalo ZNS</v>
      </c>
      <c r="K501" s="265" t="str">
        <f>IFERROR(__xludf.DUMMYFUNCTION("""COMPUTED_VALUE"""),"Chưa phân công")</f>
        <v>Chưa phân công</v>
      </c>
    </row>
    <row r="502">
      <c r="A502" s="265" t="str">
        <f>IFERROR(__xludf.DUMMYFUNCTION("""COMPUTED_VALUE"""),"797")</f>
        <v>797</v>
      </c>
      <c r="B502" s="265" t="str">
        <f>IFERROR(__xludf.DUMMYFUNCTION("""COMPUTED_VALUE"""),"Hà Nội")</f>
        <v>Hà Nội</v>
      </c>
      <c r="C502" s="265" t="str">
        <f>IFERROR(__xludf.DUMMYFUNCTION("""COMPUTED_VALUE"""),"Locked")</f>
        <v>Locked</v>
      </c>
      <c r="D502" s="265" t="str">
        <f>IFERROR(__xludf.DUMMYFUNCTION("""COMPUTED_VALUE"""),"Ô tô &amp; Xe máy")</f>
        <v>Ô tô &amp; Xe máy</v>
      </c>
      <c r="E502" s="265" t="str">
        <f>IFERROR(__xludf.DUMMYFUNCTION("""COMPUTED_VALUE"""),"TúPHN")</f>
        <v>TúPHN</v>
      </c>
      <c r="F502" s="265" t="str">
        <f>IFERROR(__xludf.DUMMYFUNCTION("""COMPUTED_VALUE"""),"Silver")</f>
        <v>Silver</v>
      </c>
      <c r="G502" s="265" t="str">
        <f>IFERROR(__xludf.DUMMYFUNCTION("""COMPUTED_VALUE"""),"Starter")</f>
        <v>Starter</v>
      </c>
      <c r="H502" s="265" t="str">
        <f>IFERROR(__xludf.DUMMYFUNCTION("""COMPUTED_VALUE"""),"Trial")</f>
        <v>Trial</v>
      </c>
      <c r="I502" s="265" t="str">
        <f>IFERROR(__xludf.DUMMYFUNCTION("""COMPUTED_VALUE"""),"API")</f>
        <v>API</v>
      </c>
      <c r="J502" s="265" t="str">
        <f>IFERROR(__xludf.DUMMYFUNCTION("""COMPUTED_VALUE"""),"Zalo ZNS")</f>
        <v>Zalo ZNS</v>
      </c>
      <c r="K502" s="265" t="str">
        <f>IFERROR(__xludf.DUMMYFUNCTION("""COMPUTED_VALUE"""),"(Không recheck)")</f>
        <v>(Không recheck)</v>
      </c>
    </row>
    <row r="503">
      <c r="A503" s="265" t="str">
        <f>IFERROR(__xludf.DUMMYFUNCTION("""COMPUTED_VALUE"""),"798")</f>
        <v>798</v>
      </c>
      <c r="B503" s="265" t="str">
        <f>IFERROR(__xludf.DUMMYFUNCTION("""COMPUTED_VALUE"""),"Hà Nội")</f>
        <v>Hà Nội</v>
      </c>
      <c r="C503" s="265" t="str">
        <f>IFERROR(__xludf.DUMMYFUNCTION("""COMPUTED_VALUE"""),"Active")</f>
        <v>Active</v>
      </c>
      <c r="D503" s="265" t="str">
        <f>IFERROR(__xludf.DUMMYFUNCTION("""COMPUTED_VALUE"""),"Công nghệ &amp; Phần mềm")</f>
        <v>Công nghệ &amp; Phần mềm</v>
      </c>
      <c r="E503" s="265" t="str">
        <f>IFERROR(__xludf.DUMMYFUNCTION("""COMPUTED_VALUE"""),"TùngLD")</f>
        <v>TùngLD</v>
      </c>
      <c r="F503" s="265" t="str">
        <f>IFERROR(__xludf.DUMMYFUNCTION("""COMPUTED_VALUE"""),"Gold")</f>
        <v>Gold</v>
      </c>
      <c r="G503" s="265" t="str">
        <f>IFERROR(__xludf.DUMMYFUNCTION("""COMPUTED_VALUE"""),"Starter")</f>
        <v>Starter</v>
      </c>
      <c r="H503" s="265" t="str">
        <f>IFERROR(__xludf.DUMMYFUNCTION("""COMPUTED_VALUE"""),"Trả sau")</f>
        <v>Trả sau</v>
      </c>
      <c r="I503" s="265" t="str">
        <f>IFERROR(__xludf.DUMMYFUNCTION("""COMPUTED_VALUE"""),"API &amp; Portal")</f>
        <v>API &amp; Portal</v>
      </c>
      <c r="J503" s="265" t="str">
        <f>IFERROR(__xludf.DUMMYFUNCTION("""COMPUTED_VALUE"""),"SMS CSKH")</f>
        <v>SMS CSKH</v>
      </c>
      <c r="K503" s="265" t="str">
        <f>IFERROR(__xludf.DUMMYFUNCTION("""COMPUTED_VALUE"""),"DungPL, DungVT")</f>
        <v>DungPL, DungVT</v>
      </c>
    </row>
    <row r="504">
      <c r="A504" s="265" t="str">
        <f>IFERROR(__xludf.DUMMYFUNCTION("""COMPUTED_VALUE"""),"798")</f>
        <v>798</v>
      </c>
      <c r="B504" s="265" t="str">
        <f>IFERROR(__xludf.DUMMYFUNCTION("""COMPUTED_VALUE"""),"Hà Nội")</f>
        <v>Hà Nội</v>
      </c>
      <c r="C504" s="265" t="str">
        <f>IFERROR(__xludf.DUMMYFUNCTION("""COMPUTED_VALUE"""),"Active")</f>
        <v>Active</v>
      </c>
      <c r="D504" s="265" t="str">
        <f>IFERROR(__xludf.DUMMYFUNCTION("""COMPUTED_VALUE"""),"Công nghệ &amp; Phần mềm")</f>
        <v>Công nghệ &amp; Phần mềm</v>
      </c>
      <c r="E504" s="265" t="str">
        <f>IFERROR(__xludf.DUMMYFUNCTION("""COMPUTED_VALUE"""),"TùngLD")</f>
        <v>TùngLD</v>
      </c>
      <c r="F504" s="265" t="str">
        <f>IFERROR(__xludf.DUMMYFUNCTION("""COMPUTED_VALUE"""),"Gold")</f>
        <v>Gold</v>
      </c>
      <c r="G504" s="265" t="str">
        <f>IFERROR(__xludf.DUMMYFUNCTION("""COMPUTED_VALUE"""),"Starter")</f>
        <v>Starter</v>
      </c>
      <c r="H504" s="265" t="str">
        <f>IFERROR(__xludf.DUMMYFUNCTION("""COMPUTED_VALUE"""),"Trả sau")</f>
        <v>Trả sau</v>
      </c>
      <c r="I504" s="265" t="str">
        <f>IFERROR(__xludf.DUMMYFUNCTION("""COMPUTED_VALUE"""),"API &amp; Portal")</f>
        <v>API &amp; Portal</v>
      </c>
      <c r="J504" s="265" t="str">
        <f>IFERROR(__xludf.DUMMYFUNCTION("""COMPUTED_VALUE"""),"Zalo ZNS")</f>
        <v>Zalo ZNS</v>
      </c>
      <c r="K504" s="265" t="str">
        <f>IFERROR(__xludf.DUMMYFUNCTION("""COMPUTED_VALUE"""),"DungPL, DungVT")</f>
        <v>DungPL, DungVT</v>
      </c>
    </row>
    <row r="505">
      <c r="A505" s="265" t="str">
        <f>IFERROR(__xludf.DUMMYFUNCTION("""COMPUTED_VALUE"""),"757")</f>
        <v>757</v>
      </c>
      <c r="B505" s="265" t="str">
        <f>IFERROR(__xludf.DUMMYFUNCTION("""COMPUTED_VALUE"""),"Hà Nội")</f>
        <v>Hà Nội</v>
      </c>
      <c r="C505" s="265" t="str">
        <f>IFERROR(__xludf.DUMMYFUNCTION("""COMPUTED_VALUE"""),"Active")</f>
        <v>Active</v>
      </c>
      <c r="D505" s="265" t="str">
        <f>IFERROR(__xludf.DUMMYFUNCTION("""COMPUTED_VALUE"""),"Vận tải &amp; logistics")</f>
        <v>Vận tải &amp; logistics</v>
      </c>
      <c r="E505" s="265" t="str">
        <f>IFERROR(__xludf.DUMMYFUNCTION("""COMPUTED_VALUE"""),"AnhNM")</f>
        <v>AnhNM</v>
      </c>
      <c r="F505" s="265" t="str">
        <f>IFERROR(__xludf.DUMMYFUNCTION("""COMPUTED_VALUE"""),"Sale chưa cung cấp")</f>
        <v>Sale chưa cung cấp</v>
      </c>
      <c r="G505" s="265" t="str">
        <f>IFERROR(__xludf.DUMMYFUNCTION("""COMPUTED_VALUE"""),"Starter")</f>
        <v>Starter</v>
      </c>
      <c r="H505" s="265" t="str">
        <f>IFERROR(__xludf.DUMMYFUNCTION("""COMPUTED_VALUE"""),"Trả sau")</f>
        <v>Trả sau</v>
      </c>
      <c r="I505" s="265" t="str">
        <f>IFERROR(__xludf.DUMMYFUNCTION("""COMPUTED_VALUE"""),"API")</f>
        <v>API</v>
      </c>
      <c r="J505" s="265" t="str">
        <f>IFERROR(__xludf.DUMMYFUNCTION("""COMPUTED_VALUE"""),"Zalo ZNS")</f>
        <v>Zalo ZNS</v>
      </c>
      <c r="K505" s="265" t="str">
        <f>IFERROR(__xludf.DUMMYFUNCTION("""COMPUTED_VALUE"""),"DungPL")</f>
        <v>DungPL</v>
      </c>
    </row>
    <row r="506">
      <c r="A506" s="265" t="str">
        <f>IFERROR(__xludf.DUMMYFUNCTION("""COMPUTED_VALUE"""),"799")</f>
        <v>799</v>
      </c>
      <c r="B506" s="265" t="str">
        <f>IFERROR(__xludf.DUMMYFUNCTION("""COMPUTED_VALUE"""),"Hà Nội")</f>
        <v>Hà Nội</v>
      </c>
      <c r="C506" s="265" t="str">
        <f>IFERROR(__xludf.DUMMYFUNCTION("""COMPUTED_VALUE"""),"Locked")</f>
        <v>Locked</v>
      </c>
      <c r="D506" s="265" t="str">
        <f>IFERROR(__xludf.DUMMYFUNCTION("""COMPUTED_VALUE"""),"Sale chưa cung cấp")</f>
        <v>Sale chưa cung cấp</v>
      </c>
      <c r="E506" s="265" t="str">
        <f>IFERROR(__xludf.DUMMYFUNCTION("""COMPUTED_VALUE"""),"HangNT")</f>
        <v>HangNT</v>
      </c>
      <c r="F506" s="265" t="str">
        <f>IFERROR(__xludf.DUMMYFUNCTION("""COMPUTED_VALUE"""),"Sale chưa cung cấp")</f>
        <v>Sale chưa cung cấp</v>
      </c>
      <c r="G506" s="265" t="str">
        <f>IFERROR(__xludf.DUMMYFUNCTION("""COMPUTED_VALUE"""),"Premium")</f>
        <v>Premium</v>
      </c>
      <c r="H506" s="265" t="str">
        <f>IFERROR(__xludf.DUMMYFUNCTION("""COMPUTED_VALUE"""),"Trial")</f>
        <v>Trial</v>
      </c>
      <c r="I506" s="265" t="str">
        <f>IFERROR(__xludf.DUMMYFUNCTION("""COMPUTED_VALUE"""),"Portal")</f>
        <v>Portal</v>
      </c>
      <c r="J506" s="265" t="str">
        <f>IFERROR(__xludf.DUMMYFUNCTION("""COMPUTED_VALUE"""),"Zalo ZNS")</f>
        <v>Zalo ZNS</v>
      </c>
      <c r="K506" s="265" t="str">
        <f>IFERROR(__xludf.DUMMYFUNCTION("""COMPUTED_VALUE"""),"AnhNM")</f>
        <v>AnhNM</v>
      </c>
    </row>
    <row r="507">
      <c r="A507" s="265" t="str">
        <f>IFERROR(__xludf.DUMMYFUNCTION("""COMPUTED_VALUE"""),"800")</f>
        <v>800</v>
      </c>
      <c r="B507" s="265" t="str">
        <f>IFERROR(__xludf.DUMMYFUNCTION("""COMPUTED_VALUE"""),"Hà Nội")</f>
        <v>Hà Nội</v>
      </c>
      <c r="C507" s="265" t="str">
        <f>IFERROR(__xludf.DUMMYFUNCTION("""COMPUTED_VALUE"""),"Active")</f>
        <v>Active</v>
      </c>
      <c r="D507" s="265" t="str">
        <f>IFERROR(__xludf.DUMMYFUNCTION("""COMPUTED_VALUE"""),"Vận tải &amp; logistics")</f>
        <v>Vận tải &amp; logistics</v>
      </c>
      <c r="E507" s="265" t="str">
        <f>IFERROR(__xludf.DUMMYFUNCTION("""COMPUTED_VALUE"""),"TúPHN")</f>
        <v>TúPHN</v>
      </c>
      <c r="F507" s="265" t="str">
        <f>IFERROR(__xludf.DUMMYFUNCTION("""COMPUTED_VALUE"""),"Gold")</f>
        <v>Gold</v>
      </c>
      <c r="G507" s="265" t="str">
        <f>IFERROR(__xludf.DUMMYFUNCTION("""COMPUTED_VALUE"""),"Starter")</f>
        <v>Starter</v>
      </c>
      <c r="H507" s="265" t="str">
        <f>IFERROR(__xludf.DUMMYFUNCTION("""COMPUTED_VALUE"""),"Trả sau")</f>
        <v>Trả sau</v>
      </c>
      <c r="I507" s="265" t="str">
        <f>IFERROR(__xludf.DUMMYFUNCTION("""COMPUTED_VALUE"""),"API &amp; Portal")</f>
        <v>API &amp; Portal</v>
      </c>
      <c r="J507" s="265" t="str">
        <f>IFERROR(__xludf.DUMMYFUNCTION("""COMPUTED_VALUE"""),"Zalo ZNS")</f>
        <v>Zalo ZNS</v>
      </c>
      <c r="K507" s="265" t="str">
        <f>IFERROR(__xludf.DUMMYFUNCTION("""COMPUTED_VALUE"""),"DungPL")</f>
        <v>DungPL</v>
      </c>
    </row>
    <row r="508">
      <c r="A508" s="265" t="str">
        <f>IFERROR(__xludf.DUMMYFUNCTION("""COMPUTED_VALUE"""),"802")</f>
        <v>802</v>
      </c>
      <c r="B508" s="265" t="str">
        <f>IFERROR(__xludf.DUMMYFUNCTION("""COMPUTED_VALUE"""),"Sài Gòn")</f>
        <v>Sài Gòn</v>
      </c>
      <c r="C508" s="265" t="str">
        <f>IFERROR(__xludf.DUMMYFUNCTION("""COMPUTED_VALUE"""),"Active")</f>
        <v>Active</v>
      </c>
      <c r="D508" s="265" t="str">
        <f>IFERROR(__xludf.DUMMYFUNCTION("""COMPUTED_VALUE"""),"Dịch vụ khác")</f>
        <v>Dịch vụ khác</v>
      </c>
      <c r="E508" s="265" t="str">
        <f>IFERROR(__xludf.DUMMYFUNCTION("""COMPUTED_VALUE"""),"TúPHN")</f>
        <v>TúPHN</v>
      </c>
      <c r="F508" s="265" t="str">
        <f>IFERROR(__xludf.DUMMYFUNCTION("""COMPUTED_VALUE"""),"Silver")</f>
        <v>Silver</v>
      </c>
      <c r="G508" s="265" t="str">
        <f>IFERROR(__xludf.DUMMYFUNCTION("""COMPUTED_VALUE"""),"Standard")</f>
        <v>Standard</v>
      </c>
      <c r="H508" s="265" t="str">
        <f>IFERROR(__xludf.DUMMYFUNCTION("""COMPUTED_VALUE"""),"Trả trước")</f>
        <v>Trả trước</v>
      </c>
      <c r="I508" s="265" t="str">
        <f>IFERROR(__xludf.DUMMYFUNCTION("""COMPUTED_VALUE"""),"Portal")</f>
        <v>Portal</v>
      </c>
      <c r="J508" s="265" t="str">
        <f>IFERROR(__xludf.DUMMYFUNCTION("""COMPUTED_VALUE"""),"Zalo ZNS")</f>
        <v>Zalo ZNS</v>
      </c>
      <c r="K508" s="265" t="str">
        <f>IFERROR(__xludf.DUMMYFUNCTION("""COMPUTED_VALUE"""),"LinhNTT1")</f>
        <v>LinhNTT1</v>
      </c>
    </row>
    <row r="509">
      <c r="A509" s="265" t="str">
        <f>IFERROR(__xludf.DUMMYFUNCTION("""COMPUTED_VALUE"""),"803")</f>
        <v>803</v>
      </c>
      <c r="B509" s="265" t="str">
        <f>IFERROR(__xludf.DUMMYFUNCTION("""COMPUTED_VALUE"""),"Sài Gòn")</f>
        <v>Sài Gòn</v>
      </c>
      <c r="C509" s="265" t="str">
        <f>IFERROR(__xludf.DUMMYFUNCTION("""COMPUTED_VALUE"""),"Locked")</f>
        <v>Locked</v>
      </c>
      <c r="D509" s="265" t="str">
        <f>IFERROR(__xludf.DUMMYFUNCTION("""COMPUTED_VALUE"""),"Thực phẩm &amp; Đồ uống")</f>
        <v>Thực phẩm &amp; Đồ uống</v>
      </c>
      <c r="E509" s="265" t="str">
        <f>IFERROR(__xludf.DUMMYFUNCTION("""COMPUTED_VALUE"""),"HoaNTM")</f>
        <v>HoaNTM</v>
      </c>
      <c r="F509" s="265" t="str">
        <f>IFERROR(__xludf.DUMMYFUNCTION("""COMPUTED_VALUE"""),"Sale chưa cung cấp")</f>
        <v>Sale chưa cung cấp</v>
      </c>
      <c r="G509" s="265" t="str">
        <f>IFERROR(__xludf.DUMMYFUNCTION("""COMPUTED_VALUE"""),"Enterprise")</f>
        <v>Enterprise</v>
      </c>
      <c r="H509" s="265" t="str">
        <f>IFERROR(__xludf.DUMMYFUNCTION("""COMPUTED_VALUE"""),"Trả sau")</f>
        <v>Trả sau</v>
      </c>
      <c r="I509" s="265" t="str">
        <f>IFERROR(__xludf.DUMMYFUNCTION("""COMPUTED_VALUE"""),"Portal")</f>
        <v>Portal</v>
      </c>
      <c r="J509" s="265" t="str">
        <f>IFERROR(__xludf.DUMMYFUNCTION("""COMPUTED_VALUE"""),"Zalo ZNS")</f>
        <v>Zalo ZNS</v>
      </c>
      <c r="K509" s="265" t="str">
        <f>IFERROR(__xludf.DUMMYFUNCTION("""COMPUTED_VALUE"""),"(Chưa recheck)")</f>
        <v>(Chưa recheck)</v>
      </c>
    </row>
    <row r="510">
      <c r="A510" s="265" t="str">
        <f>IFERROR(__xludf.DUMMYFUNCTION("""COMPUTED_VALUE"""),"804")</f>
        <v>804</v>
      </c>
      <c r="B510" s="265" t="str">
        <f>IFERROR(__xludf.DUMMYFUNCTION("""COMPUTED_VALUE"""),"Sài Gòn")</f>
        <v>Sài Gòn</v>
      </c>
      <c r="C510" s="265" t="str">
        <f>IFERROR(__xludf.DUMMYFUNCTION("""COMPUTED_VALUE"""),"Active")</f>
        <v>Active</v>
      </c>
      <c r="D510" s="265" t="str">
        <f>IFERROR(__xludf.DUMMYFUNCTION("""COMPUTED_VALUE"""),"Mỹ phẩm &amp; Làm đẹp")</f>
        <v>Mỹ phẩm &amp; Làm đẹp</v>
      </c>
      <c r="E510" s="265" t="str">
        <f>IFERROR(__xludf.DUMMYFUNCTION("""COMPUTED_VALUE"""),"TùngLD")</f>
        <v>TùngLD</v>
      </c>
      <c r="F510" s="265" t="str">
        <f>IFERROR(__xludf.DUMMYFUNCTION("""COMPUTED_VALUE"""),"Silver")</f>
        <v>Silver</v>
      </c>
      <c r="G510" s="265" t="str">
        <f>IFERROR(__xludf.DUMMYFUNCTION("""COMPUTED_VALUE"""),"Premium")</f>
        <v>Premium</v>
      </c>
      <c r="H510" s="265" t="str">
        <f>IFERROR(__xludf.DUMMYFUNCTION("""COMPUTED_VALUE"""),"Trả trước")</f>
        <v>Trả trước</v>
      </c>
      <c r="I510" s="265" t="str">
        <f>IFERROR(__xludf.DUMMYFUNCTION("""COMPUTED_VALUE"""),"Portal")</f>
        <v>Portal</v>
      </c>
      <c r="J510" s="265" t="str">
        <f>IFERROR(__xludf.DUMMYFUNCTION("""COMPUTED_VALUE"""),"Zalo ZNS")</f>
        <v>Zalo ZNS</v>
      </c>
      <c r="K510" s="265" t="str">
        <f>IFERROR(__xludf.DUMMYFUNCTION("""COMPUTED_VALUE"""),"YếnĐH")</f>
        <v>YếnĐH</v>
      </c>
    </row>
    <row r="511">
      <c r="A511" s="265" t="str">
        <f>IFERROR(__xludf.DUMMYFUNCTION("""COMPUTED_VALUE"""),"805")</f>
        <v>805</v>
      </c>
      <c r="B511" s="265" t="str">
        <f>IFERROR(__xludf.DUMMYFUNCTION("""COMPUTED_VALUE"""),"Hà Nội")</f>
        <v>Hà Nội</v>
      </c>
      <c r="C511" s="265" t="str">
        <f>IFERROR(__xludf.DUMMYFUNCTION("""COMPUTED_VALUE"""),"Locked")</f>
        <v>Locked</v>
      </c>
      <c r="D511" s="265" t="str">
        <f>IFERROR(__xludf.DUMMYFUNCTION("""COMPUTED_VALUE"""),"Sale chưa cung cấp")</f>
        <v>Sale chưa cung cấp</v>
      </c>
      <c r="E511" s="265" t="str">
        <f>IFERROR(__xludf.DUMMYFUNCTION("""COMPUTED_VALUE"""),"TùngLD")</f>
        <v>TùngLD</v>
      </c>
      <c r="F511" s="265" t="str">
        <f>IFERROR(__xludf.DUMMYFUNCTION("""COMPUTED_VALUE"""),"Sale chưa cung cấp")</f>
        <v>Sale chưa cung cấp</v>
      </c>
      <c r="G511" s="265" t="str">
        <f>IFERROR(__xludf.DUMMYFUNCTION("""COMPUTED_VALUE"""),"Enterprise")</f>
        <v>Enterprise</v>
      </c>
      <c r="H511" s="265" t="str">
        <f>IFERROR(__xludf.DUMMYFUNCTION("""COMPUTED_VALUE"""),"Trả sau")</f>
        <v>Trả sau</v>
      </c>
      <c r="I511" s="265" t="str">
        <f>IFERROR(__xludf.DUMMYFUNCTION("""COMPUTED_VALUE"""),"Portal")</f>
        <v>Portal</v>
      </c>
      <c r="J511" s="265" t="str">
        <f>IFERROR(__xludf.DUMMYFUNCTION("""COMPUTED_VALUE"""),"Tất cả")</f>
        <v>Tất cả</v>
      </c>
      <c r="K511" s="265" t="str">
        <f>IFERROR(__xludf.DUMMYFUNCTION("""COMPUTED_VALUE"""),"Không phân công")</f>
        <v>Không phân công</v>
      </c>
    </row>
    <row r="512">
      <c r="A512" s="265" t="str">
        <f>IFERROR(__xludf.DUMMYFUNCTION("""COMPUTED_VALUE"""),"806")</f>
        <v>806</v>
      </c>
      <c r="B512" s="265" t="str">
        <f>IFERROR(__xludf.DUMMYFUNCTION("""COMPUTED_VALUE"""),"Hà Nội")</f>
        <v>Hà Nội</v>
      </c>
      <c r="C512" s="265" t="str">
        <f>IFERROR(__xludf.DUMMYFUNCTION("""COMPUTED_VALUE"""),"Locked")</f>
        <v>Locked</v>
      </c>
      <c r="D512" s="265" t="str">
        <f>IFERROR(__xludf.DUMMYFUNCTION("""COMPUTED_VALUE"""),"Sale chưa cung cấp")</f>
        <v>Sale chưa cung cấp</v>
      </c>
      <c r="E512" s="265" t="str">
        <f>IFERROR(__xludf.DUMMYFUNCTION("""COMPUTED_VALUE"""),"TùngLD")</f>
        <v>TùngLD</v>
      </c>
      <c r="F512" s="265" t="str">
        <f>IFERROR(__xludf.DUMMYFUNCTION("""COMPUTED_VALUE"""),"Sale chưa cung cấp")</f>
        <v>Sale chưa cung cấp</v>
      </c>
      <c r="G512" s="265" t="str">
        <f>IFERROR(__xludf.DUMMYFUNCTION("""COMPUTED_VALUE"""),"Enterprise")</f>
        <v>Enterprise</v>
      </c>
      <c r="H512" s="265" t="str">
        <f>IFERROR(__xludf.DUMMYFUNCTION("""COMPUTED_VALUE"""),"Trả sau")</f>
        <v>Trả sau</v>
      </c>
      <c r="I512" s="265" t="str">
        <f>IFERROR(__xludf.DUMMYFUNCTION("""COMPUTED_VALUE"""),"Portal")</f>
        <v>Portal</v>
      </c>
      <c r="J512" s="265" t="str">
        <f>IFERROR(__xludf.DUMMYFUNCTION("""COMPUTED_VALUE"""),"Tất cả")</f>
        <v>Tất cả</v>
      </c>
      <c r="K512" s="265" t="str">
        <f>IFERROR(__xludf.DUMMYFUNCTION("""COMPUTED_VALUE"""),"Không phân công")</f>
        <v>Không phân công</v>
      </c>
    </row>
    <row r="513">
      <c r="A513" s="265" t="str">
        <f>IFERROR(__xludf.DUMMYFUNCTION("""COMPUTED_VALUE"""),"808")</f>
        <v>808</v>
      </c>
      <c r="B513" s="265" t="str">
        <f>IFERROR(__xludf.DUMMYFUNCTION("""COMPUTED_VALUE"""),"Sài Gòn")</f>
        <v>Sài Gòn</v>
      </c>
      <c r="C513" s="265" t="str">
        <f>IFERROR(__xludf.DUMMYFUNCTION("""COMPUTED_VALUE"""),"Active")</f>
        <v>Active</v>
      </c>
      <c r="D513" s="265" t="str">
        <f>IFERROR(__xludf.DUMMYFUNCTION("""COMPUTED_VALUE"""),"Truyền thông &amp; Giải trí")</f>
        <v>Truyền thông &amp; Giải trí</v>
      </c>
      <c r="E513" s="265" t="str">
        <f>IFERROR(__xludf.DUMMYFUNCTION("""COMPUTED_VALUE"""),"TúPHN")</f>
        <v>TúPHN</v>
      </c>
      <c r="F513" s="265" t="str">
        <f>IFERROR(__xludf.DUMMYFUNCTION("""COMPUTED_VALUE"""),"Bronze")</f>
        <v>Bronze</v>
      </c>
      <c r="G513" s="265" t="str">
        <f>IFERROR(__xludf.DUMMYFUNCTION("""COMPUTED_VALUE"""),"Starter")</f>
        <v>Starter</v>
      </c>
      <c r="H513" s="265" t="str">
        <f>IFERROR(__xludf.DUMMYFUNCTION("""COMPUTED_VALUE"""),"Trả sau")</f>
        <v>Trả sau</v>
      </c>
      <c r="I513" s="265" t="str">
        <f>IFERROR(__xludf.DUMMYFUNCTION("""COMPUTED_VALUE"""),"API")</f>
        <v>API</v>
      </c>
      <c r="J513" s="265" t="str">
        <f>IFERROR(__xludf.DUMMYFUNCTION("""COMPUTED_VALUE"""),"Zalo ZNS")</f>
        <v>Zalo ZNS</v>
      </c>
      <c r="K513" s="265" t="str">
        <f>IFERROR(__xludf.DUMMYFUNCTION("""COMPUTED_VALUE"""),"DungPL")</f>
        <v>DungPL</v>
      </c>
    </row>
    <row r="514">
      <c r="A514" s="265" t="str">
        <f>IFERROR(__xludf.DUMMYFUNCTION("""COMPUTED_VALUE"""),"807")</f>
        <v>807</v>
      </c>
      <c r="B514" s="265" t="str">
        <f>IFERROR(__xludf.DUMMYFUNCTION("""COMPUTED_VALUE"""),"Hà Nội")</f>
        <v>Hà Nội</v>
      </c>
      <c r="C514" s="265" t="str">
        <f>IFERROR(__xludf.DUMMYFUNCTION("""COMPUTED_VALUE"""),"Active")</f>
        <v>Active</v>
      </c>
      <c r="D514" s="265" t="str">
        <f>IFERROR(__xludf.DUMMYFUNCTION("""COMPUTED_VALUE"""),"Công nghệ &amp; Phần mềm")</f>
        <v>Công nghệ &amp; Phần mềm</v>
      </c>
      <c r="E514" s="265" t="str">
        <f>IFERROR(__xludf.DUMMYFUNCTION("""COMPUTED_VALUE"""),"Không phân công")</f>
        <v>Không phân công</v>
      </c>
      <c r="F514" s="265" t="str">
        <f>IFERROR(__xludf.DUMMYFUNCTION("""COMPUTED_VALUE"""),"Silver")</f>
        <v>Silver</v>
      </c>
      <c r="G514" s="265" t="str">
        <f>IFERROR(__xludf.DUMMYFUNCTION("""COMPUTED_VALUE"""),"API")</f>
        <v>API</v>
      </c>
      <c r="H514" s="265" t="str">
        <f>IFERROR(__xludf.DUMMYFUNCTION("""COMPUTED_VALUE"""),"Trả sau")</f>
        <v>Trả sau</v>
      </c>
      <c r="I514" s="265" t="str">
        <f>IFERROR(__xludf.DUMMYFUNCTION("""COMPUTED_VALUE"""),"API")</f>
        <v>API</v>
      </c>
      <c r="J514" s="265" t="str">
        <f>IFERROR(__xludf.DUMMYFUNCTION("""COMPUTED_VALUE"""),"SMS CSKH")</f>
        <v>SMS CSKH</v>
      </c>
      <c r="K514" s="265" t="str">
        <f>IFERROR(__xludf.DUMMYFUNCTION("""COMPUTED_VALUE"""),"DungVT")</f>
        <v>DungVT</v>
      </c>
    </row>
    <row r="515">
      <c r="A515" s="265" t="str">
        <f>IFERROR(__xludf.DUMMYFUNCTION("""COMPUTED_VALUE"""),"788")</f>
        <v>788</v>
      </c>
      <c r="B515" s="265" t="str">
        <f>IFERROR(__xludf.DUMMYFUNCTION("""COMPUTED_VALUE"""),"Hà Nội")</f>
        <v>Hà Nội</v>
      </c>
      <c r="C515" s="265" t="str">
        <f>IFERROR(__xludf.DUMMYFUNCTION("""COMPUTED_VALUE"""),"Active")</f>
        <v>Active</v>
      </c>
      <c r="D515" s="265" t="str">
        <f>IFERROR(__xludf.DUMMYFUNCTION("""COMPUTED_VALUE"""),"Mua sắm &amp; Bán lẻ")</f>
        <v>Mua sắm &amp; Bán lẻ</v>
      </c>
      <c r="E515" s="265" t="str">
        <f>IFERROR(__xludf.DUMMYFUNCTION("""COMPUTED_VALUE"""),"TùngLD")</f>
        <v>TùngLD</v>
      </c>
      <c r="F515" s="265" t="str">
        <f>IFERROR(__xludf.DUMMYFUNCTION("""COMPUTED_VALUE"""),"Bronze")</f>
        <v>Bronze</v>
      </c>
      <c r="G515" s="265" t="str">
        <f>IFERROR(__xludf.DUMMYFUNCTION("""COMPUTED_VALUE"""),"Starter")</f>
        <v>Starter</v>
      </c>
      <c r="H515" s="265" t="str">
        <f>IFERROR(__xludf.DUMMYFUNCTION("""COMPUTED_VALUE"""),"Trả sau")</f>
        <v>Trả sau</v>
      </c>
      <c r="I515" s="265" t="str">
        <f>IFERROR(__xludf.DUMMYFUNCTION("""COMPUTED_VALUE"""),"API &amp; Portal")</f>
        <v>API &amp; Portal</v>
      </c>
      <c r="J515" s="265" t="str">
        <f>IFERROR(__xludf.DUMMYFUNCTION("""COMPUTED_VALUE"""),"Tất cả")</f>
        <v>Tất cả</v>
      </c>
      <c r="K515" s="265" t="str">
        <f>IFERROR(__xludf.DUMMYFUNCTION("""COMPUTED_VALUE"""),"DungPL")</f>
        <v>DungPL</v>
      </c>
    </row>
    <row r="516">
      <c r="A516" s="265" t="str">
        <f>IFERROR(__xludf.DUMMYFUNCTION("""COMPUTED_VALUE"""),"809")</f>
        <v>809</v>
      </c>
      <c r="B516" s="265" t="str">
        <f>IFERROR(__xludf.DUMMYFUNCTION("""COMPUTED_VALUE"""),"Hà Nội")</f>
        <v>Hà Nội</v>
      </c>
      <c r="C516" s="265" t="str">
        <f>IFERROR(__xludf.DUMMYFUNCTION("""COMPUTED_VALUE"""),"Locked")</f>
        <v>Locked</v>
      </c>
      <c r="D516" s="265" t="str">
        <f>IFERROR(__xludf.DUMMYFUNCTION("""COMPUTED_VALUE"""),"Sale chưa cung cấp")</f>
        <v>Sale chưa cung cấp</v>
      </c>
      <c r="E516" s="265" t="str">
        <f>IFERROR(__xludf.DUMMYFUNCTION("""COMPUTED_VALUE"""),"TúPHN")</f>
        <v>TúPHN</v>
      </c>
      <c r="F516" s="265" t="str">
        <f>IFERROR(__xludf.DUMMYFUNCTION("""COMPUTED_VALUE"""),"Silver")</f>
        <v>Silver</v>
      </c>
      <c r="G516" s="265" t="str">
        <f>IFERROR(__xludf.DUMMYFUNCTION("""COMPUTED_VALUE"""),"Starter")</f>
        <v>Starter</v>
      </c>
      <c r="H516" s="265" t="str">
        <f>IFERROR(__xludf.DUMMYFUNCTION("""COMPUTED_VALUE"""),"Trial")</f>
        <v>Trial</v>
      </c>
      <c r="I516" s="265" t="str">
        <f>IFERROR(__xludf.DUMMYFUNCTION("""COMPUTED_VALUE"""),"API")</f>
        <v>API</v>
      </c>
      <c r="J516" s="265" t="str">
        <f>IFERROR(__xludf.DUMMYFUNCTION("""COMPUTED_VALUE"""),"Tất cả")</f>
        <v>Tất cả</v>
      </c>
      <c r="K516" s="265" t="str">
        <f>IFERROR(__xludf.DUMMYFUNCTION("""COMPUTED_VALUE"""),"(Không recheck)")</f>
        <v>(Không recheck)</v>
      </c>
    </row>
    <row r="517">
      <c r="A517" s="265" t="str">
        <f>IFERROR(__xludf.DUMMYFUNCTION("""COMPUTED_VALUE"""),"810")</f>
        <v>810</v>
      </c>
      <c r="B517" s="265" t="str">
        <f>IFERROR(__xludf.DUMMYFUNCTION("""COMPUTED_VALUE"""),"Hà Nội")</f>
        <v>Hà Nội</v>
      </c>
      <c r="C517" s="265" t="str">
        <f>IFERROR(__xludf.DUMMYFUNCTION("""COMPUTED_VALUE"""),"Locked")</f>
        <v>Locked</v>
      </c>
      <c r="D517" s="265" t="str">
        <f>IFERROR(__xludf.DUMMYFUNCTION("""COMPUTED_VALUE"""),"Sale chưa cung cấp")</f>
        <v>Sale chưa cung cấp</v>
      </c>
      <c r="E517" s="265" t="str">
        <f>IFERROR(__xludf.DUMMYFUNCTION("""COMPUTED_VALUE"""),"HangNT")</f>
        <v>HangNT</v>
      </c>
      <c r="F517" s="265" t="str">
        <f>IFERROR(__xludf.DUMMYFUNCTION("""COMPUTED_VALUE"""),"Sale chưa cung cấp")</f>
        <v>Sale chưa cung cấp</v>
      </c>
      <c r="G517" s="265" t="str">
        <f>IFERROR(__xludf.DUMMYFUNCTION("""COMPUTED_VALUE"""),"Starter")</f>
        <v>Starter</v>
      </c>
      <c r="H517" s="265" t="str">
        <f>IFERROR(__xludf.DUMMYFUNCTION("""COMPUTED_VALUE"""),"Trial")</f>
        <v>Trial</v>
      </c>
      <c r="I517" s="265" t="str">
        <f>IFERROR(__xludf.DUMMYFUNCTION("""COMPUTED_VALUE"""),"API")</f>
        <v>API</v>
      </c>
      <c r="J517" s="265" t="str">
        <f>IFERROR(__xludf.DUMMYFUNCTION("""COMPUTED_VALUE"""),"Tất cả")</f>
        <v>Tất cả</v>
      </c>
      <c r="K517" s="265" t="str">
        <f>IFERROR(__xludf.DUMMYFUNCTION("""COMPUTED_VALUE"""),"(Không recheck)")</f>
        <v>(Không recheck)</v>
      </c>
    </row>
    <row r="518">
      <c r="A518" s="265" t="str">
        <f>IFERROR(__xludf.DUMMYFUNCTION("""COMPUTED_VALUE"""),"811")</f>
        <v>811</v>
      </c>
      <c r="B518" s="265" t="str">
        <f>IFERROR(__xludf.DUMMYFUNCTION("""COMPUTED_VALUE"""),"Hà Nội")</f>
        <v>Hà Nội</v>
      </c>
      <c r="C518" s="265" t="str">
        <f>IFERROR(__xludf.DUMMYFUNCTION("""COMPUTED_VALUE"""),"Active")</f>
        <v>Active</v>
      </c>
      <c r="D518" s="265" t="str">
        <f>IFERROR(__xludf.DUMMYFUNCTION("""COMPUTED_VALUE"""),"Truyền thông &amp; Giải trí")</f>
        <v>Truyền thông &amp; Giải trí</v>
      </c>
      <c r="E518" s="265" t="str">
        <f>IFERROR(__xludf.DUMMYFUNCTION("""COMPUTED_VALUE"""),"TúPHN")</f>
        <v>TúPHN</v>
      </c>
      <c r="F518" s="265" t="str">
        <f>IFERROR(__xludf.DUMMYFUNCTION("""COMPUTED_VALUE"""),"Bronze")</f>
        <v>Bronze</v>
      </c>
      <c r="G518" s="265" t="str">
        <f>IFERROR(__xludf.DUMMYFUNCTION("""COMPUTED_VALUE"""),"Starter")</f>
        <v>Starter</v>
      </c>
      <c r="H518" s="265" t="str">
        <f>IFERROR(__xludf.DUMMYFUNCTION("""COMPUTED_VALUE"""),"Trả sau")</f>
        <v>Trả sau</v>
      </c>
      <c r="I518" s="265" t="str">
        <f>IFERROR(__xludf.DUMMYFUNCTION("""COMPUTED_VALUE"""),"API")</f>
        <v>API</v>
      </c>
      <c r="J518" s="265" t="str">
        <f>IFERROR(__xludf.DUMMYFUNCTION("""COMPUTED_VALUE"""),"Tất cả")</f>
        <v>Tất cả</v>
      </c>
      <c r="K518" s="265" t="str">
        <f>IFERROR(__xludf.DUMMYFUNCTION("""COMPUTED_VALUE"""),"Không phân công")</f>
        <v>Không phân công</v>
      </c>
    </row>
    <row r="519">
      <c r="A519" s="265" t="str">
        <f>IFERROR(__xludf.DUMMYFUNCTION("""COMPUTED_VALUE"""),"812")</f>
        <v>812</v>
      </c>
      <c r="B519" s="265" t="str">
        <f>IFERROR(__xludf.DUMMYFUNCTION("""COMPUTED_VALUE"""),"Sài Gòn")</f>
        <v>Sài Gòn</v>
      </c>
      <c r="C519" s="265" t="str">
        <f>IFERROR(__xludf.DUMMYFUNCTION("""COMPUTED_VALUE"""),"Locked")</f>
        <v>Locked</v>
      </c>
      <c r="D519" s="265" t="str">
        <f>IFERROR(__xludf.DUMMYFUNCTION("""COMPUTED_VALUE"""),"Sản xuất &amp; Chế tạo")</f>
        <v>Sản xuất &amp; Chế tạo</v>
      </c>
      <c r="E519" s="265" t="str">
        <f>IFERROR(__xludf.DUMMYFUNCTION("""COMPUTED_VALUE"""),"HoaNTM")</f>
        <v>HoaNTM</v>
      </c>
      <c r="F519" s="265" t="str">
        <f>IFERROR(__xludf.DUMMYFUNCTION("""COMPUTED_VALUE"""),"Sale chưa cung cấp")</f>
        <v>Sale chưa cung cấp</v>
      </c>
      <c r="G519" s="265" t="str">
        <f>IFERROR(__xludf.DUMMYFUNCTION("""COMPUTED_VALUE"""),"API")</f>
        <v>API</v>
      </c>
      <c r="H519" s="265" t="str">
        <f>IFERROR(__xludf.DUMMYFUNCTION("""COMPUTED_VALUE"""),"Trả sau")</f>
        <v>Trả sau</v>
      </c>
      <c r="I519" s="265" t="str">
        <f>IFERROR(__xludf.DUMMYFUNCTION("""COMPUTED_VALUE"""),"API")</f>
        <v>API</v>
      </c>
      <c r="J519" s="265" t="str">
        <f>IFERROR(__xludf.DUMMYFUNCTION("""COMPUTED_VALUE"""),"GapOne")</f>
        <v>GapOne</v>
      </c>
      <c r="K519" s="265" t="str">
        <f>IFERROR(__xludf.DUMMYFUNCTION("""COMPUTED_VALUE"""),"(Chưa recheck)")</f>
        <v>(Chưa recheck)</v>
      </c>
    </row>
    <row r="520">
      <c r="A520" s="265" t="str">
        <f>IFERROR(__xludf.DUMMYFUNCTION("""COMPUTED_VALUE"""),"813")</f>
        <v>813</v>
      </c>
      <c r="B520" s="265" t="str">
        <f>IFERROR(__xludf.DUMMYFUNCTION("""COMPUTED_VALUE"""),"Sài Gòn")</f>
        <v>Sài Gòn</v>
      </c>
      <c r="C520" s="265" t="str">
        <f>IFERROR(__xludf.DUMMYFUNCTION("""COMPUTED_VALUE"""),"Locked")</f>
        <v>Locked</v>
      </c>
      <c r="D520" s="265" t="str">
        <f>IFERROR(__xludf.DUMMYFUNCTION("""COMPUTED_VALUE"""),"Giáo dục &amp; Đào tạo")</f>
        <v>Giáo dục &amp; Đào tạo</v>
      </c>
      <c r="E520" s="265" t="str">
        <f>IFERROR(__xludf.DUMMYFUNCTION("""COMPUTED_VALUE"""),"HoaNTM")</f>
        <v>HoaNTM</v>
      </c>
      <c r="F520" s="265" t="str">
        <f>IFERROR(__xludf.DUMMYFUNCTION("""COMPUTED_VALUE"""),"Sale chưa cung cấp")</f>
        <v>Sale chưa cung cấp</v>
      </c>
      <c r="G520" s="265" t="str">
        <f>IFERROR(__xludf.DUMMYFUNCTION("""COMPUTED_VALUE"""),"Premium")</f>
        <v>Premium</v>
      </c>
      <c r="H520" s="265" t="str">
        <f>IFERROR(__xludf.DUMMYFUNCTION("""COMPUTED_VALUE"""),"Trial")</f>
        <v>Trial</v>
      </c>
      <c r="I520" s="265" t="str">
        <f>IFERROR(__xludf.DUMMYFUNCTION("""COMPUTED_VALUE"""),"API &amp; Portal")</f>
        <v>API &amp; Portal</v>
      </c>
      <c r="J520" s="265" t="str">
        <f>IFERROR(__xludf.DUMMYFUNCTION("""COMPUTED_VALUE"""),"Zalo ZNS")</f>
        <v>Zalo ZNS</v>
      </c>
      <c r="K520" s="265" t="str">
        <f>IFERROR(__xludf.DUMMYFUNCTION("""COMPUTED_VALUE"""),"(Chưa recheck)")</f>
        <v>(Chưa recheck)</v>
      </c>
    </row>
    <row r="521">
      <c r="A521" s="265" t="str">
        <f>IFERROR(__xludf.DUMMYFUNCTION("""COMPUTED_VALUE"""),"814")</f>
        <v>814</v>
      </c>
      <c r="B521" s="265" t="str">
        <f>IFERROR(__xludf.DUMMYFUNCTION("""COMPUTED_VALUE"""),"Sài Gòn")</f>
        <v>Sài Gòn</v>
      </c>
      <c r="C521" s="265" t="str">
        <f>IFERROR(__xludf.DUMMYFUNCTION("""COMPUTED_VALUE"""),"Active")</f>
        <v>Active</v>
      </c>
      <c r="D521" s="265" t="str">
        <f>IFERROR(__xludf.DUMMYFUNCTION("""COMPUTED_VALUE"""),"Thực phẩm &amp; Đồ uống")</f>
        <v>Thực phẩm &amp; Đồ uống</v>
      </c>
      <c r="E521" s="265" t="str">
        <f>IFERROR(__xludf.DUMMYFUNCTION("""COMPUTED_VALUE"""),"TrâmNNB")</f>
        <v>TrâmNNB</v>
      </c>
      <c r="F521" s="265" t="str">
        <f>IFERROR(__xludf.DUMMYFUNCTION("""COMPUTED_VALUE"""),"Diamond")</f>
        <v>Diamond</v>
      </c>
      <c r="G521" s="265" t="str">
        <f>IFERROR(__xludf.DUMMYFUNCTION("""COMPUTED_VALUE"""),"Enterprise")</f>
        <v>Enterprise</v>
      </c>
      <c r="H521" s="265" t="str">
        <f>IFERROR(__xludf.DUMMYFUNCTION("""COMPUTED_VALUE"""),"Trả sau")</f>
        <v>Trả sau</v>
      </c>
      <c r="I521" s="265" t="str">
        <f>IFERROR(__xludf.DUMMYFUNCTION("""COMPUTED_VALUE"""),"API &amp; Portal")</f>
        <v>API &amp; Portal</v>
      </c>
      <c r="J521" s="265" t="str">
        <f>IFERROR(__xludf.DUMMYFUNCTION("""COMPUTED_VALUE"""),"Zalo ZNS")</f>
        <v>Zalo ZNS</v>
      </c>
      <c r="K521" s="265" t="str">
        <f>IFERROR(__xludf.DUMMYFUNCTION("""COMPUTED_VALUE"""),"Không phân công")</f>
        <v>Không phân công</v>
      </c>
    </row>
    <row r="522">
      <c r="A522" s="265" t="str">
        <f>IFERROR(__xludf.DUMMYFUNCTION("""COMPUTED_VALUE"""),"814")</f>
        <v>814</v>
      </c>
      <c r="B522" s="265" t="str">
        <f>IFERROR(__xludf.DUMMYFUNCTION("""COMPUTED_VALUE"""),"Sài Gòn")</f>
        <v>Sài Gòn</v>
      </c>
      <c r="C522" s="265" t="str">
        <f>IFERROR(__xludf.DUMMYFUNCTION("""COMPUTED_VALUE"""),"Active")</f>
        <v>Active</v>
      </c>
      <c r="D522" s="265" t="str">
        <f>IFERROR(__xludf.DUMMYFUNCTION("""COMPUTED_VALUE"""),"Thực phẩm &amp; Đồ uống")</f>
        <v>Thực phẩm &amp; Đồ uống</v>
      </c>
      <c r="E522" s="265" t="str">
        <f>IFERROR(__xludf.DUMMYFUNCTION("""COMPUTED_VALUE"""),"TrâmNNB")</f>
        <v>TrâmNNB</v>
      </c>
      <c r="F522" s="265" t="str">
        <f>IFERROR(__xludf.DUMMYFUNCTION("""COMPUTED_VALUE"""),"Diamond")</f>
        <v>Diamond</v>
      </c>
      <c r="G522" s="265" t="str">
        <f>IFERROR(__xludf.DUMMYFUNCTION("""COMPUTED_VALUE"""),"Enterprise")</f>
        <v>Enterprise</v>
      </c>
      <c r="H522" s="265" t="str">
        <f>IFERROR(__xludf.DUMMYFUNCTION("""COMPUTED_VALUE"""),"Trả sau")</f>
        <v>Trả sau</v>
      </c>
      <c r="I522" s="265" t="str">
        <f>IFERROR(__xludf.DUMMYFUNCTION("""COMPUTED_VALUE"""),"API &amp; Portal")</f>
        <v>API &amp; Portal</v>
      </c>
      <c r="J522" s="265" t="str">
        <f>IFERROR(__xludf.DUMMYFUNCTION("""COMPUTED_VALUE"""),"Zalo UID")</f>
        <v>Zalo UID</v>
      </c>
      <c r="K522" s="265" t="str">
        <f>IFERROR(__xludf.DUMMYFUNCTION("""COMPUTED_VALUE"""),"Không phân công")</f>
        <v>Không phân công</v>
      </c>
    </row>
    <row r="523">
      <c r="A523" s="265" t="str">
        <f>IFERROR(__xludf.DUMMYFUNCTION("""COMPUTED_VALUE"""),"815")</f>
        <v>815</v>
      </c>
      <c r="B523" s="265" t="str">
        <f>IFERROR(__xludf.DUMMYFUNCTION("""COMPUTED_VALUE"""),"Sài Gòn")</f>
        <v>Sài Gòn</v>
      </c>
      <c r="C523" s="265" t="str">
        <f>IFERROR(__xludf.DUMMYFUNCTION("""COMPUTED_VALUE"""),"Locked")</f>
        <v>Locked</v>
      </c>
      <c r="D523" s="265" t="str">
        <f>IFERROR(__xludf.DUMMYFUNCTION("""COMPUTED_VALUE"""),"Sản xuất &amp; Chế tạo")</f>
        <v>Sản xuất &amp; Chế tạo</v>
      </c>
      <c r="E523" s="265" t="str">
        <f>IFERROR(__xludf.DUMMYFUNCTION("""COMPUTED_VALUE"""),"HoaNTM")</f>
        <v>HoaNTM</v>
      </c>
      <c r="F523" s="265" t="str">
        <f>IFERROR(__xludf.DUMMYFUNCTION("""COMPUTED_VALUE"""),"Silver")</f>
        <v>Silver</v>
      </c>
      <c r="G523" s="265" t="str">
        <f>IFERROR(__xludf.DUMMYFUNCTION("""COMPUTED_VALUE"""),"Starter")</f>
        <v>Starter</v>
      </c>
      <c r="H523" s="265" t="str">
        <f>IFERROR(__xludf.DUMMYFUNCTION("""COMPUTED_VALUE"""),"Trial")</f>
        <v>Trial</v>
      </c>
      <c r="I523" s="265" t="str">
        <f>IFERROR(__xludf.DUMMYFUNCTION("""COMPUTED_VALUE"""),"Portal")</f>
        <v>Portal</v>
      </c>
      <c r="J523" s="265" t="str">
        <f>IFERROR(__xludf.DUMMYFUNCTION("""COMPUTED_VALUE"""),"Zalo ZNS")</f>
        <v>Zalo ZNS</v>
      </c>
      <c r="K523" s="265" t="str">
        <f>IFERROR(__xludf.DUMMYFUNCTION("""COMPUTED_VALUE"""),"AnhNM")</f>
        <v>AnhNM</v>
      </c>
    </row>
    <row r="524">
      <c r="A524" s="265" t="str">
        <f>IFERROR(__xludf.DUMMYFUNCTION("""COMPUTED_VALUE"""),"820")</f>
        <v>820</v>
      </c>
      <c r="B524" s="265" t="str">
        <f>IFERROR(__xludf.DUMMYFUNCTION("""COMPUTED_VALUE"""),"Sài Gòn")</f>
        <v>Sài Gòn</v>
      </c>
      <c r="C524" s="265" t="str">
        <f>IFERROR(__xludf.DUMMYFUNCTION("""COMPUTED_VALUE"""),"Locked")</f>
        <v>Locked</v>
      </c>
      <c r="D524" s="265" t="str">
        <f>IFERROR(__xludf.DUMMYFUNCTION("""COMPUTED_VALUE"""),"Thực phẩm &amp; Đồ uống")</f>
        <v>Thực phẩm &amp; Đồ uống</v>
      </c>
      <c r="E524" s="265" t="str">
        <f>IFERROR(__xludf.DUMMYFUNCTION("""COMPUTED_VALUE"""),"HoaNTM")</f>
        <v>HoaNTM</v>
      </c>
      <c r="F524" s="265" t="str">
        <f>IFERROR(__xludf.DUMMYFUNCTION("""COMPUTED_VALUE"""),"Sale chưa cung cấp")</f>
        <v>Sale chưa cung cấp</v>
      </c>
      <c r="G524" s="265" t="str">
        <f>IFERROR(__xludf.DUMMYFUNCTION("""COMPUTED_VALUE"""),"Enterprise")</f>
        <v>Enterprise</v>
      </c>
      <c r="H524" s="265" t="str">
        <f>IFERROR(__xludf.DUMMYFUNCTION("""COMPUTED_VALUE"""),"Trả sau")</f>
        <v>Trả sau</v>
      </c>
      <c r="I524" s="265" t="str">
        <f>IFERROR(__xludf.DUMMYFUNCTION("""COMPUTED_VALUE"""),"API &amp; Portal")</f>
        <v>API &amp; Portal</v>
      </c>
      <c r="J524" s="265" t="str">
        <f>IFERROR(__xludf.DUMMYFUNCTION("""COMPUTED_VALUE"""),"Zalo ZNS")</f>
        <v>Zalo ZNS</v>
      </c>
      <c r="K524" s="265" t="str">
        <f>IFERROR(__xludf.DUMMYFUNCTION("""COMPUTED_VALUE"""),"YếnĐH")</f>
        <v>YếnĐH</v>
      </c>
    </row>
    <row r="525">
      <c r="A525" s="265" t="str">
        <f>IFERROR(__xludf.DUMMYFUNCTION("""COMPUTED_VALUE"""),"821")</f>
        <v>821</v>
      </c>
      <c r="B525" s="265" t="str">
        <f>IFERROR(__xludf.DUMMYFUNCTION("""COMPUTED_VALUE"""),"Sài Gòn")</f>
        <v>Sài Gòn</v>
      </c>
      <c r="C525" s="265" t="str">
        <f>IFERROR(__xludf.DUMMYFUNCTION("""COMPUTED_VALUE"""),"Locked")</f>
        <v>Locked</v>
      </c>
      <c r="D525" s="265" t="str">
        <f>IFERROR(__xludf.DUMMYFUNCTION("""COMPUTED_VALUE"""),"Thực phẩm &amp; Đồ uống")</f>
        <v>Thực phẩm &amp; Đồ uống</v>
      </c>
      <c r="E525" s="265" t="str">
        <f>IFERROR(__xludf.DUMMYFUNCTION("""COMPUTED_VALUE"""),"HoaNTM")</f>
        <v>HoaNTM</v>
      </c>
      <c r="F525" s="265" t="str">
        <f>IFERROR(__xludf.DUMMYFUNCTION("""COMPUTED_VALUE"""),"Sale chưa cung cấp")</f>
        <v>Sale chưa cung cấp</v>
      </c>
      <c r="G525" s="265" t="str">
        <f>IFERROR(__xludf.DUMMYFUNCTION("""COMPUTED_VALUE"""),"Enterprise")</f>
        <v>Enterprise</v>
      </c>
      <c r="H525" s="265" t="str">
        <f>IFERROR(__xludf.DUMMYFUNCTION("""COMPUTED_VALUE"""),"Trả sau")</f>
        <v>Trả sau</v>
      </c>
      <c r="I525" s="265" t="str">
        <f>IFERROR(__xludf.DUMMYFUNCTION("""COMPUTED_VALUE"""),"API &amp; Portal")</f>
        <v>API &amp; Portal</v>
      </c>
      <c r="J525" s="265" t="str">
        <f>IFERROR(__xludf.DUMMYFUNCTION("""COMPUTED_VALUE"""),"Zalo ZNS")</f>
        <v>Zalo ZNS</v>
      </c>
      <c r="K525" s="265" t="str">
        <f>IFERROR(__xludf.DUMMYFUNCTION("""COMPUTED_VALUE"""),"YếnĐH")</f>
        <v>YếnĐH</v>
      </c>
    </row>
    <row r="526">
      <c r="A526" s="265" t="str">
        <f>IFERROR(__xludf.DUMMYFUNCTION("""COMPUTED_VALUE"""),"816")</f>
        <v>816</v>
      </c>
      <c r="B526" s="265" t="str">
        <f>IFERROR(__xludf.DUMMYFUNCTION("""COMPUTED_VALUE"""),"Hà Nội")</f>
        <v>Hà Nội</v>
      </c>
      <c r="C526" s="265" t="str">
        <f>IFERROR(__xludf.DUMMYFUNCTION("""COMPUTED_VALUE"""),"Locked")</f>
        <v>Locked</v>
      </c>
      <c r="D526" s="265" t="str">
        <f>IFERROR(__xludf.DUMMYFUNCTION("""COMPUTED_VALUE"""),"Sale chưa cung cấp")</f>
        <v>Sale chưa cung cấp</v>
      </c>
      <c r="E526" s="265" t="str">
        <f>IFERROR(__xludf.DUMMYFUNCTION("""COMPUTED_VALUE"""),"TùngLD")</f>
        <v>TùngLD</v>
      </c>
      <c r="F526" s="265" t="str">
        <f>IFERROR(__xludf.DUMMYFUNCTION("""COMPUTED_VALUE"""),"Gold")</f>
        <v>Gold</v>
      </c>
      <c r="G526" s="265" t="str">
        <f>IFERROR(__xludf.DUMMYFUNCTION("""COMPUTED_VALUE"""),"Premium")</f>
        <v>Premium</v>
      </c>
      <c r="H526" s="265" t="str">
        <f>IFERROR(__xludf.DUMMYFUNCTION("""COMPUTED_VALUE"""),"Trả sau")</f>
        <v>Trả sau</v>
      </c>
      <c r="I526" s="265" t="str">
        <f>IFERROR(__xludf.DUMMYFUNCTION("""COMPUTED_VALUE"""),"API")</f>
        <v>API</v>
      </c>
      <c r="J526" s="265" t="str">
        <f>IFERROR(__xludf.DUMMYFUNCTION("""COMPUTED_VALUE"""),"Tất cả")</f>
        <v>Tất cả</v>
      </c>
      <c r="K526" s="265" t="str">
        <f>IFERROR(__xludf.DUMMYFUNCTION("""COMPUTED_VALUE"""),"YếnĐH")</f>
        <v>YếnĐH</v>
      </c>
    </row>
    <row r="527">
      <c r="A527" s="265" t="str">
        <f>IFERROR(__xludf.DUMMYFUNCTION("""COMPUTED_VALUE"""),"817")</f>
        <v>817</v>
      </c>
      <c r="B527" s="265" t="str">
        <f>IFERROR(__xludf.DUMMYFUNCTION("""COMPUTED_VALUE"""),"Hà Nội")</f>
        <v>Hà Nội</v>
      </c>
      <c r="C527" s="265" t="str">
        <f>IFERROR(__xludf.DUMMYFUNCTION("""COMPUTED_VALUE"""),"Locked")</f>
        <v>Locked</v>
      </c>
      <c r="D527" s="265" t="str">
        <f>IFERROR(__xludf.DUMMYFUNCTION("""COMPUTED_VALUE"""),"Sale chưa cung cấp")</f>
        <v>Sale chưa cung cấp</v>
      </c>
      <c r="E527" s="265" t="str">
        <f>IFERROR(__xludf.DUMMYFUNCTION("""COMPUTED_VALUE"""),"AnhNM")</f>
        <v>AnhNM</v>
      </c>
      <c r="F527" s="265" t="str">
        <f>IFERROR(__xludf.DUMMYFUNCTION("""COMPUTED_VALUE"""),"Bronze")</f>
        <v>Bronze</v>
      </c>
      <c r="G527" s="265" t="str">
        <f>IFERROR(__xludf.DUMMYFUNCTION("""COMPUTED_VALUE"""),"Starter")</f>
        <v>Starter</v>
      </c>
      <c r="H527" s="265" t="str">
        <f>IFERROR(__xludf.DUMMYFUNCTION("""COMPUTED_VALUE"""),"Trả trước")</f>
        <v>Trả trước</v>
      </c>
      <c r="I527" s="265" t="str">
        <f>IFERROR(__xludf.DUMMYFUNCTION("""COMPUTED_VALUE"""),"Portal")</f>
        <v>Portal</v>
      </c>
      <c r="J527" s="265" t="str">
        <f>IFERROR(__xludf.DUMMYFUNCTION("""COMPUTED_VALUE"""),"Zalo ZNS")</f>
        <v>Zalo ZNS</v>
      </c>
      <c r="K527" s="265" t="str">
        <f>IFERROR(__xludf.DUMMYFUNCTION("""COMPUTED_VALUE"""),"LinhNTT1")</f>
        <v>LinhNTT1</v>
      </c>
    </row>
    <row r="528">
      <c r="A528" s="265" t="str">
        <f>IFERROR(__xludf.DUMMYFUNCTION("""COMPUTED_VALUE"""),"819")</f>
        <v>819</v>
      </c>
      <c r="B528" s="265" t="str">
        <f>IFERROR(__xludf.DUMMYFUNCTION("""COMPUTED_VALUE"""),"Đà Nẵng")</f>
        <v>Đà Nẵng</v>
      </c>
      <c r="C528" s="265" t="str">
        <f>IFERROR(__xludf.DUMMYFUNCTION("""COMPUTED_VALUE"""),"Active")</f>
        <v>Active</v>
      </c>
      <c r="D528" s="265" t="str">
        <f>IFERROR(__xludf.DUMMYFUNCTION("""COMPUTED_VALUE"""),"Sale chưa cung cấp")</f>
        <v>Sale chưa cung cấp</v>
      </c>
      <c r="E528" s="265" t="str">
        <f>IFERROR(__xludf.DUMMYFUNCTION("""COMPUTED_VALUE"""),"AnhNM")</f>
        <v>AnhNM</v>
      </c>
      <c r="F528" s="265" t="str">
        <f>IFERROR(__xludf.DUMMYFUNCTION("""COMPUTED_VALUE"""),"Bronze")</f>
        <v>Bronze</v>
      </c>
      <c r="G528" s="265" t="str">
        <f>IFERROR(__xludf.DUMMYFUNCTION("""COMPUTED_VALUE"""),"Starter")</f>
        <v>Starter</v>
      </c>
      <c r="H528" s="265" t="str">
        <f>IFERROR(__xludf.DUMMYFUNCTION("""COMPUTED_VALUE"""),"Trả sau")</f>
        <v>Trả sau</v>
      </c>
      <c r="I528" s="265" t="str">
        <f>IFERROR(__xludf.DUMMYFUNCTION("""COMPUTED_VALUE"""),"API")</f>
        <v>API</v>
      </c>
      <c r="J528" s="265" t="str">
        <f>IFERROR(__xludf.DUMMYFUNCTION("""COMPUTED_VALUE"""),"SMS CSKH")</f>
        <v>SMS CSKH</v>
      </c>
      <c r="K528" s="265" t="str">
        <f>IFERROR(__xludf.DUMMYFUNCTION("""COMPUTED_VALUE"""),"DungPL")</f>
        <v>DungPL</v>
      </c>
    </row>
    <row r="529">
      <c r="A529" s="265" t="str">
        <f>IFERROR(__xludf.DUMMYFUNCTION("""COMPUTED_VALUE"""),"818")</f>
        <v>818</v>
      </c>
      <c r="B529" s="265" t="str">
        <f>IFERROR(__xludf.DUMMYFUNCTION("""COMPUTED_VALUE"""),"Đà Nẵng")</f>
        <v>Đà Nẵng</v>
      </c>
      <c r="C529" s="265" t="str">
        <f>IFERROR(__xludf.DUMMYFUNCTION("""COMPUTED_VALUE"""),"Locked")</f>
        <v>Locked</v>
      </c>
      <c r="D529" s="265" t="str">
        <f>IFERROR(__xludf.DUMMYFUNCTION("""COMPUTED_VALUE"""),"Mua sắm &amp; Bán lẻ")</f>
        <v>Mua sắm &amp; Bán lẻ</v>
      </c>
      <c r="E529" s="265" t="str">
        <f>IFERROR(__xludf.DUMMYFUNCTION("""COMPUTED_VALUE"""),"TúPHN")</f>
        <v>TúPHN</v>
      </c>
      <c r="F529" s="265" t="str">
        <f>IFERROR(__xludf.DUMMYFUNCTION("""COMPUTED_VALUE"""),"Gold")</f>
        <v>Gold</v>
      </c>
      <c r="G529" s="265" t="str">
        <f>IFERROR(__xludf.DUMMYFUNCTION("""COMPUTED_VALUE"""),"Enterprise")</f>
        <v>Enterprise</v>
      </c>
      <c r="H529" s="265" t="str">
        <f>IFERROR(__xludf.DUMMYFUNCTION("""COMPUTED_VALUE"""),"Trả trước")</f>
        <v>Trả trước</v>
      </c>
      <c r="I529" s="265" t="str">
        <f>IFERROR(__xludf.DUMMYFUNCTION("""COMPUTED_VALUE"""),"API &amp; Portal")</f>
        <v>API &amp; Portal</v>
      </c>
      <c r="J529" s="265" t="str">
        <f>IFERROR(__xludf.DUMMYFUNCTION("""COMPUTED_VALUE"""),"Tất cả")</f>
        <v>Tất cả</v>
      </c>
      <c r="K529" s="265" t="str">
        <f>IFERROR(__xludf.DUMMYFUNCTION("""COMPUTED_VALUE"""),"LinhNTT1")</f>
        <v>LinhNTT1</v>
      </c>
    </row>
    <row r="530">
      <c r="A530" s="265" t="str">
        <f>IFERROR(__xludf.DUMMYFUNCTION("""COMPUTED_VALUE"""),"822")</f>
        <v>822</v>
      </c>
      <c r="B530" s="265" t="str">
        <f>IFERROR(__xludf.DUMMYFUNCTION("""COMPUTED_VALUE"""),"Hà Nội")</f>
        <v>Hà Nội</v>
      </c>
      <c r="C530" s="265" t="str">
        <f>IFERROR(__xludf.DUMMYFUNCTION("""COMPUTED_VALUE"""),"Active")</f>
        <v>Active</v>
      </c>
      <c r="D530" s="265" t="str">
        <f>IFERROR(__xludf.DUMMYFUNCTION("""COMPUTED_VALUE"""),"Công nghệ &amp; Phần mềm")</f>
        <v>Công nghệ &amp; Phần mềm</v>
      </c>
      <c r="E530" s="265" t="str">
        <f>IFERROR(__xludf.DUMMYFUNCTION("""COMPUTED_VALUE"""),"TùngLD")</f>
        <v>TùngLD</v>
      </c>
      <c r="F530" s="265" t="str">
        <f>IFERROR(__xludf.DUMMYFUNCTION("""COMPUTED_VALUE"""),"Silver")</f>
        <v>Silver</v>
      </c>
      <c r="G530" s="265" t="str">
        <f>IFERROR(__xludf.DUMMYFUNCTION("""COMPUTED_VALUE"""),"Premium")</f>
        <v>Premium</v>
      </c>
      <c r="H530" s="265" t="str">
        <f>IFERROR(__xludf.DUMMYFUNCTION("""COMPUTED_VALUE"""),"Trả sau")</f>
        <v>Trả sau</v>
      </c>
      <c r="I530" s="265" t="str">
        <f>IFERROR(__xludf.DUMMYFUNCTION("""COMPUTED_VALUE"""),"Portal")</f>
        <v>Portal</v>
      </c>
      <c r="J530" s="265" t="str">
        <f>IFERROR(__xludf.DUMMYFUNCTION("""COMPUTED_VALUE"""),"Whatsapp")</f>
        <v>Whatsapp</v>
      </c>
      <c r="K530" s="265" t="str">
        <f>IFERROR(__xludf.DUMMYFUNCTION("""COMPUTED_VALUE"""),"YếnĐH")</f>
        <v>YếnĐH</v>
      </c>
    </row>
    <row r="531">
      <c r="A531" s="265" t="str">
        <f>IFERROR(__xludf.DUMMYFUNCTION("""COMPUTED_VALUE"""),"822")</f>
        <v>822</v>
      </c>
      <c r="B531" s="265" t="str">
        <f>IFERROR(__xludf.DUMMYFUNCTION("""COMPUTED_VALUE"""),"Hà Nội")</f>
        <v>Hà Nội</v>
      </c>
      <c r="C531" s="265" t="str">
        <f>IFERROR(__xludf.DUMMYFUNCTION("""COMPUTED_VALUE"""),"Active")</f>
        <v>Active</v>
      </c>
      <c r="D531" s="265" t="str">
        <f>IFERROR(__xludf.DUMMYFUNCTION("""COMPUTED_VALUE"""),"Công nghệ &amp; Phần mềm")</f>
        <v>Công nghệ &amp; Phần mềm</v>
      </c>
      <c r="E531" s="265" t="str">
        <f>IFERROR(__xludf.DUMMYFUNCTION("""COMPUTED_VALUE"""),"TùngLD")</f>
        <v>TùngLD</v>
      </c>
      <c r="F531" s="265" t="str">
        <f>IFERROR(__xludf.DUMMYFUNCTION("""COMPUTED_VALUE"""),"Silver")</f>
        <v>Silver</v>
      </c>
      <c r="G531" s="265" t="str">
        <f>IFERROR(__xludf.DUMMYFUNCTION("""COMPUTED_VALUE"""),"Premium")</f>
        <v>Premium</v>
      </c>
      <c r="H531" s="265" t="str">
        <f>IFERROR(__xludf.DUMMYFUNCTION("""COMPUTED_VALUE"""),"Trả sau")</f>
        <v>Trả sau</v>
      </c>
      <c r="I531" s="265" t="str">
        <f>IFERROR(__xludf.DUMMYFUNCTION("""COMPUTED_VALUE"""),"Portal")</f>
        <v>Portal</v>
      </c>
      <c r="J531" s="265" t="str">
        <f>IFERROR(__xludf.DUMMYFUNCTION("""COMPUTED_VALUE"""),"Email")</f>
        <v>Email</v>
      </c>
      <c r="K531" s="265" t="str">
        <f>IFERROR(__xludf.DUMMYFUNCTION("""COMPUTED_VALUE"""),"YếnĐH")</f>
        <v>YếnĐH</v>
      </c>
    </row>
    <row r="532">
      <c r="A532" s="265" t="str">
        <f>IFERROR(__xludf.DUMMYFUNCTION("""COMPUTED_VALUE"""),"823")</f>
        <v>823</v>
      </c>
      <c r="B532" s="265" t="str">
        <f>IFERROR(__xludf.DUMMYFUNCTION("""COMPUTED_VALUE"""),"Sài Gòn")</f>
        <v>Sài Gòn</v>
      </c>
      <c r="C532" s="265" t="str">
        <f>IFERROR(__xludf.DUMMYFUNCTION("""COMPUTED_VALUE"""),"Active")</f>
        <v>Active</v>
      </c>
      <c r="D532" s="265" t="str">
        <f>IFERROR(__xludf.DUMMYFUNCTION("""COMPUTED_VALUE"""),"Sale chưa cung cấp")</f>
        <v>Sale chưa cung cấp</v>
      </c>
      <c r="E532" s="265" t="str">
        <f>IFERROR(__xludf.DUMMYFUNCTION("""COMPUTED_VALUE"""),"TùngLD")</f>
        <v>TùngLD</v>
      </c>
      <c r="F532" s="265" t="str">
        <f>IFERROR(__xludf.DUMMYFUNCTION("""COMPUTED_VALUE"""),"Diamond")</f>
        <v>Diamond</v>
      </c>
      <c r="G532" s="265" t="str">
        <f>IFERROR(__xludf.DUMMYFUNCTION("""COMPUTED_VALUE"""),"Enterprise")</f>
        <v>Enterprise</v>
      </c>
      <c r="H532" s="265" t="str">
        <f>IFERROR(__xludf.DUMMYFUNCTION("""COMPUTED_VALUE"""),"Trả sau")</f>
        <v>Trả sau</v>
      </c>
      <c r="I532" s="265" t="str">
        <f>IFERROR(__xludf.DUMMYFUNCTION("""COMPUTED_VALUE"""),"API &amp; Portal")</f>
        <v>API &amp; Portal</v>
      </c>
      <c r="J532" s="265" t="str">
        <f>IFERROR(__xludf.DUMMYFUNCTION("""COMPUTED_VALUE"""),"Zalo ZNS")</f>
        <v>Zalo ZNS</v>
      </c>
      <c r="K532" s="265" t="str">
        <f>IFERROR(__xludf.DUMMYFUNCTION("""COMPUTED_VALUE"""),"Không phân công")</f>
        <v>Không phân công</v>
      </c>
    </row>
    <row r="533">
      <c r="A533" s="265" t="str">
        <f>IFERROR(__xludf.DUMMYFUNCTION("""COMPUTED_VALUE"""),"823")</f>
        <v>823</v>
      </c>
      <c r="B533" s="265" t="str">
        <f>IFERROR(__xludf.DUMMYFUNCTION("""COMPUTED_VALUE"""),"Sài Gòn")</f>
        <v>Sài Gòn</v>
      </c>
      <c r="C533" s="265" t="str">
        <f>IFERROR(__xludf.DUMMYFUNCTION("""COMPUTED_VALUE"""),"Active")</f>
        <v>Active</v>
      </c>
      <c r="D533" s="265" t="str">
        <f>IFERROR(__xludf.DUMMYFUNCTION("""COMPUTED_VALUE"""),"Sale chưa cung cấp")</f>
        <v>Sale chưa cung cấp</v>
      </c>
      <c r="E533" s="265" t="str">
        <f>IFERROR(__xludf.DUMMYFUNCTION("""COMPUTED_VALUE"""),"TùngLD")</f>
        <v>TùngLD</v>
      </c>
      <c r="F533" s="265" t="str">
        <f>IFERROR(__xludf.DUMMYFUNCTION("""COMPUTED_VALUE"""),"Diamond")</f>
        <v>Diamond</v>
      </c>
      <c r="G533" s="265" t="str">
        <f>IFERROR(__xludf.DUMMYFUNCTION("""COMPUTED_VALUE"""),"Enterprise")</f>
        <v>Enterprise</v>
      </c>
      <c r="H533" s="265" t="str">
        <f>IFERROR(__xludf.DUMMYFUNCTION("""COMPUTED_VALUE"""),"Trả sau")</f>
        <v>Trả sau</v>
      </c>
      <c r="I533" s="265" t="str">
        <f>IFERROR(__xludf.DUMMYFUNCTION("""COMPUTED_VALUE"""),"API &amp; Portal")</f>
        <v>API &amp; Portal</v>
      </c>
      <c r="J533" s="265" t="str">
        <f>IFERROR(__xludf.DUMMYFUNCTION("""COMPUTED_VALUE"""),"Zalo UID")</f>
        <v>Zalo UID</v>
      </c>
      <c r="K533" s="265" t="str">
        <f>IFERROR(__xludf.DUMMYFUNCTION("""COMPUTED_VALUE"""),"Không phân công")</f>
        <v>Không phân công</v>
      </c>
    </row>
    <row r="534">
      <c r="A534" s="265" t="str">
        <f>IFERROR(__xludf.DUMMYFUNCTION("""COMPUTED_VALUE"""),"761")</f>
        <v>761</v>
      </c>
      <c r="B534" s="265" t="str">
        <f>IFERROR(__xludf.DUMMYFUNCTION("""COMPUTED_VALUE"""),"Hà Nội")</f>
        <v>Hà Nội</v>
      </c>
      <c r="C534" s="265" t="str">
        <f>IFERROR(__xludf.DUMMYFUNCTION("""COMPUTED_VALUE"""),"Locked")</f>
        <v>Locked</v>
      </c>
      <c r="D534" s="265" t="str">
        <f>IFERROR(__xludf.DUMMYFUNCTION("""COMPUTED_VALUE"""),"Y tế &amp; Dược phẩm")</f>
        <v>Y tế &amp; Dược phẩm</v>
      </c>
      <c r="E534" s="265" t="str">
        <f>IFERROR(__xludf.DUMMYFUNCTION("""COMPUTED_VALUE"""),"TùngLD")</f>
        <v>TùngLD</v>
      </c>
      <c r="F534" s="265" t="str">
        <f>IFERROR(__xludf.DUMMYFUNCTION("""COMPUTED_VALUE"""),"Sale chưa cung cấp")</f>
        <v>Sale chưa cung cấp</v>
      </c>
      <c r="G534" s="265" t="str">
        <f>IFERROR(__xludf.DUMMYFUNCTION("""COMPUTED_VALUE"""),"Premium")</f>
        <v>Premium</v>
      </c>
      <c r="H534" s="265" t="str">
        <f>IFERROR(__xludf.DUMMYFUNCTION("""COMPUTED_VALUE"""),"Trial")</f>
        <v>Trial</v>
      </c>
      <c r="I534" s="265" t="str">
        <f>IFERROR(__xludf.DUMMYFUNCTION("""COMPUTED_VALUE"""),"API")</f>
        <v>API</v>
      </c>
      <c r="J534" s="265" t="str">
        <f>IFERROR(__xludf.DUMMYFUNCTION("""COMPUTED_VALUE"""),"Tất cả")</f>
        <v>Tất cả</v>
      </c>
      <c r="K534" s="265" t="str">
        <f>IFERROR(__xludf.DUMMYFUNCTION("""COMPUTED_VALUE"""),"AnhNM")</f>
        <v>AnhNM</v>
      </c>
    </row>
    <row r="535">
      <c r="A535" s="265" t="str">
        <f>IFERROR(__xludf.DUMMYFUNCTION("""COMPUTED_VALUE"""),"824")</f>
        <v>824</v>
      </c>
      <c r="B535" s="265" t="str">
        <f>IFERROR(__xludf.DUMMYFUNCTION("""COMPUTED_VALUE"""),"Hà Nội")</f>
        <v>Hà Nội</v>
      </c>
      <c r="C535" s="265" t="str">
        <f>IFERROR(__xludf.DUMMYFUNCTION("""COMPUTED_VALUE"""),"Locked")</f>
        <v>Locked</v>
      </c>
      <c r="D535" s="265" t="str">
        <f>IFERROR(__xludf.DUMMYFUNCTION("""COMPUTED_VALUE"""),"Sale chưa cung cấp")</f>
        <v>Sale chưa cung cấp</v>
      </c>
      <c r="E535" s="265" t="str">
        <f>IFERROR(__xludf.DUMMYFUNCTION("""COMPUTED_VALUE"""),"TùngLD")</f>
        <v>TùngLD</v>
      </c>
      <c r="F535" s="265" t="str">
        <f>IFERROR(__xludf.DUMMYFUNCTION("""COMPUTED_VALUE"""),"Diamond")</f>
        <v>Diamond</v>
      </c>
      <c r="G535" s="265" t="str">
        <f>IFERROR(__xludf.DUMMYFUNCTION("""COMPUTED_VALUE"""),"Starter")</f>
        <v>Starter</v>
      </c>
      <c r="H535" s="265" t="str">
        <f>IFERROR(__xludf.DUMMYFUNCTION("""COMPUTED_VALUE"""),"Trial")</f>
        <v>Trial</v>
      </c>
      <c r="I535" s="265" t="str">
        <f>IFERROR(__xludf.DUMMYFUNCTION("""COMPUTED_VALUE"""),"Portal")</f>
        <v>Portal</v>
      </c>
      <c r="J535" s="265" t="str">
        <f>IFERROR(__xludf.DUMMYFUNCTION("""COMPUTED_VALUE"""),"Tất cả")</f>
        <v>Tất cả</v>
      </c>
      <c r="K535" s="265" t="str">
        <f>IFERROR(__xludf.DUMMYFUNCTION("""COMPUTED_VALUE"""),"(Không recheck)")</f>
        <v>(Không recheck)</v>
      </c>
    </row>
    <row r="536">
      <c r="A536" s="265" t="str">
        <f>IFERROR(__xludf.DUMMYFUNCTION("""COMPUTED_VALUE"""),"825")</f>
        <v>825</v>
      </c>
      <c r="B536" s="265" t="str">
        <f>IFERROR(__xludf.DUMMYFUNCTION("""COMPUTED_VALUE"""),"Hà Nội")</f>
        <v>Hà Nội</v>
      </c>
      <c r="C536" s="265" t="str">
        <f>IFERROR(__xludf.DUMMYFUNCTION("""COMPUTED_VALUE"""),"Active")</f>
        <v>Active</v>
      </c>
      <c r="D536" s="265" t="str">
        <f>IFERROR(__xludf.DUMMYFUNCTION("""COMPUTED_VALUE"""),"Sale chưa cung cấp")</f>
        <v>Sale chưa cung cấp</v>
      </c>
      <c r="E536" s="265" t="str">
        <f>IFERROR(__xludf.DUMMYFUNCTION("""COMPUTED_VALUE"""),"AnhNM")</f>
        <v>AnhNM</v>
      </c>
      <c r="F536" s="265" t="str">
        <f>IFERROR(__xludf.DUMMYFUNCTION("""COMPUTED_VALUE"""),"Silver")</f>
        <v>Silver</v>
      </c>
      <c r="G536" s="265" t="str">
        <f>IFERROR(__xludf.DUMMYFUNCTION("""COMPUTED_VALUE"""),"Starter")</f>
        <v>Starter</v>
      </c>
      <c r="H536" s="265" t="str">
        <f>IFERROR(__xludf.DUMMYFUNCTION("""COMPUTED_VALUE"""),"Trả trước")</f>
        <v>Trả trước</v>
      </c>
      <c r="I536" s="265" t="str">
        <f>IFERROR(__xludf.DUMMYFUNCTION("""COMPUTED_VALUE"""),"Portal")</f>
        <v>Portal</v>
      </c>
      <c r="J536" s="265" t="str">
        <f>IFERROR(__xludf.DUMMYFUNCTION("""COMPUTED_VALUE"""),"Zalo ZNS")</f>
        <v>Zalo ZNS</v>
      </c>
      <c r="K536" s="265" t="str">
        <f>IFERROR(__xludf.DUMMYFUNCTION("""COMPUTED_VALUE"""),"YếnĐH")</f>
        <v>YếnĐH</v>
      </c>
    </row>
    <row r="537">
      <c r="A537" s="265" t="str">
        <f>IFERROR(__xludf.DUMMYFUNCTION("""COMPUTED_VALUE"""),"826")</f>
        <v>826</v>
      </c>
      <c r="B537" s="265" t="str">
        <f>IFERROR(__xludf.DUMMYFUNCTION("""COMPUTED_VALUE"""),"Sài Gòn")</f>
        <v>Sài Gòn</v>
      </c>
      <c r="C537" s="265" t="str">
        <f>IFERROR(__xludf.DUMMYFUNCTION("""COMPUTED_VALUE"""),"Locked")</f>
        <v>Locked</v>
      </c>
      <c r="D537" s="265" t="str">
        <f>IFERROR(__xludf.DUMMYFUNCTION("""COMPUTED_VALUE"""),"Sản xuất &amp; Chế tạo")</f>
        <v>Sản xuất &amp; Chế tạo</v>
      </c>
      <c r="E537" s="265" t="str">
        <f>IFERROR(__xludf.DUMMYFUNCTION("""COMPUTED_VALUE"""),"HoaNTM")</f>
        <v>HoaNTM</v>
      </c>
      <c r="F537" s="265" t="str">
        <f>IFERROR(__xludf.DUMMYFUNCTION("""COMPUTED_VALUE"""),"Sale chưa cung cấp")</f>
        <v>Sale chưa cung cấp</v>
      </c>
      <c r="G537" s="265" t="str">
        <f>IFERROR(__xludf.DUMMYFUNCTION("""COMPUTED_VALUE"""),"API")</f>
        <v>API</v>
      </c>
      <c r="H537" s="265" t="str">
        <f>IFERROR(__xludf.DUMMYFUNCTION("""COMPUTED_VALUE"""),"Trả trước")</f>
        <v>Trả trước</v>
      </c>
      <c r="I537" s="265" t="str">
        <f>IFERROR(__xludf.DUMMYFUNCTION("""COMPUTED_VALUE"""),"API")</f>
        <v>API</v>
      </c>
      <c r="J537" s="265" t="str">
        <f>IFERROR(__xludf.DUMMYFUNCTION("""COMPUTED_VALUE"""),"GapOne")</f>
        <v>GapOne</v>
      </c>
      <c r="K537" s="265" t="str">
        <f>IFERROR(__xludf.DUMMYFUNCTION("""COMPUTED_VALUE"""),"AnhNM")</f>
        <v>AnhNM</v>
      </c>
    </row>
    <row r="538">
      <c r="A538" s="265" t="str">
        <f>IFERROR(__xludf.DUMMYFUNCTION("""COMPUTED_VALUE"""),"827")</f>
        <v>827</v>
      </c>
      <c r="B538" s="265" t="str">
        <f>IFERROR(__xludf.DUMMYFUNCTION("""COMPUTED_VALUE"""),"Sài Gòn")</f>
        <v>Sài Gòn</v>
      </c>
      <c r="C538" s="265" t="str">
        <f>IFERROR(__xludf.DUMMYFUNCTION("""COMPUTED_VALUE"""),"Locked")</f>
        <v>Locked</v>
      </c>
      <c r="D538" s="265" t="str">
        <f>IFERROR(__xludf.DUMMYFUNCTION("""COMPUTED_VALUE"""),"Mua sắm &amp; Bán lẻ")</f>
        <v>Mua sắm &amp; Bán lẻ</v>
      </c>
      <c r="E538" s="265" t="str">
        <f>IFERROR(__xludf.DUMMYFUNCTION("""COMPUTED_VALUE"""),"TúPHN")</f>
        <v>TúPHN</v>
      </c>
      <c r="F538" s="265" t="str">
        <f>IFERROR(__xludf.DUMMYFUNCTION("""COMPUTED_VALUE"""),"Silver")</f>
        <v>Silver</v>
      </c>
      <c r="G538" s="265" t="str">
        <f>IFERROR(__xludf.DUMMYFUNCTION("""COMPUTED_VALUE"""),"Premium")</f>
        <v>Premium</v>
      </c>
      <c r="H538" s="265" t="str">
        <f>IFERROR(__xludf.DUMMYFUNCTION("""COMPUTED_VALUE"""),"Trả sau")</f>
        <v>Trả sau</v>
      </c>
      <c r="I538" s="265" t="str">
        <f>IFERROR(__xludf.DUMMYFUNCTION("""COMPUTED_VALUE"""),"API &amp; Portal")</f>
        <v>API &amp; Portal</v>
      </c>
      <c r="J538" s="265" t="str">
        <f>IFERROR(__xludf.DUMMYFUNCTION("""COMPUTED_VALUE"""),"Tất cả")</f>
        <v>Tất cả</v>
      </c>
      <c r="K538" s="265" t="str">
        <f>IFERROR(__xludf.DUMMYFUNCTION("""COMPUTED_VALUE"""),"DungPL")</f>
        <v>DungPL</v>
      </c>
    </row>
    <row r="539">
      <c r="A539" s="265" t="str">
        <f>IFERROR(__xludf.DUMMYFUNCTION("""COMPUTED_VALUE"""),"828")</f>
        <v>828</v>
      </c>
      <c r="B539" s="265" t="str">
        <f>IFERROR(__xludf.DUMMYFUNCTION("""COMPUTED_VALUE"""),"Hà Nội")</f>
        <v>Hà Nội</v>
      </c>
      <c r="C539" s="265" t="str">
        <f>IFERROR(__xludf.DUMMYFUNCTION("""COMPUTED_VALUE"""),"Active")</f>
        <v>Active</v>
      </c>
      <c r="D539" s="265" t="str">
        <f>IFERROR(__xludf.DUMMYFUNCTION("""COMPUTED_VALUE"""),"Vận tải &amp; logistics")</f>
        <v>Vận tải &amp; logistics</v>
      </c>
      <c r="E539" s="265" t="str">
        <f>IFERROR(__xludf.DUMMYFUNCTION("""COMPUTED_VALUE"""),"TùngLD")</f>
        <v>TùngLD</v>
      </c>
      <c r="F539" s="265" t="str">
        <f>IFERROR(__xludf.DUMMYFUNCTION("""COMPUTED_VALUE"""),"Silver")</f>
        <v>Silver</v>
      </c>
      <c r="G539" s="265" t="str">
        <f>IFERROR(__xludf.DUMMYFUNCTION("""COMPUTED_VALUE"""),"Premium")</f>
        <v>Premium</v>
      </c>
      <c r="H539" s="265" t="str">
        <f>IFERROR(__xludf.DUMMYFUNCTION("""COMPUTED_VALUE"""),"Trả sau")</f>
        <v>Trả sau</v>
      </c>
      <c r="I539" s="265" t="str">
        <f>IFERROR(__xludf.DUMMYFUNCTION("""COMPUTED_VALUE"""),"API &amp; Portal")</f>
        <v>API &amp; Portal</v>
      </c>
      <c r="J539" s="265" t="str">
        <f>IFERROR(__xludf.DUMMYFUNCTION("""COMPUTED_VALUE"""),"Tất cả")</f>
        <v>Tất cả</v>
      </c>
      <c r="K539" s="265" t="str">
        <f>IFERROR(__xludf.DUMMYFUNCTION("""COMPUTED_VALUE"""),"DungPL")</f>
        <v>DungPL</v>
      </c>
    </row>
    <row r="540">
      <c r="A540" s="265" t="str">
        <f>IFERROR(__xludf.DUMMYFUNCTION("""COMPUTED_VALUE"""),"829")</f>
        <v>829</v>
      </c>
      <c r="B540" s="265" t="str">
        <f>IFERROR(__xludf.DUMMYFUNCTION("""COMPUTED_VALUE"""),"Sài Gòn")</f>
        <v>Sài Gòn</v>
      </c>
      <c r="C540" s="265" t="str">
        <f>IFERROR(__xludf.DUMMYFUNCTION("""COMPUTED_VALUE"""),"Locked")</f>
        <v>Locked</v>
      </c>
      <c r="D540" s="265" t="str">
        <f>IFERROR(__xludf.DUMMYFUNCTION("""COMPUTED_VALUE"""),"Sale chưa cung cấp")</f>
        <v>Sale chưa cung cấp</v>
      </c>
      <c r="E540" s="265" t="str">
        <f>IFERROR(__xludf.DUMMYFUNCTION("""COMPUTED_VALUE"""),"TùngLD")</f>
        <v>TùngLD</v>
      </c>
      <c r="F540" s="265" t="str">
        <f>IFERROR(__xludf.DUMMYFUNCTION("""COMPUTED_VALUE"""),"Silver")</f>
        <v>Silver</v>
      </c>
      <c r="G540" s="265" t="str">
        <f>IFERROR(__xludf.DUMMYFUNCTION("""COMPUTED_VALUE"""),"Starter")</f>
        <v>Starter</v>
      </c>
      <c r="H540" s="265" t="str">
        <f>IFERROR(__xludf.DUMMYFUNCTION("""COMPUTED_VALUE"""),"Trial")</f>
        <v>Trial</v>
      </c>
      <c r="I540" s="265" t="str">
        <f>IFERROR(__xludf.DUMMYFUNCTION("""COMPUTED_VALUE"""),"API")</f>
        <v>API</v>
      </c>
      <c r="J540" s="265" t="str">
        <f>IFERROR(__xludf.DUMMYFUNCTION("""COMPUTED_VALUE"""),"Zalo ZNS")</f>
        <v>Zalo ZNS</v>
      </c>
      <c r="K540" s="265" t="str">
        <f>IFERROR(__xludf.DUMMYFUNCTION("""COMPUTED_VALUE"""),"AnhNM")</f>
        <v>AnhNM</v>
      </c>
    </row>
    <row r="541">
      <c r="A541" s="265" t="str">
        <f>IFERROR(__xludf.DUMMYFUNCTION("""COMPUTED_VALUE"""),"830")</f>
        <v>830</v>
      </c>
      <c r="B541" s="265" t="str">
        <f>IFERROR(__xludf.DUMMYFUNCTION("""COMPUTED_VALUE"""),"Hà Nội")</f>
        <v>Hà Nội</v>
      </c>
      <c r="C541" s="265" t="str">
        <f>IFERROR(__xludf.DUMMYFUNCTION("""COMPUTED_VALUE"""),"Locked")</f>
        <v>Locked</v>
      </c>
      <c r="D541" s="265" t="str">
        <f>IFERROR(__xludf.DUMMYFUNCTION("""COMPUTED_VALUE"""),"Viễn thông")</f>
        <v>Viễn thông</v>
      </c>
      <c r="E541" s="265" t="str">
        <f>IFERROR(__xludf.DUMMYFUNCTION("""COMPUTED_VALUE"""),"TúPHN")</f>
        <v>TúPHN</v>
      </c>
      <c r="F541" s="265" t="str">
        <f>IFERROR(__xludf.DUMMYFUNCTION("""COMPUTED_VALUE"""),"Gold")</f>
        <v>Gold</v>
      </c>
      <c r="G541" s="265" t="str">
        <f>IFERROR(__xludf.DUMMYFUNCTION("""COMPUTED_VALUE"""),"Starter")</f>
        <v>Starter</v>
      </c>
      <c r="H541" s="265" t="str">
        <f>IFERROR(__xludf.DUMMYFUNCTION("""COMPUTED_VALUE"""),"Trả sau")</f>
        <v>Trả sau</v>
      </c>
      <c r="I541" s="265" t="str">
        <f>IFERROR(__xludf.DUMMYFUNCTION("""COMPUTED_VALUE"""),"API")</f>
        <v>API</v>
      </c>
      <c r="J541" s="265" t="str">
        <f>IFERROR(__xludf.DUMMYFUNCTION("""COMPUTED_VALUE"""),"Zalo ZNS")</f>
        <v>Zalo ZNS</v>
      </c>
      <c r="K541" s="265" t="str">
        <f>IFERROR(__xludf.DUMMYFUNCTION("""COMPUTED_VALUE"""),"LinhNTT1")</f>
        <v>LinhNTT1</v>
      </c>
    </row>
    <row r="542">
      <c r="A542" s="265" t="str">
        <f>IFERROR(__xludf.DUMMYFUNCTION("""COMPUTED_VALUE"""),"837")</f>
        <v>837</v>
      </c>
      <c r="B542" s="265" t="str">
        <f>IFERROR(__xludf.DUMMYFUNCTION("""COMPUTED_VALUE"""),"Sài Gòn")</f>
        <v>Sài Gòn</v>
      </c>
      <c r="C542" s="265" t="str">
        <f>IFERROR(__xludf.DUMMYFUNCTION("""COMPUTED_VALUE"""),"Locked")</f>
        <v>Locked</v>
      </c>
      <c r="D542" s="265" t="str">
        <f>IFERROR(__xludf.DUMMYFUNCTION("""COMPUTED_VALUE"""),"Sale chưa cung cấp")</f>
        <v>Sale chưa cung cấp</v>
      </c>
      <c r="E542" s="265" t="str">
        <f>IFERROR(__xludf.DUMMYFUNCTION("""COMPUTED_VALUE"""),"TùngLD")</f>
        <v>TùngLD</v>
      </c>
      <c r="F542" s="265" t="str">
        <f>IFERROR(__xludf.DUMMYFUNCTION("""COMPUTED_VALUE"""),"Gold")</f>
        <v>Gold</v>
      </c>
      <c r="G542" s="265" t="str">
        <f>IFERROR(__xludf.DUMMYFUNCTION("""COMPUTED_VALUE"""),"Premium")</f>
        <v>Premium</v>
      </c>
      <c r="H542" s="265" t="str">
        <f>IFERROR(__xludf.DUMMYFUNCTION("""COMPUTED_VALUE"""),"Trả sau")</f>
        <v>Trả sau</v>
      </c>
      <c r="I542" s="265" t="str">
        <f>IFERROR(__xludf.DUMMYFUNCTION("""COMPUTED_VALUE"""),"API")</f>
        <v>API</v>
      </c>
      <c r="J542" s="265" t="str">
        <f>IFERROR(__xludf.DUMMYFUNCTION("""COMPUTED_VALUE"""),"Zalo ZNS")</f>
        <v>Zalo ZNS</v>
      </c>
      <c r="K542" s="265" t="str">
        <f>IFERROR(__xludf.DUMMYFUNCTION("""COMPUTED_VALUE"""),"DungPL")</f>
        <v>DungPL</v>
      </c>
    </row>
    <row r="543">
      <c r="A543" s="265" t="str">
        <f>IFERROR(__xludf.DUMMYFUNCTION("""COMPUTED_VALUE"""),"833")</f>
        <v>833</v>
      </c>
      <c r="B543" s="265" t="str">
        <f>IFERROR(__xludf.DUMMYFUNCTION("""COMPUTED_VALUE"""),"Hà Nội")</f>
        <v>Hà Nội</v>
      </c>
      <c r="C543" s="265" t="str">
        <f>IFERROR(__xludf.DUMMYFUNCTION("""COMPUTED_VALUE"""),"Locked")</f>
        <v>Locked</v>
      </c>
      <c r="D543" s="265" t="str">
        <f>IFERROR(__xludf.DUMMYFUNCTION("""COMPUTED_VALUE"""),"Sale chưa cung cấp")</f>
        <v>Sale chưa cung cấp</v>
      </c>
      <c r="E543" s="265" t="str">
        <f>IFERROR(__xludf.DUMMYFUNCTION("""COMPUTED_VALUE"""),"TùngLD")</f>
        <v>TùngLD</v>
      </c>
      <c r="F543" s="265" t="str">
        <f>IFERROR(__xludf.DUMMYFUNCTION("""COMPUTED_VALUE"""),"Sale chưa cung cấp")</f>
        <v>Sale chưa cung cấp</v>
      </c>
      <c r="G543" s="265" t="str">
        <f>IFERROR(__xludf.DUMMYFUNCTION("""COMPUTED_VALUE"""),"(Không recheck)")</f>
        <v>(Không recheck)</v>
      </c>
      <c r="H543" s="265" t="str">
        <f>IFERROR(__xludf.DUMMYFUNCTION("""COMPUTED_VALUE"""),"Trial")</f>
        <v>Trial</v>
      </c>
      <c r="I543" s="265" t="str">
        <f>IFERROR(__xludf.DUMMYFUNCTION("""COMPUTED_VALUE"""),"API")</f>
        <v>API</v>
      </c>
      <c r="J543" s="265" t="str">
        <f>IFERROR(__xludf.DUMMYFUNCTION("""COMPUTED_VALUE"""),"Zalo ZNS")</f>
        <v>Zalo ZNS</v>
      </c>
      <c r="K543" s="265" t="str">
        <f>IFERROR(__xludf.DUMMYFUNCTION("""COMPUTED_VALUE"""),"AnhNM")</f>
        <v>AnhNM</v>
      </c>
    </row>
    <row r="544">
      <c r="A544" s="265" t="str">
        <f>IFERROR(__xludf.DUMMYFUNCTION("""COMPUTED_VALUE"""),"833")</f>
        <v>833</v>
      </c>
      <c r="B544" s="265" t="str">
        <f>IFERROR(__xludf.DUMMYFUNCTION("""COMPUTED_VALUE"""),"Hà Nội")</f>
        <v>Hà Nội</v>
      </c>
      <c r="C544" s="265" t="str">
        <f>IFERROR(__xludf.DUMMYFUNCTION("""COMPUTED_VALUE"""),"Locked")</f>
        <v>Locked</v>
      </c>
      <c r="D544" s="265" t="str">
        <f>IFERROR(__xludf.DUMMYFUNCTION("""COMPUTED_VALUE"""),"Sale chưa cung cấp")</f>
        <v>Sale chưa cung cấp</v>
      </c>
      <c r="E544" s="265" t="str">
        <f>IFERROR(__xludf.DUMMYFUNCTION("""COMPUTED_VALUE"""),"TùngLD")</f>
        <v>TùngLD</v>
      </c>
      <c r="F544" s="265" t="str">
        <f>IFERROR(__xludf.DUMMYFUNCTION("""COMPUTED_VALUE"""),"Sale chưa cung cấp")</f>
        <v>Sale chưa cung cấp</v>
      </c>
      <c r="G544" s="265" t="str">
        <f>IFERROR(__xludf.DUMMYFUNCTION("""COMPUTED_VALUE"""),"(Không recheck)")</f>
        <v>(Không recheck)</v>
      </c>
      <c r="H544" s="265" t="str">
        <f>IFERROR(__xludf.DUMMYFUNCTION("""COMPUTED_VALUE"""),"Trial")</f>
        <v>Trial</v>
      </c>
      <c r="I544" s="265" t="str">
        <f>IFERROR(__xludf.DUMMYFUNCTION("""COMPUTED_VALUE"""),"API")</f>
        <v>API</v>
      </c>
      <c r="J544" s="265" t="str">
        <f>IFERROR(__xludf.DUMMYFUNCTION("""COMPUTED_VALUE"""),"SMS CSKH")</f>
        <v>SMS CSKH</v>
      </c>
      <c r="K544" s="265" t="str">
        <f>IFERROR(__xludf.DUMMYFUNCTION("""COMPUTED_VALUE"""),"AnhNM")</f>
        <v>AnhNM</v>
      </c>
    </row>
    <row r="545">
      <c r="A545" s="265" t="str">
        <f>IFERROR(__xludf.DUMMYFUNCTION("""COMPUTED_VALUE"""),"834")</f>
        <v>834</v>
      </c>
      <c r="B545" s="265" t="str">
        <f>IFERROR(__xludf.DUMMYFUNCTION("""COMPUTED_VALUE"""),"Hà Nội")</f>
        <v>Hà Nội</v>
      </c>
      <c r="C545" s="265" t="str">
        <f>IFERROR(__xludf.DUMMYFUNCTION("""COMPUTED_VALUE"""),"Locked")</f>
        <v>Locked</v>
      </c>
      <c r="D545" s="265" t="str">
        <f>IFERROR(__xludf.DUMMYFUNCTION("""COMPUTED_VALUE"""),"Sale chưa cung cấp")</f>
        <v>Sale chưa cung cấp</v>
      </c>
      <c r="E545" s="265" t="str">
        <f>IFERROR(__xludf.DUMMYFUNCTION("""COMPUTED_VALUE"""),"AnhNM")</f>
        <v>AnhNM</v>
      </c>
      <c r="F545" s="265" t="str">
        <f>IFERROR(__xludf.DUMMYFUNCTION("""COMPUTED_VALUE"""),"Sale chưa cung cấp")</f>
        <v>Sale chưa cung cấp</v>
      </c>
      <c r="G545" s="265" t="str">
        <f>IFERROR(__xludf.DUMMYFUNCTION("""COMPUTED_VALUE"""),"Premium")</f>
        <v>Premium</v>
      </c>
      <c r="H545" s="265" t="str">
        <f>IFERROR(__xludf.DUMMYFUNCTION("""COMPUTED_VALUE"""),"Trả trước")</f>
        <v>Trả trước</v>
      </c>
      <c r="I545" s="265" t="str">
        <f>IFERROR(__xludf.DUMMYFUNCTION("""COMPUTED_VALUE"""),"API &amp; Portal")</f>
        <v>API &amp; Portal</v>
      </c>
      <c r="J545" s="265" t="str">
        <f>IFERROR(__xludf.DUMMYFUNCTION("""COMPUTED_VALUE"""),"Zalo ZNS")</f>
        <v>Zalo ZNS</v>
      </c>
      <c r="K545" s="265" t="str">
        <f>IFERROR(__xludf.DUMMYFUNCTION("""COMPUTED_VALUE"""),"LinhNTT1")</f>
        <v>LinhNTT1</v>
      </c>
    </row>
    <row r="546">
      <c r="A546" s="265" t="str">
        <f>IFERROR(__xludf.DUMMYFUNCTION("""COMPUTED_VALUE"""),"836")</f>
        <v>836</v>
      </c>
      <c r="B546" s="265" t="str">
        <f>IFERROR(__xludf.DUMMYFUNCTION("""COMPUTED_VALUE"""),"Sài Gòn")</f>
        <v>Sài Gòn</v>
      </c>
      <c r="C546" s="265" t="str">
        <f>IFERROR(__xludf.DUMMYFUNCTION("""COMPUTED_VALUE"""),"Locked")</f>
        <v>Locked</v>
      </c>
      <c r="D546" s="265" t="str">
        <f>IFERROR(__xludf.DUMMYFUNCTION("""COMPUTED_VALUE"""),"Sale chưa cung cấp")</f>
        <v>Sale chưa cung cấp</v>
      </c>
      <c r="E546" s="265" t="str">
        <f>IFERROR(__xludf.DUMMYFUNCTION("""COMPUTED_VALUE"""),"HoaNTM")</f>
        <v>HoaNTM</v>
      </c>
      <c r="F546" s="265" t="str">
        <f>IFERROR(__xludf.DUMMYFUNCTION("""COMPUTED_VALUE"""),"Diamond")</f>
        <v>Diamond</v>
      </c>
      <c r="G546" s="265" t="str">
        <f>IFERROR(__xludf.DUMMYFUNCTION("""COMPUTED_VALUE"""),"API")</f>
        <v>API</v>
      </c>
      <c r="H546" s="265" t="str">
        <f>IFERROR(__xludf.DUMMYFUNCTION("""COMPUTED_VALUE"""),"Trả trước")</f>
        <v>Trả trước</v>
      </c>
      <c r="I546" s="265" t="str">
        <f>IFERROR(__xludf.DUMMYFUNCTION("""COMPUTED_VALUE"""),"API")</f>
        <v>API</v>
      </c>
      <c r="J546" s="265" t="str">
        <f>IFERROR(__xludf.DUMMYFUNCTION("""COMPUTED_VALUE"""),"Zalo ZNS")</f>
        <v>Zalo ZNS</v>
      </c>
      <c r="K546" s="265" t="str">
        <f>IFERROR(__xludf.DUMMYFUNCTION("""COMPUTED_VALUE"""),"LinhNTT1")</f>
        <v>LinhNTT1</v>
      </c>
    </row>
    <row r="547">
      <c r="A547" s="265" t="str">
        <f>IFERROR(__xludf.DUMMYFUNCTION("""COMPUTED_VALUE"""),"836")</f>
        <v>836</v>
      </c>
      <c r="B547" s="265" t="str">
        <f>IFERROR(__xludf.DUMMYFUNCTION("""COMPUTED_VALUE"""),"Sài Gòn")</f>
        <v>Sài Gòn</v>
      </c>
      <c r="C547" s="265" t="str">
        <f>IFERROR(__xludf.DUMMYFUNCTION("""COMPUTED_VALUE"""),"Locked")</f>
        <v>Locked</v>
      </c>
      <c r="D547" s="265" t="str">
        <f>IFERROR(__xludf.DUMMYFUNCTION("""COMPUTED_VALUE"""),"Sale chưa cung cấp")</f>
        <v>Sale chưa cung cấp</v>
      </c>
      <c r="E547" s="265" t="str">
        <f>IFERROR(__xludf.DUMMYFUNCTION("""COMPUTED_VALUE"""),"HoaNTM")</f>
        <v>HoaNTM</v>
      </c>
      <c r="F547" s="265" t="str">
        <f>IFERROR(__xludf.DUMMYFUNCTION("""COMPUTED_VALUE"""),"Diamond")</f>
        <v>Diamond</v>
      </c>
      <c r="G547" s="265" t="str">
        <f>IFERROR(__xludf.DUMMYFUNCTION("""COMPUTED_VALUE"""),"API")</f>
        <v>API</v>
      </c>
      <c r="H547" s="265" t="str">
        <f>IFERROR(__xludf.DUMMYFUNCTION("""COMPUTED_VALUE"""),"Trả trước")</f>
        <v>Trả trước</v>
      </c>
      <c r="I547" s="265" t="str">
        <f>IFERROR(__xludf.DUMMYFUNCTION("""COMPUTED_VALUE"""),"API")</f>
        <v>API</v>
      </c>
      <c r="J547" s="265" t="str">
        <f>IFERROR(__xludf.DUMMYFUNCTION("""COMPUTED_VALUE"""),"Zalo UID")</f>
        <v>Zalo UID</v>
      </c>
      <c r="K547" s="265" t="str">
        <f>IFERROR(__xludf.DUMMYFUNCTION("""COMPUTED_VALUE"""),"LinhNTT1")</f>
        <v>LinhNTT1</v>
      </c>
    </row>
    <row r="548">
      <c r="A548" s="265" t="str">
        <f>IFERROR(__xludf.DUMMYFUNCTION("""COMPUTED_VALUE"""),"838")</f>
        <v>838</v>
      </c>
      <c r="B548" s="265" t="str">
        <f>IFERROR(__xludf.DUMMYFUNCTION("""COMPUTED_VALUE"""),"Hà Nội")</f>
        <v>Hà Nội</v>
      </c>
      <c r="C548" s="265" t="str">
        <f>IFERROR(__xludf.DUMMYFUNCTION("""COMPUTED_VALUE"""),"Locked")</f>
        <v>Locked</v>
      </c>
      <c r="D548" s="265" t="str">
        <f>IFERROR(__xludf.DUMMYFUNCTION("""COMPUTED_VALUE"""),"Dịch vụ khác")</f>
        <v>Dịch vụ khác</v>
      </c>
      <c r="E548" s="265" t="str">
        <f>IFERROR(__xludf.DUMMYFUNCTION("""COMPUTED_VALUE"""),"AnhNM")</f>
        <v>AnhNM</v>
      </c>
      <c r="F548" s="265" t="str">
        <f>IFERROR(__xludf.DUMMYFUNCTION("""COMPUTED_VALUE"""),"Sale chưa cung cấp")</f>
        <v>Sale chưa cung cấp</v>
      </c>
      <c r="G548" s="265" t="str">
        <f>IFERROR(__xludf.DUMMYFUNCTION("""COMPUTED_VALUE"""),"Premium")</f>
        <v>Premium</v>
      </c>
      <c r="H548" s="265" t="str">
        <f>IFERROR(__xludf.DUMMYFUNCTION("""COMPUTED_VALUE"""),"Trả trước")</f>
        <v>Trả trước</v>
      </c>
      <c r="I548" s="265" t="str">
        <f>IFERROR(__xludf.DUMMYFUNCTION("""COMPUTED_VALUE"""),"API &amp; Portal")</f>
        <v>API &amp; Portal</v>
      </c>
      <c r="J548" s="265" t="str">
        <f>IFERROR(__xludf.DUMMYFUNCTION("""COMPUTED_VALUE"""),"Zalo ZNS")</f>
        <v>Zalo ZNS</v>
      </c>
      <c r="K548" s="265" t="str">
        <f>IFERROR(__xludf.DUMMYFUNCTION("""COMPUTED_VALUE"""),"DungPL")</f>
        <v>DungPL</v>
      </c>
    </row>
    <row r="549">
      <c r="A549" s="265" t="str">
        <f>IFERROR(__xludf.DUMMYFUNCTION("""COMPUTED_VALUE"""),"884")</f>
        <v>884</v>
      </c>
      <c r="B549" s="265" t="str">
        <f>IFERROR(__xludf.DUMMYFUNCTION("""COMPUTED_VALUE"""),"Đà Nẵng")</f>
        <v>Đà Nẵng</v>
      </c>
      <c r="C549" s="265" t="str">
        <f>IFERROR(__xludf.DUMMYFUNCTION("""COMPUTED_VALUE"""),"Locked")</f>
        <v>Locked</v>
      </c>
      <c r="D549" s="265" t="str">
        <f>IFERROR(__xludf.DUMMYFUNCTION("""COMPUTED_VALUE"""),"Thời trang &amp; May mặc")</f>
        <v>Thời trang &amp; May mặc</v>
      </c>
      <c r="E549" s="265" t="str">
        <f>IFERROR(__xludf.DUMMYFUNCTION("""COMPUTED_VALUE"""),"TúPHN")</f>
        <v>TúPHN</v>
      </c>
      <c r="F549" s="265" t="str">
        <f>IFERROR(__xludf.DUMMYFUNCTION("""COMPUTED_VALUE"""),"Bronze")</f>
        <v>Bronze</v>
      </c>
      <c r="G549" s="265" t="str">
        <f>IFERROR(__xludf.DUMMYFUNCTION("""COMPUTED_VALUE"""),"Starter")</f>
        <v>Starter</v>
      </c>
      <c r="H549" s="265" t="str">
        <f>IFERROR(__xludf.DUMMYFUNCTION("""COMPUTED_VALUE"""),"Trả sau")</f>
        <v>Trả sau</v>
      </c>
      <c r="I549" s="265" t="str">
        <f>IFERROR(__xludf.DUMMYFUNCTION("""COMPUTED_VALUE"""),"Portal")</f>
        <v>Portal</v>
      </c>
      <c r="J549" s="265" t="str">
        <f>IFERROR(__xludf.DUMMYFUNCTION("""COMPUTED_VALUE"""),"Zalo ZNS")</f>
        <v>Zalo ZNS</v>
      </c>
      <c r="K549" s="265" t="str">
        <f>IFERROR(__xludf.DUMMYFUNCTION("""COMPUTED_VALUE"""),"DungPL")</f>
        <v>DungPL</v>
      </c>
    </row>
    <row r="550">
      <c r="A550" s="265" t="str">
        <f>IFERROR(__xludf.DUMMYFUNCTION("""COMPUTED_VALUE"""),"839")</f>
        <v>839</v>
      </c>
      <c r="B550" s="265" t="str">
        <f>IFERROR(__xludf.DUMMYFUNCTION("""COMPUTED_VALUE"""),"Sài Gòn")</f>
        <v>Sài Gòn</v>
      </c>
      <c r="C550" s="265" t="str">
        <f>IFERROR(__xludf.DUMMYFUNCTION("""COMPUTED_VALUE"""),"Locked")</f>
        <v>Locked</v>
      </c>
      <c r="D550" s="265" t="str">
        <f>IFERROR(__xludf.DUMMYFUNCTION("""COMPUTED_VALUE"""),"Sale chưa cung cấp")</f>
        <v>Sale chưa cung cấp</v>
      </c>
      <c r="E550" s="265" t="str">
        <f>IFERROR(__xludf.DUMMYFUNCTION("""COMPUTED_VALUE"""),"HoaNTM")</f>
        <v>HoaNTM</v>
      </c>
      <c r="F550" s="265" t="str">
        <f>IFERROR(__xludf.DUMMYFUNCTION("""COMPUTED_VALUE"""),"Diamond")</f>
        <v>Diamond</v>
      </c>
      <c r="G550" s="265" t="str">
        <f>IFERROR(__xludf.DUMMYFUNCTION("""COMPUTED_VALUE"""),"Enterprise")</f>
        <v>Enterprise</v>
      </c>
      <c r="H550" s="265" t="str">
        <f>IFERROR(__xludf.DUMMYFUNCTION("""COMPUTED_VALUE"""),"Trả sau")</f>
        <v>Trả sau</v>
      </c>
      <c r="I550" s="265" t="str">
        <f>IFERROR(__xludf.DUMMYFUNCTION("""COMPUTED_VALUE"""),"Portal")</f>
        <v>Portal</v>
      </c>
      <c r="J550" s="265" t="str">
        <f>IFERROR(__xludf.DUMMYFUNCTION("""COMPUTED_VALUE"""),"Zalo ZNS")</f>
        <v>Zalo ZNS</v>
      </c>
      <c r="K550" s="265" t="str">
        <f>IFERROR(__xludf.DUMMYFUNCTION("""COMPUTED_VALUE"""),"YếnĐH")</f>
        <v>YếnĐH</v>
      </c>
    </row>
    <row r="551">
      <c r="A551" s="265" t="str">
        <f>IFERROR(__xludf.DUMMYFUNCTION("""COMPUTED_VALUE"""),"841")</f>
        <v>841</v>
      </c>
      <c r="B551" s="265" t="str">
        <f>IFERROR(__xludf.DUMMYFUNCTION("""COMPUTED_VALUE"""),"Sài Gòn")</f>
        <v>Sài Gòn</v>
      </c>
      <c r="C551" s="265" t="str">
        <f>IFERROR(__xludf.DUMMYFUNCTION("""COMPUTED_VALUE"""),"Locked")</f>
        <v>Locked</v>
      </c>
      <c r="D551" s="265" t="str">
        <f>IFERROR(__xludf.DUMMYFUNCTION("""COMPUTED_VALUE"""),"Vận tải &amp; logistics")</f>
        <v>Vận tải &amp; logistics</v>
      </c>
      <c r="E551" s="265" t="str">
        <f>IFERROR(__xludf.DUMMYFUNCTION("""COMPUTED_VALUE"""),"TúPHN")</f>
        <v>TúPHN</v>
      </c>
      <c r="F551" s="265" t="str">
        <f>IFERROR(__xludf.DUMMYFUNCTION("""COMPUTED_VALUE"""),"Sale chưa cung cấp")</f>
        <v>Sale chưa cung cấp</v>
      </c>
      <c r="G551" s="265" t="str">
        <f>IFERROR(__xludf.DUMMYFUNCTION("""COMPUTED_VALUE"""),"Starter")</f>
        <v>Starter</v>
      </c>
      <c r="H551" s="265" t="str">
        <f>IFERROR(__xludf.DUMMYFUNCTION("""COMPUTED_VALUE"""),"Trial")</f>
        <v>Trial</v>
      </c>
      <c r="I551" s="265" t="str">
        <f>IFERROR(__xludf.DUMMYFUNCTION("""COMPUTED_VALUE"""),"API &amp; Portal")</f>
        <v>API &amp; Portal</v>
      </c>
      <c r="J551" s="265" t="str">
        <f>IFERROR(__xludf.DUMMYFUNCTION("""COMPUTED_VALUE"""),"Zalo ZNS")</f>
        <v>Zalo ZNS</v>
      </c>
      <c r="K551" s="265" t="str">
        <f>IFERROR(__xludf.DUMMYFUNCTION("""COMPUTED_VALUE"""),"(Không recheck)")</f>
        <v>(Không recheck)</v>
      </c>
    </row>
    <row r="552">
      <c r="A552" s="265" t="str">
        <f>IFERROR(__xludf.DUMMYFUNCTION("""COMPUTED_VALUE"""),"841")</f>
        <v>841</v>
      </c>
      <c r="B552" s="265" t="str">
        <f>IFERROR(__xludf.DUMMYFUNCTION("""COMPUTED_VALUE"""),"Sài Gòn")</f>
        <v>Sài Gòn</v>
      </c>
      <c r="C552" s="265" t="str">
        <f>IFERROR(__xludf.DUMMYFUNCTION("""COMPUTED_VALUE"""),"Locked")</f>
        <v>Locked</v>
      </c>
      <c r="D552" s="265" t="str">
        <f>IFERROR(__xludf.DUMMYFUNCTION("""COMPUTED_VALUE"""),"Vận tải &amp; logistics")</f>
        <v>Vận tải &amp; logistics</v>
      </c>
      <c r="E552" s="265" t="str">
        <f>IFERROR(__xludf.DUMMYFUNCTION("""COMPUTED_VALUE"""),"TúPHN")</f>
        <v>TúPHN</v>
      </c>
      <c r="F552" s="265" t="str">
        <f>IFERROR(__xludf.DUMMYFUNCTION("""COMPUTED_VALUE"""),"Sale chưa cung cấp")</f>
        <v>Sale chưa cung cấp</v>
      </c>
      <c r="G552" s="265" t="str">
        <f>IFERROR(__xludf.DUMMYFUNCTION("""COMPUTED_VALUE"""),"Starter")</f>
        <v>Starter</v>
      </c>
      <c r="H552" s="265" t="str">
        <f>IFERROR(__xludf.DUMMYFUNCTION("""COMPUTED_VALUE"""),"Trial")</f>
        <v>Trial</v>
      </c>
      <c r="I552" s="265" t="str">
        <f>IFERROR(__xludf.DUMMYFUNCTION("""COMPUTED_VALUE"""),"API &amp; Portal")</f>
        <v>API &amp; Portal</v>
      </c>
      <c r="J552" s="265" t="str">
        <f>IFERROR(__xludf.DUMMYFUNCTION("""COMPUTED_VALUE"""),"SMS CSKH")</f>
        <v>SMS CSKH</v>
      </c>
      <c r="K552" s="265" t="str">
        <f>IFERROR(__xludf.DUMMYFUNCTION("""COMPUTED_VALUE"""),"(Không recheck)")</f>
        <v>(Không recheck)</v>
      </c>
    </row>
    <row r="553">
      <c r="A553" s="265" t="str">
        <f>IFERROR(__xludf.DUMMYFUNCTION("""COMPUTED_VALUE"""),"840")</f>
        <v>840</v>
      </c>
      <c r="B553" s="265" t="str">
        <f>IFERROR(__xludf.DUMMYFUNCTION("""COMPUTED_VALUE"""),"Sài Gòn")</f>
        <v>Sài Gòn</v>
      </c>
      <c r="C553" s="265" t="str">
        <f>IFERROR(__xludf.DUMMYFUNCTION("""COMPUTED_VALUE"""),"Locked")</f>
        <v>Locked</v>
      </c>
      <c r="D553" s="265" t="str">
        <f>IFERROR(__xludf.DUMMYFUNCTION("""COMPUTED_VALUE"""),"Thực phẩm &amp; Đồ uống")</f>
        <v>Thực phẩm &amp; Đồ uống</v>
      </c>
      <c r="E553" s="265" t="str">
        <f>IFERROR(__xludf.DUMMYFUNCTION("""COMPUTED_VALUE"""),"HoaNTM")</f>
        <v>HoaNTM</v>
      </c>
      <c r="F553" s="265" t="str">
        <f>IFERROR(__xludf.DUMMYFUNCTION("""COMPUTED_VALUE"""),"Gold")</f>
        <v>Gold</v>
      </c>
      <c r="G553" s="265" t="str">
        <f>IFERROR(__xludf.DUMMYFUNCTION("""COMPUTED_VALUE"""),"API")</f>
        <v>API</v>
      </c>
      <c r="H553" s="265" t="str">
        <f>IFERROR(__xludf.DUMMYFUNCTION("""COMPUTED_VALUE"""),"Trả sau")</f>
        <v>Trả sau</v>
      </c>
      <c r="I553" s="265" t="str">
        <f>IFERROR(__xludf.DUMMYFUNCTION("""COMPUTED_VALUE"""),"API")</f>
        <v>API</v>
      </c>
      <c r="J553" s="265" t="str">
        <f>IFERROR(__xludf.DUMMYFUNCTION("""COMPUTED_VALUE"""),"Zalo ZNS")</f>
        <v>Zalo ZNS</v>
      </c>
      <c r="K553" s="265" t="str">
        <f>IFERROR(__xludf.DUMMYFUNCTION("""COMPUTED_VALUE"""),"AnhNM")</f>
        <v>AnhNM</v>
      </c>
    </row>
    <row r="554">
      <c r="A554" s="265" t="str">
        <f>IFERROR(__xludf.DUMMYFUNCTION("""COMPUTED_VALUE"""),"842")</f>
        <v>842</v>
      </c>
      <c r="B554" s="265" t="str">
        <f>IFERROR(__xludf.DUMMYFUNCTION("""COMPUTED_VALUE"""),"Sài Gòn")</f>
        <v>Sài Gòn</v>
      </c>
      <c r="C554" s="265" t="str">
        <f>IFERROR(__xludf.DUMMYFUNCTION("""COMPUTED_VALUE"""),"Locked")</f>
        <v>Locked</v>
      </c>
      <c r="D554" s="265" t="str">
        <f>IFERROR(__xludf.DUMMYFUNCTION("""COMPUTED_VALUE"""),"Bảo hiểm")</f>
        <v>Bảo hiểm</v>
      </c>
      <c r="E554" s="265" t="str">
        <f>IFERROR(__xludf.DUMMYFUNCTION("""COMPUTED_VALUE"""),"HoaNTM")</f>
        <v>HoaNTM</v>
      </c>
      <c r="F554" s="265" t="str">
        <f>IFERROR(__xludf.DUMMYFUNCTION("""COMPUTED_VALUE"""),"Sale chưa cung cấp")</f>
        <v>Sale chưa cung cấp</v>
      </c>
      <c r="G554" s="265" t="str">
        <f>IFERROR(__xludf.DUMMYFUNCTION("""COMPUTED_VALUE"""),"Starter")</f>
        <v>Starter</v>
      </c>
      <c r="H554" s="265" t="str">
        <f>IFERROR(__xludf.DUMMYFUNCTION("""COMPUTED_VALUE"""),"Trial")</f>
        <v>Trial</v>
      </c>
      <c r="I554" s="265" t="str">
        <f>IFERROR(__xludf.DUMMYFUNCTION("""COMPUTED_VALUE"""),"API &amp; Portal")</f>
        <v>API &amp; Portal</v>
      </c>
      <c r="J554" s="265" t="str">
        <f>IFERROR(__xludf.DUMMYFUNCTION("""COMPUTED_VALUE"""),"GapOne")</f>
        <v>GapOne</v>
      </c>
      <c r="K554" s="265" t="str">
        <f>IFERROR(__xludf.DUMMYFUNCTION("""COMPUTED_VALUE"""),"(Chưa recheck)")</f>
        <v>(Chưa recheck)</v>
      </c>
    </row>
    <row r="555">
      <c r="A555" s="265" t="str">
        <f>IFERROR(__xludf.DUMMYFUNCTION("""COMPUTED_VALUE"""),"843")</f>
        <v>843</v>
      </c>
      <c r="B555" s="265" t="str">
        <f>IFERROR(__xludf.DUMMYFUNCTION("""COMPUTED_VALUE"""),"Sài Gòn")</f>
        <v>Sài Gòn</v>
      </c>
      <c r="C555" s="265" t="str">
        <f>IFERROR(__xludf.DUMMYFUNCTION("""COMPUTED_VALUE"""),"Locked")</f>
        <v>Locked</v>
      </c>
      <c r="D555" s="265" t="str">
        <f>IFERROR(__xludf.DUMMYFUNCTION("""COMPUTED_VALUE"""),"Sale chưa cung cấp")</f>
        <v>Sale chưa cung cấp</v>
      </c>
      <c r="E555" s="265" t="str">
        <f>IFERROR(__xludf.DUMMYFUNCTION("""COMPUTED_VALUE"""),"(Chưa recheck)")</f>
        <v>(Chưa recheck)</v>
      </c>
      <c r="F555" s="265" t="str">
        <f>IFERROR(__xludf.DUMMYFUNCTION("""COMPUTED_VALUE"""),"Sale chưa cung cấp")</f>
        <v>Sale chưa cung cấp</v>
      </c>
      <c r="G555" s="265" t="str">
        <f>IFERROR(__xludf.DUMMYFUNCTION("""COMPUTED_VALUE"""),"Standard")</f>
        <v>Standard</v>
      </c>
      <c r="H555" s="265" t="str">
        <f>IFERROR(__xludf.DUMMYFUNCTION("""COMPUTED_VALUE"""),"Trial")</f>
        <v>Trial</v>
      </c>
      <c r="I555" s="265" t="str">
        <f>IFERROR(__xludf.DUMMYFUNCTION("""COMPUTED_VALUE"""),"API")</f>
        <v>API</v>
      </c>
      <c r="J555" s="265" t="str">
        <f>IFERROR(__xludf.DUMMYFUNCTION("""COMPUTED_VALUE"""),"(Chưa recheck)")</f>
        <v>(Chưa recheck)</v>
      </c>
      <c r="K555" s="265" t="str">
        <f>IFERROR(__xludf.DUMMYFUNCTION("""COMPUTED_VALUE"""),"(Chưa recheck)")</f>
        <v>(Chưa recheck)</v>
      </c>
    </row>
    <row r="556">
      <c r="A556" s="265" t="str">
        <f>IFERROR(__xludf.DUMMYFUNCTION("""COMPUTED_VALUE"""),"844")</f>
        <v>844</v>
      </c>
      <c r="B556" s="265" t="str">
        <f>IFERROR(__xludf.DUMMYFUNCTION("""COMPUTED_VALUE"""),"Sài Gòn")</f>
        <v>Sài Gòn</v>
      </c>
      <c r="C556" s="265" t="str">
        <f>IFERROR(__xludf.DUMMYFUNCTION("""COMPUTED_VALUE"""),"Locked")</f>
        <v>Locked</v>
      </c>
      <c r="D556" s="265" t="str">
        <f>IFERROR(__xludf.DUMMYFUNCTION("""COMPUTED_VALUE"""),"Mua sắm &amp; Bán lẻ")</f>
        <v>Mua sắm &amp; Bán lẻ</v>
      </c>
      <c r="E556" s="265" t="str">
        <f>IFERROR(__xludf.DUMMYFUNCTION("""COMPUTED_VALUE"""),"TúPHN")</f>
        <v>TúPHN</v>
      </c>
      <c r="F556" s="265" t="str">
        <f>IFERROR(__xludf.DUMMYFUNCTION("""COMPUTED_VALUE"""),"Sale chưa cung cấp")</f>
        <v>Sale chưa cung cấp</v>
      </c>
      <c r="G556" s="265" t="str">
        <f>IFERROR(__xludf.DUMMYFUNCTION("""COMPUTED_VALUE"""),"Premium")</f>
        <v>Premium</v>
      </c>
      <c r="H556" s="265" t="str">
        <f>IFERROR(__xludf.DUMMYFUNCTION("""COMPUTED_VALUE"""),"Trial")</f>
        <v>Trial</v>
      </c>
      <c r="I556" s="265" t="str">
        <f>IFERROR(__xludf.DUMMYFUNCTION("""COMPUTED_VALUE"""),"API &amp; Portal")</f>
        <v>API &amp; Portal</v>
      </c>
      <c r="J556" s="265" t="str">
        <f>IFERROR(__xludf.DUMMYFUNCTION("""COMPUTED_VALUE"""),"Zalo ZNS")</f>
        <v>Zalo ZNS</v>
      </c>
      <c r="K556" s="265" t="str">
        <f>IFERROR(__xludf.DUMMYFUNCTION("""COMPUTED_VALUE"""),"(Không recheck)")</f>
        <v>(Không recheck)</v>
      </c>
    </row>
    <row r="557">
      <c r="A557" s="265" t="str">
        <f>IFERROR(__xludf.DUMMYFUNCTION("""COMPUTED_VALUE"""),"845")</f>
        <v>845</v>
      </c>
      <c r="B557" s="265" t="str">
        <f>IFERROR(__xludf.DUMMYFUNCTION("""COMPUTED_VALUE"""),"Sài Gòn")</f>
        <v>Sài Gòn</v>
      </c>
      <c r="C557" s="265" t="str">
        <f>IFERROR(__xludf.DUMMYFUNCTION("""COMPUTED_VALUE"""),"Locked")</f>
        <v>Locked</v>
      </c>
      <c r="D557" s="265" t="str">
        <f>IFERROR(__xludf.DUMMYFUNCTION("""COMPUTED_VALUE"""),"Mỹ phẩm &amp; Làm đẹp")</f>
        <v>Mỹ phẩm &amp; Làm đẹp</v>
      </c>
      <c r="E557" s="265" t="str">
        <f>IFERROR(__xludf.DUMMYFUNCTION("""COMPUTED_VALUE"""),"TùngLD")</f>
        <v>TùngLD</v>
      </c>
      <c r="F557" s="265" t="str">
        <f>IFERROR(__xludf.DUMMYFUNCTION("""COMPUTED_VALUE"""),"Sale chưa cung cấp")</f>
        <v>Sale chưa cung cấp</v>
      </c>
      <c r="G557" s="265" t="str">
        <f>IFERROR(__xludf.DUMMYFUNCTION("""COMPUTED_VALUE"""),"Premium")</f>
        <v>Premium</v>
      </c>
      <c r="H557" s="265" t="str">
        <f>IFERROR(__xludf.DUMMYFUNCTION("""COMPUTED_VALUE"""),"Trial")</f>
        <v>Trial</v>
      </c>
      <c r="I557" s="265" t="str">
        <f>IFERROR(__xludf.DUMMYFUNCTION("""COMPUTED_VALUE"""),"API &amp; Portal")</f>
        <v>API &amp; Portal</v>
      </c>
      <c r="J557" s="265" t="str">
        <f>IFERROR(__xludf.DUMMYFUNCTION("""COMPUTED_VALUE"""),"Zalo ZNS")</f>
        <v>Zalo ZNS</v>
      </c>
      <c r="K557" s="265" t="str">
        <f>IFERROR(__xludf.DUMMYFUNCTION("""COMPUTED_VALUE"""),"Không phân công")</f>
        <v>Không phân công</v>
      </c>
    </row>
    <row r="558">
      <c r="A558" s="265" t="str">
        <f>IFERROR(__xludf.DUMMYFUNCTION("""COMPUTED_VALUE"""),"846")</f>
        <v>846</v>
      </c>
      <c r="B558" s="265" t="str">
        <f>IFERROR(__xludf.DUMMYFUNCTION("""COMPUTED_VALUE"""),"Hà Nội")</f>
        <v>Hà Nội</v>
      </c>
      <c r="C558" s="265" t="str">
        <f>IFERROR(__xludf.DUMMYFUNCTION("""COMPUTED_VALUE"""),"Locked")</f>
        <v>Locked</v>
      </c>
      <c r="D558" s="265" t="str">
        <f>IFERROR(__xludf.DUMMYFUNCTION("""COMPUTED_VALUE"""),"Hành chính công")</f>
        <v>Hành chính công</v>
      </c>
      <c r="E558" s="265" t="str">
        <f>IFERROR(__xludf.DUMMYFUNCTION("""COMPUTED_VALUE"""),"TùngLD")</f>
        <v>TùngLD</v>
      </c>
      <c r="F558" s="265" t="str">
        <f>IFERROR(__xludf.DUMMYFUNCTION("""COMPUTED_VALUE"""),"Bronze")</f>
        <v>Bronze</v>
      </c>
      <c r="G558" s="265" t="str">
        <f>IFERROR(__xludf.DUMMYFUNCTION("""COMPUTED_VALUE"""),"Premium")</f>
        <v>Premium</v>
      </c>
      <c r="H558" s="265" t="str">
        <f>IFERROR(__xludf.DUMMYFUNCTION("""COMPUTED_VALUE"""),"Trả trước")</f>
        <v>Trả trước</v>
      </c>
      <c r="I558" s="265" t="str">
        <f>IFERROR(__xludf.DUMMYFUNCTION("""COMPUTED_VALUE"""),"Portal")</f>
        <v>Portal</v>
      </c>
      <c r="J558" s="265" t="str">
        <f>IFERROR(__xludf.DUMMYFUNCTION("""COMPUTED_VALUE"""),"Tất cả")</f>
        <v>Tất cả</v>
      </c>
      <c r="K558" s="265" t="str">
        <f>IFERROR(__xludf.DUMMYFUNCTION("""COMPUTED_VALUE"""),"Không phân công")</f>
        <v>Không phân công</v>
      </c>
    </row>
    <row r="559">
      <c r="A559" s="265" t="str">
        <f>IFERROR(__xludf.DUMMYFUNCTION("""COMPUTED_VALUE"""),"847")</f>
        <v>847</v>
      </c>
      <c r="B559" s="265" t="str">
        <f>IFERROR(__xludf.DUMMYFUNCTION("""COMPUTED_VALUE"""),"Sài Gòn")</f>
        <v>Sài Gòn</v>
      </c>
      <c r="C559" s="265" t="str">
        <f>IFERROR(__xludf.DUMMYFUNCTION("""COMPUTED_VALUE"""),"Locked")</f>
        <v>Locked</v>
      </c>
      <c r="D559" s="265" t="str">
        <f>IFERROR(__xludf.DUMMYFUNCTION("""COMPUTED_VALUE"""),"Du lịch &amp; Lưu trú")</f>
        <v>Du lịch &amp; Lưu trú</v>
      </c>
      <c r="E559" s="265" t="str">
        <f>IFERROR(__xludf.DUMMYFUNCTION("""COMPUTED_VALUE"""),"TúPHN")</f>
        <v>TúPHN</v>
      </c>
      <c r="F559" s="265" t="str">
        <f>IFERROR(__xludf.DUMMYFUNCTION("""COMPUTED_VALUE"""),"Sale chưa cung cấp")</f>
        <v>Sale chưa cung cấp</v>
      </c>
      <c r="G559" s="265" t="str">
        <f>IFERROR(__xludf.DUMMYFUNCTION("""COMPUTED_VALUE"""),"Premium")</f>
        <v>Premium</v>
      </c>
      <c r="H559" s="265" t="str">
        <f>IFERROR(__xludf.DUMMYFUNCTION("""COMPUTED_VALUE"""),"Trial")</f>
        <v>Trial</v>
      </c>
      <c r="I559" s="265" t="str">
        <f>IFERROR(__xludf.DUMMYFUNCTION("""COMPUTED_VALUE"""),"API &amp; Portal")</f>
        <v>API &amp; Portal</v>
      </c>
      <c r="J559" s="265" t="str">
        <f>IFERROR(__xludf.DUMMYFUNCTION("""COMPUTED_VALUE"""),"Zalo ZNS")</f>
        <v>Zalo ZNS</v>
      </c>
      <c r="K559" s="265" t="str">
        <f>IFERROR(__xludf.DUMMYFUNCTION("""COMPUTED_VALUE"""),"(Không recheck)")</f>
        <v>(Không recheck)</v>
      </c>
    </row>
    <row r="560">
      <c r="A560" s="265" t="str">
        <f>IFERROR(__xludf.DUMMYFUNCTION("""COMPUTED_VALUE"""),"847")</f>
        <v>847</v>
      </c>
      <c r="B560" s="265" t="str">
        <f>IFERROR(__xludf.DUMMYFUNCTION("""COMPUTED_VALUE"""),"Sài Gòn")</f>
        <v>Sài Gòn</v>
      </c>
      <c r="C560" s="265" t="str">
        <f>IFERROR(__xludf.DUMMYFUNCTION("""COMPUTED_VALUE"""),"Locked")</f>
        <v>Locked</v>
      </c>
      <c r="D560" s="265" t="str">
        <f>IFERROR(__xludf.DUMMYFUNCTION("""COMPUTED_VALUE"""),"Du lịch &amp; Lưu trú")</f>
        <v>Du lịch &amp; Lưu trú</v>
      </c>
      <c r="E560" s="265" t="str">
        <f>IFERROR(__xludf.DUMMYFUNCTION("""COMPUTED_VALUE"""),"TúPHN")</f>
        <v>TúPHN</v>
      </c>
      <c r="F560" s="265" t="str">
        <f>IFERROR(__xludf.DUMMYFUNCTION("""COMPUTED_VALUE"""),"Sale chưa cung cấp")</f>
        <v>Sale chưa cung cấp</v>
      </c>
      <c r="G560" s="265" t="str">
        <f>IFERROR(__xludf.DUMMYFUNCTION("""COMPUTED_VALUE"""),"Premium")</f>
        <v>Premium</v>
      </c>
      <c r="H560" s="265" t="str">
        <f>IFERROR(__xludf.DUMMYFUNCTION("""COMPUTED_VALUE"""),"Trial")</f>
        <v>Trial</v>
      </c>
      <c r="I560" s="265" t="str">
        <f>IFERROR(__xludf.DUMMYFUNCTION("""COMPUTED_VALUE"""),"API &amp; Portal")</f>
        <v>API &amp; Portal</v>
      </c>
      <c r="J560" s="265" t="str">
        <f>IFERROR(__xludf.DUMMYFUNCTION("""COMPUTED_VALUE"""),"SMS CSKH")</f>
        <v>SMS CSKH</v>
      </c>
      <c r="K560" s="265" t="str">
        <f>IFERROR(__xludf.DUMMYFUNCTION("""COMPUTED_VALUE"""),"(Không recheck)")</f>
        <v>(Không recheck)</v>
      </c>
    </row>
    <row r="561">
      <c r="A561" s="265" t="str">
        <f>IFERROR(__xludf.DUMMYFUNCTION("""COMPUTED_VALUE"""),"848")</f>
        <v>848</v>
      </c>
      <c r="B561" s="265" t="str">
        <f>IFERROR(__xludf.DUMMYFUNCTION("""COMPUTED_VALUE"""),"Sài Gòn")</f>
        <v>Sài Gòn</v>
      </c>
      <c r="C561" s="265" t="str">
        <f>IFERROR(__xludf.DUMMYFUNCTION("""COMPUTED_VALUE"""),"Locked")</f>
        <v>Locked</v>
      </c>
      <c r="D561" s="265" t="str">
        <f>IFERROR(__xludf.DUMMYFUNCTION("""COMPUTED_VALUE"""),"Sale chưa cung cấp")</f>
        <v>Sale chưa cung cấp</v>
      </c>
      <c r="E561" s="265" t="str">
        <f>IFERROR(__xludf.DUMMYFUNCTION("""COMPUTED_VALUE"""),"(Chưa recheck)")</f>
        <v>(Chưa recheck)</v>
      </c>
      <c r="F561" s="265" t="str">
        <f>IFERROR(__xludf.DUMMYFUNCTION("""COMPUTED_VALUE"""),"Sale chưa cung cấp")</f>
        <v>Sale chưa cung cấp</v>
      </c>
      <c r="G561" s="265" t="str">
        <f>IFERROR(__xludf.DUMMYFUNCTION("""COMPUTED_VALUE"""),"(Chưa recheck)")</f>
        <v>(Chưa recheck)</v>
      </c>
      <c r="H561" s="265" t="str">
        <f>IFERROR(__xludf.DUMMYFUNCTION("""COMPUTED_VALUE"""),"Trial")</f>
        <v>Trial</v>
      </c>
      <c r="I561" s="265" t="str">
        <f>IFERROR(__xludf.DUMMYFUNCTION("""COMPUTED_VALUE"""),"(Chưa recheck)")</f>
        <v>(Chưa recheck)</v>
      </c>
      <c r="J561" s="265" t="str">
        <f>IFERROR(__xludf.DUMMYFUNCTION("""COMPUTED_VALUE"""),"(Chưa recheck)")</f>
        <v>(Chưa recheck)</v>
      </c>
      <c r="K561" s="265" t="str">
        <f>IFERROR(__xludf.DUMMYFUNCTION("""COMPUTED_VALUE"""),"(Chưa recheck)")</f>
        <v>(Chưa recheck)</v>
      </c>
    </row>
    <row r="562">
      <c r="A562" s="265" t="str">
        <f>IFERROR(__xludf.DUMMYFUNCTION("""COMPUTED_VALUE"""),"850")</f>
        <v>850</v>
      </c>
      <c r="B562" s="265" t="str">
        <f>IFERROR(__xludf.DUMMYFUNCTION("""COMPUTED_VALUE"""),"Hà Nội")</f>
        <v>Hà Nội</v>
      </c>
      <c r="C562" s="265" t="str">
        <f>IFERROR(__xludf.DUMMYFUNCTION("""COMPUTED_VALUE"""),"Locked")</f>
        <v>Locked</v>
      </c>
      <c r="D562" s="265" t="str">
        <f>IFERROR(__xludf.DUMMYFUNCTION("""COMPUTED_VALUE"""),"Viễn thông")</f>
        <v>Viễn thông</v>
      </c>
      <c r="E562" s="265" t="str">
        <f>IFERROR(__xludf.DUMMYFUNCTION("""COMPUTED_VALUE"""),"TúPHN")</f>
        <v>TúPHN</v>
      </c>
      <c r="F562" s="265" t="str">
        <f>IFERROR(__xludf.DUMMYFUNCTION("""COMPUTED_VALUE"""),"Sale chưa cung cấp")</f>
        <v>Sale chưa cung cấp</v>
      </c>
      <c r="G562" s="265" t="str">
        <f>IFERROR(__xludf.DUMMYFUNCTION("""COMPUTED_VALUE"""),"Premium")</f>
        <v>Premium</v>
      </c>
      <c r="H562" s="265" t="str">
        <f>IFERROR(__xludf.DUMMYFUNCTION("""COMPUTED_VALUE"""),"Trial")</f>
        <v>Trial</v>
      </c>
      <c r="I562" s="265" t="str">
        <f>IFERROR(__xludf.DUMMYFUNCTION("""COMPUTED_VALUE"""),"API")</f>
        <v>API</v>
      </c>
      <c r="J562" s="265" t="str">
        <f>IFERROR(__xludf.DUMMYFUNCTION("""COMPUTED_VALUE"""),"Tất cả")</f>
        <v>Tất cả</v>
      </c>
      <c r="K562" s="265" t="str">
        <f>IFERROR(__xludf.DUMMYFUNCTION("""COMPUTED_VALUE"""),"Không phân công")</f>
        <v>Không phân công</v>
      </c>
    </row>
    <row r="563">
      <c r="A563" s="265" t="str">
        <f>IFERROR(__xludf.DUMMYFUNCTION("""COMPUTED_VALUE"""),"849")</f>
        <v>849</v>
      </c>
      <c r="B563" s="265" t="str">
        <f>IFERROR(__xludf.DUMMYFUNCTION("""COMPUTED_VALUE"""),"Hà Nội")</f>
        <v>Hà Nội</v>
      </c>
      <c r="C563" s="265" t="str">
        <f>IFERROR(__xludf.DUMMYFUNCTION("""COMPUTED_VALUE"""),"Locked")</f>
        <v>Locked</v>
      </c>
      <c r="D563" s="265" t="str">
        <f>IFERROR(__xludf.DUMMYFUNCTION("""COMPUTED_VALUE"""),"Sale chưa cung cấp")</f>
        <v>Sale chưa cung cấp</v>
      </c>
      <c r="E563" s="265" t="str">
        <f>IFERROR(__xludf.DUMMYFUNCTION("""COMPUTED_VALUE"""),"AnhNM")</f>
        <v>AnhNM</v>
      </c>
      <c r="F563" s="265" t="str">
        <f>IFERROR(__xludf.DUMMYFUNCTION("""COMPUTED_VALUE"""),"Silver")</f>
        <v>Silver</v>
      </c>
      <c r="G563" s="265" t="str">
        <f>IFERROR(__xludf.DUMMYFUNCTION("""COMPUTED_VALUE"""),"Premium")</f>
        <v>Premium</v>
      </c>
      <c r="H563" s="265" t="str">
        <f>IFERROR(__xludf.DUMMYFUNCTION("""COMPUTED_VALUE"""),"Trả trước")</f>
        <v>Trả trước</v>
      </c>
      <c r="I563" s="265" t="str">
        <f>IFERROR(__xludf.DUMMYFUNCTION("""COMPUTED_VALUE"""),"Portal")</f>
        <v>Portal</v>
      </c>
      <c r="J563" s="265" t="str">
        <f>IFERROR(__xludf.DUMMYFUNCTION("""COMPUTED_VALUE"""),"Tất cả")</f>
        <v>Tất cả</v>
      </c>
      <c r="K563" s="265" t="str">
        <f>IFERROR(__xludf.DUMMYFUNCTION("""COMPUTED_VALUE"""),"LinhNTT1")</f>
        <v>LinhNTT1</v>
      </c>
    </row>
    <row r="564">
      <c r="A564" s="265" t="str">
        <f>IFERROR(__xludf.DUMMYFUNCTION("""COMPUTED_VALUE"""),"851")</f>
        <v>851</v>
      </c>
      <c r="B564" s="265" t="str">
        <f>IFERROR(__xludf.DUMMYFUNCTION("""COMPUTED_VALUE"""),"Sài Gòn")</f>
        <v>Sài Gòn</v>
      </c>
      <c r="C564" s="265" t="str">
        <f>IFERROR(__xludf.DUMMYFUNCTION("""COMPUTED_VALUE"""),"Locked")</f>
        <v>Locked</v>
      </c>
      <c r="D564" s="265" t="str">
        <f>IFERROR(__xludf.DUMMYFUNCTION("""COMPUTED_VALUE"""),"Thực phẩm &amp; Đồ uống")</f>
        <v>Thực phẩm &amp; Đồ uống</v>
      </c>
      <c r="E564" s="265" t="str">
        <f>IFERROR(__xludf.DUMMYFUNCTION("""COMPUTED_VALUE"""),"HoaNTM")</f>
        <v>HoaNTM</v>
      </c>
      <c r="F564" s="265" t="str">
        <f>IFERROR(__xludf.DUMMYFUNCTION("""COMPUTED_VALUE"""),"Diamond")</f>
        <v>Diamond</v>
      </c>
      <c r="G564" s="265" t="str">
        <f>IFERROR(__xludf.DUMMYFUNCTION("""COMPUTED_VALUE"""),"Starter")</f>
        <v>Starter</v>
      </c>
      <c r="H564" s="265" t="str">
        <f>IFERROR(__xludf.DUMMYFUNCTION("""COMPUTED_VALUE"""),"Trả trước")</f>
        <v>Trả trước</v>
      </c>
      <c r="I564" s="265" t="str">
        <f>IFERROR(__xludf.DUMMYFUNCTION("""COMPUTED_VALUE"""),"API &amp; Portal")</f>
        <v>API &amp; Portal</v>
      </c>
      <c r="J564" s="265" t="str">
        <f>IFERROR(__xludf.DUMMYFUNCTION("""COMPUTED_VALUE"""),"SMS CSKH")</f>
        <v>SMS CSKH</v>
      </c>
      <c r="K564" s="265" t="str">
        <f>IFERROR(__xludf.DUMMYFUNCTION("""COMPUTED_VALUE"""),"YếnĐH")</f>
        <v>YếnĐH</v>
      </c>
    </row>
    <row r="565">
      <c r="A565" s="265" t="str">
        <f>IFERROR(__xludf.DUMMYFUNCTION("""COMPUTED_VALUE"""),"853")</f>
        <v>853</v>
      </c>
      <c r="B565" s="265" t="str">
        <f>IFERROR(__xludf.DUMMYFUNCTION("""COMPUTED_VALUE"""),"Sài Gòn")</f>
        <v>Sài Gòn</v>
      </c>
      <c r="C565" s="265" t="str">
        <f>IFERROR(__xludf.DUMMYFUNCTION("""COMPUTED_VALUE"""),"Active")</f>
        <v>Active</v>
      </c>
      <c r="D565" s="265" t="str">
        <f>IFERROR(__xludf.DUMMYFUNCTION("""COMPUTED_VALUE"""),"Sale chưa cung cấp")</f>
        <v>Sale chưa cung cấp</v>
      </c>
      <c r="E565" s="265" t="str">
        <f>IFERROR(__xludf.DUMMYFUNCTION("""COMPUTED_VALUE"""),"TùngLD")</f>
        <v>TùngLD</v>
      </c>
      <c r="F565" s="265" t="str">
        <f>IFERROR(__xludf.DUMMYFUNCTION("""COMPUTED_VALUE"""),"Silver")</f>
        <v>Silver</v>
      </c>
      <c r="G565" s="265" t="str">
        <f>IFERROR(__xludf.DUMMYFUNCTION("""COMPUTED_VALUE"""),"Standard")</f>
        <v>Standard</v>
      </c>
      <c r="H565" s="265" t="str">
        <f>IFERROR(__xludf.DUMMYFUNCTION("""COMPUTED_VALUE"""),"Trả sau")</f>
        <v>Trả sau</v>
      </c>
      <c r="I565" s="265" t="str">
        <f>IFERROR(__xludf.DUMMYFUNCTION("""COMPUTED_VALUE"""),"API")</f>
        <v>API</v>
      </c>
      <c r="J565" s="265" t="str">
        <f>IFERROR(__xludf.DUMMYFUNCTION("""COMPUTED_VALUE"""),"Zalo ZNS")</f>
        <v>Zalo ZNS</v>
      </c>
      <c r="K565" s="265" t="str">
        <f>IFERROR(__xludf.DUMMYFUNCTION("""COMPUTED_VALUE"""),"YếnĐH")</f>
        <v>YếnĐH</v>
      </c>
    </row>
    <row r="566">
      <c r="A566" s="265" t="str">
        <f>IFERROR(__xludf.DUMMYFUNCTION("""COMPUTED_VALUE"""),"852")</f>
        <v>852</v>
      </c>
      <c r="B566" s="265" t="str">
        <f>IFERROR(__xludf.DUMMYFUNCTION("""COMPUTED_VALUE"""),"Hà Nội")</f>
        <v>Hà Nội</v>
      </c>
      <c r="C566" s="265" t="str">
        <f>IFERROR(__xludf.DUMMYFUNCTION("""COMPUTED_VALUE"""),"Active")</f>
        <v>Active</v>
      </c>
      <c r="D566" s="265" t="str">
        <f>IFERROR(__xludf.DUMMYFUNCTION("""COMPUTED_VALUE"""),"Mua sắm &amp; Bán lẻ")</f>
        <v>Mua sắm &amp; Bán lẻ</v>
      </c>
      <c r="E566" s="265" t="str">
        <f>IFERROR(__xludf.DUMMYFUNCTION("""COMPUTED_VALUE"""),"TúPHN")</f>
        <v>TúPHN</v>
      </c>
      <c r="F566" s="265" t="str">
        <f>IFERROR(__xludf.DUMMYFUNCTION("""COMPUTED_VALUE"""),"Gold")</f>
        <v>Gold</v>
      </c>
      <c r="G566" s="265" t="str">
        <f>IFERROR(__xludf.DUMMYFUNCTION("""COMPUTED_VALUE"""),"Starter")</f>
        <v>Starter</v>
      </c>
      <c r="H566" s="265" t="str">
        <f>IFERROR(__xludf.DUMMYFUNCTION("""COMPUTED_VALUE"""),"Trả sau")</f>
        <v>Trả sau</v>
      </c>
      <c r="I566" s="265" t="str">
        <f>IFERROR(__xludf.DUMMYFUNCTION("""COMPUTED_VALUE"""),"API &amp; Portal")</f>
        <v>API &amp; Portal</v>
      </c>
      <c r="J566" s="265" t="str">
        <f>IFERROR(__xludf.DUMMYFUNCTION("""COMPUTED_VALUE"""),"SMS CSKH")</f>
        <v>SMS CSKH</v>
      </c>
      <c r="K566" s="265" t="str">
        <f>IFERROR(__xludf.DUMMYFUNCTION("""COMPUTED_VALUE"""),"LinhNTT1")</f>
        <v>LinhNTT1</v>
      </c>
    </row>
    <row r="567">
      <c r="A567" s="265" t="str">
        <f>IFERROR(__xludf.DUMMYFUNCTION("""COMPUTED_VALUE"""),"852")</f>
        <v>852</v>
      </c>
      <c r="B567" s="265" t="str">
        <f>IFERROR(__xludf.DUMMYFUNCTION("""COMPUTED_VALUE"""),"Hà Nội")</f>
        <v>Hà Nội</v>
      </c>
      <c r="C567" s="265" t="str">
        <f>IFERROR(__xludf.DUMMYFUNCTION("""COMPUTED_VALUE"""),"Active")</f>
        <v>Active</v>
      </c>
      <c r="D567" s="265" t="str">
        <f>IFERROR(__xludf.DUMMYFUNCTION("""COMPUTED_VALUE"""),"Mua sắm &amp; Bán lẻ")</f>
        <v>Mua sắm &amp; Bán lẻ</v>
      </c>
      <c r="E567" s="265" t="str">
        <f>IFERROR(__xludf.DUMMYFUNCTION("""COMPUTED_VALUE"""),"TúPHN")</f>
        <v>TúPHN</v>
      </c>
      <c r="F567" s="265" t="str">
        <f>IFERROR(__xludf.DUMMYFUNCTION("""COMPUTED_VALUE"""),"Gold")</f>
        <v>Gold</v>
      </c>
      <c r="G567" s="265" t="str">
        <f>IFERROR(__xludf.DUMMYFUNCTION("""COMPUTED_VALUE"""),"Starter")</f>
        <v>Starter</v>
      </c>
      <c r="H567" s="265" t="str">
        <f>IFERROR(__xludf.DUMMYFUNCTION("""COMPUTED_VALUE"""),"Trả sau")</f>
        <v>Trả sau</v>
      </c>
      <c r="I567" s="265" t="str">
        <f>IFERROR(__xludf.DUMMYFUNCTION("""COMPUTED_VALUE"""),"API &amp; Portal")</f>
        <v>API &amp; Portal</v>
      </c>
      <c r="J567" s="265" t="str">
        <f>IFERROR(__xludf.DUMMYFUNCTION("""COMPUTED_VALUE"""),"Zalo ZNS")</f>
        <v>Zalo ZNS</v>
      </c>
      <c r="K567" s="265" t="str">
        <f>IFERROR(__xludf.DUMMYFUNCTION("""COMPUTED_VALUE"""),"LinhNTT1")</f>
        <v>LinhNTT1</v>
      </c>
    </row>
    <row r="568">
      <c r="A568" s="265" t="str">
        <f>IFERROR(__xludf.DUMMYFUNCTION("""COMPUTED_VALUE"""),"854")</f>
        <v>854</v>
      </c>
      <c r="B568" s="265" t="str">
        <f>IFERROR(__xludf.DUMMYFUNCTION("""COMPUTED_VALUE"""),"Hà Nội")</f>
        <v>Hà Nội</v>
      </c>
      <c r="C568" s="265" t="str">
        <f>IFERROR(__xludf.DUMMYFUNCTION("""COMPUTED_VALUE"""),"Active")</f>
        <v>Active</v>
      </c>
      <c r="D568" s="265" t="str">
        <f>IFERROR(__xludf.DUMMYFUNCTION("""COMPUTED_VALUE"""),"Sale chưa cung cấp")</f>
        <v>Sale chưa cung cấp</v>
      </c>
      <c r="E568" s="265" t="str">
        <f>IFERROR(__xludf.DUMMYFUNCTION("""COMPUTED_VALUE"""),"TúPHN")</f>
        <v>TúPHN</v>
      </c>
      <c r="F568" s="265" t="str">
        <f>IFERROR(__xludf.DUMMYFUNCTION("""COMPUTED_VALUE"""),"Bronze")</f>
        <v>Bronze</v>
      </c>
      <c r="G568" s="265" t="str">
        <f>IFERROR(__xludf.DUMMYFUNCTION("""COMPUTED_VALUE"""),"Starter")</f>
        <v>Starter</v>
      </c>
      <c r="H568" s="265" t="str">
        <f>IFERROR(__xludf.DUMMYFUNCTION("""COMPUTED_VALUE"""),"Trả sau")</f>
        <v>Trả sau</v>
      </c>
      <c r="I568" s="265" t="str">
        <f>IFERROR(__xludf.DUMMYFUNCTION("""COMPUTED_VALUE"""),"API &amp; Portal")</f>
        <v>API &amp; Portal</v>
      </c>
      <c r="J568" s="265" t="str">
        <f>IFERROR(__xludf.DUMMYFUNCTION("""COMPUTED_VALUE"""),"Zalo ZNS")</f>
        <v>Zalo ZNS</v>
      </c>
      <c r="K568" s="265" t="str">
        <f>IFERROR(__xludf.DUMMYFUNCTION("""COMPUTED_VALUE"""),"DungPL")</f>
        <v>DungPL</v>
      </c>
    </row>
    <row r="569">
      <c r="A569" s="265" t="str">
        <f>IFERROR(__xludf.DUMMYFUNCTION("""COMPUTED_VALUE"""),"859")</f>
        <v>859</v>
      </c>
      <c r="B569" s="265" t="str">
        <f>IFERROR(__xludf.DUMMYFUNCTION("""COMPUTED_VALUE"""),"Hà Nội")</f>
        <v>Hà Nội</v>
      </c>
      <c r="C569" s="265" t="str">
        <f>IFERROR(__xludf.DUMMYFUNCTION("""COMPUTED_VALUE"""),"Active")</f>
        <v>Active</v>
      </c>
      <c r="D569" s="265" t="str">
        <f>IFERROR(__xludf.DUMMYFUNCTION("""COMPUTED_VALUE"""),"Mua sắm &amp; Bán lẻ")</f>
        <v>Mua sắm &amp; Bán lẻ</v>
      </c>
      <c r="E569" s="265" t="str">
        <f>IFERROR(__xludf.DUMMYFUNCTION("""COMPUTED_VALUE"""),"TùngLD")</f>
        <v>TùngLD</v>
      </c>
      <c r="F569" s="265" t="str">
        <f>IFERROR(__xludf.DUMMYFUNCTION("""COMPUTED_VALUE"""),"Bronze")</f>
        <v>Bronze</v>
      </c>
      <c r="G569" s="265" t="str">
        <f>IFERROR(__xludf.DUMMYFUNCTION("""COMPUTED_VALUE"""),"Starter")</f>
        <v>Starter</v>
      </c>
      <c r="H569" s="265" t="str">
        <f>IFERROR(__xludf.DUMMYFUNCTION("""COMPUTED_VALUE"""),"Trả sau")</f>
        <v>Trả sau</v>
      </c>
      <c r="I569" s="265" t="str">
        <f>IFERROR(__xludf.DUMMYFUNCTION("""COMPUTED_VALUE"""),"API &amp; Portal")</f>
        <v>API &amp; Portal</v>
      </c>
      <c r="J569" s="265" t="str">
        <f>IFERROR(__xludf.DUMMYFUNCTION("""COMPUTED_VALUE"""),"Tất cả")</f>
        <v>Tất cả</v>
      </c>
      <c r="K569" s="265" t="str">
        <f>IFERROR(__xludf.DUMMYFUNCTION("""COMPUTED_VALUE"""),"DungVT")</f>
        <v>DungVT</v>
      </c>
    </row>
    <row r="570">
      <c r="A570" s="265" t="str">
        <f>IFERROR(__xludf.DUMMYFUNCTION("""COMPUTED_VALUE"""),"860")</f>
        <v>860</v>
      </c>
      <c r="B570" s="265" t="str">
        <f>IFERROR(__xludf.DUMMYFUNCTION("""COMPUTED_VALUE"""),"Hà Nội")</f>
        <v>Hà Nội</v>
      </c>
      <c r="C570" s="265" t="str">
        <f>IFERROR(__xludf.DUMMYFUNCTION("""COMPUTED_VALUE"""),"Active")</f>
        <v>Active</v>
      </c>
      <c r="D570" s="265" t="str">
        <f>IFERROR(__xludf.DUMMYFUNCTION("""COMPUTED_VALUE"""),"Tài chính &amp; Ngân hàng")</f>
        <v>Tài chính &amp; Ngân hàng</v>
      </c>
      <c r="E570" s="265" t="str">
        <f>IFERROR(__xludf.DUMMYFUNCTION("""COMPUTED_VALUE"""),"AnhNM")</f>
        <v>AnhNM</v>
      </c>
      <c r="F570" s="265" t="str">
        <f>IFERROR(__xludf.DUMMYFUNCTION("""COMPUTED_VALUE"""),"Sale chưa cung cấp")</f>
        <v>Sale chưa cung cấp</v>
      </c>
      <c r="G570" s="265" t="str">
        <f>IFERROR(__xludf.DUMMYFUNCTION("""COMPUTED_VALUE"""),"Starter")</f>
        <v>Starter</v>
      </c>
      <c r="H570" s="265" t="str">
        <f>IFERROR(__xludf.DUMMYFUNCTION("""COMPUTED_VALUE"""),"Trả sau")</f>
        <v>Trả sau</v>
      </c>
      <c r="I570" s="265" t="str">
        <f>IFERROR(__xludf.DUMMYFUNCTION("""COMPUTED_VALUE"""),"API")</f>
        <v>API</v>
      </c>
      <c r="J570" s="265" t="str">
        <f>IFERROR(__xludf.DUMMYFUNCTION("""COMPUTED_VALUE"""),"SMS CSKH")</f>
        <v>SMS CSKH</v>
      </c>
      <c r="K570" s="265" t="str">
        <f>IFERROR(__xludf.DUMMYFUNCTION("""COMPUTED_VALUE"""),"LinhNTT1")</f>
        <v>LinhNTT1</v>
      </c>
    </row>
    <row r="571">
      <c r="A571" s="265" t="str">
        <f>IFERROR(__xludf.DUMMYFUNCTION("""COMPUTED_VALUE"""),"861")</f>
        <v>861</v>
      </c>
      <c r="B571" s="265" t="str">
        <f>IFERROR(__xludf.DUMMYFUNCTION("""COMPUTED_VALUE"""),"Hà Nội")</f>
        <v>Hà Nội</v>
      </c>
      <c r="C571" s="265" t="str">
        <f>IFERROR(__xludf.DUMMYFUNCTION("""COMPUTED_VALUE"""),"Locked")</f>
        <v>Locked</v>
      </c>
      <c r="D571" s="265" t="str">
        <f>IFERROR(__xludf.DUMMYFUNCTION("""COMPUTED_VALUE"""),"Sale chưa cung cấp")</f>
        <v>Sale chưa cung cấp</v>
      </c>
      <c r="E571" s="265" t="str">
        <f>IFERROR(__xludf.DUMMYFUNCTION("""COMPUTED_VALUE"""),"TúPHN")</f>
        <v>TúPHN</v>
      </c>
      <c r="F571" s="265" t="str">
        <f>IFERROR(__xludf.DUMMYFUNCTION("""COMPUTED_VALUE"""),"Diamond")</f>
        <v>Diamond</v>
      </c>
      <c r="G571" s="265" t="str">
        <f>IFERROR(__xludf.DUMMYFUNCTION("""COMPUTED_VALUE"""),"Premium")</f>
        <v>Premium</v>
      </c>
      <c r="H571" s="265" t="str">
        <f>IFERROR(__xludf.DUMMYFUNCTION("""COMPUTED_VALUE"""),"Trial")</f>
        <v>Trial</v>
      </c>
      <c r="I571" s="265" t="str">
        <f>IFERROR(__xludf.DUMMYFUNCTION("""COMPUTED_VALUE"""),"API &amp; Portal")</f>
        <v>API &amp; Portal</v>
      </c>
      <c r="J571" s="265" t="str">
        <f>IFERROR(__xludf.DUMMYFUNCTION("""COMPUTED_VALUE"""),"Tất cả")</f>
        <v>Tất cả</v>
      </c>
      <c r="K571" s="265" t="str">
        <f>IFERROR(__xludf.DUMMYFUNCTION("""COMPUTED_VALUE"""),"Không phân công")</f>
        <v>Không phân công</v>
      </c>
    </row>
    <row r="572">
      <c r="A572" s="265" t="str">
        <f>IFERROR(__xludf.DUMMYFUNCTION("""COMPUTED_VALUE"""),"863")</f>
        <v>863</v>
      </c>
      <c r="B572" s="265" t="str">
        <f>IFERROR(__xludf.DUMMYFUNCTION("""COMPUTED_VALUE"""),"Sài Gòn")</f>
        <v>Sài Gòn</v>
      </c>
      <c r="C572" s="265" t="str">
        <f>IFERROR(__xludf.DUMMYFUNCTION("""COMPUTED_VALUE"""),"Locked")</f>
        <v>Locked</v>
      </c>
      <c r="D572" s="265" t="str">
        <f>IFERROR(__xludf.DUMMYFUNCTION("""COMPUTED_VALUE"""),"Công nghệ &amp; Phần mềm")</f>
        <v>Công nghệ &amp; Phần mềm</v>
      </c>
      <c r="E572" s="265" t="str">
        <f>IFERROR(__xludf.DUMMYFUNCTION("""COMPUTED_VALUE"""),"TúPHN")</f>
        <v>TúPHN</v>
      </c>
      <c r="F572" s="265" t="str">
        <f>IFERROR(__xludf.DUMMYFUNCTION("""COMPUTED_VALUE"""),"Sale chưa cung cấp")</f>
        <v>Sale chưa cung cấp</v>
      </c>
      <c r="G572" s="265" t="str">
        <f>IFERROR(__xludf.DUMMYFUNCTION("""COMPUTED_VALUE"""),"Premium")</f>
        <v>Premium</v>
      </c>
      <c r="H572" s="265" t="str">
        <f>IFERROR(__xludf.DUMMYFUNCTION("""COMPUTED_VALUE"""),"Trial")</f>
        <v>Trial</v>
      </c>
      <c r="I572" s="265" t="str">
        <f>IFERROR(__xludf.DUMMYFUNCTION("""COMPUTED_VALUE"""),"API &amp; Portal")</f>
        <v>API &amp; Portal</v>
      </c>
      <c r="J572" s="265" t="str">
        <f>IFERROR(__xludf.DUMMYFUNCTION("""COMPUTED_VALUE"""),"(Chưa recheck)")</f>
        <v>(Chưa recheck)</v>
      </c>
      <c r="K572" s="265" t="str">
        <f>IFERROR(__xludf.DUMMYFUNCTION("""COMPUTED_VALUE"""),"(Chưa recheck)")</f>
        <v>(Chưa recheck)</v>
      </c>
    </row>
    <row r="573">
      <c r="A573" s="265" t="str">
        <f>IFERROR(__xludf.DUMMYFUNCTION("""COMPUTED_VALUE"""),"865")</f>
        <v>865</v>
      </c>
      <c r="B573" s="265" t="str">
        <f>IFERROR(__xludf.DUMMYFUNCTION("""COMPUTED_VALUE"""),"Hà Nội")</f>
        <v>Hà Nội</v>
      </c>
      <c r="C573" s="265" t="str">
        <f>IFERROR(__xludf.DUMMYFUNCTION("""COMPUTED_VALUE"""),"Active")</f>
        <v>Active</v>
      </c>
      <c r="D573" s="265" t="str">
        <f>IFERROR(__xludf.DUMMYFUNCTION("""COMPUTED_VALUE"""),"Sale chưa cung cấp")</f>
        <v>Sale chưa cung cấp</v>
      </c>
      <c r="E573" s="265" t="str">
        <f>IFERROR(__xludf.DUMMYFUNCTION("""COMPUTED_VALUE"""),"TùngLD")</f>
        <v>TùngLD</v>
      </c>
      <c r="F573" s="265" t="str">
        <f>IFERROR(__xludf.DUMMYFUNCTION("""COMPUTED_VALUE"""),"Bronze")</f>
        <v>Bronze</v>
      </c>
      <c r="G573" s="265" t="str">
        <f>IFERROR(__xludf.DUMMYFUNCTION("""COMPUTED_VALUE"""),"Starter")</f>
        <v>Starter</v>
      </c>
      <c r="H573" s="265" t="str">
        <f>IFERROR(__xludf.DUMMYFUNCTION("""COMPUTED_VALUE"""),"Trả sau")</f>
        <v>Trả sau</v>
      </c>
      <c r="I573" s="265" t="str">
        <f>IFERROR(__xludf.DUMMYFUNCTION("""COMPUTED_VALUE"""),"API &amp; Portal")</f>
        <v>API &amp; Portal</v>
      </c>
      <c r="J573" s="265" t="str">
        <f>IFERROR(__xludf.DUMMYFUNCTION("""COMPUTED_VALUE"""),"Tất cả")</f>
        <v>Tất cả</v>
      </c>
      <c r="K573" s="265" t="str">
        <f>IFERROR(__xludf.DUMMYFUNCTION("""COMPUTED_VALUE"""),"DungPL")</f>
        <v>DungPL</v>
      </c>
    </row>
    <row r="574">
      <c r="A574" s="265" t="str">
        <f>IFERROR(__xludf.DUMMYFUNCTION("""COMPUTED_VALUE"""),"864")</f>
        <v>864</v>
      </c>
      <c r="B574" s="265" t="str">
        <f>IFERROR(__xludf.DUMMYFUNCTION("""COMPUTED_VALUE"""),"Sài Gòn")</f>
        <v>Sài Gòn</v>
      </c>
      <c r="C574" s="265" t="str">
        <f>IFERROR(__xludf.DUMMYFUNCTION("""COMPUTED_VALUE"""),"Locked")</f>
        <v>Locked</v>
      </c>
      <c r="D574" s="265" t="str">
        <f>IFERROR(__xludf.DUMMYFUNCTION("""COMPUTED_VALUE"""),"Thực phẩm &amp; Đồ uống")</f>
        <v>Thực phẩm &amp; Đồ uống</v>
      </c>
      <c r="E574" s="265" t="str">
        <f>IFERROR(__xludf.DUMMYFUNCTION("""COMPUTED_VALUE"""),"HoaNTM")</f>
        <v>HoaNTM</v>
      </c>
      <c r="F574" s="265" t="str">
        <f>IFERROR(__xludf.DUMMYFUNCTION("""COMPUTED_VALUE"""),"Diamond")</f>
        <v>Diamond</v>
      </c>
      <c r="G574" s="265" t="str">
        <f>IFERROR(__xludf.DUMMYFUNCTION("""COMPUTED_VALUE"""),"Standard")</f>
        <v>Standard</v>
      </c>
      <c r="H574" s="265" t="str">
        <f>IFERROR(__xludf.DUMMYFUNCTION("""COMPUTED_VALUE"""),"Trả sau")</f>
        <v>Trả sau</v>
      </c>
      <c r="I574" s="265" t="str">
        <f>IFERROR(__xludf.DUMMYFUNCTION("""COMPUTED_VALUE"""),"API")</f>
        <v>API</v>
      </c>
      <c r="J574" s="265" t="str">
        <f>IFERROR(__xludf.DUMMYFUNCTION("""COMPUTED_VALUE"""),"Zalo ZNS")</f>
        <v>Zalo ZNS</v>
      </c>
      <c r="K574" s="265" t="str">
        <f>IFERROR(__xludf.DUMMYFUNCTION("""COMPUTED_VALUE"""),"YếnĐH")</f>
        <v>YếnĐH</v>
      </c>
    </row>
    <row r="575">
      <c r="A575" s="265" t="str">
        <f>IFERROR(__xludf.DUMMYFUNCTION("""COMPUTED_VALUE"""),"867")</f>
        <v>867</v>
      </c>
      <c r="B575" s="265" t="str">
        <f>IFERROR(__xludf.DUMMYFUNCTION("""COMPUTED_VALUE"""),"Hà Nội")</f>
        <v>Hà Nội</v>
      </c>
      <c r="C575" s="265" t="str">
        <f>IFERROR(__xludf.DUMMYFUNCTION("""COMPUTED_VALUE"""),"Active")</f>
        <v>Active</v>
      </c>
      <c r="D575" s="265" t="str">
        <f>IFERROR(__xludf.DUMMYFUNCTION("""COMPUTED_VALUE"""),"Sale chưa cung cấp")</f>
        <v>Sale chưa cung cấp</v>
      </c>
      <c r="E575" s="265" t="str">
        <f>IFERROR(__xludf.DUMMYFUNCTION("""COMPUTED_VALUE"""),"TúPHN")</f>
        <v>TúPHN</v>
      </c>
      <c r="F575" s="265" t="str">
        <f>IFERROR(__xludf.DUMMYFUNCTION("""COMPUTED_VALUE"""),"Bronze")</f>
        <v>Bronze</v>
      </c>
      <c r="G575" s="265" t="str">
        <f>IFERROR(__xludf.DUMMYFUNCTION("""COMPUTED_VALUE"""),"Starter")</f>
        <v>Starter</v>
      </c>
      <c r="H575" s="265" t="str">
        <f>IFERROR(__xludf.DUMMYFUNCTION("""COMPUTED_VALUE"""),"Trả trước")</f>
        <v>Trả trước</v>
      </c>
      <c r="I575" s="265" t="str">
        <f>IFERROR(__xludf.DUMMYFUNCTION("""COMPUTED_VALUE"""),"API &amp; Portal")</f>
        <v>API &amp; Portal</v>
      </c>
      <c r="J575" s="265" t="str">
        <f>IFERROR(__xludf.DUMMYFUNCTION("""COMPUTED_VALUE"""),"Zalo ZNS")</f>
        <v>Zalo ZNS</v>
      </c>
      <c r="K575" s="265" t="str">
        <f>IFERROR(__xludf.DUMMYFUNCTION("""COMPUTED_VALUE"""),"DungPL")</f>
        <v>DungPL</v>
      </c>
    </row>
    <row r="576">
      <c r="A576" s="265" t="str">
        <f>IFERROR(__xludf.DUMMYFUNCTION("""COMPUTED_VALUE"""),"868")</f>
        <v>868</v>
      </c>
      <c r="B576" s="265" t="str">
        <f>IFERROR(__xludf.DUMMYFUNCTION("""COMPUTED_VALUE"""),"Hà Nội")</f>
        <v>Hà Nội</v>
      </c>
      <c r="C576" s="265" t="str">
        <f>IFERROR(__xludf.DUMMYFUNCTION("""COMPUTED_VALUE"""),"Active")</f>
        <v>Active</v>
      </c>
      <c r="D576" s="265" t="str">
        <f>IFERROR(__xludf.DUMMYFUNCTION("""COMPUTED_VALUE"""),"Sale chưa cung cấp")</f>
        <v>Sale chưa cung cấp</v>
      </c>
      <c r="E576" s="265" t="str">
        <f>IFERROR(__xludf.DUMMYFUNCTION("""COMPUTED_VALUE"""),"TùngLD")</f>
        <v>TùngLD</v>
      </c>
      <c r="F576" s="265" t="str">
        <f>IFERROR(__xludf.DUMMYFUNCTION("""COMPUTED_VALUE"""),"Silver")</f>
        <v>Silver</v>
      </c>
      <c r="G576" s="265" t="str">
        <f>IFERROR(__xludf.DUMMYFUNCTION("""COMPUTED_VALUE"""),"Starter")</f>
        <v>Starter</v>
      </c>
      <c r="H576" s="265" t="str">
        <f>IFERROR(__xludf.DUMMYFUNCTION("""COMPUTED_VALUE"""),"Trả sau")</f>
        <v>Trả sau</v>
      </c>
      <c r="I576" s="265" t="str">
        <f>IFERROR(__xludf.DUMMYFUNCTION("""COMPUTED_VALUE"""),"API")</f>
        <v>API</v>
      </c>
      <c r="J576" s="265" t="str">
        <f>IFERROR(__xludf.DUMMYFUNCTION("""COMPUTED_VALUE"""),"Zalo ZNS")</f>
        <v>Zalo ZNS</v>
      </c>
      <c r="K576" s="265" t="str">
        <f>IFERROR(__xludf.DUMMYFUNCTION("""COMPUTED_VALUE"""),"LinhNTT1")</f>
        <v>LinhNTT1</v>
      </c>
    </row>
    <row r="577">
      <c r="A577" s="265" t="str">
        <f>IFERROR(__xludf.DUMMYFUNCTION("""COMPUTED_VALUE"""),"869")</f>
        <v>869</v>
      </c>
      <c r="B577" s="265" t="str">
        <f>IFERROR(__xludf.DUMMYFUNCTION("""COMPUTED_VALUE"""),"Hà Nội")</f>
        <v>Hà Nội</v>
      </c>
      <c r="C577" s="265" t="str">
        <f>IFERROR(__xludf.DUMMYFUNCTION("""COMPUTED_VALUE"""),"Active")</f>
        <v>Active</v>
      </c>
      <c r="D577" s="265" t="str">
        <f>IFERROR(__xludf.DUMMYFUNCTION("""COMPUTED_VALUE"""),"Sale chưa cung cấp")</f>
        <v>Sale chưa cung cấp</v>
      </c>
      <c r="E577" s="265" t="str">
        <f>IFERROR(__xludf.DUMMYFUNCTION("""COMPUTED_VALUE"""),"TùngLD")</f>
        <v>TùngLD</v>
      </c>
      <c r="F577" s="265" t="str">
        <f>IFERROR(__xludf.DUMMYFUNCTION("""COMPUTED_VALUE"""),"Silver")</f>
        <v>Silver</v>
      </c>
      <c r="G577" s="265" t="str">
        <f>IFERROR(__xludf.DUMMYFUNCTION("""COMPUTED_VALUE"""),"Starter")</f>
        <v>Starter</v>
      </c>
      <c r="H577" s="265" t="str">
        <f>IFERROR(__xludf.DUMMYFUNCTION("""COMPUTED_VALUE"""),"Trả sau")</f>
        <v>Trả sau</v>
      </c>
      <c r="I577" s="265" t="str">
        <f>IFERROR(__xludf.DUMMYFUNCTION("""COMPUTED_VALUE"""),"API")</f>
        <v>API</v>
      </c>
      <c r="J577" s="265" t="str">
        <f>IFERROR(__xludf.DUMMYFUNCTION("""COMPUTED_VALUE"""),"SMS CSKH")</f>
        <v>SMS CSKH</v>
      </c>
      <c r="K577" s="265" t="str">
        <f>IFERROR(__xludf.DUMMYFUNCTION("""COMPUTED_VALUE"""),"LinhNTT1")</f>
        <v>LinhNTT1</v>
      </c>
    </row>
    <row r="578">
      <c r="A578" s="265" t="str">
        <f>IFERROR(__xludf.DUMMYFUNCTION("""COMPUTED_VALUE"""),"869")</f>
        <v>869</v>
      </c>
      <c r="B578" s="265" t="str">
        <f>IFERROR(__xludf.DUMMYFUNCTION("""COMPUTED_VALUE"""),"Hà Nội")</f>
        <v>Hà Nội</v>
      </c>
      <c r="C578" s="265" t="str">
        <f>IFERROR(__xludf.DUMMYFUNCTION("""COMPUTED_VALUE"""),"Active")</f>
        <v>Active</v>
      </c>
      <c r="D578" s="265" t="str">
        <f>IFERROR(__xludf.DUMMYFUNCTION("""COMPUTED_VALUE"""),"Sale chưa cung cấp")</f>
        <v>Sale chưa cung cấp</v>
      </c>
      <c r="E578" s="265" t="str">
        <f>IFERROR(__xludf.DUMMYFUNCTION("""COMPUTED_VALUE"""),"TùngLD")</f>
        <v>TùngLD</v>
      </c>
      <c r="F578" s="265" t="str">
        <f>IFERROR(__xludf.DUMMYFUNCTION("""COMPUTED_VALUE"""),"Silver")</f>
        <v>Silver</v>
      </c>
      <c r="G578" s="265" t="str">
        <f>IFERROR(__xludf.DUMMYFUNCTION("""COMPUTED_VALUE"""),"Starter")</f>
        <v>Starter</v>
      </c>
      <c r="H578" s="265" t="str">
        <f>IFERROR(__xludf.DUMMYFUNCTION("""COMPUTED_VALUE"""),"Trả sau")</f>
        <v>Trả sau</v>
      </c>
      <c r="I578" s="265" t="str">
        <f>IFERROR(__xludf.DUMMYFUNCTION("""COMPUTED_VALUE"""),"API")</f>
        <v>API</v>
      </c>
      <c r="J578" s="265" t="str">
        <f>IFERROR(__xludf.DUMMYFUNCTION("""COMPUTED_VALUE"""),"Zalo ZNS")</f>
        <v>Zalo ZNS</v>
      </c>
      <c r="K578" s="265" t="str">
        <f>IFERROR(__xludf.DUMMYFUNCTION("""COMPUTED_VALUE"""),"LinhNTT1")</f>
        <v>LinhNTT1</v>
      </c>
    </row>
    <row r="579">
      <c r="A579" s="265" t="str">
        <f>IFERROR(__xludf.DUMMYFUNCTION("""COMPUTED_VALUE"""),"870")</f>
        <v>870</v>
      </c>
      <c r="B579" s="265" t="str">
        <f>IFERROR(__xludf.DUMMYFUNCTION("""COMPUTED_VALUE"""),"Hà Nội")</f>
        <v>Hà Nội</v>
      </c>
      <c r="C579" s="265" t="str">
        <f>IFERROR(__xludf.DUMMYFUNCTION("""COMPUTED_VALUE"""),"Locked")</f>
        <v>Locked</v>
      </c>
      <c r="D579" s="265" t="str">
        <f>IFERROR(__xludf.DUMMYFUNCTION("""COMPUTED_VALUE"""),"Sale chưa cung cấp")</f>
        <v>Sale chưa cung cấp</v>
      </c>
      <c r="E579" s="265" t="str">
        <f>IFERROR(__xludf.DUMMYFUNCTION("""COMPUTED_VALUE"""),"TùngLD")</f>
        <v>TùngLD</v>
      </c>
      <c r="F579" s="265" t="str">
        <f>IFERROR(__xludf.DUMMYFUNCTION("""COMPUTED_VALUE"""),"Sale chưa cung cấp")</f>
        <v>Sale chưa cung cấp</v>
      </c>
      <c r="G579" s="265" t="str">
        <f>IFERROR(__xludf.DUMMYFUNCTION("""COMPUTED_VALUE"""),"Premium")</f>
        <v>Premium</v>
      </c>
      <c r="H579" s="265" t="str">
        <f>IFERROR(__xludf.DUMMYFUNCTION("""COMPUTED_VALUE"""),"Trial")</f>
        <v>Trial</v>
      </c>
      <c r="I579" s="265" t="str">
        <f>IFERROR(__xludf.DUMMYFUNCTION("""COMPUTED_VALUE"""),"Portal")</f>
        <v>Portal</v>
      </c>
      <c r="J579" s="265" t="str">
        <f>IFERROR(__xludf.DUMMYFUNCTION("""COMPUTED_VALUE"""),"Tất cả")</f>
        <v>Tất cả</v>
      </c>
      <c r="K579" s="265" t="str">
        <f>IFERROR(__xludf.DUMMYFUNCTION("""COMPUTED_VALUE"""),"Không phân công")</f>
        <v>Không phân công</v>
      </c>
    </row>
    <row r="580">
      <c r="A580" s="265" t="str">
        <f>IFERROR(__xludf.DUMMYFUNCTION("""COMPUTED_VALUE"""),"871")</f>
        <v>871</v>
      </c>
      <c r="B580" s="265" t="str">
        <f>IFERROR(__xludf.DUMMYFUNCTION("""COMPUTED_VALUE"""),"Hà Nội")</f>
        <v>Hà Nội</v>
      </c>
      <c r="C580" s="265" t="str">
        <f>IFERROR(__xludf.DUMMYFUNCTION("""COMPUTED_VALUE"""),"Active")</f>
        <v>Active</v>
      </c>
      <c r="D580" s="265" t="str">
        <f>IFERROR(__xludf.DUMMYFUNCTION("""COMPUTED_VALUE"""),"Tài chính &amp; Ngân hàng")</f>
        <v>Tài chính &amp; Ngân hàng</v>
      </c>
      <c r="E580" s="265" t="str">
        <f>IFERROR(__xludf.DUMMYFUNCTION("""COMPUTED_VALUE"""),"TùngLD")</f>
        <v>TùngLD</v>
      </c>
      <c r="F580" s="265" t="str">
        <f>IFERROR(__xludf.DUMMYFUNCTION("""COMPUTED_VALUE"""),"Diamond")</f>
        <v>Diamond</v>
      </c>
      <c r="G580" s="265" t="str">
        <f>IFERROR(__xludf.DUMMYFUNCTION("""COMPUTED_VALUE"""),"Starter")</f>
        <v>Starter</v>
      </c>
      <c r="H580" s="265" t="str">
        <f>IFERROR(__xludf.DUMMYFUNCTION("""COMPUTED_VALUE"""),"Trả sau")</f>
        <v>Trả sau</v>
      </c>
      <c r="I580" s="265" t="str">
        <f>IFERROR(__xludf.DUMMYFUNCTION("""COMPUTED_VALUE"""),"API &amp; Portal")</f>
        <v>API &amp; Portal</v>
      </c>
      <c r="J580" s="265" t="str">
        <f>IFERROR(__xludf.DUMMYFUNCTION("""COMPUTED_VALUE"""),"SMS CSKH")</f>
        <v>SMS CSKH</v>
      </c>
      <c r="K580" s="265" t="str">
        <f>IFERROR(__xludf.DUMMYFUNCTION("""COMPUTED_VALUE"""),"YếnĐH")</f>
        <v>YếnĐH</v>
      </c>
    </row>
    <row r="581">
      <c r="A581" s="265" t="str">
        <f>IFERROR(__xludf.DUMMYFUNCTION("""COMPUTED_VALUE"""),"871")</f>
        <v>871</v>
      </c>
      <c r="B581" s="265" t="str">
        <f>IFERROR(__xludf.DUMMYFUNCTION("""COMPUTED_VALUE"""),"Hà Nội")</f>
        <v>Hà Nội</v>
      </c>
      <c r="C581" s="265" t="str">
        <f>IFERROR(__xludf.DUMMYFUNCTION("""COMPUTED_VALUE"""),"Active")</f>
        <v>Active</v>
      </c>
      <c r="D581" s="265" t="str">
        <f>IFERROR(__xludf.DUMMYFUNCTION("""COMPUTED_VALUE"""),"Tài chính &amp; Ngân hàng")</f>
        <v>Tài chính &amp; Ngân hàng</v>
      </c>
      <c r="E581" s="265" t="str">
        <f>IFERROR(__xludf.DUMMYFUNCTION("""COMPUTED_VALUE"""),"TùngLD")</f>
        <v>TùngLD</v>
      </c>
      <c r="F581" s="265" t="str">
        <f>IFERROR(__xludf.DUMMYFUNCTION("""COMPUTED_VALUE"""),"Diamond")</f>
        <v>Diamond</v>
      </c>
      <c r="G581" s="265" t="str">
        <f>IFERROR(__xludf.DUMMYFUNCTION("""COMPUTED_VALUE"""),"Starter")</f>
        <v>Starter</v>
      </c>
      <c r="H581" s="265" t="str">
        <f>IFERROR(__xludf.DUMMYFUNCTION("""COMPUTED_VALUE"""),"Trả sau")</f>
        <v>Trả sau</v>
      </c>
      <c r="I581" s="265" t="str">
        <f>IFERROR(__xludf.DUMMYFUNCTION("""COMPUTED_VALUE"""),"API &amp; Portal")</f>
        <v>API &amp; Portal</v>
      </c>
      <c r="J581" s="265" t="str">
        <f>IFERROR(__xludf.DUMMYFUNCTION("""COMPUTED_VALUE"""),"Zalo ZNS")</f>
        <v>Zalo ZNS</v>
      </c>
      <c r="K581" s="265" t="str">
        <f>IFERROR(__xludf.DUMMYFUNCTION("""COMPUTED_VALUE"""),"YếnĐH")</f>
        <v>YếnĐH</v>
      </c>
    </row>
    <row r="582">
      <c r="A582" s="265" t="str">
        <f>IFERROR(__xludf.DUMMYFUNCTION("""COMPUTED_VALUE"""),"872")</f>
        <v>872</v>
      </c>
      <c r="B582" s="265" t="str">
        <f>IFERROR(__xludf.DUMMYFUNCTION("""COMPUTED_VALUE"""),"Hà Nội")</f>
        <v>Hà Nội</v>
      </c>
      <c r="C582" s="265" t="str">
        <f>IFERROR(__xludf.DUMMYFUNCTION("""COMPUTED_VALUE"""),"Locked")</f>
        <v>Locked</v>
      </c>
      <c r="D582" s="265" t="str">
        <f>IFERROR(__xludf.DUMMYFUNCTION("""COMPUTED_VALUE"""),"Y tế &amp; Dược phẩm")</f>
        <v>Y tế &amp; Dược phẩm</v>
      </c>
      <c r="E582" s="265" t="str">
        <f>IFERROR(__xludf.DUMMYFUNCTION("""COMPUTED_VALUE"""),"TùngLD")</f>
        <v>TùngLD</v>
      </c>
      <c r="F582" s="265" t="str">
        <f>IFERROR(__xludf.DUMMYFUNCTION("""COMPUTED_VALUE"""),"Sale chưa cung cấp")</f>
        <v>Sale chưa cung cấp</v>
      </c>
      <c r="G582" s="265" t="str">
        <f>IFERROR(__xludf.DUMMYFUNCTION("""COMPUTED_VALUE"""),"Premium")</f>
        <v>Premium</v>
      </c>
      <c r="H582" s="265" t="str">
        <f>IFERROR(__xludf.DUMMYFUNCTION("""COMPUTED_VALUE"""),"Trial")</f>
        <v>Trial</v>
      </c>
      <c r="I582" s="265" t="str">
        <f>IFERROR(__xludf.DUMMYFUNCTION("""COMPUTED_VALUE"""),"API")</f>
        <v>API</v>
      </c>
      <c r="J582" s="265" t="str">
        <f>IFERROR(__xludf.DUMMYFUNCTION("""COMPUTED_VALUE"""),"Tất cả")</f>
        <v>Tất cả</v>
      </c>
      <c r="K582" s="265" t="str">
        <f>IFERROR(__xludf.DUMMYFUNCTION("""COMPUTED_VALUE"""),"Không phân công")</f>
        <v>Không phân công</v>
      </c>
    </row>
    <row r="583">
      <c r="A583" s="265" t="str">
        <f>IFERROR(__xludf.DUMMYFUNCTION("""COMPUTED_VALUE"""),"873")</f>
        <v>873</v>
      </c>
      <c r="B583" s="265" t="str">
        <f>IFERROR(__xludf.DUMMYFUNCTION("""COMPUTED_VALUE"""),"Sài Gòn")</f>
        <v>Sài Gòn</v>
      </c>
      <c r="C583" s="265" t="str">
        <f>IFERROR(__xludf.DUMMYFUNCTION("""COMPUTED_VALUE"""),"Locked")</f>
        <v>Locked</v>
      </c>
      <c r="D583" s="265" t="str">
        <f>IFERROR(__xludf.DUMMYFUNCTION("""COMPUTED_VALUE"""),"Dịch vụ khác")</f>
        <v>Dịch vụ khác</v>
      </c>
      <c r="E583" s="265" t="str">
        <f>IFERROR(__xludf.DUMMYFUNCTION("""COMPUTED_VALUE"""),"TùngLD")</f>
        <v>TùngLD</v>
      </c>
      <c r="F583" s="265" t="str">
        <f>IFERROR(__xludf.DUMMYFUNCTION("""COMPUTED_VALUE"""),"Sale chưa cung cấp")</f>
        <v>Sale chưa cung cấp</v>
      </c>
      <c r="G583" s="265" t="str">
        <f>IFERROR(__xludf.DUMMYFUNCTION("""COMPUTED_VALUE"""),"Standard")</f>
        <v>Standard</v>
      </c>
      <c r="H583" s="265" t="str">
        <f>IFERROR(__xludf.DUMMYFUNCTION("""COMPUTED_VALUE"""),"Trial")</f>
        <v>Trial</v>
      </c>
      <c r="I583" s="265" t="str">
        <f>IFERROR(__xludf.DUMMYFUNCTION("""COMPUTED_VALUE"""),"API &amp; Portal")</f>
        <v>API &amp; Portal</v>
      </c>
      <c r="J583" s="265" t="str">
        <f>IFERROR(__xludf.DUMMYFUNCTION("""COMPUTED_VALUE"""),"WhatsApp")</f>
        <v>WhatsApp</v>
      </c>
      <c r="K583" s="265" t="str">
        <f>IFERROR(__xludf.DUMMYFUNCTION("""COMPUTED_VALUE"""),"YếnĐH")</f>
        <v>YếnĐH</v>
      </c>
    </row>
    <row r="584">
      <c r="A584" s="265" t="str">
        <f>IFERROR(__xludf.DUMMYFUNCTION("""COMPUTED_VALUE"""),"874")</f>
        <v>874</v>
      </c>
      <c r="B584" s="265" t="str">
        <f>IFERROR(__xludf.DUMMYFUNCTION("""COMPUTED_VALUE"""),"Hà Nội")</f>
        <v>Hà Nội</v>
      </c>
      <c r="C584" s="265" t="str">
        <f>IFERROR(__xludf.DUMMYFUNCTION("""COMPUTED_VALUE"""),"Locked")</f>
        <v>Locked</v>
      </c>
      <c r="D584" s="265" t="str">
        <f>IFERROR(__xludf.DUMMYFUNCTION("""COMPUTED_VALUE"""),"Dịch vụ khác")</f>
        <v>Dịch vụ khác</v>
      </c>
      <c r="E584" s="265" t="str">
        <f>IFERROR(__xludf.DUMMYFUNCTION("""COMPUTED_VALUE"""),"TúPHN")</f>
        <v>TúPHN</v>
      </c>
      <c r="F584" s="265" t="str">
        <f>IFERROR(__xludf.DUMMYFUNCTION("""COMPUTED_VALUE"""),"Sale chưa cung cấp")</f>
        <v>Sale chưa cung cấp</v>
      </c>
      <c r="G584" s="265" t="str">
        <f>IFERROR(__xludf.DUMMYFUNCTION("""COMPUTED_VALUE"""),"Starter")</f>
        <v>Starter</v>
      </c>
      <c r="H584" s="265" t="str">
        <f>IFERROR(__xludf.DUMMYFUNCTION("""COMPUTED_VALUE"""),"Trial")</f>
        <v>Trial</v>
      </c>
      <c r="I584" s="265" t="str">
        <f>IFERROR(__xludf.DUMMYFUNCTION("""COMPUTED_VALUE"""),"API")</f>
        <v>API</v>
      </c>
      <c r="J584" s="265" t="str">
        <f>IFERROR(__xludf.DUMMYFUNCTION("""COMPUTED_VALUE"""),"Tất cả")</f>
        <v>Tất cả</v>
      </c>
      <c r="K584" s="265" t="str">
        <f>IFERROR(__xludf.DUMMYFUNCTION("""COMPUTED_VALUE"""),"Không phân công")</f>
        <v>Không phân công</v>
      </c>
    </row>
    <row r="585">
      <c r="A585" s="265" t="str">
        <f>IFERROR(__xludf.DUMMYFUNCTION("""COMPUTED_VALUE"""),"875")</f>
        <v>875</v>
      </c>
      <c r="B585" s="265" t="str">
        <f>IFERROR(__xludf.DUMMYFUNCTION("""COMPUTED_VALUE"""),"Hà Nội")</f>
        <v>Hà Nội</v>
      </c>
      <c r="C585" s="265" t="str">
        <f>IFERROR(__xludf.DUMMYFUNCTION("""COMPUTED_VALUE"""),"Active")</f>
        <v>Active</v>
      </c>
      <c r="D585" s="265" t="str">
        <f>IFERROR(__xludf.DUMMYFUNCTION("""COMPUTED_VALUE"""),"Công nghệ &amp; Phần mềm")</f>
        <v>Công nghệ &amp; Phần mềm</v>
      </c>
      <c r="E585" s="265" t="str">
        <f>IFERROR(__xludf.DUMMYFUNCTION("""COMPUTED_VALUE"""),"TùngLD")</f>
        <v>TùngLD</v>
      </c>
      <c r="F585" s="265" t="str">
        <f>IFERROR(__xludf.DUMMYFUNCTION("""COMPUTED_VALUE"""),"Sale chưa cung cấp")</f>
        <v>Sale chưa cung cấp</v>
      </c>
      <c r="G585" s="265" t="str">
        <f>IFERROR(__xludf.DUMMYFUNCTION("""COMPUTED_VALUE"""),"Starter")</f>
        <v>Starter</v>
      </c>
      <c r="H585" s="265" t="str">
        <f>IFERROR(__xludf.DUMMYFUNCTION("""COMPUTED_VALUE"""),"Trả sau")</f>
        <v>Trả sau</v>
      </c>
      <c r="I585" s="265" t="str">
        <f>IFERROR(__xludf.DUMMYFUNCTION("""COMPUTED_VALUE"""),"API")</f>
        <v>API</v>
      </c>
      <c r="J585" s="265" t="str">
        <f>IFERROR(__xludf.DUMMYFUNCTION("""COMPUTED_VALUE"""),"Zalo ZNS")</f>
        <v>Zalo ZNS</v>
      </c>
      <c r="K585" s="265" t="str">
        <f>IFERROR(__xludf.DUMMYFUNCTION("""COMPUTED_VALUE"""),"YếnĐH")</f>
        <v>YếnĐH</v>
      </c>
    </row>
    <row r="586">
      <c r="A586" s="265" t="str">
        <f>IFERROR(__xludf.DUMMYFUNCTION("""COMPUTED_VALUE"""),"876")</f>
        <v>876</v>
      </c>
      <c r="B586" s="265" t="str">
        <f>IFERROR(__xludf.DUMMYFUNCTION("""COMPUTED_VALUE"""),"Sài Gòn")</f>
        <v>Sài Gòn</v>
      </c>
      <c r="C586" s="265" t="str">
        <f>IFERROR(__xludf.DUMMYFUNCTION("""COMPUTED_VALUE"""),"Locked")</f>
        <v>Locked</v>
      </c>
      <c r="D586" s="265" t="str">
        <f>IFERROR(__xludf.DUMMYFUNCTION("""COMPUTED_VALUE"""),"Sản xuất &amp; Chế tạo")</f>
        <v>Sản xuất &amp; Chế tạo</v>
      </c>
      <c r="E586" s="265" t="str">
        <f>IFERROR(__xludf.DUMMYFUNCTION("""COMPUTED_VALUE"""),"HoaNTM")</f>
        <v>HoaNTM</v>
      </c>
      <c r="F586" s="265" t="str">
        <f>IFERROR(__xludf.DUMMYFUNCTION("""COMPUTED_VALUE"""),"Diamond")</f>
        <v>Diamond</v>
      </c>
      <c r="G586" s="265" t="str">
        <f>IFERROR(__xludf.DUMMYFUNCTION("""COMPUTED_VALUE"""),"Starter")</f>
        <v>Starter</v>
      </c>
      <c r="H586" s="265" t="str">
        <f>IFERROR(__xludf.DUMMYFUNCTION("""COMPUTED_VALUE"""),"Trả trước")</f>
        <v>Trả trước</v>
      </c>
      <c r="I586" s="265" t="str">
        <f>IFERROR(__xludf.DUMMYFUNCTION("""COMPUTED_VALUE"""),"API &amp; Portal")</f>
        <v>API &amp; Portal</v>
      </c>
      <c r="J586" s="265" t="str">
        <f>IFERROR(__xludf.DUMMYFUNCTION("""COMPUTED_VALUE"""),"SMS CSKH")</f>
        <v>SMS CSKH</v>
      </c>
      <c r="K586" s="265" t="str">
        <f>IFERROR(__xludf.DUMMYFUNCTION("""COMPUTED_VALUE"""),"LinhNTT1")</f>
        <v>LinhNTT1</v>
      </c>
    </row>
    <row r="587">
      <c r="A587" s="265" t="str">
        <f>IFERROR(__xludf.DUMMYFUNCTION("""COMPUTED_VALUE"""),"876")</f>
        <v>876</v>
      </c>
      <c r="B587" s="265" t="str">
        <f>IFERROR(__xludf.DUMMYFUNCTION("""COMPUTED_VALUE"""),"Sài Gòn")</f>
        <v>Sài Gòn</v>
      </c>
      <c r="C587" s="265" t="str">
        <f>IFERROR(__xludf.DUMMYFUNCTION("""COMPUTED_VALUE"""),"Locked")</f>
        <v>Locked</v>
      </c>
      <c r="D587" s="265" t="str">
        <f>IFERROR(__xludf.DUMMYFUNCTION("""COMPUTED_VALUE"""),"Sản xuất &amp; Chế tạo")</f>
        <v>Sản xuất &amp; Chế tạo</v>
      </c>
      <c r="E587" s="265" t="str">
        <f>IFERROR(__xludf.DUMMYFUNCTION("""COMPUTED_VALUE"""),"HoaNTM")</f>
        <v>HoaNTM</v>
      </c>
      <c r="F587" s="265" t="str">
        <f>IFERROR(__xludf.DUMMYFUNCTION("""COMPUTED_VALUE"""),"Diamond")</f>
        <v>Diamond</v>
      </c>
      <c r="G587" s="265" t="str">
        <f>IFERROR(__xludf.DUMMYFUNCTION("""COMPUTED_VALUE"""),"Starter")</f>
        <v>Starter</v>
      </c>
      <c r="H587" s="265" t="str">
        <f>IFERROR(__xludf.DUMMYFUNCTION("""COMPUTED_VALUE"""),"Trả trước")</f>
        <v>Trả trước</v>
      </c>
      <c r="I587" s="265" t="str">
        <f>IFERROR(__xludf.DUMMYFUNCTION("""COMPUTED_VALUE"""),"API &amp; Portal")</f>
        <v>API &amp; Portal</v>
      </c>
      <c r="J587" s="265" t="str">
        <f>IFERROR(__xludf.DUMMYFUNCTION("""COMPUTED_VALUE"""),"Zalo ZNS")</f>
        <v>Zalo ZNS</v>
      </c>
      <c r="K587" s="265" t="str">
        <f>IFERROR(__xludf.DUMMYFUNCTION("""COMPUTED_VALUE"""),"LinhNTT1")</f>
        <v>LinhNTT1</v>
      </c>
    </row>
    <row r="588">
      <c r="A588" s="265" t="str">
        <f>IFERROR(__xludf.DUMMYFUNCTION("""COMPUTED_VALUE"""),"877")</f>
        <v>877</v>
      </c>
      <c r="B588" s="265" t="str">
        <f>IFERROR(__xludf.DUMMYFUNCTION("""COMPUTED_VALUE"""),"Sài Gòn")</f>
        <v>Sài Gòn</v>
      </c>
      <c r="C588" s="265" t="str">
        <f>IFERROR(__xludf.DUMMYFUNCTION("""COMPUTED_VALUE"""),"Active")</f>
        <v>Active</v>
      </c>
      <c r="D588" s="265" t="str">
        <f>IFERROR(__xludf.DUMMYFUNCTION("""COMPUTED_VALUE"""),"Sale chưa cung cấp")</f>
        <v>Sale chưa cung cấp</v>
      </c>
      <c r="E588" s="265" t="str">
        <f>IFERROR(__xludf.DUMMYFUNCTION("""COMPUTED_VALUE"""),"TùngLD")</f>
        <v>TùngLD</v>
      </c>
      <c r="F588" s="265" t="str">
        <f>IFERROR(__xludf.DUMMYFUNCTION("""COMPUTED_VALUE"""),"Gold")</f>
        <v>Gold</v>
      </c>
      <c r="G588" s="265" t="str">
        <f>IFERROR(__xludf.DUMMYFUNCTION("""COMPUTED_VALUE"""),"Standard")</f>
        <v>Standard</v>
      </c>
      <c r="H588" s="265" t="str">
        <f>IFERROR(__xludf.DUMMYFUNCTION("""COMPUTED_VALUE"""),"Trả sau")</f>
        <v>Trả sau</v>
      </c>
      <c r="I588" s="265" t="str">
        <f>IFERROR(__xludf.DUMMYFUNCTION("""COMPUTED_VALUE"""),"API")</f>
        <v>API</v>
      </c>
      <c r="J588" s="265" t="str">
        <f>IFERROR(__xludf.DUMMYFUNCTION("""COMPUTED_VALUE"""),"SMS CSKH")</f>
        <v>SMS CSKH</v>
      </c>
      <c r="K588" s="265" t="str">
        <f>IFERROR(__xludf.DUMMYFUNCTION("""COMPUTED_VALUE"""),"LinhNTT1")</f>
        <v>LinhNTT1</v>
      </c>
    </row>
    <row r="589">
      <c r="A589" s="265" t="str">
        <f>IFERROR(__xludf.DUMMYFUNCTION("""COMPUTED_VALUE"""),"877")</f>
        <v>877</v>
      </c>
      <c r="B589" s="265" t="str">
        <f>IFERROR(__xludf.DUMMYFUNCTION("""COMPUTED_VALUE"""),"Sài Gòn")</f>
        <v>Sài Gòn</v>
      </c>
      <c r="C589" s="265" t="str">
        <f>IFERROR(__xludf.DUMMYFUNCTION("""COMPUTED_VALUE"""),"Active")</f>
        <v>Active</v>
      </c>
      <c r="D589" s="265" t="str">
        <f>IFERROR(__xludf.DUMMYFUNCTION("""COMPUTED_VALUE"""),"Sale chưa cung cấp")</f>
        <v>Sale chưa cung cấp</v>
      </c>
      <c r="E589" s="265" t="str">
        <f>IFERROR(__xludf.DUMMYFUNCTION("""COMPUTED_VALUE"""),"TùngLD")</f>
        <v>TùngLD</v>
      </c>
      <c r="F589" s="265" t="str">
        <f>IFERROR(__xludf.DUMMYFUNCTION("""COMPUTED_VALUE"""),"Gold")</f>
        <v>Gold</v>
      </c>
      <c r="G589" s="265" t="str">
        <f>IFERROR(__xludf.DUMMYFUNCTION("""COMPUTED_VALUE"""),"Standard")</f>
        <v>Standard</v>
      </c>
      <c r="H589" s="265" t="str">
        <f>IFERROR(__xludf.DUMMYFUNCTION("""COMPUTED_VALUE"""),"Trả sau")</f>
        <v>Trả sau</v>
      </c>
      <c r="I589" s="265" t="str">
        <f>IFERROR(__xludf.DUMMYFUNCTION("""COMPUTED_VALUE"""),"API")</f>
        <v>API</v>
      </c>
      <c r="J589" s="265" t="str">
        <f>IFERROR(__xludf.DUMMYFUNCTION("""COMPUTED_VALUE"""),"Zalo ZNS")</f>
        <v>Zalo ZNS</v>
      </c>
      <c r="K589" s="265" t="str">
        <f>IFERROR(__xludf.DUMMYFUNCTION("""COMPUTED_VALUE"""),"LinhNTT1")</f>
        <v>LinhNTT1</v>
      </c>
    </row>
    <row r="590">
      <c r="A590" s="265" t="str">
        <f>IFERROR(__xludf.DUMMYFUNCTION("""COMPUTED_VALUE"""),"879")</f>
        <v>879</v>
      </c>
      <c r="B590" s="265" t="str">
        <f>IFERROR(__xludf.DUMMYFUNCTION("""COMPUTED_VALUE"""),"Đà Nẵng")</f>
        <v>Đà Nẵng</v>
      </c>
      <c r="C590" s="265" t="str">
        <f>IFERROR(__xludf.DUMMYFUNCTION("""COMPUTED_VALUE"""),"Active")</f>
        <v>Active</v>
      </c>
      <c r="D590" s="265" t="str">
        <f>IFERROR(__xludf.DUMMYFUNCTION("""COMPUTED_VALUE"""),"Công nghệ &amp; Phần mềm")</f>
        <v>Công nghệ &amp; Phần mềm</v>
      </c>
      <c r="E590" s="265" t="str">
        <f>IFERROR(__xludf.DUMMYFUNCTION("""COMPUTED_VALUE"""),"TúPHN")</f>
        <v>TúPHN</v>
      </c>
      <c r="F590" s="265" t="str">
        <f>IFERROR(__xludf.DUMMYFUNCTION("""COMPUTED_VALUE"""),"Silver")</f>
        <v>Silver</v>
      </c>
      <c r="G590" s="265" t="str">
        <f>IFERROR(__xludf.DUMMYFUNCTION("""COMPUTED_VALUE"""),"Standard")</f>
        <v>Standard</v>
      </c>
      <c r="H590" s="265" t="str">
        <f>IFERROR(__xludf.DUMMYFUNCTION("""COMPUTED_VALUE"""),"Trả sau")</f>
        <v>Trả sau</v>
      </c>
      <c r="I590" s="265" t="str">
        <f>IFERROR(__xludf.DUMMYFUNCTION("""COMPUTED_VALUE"""),"API &amp; Portal")</f>
        <v>API &amp; Portal</v>
      </c>
      <c r="J590" s="265" t="str">
        <f>IFERROR(__xludf.DUMMYFUNCTION("""COMPUTED_VALUE"""),"Tất cả")</f>
        <v>Tất cả</v>
      </c>
      <c r="K590" s="265" t="str">
        <f>IFERROR(__xludf.DUMMYFUNCTION("""COMPUTED_VALUE"""),"YếnĐH")</f>
        <v>YếnĐH</v>
      </c>
    </row>
    <row r="591">
      <c r="A591" s="265" t="str">
        <f>IFERROR(__xludf.DUMMYFUNCTION("""COMPUTED_VALUE"""),"880")</f>
        <v>880</v>
      </c>
      <c r="B591" s="265" t="str">
        <f>IFERROR(__xludf.DUMMYFUNCTION("""COMPUTED_VALUE"""),"Sài Gòn")</f>
        <v>Sài Gòn</v>
      </c>
      <c r="C591" s="265" t="str">
        <f>IFERROR(__xludf.DUMMYFUNCTION("""COMPUTED_VALUE"""),"Active")</f>
        <v>Active</v>
      </c>
      <c r="D591" s="265" t="str">
        <f>IFERROR(__xludf.DUMMYFUNCTION("""COMPUTED_VALUE"""),"Sale chưa cung cấp")</f>
        <v>Sale chưa cung cấp</v>
      </c>
      <c r="E591" s="265" t="str">
        <f>IFERROR(__xludf.DUMMYFUNCTION("""COMPUTED_VALUE"""),"Không phân công")</f>
        <v>Không phân công</v>
      </c>
      <c r="F591" s="265" t="str">
        <f>IFERROR(__xludf.DUMMYFUNCTION("""COMPUTED_VALUE"""),"Gold")</f>
        <v>Gold</v>
      </c>
      <c r="G591" s="265" t="str">
        <f>IFERROR(__xludf.DUMMYFUNCTION("""COMPUTED_VALUE"""),"Standard")</f>
        <v>Standard</v>
      </c>
      <c r="H591" s="265" t="str">
        <f>IFERROR(__xludf.DUMMYFUNCTION("""COMPUTED_VALUE"""),"Trả sau")</f>
        <v>Trả sau</v>
      </c>
      <c r="I591" s="265" t="str">
        <f>IFERROR(__xludf.DUMMYFUNCTION("""COMPUTED_VALUE"""),"API")</f>
        <v>API</v>
      </c>
      <c r="J591" s="265" t="str">
        <f>IFERROR(__xludf.DUMMYFUNCTION("""COMPUTED_VALUE"""),"SMS CSKH")</f>
        <v>SMS CSKH</v>
      </c>
      <c r="K591" s="265" t="str">
        <f>IFERROR(__xludf.DUMMYFUNCTION("""COMPUTED_VALUE"""),"LinhNTT1")</f>
        <v>LinhNTT1</v>
      </c>
    </row>
    <row r="592">
      <c r="A592" s="265" t="str">
        <f>IFERROR(__xludf.DUMMYFUNCTION("""COMPUTED_VALUE"""),"881")</f>
        <v>881</v>
      </c>
      <c r="B592" s="265" t="str">
        <f>IFERROR(__xludf.DUMMYFUNCTION("""COMPUTED_VALUE"""),"Hà Nội")</f>
        <v>Hà Nội</v>
      </c>
      <c r="C592" s="265" t="str">
        <f>IFERROR(__xludf.DUMMYFUNCTION("""COMPUTED_VALUE"""),"Active")</f>
        <v>Active</v>
      </c>
      <c r="D592" s="265" t="str">
        <f>IFERROR(__xludf.DUMMYFUNCTION("""COMPUTED_VALUE"""),"Truyền thông &amp; Giải trí")</f>
        <v>Truyền thông &amp; Giải trí</v>
      </c>
      <c r="E592" s="265" t="str">
        <f>IFERROR(__xludf.DUMMYFUNCTION("""COMPUTED_VALUE"""),"TúPHN")</f>
        <v>TúPHN</v>
      </c>
      <c r="F592" s="265" t="str">
        <f>IFERROR(__xludf.DUMMYFUNCTION("""COMPUTED_VALUE"""),"Gold")</f>
        <v>Gold</v>
      </c>
      <c r="G592" s="265" t="str">
        <f>IFERROR(__xludf.DUMMYFUNCTION("""COMPUTED_VALUE"""),"Starter")</f>
        <v>Starter</v>
      </c>
      <c r="H592" s="265" t="str">
        <f>IFERROR(__xludf.DUMMYFUNCTION("""COMPUTED_VALUE"""),"Trả trước")</f>
        <v>Trả trước</v>
      </c>
      <c r="I592" s="265" t="str">
        <f>IFERROR(__xludf.DUMMYFUNCTION("""COMPUTED_VALUE"""),"API")</f>
        <v>API</v>
      </c>
      <c r="J592" s="265" t="str">
        <f>IFERROR(__xludf.DUMMYFUNCTION("""COMPUTED_VALUE"""),"SMS CSKH")</f>
        <v>SMS CSKH</v>
      </c>
      <c r="K592" s="265" t="str">
        <f>IFERROR(__xludf.DUMMYFUNCTION("""COMPUTED_VALUE"""),"DungVT")</f>
        <v>DungVT</v>
      </c>
    </row>
    <row r="593">
      <c r="A593" s="265" t="str">
        <f>IFERROR(__xludf.DUMMYFUNCTION("""COMPUTED_VALUE"""),"881")</f>
        <v>881</v>
      </c>
      <c r="B593" s="265" t="str">
        <f>IFERROR(__xludf.DUMMYFUNCTION("""COMPUTED_VALUE"""),"Hà Nội")</f>
        <v>Hà Nội</v>
      </c>
      <c r="C593" s="265" t="str">
        <f>IFERROR(__xludf.DUMMYFUNCTION("""COMPUTED_VALUE"""),"Active")</f>
        <v>Active</v>
      </c>
      <c r="D593" s="265" t="str">
        <f>IFERROR(__xludf.DUMMYFUNCTION("""COMPUTED_VALUE"""),"Truyền thông &amp; Giải trí")</f>
        <v>Truyền thông &amp; Giải trí</v>
      </c>
      <c r="E593" s="265" t="str">
        <f>IFERROR(__xludf.DUMMYFUNCTION("""COMPUTED_VALUE"""),"TúPHN")</f>
        <v>TúPHN</v>
      </c>
      <c r="F593" s="265" t="str">
        <f>IFERROR(__xludf.DUMMYFUNCTION("""COMPUTED_VALUE"""),"Gold")</f>
        <v>Gold</v>
      </c>
      <c r="G593" s="265" t="str">
        <f>IFERROR(__xludf.DUMMYFUNCTION("""COMPUTED_VALUE"""),"Starter")</f>
        <v>Starter</v>
      </c>
      <c r="H593" s="265" t="str">
        <f>IFERROR(__xludf.DUMMYFUNCTION("""COMPUTED_VALUE"""),"Trả trước")</f>
        <v>Trả trước</v>
      </c>
      <c r="I593" s="265" t="str">
        <f>IFERROR(__xludf.DUMMYFUNCTION("""COMPUTED_VALUE"""),"API")</f>
        <v>API</v>
      </c>
      <c r="J593" s="265" t="str">
        <f>IFERROR(__xludf.DUMMYFUNCTION("""COMPUTED_VALUE"""),"Zalo ZNS")</f>
        <v>Zalo ZNS</v>
      </c>
      <c r="K593" s="265" t="str">
        <f>IFERROR(__xludf.DUMMYFUNCTION("""COMPUTED_VALUE"""),"DungVT")</f>
        <v>DungVT</v>
      </c>
    </row>
    <row r="594">
      <c r="A594" s="265" t="str">
        <f>IFERROR(__xludf.DUMMYFUNCTION("""COMPUTED_VALUE"""),"882")</f>
        <v>882</v>
      </c>
      <c r="B594" s="265" t="str">
        <f>IFERROR(__xludf.DUMMYFUNCTION("""COMPUTED_VALUE"""),"Sài Gòn")</f>
        <v>Sài Gòn</v>
      </c>
      <c r="C594" s="265" t="str">
        <f>IFERROR(__xludf.DUMMYFUNCTION("""COMPUTED_VALUE"""),"Active")</f>
        <v>Active</v>
      </c>
      <c r="D594" s="265" t="str">
        <f>IFERROR(__xludf.DUMMYFUNCTION("""COMPUTED_VALUE"""),"Công nghệ &amp; Phần mềm")</f>
        <v>Công nghệ &amp; Phần mềm</v>
      </c>
      <c r="E594" s="265" t="str">
        <f>IFERROR(__xludf.DUMMYFUNCTION("""COMPUTED_VALUE"""),"AnhNM")</f>
        <v>AnhNM</v>
      </c>
      <c r="F594" s="265" t="str">
        <f>IFERROR(__xludf.DUMMYFUNCTION("""COMPUTED_VALUE"""),"Gold")</f>
        <v>Gold</v>
      </c>
      <c r="G594" s="265" t="str">
        <f>IFERROR(__xludf.DUMMYFUNCTION("""COMPUTED_VALUE"""),"Starter")</f>
        <v>Starter</v>
      </c>
      <c r="H594" s="265" t="str">
        <f>IFERROR(__xludf.DUMMYFUNCTION("""COMPUTED_VALUE"""),"Trả sau")</f>
        <v>Trả sau</v>
      </c>
      <c r="I594" s="265" t="str">
        <f>IFERROR(__xludf.DUMMYFUNCTION("""COMPUTED_VALUE"""),"API &amp; Portal")</f>
        <v>API &amp; Portal</v>
      </c>
      <c r="J594" s="265" t="str">
        <f>IFERROR(__xludf.DUMMYFUNCTION("""COMPUTED_VALUE"""),"Zalo ZNS")</f>
        <v>Zalo ZNS</v>
      </c>
      <c r="K594" s="265" t="str">
        <f>IFERROR(__xludf.DUMMYFUNCTION("""COMPUTED_VALUE"""),"DungPL")</f>
        <v>DungPL</v>
      </c>
    </row>
    <row r="595">
      <c r="A595" s="265" t="str">
        <f>IFERROR(__xludf.DUMMYFUNCTION("""COMPUTED_VALUE"""),"883")</f>
        <v>883</v>
      </c>
      <c r="B595" s="265" t="str">
        <f>IFERROR(__xludf.DUMMYFUNCTION("""COMPUTED_VALUE"""),"Hà Nội")</f>
        <v>Hà Nội</v>
      </c>
      <c r="C595" s="265" t="str">
        <f>IFERROR(__xludf.DUMMYFUNCTION("""COMPUTED_VALUE"""),"Active")</f>
        <v>Active</v>
      </c>
      <c r="D595" s="265" t="str">
        <f>IFERROR(__xludf.DUMMYFUNCTION("""COMPUTED_VALUE"""),"Dịch vụ khác")</f>
        <v>Dịch vụ khác</v>
      </c>
      <c r="E595" s="265" t="str">
        <f>IFERROR(__xludf.DUMMYFUNCTION("""COMPUTED_VALUE"""),"TúPHN")</f>
        <v>TúPHN</v>
      </c>
      <c r="F595" s="265" t="str">
        <f>IFERROR(__xludf.DUMMYFUNCTION("""COMPUTED_VALUE"""),"Silver")</f>
        <v>Silver</v>
      </c>
      <c r="G595" s="265" t="str">
        <f>IFERROR(__xludf.DUMMYFUNCTION("""COMPUTED_VALUE"""),"Starter")</f>
        <v>Starter</v>
      </c>
      <c r="H595" s="265" t="str">
        <f>IFERROR(__xludf.DUMMYFUNCTION("""COMPUTED_VALUE"""),"Trả trước")</f>
        <v>Trả trước</v>
      </c>
      <c r="I595" s="265" t="str">
        <f>IFERROR(__xludf.DUMMYFUNCTION("""COMPUTED_VALUE"""),"Portal")</f>
        <v>Portal</v>
      </c>
      <c r="J595" s="265" t="str">
        <f>IFERROR(__xludf.DUMMYFUNCTION("""COMPUTED_VALUE"""),"Zalo ZNS")</f>
        <v>Zalo ZNS</v>
      </c>
      <c r="K595" s="265" t="str">
        <f>IFERROR(__xludf.DUMMYFUNCTION("""COMPUTED_VALUE"""),"LinhNTT1")</f>
        <v>LinhNTT1</v>
      </c>
    </row>
    <row r="596">
      <c r="A596" s="265" t="str">
        <f>IFERROR(__xludf.DUMMYFUNCTION("""COMPUTED_VALUE"""),"893")</f>
        <v>893</v>
      </c>
      <c r="B596" s="265" t="str">
        <f>IFERROR(__xludf.DUMMYFUNCTION("""COMPUTED_VALUE"""),"Hà Nội")</f>
        <v>Hà Nội</v>
      </c>
      <c r="C596" s="265" t="str">
        <f>IFERROR(__xludf.DUMMYFUNCTION("""COMPUTED_VALUE"""),"Active")</f>
        <v>Active</v>
      </c>
      <c r="D596" s="265" t="str">
        <f>IFERROR(__xludf.DUMMYFUNCTION("""COMPUTED_VALUE"""),"Sale chưa cung cấp")</f>
        <v>Sale chưa cung cấp</v>
      </c>
      <c r="E596" s="265" t="str">
        <f>IFERROR(__xludf.DUMMYFUNCTION("""COMPUTED_VALUE"""),"Không phân công")</f>
        <v>Không phân công</v>
      </c>
      <c r="F596" s="265" t="str">
        <f>IFERROR(__xludf.DUMMYFUNCTION("""COMPUTED_VALUE"""),"Sale chưa cung cấp")</f>
        <v>Sale chưa cung cấp</v>
      </c>
      <c r="G596" s="265" t="str">
        <f>IFERROR(__xludf.DUMMYFUNCTION("""COMPUTED_VALUE"""),"Starter")</f>
        <v>Starter</v>
      </c>
      <c r="H596" s="265" t="str">
        <f>IFERROR(__xludf.DUMMYFUNCTION("""COMPUTED_VALUE"""),"Trả sau")</f>
        <v>Trả sau</v>
      </c>
      <c r="I596" s="265" t="str">
        <f>IFERROR(__xludf.DUMMYFUNCTION("""COMPUTED_VALUE"""),"API")</f>
        <v>API</v>
      </c>
      <c r="J596" s="265" t="str">
        <f>IFERROR(__xludf.DUMMYFUNCTION("""COMPUTED_VALUE"""),"SMS CSKH")</f>
        <v>SMS CSKH</v>
      </c>
      <c r="K596" s="265" t="str">
        <f>IFERROR(__xludf.DUMMYFUNCTION("""COMPUTED_VALUE"""),"DungVT")</f>
        <v>DungVT</v>
      </c>
    </row>
    <row r="597">
      <c r="A597" s="265" t="str">
        <f>IFERROR(__xludf.DUMMYFUNCTION("""COMPUTED_VALUE"""),"886")</f>
        <v>886</v>
      </c>
      <c r="B597" s="265" t="str">
        <f>IFERROR(__xludf.DUMMYFUNCTION("""COMPUTED_VALUE"""),"Hà Nội")</f>
        <v>Hà Nội</v>
      </c>
      <c r="C597" s="265" t="str">
        <f>IFERROR(__xludf.DUMMYFUNCTION("""COMPUTED_VALUE"""),"Active")</f>
        <v>Active</v>
      </c>
      <c r="D597" s="265" t="str">
        <f>IFERROR(__xludf.DUMMYFUNCTION("""COMPUTED_VALUE"""),"Công nghệ &amp; Phần mềm")</f>
        <v>Công nghệ &amp; Phần mềm</v>
      </c>
      <c r="E597" s="265" t="str">
        <f>IFERROR(__xludf.DUMMYFUNCTION("""COMPUTED_VALUE"""),"TùngLD")</f>
        <v>TùngLD</v>
      </c>
      <c r="F597" s="265" t="str">
        <f>IFERROR(__xludf.DUMMYFUNCTION("""COMPUTED_VALUE"""),"Bronze")</f>
        <v>Bronze</v>
      </c>
      <c r="G597" s="265" t="str">
        <f>IFERROR(__xludf.DUMMYFUNCTION("""COMPUTED_VALUE"""),"Starter")</f>
        <v>Starter</v>
      </c>
      <c r="H597" s="265" t="str">
        <f>IFERROR(__xludf.DUMMYFUNCTION("""COMPUTED_VALUE"""),"Trả sau")</f>
        <v>Trả sau</v>
      </c>
      <c r="I597" s="265" t="str">
        <f>IFERROR(__xludf.DUMMYFUNCTION("""COMPUTED_VALUE"""),"API &amp; Portal")</f>
        <v>API &amp; Portal</v>
      </c>
      <c r="J597" s="265" t="str">
        <f>IFERROR(__xludf.DUMMYFUNCTION("""COMPUTED_VALUE"""),"SMS CSKH")</f>
        <v>SMS CSKH</v>
      </c>
      <c r="K597" s="265" t="str">
        <f>IFERROR(__xludf.DUMMYFUNCTION("""COMPUTED_VALUE"""),"DungPL")</f>
        <v>DungPL</v>
      </c>
    </row>
    <row r="598">
      <c r="A598" s="265" t="str">
        <f>IFERROR(__xludf.DUMMYFUNCTION("""COMPUTED_VALUE"""),"886")</f>
        <v>886</v>
      </c>
      <c r="B598" s="265" t="str">
        <f>IFERROR(__xludf.DUMMYFUNCTION("""COMPUTED_VALUE"""),"Hà Nội")</f>
        <v>Hà Nội</v>
      </c>
      <c r="C598" s="265" t="str">
        <f>IFERROR(__xludf.DUMMYFUNCTION("""COMPUTED_VALUE"""),"Active")</f>
        <v>Active</v>
      </c>
      <c r="D598" s="265" t="str">
        <f>IFERROR(__xludf.DUMMYFUNCTION("""COMPUTED_VALUE"""),"Công nghệ &amp; Phần mềm")</f>
        <v>Công nghệ &amp; Phần mềm</v>
      </c>
      <c r="E598" s="265" t="str">
        <f>IFERROR(__xludf.DUMMYFUNCTION("""COMPUTED_VALUE"""),"TùngLD")</f>
        <v>TùngLD</v>
      </c>
      <c r="F598" s="265" t="str">
        <f>IFERROR(__xludf.DUMMYFUNCTION("""COMPUTED_VALUE"""),"Bronze")</f>
        <v>Bronze</v>
      </c>
      <c r="G598" s="265" t="str">
        <f>IFERROR(__xludf.DUMMYFUNCTION("""COMPUTED_VALUE"""),"Starter")</f>
        <v>Starter</v>
      </c>
      <c r="H598" s="265" t="str">
        <f>IFERROR(__xludf.DUMMYFUNCTION("""COMPUTED_VALUE"""),"Trả sau")</f>
        <v>Trả sau</v>
      </c>
      <c r="I598" s="265" t="str">
        <f>IFERROR(__xludf.DUMMYFUNCTION("""COMPUTED_VALUE"""),"API &amp; Portal")</f>
        <v>API &amp; Portal</v>
      </c>
      <c r="J598" s="265" t="str">
        <f>IFERROR(__xludf.DUMMYFUNCTION("""COMPUTED_VALUE"""),"Zalo ZNS")</f>
        <v>Zalo ZNS</v>
      </c>
      <c r="K598" s="265" t="str">
        <f>IFERROR(__xludf.DUMMYFUNCTION("""COMPUTED_VALUE"""),"DungPL")</f>
        <v>DungPL</v>
      </c>
    </row>
    <row r="599">
      <c r="A599" s="265" t="str">
        <f>IFERROR(__xludf.DUMMYFUNCTION("""COMPUTED_VALUE"""),"888")</f>
        <v>888</v>
      </c>
      <c r="B599" s="265" t="str">
        <f>IFERROR(__xludf.DUMMYFUNCTION("""COMPUTED_VALUE"""),"Hà Nội")</f>
        <v>Hà Nội</v>
      </c>
      <c r="C599" s="265" t="str">
        <f>IFERROR(__xludf.DUMMYFUNCTION("""COMPUTED_VALUE"""),"Active")</f>
        <v>Active</v>
      </c>
      <c r="D599" s="265" t="str">
        <f>IFERROR(__xludf.DUMMYFUNCTION("""COMPUTED_VALUE"""),"Tài chính &amp; Ngân hàng")</f>
        <v>Tài chính &amp; Ngân hàng</v>
      </c>
      <c r="E599" s="265" t="str">
        <f>IFERROR(__xludf.DUMMYFUNCTION("""COMPUTED_VALUE"""),"TùngLD")</f>
        <v>TùngLD</v>
      </c>
      <c r="F599" s="265" t="str">
        <f>IFERROR(__xludf.DUMMYFUNCTION("""COMPUTED_VALUE"""),"Silver")</f>
        <v>Silver</v>
      </c>
      <c r="G599" s="265" t="str">
        <f>IFERROR(__xludf.DUMMYFUNCTION("""COMPUTED_VALUE"""),"Starter")</f>
        <v>Starter</v>
      </c>
      <c r="H599" s="265" t="str">
        <f>IFERROR(__xludf.DUMMYFUNCTION("""COMPUTED_VALUE"""),"Trả sau")</f>
        <v>Trả sau</v>
      </c>
      <c r="I599" s="265" t="str">
        <f>IFERROR(__xludf.DUMMYFUNCTION("""COMPUTED_VALUE"""),"API &amp; Portal")</f>
        <v>API &amp; Portal</v>
      </c>
      <c r="J599" s="265" t="str">
        <f>IFERROR(__xludf.DUMMYFUNCTION("""COMPUTED_VALUE"""),"SMS CSKH")</f>
        <v>SMS CSKH</v>
      </c>
      <c r="K599" s="265" t="str">
        <f>IFERROR(__xludf.DUMMYFUNCTION("""COMPUTED_VALUE"""),"LinhNTT1")</f>
        <v>LinhNTT1</v>
      </c>
    </row>
    <row r="600">
      <c r="A600" s="265" t="str">
        <f>IFERROR(__xludf.DUMMYFUNCTION("""COMPUTED_VALUE"""),"889")</f>
        <v>889</v>
      </c>
      <c r="B600" s="265" t="str">
        <f>IFERROR(__xludf.DUMMYFUNCTION("""COMPUTED_VALUE"""),"Hà Nội")</f>
        <v>Hà Nội</v>
      </c>
      <c r="C600" s="265" t="str">
        <f>IFERROR(__xludf.DUMMYFUNCTION("""COMPUTED_VALUE"""),"Active")</f>
        <v>Active</v>
      </c>
      <c r="D600" s="265" t="str">
        <f>IFERROR(__xludf.DUMMYFUNCTION("""COMPUTED_VALUE"""),"Y tế &amp; Dược phẩm")</f>
        <v>Y tế &amp; Dược phẩm</v>
      </c>
      <c r="E600" s="265" t="str">
        <f>IFERROR(__xludf.DUMMYFUNCTION("""COMPUTED_VALUE"""),"TùngLD")</f>
        <v>TùngLD</v>
      </c>
      <c r="F600" s="265" t="str">
        <f>IFERROR(__xludf.DUMMYFUNCTION("""COMPUTED_VALUE"""),"Gold")</f>
        <v>Gold</v>
      </c>
      <c r="G600" s="265" t="str">
        <f>IFERROR(__xludf.DUMMYFUNCTION("""COMPUTED_VALUE"""),"Premium")</f>
        <v>Premium</v>
      </c>
      <c r="H600" s="265" t="str">
        <f>IFERROR(__xludf.DUMMYFUNCTION("""COMPUTED_VALUE"""),"Trả sau")</f>
        <v>Trả sau</v>
      </c>
      <c r="I600" s="265" t="str">
        <f>IFERROR(__xludf.DUMMYFUNCTION("""COMPUTED_VALUE"""),"API &amp; Portal")</f>
        <v>API &amp; Portal</v>
      </c>
      <c r="J600" s="265" t="str">
        <f>IFERROR(__xludf.DUMMYFUNCTION("""COMPUTED_VALUE"""),"Zalo ZNS")</f>
        <v>Zalo ZNS</v>
      </c>
      <c r="K600" s="265" t="str">
        <f>IFERROR(__xludf.DUMMYFUNCTION("""COMPUTED_VALUE"""),"LinhNTT1")</f>
        <v>LinhNTT1</v>
      </c>
    </row>
    <row r="601">
      <c r="A601" s="265" t="str">
        <f>IFERROR(__xludf.DUMMYFUNCTION("""COMPUTED_VALUE"""),"890")</f>
        <v>890</v>
      </c>
      <c r="B601" s="265" t="str">
        <f>IFERROR(__xludf.DUMMYFUNCTION("""COMPUTED_VALUE"""),"Sài Gòn")</f>
        <v>Sài Gòn</v>
      </c>
      <c r="C601" s="265" t="str">
        <f>IFERROR(__xludf.DUMMYFUNCTION("""COMPUTED_VALUE"""),"Active")</f>
        <v>Active</v>
      </c>
      <c r="D601" s="265" t="str">
        <f>IFERROR(__xludf.DUMMYFUNCTION("""COMPUTED_VALUE"""),"Công nghệ &amp; Phần mềm")</f>
        <v>Công nghệ &amp; Phần mềm</v>
      </c>
      <c r="E601" s="265" t="str">
        <f>IFERROR(__xludf.DUMMYFUNCTION("""COMPUTED_VALUE"""),"TúPHN")</f>
        <v>TúPHN</v>
      </c>
      <c r="F601" s="265" t="str">
        <f>IFERROR(__xludf.DUMMYFUNCTION("""COMPUTED_VALUE"""),"Gold")</f>
        <v>Gold</v>
      </c>
      <c r="G601" s="265" t="str">
        <f>IFERROR(__xludf.DUMMYFUNCTION("""COMPUTED_VALUE"""),"Starter")</f>
        <v>Starter</v>
      </c>
      <c r="H601" s="265" t="str">
        <f>IFERROR(__xludf.DUMMYFUNCTION("""COMPUTED_VALUE"""),"Trả sau")</f>
        <v>Trả sau</v>
      </c>
      <c r="I601" s="265" t="str">
        <f>IFERROR(__xludf.DUMMYFUNCTION("""COMPUTED_VALUE"""),"API &amp; Portal")</f>
        <v>API &amp; Portal</v>
      </c>
      <c r="J601" s="265" t="str">
        <f>IFERROR(__xludf.DUMMYFUNCTION("""COMPUTED_VALUE"""),"Zalo ZNS")</f>
        <v>Zalo ZNS</v>
      </c>
      <c r="K601" s="265" t="str">
        <f>IFERROR(__xludf.DUMMYFUNCTION("""COMPUTED_VALUE"""),"LinhNTT1")</f>
        <v>LinhNTT1</v>
      </c>
    </row>
    <row r="602">
      <c r="A602" s="265" t="str">
        <f>IFERROR(__xludf.DUMMYFUNCTION("""COMPUTED_VALUE"""),"891")</f>
        <v>891</v>
      </c>
      <c r="B602" s="265" t="str">
        <f>IFERROR(__xludf.DUMMYFUNCTION("""COMPUTED_VALUE"""),"Sài Gòn")</f>
        <v>Sài Gòn</v>
      </c>
      <c r="C602" s="265" t="str">
        <f>IFERROR(__xludf.DUMMYFUNCTION("""COMPUTED_VALUE"""),"Locked")</f>
        <v>Locked</v>
      </c>
      <c r="D602" s="265" t="str">
        <f>IFERROR(__xludf.DUMMYFUNCTION("""COMPUTED_VALUE"""),"Sale chưa cung cấp")</f>
        <v>Sale chưa cung cấp</v>
      </c>
      <c r="E602" s="265" t="str">
        <f>IFERROR(__xludf.DUMMYFUNCTION("""COMPUTED_VALUE"""),"AnhNM")</f>
        <v>AnhNM</v>
      </c>
      <c r="F602" s="265" t="str">
        <f>IFERROR(__xludf.DUMMYFUNCTION("""COMPUTED_VALUE"""),"Sale chưa cung cấp")</f>
        <v>Sale chưa cung cấp</v>
      </c>
      <c r="G602" s="265" t="str">
        <f>IFERROR(__xludf.DUMMYFUNCTION("""COMPUTED_VALUE"""),"Standard")</f>
        <v>Standard</v>
      </c>
      <c r="H602" s="265" t="str">
        <f>IFERROR(__xludf.DUMMYFUNCTION("""COMPUTED_VALUE"""),"Trial")</f>
        <v>Trial</v>
      </c>
      <c r="I602" s="265" t="str">
        <f>IFERROR(__xludf.DUMMYFUNCTION("""COMPUTED_VALUE"""),"API")</f>
        <v>API</v>
      </c>
      <c r="J602" s="265" t="str">
        <f>IFERROR(__xludf.DUMMYFUNCTION("""COMPUTED_VALUE"""),"Zalo ZNS")</f>
        <v>Zalo ZNS</v>
      </c>
      <c r="K602" s="265" t="str">
        <f>IFERROR(__xludf.DUMMYFUNCTION("""COMPUTED_VALUE"""),"Không phân công")</f>
        <v>Không phân công</v>
      </c>
    </row>
    <row r="603">
      <c r="A603" s="265" t="str">
        <f>IFERROR(__xludf.DUMMYFUNCTION("""COMPUTED_VALUE"""),"892")</f>
        <v>892</v>
      </c>
      <c r="B603" s="265" t="str">
        <f>IFERROR(__xludf.DUMMYFUNCTION("""COMPUTED_VALUE"""),"Hà Nội")</f>
        <v>Hà Nội</v>
      </c>
      <c r="C603" s="265" t="str">
        <f>IFERROR(__xludf.DUMMYFUNCTION("""COMPUTED_VALUE"""),"Active")</f>
        <v>Active</v>
      </c>
      <c r="D603" s="265" t="str">
        <f>IFERROR(__xludf.DUMMYFUNCTION("""COMPUTED_VALUE"""),"Y tế &amp; Dược phẩm")</f>
        <v>Y tế &amp; Dược phẩm</v>
      </c>
      <c r="E603" s="265" t="str">
        <f>IFERROR(__xludf.DUMMYFUNCTION("""COMPUTED_VALUE"""),"TùngLD")</f>
        <v>TùngLD</v>
      </c>
      <c r="F603" s="265" t="str">
        <f>IFERROR(__xludf.DUMMYFUNCTION("""COMPUTED_VALUE"""),"Gold")</f>
        <v>Gold</v>
      </c>
      <c r="G603" s="265" t="str">
        <f>IFERROR(__xludf.DUMMYFUNCTION("""COMPUTED_VALUE"""),"Premium")</f>
        <v>Premium</v>
      </c>
      <c r="H603" s="265" t="str">
        <f>IFERROR(__xludf.DUMMYFUNCTION("""COMPUTED_VALUE"""),"Trả sau")</f>
        <v>Trả sau</v>
      </c>
      <c r="I603" s="265" t="str">
        <f>IFERROR(__xludf.DUMMYFUNCTION("""COMPUTED_VALUE"""),"API &amp; Portal")</f>
        <v>API &amp; Portal</v>
      </c>
      <c r="J603" s="265" t="str">
        <f>IFERROR(__xludf.DUMMYFUNCTION("""COMPUTED_VALUE"""),"SMS CSKH")</f>
        <v>SMS CSKH</v>
      </c>
      <c r="K603" s="265" t="str">
        <f>IFERROR(__xludf.DUMMYFUNCTION("""COMPUTED_VALUE"""),"LinhNTT1")</f>
        <v>LinhNTT1</v>
      </c>
    </row>
    <row r="604">
      <c r="A604" s="265" t="str">
        <f>IFERROR(__xludf.DUMMYFUNCTION("""COMPUTED_VALUE"""),"892")</f>
        <v>892</v>
      </c>
      <c r="B604" s="265" t="str">
        <f>IFERROR(__xludf.DUMMYFUNCTION("""COMPUTED_VALUE"""),"Hà Nội")</f>
        <v>Hà Nội</v>
      </c>
      <c r="C604" s="265" t="str">
        <f>IFERROR(__xludf.DUMMYFUNCTION("""COMPUTED_VALUE"""),"Active")</f>
        <v>Active</v>
      </c>
      <c r="D604" s="265" t="str">
        <f>IFERROR(__xludf.DUMMYFUNCTION("""COMPUTED_VALUE"""),"Y tế &amp; Dược phẩm")</f>
        <v>Y tế &amp; Dược phẩm</v>
      </c>
      <c r="E604" s="265" t="str">
        <f>IFERROR(__xludf.DUMMYFUNCTION("""COMPUTED_VALUE"""),"TùngLD")</f>
        <v>TùngLD</v>
      </c>
      <c r="F604" s="265" t="str">
        <f>IFERROR(__xludf.DUMMYFUNCTION("""COMPUTED_VALUE"""),"Gold")</f>
        <v>Gold</v>
      </c>
      <c r="G604" s="265" t="str">
        <f>IFERROR(__xludf.DUMMYFUNCTION("""COMPUTED_VALUE"""),"Premium")</f>
        <v>Premium</v>
      </c>
      <c r="H604" s="265" t="str">
        <f>IFERROR(__xludf.DUMMYFUNCTION("""COMPUTED_VALUE"""),"Trả sau")</f>
        <v>Trả sau</v>
      </c>
      <c r="I604" s="265" t="str">
        <f>IFERROR(__xludf.DUMMYFUNCTION("""COMPUTED_VALUE"""),"API &amp; Portal")</f>
        <v>API &amp; Portal</v>
      </c>
      <c r="J604" s="265" t="str">
        <f>IFERROR(__xludf.DUMMYFUNCTION("""COMPUTED_VALUE"""),"Zalo ZNS")</f>
        <v>Zalo ZNS</v>
      </c>
      <c r="K604" s="265" t="str">
        <f>IFERROR(__xludf.DUMMYFUNCTION("""COMPUTED_VALUE"""),"LinhNTT1")</f>
        <v>LinhNTT1</v>
      </c>
    </row>
    <row r="605">
      <c r="A605" s="265" t="str">
        <f>IFERROR(__xludf.DUMMYFUNCTION("""COMPUTED_VALUE"""),"895")</f>
        <v>895</v>
      </c>
      <c r="B605" s="265" t="str">
        <f>IFERROR(__xludf.DUMMYFUNCTION("""COMPUTED_VALUE"""),"Sài Gòn")</f>
        <v>Sài Gòn</v>
      </c>
      <c r="C605" s="265" t="str">
        <f>IFERROR(__xludf.DUMMYFUNCTION("""COMPUTED_VALUE"""),"Locked")</f>
        <v>Locked</v>
      </c>
      <c r="D605" s="265" t="str">
        <f>IFERROR(__xludf.DUMMYFUNCTION("""COMPUTED_VALUE"""),"Sale chưa cung cấp")</f>
        <v>Sale chưa cung cấp</v>
      </c>
      <c r="E605" s="265" t="str">
        <f>IFERROR(__xludf.DUMMYFUNCTION("""COMPUTED_VALUE"""),"AnhNM")</f>
        <v>AnhNM</v>
      </c>
      <c r="F605" s="265" t="str">
        <f>IFERROR(__xludf.DUMMYFUNCTION("""COMPUTED_VALUE"""),"Sale chưa cung cấp")</f>
        <v>Sale chưa cung cấp</v>
      </c>
      <c r="G605" s="265" t="str">
        <f>IFERROR(__xludf.DUMMYFUNCTION("""COMPUTED_VALUE"""),"Starter")</f>
        <v>Starter</v>
      </c>
      <c r="H605" s="265" t="str">
        <f>IFERROR(__xludf.DUMMYFUNCTION("""COMPUTED_VALUE"""),"Trial")</f>
        <v>Trial</v>
      </c>
      <c r="I605" s="265" t="str">
        <f>IFERROR(__xludf.DUMMYFUNCTION("""COMPUTED_VALUE"""),"API")</f>
        <v>API</v>
      </c>
      <c r="J605" s="265" t="str">
        <f>IFERROR(__xludf.DUMMYFUNCTION("""COMPUTED_VALUE"""),"SMS CSKH")</f>
        <v>SMS CSKH</v>
      </c>
      <c r="K605" s="265" t="str">
        <f>IFERROR(__xludf.DUMMYFUNCTION("""COMPUTED_VALUE"""),"Không phân công")</f>
        <v>Không phân công</v>
      </c>
    </row>
    <row r="606">
      <c r="A606" s="265" t="str">
        <f>IFERROR(__xludf.DUMMYFUNCTION("""COMPUTED_VALUE"""),"894")</f>
        <v>894</v>
      </c>
      <c r="B606" s="265" t="str">
        <f>IFERROR(__xludf.DUMMYFUNCTION("""COMPUTED_VALUE"""),"Sài Gòn")</f>
        <v>Sài Gòn</v>
      </c>
      <c r="C606" s="265" t="str">
        <f>IFERROR(__xludf.DUMMYFUNCTION("""COMPUTED_VALUE"""),"Active")</f>
        <v>Active</v>
      </c>
      <c r="D606" s="265" t="str">
        <f>IFERROR(__xludf.DUMMYFUNCTION("""COMPUTED_VALUE"""),"Sale chưa cung cấp")</f>
        <v>Sale chưa cung cấp</v>
      </c>
      <c r="E606" s="265" t="str">
        <f>IFERROR(__xludf.DUMMYFUNCTION("""COMPUTED_VALUE"""),"Không phân công")</f>
        <v>Không phân công</v>
      </c>
      <c r="F606" s="265" t="str">
        <f>IFERROR(__xludf.DUMMYFUNCTION("""COMPUTED_VALUE"""),"Diamond")</f>
        <v>Diamond</v>
      </c>
      <c r="G606" s="265" t="str">
        <f>IFERROR(__xludf.DUMMYFUNCTION("""COMPUTED_VALUE"""),"Standard")</f>
        <v>Standard</v>
      </c>
      <c r="H606" s="265" t="str">
        <f>IFERROR(__xludf.DUMMYFUNCTION("""COMPUTED_VALUE"""),"Trả trước")</f>
        <v>Trả trước</v>
      </c>
      <c r="I606" s="265" t="str">
        <f>IFERROR(__xludf.DUMMYFUNCTION("""COMPUTED_VALUE"""),"API")</f>
        <v>API</v>
      </c>
      <c r="J606" s="265" t="str">
        <f>IFERROR(__xludf.DUMMYFUNCTION("""COMPUTED_VALUE"""),"SMS CSKH")</f>
        <v>SMS CSKH</v>
      </c>
      <c r="K606" s="265" t="str">
        <f>IFERROR(__xludf.DUMMYFUNCTION("""COMPUTED_VALUE"""),"LinhNTT1")</f>
        <v>LinhNTT1</v>
      </c>
    </row>
    <row r="607">
      <c r="A607" s="265" t="str">
        <f>IFERROR(__xludf.DUMMYFUNCTION("""COMPUTED_VALUE"""),"896")</f>
        <v>896</v>
      </c>
      <c r="B607" s="265" t="str">
        <f>IFERROR(__xludf.DUMMYFUNCTION("""COMPUTED_VALUE"""),"Hà Nội")</f>
        <v>Hà Nội</v>
      </c>
      <c r="C607" s="265" t="str">
        <f>IFERROR(__xludf.DUMMYFUNCTION("""COMPUTED_VALUE"""),"Active")</f>
        <v>Active</v>
      </c>
      <c r="D607" s="265" t="str">
        <f>IFERROR(__xludf.DUMMYFUNCTION("""COMPUTED_VALUE"""),"Mua sắm &amp; Bán lẻ")</f>
        <v>Mua sắm &amp; Bán lẻ</v>
      </c>
      <c r="E607" s="265" t="str">
        <f>IFERROR(__xludf.DUMMYFUNCTION("""COMPUTED_VALUE"""),"TúPHN")</f>
        <v>TúPHN</v>
      </c>
      <c r="F607" s="265" t="str">
        <f>IFERROR(__xludf.DUMMYFUNCTION("""COMPUTED_VALUE"""),"Bronze")</f>
        <v>Bronze</v>
      </c>
      <c r="G607" s="265" t="str">
        <f>IFERROR(__xludf.DUMMYFUNCTION("""COMPUTED_VALUE"""),"Starter")</f>
        <v>Starter</v>
      </c>
      <c r="H607" s="265" t="str">
        <f>IFERROR(__xludf.DUMMYFUNCTION("""COMPUTED_VALUE"""),"Trả sau")</f>
        <v>Trả sau</v>
      </c>
      <c r="I607" s="265" t="str">
        <f>IFERROR(__xludf.DUMMYFUNCTION("""COMPUTED_VALUE"""),"API &amp; Portal")</f>
        <v>API &amp; Portal</v>
      </c>
      <c r="J607" s="265" t="str">
        <f>IFERROR(__xludf.DUMMYFUNCTION("""COMPUTED_VALUE"""),"Tất cả")</f>
        <v>Tất cả</v>
      </c>
      <c r="K607" s="265" t="str">
        <f>IFERROR(__xludf.DUMMYFUNCTION("""COMPUTED_VALUE"""),"DungPL")</f>
        <v>DungPL</v>
      </c>
    </row>
    <row r="608">
      <c r="A608" s="265" t="str">
        <f>IFERROR(__xludf.DUMMYFUNCTION("""COMPUTED_VALUE"""),"897")</f>
        <v>897</v>
      </c>
      <c r="B608" s="265" t="str">
        <f>IFERROR(__xludf.DUMMYFUNCTION("""COMPUTED_VALUE"""),"Sài Gòn")</f>
        <v>Sài Gòn</v>
      </c>
      <c r="C608" s="265" t="str">
        <f>IFERROR(__xludf.DUMMYFUNCTION("""COMPUTED_VALUE"""),"Locked")</f>
        <v>Locked</v>
      </c>
      <c r="D608" s="265" t="str">
        <f>IFERROR(__xludf.DUMMYFUNCTION("""COMPUTED_VALUE"""),"Thực phẩm &amp; Đồ uống")</f>
        <v>Thực phẩm &amp; Đồ uống</v>
      </c>
      <c r="E608" s="265" t="str">
        <f>IFERROR(__xludf.DUMMYFUNCTION("""COMPUTED_VALUE"""),"HoaNTM")</f>
        <v>HoaNTM</v>
      </c>
      <c r="F608" s="265" t="str">
        <f>IFERROR(__xludf.DUMMYFUNCTION("""COMPUTED_VALUE"""),"Diamond")</f>
        <v>Diamond</v>
      </c>
      <c r="G608" s="265" t="str">
        <f>IFERROR(__xludf.DUMMYFUNCTION("""COMPUTED_VALUE"""),"Premium")</f>
        <v>Premium</v>
      </c>
      <c r="H608" s="265" t="str">
        <f>IFERROR(__xludf.DUMMYFUNCTION("""COMPUTED_VALUE"""),"Trả trước")</f>
        <v>Trả trước</v>
      </c>
      <c r="I608" s="265" t="str">
        <f>IFERROR(__xludf.DUMMYFUNCTION("""COMPUTED_VALUE"""),"API &amp; Portal")</f>
        <v>API &amp; Portal</v>
      </c>
      <c r="J608" s="265" t="str">
        <f>IFERROR(__xludf.DUMMYFUNCTION("""COMPUTED_VALUE"""),"Zalo ZNS")</f>
        <v>Zalo ZNS</v>
      </c>
      <c r="K608" s="265" t="str">
        <f>IFERROR(__xludf.DUMMYFUNCTION("""COMPUTED_VALUE"""),"LinhNTT1")</f>
        <v>LinhNTT1</v>
      </c>
    </row>
    <row r="609">
      <c r="A609" s="265" t="str">
        <f>IFERROR(__xludf.DUMMYFUNCTION("""COMPUTED_VALUE"""),"898")</f>
        <v>898</v>
      </c>
      <c r="B609" s="265" t="str">
        <f>IFERROR(__xludf.DUMMYFUNCTION("""COMPUTED_VALUE"""),"Sài Gòn")</f>
        <v>Sài Gòn</v>
      </c>
      <c r="C609" s="265" t="str">
        <f>IFERROR(__xludf.DUMMYFUNCTION("""COMPUTED_VALUE"""),"Locked")</f>
        <v>Locked</v>
      </c>
      <c r="D609" s="265" t="str">
        <f>IFERROR(__xludf.DUMMYFUNCTION("""COMPUTED_VALUE"""),"Thực phẩm &amp; Đồ uống")</f>
        <v>Thực phẩm &amp; Đồ uống</v>
      </c>
      <c r="E609" s="265" t="str">
        <f>IFERROR(__xludf.DUMMYFUNCTION("""COMPUTED_VALUE"""),"HoaNTM")</f>
        <v>HoaNTM</v>
      </c>
      <c r="F609" s="265" t="str">
        <f>IFERROR(__xludf.DUMMYFUNCTION("""COMPUTED_VALUE"""),"Diamond")</f>
        <v>Diamond</v>
      </c>
      <c r="G609" s="265" t="str">
        <f>IFERROR(__xludf.DUMMYFUNCTION("""COMPUTED_VALUE"""),"Premium")</f>
        <v>Premium</v>
      </c>
      <c r="H609" s="265" t="str">
        <f>IFERROR(__xludf.DUMMYFUNCTION("""COMPUTED_VALUE"""),"Trả sau")</f>
        <v>Trả sau</v>
      </c>
      <c r="I609" s="265" t="str">
        <f>IFERROR(__xludf.DUMMYFUNCTION("""COMPUTED_VALUE"""),"API &amp; Portal")</f>
        <v>API &amp; Portal</v>
      </c>
      <c r="J609" s="265" t="str">
        <f>IFERROR(__xludf.DUMMYFUNCTION("""COMPUTED_VALUE"""),"SMS CSKH")</f>
        <v>SMS CSKH</v>
      </c>
      <c r="K609" s="265" t="str">
        <f>IFERROR(__xludf.DUMMYFUNCTION("""COMPUTED_VALUE"""),"DungVT")</f>
        <v>DungVT</v>
      </c>
    </row>
    <row r="610">
      <c r="A610" s="265" t="str">
        <f>IFERROR(__xludf.DUMMYFUNCTION("""COMPUTED_VALUE"""),"899")</f>
        <v>899</v>
      </c>
      <c r="B610" s="265" t="str">
        <f>IFERROR(__xludf.DUMMYFUNCTION("""COMPUTED_VALUE"""),"Hà Nội")</f>
        <v>Hà Nội</v>
      </c>
      <c r="C610" s="265" t="str">
        <f>IFERROR(__xludf.DUMMYFUNCTION("""COMPUTED_VALUE"""),"Active")</f>
        <v>Active</v>
      </c>
      <c r="D610" s="265" t="str">
        <f>IFERROR(__xludf.DUMMYFUNCTION("""COMPUTED_VALUE"""),"Sale chưa cung cấp")</f>
        <v>Sale chưa cung cấp</v>
      </c>
      <c r="E610" s="265" t="str">
        <f>IFERROR(__xludf.DUMMYFUNCTION("""COMPUTED_VALUE"""),"AnhNM")</f>
        <v>AnhNM</v>
      </c>
      <c r="F610" s="265" t="str">
        <f>IFERROR(__xludf.DUMMYFUNCTION("""COMPUTED_VALUE"""),"Bronze")</f>
        <v>Bronze</v>
      </c>
      <c r="G610" s="265" t="str">
        <f>IFERROR(__xludf.DUMMYFUNCTION("""COMPUTED_VALUE"""),"Starter")</f>
        <v>Starter</v>
      </c>
      <c r="H610" s="265" t="str">
        <f>IFERROR(__xludf.DUMMYFUNCTION("""COMPUTED_VALUE"""),"Trả trước")</f>
        <v>Trả trước</v>
      </c>
      <c r="I610" s="265" t="str">
        <f>IFERROR(__xludf.DUMMYFUNCTION("""COMPUTED_VALUE"""),"API")</f>
        <v>API</v>
      </c>
      <c r="J610" s="265" t="str">
        <f>IFERROR(__xludf.DUMMYFUNCTION("""COMPUTED_VALUE"""),"Zalo ZNS")</f>
        <v>Zalo ZNS</v>
      </c>
      <c r="K610" s="265" t="str">
        <f>IFERROR(__xludf.DUMMYFUNCTION("""COMPUTED_VALUE"""),"LinhNTT1")</f>
        <v>LinhNTT1</v>
      </c>
    </row>
    <row r="611">
      <c r="A611" s="265" t="str">
        <f>IFERROR(__xludf.DUMMYFUNCTION("""COMPUTED_VALUE"""),"900")</f>
        <v>900</v>
      </c>
      <c r="B611" s="265" t="str">
        <f>IFERROR(__xludf.DUMMYFUNCTION("""COMPUTED_VALUE"""),"Hà Nội")</f>
        <v>Hà Nội</v>
      </c>
      <c r="C611" s="265" t="str">
        <f>IFERROR(__xludf.DUMMYFUNCTION("""COMPUTED_VALUE"""),"Active")</f>
        <v>Active</v>
      </c>
      <c r="D611" s="265" t="str">
        <f>IFERROR(__xludf.DUMMYFUNCTION("""COMPUTED_VALUE"""),"Sale chưa cung cấp")</f>
        <v>Sale chưa cung cấp</v>
      </c>
      <c r="E611" s="265" t="str">
        <f>IFERROR(__xludf.DUMMYFUNCTION("""COMPUTED_VALUE"""),"Không phân công")</f>
        <v>Không phân công</v>
      </c>
      <c r="F611" s="265" t="str">
        <f>IFERROR(__xludf.DUMMYFUNCTION("""COMPUTED_VALUE"""),"Sale chưa cung cấp")</f>
        <v>Sale chưa cung cấp</v>
      </c>
      <c r="G611" s="265" t="str">
        <f>IFERROR(__xludf.DUMMYFUNCTION("""COMPUTED_VALUE"""),"Starter")</f>
        <v>Starter</v>
      </c>
      <c r="H611" s="265" t="str">
        <f>IFERROR(__xludf.DUMMYFUNCTION("""COMPUTED_VALUE"""),"Trả sau")</f>
        <v>Trả sau</v>
      </c>
      <c r="I611" s="265" t="str">
        <f>IFERROR(__xludf.DUMMYFUNCTION("""COMPUTED_VALUE"""),"API &amp; Portal")</f>
        <v>API &amp; Portal</v>
      </c>
      <c r="J611" s="265" t="str">
        <f>IFERROR(__xludf.DUMMYFUNCTION("""COMPUTED_VALUE"""),"SMS CSKH")</f>
        <v>SMS CSKH</v>
      </c>
      <c r="K611" s="265" t="str">
        <f>IFERROR(__xludf.DUMMYFUNCTION("""COMPUTED_VALUE"""),"LinhNTT1")</f>
        <v>LinhNTT1</v>
      </c>
    </row>
    <row r="612">
      <c r="A612" s="265" t="str">
        <f>IFERROR(__xludf.DUMMYFUNCTION("""COMPUTED_VALUE"""),"902")</f>
        <v>902</v>
      </c>
      <c r="B612" s="265" t="str">
        <f>IFERROR(__xludf.DUMMYFUNCTION("""COMPUTED_VALUE"""),"Hà Nội")</f>
        <v>Hà Nội</v>
      </c>
      <c r="C612" s="265" t="str">
        <f>IFERROR(__xludf.DUMMYFUNCTION("""COMPUTED_VALUE"""),"Active")</f>
        <v>Active</v>
      </c>
      <c r="D612" s="265" t="str">
        <f>IFERROR(__xludf.DUMMYFUNCTION("""COMPUTED_VALUE"""),"Y tế &amp; Dược phẩm")</f>
        <v>Y tế &amp; Dược phẩm</v>
      </c>
      <c r="E612" s="265" t="str">
        <f>IFERROR(__xludf.DUMMYFUNCTION("""COMPUTED_VALUE"""),"TùngLD")</f>
        <v>TùngLD</v>
      </c>
      <c r="F612" s="265" t="str">
        <f>IFERROR(__xludf.DUMMYFUNCTION("""COMPUTED_VALUE"""),"Gold")</f>
        <v>Gold</v>
      </c>
      <c r="G612" s="265" t="str">
        <f>IFERROR(__xludf.DUMMYFUNCTION("""COMPUTED_VALUE"""),"Premium")</f>
        <v>Premium</v>
      </c>
      <c r="H612" s="265" t="str">
        <f>IFERROR(__xludf.DUMMYFUNCTION("""COMPUTED_VALUE"""),"Trả sau")</f>
        <v>Trả sau</v>
      </c>
      <c r="I612" s="265" t="str">
        <f>IFERROR(__xludf.DUMMYFUNCTION("""COMPUTED_VALUE"""),"API &amp; Portal")</f>
        <v>API &amp; Portal</v>
      </c>
      <c r="J612" s="265" t="str">
        <f>IFERROR(__xludf.DUMMYFUNCTION("""COMPUTED_VALUE"""),"Zalo ZNS")</f>
        <v>Zalo ZNS</v>
      </c>
      <c r="K612" s="265" t="str">
        <f>IFERROR(__xludf.DUMMYFUNCTION("""COMPUTED_VALUE"""),"LinhNTT1")</f>
        <v>LinhNTT1</v>
      </c>
    </row>
    <row r="613">
      <c r="A613" s="265" t="str">
        <f>IFERROR(__xludf.DUMMYFUNCTION("""COMPUTED_VALUE"""),"901")</f>
        <v>901</v>
      </c>
      <c r="B613" s="265" t="str">
        <f>IFERROR(__xludf.DUMMYFUNCTION("""COMPUTED_VALUE"""),"Hà Nội")</f>
        <v>Hà Nội</v>
      </c>
      <c r="C613" s="265" t="str">
        <f>IFERROR(__xludf.DUMMYFUNCTION("""COMPUTED_VALUE"""),"Locked")</f>
        <v>Locked</v>
      </c>
      <c r="D613" s="265" t="str">
        <f>IFERROR(__xludf.DUMMYFUNCTION("""COMPUTED_VALUE"""),"Sale chưa cung cấp")</f>
        <v>Sale chưa cung cấp</v>
      </c>
      <c r="E613" s="265" t="str">
        <f>IFERROR(__xludf.DUMMYFUNCTION("""COMPUTED_VALUE"""),"PhươngDTB")</f>
        <v>PhươngDTB</v>
      </c>
      <c r="F613" s="265" t="str">
        <f>IFERROR(__xludf.DUMMYFUNCTION("""COMPUTED_VALUE"""),"Sale chưa cung cấp")</f>
        <v>Sale chưa cung cấp</v>
      </c>
      <c r="G613" s="265" t="str">
        <f>IFERROR(__xludf.DUMMYFUNCTION("""COMPUTED_VALUE"""),"Enterprise")</f>
        <v>Enterprise</v>
      </c>
      <c r="H613" s="265" t="str">
        <f>IFERROR(__xludf.DUMMYFUNCTION("""COMPUTED_VALUE"""),"Trial")</f>
        <v>Trial</v>
      </c>
      <c r="I613" s="265" t="str">
        <f>IFERROR(__xludf.DUMMYFUNCTION("""COMPUTED_VALUE"""),"API")</f>
        <v>API</v>
      </c>
      <c r="J613" s="265" t="str">
        <f>IFERROR(__xludf.DUMMYFUNCTION("""COMPUTED_VALUE"""),"Zalo ZNS")</f>
        <v>Zalo ZNS</v>
      </c>
      <c r="K613" s="265" t="str">
        <f>IFERROR(__xludf.DUMMYFUNCTION("""COMPUTED_VALUE"""),"DungPL")</f>
        <v>DungPL</v>
      </c>
    </row>
    <row r="614">
      <c r="A614" s="265" t="str">
        <f>IFERROR(__xludf.DUMMYFUNCTION("""COMPUTED_VALUE"""),"903")</f>
        <v>903</v>
      </c>
      <c r="B614" s="265" t="str">
        <f>IFERROR(__xludf.DUMMYFUNCTION("""COMPUTED_VALUE"""),"Sài Gòn")</f>
        <v>Sài Gòn</v>
      </c>
      <c r="C614" s="265" t="str">
        <f>IFERROR(__xludf.DUMMYFUNCTION("""COMPUTED_VALUE"""),"Active")</f>
        <v>Active</v>
      </c>
      <c r="D614" s="265" t="str">
        <f>IFERROR(__xludf.DUMMYFUNCTION("""COMPUTED_VALUE"""),"Ô tô &amp; Xe máy")</f>
        <v>Ô tô &amp; Xe máy</v>
      </c>
      <c r="E614" s="265" t="str">
        <f>IFERROR(__xludf.DUMMYFUNCTION("""COMPUTED_VALUE"""),"AnhNM")</f>
        <v>AnhNM</v>
      </c>
      <c r="F614" s="265" t="str">
        <f>IFERROR(__xludf.DUMMYFUNCTION("""COMPUTED_VALUE"""),"Silver")</f>
        <v>Silver</v>
      </c>
      <c r="G614" s="265" t="str">
        <f>IFERROR(__xludf.DUMMYFUNCTION("""COMPUTED_VALUE"""),"Standard")</f>
        <v>Standard</v>
      </c>
      <c r="H614" s="265" t="str">
        <f>IFERROR(__xludf.DUMMYFUNCTION("""COMPUTED_VALUE"""),"Trả trước")</f>
        <v>Trả trước</v>
      </c>
      <c r="I614" s="265" t="str">
        <f>IFERROR(__xludf.DUMMYFUNCTION("""COMPUTED_VALUE"""),"Portal")</f>
        <v>Portal</v>
      </c>
      <c r="J614" s="265" t="str">
        <f>IFERROR(__xludf.DUMMYFUNCTION("""COMPUTED_VALUE"""),"Zalo ZNS")</f>
        <v>Zalo ZNS</v>
      </c>
      <c r="K614" s="265" t="str">
        <f>IFERROR(__xludf.DUMMYFUNCTION("""COMPUTED_VALUE"""),"LinhNTT1")</f>
        <v>LinhNTT1</v>
      </c>
    </row>
    <row r="615">
      <c r="A615" s="265" t="str">
        <f>IFERROR(__xludf.DUMMYFUNCTION("""COMPUTED_VALUE"""),"903")</f>
        <v>903</v>
      </c>
      <c r="B615" s="265" t="str">
        <f>IFERROR(__xludf.DUMMYFUNCTION("""COMPUTED_VALUE"""),"Sài Gòn")</f>
        <v>Sài Gòn</v>
      </c>
      <c r="C615" s="265" t="str">
        <f>IFERROR(__xludf.DUMMYFUNCTION("""COMPUTED_VALUE"""),"Active")</f>
        <v>Active</v>
      </c>
      <c r="D615" s="265" t="str">
        <f>IFERROR(__xludf.DUMMYFUNCTION("""COMPUTED_VALUE"""),"Ô tô &amp; Xe máy")</f>
        <v>Ô tô &amp; Xe máy</v>
      </c>
      <c r="E615" s="265" t="str">
        <f>IFERROR(__xludf.DUMMYFUNCTION("""COMPUTED_VALUE"""),"AnhNM")</f>
        <v>AnhNM</v>
      </c>
      <c r="F615" s="265" t="str">
        <f>IFERROR(__xludf.DUMMYFUNCTION("""COMPUTED_VALUE"""),"Silver")</f>
        <v>Silver</v>
      </c>
      <c r="G615" s="265" t="str">
        <f>IFERROR(__xludf.DUMMYFUNCTION("""COMPUTED_VALUE"""),"Standard")</f>
        <v>Standard</v>
      </c>
      <c r="H615" s="265" t="str">
        <f>IFERROR(__xludf.DUMMYFUNCTION("""COMPUTED_VALUE"""),"Trả trước")</f>
        <v>Trả trước</v>
      </c>
      <c r="I615" s="265" t="str">
        <f>IFERROR(__xludf.DUMMYFUNCTION("""COMPUTED_VALUE"""),"Portal")</f>
        <v>Portal</v>
      </c>
      <c r="J615" s="265" t="str">
        <f>IFERROR(__xludf.DUMMYFUNCTION("""COMPUTED_VALUE"""),"SMS CSKH")</f>
        <v>SMS CSKH</v>
      </c>
      <c r="K615" s="265" t="str">
        <f>IFERROR(__xludf.DUMMYFUNCTION("""COMPUTED_VALUE"""),"LinhNTT1")</f>
        <v>LinhNTT1</v>
      </c>
    </row>
    <row r="616">
      <c r="A616" s="265" t="str">
        <f>IFERROR(__xludf.DUMMYFUNCTION("""COMPUTED_VALUE"""),"903")</f>
        <v>903</v>
      </c>
      <c r="B616" s="265" t="str">
        <f>IFERROR(__xludf.DUMMYFUNCTION("""COMPUTED_VALUE"""),"Sài Gòn")</f>
        <v>Sài Gòn</v>
      </c>
      <c r="C616" s="265" t="str">
        <f>IFERROR(__xludf.DUMMYFUNCTION("""COMPUTED_VALUE"""),"Active")</f>
        <v>Active</v>
      </c>
      <c r="D616" s="265" t="str">
        <f>IFERROR(__xludf.DUMMYFUNCTION("""COMPUTED_VALUE"""),"Ô tô &amp; Xe máy")</f>
        <v>Ô tô &amp; Xe máy</v>
      </c>
      <c r="E616" s="265" t="str">
        <f>IFERROR(__xludf.DUMMYFUNCTION("""COMPUTED_VALUE"""),"AnhNM")</f>
        <v>AnhNM</v>
      </c>
      <c r="F616" s="265" t="str">
        <f>IFERROR(__xludf.DUMMYFUNCTION("""COMPUTED_VALUE"""),"Silver")</f>
        <v>Silver</v>
      </c>
      <c r="G616" s="265" t="str">
        <f>IFERROR(__xludf.DUMMYFUNCTION("""COMPUTED_VALUE"""),"Standard")</f>
        <v>Standard</v>
      </c>
      <c r="H616" s="265" t="str">
        <f>IFERROR(__xludf.DUMMYFUNCTION("""COMPUTED_VALUE"""),"Trả trước")</f>
        <v>Trả trước</v>
      </c>
      <c r="I616" s="265" t="str">
        <f>IFERROR(__xludf.DUMMYFUNCTION("""COMPUTED_VALUE"""),"Portal")</f>
        <v>Portal</v>
      </c>
      <c r="J616" s="265" t="str">
        <f>IFERROR(__xludf.DUMMYFUNCTION("""COMPUTED_VALUE"""),"SMS QC")</f>
        <v>SMS QC</v>
      </c>
      <c r="K616" s="265" t="str">
        <f>IFERROR(__xludf.DUMMYFUNCTION("""COMPUTED_VALUE"""),"LinhNTT1")</f>
        <v>LinhNTT1</v>
      </c>
    </row>
    <row r="617">
      <c r="A617" s="265" t="str">
        <f>IFERROR(__xludf.DUMMYFUNCTION("""COMPUTED_VALUE"""),"904")</f>
        <v>904</v>
      </c>
      <c r="B617" s="265" t="str">
        <f>IFERROR(__xludf.DUMMYFUNCTION("""COMPUTED_VALUE"""),"Hà Nội")</f>
        <v>Hà Nội</v>
      </c>
      <c r="C617" s="265" t="str">
        <f>IFERROR(__xludf.DUMMYFUNCTION("""COMPUTED_VALUE"""),"Active")</f>
        <v>Active</v>
      </c>
      <c r="D617" s="265" t="str">
        <f>IFERROR(__xludf.DUMMYFUNCTION("""COMPUTED_VALUE"""),"Y tế &amp; Dược phẩm")</f>
        <v>Y tế &amp; Dược phẩm</v>
      </c>
      <c r="E617" s="265" t="str">
        <f>IFERROR(__xludf.DUMMYFUNCTION("""COMPUTED_VALUE"""),"TùngLD")</f>
        <v>TùngLD</v>
      </c>
      <c r="F617" s="265" t="str">
        <f>IFERROR(__xludf.DUMMYFUNCTION("""COMPUTED_VALUE"""),"Gold")</f>
        <v>Gold</v>
      </c>
      <c r="G617" s="265" t="str">
        <f>IFERROR(__xludf.DUMMYFUNCTION("""COMPUTED_VALUE"""),"Premium")</f>
        <v>Premium</v>
      </c>
      <c r="H617" s="265" t="str">
        <f>IFERROR(__xludf.DUMMYFUNCTION("""COMPUTED_VALUE"""),"Trả sau")</f>
        <v>Trả sau</v>
      </c>
      <c r="I617" s="265" t="str">
        <f>IFERROR(__xludf.DUMMYFUNCTION("""COMPUTED_VALUE"""),"API &amp; Portal")</f>
        <v>API &amp; Portal</v>
      </c>
      <c r="J617" s="265" t="str">
        <f>IFERROR(__xludf.DUMMYFUNCTION("""COMPUTED_VALUE"""),"SMS CSKH")</f>
        <v>SMS CSKH</v>
      </c>
      <c r="K617" s="265" t="str">
        <f>IFERROR(__xludf.DUMMYFUNCTION("""COMPUTED_VALUE"""),"LinhNTT1")</f>
        <v>LinhNTT1</v>
      </c>
    </row>
    <row r="618">
      <c r="A618" s="265" t="str">
        <f>IFERROR(__xludf.DUMMYFUNCTION("""COMPUTED_VALUE"""),"904")</f>
        <v>904</v>
      </c>
      <c r="B618" s="265" t="str">
        <f>IFERROR(__xludf.DUMMYFUNCTION("""COMPUTED_VALUE"""),"Hà Nội")</f>
        <v>Hà Nội</v>
      </c>
      <c r="C618" s="265" t="str">
        <f>IFERROR(__xludf.DUMMYFUNCTION("""COMPUTED_VALUE"""),"Active")</f>
        <v>Active</v>
      </c>
      <c r="D618" s="265" t="str">
        <f>IFERROR(__xludf.DUMMYFUNCTION("""COMPUTED_VALUE"""),"Y tế &amp; Dược phẩm")</f>
        <v>Y tế &amp; Dược phẩm</v>
      </c>
      <c r="E618" s="265" t="str">
        <f>IFERROR(__xludf.DUMMYFUNCTION("""COMPUTED_VALUE"""),"TùngLD")</f>
        <v>TùngLD</v>
      </c>
      <c r="F618" s="265" t="str">
        <f>IFERROR(__xludf.DUMMYFUNCTION("""COMPUTED_VALUE"""),"Gold")</f>
        <v>Gold</v>
      </c>
      <c r="G618" s="265" t="str">
        <f>IFERROR(__xludf.DUMMYFUNCTION("""COMPUTED_VALUE"""),"Premium")</f>
        <v>Premium</v>
      </c>
      <c r="H618" s="265" t="str">
        <f>IFERROR(__xludf.DUMMYFUNCTION("""COMPUTED_VALUE"""),"Trả sau")</f>
        <v>Trả sau</v>
      </c>
      <c r="I618" s="265" t="str">
        <f>IFERROR(__xludf.DUMMYFUNCTION("""COMPUTED_VALUE"""),"API &amp; Portal")</f>
        <v>API &amp; Portal</v>
      </c>
      <c r="J618" s="265" t="str">
        <f>IFERROR(__xludf.DUMMYFUNCTION("""COMPUTED_VALUE"""),"Zalo ZNS")</f>
        <v>Zalo ZNS</v>
      </c>
      <c r="K618" s="265" t="str">
        <f>IFERROR(__xludf.DUMMYFUNCTION("""COMPUTED_VALUE"""),"LinhNTT1")</f>
        <v>LinhNTT1</v>
      </c>
    </row>
    <row r="619">
      <c r="A619" s="265" t="str">
        <f>IFERROR(__xludf.DUMMYFUNCTION("""COMPUTED_VALUE"""),"904")</f>
        <v>904</v>
      </c>
      <c r="B619" s="265" t="str">
        <f>IFERROR(__xludf.DUMMYFUNCTION("""COMPUTED_VALUE"""),"Hà Nội")</f>
        <v>Hà Nội</v>
      </c>
      <c r="C619" s="265" t="str">
        <f>IFERROR(__xludf.DUMMYFUNCTION("""COMPUTED_VALUE"""),"Active")</f>
        <v>Active</v>
      </c>
      <c r="D619" s="265" t="str">
        <f>IFERROR(__xludf.DUMMYFUNCTION("""COMPUTED_VALUE"""),"Y tế &amp; Dược phẩm")</f>
        <v>Y tế &amp; Dược phẩm</v>
      </c>
      <c r="E619" s="265" t="str">
        <f>IFERROR(__xludf.DUMMYFUNCTION("""COMPUTED_VALUE"""),"TùngLD")</f>
        <v>TùngLD</v>
      </c>
      <c r="F619" s="265" t="str">
        <f>IFERROR(__xludf.DUMMYFUNCTION("""COMPUTED_VALUE"""),"Gold")</f>
        <v>Gold</v>
      </c>
      <c r="G619" s="265" t="str">
        <f>IFERROR(__xludf.DUMMYFUNCTION("""COMPUTED_VALUE"""),"Premium")</f>
        <v>Premium</v>
      </c>
      <c r="H619" s="265" t="str">
        <f>IFERROR(__xludf.DUMMYFUNCTION("""COMPUTED_VALUE"""),"Trả sau")</f>
        <v>Trả sau</v>
      </c>
      <c r="I619" s="265" t="str">
        <f>IFERROR(__xludf.DUMMYFUNCTION("""COMPUTED_VALUE"""),"API &amp; Portal")</f>
        <v>API &amp; Portal</v>
      </c>
      <c r="J619" s="265" t="str">
        <f>IFERROR(__xludf.DUMMYFUNCTION("""COMPUTED_VALUE"""),"Zalo UID")</f>
        <v>Zalo UID</v>
      </c>
      <c r="K619" s="265" t="str">
        <f>IFERROR(__xludf.DUMMYFUNCTION("""COMPUTED_VALUE"""),"LinhNTT1")</f>
        <v>LinhNTT1</v>
      </c>
    </row>
    <row r="620">
      <c r="A620" s="265" t="str">
        <f>IFERROR(__xludf.DUMMYFUNCTION("""COMPUTED_VALUE"""),"905")</f>
        <v>905</v>
      </c>
      <c r="B620" s="265" t="str">
        <f>IFERROR(__xludf.DUMMYFUNCTION("""COMPUTED_VALUE"""),"Hà Nội")</f>
        <v>Hà Nội</v>
      </c>
      <c r="C620" s="265" t="str">
        <f>IFERROR(__xludf.DUMMYFUNCTION("""COMPUTED_VALUE"""),"Locked")</f>
        <v>Locked</v>
      </c>
      <c r="D620" s="265" t="str">
        <f>IFERROR(__xludf.DUMMYFUNCTION("""COMPUTED_VALUE"""),"Ô tô &amp; Xe máy")</f>
        <v>Ô tô &amp; Xe máy</v>
      </c>
      <c r="E620" s="265" t="str">
        <f>IFERROR(__xludf.DUMMYFUNCTION("""COMPUTED_VALUE"""),"TùngLD")</f>
        <v>TùngLD</v>
      </c>
      <c r="F620" s="265" t="str">
        <f>IFERROR(__xludf.DUMMYFUNCTION("""COMPUTED_VALUE"""),"Sale chưa cung cấp")</f>
        <v>Sale chưa cung cấp</v>
      </c>
      <c r="G620" s="265" t="str">
        <f>IFERROR(__xludf.DUMMYFUNCTION("""COMPUTED_VALUE"""),"Starter")</f>
        <v>Starter</v>
      </c>
      <c r="H620" s="265" t="str">
        <f>IFERROR(__xludf.DUMMYFUNCTION("""COMPUTED_VALUE"""),"Trả sau")</f>
        <v>Trả sau</v>
      </c>
      <c r="I620" s="265" t="str">
        <f>IFERROR(__xludf.DUMMYFUNCTION("""COMPUTED_VALUE"""),"API")</f>
        <v>API</v>
      </c>
      <c r="J620" s="265" t="str">
        <f>IFERROR(__xludf.DUMMYFUNCTION("""COMPUTED_VALUE"""),"Zalo ZNS")</f>
        <v>Zalo ZNS</v>
      </c>
      <c r="K620" s="265" t="str">
        <f>IFERROR(__xludf.DUMMYFUNCTION("""COMPUTED_VALUE"""),"LinhNTT1")</f>
        <v>LinhNTT1</v>
      </c>
    </row>
    <row r="621">
      <c r="A621" s="265" t="str">
        <f>IFERROR(__xludf.DUMMYFUNCTION("""COMPUTED_VALUE"""),"907")</f>
        <v>907</v>
      </c>
      <c r="B621" s="265" t="str">
        <f>IFERROR(__xludf.DUMMYFUNCTION("""COMPUTED_VALUE"""),"Hà Nội")</f>
        <v>Hà Nội</v>
      </c>
      <c r="C621" s="265" t="str">
        <f>IFERROR(__xludf.DUMMYFUNCTION("""COMPUTED_VALUE"""),"Locked")</f>
        <v>Locked</v>
      </c>
      <c r="D621" s="265" t="str">
        <f>IFERROR(__xludf.DUMMYFUNCTION("""COMPUTED_VALUE"""),"Sale chưa cung cấp")</f>
        <v>Sale chưa cung cấp</v>
      </c>
      <c r="E621" s="265" t="str">
        <f>IFERROR(__xludf.DUMMYFUNCTION("""COMPUTED_VALUE"""),"PhươngDTB")</f>
        <v>PhươngDTB</v>
      </c>
      <c r="F621" s="265" t="str">
        <f>IFERROR(__xludf.DUMMYFUNCTION("""COMPUTED_VALUE"""),"Sale chưa cung cấp")</f>
        <v>Sale chưa cung cấp</v>
      </c>
      <c r="G621" s="265" t="str">
        <f>IFERROR(__xludf.DUMMYFUNCTION("""COMPUTED_VALUE"""),"Premium")</f>
        <v>Premium</v>
      </c>
      <c r="H621" s="265" t="str">
        <f>IFERROR(__xludf.DUMMYFUNCTION("""COMPUTED_VALUE"""),"Trial")</f>
        <v>Trial</v>
      </c>
      <c r="I621" s="265" t="str">
        <f>IFERROR(__xludf.DUMMYFUNCTION("""COMPUTED_VALUE"""),"API")</f>
        <v>API</v>
      </c>
      <c r="J621" s="265" t="str">
        <f>IFERROR(__xludf.DUMMYFUNCTION("""COMPUTED_VALUE"""),"Zalo ZNS")</f>
        <v>Zalo ZNS</v>
      </c>
      <c r="K621" s="265" t="str">
        <f>IFERROR(__xludf.DUMMYFUNCTION("""COMPUTED_VALUE"""),"LinhNTT1")</f>
        <v>LinhNTT1</v>
      </c>
    </row>
    <row r="622">
      <c r="A622" s="265" t="str">
        <f>IFERROR(__xludf.DUMMYFUNCTION("""COMPUTED_VALUE"""),"914")</f>
        <v>914</v>
      </c>
      <c r="B622" s="265" t="str">
        <f>IFERROR(__xludf.DUMMYFUNCTION("""COMPUTED_VALUE"""),"Sài Gòn")</f>
        <v>Sài Gòn</v>
      </c>
      <c r="C622" s="265" t="str">
        <f>IFERROR(__xludf.DUMMYFUNCTION("""COMPUTED_VALUE"""),"Locked")</f>
        <v>Locked</v>
      </c>
      <c r="D622" s="265" t="str">
        <f>IFERROR(__xludf.DUMMYFUNCTION("""COMPUTED_VALUE"""),"Dịch vụ khác")</f>
        <v>Dịch vụ khác</v>
      </c>
      <c r="E622" s="265" t="str">
        <f>IFERROR(__xludf.DUMMYFUNCTION("""COMPUTED_VALUE"""),"AnhNM")</f>
        <v>AnhNM</v>
      </c>
      <c r="F622" s="265" t="str">
        <f>IFERROR(__xludf.DUMMYFUNCTION("""COMPUTED_VALUE"""),"Gold")</f>
        <v>Gold</v>
      </c>
      <c r="G622" s="265" t="str">
        <f>IFERROR(__xludf.DUMMYFUNCTION("""COMPUTED_VALUE"""),"Standard")</f>
        <v>Standard</v>
      </c>
      <c r="H622" s="265" t="str">
        <f>IFERROR(__xludf.DUMMYFUNCTION("""COMPUTED_VALUE"""),"Trả sau")</f>
        <v>Trả sau</v>
      </c>
      <c r="I622" s="265" t="str">
        <f>IFERROR(__xludf.DUMMYFUNCTION("""COMPUTED_VALUE"""),"API &amp; Portal")</f>
        <v>API &amp; Portal</v>
      </c>
      <c r="J622" s="265" t="str">
        <f>IFERROR(__xludf.DUMMYFUNCTION("""COMPUTED_VALUE"""),"SMS CSKH")</f>
        <v>SMS CSKH</v>
      </c>
      <c r="K622" s="265" t="str">
        <f>IFERROR(__xludf.DUMMYFUNCTION("""COMPUTED_VALUE"""),"DungVT, LinhNTT1")</f>
        <v>DungVT, LinhNTT1</v>
      </c>
    </row>
    <row r="623">
      <c r="A623" s="265" t="str">
        <f>IFERROR(__xludf.DUMMYFUNCTION("""COMPUTED_VALUE"""),"914")</f>
        <v>914</v>
      </c>
      <c r="B623" s="265" t="str">
        <f>IFERROR(__xludf.DUMMYFUNCTION("""COMPUTED_VALUE"""),"Sài Gòn")</f>
        <v>Sài Gòn</v>
      </c>
      <c r="C623" s="265" t="str">
        <f>IFERROR(__xludf.DUMMYFUNCTION("""COMPUTED_VALUE"""),"Locked")</f>
        <v>Locked</v>
      </c>
      <c r="D623" s="265" t="str">
        <f>IFERROR(__xludf.DUMMYFUNCTION("""COMPUTED_VALUE"""),"Dịch vụ khác")</f>
        <v>Dịch vụ khác</v>
      </c>
      <c r="E623" s="265" t="str">
        <f>IFERROR(__xludf.DUMMYFUNCTION("""COMPUTED_VALUE"""),"AnhNM")</f>
        <v>AnhNM</v>
      </c>
      <c r="F623" s="265" t="str">
        <f>IFERROR(__xludf.DUMMYFUNCTION("""COMPUTED_VALUE"""),"Gold")</f>
        <v>Gold</v>
      </c>
      <c r="G623" s="265" t="str">
        <f>IFERROR(__xludf.DUMMYFUNCTION("""COMPUTED_VALUE"""),"Standard")</f>
        <v>Standard</v>
      </c>
      <c r="H623" s="265" t="str">
        <f>IFERROR(__xludf.DUMMYFUNCTION("""COMPUTED_VALUE"""),"Trả sau")</f>
        <v>Trả sau</v>
      </c>
      <c r="I623" s="265" t="str">
        <f>IFERROR(__xludf.DUMMYFUNCTION("""COMPUTED_VALUE"""),"API &amp; Portal")</f>
        <v>API &amp; Portal</v>
      </c>
      <c r="J623" s="265" t="str">
        <f>IFERROR(__xludf.DUMMYFUNCTION("""COMPUTED_VALUE"""),"SMS QC")</f>
        <v>SMS QC</v>
      </c>
      <c r="K623" s="265" t="str">
        <f>IFERROR(__xludf.DUMMYFUNCTION("""COMPUTED_VALUE"""),"DungVT, LinhNTT1")</f>
        <v>DungVT, LinhNTT1</v>
      </c>
    </row>
    <row r="624">
      <c r="A624" s="265" t="str">
        <f>IFERROR(__xludf.DUMMYFUNCTION("""COMPUTED_VALUE"""),"914")</f>
        <v>914</v>
      </c>
      <c r="B624" s="265" t="str">
        <f>IFERROR(__xludf.DUMMYFUNCTION("""COMPUTED_VALUE"""),"Sài Gòn")</f>
        <v>Sài Gòn</v>
      </c>
      <c r="C624" s="265" t="str">
        <f>IFERROR(__xludf.DUMMYFUNCTION("""COMPUTED_VALUE"""),"Locked")</f>
        <v>Locked</v>
      </c>
      <c r="D624" s="265" t="str">
        <f>IFERROR(__xludf.DUMMYFUNCTION("""COMPUTED_VALUE"""),"Dịch vụ khác")</f>
        <v>Dịch vụ khác</v>
      </c>
      <c r="E624" s="265" t="str">
        <f>IFERROR(__xludf.DUMMYFUNCTION("""COMPUTED_VALUE"""),"AnhNM")</f>
        <v>AnhNM</v>
      </c>
      <c r="F624" s="265" t="str">
        <f>IFERROR(__xludf.DUMMYFUNCTION("""COMPUTED_VALUE"""),"Gold")</f>
        <v>Gold</v>
      </c>
      <c r="G624" s="265" t="str">
        <f>IFERROR(__xludf.DUMMYFUNCTION("""COMPUTED_VALUE"""),"Standard")</f>
        <v>Standard</v>
      </c>
      <c r="H624" s="265" t="str">
        <f>IFERROR(__xludf.DUMMYFUNCTION("""COMPUTED_VALUE"""),"Trả sau")</f>
        <v>Trả sau</v>
      </c>
      <c r="I624" s="265" t="str">
        <f>IFERROR(__xludf.DUMMYFUNCTION("""COMPUTED_VALUE"""),"API &amp; Portal")</f>
        <v>API &amp; Portal</v>
      </c>
      <c r="J624" s="265" t="str">
        <f>IFERROR(__xludf.DUMMYFUNCTION("""COMPUTED_VALUE"""),"Zalo ZNS")</f>
        <v>Zalo ZNS</v>
      </c>
      <c r="K624" s="265" t="str">
        <f>IFERROR(__xludf.DUMMYFUNCTION("""COMPUTED_VALUE"""),"DungVT, LinhNTT1")</f>
        <v>DungVT, LinhNTT1</v>
      </c>
    </row>
    <row r="625">
      <c r="A625" s="265" t="str">
        <f>IFERROR(__xludf.DUMMYFUNCTION("""COMPUTED_VALUE"""),"914")</f>
        <v>914</v>
      </c>
      <c r="B625" s="265" t="str">
        <f>IFERROR(__xludf.DUMMYFUNCTION("""COMPUTED_VALUE"""),"Sài Gòn")</f>
        <v>Sài Gòn</v>
      </c>
      <c r="C625" s="265" t="str">
        <f>IFERROR(__xludf.DUMMYFUNCTION("""COMPUTED_VALUE"""),"Locked")</f>
        <v>Locked</v>
      </c>
      <c r="D625" s="265" t="str">
        <f>IFERROR(__xludf.DUMMYFUNCTION("""COMPUTED_VALUE"""),"Dịch vụ khác")</f>
        <v>Dịch vụ khác</v>
      </c>
      <c r="E625" s="265" t="str">
        <f>IFERROR(__xludf.DUMMYFUNCTION("""COMPUTED_VALUE"""),"AnhNM")</f>
        <v>AnhNM</v>
      </c>
      <c r="F625" s="265" t="str">
        <f>IFERROR(__xludf.DUMMYFUNCTION("""COMPUTED_VALUE"""),"Gold")</f>
        <v>Gold</v>
      </c>
      <c r="G625" s="265" t="str">
        <f>IFERROR(__xludf.DUMMYFUNCTION("""COMPUTED_VALUE"""),"Standard")</f>
        <v>Standard</v>
      </c>
      <c r="H625" s="265" t="str">
        <f>IFERROR(__xludf.DUMMYFUNCTION("""COMPUTED_VALUE"""),"Trả sau")</f>
        <v>Trả sau</v>
      </c>
      <c r="I625" s="265" t="str">
        <f>IFERROR(__xludf.DUMMYFUNCTION("""COMPUTED_VALUE"""),"API &amp; Portal")</f>
        <v>API &amp; Portal</v>
      </c>
      <c r="J625" s="265" t="str">
        <f>IFERROR(__xludf.DUMMYFUNCTION("""COMPUTED_VALUE"""),"Viber")</f>
        <v>Viber</v>
      </c>
      <c r="K625" s="265" t="str">
        <f>IFERROR(__xludf.DUMMYFUNCTION("""COMPUTED_VALUE"""),"DungVT, LinhNTT1")</f>
        <v>DungVT, LinhNTT1</v>
      </c>
    </row>
    <row r="626">
      <c r="A626" s="265" t="str">
        <f>IFERROR(__xludf.DUMMYFUNCTION("""COMPUTED_VALUE"""),"914")</f>
        <v>914</v>
      </c>
      <c r="B626" s="265" t="str">
        <f>IFERROR(__xludf.DUMMYFUNCTION("""COMPUTED_VALUE"""),"Sài Gòn")</f>
        <v>Sài Gòn</v>
      </c>
      <c r="C626" s="265" t="str">
        <f>IFERROR(__xludf.DUMMYFUNCTION("""COMPUTED_VALUE"""),"Locked")</f>
        <v>Locked</v>
      </c>
      <c r="D626" s="265" t="str">
        <f>IFERROR(__xludf.DUMMYFUNCTION("""COMPUTED_VALUE"""),"Dịch vụ khác")</f>
        <v>Dịch vụ khác</v>
      </c>
      <c r="E626" s="265" t="str">
        <f>IFERROR(__xludf.DUMMYFUNCTION("""COMPUTED_VALUE"""),"AnhNM")</f>
        <v>AnhNM</v>
      </c>
      <c r="F626" s="265" t="str">
        <f>IFERROR(__xludf.DUMMYFUNCTION("""COMPUTED_VALUE"""),"Gold")</f>
        <v>Gold</v>
      </c>
      <c r="G626" s="265" t="str">
        <f>IFERROR(__xludf.DUMMYFUNCTION("""COMPUTED_VALUE"""),"Standard")</f>
        <v>Standard</v>
      </c>
      <c r="H626" s="265" t="str">
        <f>IFERROR(__xludf.DUMMYFUNCTION("""COMPUTED_VALUE"""),"Trả sau")</f>
        <v>Trả sau</v>
      </c>
      <c r="I626" s="265" t="str">
        <f>IFERROR(__xludf.DUMMYFUNCTION("""COMPUTED_VALUE"""),"API &amp; Portal")</f>
        <v>API &amp; Portal</v>
      </c>
      <c r="J626" s="265" t="str">
        <f>IFERROR(__xludf.DUMMYFUNCTION("""COMPUTED_VALUE"""),"Email")</f>
        <v>Email</v>
      </c>
      <c r="K626" s="265" t="str">
        <f>IFERROR(__xludf.DUMMYFUNCTION("""COMPUTED_VALUE"""),"DungVT, LinhNTT1")</f>
        <v>DungVT, LinhNTT1</v>
      </c>
    </row>
    <row r="627">
      <c r="A627" s="265" t="str">
        <f>IFERROR(__xludf.DUMMYFUNCTION("""COMPUTED_VALUE"""),"906")</f>
        <v>906</v>
      </c>
      <c r="B627" s="265" t="str">
        <f>IFERROR(__xludf.DUMMYFUNCTION("""COMPUTED_VALUE"""),"Hà Nội")</f>
        <v>Hà Nội</v>
      </c>
      <c r="C627" s="265" t="str">
        <f>IFERROR(__xludf.DUMMYFUNCTION("""COMPUTED_VALUE"""),"Active")</f>
        <v>Active</v>
      </c>
      <c r="D627" s="265" t="str">
        <f>IFERROR(__xludf.DUMMYFUNCTION("""COMPUTED_VALUE"""),"Công nghệ &amp; Phần mềm")</f>
        <v>Công nghệ &amp; Phần mềm</v>
      </c>
      <c r="E627" s="265" t="str">
        <f>IFERROR(__xludf.DUMMYFUNCTION("""COMPUTED_VALUE"""),"Không phân công")</f>
        <v>Không phân công</v>
      </c>
      <c r="F627" s="265" t="str">
        <f>IFERROR(__xludf.DUMMYFUNCTION("""COMPUTED_VALUE"""),"Bronze")</f>
        <v>Bronze</v>
      </c>
      <c r="G627" s="265" t="str">
        <f>IFERROR(__xludf.DUMMYFUNCTION("""COMPUTED_VALUE"""),"Starter")</f>
        <v>Starter</v>
      </c>
      <c r="H627" s="265" t="str">
        <f>IFERROR(__xludf.DUMMYFUNCTION("""COMPUTED_VALUE"""),"Trả sau")</f>
        <v>Trả sau</v>
      </c>
      <c r="I627" s="265" t="str">
        <f>IFERROR(__xludf.DUMMYFUNCTION("""COMPUTED_VALUE"""),"API &amp; Portal")</f>
        <v>API &amp; Portal</v>
      </c>
      <c r="J627" s="265" t="str">
        <f>IFERROR(__xludf.DUMMYFUNCTION("""COMPUTED_VALUE"""),"SMS CSKH")</f>
        <v>SMS CSKH</v>
      </c>
      <c r="K627" s="265" t="str">
        <f>IFERROR(__xludf.DUMMYFUNCTION("""COMPUTED_VALUE"""),"DungPL")</f>
        <v>DungPL</v>
      </c>
    </row>
    <row r="628">
      <c r="A628" s="265" t="str">
        <f>IFERROR(__xludf.DUMMYFUNCTION("""COMPUTED_VALUE"""),"908")</f>
        <v>908</v>
      </c>
      <c r="B628" s="265" t="str">
        <f>IFERROR(__xludf.DUMMYFUNCTION("""COMPUTED_VALUE"""),"Sài Gòn")</f>
        <v>Sài Gòn</v>
      </c>
      <c r="C628" s="265" t="str">
        <f>IFERROR(__xludf.DUMMYFUNCTION("""COMPUTED_VALUE"""),"Locked")</f>
        <v>Locked</v>
      </c>
      <c r="D628" s="265" t="str">
        <f>IFERROR(__xludf.DUMMYFUNCTION("""COMPUTED_VALUE"""),"Công nghệ &amp; Phần mềm")</f>
        <v>Công nghệ &amp; Phần mềm</v>
      </c>
      <c r="E628" s="265" t="str">
        <f>IFERROR(__xludf.DUMMYFUNCTION("""COMPUTED_VALUE"""),"TúPHN")</f>
        <v>TúPHN</v>
      </c>
      <c r="F628" s="265" t="str">
        <f>IFERROR(__xludf.DUMMYFUNCTION("""COMPUTED_VALUE"""),"Gold")</f>
        <v>Gold</v>
      </c>
      <c r="G628" s="265" t="str">
        <f>IFERROR(__xludf.DUMMYFUNCTION("""COMPUTED_VALUE"""),"Standard")</f>
        <v>Standard</v>
      </c>
      <c r="H628" s="265" t="str">
        <f>IFERROR(__xludf.DUMMYFUNCTION("""COMPUTED_VALUE"""),"Trial")</f>
        <v>Trial</v>
      </c>
      <c r="I628" s="265" t="str">
        <f>IFERROR(__xludf.DUMMYFUNCTION("""COMPUTED_VALUE"""),"Portal")</f>
        <v>Portal</v>
      </c>
      <c r="J628" s="265" t="str">
        <f>IFERROR(__xludf.DUMMYFUNCTION("""COMPUTED_VALUE"""),"Tất cả")</f>
        <v>Tất cả</v>
      </c>
      <c r="K628" s="265" t="str">
        <f>IFERROR(__xludf.DUMMYFUNCTION("""COMPUTED_VALUE"""),"Không phân công")</f>
        <v>Không phân công</v>
      </c>
    </row>
    <row r="629">
      <c r="A629" s="265" t="str">
        <f>IFERROR(__xludf.DUMMYFUNCTION("""COMPUTED_VALUE"""),"909")</f>
        <v>909</v>
      </c>
      <c r="B629" s="265" t="str">
        <f>IFERROR(__xludf.DUMMYFUNCTION("""COMPUTED_VALUE"""),"Sài Gòn")</f>
        <v>Sài Gòn</v>
      </c>
      <c r="C629" s="265" t="str">
        <f>IFERROR(__xludf.DUMMYFUNCTION("""COMPUTED_VALUE"""),"Locked")</f>
        <v>Locked</v>
      </c>
      <c r="D629" s="265" t="str">
        <f>IFERROR(__xludf.DUMMYFUNCTION("""COMPUTED_VALUE"""),"Dịch vụ khác")</f>
        <v>Dịch vụ khác</v>
      </c>
      <c r="E629" s="265" t="str">
        <f>IFERROR(__xludf.DUMMYFUNCTION("""COMPUTED_VALUE"""),"AnhNM")</f>
        <v>AnhNM</v>
      </c>
      <c r="F629" s="265" t="str">
        <f>IFERROR(__xludf.DUMMYFUNCTION("""COMPUTED_VALUE"""),"Sale chưa cung cấp")</f>
        <v>Sale chưa cung cấp</v>
      </c>
      <c r="G629" s="265" t="str">
        <f>IFERROR(__xludf.DUMMYFUNCTION("""COMPUTED_VALUE"""),"Premium")</f>
        <v>Premium</v>
      </c>
      <c r="H629" s="265" t="str">
        <f>IFERROR(__xludf.DUMMYFUNCTION("""COMPUTED_VALUE"""),"Trial")</f>
        <v>Trial</v>
      </c>
      <c r="I629" s="265" t="str">
        <f>IFERROR(__xludf.DUMMYFUNCTION("""COMPUTED_VALUE"""),"API &amp; Portal")</f>
        <v>API &amp; Portal</v>
      </c>
      <c r="J629" s="265" t="str">
        <f>IFERROR(__xludf.DUMMYFUNCTION("""COMPUTED_VALUE"""),"SMS CSKH")</f>
        <v>SMS CSKH</v>
      </c>
      <c r="K629" s="265" t="str">
        <f>IFERROR(__xludf.DUMMYFUNCTION("""COMPUTED_VALUE"""),"Không phân công")</f>
        <v>Không phân công</v>
      </c>
    </row>
    <row r="630">
      <c r="A630" s="265" t="str">
        <f>IFERROR(__xludf.DUMMYFUNCTION("""COMPUTED_VALUE"""),"909")</f>
        <v>909</v>
      </c>
      <c r="B630" s="265" t="str">
        <f>IFERROR(__xludf.DUMMYFUNCTION("""COMPUTED_VALUE"""),"Sài Gòn")</f>
        <v>Sài Gòn</v>
      </c>
      <c r="C630" s="265" t="str">
        <f>IFERROR(__xludf.DUMMYFUNCTION("""COMPUTED_VALUE"""),"Locked")</f>
        <v>Locked</v>
      </c>
      <c r="D630" s="265" t="str">
        <f>IFERROR(__xludf.DUMMYFUNCTION("""COMPUTED_VALUE"""),"Dịch vụ khác")</f>
        <v>Dịch vụ khác</v>
      </c>
      <c r="E630" s="265" t="str">
        <f>IFERROR(__xludf.DUMMYFUNCTION("""COMPUTED_VALUE"""),"AnhNM")</f>
        <v>AnhNM</v>
      </c>
      <c r="F630" s="265" t="str">
        <f>IFERROR(__xludf.DUMMYFUNCTION("""COMPUTED_VALUE"""),"Sale chưa cung cấp")</f>
        <v>Sale chưa cung cấp</v>
      </c>
      <c r="G630" s="265" t="str">
        <f>IFERROR(__xludf.DUMMYFUNCTION("""COMPUTED_VALUE"""),"Premium")</f>
        <v>Premium</v>
      </c>
      <c r="H630" s="265" t="str">
        <f>IFERROR(__xludf.DUMMYFUNCTION("""COMPUTED_VALUE"""),"Trial")</f>
        <v>Trial</v>
      </c>
      <c r="I630" s="265" t="str">
        <f>IFERROR(__xludf.DUMMYFUNCTION("""COMPUTED_VALUE"""),"API &amp; Portal")</f>
        <v>API &amp; Portal</v>
      </c>
      <c r="J630" s="265" t="str">
        <f>IFERROR(__xludf.DUMMYFUNCTION("""COMPUTED_VALUE"""),"Zalo ZNS")</f>
        <v>Zalo ZNS</v>
      </c>
      <c r="K630" s="265" t="str">
        <f>IFERROR(__xludf.DUMMYFUNCTION("""COMPUTED_VALUE"""),"Không phân công")</f>
        <v>Không phân công</v>
      </c>
    </row>
    <row r="631">
      <c r="A631" s="265" t="str">
        <f>IFERROR(__xludf.DUMMYFUNCTION("""COMPUTED_VALUE"""),"911")</f>
        <v>911</v>
      </c>
      <c r="B631" s="265" t="str">
        <f>IFERROR(__xludf.DUMMYFUNCTION("""COMPUTED_VALUE"""),"Sài Gòn")</f>
        <v>Sài Gòn</v>
      </c>
      <c r="C631" s="265" t="str">
        <f>IFERROR(__xludf.DUMMYFUNCTION("""COMPUTED_VALUE"""),"Locked")</f>
        <v>Locked</v>
      </c>
      <c r="D631" s="265" t="str">
        <f>IFERROR(__xludf.DUMMYFUNCTION("""COMPUTED_VALUE"""),"Thực phẩm &amp; Đồ uống")</f>
        <v>Thực phẩm &amp; Đồ uống</v>
      </c>
      <c r="E631" s="265" t="str">
        <f>IFERROR(__xludf.DUMMYFUNCTION("""COMPUTED_VALUE"""),"HoaNTM")</f>
        <v>HoaNTM</v>
      </c>
      <c r="F631" s="265" t="str">
        <f>IFERROR(__xludf.DUMMYFUNCTION("""COMPUTED_VALUE"""),"Sale chưa cung cấp")</f>
        <v>Sale chưa cung cấp</v>
      </c>
      <c r="G631" s="265" t="str">
        <f>IFERROR(__xludf.DUMMYFUNCTION("""COMPUTED_VALUE"""),"Premium")</f>
        <v>Premium</v>
      </c>
      <c r="H631" s="265" t="str">
        <f>IFERROR(__xludf.DUMMYFUNCTION("""COMPUTED_VALUE"""),"Trả trước")</f>
        <v>Trả trước</v>
      </c>
      <c r="I631" s="265" t="str">
        <f>IFERROR(__xludf.DUMMYFUNCTION("""COMPUTED_VALUE"""),"Portal")</f>
        <v>Portal</v>
      </c>
      <c r="J631" s="265" t="str">
        <f>IFERROR(__xludf.DUMMYFUNCTION("""COMPUTED_VALUE"""),"Zalo ZNS")</f>
        <v>Zalo ZNS</v>
      </c>
      <c r="K631" s="265" t="str">
        <f>IFERROR(__xludf.DUMMYFUNCTION("""COMPUTED_VALUE"""),"YếnĐH")</f>
        <v>YếnĐH</v>
      </c>
    </row>
    <row r="632">
      <c r="A632" s="265" t="str">
        <f>IFERROR(__xludf.DUMMYFUNCTION("""COMPUTED_VALUE"""),"912")</f>
        <v>912</v>
      </c>
      <c r="B632" s="265" t="str">
        <f>IFERROR(__xludf.DUMMYFUNCTION("""COMPUTED_VALUE"""),"Sài Gòn")</f>
        <v>Sài Gòn</v>
      </c>
      <c r="C632" s="265" t="str">
        <f>IFERROR(__xludf.DUMMYFUNCTION("""COMPUTED_VALUE"""),"Locked")</f>
        <v>Locked</v>
      </c>
      <c r="D632" s="265" t="str">
        <f>IFERROR(__xludf.DUMMYFUNCTION("""COMPUTED_VALUE"""),"Truyền thông &amp; Giải trí")</f>
        <v>Truyền thông &amp; Giải trí</v>
      </c>
      <c r="E632" s="265" t="str">
        <f>IFERROR(__xludf.DUMMYFUNCTION("""COMPUTED_VALUE"""),"AnhNM")</f>
        <v>AnhNM</v>
      </c>
      <c r="F632" s="265" t="str">
        <f>IFERROR(__xludf.DUMMYFUNCTION("""COMPUTED_VALUE"""),"Sale chưa cung cấp")</f>
        <v>Sale chưa cung cấp</v>
      </c>
      <c r="G632" s="265" t="str">
        <f>IFERROR(__xludf.DUMMYFUNCTION("""COMPUTED_VALUE"""),"Standard")</f>
        <v>Standard</v>
      </c>
      <c r="H632" s="265" t="str">
        <f>IFERROR(__xludf.DUMMYFUNCTION("""COMPUTED_VALUE"""),"Trial")</f>
        <v>Trial</v>
      </c>
      <c r="I632" s="265" t="str">
        <f>IFERROR(__xludf.DUMMYFUNCTION("""COMPUTED_VALUE"""),"API &amp; Portal")</f>
        <v>API &amp; Portal</v>
      </c>
      <c r="J632" s="265" t="str">
        <f>IFERROR(__xludf.DUMMYFUNCTION("""COMPUTED_VALUE"""),"Tất cả")</f>
        <v>Tất cả</v>
      </c>
      <c r="K632" s="265" t="str">
        <f>IFERROR(__xludf.DUMMYFUNCTION("""COMPUTED_VALUE"""),"Không phân công")</f>
        <v>Không phân công</v>
      </c>
    </row>
    <row r="633">
      <c r="A633" s="265" t="str">
        <f>IFERROR(__xludf.DUMMYFUNCTION("""COMPUTED_VALUE"""),"913")</f>
        <v>913</v>
      </c>
      <c r="B633" s="265" t="str">
        <f>IFERROR(__xludf.DUMMYFUNCTION("""COMPUTED_VALUE"""),"Hà Nội")</f>
        <v>Hà Nội</v>
      </c>
      <c r="C633" s="265" t="str">
        <f>IFERROR(__xludf.DUMMYFUNCTION("""COMPUTED_VALUE"""),"Locked")</f>
        <v>Locked</v>
      </c>
      <c r="D633" s="265" t="str">
        <f>IFERROR(__xludf.DUMMYFUNCTION("""COMPUTED_VALUE"""),"Công nghệ &amp; Phần mềm")</f>
        <v>Công nghệ &amp; Phần mềm</v>
      </c>
      <c r="E633" s="265" t="str">
        <f>IFERROR(__xludf.DUMMYFUNCTION("""COMPUTED_VALUE"""),"AnhNM")</f>
        <v>AnhNM</v>
      </c>
      <c r="F633" s="265" t="str">
        <f>IFERROR(__xludf.DUMMYFUNCTION("""COMPUTED_VALUE"""),"Sale chưa cung cấp")</f>
        <v>Sale chưa cung cấp</v>
      </c>
      <c r="G633" s="265" t="str">
        <f>IFERROR(__xludf.DUMMYFUNCTION("""COMPUTED_VALUE"""),"Premium")</f>
        <v>Premium</v>
      </c>
      <c r="H633" s="265" t="str">
        <f>IFERROR(__xludf.DUMMYFUNCTION("""COMPUTED_VALUE"""),"Trial")</f>
        <v>Trial</v>
      </c>
      <c r="I633" s="265" t="str">
        <f>IFERROR(__xludf.DUMMYFUNCTION("""COMPUTED_VALUE"""),"API &amp; Portal")</f>
        <v>API &amp; Portal</v>
      </c>
      <c r="J633" s="265" t="str">
        <f>IFERROR(__xludf.DUMMYFUNCTION("""COMPUTED_VALUE"""),"SMS CSKH")</f>
        <v>SMS CSKH</v>
      </c>
      <c r="K633" s="265" t="str">
        <f>IFERROR(__xludf.DUMMYFUNCTION("""COMPUTED_VALUE"""),"Không phân công")</f>
        <v>Không phân công</v>
      </c>
    </row>
    <row r="634">
      <c r="A634" s="265" t="str">
        <f>IFERROR(__xludf.DUMMYFUNCTION("""COMPUTED_VALUE"""),"913")</f>
        <v>913</v>
      </c>
      <c r="B634" s="265" t="str">
        <f>IFERROR(__xludf.DUMMYFUNCTION("""COMPUTED_VALUE"""),"Hà Nội")</f>
        <v>Hà Nội</v>
      </c>
      <c r="C634" s="265" t="str">
        <f>IFERROR(__xludf.DUMMYFUNCTION("""COMPUTED_VALUE"""),"Locked")</f>
        <v>Locked</v>
      </c>
      <c r="D634" s="265" t="str">
        <f>IFERROR(__xludf.DUMMYFUNCTION("""COMPUTED_VALUE"""),"Công nghệ &amp; Phần mềm")</f>
        <v>Công nghệ &amp; Phần mềm</v>
      </c>
      <c r="E634" s="265" t="str">
        <f>IFERROR(__xludf.DUMMYFUNCTION("""COMPUTED_VALUE"""),"AnhNM")</f>
        <v>AnhNM</v>
      </c>
      <c r="F634" s="265" t="str">
        <f>IFERROR(__xludf.DUMMYFUNCTION("""COMPUTED_VALUE"""),"Sale chưa cung cấp")</f>
        <v>Sale chưa cung cấp</v>
      </c>
      <c r="G634" s="265" t="str">
        <f>IFERROR(__xludf.DUMMYFUNCTION("""COMPUTED_VALUE"""),"Premium")</f>
        <v>Premium</v>
      </c>
      <c r="H634" s="265" t="str">
        <f>IFERROR(__xludf.DUMMYFUNCTION("""COMPUTED_VALUE"""),"Trial")</f>
        <v>Trial</v>
      </c>
      <c r="I634" s="265" t="str">
        <f>IFERROR(__xludf.DUMMYFUNCTION("""COMPUTED_VALUE"""),"API &amp; Portal")</f>
        <v>API &amp; Portal</v>
      </c>
      <c r="J634" s="265" t="str">
        <f>IFERROR(__xludf.DUMMYFUNCTION("""COMPUTED_VALUE"""),"Zalo ZNS")</f>
        <v>Zalo ZNS</v>
      </c>
      <c r="K634" s="265" t="str">
        <f>IFERROR(__xludf.DUMMYFUNCTION("""COMPUTED_VALUE"""),"Không phân công")</f>
        <v>Không phân công</v>
      </c>
    </row>
    <row r="635">
      <c r="A635" s="265" t="str">
        <f>IFERROR(__xludf.DUMMYFUNCTION("""COMPUTED_VALUE"""),"915")</f>
        <v>915</v>
      </c>
      <c r="B635" s="265" t="str">
        <f>IFERROR(__xludf.DUMMYFUNCTION("""COMPUTED_VALUE"""),"Đà Nẵng")</f>
        <v>Đà Nẵng</v>
      </c>
      <c r="C635" s="265" t="str">
        <f>IFERROR(__xludf.DUMMYFUNCTION("""COMPUTED_VALUE"""),"Locked")</f>
        <v>Locked</v>
      </c>
      <c r="D635" s="265" t="str">
        <f>IFERROR(__xludf.DUMMYFUNCTION("""COMPUTED_VALUE"""),"Thời trang &amp; May mặc")</f>
        <v>Thời trang &amp; May mặc</v>
      </c>
      <c r="E635" s="265" t="str">
        <f>IFERROR(__xludf.DUMMYFUNCTION("""COMPUTED_VALUE"""),"AnhNM")</f>
        <v>AnhNM</v>
      </c>
      <c r="F635" s="265" t="str">
        <f>IFERROR(__xludf.DUMMYFUNCTION("""COMPUTED_VALUE"""),"Sale chưa cung cấp")</f>
        <v>Sale chưa cung cấp</v>
      </c>
      <c r="G635" s="265" t="str">
        <f>IFERROR(__xludf.DUMMYFUNCTION("""COMPUTED_VALUE"""),"Premium")</f>
        <v>Premium</v>
      </c>
      <c r="H635" s="265" t="str">
        <f>IFERROR(__xludf.DUMMYFUNCTION("""COMPUTED_VALUE"""),"Trial")</f>
        <v>Trial</v>
      </c>
      <c r="I635" s="265" t="str">
        <f>IFERROR(__xludf.DUMMYFUNCTION("""COMPUTED_VALUE"""),"Portal")</f>
        <v>Portal</v>
      </c>
      <c r="J635" s="265" t="str">
        <f>IFERROR(__xludf.DUMMYFUNCTION("""COMPUTED_VALUE"""),"Zalo ZNS")</f>
        <v>Zalo ZNS</v>
      </c>
      <c r="K635" s="265" t="str">
        <f>IFERROR(__xludf.DUMMYFUNCTION("""COMPUTED_VALUE"""),"Không phân công")</f>
        <v>Không phân công</v>
      </c>
    </row>
    <row r="636">
      <c r="A636" s="265" t="str">
        <f>IFERROR(__xludf.DUMMYFUNCTION("""COMPUTED_VALUE"""),"917")</f>
        <v>917</v>
      </c>
      <c r="B636" s="265" t="str">
        <f>IFERROR(__xludf.DUMMYFUNCTION("""COMPUTED_VALUE"""),"Hà Nội")</f>
        <v>Hà Nội</v>
      </c>
      <c r="C636" s="265" t="str">
        <f>IFERROR(__xludf.DUMMYFUNCTION("""COMPUTED_VALUE"""),"Locked")</f>
        <v>Locked</v>
      </c>
      <c r="D636" s="265" t="str">
        <f>IFERROR(__xludf.DUMMYFUNCTION("""COMPUTED_VALUE"""),"Sale chưa cung cấp")</f>
        <v>Sale chưa cung cấp</v>
      </c>
      <c r="E636" s="265" t="str">
        <f>IFERROR(__xludf.DUMMYFUNCTION("""COMPUTED_VALUE"""),"TùngLD")</f>
        <v>TùngLD</v>
      </c>
      <c r="F636" s="265" t="str">
        <f>IFERROR(__xludf.DUMMYFUNCTION("""COMPUTED_VALUE"""),"Sale chưa cung cấp")</f>
        <v>Sale chưa cung cấp</v>
      </c>
      <c r="G636" s="265" t="str">
        <f>IFERROR(__xludf.DUMMYFUNCTION("""COMPUTED_VALUE"""),"Standard")</f>
        <v>Standard</v>
      </c>
      <c r="H636" s="265" t="str">
        <f>IFERROR(__xludf.DUMMYFUNCTION("""COMPUTED_VALUE"""),"Trial")</f>
        <v>Trial</v>
      </c>
      <c r="I636" s="265" t="str">
        <f>IFERROR(__xludf.DUMMYFUNCTION("""COMPUTED_VALUE"""),"API &amp; Portal")</f>
        <v>API &amp; Portal</v>
      </c>
      <c r="J636" s="265" t="str">
        <f>IFERROR(__xludf.DUMMYFUNCTION("""COMPUTED_VALUE"""),"Zalo ZNS")</f>
        <v>Zalo ZNS</v>
      </c>
      <c r="K636" s="265" t="str">
        <f>IFERROR(__xludf.DUMMYFUNCTION("""COMPUTED_VALUE"""),"Không phân công")</f>
        <v>Không phân công</v>
      </c>
    </row>
    <row r="637">
      <c r="A637" s="265" t="str">
        <f>IFERROR(__xludf.DUMMYFUNCTION("""COMPUTED_VALUE"""),"917")</f>
        <v>917</v>
      </c>
      <c r="B637" s="265" t="str">
        <f>IFERROR(__xludf.DUMMYFUNCTION("""COMPUTED_VALUE"""),"Hà Nội")</f>
        <v>Hà Nội</v>
      </c>
      <c r="C637" s="265" t="str">
        <f>IFERROR(__xludf.DUMMYFUNCTION("""COMPUTED_VALUE"""),"Locked")</f>
        <v>Locked</v>
      </c>
      <c r="D637" s="265" t="str">
        <f>IFERROR(__xludf.DUMMYFUNCTION("""COMPUTED_VALUE"""),"Sale chưa cung cấp")</f>
        <v>Sale chưa cung cấp</v>
      </c>
      <c r="E637" s="265" t="str">
        <f>IFERROR(__xludf.DUMMYFUNCTION("""COMPUTED_VALUE"""),"TùngLD")</f>
        <v>TùngLD</v>
      </c>
      <c r="F637" s="265" t="str">
        <f>IFERROR(__xludf.DUMMYFUNCTION("""COMPUTED_VALUE"""),"Sale chưa cung cấp")</f>
        <v>Sale chưa cung cấp</v>
      </c>
      <c r="G637" s="265" t="str">
        <f>IFERROR(__xludf.DUMMYFUNCTION("""COMPUTED_VALUE"""),"Standard")</f>
        <v>Standard</v>
      </c>
      <c r="H637" s="265" t="str">
        <f>IFERROR(__xludf.DUMMYFUNCTION("""COMPUTED_VALUE"""),"Trial")</f>
        <v>Trial</v>
      </c>
      <c r="I637" s="265" t="str">
        <f>IFERROR(__xludf.DUMMYFUNCTION("""COMPUTED_VALUE"""),"API &amp; Portal")</f>
        <v>API &amp; Portal</v>
      </c>
      <c r="J637" s="265" t="str">
        <f>IFERROR(__xludf.DUMMYFUNCTION("""COMPUTED_VALUE"""),"Zalo UID")</f>
        <v>Zalo UID</v>
      </c>
      <c r="K637" s="265" t="str">
        <f>IFERROR(__xludf.DUMMYFUNCTION("""COMPUTED_VALUE"""),"Không phân công")</f>
        <v>Không phân công</v>
      </c>
    </row>
    <row r="638">
      <c r="A638" s="265" t="str">
        <f>IFERROR(__xludf.DUMMYFUNCTION("""COMPUTED_VALUE"""),"918")</f>
        <v>918</v>
      </c>
      <c r="B638" s="265" t="str">
        <f>IFERROR(__xludf.DUMMYFUNCTION("""COMPUTED_VALUE"""),"Sài Gòn")</f>
        <v>Sài Gòn</v>
      </c>
      <c r="C638" s="265" t="str">
        <f>IFERROR(__xludf.DUMMYFUNCTION("""COMPUTED_VALUE"""),"Locked")</f>
        <v>Locked</v>
      </c>
      <c r="D638" s="265" t="str">
        <f>IFERROR(__xludf.DUMMYFUNCTION("""COMPUTED_VALUE"""),"Thực phẩm &amp; Đồ uống")</f>
        <v>Thực phẩm &amp; Đồ uống</v>
      </c>
      <c r="E638" s="265" t="str">
        <f>IFERROR(__xludf.DUMMYFUNCTION("""COMPUTED_VALUE"""),"HoaNTM")</f>
        <v>HoaNTM</v>
      </c>
      <c r="F638" s="265" t="str">
        <f>IFERROR(__xludf.DUMMYFUNCTION("""COMPUTED_VALUE"""),"Diamond")</f>
        <v>Diamond</v>
      </c>
      <c r="G638" s="265" t="str">
        <f>IFERROR(__xludf.DUMMYFUNCTION("""COMPUTED_VALUE"""),"Starter")</f>
        <v>Starter</v>
      </c>
      <c r="H638" s="265" t="str">
        <f>IFERROR(__xludf.DUMMYFUNCTION("""COMPUTED_VALUE"""),"Trả trước")</f>
        <v>Trả trước</v>
      </c>
      <c r="I638" s="265" t="str">
        <f>IFERROR(__xludf.DUMMYFUNCTION("""COMPUTED_VALUE"""),"API")</f>
        <v>API</v>
      </c>
      <c r="J638" s="265" t="str">
        <f>IFERROR(__xludf.DUMMYFUNCTION("""COMPUTED_VALUE"""),"SMS CSKH")</f>
        <v>SMS CSKH</v>
      </c>
      <c r="K638" s="265" t="str">
        <f>IFERROR(__xludf.DUMMYFUNCTION("""COMPUTED_VALUE"""),"YếnĐH")</f>
        <v>YếnĐH</v>
      </c>
    </row>
    <row r="639">
      <c r="A639" s="265" t="str">
        <f>IFERROR(__xludf.DUMMYFUNCTION("""COMPUTED_VALUE"""),"919")</f>
        <v>919</v>
      </c>
      <c r="B639" s="265" t="str">
        <f>IFERROR(__xludf.DUMMYFUNCTION("""COMPUTED_VALUE"""),"Sài Gòn")</f>
        <v>Sài Gòn</v>
      </c>
      <c r="C639" s="265" t="str">
        <f>IFERROR(__xludf.DUMMYFUNCTION("""COMPUTED_VALUE"""),"Locked")</f>
        <v>Locked</v>
      </c>
      <c r="D639" s="265" t="str">
        <f>IFERROR(__xludf.DUMMYFUNCTION("""COMPUTED_VALUE"""),"Thực phẩm &amp; Đồ uống")</f>
        <v>Thực phẩm &amp; Đồ uống</v>
      </c>
      <c r="E639" s="265" t="str">
        <f>IFERROR(__xludf.DUMMYFUNCTION("""COMPUTED_VALUE"""),"HoaNTM")</f>
        <v>HoaNTM</v>
      </c>
      <c r="F639" s="265" t="str">
        <f>IFERROR(__xludf.DUMMYFUNCTION("""COMPUTED_VALUE"""),"Diamond")</f>
        <v>Diamond</v>
      </c>
      <c r="G639" s="265" t="str">
        <f>IFERROR(__xludf.DUMMYFUNCTION("""COMPUTED_VALUE"""),"Enterprise")</f>
        <v>Enterprise</v>
      </c>
      <c r="H639" s="265" t="str">
        <f>IFERROR(__xludf.DUMMYFUNCTION("""COMPUTED_VALUE"""),"Trả trước")</f>
        <v>Trả trước</v>
      </c>
      <c r="I639" s="265" t="str">
        <f>IFERROR(__xludf.DUMMYFUNCTION("""COMPUTED_VALUE"""),"API &amp; Portal")</f>
        <v>API &amp; Portal</v>
      </c>
      <c r="J639" s="265" t="str">
        <f>IFERROR(__xludf.DUMMYFUNCTION("""COMPUTED_VALUE"""),"Zalo ZNS")</f>
        <v>Zalo ZNS</v>
      </c>
      <c r="K639" s="265" t="str">
        <f>IFERROR(__xludf.DUMMYFUNCTION("""COMPUTED_VALUE"""),"LinhNTT1")</f>
        <v>LinhNTT1</v>
      </c>
    </row>
    <row r="640">
      <c r="A640" s="265" t="str">
        <f>IFERROR(__xludf.DUMMYFUNCTION("""COMPUTED_VALUE"""),"406")</f>
        <v>406</v>
      </c>
      <c r="B640" s="265" t="str">
        <f>IFERROR(__xludf.DUMMYFUNCTION("""COMPUTED_VALUE"""),"Hà Nội")</f>
        <v>Hà Nội</v>
      </c>
      <c r="C640" s="265" t="str">
        <f>IFERROR(__xludf.DUMMYFUNCTION("""COMPUTED_VALUE"""),"Locked")</f>
        <v>Locked</v>
      </c>
      <c r="D640" s="265" t="str">
        <f>IFERROR(__xludf.DUMMYFUNCTION("""COMPUTED_VALUE"""),"Thời trang &amp; May mặc")</f>
        <v>Thời trang &amp; May mặc</v>
      </c>
      <c r="E640" s="265" t="str">
        <f>IFERROR(__xludf.DUMMYFUNCTION("""COMPUTED_VALUE"""),"AnhNM")</f>
        <v>AnhNM</v>
      </c>
      <c r="F640" s="265" t="str">
        <f>IFERROR(__xludf.DUMMYFUNCTION("""COMPUTED_VALUE"""),"Bronze")</f>
        <v>Bronze</v>
      </c>
      <c r="G640" s="265" t="str">
        <f>IFERROR(__xludf.DUMMYFUNCTION("""COMPUTED_VALUE"""),"Premium")</f>
        <v>Premium</v>
      </c>
      <c r="H640" s="265" t="str">
        <f>IFERROR(__xludf.DUMMYFUNCTION("""COMPUTED_VALUE"""),"Trả trước")</f>
        <v>Trả trước</v>
      </c>
      <c r="I640" s="265" t="str">
        <f>IFERROR(__xludf.DUMMYFUNCTION("""COMPUTED_VALUE"""),"Portal")</f>
        <v>Portal</v>
      </c>
      <c r="J640" s="265" t="str">
        <f>IFERROR(__xludf.DUMMYFUNCTION("""COMPUTED_VALUE"""),"Zalo ZNS")</f>
        <v>Zalo ZNS</v>
      </c>
      <c r="K640" s="265" t="str">
        <f>IFERROR(__xludf.DUMMYFUNCTION("""COMPUTED_VALUE"""),"DungPL")</f>
        <v>DungPL</v>
      </c>
    </row>
    <row r="641">
      <c r="A641" s="265" t="str">
        <f>IFERROR(__xludf.DUMMYFUNCTION("""COMPUTED_VALUE"""),"920")</f>
        <v>920</v>
      </c>
      <c r="B641" s="265" t="str">
        <f>IFERROR(__xludf.DUMMYFUNCTION("""COMPUTED_VALUE"""),"Hà Nội")</f>
        <v>Hà Nội</v>
      </c>
      <c r="C641" s="265" t="str">
        <f>IFERROR(__xludf.DUMMYFUNCTION("""COMPUTED_VALUE"""),"Active")</f>
        <v>Active</v>
      </c>
      <c r="D641" s="265" t="str">
        <f>IFERROR(__xludf.DUMMYFUNCTION("""COMPUTED_VALUE"""),"Công nghệ &amp; Phần mềm")</f>
        <v>Công nghệ &amp; Phần mềm</v>
      </c>
      <c r="E641" s="265" t="str">
        <f>IFERROR(__xludf.DUMMYFUNCTION("""COMPUTED_VALUE"""),"AnhNM")</f>
        <v>AnhNM</v>
      </c>
      <c r="F641" s="265" t="str">
        <f>IFERROR(__xludf.DUMMYFUNCTION("""COMPUTED_VALUE"""),"Silver")</f>
        <v>Silver</v>
      </c>
      <c r="G641" s="265" t="str">
        <f>IFERROR(__xludf.DUMMYFUNCTION("""COMPUTED_VALUE"""),"Starter")</f>
        <v>Starter</v>
      </c>
      <c r="H641" s="265" t="str">
        <f>IFERROR(__xludf.DUMMYFUNCTION("""COMPUTED_VALUE"""),"Trả sau")</f>
        <v>Trả sau</v>
      </c>
      <c r="I641" s="265" t="str">
        <f>IFERROR(__xludf.DUMMYFUNCTION("""COMPUTED_VALUE"""),"API &amp; Portal")</f>
        <v>API &amp; Portal</v>
      </c>
      <c r="J641" s="265" t="str">
        <f>IFERROR(__xludf.DUMMYFUNCTION("""COMPUTED_VALUE"""),"Zalo ZNS")</f>
        <v>Zalo ZNS</v>
      </c>
      <c r="K641" s="265" t="str">
        <f>IFERROR(__xludf.DUMMYFUNCTION("""COMPUTED_VALUE"""),"LinhNTT1")</f>
        <v>LinhNTT1</v>
      </c>
    </row>
    <row r="642">
      <c r="A642" s="265" t="str">
        <f>IFERROR(__xludf.DUMMYFUNCTION("""COMPUTED_VALUE"""),"921")</f>
        <v>921</v>
      </c>
      <c r="B642" s="265" t="str">
        <f>IFERROR(__xludf.DUMMYFUNCTION("""COMPUTED_VALUE"""),"Sài Gòn")</f>
        <v>Sài Gòn</v>
      </c>
      <c r="C642" s="265" t="str">
        <f>IFERROR(__xludf.DUMMYFUNCTION("""COMPUTED_VALUE"""),"Locked")</f>
        <v>Locked</v>
      </c>
      <c r="D642" s="265" t="str">
        <f>IFERROR(__xludf.DUMMYFUNCTION("""COMPUTED_VALUE"""),"Thực phẩm &amp; Đồ uống")</f>
        <v>Thực phẩm &amp; Đồ uống</v>
      </c>
      <c r="E642" s="265" t="str">
        <f>IFERROR(__xludf.DUMMYFUNCTION("""COMPUTED_VALUE"""),"HoaNTM")</f>
        <v>HoaNTM</v>
      </c>
      <c r="F642" s="265" t="str">
        <f>IFERROR(__xludf.DUMMYFUNCTION("""COMPUTED_VALUE"""),"Diamond")</f>
        <v>Diamond</v>
      </c>
      <c r="G642" s="265" t="str">
        <f>IFERROR(__xludf.DUMMYFUNCTION("""COMPUTED_VALUE"""),"Starter")</f>
        <v>Starter</v>
      </c>
      <c r="H642" s="265" t="str">
        <f>IFERROR(__xludf.DUMMYFUNCTION("""COMPUTED_VALUE"""),"Trả sau")</f>
        <v>Trả sau</v>
      </c>
      <c r="I642" s="265" t="str">
        <f>IFERROR(__xludf.DUMMYFUNCTION("""COMPUTED_VALUE"""),"Portal")</f>
        <v>Portal</v>
      </c>
      <c r="J642" s="265" t="str">
        <f>IFERROR(__xludf.DUMMYFUNCTION("""COMPUTED_VALUE"""),"Zalo ZNS")</f>
        <v>Zalo ZNS</v>
      </c>
      <c r="K642" s="265" t="str">
        <f>IFERROR(__xludf.DUMMYFUNCTION("""COMPUTED_VALUE"""),"YếnĐH")</f>
        <v>YếnĐH</v>
      </c>
    </row>
    <row r="643">
      <c r="A643" s="265" t="str">
        <f>IFERROR(__xludf.DUMMYFUNCTION("""COMPUTED_VALUE"""),"922")</f>
        <v>922</v>
      </c>
      <c r="B643" s="265" t="str">
        <f>IFERROR(__xludf.DUMMYFUNCTION("""COMPUTED_VALUE"""),"Sài Gòn")</f>
        <v>Sài Gòn</v>
      </c>
      <c r="C643" s="265" t="str">
        <f>IFERROR(__xludf.DUMMYFUNCTION("""COMPUTED_VALUE"""),"Active")</f>
        <v>Active</v>
      </c>
      <c r="D643" s="265" t="str">
        <f>IFERROR(__xludf.DUMMYFUNCTION("""COMPUTED_VALUE"""),"Viễn thông")</f>
        <v>Viễn thông</v>
      </c>
      <c r="E643" s="265" t="str">
        <f>IFERROR(__xludf.DUMMYFUNCTION("""COMPUTED_VALUE"""),"TúPHN")</f>
        <v>TúPHN</v>
      </c>
      <c r="F643" s="265" t="str">
        <f>IFERROR(__xludf.DUMMYFUNCTION("""COMPUTED_VALUE"""),"Gold")</f>
        <v>Gold</v>
      </c>
      <c r="G643" s="265" t="str">
        <f>IFERROR(__xludf.DUMMYFUNCTION("""COMPUTED_VALUE"""),"Standard")</f>
        <v>Standard</v>
      </c>
      <c r="H643" s="265" t="str">
        <f>IFERROR(__xludf.DUMMYFUNCTION("""COMPUTED_VALUE"""),"Trả trước")</f>
        <v>Trả trước</v>
      </c>
      <c r="I643" s="265" t="str">
        <f>IFERROR(__xludf.DUMMYFUNCTION("""COMPUTED_VALUE"""),"Portal")</f>
        <v>Portal</v>
      </c>
      <c r="J643" s="265" t="str">
        <f>IFERROR(__xludf.DUMMYFUNCTION("""COMPUTED_VALUE"""),"Zalo ZNS")</f>
        <v>Zalo ZNS</v>
      </c>
      <c r="K643" s="265" t="str">
        <f>IFERROR(__xludf.DUMMYFUNCTION("""COMPUTED_VALUE"""),"DungPL")</f>
        <v>DungPL</v>
      </c>
    </row>
    <row r="644">
      <c r="A644" s="265" t="str">
        <f>IFERROR(__xludf.DUMMYFUNCTION("""COMPUTED_VALUE"""),"923")</f>
        <v>923</v>
      </c>
      <c r="B644" s="265" t="str">
        <f>IFERROR(__xludf.DUMMYFUNCTION("""COMPUTED_VALUE"""),"Hà Nội")</f>
        <v>Hà Nội</v>
      </c>
      <c r="C644" s="265" t="str">
        <f>IFERROR(__xludf.DUMMYFUNCTION("""COMPUTED_VALUE"""),"Locked")</f>
        <v>Locked</v>
      </c>
      <c r="D644" s="265" t="str">
        <f>IFERROR(__xludf.DUMMYFUNCTION("""COMPUTED_VALUE"""),"Vận tải &amp; logistics")</f>
        <v>Vận tải &amp; logistics</v>
      </c>
      <c r="E644" s="265" t="str">
        <f>IFERROR(__xludf.DUMMYFUNCTION("""COMPUTED_VALUE"""),"AnhNM")</f>
        <v>AnhNM</v>
      </c>
      <c r="F644" s="265" t="str">
        <f>IFERROR(__xludf.DUMMYFUNCTION("""COMPUTED_VALUE"""),"Bronze")</f>
        <v>Bronze</v>
      </c>
      <c r="G644" s="265" t="str">
        <f>IFERROR(__xludf.DUMMYFUNCTION("""COMPUTED_VALUE"""),"Premium")</f>
        <v>Premium</v>
      </c>
      <c r="H644" s="265" t="str">
        <f>IFERROR(__xludf.DUMMYFUNCTION("""COMPUTED_VALUE"""),"Trial")</f>
        <v>Trial</v>
      </c>
      <c r="I644" s="265" t="str">
        <f>IFERROR(__xludf.DUMMYFUNCTION("""COMPUTED_VALUE"""),"API &amp; Portal")</f>
        <v>API &amp; Portal</v>
      </c>
      <c r="J644" s="265" t="str">
        <f>IFERROR(__xludf.DUMMYFUNCTION("""COMPUTED_VALUE"""),"Email")</f>
        <v>Email</v>
      </c>
      <c r="K644" s="265" t="str">
        <f>IFERROR(__xludf.DUMMYFUNCTION("""COMPUTED_VALUE"""),"Không phân công")</f>
        <v>Không phân công</v>
      </c>
    </row>
    <row r="645">
      <c r="A645" s="265" t="str">
        <f>IFERROR(__xludf.DUMMYFUNCTION("""COMPUTED_VALUE"""),"923")</f>
        <v>923</v>
      </c>
      <c r="B645" s="265" t="str">
        <f>IFERROR(__xludf.DUMMYFUNCTION("""COMPUTED_VALUE"""),"Hà Nội")</f>
        <v>Hà Nội</v>
      </c>
      <c r="C645" s="265" t="str">
        <f>IFERROR(__xludf.DUMMYFUNCTION("""COMPUTED_VALUE"""),"Locked")</f>
        <v>Locked</v>
      </c>
      <c r="D645" s="265" t="str">
        <f>IFERROR(__xludf.DUMMYFUNCTION("""COMPUTED_VALUE"""),"Vận tải &amp; logistics")</f>
        <v>Vận tải &amp; logistics</v>
      </c>
      <c r="E645" s="265" t="str">
        <f>IFERROR(__xludf.DUMMYFUNCTION("""COMPUTED_VALUE"""),"AnhNM")</f>
        <v>AnhNM</v>
      </c>
      <c r="F645" s="265" t="str">
        <f>IFERROR(__xludf.DUMMYFUNCTION("""COMPUTED_VALUE"""),"Bronze")</f>
        <v>Bronze</v>
      </c>
      <c r="G645" s="265" t="str">
        <f>IFERROR(__xludf.DUMMYFUNCTION("""COMPUTED_VALUE"""),"Premium")</f>
        <v>Premium</v>
      </c>
      <c r="H645" s="265" t="str">
        <f>IFERROR(__xludf.DUMMYFUNCTION("""COMPUTED_VALUE"""),"Trial")</f>
        <v>Trial</v>
      </c>
      <c r="I645" s="265" t="str">
        <f>IFERROR(__xludf.DUMMYFUNCTION("""COMPUTED_VALUE"""),"API &amp; Portal")</f>
        <v>API &amp; Portal</v>
      </c>
      <c r="J645" s="265" t="str">
        <f>IFERROR(__xludf.DUMMYFUNCTION("""COMPUTED_VALUE"""),"Zalo ZNS")</f>
        <v>Zalo ZNS</v>
      </c>
      <c r="K645" s="265" t="str">
        <f>IFERROR(__xludf.DUMMYFUNCTION("""COMPUTED_VALUE"""),"Không phân công")</f>
        <v>Không phân công</v>
      </c>
    </row>
    <row r="646">
      <c r="A646" s="265" t="str">
        <f>IFERROR(__xludf.DUMMYFUNCTION("""COMPUTED_VALUE"""),"916")</f>
        <v>916</v>
      </c>
      <c r="B646" s="265" t="str">
        <f>IFERROR(__xludf.DUMMYFUNCTION("""COMPUTED_VALUE"""),"Hà Nội")</f>
        <v>Hà Nội</v>
      </c>
      <c r="C646" s="265" t="str">
        <f>IFERROR(__xludf.DUMMYFUNCTION("""COMPUTED_VALUE"""),"Active")</f>
        <v>Active</v>
      </c>
      <c r="D646" s="265" t="str">
        <f>IFERROR(__xludf.DUMMYFUNCTION("""COMPUTED_VALUE"""),"Công nghệ &amp; Phần mềm")</f>
        <v>Công nghệ &amp; Phần mềm</v>
      </c>
      <c r="E646" s="265" t="str">
        <f>IFERROR(__xludf.DUMMYFUNCTION("""COMPUTED_VALUE"""),"AnhNM")</f>
        <v>AnhNM</v>
      </c>
      <c r="F646" s="265" t="str">
        <f>IFERROR(__xludf.DUMMYFUNCTION("""COMPUTED_VALUE"""),"Gold")</f>
        <v>Gold</v>
      </c>
      <c r="G646" s="265" t="str">
        <f>IFERROR(__xludf.DUMMYFUNCTION("""COMPUTED_VALUE"""),"Starter")</f>
        <v>Starter</v>
      </c>
      <c r="H646" s="265" t="str">
        <f>IFERROR(__xludf.DUMMYFUNCTION("""COMPUTED_VALUE"""),"Trả sau")</f>
        <v>Trả sau</v>
      </c>
      <c r="I646" s="265" t="str">
        <f>IFERROR(__xludf.DUMMYFUNCTION("""COMPUTED_VALUE"""),"API &amp; Portal")</f>
        <v>API &amp; Portal</v>
      </c>
      <c r="J646" s="265" t="str">
        <f>IFERROR(__xludf.DUMMYFUNCTION("""COMPUTED_VALUE"""),"SMS CSKH")</f>
        <v>SMS CSKH</v>
      </c>
      <c r="K646" s="265" t="str">
        <f>IFERROR(__xludf.DUMMYFUNCTION("""COMPUTED_VALUE"""),"DungVT")</f>
        <v>DungVT</v>
      </c>
    </row>
    <row r="647">
      <c r="A647" s="265" t="str">
        <f>IFERROR(__xludf.DUMMYFUNCTION("""COMPUTED_VALUE"""),"916")</f>
        <v>916</v>
      </c>
      <c r="B647" s="265" t="str">
        <f>IFERROR(__xludf.DUMMYFUNCTION("""COMPUTED_VALUE"""),"Hà Nội")</f>
        <v>Hà Nội</v>
      </c>
      <c r="C647" s="265" t="str">
        <f>IFERROR(__xludf.DUMMYFUNCTION("""COMPUTED_VALUE"""),"Active")</f>
        <v>Active</v>
      </c>
      <c r="D647" s="265" t="str">
        <f>IFERROR(__xludf.DUMMYFUNCTION("""COMPUTED_VALUE"""),"Công nghệ &amp; Phần mềm")</f>
        <v>Công nghệ &amp; Phần mềm</v>
      </c>
      <c r="E647" s="265" t="str">
        <f>IFERROR(__xludf.DUMMYFUNCTION("""COMPUTED_VALUE"""),"AnhNM")</f>
        <v>AnhNM</v>
      </c>
      <c r="F647" s="265" t="str">
        <f>IFERROR(__xludf.DUMMYFUNCTION("""COMPUTED_VALUE"""),"Gold")</f>
        <v>Gold</v>
      </c>
      <c r="G647" s="265" t="str">
        <f>IFERROR(__xludf.DUMMYFUNCTION("""COMPUTED_VALUE"""),"Starter")</f>
        <v>Starter</v>
      </c>
      <c r="H647" s="265" t="str">
        <f>IFERROR(__xludf.DUMMYFUNCTION("""COMPUTED_VALUE"""),"Trả sau")</f>
        <v>Trả sau</v>
      </c>
      <c r="I647" s="265" t="str">
        <f>IFERROR(__xludf.DUMMYFUNCTION("""COMPUTED_VALUE"""),"API &amp; Portal")</f>
        <v>API &amp; Portal</v>
      </c>
      <c r="J647" s="265" t="str">
        <f>IFERROR(__xludf.DUMMYFUNCTION("""COMPUTED_VALUE"""),"Zalo ZNS")</f>
        <v>Zalo ZNS</v>
      </c>
      <c r="K647" s="265" t="str">
        <f>IFERROR(__xludf.DUMMYFUNCTION("""COMPUTED_VALUE"""),"DungVT")</f>
        <v>DungVT</v>
      </c>
    </row>
    <row r="648">
      <c r="A648" s="265" t="str">
        <f>IFERROR(__xludf.DUMMYFUNCTION("""COMPUTED_VALUE"""),"924")</f>
        <v>924</v>
      </c>
      <c r="B648" s="265" t="str">
        <f>IFERROR(__xludf.DUMMYFUNCTION("""COMPUTED_VALUE"""),"Hà Nội")</f>
        <v>Hà Nội</v>
      </c>
      <c r="C648" s="265" t="str">
        <f>IFERROR(__xludf.DUMMYFUNCTION("""COMPUTED_VALUE"""),"Active")</f>
        <v>Active</v>
      </c>
      <c r="D648" s="265" t="str">
        <f>IFERROR(__xludf.DUMMYFUNCTION("""COMPUTED_VALUE"""),"Dịch vụ khác")</f>
        <v>Dịch vụ khác</v>
      </c>
      <c r="E648" s="265" t="str">
        <f>IFERROR(__xludf.DUMMYFUNCTION("""COMPUTED_VALUE"""),"AnhNM")</f>
        <v>AnhNM</v>
      </c>
      <c r="F648" s="265" t="str">
        <f>IFERROR(__xludf.DUMMYFUNCTION("""COMPUTED_VALUE"""),"Silver")</f>
        <v>Silver</v>
      </c>
      <c r="G648" s="265" t="str">
        <f>IFERROR(__xludf.DUMMYFUNCTION("""COMPUTED_VALUE"""),"Starter")</f>
        <v>Starter</v>
      </c>
      <c r="H648" s="265" t="str">
        <f>IFERROR(__xludf.DUMMYFUNCTION("""COMPUTED_VALUE"""),"Trả sau")</f>
        <v>Trả sau</v>
      </c>
      <c r="I648" s="265" t="str">
        <f>IFERROR(__xludf.DUMMYFUNCTION("""COMPUTED_VALUE"""),"API &amp; Portal")</f>
        <v>API &amp; Portal</v>
      </c>
      <c r="J648" s="265" t="str">
        <f>IFERROR(__xludf.DUMMYFUNCTION("""COMPUTED_VALUE"""),"SMS CSKH")</f>
        <v>SMS CSKH</v>
      </c>
      <c r="K648" s="265" t="str">
        <f>IFERROR(__xludf.DUMMYFUNCTION("""COMPUTED_VALUE"""),"DungVT")</f>
        <v>DungVT</v>
      </c>
    </row>
    <row r="649">
      <c r="A649" s="265" t="str">
        <f>IFERROR(__xludf.DUMMYFUNCTION("""COMPUTED_VALUE"""),"925")</f>
        <v>925</v>
      </c>
      <c r="B649" s="265" t="str">
        <f>IFERROR(__xludf.DUMMYFUNCTION("""COMPUTED_VALUE"""),"Hà Nội")</f>
        <v>Hà Nội</v>
      </c>
      <c r="C649" s="265" t="str">
        <f>IFERROR(__xludf.DUMMYFUNCTION("""COMPUTED_VALUE"""),"Active")</f>
        <v>Active</v>
      </c>
      <c r="D649" s="265" t="str">
        <f>IFERROR(__xludf.DUMMYFUNCTION("""COMPUTED_VALUE"""),"Dịch vụ khác")</f>
        <v>Dịch vụ khác</v>
      </c>
      <c r="E649" s="265" t="str">
        <f>IFERROR(__xludf.DUMMYFUNCTION("""COMPUTED_VALUE"""),"TuPHN")</f>
        <v>TuPHN</v>
      </c>
      <c r="F649" s="265" t="str">
        <f>IFERROR(__xludf.DUMMYFUNCTION("""COMPUTED_VALUE"""),"Diamond")</f>
        <v>Diamond</v>
      </c>
      <c r="G649" s="265" t="str">
        <f>IFERROR(__xludf.DUMMYFUNCTION("""COMPUTED_VALUE"""),"Starter")</f>
        <v>Starter</v>
      </c>
      <c r="H649" s="265" t="str">
        <f>IFERROR(__xludf.DUMMYFUNCTION("""COMPUTED_VALUE"""),"Trả trước")</f>
        <v>Trả trước</v>
      </c>
      <c r="I649" s="265" t="str">
        <f>IFERROR(__xludf.DUMMYFUNCTION("""COMPUTED_VALUE"""),"API")</f>
        <v>API</v>
      </c>
      <c r="J649" s="265" t="str">
        <f>IFERROR(__xludf.DUMMYFUNCTION("""COMPUTED_VALUE"""),"Zalo ZNS")</f>
        <v>Zalo ZNS</v>
      </c>
      <c r="K649" s="265" t="str">
        <f>IFERROR(__xludf.DUMMYFUNCTION("""COMPUTED_VALUE"""),"Không phân công")</f>
        <v>Không phân công</v>
      </c>
    </row>
    <row r="650">
      <c r="A650" s="265" t="str">
        <f>IFERROR(__xludf.DUMMYFUNCTION("""COMPUTED_VALUE"""),"926")</f>
        <v>926</v>
      </c>
      <c r="B650" s="265" t="str">
        <f>IFERROR(__xludf.DUMMYFUNCTION("""COMPUTED_VALUE"""),"Hà Nội")</f>
        <v>Hà Nội</v>
      </c>
      <c r="C650" s="265" t="str">
        <f>IFERROR(__xludf.DUMMYFUNCTION("""COMPUTED_VALUE"""),"Active")</f>
        <v>Active</v>
      </c>
      <c r="D650" s="265" t="str">
        <f>IFERROR(__xludf.DUMMYFUNCTION("""COMPUTED_VALUE"""),"Mua sắm &amp; Bán lẻ")</f>
        <v>Mua sắm &amp; Bán lẻ</v>
      </c>
      <c r="E650" s="265" t="str">
        <f>IFERROR(__xludf.DUMMYFUNCTION("""COMPUTED_VALUE"""),"TúPHN")</f>
        <v>TúPHN</v>
      </c>
      <c r="F650" s="265" t="str">
        <f>IFERROR(__xludf.DUMMYFUNCTION("""COMPUTED_VALUE"""),"Sale chưa cung cấp")</f>
        <v>Sale chưa cung cấp</v>
      </c>
      <c r="G650" s="265" t="str">
        <f>IFERROR(__xludf.DUMMYFUNCTION("""COMPUTED_VALUE"""),"Starter")</f>
        <v>Starter</v>
      </c>
      <c r="H650" s="265" t="str">
        <f>IFERROR(__xludf.DUMMYFUNCTION("""COMPUTED_VALUE"""),"Trả sau")</f>
        <v>Trả sau</v>
      </c>
      <c r="I650" s="265" t="str">
        <f>IFERROR(__xludf.DUMMYFUNCTION("""COMPUTED_VALUE"""),"API")</f>
        <v>API</v>
      </c>
      <c r="J650" s="265" t="str">
        <f>IFERROR(__xludf.DUMMYFUNCTION("""COMPUTED_VALUE"""),"Zalo ZNS")</f>
        <v>Zalo ZNS</v>
      </c>
      <c r="K650" s="265" t="str">
        <f>IFERROR(__xludf.DUMMYFUNCTION("""COMPUTED_VALUE"""),"DungPL")</f>
        <v>DungPL</v>
      </c>
    </row>
    <row r="651">
      <c r="A651" s="265" t="str">
        <f>IFERROR(__xludf.DUMMYFUNCTION("""COMPUTED_VALUE"""),"927")</f>
        <v>927</v>
      </c>
      <c r="B651" s="265" t="str">
        <f>IFERROR(__xludf.DUMMYFUNCTION("""COMPUTED_VALUE"""),"Hà Nội")</f>
        <v>Hà Nội</v>
      </c>
      <c r="C651" s="265" t="str">
        <f>IFERROR(__xludf.DUMMYFUNCTION("""COMPUTED_VALUE"""),"Active")</f>
        <v>Active</v>
      </c>
      <c r="D651" s="265" t="str">
        <f>IFERROR(__xludf.DUMMYFUNCTION("""COMPUTED_VALUE"""),"Viễn thông")</f>
        <v>Viễn thông</v>
      </c>
      <c r="E651" s="265" t="str">
        <f>IFERROR(__xludf.DUMMYFUNCTION("""COMPUTED_VALUE"""),"TùngLD")</f>
        <v>TùngLD</v>
      </c>
      <c r="F651" s="265" t="str">
        <f>IFERROR(__xludf.DUMMYFUNCTION("""COMPUTED_VALUE"""),"Gold")</f>
        <v>Gold</v>
      </c>
      <c r="G651" s="265" t="str">
        <f>IFERROR(__xludf.DUMMYFUNCTION("""COMPUTED_VALUE"""),"Enterprise")</f>
        <v>Enterprise</v>
      </c>
      <c r="H651" s="265" t="str">
        <f>IFERROR(__xludf.DUMMYFUNCTION("""COMPUTED_VALUE"""),"Trả sau")</f>
        <v>Trả sau</v>
      </c>
      <c r="I651" s="265" t="str">
        <f>IFERROR(__xludf.DUMMYFUNCTION("""COMPUTED_VALUE"""),"API &amp; Portal")</f>
        <v>API &amp; Portal</v>
      </c>
      <c r="J651" s="265" t="str">
        <f>IFERROR(__xludf.DUMMYFUNCTION("""COMPUTED_VALUE"""),"Tất cả")</f>
        <v>Tất cả</v>
      </c>
      <c r="K651" s="265" t="str">
        <f>IFERROR(__xludf.DUMMYFUNCTION("""COMPUTED_VALUE"""),"YếnĐH")</f>
        <v>YếnĐH</v>
      </c>
    </row>
    <row r="652">
      <c r="A652" s="265" t="str">
        <f>IFERROR(__xludf.DUMMYFUNCTION("""COMPUTED_VALUE"""),"928")</f>
        <v>928</v>
      </c>
      <c r="B652" s="265" t="str">
        <f>IFERROR(__xludf.DUMMYFUNCTION("""COMPUTED_VALUE"""),"Hà Nội")</f>
        <v>Hà Nội</v>
      </c>
      <c r="C652" s="265" t="str">
        <f>IFERROR(__xludf.DUMMYFUNCTION("""COMPUTED_VALUE"""),"Locked")</f>
        <v>Locked</v>
      </c>
      <c r="D652" s="265" t="str">
        <f>IFERROR(__xludf.DUMMYFUNCTION("""COMPUTED_VALUE"""),"Công nghệ &amp; Phần mềm")</f>
        <v>Công nghệ &amp; Phần mềm</v>
      </c>
      <c r="E652" s="265" t="str">
        <f>IFERROR(__xludf.DUMMYFUNCTION("""COMPUTED_VALUE"""),"AnhNM")</f>
        <v>AnhNM</v>
      </c>
      <c r="F652" s="265" t="str">
        <f>IFERROR(__xludf.DUMMYFUNCTION("""COMPUTED_VALUE"""),"Bronze")</f>
        <v>Bronze</v>
      </c>
      <c r="G652" s="265" t="str">
        <f>IFERROR(__xludf.DUMMYFUNCTION("""COMPUTED_VALUE"""),"Standard")</f>
        <v>Standard</v>
      </c>
      <c r="H652" s="265" t="str">
        <f>IFERROR(__xludf.DUMMYFUNCTION("""COMPUTED_VALUE"""),"Trial")</f>
        <v>Trial</v>
      </c>
      <c r="I652" s="265" t="str">
        <f>IFERROR(__xludf.DUMMYFUNCTION("""COMPUTED_VALUE"""),"API")</f>
        <v>API</v>
      </c>
      <c r="J652" s="265" t="str">
        <f>IFERROR(__xludf.DUMMYFUNCTION("""COMPUTED_VALUE"""),"Viber")</f>
        <v>Viber</v>
      </c>
      <c r="K652" s="265" t="str">
        <f>IFERROR(__xludf.DUMMYFUNCTION("""COMPUTED_VALUE"""),"Không phân công")</f>
        <v>Không phân công</v>
      </c>
    </row>
    <row r="653">
      <c r="A653" s="265" t="str">
        <f>IFERROR(__xludf.DUMMYFUNCTION("""COMPUTED_VALUE"""),"929")</f>
        <v>929</v>
      </c>
      <c r="B653" s="265" t="str">
        <f>IFERROR(__xludf.DUMMYFUNCTION("""COMPUTED_VALUE"""),"Sài Gòn")</f>
        <v>Sài Gòn</v>
      </c>
      <c r="C653" s="265" t="str">
        <f>IFERROR(__xludf.DUMMYFUNCTION("""COMPUTED_VALUE"""),"Active")</f>
        <v>Active</v>
      </c>
      <c r="D653" s="265" t="str">
        <f>IFERROR(__xludf.DUMMYFUNCTION("""COMPUTED_VALUE"""),"Giáo dục &amp; Đào tạo")</f>
        <v>Giáo dục &amp; Đào tạo</v>
      </c>
      <c r="E653" s="265" t="str">
        <f>IFERROR(__xludf.DUMMYFUNCTION("""COMPUTED_VALUE"""),"TùngLD")</f>
        <v>TùngLD</v>
      </c>
      <c r="F653" s="265" t="str">
        <f>IFERROR(__xludf.DUMMYFUNCTION("""COMPUTED_VALUE"""),"Silver")</f>
        <v>Silver</v>
      </c>
      <c r="G653" s="265" t="str">
        <f>IFERROR(__xludf.DUMMYFUNCTION("""COMPUTED_VALUE"""),"Starter")</f>
        <v>Starter</v>
      </c>
      <c r="H653" s="265" t="str">
        <f>IFERROR(__xludf.DUMMYFUNCTION("""COMPUTED_VALUE"""),"Trả sau")</f>
        <v>Trả sau</v>
      </c>
      <c r="I653" s="265" t="str">
        <f>IFERROR(__xludf.DUMMYFUNCTION("""COMPUTED_VALUE"""),"API")</f>
        <v>API</v>
      </c>
      <c r="J653" s="265" t="str">
        <f>IFERROR(__xludf.DUMMYFUNCTION("""COMPUTED_VALUE"""),"Zalo ZNS")</f>
        <v>Zalo ZNS</v>
      </c>
      <c r="K653" s="265" t="str">
        <f>IFERROR(__xludf.DUMMYFUNCTION("""COMPUTED_VALUE"""),"DungPL")</f>
        <v>DungPL</v>
      </c>
    </row>
    <row r="654">
      <c r="A654" s="265" t="str">
        <f>IFERROR(__xludf.DUMMYFUNCTION("""COMPUTED_VALUE"""),"930")</f>
        <v>930</v>
      </c>
      <c r="B654" s="265" t="str">
        <f>IFERROR(__xludf.DUMMYFUNCTION("""COMPUTED_VALUE"""),"Hà Nội")</f>
        <v>Hà Nội</v>
      </c>
      <c r="C654" s="265" t="str">
        <f>IFERROR(__xludf.DUMMYFUNCTION("""COMPUTED_VALUE"""),"Locked")</f>
        <v>Locked</v>
      </c>
      <c r="D654" s="265" t="str">
        <f>IFERROR(__xludf.DUMMYFUNCTION("""COMPUTED_VALUE"""),"Dịch vụ khác")</f>
        <v>Dịch vụ khác</v>
      </c>
      <c r="E654" s="265" t="str">
        <f>IFERROR(__xludf.DUMMYFUNCTION("""COMPUTED_VALUE"""),"TùngLD")</f>
        <v>TùngLD</v>
      </c>
      <c r="F654" s="265" t="str">
        <f>IFERROR(__xludf.DUMMYFUNCTION("""COMPUTED_VALUE"""),"Diamond")</f>
        <v>Diamond</v>
      </c>
      <c r="G654" s="265" t="str">
        <f>IFERROR(__xludf.DUMMYFUNCTION("""COMPUTED_VALUE"""),"Premium")</f>
        <v>Premium</v>
      </c>
      <c r="H654" s="265" t="str">
        <f>IFERROR(__xludf.DUMMYFUNCTION("""COMPUTED_VALUE"""),"Trial")</f>
        <v>Trial</v>
      </c>
      <c r="I654" s="265" t="str">
        <f>IFERROR(__xludf.DUMMYFUNCTION("""COMPUTED_VALUE"""),"API")</f>
        <v>API</v>
      </c>
      <c r="J654" s="265" t="str">
        <f>IFERROR(__xludf.DUMMYFUNCTION("""COMPUTED_VALUE"""),"SMS CSKH")</f>
        <v>SMS CSKH</v>
      </c>
      <c r="K654" s="265" t="str">
        <f>IFERROR(__xludf.DUMMYFUNCTION("""COMPUTED_VALUE"""),"Không phân công")</f>
        <v>Không phân công</v>
      </c>
    </row>
    <row r="655">
      <c r="A655" s="265" t="str">
        <f>IFERROR(__xludf.DUMMYFUNCTION("""COMPUTED_VALUE"""),"930")</f>
        <v>930</v>
      </c>
      <c r="B655" s="265" t="str">
        <f>IFERROR(__xludf.DUMMYFUNCTION("""COMPUTED_VALUE"""),"Hà Nội")</f>
        <v>Hà Nội</v>
      </c>
      <c r="C655" s="265" t="str">
        <f>IFERROR(__xludf.DUMMYFUNCTION("""COMPUTED_VALUE"""),"Locked")</f>
        <v>Locked</v>
      </c>
      <c r="D655" s="265" t="str">
        <f>IFERROR(__xludf.DUMMYFUNCTION("""COMPUTED_VALUE"""),"Dịch vụ khác")</f>
        <v>Dịch vụ khác</v>
      </c>
      <c r="E655" s="265" t="str">
        <f>IFERROR(__xludf.DUMMYFUNCTION("""COMPUTED_VALUE"""),"TùngLD")</f>
        <v>TùngLD</v>
      </c>
      <c r="F655" s="265" t="str">
        <f>IFERROR(__xludf.DUMMYFUNCTION("""COMPUTED_VALUE"""),"Diamond")</f>
        <v>Diamond</v>
      </c>
      <c r="G655" s="265" t="str">
        <f>IFERROR(__xludf.DUMMYFUNCTION("""COMPUTED_VALUE"""),"Premium")</f>
        <v>Premium</v>
      </c>
      <c r="H655" s="265" t="str">
        <f>IFERROR(__xludf.DUMMYFUNCTION("""COMPUTED_VALUE"""),"Trial")</f>
        <v>Trial</v>
      </c>
      <c r="I655" s="265" t="str">
        <f>IFERROR(__xludf.DUMMYFUNCTION("""COMPUTED_VALUE"""),"API")</f>
        <v>API</v>
      </c>
      <c r="J655" s="265" t="str">
        <f>IFERROR(__xludf.DUMMYFUNCTION("""COMPUTED_VALUE"""),"SMS QC")</f>
        <v>SMS QC</v>
      </c>
      <c r="K655" s="265" t="str">
        <f>IFERROR(__xludf.DUMMYFUNCTION("""COMPUTED_VALUE"""),"Không phân công")</f>
        <v>Không phân công</v>
      </c>
    </row>
    <row r="656">
      <c r="A656" s="265" t="str">
        <f>IFERROR(__xludf.DUMMYFUNCTION("""COMPUTED_VALUE"""),"930")</f>
        <v>930</v>
      </c>
      <c r="B656" s="265" t="str">
        <f>IFERROR(__xludf.DUMMYFUNCTION("""COMPUTED_VALUE"""),"Hà Nội")</f>
        <v>Hà Nội</v>
      </c>
      <c r="C656" s="265" t="str">
        <f>IFERROR(__xludf.DUMMYFUNCTION("""COMPUTED_VALUE"""),"Locked")</f>
        <v>Locked</v>
      </c>
      <c r="D656" s="265" t="str">
        <f>IFERROR(__xludf.DUMMYFUNCTION("""COMPUTED_VALUE"""),"Dịch vụ khác")</f>
        <v>Dịch vụ khác</v>
      </c>
      <c r="E656" s="265" t="str">
        <f>IFERROR(__xludf.DUMMYFUNCTION("""COMPUTED_VALUE"""),"TùngLD")</f>
        <v>TùngLD</v>
      </c>
      <c r="F656" s="265" t="str">
        <f>IFERROR(__xludf.DUMMYFUNCTION("""COMPUTED_VALUE"""),"Diamond")</f>
        <v>Diamond</v>
      </c>
      <c r="G656" s="265" t="str">
        <f>IFERROR(__xludf.DUMMYFUNCTION("""COMPUTED_VALUE"""),"Premium")</f>
        <v>Premium</v>
      </c>
      <c r="H656" s="265" t="str">
        <f>IFERROR(__xludf.DUMMYFUNCTION("""COMPUTED_VALUE"""),"Trial")</f>
        <v>Trial</v>
      </c>
      <c r="I656" s="265" t="str">
        <f>IFERROR(__xludf.DUMMYFUNCTION("""COMPUTED_VALUE"""),"API")</f>
        <v>API</v>
      </c>
      <c r="J656" s="265" t="str">
        <f>IFERROR(__xludf.DUMMYFUNCTION("""COMPUTED_VALUE"""),"Zalo ZNS")</f>
        <v>Zalo ZNS</v>
      </c>
      <c r="K656" s="265" t="str">
        <f>IFERROR(__xludf.DUMMYFUNCTION("""COMPUTED_VALUE"""),"Không phân công")</f>
        <v>Không phân công</v>
      </c>
    </row>
    <row r="657">
      <c r="A657" s="265" t="str">
        <f>IFERROR(__xludf.DUMMYFUNCTION("""COMPUTED_VALUE"""),"930")</f>
        <v>930</v>
      </c>
      <c r="B657" s="265" t="str">
        <f>IFERROR(__xludf.DUMMYFUNCTION("""COMPUTED_VALUE"""),"Hà Nội")</f>
        <v>Hà Nội</v>
      </c>
      <c r="C657" s="265" t="str">
        <f>IFERROR(__xludf.DUMMYFUNCTION("""COMPUTED_VALUE"""),"Locked")</f>
        <v>Locked</v>
      </c>
      <c r="D657" s="265" t="str">
        <f>IFERROR(__xludf.DUMMYFUNCTION("""COMPUTED_VALUE"""),"Dịch vụ khác")</f>
        <v>Dịch vụ khác</v>
      </c>
      <c r="E657" s="265" t="str">
        <f>IFERROR(__xludf.DUMMYFUNCTION("""COMPUTED_VALUE"""),"TùngLD")</f>
        <v>TùngLD</v>
      </c>
      <c r="F657" s="265" t="str">
        <f>IFERROR(__xludf.DUMMYFUNCTION("""COMPUTED_VALUE"""),"Diamond")</f>
        <v>Diamond</v>
      </c>
      <c r="G657" s="265" t="str">
        <f>IFERROR(__xludf.DUMMYFUNCTION("""COMPUTED_VALUE"""),"Premium")</f>
        <v>Premium</v>
      </c>
      <c r="H657" s="265" t="str">
        <f>IFERROR(__xludf.DUMMYFUNCTION("""COMPUTED_VALUE"""),"Trial")</f>
        <v>Trial</v>
      </c>
      <c r="I657" s="265" t="str">
        <f>IFERROR(__xludf.DUMMYFUNCTION("""COMPUTED_VALUE"""),"API")</f>
        <v>API</v>
      </c>
      <c r="J657" s="265" t="str">
        <f>IFERROR(__xludf.DUMMYFUNCTION("""COMPUTED_VALUE"""),"Viber")</f>
        <v>Viber</v>
      </c>
      <c r="K657" s="265" t="str">
        <f>IFERROR(__xludf.DUMMYFUNCTION("""COMPUTED_VALUE"""),"Không phân công")</f>
        <v>Không phân công</v>
      </c>
    </row>
    <row r="658">
      <c r="A658" s="265" t="str">
        <f>IFERROR(__xludf.DUMMYFUNCTION("""COMPUTED_VALUE"""),"930")</f>
        <v>930</v>
      </c>
      <c r="B658" s="265" t="str">
        <f>IFERROR(__xludf.DUMMYFUNCTION("""COMPUTED_VALUE"""),"Hà Nội")</f>
        <v>Hà Nội</v>
      </c>
      <c r="C658" s="265" t="str">
        <f>IFERROR(__xludf.DUMMYFUNCTION("""COMPUTED_VALUE"""),"Locked")</f>
        <v>Locked</v>
      </c>
      <c r="D658" s="265" t="str">
        <f>IFERROR(__xludf.DUMMYFUNCTION("""COMPUTED_VALUE"""),"Dịch vụ khác")</f>
        <v>Dịch vụ khác</v>
      </c>
      <c r="E658" s="265" t="str">
        <f>IFERROR(__xludf.DUMMYFUNCTION("""COMPUTED_VALUE"""),"TùngLD")</f>
        <v>TùngLD</v>
      </c>
      <c r="F658" s="265" t="str">
        <f>IFERROR(__xludf.DUMMYFUNCTION("""COMPUTED_VALUE"""),"Diamond")</f>
        <v>Diamond</v>
      </c>
      <c r="G658" s="265" t="str">
        <f>IFERROR(__xludf.DUMMYFUNCTION("""COMPUTED_VALUE"""),"Premium")</f>
        <v>Premium</v>
      </c>
      <c r="H658" s="265" t="str">
        <f>IFERROR(__xludf.DUMMYFUNCTION("""COMPUTED_VALUE"""),"Trial")</f>
        <v>Trial</v>
      </c>
      <c r="I658" s="265" t="str">
        <f>IFERROR(__xludf.DUMMYFUNCTION("""COMPUTED_VALUE"""),"API")</f>
        <v>API</v>
      </c>
      <c r="J658" s="265" t="str">
        <f>IFERROR(__xludf.DUMMYFUNCTION("""COMPUTED_VALUE"""),"WhatsApp")</f>
        <v>WhatsApp</v>
      </c>
      <c r="K658" s="265" t="str">
        <f>IFERROR(__xludf.DUMMYFUNCTION("""COMPUTED_VALUE"""),"Không phân công")</f>
        <v>Không phân công</v>
      </c>
    </row>
    <row r="659">
      <c r="A659" s="265" t="str">
        <f>IFERROR(__xludf.DUMMYFUNCTION("""COMPUTED_VALUE"""),"930")</f>
        <v>930</v>
      </c>
      <c r="B659" s="265" t="str">
        <f>IFERROR(__xludf.DUMMYFUNCTION("""COMPUTED_VALUE"""),"Hà Nội")</f>
        <v>Hà Nội</v>
      </c>
      <c r="C659" s="265" t="str">
        <f>IFERROR(__xludf.DUMMYFUNCTION("""COMPUTED_VALUE"""),"Locked")</f>
        <v>Locked</v>
      </c>
      <c r="D659" s="265" t="str">
        <f>IFERROR(__xludf.DUMMYFUNCTION("""COMPUTED_VALUE"""),"Dịch vụ khác")</f>
        <v>Dịch vụ khác</v>
      </c>
      <c r="E659" s="265" t="str">
        <f>IFERROR(__xludf.DUMMYFUNCTION("""COMPUTED_VALUE"""),"TùngLD")</f>
        <v>TùngLD</v>
      </c>
      <c r="F659" s="265" t="str">
        <f>IFERROR(__xludf.DUMMYFUNCTION("""COMPUTED_VALUE"""),"Diamond")</f>
        <v>Diamond</v>
      </c>
      <c r="G659" s="265" t="str">
        <f>IFERROR(__xludf.DUMMYFUNCTION("""COMPUTED_VALUE"""),"Premium")</f>
        <v>Premium</v>
      </c>
      <c r="H659" s="265" t="str">
        <f>IFERROR(__xludf.DUMMYFUNCTION("""COMPUTED_VALUE"""),"Trial")</f>
        <v>Trial</v>
      </c>
      <c r="I659" s="265" t="str">
        <f>IFERROR(__xludf.DUMMYFUNCTION("""COMPUTED_VALUE"""),"API")</f>
        <v>API</v>
      </c>
      <c r="J659" s="265" t="str">
        <f>IFERROR(__xludf.DUMMYFUNCTION("""COMPUTED_VALUE"""),"Email")</f>
        <v>Email</v>
      </c>
      <c r="K659" s="265" t="str">
        <f>IFERROR(__xludf.DUMMYFUNCTION("""COMPUTED_VALUE"""),"Không phân công")</f>
        <v>Không phân công</v>
      </c>
    </row>
    <row r="660">
      <c r="A660" s="265" t="str">
        <f>IFERROR(__xludf.DUMMYFUNCTION("""COMPUTED_VALUE"""),"931")</f>
        <v>931</v>
      </c>
      <c r="B660" s="265" t="str">
        <f>IFERROR(__xludf.DUMMYFUNCTION("""COMPUTED_VALUE"""),"Hà Nội")</f>
        <v>Hà Nội</v>
      </c>
      <c r="C660" s="265" t="str">
        <f>IFERROR(__xludf.DUMMYFUNCTION("""COMPUTED_VALUE"""),"Active")</f>
        <v>Active</v>
      </c>
      <c r="D660" s="265" t="str">
        <f>IFERROR(__xludf.DUMMYFUNCTION("""COMPUTED_VALUE"""),"Công nghệ &amp; Phần mềm")</f>
        <v>Công nghệ &amp; Phần mềm</v>
      </c>
      <c r="E660" s="265" t="str">
        <f>IFERROR(__xludf.DUMMYFUNCTION("""COMPUTED_VALUE"""),"AnhNM")</f>
        <v>AnhNM</v>
      </c>
      <c r="F660" s="265" t="str">
        <f>IFERROR(__xludf.DUMMYFUNCTION("""COMPUTED_VALUE"""),"Silver")</f>
        <v>Silver</v>
      </c>
      <c r="G660" s="265" t="str">
        <f>IFERROR(__xludf.DUMMYFUNCTION("""COMPUTED_VALUE"""),"Starter")</f>
        <v>Starter</v>
      </c>
      <c r="H660" s="265" t="str">
        <f>IFERROR(__xludf.DUMMYFUNCTION("""COMPUTED_VALUE"""),"Trả sau")</f>
        <v>Trả sau</v>
      </c>
      <c r="I660" s="265" t="str">
        <f>IFERROR(__xludf.DUMMYFUNCTION("""COMPUTED_VALUE"""),"API &amp; Portal")</f>
        <v>API &amp; Portal</v>
      </c>
      <c r="J660" s="265" t="str">
        <f>IFERROR(__xludf.DUMMYFUNCTION("""COMPUTED_VALUE"""),"SMS CSKH")</f>
        <v>SMS CSKH</v>
      </c>
      <c r="K660" s="265" t="str">
        <f>IFERROR(__xludf.DUMMYFUNCTION("""COMPUTED_VALUE"""),"DungPL")</f>
        <v>DungPL</v>
      </c>
    </row>
    <row r="661">
      <c r="A661" s="265" t="str">
        <f>IFERROR(__xludf.DUMMYFUNCTION("""COMPUTED_VALUE"""),"931")</f>
        <v>931</v>
      </c>
      <c r="B661" s="265" t="str">
        <f>IFERROR(__xludf.DUMMYFUNCTION("""COMPUTED_VALUE"""),"Hà Nội")</f>
        <v>Hà Nội</v>
      </c>
      <c r="C661" s="265" t="str">
        <f>IFERROR(__xludf.DUMMYFUNCTION("""COMPUTED_VALUE"""),"Active")</f>
        <v>Active</v>
      </c>
      <c r="D661" s="265" t="str">
        <f>IFERROR(__xludf.DUMMYFUNCTION("""COMPUTED_VALUE"""),"Công nghệ &amp; Phần mềm")</f>
        <v>Công nghệ &amp; Phần mềm</v>
      </c>
      <c r="E661" s="265" t="str">
        <f>IFERROR(__xludf.DUMMYFUNCTION("""COMPUTED_VALUE"""),"AnhNM")</f>
        <v>AnhNM</v>
      </c>
      <c r="F661" s="265" t="str">
        <f>IFERROR(__xludf.DUMMYFUNCTION("""COMPUTED_VALUE"""),"Silver")</f>
        <v>Silver</v>
      </c>
      <c r="G661" s="265" t="str">
        <f>IFERROR(__xludf.DUMMYFUNCTION("""COMPUTED_VALUE"""),"Starter")</f>
        <v>Starter</v>
      </c>
      <c r="H661" s="265" t="str">
        <f>IFERROR(__xludf.DUMMYFUNCTION("""COMPUTED_VALUE"""),"Trả sau")</f>
        <v>Trả sau</v>
      </c>
      <c r="I661" s="265" t="str">
        <f>IFERROR(__xludf.DUMMYFUNCTION("""COMPUTED_VALUE"""),"API &amp; Portal")</f>
        <v>API &amp; Portal</v>
      </c>
      <c r="J661" s="265" t="str">
        <f>IFERROR(__xludf.DUMMYFUNCTION("""COMPUTED_VALUE"""),"Zalo ZNS")</f>
        <v>Zalo ZNS</v>
      </c>
      <c r="K661" s="265" t="str">
        <f>IFERROR(__xludf.DUMMYFUNCTION("""COMPUTED_VALUE"""),"DungPL")</f>
        <v>DungPL</v>
      </c>
    </row>
    <row r="662">
      <c r="A662" s="265" t="str">
        <f>IFERROR(__xludf.DUMMYFUNCTION("""COMPUTED_VALUE"""),"932")</f>
        <v>932</v>
      </c>
      <c r="B662" s="265" t="str">
        <f>IFERROR(__xludf.DUMMYFUNCTION("""COMPUTED_VALUE"""),"Hà Nội")</f>
        <v>Hà Nội</v>
      </c>
      <c r="C662" s="265" t="str">
        <f>IFERROR(__xludf.DUMMYFUNCTION("""COMPUTED_VALUE"""),"Active")</f>
        <v>Active</v>
      </c>
      <c r="D662" s="265" t="str">
        <f>IFERROR(__xludf.DUMMYFUNCTION("""COMPUTED_VALUE"""),"Giáo dục &amp; Đào tạo")</f>
        <v>Giáo dục &amp; Đào tạo</v>
      </c>
      <c r="E662" s="265" t="str">
        <f>IFERROR(__xludf.DUMMYFUNCTION("""COMPUTED_VALUE"""),"AnhNM")</f>
        <v>AnhNM</v>
      </c>
      <c r="F662" s="265" t="str">
        <f>IFERROR(__xludf.DUMMYFUNCTION("""COMPUTED_VALUE"""),"Silver")</f>
        <v>Silver</v>
      </c>
      <c r="G662" s="265" t="str">
        <f>IFERROR(__xludf.DUMMYFUNCTION("""COMPUTED_VALUE"""),"Starter")</f>
        <v>Starter</v>
      </c>
      <c r="H662" s="265" t="str">
        <f>IFERROR(__xludf.DUMMYFUNCTION("""COMPUTED_VALUE"""),"Trả sau")</f>
        <v>Trả sau</v>
      </c>
      <c r="I662" s="265" t="str">
        <f>IFERROR(__xludf.DUMMYFUNCTION("""COMPUTED_VALUE"""),"API &amp; Portal")</f>
        <v>API &amp; Portal</v>
      </c>
      <c r="J662" s="265" t="str">
        <f>IFERROR(__xludf.DUMMYFUNCTION("""COMPUTED_VALUE"""),"Email")</f>
        <v>Email</v>
      </c>
      <c r="K662" s="265" t="str">
        <f>IFERROR(__xludf.DUMMYFUNCTION("""COMPUTED_VALUE"""),"Không phân công")</f>
        <v>Không phân công</v>
      </c>
    </row>
    <row r="663">
      <c r="A663" s="265" t="str">
        <f>IFERROR(__xludf.DUMMYFUNCTION("""COMPUTED_VALUE"""),"933")</f>
        <v>933</v>
      </c>
      <c r="B663" s="265" t="str">
        <f>IFERROR(__xludf.DUMMYFUNCTION("""COMPUTED_VALUE"""),"Hà Nội")</f>
        <v>Hà Nội</v>
      </c>
      <c r="C663" s="265" t="str">
        <f>IFERROR(__xludf.DUMMYFUNCTION("""COMPUTED_VALUE"""),"Locked")</f>
        <v>Locked</v>
      </c>
      <c r="D663" s="265" t="str">
        <f>IFERROR(__xludf.DUMMYFUNCTION("""COMPUTED_VALUE"""),"Vận tải &amp; logistics")</f>
        <v>Vận tải &amp; logistics</v>
      </c>
      <c r="E663" s="265" t="str">
        <f>IFERROR(__xludf.DUMMYFUNCTION("""COMPUTED_VALUE"""),"Không phân công")</f>
        <v>Không phân công</v>
      </c>
      <c r="F663" s="265" t="str">
        <f>IFERROR(__xludf.DUMMYFUNCTION("""COMPUTED_VALUE"""),"Bronze")</f>
        <v>Bronze</v>
      </c>
      <c r="G663" s="265" t="str">
        <f>IFERROR(__xludf.DUMMYFUNCTION("""COMPUTED_VALUE"""),"Starter")</f>
        <v>Starter</v>
      </c>
      <c r="H663" s="265" t="str">
        <f>IFERROR(__xludf.DUMMYFUNCTION("""COMPUTED_VALUE"""),"Trả sau")</f>
        <v>Trả sau</v>
      </c>
      <c r="I663" s="265" t="str">
        <f>IFERROR(__xludf.DUMMYFUNCTION("""COMPUTED_VALUE"""),"API")</f>
        <v>API</v>
      </c>
      <c r="J663" s="265" t="str">
        <f>IFERROR(__xludf.DUMMYFUNCTION("""COMPUTED_VALUE"""),"SMS CSKH")</f>
        <v>SMS CSKH</v>
      </c>
      <c r="K663" s="265" t="str">
        <f>IFERROR(__xludf.DUMMYFUNCTION("""COMPUTED_VALUE"""),"DungVT")</f>
        <v>DungVT</v>
      </c>
    </row>
    <row r="664">
      <c r="A664" s="265" t="str">
        <f>IFERROR(__xludf.DUMMYFUNCTION("""COMPUTED_VALUE"""),"934")</f>
        <v>934</v>
      </c>
      <c r="B664" s="265" t="str">
        <f>IFERROR(__xludf.DUMMYFUNCTION("""COMPUTED_VALUE"""),"Đà Nẵng")</f>
        <v>Đà Nẵng</v>
      </c>
      <c r="C664" s="265" t="str">
        <f>IFERROR(__xludf.DUMMYFUNCTION("""COMPUTED_VALUE"""),"Locked")</f>
        <v>Locked</v>
      </c>
      <c r="D664" s="265" t="str">
        <f>IFERROR(__xludf.DUMMYFUNCTION("""COMPUTED_VALUE"""),"Tài chính &amp; Ngân hàng")</f>
        <v>Tài chính &amp; Ngân hàng</v>
      </c>
      <c r="E664" s="265" t="str">
        <f>IFERROR(__xludf.DUMMYFUNCTION("""COMPUTED_VALUE"""),"TùngLD")</f>
        <v>TùngLD</v>
      </c>
      <c r="F664" s="265" t="str">
        <f>IFERROR(__xludf.DUMMYFUNCTION("""COMPUTED_VALUE"""),"Diamond")</f>
        <v>Diamond</v>
      </c>
      <c r="G664" s="265" t="str">
        <f>IFERROR(__xludf.DUMMYFUNCTION("""COMPUTED_VALUE"""),"Premium")</f>
        <v>Premium</v>
      </c>
      <c r="H664" s="265" t="str">
        <f>IFERROR(__xludf.DUMMYFUNCTION("""COMPUTED_VALUE"""),"Trial")</f>
        <v>Trial</v>
      </c>
      <c r="I664" s="265" t="str">
        <f>IFERROR(__xludf.DUMMYFUNCTION("""COMPUTED_VALUE"""),"API &amp; Portal")</f>
        <v>API &amp; Portal</v>
      </c>
      <c r="J664" s="265" t="str">
        <f>IFERROR(__xludf.DUMMYFUNCTION("""COMPUTED_VALUE"""),"SMS CSKH")</f>
        <v>SMS CSKH</v>
      </c>
      <c r="K664" s="265" t="str">
        <f>IFERROR(__xludf.DUMMYFUNCTION("""COMPUTED_VALUE"""),"Không phân công")</f>
        <v>Không phân công</v>
      </c>
    </row>
    <row r="665">
      <c r="A665" s="265" t="str">
        <f>IFERROR(__xludf.DUMMYFUNCTION("""COMPUTED_VALUE"""),"934")</f>
        <v>934</v>
      </c>
      <c r="B665" s="265" t="str">
        <f>IFERROR(__xludf.DUMMYFUNCTION("""COMPUTED_VALUE"""),"Đà Nẵng")</f>
        <v>Đà Nẵng</v>
      </c>
      <c r="C665" s="265" t="str">
        <f>IFERROR(__xludf.DUMMYFUNCTION("""COMPUTED_VALUE"""),"Locked")</f>
        <v>Locked</v>
      </c>
      <c r="D665" s="265" t="str">
        <f>IFERROR(__xludf.DUMMYFUNCTION("""COMPUTED_VALUE"""),"Tài chính &amp; Ngân hàng")</f>
        <v>Tài chính &amp; Ngân hàng</v>
      </c>
      <c r="E665" s="265" t="str">
        <f>IFERROR(__xludf.DUMMYFUNCTION("""COMPUTED_VALUE"""),"TùngLD")</f>
        <v>TùngLD</v>
      </c>
      <c r="F665" s="265" t="str">
        <f>IFERROR(__xludf.DUMMYFUNCTION("""COMPUTED_VALUE"""),"Diamond")</f>
        <v>Diamond</v>
      </c>
      <c r="G665" s="265" t="str">
        <f>IFERROR(__xludf.DUMMYFUNCTION("""COMPUTED_VALUE"""),"Premium")</f>
        <v>Premium</v>
      </c>
      <c r="H665" s="265" t="str">
        <f>IFERROR(__xludf.DUMMYFUNCTION("""COMPUTED_VALUE"""),"Trial")</f>
        <v>Trial</v>
      </c>
      <c r="I665" s="265" t="str">
        <f>IFERROR(__xludf.DUMMYFUNCTION("""COMPUTED_VALUE"""),"API &amp; Portal")</f>
        <v>API &amp; Portal</v>
      </c>
      <c r="J665" s="265" t="str">
        <f>IFERROR(__xludf.DUMMYFUNCTION("""COMPUTED_VALUE"""),"Zalo ZNS")</f>
        <v>Zalo ZNS</v>
      </c>
      <c r="K665" s="265" t="str">
        <f>IFERROR(__xludf.DUMMYFUNCTION("""COMPUTED_VALUE"""),"Không phân công")</f>
        <v>Không phân công</v>
      </c>
    </row>
    <row r="666">
      <c r="A666" s="265" t="str">
        <f>IFERROR(__xludf.DUMMYFUNCTION("""COMPUTED_VALUE"""),"935")</f>
        <v>935</v>
      </c>
      <c r="B666" s="265" t="str">
        <f>IFERROR(__xludf.DUMMYFUNCTION("""COMPUTED_VALUE"""),"Đà Nẵng")</f>
        <v>Đà Nẵng</v>
      </c>
      <c r="C666" s="265" t="str">
        <f>IFERROR(__xludf.DUMMYFUNCTION("""COMPUTED_VALUE"""),"Locked")</f>
        <v>Locked</v>
      </c>
      <c r="D666" s="265" t="str">
        <f>IFERROR(__xludf.DUMMYFUNCTION("""COMPUTED_VALUE"""),"Dịch vụ khác")</f>
        <v>Dịch vụ khác</v>
      </c>
      <c r="E666" s="265" t="str">
        <f>IFERROR(__xludf.DUMMYFUNCTION("""COMPUTED_VALUE"""),"TùngLD")</f>
        <v>TùngLD</v>
      </c>
      <c r="F666" s="265" t="str">
        <f>IFERROR(__xludf.DUMMYFUNCTION("""COMPUTED_VALUE"""),"Diamond")</f>
        <v>Diamond</v>
      </c>
      <c r="G666" s="265" t="str">
        <f>IFERROR(__xludf.DUMMYFUNCTION("""COMPUTED_VALUE"""),"Premium")</f>
        <v>Premium</v>
      </c>
      <c r="H666" s="265" t="str">
        <f>IFERROR(__xludf.DUMMYFUNCTION("""COMPUTED_VALUE"""),"Trial")</f>
        <v>Trial</v>
      </c>
      <c r="I666" s="265" t="str">
        <f>IFERROR(__xludf.DUMMYFUNCTION("""COMPUTED_VALUE"""),"API &amp; Portal")</f>
        <v>API &amp; Portal</v>
      </c>
      <c r="J666" s="265" t="str">
        <f>IFERROR(__xludf.DUMMYFUNCTION("""COMPUTED_VALUE"""),"SMS CSKH")</f>
        <v>SMS CSKH</v>
      </c>
      <c r="K666" s="265" t="str">
        <f>IFERROR(__xludf.DUMMYFUNCTION("""COMPUTED_VALUE"""),"Không phân công")</f>
        <v>Không phân công</v>
      </c>
    </row>
    <row r="667">
      <c r="A667" s="265" t="str">
        <f>IFERROR(__xludf.DUMMYFUNCTION("""COMPUTED_VALUE"""),"935")</f>
        <v>935</v>
      </c>
      <c r="B667" s="265" t="str">
        <f>IFERROR(__xludf.DUMMYFUNCTION("""COMPUTED_VALUE"""),"Đà Nẵng")</f>
        <v>Đà Nẵng</v>
      </c>
      <c r="C667" s="265" t="str">
        <f>IFERROR(__xludf.DUMMYFUNCTION("""COMPUTED_VALUE"""),"Locked")</f>
        <v>Locked</v>
      </c>
      <c r="D667" s="265" t="str">
        <f>IFERROR(__xludf.DUMMYFUNCTION("""COMPUTED_VALUE"""),"Dịch vụ khác")</f>
        <v>Dịch vụ khác</v>
      </c>
      <c r="E667" s="265" t="str">
        <f>IFERROR(__xludf.DUMMYFUNCTION("""COMPUTED_VALUE"""),"TùngLD")</f>
        <v>TùngLD</v>
      </c>
      <c r="F667" s="265" t="str">
        <f>IFERROR(__xludf.DUMMYFUNCTION("""COMPUTED_VALUE"""),"Diamond")</f>
        <v>Diamond</v>
      </c>
      <c r="G667" s="265" t="str">
        <f>IFERROR(__xludf.DUMMYFUNCTION("""COMPUTED_VALUE"""),"Premium")</f>
        <v>Premium</v>
      </c>
      <c r="H667" s="265" t="str">
        <f>IFERROR(__xludf.DUMMYFUNCTION("""COMPUTED_VALUE"""),"Trial")</f>
        <v>Trial</v>
      </c>
      <c r="I667" s="265" t="str">
        <f>IFERROR(__xludf.DUMMYFUNCTION("""COMPUTED_VALUE"""),"API &amp; Portal")</f>
        <v>API &amp; Portal</v>
      </c>
      <c r="J667" s="265" t="str">
        <f>IFERROR(__xludf.DUMMYFUNCTION("""COMPUTED_VALUE"""),"Zalo ZNS")</f>
        <v>Zalo ZNS</v>
      </c>
      <c r="K667" s="265" t="str">
        <f>IFERROR(__xludf.DUMMYFUNCTION("""COMPUTED_VALUE"""),"Không phân công")</f>
        <v>Không phân công</v>
      </c>
    </row>
    <row r="668">
      <c r="A668" s="265" t="str">
        <f>IFERROR(__xludf.DUMMYFUNCTION("""COMPUTED_VALUE"""),"936")</f>
        <v>936</v>
      </c>
      <c r="B668" s="265" t="str">
        <f>IFERROR(__xludf.DUMMYFUNCTION("""COMPUTED_VALUE"""),"Sài Gòn")</f>
        <v>Sài Gòn</v>
      </c>
      <c r="C668" s="265" t="str">
        <f>IFERROR(__xludf.DUMMYFUNCTION("""COMPUTED_VALUE"""),"Locked")</f>
        <v>Locked</v>
      </c>
      <c r="D668" s="265" t="str">
        <f>IFERROR(__xludf.DUMMYFUNCTION("""COMPUTED_VALUE"""),"Thực phẩm &amp; Đồ uống")</f>
        <v>Thực phẩm &amp; Đồ uống</v>
      </c>
      <c r="E668" s="265" t="str">
        <f>IFERROR(__xludf.DUMMYFUNCTION("""COMPUTED_VALUE"""),"HoaNTM")</f>
        <v>HoaNTM</v>
      </c>
      <c r="F668" s="265" t="str">
        <f>IFERROR(__xludf.DUMMYFUNCTION("""COMPUTED_VALUE"""),"Diamond")</f>
        <v>Diamond</v>
      </c>
      <c r="G668" s="265" t="str">
        <f>IFERROR(__xludf.DUMMYFUNCTION("""COMPUTED_VALUE"""),"Starter")</f>
        <v>Starter</v>
      </c>
      <c r="H668" s="265" t="str">
        <f>IFERROR(__xludf.DUMMYFUNCTION("""COMPUTED_VALUE"""),"Trả trước")</f>
        <v>Trả trước</v>
      </c>
      <c r="I668" s="265" t="str">
        <f>IFERROR(__xludf.DUMMYFUNCTION("""COMPUTED_VALUE"""),"Portal")</f>
        <v>Portal</v>
      </c>
      <c r="J668" s="265" t="str">
        <f>IFERROR(__xludf.DUMMYFUNCTION("""COMPUTED_VALUE"""),"Zalo ZNS")</f>
        <v>Zalo ZNS</v>
      </c>
      <c r="K668" s="265" t="str">
        <f>IFERROR(__xludf.DUMMYFUNCTION("""COMPUTED_VALUE"""),"YếnĐH")</f>
        <v>YếnĐH</v>
      </c>
    </row>
    <row r="669">
      <c r="A669" s="265" t="str">
        <f>IFERROR(__xludf.DUMMYFUNCTION("""COMPUTED_VALUE"""),"937")</f>
        <v>937</v>
      </c>
      <c r="B669" s="265" t="str">
        <f>IFERROR(__xludf.DUMMYFUNCTION("""COMPUTED_VALUE"""),"Hà Nội")</f>
        <v>Hà Nội</v>
      </c>
      <c r="C669" s="265" t="str">
        <f>IFERROR(__xludf.DUMMYFUNCTION("""COMPUTED_VALUE"""),"Active")</f>
        <v>Active</v>
      </c>
      <c r="D669" s="265" t="str">
        <f>IFERROR(__xludf.DUMMYFUNCTION("""COMPUTED_VALUE"""),"Y tế &amp; Dược phẩm")</f>
        <v>Y tế &amp; Dược phẩm</v>
      </c>
      <c r="E669" s="265" t="str">
        <f>IFERROR(__xludf.DUMMYFUNCTION("""COMPUTED_VALUE"""),"TùngLD")</f>
        <v>TùngLD</v>
      </c>
      <c r="F669" s="265" t="str">
        <f>IFERROR(__xludf.DUMMYFUNCTION("""COMPUTED_VALUE"""),"Sale chưa cung cấp")</f>
        <v>Sale chưa cung cấp</v>
      </c>
      <c r="G669" s="265" t="str">
        <f>IFERROR(__xludf.DUMMYFUNCTION("""COMPUTED_VALUE"""),"Premium")</f>
        <v>Premium</v>
      </c>
      <c r="H669" s="265" t="str">
        <f>IFERROR(__xludf.DUMMYFUNCTION("""COMPUTED_VALUE"""),"Trả sau")</f>
        <v>Trả sau</v>
      </c>
      <c r="I669" s="265" t="str">
        <f>IFERROR(__xludf.DUMMYFUNCTION("""COMPUTED_VALUE"""),"API &amp; Portal")</f>
        <v>API &amp; Portal</v>
      </c>
      <c r="J669" s="265" t="str">
        <f>IFERROR(__xludf.DUMMYFUNCTION("""COMPUTED_VALUE"""),"Zalo ZNS")</f>
        <v>Zalo ZNS</v>
      </c>
      <c r="K669" s="265" t="str">
        <f>IFERROR(__xludf.DUMMYFUNCTION("""COMPUTED_VALUE"""),"LinhNTT1")</f>
        <v>LinhNTT1</v>
      </c>
    </row>
    <row r="670">
      <c r="A670" s="265" t="str">
        <f>IFERROR(__xludf.DUMMYFUNCTION("""COMPUTED_VALUE"""),"938")</f>
        <v>938</v>
      </c>
      <c r="B670" s="265" t="str">
        <f>IFERROR(__xludf.DUMMYFUNCTION("""COMPUTED_VALUE"""),"Hà Nội")</f>
        <v>Hà Nội</v>
      </c>
      <c r="C670" s="265" t="str">
        <f>IFERROR(__xludf.DUMMYFUNCTION("""COMPUTED_VALUE"""),"Active")</f>
        <v>Active</v>
      </c>
      <c r="D670" s="265" t="str">
        <f>IFERROR(__xludf.DUMMYFUNCTION("""COMPUTED_VALUE"""),"Viễn thông")</f>
        <v>Viễn thông</v>
      </c>
      <c r="E670" s="265" t="str">
        <f>IFERROR(__xludf.DUMMYFUNCTION("""COMPUTED_VALUE"""),"TúPHN")</f>
        <v>TúPHN</v>
      </c>
      <c r="F670" s="265" t="str">
        <f>IFERROR(__xludf.DUMMYFUNCTION("""COMPUTED_VALUE"""),"Diamond")</f>
        <v>Diamond</v>
      </c>
      <c r="G670" s="265" t="str">
        <f>IFERROR(__xludf.DUMMYFUNCTION("""COMPUTED_VALUE"""),"Starter")</f>
        <v>Starter</v>
      </c>
      <c r="H670" s="265" t="str">
        <f>IFERROR(__xludf.DUMMYFUNCTION("""COMPUTED_VALUE"""),"Trả sau")</f>
        <v>Trả sau</v>
      </c>
      <c r="I670" s="265" t="str">
        <f>IFERROR(__xludf.DUMMYFUNCTION("""COMPUTED_VALUE"""),"API &amp; Portal")</f>
        <v>API &amp; Portal</v>
      </c>
      <c r="J670" s="265" t="str">
        <f>IFERROR(__xludf.DUMMYFUNCTION("""COMPUTED_VALUE"""),"Zalo ZNS")</f>
        <v>Zalo ZNS</v>
      </c>
      <c r="K670" s="265" t="str">
        <f>IFERROR(__xludf.DUMMYFUNCTION("""COMPUTED_VALUE"""),"DungPL")</f>
        <v>DungPL</v>
      </c>
    </row>
    <row r="671">
      <c r="A671" s="265" t="str">
        <f>IFERROR(__xludf.DUMMYFUNCTION("""COMPUTED_VALUE"""),"938")</f>
        <v>938</v>
      </c>
      <c r="B671" s="265" t="str">
        <f>IFERROR(__xludf.DUMMYFUNCTION("""COMPUTED_VALUE"""),"Hà Nội")</f>
        <v>Hà Nội</v>
      </c>
      <c r="C671" s="265" t="str">
        <f>IFERROR(__xludf.DUMMYFUNCTION("""COMPUTED_VALUE"""),"Active")</f>
        <v>Active</v>
      </c>
      <c r="D671" s="265" t="str">
        <f>IFERROR(__xludf.DUMMYFUNCTION("""COMPUTED_VALUE"""),"Viễn thông")</f>
        <v>Viễn thông</v>
      </c>
      <c r="E671" s="265" t="str">
        <f>IFERROR(__xludf.DUMMYFUNCTION("""COMPUTED_VALUE"""),"TúPHN")</f>
        <v>TúPHN</v>
      </c>
      <c r="F671" s="265" t="str">
        <f>IFERROR(__xludf.DUMMYFUNCTION("""COMPUTED_VALUE"""),"Diamond")</f>
        <v>Diamond</v>
      </c>
      <c r="G671" s="265" t="str">
        <f>IFERROR(__xludf.DUMMYFUNCTION("""COMPUTED_VALUE"""),"Starter")</f>
        <v>Starter</v>
      </c>
      <c r="H671" s="265" t="str">
        <f>IFERROR(__xludf.DUMMYFUNCTION("""COMPUTED_VALUE"""),"Trả sau")</f>
        <v>Trả sau</v>
      </c>
      <c r="I671" s="265" t="str">
        <f>IFERROR(__xludf.DUMMYFUNCTION("""COMPUTED_VALUE"""),"API &amp; Portal")</f>
        <v>API &amp; Portal</v>
      </c>
      <c r="J671" s="265" t="str">
        <f>IFERROR(__xludf.DUMMYFUNCTION("""COMPUTED_VALUE"""),"Zalo UID")</f>
        <v>Zalo UID</v>
      </c>
      <c r="K671" s="265" t="str">
        <f>IFERROR(__xludf.DUMMYFUNCTION("""COMPUTED_VALUE"""),"DungPL")</f>
        <v>DungPL</v>
      </c>
    </row>
    <row r="672">
      <c r="A672" s="265" t="str">
        <f>IFERROR(__xludf.DUMMYFUNCTION("""COMPUTED_VALUE"""),"939")</f>
        <v>939</v>
      </c>
      <c r="B672" s="265" t="str">
        <f>IFERROR(__xludf.DUMMYFUNCTION("""COMPUTED_VALUE"""),"Hà Nội")</f>
        <v>Hà Nội</v>
      </c>
      <c r="C672" s="265" t="str">
        <f>IFERROR(__xludf.DUMMYFUNCTION("""COMPUTED_VALUE"""),"Active")</f>
        <v>Active</v>
      </c>
      <c r="D672" s="265" t="str">
        <f>IFERROR(__xludf.DUMMYFUNCTION("""COMPUTED_VALUE"""),"Truyền thông &amp; Giải trí")</f>
        <v>Truyền thông &amp; Giải trí</v>
      </c>
      <c r="E672" s="265" t="str">
        <f>IFERROR(__xludf.DUMMYFUNCTION("""COMPUTED_VALUE"""),"TúPHN")</f>
        <v>TúPHN</v>
      </c>
      <c r="F672" s="265" t="str">
        <f>IFERROR(__xludf.DUMMYFUNCTION("""COMPUTED_VALUE"""),"Silver")</f>
        <v>Silver</v>
      </c>
      <c r="G672" s="265" t="str">
        <f>IFERROR(__xludf.DUMMYFUNCTION("""COMPUTED_VALUE"""),"Starter")</f>
        <v>Starter</v>
      </c>
      <c r="H672" s="265" t="str">
        <f>IFERROR(__xludf.DUMMYFUNCTION("""COMPUTED_VALUE"""),"Trả sau")</f>
        <v>Trả sau</v>
      </c>
      <c r="I672" s="265" t="str">
        <f>IFERROR(__xludf.DUMMYFUNCTION("""COMPUTED_VALUE"""),"API")</f>
        <v>API</v>
      </c>
      <c r="J672" s="265" t="str">
        <f>IFERROR(__xludf.DUMMYFUNCTION("""COMPUTED_VALUE"""),"SMS CSKH")</f>
        <v>SMS CSKH</v>
      </c>
      <c r="K672" s="265" t="str">
        <f>IFERROR(__xludf.DUMMYFUNCTION("""COMPUTED_VALUE"""),"Không phân công")</f>
        <v>Không phân công</v>
      </c>
    </row>
    <row r="673">
      <c r="A673" s="265" t="str">
        <f>IFERROR(__xludf.DUMMYFUNCTION("""COMPUTED_VALUE"""),"940")</f>
        <v>940</v>
      </c>
      <c r="B673" s="265" t="str">
        <f>IFERROR(__xludf.DUMMYFUNCTION("""COMPUTED_VALUE"""),"Hà Nội")</f>
        <v>Hà Nội</v>
      </c>
      <c r="C673" s="265" t="str">
        <f>IFERROR(__xludf.DUMMYFUNCTION("""COMPUTED_VALUE"""),"Active")</f>
        <v>Active</v>
      </c>
      <c r="D673" s="265" t="str">
        <f>IFERROR(__xludf.DUMMYFUNCTION("""COMPUTED_VALUE"""),"Y tế &amp; Dược phẩm")</f>
        <v>Y tế &amp; Dược phẩm</v>
      </c>
      <c r="E673" s="265" t="str">
        <f>IFERROR(__xludf.DUMMYFUNCTION("""COMPUTED_VALUE"""),"Không phân công")</f>
        <v>Không phân công</v>
      </c>
      <c r="F673" s="265" t="str">
        <f>IFERROR(__xludf.DUMMYFUNCTION("""COMPUTED_VALUE"""),"Silver")</f>
        <v>Silver</v>
      </c>
      <c r="G673" s="265" t="str">
        <f>IFERROR(__xludf.DUMMYFUNCTION("""COMPUTED_VALUE"""),"Starter")</f>
        <v>Starter</v>
      </c>
      <c r="H673" s="265" t="str">
        <f>IFERROR(__xludf.DUMMYFUNCTION("""COMPUTED_VALUE"""),"Trả sau")</f>
        <v>Trả sau</v>
      </c>
      <c r="I673" s="265" t="str">
        <f>IFERROR(__xludf.DUMMYFUNCTION("""COMPUTED_VALUE"""),"Portal")</f>
        <v>Portal</v>
      </c>
      <c r="J673" s="265" t="str">
        <f>IFERROR(__xludf.DUMMYFUNCTION("""COMPUTED_VALUE"""),"SMS CSKH")</f>
        <v>SMS CSKH</v>
      </c>
      <c r="K673" s="265" t="str">
        <f>IFERROR(__xludf.DUMMYFUNCTION("""COMPUTED_VALUE"""),"DungPL")</f>
        <v>DungPL</v>
      </c>
    </row>
    <row r="674">
      <c r="A674" s="265" t="str">
        <f>IFERROR(__xludf.DUMMYFUNCTION("""COMPUTED_VALUE"""),"941")</f>
        <v>941</v>
      </c>
      <c r="B674" s="265" t="str">
        <f>IFERROR(__xludf.DUMMYFUNCTION("""COMPUTED_VALUE"""),"Hà Nội")</f>
        <v>Hà Nội</v>
      </c>
      <c r="C674" s="265" t="str">
        <f>IFERROR(__xludf.DUMMYFUNCTION("""COMPUTED_VALUE"""),"Active")</f>
        <v>Active</v>
      </c>
      <c r="D674" s="265" t="str">
        <f>IFERROR(__xludf.DUMMYFUNCTION("""COMPUTED_VALUE"""),"Giáo dục &amp; Đào tạo")</f>
        <v>Giáo dục &amp; Đào tạo</v>
      </c>
      <c r="E674" s="265" t="str">
        <f>IFERROR(__xludf.DUMMYFUNCTION("""COMPUTED_VALUE"""),"AnhNM")</f>
        <v>AnhNM</v>
      </c>
      <c r="F674" s="265" t="str">
        <f>IFERROR(__xludf.DUMMYFUNCTION("""COMPUTED_VALUE"""),"Bronze")</f>
        <v>Bronze</v>
      </c>
      <c r="G674" s="265" t="str">
        <f>IFERROR(__xludf.DUMMYFUNCTION("""COMPUTED_VALUE"""),"Starter")</f>
        <v>Starter</v>
      </c>
      <c r="H674" s="265" t="str">
        <f>IFERROR(__xludf.DUMMYFUNCTION("""COMPUTED_VALUE"""),"Trả sau")</f>
        <v>Trả sau</v>
      </c>
      <c r="I674" s="265" t="str">
        <f>IFERROR(__xludf.DUMMYFUNCTION("""COMPUTED_VALUE"""),"API")</f>
        <v>API</v>
      </c>
      <c r="J674" s="265" t="str">
        <f>IFERROR(__xludf.DUMMYFUNCTION("""COMPUTED_VALUE"""),"SMS CSKH")</f>
        <v>SMS CSKH</v>
      </c>
      <c r="K674" s="265" t="str">
        <f>IFERROR(__xludf.DUMMYFUNCTION("""COMPUTED_VALUE"""),"DungVT
DungPL")</f>
        <v>DungVT
DungPL</v>
      </c>
    </row>
    <row r="675">
      <c r="A675" s="265" t="str">
        <f>IFERROR(__xludf.DUMMYFUNCTION("""COMPUTED_VALUE"""),"941")</f>
        <v>941</v>
      </c>
      <c r="B675" s="265" t="str">
        <f>IFERROR(__xludf.DUMMYFUNCTION("""COMPUTED_VALUE"""),"Hà Nội")</f>
        <v>Hà Nội</v>
      </c>
      <c r="C675" s="265" t="str">
        <f>IFERROR(__xludf.DUMMYFUNCTION("""COMPUTED_VALUE"""),"Active")</f>
        <v>Active</v>
      </c>
      <c r="D675" s="265" t="str">
        <f>IFERROR(__xludf.DUMMYFUNCTION("""COMPUTED_VALUE"""),"Giáo dục &amp; Đào tạo")</f>
        <v>Giáo dục &amp; Đào tạo</v>
      </c>
      <c r="E675" s="265" t="str">
        <f>IFERROR(__xludf.DUMMYFUNCTION("""COMPUTED_VALUE"""),"AnhNM")</f>
        <v>AnhNM</v>
      </c>
      <c r="F675" s="265" t="str">
        <f>IFERROR(__xludf.DUMMYFUNCTION("""COMPUTED_VALUE"""),"Bronze")</f>
        <v>Bronze</v>
      </c>
      <c r="G675" s="265" t="str">
        <f>IFERROR(__xludf.DUMMYFUNCTION("""COMPUTED_VALUE"""),"Starter")</f>
        <v>Starter</v>
      </c>
      <c r="H675" s="265" t="str">
        <f>IFERROR(__xludf.DUMMYFUNCTION("""COMPUTED_VALUE"""),"Trả sau")</f>
        <v>Trả sau</v>
      </c>
      <c r="I675" s="265" t="str">
        <f>IFERROR(__xludf.DUMMYFUNCTION("""COMPUTED_VALUE"""),"API")</f>
        <v>API</v>
      </c>
      <c r="J675" s="265" t="str">
        <f>IFERROR(__xludf.DUMMYFUNCTION("""COMPUTED_VALUE"""),"Zalo ZNS")</f>
        <v>Zalo ZNS</v>
      </c>
      <c r="K675" s="265" t="str">
        <f>IFERROR(__xludf.DUMMYFUNCTION("""COMPUTED_VALUE"""),"DungVT
DungPL")</f>
        <v>DungVT
DungPL</v>
      </c>
    </row>
    <row r="676">
      <c r="A676" s="265" t="str">
        <f>IFERROR(__xludf.DUMMYFUNCTION("""COMPUTED_VALUE"""),"942")</f>
        <v>942</v>
      </c>
      <c r="B676" s="265" t="str">
        <f>IFERROR(__xludf.DUMMYFUNCTION("""COMPUTED_VALUE"""),"Sài Gòn")</f>
        <v>Sài Gòn</v>
      </c>
      <c r="C676" s="265" t="str">
        <f>IFERROR(__xludf.DUMMYFUNCTION("""COMPUTED_VALUE"""),"Active")</f>
        <v>Active</v>
      </c>
      <c r="D676" s="265" t="str">
        <f>IFERROR(__xludf.DUMMYFUNCTION("""COMPUTED_VALUE"""),"Viễn thông")</f>
        <v>Viễn thông</v>
      </c>
      <c r="E676" s="265" t="str">
        <f>IFERROR(__xludf.DUMMYFUNCTION("""COMPUTED_VALUE"""),"AnhNM")</f>
        <v>AnhNM</v>
      </c>
      <c r="F676" s="265" t="str">
        <f>IFERROR(__xludf.DUMMYFUNCTION("""COMPUTED_VALUE"""),"Gold")</f>
        <v>Gold</v>
      </c>
      <c r="G676" s="265" t="str">
        <f>IFERROR(__xludf.DUMMYFUNCTION("""COMPUTED_VALUE"""),"Premium")</f>
        <v>Premium</v>
      </c>
      <c r="H676" s="265" t="str">
        <f>IFERROR(__xludf.DUMMYFUNCTION("""COMPUTED_VALUE"""),"Trả sau")</f>
        <v>Trả sau</v>
      </c>
      <c r="I676" s="265" t="str">
        <f>IFERROR(__xludf.DUMMYFUNCTION("""COMPUTED_VALUE"""),"API &amp; Portal")</f>
        <v>API &amp; Portal</v>
      </c>
      <c r="J676" s="265" t="str">
        <f>IFERROR(__xludf.DUMMYFUNCTION("""COMPUTED_VALUE"""),"Zalo ZNS")</f>
        <v>Zalo ZNS</v>
      </c>
      <c r="K676" s="265" t="str">
        <f>IFERROR(__xludf.DUMMYFUNCTION("""COMPUTED_VALUE"""),"DungPL")</f>
        <v>DungPL</v>
      </c>
    </row>
    <row r="677">
      <c r="A677" s="265" t="str">
        <f>IFERROR(__xludf.DUMMYFUNCTION("""COMPUTED_VALUE"""),"943")</f>
        <v>943</v>
      </c>
      <c r="B677" s="265" t="str">
        <f>IFERROR(__xludf.DUMMYFUNCTION("""COMPUTED_VALUE"""),"Hà Nội")</f>
        <v>Hà Nội</v>
      </c>
      <c r="C677" s="265" t="str">
        <f>IFERROR(__xludf.DUMMYFUNCTION("""COMPUTED_VALUE"""),"Active")</f>
        <v>Active</v>
      </c>
      <c r="D677" s="265" t="str">
        <f>IFERROR(__xludf.DUMMYFUNCTION("""COMPUTED_VALUE"""),"Bất động sản")</f>
        <v>Bất động sản</v>
      </c>
      <c r="E677" s="265" t="str">
        <f>IFERROR(__xludf.DUMMYFUNCTION("""COMPUTED_VALUE"""),"TùngLD")</f>
        <v>TùngLD</v>
      </c>
      <c r="F677" s="265" t="str">
        <f>IFERROR(__xludf.DUMMYFUNCTION("""COMPUTED_VALUE"""),"Silver")</f>
        <v>Silver</v>
      </c>
      <c r="G677" s="265" t="str">
        <f>IFERROR(__xludf.DUMMYFUNCTION("""COMPUTED_VALUE"""),"Starter")</f>
        <v>Starter</v>
      </c>
      <c r="H677" s="265" t="str">
        <f>IFERROR(__xludf.DUMMYFUNCTION("""COMPUTED_VALUE"""),"Trả sau")</f>
        <v>Trả sau</v>
      </c>
      <c r="I677" s="265" t="str">
        <f>IFERROR(__xludf.DUMMYFUNCTION("""COMPUTED_VALUE"""),"API")</f>
        <v>API</v>
      </c>
      <c r="J677" s="265" t="str">
        <f>IFERROR(__xludf.DUMMYFUNCTION("""COMPUTED_VALUE"""),"SMS CSKH")</f>
        <v>SMS CSKH</v>
      </c>
      <c r="K677" s="265" t="str">
        <f>IFERROR(__xludf.DUMMYFUNCTION("""COMPUTED_VALUE"""),"DungVT")</f>
        <v>DungVT</v>
      </c>
    </row>
    <row r="678">
      <c r="A678" s="265" t="str">
        <f>IFERROR(__xludf.DUMMYFUNCTION("""COMPUTED_VALUE"""),"943")</f>
        <v>943</v>
      </c>
      <c r="B678" s="265" t="str">
        <f>IFERROR(__xludf.DUMMYFUNCTION("""COMPUTED_VALUE"""),"Hà Nội")</f>
        <v>Hà Nội</v>
      </c>
      <c r="C678" s="265" t="str">
        <f>IFERROR(__xludf.DUMMYFUNCTION("""COMPUTED_VALUE"""),"Active")</f>
        <v>Active</v>
      </c>
      <c r="D678" s="265" t="str">
        <f>IFERROR(__xludf.DUMMYFUNCTION("""COMPUTED_VALUE"""),"Bất động sản")</f>
        <v>Bất động sản</v>
      </c>
      <c r="E678" s="265" t="str">
        <f>IFERROR(__xludf.DUMMYFUNCTION("""COMPUTED_VALUE"""),"TùngLD")</f>
        <v>TùngLD</v>
      </c>
      <c r="F678" s="265" t="str">
        <f>IFERROR(__xludf.DUMMYFUNCTION("""COMPUTED_VALUE"""),"Silver")</f>
        <v>Silver</v>
      </c>
      <c r="G678" s="265" t="str">
        <f>IFERROR(__xludf.DUMMYFUNCTION("""COMPUTED_VALUE"""),"Starter")</f>
        <v>Starter</v>
      </c>
      <c r="H678" s="265" t="str">
        <f>IFERROR(__xludf.DUMMYFUNCTION("""COMPUTED_VALUE"""),"Trả sau")</f>
        <v>Trả sau</v>
      </c>
      <c r="I678" s="265" t="str">
        <f>IFERROR(__xludf.DUMMYFUNCTION("""COMPUTED_VALUE"""),"API")</f>
        <v>API</v>
      </c>
      <c r="J678" s="265" t="str">
        <f>IFERROR(__xludf.DUMMYFUNCTION("""COMPUTED_VALUE"""),"SMS QC")</f>
        <v>SMS QC</v>
      </c>
      <c r="K678" s="265" t="str">
        <f>IFERROR(__xludf.DUMMYFUNCTION("""COMPUTED_VALUE"""),"DungVT")</f>
        <v>DungVT</v>
      </c>
    </row>
    <row r="679">
      <c r="A679" s="265" t="str">
        <f>IFERROR(__xludf.DUMMYFUNCTION("""COMPUTED_VALUE"""),"944")</f>
        <v>944</v>
      </c>
      <c r="B679" s="265" t="str">
        <f>IFERROR(__xludf.DUMMYFUNCTION("""COMPUTED_VALUE"""),"Sài Gòn")</f>
        <v>Sài Gòn</v>
      </c>
      <c r="C679" s="265" t="str">
        <f>IFERROR(__xludf.DUMMYFUNCTION("""COMPUTED_VALUE"""),"Active")</f>
        <v>Active</v>
      </c>
      <c r="D679" s="265" t="str">
        <f>IFERROR(__xludf.DUMMYFUNCTION("""COMPUTED_VALUE"""),"Hành chính công")</f>
        <v>Hành chính công</v>
      </c>
      <c r="E679" s="265" t="str">
        <f>IFERROR(__xludf.DUMMYFUNCTION("""COMPUTED_VALUE"""),"TúPHN")</f>
        <v>TúPHN</v>
      </c>
      <c r="F679" s="265" t="str">
        <f>IFERROR(__xludf.DUMMYFUNCTION("""COMPUTED_VALUE"""),"Bronze")</f>
        <v>Bronze</v>
      </c>
      <c r="G679" s="265" t="str">
        <f>IFERROR(__xludf.DUMMYFUNCTION("""COMPUTED_VALUE"""),"Standard")</f>
        <v>Standard</v>
      </c>
      <c r="H679" s="265" t="str">
        <f>IFERROR(__xludf.DUMMYFUNCTION("""COMPUTED_VALUE"""),"Trả trước")</f>
        <v>Trả trước</v>
      </c>
      <c r="I679" s="265" t="str">
        <f>IFERROR(__xludf.DUMMYFUNCTION("""COMPUTED_VALUE"""),"API &amp; Portal")</f>
        <v>API &amp; Portal</v>
      </c>
      <c r="J679" s="265" t="str">
        <f>IFERROR(__xludf.DUMMYFUNCTION("""COMPUTED_VALUE"""),"Zalo ZNS")</f>
        <v>Zalo ZNS</v>
      </c>
      <c r="K679" s="265" t="str">
        <f>IFERROR(__xludf.DUMMYFUNCTION("""COMPUTED_VALUE"""),"YếnĐH")</f>
        <v>YếnĐH</v>
      </c>
    </row>
    <row r="680">
      <c r="A680" s="265" t="str">
        <f>IFERROR(__xludf.DUMMYFUNCTION("""COMPUTED_VALUE"""),"945")</f>
        <v>945</v>
      </c>
      <c r="B680" s="265" t="str">
        <f>IFERROR(__xludf.DUMMYFUNCTION("""COMPUTED_VALUE"""),"Sài Gòn")</f>
        <v>Sài Gòn</v>
      </c>
      <c r="C680" s="265" t="str">
        <f>IFERROR(__xludf.DUMMYFUNCTION("""COMPUTED_VALUE"""),"Locked")</f>
        <v>Locked</v>
      </c>
      <c r="D680" s="265" t="str">
        <f>IFERROR(__xludf.DUMMYFUNCTION("""COMPUTED_VALUE"""),"Sản xuất &amp; Chế tạo")</f>
        <v>Sản xuất &amp; Chế tạo</v>
      </c>
      <c r="E680" s="265" t="str">
        <f>IFERROR(__xludf.DUMMYFUNCTION("""COMPUTED_VALUE"""),"HoaNTM")</f>
        <v>HoaNTM</v>
      </c>
      <c r="F680" s="265" t="str">
        <f>IFERROR(__xludf.DUMMYFUNCTION("""COMPUTED_VALUE"""),"Gold")</f>
        <v>Gold</v>
      </c>
      <c r="G680" s="265" t="str">
        <f>IFERROR(__xludf.DUMMYFUNCTION("""COMPUTED_VALUE"""),"Starter")</f>
        <v>Starter</v>
      </c>
      <c r="H680" s="265" t="str">
        <f>IFERROR(__xludf.DUMMYFUNCTION("""COMPUTED_VALUE"""),"Trả sau")</f>
        <v>Trả sau</v>
      </c>
      <c r="I680" s="265" t="str">
        <f>IFERROR(__xludf.DUMMYFUNCTION("""COMPUTED_VALUE"""),"API &amp; Portal")</f>
        <v>API &amp; Portal</v>
      </c>
      <c r="J680" s="265" t="str">
        <f>IFERROR(__xludf.DUMMYFUNCTION("""COMPUTED_VALUE"""),"Zalo ZNS")</f>
        <v>Zalo ZNS</v>
      </c>
      <c r="K680" s="265" t="str">
        <f>IFERROR(__xludf.DUMMYFUNCTION("""COMPUTED_VALUE"""),"Không phân công")</f>
        <v>Không phân công</v>
      </c>
    </row>
    <row r="681">
      <c r="A681" s="265" t="str">
        <f>IFERROR(__xludf.DUMMYFUNCTION("""COMPUTED_VALUE"""),"947")</f>
        <v>947</v>
      </c>
      <c r="B681" s="265" t="str">
        <f>IFERROR(__xludf.DUMMYFUNCTION("""COMPUTED_VALUE"""),"Sài Gòn")</f>
        <v>Sài Gòn</v>
      </c>
      <c r="C681" s="265" t="str">
        <f>IFERROR(__xludf.DUMMYFUNCTION("""COMPUTED_VALUE"""),"Locked")</f>
        <v>Locked</v>
      </c>
      <c r="D681" s="265" t="str">
        <f>IFERROR(__xludf.DUMMYFUNCTION("""COMPUTED_VALUE"""),"Thiết kế &amp; Thi công")</f>
        <v>Thiết kế &amp; Thi công</v>
      </c>
      <c r="E681" s="265" t="str">
        <f>IFERROR(__xludf.DUMMYFUNCTION("""COMPUTED_VALUE"""),"TùngLD")</f>
        <v>TùngLD</v>
      </c>
      <c r="F681" s="265" t="str">
        <f>IFERROR(__xludf.DUMMYFUNCTION("""COMPUTED_VALUE"""),"Diamond")</f>
        <v>Diamond</v>
      </c>
      <c r="G681" s="265" t="str">
        <f>IFERROR(__xludf.DUMMYFUNCTION("""COMPUTED_VALUE"""),"Standard")</f>
        <v>Standard</v>
      </c>
      <c r="H681" s="265" t="str">
        <f>IFERROR(__xludf.DUMMYFUNCTION("""COMPUTED_VALUE"""),"Trial")</f>
        <v>Trial</v>
      </c>
      <c r="I681" s="265" t="str">
        <f>IFERROR(__xludf.DUMMYFUNCTION("""COMPUTED_VALUE"""),"API &amp; Portal")</f>
        <v>API &amp; Portal</v>
      </c>
      <c r="J681" s="265" t="str">
        <f>IFERROR(__xludf.DUMMYFUNCTION("""COMPUTED_VALUE"""),"SMS CSKH")</f>
        <v>SMS CSKH</v>
      </c>
      <c r="K681" s="265" t="str">
        <f>IFERROR(__xludf.DUMMYFUNCTION("""COMPUTED_VALUE"""),"LinhNTT1")</f>
        <v>LinhNTT1</v>
      </c>
    </row>
    <row r="682">
      <c r="A682" s="265" t="str">
        <f>IFERROR(__xludf.DUMMYFUNCTION("""COMPUTED_VALUE"""),"947")</f>
        <v>947</v>
      </c>
      <c r="B682" s="265" t="str">
        <f>IFERROR(__xludf.DUMMYFUNCTION("""COMPUTED_VALUE"""),"Sài Gòn")</f>
        <v>Sài Gòn</v>
      </c>
      <c r="C682" s="265" t="str">
        <f>IFERROR(__xludf.DUMMYFUNCTION("""COMPUTED_VALUE"""),"Locked")</f>
        <v>Locked</v>
      </c>
      <c r="D682" s="265" t="str">
        <f>IFERROR(__xludf.DUMMYFUNCTION("""COMPUTED_VALUE"""),"Thiết kế &amp; Thi công")</f>
        <v>Thiết kế &amp; Thi công</v>
      </c>
      <c r="E682" s="265" t="str">
        <f>IFERROR(__xludf.DUMMYFUNCTION("""COMPUTED_VALUE"""),"TùngLD")</f>
        <v>TùngLD</v>
      </c>
      <c r="F682" s="265" t="str">
        <f>IFERROR(__xludf.DUMMYFUNCTION("""COMPUTED_VALUE"""),"Diamond")</f>
        <v>Diamond</v>
      </c>
      <c r="G682" s="265" t="str">
        <f>IFERROR(__xludf.DUMMYFUNCTION("""COMPUTED_VALUE"""),"Standard")</f>
        <v>Standard</v>
      </c>
      <c r="H682" s="265" t="str">
        <f>IFERROR(__xludf.DUMMYFUNCTION("""COMPUTED_VALUE"""),"Trial")</f>
        <v>Trial</v>
      </c>
      <c r="I682" s="265" t="str">
        <f>IFERROR(__xludf.DUMMYFUNCTION("""COMPUTED_VALUE"""),"API &amp; Portal")</f>
        <v>API &amp; Portal</v>
      </c>
      <c r="J682" s="265" t="str">
        <f>IFERROR(__xludf.DUMMYFUNCTION("""COMPUTED_VALUE"""),"Zalo ZNS")</f>
        <v>Zalo ZNS</v>
      </c>
      <c r="K682" s="265" t="str">
        <f>IFERROR(__xludf.DUMMYFUNCTION("""COMPUTED_VALUE"""),"LinhNTT1")</f>
        <v>LinhNTT1</v>
      </c>
    </row>
    <row r="683">
      <c r="A683" s="265" t="str">
        <f>IFERROR(__xludf.DUMMYFUNCTION("""COMPUTED_VALUE"""),"948")</f>
        <v>948</v>
      </c>
      <c r="B683" s="265" t="str">
        <f>IFERROR(__xludf.DUMMYFUNCTION("""COMPUTED_VALUE"""),"Sài Gòn")</f>
        <v>Sài Gòn</v>
      </c>
      <c r="C683" s="265" t="str">
        <f>IFERROR(__xludf.DUMMYFUNCTION("""COMPUTED_VALUE"""),"Locked")</f>
        <v>Locked</v>
      </c>
      <c r="D683" s="265" t="str">
        <f>IFERROR(__xludf.DUMMYFUNCTION("""COMPUTED_VALUE"""),"Sale chưa cung cấp")</f>
        <v>Sale chưa cung cấp</v>
      </c>
      <c r="E683" s="265" t="str">
        <f>IFERROR(__xludf.DUMMYFUNCTION("""COMPUTED_VALUE"""),"Không phân công")</f>
        <v>Không phân công</v>
      </c>
      <c r="F683" s="265" t="str">
        <f>IFERROR(__xludf.DUMMYFUNCTION("""COMPUTED_VALUE"""),"Sale chưa cung cấp")</f>
        <v>Sale chưa cung cấp</v>
      </c>
      <c r="G683" s="265" t="str">
        <f>IFERROR(__xludf.DUMMYFUNCTION("""COMPUTED_VALUE"""),"Standard")</f>
        <v>Standard</v>
      </c>
      <c r="H683" s="265" t="str">
        <f>IFERROR(__xludf.DUMMYFUNCTION("""COMPUTED_VALUE"""),"Trial")</f>
        <v>Trial</v>
      </c>
      <c r="I683" s="265" t="str">
        <f>IFERROR(__xludf.DUMMYFUNCTION("""COMPUTED_VALUE"""),"Portal")</f>
        <v>Portal</v>
      </c>
      <c r="J683" s="265" t="str">
        <f>IFERROR(__xludf.DUMMYFUNCTION("""COMPUTED_VALUE"""),"Zalo ZNS")</f>
        <v>Zalo ZNS</v>
      </c>
      <c r="K683" s="265" t="str">
        <f>IFERROR(__xludf.DUMMYFUNCTION("""COMPUTED_VALUE"""),"LinhNTT1")</f>
        <v>LinhNTT1</v>
      </c>
    </row>
    <row r="684">
      <c r="A684" s="265" t="str">
        <f>IFERROR(__xludf.DUMMYFUNCTION("""COMPUTED_VALUE"""),"949")</f>
        <v>949</v>
      </c>
      <c r="B684" s="265" t="str">
        <f>IFERROR(__xludf.DUMMYFUNCTION("""COMPUTED_VALUE"""),"Hà Nội")</f>
        <v>Hà Nội</v>
      </c>
      <c r="C684" s="265" t="str">
        <f>IFERROR(__xludf.DUMMYFUNCTION("""COMPUTED_VALUE"""),"Locked")</f>
        <v>Locked</v>
      </c>
      <c r="D684" s="265" t="str">
        <f>IFERROR(__xludf.DUMMYFUNCTION("""COMPUTED_VALUE"""),"Mua sắm &amp; Bán lẻ")</f>
        <v>Mua sắm &amp; Bán lẻ</v>
      </c>
      <c r="E684" s="265" t="str">
        <f>IFERROR(__xludf.DUMMYFUNCTION("""COMPUTED_VALUE"""),"AnhNM")</f>
        <v>AnhNM</v>
      </c>
      <c r="F684" s="265" t="str">
        <f>IFERROR(__xludf.DUMMYFUNCTION("""COMPUTED_VALUE"""),"Bronze")</f>
        <v>Bronze</v>
      </c>
      <c r="G684" s="265" t="str">
        <f>IFERROR(__xludf.DUMMYFUNCTION("""COMPUTED_VALUE"""),"Premium")</f>
        <v>Premium</v>
      </c>
      <c r="H684" s="265" t="str">
        <f>IFERROR(__xludf.DUMMYFUNCTION("""COMPUTED_VALUE"""),"Trial")</f>
        <v>Trial</v>
      </c>
      <c r="I684" s="265" t="str">
        <f>IFERROR(__xludf.DUMMYFUNCTION("""COMPUTED_VALUE"""),"API &amp; Portal")</f>
        <v>API &amp; Portal</v>
      </c>
      <c r="J684" s="265" t="str">
        <f>IFERROR(__xludf.DUMMYFUNCTION("""COMPUTED_VALUE"""),"SMS CSKH")</f>
        <v>SMS CSKH</v>
      </c>
      <c r="K684" s="265" t="str">
        <f>IFERROR(__xludf.DUMMYFUNCTION("""COMPUTED_VALUE"""),"Không phân công")</f>
        <v>Không phân công</v>
      </c>
    </row>
    <row r="685">
      <c r="A685" s="265" t="str">
        <f>IFERROR(__xludf.DUMMYFUNCTION("""COMPUTED_VALUE"""),"949")</f>
        <v>949</v>
      </c>
      <c r="B685" s="265" t="str">
        <f>IFERROR(__xludf.DUMMYFUNCTION("""COMPUTED_VALUE"""),"Hà Nội")</f>
        <v>Hà Nội</v>
      </c>
      <c r="C685" s="265" t="str">
        <f>IFERROR(__xludf.DUMMYFUNCTION("""COMPUTED_VALUE"""),"Locked")</f>
        <v>Locked</v>
      </c>
      <c r="D685" s="265" t="str">
        <f>IFERROR(__xludf.DUMMYFUNCTION("""COMPUTED_VALUE"""),"Mua sắm &amp; Bán lẻ")</f>
        <v>Mua sắm &amp; Bán lẻ</v>
      </c>
      <c r="E685" s="265" t="str">
        <f>IFERROR(__xludf.DUMMYFUNCTION("""COMPUTED_VALUE"""),"AnhNM")</f>
        <v>AnhNM</v>
      </c>
      <c r="F685" s="265" t="str">
        <f>IFERROR(__xludf.DUMMYFUNCTION("""COMPUTED_VALUE"""),"Bronze")</f>
        <v>Bronze</v>
      </c>
      <c r="G685" s="265" t="str">
        <f>IFERROR(__xludf.DUMMYFUNCTION("""COMPUTED_VALUE"""),"Premium")</f>
        <v>Premium</v>
      </c>
      <c r="H685" s="265" t="str">
        <f>IFERROR(__xludf.DUMMYFUNCTION("""COMPUTED_VALUE"""),"Trial")</f>
        <v>Trial</v>
      </c>
      <c r="I685" s="265" t="str">
        <f>IFERROR(__xludf.DUMMYFUNCTION("""COMPUTED_VALUE"""),"API &amp; Portal")</f>
        <v>API &amp; Portal</v>
      </c>
      <c r="J685" s="265" t="str">
        <f>IFERROR(__xludf.DUMMYFUNCTION("""COMPUTED_VALUE"""),"Zalo ZNS")</f>
        <v>Zalo ZNS</v>
      </c>
      <c r="K685" s="265" t="str">
        <f>IFERROR(__xludf.DUMMYFUNCTION("""COMPUTED_VALUE"""),"Không phân công")</f>
        <v>Không phân công</v>
      </c>
    </row>
    <row r="686">
      <c r="A686" s="265" t="str">
        <f>IFERROR(__xludf.DUMMYFUNCTION("""COMPUTED_VALUE"""),"950")</f>
        <v>950</v>
      </c>
      <c r="B686" s="265" t="str">
        <f>IFERROR(__xludf.DUMMYFUNCTION("""COMPUTED_VALUE"""),"Sài Gòn")</f>
        <v>Sài Gòn</v>
      </c>
      <c r="C686" s="265" t="str">
        <f>IFERROR(__xludf.DUMMYFUNCTION("""COMPUTED_VALUE"""),"Active")</f>
        <v>Active</v>
      </c>
      <c r="D686" s="265" t="str">
        <f>IFERROR(__xludf.DUMMYFUNCTION("""COMPUTED_VALUE"""),"Thực phẩm &amp; Đồ uống")</f>
        <v>Thực phẩm &amp; Đồ uống</v>
      </c>
      <c r="E686" s="265" t="str">
        <f>IFERROR(__xludf.DUMMYFUNCTION("""COMPUTED_VALUE"""),"Không phân công")</f>
        <v>Không phân công</v>
      </c>
      <c r="F686" s="265" t="str">
        <f>IFERROR(__xludf.DUMMYFUNCTION("""COMPUTED_VALUE"""),"Gold")</f>
        <v>Gold</v>
      </c>
      <c r="G686" s="265" t="str">
        <f>IFERROR(__xludf.DUMMYFUNCTION("""COMPUTED_VALUE"""),"Starter")</f>
        <v>Starter</v>
      </c>
      <c r="H686" s="265" t="str">
        <f>IFERROR(__xludf.DUMMYFUNCTION("""COMPUTED_VALUE"""),"Trả sau")</f>
        <v>Trả sau</v>
      </c>
      <c r="I686" s="265" t="str">
        <f>IFERROR(__xludf.DUMMYFUNCTION("""COMPUTED_VALUE"""),"API")</f>
        <v>API</v>
      </c>
      <c r="J686" s="265" t="str">
        <f>IFERROR(__xludf.DUMMYFUNCTION("""COMPUTED_VALUE"""),"SMS CSKH")</f>
        <v>SMS CSKH</v>
      </c>
      <c r="K686" s="265" t="str">
        <f>IFERROR(__xludf.DUMMYFUNCTION("""COMPUTED_VALUE"""),"LinhNTT1")</f>
        <v>LinhNTT1</v>
      </c>
    </row>
    <row r="687">
      <c r="A687" s="265" t="str">
        <f>IFERROR(__xludf.DUMMYFUNCTION("""COMPUTED_VALUE"""),"951")</f>
        <v>951</v>
      </c>
      <c r="B687" s="265" t="str">
        <f>IFERROR(__xludf.DUMMYFUNCTION("""COMPUTED_VALUE"""),"Hà Nội")</f>
        <v>Hà Nội</v>
      </c>
      <c r="C687" s="265" t="str">
        <f>IFERROR(__xludf.DUMMYFUNCTION("""COMPUTED_VALUE"""),"Active")</f>
        <v>Active</v>
      </c>
      <c r="D687" s="265" t="str">
        <f>IFERROR(__xludf.DUMMYFUNCTION("""COMPUTED_VALUE"""),"Vận tải &amp; logistics")</f>
        <v>Vận tải &amp; logistics</v>
      </c>
      <c r="E687" s="265" t="str">
        <f>IFERROR(__xludf.DUMMYFUNCTION("""COMPUTED_VALUE"""),"TúPHN")</f>
        <v>TúPHN</v>
      </c>
      <c r="F687" s="265" t="str">
        <f>IFERROR(__xludf.DUMMYFUNCTION("""COMPUTED_VALUE"""),"Silver")</f>
        <v>Silver</v>
      </c>
      <c r="G687" s="265" t="str">
        <f>IFERROR(__xludf.DUMMYFUNCTION("""COMPUTED_VALUE"""),"Starter")</f>
        <v>Starter</v>
      </c>
      <c r="H687" s="265" t="str">
        <f>IFERROR(__xludf.DUMMYFUNCTION("""COMPUTED_VALUE"""),"Trả trước")</f>
        <v>Trả trước</v>
      </c>
      <c r="I687" s="265" t="str">
        <f>IFERROR(__xludf.DUMMYFUNCTION("""COMPUTED_VALUE"""),"Portal")</f>
        <v>Portal</v>
      </c>
      <c r="J687" s="265" t="str">
        <f>IFERROR(__xludf.DUMMYFUNCTION("""COMPUTED_VALUE"""),"Zalo ZNS")</f>
        <v>Zalo ZNS</v>
      </c>
      <c r="K687" s="265" t="str">
        <f>IFERROR(__xludf.DUMMYFUNCTION("""COMPUTED_VALUE"""),"DungPL")</f>
        <v>DungPL</v>
      </c>
    </row>
    <row r="688">
      <c r="A688" s="265" t="str">
        <f>IFERROR(__xludf.DUMMYFUNCTION("""COMPUTED_VALUE"""),"952")</f>
        <v>952</v>
      </c>
      <c r="B688" s="265" t="str">
        <f>IFERROR(__xludf.DUMMYFUNCTION("""COMPUTED_VALUE"""),"Sài Gòn")</f>
        <v>Sài Gòn</v>
      </c>
      <c r="C688" s="265" t="str">
        <f>IFERROR(__xludf.DUMMYFUNCTION("""COMPUTED_VALUE"""),"Locked")</f>
        <v>Locked</v>
      </c>
      <c r="D688" s="265" t="str">
        <f>IFERROR(__xludf.DUMMYFUNCTION("""COMPUTED_VALUE"""),"Thực phẩm &amp; Đồ uống")</f>
        <v>Thực phẩm &amp; Đồ uống</v>
      </c>
      <c r="E688" s="265" t="str">
        <f>IFERROR(__xludf.DUMMYFUNCTION("""COMPUTED_VALUE"""),"TúPHN")</f>
        <v>TúPHN</v>
      </c>
      <c r="F688" s="265" t="str">
        <f>IFERROR(__xludf.DUMMYFUNCTION("""COMPUTED_VALUE"""),"Gold")</f>
        <v>Gold</v>
      </c>
      <c r="G688" s="265" t="str">
        <f>IFERROR(__xludf.DUMMYFUNCTION("""COMPUTED_VALUE"""),"Standard")</f>
        <v>Standard</v>
      </c>
      <c r="H688" s="265" t="str">
        <f>IFERROR(__xludf.DUMMYFUNCTION("""COMPUTED_VALUE"""),"Trả trước")</f>
        <v>Trả trước</v>
      </c>
      <c r="I688" s="265" t="str">
        <f>IFERROR(__xludf.DUMMYFUNCTION("""COMPUTED_VALUE"""),"Portal")</f>
        <v>Portal</v>
      </c>
      <c r="J688" s="265" t="str">
        <f>IFERROR(__xludf.DUMMYFUNCTION("""COMPUTED_VALUE"""),"Zalo ZNS")</f>
        <v>Zalo ZNS</v>
      </c>
      <c r="K688" s="265" t="str">
        <f>IFERROR(__xludf.DUMMYFUNCTION("""COMPUTED_VALUE"""),"LinhNTT1")</f>
        <v>LinhNTT1</v>
      </c>
    </row>
    <row r="689">
      <c r="A689" s="265" t="str">
        <f>IFERROR(__xludf.DUMMYFUNCTION("""COMPUTED_VALUE"""),"953")</f>
        <v>953</v>
      </c>
      <c r="B689" s="265" t="str">
        <f>IFERROR(__xludf.DUMMYFUNCTION("""COMPUTED_VALUE"""),"Sài Gòn")</f>
        <v>Sài Gòn</v>
      </c>
      <c r="C689" s="265" t="str">
        <f>IFERROR(__xludf.DUMMYFUNCTION("""COMPUTED_VALUE"""),"Locked")</f>
        <v>Locked</v>
      </c>
      <c r="D689" s="265" t="str">
        <f>IFERROR(__xludf.DUMMYFUNCTION("""COMPUTED_VALUE"""),"Thực phẩm &amp; Đồ uống")</f>
        <v>Thực phẩm &amp; Đồ uống</v>
      </c>
      <c r="E689" s="265" t="str">
        <f>IFERROR(__xludf.DUMMYFUNCTION("""COMPUTED_VALUE"""),"TúPHN")</f>
        <v>TúPHN</v>
      </c>
      <c r="F689" s="265" t="str">
        <f>IFERROR(__xludf.DUMMYFUNCTION("""COMPUTED_VALUE"""),"Diamond")</f>
        <v>Diamond</v>
      </c>
      <c r="G689" s="265" t="str">
        <f>IFERROR(__xludf.DUMMYFUNCTION("""COMPUTED_VALUE"""),"Starter")</f>
        <v>Starter</v>
      </c>
      <c r="H689" s="265" t="str">
        <f>IFERROR(__xludf.DUMMYFUNCTION("""COMPUTED_VALUE"""),"Trial")</f>
        <v>Trial</v>
      </c>
      <c r="I689" s="265" t="str">
        <f>IFERROR(__xludf.DUMMYFUNCTION("""COMPUTED_VALUE"""),"Portal")</f>
        <v>Portal</v>
      </c>
      <c r="J689" s="265" t="str">
        <f>IFERROR(__xludf.DUMMYFUNCTION("""COMPUTED_VALUE"""),"Zalo ZNS")</f>
        <v>Zalo ZNS</v>
      </c>
      <c r="K689" s="265" t="str">
        <f>IFERROR(__xludf.DUMMYFUNCTION("""COMPUTED_VALUE"""),"DungPL")</f>
        <v>DungPL</v>
      </c>
    </row>
    <row r="690">
      <c r="A690" s="265" t="str">
        <f>IFERROR(__xludf.DUMMYFUNCTION("""COMPUTED_VALUE"""),"954")</f>
        <v>954</v>
      </c>
      <c r="B690" s="265" t="str">
        <f>IFERROR(__xludf.DUMMYFUNCTION("""COMPUTED_VALUE"""),"Hà Nội")</f>
        <v>Hà Nội</v>
      </c>
      <c r="C690" s="265" t="str">
        <f>IFERROR(__xludf.DUMMYFUNCTION("""COMPUTED_VALUE"""),"Locked")</f>
        <v>Locked</v>
      </c>
      <c r="D690" s="265" t="str">
        <f>IFERROR(__xludf.DUMMYFUNCTION("""COMPUTED_VALUE"""),"Dịch vụ khác")</f>
        <v>Dịch vụ khác</v>
      </c>
      <c r="E690" s="265" t="str">
        <f>IFERROR(__xludf.DUMMYFUNCTION("""COMPUTED_VALUE"""),"TúPHN")</f>
        <v>TúPHN</v>
      </c>
      <c r="F690" s="265" t="str">
        <f>IFERROR(__xludf.DUMMYFUNCTION("""COMPUTED_VALUE"""),"Bronze")</f>
        <v>Bronze</v>
      </c>
      <c r="G690" s="265" t="str">
        <f>IFERROR(__xludf.DUMMYFUNCTION("""COMPUTED_VALUE"""),"Premium")</f>
        <v>Premium</v>
      </c>
      <c r="H690" s="265" t="str">
        <f>IFERROR(__xludf.DUMMYFUNCTION("""COMPUTED_VALUE"""),"Trial")</f>
        <v>Trial</v>
      </c>
      <c r="I690" s="265" t="str">
        <f>IFERROR(__xludf.DUMMYFUNCTION("""COMPUTED_VALUE"""),"API &amp; Portal")</f>
        <v>API &amp; Portal</v>
      </c>
      <c r="J690" s="265" t="str">
        <f>IFERROR(__xludf.DUMMYFUNCTION("""COMPUTED_VALUE"""),"SMS CSKH")</f>
        <v>SMS CSKH</v>
      </c>
      <c r="K690" s="265" t="str">
        <f>IFERROR(__xludf.DUMMYFUNCTION("""COMPUTED_VALUE"""),"Không phân công")</f>
        <v>Không phân công</v>
      </c>
    </row>
    <row r="691">
      <c r="A691" s="265" t="str">
        <f>IFERROR(__xludf.DUMMYFUNCTION("""COMPUTED_VALUE"""),"954")</f>
        <v>954</v>
      </c>
      <c r="B691" s="265" t="str">
        <f>IFERROR(__xludf.DUMMYFUNCTION("""COMPUTED_VALUE"""),"Hà Nội")</f>
        <v>Hà Nội</v>
      </c>
      <c r="C691" s="265" t="str">
        <f>IFERROR(__xludf.DUMMYFUNCTION("""COMPUTED_VALUE"""),"Locked")</f>
        <v>Locked</v>
      </c>
      <c r="D691" s="265" t="str">
        <f>IFERROR(__xludf.DUMMYFUNCTION("""COMPUTED_VALUE"""),"Dịch vụ khác")</f>
        <v>Dịch vụ khác</v>
      </c>
      <c r="E691" s="265" t="str">
        <f>IFERROR(__xludf.DUMMYFUNCTION("""COMPUTED_VALUE"""),"TúPHN")</f>
        <v>TúPHN</v>
      </c>
      <c r="F691" s="265" t="str">
        <f>IFERROR(__xludf.DUMMYFUNCTION("""COMPUTED_VALUE"""),"Bronze")</f>
        <v>Bronze</v>
      </c>
      <c r="G691" s="265" t="str">
        <f>IFERROR(__xludf.DUMMYFUNCTION("""COMPUTED_VALUE"""),"Premium")</f>
        <v>Premium</v>
      </c>
      <c r="H691" s="265" t="str">
        <f>IFERROR(__xludf.DUMMYFUNCTION("""COMPUTED_VALUE"""),"Trial")</f>
        <v>Trial</v>
      </c>
      <c r="I691" s="265" t="str">
        <f>IFERROR(__xludf.DUMMYFUNCTION("""COMPUTED_VALUE"""),"API &amp; Portal")</f>
        <v>API &amp; Portal</v>
      </c>
      <c r="J691" s="265" t="str">
        <f>IFERROR(__xludf.DUMMYFUNCTION("""COMPUTED_VALUE"""),"Zalo ZNS")</f>
        <v>Zalo ZNS</v>
      </c>
      <c r="K691" s="265" t="str">
        <f>IFERROR(__xludf.DUMMYFUNCTION("""COMPUTED_VALUE"""),"Không phân công")</f>
        <v>Không phân công</v>
      </c>
    </row>
    <row r="692">
      <c r="A692" s="265" t="str">
        <f>IFERROR(__xludf.DUMMYFUNCTION("""COMPUTED_VALUE"""),"956")</f>
        <v>956</v>
      </c>
      <c r="B692" s="265" t="str">
        <f>IFERROR(__xludf.DUMMYFUNCTION("""COMPUTED_VALUE"""),"Hà Nội")</f>
        <v>Hà Nội</v>
      </c>
      <c r="C692" s="265" t="str">
        <f>IFERROR(__xludf.DUMMYFUNCTION("""COMPUTED_VALUE"""),"Active")</f>
        <v>Active</v>
      </c>
      <c r="D692" s="265" t="str">
        <f>IFERROR(__xludf.DUMMYFUNCTION("""COMPUTED_VALUE"""),"Dịch vụ khác")</f>
        <v>Dịch vụ khác</v>
      </c>
      <c r="E692" s="265" t="str">
        <f>IFERROR(__xludf.DUMMYFUNCTION("""COMPUTED_VALUE"""),"AnhNM")</f>
        <v>AnhNM</v>
      </c>
      <c r="F692" s="265" t="str">
        <f>IFERROR(__xludf.DUMMYFUNCTION("""COMPUTED_VALUE"""),"Bronze")</f>
        <v>Bronze</v>
      </c>
      <c r="G692" s="265" t="str">
        <f>IFERROR(__xludf.DUMMYFUNCTION("""COMPUTED_VALUE"""),"Starter")</f>
        <v>Starter</v>
      </c>
      <c r="H692" s="265" t="str">
        <f>IFERROR(__xludf.DUMMYFUNCTION("""COMPUTED_VALUE"""),"Trả sau")</f>
        <v>Trả sau</v>
      </c>
      <c r="I692" s="265" t="str">
        <f>IFERROR(__xludf.DUMMYFUNCTION("""COMPUTED_VALUE"""),"API &amp; Portal")</f>
        <v>API &amp; Portal</v>
      </c>
      <c r="J692" s="265" t="str">
        <f>IFERROR(__xludf.DUMMYFUNCTION("""COMPUTED_VALUE"""),"SMS CSKH")</f>
        <v>SMS CSKH</v>
      </c>
      <c r="K692" s="265" t="str">
        <f>IFERROR(__xludf.DUMMYFUNCTION("""COMPUTED_VALUE"""),"DungPL")</f>
        <v>DungPL</v>
      </c>
    </row>
    <row r="693">
      <c r="A693" s="265" t="str">
        <f>IFERROR(__xludf.DUMMYFUNCTION("""COMPUTED_VALUE"""),"956")</f>
        <v>956</v>
      </c>
      <c r="B693" s="265" t="str">
        <f>IFERROR(__xludf.DUMMYFUNCTION("""COMPUTED_VALUE"""),"Hà Nội")</f>
        <v>Hà Nội</v>
      </c>
      <c r="C693" s="265" t="str">
        <f>IFERROR(__xludf.DUMMYFUNCTION("""COMPUTED_VALUE"""),"Active")</f>
        <v>Active</v>
      </c>
      <c r="D693" s="265" t="str">
        <f>IFERROR(__xludf.DUMMYFUNCTION("""COMPUTED_VALUE"""),"Dịch vụ khác")</f>
        <v>Dịch vụ khác</v>
      </c>
      <c r="E693" s="265" t="str">
        <f>IFERROR(__xludf.DUMMYFUNCTION("""COMPUTED_VALUE"""),"AnhNM")</f>
        <v>AnhNM</v>
      </c>
      <c r="F693" s="265" t="str">
        <f>IFERROR(__xludf.DUMMYFUNCTION("""COMPUTED_VALUE"""),"Bronze")</f>
        <v>Bronze</v>
      </c>
      <c r="G693" s="265" t="str">
        <f>IFERROR(__xludf.DUMMYFUNCTION("""COMPUTED_VALUE"""),"Starter")</f>
        <v>Starter</v>
      </c>
      <c r="H693" s="265" t="str">
        <f>IFERROR(__xludf.DUMMYFUNCTION("""COMPUTED_VALUE"""),"Trả sau")</f>
        <v>Trả sau</v>
      </c>
      <c r="I693" s="265" t="str">
        <f>IFERROR(__xludf.DUMMYFUNCTION("""COMPUTED_VALUE"""),"API &amp; Portal")</f>
        <v>API &amp; Portal</v>
      </c>
      <c r="J693" s="265" t="str">
        <f>IFERROR(__xludf.DUMMYFUNCTION("""COMPUTED_VALUE"""),"Zalo ZNS")</f>
        <v>Zalo ZNS</v>
      </c>
      <c r="K693" s="265" t="str">
        <f>IFERROR(__xludf.DUMMYFUNCTION("""COMPUTED_VALUE"""),"DungPL")</f>
        <v>DungPL</v>
      </c>
    </row>
    <row r="694">
      <c r="A694" s="265" t="str">
        <f>IFERROR(__xludf.DUMMYFUNCTION("""COMPUTED_VALUE"""),"961")</f>
        <v>961</v>
      </c>
      <c r="B694" s="265" t="str">
        <f>IFERROR(__xludf.DUMMYFUNCTION("""COMPUTED_VALUE"""),"Sài Gòn")</f>
        <v>Sài Gòn</v>
      </c>
      <c r="C694" s="265" t="str">
        <f>IFERROR(__xludf.DUMMYFUNCTION("""COMPUTED_VALUE"""),"Locked")</f>
        <v>Locked</v>
      </c>
      <c r="D694" s="265" t="str">
        <f>IFERROR(__xludf.DUMMYFUNCTION("""COMPUTED_VALUE"""),"Mua sắm &amp; Bán lẻ")</f>
        <v>Mua sắm &amp; Bán lẻ</v>
      </c>
      <c r="E694" s="265" t="str">
        <f>IFERROR(__xludf.DUMMYFUNCTION("""COMPUTED_VALUE"""),"TrâmNNB")</f>
        <v>TrâmNNB</v>
      </c>
      <c r="F694" s="265" t="str">
        <f>IFERROR(__xludf.DUMMYFUNCTION("""COMPUTED_VALUE"""),"Sale chưa cung cấp")</f>
        <v>Sale chưa cung cấp</v>
      </c>
      <c r="G694" s="265" t="str">
        <f>IFERROR(__xludf.DUMMYFUNCTION("""COMPUTED_VALUE"""),"Standard")</f>
        <v>Standard</v>
      </c>
      <c r="H694" s="265" t="str">
        <f>IFERROR(__xludf.DUMMYFUNCTION("""COMPUTED_VALUE"""),"Trả trước")</f>
        <v>Trả trước</v>
      </c>
      <c r="I694" s="265" t="str">
        <f>IFERROR(__xludf.DUMMYFUNCTION("""COMPUTED_VALUE"""),"API &amp; Portal")</f>
        <v>API &amp; Portal</v>
      </c>
      <c r="J694" s="265" t="str">
        <f>IFERROR(__xludf.DUMMYFUNCTION("""COMPUTED_VALUE"""),"Zalo ZNS")</f>
        <v>Zalo ZNS</v>
      </c>
      <c r="K694" s="265" t="str">
        <f>IFERROR(__xludf.DUMMYFUNCTION("""COMPUTED_VALUE"""),"DungPL")</f>
        <v>DungPL</v>
      </c>
    </row>
    <row r="695">
      <c r="A695" s="265" t="str">
        <f>IFERROR(__xludf.DUMMYFUNCTION("""COMPUTED_VALUE"""),"962")</f>
        <v>962</v>
      </c>
      <c r="B695" s="265" t="str">
        <f>IFERROR(__xludf.DUMMYFUNCTION("""COMPUTED_VALUE"""),"Hà Nội")</f>
        <v>Hà Nội</v>
      </c>
      <c r="C695" s="265" t="str">
        <f>IFERROR(__xludf.DUMMYFUNCTION("""COMPUTED_VALUE"""),"Active")</f>
        <v>Active</v>
      </c>
      <c r="D695" s="265" t="str">
        <f>IFERROR(__xludf.DUMMYFUNCTION("""COMPUTED_VALUE"""),"Viễn thông")</f>
        <v>Viễn thông</v>
      </c>
      <c r="E695" s="265" t="str">
        <f>IFERROR(__xludf.DUMMYFUNCTION("""COMPUTED_VALUE"""),"AnhNM")</f>
        <v>AnhNM</v>
      </c>
      <c r="F695" s="265" t="str">
        <f>IFERROR(__xludf.DUMMYFUNCTION("""COMPUTED_VALUE"""),"Bronze")</f>
        <v>Bronze</v>
      </c>
      <c r="G695" s="265" t="str">
        <f>IFERROR(__xludf.DUMMYFUNCTION("""COMPUTED_VALUE"""),"Starter")</f>
        <v>Starter</v>
      </c>
      <c r="H695" s="265" t="str">
        <f>IFERROR(__xludf.DUMMYFUNCTION("""COMPUTED_VALUE"""),"Trả sau")</f>
        <v>Trả sau</v>
      </c>
      <c r="I695" s="265" t="str">
        <f>IFERROR(__xludf.DUMMYFUNCTION("""COMPUTED_VALUE"""),"API")</f>
        <v>API</v>
      </c>
      <c r="J695" s="265" t="str">
        <f>IFERROR(__xludf.DUMMYFUNCTION("""COMPUTED_VALUE"""),"SMS CSKH")</f>
        <v>SMS CSKH</v>
      </c>
      <c r="K695" s="265" t="str">
        <f>IFERROR(__xludf.DUMMYFUNCTION("""COMPUTED_VALUE"""),"DungPL")</f>
        <v>DungPL</v>
      </c>
    </row>
    <row r="696">
      <c r="A696" s="265" t="str">
        <f>IFERROR(__xludf.DUMMYFUNCTION("""COMPUTED_VALUE"""),"964")</f>
        <v>964</v>
      </c>
      <c r="B696" s="265" t="str">
        <f>IFERROR(__xludf.DUMMYFUNCTION("""COMPUTED_VALUE"""),"Sài Gòn")</f>
        <v>Sài Gòn</v>
      </c>
      <c r="C696" s="265" t="str">
        <f>IFERROR(__xludf.DUMMYFUNCTION("""COMPUTED_VALUE"""),"Active")</f>
        <v>Active</v>
      </c>
      <c r="D696" s="265" t="str">
        <f>IFERROR(__xludf.DUMMYFUNCTION("""COMPUTED_VALUE"""),"Dịch vụ khác")</f>
        <v>Dịch vụ khác</v>
      </c>
      <c r="E696" s="265" t="str">
        <f>IFERROR(__xludf.DUMMYFUNCTION("""COMPUTED_VALUE"""),"Không phân công")</f>
        <v>Không phân công</v>
      </c>
      <c r="F696" s="265" t="str">
        <f>IFERROR(__xludf.DUMMYFUNCTION("""COMPUTED_VALUE"""),"Diamond")</f>
        <v>Diamond</v>
      </c>
      <c r="G696" s="265" t="str">
        <f>IFERROR(__xludf.DUMMYFUNCTION("""COMPUTED_VALUE"""),"Starter")</f>
        <v>Starter</v>
      </c>
      <c r="H696" s="265" t="str">
        <f>IFERROR(__xludf.DUMMYFUNCTION("""COMPUTED_VALUE"""),"Trả sau")</f>
        <v>Trả sau</v>
      </c>
      <c r="I696" s="265" t="str">
        <f>IFERROR(__xludf.DUMMYFUNCTION("""COMPUTED_VALUE"""),"API")</f>
        <v>API</v>
      </c>
      <c r="J696" s="265" t="str">
        <f>IFERROR(__xludf.DUMMYFUNCTION("""COMPUTED_VALUE"""),"SMS CSKH")</f>
        <v>SMS CSKH</v>
      </c>
      <c r="K696" s="265" t="str">
        <f>IFERROR(__xludf.DUMMYFUNCTION("""COMPUTED_VALUE"""),"DungVT")</f>
        <v>DungVT</v>
      </c>
    </row>
    <row r="697">
      <c r="A697" s="265" t="str">
        <f>IFERROR(__xludf.DUMMYFUNCTION("""COMPUTED_VALUE"""),"965")</f>
        <v>965</v>
      </c>
      <c r="B697" s="265" t="str">
        <f>IFERROR(__xludf.DUMMYFUNCTION("""COMPUTED_VALUE"""),"Hà Nội")</f>
        <v>Hà Nội</v>
      </c>
      <c r="C697" s="265" t="str">
        <f>IFERROR(__xludf.DUMMYFUNCTION("""COMPUTED_VALUE"""),"Active")</f>
        <v>Active</v>
      </c>
      <c r="D697" s="265" t="str">
        <f>IFERROR(__xludf.DUMMYFUNCTION("""COMPUTED_VALUE"""),"Tài chính &amp; Ngân hàng")</f>
        <v>Tài chính &amp; Ngân hàng</v>
      </c>
      <c r="E697" s="265" t="str">
        <f>IFERROR(__xludf.DUMMYFUNCTION("""COMPUTED_VALUE"""),"TùngLD")</f>
        <v>TùngLD</v>
      </c>
      <c r="F697" s="265" t="str">
        <f>IFERROR(__xludf.DUMMYFUNCTION("""COMPUTED_VALUE"""),"Diamond")</f>
        <v>Diamond</v>
      </c>
      <c r="G697" s="265" t="str">
        <f>IFERROR(__xludf.DUMMYFUNCTION("""COMPUTED_VALUE"""),"Premium")</f>
        <v>Premium</v>
      </c>
      <c r="H697" s="265" t="str">
        <f>IFERROR(__xludf.DUMMYFUNCTION("""COMPUTED_VALUE"""),"Trả sau")</f>
        <v>Trả sau</v>
      </c>
      <c r="I697" s="265" t="str">
        <f>IFERROR(__xludf.DUMMYFUNCTION("""COMPUTED_VALUE"""),"API &amp; Portal")</f>
        <v>API &amp; Portal</v>
      </c>
      <c r="J697" s="265" t="str">
        <f>IFERROR(__xludf.DUMMYFUNCTION("""COMPUTED_VALUE"""),"Zalo ZNS")</f>
        <v>Zalo ZNS</v>
      </c>
      <c r="K697" s="265" t="str">
        <f>IFERROR(__xludf.DUMMYFUNCTION("""COMPUTED_VALUE"""),"LinhNTT1")</f>
        <v>LinhNTT1</v>
      </c>
    </row>
    <row r="698">
      <c r="A698" s="265" t="str">
        <f>IFERROR(__xludf.DUMMYFUNCTION("""COMPUTED_VALUE"""),"966")</f>
        <v>966</v>
      </c>
      <c r="B698" s="265" t="str">
        <f>IFERROR(__xludf.DUMMYFUNCTION("""COMPUTED_VALUE"""),"Sài Gòn")</f>
        <v>Sài Gòn</v>
      </c>
      <c r="C698" s="265" t="str">
        <f>IFERROR(__xludf.DUMMYFUNCTION("""COMPUTED_VALUE"""),"Active")</f>
        <v>Active</v>
      </c>
      <c r="D698" s="265" t="str">
        <f>IFERROR(__xludf.DUMMYFUNCTION("""COMPUTED_VALUE"""),"Vận tải &amp; logistics")</f>
        <v>Vận tải &amp; logistics</v>
      </c>
      <c r="E698" s="265" t="str">
        <f>IFERROR(__xludf.DUMMYFUNCTION("""COMPUTED_VALUE"""),"Không phân công")</f>
        <v>Không phân công</v>
      </c>
      <c r="F698" s="265" t="str">
        <f>IFERROR(__xludf.DUMMYFUNCTION("""COMPUTED_VALUE"""),"Gold")</f>
        <v>Gold</v>
      </c>
      <c r="G698" s="265" t="str">
        <f>IFERROR(__xludf.DUMMYFUNCTION("""COMPUTED_VALUE"""),"Starter")</f>
        <v>Starter</v>
      </c>
      <c r="H698" s="265" t="str">
        <f>IFERROR(__xludf.DUMMYFUNCTION("""COMPUTED_VALUE"""),"Trả sau")</f>
        <v>Trả sau</v>
      </c>
      <c r="I698" s="265" t="str">
        <f>IFERROR(__xludf.DUMMYFUNCTION("""COMPUTED_VALUE"""),"API")</f>
        <v>API</v>
      </c>
      <c r="J698" s="265" t="str">
        <f>IFERROR(__xludf.DUMMYFUNCTION("""COMPUTED_VALUE"""),"SMS CSKH")</f>
        <v>SMS CSKH</v>
      </c>
      <c r="K698" s="265" t="str">
        <f>IFERROR(__xludf.DUMMYFUNCTION("""COMPUTED_VALUE"""),"LinhNTT1")</f>
        <v>LinhNTT1</v>
      </c>
    </row>
    <row r="699">
      <c r="A699" s="265" t="str">
        <f>IFERROR(__xludf.DUMMYFUNCTION("""COMPUTED_VALUE"""),"970")</f>
        <v>970</v>
      </c>
      <c r="B699" s="265" t="str">
        <f>IFERROR(__xludf.DUMMYFUNCTION("""COMPUTED_VALUE"""),"Hà Nội")</f>
        <v>Hà Nội</v>
      </c>
      <c r="C699" s="265" t="str">
        <f>IFERROR(__xludf.DUMMYFUNCTION("""COMPUTED_VALUE"""),"Active")</f>
        <v>Active</v>
      </c>
      <c r="D699" s="265" t="str">
        <f>IFERROR(__xludf.DUMMYFUNCTION("""COMPUTED_VALUE"""),"Bất động sản")</f>
        <v>Bất động sản</v>
      </c>
      <c r="E699" s="265" t="str">
        <f>IFERROR(__xludf.DUMMYFUNCTION("""COMPUTED_VALUE"""),"TùngLD")</f>
        <v>TùngLD</v>
      </c>
      <c r="F699" s="265" t="str">
        <f>IFERROR(__xludf.DUMMYFUNCTION("""COMPUTED_VALUE"""),"Gold")</f>
        <v>Gold</v>
      </c>
      <c r="G699" s="265" t="str">
        <f>IFERROR(__xludf.DUMMYFUNCTION("""COMPUTED_VALUE"""),"Starter")</f>
        <v>Starter</v>
      </c>
      <c r="H699" s="265" t="str">
        <f>IFERROR(__xludf.DUMMYFUNCTION("""COMPUTED_VALUE"""),"Trả sau")</f>
        <v>Trả sau</v>
      </c>
      <c r="I699" s="265" t="str">
        <f>IFERROR(__xludf.DUMMYFUNCTION("""COMPUTED_VALUE"""),"API &amp; Portal")</f>
        <v>API &amp; Portal</v>
      </c>
      <c r="J699" s="265" t="str">
        <f>IFERROR(__xludf.DUMMYFUNCTION("""COMPUTED_VALUE"""),"Zalo ZNS")</f>
        <v>Zalo ZNS</v>
      </c>
      <c r="K699" s="265" t="str">
        <f>IFERROR(__xludf.DUMMYFUNCTION("""COMPUTED_VALUE"""),"DungPL")</f>
        <v>DungPL</v>
      </c>
    </row>
    <row r="700">
      <c r="A700" s="265" t="str">
        <f>IFERROR(__xludf.DUMMYFUNCTION("""COMPUTED_VALUE"""),"969")</f>
        <v>969</v>
      </c>
      <c r="B700" s="265" t="str">
        <f>IFERROR(__xludf.DUMMYFUNCTION("""COMPUTED_VALUE"""),"Hà Nội")</f>
        <v>Hà Nội</v>
      </c>
      <c r="C700" s="265" t="str">
        <f>IFERROR(__xludf.DUMMYFUNCTION("""COMPUTED_VALUE"""),"Active")</f>
        <v>Active</v>
      </c>
      <c r="D700" s="265" t="str">
        <f>IFERROR(__xludf.DUMMYFUNCTION("""COMPUTED_VALUE"""),"Mua sắm &amp; Bán lẻ")</f>
        <v>Mua sắm &amp; Bán lẻ</v>
      </c>
      <c r="E700" s="265" t="str">
        <f>IFERROR(__xludf.DUMMYFUNCTION("""COMPUTED_VALUE"""),"TúPHN")</f>
        <v>TúPHN</v>
      </c>
      <c r="F700" s="265" t="str">
        <f>IFERROR(__xludf.DUMMYFUNCTION("""COMPUTED_VALUE"""),"Bronze")</f>
        <v>Bronze</v>
      </c>
      <c r="G700" s="265" t="str">
        <f>IFERROR(__xludf.DUMMYFUNCTION("""COMPUTED_VALUE"""),"Starter")</f>
        <v>Starter</v>
      </c>
      <c r="H700" s="265" t="str">
        <f>IFERROR(__xludf.DUMMYFUNCTION("""COMPUTED_VALUE"""),"Trả sau")</f>
        <v>Trả sau</v>
      </c>
      <c r="I700" s="265" t="str">
        <f>IFERROR(__xludf.DUMMYFUNCTION("""COMPUTED_VALUE"""),"API &amp; Portal")</f>
        <v>API &amp; Portal</v>
      </c>
      <c r="J700" s="265" t="str">
        <f>IFERROR(__xludf.DUMMYFUNCTION("""COMPUTED_VALUE"""),"Zalo ZNS")</f>
        <v>Zalo ZNS</v>
      </c>
      <c r="K700" s="265" t="str">
        <f>IFERROR(__xludf.DUMMYFUNCTION("""COMPUTED_VALUE"""),"YếnĐH")</f>
        <v>YếnĐH</v>
      </c>
    </row>
    <row r="701">
      <c r="A701" s="265" t="str">
        <f>IFERROR(__xludf.DUMMYFUNCTION("""COMPUTED_VALUE"""),"972")</f>
        <v>972</v>
      </c>
      <c r="B701" s="265" t="str">
        <f>IFERROR(__xludf.DUMMYFUNCTION("""COMPUTED_VALUE"""),"Sài Gòn")</f>
        <v>Sài Gòn</v>
      </c>
      <c r="C701" s="265" t="str">
        <f>IFERROR(__xludf.DUMMYFUNCTION("""COMPUTED_VALUE"""),"Locked")</f>
        <v>Locked</v>
      </c>
      <c r="D701" s="265" t="str">
        <f>IFERROR(__xludf.DUMMYFUNCTION("""COMPUTED_VALUE"""),"Mua sắm &amp; Bán lẻ")</f>
        <v>Mua sắm &amp; Bán lẻ</v>
      </c>
      <c r="E701" s="265" t="str">
        <f>IFERROR(__xludf.DUMMYFUNCTION("""COMPUTED_VALUE"""),"AnhNM")</f>
        <v>AnhNM</v>
      </c>
      <c r="F701" s="265" t="str">
        <f>IFERROR(__xludf.DUMMYFUNCTION("""COMPUTED_VALUE"""),"Bronze")</f>
        <v>Bronze</v>
      </c>
      <c r="G701" s="265" t="str">
        <f>IFERROR(__xludf.DUMMYFUNCTION("""COMPUTED_VALUE"""),"Starter")</f>
        <v>Starter</v>
      </c>
      <c r="H701" s="265" t="str">
        <f>IFERROR(__xludf.DUMMYFUNCTION("""COMPUTED_VALUE"""),"Trial")</f>
        <v>Trial</v>
      </c>
      <c r="I701" s="265" t="str">
        <f>IFERROR(__xludf.DUMMYFUNCTION("""COMPUTED_VALUE"""),"API")</f>
        <v>API</v>
      </c>
      <c r="J701" s="265" t="str">
        <f>IFERROR(__xludf.DUMMYFUNCTION("""COMPUTED_VALUE"""),"Zalo ZNS")</f>
        <v>Zalo ZNS</v>
      </c>
      <c r="K701" s="265" t="str">
        <f>IFERROR(__xludf.DUMMYFUNCTION("""COMPUTED_VALUE"""),"Không phân công")</f>
        <v>Không phân công</v>
      </c>
    </row>
    <row r="702">
      <c r="A702" s="265" t="str">
        <f>IFERROR(__xludf.DUMMYFUNCTION("""COMPUTED_VALUE"""),"973")</f>
        <v>973</v>
      </c>
      <c r="B702" s="265" t="str">
        <f>IFERROR(__xludf.DUMMYFUNCTION("""COMPUTED_VALUE"""),"Hà Nội")</f>
        <v>Hà Nội</v>
      </c>
      <c r="C702" s="265" t="str">
        <f>IFERROR(__xludf.DUMMYFUNCTION("""COMPUTED_VALUE"""),"Locked")</f>
        <v>Locked</v>
      </c>
      <c r="D702" s="265" t="str">
        <f>IFERROR(__xludf.DUMMYFUNCTION("""COMPUTED_VALUE"""),"Vận tải &amp; logistics")</f>
        <v>Vận tải &amp; logistics</v>
      </c>
      <c r="E702" s="265" t="str">
        <f>IFERROR(__xludf.DUMMYFUNCTION("""COMPUTED_VALUE"""),"Không phân công")</f>
        <v>Không phân công</v>
      </c>
      <c r="F702" s="265" t="str">
        <f>IFERROR(__xludf.DUMMYFUNCTION("""COMPUTED_VALUE"""),"Silver")</f>
        <v>Silver</v>
      </c>
      <c r="G702" s="265" t="str">
        <f>IFERROR(__xludf.DUMMYFUNCTION("""COMPUTED_VALUE"""),"Starter")</f>
        <v>Starter</v>
      </c>
      <c r="H702" s="265" t="str">
        <f>IFERROR(__xludf.DUMMYFUNCTION("""COMPUTED_VALUE"""),"Trả sau")</f>
        <v>Trả sau</v>
      </c>
      <c r="I702" s="265" t="str">
        <f>IFERROR(__xludf.DUMMYFUNCTION("""COMPUTED_VALUE"""),"API")</f>
        <v>API</v>
      </c>
      <c r="J702" s="265" t="str">
        <f>IFERROR(__xludf.DUMMYFUNCTION("""COMPUTED_VALUE"""),"SMS CSKH")</f>
        <v>SMS CSKH</v>
      </c>
      <c r="K702" s="265" t="str">
        <f>IFERROR(__xludf.DUMMYFUNCTION("""COMPUTED_VALUE"""),"DungVT")</f>
        <v>DungVT</v>
      </c>
    </row>
    <row r="703">
      <c r="A703" s="265" t="str">
        <f>IFERROR(__xludf.DUMMYFUNCTION("""COMPUTED_VALUE"""),"974")</f>
        <v>974</v>
      </c>
      <c r="B703" s="265" t="str">
        <f>IFERROR(__xludf.DUMMYFUNCTION("""COMPUTED_VALUE"""),"Đà Nẵng")</f>
        <v>Đà Nẵng</v>
      </c>
      <c r="C703" s="265" t="str">
        <f>IFERROR(__xludf.DUMMYFUNCTION("""COMPUTED_VALUE"""),"Active")</f>
        <v>Active</v>
      </c>
      <c r="D703" s="265" t="str">
        <f>IFERROR(__xludf.DUMMYFUNCTION("""COMPUTED_VALUE"""),"Sale chưa cung cấp")</f>
        <v>Sale chưa cung cấp</v>
      </c>
      <c r="E703" s="265" t="str">
        <f>IFERROR(__xludf.DUMMYFUNCTION("""COMPUTED_VALUE"""),"Không phân công")</f>
        <v>Không phân công</v>
      </c>
      <c r="F703" s="265" t="str">
        <f>IFERROR(__xludf.DUMMYFUNCTION("""COMPUTED_VALUE"""),"Silver")</f>
        <v>Silver</v>
      </c>
      <c r="G703" s="265" t="str">
        <f>IFERROR(__xludf.DUMMYFUNCTION("""COMPUTED_VALUE"""),"Starter")</f>
        <v>Starter</v>
      </c>
      <c r="H703" s="265" t="str">
        <f>IFERROR(__xludf.DUMMYFUNCTION("""COMPUTED_VALUE"""),"Trả sau")</f>
        <v>Trả sau</v>
      </c>
      <c r="I703" s="265" t="str">
        <f>IFERROR(__xludf.DUMMYFUNCTION("""COMPUTED_VALUE"""),"API")</f>
        <v>API</v>
      </c>
      <c r="J703" s="265" t="str">
        <f>IFERROR(__xludf.DUMMYFUNCTION("""COMPUTED_VALUE"""),"SMS CSKH")</f>
        <v>SMS CSKH</v>
      </c>
      <c r="K703" s="265" t="str">
        <f>IFERROR(__xludf.DUMMYFUNCTION("""COMPUTED_VALUE"""),"DungVT")</f>
        <v>DungVT</v>
      </c>
    </row>
    <row r="704">
      <c r="A704" s="265" t="str">
        <f>IFERROR(__xludf.DUMMYFUNCTION("""COMPUTED_VALUE"""),"975")</f>
        <v>975</v>
      </c>
      <c r="B704" s="265" t="str">
        <f>IFERROR(__xludf.DUMMYFUNCTION("""COMPUTED_VALUE"""),"Hà Nội")</f>
        <v>Hà Nội</v>
      </c>
      <c r="C704" s="265" t="str">
        <f>IFERROR(__xludf.DUMMYFUNCTION("""COMPUTED_VALUE"""),"Active")</f>
        <v>Active</v>
      </c>
      <c r="D704" s="265" t="str">
        <f>IFERROR(__xludf.DUMMYFUNCTION("""COMPUTED_VALUE"""),"Tài chính &amp; Ngân hàng")</f>
        <v>Tài chính &amp; Ngân hàng</v>
      </c>
      <c r="E704" s="265" t="str">
        <f>IFERROR(__xludf.DUMMYFUNCTION("""COMPUTED_VALUE"""),"TúPHN")</f>
        <v>TúPHN</v>
      </c>
      <c r="F704" s="265" t="str">
        <f>IFERROR(__xludf.DUMMYFUNCTION("""COMPUTED_VALUE"""),"Bronze")</f>
        <v>Bronze</v>
      </c>
      <c r="G704" s="265" t="str">
        <f>IFERROR(__xludf.DUMMYFUNCTION("""COMPUTED_VALUE"""),"Starter")</f>
        <v>Starter</v>
      </c>
      <c r="H704" s="265" t="str">
        <f>IFERROR(__xludf.DUMMYFUNCTION("""COMPUTED_VALUE"""),"Trả sau")</f>
        <v>Trả sau</v>
      </c>
      <c r="I704" s="265" t="str">
        <f>IFERROR(__xludf.DUMMYFUNCTION("""COMPUTED_VALUE"""),"API")</f>
        <v>API</v>
      </c>
      <c r="J704" s="265" t="str">
        <f>IFERROR(__xludf.DUMMYFUNCTION("""COMPUTED_VALUE"""),"SMS CSKH")</f>
        <v>SMS CSKH</v>
      </c>
      <c r="K704" s="265" t="str">
        <f>IFERROR(__xludf.DUMMYFUNCTION("""COMPUTED_VALUE"""),"DungVT")</f>
        <v>DungVT</v>
      </c>
    </row>
    <row r="705">
      <c r="A705" s="265" t="str">
        <f>IFERROR(__xludf.DUMMYFUNCTION("""COMPUTED_VALUE"""),"977")</f>
        <v>977</v>
      </c>
      <c r="B705" s="265" t="str">
        <f>IFERROR(__xludf.DUMMYFUNCTION("""COMPUTED_VALUE"""),"Sài Gòn")</f>
        <v>Sài Gòn</v>
      </c>
      <c r="C705" s="265" t="str">
        <f>IFERROR(__xludf.DUMMYFUNCTION("""COMPUTED_VALUE"""),"Active")</f>
        <v>Active</v>
      </c>
      <c r="D705" s="265" t="str">
        <f>IFERROR(__xludf.DUMMYFUNCTION("""COMPUTED_VALUE"""),"Thực phẩm &amp; Đồ uống")</f>
        <v>Thực phẩm &amp; Đồ uống</v>
      </c>
      <c r="E705" s="265" t="str">
        <f>IFERROR(__xludf.DUMMYFUNCTION("""COMPUTED_VALUE"""),"TrâmNNB")</f>
        <v>TrâmNNB</v>
      </c>
      <c r="F705" s="265" t="str">
        <f>IFERROR(__xludf.DUMMYFUNCTION("""COMPUTED_VALUE"""),"Sale chưa cung cấp")</f>
        <v>Sale chưa cung cấp</v>
      </c>
      <c r="G705" s="265" t="str">
        <f>IFERROR(__xludf.DUMMYFUNCTION("""COMPUTED_VALUE"""),"Starter")</f>
        <v>Starter</v>
      </c>
      <c r="H705" s="265" t="str">
        <f>IFERROR(__xludf.DUMMYFUNCTION("""COMPUTED_VALUE"""),"Trả sau")</f>
        <v>Trả sau</v>
      </c>
      <c r="I705" s="265" t="str">
        <f>IFERROR(__xludf.DUMMYFUNCTION("""COMPUTED_VALUE"""),"Portal")</f>
        <v>Portal</v>
      </c>
      <c r="J705" s="265" t="str">
        <f>IFERROR(__xludf.DUMMYFUNCTION("""COMPUTED_VALUE"""),"Zalo ZNS")</f>
        <v>Zalo ZNS</v>
      </c>
      <c r="K705" s="265" t="str">
        <f>IFERROR(__xludf.DUMMYFUNCTION("""COMPUTED_VALUE"""),"LinhNTT1")</f>
        <v>LinhNTT1</v>
      </c>
    </row>
    <row r="706">
      <c r="A706" s="265" t="str">
        <f>IFERROR(__xludf.DUMMYFUNCTION("""COMPUTED_VALUE"""),"977")</f>
        <v>977</v>
      </c>
      <c r="B706" s="265" t="str">
        <f>IFERROR(__xludf.DUMMYFUNCTION("""COMPUTED_VALUE"""),"Sài Gòn")</f>
        <v>Sài Gòn</v>
      </c>
      <c r="C706" s="265" t="str">
        <f>IFERROR(__xludf.DUMMYFUNCTION("""COMPUTED_VALUE"""),"Active")</f>
        <v>Active</v>
      </c>
      <c r="D706" s="265" t="str">
        <f>IFERROR(__xludf.DUMMYFUNCTION("""COMPUTED_VALUE"""),"Thực phẩm &amp; Đồ uống")</f>
        <v>Thực phẩm &amp; Đồ uống</v>
      </c>
      <c r="E706" s="265" t="str">
        <f>IFERROR(__xludf.DUMMYFUNCTION("""COMPUTED_VALUE"""),"TrâmNNB")</f>
        <v>TrâmNNB</v>
      </c>
      <c r="F706" s="265" t="str">
        <f>IFERROR(__xludf.DUMMYFUNCTION("""COMPUTED_VALUE"""),"Sale chưa cung cấp")</f>
        <v>Sale chưa cung cấp</v>
      </c>
      <c r="G706" s="265" t="str">
        <f>IFERROR(__xludf.DUMMYFUNCTION("""COMPUTED_VALUE"""),"Starter")</f>
        <v>Starter</v>
      </c>
      <c r="H706" s="265" t="str">
        <f>IFERROR(__xludf.DUMMYFUNCTION("""COMPUTED_VALUE"""),"Trả sau")</f>
        <v>Trả sau</v>
      </c>
      <c r="I706" s="265" t="str">
        <f>IFERROR(__xludf.DUMMYFUNCTION("""COMPUTED_VALUE"""),"Portal")</f>
        <v>Portal</v>
      </c>
      <c r="J706" s="265" t="str">
        <f>IFERROR(__xludf.DUMMYFUNCTION("""COMPUTED_VALUE"""),"Zalo UID")</f>
        <v>Zalo UID</v>
      </c>
      <c r="K706" s="265" t="str">
        <f>IFERROR(__xludf.DUMMYFUNCTION("""COMPUTED_VALUE"""),"LinhNTT1")</f>
        <v>LinhNTT1</v>
      </c>
    </row>
    <row r="707">
      <c r="A707" s="265" t="str">
        <f>IFERROR(__xludf.DUMMYFUNCTION("""COMPUTED_VALUE"""),"978")</f>
        <v>978</v>
      </c>
      <c r="B707" s="265" t="str">
        <f>IFERROR(__xludf.DUMMYFUNCTION("""COMPUTED_VALUE"""),"Hà Nội")</f>
        <v>Hà Nội</v>
      </c>
      <c r="C707" s="265" t="str">
        <f>IFERROR(__xludf.DUMMYFUNCTION("""COMPUTED_VALUE"""),"Active")</f>
        <v>Active</v>
      </c>
      <c r="D707" s="265" t="str">
        <f>IFERROR(__xludf.DUMMYFUNCTION("""COMPUTED_VALUE"""),"Tài chính &amp; Ngân hàng")</f>
        <v>Tài chính &amp; Ngân hàng</v>
      </c>
      <c r="E707" s="265" t="str">
        <f>IFERROR(__xludf.DUMMYFUNCTION("""COMPUTED_VALUE"""),"TùngLD")</f>
        <v>TùngLD</v>
      </c>
      <c r="F707" s="265" t="str">
        <f>IFERROR(__xludf.DUMMYFUNCTION("""COMPUTED_VALUE"""),"Diamond")</f>
        <v>Diamond</v>
      </c>
      <c r="G707" s="265" t="str">
        <f>IFERROR(__xludf.DUMMYFUNCTION("""COMPUTED_VALUE"""),"Standard")</f>
        <v>Standard</v>
      </c>
      <c r="H707" s="265" t="str">
        <f>IFERROR(__xludf.DUMMYFUNCTION("""COMPUTED_VALUE"""),"Trả sau")</f>
        <v>Trả sau</v>
      </c>
      <c r="I707" s="265" t="str">
        <f>IFERROR(__xludf.DUMMYFUNCTION("""COMPUTED_VALUE"""),"API")</f>
        <v>API</v>
      </c>
      <c r="J707" s="265" t="str">
        <f>IFERROR(__xludf.DUMMYFUNCTION("""COMPUTED_VALUE"""),"SMS CSKH")</f>
        <v>SMS CSKH</v>
      </c>
      <c r="K707" s="265" t="str">
        <f>IFERROR(__xludf.DUMMYFUNCTION("""COMPUTED_VALUE"""),"DungVT, YếnĐH")</f>
        <v>DungVT, YếnĐH</v>
      </c>
    </row>
    <row r="708">
      <c r="A708" s="265" t="str">
        <f>IFERROR(__xludf.DUMMYFUNCTION("""COMPUTED_VALUE"""),"978")</f>
        <v>978</v>
      </c>
      <c r="B708" s="265" t="str">
        <f>IFERROR(__xludf.DUMMYFUNCTION("""COMPUTED_VALUE"""),"Hà Nội")</f>
        <v>Hà Nội</v>
      </c>
      <c r="C708" s="265" t="str">
        <f>IFERROR(__xludf.DUMMYFUNCTION("""COMPUTED_VALUE"""),"Active")</f>
        <v>Active</v>
      </c>
      <c r="D708" s="265" t="str">
        <f>IFERROR(__xludf.DUMMYFUNCTION("""COMPUTED_VALUE"""),"Tài chính &amp; Ngân hàng")</f>
        <v>Tài chính &amp; Ngân hàng</v>
      </c>
      <c r="E708" s="265" t="str">
        <f>IFERROR(__xludf.DUMMYFUNCTION("""COMPUTED_VALUE"""),"TùngLD")</f>
        <v>TùngLD</v>
      </c>
      <c r="F708" s="265" t="str">
        <f>IFERROR(__xludf.DUMMYFUNCTION("""COMPUTED_VALUE"""),"Diamond")</f>
        <v>Diamond</v>
      </c>
      <c r="G708" s="265" t="str">
        <f>IFERROR(__xludf.DUMMYFUNCTION("""COMPUTED_VALUE"""),"Standard")</f>
        <v>Standard</v>
      </c>
      <c r="H708" s="265" t="str">
        <f>IFERROR(__xludf.DUMMYFUNCTION("""COMPUTED_VALUE"""),"Trả sau")</f>
        <v>Trả sau</v>
      </c>
      <c r="I708" s="265" t="str">
        <f>IFERROR(__xludf.DUMMYFUNCTION("""COMPUTED_VALUE"""),"API")</f>
        <v>API</v>
      </c>
      <c r="J708" s="265" t="str">
        <f>IFERROR(__xludf.DUMMYFUNCTION("""COMPUTED_VALUE"""),"SMS QC")</f>
        <v>SMS QC</v>
      </c>
      <c r="K708" s="265" t="str">
        <f>IFERROR(__xludf.DUMMYFUNCTION("""COMPUTED_VALUE"""),"DungVT, YếnĐH")</f>
        <v>DungVT, YếnĐH</v>
      </c>
    </row>
    <row r="709">
      <c r="A709" s="265" t="str">
        <f>IFERROR(__xludf.DUMMYFUNCTION("""COMPUTED_VALUE"""),"978")</f>
        <v>978</v>
      </c>
      <c r="B709" s="265" t="str">
        <f>IFERROR(__xludf.DUMMYFUNCTION("""COMPUTED_VALUE"""),"Hà Nội")</f>
        <v>Hà Nội</v>
      </c>
      <c r="C709" s="265" t="str">
        <f>IFERROR(__xludf.DUMMYFUNCTION("""COMPUTED_VALUE"""),"Active")</f>
        <v>Active</v>
      </c>
      <c r="D709" s="265" t="str">
        <f>IFERROR(__xludf.DUMMYFUNCTION("""COMPUTED_VALUE"""),"Tài chính &amp; Ngân hàng")</f>
        <v>Tài chính &amp; Ngân hàng</v>
      </c>
      <c r="E709" s="265" t="str">
        <f>IFERROR(__xludf.DUMMYFUNCTION("""COMPUTED_VALUE"""),"TùngLD")</f>
        <v>TùngLD</v>
      </c>
      <c r="F709" s="265" t="str">
        <f>IFERROR(__xludf.DUMMYFUNCTION("""COMPUTED_VALUE"""),"Diamond")</f>
        <v>Diamond</v>
      </c>
      <c r="G709" s="265" t="str">
        <f>IFERROR(__xludf.DUMMYFUNCTION("""COMPUTED_VALUE"""),"Standard")</f>
        <v>Standard</v>
      </c>
      <c r="H709" s="265" t="str">
        <f>IFERROR(__xludf.DUMMYFUNCTION("""COMPUTED_VALUE"""),"Trả sau")</f>
        <v>Trả sau</v>
      </c>
      <c r="I709" s="265" t="str">
        <f>IFERROR(__xludf.DUMMYFUNCTION("""COMPUTED_VALUE"""),"API")</f>
        <v>API</v>
      </c>
      <c r="J709" s="265" t="str">
        <f>IFERROR(__xludf.DUMMYFUNCTION("""COMPUTED_VALUE"""),"Zalo ZNS")</f>
        <v>Zalo ZNS</v>
      </c>
      <c r="K709" s="265" t="str">
        <f>IFERROR(__xludf.DUMMYFUNCTION("""COMPUTED_VALUE"""),"DungVT, YếnĐH")</f>
        <v>DungVT, YếnĐH</v>
      </c>
    </row>
    <row r="710">
      <c r="A710" s="265" t="str">
        <f>IFERROR(__xludf.DUMMYFUNCTION("""COMPUTED_VALUE"""),"978")</f>
        <v>978</v>
      </c>
      <c r="B710" s="265" t="str">
        <f>IFERROR(__xludf.DUMMYFUNCTION("""COMPUTED_VALUE"""),"Hà Nội")</f>
        <v>Hà Nội</v>
      </c>
      <c r="C710" s="265" t="str">
        <f>IFERROR(__xludf.DUMMYFUNCTION("""COMPUTED_VALUE"""),"Active")</f>
        <v>Active</v>
      </c>
      <c r="D710" s="265" t="str">
        <f>IFERROR(__xludf.DUMMYFUNCTION("""COMPUTED_VALUE"""),"Tài chính &amp; Ngân hàng")</f>
        <v>Tài chính &amp; Ngân hàng</v>
      </c>
      <c r="E710" s="265" t="str">
        <f>IFERROR(__xludf.DUMMYFUNCTION("""COMPUTED_VALUE"""),"TùngLD")</f>
        <v>TùngLD</v>
      </c>
      <c r="F710" s="265" t="str">
        <f>IFERROR(__xludf.DUMMYFUNCTION("""COMPUTED_VALUE"""),"Diamond")</f>
        <v>Diamond</v>
      </c>
      <c r="G710" s="265" t="str">
        <f>IFERROR(__xludf.DUMMYFUNCTION("""COMPUTED_VALUE"""),"Standard")</f>
        <v>Standard</v>
      </c>
      <c r="H710" s="265" t="str">
        <f>IFERROR(__xludf.DUMMYFUNCTION("""COMPUTED_VALUE"""),"Trả sau")</f>
        <v>Trả sau</v>
      </c>
      <c r="I710" s="265" t="str">
        <f>IFERROR(__xludf.DUMMYFUNCTION("""COMPUTED_VALUE"""),"API")</f>
        <v>API</v>
      </c>
      <c r="J710" s="265" t="str">
        <f>IFERROR(__xludf.DUMMYFUNCTION("""COMPUTED_VALUE"""),"Viber")</f>
        <v>Viber</v>
      </c>
      <c r="K710" s="265" t="str">
        <f>IFERROR(__xludf.DUMMYFUNCTION("""COMPUTED_VALUE"""),"DungVT, YếnĐH")</f>
        <v>DungVT, YếnĐH</v>
      </c>
    </row>
    <row r="711">
      <c r="A711" s="265" t="str">
        <f>IFERROR(__xludf.DUMMYFUNCTION("""COMPUTED_VALUE"""),"979")</f>
        <v>979</v>
      </c>
      <c r="B711" s="265" t="str">
        <f>IFERROR(__xludf.DUMMYFUNCTION("""COMPUTED_VALUE"""),"Sài Gòn")</f>
        <v>Sài Gòn</v>
      </c>
      <c r="C711" s="265" t="str">
        <f>IFERROR(__xludf.DUMMYFUNCTION("""COMPUTED_VALUE"""),"Active")</f>
        <v>Active</v>
      </c>
      <c r="D711" s="265" t="str">
        <f>IFERROR(__xludf.DUMMYFUNCTION("""COMPUTED_VALUE"""),"Thực phẩm &amp; Đồ uống")</f>
        <v>Thực phẩm &amp; Đồ uống</v>
      </c>
      <c r="E711" s="265" t="str">
        <f>IFERROR(__xludf.DUMMYFUNCTION("""COMPUTED_VALUE"""),"TrâmNNB")</f>
        <v>TrâmNNB</v>
      </c>
      <c r="F711" s="265" t="str">
        <f>IFERROR(__xludf.DUMMYFUNCTION("""COMPUTED_VALUE"""),"Diamond")</f>
        <v>Diamond</v>
      </c>
      <c r="G711" s="265" t="str">
        <f>IFERROR(__xludf.DUMMYFUNCTION("""COMPUTED_VALUE"""),"Enterprise")</f>
        <v>Enterprise</v>
      </c>
      <c r="H711" s="265" t="str">
        <f>IFERROR(__xludf.DUMMYFUNCTION("""COMPUTED_VALUE"""),"Trả trước")</f>
        <v>Trả trước</v>
      </c>
      <c r="I711" s="265" t="str">
        <f>IFERROR(__xludf.DUMMYFUNCTION("""COMPUTED_VALUE"""),"Portal")</f>
        <v>Portal</v>
      </c>
      <c r="J711" s="265" t="str">
        <f>IFERROR(__xludf.DUMMYFUNCTION("""COMPUTED_VALUE"""),"Zalo ZNS")</f>
        <v>Zalo ZNS</v>
      </c>
      <c r="K711" s="265" t="str">
        <f>IFERROR(__xludf.DUMMYFUNCTION("""COMPUTED_VALUE"""),"LinhNTT1")</f>
        <v>LinhNTT1</v>
      </c>
    </row>
    <row r="712">
      <c r="A712" s="265" t="str">
        <f>IFERROR(__xludf.DUMMYFUNCTION("""COMPUTED_VALUE"""),"959")</f>
        <v>959</v>
      </c>
      <c r="B712" s="265" t="str">
        <f>IFERROR(__xludf.DUMMYFUNCTION("""COMPUTED_VALUE"""),"Sài Gòn")</f>
        <v>Sài Gòn</v>
      </c>
      <c r="C712" s="265" t="str">
        <f>IFERROR(__xludf.DUMMYFUNCTION("""COMPUTED_VALUE"""),"Active")</f>
        <v>Active</v>
      </c>
      <c r="D712" s="265" t="str">
        <f>IFERROR(__xludf.DUMMYFUNCTION("""COMPUTED_VALUE"""),"Dịch vụ khác")</f>
        <v>Dịch vụ khác</v>
      </c>
      <c r="E712" s="265" t="str">
        <f>IFERROR(__xludf.DUMMYFUNCTION("""COMPUTED_VALUE"""),"TúPHN")</f>
        <v>TúPHN</v>
      </c>
      <c r="F712" s="265" t="str">
        <f>IFERROR(__xludf.DUMMYFUNCTION("""COMPUTED_VALUE"""),"Silver")</f>
        <v>Silver</v>
      </c>
      <c r="G712" s="265" t="str">
        <f>IFERROR(__xludf.DUMMYFUNCTION("""COMPUTED_VALUE"""),"Starter")</f>
        <v>Starter</v>
      </c>
      <c r="H712" s="265" t="str">
        <f>IFERROR(__xludf.DUMMYFUNCTION("""COMPUTED_VALUE"""),"Trả sau")</f>
        <v>Trả sau</v>
      </c>
      <c r="I712" s="265" t="str">
        <f>IFERROR(__xludf.DUMMYFUNCTION("""COMPUTED_VALUE"""),"API")</f>
        <v>API</v>
      </c>
      <c r="J712" s="265" t="str">
        <f>IFERROR(__xludf.DUMMYFUNCTION("""COMPUTED_VALUE"""),"Zalo ZNS")</f>
        <v>Zalo ZNS</v>
      </c>
      <c r="K712" s="265" t="str">
        <f>IFERROR(__xludf.DUMMYFUNCTION("""COMPUTED_VALUE"""),"DungPL")</f>
        <v>DungPL</v>
      </c>
    </row>
    <row r="713">
      <c r="A713" s="265" t="str">
        <f>IFERROR(__xludf.DUMMYFUNCTION("""COMPUTED_VALUE"""),"968")</f>
        <v>968</v>
      </c>
      <c r="B713" s="265" t="str">
        <f>IFERROR(__xludf.DUMMYFUNCTION("""COMPUTED_VALUE"""),"Sài Gòn")</f>
        <v>Sài Gòn</v>
      </c>
      <c r="C713" s="265" t="str">
        <f>IFERROR(__xludf.DUMMYFUNCTION("""COMPUTED_VALUE"""),"Active")</f>
        <v>Active</v>
      </c>
      <c r="D713" s="265" t="str">
        <f>IFERROR(__xludf.DUMMYFUNCTION("""COMPUTED_VALUE"""),"Dịch vụ khác")</f>
        <v>Dịch vụ khác</v>
      </c>
      <c r="E713" s="265" t="str">
        <f>IFERROR(__xludf.DUMMYFUNCTION("""COMPUTED_VALUE"""),"Không phân công")</f>
        <v>Không phân công</v>
      </c>
      <c r="F713" s="265" t="str">
        <f>IFERROR(__xludf.DUMMYFUNCTION("""COMPUTED_VALUE"""),"Gold")</f>
        <v>Gold</v>
      </c>
      <c r="G713" s="265" t="str">
        <f>IFERROR(__xludf.DUMMYFUNCTION("""COMPUTED_VALUE"""),"Starter")</f>
        <v>Starter</v>
      </c>
      <c r="H713" s="265" t="str">
        <f>IFERROR(__xludf.DUMMYFUNCTION("""COMPUTED_VALUE"""),"Trial")</f>
        <v>Trial</v>
      </c>
      <c r="I713" s="265" t="str">
        <f>IFERROR(__xludf.DUMMYFUNCTION("""COMPUTED_VALUE"""),"API")</f>
        <v>API</v>
      </c>
      <c r="J713" s="265" t="str">
        <f>IFERROR(__xludf.DUMMYFUNCTION("""COMPUTED_VALUE"""),"SMS CSKH")</f>
        <v>SMS CSKH</v>
      </c>
      <c r="K713" s="265" t="str">
        <f>IFERROR(__xludf.DUMMYFUNCTION("""COMPUTED_VALUE"""),"YếnĐH")</f>
        <v>YếnĐH</v>
      </c>
    </row>
    <row r="714">
      <c r="A714" s="265" t="str">
        <f>IFERROR(__xludf.DUMMYFUNCTION("""COMPUTED_VALUE"""),"980")</f>
        <v>980</v>
      </c>
      <c r="B714" s="265" t="str">
        <f>IFERROR(__xludf.DUMMYFUNCTION("""COMPUTED_VALUE"""),"Sài Gòn")</f>
        <v>Sài Gòn</v>
      </c>
      <c r="C714" s="265" t="str">
        <f>IFERROR(__xludf.DUMMYFUNCTION("""COMPUTED_VALUE"""),"Locked")</f>
        <v>Locked</v>
      </c>
      <c r="D714" s="265" t="str">
        <f>IFERROR(__xludf.DUMMYFUNCTION("""COMPUTED_VALUE"""),"Dịch vụ khác")</f>
        <v>Dịch vụ khác</v>
      </c>
      <c r="E714" s="265" t="str">
        <f>IFERROR(__xludf.DUMMYFUNCTION("""COMPUTED_VALUE"""),"Không phân công")</f>
        <v>Không phân công</v>
      </c>
      <c r="F714" s="265" t="str">
        <f>IFERROR(__xludf.DUMMYFUNCTION("""COMPUTED_VALUE"""),"Diamond")</f>
        <v>Diamond</v>
      </c>
      <c r="G714" s="265" t="str">
        <f>IFERROR(__xludf.DUMMYFUNCTION("""COMPUTED_VALUE"""),"Starter")</f>
        <v>Starter</v>
      </c>
      <c r="H714" s="265" t="str">
        <f>IFERROR(__xludf.DUMMYFUNCTION("""COMPUTED_VALUE"""),"Trial")</f>
        <v>Trial</v>
      </c>
      <c r="I714" s="265" t="str">
        <f>IFERROR(__xludf.DUMMYFUNCTION("""COMPUTED_VALUE"""),"API")</f>
        <v>API</v>
      </c>
      <c r="J714" s="265" t="str">
        <f>IFERROR(__xludf.DUMMYFUNCTION("""COMPUTED_VALUE"""),"SMS CSKH")</f>
        <v>SMS CSKH</v>
      </c>
      <c r="K714" s="265" t="str">
        <f>IFERROR(__xludf.DUMMYFUNCTION("""COMPUTED_VALUE"""),"DungVT")</f>
        <v>DungVT</v>
      </c>
    </row>
    <row r="715">
      <c r="A715" s="265" t="str">
        <f>IFERROR(__xludf.DUMMYFUNCTION("""COMPUTED_VALUE"""),"981")</f>
        <v>981</v>
      </c>
      <c r="B715" s="265" t="str">
        <f>IFERROR(__xludf.DUMMYFUNCTION("""COMPUTED_VALUE"""),"Sài Gòn")</f>
        <v>Sài Gòn</v>
      </c>
      <c r="C715" s="265" t="str">
        <f>IFERROR(__xludf.DUMMYFUNCTION("""COMPUTED_VALUE"""),"Active")</f>
        <v>Active</v>
      </c>
      <c r="D715" s="265" t="str">
        <f>IFERROR(__xludf.DUMMYFUNCTION("""COMPUTED_VALUE"""),"Truyền thông &amp; Giải trí")</f>
        <v>Truyền thông &amp; Giải trí</v>
      </c>
      <c r="E715" s="265" t="str">
        <f>IFERROR(__xludf.DUMMYFUNCTION("""COMPUTED_VALUE"""),"Không phân công")</f>
        <v>Không phân công</v>
      </c>
      <c r="F715" s="265" t="str">
        <f>IFERROR(__xludf.DUMMYFUNCTION("""COMPUTED_VALUE"""),"Diamond")</f>
        <v>Diamond</v>
      </c>
      <c r="G715" s="265" t="str">
        <f>IFERROR(__xludf.DUMMYFUNCTION("""COMPUTED_VALUE"""),"Starter")</f>
        <v>Starter</v>
      </c>
      <c r="H715" s="265" t="str">
        <f>IFERROR(__xludf.DUMMYFUNCTION("""COMPUTED_VALUE"""),"Trả trước")</f>
        <v>Trả trước</v>
      </c>
      <c r="I715" s="265" t="str">
        <f>IFERROR(__xludf.DUMMYFUNCTION("""COMPUTED_VALUE"""),"API")</f>
        <v>API</v>
      </c>
      <c r="J715" s="265" t="str">
        <f>IFERROR(__xludf.DUMMYFUNCTION("""COMPUTED_VALUE"""),"SMS CSKH")</f>
        <v>SMS CSKH</v>
      </c>
      <c r="K715" s="265" t="str">
        <f>IFERROR(__xludf.DUMMYFUNCTION("""COMPUTED_VALUE"""),"DungVT")</f>
        <v>DungVT</v>
      </c>
    </row>
    <row r="716">
      <c r="A716" s="265" t="str">
        <f>IFERROR(__xludf.DUMMYFUNCTION("""COMPUTED_VALUE"""),"982")</f>
        <v>982</v>
      </c>
      <c r="B716" s="265" t="str">
        <f>IFERROR(__xludf.DUMMYFUNCTION("""COMPUTED_VALUE"""),"Hà Nội")</f>
        <v>Hà Nội</v>
      </c>
      <c r="C716" s="265" t="str">
        <f>IFERROR(__xludf.DUMMYFUNCTION("""COMPUTED_VALUE"""),"Locked")</f>
        <v>Locked</v>
      </c>
      <c r="D716" s="265" t="str">
        <f>IFERROR(__xludf.DUMMYFUNCTION("""COMPUTED_VALUE"""),"Vận tải &amp; logistics")</f>
        <v>Vận tải &amp; logistics</v>
      </c>
      <c r="E716" s="265" t="str">
        <f>IFERROR(__xludf.DUMMYFUNCTION("""COMPUTED_VALUE"""),"Không phân công")</f>
        <v>Không phân công</v>
      </c>
      <c r="F716" s="265" t="str">
        <f>IFERROR(__xludf.DUMMYFUNCTION("""COMPUTED_VALUE"""),"Sale chưa cung cấp")</f>
        <v>Sale chưa cung cấp</v>
      </c>
      <c r="G716" s="265" t="str">
        <f>IFERROR(__xludf.DUMMYFUNCTION("""COMPUTED_VALUE"""),"Starter")</f>
        <v>Starter</v>
      </c>
      <c r="H716" s="265" t="str">
        <f>IFERROR(__xludf.DUMMYFUNCTION("""COMPUTED_VALUE"""),"Trả sau")</f>
        <v>Trả sau</v>
      </c>
      <c r="I716" s="265" t="str">
        <f>IFERROR(__xludf.DUMMYFUNCTION("""COMPUTED_VALUE"""),"API")</f>
        <v>API</v>
      </c>
      <c r="J716" s="265" t="str">
        <f>IFERROR(__xludf.DUMMYFUNCTION("""COMPUTED_VALUE"""),"SMS CSKH")</f>
        <v>SMS CSKH</v>
      </c>
      <c r="K716" s="265" t="str">
        <f>IFERROR(__xludf.DUMMYFUNCTION("""COMPUTED_VALUE"""),"LinhNTT1")</f>
        <v>LinhNTT1</v>
      </c>
    </row>
    <row r="717">
      <c r="A717" s="265" t="str">
        <f>IFERROR(__xludf.DUMMYFUNCTION("""COMPUTED_VALUE"""),"983")</f>
        <v>983</v>
      </c>
      <c r="B717" s="265" t="str">
        <f>IFERROR(__xludf.DUMMYFUNCTION("""COMPUTED_VALUE"""),"Sài Gòn")</f>
        <v>Sài Gòn</v>
      </c>
      <c r="C717" s="265" t="str">
        <f>IFERROR(__xludf.DUMMYFUNCTION("""COMPUTED_VALUE"""),"Locked")</f>
        <v>Locked</v>
      </c>
      <c r="D717" s="265" t="str">
        <f>IFERROR(__xludf.DUMMYFUNCTION("""COMPUTED_VALUE"""),"Nhà hàng &amp; Quán")</f>
        <v>Nhà hàng &amp; Quán</v>
      </c>
      <c r="E717" s="265" t="str">
        <f>IFERROR(__xludf.DUMMYFUNCTION("""COMPUTED_VALUE"""),"Không phân công")</f>
        <v>Không phân công</v>
      </c>
      <c r="F717" s="265" t="str">
        <f>IFERROR(__xludf.DUMMYFUNCTION("""COMPUTED_VALUE"""),"Sale chưa cung cấp")</f>
        <v>Sale chưa cung cấp</v>
      </c>
      <c r="G717" s="265" t="str">
        <f>IFERROR(__xludf.DUMMYFUNCTION("""COMPUTED_VALUE"""),"Starter")</f>
        <v>Starter</v>
      </c>
      <c r="H717" s="265" t="str">
        <f>IFERROR(__xludf.DUMMYFUNCTION("""COMPUTED_VALUE"""),"Trả sau")</f>
        <v>Trả sau</v>
      </c>
      <c r="I717" s="265" t="str">
        <f>IFERROR(__xludf.DUMMYFUNCTION("""COMPUTED_VALUE"""),"API")</f>
        <v>API</v>
      </c>
      <c r="J717" s="265" t="str">
        <f>IFERROR(__xludf.DUMMYFUNCTION("""COMPUTED_VALUE"""),"SMS CSKH")</f>
        <v>SMS CSKH</v>
      </c>
      <c r="K717" s="265" t="str">
        <f>IFERROR(__xludf.DUMMYFUNCTION("""COMPUTED_VALUE"""),"LinhNTT1")</f>
        <v>LinhNTT1</v>
      </c>
    </row>
    <row r="718">
      <c r="A718" s="265" t="str">
        <f>IFERROR(__xludf.DUMMYFUNCTION("""COMPUTED_VALUE"""),"984")</f>
        <v>984</v>
      </c>
      <c r="B718" s="265" t="str">
        <f>IFERROR(__xludf.DUMMYFUNCTION("""COMPUTED_VALUE"""),"Sài Gòn")</f>
        <v>Sài Gòn</v>
      </c>
      <c r="C718" s="265" t="str">
        <f>IFERROR(__xludf.DUMMYFUNCTION("""COMPUTED_VALUE"""),"Locked")</f>
        <v>Locked</v>
      </c>
      <c r="D718" s="265" t="str">
        <f>IFERROR(__xludf.DUMMYFUNCTION("""COMPUTED_VALUE"""),"Bất động sản")</f>
        <v>Bất động sản</v>
      </c>
      <c r="E718" s="265" t="str">
        <f>IFERROR(__xludf.DUMMYFUNCTION("""COMPUTED_VALUE"""),"Không phân công")</f>
        <v>Không phân công</v>
      </c>
      <c r="F718" s="265" t="str">
        <f>IFERROR(__xludf.DUMMYFUNCTION("""COMPUTED_VALUE"""),"Sale chưa cung cấp")</f>
        <v>Sale chưa cung cấp</v>
      </c>
      <c r="G718" s="265" t="str">
        <f>IFERROR(__xludf.DUMMYFUNCTION("""COMPUTED_VALUE"""),"Starter")</f>
        <v>Starter</v>
      </c>
      <c r="H718" s="265" t="str">
        <f>IFERROR(__xludf.DUMMYFUNCTION("""COMPUTED_VALUE"""),"Trả sau")</f>
        <v>Trả sau</v>
      </c>
      <c r="I718" s="265" t="str">
        <f>IFERROR(__xludf.DUMMYFUNCTION("""COMPUTED_VALUE"""),"API")</f>
        <v>API</v>
      </c>
      <c r="J718" s="265" t="str">
        <f>IFERROR(__xludf.DUMMYFUNCTION("""COMPUTED_VALUE"""),"SMS CSKH")</f>
        <v>SMS CSKH</v>
      </c>
      <c r="K718" s="265" t="str">
        <f>IFERROR(__xludf.DUMMYFUNCTION("""COMPUTED_VALUE"""),"LinhNTT1")</f>
        <v>LinhNTT1</v>
      </c>
    </row>
    <row r="719">
      <c r="A719" s="265" t="str">
        <f>IFERROR(__xludf.DUMMYFUNCTION("""COMPUTED_VALUE"""),"985")</f>
        <v>985</v>
      </c>
      <c r="B719" s="265" t="str">
        <f>IFERROR(__xludf.DUMMYFUNCTION("""COMPUTED_VALUE"""),"Hà Nội")</f>
        <v>Hà Nội</v>
      </c>
      <c r="C719" s="265" t="str">
        <f>IFERROR(__xludf.DUMMYFUNCTION("""COMPUTED_VALUE"""),"Locked")</f>
        <v>Locked</v>
      </c>
      <c r="D719" s="265" t="str">
        <f>IFERROR(__xludf.DUMMYFUNCTION("""COMPUTED_VALUE"""),"Sale chưa cung cấp")</f>
        <v>Sale chưa cung cấp</v>
      </c>
      <c r="E719" s="265" t="str">
        <f>IFERROR(__xludf.DUMMYFUNCTION("""COMPUTED_VALUE"""),"Không phân công")</f>
        <v>Không phân công</v>
      </c>
      <c r="F719" s="265" t="str">
        <f>IFERROR(__xludf.DUMMYFUNCTION("""COMPUTED_VALUE"""),"Sale chưa cung cấp")</f>
        <v>Sale chưa cung cấp</v>
      </c>
      <c r="G719" s="265" t="str">
        <f>IFERROR(__xludf.DUMMYFUNCTION("""COMPUTED_VALUE"""),"Starter")</f>
        <v>Starter</v>
      </c>
      <c r="H719" s="265" t="str">
        <f>IFERROR(__xludf.DUMMYFUNCTION("""COMPUTED_VALUE"""),"Trả sau")</f>
        <v>Trả sau</v>
      </c>
      <c r="I719" s="265" t="str">
        <f>IFERROR(__xludf.DUMMYFUNCTION("""COMPUTED_VALUE"""),"API")</f>
        <v>API</v>
      </c>
      <c r="J719" s="265" t="str">
        <f>IFERROR(__xludf.DUMMYFUNCTION("""COMPUTED_VALUE"""),"SMS CSKH")</f>
        <v>SMS CSKH</v>
      </c>
      <c r="K719" s="265" t="str">
        <f>IFERROR(__xludf.DUMMYFUNCTION("""COMPUTED_VALUE"""),"LinhNTT1")</f>
        <v>LinhNTT1</v>
      </c>
    </row>
    <row r="720">
      <c r="A720" s="265" t="str">
        <f>IFERROR(__xludf.DUMMYFUNCTION("""COMPUTED_VALUE"""),"986")</f>
        <v>986</v>
      </c>
      <c r="B720" s="265" t="str">
        <f>IFERROR(__xludf.DUMMYFUNCTION("""COMPUTED_VALUE"""),"Hà Nội")</f>
        <v>Hà Nội</v>
      </c>
      <c r="C720" s="265" t="str">
        <f>IFERROR(__xludf.DUMMYFUNCTION("""COMPUTED_VALUE"""),"Locked")</f>
        <v>Locked</v>
      </c>
      <c r="D720" s="265" t="str">
        <f>IFERROR(__xludf.DUMMYFUNCTION("""COMPUTED_VALUE"""),"Ô tô &amp; Xe máy")</f>
        <v>Ô tô &amp; Xe máy</v>
      </c>
      <c r="E720" s="265" t="str">
        <f>IFERROR(__xludf.DUMMYFUNCTION("""COMPUTED_VALUE"""),"Không phân công")</f>
        <v>Không phân công</v>
      </c>
      <c r="F720" s="265" t="str">
        <f>IFERROR(__xludf.DUMMYFUNCTION("""COMPUTED_VALUE"""),"Sale chưa cung cấp")</f>
        <v>Sale chưa cung cấp</v>
      </c>
      <c r="G720" s="265" t="str">
        <f>IFERROR(__xludf.DUMMYFUNCTION("""COMPUTED_VALUE"""),"Starter")</f>
        <v>Starter</v>
      </c>
      <c r="H720" s="265" t="str">
        <f>IFERROR(__xludf.DUMMYFUNCTION("""COMPUTED_VALUE"""),"Trả sau")</f>
        <v>Trả sau</v>
      </c>
      <c r="I720" s="265" t="str">
        <f>IFERROR(__xludf.DUMMYFUNCTION("""COMPUTED_VALUE"""),"API")</f>
        <v>API</v>
      </c>
      <c r="J720" s="265" t="str">
        <f>IFERROR(__xludf.DUMMYFUNCTION("""COMPUTED_VALUE"""),"SMS CSKH")</f>
        <v>SMS CSKH</v>
      </c>
      <c r="K720" s="265" t="str">
        <f>IFERROR(__xludf.DUMMYFUNCTION("""COMPUTED_VALUE"""),"LinhNTT1")</f>
        <v>LinhNTT1</v>
      </c>
    </row>
    <row r="721">
      <c r="A721" s="265" t="str">
        <f>IFERROR(__xludf.DUMMYFUNCTION("""COMPUTED_VALUE"""),"987")</f>
        <v>987</v>
      </c>
      <c r="B721" s="265" t="str">
        <f>IFERROR(__xludf.DUMMYFUNCTION("""COMPUTED_VALUE"""),"Hà Nội")</f>
        <v>Hà Nội</v>
      </c>
      <c r="C721" s="265" t="str">
        <f>IFERROR(__xludf.DUMMYFUNCTION("""COMPUTED_VALUE"""),"Locked")</f>
        <v>Locked</v>
      </c>
      <c r="D721" s="265" t="str">
        <f>IFERROR(__xludf.DUMMYFUNCTION("""COMPUTED_VALUE"""),"Sale chưa cung cấp")</f>
        <v>Sale chưa cung cấp</v>
      </c>
      <c r="E721" s="265" t="str">
        <f>IFERROR(__xludf.DUMMYFUNCTION("""COMPUTED_VALUE"""),"Không phân công")</f>
        <v>Không phân công</v>
      </c>
      <c r="F721" s="265" t="str">
        <f>IFERROR(__xludf.DUMMYFUNCTION("""COMPUTED_VALUE"""),"Sale chưa cung cấp")</f>
        <v>Sale chưa cung cấp</v>
      </c>
      <c r="G721" s="265" t="str">
        <f>IFERROR(__xludf.DUMMYFUNCTION("""COMPUTED_VALUE"""),"Starter")</f>
        <v>Starter</v>
      </c>
      <c r="H721" s="265" t="str">
        <f>IFERROR(__xludf.DUMMYFUNCTION("""COMPUTED_VALUE"""),"Trả sau")</f>
        <v>Trả sau</v>
      </c>
      <c r="I721" s="265" t="str">
        <f>IFERROR(__xludf.DUMMYFUNCTION("""COMPUTED_VALUE"""),"API")</f>
        <v>API</v>
      </c>
      <c r="J721" s="265" t="str">
        <f>IFERROR(__xludf.DUMMYFUNCTION("""COMPUTED_VALUE"""),"SMS CSKH")</f>
        <v>SMS CSKH</v>
      </c>
      <c r="K721" s="265" t="str">
        <f>IFERROR(__xludf.DUMMYFUNCTION("""COMPUTED_VALUE"""),"LinhNTT1")</f>
        <v>LinhNTT1</v>
      </c>
    </row>
    <row r="722">
      <c r="A722" s="265" t="str">
        <f>IFERROR(__xludf.DUMMYFUNCTION("""COMPUTED_VALUE"""),"989")</f>
        <v>989</v>
      </c>
      <c r="B722" s="265" t="str">
        <f>IFERROR(__xludf.DUMMYFUNCTION("""COMPUTED_VALUE"""),"Hà Nội")</f>
        <v>Hà Nội</v>
      </c>
      <c r="C722" s="265" t="str">
        <f>IFERROR(__xludf.DUMMYFUNCTION("""COMPUTED_VALUE"""),"Locked")</f>
        <v>Locked</v>
      </c>
      <c r="D722" s="265" t="str">
        <f>IFERROR(__xludf.DUMMYFUNCTION("""COMPUTED_VALUE"""),"Viễn thông")</f>
        <v>Viễn thông</v>
      </c>
      <c r="E722" s="265" t="str">
        <f>IFERROR(__xludf.DUMMYFUNCTION("""COMPUTED_VALUE"""),"Không phân công")</f>
        <v>Không phân công</v>
      </c>
      <c r="F722" s="265" t="str">
        <f>IFERROR(__xludf.DUMMYFUNCTION("""COMPUTED_VALUE"""),"Sale chưa cung cấp")</f>
        <v>Sale chưa cung cấp</v>
      </c>
      <c r="G722" s="265" t="str">
        <f>IFERROR(__xludf.DUMMYFUNCTION("""COMPUTED_VALUE"""),"Starter")</f>
        <v>Starter</v>
      </c>
      <c r="H722" s="265" t="str">
        <f>IFERROR(__xludf.DUMMYFUNCTION("""COMPUTED_VALUE"""),"Trả sau")</f>
        <v>Trả sau</v>
      </c>
      <c r="I722" s="265" t="str">
        <f>IFERROR(__xludf.DUMMYFUNCTION("""COMPUTED_VALUE"""),"API")</f>
        <v>API</v>
      </c>
      <c r="J722" s="265" t="str">
        <f>IFERROR(__xludf.DUMMYFUNCTION("""COMPUTED_VALUE"""),"SMS CSKH")</f>
        <v>SMS CSKH</v>
      </c>
      <c r="K722" s="265" t="str">
        <f>IFERROR(__xludf.DUMMYFUNCTION("""COMPUTED_VALUE"""),"LinhNTT1")</f>
        <v>LinhNTT1</v>
      </c>
    </row>
    <row r="723">
      <c r="A723" s="265" t="str">
        <f>IFERROR(__xludf.DUMMYFUNCTION("""COMPUTED_VALUE"""),"988")</f>
        <v>988</v>
      </c>
      <c r="B723" s="265" t="str">
        <f>IFERROR(__xludf.DUMMYFUNCTION("""COMPUTED_VALUE"""),"Hà Nội")</f>
        <v>Hà Nội</v>
      </c>
      <c r="C723" s="265" t="str">
        <f>IFERROR(__xludf.DUMMYFUNCTION("""COMPUTED_VALUE"""),"Active")</f>
        <v>Active</v>
      </c>
      <c r="D723" s="265" t="str">
        <f>IFERROR(__xludf.DUMMYFUNCTION("""COMPUTED_VALUE"""),"Viễn thông")</f>
        <v>Viễn thông</v>
      </c>
      <c r="E723" s="265" t="str">
        <f>IFERROR(__xludf.DUMMYFUNCTION("""COMPUTED_VALUE"""),"Không phân công")</f>
        <v>Không phân công</v>
      </c>
      <c r="F723" s="265" t="str">
        <f>IFERROR(__xludf.DUMMYFUNCTION("""COMPUTED_VALUE"""),"Sale chưa cung cấp")</f>
        <v>Sale chưa cung cấp</v>
      </c>
      <c r="G723" s="265" t="str">
        <f>IFERROR(__xludf.DUMMYFUNCTION("""COMPUTED_VALUE"""),"Starter")</f>
        <v>Starter</v>
      </c>
      <c r="H723" s="265" t="str">
        <f>IFERROR(__xludf.DUMMYFUNCTION("""COMPUTED_VALUE"""),"Trả sau")</f>
        <v>Trả sau</v>
      </c>
      <c r="I723" s="265" t="str">
        <f>IFERROR(__xludf.DUMMYFUNCTION("""COMPUTED_VALUE"""),"API")</f>
        <v>API</v>
      </c>
      <c r="J723" s="265" t="str">
        <f>IFERROR(__xludf.DUMMYFUNCTION("""COMPUTED_VALUE"""),"SMS CSKH")</f>
        <v>SMS CSKH</v>
      </c>
      <c r="K723" s="265" t="str">
        <f>IFERROR(__xludf.DUMMYFUNCTION("""COMPUTED_VALUE"""),"DungPL")</f>
        <v>DungPL</v>
      </c>
    </row>
    <row r="724">
      <c r="A724" s="265" t="str">
        <f>IFERROR(__xludf.DUMMYFUNCTION("""COMPUTED_VALUE"""),"990")</f>
        <v>990</v>
      </c>
      <c r="B724" s="265" t="str">
        <f>IFERROR(__xludf.DUMMYFUNCTION("""COMPUTED_VALUE"""),"Sài Gòn")</f>
        <v>Sài Gòn</v>
      </c>
      <c r="C724" s="265" t="str">
        <f>IFERROR(__xludf.DUMMYFUNCTION("""COMPUTED_VALUE"""),"Locked")</f>
        <v>Locked</v>
      </c>
      <c r="D724" s="265" t="str">
        <f>IFERROR(__xludf.DUMMYFUNCTION("""COMPUTED_VALUE"""),"Sale chưa cung cấp")</f>
        <v>Sale chưa cung cấp</v>
      </c>
      <c r="E724" s="265" t="str">
        <f>IFERROR(__xludf.DUMMYFUNCTION("""COMPUTED_VALUE"""),"Không phân công")</f>
        <v>Không phân công</v>
      </c>
      <c r="F724" s="265" t="str">
        <f>IFERROR(__xludf.DUMMYFUNCTION("""COMPUTED_VALUE"""),"Sale chưa cung cấp")</f>
        <v>Sale chưa cung cấp</v>
      </c>
      <c r="G724" s="265" t="str">
        <f>IFERROR(__xludf.DUMMYFUNCTION("""COMPUTED_VALUE"""),"Starter")</f>
        <v>Starter</v>
      </c>
      <c r="H724" s="265" t="str">
        <f>IFERROR(__xludf.DUMMYFUNCTION("""COMPUTED_VALUE"""),"Trả sau")</f>
        <v>Trả sau</v>
      </c>
      <c r="I724" s="265" t="str">
        <f>IFERROR(__xludf.DUMMYFUNCTION("""COMPUTED_VALUE"""),"API")</f>
        <v>API</v>
      </c>
      <c r="J724" s="265" t="str">
        <f>IFERROR(__xludf.DUMMYFUNCTION("""COMPUTED_VALUE"""),"SMS CSKH")</f>
        <v>SMS CSKH</v>
      </c>
      <c r="K724" s="265" t="str">
        <f>IFERROR(__xludf.DUMMYFUNCTION("""COMPUTED_VALUE"""),"LinhNTT1")</f>
        <v>LinhNTT1</v>
      </c>
    </row>
    <row r="725">
      <c r="A725" s="265" t="str">
        <f>IFERROR(__xludf.DUMMYFUNCTION("""COMPUTED_VALUE"""),"991")</f>
        <v>991</v>
      </c>
      <c r="B725" s="265" t="str">
        <f>IFERROR(__xludf.DUMMYFUNCTION("""COMPUTED_VALUE"""),"Hà Nội")</f>
        <v>Hà Nội</v>
      </c>
      <c r="C725" s="265" t="str">
        <f>IFERROR(__xludf.DUMMYFUNCTION("""COMPUTED_VALUE"""),"Locked")</f>
        <v>Locked</v>
      </c>
      <c r="D725" s="265" t="str">
        <f>IFERROR(__xludf.DUMMYFUNCTION("""COMPUTED_VALUE"""),"Viễn thông")</f>
        <v>Viễn thông</v>
      </c>
      <c r="E725" s="265" t="str">
        <f>IFERROR(__xludf.DUMMYFUNCTION("""COMPUTED_VALUE"""),"Không phân công")</f>
        <v>Không phân công</v>
      </c>
      <c r="F725" s="265" t="str">
        <f>IFERROR(__xludf.DUMMYFUNCTION("""COMPUTED_VALUE"""),"Sale chưa cung cấp")</f>
        <v>Sale chưa cung cấp</v>
      </c>
      <c r="G725" s="265" t="str">
        <f>IFERROR(__xludf.DUMMYFUNCTION("""COMPUTED_VALUE"""),"Starter")</f>
        <v>Starter</v>
      </c>
      <c r="H725" s="265" t="str">
        <f>IFERROR(__xludf.DUMMYFUNCTION("""COMPUTED_VALUE"""),"Trả sau")</f>
        <v>Trả sau</v>
      </c>
      <c r="I725" s="265" t="str">
        <f>IFERROR(__xludf.DUMMYFUNCTION("""COMPUTED_VALUE"""),"API")</f>
        <v>API</v>
      </c>
      <c r="J725" s="265" t="str">
        <f>IFERROR(__xludf.DUMMYFUNCTION("""COMPUTED_VALUE"""),"SMS CSKH")</f>
        <v>SMS CSKH</v>
      </c>
      <c r="K725" s="265" t="str">
        <f>IFERROR(__xludf.DUMMYFUNCTION("""COMPUTED_VALUE"""),"DungPL")</f>
        <v>DungPL</v>
      </c>
    </row>
    <row r="726">
      <c r="A726" s="265" t="str">
        <f>IFERROR(__xludf.DUMMYFUNCTION("""COMPUTED_VALUE"""),"992")</f>
        <v>992</v>
      </c>
      <c r="B726" s="265" t="str">
        <f>IFERROR(__xludf.DUMMYFUNCTION("""COMPUTED_VALUE"""),"Hà Nội")</f>
        <v>Hà Nội</v>
      </c>
      <c r="C726" s="265" t="str">
        <f>IFERROR(__xludf.DUMMYFUNCTION("""COMPUTED_VALUE"""),"Locked")</f>
        <v>Locked</v>
      </c>
      <c r="D726" s="265" t="str">
        <f>IFERROR(__xludf.DUMMYFUNCTION("""COMPUTED_VALUE"""),"Sale chưa cung cấp")</f>
        <v>Sale chưa cung cấp</v>
      </c>
      <c r="E726" s="265" t="str">
        <f>IFERROR(__xludf.DUMMYFUNCTION("""COMPUTED_VALUE"""),"Không phân công")</f>
        <v>Không phân công</v>
      </c>
      <c r="F726" s="265" t="str">
        <f>IFERROR(__xludf.DUMMYFUNCTION("""COMPUTED_VALUE"""),"Sale chưa cung cấp")</f>
        <v>Sale chưa cung cấp</v>
      </c>
      <c r="G726" s="265" t="str">
        <f>IFERROR(__xludf.DUMMYFUNCTION("""COMPUTED_VALUE"""),"Starter")</f>
        <v>Starter</v>
      </c>
      <c r="H726" s="265" t="str">
        <f>IFERROR(__xludf.DUMMYFUNCTION("""COMPUTED_VALUE"""),"Trả sau")</f>
        <v>Trả sau</v>
      </c>
      <c r="I726" s="265" t="str">
        <f>IFERROR(__xludf.DUMMYFUNCTION("""COMPUTED_VALUE"""),"API")</f>
        <v>API</v>
      </c>
      <c r="J726" s="265" t="str">
        <f>IFERROR(__xludf.DUMMYFUNCTION("""COMPUTED_VALUE"""),"SMS CSKH")</f>
        <v>SMS CSKH</v>
      </c>
      <c r="K726" s="265" t="str">
        <f>IFERROR(__xludf.DUMMYFUNCTION("""COMPUTED_VALUE"""),"LinhNTT1")</f>
        <v>LinhNTT1</v>
      </c>
    </row>
    <row r="727">
      <c r="A727" s="265" t="str">
        <f>IFERROR(__xludf.DUMMYFUNCTION("""COMPUTED_VALUE"""),"993")</f>
        <v>993</v>
      </c>
      <c r="B727" s="265" t="str">
        <f>IFERROR(__xludf.DUMMYFUNCTION("""COMPUTED_VALUE"""),"Hà Nội")</f>
        <v>Hà Nội</v>
      </c>
      <c r="C727" s="265" t="str">
        <f>IFERROR(__xludf.DUMMYFUNCTION("""COMPUTED_VALUE"""),"Locked")</f>
        <v>Locked</v>
      </c>
      <c r="D727" s="265" t="str">
        <f>IFERROR(__xludf.DUMMYFUNCTION("""COMPUTED_VALUE"""),"Viễn thông")</f>
        <v>Viễn thông</v>
      </c>
      <c r="E727" s="265" t="str">
        <f>IFERROR(__xludf.DUMMYFUNCTION("""COMPUTED_VALUE"""),"Không phân công")</f>
        <v>Không phân công</v>
      </c>
      <c r="F727" s="265" t="str">
        <f>IFERROR(__xludf.DUMMYFUNCTION("""COMPUTED_VALUE"""),"Sale chưa cung cấp")</f>
        <v>Sale chưa cung cấp</v>
      </c>
      <c r="G727" s="265" t="str">
        <f>IFERROR(__xludf.DUMMYFUNCTION("""COMPUTED_VALUE"""),"Starter")</f>
        <v>Starter</v>
      </c>
      <c r="H727" s="265" t="str">
        <f>IFERROR(__xludf.DUMMYFUNCTION("""COMPUTED_VALUE"""),"Trả sau")</f>
        <v>Trả sau</v>
      </c>
      <c r="I727" s="265" t="str">
        <f>IFERROR(__xludf.DUMMYFUNCTION("""COMPUTED_VALUE"""),"API")</f>
        <v>API</v>
      </c>
      <c r="J727" s="265" t="str">
        <f>IFERROR(__xludf.DUMMYFUNCTION("""COMPUTED_VALUE"""),"SMS CSKH")</f>
        <v>SMS CSKH</v>
      </c>
      <c r="K727" s="265" t="str">
        <f>IFERROR(__xludf.DUMMYFUNCTION("""COMPUTED_VALUE"""),"DungPL")</f>
        <v>DungPL</v>
      </c>
    </row>
    <row r="728">
      <c r="A728" s="265" t="str">
        <f>IFERROR(__xludf.DUMMYFUNCTION("""COMPUTED_VALUE"""),"994")</f>
        <v>994</v>
      </c>
      <c r="B728" s="265" t="str">
        <f>IFERROR(__xludf.DUMMYFUNCTION("""COMPUTED_VALUE"""),"Hà Nội")</f>
        <v>Hà Nội</v>
      </c>
      <c r="C728" s="265" t="str">
        <f>IFERROR(__xludf.DUMMYFUNCTION("""COMPUTED_VALUE"""),"Locked")</f>
        <v>Locked</v>
      </c>
      <c r="D728" s="265" t="str">
        <f>IFERROR(__xludf.DUMMYFUNCTION("""COMPUTED_VALUE"""),"Dịch vụ khác")</f>
        <v>Dịch vụ khác</v>
      </c>
      <c r="E728" s="265" t="str">
        <f>IFERROR(__xludf.DUMMYFUNCTION("""COMPUTED_VALUE"""),"Không phân công")</f>
        <v>Không phân công</v>
      </c>
      <c r="F728" s="265" t="str">
        <f>IFERROR(__xludf.DUMMYFUNCTION("""COMPUTED_VALUE"""),"Sale chưa cung cấp")</f>
        <v>Sale chưa cung cấp</v>
      </c>
      <c r="G728" s="265" t="str">
        <f>IFERROR(__xludf.DUMMYFUNCTION("""COMPUTED_VALUE"""),"Starter")</f>
        <v>Starter</v>
      </c>
      <c r="H728" s="265" t="str">
        <f>IFERROR(__xludf.DUMMYFUNCTION("""COMPUTED_VALUE"""),"Trả sau")</f>
        <v>Trả sau</v>
      </c>
      <c r="I728" s="265" t="str">
        <f>IFERROR(__xludf.DUMMYFUNCTION("""COMPUTED_VALUE"""),"API")</f>
        <v>API</v>
      </c>
      <c r="J728" s="265" t="str">
        <f>IFERROR(__xludf.DUMMYFUNCTION("""COMPUTED_VALUE"""),"SMS CSKH")</f>
        <v>SMS CSKH</v>
      </c>
      <c r="K728" s="265" t="str">
        <f>IFERROR(__xludf.DUMMYFUNCTION("""COMPUTED_VALUE"""),"DungPL")</f>
        <v>DungPL</v>
      </c>
    </row>
    <row r="729">
      <c r="A729" s="265" t="str">
        <f>IFERROR(__xludf.DUMMYFUNCTION("""COMPUTED_VALUE"""),"995")</f>
        <v>995</v>
      </c>
      <c r="B729" s="265" t="str">
        <f>IFERROR(__xludf.DUMMYFUNCTION("""COMPUTED_VALUE"""),"Hà Nội")</f>
        <v>Hà Nội</v>
      </c>
      <c r="C729" s="265" t="str">
        <f>IFERROR(__xludf.DUMMYFUNCTION("""COMPUTED_VALUE"""),"Locked")</f>
        <v>Locked</v>
      </c>
      <c r="D729" s="265" t="str">
        <f>IFERROR(__xludf.DUMMYFUNCTION("""COMPUTED_VALUE"""),"Viễn thông")</f>
        <v>Viễn thông</v>
      </c>
      <c r="E729" s="265" t="str">
        <f>IFERROR(__xludf.DUMMYFUNCTION("""COMPUTED_VALUE"""),"Không phân công")</f>
        <v>Không phân công</v>
      </c>
      <c r="F729" s="265" t="str">
        <f>IFERROR(__xludf.DUMMYFUNCTION("""COMPUTED_VALUE"""),"Sale chưa cung cấp")</f>
        <v>Sale chưa cung cấp</v>
      </c>
      <c r="G729" s="265" t="str">
        <f>IFERROR(__xludf.DUMMYFUNCTION("""COMPUTED_VALUE"""),"Starter")</f>
        <v>Starter</v>
      </c>
      <c r="H729" s="265" t="str">
        <f>IFERROR(__xludf.DUMMYFUNCTION("""COMPUTED_VALUE"""),"Trả sau")</f>
        <v>Trả sau</v>
      </c>
      <c r="I729" s="265" t="str">
        <f>IFERROR(__xludf.DUMMYFUNCTION("""COMPUTED_VALUE"""),"API")</f>
        <v>API</v>
      </c>
      <c r="J729" s="265" t="str">
        <f>IFERROR(__xludf.DUMMYFUNCTION("""COMPUTED_VALUE"""),"SMS CSKH")</f>
        <v>SMS CSKH</v>
      </c>
      <c r="K729" s="265" t="str">
        <f>IFERROR(__xludf.DUMMYFUNCTION("""COMPUTED_VALUE"""),"DungPL")</f>
        <v>DungPL</v>
      </c>
    </row>
    <row r="730">
      <c r="A730" s="265" t="str">
        <f>IFERROR(__xludf.DUMMYFUNCTION("""COMPUTED_VALUE"""),"996")</f>
        <v>996</v>
      </c>
      <c r="B730" s="265" t="str">
        <f>IFERROR(__xludf.DUMMYFUNCTION("""COMPUTED_VALUE"""),"Sài Gòn")</f>
        <v>Sài Gòn</v>
      </c>
      <c r="C730" s="265" t="str">
        <f>IFERROR(__xludf.DUMMYFUNCTION("""COMPUTED_VALUE"""),"Active")</f>
        <v>Active</v>
      </c>
      <c r="D730" s="265" t="str">
        <f>IFERROR(__xludf.DUMMYFUNCTION("""COMPUTED_VALUE"""),"Dịch vụ khác")</f>
        <v>Dịch vụ khác</v>
      </c>
      <c r="E730" s="265" t="str">
        <f>IFERROR(__xludf.DUMMYFUNCTION("""COMPUTED_VALUE"""),"Không phân công")</f>
        <v>Không phân công</v>
      </c>
      <c r="F730" s="265" t="str">
        <f>IFERROR(__xludf.DUMMYFUNCTION("""COMPUTED_VALUE"""),"Silver")</f>
        <v>Silver</v>
      </c>
      <c r="G730" s="265" t="str">
        <f>IFERROR(__xludf.DUMMYFUNCTION("""COMPUTED_VALUE"""),"Standard")</f>
        <v>Standard</v>
      </c>
      <c r="H730" s="265" t="str">
        <f>IFERROR(__xludf.DUMMYFUNCTION("""COMPUTED_VALUE"""),"Trả sau")</f>
        <v>Trả sau</v>
      </c>
      <c r="I730" s="265" t="str">
        <f>IFERROR(__xludf.DUMMYFUNCTION("""COMPUTED_VALUE"""),"Portal")</f>
        <v>Portal</v>
      </c>
      <c r="J730" s="265" t="str">
        <f>IFERROR(__xludf.DUMMYFUNCTION("""COMPUTED_VALUE"""),"SMS QC")</f>
        <v>SMS QC</v>
      </c>
      <c r="K730" s="265" t="str">
        <f>IFERROR(__xludf.DUMMYFUNCTION("""COMPUTED_VALUE"""),"DungPL")</f>
        <v>DungPL</v>
      </c>
    </row>
    <row r="731">
      <c r="A731" s="265" t="str">
        <f>IFERROR(__xludf.DUMMYFUNCTION("""COMPUTED_VALUE"""),"997")</f>
        <v>997</v>
      </c>
      <c r="B731" s="265" t="str">
        <f>IFERROR(__xludf.DUMMYFUNCTION("""COMPUTED_VALUE"""),"Hà Nội")</f>
        <v>Hà Nội</v>
      </c>
      <c r="C731" s="265" t="str">
        <f>IFERROR(__xludf.DUMMYFUNCTION("""COMPUTED_VALUE"""),"Locked")</f>
        <v>Locked</v>
      </c>
      <c r="D731" s="265" t="str">
        <f>IFERROR(__xludf.DUMMYFUNCTION("""COMPUTED_VALUE"""),"Dịch vụ khác")</f>
        <v>Dịch vụ khác</v>
      </c>
      <c r="E731" s="265" t="str">
        <f>IFERROR(__xludf.DUMMYFUNCTION("""COMPUTED_VALUE"""),"Không phân công")</f>
        <v>Không phân công</v>
      </c>
      <c r="F731" s="265" t="str">
        <f>IFERROR(__xludf.DUMMYFUNCTION("""COMPUTED_VALUE"""),"Sale chưa cung cấp")</f>
        <v>Sale chưa cung cấp</v>
      </c>
      <c r="G731" s="265" t="str">
        <f>IFERROR(__xludf.DUMMYFUNCTION("""COMPUTED_VALUE"""),"Starter")</f>
        <v>Starter</v>
      </c>
      <c r="H731" s="265" t="str">
        <f>IFERROR(__xludf.DUMMYFUNCTION("""COMPUTED_VALUE"""),"Trả sau")</f>
        <v>Trả sau</v>
      </c>
      <c r="I731" s="265" t="str">
        <f>IFERROR(__xludf.DUMMYFUNCTION("""COMPUTED_VALUE"""),"API")</f>
        <v>API</v>
      </c>
      <c r="J731" s="265" t="str">
        <f>IFERROR(__xludf.DUMMYFUNCTION("""COMPUTED_VALUE"""),"SMS CSKH")</f>
        <v>SMS CSKH</v>
      </c>
      <c r="K731" s="265" t="str">
        <f>IFERROR(__xludf.DUMMYFUNCTION("""COMPUTED_VALUE"""),"DungPL")</f>
        <v>DungPL</v>
      </c>
    </row>
    <row r="732">
      <c r="A732" s="265" t="str">
        <f>IFERROR(__xludf.DUMMYFUNCTION("""COMPUTED_VALUE"""),"998")</f>
        <v>998</v>
      </c>
      <c r="B732" s="265" t="str">
        <f>IFERROR(__xludf.DUMMYFUNCTION("""COMPUTED_VALUE"""),"Hà Nội")</f>
        <v>Hà Nội</v>
      </c>
      <c r="C732" s="265" t="str">
        <f>IFERROR(__xludf.DUMMYFUNCTION("""COMPUTED_VALUE"""),"Locked")</f>
        <v>Locked</v>
      </c>
      <c r="D732" s="265" t="str">
        <f>IFERROR(__xludf.DUMMYFUNCTION("""COMPUTED_VALUE"""),"Truyền thông &amp; Giải trí")</f>
        <v>Truyền thông &amp; Giải trí</v>
      </c>
      <c r="E732" s="265" t="str">
        <f>IFERROR(__xludf.DUMMYFUNCTION("""COMPUTED_VALUE"""),"Không phân công")</f>
        <v>Không phân công</v>
      </c>
      <c r="F732" s="265" t="str">
        <f>IFERROR(__xludf.DUMMYFUNCTION("""COMPUTED_VALUE"""),"Silver")</f>
        <v>Silver</v>
      </c>
      <c r="G732" s="265" t="str">
        <f>IFERROR(__xludf.DUMMYFUNCTION("""COMPUTED_VALUE"""),"Starter")</f>
        <v>Starter</v>
      </c>
      <c r="H732" s="265" t="str">
        <f>IFERROR(__xludf.DUMMYFUNCTION("""COMPUTED_VALUE"""),"Trả sau")</f>
        <v>Trả sau</v>
      </c>
      <c r="I732" s="265" t="str">
        <f>IFERROR(__xludf.DUMMYFUNCTION("""COMPUTED_VALUE"""),"API")</f>
        <v>API</v>
      </c>
      <c r="J732" s="265" t="str">
        <f>IFERROR(__xludf.DUMMYFUNCTION("""COMPUTED_VALUE"""),"SMS CSKH")</f>
        <v>SMS CSKH</v>
      </c>
      <c r="K732" s="265" t="str">
        <f>IFERROR(__xludf.DUMMYFUNCTION("""COMPUTED_VALUE"""),"DungVT")</f>
        <v>DungVT</v>
      </c>
    </row>
    <row r="733">
      <c r="A733" s="265" t="str">
        <f>IFERROR(__xludf.DUMMYFUNCTION("""COMPUTED_VALUE"""),"999")</f>
        <v>999</v>
      </c>
      <c r="B733" s="265" t="str">
        <f>IFERROR(__xludf.DUMMYFUNCTION("""COMPUTED_VALUE"""),"Hà Nội")</f>
        <v>Hà Nội</v>
      </c>
      <c r="C733" s="265" t="str">
        <f>IFERROR(__xludf.DUMMYFUNCTION("""COMPUTED_VALUE"""),"Locked")</f>
        <v>Locked</v>
      </c>
      <c r="D733" s="265" t="str">
        <f>IFERROR(__xludf.DUMMYFUNCTION("""COMPUTED_VALUE"""),"Dịch vụ khác")</f>
        <v>Dịch vụ khác</v>
      </c>
      <c r="E733" s="265" t="str">
        <f>IFERROR(__xludf.DUMMYFUNCTION("""COMPUTED_VALUE"""),"Không phân công")</f>
        <v>Không phân công</v>
      </c>
      <c r="F733" s="265" t="str">
        <f>IFERROR(__xludf.DUMMYFUNCTION("""COMPUTED_VALUE"""),"Sale chưa cung cấp")</f>
        <v>Sale chưa cung cấp</v>
      </c>
      <c r="G733" s="265" t="str">
        <f>IFERROR(__xludf.DUMMYFUNCTION("""COMPUTED_VALUE"""),"Starter")</f>
        <v>Starter</v>
      </c>
      <c r="H733" s="265" t="str">
        <f>IFERROR(__xludf.DUMMYFUNCTION("""COMPUTED_VALUE"""),"Trả sau")</f>
        <v>Trả sau</v>
      </c>
      <c r="I733" s="265" t="str">
        <f>IFERROR(__xludf.DUMMYFUNCTION("""COMPUTED_VALUE"""),"API")</f>
        <v>API</v>
      </c>
      <c r="J733" s="265" t="str">
        <f>IFERROR(__xludf.DUMMYFUNCTION("""COMPUTED_VALUE"""),"SMS CSKH")</f>
        <v>SMS CSKH</v>
      </c>
      <c r="K733" s="265" t="str">
        <f>IFERROR(__xludf.DUMMYFUNCTION("""COMPUTED_VALUE"""),"YếnĐH")</f>
        <v>YếnĐH</v>
      </c>
    </row>
    <row r="734">
      <c r="A734" s="265" t="str">
        <f>IFERROR(__xludf.DUMMYFUNCTION("""COMPUTED_VALUE"""),"1001")</f>
        <v>1001</v>
      </c>
      <c r="B734" s="265" t="str">
        <f>IFERROR(__xludf.DUMMYFUNCTION("""COMPUTED_VALUE"""),"Hà Nội")</f>
        <v>Hà Nội</v>
      </c>
      <c r="C734" s="265" t="str">
        <f>IFERROR(__xludf.DUMMYFUNCTION("""COMPUTED_VALUE"""),"Locked")</f>
        <v>Locked</v>
      </c>
      <c r="D734" s="265" t="str">
        <f>IFERROR(__xludf.DUMMYFUNCTION("""COMPUTED_VALUE"""),"Truyền thông &amp; Giải trí")</f>
        <v>Truyền thông &amp; Giải trí</v>
      </c>
      <c r="E734" s="265" t="str">
        <f>IFERROR(__xludf.DUMMYFUNCTION("""COMPUTED_VALUE"""),"Không phân công")</f>
        <v>Không phân công</v>
      </c>
      <c r="F734" s="265" t="str">
        <f>IFERROR(__xludf.DUMMYFUNCTION("""COMPUTED_VALUE"""),"Silver")</f>
        <v>Silver</v>
      </c>
      <c r="G734" s="265" t="str">
        <f>IFERROR(__xludf.DUMMYFUNCTION("""COMPUTED_VALUE"""),"Starter")</f>
        <v>Starter</v>
      </c>
      <c r="H734" s="265" t="str">
        <f>IFERROR(__xludf.DUMMYFUNCTION("""COMPUTED_VALUE"""),"Trả sau")</f>
        <v>Trả sau</v>
      </c>
      <c r="I734" s="265" t="str">
        <f>IFERROR(__xludf.DUMMYFUNCTION("""COMPUTED_VALUE"""),"API")</f>
        <v>API</v>
      </c>
      <c r="J734" s="265" t="str">
        <f>IFERROR(__xludf.DUMMYFUNCTION("""COMPUTED_VALUE"""),"SMS CSKH")</f>
        <v>SMS CSKH</v>
      </c>
      <c r="K734" s="265" t="str">
        <f>IFERROR(__xludf.DUMMYFUNCTION("""COMPUTED_VALUE"""),"DungVT")</f>
        <v>DungVT</v>
      </c>
    </row>
    <row r="735">
      <c r="A735" s="265" t="str">
        <f>IFERROR(__xludf.DUMMYFUNCTION("""COMPUTED_VALUE"""),"1002")</f>
        <v>1002</v>
      </c>
      <c r="B735" s="265" t="str">
        <f>IFERROR(__xludf.DUMMYFUNCTION("""COMPUTED_VALUE"""),"Hà Nội")</f>
        <v>Hà Nội</v>
      </c>
      <c r="C735" s="265" t="str">
        <f>IFERROR(__xludf.DUMMYFUNCTION("""COMPUTED_VALUE"""),"Locked")</f>
        <v>Locked</v>
      </c>
      <c r="D735" s="265" t="str">
        <f>IFERROR(__xludf.DUMMYFUNCTION("""COMPUTED_VALUE"""),"Dịch vụ khác")</f>
        <v>Dịch vụ khác</v>
      </c>
      <c r="E735" s="265" t="str">
        <f>IFERROR(__xludf.DUMMYFUNCTION("""COMPUTED_VALUE"""),"Không phân công")</f>
        <v>Không phân công</v>
      </c>
      <c r="F735" s="265" t="str">
        <f>IFERROR(__xludf.DUMMYFUNCTION("""COMPUTED_VALUE"""),"Sale chưa cung cấp")</f>
        <v>Sale chưa cung cấp</v>
      </c>
      <c r="G735" s="265" t="str">
        <f>IFERROR(__xludf.DUMMYFUNCTION("""COMPUTED_VALUE"""),"Starter")</f>
        <v>Starter</v>
      </c>
      <c r="H735" s="265" t="str">
        <f>IFERROR(__xludf.DUMMYFUNCTION("""COMPUTED_VALUE"""),"Trả sau")</f>
        <v>Trả sau</v>
      </c>
      <c r="I735" s="265" t="str">
        <f>IFERROR(__xludf.DUMMYFUNCTION("""COMPUTED_VALUE"""),"API")</f>
        <v>API</v>
      </c>
      <c r="J735" s="265" t="str">
        <f>IFERROR(__xludf.DUMMYFUNCTION("""COMPUTED_VALUE"""),"SMS CSKH")</f>
        <v>SMS CSKH</v>
      </c>
      <c r="K735" s="265" t="str">
        <f>IFERROR(__xludf.DUMMYFUNCTION("""COMPUTED_VALUE"""),"YếnĐH")</f>
        <v>YếnĐH</v>
      </c>
    </row>
    <row r="736">
      <c r="A736" s="265" t="str">
        <f>IFERROR(__xludf.DUMMYFUNCTION("""COMPUTED_VALUE"""),"1003")</f>
        <v>1003</v>
      </c>
      <c r="B736" s="265" t="str">
        <f>IFERROR(__xludf.DUMMYFUNCTION("""COMPUTED_VALUE"""),"Hà Nội")</f>
        <v>Hà Nội</v>
      </c>
      <c r="C736" s="265" t="str">
        <f>IFERROR(__xludf.DUMMYFUNCTION("""COMPUTED_VALUE"""),"Locked")</f>
        <v>Locked</v>
      </c>
      <c r="D736" s="265" t="str">
        <f>IFERROR(__xludf.DUMMYFUNCTION("""COMPUTED_VALUE"""),"Truyền thông &amp; Giải trí")</f>
        <v>Truyền thông &amp; Giải trí</v>
      </c>
      <c r="E736" s="265" t="str">
        <f>IFERROR(__xludf.DUMMYFUNCTION("""COMPUTED_VALUE"""),"Không phân công")</f>
        <v>Không phân công</v>
      </c>
      <c r="F736" s="265" t="str">
        <f>IFERROR(__xludf.DUMMYFUNCTION("""COMPUTED_VALUE"""),"Bronze")</f>
        <v>Bronze</v>
      </c>
      <c r="G736" s="265" t="str">
        <f>IFERROR(__xludf.DUMMYFUNCTION("""COMPUTED_VALUE"""),"Starter")</f>
        <v>Starter</v>
      </c>
      <c r="H736" s="265" t="str">
        <f>IFERROR(__xludf.DUMMYFUNCTION("""COMPUTED_VALUE"""),"Trả sau")</f>
        <v>Trả sau</v>
      </c>
      <c r="I736" s="265" t="str">
        <f>IFERROR(__xludf.DUMMYFUNCTION("""COMPUTED_VALUE"""),"API")</f>
        <v>API</v>
      </c>
      <c r="J736" s="265" t="str">
        <f>IFERROR(__xludf.DUMMYFUNCTION("""COMPUTED_VALUE"""),"SMS CSKH")</f>
        <v>SMS CSKH</v>
      </c>
      <c r="K736" s="265" t="str">
        <f>IFERROR(__xludf.DUMMYFUNCTION("""COMPUTED_VALUE"""),"DungVT")</f>
        <v>DungVT</v>
      </c>
    </row>
    <row r="737">
      <c r="A737" s="265" t="str">
        <f>IFERROR(__xludf.DUMMYFUNCTION("""COMPUTED_VALUE"""),"1004")</f>
        <v>1004</v>
      </c>
      <c r="B737" s="265" t="str">
        <f>IFERROR(__xludf.DUMMYFUNCTION("""COMPUTED_VALUE"""),"Sài Gòn")</f>
        <v>Sài Gòn</v>
      </c>
      <c r="C737" s="265" t="str">
        <f>IFERROR(__xludf.DUMMYFUNCTION("""COMPUTED_VALUE"""),"Locked")</f>
        <v>Locked</v>
      </c>
      <c r="D737" s="265" t="str">
        <f>IFERROR(__xludf.DUMMYFUNCTION("""COMPUTED_VALUE"""),"Thực phẩm &amp; Đồ uống")</f>
        <v>Thực phẩm &amp; Đồ uống</v>
      </c>
      <c r="E737" s="265" t="str">
        <f>IFERROR(__xludf.DUMMYFUNCTION("""COMPUTED_VALUE"""),"TrâmNNB")</f>
        <v>TrâmNNB</v>
      </c>
      <c r="F737" s="265" t="str">
        <f>IFERROR(__xludf.DUMMYFUNCTION("""COMPUTED_VALUE"""),"Diamond")</f>
        <v>Diamond</v>
      </c>
      <c r="G737" s="265" t="str">
        <f>IFERROR(__xludf.DUMMYFUNCTION("""COMPUTED_VALUE"""),"Starter")</f>
        <v>Starter</v>
      </c>
      <c r="H737" s="265" t="str">
        <f>IFERROR(__xludf.DUMMYFUNCTION("""COMPUTED_VALUE"""),"Trả sau")</f>
        <v>Trả sau</v>
      </c>
      <c r="I737" s="265" t="str">
        <f>IFERROR(__xludf.DUMMYFUNCTION("""COMPUTED_VALUE"""),"API")</f>
        <v>API</v>
      </c>
      <c r="J737" s="265" t="str">
        <f>IFERROR(__xludf.DUMMYFUNCTION("""COMPUTED_VALUE"""),"SMS CSKH")</f>
        <v>SMS CSKH</v>
      </c>
      <c r="K737" s="265" t="str">
        <f>IFERROR(__xludf.DUMMYFUNCTION("""COMPUTED_VALUE"""),"YếnĐH")</f>
        <v>YếnĐH</v>
      </c>
    </row>
    <row r="738">
      <c r="A738" s="265" t="str">
        <f>IFERROR(__xludf.DUMMYFUNCTION("""COMPUTED_VALUE"""),"1005")</f>
        <v>1005</v>
      </c>
      <c r="B738" s="265" t="str">
        <f>IFERROR(__xludf.DUMMYFUNCTION("""COMPUTED_VALUE"""),"Hà Nội")</f>
        <v>Hà Nội</v>
      </c>
      <c r="C738" s="265" t="str">
        <f>IFERROR(__xludf.DUMMYFUNCTION("""COMPUTED_VALUE"""),"Locked")</f>
        <v>Locked</v>
      </c>
      <c r="D738" s="265" t="str">
        <f>IFERROR(__xludf.DUMMYFUNCTION("""COMPUTED_VALUE"""),"Công nghệ &amp; Phần mềm")</f>
        <v>Công nghệ &amp; Phần mềm</v>
      </c>
      <c r="E738" s="265" t="str">
        <f>IFERROR(__xludf.DUMMYFUNCTION("""COMPUTED_VALUE"""),"Không phân công")</f>
        <v>Không phân công</v>
      </c>
      <c r="F738" s="265" t="str">
        <f>IFERROR(__xludf.DUMMYFUNCTION("""COMPUTED_VALUE"""),"Silver")</f>
        <v>Silver</v>
      </c>
      <c r="G738" s="265" t="str">
        <f>IFERROR(__xludf.DUMMYFUNCTION("""COMPUTED_VALUE"""),"Starter")</f>
        <v>Starter</v>
      </c>
      <c r="H738" s="265" t="str">
        <f>IFERROR(__xludf.DUMMYFUNCTION("""COMPUTED_VALUE"""),"Trả sau")</f>
        <v>Trả sau</v>
      </c>
      <c r="I738" s="265" t="str">
        <f>IFERROR(__xludf.DUMMYFUNCTION("""COMPUTED_VALUE"""),"API")</f>
        <v>API</v>
      </c>
      <c r="J738" s="265" t="str">
        <f>IFERROR(__xludf.DUMMYFUNCTION("""COMPUTED_VALUE"""),"SMS CSKH")</f>
        <v>SMS CSKH</v>
      </c>
      <c r="K738" s="265" t="str">
        <f>IFERROR(__xludf.DUMMYFUNCTION("""COMPUTED_VALUE"""),"DungVT")</f>
        <v>DungVT</v>
      </c>
    </row>
    <row r="739">
      <c r="A739" s="265" t="str">
        <f>IFERROR(__xludf.DUMMYFUNCTION("""COMPUTED_VALUE"""),"1006")</f>
        <v>1006</v>
      </c>
      <c r="B739" s="265" t="str">
        <f>IFERROR(__xludf.DUMMYFUNCTION("""COMPUTED_VALUE"""),"Hà Nội")</f>
        <v>Hà Nội</v>
      </c>
      <c r="C739" s="265" t="str">
        <f>IFERROR(__xludf.DUMMYFUNCTION("""COMPUTED_VALUE"""),"Locked")</f>
        <v>Locked</v>
      </c>
      <c r="D739" s="265" t="str">
        <f>IFERROR(__xludf.DUMMYFUNCTION("""COMPUTED_VALUE"""),"Tài chính &amp; Ngân hàng")</f>
        <v>Tài chính &amp; Ngân hàng</v>
      </c>
      <c r="E739" s="265" t="str">
        <f>IFERROR(__xludf.DUMMYFUNCTION("""COMPUTED_VALUE"""),"Không phân công")</f>
        <v>Không phân công</v>
      </c>
      <c r="F739" s="265" t="str">
        <f>IFERROR(__xludf.DUMMYFUNCTION("""COMPUTED_VALUE"""),"Silver")</f>
        <v>Silver</v>
      </c>
      <c r="G739" s="265" t="str">
        <f>IFERROR(__xludf.DUMMYFUNCTION("""COMPUTED_VALUE"""),"Starter")</f>
        <v>Starter</v>
      </c>
      <c r="H739" s="265" t="str">
        <f>IFERROR(__xludf.DUMMYFUNCTION("""COMPUTED_VALUE"""),"Trả sau")</f>
        <v>Trả sau</v>
      </c>
      <c r="I739" s="265" t="str">
        <f>IFERROR(__xludf.DUMMYFUNCTION("""COMPUTED_VALUE"""),"API")</f>
        <v>API</v>
      </c>
      <c r="J739" s="265" t="str">
        <f>IFERROR(__xludf.DUMMYFUNCTION("""COMPUTED_VALUE"""),"SMS CSKH")</f>
        <v>SMS CSKH</v>
      </c>
      <c r="K739" s="265" t="str">
        <f>IFERROR(__xludf.DUMMYFUNCTION("""COMPUTED_VALUE"""),"DungVT")</f>
        <v>DungVT</v>
      </c>
    </row>
    <row r="740">
      <c r="A740" s="265" t="str">
        <f>IFERROR(__xludf.DUMMYFUNCTION("""COMPUTED_VALUE"""),"1007")</f>
        <v>1007</v>
      </c>
      <c r="B740" s="265" t="str">
        <f>IFERROR(__xludf.DUMMYFUNCTION("""COMPUTED_VALUE"""),"Hà Nội")</f>
        <v>Hà Nội</v>
      </c>
      <c r="C740" s="265" t="str">
        <f>IFERROR(__xludf.DUMMYFUNCTION("""COMPUTED_VALUE"""),"Locked")</f>
        <v>Locked</v>
      </c>
      <c r="D740" s="265" t="str">
        <f>IFERROR(__xludf.DUMMYFUNCTION("""COMPUTED_VALUE"""),"Y tế &amp; Dược phẩm")</f>
        <v>Y tế &amp; Dược phẩm</v>
      </c>
      <c r="E740" s="265" t="str">
        <f>IFERROR(__xludf.DUMMYFUNCTION("""COMPUTED_VALUE"""),"Không phân công")</f>
        <v>Không phân công</v>
      </c>
      <c r="F740" s="265" t="str">
        <f>IFERROR(__xludf.DUMMYFUNCTION("""COMPUTED_VALUE"""),"Sale chưa cung cấp")</f>
        <v>Sale chưa cung cấp</v>
      </c>
      <c r="G740" s="265" t="str">
        <f>IFERROR(__xludf.DUMMYFUNCTION("""COMPUTED_VALUE"""),"Starter")</f>
        <v>Starter</v>
      </c>
      <c r="H740" s="265" t="str">
        <f>IFERROR(__xludf.DUMMYFUNCTION("""COMPUTED_VALUE"""),"Trả sau")</f>
        <v>Trả sau</v>
      </c>
      <c r="I740" s="265" t="str">
        <f>IFERROR(__xludf.DUMMYFUNCTION("""COMPUTED_VALUE"""),"API")</f>
        <v>API</v>
      </c>
      <c r="J740" s="265" t="str">
        <f>IFERROR(__xludf.DUMMYFUNCTION("""COMPUTED_VALUE"""),"SMS CSKH")</f>
        <v>SMS CSKH</v>
      </c>
      <c r="K740" s="265" t="str">
        <f>IFERROR(__xludf.DUMMYFUNCTION("""COMPUTED_VALUE"""),"LinhNTT1")</f>
        <v>LinhNTT1</v>
      </c>
    </row>
    <row r="741">
      <c r="A741" s="265" t="str">
        <f>IFERROR(__xludf.DUMMYFUNCTION("""COMPUTED_VALUE"""),"1008")</f>
        <v>1008</v>
      </c>
      <c r="B741" s="265" t="str">
        <f>IFERROR(__xludf.DUMMYFUNCTION("""COMPUTED_VALUE"""),"Sài Gòn")</f>
        <v>Sài Gòn</v>
      </c>
      <c r="C741" s="265" t="str">
        <f>IFERROR(__xludf.DUMMYFUNCTION("""COMPUTED_VALUE"""),"Active")</f>
        <v>Active</v>
      </c>
      <c r="D741" s="265" t="str">
        <f>IFERROR(__xludf.DUMMYFUNCTION("""COMPUTED_VALUE"""),"Dịch vụ khác")</f>
        <v>Dịch vụ khác</v>
      </c>
      <c r="E741" s="265" t="str">
        <f>IFERROR(__xludf.DUMMYFUNCTION("""COMPUTED_VALUE"""),"Không phân công")</f>
        <v>Không phân công</v>
      </c>
      <c r="F741" s="265" t="str">
        <f>IFERROR(__xludf.DUMMYFUNCTION("""COMPUTED_VALUE"""),"Bronze")</f>
        <v>Bronze</v>
      </c>
      <c r="G741" s="265" t="str">
        <f>IFERROR(__xludf.DUMMYFUNCTION("""COMPUTED_VALUE"""),"Starter")</f>
        <v>Starter</v>
      </c>
      <c r="H741" s="265" t="str">
        <f>IFERROR(__xludf.DUMMYFUNCTION("""COMPUTED_VALUE"""),"Trả sau")</f>
        <v>Trả sau</v>
      </c>
      <c r="I741" s="265" t="str">
        <f>IFERROR(__xludf.DUMMYFUNCTION("""COMPUTED_VALUE"""),"API")</f>
        <v>API</v>
      </c>
      <c r="J741" s="265" t="str">
        <f>IFERROR(__xludf.DUMMYFUNCTION("""COMPUTED_VALUE"""),"SMS CSKH")</f>
        <v>SMS CSKH</v>
      </c>
      <c r="K741" s="265" t="str">
        <f>IFERROR(__xludf.DUMMYFUNCTION("""COMPUTED_VALUE"""),"DungPL")</f>
        <v>DungPL</v>
      </c>
    </row>
    <row r="742">
      <c r="A742" s="265" t="str">
        <f>IFERROR(__xludf.DUMMYFUNCTION("""COMPUTED_VALUE"""),"1009")</f>
        <v>1009</v>
      </c>
      <c r="B742" s="265" t="str">
        <f>IFERROR(__xludf.DUMMYFUNCTION("""COMPUTED_VALUE"""),"Hà Nội")</f>
        <v>Hà Nội</v>
      </c>
      <c r="C742" s="265" t="str">
        <f>IFERROR(__xludf.DUMMYFUNCTION("""COMPUTED_VALUE"""),"Locked")</f>
        <v>Locked</v>
      </c>
      <c r="D742" s="265" t="str">
        <f>IFERROR(__xludf.DUMMYFUNCTION("""COMPUTED_VALUE"""),"Dịch vụ khác")</f>
        <v>Dịch vụ khác</v>
      </c>
      <c r="E742" s="265" t="str">
        <f>IFERROR(__xludf.DUMMYFUNCTION("""COMPUTED_VALUE"""),"AnhNM")</f>
        <v>AnhNM</v>
      </c>
      <c r="F742" s="265" t="str">
        <f>IFERROR(__xludf.DUMMYFUNCTION("""COMPUTED_VALUE"""),"Bronze")</f>
        <v>Bronze</v>
      </c>
      <c r="G742" s="265" t="str">
        <f>IFERROR(__xludf.DUMMYFUNCTION("""COMPUTED_VALUE"""),"Starter")</f>
        <v>Starter</v>
      </c>
      <c r="H742" s="265" t="str">
        <f>IFERROR(__xludf.DUMMYFUNCTION("""COMPUTED_VALUE"""),"Trial")</f>
        <v>Trial</v>
      </c>
      <c r="I742" s="265" t="str">
        <f>IFERROR(__xludf.DUMMYFUNCTION("""COMPUTED_VALUE"""),"API &amp; Portal")</f>
        <v>API &amp; Portal</v>
      </c>
      <c r="J742" s="265" t="str">
        <f>IFERROR(__xludf.DUMMYFUNCTION("""COMPUTED_VALUE"""),"Zalo ZNS")</f>
        <v>Zalo ZNS</v>
      </c>
      <c r="K742" s="265" t="str">
        <f>IFERROR(__xludf.DUMMYFUNCTION("""COMPUTED_VALUE"""),"Không phân công")</f>
        <v>Không phân công</v>
      </c>
    </row>
    <row r="743">
      <c r="A743" s="265" t="str">
        <f>IFERROR(__xludf.DUMMYFUNCTION("""COMPUTED_VALUE"""),"1010")</f>
        <v>1010</v>
      </c>
      <c r="B743" s="265" t="str">
        <f>IFERROR(__xludf.DUMMYFUNCTION("""COMPUTED_VALUE"""),"Sài Gòn")</f>
        <v>Sài Gòn</v>
      </c>
      <c r="C743" s="265" t="str">
        <f>IFERROR(__xludf.DUMMYFUNCTION("""COMPUTED_VALUE"""),"Locked")</f>
        <v>Locked</v>
      </c>
      <c r="D743" s="265" t="str">
        <f>IFERROR(__xludf.DUMMYFUNCTION("""COMPUTED_VALUE"""),"Bất động sản")</f>
        <v>Bất động sản</v>
      </c>
      <c r="E743" s="265" t="str">
        <f>IFERROR(__xludf.DUMMYFUNCTION("""COMPUTED_VALUE"""),"Không phân công")</f>
        <v>Không phân công</v>
      </c>
      <c r="F743" s="265" t="str">
        <f>IFERROR(__xludf.DUMMYFUNCTION("""COMPUTED_VALUE"""),"Sale chưa cung cấp")</f>
        <v>Sale chưa cung cấp</v>
      </c>
      <c r="G743" s="265" t="str">
        <f>IFERROR(__xludf.DUMMYFUNCTION("""COMPUTED_VALUE"""),"Starter")</f>
        <v>Starter</v>
      </c>
      <c r="H743" s="265" t="str">
        <f>IFERROR(__xludf.DUMMYFUNCTION("""COMPUTED_VALUE"""),"Trả sau")</f>
        <v>Trả sau</v>
      </c>
      <c r="I743" s="265" t="str">
        <f>IFERROR(__xludf.DUMMYFUNCTION("""COMPUTED_VALUE"""),"API")</f>
        <v>API</v>
      </c>
      <c r="J743" s="265" t="str">
        <f>IFERROR(__xludf.DUMMYFUNCTION("""COMPUTED_VALUE"""),"SMS CSKH")</f>
        <v>SMS CSKH</v>
      </c>
      <c r="K743" s="265" t="str">
        <f>IFERROR(__xludf.DUMMYFUNCTION("""COMPUTED_VALUE"""),"LinhNTT1")</f>
        <v>LinhNTT1</v>
      </c>
    </row>
    <row r="744">
      <c r="A744" s="265" t="str">
        <f>IFERROR(__xludf.DUMMYFUNCTION("""COMPUTED_VALUE"""),"1011")</f>
        <v>1011</v>
      </c>
      <c r="B744" s="265" t="str">
        <f>IFERROR(__xludf.DUMMYFUNCTION("""COMPUTED_VALUE"""),"Hà Nội")</f>
        <v>Hà Nội</v>
      </c>
      <c r="C744" s="265" t="str">
        <f>IFERROR(__xludf.DUMMYFUNCTION("""COMPUTED_VALUE"""),"Locked")</f>
        <v>Locked</v>
      </c>
      <c r="D744" s="265" t="str">
        <f>IFERROR(__xludf.DUMMYFUNCTION("""COMPUTED_VALUE"""),"Dịch vụ khác")</f>
        <v>Dịch vụ khác</v>
      </c>
      <c r="E744" s="265" t="str">
        <f>IFERROR(__xludf.DUMMYFUNCTION("""COMPUTED_VALUE"""),"Không phân công")</f>
        <v>Không phân công</v>
      </c>
      <c r="F744" s="265" t="str">
        <f>IFERROR(__xludf.DUMMYFUNCTION("""COMPUTED_VALUE"""),"Sale chưa cung cấp")</f>
        <v>Sale chưa cung cấp</v>
      </c>
      <c r="G744" s="265" t="str">
        <f>IFERROR(__xludf.DUMMYFUNCTION("""COMPUTED_VALUE"""),"Starter")</f>
        <v>Starter</v>
      </c>
      <c r="H744" s="265" t="str">
        <f>IFERROR(__xludf.DUMMYFUNCTION("""COMPUTED_VALUE"""),"Trả sau")</f>
        <v>Trả sau</v>
      </c>
      <c r="I744" s="265" t="str">
        <f>IFERROR(__xludf.DUMMYFUNCTION("""COMPUTED_VALUE"""),"API")</f>
        <v>API</v>
      </c>
      <c r="J744" s="265" t="str">
        <f>IFERROR(__xludf.DUMMYFUNCTION("""COMPUTED_VALUE"""),"SMS CSKH")</f>
        <v>SMS CSKH</v>
      </c>
      <c r="K744" s="265" t="str">
        <f>IFERROR(__xludf.DUMMYFUNCTION("""COMPUTED_VALUE"""),"AnhNM")</f>
        <v>AnhNM</v>
      </c>
    </row>
    <row r="745">
      <c r="A745" s="265" t="str">
        <f>IFERROR(__xludf.DUMMYFUNCTION("""COMPUTED_VALUE"""),"1012")</f>
        <v>1012</v>
      </c>
      <c r="B745" s="265" t="str">
        <f>IFERROR(__xludf.DUMMYFUNCTION("""COMPUTED_VALUE"""),"Sài Gòn")</f>
        <v>Sài Gòn</v>
      </c>
      <c r="C745" s="265" t="str">
        <f>IFERROR(__xludf.DUMMYFUNCTION("""COMPUTED_VALUE"""),"Active")</f>
        <v>Active</v>
      </c>
      <c r="D745" s="265" t="str">
        <f>IFERROR(__xludf.DUMMYFUNCTION("""COMPUTED_VALUE"""),"Viễn thông")</f>
        <v>Viễn thông</v>
      </c>
      <c r="E745" s="265" t="str">
        <f>IFERROR(__xludf.DUMMYFUNCTION("""COMPUTED_VALUE"""),"AnhNM")</f>
        <v>AnhNM</v>
      </c>
      <c r="F745" s="265" t="str">
        <f>IFERROR(__xludf.DUMMYFUNCTION("""COMPUTED_VALUE"""),"Sale chưa cung cấp")</f>
        <v>Sale chưa cung cấp</v>
      </c>
      <c r="G745" s="265" t="str">
        <f>IFERROR(__xludf.DUMMYFUNCTION("""COMPUTED_VALUE"""),"Standard")</f>
        <v>Standard</v>
      </c>
      <c r="H745" s="265" t="str">
        <f>IFERROR(__xludf.DUMMYFUNCTION("""COMPUTED_VALUE"""),"Trả sau")</f>
        <v>Trả sau</v>
      </c>
      <c r="I745" s="265" t="str">
        <f>IFERROR(__xludf.DUMMYFUNCTION("""COMPUTED_VALUE"""),"Portal")</f>
        <v>Portal</v>
      </c>
      <c r="J745" s="265" t="str">
        <f>IFERROR(__xludf.DUMMYFUNCTION("""COMPUTED_VALUE"""),"Zalo ZNS")</f>
        <v>Zalo ZNS</v>
      </c>
      <c r="K745" s="265" t="str">
        <f>IFERROR(__xludf.DUMMYFUNCTION("""COMPUTED_VALUE"""),"DungPL")</f>
        <v>DungPL</v>
      </c>
    </row>
    <row r="746">
      <c r="A746" s="265" t="str">
        <f>IFERROR(__xludf.DUMMYFUNCTION("""COMPUTED_VALUE"""),"1013")</f>
        <v>1013</v>
      </c>
      <c r="B746" s="265" t="str">
        <f>IFERROR(__xludf.DUMMYFUNCTION("""COMPUTED_VALUE"""),"Sài Gòn")</f>
        <v>Sài Gòn</v>
      </c>
      <c r="C746" s="265" t="str">
        <f>IFERROR(__xludf.DUMMYFUNCTION("""COMPUTED_VALUE"""),"Active")</f>
        <v>Active</v>
      </c>
      <c r="D746" s="265" t="str">
        <f>IFERROR(__xludf.DUMMYFUNCTION("""COMPUTED_VALUE"""),"Mua sắm &amp; Bán lẻ")</f>
        <v>Mua sắm &amp; Bán lẻ</v>
      </c>
      <c r="E746" s="265" t="str">
        <f>IFERROR(__xludf.DUMMYFUNCTION("""COMPUTED_VALUE"""),"Không phân công")</f>
        <v>Không phân công</v>
      </c>
      <c r="F746" s="265" t="str">
        <f>IFERROR(__xludf.DUMMYFUNCTION("""COMPUTED_VALUE"""),"Diamond")</f>
        <v>Diamond</v>
      </c>
      <c r="G746" s="265" t="str">
        <f>IFERROR(__xludf.DUMMYFUNCTION("""COMPUTED_VALUE"""),"Starter")</f>
        <v>Starter</v>
      </c>
      <c r="H746" s="265" t="str">
        <f>IFERROR(__xludf.DUMMYFUNCTION("""COMPUTED_VALUE"""),"Trả sau")</f>
        <v>Trả sau</v>
      </c>
      <c r="I746" s="265" t="str">
        <f>IFERROR(__xludf.DUMMYFUNCTION("""COMPUTED_VALUE"""),"API")</f>
        <v>API</v>
      </c>
      <c r="J746" s="265" t="str">
        <f>IFERROR(__xludf.DUMMYFUNCTION("""COMPUTED_VALUE"""),"SMS CSKH")</f>
        <v>SMS CSKH</v>
      </c>
      <c r="K746" s="265" t="str">
        <f>IFERROR(__xludf.DUMMYFUNCTION("""COMPUTED_VALUE"""),"LinhNTT1")</f>
        <v>LinhNTT1</v>
      </c>
    </row>
    <row r="747">
      <c r="A747" s="265" t="str">
        <f>IFERROR(__xludf.DUMMYFUNCTION("""COMPUTED_VALUE"""),"1014")</f>
        <v>1014</v>
      </c>
      <c r="B747" s="265" t="str">
        <f>IFERROR(__xludf.DUMMYFUNCTION("""COMPUTED_VALUE"""),"Sài Gòn")</f>
        <v>Sài Gòn</v>
      </c>
      <c r="C747" s="265" t="str">
        <f>IFERROR(__xludf.DUMMYFUNCTION("""COMPUTED_VALUE"""),"Active")</f>
        <v>Active</v>
      </c>
      <c r="D747" s="265" t="str">
        <f>IFERROR(__xludf.DUMMYFUNCTION("""COMPUTED_VALUE"""),"Dịch vụ khác")</f>
        <v>Dịch vụ khác</v>
      </c>
      <c r="E747" s="265" t="str">
        <f>IFERROR(__xludf.DUMMYFUNCTION("""COMPUTED_VALUE"""),"AnhNM")</f>
        <v>AnhNM</v>
      </c>
      <c r="F747" s="265" t="str">
        <f>IFERROR(__xludf.DUMMYFUNCTION("""COMPUTED_VALUE"""),"Diamond")</f>
        <v>Diamond</v>
      </c>
      <c r="G747" s="265" t="str">
        <f>IFERROR(__xludf.DUMMYFUNCTION("""COMPUTED_VALUE"""),"Premium")</f>
        <v>Premium</v>
      </c>
      <c r="H747" s="265" t="str">
        <f>IFERROR(__xludf.DUMMYFUNCTION("""COMPUTED_VALUE"""),"Trả sau")</f>
        <v>Trả sau</v>
      </c>
      <c r="I747" s="265" t="str">
        <f>IFERROR(__xludf.DUMMYFUNCTION("""COMPUTED_VALUE"""),"API &amp; Portal")</f>
        <v>API &amp; Portal</v>
      </c>
      <c r="J747" s="265" t="str">
        <f>IFERROR(__xludf.DUMMYFUNCTION("""COMPUTED_VALUE"""),"Zalo ZNS")</f>
        <v>Zalo ZNS</v>
      </c>
      <c r="K747" s="265" t="str">
        <f>IFERROR(__xludf.DUMMYFUNCTION("""COMPUTED_VALUE"""),"LinhNTT1")</f>
        <v>LinhNTT1</v>
      </c>
    </row>
    <row r="748">
      <c r="A748" s="265" t="str">
        <f>IFERROR(__xludf.DUMMYFUNCTION("""COMPUTED_VALUE"""),"1014")</f>
        <v>1014</v>
      </c>
      <c r="B748" s="265" t="str">
        <f>IFERROR(__xludf.DUMMYFUNCTION("""COMPUTED_VALUE"""),"Sài Gòn")</f>
        <v>Sài Gòn</v>
      </c>
      <c r="C748" s="265" t="str">
        <f>IFERROR(__xludf.DUMMYFUNCTION("""COMPUTED_VALUE"""),"Active")</f>
        <v>Active</v>
      </c>
      <c r="D748" s="265" t="str">
        <f>IFERROR(__xludf.DUMMYFUNCTION("""COMPUTED_VALUE"""),"Dịch vụ khác")</f>
        <v>Dịch vụ khác</v>
      </c>
      <c r="E748" s="265" t="str">
        <f>IFERROR(__xludf.DUMMYFUNCTION("""COMPUTED_VALUE"""),"AnhNM")</f>
        <v>AnhNM</v>
      </c>
      <c r="F748" s="265" t="str">
        <f>IFERROR(__xludf.DUMMYFUNCTION("""COMPUTED_VALUE"""),"Diamond")</f>
        <v>Diamond</v>
      </c>
      <c r="G748" s="265" t="str">
        <f>IFERROR(__xludf.DUMMYFUNCTION("""COMPUTED_VALUE"""),"Premium")</f>
        <v>Premium</v>
      </c>
      <c r="H748" s="265" t="str">
        <f>IFERROR(__xludf.DUMMYFUNCTION("""COMPUTED_VALUE"""),"Trả sau")</f>
        <v>Trả sau</v>
      </c>
      <c r="I748" s="265" t="str">
        <f>IFERROR(__xludf.DUMMYFUNCTION("""COMPUTED_VALUE"""),"API &amp; Portal")</f>
        <v>API &amp; Portal</v>
      </c>
      <c r="J748" s="265" t="str">
        <f>IFERROR(__xludf.DUMMYFUNCTION("""COMPUTED_VALUE"""),"Email")</f>
        <v>Email</v>
      </c>
      <c r="K748" s="265" t="str">
        <f>IFERROR(__xludf.DUMMYFUNCTION("""COMPUTED_VALUE"""),"LinhNTT1")</f>
        <v>LinhNTT1</v>
      </c>
    </row>
    <row r="749">
      <c r="A749" s="265" t="str">
        <f>IFERROR(__xludf.DUMMYFUNCTION("""COMPUTED_VALUE"""),"1015")</f>
        <v>1015</v>
      </c>
      <c r="B749" s="265" t="str">
        <f>IFERROR(__xludf.DUMMYFUNCTION("""COMPUTED_VALUE"""),"Hà Nội")</f>
        <v>Hà Nội</v>
      </c>
      <c r="C749" s="265" t="str">
        <f>IFERROR(__xludf.DUMMYFUNCTION("""COMPUTED_VALUE"""),"Locked")</f>
        <v>Locked</v>
      </c>
      <c r="D749" s="265" t="str">
        <f>IFERROR(__xludf.DUMMYFUNCTION("""COMPUTED_VALUE"""),"Mua sắm &amp; Bán lẻ")</f>
        <v>Mua sắm &amp; Bán lẻ</v>
      </c>
      <c r="E749" s="265" t="str">
        <f>IFERROR(__xludf.DUMMYFUNCTION("""COMPUTED_VALUE"""),"AnhNM")</f>
        <v>AnhNM</v>
      </c>
      <c r="F749" s="265" t="str">
        <f>IFERROR(__xludf.DUMMYFUNCTION("""COMPUTED_VALUE"""),"Diamond")</f>
        <v>Diamond</v>
      </c>
      <c r="G749" s="265" t="str">
        <f>IFERROR(__xludf.DUMMYFUNCTION("""COMPUTED_VALUE"""),"Premium")</f>
        <v>Premium</v>
      </c>
      <c r="H749" s="265" t="str">
        <f>IFERROR(__xludf.DUMMYFUNCTION("""COMPUTED_VALUE"""),"Trial")</f>
        <v>Trial</v>
      </c>
      <c r="I749" s="265" t="str">
        <f>IFERROR(__xludf.DUMMYFUNCTION("""COMPUTED_VALUE"""),"API &amp; Portal")</f>
        <v>API &amp; Portal</v>
      </c>
      <c r="J749" s="265" t="str">
        <f>IFERROR(__xludf.DUMMYFUNCTION("""COMPUTED_VALUE"""),"SMS CSKH")</f>
        <v>SMS CSKH</v>
      </c>
      <c r="K749" s="265" t="str">
        <f>IFERROR(__xludf.DUMMYFUNCTION("""COMPUTED_VALUE"""),"Không phân công")</f>
        <v>Không phân công</v>
      </c>
    </row>
    <row r="750">
      <c r="A750" s="265" t="str">
        <f>IFERROR(__xludf.DUMMYFUNCTION("""COMPUTED_VALUE"""),"1015")</f>
        <v>1015</v>
      </c>
      <c r="B750" s="265" t="str">
        <f>IFERROR(__xludf.DUMMYFUNCTION("""COMPUTED_VALUE"""),"Hà Nội")</f>
        <v>Hà Nội</v>
      </c>
      <c r="C750" s="265" t="str">
        <f>IFERROR(__xludf.DUMMYFUNCTION("""COMPUTED_VALUE"""),"Locked")</f>
        <v>Locked</v>
      </c>
      <c r="D750" s="265" t="str">
        <f>IFERROR(__xludf.DUMMYFUNCTION("""COMPUTED_VALUE"""),"Mua sắm &amp; Bán lẻ")</f>
        <v>Mua sắm &amp; Bán lẻ</v>
      </c>
      <c r="E750" s="265" t="str">
        <f>IFERROR(__xludf.DUMMYFUNCTION("""COMPUTED_VALUE"""),"AnhNM")</f>
        <v>AnhNM</v>
      </c>
      <c r="F750" s="265" t="str">
        <f>IFERROR(__xludf.DUMMYFUNCTION("""COMPUTED_VALUE"""),"Diamond")</f>
        <v>Diamond</v>
      </c>
      <c r="G750" s="265" t="str">
        <f>IFERROR(__xludf.DUMMYFUNCTION("""COMPUTED_VALUE"""),"Premium")</f>
        <v>Premium</v>
      </c>
      <c r="H750" s="265" t="str">
        <f>IFERROR(__xludf.DUMMYFUNCTION("""COMPUTED_VALUE"""),"Trial")</f>
        <v>Trial</v>
      </c>
      <c r="I750" s="265" t="str">
        <f>IFERROR(__xludf.DUMMYFUNCTION("""COMPUTED_VALUE"""),"API &amp; Portal")</f>
        <v>API &amp; Portal</v>
      </c>
      <c r="J750" s="265" t="str">
        <f>IFERROR(__xludf.DUMMYFUNCTION("""COMPUTED_VALUE"""),"Zalo ZNS")</f>
        <v>Zalo ZNS</v>
      </c>
      <c r="K750" s="265" t="str">
        <f>IFERROR(__xludf.DUMMYFUNCTION("""COMPUTED_VALUE"""),"Không phân công")</f>
        <v>Không phân công</v>
      </c>
    </row>
    <row r="751">
      <c r="A751" s="265" t="str">
        <f>IFERROR(__xludf.DUMMYFUNCTION("""COMPUTED_VALUE"""),"1016")</f>
        <v>1016</v>
      </c>
      <c r="B751" s="265" t="str">
        <f>IFERROR(__xludf.DUMMYFUNCTION("""COMPUTED_VALUE"""),"Sài Gòn")</f>
        <v>Sài Gòn</v>
      </c>
      <c r="C751" s="265" t="str">
        <f>IFERROR(__xludf.DUMMYFUNCTION("""COMPUTED_VALUE"""),"Locked")</f>
        <v>Locked</v>
      </c>
      <c r="D751" s="265" t="str">
        <f>IFERROR(__xludf.DUMMYFUNCTION("""COMPUTED_VALUE"""),"Thực phẩm &amp; Đồ uống")</f>
        <v>Thực phẩm &amp; Đồ uống</v>
      </c>
      <c r="E751" s="265" t="str">
        <f>IFERROR(__xludf.DUMMYFUNCTION("""COMPUTED_VALUE"""),"TúPHN")</f>
        <v>TúPHN</v>
      </c>
      <c r="F751" s="265" t="str">
        <f>IFERROR(__xludf.DUMMYFUNCTION("""COMPUTED_VALUE"""),"Gold")</f>
        <v>Gold</v>
      </c>
      <c r="G751" s="265" t="str">
        <f>IFERROR(__xludf.DUMMYFUNCTION("""COMPUTED_VALUE"""),"Standard")</f>
        <v>Standard</v>
      </c>
      <c r="H751" s="265" t="str">
        <f>IFERROR(__xludf.DUMMYFUNCTION("""COMPUTED_VALUE"""),"Trả sau")</f>
        <v>Trả sau</v>
      </c>
      <c r="I751" s="265" t="str">
        <f>IFERROR(__xludf.DUMMYFUNCTION("""COMPUTED_VALUE"""),"Portal")</f>
        <v>Portal</v>
      </c>
      <c r="J751" s="265" t="str">
        <f>IFERROR(__xludf.DUMMYFUNCTION("""COMPUTED_VALUE"""),"Zalo ZNS")</f>
        <v>Zalo ZNS</v>
      </c>
      <c r="K751" s="265" t="str">
        <f>IFERROR(__xludf.DUMMYFUNCTION("""COMPUTED_VALUE"""),"LinhNTT1")</f>
        <v>LinhNTT1</v>
      </c>
    </row>
    <row r="752">
      <c r="A752" s="265" t="str">
        <f>IFERROR(__xludf.DUMMYFUNCTION("""COMPUTED_VALUE"""),"1018")</f>
        <v>1018</v>
      </c>
      <c r="B752" s="265" t="str">
        <f>IFERROR(__xludf.DUMMYFUNCTION("""COMPUTED_VALUE"""),"Hà Nội")</f>
        <v>Hà Nội</v>
      </c>
      <c r="C752" s="265" t="str">
        <f>IFERROR(__xludf.DUMMYFUNCTION("""COMPUTED_VALUE"""),"Locked")</f>
        <v>Locked</v>
      </c>
      <c r="D752" s="265" t="str">
        <f>IFERROR(__xludf.DUMMYFUNCTION("""COMPUTED_VALUE"""),"Sale chưa cung cấp")</f>
        <v>Sale chưa cung cấp</v>
      </c>
      <c r="E752" s="265" t="str">
        <f>IFERROR(__xludf.DUMMYFUNCTION("""COMPUTED_VALUE"""),"TúPHN")</f>
        <v>TúPHN</v>
      </c>
      <c r="F752" s="265" t="str">
        <f>IFERROR(__xludf.DUMMYFUNCTION("""COMPUTED_VALUE"""),"Bronze")</f>
        <v>Bronze</v>
      </c>
      <c r="G752" s="265" t="str">
        <f>IFERROR(__xludf.DUMMYFUNCTION("""COMPUTED_VALUE"""),"Starter")</f>
        <v>Starter</v>
      </c>
      <c r="H752" s="265" t="str">
        <f>IFERROR(__xludf.DUMMYFUNCTION("""COMPUTED_VALUE"""),"Trial")</f>
        <v>Trial</v>
      </c>
      <c r="I752" s="265" t="str">
        <f>IFERROR(__xludf.DUMMYFUNCTION("""COMPUTED_VALUE"""),"API &amp; Portal")</f>
        <v>API &amp; Portal</v>
      </c>
      <c r="J752" s="265" t="str">
        <f>IFERROR(__xludf.DUMMYFUNCTION("""COMPUTED_VALUE"""),"SMS CSKH")</f>
        <v>SMS CSKH</v>
      </c>
      <c r="K752" s="265" t="str">
        <f>IFERROR(__xludf.DUMMYFUNCTION("""COMPUTED_VALUE"""),"Không phân công")</f>
        <v>Không phân công</v>
      </c>
    </row>
    <row r="753">
      <c r="A753" s="265" t="str">
        <f>IFERROR(__xludf.DUMMYFUNCTION("""COMPUTED_VALUE"""),"1018")</f>
        <v>1018</v>
      </c>
      <c r="B753" s="265" t="str">
        <f>IFERROR(__xludf.DUMMYFUNCTION("""COMPUTED_VALUE"""),"Hà Nội")</f>
        <v>Hà Nội</v>
      </c>
      <c r="C753" s="265" t="str">
        <f>IFERROR(__xludf.DUMMYFUNCTION("""COMPUTED_VALUE"""),"Locked")</f>
        <v>Locked</v>
      </c>
      <c r="D753" s="265" t="str">
        <f>IFERROR(__xludf.DUMMYFUNCTION("""COMPUTED_VALUE"""),"Sale chưa cung cấp")</f>
        <v>Sale chưa cung cấp</v>
      </c>
      <c r="E753" s="265" t="str">
        <f>IFERROR(__xludf.DUMMYFUNCTION("""COMPUTED_VALUE"""),"TúPHN")</f>
        <v>TúPHN</v>
      </c>
      <c r="F753" s="265" t="str">
        <f>IFERROR(__xludf.DUMMYFUNCTION("""COMPUTED_VALUE"""),"Bronze")</f>
        <v>Bronze</v>
      </c>
      <c r="G753" s="265" t="str">
        <f>IFERROR(__xludf.DUMMYFUNCTION("""COMPUTED_VALUE"""),"Starter")</f>
        <v>Starter</v>
      </c>
      <c r="H753" s="265" t="str">
        <f>IFERROR(__xludf.DUMMYFUNCTION("""COMPUTED_VALUE"""),"Trial")</f>
        <v>Trial</v>
      </c>
      <c r="I753" s="265" t="str">
        <f>IFERROR(__xludf.DUMMYFUNCTION("""COMPUTED_VALUE"""),"API &amp; Portal")</f>
        <v>API &amp; Portal</v>
      </c>
      <c r="J753" s="265" t="str">
        <f>IFERROR(__xludf.DUMMYFUNCTION("""COMPUTED_VALUE"""),"Zalo ZNS")</f>
        <v>Zalo ZNS</v>
      </c>
      <c r="K753" s="265" t="str">
        <f>IFERROR(__xludf.DUMMYFUNCTION("""COMPUTED_VALUE"""),"Không phân công")</f>
        <v>Không phân công</v>
      </c>
    </row>
    <row r="754">
      <c r="A754" s="265" t="str">
        <f>IFERROR(__xludf.DUMMYFUNCTION("""COMPUTED_VALUE"""),"1019")</f>
        <v>1019</v>
      </c>
      <c r="B754" s="265" t="str">
        <f>IFERROR(__xludf.DUMMYFUNCTION("""COMPUTED_VALUE"""),"Hà Nội")</f>
        <v>Hà Nội</v>
      </c>
      <c r="C754" s="265" t="str">
        <f>IFERROR(__xludf.DUMMYFUNCTION("""COMPUTED_VALUE"""),"Active")</f>
        <v>Active</v>
      </c>
      <c r="D754" s="265" t="str">
        <f>IFERROR(__xludf.DUMMYFUNCTION("""COMPUTED_VALUE"""),"Sale chưa cung cấp")</f>
        <v>Sale chưa cung cấp</v>
      </c>
      <c r="E754" s="265" t="str">
        <f>IFERROR(__xludf.DUMMYFUNCTION("""COMPUTED_VALUE"""),"TúPHN")</f>
        <v>TúPHN</v>
      </c>
      <c r="F754" s="265" t="str">
        <f>IFERROR(__xludf.DUMMYFUNCTION("""COMPUTED_VALUE"""),"Silver")</f>
        <v>Silver</v>
      </c>
      <c r="G754" s="265" t="str">
        <f>IFERROR(__xludf.DUMMYFUNCTION("""COMPUTED_VALUE"""),"Premium")</f>
        <v>Premium</v>
      </c>
      <c r="H754" s="265" t="str">
        <f>IFERROR(__xludf.DUMMYFUNCTION("""COMPUTED_VALUE"""),"Trả sau")</f>
        <v>Trả sau</v>
      </c>
      <c r="I754" s="265" t="str">
        <f>IFERROR(__xludf.DUMMYFUNCTION("""COMPUTED_VALUE"""),"API")</f>
        <v>API</v>
      </c>
      <c r="J754" s="265" t="str">
        <f>IFERROR(__xludf.DUMMYFUNCTION("""COMPUTED_VALUE"""),"Zalo ZNS")</f>
        <v>Zalo ZNS</v>
      </c>
      <c r="K754" s="265" t="str">
        <f>IFERROR(__xludf.DUMMYFUNCTION("""COMPUTED_VALUE"""),"Không phân công")</f>
        <v>Không phân công</v>
      </c>
    </row>
    <row r="755">
      <c r="A755" s="265" t="str">
        <f>IFERROR(__xludf.DUMMYFUNCTION("""COMPUTED_VALUE"""),"1020")</f>
        <v>1020</v>
      </c>
      <c r="B755" s="265" t="str">
        <f>IFERROR(__xludf.DUMMYFUNCTION("""COMPUTED_VALUE"""),"Sài Gòn")</f>
        <v>Sài Gòn</v>
      </c>
      <c r="C755" s="265" t="str">
        <f>IFERROR(__xludf.DUMMYFUNCTION("""COMPUTED_VALUE"""),"Locked")</f>
        <v>Locked</v>
      </c>
      <c r="D755" s="265" t="str">
        <f>IFERROR(__xludf.DUMMYFUNCTION("""COMPUTED_VALUE"""),"Y tế &amp; Dược phẩm")</f>
        <v>Y tế &amp; Dược phẩm</v>
      </c>
      <c r="E755" s="265" t="str">
        <f>IFERROR(__xludf.DUMMYFUNCTION("""COMPUTED_VALUE"""),"AnhNM")</f>
        <v>AnhNM</v>
      </c>
      <c r="F755" s="265" t="str">
        <f>IFERROR(__xludf.DUMMYFUNCTION("""COMPUTED_VALUE"""),"Bronze")</f>
        <v>Bronze</v>
      </c>
      <c r="G755" s="265" t="str">
        <f>IFERROR(__xludf.DUMMYFUNCTION("""COMPUTED_VALUE"""),"Starter")</f>
        <v>Starter</v>
      </c>
      <c r="H755" s="265" t="str">
        <f>IFERROR(__xludf.DUMMYFUNCTION("""COMPUTED_VALUE"""),"Trial")</f>
        <v>Trial</v>
      </c>
      <c r="I755" s="265" t="str">
        <f>IFERROR(__xludf.DUMMYFUNCTION("""COMPUTED_VALUE"""),"Portal")</f>
        <v>Portal</v>
      </c>
      <c r="J755" s="265" t="str">
        <f>IFERROR(__xludf.DUMMYFUNCTION("""COMPUTED_VALUE"""),"Zalo ZNS")</f>
        <v>Zalo ZNS</v>
      </c>
      <c r="K755" s="265" t="str">
        <f>IFERROR(__xludf.DUMMYFUNCTION("""COMPUTED_VALUE"""),"Không phân công")</f>
        <v>Không phân công</v>
      </c>
    </row>
    <row r="756">
      <c r="A756" s="265" t="str">
        <f>IFERROR(__xludf.DUMMYFUNCTION("""COMPUTED_VALUE"""),"1021")</f>
        <v>1021</v>
      </c>
      <c r="B756" s="265" t="str">
        <f>IFERROR(__xludf.DUMMYFUNCTION("""COMPUTED_VALUE"""),"Hà Nội")</f>
        <v>Hà Nội</v>
      </c>
      <c r="C756" s="265" t="str">
        <f>IFERROR(__xludf.DUMMYFUNCTION("""COMPUTED_VALUE"""),"Locked")</f>
        <v>Locked</v>
      </c>
      <c r="D756" s="265" t="str">
        <f>IFERROR(__xludf.DUMMYFUNCTION("""COMPUTED_VALUE"""),"Công nghệ &amp; Phần mềm")</f>
        <v>Công nghệ &amp; Phần mềm</v>
      </c>
      <c r="E756" s="265" t="str">
        <f>IFERROR(__xludf.DUMMYFUNCTION("""COMPUTED_VALUE"""),"TúPHN")</f>
        <v>TúPHN</v>
      </c>
      <c r="F756" s="265" t="str">
        <f>IFERROR(__xludf.DUMMYFUNCTION("""COMPUTED_VALUE"""),"Gold")</f>
        <v>Gold</v>
      </c>
      <c r="G756" s="265" t="str">
        <f>IFERROR(__xludf.DUMMYFUNCTION("""COMPUTED_VALUE"""),"Starter")</f>
        <v>Starter</v>
      </c>
      <c r="H756" s="265" t="str">
        <f>IFERROR(__xludf.DUMMYFUNCTION("""COMPUTED_VALUE"""),"Trả sau")</f>
        <v>Trả sau</v>
      </c>
      <c r="I756" s="265" t="str">
        <f>IFERROR(__xludf.DUMMYFUNCTION("""COMPUTED_VALUE"""),"API")</f>
        <v>API</v>
      </c>
      <c r="J756" s="265" t="str">
        <f>IFERROR(__xludf.DUMMYFUNCTION("""COMPUTED_VALUE"""),"SMS CSKH")</f>
        <v>SMS CSKH</v>
      </c>
      <c r="K756" s="265" t="str">
        <f>IFERROR(__xludf.DUMMYFUNCTION("""COMPUTED_VALUE"""),"DungPL")</f>
        <v>DungPL</v>
      </c>
    </row>
    <row r="757">
      <c r="A757" s="265" t="str">
        <f>IFERROR(__xludf.DUMMYFUNCTION("""COMPUTED_VALUE"""),"1021")</f>
        <v>1021</v>
      </c>
      <c r="B757" s="265" t="str">
        <f>IFERROR(__xludf.DUMMYFUNCTION("""COMPUTED_VALUE"""),"Hà Nội")</f>
        <v>Hà Nội</v>
      </c>
      <c r="C757" s="265" t="str">
        <f>IFERROR(__xludf.DUMMYFUNCTION("""COMPUTED_VALUE"""),"Locked")</f>
        <v>Locked</v>
      </c>
      <c r="D757" s="265" t="str">
        <f>IFERROR(__xludf.DUMMYFUNCTION("""COMPUTED_VALUE"""),"Công nghệ &amp; Phần mềm")</f>
        <v>Công nghệ &amp; Phần mềm</v>
      </c>
      <c r="E757" s="265" t="str">
        <f>IFERROR(__xludf.DUMMYFUNCTION("""COMPUTED_VALUE"""),"TúPHN")</f>
        <v>TúPHN</v>
      </c>
      <c r="F757" s="265" t="str">
        <f>IFERROR(__xludf.DUMMYFUNCTION("""COMPUTED_VALUE"""),"Gold")</f>
        <v>Gold</v>
      </c>
      <c r="G757" s="265" t="str">
        <f>IFERROR(__xludf.DUMMYFUNCTION("""COMPUTED_VALUE"""),"Starter")</f>
        <v>Starter</v>
      </c>
      <c r="H757" s="265" t="str">
        <f>IFERROR(__xludf.DUMMYFUNCTION("""COMPUTED_VALUE"""),"Trả sau")</f>
        <v>Trả sau</v>
      </c>
      <c r="I757" s="265" t="str">
        <f>IFERROR(__xludf.DUMMYFUNCTION("""COMPUTED_VALUE"""),"API")</f>
        <v>API</v>
      </c>
      <c r="J757" s="265" t="str">
        <f>IFERROR(__xludf.DUMMYFUNCTION("""COMPUTED_VALUE"""),"Zalo ZNS")</f>
        <v>Zalo ZNS</v>
      </c>
      <c r="K757" s="265" t="str">
        <f>IFERROR(__xludf.DUMMYFUNCTION("""COMPUTED_VALUE"""),"DungPL")</f>
        <v>DungPL</v>
      </c>
    </row>
    <row r="758">
      <c r="A758" s="265" t="str">
        <f>IFERROR(__xludf.DUMMYFUNCTION("""COMPUTED_VALUE"""),"1022")</f>
        <v>1022</v>
      </c>
      <c r="B758" s="265" t="str">
        <f>IFERROR(__xludf.DUMMYFUNCTION("""COMPUTED_VALUE"""),"Sài Gòn")</f>
        <v>Sài Gòn</v>
      </c>
      <c r="C758" s="265" t="str">
        <f>IFERROR(__xludf.DUMMYFUNCTION("""COMPUTED_VALUE"""),"Active")</f>
        <v>Active</v>
      </c>
      <c r="D758" s="265" t="str">
        <f>IFERROR(__xludf.DUMMYFUNCTION("""COMPUTED_VALUE"""),"Mua sắm &amp; Bán lẻ")</f>
        <v>Mua sắm &amp; Bán lẻ</v>
      </c>
      <c r="E758" s="265" t="str">
        <f>IFERROR(__xludf.DUMMYFUNCTION("""COMPUTED_VALUE"""),"TrâmNNB")</f>
        <v>TrâmNNB</v>
      </c>
      <c r="F758" s="265" t="str">
        <f>IFERROR(__xludf.DUMMYFUNCTION("""COMPUTED_VALUE"""),"Diamond")</f>
        <v>Diamond</v>
      </c>
      <c r="G758" s="265" t="str">
        <f>IFERROR(__xludf.DUMMYFUNCTION("""COMPUTED_VALUE"""),"Premium")</f>
        <v>Premium</v>
      </c>
      <c r="H758" s="265" t="str">
        <f>IFERROR(__xludf.DUMMYFUNCTION("""COMPUTED_VALUE"""),"Trả sau")</f>
        <v>Trả sau</v>
      </c>
      <c r="I758" s="265" t="str">
        <f>IFERROR(__xludf.DUMMYFUNCTION("""COMPUTED_VALUE"""),"API")</f>
        <v>API</v>
      </c>
      <c r="J758" s="265" t="str">
        <f>IFERROR(__xludf.DUMMYFUNCTION("""COMPUTED_VALUE"""),"SMS CSKH")</f>
        <v>SMS CSKH</v>
      </c>
      <c r="K758" s="265" t="str">
        <f>IFERROR(__xludf.DUMMYFUNCTION("""COMPUTED_VALUE"""),"DungVT, LinhNTT1")</f>
        <v>DungVT, LinhNTT1</v>
      </c>
    </row>
    <row r="759">
      <c r="A759" s="265" t="str">
        <f>IFERROR(__xludf.DUMMYFUNCTION("""COMPUTED_VALUE"""),"1022")</f>
        <v>1022</v>
      </c>
      <c r="B759" s="265" t="str">
        <f>IFERROR(__xludf.DUMMYFUNCTION("""COMPUTED_VALUE"""),"Sài Gòn")</f>
        <v>Sài Gòn</v>
      </c>
      <c r="C759" s="265" t="str">
        <f>IFERROR(__xludf.DUMMYFUNCTION("""COMPUTED_VALUE"""),"Active")</f>
        <v>Active</v>
      </c>
      <c r="D759" s="265" t="str">
        <f>IFERROR(__xludf.DUMMYFUNCTION("""COMPUTED_VALUE"""),"Mua sắm &amp; Bán lẻ")</f>
        <v>Mua sắm &amp; Bán lẻ</v>
      </c>
      <c r="E759" s="265" t="str">
        <f>IFERROR(__xludf.DUMMYFUNCTION("""COMPUTED_VALUE"""),"TrâmNNB")</f>
        <v>TrâmNNB</v>
      </c>
      <c r="F759" s="265" t="str">
        <f>IFERROR(__xludf.DUMMYFUNCTION("""COMPUTED_VALUE"""),"Diamond")</f>
        <v>Diamond</v>
      </c>
      <c r="G759" s="265" t="str">
        <f>IFERROR(__xludf.DUMMYFUNCTION("""COMPUTED_VALUE"""),"Premium")</f>
        <v>Premium</v>
      </c>
      <c r="H759" s="265" t="str">
        <f>IFERROR(__xludf.DUMMYFUNCTION("""COMPUTED_VALUE"""),"Trả sau")</f>
        <v>Trả sau</v>
      </c>
      <c r="I759" s="265" t="str">
        <f>IFERROR(__xludf.DUMMYFUNCTION("""COMPUTED_VALUE"""),"API")</f>
        <v>API</v>
      </c>
      <c r="J759" s="265" t="str">
        <f>IFERROR(__xludf.DUMMYFUNCTION("""COMPUTED_VALUE"""),"SMS QC")</f>
        <v>SMS QC</v>
      </c>
      <c r="K759" s="265" t="str">
        <f>IFERROR(__xludf.DUMMYFUNCTION("""COMPUTED_VALUE"""),"DungVT, LinhNTT1")</f>
        <v>DungVT, LinhNTT1</v>
      </c>
    </row>
    <row r="760">
      <c r="A760" s="265" t="str">
        <f>IFERROR(__xludf.DUMMYFUNCTION("""COMPUTED_VALUE"""),"1022")</f>
        <v>1022</v>
      </c>
      <c r="B760" s="265" t="str">
        <f>IFERROR(__xludf.DUMMYFUNCTION("""COMPUTED_VALUE"""),"Sài Gòn")</f>
        <v>Sài Gòn</v>
      </c>
      <c r="C760" s="265" t="str">
        <f>IFERROR(__xludf.DUMMYFUNCTION("""COMPUTED_VALUE"""),"Active")</f>
        <v>Active</v>
      </c>
      <c r="D760" s="265" t="str">
        <f>IFERROR(__xludf.DUMMYFUNCTION("""COMPUTED_VALUE"""),"Mua sắm &amp; Bán lẻ")</f>
        <v>Mua sắm &amp; Bán lẻ</v>
      </c>
      <c r="E760" s="265" t="str">
        <f>IFERROR(__xludf.DUMMYFUNCTION("""COMPUTED_VALUE"""),"TrâmNNB")</f>
        <v>TrâmNNB</v>
      </c>
      <c r="F760" s="265" t="str">
        <f>IFERROR(__xludf.DUMMYFUNCTION("""COMPUTED_VALUE"""),"Diamond")</f>
        <v>Diamond</v>
      </c>
      <c r="G760" s="265" t="str">
        <f>IFERROR(__xludf.DUMMYFUNCTION("""COMPUTED_VALUE"""),"Premium")</f>
        <v>Premium</v>
      </c>
      <c r="H760" s="265" t="str">
        <f>IFERROR(__xludf.DUMMYFUNCTION("""COMPUTED_VALUE"""),"Trả sau")</f>
        <v>Trả sau</v>
      </c>
      <c r="I760" s="265" t="str">
        <f>IFERROR(__xludf.DUMMYFUNCTION("""COMPUTED_VALUE"""),"API")</f>
        <v>API</v>
      </c>
      <c r="J760" s="265" t="str">
        <f>IFERROR(__xludf.DUMMYFUNCTION("""COMPUTED_VALUE"""),"Zalo ZNS")</f>
        <v>Zalo ZNS</v>
      </c>
      <c r="K760" s="265" t="str">
        <f>IFERROR(__xludf.DUMMYFUNCTION("""COMPUTED_VALUE"""),"DungVT, LinhNTT1")</f>
        <v>DungVT, LinhNTT1</v>
      </c>
    </row>
    <row r="761">
      <c r="A761" s="265" t="str">
        <f>IFERROR(__xludf.DUMMYFUNCTION("""COMPUTED_VALUE"""),"1022")</f>
        <v>1022</v>
      </c>
      <c r="B761" s="265" t="str">
        <f>IFERROR(__xludf.DUMMYFUNCTION("""COMPUTED_VALUE"""),"Sài Gòn")</f>
        <v>Sài Gòn</v>
      </c>
      <c r="C761" s="265" t="str">
        <f>IFERROR(__xludf.DUMMYFUNCTION("""COMPUTED_VALUE"""),"Active")</f>
        <v>Active</v>
      </c>
      <c r="D761" s="265" t="str">
        <f>IFERROR(__xludf.DUMMYFUNCTION("""COMPUTED_VALUE"""),"Mua sắm &amp; Bán lẻ")</f>
        <v>Mua sắm &amp; Bán lẻ</v>
      </c>
      <c r="E761" s="265" t="str">
        <f>IFERROR(__xludf.DUMMYFUNCTION("""COMPUTED_VALUE"""),"TrâmNNB")</f>
        <v>TrâmNNB</v>
      </c>
      <c r="F761" s="265" t="str">
        <f>IFERROR(__xludf.DUMMYFUNCTION("""COMPUTED_VALUE"""),"Diamond")</f>
        <v>Diamond</v>
      </c>
      <c r="G761" s="265" t="str">
        <f>IFERROR(__xludf.DUMMYFUNCTION("""COMPUTED_VALUE"""),"Premium")</f>
        <v>Premium</v>
      </c>
      <c r="H761" s="265" t="str">
        <f>IFERROR(__xludf.DUMMYFUNCTION("""COMPUTED_VALUE"""),"Trả sau")</f>
        <v>Trả sau</v>
      </c>
      <c r="I761" s="265" t="str">
        <f>IFERROR(__xludf.DUMMYFUNCTION("""COMPUTED_VALUE"""),"API")</f>
        <v>API</v>
      </c>
      <c r="J761" s="265" t="str">
        <f>IFERROR(__xludf.DUMMYFUNCTION("""COMPUTED_VALUE"""),"Zalo UID")</f>
        <v>Zalo UID</v>
      </c>
      <c r="K761" s="265" t="str">
        <f>IFERROR(__xludf.DUMMYFUNCTION("""COMPUTED_VALUE"""),"DungVT, LinhNTT1")</f>
        <v>DungVT, LinhNTT1</v>
      </c>
    </row>
    <row r="762">
      <c r="A762" s="265" t="str">
        <f>IFERROR(__xludf.DUMMYFUNCTION("""COMPUTED_VALUE"""),"1023")</f>
        <v>1023</v>
      </c>
      <c r="B762" s="265" t="str">
        <f>IFERROR(__xludf.DUMMYFUNCTION("""COMPUTED_VALUE"""),"Hà Nội")</f>
        <v>Hà Nội</v>
      </c>
      <c r="C762" s="265" t="str">
        <f>IFERROR(__xludf.DUMMYFUNCTION("""COMPUTED_VALUE"""),"Active")</f>
        <v>Active</v>
      </c>
      <c r="D762" s="265" t="str">
        <f>IFERROR(__xludf.DUMMYFUNCTION("""COMPUTED_VALUE"""),"Tài chính &amp; Ngân hàng")</f>
        <v>Tài chính &amp; Ngân hàng</v>
      </c>
      <c r="E762" s="265" t="str">
        <f>IFERROR(__xludf.DUMMYFUNCTION("""COMPUTED_VALUE"""),"Không phân công")</f>
        <v>Không phân công</v>
      </c>
      <c r="F762" s="265" t="str">
        <f>IFERROR(__xludf.DUMMYFUNCTION("""COMPUTED_VALUE"""),"Diamond")</f>
        <v>Diamond</v>
      </c>
      <c r="G762" s="265" t="str">
        <f>IFERROR(__xludf.DUMMYFUNCTION("""COMPUTED_VALUE"""),"Starter")</f>
        <v>Starter</v>
      </c>
      <c r="H762" s="265" t="str">
        <f>IFERROR(__xludf.DUMMYFUNCTION("""COMPUTED_VALUE"""),"Trả sau")</f>
        <v>Trả sau</v>
      </c>
      <c r="I762" s="265" t="str">
        <f>IFERROR(__xludf.DUMMYFUNCTION("""COMPUTED_VALUE"""),"API")</f>
        <v>API</v>
      </c>
      <c r="J762" s="265" t="str">
        <f>IFERROR(__xludf.DUMMYFUNCTION("""COMPUTED_VALUE"""),"SMS CSKH")</f>
        <v>SMS CSKH</v>
      </c>
      <c r="K762" s="265" t="str">
        <f>IFERROR(__xludf.DUMMYFUNCTION("""COMPUTED_VALUE"""),"DungVT")</f>
        <v>DungVT</v>
      </c>
    </row>
    <row r="763">
      <c r="A763" s="265" t="str">
        <f>IFERROR(__xludf.DUMMYFUNCTION("""COMPUTED_VALUE"""),"1024")</f>
        <v>1024</v>
      </c>
      <c r="B763" s="265" t="str">
        <f>IFERROR(__xludf.DUMMYFUNCTION("""COMPUTED_VALUE"""),"Hà Nội")</f>
        <v>Hà Nội</v>
      </c>
      <c r="C763" s="265" t="str">
        <f>IFERROR(__xludf.DUMMYFUNCTION("""COMPUTED_VALUE"""),"Active")</f>
        <v>Active</v>
      </c>
      <c r="D763" s="265" t="str">
        <f>IFERROR(__xludf.DUMMYFUNCTION("""COMPUTED_VALUE"""),"Tài chính &amp; Ngân hàng")</f>
        <v>Tài chính &amp; Ngân hàng</v>
      </c>
      <c r="E763" s="265" t="str">
        <f>IFERROR(__xludf.DUMMYFUNCTION("""COMPUTED_VALUE"""),"Không phân công")</f>
        <v>Không phân công</v>
      </c>
      <c r="F763" s="265" t="str">
        <f>IFERROR(__xludf.DUMMYFUNCTION("""COMPUTED_VALUE"""),"Diamond")</f>
        <v>Diamond</v>
      </c>
      <c r="G763" s="265" t="str">
        <f>IFERROR(__xludf.DUMMYFUNCTION("""COMPUTED_VALUE"""),"Starter")</f>
        <v>Starter</v>
      </c>
      <c r="H763" s="265" t="str">
        <f>IFERROR(__xludf.DUMMYFUNCTION("""COMPUTED_VALUE"""),"Trả sau")</f>
        <v>Trả sau</v>
      </c>
      <c r="I763" s="265" t="str">
        <f>IFERROR(__xludf.DUMMYFUNCTION("""COMPUTED_VALUE"""),"API")</f>
        <v>API</v>
      </c>
      <c r="J763" s="265" t="str">
        <f>IFERROR(__xludf.DUMMYFUNCTION("""COMPUTED_VALUE"""),"SMS CSKH")</f>
        <v>SMS CSKH</v>
      </c>
      <c r="K763" s="265" t="str">
        <f>IFERROR(__xludf.DUMMYFUNCTION("""COMPUTED_VALUE"""),"DungVT")</f>
        <v>DungVT</v>
      </c>
    </row>
    <row r="764">
      <c r="A764" s="265" t="str">
        <f>IFERROR(__xludf.DUMMYFUNCTION("""COMPUTED_VALUE"""),"1025")</f>
        <v>1025</v>
      </c>
      <c r="B764" s="265" t="str">
        <f>IFERROR(__xludf.DUMMYFUNCTION("""COMPUTED_VALUE"""),"Sài Gòn")</f>
        <v>Sài Gòn</v>
      </c>
      <c r="C764" s="265" t="str">
        <f>IFERROR(__xludf.DUMMYFUNCTION("""COMPUTED_VALUE"""),"Locked")</f>
        <v>Locked</v>
      </c>
      <c r="D764" s="265" t="str">
        <f>IFERROR(__xludf.DUMMYFUNCTION("""COMPUTED_VALUE"""),"Viễn thông")</f>
        <v>Viễn thông</v>
      </c>
      <c r="E764" s="265" t="str">
        <f>IFERROR(__xludf.DUMMYFUNCTION("""COMPUTED_VALUE"""),"TùngLD")</f>
        <v>TùngLD</v>
      </c>
      <c r="F764" s="265" t="str">
        <f>IFERROR(__xludf.DUMMYFUNCTION("""COMPUTED_VALUE"""),"Bronze")</f>
        <v>Bronze</v>
      </c>
      <c r="G764" s="265" t="str">
        <f>IFERROR(__xludf.DUMMYFUNCTION("""COMPUTED_VALUE"""),"Standard")</f>
        <v>Standard</v>
      </c>
      <c r="H764" s="265" t="str">
        <f>IFERROR(__xludf.DUMMYFUNCTION("""COMPUTED_VALUE"""),"Trả sau")</f>
        <v>Trả sau</v>
      </c>
      <c r="I764" s="265" t="str">
        <f>IFERROR(__xludf.DUMMYFUNCTION("""COMPUTED_VALUE"""),"Portal")</f>
        <v>Portal</v>
      </c>
      <c r="J764" s="265" t="str">
        <f>IFERROR(__xludf.DUMMYFUNCTION("""COMPUTED_VALUE"""),"Zalo ZNS")</f>
        <v>Zalo ZNS</v>
      </c>
      <c r="K764" s="265" t="str">
        <f>IFERROR(__xludf.DUMMYFUNCTION("""COMPUTED_VALUE"""),"DungPL")</f>
        <v>DungPL</v>
      </c>
    </row>
    <row r="765">
      <c r="A765" s="265" t="str">
        <f>IFERROR(__xludf.DUMMYFUNCTION("""COMPUTED_VALUE"""),"1026")</f>
        <v>1026</v>
      </c>
      <c r="B765" s="265" t="str">
        <f>IFERROR(__xludf.DUMMYFUNCTION("""COMPUTED_VALUE"""),"Sài Gòn")</f>
        <v>Sài Gòn</v>
      </c>
      <c r="C765" s="265" t="str">
        <f>IFERROR(__xludf.DUMMYFUNCTION("""COMPUTED_VALUE"""),"Active")</f>
        <v>Active</v>
      </c>
      <c r="D765" s="265" t="str">
        <f>IFERROR(__xludf.DUMMYFUNCTION("""COMPUTED_VALUE"""),"Du lịch &amp; Lưu trú")</f>
        <v>Du lịch &amp; Lưu trú</v>
      </c>
      <c r="E765" s="265" t="str">
        <f>IFERROR(__xludf.DUMMYFUNCTION("""COMPUTED_VALUE"""),"TùngLD")</f>
        <v>TùngLD</v>
      </c>
      <c r="F765" s="265" t="str">
        <f>IFERROR(__xludf.DUMMYFUNCTION("""COMPUTED_VALUE"""),"Sale chưa cung cấp")</f>
        <v>Sale chưa cung cấp</v>
      </c>
      <c r="G765" s="265" t="str">
        <f>IFERROR(__xludf.DUMMYFUNCTION("""COMPUTED_VALUE"""),"Standard")</f>
        <v>Standard</v>
      </c>
      <c r="H765" s="265" t="str">
        <f>IFERROR(__xludf.DUMMYFUNCTION("""COMPUTED_VALUE"""),"Trả sau")</f>
        <v>Trả sau</v>
      </c>
      <c r="I765" s="265" t="str">
        <f>IFERROR(__xludf.DUMMYFUNCTION("""COMPUTED_VALUE"""),"API")</f>
        <v>API</v>
      </c>
      <c r="J765" s="265" t="str">
        <f>IFERROR(__xludf.DUMMYFUNCTION("""COMPUTED_VALUE"""),"SMS CSKH")</f>
        <v>SMS CSKH</v>
      </c>
      <c r="K765" s="265" t="str">
        <f>IFERROR(__xludf.DUMMYFUNCTION("""COMPUTED_VALUE"""),"YếnĐH")</f>
        <v>YếnĐH</v>
      </c>
    </row>
    <row r="766">
      <c r="A766" s="265" t="str">
        <f>IFERROR(__xludf.DUMMYFUNCTION("""COMPUTED_VALUE"""),"1027")</f>
        <v>1027</v>
      </c>
      <c r="B766" s="265" t="str">
        <f>IFERROR(__xludf.DUMMYFUNCTION("""COMPUTED_VALUE"""),"Hà Nội")</f>
        <v>Hà Nội</v>
      </c>
      <c r="C766" s="265" t="str">
        <f>IFERROR(__xludf.DUMMYFUNCTION("""COMPUTED_VALUE"""),"Locked")</f>
        <v>Locked</v>
      </c>
      <c r="D766" s="265" t="str">
        <f>IFERROR(__xludf.DUMMYFUNCTION("""COMPUTED_VALUE"""),"Truyền thông &amp; Giải trí")</f>
        <v>Truyền thông &amp; Giải trí</v>
      </c>
      <c r="E766" s="265" t="str">
        <f>IFERROR(__xludf.DUMMYFUNCTION("""COMPUTED_VALUE"""),"TùngLD")</f>
        <v>TùngLD</v>
      </c>
      <c r="F766" s="265" t="str">
        <f>IFERROR(__xludf.DUMMYFUNCTION("""COMPUTED_VALUE"""),"Silver")</f>
        <v>Silver</v>
      </c>
      <c r="G766" s="265" t="str">
        <f>IFERROR(__xludf.DUMMYFUNCTION("""COMPUTED_VALUE"""),"Starter")</f>
        <v>Starter</v>
      </c>
      <c r="H766" s="265" t="str">
        <f>IFERROR(__xludf.DUMMYFUNCTION("""COMPUTED_VALUE"""),"Trial")</f>
        <v>Trial</v>
      </c>
      <c r="I766" s="265" t="str">
        <f>IFERROR(__xludf.DUMMYFUNCTION("""COMPUTED_VALUE"""),"API &amp; Portal")</f>
        <v>API &amp; Portal</v>
      </c>
      <c r="J766" s="265" t="str">
        <f>IFERROR(__xludf.DUMMYFUNCTION("""COMPUTED_VALUE"""),"SMS CSKH")</f>
        <v>SMS CSKH</v>
      </c>
      <c r="K766" s="265" t="str">
        <f>IFERROR(__xludf.DUMMYFUNCTION("""COMPUTED_VALUE"""),"DungPL")</f>
        <v>DungPL</v>
      </c>
    </row>
    <row r="767">
      <c r="A767" s="265" t="str">
        <f>IFERROR(__xludf.DUMMYFUNCTION("""COMPUTED_VALUE"""),"1027")</f>
        <v>1027</v>
      </c>
      <c r="B767" s="265" t="str">
        <f>IFERROR(__xludf.DUMMYFUNCTION("""COMPUTED_VALUE"""),"Hà Nội")</f>
        <v>Hà Nội</v>
      </c>
      <c r="C767" s="265" t="str">
        <f>IFERROR(__xludf.DUMMYFUNCTION("""COMPUTED_VALUE"""),"Locked")</f>
        <v>Locked</v>
      </c>
      <c r="D767" s="265" t="str">
        <f>IFERROR(__xludf.DUMMYFUNCTION("""COMPUTED_VALUE"""),"Truyền thông &amp; Giải trí")</f>
        <v>Truyền thông &amp; Giải trí</v>
      </c>
      <c r="E767" s="265" t="str">
        <f>IFERROR(__xludf.DUMMYFUNCTION("""COMPUTED_VALUE"""),"TùngLD")</f>
        <v>TùngLD</v>
      </c>
      <c r="F767" s="265" t="str">
        <f>IFERROR(__xludf.DUMMYFUNCTION("""COMPUTED_VALUE"""),"Silver")</f>
        <v>Silver</v>
      </c>
      <c r="G767" s="265" t="str">
        <f>IFERROR(__xludf.DUMMYFUNCTION("""COMPUTED_VALUE"""),"Starter")</f>
        <v>Starter</v>
      </c>
      <c r="H767" s="265" t="str">
        <f>IFERROR(__xludf.DUMMYFUNCTION("""COMPUTED_VALUE"""),"Trial")</f>
        <v>Trial</v>
      </c>
      <c r="I767" s="265" t="str">
        <f>IFERROR(__xludf.DUMMYFUNCTION("""COMPUTED_VALUE"""),"API &amp; Portal")</f>
        <v>API &amp; Portal</v>
      </c>
      <c r="J767" s="265" t="str">
        <f>IFERROR(__xludf.DUMMYFUNCTION("""COMPUTED_VALUE"""),"Zalo ZNS")</f>
        <v>Zalo ZNS</v>
      </c>
      <c r="K767" s="265" t="str">
        <f>IFERROR(__xludf.DUMMYFUNCTION("""COMPUTED_VALUE"""),"DungPL")</f>
        <v>DungPL</v>
      </c>
    </row>
    <row r="768">
      <c r="A768" s="265" t="str">
        <f>IFERROR(__xludf.DUMMYFUNCTION("""COMPUTED_VALUE"""),"1028")</f>
        <v>1028</v>
      </c>
      <c r="B768" s="265" t="str">
        <f>IFERROR(__xludf.DUMMYFUNCTION("""COMPUTED_VALUE"""),"Hà Nội")</f>
        <v>Hà Nội</v>
      </c>
      <c r="C768" s="265" t="str">
        <f>IFERROR(__xludf.DUMMYFUNCTION("""COMPUTED_VALUE"""),"Locked")</f>
        <v>Locked</v>
      </c>
      <c r="D768" s="265" t="str">
        <f>IFERROR(__xludf.DUMMYFUNCTION("""COMPUTED_VALUE"""),"Thời trang &amp; May mặc")</f>
        <v>Thời trang &amp; May mặc</v>
      </c>
      <c r="E768" s="265" t="str">
        <f>IFERROR(__xludf.DUMMYFUNCTION("""COMPUTED_VALUE"""),"AnhNM")</f>
        <v>AnhNM</v>
      </c>
      <c r="F768" s="265" t="str">
        <f>IFERROR(__xludf.DUMMYFUNCTION("""COMPUTED_VALUE"""),"Diamond")</f>
        <v>Diamond</v>
      </c>
      <c r="G768" s="265" t="str">
        <f>IFERROR(__xludf.DUMMYFUNCTION("""COMPUTED_VALUE"""),"Standard")</f>
        <v>Standard</v>
      </c>
      <c r="H768" s="265" t="str">
        <f>IFERROR(__xludf.DUMMYFUNCTION("""COMPUTED_VALUE"""),"Trial")</f>
        <v>Trial</v>
      </c>
      <c r="I768" s="265" t="str">
        <f>IFERROR(__xludf.DUMMYFUNCTION("""COMPUTED_VALUE"""),"API")</f>
        <v>API</v>
      </c>
      <c r="J768" s="265" t="str">
        <f>IFERROR(__xludf.DUMMYFUNCTION("""COMPUTED_VALUE"""),"SMS CSKH")</f>
        <v>SMS CSKH</v>
      </c>
      <c r="K768" s="265" t="str">
        <f>IFERROR(__xludf.DUMMYFUNCTION("""COMPUTED_VALUE"""),"LinhNTT1")</f>
        <v>LinhNTT1</v>
      </c>
    </row>
    <row r="769">
      <c r="A769" s="265" t="str">
        <f>IFERROR(__xludf.DUMMYFUNCTION("""COMPUTED_VALUE"""),"1028")</f>
        <v>1028</v>
      </c>
      <c r="B769" s="265" t="str">
        <f>IFERROR(__xludf.DUMMYFUNCTION("""COMPUTED_VALUE"""),"Hà Nội")</f>
        <v>Hà Nội</v>
      </c>
      <c r="C769" s="265" t="str">
        <f>IFERROR(__xludf.DUMMYFUNCTION("""COMPUTED_VALUE"""),"Locked")</f>
        <v>Locked</v>
      </c>
      <c r="D769" s="265" t="str">
        <f>IFERROR(__xludf.DUMMYFUNCTION("""COMPUTED_VALUE"""),"Thời trang &amp; May mặc")</f>
        <v>Thời trang &amp; May mặc</v>
      </c>
      <c r="E769" s="265" t="str">
        <f>IFERROR(__xludf.DUMMYFUNCTION("""COMPUTED_VALUE"""),"AnhNM")</f>
        <v>AnhNM</v>
      </c>
      <c r="F769" s="265" t="str">
        <f>IFERROR(__xludf.DUMMYFUNCTION("""COMPUTED_VALUE"""),"Diamond")</f>
        <v>Diamond</v>
      </c>
      <c r="G769" s="265" t="str">
        <f>IFERROR(__xludf.DUMMYFUNCTION("""COMPUTED_VALUE"""),"Standard")</f>
        <v>Standard</v>
      </c>
      <c r="H769" s="265" t="str">
        <f>IFERROR(__xludf.DUMMYFUNCTION("""COMPUTED_VALUE"""),"Trial")</f>
        <v>Trial</v>
      </c>
      <c r="I769" s="265" t="str">
        <f>IFERROR(__xludf.DUMMYFUNCTION("""COMPUTED_VALUE"""),"API")</f>
        <v>API</v>
      </c>
      <c r="J769" s="265" t="str">
        <f>IFERROR(__xludf.DUMMYFUNCTION("""COMPUTED_VALUE"""),"Zalo ZNS")</f>
        <v>Zalo ZNS</v>
      </c>
      <c r="K769" s="265" t="str">
        <f>IFERROR(__xludf.DUMMYFUNCTION("""COMPUTED_VALUE"""),"LinhNTT1")</f>
        <v>LinhNTT1</v>
      </c>
    </row>
    <row r="770">
      <c r="A770" s="265" t="str">
        <f>IFERROR(__xludf.DUMMYFUNCTION("""COMPUTED_VALUE"""),"1035")</f>
        <v>1035</v>
      </c>
      <c r="B770" s="265" t="str">
        <f>IFERROR(__xludf.DUMMYFUNCTION("""COMPUTED_VALUE"""),"Hà Nội")</f>
        <v>Hà Nội</v>
      </c>
      <c r="C770" s="265" t="str">
        <f>IFERROR(__xludf.DUMMYFUNCTION("""COMPUTED_VALUE"""),"Active")</f>
        <v>Active</v>
      </c>
      <c r="D770" s="265" t="str">
        <f>IFERROR(__xludf.DUMMYFUNCTION("""COMPUTED_VALUE"""),"Thời trang &amp; May mặc")</f>
        <v>Thời trang &amp; May mặc</v>
      </c>
      <c r="E770" s="265" t="str">
        <f>IFERROR(__xludf.DUMMYFUNCTION("""COMPUTED_VALUE"""),"AnhNM")</f>
        <v>AnhNM</v>
      </c>
      <c r="F770" s="265" t="str">
        <f>IFERROR(__xludf.DUMMYFUNCTION("""COMPUTED_VALUE"""),"Diamond")</f>
        <v>Diamond</v>
      </c>
      <c r="G770" s="265" t="str">
        <f>IFERROR(__xludf.DUMMYFUNCTION("""COMPUTED_VALUE"""),"Standard")</f>
        <v>Standard</v>
      </c>
      <c r="H770" s="265" t="str">
        <f>IFERROR(__xludf.DUMMYFUNCTION("""COMPUTED_VALUE"""),"Trả sau")</f>
        <v>Trả sau</v>
      </c>
      <c r="I770" s="265" t="str">
        <f>IFERROR(__xludf.DUMMYFUNCTION("""COMPUTED_VALUE"""),"API")</f>
        <v>API</v>
      </c>
      <c r="J770" s="265" t="str">
        <f>IFERROR(__xludf.DUMMYFUNCTION("""COMPUTED_VALUE"""),"SMS CSKH")</f>
        <v>SMS CSKH</v>
      </c>
      <c r="K770" s="265" t="str">
        <f>IFERROR(__xludf.DUMMYFUNCTION("""COMPUTED_VALUE"""),"LinhNTT1")</f>
        <v>LinhNTT1</v>
      </c>
    </row>
    <row r="771">
      <c r="A771" s="265" t="str">
        <f>IFERROR(__xludf.DUMMYFUNCTION("""COMPUTED_VALUE"""),"1035")</f>
        <v>1035</v>
      </c>
      <c r="B771" s="265" t="str">
        <f>IFERROR(__xludf.DUMMYFUNCTION("""COMPUTED_VALUE"""),"Hà Nội")</f>
        <v>Hà Nội</v>
      </c>
      <c r="C771" s="265" t="str">
        <f>IFERROR(__xludf.DUMMYFUNCTION("""COMPUTED_VALUE"""),"Active")</f>
        <v>Active</v>
      </c>
      <c r="D771" s="265" t="str">
        <f>IFERROR(__xludf.DUMMYFUNCTION("""COMPUTED_VALUE"""),"Thời trang &amp; May mặc")</f>
        <v>Thời trang &amp; May mặc</v>
      </c>
      <c r="E771" s="265" t="str">
        <f>IFERROR(__xludf.DUMMYFUNCTION("""COMPUTED_VALUE"""),"AnhNM")</f>
        <v>AnhNM</v>
      </c>
      <c r="F771" s="265" t="str">
        <f>IFERROR(__xludf.DUMMYFUNCTION("""COMPUTED_VALUE"""),"Diamond")</f>
        <v>Diamond</v>
      </c>
      <c r="G771" s="265" t="str">
        <f>IFERROR(__xludf.DUMMYFUNCTION("""COMPUTED_VALUE"""),"Standard")</f>
        <v>Standard</v>
      </c>
      <c r="H771" s="265" t="str">
        <f>IFERROR(__xludf.DUMMYFUNCTION("""COMPUTED_VALUE"""),"Trả sau")</f>
        <v>Trả sau</v>
      </c>
      <c r="I771" s="265" t="str">
        <f>IFERROR(__xludf.DUMMYFUNCTION("""COMPUTED_VALUE"""),"API")</f>
        <v>API</v>
      </c>
      <c r="J771" s="265" t="str">
        <f>IFERROR(__xludf.DUMMYFUNCTION("""COMPUTED_VALUE"""),"SMS QC")</f>
        <v>SMS QC</v>
      </c>
      <c r="K771" s="265" t="str">
        <f>IFERROR(__xludf.DUMMYFUNCTION("""COMPUTED_VALUE"""),"LinhNTT1")</f>
        <v>LinhNTT1</v>
      </c>
    </row>
    <row r="772">
      <c r="A772" s="265" t="str">
        <f>IFERROR(__xludf.DUMMYFUNCTION("""COMPUTED_VALUE"""),"1035")</f>
        <v>1035</v>
      </c>
      <c r="B772" s="265" t="str">
        <f>IFERROR(__xludf.DUMMYFUNCTION("""COMPUTED_VALUE"""),"Hà Nội")</f>
        <v>Hà Nội</v>
      </c>
      <c r="C772" s="265" t="str">
        <f>IFERROR(__xludf.DUMMYFUNCTION("""COMPUTED_VALUE"""),"Active")</f>
        <v>Active</v>
      </c>
      <c r="D772" s="265" t="str">
        <f>IFERROR(__xludf.DUMMYFUNCTION("""COMPUTED_VALUE"""),"Thời trang &amp; May mặc")</f>
        <v>Thời trang &amp; May mặc</v>
      </c>
      <c r="E772" s="265" t="str">
        <f>IFERROR(__xludf.DUMMYFUNCTION("""COMPUTED_VALUE"""),"AnhNM")</f>
        <v>AnhNM</v>
      </c>
      <c r="F772" s="265" t="str">
        <f>IFERROR(__xludf.DUMMYFUNCTION("""COMPUTED_VALUE"""),"Diamond")</f>
        <v>Diamond</v>
      </c>
      <c r="G772" s="265" t="str">
        <f>IFERROR(__xludf.DUMMYFUNCTION("""COMPUTED_VALUE"""),"Standard")</f>
        <v>Standard</v>
      </c>
      <c r="H772" s="265" t="str">
        <f>IFERROR(__xludf.DUMMYFUNCTION("""COMPUTED_VALUE"""),"Trả sau")</f>
        <v>Trả sau</v>
      </c>
      <c r="I772" s="265" t="str">
        <f>IFERROR(__xludf.DUMMYFUNCTION("""COMPUTED_VALUE"""),"API")</f>
        <v>API</v>
      </c>
      <c r="J772" s="265" t="str">
        <f>IFERROR(__xludf.DUMMYFUNCTION("""COMPUTED_VALUE"""),"Zalo ZNS")</f>
        <v>Zalo ZNS</v>
      </c>
      <c r="K772" s="265" t="str">
        <f>IFERROR(__xludf.DUMMYFUNCTION("""COMPUTED_VALUE"""),"LinhNTT1")</f>
        <v>LinhNTT1</v>
      </c>
    </row>
    <row r="773">
      <c r="A773" s="265" t="str">
        <f>IFERROR(__xludf.DUMMYFUNCTION("""COMPUTED_VALUE"""),"1029")</f>
        <v>1029</v>
      </c>
      <c r="B773" s="265" t="str">
        <f>IFERROR(__xludf.DUMMYFUNCTION("""COMPUTED_VALUE"""),"Sài Gòn")</f>
        <v>Sài Gòn</v>
      </c>
      <c r="C773" s="265" t="str">
        <f>IFERROR(__xludf.DUMMYFUNCTION("""COMPUTED_VALUE"""),"Active")</f>
        <v>Active</v>
      </c>
      <c r="D773" s="265" t="str">
        <f>IFERROR(__xludf.DUMMYFUNCTION("""COMPUTED_VALUE"""),"Thực phẩm &amp; Đồ uống")</f>
        <v>Thực phẩm &amp; Đồ uống</v>
      </c>
      <c r="E773" s="265" t="str">
        <f>IFERROR(__xludf.DUMMYFUNCTION("""COMPUTED_VALUE"""),"Không phân công")</f>
        <v>Không phân công</v>
      </c>
      <c r="F773" s="265" t="str">
        <f>IFERROR(__xludf.DUMMYFUNCTION("""COMPUTED_VALUE"""),"Bronze")</f>
        <v>Bronze</v>
      </c>
      <c r="G773" s="265" t="str">
        <f>IFERROR(__xludf.DUMMYFUNCTION("""COMPUTED_VALUE"""),"Standard")</f>
        <v>Standard</v>
      </c>
      <c r="H773" s="265" t="str">
        <f>IFERROR(__xludf.DUMMYFUNCTION("""COMPUTED_VALUE"""),"Trả sau")</f>
        <v>Trả sau</v>
      </c>
      <c r="I773" s="265" t="str">
        <f>IFERROR(__xludf.DUMMYFUNCTION("""COMPUTED_VALUE"""),"API &amp; Portal")</f>
        <v>API &amp; Portal</v>
      </c>
      <c r="J773" s="265" t="str">
        <f>IFERROR(__xludf.DUMMYFUNCTION("""COMPUTED_VALUE"""),"SMS CSKH")</f>
        <v>SMS CSKH</v>
      </c>
      <c r="K773" s="265" t="str">
        <f>IFERROR(__xludf.DUMMYFUNCTION("""COMPUTED_VALUE"""),"LinhNTT1")</f>
        <v>LinhNTT1</v>
      </c>
    </row>
    <row r="774">
      <c r="A774" s="265" t="str">
        <f>IFERROR(__xludf.DUMMYFUNCTION("""COMPUTED_VALUE"""),"1030")</f>
        <v>1030</v>
      </c>
      <c r="B774" s="265" t="str">
        <f>IFERROR(__xludf.DUMMYFUNCTION("""COMPUTED_VALUE"""),"Hà Nội")</f>
        <v>Hà Nội</v>
      </c>
      <c r="C774" s="265" t="str">
        <f>IFERROR(__xludf.DUMMYFUNCTION("""COMPUTED_VALUE"""),"Active")</f>
        <v>Active</v>
      </c>
      <c r="D774" s="265" t="str">
        <f>IFERROR(__xludf.DUMMYFUNCTION("""COMPUTED_VALUE"""),"Sale chưa cung cấp")</f>
        <v>Sale chưa cung cấp</v>
      </c>
      <c r="E774" s="265" t="str">
        <f>IFERROR(__xludf.DUMMYFUNCTION("""COMPUTED_VALUE"""),"TùngLD")</f>
        <v>TùngLD</v>
      </c>
      <c r="F774" s="265" t="str">
        <f>IFERROR(__xludf.DUMMYFUNCTION("""COMPUTED_VALUE"""),"Gold")</f>
        <v>Gold</v>
      </c>
      <c r="G774" s="265" t="str">
        <f>IFERROR(__xludf.DUMMYFUNCTION("""COMPUTED_VALUE"""),"Premium")</f>
        <v>Premium</v>
      </c>
      <c r="H774" s="265" t="str">
        <f>IFERROR(__xludf.DUMMYFUNCTION("""COMPUTED_VALUE"""),"Trả sau")</f>
        <v>Trả sau</v>
      </c>
      <c r="I774" s="265" t="str">
        <f>IFERROR(__xludf.DUMMYFUNCTION("""COMPUTED_VALUE"""),"API")</f>
        <v>API</v>
      </c>
      <c r="J774" s="265" t="str">
        <f>IFERROR(__xludf.DUMMYFUNCTION("""COMPUTED_VALUE"""),"Zalo ZNS")</f>
        <v>Zalo ZNS</v>
      </c>
      <c r="K774" s="265" t="str">
        <f>IFERROR(__xludf.DUMMYFUNCTION("""COMPUTED_VALUE"""),"LinhNTT1")</f>
        <v>LinhNTT1</v>
      </c>
    </row>
    <row r="775">
      <c r="A775" s="265" t="str">
        <f>IFERROR(__xludf.DUMMYFUNCTION("""COMPUTED_VALUE"""),"1030")</f>
        <v>1030</v>
      </c>
      <c r="B775" s="265" t="str">
        <f>IFERROR(__xludf.DUMMYFUNCTION("""COMPUTED_VALUE"""),"Hà Nội")</f>
        <v>Hà Nội</v>
      </c>
      <c r="C775" s="265" t="str">
        <f>IFERROR(__xludf.DUMMYFUNCTION("""COMPUTED_VALUE"""),"Active")</f>
        <v>Active</v>
      </c>
      <c r="D775" s="265" t="str">
        <f>IFERROR(__xludf.DUMMYFUNCTION("""COMPUTED_VALUE"""),"Sale chưa cung cấp")</f>
        <v>Sale chưa cung cấp</v>
      </c>
      <c r="E775" s="265" t="str">
        <f>IFERROR(__xludf.DUMMYFUNCTION("""COMPUTED_VALUE"""),"TùngLD")</f>
        <v>TùngLD</v>
      </c>
      <c r="F775" s="265" t="str">
        <f>IFERROR(__xludf.DUMMYFUNCTION("""COMPUTED_VALUE"""),"Gold")</f>
        <v>Gold</v>
      </c>
      <c r="G775" s="265" t="str">
        <f>IFERROR(__xludf.DUMMYFUNCTION("""COMPUTED_VALUE"""),"Premium")</f>
        <v>Premium</v>
      </c>
      <c r="H775" s="265" t="str">
        <f>IFERROR(__xludf.DUMMYFUNCTION("""COMPUTED_VALUE"""),"Trả sau")</f>
        <v>Trả sau</v>
      </c>
      <c r="I775" s="265" t="str">
        <f>IFERROR(__xludf.DUMMYFUNCTION("""COMPUTED_VALUE"""),"API")</f>
        <v>API</v>
      </c>
      <c r="J775" s="265" t="str">
        <f>IFERROR(__xludf.DUMMYFUNCTION("""COMPUTED_VALUE"""),"Zalo UID")</f>
        <v>Zalo UID</v>
      </c>
      <c r="K775" s="265" t="str">
        <f>IFERROR(__xludf.DUMMYFUNCTION("""COMPUTED_VALUE"""),"LinhNTT1")</f>
        <v>LinhNTT1</v>
      </c>
    </row>
    <row r="776">
      <c r="A776" s="265" t="str">
        <f>IFERROR(__xludf.DUMMYFUNCTION("""COMPUTED_VALUE"""),"1031")</f>
        <v>1031</v>
      </c>
      <c r="B776" s="265" t="str">
        <f>IFERROR(__xludf.DUMMYFUNCTION("""COMPUTED_VALUE"""),"Hà Nội")</f>
        <v>Hà Nội</v>
      </c>
      <c r="C776" s="265" t="str">
        <f>IFERROR(__xludf.DUMMYFUNCTION("""COMPUTED_VALUE"""),"Active")</f>
        <v>Active</v>
      </c>
      <c r="D776" s="265" t="str">
        <f>IFERROR(__xludf.DUMMYFUNCTION("""COMPUTED_VALUE"""),"Viễn thông")</f>
        <v>Viễn thông</v>
      </c>
      <c r="E776" s="265" t="str">
        <f>IFERROR(__xludf.DUMMYFUNCTION("""COMPUTED_VALUE"""),"TùngLD")</f>
        <v>TùngLD</v>
      </c>
      <c r="F776" s="265" t="str">
        <f>IFERROR(__xludf.DUMMYFUNCTION("""COMPUTED_VALUE"""),"Gold")</f>
        <v>Gold</v>
      </c>
      <c r="G776" s="265" t="str">
        <f>IFERROR(__xludf.DUMMYFUNCTION("""COMPUTED_VALUE"""),"Enterprise")</f>
        <v>Enterprise</v>
      </c>
      <c r="H776" s="265" t="str">
        <f>IFERROR(__xludf.DUMMYFUNCTION("""COMPUTED_VALUE"""),"Trả trước")</f>
        <v>Trả trước</v>
      </c>
      <c r="I776" s="265" t="str">
        <f>IFERROR(__xludf.DUMMYFUNCTION("""COMPUTED_VALUE"""),"API")</f>
        <v>API</v>
      </c>
      <c r="J776" s="265" t="str">
        <f>IFERROR(__xludf.DUMMYFUNCTION("""COMPUTED_VALUE"""),"Tất cả")</f>
        <v>Tất cả</v>
      </c>
      <c r="K776" s="265" t="str">
        <f>IFERROR(__xludf.DUMMYFUNCTION("""COMPUTED_VALUE"""),"YếnĐH")</f>
        <v>YếnĐH</v>
      </c>
    </row>
    <row r="777">
      <c r="A777" s="265" t="str">
        <f>IFERROR(__xludf.DUMMYFUNCTION("""COMPUTED_VALUE"""),"1032")</f>
        <v>1032</v>
      </c>
      <c r="B777" s="265" t="str">
        <f>IFERROR(__xludf.DUMMYFUNCTION("""COMPUTED_VALUE"""),"Sài Gòn")</f>
        <v>Sài Gòn</v>
      </c>
      <c r="C777" s="265" t="str">
        <f>IFERROR(__xludf.DUMMYFUNCTION("""COMPUTED_VALUE"""),"Active")</f>
        <v>Active</v>
      </c>
      <c r="D777" s="265" t="str">
        <f>IFERROR(__xludf.DUMMYFUNCTION("""COMPUTED_VALUE"""),"Mua sắm &amp; Bán lẻ")</f>
        <v>Mua sắm &amp; Bán lẻ</v>
      </c>
      <c r="E777" s="265" t="str">
        <f>IFERROR(__xludf.DUMMYFUNCTION("""COMPUTED_VALUE"""),"TrâmNNB")</f>
        <v>TrâmNNB</v>
      </c>
      <c r="F777" s="265" t="str">
        <f>IFERROR(__xludf.DUMMYFUNCTION("""COMPUTED_VALUE"""),"Sale chưa cung cấp")</f>
        <v>Sale chưa cung cấp</v>
      </c>
      <c r="G777" s="265" t="str">
        <f>IFERROR(__xludf.DUMMYFUNCTION("""COMPUTED_VALUE"""),"Premium")</f>
        <v>Premium</v>
      </c>
      <c r="H777" s="265" t="str">
        <f>IFERROR(__xludf.DUMMYFUNCTION("""COMPUTED_VALUE"""),"Trả trước")</f>
        <v>Trả trước</v>
      </c>
      <c r="I777" s="265" t="str">
        <f>IFERROR(__xludf.DUMMYFUNCTION("""COMPUTED_VALUE"""),"API &amp; Portal")</f>
        <v>API &amp; Portal</v>
      </c>
      <c r="J777" s="265" t="str">
        <f>IFERROR(__xludf.DUMMYFUNCTION("""COMPUTED_VALUE"""),"Zalo ZNS")</f>
        <v>Zalo ZNS</v>
      </c>
      <c r="K777" s="265" t="str">
        <f>IFERROR(__xludf.DUMMYFUNCTION("""COMPUTED_VALUE"""),"LinhNTT1")</f>
        <v>LinhNTT1</v>
      </c>
    </row>
    <row r="778">
      <c r="A778" s="265" t="str">
        <f>IFERROR(__xludf.DUMMYFUNCTION("""COMPUTED_VALUE"""),"1033")</f>
        <v>1033</v>
      </c>
      <c r="B778" s="265" t="str">
        <f>IFERROR(__xludf.DUMMYFUNCTION("""COMPUTED_VALUE"""),"Sài Gòn")</f>
        <v>Sài Gòn</v>
      </c>
      <c r="C778" s="265" t="str">
        <f>IFERROR(__xludf.DUMMYFUNCTION("""COMPUTED_VALUE"""),"Active")</f>
        <v>Active</v>
      </c>
      <c r="D778" s="265" t="str">
        <f>IFERROR(__xludf.DUMMYFUNCTION("""COMPUTED_VALUE"""),"Y tế &amp; Dược phẩm")</f>
        <v>Y tế &amp; Dược phẩm</v>
      </c>
      <c r="E778" s="265" t="str">
        <f>IFERROR(__xludf.DUMMYFUNCTION("""COMPUTED_VALUE"""),"AnhNM")</f>
        <v>AnhNM</v>
      </c>
      <c r="F778" s="265" t="str">
        <f>IFERROR(__xludf.DUMMYFUNCTION("""COMPUTED_VALUE"""),"Bronze")</f>
        <v>Bronze</v>
      </c>
      <c r="G778" s="265" t="str">
        <f>IFERROR(__xludf.DUMMYFUNCTION("""COMPUTED_VALUE"""),"Enterprise")</f>
        <v>Enterprise</v>
      </c>
      <c r="H778" s="265" t="str">
        <f>IFERROR(__xludf.DUMMYFUNCTION("""COMPUTED_VALUE"""),"Trả trước")</f>
        <v>Trả trước</v>
      </c>
      <c r="I778" s="265" t="str">
        <f>IFERROR(__xludf.DUMMYFUNCTION("""COMPUTED_VALUE"""),"Portal")</f>
        <v>Portal</v>
      </c>
      <c r="J778" s="265" t="str">
        <f>IFERROR(__xludf.DUMMYFUNCTION("""COMPUTED_VALUE"""),"Zalo ZNS")</f>
        <v>Zalo ZNS</v>
      </c>
      <c r="K778" s="265" t="str">
        <f>IFERROR(__xludf.DUMMYFUNCTION("""COMPUTED_VALUE"""),"LinhNTT1")</f>
        <v>LinhNTT1</v>
      </c>
    </row>
    <row r="779">
      <c r="A779" s="265" t="str">
        <f>IFERROR(__xludf.DUMMYFUNCTION("""COMPUTED_VALUE"""),"1036")</f>
        <v>1036</v>
      </c>
      <c r="B779" s="265" t="str">
        <f>IFERROR(__xludf.DUMMYFUNCTION("""COMPUTED_VALUE"""),"Hà Nội")</f>
        <v>Hà Nội</v>
      </c>
      <c r="C779" s="265" t="str">
        <f>IFERROR(__xludf.DUMMYFUNCTION("""COMPUTED_VALUE"""),"Active")</f>
        <v>Active</v>
      </c>
      <c r="D779" s="265" t="str">
        <f>IFERROR(__xludf.DUMMYFUNCTION("""COMPUTED_VALUE"""),"Dịch vụ khác")</f>
        <v>Dịch vụ khác</v>
      </c>
      <c r="E779" s="265" t="str">
        <f>IFERROR(__xludf.DUMMYFUNCTION("""COMPUTED_VALUE"""),"Không phân công")</f>
        <v>Không phân công</v>
      </c>
      <c r="F779" s="265" t="str">
        <f>IFERROR(__xludf.DUMMYFUNCTION("""COMPUTED_VALUE"""),"Silver")</f>
        <v>Silver</v>
      </c>
      <c r="G779" s="265" t="str">
        <f>IFERROR(__xludf.DUMMYFUNCTION("""COMPUTED_VALUE"""),"Starter")</f>
        <v>Starter</v>
      </c>
      <c r="H779" s="265" t="str">
        <f>IFERROR(__xludf.DUMMYFUNCTION("""COMPUTED_VALUE"""),"Trial")</f>
        <v>Trial</v>
      </c>
      <c r="I779" s="265" t="str">
        <f>IFERROR(__xludf.DUMMYFUNCTION("""COMPUTED_VALUE"""),"API")</f>
        <v>API</v>
      </c>
      <c r="J779" s="265" t="str">
        <f>IFERROR(__xludf.DUMMYFUNCTION("""COMPUTED_VALUE"""),"Viber")</f>
        <v>Viber</v>
      </c>
      <c r="K779" s="265" t="str">
        <f>IFERROR(__xludf.DUMMYFUNCTION("""COMPUTED_VALUE"""),"DungPL")</f>
        <v>DungPL</v>
      </c>
    </row>
    <row r="780">
      <c r="A780" s="265" t="str">
        <f>IFERROR(__xludf.DUMMYFUNCTION("""COMPUTED_VALUE"""),"1039")</f>
        <v>1039</v>
      </c>
      <c r="B780" s="265" t="str">
        <f>IFERROR(__xludf.DUMMYFUNCTION("""COMPUTED_VALUE"""),"Sài Gòn")</f>
        <v>Sài Gòn</v>
      </c>
      <c r="C780" s="265" t="str">
        <f>IFERROR(__xludf.DUMMYFUNCTION("""COMPUTED_VALUE"""),"Active")</f>
        <v>Active</v>
      </c>
      <c r="D780" s="265" t="str">
        <f>IFERROR(__xludf.DUMMYFUNCTION("""COMPUTED_VALUE"""),"Dịch vụ khác")</f>
        <v>Dịch vụ khác</v>
      </c>
      <c r="E780" s="265" t="str">
        <f>IFERROR(__xludf.DUMMYFUNCTION("""COMPUTED_VALUE"""),"Không phân công")</f>
        <v>Không phân công</v>
      </c>
      <c r="F780" s="265" t="str">
        <f>IFERROR(__xludf.DUMMYFUNCTION("""COMPUTED_VALUE"""),"Diamond")</f>
        <v>Diamond</v>
      </c>
      <c r="G780" s="265" t="str">
        <f>IFERROR(__xludf.DUMMYFUNCTION("""COMPUTED_VALUE"""),"Starter")</f>
        <v>Starter</v>
      </c>
      <c r="H780" s="265" t="str">
        <f>IFERROR(__xludf.DUMMYFUNCTION("""COMPUTED_VALUE"""),"Trả trước")</f>
        <v>Trả trước</v>
      </c>
      <c r="I780" s="265" t="str">
        <f>IFERROR(__xludf.DUMMYFUNCTION("""COMPUTED_VALUE"""),"API")</f>
        <v>API</v>
      </c>
      <c r="J780" s="265" t="str">
        <f>IFERROR(__xludf.DUMMYFUNCTION("""COMPUTED_VALUE"""),"SMS CSKH")</f>
        <v>SMS CSKH</v>
      </c>
      <c r="K780" s="265" t="str">
        <f>IFERROR(__xludf.DUMMYFUNCTION("""COMPUTED_VALUE"""),"LinhNTT1")</f>
        <v>LinhNTT1</v>
      </c>
    </row>
    <row r="781">
      <c r="A781" s="265" t="str">
        <f>IFERROR(__xludf.DUMMYFUNCTION("""COMPUTED_VALUE"""),"1040")</f>
        <v>1040</v>
      </c>
      <c r="B781" s="265" t="str">
        <f>IFERROR(__xludf.DUMMYFUNCTION("""COMPUTED_VALUE"""),"Hà Nội")</f>
        <v>Hà Nội</v>
      </c>
      <c r="C781" s="265" t="str">
        <f>IFERROR(__xludf.DUMMYFUNCTION("""COMPUTED_VALUE"""),"Active")</f>
        <v>Active</v>
      </c>
      <c r="D781" s="265" t="str">
        <f>IFERROR(__xludf.DUMMYFUNCTION("""COMPUTED_VALUE"""),"Truyền thông &amp; Giải trí")</f>
        <v>Truyền thông &amp; Giải trí</v>
      </c>
      <c r="E781" s="265" t="str">
        <f>IFERROR(__xludf.DUMMYFUNCTION("""COMPUTED_VALUE"""),"AnhNM")</f>
        <v>AnhNM</v>
      </c>
      <c r="F781" s="265" t="str">
        <f>IFERROR(__xludf.DUMMYFUNCTION("""COMPUTED_VALUE"""),"Diamond")</f>
        <v>Diamond</v>
      </c>
      <c r="G781" s="265" t="str">
        <f>IFERROR(__xludf.DUMMYFUNCTION("""COMPUTED_VALUE"""),"Enterprise")</f>
        <v>Enterprise</v>
      </c>
      <c r="H781" s="265" t="str">
        <f>IFERROR(__xludf.DUMMYFUNCTION("""COMPUTED_VALUE"""),"Trial")</f>
        <v>Trial</v>
      </c>
      <c r="I781" s="265" t="str">
        <f>IFERROR(__xludf.DUMMYFUNCTION("""COMPUTED_VALUE"""),"API")</f>
        <v>API</v>
      </c>
      <c r="J781" s="265" t="str">
        <f>IFERROR(__xludf.DUMMYFUNCTION("""COMPUTED_VALUE"""),"Tất cả")</f>
        <v>Tất cả</v>
      </c>
      <c r="K781" s="265" t="str">
        <f>IFERROR(__xludf.DUMMYFUNCTION("""COMPUTED_VALUE"""),"Không phân công")</f>
        <v>Không phân công</v>
      </c>
    </row>
    <row r="782">
      <c r="A782" s="265" t="str">
        <f>IFERROR(__xludf.DUMMYFUNCTION("""COMPUTED_VALUE"""),"1038")</f>
        <v>1038</v>
      </c>
      <c r="B782" s="265" t="str">
        <f>IFERROR(__xludf.DUMMYFUNCTION("""COMPUTED_VALUE"""),"Hà Nội")</f>
        <v>Hà Nội</v>
      </c>
      <c r="C782" s="265" t="str">
        <f>IFERROR(__xludf.DUMMYFUNCTION("""COMPUTED_VALUE"""),"Active")</f>
        <v>Active</v>
      </c>
      <c r="D782" s="265" t="str">
        <f>IFERROR(__xludf.DUMMYFUNCTION("""COMPUTED_VALUE"""),"Y tế &amp; Dược phẩm")</f>
        <v>Y tế &amp; Dược phẩm</v>
      </c>
      <c r="E782" s="265" t="str">
        <f>IFERROR(__xludf.DUMMYFUNCTION("""COMPUTED_VALUE"""),"Không phân công")</f>
        <v>Không phân công</v>
      </c>
      <c r="F782" s="265" t="str">
        <f>IFERROR(__xludf.DUMMYFUNCTION("""COMPUTED_VALUE"""),"Bronze")</f>
        <v>Bronze</v>
      </c>
      <c r="G782" s="265" t="str">
        <f>IFERROR(__xludf.DUMMYFUNCTION("""COMPUTED_VALUE"""),"Starter")</f>
        <v>Starter</v>
      </c>
      <c r="H782" s="265" t="str">
        <f>IFERROR(__xludf.DUMMYFUNCTION("""COMPUTED_VALUE"""),"Trả sau")</f>
        <v>Trả sau</v>
      </c>
      <c r="I782" s="265" t="str">
        <f>IFERROR(__xludf.DUMMYFUNCTION("""COMPUTED_VALUE"""),"API &amp; Portal")</f>
        <v>API &amp; Portal</v>
      </c>
      <c r="J782" s="265" t="str">
        <f>IFERROR(__xludf.DUMMYFUNCTION("""COMPUTED_VALUE"""),"SMS CSKH")</f>
        <v>SMS CSKH</v>
      </c>
      <c r="K782" s="265" t="str">
        <f>IFERROR(__xludf.DUMMYFUNCTION("""COMPUTED_VALUE"""),"DungVT")</f>
        <v>DungVT</v>
      </c>
    </row>
    <row r="783">
      <c r="A783" s="265" t="str">
        <f>IFERROR(__xludf.DUMMYFUNCTION("""COMPUTED_VALUE"""),"1043")</f>
        <v>1043</v>
      </c>
      <c r="B783" s="265" t="str">
        <f>IFERROR(__xludf.DUMMYFUNCTION("""COMPUTED_VALUE"""),"Sài Gòn")</f>
        <v>Sài Gòn</v>
      </c>
      <c r="C783" s="265" t="str">
        <f>IFERROR(__xludf.DUMMYFUNCTION("""COMPUTED_VALUE"""),"Active")</f>
        <v>Active</v>
      </c>
      <c r="D783" s="265" t="str">
        <f>IFERROR(__xludf.DUMMYFUNCTION("""COMPUTED_VALUE"""),"Thực phẩm &amp; Đồ uống")</f>
        <v>Thực phẩm &amp; Đồ uống</v>
      </c>
      <c r="E783" s="265" t="str">
        <f>IFERROR(__xludf.DUMMYFUNCTION("""COMPUTED_VALUE"""),"TúPHN")</f>
        <v>TúPHN</v>
      </c>
      <c r="F783" s="265" t="str">
        <f>IFERROR(__xludf.DUMMYFUNCTION("""COMPUTED_VALUE"""),"Bronze")</f>
        <v>Bronze</v>
      </c>
      <c r="G783" s="265" t="str">
        <f>IFERROR(__xludf.DUMMYFUNCTION("""COMPUTED_VALUE"""),"Premium")</f>
        <v>Premium</v>
      </c>
      <c r="H783" s="265" t="str">
        <f>IFERROR(__xludf.DUMMYFUNCTION("""COMPUTED_VALUE"""),"Trial")</f>
        <v>Trial</v>
      </c>
      <c r="I783" s="265" t="str">
        <f>IFERROR(__xludf.DUMMYFUNCTION("""COMPUTED_VALUE"""),"Portal")</f>
        <v>Portal</v>
      </c>
      <c r="J783" s="265" t="str">
        <f>IFERROR(__xludf.DUMMYFUNCTION("""COMPUTED_VALUE"""),"Tất cả")</f>
        <v>Tất cả</v>
      </c>
      <c r="K783" s="265" t="str">
        <f>IFERROR(__xludf.DUMMYFUNCTION("""COMPUTED_VALUE"""),"Không phân công")</f>
        <v>Không phân công</v>
      </c>
    </row>
    <row r="784">
      <c r="A784" s="265" t="str">
        <f>IFERROR(__xludf.DUMMYFUNCTION("""COMPUTED_VALUE"""),"1044")</f>
        <v>1044</v>
      </c>
      <c r="B784" s="265" t="str">
        <f>IFERROR(__xludf.DUMMYFUNCTION("""COMPUTED_VALUE"""),"Hà Nội")</f>
        <v>Hà Nội</v>
      </c>
      <c r="C784" s="265" t="str">
        <f>IFERROR(__xludf.DUMMYFUNCTION("""COMPUTED_VALUE"""),"Active")</f>
        <v>Active</v>
      </c>
      <c r="D784" s="265" t="str">
        <f>IFERROR(__xludf.DUMMYFUNCTION("""COMPUTED_VALUE"""),"Giáo dục &amp; Đào tạo")</f>
        <v>Giáo dục &amp; Đào tạo</v>
      </c>
      <c r="E784" s="265" t="str">
        <f>IFERROR(__xludf.DUMMYFUNCTION("""COMPUTED_VALUE"""),"TúPHN")</f>
        <v>TúPHN</v>
      </c>
      <c r="F784" s="265" t="str">
        <f>IFERROR(__xludf.DUMMYFUNCTION("""COMPUTED_VALUE"""),"Bronze")</f>
        <v>Bronze</v>
      </c>
      <c r="G784" s="265" t="str">
        <f>IFERROR(__xludf.DUMMYFUNCTION("""COMPUTED_VALUE"""),"Starter")</f>
        <v>Starter</v>
      </c>
      <c r="H784" s="265" t="str">
        <f>IFERROR(__xludf.DUMMYFUNCTION("""COMPUTED_VALUE"""),"Trả trước")</f>
        <v>Trả trước</v>
      </c>
      <c r="I784" s="265" t="str">
        <f>IFERROR(__xludf.DUMMYFUNCTION("""COMPUTED_VALUE"""),"API &amp; Portal")</f>
        <v>API &amp; Portal</v>
      </c>
      <c r="J784" s="265" t="str">
        <f>IFERROR(__xludf.DUMMYFUNCTION("""COMPUTED_VALUE"""),"Zalo ZNS")</f>
        <v>Zalo ZNS</v>
      </c>
      <c r="K784" s="265" t="str">
        <f>IFERROR(__xludf.DUMMYFUNCTION("""COMPUTED_VALUE"""),"DungPL")</f>
        <v>DungPL</v>
      </c>
    </row>
    <row r="785">
      <c r="A785" s="265" t="str">
        <f>IFERROR(__xludf.DUMMYFUNCTION("""COMPUTED_VALUE"""),"1044")</f>
        <v>1044</v>
      </c>
      <c r="B785" s="265" t="str">
        <f>IFERROR(__xludf.DUMMYFUNCTION("""COMPUTED_VALUE"""),"Hà Nội")</f>
        <v>Hà Nội</v>
      </c>
      <c r="C785" s="265" t="str">
        <f>IFERROR(__xludf.DUMMYFUNCTION("""COMPUTED_VALUE"""),"Active")</f>
        <v>Active</v>
      </c>
      <c r="D785" s="265" t="str">
        <f>IFERROR(__xludf.DUMMYFUNCTION("""COMPUTED_VALUE"""),"Giáo dục &amp; Đào tạo")</f>
        <v>Giáo dục &amp; Đào tạo</v>
      </c>
      <c r="E785" s="265" t="str">
        <f>IFERROR(__xludf.DUMMYFUNCTION("""COMPUTED_VALUE"""),"TúPHN")</f>
        <v>TúPHN</v>
      </c>
      <c r="F785" s="265" t="str">
        <f>IFERROR(__xludf.DUMMYFUNCTION("""COMPUTED_VALUE"""),"Bronze")</f>
        <v>Bronze</v>
      </c>
      <c r="G785" s="265" t="str">
        <f>IFERROR(__xludf.DUMMYFUNCTION("""COMPUTED_VALUE"""),"Starter")</f>
        <v>Starter</v>
      </c>
      <c r="H785" s="265" t="str">
        <f>IFERROR(__xludf.DUMMYFUNCTION("""COMPUTED_VALUE"""),"Trả trước")</f>
        <v>Trả trước</v>
      </c>
      <c r="I785" s="265" t="str">
        <f>IFERROR(__xludf.DUMMYFUNCTION("""COMPUTED_VALUE"""),"API &amp; Portal")</f>
        <v>API &amp; Portal</v>
      </c>
      <c r="J785" s="265" t="str">
        <f>IFERROR(__xludf.DUMMYFUNCTION("""COMPUTED_VALUE"""),"Zalo UID")</f>
        <v>Zalo UID</v>
      </c>
      <c r="K785" s="265" t="str">
        <f>IFERROR(__xludf.DUMMYFUNCTION("""COMPUTED_VALUE"""),"DungPL")</f>
        <v>DungPL</v>
      </c>
    </row>
  </sheetData>
  <autoFilter ref="$A$1:$J$632"/>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5" t="str">
        <f>IFERROR(__xludf.DUMMYFUNCTION("ARRAYFORMULA(
  QUERY(
    TRIM(
      SPLIT(
        FLATTEN(
          'Acc GapOne ver2'!C2:C2211 &amp; ""|"" &amp; 
          'Acc GapOne ver2'!A2:A2211 &amp; ""|"" &amp; 
          'Acc GapOne ver2'!B2:B2211 &amp; ""|"" &amp; 
          'Acc GapOne ver2'!Y2:Y2211 &amp; ""|"" &amp; 
"&amp;"          'Acc GapOne ver2'!Z2:Z2211 &amp; ""|"" &amp;
          'Acc GapOne ver2'!AC2:AC2211 &amp; ""|"" &amp; 
          'Acc GapOne ver2'!H2:H2211 &amp; ""|"" &amp; 
          'Acc GapOne ver2'!I2:I2211 &amp; ""|"" &amp; 
          'Acc GapOne ver2'!J2:J2211 &amp; ""|"" &amp;
          'Acc "&amp;"GapOne ver2'!AA2:AA2211 &amp; ""|"" &amp; 
          SPLIT('Acc GapOne ver2'!K2:K2211, "","")
        ), ""|""
      )
    ),
    ""SELECT Col1, Col2, Col3, Col4, Col5, Col6, Col7, Col8, Col9, Col11, Col10 WHERE Col11 IS NOT NULL LABEL Col1 'ORG ID', Col2 'Khu vự"&amp;"c', Col3 'Status', Col4 'Ngành nghề', Col5 'CS', Col6 'Phân khúc', Col7 'Loại gói cước', Col8 'Hình thức thanh toán', Col9 'Hình thức sử dụng', Col10 'SUP', Col11 'Input chi tiết'""
  )
)"),"ORG ID")</f>
        <v>ORG ID</v>
      </c>
      <c r="B1" s="265" t="str">
        <f>IFERROR(__xludf.DUMMYFUNCTION("""COMPUTED_VALUE"""),"Khu vực")</f>
        <v>Khu vực</v>
      </c>
      <c r="C1" s="265" t="str">
        <f>IFERROR(__xludf.DUMMYFUNCTION("""COMPUTED_VALUE"""),"Status")</f>
        <v>Status</v>
      </c>
      <c r="D1" s="265" t="str">
        <f>IFERROR(__xludf.DUMMYFUNCTION("""COMPUTED_VALUE"""),"Ngành nghề")</f>
        <v>Ngành nghề</v>
      </c>
      <c r="E1" s="265" t="str">
        <f>IFERROR(__xludf.DUMMYFUNCTION("""COMPUTED_VALUE"""),"CS")</f>
        <v>CS</v>
      </c>
      <c r="F1" s="265" t="str">
        <f>IFERROR(__xludf.DUMMYFUNCTION("""COMPUTED_VALUE"""),"Phân khúc")</f>
        <v>Phân khúc</v>
      </c>
      <c r="G1" s="265" t="str">
        <f>IFERROR(__xludf.DUMMYFUNCTION("""COMPUTED_VALUE"""),"Loại gói cước")</f>
        <v>Loại gói cước</v>
      </c>
      <c r="H1" s="265" t="str">
        <f>IFERROR(__xludf.DUMMYFUNCTION("""COMPUTED_VALUE"""),"Hình thức thanh toán")</f>
        <v>Hình thức thanh toán</v>
      </c>
      <c r="I1" s="265" t="str">
        <f>IFERROR(__xludf.DUMMYFUNCTION("""COMPUTED_VALUE"""),"Hình thức sử dụng")</f>
        <v>Hình thức sử dụng</v>
      </c>
      <c r="J1" s="265" t="str">
        <f>IFERROR(__xludf.DUMMYFUNCTION("""COMPUTED_VALUE"""),"Input chi tiết")</f>
        <v>Input chi tiết</v>
      </c>
      <c r="K1" s="373" t="str">
        <f>IFERROR(__xludf.DUMMYFUNCTION("""COMPUTED_VALUE"""),"SUP")</f>
        <v>SUP</v>
      </c>
    </row>
    <row r="2">
      <c r="A2" s="265" t="str">
        <f>IFERROR(__xludf.DUMMYFUNCTION("""COMPUTED_VALUE"""),"29")</f>
        <v>29</v>
      </c>
      <c r="B2" s="265" t="str">
        <f>IFERROR(__xludf.DUMMYFUNCTION("""COMPUTED_VALUE"""),"Hà Nội")</f>
        <v>Hà Nội</v>
      </c>
      <c r="C2" s="265" t="str">
        <f>IFERROR(__xludf.DUMMYFUNCTION("""COMPUTED_VALUE"""),"Active")</f>
        <v>Active</v>
      </c>
      <c r="D2" s="265" t="str">
        <f>IFERROR(__xludf.DUMMYFUNCTION("""COMPUTED_VALUE"""),"Vận tải &amp; logistics")</f>
        <v>Vận tải &amp; logistics</v>
      </c>
      <c r="E2" s="265" t="str">
        <f>IFERROR(__xludf.DUMMYFUNCTION("""COMPUTED_VALUE"""),"TùngLD")</f>
        <v>TùngLD</v>
      </c>
      <c r="F2" s="265" t="str">
        <f>IFERROR(__xludf.DUMMYFUNCTION("""COMPUTED_VALUE"""),"Gold")</f>
        <v>Gold</v>
      </c>
      <c r="G2" s="265" t="str">
        <f>IFERROR(__xludf.DUMMYFUNCTION("""COMPUTED_VALUE"""),"Enterprise")</f>
        <v>Enterprise</v>
      </c>
      <c r="H2" s="265" t="str">
        <f>IFERROR(__xludf.DUMMYFUNCTION("""COMPUTED_VALUE"""),"Trả sau")</f>
        <v>Trả sau</v>
      </c>
      <c r="I2" s="265" t="str">
        <f>IFERROR(__xludf.DUMMYFUNCTION("""COMPUTED_VALUE"""),"API")</f>
        <v>API</v>
      </c>
      <c r="J2" s="265" t="str">
        <f>IFERROR(__xludf.DUMMYFUNCTION("""COMPUTED_VALUE"""),"API")</f>
        <v>API</v>
      </c>
      <c r="K2" s="265" t="str">
        <f>IFERROR(__xludf.DUMMYFUNCTION("""COMPUTED_VALUE"""),"LinhNTT1")</f>
        <v>LinhNTT1</v>
      </c>
    </row>
    <row r="3">
      <c r="A3" s="265" t="str">
        <f>IFERROR(__xludf.DUMMYFUNCTION("""COMPUTED_VALUE"""),"75")</f>
        <v>75</v>
      </c>
      <c r="B3" s="265" t="str">
        <f>IFERROR(__xludf.DUMMYFUNCTION("""COMPUTED_VALUE"""),"Hà Nội")</f>
        <v>Hà Nội</v>
      </c>
      <c r="C3" s="265" t="str">
        <f>IFERROR(__xludf.DUMMYFUNCTION("""COMPUTED_VALUE"""),"Active")</f>
        <v>Active</v>
      </c>
      <c r="D3" s="265" t="str">
        <f>IFERROR(__xludf.DUMMYFUNCTION("""COMPUTED_VALUE"""),"Sale chưa cung cấp")</f>
        <v>Sale chưa cung cấp</v>
      </c>
      <c r="E3" s="265" t="str">
        <f>IFERROR(__xludf.DUMMYFUNCTION("""COMPUTED_VALUE"""),"TùngLD")</f>
        <v>TùngLD</v>
      </c>
      <c r="F3" s="265" t="str">
        <f>IFERROR(__xludf.DUMMYFUNCTION("""COMPUTED_VALUE"""),"Diamond")</f>
        <v>Diamond</v>
      </c>
      <c r="G3" s="265" t="str">
        <f>IFERROR(__xludf.DUMMYFUNCTION("""COMPUTED_VALUE"""),"Enterprise")</f>
        <v>Enterprise</v>
      </c>
      <c r="H3" s="265" t="str">
        <f>IFERROR(__xludf.DUMMYFUNCTION("""COMPUTED_VALUE"""),"Trả sau")</f>
        <v>Trả sau</v>
      </c>
      <c r="I3" s="265" t="str">
        <f>IFERROR(__xludf.DUMMYFUNCTION("""COMPUTED_VALUE"""),"API &amp; Portal")</f>
        <v>API &amp; Portal</v>
      </c>
      <c r="J3" s="265" t="str">
        <f>IFERROR(__xludf.DUMMYFUNCTION("""COMPUTED_VALUE"""),"File Excel")</f>
        <v>File Excel</v>
      </c>
      <c r="K3" s="265" t="str">
        <f>IFERROR(__xludf.DUMMYFUNCTION("""COMPUTED_VALUE"""),"DungPL")</f>
        <v>DungPL</v>
      </c>
    </row>
    <row r="4">
      <c r="A4" s="265" t="str">
        <f>IFERROR(__xludf.DUMMYFUNCTION("""COMPUTED_VALUE"""),"75")</f>
        <v>75</v>
      </c>
      <c r="B4" s="265" t="str">
        <f>IFERROR(__xludf.DUMMYFUNCTION("""COMPUTED_VALUE"""),"Hà Nội")</f>
        <v>Hà Nội</v>
      </c>
      <c r="C4" s="265" t="str">
        <f>IFERROR(__xludf.DUMMYFUNCTION("""COMPUTED_VALUE"""),"Active")</f>
        <v>Active</v>
      </c>
      <c r="D4" s="265" t="str">
        <f>IFERROR(__xludf.DUMMYFUNCTION("""COMPUTED_VALUE"""),"Sale chưa cung cấp")</f>
        <v>Sale chưa cung cấp</v>
      </c>
      <c r="E4" s="265" t="str">
        <f>IFERROR(__xludf.DUMMYFUNCTION("""COMPUTED_VALUE"""),"TùngLD")</f>
        <v>TùngLD</v>
      </c>
      <c r="F4" s="265" t="str">
        <f>IFERROR(__xludf.DUMMYFUNCTION("""COMPUTED_VALUE"""),"Diamond")</f>
        <v>Diamond</v>
      </c>
      <c r="G4" s="265" t="str">
        <f>IFERROR(__xludf.DUMMYFUNCTION("""COMPUTED_VALUE"""),"Enterprise")</f>
        <v>Enterprise</v>
      </c>
      <c r="H4" s="265" t="str">
        <f>IFERROR(__xludf.DUMMYFUNCTION("""COMPUTED_VALUE"""),"Trả sau")</f>
        <v>Trả sau</v>
      </c>
      <c r="I4" s="265" t="str">
        <f>IFERROR(__xludf.DUMMYFUNCTION("""COMPUTED_VALUE"""),"API &amp; Portal")</f>
        <v>API &amp; Portal</v>
      </c>
      <c r="J4" s="265" t="str">
        <f>IFERROR(__xludf.DUMMYFUNCTION("""COMPUTED_VALUE"""),"API")</f>
        <v>API</v>
      </c>
      <c r="K4" s="265" t="str">
        <f>IFERROR(__xludf.DUMMYFUNCTION("""COMPUTED_VALUE"""),"DungPL")</f>
        <v>DungPL</v>
      </c>
    </row>
    <row r="5">
      <c r="A5" s="265" t="str">
        <f>IFERROR(__xludf.DUMMYFUNCTION("""COMPUTED_VALUE"""),"119")</f>
        <v>119</v>
      </c>
      <c r="B5" s="265" t="str">
        <f>IFERROR(__xludf.DUMMYFUNCTION("""COMPUTED_VALUE"""),"Sài Gòn")</f>
        <v>Sài Gòn</v>
      </c>
      <c r="C5" s="265" t="str">
        <f>IFERROR(__xludf.DUMMYFUNCTION("""COMPUTED_VALUE"""),"Locked")</f>
        <v>Locked</v>
      </c>
      <c r="D5" s="265" t="str">
        <f>IFERROR(__xludf.DUMMYFUNCTION("""COMPUTED_VALUE"""),"Giáo dục &amp; Đào tạo")</f>
        <v>Giáo dục &amp; Đào tạo</v>
      </c>
      <c r="E5" s="265" t="str">
        <f>IFERROR(__xludf.DUMMYFUNCTION("""COMPUTED_VALUE"""),"TúPHN")</f>
        <v>TúPHN</v>
      </c>
      <c r="F5" s="265" t="str">
        <f>IFERROR(__xludf.DUMMYFUNCTION("""COMPUTED_VALUE"""),"Sale chưa cung cấp")</f>
        <v>Sale chưa cung cấp</v>
      </c>
      <c r="G5" s="265" t="str">
        <f>IFERROR(__xludf.DUMMYFUNCTION("""COMPUTED_VALUE"""),"Standard")</f>
        <v>Standard</v>
      </c>
      <c r="H5" s="265" t="str">
        <f>IFERROR(__xludf.DUMMYFUNCTION("""COMPUTED_VALUE"""),"Trial")</f>
        <v>Trial</v>
      </c>
      <c r="I5" s="265" t="str">
        <f>IFERROR(__xludf.DUMMYFUNCTION("""COMPUTED_VALUE"""),"API &amp; Portal")</f>
        <v>API &amp; Portal</v>
      </c>
      <c r="J5" s="265" t="str">
        <f>IFERROR(__xludf.DUMMYFUNCTION("""COMPUTED_VALUE"""),"File Excel")</f>
        <v>File Excel</v>
      </c>
      <c r="K5" s="265" t="str">
        <f>IFERROR(__xludf.DUMMYFUNCTION("""COMPUTED_VALUE"""),"Không phân công")</f>
        <v>Không phân công</v>
      </c>
    </row>
    <row r="6">
      <c r="A6" s="265" t="str">
        <f>IFERROR(__xludf.DUMMYFUNCTION("""COMPUTED_VALUE"""),"119")</f>
        <v>119</v>
      </c>
      <c r="B6" s="265" t="str">
        <f>IFERROR(__xludf.DUMMYFUNCTION("""COMPUTED_VALUE"""),"Sài Gòn")</f>
        <v>Sài Gòn</v>
      </c>
      <c r="C6" s="265" t="str">
        <f>IFERROR(__xludf.DUMMYFUNCTION("""COMPUTED_VALUE"""),"Locked")</f>
        <v>Locked</v>
      </c>
      <c r="D6" s="265" t="str">
        <f>IFERROR(__xludf.DUMMYFUNCTION("""COMPUTED_VALUE"""),"Giáo dục &amp; Đào tạo")</f>
        <v>Giáo dục &amp; Đào tạo</v>
      </c>
      <c r="E6" s="265" t="str">
        <f>IFERROR(__xludf.DUMMYFUNCTION("""COMPUTED_VALUE"""),"TúPHN")</f>
        <v>TúPHN</v>
      </c>
      <c r="F6" s="265" t="str">
        <f>IFERROR(__xludf.DUMMYFUNCTION("""COMPUTED_VALUE"""),"Sale chưa cung cấp")</f>
        <v>Sale chưa cung cấp</v>
      </c>
      <c r="G6" s="265" t="str">
        <f>IFERROR(__xludf.DUMMYFUNCTION("""COMPUTED_VALUE"""),"Standard")</f>
        <v>Standard</v>
      </c>
      <c r="H6" s="265" t="str">
        <f>IFERROR(__xludf.DUMMYFUNCTION("""COMPUTED_VALUE"""),"Trial")</f>
        <v>Trial</v>
      </c>
      <c r="I6" s="265" t="str">
        <f>IFERROR(__xludf.DUMMYFUNCTION("""COMPUTED_VALUE"""),"API &amp; Portal")</f>
        <v>API &amp; Portal</v>
      </c>
      <c r="J6" s="265" t="str">
        <f>IFERROR(__xludf.DUMMYFUNCTION("""COMPUTED_VALUE"""),"API")</f>
        <v>API</v>
      </c>
      <c r="K6" s="265" t="str">
        <f>IFERROR(__xludf.DUMMYFUNCTION("""COMPUTED_VALUE"""),"Không phân công")</f>
        <v>Không phân công</v>
      </c>
    </row>
    <row r="7">
      <c r="A7" s="265" t="str">
        <f>IFERROR(__xludf.DUMMYFUNCTION("""COMPUTED_VALUE"""),"878")</f>
        <v>878</v>
      </c>
      <c r="B7" s="265" t="str">
        <f>IFERROR(__xludf.DUMMYFUNCTION("""COMPUTED_VALUE"""),"Sài Gòn")</f>
        <v>Sài Gòn</v>
      </c>
      <c r="C7" s="265" t="str">
        <f>IFERROR(__xludf.DUMMYFUNCTION("""COMPUTED_VALUE"""),"Locked")</f>
        <v>Locked</v>
      </c>
      <c r="D7" s="265" t="str">
        <f>IFERROR(__xludf.DUMMYFUNCTION("""COMPUTED_VALUE"""),"Thực phẩm &amp; Đồ uống")</f>
        <v>Thực phẩm &amp; Đồ uống</v>
      </c>
      <c r="E7" s="265" t="str">
        <f>IFERROR(__xludf.DUMMYFUNCTION("""COMPUTED_VALUE"""),"HoaNTM")</f>
        <v>HoaNTM</v>
      </c>
      <c r="F7" s="265" t="str">
        <f>IFERROR(__xludf.DUMMYFUNCTION("""COMPUTED_VALUE"""),"Diamond")</f>
        <v>Diamond</v>
      </c>
      <c r="G7" s="265" t="str">
        <f>IFERROR(__xludf.DUMMYFUNCTION("""COMPUTED_VALUE"""),"Starter")</f>
        <v>Starter</v>
      </c>
      <c r="H7" s="265" t="str">
        <f>IFERROR(__xludf.DUMMYFUNCTION("""COMPUTED_VALUE"""),"Trả sau")</f>
        <v>Trả sau</v>
      </c>
      <c r="I7" s="265" t="str">
        <f>IFERROR(__xludf.DUMMYFUNCTION("""COMPUTED_VALUE"""),"Portal")</f>
        <v>Portal</v>
      </c>
      <c r="J7" s="265" t="str">
        <f>IFERROR(__xludf.DUMMYFUNCTION("""COMPUTED_VALUE"""),"File Excel")</f>
        <v>File Excel</v>
      </c>
      <c r="K7" s="265" t="str">
        <f>IFERROR(__xludf.DUMMYFUNCTION("""COMPUTED_VALUE"""),"LinhNTT1")</f>
        <v>LinhNTT1</v>
      </c>
    </row>
    <row r="8">
      <c r="A8" s="265" t="str">
        <f>IFERROR(__xludf.DUMMYFUNCTION("""COMPUTED_VALUE"""),"188")</f>
        <v>188</v>
      </c>
      <c r="B8" s="265" t="str">
        <f>IFERROR(__xludf.DUMMYFUNCTION("""COMPUTED_VALUE"""),"Hà Nội")</f>
        <v>Hà Nội</v>
      </c>
      <c r="C8" s="265" t="str">
        <f>IFERROR(__xludf.DUMMYFUNCTION("""COMPUTED_VALUE"""),"Active")</f>
        <v>Active</v>
      </c>
      <c r="D8" s="265" t="str">
        <f>IFERROR(__xludf.DUMMYFUNCTION("""COMPUTED_VALUE"""),"Tài chính &amp; Ngân hàng")</f>
        <v>Tài chính &amp; Ngân hàng</v>
      </c>
      <c r="E8" s="265" t="str">
        <f>IFERROR(__xludf.DUMMYFUNCTION("""COMPUTED_VALUE"""),"TúPHN")</f>
        <v>TúPHN</v>
      </c>
      <c r="F8" s="265" t="str">
        <f>IFERROR(__xludf.DUMMYFUNCTION("""COMPUTED_VALUE"""),"Silver")</f>
        <v>Silver</v>
      </c>
      <c r="G8" s="265" t="str">
        <f>IFERROR(__xludf.DUMMYFUNCTION("""COMPUTED_VALUE"""),"Starter")</f>
        <v>Starter</v>
      </c>
      <c r="H8" s="265" t="str">
        <f>IFERROR(__xludf.DUMMYFUNCTION("""COMPUTED_VALUE"""),"Trả sau")</f>
        <v>Trả sau</v>
      </c>
      <c r="I8" s="265" t="str">
        <f>IFERROR(__xludf.DUMMYFUNCTION("""COMPUTED_VALUE"""),"API")</f>
        <v>API</v>
      </c>
      <c r="J8" s="265" t="str">
        <f>IFERROR(__xludf.DUMMYFUNCTION("""COMPUTED_VALUE"""),"API")</f>
        <v>API</v>
      </c>
      <c r="K8" s="265" t="str">
        <f>IFERROR(__xludf.DUMMYFUNCTION("""COMPUTED_VALUE"""),"Không phân công")</f>
        <v>Không phân công</v>
      </c>
    </row>
    <row r="9">
      <c r="A9" s="265" t="str">
        <f>IFERROR(__xludf.DUMMYFUNCTION("""COMPUTED_VALUE"""),"209")</f>
        <v>209</v>
      </c>
      <c r="B9" s="265" t="str">
        <f>IFERROR(__xludf.DUMMYFUNCTION("""COMPUTED_VALUE"""),"Hà Nội")</f>
        <v>Hà Nội</v>
      </c>
      <c r="C9" s="265" t="str">
        <f>IFERROR(__xludf.DUMMYFUNCTION("""COMPUTED_VALUE"""),"Locked")</f>
        <v>Locked</v>
      </c>
      <c r="D9" s="265" t="str">
        <f>IFERROR(__xludf.DUMMYFUNCTION("""COMPUTED_VALUE"""),"Sale chưa cung cấp")</f>
        <v>Sale chưa cung cấp</v>
      </c>
      <c r="E9" s="265" t="str">
        <f>IFERROR(__xludf.DUMMYFUNCTION("""COMPUTED_VALUE"""),"PhươngDTB")</f>
        <v>PhươngDTB</v>
      </c>
      <c r="F9" s="265" t="str">
        <f>IFERROR(__xludf.DUMMYFUNCTION("""COMPUTED_VALUE"""),"Sale chưa cung cấp")</f>
        <v>Sale chưa cung cấp</v>
      </c>
      <c r="G9" s="265" t="str">
        <f>IFERROR(__xludf.DUMMYFUNCTION("""COMPUTED_VALUE"""),"Enterprise")</f>
        <v>Enterprise</v>
      </c>
      <c r="H9" s="265" t="str">
        <f>IFERROR(__xludf.DUMMYFUNCTION("""COMPUTED_VALUE"""),"(Chưa recheck)")</f>
        <v>(Chưa recheck)</v>
      </c>
      <c r="I9" s="265" t="str">
        <f>IFERROR(__xludf.DUMMYFUNCTION("""COMPUTED_VALUE"""),"(Chưa recheck)")</f>
        <v>(Chưa recheck)</v>
      </c>
      <c r="J9" s="265" t="str">
        <f>IFERROR(__xludf.DUMMYFUNCTION("""COMPUTED_VALUE"""),"(Chưa recheck)")</f>
        <v>(Chưa recheck)</v>
      </c>
      <c r="K9" s="265" t="str">
        <f>IFERROR(__xludf.DUMMYFUNCTION("""COMPUTED_VALUE"""),"(Chưa recheck)")</f>
        <v>(Chưa recheck)</v>
      </c>
    </row>
    <row r="10">
      <c r="A10" s="265" t="str">
        <f>IFERROR(__xludf.DUMMYFUNCTION("""COMPUTED_VALUE"""),"220")</f>
        <v>220</v>
      </c>
      <c r="B10" s="265" t="str">
        <f>IFERROR(__xludf.DUMMYFUNCTION("""COMPUTED_VALUE"""),"Hà Nội")</f>
        <v>Hà Nội</v>
      </c>
      <c r="C10" s="265" t="str">
        <f>IFERROR(__xludf.DUMMYFUNCTION("""COMPUTED_VALUE"""),"Locked")</f>
        <v>Locked</v>
      </c>
      <c r="D10" s="265" t="str">
        <f>IFERROR(__xludf.DUMMYFUNCTION("""COMPUTED_VALUE"""),"Sale chưa cung cấp")</f>
        <v>Sale chưa cung cấp</v>
      </c>
      <c r="E10" s="265" t="str">
        <f>IFERROR(__xludf.DUMMYFUNCTION("""COMPUTED_VALUE"""),"TùngLD")</f>
        <v>TùngLD</v>
      </c>
      <c r="F10" s="265" t="str">
        <f>IFERROR(__xludf.DUMMYFUNCTION("""COMPUTED_VALUE"""),"Bronze")</f>
        <v>Bronze</v>
      </c>
      <c r="G10" s="265" t="str">
        <f>IFERROR(__xludf.DUMMYFUNCTION("""COMPUTED_VALUE"""),"API")</f>
        <v>API</v>
      </c>
      <c r="H10" s="265" t="str">
        <f>IFERROR(__xludf.DUMMYFUNCTION("""COMPUTED_VALUE"""),"Trả sau")</f>
        <v>Trả sau</v>
      </c>
      <c r="I10" s="265" t="str">
        <f>IFERROR(__xludf.DUMMYFUNCTION("""COMPUTED_VALUE"""),"API")</f>
        <v>API</v>
      </c>
      <c r="J10" s="265" t="str">
        <f>IFERROR(__xludf.DUMMYFUNCTION("""COMPUTED_VALUE"""),"API")</f>
        <v>API</v>
      </c>
      <c r="K10" s="265" t="str">
        <f>IFERROR(__xludf.DUMMYFUNCTION("""COMPUTED_VALUE"""),"AnhNM")</f>
        <v>AnhNM</v>
      </c>
    </row>
    <row r="11">
      <c r="A11" s="265" t="str">
        <f>IFERROR(__xludf.DUMMYFUNCTION("""COMPUTED_VALUE"""),"226")</f>
        <v>226</v>
      </c>
      <c r="B11" s="265" t="str">
        <f>IFERROR(__xludf.DUMMYFUNCTION("""COMPUTED_VALUE"""),"Sài Gòn")</f>
        <v>Sài Gòn</v>
      </c>
      <c r="C11" s="265" t="str">
        <f>IFERROR(__xludf.DUMMYFUNCTION("""COMPUTED_VALUE"""),"Locked")</f>
        <v>Locked</v>
      </c>
      <c r="D11" s="265" t="str">
        <f>IFERROR(__xludf.DUMMYFUNCTION("""COMPUTED_VALUE"""),"Sale chưa cung cấp")</f>
        <v>Sale chưa cung cấp</v>
      </c>
      <c r="E11" s="265" t="str">
        <f>IFERROR(__xludf.DUMMYFUNCTION("""COMPUTED_VALUE"""),"HoaNTM")</f>
        <v>HoaNTM</v>
      </c>
      <c r="F11" s="265" t="str">
        <f>IFERROR(__xludf.DUMMYFUNCTION("""COMPUTED_VALUE"""),"Sale chưa cung cấp")</f>
        <v>Sale chưa cung cấp</v>
      </c>
      <c r="G11" s="265" t="str">
        <f>IFERROR(__xludf.DUMMYFUNCTION("""COMPUTED_VALUE"""),"API")</f>
        <v>API</v>
      </c>
      <c r="H11" s="265" t="str">
        <f>IFERROR(__xludf.DUMMYFUNCTION("""COMPUTED_VALUE"""),"(Chưa recheck)")</f>
        <v>(Chưa recheck)</v>
      </c>
      <c r="I11" s="265" t="str">
        <f>IFERROR(__xludf.DUMMYFUNCTION("""COMPUTED_VALUE"""),"(Chưa recheck)")</f>
        <v>(Chưa recheck)</v>
      </c>
      <c r="J11" s="265" t="str">
        <f>IFERROR(__xludf.DUMMYFUNCTION("""COMPUTED_VALUE"""),"(Chưa recheck)")</f>
        <v>(Chưa recheck)</v>
      </c>
      <c r="K11" s="265" t="str">
        <f>IFERROR(__xludf.DUMMYFUNCTION("""COMPUTED_VALUE"""),"AnhNM")</f>
        <v>AnhNM</v>
      </c>
    </row>
    <row r="12">
      <c r="A12" s="265" t="str">
        <f>IFERROR(__xludf.DUMMYFUNCTION("""COMPUTED_VALUE"""),"225")</f>
        <v>225</v>
      </c>
      <c r="B12" s="265" t="str">
        <f>IFERROR(__xludf.DUMMYFUNCTION("""COMPUTED_VALUE"""),"Sài Gòn")</f>
        <v>Sài Gòn</v>
      </c>
      <c r="C12" s="265" t="str">
        <f>IFERROR(__xludf.DUMMYFUNCTION("""COMPUTED_VALUE"""),"Active")</f>
        <v>Active</v>
      </c>
      <c r="D12" s="265" t="str">
        <f>IFERROR(__xludf.DUMMYFUNCTION("""COMPUTED_VALUE"""),"Sale chưa cung cấp")</f>
        <v>Sale chưa cung cấp</v>
      </c>
      <c r="E12" s="265" t="str">
        <f>IFERROR(__xludf.DUMMYFUNCTION("""COMPUTED_VALUE"""),"TúPHN")</f>
        <v>TúPHN</v>
      </c>
      <c r="F12" s="265" t="str">
        <f>IFERROR(__xludf.DUMMYFUNCTION("""COMPUTED_VALUE"""),"Diamond")</f>
        <v>Diamond</v>
      </c>
      <c r="G12" s="265" t="str">
        <f>IFERROR(__xludf.DUMMYFUNCTION("""COMPUTED_VALUE"""),"Starter")</f>
        <v>Starter</v>
      </c>
      <c r="H12" s="265" t="str">
        <f>IFERROR(__xludf.DUMMYFUNCTION("""COMPUTED_VALUE"""),"Trả sau")</f>
        <v>Trả sau</v>
      </c>
      <c r="I12" s="265" t="str">
        <f>IFERROR(__xludf.DUMMYFUNCTION("""COMPUTED_VALUE"""),"API &amp; Portal")</f>
        <v>API &amp; Portal</v>
      </c>
      <c r="J12" s="265" t="str">
        <f>IFERROR(__xludf.DUMMYFUNCTION("""COMPUTED_VALUE"""),"File Excel")</f>
        <v>File Excel</v>
      </c>
      <c r="K12" s="265" t="str">
        <f>IFERROR(__xludf.DUMMYFUNCTION("""COMPUTED_VALUE"""),"LinhNTT1, YếnĐH")</f>
        <v>LinhNTT1, YếnĐH</v>
      </c>
    </row>
    <row r="13">
      <c r="A13" s="265" t="str">
        <f>IFERROR(__xludf.DUMMYFUNCTION("""COMPUTED_VALUE"""),"225")</f>
        <v>225</v>
      </c>
      <c r="B13" s="265" t="str">
        <f>IFERROR(__xludf.DUMMYFUNCTION("""COMPUTED_VALUE"""),"Sài Gòn")</f>
        <v>Sài Gòn</v>
      </c>
      <c r="C13" s="265" t="str">
        <f>IFERROR(__xludf.DUMMYFUNCTION("""COMPUTED_VALUE"""),"Active")</f>
        <v>Active</v>
      </c>
      <c r="D13" s="265" t="str">
        <f>IFERROR(__xludf.DUMMYFUNCTION("""COMPUTED_VALUE"""),"Sale chưa cung cấp")</f>
        <v>Sale chưa cung cấp</v>
      </c>
      <c r="E13" s="265" t="str">
        <f>IFERROR(__xludf.DUMMYFUNCTION("""COMPUTED_VALUE"""),"TúPHN")</f>
        <v>TúPHN</v>
      </c>
      <c r="F13" s="265" t="str">
        <f>IFERROR(__xludf.DUMMYFUNCTION("""COMPUTED_VALUE"""),"Diamond")</f>
        <v>Diamond</v>
      </c>
      <c r="G13" s="265" t="str">
        <f>IFERROR(__xludf.DUMMYFUNCTION("""COMPUTED_VALUE"""),"Starter")</f>
        <v>Starter</v>
      </c>
      <c r="H13" s="265" t="str">
        <f>IFERROR(__xludf.DUMMYFUNCTION("""COMPUTED_VALUE"""),"Trả sau")</f>
        <v>Trả sau</v>
      </c>
      <c r="I13" s="265" t="str">
        <f>IFERROR(__xludf.DUMMYFUNCTION("""COMPUTED_VALUE"""),"API &amp; Portal")</f>
        <v>API &amp; Portal</v>
      </c>
      <c r="J13" s="265" t="str">
        <f>IFERROR(__xludf.DUMMYFUNCTION("""COMPUTED_VALUE"""),"API")</f>
        <v>API</v>
      </c>
      <c r="K13" s="265" t="str">
        <f>IFERROR(__xludf.DUMMYFUNCTION("""COMPUTED_VALUE"""),"LinhNTT1, YếnĐH")</f>
        <v>LinhNTT1, YếnĐH</v>
      </c>
    </row>
    <row r="14">
      <c r="A14" s="265" t="str">
        <f>IFERROR(__xludf.DUMMYFUNCTION("""COMPUTED_VALUE"""),"239")</f>
        <v>239</v>
      </c>
      <c r="B14" s="265" t="str">
        <f>IFERROR(__xludf.DUMMYFUNCTION("""COMPUTED_VALUE"""),"Hà Nội")</f>
        <v>Hà Nội</v>
      </c>
      <c r="C14" s="265" t="str">
        <f>IFERROR(__xludf.DUMMYFUNCTION("""COMPUTED_VALUE"""),"Locked")</f>
        <v>Locked</v>
      </c>
      <c r="D14" s="265" t="str">
        <f>IFERROR(__xludf.DUMMYFUNCTION("""COMPUTED_VALUE"""),"Sale chưa cung cấp")</f>
        <v>Sale chưa cung cấp</v>
      </c>
      <c r="E14" s="265" t="str">
        <f>IFERROR(__xludf.DUMMYFUNCTION("""COMPUTED_VALUE"""),"HangNT")</f>
        <v>HangNT</v>
      </c>
      <c r="F14" s="265" t="str">
        <f>IFERROR(__xludf.DUMMYFUNCTION("""COMPUTED_VALUE"""),"Bronze")</f>
        <v>Bronze</v>
      </c>
      <c r="G14" s="265" t="str">
        <f>IFERROR(__xludf.DUMMYFUNCTION("""COMPUTED_VALUE"""),"Enterprise")</f>
        <v>Enterprise</v>
      </c>
      <c r="H14" s="265" t="str">
        <f>IFERROR(__xludf.DUMMYFUNCTION("""COMPUTED_VALUE"""),"(Chưa recheck)")</f>
        <v>(Chưa recheck)</v>
      </c>
      <c r="I14" s="265" t="str">
        <f>IFERROR(__xludf.DUMMYFUNCTION("""COMPUTED_VALUE"""),"(Chưa recheck)")</f>
        <v>(Chưa recheck)</v>
      </c>
      <c r="J14" s="265" t="str">
        <f>IFERROR(__xludf.DUMMYFUNCTION("""COMPUTED_VALUE"""),"API")</f>
        <v>API</v>
      </c>
      <c r="K14" s="265" t="str">
        <f>IFERROR(__xludf.DUMMYFUNCTION("""COMPUTED_VALUE"""),"AnhNM")</f>
        <v>AnhNM</v>
      </c>
    </row>
    <row r="15">
      <c r="A15" s="265" t="str">
        <f>IFERROR(__xludf.DUMMYFUNCTION("""COMPUTED_VALUE"""),"247")</f>
        <v>247</v>
      </c>
      <c r="B15" s="265" t="str">
        <f>IFERROR(__xludf.DUMMYFUNCTION("""COMPUTED_VALUE"""),"Đà Nẵng")</f>
        <v>Đà Nẵng</v>
      </c>
      <c r="C15" s="265" t="str">
        <f>IFERROR(__xludf.DUMMYFUNCTION("""COMPUTED_VALUE"""),"Active")</f>
        <v>Active</v>
      </c>
      <c r="D15" s="265" t="str">
        <f>IFERROR(__xludf.DUMMYFUNCTION("""COMPUTED_VALUE"""),"Sale chưa cung cấp")</f>
        <v>Sale chưa cung cấp</v>
      </c>
      <c r="E15" s="265" t="str">
        <f>IFERROR(__xludf.DUMMYFUNCTION("""COMPUTED_VALUE"""),"AnhNM")</f>
        <v>AnhNM</v>
      </c>
      <c r="F15" s="265" t="str">
        <f>IFERROR(__xludf.DUMMYFUNCTION("""COMPUTED_VALUE"""),"Bronze")</f>
        <v>Bronze</v>
      </c>
      <c r="G15" s="265" t="str">
        <f>IFERROR(__xludf.DUMMYFUNCTION("""COMPUTED_VALUE"""),"Starter")</f>
        <v>Starter</v>
      </c>
      <c r="H15" s="265" t="str">
        <f>IFERROR(__xludf.DUMMYFUNCTION("""COMPUTED_VALUE"""),"Trả sau")</f>
        <v>Trả sau</v>
      </c>
      <c r="I15" s="265" t="str">
        <f>IFERROR(__xludf.DUMMYFUNCTION("""COMPUTED_VALUE"""),"API &amp; Portal")</f>
        <v>API &amp; Portal</v>
      </c>
      <c r="J15" s="265" t="str">
        <f>IFERROR(__xludf.DUMMYFUNCTION("""COMPUTED_VALUE"""),"File Excel")</f>
        <v>File Excel</v>
      </c>
      <c r="K15" s="265" t="str">
        <f>IFERROR(__xludf.DUMMYFUNCTION("""COMPUTED_VALUE"""),"DungPL")</f>
        <v>DungPL</v>
      </c>
    </row>
    <row r="16">
      <c r="A16" s="265" t="str">
        <f>IFERROR(__xludf.DUMMYFUNCTION("""COMPUTED_VALUE"""),"247")</f>
        <v>247</v>
      </c>
      <c r="B16" s="265" t="str">
        <f>IFERROR(__xludf.DUMMYFUNCTION("""COMPUTED_VALUE"""),"Đà Nẵng")</f>
        <v>Đà Nẵng</v>
      </c>
      <c r="C16" s="265" t="str">
        <f>IFERROR(__xludf.DUMMYFUNCTION("""COMPUTED_VALUE"""),"Active")</f>
        <v>Active</v>
      </c>
      <c r="D16" s="265" t="str">
        <f>IFERROR(__xludf.DUMMYFUNCTION("""COMPUTED_VALUE"""),"Sale chưa cung cấp")</f>
        <v>Sale chưa cung cấp</v>
      </c>
      <c r="E16" s="265" t="str">
        <f>IFERROR(__xludf.DUMMYFUNCTION("""COMPUTED_VALUE"""),"AnhNM")</f>
        <v>AnhNM</v>
      </c>
      <c r="F16" s="265" t="str">
        <f>IFERROR(__xludf.DUMMYFUNCTION("""COMPUTED_VALUE"""),"Bronze")</f>
        <v>Bronze</v>
      </c>
      <c r="G16" s="265" t="str">
        <f>IFERROR(__xludf.DUMMYFUNCTION("""COMPUTED_VALUE"""),"Starter")</f>
        <v>Starter</v>
      </c>
      <c r="H16" s="265" t="str">
        <f>IFERROR(__xludf.DUMMYFUNCTION("""COMPUTED_VALUE"""),"Trả sau")</f>
        <v>Trả sau</v>
      </c>
      <c r="I16" s="265" t="str">
        <f>IFERROR(__xludf.DUMMYFUNCTION("""COMPUTED_VALUE"""),"API &amp; Portal")</f>
        <v>API &amp; Portal</v>
      </c>
      <c r="J16" s="265" t="str">
        <f>IFERROR(__xludf.DUMMYFUNCTION("""COMPUTED_VALUE"""),"API")</f>
        <v>API</v>
      </c>
      <c r="K16" s="265" t="str">
        <f>IFERROR(__xludf.DUMMYFUNCTION("""COMPUTED_VALUE"""),"DungPL")</f>
        <v>DungPL</v>
      </c>
    </row>
    <row r="17">
      <c r="A17" s="265" t="str">
        <f>IFERROR(__xludf.DUMMYFUNCTION("""COMPUTED_VALUE"""),"264")</f>
        <v>264</v>
      </c>
      <c r="B17" s="265" t="str">
        <f>IFERROR(__xludf.DUMMYFUNCTION("""COMPUTED_VALUE"""),"Hà Nội")</f>
        <v>Hà Nội</v>
      </c>
      <c r="C17" s="265" t="str">
        <f>IFERROR(__xludf.DUMMYFUNCTION("""COMPUTED_VALUE"""),"Locked")</f>
        <v>Locked</v>
      </c>
      <c r="D17" s="265" t="str">
        <f>IFERROR(__xludf.DUMMYFUNCTION("""COMPUTED_VALUE"""),"Sale chưa cung cấp")</f>
        <v>Sale chưa cung cấp</v>
      </c>
      <c r="E17" s="265" t="str">
        <f>IFERROR(__xludf.DUMMYFUNCTION("""COMPUTED_VALUE"""),"PhươngDTB")</f>
        <v>PhươngDTB</v>
      </c>
      <c r="F17" s="265" t="str">
        <f>IFERROR(__xludf.DUMMYFUNCTION("""COMPUTED_VALUE"""),"Sale chưa cung cấp")</f>
        <v>Sale chưa cung cấp</v>
      </c>
      <c r="G17" s="265" t="str">
        <f>IFERROR(__xludf.DUMMYFUNCTION("""COMPUTED_VALUE"""),"Enterprise")</f>
        <v>Enterprise</v>
      </c>
      <c r="H17" s="265" t="str">
        <f>IFERROR(__xludf.DUMMYFUNCTION("""COMPUTED_VALUE"""),"Trial")</f>
        <v>Trial</v>
      </c>
      <c r="I17" s="265" t="str">
        <f>IFERROR(__xludf.DUMMYFUNCTION("""COMPUTED_VALUE"""),"(Không recheck)")</f>
        <v>(Không recheck)</v>
      </c>
      <c r="J17" s="265" t="str">
        <f>IFERROR(__xludf.DUMMYFUNCTION("""COMPUTED_VALUE"""),"(Không recheck)")</f>
        <v>(Không recheck)</v>
      </c>
      <c r="K17" s="265" t="str">
        <f>IFERROR(__xludf.DUMMYFUNCTION("""COMPUTED_VALUE"""),"(Không recheck)")</f>
        <v>(Không recheck)</v>
      </c>
    </row>
    <row r="18">
      <c r="A18" s="265" t="str">
        <f>IFERROR(__xludf.DUMMYFUNCTION("""COMPUTED_VALUE"""),"248")</f>
        <v>248</v>
      </c>
      <c r="B18" s="265" t="str">
        <f>IFERROR(__xludf.DUMMYFUNCTION("""COMPUTED_VALUE"""),"Sài Gòn")</f>
        <v>Sài Gòn</v>
      </c>
      <c r="C18" s="265" t="str">
        <f>IFERROR(__xludf.DUMMYFUNCTION("""COMPUTED_VALUE"""),"Active")</f>
        <v>Active</v>
      </c>
      <c r="D18" s="265" t="str">
        <f>IFERROR(__xludf.DUMMYFUNCTION("""COMPUTED_VALUE"""),"Sale chưa cung cấp")</f>
        <v>Sale chưa cung cấp</v>
      </c>
      <c r="E18" s="265" t="str">
        <f>IFERROR(__xludf.DUMMYFUNCTION("""COMPUTED_VALUE"""),"TúPHN")</f>
        <v>TúPHN</v>
      </c>
      <c r="F18" s="265" t="str">
        <f>IFERROR(__xludf.DUMMYFUNCTION("""COMPUTED_VALUE"""),"Silver")</f>
        <v>Silver</v>
      </c>
      <c r="G18" s="265" t="str">
        <f>IFERROR(__xludf.DUMMYFUNCTION("""COMPUTED_VALUE"""),"Enterprise")</f>
        <v>Enterprise</v>
      </c>
      <c r="H18" s="265" t="str">
        <f>IFERROR(__xludf.DUMMYFUNCTION("""COMPUTED_VALUE"""),"Trả sau")</f>
        <v>Trả sau</v>
      </c>
      <c r="I18" s="265" t="str">
        <f>IFERROR(__xludf.DUMMYFUNCTION("""COMPUTED_VALUE"""),"Portal")</f>
        <v>Portal</v>
      </c>
      <c r="J18" s="265" t="str">
        <f>IFERROR(__xludf.DUMMYFUNCTION("""COMPUTED_VALUE"""),"File Excel")</f>
        <v>File Excel</v>
      </c>
      <c r="K18" s="265" t="str">
        <f>IFERROR(__xludf.DUMMYFUNCTION("""COMPUTED_VALUE"""),"LinhNTT1")</f>
        <v>LinhNTT1</v>
      </c>
    </row>
    <row r="19">
      <c r="A19" s="265" t="str">
        <f>IFERROR(__xludf.DUMMYFUNCTION("""COMPUTED_VALUE"""),"300")</f>
        <v>300</v>
      </c>
      <c r="B19" s="265" t="str">
        <f>IFERROR(__xludf.DUMMYFUNCTION("""COMPUTED_VALUE"""),"Hà Nội")</f>
        <v>Hà Nội</v>
      </c>
      <c r="C19" s="265" t="str">
        <f>IFERROR(__xludf.DUMMYFUNCTION("""COMPUTED_VALUE"""),"Active")</f>
        <v>Active</v>
      </c>
      <c r="D19" s="265" t="str">
        <f>IFERROR(__xludf.DUMMYFUNCTION("""COMPUTED_VALUE"""),"Sale chưa cung cấp")</f>
        <v>Sale chưa cung cấp</v>
      </c>
      <c r="E19" s="265" t="str">
        <f>IFERROR(__xludf.DUMMYFUNCTION("""COMPUTED_VALUE"""),"TùngLD")</f>
        <v>TùngLD</v>
      </c>
      <c r="F19" s="265" t="str">
        <f>IFERROR(__xludf.DUMMYFUNCTION("""COMPUTED_VALUE"""),"Gold")</f>
        <v>Gold</v>
      </c>
      <c r="G19" s="265" t="str">
        <f>IFERROR(__xludf.DUMMYFUNCTION("""COMPUTED_VALUE"""),"Starter")</f>
        <v>Starter</v>
      </c>
      <c r="H19" s="265" t="str">
        <f>IFERROR(__xludf.DUMMYFUNCTION("""COMPUTED_VALUE"""),"Trả sau")</f>
        <v>Trả sau</v>
      </c>
      <c r="I19" s="265" t="str">
        <f>IFERROR(__xludf.DUMMYFUNCTION("""COMPUTED_VALUE"""),"API")</f>
        <v>API</v>
      </c>
      <c r="J19" s="265" t="str">
        <f>IFERROR(__xludf.DUMMYFUNCTION("""COMPUTED_VALUE"""),"API")</f>
        <v>API</v>
      </c>
      <c r="K19" s="265" t="str">
        <f>IFERROR(__xludf.DUMMYFUNCTION("""COMPUTED_VALUE"""),"LinhNTT1")</f>
        <v>LinhNTT1</v>
      </c>
    </row>
    <row r="20">
      <c r="A20" s="265" t="str">
        <f>IFERROR(__xludf.DUMMYFUNCTION("""COMPUTED_VALUE"""),"301")</f>
        <v>301</v>
      </c>
      <c r="B20" s="265" t="str">
        <f>IFERROR(__xludf.DUMMYFUNCTION("""COMPUTED_VALUE"""),"Đà Nẵng")</f>
        <v>Đà Nẵng</v>
      </c>
      <c r="C20" s="265" t="str">
        <f>IFERROR(__xludf.DUMMYFUNCTION("""COMPUTED_VALUE"""),"Locked")</f>
        <v>Locked</v>
      </c>
      <c r="D20" s="265" t="str">
        <f>IFERROR(__xludf.DUMMYFUNCTION("""COMPUTED_VALUE"""),"Sale chưa cung cấp")</f>
        <v>Sale chưa cung cấp</v>
      </c>
      <c r="E20" s="265" t="str">
        <f>IFERROR(__xludf.DUMMYFUNCTION("""COMPUTED_VALUE"""),"PhươngDTB")</f>
        <v>PhươngDTB</v>
      </c>
      <c r="F20" s="265" t="str">
        <f>IFERROR(__xludf.DUMMYFUNCTION("""COMPUTED_VALUE"""),"Bronze")</f>
        <v>Bronze</v>
      </c>
      <c r="G20" s="265" t="str">
        <f>IFERROR(__xludf.DUMMYFUNCTION("""COMPUTED_VALUE"""),"Enterprise")</f>
        <v>Enterprise</v>
      </c>
      <c r="H20" s="265" t="str">
        <f>IFERROR(__xludf.DUMMYFUNCTION("""COMPUTED_VALUE"""),"(Chưa recheck)")</f>
        <v>(Chưa recheck)</v>
      </c>
      <c r="I20" s="265" t="str">
        <f>IFERROR(__xludf.DUMMYFUNCTION("""COMPUTED_VALUE"""),"(Chưa recheck)")</f>
        <v>(Chưa recheck)</v>
      </c>
      <c r="J20" s="265" t="str">
        <f>IFERROR(__xludf.DUMMYFUNCTION("""COMPUTED_VALUE"""),"(Chưa recheck)")</f>
        <v>(Chưa recheck)</v>
      </c>
      <c r="K20" s="265" t="str">
        <f>IFERROR(__xludf.DUMMYFUNCTION("""COMPUTED_VALUE"""),"(Chưa recheck)")</f>
        <v>(Chưa recheck)</v>
      </c>
    </row>
    <row r="21">
      <c r="A21" s="265" t="str">
        <f>IFERROR(__xludf.DUMMYFUNCTION("""COMPUTED_VALUE"""),"306")</f>
        <v>306</v>
      </c>
      <c r="B21" s="265" t="str">
        <f>IFERROR(__xludf.DUMMYFUNCTION("""COMPUTED_VALUE"""),"Hà Nội")</f>
        <v>Hà Nội</v>
      </c>
      <c r="C21" s="265" t="str">
        <f>IFERROR(__xludf.DUMMYFUNCTION("""COMPUTED_VALUE"""),"Active")</f>
        <v>Active</v>
      </c>
      <c r="D21" s="265" t="str">
        <f>IFERROR(__xludf.DUMMYFUNCTION("""COMPUTED_VALUE"""),"Sale chưa cung cấp")</f>
        <v>Sale chưa cung cấp</v>
      </c>
      <c r="E21" s="265" t="str">
        <f>IFERROR(__xludf.DUMMYFUNCTION("""COMPUTED_VALUE"""),"TùngLD")</f>
        <v>TùngLD</v>
      </c>
      <c r="F21" s="265" t="str">
        <f>IFERROR(__xludf.DUMMYFUNCTION("""COMPUTED_VALUE"""),"Bronze")</f>
        <v>Bronze</v>
      </c>
      <c r="G21" s="265" t="str">
        <f>IFERROR(__xludf.DUMMYFUNCTION("""COMPUTED_VALUE"""),"Starter")</f>
        <v>Starter</v>
      </c>
      <c r="H21" s="265" t="str">
        <f>IFERROR(__xludf.DUMMYFUNCTION("""COMPUTED_VALUE"""),"Trả sau")</f>
        <v>Trả sau</v>
      </c>
      <c r="I21" s="265" t="str">
        <f>IFERROR(__xludf.DUMMYFUNCTION("""COMPUTED_VALUE"""),"API")</f>
        <v>API</v>
      </c>
      <c r="J21" s="265" t="str">
        <f>IFERROR(__xludf.DUMMYFUNCTION("""COMPUTED_VALUE"""),"API")</f>
        <v>API</v>
      </c>
      <c r="K21" s="265" t="str">
        <f>IFERROR(__xludf.DUMMYFUNCTION("""COMPUTED_VALUE"""),"LinhNTT1")</f>
        <v>LinhNTT1</v>
      </c>
    </row>
    <row r="22">
      <c r="A22" s="265" t="str">
        <f>IFERROR(__xludf.DUMMYFUNCTION("""COMPUTED_VALUE"""),"312")</f>
        <v>312</v>
      </c>
      <c r="B22" s="265" t="str">
        <f>IFERROR(__xludf.DUMMYFUNCTION("""COMPUTED_VALUE"""),"Sài Gòn")</f>
        <v>Sài Gòn</v>
      </c>
      <c r="C22" s="265" t="str">
        <f>IFERROR(__xludf.DUMMYFUNCTION("""COMPUTED_VALUE"""),"Active")</f>
        <v>Active</v>
      </c>
      <c r="D22" s="265" t="str">
        <f>IFERROR(__xludf.DUMMYFUNCTION("""COMPUTED_VALUE"""),"Trang sức")</f>
        <v>Trang sức</v>
      </c>
      <c r="E22" s="265" t="str">
        <f>IFERROR(__xludf.DUMMYFUNCTION("""COMPUTED_VALUE"""),"AnhNM")</f>
        <v>AnhNM</v>
      </c>
      <c r="F22" s="265" t="str">
        <f>IFERROR(__xludf.DUMMYFUNCTION("""COMPUTED_VALUE"""),"Silver")</f>
        <v>Silver</v>
      </c>
      <c r="G22" s="265" t="str">
        <f>IFERROR(__xludf.DUMMYFUNCTION("""COMPUTED_VALUE"""),"Starter")</f>
        <v>Starter</v>
      </c>
      <c r="H22" s="265" t="str">
        <f>IFERROR(__xludf.DUMMYFUNCTION("""COMPUTED_VALUE"""),"Trả sau")</f>
        <v>Trả sau</v>
      </c>
      <c r="I22" s="265" t="str">
        <f>IFERROR(__xludf.DUMMYFUNCTION("""COMPUTED_VALUE"""),"Portal")</f>
        <v>Portal</v>
      </c>
      <c r="J22" s="265" t="str">
        <f>IFERROR(__xludf.DUMMYFUNCTION("""COMPUTED_VALUE"""),"File Excel")</f>
        <v>File Excel</v>
      </c>
      <c r="K22" s="265" t="str">
        <f>IFERROR(__xludf.DUMMYFUNCTION("""COMPUTED_VALUE"""),"LinhNTT1")</f>
        <v>LinhNTT1</v>
      </c>
    </row>
    <row r="23">
      <c r="A23" s="265" t="str">
        <f>IFERROR(__xludf.DUMMYFUNCTION("""COMPUTED_VALUE"""),"314")</f>
        <v>314</v>
      </c>
      <c r="B23" s="265" t="str">
        <f>IFERROR(__xludf.DUMMYFUNCTION("""COMPUTED_VALUE"""),"Sài Gòn")</f>
        <v>Sài Gòn</v>
      </c>
      <c r="C23" s="265" t="str">
        <f>IFERROR(__xludf.DUMMYFUNCTION("""COMPUTED_VALUE"""),"Locked")</f>
        <v>Locked</v>
      </c>
      <c r="D23" s="265" t="str">
        <f>IFERROR(__xludf.DUMMYFUNCTION("""COMPUTED_VALUE"""),"Sale chưa cung cấp")</f>
        <v>Sale chưa cung cấp</v>
      </c>
      <c r="E23" s="265" t="str">
        <f>IFERROR(__xludf.DUMMYFUNCTION("""COMPUTED_VALUE"""),"PhươngDTB")</f>
        <v>PhươngDTB</v>
      </c>
      <c r="F23" s="265" t="str">
        <f>IFERROR(__xludf.DUMMYFUNCTION("""COMPUTED_VALUE"""),"Sale chưa cung cấp")</f>
        <v>Sale chưa cung cấp</v>
      </c>
      <c r="G23" s="265" t="str">
        <f>IFERROR(__xludf.DUMMYFUNCTION("""COMPUTED_VALUE"""),"API")</f>
        <v>API</v>
      </c>
      <c r="H23" s="265" t="str">
        <f>IFERROR(__xludf.DUMMYFUNCTION("""COMPUTED_VALUE"""),"(Chưa recheck)")</f>
        <v>(Chưa recheck)</v>
      </c>
      <c r="I23" s="265" t="str">
        <f>IFERROR(__xludf.DUMMYFUNCTION("""COMPUTED_VALUE"""),"(Chưa recheck)")</f>
        <v>(Chưa recheck)</v>
      </c>
      <c r="J23" s="265" t="str">
        <f>IFERROR(__xludf.DUMMYFUNCTION("""COMPUTED_VALUE"""),"(Chưa recheck)")</f>
        <v>(Chưa recheck)</v>
      </c>
      <c r="K23" s="265" t="str">
        <f>IFERROR(__xludf.DUMMYFUNCTION("""COMPUTED_VALUE"""),"(Chưa recheck)")</f>
        <v>(Chưa recheck)</v>
      </c>
    </row>
    <row r="24">
      <c r="A24" s="265" t="str">
        <f>IFERROR(__xludf.DUMMYFUNCTION("""COMPUTED_VALUE"""),"321")</f>
        <v>321</v>
      </c>
      <c r="B24" s="265" t="str">
        <f>IFERROR(__xludf.DUMMYFUNCTION("""COMPUTED_VALUE"""),"Sài Gòn")</f>
        <v>Sài Gòn</v>
      </c>
      <c r="C24" s="265" t="str">
        <f>IFERROR(__xludf.DUMMYFUNCTION("""COMPUTED_VALUE"""),"Locked")</f>
        <v>Locked</v>
      </c>
      <c r="D24" s="265" t="str">
        <f>IFERROR(__xludf.DUMMYFUNCTION("""COMPUTED_VALUE"""),"Sale chưa cung cấp")</f>
        <v>Sale chưa cung cấp</v>
      </c>
      <c r="E24" s="265" t="str">
        <f>IFERROR(__xludf.DUMMYFUNCTION("""COMPUTED_VALUE"""),"HoaNTM")</f>
        <v>HoaNTM</v>
      </c>
      <c r="F24" s="265" t="str">
        <f>IFERROR(__xludf.DUMMYFUNCTION("""COMPUTED_VALUE"""),"Bronze")</f>
        <v>Bronze</v>
      </c>
      <c r="G24" s="265" t="str">
        <f>IFERROR(__xludf.DUMMYFUNCTION("""COMPUTED_VALUE"""),"API")</f>
        <v>API</v>
      </c>
      <c r="H24" s="265" t="str">
        <f>IFERROR(__xludf.DUMMYFUNCTION("""COMPUTED_VALUE"""),"(Chưa recheck)")</f>
        <v>(Chưa recheck)</v>
      </c>
      <c r="I24" s="265" t="str">
        <f>IFERROR(__xludf.DUMMYFUNCTION("""COMPUTED_VALUE"""),"(Chưa recheck)")</f>
        <v>(Chưa recheck)</v>
      </c>
      <c r="J24" s="265" t="str">
        <f>IFERROR(__xludf.DUMMYFUNCTION("""COMPUTED_VALUE"""),"(Chưa recheck)")</f>
        <v>(Chưa recheck)</v>
      </c>
      <c r="K24" s="265" t="str">
        <f>IFERROR(__xludf.DUMMYFUNCTION("""COMPUTED_VALUE"""),"AnhNM")</f>
        <v>AnhNM</v>
      </c>
    </row>
    <row r="25">
      <c r="A25" s="265" t="str">
        <f>IFERROR(__xludf.DUMMYFUNCTION("""COMPUTED_VALUE"""),"None 1")</f>
        <v>None 1</v>
      </c>
      <c r="B25" s="265" t="str">
        <f>IFERROR(__xludf.DUMMYFUNCTION("""COMPUTED_VALUE"""),"Hà Nội")</f>
        <v>Hà Nội</v>
      </c>
      <c r="C25" s="265" t="str">
        <f>IFERROR(__xludf.DUMMYFUNCTION("""COMPUTED_VALUE"""),"Locked")</f>
        <v>Locked</v>
      </c>
      <c r="D25" s="265" t="str">
        <f>IFERROR(__xludf.DUMMYFUNCTION("""COMPUTED_VALUE"""),"Sale chưa cung cấp")</f>
        <v>Sale chưa cung cấp</v>
      </c>
      <c r="E25" s="265" t="str">
        <f>IFERROR(__xludf.DUMMYFUNCTION("""COMPUTED_VALUE"""),"HangNT")</f>
        <v>HangNT</v>
      </c>
      <c r="F25" s="265" t="str">
        <f>IFERROR(__xludf.DUMMYFUNCTION("""COMPUTED_VALUE"""),"Sale chưa cung cấp")</f>
        <v>Sale chưa cung cấp</v>
      </c>
      <c r="G25" s="265" t="str">
        <f>IFERROR(__xludf.DUMMYFUNCTION("""COMPUTED_VALUE"""),"GAPONE HUBSPOT")</f>
        <v>GAPONE HUBSPOT</v>
      </c>
      <c r="H25" s="265" t="str">
        <f>IFERROR(__xludf.DUMMYFUNCTION("""COMPUTED_VALUE"""),"(Chưa recheck)")</f>
        <v>(Chưa recheck)</v>
      </c>
      <c r="I25" s="265" t="str">
        <f>IFERROR(__xludf.DUMMYFUNCTION("""COMPUTED_VALUE"""),"(Chưa recheck)")</f>
        <v>(Chưa recheck)</v>
      </c>
      <c r="J25" s="265" t="str">
        <f>IFERROR(__xludf.DUMMYFUNCTION("""COMPUTED_VALUE"""),"API")</f>
        <v>API</v>
      </c>
      <c r="K25" s="265" t="str">
        <f>IFERROR(__xludf.DUMMYFUNCTION("""COMPUTED_VALUE"""),"(Chưa recheck)")</f>
        <v>(Chưa recheck)</v>
      </c>
    </row>
    <row r="26">
      <c r="A26" s="265" t="str">
        <f>IFERROR(__xludf.DUMMYFUNCTION("""COMPUTED_VALUE"""),"324")</f>
        <v>324</v>
      </c>
      <c r="B26" s="265" t="str">
        <f>IFERROR(__xludf.DUMMYFUNCTION("""COMPUTED_VALUE"""),"Hà Nội")</f>
        <v>Hà Nội</v>
      </c>
      <c r="C26" s="265" t="str">
        <f>IFERROR(__xludf.DUMMYFUNCTION("""COMPUTED_VALUE"""),"Active")</f>
        <v>Active</v>
      </c>
      <c r="D26" s="265" t="str">
        <f>IFERROR(__xludf.DUMMYFUNCTION("""COMPUTED_VALUE"""),"Sale chưa cung cấp")</f>
        <v>Sale chưa cung cấp</v>
      </c>
      <c r="E26" s="265" t="str">
        <f>IFERROR(__xludf.DUMMYFUNCTION("""COMPUTED_VALUE"""),"TúPHN")</f>
        <v>TúPHN</v>
      </c>
      <c r="F26" s="265" t="str">
        <f>IFERROR(__xludf.DUMMYFUNCTION("""COMPUTED_VALUE"""),"Gold")</f>
        <v>Gold</v>
      </c>
      <c r="G26" s="265" t="str">
        <f>IFERROR(__xludf.DUMMYFUNCTION("""COMPUTED_VALUE"""),"Enterprise")</f>
        <v>Enterprise</v>
      </c>
      <c r="H26" s="265" t="str">
        <f>IFERROR(__xludf.DUMMYFUNCTION("""COMPUTED_VALUE"""),"Trả sau")</f>
        <v>Trả sau</v>
      </c>
      <c r="I26" s="265" t="str">
        <f>IFERROR(__xludf.DUMMYFUNCTION("""COMPUTED_VALUE"""),"API")</f>
        <v>API</v>
      </c>
      <c r="J26" s="265" t="str">
        <f>IFERROR(__xludf.DUMMYFUNCTION("""COMPUTED_VALUE"""),"API")</f>
        <v>API</v>
      </c>
      <c r="K26" s="265" t="str">
        <f>IFERROR(__xludf.DUMMYFUNCTION("""COMPUTED_VALUE"""),"YếnĐH")</f>
        <v>YếnĐH</v>
      </c>
    </row>
    <row r="27">
      <c r="A27" s="265" t="str">
        <f>IFERROR(__xludf.DUMMYFUNCTION("""COMPUTED_VALUE"""),"327")</f>
        <v>327</v>
      </c>
      <c r="B27" s="265" t="str">
        <f>IFERROR(__xludf.DUMMYFUNCTION("""COMPUTED_VALUE"""),"Đà Nẵng")</f>
        <v>Đà Nẵng</v>
      </c>
      <c r="C27" s="265" t="str">
        <f>IFERROR(__xludf.DUMMYFUNCTION("""COMPUTED_VALUE"""),"Active")</f>
        <v>Active</v>
      </c>
      <c r="D27" s="265" t="str">
        <f>IFERROR(__xludf.DUMMYFUNCTION("""COMPUTED_VALUE"""),"Sale chưa cung cấp")</f>
        <v>Sale chưa cung cấp</v>
      </c>
      <c r="E27" s="265" t="str">
        <f>IFERROR(__xludf.DUMMYFUNCTION("""COMPUTED_VALUE"""),"TùngLD")</f>
        <v>TùngLD</v>
      </c>
      <c r="F27" s="265" t="str">
        <f>IFERROR(__xludf.DUMMYFUNCTION("""COMPUTED_VALUE"""),"Silver")</f>
        <v>Silver</v>
      </c>
      <c r="G27" s="265" t="str">
        <f>IFERROR(__xludf.DUMMYFUNCTION("""COMPUTED_VALUE"""),"Starter")</f>
        <v>Starter</v>
      </c>
      <c r="H27" s="265" t="str">
        <f>IFERROR(__xludf.DUMMYFUNCTION("""COMPUTED_VALUE"""),"Trả trước")</f>
        <v>Trả trước</v>
      </c>
      <c r="I27" s="265" t="str">
        <f>IFERROR(__xludf.DUMMYFUNCTION("""COMPUTED_VALUE"""),"API")</f>
        <v>API</v>
      </c>
      <c r="J27" s="265" t="str">
        <f>IFERROR(__xludf.DUMMYFUNCTION("""COMPUTED_VALUE"""),"API")</f>
        <v>API</v>
      </c>
      <c r="K27" s="265" t="str">
        <f>IFERROR(__xludf.DUMMYFUNCTION("""COMPUTED_VALUE"""),"DungPL")</f>
        <v>DungPL</v>
      </c>
    </row>
    <row r="28">
      <c r="A28" s="265" t="str">
        <f>IFERROR(__xludf.DUMMYFUNCTION("""COMPUTED_VALUE"""),"None 3")</f>
        <v>None 3</v>
      </c>
      <c r="B28" s="265" t="str">
        <f>IFERROR(__xludf.DUMMYFUNCTION("""COMPUTED_VALUE"""),"Hà Nội")</f>
        <v>Hà Nội</v>
      </c>
      <c r="C28" s="265" t="str">
        <f>IFERROR(__xludf.DUMMYFUNCTION("""COMPUTED_VALUE"""),"Locked")</f>
        <v>Locked</v>
      </c>
      <c r="D28" s="265" t="str">
        <f>IFERROR(__xludf.DUMMYFUNCTION("""COMPUTED_VALUE"""),"Viễn thông")</f>
        <v>Viễn thông</v>
      </c>
      <c r="E28" s="265" t="str">
        <f>IFERROR(__xludf.DUMMYFUNCTION("""COMPUTED_VALUE"""),"TúPHN")</f>
        <v>TúPHN</v>
      </c>
      <c r="F28" s="265" t="str">
        <f>IFERROR(__xludf.DUMMYFUNCTION("""COMPUTED_VALUE"""),"Silver")</f>
        <v>Silver</v>
      </c>
      <c r="G28" s="265" t="str">
        <f>IFERROR(__xludf.DUMMYFUNCTION("""COMPUTED_VALUE"""),"None")</f>
        <v>None</v>
      </c>
      <c r="H28" s="265" t="str">
        <f>IFERROR(__xludf.DUMMYFUNCTION("""COMPUTED_VALUE"""),"Trả sau")</f>
        <v>Trả sau</v>
      </c>
      <c r="I28" s="265" t="str">
        <f>IFERROR(__xludf.DUMMYFUNCTION("""COMPUTED_VALUE"""),"API")</f>
        <v>API</v>
      </c>
      <c r="J28" s="265" t="str">
        <f>IFERROR(__xludf.DUMMYFUNCTION("""COMPUTED_VALUE"""),"ZCA gửi ZNS")</f>
        <v>ZCA gửi ZNS</v>
      </c>
      <c r="K28" s="265" t="str">
        <f>IFERROR(__xludf.DUMMYFUNCTION("""COMPUTED_VALUE"""),"AnhNM")</f>
        <v>AnhNM</v>
      </c>
    </row>
    <row r="29">
      <c r="A29" s="265" t="str">
        <f>IFERROR(__xludf.DUMMYFUNCTION("""COMPUTED_VALUE"""),"331")</f>
        <v>331</v>
      </c>
      <c r="B29" s="265" t="str">
        <f>IFERROR(__xludf.DUMMYFUNCTION("""COMPUTED_VALUE"""),"Hà Nội")</f>
        <v>Hà Nội</v>
      </c>
      <c r="C29" s="265" t="str">
        <f>IFERROR(__xludf.DUMMYFUNCTION("""COMPUTED_VALUE"""),"Active")</f>
        <v>Active</v>
      </c>
      <c r="D29" s="265" t="str">
        <f>IFERROR(__xludf.DUMMYFUNCTION("""COMPUTED_VALUE"""),"Sale chưa cung cấp")</f>
        <v>Sale chưa cung cấp</v>
      </c>
      <c r="E29" s="265" t="str">
        <f>IFERROR(__xludf.DUMMYFUNCTION("""COMPUTED_VALUE"""),"TúPHN")</f>
        <v>TúPHN</v>
      </c>
      <c r="F29" s="265" t="str">
        <f>IFERROR(__xludf.DUMMYFUNCTION("""COMPUTED_VALUE"""),"Diamond")</f>
        <v>Diamond</v>
      </c>
      <c r="G29" s="265" t="str">
        <f>IFERROR(__xludf.DUMMYFUNCTION("""COMPUTED_VALUE"""),"Enterprise")</f>
        <v>Enterprise</v>
      </c>
      <c r="H29" s="265" t="str">
        <f>IFERROR(__xludf.DUMMYFUNCTION("""COMPUTED_VALUE"""),"Trả sau")</f>
        <v>Trả sau</v>
      </c>
      <c r="I29" s="265" t="str">
        <f>IFERROR(__xludf.DUMMYFUNCTION("""COMPUTED_VALUE"""),"API &amp; Portal")</f>
        <v>API &amp; Portal</v>
      </c>
      <c r="J29" s="265" t="str">
        <f>IFERROR(__xludf.DUMMYFUNCTION("""COMPUTED_VALUE"""),"API")</f>
        <v>API</v>
      </c>
      <c r="K29" s="265" t="str">
        <f>IFERROR(__xludf.DUMMYFUNCTION("""COMPUTED_VALUE"""),"DungPL, DungVT")</f>
        <v>DungPL, DungVT</v>
      </c>
    </row>
    <row r="30">
      <c r="A30" s="265" t="str">
        <f>IFERROR(__xludf.DUMMYFUNCTION("""COMPUTED_VALUE"""),"332")</f>
        <v>332</v>
      </c>
      <c r="B30" s="265" t="str">
        <f>IFERROR(__xludf.DUMMYFUNCTION("""COMPUTED_VALUE"""),"Hà Nội")</f>
        <v>Hà Nội</v>
      </c>
      <c r="C30" s="265" t="str">
        <f>IFERROR(__xludf.DUMMYFUNCTION("""COMPUTED_VALUE"""),"Locked")</f>
        <v>Locked</v>
      </c>
      <c r="D30" s="265" t="str">
        <f>IFERROR(__xludf.DUMMYFUNCTION("""COMPUTED_VALUE"""),"Sale chưa cung cấp")</f>
        <v>Sale chưa cung cấp</v>
      </c>
      <c r="E30" s="265" t="str">
        <f>IFERROR(__xludf.DUMMYFUNCTION("""COMPUTED_VALUE"""),"PhươngDTB")</f>
        <v>PhươngDTB</v>
      </c>
      <c r="F30" s="265" t="str">
        <f>IFERROR(__xludf.DUMMYFUNCTION("""COMPUTED_VALUE"""),"Sale chưa cung cấp")</f>
        <v>Sale chưa cung cấp</v>
      </c>
      <c r="G30" s="265" t="str">
        <f>IFERROR(__xludf.DUMMYFUNCTION("""COMPUTED_VALUE"""),"Enterprise")</f>
        <v>Enterprise</v>
      </c>
      <c r="H30" s="265" t="str">
        <f>IFERROR(__xludf.DUMMYFUNCTION("""COMPUTED_VALUE"""),"Trial")</f>
        <v>Trial</v>
      </c>
      <c r="I30" s="265" t="str">
        <f>IFERROR(__xludf.DUMMYFUNCTION("""COMPUTED_VALUE"""),"(Chưa recheck)")</f>
        <v>(Chưa recheck)</v>
      </c>
      <c r="J30" s="265" t="str">
        <f>IFERROR(__xludf.DUMMYFUNCTION("""COMPUTED_VALUE"""),"File Excel")</f>
        <v>File Excel</v>
      </c>
      <c r="K30" s="265" t="str">
        <f>IFERROR(__xludf.DUMMYFUNCTION("""COMPUTED_VALUE"""),"(Chưa recheck)")</f>
        <v>(Chưa recheck)</v>
      </c>
    </row>
    <row r="31">
      <c r="A31" s="265" t="str">
        <f>IFERROR(__xludf.DUMMYFUNCTION("""COMPUTED_VALUE"""),"344")</f>
        <v>344</v>
      </c>
      <c r="B31" s="265" t="str">
        <f>IFERROR(__xludf.DUMMYFUNCTION("""COMPUTED_VALUE"""),"Hà Nội")</f>
        <v>Hà Nội</v>
      </c>
      <c r="C31" s="265" t="str">
        <f>IFERROR(__xludf.DUMMYFUNCTION("""COMPUTED_VALUE"""),"Locked")</f>
        <v>Locked</v>
      </c>
      <c r="D31" s="265" t="str">
        <f>IFERROR(__xludf.DUMMYFUNCTION("""COMPUTED_VALUE"""),"Sale chưa cung cấp")</f>
        <v>Sale chưa cung cấp</v>
      </c>
      <c r="E31" s="265" t="str">
        <f>IFERROR(__xludf.DUMMYFUNCTION("""COMPUTED_VALUE"""),"TùngLD")</f>
        <v>TùngLD</v>
      </c>
      <c r="F31" s="265" t="str">
        <f>IFERROR(__xludf.DUMMYFUNCTION("""COMPUTED_VALUE"""),"Sale chưa cung cấp")</f>
        <v>Sale chưa cung cấp</v>
      </c>
      <c r="G31" s="265" t="str">
        <f>IFERROR(__xludf.DUMMYFUNCTION("""COMPUTED_VALUE"""),"Enterprise")</f>
        <v>Enterprise</v>
      </c>
      <c r="H31" s="265" t="str">
        <f>IFERROR(__xludf.DUMMYFUNCTION("""COMPUTED_VALUE"""),"Trả sau")</f>
        <v>Trả sau</v>
      </c>
      <c r="I31" s="265" t="str">
        <f>IFERROR(__xludf.DUMMYFUNCTION("""COMPUTED_VALUE"""),"API &amp; Portal")</f>
        <v>API &amp; Portal</v>
      </c>
      <c r="J31" s="265" t="str">
        <f>IFERROR(__xludf.DUMMYFUNCTION("""COMPUTED_VALUE"""),"API")</f>
        <v>API</v>
      </c>
      <c r="K31" s="265" t="str">
        <f>IFERROR(__xludf.DUMMYFUNCTION("""COMPUTED_VALUE"""),"LinhNTT1")</f>
        <v>LinhNTT1</v>
      </c>
    </row>
    <row r="32">
      <c r="A32" s="265" t="str">
        <f>IFERROR(__xludf.DUMMYFUNCTION("""COMPUTED_VALUE"""),"346")</f>
        <v>346</v>
      </c>
      <c r="B32" s="265" t="str">
        <f>IFERROR(__xludf.DUMMYFUNCTION("""COMPUTED_VALUE"""),"Hà Nội")</f>
        <v>Hà Nội</v>
      </c>
      <c r="C32" s="265" t="str">
        <f>IFERROR(__xludf.DUMMYFUNCTION("""COMPUTED_VALUE"""),"Active")</f>
        <v>Active</v>
      </c>
      <c r="D32" s="265" t="str">
        <f>IFERROR(__xludf.DUMMYFUNCTION("""COMPUTED_VALUE"""),"Sale chưa cung cấp")</f>
        <v>Sale chưa cung cấp</v>
      </c>
      <c r="E32" s="265" t="str">
        <f>IFERROR(__xludf.DUMMYFUNCTION("""COMPUTED_VALUE"""),"Không phân công")</f>
        <v>Không phân công</v>
      </c>
      <c r="F32" s="265" t="str">
        <f>IFERROR(__xludf.DUMMYFUNCTION("""COMPUTED_VALUE"""),"Sale chưa cung cấp")</f>
        <v>Sale chưa cung cấp</v>
      </c>
      <c r="G32" s="265" t="str">
        <f>IFERROR(__xludf.DUMMYFUNCTION("""COMPUTED_VALUE"""),"API")</f>
        <v>API</v>
      </c>
      <c r="H32" s="265" t="str">
        <f>IFERROR(__xludf.DUMMYFUNCTION("""COMPUTED_VALUE"""),"Trả sau")</f>
        <v>Trả sau</v>
      </c>
      <c r="I32" s="265" t="str">
        <f>IFERROR(__xludf.DUMMYFUNCTION("""COMPUTED_VALUE"""),"API")</f>
        <v>API</v>
      </c>
      <c r="J32" s="265" t="str">
        <f>IFERROR(__xludf.DUMMYFUNCTION("""COMPUTED_VALUE"""),"API")</f>
        <v>API</v>
      </c>
      <c r="K32" s="265" t="str">
        <f>IFERROR(__xludf.DUMMYFUNCTION("""COMPUTED_VALUE"""),"LinhNTT1")</f>
        <v>LinhNTT1</v>
      </c>
    </row>
    <row r="33">
      <c r="A33" s="265" t="str">
        <f>IFERROR(__xludf.DUMMYFUNCTION("""COMPUTED_VALUE"""),"347")</f>
        <v>347</v>
      </c>
      <c r="B33" s="265" t="str">
        <f>IFERROR(__xludf.DUMMYFUNCTION("""COMPUTED_VALUE"""),"Sài Gòn")</f>
        <v>Sài Gòn</v>
      </c>
      <c r="C33" s="265" t="str">
        <f>IFERROR(__xludf.DUMMYFUNCTION("""COMPUTED_VALUE"""),"Locked")</f>
        <v>Locked</v>
      </c>
      <c r="D33" s="265" t="str">
        <f>IFERROR(__xludf.DUMMYFUNCTION("""COMPUTED_VALUE"""),"Sale chưa cung cấp")</f>
        <v>Sale chưa cung cấp</v>
      </c>
      <c r="E33" s="265" t="str">
        <f>IFERROR(__xludf.DUMMYFUNCTION("""COMPUTED_VALUE"""),"HoaNTM")</f>
        <v>HoaNTM</v>
      </c>
      <c r="F33" s="265" t="str">
        <f>IFERROR(__xludf.DUMMYFUNCTION("""COMPUTED_VALUE"""),"Sale chưa cung cấp")</f>
        <v>Sale chưa cung cấp</v>
      </c>
      <c r="G33" s="265" t="str">
        <f>IFERROR(__xludf.DUMMYFUNCTION("""COMPUTED_VALUE"""),"API")</f>
        <v>API</v>
      </c>
      <c r="H33" s="265" t="str">
        <f>IFERROR(__xludf.DUMMYFUNCTION("""COMPUTED_VALUE"""),"(Chưa recheck)")</f>
        <v>(Chưa recheck)</v>
      </c>
      <c r="I33" s="265" t="str">
        <f>IFERROR(__xludf.DUMMYFUNCTION("""COMPUTED_VALUE"""),"(Chưa recheck)")</f>
        <v>(Chưa recheck)</v>
      </c>
      <c r="J33" s="265" t="str">
        <f>IFERROR(__xludf.DUMMYFUNCTION("""COMPUTED_VALUE"""),"(Chưa recheck)")</f>
        <v>(Chưa recheck)</v>
      </c>
      <c r="K33" s="265" t="str">
        <f>IFERROR(__xludf.DUMMYFUNCTION("""COMPUTED_VALUE"""),"(Chưa recheck)")</f>
        <v>(Chưa recheck)</v>
      </c>
    </row>
    <row r="34">
      <c r="A34" s="265" t="str">
        <f>IFERROR(__xludf.DUMMYFUNCTION("""COMPUTED_VALUE"""),"350")</f>
        <v>350</v>
      </c>
      <c r="B34" s="265" t="str">
        <f>IFERROR(__xludf.DUMMYFUNCTION("""COMPUTED_VALUE"""),"Hà Nội")</f>
        <v>Hà Nội</v>
      </c>
      <c r="C34" s="265" t="str">
        <f>IFERROR(__xludf.DUMMYFUNCTION("""COMPUTED_VALUE"""),"Locked")</f>
        <v>Locked</v>
      </c>
      <c r="D34" s="265" t="str">
        <f>IFERROR(__xludf.DUMMYFUNCTION("""COMPUTED_VALUE"""),"Tài chính &amp; Ngân hàng")</f>
        <v>Tài chính &amp; Ngân hàng</v>
      </c>
      <c r="E34" s="265" t="str">
        <f>IFERROR(__xludf.DUMMYFUNCTION("""COMPUTED_VALUE"""),"(Không recheck)")</f>
        <v>(Không recheck)</v>
      </c>
      <c r="F34" s="265" t="str">
        <f>IFERROR(__xludf.DUMMYFUNCTION("""COMPUTED_VALUE"""),"Diamond")</f>
        <v>Diamond</v>
      </c>
      <c r="G34" s="265" t="str">
        <f>IFERROR(__xludf.DUMMYFUNCTION("""COMPUTED_VALUE"""),"API")</f>
        <v>API</v>
      </c>
      <c r="H34" s="265" t="str">
        <f>IFERROR(__xludf.DUMMYFUNCTION("""COMPUTED_VALUE"""),"Trial")</f>
        <v>Trial</v>
      </c>
      <c r="I34" s="265" t="str">
        <f>IFERROR(__xludf.DUMMYFUNCTION("""COMPUTED_VALUE"""),"API")</f>
        <v>API</v>
      </c>
      <c r="J34" s="265" t="str">
        <f>IFERROR(__xludf.DUMMYFUNCTION("""COMPUTED_VALUE"""),"API")</f>
        <v>API</v>
      </c>
      <c r="K34" s="265" t="str">
        <f>IFERROR(__xludf.DUMMYFUNCTION("""COMPUTED_VALUE"""),"(Không recheck)")</f>
        <v>(Không recheck)</v>
      </c>
    </row>
    <row r="35">
      <c r="A35" s="265" t="str">
        <f>IFERROR(__xludf.DUMMYFUNCTION("""COMPUTED_VALUE"""),"351")</f>
        <v>351</v>
      </c>
      <c r="B35" s="265" t="str">
        <f>IFERROR(__xludf.DUMMYFUNCTION("""COMPUTED_VALUE"""),"Hà Nội")</f>
        <v>Hà Nội</v>
      </c>
      <c r="C35" s="265" t="str">
        <f>IFERROR(__xludf.DUMMYFUNCTION("""COMPUTED_VALUE"""),"Locked")</f>
        <v>Locked</v>
      </c>
      <c r="D35" s="265" t="str">
        <f>IFERROR(__xludf.DUMMYFUNCTION("""COMPUTED_VALUE"""),"Sale chưa cung cấp")</f>
        <v>Sale chưa cung cấp</v>
      </c>
      <c r="E35" s="265" t="str">
        <f>IFERROR(__xludf.DUMMYFUNCTION("""COMPUTED_VALUE"""),"HangNT")</f>
        <v>HangNT</v>
      </c>
      <c r="F35" s="265" t="str">
        <f>IFERROR(__xludf.DUMMYFUNCTION("""COMPUTED_VALUE"""),"Sale chưa cung cấp")</f>
        <v>Sale chưa cung cấp</v>
      </c>
      <c r="G35" s="265" t="str">
        <f>IFERROR(__xludf.DUMMYFUNCTION("""COMPUTED_VALUE"""),"Enterprise")</f>
        <v>Enterprise</v>
      </c>
      <c r="H35" s="265" t="str">
        <f>IFERROR(__xludf.DUMMYFUNCTION("""COMPUTED_VALUE"""),"(Chưa recheck)")</f>
        <v>(Chưa recheck)</v>
      </c>
      <c r="I35" s="265" t="str">
        <f>IFERROR(__xludf.DUMMYFUNCTION("""COMPUTED_VALUE"""),"(Chưa recheck)")</f>
        <v>(Chưa recheck)</v>
      </c>
      <c r="J35" s="265" t="str">
        <f>IFERROR(__xludf.DUMMYFUNCTION("""COMPUTED_VALUE"""),"(Chưa recheck)")</f>
        <v>(Chưa recheck)</v>
      </c>
      <c r="K35" s="265" t="str">
        <f>IFERROR(__xludf.DUMMYFUNCTION("""COMPUTED_VALUE"""),"(Chưa recheck)")</f>
        <v>(Chưa recheck)</v>
      </c>
    </row>
    <row r="36">
      <c r="A36" s="265" t="str">
        <f>IFERROR(__xludf.DUMMYFUNCTION("""COMPUTED_VALUE"""),"352")</f>
        <v>352</v>
      </c>
      <c r="B36" s="265" t="str">
        <f>IFERROR(__xludf.DUMMYFUNCTION("""COMPUTED_VALUE"""),"Hà Nội")</f>
        <v>Hà Nội</v>
      </c>
      <c r="C36" s="265" t="str">
        <f>IFERROR(__xludf.DUMMYFUNCTION("""COMPUTED_VALUE"""),"Locked")</f>
        <v>Locked</v>
      </c>
      <c r="D36" s="265" t="str">
        <f>IFERROR(__xludf.DUMMYFUNCTION("""COMPUTED_VALUE"""),"Sale chưa cung cấp")</f>
        <v>Sale chưa cung cấp</v>
      </c>
      <c r="E36" s="265" t="str">
        <f>IFERROR(__xludf.DUMMYFUNCTION("""COMPUTED_VALUE"""),"(Chưa recheck)")</f>
        <v>(Chưa recheck)</v>
      </c>
      <c r="F36" s="265" t="str">
        <f>IFERROR(__xludf.DUMMYFUNCTION("""COMPUTED_VALUE"""),"Sale chưa cung cấp")</f>
        <v>Sale chưa cung cấp</v>
      </c>
      <c r="G36" s="265" t="str">
        <f>IFERROR(__xludf.DUMMYFUNCTION("""COMPUTED_VALUE"""),"API")</f>
        <v>API</v>
      </c>
      <c r="H36" s="265" t="str">
        <f>IFERROR(__xludf.DUMMYFUNCTION("""COMPUTED_VALUE"""),"(Chưa recheck)")</f>
        <v>(Chưa recheck)</v>
      </c>
      <c r="I36" s="265" t="str">
        <f>IFERROR(__xludf.DUMMYFUNCTION("""COMPUTED_VALUE"""),"API")</f>
        <v>API</v>
      </c>
      <c r="J36" s="265" t="str">
        <f>IFERROR(__xludf.DUMMYFUNCTION("""COMPUTED_VALUE"""),"API")</f>
        <v>API</v>
      </c>
      <c r="K36" s="265" t="str">
        <f>IFERROR(__xludf.DUMMYFUNCTION("""COMPUTED_VALUE"""),"(Chưa recheck)")</f>
        <v>(Chưa recheck)</v>
      </c>
    </row>
    <row r="37">
      <c r="A37" s="265" t="str">
        <f>IFERROR(__xludf.DUMMYFUNCTION("""COMPUTED_VALUE"""),"353")</f>
        <v>353</v>
      </c>
      <c r="B37" s="265" t="str">
        <f>IFERROR(__xludf.DUMMYFUNCTION("""COMPUTED_VALUE"""),"Hà Nội")</f>
        <v>Hà Nội</v>
      </c>
      <c r="C37" s="265" t="str">
        <f>IFERROR(__xludf.DUMMYFUNCTION("""COMPUTED_VALUE"""),"Locked")</f>
        <v>Locked</v>
      </c>
      <c r="D37" s="265" t="str">
        <f>IFERROR(__xludf.DUMMYFUNCTION("""COMPUTED_VALUE"""),"Sale chưa cung cấp")</f>
        <v>Sale chưa cung cấp</v>
      </c>
      <c r="E37" s="265" t="str">
        <f>IFERROR(__xludf.DUMMYFUNCTION("""COMPUTED_VALUE"""),"(Không recheck)")</f>
        <v>(Không recheck)</v>
      </c>
      <c r="F37" s="265" t="str">
        <f>IFERROR(__xludf.DUMMYFUNCTION("""COMPUTED_VALUE"""),"Sale chưa cung cấp")</f>
        <v>Sale chưa cung cấp</v>
      </c>
      <c r="G37" s="265" t="str">
        <f>IFERROR(__xludf.DUMMYFUNCTION("""COMPUTED_VALUE"""),"Enterprise")</f>
        <v>Enterprise</v>
      </c>
      <c r="H37" s="265" t="str">
        <f>IFERROR(__xludf.DUMMYFUNCTION("""COMPUTED_VALUE"""),"Trial")</f>
        <v>Trial</v>
      </c>
      <c r="I37" s="265" t="str">
        <f>IFERROR(__xludf.DUMMYFUNCTION("""COMPUTED_VALUE"""),"(Không recheck)")</f>
        <v>(Không recheck)</v>
      </c>
      <c r="J37" s="265" t="str">
        <f>IFERROR(__xludf.DUMMYFUNCTION("""COMPUTED_VALUE"""),"(Không recheck)")</f>
        <v>(Không recheck)</v>
      </c>
      <c r="K37" s="265" t="str">
        <f>IFERROR(__xludf.DUMMYFUNCTION("""COMPUTED_VALUE"""),"(Không recheck)")</f>
        <v>(Không recheck)</v>
      </c>
    </row>
    <row r="38">
      <c r="A38" s="265" t="str">
        <f>IFERROR(__xludf.DUMMYFUNCTION("""COMPUTED_VALUE"""),"354")</f>
        <v>354</v>
      </c>
      <c r="B38" s="265" t="str">
        <f>IFERROR(__xludf.DUMMYFUNCTION("""COMPUTED_VALUE"""),"Sài Gòn")</f>
        <v>Sài Gòn</v>
      </c>
      <c r="C38" s="265" t="str">
        <f>IFERROR(__xludf.DUMMYFUNCTION("""COMPUTED_VALUE"""),"Locked")</f>
        <v>Locked</v>
      </c>
      <c r="D38" s="265" t="str">
        <f>IFERROR(__xludf.DUMMYFUNCTION("""COMPUTED_VALUE"""),"Sale chưa cung cấp")</f>
        <v>Sale chưa cung cấp</v>
      </c>
      <c r="E38" s="265" t="str">
        <f>IFERROR(__xludf.DUMMYFUNCTION("""COMPUTED_VALUE"""),"MaiTP")</f>
        <v>MaiTP</v>
      </c>
      <c r="F38" s="265" t="str">
        <f>IFERROR(__xludf.DUMMYFUNCTION("""COMPUTED_VALUE"""),"Sale chưa cung cấp")</f>
        <v>Sale chưa cung cấp</v>
      </c>
      <c r="G38" s="265" t="str">
        <f>IFERROR(__xludf.DUMMYFUNCTION("""COMPUTED_VALUE"""),"Enterprise")</f>
        <v>Enterprise</v>
      </c>
      <c r="H38" s="265" t="str">
        <f>IFERROR(__xludf.DUMMYFUNCTION("""COMPUTED_VALUE"""),"(Chưa recheck)")</f>
        <v>(Chưa recheck)</v>
      </c>
      <c r="I38" s="265" t="str">
        <f>IFERROR(__xludf.DUMMYFUNCTION("""COMPUTED_VALUE"""),"(Chưa recheck)")</f>
        <v>(Chưa recheck)</v>
      </c>
      <c r="J38" s="265" t="str">
        <f>IFERROR(__xludf.DUMMYFUNCTION("""COMPUTED_VALUE"""),"API")</f>
        <v>API</v>
      </c>
      <c r="K38" s="265" t="str">
        <f>IFERROR(__xludf.DUMMYFUNCTION("""COMPUTED_VALUE"""),"(Chưa recheck)")</f>
        <v>(Chưa recheck)</v>
      </c>
    </row>
    <row r="39">
      <c r="A39" s="265" t="str">
        <f>IFERROR(__xludf.DUMMYFUNCTION("""COMPUTED_VALUE"""),"355")</f>
        <v>355</v>
      </c>
      <c r="B39" s="265" t="str">
        <f>IFERROR(__xludf.DUMMYFUNCTION("""COMPUTED_VALUE"""),"Hà Nội")</f>
        <v>Hà Nội</v>
      </c>
      <c r="C39" s="265" t="str">
        <f>IFERROR(__xludf.DUMMYFUNCTION("""COMPUTED_VALUE"""),"Locked")</f>
        <v>Locked</v>
      </c>
      <c r="D39" s="265" t="str">
        <f>IFERROR(__xludf.DUMMYFUNCTION("""COMPUTED_VALUE"""),"Sale chưa cung cấp")</f>
        <v>Sale chưa cung cấp</v>
      </c>
      <c r="E39" s="265" t="str">
        <f>IFERROR(__xludf.DUMMYFUNCTION("""COMPUTED_VALUE"""),"(Không recheck)")</f>
        <v>(Không recheck)</v>
      </c>
      <c r="F39" s="265" t="str">
        <f>IFERROR(__xludf.DUMMYFUNCTION("""COMPUTED_VALUE"""),"Bronze")</f>
        <v>Bronze</v>
      </c>
      <c r="G39" s="265" t="str">
        <f>IFERROR(__xludf.DUMMYFUNCTION("""COMPUTED_VALUE"""),"MSG")</f>
        <v>MSG</v>
      </c>
      <c r="H39" s="265" t="str">
        <f>IFERROR(__xludf.DUMMYFUNCTION("""COMPUTED_VALUE"""),"Trial")</f>
        <v>Trial</v>
      </c>
      <c r="I39" s="265" t="str">
        <f>IFERROR(__xludf.DUMMYFUNCTION("""COMPUTED_VALUE"""),"Portal")</f>
        <v>Portal</v>
      </c>
      <c r="J39" s="265" t="str">
        <f>IFERROR(__xludf.DUMMYFUNCTION("""COMPUTED_VALUE"""),"File Excel")</f>
        <v>File Excel</v>
      </c>
      <c r="K39" s="265" t="str">
        <f>IFERROR(__xludf.DUMMYFUNCTION("""COMPUTED_VALUE"""),"(Không recheck)")</f>
        <v>(Không recheck)</v>
      </c>
    </row>
    <row r="40">
      <c r="A40" s="265" t="str">
        <f>IFERROR(__xludf.DUMMYFUNCTION("""COMPUTED_VALUE"""),"356")</f>
        <v>356</v>
      </c>
      <c r="B40" s="265" t="str">
        <f>IFERROR(__xludf.DUMMYFUNCTION("""COMPUTED_VALUE"""),"Sài Gòn")</f>
        <v>Sài Gòn</v>
      </c>
      <c r="C40" s="265" t="str">
        <f>IFERROR(__xludf.DUMMYFUNCTION("""COMPUTED_VALUE"""),"Active")</f>
        <v>Active</v>
      </c>
      <c r="D40" s="265" t="str">
        <f>IFERROR(__xludf.DUMMYFUNCTION("""COMPUTED_VALUE"""),"Sale chưa cung cấp")</f>
        <v>Sale chưa cung cấp</v>
      </c>
      <c r="E40" s="265" t="str">
        <f>IFERROR(__xludf.DUMMYFUNCTION("""COMPUTED_VALUE"""),"TúPHN")</f>
        <v>TúPHN</v>
      </c>
      <c r="F40" s="265" t="str">
        <f>IFERROR(__xludf.DUMMYFUNCTION("""COMPUTED_VALUE"""),"Gold")</f>
        <v>Gold</v>
      </c>
      <c r="G40" s="265" t="str">
        <f>IFERROR(__xludf.DUMMYFUNCTION("""COMPUTED_VALUE"""),"Standard")</f>
        <v>Standard</v>
      </c>
      <c r="H40" s="265" t="str">
        <f>IFERROR(__xludf.DUMMYFUNCTION("""COMPUTED_VALUE"""),"Trả sau")</f>
        <v>Trả sau</v>
      </c>
      <c r="I40" s="265" t="str">
        <f>IFERROR(__xludf.DUMMYFUNCTION("""COMPUTED_VALUE"""),"API &amp; Portal")</f>
        <v>API &amp; Portal</v>
      </c>
      <c r="J40" s="265" t="str">
        <f>IFERROR(__xludf.DUMMYFUNCTION("""COMPUTED_VALUE"""),"Kiotviet")</f>
        <v>Kiotviet</v>
      </c>
      <c r="K40" s="265" t="str">
        <f>IFERROR(__xludf.DUMMYFUNCTION("""COMPUTED_VALUE"""),"DungPL")</f>
        <v>DungPL</v>
      </c>
    </row>
    <row r="41">
      <c r="A41" s="265" t="str">
        <f>IFERROR(__xludf.DUMMYFUNCTION("""COMPUTED_VALUE"""),"359")</f>
        <v>359</v>
      </c>
      <c r="B41" s="265" t="str">
        <f>IFERROR(__xludf.DUMMYFUNCTION("""COMPUTED_VALUE"""),"Hà Nội")</f>
        <v>Hà Nội</v>
      </c>
      <c r="C41" s="265" t="str">
        <f>IFERROR(__xludf.DUMMYFUNCTION("""COMPUTED_VALUE"""),"Locked")</f>
        <v>Locked</v>
      </c>
      <c r="D41" s="265" t="str">
        <f>IFERROR(__xludf.DUMMYFUNCTION("""COMPUTED_VALUE"""),"Sale chưa cung cấp")</f>
        <v>Sale chưa cung cấp</v>
      </c>
      <c r="E41" s="265" t="str">
        <f>IFERROR(__xludf.DUMMYFUNCTION("""COMPUTED_VALUE"""),"(Không recheck)")</f>
        <v>(Không recheck)</v>
      </c>
      <c r="F41" s="265" t="str">
        <f>IFERROR(__xludf.DUMMYFUNCTION("""COMPUTED_VALUE"""),"Sale chưa cung cấp")</f>
        <v>Sale chưa cung cấp</v>
      </c>
      <c r="G41" s="265" t="str">
        <f>IFERROR(__xludf.DUMMYFUNCTION("""COMPUTED_VALUE"""),"Enterprise")</f>
        <v>Enterprise</v>
      </c>
      <c r="H41" s="265" t="str">
        <f>IFERROR(__xludf.DUMMYFUNCTION("""COMPUTED_VALUE"""),"Trial")</f>
        <v>Trial</v>
      </c>
      <c r="I41" s="265" t="str">
        <f>IFERROR(__xludf.DUMMYFUNCTION("""COMPUTED_VALUE"""),"(Không recheck)")</f>
        <v>(Không recheck)</v>
      </c>
      <c r="J41" s="265" t="str">
        <f>IFERROR(__xludf.DUMMYFUNCTION("""COMPUTED_VALUE"""),"(Không recheck)")</f>
        <v>(Không recheck)</v>
      </c>
      <c r="K41" s="265" t="str">
        <f>IFERROR(__xludf.DUMMYFUNCTION("""COMPUTED_VALUE"""),"(Không recheck)")</f>
        <v>(Không recheck)</v>
      </c>
    </row>
    <row r="42">
      <c r="A42" s="265" t="str">
        <f>IFERROR(__xludf.DUMMYFUNCTION("""COMPUTED_VALUE"""),"358")</f>
        <v>358</v>
      </c>
      <c r="B42" s="265" t="str">
        <f>IFERROR(__xludf.DUMMYFUNCTION("""COMPUTED_VALUE"""),"Sài Gòn")</f>
        <v>Sài Gòn</v>
      </c>
      <c r="C42" s="265" t="str">
        <f>IFERROR(__xludf.DUMMYFUNCTION("""COMPUTED_VALUE"""),"Locked")</f>
        <v>Locked</v>
      </c>
      <c r="D42" s="265" t="str">
        <f>IFERROR(__xludf.DUMMYFUNCTION("""COMPUTED_VALUE"""),"Sale chưa cung cấp")</f>
        <v>Sale chưa cung cấp</v>
      </c>
      <c r="E42" s="265" t="str">
        <f>IFERROR(__xludf.DUMMYFUNCTION("""COMPUTED_VALUE"""),"(Chưa recheck)")</f>
        <v>(Chưa recheck)</v>
      </c>
      <c r="F42" s="265" t="str">
        <f>IFERROR(__xludf.DUMMYFUNCTION("""COMPUTED_VALUE"""),"Sale chưa cung cấp")</f>
        <v>Sale chưa cung cấp</v>
      </c>
      <c r="G42" s="265" t="str">
        <f>IFERROR(__xludf.DUMMYFUNCTION("""COMPUTED_VALUE"""),"API")</f>
        <v>API</v>
      </c>
      <c r="H42" s="265" t="str">
        <f>IFERROR(__xludf.DUMMYFUNCTION("""COMPUTED_VALUE"""),"(Chưa recheck)")</f>
        <v>(Chưa recheck)</v>
      </c>
      <c r="I42" s="265" t="str">
        <f>IFERROR(__xludf.DUMMYFUNCTION("""COMPUTED_VALUE"""),"(Chưa recheck)")</f>
        <v>(Chưa recheck)</v>
      </c>
      <c r="J42" s="265" t="str">
        <f>IFERROR(__xludf.DUMMYFUNCTION("""COMPUTED_VALUE"""),"API")</f>
        <v>API</v>
      </c>
      <c r="K42" s="265" t="str">
        <f>IFERROR(__xludf.DUMMYFUNCTION("""COMPUTED_VALUE"""),"AnhNM")</f>
        <v>AnhNM</v>
      </c>
    </row>
    <row r="43">
      <c r="A43" s="265" t="str">
        <f>IFERROR(__xludf.DUMMYFUNCTION("""COMPUTED_VALUE"""),"357")</f>
        <v>357</v>
      </c>
      <c r="B43" s="265" t="str">
        <f>IFERROR(__xludf.DUMMYFUNCTION("""COMPUTED_VALUE"""),"Đà Nẵng")</f>
        <v>Đà Nẵng</v>
      </c>
      <c r="C43" s="265" t="str">
        <f>IFERROR(__xludf.DUMMYFUNCTION("""COMPUTED_VALUE"""),"Locked")</f>
        <v>Locked</v>
      </c>
      <c r="D43" s="265" t="str">
        <f>IFERROR(__xludf.DUMMYFUNCTION("""COMPUTED_VALUE"""),"Sale chưa cung cấp")</f>
        <v>Sale chưa cung cấp</v>
      </c>
      <c r="E43" s="265" t="str">
        <f>IFERROR(__xludf.DUMMYFUNCTION("""COMPUTED_VALUE"""),"HoaNTM")</f>
        <v>HoaNTM</v>
      </c>
      <c r="F43" s="265" t="str">
        <f>IFERROR(__xludf.DUMMYFUNCTION("""COMPUTED_VALUE"""),"Sale chưa cung cấp")</f>
        <v>Sale chưa cung cấp</v>
      </c>
      <c r="G43" s="265" t="str">
        <f>IFERROR(__xludf.DUMMYFUNCTION("""COMPUTED_VALUE"""),"API")</f>
        <v>API</v>
      </c>
      <c r="H43" s="265" t="str">
        <f>IFERROR(__xludf.DUMMYFUNCTION("""COMPUTED_VALUE"""),"(Chưa recheck)")</f>
        <v>(Chưa recheck)</v>
      </c>
      <c r="I43" s="265" t="str">
        <f>IFERROR(__xludf.DUMMYFUNCTION("""COMPUTED_VALUE"""),"(Chưa recheck)")</f>
        <v>(Chưa recheck)</v>
      </c>
      <c r="J43" s="265" t="str">
        <f>IFERROR(__xludf.DUMMYFUNCTION("""COMPUTED_VALUE"""),"API")</f>
        <v>API</v>
      </c>
      <c r="K43" s="265" t="str">
        <f>IFERROR(__xludf.DUMMYFUNCTION("""COMPUTED_VALUE"""),"AnhNM")</f>
        <v>AnhNM</v>
      </c>
    </row>
    <row r="44">
      <c r="A44" s="265" t="str">
        <f>IFERROR(__xludf.DUMMYFUNCTION("""COMPUTED_VALUE"""),"360")</f>
        <v>360</v>
      </c>
      <c r="B44" s="265" t="str">
        <f>IFERROR(__xludf.DUMMYFUNCTION("""COMPUTED_VALUE"""),"Hà Nội")</f>
        <v>Hà Nội</v>
      </c>
      <c r="C44" s="265" t="str">
        <f>IFERROR(__xludf.DUMMYFUNCTION("""COMPUTED_VALUE"""),"Locked")</f>
        <v>Locked</v>
      </c>
      <c r="D44" s="265" t="str">
        <f>IFERROR(__xludf.DUMMYFUNCTION("""COMPUTED_VALUE"""),"Sale chưa cung cấp")</f>
        <v>Sale chưa cung cấp</v>
      </c>
      <c r="E44" s="265" t="str">
        <f>IFERROR(__xludf.DUMMYFUNCTION("""COMPUTED_VALUE"""),"(Chưa recheck)")</f>
        <v>(Chưa recheck)</v>
      </c>
      <c r="F44" s="265" t="str">
        <f>IFERROR(__xludf.DUMMYFUNCTION("""COMPUTED_VALUE"""),"Bronze")</f>
        <v>Bronze</v>
      </c>
      <c r="G44" s="265" t="str">
        <f>IFERROR(__xludf.DUMMYFUNCTION("""COMPUTED_VALUE"""),"MSG")</f>
        <v>MSG</v>
      </c>
      <c r="H44" s="265" t="str">
        <f>IFERROR(__xludf.DUMMYFUNCTION("""COMPUTED_VALUE"""),"(Chưa recheck)")</f>
        <v>(Chưa recheck)</v>
      </c>
      <c r="I44" s="265" t="str">
        <f>IFERROR(__xludf.DUMMYFUNCTION("""COMPUTED_VALUE"""),"(Chưa recheck)")</f>
        <v>(Chưa recheck)</v>
      </c>
      <c r="J44" s="265" t="str">
        <f>IFERROR(__xludf.DUMMYFUNCTION("""COMPUTED_VALUE"""),"(Chưa recheck)")</f>
        <v>(Chưa recheck)</v>
      </c>
      <c r="K44" s="265" t="str">
        <f>IFERROR(__xludf.DUMMYFUNCTION("""COMPUTED_VALUE"""),"AnhNM")</f>
        <v>AnhNM</v>
      </c>
    </row>
    <row r="45">
      <c r="A45" s="265" t="str">
        <f>IFERROR(__xludf.DUMMYFUNCTION("""COMPUTED_VALUE"""),"362")</f>
        <v>362</v>
      </c>
      <c r="B45" s="265" t="str">
        <f>IFERROR(__xludf.DUMMYFUNCTION("""COMPUTED_VALUE"""),"Hà Nội")</f>
        <v>Hà Nội</v>
      </c>
      <c r="C45" s="265" t="str">
        <f>IFERROR(__xludf.DUMMYFUNCTION("""COMPUTED_VALUE"""),"Active")</f>
        <v>Active</v>
      </c>
      <c r="D45" s="265" t="str">
        <f>IFERROR(__xludf.DUMMYFUNCTION("""COMPUTED_VALUE"""),"Sale chưa cung cấp")</f>
        <v>Sale chưa cung cấp</v>
      </c>
      <c r="E45" s="265" t="str">
        <f>IFERROR(__xludf.DUMMYFUNCTION("""COMPUTED_VALUE"""),"AnhNM")</f>
        <v>AnhNM</v>
      </c>
      <c r="F45" s="265" t="str">
        <f>IFERROR(__xludf.DUMMYFUNCTION("""COMPUTED_VALUE"""),"Bronze")</f>
        <v>Bronze</v>
      </c>
      <c r="G45" s="265" t="str">
        <f>IFERROR(__xludf.DUMMYFUNCTION("""COMPUTED_VALUE"""),"Starter")</f>
        <v>Starter</v>
      </c>
      <c r="H45" s="265" t="str">
        <f>IFERROR(__xludf.DUMMYFUNCTION("""COMPUTED_VALUE"""),"Trả sau")</f>
        <v>Trả sau</v>
      </c>
      <c r="I45" s="265" t="str">
        <f>IFERROR(__xludf.DUMMYFUNCTION("""COMPUTED_VALUE"""),"API")</f>
        <v>API</v>
      </c>
      <c r="J45" s="265" t="str">
        <f>IFERROR(__xludf.DUMMYFUNCTION("""COMPUTED_VALUE"""),"API")</f>
        <v>API</v>
      </c>
      <c r="K45" s="265" t="str">
        <f>IFERROR(__xludf.DUMMYFUNCTION("""COMPUTED_VALUE"""),"DungPL")</f>
        <v>DungPL</v>
      </c>
    </row>
    <row r="46">
      <c r="A46" s="265" t="str">
        <f>IFERROR(__xludf.DUMMYFUNCTION("""COMPUTED_VALUE"""),"361")</f>
        <v>361</v>
      </c>
      <c r="B46" s="265" t="str">
        <f>IFERROR(__xludf.DUMMYFUNCTION("""COMPUTED_VALUE"""),"Hà Nội")</f>
        <v>Hà Nội</v>
      </c>
      <c r="C46" s="265" t="str">
        <f>IFERROR(__xludf.DUMMYFUNCTION("""COMPUTED_VALUE"""),"Locked")</f>
        <v>Locked</v>
      </c>
      <c r="D46" s="265" t="str">
        <f>IFERROR(__xludf.DUMMYFUNCTION("""COMPUTED_VALUE"""),"Sale chưa cung cấp")</f>
        <v>Sale chưa cung cấp</v>
      </c>
      <c r="E46" s="265" t="str">
        <f>IFERROR(__xludf.DUMMYFUNCTION("""COMPUTED_VALUE"""),"(Chưa recheck)")</f>
        <v>(Chưa recheck)</v>
      </c>
      <c r="F46" s="265" t="str">
        <f>IFERROR(__xludf.DUMMYFUNCTION("""COMPUTED_VALUE"""),"Sale chưa cung cấp")</f>
        <v>Sale chưa cung cấp</v>
      </c>
      <c r="G46" s="265" t="str">
        <f>IFERROR(__xludf.DUMMYFUNCTION("""COMPUTED_VALUE"""),"Enterprise")</f>
        <v>Enterprise</v>
      </c>
      <c r="H46" s="265" t="str">
        <f>IFERROR(__xludf.DUMMYFUNCTION("""COMPUTED_VALUE"""),"(Chưa recheck)")</f>
        <v>(Chưa recheck)</v>
      </c>
      <c r="I46" s="265" t="str">
        <f>IFERROR(__xludf.DUMMYFUNCTION("""COMPUTED_VALUE"""),"(Chưa recheck)")</f>
        <v>(Chưa recheck)</v>
      </c>
      <c r="J46" s="265" t="str">
        <f>IFERROR(__xludf.DUMMYFUNCTION("""COMPUTED_VALUE"""),"(Chưa recheck)")</f>
        <v>(Chưa recheck)</v>
      </c>
      <c r="K46" s="265" t="str">
        <f>IFERROR(__xludf.DUMMYFUNCTION("""COMPUTED_VALUE"""),"AnhNM")</f>
        <v>AnhNM</v>
      </c>
    </row>
    <row r="47">
      <c r="A47" s="265" t="str">
        <f>IFERROR(__xludf.DUMMYFUNCTION("""COMPUTED_VALUE"""),"363")</f>
        <v>363</v>
      </c>
      <c r="B47" s="265" t="str">
        <f>IFERROR(__xludf.DUMMYFUNCTION("""COMPUTED_VALUE"""),"Hà Nội")</f>
        <v>Hà Nội</v>
      </c>
      <c r="C47" s="265" t="str">
        <f>IFERROR(__xludf.DUMMYFUNCTION("""COMPUTED_VALUE"""),"Locked")</f>
        <v>Locked</v>
      </c>
      <c r="D47" s="265" t="str">
        <f>IFERROR(__xludf.DUMMYFUNCTION("""COMPUTED_VALUE"""),"Sale chưa cung cấp")</f>
        <v>Sale chưa cung cấp</v>
      </c>
      <c r="E47" s="265" t="str">
        <f>IFERROR(__xludf.DUMMYFUNCTION("""COMPUTED_VALUE"""),"NamDT")</f>
        <v>NamDT</v>
      </c>
      <c r="F47" s="265" t="str">
        <f>IFERROR(__xludf.DUMMYFUNCTION("""COMPUTED_VALUE"""),"Bronze")</f>
        <v>Bronze</v>
      </c>
      <c r="G47" s="265" t="str">
        <f>IFERROR(__xludf.DUMMYFUNCTION("""COMPUTED_VALUE"""),"MSG")</f>
        <v>MSG</v>
      </c>
      <c r="H47" s="265" t="str">
        <f>IFERROR(__xludf.DUMMYFUNCTION("""COMPUTED_VALUE"""),"(Chưa recheck)")</f>
        <v>(Chưa recheck)</v>
      </c>
      <c r="I47" s="265" t="str">
        <f>IFERROR(__xludf.DUMMYFUNCTION("""COMPUTED_VALUE"""),"(Chưa recheck)")</f>
        <v>(Chưa recheck)</v>
      </c>
      <c r="J47" s="265" t="str">
        <f>IFERROR(__xludf.DUMMYFUNCTION("""COMPUTED_VALUE"""),"File Excel")</f>
        <v>File Excel</v>
      </c>
      <c r="K47" s="265" t="str">
        <f>IFERROR(__xludf.DUMMYFUNCTION("""COMPUTED_VALUE"""),"(Chưa recheck)")</f>
        <v>(Chưa recheck)</v>
      </c>
    </row>
    <row r="48">
      <c r="A48" s="265" t="str">
        <f>IFERROR(__xludf.DUMMYFUNCTION("""COMPUTED_VALUE"""),"364")</f>
        <v>364</v>
      </c>
      <c r="B48" s="265" t="str">
        <f>IFERROR(__xludf.DUMMYFUNCTION("""COMPUTED_VALUE"""),"Hà Nội")</f>
        <v>Hà Nội</v>
      </c>
      <c r="C48" s="265" t="str">
        <f>IFERROR(__xludf.DUMMYFUNCTION("""COMPUTED_VALUE"""),"Locked")</f>
        <v>Locked</v>
      </c>
      <c r="D48" s="265" t="str">
        <f>IFERROR(__xludf.DUMMYFUNCTION("""COMPUTED_VALUE"""),"Sale chưa cung cấp")</f>
        <v>Sale chưa cung cấp</v>
      </c>
      <c r="E48" s="265" t="str">
        <f>IFERROR(__xludf.DUMMYFUNCTION("""COMPUTED_VALUE"""),"(Chưa recheck)")</f>
        <v>(Chưa recheck)</v>
      </c>
      <c r="F48" s="265" t="str">
        <f>IFERROR(__xludf.DUMMYFUNCTION("""COMPUTED_VALUE"""),"Bronze")</f>
        <v>Bronze</v>
      </c>
      <c r="G48" s="265" t="str">
        <f>IFERROR(__xludf.DUMMYFUNCTION("""COMPUTED_VALUE"""),"API")</f>
        <v>API</v>
      </c>
      <c r="H48" s="265" t="str">
        <f>IFERROR(__xludf.DUMMYFUNCTION("""COMPUTED_VALUE"""),"(Chưa recheck)")</f>
        <v>(Chưa recheck)</v>
      </c>
      <c r="I48" s="265" t="str">
        <f>IFERROR(__xludf.DUMMYFUNCTION("""COMPUTED_VALUE"""),"(Chưa recheck)")</f>
        <v>(Chưa recheck)</v>
      </c>
      <c r="J48" s="265" t="str">
        <f>IFERROR(__xludf.DUMMYFUNCTION("""COMPUTED_VALUE"""),"API")</f>
        <v>API</v>
      </c>
      <c r="K48" s="265" t="str">
        <f>IFERROR(__xludf.DUMMYFUNCTION("""COMPUTED_VALUE"""),"(Chưa recheck)")</f>
        <v>(Chưa recheck)</v>
      </c>
    </row>
    <row r="49">
      <c r="A49" s="265" t="str">
        <f>IFERROR(__xludf.DUMMYFUNCTION("""COMPUTED_VALUE"""),"366")</f>
        <v>366</v>
      </c>
      <c r="B49" s="265" t="str">
        <f>IFERROR(__xludf.DUMMYFUNCTION("""COMPUTED_VALUE"""),"Hà Nội")</f>
        <v>Hà Nội</v>
      </c>
      <c r="C49" s="265" t="str">
        <f>IFERROR(__xludf.DUMMYFUNCTION("""COMPUTED_VALUE"""),"Locked")</f>
        <v>Locked</v>
      </c>
      <c r="D49" s="265" t="str">
        <f>IFERROR(__xludf.DUMMYFUNCTION("""COMPUTED_VALUE"""),"Sale chưa cung cấp")</f>
        <v>Sale chưa cung cấp</v>
      </c>
      <c r="E49" s="265" t="str">
        <f>IFERROR(__xludf.DUMMYFUNCTION("""COMPUTED_VALUE"""),"(Chưa recheck)")</f>
        <v>(Chưa recheck)</v>
      </c>
      <c r="F49" s="265" t="str">
        <f>IFERROR(__xludf.DUMMYFUNCTION("""COMPUTED_VALUE"""),"Sale chưa cung cấp")</f>
        <v>Sale chưa cung cấp</v>
      </c>
      <c r="G49" s="265" t="str">
        <f>IFERROR(__xludf.DUMMYFUNCTION("""COMPUTED_VALUE"""),"API")</f>
        <v>API</v>
      </c>
      <c r="H49" s="265" t="str">
        <f>IFERROR(__xludf.DUMMYFUNCTION("""COMPUTED_VALUE"""),"(Chưa recheck)")</f>
        <v>(Chưa recheck)</v>
      </c>
      <c r="I49" s="265" t="str">
        <f>IFERROR(__xludf.DUMMYFUNCTION("""COMPUTED_VALUE"""),"(Chưa recheck)")</f>
        <v>(Chưa recheck)</v>
      </c>
      <c r="J49" s="265" t="str">
        <f>IFERROR(__xludf.DUMMYFUNCTION("""COMPUTED_VALUE"""),"API")</f>
        <v>API</v>
      </c>
      <c r="K49" s="265" t="str">
        <f>IFERROR(__xludf.DUMMYFUNCTION("""COMPUTED_VALUE"""),"(Chưa recheck)")</f>
        <v>(Chưa recheck)</v>
      </c>
    </row>
    <row r="50">
      <c r="A50" s="265" t="str">
        <f>IFERROR(__xludf.DUMMYFUNCTION("""COMPUTED_VALUE"""),"367")</f>
        <v>367</v>
      </c>
      <c r="B50" s="265" t="str">
        <f>IFERROR(__xludf.DUMMYFUNCTION("""COMPUTED_VALUE"""),"Hà Nội")</f>
        <v>Hà Nội</v>
      </c>
      <c r="C50" s="265" t="str">
        <f>IFERROR(__xludf.DUMMYFUNCTION("""COMPUTED_VALUE"""),"Locked")</f>
        <v>Locked</v>
      </c>
      <c r="D50" s="265" t="str">
        <f>IFERROR(__xludf.DUMMYFUNCTION("""COMPUTED_VALUE"""),"Sale chưa cung cấp")</f>
        <v>Sale chưa cung cấp</v>
      </c>
      <c r="E50" s="265" t="str">
        <f>IFERROR(__xludf.DUMMYFUNCTION("""COMPUTED_VALUE"""),"AnhNM")</f>
        <v>AnhNM</v>
      </c>
      <c r="F50" s="265" t="str">
        <f>IFERROR(__xludf.DUMMYFUNCTION("""COMPUTED_VALUE"""),"Sale chưa cung cấp")</f>
        <v>Sale chưa cung cấp</v>
      </c>
      <c r="G50" s="265" t="str">
        <f>IFERROR(__xludf.DUMMYFUNCTION("""COMPUTED_VALUE"""),"API")</f>
        <v>API</v>
      </c>
      <c r="H50" s="265" t="str">
        <f>IFERROR(__xludf.DUMMYFUNCTION("""COMPUTED_VALUE"""),"Trả sau")</f>
        <v>Trả sau</v>
      </c>
      <c r="I50" s="265" t="str">
        <f>IFERROR(__xludf.DUMMYFUNCTION("""COMPUTED_VALUE"""),"API")</f>
        <v>API</v>
      </c>
      <c r="J50" s="265" t="str">
        <f>IFERROR(__xludf.DUMMYFUNCTION("""COMPUTED_VALUE"""),"API")</f>
        <v>API</v>
      </c>
      <c r="K50" s="265" t="str">
        <f>IFERROR(__xludf.DUMMYFUNCTION("""COMPUTED_VALUE"""),"LinhNTT1")</f>
        <v>LinhNTT1</v>
      </c>
    </row>
    <row r="51">
      <c r="A51" s="265" t="str">
        <f>IFERROR(__xludf.DUMMYFUNCTION("""COMPUTED_VALUE"""),"368")</f>
        <v>368</v>
      </c>
      <c r="B51" s="265" t="str">
        <f>IFERROR(__xludf.DUMMYFUNCTION("""COMPUTED_VALUE"""),"Hà Nội")</f>
        <v>Hà Nội</v>
      </c>
      <c r="C51" s="265" t="str">
        <f>IFERROR(__xludf.DUMMYFUNCTION("""COMPUTED_VALUE"""),"Locked")</f>
        <v>Locked</v>
      </c>
      <c r="D51" s="265" t="str">
        <f>IFERROR(__xludf.DUMMYFUNCTION("""COMPUTED_VALUE"""),"Sale chưa cung cấp")</f>
        <v>Sale chưa cung cấp</v>
      </c>
      <c r="E51" s="265" t="str">
        <f>IFERROR(__xludf.DUMMYFUNCTION("""COMPUTED_VALUE"""),"(Không recheck)")</f>
        <v>(Không recheck)</v>
      </c>
      <c r="F51" s="265" t="str">
        <f>IFERROR(__xludf.DUMMYFUNCTION("""COMPUTED_VALUE"""),"Sale chưa cung cấp")</f>
        <v>Sale chưa cung cấp</v>
      </c>
      <c r="G51" s="265" t="str">
        <f>IFERROR(__xludf.DUMMYFUNCTION("""COMPUTED_VALUE"""),"Enterprise")</f>
        <v>Enterprise</v>
      </c>
      <c r="H51" s="265" t="str">
        <f>IFERROR(__xludf.DUMMYFUNCTION("""COMPUTED_VALUE"""),"Trial")</f>
        <v>Trial</v>
      </c>
      <c r="I51" s="265" t="str">
        <f>IFERROR(__xludf.DUMMYFUNCTION("""COMPUTED_VALUE"""),"(Không recheck)")</f>
        <v>(Không recheck)</v>
      </c>
      <c r="J51" s="265" t="str">
        <f>IFERROR(__xludf.DUMMYFUNCTION("""COMPUTED_VALUE"""),"(Không recheck)")</f>
        <v>(Không recheck)</v>
      </c>
      <c r="K51" s="265" t="str">
        <f>IFERROR(__xludf.DUMMYFUNCTION("""COMPUTED_VALUE"""),"(Không recheck)")</f>
        <v>(Không recheck)</v>
      </c>
    </row>
    <row r="52">
      <c r="A52" s="265" t="str">
        <f>IFERROR(__xludf.DUMMYFUNCTION("""COMPUTED_VALUE"""),"369")</f>
        <v>369</v>
      </c>
      <c r="B52" s="265" t="str">
        <f>IFERROR(__xludf.DUMMYFUNCTION("""COMPUTED_VALUE"""),"Hà Nội")</f>
        <v>Hà Nội</v>
      </c>
      <c r="C52" s="265" t="str">
        <f>IFERROR(__xludf.DUMMYFUNCTION("""COMPUTED_VALUE"""),"Active")</f>
        <v>Active</v>
      </c>
      <c r="D52" s="265" t="str">
        <f>IFERROR(__xludf.DUMMYFUNCTION("""COMPUTED_VALUE"""),"Sale chưa cung cấp")</f>
        <v>Sale chưa cung cấp</v>
      </c>
      <c r="E52" s="265" t="str">
        <f>IFERROR(__xludf.DUMMYFUNCTION("""COMPUTED_VALUE"""),"TuPHN")</f>
        <v>TuPHN</v>
      </c>
      <c r="F52" s="265" t="str">
        <f>IFERROR(__xludf.DUMMYFUNCTION("""COMPUTED_VALUE"""),"Gold")</f>
        <v>Gold</v>
      </c>
      <c r="G52" s="265" t="str">
        <f>IFERROR(__xludf.DUMMYFUNCTION("""COMPUTED_VALUE"""),"Starter")</f>
        <v>Starter</v>
      </c>
      <c r="H52" s="265" t="str">
        <f>IFERROR(__xludf.DUMMYFUNCTION("""COMPUTED_VALUE"""),"Trả sau")</f>
        <v>Trả sau</v>
      </c>
      <c r="I52" s="265" t="str">
        <f>IFERROR(__xludf.DUMMYFUNCTION("""COMPUTED_VALUE"""),"API")</f>
        <v>API</v>
      </c>
      <c r="J52" s="265" t="str">
        <f>IFERROR(__xludf.DUMMYFUNCTION("""COMPUTED_VALUE"""),"API")</f>
        <v>API</v>
      </c>
      <c r="K52" s="265" t="str">
        <f>IFERROR(__xludf.DUMMYFUNCTION("""COMPUTED_VALUE"""),"DungPL")</f>
        <v>DungPL</v>
      </c>
    </row>
    <row r="53">
      <c r="A53" s="265" t="str">
        <f>IFERROR(__xludf.DUMMYFUNCTION("""COMPUTED_VALUE"""),"370")</f>
        <v>370</v>
      </c>
      <c r="B53" s="265" t="str">
        <f>IFERROR(__xludf.DUMMYFUNCTION("""COMPUTED_VALUE"""),"Hà Nội")</f>
        <v>Hà Nội</v>
      </c>
      <c r="C53" s="265" t="str">
        <f>IFERROR(__xludf.DUMMYFUNCTION("""COMPUTED_VALUE"""),"Locked")</f>
        <v>Locked</v>
      </c>
      <c r="D53" s="265" t="str">
        <f>IFERROR(__xludf.DUMMYFUNCTION("""COMPUTED_VALUE"""),"Sale chưa cung cấp")</f>
        <v>Sale chưa cung cấp</v>
      </c>
      <c r="E53" s="265" t="str">
        <f>IFERROR(__xludf.DUMMYFUNCTION("""COMPUTED_VALUE"""),"(Chưa recheck)")</f>
        <v>(Chưa recheck)</v>
      </c>
      <c r="F53" s="265" t="str">
        <f>IFERROR(__xludf.DUMMYFUNCTION("""COMPUTED_VALUE"""),"Sale chưa cung cấp")</f>
        <v>Sale chưa cung cấp</v>
      </c>
      <c r="G53" s="265" t="str">
        <f>IFERROR(__xludf.DUMMYFUNCTION("""COMPUTED_VALUE"""),"Enterprise")</f>
        <v>Enterprise</v>
      </c>
      <c r="H53" s="265" t="str">
        <f>IFERROR(__xludf.DUMMYFUNCTION("""COMPUTED_VALUE"""),"(Chưa recheck)")</f>
        <v>(Chưa recheck)</v>
      </c>
      <c r="I53" s="265" t="str">
        <f>IFERROR(__xludf.DUMMYFUNCTION("""COMPUTED_VALUE"""),"(Chưa recheck)")</f>
        <v>(Chưa recheck)</v>
      </c>
      <c r="J53" s="265" t="str">
        <f>IFERROR(__xludf.DUMMYFUNCTION("""COMPUTED_VALUE"""),"(Chưa recheck)")</f>
        <v>(Chưa recheck)</v>
      </c>
      <c r="K53" s="265" t="str">
        <f>IFERROR(__xludf.DUMMYFUNCTION("""COMPUTED_VALUE"""),"(Chưa recheck)")</f>
        <v>(Chưa recheck)</v>
      </c>
    </row>
    <row r="54">
      <c r="A54" s="265" t="str">
        <f>IFERROR(__xludf.DUMMYFUNCTION("""COMPUTED_VALUE"""),"372")</f>
        <v>372</v>
      </c>
      <c r="B54" s="265" t="str">
        <f>IFERROR(__xludf.DUMMYFUNCTION("""COMPUTED_VALUE"""),"Hà Nội")</f>
        <v>Hà Nội</v>
      </c>
      <c r="C54" s="265" t="str">
        <f>IFERROR(__xludf.DUMMYFUNCTION("""COMPUTED_VALUE"""),"Locked")</f>
        <v>Locked</v>
      </c>
      <c r="D54" s="265" t="str">
        <f>IFERROR(__xludf.DUMMYFUNCTION("""COMPUTED_VALUE"""),"Sale chưa cung cấp")</f>
        <v>Sale chưa cung cấp</v>
      </c>
      <c r="E54" s="265" t="str">
        <f>IFERROR(__xludf.DUMMYFUNCTION("""COMPUTED_VALUE"""),"(Không recheck)")</f>
        <v>(Không recheck)</v>
      </c>
      <c r="F54" s="265" t="str">
        <f>IFERROR(__xludf.DUMMYFUNCTION("""COMPUTED_VALUE"""),"Sale chưa cung cấp")</f>
        <v>Sale chưa cung cấp</v>
      </c>
      <c r="G54" s="265" t="str">
        <f>IFERROR(__xludf.DUMMYFUNCTION("""COMPUTED_VALUE"""),"Enterprise")</f>
        <v>Enterprise</v>
      </c>
      <c r="H54" s="265" t="str">
        <f>IFERROR(__xludf.DUMMYFUNCTION("""COMPUTED_VALUE"""),"Trial")</f>
        <v>Trial</v>
      </c>
      <c r="I54" s="265" t="str">
        <f>IFERROR(__xludf.DUMMYFUNCTION("""COMPUTED_VALUE"""),"(Không recheck)")</f>
        <v>(Không recheck)</v>
      </c>
      <c r="J54" s="265" t="str">
        <f>IFERROR(__xludf.DUMMYFUNCTION("""COMPUTED_VALUE"""),"(Không recheck)")</f>
        <v>(Không recheck)</v>
      </c>
      <c r="K54" s="265" t="str">
        <f>IFERROR(__xludf.DUMMYFUNCTION("""COMPUTED_VALUE"""),"(Không recheck)")</f>
        <v>(Không recheck)</v>
      </c>
    </row>
    <row r="55">
      <c r="A55" s="265" t="str">
        <f>IFERROR(__xludf.DUMMYFUNCTION("""COMPUTED_VALUE"""),"373")</f>
        <v>373</v>
      </c>
      <c r="B55" s="265" t="str">
        <f>IFERROR(__xludf.DUMMYFUNCTION("""COMPUTED_VALUE"""),"Hà Nội")</f>
        <v>Hà Nội</v>
      </c>
      <c r="C55" s="265" t="str">
        <f>IFERROR(__xludf.DUMMYFUNCTION("""COMPUTED_VALUE"""),"Locked")</f>
        <v>Locked</v>
      </c>
      <c r="D55" s="265" t="str">
        <f>IFERROR(__xludf.DUMMYFUNCTION("""COMPUTED_VALUE"""),"Sale chưa cung cấp")</f>
        <v>Sale chưa cung cấp</v>
      </c>
      <c r="E55" s="265" t="str">
        <f>IFERROR(__xludf.DUMMYFUNCTION("""COMPUTED_VALUE"""),"(Không recheck)")</f>
        <v>(Không recheck)</v>
      </c>
      <c r="F55" s="265" t="str">
        <f>IFERROR(__xludf.DUMMYFUNCTION("""COMPUTED_VALUE"""),"Sale chưa cung cấp")</f>
        <v>Sale chưa cung cấp</v>
      </c>
      <c r="G55" s="265" t="str">
        <f>IFERROR(__xludf.DUMMYFUNCTION("""COMPUTED_VALUE"""),"Enterprise")</f>
        <v>Enterprise</v>
      </c>
      <c r="H55" s="265" t="str">
        <f>IFERROR(__xludf.DUMMYFUNCTION("""COMPUTED_VALUE"""),"Trial")</f>
        <v>Trial</v>
      </c>
      <c r="I55" s="265" t="str">
        <f>IFERROR(__xludf.DUMMYFUNCTION("""COMPUTED_VALUE"""),"(Không recheck)")</f>
        <v>(Không recheck)</v>
      </c>
      <c r="J55" s="265" t="str">
        <f>IFERROR(__xludf.DUMMYFUNCTION("""COMPUTED_VALUE"""),"API")</f>
        <v>API</v>
      </c>
      <c r="K55" s="265" t="str">
        <f>IFERROR(__xludf.DUMMYFUNCTION("""COMPUTED_VALUE"""),"(Không recheck)")</f>
        <v>(Không recheck)</v>
      </c>
    </row>
    <row r="56">
      <c r="A56" s="265" t="str">
        <f>IFERROR(__xludf.DUMMYFUNCTION("""COMPUTED_VALUE"""),"375")</f>
        <v>375</v>
      </c>
      <c r="B56" s="265" t="str">
        <f>IFERROR(__xludf.DUMMYFUNCTION("""COMPUTED_VALUE"""),"Hà Nội")</f>
        <v>Hà Nội</v>
      </c>
      <c r="C56" s="265" t="str">
        <f>IFERROR(__xludf.DUMMYFUNCTION("""COMPUTED_VALUE"""),"Locked")</f>
        <v>Locked</v>
      </c>
      <c r="D56" s="265" t="str">
        <f>IFERROR(__xludf.DUMMYFUNCTION("""COMPUTED_VALUE"""),"Sale chưa cung cấp")</f>
        <v>Sale chưa cung cấp</v>
      </c>
      <c r="E56" s="265" t="str">
        <f>IFERROR(__xludf.DUMMYFUNCTION("""COMPUTED_VALUE"""),"(Không recheck)")</f>
        <v>(Không recheck)</v>
      </c>
      <c r="F56" s="265" t="str">
        <f>IFERROR(__xludf.DUMMYFUNCTION("""COMPUTED_VALUE"""),"Sale chưa cung cấp")</f>
        <v>Sale chưa cung cấp</v>
      </c>
      <c r="G56" s="265" t="str">
        <f>IFERROR(__xludf.DUMMYFUNCTION("""COMPUTED_VALUE"""),"Enterprise")</f>
        <v>Enterprise</v>
      </c>
      <c r="H56" s="265" t="str">
        <f>IFERROR(__xludf.DUMMYFUNCTION("""COMPUTED_VALUE"""),"Trial")</f>
        <v>Trial</v>
      </c>
      <c r="I56" s="265" t="str">
        <f>IFERROR(__xludf.DUMMYFUNCTION("""COMPUTED_VALUE"""),"(Không recheck)")</f>
        <v>(Không recheck)</v>
      </c>
      <c r="J56" s="265" t="str">
        <f>IFERROR(__xludf.DUMMYFUNCTION("""COMPUTED_VALUE"""),"(Không recheck)")</f>
        <v>(Không recheck)</v>
      </c>
      <c r="K56" s="265" t="str">
        <f>IFERROR(__xludf.DUMMYFUNCTION("""COMPUTED_VALUE"""),"(Không recheck)")</f>
        <v>(Không recheck)</v>
      </c>
    </row>
    <row r="57">
      <c r="A57" s="265" t="str">
        <f>IFERROR(__xludf.DUMMYFUNCTION("""COMPUTED_VALUE"""),"374")</f>
        <v>374</v>
      </c>
      <c r="B57" s="265" t="str">
        <f>IFERROR(__xludf.DUMMYFUNCTION("""COMPUTED_VALUE"""),"Sài Gòn")</f>
        <v>Sài Gòn</v>
      </c>
      <c r="C57" s="265" t="str">
        <f>IFERROR(__xludf.DUMMYFUNCTION("""COMPUTED_VALUE"""),"Locked")</f>
        <v>Locked</v>
      </c>
      <c r="D57" s="265" t="str">
        <f>IFERROR(__xludf.DUMMYFUNCTION("""COMPUTED_VALUE"""),"Sale chưa cung cấp")</f>
        <v>Sale chưa cung cấp</v>
      </c>
      <c r="E57" s="265" t="str">
        <f>IFERROR(__xludf.DUMMYFUNCTION("""COMPUTED_VALUE"""),"NamDT")</f>
        <v>NamDT</v>
      </c>
      <c r="F57" s="265" t="str">
        <f>IFERROR(__xludf.DUMMYFUNCTION("""COMPUTED_VALUE"""),"Sale chưa cung cấp")</f>
        <v>Sale chưa cung cấp</v>
      </c>
      <c r="G57" s="265" t="str">
        <f>IFERROR(__xludf.DUMMYFUNCTION("""COMPUTED_VALUE"""),"Enterprise")</f>
        <v>Enterprise</v>
      </c>
      <c r="H57" s="265" t="str">
        <f>IFERROR(__xludf.DUMMYFUNCTION("""COMPUTED_VALUE"""),"(Chưa recheck)")</f>
        <v>(Chưa recheck)</v>
      </c>
      <c r="I57" s="265" t="str">
        <f>IFERROR(__xludf.DUMMYFUNCTION("""COMPUTED_VALUE"""),"(Chưa recheck)")</f>
        <v>(Chưa recheck)</v>
      </c>
      <c r="J57" s="265" t="str">
        <f>IFERROR(__xludf.DUMMYFUNCTION("""COMPUTED_VALUE"""),"API")</f>
        <v>API</v>
      </c>
      <c r="K57" s="265" t="str">
        <f>IFERROR(__xludf.DUMMYFUNCTION("""COMPUTED_VALUE"""),"(Chưa recheck)")</f>
        <v>(Chưa recheck)</v>
      </c>
    </row>
    <row r="58">
      <c r="A58" s="265" t="str">
        <f>IFERROR(__xludf.DUMMYFUNCTION("""COMPUTED_VALUE"""),"376")</f>
        <v>376</v>
      </c>
      <c r="B58" s="265" t="str">
        <f>IFERROR(__xludf.DUMMYFUNCTION("""COMPUTED_VALUE"""),"Hà Nội")</f>
        <v>Hà Nội</v>
      </c>
      <c r="C58" s="265" t="str">
        <f>IFERROR(__xludf.DUMMYFUNCTION("""COMPUTED_VALUE"""),"Locked")</f>
        <v>Locked</v>
      </c>
      <c r="D58" s="265" t="str">
        <f>IFERROR(__xludf.DUMMYFUNCTION("""COMPUTED_VALUE"""),"Sale chưa cung cấp")</f>
        <v>Sale chưa cung cấp</v>
      </c>
      <c r="E58" s="265" t="str">
        <f>IFERROR(__xludf.DUMMYFUNCTION("""COMPUTED_VALUE"""),"(Không recheck)")</f>
        <v>(Không recheck)</v>
      </c>
      <c r="F58" s="265" t="str">
        <f>IFERROR(__xludf.DUMMYFUNCTION("""COMPUTED_VALUE"""),"Sale chưa cung cấp")</f>
        <v>Sale chưa cung cấp</v>
      </c>
      <c r="G58" s="265" t="str">
        <f>IFERROR(__xludf.DUMMYFUNCTION("""COMPUTED_VALUE"""),"Enterprise")</f>
        <v>Enterprise</v>
      </c>
      <c r="H58" s="265" t="str">
        <f>IFERROR(__xludf.DUMMYFUNCTION("""COMPUTED_VALUE"""),"Trial")</f>
        <v>Trial</v>
      </c>
      <c r="I58" s="265" t="str">
        <f>IFERROR(__xludf.DUMMYFUNCTION("""COMPUTED_VALUE"""),"(Không recheck)")</f>
        <v>(Không recheck)</v>
      </c>
      <c r="J58" s="265" t="str">
        <f>IFERROR(__xludf.DUMMYFUNCTION("""COMPUTED_VALUE"""),"(Không recheck)")</f>
        <v>(Không recheck)</v>
      </c>
      <c r="K58" s="265" t="str">
        <f>IFERROR(__xludf.DUMMYFUNCTION("""COMPUTED_VALUE"""),"(Không recheck)")</f>
        <v>(Không recheck)</v>
      </c>
    </row>
    <row r="59">
      <c r="A59" s="265" t="str">
        <f>IFERROR(__xludf.DUMMYFUNCTION("""COMPUTED_VALUE"""),"377")</f>
        <v>377</v>
      </c>
      <c r="B59" s="265" t="str">
        <f>IFERROR(__xludf.DUMMYFUNCTION("""COMPUTED_VALUE"""),"Hà Nội")</f>
        <v>Hà Nội</v>
      </c>
      <c r="C59" s="265" t="str">
        <f>IFERROR(__xludf.DUMMYFUNCTION("""COMPUTED_VALUE"""),"Locked")</f>
        <v>Locked</v>
      </c>
      <c r="D59" s="265" t="str">
        <f>IFERROR(__xludf.DUMMYFUNCTION("""COMPUTED_VALUE"""),"Sale chưa cung cấp")</f>
        <v>Sale chưa cung cấp</v>
      </c>
      <c r="E59" s="265" t="str">
        <f>IFERROR(__xludf.DUMMYFUNCTION("""COMPUTED_VALUE"""),"(Không recheck)")</f>
        <v>(Không recheck)</v>
      </c>
      <c r="F59" s="265" t="str">
        <f>IFERROR(__xludf.DUMMYFUNCTION("""COMPUTED_VALUE"""),"Sale chưa cung cấp")</f>
        <v>Sale chưa cung cấp</v>
      </c>
      <c r="G59" s="265" t="str">
        <f>IFERROR(__xludf.DUMMYFUNCTION("""COMPUTED_VALUE"""),"API")</f>
        <v>API</v>
      </c>
      <c r="H59" s="265" t="str">
        <f>IFERROR(__xludf.DUMMYFUNCTION("""COMPUTED_VALUE"""),"Trial")</f>
        <v>Trial</v>
      </c>
      <c r="I59" s="265" t="str">
        <f>IFERROR(__xludf.DUMMYFUNCTION("""COMPUTED_VALUE"""),"(Không recheck)")</f>
        <v>(Không recheck)</v>
      </c>
      <c r="J59" s="265" t="str">
        <f>IFERROR(__xludf.DUMMYFUNCTION("""COMPUTED_VALUE"""),"API")</f>
        <v>API</v>
      </c>
      <c r="K59" s="265" t="str">
        <f>IFERROR(__xludf.DUMMYFUNCTION("""COMPUTED_VALUE"""),"(Không recheck)")</f>
        <v>(Không recheck)</v>
      </c>
    </row>
    <row r="60">
      <c r="A60" s="265" t="str">
        <f>IFERROR(__xludf.DUMMYFUNCTION("""COMPUTED_VALUE"""),"378")</f>
        <v>378</v>
      </c>
      <c r="B60" s="265" t="str">
        <f>IFERROR(__xludf.DUMMYFUNCTION("""COMPUTED_VALUE"""),"Hà Nội")</f>
        <v>Hà Nội</v>
      </c>
      <c r="C60" s="265" t="str">
        <f>IFERROR(__xludf.DUMMYFUNCTION("""COMPUTED_VALUE"""),"Locked")</f>
        <v>Locked</v>
      </c>
      <c r="D60" s="265" t="str">
        <f>IFERROR(__xludf.DUMMYFUNCTION("""COMPUTED_VALUE"""),"Sale chưa cung cấp")</f>
        <v>Sale chưa cung cấp</v>
      </c>
      <c r="E60" s="265" t="str">
        <f>IFERROR(__xludf.DUMMYFUNCTION("""COMPUTED_VALUE"""),"(Không recheck)")</f>
        <v>(Không recheck)</v>
      </c>
      <c r="F60" s="265" t="str">
        <f>IFERROR(__xludf.DUMMYFUNCTION("""COMPUTED_VALUE"""),"Sale chưa cung cấp")</f>
        <v>Sale chưa cung cấp</v>
      </c>
      <c r="G60" s="265" t="str">
        <f>IFERROR(__xludf.DUMMYFUNCTION("""COMPUTED_VALUE"""),"MSG")</f>
        <v>MSG</v>
      </c>
      <c r="H60" s="265" t="str">
        <f>IFERROR(__xludf.DUMMYFUNCTION("""COMPUTED_VALUE"""),"Trial")</f>
        <v>Trial</v>
      </c>
      <c r="I60" s="265" t="str">
        <f>IFERROR(__xludf.DUMMYFUNCTION("""COMPUTED_VALUE"""),"(Không recheck)")</f>
        <v>(Không recheck)</v>
      </c>
      <c r="J60" s="265" t="str">
        <f>IFERROR(__xludf.DUMMYFUNCTION("""COMPUTED_VALUE"""),"File Excel")</f>
        <v>File Excel</v>
      </c>
      <c r="K60" s="265" t="str">
        <f>IFERROR(__xludf.DUMMYFUNCTION("""COMPUTED_VALUE"""),"(Không recheck)")</f>
        <v>(Không recheck)</v>
      </c>
    </row>
    <row r="61">
      <c r="A61" s="265" t="str">
        <f>IFERROR(__xludf.DUMMYFUNCTION("""COMPUTED_VALUE"""),"379")</f>
        <v>379</v>
      </c>
      <c r="B61" s="265" t="str">
        <f>IFERROR(__xludf.DUMMYFUNCTION("""COMPUTED_VALUE"""),"Hà Nội")</f>
        <v>Hà Nội</v>
      </c>
      <c r="C61" s="265" t="str">
        <f>IFERROR(__xludf.DUMMYFUNCTION("""COMPUTED_VALUE"""),"Locked")</f>
        <v>Locked</v>
      </c>
      <c r="D61" s="265" t="str">
        <f>IFERROR(__xludf.DUMMYFUNCTION("""COMPUTED_VALUE"""),"Sale chưa cung cấp")</f>
        <v>Sale chưa cung cấp</v>
      </c>
      <c r="E61" s="265" t="str">
        <f>IFERROR(__xludf.DUMMYFUNCTION("""COMPUTED_VALUE"""),"(Không recheck)")</f>
        <v>(Không recheck)</v>
      </c>
      <c r="F61" s="265" t="str">
        <f>IFERROR(__xludf.DUMMYFUNCTION("""COMPUTED_VALUE"""),"Sale chưa cung cấp")</f>
        <v>Sale chưa cung cấp</v>
      </c>
      <c r="G61" s="265" t="str">
        <f>IFERROR(__xludf.DUMMYFUNCTION("""COMPUTED_VALUE"""),"Enterprise")</f>
        <v>Enterprise</v>
      </c>
      <c r="H61" s="265" t="str">
        <f>IFERROR(__xludf.DUMMYFUNCTION("""COMPUTED_VALUE"""),"Trial")</f>
        <v>Trial</v>
      </c>
      <c r="I61" s="265" t="str">
        <f>IFERROR(__xludf.DUMMYFUNCTION("""COMPUTED_VALUE"""),"(Không recheck)")</f>
        <v>(Không recheck)</v>
      </c>
      <c r="J61" s="265" t="str">
        <f>IFERROR(__xludf.DUMMYFUNCTION("""COMPUTED_VALUE"""),"(Không recheck)")</f>
        <v>(Không recheck)</v>
      </c>
      <c r="K61" s="265" t="str">
        <f>IFERROR(__xludf.DUMMYFUNCTION("""COMPUTED_VALUE"""),"(Không recheck)")</f>
        <v>(Không recheck)</v>
      </c>
    </row>
    <row r="62">
      <c r="A62" s="265" t="str">
        <f>IFERROR(__xludf.DUMMYFUNCTION("""COMPUTED_VALUE"""),"380")</f>
        <v>380</v>
      </c>
      <c r="B62" s="265" t="str">
        <f>IFERROR(__xludf.DUMMYFUNCTION("""COMPUTED_VALUE"""),"Hà Nội")</f>
        <v>Hà Nội</v>
      </c>
      <c r="C62" s="265" t="str">
        <f>IFERROR(__xludf.DUMMYFUNCTION("""COMPUTED_VALUE"""),"Locked")</f>
        <v>Locked</v>
      </c>
      <c r="D62" s="265" t="str">
        <f>IFERROR(__xludf.DUMMYFUNCTION("""COMPUTED_VALUE"""),"Sale chưa cung cấp")</f>
        <v>Sale chưa cung cấp</v>
      </c>
      <c r="E62" s="265" t="str">
        <f>IFERROR(__xludf.DUMMYFUNCTION("""COMPUTED_VALUE"""),"(Chưa recheck)")</f>
        <v>(Chưa recheck)</v>
      </c>
      <c r="F62" s="265" t="str">
        <f>IFERROR(__xludf.DUMMYFUNCTION("""COMPUTED_VALUE"""),"Sale chưa cung cấp")</f>
        <v>Sale chưa cung cấp</v>
      </c>
      <c r="G62" s="265" t="str">
        <f>IFERROR(__xludf.DUMMYFUNCTION("""COMPUTED_VALUE"""),"API")</f>
        <v>API</v>
      </c>
      <c r="H62" s="265" t="str">
        <f>IFERROR(__xludf.DUMMYFUNCTION("""COMPUTED_VALUE"""),"(Chưa recheck)")</f>
        <v>(Chưa recheck)</v>
      </c>
      <c r="I62" s="265" t="str">
        <f>IFERROR(__xludf.DUMMYFUNCTION("""COMPUTED_VALUE"""),"(Chưa recheck)")</f>
        <v>(Chưa recheck)</v>
      </c>
      <c r="J62" s="265" t="str">
        <f>IFERROR(__xludf.DUMMYFUNCTION("""COMPUTED_VALUE"""),"API")</f>
        <v>API</v>
      </c>
      <c r="K62" s="265" t="str">
        <f>IFERROR(__xludf.DUMMYFUNCTION("""COMPUTED_VALUE"""),"(Chưa recheck)")</f>
        <v>(Chưa recheck)</v>
      </c>
    </row>
    <row r="63">
      <c r="A63" s="265" t="str">
        <f>IFERROR(__xludf.DUMMYFUNCTION("""COMPUTED_VALUE"""),"383")</f>
        <v>383</v>
      </c>
      <c r="B63" s="265" t="str">
        <f>IFERROR(__xludf.DUMMYFUNCTION("""COMPUTED_VALUE"""),"Hà Nội")</f>
        <v>Hà Nội</v>
      </c>
      <c r="C63" s="265" t="str">
        <f>IFERROR(__xludf.DUMMYFUNCTION("""COMPUTED_VALUE"""),"Locked")</f>
        <v>Locked</v>
      </c>
      <c r="D63" s="265" t="str">
        <f>IFERROR(__xludf.DUMMYFUNCTION("""COMPUTED_VALUE"""),"Sale chưa cung cấp")</f>
        <v>Sale chưa cung cấp</v>
      </c>
      <c r="E63" s="265" t="str">
        <f>IFERROR(__xludf.DUMMYFUNCTION("""COMPUTED_VALUE"""),"HangNT")</f>
        <v>HangNT</v>
      </c>
      <c r="F63" s="265" t="str">
        <f>IFERROR(__xludf.DUMMYFUNCTION("""COMPUTED_VALUE"""),"Sale chưa cung cấp")</f>
        <v>Sale chưa cung cấp</v>
      </c>
      <c r="G63" s="265" t="str">
        <f>IFERROR(__xludf.DUMMYFUNCTION("""COMPUTED_VALUE"""),"API")</f>
        <v>API</v>
      </c>
      <c r="H63" s="265" t="str">
        <f>IFERROR(__xludf.DUMMYFUNCTION("""COMPUTED_VALUE"""),"Trả sau")</f>
        <v>Trả sau</v>
      </c>
      <c r="I63" s="265" t="str">
        <f>IFERROR(__xludf.DUMMYFUNCTION("""COMPUTED_VALUE"""),"(Chưa recheck)")</f>
        <v>(Chưa recheck)</v>
      </c>
      <c r="J63" s="265" t="str">
        <f>IFERROR(__xludf.DUMMYFUNCTION("""COMPUTED_VALUE"""),"(Chưa recheck)")</f>
        <v>(Chưa recheck)</v>
      </c>
      <c r="K63" s="265" t="str">
        <f>IFERROR(__xludf.DUMMYFUNCTION("""COMPUTED_VALUE"""),"(Chưa recheck)")</f>
        <v>(Chưa recheck)</v>
      </c>
    </row>
    <row r="64">
      <c r="A64" s="265" t="str">
        <f>IFERROR(__xludf.DUMMYFUNCTION("""COMPUTED_VALUE"""),"384")</f>
        <v>384</v>
      </c>
      <c r="B64" s="265" t="str">
        <f>IFERROR(__xludf.DUMMYFUNCTION("""COMPUTED_VALUE"""),"Hà Nội")</f>
        <v>Hà Nội</v>
      </c>
      <c r="C64" s="265" t="str">
        <f>IFERROR(__xludf.DUMMYFUNCTION("""COMPUTED_VALUE"""),"Locked")</f>
        <v>Locked</v>
      </c>
      <c r="D64" s="265" t="str">
        <f>IFERROR(__xludf.DUMMYFUNCTION("""COMPUTED_VALUE"""),"Sale chưa cung cấp")</f>
        <v>Sale chưa cung cấp</v>
      </c>
      <c r="E64" s="265" t="str">
        <f>IFERROR(__xludf.DUMMYFUNCTION("""COMPUTED_VALUE"""),"(Chưa recheck)")</f>
        <v>(Chưa recheck)</v>
      </c>
      <c r="F64" s="265" t="str">
        <f>IFERROR(__xludf.DUMMYFUNCTION("""COMPUTED_VALUE"""),"Sale chưa cung cấp")</f>
        <v>Sale chưa cung cấp</v>
      </c>
      <c r="G64" s="265" t="str">
        <f>IFERROR(__xludf.DUMMYFUNCTION("""COMPUTED_VALUE"""),"MSG")</f>
        <v>MSG</v>
      </c>
      <c r="H64" s="265" t="str">
        <f>IFERROR(__xludf.DUMMYFUNCTION("""COMPUTED_VALUE"""),"(Chưa recheck)")</f>
        <v>(Chưa recheck)</v>
      </c>
      <c r="I64" s="265" t="str">
        <f>IFERROR(__xludf.DUMMYFUNCTION("""COMPUTED_VALUE"""),"(Chưa recheck)")</f>
        <v>(Chưa recheck)</v>
      </c>
      <c r="J64" s="265" t="str">
        <f>IFERROR(__xludf.DUMMYFUNCTION("""COMPUTED_VALUE"""),"(Chưa recheck)")</f>
        <v>(Chưa recheck)</v>
      </c>
      <c r="K64" s="265" t="str">
        <f>IFERROR(__xludf.DUMMYFUNCTION("""COMPUTED_VALUE"""),"(Chưa recheck)")</f>
        <v>(Chưa recheck)</v>
      </c>
    </row>
    <row r="65">
      <c r="A65" s="265" t="str">
        <f>IFERROR(__xludf.DUMMYFUNCTION("""COMPUTED_VALUE"""),"386")</f>
        <v>386</v>
      </c>
      <c r="B65" s="265" t="str">
        <f>IFERROR(__xludf.DUMMYFUNCTION("""COMPUTED_VALUE"""),"Hà Nội")</f>
        <v>Hà Nội</v>
      </c>
      <c r="C65" s="265" t="str">
        <f>IFERROR(__xludf.DUMMYFUNCTION("""COMPUTED_VALUE"""),"Locked")</f>
        <v>Locked</v>
      </c>
      <c r="D65" s="265" t="str">
        <f>IFERROR(__xludf.DUMMYFUNCTION("""COMPUTED_VALUE"""),"Sale chưa cung cấp")</f>
        <v>Sale chưa cung cấp</v>
      </c>
      <c r="E65" s="265" t="str">
        <f>IFERROR(__xludf.DUMMYFUNCTION("""COMPUTED_VALUE"""),"(Không recheck)")</f>
        <v>(Không recheck)</v>
      </c>
      <c r="F65" s="265" t="str">
        <f>IFERROR(__xludf.DUMMYFUNCTION("""COMPUTED_VALUE"""),"Sale chưa cung cấp")</f>
        <v>Sale chưa cung cấp</v>
      </c>
      <c r="G65" s="265" t="str">
        <f>IFERROR(__xludf.DUMMYFUNCTION("""COMPUTED_VALUE"""),"Enterprise")</f>
        <v>Enterprise</v>
      </c>
      <c r="H65" s="265" t="str">
        <f>IFERROR(__xludf.DUMMYFUNCTION("""COMPUTED_VALUE"""),"Trial")</f>
        <v>Trial</v>
      </c>
      <c r="I65" s="265" t="str">
        <f>IFERROR(__xludf.DUMMYFUNCTION("""COMPUTED_VALUE"""),"(Không recheck)")</f>
        <v>(Không recheck)</v>
      </c>
      <c r="J65" s="265" t="str">
        <f>IFERROR(__xludf.DUMMYFUNCTION("""COMPUTED_VALUE"""),"(Không recheck)")</f>
        <v>(Không recheck)</v>
      </c>
      <c r="K65" s="265" t="str">
        <f>IFERROR(__xludf.DUMMYFUNCTION("""COMPUTED_VALUE"""),"(Không recheck)")</f>
        <v>(Không recheck)</v>
      </c>
    </row>
    <row r="66">
      <c r="A66" s="265" t="str">
        <f>IFERROR(__xludf.DUMMYFUNCTION("""COMPUTED_VALUE"""),"387")</f>
        <v>387</v>
      </c>
      <c r="B66" s="265" t="str">
        <f>IFERROR(__xludf.DUMMYFUNCTION("""COMPUTED_VALUE"""),"Hà Nội")</f>
        <v>Hà Nội</v>
      </c>
      <c r="C66" s="265" t="str">
        <f>IFERROR(__xludf.DUMMYFUNCTION("""COMPUTED_VALUE"""),"Locked")</f>
        <v>Locked</v>
      </c>
      <c r="D66" s="265" t="str">
        <f>IFERROR(__xludf.DUMMYFUNCTION("""COMPUTED_VALUE"""),"Sale chưa cung cấp")</f>
        <v>Sale chưa cung cấp</v>
      </c>
      <c r="E66" s="265" t="str">
        <f>IFERROR(__xludf.DUMMYFUNCTION("""COMPUTED_VALUE"""),"(Không recheck)")</f>
        <v>(Không recheck)</v>
      </c>
      <c r="F66" s="265" t="str">
        <f>IFERROR(__xludf.DUMMYFUNCTION("""COMPUTED_VALUE"""),"Sale chưa cung cấp")</f>
        <v>Sale chưa cung cấp</v>
      </c>
      <c r="G66" s="265" t="str">
        <f>IFERROR(__xludf.DUMMYFUNCTION("""COMPUTED_VALUE"""),"Enterprise")</f>
        <v>Enterprise</v>
      </c>
      <c r="H66" s="265" t="str">
        <f>IFERROR(__xludf.DUMMYFUNCTION("""COMPUTED_VALUE"""),"Trial")</f>
        <v>Trial</v>
      </c>
      <c r="I66" s="265" t="str">
        <f>IFERROR(__xludf.DUMMYFUNCTION("""COMPUTED_VALUE"""),"(Không recheck)")</f>
        <v>(Không recheck)</v>
      </c>
      <c r="J66" s="265" t="str">
        <f>IFERROR(__xludf.DUMMYFUNCTION("""COMPUTED_VALUE"""),"(Không recheck)")</f>
        <v>(Không recheck)</v>
      </c>
      <c r="K66" s="265" t="str">
        <f>IFERROR(__xludf.DUMMYFUNCTION("""COMPUTED_VALUE"""),"(Không recheck)")</f>
        <v>(Không recheck)</v>
      </c>
    </row>
    <row r="67">
      <c r="A67" s="265" t="str">
        <f>IFERROR(__xludf.DUMMYFUNCTION("""COMPUTED_VALUE"""),"388")</f>
        <v>388</v>
      </c>
      <c r="B67" s="265" t="str">
        <f>IFERROR(__xludf.DUMMYFUNCTION("""COMPUTED_VALUE"""),"Hà Nội")</f>
        <v>Hà Nội</v>
      </c>
      <c r="C67" s="265" t="str">
        <f>IFERROR(__xludf.DUMMYFUNCTION("""COMPUTED_VALUE"""),"Active")</f>
        <v>Active</v>
      </c>
      <c r="D67" s="265" t="str">
        <f>IFERROR(__xludf.DUMMYFUNCTION("""COMPUTED_VALUE"""),"Sale chưa cung cấp")</f>
        <v>Sale chưa cung cấp</v>
      </c>
      <c r="E67" s="265" t="str">
        <f>IFERROR(__xludf.DUMMYFUNCTION("""COMPUTED_VALUE"""),"TúPHN")</f>
        <v>TúPHN</v>
      </c>
      <c r="F67" s="265" t="str">
        <f>IFERROR(__xludf.DUMMYFUNCTION("""COMPUTED_VALUE"""),"Bronze")</f>
        <v>Bronze</v>
      </c>
      <c r="G67" s="265" t="str">
        <f>IFERROR(__xludf.DUMMYFUNCTION("""COMPUTED_VALUE"""),"Standard")</f>
        <v>Standard</v>
      </c>
      <c r="H67" s="265" t="str">
        <f>IFERROR(__xludf.DUMMYFUNCTION("""COMPUTED_VALUE"""),"Trả trước")</f>
        <v>Trả trước</v>
      </c>
      <c r="I67" s="265" t="str">
        <f>IFERROR(__xludf.DUMMYFUNCTION("""COMPUTED_VALUE"""),"API")</f>
        <v>API</v>
      </c>
      <c r="J67" s="265" t="str">
        <f>IFERROR(__xludf.DUMMYFUNCTION("""COMPUTED_VALUE"""),"API")</f>
        <v>API</v>
      </c>
      <c r="K67" s="265" t="str">
        <f>IFERROR(__xludf.DUMMYFUNCTION("""COMPUTED_VALUE"""),"DungPL")</f>
        <v>DungPL</v>
      </c>
    </row>
    <row r="68">
      <c r="A68" s="265" t="str">
        <f>IFERROR(__xludf.DUMMYFUNCTION("""COMPUTED_VALUE"""),"385")</f>
        <v>385</v>
      </c>
      <c r="B68" s="265" t="str">
        <f>IFERROR(__xludf.DUMMYFUNCTION("""COMPUTED_VALUE"""),"Sài Gòn")</f>
        <v>Sài Gòn</v>
      </c>
      <c r="C68" s="265" t="str">
        <f>IFERROR(__xludf.DUMMYFUNCTION("""COMPUTED_VALUE"""),"Locked")</f>
        <v>Locked</v>
      </c>
      <c r="D68" s="265" t="str">
        <f>IFERROR(__xludf.DUMMYFUNCTION("""COMPUTED_VALUE"""),"Sale chưa cung cấp")</f>
        <v>Sale chưa cung cấp</v>
      </c>
      <c r="E68" s="265" t="str">
        <f>IFERROR(__xludf.DUMMYFUNCTION("""COMPUTED_VALUE"""),"PhươngDTB")</f>
        <v>PhươngDTB</v>
      </c>
      <c r="F68" s="265" t="str">
        <f>IFERROR(__xludf.DUMMYFUNCTION("""COMPUTED_VALUE"""),"Silver")</f>
        <v>Silver</v>
      </c>
      <c r="G68" s="265" t="str">
        <f>IFERROR(__xludf.DUMMYFUNCTION("""COMPUTED_VALUE"""),"Enterprise")</f>
        <v>Enterprise</v>
      </c>
      <c r="H68" s="265" t="str">
        <f>IFERROR(__xludf.DUMMYFUNCTION("""COMPUTED_VALUE"""),"(Chưa recheck)")</f>
        <v>(Chưa recheck)</v>
      </c>
      <c r="I68" s="265" t="str">
        <f>IFERROR(__xludf.DUMMYFUNCTION("""COMPUTED_VALUE"""),"(Chưa recheck)")</f>
        <v>(Chưa recheck)</v>
      </c>
      <c r="J68" s="265" t="str">
        <f>IFERROR(__xludf.DUMMYFUNCTION("""COMPUTED_VALUE"""),"Haravan")</f>
        <v>Haravan</v>
      </c>
      <c r="K68" s="265" t="str">
        <f>IFERROR(__xludf.DUMMYFUNCTION("""COMPUTED_VALUE"""),"AnhNM")</f>
        <v>AnhNM</v>
      </c>
    </row>
    <row r="69">
      <c r="A69" s="265" t="str">
        <f>IFERROR(__xludf.DUMMYFUNCTION("""COMPUTED_VALUE"""),"390")</f>
        <v>390</v>
      </c>
      <c r="B69" s="265" t="str">
        <f>IFERROR(__xludf.DUMMYFUNCTION("""COMPUTED_VALUE"""),"Sài Gòn")</f>
        <v>Sài Gòn</v>
      </c>
      <c r="C69" s="265" t="str">
        <f>IFERROR(__xludf.DUMMYFUNCTION("""COMPUTED_VALUE"""),"Locked")</f>
        <v>Locked</v>
      </c>
      <c r="D69" s="265" t="str">
        <f>IFERROR(__xludf.DUMMYFUNCTION("""COMPUTED_VALUE"""),"Sale chưa cung cấp")</f>
        <v>Sale chưa cung cấp</v>
      </c>
      <c r="E69" s="265" t="str">
        <f>IFERROR(__xludf.DUMMYFUNCTION("""COMPUTED_VALUE"""),"NamDT")</f>
        <v>NamDT</v>
      </c>
      <c r="F69" s="265" t="str">
        <f>IFERROR(__xludf.DUMMYFUNCTION("""COMPUTED_VALUE"""),"Sale chưa cung cấp")</f>
        <v>Sale chưa cung cấp</v>
      </c>
      <c r="G69" s="265" t="str">
        <f>IFERROR(__xludf.DUMMYFUNCTION("""COMPUTED_VALUE"""),"Enterprise")</f>
        <v>Enterprise</v>
      </c>
      <c r="H69" s="265" t="str">
        <f>IFERROR(__xludf.DUMMYFUNCTION("""COMPUTED_VALUE"""),"(Chưa recheck)")</f>
        <v>(Chưa recheck)</v>
      </c>
      <c r="I69" s="265" t="str">
        <f>IFERROR(__xludf.DUMMYFUNCTION("""COMPUTED_VALUE"""),"(Chưa recheck)")</f>
        <v>(Chưa recheck)</v>
      </c>
      <c r="J69" s="265" t="str">
        <f>IFERROR(__xludf.DUMMYFUNCTION("""COMPUTED_VALUE"""),"API")</f>
        <v>API</v>
      </c>
      <c r="K69" s="265" t="str">
        <f>IFERROR(__xludf.DUMMYFUNCTION("""COMPUTED_VALUE"""),"AnhNM")</f>
        <v>AnhNM</v>
      </c>
    </row>
    <row r="70">
      <c r="A70" s="265" t="str">
        <f>IFERROR(__xludf.DUMMYFUNCTION("""COMPUTED_VALUE"""),"391")</f>
        <v>391</v>
      </c>
      <c r="B70" s="265" t="str">
        <f>IFERROR(__xludf.DUMMYFUNCTION("""COMPUTED_VALUE"""),"Sài Gòn")</f>
        <v>Sài Gòn</v>
      </c>
      <c r="C70" s="265" t="str">
        <f>IFERROR(__xludf.DUMMYFUNCTION("""COMPUTED_VALUE"""),"Locked")</f>
        <v>Locked</v>
      </c>
      <c r="D70" s="265" t="str">
        <f>IFERROR(__xludf.DUMMYFUNCTION("""COMPUTED_VALUE"""),"Sale chưa cung cấp")</f>
        <v>Sale chưa cung cấp</v>
      </c>
      <c r="E70" s="265" t="str">
        <f>IFERROR(__xludf.DUMMYFUNCTION("""COMPUTED_VALUE"""),"NamDT")</f>
        <v>NamDT</v>
      </c>
      <c r="F70" s="265" t="str">
        <f>IFERROR(__xludf.DUMMYFUNCTION("""COMPUTED_VALUE"""),"Sale chưa cung cấp")</f>
        <v>Sale chưa cung cấp</v>
      </c>
      <c r="G70" s="265" t="str">
        <f>IFERROR(__xludf.DUMMYFUNCTION("""COMPUTED_VALUE"""),"Enterprise")</f>
        <v>Enterprise</v>
      </c>
      <c r="H70" s="265" t="str">
        <f>IFERROR(__xludf.DUMMYFUNCTION("""COMPUTED_VALUE"""),"(Chưa recheck)")</f>
        <v>(Chưa recheck)</v>
      </c>
      <c r="I70" s="265" t="str">
        <f>IFERROR(__xludf.DUMMYFUNCTION("""COMPUTED_VALUE"""),"(Chưa recheck)")</f>
        <v>(Chưa recheck)</v>
      </c>
      <c r="J70" s="265" t="str">
        <f>IFERROR(__xludf.DUMMYFUNCTION("""COMPUTED_VALUE"""),"Kiotviet")</f>
        <v>Kiotviet</v>
      </c>
      <c r="K70" s="265" t="str">
        <f>IFERROR(__xludf.DUMMYFUNCTION("""COMPUTED_VALUE"""),"AnhNM")</f>
        <v>AnhNM</v>
      </c>
    </row>
    <row r="71">
      <c r="A71" s="265" t="str">
        <f>IFERROR(__xludf.DUMMYFUNCTION("""COMPUTED_VALUE"""),"392")</f>
        <v>392</v>
      </c>
      <c r="B71" s="265" t="str">
        <f>IFERROR(__xludf.DUMMYFUNCTION("""COMPUTED_VALUE"""),"Hà Nội")</f>
        <v>Hà Nội</v>
      </c>
      <c r="C71" s="265" t="str">
        <f>IFERROR(__xludf.DUMMYFUNCTION("""COMPUTED_VALUE"""),"Locked")</f>
        <v>Locked</v>
      </c>
      <c r="D71" s="265" t="str">
        <f>IFERROR(__xludf.DUMMYFUNCTION("""COMPUTED_VALUE"""),"Sale chưa cung cấp")</f>
        <v>Sale chưa cung cấp</v>
      </c>
      <c r="E71" s="265" t="str">
        <f>IFERROR(__xludf.DUMMYFUNCTION("""COMPUTED_VALUE"""),"HangNT")</f>
        <v>HangNT</v>
      </c>
      <c r="F71" s="265" t="str">
        <f>IFERROR(__xludf.DUMMYFUNCTION("""COMPUTED_VALUE"""),"Bronze")</f>
        <v>Bronze</v>
      </c>
      <c r="G71" s="265" t="str">
        <f>IFERROR(__xludf.DUMMYFUNCTION("""COMPUTED_VALUE"""),"Enterprise")</f>
        <v>Enterprise</v>
      </c>
      <c r="H71" s="265" t="str">
        <f>IFERROR(__xludf.DUMMYFUNCTION("""COMPUTED_VALUE"""),"(Chưa recheck)")</f>
        <v>(Chưa recheck)</v>
      </c>
      <c r="I71" s="265" t="str">
        <f>IFERROR(__xludf.DUMMYFUNCTION("""COMPUTED_VALUE"""),"(Chưa recheck)")</f>
        <v>(Chưa recheck)</v>
      </c>
      <c r="J71" s="265" t="str">
        <f>IFERROR(__xludf.DUMMYFUNCTION("""COMPUTED_VALUE"""),"WooCommerce")</f>
        <v>WooCommerce</v>
      </c>
      <c r="K71" s="265" t="str">
        <f>IFERROR(__xludf.DUMMYFUNCTION("""COMPUTED_VALUE"""),"AnhNM")</f>
        <v>AnhNM</v>
      </c>
    </row>
    <row r="72">
      <c r="A72" s="265" t="str">
        <f>IFERROR(__xludf.DUMMYFUNCTION("""COMPUTED_VALUE"""),"393")</f>
        <v>393</v>
      </c>
      <c r="B72" s="265" t="str">
        <f>IFERROR(__xludf.DUMMYFUNCTION("""COMPUTED_VALUE"""),"Hà Nội")</f>
        <v>Hà Nội</v>
      </c>
      <c r="C72" s="265" t="str">
        <f>IFERROR(__xludf.DUMMYFUNCTION("""COMPUTED_VALUE"""),"Locked")</f>
        <v>Locked</v>
      </c>
      <c r="D72" s="265" t="str">
        <f>IFERROR(__xludf.DUMMYFUNCTION("""COMPUTED_VALUE"""),"Sale chưa cung cấp")</f>
        <v>Sale chưa cung cấp</v>
      </c>
      <c r="E72" s="265" t="str">
        <f>IFERROR(__xludf.DUMMYFUNCTION("""COMPUTED_VALUE"""),"HangNT")</f>
        <v>HangNT</v>
      </c>
      <c r="F72" s="265" t="str">
        <f>IFERROR(__xludf.DUMMYFUNCTION("""COMPUTED_VALUE"""),"Bronze")</f>
        <v>Bronze</v>
      </c>
      <c r="G72" s="265" t="str">
        <f>IFERROR(__xludf.DUMMYFUNCTION("""COMPUTED_VALUE"""),"Enterprise")</f>
        <v>Enterprise</v>
      </c>
      <c r="H72" s="265" t="str">
        <f>IFERROR(__xludf.DUMMYFUNCTION("""COMPUTED_VALUE"""),"(Chưa recheck)")</f>
        <v>(Chưa recheck)</v>
      </c>
      <c r="I72" s="265" t="str">
        <f>IFERROR(__xludf.DUMMYFUNCTION("""COMPUTED_VALUE"""),"(Chưa recheck)")</f>
        <v>(Chưa recheck)</v>
      </c>
      <c r="J72" s="265" t="str">
        <f>IFERROR(__xludf.DUMMYFUNCTION("""COMPUTED_VALUE"""),"File Excel")</f>
        <v>File Excel</v>
      </c>
      <c r="K72" s="265" t="str">
        <f>IFERROR(__xludf.DUMMYFUNCTION("""COMPUTED_VALUE"""),"AnhNM")</f>
        <v>AnhNM</v>
      </c>
    </row>
    <row r="73">
      <c r="A73" s="265" t="str">
        <f>IFERROR(__xludf.DUMMYFUNCTION("""COMPUTED_VALUE"""),"394")</f>
        <v>394</v>
      </c>
      <c r="B73" s="265" t="str">
        <f>IFERROR(__xludf.DUMMYFUNCTION("""COMPUTED_VALUE"""),"Hà Nội")</f>
        <v>Hà Nội</v>
      </c>
      <c r="C73" s="265" t="str">
        <f>IFERROR(__xludf.DUMMYFUNCTION("""COMPUTED_VALUE"""),"Locked")</f>
        <v>Locked</v>
      </c>
      <c r="D73" s="265" t="str">
        <f>IFERROR(__xludf.DUMMYFUNCTION("""COMPUTED_VALUE"""),"Sale chưa cung cấp")</f>
        <v>Sale chưa cung cấp</v>
      </c>
      <c r="E73" s="265" t="str">
        <f>IFERROR(__xludf.DUMMYFUNCTION("""COMPUTED_VALUE"""),"(Chưa recheck)")</f>
        <v>(Chưa recheck)</v>
      </c>
      <c r="F73" s="265" t="str">
        <f>IFERROR(__xludf.DUMMYFUNCTION("""COMPUTED_VALUE"""),"Bronze")</f>
        <v>Bronze</v>
      </c>
      <c r="G73" s="265" t="str">
        <f>IFERROR(__xludf.DUMMYFUNCTION("""COMPUTED_VALUE"""),"MSG")</f>
        <v>MSG</v>
      </c>
      <c r="H73" s="265" t="str">
        <f>IFERROR(__xludf.DUMMYFUNCTION("""COMPUTED_VALUE"""),"(Chưa recheck)")</f>
        <v>(Chưa recheck)</v>
      </c>
      <c r="I73" s="265" t="str">
        <f>IFERROR(__xludf.DUMMYFUNCTION("""COMPUTED_VALUE"""),"(Chưa recheck)")</f>
        <v>(Chưa recheck)</v>
      </c>
      <c r="J73" s="265" t="str">
        <f>IFERROR(__xludf.DUMMYFUNCTION("""COMPUTED_VALUE"""),"File Excel")</f>
        <v>File Excel</v>
      </c>
      <c r="K73" s="265" t="str">
        <f>IFERROR(__xludf.DUMMYFUNCTION("""COMPUTED_VALUE"""),"AnhNM")</f>
        <v>AnhNM</v>
      </c>
    </row>
    <row r="74">
      <c r="A74" s="265" t="str">
        <f>IFERROR(__xludf.DUMMYFUNCTION("""COMPUTED_VALUE"""),"395")</f>
        <v>395</v>
      </c>
      <c r="B74" s="265" t="str">
        <f>IFERROR(__xludf.DUMMYFUNCTION("""COMPUTED_VALUE"""),"Hà Nội")</f>
        <v>Hà Nội</v>
      </c>
      <c r="C74" s="265" t="str">
        <f>IFERROR(__xludf.DUMMYFUNCTION("""COMPUTED_VALUE"""),"Locked")</f>
        <v>Locked</v>
      </c>
      <c r="D74" s="265" t="str">
        <f>IFERROR(__xludf.DUMMYFUNCTION("""COMPUTED_VALUE"""),"Sale chưa cung cấp")</f>
        <v>Sale chưa cung cấp</v>
      </c>
      <c r="E74" s="265" t="str">
        <f>IFERROR(__xludf.DUMMYFUNCTION("""COMPUTED_VALUE"""),"HangNT")</f>
        <v>HangNT</v>
      </c>
      <c r="F74" s="265" t="str">
        <f>IFERROR(__xludf.DUMMYFUNCTION("""COMPUTED_VALUE"""),"Sale chưa cung cấp")</f>
        <v>Sale chưa cung cấp</v>
      </c>
      <c r="G74" s="265" t="str">
        <f>IFERROR(__xludf.DUMMYFUNCTION("""COMPUTED_VALUE"""),"API")</f>
        <v>API</v>
      </c>
      <c r="H74" s="265" t="str">
        <f>IFERROR(__xludf.DUMMYFUNCTION("""COMPUTED_VALUE"""),"(Chưa recheck)")</f>
        <v>(Chưa recheck)</v>
      </c>
      <c r="I74" s="265" t="str">
        <f>IFERROR(__xludf.DUMMYFUNCTION("""COMPUTED_VALUE"""),"(Chưa recheck)")</f>
        <v>(Chưa recheck)</v>
      </c>
      <c r="J74" s="265" t="str">
        <f>IFERROR(__xludf.DUMMYFUNCTION("""COMPUTED_VALUE"""),"(Chưa recheck)")</f>
        <v>(Chưa recheck)</v>
      </c>
      <c r="K74" s="265" t="str">
        <f>IFERROR(__xludf.DUMMYFUNCTION("""COMPUTED_VALUE"""),"(Chưa recheck)")</f>
        <v>(Chưa recheck)</v>
      </c>
    </row>
    <row r="75">
      <c r="A75" s="265" t="str">
        <f>IFERROR(__xludf.DUMMYFUNCTION("""COMPUTED_VALUE"""),"396")</f>
        <v>396</v>
      </c>
      <c r="B75" s="265" t="str">
        <f>IFERROR(__xludf.DUMMYFUNCTION("""COMPUTED_VALUE"""),"Hà Nội")</f>
        <v>Hà Nội</v>
      </c>
      <c r="C75" s="265" t="str">
        <f>IFERROR(__xludf.DUMMYFUNCTION("""COMPUTED_VALUE"""),"Locked")</f>
        <v>Locked</v>
      </c>
      <c r="D75" s="265" t="str">
        <f>IFERROR(__xludf.DUMMYFUNCTION("""COMPUTED_VALUE"""),"Sale chưa cung cấp")</f>
        <v>Sale chưa cung cấp</v>
      </c>
      <c r="E75" s="265" t="str">
        <f>IFERROR(__xludf.DUMMYFUNCTION("""COMPUTED_VALUE"""),"HangNT")</f>
        <v>HangNT</v>
      </c>
      <c r="F75" s="265" t="str">
        <f>IFERROR(__xludf.DUMMYFUNCTION("""COMPUTED_VALUE"""),"Bronze")</f>
        <v>Bronze</v>
      </c>
      <c r="G75" s="265" t="str">
        <f>IFERROR(__xludf.DUMMYFUNCTION("""COMPUTED_VALUE"""),"Enterprise")</f>
        <v>Enterprise</v>
      </c>
      <c r="H75" s="265" t="str">
        <f>IFERROR(__xludf.DUMMYFUNCTION("""COMPUTED_VALUE"""),"(Chưa recheck)")</f>
        <v>(Chưa recheck)</v>
      </c>
      <c r="I75" s="265" t="str">
        <f>IFERROR(__xludf.DUMMYFUNCTION("""COMPUTED_VALUE"""),"(Chưa recheck)")</f>
        <v>(Chưa recheck)</v>
      </c>
      <c r="J75" s="265" t="str">
        <f>IFERROR(__xludf.DUMMYFUNCTION("""COMPUTED_VALUE"""),"File Excel")</f>
        <v>File Excel</v>
      </c>
      <c r="K75" s="265" t="str">
        <f>IFERROR(__xludf.DUMMYFUNCTION("""COMPUTED_VALUE"""),"AnhNM")</f>
        <v>AnhNM</v>
      </c>
    </row>
    <row r="76">
      <c r="A76" s="265" t="str">
        <f>IFERROR(__xludf.DUMMYFUNCTION("""COMPUTED_VALUE"""),"398")</f>
        <v>398</v>
      </c>
      <c r="B76" s="265" t="str">
        <f>IFERROR(__xludf.DUMMYFUNCTION("""COMPUTED_VALUE"""),"Sài Gòn")</f>
        <v>Sài Gòn</v>
      </c>
      <c r="C76" s="265" t="str">
        <f>IFERROR(__xludf.DUMMYFUNCTION("""COMPUTED_VALUE"""),"Locked")</f>
        <v>Locked</v>
      </c>
      <c r="D76" s="265" t="str">
        <f>IFERROR(__xludf.DUMMYFUNCTION("""COMPUTED_VALUE"""),"Sale chưa cung cấp")</f>
        <v>Sale chưa cung cấp</v>
      </c>
      <c r="E76" s="265" t="str">
        <f>IFERROR(__xludf.DUMMYFUNCTION("""COMPUTED_VALUE"""),"(Chưa recheck)")</f>
        <v>(Chưa recheck)</v>
      </c>
      <c r="F76" s="265" t="str">
        <f>IFERROR(__xludf.DUMMYFUNCTION("""COMPUTED_VALUE"""),"Diamond")</f>
        <v>Diamond</v>
      </c>
      <c r="G76" s="265" t="str">
        <f>IFERROR(__xludf.DUMMYFUNCTION("""COMPUTED_VALUE"""),"MSG")</f>
        <v>MSG</v>
      </c>
      <c r="H76" s="265" t="str">
        <f>IFERROR(__xludf.DUMMYFUNCTION("""COMPUTED_VALUE"""),"Trial")</f>
        <v>Trial</v>
      </c>
      <c r="I76" s="265" t="str">
        <f>IFERROR(__xludf.DUMMYFUNCTION("""COMPUTED_VALUE"""),"(Chưa recheck)")</f>
        <v>(Chưa recheck)</v>
      </c>
      <c r="J76" s="265" t="str">
        <f>IFERROR(__xludf.DUMMYFUNCTION("""COMPUTED_VALUE"""),"File Excel")</f>
        <v>File Excel</v>
      </c>
      <c r="K76" s="265" t="str">
        <f>IFERROR(__xludf.DUMMYFUNCTION("""COMPUTED_VALUE"""),"(Chưa recheck)")</f>
        <v>(Chưa recheck)</v>
      </c>
    </row>
    <row r="77">
      <c r="A77" s="265" t="str">
        <f>IFERROR(__xludf.DUMMYFUNCTION("""COMPUTED_VALUE"""),"371")</f>
        <v>371</v>
      </c>
      <c r="B77" s="265" t="str">
        <f>IFERROR(__xludf.DUMMYFUNCTION("""COMPUTED_VALUE"""),"Hà Nội")</f>
        <v>Hà Nội</v>
      </c>
      <c r="C77" s="265" t="str">
        <f>IFERROR(__xludf.DUMMYFUNCTION("""COMPUTED_VALUE"""),"Locked")</f>
        <v>Locked</v>
      </c>
      <c r="D77" s="265" t="str">
        <f>IFERROR(__xludf.DUMMYFUNCTION("""COMPUTED_VALUE"""),"Sale chưa cung cấp")</f>
        <v>Sale chưa cung cấp</v>
      </c>
      <c r="E77" s="265" t="str">
        <f>IFERROR(__xludf.DUMMYFUNCTION("""COMPUTED_VALUE"""),"PhươngDTB")</f>
        <v>PhươngDTB</v>
      </c>
      <c r="F77" s="265" t="str">
        <f>IFERROR(__xludf.DUMMYFUNCTION("""COMPUTED_VALUE"""),"Sale chưa cung cấp")</f>
        <v>Sale chưa cung cấp</v>
      </c>
      <c r="G77" s="265" t="str">
        <f>IFERROR(__xludf.DUMMYFUNCTION("""COMPUTED_VALUE"""),"Enterprise")</f>
        <v>Enterprise</v>
      </c>
      <c r="H77" s="265" t="str">
        <f>IFERROR(__xludf.DUMMYFUNCTION("""COMPUTED_VALUE"""),"Trả sau")</f>
        <v>Trả sau</v>
      </c>
      <c r="I77" s="265" t="str">
        <f>IFERROR(__xludf.DUMMYFUNCTION("""COMPUTED_VALUE"""),"API &amp; Portal")</f>
        <v>API &amp; Portal</v>
      </c>
      <c r="J77" s="265" t="str">
        <f>IFERROR(__xludf.DUMMYFUNCTION("""COMPUTED_VALUE"""),"File Excel")</f>
        <v>File Excel</v>
      </c>
      <c r="K77" s="265" t="str">
        <f>IFERROR(__xludf.DUMMYFUNCTION("""COMPUTED_VALUE"""),"(Chưa recheck)")</f>
        <v>(Chưa recheck)</v>
      </c>
    </row>
    <row r="78">
      <c r="A78" s="265" t="str">
        <f>IFERROR(__xludf.DUMMYFUNCTION("""COMPUTED_VALUE"""),"399")</f>
        <v>399</v>
      </c>
      <c r="B78" s="265" t="str">
        <f>IFERROR(__xludf.DUMMYFUNCTION("""COMPUTED_VALUE"""),"Hà Nội")</f>
        <v>Hà Nội</v>
      </c>
      <c r="C78" s="265" t="str">
        <f>IFERROR(__xludf.DUMMYFUNCTION("""COMPUTED_VALUE"""),"Locked")</f>
        <v>Locked</v>
      </c>
      <c r="D78" s="265" t="str">
        <f>IFERROR(__xludf.DUMMYFUNCTION("""COMPUTED_VALUE"""),"Sale chưa cung cấp")</f>
        <v>Sale chưa cung cấp</v>
      </c>
      <c r="E78" s="265" t="str">
        <f>IFERROR(__xludf.DUMMYFUNCTION("""COMPUTED_VALUE"""),"TúPHN")</f>
        <v>TúPHN</v>
      </c>
      <c r="F78" s="265" t="str">
        <f>IFERROR(__xludf.DUMMYFUNCTION("""COMPUTED_VALUE"""),"Sale chưa cung cấp")</f>
        <v>Sale chưa cung cấp</v>
      </c>
      <c r="G78" s="265" t="str">
        <f>IFERROR(__xludf.DUMMYFUNCTION("""COMPUTED_VALUE"""),"Starter")</f>
        <v>Starter</v>
      </c>
      <c r="H78" s="265" t="str">
        <f>IFERROR(__xludf.DUMMYFUNCTION("""COMPUTED_VALUE"""),"Trial")</f>
        <v>Trial</v>
      </c>
      <c r="I78" s="265" t="str">
        <f>IFERROR(__xludf.DUMMYFUNCTION("""COMPUTED_VALUE"""),"API")</f>
        <v>API</v>
      </c>
      <c r="J78" s="265" t="str">
        <f>IFERROR(__xludf.DUMMYFUNCTION("""COMPUTED_VALUE"""),"API")</f>
        <v>API</v>
      </c>
      <c r="K78" s="265" t="str">
        <f>IFERROR(__xludf.DUMMYFUNCTION("""COMPUTED_VALUE"""),"Không phân công")</f>
        <v>Không phân công</v>
      </c>
    </row>
    <row r="79">
      <c r="A79" s="265" t="str">
        <f>IFERROR(__xludf.DUMMYFUNCTION("""COMPUTED_VALUE"""),"400")</f>
        <v>400</v>
      </c>
      <c r="B79" s="265" t="str">
        <f>IFERROR(__xludf.DUMMYFUNCTION("""COMPUTED_VALUE"""),"Đà Nẵng")</f>
        <v>Đà Nẵng</v>
      </c>
      <c r="C79" s="265" t="str">
        <f>IFERROR(__xludf.DUMMYFUNCTION("""COMPUTED_VALUE"""),"Locked")</f>
        <v>Locked</v>
      </c>
      <c r="D79" s="265" t="str">
        <f>IFERROR(__xludf.DUMMYFUNCTION("""COMPUTED_VALUE"""),"Sale chưa cung cấp")</f>
        <v>Sale chưa cung cấp</v>
      </c>
      <c r="E79" s="265" t="str">
        <f>IFERROR(__xludf.DUMMYFUNCTION("""COMPUTED_VALUE"""),"HangNT")</f>
        <v>HangNT</v>
      </c>
      <c r="F79" s="265" t="str">
        <f>IFERROR(__xludf.DUMMYFUNCTION("""COMPUTED_VALUE"""),"Sale chưa cung cấp")</f>
        <v>Sale chưa cung cấp</v>
      </c>
      <c r="G79" s="265" t="str">
        <f>IFERROR(__xludf.DUMMYFUNCTION("""COMPUTED_VALUE"""),"Enterprise")</f>
        <v>Enterprise</v>
      </c>
      <c r="H79" s="265" t="str">
        <f>IFERROR(__xludf.DUMMYFUNCTION("""COMPUTED_VALUE"""),"(Chưa recheck)")</f>
        <v>(Chưa recheck)</v>
      </c>
      <c r="I79" s="265" t="str">
        <f>IFERROR(__xludf.DUMMYFUNCTION("""COMPUTED_VALUE"""),"(Chưa recheck)")</f>
        <v>(Chưa recheck)</v>
      </c>
      <c r="J79" s="265" t="str">
        <f>IFERROR(__xludf.DUMMYFUNCTION("""COMPUTED_VALUE"""),"API")</f>
        <v>API</v>
      </c>
      <c r="K79" s="265" t="str">
        <f>IFERROR(__xludf.DUMMYFUNCTION("""COMPUTED_VALUE"""),"AnhNM")</f>
        <v>AnhNM</v>
      </c>
    </row>
    <row r="80">
      <c r="A80" s="265" t="str">
        <f>IFERROR(__xludf.DUMMYFUNCTION("""COMPUTED_VALUE"""),"401")</f>
        <v>401</v>
      </c>
      <c r="B80" s="265" t="str">
        <f>IFERROR(__xludf.DUMMYFUNCTION("""COMPUTED_VALUE"""),"Hà Nội")</f>
        <v>Hà Nội</v>
      </c>
      <c r="C80" s="265" t="str">
        <f>IFERROR(__xludf.DUMMYFUNCTION("""COMPUTED_VALUE"""),"Locked")</f>
        <v>Locked</v>
      </c>
      <c r="D80" s="265" t="str">
        <f>IFERROR(__xludf.DUMMYFUNCTION("""COMPUTED_VALUE"""),"Sale chưa cung cấp")</f>
        <v>Sale chưa cung cấp</v>
      </c>
      <c r="E80" s="265" t="str">
        <f>IFERROR(__xludf.DUMMYFUNCTION("""COMPUTED_VALUE"""),"HangNT")</f>
        <v>HangNT</v>
      </c>
      <c r="F80" s="265" t="str">
        <f>IFERROR(__xludf.DUMMYFUNCTION("""COMPUTED_VALUE"""),"Sale chưa cung cấp")</f>
        <v>Sale chưa cung cấp</v>
      </c>
      <c r="G80" s="265" t="str">
        <f>IFERROR(__xludf.DUMMYFUNCTION("""COMPUTED_VALUE"""),"Enterprise")</f>
        <v>Enterprise</v>
      </c>
      <c r="H80" s="265" t="str">
        <f>IFERROR(__xludf.DUMMYFUNCTION("""COMPUTED_VALUE"""),"(Chưa recheck)")</f>
        <v>(Chưa recheck)</v>
      </c>
      <c r="I80" s="265" t="str">
        <f>IFERROR(__xludf.DUMMYFUNCTION("""COMPUTED_VALUE"""),"(Chưa recheck)")</f>
        <v>(Chưa recheck)</v>
      </c>
      <c r="J80" s="265" t="str">
        <f>IFERROR(__xludf.DUMMYFUNCTION("""COMPUTED_VALUE"""),"(Chưa recheck)")</f>
        <v>(Chưa recheck)</v>
      </c>
      <c r="K80" s="265" t="str">
        <f>IFERROR(__xludf.DUMMYFUNCTION("""COMPUTED_VALUE"""),"(Chưa recheck)")</f>
        <v>(Chưa recheck)</v>
      </c>
    </row>
    <row r="81">
      <c r="A81" s="265" t="str">
        <f>IFERROR(__xludf.DUMMYFUNCTION("""COMPUTED_VALUE"""),"403")</f>
        <v>403</v>
      </c>
      <c r="B81" s="265" t="str">
        <f>IFERROR(__xludf.DUMMYFUNCTION("""COMPUTED_VALUE"""),"Sài Gòn")</f>
        <v>Sài Gòn</v>
      </c>
      <c r="C81" s="265" t="str">
        <f>IFERROR(__xludf.DUMMYFUNCTION("""COMPUTED_VALUE"""),"Active")</f>
        <v>Active</v>
      </c>
      <c r="D81" s="265" t="str">
        <f>IFERROR(__xludf.DUMMYFUNCTION("""COMPUTED_VALUE"""),"Sale chưa cung cấp")</f>
        <v>Sale chưa cung cấp</v>
      </c>
      <c r="E81" s="265" t="str">
        <f>IFERROR(__xludf.DUMMYFUNCTION("""COMPUTED_VALUE"""),"TùngLD")</f>
        <v>TùngLD</v>
      </c>
      <c r="F81" s="265" t="str">
        <f>IFERROR(__xludf.DUMMYFUNCTION("""COMPUTED_VALUE"""),"Gold")</f>
        <v>Gold</v>
      </c>
      <c r="G81" s="265" t="str">
        <f>IFERROR(__xludf.DUMMYFUNCTION("""COMPUTED_VALUE"""),"Enterprise")</f>
        <v>Enterprise</v>
      </c>
      <c r="H81" s="265" t="str">
        <f>IFERROR(__xludf.DUMMYFUNCTION("""COMPUTED_VALUE"""),"Trả sau")</f>
        <v>Trả sau</v>
      </c>
      <c r="I81" s="265" t="str">
        <f>IFERROR(__xludf.DUMMYFUNCTION("""COMPUTED_VALUE"""),"API")</f>
        <v>API</v>
      </c>
      <c r="J81" s="265" t="str">
        <f>IFERROR(__xludf.DUMMYFUNCTION("""COMPUTED_VALUE"""),"API")</f>
        <v>API</v>
      </c>
      <c r="K81" s="265" t="str">
        <f>IFERROR(__xludf.DUMMYFUNCTION("""COMPUTED_VALUE"""),"DungPL")</f>
        <v>DungPL</v>
      </c>
    </row>
    <row r="82">
      <c r="A82" s="265" t="str">
        <f>IFERROR(__xludf.DUMMYFUNCTION("""COMPUTED_VALUE"""),"404")</f>
        <v>404</v>
      </c>
      <c r="B82" s="265" t="str">
        <f>IFERROR(__xludf.DUMMYFUNCTION("""COMPUTED_VALUE"""),"Sài Gòn")</f>
        <v>Sài Gòn</v>
      </c>
      <c r="C82" s="265" t="str">
        <f>IFERROR(__xludf.DUMMYFUNCTION("""COMPUTED_VALUE"""),"Locked")</f>
        <v>Locked</v>
      </c>
      <c r="D82" s="265" t="str">
        <f>IFERROR(__xludf.DUMMYFUNCTION("""COMPUTED_VALUE"""),"Thực phẩm &amp; Đồ uống")</f>
        <v>Thực phẩm &amp; Đồ uống</v>
      </c>
      <c r="E82" s="265" t="str">
        <f>IFERROR(__xludf.DUMMYFUNCTION("""COMPUTED_VALUE"""),"PhươngDTB")</f>
        <v>PhươngDTB</v>
      </c>
      <c r="F82" s="265" t="str">
        <f>IFERROR(__xludf.DUMMYFUNCTION("""COMPUTED_VALUE"""),"Silver")</f>
        <v>Silver</v>
      </c>
      <c r="G82" s="265" t="str">
        <f>IFERROR(__xludf.DUMMYFUNCTION("""COMPUTED_VALUE"""),"Enterprise")</f>
        <v>Enterprise</v>
      </c>
      <c r="H82" s="265" t="str">
        <f>IFERROR(__xludf.DUMMYFUNCTION("""COMPUTED_VALUE"""),"Trả trước")</f>
        <v>Trả trước</v>
      </c>
      <c r="I82" s="265" t="str">
        <f>IFERROR(__xludf.DUMMYFUNCTION("""COMPUTED_VALUE"""),"(Chưa recheck)")</f>
        <v>(Chưa recheck)</v>
      </c>
      <c r="J82" s="265" t="str">
        <f>IFERROR(__xludf.DUMMYFUNCTION("""COMPUTED_VALUE"""),"(Chưa recheck)")</f>
        <v>(Chưa recheck)</v>
      </c>
      <c r="K82" s="265" t="str">
        <f>IFERROR(__xludf.DUMMYFUNCTION("""COMPUTED_VALUE"""),"AnhNM")</f>
        <v>AnhNM</v>
      </c>
    </row>
    <row r="83">
      <c r="A83" s="265" t="str">
        <f>IFERROR(__xludf.DUMMYFUNCTION("""COMPUTED_VALUE"""),"405")</f>
        <v>405</v>
      </c>
      <c r="B83" s="265" t="str">
        <f>IFERROR(__xludf.DUMMYFUNCTION("""COMPUTED_VALUE"""),"Hà Nội")</f>
        <v>Hà Nội</v>
      </c>
      <c r="C83" s="265" t="str">
        <f>IFERROR(__xludf.DUMMYFUNCTION("""COMPUTED_VALUE"""),"Locked")</f>
        <v>Locked</v>
      </c>
      <c r="D83" s="265" t="str">
        <f>IFERROR(__xludf.DUMMYFUNCTION("""COMPUTED_VALUE"""),"Sale chưa cung cấp")</f>
        <v>Sale chưa cung cấp</v>
      </c>
      <c r="E83" s="265" t="str">
        <f>IFERROR(__xludf.DUMMYFUNCTION("""COMPUTED_VALUE"""),"(Không recheck)")</f>
        <v>(Không recheck)</v>
      </c>
      <c r="F83" s="265" t="str">
        <f>IFERROR(__xludf.DUMMYFUNCTION("""COMPUTED_VALUE"""),"Sale chưa cung cấp")</f>
        <v>Sale chưa cung cấp</v>
      </c>
      <c r="G83" s="265" t="str">
        <f>IFERROR(__xludf.DUMMYFUNCTION("""COMPUTED_VALUE"""),"Enterprise")</f>
        <v>Enterprise</v>
      </c>
      <c r="H83" s="265" t="str">
        <f>IFERROR(__xludf.DUMMYFUNCTION("""COMPUTED_VALUE"""),"Trial")</f>
        <v>Trial</v>
      </c>
      <c r="I83" s="265" t="str">
        <f>IFERROR(__xludf.DUMMYFUNCTION("""COMPUTED_VALUE"""),"(Không recheck)")</f>
        <v>(Không recheck)</v>
      </c>
      <c r="J83" s="265" t="str">
        <f>IFERROR(__xludf.DUMMYFUNCTION("""COMPUTED_VALUE"""),"(Không recheck)")</f>
        <v>(Không recheck)</v>
      </c>
      <c r="K83" s="265" t="str">
        <f>IFERROR(__xludf.DUMMYFUNCTION("""COMPUTED_VALUE"""),"(Không recheck)")</f>
        <v>(Không recheck)</v>
      </c>
    </row>
    <row r="84">
      <c r="A84" s="265" t="str">
        <f>IFERROR(__xludf.DUMMYFUNCTION("""COMPUTED_VALUE"""),"407")</f>
        <v>407</v>
      </c>
      <c r="B84" s="265" t="str">
        <f>IFERROR(__xludf.DUMMYFUNCTION("""COMPUTED_VALUE"""),"Sài Gòn")</f>
        <v>Sài Gòn</v>
      </c>
      <c r="C84" s="265" t="str">
        <f>IFERROR(__xludf.DUMMYFUNCTION("""COMPUTED_VALUE"""),"Locked")</f>
        <v>Locked</v>
      </c>
      <c r="D84" s="265" t="str">
        <f>IFERROR(__xludf.DUMMYFUNCTION("""COMPUTED_VALUE"""),"Sale chưa cung cấp")</f>
        <v>Sale chưa cung cấp</v>
      </c>
      <c r="E84" s="265" t="str">
        <f>IFERROR(__xludf.DUMMYFUNCTION("""COMPUTED_VALUE"""),"HangNT")</f>
        <v>HangNT</v>
      </c>
      <c r="F84" s="265" t="str">
        <f>IFERROR(__xludf.DUMMYFUNCTION("""COMPUTED_VALUE"""),"Sale chưa cung cấp")</f>
        <v>Sale chưa cung cấp</v>
      </c>
      <c r="G84" s="265" t="str">
        <f>IFERROR(__xludf.DUMMYFUNCTION("""COMPUTED_VALUE"""),"Enterprise")</f>
        <v>Enterprise</v>
      </c>
      <c r="H84" s="265" t="str">
        <f>IFERROR(__xludf.DUMMYFUNCTION("""COMPUTED_VALUE"""),"(Chưa recheck)")</f>
        <v>(Chưa recheck)</v>
      </c>
      <c r="I84" s="265" t="str">
        <f>IFERROR(__xludf.DUMMYFUNCTION("""COMPUTED_VALUE"""),"(Chưa recheck)")</f>
        <v>(Chưa recheck)</v>
      </c>
      <c r="J84" s="265" t="str">
        <f>IFERROR(__xludf.DUMMYFUNCTION("""COMPUTED_VALUE"""),"(Chưa recheck)")</f>
        <v>(Chưa recheck)</v>
      </c>
      <c r="K84" s="265" t="str">
        <f>IFERROR(__xludf.DUMMYFUNCTION("""COMPUTED_VALUE"""),"AnhNM")</f>
        <v>AnhNM</v>
      </c>
    </row>
    <row r="85">
      <c r="A85" s="265" t="str">
        <f>IFERROR(__xludf.DUMMYFUNCTION("""COMPUTED_VALUE"""),"408")</f>
        <v>408</v>
      </c>
      <c r="B85" s="265" t="str">
        <f>IFERROR(__xludf.DUMMYFUNCTION("""COMPUTED_VALUE"""),"Đà Nẵng")</f>
        <v>Đà Nẵng</v>
      </c>
      <c r="C85" s="265" t="str">
        <f>IFERROR(__xludf.DUMMYFUNCTION("""COMPUTED_VALUE"""),"Locked")</f>
        <v>Locked</v>
      </c>
      <c r="D85" s="265" t="str">
        <f>IFERROR(__xludf.DUMMYFUNCTION("""COMPUTED_VALUE"""),"Sale chưa cung cấp")</f>
        <v>Sale chưa cung cấp</v>
      </c>
      <c r="E85" s="265" t="str">
        <f>IFERROR(__xludf.DUMMYFUNCTION("""COMPUTED_VALUE"""),"PhươngDTB")</f>
        <v>PhươngDTB</v>
      </c>
      <c r="F85" s="265" t="str">
        <f>IFERROR(__xludf.DUMMYFUNCTION("""COMPUTED_VALUE"""),"Sale chưa cung cấp")</f>
        <v>Sale chưa cung cấp</v>
      </c>
      <c r="G85" s="265" t="str">
        <f>IFERROR(__xludf.DUMMYFUNCTION("""COMPUTED_VALUE"""),"Enterprise")</f>
        <v>Enterprise</v>
      </c>
      <c r="H85" s="265" t="str">
        <f>IFERROR(__xludf.DUMMYFUNCTION("""COMPUTED_VALUE"""),"(Chưa recheck)")</f>
        <v>(Chưa recheck)</v>
      </c>
      <c r="I85" s="265" t="str">
        <f>IFERROR(__xludf.DUMMYFUNCTION("""COMPUTED_VALUE"""),"(Chưa recheck)")</f>
        <v>(Chưa recheck)</v>
      </c>
      <c r="J85" s="265" t="str">
        <f>IFERROR(__xludf.DUMMYFUNCTION("""COMPUTED_VALUE"""),"(Chưa recheck)")</f>
        <v>(Chưa recheck)</v>
      </c>
      <c r="K85" s="265" t="str">
        <f>IFERROR(__xludf.DUMMYFUNCTION("""COMPUTED_VALUE"""),"(Chưa recheck)")</f>
        <v>(Chưa recheck)</v>
      </c>
    </row>
    <row r="86">
      <c r="A86" s="265" t="str">
        <f>IFERROR(__xludf.DUMMYFUNCTION("""COMPUTED_VALUE"""),"410")</f>
        <v>410</v>
      </c>
      <c r="B86" s="265" t="str">
        <f>IFERROR(__xludf.DUMMYFUNCTION("""COMPUTED_VALUE"""),"Hà Nội")</f>
        <v>Hà Nội</v>
      </c>
      <c r="C86" s="265" t="str">
        <f>IFERROR(__xludf.DUMMYFUNCTION("""COMPUTED_VALUE"""),"Locked")</f>
        <v>Locked</v>
      </c>
      <c r="D86" s="265" t="str">
        <f>IFERROR(__xludf.DUMMYFUNCTION("""COMPUTED_VALUE"""),"Sale chưa cung cấp")</f>
        <v>Sale chưa cung cấp</v>
      </c>
      <c r="E86" s="265" t="str">
        <f>IFERROR(__xludf.DUMMYFUNCTION("""COMPUTED_VALUE"""),"HangNT")</f>
        <v>HangNT</v>
      </c>
      <c r="F86" s="265" t="str">
        <f>IFERROR(__xludf.DUMMYFUNCTION("""COMPUTED_VALUE"""),"Bronze")</f>
        <v>Bronze</v>
      </c>
      <c r="G86" s="265" t="str">
        <f>IFERROR(__xludf.DUMMYFUNCTION("""COMPUTED_VALUE"""),"Enterprise")</f>
        <v>Enterprise</v>
      </c>
      <c r="H86" s="265" t="str">
        <f>IFERROR(__xludf.DUMMYFUNCTION("""COMPUTED_VALUE"""),"(Chưa recheck)")</f>
        <v>(Chưa recheck)</v>
      </c>
      <c r="I86" s="265" t="str">
        <f>IFERROR(__xludf.DUMMYFUNCTION("""COMPUTED_VALUE"""),"(Chưa recheck)")</f>
        <v>(Chưa recheck)</v>
      </c>
      <c r="J86" s="265" t="str">
        <f>IFERROR(__xludf.DUMMYFUNCTION("""COMPUTED_VALUE"""),"Haravan")</f>
        <v>Haravan</v>
      </c>
      <c r="K86" s="265" t="str">
        <f>IFERROR(__xludf.DUMMYFUNCTION("""COMPUTED_VALUE"""),"(Chưa recheck)")</f>
        <v>(Chưa recheck)</v>
      </c>
    </row>
    <row r="87">
      <c r="A87" s="265" t="str">
        <f>IFERROR(__xludf.DUMMYFUNCTION("""COMPUTED_VALUE"""),"409")</f>
        <v>409</v>
      </c>
      <c r="B87" s="265" t="str">
        <f>IFERROR(__xludf.DUMMYFUNCTION("""COMPUTED_VALUE"""),"Sài Gòn")</f>
        <v>Sài Gòn</v>
      </c>
      <c r="C87" s="265" t="str">
        <f>IFERROR(__xludf.DUMMYFUNCTION("""COMPUTED_VALUE"""),"Locked")</f>
        <v>Locked</v>
      </c>
      <c r="D87" s="265" t="str">
        <f>IFERROR(__xludf.DUMMYFUNCTION("""COMPUTED_VALUE"""),"Sale chưa cung cấp")</f>
        <v>Sale chưa cung cấp</v>
      </c>
      <c r="E87" s="265" t="str">
        <f>IFERROR(__xludf.DUMMYFUNCTION("""COMPUTED_VALUE"""),"HoaNTM")</f>
        <v>HoaNTM</v>
      </c>
      <c r="F87" s="265" t="str">
        <f>IFERROR(__xludf.DUMMYFUNCTION("""COMPUTED_VALUE"""),"Gold")</f>
        <v>Gold</v>
      </c>
      <c r="G87" s="265" t="str">
        <f>IFERROR(__xludf.DUMMYFUNCTION("""COMPUTED_VALUE"""),"Enterprise")</f>
        <v>Enterprise</v>
      </c>
      <c r="H87" s="265" t="str">
        <f>IFERROR(__xludf.DUMMYFUNCTION("""COMPUTED_VALUE"""),"(Chưa recheck)")</f>
        <v>(Chưa recheck)</v>
      </c>
      <c r="I87" s="265" t="str">
        <f>IFERROR(__xludf.DUMMYFUNCTION("""COMPUTED_VALUE"""),"(Chưa recheck)")</f>
        <v>(Chưa recheck)</v>
      </c>
      <c r="J87" s="265" t="str">
        <f>IFERROR(__xludf.DUMMYFUNCTION("""COMPUTED_VALUE"""),"(Chưa recheck)")</f>
        <v>(Chưa recheck)</v>
      </c>
      <c r="K87" s="265" t="str">
        <f>IFERROR(__xludf.DUMMYFUNCTION("""COMPUTED_VALUE"""),"DungPL")</f>
        <v>DungPL</v>
      </c>
    </row>
    <row r="88">
      <c r="A88" s="265" t="str">
        <f>IFERROR(__xludf.DUMMYFUNCTION("""COMPUTED_VALUE"""),"412")</f>
        <v>412</v>
      </c>
      <c r="B88" s="265" t="str">
        <f>IFERROR(__xludf.DUMMYFUNCTION("""COMPUTED_VALUE"""),"Sài Gòn")</f>
        <v>Sài Gòn</v>
      </c>
      <c r="C88" s="265" t="str">
        <f>IFERROR(__xludf.DUMMYFUNCTION("""COMPUTED_VALUE"""),"Locked")</f>
        <v>Locked</v>
      </c>
      <c r="D88" s="265" t="str">
        <f>IFERROR(__xludf.DUMMYFUNCTION("""COMPUTED_VALUE"""),"Sale chưa cung cấp")</f>
        <v>Sale chưa cung cấp</v>
      </c>
      <c r="E88" s="265" t="str">
        <f>IFERROR(__xludf.DUMMYFUNCTION("""COMPUTED_VALUE"""),"PhươngDTB")</f>
        <v>PhươngDTB</v>
      </c>
      <c r="F88" s="265" t="str">
        <f>IFERROR(__xludf.DUMMYFUNCTION("""COMPUTED_VALUE"""),"Sale chưa cung cấp")</f>
        <v>Sale chưa cung cấp</v>
      </c>
      <c r="G88" s="265" t="str">
        <f>IFERROR(__xludf.DUMMYFUNCTION("""COMPUTED_VALUE"""),"Enterprise")</f>
        <v>Enterprise</v>
      </c>
      <c r="H88" s="265" t="str">
        <f>IFERROR(__xludf.DUMMYFUNCTION("""COMPUTED_VALUE"""),"(Chưa recheck)")</f>
        <v>(Chưa recheck)</v>
      </c>
      <c r="I88" s="265" t="str">
        <f>IFERROR(__xludf.DUMMYFUNCTION("""COMPUTED_VALUE"""),"(Chưa recheck)")</f>
        <v>(Chưa recheck)</v>
      </c>
      <c r="J88" s="265" t="str">
        <f>IFERROR(__xludf.DUMMYFUNCTION("""COMPUTED_VALUE"""),"API")</f>
        <v>API</v>
      </c>
      <c r="K88" s="265" t="str">
        <f>IFERROR(__xludf.DUMMYFUNCTION("""COMPUTED_VALUE"""),"(Chưa recheck)")</f>
        <v>(Chưa recheck)</v>
      </c>
    </row>
    <row r="89">
      <c r="A89" s="265" t="str">
        <f>IFERROR(__xludf.DUMMYFUNCTION("""COMPUTED_VALUE"""),"413")</f>
        <v>413</v>
      </c>
      <c r="B89" s="265" t="str">
        <f>IFERROR(__xludf.DUMMYFUNCTION("""COMPUTED_VALUE"""),"Hà Nội")</f>
        <v>Hà Nội</v>
      </c>
      <c r="C89" s="265" t="str">
        <f>IFERROR(__xludf.DUMMYFUNCTION("""COMPUTED_VALUE"""),"Locked")</f>
        <v>Locked</v>
      </c>
      <c r="D89" s="265" t="str">
        <f>IFERROR(__xludf.DUMMYFUNCTION("""COMPUTED_VALUE"""),"Sale chưa cung cấp")</f>
        <v>Sale chưa cung cấp</v>
      </c>
      <c r="E89" s="265" t="str">
        <f>IFERROR(__xludf.DUMMYFUNCTION("""COMPUTED_VALUE"""),"HangNT")</f>
        <v>HangNT</v>
      </c>
      <c r="F89" s="265" t="str">
        <f>IFERROR(__xludf.DUMMYFUNCTION("""COMPUTED_VALUE"""),"Diamond")</f>
        <v>Diamond</v>
      </c>
      <c r="G89" s="265" t="str">
        <f>IFERROR(__xludf.DUMMYFUNCTION("""COMPUTED_VALUE"""),"API")</f>
        <v>API</v>
      </c>
      <c r="H89" s="265" t="str">
        <f>IFERROR(__xludf.DUMMYFUNCTION("""COMPUTED_VALUE"""),"Trả sau")</f>
        <v>Trả sau</v>
      </c>
      <c r="I89" s="265" t="str">
        <f>IFERROR(__xludf.DUMMYFUNCTION("""COMPUTED_VALUE"""),"(Chưa recheck)")</f>
        <v>(Chưa recheck)</v>
      </c>
      <c r="J89" s="265" t="str">
        <f>IFERROR(__xludf.DUMMYFUNCTION("""COMPUTED_VALUE"""),"(Chưa recheck)")</f>
        <v>(Chưa recheck)</v>
      </c>
      <c r="K89" s="265" t="str">
        <f>IFERROR(__xludf.DUMMYFUNCTION("""COMPUTED_VALUE"""),"(Chưa recheck)")</f>
        <v>(Chưa recheck)</v>
      </c>
    </row>
    <row r="90">
      <c r="A90" s="265" t="str">
        <f>IFERROR(__xludf.DUMMYFUNCTION("""COMPUTED_VALUE"""),"416")</f>
        <v>416</v>
      </c>
      <c r="B90" s="265" t="str">
        <f>IFERROR(__xludf.DUMMYFUNCTION("""COMPUTED_VALUE"""),"Hà Nội")</f>
        <v>Hà Nội</v>
      </c>
      <c r="C90" s="265" t="str">
        <f>IFERROR(__xludf.DUMMYFUNCTION("""COMPUTED_VALUE"""),"Locked")</f>
        <v>Locked</v>
      </c>
      <c r="D90" s="265" t="str">
        <f>IFERROR(__xludf.DUMMYFUNCTION("""COMPUTED_VALUE"""),"Sale chưa cung cấp")</f>
        <v>Sale chưa cung cấp</v>
      </c>
      <c r="E90" s="265" t="str">
        <f>IFERROR(__xludf.DUMMYFUNCTION("""COMPUTED_VALUE"""),"(Chưa recheck)")</f>
        <v>(Chưa recheck)</v>
      </c>
      <c r="F90" s="265" t="str">
        <f>IFERROR(__xludf.DUMMYFUNCTION("""COMPUTED_VALUE"""),"Sale chưa cung cấp")</f>
        <v>Sale chưa cung cấp</v>
      </c>
      <c r="G90" s="265" t="str">
        <f>IFERROR(__xludf.DUMMYFUNCTION("""COMPUTED_VALUE"""),"API")</f>
        <v>API</v>
      </c>
      <c r="H90" s="265" t="str">
        <f>IFERROR(__xludf.DUMMYFUNCTION("""COMPUTED_VALUE"""),"Trả sau")</f>
        <v>Trả sau</v>
      </c>
      <c r="I90" s="265" t="str">
        <f>IFERROR(__xludf.DUMMYFUNCTION("""COMPUTED_VALUE"""),"(Chưa recheck)")</f>
        <v>(Chưa recheck)</v>
      </c>
      <c r="J90" s="265" t="str">
        <f>IFERROR(__xludf.DUMMYFUNCTION("""COMPUTED_VALUE"""),"API")</f>
        <v>API</v>
      </c>
      <c r="K90" s="265" t="str">
        <f>IFERROR(__xludf.DUMMYFUNCTION("""COMPUTED_VALUE"""),"(Chưa recheck)")</f>
        <v>(Chưa recheck)</v>
      </c>
    </row>
    <row r="91">
      <c r="A91" s="265" t="str">
        <f>IFERROR(__xludf.DUMMYFUNCTION("""COMPUTED_VALUE"""),"417")</f>
        <v>417</v>
      </c>
      <c r="B91" s="265" t="str">
        <f>IFERROR(__xludf.DUMMYFUNCTION("""COMPUTED_VALUE"""),"Đà Nẵng")</f>
        <v>Đà Nẵng</v>
      </c>
      <c r="C91" s="265" t="str">
        <f>IFERROR(__xludf.DUMMYFUNCTION("""COMPUTED_VALUE"""),"Active")</f>
        <v>Active</v>
      </c>
      <c r="D91" s="265" t="str">
        <f>IFERROR(__xludf.DUMMYFUNCTION("""COMPUTED_VALUE"""),"Viễn thông")</f>
        <v>Viễn thông</v>
      </c>
      <c r="E91" s="265" t="str">
        <f>IFERROR(__xludf.DUMMYFUNCTION("""COMPUTED_VALUE"""),"AnhNM")</f>
        <v>AnhNM</v>
      </c>
      <c r="F91" s="265" t="str">
        <f>IFERROR(__xludf.DUMMYFUNCTION("""COMPUTED_VALUE"""),"Silver")</f>
        <v>Silver</v>
      </c>
      <c r="G91" s="265" t="str">
        <f>IFERROR(__xludf.DUMMYFUNCTION("""COMPUTED_VALUE"""),"Enterprise")</f>
        <v>Enterprise</v>
      </c>
      <c r="H91" s="265" t="str">
        <f>IFERROR(__xludf.DUMMYFUNCTION("""COMPUTED_VALUE"""),"Trả sau")</f>
        <v>Trả sau</v>
      </c>
      <c r="I91" s="265" t="str">
        <f>IFERROR(__xludf.DUMMYFUNCTION("""COMPUTED_VALUE"""),"API &amp; Portal")</f>
        <v>API &amp; Portal</v>
      </c>
      <c r="J91" s="265" t="str">
        <f>IFERROR(__xludf.DUMMYFUNCTION("""COMPUTED_VALUE"""),"API")</f>
        <v>API</v>
      </c>
      <c r="K91" s="265" t="str">
        <f>IFERROR(__xludf.DUMMYFUNCTION("""COMPUTED_VALUE"""),"LinhNTT1")</f>
        <v>LinhNTT1</v>
      </c>
    </row>
    <row r="92">
      <c r="A92" s="265" t="str">
        <f>IFERROR(__xludf.DUMMYFUNCTION("""COMPUTED_VALUE"""),"418")</f>
        <v>418</v>
      </c>
      <c r="B92" s="265" t="str">
        <f>IFERROR(__xludf.DUMMYFUNCTION("""COMPUTED_VALUE"""),"Hà Nội")</f>
        <v>Hà Nội</v>
      </c>
      <c r="C92" s="265" t="str">
        <f>IFERROR(__xludf.DUMMYFUNCTION("""COMPUTED_VALUE"""),"Locked")</f>
        <v>Locked</v>
      </c>
      <c r="D92" s="265" t="str">
        <f>IFERROR(__xludf.DUMMYFUNCTION("""COMPUTED_VALUE"""),"Sale chưa cung cấp")</f>
        <v>Sale chưa cung cấp</v>
      </c>
      <c r="E92" s="265" t="str">
        <f>IFERROR(__xludf.DUMMYFUNCTION("""COMPUTED_VALUE"""),"(Không recheck)")</f>
        <v>(Không recheck)</v>
      </c>
      <c r="F92" s="265" t="str">
        <f>IFERROR(__xludf.DUMMYFUNCTION("""COMPUTED_VALUE"""),"Sale chưa cung cấp")</f>
        <v>Sale chưa cung cấp</v>
      </c>
      <c r="G92" s="265" t="str">
        <f>IFERROR(__xludf.DUMMYFUNCTION("""COMPUTED_VALUE"""),"Enterprise")</f>
        <v>Enterprise</v>
      </c>
      <c r="H92" s="265" t="str">
        <f>IFERROR(__xludf.DUMMYFUNCTION("""COMPUTED_VALUE"""),"Trial")</f>
        <v>Trial</v>
      </c>
      <c r="I92" s="265" t="str">
        <f>IFERROR(__xludf.DUMMYFUNCTION("""COMPUTED_VALUE"""),"(Không recheck)")</f>
        <v>(Không recheck)</v>
      </c>
      <c r="J92" s="265" t="str">
        <f>IFERROR(__xludf.DUMMYFUNCTION("""COMPUTED_VALUE"""),"(Không recheck)")</f>
        <v>(Không recheck)</v>
      </c>
      <c r="K92" s="265" t="str">
        <f>IFERROR(__xludf.DUMMYFUNCTION("""COMPUTED_VALUE"""),"(Không recheck)")</f>
        <v>(Không recheck)</v>
      </c>
    </row>
    <row r="93">
      <c r="A93" s="265" t="str">
        <f>IFERROR(__xludf.DUMMYFUNCTION("""COMPUTED_VALUE"""),"420")</f>
        <v>420</v>
      </c>
      <c r="B93" s="265" t="str">
        <f>IFERROR(__xludf.DUMMYFUNCTION("""COMPUTED_VALUE"""),"Hà Nội")</f>
        <v>Hà Nội</v>
      </c>
      <c r="C93" s="265" t="str">
        <f>IFERROR(__xludf.DUMMYFUNCTION("""COMPUTED_VALUE"""),"Active")</f>
        <v>Active</v>
      </c>
      <c r="D93" s="265" t="str">
        <f>IFERROR(__xludf.DUMMYFUNCTION("""COMPUTED_VALUE"""),"Sale chưa cung cấp")</f>
        <v>Sale chưa cung cấp</v>
      </c>
      <c r="E93" s="265" t="str">
        <f>IFERROR(__xludf.DUMMYFUNCTION("""COMPUTED_VALUE"""),"TùngLD")</f>
        <v>TùngLD</v>
      </c>
      <c r="F93" s="265" t="str">
        <f>IFERROR(__xludf.DUMMYFUNCTION("""COMPUTED_VALUE"""),"Diamond")</f>
        <v>Diamond</v>
      </c>
      <c r="G93" s="265" t="str">
        <f>IFERROR(__xludf.DUMMYFUNCTION("""COMPUTED_VALUE"""),"Enterprise")</f>
        <v>Enterprise</v>
      </c>
      <c r="H93" s="265" t="str">
        <f>IFERROR(__xludf.DUMMYFUNCTION("""COMPUTED_VALUE"""),"Trả sau")</f>
        <v>Trả sau</v>
      </c>
      <c r="I93" s="265" t="str">
        <f>IFERROR(__xludf.DUMMYFUNCTION("""COMPUTED_VALUE"""),"API &amp; Portal")</f>
        <v>API &amp; Portal</v>
      </c>
      <c r="J93" s="265" t="str">
        <f>IFERROR(__xludf.DUMMYFUNCTION("""COMPUTED_VALUE"""),"API")</f>
        <v>API</v>
      </c>
      <c r="K93" s="265" t="str">
        <f>IFERROR(__xludf.DUMMYFUNCTION("""COMPUTED_VALUE"""),"LinhNTT1")</f>
        <v>LinhNTT1</v>
      </c>
    </row>
    <row r="94">
      <c r="A94" s="265" t="str">
        <f>IFERROR(__xludf.DUMMYFUNCTION("""COMPUTED_VALUE"""),"421")</f>
        <v>421</v>
      </c>
      <c r="B94" s="265" t="str">
        <f>IFERROR(__xludf.DUMMYFUNCTION("""COMPUTED_VALUE"""),"Hà Nội")</f>
        <v>Hà Nội</v>
      </c>
      <c r="C94" s="265" t="str">
        <f>IFERROR(__xludf.DUMMYFUNCTION("""COMPUTED_VALUE"""),"Locked")</f>
        <v>Locked</v>
      </c>
      <c r="D94" s="265" t="str">
        <f>IFERROR(__xludf.DUMMYFUNCTION("""COMPUTED_VALUE"""),"Sale chưa cung cấp")</f>
        <v>Sale chưa cung cấp</v>
      </c>
      <c r="E94" s="265" t="str">
        <f>IFERROR(__xludf.DUMMYFUNCTION("""COMPUTED_VALUE"""),"TùngLD")</f>
        <v>TùngLD</v>
      </c>
      <c r="F94" s="265" t="str">
        <f>IFERROR(__xludf.DUMMYFUNCTION("""COMPUTED_VALUE"""),"Diamond")</f>
        <v>Diamond</v>
      </c>
      <c r="G94" s="265" t="str">
        <f>IFERROR(__xludf.DUMMYFUNCTION("""COMPUTED_VALUE"""),"Enterprise")</f>
        <v>Enterprise</v>
      </c>
      <c r="H94" s="265" t="str">
        <f>IFERROR(__xludf.DUMMYFUNCTION("""COMPUTED_VALUE"""),"Trả sau")</f>
        <v>Trả sau</v>
      </c>
      <c r="I94" s="265" t="str">
        <f>IFERROR(__xludf.DUMMYFUNCTION("""COMPUTED_VALUE"""),"API &amp; Portal")</f>
        <v>API &amp; Portal</v>
      </c>
      <c r="J94" s="265" t="str">
        <f>IFERROR(__xludf.DUMMYFUNCTION("""COMPUTED_VALUE"""),"API")</f>
        <v>API</v>
      </c>
      <c r="K94" s="265" t="str">
        <f>IFERROR(__xludf.DUMMYFUNCTION("""COMPUTED_VALUE"""),"LinhNTT1")</f>
        <v>LinhNTT1</v>
      </c>
    </row>
    <row r="95">
      <c r="A95" s="265" t="str">
        <f>IFERROR(__xludf.DUMMYFUNCTION("""COMPUTED_VALUE"""),"422")</f>
        <v>422</v>
      </c>
      <c r="B95" s="265" t="str">
        <f>IFERROR(__xludf.DUMMYFUNCTION("""COMPUTED_VALUE"""),"Hà Nội")</f>
        <v>Hà Nội</v>
      </c>
      <c r="C95" s="265" t="str">
        <f>IFERROR(__xludf.DUMMYFUNCTION("""COMPUTED_VALUE"""),"Locked")</f>
        <v>Locked</v>
      </c>
      <c r="D95" s="265" t="str">
        <f>IFERROR(__xludf.DUMMYFUNCTION("""COMPUTED_VALUE"""),"Sale chưa cung cấp")</f>
        <v>Sale chưa cung cấp</v>
      </c>
      <c r="E95" s="265" t="str">
        <f>IFERROR(__xludf.DUMMYFUNCTION("""COMPUTED_VALUE"""),"TùngLD")</f>
        <v>TùngLD</v>
      </c>
      <c r="F95" s="265" t="str">
        <f>IFERROR(__xludf.DUMMYFUNCTION("""COMPUTED_VALUE"""),"Diamond")</f>
        <v>Diamond</v>
      </c>
      <c r="G95" s="265" t="str">
        <f>IFERROR(__xludf.DUMMYFUNCTION("""COMPUTED_VALUE"""),"Enterprise")</f>
        <v>Enterprise</v>
      </c>
      <c r="H95" s="265" t="str">
        <f>IFERROR(__xludf.DUMMYFUNCTION("""COMPUTED_VALUE"""),"Trả sau")</f>
        <v>Trả sau</v>
      </c>
      <c r="I95" s="265" t="str">
        <f>IFERROR(__xludf.DUMMYFUNCTION("""COMPUTED_VALUE"""),"API &amp; Portal")</f>
        <v>API &amp; Portal</v>
      </c>
      <c r="J95" s="265" t="str">
        <f>IFERROR(__xludf.DUMMYFUNCTION("""COMPUTED_VALUE"""),"API")</f>
        <v>API</v>
      </c>
      <c r="K95" s="265" t="str">
        <f>IFERROR(__xludf.DUMMYFUNCTION("""COMPUTED_VALUE"""),"LinhNTT1")</f>
        <v>LinhNTT1</v>
      </c>
    </row>
    <row r="96">
      <c r="A96" s="265" t="str">
        <f>IFERROR(__xludf.DUMMYFUNCTION("""COMPUTED_VALUE"""),"423")</f>
        <v>423</v>
      </c>
      <c r="B96" s="265" t="str">
        <f>IFERROR(__xludf.DUMMYFUNCTION("""COMPUTED_VALUE"""),"Hà Nội")</f>
        <v>Hà Nội</v>
      </c>
      <c r="C96" s="265" t="str">
        <f>IFERROR(__xludf.DUMMYFUNCTION("""COMPUTED_VALUE"""),"Locked")</f>
        <v>Locked</v>
      </c>
      <c r="D96" s="265" t="str">
        <f>IFERROR(__xludf.DUMMYFUNCTION("""COMPUTED_VALUE"""),"Sale chưa cung cấp")</f>
        <v>Sale chưa cung cấp</v>
      </c>
      <c r="E96" s="265" t="str">
        <f>IFERROR(__xludf.DUMMYFUNCTION("""COMPUTED_VALUE"""),"TùngLD")</f>
        <v>TùngLD</v>
      </c>
      <c r="F96" s="265" t="str">
        <f>IFERROR(__xludf.DUMMYFUNCTION("""COMPUTED_VALUE"""),"Gold")</f>
        <v>Gold</v>
      </c>
      <c r="G96" s="265" t="str">
        <f>IFERROR(__xludf.DUMMYFUNCTION("""COMPUTED_VALUE"""),"Enterprise")</f>
        <v>Enterprise</v>
      </c>
      <c r="H96" s="265" t="str">
        <f>IFERROR(__xludf.DUMMYFUNCTION("""COMPUTED_VALUE"""),"Trả sau")</f>
        <v>Trả sau</v>
      </c>
      <c r="I96" s="265" t="str">
        <f>IFERROR(__xludf.DUMMYFUNCTION("""COMPUTED_VALUE"""),"API &amp; Portal")</f>
        <v>API &amp; Portal</v>
      </c>
      <c r="J96" s="265" t="str">
        <f>IFERROR(__xludf.DUMMYFUNCTION("""COMPUTED_VALUE"""),"File Excel")</f>
        <v>File Excel</v>
      </c>
      <c r="K96" s="265" t="str">
        <f>IFERROR(__xludf.DUMMYFUNCTION("""COMPUTED_VALUE"""),"LinhNTT1")</f>
        <v>LinhNTT1</v>
      </c>
    </row>
    <row r="97">
      <c r="A97" s="265" t="str">
        <f>IFERROR(__xludf.DUMMYFUNCTION("""COMPUTED_VALUE"""),"424")</f>
        <v>424</v>
      </c>
      <c r="B97" s="265" t="str">
        <f>IFERROR(__xludf.DUMMYFUNCTION("""COMPUTED_VALUE"""),"Đà Nẵng")</f>
        <v>Đà Nẵng</v>
      </c>
      <c r="C97" s="265" t="str">
        <f>IFERROR(__xludf.DUMMYFUNCTION("""COMPUTED_VALUE"""),"Locked")</f>
        <v>Locked</v>
      </c>
      <c r="D97" s="265" t="str">
        <f>IFERROR(__xludf.DUMMYFUNCTION("""COMPUTED_VALUE"""),"Sale chưa cung cấp")</f>
        <v>Sale chưa cung cấp</v>
      </c>
      <c r="E97" s="265" t="str">
        <f>IFERROR(__xludf.DUMMYFUNCTION("""COMPUTED_VALUE"""),"MaiTP")</f>
        <v>MaiTP</v>
      </c>
      <c r="F97" s="265" t="str">
        <f>IFERROR(__xludf.DUMMYFUNCTION("""COMPUTED_VALUE"""),"Sale chưa cung cấp")</f>
        <v>Sale chưa cung cấp</v>
      </c>
      <c r="G97" s="265" t="str">
        <f>IFERROR(__xludf.DUMMYFUNCTION("""COMPUTED_VALUE"""),"Enterprise")</f>
        <v>Enterprise</v>
      </c>
      <c r="H97" s="265" t="str">
        <f>IFERROR(__xludf.DUMMYFUNCTION("""COMPUTED_VALUE"""),"(Chưa recheck)")</f>
        <v>(Chưa recheck)</v>
      </c>
      <c r="I97" s="265" t="str">
        <f>IFERROR(__xludf.DUMMYFUNCTION("""COMPUTED_VALUE"""),"(Chưa recheck)")</f>
        <v>(Chưa recheck)</v>
      </c>
      <c r="J97" s="265" t="str">
        <f>IFERROR(__xludf.DUMMYFUNCTION("""COMPUTED_VALUE"""),"(Chưa recheck)")</f>
        <v>(Chưa recheck)</v>
      </c>
      <c r="K97" s="265" t="str">
        <f>IFERROR(__xludf.DUMMYFUNCTION("""COMPUTED_VALUE"""),"(Chưa recheck)")</f>
        <v>(Chưa recheck)</v>
      </c>
    </row>
    <row r="98">
      <c r="A98" s="265" t="str">
        <f>IFERROR(__xludf.DUMMYFUNCTION("""COMPUTED_VALUE"""),"425")</f>
        <v>425</v>
      </c>
      <c r="B98" s="265" t="str">
        <f>IFERROR(__xludf.DUMMYFUNCTION("""COMPUTED_VALUE"""),"Hà Nội")</f>
        <v>Hà Nội</v>
      </c>
      <c r="C98" s="265" t="str">
        <f>IFERROR(__xludf.DUMMYFUNCTION("""COMPUTED_VALUE"""),"Active")</f>
        <v>Active</v>
      </c>
      <c r="D98" s="265" t="str">
        <f>IFERROR(__xludf.DUMMYFUNCTION("""COMPUTED_VALUE"""),"Thực phẩm và đồ uống")</f>
        <v>Thực phẩm và đồ uống</v>
      </c>
      <c r="E98" s="265" t="str">
        <f>IFERROR(__xludf.DUMMYFUNCTION("""COMPUTED_VALUE"""),"AnhNM")</f>
        <v>AnhNM</v>
      </c>
      <c r="F98" s="265" t="str">
        <f>IFERROR(__xludf.DUMMYFUNCTION("""COMPUTED_VALUE"""),"Silver")</f>
        <v>Silver</v>
      </c>
      <c r="G98" s="265" t="str">
        <f>IFERROR(__xludf.DUMMYFUNCTION("""COMPUTED_VALUE"""),"Starter")</f>
        <v>Starter</v>
      </c>
      <c r="H98" s="265" t="str">
        <f>IFERROR(__xludf.DUMMYFUNCTION("""COMPUTED_VALUE"""),"Trả sau")</f>
        <v>Trả sau</v>
      </c>
      <c r="I98" s="265" t="str">
        <f>IFERROR(__xludf.DUMMYFUNCTION("""COMPUTED_VALUE"""),"API")</f>
        <v>API</v>
      </c>
      <c r="J98" s="265" t="str">
        <f>IFERROR(__xludf.DUMMYFUNCTION("""COMPUTED_VALUE"""),"CRM")</f>
        <v>CRM</v>
      </c>
      <c r="K98" s="265" t="str">
        <f>IFERROR(__xludf.DUMMYFUNCTION("""COMPUTED_VALUE"""),"LinhNTT1")</f>
        <v>LinhNTT1</v>
      </c>
    </row>
    <row r="99">
      <c r="A99" s="265" t="str">
        <f>IFERROR(__xludf.DUMMYFUNCTION("""COMPUTED_VALUE"""),"428")</f>
        <v>428</v>
      </c>
      <c r="B99" s="265" t="str">
        <f>IFERROR(__xludf.DUMMYFUNCTION("""COMPUTED_VALUE"""),"Hà Nội")</f>
        <v>Hà Nội</v>
      </c>
      <c r="C99" s="265" t="str">
        <f>IFERROR(__xludf.DUMMYFUNCTION("""COMPUTED_VALUE"""),"Active")</f>
        <v>Active</v>
      </c>
      <c r="D99" s="265" t="str">
        <f>IFERROR(__xludf.DUMMYFUNCTION("""COMPUTED_VALUE"""),"Sale chưa cung cấp")</f>
        <v>Sale chưa cung cấp</v>
      </c>
      <c r="E99" s="265" t="str">
        <f>IFERROR(__xludf.DUMMYFUNCTION("""COMPUTED_VALUE"""),"AnhNM")</f>
        <v>AnhNM</v>
      </c>
      <c r="F99" s="265" t="str">
        <f>IFERROR(__xludf.DUMMYFUNCTION("""COMPUTED_VALUE"""),"Silver")</f>
        <v>Silver</v>
      </c>
      <c r="G99" s="265" t="str">
        <f>IFERROR(__xludf.DUMMYFUNCTION("""COMPUTED_VALUE"""),"Premium")</f>
        <v>Premium</v>
      </c>
      <c r="H99" s="265" t="str">
        <f>IFERROR(__xludf.DUMMYFUNCTION("""COMPUTED_VALUE"""),"Trả sau")</f>
        <v>Trả sau</v>
      </c>
      <c r="I99" s="265" t="str">
        <f>IFERROR(__xludf.DUMMYFUNCTION("""COMPUTED_VALUE"""),"API &amp; Portal")</f>
        <v>API &amp; Portal</v>
      </c>
      <c r="J99" s="265" t="str">
        <f>IFERROR(__xludf.DUMMYFUNCTION("""COMPUTED_VALUE"""),"API")</f>
        <v>API</v>
      </c>
      <c r="K99" s="265" t="str">
        <f>IFERROR(__xludf.DUMMYFUNCTION("""COMPUTED_VALUE"""),"DungPL")</f>
        <v>DungPL</v>
      </c>
    </row>
    <row r="100">
      <c r="A100" s="265" t="str">
        <f>IFERROR(__xludf.DUMMYFUNCTION("""COMPUTED_VALUE"""),"426")</f>
        <v>426</v>
      </c>
      <c r="B100" s="265" t="str">
        <f>IFERROR(__xludf.DUMMYFUNCTION("""COMPUTED_VALUE"""),"Sài Gòn")</f>
        <v>Sài Gòn</v>
      </c>
      <c r="C100" s="265" t="str">
        <f>IFERROR(__xludf.DUMMYFUNCTION("""COMPUTED_VALUE"""),"Locked")</f>
        <v>Locked</v>
      </c>
      <c r="D100" s="265" t="str">
        <f>IFERROR(__xludf.DUMMYFUNCTION("""COMPUTED_VALUE"""),"Sale chưa cung cấp")</f>
        <v>Sale chưa cung cấp</v>
      </c>
      <c r="E100" s="265" t="str">
        <f>IFERROR(__xludf.DUMMYFUNCTION("""COMPUTED_VALUE"""),"HoaNTM")</f>
        <v>HoaNTM</v>
      </c>
      <c r="F100" s="265" t="str">
        <f>IFERROR(__xludf.DUMMYFUNCTION("""COMPUTED_VALUE"""),"Sale chưa cung cấp")</f>
        <v>Sale chưa cung cấp</v>
      </c>
      <c r="G100" s="265" t="str">
        <f>IFERROR(__xludf.DUMMYFUNCTION("""COMPUTED_VALUE"""),"API")</f>
        <v>API</v>
      </c>
      <c r="H100" s="265" t="str">
        <f>IFERROR(__xludf.DUMMYFUNCTION("""COMPUTED_VALUE"""),"Trả sau")</f>
        <v>Trả sau</v>
      </c>
      <c r="I100" s="265" t="str">
        <f>IFERROR(__xludf.DUMMYFUNCTION("""COMPUTED_VALUE"""),"API")</f>
        <v>API</v>
      </c>
      <c r="J100" s="265" t="str">
        <f>IFERROR(__xludf.DUMMYFUNCTION("""COMPUTED_VALUE"""),"API")</f>
        <v>API</v>
      </c>
      <c r="K100" s="265" t="str">
        <f>IFERROR(__xludf.DUMMYFUNCTION("""COMPUTED_VALUE"""),"DungPL")</f>
        <v>DungPL</v>
      </c>
    </row>
    <row r="101">
      <c r="A101" s="265" t="str">
        <f>IFERROR(__xludf.DUMMYFUNCTION("""COMPUTED_VALUE"""),"429")</f>
        <v>429</v>
      </c>
      <c r="B101" s="265" t="str">
        <f>IFERROR(__xludf.DUMMYFUNCTION("""COMPUTED_VALUE"""),"Hà Nội")</f>
        <v>Hà Nội</v>
      </c>
      <c r="C101" s="265" t="str">
        <f>IFERROR(__xludf.DUMMYFUNCTION("""COMPUTED_VALUE"""),"Locked")</f>
        <v>Locked</v>
      </c>
      <c r="D101" s="265" t="str">
        <f>IFERROR(__xludf.DUMMYFUNCTION("""COMPUTED_VALUE"""),"Sale chưa cung cấp")</f>
        <v>Sale chưa cung cấp</v>
      </c>
      <c r="E101" s="265" t="str">
        <f>IFERROR(__xludf.DUMMYFUNCTION("""COMPUTED_VALUE"""),"NamDT")</f>
        <v>NamDT</v>
      </c>
      <c r="F101" s="265" t="str">
        <f>IFERROR(__xludf.DUMMYFUNCTION("""COMPUTED_VALUE"""),"Sale chưa cung cấp")</f>
        <v>Sale chưa cung cấp</v>
      </c>
      <c r="G101" s="265" t="str">
        <f>IFERROR(__xludf.DUMMYFUNCTION("""COMPUTED_VALUE"""),"Enterprise")</f>
        <v>Enterprise</v>
      </c>
      <c r="H101" s="265" t="str">
        <f>IFERROR(__xludf.DUMMYFUNCTION("""COMPUTED_VALUE"""),"(Chưa recheck)")</f>
        <v>(Chưa recheck)</v>
      </c>
      <c r="I101" s="265" t="str">
        <f>IFERROR(__xludf.DUMMYFUNCTION("""COMPUTED_VALUE"""),"(Chưa recheck)")</f>
        <v>(Chưa recheck)</v>
      </c>
      <c r="J101" s="265" t="str">
        <f>IFERROR(__xludf.DUMMYFUNCTION("""COMPUTED_VALUE"""),"File Excel")</f>
        <v>File Excel</v>
      </c>
      <c r="K101" s="265" t="str">
        <f>IFERROR(__xludf.DUMMYFUNCTION("""COMPUTED_VALUE"""),"(Chưa recheck)")</f>
        <v>(Chưa recheck)</v>
      </c>
    </row>
    <row r="102">
      <c r="A102" s="265" t="str">
        <f>IFERROR(__xludf.DUMMYFUNCTION("""COMPUTED_VALUE"""),"427")</f>
        <v>427</v>
      </c>
      <c r="B102" s="265" t="str">
        <f>IFERROR(__xludf.DUMMYFUNCTION("""COMPUTED_VALUE"""),"Sài Gòn")</f>
        <v>Sài Gòn</v>
      </c>
      <c r="C102" s="265" t="str">
        <f>IFERROR(__xludf.DUMMYFUNCTION("""COMPUTED_VALUE"""),"Locked")</f>
        <v>Locked</v>
      </c>
      <c r="D102" s="265" t="str">
        <f>IFERROR(__xludf.DUMMYFUNCTION("""COMPUTED_VALUE"""),"Sale chưa cung cấp")</f>
        <v>Sale chưa cung cấp</v>
      </c>
      <c r="E102" s="265" t="str">
        <f>IFERROR(__xludf.DUMMYFUNCTION("""COMPUTED_VALUE"""),"HoaNTM")</f>
        <v>HoaNTM</v>
      </c>
      <c r="F102" s="265" t="str">
        <f>IFERROR(__xludf.DUMMYFUNCTION("""COMPUTED_VALUE"""),"Bronze")</f>
        <v>Bronze</v>
      </c>
      <c r="G102" s="265" t="str">
        <f>IFERROR(__xludf.DUMMYFUNCTION("""COMPUTED_VALUE"""),"MSG")</f>
        <v>MSG</v>
      </c>
      <c r="H102" s="265" t="str">
        <f>IFERROR(__xludf.DUMMYFUNCTION("""COMPUTED_VALUE"""),"(Chưa recheck)")</f>
        <v>(Chưa recheck)</v>
      </c>
      <c r="I102" s="265" t="str">
        <f>IFERROR(__xludf.DUMMYFUNCTION("""COMPUTED_VALUE"""),"(Chưa recheck)")</f>
        <v>(Chưa recheck)</v>
      </c>
      <c r="J102" s="265" t="str">
        <f>IFERROR(__xludf.DUMMYFUNCTION("""COMPUTED_VALUE"""),"File Excel")</f>
        <v>File Excel</v>
      </c>
      <c r="K102" s="265" t="str">
        <f>IFERROR(__xludf.DUMMYFUNCTION("""COMPUTED_VALUE"""),"AnhNM")</f>
        <v>AnhNM</v>
      </c>
    </row>
    <row r="103">
      <c r="A103" s="265" t="str">
        <f>IFERROR(__xludf.DUMMYFUNCTION("""COMPUTED_VALUE"""),"431")</f>
        <v>431</v>
      </c>
      <c r="B103" s="265" t="str">
        <f>IFERROR(__xludf.DUMMYFUNCTION("""COMPUTED_VALUE"""),"Đà Nẵng")</f>
        <v>Đà Nẵng</v>
      </c>
      <c r="C103" s="265" t="str">
        <f>IFERROR(__xludf.DUMMYFUNCTION("""COMPUTED_VALUE"""),"Active")</f>
        <v>Active</v>
      </c>
      <c r="D103" s="265" t="str">
        <f>IFERROR(__xludf.DUMMYFUNCTION("""COMPUTED_VALUE"""),"Sale chưa cung cấp")</f>
        <v>Sale chưa cung cấp</v>
      </c>
      <c r="E103" s="265" t="str">
        <f>IFERROR(__xludf.DUMMYFUNCTION("""COMPUTED_VALUE"""),"AnhNM")</f>
        <v>AnhNM</v>
      </c>
      <c r="F103" s="265" t="str">
        <f>IFERROR(__xludf.DUMMYFUNCTION("""COMPUTED_VALUE"""),"Gold")</f>
        <v>Gold</v>
      </c>
      <c r="G103" s="265" t="str">
        <f>IFERROR(__xludf.DUMMYFUNCTION("""COMPUTED_VALUE"""),"Enterprise")</f>
        <v>Enterprise</v>
      </c>
      <c r="H103" s="265" t="str">
        <f>IFERROR(__xludf.DUMMYFUNCTION("""COMPUTED_VALUE"""),"Trả sau")</f>
        <v>Trả sau</v>
      </c>
      <c r="I103" s="265" t="str">
        <f>IFERROR(__xludf.DUMMYFUNCTION("""COMPUTED_VALUE"""),"API &amp; Portal")</f>
        <v>API &amp; Portal</v>
      </c>
      <c r="J103" s="265" t="str">
        <f>IFERROR(__xludf.DUMMYFUNCTION("""COMPUTED_VALUE"""),"Sapo")</f>
        <v>Sapo</v>
      </c>
      <c r="K103" s="265" t="str">
        <f>IFERROR(__xludf.DUMMYFUNCTION("""COMPUTED_VALUE"""),"LinhNTT1")</f>
        <v>LinhNTT1</v>
      </c>
    </row>
    <row r="104">
      <c r="A104" s="265" t="str">
        <f>IFERROR(__xludf.DUMMYFUNCTION("""COMPUTED_VALUE"""),"432")</f>
        <v>432</v>
      </c>
      <c r="B104" s="265" t="str">
        <f>IFERROR(__xludf.DUMMYFUNCTION("""COMPUTED_VALUE"""),"Đà Nẵng")</f>
        <v>Đà Nẵng</v>
      </c>
      <c r="C104" s="265" t="str">
        <f>IFERROR(__xludf.DUMMYFUNCTION("""COMPUTED_VALUE"""),"Active")</f>
        <v>Active</v>
      </c>
      <c r="D104" s="265" t="str">
        <f>IFERROR(__xludf.DUMMYFUNCTION("""COMPUTED_VALUE"""),"Sale chưa cung cấp")</f>
        <v>Sale chưa cung cấp</v>
      </c>
      <c r="E104" s="265" t="str">
        <f>IFERROR(__xludf.DUMMYFUNCTION("""COMPUTED_VALUE"""),"AnhNM")</f>
        <v>AnhNM</v>
      </c>
      <c r="F104" s="265" t="str">
        <f>IFERROR(__xludf.DUMMYFUNCTION("""COMPUTED_VALUE"""),"Silver")</f>
        <v>Silver</v>
      </c>
      <c r="G104" s="265" t="str">
        <f>IFERROR(__xludf.DUMMYFUNCTION("""COMPUTED_VALUE"""),"Enterprise")</f>
        <v>Enterprise</v>
      </c>
      <c r="H104" s="265" t="str">
        <f>IFERROR(__xludf.DUMMYFUNCTION("""COMPUTED_VALUE"""),"Trả sau")</f>
        <v>Trả sau</v>
      </c>
      <c r="I104" s="265" t="str">
        <f>IFERROR(__xludf.DUMMYFUNCTION("""COMPUTED_VALUE"""),"API &amp; Portal")</f>
        <v>API &amp; Portal</v>
      </c>
      <c r="J104" s="265" t="str">
        <f>IFERROR(__xludf.DUMMYFUNCTION("""COMPUTED_VALUE"""),"File Excel")</f>
        <v>File Excel</v>
      </c>
      <c r="K104" s="265" t="str">
        <f>IFERROR(__xludf.DUMMYFUNCTION("""COMPUTED_VALUE"""),"DungPL")</f>
        <v>DungPL</v>
      </c>
    </row>
    <row r="105">
      <c r="A105" s="265" t="str">
        <f>IFERROR(__xludf.DUMMYFUNCTION("""COMPUTED_VALUE"""),"432")</f>
        <v>432</v>
      </c>
      <c r="B105" s="265" t="str">
        <f>IFERROR(__xludf.DUMMYFUNCTION("""COMPUTED_VALUE"""),"Đà Nẵng")</f>
        <v>Đà Nẵng</v>
      </c>
      <c r="C105" s="265" t="str">
        <f>IFERROR(__xludf.DUMMYFUNCTION("""COMPUTED_VALUE"""),"Active")</f>
        <v>Active</v>
      </c>
      <c r="D105" s="265" t="str">
        <f>IFERROR(__xludf.DUMMYFUNCTION("""COMPUTED_VALUE"""),"Sale chưa cung cấp")</f>
        <v>Sale chưa cung cấp</v>
      </c>
      <c r="E105" s="265" t="str">
        <f>IFERROR(__xludf.DUMMYFUNCTION("""COMPUTED_VALUE"""),"AnhNM")</f>
        <v>AnhNM</v>
      </c>
      <c r="F105" s="265" t="str">
        <f>IFERROR(__xludf.DUMMYFUNCTION("""COMPUTED_VALUE"""),"Silver")</f>
        <v>Silver</v>
      </c>
      <c r="G105" s="265" t="str">
        <f>IFERROR(__xludf.DUMMYFUNCTION("""COMPUTED_VALUE"""),"Enterprise")</f>
        <v>Enterprise</v>
      </c>
      <c r="H105" s="265" t="str">
        <f>IFERROR(__xludf.DUMMYFUNCTION("""COMPUTED_VALUE"""),"Trả sau")</f>
        <v>Trả sau</v>
      </c>
      <c r="I105" s="265" t="str">
        <f>IFERROR(__xludf.DUMMYFUNCTION("""COMPUTED_VALUE"""),"API &amp; Portal")</f>
        <v>API &amp; Portal</v>
      </c>
      <c r="J105" s="265" t="str">
        <f>IFERROR(__xludf.DUMMYFUNCTION("""COMPUTED_VALUE"""),"API")</f>
        <v>API</v>
      </c>
      <c r="K105" s="265" t="str">
        <f>IFERROR(__xludf.DUMMYFUNCTION("""COMPUTED_VALUE"""),"DungPL")</f>
        <v>DungPL</v>
      </c>
    </row>
    <row r="106">
      <c r="A106" s="265" t="str">
        <f>IFERROR(__xludf.DUMMYFUNCTION("""COMPUTED_VALUE"""),"433")</f>
        <v>433</v>
      </c>
      <c r="B106" s="265" t="str">
        <f>IFERROR(__xludf.DUMMYFUNCTION("""COMPUTED_VALUE"""),"Sài Gòn")</f>
        <v>Sài Gòn</v>
      </c>
      <c r="C106" s="265" t="str">
        <f>IFERROR(__xludf.DUMMYFUNCTION("""COMPUTED_VALUE"""),"Active")</f>
        <v>Active</v>
      </c>
      <c r="D106" s="265" t="str">
        <f>IFERROR(__xludf.DUMMYFUNCTION("""COMPUTED_VALUE"""),"Sale chưa cung cấp")</f>
        <v>Sale chưa cung cấp</v>
      </c>
      <c r="E106" s="265" t="str">
        <f>IFERROR(__xludf.DUMMYFUNCTION("""COMPUTED_VALUE"""),"AnhNM")</f>
        <v>AnhNM</v>
      </c>
      <c r="F106" s="265" t="str">
        <f>IFERROR(__xludf.DUMMYFUNCTION("""COMPUTED_VALUE"""),"Silver")</f>
        <v>Silver</v>
      </c>
      <c r="G106" s="265" t="str">
        <f>IFERROR(__xludf.DUMMYFUNCTION("""COMPUTED_VALUE"""),"Enterprise")</f>
        <v>Enterprise</v>
      </c>
      <c r="H106" s="265" t="str">
        <f>IFERROR(__xludf.DUMMYFUNCTION("""COMPUTED_VALUE"""),"Trả trước")</f>
        <v>Trả trước</v>
      </c>
      <c r="I106" s="265" t="str">
        <f>IFERROR(__xludf.DUMMYFUNCTION("""COMPUTED_VALUE"""),"API &amp; Portal")</f>
        <v>API &amp; Portal</v>
      </c>
      <c r="J106" s="265" t="str">
        <f>IFERROR(__xludf.DUMMYFUNCTION("""COMPUTED_VALUE"""),"File Excel")</f>
        <v>File Excel</v>
      </c>
      <c r="K106" s="265" t="str">
        <f>IFERROR(__xludf.DUMMYFUNCTION("""COMPUTED_VALUE"""),"LinhNTT1")</f>
        <v>LinhNTT1</v>
      </c>
    </row>
    <row r="107">
      <c r="A107" s="265" t="str">
        <f>IFERROR(__xludf.DUMMYFUNCTION("""COMPUTED_VALUE"""),"433")</f>
        <v>433</v>
      </c>
      <c r="B107" s="265" t="str">
        <f>IFERROR(__xludf.DUMMYFUNCTION("""COMPUTED_VALUE"""),"Sài Gòn")</f>
        <v>Sài Gòn</v>
      </c>
      <c r="C107" s="265" t="str">
        <f>IFERROR(__xludf.DUMMYFUNCTION("""COMPUTED_VALUE"""),"Active")</f>
        <v>Active</v>
      </c>
      <c r="D107" s="265" t="str">
        <f>IFERROR(__xludf.DUMMYFUNCTION("""COMPUTED_VALUE"""),"Sale chưa cung cấp")</f>
        <v>Sale chưa cung cấp</v>
      </c>
      <c r="E107" s="265" t="str">
        <f>IFERROR(__xludf.DUMMYFUNCTION("""COMPUTED_VALUE"""),"AnhNM")</f>
        <v>AnhNM</v>
      </c>
      <c r="F107" s="265" t="str">
        <f>IFERROR(__xludf.DUMMYFUNCTION("""COMPUTED_VALUE"""),"Silver")</f>
        <v>Silver</v>
      </c>
      <c r="G107" s="265" t="str">
        <f>IFERROR(__xludf.DUMMYFUNCTION("""COMPUTED_VALUE"""),"Enterprise")</f>
        <v>Enterprise</v>
      </c>
      <c r="H107" s="265" t="str">
        <f>IFERROR(__xludf.DUMMYFUNCTION("""COMPUTED_VALUE"""),"Trả trước")</f>
        <v>Trả trước</v>
      </c>
      <c r="I107" s="265" t="str">
        <f>IFERROR(__xludf.DUMMYFUNCTION("""COMPUTED_VALUE"""),"API &amp; Portal")</f>
        <v>API &amp; Portal</v>
      </c>
      <c r="J107" s="265" t="str">
        <f>IFERROR(__xludf.DUMMYFUNCTION("""COMPUTED_VALUE"""),"API")</f>
        <v>API</v>
      </c>
      <c r="K107" s="265" t="str">
        <f>IFERROR(__xludf.DUMMYFUNCTION("""COMPUTED_VALUE"""),"LinhNTT1")</f>
        <v>LinhNTT1</v>
      </c>
    </row>
    <row r="108">
      <c r="A108" s="265" t="str">
        <f>IFERROR(__xludf.DUMMYFUNCTION("""COMPUTED_VALUE"""),"437")</f>
        <v>437</v>
      </c>
      <c r="B108" s="265" t="str">
        <f>IFERROR(__xludf.DUMMYFUNCTION("""COMPUTED_VALUE"""),"Sài Gòn")</f>
        <v>Sài Gòn</v>
      </c>
      <c r="C108" s="265" t="str">
        <f>IFERROR(__xludf.DUMMYFUNCTION("""COMPUTED_VALUE"""),"Locked")</f>
        <v>Locked</v>
      </c>
      <c r="D108" s="265" t="str">
        <f>IFERROR(__xludf.DUMMYFUNCTION("""COMPUTED_VALUE"""),"Sale chưa cung cấp")</f>
        <v>Sale chưa cung cấp</v>
      </c>
      <c r="E108" s="265" t="str">
        <f>IFERROR(__xludf.DUMMYFUNCTION("""COMPUTED_VALUE"""),"HoaNTM")</f>
        <v>HoaNTM</v>
      </c>
      <c r="F108" s="265" t="str">
        <f>IFERROR(__xludf.DUMMYFUNCTION("""COMPUTED_VALUE"""),"Sale chưa cung cấp")</f>
        <v>Sale chưa cung cấp</v>
      </c>
      <c r="G108" s="265" t="str">
        <f>IFERROR(__xludf.DUMMYFUNCTION("""COMPUTED_VALUE"""),"API")</f>
        <v>API</v>
      </c>
      <c r="H108" s="265" t="str">
        <f>IFERROR(__xludf.DUMMYFUNCTION("""COMPUTED_VALUE"""),"(Chưa recheck)")</f>
        <v>(Chưa recheck)</v>
      </c>
      <c r="I108" s="265" t="str">
        <f>IFERROR(__xludf.DUMMYFUNCTION("""COMPUTED_VALUE"""),"(Chưa recheck)")</f>
        <v>(Chưa recheck)</v>
      </c>
      <c r="J108" s="265" t="str">
        <f>IFERROR(__xludf.DUMMYFUNCTION("""COMPUTED_VALUE"""),"(Chưa recheck)")</f>
        <v>(Chưa recheck)</v>
      </c>
      <c r="K108" s="265" t="str">
        <f>IFERROR(__xludf.DUMMYFUNCTION("""COMPUTED_VALUE"""),"(Chưa recheck)")</f>
        <v>(Chưa recheck)</v>
      </c>
    </row>
    <row r="109">
      <c r="A109" s="265" t="str">
        <f>IFERROR(__xludf.DUMMYFUNCTION("""COMPUTED_VALUE"""),"438")</f>
        <v>438</v>
      </c>
      <c r="B109" s="265" t="str">
        <f>IFERROR(__xludf.DUMMYFUNCTION("""COMPUTED_VALUE"""),"Sài Gòn")</f>
        <v>Sài Gòn</v>
      </c>
      <c r="C109" s="265" t="str">
        <f>IFERROR(__xludf.DUMMYFUNCTION("""COMPUTED_VALUE"""),"Locked")</f>
        <v>Locked</v>
      </c>
      <c r="D109" s="265" t="str">
        <f>IFERROR(__xludf.DUMMYFUNCTION("""COMPUTED_VALUE"""),"Sale chưa cung cấp")</f>
        <v>Sale chưa cung cấp</v>
      </c>
      <c r="E109" s="265" t="str">
        <f>IFERROR(__xludf.DUMMYFUNCTION("""COMPUTED_VALUE"""),"PhươngDTB")</f>
        <v>PhươngDTB</v>
      </c>
      <c r="F109" s="265" t="str">
        <f>IFERROR(__xludf.DUMMYFUNCTION("""COMPUTED_VALUE"""),"Bronze")</f>
        <v>Bronze</v>
      </c>
      <c r="G109" s="265" t="str">
        <f>IFERROR(__xludf.DUMMYFUNCTION("""COMPUTED_VALUE"""),"MSG")</f>
        <v>MSG</v>
      </c>
      <c r="H109" s="265" t="str">
        <f>IFERROR(__xludf.DUMMYFUNCTION("""COMPUTED_VALUE"""),"(Chưa recheck)")</f>
        <v>(Chưa recheck)</v>
      </c>
      <c r="I109" s="265" t="str">
        <f>IFERROR(__xludf.DUMMYFUNCTION("""COMPUTED_VALUE"""),"(Chưa recheck)")</f>
        <v>(Chưa recheck)</v>
      </c>
      <c r="J109" s="265" t="str">
        <f>IFERROR(__xludf.DUMMYFUNCTION("""COMPUTED_VALUE"""),"(Chưa recheck)")</f>
        <v>(Chưa recheck)</v>
      </c>
      <c r="K109" s="265" t="str">
        <f>IFERROR(__xludf.DUMMYFUNCTION("""COMPUTED_VALUE"""),"AnhNM")</f>
        <v>AnhNM</v>
      </c>
    </row>
    <row r="110">
      <c r="A110" s="265" t="str">
        <f>IFERROR(__xludf.DUMMYFUNCTION("""COMPUTED_VALUE"""),"439")</f>
        <v>439</v>
      </c>
      <c r="B110" s="265" t="str">
        <f>IFERROR(__xludf.DUMMYFUNCTION("""COMPUTED_VALUE"""),"Hà Nội")</f>
        <v>Hà Nội</v>
      </c>
      <c r="C110" s="265" t="str">
        <f>IFERROR(__xludf.DUMMYFUNCTION("""COMPUTED_VALUE"""),"Locked")</f>
        <v>Locked</v>
      </c>
      <c r="D110" s="265" t="str">
        <f>IFERROR(__xludf.DUMMYFUNCTION("""COMPUTED_VALUE"""),"Sale chưa cung cấp")</f>
        <v>Sale chưa cung cấp</v>
      </c>
      <c r="E110" s="265" t="str">
        <f>IFERROR(__xludf.DUMMYFUNCTION("""COMPUTED_VALUE"""),"NamDT")</f>
        <v>NamDT</v>
      </c>
      <c r="F110" s="265" t="str">
        <f>IFERROR(__xludf.DUMMYFUNCTION("""COMPUTED_VALUE"""),"Sale chưa cung cấp")</f>
        <v>Sale chưa cung cấp</v>
      </c>
      <c r="G110" s="265" t="str">
        <f>IFERROR(__xludf.DUMMYFUNCTION("""COMPUTED_VALUE"""),"Enterprise")</f>
        <v>Enterprise</v>
      </c>
      <c r="H110" s="265" t="str">
        <f>IFERROR(__xludf.DUMMYFUNCTION("""COMPUTED_VALUE"""),"Trial")</f>
        <v>Trial</v>
      </c>
      <c r="I110" s="265" t="str">
        <f>IFERROR(__xludf.DUMMYFUNCTION("""COMPUTED_VALUE"""),"(Không recheck)")</f>
        <v>(Không recheck)</v>
      </c>
      <c r="J110" s="265" t="str">
        <f>IFERROR(__xludf.DUMMYFUNCTION("""COMPUTED_VALUE"""),"(Không recheck)")</f>
        <v>(Không recheck)</v>
      </c>
      <c r="K110" s="265" t="str">
        <f>IFERROR(__xludf.DUMMYFUNCTION("""COMPUTED_VALUE"""),"(Không recheck)")</f>
        <v>(Không recheck)</v>
      </c>
    </row>
    <row r="111">
      <c r="A111" s="265" t="str">
        <f>IFERROR(__xludf.DUMMYFUNCTION("""COMPUTED_VALUE"""),"440")</f>
        <v>440</v>
      </c>
      <c r="B111" s="265" t="str">
        <f>IFERROR(__xludf.DUMMYFUNCTION("""COMPUTED_VALUE"""),"Sài Gòn")</f>
        <v>Sài Gòn</v>
      </c>
      <c r="C111" s="265" t="str">
        <f>IFERROR(__xludf.DUMMYFUNCTION("""COMPUTED_VALUE"""),"Locked")</f>
        <v>Locked</v>
      </c>
      <c r="D111" s="265" t="str">
        <f>IFERROR(__xludf.DUMMYFUNCTION("""COMPUTED_VALUE"""),"Sale chưa cung cấp")</f>
        <v>Sale chưa cung cấp</v>
      </c>
      <c r="E111" s="265" t="str">
        <f>IFERROR(__xludf.DUMMYFUNCTION("""COMPUTED_VALUE"""),"TúPHN")</f>
        <v>TúPHN</v>
      </c>
      <c r="F111" s="265" t="str">
        <f>IFERROR(__xludf.DUMMYFUNCTION("""COMPUTED_VALUE"""),"Bronze")</f>
        <v>Bronze</v>
      </c>
      <c r="G111" s="265" t="str">
        <f>IFERROR(__xludf.DUMMYFUNCTION("""COMPUTED_VALUE"""),"MSG")</f>
        <v>MSG</v>
      </c>
      <c r="H111" s="265" t="str">
        <f>IFERROR(__xludf.DUMMYFUNCTION("""COMPUTED_VALUE"""),"(Chưa recheck)")</f>
        <v>(Chưa recheck)</v>
      </c>
      <c r="I111" s="265" t="str">
        <f>IFERROR(__xludf.DUMMYFUNCTION("""COMPUTED_VALUE"""),"(Chưa recheck)")</f>
        <v>(Chưa recheck)</v>
      </c>
      <c r="J111" s="265" t="str">
        <f>IFERROR(__xludf.DUMMYFUNCTION("""COMPUTED_VALUE"""),"(Chưa recheck)")</f>
        <v>(Chưa recheck)</v>
      </c>
      <c r="K111" s="265" t="str">
        <f>IFERROR(__xludf.DUMMYFUNCTION("""COMPUTED_VALUE"""),"AnhNM")</f>
        <v>AnhNM</v>
      </c>
    </row>
    <row r="112">
      <c r="A112" s="265" t="str">
        <f>IFERROR(__xludf.DUMMYFUNCTION("""COMPUTED_VALUE"""),"307")</f>
        <v>307</v>
      </c>
      <c r="B112" s="265" t="str">
        <f>IFERROR(__xludf.DUMMYFUNCTION("""COMPUTED_VALUE"""),"Hà Nội")</f>
        <v>Hà Nội</v>
      </c>
      <c r="C112" s="265" t="str">
        <f>IFERROR(__xludf.DUMMYFUNCTION("""COMPUTED_VALUE"""),"Locked")</f>
        <v>Locked</v>
      </c>
      <c r="D112" s="265" t="str">
        <f>IFERROR(__xludf.DUMMYFUNCTION("""COMPUTED_VALUE"""),"Sale chưa cung cấp")</f>
        <v>Sale chưa cung cấp</v>
      </c>
      <c r="E112" s="265" t="str">
        <f>IFERROR(__xludf.DUMMYFUNCTION("""COMPUTED_VALUE"""),"MaiTP")</f>
        <v>MaiTP</v>
      </c>
      <c r="F112" s="265" t="str">
        <f>IFERROR(__xludf.DUMMYFUNCTION("""COMPUTED_VALUE"""),"Sale chưa cung cấp")</f>
        <v>Sale chưa cung cấp</v>
      </c>
      <c r="G112" s="265" t="str">
        <f>IFERROR(__xludf.DUMMYFUNCTION("""COMPUTED_VALUE"""),"API")</f>
        <v>API</v>
      </c>
      <c r="H112" s="265" t="str">
        <f>IFERROR(__xludf.DUMMYFUNCTION("""COMPUTED_VALUE"""),"(Chưa recheck)")</f>
        <v>(Chưa recheck)</v>
      </c>
      <c r="I112" s="265" t="str">
        <f>IFERROR(__xludf.DUMMYFUNCTION("""COMPUTED_VALUE"""),"(Chưa recheck)")</f>
        <v>(Chưa recheck)</v>
      </c>
      <c r="J112" s="265" t="str">
        <f>IFERROR(__xludf.DUMMYFUNCTION("""COMPUTED_VALUE"""),"API")</f>
        <v>API</v>
      </c>
      <c r="K112" s="265" t="str">
        <f>IFERROR(__xludf.DUMMYFUNCTION("""COMPUTED_VALUE"""),"(Chưa recheck)")</f>
        <v>(Chưa recheck)</v>
      </c>
    </row>
    <row r="113">
      <c r="A113" s="265" t="str">
        <f>IFERROR(__xludf.DUMMYFUNCTION("""COMPUTED_VALUE"""),"441")</f>
        <v>441</v>
      </c>
      <c r="B113" s="265" t="str">
        <f>IFERROR(__xludf.DUMMYFUNCTION("""COMPUTED_VALUE"""),"Hà Nội")</f>
        <v>Hà Nội</v>
      </c>
      <c r="C113" s="265" t="str">
        <f>IFERROR(__xludf.DUMMYFUNCTION("""COMPUTED_VALUE"""),"Locked")</f>
        <v>Locked</v>
      </c>
      <c r="D113" s="265" t="str">
        <f>IFERROR(__xludf.DUMMYFUNCTION("""COMPUTED_VALUE"""),"Sale chưa cung cấp")</f>
        <v>Sale chưa cung cấp</v>
      </c>
      <c r="E113" s="265" t="str">
        <f>IFERROR(__xludf.DUMMYFUNCTION("""COMPUTED_VALUE"""),"PhươngDTB")</f>
        <v>PhươngDTB</v>
      </c>
      <c r="F113" s="265" t="str">
        <f>IFERROR(__xludf.DUMMYFUNCTION("""COMPUTED_VALUE"""),"Bronze")</f>
        <v>Bronze</v>
      </c>
      <c r="G113" s="265" t="str">
        <f>IFERROR(__xludf.DUMMYFUNCTION("""COMPUTED_VALUE"""),"API")</f>
        <v>API</v>
      </c>
      <c r="H113" s="265" t="str">
        <f>IFERROR(__xludf.DUMMYFUNCTION("""COMPUTED_VALUE"""),"(Chưa recheck)")</f>
        <v>(Chưa recheck)</v>
      </c>
      <c r="I113" s="265" t="str">
        <f>IFERROR(__xludf.DUMMYFUNCTION("""COMPUTED_VALUE"""),"(Chưa recheck)")</f>
        <v>(Chưa recheck)</v>
      </c>
      <c r="J113" s="265" t="str">
        <f>IFERROR(__xludf.DUMMYFUNCTION("""COMPUTED_VALUE"""),"API")</f>
        <v>API</v>
      </c>
      <c r="K113" s="265" t="str">
        <f>IFERROR(__xludf.DUMMYFUNCTION("""COMPUTED_VALUE"""),"(Chưa recheck)")</f>
        <v>(Chưa recheck)</v>
      </c>
    </row>
    <row r="114">
      <c r="A114" s="265" t="str">
        <f>IFERROR(__xludf.DUMMYFUNCTION("""COMPUTED_VALUE"""),"442")</f>
        <v>442</v>
      </c>
      <c r="B114" s="265" t="str">
        <f>IFERROR(__xludf.DUMMYFUNCTION("""COMPUTED_VALUE"""),"Sài Gòn")</f>
        <v>Sài Gòn</v>
      </c>
      <c r="C114" s="265" t="str">
        <f>IFERROR(__xludf.DUMMYFUNCTION("""COMPUTED_VALUE"""),"Locked")</f>
        <v>Locked</v>
      </c>
      <c r="D114" s="265" t="str">
        <f>IFERROR(__xludf.DUMMYFUNCTION("""COMPUTED_VALUE"""),"Truyền thông &amp; Giải trí")</f>
        <v>Truyền thông &amp; Giải trí</v>
      </c>
      <c r="E114" s="265" t="str">
        <f>IFERROR(__xludf.DUMMYFUNCTION("""COMPUTED_VALUE"""),"Không phân công")</f>
        <v>Không phân công</v>
      </c>
      <c r="F114" s="265" t="str">
        <f>IFERROR(__xludf.DUMMYFUNCTION("""COMPUTED_VALUE"""),"Diamond")</f>
        <v>Diamond</v>
      </c>
      <c r="G114" s="265" t="str">
        <f>IFERROR(__xludf.DUMMYFUNCTION("""COMPUTED_VALUE"""),"Starter")</f>
        <v>Starter</v>
      </c>
      <c r="H114" s="265" t="str">
        <f>IFERROR(__xludf.DUMMYFUNCTION("""COMPUTED_VALUE"""),"Trả sau")</f>
        <v>Trả sau</v>
      </c>
      <c r="I114" s="265" t="str">
        <f>IFERROR(__xludf.DUMMYFUNCTION("""COMPUTED_VALUE"""),"API")</f>
        <v>API</v>
      </c>
      <c r="J114" s="265" t="str">
        <f>IFERROR(__xludf.DUMMYFUNCTION("""COMPUTED_VALUE"""),"API")</f>
        <v>API</v>
      </c>
      <c r="K114" s="265" t="str">
        <f>IFERROR(__xludf.DUMMYFUNCTION("""COMPUTED_VALUE"""),"LinhNTT1")</f>
        <v>LinhNTT1</v>
      </c>
    </row>
    <row r="115">
      <c r="A115" s="265" t="str">
        <f>IFERROR(__xludf.DUMMYFUNCTION("""COMPUTED_VALUE"""),"443")</f>
        <v>443</v>
      </c>
      <c r="B115" s="265" t="str">
        <f>IFERROR(__xludf.DUMMYFUNCTION("""COMPUTED_VALUE"""),"Hà Nội")</f>
        <v>Hà Nội</v>
      </c>
      <c r="C115" s="265" t="str">
        <f>IFERROR(__xludf.DUMMYFUNCTION("""COMPUTED_VALUE"""),"Locked")</f>
        <v>Locked</v>
      </c>
      <c r="D115" s="265" t="str">
        <f>IFERROR(__xludf.DUMMYFUNCTION("""COMPUTED_VALUE"""),"Sale chưa cung cấp")</f>
        <v>Sale chưa cung cấp</v>
      </c>
      <c r="E115" s="265" t="str">
        <f>IFERROR(__xludf.DUMMYFUNCTION("""COMPUTED_VALUE"""),"PhươngDTB")</f>
        <v>PhươngDTB</v>
      </c>
      <c r="F115" s="265" t="str">
        <f>IFERROR(__xludf.DUMMYFUNCTION("""COMPUTED_VALUE"""),"Bronze")</f>
        <v>Bronze</v>
      </c>
      <c r="G115" s="265" t="str">
        <f>IFERROR(__xludf.DUMMYFUNCTION("""COMPUTED_VALUE"""),"Enterprise")</f>
        <v>Enterprise</v>
      </c>
      <c r="H115" s="265" t="str">
        <f>IFERROR(__xludf.DUMMYFUNCTION("""COMPUTED_VALUE"""),"(Chưa recheck)")</f>
        <v>(Chưa recheck)</v>
      </c>
      <c r="I115" s="265" t="str">
        <f>IFERROR(__xludf.DUMMYFUNCTION("""COMPUTED_VALUE"""),"(Chưa recheck)")</f>
        <v>(Chưa recheck)</v>
      </c>
      <c r="J115" s="265" t="str">
        <f>IFERROR(__xludf.DUMMYFUNCTION("""COMPUTED_VALUE"""),"File Excel")</f>
        <v>File Excel</v>
      </c>
      <c r="K115" s="265" t="str">
        <f>IFERROR(__xludf.DUMMYFUNCTION("""COMPUTED_VALUE"""),"(Chưa recheck)")</f>
        <v>(Chưa recheck)</v>
      </c>
    </row>
    <row r="116">
      <c r="A116" s="265" t="str">
        <f>IFERROR(__xludf.DUMMYFUNCTION("""COMPUTED_VALUE"""),"446")</f>
        <v>446</v>
      </c>
      <c r="B116" s="265" t="str">
        <f>IFERROR(__xludf.DUMMYFUNCTION("""COMPUTED_VALUE"""),"Hà Nội")</f>
        <v>Hà Nội</v>
      </c>
      <c r="C116" s="265" t="str">
        <f>IFERROR(__xludf.DUMMYFUNCTION("""COMPUTED_VALUE"""),"Active")</f>
        <v>Active</v>
      </c>
      <c r="D116" s="265" t="str">
        <f>IFERROR(__xludf.DUMMYFUNCTION("""COMPUTED_VALUE"""),"Sale chưa cung cấp")</f>
        <v>Sale chưa cung cấp</v>
      </c>
      <c r="E116" s="265" t="str">
        <f>IFERROR(__xludf.DUMMYFUNCTION("""COMPUTED_VALUE"""),"TúPHN")</f>
        <v>TúPHN</v>
      </c>
      <c r="F116" s="265" t="str">
        <f>IFERROR(__xludf.DUMMYFUNCTION("""COMPUTED_VALUE"""),"Bronze")</f>
        <v>Bronze</v>
      </c>
      <c r="G116" s="265" t="str">
        <f>IFERROR(__xludf.DUMMYFUNCTION("""COMPUTED_VALUE"""),"API")</f>
        <v>API</v>
      </c>
      <c r="H116" s="265" t="str">
        <f>IFERROR(__xludf.DUMMYFUNCTION("""COMPUTED_VALUE"""),"Trả sau")</f>
        <v>Trả sau</v>
      </c>
      <c r="I116" s="265" t="str">
        <f>IFERROR(__xludf.DUMMYFUNCTION("""COMPUTED_VALUE"""),"API")</f>
        <v>API</v>
      </c>
      <c r="J116" s="265" t="str">
        <f>IFERROR(__xludf.DUMMYFUNCTION("""COMPUTED_VALUE"""),"API")</f>
        <v>API</v>
      </c>
      <c r="K116" s="265" t="str">
        <f>IFERROR(__xludf.DUMMYFUNCTION("""COMPUTED_VALUE"""),"DungVT")</f>
        <v>DungVT</v>
      </c>
    </row>
    <row r="117">
      <c r="A117" s="265" t="str">
        <f>IFERROR(__xludf.DUMMYFUNCTION("""COMPUTED_VALUE"""),"445")</f>
        <v>445</v>
      </c>
      <c r="B117" s="265" t="str">
        <f>IFERROR(__xludf.DUMMYFUNCTION("""COMPUTED_VALUE"""),"Sài Gòn")</f>
        <v>Sài Gòn</v>
      </c>
      <c r="C117" s="265" t="str">
        <f>IFERROR(__xludf.DUMMYFUNCTION("""COMPUTED_VALUE"""),"Locked")</f>
        <v>Locked</v>
      </c>
      <c r="D117" s="265" t="str">
        <f>IFERROR(__xludf.DUMMYFUNCTION("""COMPUTED_VALUE"""),"Sale chưa cung cấp")</f>
        <v>Sale chưa cung cấp</v>
      </c>
      <c r="E117" s="265" t="str">
        <f>IFERROR(__xludf.DUMMYFUNCTION("""COMPUTED_VALUE"""),"HoaNTM")</f>
        <v>HoaNTM</v>
      </c>
      <c r="F117" s="265" t="str">
        <f>IFERROR(__xludf.DUMMYFUNCTION("""COMPUTED_VALUE"""),"Sale chưa cung cấp")</f>
        <v>Sale chưa cung cấp</v>
      </c>
      <c r="G117" s="265" t="str">
        <f>IFERROR(__xludf.DUMMYFUNCTION("""COMPUTED_VALUE"""),"MSG")</f>
        <v>MSG</v>
      </c>
      <c r="H117" s="265" t="str">
        <f>IFERROR(__xludf.DUMMYFUNCTION("""COMPUTED_VALUE"""),"(Chưa recheck)")</f>
        <v>(Chưa recheck)</v>
      </c>
      <c r="I117" s="265" t="str">
        <f>IFERROR(__xludf.DUMMYFUNCTION("""COMPUTED_VALUE"""),"(Chưa recheck)")</f>
        <v>(Chưa recheck)</v>
      </c>
      <c r="J117" s="265" t="str">
        <f>IFERROR(__xludf.DUMMYFUNCTION("""COMPUTED_VALUE"""),"(Chưa recheck)")</f>
        <v>(Chưa recheck)</v>
      </c>
      <c r="K117" s="265" t="str">
        <f>IFERROR(__xludf.DUMMYFUNCTION("""COMPUTED_VALUE"""),"AnhNM")</f>
        <v>AnhNM</v>
      </c>
    </row>
    <row r="118">
      <c r="A118" s="265" t="str">
        <f>IFERROR(__xludf.DUMMYFUNCTION("""COMPUTED_VALUE"""),"447")</f>
        <v>447</v>
      </c>
      <c r="B118" s="265" t="str">
        <f>IFERROR(__xludf.DUMMYFUNCTION("""COMPUTED_VALUE"""),"Hà Nội")</f>
        <v>Hà Nội</v>
      </c>
      <c r="C118" s="265" t="str">
        <f>IFERROR(__xludf.DUMMYFUNCTION("""COMPUTED_VALUE"""),"Active")</f>
        <v>Active</v>
      </c>
      <c r="D118" s="265" t="str">
        <f>IFERROR(__xludf.DUMMYFUNCTION("""COMPUTED_VALUE"""),"Sale chưa cung cấp")</f>
        <v>Sale chưa cung cấp</v>
      </c>
      <c r="E118" s="265" t="str">
        <f>IFERROR(__xludf.DUMMYFUNCTION("""COMPUTED_VALUE"""),"AnhNM")</f>
        <v>AnhNM</v>
      </c>
      <c r="F118" s="265" t="str">
        <f>IFERROR(__xludf.DUMMYFUNCTION("""COMPUTED_VALUE"""),"Silver")</f>
        <v>Silver</v>
      </c>
      <c r="G118" s="265" t="str">
        <f>IFERROR(__xludf.DUMMYFUNCTION("""COMPUTED_VALUE"""),"Standard")</f>
        <v>Standard</v>
      </c>
      <c r="H118" s="265" t="str">
        <f>IFERROR(__xludf.DUMMYFUNCTION("""COMPUTED_VALUE"""),"Trả sau")</f>
        <v>Trả sau</v>
      </c>
      <c r="I118" s="265" t="str">
        <f>IFERROR(__xludf.DUMMYFUNCTION("""COMPUTED_VALUE"""),"Portal")</f>
        <v>Portal</v>
      </c>
      <c r="J118" s="265" t="str">
        <f>IFERROR(__xludf.DUMMYFUNCTION("""COMPUTED_VALUE"""),"File Excel")</f>
        <v>File Excel</v>
      </c>
      <c r="K118" s="265" t="str">
        <f>IFERROR(__xludf.DUMMYFUNCTION("""COMPUTED_VALUE"""),"DungPL")</f>
        <v>DungPL</v>
      </c>
    </row>
    <row r="119">
      <c r="A119" s="265" t="str">
        <f>IFERROR(__xludf.DUMMYFUNCTION("""COMPUTED_VALUE"""),"448")</f>
        <v>448</v>
      </c>
      <c r="B119" s="265" t="str">
        <f>IFERROR(__xludf.DUMMYFUNCTION("""COMPUTED_VALUE"""),"Hà Nội")</f>
        <v>Hà Nội</v>
      </c>
      <c r="C119" s="265" t="str">
        <f>IFERROR(__xludf.DUMMYFUNCTION("""COMPUTED_VALUE"""),"Locked")</f>
        <v>Locked</v>
      </c>
      <c r="D119" s="265" t="str">
        <f>IFERROR(__xludf.DUMMYFUNCTION("""COMPUTED_VALUE"""),"Sale chưa cung cấp")</f>
        <v>Sale chưa cung cấp</v>
      </c>
      <c r="E119" s="265" t="str">
        <f>IFERROR(__xludf.DUMMYFUNCTION("""COMPUTED_VALUE"""),"NamDT")</f>
        <v>NamDT</v>
      </c>
      <c r="F119" s="265" t="str">
        <f>IFERROR(__xludf.DUMMYFUNCTION("""COMPUTED_VALUE"""),"Bronze")</f>
        <v>Bronze</v>
      </c>
      <c r="G119" s="265" t="str">
        <f>IFERROR(__xludf.DUMMYFUNCTION("""COMPUTED_VALUE"""),"Enterprise")</f>
        <v>Enterprise</v>
      </c>
      <c r="H119" s="265" t="str">
        <f>IFERROR(__xludf.DUMMYFUNCTION("""COMPUTED_VALUE"""),"(Chưa recheck)")</f>
        <v>(Chưa recheck)</v>
      </c>
      <c r="I119" s="265" t="str">
        <f>IFERROR(__xludf.DUMMYFUNCTION("""COMPUTED_VALUE"""),"(Chưa recheck)")</f>
        <v>(Chưa recheck)</v>
      </c>
      <c r="J119" s="265" t="str">
        <f>IFERROR(__xludf.DUMMYFUNCTION("""COMPUTED_VALUE"""),"(Chưa recheck)")</f>
        <v>(Chưa recheck)</v>
      </c>
      <c r="K119" s="265" t="str">
        <f>IFERROR(__xludf.DUMMYFUNCTION("""COMPUTED_VALUE"""),"(Chưa recheck)")</f>
        <v>(Chưa recheck)</v>
      </c>
    </row>
    <row r="120">
      <c r="A120" s="265" t="str">
        <f>IFERROR(__xludf.DUMMYFUNCTION("""COMPUTED_VALUE"""),"449")</f>
        <v>449</v>
      </c>
      <c r="B120" s="265" t="str">
        <f>IFERROR(__xludf.DUMMYFUNCTION("""COMPUTED_VALUE"""),"Hà Nội")</f>
        <v>Hà Nội</v>
      </c>
      <c r="C120" s="265" t="str">
        <f>IFERROR(__xludf.DUMMYFUNCTION("""COMPUTED_VALUE"""),"Locked")</f>
        <v>Locked</v>
      </c>
      <c r="D120" s="265" t="str">
        <f>IFERROR(__xludf.DUMMYFUNCTION("""COMPUTED_VALUE"""),"Sale chưa cung cấp")</f>
        <v>Sale chưa cung cấp</v>
      </c>
      <c r="E120" s="265" t="str">
        <f>IFERROR(__xludf.DUMMYFUNCTION("""COMPUTED_VALUE"""),"HangNT")</f>
        <v>HangNT</v>
      </c>
      <c r="F120" s="265" t="str">
        <f>IFERROR(__xludf.DUMMYFUNCTION("""COMPUTED_VALUE"""),"Sale chưa cung cấp")</f>
        <v>Sale chưa cung cấp</v>
      </c>
      <c r="G120" s="265" t="str">
        <f>IFERROR(__xludf.DUMMYFUNCTION("""COMPUTED_VALUE"""),"API")</f>
        <v>API</v>
      </c>
      <c r="H120" s="265" t="str">
        <f>IFERROR(__xludf.DUMMYFUNCTION("""COMPUTED_VALUE"""),"(Chưa recheck)")</f>
        <v>(Chưa recheck)</v>
      </c>
      <c r="I120" s="265" t="str">
        <f>IFERROR(__xludf.DUMMYFUNCTION("""COMPUTED_VALUE"""),"(Chưa recheck)")</f>
        <v>(Chưa recheck)</v>
      </c>
      <c r="J120" s="265" t="str">
        <f>IFERROR(__xludf.DUMMYFUNCTION("""COMPUTED_VALUE"""),"(Chưa recheck)")</f>
        <v>(Chưa recheck)</v>
      </c>
      <c r="K120" s="265" t="str">
        <f>IFERROR(__xludf.DUMMYFUNCTION("""COMPUTED_VALUE"""),"(Chưa recheck)")</f>
        <v>(Chưa recheck)</v>
      </c>
    </row>
    <row r="121">
      <c r="A121" s="265" t="str">
        <f>IFERROR(__xludf.DUMMYFUNCTION("""COMPUTED_VALUE"""),"478")</f>
        <v>478</v>
      </c>
      <c r="B121" s="265" t="str">
        <f>IFERROR(__xludf.DUMMYFUNCTION("""COMPUTED_VALUE"""),"Sài Gòn")</f>
        <v>Sài Gòn</v>
      </c>
      <c r="C121" s="265" t="str">
        <f>IFERROR(__xludf.DUMMYFUNCTION("""COMPUTED_VALUE"""),"Locked")</f>
        <v>Locked</v>
      </c>
      <c r="D121" s="265" t="str">
        <f>IFERROR(__xludf.DUMMYFUNCTION("""COMPUTED_VALUE"""),"Sale chưa cung cấp")</f>
        <v>Sale chưa cung cấp</v>
      </c>
      <c r="E121" s="265" t="str">
        <f>IFERROR(__xludf.DUMMYFUNCTION("""COMPUTED_VALUE"""),"HoaNTM")</f>
        <v>HoaNTM</v>
      </c>
      <c r="F121" s="265" t="str">
        <f>IFERROR(__xludf.DUMMYFUNCTION("""COMPUTED_VALUE"""),"Silver")</f>
        <v>Silver</v>
      </c>
      <c r="G121" s="265" t="str">
        <f>IFERROR(__xludf.DUMMYFUNCTION("""COMPUTED_VALUE"""),"Enterprise")</f>
        <v>Enterprise</v>
      </c>
      <c r="H121" s="265" t="str">
        <f>IFERROR(__xludf.DUMMYFUNCTION("""COMPUTED_VALUE"""),"(Chưa recheck)")</f>
        <v>(Chưa recheck)</v>
      </c>
      <c r="I121" s="265" t="str">
        <f>IFERROR(__xludf.DUMMYFUNCTION("""COMPUTED_VALUE"""),"(Chưa recheck)")</f>
        <v>(Chưa recheck)</v>
      </c>
      <c r="J121" s="265" t="str">
        <f>IFERROR(__xludf.DUMMYFUNCTION("""COMPUTED_VALUE"""),"(Chưa recheck)")</f>
        <v>(Chưa recheck)</v>
      </c>
      <c r="K121" s="265" t="str">
        <f>IFERROR(__xludf.DUMMYFUNCTION("""COMPUTED_VALUE"""),"AnhNM")</f>
        <v>AnhNM</v>
      </c>
    </row>
    <row r="122">
      <c r="A122" s="265" t="str">
        <f>IFERROR(__xludf.DUMMYFUNCTION("""COMPUTED_VALUE"""),"450")</f>
        <v>450</v>
      </c>
      <c r="B122" s="265" t="str">
        <f>IFERROR(__xludf.DUMMYFUNCTION("""COMPUTED_VALUE"""),"Sài Gòn")</f>
        <v>Sài Gòn</v>
      </c>
      <c r="C122" s="265" t="str">
        <f>IFERROR(__xludf.DUMMYFUNCTION("""COMPUTED_VALUE"""),"Active")</f>
        <v>Active</v>
      </c>
      <c r="D122" s="265" t="str">
        <f>IFERROR(__xludf.DUMMYFUNCTION("""COMPUTED_VALUE"""),"Sale chưa cung cấp")</f>
        <v>Sale chưa cung cấp</v>
      </c>
      <c r="E122" s="265" t="str">
        <f>IFERROR(__xludf.DUMMYFUNCTION("""COMPUTED_VALUE"""),"TùngLD")</f>
        <v>TùngLD</v>
      </c>
      <c r="F122" s="265" t="str">
        <f>IFERROR(__xludf.DUMMYFUNCTION("""COMPUTED_VALUE"""),"Bronze")</f>
        <v>Bronze</v>
      </c>
      <c r="G122" s="265" t="str">
        <f>IFERROR(__xludf.DUMMYFUNCTION("""COMPUTED_VALUE"""),"Enterprise")</f>
        <v>Enterprise</v>
      </c>
      <c r="H122" s="265" t="str">
        <f>IFERROR(__xludf.DUMMYFUNCTION("""COMPUTED_VALUE"""),"Trả sau")</f>
        <v>Trả sau</v>
      </c>
      <c r="I122" s="265" t="str">
        <f>IFERROR(__xludf.DUMMYFUNCTION("""COMPUTED_VALUE"""),"Portal")</f>
        <v>Portal</v>
      </c>
      <c r="J122" s="265" t="str">
        <f>IFERROR(__xludf.DUMMYFUNCTION("""COMPUTED_VALUE"""),"File Excel")</f>
        <v>File Excel</v>
      </c>
      <c r="K122" s="265" t="str">
        <f>IFERROR(__xludf.DUMMYFUNCTION("""COMPUTED_VALUE"""),"DungPL")</f>
        <v>DungPL</v>
      </c>
    </row>
    <row r="123">
      <c r="A123" s="265" t="str">
        <f>IFERROR(__xludf.DUMMYFUNCTION("""COMPUTED_VALUE"""),"451")</f>
        <v>451</v>
      </c>
      <c r="B123" s="265" t="str">
        <f>IFERROR(__xludf.DUMMYFUNCTION("""COMPUTED_VALUE"""),"Hà Nội")</f>
        <v>Hà Nội</v>
      </c>
      <c r="C123" s="265" t="str">
        <f>IFERROR(__xludf.DUMMYFUNCTION("""COMPUTED_VALUE"""),"Locked")</f>
        <v>Locked</v>
      </c>
      <c r="D123" s="265" t="str">
        <f>IFERROR(__xludf.DUMMYFUNCTION("""COMPUTED_VALUE"""),"Sale chưa cung cấp")</f>
        <v>Sale chưa cung cấp</v>
      </c>
      <c r="E123" s="265" t="str">
        <f>IFERROR(__xludf.DUMMYFUNCTION("""COMPUTED_VALUE"""),"PhươngDTB")</f>
        <v>PhươngDTB</v>
      </c>
      <c r="F123" s="265" t="str">
        <f>IFERROR(__xludf.DUMMYFUNCTION("""COMPUTED_VALUE"""),"Bronze")</f>
        <v>Bronze</v>
      </c>
      <c r="G123" s="265" t="str">
        <f>IFERROR(__xludf.DUMMYFUNCTION("""COMPUTED_VALUE"""),"Enterprise")</f>
        <v>Enterprise</v>
      </c>
      <c r="H123" s="265" t="str">
        <f>IFERROR(__xludf.DUMMYFUNCTION("""COMPUTED_VALUE"""),"(Chưa recheck)")</f>
        <v>(Chưa recheck)</v>
      </c>
      <c r="I123" s="265" t="str">
        <f>IFERROR(__xludf.DUMMYFUNCTION("""COMPUTED_VALUE"""),"(Chưa recheck)")</f>
        <v>(Chưa recheck)</v>
      </c>
      <c r="J123" s="265" t="str">
        <f>IFERROR(__xludf.DUMMYFUNCTION("""COMPUTED_VALUE"""),"Pancake")</f>
        <v>Pancake</v>
      </c>
      <c r="K123" s="265" t="str">
        <f>IFERROR(__xludf.DUMMYFUNCTION("""COMPUTED_VALUE"""),"(Chưa recheck)")</f>
        <v>(Chưa recheck)</v>
      </c>
    </row>
    <row r="124">
      <c r="A124" s="265" t="str">
        <f>IFERROR(__xludf.DUMMYFUNCTION("""COMPUTED_VALUE"""),"452")</f>
        <v>452</v>
      </c>
      <c r="B124" s="265" t="str">
        <f>IFERROR(__xludf.DUMMYFUNCTION("""COMPUTED_VALUE"""),"Hà Nội")</f>
        <v>Hà Nội</v>
      </c>
      <c r="C124" s="265" t="str">
        <f>IFERROR(__xludf.DUMMYFUNCTION("""COMPUTED_VALUE"""),"Locked")</f>
        <v>Locked</v>
      </c>
      <c r="D124" s="265" t="str">
        <f>IFERROR(__xludf.DUMMYFUNCTION("""COMPUTED_VALUE"""),"Sale chưa cung cấp")</f>
        <v>Sale chưa cung cấp</v>
      </c>
      <c r="E124" s="265" t="str">
        <f>IFERROR(__xludf.DUMMYFUNCTION("""COMPUTED_VALUE"""),"TùngLD")</f>
        <v>TùngLD</v>
      </c>
      <c r="F124" s="265" t="str">
        <f>IFERROR(__xludf.DUMMYFUNCTION("""COMPUTED_VALUE"""),"Bronze")</f>
        <v>Bronze</v>
      </c>
      <c r="G124" s="265" t="str">
        <f>IFERROR(__xludf.DUMMYFUNCTION("""COMPUTED_VALUE"""),"Enterprise")</f>
        <v>Enterprise</v>
      </c>
      <c r="H124" s="265" t="str">
        <f>IFERROR(__xludf.DUMMYFUNCTION("""COMPUTED_VALUE"""),"(Chưa recheck)")</f>
        <v>(Chưa recheck)</v>
      </c>
      <c r="I124" s="265" t="str">
        <f>IFERROR(__xludf.DUMMYFUNCTION("""COMPUTED_VALUE"""),"Portal")</f>
        <v>Portal</v>
      </c>
      <c r="J124" s="265" t="str">
        <f>IFERROR(__xludf.DUMMYFUNCTION("""COMPUTED_VALUE"""),"File Excel")</f>
        <v>File Excel</v>
      </c>
      <c r="K124" s="265" t="str">
        <f>IFERROR(__xludf.DUMMYFUNCTION("""COMPUTED_VALUE"""),"AnhNM")</f>
        <v>AnhNM</v>
      </c>
    </row>
    <row r="125">
      <c r="A125" s="265" t="str">
        <f>IFERROR(__xludf.DUMMYFUNCTION("""COMPUTED_VALUE"""),"452")</f>
        <v>452</v>
      </c>
      <c r="B125" s="265" t="str">
        <f>IFERROR(__xludf.DUMMYFUNCTION("""COMPUTED_VALUE"""),"Hà Nội")</f>
        <v>Hà Nội</v>
      </c>
      <c r="C125" s="265" t="str">
        <f>IFERROR(__xludf.DUMMYFUNCTION("""COMPUTED_VALUE"""),"Locked")</f>
        <v>Locked</v>
      </c>
      <c r="D125" s="265" t="str">
        <f>IFERROR(__xludf.DUMMYFUNCTION("""COMPUTED_VALUE"""),"Sale chưa cung cấp")</f>
        <v>Sale chưa cung cấp</v>
      </c>
      <c r="E125" s="265" t="str">
        <f>IFERROR(__xludf.DUMMYFUNCTION("""COMPUTED_VALUE"""),"TùngLD")</f>
        <v>TùngLD</v>
      </c>
      <c r="F125" s="265" t="str">
        <f>IFERROR(__xludf.DUMMYFUNCTION("""COMPUTED_VALUE"""),"Bronze")</f>
        <v>Bronze</v>
      </c>
      <c r="G125" s="265" t="str">
        <f>IFERROR(__xludf.DUMMYFUNCTION("""COMPUTED_VALUE"""),"Enterprise")</f>
        <v>Enterprise</v>
      </c>
      <c r="H125" s="265" t="str">
        <f>IFERROR(__xludf.DUMMYFUNCTION("""COMPUTED_VALUE"""),"(Chưa recheck)")</f>
        <v>(Chưa recheck)</v>
      </c>
      <c r="I125" s="265" t="str">
        <f>IFERROR(__xludf.DUMMYFUNCTION("""COMPUTED_VALUE"""),"Portal")</f>
        <v>Portal</v>
      </c>
      <c r="J125" s="265" t="str">
        <f>IFERROR(__xludf.DUMMYFUNCTION("""COMPUTED_VALUE"""),"Nhanhvn")</f>
        <v>Nhanhvn</v>
      </c>
      <c r="K125" s="265" t="str">
        <f>IFERROR(__xludf.DUMMYFUNCTION("""COMPUTED_VALUE"""),"AnhNM")</f>
        <v>AnhNM</v>
      </c>
    </row>
    <row r="126">
      <c r="A126" s="265" t="str">
        <f>IFERROR(__xludf.DUMMYFUNCTION("""COMPUTED_VALUE"""),"436")</f>
        <v>436</v>
      </c>
      <c r="B126" s="265" t="str">
        <f>IFERROR(__xludf.DUMMYFUNCTION("""COMPUTED_VALUE"""),"Sài Gòn")</f>
        <v>Sài Gòn</v>
      </c>
      <c r="C126" s="265" t="str">
        <f>IFERROR(__xludf.DUMMYFUNCTION("""COMPUTED_VALUE"""),"Locked")</f>
        <v>Locked</v>
      </c>
      <c r="D126" s="265" t="str">
        <f>IFERROR(__xludf.DUMMYFUNCTION("""COMPUTED_VALUE"""),"Sale chưa cung cấp")</f>
        <v>Sale chưa cung cấp</v>
      </c>
      <c r="E126" s="265" t="str">
        <f>IFERROR(__xludf.DUMMYFUNCTION("""COMPUTED_VALUE"""),"HoaNTM")</f>
        <v>HoaNTM</v>
      </c>
      <c r="F126" s="265" t="str">
        <f>IFERROR(__xludf.DUMMYFUNCTION("""COMPUTED_VALUE"""),"Bronze")</f>
        <v>Bronze</v>
      </c>
      <c r="G126" s="265" t="str">
        <f>IFERROR(__xludf.DUMMYFUNCTION("""COMPUTED_VALUE"""),"Enterprise")</f>
        <v>Enterprise</v>
      </c>
      <c r="H126" s="265" t="str">
        <f>IFERROR(__xludf.DUMMYFUNCTION("""COMPUTED_VALUE"""),"(Chưa recheck)")</f>
        <v>(Chưa recheck)</v>
      </c>
      <c r="I126" s="265" t="str">
        <f>IFERROR(__xludf.DUMMYFUNCTION("""COMPUTED_VALUE"""),"(Chưa recheck)")</f>
        <v>(Chưa recheck)</v>
      </c>
      <c r="J126" s="265" t="str">
        <f>IFERROR(__xludf.DUMMYFUNCTION("""COMPUTED_VALUE"""),"(Chưa recheck)")</f>
        <v>(Chưa recheck)</v>
      </c>
      <c r="K126" s="265" t="str">
        <f>IFERROR(__xludf.DUMMYFUNCTION("""COMPUTED_VALUE"""),"AnhNM")</f>
        <v>AnhNM</v>
      </c>
    </row>
    <row r="127">
      <c r="A127" s="265" t="str">
        <f>IFERROR(__xludf.DUMMYFUNCTION("""COMPUTED_VALUE"""),"453")</f>
        <v>453</v>
      </c>
      <c r="B127" s="265" t="str">
        <f>IFERROR(__xludf.DUMMYFUNCTION("""COMPUTED_VALUE"""),"Sài Gòn")</f>
        <v>Sài Gòn</v>
      </c>
      <c r="C127" s="265" t="str">
        <f>IFERROR(__xludf.DUMMYFUNCTION("""COMPUTED_VALUE"""),"Locked")</f>
        <v>Locked</v>
      </c>
      <c r="D127" s="265" t="str">
        <f>IFERROR(__xludf.DUMMYFUNCTION("""COMPUTED_VALUE"""),"Sale chưa cung cấp")</f>
        <v>Sale chưa cung cấp</v>
      </c>
      <c r="E127" s="265" t="str">
        <f>IFERROR(__xludf.DUMMYFUNCTION("""COMPUTED_VALUE"""),"HoaNTM")</f>
        <v>HoaNTM</v>
      </c>
      <c r="F127" s="265" t="str">
        <f>IFERROR(__xludf.DUMMYFUNCTION("""COMPUTED_VALUE"""),"Sale chưa cung cấp")</f>
        <v>Sale chưa cung cấp</v>
      </c>
      <c r="G127" s="265" t="str">
        <f>IFERROR(__xludf.DUMMYFUNCTION("""COMPUTED_VALUE"""),"MSG")</f>
        <v>MSG</v>
      </c>
      <c r="H127" s="265" t="str">
        <f>IFERROR(__xludf.DUMMYFUNCTION("""COMPUTED_VALUE"""),"(Chưa recheck)")</f>
        <v>(Chưa recheck)</v>
      </c>
      <c r="I127" s="265" t="str">
        <f>IFERROR(__xludf.DUMMYFUNCTION("""COMPUTED_VALUE"""),"(Chưa recheck)")</f>
        <v>(Chưa recheck)</v>
      </c>
      <c r="J127" s="265" t="str">
        <f>IFERROR(__xludf.DUMMYFUNCTION("""COMPUTED_VALUE"""),"(Chưa recheck)")</f>
        <v>(Chưa recheck)</v>
      </c>
      <c r="K127" s="265" t="str">
        <f>IFERROR(__xludf.DUMMYFUNCTION("""COMPUTED_VALUE"""),"AnhNM")</f>
        <v>AnhNM</v>
      </c>
    </row>
    <row r="128">
      <c r="A128" s="265" t="str">
        <f>IFERROR(__xludf.DUMMYFUNCTION("""COMPUTED_VALUE"""),"454")</f>
        <v>454</v>
      </c>
      <c r="B128" s="265" t="str">
        <f>IFERROR(__xludf.DUMMYFUNCTION("""COMPUTED_VALUE"""),"Sài Gòn")</f>
        <v>Sài Gòn</v>
      </c>
      <c r="C128" s="265" t="str">
        <f>IFERROR(__xludf.DUMMYFUNCTION("""COMPUTED_VALUE"""),"Locked")</f>
        <v>Locked</v>
      </c>
      <c r="D128" s="265" t="str">
        <f>IFERROR(__xludf.DUMMYFUNCTION("""COMPUTED_VALUE"""),"Sale chưa cung cấp")</f>
        <v>Sale chưa cung cấp</v>
      </c>
      <c r="E128" s="265" t="str">
        <f>IFERROR(__xludf.DUMMYFUNCTION("""COMPUTED_VALUE"""),"HoaNTM")</f>
        <v>HoaNTM</v>
      </c>
      <c r="F128" s="265" t="str">
        <f>IFERROR(__xludf.DUMMYFUNCTION("""COMPUTED_VALUE"""),"Sale chưa cung cấp")</f>
        <v>Sale chưa cung cấp</v>
      </c>
      <c r="G128" s="265" t="str">
        <f>IFERROR(__xludf.DUMMYFUNCTION("""COMPUTED_VALUE"""),"MSG")</f>
        <v>MSG</v>
      </c>
      <c r="H128" s="265" t="str">
        <f>IFERROR(__xludf.DUMMYFUNCTION("""COMPUTED_VALUE"""),"(Chưa recheck)")</f>
        <v>(Chưa recheck)</v>
      </c>
      <c r="I128" s="265" t="str">
        <f>IFERROR(__xludf.DUMMYFUNCTION("""COMPUTED_VALUE"""),"(Chưa recheck)")</f>
        <v>(Chưa recheck)</v>
      </c>
      <c r="J128" s="265" t="str">
        <f>IFERROR(__xludf.DUMMYFUNCTION("""COMPUTED_VALUE"""),"(Chưa recheck)")</f>
        <v>(Chưa recheck)</v>
      </c>
      <c r="K128" s="265" t="str">
        <f>IFERROR(__xludf.DUMMYFUNCTION("""COMPUTED_VALUE"""),"AnhNM")</f>
        <v>AnhNM</v>
      </c>
    </row>
    <row r="129">
      <c r="A129" s="265" t="str">
        <f>IFERROR(__xludf.DUMMYFUNCTION("""COMPUTED_VALUE"""),"455")</f>
        <v>455</v>
      </c>
      <c r="B129" s="265" t="str">
        <f>IFERROR(__xludf.DUMMYFUNCTION("""COMPUTED_VALUE"""),"Sài Gòn")</f>
        <v>Sài Gòn</v>
      </c>
      <c r="C129" s="265" t="str">
        <f>IFERROR(__xludf.DUMMYFUNCTION("""COMPUTED_VALUE"""),"Active")</f>
        <v>Active</v>
      </c>
      <c r="D129" s="265" t="str">
        <f>IFERROR(__xludf.DUMMYFUNCTION("""COMPUTED_VALUE"""),"Sale chưa cung cấp")</f>
        <v>Sale chưa cung cấp</v>
      </c>
      <c r="E129" s="265" t="str">
        <f>IFERROR(__xludf.DUMMYFUNCTION("""COMPUTED_VALUE"""),"AnhNM")</f>
        <v>AnhNM</v>
      </c>
      <c r="F129" s="265" t="str">
        <f>IFERROR(__xludf.DUMMYFUNCTION("""COMPUTED_VALUE"""),"Silver")</f>
        <v>Silver</v>
      </c>
      <c r="G129" s="265" t="str">
        <f>IFERROR(__xludf.DUMMYFUNCTION("""COMPUTED_VALUE"""),"Enterprise")</f>
        <v>Enterprise</v>
      </c>
      <c r="H129" s="265" t="str">
        <f>IFERROR(__xludf.DUMMYFUNCTION("""COMPUTED_VALUE"""),"Trả sau")</f>
        <v>Trả sau</v>
      </c>
      <c r="I129" s="265" t="str">
        <f>IFERROR(__xludf.DUMMYFUNCTION("""COMPUTED_VALUE"""),"API &amp; Portal")</f>
        <v>API &amp; Portal</v>
      </c>
      <c r="J129" s="265" t="str">
        <f>IFERROR(__xludf.DUMMYFUNCTION("""COMPUTED_VALUE"""),"File Excel")</f>
        <v>File Excel</v>
      </c>
      <c r="K129" s="265" t="str">
        <f>IFERROR(__xludf.DUMMYFUNCTION("""COMPUTED_VALUE"""),"DungPL")</f>
        <v>DungPL</v>
      </c>
    </row>
    <row r="130">
      <c r="A130" s="265" t="str">
        <f>IFERROR(__xludf.DUMMYFUNCTION("""COMPUTED_VALUE"""),"455")</f>
        <v>455</v>
      </c>
      <c r="B130" s="265" t="str">
        <f>IFERROR(__xludf.DUMMYFUNCTION("""COMPUTED_VALUE"""),"Sài Gòn")</f>
        <v>Sài Gòn</v>
      </c>
      <c r="C130" s="265" t="str">
        <f>IFERROR(__xludf.DUMMYFUNCTION("""COMPUTED_VALUE"""),"Active")</f>
        <v>Active</v>
      </c>
      <c r="D130" s="265" t="str">
        <f>IFERROR(__xludf.DUMMYFUNCTION("""COMPUTED_VALUE"""),"Sale chưa cung cấp")</f>
        <v>Sale chưa cung cấp</v>
      </c>
      <c r="E130" s="265" t="str">
        <f>IFERROR(__xludf.DUMMYFUNCTION("""COMPUTED_VALUE"""),"AnhNM")</f>
        <v>AnhNM</v>
      </c>
      <c r="F130" s="265" t="str">
        <f>IFERROR(__xludf.DUMMYFUNCTION("""COMPUTED_VALUE"""),"Silver")</f>
        <v>Silver</v>
      </c>
      <c r="G130" s="265" t="str">
        <f>IFERROR(__xludf.DUMMYFUNCTION("""COMPUTED_VALUE"""),"Enterprise")</f>
        <v>Enterprise</v>
      </c>
      <c r="H130" s="265" t="str">
        <f>IFERROR(__xludf.DUMMYFUNCTION("""COMPUTED_VALUE"""),"Trả sau")</f>
        <v>Trả sau</v>
      </c>
      <c r="I130" s="265" t="str">
        <f>IFERROR(__xludf.DUMMYFUNCTION("""COMPUTED_VALUE"""),"API &amp; Portal")</f>
        <v>API &amp; Portal</v>
      </c>
      <c r="J130" s="265" t="str">
        <f>IFERROR(__xludf.DUMMYFUNCTION("""COMPUTED_VALUE"""),"API")</f>
        <v>API</v>
      </c>
      <c r="K130" s="265" t="str">
        <f>IFERROR(__xludf.DUMMYFUNCTION("""COMPUTED_VALUE"""),"DungPL")</f>
        <v>DungPL</v>
      </c>
    </row>
    <row r="131">
      <c r="A131" s="265" t="str">
        <f>IFERROR(__xludf.DUMMYFUNCTION("""COMPUTED_VALUE"""),"456")</f>
        <v>456</v>
      </c>
      <c r="B131" s="265" t="str">
        <f>IFERROR(__xludf.DUMMYFUNCTION("""COMPUTED_VALUE"""),"Sài Gòn")</f>
        <v>Sài Gòn</v>
      </c>
      <c r="C131" s="265" t="str">
        <f>IFERROR(__xludf.DUMMYFUNCTION("""COMPUTED_VALUE"""),"Locked")</f>
        <v>Locked</v>
      </c>
      <c r="D131" s="265" t="str">
        <f>IFERROR(__xludf.DUMMYFUNCTION("""COMPUTED_VALUE"""),"Sale chưa cung cấp")</f>
        <v>Sale chưa cung cấp</v>
      </c>
      <c r="E131" s="265" t="str">
        <f>IFERROR(__xludf.DUMMYFUNCTION("""COMPUTED_VALUE"""),"HoaNTM")</f>
        <v>HoaNTM</v>
      </c>
      <c r="F131" s="265" t="str">
        <f>IFERROR(__xludf.DUMMYFUNCTION("""COMPUTED_VALUE"""),"Sale chưa cung cấp")</f>
        <v>Sale chưa cung cấp</v>
      </c>
      <c r="G131" s="265" t="str">
        <f>IFERROR(__xludf.DUMMYFUNCTION("""COMPUTED_VALUE"""),"MSG")</f>
        <v>MSG</v>
      </c>
      <c r="H131" s="265" t="str">
        <f>IFERROR(__xludf.DUMMYFUNCTION("""COMPUTED_VALUE"""),"(Chưa recheck)")</f>
        <v>(Chưa recheck)</v>
      </c>
      <c r="I131" s="265" t="str">
        <f>IFERROR(__xludf.DUMMYFUNCTION("""COMPUTED_VALUE"""),"(Chưa recheck)")</f>
        <v>(Chưa recheck)</v>
      </c>
      <c r="J131" s="265" t="str">
        <f>IFERROR(__xludf.DUMMYFUNCTION("""COMPUTED_VALUE"""),"(Chưa recheck)")</f>
        <v>(Chưa recheck)</v>
      </c>
      <c r="K131" s="265" t="str">
        <f>IFERROR(__xludf.DUMMYFUNCTION("""COMPUTED_VALUE"""),"(Chưa recheck)")</f>
        <v>(Chưa recheck)</v>
      </c>
    </row>
    <row r="132">
      <c r="A132" s="265" t="str">
        <f>IFERROR(__xludf.DUMMYFUNCTION("""COMPUTED_VALUE"""),"457")</f>
        <v>457</v>
      </c>
      <c r="B132" s="265" t="str">
        <f>IFERROR(__xludf.DUMMYFUNCTION("""COMPUTED_VALUE"""),"Sài Gòn")</f>
        <v>Sài Gòn</v>
      </c>
      <c r="C132" s="265" t="str">
        <f>IFERROR(__xludf.DUMMYFUNCTION("""COMPUTED_VALUE"""),"Locked")</f>
        <v>Locked</v>
      </c>
      <c r="D132" s="265" t="str">
        <f>IFERROR(__xludf.DUMMYFUNCTION("""COMPUTED_VALUE"""),"Sale chưa cung cấp")</f>
        <v>Sale chưa cung cấp</v>
      </c>
      <c r="E132" s="265" t="str">
        <f>IFERROR(__xludf.DUMMYFUNCTION("""COMPUTED_VALUE"""),"HoaNTM")</f>
        <v>HoaNTM</v>
      </c>
      <c r="F132" s="265" t="str">
        <f>IFERROR(__xludf.DUMMYFUNCTION("""COMPUTED_VALUE"""),"Sale chưa cung cấp")</f>
        <v>Sale chưa cung cấp</v>
      </c>
      <c r="G132" s="265" t="str">
        <f>IFERROR(__xludf.DUMMYFUNCTION("""COMPUTED_VALUE"""),"Enterprise")</f>
        <v>Enterprise</v>
      </c>
      <c r="H132" s="265" t="str">
        <f>IFERROR(__xludf.DUMMYFUNCTION("""COMPUTED_VALUE"""),"Trial")</f>
        <v>Trial</v>
      </c>
      <c r="I132" s="265" t="str">
        <f>IFERROR(__xludf.DUMMYFUNCTION("""COMPUTED_VALUE"""),"(Không recheck)")</f>
        <v>(Không recheck)</v>
      </c>
      <c r="J132" s="265" t="str">
        <f>IFERROR(__xludf.DUMMYFUNCTION("""COMPUTED_VALUE"""),"(Không recheck)")</f>
        <v>(Không recheck)</v>
      </c>
      <c r="K132" s="265" t="str">
        <f>IFERROR(__xludf.DUMMYFUNCTION("""COMPUTED_VALUE"""),"(Không recheck)")</f>
        <v>(Không recheck)</v>
      </c>
    </row>
    <row r="133">
      <c r="A133" s="265" t="str">
        <f>IFERROR(__xludf.DUMMYFUNCTION("""COMPUTED_VALUE"""),"458")</f>
        <v>458</v>
      </c>
      <c r="B133" s="265" t="str">
        <f>IFERROR(__xludf.DUMMYFUNCTION("""COMPUTED_VALUE"""),"Sài Gòn")</f>
        <v>Sài Gòn</v>
      </c>
      <c r="C133" s="265" t="str">
        <f>IFERROR(__xludf.DUMMYFUNCTION("""COMPUTED_VALUE"""),"Locked")</f>
        <v>Locked</v>
      </c>
      <c r="D133" s="265" t="str">
        <f>IFERROR(__xludf.DUMMYFUNCTION("""COMPUTED_VALUE"""),"Sale chưa cung cấp")</f>
        <v>Sale chưa cung cấp</v>
      </c>
      <c r="E133" s="265" t="str">
        <f>IFERROR(__xludf.DUMMYFUNCTION("""COMPUTED_VALUE"""),"HoaNTM")</f>
        <v>HoaNTM</v>
      </c>
      <c r="F133" s="265" t="str">
        <f>IFERROR(__xludf.DUMMYFUNCTION("""COMPUTED_VALUE"""),"Sale chưa cung cấp")</f>
        <v>Sale chưa cung cấp</v>
      </c>
      <c r="G133" s="265" t="str">
        <f>IFERROR(__xludf.DUMMYFUNCTION("""COMPUTED_VALUE"""),"MSG")</f>
        <v>MSG</v>
      </c>
      <c r="H133" s="265" t="str">
        <f>IFERROR(__xludf.DUMMYFUNCTION("""COMPUTED_VALUE"""),"(Chưa recheck)")</f>
        <v>(Chưa recheck)</v>
      </c>
      <c r="I133" s="265" t="str">
        <f>IFERROR(__xludf.DUMMYFUNCTION("""COMPUTED_VALUE"""),"(Chưa recheck)")</f>
        <v>(Chưa recheck)</v>
      </c>
      <c r="J133" s="265" t="str">
        <f>IFERROR(__xludf.DUMMYFUNCTION("""COMPUTED_VALUE"""),"(Chưa recheck)")</f>
        <v>(Chưa recheck)</v>
      </c>
      <c r="K133" s="265" t="str">
        <f>IFERROR(__xludf.DUMMYFUNCTION("""COMPUTED_VALUE"""),"AnhNM")</f>
        <v>AnhNM</v>
      </c>
    </row>
    <row r="134">
      <c r="A134" s="265" t="str">
        <f>IFERROR(__xludf.DUMMYFUNCTION("""COMPUTED_VALUE"""),"460")</f>
        <v>460</v>
      </c>
      <c r="B134" s="265" t="str">
        <f>IFERROR(__xludf.DUMMYFUNCTION("""COMPUTED_VALUE"""),"Hà Nội")</f>
        <v>Hà Nội</v>
      </c>
      <c r="C134" s="265" t="str">
        <f>IFERROR(__xludf.DUMMYFUNCTION("""COMPUTED_VALUE"""),"Locked")</f>
        <v>Locked</v>
      </c>
      <c r="D134" s="265" t="str">
        <f>IFERROR(__xludf.DUMMYFUNCTION("""COMPUTED_VALUE"""),"Sale chưa cung cấp")</f>
        <v>Sale chưa cung cấp</v>
      </c>
      <c r="E134" s="265" t="str">
        <f>IFERROR(__xludf.DUMMYFUNCTION("""COMPUTED_VALUE"""),"NamDT")</f>
        <v>NamDT</v>
      </c>
      <c r="F134" s="265" t="str">
        <f>IFERROR(__xludf.DUMMYFUNCTION("""COMPUTED_VALUE"""),"Sale chưa cung cấp")</f>
        <v>Sale chưa cung cấp</v>
      </c>
      <c r="G134" s="265" t="str">
        <f>IFERROR(__xludf.DUMMYFUNCTION("""COMPUTED_VALUE"""),"API")</f>
        <v>API</v>
      </c>
      <c r="H134" s="265" t="str">
        <f>IFERROR(__xludf.DUMMYFUNCTION("""COMPUTED_VALUE"""),"Trial")</f>
        <v>Trial</v>
      </c>
      <c r="I134" s="265" t="str">
        <f>IFERROR(__xludf.DUMMYFUNCTION("""COMPUTED_VALUE"""),"(Không recheck)")</f>
        <v>(Không recheck)</v>
      </c>
      <c r="J134" s="265" t="str">
        <f>IFERROR(__xludf.DUMMYFUNCTION("""COMPUTED_VALUE"""),"(Không recheck)")</f>
        <v>(Không recheck)</v>
      </c>
      <c r="K134" s="265" t="str">
        <f>IFERROR(__xludf.DUMMYFUNCTION("""COMPUTED_VALUE"""),"(Không recheck)")</f>
        <v>(Không recheck)</v>
      </c>
    </row>
    <row r="135">
      <c r="A135" s="265" t="str">
        <f>IFERROR(__xludf.DUMMYFUNCTION("""COMPUTED_VALUE"""),"461")</f>
        <v>461</v>
      </c>
      <c r="B135" s="265" t="str">
        <f>IFERROR(__xludf.DUMMYFUNCTION("""COMPUTED_VALUE"""),"Hà Nội")</f>
        <v>Hà Nội</v>
      </c>
      <c r="C135" s="265" t="str">
        <f>IFERROR(__xludf.DUMMYFUNCTION("""COMPUTED_VALUE"""),"Active")</f>
        <v>Active</v>
      </c>
      <c r="D135" s="265" t="str">
        <f>IFERROR(__xludf.DUMMYFUNCTION("""COMPUTED_VALUE"""),"Sale chưa cung cấp")</f>
        <v>Sale chưa cung cấp</v>
      </c>
      <c r="E135" s="265" t="str">
        <f>IFERROR(__xludf.DUMMYFUNCTION("""COMPUTED_VALUE"""),"AnhNM")</f>
        <v>AnhNM</v>
      </c>
      <c r="F135" s="265" t="str">
        <f>IFERROR(__xludf.DUMMYFUNCTION("""COMPUTED_VALUE"""),"Bronze")</f>
        <v>Bronze</v>
      </c>
      <c r="G135" s="265" t="str">
        <f>IFERROR(__xludf.DUMMYFUNCTION("""COMPUTED_VALUE"""),"Starter")</f>
        <v>Starter</v>
      </c>
      <c r="H135" s="265" t="str">
        <f>IFERROR(__xludf.DUMMYFUNCTION("""COMPUTED_VALUE"""),"Trả sau")</f>
        <v>Trả sau</v>
      </c>
      <c r="I135" s="265" t="str">
        <f>IFERROR(__xludf.DUMMYFUNCTION("""COMPUTED_VALUE"""),"API")</f>
        <v>API</v>
      </c>
      <c r="J135" s="265" t="str">
        <f>IFERROR(__xludf.DUMMYFUNCTION("""COMPUTED_VALUE"""),"API")</f>
        <v>API</v>
      </c>
      <c r="K135" s="265" t="str">
        <f>IFERROR(__xludf.DUMMYFUNCTION("""COMPUTED_VALUE"""),"LinhNTT1")</f>
        <v>LinhNTT1</v>
      </c>
    </row>
    <row r="136">
      <c r="A136" s="265" t="str">
        <f>IFERROR(__xludf.DUMMYFUNCTION("""COMPUTED_VALUE"""),"462")</f>
        <v>462</v>
      </c>
      <c r="B136" s="265" t="str">
        <f>IFERROR(__xludf.DUMMYFUNCTION("""COMPUTED_VALUE"""),"Sài Gòn")</f>
        <v>Sài Gòn</v>
      </c>
      <c r="C136" s="265" t="str">
        <f>IFERROR(__xludf.DUMMYFUNCTION("""COMPUTED_VALUE"""),"Active")</f>
        <v>Active</v>
      </c>
      <c r="D136" s="265" t="str">
        <f>IFERROR(__xludf.DUMMYFUNCTION("""COMPUTED_VALUE"""),"Sale chưa cung cấp")</f>
        <v>Sale chưa cung cấp</v>
      </c>
      <c r="E136" s="265" t="str">
        <f>IFERROR(__xludf.DUMMYFUNCTION("""COMPUTED_VALUE"""),"TúPHN")</f>
        <v>TúPHN</v>
      </c>
      <c r="F136" s="265" t="str">
        <f>IFERROR(__xludf.DUMMYFUNCTION("""COMPUTED_VALUE"""),"Silver")</f>
        <v>Silver</v>
      </c>
      <c r="G136" s="265" t="str">
        <f>IFERROR(__xludf.DUMMYFUNCTION("""COMPUTED_VALUE"""),"Enterprise")</f>
        <v>Enterprise</v>
      </c>
      <c r="H136" s="265" t="str">
        <f>IFERROR(__xludf.DUMMYFUNCTION("""COMPUTED_VALUE"""),"Trả sau")</f>
        <v>Trả sau</v>
      </c>
      <c r="I136" s="265" t="str">
        <f>IFERROR(__xludf.DUMMYFUNCTION("""COMPUTED_VALUE"""),"API")</f>
        <v>API</v>
      </c>
      <c r="J136" s="265" t="str">
        <f>IFERROR(__xludf.DUMMYFUNCTION("""COMPUTED_VALUE"""),"Bizfly CRM")</f>
        <v>Bizfly CRM</v>
      </c>
      <c r="K136" s="265" t="str">
        <f>IFERROR(__xludf.DUMMYFUNCTION("""COMPUTED_VALUE"""),"DungPL")</f>
        <v>DungPL</v>
      </c>
    </row>
    <row r="137">
      <c r="A137" s="265" t="str">
        <f>IFERROR(__xludf.DUMMYFUNCTION("""COMPUTED_VALUE"""),"464")</f>
        <v>464</v>
      </c>
      <c r="B137" s="265" t="str">
        <f>IFERROR(__xludf.DUMMYFUNCTION("""COMPUTED_VALUE"""),"Hà Nội")</f>
        <v>Hà Nội</v>
      </c>
      <c r="C137" s="265" t="str">
        <f>IFERROR(__xludf.DUMMYFUNCTION("""COMPUTED_VALUE"""),"Locked")</f>
        <v>Locked</v>
      </c>
      <c r="D137" s="265" t="str">
        <f>IFERROR(__xludf.DUMMYFUNCTION("""COMPUTED_VALUE"""),"Sale chưa cung cấp")</f>
        <v>Sale chưa cung cấp</v>
      </c>
      <c r="E137" s="265" t="str">
        <f>IFERROR(__xludf.DUMMYFUNCTION("""COMPUTED_VALUE"""),"PhươngDTB")</f>
        <v>PhươngDTB</v>
      </c>
      <c r="F137" s="265" t="str">
        <f>IFERROR(__xludf.DUMMYFUNCTION("""COMPUTED_VALUE"""),"Bronze")</f>
        <v>Bronze</v>
      </c>
      <c r="G137" s="265" t="str">
        <f>IFERROR(__xludf.DUMMYFUNCTION("""COMPUTED_VALUE"""),"Enterprise")</f>
        <v>Enterprise</v>
      </c>
      <c r="H137" s="265" t="str">
        <f>IFERROR(__xludf.DUMMYFUNCTION("""COMPUTED_VALUE"""),"Trả sau")</f>
        <v>Trả sau</v>
      </c>
      <c r="I137" s="265" t="str">
        <f>IFERROR(__xludf.DUMMYFUNCTION("""COMPUTED_VALUE"""),"API")</f>
        <v>API</v>
      </c>
      <c r="J137" s="265" t="str">
        <f>IFERROR(__xludf.DUMMYFUNCTION("""COMPUTED_VALUE"""),"API")</f>
        <v>API</v>
      </c>
      <c r="K137" s="265" t="str">
        <f>IFERROR(__xludf.DUMMYFUNCTION("""COMPUTED_VALUE"""),"Không phân công")</f>
        <v>Không phân công</v>
      </c>
    </row>
    <row r="138">
      <c r="A138" s="265" t="str">
        <f>IFERROR(__xludf.DUMMYFUNCTION("""COMPUTED_VALUE"""),"463")</f>
        <v>463</v>
      </c>
      <c r="B138" s="265" t="str">
        <f>IFERROR(__xludf.DUMMYFUNCTION("""COMPUTED_VALUE"""),"Hà Nội")</f>
        <v>Hà Nội</v>
      </c>
      <c r="C138" s="265" t="str">
        <f>IFERROR(__xludf.DUMMYFUNCTION("""COMPUTED_VALUE"""),"Locked")</f>
        <v>Locked</v>
      </c>
      <c r="D138" s="265" t="str">
        <f>IFERROR(__xludf.DUMMYFUNCTION("""COMPUTED_VALUE"""),"Sale chưa cung cấp")</f>
        <v>Sale chưa cung cấp</v>
      </c>
      <c r="E138" s="265" t="str">
        <f>IFERROR(__xludf.DUMMYFUNCTION("""COMPUTED_VALUE"""),"HangNT")</f>
        <v>HangNT</v>
      </c>
      <c r="F138" s="265" t="str">
        <f>IFERROR(__xludf.DUMMYFUNCTION("""COMPUTED_VALUE"""),"Sale chưa cung cấp")</f>
        <v>Sale chưa cung cấp</v>
      </c>
      <c r="G138" s="265" t="str">
        <f>IFERROR(__xludf.DUMMYFUNCTION("""COMPUTED_VALUE"""),"Enterprise")</f>
        <v>Enterprise</v>
      </c>
      <c r="H138" s="265" t="str">
        <f>IFERROR(__xludf.DUMMYFUNCTION("""COMPUTED_VALUE"""),"(Chưa recheck)")</f>
        <v>(Chưa recheck)</v>
      </c>
      <c r="I138" s="265" t="str">
        <f>IFERROR(__xludf.DUMMYFUNCTION("""COMPUTED_VALUE"""),"(Chưa recheck)")</f>
        <v>(Chưa recheck)</v>
      </c>
      <c r="J138" s="265" t="str">
        <f>IFERROR(__xludf.DUMMYFUNCTION("""COMPUTED_VALUE"""),"File Excel")</f>
        <v>File Excel</v>
      </c>
      <c r="K138" s="265" t="str">
        <f>IFERROR(__xludf.DUMMYFUNCTION("""COMPUTED_VALUE"""),"(Chưa recheck)")</f>
        <v>(Chưa recheck)</v>
      </c>
    </row>
    <row r="139">
      <c r="A139" s="265" t="str">
        <f>IFERROR(__xludf.DUMMYFUNCTION("""COMPUTED_VALUE"""),"465")</f>
        <v>465</v>
      </c>
      <c r="B139" s="265" t="str">
        <f>IFERROR(__xludf.DUMMYFUNCTION("""COMPUTED_VALUE"""),"Sài Gòn")</f>
        <v>Sài Gòn</v>
      </c>
      <c r="C139" s="265" t="str">
        <f>IFERROR(__xludf.DUMMYFUNCTION("""COMPUTED_VALUE"""),"Locked")</f>
        <v>Locked</v>
      </c>
      <c r="D139" s="265" t="str">
        <f>IFERROR(__xludf.DUMMYFUNCTION("""COMPUTED_VALUE"""),"Sale chưa cung cấp")</f>
        <v>Sale chưa cung cấp</v>
      </c>
      <c r="E139" s="265" t="str">
        <f>IFERROR(__xludf.DUMMYFUNCTION("""COMPUTED_VALUE"""),"HoaNTM")</f>
        <v>HoaNTM</v>
      </c>
      <c r="F139" s="265" t="str">
        <f>IFERROR(__xludf.DUMMYFUNCTION("""COMPUTED_VALUE"""),"Diamond")</f>
        <v>Diamond</v>
      </c>
      <c r="G139" s="265" t="str">
        <f>IFERROR(__xludf.DUMMYFUNCTION("""COMPUTED_VALUE"""),"API")</f>
        <v>API</v>
      </c>
      <c r="H139" s="265" t="str">
        <f>IFERROR(__xludf.DUMMYFUNCTION("""COMPUTED_VALUE"""),"Trả sau")</f>
        <v>Trả sau</v>
      </c>
      <c r="I139" s="265" t="str">
        <f>IFERROR(__xludf.DUMMYFUNCTION("""COMPUTED_VALUE"""),"(Chưa recheck)")</f>
        <v>(Chưa recheck)</v>
      </c>
      <c r="J139" s="265" t="str">
        <f>IFERROR(__xludf.DUMMYFUNCTION("""COMPUTED_VALUE"""),"(Chưa recheck)")</f>
        <v>(Chưa recheck)</v>
      </c>
      <c r="K139" s="265" t="str">
        <f>IFERROR(__xludf.DUMMYFUNCTION("""COMPUTED_VALUE"""),"AnhNM")</f>
        <v>AnhNM</v>
      </c>
    </row>
    <row r="140">
      <c r="A140" s="265" t="str">
        <f>IFERROR(__xludf.DUMMYFUNCTION("""COMPUTED_VALUE"""),"466")</f>
        <v>466</v>
      </c>
      <c r="B140" s="265" t="str">
        <f>IFERROR(__xludf.DUMMYFUNCTION("""COMPUTED_VALUE"""),"Sài Gòn")</f>
        <v>Sài Gòn</v>
      </c>
      <c r="C140" s="265" t="str">
        <f>IFERROR(__xludf.DUMMYFUNCTION("""COMPUTED_VALUE"""),"Locked")</f>
        <v>Locked</v>
      </c>
      <c r="D140" s="265" t="str">
        <f>IFERROR(__xludf.DUMMYFUNCTION("""COMPUTED_VALUE"""),"Sale chưa cung cấp")</f>
        <v>Sale chưa cung cấp</v>
      </c>
      <c r="E140" s="265" t="str">
        <f>IFERROR(__xludf.DUMMYFUNCTION("""COMPUTED_VALUE"""),"HoaNTM")</f>
        <v>HoaNTM</v>
      </c>
      <c r="F140" s="265" t="str">
        <f>IFERROR(__xludf.DUMMYFUNCTION("""COMPUTED_VALUE"""),"Diamond")</f>
        <v>Diamond</v>
      </c>
      <c r="G140" s="265" t="str">
        <f>IFERROR(__xludf.DUMMYFUNCTION("""COMPUTED_VALUE"""),"API")</f>
        <v>API</v>
      </c>
      <c r="H140" s="265" t="str">
        <f>IFERROR(__xludf.DUMMYFUNCTION("""COMPUTED_VALUE"""),"Trial")</f>
        <v>Trial</v>
      </c>
      <c r="I140" s="265" t="str">
        <f>IFERROR(__xludf.DUMMYFUNCTION("""COMPUTED_VALUE"""),"(Không recheck)")</f>
        <v>(Không recheck)</v>
      </c>
      <c r="J140" s="265" t="str">
        <f>IFERROR(__xludf.DUMMYFUNCTION("""COMPUTED_VALUE"""),"(Không recheck)")</f>
        <v>(Không recheck)</v>
      </c>
      <c r="K140" s="265" t="str">
        <f>IFERROR(__xludf.DUMMYFUNCTION("""COMPUTED_VALUE"""),"(Không recheck)")</f>
        <v>(Không recheck)</v>
      </c>
    </row>
    <row r="141">
      <c r="A141" s="265" t="str">
        <f>IFERROR(__xludf.DUMMYFUNCTION("""COMPUTED_VALUE"""),"468")</f>
        <v>468</v>
      </c>
      <c r="B141" s="265" t="str">
        <f>IFERROR(__xludf.DUMMYFUNCTION("""COMPUTED_VALUE"""),"Hà Nội")</f>
        <v>Hà Nội</v>
      </c>
      <c r="C141" s="265" t="str">
        <f>IFERROR(__xludf.DUMMYFUNCTION("""COMPUTED_VALUE"""),"Locked")</f>
        <v>Locked</v>
      </c>
      <c r="D141" s="265" t="str">
        <f>IFERROR(__xludf.DUMMYFUNCTION("""COMPUTED_VALUE"""),"Sale chưa cung cấp")</f>
        <v>Sale chưa cung cấp</v>
      </c>
      <c r="E141" s="265" t="str">
        <f>IFERROR(__xludf.DUMMYFUNCTION("""COMPUTED_VALUE"""),"(Không recheck)")</f>
        <v>(Không recheck)</v>
      </c>
      <c r="F141" s="265" t="str">
        <f>IFERROR(__xludf.DUMMYFUNCTION("""COMPUTED_VALUE"""),"Sale chưa cung cấp")</f>
        <v>Sale chưa cung cấp</v>
      </c>
      <c r="G141" s="265" t="str">
        <f>IFERROR(__xludf.DUMMYFUNCTION("""COMPUTED_VALUE"""),"MSG")</f>
        <v>MSG</v>
      </c>
      <c r="H141" s="265" t="str">
        <f>IFERROR(__xludf.DUMMYFUNCTION("""COMPUTED_VALUE"""),"Trial")</f>
        <v>Trial</v>
      </c>
      <c r="I141" s="265" t="str">
        <f>IFERROR(__xludf.DUMMYFUNCTION("""COMPUTED_VALUE"""),"(Không recheck)")</f>
        <v>(Không recheck)</v>
      </c>
      <c r="J141" s="265" t="str">
        <f>IFERROR(__xludf.DUMMYFUNCTION("""COMPUTED_VALUE"""),"(Không recheck)")</f>
        <v>(Không recheck)</v>
      </c>
      <c r="K141" s="265" t="str">
        <f>IFERROR(__xludf.DUMMYFUNCTION("""COMPUTED_VALUE"""),"(Không recheck)")</f>
        <v>(Không recheck)</v>
      </c>
    </row>
    <row r="142">
      <c r="A142" s="265" t="str">
        <f>IFERROR(__xludf.DUMMYFUNCTION("""COMPUTED_VALUE"""),"467")</f>
        <v>467</v>
      </c>
      <c r="B142" s="265" t="str">
        <f>IFERROR(__xludf.DUMMYFUNCTION("""COMPUTED_VALUE"""),"Sài Gòn")</f>
        <v>Sài Gòn</v>
      </c>
      <c r="C142" s="265" t="str">
        <f>IFERROR(__xludf.DUMMYFUNCTION("""COMPUTED_VALUE"""),"Locked")</f>
        <v>Locked</v>
      </c>
      <c r="D142" s="265" t="str">
        <f>IFERROR(__xludf.DUMMYFUNCTION("""COMPUTED_VALUE"""),"Sale chưa cung cấp")</f>
        <v>Sale chưa cung cấp</v>
      </c>
      <c r="E142" s="265" t="str">
        <f>IFERROR(__xludf.DUMMYFUNCTION("""COMPUTED_VALUE"""),"HoaNTM")</f>
        <v>HoaNTM</v>
      </c>
      <c r="F142" s="265" t="str">
        <f>IFERROR(__xludf.DUMMYFUNCTION("""COMPUTED_VALUE"""),"Sale chưa cung cấp")</f>
        <v>Sale chưa cung cấp</v>
      </c>
      <c r="G142" s="265" t="str">
        <f>IFERROR(__xludf.DUMMYFUNCTION("""COMPUTED_VALUE"""),"Enterprise")</f>
        <v>Enterprise</v>
      </c>
      <c r="H142" s="265" t="str">
        <f>IFERROR(__xludf.DUMMYFUNCTION("""COMPUTED_VALUE"""),"(Chưa recheck)")</f>
        <v>(Chưa recheck)</v>
      </c>
      <c r="I142" s="265" t="str">
        <f>IFERROR(__xludf.DUMMYFUNCTION("""COMPUTED_VALUE"""),"(Chưa recheck)")</f>
        <v>(Chưa recheck)</v>
      </c>
      <c r="J142" s="265" t="str">
        <f>IFERROR(__xludf.DUMMYFUNCTION("""COMPUTED_VALUE"""),"(Chưa recheck)")</f>
        <v>(Chưa recheck)</v>
      </c>
      <c r="K142" s="265" t="str">
        <f>IFERROR(__xludf.DUMMYFUNCTION("""COMPUTED_VALUE"""),"AnhNM")</f>
        <v>AnhNM</v>
      </c>
    </row>
    <row r="143">
      <c r="A143" s="265" t="str">
        <f>IFERROR(__xludf.DUMMYFUNCTION("""COMPUTED_VALUE"""),"365")</f>
        <v>365</v>
      </c>
      <c r="B143" s="265" t="str">
        <f>IFERROR(__xludf.DUMMYFUNCTION("""COMPUTED_VALUE"""),"Đà Nẵng")</f>
        <v>Đà Nẵng</v>
      </c>
      <c r="C143" s="265" t="str">
        <f>IFERROR(__xludf.DUMMYFUNCTION("""COMPUTED_VALUE"""),"Locked")</f>
        <v>Locked</v>
      </c>
      <c r="D143" s="265" t="str">
        <f>IFERROR(__xludf.DUMMYFUNCTION("""COMPUTED_VALUE"""),"Sale chưa cung cấp")</f>
        <v>Sale chưa cung cấp</v>
      </c>
      <c r="E143" s="265" t="str">
        <f>IFERROR(__xludf.DUMMYFUNCTION("""COMPUTED_VALUE"""),"HoaNTM")</f>
        <v>HoaNTM</v>
      </c>
      <c r="F143" s="265" t="str">
        <f>IFERROR(__xludf.DUMMYFUNCTION("""COMPUTED_VALUE"""),"Bronze")</f>
        <v>Bronze</v>
      </c>
      <c r="G143" s="265" t="str">
        <f>IFERROR(__xludf.DUMMYFUNCTION("""COMPUTED_VALUE"""),"Enterprise")</f>
        <v>Enterprise</v>
      </c>
      <c r="H143" s="265" t="str">
        <f>IFERROR(__xludf.DUMMYFUNCTION("""COMPUTED_VALUE"""),"(Chưa recheck)")</f>
        <v>(Chưa recheck)</v>
      </c>
      <c r="I143" s="265" t="str">
        <f>IFERROR(__xludf.DUMMYFUNCTION("""COMPUTED_VALUE"""),"(Chưa recheck)")</f>
        <v>(Chưa recheck)</v>
      </c>
      <c r="J143" s="265" t="str">
        <f>IFERROR(__xludf.DUMMYFUNCTION("""COMPUTED_VALUE"""),"(Chưa recheck)")</f>
        <v>(Chưa recheck)</v>
      </c>
      <c r="K143" s="265" t="str">
        <f>IFERROR(__xludf.DUMMYFUNCTION("""COMPUTED_VALUE"""),"AnhNM")</f>
        <v>AnhNM</v>
      </c>
    </row>
    <row r="144">
      <c r="A144" s="265" t="str">
        <f>IFERROR(__xludf.DUMMYFUNCTION("""COMPUTED_VALUE"""),"470")</f>
        <v>470</v>
      </c>
      <c r="B144" s="265" t="str">
        <f>IFERROR(__xludf.DUMMYFUNCTION("""COMPUTED_VALUE"""),"Hà Nội")</f>
        <v>Hà Nội</v>
      </c>
      <c r="C144" s="265" t="str">
        <f>IFERROR(__xludf.DUMMYFUNCTION("""COMPUTED_VALUE"""),"Locked")</f>
        <v>Locked</v>
      </c>
      <c r="D144" s="265" t="str">
        <f>IFERROR(__xludf.DUMMYFUNCTION("""COMPUTED_VALUE"""),"Sale chưa cung cấp")</f>
        <v>Sale chưa cung cấp</v>
      </c>
      <c r="E144" s="265" t="str">
        <f>IFERROR(__xludf.DUMMYFUNCTION("""COMPUTED_VALUE"""),"HangNT")</f>
        <v>HangNT</v>
      </c>
      <c r="F144" s="265" t="str">
        <f>IFERROR(__xludf.DUMMYFUNCTION("""COMPUTED_VALUE"""),"Sale chưa cung cấp")</f>
        <v>Sale chưa cung cấp</v>
      </c>
      <c r="G144" s="265" t="str">
        <f>IFERROR(__xludf.DUMMYFUNCTION("""COMPUTED_VALUE"""),"API")</f>
        <v>API</v>
      </c>
      <c r="H144" s="265" t="str">
        <f>IFERROR(__xludf.DUMMYFUNCTION("""COMPUTED_VALUE"""),"Trả sau")</f>
        <v>Trả sau</v>
      </c>
      <c r="I144" s="265" t="str">
        <f>IFERROR(__xludf.DUMMYFUNCTION("""COMPUTED_VALUE"""),"(Chưa recheck)")</f>
        <v>(Chưa recheck)</v>
      </c>
      <c r="J144" s="265" t="str">
        <f>IFERROR(__xludf.DUMMYFUNCTION("""COMPUTED_VALUE"""),"API")</f>
        <v>API</v>
      </c>
      <c r="K144" s="265" t="str">
        <f>IFERROR(__xludf.DUMMYFUNCTION("""COMPUTED_VALUE"""),"(Chưa recheck)")</f>
        <v>(Chưa recheck)</v>
      </c>
    </row>
    <row r="145">
      <c r="A145" s="265" t="str">
        <f>IFERROR(__xludf.DUMMYFUNCTION("""COMPUTED_VALUE"""),"471")</f>
        <v>471</v>
      </c>
      <c r="B145" s="265" t="str">
        <f>IFERROR(__xludf.DUMMYFUNCTION("""COMPUTED_VALUE"""),"Hà Nội")</f>
        <v>Hà Nội</v>
      </c>
      <c r="C145" s="265" t="str">
        <f>IFERROR(__xludf.DUMMYFUNCTION("""COMPUTED_VALUE"""),"Locked")</f>
        <v>Locked</v>
      </c>
      <c r="D145" s="265" t="str">
        <f>IFERROR(__xludf.DUMMYFUNCTION("""COMPUTED_VALUE"""),"Sale chưa cung cấp")</f>
        <v>Sale chưa cung cấp</v>
      </c>
      <c r="E145" s="265" t="str">
        <f>IFERROR(__xludf.DUMMYFUNCTION("""COMPUTED_VALUE"""),"TrangHTT")</f>
        <v>TrangHTT</v>
      </c>
      <c r="F145" s="265" t="str">
        <f>IFERROR(__xludf.DUMMYFUNCTION("""COMPUTED_VALUE"""),"Sale chưa cung cấp")</f>
        <v>Sale chưa cung cấp</v>
      </c>
      <c r="G145" s="265" t="str">
        <f>IFERROR(__xludf.DUMMYFUNCTION("""COMPUTED_VALUE"""),"Enterprise")</f>
        <v>Enterprise</v>
      </c>
      <c r="H145" s="265" t="str">
        <f>IFERROR(__xludf.DUMMYFUNCTION("""COMPUTED_VALUE"""),"Trial")</f>
        <v>Trial</v>
      </c>
      <c r="I145" s="265" t="str">
        <f>IFERROR(__xludf.DUMMYFUNCTION("""COMPUTED_VALUE"""),"(Không recheck)")</f>
        <v>(Không recheck)</v>
      </c>
      <c r="J145" s="265" t="str">
        <f>IFERROR(__xludf.DUMMYFUNCTION("""COMPUTED_VALUE"""),"API")</f>
        <v>API</v>
      </c>
      <c r="K145" s="265" t="str">
        <f>IFERROR(__xludf.DUMMYFUNCTION("""COMPUTED_VALUE"""),"(Không recheck)")</f>
        <v>(Không recheck)</v>
      </c>
    </row>
    <row r="146">
      <c r="A146" s="265" t="str">
        <f>IFERROR(__xludf.DUMMYFUNCTION("""COMPUTED_VALUE"""),"477")</f>
        <v>477</v>
      </c>
      <c r="B146" s="265" t="str">
        <f>IFERROR(__xludf.DUMMYFUNCTION("""COMPUTED_VALUE"""),"Sài Gòn")</f>
        <v>Sài Gòn</v>
      </c>
      <c r="C146" s="265" t="str">
        <f>IFERROR(__xludf.DUMMYFUNCTION("""COMPUTED_VALUE"""),"Locked")</f>
        <v>Locked</v>
      </c>
      <c r="D146" s="265" t="str">
        <f>IFERROR(__xludf.DUMMYFUNCTION("""COMPUTED_VALUE"""),"Sale chưa cung cấp")</f>
        <v>Sale chưa cung cấp</v>
      </c>
      <c r="E146" s="265" t="str">
        <f>IFERROR(__xludf.DUMMYFUNCTION("""COMPUTED_VALUE"""),"HoaNTM")</f>
        <v>HoaNTM</v>
      </c>
      <c r="F146" s="265" t="str">
        <f>IFERROR(__xludf.DUMMYFUNCTION("""COMPUTED_VALUE"""),"Sale chưa cung cấp")</f>
        <v>Sale chưa cung cấp</v>
      </c>
      <c r="G146" s="265" t="str">
        <f>IFERROR(__xludf.DUMMYFUNCTION("""COMPUTED_VALUE"""),"MSG")</f>
        <v>MSG</v>
      </c>
      <c r="H146" s="265" t="str">
        <f>IFERROR(__xludf.DUMMYFUNCTION("""COMPUTED_VALUE"""),"(Chưa recheck)")</f>
        <v>(Chưa recheck)</v>
      </c>
      <c r="I146" s="265" t="str">
        <f>IFERROR(__xludf.DUMMYFUNCTION("""COMPUTED_VALUE"""),"(Chưa recheck)")</f>
        <v>(Chưa recheck)</v>
      </c>
      <c r="J146" s="265" t="str">
        <f>IFERROR(__xludf.DUMMYFUNCTION("""COMPUTED_VALUE"""),"(Chưa recheck)")</f>
        <v>(Chưa recheck)</v>
      </c>
      <c r="K146" s="265" t="str">
        <f>IFERROR(__xludf.DUMMYFUNCTION("""COMPUTED_VALUE"""),"AnhNM")</f>
        <v>AnhNM</v>
      </c>
    </row>
    <row r="147">
      <c r="A147" s="265" t="str">
        <f>IFERROR(__xludf.DUMMYFUNCTION("""COMPUTED_VALUE"""),"472")</f>
        <v>472</v>
      </c>
      <c r="B147" s="265" t="str">
        <f>IFERROR(__xludf.DUMMYFUNCTION("""COMPUTED_VALUE"""),"Sài Gòn")</f>
        <v>Sài Gòn</v>
      </c>
      <c r="C147" s="265" t="str">
        <f>IFERROR(__xludf.DUMMYFUNCTION("""COMPUTED_VALUE"""),"Active")</f>
        <v>Active</v>
      </c>
      <c r="D147" s="265" t="str">
        <f>IFERROR(__xludf.DUMMYFUNCTION("""COMPUTED_VALUE"""),"Sale chưa cung cấp")</f>
        <v>Sale chưa cung cấp</v>
      </c>
      <c r="E147" s="265" t="str">
        <f>IFERROR(__xludf.DUMMYFUNCTION("""COMPUTED_VALUE"""),"TùngLD")</f>
        <v>TùngLD</v>
      </c>
      <c r="F147" s="265" t="str">
        <f>IFERROR(__xludf.DUMMYFUNCTION("""COMPUTED_VALUE"""),"Diamond")</f>
        <v>Diamond</v>
      </c>
      <c r="G147" s="265" t="str">
        <f>IFERROR(__xludf.DUMMYFUNCTION("""COMPUTED_VALUE"""),"Enterprise")</f>
        <v>Enterprise</v>
      </c>
      <c r="H147" s="265" t="str">
        <f>IFERROR(__xludf.DUMMYFUNCTION("""COMPUTED_VALUE"""),"Trả sau")</f>
        <v>Trả sau</v>
      </c>
      <c r="I147" s="265" t="str">
        <f>IFERROR(__xludf.DUMMYFUNCTION("""COMPUTED_VALUE"""),"API &amp; Portal")</f>
        <v>API &amp; Portal</v>
      </c>
      <c r="J147" s="265" t="str">
        <f>IFERROR(__xludf.DUMMYFUNCTION("""COMPUTED_VALUE"""),"File Excel")</f>
        <v>File Excel</v>
      </c>
      <c r="K147" s="265" t="str">
        <f>IFERROR(__xludf.DUMMYFUNCTION("""COMPUTED_VALUE"""),"DungPL")</f>
        <v>DungPL</v>
      </c>
    </row>
    <row r="148">
      <c r="A148" s="265" t="str">
        <f>IFERROR(__xludf.DUMMYFUNCTION("""COMPUTED_VALUE"""),"472")</f>
        <v>472</v>
      </c>
      <c r="B148" s="265" t="str">
        <f>IFERROR(__xludf.DUMMYFUNCTION("""COMPUTED_VALUE"""),"Sài Gòn")</f>
        <v>Sài Gòn</v>
      </c>
      <c r="C148" s="265" t="str">
        <f>IFERROR(__xludf.DUMMYFUNCTION("""COMPUTED_VALUE"""),"Active")</f>
        <v>Active</v>
      </c>
      <c r="D148" s="265" t="str">
        <f>IFERROR(__xludf.DUMMYFUNCTION("""COMPUTED_VALUE"""),"Sale chưa cung cấp")</f>
        <v>Sale chưa cung cấp</v>
      </c>
      <c r="E148" s="265" t="str">
        <f>IFERROR(__xludf.DUMMYFUNCTION("""COMPUTED_VALUE"""),"TùngLD")</f>
        <v>TùngLD</v>
      </c>
      <c r="F148" s="265" t="str">
        <f>IFERROR(__xludf.DUMMYFUNCTION("""COMPUTED_VALUE"""),"Diamond")</f>
        <v>Diamond</v>
      </c>
      <c r="G148" s="265" t="str">
        <f>IFERROR(__xludf.DUMMYFUNCTION("""COMPUTED_VALUE"""),"Enterprise")</f>
        <v>Enterprise</v>
      </c>
      <c r="H148" s="265" t="str">
        <f>IFERROR(__xludf.DUMMYFUNCTION("""COMPUTED_VALUE"""),"Trả sau")</f>
        <v>Trả sau</v>
      </c>
      <c r="I148" s="265" t="str">
        <f>IFERROR(__xludf.DUMMYFUNCTION("""COMPUTED_VALUE"""),"API &amp; Portal")</f>
        <v>API &amp; Portal</v>
      </c>
      <c r="J148" s="265" t="str">
        <f>IFERROR(__xludf.DUMMYFUNCTION("""COMPUTED_VALUE"""),"API")</f>
        <v>API</v>
      </c>
      <c r="K148" s="265" t="str">
        <f>IFERROR(__xludf.DUMMYFUNCTION("""COMPUTED_VALUE"""),"DungPL")</f>
        <v>DungPL</v>
      </c>
    </row>
    <row r="149">
      <c r="A149" s="265" t="str">
        <f>IFERROR(__xludf.DUMMYFUNCTION("""COMPUTED_VALUE"""),"473")</f>
        <v>473</v>
      </c>
      <c r="B149" s="265" t="str">
        <f>IFERROR(__xludf.DUMMYFUNCTION("""COMPUTED_VALUE"""),"Sài Gòn")</f>
        <v>Sài Gòn</v>
      </c>
      <c r="C149" s="265" t="str">
        <f>IFERROR(__xludf.DUMMYFUNCTION("""COMPUTED_VALUE"""),"Locked")</f>
        <v>Locked</v>
      </c>
      <c r="D149" s="265" t="str">
        <f>IFERROR(__xludf.DUMMYFUNCTION("""COMPUTED_VALUE"""),"Sale chưa cung cấp")</f>
        <v>Sale chưa cung cấp</v>
      </c>
      <c r="E149" s="265" t="str">
        <f>IFERROR(__xludf.DUMMYFUNCTION("""COMPUTED_VALUE"""),"HoaNTM")</f>
        <v>HoaNTM</v>
      </c>
      <c r="F149" s="265" t="str">
        <f>IFERROR(__xludf.DUMMYFUNCTION("""COMPUTED_VALUE"""),"Sale chưa cung cấp")</f>
        <v>Sale chưa cung cấp</v>
      </c>
      <c r="G149" s="265" t="str">
        <f>IFERROR(__xludf.DUMMYFUNCTION("""COMPUTED_VALUE"""),"Enterprise")</f>
        <v>Enterprise</v>
      </c>
      <c r="H149" s="265" t="str">
        <f>IFERROR(__xludf.DUMMYFUNCTION("""COMPUTED_VALUE"""),"Trial")</f>
        <v>Trial</v>
      </c>
      <c r="I149" s="265" t="str">
        <f>IFERROR(__xludf.DUMMYFUNCTION("""COMPUTED_VALUE"""),"(Không recheck)")</f>
        <v>(Không recheck)</v>
      </c>
      <c r="J149" s="265" t="str">
        <f>IFERROR(__xludf.DUMMYFUNCTION("""COMPUTED_VALUE"""),"(Không recheck)")</f>
        <v>(Không recheck)</v>
      </c>
      <c r="K149" s="265" t="str">
        <f>IFERROR(__xludf.DUMMYFUNCTION("""COMPUTED_VALUE"""),"(Không recheck)")</f>
        <v>(Không recheck)</v>
      </c>
    </row>
    <row r="150">
      <c r="A150" s="265" t="str">
        <f>IFERROR(__xludf.DUMMYFUNCTION("""COMPUTED_VALUE"""),"474")</f>
        <v>474</v>
      </c>
      <c r="B150" s="265" t="str">
        <f>IFERROR(__xludf.DUMMYFUNCTION("""COMPUTED_VALUE"""),"Hà Nội")</f>
        <v>Hà Nội</v>
      </c>
      <c r="C150" s="265" t="str">
        <f>IFERROR(__xludf.DUMMYFUNCTION("""COMPUTED_VALUE"""),"Active")</f>
        <v>Active</v>
      </c>
      <c r="D150" s="265" t="str">
        <f>IFERROR(__xludf.DUMMYFUNCTION("""COMPUTED_VALUE"""),"Sale chưa cung cấp")</f>
        <v>Sale chưa cung cấp</v>
      </c>
      <c r="E150" s="265" t="str">
        <f>IFERROR(__xludf.DUMMYFUNCTION("""COMPUTED_VALUE"""),"TúPHN")</f>
        <v>TúPHN</v>
      </c>
      <c r="F150" s="265" t="str">
        <f>IFERROR(__xludf.DUMMYFUNCTION("""COMPUTED_VALUE"""),"Gold")</f>
        <v>Gold</v>
      </c>
      <c r="G150" s="265" t="str">
        <f>IFERROR(__xludf.DUMMYFUNCTION("""COMPUTED_VALUE"""),"Starter")</f>
        <v>Starter</v>
      </c>
      <c r="H150" s="265" t="str">
        <f>IFERROR(__xludf.DUMMYFUNCTION("""COMPUTED_VALUE"""),"Trả sau")</f>
        <v>Trả sau</v>
      </c>
      <c r="I150" s="265" t="str">
        <f>IFERROR(__xludf.DUMMYFUNCTION("""COMPUTED_VALUE"""),"API")</f>
        <v>API</v>
      </c>
      <c r="J150" s="265" t="str">
        <f>IFERROR(__xludf.DUMMYFUNCTION("""COMPUTED_VALUE"""),"API")</f>
        <v>API</v>
      </c>
      <c r="K150" s="265" t="str">
        <f>IFERROR(__xludf.DUMMYFUNCTION("""COMPUTED_VALUE"""),"DungPL")</f>
        <v>DungPL</v>
      </c>
    </row>
    <row r="151">
      <c r="A151" s="265" t="str">
        <f>IFERROR(__xludf.DUMMYFUNCTION("""COMPUTED_VALUE"""),"476")</f>
        <v>476</v>
      </c>
      <c r="B151" s="265" t="str">
        <f>IFERROR(__xludf.DUMMYFUNCTION("""COMPUTED_VALUE"""),"Sài Gòn")</f>
        <v>Sài Gòn</v>
      </c>
      <c r="C151" s="265" t="str">
        <f>IFERROR(__xludf.DUMMYFUNCTION("""COMPUTED_VALUE"""),"Locked")</f>
        <v>Locked</v>
      </c>
      <c r="D151" s="265" t="str">
        <f>IFERROR(__xludf.DUMMYFUNCTION("""COMPUTED_VALUE"""),"Sale chưa cung cấp")</f>
        <v>Sale chưa cung cấp</v>
      </c>
      <c r="E151" s="265" t="str">
        <f>IFERROR(__xludf.DUMMYFUNCTION("""COMPUTED_VALUE"""),"HoaNTM")</f>
        <v>HoaNTM</v>
      </c>
      <c r="F151" s="265" t="str">
        <f>IFERROR(__xludf.DUMMYFUNCTION("""COMPUTED_VALUE"""),"Sale chưa cung cấp")</f>
        <v>Sale chưa cung cấp</v>
      </c>
      <c r="G151" s="265" t="str">
        <f>IFERROR(__xludf.DUMMYFUNCTION("""COMPUTED_VALUE"""),"MSG")</f>
        <v>MSG</v>
      </c>
      <c r="H151" s="265" t="str">
        <f>IFERROR(__xludf.DUMMYFUNCTION("""COMPUTED_VALUE"""),"(Chưa recheck)")</f>
        <v>(Chưa recheck)</v>
      </c>
      <c r="I151" s="265" t="str">
        <f>IFERROR(__xludf.DUMMYFUNCTION("""COMPUTED_VALUE"""),"(Chưa recheck)")</f>
        <v>(Chưa recheck)</v>
      </c>
      <c r="J151" s="265" t="str">
        <f>IFERROR(__xludf.DUMMYFUNCTION("""COMPUTED_VALUE"""),"(Chưa recheck)")</f>
        <v>(Chưa recheck)</v>
      </c>
      <c r="K151" s="265" t="str">
        <f>IFERROR(__xludf.DUMMYFUNCTION("""COMPUTED_VALUE"""),"AnhNM")</f>
        <v>AnhNM</v>
      </c>
    </row>
    <row r="152">
      <c r="A152" s="265" t="str">
        <f>IFERROR(__xludf.DUMMYFUNCTION("""COMPUTED_VALUE"""),"475")</f>
        <v>475</v>
      </c>
      <c r="B152" s="265" t="str">
        <f>IFERROR(__xludf.DUMMYFUNCTION("""COMPUTED_VALUE"""),"Sài Gòn")</f>
        <v>Sài Gòn</v>
      </c>
      <c r="C152" s="265" t="str">
        <f>IFERROR(__xludf.DUMMYFUNCTION("""COMPUTED_VALUE"""),"Locked")</f>
        <v>Locked</v>
      </c>
      <c r="D152" s="265" t="str">
        <f>IFERROR(__xludf.DUMMYFUNCTION("""COMPUTED_VALUE"""),"Sale chưa cung cấp")</f>
        <v>Sale chưa cung cấp</v>
      </c>
      <c r="E152" s="265" t="str">
        <f>IFERROR(__xludf.DUMMYFUNCTION("""COMPUTED_VALUE"""),"HoaNTM")</f>
        <v>HoaNTM</v>
      </c>
      <c r="F152" s="265" t="str">
        <f>IFERROR(__xludf.DUMMYFUNCTION("""COMPUTED_VALUE"""),"Sale chưa cung cấp")</f>
        <v>Sale chưa cung cấp</v>
      </c>
      <c r="G152" s="265" t="str">
        <f>IFERROR(__xludf.DUMMYFUNCTION("""COMPUTED_VALUE"""),"Enterprise")</f>
        <v>Enterprise</v>
      </c>
      <c r="H152" s="265" t="str">
        <f>IFERROR(__xludf.DUMMYFUNCTION("""COMPUTED_VALUE"""),"Trial")</f>
        <v>Trial</v>
      </c>
      <c r="I152" s="265" t="str">
        <f>IFERROR(__xludf.DUMMYFUNCTION("""COMPUTED_VALUE"""),"(Không recheck)")</f>
        <v>(Không recheck)</v>
      </c>
      <c r="J152" s="265" t="str">
        <f>IFERROR(__xludf.DUMMYFUNCTION("""COMPUTED_VALUE"""),"(Không recheck)")</f>
        <v>(Không recheck)</v>
      </c>
      <c r="K152" s="265" t="str">
        <f>IFERROR(__xludf.DUMMYFUNCTION("""COMPUTED_VALUE"""),"(Không recheck)")</f>
        <v>(Không recheck)</v>
      </c>
    </row>
    <row r="153">
      <c r="A153" s="265" t="str">
        <f>IFERROR(__xludf.DUMMYFUNCTION("""COMPUTED_VALUE"""),"479")</f>
        <v>479</v>
      </c>
      <c r="B153" s="265" t="str">
        <f>IFERROR(__xludf.DUMMYFUNCTION("""COMPUTED_VALUE"""),"Sài Gòn")</f>
        <v>Sài Gòn</v>
      </c>
      <c r="C153" s="265" t="str">
        <f>IFERROR(__xludf.DUMMYFUNCTION("""COMPUTED_VALUE"""),"Locked")</f>
        <v>Locked</v>
      </c>
      <c r="D153" s="265" t="str">
        <f>IFERROR(__xludf.DUMMYFUNCTION("""COMPUTED_VALUE"""),"Sale chưa cung cấp")</f>
        <v>Sale chưa cung cấp</v>
      </c>
      <c r="E153" s="265" t="str">
        <f>IFERROR(__xludf.DUMMYFUNCTION("""COMPUTED_VALUE"""),"HoaNTM")</f>
        <v>HoaNTM</v>
      </c>
      <c r="F153" s="265" t="str">
        <f>IFERROR(__xludf.DUMMYFUNCTION("""COMPUTED_VALUE"""),"Sale chưa cung cấp")</f>
        <v>Sale chưa cung cấp</v>
      </c>
      <c r="G153" s="265" t="str">
        <f>IFERROR(__xludf.DUMMYFUNCTION("""COMPUTED_VALUE"""),"Enterprise")</f>
        <v>Enterprise</v>
      </c>
      <c r="H153" s="265" t="str">
        <f>IFERROR(__xludf.DUMMYFUNCTION("""COMPUTED_VALUE"""),"(Chưa recheck)")</f>
        <v>(Chưa recheck)</v>
      </c>
      <c r="I153" s="265" t="str">
        <f>IFERROR(__xludf.DUMMYFUNCTION("""COMPUTED_VALUE"""),"(Chưa recheck)")</f>
        <v>(Chưa recheck)</v>
      </c>
      <c r="J153" s="265" t="str">
        <f>IFERROR(__xludf.DUMMYFUNCTION("""COMPUTED_VALUE"""),"(Chưa recheck)")</f>
        <v>(Chưa recheck)</v>
      </c>
      <c r="K153" s="265" t="str">
        <f>IFERROR(__xludf.DUMMYFUNCTION("""COMPUTED_VALUE"""),"AnhNM")</f>
        <v>AnhNM</v>
      </c>
    </row>
    <row r="154">
      <c r="A154" s="265" t="str">
        <f>IFERROR(__xludf.DUMMYFUNCTION("""COMPUTED_VALUE"""),"482")</f>
        <v>482</v>
      </c>
      <c r="B154" s="265" t="str">
        <f>IFERROR(__xludf.DUMMYFUNCTION("""COMPUTED_VALUE"""),"Hà Nội")</f>
        <v>Hà Nội</v>
      </c>
      <c r="C154" s="265" t="str">
        <f>IFERROR(__xludf.DUMMYFUNCTION("""COMPUTED_VALUE"""),"Locked")</f>
        <v>Locked</v>
      </c>
      <c r="D154" s="265" t="str">
        <f>IFERROR(__xludf.DUMMYFUNCTION("""COMPUTED_VALUE"""),"Sale chưa cung cấp")</f>
        <v>Sale chưa cung cấp</v>
      </c>
      <c r="E154" s="265" t="str">
        <f>IFERROR(__xludf.DUMMYFUNCTION("""COMPUTED_VALUE"""),"HangNT")</f>
        <v>HangNT</v>
      </c>
      <c r="F154" s="265" t="str">
        <f>IFERROR(__xludf.DUMMYFUNCTION("""COMPUTED_VALUE"""),"Bronze")</f>
        <v>Bronze</v>
      </c>
      <c r="G154" s="265" t="str">
        <f>IFERROR(__xludf.DUMMYFUNCTION("""COMPUTED_VALUE"""),"Enterprise")</f>
        <v>Enterprise</v>
      </c>
      <c r="H154" s="265" t="str">
        <f>IFERROR(__xludf.DUMMYFUNCTION("""COMPUTED_VALUE"""),"(Chưa recheck)")</f>
        <v>(Chưa recheck)</v>
      </c>
      <c r="I154" s="265" t="str">
        <f>IFERROR(__xludf.DUMMYFUNCTION("""COMPUTED_VALUE"""),"(Chưa recheck)")</f>
        <v>(Chưa recheck)</v>
      </c>
      <c r="J154" s="265" t="str">
        <f>IFERROR(__xludf.DUMMYFUNCTION("""COMPUTED_VALUE"""),"Kiotviet")</f>
        <v>Kiotviet</v>
      </c>
      <c r="K154" s="265" t="str">
        <f>IFERROR(__xludf.DUMMYFUNCTION("""COMPUTED_VALUE"""),"(Chưa recheck)")</f>
        <v>(Chưa recheck)</v>
      </c>
    </row>
    <row r="155">
      <c r="A155" s="265" t="str">
        <f>IFERROR(__xludf.DUMMYFUNCTION("""COMPUTED_VALUE"""),"480")</f>
        <v>480</v>
      </c>
      <c r="B155" s="265" t="str">
        <f>IFERROR(__xludf.DUMMYFUNCTION("""COMPUTED_VALUE"""),"Sài Gòn")</f>
        <v>Sài Gòn</v>
      </c>
      <c r="C155" s="265" t="str">
        <f>IFERROR(__xludf.DUMMYFUNCTION("""COMPUTED_VALUE"""),"Locked")</f>
        <v>Locked</v>
      </c>
      <c r="D155" s="265" t="str">
        <f>IFERROR(__xludf.DUMMYFUNCTION("""COMPUTED_VALUE"""),"Sale chưa cung cấp")</f>
        <v>Sale chưa cung cấp</v>
      </c>
      <c r="E155" s="265" t="str">
        <f>IFERROR(__xludf.DUMMYFUNCTION("""COMPUTED_VALUE"""),"HoaNTM")</f>
        <v>HoaNTM</v>
      </c>
      <c r="F155" s="265" t="str">
        <f>IFERROR(__xludf.DUMMYFUNCTION("""COMPUTED_VALUE"""),"Sale chưa cung cấp")</f>
        <v>Sale chưa cung cấp</v>
      </c>
      <c r="G155" s="265" t="str">
        <f>IFERROR(__xludf.DUMMYFUNCTION("""COMPUTED_VALUE"""),"MSG")</f>
        <v>MSG</v>
      </c>
      <c r="H155" s="265" t="str">
        <f>IFERROR(__xludf.DUMMYFUNCTION("""COMPUTED_VALUE"""),"(Chưa recheck)")</f>
        <v>(Chưa recheck)</v>
      </c>
      <c r="I155" s="265" t="str">
        <f>IFERROR(__xludf.DUMMYFUNCTION("""COMPUTED_VALUE"""),"(Chưa recheck)")</f>
        <v>(Chưa recheck)</v>
      </c>
      <c r="J155" s="265" t="str">
        <f>IFERROR(__xludf.DUMMYFUNCTION("""COMPUTED_VALUE"""),"(Chưa recheck)")</f>
        <v>(Chưa recheck)</v>
      </c>
      <c r="K155" s="265" t="str">
        <f>IFERROR(__xludf.DUMMYFUNCTION("""COMPUTED_VALUE"""),"AnhNM")</f>
        <v>AnhNM</v>
      </c>
    </row>
    <row r="156">
      <c r="A156" s="265" t="str">
        <f>IFERROR(__xludf.DUMMYFUNCTION("""COMPUTED_VALUE"""),"481")</f>
        <v>481</v>
      </c>
      <c r="B156" s="265" t="str">
        <f>IFERROR(__xludf.DUMMYFUNCTION("""COMPUTED_VALUE"""),"Sài Gòn")</f>
        <v>Sài Gòn</v>
      </c>
      <c r="C156" s="265" t="str">
        <f>IFERROR(__xludf.DUMMYFUNCTION("""COMPUTED_VALUE"""),"Locked")</f>
        <v>Locked</v>
      </c>
      <c r="D156" s="265" t="str">
        <f>IFERROR(__xludf.DUMMYFUNCTION("""COMPUTED_VALUE"""),"Sale chưa cung cấp")</f>
        <v>Sale chưa cung cấp</v>
      </c>
      <c r="E156" s="265" t="str">
        <f>IFERROR(__xludf.DUMMYFUNCTION("""COMPUTED_VALUE"""),"HoaNTM")</f>
        <v>HoaNTM</v>
      </c>
      <c r="F156" s="265" t="str">
        <f>IFERROR(__xludf.DUMMYFUNCTION("""COMPUTED_VALUE"""),"Sale chưa cung cấp")</f>
        <v>Sale chưa cung cấp</v>
      </c>
      <c r="G156" s="265" t="str">
        <f>IFERROR(__xludf.DUMMYFUNCTION("""COMPUTED_VALUE"""),"MSG")</f>
        <v>MSG</v>
      </c>
      <c r="H156" s="265" t="str">
        <f>IFERROR(__xludf.DUMMYFUNCTION("""COMPUTED_VALUE"""),"(Chưa recheck)")</f>
        <v>(Chưa recheck)</v>
      </c>
      <c r="I156" s="265" t="str">
        <f>IFERROR(__xludf.DUMMYFUNCTION("""COMPUTED_VALUE"""),"(Chưa recheck)")</f>
        <v>(Chưa recheck)</v>
      </c>
      <c r="J156" s="265" t="str">
        <f>IFERROR(__xludf.DUMMYFUNCTION("""COMPUTED_VALUE"""),"(Chưa recheck)")</f>
        <v>(Chưa recheck)</v>
      </c>
      <c r="K156" s="265" t="str">
        <f>IFERROR(__xludf.DUMMYFUNCTION("""COMPUTED_VALUE"""),"AnhNM")</f>
        <v>AnhNM</v>
      </c>
    </row>
    <row r="157">
      <c r="A157" s="265" t="str">
        <f>IFERROR(__xludf.DUMMYFUNCTION("""COMPUTED_VALUE"""),"483")</f>
        <v>483</v>
      </c>
      <c r="B157" s="265" t="str">
        <f>IFERROR(__xludf.DUMMYFUNCTION("""COMPUTED_VALUE"""),"Hà Nội")</f>
        <v>Hà Nội</v>
      </c>
      <c r="C157" s="265" t="str">
        <f>IFERROR(__xludf.DUMMYFUNCTION("""COMPUTED_VALUE"""),"Locked")</f>
        <v>Locked</v>
      </c>
      <c r="D157" s="265" t="str">
        <f>IFERROR(__xludf.DUMMYFUNCTION("""COMPUTED_VALUE"""),"Sale chưa cung cấp")</f>
        <v>Sale chưa cung cấp</v>
      </c>
      <c r="E157" s="265" t="str">
        <f>IFERROR(__xludf.DUMMYFUNCTION("""COMPUTED_VALUE"""),"TrangHTT")</f>
        <v>TrangHTT</v>
      </c>
      <c r="F157" s="265" t="str">
        <f>IFERROR(__xludf.DUMMYFUNCTION("""COMPUTED_VALUE"""),"Sale chưa cung cấp")</f>
        <v>Sale chưa cung cấp</v>
      </c>
      <c r="G157" s="265" t="str">
        <f>IFERROR(__xludf.DUMMYFUNCTION("""COMPUTED_VALUE"""),"Enterprise")</f>
        <v>Enterprise</v>
      </c>
      <c r="H157" s="265" t="str">
        <f>IFERROR(__xludf.DUMMYFUNCTION("""COMPUTED_VALUE"""),"Trial")</f>
        <v>Trial</v>
      </c>
      <c r="I157" s="265" t="str">
        <f>IFERROR(__xludf.DUMMYFUNCTION("""COMPUTED_VALUE"""),"(Không recheck)")</f>
        <v>(Không recheck)</v>
      </c>
      <c r="J157" s="265" t="str">
        <f>IFERROR(__xludf.DUMMYFUNCTION("""COMPUTED_VALUE"""),"API")</f>
        <v>API</v>
      </c>
      <c r="K157" s="265" t="str">
        <f>IFERROR(__xludf.DUMMYFUNCTION("""COMPUTED_VALUE"""),"(Không recheck)")</f>
        <v>(Không recheck)</v>
      </c>
    </row>
    <row r="158">
      <c r="A158" s="265" t="str">
        <f>IFERROR(__xludf.DUMMYFUNCTION("""COMPUTED_VALUE"""),"484")</f>
        <v>484</v>
      </c>
      <c r="B158" s="265" t="str">
        <f>IFERROR(__xludf.DUMMYFUNCTION("""COMPUTED_VALUE"""),"Hà Nội")</f>
        <v>Hà Nội</v>
      </c>
      <c r="C158" s="265" t="str">
        <f>IFERROR(__xludf.DUMMYFUNCTION("""COMPUTED_VALUE"""),"Locked")</f>
        <v>Locked</v>
      </c>
      <c r="D158" s="265" t="str">
        <f>IFERROR(__xludf.DUMMYFUNCTION("""COMPUTED_VALUE"""),"Sale chưa cung cấp")</f>
        <v>Sale chưa cung cấp</v>
      </c>
      <c r="E158" s="265" t="str">
        <f>IFERROR(__xludf.DUMMYFUNCTION("""COMPUTED_VALUE"""),"NamDT")</f>
        <v>NamDT</v>
      </c>
      <c r="F158" s="265" t="str">
        <f>IFERROR(__xludf.DUMMYFUNCTION("""COMPUTED_VALUE"""),"Sale chưa cung cấp")</f>
        <v>Sale chưa cung cấp</v>
      </c>
      <c r="G158" s="265" t="str">
        <f>IFERROR(__xludf.DUMMYFUNCTION("""COMPUTED_VALUE"""),"API")</f>
        <v>API</v>
      </c>
      <c r="H158" s="265" t="str">
        <f>IFERROR(__xludf.DUMMYFUNCTION("""COMPUTED_VALUE"""),"(Chưa recheck)")</f>
        <v>(Chưa recheck)</v>
      </c>
      <c r="I158" s="265" t="str">
        <f>IFERROR(__xludf.DUMMYFUNCTION("""COMPUTED_VALUE"""),"(Chưa recheck)")</f>
        <v>(Chưa recheck)</v>
      </c>
      <c r="J158" s="265" t="str">
        <f>IFERROR(__xludf.DUMMYFUNCTION("""COMPUTED_VALUE"""),"API")</f>
        <v>API</v>
      </c>
      <c r="K158" s="265" t="str">
        <f>IFERROR(__xludf.DUMMYFUNCTION("""COMPUTED_VALUE"""),"AnhNM")</f>
        <v>AnhNM</v>
      </c>
    </row>
    <row r="159">
      <c r="A159" s="265" t="str">
        <f>IFERROR(__xludf.DUMMYFUNCTION("""COMPUTED_VALUE"""),"486")</f>
        <v>486</v>
      </c>
      <c r="B159" s="265" t="str">
        <f>IFERROR(__xludf.DUMMYFUNCTION("""COMPUTED_VALUE"""),"Hà Nội")</f>
        <v>Hà Nội</v>
      </c>
      <c r="C159" s="265" t="str">
        <f>IFERROR(__xludf.DUMMYFUNCTION("""COMPUTED_VALUE"""),"Active")</f>
        <v>Active</v>
      </c>
      <c r="D159" s="265" t="str">
        <f>IFERROR(__xludf.DUMMYFUNCTION("""COMPUTED_VALUE"""),"Công nghệ &amp; Phần mềm")</f>
        <v>Công nghệ &amp; Phần mềm</v>
      </c>
      <c r="E159" s="265" t="str">
        <f>IFERROR(__xludf.DUMMYFUNCTION("""COMPUTED_VALUE"""),"TúPHN")</f>
        <v>TúPHN</v>
      </c>
      <c r="F159" s="265" t="str">
        <f>IFERROR(__xludf.DUMMYFUNCTION("""COMPUTED_VALUE"""),"Gold")</f>
        <v>Gold</v>
      </c>
      <c r="G159" s="265" t="str">
        <f>IFERROR(__xludf.DUMMYFUNCTION("""COMPUTED_VALUE"""),"Starter")</f>
        <v>Starter</v>
      </c>
      <c r="H159" s="265" t="str">
        <f>IFERROR(__xludf.DUMMYFUNCTION("""COMPUTED_VALUE"""),"Trả trước")</f>
        <v>Trả trước</v>
      </c>
      <c r="I159" s="265" t="str">
        <f>IFERROR(__xludf.DUMMYFUNCTION("""COMPUTED_VALUE"""),"API")</f>
        <v>API</v>
      </c>
      <c r="J159" s="265" t="str">
        <f>IFERROR(__xludf.DUMMYFUNCTION("""COMPUTED_VALUE"""),"API")</f>
        <v>API</v>
      </c>
      <c r="K159" s="265" t="str">
        <f>IFERROR(__xludf.DUMMYFUNCTION("""COMPUTED_VALUE"""),"DungPL")</f>
        <v>DungPL</v>
      </c>
    </row>
    <row r="160">
      <c r="A160" s="265" t="str">
        <f>IFERROR(__xludf.DUMMYFUNCTION("""COMPUTED_VALUE"""),"485")</f>
        <v>485</v>
      </c>
      <c r="B160" s="265" t="str">
        <f>IFERROR(__xludf.DUMMYFUNCTION("""COMPUTED_VALUE"""),"Hà Nội")</f>
        <v>Hà Nội</v>
      </c>
      <c r="C160" s="265" t="str">
        <f>IFERROR(__xludf.DUMMYFUNCTION("""COMPUTED_VALUE"""),"Locked")</f>
        <v>Locked</v>
      </c>
      <c r="D160" s="265" t="str">
        <f>IFERROR(__xludf.DUMMYFUNCTION("""COMPUTED_VALUE"""),"Sale chưa cung cấp")</f>
        <v>Sale chưa cung cấp</v>
      </c>
      <c r="E160" s="265" t="str">
        <f>IFERROR(__xludf.DUMMYFUNCTION("""COMPUTED_VALUE"""),"PhươngDTB")</f>
        <v>PhươngDTB</v>
      </c>
      <c r="F160" s="265" t="str">
        <f>IFERROR(__xludf.DUMMYFUNCTION("""COMPUTED_VALUE"""),"Sale chưa cung cấp")</f>
        <v>Sale chưa cung cấp</v>
      </c>
      <c r="G160" s="265" t="str">
        <f>IFERROR(__xludf.DUMMYFUNCTION("""COMPUTED_VALUE"""),"Enterprise")</f>
        <v>Enterprise</v>
      </c>
      <c r="H160" s="265" t="str">
        <f>IFERROR(__xludf.DUMMYFUNCTION("""COMPUTED_VALUE"""),"Trial")</f>
        <v>Trial</v>
      </c>
      <c r="I160" s="265" t="str">
        <f>IFERROR(__xludf.DUMMYFUNCTION("""COMPUTED_VALUE"""),"(Không recheck)")</f>
        <v>(Không recheck)</v>
      </c>
      <c r="J160" s="265" t="str">
        <f>IFERROR(__xludf.DUMMYFUNCTION("""COMPUTED_VALUE"""),"(Không recheck)")</f>
        <v>(Không recheck)</v>
      </c>
      <c r="K160" s="265" t="str">
        <f>IFERROR(__xludf.DUMMYFUNCTION("""COMPUTED_VALUE"""),"(Không recheck)")</f>
        <v>(Không recheck)</v>
      </c>
    </row>
    <row r="161">
      <c r="A161" s="265" t="str">
        <f>IFERROR(__xludf.DUMMYFUNCTION("""COMPUTED_VALUE"""),"487")</f>
        <v>487</v>
      </c>
      <c r="B161" s="265" t="str">
        <f>IFERROR(__xludf.DUMMYFUNCTION("""COMPUTED_VALUE"""),"Hà Nội")</f>
        <v>Hà Nội</v>
      </c>
      <c r="C161" s="265" t="str">
        <f>IFERROR(__xludf.DUMMYFUNCTION("""COMPUTED_VALUE"""),"Locked")</f>
        <v>Locked</v>
      </c>
      <c r="D161" s="265" t="str">
        <f>IFERROR(__xludf.DUMMYFUNCTION("""COMPUTED_VALUE"""),"Sale chưa cung cấp")</f>
        <v>Sale chưa cung cấp</v>
      </c>
      <c r="E161" s="265" t="str">
        <f>IFERROR(__xludf.DUMMYFUNCTION("""COMPUTED_VALUE"""),"NamDT")</f>
        <v>NamDT</v>
      </c>
      <c r="F161" s="265" t="str">
        <f>IFERROR(__xludf.DUMMYFUNCTION("""COMPUTED_VALUE"""),"Silver")</f>
        <v>Silver</v>
      </c>
      <c r="G161" s="265" t="str">
        <f>IFERROR(__xludf.DUMMYFUNCTION("""COMPUTED_VALUE"""),"Enterprise")</f>
        <v>Enterprise</v>
      </c>
      <c r="H161" s="265" t="str">
        <f>IFERROR(__xludf.DUMMYFUNCTION("""COMPUTED_VALUE"""),"(Chưa recheck)")</f>
        <v>(Chưa recheck)</v>
      </c>
      <c r="I161" s="265" t="str">
        <f>IFERROR(__xludf.DUMMYFUNCTION("""COMPUTED_VALUE"""),"(Chưa recheck)")</f>
        <v>(Chưa recheck)</v>
      </c>
      <c r="J161" s="265" t="str">
        <f>IFERROR(__xludf.DUMMYFUNCTION("""COMPUTED_VALUE"""),"(Chưa recheck)")</f>
        <v>(Chưa recheck)</v>
      </c>
      <c r="K161" s="265" t="str">
        <f>IFERROR(__xludf.DUMMYFUNCTION("""COMPUTED_VALUE"""),"AnhNM")</f>
        <v>AnhNM</v>
      </c>
    </row>
    <row r="162">
      <c r="A162" s="265" t="str">
        <f>IFERROR(__xludf.DUMMYFUNCTION("""COMPUTED_VALUE"""),"488")</f>
        <v>488</v>
      </c>
      <c r="B162" s="265" t="str">
        <f>IFERROR(__xludf.DUMMYFUNCTION("""COMPUTED_VALUE"""),"Sài Gòn")</f>
        <v>Sài Gòn</v>
      </c>
      <c r="C162" s="265" t="str">
        <f>IFERROR(__xludf.DUMMYFUNCTION("""COMPUTED_VALUE"""),"Locked")</f>
        <v>Locked</v>
      </c>
      <c r="D162" s="265" t="str">
        <f>IFERROR(__xludf.DUMMYFUNCTION("""COMPUTED_VALUE"""),"Sale chưa cung cấp")</f>
        <v>Sale chưa cung cấp</v>
      </c>
      <c r="E162" s="265" t="str">
        <f>IFERROR(__xludf.DUMMYFUNCTION("""COMPUTED_VALUE"""),"HoaNTM")</f>
        <v>HoaNTM</v>
      </c>
      <c r="F162" s="265" t="str">
        <f>IFERROR(__xludf.DUMMYFUNCTION("""COMPUTED_VALUE"""),"Sale chưa cung cấp")</f>
        <v>Sale chưa cung cấp</v>
      </c>
      <c r="G162" s="265" t="str">
        <f>IFERROR(__xludf.DUMMYFUNCTION("""COMPUTED_VALUE"""),"MSG")</f>
        <v>MSG</v>
      </c>
      <c r="H162" s="265" t="str">
        <f>IFERROR(__xludf.DUMMYFUNCTION("""COMPUTED_VALUE"""),"Trial")</f>
        <v>Trial</v>
      </c>
      <c r="I162" s="265" t="str">
        <f>IFERROR(__xludf.DUMMYFUNCTION("""COMPUTED_VALUE"""),"(Không recheck)")</f>
        <v>(Không recheck)</v>
      </c>
      <c r="J162" s="265" t="str">
        <f>IFERROR(__xludf.DUMMYFUNCTION("""COMPUTED_VALUE"""),"(Không recheck)")</f>
        <v>(Không recheck)</v>
      </c>
      <c r="K162" s="265" t="str">
        <f>IFERROR(__xludf.DUMMYFUNCTION("""COMPUTED_VALUE"""),"DungPL")</f>
        <v>DungPL</v>
      </c>
    </row>
    <row r="163">
      <c r="A163" s="265" t="str">
        <f>IFERROR(__xludf.DUMMYFUNCTION("""COMPUTED_VALUE"""),"489")</f>
        <v>489</v>
      </c>
      <c r="B163" s="265" t="str">
        <f>IFERROR(__xludf.DUMMYFUNCTION("""COMPUTED_VALUE"""),"Sài Gòn")</f>
        <v>Sài Gòn</v>
      </c>
      <c r="C163" s="265" t="str">
        <f>IFERROR(__xludf.DUMMYFUNCTION("""COMPUTED_VALUE"""),"Locked")</f>
        <v>Locked</v>
      </c>
      <c r="D163" s="265" t="str">
        <f>IFERROR(__xludf.DUMMYFUNCTION("""COMPUTED_VALUE"""),"Sale chưa cung cấp")</f>
        <v>Sale chưa cung cấp</v>
      </c>
      <c r="E163" s="265" t="str">
        <f>IFERROR(__xludf.DUMMYFUNCTION("""COMPUTED_VALUE"""),"HoaNTM")</f>
        <v>HoaNTM</v>
      </c>
      <c r="F163" s="265" t="str">
        <f>IFERROR(__xludf.DUMMYFUNCTION("""COMPUTED_VALUE"""),"Sale chưa cung cấp")</f>
        <v>Sale chưa cung cấp</v>
      </c>
      <c r="G163" s="265" t="str">
        <f>IFERROR(__xludf.DUMMYFUNCTION("""COMPUTED_VALUE"""),"Enterprise")</f>
        <v>Enterprise</v>
      </c>
      <c r="H163" s="265" t="str">
        <f>IFERROR(__xludf.DUMMYFUNCTION("""COMPUTED_VALUE"""),"Trial")</f>
        <v>Trial</v>
      </c>
      <c r="I163" s="265" t="str">
        <f>IFERROR(__xludf.DUMMYFUNCTION("""COMPUTED_VALUE"""),"(Không recheck)")</f>
        <v>(Không recheck)</v>
      </c>
      <c r="J163" s="265" t="str">
        <f>IFERROR(__xludf.DUMMYFUNCTION("""COMPUTED_VALUE"""),"(Không recheck)")</f>
        <v>(Không recheck)</v>
      </c>
      <c r="K163" s="265" t="str">
        <f>IFERROR(__xludf.DUMMYFUNCTION("""COMPUTED_VALUE"""),"(Không recheck)")</f>
        <v>(Không recheck)</v>
      </c>
    </row>
    <row r="164">
      <c r="A164" s="265" t="str">
        <f>IFERROR(__xludf.DUMMYFUNCTION("""COMPUTED_VALUE"""),"490")</f>
        <v>490</v>
      </c>
      <c r="B164" s="265" t="str">
        <f>IFERROR(__xludf.DUMMYFUNCTION("""COMPUTED_VALUE"""),"Hà Nội")</f>
        <v>Hà Nội</v>
      </c>
      <c r="C164" s="265" t="str">
        <f>IFERROR(__xludf.DUMMYFUNCTION("""COMPUTED_VALUE"""),"Locked")</f>
        <v>Locked</v>
      </c>
      <c r="D164" s="265" t="str">
        <f>IFERROR(__xludf.DUMMYFUNCTION("""COMPUTED_VALUE"""),"Sale chưa cung cấp")</f>
        <v>Sale chưa cung cấp</v>
      </c>
      <c r="E164" s="265" t="str">
        <f>IFERROR(__xludf.DUMMYFUNCTION("""COMPUTED_VALUE"""),"TúPHN")</f>
        <v>TúPHN</v>
      </c>
      <c r="F164" s="265" t="str">
        <f>IFERROR(__xludf.DUMMYFUNCTION("""COMPUTED_VALUE"""),"Silver")</f>
        <v>Silver</v>
      </c>
      <c r="G164" s="265" t="str">
        <f>IFERROR(__xludf.DUMMYFUNCTION("""COMPUTED_VALUE"""),"Enterprise")</f>
        <v>Enterprise</v>
      </c>
      <c r="H164" s="265" t="str">
        <f>IFERROR(__xludf.DUMMYFUNCTION("""COMPUTED_VALUE"""),"(Chưa recheck)")</f>
        <v>(Chưa recheck)</v>
      </c>
      <c r="I164" s="265" t="str">
        <f>IFERROR(__xludf.DUMMYFUNCTION("""COMPUTED_VALUE"""),"(Chưa recheck)")</f>
        <v>(Chưa recheck)</v>
      </c>
      <c r="J164" s="265" t="str">
        <f>IFERROR(__xludf.DUMMYFUNCTION("""COMPUTED_VALUE"""),"Kiotviet")</f>
        <v>Kiotviet</v>
      </c>
      <c r="K164" s="265" t="str">
        <f>IFERROR(__xludf.DUMMYFUNCTION("""COMPUTED_VALUE"""),"AnhNM")</f>
        <v>AnhNM</v>
      </c>
    </row>
    <row r="165">
      <c r="A165" s="265" t="str">
        <f>IFERROR(__xludf.DUMMYFUNCTION("""COMPUTED_VALUE"""),"491")</f>
        <v>491</v>
      </c>
      <c r="B165" s="265" t="str">
        <f>IFERROR(__xludf.DUMMYFUNCTION("""COMPUTED_VALUE"""),"Hà Nội")</f>
        <v>Hà Nội</v>
      </c>
      <c r="C165" s="265" t="str">
        <f>IFERROR(__xludf.DUMMYFUNCTION("""COMPUTED_VALUE"""),"Locked")</f>
        <v>Locked</v>
      </c>
      <c r="D165" s="265" t="str">
        <f>IFERROR(__xludf.DUMMYFUNCTION("""COMPUTED_VALUE"""),"Sale chưa cung cấp")</f>
        <v>Sale chưa cung cấp</v>
      </c>
      <c r="E165" s="265" t="str">
        <f>IFERROR(__xludf.DUMMYFUNCTION("""COMPUTED_VALUE"""),"(Không recheck)")</f>
        <v>(Không recheck)</v>
      </c>
      <c r="F165" s="265" t="str">
        <f>IFERROR(__xludf.DUMMYFUNCTION("""COMPUTED_VALUE"""),"Sale chưa cung cấp")</f>
        <v>Sale chưa cung cấp</v>
      </c>
      <c r="G165" s="265" t="str">
        <f>IFERROR(__xludf.DUMMYFUNCTION("""COMPUTED_VALUE"""),"API")</f>
        <v>API</v>
      </c>
      <c r="H165" s="265" t="str">
        <f>IFERROR(__xludf.DUMMYFUNCTION("""COMPUTED_VALUE"""),"Trial")</f>
        <v>Trial</v>
      </c>
      <c r="I165" s="265" t="str">
        <f>IFERROR(__xludf.DUMMYFUNCTION("""COMPUTED_VALUE"""),"(Không recheck)")</f>
        <v>(Không recheck)</v>
      </c>
      <c r="J165" s="265" t="str">
        <f>IFERROR(__xludf.DUMMYFUNCTION("""COMPUTED_VALUE"""),"API")</f>
        <v>API</v>
      </c>
      <c r="K165" s="265" t="str">
        <f>IFERROR(__xludf.DUMMYFUNCTION("""COMPUTED_VALUE"""),"AnhNM")</f>
        <v>AnhNM</v>
      </c>
    </row>
    <row r="166">
      <c r="A166" s="265" t="str">
        <f>IFERROR(__xludf.DUMMYFUNCTION("""COMPUTED_VALUE"""),"492")</f>
        <v>492</v>
      </c>
      <c r="B166" s="265" t="str">
        <f>IFERROR(__xludf.DUMMYFUNCTION("""COMPUTED_VALUE"""),"Sài Gòn")</f>
        <v>Sài Gòn</v>
      </c>
      <c r="C166" s="265" t="str">
        <f>IFERROR(__xludf.DUMMYFUNCTION("""COMPUTED_VALUE"""),"Locked")</f>
        <v>Locked</v>
      </c>
      <c r="D166" s="265" t="str">
        <f>IFERROR(__xludf.DUMMYFUNCTION("""COMPUTED_VALUE"""),"Sale chưa cung cấp")</f>
        <v>Sale chưa cung cấp</v>
      </c>
      <c r="E166" s="265" t="str">
        <f>IFERROR(__xludf.DUMMYFUNCTION("""COMPUTED_VALUE"""),"HoaNTM")</f>
        <v>HoaNTM</v>
      </c>
      <c r="F166" s="265" t="str">
        <f>IFERROR(__xludf.DUMMYFUNCTION("""COMPUTED_VALUE"""),"Sale chưa cung cấp")</f>
        <v>Sale chưa cung cấp</v>
      </c>
      <c r="G166" s="265" t="str">
        <f>IFERROR(__xludf.DUMMYFUNCTION("""COMPUTED_VALUE"""),"MSG")</f>
        <v>MSG</v>
      </c>
      <c r="H166" s="265" t="str">
        <f>IFERROR(__xludf.DUMMYFUNCTION("""COMPUTED_VALUE"""),"(Chưa recheck)")</f>
        <v>(Chưa recheck)</v>
      </c>
      <c r="I166" s="265" t="str">
        <f>IFERROR(__xludf.DUMMYFUNCTION("""COMPUTED_VALUE"""),"(Chưa recheck)")</f>
        <v>(Chưa recheck)</v>
      </c>
      <c r="J166" s="265" t="str">
        <f>IFERROR(__xludf.DUMMYFUNCTION("""COMPUTED_VALUE"""),"(Chưa recheck)")</f>
        <v>(Chưa recheck)</v>
      </c>
      <c r="K166" s="265" t="str">
        <f>IFERROR(__xludf.DUMMYFUNCTION("""COMPUTED_VALUE"""),"AnhNM")</f>
        <v>AnhNM</v>
      </c>
    </row>
    <row r="167">
      <c r="A167" s="265" t="str">
        <f>IFERROR(__xludf.DUMMYFUNCTION("""COMPUTED_VALUE"""),"494")</f>
        <v>494</v>
      </c>
      <c r="B167" s="265" t="str">
        <f>IFERROR(__xludf.DUMMYFUNCTION("""COMPUTED_VALUE"""),"Sài Gòn")</f>
        <v>Sài Gòn</v>
      </c>
      <c r="C167" s="265" t="str">
        <f>IFERROR(__xludf.DUMMYFUNCTION("""COMPUTED_VALUE"""),"Locked")</f>
        <v>Locked</v>
      </c>
      <c r="D167" s="265" t="str">
        <f>IFERROR(__xludf.DUMMYFUNCTION("""COMPUTED_VALUE"""),"Sale chưa cung cấp")</f>
        <v>Sale chưa cung cấp</v>
      </c>
      <c r="E167" s="265" t="str">
        <f>IFERROR(__xludf.DUMMYFUNCTION("""COMPUTED_VALUE"""),"HoaNTM")</f>
        <v>HoaNTM</v>
      </c>
      <c r="F167" s="265" t="str">
        <f>IFERROR(__xludf.DUMMYFUNCTION("""COMPUTED_VALUE"""),"Diamond")</f>
        <v>Diamond</v>
      </c>
      <c r="G167" s="265" t="str">
        <f>IFERROR(__xludf.DUMMYFUNCTION("""COMPUTED_VALUE"""),"API")</f>
        <v>API</v>
      </c>
      <c r="H167" s="265" t="str">
        <f>IFERROR(__xludf.DUMMYFUNCTION("""COMPUTED_VALUE"""),"Trả sau")</f>
        <v>Trả sau</v>
      </c>
      <c r="I167" s="265" t="str">
        <f>IFERROR(__xludf.DUMMYFUNCTION("""COMPUTED_VALUE"""),"(Chưa recheck)")</f>
        <v>(Chưa recheck)</v>
      </c>
      <c r="J167" s="265" t="str">
        <f>IFERROR(__xludf.DUMMYFUNCTION("""COMPUTED_VALUE"""),"(Chưa recheck)")</f>
        <v>(Chưa recheck)</v>
      </c>
      <c r="K167" s="265" t="str">
        <f>IFERROR(__xludf.DUMMYFUNCTION("""COMPUTED_VALUE"""),"(Chưa recheck)")</f>
        <v>(Chưa recheck)</v>
      </c>
    </row>
    <row r="168">
      <c r="A168" s="265" t="str">
        <f>IFERROR(__xludf.DUMMYFUNCTION("""COMPUTED_VALUE"""),"493")</f>
        <v>493</v>
      </c>
      <c r="B168" s="265" t="str">
        <f>IFERROR(__xludf.DUMMYFUNCTION("""COMPUTED_VALUE"""),"Sài Gòn")</f>
        <v>Sài Gòn</v>
      </c>
      <c r="C168" s="265" t="str">
        <f>IFERROR(__xludf.DUMMYFUNCTION("""COMPUTED_VALUE"""),"Locked")</f>
        <v>Locked</v>
      </c>
      <c r="D168" s="265" t="str">
        <f>IFERROR(__xludf.DUMMYFUNCTION("""COMPUTED_VALUE"""),"Sale chưa cung cấp")</f>
        <v>Sale chưa cung cấp</v>
      </c>
      <c r="E168" s="265" t="str">
        <f>IFERROR(__xludf.DUMMYFUNCTION("""COMPUTED_VALUE"""),"HoaNTM")</f>
        <v>HoaNTM</v>
      </c>
      <c r="F168" s="265" t="str">
        <f>IFERROR(__xludf.DUMMYFUNCTION("""COMPUTED_VALUE"""),"Sale chưa cung cấp")</f>
        <v>Sale chưa cung cấp</v>
      </c>
      <c r="G168" s="265" t="str">
        <f>IFERROR(__xludf.DUMMYFUNCTION("""COMPUTED_VALUE"""),"Enterprise")</f>
        <v>Enterprise</v>
      </c>
      <c r="H168" s="265" t="str">
        <f>IFERROR(__xludf.DUMMYFUNCTION("""COMPUTED_VALUE"""),"Trial")</f>
        <v>Trial</v>
      </c>
      <c r="I168" s="265" t="str">
        <f>IFERROR(__xludf.DUMMYFUNCTION("""COMPUTED_VALUE"""),"(Không recheck)")</f>
        <v>(Không recheck)</v>
      </c>
      <c r="J168" s="265" t="str">
        <f>IFERROR(__xludf.DUMMYFUNCTION("""COMPUTED_VALUE"""),"(Không recheck)")</f>
        <v>(Không recheck)</v>
      </c>
      <c r="K168" s="265" t="str">
        <f>IFERROR(__xludf.DUMMYFUNCTION("""COMPUTED_VALUE"""),"(Không recheck)")</f>
        <v>(Không recheck)</v>
      </c>
    </row>
    <row r="169">
      <c r="A169" s="265" t="str">
        <f>IFERROR(__xludf.DUMMYFUNCTION("""COMPUTED_VALUE"""),"496")</f>
        <v>496</v>
      </c>
      <c r="B169" s="265" t="str">
        <f>IFERROR(__xludf.DUMMYFUNCTION("""COMPUTED_VALUE"""),"Hà Nội")</f>
        <v>Hà Nội</v>
      </c>
      <c r="C169" s="265" t="str">
        <f>IFERROR(__xludf.DUMMYFUNCTION("""COMPUTED_VALUE"""),"Locked")</f>
        <v>Locked</v>
      </c>
      <c r="D169" s="265" t="str">
        <f>IFERROR(__xludf.DUMMYFUNCTION("""COMPUTED_VALUE"""),"Sale chưa cung cấp")</f>
        <v>Sale chưa cung cấp</v>
      </c>
      <c r="E169" s="265" t="str">
        <f>IFERROR(__xludf.DUMMYFUNCTION("""COMPUTED_VALUE"""),"PhươngDTB")</f>
        <v>PhươngDTB</v>
      </c>
      <c r="F169" s="265" t="str">
        <f>IFERROR(__xludf.DUMMYFUNCTION("""COMPUTED_VALUE"""),"Sale chưa cung cấp")</f>
        <v>Sale chưa cung cấp</v>
      </c>
      <c r="G169" s="265" t="str">
        <f>IFERROR(__xludf.DUMMYFUNCTION("""COMPUTED_VALUE"""),"Enterprise")</f>
        <v>Enterprise</v>
      </c>
      <c r="H169" s="265" t="str">
        <f>IFERROR(__xludf.DUMMYFUNCTION("""COMPUTED_VALUE"""),"Trial")</f>
        <v>Trial</v>
      </c>
      <c r="I169" s="265" t="str">
        <f>IFERROR(__xludf.DUMMYFUNCTION("""COMPUTED_VALUE"""),"(Không recheck)")</f>
        <v>(Không recheck)</v>
      </c>
      <c r="J169" s="265" t="str">
        <f>IFERROR(__xludf.DUMMYFUNCTION("""COMPUTED_VALUE"""),"(Không recheck)")</f>
        <v>(Không recheck)</v>
      </c>
      <c r="K169" s="265" t="str">
        <f>IFERROR(__xludf.DUMMYFUNCTION("""COMPUTED_VALUE"""),"(Không recheck)")</f>
        <v>(Không recheck)</v>
      </c>
    </row>
    <row r="170">
      <c r="A170" s="265" t="str">
        <f>IFERROR(__xludf.DUMMYFUNCTION("""COMPUTED_VALUE"""),"495")</f>
        <v>495</v>
      </c>
      <c r="B170" s="265" t="str">
        <f>IFERROR(__xludf.DUMMYFUNCTION("""COMPUTED_VALUE"""),"Sài Gòn")</f>
        <v>Sài Gòn</v>
      </c>
      <c r="C170" s="265" t="str">
        <f>IFERROR(__xludf.DUMMYFUNCTION("""COMPUTED_VALUE"""),"Active")</f>
        <v>Active</v>
      </c>
      <c r="D170" s="265" t="str">
        <f>IFERROR(__xludf.DUMMYFUNCTION("""COMPUTED_VALUE"""),"Sale chưa cung cấp")</f>
        <v>Sale chưa cung cấp</v>
      </c>
      <c r="E170" s="265" t="str">
        <f>IFERROR(__xludf.DUMMYFUNCTION("""COMPUTED_VALUE"""),"TùngLD")</f>
        <v>TùngLD</v>
      </c>
      <c r="F170" s="265" t="str">
        <f>IFERROR(__xludf.DUMMYFUNCTION("""COMPUTED_VALUE"""),"Diamond")</f>
        <v>Diamond</v>
      </c>
      <c r="G170" s="265" t="str">
        <f>IFERROR(__xludf.DUMMYFUNCTION("""COMPUTED_VALUE"""),"Enterprise")</f>
        <v>Enterprise</v>
      </c>
      <c r="H170" s="265" t="str">
        <f>IFERROR(__xludf.DUMMYFUNCTION("""COMPUTED_VALUE"""),"Trả sau")</f>
        <v>Trả sau</v>
      </c>
      <c r="I170" s="265" t="str">
        <f>IFERROR(__xludf.DUMMYFUNCTION("""COMPUTED_VALUE"""),"API &amp; Portal")</f>
        <v>API &amp; Portal</v>
      </c>
      <c r="J170" s="265" t="str">
        <f>IFERROR(__xludf.DUMMYFUNCTION("""COMPUTED_VALUE"""),"File Excel")</f>
        <v>File Excel</v>
      </c>
      <c r="K170" s="265" t="str">
        <f>IFERROR(__xludf.DUMMYFUNCTION("""COMPUTED_VALUE"""),"LinhNTT1")</f>
        <v>LinhNTT1</v>
      </c>
    </row>
    <row r="171">
      <c r="A171" s="265" t="str">
        <f>IFERROR(__xludf.DUMMYFUNCTION("""COMPUTED_VALUE"""),"495")</f>
        <v>495</v>
      </c>
      <c r="B171" s="265" t="str">
        <f>IFERROR(__xludf.DUMMYFUNCTION("""COMPUTED_VALUE"""),"Sài Gòn")</f>
        <v>Sài Gòn</v>
      </c>
      <c r="C171" s="265" t="str">
        <f>IFERROR(__xludf.DUMMYFUNCTION("""COMPUTED_VALUE"""),"Active")</f>
        <v>Active</v>
      </c>
      <c r="D171" s="265" t="str">
        <f>IFERROR(__xludf.DUMMYFUNCTION("""COMPUTED_VALUE"""),"Sale chưa cung cấp")</f>
        <v>Sale chưa cung cấp</v>
      </c>
      <c r="E171" s="265" t="str">
        <f>IFERROR(__xludf.DUMMYFUNCTION("""COMPUTED_VALUE"""),"TùngLD")</f>
        <v>TùngLD</v>
      </c>
      <c r="F171" s="265" t="str">
        <f>IFERROR(__xludf.DUMMYFUNCTION("""COMPUTED_VALUE"""),"Diamond")</f>
        <v>Diamond</v>
      </c>
      <c r="G171" s="265" t="str">
        <f>IFERROR(__xludf.DUMMYFUNCTION("""COMPUTED_VALUE"""),"Enterprise")</f>
        <v>Enterprise</v>
      </c>
      <c r="H171" s="265" t="str">
        <f>IFERROR(__xludf.DUMMYFUNCTION("""COMPUTED_VALUE"""),"Trả sau")</f>
        <v>Trả sau</v>
      </c>
      <c r="I171" s="265" t="str">
        <f>IFERROR(__xludf.DUMMYFUNCTION("""COMPUTED_VALUE"""),"API &amp; Portal")</f>
        <v>API &amp; Portal</v>
      </c>
      <c r="J171" s="265" t="str">
        <f>IFERROR(__xludf.DUMMYFUNCTION("""COMPUTED_VALUE"""),"API")</f>
        <v>API</v>
      </c>
      <c r="K171" s="265" t="str">
        <f>IFERROR(__xludf.DUMMYFUNCTION("""COMPUTED_VALUE"""),"LinhNTT1")</f>
        <v>LinhNTT1</v>
      </c>
    </row>
    <row r="172">
      <c r="A172" s="265" t="str">
        <f>IFERROR(__xludf.DUMMYFUNCTION("""COMPUTED_VALUE"""),"497")</f>
        <v>497</v>
      </c>
      <c r="B172" s="265" t="str">
        <f>IFERROR(__xludf.DUMMYFUNCTION("""COMPUTED_VALUE"""),"Sài Gòn")</f>
        <v>Sài Gòn</v>
      </c>
      <c r="C172" s="265" t="str">
        <f>IFERROR(__xludf.DUMMYFUNCTION("""COMPUTED_VALUE"""),"Locked")</f>
        <v>Locked</v>
      </c>
      <c r="D172" s="265" t="str">
        <f>IFERROR(__xludf.DUMMYFUNCTION("""COMPUTED_VALUE"""),"Sale chưa cung cấp")</f>
        <v>Sale chưa cung cấp</v>
      </c>
      <c r="E172" s="265" t="str">
        <f>IFERROR(__xludf.DUMMYFUNCTION("""COMPUTED_VALUE"""),"HoaNTM")</f>
        <v>HoaNTM</v>
      </c>
      <c r="F172" s="265" t="str">
        <f>IFERROR(__xludf.DUMMYFUNCTION("""COMPUTED_VALUE"""),"Sale chưa cung cấp")</f>
        <v>Sale chưa cung cấp</v>
      </c>
      <c r="G172" s="265" t="str">
        <f>IFERROR(__xludf.DUMMYFUNCTION("""COMPUTED_VALUE"""),"Enterprise")</f>
        <v>Enterprise</v>
      </c>
      <c r="H172" s="265" t="str">
        <f>IFERROR(__xludf.DUMMYFUNCTION("""COMPUTED_VALUE"""),"Trial")</f>
        <v>Trial</v>
      </c>
      <c r="I172" s="265" t="str">
        <f>IFERROR(__xludf.DUMMYFUNCTION("""COMPUTED_VALUE"""),"(Không recheck)")</f>
        <v>(Không recheck)</v>
      </c>
      <c r="J172" s="265" t="str">
        <f>IFERROR(__xludf.DUMMYFUNCTION("""COMPUTED_VALUE"""),"(Không recheck)")</f>
        <v>(Không recheck)</v>
      </c>
      <c r="K172" s="265" t="str">
        <f>IFERROR(__xludf.DUMMYFUNCTION("""COMPUTED_VALUE"""),"(Không recheck)")</f>
        <v>(Không recheck)</v>
      </c>
    </row>
    <row r="173">
      <c r="A173" s="265" t="str">
        <f>IFERROR(__xludf.DUMMYFUNCTION("""COMPUTED_VALUE"""),"499")</f>
        <v>499</v>
      </c>
      <c r="B173" s="265" t="str">
        <f>IFERROR(__xludf.DUMMYFUNCTION("""COMPUTED_VALUE"""),"Hà Nội")</f>
        <v>Hà Nội</v>
      </c>
      <c r="C173" s="265" t="str">
        <f>IFERROR(__xludf.DUMMYFUNCTION("""COMPUTED_VALUE"""),"Locked")</f>
        <v>Locked</v>
      </c>
      <c r="D173" s="265" t="str">
        <f>IFERROR(__xludf.DUMMYFUNCTION("""COMPUTED_VALUE"""),"Sale chưa cung cấp")</f>
        <v>Sale chưa cung cấp</v>
      </c>
      <c r="E173" s="265" t="str">
        <f>IFERROR(__xludf.DUMMYFUNCTION("""COMPUTED_VALUE"""),"(Không recheck)")</f>
        <v>(Không recheck)</v>
      </c>
      <c r="F173" s="265" t="str">
        <f>IFERROR(__xludf.DUMMYFUNCTION("""COMPUTED_VALUE"""),"Sale chưa cung cấp")</f>
        <v>Sale chưa cung cấp</v>
      </c>
      <c r="G173" s="265" t="str">
        <f>IFERROR(__xludf.DUMMYFUNCTION("""COMPUTED_VALUE"""),"API")</f>
        <v>API</v>
      </c>
      <c r="H173" s="265" t="str">
        <f>IFERROR(__xludf.DUMMYFUNCTION("""COMPUTED_VALUE"""),"Trial")</f>
        <v>Trial</v>
      </c>
      <c r="I173" s="265" t="str">
        <f>IFERROR(__xludf.DUMMYFUNCTION("""COMPUTED_VALUE"""),"(Không recheck)")</f>
        <v>(Không recheck)</v>
      </c>
      <c r="J173" s="265" t="str">
        <f>IFERROR(__xludf.DUMMYFUNCTION("""COMPUTED_VALUE"""),"(Không recheck)")</f>
        <v>(Không recheck)</v>
      </c>
      <c r="K173" s="265" t="str">
        <f>IFERROR(__xludf.DUMMYFUNCTION("""COMPUTED_VALUE"""),"AnhNM")</f>
        <v>AnhNM</v>
      </c>
    </row>
    <row r="174">
      <c r="A174" s="265" t="str">
        <f>IFERROR(__xludf.DUMMYFUNCTION("""COMPUTED_VALUE"""),"500")</f>
        <v>500</v>
      </c>
      <c r="B174" s="265" t="str">
        <f>IFERROR(__xludf.DUMMYFUNCTION("""COMPUTED_VALUE"""),"Hà Nội")</f>
        <v>Hà Nội</v>
      </c>
      <c r="C174" s="265" t="str">
        <f>IFERROR(__xludf.DUMMYFUNCTION("""COMPUTED_VALUE"""),"Locked")</f>
        <v>Locked</v>
      </c>
      <c r="D174" s="265" t="str">
        <f>IFERROR(__xludf.DUMMYFUNCTION("""COMPUTED_VALUE"""),"Sale chưa cung cấp")</f>
        <v>Sale chưa cung cấp</v>
      </c>
      <c r="E174" s="265" t="str">
        <f>IFERROR(__xludf.DUMMYFUNCTION("""COMPUTED_VALUE"""),"AnhNM")</f>
        <v>AnhNM</v>
      </c>
      <c r="F174" s="265" t="str">
        <f>IFERROR(__xludf.DUMMYFUNCTION("""COMPUTED_VALUE"""),"Gold")</f>
        <v>Gold</v>
      </c>
      <c r="G174" s="265" t="str">
        <f>IFERROR(__xludf.DUMMYFUNCTION("""COMPUTED_VALUE"""),"Enterprise")</f>
        <v>Enterprise</v>
      </c>
      <c r="H174" s="265" t="str">
        <f>IFERROR(__xludf.DUMMYFUNCTION("""COMPUTED_VALUE"""),"Trả trước")</f>
        <v>Trả trước</v>
      </c>
      <c r="I174" s="265" t="str">
        <f>IFERROR(__xludf.DUMMYFUNCTION("""COMPUTED_VALUE"""),"API")</f>
        <v>API</v>
      </c>
      <c r="J174" s="265" t="str">
        <f>IFERROR(__xludf.DUMMYFUNCTION("""COMPUTED_VALUE"""),"HubSpot")</f>
        <v>HubSpot</v>
      </c>
      <c r="K174" s="265" t="str">
        <f>IFERROR(__xludf.DUMMYFUNCTION("""COMPUTED_VALUE"""),"LinhNTT1")</f>
        <v>LinhNTT1</v>
      </c>
    </row>
    <row r="175">
      <c r="A175" s="265" t="str">
        <f>IFERROR(__xludf.DUMMYFUNCTION("""COMPUTED_VALUE"""),"501")</f>
        <v>501</v>
      </c>
      <c r="B175" s="265" t="str">
        <f>IFERROR(__xludf.DUMMYFUNCTION("""COMPUTED_VALUE"""),"Hà Nội")</f>
        <v>Hà Nội</v>
      </c>
      <c r="C175" s="265" t="str">
        <f>IFERROR(__xludf.DUMMYFUNCTION("""COMPUTED_VALUE"""),"Locked")</f>
        <v>Locked</v>
      </c>
      <c r="D175" s="265" t="str">
        <f>IFERROR(__xludf.DUMMYFUNCTION("""COMPUTED_VALUE"""),"Sale chưa cung cấp")</f>
        <v>Sale chưa cung cấp</v>
      </c>
      <c r="E175" s="265" t="str">
        <f>IFERROR(__xludf.DUMMYFUNCTION("""COMPUTED_VALUE"""),"PhươngDTB")</f>
        <v>PhươngDTB</v>
      </c>
      <c r="F175" s="265" t="str">
        <f>IFERROR(__xludf.DUMMYFUNCTION("""COMPUTED_VALUE"""),"Bronze")</f>
        <v>Bronze</v>
      </c>
      <c r="G175" s="265" t="str">
        <f>IFERROR(__xludf.DUMMYFUNCTION("""COMPUTED_VALUE"""),"Enterprise")</f>
        <v>Enterprise</v>
      </c>
      <c r="H175" s="265" t="str">
        <f>IFERROR(__xludf.DUMMYFUNCTION("""COMPUTED_VALUE"""),"(Chưa recheck)")</f>
        <v>(Chưa recheck)</v>
      </c>
      <c r="I175" s="265" t="str">
        <f>IFERROR(__xludf.DUMMYFUNCTION("""COMPUTED_VALUE"""),"(Chưa recheck)")</f>
        <v>(Chưa recheck)</v>
      </c>
      <c r="J175" s="265" t="str">
        <f>IFERROR(__xludf.DUMMYFUNCTION("""COMPUTED_VALUE"""),"Kiotviet")</f>
        <v>Kiotviet</v>
      </c>
      <c r="K175" s="265" t="str">
        <f>IFERROR(__xludf.DUMMYFUNCTION("""COMPUTED_VALUE"""),"(Chưa recheck)")</f>
        <v>(Chưa recheck)</v>
      </c>
    </row>
    <row r="176">
      <c r="A176" s="265" t="str">
        <f>IFERROR(__xludf.DUMMYFUNCTION("""COMPUTED_VALUE"""),"504")</f>
        <v>504</v>
      </c>
      <c r="B176" s="265" t="str">
        <f>IFERROR(__xludf.DUMMYFUNCTION("""COMPUTED_VALUE"""),"Hà Nội")</f>
        <v>Hà Nội</v>
      </c>
      <c r="C176" s="265" t="str">
        <f>IFERROR(__xludf.DUMMYFUNCTION("""COMPUTED_VALUE"""),"Locked")</f>
        <v>Locked</v>
      </c>
      <c r="D176" s="265" t="str">
        <f>IFERROR(__xludf.DUMMYFUNCTION("""COMPUTED_VALUE"""),"Sale chưa cung cấp")</f>
        <v>Sale chưa cung cấp</v>
      </c>
      <c r="E176" s="265" t="str">
        <f>IFERROR(__xludf.DUMMYFUNCTION("""COMPUTED_VALUE"""),"NamDT")</f>
        <v>NamDT</v>
      </c>
      <c r="F176" s="265" t="str">
        <f>IFERROR(__xludf.DUMMYFUNCTION("""COMPUTED_VALUE"""),"Sale chưa cung cấp")</f>
        <v>Sale chưa cung cấp</v>
      </c>
      <c r="G176" s="265" t="str">
        <f>IFERROR(__xludf.DUMMYFUNCTION("""COMPUTED_VALUE"""),"MSG")</f>
        <v>MSG</v>
      </c>
      <c r="H176" s="265" t="str">
        <f>IFERROR(__xludf.DUMMYFUNCTION("""COMPUTED_VALUE"""),"(Chưa recheck)")</f>
        <v>(Chưa recheck)</v>
      </c>
      <c r="I176" s="265" t="str">
        <f>IFERROR(__xludf.DUMMYFUNCTION("""COMPUTED_VALUE"""),"(Chưa recheck)")</f>
        <v>(Chưa recheck)</v>
      </c>
      <c r="J176" s="265" t="str">
        <f>IFERROR(__xludf.DUMMYFUNCTION("""COMPUTED_VALUE"""),"File Excel")</f>
        <v>File Excel</v>
      </c>
      <c r="K176" s="265" t="str">
        <f>IFERROR(__xludf.DUMMYFUNCTION("""COMPUTED_VALUE"""),"(Chưa recheck)")</f>
        <v>(Chưa recheck)</v>
      </c>
    </row>
    <row r="177">
      <c r="A177" s="265" t="str">
        <f>IFERROR(__xludf.DUMMYFUNCTION("""COMPUTED_VALUE"""),"506")</f>
        <v>506</v>
      </c>
      <c r="B177" s="265" t="str">
        <f>IFERROR(__xludf.DUMMYFUNCTION("""COMPUTED_VALUE"""),"Sài Gòn")</f>
        <v>Sài Gòn</v>
      </c>
      <c r="C177" s="265" t="str">
        <f>IFERROR(__xludf.DUMMYFUNCTION("""COMPUTED_VALUE"""),"Locked")</f>
        <v>Locked</v>
      </c>
      <c r="D177" s="265" t="str">
        <f>IFERROR(__xludf.DUMMYFUNCTION("""COMPUTED_VALUE"""),"Sale chưa cung cấp")</f>
        <v>Sale chưa cung cấp</v>
      </c>
      <c r="E177" s="265" t="str">
        <f>IFERROR(__xludf.DUMMYFUNCTION("""COMPUTED_VALUE"""),"HoaNTM")</f>
        <v>HoaNTM</v>
      </c>
      <c r="F177" s="265" t="str">
        <f>IFERROR(__xludf.DUMMYFUNCTION("""COMPUTED_VALUE"""),"Bronze")</f>
        <v>Bronze</v>
      </c>
      <c r="G177" s="265" t="str">
        <f>IFERROR(__xludf.DUMMYFUNCTION("""COMPUTED_VALUE"""),"Enterprise")</f>
        <v>Enterprise</v>
      </c>
      <c r="H177" s="265" t="str">
        <f>IFERROR(__xludf.DUMMYFUNCTION("""COMPUTED_VALUE"""),"(Chưa recheck)")</f>
        <v>(Chưa recheck)</v>
      </c>
      <c r="I177" s="265" t="str">
        <f>IFERROR(__xludf.DUMMYFUNCTION("""COMPUTED_VALUE"""),"(Chưa recheck)")</f>
        <v>(Chưa recheck)</v>
      </c>
      <c r="J177" s="265" t="str">
        <f>IFERROR(__xludf.DUMMYFUNCTION("""COMPUTED_VALUE"""),"(Chưa recheck)")</f>
        <v>(Chưa recheck)</v>
      </c>
      <c r="K177" s="265" t="str">
        <f>IFERROR(__xludf.DUMMYFUNCTION("""COMPUTED_VALUE"""),"AnhNM")</f>
        <v>AnhNM</v>
      </c>
    </row>
    <row r="178">
      <c r="A178" s="265" t="str">
        <f>IFERROR(__xludf.DUMMYFUNCTION("""COMPUTED_VALUE"""),"505")</f>
        <v>505</v>
      </c>
      <c r="B178" s="265" t="str">
        <f>IFERROR(__xludf.DUMMYFUNCTION("""COMPUTED_VALUE"""),"Sài Gòn")</f>
        <v>Sài Gòn</v>
      </c>
      <c r="C178" s="265" t="str">
        <f>IFERROR(__xludf.DUMMYFUNCTION("""COMPUTED_VALUE"""),"Locked")</f>
        <v>Locked</v>
      </c>
      <c r="D178" s="265" t="str">
        <f>IFERROR(__xludf.DUMMYFUNCTION("""COMPUTED_VALUE"""),"Sale chưa cung cấp")</f>
        <v>Sale chưa cung cấp</v>
      </c>
      <c r="E178" s="265" t="str">
        <f>IFERROR(__xludf.DUMMYFUNCTION("""COMPUTED_VALUE"""),"HoaNTM")</f>
        <v>HoaNTM</v>
      </c>
      <c r="F178" s="265" t="str">
        <f>IFERROR(__xludf.DUMMYFUNCTION("""COMPUTED_VALUE"""),"Sale chưa cung cấp")</f>
        <v>Sale chưa cung cấp</v>
      </c>
      <c r="G178" s="265" t="str">
        <f>IFERROR(__xludf.DUMMYFUNCTION("""COMPUTED_VALUE"""),"Enterprise")</f>
        <v>Enterprise</v>
      </c>
      <c r="H178" s="265" t="str">
        <f>IFERROR(__xludf.DUMMYFUNCTION("""COMPUTED_VALUE"""),"Trial")</f>
        <v>Trial</v>
      </c>
      <c r="I178" s="265" t="str">
        <f>IFERROR(__xludf.DUMMYFUNCTION("""COMPUTED_VALUE"""),"(Không recheck)")</f>
        <v>(Không recheck)</v>
      </c>
      <c r="J178" s="265" t="str">
        <f>IFERROR(__xludf.DUMMYFUNCTION("""COMPUTED_VALUE"""),"(Không recheck)")</f>
        <v>(Không recheck)</v>
      </c>
      <c r="K178" s="265" t="str">
        <f>IFERROR(__xludf.DUMMYFUNCTION("""COMPUTED_VALUE"""),"AnhNM")</f>
        <v>AnhNM</v>
      </c>
    </row>
    <row r="179">
      <c r="A179" s="265" t="str">
        <f>IFERROR(__xludf.DUMMYFUNCTION("""COMPUTED_VALUE"""),"507")</f>
        <v>507</v>
      </c>
      <c r="B179" s="265" t="str">
        <f>IFERROR(__xludf.DUMMYFUNCTION("""COMPUTED_VALUE"""),"Sài Gòn")</f>
        <v>Sài Gòn</v>
      </c>
      <c r="C179" s="265" t="str">
        <f>IFERROR(__xludf.DUMMYFUNCTION("""COMPUTED_VALUE"""),"Locked")</f>
        <v>Locked</v>
      </c>
      <c r="D179" s="265" t="str">
        <f>IFERROR(__xludf.DUMMYFUNCTION("""COMPUTED_VALUE"""),"Sale chưa cung cấp")</f>
        <v>Sale chưa cung cấp</v>
      </c>
      <c r="E179" s="265" t="str">
        <f>IFERROR(__xludf.DUMMYFUNCTION("""COMPUTED_VALUE"""),"HoaNTM")</f>
        <v>HoaNTM</v>
      </c>
      <c r="F179" s="265" t="str">
        <f>IFERROR(__xludf.DUMMYFUNCTION("""COMPUTED_VALUE"""),"Sale chưa cung cấp")</f>
        <v>Sale chưa cung cấp</v>
      </c>
      <c r="G179" s="265" t="str">
        <f>IFERROR(__xludf.DUMMYFUNCTION("""COMPUTED_VALUE"""),"MSG")</f>
        <v>MSG</v>
      </c>
      <c r="H179" s="265" t="str">
        <f>IFERROR(__xludf.DUMMYFUNCTION("""COMPUTED_VALUE"""),"(Chưa recheck)")</f>
        <v>(Chưa recheck)</v>
      </c>
      <c r="I179" s="265" t="str">
        <f>IFERROR(__xludf.DUMMYFUNCTION("""COMPUTED_VALUE"""),"(Chưa recheck)")</f>
        <v>(Chưa recheck)</v>
      </c>
      <c r="J179" s="265" t="str">
        <f>IFERROR(__xludf.DUMMYFUNCTION("""COMPUTED_VALUE"""),"(Chưa recheck)")</f>
        <v>(Chưa recheck)</v>
      </c>
      <c r="K179" s="265" t="str">
        <f>IFERROR(__xludf.DUMMYFUNCTION("""COMPUTED_VALUE"""),"AnhNM")</f>
        <v>AnhNM</v>
      </c>
    </row>
    <row r="180">
      <c r="A180" s="265" t="str">
        <f>IFERROR(__xludf.DUMMYFUNCTION("""COMPUTED_VALUE"""),"None 5")</f>
        <v>None 5</v>
      </c>
      <c r="B180" s="265" t="str">
        <f>IFERROR(__xludf.DUMMYFUNCTION("""COMPUTED_VALUE"""),"Hà Nội")</f>
        <v>Hà Nội</v>
      </c>
      <c r="C180" s="265" t="str">
        <f>IFERROR(__xludf.DUMMYFUNCTION("""COMPUTED_VALUE"""),"Locked")</f>
        <v>Locked</v>
      </c>
      <c r="D180" s="265" t="str">
        <f>IFERROR(__xludf.DUMMYFUNCTION("""COMPUTED_VALUE"""),"Sale chưa cung cấp")</f>
        <v>Sale chưa cung cấp</v>
      </c>
      <c r="E180" s="265" t="str">
        <f>IFERROR(__xludf.DUMMYFUNCTION("""COMPUTED_VALUE"""),"Không phân công")</f>
        <v>Không phân công</v>
      </c>
      <c r="F180" s="265" t="str">
        <f>IFERROR(__xludf.DUMMYFUNCTION("""COMPUTED_VALUE"""),"Sale chưa cung cấp")</f>
        <v>Sale chưa cung cấp</v>
      </c>
      <c r="G180" s="265" t="str">
        <f>IFERROR(__xludf.DUMMYFUNCTION("""COMPUTED_VALUE"""),"API")</f>
        <v>API</v>
      </c>
      <c r="H180" s="265" t="str">
        <f>IFERROR(__xludf.DUMMYFUNCTION("""COMPUTED_VALUE"""),"(Chưa recheck)")</f>
        <v>(Chưa recheck)</v>
      </c>
      <c r="I180" s="265" t="str">
        <f>IFERROR(__xludf.DUMMYFUNCTION("""COMPUTED_VALUE"""),"(Chưa recheck)")</f>
        <v>(Chưa recheck)</v>
      </c>
      <c r="J180" s="265" t="str">
        <f>IFERROR(__xludf.DUMMYFUNCTION("""COMPUTED_VALUE"""),"API")</f>
        <v>API</v>
      </c>
      <c r="K180" s="265" t="str">
        <f>IFERROR(__xludf.DUMMYFUNCTION("""COMPUTED_VALUE"""),"AnhNM")</f>
        <v>AnhNM</v>
      </c>
    </row>
    <row r="181">
      <c r="A181" s="265" t="str">
        <f>IFERROR(__xludf.DUMMYFUNCTION("""COMPUTED_VALUE"""),"508")</f>
        <v>508</v>
      </c>
      <c r="B181" s="265" t="str">
        <f>IFERROR(__xludf.DUMMYFUNCTION("""COMPUTED_VALUE"""),"Sài Gòn")</f>
        <v>Sài Gòn</v>
      </c>
      <c r="C181" s="265" t="str">
        <f>IFERROR(__xludf.DUMMYFUNCTION("""COMPUTED_VALUE"""),"Locked")</f>
        <v>Locked</v>
      </c>
      <c r="D181" s="265" t="str">
        <f>IFERROR(__xludf.DUMMYFUNCTION("""COMPUTED_VALUE"""),"Sale chưa cung cấp")</f>
        <v>Sale chưa cung cấp</v>
      </c>
      <c r="E181" s="265" t="str">
        <f>IFERROR(__xludf.DUMMYFUNCTION("""COMPUTED_VALUE"""),"HoaNTM")</f>
        <v>HoaNTM</v>
      </c>
      <c r="F181" s="265" t="str">
        <f>IFERROR(__xludf.DUMMYFUNCTION("""COMPUTED_VALUE"""),"Bronze")</f>
        <v>Bronze</v>
      </c>
      <c r="G181" s="265" t="str">
        <f>IFERROR(__xludf.DUMMYFUNCTION("""COMPUTED_VALUE"""),"MSG")</f>
        <v>MSG</v>
      </c>
      <c r="H181" s="265" t="str">
        <f>IFERROR(__xludf.DUMMYFUNCTION("""COMPUTED_VALUE"""),"(Chưa recheck)")</f>
        <v>(Chưa recheck)</v>
      </c>
      <c r="I181" s="265" t="str">
        <f>IFERROR(__xludf.DUMMYFUNCTION("""COMPUTED_VALUE"""),"(Chưa recheck)")</f>
        <v>(Chưa recheck)</v>
      </c>
      <c r="J181" s="265" t="str">
        <f>IFERROR(__xludf.DUMMYFUNCTION("""COMPUTED_VALUE"""),"(Chưa recheck)")</f>
        <v>(Chưa recheck)</v>
      </c>
      <c r="K181" s="265" t="str">
        <f>IFERROR(__xludf.DUMMYFUNCTION("""COMPUTED_VALUE"""),"AnhNM")</f>
        <v>AnhNM</v>
      </c>
    </row>
    <row r="182">
      <c r="A182" s="265" t="str">
        <f>IFERROR(__xludf.DUMMYFUNCTION("""COMPUTED_VALUE"""),"509")</f>
        <v>509</v>
      </c>
      <c r="B182" s="265" t="str">
        <f>IFERROR(__xludf.DUMMYFUNCTION("""COMPUTED_VALUE"""),"Sài Gòn")</f>
        <v>Sài Gòn</v>
      </c>
      <c r="C182" s="265" t="str">
        <f>IFERROR(__xludf.DUMMYFUNCTION("""COMPUTED_VALUE"""),"Locked")</f>
        <v>Locked</v>
      </c>
      <c r="D182" s="265" t="str">
        <f>IFERROR(__xludf.DUMMYFUNCTION("""COMPUTED_VALUE"""),"Sale chưa cung cấp")</f>
        <v>Sale chưa cung cấp</v>
      </c>
      <c r="E182" s="265" t="str">
        <f>IFERROR(__xludf.DUMMYFUNCTION("""COMPUTED_VALUE"""),"HoaNTM")</f>
        <v>HoaNTM</v>
      </c>
      <c r="F182" s="265" t="str">
        <f>IFERROR(__xludf.DUMMYFUNCTION("""COMPUTED_VALUE"""),"Sale chưa cung cấp")</f>
        <v>Sale chưa cung cấp</v>
      </c>
      <c r="G182" s="265" t="str">
        <f>IFERROR(__xludf.DUMMYFUNCTION("""COMPUTED_VALUE"""),"Enterprise")</f>
        <v>Enterprise</v>
      </c>
      <c r="H182" s="265" t="str">
        <f>IFERROR(__xludf.DUMMYFUNCTION("""COMPUTED_VALUE"""),"Trả sau")</f>
        <v>Trả sau</v>
      </c>
      <c r="I182" s="265" t="str">
        <f>IFERROR(__xludf.DUMMYFUNCTION("""COMPUTED_VALUE"""),"(Chưa recheck)")</f>
        <v>(Chưa recheck)</v>
      </c>
      <c r="J182" s="265" t="str">
        <f>IFERROR(__xludf.DUMMYFUNCTION("""COMPUTED_VALUE"""),"(Chưa recheck)")</f>
        <v>(Chưa recheck)</v>
      </c>
      <c r="K182" s="265" t="str">
        <f>IFERROR(__xludf.DUMMYFUNCTION("""COMPUTED_VALUE"""),"(Chưa recheck)")</f>
        <v>(Chưa recheck)</v>
      </c>
    </row>
    <row r="183">
      <c r="A183" s="265" t="str">
        <f>IFERROR(__xludf.DUMMYFUNCTION("""COMPUTED_VALUE"""),"510")</f>
        <v>510</v>
      </c>
      <c r="B183" s="265" t="str">
        <f>IFERROR(__xludf.DUMMYFUNCTION("""COMPUTED_VALUE"""),"Sài Gòn")</f>
        <v>Sài Gòn</v>
      </c>
      <c r="C183" s="265" t="str">
        <f>IFERROR(__xludf.DUMMYFUNCTION("""COMPUTED_VALUE"""),"Locked")</f>
        <v>Locked</v>
      </c>
      <c r="D183" s="265" t="str">
        <f>IFERROR(__xludf.DUMMYFUNCTION("""COMPUTED_VALUE"""),"Sale chưa cung cấp")</f>
        <v>Sale chưa cung cấp</v>
      </c>
      <c r="E183" s="265" t="str">
        <f>IFERROR(__xludf.DUMMYFUNCTION("""COMPUTED_VALUE"""),"Không phân công")</f>
        <v>Không phân công</v>
      </c>
      <c r="F183" s="265" t="str">
        <f>IFERROR(__xludf.DUMMYFUNCTION("""COMPUTED_VALUE"""),"Sale chưa cung cấp")</f>
        <v>Sale chưa cung cấp</v>
      </c>
      <c r="G183" s="265" t="str">
        <f>IFERROR(__xludf.DUMMYFUNCTION("""COMPUTED_VALUE"""),"Starter")</f>
        <v>Starter</v>
      </c>
      <c r="H183" s="265" t="str">
        <f>IFERROR(__xludf.DUMMYFUNCTION("""COMPUTED_VALUE"""),"Trả sau")</f>
        <v>Trả sau</v>
      </c>
      <c r="I183" s="265" t="str">
        <f>IFERROR(__xludf.DUMMYFUNCTION("""COMPUTED_VALUE"""),"API")</f>
        <v>API</v>
      </c>
      <c r="J183" s="265" t="str">
        <f>IFERROR(__xludf.DUMMYFUNCTION("""COMPUTED_VALUE"""),"API")</f>
        <v>API</v>
      </c>
      <c r="K183" s="265" t="str">
        <f>IFERROR(__xludf.DUMMYFUNCTION("""COMPUTED_VALUE"""),"LinhNTT1")</f>
        <v>LinhNTT1</v>
      </c>
    </row>
    <row r="184">
      <c r="A184" s="265" t="str">
        <f>IFERROR(__xludf.DUMMYFUNCTION("""COMPUTED_VALUE"""),"511")</f>
        <v>511</v>
      </c>
      <c r="B184" s="265" t="str">
        <f>IFERROR(__xludf.DUMMYFUNCTION("""COMPUTED_VALUE"""),"Hà Nội")</f>
        <v>Hà Nội</v>
      </c>
      <c r="C184" s="265" t="str">
        <f>IFERROR(__xludf.DUMMYFUNCTION("""COMPUTED_VALUE"""),"Locked")</f>
        <v>Locked</v>
      </c>
      <c r="D184" s="265" t="str">
        <f>IFERROR(__xludf.DUMMYFUNCTION("""COMPUTED_VALUE"""),"Sale chưa cung cấp")</f>
        <v>Sale chưa cung cấp</v>
      </c>
      <c r="E184" s="265" t="str">
        <f>IFERROR(__xludf.DUMMYFUNCTION("""COMPUTED_VALUE"""),"PhươngDTB")</f>
        <v>PhươngDTB</v>
      </c>
      <c r="F184" s="265" t="str">
        <f>IFERROR(__xludf.DUMMYFUNCTION("""COMPUTED_VALUE"""),"Sale chưa cung cấp")</f>
        <v>Sale chưa cung cấp</v>
      </c>
      <c r="G184" s="265" t="str">
        <f>IFERROR(__xludf.DUMMYFUNCTION("""COMPUTED_VALUE"""),"MSG")</f>
        <v>MSG</v>
      </c>
      <c r="H184" s="265" t="str">
        <f>IFERROR(__xludf.DUMMYFUNCTION("""COMPUTED_VALUE"""),"Trả sau")</f>
        <v>Trả sau</v>
      </c>
      <c r="I184" s="265" t="str">
        <f>IFERROR(__xludf.DUMMYFUNCTION("""COMPUTED_VALUE"""),"(Chưa recheck)")</f>
        <v>(Chưa recheck)</v>
      </c>
      <c r="J184" s="265" t="str">
        <f>IFERROR(__xludf.DUMMYFUNCTION("""COMPUTED_VALUE"""),"File Excel")</f>
        <v>File Excel</v>
      </c>
      <c r="K184" s="265" t="str">
        <f>IFERROR(__xludf.DUMMYFUNCTION("""COMPUTED_VALUE"""),"AnhNM")</f>
        <v>AnhNM</v>
      </c>
    </row>
    <row r="185">
      <c r="A185" s="265" t="str">
        <f>IFERROR(__xludf.DUMMYFUNCTION("""COMPUTED_VALUE"""),"512")</f>
        <v>512</v>
      </c>
      <c r="B185" s="265" t="str">
        <f>IFERROR(__xludf.DUMMYFUNCTION("""COMPUTED_VALUE"""),"Sài Gòn")</f>
        <v>Sài Gòn</v>
      </c>
      <c r="C185" s="265" t="str">
        <f>IFERROR(__xludf.DUMMYFUNCTION("""COMPUTED_VALUE"""),"Locked")</f>
        <v>Locked</v>
      </c>
      <c r="D185" s="265" t="str">
        <f>IFERROR(__xludf.DUMMYFUNCTION("""COMPUTED_VALUE"""),"Sale chưa cung cấp")</f>
        <v>Sale chưa cung cấp</v>
      </c>
      <c r="E185" s="265" t="str">
        <f>IFERROR(__xludf.DUMMYFUNCTION("""COMPUTED_VALUE"""),"HoaNTM")</f>
        <v>HoaNTM</v>
      </c>
      <c r="F185" s="265" t="str">
        <f>IFERROR(__xludf.DUMMYFUNCTION("""COMPUTED_VALUE"""),"Sale chưa cung cấp")</f>
        <v>Sale chưa cung cấp</v>
      </c>
      <c r="G185" s="265" t="str">
        <f>IFERROR(__xludf.DUMMYFUNCTION("""COMPUTED_VALUE"""),"API")</f>
        <v>API</v>
      </c>
      <c r="H185" s="265" t="str">
        <f>IFERROR(__xludf.DUMMYFUNCTION("""COMPUTED_VALUE"""),"Trial")</f>
        <v>Trial</v>
      </c>
      <c r="I185" s="265" t="str">
        <f>IFERROR(__xludf.DUMMYFUNCTION("""COMPUTED_VALUE"""),"(Không recheck)")</f>
        <v>(Không recheck)</v>
      </c>
      <c r="J185" s="265" t="str">
        <f>IFERROR(__xludf.DUMMYFUNCTION("""COMPUTED_VALUE"""),"(Không recheck)")</f>
        <v>(Không recheck)</v>
      </c>
      <c r="K185" s="265" t="str">
        <f>IFERROR(__xludf.DUMMYFUNCTION("""COMPUTED_VALUE"""),"(Không recheck)")</f>
        <v>(Không recheck)</v>
      </c>
    </row>
    <row r="186">
      <c r="A186" s="265" t="str">
        <f>IFERROR(__xludf.DUMMYFUNCTION("""COMPUTED_VALUE"""),"515")</f>
        <v>515</v>
      </c>
      <c r="B186" s="265" t="str">
        <f>IFERROR(__xludf.DUMMYFUNCTION("""COMPUTED_VALUE"""),"Hà Nội")</f>
        <v>Hà Nội</v>
      </c>
      <c r="C186" s="265" t="str">
        <f>IFERROR(__xludf.DUMMYFUNCTION("""COMPUTED_VALUE"""),"Active")</f>
        <v>Active</v>
      </c>
      <c r="D186" s="265" t="str">
        <f>IFERROR(__xludf.DUMMYFUNCTION("""COMPUTED_VALUE"""),"Nhà hàng &amp; Quán")</f>
        <v>Nhà hàng &amp; Quán</v>
      </c>
      <c r="E186" s="265" t="str">
        <f>IFERROR(__xludf.DUMMYFUNCTION("""COMPUTED_VALUE"""),"TùngLD")</f>
        <v>TùngLD</v>
      </c>
      <c r="F186" s="265" t="str">
        <f>IFERROR(__xludf.DUMMYFUNCTION("""COMPUTED_VALUE"""),"Silver")</f>
        <v>Silver</v>
      </c>
      <c r="G186" s="265" t="str">
        <f>IFERROR(__xludf.DUMMYFUNCTION("""COMPUTED_VALUE"""),"Enterprise")</f>
        <v>Enterprise</v>
      </c>
      <c r="H186" s="265" t="str">
        <f>IFERROR(__xludf.DUMMYFUNCTION("""COMPUTED_VALUE"""),"Trả sau")</f>
        <v>Trả sau</v>
      </c>
      <c r="I186" s="265" t="str">
        <f>IFERROR(__xludf.DUMMYFUNCTION("""COMPUTED_VALUE"""),"API &amp; Portal")</f>
        <v>API &amp; Portal</v>
      </c>
      <c r="J186" s="265" t="str">
        <f>IFERROR(__xludf.DUMMYFUNCTION("""COMPUTED_VALUE"""),"File Excel")</f>
        <v>File Excel</v>
      </c>
      <c r="K186" s="265" t="str">
        <f>IFERROR(__xludf.DUMMYFUNCTION("""COMPUTED_VALUE"""),"LinhNTT1")</f>
        <v>LinhNTT1</v>
      </c>
    </row>
    <row r="187">
      <c r="A187" s="265" t="str">
        <f>IFERROR(__xludf.DUMMYFUNCTION("""COMPUTED_VALUE"""),"515")</f>
        <v>515</v>
      </c>
      <c r="B187" s="265" t="str">
        <f>IFERROR(__xludf.DUMMYFUNCTION("""COMPUTED_VALUE"""),"Hà Nội")</f>
        <v>Hà Nội</v>
      </c>
      <c r="C187" s="265" t="str">
        <f>IFERROR(__xludf.DUMMYFUNCTION("""COMPUTED_VALUE"""),"Active")</f>
        <v>Active</v>
      </c>
      <c r="D187" s="265" t="str">
        <f>IFERROR(__xludf.DUMMYFUNCTION("""COMPUTED_VALUE"""),"Nhà hàng &amp; Quán")</f>
        <v>Nhà hàng &amp; Quán</v>
      </c>
      <c r="E187" s="265" t="str">
        <f>IFERROR(__xludf.DUMMYFUNCTION("""COMPUTED_VALUE"""),"TùngLD")</f>
        <v>TùngLD</v>
      </c>
      <c r="F187" s="265" t="str">
        <f>IFERROR(__xludf.DUMMYFUNCTION("""COMPUTED_VALUE"""),"Silver")</f>
        <v>Silver</v>
      </c>
      <c r="G187" s="265" t="str">
        <f>IFERROR(__xludf.DUMMYFUNCTION("""COMPUTED_VALUE"""),"Enterprise")</f>
        <v>Enterprise</v>
      </c>
      <c r="H187" s="265" t="str">
        <f>IFERROR(__xludf.DUMMYFUNCTION("""COMPUTED_VALUE"""),"Trả sau")</f>
        <v>Trả sau</v>
      </c>
      <c r="I187" s="265" t="str">
        <f>IFERROR(__xludf.DUMMYFUNCTION("""COMPUTED_VALUE"""),"API &amp; Portal")</f>
        <v>API &amp; Portal</v>
      </c>
      <c r="J187" s="265" t="str">
        <f>IFERROR(__xludf.DUMMYFUNCTION("""COMPUTED_VALUE"""),"API")</f>
        <v>API</v>
      </c>
      <c r="K187" s="265" t="str">
        <f>IFERROR(__xludf.DUMMYFUNCTION("""COMPUTED_VALUE"""),"LinhNTT1")</f>
        <v>LinhNTT1</v>
      </c>
    </row>
    <row r="188">
      <c r="A188" s="265" t="str">
        <f>IFERROR(__xludf.DUMMYFUNCTION("""COMPUTED_VALUE"""),"245")</f>
        <v>245</v>
      </c>
      <c r="B188" s="265" t="str">
        <f>IFERROR(__xludf.DUMMYFUNCTION("""COMPUTED_VALUE"""),"Hà Nội")</f>
        <v>Hà Nội</v>
      </c>
      <c r="C188" s="265" t="str">
        <f>IFERROR(__xludf.DUMMYFUNCTION("""COMPUTED_VALUE"""),"Active")</f>
        <v>Active</v>
      </c>
      <c r="D188" s="265" t="str">
        <f>IFERROR(__xludf.DUMMYFUNCTION("""COMPUTED_VALUE"""),"Sale chưa cung cấp")</f>
        <v>Sale chưa cung cấp</v>
      </c>
      <c r="E188" s="265" t="str">
        <f>IFERROR(__xludf.DUMMYFUNCTION("""COMPUTED_VALUE"""),"AnhNM")</f>
        <v>AnhNM</v>
      </c>
      <c r="F188" s="265" t="str">
        <f>IFERROR(__xludf.DUMMYFUNCTION("""COMPUTED_VALUE"""),"Gold")</f>
        <v>Gold</v>
      </c>
      <c r="G188" s="265" t="str">
        <f>IFERROR(__xludf.DUMMYFUNCTION("""COMPUTED_VALUE"""),"Starter")</f>
        <v>Starter</v>
      </c>
      <c r="H188" s="265" t="str">
        <f>IFERROR(__xludf.DUMMYFUNCTION("""COMPUTED_VALUE"""),"Trả sau")</f>
        <v>Trả sau</v>
      </c>
      <c r="I188" s="265" t="str">
        <f>IFERROR(__xludf.DUMMYFUNCTION("""COMPUTED_VALUE"""),"Portal")</f>
        <v>Portal</v>
      </c>
      <c r="J188" s="265" t="str">
        <f>IFERROR(__xludf.DUMMYFUNCTION("""COMPUTED_VALUE"""),"File Excel")</f>
        <v>File Excel</v>
      </c>
      <c r="K188" s="265" t="str">
        <f>IFERROR(__xludf.DUMMYFUNCTION("""COMPUTED_VALUE"""),"DungPL")</f>
        <v>DungPL</v>
      </c>
    </row>
    <row r="189">
      <c r="A189" s="265" t="str">
        <f>IFERROR(__xludf.DUMMYFUNCTION("""COMPUTED_VALUE"""),"245")</f>
        <v>245</v>
      </c>
      <c r="B189" s="265" t="str">
        <f>IFERROR(__xludf.DUMMYFUNCTION("""COMPUTED_VALUE"""),"Hà Nội")</f>
        <v>Hà Nội</v>
      </c>
      <c r="C189" s="265" t="str">
        <f>IFERROR(__xludf.DUMMYFUNCTION("""COMPUTED_VALUE"""),"Active")</f>
        <v>Active</v>
      </c>
      <c r="D189" s="265" t="str">
        <f>IFERROR(__xludf.DUMMYFUNCTION("""COMPUTED_VALUE"""),"Sale chưa cung cấp")</f>
        <v>Sale chưa cung cấp</v>
      </c>
      <c r="E189" s="265" t="str">
        <f>IFERROR(__xludf.DUMMYFUNCTION("""COMPUTED_VALUE"""),"AnhNM")</f>
        <v>AnhNM</v>
      </c>
      <c r="F189" s="265" t="str">
        <f>IFERROR(__xludf.DUMMYFUNCTION("""COMPUTED_VALUE"""),"Gold")</f>
        <v>Gold</v>
      </c>
      <c r="G189" s="265" t="str">
        <f>IFERROR(__xludf.DUMMYFUNCTION("""COMPUTED_VALUE"""),"Starter")</f>
        <v>Starter</v>
      </c>
      <c r="H189" s="265" t="str">
        <f>IFERROR(__xludf.DUMMYFUNCTION("""COMPUTED_VALUE"""),"Trả sau")</f>
        <v>Trả sau</v>
      </c>
      <c r="I189" s="265" t="str">
        <f>IFERROR(__xludf.DUMMYFUNCTION("""COMPUTED_VALUE"""),"Portal")</f>
        <v>Portal</v>
      </c>
      <c r="J189" s="265" t="str">
        <f>IFERROR(__xludf.DUMMYFUNCTION("""COMPUTED_VALUE"""),"API")</f>
        <v>API</v>
      </c>
      <c r="K189" s="265" t="str">
        <f>IFERROR(__xludf.DUMMYFUNCTION("""COMPUTED_VALUE"""),"DungPL")</f>
        <v>DungPL</v>
      </c>
    </row>
    <row r="190">
      <c r="A190" s="265" t="str">
        <f>IFERROR(__xludf.DUMMYFUNCTION("""COMPUTED_VALUE"""),"516")</f>
        <v>516</v>
      </c>
      <c r="B190" s="265" t="str">
        <f>IFERROR(__xludf.DUMMYFUNCTION("""COMPUTED_VALUE"""),"Sài Gòn")</f>
        <v>Sài Gòn</v>
      </c>
      <c r="C190" s="265" t="str">
        <f>IFERROR(__xludf.DUMMYFUNCTION("""COMPUTED_VALUE"""),"Active")</f>
        <v>Active</v>
      </c>
      <c r="D190" s="265" t="str">
        <f>IFERROR(__xludf.DUMMYFUNCTION("""COMPUTED_VALUE"""),"Sale chưa cung cấp")</f>
        <v>Sale chưa cung cấp</v>
      </c>
      <c r="E190" s="265" t="str">
        <f>IFERROR(__xludf.DUMMYFUNCTION("""COMPUTED_VALUE"""),"TúPHN")</f>
        <v>TúPHN</v>
      </c>
      <c r="F190" s="265" t="str">
        <f>IFERROR(__xludf.DUMMYFUNCTION("""COMPUTED_VALUE"""),"Gold")</f>
        <v>Gold</v>
      </c>
      <c r="G190" s="265" t="str">
        <f>IFERROR(__xludf.DUMMYFUNCTION("""COMPUTED_VALUE"""),"Premium")</f>
        <v>Premium</v>
      </c>
      <c r="H190" s="265" t="str">
        <f>IFERROR(__xludf.DUMMYFUNCTION("""COMPUTED_VALUE"""),"Trả sau")</f>
        <v>Trả sau</v>
      </c>
      <c r="I190" s="265" t="str">
        <f>IFERROR(__xludf.DUMMYFUNCTION("""COMPUTED_VALUE"""),"API &amp; Portal")</f>
        <v>API &amp; Portal</v>
      </c>
      <c r="J190" s="265" t="str">
        <f>IFERROR(__xludf.DUMMYFUNCTION("""COMPUTED_VALUE"""),"File Excel")</f>
        <v>File Excel</v>
      </c>
      <c r="K190" s="265" t="str">
        <f>IFERROR(__xludf.DUMMYFUNCTION("""COMPUTED_VALUE"""),"LinhNTT1")</f>
        <v>LinhNTT1</v>
      </c>
    </row>
    <row r="191">
      <c r="A191" s="265" t="str">
        <f>IFERROR(__xludf.DUMMYFUNCTION("""COMPUTED_VALUE"""),"516")</f>
        <v>516</v>
      </c>
      <c r="B191" s="265" t="str">
        <f>IFERROR(__xludf.DUMMYFUNCTION("""COMPUTED_VALUE"""),"Sài Gòn")</f>
        <v>Sài Gòn</v>
      </c>
      <c r="C191" s="265" t="str">
        <f>IFERROR(__xludf.DUMMYFUNCTION("""COMPUTED_VALUE"""),"Active")</f>
        <v>Active</v>
      </c>
      <c r="D191" s="265" t="str">
        <f>IFERROR(__xludf.DUMMYFUNCTION("""COMPUTED_VALUE"""),"Sale chưa cung cấp")</f>
        <v>Sale chưa cung cấp</v>
      </c>
      <c r="E191" s="265" t="str">
        <f>IFERROR(__xludf.DUMMYFUNCTION("""COMPUTED_VALUE"""),"TúPHN")</f>
        <v>TúPHN</v>
      </c>
      <c r="F191" s="265" t="str">
        <f>IFERROR(__xludf.DUMMYFUNCTION("""COMPUTED_VALUE"""),"Gold")</f>
        <v>Gold</v>
      </c>
      <c r="G191" s="265" t="str">
        <f>IFERROR(__xludf.DUMMYFUNCTION("""COMPUTED_VALUE"""),"Premium")</f>
        <v>Premium</v>
      </c>
      <c r="H191" s="265" t="str">
        <f>IFERROR(__xludf.DUMMYFUNCTION("""COMPUTED_VALUE"""),"Trả sau")</f>
        <v>Trả sau</v>
      </c>
      <c r="I191" s="265" t="str">
        <f>IFERROR(__xludf.DUMMYFUNCTION("""COMPUTED_VALUE"""),"API &amp; Portal")</f>
        <v>API &amp; Portal</v>
      </c>
      <c r="J191" s="265" t="str">
        <f>IFERROR(__xludf.DUMMYFUNCTION("""COMPUTED_VALUE"""),"API")</f>
        <v>API</v>
      </c>
      <c r="K191" s="265" t="str">
        <f>IFERROR(__xludf.DUMMYFUNCTION("""COMPUTED_VALUE"""),"LinhNTT1")</f>
        <v>LinhNTT1</v>
      </c>
    </row>
    <row r="192">
      <c r="A192" s="265" t="str">
        <f>IFERROR(__xludf.DUMMYFUNCTION("""COMPUTED_VALUE"""),"514")</f>
        <v>514</v>
      </c>
      <c r="B192" s="265" t="str">
        <f>IFERROR(__xludf.DUMMYFUNCTION("""COMPUTED_VALUE"""),"Hà Nội")</f>
        <v>Hà Nội</v>
      </c>
      <c r="C192" s="265" t="str">
        <f>IFERROR(__xludf.DUMMYFUNCTION("""COMPUTED_VALUE"""),"Locked")</f>
        <v>Locked</v>
      </c>
      <c r="D192" s="265" t="str">
        <f>IFERROR(__xludf.DUMMYFUNCTION("""COMPUTED_VALUE"""),"Sale chưa cung cấp")</f>
        <v>Sale chưa cung cấp</v>
      </c>
      <c r="E192" s="265" t="str">
        <f>IFERROR(__xludf.DUMMYFUNCTION("""COMPUTED_VALUE"""),"HangNT")</f>
        <v>HangNT</v>
      </c>
      <c r="F192" s="265" t="str">
        <f>IFERROR(__xludf.DUMMYFUNCTION("""COMPUTED_VALUE"""),"Sale chưa cung cấp")</f>
        <v>Sale chưa cung cấp</v>
      </c>
      <c r="G192" s="265" t="str">
        <f>IFERROR(__xludf.DUMMYFUNCTION("""COMPUTED_VALUE"""),"Enterprise")</f>
        <v>Enterprise</v>
      </c>
      <c r="H192" s="265" t="str">
        <f>IFERROR(__xludf.DUMMYFUNCTION("""COMPUTED_VALUE"""),"(Chưa recheck)")</f>
        <v>(Chưa recheck)</v>
      </c>
      <c r="I192" s="265" t="str">
        <f>IFERROR(__xludf.DUMMYFUNCTION("""COMPUTED_VALUE"""),"(Chưa recheck)")</f>
        <v>(Chưa recheck)</v>
      </c>
      <c r="J192" s="265" t="str">
        <f>IFERROR(__xludf.DUMMYFUNCTION("""COMPUTED_VALUE"""),"File Excel")</f>
        <v>File Excel</v>
      </c>
      <c r="K192" s="265" t="str">
        <f>IFERROR(__xludf.DUMMYFUNCTION("""COMPUTED_VALUE"""),"DungPL")</f>
        <v>DungPL</v>
      </c>
    </row>
    <row r="193">
      <c r="A193" s="265" t="str">
        <f>IFERROR(__xludf.DUMMYFUNCTION("""COMPUTED_VALUE"""),"517")</f>
        <v>517</v>
      </c>
      <c r="B193" s="265" t="str">
        <f>IFERROR(__xludf.DUMMYFUNCTION("""COMPUTED_VALUE"""),"Sài Gòn")</f>
        <v>Sài Gòn</v>
      </c>
      <c r="C193" s="265" t="str">
        <f>IFERROR(__xludf.DUMMYFUNCTION("""COMPUTED_VALUE"""),"Active")</f>
        <v>Active</v>
      </c>
      <c r="D193" s="265" t="str">
        <f>IFERROR(__xludf.DUMMYFUNCTION("""COMPUTED_VALUE"""),"Sale chưa cung cấp")</f>
        <v>Sale chưa cung cấp</v>
      </c>
      <c r="E193" s="265" t="str">
        <f>IFERROR(__xludf.DUMMYFUNCTION("""COMPUTED_VALUE"""),"TúPHN")</f>
        <v>TúPHN</v>
      </c>
      <c r="F193" s="265" t="str">
        <f>IFERROR(__xludf.DUMMYFUNCTION("""COMPUTED_VALUE"""),"Silver")</f>
        <v>Silver</v>
      </c>
      <c r="G193" s="265" t="str">
        <f>IFERROR(__xludf.DUMMYFUNCTION("""COMPUTED_VALUE"""),"Starter")</f>
        <v>Starter</v>
      </c>
      <c r="H193" s="265" t="str">
        <f>IFERROR(__xludf.DUMMYFUNCTION("""COMPUTED_VALUE"""),"Trả trước")</f>
        <v>Trả trước</v>
      </c>
      <c r="I193" s="265" t="str">
        <f>IFERROR(__xludf.DUMMYFUNCTION("""COMPUTED_VALUE"""),"API &amp; Portal")</f>
        <v>API &amp; Portal</v>
      </c>
      <c r="J193" s="265" t="str">
        <f>IFERROR(__xludf.DUMMYFUNCTION("""COMPUTED_VALUE"""),"File Excel")</f>
        <v>File Excel</v>
      </c>
      <c r="K193" s="265" t="str">
        <f>IFERROR(__xludf.DUMMYFUNCTION("""COMPUTED_VALUE"""),"DungPL")</f>
        <v>DungPL</v>
      </c>
    </row>
    <row r="194">
      <c r="A194" s="265" t="str">
        <f>IFERROR(__xludf.DUMMYFUNCTION("""COMPUTED_VALUE"""),"517")</f>
        <v>517</v>
      </c>
      <c r="B194" s="265" t="str">
        <f>IFERROR(__xludf.DUMMYFUNCTION("""COMPUTED_VALUE"""),"Sài Gòn")</f>
        <v>Sài Gòn</v>
      </c>
      <c r="C194" s="265" t="str">
        <f>IFERROR(__xludf.DUMMYFUNCTION("""COMPUTED_VALUE"""),"Active")</f>
        <v>Active</v>
      </c>
      <c r="D194" s="265" t="str">
        <f>IFERROR(__xludf.DUMMYFUNCTION("""COMPUTED_VALUE"""),"Sale chưa cung cấp")</f>
        <v>Sale chưa cung cấp</v>
      </c>
      <c r="E194" s="265" t="str">
        <f>IFERROR(__xludf.DUMMYFUNCTION("""COMPUTED_VALUE"""),"TúPHN")</f>
        <v>TúPHN</v>
      </c>
      <c r="F194" s="265" t="str">
        <f>IFERROR(__xludf.DUMMYFUNCTION("""COMPUTED_VALUE"""),"Silver")</f>
        <v>Silver</v>
      </c>
      <c r="G194" s="265" t="str">
        <f>IFERROR(__xludf.DUMMYFUNCTION("""COMPUTED_VALUE"""),"Starter")</f>
        <v>Starter</v>
      </c>
      <c r="H194" s="265" t="str">
        <f>IFERROR(__xludf.DUMMYFUNCTION("""COMPUTED_VALUE"""),"Trả trước")</f>
        <v>Trả trước</v>
      </c>
      <c r="I194" s="265" t="str">
        <f>IFERROR(__xludf.DUMMYFUNCTION("""COMPUTED_VALUE"""),"API &amp; Portal")</f>
        <v>API &amp; Portal</v>
      </c>
      <c r="J194" s="265" t="str">
        <f>IFERROR(__xludf.DUMMYFUNCTION("""COMPUTED_VALUE"""),"API")</f>
        <v>API</v>
      </c>
      <c r="K194" s="265" t="str">
        <f>IFERROR(__xludf.DUMMYFUNCTION("""COMPUTED_VALUE"""),"DungPL")</f>
        <v>DungPL</v>
      </c>
    </row>
    <row r="195">
      <c r="A195" s="265" t="str">
        <f>IFERROR(__xludf.DUMMYFUNCTION("""COMPUTED_VALUE"""),"518")</f>
        <v>518</v>
      </c>
      <c r="B195" s="265" t="str">
        <f>IFERROR(__xludf.DUMMYFUNCTION("""COMPUTED_VALUE"""),"Hà Nội")</f>
        <v>Hà Nội</v>
      </c>
      <c r="C195" s="265" t="str">
        <f>IFERROR(__xludf.DUMMYFUNCTION("""COMPUTED_VALUE"""),"Active")</f>
        <v>Active</v>
      </c>
      <c r="D195" s="265" t="str">
        <f>IFERROR(__xludf.DUMMYFUNCTION("""COMPUTED_VALUE"""),"Mỹ phẩm &amp; Làm đẹp")</f>
        <v>Mỹ phẩm &amp; Làm đẹp</v>
      </c>
      <c r="E195" s="265" t="str">
        <f>IFERROR(__xludf.DUMMYFUNCTION("""COMPUTED_VALUE"""),"TúPHN")</f>
        <v>TúPHN</v>
      </c>
      <c r="F195" s="265" t="str">
        <f>IFERROR(__xludf.DUMMYFUNCTION("""COMPUTED_VALUE"""),"Gold")</f>
        <v>Gold</v>
      </c>
      <c r="G195" s="265" t="str">
        <f>IFERROR(__xludf.DUMMYFUNCTION("""COMPUTED_VALUE"""),"Enterprise")</f>
        <v>Enterprise</v>
      </c>
      <c r="H195" s="265" t="str">
        <f>IFERROR(__xludf.DUMMYFUNCTION("""COMPUTED_VALUE"""),"Trả sau")</f>
        <v>Trả sau</v>
      </c>
      <c r="I195" s="265" t="str">
        <f>IFERROR(__xludf.DUMMYFUNCTION("""COMPUTED_VALUE"""),"API &amp; Portal")</f>
        <v>API &amp; Portal</v>
      </c>
      <c r="J195" s="265" t="str">
        <f>IFERROR(__xludf.DUMMYFUNCTION("""COMPUTED_VALUE"""),"ZCA gửi ZNS")</f>
        <v>ZCA gửi ZNS</v>
      </c>
      <c r="K195" s="265" t="str">
        <f>IFERROR(__xludf.DUMMYFUNCTION("""COMPUTED_VALUE"""),"DungPL")</f>
        <v>DungPL</v>
      </c>
    </row>
    <row r="196">
      <c r="A196" s="265" t="str">
        <f>IFERROR(__xludf.DUMMYFUNCTION("""COMPUTED_VALUE"""),"519")</f>
        <v>519</v>
      </c>
      <c r="B196" s="265" t="str">
        <f>IFERROR(__xludf.DUMMYFUNCTION("""COMPUTED_VALUE"""),"Sài Gòn")</f>
        <v>Sài Gòn</v>
      </c>
      <c r="C196" s="265" t="str">
        <f>IFERROR(__xludf.DUMMYFUNCTION("""COMPUTED_VALUE"""),"Active")</f>
        <v>Active</v>
      </c>
      <c r="D196" s="265" t="str">
        <f>IFERROR(__xludf.DUMMYFUNCTION("""COMPUTED_VALUE"""),"Sale chưa cung cấp")</f>
        <v>Sale chưa cung cấp</v>
      </c>
      <c r="E196" s="265" t="str">
        <f>IFERROR(__xludf.DUMMYFUNCTION("""COMPUTED_VALUE"""),"TúPHN")</f>
        <v>TúPHN</v>
      </c>
      <c r="F196" s="265" t="str">
        <f>IFERROR(__xludf.DUMMYFUNCTION("""COMPUTED_VALUE"""),"Silver")</f>
        <v>Silver</v>
      </c>
      <c r="G196" s="265" t="str">
        <f>IFERROR(__xludf.DUMMYFUNCTION("""COMPUTED_VALUE"""),"Starter")</f>
        <v>Starter</v>
      </c>
      <c r="H196" s="265" t="str">
        <f>IFERROR(__xludf.DUMMYFUNCTION("""COMPUTED_VALUE"""),"Trả sau")</f>
        <v>Trả sau</v>
      </c>
      <c r="I196" s="265" t="str">
        <f>IFERROR(__xludf.DUMMYFUNCTION("""COMPUTED_VALUE"""),"API &amp; Portal")</f>
        <v>API &amp; Portal</v>
      </c>
      <c r="J196" s="265" t="str">
        <f>IFERROR(__xludf.DUMMYFUNCTION("""COMPUTED_VALUE"""),"API")</f>
        <v>API</v>
      </c>
      <c r="K196" s="265" t="str">
        <f>IFERROR(__xludf.DUMMYFUNCTION("""COMPUTED_VALUE"""),"DungPL")</f>
        <v>DungPL</v>
      </c>
    </row>
    <row r="197">
      <c r="A197" s="265" t="str">
        <f>IFERROR(__xludf.DUMMYFUNCTION("""COMPUTED_VALUE"""),"520")</f>
        <v>520</v>
      </c>
      <c r="B197" s="265" t="str">
        <f>IFERROR(__xludf.DUMMYFUNCTION("""COMPUTED_VALUE"""),"Sài Gòn")</f>
        <v>Sài Gòn</v>
      </c>
      <c r="C197" s="265" t="str">
        <f>IFERROR(__xludf.DUMMYFUNCTION("""COMPUTED_VALUE"""),"Locked")</f>
        <v>Locked</v>
      </c>
      <c r="D197" s="265" t="str">
        <f>IFERROR(__xludf.DUMMYFUNCTION("""COMPUTED_VALUE"""),"Sale chưa cung cấp")</f>
        <v>Sale chưa cung cấp</v>
      </c>
      <c r="E197" s="265" t="str">
        <f>IFERROR(__xludf.DUMMYFUNCTION("""COMPUTED_VALUE"""),"HoaNTM")</f>
        <v>HoaNTM</v>
      </c>
      <c r="F197" s="265" t="str">
        <f>IFERROR(__xludf.DUMMYFUNCTION("""COMPUTED_VALUE"""),"Bronze")</f>
        <v>Bronze</v>
      </c>
      <c r="G197" s="265" t="str">
        <f>IFERROR(__xludf.DUMMYFUNCTION("""COMPUTED_VALUE"""),"Enterprise")</f>
        <v>Enterprise</v>
      </c>
      <c r="H197" s="265" t="str">
        <f>IFERROR(__xludf.DUMMYFUNCTION("""COMPUTED_VALUE"""),"(Chưa recheck)")</f>
        <v>(Chưa recheck)</v>
      </c>
      <c r="I197" s="265" t="str">
        <f>IFERROR(__xludf.DUMMYFUNCTION("""COMPUTED_VALUE"""),"(Chưa recheck)")</f>
        <v>(Chưa recheck)</v>
      </c>
      <c r="J197" s="265" t="str">
        <f>IFERROR(__xludf.DUMMYFUNCTION("""COMPUTED_VALUE"""),"(Chưa recheck)")</f>
        <v>(Chưa recheck)</v>
      </c>
      <c r="K197" s="265" t="str">
        <f>IFERROR(__xludf.DUMMYFUNCTION("""COMPUTED_VALUE"""),"AnhNM")</f>
        <v>AnhNM</v>
      </c>
    </row>
    <row r="198">
      <c r="A198" s="265" t="str">
        <f>IFERROR(__xludf.DUMMYFUNCTION("""COMPUTED_VALUE"""),"540")</f>
        <v>540</v>
      </c>
      <c r="B198" s="265" t="str">
        <f>IFERROR(__xludf.DUMMYFUNCTION("""COMPUTED_VALUE"""),"Hà Nội")</f>
        <v>Hà Nội</v>
      </c>
      <c r="C198" s="265" t="str">
        <f>IFERROR(__xludf.DUMMYFUNCTION("""COMPUTED_VALUE"""),"Active")</f>
        <v>Active</v>
      </c>
      <c r="D198" s="265" t="str">
        <f>IFERROR(__xludf.DUMMYFUNCTION("""COMPUTED_VALUE"""),"Sale chưa cung cấp")</f>
        <v>Sale chưa cung cấp</v>
      </c>
      <c r="E198" s="265" t="str">
        <f>IFERROR(__xludf.DUMMYFUNCTION("""COMPUTED_VALUE"""),"TùngLD")</f>
        <v>TùngLD</v>
      </c>
      <c r="F198" s="265" t="str">
        <f>IFERROR(__xludf.DUMMYFUNCTION("""COMPUTED_VALUE"""),"Bronze")</f>
        <v>Bronze</v>
      </c>
      <c r="G198" s="265" t="str">
        <f>IFERROR(__xludf.DUMMYFUNCTION("""COMPUTED_VALUE"""),"Starter")</f>
        <v>Starter</v>
      </c>
      <c r="H198" s="265" t="str">
        <f>IFERROR(__xludf.DUMMYFUNCTION("""COMPUTED_VALUE"""),"Trả sau")</f>
        <v>Trả sau</v>
      </c>
      <c r="I198" s="265" t="str">
        <f>IFERROR(__xludf.DUMMYFUNCTION("""COMPUTED_VALUE"""),"API")</f>
        <v>API</v>
      </c>
      <c r="J198" s="265" t="str">
        <f>IFERROR(__xludf.DUMMYFUNCTION("""COMPUTED_VALUE"""),"API")</f>
        <v>API</v>
      </c>
      <c r="K198" s="265" t="str">
        <f>IFERROR(__xludf.DUMMYFUNCTION("""COMPUTED_VALUE"""),"DungPL")</f>
        <v>DungPL</v>
      </c>
    </row>
    <row r="199">
      <c r="A199" s="265" t="str">
        <f>IFERROR(__xludf.DUMMYFUNCTION("""COMPUTED_VALUE"""),"521")</f>
        <v>521</v>
      </c>
      <c r="B199" s="265" t="str">
        <f>IFERROR(__xludf.DUMMYFUNCTION("""COMPUTED_VALUE"""),"Hà Nội")</f>
        <v>Hà Nội</v>
      </c>
      <c r="C199" s="265" t="str">
        <f>IFERROR(__xludf.DUMMYFUNCTION("""COMPUTED_VALUE"""),"Locked")</f>
        <v>Locked</v>
      </c>
      <c r="D199" s="265" t="str">
        <f>IFERROR(__xludf.DUMMYFUNCTION("""COMPUTED_VALUE"""),"Sale chưa cung cấp")</f>
        <v>Sale chưa cung cấp</v>
      </c>
      <c r="E199" s="265" t="str">
        <f>IFERROR(__xludf.DUMMYFUNCTION("""COMPUTED_VALUE"""),"PhươngDTB")</f>
        <v>PhươngDTB</v>
      </c>
      <c r="F199" s="265" t="str">
        <f>IFERROR(__xludf.DUMMYFUNCTION("""COMPUTED_VALUE"""),"Bronze")</f>
        <v>Bronze</v>
      </c>
      <c r="G199" s="265" t="str">
        <f>IFERROR(__xludf.DUMMYFUNCTION("""COMPUTED_VALUE"""),"Enterprise")</f>
        <v>Enterprise</v>
      </c>
      <c r="H199" s="265" t="str">
        <f>IFERROR(__xludf.DUMMYFUNCTION("""COMPUTED_VALUE"""),"(Chưa recheck)")</f>
        <v>(Chưa recheck)</v>
      </c>
      <c r="I199" s="265" t="str">
        <f>IFERROR(__xludf.DUMMYFUNCTION("""COMPUTED_VALUE"""),"(Chưa recheck)")</f>
        <v>(Chưa recheck)</v>
      </c>
      <c r="J199" s="265" t="str">
        <f>IFERROR(__xludf.DUMMYFUNCTION("""COMPUTED_VALUE"""),"Kiotviet")</f>
        <v>Kiotviet</v>
      </c>
      <c r="K199" s="265" t="str">
        <f>IFERROR(__xludf.DUMMYFUNCTION("""COMPUTED_VALUE"""),"AnhNM")</f>
        <v>AnhNM</v>
      </c>
    </row>
    <row r="200">
      <c r="A200" s="265" t="str">
        <f>IFERROR(__xludf.DUMMYFUNCTION("""COMPUTED_VALUE"""),"522")</f>
        <v>522</v>
      </c>
      <c r="B200" s="265" t="str">
        <f>IFERROR(__xludf.DUMMYFUNCTION("""COMPUTED_VALUE"""),"Hà Nội")</f>
        <v>Hà Nội</v>
      </c>
      <c r="C200" s="265" t="str">
        <f>IFERROR(__xludf.DUMMYFUNCTION("""COMPUTED_VALUE"""),"Locked")</f>
        <v>Locked</v>
      </c>
      <c r="D200" s="265" t="str">
        <f>IFERROR(__xludf.DUMMYFUNCTION("""COMPUTED_VALUE"""),"Sale chưa cung cấp")</f>
        <v>Sale chưa cung cấp</v>
      </c>
      <c r="E200" s="265" t="str">
        <f>IFERROR(__xludf.DUMMYFUNCTION("""COMPUTED_VALUE"""),"TùngLD")</f>
        <v>TùngLD</v>
      </c>
      <c r="F200" s="265" t="str">
        <f>IFERROR(__xludf.DUMMYFUNCTION("""COMPUTED_VALUE"""),"Sale chưa cung cấp")</f>
        <v>Sale chưa cung cấp</v>
      </c>
      <c r="G200" s="265" t="str">
        <f>IFERROR(__xludf.DUMMYFUNCTION("""COMPUTED_VALUE"""),"API")</f>
        <v>API</v>
      </c>
      <c r="H200" s="265" t="str">
        <f>IFERROR(__xludf.DUMMYFUNCTION("""COMPUTED_VALUE"""),"Trial")</f>
        <v>Trial</v>
      </c>
      <c r="I200" s="265" t="str">
        <f>IFERROR(__xludf.DUMMYFUNCTION("""COMPUTED_VALUE"""),"API")</f>
        <v>API</v>
      </c>
      <c r="J200" s="265" t="str">
        <f>IFERROR(__xludf.DUMMYFUNCTION("""COMPUTED_VALUE"""),"API")</f>
        <v>API</v>
      </c>
      <c r="K200" s="265" t="str">
        <f>IFERROR(__xludf.DUMMYFUNCTION("""COMPUTED_VALUE"""),"(Không recheck)")</f>
        <v>(Không recheck)</v>
      </c>
    </row>
    <row r="201">
      <c r="A201" s="265" t="str">
        <f>IFERROR(__xludf.DUMMYFUNCTION("""COMPUTED_VALUE"""),"523")</f>
        <v>523</v>
      </c>
      <c r="B201" s="265" t="str">
        <f>IFERROR(__xludf.DUMMYFUNCTION("""COMPUTED_VALUE"""),"Hà Nội")</f>
        <v>Hà Nội</v>
      </c>
      <c r="C201" s="265" t="str">
        <f>IFERROR(__xludf.DUMMYFUNCTION("""COMPUTED_VALUE"""),"Locked")</f>
        <v>Locked</v>
      </c>
      <c r="D201" s="265" t="str">
        <f>IFERROR(__xludf.DUMMYFUNCTION("""COMPUTED_VALUE"""),"Sale chưa cung cấp")</f>
        <v>Sale chưa cung cấp</v>
      </c>
      <c r="E201" s="265" t="str">
        <f>IFERROR(__xludf.DUMMYFUNCTION("""COMPUTED_VALUE"""),"TùngLD")</f>
        <v>TùngLD</v>
      </c>
      <c r="F201" s="265" t="str">
        <f>IFERROR(__xludf.DUMMYFUNCTION("""COMPUTED_VALUE"""),"Bronze")</f>
        <v>Bronze</v>
      </c>
      <c r="G201" s="265" t="str">
        <f>IFERROR(__xludf.DUMMYFUNCTION("""COMPUTED_VALUE"""),"API")</f>
        <v>API</v>
      </c>
      <c r="H201" s="265" t="str">
        <f>IFERROR(__xludf.DUMMYFUNCTION("""COMPUTED_VALUE"""),"Trả sau")</f>
        <v>Trả sau</v>
      </c>
      <c r="I201" s="265" t="str">
        <f>IFERROR(__xludf.DUMMYFUNCTION("""COMPUTED_VALUE"""),"API &amp; Portal")</f>
        <v>API &amp; Portal</v>
      </c>
      <c r="J201" s="265" t="str">
        <f>IFERROR(__xludf.DUMMYFUNCTION("""COMPUTED_VALUE"""),"API")</f>
        <v>API</v>
      </c>
      <c r="K201" s="265" t="str">
        <f>IFERROR(__xludf.DUMMYFUNCTION("""COMPUTED_VALUE"""),"AnhNM")</f>
        <v>AnhNM</v>
      </c>
    </row>
    <row r="202">
      <c r="A202" s="265" t="str">
        <f>IFERROR(__xludf.DUMMYFUNCTION("""COMPUTED_VALUE"""),"524")</f>
        <v>524</v>
      </c>
      <c r="B202" s="265" t="str">
        <f>IFERROR(__xludf.DUMMYFUNCTION("""COMPUTED_VALUE"""),"Sài Gòn")</f>
        <v>Sài Gòn</v>
      </c>
      <c r="C202" s="265" t="str">
        <f>IFERROR(__xludf.DUMMYFUNCTION("""COMPUTED_VALUE"""),"Active")</f>
        <v>Active</v>
      </c>
      <c r="D202" s="265" t="str">
        <f>IFERROR(__xludf.DUMMYFUNCTION("""COMPUTED_VALUE"""),"Mua sắm &amp; Bán lẻ")</f>
        <v>Mua sắm &amp; Bán lẻ</v>
      </c>
      <c r="E202" s="265" t="str">
        <f>IFERROR(__xludf.DUMMYFUNCTION("""COMPUTED_VALUE"""),"TùngLD")</f>
        <v>TùngLD</v>
      </c>
      <c r="F202" s="265" t="str">
        <f>IFERROR(__xludf.DUMMYFUNCTION("""COMPUTED_VALUE"""),"Silver")</f>
        <v>Silver</v>
      </c>
      <c r="G202" s="265" t="str">
        <f>IFERROR(__xludf.DUMMYFUNCTION("""COMPUTED_VALUE"""),"Enterprise")</f>
        <v>Enterprise</v>
      </c>
      <c r="H202" s="265" t="str">
        <f>IFERROR(__xludf.DUMMYFUNCTION("""COMPUTED_VALUE"""),"Trả trước")</f>
        <v>Trả trước</v>
      </c>
      <c r="I202" s="265" t="str">
        <f>IFERROR(__xludf.DUMMYFUNCTION("""COMPUTED_VALUE"""),"API &amp; Portal")</f>
        <v>API &amp; Portal</v>
      </c>
      <c r="J202" s="265" t="str">
        <f>IFERROR(__xludf.DUMMYFUNCTION("""COMPUTED_VALUE"""),"Kiotviet")</f>
        <v>Kiotviet</v>
      </c>
      <c r="K202" s="265" t="str">
        <f>IFERROR(__xludf.DUMMYFUNCTION("""COMPUTED_VALUE"""),"DungPL")</f>
        <v>DungPL</v>
      </c>
    </row>
    <row r="203">
      <c r="A203" s="265" t="str">
        <f>IFERROR(__xludf.DUMMYFUNCTION("""COMPUTED_VALUE"""),"525")</f>
        <v>525</v>
      </c>
      <c r="B203" s="265" t="str">
        <f>IFERROR(__xludf.DUMMYFUNCTION("""COMPUTED_VALUE"""),"Sài Gòn")</f>
        <v>Sài Gòn</v>
      </c>
      <c r="C203" s="265" t="str">
        <f>IFERROR(__xludf.DUMMYFUNCTION("""COMPUTED_VALUE"""),"Locked")</f>
        <v>Locked</v>
      </c>
      <c r="D203" s="265" t="str">
        <f>IFERROR(__xludf.DUMMYFUNCTION("""COMPUTED_VALUE"""),"Sale chưa cung cấp")</f>
        <v>Sale chưa cung cấp</v>
      </c>
      <c r="E203" s="265" t="str">
        <f>IFERROR(__xludf.DUMMYFUNCTION("""COMPUTED_VALUE"""),"HoaNTM")</f>
        <v>HoaNTM</v>
      </c>
      <c r="F203" s="265" t="str">
        <f>IFERROR(__xludf.DUMMYFUNCTION("""COMPUTED_VALUE"""),"Diamond")</f>
        <v>Diamond</v>
      </c>
      <c r="G203" s="265" t="str">
        <f>IFERROR(__xludf.DUMMYFUNCTION("""COMPUTED_VALUE"""),"API")</f>
        <v>API</v>
      </c>
      <c r="H203" s="265" t="str">
        <f>IFERROR(__xludf.DUMMYFUNCTION("""COMPUTED_VALUE"""),"Trả sau")</f>
        <v>Trả sau</v>
      </c>
      <c r="I203" s="265" t="str">
        <f>IFERROR(__xludf.DUMMYFUNCTION("""COMPUTED_VALUE"""),"(Chưa recheck)")</f>
        <v>(Chưa recheck)</v>
      </c>
      <c r="J203" s="265" t="str">
        <f>IFERROR(__xludf.DUMMYFUNCTION("""COMPUTED_VALUE"""),"(Chưa recheck)")</f>
        <v>(Chưa recheck)</v>
      </c>
      <c r="K203" s="265" t="str">
        <f>IFERROR(__xludf.DUMMYFUNCTION("""COMPUTED_VALUE"""),"(Chưa recheck)")</f>
        <v>(Chưa recheck)</v>
      </c>
    </row>
    <row r="204">
      <c r="A204" s="265" t="str">
        <f>IFERROR(__xludf.DUMMYFUNCTION("""COMPUTED_VALUE"""),"526")</f>
        <v>526</v>
      </c>
      <c r="B204" s="265" t="str">
        <f>IFERROR(__xludf.DUMMYFUNCTION("""COMPUTED_VALUE"""),"Sài Gòn")</f>
        <v>Sài Gòn</v>
      </c>
      <c r="C204" s="265" t="str">
        <f>IFERROR(__xludf.DUMMYFUNCTION("""COMPUTED_VALUE"""),"Locked")</f>
        <v>Locked</v>
      </c>
      <c r="D204" s="265" t="str">
        <f>IFERROR(__xludf.DUMMYFUNCTION("""COMPUTED_VALUE"""),"Sale chưa cung cấp")</f>
        <v>Sale chưa cung cấp</v>
      </c>
      <c r="E204" s="265" t="str">
        <f>IFERROR(__xludf.DUMMYFUNCTION("""COMPUTED_VALUE"""),"HoaNTM")</f>
        <v>HoaNTM</v>
      </c>
      <c r="F204" s="265" t="str">
        <f>IFERROR(__xludf.DUMMYFUNCTION("""COMPUTED_VALUE"""),"Bronze")</f>
        <v>Bronze</v>
      </c>
      <c r="G204" s="265" t="str">
        <f>IFERROR(__xludf.DUMMYFUNCTION("""COMPUTED_VALUE"""),"Enterprise")</f>
        <v>Enterprise</v>
      </c>
      <c r="H204" s="265" t="str">
        <f>IFERROR(__xludf.DUMMYFUNCTION("""COMPUTED_VALUE"""),"(Chưa recheck)")</f>
        <v>(Chưa recheck)</v>
      </c>
      <c r="I204" s="265" t="str">
        <f>IFERROR(__xludf.DUMMYFUNCTION("""COMPUTED_VALUE"""),"(Chưa recheck)")</f>
        <v>(Chưa recheck)</v>
      </c>
      <c r="J204" s="265" t="str">
        <f>IFERROR(__xludf.DUMMYFUNCTION("""COMPUTED_VALUE"""),"(Chưa recheck)")</f>
        <v>(Chưa recheck)</v>
      </c>
      <c r="K204" s="265" t="str">
        <f>IFERROR(__xludf.DUMMYFUNCTION("""COMPUTED_VALUE"""),"(Chưa recheck)")</f>
        <v>(Chưa recheck)</v>
      </c>
    </row>
    <row r="205">
      <c r="A205" s="265" t="str">
        <f>IFERROR(__xludf.DUMMYFUNCTION("""COMPUTED_VALUE"""),"531")</f>
        <v>531</v>
      </c>
      <c r="B205" s="265" t="str">
        <f>IFERROR(__xludf.DUMMYFUNCTION("""COMPUTED_VALUE"""),"Sài Gòn")</f>
        <v>Sài Gòn</v>
      </c>
      <c r="C205" s="265" t="str">
        <f>IFERROR(__xludf.DUMMYFUNCTION("""COMPUTED_VALUE"""),"Locked")</f>
        <v>Locked</v>
      </c>
      <c r="D205" s="265" t="str">
        <f>IFERROR(__xludf.DUMMYFUNCTION("""COMPUTED_VALUE"""),"Sale chưa cung cấp")</f>
        <v>Sale chưa cung cấp</v>
      </c>
      <c r="E205" s="265" t="str">
        <f>IFERROR(__xludf.DUMMYFUNCTION("""COMPUTED_VALUE"""),"HoaNTM")</f>
        <v>HoaNTM</v>
      </c>
      <c r="F205" s="265" t="str">
        <f>IFERROR(__xludf.DUMMYFUNCTION("""COMPUTED_VALUE"""),"Sale chưa cung cấp")</f>
        <v>Sale chưa cung cấp</v>
      </c>
      <c r="G205" s="265" t="str">
        <f>IFERROR(__xludf.DUMMYFUNCTION("""COMPUTED_VALUE"""),"Enterprise")</f>
        <v>Enterprise</v>
      </c>
      <c r="H205" s="265" t="str">
        <f>IFERROR(__xludf.DUMMYFUNCTION("""COMPUTED_VALUE"""),"(Chưa recheck)")</f>
        <v>(Chưa recheck)</v>
      </c>
      <c r="I205" s="265" t="str">
        <f>IFERROR(__xludf.DUMMYFUNCTION("""COMPUTED_VALUE"""),"(Chưa recheck)")</f>
        <v>(Chưa recheck)</v>
      </c>
      <c r="J205" s="265" t="str">
        <f>IFERROR(__xludf.DUMMYFUNCTION("""COMPUTED_VALUE"""),"(Chưa recheck)")</f>
        <v>(Chưa recheck)</v>
      </c>
      <c r="K205" s="265" t="str">
        <f>IFERROR(__xludf.DUMMYFUNCTION("""COMPUTED_VALUE"""),"AnhNM")</f>
        <v>AnhNM</v>
      </c>
    </row>
    <row r="206">
      <c r="A206" s="265" t="str">
        <f>IFERROR(__xludf.DUMMYFUNCTION("""COMPUTED_VALUE"""),"527")</f>
        <v>527</v>
      </c>
      <c r="B206" s="265" t="str">
        <f>IFERROR(__xludf.DUMMYFUNCTION("""COMPUTED_VALUE"""),"Hà Nội")</f>
        <v>Hà Nội</v>
      </c>
      <c r="C206" s="265" t="str">
        <f>IFERROR(__xludf.DUMMYFUNCTION("""COMPUTED_VALUE"""),"Locked")</f>
        <v>Locked</v>
      </c>
      <c r="D206" s="265" t="str">
        <f>IFERROR(__xludf.DUMMYFUNCTION("""COMPUTED_VALUE"""),"Công nghệ &amp; Phần mềm")</f>
        <v>Công nghệ &amp; Phần mềm</v>
      </c>
      <c r="E206" s="265" t="str">
        <f>IFERROR(__xludf.DUMMYFUNCTION("""COMPUTED_VALUE"""),"TùngLD")</f>
        <v>TùngLD</v>
      </c>
      <c r="F206" s="265" t="str">
        <f>IFERROR(__xludf.DUMMYFUNCTION("""COMPUTED_VALUE"""),"Silver")</f>
        <v>Silver</v>
      </c>
      <c r="G206" s="265" t="str">
        <f>IFERROR(__xludf.DUMMYFUNCTION("""COMPUTED_VALUE"""),"Enterprise")</f>
        <v>Enterprise</v>
      </c>
      <c r="H206" s="265" t="str">
        <f>IFERROR(__xludf.DUMMYFUNCTION("""COMPUTED_VALUE"""),"Trả trước")</f>
        <v>Trả trước</v>
      </c>
      <c r="I206" s="265" t="str">
        <f>IFERROR(__xludf.DUMMYFUNCTION("""COMPUTED_VALUE"""),"API &amp; Portal")</f>
        <v>API &amp; Portal</v>
      </c>
      <c r="J206" s="265" t="str">
        <f>IFERROR(__xludf.DUMMYFUNCTION("""COMPUTED_VALUE"""),"File Excel")</f>
        <v>File Excel</v>
      </c>
      <c r="K206" s="265" t="str">
        <f>IFERROR(__xludf.DUMMYFUNCTION("""COMPUTED_VALUE"""),"LinhNTT1")</f>
        <v>LinhNTT1</v>
      </c>
    </row>
    <row r="207">
      <c r="A207" s="265" t="str">
        <f>IFERROR(__xludf.DUMMYFUNCTION("""COMPUTED_VALUE"""),"528")</f>
        <v>528</v>
      </c>
      <c r="B207" s="265" t="str">
        <f>IFERROR(__xludf.DUMMYFUNCTION("""COMPUTED_VALUE"""),"Sài Gòn")</f>
        <v>Sài Gòn</v>
      </c>
      <c r="C207" s="265" t="str">
        <f>IFERROR(__xludf.DUMMYFUNCTION("""COMPUTED_VALUE"""),"Active")</f>
        <v>Active</v>
      </c>
      <c r="D207" s="265" t="str">
        <f>IFERROR(__xludf.DUMMYFUNCTION("""COMPUTED_VALUE"""),"Sale chưa cung cấp")</f>
        <v>Sale chưa cung cấp</v>
      </c>
      <c r="E207" s="265" t="str">
        <f>IFERROR(__xludf.DUMMYFUNCTION("""COMPUTED_VALUE"""),"TúPHN")</f>
        <v>TúPHN</v>
      </c>
      <c r="F207" s="265" t="str">
        <f>IFERROR(__xludf.DUMMYFUNCTION("""COMPUTED_VALUE"""),"Diamond")</f>
        <v>Diamond</v>
      </c>
      <c r="G207" s="265" t="str">
        <f>IFERROR(__xludf.DUMMYFUNCTION("""COMPUTED_VALUE"""),"Enterprise")</f>
        <v>Enterprise</v>
      </c>
      <c r="H207" s="265" t="str">
        <f>IFERROR(__xludf.DUMMYFUNCTION("""COMPUTED_VALUE"""),"Trả sau")</f>
        <v>Trả sau</v>
      </c>
      <c r="I207" s="265" t="str">
        <f>IFERROR(__xludf.DUMMYFUNCTION("""COMPUTED_VALUE"""),"Portal")</f>
        <v>Portal</v>
      </c>
      <c r="J207" s="265" t="str">
        <f>IFERROR(__xludf.DUMMYFUNCTION("""COMPUTED_VALUE"""),"File Excel")</f>
        <v>File Excel</v>
      </c>
      <c r="K207" s="265" t="str">
        <f>IFERROR(__xludf.DUMMYFUNCTION("""COMPUTED_VALUE"""),"LinhNTT1")</f>
        <v>LinhNTT1</v>
      </c>
    </row>
    <row r="208">
      <c r="A208" s="265" t="str">
        <f>IFERROR(__xludf.DUMMYFUNCTION("""COMPUTED_VALUE"""),"529")</f>
        <v>529</v>
      </c>
      <c r="B208" s="265" t="str">
        <f>IFERROR(__xludf.DUMMYFUNCTION("""COMPUTED_VALUE"""),"Hà Nội")</f>
        <v>Hà Nội</v>
      </c>
      <c r="C208" s="265" t="str">
        <f>IFERROR(__xludf.DUMMYFUNCTION("""COMPUTED_VALUE"""),"Locked")</f>
        <v>Locked</v>
      </c>
      <c r="D208" s="265" t="str">
        <f>IFERROR(__xludf.DUMMYFUNCTION("""COMPUTED_VALUE"""),"Sale chưa cung cấp")</f>
        <v>Sale chưa cung cấp</v>
      </c>
      <c r="E208" s="265" t="str">
        <f>IFERROR(__xludf.DUMMYFUNCTION("""COMPUTED_VALUE"""),"PhươngDTB")</f>
        <v>PhươngDTB</v>
      </c>
      <c r="F208" s="265" t="str">
        <f>IFERROR(__xludf.DUMMYFUNCTION("""COMPUTED_VALUE"""),"Bronze")</f>
        <v>Bronze</v>
      </c>
      <c r="G208" s="265" t="str">
        <f>IFERROR(__xludf.DUMMYFUNCTION("""COMPUTED_VALUE"""),"Enterprise")</f>
        <v>Enterprise</v>
      </c>
      <c r="H208" s="265" t="str">
        <f>IFERROR(__xludf.DUMMYFUNCTION("""COMPUTED_VALUE"""),"(Chưa recheck)")</f>
        <v>(Chưa recheck)</v>
      </c>
      <c r="I208" s="265" t="str">
        <f>IFERROR(__xludf.DUMMYFUNCTION("""COMPUTED_VALUE"""),"(Chưa recheck)")</f>
        <v>(Chưa recheck)</v>
      </c>
      <c r="J208" s="265" t="str">
        <f>IFERROR(__xludf.DUMMYFUNCTION("""COMPUTED_VALUE"""),"File Excel")</f>
        <v>File Excel</v>
      </c>
      <c r="K208" s="265" t="str">
        <f>IFERROR(__xludf.DUMMYFUNCTION("""COMPUTED_VALUE"""),"(Chưa recheck)")</f>
        <v>(Chưa recheck)</v>
      </c>
    </row>
    <row r="209">
      <c r="A209" s="265" t="str">
        <f>IFERROR(__xludf.DUMMYFUNCTION("""COMPUTED_VALUE"""),"530")</f>
        <v>530</v>
      </c>
      <c r="B209" s="265" t="str">
        <f>IFERROR(__xludf.DUMMYFUNCTION("""COMPUTED_VALUE"""),"Sài Gòn")</f>
        <v>Sài Gòn</v>
      </c>
      <c r="C209" s="265" t="str">
        <f>IFERROR(__xludf.DUMMYFUNCTION("""COMPUTED_VALUE"""),"Active")</f>
        <v>Active</v>
      </c>
      <c r="D209" s="265" t="str">
        <f>IFERROR(__xludf.DUMMYFUNCTION("""COMPUTED_VALUE"""),"Công nghệ &amp; Phần mềm")</f>
        <v>Công nghệ &amp; Phần mềm</v>
      </c>
      <c r="E209" s="265" t="str">
        <f>IFERROR(__xludf.DUMMYFUNCTION("""COMPUTED_VALUE"""),"TùngLD")</f>
        <v>TùngLD</v>
      </c>
      <c r="F209" s="265" t="str">
        <f>IFERROR(__xludf.DUMMYFUNCTION("""COMPUTED_VALUE"""),"Silver")</f>
        <v>Silver</v>
      </c>
      <c r="G209" s="265" t="str">
        <f>IFERROR(__xludf.DUMMYFUNCTION("""COMPUTED_VALUE"""),"API")</f>
        <v>API</v>
      </c>
      <c r="H209" s="265" t="str">
        <f>IFERROR(__xludf.DUMMYFUNCTION("""COMPUTED_VALUE"""),"Trả sau")</f>
        <v>Trả sau</v>
      </c>
      <c r="I209" s="265" t="str">
        <f>IFERROR(__xludf.DUMMYFUNCTION("""COMPUTED_VALUE"""),"API")</f>
        <v>API</v>
      </c>
      <c r="J209" s="265" t="str">
        <f>IFERROR(__xludf.DUMMYFUNCTION("""COMPUTED_VALUE"""),"API")</f>
        <v>API</v>
      </c>
      <c r="K209" s="265" t="str">
        <f>IFERROR(__xludf.DUMMYFUNCTION("""COMPUTED_VALUE"""),"LinhNTT1")</f>
        <v>LinhNTT1</v>
      </c>
    </row>
    <row r="210">
      <c r="A210" s="265" t="str">
        <f>IFERROR(__xludf.DUMMYFUNCTION("""COMPUTED_VALUE"""),"533")</f>
        <v>533</v>
      </c>
      <c r="B210" s="265" t="str">
        <f>IFERROR(__xludf.DUMMYFUNCTION("""COMPUTED_VALUE"""),"Sài Gòn")</f>
        <v>Sài Gòn</v>
      </c>
      <c r="C210" s="265" t="str">
        <f>IFERROR(__xludf.DUMMYFUNCTION("""COMPUTED_VALUE"""),"Locked")</f>
        <v>Locked</v>
      </c>
      <c r="D210" s="265" t="str">
        <f>IFERROR(__xludf.DUMMYFUNCTION("""COMPUTED_VALUE"""),"Sale chưa cung cấp")</f>
        <v>Sale chưa cung cấp</v>
      </c>
      <c r="E210" s="265" t="str">
        <f>IFERROR(__xludf.DUMMYFUNCTION("""COMPUTED_VALUE"""),"HoaNTM")</f>
        <v>HoaNTM</v>
      </c>
      <c r="F210" s="265" t="str">
        <f>IFERROR(__xludf.DUMMYFUNCTION("""COMPUTED_VALUE"""),"Bronze")</f>
        <v>Bronze</v>
      </c>
      <c r="G210" s="265" t="str">
        <f>IFERROR(__xludf.DUMMYFUNCTION("""COMPUTED_VALUE"""),"Enterprise")</f>
        <v>Enterprise</v>
      </c>
      <c r="H210" s="265" t="str">
        <f>IFERROR(__xludf.DUMMYFUNCTION("""COMPUTED_VALUE"""),"(Chưa recheck)")</f>
        <v>(Chưa recheck)</v>
      </c>
      <c r="I210" s="265" t="str">
        <f>IFERROR(__xludf.DUMMYFUNCTION("""COMPUTED_VALUE"""),"(Chưa recheck)")</f>
        <v>(Chưa recheck)</v>
      </c>
      <c r="J210" s="265" t="str">
        <f>IFERROR(__xludf.DUMMYFUNCTION("""COMPUTED_VALUE"""),"File Excel")</f>
        <v>File Excel</v>
      </c>
      <c r="K210" s="265" t="str">
        <f>IFERROR(__xludf.DUMMYFUNCTION("""COMPUTED_VALUE"""),"(Chưa recheck)")</f>
        <v>(Chưa recheck)</v>
      </c>
    </row>
    <row r="211">
      <c r="A211" s="265" t="str">
        <f>IFERROR(__xludf.DUMMYFUNCTION("""COMPUTED_VALUE"""),"533")</f>
        <v>533</v>
      </c>
      <c r="B211" s="265" t="str">
        <f>IFERROR(__xludf.DUMMYFUNCTION("""COMPUTED_VALUE"""),"Sài Gòn")</f>
        <v>Sài Gòn</v>
      </c>
      <c r="C211" s="265" t="str">
        <f>IFERROR(__xludf.DUMMYFUNCTION("""COMPUTED_VALUE"""),"Locked")</f>
        <v>Locked</v>
      </c>
      <c r="D211" s="265" t="str">
        <f>IFERROR(__xludf.DUMMYFUNCTION("""COMPUTED_VALUE"""),"Sale chưa cung cấp")</f>
        <v>Sale chưa cung cấp</v>
      </c>
      <c r="E211" s="265" t="str">
        <f>IFERROR(__xludf.DUMMYFUNCTION("""COMPUTED_VALUE"""),"HoaNTM")</f>
        <v>HoaNTM</v>
      </c>
      <c r="F211" s="265" t="str">
        <f>IFERROR(__xludf.DUMMYFUNCTION("""COMPUTED_VALUE"""),"Bronze")</f>
        <v>Bronze</v>
      </c>
      <c r="G211" s="265" t="str">
        <f>IFERROR(__xludf.DUMMYFUNCTION("""COMPUTED_VALUE"""),"Enterprise")</f>
        <v>Enterprise</v>
      </c>
      <c r="H211" s="265" t="str">
        <f>IFERROR(__xludf.DUMMYFUNCTION("""COMPUTED_VALUE"""),"(Chưa recheck)")</f>
        <v>(Chưa recheck)</v>
      </c>
      <c r="I211" s="265" t="str">
        <f>IFERROR(__xludf.DUMMYFUNCTION("""COMPUTED_VALUE"""),"(Chưa recheck)")</f>
        <v>(Chưa recheck)</v>
      </c>
      <c r="J211" s="265" t="str">
        <f>IFERROR(__xludf.DUMMYFUNCTION("""COMPUTED_VALUE"""),"API")</f>
        <v>API</v>
      </c>
      <c r="K211" s="265" t="str">
        <f>IFERROR(__xludf.DUMMYFUNCTION("""COMPUTED_VALUE"""),"(Chưa recheck)")</f>
        <v>(Chưa recheck)</v>
      </c>
    </row>
    <row r="212">
      <c r="A212" s="265" t="str">
        <f>IFERROR(__xludf.DUMMYFUNCTION("""COMPUTED_VALUE"""),"533")</f>
        <v>533</v>
      </c>
      <c r="B212" s="265" t="str">
        <f>IFERROR(__xludf.DUMMYFUNCTION("""COMPUTED_VALUE"""),"Sài Gòn")</f>
        <v>Sài Gòn</v>
      </c>
      <c r="C212" s="265" t="str">
        <f>IFERROR(__xludf.DUMMYFUNCTION("""COMPUTED_VALUE"""),"Locked")</f>
        <v>Locked</v>
      </c>
      <c r="D212" s="265" t="str">
        <f>IFERROR(__xludf.DUMMYFUNCTION("""COMPUTED_VALUE"""),"Sale chưa cung cấp")</f>
        <v>Sale chưa cung cấp</v>
      </c>
      <c r="E212" s="265" t="str">
        <f>IFERROR(__xludf.DUMMYFUNCTION("""COMPUTED_VALUE"""),"HoaNTM")</f>
        <v>HoaNTM</v>
      </c>
      <c r="F212" s="265" t="str">
        <f>IFERROR(__xludf.DUMMYFUNCTION("""COMPUTED_VALUE"""),"Bronze")</f>
        <v>Bronze</v>
      </c>
      <c r="G212" s="265" t="str">
        <f>IFERROR(__xludf.DUMMYFUNCTION("""COMPUTED_VALUE"""),"Enterprise")</f>
        <v>Enterprise</v>
      </c>
      <c r="H212" s="265" t="str">
        <f>IFERROR(__xludf.DUMMYFUNCTION("""COMPUTED_VALUE"""),"(Chưa recheck)")</f>
        <v>(Chưa recheck)</v>
      </c>
      <c r="I212" s="265" t="str">
        <f>IFERROR(__xludf.DUMMYFUNCTION("""COMPUTED_VALUE"""),"(Chưa recheck)")</f>
        <v>(Chưa recheck)</v>
      </c>
      <c r="J212" s="265" t="str">
        <f>IFERROR(__xludf.DUMMYFUNCTION("""COMPUTED_VALUE"""),"Kiotviet")</f>
        <v>Kiotviet</v>
      </c>
      <c r="K212" s="265" t="str">
        <f>IFERROR(__xludf.DUMMYFUNCTION("""COMPUTED_VALUE"""),"(Chưa recheck)")</f>
        <v>(Chưa recheck)</v>
      </c>
    </row>
    <row r="213">
      <c r="A213" s="265" t="str">
        <f>IFERROR(__xludf.DUMMYFUNCTION("""COMPUTED_VALUE"""),"532")</f>
        <v>532</v>
      </c>
      <c r="B213" s="265" t="str">
        <f>IFERROR(__xludf.DUMMYFUNCTION("""COMPUTED_VALUE"""),"Hà Nội")</f>
        <v>Hà Nội</v>
      </c>
      <c r="C213" s="265" t="str">
        <f>IFERROR(__xludf.DUMMYFUNCTION("""COMPUTED_VALUE"""),"Locked")</f>
        <v>Locked</v>
      </c>
      <c r="D213" s="265" t="str">
        <f>IFERROR(__xludf.DUMMYFUNCTION("""COMPUTED_VALUE"""),"Sale chưa cung cấp")</f>
        <v>Sale chưa cung cấp</v>
      </c>
      <c r="E213" s="265" t="str">
        <f>IFERROR(__xludf.DUMMYFUNCTION("""COMPUTED_VALUE"""),"TùngLD")</f>
        <v>TùngLD</v>
      </c>
      <c r="F213" s="265" t="str">
        <f>IFERROR(__xludf.DUMMYFUNCTION("""COMPUTED_VALUE"""),"Sale chưa cung cấp")</f>
        <v>Sale chưa cung cấp</v>
      </c>
      <c r="G213" s="265" t="str">
        <f>IFERROR(__xludf.DUMMYFUNCTION("""COMPUTED_VALUE"""),"Enterprise")</f>
        <v>Enterprise</v>
      </c>
      <c r="H213" s="265" t="str">
        <f>IFERROR(__xludf.DUMMYFUNCTION("""COMPUTED_VALUE"""),"Trial")</f>
        <v>Trial</v>
      </c>
      <c r="I213" s="265" t="str">
        <f>IFERROR(__xludf.DUMMYFUNCTION("""COMPUTED_VALUE"""),"Portal")</f>
        <v>Portal</v>
      </c>
      <c r="J213" s="265" t="str">
        <f>IFERROR(__xludf.DUMMYFUNCTION("""COMPUTED_VALUE"""),"File Excel")</f>
        <v>File Excel</v>
      </c>
      <c r="K213" s="265" t="str">
        <f>IFERROR(__xludf.DUMMYFUNCTION("""COMPUTED_VALUE"""),"(Không recheck)")</f>
        <v>(Không recheck)</v>
      </c>
    </row>
    <row r="214">
      <c r="A214" s="265" t="str">
        <f>IFERROR(__xludf.DUMMYFUNCTION("""COMPUTED_VALUE"""),"534")</f>
        <v>534</v>
      </c>
      <c r="B214" s="265" t="str">
        <f>IFERROR(__xludf.DUMMYFUNCTION("""COMPUTED_VALUE"""),"Sài Gòn")</f>
        <v>Sài Gòn</v>
      </c>
      <c r="C214" s="265" t="str">
        <f>IFERROR(__xludf.DUMMYFUNCTION("""COMPUTED_VALUE"""),"Locked")</f>
        <v>Locked</v>
      </c>
      <c r="D214" s="265" t="str">
        <f>IFERROR(__xludf.DUMMYFUNCTION("""COMPUTED_VALUE"""),"Sale chưa cung cấp")</f>
        <v>Sale chưa cung cấp</v>
      </c>
      <c r="E214" s="265" t="str">
        <f>IFERROR(__xludf.DUMMYFUNCTION("""COMPUTED_VALUE"""),"HoaNTM")</f>
        <v>HoaNTM</v>
      </c>
      <c r="F214" s="265" t="str">
        <f>IFERROR(__xludf.DUMMYFUNCTION("""COMPUTED_VALUE"""),"Bronze")</f>
        <v>Bronze</v>
      </c>
      <c r="G214" s="265" t="str">
        <f>IFERROR(__xludf.DUMMYFUNCTION("""COMPUTED_VALUE"""),"Enterprise")</f>
        <v>Enterprise</v>
      </c>
      <c r="H214" s="265" t="str">
        <f>IFERROR(__xludf.DUMMYFUNCTION("""COMPUTED_VALUE"""),"(Chưa recheck)")</f>
        <v>(Chưa recheck)</v>
      </c>
      <c r="I214" s="265" t="str">
        <f>IFERROR(__xludf.DUMMYFUNCTION("""COMPUTED_VALUE"""),"(Chưa recheck)")</f>
        <v>(Chưa recheck)</v>
      </c>
      <c r="J214" s="265" t="str">
        <f>IFERROR(__xludf.DUMMYFUNCTION("""COMPUTED_VALUE"""),"File Excel")</f>
        <v>File Excel</v>
      </c>
      <c r="K214" s="265" t="str">
        <f>IFERROR(__xludf.DUMMYFUNCTION("""COMPUTED_VALUE"""),"AnhNM")</f>
        <v>AnhNM</v>
      </c>
    </row>
    <row r="215">
      <c r="A215" s="265" t="str">
        <f>IFERROR(__xludf.DUMMYFUNCTION("""COMPUTED_VALUE"""),"534")</f>
        <v>534</v>
      </c>
      <c r="B215" s="265" t="str">
        <f>IFERROR(__xludf.DUMMYFUNCTION("""COMPUTED_VALUE"""),"Sài Gòn")</f>
        <v>Sài Gòn</v>
      </c>
      <c r="C215" s="265" t="str">
        <f>IFERROR(__xludf.DUMMYFUNCTION("""COMPUTED_VALUE"""),"Locked")</f>
        <v>Locked</v>
      </c>
      <c r="D215" s="265" t="str">
        <f>IFERROR(__xludf.DUMMYFUNCTION("""COMPUTED_VALUE"""),"Sale chưa cung cấp")</f>
        <v>Sale chưa cung cấp</v>
      </c>
      <c r="E215" s="265" t="str">
        <f>IFERROR(__xludf.DUMMYFUNCTION("""COMPUTED_VALUE"""),"HoaNTM")</f>
        <v>HoaNTM</v>
      </c>
      <c r="F215" s="265" t="str">
        <f>IFERROR(__xludf.DUMMYFUNCTION("""COMPUTED_VALUE"""),"Bronze")</f>
        <v>Bronze</v>
      </c>
      <c r="G215" s="265" t="str">
        <f>IFERROR(__xludf.DUMMYFUNCTION("""COMPUTED_VALUE"""),"Enterprise")</f>
        <v>Enterprise</v>
      </c>
      <c r="H215" s="265" t="str">
        <f>IFERROR(__xludf.DUMMYFUNCTION("""COMPUTED_VALUE"""),"(Chưa recheck)")</f>
        <v>(Chưa recheck)</v>
      </c>
      <c r="I215" s="265" t="str">
        <f>IFERROR(__xludf.DUMMYFUNCTION("""COMPUTED_VALUE"""),"(Chưa recheck)")</f>
        <v>(Chưa recheck)</v>
      </c>
      <c r="J215" s="265" t="str">
        <f>IFERROR(__xludf.DUMMYFUNCTION("""COMPUTED_VALUE"""),"API")</f>
        <v>API</v>
      </c>
      <c r="K215" s="265" t="str">
        <f>IFERROR(__xludf.DUMMYFUNCTION("""COMPUTED_VALUE"""),"AnhNM")</f>
        <v>AnhNM</v>
      </c>
    </row>
    <row r="216">
      <c r="A216" s="265" t="str">
        <f>IFERROR(__xludf.DUMMYFUNCTION("""COMPUTED_VALUE"""),"534")</f>
        <v>534</v>
      </c>
      <c r="B216" s="265" t="str">
        <f>IFERROR(__xludf.DUMMYFUNCTION("""COMPUTED_VALUE"""),"Sài Gòn")</f>
        <v>Sài Gòn</v>
      </c>
      <c r="C216" s="265" t="str">
        <f>IFERROR(__xludf.DUMMYFUNCTION("""COMPUTED_VALUE"""),"Locked")</f>
        <v>Locked</v>
      </c>
      <c r="D216" s="265" t="str">
        <f>IFERROR(__xludf.DUMMYFUNCTION("""COMPUTED_VALUE"""),"Sale chưa cung cấp")</f>
        <v>Sale chưa cung cấp</v>
      </c>
      <c r="E216" s="265" t="str">
        <f>IFERROR(__xludf.DUMMYFUNCTION("""COMPUTED_VALUE"""),"HoaNTM")</f>
        <v>HoaNTM</v>
      </c>
      <c r="F216" s="265" t="str">
        <f>IFERROR(__xludf.DUMMYFUNCTION("""COMPUTED_VALUE"""),"Bronze")</f>
        <v>Bronze</v>
      </c>
      <c r="G216" s="265" t="str">
        <f>IFERROR(__xludf.DUMMYFUNCTION("""COMPUTED_VALUE"""),"Enterprise")</f>
        <v>Enterprise</v>
      </c>
      <c r="H216" s="265" t="str">
        <f>IFERROR(__xludf.DUMMYFUNCTION("""COMPUTED_VALUE"""),"(Chưa recheck)")</f>
        <v>(Chưa recheck)</v>
      </c>
      <c r="I216" s="265" t="str">
        <f>IFERROR(__xludf.DUMMYFUNCTION("""COMPUTED_VALUE"""),"(Chưa recheck)")</f>
        <v>(Chưa recheck)</v>
      </c>
      <c r="J216" s="265" t="str">
        <f>IFERROR(__xludf.DUMMYFUNCTION("""COMPUTED_VALUE"""),"Kiotviet")</f>
        <v>Kiotviet</v>
      </c>
      <c r="K216" s="265" t="str">
        <f>IFERROR(__xludf.DUMMYFUNCTION("""COMPUTED_VALUE"""),"AnhNM")</f>
        <v>AnhNM</v>
      </c>
    </row>
    <row r="217">
      <c r="A217" s="265" t="str">
        <f>IFERROR(__xludf.DUMMYFUNCTION("""COMPUTED_VALUE"""),"535")</f>
        <v>535</v>
      </c>
      <c r="B217" s="265" t="str">
        <f>IFERROR(__xludf.DUMMYFUNCTION("""COMPUTED_VALUE"""),"Sài Gòn")</f>
        <v>Sài Gòn</v>
      </c>
      <c r="C217" s="265" t="str">
        <f>IFERROR(__xludf.DUMMYFUNCTION("""COMPUTED_VALUE"""),"Locked")</f>
        <v>Locked</v>
      </c>
      <c r="D217" s="265" t="str">
        <f>IFERROR(__xludf.DUMMYFUNCTION("""COMPUTED_VALUE"""),"Sale chưa cung cấp")</f>
        <v>Sale chưa cung cấp</v>
      </c>
      <c r="E217" s="265" t="str">
        <f>IFERROR(__xludf.DUMMYFUNCTION("""COMPUTED_VALUE"""),"HoaNTM")</f>
        <v>HoaNTM</v>
      </c>
      <c r="F217" s="265" t="str">
        <f>IFERROR(__xludf.DUMMYFUNCTION("""COMPUTED_VALUE"""),"Sale chưa cung cấp")</f>
        <v>Sale chưa cung cấp</v>
      </c>
      <c r="G217" s="265" t="str">
        <f>IFERROR(__xludf.DUMMYFUNCTION("""COMPUTED_VALUE"""),"Enterprise")</f>
        <v>Enterprise</v>
      </c>
      <c r="H217" s="265" t="str">
        <f>IFERROR(__xludf.DUMMYFUNCTION("""COMPUTED_VALUE"""),"Trial")</f>
        <v>Trial</v>
      </c>
      <c r="I217" s="265" t="str">
        <f>IFERROR(__xludf.DUMMYFUNCTION("""COMPUTED_VALUE"""),"(Không recheck)")</f>
        <v>(Không recheck)</v>
      </c>
      <c r="J217" s="265" t="str">
        <f>IFERROR(__xludf.DUMMYFUNCTION("""COMPUTED_VALUE"""),"API")</f>
        <v>API</v>
      </c>
      <c r="K217" s="265" t="str">
        <f>IFERROR(__xludf.DUMMYFUNCTION("""COMPUTED_VALUE"""),"(Không recheck)")</f>
        <v>(Không recheck)</v>
      </c>
    </row>
    <row r="218">
      <c r="A218" s="265" t="str">
        <f>IFERROR(__xludf.DUMMYFUNCTION("""COMPUTED_VALUE"""),"536")</f>
        <v>536</v>
      </c>
      <c r="B218" s="265" t="str">
        <f>IFERROR(__xludf.DUMMYFUNCTION("""COMPUTED_VALUE"""),"Hà Nội")</f>
        <v>Hà Nội</v>
      </c>
      <c r="C218" s="265" t="str">
        <f>IFERROR(__xludf.DUMMYFUNCTION("""COMPUTED_VALUE"""),"Active")</f>
        <v>Active</v>
      </c>
      <c r="D218" s="265" t="str">
        <f>IFERROR(__xludf.DUMMYFUNCTION("""COMPUTED_VALUE"""),"Sale chưa cung cấp")</f>
        <v>Sale chưa cung cấp</v>
      </c>
      <c r="E218" s="265" t="str">
        <f>IFERROR(__xludf.DUMMYFUNCTION("""COMPUTED_VALUE"""),"TùngLD")</f>
        <v>TùngLD</v>
      </c>
      <c r="F218" s="265" t="str">
        <f>IFERROR(__xludf.DUMMYFUNCTION("""COMPUTED_VALUE"""),"Silver")</f>
        <v>Silver</v>
      </c>
      <c r="G218" s="265" t="str">
        <f>IFERROR(__xludf.DUMMYFUNCTION("""COMPUTED_VALUE"""),"API")</f>
        <v>API</v>
      </c>
      <c r="H218" s="265" t="str">
        <f>IFERROR(__xludf.DUMMYFUNCTION("""COMPUTED_VALUE"""),"Trả sau")</f>
        <v>Trả sau</v>
      </c>
      <c r="I218" s="265" t="str">
        <f>IFERROR(__xludf.DUMMYFUNCTION("""COMPUTED_VALUE"""),"API")</f>
        <v>API</v>
      </c>
      <c r="J218" s="265" t="str">
        <f>IFERROR(__xludf.DUMMYFUNCTION("""COMPUTED_VALUE"""),"API")</f>
        <v>API</v>
      </c>
      <c r="K218" s="265" t="str">
        <f>IFERROR(__xludf.DUMMYFUNCTION("""COMPUTED_VALUE"""),"Không phân công")</f>
        <v>Không phân công</v>
      </c>
    </row>
    <row r="219">
      <c r="A219" s="265" t="str">
        <f>IFERROR(__xludf.DUMMYFUNCTION("""COMPUTED_VALUE"""),"537")</f>
        <v>537</v>
      </c>
      <c r="B219" s="265" t="str">
        <f>IFERROR(__xludf.DUMMYFUNCTION("""COMPUTED_VALUE"""),"Hà Nội")</f>
        <v>Hà Nội</v>
      </c>
      <c r="C219" s="265" t="str">
        <f>IFERROR(__xludf.DUMMYFUNCTION("""COMPUTED_VALUE"""),"Locked")</f>
        <v>Locked</v>
      </c>
      <c r="D219" s="265" t="str">
        <f>IFERROR(__xludf.DUMMYFUNCTION("""COMPUTED_VALUE"""),"Sale chưa cung cấp")</f>
        <v>Sale chưa cung cấp</v>
      </c>
      <c r="E219" s="265" t="str">
        <f>IFERROR(__xludf.DUMMYFUNCTION("""COMPUTED_VALUE"""),"TùngLD")</f>
        <v>TùngLD</v>
      </c>
      <c r="F219" s="265" t="str">
        <f>IFERROR(__xludf.DUMMYFUNCTION("""COMPUTED_VALUE"""),"Bronze")</f>
        <v>Bronze</v>
      </c>
      <c r="G219" s="265" t="str">
        <f>IFERROR(__xludf.DUMMYFUNCTION("""COMPUTED_VALUE"""),"API")</f>
        <v>API</v>
      </c>
      <c r="H219" s="265" t="str">
        <f>IFERROR(__xludf.DUMMYFUNCTION("""COMPUTED_VALUE"""),"(Chưa recheck)")</f>
        <v>(Chưa recheck)</v>
      </c>
      <c r="I219" s="265" t="str">
        <f>IFERROR(__xludf.DUMMYFUNCTION("""COMPUTED_VALUE"""),"API &amp; Portal")</f>
        <v>API &amp; Portal</v>
      </c>
      <c r="J219" s="265" t="str">
        <f>IFERROR(__xludf.DUMMYFUNCTION("""COMPUTED_VALUE"""),"API")</f>
        <v>API</v>
      </c>
      <c r="K219" s="265" t="str">
        <f>IFERROR(__xludf.DUMMYFUNCTION("""COMPUTED_VALUE"""),"TuVTC")</f>
        <v>TuVTC</v>
      </c>
    </row>
    <row r="220">
      <c r="A220" s="265" t="str">
        <f>IFERROR(__xludf.DUMMYFUNCTION("""COMPUTED_VALUE"""),"538")</f>
        <v>538</v>
      </c>
      <c r="B220" s="265" t="str">
        <f>IFERROR(__xludf.DUMMYFUNCTION("""COMPUTED_VALUE"""),"Hà Nội")</f>
        <v>Hà Nội</v>
      </c>
      <c r="C220" s="265" t="str">
        <f>IFERROR(__xludf.DUMMYFUNCTION("""COMPUTED_VALUE"""),"Locked")</f>
        <v>Locked</v>
      </c>
      <c r="D220" s="265" t="str">
        <f>IFERROR(__xludf.DUMMYFUNCTION("""COMPUTED_VALUE"""),"Sale chưa cung cấp")</f>
        <v>Sale chưa cung cấp</v>
      </c>
      <c r="E220" s="265" t="str">
        <f>IFERROR(__xludf.DUMMYFUNCTION("""COMPUTED_VALUE"""),"TùngLD")</f>
        <v>TùngLD</v>
      </c>
      <c r="F220" s="265" t="str">
        <f>IFERROR(__xludf.DUMMYFUNCTION("""COMPUTED_VALUE"""),"Sale chưa cung cấp")</f>
        <v>Sale chưa cung cấp</v>
      </c>
      <c r="G220" s="265" t="str">
        <f>IFERROR(__xludf.DUMMYFUNCTION("""COMPUTED_VALUE"""),"Enterprise")</f>
        <v>Enterprise</v>
      </c>
      <c r="H220" s="265" t="str">
        <f>IFERROR(__xludf.DUMMYFUNCTION("""COMPUTED_VALUE"""),"Trial")</f>
        <v>Trial</v>
      </c>
      <c r="I220" s="265" t="str">
        <f>IFERROR(__xludf.DUMMYFUNCTION("""COMPUTED_VALUE"""),"Portal")</f>
        <v>Portal</v>
      </c>
      <c r="J220" s="265" t="str">
        <f>IFERROR(__xludf.DUMMYFUNCTION("""COMPUTED_VALUE"""),"File Excel")</f>
        <v>File Excel</v>
      </c>
      <c r="K220" s="265" t="str">
        <f>IFERROR(__xludf.DUMMYFUNCTION("""COMPUTED_VALUE"""),"(Không recheck)")</f>
        <v>(Không recheck)</v>
      </c>
    </row>
    <row r="221">
      <c r="A221" s="265" t="str">
        <f>IFERROR(__xludf.DUMMYFUNCTION("""COMPUTED_VALUE"""),"539")</f>
        <v>539</v>
      </c>
      <c r="B221" s="265" t="str">
        <f>IFERROR(__xludf.DUMMYFUNCTION("""COMPUTED_VALUE"""),"Sài Gòn")</f>
        <v>Sài Gòn</v>
      </c>
      <c r="C221" s="265" t="str">
        <f>IFERROR(__xludf.DUMMYFUNCTION("""COMPUTED_VALUE"""),"Locked")</f>
        <v>Locked</v>
      </c>
      <c r="D221" s="265" t="str">
        <f>IFERROR(__xludf.DUMMYFUNCTION("""COMPUTED_VALUE"""),"Sale chưa cung cấp")</f>
        <v>Sale chưa cung cấp</v>
      </c>
      <c r="E221" s="265" t="str">
        <f>IFERROR(__xludf.DUMMYFUNCTION("""COMPUTED_VALUE"""),"(Không recheck)")</f>
        <v>(Không recheck)</v>
      </c>
      <c r="F221" s="265" t="str">
        <f>IFERROR(__xludf.DUMMYFUNCTION("""COMPUTED_VALUE"""),"Diamond")</f>
        <v>Diamond</v>
      </c>
      <c r="G221" s="265" t="str">
        <f>IFERROR(__xludf.DUMMYFUNCTION("""COMPUTED_VALUE"""),"API")</f>
        <v>API</v>
      </c>
      <c r="H221" s="265" t="str">
        <f>IFERROR(__xludf.DUMMYFUNCTION("""COMPUTED_VALUE"""),"Trial")</f>
        <v>Trial</v>
      </c>
      <c r="I221" s="265" t="str">
        <f>IFERROR(__xludf.DUMMYFUNCTION("""COMPUTED_VALUE"""),"(Không recheck)")</f>
        <v>(Không recheck)</v>
      </c>
      <c r="J221" s="265" t="str">
        <f>IFERROR(__xludf.DUMMYFUNCTION("""COMPUTED_VALUE"""),"API")</f>
        <v>API</v>
      </c>
      <c r="K221" s="265" t="str">
        <f>IFERROR(__xludf.DUMMYFUNCTION("""COMPUTED_VALUE"""),"(Không recheck)")</f>
        <v>(Không recheck)</v>
      </c>
    </row>
    <row r="222">
      <c r="A222" s="265" t="str">
        <f>IFERROR(__xludf.DUMMYFUNCTION("""COMPUTED_VALUE"""),"216")</f>
        <v>216</v>
      </c>
      <c r="B222" s="265" t="str">
        <f>IFERROR(__xludf.DUMMYFUNCTION("""COMPUTED_VALUE"""),"Hà Nội")</f>
        <v>Hà Nội</v>
      </c>
      <c r="C222" s="265" t="str">
        <f>IFERROR(__xludf.DUMMYFUNCTION("""COMPUTED_VALUE"""),"Active")</f>
        <v>Active</v>
      </c>
      <c r="D222" s="265" t="str">
        <f>IFERROR(__xludf.DUMMYFUNCTION("""COMPUTED_VALUE"""),"Sale chưa cung cấp")</f>
        <v>Sale chưa cung cấp</v>
      </c>
      <c r="E222" s="265" t="str">
        <f>IFERROR(__xludf.DUMMYFUNCTION("""COMPUTED_VALUE"""),"Không phân công")</f>
        <v>Không phân công</v>
      </c>
      <c r="F222" s="265" t="str">
        <f>IFERROR(__xludf.DUMMYFUNCTION("""COMPUTED_VALUE"""),"Bronze")</f>
        <v>Bronze</v>
      </c>
      <c r="G222" s="265" t="str">
        <f>IFERROR(__xludf.DUMMYFUNCTION("""COMPUTED_VALUE"""),"Enterprise")</f>
        <v>Enterprise</v>
      </c>
      <c r="H222" s="265" t="str">
        <f>IFERROR(__xludf.DUMMYFUNCTION("""COMPUTED_VALUE"""),"Trả sau")</f>
        <v>Trả sau</v>
      </c>
      <c r="I222" s="265" t="str">
        <f>IFERROR(__xludf.DUMMYFUNCTION("""COMPUTED_VALUE"""),"API &amp; Portal")</f>
        <v>API &amp; Portal</v>
      </c>
      <c r="J222" s="265" t="str">
        <f>IFERROR(__xludf.DUMMYFUNCTION("""COMPUTED_VALUE"""),"File Excel")</f>
        <v>File Excel</v>
      </c>
      <c r="K222" s="265" t="str">
        <f>IFERROR(__xludf.DUMMYFUNCTION("""COMPUTED_VALUE"""),"LinhNTT1")</f>
        <v>LinhNTT1</v>
      </c>
    </row>
    <row r="223">
      <c r="A223" s="265" t="str">
        <f>IFERROR(__xludf.DUMMYFUNCTION("""COMPUTED_VALUE"""),"541")</f>
        <v>541</v>
      </c>
      <c r="B223" s="265" t="str">
        <f>IFERROR(__xludf.DUMMYFUNCTION("""COMPUTED_VALUE"""),"Sài Gòn")</f>
        <v>Sài Gòn</v>
      </c>
      <c r="C223" s="265" t="str">
        <f>IFERROR(__xludf.DUMMYFUNCTION("""COMPUTED_VALUE"""),"Active")</f>
        <v>Active</v>
      </c>
      <c r="D223" s="265" t="str">
        <f>IFERROR(__xludf.DUMMYFUNCTION("""COMPUTED_VALUE"""),"Sale chưa cung cấp")</f>
        <v>Sale chưa cung cấp</v>
      </c>
      <c r="E223" s="265" t="str">
        <f>IFERROR(__xludf.DUMMYFUNCTION("""COMPUTED_VALUE"""),"AnhNM")</f>
        <v>AnhNM</v>
      </c>
      <c r="F223" s="265" t="str">
        <f>IFERROR(__xludf.DUMMYFUNCTION("""COMPUTED_VALUE"""),"Gold")</f>
        <v>Gold</v>
      </c>
      <c r="G223" s="265" t="str">
        <f>IFERROR(__xludf.DUMMYFUNCTION("""COMPUTED_VALUE"""),"Enterprise")</f>
        <v>Enterprise</v>
      </c>
      <c r="H223" s="265" t="str">
        <f>IFERROR(__xludf.DUMMYFUNCTION("""COMPUTED_VALUE"""),"Trả sau")</f>
        <v>Trả sau</v>
      </c>
      <c r="I223" s="265" t="str">
        <f>IFERROR(__xludf.DUMMYFUNCTION("""COMPUTED_VALUE"""),"API &amp; Portal")</f>
        <v>API &amp; Portal</v>
      </c>
      <c r="J223" s="265" t="str">
        <f>IFERROR(__xludf.DUMMYFUNCTION("""COMPUTED_VALUE"""),"File Excel")</f>
        <v>File Excel</v>
      </c>
      <c r="K223" s="265" t="str">
        <f>IFERROR(__xludf.DUMMYFUNCTION("""COMPUTED_VALUE"""),"LinhNTT1")</f>
        <v>LinhNTT1</v>
      </c>
    </row>
    <row r="224">
      <c r="A224" s="265" t="str">
        <f>IFERROR(__xludf.DUMMYFUNCTION("""COMPUTED_VALUE"""),"541")</f>
        <v>541</v>
      </c>
      <c r="B224" s="265" t="str">
        <f>IFERROR(__xludf.DUMMYFUNCTION("""COMPUTED_VALUE"""),"Sài Gòn")</f>
        <v>Sài Gòn</v>
      </c>
      <c r="C224" s="265" t="str">
        <f>IFERROR(__xludf.DUMMYFUNCTION("""COMPUTED_VALUE"""),"Active")</f>
        <v>Active</v>
      </c>
      <c r="D224" s="265" t="str">
        <f>IFERROR(__xludf.DUMMYFUNCTION("""COMPUTED_VALUE"""),"Sale chưa cung cấp")</f>
        <v>Sale chưa cung cấp</v>
      </c>
      <c r="E224" s="265" t="str">
        <f>IFERROR(__xludf.DUMMYFUNCTION("""COMPUTED_VALUE"""),"AnhNM")</f>
        <v>AnhNM</v>
      </c>
      <c r="F224" s="265" t="str">
        <f>IFERROR(__xludf.DUMMYFUNCTION("""COMPUTED_VALUE"""),"Gold")</f>
        <v>Gold</v>
      </c>
      <c r="G224" s="265" t="str">
        <f>IFERROR(__xludf.DUMMYFUNCTION("""COMPUTED_VALUE"""),"Enterprise")</f>
        <v>Enterprise</v>
      </c>
      <c r="H224" s="265" t="str">
        <f>IFERROR(__xludf.DUMMYFUNCTION("""COMPUTED_VALUE"""),"Trả sau")</f>
        <v>Trả sau</v>
      </c>
      <c r="I224" s="265" t="str">
        <f>IFERROR(__xludf.DUMMYFUNCTION("""COMPUTED_VALUE"""),"API &amp; Portal")</f>
        <v>API &amp; Portal</v>
      </c>
      <c r="J224" s="265" t="str">
        <f>IFERROR(__xludf.DUMMYFUNCTION("""COMPUTED_VALUE"""),"API")</f>
        <v>API</v>
      </c>
      <c r="K224" s="265" t="str">
        <f>IFERROR(__xludf.DUMMYFUNCTION("""COMPUTED_VALUE"""),"LinhNTT1")</f>
        <v>LinhNTT1</v>
      </c>
    </row>
    <row r="225">
      <c r="A225" s="265" t="str">
        <f>IFERROR(__xludf.DUMMYFUNCTION("""COMPUTED_VALUE"""),"542")</f>
        <v>542</v>
      </c>
      <c r="B225" s="265" t="str">
        <f>IFERROR(__xludf.DUMMYFUNCTION("""COMPUTED_VALUE"""),"Sài Gòn")</f>
        <v>Sài Gòn</v>
      </c>
      <c r="C225" s="265" t="str">
        <f>IFERROR(__xludf.DUMMYFUNCTION("""COMPUTED_VALUE"""),"Locked")</f>
        <v>Locked</v>
      </c>
      <c r="D225" s="265" t="str">
        <f>IFERROR(__xludf.DUMMYFUNCTION("""COMPUTED_VALUE"""),"Sale chưa cung cấp")</f>
        <v>Sale chưa cung cấp</v>
      </c>
      <c r="E225" s="265" t="str">
        <f>IFERROR(__xludf.DUMMYFUNCTION("""COMPUTED_VALUE"""),"HoaNTM")</f>
        <v>HoaNTM</v>
      </c>
      <c r="F225" s="265" t="str">
        <f>IFERROR(__xludf.DUMMYFUNCTION("""COMPUTED_VALUE"""),"Sale chưa cung cấp")</f>
        <v>Sale chưa cung cấp</v>
      </c>
      <c r="G225" s="265" t="str">
        <f>IFERROR(__xludf.DUMMYFUNCTION("""COMPUTED_VALUE"""),"Enterprise")</f>
        <v>Enterprise</v>
      </c>
      <c r="H225" s="265" t="str">
        <f>IFERROR(__xludf.DUMMYFUNCTION("""COMPUTED_VALUE"""),"(Chưa recheck)")</f>
        <v>(Chưa recheck)</v>
      </c>
      <c r="I225" s="265" t="str">
        <f>IFERROR(__xludf.DUMMYFUNCTION("""COMPUTED_VALUE"""),"(Chưa recheck)")</f>
        <v>(Chưa recheck)</v>
      </c>
      <c r="J225" s="265" t="str">
        <f>IFERROR(__xludf.DUMMYFUNCTION("""COMPUTED_VALUE"""),"File Excel")</f>
        <v>File Excel</v>
      </c>
      <c r="K225" s="265" t="str">
        <f>IFERROR(__xludf.DUMMYFUNCTION("""COMPUTED_VALUE"""),"AnhNM")</f>
        <v>AnhNM</v>
      </c>
    </row>
    <row r="226">
      <c r="A226" s="265" t="str">
        <f>IFERROR(__xludf.DUMMYFUNCTION("""COMPUTED_VALUE"""),"542")</f>
        <v>542</v>
      </c>
      <c r="B226" s="265" t="str">
        <f>IFERROR(__xludf.DUMMYFUNCTION("""COMPUTED_VALUE"""),"Sài Gòn")</f>
        <v>Sài Gòn</v>
      </c>
      <c r="C226" s="265" t="str">
        <f>IFERROR(__xludf.DUMMYFUNCTION("""COMPUTED_VALUE"""),"Locked")</f>
        <v>Locked</v>
      </c>
      <c r="D226" s="265" t="str">
        <f>IFERROR(__xludf.DUMMYFUNCTION("""COMPUTED_VALUE"""),"Sale chưa cung cấp")</f>
        <v>Sale chưa cung cấp</v>
      </c>
      <c r="E226" s="265" t="str">
        <f>IFERROR(__xludf.DUMMYFUNCTION("""COMPUTED_VALUE"""),"HoaNTM")</f>
        <v>HoaNTM</v>
      </c>
      <c r="F226" s="265" t="str">
        <f>IFERROR(__xludf.DUMMYFUNCTION("""COMPUTED_VALUE"""),"Sale chưa cung cấp")</f>
        <v>Sale chưa cung cấp</v>
      </c>
      <c r="G226" s="265" t="str">
        <f>IFERROR(__xludf.DUMMYFUNCTION("""COMPUTED_VALUE"""),"Enterprise")</f>
        <v>Enterprise</v>
      </c>
      <c r="H226" s="265" t="str">
        <f>IFERROR(__xludf.DUMMYFUNCTION("""COMPUTED_VALUE"""),"(Chưa recheck)")</f>
        <v>(Chưa recheck)</v>
      </c>
      <c r="I226" s="265" t="str">
        <f>IFERROR(__xludf.DUMMYFUNCTION("""COMPUTED_VALUE"""),"(Chưa recheck)")</f>
        <v>(Chưa recheck)</v>
      </c>
      <c r="J226" s="265" t="str">
        <f>IFERROR(__xludf.DUMMYFUNCTION("""COMPUTED_VALUE"""),"API")</f>
        <v>API</v>
      </c>
      <c r="K226" s="265" t="str">
        <f>IFERROR(__xludf.DUMMYFUNCTION("""COMPUTED_VALUE"""),"AnhNM")</f>
        <v>AnhNM</v>
      </c>
    </row>
    <row r="227">
      <c r="A227" s="265" t="str">
        <f>IFERROR(__xludf.DUMMYFUNCTION("""COMPUTED_VALUE"""),"542")</f>
        <v>542</v>
      </c>
      <c r="B227" s="265" t="str">
        <f>IFERROR(__xludf.DUMMYFUNCTION("""COMPUTED_VALUE"""),"Sài Gòn")</f>
        <v>Sài Gòn</v>
      </c>
      <c r="C227" s="265" t="str">
        <f>IFERROR(__xludf.DUMMYFUNCTION("""COMPUTED_VALUE"""),"Locked")</f>
        <v>Locked</v>
      </c>
      <c r="D227" s="265" t="str">
        <f>IFERROR(__xludf.DUMMYFUNCTION("""COMPUTED_VALUE"""),"Sale chưa cung cấp")</f>
        <v>Sale chưa cung cấp</v>
      </c>
      <c r="E227" s="265" t="str">
        <f>IFERROR(__xludf.DUMMYFUNCTION("""COMPUTED_VALUE"""),"HoaNTM")</f>
        <v>HoaNTM</v>
      </c>
      <c r="F227" s="265" t="str">
        <f>IFERROR(__xludf.DUMMYFUNCTION("""COMPUTED_VALUE"""),"Sale chưa cung cấp")</f>
        <v>Sale chưa cung cấp</v>
      </c>
      <c r="G227" s="265" t="str">
        <f>IFERROR(__xludf.DUMMYFUNCTION("""COMPUTED_VALUE"""),"Enterprise")</f>
        <v>Enterprise</v>
      </c>
      <c r="H227" s="265" t="str">
        <f>IFERROR(__xludf.DUMMYFUNCTION("""COMPUTED_VALUE"""),"(Chưa recheck)")</f>
        <v>(Chưa recheck)</v>
      </c>
      <c r="I227" s="265" t="str">
        <f>IFERROR(__xludf.DUMMYFUNCTION("""COMPUTED_VALUE"""),"(Chưa recheck)")</f>
        <v>(Chưa recheck)</v>
      </c>
      <c r="J227" s="265" t="str">
        <f>IFERROR(__xludf.DUMMYFUNCTION("""COMPUTED_VALUE"""),"Kiotviet")</f>
        <v>Kiotviet</v>
      </c>
      <c r="K227" s="265" t="str">
        <f>IFERROR(__xludf.DUMMYFUNCTION("""COMPUTED_VALUE"""),"AnhNM")</f>
        <v>AnhNM</v>
      </c>
    </row>
    <row r="228">
      <c r="A228" s="265" t="str">
        <f>IFERROR(__xludf.DUMMYFUNCTION("""COMPUTED_VALUE"""),"544")</f>
        <v>544</v>
      </c>
      <c r="B228" s="265" t="str">
        <f>IFERROR(__xludf.DUMMYFUNCTION("""COMPUTED_VALUE"""),"Sài Gòn")</f>
        <v>Sài Gòn</v>
      </c>
      <c r="C228" s="265" t="str">
        <f>IFERROR(__xludf.DUMMYFUNCTION("""COMPUTED_VALUE"""),"Locked")</f>
        <v>Locked</v>
      </c>
      <c r="D228" s="265" t="str">
        <f>IFERROR(__xludf.DUMMYFUNCTION("""COMPUTED_VALUE"""),"Sale chưa cung cấp")</f>
        <v>Sale chưa cung cấp</v>
      </c>
      <c r="E228" s="265" t="str">
        <f>IFERROR(__xludf.DUMMYFUNCTION("""COMPUTED_VALUE"""),"TùngLD")</f>
        <v>TùngLD</v>
      </c>
      <c r="F228" s="265" t="str">
        <f>IFERROR(__xludf.DUMMYFUNCTION("""COMPUTED_VALUE"""),"Sale chưa cung cấp")</f>
        <v>Sale chưa cung cấp</v>
      </c>
      <c r="G228" s="265" t="str">
        <f>IFERROR(__xludf.DUMMYFUNCTION("""COMPUTED_VALUE"""),"MSG")</f>
        <v>MSG</v>
      </c>
      <c r="H228" s="265" t="str">
        <f>IFERROR(__xludf.DUMMYFUNCTION("""COMPUTED_VALUE"""),"(Chưa recheck)")</f>
        <v>(Chưa recheck)</v>
      </c>
      <c r="I228" s="265" t="str">
        <f>IFERROR(__xludf.DUMMYFUNCTION("""COMPUTED_VALUE"""),"(Chưa recheck)")</f>
        <v>(Chưa recheck)</v>
      </c>
      <c r="J228" s="265" t="str">
        <f>IFERROR(__xludf.DUMMYFUNCTION("""COMPUTED_VALUE"""),"File Excel")</f>
        <v>File Excel</v>
      </c>
      <c r="K228" s="265" t="str">
        <f>IFERROR(__xludf.DUMMYFUNCTION("""COMPUTED_VALUE"""),"AnhNM")</f>
        <v>AnhNM</v>
      </c>
    </row>
    <row r="229">
      <c r="A229" s="265" t="str">
        <f>IFERROR(__xludf.DUMMYFUNCTION("""COMPUTED_VALUE"""),"545")</f>
        <v>545</v>
      </c>
      <c r="B229" s="265" t="str">
        <f>IFERROR(__xludf.DUMMYFUNCTION("""COMPUTED_VALUE"""),"Sài Gòn")</f>
        <v>Sài Gòn</v>
      </c>
      <c r="C229" s="265" t="str">
        <f>IFERROR(__xludf.DUMMYFUNCTION("""COMPUTED_VALUE"""),"Locked")</f>
        <v>Locked</v>
      </c>
      <c r="D229" s="265" t="str">
        <f>IFERROR(__xludf.DUMMYFUNCTION("""COMPUTED_VALUE"""),"Sale chưa cung cấp")</f>
        <v>Sale chưa cung cấp</v>
      </c>
      <c r="E229" s="265" t="str">
        <f>IFERROR(__xludf.DUMMYFUNCTION("""COMPUTED_VALUE"""),"HoaNTM")</f>
        <v>HoaNTM</v>
      </c>
      <c r="F229" s="265" t="str">
        <f>IFERROR(__xludf.DUMMYFUNCTION("""COMPUTED_VALUE"""),"Gold")</f>
        <v>Gold</v>
      </c>
      <c r="G229" s="265" t="str">
        <f>IFERROR(__xludf.DUMMYFUNCTION("""COMPUTED_VALUE"""),"API")</f>
        <v>API</v>
      </c>
      <c r="H229" s="265" t="str">
        <f>IFERROR(__xludf.DUMMYFUNCTION("""COMPUTED_VALUE"""),"Trả sau")</f>
        <v>Trả sau</v>
      </c>
      <c r="I229" s="265" t="str">
        <f>IFERROR(__xludf.DUMMYFUNCTION("""COMPUTED_VALUE"""),"API &amp; Portal")</f>
        <v>API &amp; Portal</v>
      </c>
      <c r="J229" s="265" t="str">
        <f>IFERROR(__xludf.DUMMYFUNCTION("""COMPUTED_VALUE"""),"API")</f>
        <v>API</v>
      </c>
      <c r="K229" s="265" t="str">
        <f>IFERROR(__xludf.DUMMYFUNCTION("""COMPUTED_VALUE"""),"AnhNM")</f>
        <v>AnhNM</v>
      </c>
    </row>
    <row r="230">
      <c r="A230" s="265" t="str">
        <f>IFERROR(__xludf.DUMMYFUNCTION("""COMPUTED_VALUE"""),"547")</f>
        <v>547</v>
      </c>
      <c r="B230" s="265" t="str">
        <f>IFERROR(__xludf.DUMMYFUNCTION("""COMPUTED_VALUE"""),"Hà Nội")</f>
        <v>Hà Nội</v>
      </c>
      <c r="C230" s="265" t="str">
        <f>IFERROR(__xludf.DUMMYFUNCTION("""COMPUTED_VALUE"""),"Active")</f>
        <v>Active</v>
      </c>
      <c r="D230" s="265" t="str">
        <f>IFERROR(__xludf.DUMMYFUNCTION("""COMPUTED_VALUE"""),"Sale chưa cung cấp")</f>
        <v>Sale chưa cung cấp</v>
      </c>
      <c r="E230" s="265" t="str">
        <f>IFERROR(__xludf.DUMMYFUNCTION("""COMPUTED_VALUE"""),"TùngLD")</f>
        <v>TùngLD</v>
      </c>
      <c r="F230" s="265" t="str">
        <f>IFERROR(__xludf.DUMMYFUNCTION("""COMPUTED_VALUE"""),"Gold")</f>
        <v>Gold</v>
      </c>
      <c r="G230" s="265" t="str">
        <f>IFERROR(__xludf.DUMMYFUNCTION("""COMPUTED_VALUE"""),"API")</f>
        <v>API</v>
      </c>
      <c r="H230" s="265" t="str">
        <f>IFERROR(__xludf.DUMMYFUNCTION("""COMPUTED_VALUE"""),"Trả sau")</f>
        <v>Trả sau</v>
      </c>
      <c r="I230" s="265" t="str">
        <f>IFERROR(__xludf.DUMMYFUNCTION("""COMPUTED_VALUE"""),"API")</f>
        <v>API</v>
      </c>
      <c r="J230" s="265" t="str">
        <f>IFERROR(__xludf.DUMMYFUNCTION("""COMPUTED_VALUE"""),"API")</f>
        <v>API</v>
      </c>
      <c r="K230" s="265" t="str">
        <f>IFERROR(__xludf.DUMMYFUNCTION("""COMPUTED_VALUE"""),"LinhNTT1")</f>
        <v>LinhNTT1</v>
      </c>
    </row>
    <row r="231">
      <c r="A231" s="265" t="str">
        <f>IFERROR(__xludf.DUMMYFUNCTION("""COMPUTED_VALUE"""),"None 2")</f>
        <v>None 2</v>
      </c>
      <c r="B231" s="265" t="str">
        <f>IFERROR(__xludf.DUMMYFUNCTION("""COMPUTED_VALUE"""),"Hà Nội")</f>
        <v>Hà Nội</v>
      </c>
      <c r="C231" s="265" t="str">
        <f>IFERROR(__xludf.DUMMYFUNCTION("""COMPUTED_VALUE"""),"Locked")</f>
        <v>Locked</v>
      </c>
      <c r="D231" s="265" t="str">
        <f>IFERROR(__xludf.DUMMYFUNCTION("""COMPUTED_VALUE"""),"Sale chưa cung cấp")</f>
        <v>Sale chưa cung cấp</v>
      </c>
      <c r="E231" s="265" t="str">
        <f>IFERROR(__xludf.DUMMYFUNCTION("""COMPUTED_VALUE"""),"TúPHN")</f>
        <v>TúPHN</v>
      </c>
      <c r="F231" s="265" t="str">
        <f>IFERROR(__xludf.DUMMYFUNCTION("""COMPUTED_VALUE"""),"Bronze")</f>
        <v>Bronze</v>
      </c>
      <c r="G231" s="265" t="str">
        <f>IFERROR(__xludf.DUMMYFUNCTION("""COMPUTED_VALUE"""),"API")</f>
        <v>API</v>
      </c>
      <c r="H231" s="265" t="str">
        <f>IFERROR(__xludf.DUMMYFUNCTION("""COMPUTED_VALUE"""),"Trả sau")</f>
        <v>Trả sau</v>
      </c>
      <c r="I231" s="265" t="str">
        <f>IFERROR(__xludf.DUMMYFUNCTION("""COMPUTED_VALUE"""),"API")</f>
        <v>API</v>
      </c>
      <c r="J231" s="265" t="str">
        <f>IFERROR(__xludf.DUMMYFUNCTION("""COMPUTED_VALUE"""),"ZCA gửi ZNS")</f>
        <v>ZCA gửi ZNS</v>
      </c>
      <c r="K231" s="265" t="str">
        <f>IFERROR(__xludf.DUMMYFUNCTION("""COMPUTED_VALUE"""),"AnhNM")</f>
        <v>AnhNM</v>
      </c>
    </row>
    <row r="232">
      <c r="A232" s="265" t="str">
        <f>IFERROR(__xludf.DUMMYFUNCTION("""COMPUTED_VALUE"""),"546")</f>
        <v>546</v>
      </c>
      <c r="B232" s="265" t="str">
        <f>IFERROR(__xludf.DUMMYFUNCTION("""COMPUTED_VALUE"""),"Sài Gòn")</f>
        <v>Sài Gòn</v>
      </c>
      <c r="C232" s="265" t="str">
        <f>IFERROR(__xludf.DUMMYFUNCTION("""COMPUTED_VALUE"""),"Locked")</f>
        <v>Locked</v>
      </c>
      <c r="D232" s="265" t="str">
        <f>IFERROR(__xludf.DUMMYFUNCTION("""COMPUTED_VALUE"""),"Sale chưa cung cấp")</f>
        <v>Sale chưa cung cấp</v>
      </c>
      <c r="E232" s="265" t="str">
        <f>IFERROR(__xludf.DUMMYFUNCTION("""COMPUTED_VALUE"""),"HoaNTM")</f>
        <v>HoaNTM</v>
      </c>
      <c r="F232" s="265" t="str">
        <f>IFERROR(__xludf.DUMMYFUNCTION("""COMPUTED_VALUE"""),"Bronze")</f>
        <v>Bronze</v>
      </c>
      <c r="G232" s="265" t="str">
        <f>IFERROR(__xludf.DUMMYFUNCTION("""COMPUTED_VALUE"""),"Enterprise")</f>
        <v>Enterprise</v>
      </c>
      <c r="H232" s="265" t="str">
        <f>IFERROR(__xludf.DUMMYFUNCTION("""COMPUTED_VALUE"""),"(Chưa recheck)")</f>
        <v>(Chưa recheck)</v>
      </c>
      <c r="I232" s="265" t="str">
        <f>IFERROR(__xludf.DUMMYFUNCTION("""COMPUTED_VALUE"""),"(Chưa recheck)")</f>
        <v>(Chưa recheck)</v>
      </c>
      <c r="J232" s="265" t="str">
        <f>IFERROR(__xludf.DUMMYFUNCTION("""COMPUTED_VALUE"""),"File Excel")</f>
        <v>File Excel</v>
      </c>
      <c r="K232" s="265" t="str">
        <f>IFERROR(__xludf.DUMMYFUNCTION("""COMPUTED_VALUE"""),"(Chưa recheck)")</f>
        <v>(Chưa recheck)</v>
      </c>
    </row>
    <row r="233">
      <c r="A233" s="265" t="str">
        <f>IFERROR(__xludf.DUMMYFUNCTION("""COMPUTED_VALUE"""),"548")</f>
        <v>548</v>
      </c>
      <c r="B233" s="265" t="str">
        <f>IFERROR(__xludf.DUMMYFUNCTION("""COMPUTED_VALUE"""),"Sài Gòn")</f>
        <v>Sài Gòn</v>
      </c>
      <c r="C233" s="265" t="str">
        <f>IFERROR(__xludf.DUMMYFUNCTION("""COMPUTED_VALUE"""),"Locked")</f>
        <v>Locked</v>
      </c>
      <c r="D233" s="265" t="str">
        <f>IFERROR(__xludf.DUMMYFUNCTION("""COMPUTED_VALUE"""),"Sale chưa cung cấp")</f>
        <v>Sale chưa cung cấp</v>
      </c>
      <c r="E233" s="265" t="str">
        <f>IFERROR(__xludf.DUMMYFUNCTION("""COMPUTED_VALUE"""),"HoaNTM")</f>
        <v>HoaNTM</v>
      </c>
      <c r="F233" s="265" t="str">
        <f>IFERROR(__xludf.DUMMYFUNCTION("""COMPUTED_VALUE"""),"Sale chưa cung cấp")</f>
        <v>Sale chưa cung cấp</v>
      </c>
      <c r="G233" s="265" t="str">
        <f>IFERROR(__xludf.DUMMYFUNCTION("""COMPUTED_VALUE"""),"Enterprise")</f>
        <v>Enterprise</v>
      </c>
      <c r="H233" s="265" t="str">
        <f>IFERROR(__xludf.DUMMYFUNCTION("""COMPUTED_VALUE"""),"(Chưa recheck)")</f>
        <v>(Chưa recheck)</v>
      </c>
      <c r="I233" s="265" t="str">
        <f>IFERROR(__xludf.DUMMYFUNCTION("""COMPUTED_VALUE"""),"(Chưa recheck)")</f>
        <v>(Chưa recheck)</v>
      </c>
      <c r="J233" s="265" t="str">
        <f>IFERROR(__xludf.DUMMYFUNCTION("""COMPUTED_VALUE"""),"File Excel")</f>
        <v>File Excel</v>
      </c>
      <c r="K233" s="265" t="str">
        <f>IFERROR(__xludf.DUMMYFUNCTION("""COMPUTED_VALUE"""),"(Chưa recheck)")</f>
        <v>(Chưa recheck)</v>
      </c>
    </row>
    <row r="234">
      <c r="A234" s="265" t="str">
        <f>IFERROR(__xludf.DUMMYFUNCTION("""COMPUTED_VALUE"""),"548")</f>
        <v>548</v>
      </c>
      <c r="B234" s="265" t="str">
        <f>IFERROR(__xludf.DUMMYFUNCTION("""COMPUTED_VALUE"""),"Sài Gòn")</f>
        <v>Sài Gòn</v>
      </c>
      <c r="C234" s="265" t="str">
        <f>IFERROR(__xludf.DUMMYFUNCTION("""COMPUTED_VALUE"""),"Locked")</f>
        <v>Locked</v>
      </c>
      <c r="D234" s="265" t="str">
        <f>IFERROR(__xludf.DUMMYFUNCTION("""COMPUTED_VALUE"""),"Sale chưa cung cấp")</f>
        <v>Sale chưa cung cấp</v>
      </c>
      <c r="E234" s="265" t="str">
        <f>IFERROR(__xludf.DUMMYFUNCTION("""COMPUTED_VALUE"""),"HoaNTM")</f>
        <v>HoaNTM</v>
      </c>
      <c r="F234" s="265" t="str">
        <f>IFERROR(__xludf.DUMMYFUNCTION("""COMPUTED_VALUE"""),"Sale chưa cung cấp")</f>
        <v>Sale chưa cung cấp</v>
      </c>
      <c r="G234" s="265" t="str">
        <f>IFERROR(__xludf.DUMMYFUNCTION("""COMPUTED_VALUE"""),"Enterprise")</f>
        <v>Enterprise</v>
      </c>
      <c r="H234" s="265" t="str">
        <f>IFERROR(__xludf.DUMMYFUNCTION("""COMPUTED_VALUE"""),"(Chưa recheck)")</f>
        <v>(Chưa recheck)</v>
      </c>
      <c r="I234" s="265" t="str">
        <f>IFERROR(__xludf.DUMMYFUNCTION("""COMPUTED_VALUE"""),"(Chưa recheck)")</f>
        <v>(Chưa recheck)</v>
      </c>
      <c r="J234" s="265" t="str">
        <f>IFERROR(__xludf.DUMMYFUNCTION("""COMPUTED_VALUE"""),"API")</f>
        <v>API</v>
      </c>
      <c r="K234" s="265" t="str">
        <f>IFERROR(__xludf.DUMMYFUNCTION("""COMPUTED_VALUE"""),"(Chưa recheck)")</f>
        <v>(Chưa recheck)</v>
      </c>
    </row>
    <row r="235">
      <c r="A235" s="265" t="str">
        <f>IFERROR(__xludf.DUMMYFUNCTION("""COMPUTED_VALUE"""),"549")</f>
        <v>549</v>
      </c>
      <c r="B235" s="265" t="str">
        <f>IFERROR(__xludf.DUMMYFUNCTION("""COMPUTED_VALUE"""),"Sài Gòn")</f>
        <v>Sài Gòn</v>
      </c>
      <c r="C235" s="265" t="str">
        <f>IFERROR(__xludf.DUMMYFUNCTION("""COMPUTED_VALUE"""),"Locked")</f>
        <v>Locked</v>
      </c>
      <c r="D235" s="265" t="str">
        <f>IFERROR(__xludf.DUMMYFUNCTION("""COMPUTED_VALUE"""),"Sale chưa cung cấp")</f>
        <v>Sale chưa cung cấp</v>
      </c>
      <c r="E235" s="265" t="str">
        <f>IFERROR(__xludf.DUMMYFUNCTION("""COMPUTED_VALUE"""),"HoaNTM")</f>
        <v>HoaNTM</v>
      </c>
      <c r="F235" s="265" t="str">
        <f>IFERROR(__xludf.DUMMYFUNCTION("""COMPUTED_VALUE"""),"Sale chưa cung cấp")</f>
        <v>Sale chưa cung cấp</v>
      </c>
      <c r="G235" s="265" t="str">
        <f>IFERROR(__xludf.DUMMYFUNCTION("""COMPUTED_VALUE"""),"Enterprise")</f>
        <v>Enterprise</v>
      </c>
      <c r="H235" s="265" t="str">
        <f>IFERROR(__xludf.DUMMYFUNCTION("""COMPUTED_VALUE"""),"(Chưa recheck)")</f>
        <v>(Chưa recheck)</v>
      </c>
      <c r="I235" s="265" t="str">
        <f>IFERROR(__xludf.DUMMYFUNCTION("""COMPUTED_VALUE"""),"(Chưa recheck)")</f>
        <v>(Chưa recheck)</v>
      </c>
      <c r="J235" s="265" t="str">
        <f>IFERROR(__xludf.DUMMYFUNCTION("""COMPUTED_VALUE"""),"File Excel")</f>
        <v>File Excel</v>
      </c>
      <c r="K235" s="265" t="str">
        <f>IFERROR(__xludf.DUMMYFUNCTION("""COMPUTED_VALUE"""),"(Chưa recheck)")</f>
        <v>(Chưa recheck)</v>
      </c>
    </row>
    <row r="236">
      <c r="A236" s="265" t="str">
        <f>IFERROR(__xludf.DUMMYFUNCTION("""COMPUTED_VALUE"""),"550")</f>
        <v>550</v>
      </c>
      <c r="B236" s="265" t="str">
        <f>IFERROR(__xludf.DUMMYFUNCTION("""COMPUTED_VALUE"""),"Sài Gòn")</f>
        <v>Sài Gòn</v>
      </c>
      <c r="C236" s="265" t="str">
        <f>IFERROR(__xludf.DUMMYFUNCTION("""COMPUTED_VALUE"""),"Locked")</f>
        <v>Locked</v>
      </c>
      <c r="D236" s="265" t="str">
        <f>IFERROR(__xludf.DUMMYFUNCTION("""COMPUTED_VALUE"""),"Sale chưa cung cấp")</f>
        <v>Sale chưa cung cấp</v>
      </c>
      <c r="E236" s="265" t="str">
        <f>IFERROR(__xludf.DUMMYFUNCTION("""COMPUTED_VALUE"""),"HoaNTM")</f>
        <v>HoaNTM</v>
      </c>
      <c r="F236" s="265" t="str">
        <f>IFERROR(__xludf.DUMMYFUNCTION("""COMPUTED_VALUE"""),"Sale chưa cung cấp")</f>
        <v>Sale chưa cung cấp</v>
      </c>
      <c r="G236" s="265" t="str">
        <f>IFERROR(__xludf.DUMMYFUNCTION("""COMPUTED_VALUE"""),"Enterprise")</f>
        <v>Enterprise</v>
      </c>
      <c r="H236" s="265" t="str">
        <f>IFERROR(__xludf.DUMMYFUNCTION("""COMPUTED_VALUE"""),"Trial")</f>
        <v>Trial</v>
      </c>
      <c r="I236" s="265" t="str">
        <f>IFERROR(__xludf.DUMMYFUNCTION("""COMPUTED_VALUE"""),"(Không recheck)")</f>
        <v>(Không recheck)</v>
      </c>
      <c r="J236" s="265" t="str">
        <f>IFERROR(__xludf.DUMMYFUNCTION("""COMPUTED_VALUE"""),"File Excel")</f>
        <v>File Excel</v>
      </c>
      <c r="K236" s="265" t="str">
        <f>IFERROR(__xludf.DUMMYFUNCTION("""COMPUTED_VALUE"""),"(Không recheck)")</f>
        <v>(Không recheck)</v>
      </c>
    </row>
    <row r="237">
      <c r="A237" s="265" t="str">
        <f>IFERROR(__xludf.DUMMYFUNCTION("""COMPUTED_VALUE"""),"550")</f>
        <v>550</v>
      </c>
      <c r="B237" s="265" t="str">
        <f>IFERROR(__xludf.DUMMYFUNCTION("""COMPUTED_VALUE"""),"Sài Gòn")</f>
        <v>Sài Gòn</v>
      </c>
      <c r="C237" s="265" t="str">
        <f>IFERROR(__xludf.DUMMYFUNCTION("""COMPUTED_VALUE"""),"Locked")</f>
        <v>Locked</v>
      </c>
      <c r="D237" s="265" t="str">
        <f>IFERROR(__xludf.DUMMYFUNCTION("""COMPUTED_VALUE"""),"Sale chưa cung cấp")</f>
        <v>Sale chưa cung cấp</v>
      </c>
      <c r="E237" s="265" t="str">
        <f>IFERROR(__xludf.DUMMYFUNCTION("""COMPUTED_VALUE"""),"HoaNTM")</f>
        <v>HoaNTM</v>
      </c>
      <c r="F237" s="265" t="str">
        <f>IFERROR(__xludf.DUMMYFUNCTION("""COMPUTED_VALUE"""),"Sale chưa cung cấp")</f>
        <v>Sale chưa cung cấp</v>
      </c>
      <c r="G237" s="265" t="str">
        <f>IFERROR(__xludf.DUMMYFUNCTION("""COMPUTED_VALUE"""),"Enterprise")</f>
        <v>Enterprise</v>
      </c>
      <c r="H237" s="265" t="str">
        <f>IFERROR(__xludf.DUMMYFUNCTION("""COMPUTED_VALUE"""),"Trial")</f>
        <v>Trial</v>
      </c>
      <c r="I237" s="265" t="str">
        <f>IFERROR(__xludf.DUMMYFUNCTION("""COMPUTED_VALUE"""),"(Không recheck)")</f>
        <v>(Không recheck)</v>
      </c>
      <c r="J237" s="265" t="str">
        <f>IFERROR(__xludf.DUMMYFUNCTION("""COMPUTED_VALUE"""),"API")</f>
        <v>API</v>
      </c>
      <c r="K237" s="265" t="str">
        <f>IFERROR(__xludf.DUMMYFUNCTION("""COMPUTED_VALUE"""),"(Không recheck)")</f>
        <v>(Không recheck)</v>
      </c>
    </row>
    <row r="238">
      <c r="A238" s="265" t="str">
        <f>IFERROR(__xludf.DUMMYFUNCTION("""COMPUTED_VALUE"""),"554")</f>
        <v>554</v>
      </c>
      <c r="B238" s="265" t="str">
        <f>IFERROR(__xludf.DUMMYFUNCTION("""COMPUTED_VALUE"""),"Hà Nội")</f>
        <v>Hà Nội</v>
      </c>
      <c r="C238" s="265" t="str">
        <f>IFERROR(__xludf.DUMMYFUNCTION("""COMPUTED_VALUE"""),"Active")</f>
        <v>Active</v>
      </c>
      <c r="D238" s="265" t="str">
        <f>IFERROR(__xludf.DUMMYFUNCTION("""COMPUTED_VALUE"""),"Truyền thông &amp; Giải trí")</f>
        <v>Truyền thông &amp; Giải trí</v>
      </c>
      <c r="E238" s="265" t="str">
        <f>IFERROR(__xludf.DUMMYFUNCTION("""COMPUTED_VALUE"""),"TùngLD")</f>
        <v>TùngLD</v>
      </c>
      <c r="F238" s="265" t="str">
        <f>IFERROR(__xludf.DUMMYFUNCTION("""COMPUTED_VALUE"""),"Silver")</f>
        <v>Silver</v>
      </c>
      <c r="G238" s="265" t="str">
        <f>IFERROR(__xludf.DUMMYFUNCTION("""COMPUTED_VALUE"""),"Enterprise")</f>
        <v>Enterprise</v>
      </c>
      <c r="H238" s="265" t="str">
        <f>IFERROR(__xludf.DUMMYFUNCTION("""COMPUTED_VALUE"""),"Trả sau")</f>
        <v>Trả sau</v>
      </c>
      <c r="I238" s="265" t="str">
        <f>IFERROR(__xludf.DUMMYFUNCTION("""COMPUTED_VALUE"""),"API &amp; Portal")</f>
        <v>API &amp; Portal</v>
      </c>
      <c r="J238" s="265" t="str">
        <f>IFERROR(__xludf.DUMMYFUNCTION("""COMPUTED_VALUE"""),"File Excel")</f>
        <v>File Excel</v>
      </c>
      <c r="K238" s="265" t="str">
        <f>IFERROR(__xludf.DUMMYFUNCTION("""COMPUTED_VALUE"""),"DungPL")</f>
        <v>DungPL</v>
      </c>
    </row>
    <row r="239">
      <c r="A239" s="265" t="str">
        <f>IFERROR(__xludf.DUMMYFUNCTION("""COMPUTED_VALUE"""),"551")</f>
        <v>551</v>
      </c>
      <c r="B239" s="265" t="str">
        <f>IFERROR(__xludf.DUMMYFUNCTION("""COMPUTED_VALUE"""),"Sài Gòn")</f>
        <v>Sài Gòn</v>
      </c>
      <c r="C239" s="265" t="str">
        <f>IFERROR(__xludf.DUMMYFUNCTION("""COMPUTED_VALUE"""),"Locked")</f>
        <v>Locked</v>
      </c>
      <c r="D239" s="265" t="str">
        <f>IFERROR(__xludf.DUMMYFUNCTION("""COMPUTED_VALUE"""),"Sale chưa cung cấp")</f>
        <v>Sale chưa cung cấp</v>
      </c>
      <c r="E239" s="265" t="str">
        <f>IFERROR(__xludf.DUMMYFUNCTION("""COMPUTED_VALUE"""),"HoaNTM")</f>
        <v>HoaNTM</v>
      </c>
      <c r="F239" s="265" t="str">
        <f>IFERROR(__xludf.DUMMYFUNCTION("""COMPUTED_VALUE"""),"Sale chưa cung cấp")</f>
        <v>Sale chưa cung cấp</v>
      </c>
      <c r="G239" s="265" t="str">
        <f>IFERROR(__xludf.DUMMYFUNCTION("""COMPUTED_VALUE"""),"MSG")</f>
        <v>MSG</v>
      </c>
      <c r="H239" s="265" t="str">
        <f>IFERROR(__xludf.DUMMYFUNCTION("""COMPUTED_VALUE"""),"(Chưa recheck)")</f>
        <v>(Chưa recheck)</v>
      </c>
      <c r="I239" s="265" t="str">
        <f>IFERROR(__xludf.DUMMYFUNCTION("""COMPUTED_VALUE"""),"(Chưa recheck)")</f>
        <v>(Chưa recheck)</v>
      </c>
      <c r="J239" s="265" t="str">
        <f>IFERROR(__xludf.DUMMYFUNCTION("""COMPUTED_VALUE"""),"File Excel")</f>
        <v>File Excel</v>
      </c>
      <c r="K239" s="265" t="str">
        <f>IFERROR(__xludf.DUMMYFUNCTION("""COMPUTED_VALUE"""),"(Chưa recheck)")</f>
        <v>(Chưa recheck)</v>
      </c>
    </row>
    <row r="240">
      <c r="A240" s="265" t="str">
        <f>IFERROR(__xludf.DUMMYFUNCTION("""COMPUTED_VALUE"""),"552")</f>
        <v>552</v>
      </c>
      <c r="B240" s="265" t="str">
        <f>IFERROR(__xludf.DUMMYFUNCTION("""COMPUTED_VALUE"""),"Sài Gòn")</f>
        <v>Sài Gòn</v>
      </c>
      <c r="C240" s="265" t="str">
        <f>IFERROR(__xludf.DUMMYFUNCTION("""COMPUTED_VALUE"""),"Locked")</f>
        <v>Locked</v>
      </c>
      <c r="D240" s="265" t="str">
        <f>IFERROR(__xludf.DUMMYFUNCTION("""COMPUTED_VALUE"""),"Sale chưa cung cấp")</f>
        <v>Sale chưa cung cấp</v>
      </c>
      <c r="E240" s="265" t="str">
        <f>IFERROR(__xludf.DUMMYFUNCTION("""COMPUTED_VALUE"""),"HoaNTM")</f>
        <v>HoaNTM</v>
      </c>
      <c r="F240" s="265" t="str">
        <f>IFERROR(__xludf.DUMMYFUNCTION("""COMPUTED_VALUE"""),"Gold")</f>
        <v>Gold</v>
      </c>
      <c r="G240" s="265" t="str">
        <f>IFERROR(__xludf.DUMMYFUNCTION("""COMPUTED_VALUE"""),"Enterprise")</f>
        <v>Enterprise</v>
      </c>
      <c r="H240" s="265" t="str">
        <f>IFERROR(__xludf.DUMMYFUNCTION("""COMPUTED_VALUE"""),"Trả sau")</f>
        <v>Trả sau</v>
      </c>
      <c r="I240" s="265" t="str">
        <f>IFERROR(__xludf.DUMMYFUNCTION("""COMPUTED_VALUE"""),"(Chưa recheck)")</f>
        <v>(Chưa recheck)</v>
      </c>
      <c r="J240" s="265" t="str">
        <f>IFERROR(__xludf.DUMMYFUNCTION("""COMPUTED_VALUE"""),"API")</f>
        <v>API</v>
      </c>
      <c r="K240" s="265" t="str">
        <f>IFERROR(__xludf.DUMMYFUNCTION("""COMPUTED_VALUE"""),"(Chưa recheck)")</f>
        <v>(Chưa recheck)</v>
      </c>
    </row>
    <row r="241">
      <c r="A241" s="265" t="str">
        <f>IFERROR(__xludf.DUMMYFUNCTION("""COMPUTED_VALUE"""),"553")</f>
        <v>553</v>
      </c>
      <c r="B241" s="265" t="str">
        <f>IFERROR(__xludf.DUMMYFUNCTION("""COMPUTED_VALUE"""),"Sài Gòn")</f>
        <v>Sài Gòn</v>
      </c>
      <c r="C241" s="265" t="str">
        <f>IFERROR(__xludf.DUMMYFUNCTION("""COMPUTED_VALUE"""),"Locked")</f>
        <v>Locked</v>
      </c>
      <c r="D241" s="265" t="str">
        <f>IFERROR(__xludf.DUMMYFUNCTION("""COMPUTED_VALUE"""),"Sale chưa cung cấp")</f>
        <v>Sale chưa cung cấp</v>
      </c>
      <c r="E241" s="265" t="str">
        <f>IFERROR(__xludf.DUMMYFUNCTION("""COMPUTED_VALUE"""),"HoaNTM")</f>
        <v>HoaNTM</v>
      </c>
      <c r="F241" s="265" t="str">
        <f>IFERROR(__xludf.DUMMYFUNCTION("""COMPUTED_VALUE"""),"Sale chưa cung cấp")</f>
        <v>Sale chưa cung cấp</v>
      </c>
      <c r="G241" s="265" t="str">
        <f>IFERROR(__xludf.DUMMYFUNCTION("""COMPUTED_VALUE"""),"Enterprise")</f>
        <v>Enterprise</v>
      </c>
      <c r="H241" s="265" t="str">
        <f>IFERROR(__xludf.DUMMYFUNCTION("""COMPUTED_VALUE"""),"(Chưa recheck)")</f>
        <v>(Chưa recheck)</v>
      </c>
      <c r="I241" s="265" t="str">
        <f>IFERROR(__xludf.DUMMYFUNCTION("""COMPUTED_VALUE"""),"(Chưa recheck)")</f>
        <v>(Chưa recheck)</v>
      </c>
      <c r="J241" s="265" t="str">
        <f>IFERROR(__xludf.DUMMYFUNCTION("""COMPUTED_VALUE"""),"Pos365")</f>
        <v>Pos365</v>
      </c>
      <c r="K241" s="265" t="str">
        <f>IFERROR(__xludf.DUMMYFUNCTION("""COMPUTED_VALUE"""),"AnhNM")</f>
        <v>AnhNM</v>
      </c>
    </row>
    <row r="242">
      <c r="A242" s="265" t="str">
        <f>IFERROR(__xludf.DUMMYFUNCTION("""COMPUTED_VALUE"""),"555")</f>
        <v>555</v>
      </c>
      <c r="B242" s="265" t="str">
        <f>IFERROR(__xludf.DUMMYFUNCTION("""COMPUTED_VALUE"""),"Sài Gòn")</f>
        <v>Sài Gòn</v>
      </c>
      <c r="C242" s="265" t="str">
        <f>IFERROR(__xludf.DUMMYFUNCTION("""COMPUTED_VALUE"""),"Locked")</f>
        <v>Locked</v>
      </c>
      <c r="D242" s="265" t="str">
        <f>IFERROR(__xludf.DUMMYFUNCTION("""COMPUTED_VALUE"""),"Sale chưa cung cấp")</f>
        <v>Sale chưa cung cấp</v>
      </c>
      <c r="E242" s="265" t="str">
        <f>IFERROR(__xludf.DUMMYFUNCTION("""COMPUTED_VALUE"""),"HoaNTM")</f>
        <v>HoaNTM</v>
      </c>
      <c r="F242" s="265" t="str">
        <f>IFERROR(__xludf.DUMMYFUNCTION("""COMPUTED_VALUE"""),"Sale chưa cung cấp")</f>
        <v>Sale chưa cung cấp</v>
      </c>
      <c r="G242" s="265" t="str">
        <f>IFERROR(__xludf.DUMMYFUNCTION("""COMPUTED_VALUE"""),"MSG")</f>
        <v>MSG</v>
      </c>
      <c r="H242" s="265" t="str">
        <f>IFERROR(__xludf.DUMMYFUNCTION("""COMPUTED_VALUE"""),"(Chưa recheck)")</f>
        <v>(Chưa recheck)</v>
      </c>
      <c r="I242" s="265" t="str">
        <f>IFERROR(__xludf.DUMMYFUNCTION("""COMPUTED_VALUE"""),"(Chưa recheck)")</f>
        <v>(Chưa recheck)</v>
      </c>
      <c r="J242" s="265" t="str">
        <f>IFERROR(__xludf.DUMMYFUNCTION("""COMPUTED_VALUE"""),"File Excel")</f>
        <v>File Excel</v>
      </c>
      <c r="K242" s="265" t="str">
        <f>IFERROR(__xludf.DUMMYFUNCTION("""COMPUTED_VALUE"""),"(Chưa recheck)")</f>
        <v>(Chưa recheck)</v>
      </c>
    </row>
    <row r="243">
      <c r="A243" s="265" t="str">
        <f>IFERROR(__xludf.DUMMYFUNCTION("""COMPUTED_VALUE"""),"503")</f>
        <v>503</v>
      </c>
      <c r="B243" s="265" t="str">
        <f>IFERROR(__xludf.DUMMYFUNCTION("""COMPUTED_VALUE"""),"Hà Nội")</f>
        <v>Hà Nội</v>
      </c>
      <c r="C243" s="265" t="str">
        <f>IFERROR(__xludf.DUMMYFUNCTION("""COMPUTED_VALUE"""),"Locked")</f>
        <v>Locked</v>
      </c>
      <c r="D243" s="265" t="str">
        <f>IFERROR(__xludf.DUMMYFUNCTION("""COMPUTED_VALUE"""),"Sale chưa cung cấp")</f>
        <v>Sale chưa cung cấp</v>
      </c>
      <c r="E243" s="265" t="str">
        <f>IFERROR(__xludf.DUMMYFUNCTION("""COMPUTED_VALUE"""),"NamDT")</f>
        <v>NamDT</v>
      </c>
      <c r="F243" s="265" t="str">
        <f>IFERROR(__xludf.DUMMYFUNCTION("""COMPUTED_VALUE"""),"Sale chưa cung cấp")</f>
        <v>Sale chưa cung cấp</v>
      </c>
      <c r="G243" s="265" t="str">
        <f>IFERROR(__xludf.DUMMYFUNCTION("""COMPUTED_VALUE"""),"MSG")</f>
        <v>MSG</v>
      </c>
      <c r="H243" s="265" t="str">
        <f>IFERROR(__xludf.DUMMYFUNCTION("""COMPUTED_VALUE"""),"(Chưa recheck)")</f>
        <v>(Chưa recheck)</v>
      </c>
      <c r="I243" s="265" t="str">
        <f>IFERROR(__xludf.DUMMYFUNCTION("""COMPUTED_VALUE"""),"(Chưa recheck)")</f>
        <v>(Chưa recheck)</v>
      </c>
      <c r="J243" s="265" t="str">
        <f>IFERROR(__xludf.DUMMYFUNCTION("""COMPUTED_VALUE"""),"File Excel")</f>
        <v>File Excel</v>
      </c>
      <c r="K243" s="265" t="str">
        <f>IFERROR(__xludf.DUMMYFUNCTION("""COMPUTED_VALUE"""),"(Chưa recheck)")</f>
        <v>(Chưa recheck)</v>
      </c>
    </row>
    <row r="244">
      <c r="A244" s="265" t="str">
        <f>IFERROR(__xludf.DUMMYFUNCTION("""COMPUTED_VALUE"""),"557")</f>
        <v>557</v>
      </c>
      <c r="B244" s="265" t="str">
        <f>IFERROR(__xludf.DUMMYFUNCTION("""COMPUTED_VALUE"""),"Hà Nội")</f>
        <v>Hà Nội</v>
      </c>
      <c r="C244" s="265" t="str">
        <f>IFERROR(__xludf.DUMMYFUNCTION("""COMPUTED_VALUE"""),"Active")</f>
        <v>Active</v>
      </c>
      <c r="D244" s="265" t="str">
        <f>IFERROR(__xludf.DUMMYFUNCTION("""COMPUTED_VALUE"""),"Sale chưa cung cấp")</f>
        <v>Sale chưa cung cấp</v>
      </c>
      <c r="E244" s="265" t="str">
        <f>IFERROR(__xludf.DUMMYFUNCTION("""COMPUTED_VALUE"""),"AnhNM")</f>
        <v>AnhNM</v>
      </c>
      <c r="F244" s="265" t="str">
        <f>IFERROR(__xludf.DUMMYFUNCTION("""COMPUTED_VALUE"""),"Bronze")</f>
        <v>Bronze</v>
      </c>
      <c r="G244" s="265" t="str">
        <f>IFERROR(__xludf.DUMMYFUNCTION("""COMPUTED_VALUE"""),"Starter")</f>
        <v>Starter</v>
      </c>
      <c r="H244" s="265" t="str">
        <f>IFERROR(__xludf.DUMMYFUNCTION("""COMPUTED_VALUE"""),"Trả sau")</f>
        <v>Trả sau</v>
      </c>
      <c r="I244" s="265" t="str">
        <f>IFERROR(__xludf.DUMMYFUNCTION("""COMPUTED_VALUE"""),"API")</f>
        <v>API</v>
      </c>
      <c r="J244" s="265" t="str">
        <f>IFERROR(__xludf.DUMMYFUNCTION("""COMPUTED_VALUE"""),"API")</f>
        <v>API</v>
      </c>
      <c r="K244" s="265" t="str">
        <f>IFERROR(__xludf.DUMMYFUNCTION("""COMPUTED_VALUE"""),"DungPL")</f>
        <v>DungPL</v>
      </c>
    </row>
    <row r="245">
      <c r="A245" s="265" t="str">
        <f>IFERROR(__xludf.DUMMYFUNCTION("""COMPUTED_VALUE"""),"556")</f>
        <v>556</v>
      </c>
      <c r="B245" s="265" t="str">
        <f>IFERROR(__xludf.DUMMYFUNCTION("""COMPUTED_VALUE"""),"Sài Gòn")</f>
        <v>Sài Gòn</v>
      </c>
      <c r="C245" s="265" t="str">
        <f>IFERROR(__xludf.DUMMYFUNCTION("""COMPUTED_VALUE"""),"Active")</f>
        <v>Active</v>
      </c>
      <c r="D245" s="265" t="str">
        <f>IFERROR(__xludf.DUMMYFUNCTION("""COMPUTED_VALUE"""),"Sale chưa cung cấp")</f>
        <v>Sale chưa cung cấp</v>
      </c>
      <c r="E245" s="265" t="str">
        <f>IFERROR(__xludf.DUMMYFUNCTION("""COMPUTED_VALUE"""),"TúPHN")</f>
        <v>TúPHN</v>
      </c>
      <c r="F245" s="265" t="str">
        <f>IFERROR(__xludf.DUMMYFUNCTION("""COMPUTED_VALUE"""),"Diamond")</f>
        <v>Diamond</v>
      </c>
      <c r="G245" s="265" t="str">
        <f>IFERROR(__xludf.DUMMYFUNCTION("""COMPUTED_VALUE"""),"Enterprise")</f>
        <v>Enterprise</v>
      </c>
      <c r="H245" s="265" t="str">
        <f>IFERROR(__xludf.DUMMYFUNCTION("""COMPUTED_VALUE"""),"Trả sau")</f>
        <v>Trả sau</v>
      </c>
      <c r="I245" s="265" t="str">
        <f>IFERROR(__xludf.DUMMYFUNCTION("""COMPUTED_VALUE"""),"Portal")</f>
        <v>Portal</v>
      </c>
      <c r="J245" s="265" t="str">
        <f>IFERROR(__xludf.DUMMYFUNCTION("""COMPUTED_VALUE"""),"File Excel")</f>
        <v>File Excel</v>
      </c>
      <c r="K245" s="265" t="str">
        <f>IFERROR(__xludf.DUMMYFUNCTION("""COMPUTED_VALUE"""),"LinhNTT1")</f>
        <v>LinhNTT1</v>
      </c>
    </row>
    <row r="246">
      <c r="A246" s="265" t="str">
        <f>IFERROR(__xludf.DUMMYFUNCTION("""COMPUTED_VALUE"""),"559")</f>
        <v>559</v>
      </c>
      <c r="B246" s="265" t="str">
        <f>IFERROR(__xludf.DUMMYFUNCTION("""COMPUTED_VALUE"""),"Hà Nội")</f>
        <v>Hà Nội</v>
      </c>
      <c r="C246" s="265" t="str">
        <f>IFERROR(__xludf.DUMMYFUNCTION("""COMPUTED_VALUE"""),"Active")</f>
        <v>Active</v>
      </c>
      <c r="D246" s="265" t="str">
        <f>IFERROR(__xludf.DUMMYFUNCTION("""COMPUTED_VALUE"""),"Sale chưa cung cấp")</f>
        <v>Sale chưa cung cấp</v>
      </c>
      <c r="E246" s="265" t="str">
        <f>IFERROR(__xludf.DUMMYFUNCTION("""COMPUTED_VALUE"""),"Không phân công")</f>
        <v>Không phân công</v>
      </c>
      <c r="F246" s="265" t="str">
        <f>IFERROR(__xludf.DUMMYFUNCTION("""COMPUTED_VALUE"""),"Bronze")</f>
        <v>Bronze</v>
      </c>
      <c r="G246" s="265" t="str">
        <f>IFERROR(__xludf.DUMMYFUNCTION("""COMPUTED_VALUE"""),"MSG")</f>
        <v>MSG</v>
      </c>
      <c r="H246" s="265" t="str">
        <f>IFERROR(__xludf.DUMMYFUNCTION("""COMPUTED_VALUE"""),"Trả sau")</f>
        <v>Trả sau</v>
      </c>
      <c r="I246" s="265" t="str">
        <f>IFERROR(__xludf.DUMMYFUNCTION("""COMPUTED_VALUE"""),"Portal")</f>
        <v>Portal</v>
      </c>
      <c r="J246" s="265" t="str">
        <f>IFERROR(__xludf.DUMMYFUNCTION("""COMPUTED_VALUE"""),"File Excel")</f>
        <v>File Excel</v>
      </c>
      <c r="K246" s="265" t="str">
        <f>IFERROR(__xludf.DUMMYFUNCTION("""COMPUTED_VALUE"""),"LinhNTT1")</f>
        <v>LinhNTT1</v>
      </c>
    </row>
    <row r="247">
      <c r="A247" s="265" t="str">
        <f>IFERROR(__xludf.DUMMYFUNCTION("""COMPUTED_VALUE"""),"560")</f>
        <v>560</v>
      </c>
      <c r="B247" s="265" t="str">
        <f>IFERROR(__xludf.DUMMYFUNCTION("""COMPUTED_VALUE"""),"Hà Nội")</f>
        <v>Hà Nội</v>
      </c>
      <c r="C247" s="265" t="str">
        <f>IFERROR(__xludf.DUMMYFUNCTION("""COMPUTED_VALUE"""),"Active")</f>
        <v>Active</v>
      </c>
      <c r="D247" s="265" t="str">
        <f>IFERROR(__xludf.DUMMYFUNCTION("""COMPUTED_VALUE"""),"Giáo dục &amp; Đào tạo")</f>
        <v>Giáo dục &amp; Đào tạo</v>
      </c>
      <c r="E247" s="265" t="str">
        <f>IFERROR(__xludf.DUMMYFUNCTION("""COMPUTED_VALUE"""),"Không phân công")</f>
        <v>Không phân công</v>
      </c>
      <c r="F247" s="265" t="str">
        <f>IFERROR(__xludf.DUMMYFUNCTION("""COMPUTED_VALUE"""),"Bronze")</f>
        <v>Bronze</v>
      </c>
      <c r="G247" s="265" t="str">
        <f>IFERROR(__xludf.DUMMYFUNCTION("""COMPUTED_VALUE"""),"Starter")</f>
        <v>Starter</v>
      </c>
      <c r="H247" s="265" t="str">
        <f>IFERROR(__xludf.DUMMYFUNCTION("""COMPUTED_VALUE"""),"Trả sau")</f>
        <v>Trả sau</v>
      </c>
      <c r="I247" s="265" t="str">
        <f>IFERROR(__xludf.DUMMYFUNCTION("""COMPUTED_VALUE"""),"API &amp; Portal")</f>
        <v>API &amp; Portal</v>
      </c>
      <c r="J247" s="265" t="str">
        <f>IFERROR(__xludf.DUMMYFUNCTION("""COMPUTED_VALUE"""),"File Excel")</f>
        <v>File Excel</v>
      </c>
      <c r="K247" s="265" t="str">
        <f>IFERROR(__xludf.DUMMYFUNCTION("""COMPUTED_VALUE"""),"DungPL")</f>
        <v>DungPL</v>
      </c>
    </row>
    <row r="248">
      <c r="A248" s="265" t="str">
        <f>IFERROR(__xludf.DUMMYFUNCTION("""COMPUTED_VALUE"""),"561")</f>
        <v>561</v>
      </c>
      <c r="B248" s="265" t="str">
        <f>IFERROR(__xludf.DUMMYFUNCTION("""COMPUTED_VALUE"""),"Hà Nội")</f>
        <v>Hà Nội</v>
      </c>
      <c r="C248" s="265" t="str">
        <f>IFERROR(__xludf.DUMMYFUNCTION("""COMPUTED_VALUE"""),"Locked")</f>
        <v>Locked</v>
      </c>
      <c r="D248" s="265" t="str">
        <f>IFERROR(__xludf.DUMMYFUNCTION("""COMPUTED_VALUE"""),"Sale chưa cung cấp")</f>
        <v>Sale chưa cung cấp</v>
      </c>
      <c r="E248" s="265" t="str">
        <f>IFERROR(__xludf.DUMMYFUNCTION("""COMPUTED_VALUE"""),"Không phân công")</f>
        <v>Không phân công</v>
      </c>
      <c r="F248" s="265" t="str">
        <f>IFERROR(__xludf.DUMMYFUNCTION("""COMPUTED_VALUE"""),"Bronze")</f>
        <v>Bronze</v>
      </c>
      <c r="G248" s="265" t="str">
        <f>IFERROR(__xludf.DUMMYFUNCTION("""COMPUTED_VALUE"""),"Starter")</f>
        <v>Starter</v>
      </c>
      <c r="H248" s="265" t="str">
        <f>IFERROR(__xludf.DUMMYFUNCTION("""COMPUTED_VALUE"""),"Trả sau")</f>
        <v>Trả sau</v>
      </c>
      <c r="I248" s="265" t="str">
        <f>IFERROR(__xludf.DUMMYFUNCTION("""COMPUTED_VALUE"""),"Portal")</f>
        <v>Portal</v>
      </c>
      <c r="J248" s="265" t="str">
        <f>IFERROR(__xludf.DUMMYFUNCTION("""COMPUTED_VALUE"""),"File Excel")</f>
        <v>File Excel</v>
      </c>
      <c r="K248" s="265" t="str">
        <f>IFERROR(__xludf.DUMMYFUNCTION("""COMPUTED_VALUE"""),"DungPL")</f>
        <v>DungPL</v>
      </c>
    </row>
    <row r="249">
      <c r="A249" s="265" t="str">
        <f>IFERROR(__xludf.DUMMYFUNCTION("""COMPUTED_VALUE"""),"564")</f>
        <v>564</v>
      </c>
      <c r="B249" s="265" t="str">
        <f>IFERROR(__xludf.DUMMYFUNCTION("""COMPUTED_VALUE"""),"Sài Gòn")</f>
        <v>Sài Gòn</v>
      </c>
      <c r="C249" s="265" t="str">
        <f>IFERROR(__xludf.DUMMYFUNCTION("""COMPUTED_VALUE"""),"Locked")</f>
        <v>Locked</v>
      </c>
      <c r="D249" s="265" t="str">
        <f>IFERROR(__xludf.DUMMYFUNCTION("""COMPUTED_VALUE"""),"Sale chưa cung cấp")</f>
        <v>Sale chưa cung cấp</v>
      </c>
      <c r="E249" s="265" t="str">
        <f>IFERROR(__xludf.DUMMYFUNCTION("""COMPUTED_VALUE"""),"HoaNTM")</f>
        <v>HoaNTM</v>
      </c>
      <c r="F249" s="265" t="str">
        <f>IFERROR(__xludf.DUMMYFUNCTION("""COMPUTED_VALUE"""),"Bronze")</f>
        <v>Bronze</v>
      </c>
      <c r="G249" s="265" t="str">
        <f>IFERROR(__xludf.DUMMYFUNCTION("""COMPUTED_VALUE"""),"Enterprise")</f>
        <v>Enterprise</v>
      </c>
      <c r="H249" s="265" t="str">
        <f>IFERROR(__xludf.DUMMYFUNCTION("""COMPUTED_VALUE"""),"(Chưa recheck)")</f>
        <v>(Chưa recheck)</v>
      </c>
      <c r="I249" s="265" t="str">
        <f>IFERROR(__xludf.DUMMYFUNCTION("""COMPUTED_VALUE"""),"(Chưa recheck)")</f>
        <v>(Chưa recheck)</v>
      </c>
      <c r="J249" s="265" t="str">
        <f>IFERROR(__xludf.DUMMYFUNCTION("""COMPUTED_VALUE"""),"File Excel")</f>
        <v>File Excel</v>
      </c>
      <c r="K249" s="265" t="str">
        <f>IFERROR(__xludf.DUMMYFUNCTION("""COMPUTED_VALUE"""),"AnhNM")</f>
        <v>AnhNM</v>
      </c>
    </row>
    <row r="250">
      <c r="A250" s="265" t="str">
        <f>IFERROR(__xludf.DUMMYFUNCTION("""COMPUTED_VALUE"""),"564")</f>
        <v>564</v>
      </c>
      <c r="B250" s="265" t="str">
        <f>IFERROR(__xludf.DUMMYFUNCTION("""COMPUTED_VALUE"""),"Sài Gòn")</f>
        <v>Sài Gòn</v>
      </c>
      <c r="C250" s="265" t="str">
        <f>IFERROR(__xludf.DUMMYFUNCTION("""COMPUTED_VALUE"""),"Locked")</f>
        <v>Locked</v>
      </c>
      <c r="D250" s="265" t="str">
        <f>IFERROR(__xludf.DUMMYFUNCTION("""COMPUTED_VALUE"""),"Sale chưa cung cấp")</f>
        <v>Sale chưa cung cấp</v>
      </c>
      <c r="E250" s="265" t="str">
        <f>IFERROR(__xludf.DUMMYFUNCTION("""COMPUTED_VALUE"""),"HoaNTM")</f>
        <v>HoaNTM</v>
      </c>
      <c r="F250" s="265" t="str">
        <f>IFERROR(__xludf.DUMMYFUNCTION("""COMPUTED_VALUE"""),"Bronze")</f>
        <v>Bronze</v>
      </c>
      <c r="G250" s="265" t="str">
        <f>IFERROR(__xludf.DUMMYFUNCTION("""COMPUTED_VALUE"""),"Enterprise")</f>
        <v>Enterprise</v>
      </c>
      <c r="H250" s="265" t="str">
        <f>IFERROR(__xludf.DUMMYFUNCTION("""COMPUTED_VALUE"""),"(Chưa recheck)")</f>
        <v>(Chưa recheck)</v>
      </c>
      <c r="I250" s="265" t="str">
        <f>IFERROR(__xludf.DUMMYFUNCTION("""COMPUTED_VALUE"""),"(Chưa recheck)")</f>
        <v>(Chưa recheck)</v>
      </c>
      <c r="J250" s="265" t="str">
        <f>IFERROR(__xludf.DUMMYFUNCTION("""COMPUTED_VALUE"""),"API")</f>
        <v>API</v>
      </c>
      <c r="K250" s="265" t="str">
        <f>IFERROR(__xludf.DUMMYFUNCTION("""COMPUTED_VALUE"""),"AnhNM")</f>
        <v>AnhNM</v>
      </c>
    </row>
    <row r="251">
      <c r="A251" s="265" t="str">
        <f>IFERROR(__xludf.DUMMYFUNCTION("""COMPUTED_VALUE"""),"563")</f>
        <v>563</v>
      </c>
      <c r="B251" s="265" t="str">
        <f>IFERROR(__xludf.DUMMYFUNCTION("""COMPUTED_VALUE"""),"Hà Nội")</f>
        <v>Hà Nội</v>
      </c>
      <c r="C251" s="265" t="str">
        <f>IFERROR(__xludf.DUMMYFUNCTION("""COMPUTED_VALUE"""),"Locked")</f>
        <v>Locked</v>
      </c>
      <c r="D251" s="265" t="str">
        <f>IFERROR(__xludf.DUMMYFUNCTION("""COMPUTED_VALUE"""),"Sale chưa cung cấp")</f>
        <v>Sale chưa cung cấp</v>
      </c>
      <c r="E251" s="265" t="str">
        <f>IFERROR(__xludf.DUMMYFUNCTION("""COMPUTED_VALUE"""),"TùngLD")</f>
        <v>TùngLD</v>
      </c>
      <c r="F251" s="265" t="str">
        <f>IFERROR(__xludf.DUMMYFUNCTION("""COMPUTED_VALUE"""),"Sale chưa cung cấp")</f>
        <v>Sale chưa cung cấp</v>
      </c>
      <c r="G251" s="265" t="str">
        <f>IFERROR(__xludf.DUMMYFUNCTION("""COMPUTED_VALUE"""),"Enterprise")</f>
        <v>Enterprise</v>
      </c>
      <c r="H251" s="265" t="str">
        <f>IFERROR(__xludf.DUMMYFUNCTION("""COMPUTED_VALUE"""),"Trial")</f>
        <v>Trial</v>
      </c>
      <c r="I251" s="265" t="str">
        <f>IFERROR(__xludf.DUMMYFUNCTION("""COMPUTED_VALUE"""),"Portal")</f>
        <v>Portal</v>
      </c>
      <c r="J251" s="265" t="str">
        <f>IFERROR(__xludf.DUMMYFUNCTION("""COMPUTED_VALUE"""),"File Excel")</f>
        <v>File Excel</v>
      </c>
      <c r="K251" s="265" t="str">
        <f>IFERROR(__xludf.DUMMYFUNCTION("""COMPUTED_VALUE"""),"(Không recheck)")</f>
        <v>(Không recheck)</v>
      </c>
    </row>
    <row r="252">
      <c r="A252" s="265" t="str">
        <f>IFERROR(__xludf.DUMMYFUNCTION("""COMPUTED_VALUE"""),"563")</f>
        <v>563</v>
      </c>
      <c r="B252" s="265" t="str">
        <f>IFERROR(__xludf.DUMMYFUNCTION("""COMPUTED_VALUE"""),"Hà Nội")</f>
        <v>Hà Nội</v>
      </c>
      <c r="C252" s="265" t="str">
        <f>IFERROR(__xludf.DUMMYFUNCTION("""COMPUTED_VALUE"""),"Locked")</f>
        <v>Locked</v>
      </c>
      <c r="D252" s="265" t="str">
        <f>IFERROR(__xludf.DUMMYFUNCTION("""COMPUTED_VALUE"""),"Sale chưa cung cấp")</f>
        <v>Sale chưa cung cấp</v>
      </c>
      <c r="E252" s="265" t="str">
        <f>IFERROR(__xludf.DUMMYFUNCTION("""COMPUTED_VALUE"""),"TùngLD")</f>
        <v>TùngLD</v>
      </c>
      <c r="F252" s="265" t="str">
        <f>IFERROR(__xludf.DUMMYFUNCTION("""COMPUTED_VALUE"""),"Sale chưa cung cấp")</f>
        <v>Sale chưa cung cấp</v>
      </c>
      <c r="G252" s="265" t="str">
        <f>IFERROR(__xludf.DUMMYFUNCTION("""COMPUTED_VALUE"""),"Enterprise")</f>
        <v>Enterprise</v>
      </c>
      <c r="H252" s="265" t="str">
        <f>IFERROR(__xludf.DUMMYFUNCTION("""COMPUTED_VALUE"""),"Trial")</f>
        <v>Trial</v>
      </c>
      <c r="I252" s="265" t="str">
        <f>IFERROR(__xludf.DUMMYFUNCTION("""COMPUTED_VALUE"""),"Portal")</f>
        <v>Portal</v>
      </c>
      <c r="J252" s="265" t="str">
        <f>IFERROR(__xludf.DUMMYFUNCTION("""COMPUTED_VALUE"""),"API")</f>
        <v>API</v>
      </c>
      <c r="K252" s="265" t="str">
        <f>IFERROR(__xludf.DUMMYFUNCTION("""COMPUTED_VALUE"""),"(Không recheck)")</f>
        <v>(Không recheck)</v>
      </c>
    </row>
    <row r="253">
      <c r="A253" s="265" t="str">
        <f>IFERROR(__xludf.DUMMYFUNCTION("""COMPUTED_VALUE"""),"562")</f>
        <v>562</v>
      </c>
      <c r="B253" s="265" t="str">
        <f>IFERROR(__xludf.DUMMYFUNCTION("""COMPUTED_VALUE"""),"Hà Nội")</f>
        <v>Hà Nội</v>
      </c>
      <c r="C253" s="265" t="str">
        <f>IFERROR(__xludf.DUMMYFUNCTION("""COMPUTED_VALUE"""),"Locked")</f>
        <v>Locked</v>
      </c>
      <c r="D253" s="265" t="str">
        <f>IFERROR(__xludf.DUMMYFUNCTION("""COMPUTED_VALUE"""),"Sale chưa cung cấp")</f>
        <v>Sale chưa cung cấp</v>
      </c>
      <c r="E253" s="265" t="str">
        <f>IFERROR(__xludf.DUMMYFUNCTION("""COMPUTED_VALUE"""),"HangNT")</f>
        <v>HangNT</v>
      </c>
      <c r="F253" s="265" t="str">
        <f>IFERROR(__xludf.DUMMYFUNCTION("""COMPUTED_VALUE"""),"Sale chưa cung cấp")</f>
        <v>Sale chưa cung cấp</v>
      </c>
      <c r="G253" s="265" t="str">
        <f>IFERROR(__xludf.DUMMYFUNCTION("""COMPUTED_VALUE"""),"MSG")</f>
        <v>MSG</v>
      </c>
      <c r="H253" s="265" t="str">
        <f>IFERROR(__xludf.DUMMYFUNCTION("""COMPUTED_VALUE"""),"(Chưa recheck)")</f>
        <v>(Chưa recheck)</v>
      </c>
      <c r="I253" s="265" t="str">
        <f>IFERROR(__xludf.DUMMYFUNCTION("""COMPUTED_VALUE"""),"(Chưa recheck)")</f>
        <v>(Chưa recheck)</v>
      </c>
      <c r="J253" s="265" t="str">
        <f>IFERROR(__xludf.DUMMYFUNCTION("""COMPUTED_VALUE"""),"File Excel")</f>
        <v>File Excel</v>
      </c>
      <c r="K253" s="265" t="str">
        <f>IFERROR(__xludf.DUMMYFUNCTION("""COMPUTED_VALUE"""),"(Chưa recheck)")</f>
        <v>(Chưa recheck)</v>
      </c>
    </row>
    <row r="254">
      <c r="A254" s="265" t="str">
        <f>IFERROR(__xludf.DUMMYFUNCTION("""COMPUTED_VALUE"""),"565")</f>
        <v>565</v>
      </c>
      <c r="B254" s="265" t="str">
        <f>IFERROR(__xludf.DUMMYFUNCTION("""COMPUTED_VALUE"""),"Hà Nội")</f>
        <v>Hà Nội</v>
      </c>
      <c r="C254" s="265" t="str">
        <f>IFERROR(__xludf.DUMMYFUNCTION("""COMPUTED_VALUE"""),"Locked")</f>
        <v>Locked</v>
      </c>
      <c r="D254" s="265" t="str">
        <f>IFERROR(__xludf.DUMMYFUNCTION("""COMPUTED_VALUE"""),"Sale chưa cung cấp")</f>
        <v>Sale chưa cung cấp</v>
      </c>
      <c r="E254" s="265" t="str">
        <f>IFERROR(__xludf.DUMMYFUNCTION("""COMPUTED_VALUE"""),"PhươngDTB")</f>
        <v>PhươngDTB</v>
      </c>
      <c r="F254" s="265" t="str">
        <f>IFERROR(__xludf.DUMMYFUNCTION("""COMPUTED_VALUE"""),"Silver")</f>
        <v>Silver</v>
      </c>
      <c r="G254" s="265" t="str">
        <f>IFERROR(__xludf.DUMMYFUNCTION("""COMPUTED_VALUE"""),"MSG")</f>
        <v>MSG</v>
      </c>
      <c r="H254" s="265" t="str">
        <f>IFERROR(__xludf.DUMMYFUNCTION("""COMPUTED_VALUE"""),"(Chưa recheck)")</f>
        <v>(Chưa recheck)</v>
      </c>
      <c r="I254" s="265" t="str">
        <f>IFERROR(__xludf.DUMMYFUNCTION("""COMPUTED_VALUE"""),"(Chưa recheck)")</f>
        <v>(Chưa recheck)</v>
      </c>
      <c r="J254" s="265" t="str">
        <f>IFERROR(__xludf.DUMMYFUNCTION("""COMPUTED_VALUE"""),"File Excel")</f>
        <v>File Excel</v>
      </c>
      <c r="K254" s="265" t="str">
        <f>IFERROR(__xludf.DUMMYFUNCTION("""COMPUTED_VALUE"""),"(Chưa recheck)")</f>
        <v>(Chưa recheck)</v>
      </c>
    </row>
    <row r="255">
      <c r="A255" s="265" t="str">
        <f>IFERROR(__xludf.DUMMYFUNCTION("""COMPUTED_VALUE"""),"566")</f>
        <v>566</v>
      </c>
      <c r="B255" s="265" t="str">
        <f>IFERROR(__xludf.DUMMYFUNCTION("""COMPUTED_VALUE"""),"Sài Gòn")</f>
        <v>Sài Gòn</v>
      </c>
      <c r="C255" s="265" t="str">
        <f>IFERROR(__xludf.DUMMYFUNCTION("""COMPUTED_VALUE"""),"Locked")</f>
        <v>Locked</v>
      </c>
      <c r="D255" s="265" t="str">
        <f>IFERROR(__xludf.DUMMYFUNCTION("""COMPUTED_VALUE"""),"Sale chưa cung cấp")</f>
        <v>Sale chưa cung cấp</v>
      </c>
      <c r="E255" s="265" t="str">
        <f>IFERROR(__xludf.DUMMYFUNCTION("""COMPUTED_VALUE"""),"HoaNTM")</f>
        <v>HoaNTM</v>
      </c>
      <c r="F255" s="265" t="str">
        <f>IFERROR(__xludf.DUMMYFUNCTION("""COMPUTED_VALUE"""),"Sale chưa cung cấp")</f>
        <v>Sale chưa cung cấp</v>
      </c>
      <c r="G255" s="265" t="str">
        <f>IFERROR(__xludf.DUMMYFUNCTION("""COMPUTED_VALUE"""),"Enterprise")</f>
        <v>Enterprise</v>
      </c>
      <c r="H255" s="265" t="str">
        <f>IFERROR(__xludf.DUMMYFUNCTION("""COMPUTED_VALUE"""),"(Chưa recheck)")</f>
        <v>(Chưa recheck)</v>
      </c>
      <c r="I255" s="265" t="str">
        <f>IFERROR(__xludf.DUMMYFUNCTION("""COMPUTED_VALUE"""),"(Chưa recheck)")</f>
        <v>(Chưa recheck)</v>
      </c>
      <c r="J255" s="265" t="str">
        <f>IFERROR(__xludf.DUMMYFUNCTION("""COMPUTED_VALUE"""),"File Excel")</f>
        <v>File Excel</v>
      </c>
      <c r="K255" s="265" t="str">
        <f>IFERROR(__xludf.DUMMYFUNCTION("""COMPUTED_VALUE"""),"(Chưa recheck)")</f>
        <v>(Chưa recheck)</v>
      </c>
    </row>
    <row r="256">
      <c r="A256" s="265" t="str">
        <f>IFERROR(__xludf.DUMMYFUNCTION("""COMPUTED_VALUE"""),"566")</f>
        <v>566</v>
      </c>
      <c r="B256" s="265" t="str">
        <f>IFERROR(__xludf.DUMMYFUNCTION("""COMPUTED_VALUE"""),"Sài Gòn")</f>
        <v>Sài Gòn</v>
      </c>
      <c r="C256" s="265" t="str">
        <f>IFERROR(__xludf.DUMMYFUNCTION("""COMPUTED_VALUE"""),"Locked")</f>
        <v>Locked</v>
      </c>
      <c r="D256" s="265" t="str">
        <f>IFERROR(__xludf.DUMMYFUNCTION("""COMPUTED_VALUE"""),"Sale chưa cung cấp")</f>
        <v>Sale chưa cung cấp</v>
      </c>
      <c r="E256" s="265" t="str">
        <f>IFERROR(__xludf.DUMMYFUNCTION("""COMPUTED_VALUE"""),"HoaNTM")</f>
        <v>HoaNTM</v>
      </c>
      <c r="F256" s="265" t="str">
        <f>IFERROR(__xludf.DUMMYFUNCTION("""COMPUTED_VALUE"""),"Sale chưa cung cấp")</f>
        <v>Sale chưa cung cấp</v>
      </c>
      <c r="G256" s="265" t="str">
        <f>IFERROR(__xludf.DUMMYFUNCTION("""COMPUTED_VALUE"""),"Enterprise")</f>
        <v>Enterprise</v>
      </c>
      <c r="H256" s="265" t="str">
        <f>IFERROR(__xludf.DUMMYFUNCTION("""COMPUTED_VALUE"""),"(Chưa recheck)")</f>
        <v>(Chưa recheck)</v>
      </c>
      <c r="I256" s="265" t="str">
        <f>IFERROR(__xludf.DUMMYFUNCTION("""COMPUTED_VALUE"""),"(Chưa recheck)")</f>
        <v>(Chưa recheck)</v>
      </c>
      <c r="J256" s="265" t="str">
        <f>IFERROR(__xludf.DUMMYFUNCTION("""COMPUTED_VALUE"""),"API")</f>
        <v>API</v>
      </c>
      <c r="K256" s="265" t="str">
        <f>IFERROR(__xludf.DUMMYFUNCTION("""COMPUTED_VALUE"""),"(Chưa recheck)")</f>
        <v>(Chưa recheck)</v>
      </c>
    </row>
    <row r="257">
      <c r="A257" s="265" t="str">
        <f>IFERROR(__xludf.DUMMYFUNCTION("""COMPUTED_VALUE"""),"567")</f>
        <v>567</v>
      </c>
      <c r="B257" s="265" t="str">
        <f>IFERROR(__xludf.DUMMYFUNCTION("""COMPUTED_VALUE"""),"Hà Nội")</f>
        <v>Hà Nội</v>
      </c>
      <c r="C257" s="265" t="str">
        <f>IFERROR(__xludf.DUMMYFUNCTION("""COMPUTED_VALUE"""),"Locked")</f>
        <v>Locked</v>
      </c>
      <c r="D257" s="265" t="str">
        <f>IFERROR(__xludf.DUMMYFUNCTION("""COMPUTED_VALUE"""),"Sale chưa cung cấp")</f>
        <v>Sale chưa cung cấp</v>
      </c>
      <c r="E257" s="265" t="str">
        <f>IFERROR(__xludf.DUMMYFUNCTION("""COMPUTED_VALUE"""),"PhươngDTB")</f>
        <v>PhươngDTB</v>
      </c>
      <c r="F257" s="265" t="str">
        <f>IFERROR(__xludf.DUMMYFUNCTION("""COMPUTED_VALUE"""),"Sale chưa cung cấp")</f>
        <v>Sale chưa cung cấp</v>
      </c>
      <c r="G257" s="265" t="str">
        <f>IFERROR(__xludf.DUMMYFUNCTION("""COMPUTED_VALUE"""),"MSG")</f>
        <v>MSG</v>
      </c>
      <c r="H257" s="265" t="str">
        <f>IFERROR(__xludf.DUMMYFUNCTION("""COMPUTED_VALUE"""),"(Chưa recheck)")</f>
        <v>(Chưa recheck)</v>
      </c>
      <c r="I257" s="265" t="str">
        <f>IFERROR(__xludf.DUMMYFUNCTION("""COMPUTED_VALUE"""),"(Chưa recheck)")</f>
        <v>(Chưa recheck)</v>
      </c>
      <c r="J257" s="265" t="str">
        <f>IFERROR(__xludf.DUMMYFUNCTION("""COMPUTED_VALUE"""),"File Excel")</f>
        <v>File Excel</v>
      </c>
      <c r="K257" s="265" t="str">
        <f>IFERROR(__xludf.DUMMYFUNCTION("""COMPUTED_VALUE"""),"(Chưa recheck)")</f>
        <v>(Chưa recheck)</v>
      </c>
    </row>
    <row r="258">
      <c r="A258" s="265" t="str">
        <f>IFERROR(__xludf.DUMMYFUNCTION("""COMPUTED_VALUE"""),"568")</f>
        <v>568</v>
      </c>
      <c r="B258" s="265" t="str">
        <f>IFERROR(__xludf.DUMMYFUNCTION("""COMPUTED_VALUE"""),"Hà Nội")</f>
        <v>Hà Nội</v>
      </c>
      <c r="C258" s="265" t="str">
        <f>IFERROR(__xludf.DUMMYFUNCTION("""COMPUTED_VALUE"""),"Locked")</f>
        <v>Locked</v>
      </c>
      <c r="D258" s="265" t="str">
        <f>IFERROR(__xludf.DUMMYFUNCTION("""COMPUTED_VALUE"""),"Sale chưa cung cấp")</f>
        <v>Sale chưa cung cấp</v>
      </c>
      <c r="E258" s="265" t="str">
        <f>IFERROR(__xludf.DUMMYFUNCTION("""COMPUTED_VALUE"""),"PhươngDTB")</f>
        <v>PhươngDTB</v>
      </c>
      <c r="F258" s="265" t="str">
        <f>IFERROR(__xludf.DUMMYFUNCTION("""COMPUTED_VALUE"""),"Sale chưa cung cấp")</f>
        <v>Sale chưa cung cấp</v>
      </c>
      <c r="G258" s="265" t="str">
        <f>IFERROR(__xludf.DUMMYFUNCTION("""COMPUTED_VALUE"""),"MSG")</f>
        <v>MSG</v>
      </c>
      <c r="H258" s="265" t="str">
        <f>IFERROR(__xludf.DUMMYFUNCTION("""COMPUTED_VALUE"""),"(Chưa recheck)")</f>
        <v>(Chưa recheck)</v>
      </c>
      <c r="I258" s="265" t="str">
        <f>IFERROR(__xludf.DUMMYFUNCTION("""COMPUTED_VALUE"""),"(Chưa recheck)")</f>
        <v>(Chưa recheck)</v>
      </c>
      <c r="J258" s="265" t="str">
        <f>IFERROR(__xludf.DUMMYFUNCTION("""COMPUTED_VALUE"""),"File Excel")</f>
        <v>File Excel</v>
      </c>
      <c r="K258" s="265" t="str">
        <f>IFERROR(__xludf.DUMMYFUNCTION("""COMPUTED_VALUE"""),"AnhNM")</f>
        <v>AnhNM</v>
      </c>
    </row>
    <row r="259">
      <c r="A259" s="265" t="str">
        <f>IFERROR(__xludf.DUMMYFUNCTION("""COMPUTED_VALUE"""),"569")</f>
        <v>569</v>
      </c>
      <c r="B259" s="265" t="str">
        <f>IFERROR(__xludf.DUMMYFUNCTION("""COMPUTED_VALUE"""),"Sài Gòn")</f>
        <v>Sài Gòn</v>
      </c>
      <c r="C259" s="265" t="str">
        <f>IFERROR(__xludf.DUMMYFUNCTION("""COMPUTED_VALUE"""),"Locked")</f>
        <v>Locked</v>
      </c>
      <c r="D259" s="265" t="str">
        <f>IFERROR(__xludf.DUMMYFUNCTION("""COMPUTED_VALUE"""),"Sale chưa cung cấp")</f>
        <v>Sale chưa cung cấp</v>
      </c>
      <c r="E259" s="265" t="str">
        <f>IFERROR(__xludf.DUMMYFUNCTION("""COMPUTED_VALUE"""),"HoaNTM")</f>
        <v>HoaNTM</v>
      </c>
      <c r="F259" s="265" t="str">
        <f>IFERROR(__xludf.DUMMYFUNCTION("""COMPUTED_VALUE"""),"Sale chưa cung cấp")</f>
        <v>Sale chưa cung cấp</v>
      </c>
      <c r="G259" s="265" t="str">
        <f>IFERROR(__xludf.DUMMYFUNCTION("""COMPUTED_VALUE"""),"API")</f>
        <v>API</v>
      </c>
      <c r="H259" s="265" t="str">
        <f>IFERROR(__xludf.DUMMYFUNCTION("""COMPUTED_VALUE"""),"(Chưa recheck)")</f>
        <v>(Chưa recheck)</v>
      </c>
      <c r="I259" s="265" t="str">
        <f>IFERROR(__xludf.DUMMYFUNCTION("""COMPUTED_VALUE"""),"(Chưa recheck)")</f>
        <v>(Chưa recheck)</v>
      </c>
      <c r="J259" s="265" t="str">
        <f>IFERROR(__xludf.DUMMYFUNCTION("""COMPUTED_VALUE"""),"API")</f>
        <v>API</v>
      </c>
      <c r="K259" s="265" t="str">
        <f>IFERROR(__xludf.DUMMYFUNCTION("""COMPUTED_VALUE"""),"(Chưa recheck)")</f>
        <v>(Chưa recheck)</v>
      </c>
    </row>
    <row r="260">
      <c r="A260" s="265" t="str">
        <f>IFERROR(__xludf.DUMMYFUNCTION("""COMPUTED_VALUE"""),"574")</f>
        <v>574</v>
      </c>
      <c r="B260" s="265" t="str">
        <f>IFERROR(__xludf.DUMMYFUNCTION("""COMPUTED_VALUE"""),"Hà Nội")</f>
        <v>Hà Nội</v>
      </c>
      <c r="C260" s="265" t="str">
        <f>IFERROR(__xludf.DUMMYFUNCTION("""COMPUTED_VALUE"""),"Locked")</f>
        <v>Locked</v>
      </c>
      <c r="D260" s="265" t="str">
        <f>IFERROR(__xludf.DUMMYFUNCTION("""COMPUTED_VALUE"""),"Sale chưa cung cấp")</f>
        <v>Sale chưa cung cấp</v>
      </c>
      <c r="E260" s="265" t="str">
        <f>IFERROR(__xludf.DUMMYFUNCTION("""COMPUTED_VALUE"""),"TùngLD")</f>
        <v>TùngLD</v>
      </c>
      <c r="F260" s="265" t="str">
        <f>IFERROR(__xludf.DUMMYFUNCTION("""COMPUTED_VALUE"""),"Sale chưa cung cấp")</f>
        <v>Sale chưa cung cấp</v>
      </c>
      <c r="G260" s="265" t="str">
        <f>IFERROR(__xludf.DUMMYFUNCTION("""COMPUTED_VALUE"""),"MSG")</f>
        <v>MSG</v>
      </c>
      <c r="H260" s="265" t="str">
        <f>IFERROR(__xludf.DUMMYFUNCTION("""COMPUTED_VALUE"""),"Trả sau")</f>
        <v>Trả sau</v>
      </c>
      <c r="I260" s="265" t="str">
        <f>IFERROR(__xludf.DUMMYFUNCTION("""COMPUTED_VALUE"""),"Portal")</f>
        <v>Portal</v>
      </c>
      <c r="J260" s="265" t="str">
        <f>IFERROR(__xludf.DUMMYFUNCTION("""COMPUTED_VALUE"""),"File Excel")</f>
        <v>File Excel</v>
      </c>
      <c r="K260" s="265" t="str">
        <f>IFERROR(__xludf.DUMMYFUNCTION("""COMPUTED_VALUE"""),"AnhNM")</f>
        <v>AnhNM</v>
      </c>
    </row>
    <row r="261">
      <c r="A261" s="265" t="str">
        <f>IFERROR(__xludf.DUMMYFUNCTION("""COMPUTED_VALUE"""),"572")</f>
        <v>572</v>
      </c>
      <c r="B261" s="265" t="str">
        <f>IFERROR(__xludf.DUMMYFUNCTION("""COMPUTED_VALUE"""),"Hà Nội")</f>
        <v>Hà Nội</v>
      </c>
      <c r="C261" s="265" t="str">
        <f>IFERROR(__xludf.DUMMYFUNCTION("""COMPUTED_VALUE"""),"Active")</f>
        <v>Active</v>
      </c>
      <c r="D261" s="265" t="str">
        <f>IFERROR(__xludf.DUMMYFUNCTION("""COMPUTED_VALUE"""),"Trang sức")</f>
        <v>Trang sức</v>
      </c>
      <c r="E261" s="265" t="str">
        <f>IFERROR(__xludf.DUMMYFUNCTION("""COMPUTED_VALUE"""),"AnhNM")</f>
        <v>AnhNM</v>
      </c>
      <c r="F261" s="265" t="str">
        <f>IFERROR(__xludf.DUMMYFUNCTION("""COMPUTED_VALUE"""),"Gold")</f>
        <v>Gold</v>
      </c>
      <c r="G261" s="265" t="str">
        <f>IFERROR(__xludf.DUMMYFUNCTION("""COMPUTED_VALUE"""),"Starter")</f>
        <v>Starter</v>
      </c>
      <c r="H261" s="265" t="str">
        <f>IFERROR(__xludf.DUMMYFUNCTION("""COMPUTED_VALUE"""),"Trả sau")</f>
        <v>Trả sau</v>
      </c>
      <c r="I261" s="265" t="str">
        <f>IFERROR(__xludf.DUMMYFUNCTION("""COMPUTED_VALUE"""),"API &amp; Portal")</f>
        <v>API &amp; Portal</v>
      </c>
      <c r="J261" s="265" t="str">
        <f>IFERROR(__xludf.DUMMYFUNCTION("""COMPUTED_VALUE"""),"File Excel")</f>
        <v>File Excel</v>
      </c>
      <c r="K261" s="265" t="str">
        <f>IFERROR(__xludf.DUMMYFUNCTION("""COMPUTED_VALUE"""),"DungPL, DungVT")</f>
        <v>DungPL, DungVT</v>
      </c>
    </row>
    <row r="262">
      <c r="A262" s="265" t="str">
        <f>IFERROR(__xludf.DUMMYFUNCTION("""COMPUTED_VALUE"""),"570")</f>
        <v>570</v>
      </c>
      <c r="B262" s="265" t="str">
        <f>IFERROR(__xludf.DUMMYFUNCTION("""COMPUTED_VALUE"""),"Sài Gòn")</f>
        <v>Sài Gòn</v>
      </c>
      <c r="C262" s="265" t="str">
        <f>IFERROR(__xludf.DUMMYFUNCTION("""COMPUTED_VALUE"""),"Locked")</f>
        <v>Locked</v>
      </c>
      <c r="D262" s="265" t="str">
        <f>IFERROR(__xludf.DUMMYFUNCTION("""COMPUTED_VALUE"""),"Sale chưa cung cấp")</f>
        <v>Sale chưa cung cấp</v>
      </c>
      <c r="E262" s="265" t="str">
        <f>IFERROR(__xludf.DUMMYFUNCTION("""COMPUTED_VALUE"""),"HoaNTM")</f>
        <v>HoaNTM</v>
      </c>
      <c r="F262" s="265" t="str">
        <f>IFERROR(__xludf.DUMMYFUNCTION("""COMPUTED_VALUE"""),"Sale chưa cung cấp")</f>
        <v>Sale chưa cung cấp</v>
      </c>
      <c r="G262" s="265" t="str">
        <f>IFERROR(__xludf.DUMMYFUNCTION("""COMPUTED_VALUE"""),"Enterprise")</f>
        <v>Enterprise</v>
      </c>
      <c r="H262" s="265" t="str">
        <f>IFERROR(__xludf.DUMMYFUNCTION("""COMPUTED_VALUE"""),"(Chưa recheck)")</f>
        <v>(Chưa recheck)</v>
      </c>
      <c r="I262" s="265" t="str">
        <f>IFERROR(__xludf.DUMMYFUNCTION("""COMPUTED_VALUE"""),"(Chưa recheck)")</f>
        <v>(Chưa recheck)</v>
      </c>
      <c r="J262" s="265" t="str">
        <f>IFERROR(__xludf.DUMMYFUNCTION("""COMPUTED_VALUE"""),"File Excel")</f>
        <v>File Excel</v>
      </c>
      <c r="K262" s="265" t="str">
        <f>IFERROR(__xludf.DUMMYFUNCTION("""COMPUTED_VALUE"""),"AnhNM")</f>
        <v>AnhNM</v>
      </c>
    </row>
    <row r="263">
      <c r="A263" s="265" t="str">
        <f>IFERROR(__xludf.DUMMYFUNCTION("""COMPUTED_VALUE"""),"570")</f>
        <v>570</v>
      </c>
      <c r="B263" s="265" t="str">
        <f>IFERROR(__xludf.DUMMYFUNCTION("""COMPUTED_VALUE"""),"Sài Gòn")</f>
        <v>Sài Gòn</v>
      </c>
      <c r="C263" s="265" t="str">
        <f>IFERROR(__xludf.DUMMYFUNCTION("""COMPUTED_VALUE"""),"Locked")</f>
        <v>Locked</v>
      </c>
      <c r="D263" s="265" t="str">
        <f>IFERROR(__xludf.DUMMYFUNCTION("""COMPUTED_VALUE"""),"Sale chưa cung cấp")</f>
        <v>Sale chưa cung cấp</v>
      </c>
      <c r="E263" s="265" t="str">
        <f>IFERROR(__xludf.DUMMYFUNCTION("""COMPUTED_VALUE"""),"HoaNTM")</f>
        <v>HoaNTM</v>
      </c>
      <c r="F263" s="265" t="str">
        <f>IFERROR(__xludf.DUMMYFUNCTION("""COMPUTED_VALUE"""),"Sale chưa cung cấp")</f>
        <v>Sale chưa cung cấp</v>
      </c>
      <c r="G263" s="265" t="str">
        <f>IFERROR(__xludf.DUMMYFUNCTION("""COMPUTED_VALUE"""),"Enterprise")</f>
        <v>Enterprise</v>
      </c>
      <c r="H263" s="265" t="str">
        <f>IFERROR(__xludf.DUMMYFUNCTION("""COMPUTED_VALUE"""),"(Chưa recheck)")</f>
        <v>(Chưa recheck)</v>
      </c>
      <c r="I263" s="265" t="str">
        <f>IFERROR(__xludf.DUMMYFUNCTION("""COMPUTED_VALUE"""),"(Chưa recheck)")</f>
        <v>(Chưa recheck)</v>
      </c>
      <c r="J263" s="265" t="str">
        <f>IFERROR(__xludf.DUMMYFUNCTION("""COMPUTED_VALUE"""),"API")</f>
        <v>API</v>
      </c>
      <c r="K263" s="265" t="str">
        <f>IFERROR(__xludf.DUMMYFUNCTION("""COMPUTED_VALUE"""),"AnhNM")</f>
        <v>AnhNM</v>
      </c>
    </row>
    <row r="264">
      <c r="A264" s="265" t="str">
        <f>IFERROR(__xludf.DUMMYFUNCTION("""COMPUTED_VALUE"""),"571")</f>
        <v>571</v>
      </c>
      <c r="B264" s="265" t="str">
        <f>IFERROR(__xludf.DUMMYFUNCTION("""COMPUTED_VALUE"""),"Sài Gòn")</f>
        <v>Sài Gòn</v>
      </c>
      <c r="C264" s="265" t="str">
        <f>IFERROR(__xludf.DUMMYFUNCTION("""COMPUTED_VALUE"""),"Locked")</f>
        <v>Locked</v>
      </c>
      <c r="D264" s="265" t="str">
        <f>IFERROR(__xludf.DUMMYFUNCTION("""COMPUTED_VALUE"""),"Sale chưa cung cấp")</f>
        <v>Sale chưa cung cấp</v>
      </c>
      <c r="E264" s="265" t="str">
        <f>IFERROR(__xludf.DUMMYFUNCTION("""COMPUTED_VALUE"""),"HoaNTM")</f>
        <v>HoaNTM</v>
      </c>
      <c r="F264" s="265" t="str">
        <f>IFERROR(__xludf.DUMMYFUNCTION("""COMPUTED_VALUE"""),"Bronze")</f>
        <v>Bronze</v>
      </c>
      <c r="G264" s="265" t="str">
        <f>IFERROR(__xludf.DUMMYFUNCTION("""COMPUTED_VALUE"""),"Enterprise")</f>
        <v>Enterprise</v>
      </c>
      <c r="H264" s="265" t="str">
        <f>IFERROR(__xludf.DUMMYFUNCTION("""COMPUTED_VALUE"""),"(Chưa recheck)")</f>
        <v>(Chưa recheck)</v>
      </c>
      <c r="I264" s="265" t="str">
        <f>IFERROR(__xludf.DUMMYFUNCTION("""COMPUTED_VALUE"""),"(Chưa recheck)")</f>
        <v>(Chưa recheck)</v>
      </c>
      <c r="J264" s="265" t="str">
        <f>IFERROR(__xludf.DUMMYFUNCTION("""COMPUTED_VALUE"""),"File Excel")</f>
        <v>File Excel</v>
      </c>
      <c r="K264" s="265" t="str">
        <f>IFERROR(__xludf.DUMMYFUNCTION("""COMPUTED_VALUE"""),"(Chưa recheck)")</f>
        <v>(Chưa recheck)</v>
      </c>
    </row>
    <row r="265">
      <c r="A265" s="265" t="str">
        <f>IFERROR(__xludf.DUMMYFUNCTION("""COMPUTED_VALUE"""),"571")</f>
        <v>571</v>
      </c>
      <c r="B265" s="265" t="str">
        <f>IFERROR(__xludf.DUMMYFUNCTION("""COMPUTED_VALUE"""),"Sài Gòn")</f>
        <v>Sài Gòn</v>
      </c>
      <c r="C265" s="265" t="str">
        <f>IFERROR(__xludf.DUMMYFUNCTION("""COMPUTED_VALUE"""),"Locked")</f>
        <v>Locked</v>
      </c>
      <c r="D265" s="265" t="str">
        <f>IFERROR(__xludf.DUMMYFUNCTION("""COMPUTED_VALUE"""),"Sale chưa cung cấp")</f>
        <v>Sale chưa cung cấp</v>
      </c>
      <c r="E265" s="265" t="str">
        <f>IFERROR(__xludf.DUMMYFUNCTION("""COMPUTED_VALUE"""),"HoaNTM")</f>
        <v>HoaNTM</v>
      </c>
      <c r="F265" s="265" t="str">
        <f>IFERROR(__xludf.DUMMYFUNCTION("""COMPUTED_VALUE"""),"Bronze")</f>
        <v>Bronze</v>
      </c>
      <c r="G265" s="265" t="str">
        <f>IFERROR(__xludf.DUMMYFUNCTION("""COMPUTED_VALUE"""),"Enterprise")</f>
        <v>Enterprise</v>
      </c>
      <c r="H265" s="265" t="str">
        <f>IFERROR(__xludf.DUMMYFUNCTION("""COMPUTED_VALUE"""),"(Chưa recheck)")</f>
        <v>(Chưa recheck)</v>
      </c>
      <c r="I265" s="265" t="str">
        <f>IFERROR(__xludf.DUMMYFUNCTION("""COMPUTED_VALUE"""),"(Chưa recheck)")</f>
        <v>(Chưa recheck)</v>
      </c>
      <c r="J265" s="265" t="str">
        <f>IFERROR(__xludf.DUMMYFUNCTION("""COMPUTED_VALUE"""),"API")</f>
        <v>API</v>
      </c>
      <c r="K265" s="265" t="str">
        <f>IFERROR(__xludf.DUMMYFUNCTION("""COMPUTED_VALUE"""),"(Chưa recheck)")</f>
        <v>(Chưa recheck)</v>
      </c>
    </row>
    <row r="266">
      <c r="A266" s="265" t="str">
        <f>IFERROR(__xludf.DUMMYFUNCTION("""COMPUTED_VALUE"""),"573")</f>
        <v>573</v>
      </c>
      <c r="B266" s="265" t="str">
        <f>IFERROR(__xludf.DUMMYFUNCTION("""COMPUTED_VALUE"""),"Hà Nội")</f>
        <v>Hà Nội</v>
      </c>
      <c r="C266" s="265" t="str">
        <f>IFERROR(__xludf.DUMMYFUNCTION("""COMPUTED_VALUE"""),"Locked")</f>
        <v>Locked</v>
      </c>
      <c r="D266" s="265" t="str">
        <f>IFERROR(__xludf.DUMMYFUNCTION("""COMPUTED_VALUE"""),"Sale chưa cung cấp")</f>
        <v>Sale chưa cung cấp</v>
      </c>
      <c r="E266" s="265" t="str">
        <f>IFERROR(__xludf.DUMMYFUNCTION("""COMPUTED_VALUE"""),"TùngLD")</f>
        <v>TùngLD</v>
      </c>
      <c r="F266" s="265" t="str">
        <f>IFERROR(__xludf.DUMMYFUNCTION("""COMPUTED_VALUE"""),"Sale chưa cung cấp")</f>
        <v>Sale chưa cung cấp</v>
      </c>
      <c r="G266" s="265" t="str">
        <f>IFERROR(__xludf.DUMMYFUNCTION("""COMPUTED_VALUE"""),"API")</f>
        <v>API</v>
      </c>
      <c r="H266" s="265" t="str">
        <f>IFERROR(__xludf.DUMMYFUNCTION("""COMPUTED_VALUE"""),"Trial")</f>
        <v>Trial</v>
      </c>
      <c r="I266" s="265" t="str">
        <f>IFERROR(__xludf.DUMMYFUNCTION("""COMPUTED_VALUE"""),"API")</f>
        <v>API</v>
      </c>
      <c r="J266" s="265" t="str">
        <f>IFERROR(__xludf.DUMMYFUNCTION("""COMPUTED_VALUE"""),"API")</f>
        <v>API</v>
      </c>
      <c r="K266" s="265" t="str">
        <f>IFERROR(__xludf.DUMMYFUNCTION("""COMPUTED_VALUE"""),"(Không recheck)")</f>
        <v>(Không recheck)</v>
      </c>
    </row>
    <row r="267">
      <c r="A267" s="265" t="str">
        <f>IFERROR(__xludf.DUMMYFUNCTION("""COMPUTED_VALUE"""),"575")</f>
        <v>575</v>
      </c>
      <c r="B267" s="265" t="str">
        <f>IFERROR(__xludf.DUMMYFUNCTION("""COMPUTED_VALUE"""),"Sài Gòn")</f>
        <v>Sài Gòn</v>
      </c>
      <c r="C267" s="265" t="str">
        <f>IFERROR(__xludf.DUMMYFUNCTION("""COMPUTED_VALUE"""),"Locked")</f>
        <v>Locked</v>
      </c>
      <c r="D267" s="265" t="str">
        <f>IFERROR(__xludf.DUMMYFUNCTION("""COMPUTED_VALUE"""),"Sale chưa cung cấp")</f>
        <v>Sale chưa cung cấp</v>
      </c>
      <c r="E267" s="265" t="str">
        <f>IFERROR(__xludf.DUMMYFUNCTION("""COMPUTED_VALUE"""),"HoaNTM")</f>
        <v>HoaNTM</v>
      </c>
      <c r="F267" s="265" t="str">
        <f>IFERROR(__xludf.DUMMYFUNCTION("""COMPUTED_VALUE"""),"Diamond")</f>
        <v>Diamond</v>
      </c>
      <c r="G267" s="265" t="str">
        <f>IFERROR(__xludf.DUMMYFUNCTION("""COMPUTED_VALUE"""),"MSG")</f>
        <v>MSG</v>
      </c>
      <c r="H267" s="265" t="str">
        <f>IFERROR(__xludf.DUMMYFUNCTION("""COMPUTED_VALUE"""),"Trả sau")</f>
        <v>Trả sau</v>
      </c>
      <c r="I267" s="265" t="str">
        <f>IFERROR(__xludf.DUMMYFUNCTION("""COMPUTED_VALUE"""),"(Chưa recheck)")</f>
        <v>(Chưa recheck)</v>
      </c>
      <c r="J267" s="265" t="str">
        <f>IFERROR(__xludf.DUMMYFUNCTION("""COMPUTED_VALUE"""),"File Excel")</f>
        <v>File Excel</v>
      </c>
      <c r="K267" s="265" t="str">
        <f>IFERROR(__xludf.DUMMYFUNCTION("""COMPUTED_VALUE"""),"(Chưa recheck)")</f>
        <v>(Chưa recheck)</v>
      </c>
    </row>
    <row r="268">
      <c r="A268" s="265" t="str">
        <f>IFERROR(__xludf.DUMMYFUNCTION("""COMPUTED_VALUE"""),"576")</f>
        <v>576</v>
      </c>
      <c r="B268" s="265" t="str">
        <f>IFERROR(__xludf.DUMMYFUNCTION("""COMPUTED_VALUE"""),"Sài Gòn")</f>
        <v>Sài Gòn</v>
      </c>
      <c r="C268" s="265" t="str">
        <f>IFERROR(__xludf.DUMMYFUNCTION("""COMPUTED_VALUE"""),"Active")</f>
        <v>Active</v>
      </c>
      <c r="D268" s="265" t="str">
        <f>IFERROR(__xludf.DUMMYFUNCTION("""COMPUTED_VALUE"""),"Sale chưa cung cấp")</f>
        <v>Sale chưa cung cấp</v>
      </c>
      <c r="E268" s="265" t="str">
        <f>IFERROR(__xludf.DUMMYFUNCTION("""COMPUTED_VALUE"""),"Không phân công")</f>
        <v>Không phân công</v>
      </c>
      <c r="F268" s="265" t="str">
        <f>IFERROR(__xludf.DUMMYFUNCTION("""COMPUTED_VALUE"""),"Gold")</f>
        <v>Gold</v>
      </c>
      <c r="G268" s="265" t="str">
        <f>IFERROR(__xludf.DUMMYFUNCTION("""COMPUTED_VALUE"""),"Starter")</f>
        <v>Starter</v>
      </c>
      <c r="H268" s="265" t="str">
        <f>IFERROR(__xludf.DUMMYFUNCTION("""COMPUTED_VALUE"""),"Trả sau")</f>
        <v>Trả sau</v>
      </c>
      <c r="I268" s="265" t="str">
        <f>IFERROR(__xludf.DUMMYFUNCTION("""COMPUTED_VALUE"""),"API")</f>
        <v>API</v>
      </c>
      <c r="J268" s="265" t="str">
        <f>IFERROR(__xludf.DUMMYFUNCTION("""COMPUTED_VALUE"""),"API")</f>
        <v>API</v>
      </c>
      <c r="K268" s="265" t="str">
        <f>IFERROR(__xludf.DUMMYFUNCTION("""COMPUTED_VALUE"""),"LinhNTT1")</f>
        <v>LinhNTT1</v>
      </c>
    </row>
    <row r="269">
      <c r="A269" s="265" t="str">
        <f>IFERROR(__xludf.DUMMYFUNCTION("""COMPUTED_VALUE"""),"577")</f>
        <v>577</v>
      </c>
      <c r="B269" s="265" t="str">
        <f>IFERROR(__xludf.DUMMYFUNCTION("""COMPUTED_VALUE"""),"Hà Nội")</f>
        <v>Hà Nội</v>
      </c>
      <c r="C269" s="265" t="str">
        <f>IFERROR(__xludf.DUMMYFUNCTION("""COMPUTED_VALUE"""),"Locked")</f>
        <v>Locked</v>
      </c>
      <c r="D269" s="265" t="str">
        <f>IFERROR(__xludf.DUMMYFUNCTION("""COMPUTED_VALUE"""),"Sale chưa cung cấp")</f>
        <v>Sale chưa cung cấp</v>
      </c>
      <c r="E269" s="265" t="str">
        <f>IFERROR(__xludf.DUMMYFUNCTION("""COMPUTED_VALUE"""),"HangNT")</f>
        <v>HangNT</v>
      </c>
      <c r="F269" s="265" t="str">
        <f>IFERROR(__xludf.DUMMYFUNCTION("""COMPUTED_VALUE"""),"Bronze")</f>
        <v>Bronze</v>
      </c>
      <c r="G269" s="265" t="str">
        <f>IFERROR(__xludf.DUMMYFUNCTION("""COMPUTED_VALUE"""),"Enterprise")</f>
        <v>Enterprise</v>
      </c>
      <c r="H269" s="265" t="str">
        <f>IFERROR(__xludf.DUMMYFUNCTION("""COMPUTED_VALUE"""),"(Chưa recheck)")</f>
        <v>(Chưa recheck)</v>
      </c>
      <c r="I269" s="265" t="str">
        <f>IFERROR(__xludf.DUMMYFUNCTION("""COMPUTED_VALUE"""),"(Chưa recheck)")</f>
        <v>(Chưa recheck)</v>
      </c>
      <c r="J269" s="265" t="str">
        <f>IFERROR(__xludf.DUMMYFUNCTION("""COMPUTED_VALUE"""),"Kiotviet")</f>
        <v>Kiotviet</v>
      </c>
      <c r="K269" s="265" t="str">
        <f>IFERROR(__xludf.DUMMYFUNCTION("""COMPUTED_VALUE"""),"(Chưa recheck)")</f>
        <v>(Chưa recheck)</v>
      </c>
    </row>
    <row r="270">
      <c r="A270" s="265" t="str">
        <f>IFERROR(__xludf.DUMMYFUNCTION("""COMPUTED_VALUE"""),"578")</f>
        <v>578</v>
      </c>
      <c r="B270" s="265" t="str">
        <f>IFERROR(__xludf.DUMMYFUNCTION("""COMPUTED_VALUE"""),"Sài Gòn")</f>
        <v>Sài Gòn</v>
      </c>
      <c r="C270" s="265" t="str">
        <f>IFERROR(__xludf.DUMMYFUNCTION("""COMPUTED_VALUE"""),"Locked")</f>
        <v>Locked</v>
      </c>
      <c r="D270" s="265" t="str">
        <f>IFERROR(__xludf.DUMMYFUNCTION("""COMPUTED_VALUE"""),"Sale chưa cung cấp")</f>
        <v>Sale chưa cung cấp</v>
      </c>
      <c r="E270" s="265" t="str">
        <f>IFERROR(__xludf.DUMMYFUNCTION("""COMPUTED_VALUE"""),"HoaNTM")</f>
        <v>HoaNTM</v>
      </c>
      <c r="F270" s="265" t="str">
        <f>IFERROR(__xludf.DUMMYFUNCTION("""COMPUTED_VALUE"""),"Sale chưa cung cấp")</f>
        <v>Sale chưa cung cấp</v>
      </c>
      <c r="G270" s="265" t="str">
        <f>IFERROR(__xludf.DUMMYFUNCTION("""COMPUTED_VALUE"""),"Enterprise")</f>
        <v>Enterprise</v>
      </c>
      <c r="H270" s="265" t="str">
        <f>IFERROR(__xludf.DUMMYFUNCTION("""COMPUTED_VALUE"""),"Trial")</f>
        <v>Trial</v>
      </c>
      <c r="I270" s="265" t="str">
        <f>IFERROR(__xludf.DUMMYFUNCTION("""COMPUTED_VALUE"""),"(Chưa recheck)")</f>
        <v>(Chưa recheck)</v>
      </c>
      <c r="J270" s="265" t="str">
        <f>IFERROR(__xludf.DUMMYFUNCTION("""COMPUTED_VALUE"""),"API")</f>
        <v>API</v>
      </c>
      <c r="K270" s="265" t="str">
        <f>IFERROR(__xludf.DUMMYFUNCTION("""COMPUTED_VALUE"""),"(Chưa recheck)")</f>
        <v>(Chưa recheck)</v>
      </c>
    </row>
    <row r="271">
      <c r="A271" s="265" t="str">
        <f>IFERROR(__xludf.DUMMYFUNCTION("""COMPUTED_VALUE"""),"682")</f>
        <v>682</v>
      </c>
      <c r="B271" s="265" t="str">
        <f>IFERROR(__xludf.DUMMYFUNCTION("""COMPUTED_VALUE"""),"Hà Nội")</f>
        <v>Hà Nội</v>
      </c>
      <c r="C271" s="265" t="str">
        <f>IFERROR(__xludf.DUMMYFUNCTION("""COMPUTED_VALUE"""),"Active")</f>
        <v>Active</v>
      </c>
      <c r="D271" s="265" t="str">
        <f>IFERROR(__xludf.DUMMYFUNCTION("""COMPUTED_VALUE"""),"Sale chưa cung cấp")</f>
        <v>Sale chưa cung cấp</v>
      </c>
      <c r="E271" s="265" t="str">
        <f>IFERROR(__xludf.DUMMYFUNCTION("""COMPUTED_VALUE"""),"Không phân công")</f>
        <v>Không phân công</v>
      </c>
      <c r="F271" s="265" t="str">
        <f>IFERROR(__xludf.DUMMYFUNCTION("""COMPUTED_VALUE"""),"Bronze")</f>
        <v>Bronze</v>
      </c>
      <c r="G271" s="265" t="str">
        <f>IFERROR(__xludf.DUMMYFUNCTION("""COMPUTED_VALUE"""),"MSG")</f>
        <v>MSG</v>
      </c>
      <c r="H271" s="265" t="str">
        <f>IFERROR(__xludf.DUMMYFUNCTION("""COMPUTED_VALUE"""),"Trả sau")</f>
        <v>Trả sau</v>
      </c>
      <c r="I271" s="265" t="str">
        <f>IFERROR(__xludf.DUMMYFUNCTION("""COMPUTED_VALUE"""),"Portal")</f>
        <v>Portal</v>
      </c>
      <c r="J271" s="265" t="str">
        <f>IFERROR(__xludf.DUMMYFUNCTION("""COMPUTED_VALUE"""),"File Excel")</f>
        <v>File Excel</v>
      </c>
      <c r="K271" s="265" t="str">
        <f>IFERROR(__xludf.DUMMYFUNCTION("""COMPUTED_VALUE"""),"LinhNTT1")</f>
        <v>LinhNTT1</v>
      </c>
    </row>
    <row r="272">
      <c r="A272" s="265" t="str">
        <f>IFERROR(__xludf.DUMMYFUNCTION("""COMPUTED_VALUE"""),"579")</f>
        <v>579</v>
      </c>
      <c r="B272" s="265" t="str">
        <f>IFERROR(__xludf.DUMMYFUNCTION("""COMPUTED_VALUE"""),"Sài Gòn")</f>
        <v>Sài Gòn</v>
      </c>
      <c r="C272" s="265" t="str">
        <f>IFERROR(__xludf.DUMMYFUNCTION("""COMPUTED_VALUE"""),"Locked")</f>
        <v>Locked</v>
      </c>
      <c r="D272" s="265" t="str">
        <f>IFERROR(__xludf.DUMMYFUNCTION("""COMPUTED_VALUE"""),"Sale chưa cung cấp")</f>
        <v>Sale chưa cung cấp</v>
      </c>
      <c r="E272" s="265" t="str">
        <f>IFERROR(__xludf.DUMMYFUNCTION("""COMPUTED_VALUE"""),"HoaNTM")</f>
        <v>HoaNTM</v>
      </c>
      <c r="F272" s="265" t="str">
        <f>IFERROR(__xludf.DUMMYFUNCTION("""COMPUTED_VALUE"""),"Diamond")</f>
        <v>Diamond</v>
      </c>
      <c r="G272" s="265" t="str">
        <f>IFERROR(__xludf.DUMMYFUNCTION("""COMPUTED_VALUE"""),"MSG")</f>
        <v>MSG</v>
      </c>
      <c r="H272" s="265" t="str">
        <f>IFERROR(__xludf.DUMMYFUNCTION("""COMPUTED_VALUE"""),"Trả sau")</f>
        <v>Trả sau</v>
      </c>
      <c r="I272" s="265" t="str">
        <f>IFERROR(__xludf.DUMMYFUNCTION("""COMPUTED_VALUE"""),"(Chưa recheck)")</f>
        <v>(Chưa recheck)</v>
      </c>
      <c r="J272" s="265" t="str">
        <f>IFERROR(__xludf.DUMMYFUNCTION("""COMPUTED_VALUE"""),"File Excel")</f>
        <v>File Excel</v>
      </c>
      <c r="K272" s="265" t="str">
        <f>IFERROR(__xludf.DUMMYFUNCTION("""COMPUTED_VALUE"""),"(Chưa recheck)")</f>
        <v>(Chưa recheck)</v>
      </c>
    </row>
    <row r="273">
      <c r="A273" s="265" t="str">
        <f>IFERROR(__xludf.DUMMYFUNCTION("""COMPUTED_VALUE"""),"580")</f>
        <v>580</v>
      </c>
      <c r="B273" s="265" t="str">
        <f>IFERROR(__xludf.DUMMYFUNCTION("""COMPUTED_VALUE"""),"Sài Gòn")</f>
        <v>Sài Gòn</v>
      </c>
      <c r="C273" s="265" t="str">
        <f>IFERROR(__xludf.DUMMYFUNCTION("""COMPUTED_VALUE"""),"Locked")</f>
        <v>Locked</v>
      </c>
      <c r="D273" s="265" t="str">
        <f>IFERROR(__xludf.DUMMYFUNCTION("""COMPUTED_VALUE"""),"Sale chưa cung cấp")</f>
        <v>Sale chưa cung cấp</v>
      </c>
      <c r="E273" s="265" t="str">
        <f>IFERROR(__xludf.DUMMYFUNCTION("""COMPUTED_VALUE"""),"HoaNTM")</f>
        <v>HoaNTM</v>
      </c>
      <c r="F273" s="265" t="str">
        <f>IFERROR(__xludf.DUMMYFUNCTION("""COMPUTED_VALUE"""),"Diamond")</f>
        <v>Diamond</v>
      </c>
      <c r="G273" s="265" t="str">
        <f>IFERROR(__xludf.DUMMYFUNCTION("""COMPUTED_VALUE"""),"MSG")</f>
        <v>MSG</v>
      </c>
      <c r="H273" s="265" t="str">
        <f>IFERROR(__xludf.DUMMYFUNCTION("""COMPUTED_VALUE"""),"Trả sau")</f>
        <v>Trả sau</v>
      </c>
      <c r="I273" s="265" t="str">
        <f>IFERROR(__xludf.DUMMYFUNCTION("""COMPUTED_VALUE"""),"(Chưa recheck)")</f>
        <v>(Chưa recheck)</v>
      </c>
      <c r="J273" s="265" t="str">
        <f>IFERROR(__xludf.DUMMYFUNCTION("""COMPUTED_VALUE"""),"File Excel")</f>
        <v>File Excel</v>
      </c>
      <c r="K273" s="265" t="str">
        <f>IFERROR(__xludf.DUMMYFUNCTION("""COMPUTED_VALUE"""),"(Chưa recheck)")</f>
        <v>(Chưa recheck)</v>
      </c>
    </row>
    <row r="274">
      <c r="A274" s="265" t="str">
        <f>IFERROR(__xludf.DUMMYFUNCTION("""COMPUTED_VALUE"""),"581")</f>
        <v>581</v>
      </c>
      <c r="B274" s="265" t="str">
        <f>IFERROR(__xludf.DUMMYFUNCTION("""COMPUTED_VALUE"""),"Sài Gòn")</f>
        <v>Sài Gòn</v>
      </c>
      <c r="C274" s="265" t="str">
        <f>IFERROR(__xludf.DUMMYFUNCTION("""COMPUTED_VALUE"""),"Locked")</f>
        <v>Locked</v>
      </c>
      <c r="D274" s="265" t="str">
        <f>IFERROR(__xludf.DUMMYFUNCTION("""COMPUTED_VALUE"""),"Sale chưa cung cấp")</f>
        <v>Sale chưa cung cấp</v>
      </c>
      <c r="E274" s="265" t="str">
        <f>IFERROR(__xludf.DUMMYFUNCTION("""COMPUTED_VALUE"""),"HoaNTM")</f>
        <v>HoaNTM</v>
      </c>
      <c r="F274" s="265" t="str">
        <f>IFERROR(__xludf.DUMMYFUNCTION("""COMPUTED_VALUE"""),"Diamond")</f>
        <v>Diamond</v>
      </c>
      <c r="G274" s="265" t="str">
        <f>IFERROR(__xludf.DUMMYFUNCTION("""COMPUTED_VALUE"""),"MSG")</f>
        <v>MSG</v>
      </c>
      <c r="H274" s="265" t="str">
        <f>IFERROR(__xludf.DUMMYFUNCTION("""COMPUTED_VALUE"""),"Trả sau")</f>
        <v>Trả sau</v>
      </c>
      <c r="I274" s="265" t="str">
        <f>IFERROR(__xludf.DUMMYFUNCTION("""COMPUTED_VALUE"""),"(Chưa recheck)")</f>
        <v>(Chưa recheck)</v>
      </c>
      <c r="J274" s="265" t="str">
        <f>IFERROR(__xludf.DUMMYFUNCTION("""COMPUTED_VALUE"""),"File Excel")</f>
        <v>File Excel</v>
      </c>
      <c r="K274" s="265" t="str">
        <f>IFERROR(__xludf.DUMMYFUNCTION("""COMPUTED_VALUE"""),"(Chưa recheck)")</f>
        <v>(Chưa recheck)</v>
      </c>
    </row>
    <row r="275">
      <c r="A275" s="265" t="str">
        <f>IFERROR(__xludf.DUMMYFUNCTION("""COMPUTED_VALUE"""),"582")</f>
        <v>582</v>
      </c>
      <c r="B275" s="265" t="str">
        <f>IFERROR(__xludf.DUMMYFUNCTION("""COMPUTED_VALUE"""),"Sài Gòn")</f>
        <v>Sài Gòn</v>
      </c>
      <c r="C275" s="265" t="str">
        <f>IFERROR(__xludf.DUMMYFUNCTION("""COMPUTED_VALUE"""),"Locked")</f>
        <v>Locked</v>
      </c>
      <c r="D275" s="265" t="str">
        <f>IFERROR(__xludf.DUMMYFUNCTION("""COMPUTED_VALUE"""),"Sale chưa cung cấp")</f>
        <v>Sale chưa cung cấp</v>
      </c>
      <c r="E275" s="265" t="str">
        <f>IFERROR(__xludf.DUMMYFUNCTION("""COMPUTED_VALUE"""),"HoaNTM")</f>
        <v>HoaNTM</v>
      </c>
      <c r="F275" s="265" t="str">
        <f>IFERROR(__xludf.DUMMYFUNCTION("""COMPUTED_VALUE"""),"Diamond")</f>
        <v>Diamond</v>
      </c>
      <c r="G275" s="265" t="str">
        <f>IFERROR(__xludf.DUMMYFUNCTION("""COMPUTED_VALUE"""),"MSG")</f>
        <v>MSG</v>
      </c>
      <c r="H275" s="265" t="str">
        <f>IFERROR(__xludf.DUMMYFUNCTION("""COMPUTED_VALUE"""),"Trả sau")</f>
        <v>Trả sau</v>
      </c>
      <c r="I275" s="265" t="str">
        <f>IFERROR(__xludf.DUMMYFUNCTION("""COMPUTED_VALUE"""),"(Chưa recheck)")</f>
        <v>(Chưa recheck)</v>
      </c>
      <c r="J275" s="265" t="str">
        <f>IFERROR(__xludf.DUMMYFUNCTION("""COMPUTED_VALUE"""),"File Excel")</f>
        <v>File Excel</v>
      </c>
      <c r="K275" s="265" t="str">
        <f>IFERROR(__xludf.DUMMYFUNCTION("""COMPUTED_VALUE"""),"(Chưa recheck)")</f>
        <v>(Chưa recheck)</v>
      </c>
    </row>
    <row r="276">
      <c r="A276" s="265" t="str">
        <f>IFERROR(__xludf.DUMMYFUNCTION("""COMPUTED_VALUE"""),"583")</f>
        <v>583</v>
      </c>
      <c r="B276" s="265" t="str">
        <f>IFERROR(__xludf.DUMMYFUNCTION("""COMPUTED_VALUE"""),"Sài Gòn")</f>
        <v>Sài Gòn</v>
      </c>
      <c r="C276" s="265" t="str">
        <f>IFERROR(__xludf.DUMMYFUNCTION("""COMPUTED_VALUE"""),"Locked")</f>
        <v>Locked</v>
      </c>
      <c r="D276" s="265" t="str">
        <f>IFERROR(__xludf.DUMMYFUNCTION("""COMPUTED_VALUE"""),"Sale chưa cung cấp")</f>
        <v>Sale chưa cung cấp</v>
      </c>
      <c r="E276" s="265" t="str">
        <f>IFERROR(__xludf.DUMMYFUNCTION("""COMPUTED_VALUE"""),"HoaNTM")</f>
        <v>HoaNTM</v>
      </c>
      <c r="F276" s="265" t="str">
        <f>IFERROR(__xludf.DUMMYFUNCTION("""COMPUTED_VALUE"""),"Diamond")</f>
        <v>Diamond</v>
      </c>
      <c r="G276" s="265" t="str">
        <f>IFERROR(__xludf.DUMMYFUNCTION("""COMPUTED_VALUE"""),"MSG")</f>
        <v>MSG</v>
      </c>
      <c r="H276" s="265" t="str">
        <f>IFERROR(__xludf.DUMMYFUNCTION("""COMPUTED_VALUE"""),"Trả sau")</f>
        <v>Trả sau</v>
      </c>
      <c r="I276" s="265" t="str">
        <f>IFERROR(__xludf.DUMMYFUNCTION("""COMPUTED_VALUE"""),"(Chưa recheck)")</f>
        <v>(Chưa recheck)</v>
      </c>
      <c r="J276" s="265" t="str">
        <f>IFERROR(__xludf.DUMMYFUNCTION("""COMPUTED_VALUE"""),"File Excel")</f>
        <v>File Excel</v>
      </c>
      <c r="K276" s="265" t="str">
        <f>IFERROR(__xludf.DUMMYFUNCTION("""COMPUTED_VALUE"""),"(Chưa recheck)")</f>
        <v>(Chưa recheck)</v>
      </c>
    </row>
    <row r="277">
      <c r="A277" s="265" t="str">
        <f>IFERROR(__xludf.DUMMYFUNCTION("""COMPUTED_VALUE"""),"584")</f>
        <v>584</v>
      </c>
      <c r="B277" s="265" t="str">
        <f>IFERROR(__xludf.DUMMYFUNCTION("""COMPUTED_VALUE"""),"Sài Gòn")</f>
        <v>Sài Gòn</v>
      </c>
      <c r="C277" s="265" t="str">
        <f>IFERROR(__xludf.DUMMYFUNCTION("""COMPUTED_VALUE"""),"Locked")</f>
        <v>Locked</v>
      </c>
      <c r="D277" s="265" t="str">
        <f>IFERROR(__xludf.DUMMYFUNCTION("""COMPUTED_VALUE"""),"Sale chưa cung cấp")</f>
        <v>Sale chưa cung cấp</v>
      </c>
      <c r="E277" s="265" t="str">
        <f>IFERROR(__xludf.DUMMYFUNCTION("""COMPUTED_VALUE"""),"HoaNTM")</f>
        <v>HoaNTM</v>
      </c>
      <c r="F277" s="265" t="str">
        <f>IFERROR(__xludf.DUMMYFUNCTION("""COMPUTED_VALUE"""),"Diamond")</f>
        <v>Diamond</v>
      </c>
      <c r="G277" s="265" t="str">
        <f>IFERROR(__xludf.DUMMYFUNCTION("""COMPUTED_VALUE"""),"MSG")</f>
        <v>MSG</v>
      </c>
      <c r="H277" s="265" t="str">
        <f>IFERROR(__xludf.DUMMYFUNCTION("""COMPUTED_VALUE"""),"Trả sau")</f>
        <v>Trả sau</v>
      </c>
      <c r="I277" s="265" t="str">
        <f>IFERROR(__xludf.DUMMYFUNCTION("""COMPUTED_VALUE"""),"(Chưa recheck)")</f>
        <v>(Chưa recheck)</v>
      </c>
      <c r="J277" s="265" t="str">
        <f>IFERROR(__xludf.DUMMYFUNCTION("""COMPUTED_VALUE"""),"API")</f>
        <v>API</v>
      </c>
      <c r="K277" s="265" t="str">
        <f>IFERROR(__xludf.DUMMYFUNCTION("""COMPUTED_VALUE"""),"(Chưa recheck)")</f>
        <v>(Chưa recheck)</v>
      </c>
    </row>
    <row r="278">
      <c r="A278" s="265" t="str">
        <f>IFERROR(__xludf.DUMMYFUNCTION("""COMPUTED_VALUE"""),"585")</f>
        <v>585</v>
      </c>
      <c r="B278" s="265" t="str">
        <f>IFERROR(__xludf.DUMMYFUNCTION("""COMPUTED_VALUE"""),"Hà Nội")</f>
        <v>Hà Nội</v>
      </c>
      <c r="C278" s="265" t="str">
        <f>IFERROR(__xludf.DUMMYFUNCTION("""COMPUTED_VALUE"""),"Active")</f>
        <v>Active</v>
      </c>
      <c r="D278" s="265" t="str">
        <f>IFERROR(__xludf.DUMMYFUNCTION("""COMPUTED_VALUE"""),"Sale chưa cung cấp")</f>
        <v>Sale chưa cung cấp</v>
      </c>
      <c r="E278" s="265" t="str">
        <f>IFERROR(__xludf.DUMMYFUNCTION("""COMPUTED_VALUE"""),"Không phân công")</f>
        <v>Không phân công</v>
      </c>
      <c r="F278" s="265" t="str">
        <f>IFERROR(__xludf.DUMMYFUNCTION("""COMPUTED_VALUE"""),"Bronze")</f>
        <v>Bronze</v>
      </c>
      <c r="G278" s="265" t="str">
        <f>IFERROR(__xludf.DUMMYFUNCTION("""COMPUTED_VALUE"""),"Starter")</f>
        <v>Starter</v>
      </c>
      <c r="H278" s="265" t="str">
        <f>IFERROR(__xludf.DUMMYFUNCTION("""COMPUTED_VALUE"""),"Trả sau")</f>
        <v>Trả sau</v>
      </c>
      <c r="I278" s="265" t="str">
        <f>IFERROR(__xludf.DUMMYFUNCTION("""COMPUTED_VALUE"""),"Portal")</f>
        <v>Portal</v>
      </c>
      <c r="J278" s="265" t="str">
        <f>IFERROR(__xludf.DUMMYFUNCTION("""COMPUTED_VALUE"""),"File Excel")</f>
        <v>File Excel</v>
      </c>
      <c r="K278" s="265" t="str">
        <f>IFERROR(__xludf.DUMMYFUNCTION("""COMPUTED_VALUE"""),"DungPL")</f>
        <v>DungPL</v>
      </c>
    </row>
    <row r="279">
      <c r="A279" s="265" t="str">
        <f>IFERROR(__xludf.DUMMYFUNCTION("""COMPUTED_VALUE"""),"586")</f>
        <v>586</v>
      </c>
      <c r="B279" s="265" t="str">
        <f>IFERROR(__xludf.DUMMYFUNCTION("""COMPUTED_VALUE"""),"Hà Nội")</f>
        <v>Hà Nội</v>
      </c>
      <c r="C279" s="265" t="str">
        <f>IFERROR(__xludf.DUMMYFUNCTION("""COMPUTED_VALUE"""),"Active")</f>
        <v>Active</v>
      </c>
      <c r="D279" s="265" t="str">
        <f>IFERROR(__xludf.DUMMYFUNCTION("""COMPUTED_VALUE"""),"Sale chưa cung cấp")</f>
        <v>Sale chưa cung cấp</v>
      </c>
      <c r="E279" s="265" t="str">
        <f>IFERROR(__xludf.DUMMYFUNCTION("""COMPUTED_VALUE"""),"TúPHN")</f>
        <v>TúPHN</v>
      </c>
      <c r="F279" s="265" t="str">
        <f>IFERROR(__xludf.DUMMYFUNCTION("""COMPUTED_VALUE"""),"Gold")</f>
        <v>Gold</v>
      </c>
      <c r="G279" s="265" t="str">
        <f>IFERROR(__xludf.DUMMYFUNCTION("""COMPUTED_VALUE"""),"Premium")</f>
        <v>Premium</v>
      </c>
      <c r="H279" s="265" t="str">
        <f>IFERROR(__xludf.DUMMYFUNCTION("""COMPUTED_VALUE"""),"Trả sau")</f>
        <v>Trả sau</v>
      </c>
      <c r="I279" s="265" t="str">
        <f>IFERROR(__xludf.DUMMYFUNCTION("""COMPUTED_VALUE"""),"Portal")</f>
        <v>Portal</v>
      </c>
      <c r="J279" s="265" t="str">
        <f>IFERROR(__xludf.DUMMYFUNCTION("""COMPUTED_VALUE"""),"File Excel")</f>
        <v>File Excel</v>
      </c>
      <c r="K279" s="265" t="str">
        <f>IFERROR(__xludf.DUMMYFUNCTION("""COMPUTED_VALUE"""),"DungPL")</f>
        <v>DungPL</v>
      </c>
    </row>
    <row r="280">
      <c r="A280" s="265" t="str">
        <f>IFERROR(__xludf.DUMMYFUNCTION("""COMPUTED_VALUE"""),"589")</f>
        <v>589</v>
      </c>
      <c r="B280" s="265" t="str">
        <f>IFERROR(__xludf.DUMMYFUNCTION("""COMPUTED_VALUE"""),"Hà Nội")</f>
        <v>Hà Nội</v>
      </c>
      <c r="C280" s="265" t="str">
        <f>IFERROR(__xludf.DUMMYFUNCTION("""COMPUTED_VALUE"""),"Active")</f>
        <v>Active</v>
      </c>
      <c r="D280" s="265" t="str">
        <f>IFERROR(__xludf.DUMMYFUNCTION("""COMPUTED_VALUE"""),"Sale chưa cung cấp")</f>
        <v>Sale chưa cung cấp</v>
      </c>
      <c r="E280" s="265" t="str">
        <f>IFERROR(__xludf.DUMMYFUNCTION("""COMPUTED_VALUE"""),"Không phân công")</f>
        <v>Không phân công</v>
      </c>
      <c r="F280" s="265" t="str">
        <f>IFERROR(__xludf.DUMMYFUNCTION("""COMPUTED_VALUE"""),"Bronze")</f>
        <v>Bronze</v>
      </c>
      <c r="G280" s="265" t="str">
        <f>IFERROR(__xludf.DUMMYFUNCTION("""COMPUTED_VALUE"""),"MSG")</f>
        <v>MSG</v>
      </c>
      <c r="H280" s="265" t="str">
        <f>IFERROR(__xludf.DUMMYFUNCTION("""COMPUTED_VALUE"""),"Trả sau")</f>
        <v>Trả sau</v>
      </c>
      <c r="I280" s="265" t="str">
        <f>IFERROR(__xludf.DUMMYFUNCTION("""COMPUTED_VALUE"""),"Portal")</f>
        <v>Portal</v>
      </c>
      <c r="J280" s="265" t="str">
        <f>IFERROR(__xludf.DUMMYFUNCTION("""COMPUTED_VALUE"""),"File Excel")</f>
        <v>File Excel</v>
      </c>
      <c r="K280" s="265" t="str">
        <f>IFERROR(__xludf.DUMMYFUNCTION("""COMPUTED_VALUE"""),"DungPL")</f>
        <v>DungPL</v>
      </c>
    </row>
    <row r="281">
      <c r="A281" s="265" t="str">
        <f>IFERROR(__xludf.DUMMYFUNCTION("""COMPUTED_VALUE"""),"587")</f>
        <v>587</v>
      </c>
      <c r="B281" s="265" t="str">
        <f>IFERROR(__xludf.DUMMYFUNCTION("""COMPUTED_VALUE"""),"Hà Nội")</f>
        <v>Hà Nội</v>
      </c>
      <c r="C281" s="265" t="str">
        <f>IFERROR(__xludf.DUMMYFUNCTION("""COMPUTED_VALUE"""),"Active")</f>
        <v>Active</v>
      </c>
      <c r="D281" s="265" t="str">
        <f>IFERROR(__xludf.DUMMYFUNCTION("""COMPUTED_VALUE"""),"Sale chưa cung cấp")</f>
        <v>Sale chưa cung cấp</v>
      </c>
      <c r="E281" s="265" t="str">
        <f>IFERROR(__xludf.DUMMYFUNCTION("""COMPUTED_VALUE"""),"Không phân công")</f>
        <v>Không phân công</v>
      </c>
      <c r="F281" s="265" t="str">
        <f>IFERROR(__xludf.DUMMYFUNCTION("""COMPUTED_VALUE"""),"Silver")</f>
        <v>Silver</v>
      </c>
      <c r="G281" s="265" t="str">
        <f>IFERROR(__xludf.DUMMYFUNCTION("""COMPUTED_VALUE"""),"Starter")</f>
        <v>Starter</v>
      </c>
      <c r="H281" s="265" t="str">
        <f>IFERROR(__xludf.DUMMYFUNCTION("""COMPUTED_VALUE"""),"Trả sau")</f>
        <v>Trả sau</v>
      </c>
      <c r="I281" s="265" t="str">
        <f>IFERROR(__xludf.DUMMYFUNCTION("""COMPUTED_VALUE"""),"Portal")</f>
        <v>Portal</v>
      </c>
      <c r="J281" s="265" t="str">
        <f>IFERROR(__xludf.DUMMYFUNCTION("""COMPUTED_VALUE"""),"File Excel")</f>
        <v>File Excel</v>
      </c>
      <c r="K281" s="265" t="str">
        <f>IFERROR(__xludf.DUMMYFUNCTION("""COMPUTED_VALUE"""),"DungPL")</f>
        <v>DungPL</v>
      </c>
    </row>
    <row r="282">
      <c r="A282" s="265" t="str">
        <f>IFERROR(__xludf.DUMMYFUNCTION("""COMPUTED_VALUE"""),"590")</f>
        <v>590</v>
      </c>
      <c r="B282" s="265" t="str">
        <f>IFERROR(__xludf.DUMMYFUNCTION("""COMPUTED_VALUE"""),"Hà Nội")</f>
        <v>Hà Nội</v>
      </c>
      <c r="C282" s="265" t="str">
        <f>IFERROR(__xludf.DUMMYFUNCTION("""COMPUTED_VALUE"""),"Active")</f>
        <v>Active</v>
      </c>
      <c r="D282" s="265" t="str">
        <f>IFERROR(__xludf.DUMMYFUNCTION("""COMPUTED_VALUE"""),"Sale chưa cung cấp")</f>
        <v>Sale chưa cung cấp</v>
      </c>
      <c r="E282" s="265" t="str">
        <f>IFERROR(__xludf.DUMMYFUNCTION("""COMPUTED_VALUE"""),"Không phân công")</f>
        <v>Không phân công</v>
      </c>
      <c r="F282" s="265" t="str">
        <f>IFERROR(__xludf.DUMMYFUNCTION("""COMPUTED_VALUE"""),"Bronze")</f>
        <v>Bronze</v>
      </c>
      <c r="G282" s="265" t="str">
        <f>IFERROR(__xludf.DUMMYFUNCTION("""COMPUTED_VALUE"""),"Starter")</f>
        <v>Starter</v>
      </c>
      <c r="H282" s="265" t="str">
        <f>IFERROR(__xludf.DUMMYFUNCTION("""COMPUTED_VALUE"""),"Trả sau")</f>
        <v>Trả sau</v>
      </c>
      <c r="I282" s="265" t="str">
        <f>IFERROR(__xludf.DUMMYFUNCTION("""COMPUTED_VALUE"""),"API &amp; Portal")</f>
        <v>API &amp; Portal</v>
      </c>
      <c r="J282" s="265" t="str">
        <f>IFERROR(__xludf.DUMMYFUNCTION("""COMPUTED_VALUE"""),"File Excel")</f>
        <v>File Excel</v>
      </c>
      <c r="K282" s="265" t="str">
        <f>IFERROR(__xludf.DUMMYFUNCTION("""COMPUTED_VALUE"""),"DungPL")</f>
        <v>DungPL</v>
      </c>
    </row>
    <row r="283">
      <c r="A283" s="265" t="str">
        <f>IFERROR(__xludf.DUMMYFUNCTION("""COMPUTED_VALUE"""),"588")</f>
        <v>588</v>
      </c>
      <c r="B283" s="265" t="str">
        <f>IFERROR(__xludf.DUMMYFUNCTION("""COMPUTED_VALUE"""),"Hà Nội")</f>
        <v>Hà Nội</v>
      </c>
      <c r="C283" s="265" t="str">
        <f>IFERROR(__xludf.DUMMYFUNCTION("""COMPUTED_VALUE"""),"Locked")</f>
        <v>Locked</v>
      </c>
      <c r="D283" s="265" t="str">
        <f>IFERROR(__xludf.DUMMYFUNCTION("""COMPUTED_VALUE"""),"Sale chưa cung cấp")</f>
        <v>Sale chưa cung cấp</v>
      </c>
      <c r="E283" s="265" t="str">
        <f>IFERROR(__xludf.DUMMYFUNCTION("""COMPUTED_VALUE"""),"HangNT")</f>
        <v>HangNT</v>
      </c>
      <c r="F283" s="265" t="str">
        <f>IFERROR(__xludf.DUMMYFUNCTION("""COMPUTED_VALUE"""),"Silver")</f>
        <v>Silver</v>
      </c>
      <c r="G283" s="265" t="str">
        <f>IFERROR(__xludf.DUMMYFUNCTION("""COMPUTED_VALUE"""),"MSG")</f>
        <v>MSG</v>
      </c>
      <c r="H283" s="265" t="str">
        <f>IFERROR(__xludf.DUMMYFUNCTION("""COMPUTED_VALUE"""),"(Chưa recheck)")</f>
        <v>(Chưa recheck)</v>
      </c>
      <c r="I283" s="265" t="str">
        <f>IFERROR(__xludf.DUMMYFUNCTION("""COMPUTED_VALUE"""),"(Chưa recheck)")</f>
        <v>(Chưa recheck)</v>
      </c>
      <c r="J283" s="265" t="str">
        <f>IFERROR(__xludf.DUMMYFUNCTION("""COMPUTED_VALUE"""),"File Excel")</f>
        <v>File Excel</v>
      </c>
      <c r="K283" s="265" t="str">
        <f>IFERROR(__xludf.DUMMYFUNCTION("""COMPUTED_VALUE"""),"(Chưa recheck)")</f>
        <v>(Chưa recheck)</v>
      </c>
    </row>
    <row r="284">
      <c r="A284" s="265" t="str">
        <f>IFERROR(__xludf.DUMMYFUNCTION("""COMPUTED_VALUE"""),"591")</f>
        <v>591</v>
      </c>
      <c r="B284" s="265" t="str">
        <f>IFERROR(__xludf.DUMMYFUNCTION("""COMPUTED_VALUE"""),"Hà Nội")</f>
        <v>Hà Nội</v>
      </c>
      <c r="C284" s="265" t="str">
        <f>IFERROR(__xludf.DUMMYFUNCTION("""COMPUTED_VALUE"""),"Locked")</f>
        <v>Locked</v>
      </c>
      <c r="D284" s="265" t="str">
        <f>IFERROR(__xludf.DUMMYFUNCTION("""COMPUTED_VALUE"""),"Sale chưa cung cấp")</f>
        <v>Sale chưa cung cấp</v>
      </c>
      <c r="E284" s="265" t="str">
        <f>IFERROR(__xludf.DUMMYFUNCTION("""COMPUTED_VALUE"""),"TùngLD")</f>
        <v>TùngLD</v>
      </c>
      <c r="F284" s="265" t="str">
        <f>IFERROR(__xludf.DUMMYFUNCTION("""COMPUTED_VALUE"""),"Sale chưa cung cấp")</f>
        <v>Sale chưa cung cấp</v>
      </c>
      <c r="G284" s="265" t="str">
        <f>IFERROR(__xludf.DUMMYFUNCTION("""COMPUTED_VALUE"""),"MSG")</f>
        <v>MSG</v>
      </c>
      <c r="H284" s="265" t="str">
        <f>IFERROR(__xludf.DUMMYFUNCTION("""COMPUTED_VALUE"""),"(Chưa recheck)")</f>
        <v>(Chưa recheck)</v>
      </c>
      <c r="I284" s="265" t="str">
        <f>IFERROR(__xludf.DUMMYFUNCTION("""COMPUTED_VALUE"""),"API &amp; Portal")</f>
        <v>API &amp; Portal</v>
      </c>
      <c r="J284" s="265" t="str">
        <f>IFERROR(__xludf.DUMMYFUNCTION("""COMPUTED_VALUE"""),"File Excel")</f>
        <v>File Excel</v>
      </c>
      <c r="K284" s="265" t="str">
        <f>IFERROR(__xludf.DUMMYFUNCTION("""COMPUTED_VALUE"""),"(Chưa recheck)")</f>
        <v>(Chưa recheck)</v>
      </c>
    </row>
    <row r="285">
      <c r="A285" s="265" t="str">
        <f>IFERROR(__xludf.DUMMYFUNCTION("""COMPUTED_VALUE"""),"593")</f>
        <v>593</v>
      </c>
      <c r="B285" s="265" t="str">
        <f>IFERROR(__xludf.DUMMYFUNCTION("""COMPUTED_VALUE"""),"Sài Gòn")</f>
        <v>Sài Gòn</v>
      </c>
      <c r="C285" s="265" t="str">
        <f>IFERROR(__xludf.DUMMYFUNCTION("""COMPUTED_VALUE"""),"Locked")</f>
        <v>Locked</v>
      </c>
      <c r="D285" s="265" t="str">
        <f>IFERROR(__xludf.DUMMYFUNCTION("""COMPUTED_VALUE"""),"Sale chưa cung cấp")</f>
        <v>Sale chưa cung cấp</v>
      </c>
      <c r="E285" s="265" t="str">
        <f>IFERROR(__xludf.DUMMYFUNCTION("""COMPUTED_VALUE"""),"HoaNTM")</f>
        <v>HoaNTM</v>
      </c>
      <c r="F285" s="265" t="str">
        <f>IFERROR(__xludf.DUMMYFUNCTION("""COMPUTED_VALUE"""),"Diamond")</f>
        <v>Diamond</v>
      </c>
      <c r="G285" s="265" t="str">
        <f>IFERROR(__xludf.DUMMYFUNCTION("""COMPUTED_VALUE"""),"MSG")</f>
        <v>MSG</v>
      </c>
      <c r="H285" s="265" t="str">
        <f>IFERROR(__xludf.DUMMYFUNCTION("""COMPUTED_VALUE"""),"Trả sau")</f>
        <v>Trả sau</v>
      </c>
      <c r="I285" s="265" t="str">
        <f>IFERROR(__xludf.DUMMYFUNCTION("""COMPUTED_VALUE"""),"(Chưa recheck)")</f>
        <v>(Chưa recheck)</v>
      </c>
      <c r="J285" s="265" t="str">
        <f>IFERROR(__xludf.DUMMYFUNCTION("""COMPUTED_VALUE"""),"File Excel")</f>
        <v>File Excel</v>
      </c>
      <c r="K285" s="265" t="str">
        <f>IFERROR(__xludf.DUMMYFUNCTION("""COMPUTED_VALUE"""),"(Chưa recheck)")</f>
        <v>(Chưa recheck)</v>
      </c>
    </row>
    <row r="286">
      <c r="A286" s="265" t="str">
        <f>IFERROR(__xludf.DUMMYFUNCTION("""COMPUTED_VALUE"""),"592")</f>
        <v>592</v>
      </c>
      <c r="B286" s="265" t="str">
        <f>IFERROR(__xludf.DUMMYFUNCTION("""COMPUTED_VALUE"""),"Sài Gòn")</f>
        <v>Sài Gòn</v>
      </c>
      <c r="C286" s="265" t="str">
        <f>IFERROR(__xludf.DUMMYFUNCTION("""COMPUTED_VALUE"""),"Locked")</f>
        <v>Locked</v>
      </c>
      <c r="D286" s="265" t="str">
        <f>IFERROR(__xludf.DUMMYFUNCTION("""COMPUTED_VALUE"""),"Sale chưa cung cấp")</f>
        <v>Sale chưa cung cấp</v>
      </c>
      <c r="E286" s="265" t="str">
        <f>IFERROR(__xludf.DUMMYFUNCTION("""COMPUTED_VALUE"""),"HoaNTM")</f>
        <v>HoaNTM</v>
      </c>
      <c r="F286" s="265" t="str">
        <f>IFERROR(__xludf.DUMMYFUNCTION("""COMPUTED_VALUE"""),"Sale chưa cung cấp")</f>
        <v>Sale chưa cung cấp</v>
      </c>
      <c r="G286" s="265" t="str">
        <f>IFERROR(__xludf.DUMMYFUNCTION("""COMPUTED_VALUE"""),"Enterprise")</f>
        <v>Enterprise</v>
      </c>
      <c r="H286" s="265" t="str">
        <f>IFERROR(__xludf.DUMMYFUNCTION("""COMPUTED_VALUE"""),"Trial")</f>
        <v>Trial</v>
      </c>
      <c r="I286" s="265" t="str">
        <f>IFERROR(__xludf.DUMMYFUNCTION("""COMPUTED_VALUE"""),"(Không recheck)")</f>
        <v>(Không recheck)</v>
      </c>
      <c r="J286" s="265" t="str">
        <f>IFERROR(__xludf.DUMMYFUNCTION("""COMPUTED_VALUE"""),"API")</f>
        <v>API</v>
      </c>
      <c r="K286" s="265" t="str">
        <f>IFERROR(__xludf.DUMMYFUNCTION("""COMPUTED_VALUE"""),"(Không recheck)")</f>
        <v>(Không recheck)</v>
      </c>
    </row>
    <row r="287">
      <c r="A287" s="265" t="str">
        <f>IFERROR(__xludf.DUMMYFUNCTION("""COMPUTED_VALUE"""),"594")</f>
        <v>594</v>
      </c>
      <c r="B287" s="265" t="str">
        <f>IFERROR(__xludf.DUMMYFUNCTION("""COMPUTED_VALUE"""),"Sài Gòn")</f>
        <v>Sài Gòn</v>
      </c>
      <c r="C287" s="265" t="str">
        <f>IFERROR(__xludf.DUMMYFUNCTION("""COMPUTED_VALUE"""),"Locked")</f>
        <v>Locked</v>
      </c>
      <c r="D287" s="265" t="str">
        <f>IFERROR(__xludf.DUMMYFUNCTION("""COMPUTED_VALUE"""),"Sale chưa cung cấp")</f>
        <v>Sale chưa cung cấp</v>
      </c>
      <c r="E287" s="265" t="str">
        <f>IFERROR(__xludf.DUMMYFUNCTION("""COMPUTED_VALUE"""),"HoaNTM")</f>
        <v>HoaNTM</v>
      </c>
      <c r="F287" s="265" t="str">
        <f>IFERROR(__xludf.DUMMYFUNCTION("""COMPUTED_VALUE"""),"Silver")</f>
        <v>Silver</v>
      </c>
      <c r="G287" s="265" t="str">
        <f>IFERROR(__xludf.DUMMYFUNCTION("""COMPUTED_VALUE"""),"Enterprise")</f>
        <v>Enterprise</v>
      </c>
      <c r="H287" s="265" t="str">
        <f>IFERROR(__xludf.DUMMYFUNCTION("""COMPUTED_VALUE"""),"(Chưa recheck)")</f>
        <v>(Chưa recheck)</v>
      </c>
      <c r="I287" s="265" t="str">
        <f>IFERROR(__xludf.DUMMYFUNCTION("""COMPUTED_VALUE"""),"(Chưa recheck)")</f>
        <v>(Chưa recheck)</v>
      </c>
      <c r="J287" s="265" t="str">
        <f>IFERROR(__xludf.DUMMYFUNCTION("""COMPUTED_VALUE"""),"Haravan")</f>
        <v>Haravan</v>
      </c>
      <c r="K287" s="265" t="str">
        <f>IFERROR(__xludf.DUMMYFUNCTION("""COMPUTED_VALUE"""),"AnhNM")</f>
        <v>AnhNM</v>
      </c>
    </row>
    <row r="288">
      <c r="A288" s="265" t="str">
        <f>IFERROR(__xludf.DUMMYFUNCTION("""COMPUTED_VALUE"""),"595")</f>
        <v>595</v>
      </c>
      <c r="B288" s="265" t="str">
        <f>IFERROR(__xludf.DUMMYFUNCTION("""COMPUTED_VALUE"""),"Sài Gòn")</f>
        <v>Sài Gòn</v>
      </c>
      <c r="C288" s="265" t="str">
        <f>IFERROR(__xludf.DUMMYFUNCTION("""COMPUTED_VALUE"""),"Locked")</f>
        <v>Locked</v>
      </c>
      <c r="D288" s="265" t="str">
        <f>IFERROR(__xludf.DUMMYFUNCTION("""COMPUTED_VALUE"""),"Sale chưa cung cấp")</f>
        <v>Sale chưa cung cấp</v>
      </c>
      <c r="E288" s="265" t="str">
        <f>IFERROR(__xludf.DUMMYFUNCTION("""COMPUTED_VALUE"""),"HoaNTM")</f>
        <v>HoaNTM</v>
      </c>
      <c r="F288" s="265" t="str">
        <f>IFERROR(__xludf.DUMMYFUNCTION("""COMPUTED_VALUE"""),"Bronze")</f>
        <v>Bronze</v>
      </c>
      <c r="G288" s="265" t="str">
        <f>IFERROR(__xludf.DUMMYFUNCTION("""COMPUTED_VALUE"""),"Enterprise")</f>
        <v>Enterprise</v>
      </c>
      <c r="H288" s="265" t="str">
        <f>IFERROR(__xludf.DUMMYFUNCTION("""COMPUTED_VALUE"""),"(Chưa recheck)")</f>
        <v>(Chưa recheck)</v>
      </c>
      <c r="I288" s="265" t="str">
        <f>IFERROR(__xludf.DUMMYFUNCTION("""COMPUTED_VALUE"""),"(Chưa recheck)")</f>
        <v>(Chưa recheck)</v>
      </c>
      <c r="J288" s="265" t="str">
        <f>IFERROR(__xludf.DUMMYFUNCTION("""COMPUTED_VALUE"""),"Kiotviet")</f>
        <v>Kiotviet</v>
      </c>
      <c r="K288" s="265" t="str">
        <f>IFERROR(__xludf.DUMMYFUNCTION("""COMPUTED_VALUE"""),"AnhNM")</f>
        <v>AnhNM</v>
      </c>
    </row>
    <row r="289">
      <c r="A289" s="265" t="str">
        <f>IFERROR(__xludf.DUMMYFUNCTION("""COMPUTED_VALUE"""),"596")</f>
        <v>596</v>
      </c>
      <c r="B289" s="265" t="str">
        <f>IFERROR(__xludf.DUMMYFUNCTION("""COMPUTED_VALUE"""),"Hà Nội")</f>
        <v>Hà Nội</v>
      </c>
      <c r="C289" s="265" t="str">
        <f>IFERROR(__xludf.DUMMYFUNCTION("""COMPUTED_VALUE"""),"Locked")</f>
        <v>Locked</v>
      </c>
      <c r="D289" s="265" t="str">
        <f>IFERROR(__xludf.DUMMYFUNCTION("""COMPUTED_VALUE"""),"Sale chưa cung cấp")</f>
        <v>Sale chưa cung cấp</v>
      </c>
      <c r="E289" s="265" t="str">
        <f>IFERROR(__xludf.DUMMYFUNCTION("""COMPUTED_VALUE"""),"PhươngDTB")</f>
        <v>PhươngDTB</v>
      </c>
      <c r="F289" s="265" t="str">
        <f>IFERROR(__xludf.DUMMYFUNCTION("""COMPUTED_VALUE"""),"Bronze")</f>
        <v>Bronze</v>
      </c>
      <c r="G289" s="265" t="str">
        <f>IFERROR(__xludf.DUMMYFUNCTION("""COMPUTED_VALUE"""),"Enterprise")</f>
        <v>Enterprise</v>
      </c>
      <c r="H289" s="265" t="str">
        <f>IFERROR(__xludf.DUMMYFUNCTION("""COMPUTED_VALUE"""),"(Chưa recheck)")</f>
        <v>(Chưa recheck)</v>
      </c>
      <c r="I289" s="265" t="str">
        <f>IFERROR(__xludf.DUMMYFUNCTION("""COMPUTED_VALUE"""),"(Chưa recheck)")</f>
        <v>(Chưa recheck)</v>
      </c>
      <c r="J289" s="265" t="str">
        <f>IFERROR(__xludf.DUMMYFUNCTION("""COMPUTED_VALUE"""),"Haravan")</f>
        <v>Haravan</v>
      </c>
      <c r="K289" s="265" t="str">
        <f>IFERROR(__xludf.DUMMYFUNCTION("""COMPUTED_VALUE"""),"(Chưa recheck)")</f>
        <v>(Chưa recheck)</v>
      </c>
    </row>
    <row r="290">
      <c r="A290" s="265" t="str">
        <f>IFERROR(__xludf.DUMMYFUNCTION("""COMPUTED_VALUE"""),"598")</f>
        <v>598</v>
      </c>
      <c r="B290" s="265" t="str">
        <f>IFERROR(__xludf.DUMMYFUNCTION("""COMPUTED_VALUE"""),"Sài Gòn")</f>
        <v>Sài Gòn</v>
      </c>
      <c r="C290" s="265" t="str">
        <f>IFERROR(__xludf.DUMMYFUNCTION("""COMPUTED_VALUE"""),"Locked")</f>
        <v>Locked</v>
      </c>
      <c r="D290" s="265" t="str">
        <f>IFERROR(__xludf.DUMMYFUNCTION("""COMPUTED_VALUE"""),"Sale chưa cung cấp")</f>
        <v>Sale chưa cung cấp</v>
      </c>
      <c r="E290" s="265" t="str">
        <f>IFERROR(__xludf.DUMMYFUNCTION("""COMPUTED_VALUE"""),"HoaNTM")</f>
        <v>HoaNTM</v>
      </c>
      <c r="F290" s="265" t="str">
        <f>IFERROR(__xludf.DUMMYFUNCTION("""COMPUTED_VALUE"""),"Silver")</f>
        <v>Silver</v>
      </c>
      <c r="G290" s="265" t="str">
        <f>IFERROR(__xludf.DUMMYFUNCTION("""COMPUTED_VALUE"""),"MSG")</f>
        <v>MSG</v>
      </c>
      <c r="H290" s="265" t="str">
        <f>IFERROR(__xludf.DUMMYFUNCTION("""COMPUTED_VALUE"""),"(Chưa recheck)")</f>
        <v>(Chưa recheck)</v>
      </c>
      <c r="I290" s="265" t="str">
        <f>IFERROR(__xludf.DUMMYFUNCTION("""COMPUTED_VALUE"""),"(Chưa recheck)")</f>
        <v>(Chưa recheck)</v>
      </c>
      <c r="J290" s="265" t="str">
        <f>IFERROR(__xludf.DUMMYFUNCTION("""COMPUTED_VALUE"""),"File Excel")</f>
        <v>File Excel</v>
      </c>
      <c r="K290" s="265" t="str">
        <f>IFERROR(__xludf.DUMMYFUNCTION("""COMPUTED_VALUE"""),"(Chưa recheck)")</f>
        <v>(Chưa recheck)</v>
      </c>
    </row>
    <row r="291">
      <c r="A291" s="265" t="str">
        <f>IFERROR(__xludf.DUMMYFUNCTION("""COMPUTED_VALUE"""),"600")</f>
        <v>600</v>
      </c>
      <c r="B291" s="265" t="str">
        <f>IFERROR(__xludf.DUMMYFUNCTION("""COMPUTED_VALUE"""),"Sài Gòn")</f>
        <v>Sài Gòn</v>
      </c>
      <c r="C291" s="265" t="str">
        <f>IFERROR(__xludf.DUMMYFUNCTION("""COMPUTED_VALUE"""),"Locked")</f>
        <v>Locked</v>
      </c>
      <c r="D291" s="265" t="str">
        <f>IFERROR(__xludf.DUMMYFUNCTION("""COMPUTED_VALUE"""),"Sale chưa cung cấp")</f>
        <v>Sale chưa cung cấp</v>
      </c>
      <c r="E291" s="265" t="str">
        <f>IFERROR(__xludf.DUMMYFUNCTION("""COMPUTED_VALUE"""),"HoaNTM")</f>
        <v>HoaNTM</v>
      </c>
      <c r="F291" s="265" t="str">
        <f>IFERROR(__xludf.DUMMYFUNCTION("""COMPUTED_VALUE"""),"Silver")</f>
        <v>Silver</v>
      </c>
      <c r="G291" s="265" t="str">
        <f>IFERROR(__xludf.DUMMYFUNCTION("""COMPUTED_VALUE"""),"Enterprise")</f>
        <v>Enterprise</v>
      </c>
      <c r="H291" s="265" t="str">
        <f>IFERROR(__xludf.DUMMYFUNCTION("""COMPUTED_VALUE"""),"(Chưa recheck)")</f>
        <v>(Chưa recheck)</v>
      </c>
      <c r="I291" s="265" t="str">
        <f>IFERROR(__xludf.DUMMYFUNCTION("""COMPUTED_VALUE"""),"(Chưa recheck)")</f>
        <v>(Chưa recheck)</v>
      </c>
      <c r="J291" s="265" t="str">
        <f>IFERROR(__xludf.DUMMYFUNCTION("""COMPUTED_VALUE"""),"File Excel")</f>
        <v>File Excel</v>
      </c>
      <c r="K291" s="265" t="str">
        <f>IFERROR(__xludf.DUMMYFUNCTION("""COMPUTED_VALUE"""),"(Chưa recheck)")</f>
        <v>(Chưa recheck)</v>
      </c>
    </row>
    <row r="292">
      <c r="A292" s="265" t="str">
        <f>IFERROR(__xludf.DUMMYFUNCTION("""COMPUTED_VALUE"""),"600")</f>
        <v>600</v>
      </c>
      <c r="B292" s="265" t="str">
        <f>IFERROR(__xludf.DUMMYFUNCTION("""COMPUTED_VALUE"""),"Sài Gòn")</f>
        <v>Sài Gòn</v>
      </c>
      <c r="C292" s="265" t="str">
        <f>IFERROR(__xludf.DUMMYFUNCTION("""COMPUTED_VALUE"""),"Locked")</f>
        <v>Locked</v>
      </c>
      <c r="D292" s="265" t="str">
        <f>IFERROR(__xludf.DUMMYFUNCTION("""COMPUTED_VALUE"""),"Sale chưa cung cấp")</f>
        <v>Sale chưa cung cấp</v>
      </c>
      <c r="E292" s="265" t="str">
        <f>IFERROR(__xludf.DUMMYFUNCTION("""COMPUTED_VALUE"""),"HoaNTM")</f>
        <v>HoaNTM</v>
      </c>
      <c r="F292" s="265" t="str">
        <f>IFERROR(__xludf.DUMMYFUNCTION("""COMPUTED_VALUE"""),"Silver")</f>
        <v>Silver</v>
      </c>
      <c r="G292" s="265" t="str">
        <f>IFERROR(__xludf.DUMMYFUNCTION("""COMPUTED_VALUE"""),"Enterprise")</f>
        <v>Enterprise</v>
      </c>
      <c r="H292" s="265" t="str">
        <f>IFERROR(__xludf.DUMMYFUNCTION("""COMPUTED_VALUE"""),"(Chưa recheck)")</f>
        <v>(Chưa recheck)</v>
      </c>
      <c r="I292" s="265" t="str">
        <f>IFERROR(__xludf.DUMMYFUNCTION("""COMPUTED_VALUE"""),"(Chưa recheck)")</f>
        <v>(Chưa recheck)</v>
      </c>
      <c r="J292" s="265" t="str">
        <f>IFERROR(__xludf.DUMMYFUNCTION("""COMPUTED_VALUE"""),"API")</f>
        <v>API</v>
      </c>
      <c r="K292" s="265" t="str">
        <f>IFERROR(__xludf.DUMMYFUNCTION("""COMPUTED_VALUE"""),"(Chưa recheck)")</f>
        <v>(Chưa recheck)</v>
      </c>
    </row>
    <row r="293">
      <c r="A293" s="265" t="str">
        <f>IFERROR(__xludf.DUMMYFUNCTION("""COMPUTED_VALUE"""),"597")</f>
        <v>597</v>
      </c>
      <c r="B293" s="265" t="str">
        <f>IFERROR(__xludf.DUMMYFUNCTION("""COMPUTED_VALUE"""),"Sài Gòn")</f>
        <v>Sài Gòn</v>
      </c>
      <c r="C293" s="265" t="str">
        <f>IFERROR(__xludf.DUMMYFUNCTION("""COMPUTED_VALUE"""),"Active")</f>
        <v>Active</v>
      </c>
      <c r="D293" s="265" t="str">
        <f>IFERROR(__xludf.DUMMYFUNCTION("""COMPUTED_VALUE"""),"Sale chưa cung cấp")</f>
        <v>Sale chưa cung cấp</v>
      </c>
      <c r="E293" s="265" t="str">
        <f>IFERROR(__xludf.DUMMYFUNCTION("""COMPUTED_VALUE"""),"Không phân công")</f>
        <v>Không phân công</v>
      </c>
      <c r="F293" s="265" t="str">
        <f>IFERROR(__xludf.DUMMYFUNCTION("""COMPUTED_VALUE"""),"Silver")</f>
        <v>Silver</v>
      </c>
      <c r="G293" s="265" t="str">
        <f>IFERROR(__xludf.DUMMYFUNCTION("""COMPUTED_VALUE"""),"Standard")</f>
        <v>Standard</v>
      </c>
      <c r="H293" s="265" t="str">
        <f>IFERROR(__xludf.DUMMYFUNCTION("""COMPUTED_VALUE"""),"Trả trước")</f>
        <v>Trả trước</v>
      </c>
      <c r="I293" s="265" t="str">
        <f>IFERROR(__xludf.DUMMYFUNCTION("""COMPUTED_VALUE"""),"Portal")</f>
        <v>Portal</v>
      </c>
      <c r="J293" s="265" t="str">
        <f>IFERROR(__xludf.DUMMYFUNCTION("""COMPUTED_VALUE"""),"File Excel")</f>
        <v>File Excel</v>
      </c>
      <c r="K293" s="265" t="str">
        <f>IFERROR(__xludf.DUMMYFUNCTION("""COMPUTED_VALUE"""),"DungVT")</f>
        <v>DungVT</v>
      </c>
    </row>
    <row r="294">
      <c r="A294" s="265" t="str">
        <f>IFERROR(__xludf.DUMMYFUNCTION("""COMPUTED_VALUE"""),"599")</f>
        <v>599</v>
      </c>
      <c r="B294" s="265" t="str">
        <f>IFERROR(__xludf.DUMMYFUNCTION("""COMPUTED_VALUE"""),"Sài Gòn")</f>
        <v>Sài Gòn</v>
      </c>
      <c r="C294" s="265" t="str">
        <f>IFERROR(__xludf.DUMMYFUNCTION("""COMPUTED_VALUE"""),"Active")</f>
        <v>Active</v>
      </c>
      <c r="D294" s="265" t="str">
        <f>IFERROR(__xludf.DUMMYFUNCTION("""COMPUTED_VALUE"""),"Sale chưa cung cấp")</f>
        <v>Sale chưa cung cấp</v>
      </c>
      <c r="E294" s="265" t="str">
        <f>IFERROR(__xludf.DUMMYFUNCTION("""COMPUTED_VALUE"""),"Không phân công")</f>
        <v>Không phân công</v>
      </c>
      <c r="F294" s="265" t="str">
        <f>IFERROR(__xludf.DUMMYFUNCTION("""COMPUTED_VALUE"""),"Diamond")</f>
        <v>Diamond</v>
      </c>
      <c r="G294" s="265" t="str">
        <f>IFERROR(__xludf.DUMMYFUNCTION("""COMPUTED_VALUE"""),"Enterprise")</f>
        <v>Enterprise</v>
      </c>
      <c r="H294" s="265" t="str">
        <f>IFERROR(__xludf.DUMMYFUNCTION("""COMPUTED_VALUE"""),"Trả sau")</f>
        <v>Trả sau</v>
      </c>
      <c r="I294" s="265" t="str">
        <f>IFERROR(__xludf.DUMMYFUNCTION("""COMPUTED_VALUE"""),"Portal")</f>
        <v>Portal</v>
      </c>
      <c r="J294" s="265" t="str">
        <f>IFERROR(__xludf.DUMMYFUNCTION("""COMPUTED_VALUE"""),"File Excel")</f>
        <v>File Excel</v>
      </c>
      <c r="K294" s="265" t="str">
        <f>IFERROR(__xludf.DUMMYFUNCTION("""COMPUTED_VALUE"""),"LinhNTT1")</f>
        <v>LinhNTT1</v>
      </c>
    </row>
    <row r="295">
      <c r="A295" s="265" t="str">
        <f>IFERROR(__xludf.DUMMYFUNCTION("""COMPUTED_VALUE"""),"599")</f>
        <v>599</v>
      </c>
      <c r="B295" s="265" t="str">
        <f>IFERROR(__xludf.DUMMYFUNCTION("""COMPUTED_VALUE"""),"Sài Gòn")</f>
        <v>Sài Gòn</v>
      </c>
      <c r="C295" s="265" t="str">
        <f>IFERROR(__xludf.DUMMYFUNCTION("""COMPUTED_VALUE"""),"Active")</f>
        <v>Active</v>
      </c>
      <c r="D295" s="265" t="str">
        <f>IFERROR(__xludf.DUMMYFUNCTION("""COMPUTED_VALUE"""),"Sale chưa cung cấp")</f>
        <v>Sale chưa cung cấp</v>
      </c>
      <c r="E295" s="265" t="str">
        <f>IFERROR(__xludf.DUMMYFUNCTION("""COMPUTED_VALUE"""),"Không phân công")</f>
        <v>Không phân công</v>
      </c>
      <c r="F295" s="265" t="str">
        <f>IFERROR(__xludf.DUMMYFUNCTION("""COMPUTED_VALUE"""),"Diamond")</f>
        <v>Diamond</v>
      </c>
      <c r="G295" s="265" t="str">
        <f>IFERROR(__xludf.DUMMYFUNCTION("""COMPUTED_VALUE"""),"Enterprise")</f>
        <v>Enterprise</v>
      </c>
      <c r="H295" s="265" t="str">
        <f>IFERROR(__xludf.DUMMYFUNCTION("""COMPUTED_VALUE"""),"Trả sau")</f>
        <v>Trả sau</v>
      </c>
      <c r="I295" s="265" t="str">
        <f>IFERROR(__xludf.DUMMYFUNCTION("""COMPUTED_VALUE"""),"Portal")</f>
        <v>Portal</v>
      </c>
      <c r="J295" s="265" t="str">
        <f>IFERROR(__xludf.DUMMYFUNCTION("""COMPUTED_VALUE"""),"API")</f>
        <v>API</v>
      </c>
      <c r="K295" s="265" t="str">
        <f>IFERROR(__xludf.DUMMYFUNCTION("""COMPUTED_VALUE"""),"LinhNTT1")</f>
        <v>LinhNTT1</v>
      </c>
    </row>
    <row r="296">
      <c r="A296" s="265" t="str">
        <f>IFERROR(__xludf.DUMMYFUNCTION("""COMPUTED_VALUE"""),"601")</f>
        <v>601</v>
      </c>
      <c r="B296" s="265" t="str">
        <f>IFERROR(__xludf.DUMMYFUNCTION("""COMPUTED_VALUE"""),"Sài Gòn")</f>
        <v>Sài Gòn</v>
      </c>
      <c r="C296" s="265" t="str">
        <f>IFERROR(__xludf.DUMMYFUNCTION("""COMPUTED_VALUE"""),"Locked")</f>
        <v>Locked</v>
      </c>
      <c r="D296" s="265" t="str">
        <f>IFERROR(__xludf.DUMMYFUNCTION("""COMPUTED_VALUE"""),"Sale chưa cung cấp")</f>
        <v>Sale chưa cung cấp</v>
      </c>
      <c r="E296" s="265" t="str">
        <f>IFERROR(__xludf.DUMMYFUNCTION("""COMPUTED_VALUE"""),"HoaNTM")</f>
        <v>HoaNTM</v>
      </c>
      <c r="F296" s="265" t="str">
        <f>IFERROR(__xludf.DUMMYFUNCTION("""COMPUTED_VALUE"""),"Sale chưa cung cấp")</f>
        <v>Sale chưa cung cấp</v>
      </c>
      <c r="G296" s="265" t="str">
        <f>IFERROR(__xludf.DUMMYFUNCTION("""COMPUTED_VALUE"""),"MSG")</f>
        <v>MSG</v>
      </c>
      <c r="H296" s="265" t="str">
        <f>IFERROR(__xludf.DUMMYFUNCTION("""COMPUTED_VALUE"""),"(Chưa recheck)")</f>
        <v>(Chưa recheck)</v>
      </c>
      <c r="I296" s="265" t="str">
        <f>IFERROR(__xludf.DUMMYFUNCTION("""COMPUTED_VALUE"""),"(Chưa recheck)")</f>
        <v>(Chưa recheck)</v>
      </c>
      <c r="J296" s="265" t="str">
        <f>IFERROR(__xludf.DUMMYFUNCTION("""COMPUTED_VALUE"""),"File Excel")</f>
        <v>File Excel</v>
      </c>
      <c r="K296" s="265" t="str">
        <f>IFERROR(__xludf.DUMMYFUNCTION("""COMPUTED_VALUE"""),"(Chưa recheck)")</f>
        <v>(Chưa recheck)</v>
      </c>
    </row>
    <row r="297">
      <c r="A297" s="265" t="str">
        <f>IFERROR(__xludf.DUMMYFUNCTION("""COMPUTED_VALUE"""),"601")</f>
        <v>601</v>
      </c>
      <c r="B297" s="265" t="str">
        <f>IFERROR(__xludf.DUMMYFUNCTION("""COMPUTED_VALUE"""),"Sài Gòn")</f>
        <v>Sài Gòn</v>
      </c>
      <c r="C297" s="265" t="str">
        <f>IFERROR(__xludf.DUMMYFUNCTION("""COMPUTED_VALUE"""),"Locked")</f>
        <v>Locked</v>
      </c>
      <c r="D297" s="265" t="str">
        <f>IFERROR(__xludf.DUMMYFUNCTION("""COMPUTED_VALUE"""),"Sale chưa cung cấp")</f>
        <v>Sale chưa cung cấp</v>
      </c>
      <c r="E297" s="265" t="str">
        <f>IFERROR(__xludf.DUMMYFUNCTION("""COMPUTED_VALUE"""),"HoaNTM")</f>
        <v>HoaNTM</v>
      </c>
      <c r="F297" s="265" t="str">
        <f>IFERROR(__xludf.DUMMYFUNCTION("""COMPUTED_VALUE"""),"Sale chưa cung cấp")</f>
        <v>Sale chưa cung cấp</v>
      </c>
      <c r="G297" s="265" t="str">
        <f>IFERROR(__xludf.DUMMYFUNCTION("""COMPUTED_VALUE"""),"MSG")</f>
        <v>MSG</v>
      </c>
      <c r="H297" s="265" t="str">
        <f>IFERROR(__xludf.DUMMYFUNCTION("""COMPUTED_VALUE"""),"(Chưa recheck)")</f>
        <v>(Chưa recheck)</v>
      </c>
      <c r="I297" s="265" t="str">
        <f>IFERROR(__xludf.DUMMYFUNCTION("""COMPUTED_VALUE"""),"(Chưa recheck)")</f>
        <v>(Chưa recheck)</v>
      </c>
      <c r="J297" s="265" t="str">
        <f>IFERROR(__xludf.DUMMYFUNCTION("""COMPUTED_VALUE"""),"API")</f>
        <v>API</v>
      </c>
      <c r="K297" s="265" t="str">
        <f>IFERROR(__xludf.DUMMYFUNCTION("""COMPUTED_VALUE"""),"(Chưa recheck)")</f>
        <v>(Chưa recheck)</v>
      </c>
    </row>
    <row r="298">
      <c r="A298" s="265" t="str">
        <f>IFERROR(__xludf.DUMMYFUNCTION("""COMPUTED_VALUE"""),"602")</f>
        <v>602</v>
      </c>
      <c r="B298" s="265" t="str">
        <f>IFERROR(__xludf.DUMMYFUNCTION("""COMPUTED_VALUE"""),"Sài Gòn")</f>
        <v>Sài Gòn</v>
      </c>
      <c r="C298" s="265" t="str">
        <f>IFERROR(__xludf.DUMMYFUNCTION("""COMPUTED_VALUE"""),"Locked")</f>
        <v>Locked</v>
      </c>
      <c r="D298" s="265" t="str">
        <f>IFERROR(__xludf.DUMMYFUNCTION("""COMPUTED_VALUE"""),"Sale chưa cung cấp")</f>
        <v>Sale chưa cung cấp</v>
      </c>
      <c r="E298" s="265" t="str">
        <f>IFERROR(__xludf.DUMMYFUNCTION("""COMPUTED_VALUE"""),"Không phân công")</f>
        <v>Không phân công</v>
      </c>
      <c r="F298" s="265" t="str">
        <f>IFERROR(__xludf.DUMMYFUNCTION("""COMPUTED_VALUE"""),"Bronze")</f>
        <v>Bronze</v>
      </c>
      <c r="G298" s="265" t="str">
        <f>IFERROR(__xludf.DUMMYFUNCTION("""COMPUTED_VALUE"""),"Starter")</f>
        <v>Starter</v>
      </c>
      <c r="H298" s="265" t="str">
        <f>IFERROR(__xludf.DUMMYFUNCTION("""COMPUTED_VALUE"""),"Trả trước")</f>
        <v>Trả trước</v>
      </c>
      <c r="I298" s="265" t="str">
        <f>IFERROR(__xludf.DUMMYFUNCTION("""COMPUTED_VALUE"""),"Portal")</f>
        <v>Portal</v>
      </c>
      <c r="J298" s="265" t="str">
        <f>IFERROR(__xludf.DUMMYFUNCTION("""COMPUTED_VALUE"""),"File Excel")</f>
        <v>File Excel</v>
      </c>
      <c r="K298" s="265" t="str">
        <f>IFERROR(__xludf.DUMMYFUNCTION("""COMPUTED_VALUE"""),"LinhNTT1")</f>
        <v>LinhNTT1</v>
      </c>
    </row>
    <row r="299">
      <c r="A299" s="265" t="str">
        <f>IFERROR(__xludf.DUMMYFUNCTION("""COMPUTED_VALUE"""),"603")</f>
        <v>603</v>
      </c>
      <c r="B299" s="265" t="str">
        <f>IFERROR(__xludf.DUMMYFUNCTION("""COMPUTED_VALUE"""),"Sài Gòn")</f>
        <v>Sài Gòn</v>
      </c>
      <c r="C299" s="265" t="str">
        <f>IFERROR(__xludf.DUMMYFUNCTION("""COMPUTED_VALUE"""),"Locked")</f>
        <v>Locked</v>
      </c>
      <c r="D299" s="265" t="str">
        <f>IFERROR(__xludf.DUMMYFUNCTION("""COMPUTED_VALUE"""),"Sale chưa cung cấp")</f>
        <v>Sale chưa cung cấp</v>
      </c>
      <c r="E299" s="265" t="str">
        <f>IFERROR(__xludf.DUMMYFUNCTION("""COMPUTED_VALUE"""),"Không phân công")</f>
        <v>Không phân công</v>
      </c>
      <c r="F299" s="265" t="str">
        <f>IFERROR(__xludf.DUMMYFUNCTION("""COMPUTED_VALUE"""),"Bronze")</f>
        <v>Bronze</v>
      </c>
      <c r="G299" s="265" t="str">
        <f>IFERROR(__xludf.DUMMYFUNCTION("""COMPUTED_VALUE"""),"Starter")</f>
        <v>Starter</v>
      </c>
      <c r="H299" s="265" t="str">
        <f>IFERROR(__xludf.DUMMYFUNCTION("""COMPUTED_VALUE"""),"Trả trước")</f>
        <v>Trả trước</v>
      </c>
      <c r="I299" s="265" t="str">
        <f>IFERROR(__xludf.DUMMYFUNCTION("""COMPUTED_VALUE"""),"Portal")</f>
        <v>Portal</v>
      </c>
      <c r="J299" s="265" t="str">
        <f>IFERROR(__xludf.DUMMYFUNCTION("""COMPUTED_VALUE"""),"File Excel")</f>
        <v>File Excel</v>
      </c>
      <c r="K299" s="265" t="str">
        <f>IFERROR(__xludf.DUMMYFUNCTION("""COMPUTED_VALUE"""),"LinhNTT1")</f>
        <v>LinhNTT1</v>
      </c>
    </row>
    <row r="300">
      <c r="A300" s="265" t="str">
        <f>IFERROR(__xludf.DUMMYFUNCTION("""COMPUTED_VALUE"""),"604")</f>
        <v>604</v>
      </c>
      <c r="B300" s="265" t="str">
        <f>IFERROR(__xludf.DUMMYFUNCTION("""COMPUTED_VALUE"""),"Hà Nội")</f>
        <v>Hà Nội</v>
      </c>
      <c r="C300" s="265" t="str">
        <f>IFERROR(__xludf.DUMMYFUNCTION("""COMPUTED_VALUE"""),"Locked")</f>
        <v>Locked</v>
      </c>
      <c r="D300" s="265" t="str">
        <f>IFERROR(__xludf.DUMMYFUNCTION("""COMPUTED_VALUE"""),"Sale chưa cung cấp")</f>
        <v>Sale chưa cung cấp</v>
      </c>
      <c r="E300" s="265" t="str">
        <f>IFERROR(__xludf.DUMMYFUNCTION("""COMPUTED_VALUE"""),"TùngLD")</f>
        <v>TùngLD</v>
      </c>
      <c r="F300" s="265" t="str">
        <f>IFERROR(__xludf.DUMMYFUNCTION("""COMPUTED_VALUE"""),"Sale chưa cung cấp")</f>
        <v>Sale chưa cung cấp</v>
      </c>
      <c r="G300" s="265" t="str">
        <f>IFERROR(__xludf.DUMMYFUNCTION("""COMPUTED_VALUE"""),"Enterprise")</f>
        <v>Enterprise</v>
      </c>
      <c r="H300" s="265" t="str">
        <f>IFERROR(__xludf.DUMMYFUNCTION("""COMPUTED_VALUE"""),"Trial")</f>
        <v>Trial</v>
      </c>
      <c r="I300" s="265" t="str">
        <f>IFERROR(__xludf.DUMMYFUNCTION("""COMPUTED_VALUE"""),"Portal")</f>
        <v>Portal</v>
      </c>
      <c r="J300" s="265" t="str">
        <f>IFERROR(__xludf.DUMMYFUNCTION("""COMPUTED_VALUE"""),"(Không recheck)")</f>
        <v>(Không recheck)</v>
      </c>
      <c r="K300" s="265" t="str">
        <f>IFERROR(__xludf.DUMMYFUNCTION("""COMPUTED_VALUE"""),"(Không recheck)")</f>
        <v>(Không recheck)</v>
      </c>
    </row>
    <row r="301">
      <c r="A301" s="265" t="str">
        <f>IFERROR(__xludf.DUMMYFUNCTION("""COMPUTED_VALUE"""),"605")</f>
        <v>605</v>
      </c>
      <c r="B301" s="265" t="str">
        <f>IFERROR(__xludf.DUMMYFUNCTION("""COMPUTED_VALUE"""),"Hà Nội")</f>
        <v>Hà Nội</v>
      </c>
      <c r="C301" s="265" t="str">
        <f>IFERROR(__xludf.DUMMYFUNCTION("""COMPUTED_VALUE"""),"Active")</f>
        <v>Active</v>
      </c>
      <c r="D301" s="265" t="str">
        <f>IFERROR(__xludf.DUMMYFUNCTION("""COMPUTED_VALUE"""),"Sale chưa cung cấp")</f>
        <v>Sale chưa cung cấp</v>
      </c>
      <c r="E301" s="265" t="str">
        <f>IFERROR(__xludf.DUMMYFUNCTION("""COMPUTED_VALUE"""),"Không phân công")</f>
        <v>Không phân công</v>
      </c>
      <c r="F301" s="265" t="str">
        <f>IFERROR(__xludf.DUMMYFUNCTION("""COMPUTED_VALUE"""),"Bronze")</f>
        <v>Bronze</v>
      </c>
      <c r="G301" s="265" t="str">
        <f>IFERROR(__xludf.DUMMYFUNCTION("""COMPUTED_VALUE"""),"Starter")</f>
        <v>Starter</v>
      </c>
      <c r="H301" s="265" t="str">
        <f>IFERROR(__xludf.DUMMYFUNCTION("""COMPUTED_VALUE"""),"Trả sau")</f>
        <v>Trả sau</v>
      </c>
      <c r="I301" s="265" t="str">
        <f>IFERROR(__xludf.DUMMYFUNCTION("""COMPUTED_VALUE"""),"API")</f>
        <v>API</v>
      </c>
      <c r="J301" s="265" t="str">
        <f>IFERROR(__xludf.DUMMYFUNCTION("""COMPUTED_VALUE"""),"API")</f>
        <v>API</v>
      </c>
      <c r="K301" s="265" t="str">
        <f>IFERROR(__xludf.DUMMYFUNCTION("""COMPUTED_VALUE"""),"DungPL")</f>
        <v>DungPL</v>
      </c>
    </row>
    <row r="302">
      <c r="A302" s="265" t="str">
        <f>IFERROR(__xludf.DUMMYFUNCTION("""COMPUTED_VALUE"""),"606")</f>
        <v>606</v>
      </c>
      <c r="B302" s="265" t="str">
        <f>IFERROR(__xludf.DUMMYFUNCTION("""COMPUTED_VALUE"""),"Sài Gòn")</f>
        <v>Sài Gòn</v>
      </c>
      <c r="C302" s="265" t="str">
        <f>IFERROR(__xludf.DUMMYFUNCTION("""COMPUTED_VALUE"""),"Locked")</f>
        <v>Locked</v>
      </c>
      <c r="D302" s="265" t="str">
        <f>IFERROR(__xludf.DUMMYFUNCTION("""COMPUTED_VALUE"""),"Sale chưa cung cấp")</f>
        <v>Sale chưa cung cấp</v>
      </c>
      <c r="E302" s="265" t="str">
        <f>IFERROR(__xludf.DUMMYFUNCTION("""COMPUTED_VALUE"""),"HoaNTM")</f>
        <v>HoaNTM</v>
      </c>
      <c r="F302" s="265" t="str">
        <f>IFERROR(__xludf.DUMMYFUNCTION("""COMPUTED_VALUE"""),"Bronze")</f>
        <v>Bronze</v>
      </c>
      <c r="G302" s="265" t="str">
        <f>IFERROR(__xludf.DUMMYFUNCTION("""COMPUTED_VALUE"""),"Enterprise")</f>
        <v>Enterprise</v>
      </c>
      <c r="H302" s="265" t="str">
        <f>IFERROR(__xludf.DUMMYFUNCTION("""COMPUTED_VALUE"""),"(Chưa recheck)")</f>
        <v>(Chưa recheck)</v>
      </c>
      <c r="I302" s="265" t="str">
        <f>IFERROR(__xludf.DUMMYFUNCTION("""COMPUTED_VALUE"""),"(Chưa recheck)")</f>
        <v>(Chưa recheck)</v>
      </c>
      <c r="J302" s="265" t="str">
        <f>IFERROR(__xludf.DUMMYFUNCTION("""COMPUTED_VALUE"""),"File Excel")</f>
        <v>File Excel</v>
      </c>
      <c r="K302" s="265" t="str">
        <f>IFERROR(__xludf.DUMMYFUNCTION("""COMPUTED_VALUE"""),"AnhNM")</f>
        <v>AnhNM</v>
      </c>
    </row>
    <row r="303">
      <c r="A303" s="265" t="str">
        <f>IFERROR(__xludf.DUMMYFUNCTION("""COMPUTED_VALUE"""),"609")</f>
        <v>609</v>
      </c>
      <c r="B303" s="265" t="str">
        <f>IFERROR(__xludf.DUMMYFUNCTION("""COMPUTED_VALUE"""),"Sài Gòn")</f>
        <v>Sài Gòn</v>
      </c>
      <c r="C303" s="265" t="str">
        <f>IFERROR(__xludf.DUMMYFUNCTION("""COMPUTED_VALUE"""),"Locked")</f>
        <v>Locked</v>
      </c>
      <c r="D303" s="265" t="str">
        <f>IFERROR(__xludf.DUMMYFUNCTION("""COMPUTED_VALUE"""),"Sale chưa cung cấp")</f>
        <v>Sale chưa cung cấp</v>
      </c>
      <c r="E303" s="265" t="str">
        <f>IFERROR(__xludf.DUMMYFUNCTION("""COMPUTED_VALUE"""),"HoaNTM")</f>
        <v>HoaNTM</v>
      </c>
      <c r="F303" s="265" t="str">
        <f>IFERROR(__xludf.DUMMYFUNCTION("""COMPUTED_VALUE"""),"Gold")</f>
        <v>Gold</v>
      </c>
      <c r="G303" s="265" t="str">
        <f>IFERROR(__xludf.DUMMYFUNCTION("""COMPUTED_VALUE"""),"MSG")</f>
        <v>MSG</v>
      </c>
      <c r="H303" s="265" t="str">
        <f>IFERROR(__xludf.DUMMYFUNCTION("""COMPUTED_VALUE"""),"(Chưa recheck)")</f>
        <v>(Chưa recheck)</v>
      </c>
      <c r="I303" s="265" t="str">
        <f>IFERROR(__xludf.DUMMYFUNCTION("""COMPUTED_VALUE"""),"(Chưa recheck)")</f>
        <v>(Chưa recheck)</v>
      </c>
      <c r="J303" s="265" t="str">
        <f>IFERROR(__xludf.DUMMYFUNCTION("""COMPUTED_VALUE"""),"File Excel")</f>
        <v>File Excel</v>
      </c>
      <c r="K303" s="265" t="str">
        <f>IFERROR(__xludf.DUMMYFUNCTION("""COMPUTED_VALUE"""),"(Chưa recheck)")</f>
        <v>(Chưa recheck)</v>
      </c>
    </row>
    <row r="304">
      <c r="A304" s="265" t="str">
        <f>IFERROR(__xludf.DUMMYFUNCTION("""COMPUTED_VALUE"""),"607")</f>
        <v>607</v>
      </c>
      <c r="B304" s="265" t="str">
        <f>IFERROR(__xludf.DUMMYFUNCTION("""COMPUTED_VALUE"""),"Sài Gòn")</f>
        <v>Sài Gòn</v>
      </c>
      <c r="C304" s="265" t="str">
        <f>IFERROR(__xludf.DUMMYFUNCTION("""COMPUTED_VALUE"""),"Locked")</f>
        <v>Locked</v>
      </c>
      <c r="D304" s="265" t="str">
        <f>IFERROR(__xludf.DUMMYFUNCTION("""COMPUTED_VALUE"""),"Sale chưa cung cấp")</f>
        <v>Sale chưa cung cấp</v>
      </c>
      <c r="E304" s="265" t="str">
        <f>IFERROR(__xludf.DUMMYFUNCTION("""COMPUTED_VALUE"""),"HoaNTM")</f>
        <v>HoaNTM</v>
      </c>
      <c r="F304" s="265" t="str">
        <f>IFERROR(__xludf.DUMMYFUNCTION("""COMPUTED_VALUE"""),"Sale chưa cung cấp")</f>
        <v>Sale chưa cung cấp</v>
      </c>
      <c r="G304" s="265" t="str">
        <f>IFERROR(__xludf.DUMMYFUNCTION("""COMPUTED_VALUE"""),"Enterprise")</f>
        <v>Enterprise</v>
      </c>
      <c r="H304" s="265" t="str">
        <f>IFERROR(__xludf.DUMMYFUNCTION("""COMPUTED_VALUE"""),"Trial")</f>
        <v>Trial</v>
      </c>
      <c r="I304" s="265" t="str">
        <f>IFERROR(__xludf.DUMMYFUNCTION("""COMPUTED_VALUE"""),"(Không recheck)")</f>
        <v>(Không recheck)</v>
      </c>
      <c r="J304" s="265" t="str">
        <f>IFERROR(__xludf.DUMMYFUNCTION("""COMPUTED_VALUE"""),"File Excel")</f>
        <v>File Excel</v>
      </c>
      <c r="K304" s="265" t="str">
        <f>IFERROR(__xludf.DUMMYFUNCTION("""COMPUTED_VALUE"""),"(Không recheck)")</f>
        <v>(Không recheck)</v>
      </c>
    </row>
    <row r="305">
      <c r="A305" s="265" t="str">
        <f>IFERROR(__xludf.DUMMYFUNCTION("""COMPUTED_VALUE"""),"607")</f>
        <v>607</v>
      </c>
      <c r="B305" s="265" t="str">
        <f>IFERROR(__xludf.DUMMYFUNCTION("""COMPUTED_VALUE"""),"Sài Gòn")</f>
        <v>Sài Gòn</v>
      </c>
      <c r="C305" s="265" t="str">
        <f>IFERROR(__xludf.DUMMYFUNCTION("""COMPUTED_VALUE"""),"Locked")</f>
        <v>Locked</v>
      </c>
      <c r="D305" s="265" t="str">
        <f>IFERROR(__xludf.DUMMYFUNCTION("""COMPUTED_VALUE"""),"Sale chưa cung cấp")</f>
        <v>Sale chưa cung cấp</v>
      </c>
      <c r="E305" s="265" t="str">
        <f>IFERROR(__xludf.DUMMYFUNCTION("""COMPUTED_VALUE"""),"HoaNTM")</f>
        <v>HoaNTM</v>
      </c>
      <c r="F305" s="265" t="str">
        <f>IFERROR(__xludf.DUMMYFUNCTION("""COMPUTED_VALUE"""),"Sale chưa cung cấp")</f>
        <v>Sale chưa cung cấp</v>
      </c>
      <c r="G305" s="265" t="str">
        <f>IFERROR(__xludf.DUMMYFUNCTION("""COMPUTED_VALUE"""),"Enterprise")</f>
        <v>Enterprise</v>
      </c>
      <c r="H305" s="265" t="str">
        <f>IFERROR(__xludf.DUMMYFUNCTION("""COMPUTED_VALUE"""),"Trial")</f>
        <v>Trial</v>
      </c>
      <c r="I305" s="265" t="str">
        <f>IFERROR(__xludf.DUMMYFUNCTION("""COMPUTED_VALUE"""),"(Không recheck)")</f>
        <v>(Không recheck)</v>
      </c>
      <c r="J305" s="265" t="str">
        <f>IFERROR(__xludf.DUMMYFUNCTION("""COMPUTED_VALUE"""),"API")</f>
        <v>API</v>
      </c>
      <c r="K305" s="265" t="str">
        <f>IFERROR(__xludf.DUMMYFUNCTION("""COMPUTED_VALUE"""),"(Không recheck)")</f>
        <v>(Không recheck)</v>
      </c>
    </row>
    <row r="306">
      <c r="A306" s="265" t="str">
        <f>IFERROR(__xludf.DUMMYFUNCTION("""COMPUTED_VALUE"""),"611")</f>
        <v>611</v>
      </c>
      <c r="B306" s="265" t="str">
        <f>IFERROR(__xludf.DUMMYFUNCTION("""COMPUTED_VALUE"""),"Hà Nội")</f>
        <v>Hà Nội</v>
      </c>
      <c r="C306" s="265" t="str">
        <f>IFERROR(__xludf.DUMMYFUNCTION("""COMPUTED_VALUE"""),"Active")</f>
        <v>Active</v>
      </c>
      <c r="D306" s="265" t="str">
        <f>IFERROR(__xludf.DUMMYFUNCTION("""COMPUTED_VALUE"""),"Sale chưa cung cấp")</f>
        <v>Sale chưa cung cấp</v>
      </c>
      <c r="E306" s="265" t="str">
        <f>IFERROR(__xludf.DUMMYFUNCTION("""COMPUTED_VALUE"""),"TùngLD")</f>
        <v>TùngLD</v>
      </c>
      <c r="F306" s="265" t="str">
        <f>IFERROR(__xludf.DUMMYFUNCTION("""COMPUTED_VALUE"""),"Silver")</f>
        <v>Silver</v>
      </c>
      <c r="G306" s="265" t="str">
        <f>IFERROR(__xludf.DUMMYFUNCTION("""COMPUTED_VALUE"""),"Enterprise")</f>
        <v>Enterprise</v>
      </c>
      <c r="H306" s="265" t="str">
        <f>IFERROR(__xludf.DUMMYFUNCTION("""COMPUTED_VALUE"""),"Trả trước")</f>
        <v>Trả trước</v>
      </c>
      <c r="I306" s="265" t="str">
        <f>IFERROR(__xludf.DUMMYFUNCTION("""COMPUTED_VALUE"""),"API &amp; Portal")</f>
        <v>API &amp; Portal</v>
      </c>
      <c r="J306" s="265" t="str">
        <f>IFERROR(__xludf.DUMMYFUNCTION("""COMPUTED_VALUE"""),"API")</f>
        <v>API</v>
      </c>
      <c r="K306" s="265" t="str">
        <f>IFERROR(__xludf.DUMMYFUNCTION("""COMPUTED_VALUE"""),"YếnĐH")</f>
        <v>YếnĐH</v>
      </c>
    </row>
    <row r="307">
      <c r="A307" s="265" t="str">
        <f>IFERROR(__xludf.DUMMYFUNCTION("""COMPUTED_VALUE"""),"612")</f>
        <v>612</v>
      </c>
      <c r="B307" s="265" t="str">
        <f>IFERROR(__xludf.DUMMYFUNCTION("""COMPUTED_VALUE"""),"Hà Nội")</f>
        <v>Hà Nội</v>
      </c>
      <c r="C307" s="265" t="str">
        <f>IFERROR(__xludf.DUMMYFUNCTION("""COMPUTED_VALUE"""),"Locked")</f>
        <v>Locked</v>
      </c>
      <c r="D307" s="265" t="str">
        <f>IFERROR(__xludf.DUMMYFUNCTION("""COMPUTED_VALUE"""),"Sale chưa cung cấp")</f>
        <v>Sale chưa cung cấp</v>
      </c>
      <c r="E307" s="265" t="str">
        <f>IFERROR(__xludf.DUMMYFUNCTION("""COMPUTED_VALUE"""),"TùngLD")</f>
        <v>TùngLD</v>
      </c>
      <c r="F307" s="265" t="str">
        <f>IFERROR(__xludf.DUMMYFUNCTION("""COMPUTED_VALUE"""),"Sale chưa cung cấp")</f>
        <v>Sale chưa cung cấp</v>
      </c>
      <c r="G307" s="265" t="str">
        <f>IFERROR(__xludf.DUMMYFUNCTION("""COMPUTED_VALUE"""),"API")</f>
        <v>API</v>
      </c>
      <c r="H307" s="265" t="str">
        <f>IFERROR(__xludf.DUMMYFUNCTION("""COMPUTED_VALUE"""),"Trả sau")</f>
        <v>Trả sau</v>
      </c>
      <c r="I307" s="265" t="str">
        <f>IFERROR(__xludf.DUMMYFUNCTION("""COMPUTED_VALUE"""),"API")</f>
        <v>API</v>
      </c>
      <c r="J307" s="265" t="str">
        <f>IFERROR(__xludf.DUMMYFUNCTION("""COMPUTED_VALUE"""),"API")</f>
        <v>API</v>
      </c>
      <c r="K307" s="265" t="str">
        <f>IFERROR(__xludf.DUMMYFUNCTION("""COMPUTED_VALUE"""),"DungPL")</f>
        <v>DungPL</v>
      </c>
    </row>
    <row r="308">
      <c r="A308" s="265" t="str">
        <f>IFERROR(__xludf.DUMMYFUNCTION("""COMPUTED_VALUE"""),"610")</f>
        <v>610</v>
      </c>
      <c r="B308" s="265" t="str">
        <f>IFERROR(__xludf.DUMMYFUNCTION("""COMPUTED_VALUE"""),"Hà Nội")</f>
        <v>Hà Nội</v>
      </c>
      <c r="C308" s="265" t="str">
        <f>IFERROR(__xludf.DUMMYFUNCTION("""COMPUTED_VALUE"""),"Locked")</f>
        <v>Locked</v>
      </c>
      <c r="D308" s="265" t="str">
        <f>IFERROR(__xludf.DUMMYFUNCTION("""COMPUTED_VALUE"""),"Sale chưa cung cấp")</f>
        <v>Sale chưa cung cấp</v>
      </c>
      <c r="E308" s="265" t="str">
        <f>IFERROR(__xludf.DUMMYFUNCTION("""COMPUTED_VALUE"""),"TùngLD")</f>
        <v>TùngLD</v>
      </c>
      <c r="F308" s="265" t="str">
        <f>IFERROR(__xludf.DUMMYFUNCTION("""COMPUTED_VALUE"""),"Bronze")</f>
        <v>Bronze</v>
      </c>
      <c r="G308" s="265" t="str">
        <f>IFERROR(__xludf.DUMMYFUNCTION("""COMPUTED_VALUE"""),"Enterprise")</f>
        <v>Enterprise</v>
      </c>
      <c r="H308" s="265" t="str">
        <f>IFERROR(__xludf.DUMMYFUNCTION("""COMPUTED_VALUE"""),"Trả trước")</f>
        <v>Trả trước</v>
      </c>
      <c r="I308" s="265" t="str">
        <f>IFERROR(__xludf.DUMMYFUNCTION("""COMPUTED_VALUE"""),"Portal")</f>
        <v>Portal</v>
      </c>
      <c r="J308" s="265" t="str">
        <f>IFERROR(__xludf.DUMMYFUNCTION("""COMPUTED_VALUE"""),"Pancake")</f>
        <v>Pancake</v>
      </c>
      <c r="K308" s="265" t="str">
        <f>IFERROR(__xludf.DUMMYFUNCTION("""COMPUTED_VALUE"""),"(Chưa recheck)")</f>
        <v>(Chưa recheck)</v>
      </c>
    </row>
    <row r="309">
      <c r="A309" s="265" t="str">
        <f>IFERROR(__xludf.DUMMYFUNCTION("""COMPUTED_VALUE"""),"613")</f>
        <v>613</v>
      </c>
      <c r="B309" s="265" t="str">
        <f>IFERROR(__xludf.DUMMYFUNCTION("""COMPUTED_VALUE"""),"Sài Gòn")</f>
        <v>Sài Gòn</v>
      </c>
      <c r="C309" s="265" t="str">
        <f>IFERROR(__xludf.DUMMYFUNCTION("""COMPUTED_VALUE"""),"Locked")</f>
        <v>Locked</v>
      </c>
      <c r="D309" s="265" t="str">
        <f>IFERROR(__xludf.DUMMYFUNCTION("""COMPUTED_VALUE"""),"Sale chưa cung cấp")</f>
        <v>Sale chưa cung cấp</v>
      </c>
      <c r="E309" s="265" t="str">
        <f>IFERROR(__xludf.DUMMYFUNCTION("""COMPUTED_VALUE"""),"HoaNTM")</f>
        <v>HoaNTM</v>
      </c>
      <c r="F309" s="265" t="str">
        <f>IFERROR(__xludf.DUMMYFUNCTION("""COMPUTED_VALUE"""),"Sale chưa cung cấp")</f>
        <v>Sale chưa cung cấp</v>
      </c>
      <c r="G309" s="265" t="str">
        <f>IFERROR(__xludf.DUMMYFUNCTION("""COMPUTED_VALUE"""),"Enterprise")</f>
        <v>Enterprise</v>
      </c>
      <c r="H309" s="265" t="str">
        <f>IFERROR(__xludf.DUMMYFUNCTION("""COMPUTED_VALUE"""),"(Chưa recheck)")</f>
        <v>(Chưa recheck)</v>
      </c>
      <c r="I309" s="265" t="str">
        <f>IFERROR(__xludf.DUMMYFUNCTION("""COMPUTED_VALUE"""),"(Chưa recheck)")</f>
        <v>(Chưa recheck)</v>
      </c>
      <c r="J309" s="265" t="str">
        <f>IFERROR(__xludf.DUMMYFUNCTION("""COMPUTED_VALUE"""),"File Excel")</f>
        <v>File Excel</v>
      </c>
      <c r="K309" s="265" t="str">
        <f>IFERROR(__xludf.DUMMYFUNCTION("""COMPUTED_VALUE"""),"(Chưa recheck)")</f>
        <v>(Chưa recheck)</v>
      </c>
    </row>
    <row r="310">
      <c r="A310" s="265" t="str">
        <f>IFERROR(__xludf.DUMMYFUNCTION("""COMPUTED_VALUE"""),"613")</f>
        <v>613</v>
      </c>
      <c r="B310" s="265" t="str">
        <f>IFERROR(__xludf.DUMMYFUNCTION("""COMPUTED_VALUE"""),"Sài Gòn")</f>
        <v>Sài Gòn</v>
      </c>
      <c r="C310" s="265" t="str">
        <f>IFERROR(__xludf.DUMMYFUNCTION("""COMPUTED_VALUE"""),"Locked")</f>
        <v>Locked</v>
      </c>
      <c r="D310" s="265" t="str">
        <f>IFERROR(__xludf.DUMMYFUNCTION("""COMPUTED_VALUE"""),"Sale chưa cung cấp")</f>
        <v>Sale chưa cung cấp</v>
      </c>
      <c r="E310" s="265" t="str">
        <f>IFERROR(__xludf.DUMMYFUNCTION("""COMPUTED_VALUE"""),"HoaNTM")</f>
        <v>HoaNTM</v>
      </c>
      <c r="F310" s="265" t="str">
        <f>IFERROR(__xludf.DUMMYFUNCTION("""COMPUTED_VALUE"""),"Sale chưa cung cấp")</f>
        <v>Sale chưa cung cấp</v>
      </c>
      <c r="G310" s="265" t="str">
        <f>IFERROR(__xludf.DUMMYFUNCTION("""COMPUTED_VALUE"""),"Enterprise")</f>
        <v>Enterprise</v>
      </c>
      <c r="H310" s="265" t="str">
        <f>IFERROR(__xludf.DUMMYFUNCTION("""COMPUTED_VALUE"""),"(Chưa recheck)")</f>
        <v>(Chưa recheck)</v>
      </c>
      <c r="I310" s="265" t="str">
        <f>IFERROR(__xludf.DUMMYFUNCTION("""COMPUTED_VALUE"""),"(Chưa recheck)")</f>
        <v>(Chưa recheck)</v>
      </c>
      <c r="J310" s="265" t="str">
        <f>IFERROR(__xludf.DUMMYFUNCTION("""COMPUTED_VALUE"""),"API")</f>
        <v>API</v>
      </c>
      <c r="K310" s="265" t="str">
        <f>IFERROR(__xludf.DUMMYFUNCTION("""COMPUTED_VALUE"""),"(Chưa recheck)")</f>
        <v>(Chưa recheck)</v>
      </c>
    </row>
    <row r="311">
      <c r="A311" s="265" t="str">
        <f>IFERROR(__xludf.DUMMYFUNCTION("""COMPUTED_VALUE"""),"616")</f>
        <v>616</v>
      </c>
      <c r="B311" s="265" t="str">
        <f>IFERROR(__xludf.DUMMYFUNCTION("""COMPUTED_VALUE"""),"Hà Nội")</f>
        <v>Hà Nội</v>
      </c>
      <c r="C311" s="265" t="str">
        <f>IFERROR(__xludf.DUMMYFUNCTION("""COMPUTED_VALUE"""),"Locked")</f>
        <v>Locked</v>
      </c>
      <c r="D311" s="265" t="str">
        <f>IFERROR(__xludf.DUMMYFUNCTION("""COMPUTED_VALUE"""),"Sale chưa cung cấp")</f>
        <v>Sale chưa cung cấp</v>
      </c>
      <c r="E311" s="265" t="str">
        <f>IFERROR(__xludf.DUMMYFUNCTION("""COMPUTED_VALUE"""),"Không phân công")</f>
        <v>Không phân công</v>
      </c>
      <c r="F311" s="265" t="str">
        <f>IFERROR(__xludf.DUMMYFUNCTION("""COMPUTED_VALUE"""),"Bronze")</f>
        <v>Bronze</v>
      </c>
      <c r="G311" s="265" t="str">
        <f>IFERROR(__xludf.DUMMYFUNCTION("""COMPUTED_VALUE"""),"Enterprise")</f>
        <v>Enterprise</v>
      </c>
      <c r="H311" s="265" t="str">
        <f>IFERROR(__xludf.DUMMYFUNCTION("""COMPUTED_VALUE"""),"Trả sau")</f>
        <v>Trả sau</v>
      </c>
      <c r="I311" s="265" t="str">
        <f>IFERROR(__xludf.DUMMYFUNCTION("""COMPUTED_VALUE"""),"API &amp; Portal")</f>
        <v>API &amp; Portal</v>
      </c>
      <c r="J311" s="265" t="str">
        <f>IFERROR(__xludf.DUMMYFUNCTION("""COMPUTED_VALUE"""),"File Excel")</f>
        <v>File Excel</v>
      </c>
      <c r="K311" s="265" t="str">
        <f>IFERROR(__xludf.DUMMYFUNCTION("""COMPUTED_VALUE"""),"DungPL")</f>
        <v>DungPL</v>
      </c>
    </row>
    <row r="312">
      <c r="A312" s="265" t="str">
        <f>IFERROR(__xludf.DUMMYFUNCTION("""COMPUTED_VALUE"""),"615")</f>
        <v>615</v>
      </c>
      <c r="B312" s="265" t="str">
        <f>IFERROR(__xludf.DUMMYFUNCTION("""COMPUTED_VALUE"""),"Hà Nội")</f>
        <v>Hà Nội</v>
      </c>
      <c r="C312" s="265" t="str">
        <f>IFERROR(__xludf.DUMMYFUNCTION("""COMPUTED_VALUE"""),"Locked")</f>
        <v>Locked</v>
      </c>
      <c r="D312" s="265" t="str">
        <f>IFERROR(__xludf.DUMMYFUNCTION("""COMPUTED_VALUE"""),"Sale chưa cung cấp")</f>
        <v>Sale chưa cung cấp</v>
      </c>
      <c r="E312" s="265" t="str">
        <f>IFERROR(__xludf.DUMMYFUNCTION("""COMPUTED_VALUE"""),"PhươngDTB")</f>
        <v>PhươngDTB</v>
      </c>
      <c r="F312" s="265" t="str">
        <f>IFERROR(__xludf.DUMMYFUNCTION("""COMPUTED_VALUE"""),"Silver")</f>
        <v>Silver</v>
      </c>
      <c r="G312" s="265" t="str">
        <f>IFERROR(__xludf.DUMMYFUNCTION("""COMPUTED_VALUE"""),"Enterprise")</f>
        <v>Enterprise</v>
      </c>
      <c r="H312" s="265" t="str">
        <f>IFERROR(__xludf.DUMMYFUNCTION("""COMPUTED_VALUE"""),"(Chưa recheck)")</f>
        <v>(Chưa recheck)</v>
      </c>
      <c r="I312" s="265" t="str">
        <f>IFERROR(__xludf.DUMMYFUNCTION("""COMPUTED_VALUE"""),"(Chưa recheck)")</f>
        <v>(Chưa recheck)</v>
      </c>
      <c r="J312" s="265" t="str">
        <f>IFERROR(__xludf.DUMMYFUNCTION("""COMPUTED_VALUE"""),"File Excel")</f>
        <v>File Excel</v>
      </c>
      <c r="K312" s="265" t="str">
        <f>IFERROR(__xludf.DUMMYFUNCTION("""COMPUTED_VALUE"""),"(Chưa recheck)")</f>
        <v>(Chưa recheck)</v>
      </c>
    </row>
    <row r="313">
      <c r="A313" s="265" t="str">
        <f>IFERROR(__xludf.DUMMYFUNCTION("""COMPUTED_VALUE"""),"617")</f>
        <v>617</v>
      </c>
      <c r="B313" s="265" t="str">
        <f>IFERROR(__xludf.DUMMYFUNCTION("""COMPUTED_VALUE"""),"Sài Gòn")</f>
        <v>Sài Gòn</v>
      </c>
      <c r="C313" s="265" t="str">
        <f>IFERROR(__xludf.DUMMYFUNCTION("""COMPUTED_VALUE"""),"Locked")</f>
        <v>Locked</v>
      </c>
      <c r="D313" s="265" t="str">
        <f>IFERROR(__xludf.DUMMYFUNCTION("""COMPUTED_VALUE"""),"Sale chưa cung cấp")</f>
        <v>Sale chưa cung cấp</v>
      </c>
      <c r="E313" s="265" t="str">
        <f>IFERROR(__xludf.DUMMYFUNCTION("""COMPUTED_VALUE"""),"HoaNTM")</f>
        <v>HoaNTM</v>
      </c>
      <c r="F313" s="265" t="str">
        <f>IFERROR(__xludf.DUMMYFUNCTION("""COMPUTED_VALUE"""),"Diamond")</f>
        <v>Diamond</v>
      </c>
      <c r="G313" s="265" t="str">
        <f>IFERROR(__xludf.DUMMYFUNCTION("""COMPUTED_VALUE"""),"SIMILAR")</f>
        <v>SIMILAR</v>
      </c>
      <c r="H313" s="265" t="str">
        <f>IFERROR(__xludf.DUMMYFUNCTION("""COMPUTED_VALUE"""),"Trả sau")</f>
        <v>Trả sau</v>
      </c>
      <c r="I313" s="265" t="str">
        <f>IFERROR(__xludf.DUMMYFUNCTION("""COMPUTED_VALUE"""),"(Chưa recheck)")</f>
        <v>(Chưa recheck)</v>
      </c>
      <c r="J313" s="265" t="str">
        <f>IFERROR(__xludf.DUMMYFUNCTION("""COMPUTED_VALUE"""),"File Excel")</f>
        <v>File Excel</v>
      </c>
      <c r="K313" s="265" t="str">
        <f>IFERROR(__xludf.DUMMYFUNCTION("""COMPUTED_VALUE"""),"(Chưa recheck)")</f>
        <v>(Chưa recheck)</v>
      </c>
    </row>
    <row r="314">
      <c r="A314" s="265" t="str">
        <f>IFERROR(__xludf.DUMMYFUNCTION("""COMPUTED_VALUE"""),"608")</f>
        <v>608</v>
      </c>
      <c r="B314" s="265" t="str">
        <f>IFERROR(__xludf.DUMMYFUNCTION("""COMPUTED_VALUE"""),"Hà Nội")</f>
        <v>Hà Nội</v>
      </c>
      <c r="C314" s="265" t="str">
        <f>IFERROR(__xludf.DUMMYFUNCTION("""COMPUTED_VALUE"""),"Locked")</f>
        <v>Locked</v>
      </c>
      <c r="D314" s="265" t="str">
        <f>IFERROR(__xludf.DUMMYFUNCTION("""COMPUTED_VALUE"""),"Sale chưa cung cấp")</f>
        <v>Sale chưa cung cấp</v>
      </c>
      <c r="E314" s="265" t="str">
        <f>IFERROR(__xludf.DUMMYFUNCTION("""COMPUTED_VALUE"""),"TùngLD")</f>
        <v>TùngLD</v>
      </c>
      <c r="F314" s="265" t="str">
        <f>IFERROR(__xludf.DUMMYFUNCTION("""COMPUTED_VALUE"""),"Sale chưa cung cấp")</f>
        <v>Sale chưa cung cấp</v>
      </c>
      <c r="G314" s="265" t="str">
        <f>IFERROR(__xludf.DUMMYFUNCTION("""COMPUTED_VALUE"""),"API")</f>
        <v>API</v>
      </c>
      <c r="H314" s="265" t="str">
        <f>IFERROR(__xludf.DUMMYFUNCTION("""COMPUTED_VALUE"""),"Trial")</f>
        <v>Trial</v>
      </c>
      <c r="I314" s="265" t="str">
        <f>IFERROR(__xludf.DUMMYFUNCTION("""COMPUTED_VALUE"""),"API")</f>
        <v>API</v>
      </c>
      <c r="J314" s="265" t="str">
        <f>IFERROR(__xludf.DUMMYFUNCTION("""COMPUTED_VALUE"""),"API")</f>
        <v>API</v>
      </c>
      <c r="K314" s="265" t="str">
        <f>IFERROR(__xludf.DUMMYFUNCTION("""COMPUTED_VALUE"""),"(Không recheck)")</f>
        <v>(Không recheck)</v>
      </c>
    </row>
    <row r="315">
      <c r="A315" s="265" t="str">
        <f>IFERROR(__xludf.DUMMYFUNCTION("""COMPUTED_VALUE"""),"618")</f>
        <v>618</v>
      </c>
      <c r="B315" s="265" t="str">
        <f>IFERROR(__xludf.DUMMYFUNCTION("""COMPUTED_VALUE"""),"Hà Nội")</f>
        <v>Hà Nội</v>
      </c>
      <c r="C315" s="265" t="str">
        <f>IFERROR(__xludf.DUMMYFUNCTION("""COMPUTED_VALUE"""),"Active")</f>
        <v>Active</v>
      </c>
      <c r="D315" s="265" t="str">
        <f>IFERROR(__xludf.DUMMYFUNCTION("""COMPUTED_VALUE"""),"Sale chưa cung cấp")</f>
        <v>Sale chưa cung cấp</v>
      </c>
      <c r="E315" s="265" t="str">
        <f>IFERROR(__xludf.DUMMYFUNCTION("""COMPUTED_VALUE"""),"TúPHN")</f>
        <v>TúPHN</v>
      </c>
      <c r="F315" s="265" t="str">
        <f>IFERROR(__xludf.DUMMYFUNCTION("""COMPUTED_VALUE"""),"Gold")</f>
        <v>Gold</v>
      </c>
      <c r="G315" s="265" t="str">
        <f>IFERROR(__xludf.DUMMYFUNCTION("""COMPUTED_VALUE"""),"Premium")</f>
        <v>Premium</v>
      </c>
      <c r="H315" s="265" t="str">
        <f>IFERROR(__xludf.DUMMYFUNCTION("""COMPUTED_VALUE"""),"Trả sau")</f>
        <v>Trả sau</v>
      </c>
      <c r="I315" s="265" t="str">
        <f>IFERROR(__xludf.DUMMYFUNCTION("""COMPUTED_VALUE"""),"Portal")</f>
        <v>Portal</v>
      </c>
      <c r="J315" s="265" t="str">
        <f>IFERROR(__xludf.DUMMYFUNCTION("""COMPUTED_VALUE"""),"File Excel")</f>
        <v>File Excel</v>
      </c>
      <c r="K315" s="265" t="str">
        <f>IFERROR(__xludf.DUMMYFUNCTION("""COMPUTED_VALUE"""),"DungPL")</f>
        <v>DungPL</v>
      </c>
    </row>
    <row r="316">
      <c r="A316" s="265" t="str">
        <f>IFERROR(__xludf.DUMMYFUNCTION("""COMPUTED_VALUE"""),"619")</f>
        <v>619</v>
      </c>
      <c r="B316" s="265" t="str">
        <f>IFERROR(__xludf.DUMMYFUNCTION("""COMPUTED_VALUE"""),"Sài Gòn")</f>
        <v>Sài Gòn</v>
      </c>
      <c r="C316" s="265" t="str">
        <f>IFERROR(__xludf.DUMMYFUNCTION("""COMPUTED_VALUE"""),"Locked")</f>
        <v>Locked</v>
      </c>
      <c r="D316" s="265" t="str">
        <f>IFERROR(__xludf.DUMMYFUNCTION("""COMPUTED_VALUE"""),"Sale chưa cung cấp")</f>
        <v>Sale chưa cung cấp</v>
      </c>
      <c r="E316" s="265" t="str">
        <f>IFERROR(__xludf.DUMMYFUNCTION("""COMPUTED_VALUE"""),"HoaNTM")</f>
        <v>HoaNTM</v>
      </c>
      <c r="F316" s="265" t="str">
        <f>IFERROR(__xludf.DUMMYFUNCTION("""COMPUTED_VALUE"""),"Sale chưa cung cấp")</f>
        <v>Sale chưa cung cấp</v>
      </c>
      <c r="G316" s="265" t="str">
        <f>IFERROR(__xludf.DUMMYFUNCTION("""COMPUTED_VALUE"""),"MSG")</f>
        <v>MSG</v>
      </c>
      <c r="H316" s="265" t="str">
        <f>IFERROR(__xludf.DUMMYFUNCTION("""COMPUTED_VALUE"""),"(Chưa recheck)")</f>
        <v>(Chưa recheck)</v>
      </c>
      <c r="I316" s="265" t="str">
        <f>IFERROR(__xludf.DUMMYFUNCTION("""COMPUTED_VALUE"""),"(Chưa recheck)")</f>
        <v>(Chưa recheck)</v>
      </c>
      <c r="J316" s="265" t="str">
        <f>IFERROR(__xludf.DUMMYFUNCTION("""COMPUTED_VALUE"""),"File Excel")</f>
        <v>File Excel</v>
      </c>
      <c r="K316" s="265" t="str">
        <f>IFERROR(__xludf.DUMMYFUNCTION("""COMPUTED_VALUE"""),"(Chưa recheck)")</f>
        <v>(Chưa recheck)</v>
      </c>
    </row>
    <row r="317">
      <c r="A317" s="265" t="str">
        <f>IFERROR(__xludf.DUMMYFUNCTION("""COMPUTED_VALUE"""),"621")</f>
        <v>621</v>
      </c>
      <c r="B317" s="265" t="str">
        <f>IFERROR(__xludf.DUMMYFUNCTION("""COMPUTED_VALUE"""),"Sài Gòn")</f>
        <v>Sài Gòn</v>
      </c>
      <c r="C317" s="265" t="str">
        <f>IFERROR(__xludf.DUMMYFUNCTION("""COMPUTED_VALUE"""),"Active")</f>
        <v>Active</v>
      </c>
      <c r="D317" s="265" t="str">
        <f>IFERROR(__xludf.DUMMYFUNCTION("""COMPUTED_VALUE"""),"Sale chưa cung cấp")</f>
        <v>Sale chưa cung cấp</v>
      </c>
      <c r="E317" s="265" t="str">
        <f>IFERROR(__xludf.DUMMYFUNCTION("""COMPUTED_VALUE"""),"TúPHN")</f>
        <v>TúPHN</v>
      </c>
      <c r="F317" s="265" t="str">
        <f>IFERROR(__xludf.DUMMYFUNCTION("""COMPUTED_VALUE"""),"Bronze")</f>
        <v>Bronze</v>
      </c>
      <c r="G317" s="265" t="str">
        <f>IFERROR(__xludf.DUMMYFUNCTION("""COMPUTED_VALUE"""),"Enterprise")</f>
        <v>Enterprise</v>
      </c>
      <c r="H317" s="265" t="str">
        <f>IFERROR(__xludf.DUMMYFUNCTION("""COMPUTED_VALUE"""),"Trả trước")</f>
        <v>Trả trước</v>
      </c>
      <c r="I317" s="265" t="str">
        <f>IFERROR(__xludf.DUMMYFUNCTION("""COMPUTED_VALUE"""),"Portal")</f>
        <v>Portal</v>
      </c>
      <c r="J317" s="265" t="str">
        <f>IFERROR(__xludf.DUMMYFUNCTION("""COMPUTED_VALUE"""),"File Excel")</f>
        <v>File Excel</v>
      </c>
      <c r="K317" s="265" t="str">
        <f>IFERROR(__xludf.DUMMYFUNCTION("""COMPUTED_VALUE"""),"DungPL")</f>
        <v>DungPL</v>
      </c>
    </row>
    <row r="318">
      <c r="A318" s="265" t="str">
        <f>IFERROR(__xludf.DUMMYFUNCTION("""COMPUTED_VALUE"""),"622")</f>
        <v>622</v>
      </c>
      <c r="B318" s="265" t="str">
        <f>IFERROR(__xludf.DUMMYFUNCTION("""COMPUTED_VALUE"""),"Hà Nội")</f>
        <v>Hà Nội</v>
      </c>
      <c r="C318" s="265" t="str">
        <f>IFERROR(__xludf.DUMMYFUNCTION("""COMPUTED_VALUE"""),"Locked")</f>
        <v>Locked</v>
      </c>
      <c r="D318" s="265" t="str">
        <f>IFERROR(__xludf.DUMMYFUNCTION("""COMPUTED_VALUE"""),"Sale chưa cung cấp")</f>
        <v>Sale chưa cung cấp</v>
      </c>
      <c r="E318" s="265" t="str">
        <f>IFERROR(__xludf.DUMMYFUNCTION("""COMPUTED_VALUE"""),"AnhNP")</f>
        <v>AnhNP</v>
      </c>
      <c r="F318" s="265" t="str">
        <f>IFERROR(__xludf.DUMMYFUNCTION("""COMPUTED_VALUE"""),"Sale chưa cung cấp")</f>
        <v>Sale chưa cung cấp</v>
      </c>
      <c r="G318" s="265" t="str">
        <f>IFERROR(__xludf.DUMMYFUNCTION("""COMPUTED_VALUE"""),"MSG")</f>
        <v>MSG</v>
      </c>
      <c r="H318" s="265" t="str">
        <f>IFERROR(__xludf.DUMMYFUNCTION("""COMPUTED_VALUE"""),"(Chưa recheck)")</f>
        <v>(Chưa recheck)</v>
      </c>
      <c r="I318" s="265" t="str">
        <f>IFERROR(__xludf.DUMMYFUNCTION("""COMPUTED_VALUE"""),"Portal")</f>
        <v>Portal</v>
      </c>
      <c r="J318" s="265" t="str">
        <f>IFERROR(__xludf.DUMMYFUNCTION("""COMPUTED_VALUE"""),"File Excel")</f>
        <v>File Excel</v>
      </c>
      <c r="K318" s="265" t="str">
        <f>IFERROR(__xludf.DUMMYFUNCTION("""COMPUTED_VALUE"""),"(Chưa recheck)")</f>
        <v>(Chưa recheck)</v>
      </c>
    </row>
    <row r="319">
      <c r="A319" s="265" t="str">
        <f>IFERROR(__xludf.DUMMYFUNCTION("""COMPUTED_VALUE"""),"620")</f>
        <v>620</v>
      </c>
      <c r="B319" s="265" t="str">
        <f>IFERROR(__xludf.DUMMYFUNCTION("""COMPUTED_VALUE"""),"Hà Nội")</f>
        <v>Hà Nội</v>
      </c>
      <c r="C319" s="265" t="str">
        <f>IFERROR(__xludf.DUMMYFUNCTION("""COMPUTED_VALUE"""),"Locked")</f>
        <v>Locked</v>
      </c>
      <c r="D319" s="265" t="str">
        <f>IFERROR(__xludf.DUMMYFUNCTION("""COMPUTED_VALUE"""),"Sale chưa cung cấp")</f>
        <v>Sale chưa cung cấp</v>
      </c>
      <c r="E319" s="265" t="str">
        <f>IFERROR(__xludf.DUMMYFUNCTION("""COMPUTED_VALUE"""),"TùngLD")</f>
        <v>TùngLD</v>
      </c>
      <c r="F319" s="265" t="str">
        <f>IFERROR(__xludf.DUMMYFUNCTION("""COMPUTED_VALUE"""),"Sale chưa cung cấp")</f>
        <v>Sale chưa cung cấp</v>
      </c>
      <c r="G319" s="265" t="str">
        <f>IFERROR(__xludf.DUMMYFUNCTION("""COMPUTED_VALUE"""),"SIMILAR")</f>
        <v>SIMILAR</v>
      </c>
      <c r="H319" s="265" t="str">
        <f>IFERROR(__xludf.DUMMYFUNCTION("""COMPUTED_VALUE"""),"(Chưa recheck)")</f>
        <v>(Chưa recheck)</v>
      </c>
      <c r="I319" s="265" t="str">
        <f>IFERROR(__xludf.DUMMYFUNCTION("""COMPUTED_VALUE"""),"Portal")</f>
        <v>Portal</v>
      </c>
      <c r="J319" s="265" t="str">
        <f>IFERROR(__xludf.DUMMYFUNCTION("""COMPUTED_VALUE"""),"File Excel")</f>
        <v>File Excel</v>
      </c>
      <c r="K319" s="265" t="str">
        <f>IFERROR(__xludf.DUMMYFUNCTION("""COMPUTED_VALUE"""),"(Chưa recheck)")</f>
        <v>(Chưa recheck)</v>
      </c>
    </row>
    <row r="320">
      <c r="A320" s="265" t="str">
        <f>IFERROR(__xludf.DUMMYFUNCTION("""COMPUTED_VALUE"""),"623")</f>
        <v>623</v>
      </c>
      <c r="B320" s="265" t="str">
        <f>IFERROR(__xludf.DUMMYFUNCTION("""COMPUTED_VALUE"""),"Sài Gòn")</f>
        <v>Sài Gòn</v>
      </c>
      <c r="C320" s="265" t="str">
        <f>IFERROR(__xludf.DUMMYFUNCTION("""COMPUTED_VALUE"""),"Locked")</f>
        <v>Locked</v>
      </c>
      <c r="D320" s="265" t="str">
        <f>IFERROR(__xludf.DUMMYFUNCTION("""COMPUTED_VALUE"""),"Sale chưa cung cấp")</f>
        <v>Sale chưa cung cấp</v>
      </c>
      <c r="E320" s="265" t="str">
        <f>IFERROR(__xludf.DUMMYFUNCTION("""COMPUTED_VALUE"""),"HoaNTM")</f>
        <v>HoaNTM</v>
      </c>
      <c r="F320" s="265" t="str">
        <f>IFERROR(__xludf.DUMMYFUNCTION("""COMPUTED_VALUE"""),"Sale chưa cung cấp")</f>
        <v>Sale chưa cung cấp</v>
      </c>
      <c r="G320" s="265" t="str">
        <f>IFERROR(__xludf.DUMMYFUNCTION("""COMPUTED_VALUE"""),"MSG")</f>
        <v>MSG</v>
      </c>
      <c r="H320" s="265" t="str">
        <f>IFERROR(__xludf.DUMMYFUNCTION("""COMPUTED_VALUE"""),"Trả sau")</f>
        <v>Trả sau</v>
      </c>
      <c r="I320" s="265" t="str">
        <f>IFERROR(__xludf.DUMMYFUNCTION("""COMPUTED_VALUE"""),"(Chưa recheck)")</f>
        <v>(Chưa recheck)</v>
      </c>
      <c r="J320" s="265" t="str">
        <f>IFERROR(__xludf.DUMMYFUNCTION("""COMPUTED_VALUE"""),"File Excel")</f>
        <v>File Excel</v>
      </c>
      <c r="K320" s="265" t="str">
        <f>IFERROR(__xludf.DUMMYFUNCTION("""COMPUTED_VALUE"""),"LinhNTT1")</f>
        <v>LinhNTT1</v>
      </c>
    </row>
    <row r="321">
      <c r="A321" s="265" t="str">
        <f>IFERROR(__xludf.DUMMYFUNCTION("""COMPUTED_VALUE"""),"624")</f>
        <v>624</v>
      </c>
      <c r="B321" s="265" t="str">
        <f>IFERROR(__xludf.DUMMYFUNCTION("""COMPUTED_VALUE"""),"Sài Gòn")</f>
        <v>Sài Gòn</v>
      </c>
      <c r="C321" s="265" t="str">
        <f>IFERROR(__xludf.DUMMYFUNCTION("""COMPUTED_VALUE"""),"Locked")</f>
        <v>Locked</v>
      </c>
      <c r="D321" s="265" t="str">
        <f>IFERROR(__xludf.DUMMYFUNCTION("""COMPUTED_VALUE"""),"Sale chưa cung cấp")</f>
        <v>Sale chưa cung cấp</v>
      </c>
      <c r="E321" s="265" t="str">
        <f>IFERROR(__xludf.DUMMYFUNCTION("""COMPUTED_VALUE"""),"TuVTC")</f>
        <v>TuVTC</v>
      </c>
      <c r="F321" s="265" t="str">
        <f>IFERROR(__xludf.DUMMYFUNCTION("""COMPUTED_VALUE"""),"Sale chưa cung cấp")</f>
        <v>Sale chưa cung cấp</v>
      </c>
      <c r="G321" s="265" t="str">
        <f>IFERROR(__xludf.DUMMYFUNCTION("""COMPUTED_VALUE"""),"MSG")</f>
        <v>MSG</v>
      </c>
      <c r="H321" s="265" t="str">
        <f>IFERROR(__xludf.DUMMYFUNCTION("""COMPUTED_VALUE"""),"(Chưa recheck)")</f>
        <v>(Chưa recheck)</v>
      </c>
      <c r="I321" s="265" t="str">
        <f>IFERROR(__xludf.DUMMYFUNCTION("""COMPUTED_VALUE"""),"(Chưa recheck)")</f>
        <v>(Chưa recheck)</v>
      </c>
      <c r="J321" s="265" t="str">
        <f>IFERROR(__xludf.DUMMYFUNCTION("""COMPUTED_VALUE"""),"File Excel")</f>
        <v>File Excel</v>
      </c>
      <c r="K321" s="265" t="str">
        <f>IFERROR(__xludf.DUMMYFUNCTION("""COMPUTED_VALUE"""),"TuVTC")</f>
        <v>TuVTC</v>
      </c>
    </row>
    <row r="322">
      <c r="A322" s="265" t="str">
        <f>IFERROR(__xludf.DUMMYFUNCTION("""COMPUTED_VALUE"""),"625")</f>
        <v>625</v>
      </c>
      <c r="B322" s="265" t="str">
        <f>IFERROR(__xludf.DUMMYFUNCTION("""COMPUTED_VALUE"""),"Sài Gòn")</f>
        <v>Sài Gòn</v>
      </c>
      <c r="C322" s="265" t="str">
        <f>IFERROR(__xludf.DUMMYFUNCTION("""COMPUTED_VALUE"""),"Active")</f>
        <v>Active</v>
      </c>
      <c r="D322" s="265" t="str">
        <f>IFERROR(__xludf.DUMMYFUNCTION("""COMPUTED_VALUE"""),"Sale chưa cung cấp")</f>
        <v>Sale chưa cung cấp</v>
      </c>
      <c r="E322" s="265" t="str">
        <f>IFERROR(__xludf.DUMMYFUNCTION("""COMPUTED_VALUE"""),"TúPHN")</f>
        <v>TúPHN</v>
      </c>
      <c r="F322" s="265" t="str">
        <f>IFERROR(__xludf.DUMMYFUNCTION("""COMPUTED_VALUE"""),"Gold")</f>
        <v>Gold</v>
      </c>
      <c r="G322" s="265" t="str">
        <f>IFERROR(__xludf.DUMMYFUNCTION("""COMPUTED_VALUE"""),"GAPONE HUBSPOT")</f>
        <v>GAPONE HUBSPOT</v>
      </c>
      <c r="H322" s="265" t="str">
        <f>IFERROR(__xludf.DUMMYFUNCTION("""COMPUTED_VALUE"""),"Trả sau")</f>
        <v>Trả sau</v>
      </c>
      <c r="I322" s="265" t="str">
        <f>IFERROR(__xludf.DUMMYFUNCTION("""COMPUTED_VALUE"""),"API")</f>
        <v>API</v>
      </c>
      <c r="J322" s="265" t="str">
        <f>IFERROR(__xludf.DUMMYFUNCTION("""COMPUTED_VALUE"""),"HubSpot")</f>
        <v>HubSpot</v>
      </c>
      <c r="K322" s="265" t="str">
        <f>IFERROR(__xludf.DUMMYFUNCTION("""COMPUTED_VALUE"""),"DungPL")</f>
        <v>DungPL</v>
      </c>
    </row>
    <row r="323">
      <c r="A323" s="265" t="str">
        <f>IFERROR(__xludf.DUMMYFUNCTION("""COMPUTED_VALUE"""),"626")</f>
        <v>626</v>
      </c>
      <c r="B323" s="265" t="str">
        <f>IFERROR(__xludf.DUMMYFUNCTION("""COMPUTED_VALUE"""),"Hà Nội")</f>
        <v>Hà Nội</v>
      </c>
      <c r="C323" s="265" t="str">
        <f>IFERROR(__xludf.DUMMYFUNCTION("""COMPUTED_VALUE"""),"Locked")</f>
        <v>Locked</v>
      </c>
      <c r="D323" s="265" t="str">
        <f>IFERROR(__xludf.DUMMYFUNCTION("""COMPUTED_VALUE"""),"Sale chưa cung cấp")</f>
        <v>Sale chưa cung cấp</v>
      </c>
      <c r="E323" s="265" t="str">
        <f>IFERROR(__xludf.DUMMYFUNCTION("""COMPUTED_VALUE"""),"TùngLD")</f>
        <v>TùngLD</v>
      </c>
      <c r="F323" s="265" t="str">
        <f>IFERROR(__xludf.DUMMYFUNCTION("""COMPUTED_VALUE"""),"Sale chưa cung cấp")</f>
        <v>Sale chưa cung cấp</v>
      </c>
      <c r="G323" s="265" t="str">
        <f>IFERROR(__xludf.DUMMYFUNCTION("""COMPUTED_VALUE"""),"Enterprise")</f>
        <v>Enterprise</v>
      </c>
      <c r="H323" s="265" t="str">
        <f>IFERROR(__xludf.DUMMYFUNCTION("""COMPUTED_VALUE"""),"Trial")</f>
        <v>Trial</v>
      </c>
      <c r="I323" s="265" t="str">
        <f>IFERROR(__xludf.DUMMYFUNCTION("""COMPUTED_VALUE"""),"Portal")</f>
        <v>Portal</v>
      </c>
      <c r="J323" s="265" t="str">
        <f>IFERROR(__xludf.DUMMYFUNCTION("""COMPUTED_VALUE"""),"(Không recheck)")</f>
        <v>(Không recheck)</v>
      </c>
      <c r="K323" s="265" t="str">
        <f>IFERROR(__xludf.DUMMYFUNCTION("""COMPUTED_VALUE"""),"(Không recheck)")</f>
        <v>(Không recheck)</v>
      </c>
    </row>
    <row r="324">
      <c r="A324" s="265" t="str">
        <f>IFERROR(__xludf.DUMMYFUNCTION("""COMPUTED_VALUE"""),"627")</f>
        <v>627</v>
      </c>
      <c r="B324" s="265" t="str">
        <f>IFERROR(__xludf.DUMMYFUNCTION("""COMPUTED_VALUE"""),"Sài Gòn")</f>
        <v>Sài Gòn</v>
      </c>
      <c r="C324" s="265" t="str">
        <f>IFERROR(__xludf.DUMMYFUNCTION("""COMPUTED_VALUE"""),"Active")</f>
        <v>Active</v>
      </c>
      <c r="D324" s="265" t="str">
        <f>IFERROR(__xludf.DUMMYFUNCTION("""COMPUTED_VALUE"""),"Sale chưa cung cấp")</f>
        <v>Sale chưa cung cấp</v>
      </c>
      <c r="E324" s="265" t="str">
        <f>IFERROR(__xludf.DUMMYFUNCTION("""COMPUTED_VALUE"""),"TùngLD")</f>
        <v>TùngLD</v>
      </c>
      <c r="F324" s="265" t="str">
        <f>IFERROR(__xludf.DUMMYFUNCTION("""COMPUTED_VALUE"""),"Bronze")</f>
        <v>Bronze</v>
      </c>
      <c r="G324" s="265" t="str">
        <f>IFERROR(__xludf.DUMMYFUNCTION("""COMPUTED_VALUE"""),"Starter")</f>
        <v>Starter</v>
      </c>
      <c r="H324" s="265" t="str">
        <f>IFERROR(__xludf.DUMMYFUNCTION("""COMPUTED_VALUE"""),"Trả sau")</f>
        <v>Trả sau</v>
      </c>
      <c r="I324" s="265" t="str">
        <f>IFERROR(__xludf.DUMMYFUNCTION("""COMPUTED_VALUE"""),"API &amp; Portal")</f>
        <v>API &amp; Portal</v>
      </c>
      <c r="J324" s="265" t="str">
        <f>IFERROR(__xludf.DUMMYFUNCTION("""COMPUTED_VALUE"""),"File Excel")</f>
        <v>File Excel</v>
      </c>
      <c r="K324" s="265" t="str">
        <f>IFERROR(__xludf.DUMMYFUNCTION("""COMPUTED_VALUE"""),"LinhNTT1")</f>
        <v>LinhNTT1</v>
      </c>
    </row>
    <row r="325">
      <c r="A325" s="265" t="str">
        <f>IFERROR(__xludf.DUMMYFUNCTION("""COMPUTED_VALUE"""),"627")</f>
        <v>627</v>
      </c>
      <c r="B325" s="265" t="str">
        <f>IFERROR(__xludf.DUMMYFUNCTION("""COMPUTED_VALUE"""),"Sài Gòn")</f>
        <v>Sài Gòn</v>
      </c>
      <c r="C325" s="265" t="str">
        <f>IFERROR(__xludf.DUMMYFUNCTION("""COMPUTED_VALUE"""),"Active")</f>
        <v>Active</v>
      </c>
      <c r="D325" s="265" t="str">
        <f>IFERROR(__xludf.DUMMYFUNCTION("""COMPUTED_VALUE"""),"Sale chưa cung cấp")</f>
        <v>Sale chưa cung cấp</v>
      </c>
      <c r="E325" s="265" t="str">
        <f>IFERROR(__xludf.DUMMYFUNCTION("""COMPUTED_VALUE"""),"TùngLD")</f>
        <v>TùngLD</v>
      </c>
      <c r="F325" s="265" t="str">
        <f>IFERROR(__xludf.DUMMYFUNCTION("""COMPUTED_VALUE"""),"Bronze")</f>
        <v>Bronze</v>
      </c>
      <c r="G325" s="265" t="str">
        <f>IFERROR(__xludf.DUMMYFUNCTION("""COMPUTED_VALUE"""),"Starter")</f>
        <v>Starter</v>
      </c>
      <c r="H325" s="265" t="str">
        <f>IFERROR(__xludf.DUMMYFUNCTION("""COMPUTED_VALUE"""),"Trả sau")</f>
        <v>Trả sau</v>
      </c>
      <c r="I325" s="265" t="str">
        <f>IFERROR(__xludf.DUMMYFUNCTION("""COMPUTED_VALUE"""),"API &amp; Portal")</f>
        <v>API &amp; Portal</v>
      </c>
      <c r="J325" s="265" t="str">
        <f>IFERROR(__xludf.DUMMYFUNCTION("""COMPUTED_VALUE"""),"API")</f>
        <v>API</v>
      </c>
      <c r="K325" s="265" t="str">
        <f>IFERROR(__xludf.DUMMYFUNCTION("""COMPUTED_VALUE"""),"LinhNTT1")</f>
        <v>LinhNTT1</v>
      </c>
    </row>
    <row r="326">
      <c r="A326" s="265" t="str">
        <f>IFERROR(__xludf.DUMMYFUNCTION("""COMPUTED_VALUE"""),"628")</f>
        <v>628</v>
      </c>
      <c r="B326" s="265" t="str">
        <f>IFERROR(__xludf.DUMMYFUNCTION("""COMPUTED_VALUE"""),"Hà Nội")</f>
        <v>Hà Nội</v>
      </c>
      <c r="C326" s="265" t="str">
        <f>IFERROR(__xludf.DUMMYFUNCTION("""COMPUTED_VALUE"""),"Locked")</f>
        <v>Locked</v>
      </c>
      <c r="D326" s="265" t="str">
        <f>IFERROR(__xludf.DUMMYFUNCTION("""COMPUTED_VALUE"""),"Bảo hiểm")</f>
        <v>Bảo hiểm</v>
      </c>
      <c r="E326" s="265" t="str">
        <f>IFERROR(__xludf.DUMMYFUNCTION("""COMPUTED_VALUE"""),"TùngLD")</f>
        <v>TùngLD</v>
      </c>
      <c r="F326" s="265" t="str">
        <f>IFERROR(__xludf.DUMMYFUNCTION("""COMPUTED_VALUE"""),"Diamond")</f>
        <v>Diamond</v>
      </c>
      <c r="G326" s="265" t="str">
        <f>IFERROR(__xludf.DUMMYFUNCTION("""COMPUTED_VALUE"""),"Starter")</f>
        <v>Starter</v>
      </c>
      <c r="H326" s="265" t="str">
        <f>IFERROR(__xludf.DUMMYFUNCTION("""COMPUTED_VALUE"""),"Trả sau")</f>
        <v>Trả sau</v>
      </c>
      <c r="I326" s="265" t="str">
        <f>IFERROR(__xludf.DUMMYFUNCTION("""COMPUTED_VALUE"""),"API")</f>
        <v>API</v>
      </c>
      <c r="J326" s="265" t="str">
        <f>IFERROR(__xludf.DUMMYFUNCTION("""COMPUTED_VALUE"""),"API")</f>
        <v>API</v>
      </c>
      <c r="K326" s="265" t="str">
        <f>IFERROR(__xludf.DUMMYFUNCTION("""COMPUTED_VALUE"""),"DungPL")</f>
        <v>DungPL</v>
      </c>
    </row>
    <row r="327">
      <c r="A327" s="265" t="str">
        <f>IFERROR(__xludf.DUMMYFUNCTION("""COMPUTED_VALUE"""),"349")</f>
        <v>349</v>
      </c>
      <c r="B327" s="265" t="str">
        <f>IFERROR(__xludf.DUMMYFUNCTION("""COMPUTED_VALUE"""),"Hà Nội")</f>
        <v>Hà Nội</v>
      </c>
      <c r="C327" s="265" t="str">
        <f>IFERROR(__xludf.DUMMYFUNCTION("""COMPUTED_VALUE"""),"Locked")</f>
        <v>Locked</v>
      </c>
      <c r="D327" s="265" t="str">
        <f>IFERROR(__xludf.DUMMYFUNCTION("""COMPUTED_VALUE"""),"Sale chưa cung cấp")</f>
        <v>Sale chưa cung cấp</v>
      </c>
      <c r="E327" s="265" t="str">
        <f>IFERROR(__xludf.DUMMYFUNCTION("""COMPUTED_VALUE"""),"TúPHN")</f>
        <v>TúPHN</v>
      </c>
      <c r="F327" s="265" t="str">
        <f>IFERROR(__xludf.DUMMYFUNCTION("""COMPUTED_VALUE"""),"Bronze")</f>
        <v>Bronze</v>
      </c>
      <c r="G327" s="265" t="str">
        <f>IFERROR(__xludf.DUMMYFUNCTION("""COMPUTED_VALUE"""),"Starter")</f>
        <v>Starter</v>
      </c>
      <c r="H327" s="265" t="str">
        <f>IFERROR(__xludf.DUMMYFUNCTION("""COMPUTED_VALUE"""),"Trả trước")</f>
        <v>Trả trước</v>
      </c>
      <c r="I327" s="265" t="str">
        <f>IFERROR(__xludf.DUMMYFUNCTION("""COMPUTED_VALUE"""),"Portal")</f>
        <v>Portal</v>
      </c>
      <c r="J327" s="265" t="str">
        <f>IFERROR(__xludf.DUMMYFUNCTION("""COMPUTED_VALUE"""),"File Excel")</f>
        <v>File Excel</v>
      </c>
      <c r="K327" s="265" t="str">
        <f>IFERROR(__xludf.DUMMYFUNCTION("""COMPUTED_VALUE"""),"Không phân công")</f>
        <v>Không phân công</v>
      </c>
    </row>
    <row r="328">
      <c r="A328" s="265" t="str">
        <f>IFERROR(__xludf.DUMMYFUNCTION("""COMPUTED_VALUE"""),"629")</f>
        <v>629</v>
      </c>
      <c r="B328" s="265" t="str">
        <f>IFERROR(__xludf.DUMMYFUNCTION("""COMPUTED_VALUE"""),"Hà Nội")</f>
        <v>Hà Nội</v>
      </c>
      <c r="C328" s="265" t="str">
        <f>IFERROR(__xludf.DUMMYFUNCTION("""COMPUTED_VALUE"""),"Active")</f>
        <v>Active</v>
      </c>
      <c r="D328" s="265" t="str">
        <f>IFERROR(__xludf.DUMMYFUNCTION("""COMPUTED_VALUE"""),"Sale chưa cung cấp")</f>
        <v>Sale chưa cung cấp</v>
      </c>
      <c r="E328" s="265" t="str">
        <f>IFERROR(__xludf.DUMMYFUNCTION("""COMPUTED_VALUE"""),"Không phân công")</f>
        <v>Không phân công</v>
      </c>
      <c r="F328" s="265" t="str">
        <f>IFERROR(__xludf.DUMMYFUNCTION("""COMPUTED_VALUE"""),"Bronze")</f>
        <v>Bronze</v>
      </c>
      <c r="G328" s="265" t="str">
        <f>IFERROR(__xludf.DUMMYFUNCTION("""COMPUTED_VALUE"""),"Starter")</f>
        <v>Starter</v>
      </c>
      <c r="H328" s="265" t="str">
        <f>IFERROR(__xludf.DUMMYFUNCTION("""COMPUTED_VALUE"""),"Trả sau")</f>
        <v>Trả sau</v>
      </c>
      <c r="I328" s="265" t="str">
        <f>IFERROR(__xludf.DUMMYFUNCTION("""COMPUTED_VALUE"""),"API")</f>
        <v>API</v>
      </c>
      <c r="J328" s="265" t="str">
        <f>IFERROR(__xludf.DUMMYFUNCTION("""COMPUTED_VALUE"""),"API")</f>
        <v>API</v>
      </c>
      <c r="K328" s="265" t="str">
        <f>IFERROR(__xludf.DUMMYFUNCTION("""COMPUTED_VALUE"""),"YếnĐH")</f>
        <v>YếnĐH</v>
      </c>
    </row>
    <row r="329">
      <c r="A329" s="265" t="str">
        <f>IFERROR(__xludf.DUMMYFUNCTION("""COMPUTED_VALUE"""),"631")</f>
        <v>631</v>
      </c>
      <c r="B329" s="265" t="str">
        <f>IFERROR(__xludf.DUMMYFUNCTION("""COMPUTED_VALUE"""),"Sài Gòn")</f>
        <v>Sài Gòn</v>
      </c>
      <c r="C329" s="265" t="str">
        <f>IFERROR(__xludf.DUMMYFUNCTION("""COMPUTED_VALUE"""),"Active")</f>
        <v>Active</v>
      </c>
      <c r="D329" s="265" t="str">
        <f>IFERROR(__xludf.DUMMYFUNCTION("""COMPUTED_VALUE"""),"Sale chưa cung cấp")</f>
        <v>Sale chưa cung cấp</v>
      </c>
      <c r="E329" s="265" t="str">
        <f>IFERROR(__xludf.DUMMYFUNCTION("""COMPUTED_VALUE"""),"AnhNM")</f>
        <v>AnhNM</v>
      </c>
      <c r="F329" s="265" t="str">
        <f>IFERROR(__xludf.DUMMYFUNCTION("""COMPUTED_VALUE"""),"Diamond")</f>
        <v>Diamond</v>
      </c>
      <c r="G329" s="265" t="str">
        <f>IFERROR(__xludf.DUMMYFUNCTION("""COMPUTED_VALUE"""),"Enterprise")</f>
        <v>Enterprise</v>
      </c>
      <c r="H329" s="265" t="str">
        <f>IFERROR(__xludf.DUMMYFUNCTION("""COMPUTED_VALUE"""),"Trả sau")</f>
        <v>Trả sau</v>
      </c>
      <c r="I329" s="265" t="str">
        <f>IFERROR(__xludf.DUMMYFUNCTION("""COMPUTED_VALUE"""),"API")</f>
        <v>API</v>
      </c>
      <c r="J329" s="265" t="str">
        <f>IFERROR(__xludf.DUMMYFUNCTION("""COMPUTED_VALUE"""),"File Excel")</f>
        <v>File Excel</v>
      </c>
      <c r="K329" s="265" t="str">
        <f>IFERROR(__xludf.DUMMYFUNCTION("""COMPUTED_VALUE"""),"LinhNTT1")</f>
        <v>LinhNTT1</v>
      </c>
    </row>
    <row r="330">
      <c r="A330" s="265" t="str">
        <f>IFERROR(__xludf.DUMMYFUNCTION("""COMPUTED_VALUE"""),"631")</f>
        <v>631</v>
      </c>
      <c r="B330" s="265" t="str">
        <f>IFERROR(__xludf.DUMMYFUNCTION("""COMPUTED_VALUE"""),"Sài Gòn")</f>
        <v>Sài Gòn</v>
      </c>
      <c r="C330" s="265" t="str">
        <f>IFERROR(__xludf.DUMMYFUNCTION("""COMPUTED_VALUE"""),"Active")</f>
        <v>Active</v>
      </c>
      <c r="D330" s="265" t="str">
        <f>IFERROR(__xludf.DUMMYFUNCTION("""COMPUTED_VALUE"""),"Sale chưa cung cấp")</f>
        <v>Sale chưa cung cấp</v>
      </c>
      <c r="E330" s="265" t="str">
        <f>IFERROR(__xludf.DUMMYFUNCTION("""COMPUTED_VALUE"""),"AnhNM")</f>
        <v>AnhNM</v>
      </c>
      <c r="F330" s="265" t="str">
        <f>IFERROR(__xludf.DUMMYFUNCTION("""COMPUTED_VALUE"""),"Diamond")</f>
        <v>Diamond</v>
      </c>
      <c r="G330" s="265" t="str">
        <f>IFERROR(__xludf.DUMMYFUNCTION("""COMPUTED_VALUE"""),"Enterprise")</f>
        <v>Enterprise</v>
      </c>
      <c r="H330" s="265" t="str">
        <f>IFERROR(__xludf.DUMMYFUNCTION("""COMPUTED_VALUE"""),"Trả sau")</f>
        <v>Trả sau</v>
      </c>
      <c r="I330" s="265" t="str">
        <f>IFERROR(__xludf.DUMMYFUNCTION("""COMPUTED_VALUE"""),"API")</f>
        <v>API</v>
      </c>
      <c r="J330" s="265" t="str">
        <f>IFERROR(__xludf.DUMMYFUNCTION("""COMPUTED_VALUE"""),"API")</f>
        <v>API</v>
      </c>
      <c r="K330" s="265" t="str">
        <f>IFERROR(__xludf.DUMMYFUNCTION("""COMPUTED_VALUE"""),"LinhNTT1")</f>
        <v>LinhNTT1</v>
      </c>
    </row>
    <row r="331">
      <c r="A331" s="265" t="str">
        <f>IFERROR(__xludf.DUMMYFUNCTION("""COMPUTED_VALUE"""),"630")</f>
        <v>630</v>
      </c>
      <c r="B331" s="265" t="str">
        <f>IFERROR(__xludf.DUMMYFUNCTION("""COMPUTED_VALUE"""),"Hà Nội")</f>
        <v>Hà Nội</v>
      </c>
      <c r="C331" s="265" t="str">
        <f>IFERROR(__xludf.DUMMYFUNCTION("""COMPUTED_VALUE"""),"Active")</f>
        <v>Active</v>
      </c>
      <c r="D331" s="265" t="str">
        <f>IFERROR(__xludf.DUMMYFUNCTION("""COMPUTED_VALUE"""),"Sale chưa cung cấp")</f>
        <v>Sale chưa cung cấp</v>
      </c>
      <c r="E331" s="265" t="str">
        <f>IFERROR(__xludf.DUMMYFUNCTION("""COMPUTED_VALUE"""),"TúPHN")</f>
        <v>TúPHN</v>
      </c>
      <c r="F331" s="265" t="str">
        <f>IFERROR(__xludf.DUMMYFUNCTION("""COMPUTED_VALUE"""),"Gold")</f>
        <v>Gold</v>
      </c>
      <c r="G331" s="265" t="str">
        <f>IFERROR(__xludf.DUMMYFUNCTION("""COMPUTED_VALUE"""),"Starter")</f>
        <v>Starter</v>
      </c>
      <c r="H331" s="265" t="str">
        <f>IFERROR(__xludf.DUMMYFUNCTION("""COMPUTED_VALUE"""),"Trả sau")</f>
        <v>Trả sau</v>
      </c>
      <c r="I331" s="265" t="str">
        <f>IFERROR(__xludf.DUMMYFUNCTION("""COMPUTED_VALUE"""),"API")</f>
        <v>API</v>
      </c>
      <c r="J331" s="265" t="str">
        <f>IFERROR(__xludf.DUMMYFUNCTION("""COMPUTED_VALUE"""),"API")</f>
        <v>API</v>
      </c>
      <c r="K331" s="265" t="str">
        <f>IFERROR(__xludf.DUMMYFUNCTION("""COMPUTED_VALUE"""),"DungPL")</f>
        <v>DungPL</v>
      </c>
    </row>
    <row r="332">
      <c r="A332" s="265" t="str">
        <f>IFERROR(__xludf.DUMMYFUNCTION("""COMPUTED_VALUE"""),"633")</f>
        <v>633</v>
      </c>
      <c r="B332" s="265" t="str">
        <f>IFERROR(__xludf.DUMMYFUNCTION("""COMPUTED_VALUE"""),"Sài Gòn")</f>
        <v>Sài Gòn</v>
      </c>
      <c r="C332" s="265" t="str">
        <f>IFERROR(__xludf.DUMMYFUNCTION("""COMPUTED_VALUE"""),"Locked")</f>
        <v>Locked</v>
      </c>
      <c r="D332" s="265" t="str">
        <f>IFERROR(__xludf.DUMMYFUNCTION("""COMPUTED_VALUE"""),"Sale chưa cung cấp")</f>
        <v>Sale chưa cung cấp</v>
      </c>
      <c r="E332" s="265" t="str">
        <f>IFERROR(__xludf.DUMMYFUNCTION("""COMPUTED_VALUE"""),"HoaNTM")</f>
        <v>HoaNTM</v>
      </c>
      <c r="F332" s="265" t="str">
        <f>IFERROR(__xludf.DUMMYFUNCTION("""COMPUTED_VALUE"""),"Sale chưa cung cấp")</f>
        <v>Sale chưa cung cấp</v>
      </c>
      <c r="G332" s="265" t="str">
        <f>IFERROR(__xludf.DUMMYFUNCTION("""COMPUTED_VALUE"""),"SIMILAR")</f>
        <v>SIMILAR</v>
      </c>
      <c r="H332" s="265" t="str">
        <f>IFERROR(__xludf.DUMMYFUNCTION("""COMPUTED_VALUE"""),"(Chưa recheck)")</f>
        <v>(Chưa recheck)</v>
      </c>
      <c r="I332" s="265" t="str">
        <f>IFERROR(__xludf.DUMMYFUNCTION("""COMPUTED_VALUE"""),"(Chưa recheck)")</f>
        <v>(Chưa recheck)</v>
      </c>
      <c r="J332" s="265" t="str">
        <f>IFERROR(__xludf.DUMMYFUNCTION("""COMPUTED_VALUE"""),"File Excel")</f>
        <v>File Excel</v>
      </c>
      <c r="K332" s="265" t="str">
        <f>IFERROR(__xludf.DUMMYFUNCTION("""COMPUTED_VALUE"""),"(Chưa recheck)")</f>
        <v>(Chưa recheck)</v>
      </c>
    </row>
    <row r="333">
      <c r="A333" s="265" t="str">
        <f>IFERROR(__xludf.DUMMYFUNCTION("""COMPUTED_VALUE"""),"633")</f>
        <v>633</v>
      </c>
      <c r="B333" s="265" t="str">
        <f>IFERROR(__xludf.DUMMYFUNCTION("""COMPUTED_VALUE"""),"Sài Gòn")</f>
        <v>Sài Gòn</v>
      </c>
      <c r="C333" s="265" t="str">
        <f>IFERROR(__xludf.DUMMYFUNCTION("""COMPUTED_VALUE"""),"Locked")</f>
        <v>Locked</v>
      </c>
      <c r="D333" s="265" t="str">
        <f>IFERROR(__xludf.DUMMYFUNCTION("""COMPUTED_VALUE"""),"Sale chưa cung cấp")</f>
        <v>Sale chưa cung cấp</v>
      </c>
      <c r="E333" s="265" t="str">
        <f>IFERROR(__xludf.DUMMYFUNCTION("""COMPUTED_VALUE"""),"HoaNTM")</f>
        <v>HoaNTM</v>
      </c>
      <c r="F333" s="265" t="str">
        <f>IFERROR(__xludf.DUMMYFUNCTION("""COMPUTED_VALUE"""),"Sale chưa cung cấp")</f>
        <v>Sale chưa cung cấp</v>
      </c>
      <c r="G333" s="265" t="str">
        <f>IFERROR(__xludf.DUMMYFUNCTION("""COMPUTED_VALUE"""),"SIMILAR")</f>
        <v>SIMILAR</v>
      </c>
      <c r="H333" s="265" t="str">
        <f>IFERROR(__xludf.DUMMYFUNCTION("""COMPUTED_VALUE"""),"(Chưa recheck)")</f>
        <v>(Chưa recheck)</v>
      </c>
      <c r="I333" s="265" t="str">
        <f>IFERROR(__xludf.DUMMYFUNCTION("""COMPUTED_VALUE"""),"(Chưa recheck)")</f>
        <v>(Chưa recheck)</v>
      </c>
      <c r="J333" s="265" t="str">
        <f>IFERROR(__xludf.DUMMYFUNCTION("""COMPUTED_VALUE"""),"API")</f>
        <v>API</v>
      </c>
      <c r="K333" s="265" t="str">
        <f>IFERROR(__xludf.DUMMYFUNCTION("""COMPUTED_VALUE"""),"(Chưa recheck)")</f>
        <v>(Chưa recheck)</v>
      </c>
    </row>
    <row r="334">
      <c r="A334" s="265" t="str">
        <f>IFERROR(__xludf.DUMMYFUNCTION("""COMPUTED_VALUE"""),"632")</f>
        <v>632</v>
      </c>
      <c r="B334" s="265" t="str">
        <f>IFERROR(__xludf.DUMMYFUNCTION("""COMPUTED_VALUE"""),"Đà Nẵng")</f>
        <v>Đà Nẵng</v>
      </c>
      <c r="C334" s="265" t="str">
        <f>IFERROR(__xludf.DUMMYFUNCTION("""COMPUTED_VALUE"""),"Active")</f>
        <v>Active</v>
      </c>
      <c r="D334" s="265" t="str">
        <f>IFERROR(__xludf.DUMMYFUNCTION("""COMPUTED_VALUE"""),"Sale chưa cung cấp")</f>
        <v>Sale chưa cung cấp</v>
      </c>
      <c r="E334" s="265" t="str">
        <f>IFERROR(__xludf.DUMMYFUNCTION("""COMPUTED_VALUE"""),"AnhNM")</f>
        <v>AnhNM</v>
      </c>
      <c r="F334" s="265" t="str">
        <f>IFERROR(__xludf.DUMMYFUNCTION("""COMPUTED_VALUE"""),"Silver")</f>
        <v>Silver</v>
      </c>
      <c r="G334" s="265" t="str">
        <f>IFERROR(__xludf.DUMMYFUNCTION("""COMPUTED_VALUE"""),"Premium")</f>
        <v>Premium</v>
      </c>
      <c r="H334" s="265" t="str">
        <f>IFERROR(__xludf.DUMMYFUNCTION("""COMPUTED_VALUE"""),"Trả sau")</f>
        <v>Trả sau</v>
      </c>
      <c r="I334" s="265" t="str">
        <f>IFERROR(__xludf.DUMMYFUNCTION("""COMPUTED_VALUE"""),"Portal")</f>
        <v>Portal</v>
      </c>
      <c r="J334" s="265" t="str">
        <f>IFERROR(__xludf.DUMMYFUNCTION("""COMPUTED_VALUE"""),"File Excel")</f>
        <v>File Excel</v>
      </c>
      <c r="K334" s="265" t="str">
        <f>IFERROR(__xludf.DUMMYFUNCTION("""COMPUTED_VALUE"""),"YếnĐH")</f>
        <v>YếnĐH</v>
      </c>
    </row>
    <row r="335">
      <c r="A335" s="265" t="str">
        <f>IFERROR(__xludf.DUMMYFUNCTION("""COMPUTED_VALUE"""),"634")</f>
        <v>634</v>
      </c>
      <c r="B335" s="265" t="str">
        <f>IFERROR(__xludf.DUMMYFUNCTION("""COMPUTED_VALUE"""),"Hà Nội")</f>
        <v>Hà Nội</v>
      </c>
      <c r="C335" s="265" t="str">
        <f>IFERROR(__xludf.DUMMYFUNCTION("""COMPUTED_VALUE"""),"Locked")</f>
        <v>Locked</v>
      </c>
      <c r="D335" s="265" t="str">
        <f>IFERROR(__xludf.DUMMYFUNCTION("""COMPUTED_VALUE"""),"Sale chưa cung cấp")</f>
        <v>Sale chưa cung cấp</v>
      </c>
      <c r="E335" s="265" t="str">
        <f>IFERROR(__xludf.DUMMYFUNCTION("""COMPUTED_VALUE"""),"(Chưa recheck)")</f>
        <v>(Chưa recheck)</v>
      </c>
      <c r="F335" s="265" t="str">
        <f>IFERROR(__xludf.DUMMYFUNCTION("""COMPUTED_VALUE"""),"Sale chưa cung cấp")</f>
        <v>Sale chưa cung cấp</v>
      </c>
      <c r="G335" s="265" t="str">
        <f>IFERROR(__xludf.DUMMYFUNCTION("""COMPUTED_VALUE"""),"MSG")</f>
        <v>MSG</v>
      </c>
      <c r="H335" s="265" t="str">
        <f>IFERROR(__xludf.DUMMYFUNCTION("""COMPUTED_VALUE"""),"Trả sau")</f>
        <v>Trả sau</v>
      </c>
      <c r="I335" s="265" t="str">
        <f>IFERROR(__xludf.DUMMYFUNCTION("""COMPUTED_VALUE"""),"Portal")</f>
        <v>Portal</v>
      </c>
      <c r="J335" s="265" t="str">
        <f>IFERROR(__xludf.DUMMYFUNCTION("""COMPUTED_VALUE"""),"File Excel")</f>
        <v>File Excel</v>
      </c>
      <c r="K335" s="265" t="str">
        <f>IFERROR(__xludf.DUMMYFUNCTION("""COMPUTED_VALUE"""),"ThanhLT")</f>
        <v>ThanhLT</v>
      </c>
    </row>
    <row r="336">
      <c r="A336" s="265" t="str">
        <f>IFERROR(__xludf.DUMMYFUNCTION("""COMPUTED_VALUE"""),"635")</f>
        <v>635</v>
      </c>
      <c r="B336" s="265" t="str">
        <f>IFERROR(__xludf.DUMMYFUNCTION("""COMPUTED_VALUE"""),"Sài Gòn")</f>
        <v>Sài Gòn</v>
      </c>
      <c r="C336" s="265" t="str">
        <f>IFERROR(__xludf.DUMMYFUNCTION("""COMPUTED_VALUE"""),"Locked")</f>
        <v>Locked</v>
      </c>
      <c r="D336" s="265" t="str">
        <f>IFERROR(__xludf.DUMMYFUNCTION("""COMPUTED_VALUE"""),"Sale chưa cung cấp")</f>
        <v>Sale chưa cung cấp</v>
      </c>
      <c r="E336" s="265" t="str">
        <f>IFERROR(__xludf.DUMMYFUNCTION("""COMPUTED_VALUE"""),"HoaNTM")</f>
        <v>HoaNTM</v>
      </c>
      <c r="F336" s="265" t="str">
        <f>IFERROR(__xludf.DUMMYFUNCTION("""COMPUTED_VALUE"""),"Sale chưa cung cấp")</f>
        <v>Sale chưa cung cấp</v>
      </c>
      <c r="G336" s="265" t="str">
        <f>IFERROR(__xludf.DUMMYFUNCTION("""COMPUTED_VALUE"""),"SIMILAR")</f>
        <v>SIMILAR</v>
      </c>
      <c r="H336" s="265" t="str">
        <f>IFERROR(__xludf.DUMMYFUNCTION("""COMPUTED_VALUE"""),"Trả sau")</f>
        <v>Trả sau</v>
      </c>
      <c r="I336" s="265" t="str">
        <f>IFERROR(__xludf.DUMMYFUNCTION("""COMPUTED_VALUE"""),"(Chưa recheck)")</f>
        <v>(Chưa recheck)</v>
      </c>
      <c r="J336" s="265" t="str">
        <f>IFERROR(__xludf.DUMMYFUNCTION("""COMPUTED_VALUE"""),"File Excel")</f>
        <v>File Excel</v>
      </c>
      <c r="K336" s="265" t="str">
        <f>IFERROR(__xludf.DUMMYFUNCTION("""COMPUTED_VALUE"""),"(Chưa recheck)")</f>
        <v>(Chưa recheck)</v>
      </c>
    </row>
    <row r="337">
      <c r="A337" s="265" t="str">
        <f>IFERROR(__xludf.DUMMYFUNCTION("""COMPUTED_VALUE"""),"636")</f>
        <v>636</v>
      </c>
      <c r="B337" s="265" t="str">
        <f>IFERROR(__xludf.DUMMYFUNCTION("""COMPUTED_VALUE"""),"Hà Nội")</f>
        <v>Hà Nội</v>
      </c>
      <c r="C337" s="265" t="str">
        <f>IFERROR(__xludf.DUMMYFUNCTION("""COMPUTED_VALUE"""),"Locked")</f>
        <v>Locked</v>
      </c>
      <c r="D337" s="265" t="str">
        <f>IFERROR(__xludf.DUMMYFUNCTION("""COMPUTED_VALUE"""),"Thực phẩm &amp; Đồ uống")</f>
        <v>Thực phẩm &amp; Đồ uống</v>
      </c>
      <c r="E337" s="265" t="str">
        <f>IFERROR(__xludf.DUMMYFUNCTION("""COMPUTED_VALUE"""),"HangNT")</f>
        <v>HangNT</v>
      </c>
      <c r="F337" s="265" t="str">
        <f>IFERROR(__xludf.DUMMYFUNCTION("""COMPUTED_VALUE"""),"Sale chưa cung cấp")</f>
        <v>Sale chưa cung cấp</v>
      </c>
      <c r="G337" s="265" t="str">
        <f>IFERROR(__xludf.DUMMYFUNCTION("""COMPUTED_VALUE"""),"SIMILAR")</f>
        <v>SIMILAR</v>
      </c>
      <c r="H337" s="265" t="str">
        <f>IFERROR(__xludf.DUMMYFUNCTION("""COMPUTED_VALUE"""),"Trả sau")</f>
        <v>Trả sau</v>
      </c>
      <c r="I337" s="265" t="str">
        <f>IFERROR(__xludf.DUMMYFUNCTION("""COMPUTED_VALUE"""),"Portal")</f>
        <v>Portal</v>
      </c>
      <c r="J337" s="265" t="str">
        <f>IFERROR(__xludf.DUMMYFUNCTION("""COMPUTED_VALUE"""),"File Excel")</f>
        <v>File Excel</v>
      </c>
      <c r="K337" s="265" t="str">
        <f>IFERROR(__xludf.DUMMYFUNCTION("""COMPUTED_VALUE"""),"(Chưa recheck)")</f>
        <v>(Chưa recheck)</v>
      </c>
    </row>
    <row r="338">
      <c r="A338" s="265" t="str">
        <f>IFERROR(__xludf.DUMMYFUNCTION("""COMPUTED_VALUE"""),"637")</f>
        <v>637</v>
      </c>
      <c r="B338" s="265" t="str">
        <f>IFERROR(__xludf.DUMMYFUNCTION("""COMPUTED_VALUE"""),"Đà Nẵng")</f>
        <v>Đà Nẵng</v>
      </c>
      <c r="C338" s="265" t="str">
        <f>IFERROR(__xludf.DUMMYFUNCTION("""COMPUTED_VALUE"""),"Active")</f>
        <v>Active</v>
      </c>
      <c r="D338" s="265" t="str">
        <f>IFERROR(__xludf.DUMMYFUNCTION("""COMPUTED_VALUE"""),"Sale chưa cung cấp")</f>
        <v>Sale chưa cung cấp</v>
      </c>
      <c r="E338" s="265" t="str">
        <f>IFERROR(__xludf.DUMMYFUNCTION("""COMPUTED_VALUE"""),"AnhNM")</f>
        <v>AnhNM</v>
      </c>
      <c r="F338" s="265" t="str">
        <f>IFERROR(__xludf.DUMMYFUNCTION("""COMPUTED_VALUE"""),"Silver")</f>
        <v>Silver</v>
      </c>
      <c r="G338" s="265" t="str">
        <f>IFERROR(__xludf.DUMMYFUNCTION("""COMPUTED_VALUE"""),"Enterprise")</f>
        <v>Enterprise</v>
      </c>
      <c r="H338" s="265" t="str">
        <f>IFERROR(__xludf.DUMMYFUNCTION("""COMPUTED_VALUE"""),"Trả sau")</f>
        <v>Trả sau</v>
      </c>
      <c r="I338" s="265" t="str">
        <f>IFERROR(__xludf.DUMMYFUNCTION("""COMPUTED_VALUE"""),"Portal")</f>
        <v>Portal</v>
      </c>
      <c r="J338" s="265" t="str">
        <f>IFERROR(__xludf.DUMMYFUNCTION("""COMPUTED_VALUE"""),"File Excel")</f>
        <v>File Excel</v>
      </c>
      <c r="K338" s="265" t="str">
        <f>IFERROR(__xludf.DUMMYFUNCTION("""COMPUTED_VALUE"""),"DungPL")</f>
        <v>DungPL</v>
      </c>
    </row>
    <row r="339">
      <c r="A339" s="265" t="str">
        <f>IFERROR(__xludf.DUMMYFUNCTION("""COMPUTED_VALUE"""),"639")</f>
        <v>639</v>
      </c>
      <c r="B339" s="265" t="str">
        <f>IFERROR(__xludf.DUMMYFUNCTION("""COMPUTED_VALUE"""),"Hà Nội")</f>
        <v>Hà Nội</v>
      </c>
      <c r="C339" s="265" t="str">
        <f>IFERROR(__xludf.DUMMYFUNCTION("""COMPUTED_VALUE"""),"Locked")</f>
        <v>Locked</v>
      </c>
      <c r="D339" s="265" t="str">
        <f>IFERROR(__xludf.DUMMYFUNCTION("""COMPUTED_VALUE"""),"Sale chưa cung cấp")</f>
        <v>Sale chưa cung cấp</v>
      </c>
      <c r="E339" s="265" t="str">
        <f>IFERROR(__xludf.DUMMYFUNCTION("""COMPUTED_VALUE"""),"PhươngDTB")</f>
        <v>PhươngDTB</v>
      </c>
      <c r="F339" s="265" t="str">
        <f>IFERROR(__xludf.DUMMYFUNCTION("""COMPUTED_VALUE"""),"Sale chưa cung cấp")</f>
        <v>Sale chưa cung cấp</v>
      </c>
      <c r="G339" s="265" t="str">
        <f>IFERROR(__xludf.DUMMYFUNCTION("""COMPUTED_VALUE"""),"API")</f>
        <v>API</v>
      </c>
      <c r="H339" s="265" t="str">
        <f>IFERROR(__xludf.DUMMYFUNCTION("""COMPUTED_VALUE"""),"Trial")</f>
        <v>Trial</v>
      </c>
      <c r="I339" s="265" t="str">
        <f>IFERROR(__xludf.DUMMYFUNCTION("""COMPUTED_VALUE"""),"API")</f>
        <v>API</v>
      </c>
      <c r="J339" s="265" t="str">
        <f>IFERROR(__xludf.DUMMYFUNCTION("""COMPUTED_VALUE"""),"API")</f>
        <v>API</v>
      </c>
      <c r="K339" s="265" t="str">
        <f>IFERROR(__xludf.DUMMYFUNCTION("""COMPUTED_VALUE"""),"(Không recheck)")</f>
        <v>(Không recheck)</v>
      </c>
    </row>
    <row r="340">
      <c r="A340" s="265" t="str">
        <f>IFERROR(__xludf.DUMMYFUNCTION("""COMPUTED_VALUE"""),"640")</f>
        <v>640</v>
      </c>
      <c r="B340" s="265" t="str">
        <f>IFERROR(__xludf.DUMMYFUNCTION("""COMPUTED_VALUE"""),"Hà Nội")</f>
        <v>Hà Nội</v>
      </c>
      <c r="C340" s="265" t="str">
        <f>IFERROR(__xludf.DUMMYFUNCTION("""COMPUTED_VALUE"""),"Locked")</f>
        <v>Locked</v>
      </c>
      <c r="D340" s="265" t="str">
        <f>IFERROR(__xludf.DUMMYFUNCTION("""COMPUTED_VALUE"""),"Viễn thông")</f>
        <v>Viễn thông</v>
      </c>
      <c r="E340" s="265" t="str">
        <f>IFERROR(__xludf.DUMMYFUNCTION("""COMPUTED_VALUE"""),"TùngLD")</f>
        <v>TùngLD</v>
      </c>
      <c r="F340" s="265" t="str">
        <f>IFERROR(__xludf.DUMMYFUNCTION("""COMPUTED_VALUE"""),"Gold")</f>
        <v>Gold</v>
      </c>
      <c r="G340" s="265" t="str">
        <f>IFERROR(__xludf.DUMMYFUNCTION("""COMPUTED_VALUE"""),"SIMILAR")</f>
        <v>SIMILAR</v>
      </c>
      <c r="H340" s="265" t="str">
        <f>IFERROR(__xludf.DUMMYFUNCTION("""COMPUTED_VALUE"""),"Trả sau")</f>
        <v>Trả sau</v>
      </c>
      <c r="I340" s="265" t="str">
        <f>IFERROR(__xludf.DUMMYFUNCTION("""COMPUTED_VALUE"""),"Portal")</f>
        <v>Portal</v>
      </c>
      <c r="J340" s="265" t="str">
        <f>IFERROR(__xludf.DUMMYFUNCTION("""COMPUTED_VALUE"""),"File Excel")</f>
        <v>File Excel</v>
      </c>
      <c r="K340" s="265" t="str">
        <f>IFERROR(__xludf.DUMMYFUNCTION("""COMPUTED_VALUE"""),"AnhNM")</f>
        <v>AnhNM</v>
      </c>
    </row>
    <row r="341">
      <c r="A341" s="265" t="str">
        <f>IFERROR(__xludf.DUMMYFUNCTION("""COMPUTED_VALUE"""),"640")</f>
        <v>640</v>
      </c>
      <c r="B341" s="265" t="str">
        <f>IFERROR(__xludf.DUMMYFUNCTION("""COMPUTED_VALUE"""),"Hà Nội")</f>
        <v>Hà Nội</v>
      </c>
      <c r="C341" s="265" t="str">
        <f>IFERROR(__xludf.DUMMYFUNCTION("""COMPUTED_VALUE"""),"Locked")</f>
        <v>Locked</v>
      </c>
      <c r="D341" s="265" t="str">
        <f>IFERROR(__xludf.DUMMYFUNCTION("""COMPUTED_VALUE"""),"Viễn thông")</f>
        <v>Viễn thông</v>
      </c>
      <c r="E341" s="265" t="str">
        <f>IFERROR(__xludf.DUMMYFUNCTION("""COMPUTED_VALUE"""),"TùngLD")</f>
        <v>TùngLD</v>
      </c>
      <c r="F341" s="265" t="str">
        <f>IFERROR(__xludf.DUMMYFUNCTION("""COMPUTED_VALUE"""),"Gold")</f>
        <v>Gold</v>
      </c>
      <c r="G341" s="265" t="str">
        <f>IFERROR(__xludf.DUMMYFUNCTION("""COMPUTED_VALUE"""),"SIMILAR")</f>
        <v>SIMILAR</v>
      </c>
      <c r="H341" s="265" t="str">
        <f>IFERROR(__xludf.DUMMYFUNCTION("""COMPUTED_VALUE"""),"Trả sau")</f>
        <v>Trả sau</v>
      </c>
      <c r="I341" s="265" t="str">
        <f>IFERROR(__xludf.DUMMYFUNCTION("""COMPUTED_VALUE"""),"Portal")</f>
        <v>Portal</v>
      </c>
      <c r="J341" s="265" t="str">
        <f>IFERROR(__xludf.DUMMYFUNCTION("""COMPUTED_VALUE"""),"API")</f>
        <v>API</v>
      </c>
      <c r="K341" s="265" t="str">
        <f>IFERROR(__xludf.DUMMYFUNCTION("""COMPUTED_VALUE"""),"AnhNM")</f>
        <v>AnhNM</v>
      </c>
    </row>
    <row r="342">
      <c r="A342" s="265" t="str">
        <f>IFERROR(__xludf.DUMMYFUNCTION("""COMPUTED_VALUE"""),"638")</f>
        <v>638</v>
      </c>
      <c r="B342" s="265" t="str">
        <f>IFERROR(__xludf.DUMMYFUNCTION("""COMPUTED_VALUE"""),"Sài Gòn")</f>
        <v>Sài Gòn</v>
      </c>
      <c r="C342" s="265" t="str">
        <f>IFERROR(__xludf.DUMMYFUNCTION("""COMPUTED_VALUE"""),"Locked")</f>
        <v>Locked</v>
      </c>
      <c r="D342" s="265" t="str">
        <f>IFERROR(__xludf.DUMMYFUNCTION("""COMPUTED_VALUE"""),"Sale chưa cung cấp")</f>
        <v>Sale chưa cung cấp</v>
      </c>
      <c r="E342" s="265" t="str">
        <f>IFERROR(__xludf.DUMMYFUNCTION("""COMPUTED_VALUE"""),"HoaNTM")</f>
        <v>HoaNTM</v>
      </c>
      <c r="F342" s="265" t="str">
        <f>IFERROR(__xludf.DUMMYFUNCTION("""COMPUTED_VALUE"""),"Diamond")</f>
        <v>Diamond</v>
      </c>
      <c r="G342" s="265" t="str">
        <f>IFERROR(__xludf.DUMMYFUNCTION("""COMPUTED_VALUE"""),"SIMILAR")</f>
        <v>SIMILAR</v>
      </c>
      <c r="H342" s="265" t="str">
        <f>IFERROR(__xludf.DUMMYFUNCTION("""COMPUTED_VALUE"""),"Trả sau")</f>
        <v>Trả sau</v>
      </c>
      <c r="I342" s="265" t="str">
        <f>IFERROR(__xludf.DUMMYFUNCTION("""COMPUTED_VALUE"""),"(Chưa recheck)")</f>
        <v>(Chưa recheck)</v>
      </c>
      <c r="J342" s="265" t="str">
        <f>IFERROR(__xludf.DUMMYFUNCTION("""COMPUTED_VALUE"""),"File Excel")</f>
        <v>File Excel</v>
      </c>
      <c r="K342" s="265" t="str">
        <f>IFERROR(__xludf.DUMMYFUNCTION("""COMPUTED_VALUE"""),"(Chưa recheck)")</f>
        <v>(Chưa recheck)</v>
      </c>
    </row>
    <row r="343">
      <c r="A343" s="265" t="str">
        <f>IFERROR(__xludf.DUMMYFUNCTION("""COMPUTED_VALUE"""),"641")</f>
        <v>641</v>
      </c>
      <c r="B343" s="265" t="str">
        <f>IFERROR(__xludf.DUMMYFUNCTION("""COMPUTED_VALUE"""),"Sài Gòn")</f>
        <v>Sài Gòn</v>
      </c>
      <c r="C343" s="265" t="str">
        <f>IFERROR(__xludf.DUMMYFUNCTION("""COMPUTED_VALUE"""),"Active")</f>
        <v>Active</v>
      </c>
      <c r="D343" s="265" t="str">
        <f>IFERROR(__xludf.DUMMYFUNCTION("""COMPUTED_VALUE"""),"Sale chưa cung cấp")</f>
        <v>Sale chưa cung cấp</v>
      </c>
      <c r="E343" s="265" t="str">
        <f>IFERROR(__xludf.DUMMYFUNCTION("""COMPUTED_VALUE"""),"Không phân công")</f>
        <v>Không phân công</v>
      </c>
      <c r="F343" s="265" t="str">
        <f>IFERROR(__xludf.DUMMYFUNCTION("""COMPUTED_VALUE"""),"Silver")</f>
        <v>Silver</v>
      </c>
      <c r="G343" s="265" t="str">
        <f>IFERROR(__xludf.DUMMYFUNCTION("""COMPUTED_VALUE"""),"Starter")</f>
        <v>Starter</v>
      </c>
      <c r="H343" s="265" t="str">
        <f>IFERROR(__xludf.DUMMYFUNCTION("""COMPUTED_VALUE"""),"Trả sau")</f>
        <v>Trả sau</v>
      </c>
      <c r="I343" s="265" t="str">
        <f>IFERROR(__xludf.DUMMYFUNCTION("""COMPUTED_VALUE"""),"Portal")</f>
        <v>Portal</v>
      </c>
      <c r="J343" s="265" t="str">
        <f>IFERROR(__xludf.DUMMYFUNCTION("""COMPUTED_VALUE"""),"File Excel")</f>
        <v>File Excel</v>
      </c>
      <c r="K343" s="265" t="str">
        <f>IFERROR(__xludf.DUMMYFUNCTION("""COMPUTED_VALUE"""),"LinhNTT1")</f>
        <v>LinhNTT1</v>
      </c>
    </row>
    <row r="344">
      <c r="A344" s="265" t="str">
        <f>IFERROR(__xludf.DUMMYFUNCTION("""COMPUTED_VALUE"""),"641")</f>
        <v>641</v>
      </c>
      <c r="B344" s="265" t="str">
        <f>IFERROR(__xludf.DUMMYFUNCTION("""COMPUTED_VALUE"""),"Sài Gòn")</f>
        <v>Sài Gòn</v>
      </c>
      <c r="C344" s="265" t="str">
        <f>IFERROR(__xludf.DUMMYFUNCTION("""COMPUTED_VALUE"""),"Active")</f>
        <v>Active</v>
      </c>
      <c r="D344" s="265" t="str">
        <f>IFERROR(__xludf.DUMMYFUNCTION("""COMPUTED_VALUE"""),"Sale chưa cung cấp")</f>
        <v>Sale chưa cung cấp</v>
      </c>
      <c r="E344" s="265" t="str">
        <f>IFERROR(__xludf.DUMMYFUNCTION("""COMPUTED_VALUE"""),"Không phân công")</f>
        <v>Không phân công</v>
      </c>
      <c r="F344" s="265" t="str">
        <f>IFERROR(__xludf.DUMMYFUNCTION("""COMPUTED_VALUE"""),"Silver")</f>
        <v>Silver</v>
      </c>
      <c r="G344" s="265" t="str">
        <f>IFERROR(__xludf.DUMMYFUNCTION("""COMPUTED_VALUE"""),"Starter")</f>
        <v>Starter</v>
      </c>
      <c r="H344" s="265" t="str">
        <f>IFERROR(__xludf.DUMMYFUNCTION("""COMPUTED_VALUE"""),"Trả sau")</f>
        <v>Trả sau</v>
      </c>
      <c r="I344" s="265" t="str">
        <f>IFERROR(__xludf.DUMMYFUNCTION("""COMPUTED_VALUE"""),"Portal")</f>
        <v>Portal</v>
      </c>
      <c r="J344" s="265" t="str">
        <f>IFERROR(__xludf.DUMMYFUNCTION("""COMPUTED_VALUE"""),"API")</f>
        <v>API</v>
      </c>
      <c r="K344" s="265" t="str">
        <f>IFERROR(__xludf.DUMMYFUNCTION("""COMPUTED_VALUE"""),"LinhNTT1")</f>
        <v>LinhNTT1</v>
      </c>
    </row>
    <row r="345">
      <c r="A345" s="265" t="str">
        <f>IFERROR(__xludf.DUMMYFUNCTION("""COMPUTED_VALUE"""),"642")</f>
        <v>642</v>
      </c>
      <c r="B345" s="265" t="str">
        <f>IFERROR(__xludf.DUMMYFUNCTION("""COMPUTED_VALUE"""),"Hà Nội")</f>
        <v>Hà Nội</v>
      </c>
      <c r="C345" s="265" t="str">
        <f>IFERROR(__xludf.DUMMYFUNCTION("""COMPUTED_VALUE"""),"Locked")</f>
        <v>Locked</v>
      </c>
      <c r="D345" s="265" t="str">
        <f>IFERROR(__xludf.DUMMYFUNCTION("""COMPUTED_VALUE"""),"Mua sắm &amp; Bán lẻ")</f>
        <v>Mua sắm &amp; Bán lẻ</v>
      </c>
      <c r="E345" s="265" t="str">
        <f>IFERROR(__xludf.DUMMYFUNCTION("""COMPUTED_VALUE"""),"Không phân công")</f>
        <v>Không phân công</v>
      </c>
      <c r="F345" s="265" t="str">
        <f>IFERROR(__xludf.DUMMYFUNCTION("""COMPUTED_VALUE"""),"Silver")</f>
        <v>Silver</v>
      </c>
      <c r="G345" s="265" t="str">
        <f>IFERROR(__xludf.DUMMYFUNCTION("""COMPUTED_VALUE"""),"Starter")</f>
        <v>Starter</v>
      </c>
      <c r="H345" s="265" t="str">
        <f>IFERROR(__xludf.DUMMYFUNCTION("""COMPUTED_VALUE"""),"Trả sau")</f>
        <v>Trả sau</v>
      </c>
      <c r="I345" s="265" t="str">
        <f>IFERROR(__xludf.DUMMYFUNCTION("""COMPUTED_VALUE"""),"API")</f>
        <v>API</v>
      </c>
      <c r="J345" s="265" t="str">
        <f>IFERROR(__xludf.DUMMYFUNCTION("""COMPUTED_VALUE"""),"Bizfly CRM")</f>
        <v>Bizfly CRM</v>
      </c>
      <c r="K345" s="265" t="str">
        <f>IFERROR(__xludf.DUMMYFUNCTION("""COMPUTED_VALUE"""),"DungVT")</f>
        <v>DungVT</v>
      </c>
    </row>
    <row r="346">
      <c r="A346" s="265" t="str">
        <f>IFERROR(__xludf.DUMMYFUNCTION("""COMPUTED_VALUE"""),"402")</f>
        <v>402</v>
      </c>
      <c r="B346" s="265" t="str">
        <f>IFERROR(__xludf.DUMMYFUNCTION("""COMPUTED_VALUE"""),"Hà Nội")</f>
        <v>Hà Nội</v>
      </c>
      <c r="C346" s="265" t="str">
        <f>IFERROR(__xludf.DUMMYFUNCTION("""COMPUTED_VALUE"""),"Locked")</f>
        <v>Locked</v>
      </c>
      <c r="D346" s="265" t="str">
        <f>IFERROR(__xludf.DUMMYFUNCTION("""COMPUTED_VALUE"""),"Sale chưa cung cấp")</f>
        <v>Sale chưa cung cấp</v>
      </c>
      <c r="E346" s="265" t="str">
        <f>IFERROR(__xludf.DUMMYFUNCTION("""COMPUTED_VALUE"""),"PhươngDTB")</f>
        <v>PhươngDTB</v>
      </c>
      <c r="F346" s="265" t="str">
        <f>IFERROR(__xludf.DUMMYFUNCTION("""COMPUTED_VALUE"""),"Gold")</f>
        <v>Gold</v>
      </c>
      <c r="G346" s="265" t="str">
        <f>IFERROR(__xludf.DUMMYFUNCTION("""COMPUTED_VALUE"""),"API")</f>
        <v>API</v>
      </c>
      <c r="H346" s="265" t="str">
        <f>IFERROR(__xludf.DUMMYFUNCTION("""COMPUTED_VALUE"""),"(Chưa recheck)")</f>
        <v>(Chưa recheck)</v>
      </c>
      <c r="I346" s="265" t="str">
        <f>IFERROR(__xludf.DUMMYFUNCTION("""COMPUTED_VALUE"""),"(Chưa recheck)")</f>
        <v>(Chưa recheck)</v>
      </c>
      <c r="J346" s="265" t="str">
        <f>IFERROR(__xludf.DUMMYFUNCTION("""COMPUTED_VALUE"""),"API")</f>
        <v>API</v>
      </c>
      <c r="K346" s="265" t="str">
        <f>IFERROR(__xludf.DUMMYFUNCTION("""COMPUTED_VALUE"""),"YếnĐH")</f>
        <v>YếnĐH</v>
      </c>
    </row>
    <row r="347">
      <c r="A347" s="265" t="str">
        <f>IFERROR(__xludf.DUMMYFUNCTION("""COMPUTED_VALUE"""),"643")</f>
        <v>643</v>
      </c>
      <c r="B347" s="265" t="str">
        <f>IFERROR(__xludf.DUMMYFUNCTION("""COMPUTED_VALUE"""),"Sài Gòn")</f>
        <v>Sài Gòn</v>
      </c>
      <c r="C347" s="265" t="str">
        <f>IFERROR(__xludf.DUMMYFUNCTION("""COMPUTED_VALUE"""),"Locked")</f>
        <v>Locked</v>
      </c>
      <c r="D347" s="265" t="str">
        <f>IFERROR(__xludf.DUMMYFUNCTION("""COMPUTED_VALUE"""),"Sale chưa cung cấp")</f>
        <v>Sale chưa cung cấp</v>
      </c>
      <c r="E347" s="265" t="str">
        <f>IFERROR(__xludf.DUMMYFUNCTION("""COMPUTED_VALUE"""),"TuVTC")</f>
        <v>TuVTC</v>
      </c>
      <c r="F347" s="265" t="str">
        <f>IFERROR(__xludf.DUMMYFUNCTION("""COMPUTED_VALUE"""),"Sale chưa cung cấp")</f>
        <v>Sale chưa cung cấp</v>
      </c>
      <c r="G347" s="265" t="str">
        <f>IFERROR(__xludf.DUMMYFUNCTION("""COMPUTED_VALUE"""),"MSG")</f>
        <v>MSG</v>
      </c>
      <c r="H347" s="265" t="str">
        <f>IFERROR(__xludf.DUMMYFUNCTION("""COMPUTED_VALUE"""),"(Chưa recheck)")</f>
        <v>(Chưa recheck)</v>
      </c>
      <c r="I347" s="265" t="str">
        <f>IFERROR(__xludf.DUMMYFUNCTION("""COMPUTED_VALUE"""),"(Chưa recheck)")</f>
        <v>(Chưa recheck)</v>
      </c>
      <c r="J347" s="265" t="str">
        <f>IFERROR(__xludf.DUMMYFUNCTION("""COMPUTED_VALUE"""),"File Excel")</f>
        <v>File Excel</v>
      </c>
      <c r="K347" s="265" t="str">
        <f>IFERROR(__xludf.DUMMYFUNCTION("""COMPUTED_VALUE"""),"TuVTC")</f>
        <v>TuVTC</v>
      </c>
    </row>
    <row r="348">
      <c r="A348" s="265" t="str">
        <f>IFERROR(__xludf.DUMMYFUNCTION("""COMPUTED_VALUE"""),"644")</f>
        <v>644</v>
      </c>
      <c r="B348" s="265" t="str">
        <f>IFERROR(__xludf.DUMMYFUNCTION("""COMPUTED_VALUE"""),"Sài Gòn")</f>
        <v>Sài Gòn</v>
      </c>
      <c r="C348" s="265" t="str">
        <f>IFERROR(__xludf.DUMMYFUNCTION("""COMPUTED_VALUE"""),"Active")</f>
        <v>Active</v>
      </c>
      <c r="D348" s="265" t="str">
        <f>IFERROR(__xludf.DUMMYFUNCTION("""COMPUTED_VALUE"""),"Sale chưa cung cấp")</f>
        <v>Sale chưa cung cấp</v>
      </c>
      <c r="E348" s="265" t="str">
        <f>IFERROR(__xludf.DUMMYFUNCTION("""COMPUTED_VALUE"""),"TúPHN")</f>
        <v>TúPHN</v>
      </c>
      <c r="F348" s="265" t="str">
        <f>IFERROR(__xludf.DUMMYFUNCTION("""COMPUTED_VALUE"""),"Gold")</f>
        <v>Gold</v>
      </c>
      <c r="G348" s="265" t="str">
        <f>IFERROR(__xludf.DUMMYFUNCTION("""COMPUTED_VALUE"""),"Starter")</f>
        <v>Starter</v>
      </c>
      <c r="H348" s="265" t="str">
        <f>IFERROR(__xludf.DUMMYFUNCTION("""COMPUTED_VALUE"""),"Trả sau")</f>
        <v>Trả sau</v>
      </c>
      <c r="I348" s="265" t="str">
        <f>IFERROR(__xludf.DUMMYFUNCTION("""COMPUTED_VALUE"""),"Portal")</f>
        <v>Portal</v>
      </c>
      <c r="J348" s="265" t="str">
        <f>IFERROR(__xludf.DUMMYFUNCTION("""COMPUTED_VALUE"""),"File Excel")</f>
        <v>File Excel</v>
      </c>
      <c r="K348" s="265" t="str">
        <f>IFERROR(__xludf.DUMMYFUNCTION("""COMPUTED_VALUE"""),"LinhNTT1")</f>
        <v>LinhNTT1</v>
      </c>
    </row>
    <row r="349">
      <c r="A349" s="265" t="str">
        <f>IFERROR(__xludf.DUMMYFUNCTION("""COMPUTED_VALUE"""),"644")</f>
        <v>644</v>
      </c>
      <c r="B349" s="265" t="str">
        <f>IFERROR(__xludf.DUMMYFUNCTION("""COMPUTED_VALUE"""),"Sài Gòn")</f>
        <v>Sài Gòn</v>
      </c>
      <c r="C349" s="265" t="str">
        <f>IFERROR(__xludf.DUMMYFUNCTION("""COMPUTED_VALUE"""),"Active")</f>
        <v>Active</v>
      </c>
      <c r="D349" s="265" t="str">
        <f>IFERROR(__xludf.DUMMYFUNCTION("""COMPUTED_VALUE"""),"Sale chưa cung cấp")</f>
        <v>Sale chưa cung cấp</v>
      </c>
      <c r="E349" s="265" t="str">
        <f>IFERROR(__xludf.DUMMYFUNCTION("""COMPUTED_VALUE"""),"TúPHN")</f>
        <v>TúPHN</v>
      </c>
      <c r="F349" s="265" t="str">
        <f>IFERROR(__xludf.DUMMYFUNCTION("""COMPUTED_VALUE"""),"Gold")</f>
        <v>Gold</v>
      </c>
      <c r="G349" s="265" t="str">
        <f>IFERROR(__xludf.DUMMYFUNCTION("""COMPUTED_VALUE"""),"Starter")</f>
        <v>Starter</v>
      </c>
      <c r="H349" s="265" t="str">
        <f>IFERROR(__xludf.DUMMYFUNCTION("""COMPUTED_VALUE"""),"Trả sau")</f>
        <v>Trả sau</v>
      </c>
      <c r="I349" s="265" t="str">
        <f>IFERROR(__xludf.DUMMYFUNCTION("""COMPUTED_VALUE"""),"Portal")</f>
        <v>Portal</v>
      </c>
      <c r="J349" s="265" t="str">
        <f>IFERROR(__xludf.DUMMYFUNCTION("""COMPUTED_VALUE"""),"API")</f>
        <v>API</v>
      </c>
      <c r="K349" s="265" t="str">
        <f>IFERROR(__xludf.DUMMYFUNCTION("""COMPUTED_VALUE"""),"LinhNTT1")</f>
        <v>LinhNTT1</v>
      </c>
    </row>
    <row r="350">
      <c r="A350" s="265" t="str">
        <f>IFERROR(__xludf.DUMMYFUNCTION("""COMPUTED_VALUE"""),"645")</f>
        <v>645</v>
      </c>
      <c r="B350" s="265" t="str">
        <f>IFERROR(__xludf.DUMMYFUNCTION("""COMPUTED_VALUE"""),"Hà Nội")</f>
        <v>Hà Nội</v>
      </c>
      <c r="C350" s="265" t="str">
        <f>IFERROR(__xludf.DUMMYFUNCTION("""COMPUTED_VALUE"""),"Locked")</f>
        <v>Locked</v>
      </c>
      <c r="D350" s="265" t="str">
        <f>IFERROR(__xludf.DUMMYFUNCTION("""COMPUTED_VALUE"""),"Y tế &amp; Dược phẩm")</f>
        <v>Y tế &amp; Dược phẩm</v>
      </c>
      <c r="E350" s="265" t="str">
        <f>IFERROR(__xludf.DUMMYFUNCTION("""COMPUTED_VALUE"""),"HangNT")</f>
        <v>HangNT</v>
      </c>
      <c r="F350" s="265" t="str">
        <f>IFERROR(__xludf.DUMMYFUNCTION("""COMPUTED_VALUE"""),"Bronze")</f>
        <v>Bronze</v>
      </c>
      <c r="G350" s="265" t="str">
        <f>IFERROR(__xludf.DUMMYFUNCTION("""COMPUTED_VALUE"""),"Enterprise")</f>
        <v>Enterprise</v>
      </c>
      <c r="H350" s="265" t="str">
        <f>IFERROR(__xludf.DUMMYFUNCTION("""COMPUTED_VALUE"""),"Trả trước")</f>
        <v>Trả trước</v>
      </c>
      <c r="I350" s="265" t="str">
        <f>IFERROR(__xludf.DUMMYFUNCTION("""COMPUTED_VALUE"""),"Portal")</f>
        <v>Portal</v>
      </c>
      <c r="J350" s="265" t="str">
        <f>IFERROR(__xludf.DUMMYFUNCTION("""COMPUTED_VALUE"""),"Kiotviet")</f>
        <v>Kiotviet</v>
      </c>
      <c r="K350" s="265" t="str">
        <f>IFERROR(__xludf.DUMMYFUNCTION("""COMPUTED_VALUE"""),"(Chưa recheck)")</f>
        <v>(Chưa recheck)</v>
      </c>
    </row>
    <row r="351">
      <c r="A351" s="265" t="str">
        <f>IFERROR(__xludf.DUMMYFUNCTION("""COMPUTED_VALUE"""),"647")</f>
        <v>647</v>
      </c>
      <c r="B351" s="265" t="str">
        <f>IFERROR(__xludf.DUMMYFUNCTION("""COMPUTED_VALUE"""),"Hà Nội")</f>
        <v>Hà Nội</v>
      </c>
      <c r="C351" s="265" t="str">
        <f>IFERROR(__xludf.DUMMYFUNCTION("""COMPUTED_VALUE"""),"Locked")</f>
        <v>Locked</v>
      </c>
      <c r="D351" s="265" t="str">
        <f>IFERROR(__xludf.DUMMYFUNCTION("""COMPUTED_VALUE"""),"Sale chưa cung cấp")</f>
        <v>Sale chưa cung cấp</v>
      </c>
      <c r="E351" s="265" t="str">
        <f>IFERROR(__xludf.DUMMYFUNCTION("""COMPUTED_VALUE"""),"AnhNP")</f>
        <v>AnhNP</v>
      </c>
      <c r="F351" s="265" t="str">
        <f>IFERROR(__xludf.DUMMYFUNCTION("""COMPUTED_VALUE"""),"Sale chưa cung cấp")</f>
        <v>Sale chưa cung cấp</v>
      </c>
      <c r="G351" s="265" t="str">
        <f>IFERROR(__xludf.DUMMYFUNCTION("""COMPUTED_VALUE"""),"MSG")</f>
        <v>MSG</v>
      </c>
      <c r="H351" s="265" t="str">
        <f>IFERROR(__xludf.DUMMYFUNCTION("""COMPUTED_VALUE"""),"Trial")</f>
        <v>Trial</v>
      </c>
      <c r="I351" s="265" t="str">
        <f>IFERROR(__xludf.DUMMYFUNCTION("""COMPUTED_VALUE"""),"Portal")</f>
        <v>Portal</v>
      </c>
      <c r="J351" s="265" t="str">
        <f>IFERROR(__xludf.DUMMYFUNCTION("""COMPUTED_VALUE"""),"File Excel")</f>
        <v>File Excel</v>
      </c>
      <c r="K351" s="265" t="str">
        <f>IFERROR(__xludf.DUMMYFUNCTION("""COMPUTED_VALUE"""),"(Không recheck)")</f>
        <v>(Không recheck)</v>
      </c>
    </row>
    <row r="352">
      <c r="A352" s="265" t="str">
        <f>IFERROR(__xludf.DUMMYFUNCTION("""COMPUTED_VALUE"""),"651")</f>
        <v>651</v>
      </c>
      <c r="B352" s="265" t="str">
        <f>IFERROR(__xludf.DUMMYFUNCTION("""COMPUTED_VALUE"""),"Hà Nội")</f>
        <v>Hà Nội</v>
      </c>
      <c r="C352" s="265" t="str">
        <f>IFERROR(__xludf.DUMMYFUNCTION("""COMPUTED_VALUE"""),"Active")</f>
        <v>Active</v>
      </c>
      <c r="D352" s="265" t="str">
        <f>IFERROR(__xludf.DUMMYFUNCTION("""COMPUTED_VALUE"""),"Sản xuất &amp; Chế tạo")</f>
        <v>Sản xuất &amp; Chế tạo</v>
      </c>
      <c r="E352" s="265" t="str">
        <f>IFERROR(__xludf.DUMMYFUNCTION("""COMPUTED_VALUE"""),"TúPHN")</f>
        <v>TúPHN</v>
      </c>
      <c r="F352" s="265" t="str">
        <f>IFERROR(__xludf.DUMMYFUNCTION("""COMPUTED_VALUE"""),"Bronze")</f>
        <v>Bronze</v>
      </c>
      <c r="G352" s="265" t="str">
        <f>IFERROR(__xludf.DUMMYFUNCTION("""COMPUTED_VALUE"""),"Standard")</f>
        <v>Standard</v>
      </c>
      <c r="H352" s="265" t="str">
        <f>IFERROR(__xludf.DUMMYFUNCTION("""COMPUTED_VALUE"""),"Trả trước")</f>
        <v>Trả trước</v>
      </c>
      <c r="I352" s="265" t="str">
        <f>IFERROR(__xludf.DUMMYFUNCTION("""COMPUTED_VALUE"""),"API &amp; Portal")</f>
        <v>API &amp; Portal</v>
      </c>
      <c r="J352" s="265" t="str">
        <f>IFERROR(__xludf.DUMMYFUNCTION("""COMPUTED_VALUE"""),"File Excel")</f>
        <v>File Excel</v>
      </c>
      <c r="K352" s="265" t="str">
        <f>IFERROR(__xludf.DUMMYFUNCTION("""COMPUTED_VALUE"""),"LinhNTT1")</f>
        <v>LinhNTT1</v>
      </c>
    </row>
    <row r="353">
      <c r="A353" s="265" t="str">
        <f>IFERROR(__xludf.DUMMYFUNCTION("""COMPUTED_VALUE"""),"651")</f>
        <v>651</v>
      </c>
      <c r="B353" s="265" t="str">
        <f>IFERROR(__xludf.DUMMYFUNCTION("""COMPUTED_VALUE"""),"Hà Nội")</f>
        <v>Hà Nội</v>
      </c>
      <c r="C353" s="265" t="str">
        <f>IFERROR(__xludf.DUMMYFUNCTION("""COMPUTED_VALUE"""),"Active")</f>
        <v>Active</v>
      </c>
      <c r="D353" s="265" t="str">
        <f>IFERROR(__xludf.DUMMYFUNCTION("""COMPUTED_VALUE"""),"Sản xuất &amp; Chế tạo")</f>
        <v>Sản xuất &amp; Chế tạo</v>
      </c>
      <c r="E353" s="265" t="str">
        <f>IFERROR(__xludf.DUMMYFUNCTION("""COMPUTED_VALUE"""),"TúPHN")</f>
        <v>TúPHN</v>
      </c>
      <c r="F353" s="265" t="str">
        <f>IFERROR(__xludf.DUMMYFUNCTION("""COMPUTED_VALUE"""),"Bronze")</f>
        <v>Bronze</v>
      </c>
      <c r="G353" s="265" t="str">
        <f>IFERROR(__xludf.DUMMYFUNCTION("""COMPUTED_VALUE"""),"Standard")</f>
        <v>Standard</v>
      </c>
      <c r="H353" s="265" t="str">
        <f>IFERROR(__xludf.DUMMYFUNCTION("""COMPUTED_VALUE"""),"Trả trước")</f>
        <v>Trả trước</v>
      </c>
      <c r="I353" s="265" t="str">
        <f>IFERROR(__xludf.DUMMYFUNCTION("""COMPUTED_VALUE"""),"API &amp; Portal")</f>
        <v>API &amp; Portal</v>
      </c>
      <c r="J353" s="265" t="str">
        <f>IFERROR(__xludf.DUMMYFUNCTION("""COMPUTED_VALUE"""),"API")</f>
        <v>API</v>
      </c>
      <c r="K353" s="265" t="str">
        <f>IFERROR(__xludf.DUMMYFUNCTION("""COMPUTED_VALUE"""),"LinhNTT1")</f>
        <v>LinhNTT1</v>
      </c>
    </row>
    <row r="354">
      <c r="A354" s="265" t="str">
        <f>IFERROR(__xludf.DUMMYFUNCTION("""COMPUTED_VALUE"""),"646")</f>
        <v>646</v>
      </c>
      <c r="B354" s="265" t="str">
        <f>IFERROR(__xludf.DUMMYFUNCTION("""COMPUTED_VALUE"""),"Sài Gòn")</f>
        <v>Sài Gòn</v>
      </c>
      <c r="C354" s="265" t="str">
        <f>IFERROR(__xludf.DUMMYFUNCTION("""COMPUTED_VALUE"""),"Locked")</f>
        <v>Locked</v>
      </c>
      <c r="D354" s="265" t="str">
        <f>IFERROR(__xludf.DUMMYFUNCTION("""COMPUTED_VALUE"""),"Hành chính công")</f>
        <v>Hành chính công</v>
      </c>
      <c r="E354" s="265" t="str">
        <f>IFERROR(__xludf.DUMMYFUNCTION("""COMPUTED_VALUE"""),"TùngLD")</f>
        <v>TùngLD</v>
      </c>
      <c r="F354" s="265" t="str">
        <f>IFERROR(__xludf.DUMMYFUNCTION("""COMPUTED_VALUE"""),"Gold")</f>
        <v>Gold</v>
      </c>
      <c r="G354" s="265" t="str">
        <f>IFERROR(__xludf.DUMMYFUNCTION("""COMPUTED_VALUE"""),"Enterprise")</f>
        <v>Enterprise</v>
      </c>
      <c r="H354" s="265" t="str">
        <f>IFERROR(__xludf.DUMMYFUNCTION("""COMPUTED_VALUE"""),"(Chưa recheck)")</f>
        <v>(Chưa recheck)</v>
      </c>
      <c r="I354" s="265" t="str">
        <f>IFERROR(__xludf.DUMMYFUNCTION("""COMPUTED_VALUE"""),"Portal")</f>
        <v>Portal</v>
      </c>
      <c r="J354" s="265" t="str">
        <f>IFERROR(__xludf.DUMMYFUNCTION("""COMPUTED_VALUE"""),"File Excel")</f>
        <v>File Excel</v>
      </c>
      <c r="K354" s="265" t="str">
        <f>IFERROR(__xludf.DUMMYFUNCTION("""COMPUTED_VALUE"""),"AnhNM")</f>
        <v>AnhNM</v>
      </c>
    </row>
    <row r="355">
      <c r="A355" s="265" t="str">
        <f>IFERROR(__xludf.DUMMYFUNCTION("""COMPUTED_VALUE"""),"648")</f>
        <v>648</v>
      </c>
      <c r="B355" s="265" t="str">
        <f>IFERROR(__xludf.DUMMYFUNCTION("""COMPUTED_VALUE"""),"Sài Gòn")</f>
        <v>Sài Gòn</v>
      </c>
      <c r="C355" s="265" t="str">
        <f>IFERROR(__xludf.DUMMYFUNCTION("""COMPUTED_VALUE"""),"Locked")</f>
        <v>Locked</v>
      </c>
      <c r="D355" s="265" t="str">
        <f>IFERROR(__xludf.DUMMYFUNCTION("""COMPUTED_VALUE"""),"Sale chưa cung cấp")</f>
        <v>Sale chưa cung cấp</v>
      </c>
      <c r="E355" s="265" t="str">
        <f>IFERROR(__xludf.DUMMYFUNCTION("""COMPUTED_VALUE"""),"(Không recheck)")</f>
        <v>(Không recheck)</v>
      </c>
      <c r="F355" s="265" t="str">
        <f>IFERROR(__xludf.DUMMYFUNCTION("""COMPUTED_VALUE"""),"Diamond")</f>
        <v>Diamond</v>
      </c>
      <c r="G355" s="265" t="str">
        <f>IFERROR(__xludf.DUMMYFUNCTION("""COMPUTED_VALUE"""),"Enterprise")</f>
        <v>Enterprise</v>
      </c>
      <c r="H355" s="265" t="str">
        <f>IFERROR(__xludf.DUMMYFUNCTION("""COMPUTED_VALUE"""),"Trial")</f>
        <v>Trial</v>
      </c>
      <c r="I355" s="265" t="str">
        <f>IFERROR(__xludf.DUMMYFUNCTION("""COMPUTED_VALUE"""),"(Không recheck)")</f>
        <v>(Không recheck)</v>
      </c>
      <c r="J355" s="265" t="str">
        <f>IFERROR(__xludf.DUMMYFUNCTION("""COMPUTED_VALUE"""),"(Không recheck)")</f>
        <v>(Không recheck)</v>
      </c>
      <c r="K355" s="265" t="str">
        <f>IFERROR(__xludf.DUMMYFUNCTION("""COMPUTED_VALUE"""),"(Không recheck)")</f>
        <v>(Không recheck)</v>
      </c>
    </row>
    <row r="356">
      <c r="A356" s="265" t="str">
        <f>IFERROR(__xludf.DUMMYFUNCTION("""COMPUTED_VALUE"""),"649")</f>
        <v>649</v>
      </c>
      <c r="B356" s="265" t="str">
        <f>IFERROR(__xludf.DUMMYFUNCTION("""COMPUTED_VALUE"""),"Sài Gòn")</f>
        <v>Sài Gòn</v>
      </c>
      <c r="C356" s="265" t="str">
        <f>IFERROR(__xludf.DUMMYFUNCTION("""COMPUTED_VALUE"""),"Locked")</f>
        <v>Locked</v>
      </c>
      <c r="D356" s="265" t="str">
        <f>IFERROR(__xludf.DUMMYFUNCTION("""COMPUTED_VALUE"""),"Sale chưa cung cấp")</f>
        <v>Sale chưa cung cấp</v>
      </c>
      <c r="E356" s="265" t="str">
        <f>IFERROR(__xludf.DUMMYFUNCTION("""COMPUTED_VALUE"""),"HoaNTM")</f>
        <v>HoaNTM</v>
      </c>
      <c r="F356" s="265" t="str">
        <f>IFERROR(__xludf.DUMMYFUNCTION("""COMPUTED_VALUE"""),"Silver")</f>
        <v>Silver</v>
      </c>
      <c r="G356" s="265" t="str">
        <f>IFERROR(__xludf.DUMMYFUNCTION("""COMPUTED_VALUE"""),"Enterprise")</f>
        <v>Enterprise</v>
      </c>
      <c r="H356" s="265" t="str">
        <f>IFERROR(__xludf.DUMMYFUNCTION("""COMPUTED_VALUE"""),"(Chưa recheck)")</f>
        <v>(Chưa recheck)</v>
      </c>
      <c r="I356" s="265" t="str">
        <f>IFERROR(__xludf.DUMMYFUNCTION("""COMPUTED_VALUE"""),"(Chưa recheck)")</f>
        <v>(Chưa recheck)</v>
      </c>
      <c r="J356" s="265" t="str">
        <f>IFERROR(__xludf.DUMMYFUNCTION("""COMPUTED_VALUE"""),"File Excel")</f>
        <v>File Excel</v>
      </c>
      <c r="K356" s="265" t="str">
        <f>IFERROR(__xludf.DUMMYFUNCTION("""COMPUTED_VALUE"""),"DungPL")</f>
        <v>DungPL</v>
      </c>
    </row>
    <row r="357">
      <c r="A357" s="265" t="str">
        <f>IFERROR(__xludf.DUMMYFUNCTION("""COMPUTED_VALUE"""),"649")</f>
        <v>649</v>
      </c>
      <c r="B357" s="265" t="str">
        <f>IFERROR(__xludf.DUMMYFUNCTION("""COMPUTED_VALUE"""),"Sài Gòn")</f>
        <v>Sài Gòn</v>
      </c>
      <c r="C357" s="265" t="str">
        <f>IFERROR(__xludf.DUMMYFUNCTION("""COMPUTED_VALUE"""),"Locked")</f>
        <v>Locked</v>
      </c>
      <c r="D357" s="265" t="str">
        <f>IFERROR(__xludf.DUMMYFUNCTION("""COMPUTED_VALUE"""),"Sale chưa cung cấp")</f>
        <v>Sale chưa cung cấp</v>
      </c>
      <c r="E357" s="265" t="str">
        <f>IFERROR(__xludf.DUMMYFUNCTION("""COMPUTED_VALUE"""),"HoaNTM")</f>
        <v>HoaNTM</v>
      </c>
      <c r="F357" s="265" t="str">
        <f>IFERROR(__xludf.DUMMYFUNCTION("""COMPUTED_VALUE"""),"Silver")</f>
        <v>Silver</v>
      </c>
      <c r="G357" s="265" t="str">
        <f>IFERROR(__xludf.DUMMYFUNCTION("""COMPUTED_VALUE"""),"Enterprise")</f>
        <v>Enterprise</v>
      </c>
      <c r="H357" s="265" t="str">
        <f>IFERROR(__xludf.DUMMYFUNCTION("""COMPUTED_VALUE"""),"(Chưa recheck)")</f>
        <v>(Chưa recheck)</v>
      </c>
      <c r="I357" s="265" t="str">
        <f>IFERROR(__xludf.DUMMYFUNCTION("""COMPUTED_VALUE"""),"(Chưa recheck)")</f>
        <v>(Chưa recheck)</v>
      </c>
      <c r="J357" s="265" t="str">
        <f>IFERROR(__xludf.DUMMYFUNCTION("""COMPUTED_VALUE"""),"API")</f>
        <v>API</v>
      </c>
      <c r="K357" s="265" t="str">
        <f>IFERROR(__xludf.DUMMYFUNCTION("""COMPUTED_VALUE"""),"DungPL")</f>
        <v>DungPL</v>
      </c>
    </row>
    <row r="358">
      <c r="A358" s="265" t="str">
        <f>IFERROR(__xludf.DUMMYFUNCTION("""COMPUTED_VALUE"""),"650")</f>
        <v>650</v>
      </c>
      <c r="B358" s="265" t="str">
        <f>IFERROR(__xludf.DUMMYFUNCTION("""COMPUTED_VALUE"""),"Hà Nội")</f>
        <v>Hà Nội</v>
      </c>
      <c r="C358" s="265" t="str">
        <f>IFERROR(__xludf.DUMMYFUNCTION("""COMPUTED_VALUE"""),"Active")</f>
        <v>Active</v>
      </c>
      <c r="D358" s="265" t="str">
        <f>IFERROR(__xludf.DUMMYFUNCTION("""COMPUTED_VALUE"""),"Sản xuất &amp; Chế tạo")</f>
        <v>Sản xuất &amp; Chế tạo</v>
      </c>
      <c r="E358" s="265" t="str">
        <f>IFERROR(__xludf.DUMMYFUNCTION("""COMPUTED_VALUE"""),"AnhNM")</f>
        <v>AnhNM</v>
      </c>
      <c r="F358" s="265" t="str">
        <f>IFERROR(__xludf.DUMMYFUNCTION("""COMPUTED_VALUE"""),"Bronze")</f>
        <v>Bronze</v>
      </c>
      <c r="G358" s="265" t="str">
        <f>IFERROR(__xludf.DUMMYFUNCTION("""COMPUTED_VALUE"""),"Premium")</f>
        <v>Premium</v>
      </c>
      <c r="H358" s="265" t="str">
        <f>IFERROR(__xludf.DUMMYFUNCTION("""COMPUTED_VALUE"""),"Trả sau")</f>
        <v>Trả sau</v>
      </c>
      <c r="I358" s="265" t="str">
        <f>IFERROR(__xludf.DUMMYFUNCTION("""COMPUTED_VALUE"""),"API")</f>
        <v>API</v>
      </c>
      <c r="J358" s="265" t="str">
        <f>IFERROR(__xludf.DUMMYFUNCTION("""COMPUTED_VALUE"""),"API")</f>
        <v>API</v>
      </c>
      <c r="K358" s="265" t="str">
        <f>IFERROR(__xludf.DUMMYFUNCTION("""COMPUTED_VALUE"""),"LinhNTT1")</f>
        <v>LinhNTT1</v>
      </c>
    </row>
    <row r="359">
      <c r="A359" s="265" t="str">
        <f>IFERROR(__xludf.DUMMYFUNCTION("""COMPUTED_VALUE"""),"652")</f>
        <v>652</v>
      </c>
      <c r="B359" s="265" t="str">
        <f>IFERROR(__xludf.DUMMYFUNCTION("""COMPUTED_VALUE"""),"Hà Nội")</f>
        <v>Hà Nội</v>
      </c>
      <c r="C359" s="265" t="str">
        <f>IFERROR(__xludf.DUMMYFUNCTION("""COMPUTED_VALUE"""),"Locked")</f>
        <v>Locked</v>
      </c>
      <c r="D359" s="265" t="str">
        <f>IFERROR(__xludf.DUMMYFUNCTION("""COMPUTED_VALUE"""),"Y tế &amp; Dược phẩm")</f>
        <v>Y tế &amp; Dược phẩm</v>
      </c>
      <c r="E359" s="265" t="str">
        <f>IFERROR(__xludf.DUMMYFUNCTION("""COMPUTED_VALUE"""),"NamDT")</f>
        <v>NamDT</v>
      </c>
      <c r="F359" s="265" t="str">
        <f>IFERROR(__xludf.DUMMYFUNCTION("""COMPUTED_VALUE"""),"Sale chưa cung cấp")</f>
        <v>Sale chưa cung cấp</v>
      </c>
      <c r="G359" s="265" t="str">
        <f>IFERROR(__xludf.DUMMYFUNCTION("""COMPUTED_VALUE"""),"Enterprise")</f>
        <v>Enterprise</v>
      </c>
      <c r="H359" s="265" t="str">
        <f>IFERROR(__xludf.DUMMYFUNCTION("""COMPUTED_VALUE"""),"Trả trước")</f>
        <v>Trả trước</v>
      </c>
      <c r="I359" s="265" t="str">
        <f>IFERROR(__xludf.DUMMYFUNCTION("""COMPUTED_VALUE"""),"Portal")</f>
        <v>Portal</v>
      </c>
      <c r="J359" s="265" t="str">
        <f>IFERROR(__xludf.DUMMYFUNCTION("""COMPUTED_VALUE"""),"File Excel")</f>
        <v>File Excel</v>
      </c>
      <c r="K359" s="265" t="str">
        <f>IFERROR(__xludf.DUMMYFUNCTION("""COMPUTED_VALUE"""),"(Chưa recheck)")</f>
        <v>(Chưa recheck)</v>
      </c>
    </row>
    <row r="360">
      <c r="A360" s="265" t="str">
        <f>IFERROR(__xludf.DUMMYFUNCTION("""COMPUTED_VALUE"""),"654")</f>
        <v>654</v>
      </c>
      <c r="B360" s="265" t="str">
        <f>IFERROR(__xludf.DUMMYFUNCTION("""COMPUTED_VALUE"""),"Sài Gòn")</f>
        <v>Sài Gòn</v>
      </c>
      <c r="C360" s="265" t="str">
        <f>IFERROR(__xludf.DUMMYFUNCTION("""COMPUTED_VALUE"""),"Locked")</f>
        <v>Locked</v>
      </c>
      <c r="D360" s="265" t="str">
        <f>IFERROR(__xludf.DUMMYFUNCTION("""COMPUTED_VALUE"""),"Viễn thông")</f>
        <v>Viễn thông</v>
      </c>
      <c r="E360" s="265" t="str">
        <f>IFERROR(__xludf.DUMMYFUNCTION("""COMPUTED_VALUE"""),"HoaNTM")</f>
        <v>HoaNTM</v>
      </c>
      <c r="F360" s="265" t="str">
        <f>IFERROR(__xludf.DUMMYFUNCTION("""COMPUTED_VALUE"""),"Sale chưa cung cấp")</f>
        <v>Sale chưa cung cấp</v>
      </c>
      <c r="G360" s="265" t="str">
        <f>IFERROR(__xludf.DUMMYFUNCTION("""COMPUTED_VALUE"""),"Enterprise")</f>
        <v>Enterprise</v>
      </c>
      <c r="H360" s="265" t="str">
        <f>IFERROR(__xludf.DUMMYFUNCTION("""COMPUTED_VALUE"""),"Trả sau")</f>
        <v>Trả sau</v>
      </c>
      <c r="I360" s="265" t="str">
        <f>IFERROR(__xludf.DUMMYFUNCTION("""COMPUTED_VALUE"""),"API &amp; Portal")</f>
        <v>API &amp; Portal</v>
      </c>
      <c r="J360" s="265" t="str">
        <f>IFERROR(__xludf.DUMMYFUNCTION("""COMPUTED_VALUE"""),"File Excel")</f>
        <v>File Excel</v>
      </c>
      <c r="K360" s="265" t="str">
        <f>IFERROR(__xludf.DUMMYFUNCTION("""COMPUTED_VALUE"""),"AnhNM")</f>
        <v>AnhNM</v>
      </c>
    </row>
    <row r="361">
      <c r="A361" s="265" t="str">
        <f>IFERROR(__xludf.DUMMYFUNCTION("""COMPUTED_VALUE"""),"654")</f>
        <v>654</v>
      </c>
      <c r="B361" s="265" t="str">
        <f>IFERROR(__xludf.DUMMYFUNCTION("""COMPUTED_VALUE"""),"Sài Gòn")</f>
        <v>Sài Gòn</v>
      </c>
      <c r="C361" s="265" t="str">
        <f>IFERROR(__xludf.DUMMYFUNCTION("""COMPUTED_VALUE"""),"Locked")</f>
        <v>Locked</v>
      </c>
      <c r="D361" s="265" t="str">
        <f>IFERROR(__xludf.DUMMYFUNCTION("""COMPUTED_VALUE"""),"Viễn thông")</f>
        <v>Viễn thông</v>
      </c>
      <c r="E361" s="265" t="str">
        <f>IFERROR(__xludf.DUMMYFUNCTION("""COMPUTED_VALUE"""),"HoaNTM")</f>
        <v>HoaNTM</v>
      </c>
      <c r="F361" s="265" t="str">
        <f>IFERROR(__xludf.DUMMYFUNCTION("""COMPUTED_VALUE"""),"Sale chưa cung cấp")</f>
        <v>Sale chưa cung cấp</v>
      </c>
      <c r="G361" s="265" t="str">
        <f>IFERROR(__xludf.DUMMYFUNCTION("""COMPUTED_VALUE"""),"Enterprise")</f>
        <v>Enterprise</v>
      </c>
      <c r="H361" s="265" t="str">
        <f>IFERROR(__xludf.DUMMYFUNCTION("""COMPUTED_VALUE"""),"Trả sau")</f>
        <v>Trả sau</v>
      </c>
      <c r="I361" s="265" t="str">
        <f>IFERROR(__xludf.DUMMYFUNCTION("""COMPUTED_VALUE"""),"API &amp; Portal")</f>
        <v>API &amp; Portal</v>
      </c>
      <c r="J361" s="265" t="str">
        <f>IFERROR(__xludf.DUMMYFUNCTION("""COMPUTED_VALUE"""),"API")</f>
        <v>API</v>
      </c>
      <c r="K361" s="265" t="str">
        <f>IFERROR(__xludf.DUMMYFUNCTION("""COMPUTED_VALUE"""),"AnhNM")</f>
        <v>AnhNM</v>
      </c>
    </row>
    <row r="362">
      <c r="A362" s="265" t="str">
        <f>IFERROR(__xludf.DUMMYFUNCTION("""COMPUTED_VALUE"""),"655")</f>
        <v>655</v>
      </c>
      <c r="B362" s="265" t="str">
        <f>IFERROR(__xludf.DUMMYFUNCTION("""COMPUTED_VALUE"""),"Sài Gòn")</f>
        <v>Sài Gòn</v>
      </c>
      <c r="C362" s="265" t="str">
        <f>IFERROR(__xludf.DUMMYFUNCTION("""COMPUTED_VALUE"""),"Active")</f>
        <v>Active</v>
      </c>
      <c r="D362" s="265" t="str">
        <f>IFERROR(__xludf.DUMMYFUNCTION("""COMPUTED_VALUE"""),"Thực phẩm &amp; Đồ uống")</f>
        <v>Thực phẩm &amp; Đồ uống</v>
      </c>
      <c r="E362" s="265" t="str">
        <f>IFERROR(__xludf.DUMMYFUNCTION("""COMPUTED_VALUE"""),"TùngLD")</f>
        <v>TùngLD</v>
      </c>
      <c r="F362" s="265" t="str">
        <f>IFERROR(__xludf.DUMMYFUNCTION("""COMPUTED_VALUE"""),"Diamond")</f>
        <v>Diamond</v>
      </c>
      <c r="G362" s="265" t="str">
        <f>IFERROR(__xludf.DUMMYFUNCTION("""COMPUTED_VALUE"""),"Enterprise")</f>
        <v>Enterprise</v>
      </c>
      <c r="H362" s="265" t="str">
        <f>IFERROR(__xludf.DUMMYFUNCTION("""COMPUTED_VALUE"""),"Trả sau")</f>
        <v>Trả sau</v>
      </c>
      <c r="I362" s="265" t="str">
        <f>IFERROR(__xludf.DUMMYFUNCTION("""COMPUTED_VALUE"""),"API")</f>
        <v>API</v>
      </c>
      <c r="J362" s="265" t="str">
        <f>IFERROR(__xludf.DUMMYFUNCTION("""COMPUTED_VALUE"""),"HubSpot")</f>
        <v>HubSpot</v>
      </c>
      <c r="K362" s="265" t="str">
        <f>IFERROR(__xludf.DUMMYFUNCTION("""COMPUTED_VALUE"""),"Không phân công")</f>
        <v>Không phân công</v>
      </c>
    </row>
    <row r="363">
      <c r="A363" s="265" t="str">
        <f>IFERROR(__xludf.DUMMYFUNCTION("""COMPUTED_VALUE"""),"656")</f>
        <v>656</v>
      </c>
      <c r="B363" s="265" t="str">
        <f>IFERROR(__xludf.DUMMYFUNCTION("""COMPUTED_VALUE"""),"Hà Nội")</f>
        <v>Hà Nội</v>
      </c>
      <c r="C363" s="265" t="str">
        <f>IFERROR(__xludf.DUMMYFUNCTION("""COMPUTED_VALUE"""),"Locked")</f>
        <v>Locked</v>
      </c>
      <c r="D363" s="265" t="str">
        <f>IFERROR(__xludf.DUMMYFUNCTION("""COMPUTED_VALUE"""),"Giáo dục &amp; Đào tạo")</f>
        <v>Giáo dục &amp; Đào tạo</v>
      </c>
      <c r="E363" s="265" t="str">
        <f>IFERROR(__xludf.DUMMYFUNCTION("""COMPUTED_VALUE"""),"AnhNP")</f>
        <v>AnhNP</v>
      </c>
      <c r="F363" s="265" t="str">
        <f>IFERROR(__xludf.DUMMYFUNCTION("""COMPUTED_VALUE"""),"Sale chưa cung cấp")</f>
        <v>Sale chưa cung cấp</v>
      </c>
      <c r="G363" s="265" t="str">
        <f>IFERROR(__xludf.DUMMYFUNCTION("""COMPUTED_VALUE"""),"Enterprise")</f>
        <v>Enterprise</v>
      </c>
      <c r="H363" s="265" t="str">
        <f>IFERROR(__xludf.DUMMYFUNCTION("""COMPUTED_VALUE"""),"Trả trước")</f>
        <v>Trả trước</v>
      </c>
      <c r="I363" s="265" t="str">
        <f>IFERROR(__xludf.DUMMYFUNCTION("""COMPUTED_VALUE"""),"Portal")</f>
        <v>Portal</v>
      </c>
      <c r="J363" s="265" t="str">
        <f>IFERROR(__xludf.DUMMYFUNCTION("""COMPUTED_VALUE"""),"File Excel")</f>
        <v>File Excel</v>
      </c>
      <c r="K363" s="265" t="str">
        <f>IFERROR(__xludf.DUMMYFUNCTION("""COMPUTED_VALUE"""),"(Chưa recheck)")</f>
        <v>(Chưa recheck)</v>
      </c>
    </row>
    <row r="364">
      <c r="A364" s="265" t="str">
        <f>IFERROR(__xludf.DUMMYFUNCTION("""COMPUTED_VALUE"""),"674")</f>
        <v>674</v>
      </c>
      <c r="B364" s="265" t="str">
        <f>IFERROR(__xludf.DUMMYFUNCTION("""COMPUTED_VALUE"""),"Hà Nội")</f>
        <v>Hà Nội</v>
      </c>
      <c r="C364" s="265" t="str">
        <f>IFERROR(__xludf.DUMMYFUNCTION("""COMPUTED_VALUE"""),"Active")</f>
        <v>Active</v>
      </c>
      <c r="D364" s="265" t="str">
        <f>IFERROR(__xludf.DUMMYFUNCTION("""COMPUTED_VALUE"""),"Mua sắm &amp; Bán lẻ")</f>
        <v>Mua sắm &amp; Bán lẻ</v>
      </c>
      <c r="E364" s="265" t="str">
        <f>IFERROR(__xludf.DUMMYFUNCTION("""COMPUTED_VALUE"""),"TúPHN")</f>
        <v>TúPHN</v>
      </c>
      <c r="F364" s="265" t="str">
        <f>IFERROR(__xludf.DUMMYFUNCTION("""COMPUTED_VALUE"""),"Diamond")</f>
        <v>Diamond</v>
      </c>
      <c r="G364" s="265" t="str">
        <f>IFERROR(__xludf.DUMMYFUNCTION("""COMPUTED_VALUE"""),"Enterprise")</f>
        <v>Enterprise</v>
      </c>
      <c r="H364" s="265" t="str">
        <f>IFERROR(__xludf.DUMMYFUNCTION("""COMPUTED_VALUE"""),"Trả sau")</f>
        <v>Trả sau</v>
      </c>
      <c r="I364" s="265" t="str">
        <f>IFERROR(__xludf.DUMMYFUNCTION("""COMPUTED_VALUE"""),"Portal")</f>
        <v>Portal</v>
      </c>
      <c r="J364" s="265" t="str">
        <f>IFERROR(__xludf.DUMMYFUNCTION("""COMPUTED_VALUE"""),"File Excel")</f>
        <v>File Excel</v>
      </c>
      <c r="K364" s="265" t="str">
        <f>IFERROR(__xludf.DUMMYFUNCTION("""COMPUTED_VALUE"""),"DungPL")</f>
        <v>DungPL</v>
      </c>
    </row>
    <row r="365">
      <c r="A365" s="265" t="str">
        <f>IFERROR(__xludf.DUMMYFUNCTION("""COMPUTED_VALUE"""),"659")</f>
        <v>659</v>
      </c>
      <c r="B365" s="265" t="str">
        <f>IFERROR(__xludf.DUMMYFUNCTION("""COMPUTED_VALUE"""),"Hà Nội")</f>
        <v>Hà Nội</v>
      </c>
      <c r="C365" s="265" t="str">
        <f>IFERROR(__xludf.DUMMYFUNCTION("""COMPUTED_VALUE"""),"Locked")</f>
        <v>Locked</v>
      </c>
      <c r="D365" s="265" t="str">
        <f>IFERROR(__xludf.DUMMYFUNCTION("""COMPUTED_VALUE"""),"Tài chính &amp; Ngân hàng")</f>
        <v>Tài chính &amp; Ngân hàng</v>
      </c>
      <c r="E365" s="265" t="str">
        <f>IFERROR(__xludf.DUMMYFUNCTION("""COMPUTED_VALUE"""),"NamDT")</f>
        <v>NamDT</v>
      </c>
      <c r="F365" s="265" t="str">
        <f>IFERROR(__xludf.DUMMYFUNCTION("""COMPUTED_VALUE"""),"Sale chưa cung cấp")</f>
        <v>Sale chưa cung cấp</v>
      </c>
      <c r="G365" s="265" t="str">
        <f>IFERROR(__xludf.DUMMYFUNCTION("""COMPUTED_VALUE"""),"Enterprise")</f>
        <v>Enterprise</v>
      </c>
      <c r="H365" s="265" t="str">
        <f>IFERROR(__xludf.DUMMYFUNCTION("""COMPUTED_VALUE"""),"Trial")</f>
        <v>Trial</v>
      </c>
      <c r="I365" s="265" t="str">
        <f>IFERROR(__xludf.DUMMYFUNCTION("""COMPUTED_VALUE"""),"API")</f>
        <v>API</v>
      </c>
      <c r="J365" s="265" t="str">
        <f>IFERROR(__xludf.DUMMYFUNCTION("""COMPUTED_VALUE"""),"API")</f>
        <v>API</v>
      </c>
      <c r="K365" s="265" t="str">
        <f>IFERROR(__xludf.DUMMYFUNCTION("""COMPUTED_VALUE"""),"YếnĐH")</f>
        <v>YếnĐH</v>
      </c>
    </row>
    <row r="366">
      <c r="A366" s="265" t="str">
        <f>IFERROR(__xludf.DUMMYFUNCTION("""COMPUTED_VALUE"""),"658")</f>
        <v>658</v>
      </c>
      <c r="B366" s="265" t="str">
        <f>IFERROR(__xludf.DUMMYFUNCTION("""COMPUTED_VALUE"""),"Sài Gòn")</f>
        <v>Sài Gòn</v>
      </c>
      <c r="C366" s="265" t="str">
        <f>IFERROR(__xludf.DUMMYFUNCTION("""COMPUTED_VALUE"""),"Active")</f>
        <v>Active</v>
      </c>
      <c r="D366" s="265" t="str">
        <f>IFERROR(__xludf.DUMMYFUNCTION("""COMPUTED_VALUE"""),"Công nghệ &amp; Phần mềm")</f>
        <v>Công nghệ &amp; Phần mềm</v>
      </c>
      <c r="E366" s="265" t="str">
        <f>IFERROR(__xludf.DUMMYFUNCTION("""COMPUTED_VALUE"""),"TúPHN")</f>
        <v>TúPHN</v>
      </c>
      <c r="F366" s="265" t="str">
        <f>IFERROR(__xludf.DUMMYFUNCTION("""COMPUTED_VALUE"""),"Gold")</f>
        <v>Gold</v>
      </c>
      <c r="G366" s="265" t="str">
        <f>IFERROR(__xludf.DUMMYFUNCTION("""COMPUTED_VALUE"""),"Premium")</f>
        <v>Premium</v>
      </c>
      <c r="H366" s="265" t="str">
        <f>IFERROR(__xludf.DUMMYFUNCTION("""COMPUTED_VALUE"""),"Trả sau")</f>
        <v>Trả sau</v>
      </c>
      <c r="I366" s="265" t="str">
        <f>IFERROR(__xludf.DUMMYFUNCTION("""COMPUTED_VALUE"""),"API")</f>
        <v>API</v>
      </c>
      <c r="J366" s="265" t="str">
        <f>IFERROR(__xludf.DUMMYFUNCTION("""COMPUTED_VALUE"""),"File Excel")</f>
        <v>File Excel</v>
      </c>
      <c r="K366" s="265" t="str">
        <f>IFERROR(__xludf.DUMMYFUNCTION("""COMPUTED_VALUE"""),"LinhNTT1")</f>
        <v>LinhNTT1</v>
      </c>
    </row>
    <row r="367">
      <c r="A367" s="265" t="str">
        <f>IFERROR(__xludf.DUMMYFUNCTION("""COMPUTED_VALUE"""),"658")</f>
        <v>658</v>
      </c>
      <c r="B367" s="265" t="str">
        <f>IFERROR(__xludf.DUMMYFUNCTION("""COMPUTED_VALUE"""),"Sài Gòn")</f>
        <v>Sài Gòn</v>
      </c>
      <c r="C367" s="265" t="str">
        <f>IFERROR(__xludf.DUMMYFUNCTION("""COMPUTED_VALUE"""),"Active")</f>
        <v>Active</v>
      </c>
      <c r="D367" s="265" t="str">
        <f>IFERROR(__xludf.DUMMYFUNCTION("""COMPUTED_VALUE"""),"Công nghệ &amp; Phần mềm")</f>
        <v>Công nghệ &amp; Phần mềm</v>
      </c>
      <c r="E367" s="265" t="str">
        <f>IFERROR(__xludf.DUMMYFUNCTION("""COMPUTED_VALUE"""),"TúPHN")</f>
        <v>TúPHN</v>
      </c>
      <c r="F367" s="265" t="str">
        <f>IFERROR(__xludf.DUMMYFUNCTION("""COMPUTED_VALUE"""),"Gold")</f>
        <v>Gold</v>
      </c>
      <c r="G367" s="265" t="str">
        <f>IFERROR(__xludf.DUMMYFUNCTION("""COMPUTED_VALUE"""),"Premium")</f>
        <v>Premium</v>
      </c>
      <c r="H367" s="265" t="str">
        <f>IFERROR(__xludf.DUMMYFUNCTION("""COMPUTED_VALUE"""),"Trả sau")</f>
        <v>Trả sau</v>
      </c>
      <c r="I367" s="265" t="str">
        <f>IFERROR(__xludf.DUMMYFUNCTION("""COMPUTED_VALUE"""),"API")</f>
        <v>API</v>
      </c>
      <c r="J367" s="265" t="str">
        <f>IFERROR(__xludf.DUMMYFUNCTION("""COMPUTED_VALUE"""),"API")</f>
        <v>API</v>
      </c>
      <c r="K367" s="265" t="str">
        <f>IFERROR(__xludf.DUMMYFUNCTION("""COMPUTED_VALUE"""),"LinhNTT1")</f>
        <v>LinhNTT1</v>
      </c>
    </row>
    <row r="368">
      <c r="A368" s="265" t="str">
        <f>IFERROR(__xludf.DUMMYFUNCTION("""COMPUTED_VALUE"""),"660")</f>
        <v>660</v>
      </c>
      <c r="B368" s="265" t="str">
        <f>IFERROR(__xludf.DUMMYFUNCTION("""COMPUTED_VALUE"""),"Sài Gòn")</f>
        <v>Sài Gòn</v>
      </c>
      <c r="C368" s="265" t="str">
        <f>IFERROR(__xludf.DUMMYFUNCTION("""COMPUTED_VALUE"""),"Active")</f>
        <v>Active</v>
      </c>
      <c r="D368" s="265" t="str">
        <f>IFERROR(__xludf.DUMMYFUNCTION("""COMPUTED_VALUE"""),"Sale chưa cung cấp")</f>
        <v>Sale chưa cung cấp</v>
      </c>
      <c r="E368" s="265" t="str">
        <f>IFERROR(__xludf.DUMMYFUNCTION("""COMPUTED_VALUE"""),"TùngLD")</f>
        <v>TùngLD</v>
      </c>
      <c r="F368" s="265" t="str">
        <f>IFERROR(__xludf.DUMMYFUNCTION("""COMPUTED_VALUE"""),"Diamond")</f>
        <v>Diamond</v>
      </c>
      <c r="G368" s="265" t="str">
        <f>IFERROR(__xludf.DUMMYFUNCTION("""COMPUTED_VALUE"""),"Starter")</f>
        <v>Starter</v>
      </c>
      <c r="H368" s="265" t="str">
        <f>IFERROR(__xludf.DUMMYFUNCTION("""COMPUTED_VALUE"""),"Trả sau")</f>
        <v>Trả sau</v>
      </c>
      <c r="I368" s="265" t="str">
        <f>IFERROR(__xludf.DUMMYFUNCTION("""COMPUTED_VALUE"""),"Portal")</f>
        <v>Portal</v>
      </c>
      <c r="J368" s="265" t="str">
        <f>IFERROR(__xludf.DUMMYFUNCTION("""COMPUTED_VALUE"""),"File Excel")</f>
        <v>File Excel</v>
      </c>
      <c r="K368" s="265" t="str">
        <f>IFERROR(__xludf.DUMMYFUNCTION("""COMPUTED_VALUE"""),"LinhNTT1")</f>
        <v>LinhNTT1</v>
      </c>
    </row>
    <row r="369">
      <c r="A369" s="265" t="str">
        <f>IFERROR(__xludf.DUMMYFUNCTION("""COMPUTED_VALUE"""),"660")</f>
        <v>660</v>
      </c>
      <c r="B369" s="265" t="str">
        <f>IFERROR(__xludf.DUMMYFUNCTION("""COMPUTED_VALUE"""),"Sài Gòn")</f>
        <v>Sài Gòn</v>
      </c>
      <c r="C369" s="265" t="str">
        <f>IFERROR(__xludf.DUMMYFUNCTION("""COMPUTED_VALUE"""),"Active")</f>
        <v>Active</v>
      </c>
      <c r="D369" s="265" t="str">
        <f>IFERROR(__xludf.DUMMYFUNCTION("""COMPUTED_VALUE"""),"Sale chưa cung cấp")</f>
        <v>Sale chưa cung cấp</v>
      </c>
      <c r="E369" s="265" t="str">
        <f>IFERROR(__xludf.DUMMYFUNCTION("""COMPUTED_VALUE"""),"TùngLD")</f>
        <v>TùngLD</v>
      </c>
      <c r="F369" s="265" t="str">
        <f>IFERROR(__xludf.DUMMYFUNCTION("""COMPUTED_VALUE"""),"Diamond")</f>
        <v>Diamond</v>
      </c>
      <c r="G369" s="265" t="str">
        <f>IFERROR(__xludf.DUMMYFUNCTION("""COMPUTED_VALUE"""),"Starter")</f>
        <v>Starter</v>
      </c>
      <c r="H369" s="265" t="str">
        <f>IFERROR(__xludf.DUMMYFUNCTION("""COMPUTED_VALUE"""),"Trả sau")</f>
        <v>Trả sau</v>
      </c>
      <c r="I369" s="265" t="str">
        <f>IFERROR(__xludf.DUMMYFUNCTION("""COMPUTED_VALUE"""),"Portal")</f>
        <v>Portal</v>
      </c>
      <c r="J369" s="265" t="str">
        <f>IFERROR(__xludf.DUMMYFUNCTION("""COMPUTED_VALUE"""),"API")</f>
        <v>API</v>
      </c>
      <c r="K369" s="265" t="str">
        <f>IFERROR(__xludf.DUMMYFUNCTION("""COMPUTED_VALUE"""),"LinhNTT1")</f>
        <v>LinhNTT1</v>
      </c>
    </row>
    <row r="370">
      <c r="A370" s="265" t="str">
        <f>IFERROR(__xludf.DUMMYFUNCTION("""COMPUTED_VALUE"""),"661")</f>
        <v>661</v>
      </c>
      <c r="B370" s="265" t="str">
        <f>IFERROR(__xludf.DUMMYFUNCTION("""COMPUTED_VALUE"""),"Hà Nội")</f>
        <v>Hà Nội</v>
      </c>
      <c r="C370" s="265" t="str">
        <f>IFERROR(__xludf.DUMMYFUNCTION("""COMPUTED_VALUE"""),"Locked")</f>
        <v>Locked</v>
      </c>
      <c r="D370" s="265" t="str">
        <f>IFERROR(__xludf.DUMMYFUNCTION("""COMPUTED_VALUE"""),"Viễn thông")</f>
        <v>Viễn thông</v>
      </c>
      <c r="E370" s="265" t="str">
        <f>IFERROR(__xludf.DUMMYFUNCTION("""COMPUTED_VALUE"""),"TùngLD")</f>
        <v>TùngLD</v>
      </c>
      <c r="F370" s="265" t="str">
        <f>IFERROR(__xludf.DUMMYFUNCTION("""COMPUTED_VALUE"""),"Gold")</f>
        <v>Gold</v>
      </c>
      <c r="G370" s="265" t="str">
        <f>IFERROR(__xludf.DUMMYFUNCTION("""COMPUTED_VALUE"""),"Enterprise")</f>
        <v>Enterprise</v>
      </c>
      <c r="H370" s="265" t="str">
        <f>IFERROR(__xludf.DUMMYFUNCTION("""COMPUTED_VALUE"""),"Trả sau")</f>
        <v>Trả sau</v>
      </c>
      <c r="I370" s="265" t="str">
        <f>IFERROR(__xludf.DUMMYFUNCTION("""COMPUTED_VALUE"""),"Portal")</f>
        <v>Portal</v>
      </c>
      <c r="J370" s="265" t="str">
        <f>IFERROR(__xludf.DUMMYFUNCTION("""COMPUTED_VALUE"""),"File Excel")</f>
        <v>File Excel</v>
      </c>
      <c r="K370" s="265" t="str">
        <f>IFERROR(__xludf.DUMMYFUNCTION("""COMPUTED_VALUE"""),"DungPL")</f>
        <v>DungPL</v>
      </c>
    </row>
    <row r="371">
      <c r="A371" s="265" t="str">
        <f>IFERROR(__xludf.DUMMYFUNCTION("""COMPUTED_VALUE"""),"662")</f>
        <v>662</v>
      </c>
      <c r="B371" s="265" t="str">
        <f>IFERROR(__xludf.DUMMYFUNCTION("""COMPUTED_VALUE"""),"Sài Gòn")</f>
        <v>Sài Gòn</v>
      </c>
      <c r="C371" s="265" t="str">
        <f>IFERROR(__xludf.DUMMYFUNCTION("""COMPUTED_VALUE"""),"Locked")</f>
        <v>Locked</v>
      </c>
      <c r="D371" s="265" t="str">
        <f>IFERROR(__xludf.DUMMYFUNCTION("""COMPUTED_VALUE"""),"Sale chưa cung cấp")</f>
        <v>Sale chưa cung cấp</v>
      </c>
      <c r="E371" s="265" t="str">
        <f>IFERROR(__xludf.DUMMYFUNCTION("""COMPUTED_VALUE"""),"TuVTC")</f>
        <v>TuVTC</v>
      </c>
      <c r="F371" s="265" t="str">
        <f>IFERROR(__xludf.DUMMYFUNCTION("""COMPUTED_VALUE"""),"Sale chưa cung cấp")</f>
        <v>Sale chưa cung cấp</v>
      </c>
      <c r="G371" s="265" t="str">
        <f>IFERROR(__xludf.DUMMYFUNCTION("""COMPUTED_VALUE"""),"MSG")</f>
        <v>MSG</v>
      </c>
      <c r="H371" s="265" t="str">
        <f>IFERROR(__xludf.DUMMYFUNCTION("""COMPUTED_VALUE"""),"Trả sau")</f>
        <v>Trả sau</v>
      </c>
      <c r="I371" s="265" t="str">
        <f>IFERROR(__xludf.DUMMYFUNCTION("""COMPUTED_VALUE"""),"(Chưa recheck)")</f>
        <v>(Chưa recheck)</v>
      </c>
      <c r="J371" s="265" t="str">
        <f>IFERROR(__xludf.DUMMYFUNCTION("""COMPUTED_VALUE"""),"File Excel")</f>
        <v>File Excel</v>
      </c>
      <c r="K371" s="265" t="str">
        <f>IFERROR(__xludf.DUMMYFUNCTION("""COMPUTED_VALUE"""),"TuVTC")</f>
        <v>TuVTC</v>
      </c>
    </row>
    <row r="372">
      <c r="A372" s="265" t="str">
        <f>IFERROR(__xludf.DUMMYFUNCTION("""COMPUTED_VALUE"""),"663")</f>
        <v>663</v>
      </c>
      <c r="B372" s="265" t="str">
        <f>IFERROR(__xludf.DUMMYFUNCTION("""COMPUTED_VALUE"""),"Hà Nội")</f>
        <v>Hà Nội</v>
      </c>
      <c r="C372" s="265" t="str">
        <f>IFERROR(__xludf.DUMMYFUNCTION("""COMPUTED_VALUE"""),"Locked")</f>
        <v>Locked</v>
      </c>
      <c r="D372" s="265" t="str">
        <f>IFERROR(__xludf.DUMMYFUNCTION("""COMPUTED_VALUE"""),"Y tế &amp; Dược phẩm")</f>
        <v>Y tế &amp; Dược phẩm</v>
      </c>
      <c r="E372" s="265" t="str">
        <f>IFERROR(__xludf.DUMMYFUNCTION("""COMPUTED_VALUE"""),"TúPHN")</f>
        <v>TúPHN</v>
      </c>
      <c r="F372" s="265" t="str">
        <f>IFERROR(__xludf.DUMMYFUNCTION("""COMPUTED_VALUE"""),"Sale chưa cung cấp")</f>
        <v>Sale chưa cung cấp</v>
      </c>
      <c r="G372" s="265" t="str">
        <f>IFERROR(__xludf.DUMMYFUNCTION("""COMPUTED_VALUE"""),"Enterprise")</f>
        <v>Enterprise</v>
      </c>
      <c r="H372" s="265" t="str">
        <f>IFERROR(__xludf.DUMMYFUNCTION("""COMPUTED_VALUE"""),"Trial")</f>
        <v>Trial</v>
      </c>
      <c r="I372" s="265" t="str">
        <f>IFERROR(__xludf.DUMMYFUNCTION("""COMPUTED_VALUE"""),"API &amp; Portal")</f>
        <v>API &amp; Portal</v>
      </c>
      <c r="J372" s="265" t="str">
        <f>IFERROR(__xludf.DUMMYFUNCTION("""COMPUTED_VALUE"""),"File Excel")</f>
        <v>File Excel</v>
      </c>
      <c r="K372" s="265" t="str">
        <f>IFERROR(__xludf.DUMMYFUNCTION("""COMPUTED_VALUE"""),"DungPL")</f>
        <v>DungPL</v>
      </c>
    </row>
    <row r="373">
      <c r="A373" s="265" t="str">
        <f>IFERROR(__xludf.DUMMYFUNCTION("""COMPUTED_VALUE"""),"663")</f>
        <v>663</v>
      </c>
      <c r="B373" s="265" t="str">
        <f>IFERROR(__xludf.DUMMYFUNCTION("""COMPUTED_VALUE"""),"Hà Nội")</f>
        <v>Hà Nội</v>
      </c>
      <c r="C373" s="265" t="str">
        <f>IFERROR(__xludf.DUMMYFUNCTION("""COMPUTED_VALUE"""),"Locked")</f>
        <v>Locked</v>
      </c>
      <c r="D373" s="265" t="str">
        <f>IFERROR(__xludf.DUMMYFUNCTION("""COMPUTED_VALUE"""),"Y tế &amp; Dược phẩm")</f>
        <v>Y tế &amp; Dược phẩm</v>
      </c>
      <c r="E373" s="265" t="str">
        <f>IFERROR(__xludf.DUMMYFUNCTION("""COMPUTED_VALUE"""),"TúPHN")</f>
        <v>TúPHN</v>
      </c>
      <c r="F373" s="265" t="str">
        <f>IFERROR(__xludf.DUMMYFUNCTION("""COMPUTED_VALUE"""),"Sale chưa cung cấp")</f>
        <v>Sale chưa cung cấp</v>
      </c>
      <c r="G373" s="265" t="str">
        <f>IFERROR(__xludf.DUMMYFUNCTION("""COMPUTED_VALUE"""),"Enterprise")</f>
        <v>Enterprise</v>
      </c>
      <c r="H373" s="265" t="str">
        <f>IFERROR(__xludf.DUMMYFUNCTION("""COMPUTED_VALUE"""),"Trial")</f>
        <v>Trial</v>
      </c>
      <c r="I373" s="265" t="str">
        <f>IFERROR(__xludf.DUMMYFUNCTION("""COMPUTED_VALUE"""),"API &amp; Portal")</f>
        <v>API &amp; Portal</v>
      </c>
      <c r="J373" s="265" t="str">
        <f>IFERROR(__xludf.DUMMYFUNCTION("""COMPUTED_VALUE"""),"API")</f>
        <v>API</v>
      </c>
      <c r="K373" s="265" t="str">
        <f>IFERROR(__xludf.DUMMYFUNCTION("""COMPUTED_VALUE"""),"DungPL")</f>
        <v>DungPL</v>
      </c>
    </row>
    <row r="374">
      <c r="A374" s="265" t="str">
        <f>IFERROR(__xludf.DUMMYFUNCTION("""COMPUTED_VALUE"""),"665")</f>
        <v>665</v>
      </c>
      <c r="B374" s="265" t="str">
        <f>IFERROR(__xludf.DUMMYFUNCTION("""COMPUTED_VALUE"""),"Sài Gòn")</f>
        <v>Sài Gòn</v>
      </c>
      <c r="C374" s="265" t="str">
        <f>IFERROR(__xludf.DUMMYFUNCTION("""COMPUTED_VALUE"""),"Locked")</f>
        <v>Locked</v>
      </c>
      <c r="D374" s="265" t="str">
        <f>IFERROR(__xludf.DUMMYFUNCTION("""COMPUTED_VALUE"""),"Công nghệ &amp; Phần mềm")</f>
        <v>Công nghệ &amp; Phần mềm</v>
      </c>
      <c r="E374" s="265" t="str">
        <f>IFERROR(__xludf.DUMMYFUNCTION("""COMPUTED_VALUE"""),"TùngLD")</f>
        <v>TùngLD</v>
      </c>
      <c r="F374" s="265" t="str">
        <f>IFERROR(__xludf.DUMMYFUNCTION("""COMPUTED_VALUE"""),"Bronze")</f>
        <v>Bronze</v>
      </c>
      <c r="G374" s="265" t="str">
        <f>IFERROR(__xludf.DUMMYFUNCTION("""COMPUTED_VALUE"""),"Enterprise")</f>
        <v>Enterprise</v>
      </c>
      <c r="H374" s="265" t="str">
        <f>IFERROR(__xludf.DUMMYFUNCTION("""COMPUTED_VALUE"""),"(Chưa recheck)")</f>
        <v>(Chưa recheck)</v>
      </c>
      <c r="I374" s="265" t="str">
        <f>IFERROR(__xludf.DUMMYFUNCTION("""COMPUTED_VALUE"""),"(Chưa recheck)")</f>
        <v>(Chưa recheck)</v>
      </c>
      <c r="J374" s="265" t="str">
        <f>IFERROR(__xludf.DUMMYFUNCTION("""COMPUTED_VALUE"""),"File Excel")</f>
        <v>File Excel</v>
      </c>
      <c r="K374" s="265" t="str">
        <f>IFERROR(__xludf.DUMMYFUNCTION("""COMPUTED_VALUE"""),"ThanhLT")</f>
        <v>ThanhLT</v>
      </c>
    </row>
    <row r="375">
      <c r="A375" s="265" t="str">
        <f>IFERROR(__xludf.DUMMYFUNCTION("""COMPUTED_VALUE"""),"664")</f>
        <v>664</v>
      </c>
      <c r="B375" s="265" t="str">
        <f>IFERROR(__xludf.DUMMYFUNCTION("""COMPUTED_VALUE"""),"Sài Gòn")</f>
        <v>Sài Gòn</v>
      </c>
      <c r="C375" s="265" t="str">
        <f>IFERROR(__xludf.DUMMYFUNCTION("""COMPUTED_VALUE"""),"Locked")</f>
        <v>Locked</v>
      </c>
      <c r="D375" s="265" t="str">
        <f>IFERROR(__xludf.DUMMYFUNCTION("""COMPUTED_VALUE"""),"Sale chưa cung cấp")</f>
        <v>Sale chưa cung cấp</v>
      </c>
      <c r="E375" s="265" t="str">
        <f>IFERROR(__xludf.DUMMYFUNCTION("""COMPUTED_VALUE"""),"Không phân công")</f>
        <v>Không phân công</v>
      </c>
      <c r="F375" s="265" t="str">
        <f>IFERROR(__xludf.DUMMYFUNCTION("""COMPUTED_VALUE"""),"Sale chưa cung cấp")</f>
        <v>Sale chưa cung cấp</v>
      </c>
      <c r="G375" s="265" t="str">
        <f>IFERROR(__xludf.DUMMYFUNCTION("""COMPUTED_VALUE"""),"SIMILAR")</f>
        <v>SIMILAR</v>
      </c>
      <c r="H375" s="265" t="str">
        <f>IFERROR(__xludf.DUMMYFUNCTION("""COMPUTED_VALUE"""),"Trả sau")</f>
        <v>Trả sau</v>
      </c>
      <c r="I375" s="265" t="str">
        <f>IFERROR(__xludf.DUMMYFUNCTION("""COMPUTED_VALUE"""),"API")</f>
        <v>API</v>
      </c>
      <c r="J375" s="265" t="str">
        <f>IFERROR(__xludf.DUMMYFUNCTION("""COMPUTED_VALUE"""),"File Excel")</f>
        <v>File Excel</v>
      </c>
      <c r="K375" s="265" t="str">
        <f>IFERROR(__xludf.DUMMYFUNCTION("""COMPUTED_VALUE"""),"LinhNTT1")</f>
        <v>LinhNTT1</v>
      </c>
    </row>
    <row r="376">
      <c r="A376" s="265" t="str">
        <f>IFERROR(__xludf.DUMMYFUNCTION("""COMPUTED_VALUE"""),"666")</f>
        <v>666</v>
      </c>
      <c r="B376" s="265" t="str">
        <f>IFERROR(__xludf.DUMMYFUNCTION("""COMPUTED_VALUE"""),"Sài Gòn")</f>
        <v>Sài Gòn</v>
      </c>
      <c r="C376" s="265" t="str">
        <f>IFERROR(__xludf.DUMMYFUNCTION("""COMPUTED_VALUE"""),"Locked")</f>
        <v>Locked</v>
      </c>
      <c r="D376" s="265" t="str">
        <f>IFERROR(__xludf.DUMMYFUNCTION("""COMPUTED_VALUE"""),"Sale chưa cung cấp")</f>
        <v>Sale chưa cung cấp</v>
      </c>
      <c r="E376" s="265" t="str">
        <f>IFERROR(__xludf.DUMMYFUNCTION("""COMPUTED_VALUE"""),"TúPHN")</f>
        <v>TúPHN</v>
      </c>
      <c r="F376" s="265" t="str">
        <f>IFERROR(__xludf.DUMMYFUNCTION("""COMPUTED_VALUE"""),"Sale chưa cung cấp")</f>
        <v>Sale chưa cung cấp</v>
      </c>
      <c r="G376" s="265" t="str">
        <f>IFERROR(__xludf.DUMMYFUNCTION("""COMPUTED_VALUE"""),"API")</f>
        <v>API</v>
      </c>
      <c r="H376" s="265" t="str">
        <f>IFERROR(__xludf.DUMMYFUNCTION("""COMPUTED_VALUE"""),"Trial")</f>
        <v>Trial</v>
      </c>
      <c r="I376" s="265" t="str">
        <f>IFERROR(__xludf.DUMMYFUNCTION("""COMPUTED_VALUE"""),"API")</f>
        <v>API</v>
      </c>
      <c r="J376" s="265" t="str">
        <f>IFERROR(__xludf.DUMMYFUNCTION("""COMPUTED_VALUE"""),"API")</f>
        <v>API</v>
      </c>
      <c r="K376" s="265" t="str">
        <f>IFERROR(__xludf.DUMMYFUNCTION("""COMPUTED_VALUE"""),"(Không recheck)")</f>
        <v>(Không recheck)</v>
      </c>
    </row>
    <row r="377">
      <c r="A377" s="265" t="str">
        <f>IFERROR(__xludf.DUMMYFUNCTION("""COMPUTED_VALUE"""),"667")</f>
        <v>667</v>
      </c>
      <c r="B377" s="265" t="str">
        <f>IFERROR(__xludf.DUMMYFUNCTION("""COMPUTED_VALUE"""),"Đà Nẵng")</f>
        <v>Đà Nẵng</v>
      </c>
      <c r="C377" s="265" t="str">
        <f>IFERROR(__xludf.DUMMYFUNCTION("""COMPUTED_VALUE"""),"Active")</f>
        <v>Active</v>
      </c>
      <c r="D377" s="265" t="str">
        <f>IFERROR(__xludf.DUMMYFUNCTION("""COMPUTED_VALUE"""),"Sale chưa cung cấp")</f>
        <v>Sale chưa cung cấp</v>
      </c>
      <c r="E377" s="265" t="str">
        <f>IFERROR(__xludf.DUMMYFUNCTION("""COMPUTED_VALUE"""),"Không phân công")</f>
        <v>Không phân công</v>
      </c>
      <c r="F377" s="265" t="str">
        <f>IFERROR(__xludf.DUMMYFUNCTION("""COMPUTED_VALUE"""),"Gold")</f>
        <v>Gold</v>
      </c>
      <c r="G377" s="265" t="str">
        <f>IFERROR(__xludf.DUMMYFUNCTION("""COMPUTED_VALUE"""),"Standard")</f>
        <v>Standard</v>
      </c>
      <c r="H377" s="265" t="str">
        <f>IFERROR(__xludf.DUMMYFUNCTION("""COMPUTED_VALUE"""),"Trả trước")</f>
        <v>Trả trước</v>
      </c>
      <c r="I377" s="265" t="str">
        <f>IFERROR(__xludf.DUMMYFUNCTION("""COMPUTED_VALUE"""),"API")</f>
        <v>API</v>
      </c>
      <c r="J377" s="265" t="str">
        <f>IFERROR(__xludf.DUMMYFUNCTION("""COMPUTED_VALUE"""),"API")</f>
        <v>API</v>
      </c>
      <c r="K377" s="265" t="str">
        <f>IFERROR(__xludf.DUMMYFUNCTION("""COMPUTED_VALUE"""),"DungPL")</f>
        <v>DungPL</v>
      </c>
    </row>
    <row r="378">
      <c r="A378" s="265" t="str">
        <f>IFERROR(__xludf.DUMMYFUNCTION("""COMPUTED_VALUE"""),"668")</f>
        <v>668</v>
      </c>
      <c r="B378" s="265" t="str">
        <f>IFERROR(__xludf.DUMMYFUNCTION("""COMPUTED_VALUE"""),"Hà Nội")</f>
        <v>Hà Nội</v>
      </c>
      <c r="C378" s="265" t="str">
        <f>IFERROR(__xludf.DUMMYFUNCTION("""COMPUTED_VALUE"""),"Locked")</f>
        <v>Locked</v>
      </c>
      <c r="D378" s="265" t="str">
        <f>IFERROR(__xludf.DUMMYFUNCTION("""COMPUTED_VALUE"""),"Viễn thông")</f>
        <v>Viễn thông</v>
      </c>
      <c r="E378" s="265" t="str">
        <f>IFERROR(__xludf.DUMMYFUNCTION("""COMPUTED_VALUE"""),"TúPHN")</f>
        <v>TúPHN</v>
      </c>
      <c r="F378" s="265" t="str">
        <f>IFERROR(__xludf.DUMMYFUNCTION("""COMPUTED_VALUE"""),"Gold")</f>
        <v>Gold</v>
      </c>
      <c r="G378" s="265" t="str">
        <f>IFERROR(__xludf.DUMMYFUNCTION("""COMPUTED_VALUE"""),"Enterprise")</f>
        <v>Enterprise</v>
      </c>
      <c r="H378" s="265" t="str">
        <f>IFERROR(__xludf.DUMMYFUNCTION("""COMPUTED_VALUE"""),"Trả sau")</f>
        <v>Trả sau</v>
      </c>
      <c r="I378" s="265" t="str">
        <f>IFERROR(__xludf.DUMMYFUNCTION("""COMPUTED_VALUE"""),"Portal")</f>
        <v>Portal</v>
      </c>
      <c r="J378" s="265" t="str">
        <f>IFERROR(__xludf.DUMMYFUNCTION("""COMPUTED_VALUE"""),"File Excel")</f>
        <v>File Excel</v>
      </c>
      <c r="K378" s="265" t="str">
        <f>IFERROR(__xludf.DUMMYFUNCTION("""COMPUTED_VALUE"""),"AnhNM")</f>
        <v>AnhNM</v>
      </c>
    </row>
    <row r="379">
      <c r="A379" s="265" t="str">
        <f>IFERROR(__xludf.DUMMYFUNCTION("""COMPUTED_VALUE"""),"669")</f>
        <v>669</v>
      </c>
      <c r="B379" s="265" t="str">
        <f>IFERROR(__xludf.DUMMYFUNCTION("""COMPUTED_VALUE"""),"Hà Nội")</f>
        <v>Hà Nội</v>
      </c>
      <c r="C379" s="265" t="str">
        <f>IFERROR(__xludf.DUMMYFUNCTION("""COMPUTED_VALUE"""),"Locked")</f>
        <v>Locked</v>
      </c>
      <c r="D379" s="265" t="str">
        <f>IFERROR(__xludf.DUMMYFUNCTION("""COMPUTED_VALUE"""),"Tài chính &amp; Ngân hàng")</f>
        <v>Tài chính &amp; Ngân hàng</v>
      </c>
      <c r="E379" s="265" t="str">
        <f>IFERROR(__xludf.DUMMYFUNCTION("""COMPUTED_VALUE"""),"DungDT")</f>
        <v>DungDT</v>
      </c>
      <c r="F379" s="265" t="str">
        <f>IFERROR(__xludf.DUMMYFUNCTION("""COMPUTED_VALUE"""),"Sale chưa cung cấp")</f>
        <v>Sale chưa cung cấp</v>
      </c>
      <c r="G379" s="265" t="str">
        <f>IFERROR(__xludf.DUMMYFUNCTION("""COMPUTED_VALUE"""),"Enterprise")</f>
        <v>Enterprise</v>
      </c>
      <c r="H379" s="265" t="str">
        <f>IFERROR(__xludf.DUMMYFUNCTION("""COMPUTED_VALUE"""),"Trial")</f>
        <v>Trial</v>
      </c>
      <c r="I379" s="265" t="str">
        <f>IFERROR(__xludf.DUMMYFUNCTION("""COMPUTED_VALUE"""),"(Không recheck)")</f>
        <v>(Không recheck)</v>
      </c>
      <c r="J379" s="265" t="str">
        <f>IFERROR(__xludf.DUMMYFUNCTION("""COMPUTED_VALUE"""),"(Không recheck)")</f>
        <v>(Không recheck)</v>
      </c>
      <c r="K379" s="265" t="str">
        <f>IFERROR(__xludf.DUMMYFUNCTION("""COMPUTED_VALUE"""),"(Không recheck)")</f>
        <v>(Không recheck)</v>
      </c>
    </row>
    <row r="380">
      <c r="A380" s="265" t="str">
        <f>IFERROR(__xludf.DUMMYFUNCTION("""COMPUTED_VALUE"""),"670")</f>
        <v>670</v>
      </c>
      <c r="B380" s="265" t="str">
        <f>IFERROR(__xludf.DUMMYFUNCTION("""COMPUTED_VALUE"""),"Sài Gòn")</f>
        <v>Sài Gòn</v>
      </c>
      <c r="C380" s="265" t="str">
        <f>IFERROR(__xludf.DUMMYFUNCTION("""COMPUTED_VALUE"""),"Locked")</f>
        <v>Locked</v>
      </c>
      <c r="D380" s="265" t="str">
        <f>IFERROR(__xludf.DUMMYFUNCTION("""COMPUTED_VALUE"""),"Viễn thông")</f>
        <v>Viễn thông</v>
      </c>
      <c r="E380" s="265" t="str">
        <f>IFERROR(__xludf.DUMMYFUNCTION("""COMPUTED_VALUE"""),"HoaNTM")</f>
        <v>HoaNTM</v>
      </c>
      <c r="F380" s="265" t="str">
        <f>IFERROR(__xludf.DUMMYFUNCTION("""COMPUTED_VALUE"""),"Sale chưa cung cấp")</f>
        <v>Sale chưa cung cấp</v>
      </c>
      <c r="G380" s="265" t="str">
        <f>IFERROR(__xludf.DUMMYFUNCTION("""COMPUTED_VALUE"""),"Enterprise")</f>
        <v>Enterprise</v>
      </c>
      <c r="H380" s="265" t="str">
        <f>IFERROR(__xludf.DUMMYFUNCTION("""COMPUTED_VALUE"""),"(Chưa recheck)")</f>
        <v>(Chưa recheck)</v>
      </c>
      <c r="I380" s="265" t="str">
        <f>IFERROR(__xludf.DUMMYFUNCTION("""COMPUTED_VALUE"""),"API &amp; Portal")</f>
        <v>API &amp; Portal</v>
      </c>
      <c r="J380" s="265" t="str">
        <f>IFERROR(__xludf.DUMMYFUNCTION("""COMPUTED_VALUE"""),"File Excel")</f>
        <v>File Excel</v>
      </c>
      <c r="K380" s="265" t="str">
        <f>IFERROR(__xludf.DUMMYFUNCTION("""COMPUTED_VALUE"""),"AnhNM")</f>
        <v>AnhNM</v>
      </c>
    </row>
    <row r="381">
      <c r="A381" s="265" t="str">
        <f>IFERROR(__xludf.DUMMYFUNCTION("""COMPUTED_VALUE"""),"670")</f>
        <v>670</v>
      </c>
      <c r="B381" s="265" t="str">
        <f>IFERROR(__xludf.DUMMYFUNCTION("""COMPUTED_VALUE"""),"Sài Gòn")</f>
        <v>Sài Gòn</v>
      </c>
      <c r="C381" s="265" t="str">
        <f>IFERROR(__xludf.DUMMYFUNCTION("""COMPUTED_VALUE"""),"Locked")</f>
        <v>Locked</v>
      </c>
      <c r="D381" s="265" t="str">
        <f>IFERROR(__xludf.DUMMYFUNCTION("""COMPUTED_VALUE"""),"Viễn thông")</f>
        <v>Viễn thông</v>
      </c>
      <c r="E381" s="265" t="str">
        <f>IFERROR(__xludf.DUMMYFUNCTION("""COMPUTED_VALUE"""),"HoaNTM")</f>
        <v>HoaNTM</v>
      </c>
      <c r="F381" s="265" t="str">
        <f>IFERROR(__xludf.DUMMYFUNCTION("""COMPUTED_VALUE"""),"Sale chưa cung cấp")</f>
        <v>Sale chưa cung cấp</v>
      </c>
      <c r="G381" s="265" t="str">
        <f>IFERROR(__xludf.DUMMYFUNCTION("""COMPUTED_VALUE"""),"Enterprise")</f>
        <v>Enterprise</v>
      </c>
      <c r="H381" s="265" t="str">
        <f>IFERROR(__xludf.DUMMYFUNCTION("""COMPUTED_VALUE"""),"(Chưa recheck)")</f>
        <v>(Chưa recheck)</v>
      </c>
      <c r="I381" s="265" t="str">
        <f>IFERROR(__xludf.DUMMYFUNCTION("""COMPUTED_VALUE"""),"API &amp; Portal")</f>
        <v>API &amp; Portal</v>
      </c>
      <c r="J381" s="265" t="str">
        <f>IFERROR(__xludf.DUMMYFUNCTION("""COMPUTED_VALUE"""),"API")</f>
        <v>API</v>
      </c>
      <c r="K381" s="265" t="str">
        <f>IFERROR(__xludf.DUMMYFUNCTION("""COMPUTED_VALUE"""),"AnhNM")</f>
        <v>AnhNM</v>
      </c>
    </row>
    <row r="382">
      <c r="A382" s="265" t="str">
        <f>IFERROR(__xludf.DUMMYFUNCTION("""COMPUTED_VALUE"""),"411")</f>
        <v>411</v>
      </c>
      <c r="B382" s="265" t="str">
        <f>IFERROR(__xludf.DUMMYFUNCTION("""COMPUTED_VALUE"""),"Sài Gòn")</f>
        <v>Sài Gòn</v>
      </c>
      <c r="C382" s="265" t="str">
        <f>IFERROR(__xludf.DUMMYFUNCTION("""COMPUTED_VALUE"""),"Locked")</f>
        <v>Locked</v>
      </c>
      <c r="D382" s="265" t="str">
        <f>IFERROR(__xludf.DUMMYFUNCTION("""COMPUTED_VALUE"""),"Sale chưa cung cấp")</f>
        <v>Sale chưa cung cấp</v>
      </c>
      <c r="E382" s="265" t="str">
        <f>IFERROR(__xludf.DUMMYFUNCTION("""COMPUTED_VALUE"""),"TúPHN")</f>
        <v>TúPHN</v>
      </c>
      <c r="F382" s="265" t="str">
        <f>IFERROR(__xludf.DUMMYFUNCTION("""COMPUTED_VALUE"""),"Silver")</f>
        <v>Silver</v>
      </c>
      <c r="G382" s="265" t="str">
        <f>IFERROR(__xludf.DUMMYFUNCTION("""COMPUTED_VALUE"""),"Enterprise")</f>
        <v>Enterprise</v>
      </c>
      <c r="H382" s="265" t="str">
        <f>IFERROR(__xludf.DUMMYFUNCTION("""COMPUTED_VALUE"""),"(Chưa recheck)")</f>
        <v>(Chưa recheck)</v>
      </c>
      <c r="I382" s="265" t="str">
        <f>IFERROR(__xludf.DUMMYFUNCTION("""COMPUTED_VALUE"""),"(Chưa recheck)")</f>
        <v>(Chưa recheck)</v>
      </c>
      <c r="J382" s="265" t="str">
        <f>IFERROR(__xludf.DUMMYFUNCTION("""COMPUTED_VALUE"""),"Pos365")</f>
        <v>Pos365</v>
      </c>
      <c r="K382" s="265" t="str">
        <f>IFERROR(__xludf.DUMMYFUNCTION("""COMPUTED_VALUE"""),"AnhNM")</f>
        <v>AnhNM</v>
      </c>
    </row>
    <row r="383">
      <c r="A383" s="265" t="str">
        <f>IFERROR(__xludf.DUMMYFUNCTION("""COMPUTED_VALUE"""),"671")</f>
        <v>671</v>
      </c>
      <c r="B383" s="265" t="str">
        <f>IFERROR(__xludf.DUMMYFUNCTION("""COMPUTED_VALUE"""),"Hà Nội")</f>
        <v>Hà Nội</v>
      </c>
      <c r="C383" s="265" t="str">
        <f>IFERROR(__xludf.DUMMYFUNCTION("""COMPUTED_VALUE"""),"Locked")</f>
        <v>Locked</v>
      </c>
      <c r="D383" s="265" t="str">
        <f>IFERROR(__xludf.DUMMYFUNCTION("""COMPUTED_VALUE"""),"Tài chính &amp; Ngân hàng")</f>
        <v>Tài chính &amp; Ngân hàng</v>
      </c>
      <c r="E383" s="265" t="str">
        <f>IFERROR(__xludf.DUMMYFUNCTION("""COMPUTED_VALUE"""),"(Không recheck)")</f>
        <v>(Không recheck)</v>
      </c>
      <c r="F383" s="265" t="str">
        <f>IFERROR(__xludf.DUMMYFUNCTION("""COMPUTED_VALUE"""),"Sale chưa cung cấp")</f>
        <v>Sale chưa cung cấp</v>
      </c>
      <c r="G383" s="265" t="str">
        <f>IFERROR(__xludf.DUMMYFUNCTION("""COMPUTED_VALUE"""),"API")</f>
        <v>API</v>
      </c>
      <c r="H383" s="265" t="str">
        <f>IFERROR(__xludf.DUMMYFUNCTION("""COMPUTED_VALUE"""),"Trial")</f>
        <v>Trial</v>
      </c>
      <c r="I383" s="265" t="str">
        <f>IFERROR(__xludf.DUMMYFUNCTION("""COMPUTED_VALUE"""),"API")</f>
        <v>API</v>
      </c>
      <c r="J383" s="265" t="str">
        <f>IFERROR(__xludf.DUMMYFUNCTION("""COMPUTED_VALUE"""),"API")</f>
        <v>API</v>
      </c>
      <c r="K383" s="265" t="str">
        <f>IFERROR(__xludf.DUMMYFUNCTION("""COMPUTED_VALUE"""),"(Không recheck)")</f>
        <v>(Không recheck)</v>
      </c>
    </row>
    <row r="384">
      <c r="A384" s="265" t="str">
        <f>IFERROR(__xludf.DUMMYFUNCTION("""COMPUTED_VALUE"""),"672")</f>
        <v>672</v>
      </c>
      <c r="B384" s="265" t="str">
        <f>IFERROR(__xludf.DUMMYFUNCTION("""COMPUTED_VALUE"""),"Hà Nội")</f>
        <v>Hà Nội</v>
      </c>
      <c r="C384" s="265" t="str">
        <f>IFERROR(__xludf.DUMMYFUNCTION("""COMPUTED_VALUE"""),"Locked")</f>
        <v>Locked</v>
      </c>
      <c r="D384" s="265" t="str">
        <f>IFERROR(__xludf.DUMMYFUNCTION("""COMPUTED_VALUE"""),"Bất động sản")</f>
        <v>Bất động sản</v>
      </c>
      <c r="E384" s="265" t="str">
        <f>IFERROR(__xludf.DUMMYFUNCTION("""COMPUTED_VALUE"""),"TúPHN")</f>
        <v>TúPHN</v>
      </c>
      <c r="F384" s="265" t="str">
        <f>IFERROR(__xludf.DUMMYFUNCTION("""COMPUTED_VALUE"""),"Bronze")</f>
        <v>Bronze</v>
      </c>
      <c r="G384" s="265" t="str">
        <f>IFERROR(__xludf.DUMMYFUNCTION("""COMPUTED_VALUE"""),"Enterprise")</f>
        <v>Enterprise</v>
      </c>
      <c r="H384" s="265" t="str">
        <f>IFERROR(__xludf.DUMMYFUNCTION("""COMPUTED_VALUE"""),"Trả trước")</f>
        <v>Trả trước</v>
      </c>
      <c r="I384" s="265" t="str">
        <f>IFERROR(__xludf.DUMMYFUNCTION("""COMPUTED_VALUE"""),"Portal")</f>
        <v>Portal</v>
      </c>
      <c r="J384" s="265" t="str">
        <f>IFERROR(__xludf.DUMMYFUNCTION("""COMPUTED_VALUE"""),"File Excel")</f>
        <v>File Excel</v>
      </c>
      <c r="K384" s="265" t="str">
        <f>IFERROR(__xludf.DUMMYFUNCTION("""COMPUTED_VALUE"""),"LinhNTT1")</f>
        <v>LinhNTT1</v>
      </c>
    </row>
    <row r="385">
      <c r="A385" s="265" t="str">
        <f>IFERROR(__xludf.DUMMYFUNCTION("""COMPUTED_VALUE"""),"673")</f>
        <v>673</v>
      </c>
      <c r="B385" s="265" t="str">
        <f>IFERROR(__xludf.DUMMYFUNCTION("""COMPUTED_VALUE"""),"Hà Nội")</f>
        <v>Hà Nội</v>
      </c>
      <c r="C385" s="265" t="str">
        <f>IFERROR(__xludf.DUMMYFUNCTION("""COMPUTED_VALUE"""),"Locked")</f>
        <v>Locked</v>
      </c>
      <c r="D385" s="265" t="str">
        <f>IFERROR(__xludf.DUMMYFUNCTION("""COMPUTED_VALUE"""),"Sale chưa cung cấp")</f>
        <v>Sale chưa cung cấp</v>
      </c>
      <c r="E385" s="265" t="str">
        <f>IFERROR(__xludf.DUMMYFUNCTION("""COMPUTED_VALUE"""),"TùngLD")</f>
        <v>TùngLD</v>
      </c>
      <c r="F385" s="265" t="str">
        <f>IFERROR(__xludf.DUMMYFUNCTION("""COMPUTED_VALUE"""),"Sale chưa cung cấp")</f>
        <v>Sale chưa cung cấp</v>
      </c>
      <c r="G385" s="265" t="str">
        <f>IFERROR(__xludf.DUMMYFUNCTION("""COMPUTED_VALUE"""),"Enterprise")</f>
        <v>Enterprise</v>
      </c>
      <c r="H385" s="265" t="str">
        <f>IFERROR(__xludf.DUMMYFUNCTION("""COMPUTED_VALUE"""),"Trial")</f>
        <v>Trial</v>
      </c>
      <c r="I385" s="265" t="str">
        <f>IFERROR(__xludf.DUMMYFUNCTION("""COMPUTED_VALUE"""),"Portal")</f>
        <v>Portal</v>
      </c>
      <c r="J385" s="265" t="str">
        <f>IFERROR(__xludf.DUMMYFUNCTION("""COMPUTED_VALUE"""),"(Không recheck)")</f>
        <v>(Không recheck)</v>
      </c>
      <c r="K385" s="265" t="str">
        <f>IFERROR(__xludf.DUMMYFUNCTION("""COMPUTED_VALUE"""),"(Không recheck)")</f>
        <v>(Không recheck)</v>
      </c>
    </row>
    <row r="386">
      <c r="A386" s="265" t="str">
        <f>IFERROR(__xludf.DUMMYFUNCTION("""COMPUTED_VALUE"""),"675")</f>
        <v>675</v>
      </c>
      <c r="B386" s="265" t="str">
        <f>IFERROR(__xludf.DUMMYFUNCTION("""COMPUTED_VALUE"""),"Hà Nội")</f>
        <v>Hà Nội</v>
      </c>
      <c r="C386" s="265" t="str">
        <f>IFERROR(__xludf.DUMMYFUNCTION("""COMPUTED_VALUE"""),"Active")</f>
        <v>Active</v>
      </c>
      <c r="D386" s="265" t="str">
        <f>IFERROR(__xludf.DUMMYFUNCTION("""COMPUTED_VALUE"""),"Du lịch &amp; Lưu trú")</f>
        <v>Du lịch &amp; Lưu trú</v>
      </c>
      <c r="E386" s="265" t="str">
        <f>IFERROR(__xludf.DUMMYFUNCTION("""COMPUTED_VALUE"""),"TúPHN")</f>
        <v>TúPHN</v>
      </c>
      <c r="F386" s="265" t="str">
        <f>IFERROR(__xludf.DUMMYFUNCTION("""COMPUTED_VALUE"""),"Bronze")</f>
        <v>Bronze</v>
      </c>
      <c r="G386" s="265" t="str">
        <f>IFERROR(__xludf.DUMMYFUNCTION("""COMPUTED_VALUE"""),"Standard")</f>
        <v>Standard</v>
      </c>
      <c r="H386" s="265" t="str">
        <f>IFERROR(__xludf.DUMMYFUNCTION("""COMPUTED_VALUE"""),"Trả trước")</f>
        <v>Trả trước</v>
      </c>
      <c r="I386" s="265" t="str">
        <f>IFERROR(__xludf.DUMMYFUNCTION("""COMPUTED_VALUE"""),"Portal")</f>
        <v>Portal</v>
      </c>
      <c r="J386" s="265" t="str">
        <f>IFERROR(__xludf.DUMMYFUNCTION("""COMPUTED_VALUE"""),"File Excel")</f>
        <v>File Excel</v>
      </c>
      <c r="K386" s="265" t="str">
        <f>IFERROR(__xludf.DUMMYFUNCTION("""COMPUTED_VALUE"""),"DungPL")</f>
        <v>DungPL</v>
      </c>
    </row>
    <row r="387">
      <c r="A387" s="265" t="str">
        <f>IFERROR(__xludf.DUMMYFUNCTION("""COMPUTED_VALUE"""),"676")</f>
        <v>676</v>
      </c>
      <c r="B387" s="265" t="str">
        <f>IFERROR(__xludf.DUMMYFUNCTION("""COMPUTED_VALUE"""),"Hà Nội")</f>
        <v>Hà Nội</v>
      </c>
      <c r="C387" s="265" t="str">
        <f>IFERROR(__xludf.DUMMYFUNCTION("""COMPUTED_VALUE"""),"Locked")</f>
        <v>Locked</v>
      </c>
      <c r="D387" s="265" t="str">
        <f>IFERROR(__xludf.DUMMYFUNCTION("""COMPUTED_VALUE"""),"Giáo dục &amp; Đào tạo")</f>
        <v>Giáo dục &amp; Đào tạo</v>
      </c>
      <c r="E387" s="265" t="str">
        <f>IFERROR(__xludf.DUMMYFUNCTION("""COMPUTED_VALUE"""),"TùngLD")</f>
        <v>TùngLD</v>
      </c>
      <c r="F387" s="265" t="str">
        <f>IFERROR(__xludf.DUMMYFUNCTION("""COMPUTED_VALUE"""),"Sale chưa cung cấp")</f>
        <v>Sale chưa cung cấp</v>
      </c>
      <c r="G387" s="265" t="str">
        <f>IFERROR(__xludf.DUMMYFUNCTION("""COMPUTED_VALUE"""),"Enterprise")</f>
        <v>Enterprise</v>
      </c>
      <c r="H387" s="265" t="str">
        <f>IFERROR(__xludf.DUMMYFUNCTION("""COMPUTED_VALUE"""),"Trả sau")</f>
        <v>Trả sau</v>
      </c>
      <c r="I387" s="265" t="str">
        <f>IFERROR(__xludf.DUMMYFUNCTION("""COMPUTED_VALUE"""),"Portal")</f>
        <v>Portal</v>
      </c>
      <c r="J387" s="265" t="str">
        <f>IFERROR(__xludf.DUMMYFUNCTION("""COMPUTED_VALUE"""),"File Excel")</f>
        <v>File Excel</v>
      </c>
      <c r="K387" s="265" t="str">
        <f>IFERROR(__xludf.DUMMYFUNCTION("""COMPUTED_VALUE"""),"AnhNM")</f>
        <v>AnhNM</v>
      </c>
    </row>
    <row r="388">
      <c r="A388" s="265" t="str">
        <f>IFERROR(__xludf.DUMMYFUNCTION("""COMPUTED_VALUE"""),"677")</f>
        <v>677</v>
      </c>
      <c r="B388" s="265" t="str">
        <f>IFERROR(__xludf.DUMMYFUNCTION("""COMPUTED_VALUE"""),"Sài Gòn")</f>
        <v>Sài Gòn</v>
      </c>
      <c r="C388" s="265" t="str">
        <f>IFERROR(__xludf.DUMMYFUNCTION("""COMPUTED_VALUE"""),"Locked")</f>
        <v>Locked</v>
      </c>
      <c r="D388" s="265" t="str">
        <f>IFERROR(__xludf.DUMMYFUNCTION("""COMPUTED_VALUE"""),"Nhà hàng &amp; Quán")</f>
        <v>Nhà hàng &amp; Quán</v>
      </c>
      <c r="E388" s="265" t="str">
        <f>IFERROR(__xludf.DUMMYFUNCTION("""COMPUTED_VALUE"""),"HoaNTM")</f>
        <v>HoaNTM</v>
      </c>
      <c r="F388" s="265" t="str">
        <f>IFERROR(__xludf.DUMMYFUNCTION("""COMPUTED_VALUE"""),"Bronze")</f>
        <v>Bronze</v>
      </c>
      <c r="G388" s="265" t="str">
        <f>IFERROR(__xludf.DUMMYFUNCTION("""COMPUTED_VALUE"""),"SIMILAR")</f>
        <v>SIMILAR</v>
      </c>
      <c r="H388" s="265" t="str">
        <f>IFERROR(__xludf.DUMMYFUNCTION("""COMPUTED_VALUE"""),"(Chưa recheck)")</f>
        <v>(Chưa recheck)</v>
      </c>
      <c r="I388" s="265" t="str">
        <f>IFERROR(__xludf.DUMMYFUNCTION("""COMPUTED_VALUE"""),"API &amp; Portal")</f>
        <v>API &amp; Portal</v>
      </c>
      <c r="J388" s="265" t="str">
        <f>IFERROR(__xludf.DUMMYFUNCTION("""COMPUTED_VALUE"""),"File Excel")</f>
        <v>File Excel</v>
      </c>
      <c r="K388" s="265" t="str">
        <f>IFERROR(__xludf.DUMMYFUNCTION("""COMPUTED_VALUE"""),"AnhNM")</f>
        <v>AnhNM</v>
      </c>
    </row>
    <row r="389">
      <c r="A389" s="265" t="str">
        <f>IFERROR(__xludf.DUMMYFUNCTION("""COMPUTED_VALUE"""),"677")</f>
        <v>677</v>
      </c>
      <c r="B389" s="265" t="str">
        <f>IFERROR(__xludf.DUMMYFUNCTION("""COMPUTED_VALUE"""),"Sài Gòn")</f>
        <v>Sài Gòn</v>
      </c>
      <c r="C389" s="265" t="str">
        <f>IFERROR(__xludf.DUMMYFUNCTION("""COMPUTED_VALUE"""),"Locked")</f>
        <v>Locked</v>
      </c>
      <c r="D389" s="265" t="str">
        <f>IFERROR(__xludf.DUMMYFUNCTION("""COMPUTED_VALUE"""),"Nhà hàng &amp; Quán")</f>
        <v>Nhà hàng &amp; Quán</v>
      </c>
      <c r="E389" s="265" t="str">
        <f>IFERROR(__xludf.DUMMYFUNCTION("""COMPUTED_VALUE"""),"HoaNTM")</f>
        <v>HoaNTM</v>
      </c>
      <c r="F389" s="265" t="str">
        <f>IFERROR(__xludf.DUMMYFUNCTION("""COMPUTED_VALUE"""),"Bronze")</f>
        <v>Bronze</v>
      </c>
      <c r="G389" s="265" t="str">
        <f>IFERROR(__xludf.DUMMYFUNCTION("""COMPUTED_VALUE"""),"SIMILAR")</f>
        <v>SIMILAR</v>
      </c>
      <c r="H389" s="265" t="str">
        <f>IFERROR(__xludf.DUMMYFUNCTION("""COMPUTED_VALUE"""),"(Chưa recheck)")</f>
        <v>(Chưa recheck)</v>
      </c>
      <c r="I389" s="265" t="str">
        <f>IFERROR(__xludf.DUMMYFUNCTION("""COMPUTED_VALUE"""),"API &amp; Portal")</f>
        <v>API &amp; Portal</v>
      </c>
      <c r="J389" s="265" t="str">
        <f>IFERROR(__xludf.DUMMYFUNCTION("""COMPUTED_VALUE"""),"API")</f>
        <v>API</v>
      </c>
      <c r="K389" s="265" t="str">
        <f>IFERROR(__xludf.DUMMYFUNCTION("""COMPUTED_VALUE"""),"AnhNM")</f>
        <v>AnhNM</v>
      </c>
    </row>
    <row r="390">
      <c r="A390" s="265" t="str">
        <f>IFERROR(__xludf.DUMMYFUNCTION("""COMPUTED_VALUE"""),"679")</f>
        <v>679</v>
      </c>
      <c r="B390" s="265" t="str">
        <f>IFERROR(__xludf.DUMMYFUNCTION("""COMPUTED_VALUE"""),"Đà Nẵng")</f>
        <v>Đà Nẵng</v>
      </c>
      <c r="C390" s="265" t="str">
        <f>IFERROR(__xludf.DUMMYFUNCTION("""COMPUTED_VALUE"""),"Active")</f>
        <v>Active</v>
      </c>
      <c r="D390" s="265" t="str">
        <f>IFERROR(__xludf.DUMMYFUNCTION("""COMPUTED_VALUE"""),"Giáo dục &amp; Đào tạo")</f>
        <v>Giáo dục &amp; Đào tạo</v>
      </c>
      <c r="E390" s="265" t="str">
        <f>IFERROR(__xludf.DUMMYFUNCTION("""COMPUTED_VALUE"""),"TúPHN")</f>
        <v>TúPHN</v>
      </c>
      <c r="F390" s="265" t="str">
        <f>IFERROR(__xludf.DUMMYFUNCTION("""COMPUTED_VALUE"""),"Bronze")</f>
        <v>Bronze</v>
      </c>
      <c r="G390" s="265" t="str">
        <f>IFERROR(__xludf.DUMMYFUNCTION("""COMPUTED_VALUE"""),"Standard")</f>
        <v>Standard</v>
      </c>
      <c r="H390" s="265" t="str">
        <f>IFERROR(__xludf.DUMMYFUNCTION("""COMPUTED_VALUE"""),"Trả trước")</f>
        <v>Trả trước</v>
      </c>
      <c r="I390" s="265" t="str">
        <f>IFERROR(__xludf.DUMMYFUNCTION("""COMPUTED_VALUE"""),"Portal")</f>
        <v>Portal</v>
      </c>
      <c r="J390" s="265" t="str">
        <f>IFERROR(__xludf.DUMMYFUNCTION("""COMPUTED_VALUE"""),"File Excel")</f>
        <v>File Excel</v>
      </c>
      <c r="K390" s="265" t="str">
        <f>IFERROR(__xludf.DUMMYFUNCTION("""COMPUTED_VALUE"""),"LinhNTT1")</f>
        <v>LinhNTT1</v>
      </c>
    </row>
    <row r="391">
      <c r="A391" s="265" t="str">
        <f>IFERROR(__xludf.DUMMYFUNCTION("""COMPUTED_VALUE"""),"680")</f>
        <v>680</v>
      </c>
      <c r="B391" s="265" t="str">
        <f>IFERROR(__xludf.DUMMYFUNCTION("""COMPUTED_VALUE"""),"Hà Nội")</f>
        <v>Hà Nội</v>
      </c>
      <c r="C391" s="265" t="str">
        <f>IFERROR(__xludf.DUMMYFUNCTION("""COMPUTED_VALUE"""),"Active")</f>
        <v>Active</v>
      </c>
      <c r="D391" s="265" t="str">
        <f>IFERROR(__xludf.DUMMYFUNCTION("""COMPUTED_VALUE"""),"Truyền thông &amp; Giải trí")</f>
        <v>Truyền thông &amp; Giải trí</v>
      </c>
      <c r="E391" s="265" t="str">
        <f>IFERROR(__xludf.DUMMYFUNCTION("""COMPUTED_VALUE"""),"Không phân công")</f>
        <v>Không phân công</v>
      </c>
      <c r="F391" s="265" t="str">
        <f>IFERROR(__xludf.DUMMYFUNCTION("""COMPUTED_VALUE"""),"Sale chưa cung cấp")</f>
        <v>Sale chưa cung cấp</v>
      </c>
      <c r="G391" s="265" t="str">
        <f>IFERROR(__xludf.DUMMYFUNCTION("""COMPUTED_VALUE"""),"Enterprise")</f>
        <v>Enterprise</v>
      </c>
      <c r="H391" s="265" t="str">
        <f>IFERROR(__xludf.DUMMYFUNCTION("""COMPUTED_VALUE"""),"Trả sau")</f>
        <v>Trả sau</v>
      </c>
      <c r="I391" s="265" t="str">
        <f>IFERROR(__xludf.DUMMYFUNCTION("""COMPUTED_VALUE"""),"API &amp; Portal")</f>
        <v>API &amp; Portal</v>
      </c>
      <c r="J391" s="265" t="str">
        <f>IFERROR(__xludf.DUMMYFUNCTION("""COMPUTED_VALUE"""),"Rà soát")</f>
        <v>Rà soát</v>
      </c>
      <c r="K391" s="265" t="str">
        <f>IFERROR(__xludf.DUMMYFUNCTION("""COMPUTED_VALUE"""),"Không phân công")</f>
        <v>Không phân công</v>
      </c>
    </row>
    <row r="392">
      <c r="A392" s="265" t="str">
        <f>IFERROR(__xludf.DUMMYFUNCTION("""COMPUTED_VALUE"""),"414")</f>
        <v>414</v>
      </c>
      <c r="B392" s="265" t="str">
        <f>IFERROR(__xludf.DUMMYFUNCTION("""COMPUTED_VALUE"""),"Hà Nội")</f>
        <v>Hà Nội</v>
      </c>
      <c r="C392" s="265" t="str">
        <f>IFERROR(__xludf.DUMMYFUNCTION("""COMPUTED_VALUE"""),"Active")</f>
        <v>Active</v>
      </c>
      <c r="D392" s="265" t="str">
        <f>IFERROR(__xludf.DUMMYFUNCTION("""COMPUTED_VALUE"""),"Sale chưa cung cấp")</f>
        <v>Sale chưa cung cấp</v>
      </c>
      <c r="E392" s="265" t="str">
        <f>IFERROR(__xludf.DUMMYFUNCTION("""COMPUTED_VALUE"""),"TúPHN")</f>
        <v>TúPHN</v>
      </c>
      <c r="F392" s="265" t="str">
        <f>IFERROR(__xludf.DUMMYFUNCTION("""COMPUTED_VALUE"""),"Bronze")</f>
        <v>Bronze</v>
      </c>
      <c r="G392" s="265" t="str">
        <f>IFERROR(__xludf.DUMMYFUNCTION("""COMPUTED_VALUE"""),"Enterprise")</f>
        <v>Enterprise</v>
      </c>
      <c r="H392" s="265" t="str">
        <f>IFERROR(__xludf.DUMMYFUNCTION("""COMPUTED_VALUE"""),"Trả trước")</f>
        <v>Trả trước</v>
      </c>
      <c r="I392" s="265" t="str">
        <f>IFERROR(__xludf.DUMMYFUNCTION("""COMPUTED_VALUE"""),"API")</f>
        <v>API</v>
      </c>
      <c r="J392" s="265" t="str">
        <f>IFERROR(__xludf.DUMMYFUNCTION("""COMPUTED_VALUE"""),"API")</f>
        <v>API</v>
      </c>
      <c r="K392" s="265" t="str">
        <f>IFERROR(__xludf.DUMMYFUNCTION("""COMPUTED_VALUE"""),"LinhNTT1")</f>
        <v>LinhNTT1</v>
      </c>
    </row>
    <row r="393">
      <c r="A393" s="265" t="str">
        <f>IFERROR(__xludf.DUMMYFUNCTION("""COMPUTED_VALUE"""),"683")</f>
        <v>683</v>
      </c>
      <c r="B393" s="265" t="str">
        <f>IFERROR(__xludf.DUMMYFUNCTION("""COMPUTED_VALUE"""),"Hà Nội")</f>
        <v>Hà Nội</v>
      </c>
      <c r="C393" s="265" t="str">
        <f>IFERROR(__xludf.DUMMYFUNCTION("""COMPUTED_VALUE"""),"Locked")</f>
        <v>Locked</v>
      </c>
      <c r="D393" s="265" t="str">
        <f>IFERROR(__xludf.DUMMYFUNCTION("""COMPUTED_VALUE"""),"Ô tô &amp; Xe máy")</f>
        <v>Ô tô &amp; Xe máy</v>
      </c>
      <c r="E393" s="265" t="str">
        <f>IFERROR(__xludf.DUMMYFUNCTION("""COMPUTED_VALUE"""),"DungDT")</f>
        <v>DungDT</v>
      </c>
      <c r="F393" s="265" t="str">
        <f>IFERROR(__xludf.DUMMYFUNCTION("""COMPUTED_VALUE"""),"Sale chưa cung cấp")</f>
        <v>Sale chưa cung cấp</v>
      </c>
      <c r="G393" s="265" t="str">
        <f>IFERROR(__xludf.DUMMYFUNCTION("""COMPUTED_VALUE"""),"Enterprise")</f>
        <v>Enterprise</v>
      </c>
      <c r="H393" s="265" t="str">
        <f>IFERROR(__xludf.DUMMYFUNCTION("""COMPUTED_VALUE"""),"Trial")</f>
        <v>Trial</v>
      </c>
      <c r="I393" s="265" t="str">
        <f>IFERROR(__xludf.DUMMYFUNCTION("""COMPUTED_VALUE"""),"Portal")</f>
        <v>Portal</v>
      </c>
      <c r="J393" s="265" t="str">
        <f>IFERROR(__xludf.DUMMYFUNCTION("""COMPUTED_VALUE"""),"File Excel")</f>
        <v>File Excel</v>
      </c>
      <c r="K393" s="265" t="str">
        <f>IFERROR(__xludf.DUMMYFUNCTION("""COMPUTED_VALUE"""),"(Không recheck)")</f>
        <v>(Không recheck)</v>
      </c>
    </row>
    <row r="394">
      <c r="A394" s="265" t="str">
        <f>IFERROR(__xludf.DUMMYFUNCTION("""COMPUTED_VALUE"""),"684")</f>
        <v>684</v>
      </c>
      <c r="B394" s="265" t="str">
        <f>IFERROR(__xludf.DUMMYFUNCTION("""COMPUTED_VALUE"""),"Hà Nội")</f>
        <v>Hà Nội</v>
      </c>
      <c r="C394" s="265" t="str">
        <f>IFERROR(__xludf.DUMMYFUNCTION("""COMPUTED_VALUE"""),"Active")</f>
        <v>Active</v>
      </c>
      <c r="D394" s="265" t="str">
        <f>IFERROR(__xludf.DUMMYFUNCTION("""COMPUTED_VALUE"""),"Y tế &amp; Dược phẩm")</f>
        <v>Y tế &amp; Dược phẩm</v>
      </c>
      <c r="E394" s="265" t="str">
        <f>IFERROR(__xludf.DUMMYFUNCTION("""COMPUTED_VALUE"""),"TúPHN")</f>
        <v>TúPHN</v>
      </c>
      <c r="F394" s="265" t="str">
        <f>IFERROR(__xludf.DUMMYFUNCTION("""COMPUTED_VALUE"""),"Silver")</f>
        <v>Silver</v>
      </c>
      <c r="G394" s="265" t="str">
        <f>IFERROR(__xludf.DUMMYFUNCTION("""COMPUTED_VALUE"""),"Starter")</f>
        <v>Starter</v>
      </c>
      <c r="H394" s="265" t="str">
        <f>IFERROR(__xludf.DUMMYFUNCTION("""COMPUTED_VALUE"""),"Trả sau")</f>
        <v>Trả sau</v>
      </c>
      <c r="I394" s="265" t="str">
        <f>IFERROR(__xludf.DUMMYFUNCTION("""COMPUTED_VALUE"""),"API")</f>
        <v>API</v>
      </c>
      <c r="J394" s="265" t="str">
        <f>IFERROR(__xludf.DUMMYFUNCTION("""COMPUTED_VALUE"""),"API")</f>
        <v>API</v>
      </c>
      <c r="K394" s="265" t="str">
        <f>IFERROR(__xludf.DUMMYFUNCTION("""COMPUTED_VALUE"""),"LinhNTT1")</f>
        <v>LinhNTT1</v>
      </c>
    </row>
    <row r="395">
      <c r="A395" s="265" t="str">
        <f>IFERROR(__xludf.DUMMYFUNCTION("""COMPUTED_VALUE"""),"685")</f>
        <v>685</v>
      </c>
      <c r="B395" s="265" t="str">
        <f>IFERROR(__xludf.DUMMYFUNCTION("""COMPUTED_VALUE"""),"Hà Nội")</f>
        <v>Hà Nội</v>
      </c>
      <c r="C395" s="265" t="str">
        <f>IFERROR(__xludf.DUMMYFUNCTION("""COMPUTED_VALUE"""),"Locked")</f>
        <v>Locked</v>
      </c>
      <c r="D395" s="265" t="str">
        <f>IFERROR(__xludf.DUMMYFUNCTION("""COMPUTED_VALUE"""),"Giáo dục &amp; Đào tạo")</f>
        <v>Giáo dục &amp; Đào tạo</v>
      </c>
      <c r="E395" s="265" t="str">
        <f>IFERROR(__xludf.DUMMYFUNCTION("""COMPUTED_VALUE"""),"TùngLD")</f>
        <v>TùngLD</v>
      </c>
      <c r="F395" s="265" t="str">
        <f>IFERROR(__xludf.DUMMYFUNCTION("""COMPUTED_VALUE"""),"Sale chưa cung cấp")</f>
        <v>Sale chưa cung cấp</v>
      </c>
      <c r="G395" s="265" t="str">
        <f>IFERROR(__xludf.DUMMYFUNCTION("""COMPUTED_VALUE"""),"SIMILAR")</f>
        <v>SIMILAR</v>
      </c>
      <c r="H395" s="265" t="str">
        <f>IFERROR(__xludf.DUMMYFUNCTION("""COMPUTED_VALUE"""),"Trả trước")</f>
        <v>Trả trước</v>
      </c>
      <c r="I395" s="265" t="str">
        <f>IFERROR(__xludf.DUMMYFUNCTION("""COMPUTED_VALUE"""),"Portal")</f>
        <v>Portal</v>
      </c>
      <c r="J395" s="265" t="str">
        <f>IFERROR(__xludf.DUMMYFUNCTION("""COMPUTED_VALUE"""),"File Excel")</f>
        <v>File Excel</v>
      </c>
      <c r="K395" s="265" t="str">
        <f>IFERROR(__xludf.DUMMYFUNCTION("""COMPUTED_VALUE"""),"AnhNM")</f>
        <v>AnhNM</v>
      </c>
    </row>
    <row r="396">
      <c r="A396" s="265" t="str">
        <f>IFERROR(__xludf.DUMMYFUNCTION("""COMPUTED_VALUE"""),"686")</f>
        <v>686</v>
      </c>
      <c r="B396" s="265" t="str">
        <f>IFERROR(__xludf.DUMMYFUNCTION("""COMPUTED_VALUE"""),"Hà Nội")</f>
        <v>Hà Nội</v>
      </c>
      <c r="C396" s="265" t="str">
        <f>IFERROR(__xludf.DUMMYFUNCTION("""COMPUTED_VALUE"""),"Locked")</f>
        <v>Locked</v>
      </c>
      <c r="D396" s="265" t="str">
        <f>IFERROR(__xludf.DUMMYFUNCTION("""COMPUTED_VALUE"""),"Vận tải &amp; logistics")</f>
        <v>Vận tải &amp; logistics</v>
      </c>
      <c r="E396" s="265" t="str">
        <f>IFERROR(__xludf.DUMMYFUNCTION("""COMPUTED_VALUE"""),"TúPHN")</f>
        <v>TúPHN</v>
      </c>
      <c r="F396" s="265" t="str">
        <f>IFERROR(__xludf.DUMMYFUNCTION("""COMPUTED_VALUE"""),"Diamond")</f>
        <v>Diamond</v>
      </c>
      <c r="G396" s="265" t="str">
        <f>IFERROR(__xludf.DUMMYFUNCTION("""COMPUTED_VALUE"""),"Enterprise")</f>
        <v>Enterprise</v>
      </c>
      <c r="H396" s="265" t="str">
        <f>IFERROR(__xludf.DUMMYFUNCTION("""COMPUTED_VALUE"""),"Trả trước")</f>
        <v>Trả trước</v>
      </c>
      <c r="I396" s="265" t="str">
        <f>IFERROR(__xludf.DUMMYFUNCTION("""COMPUTED_VALUE"""),"API &amp; Portal")</f>
        <v>API &amp; Portal</v>
      </c>
      <c r="J396" s="265" t="str">
        <f>IFERROR(__xludf.DUMMYFUNCTION("""COMPUTED_VALUE"""),"API")</f>
        <v>API</v>
      </c>
      <c r="K396" s="265" t="str">
        <f>IFERROR(__xludf.DUMMYFUNCTION("""COMPUTED_VALUE"""),"LinhNTT1")</f>
        <v>LinhNTT1</v>
      </c>
    </row>
    <row r="397">
      <c r="A397" s="265" t="str">
        <f>IFERROR(__xludf.DUMMYFUNCTION("""COMPUTED_VALUE"""),"338")</f>
        <v>338</v>
      </c>
      <c r="B397" s="265" t="str">
        <f>IFERROR(__xludf.DUMMYFUNCTION("""COMPUTED_VALUE"""),"Sài Gòn")</f>
        <v>Sài Gòn</v>
      </c>
      <c r="C397" s="265" t="str">
        <f>IFERROR(__xludf.DUMMYFUNCTION("""COMPUTED_VALUE"""),"Locked")</f>
        <v>Locked</v>
      </c>
      <c r="D397" s="265" t="str">
        <f>IFERROR(__xludf.DUMMYFUNCTION("""COMPUTED_VALUE"""),"Mua sắm &amp; Bán lẻ")</f>
        <v>Mua sắm &amp; Bán lẻ</v>
      </c>
      <c r="E397" s="265" t="str">
        <f>IFERROR(__xludf.DUMMYFUNCTION("""COMPUTED_VALUE"""),"HoaNTM")</f>
        <v>HoaNTM</v>
      </c>
      <c r="F397" s="265" t="str">
        <f>IFERROR(__xludf.DUMMYFUNCTION("""COMPUTED_VALUE"""),"Sale chưa cung cấp")</f>
        <v>Sale chưa cung cấp</v>
      </c>
      <c r="G397" s="265" t="str">
        <f>IFERROR(__xludf.DUMMYFUNCTION("""COMPUTED_VALUE"""),"SIMILAR")</f>
        <v>SIMILAR</v>
      </c>
      <c r="H397" s="265" t="str">
        <f>IFERROR(__xludf.DUMMYFUNCTION("""COMPUTED_VALUE"""),"(Chưa recheck)")</f>
        <v>(Chưa recheck)</v>
      </c>
      <c r="I397" s="265" t="str">
        <f>IFERROR(__xludf.DUMMYFUNCTION("""COMPUTED_VALUE"""),"API &amp; Portal")</f>
        <v>API &amp; Portal</v>
      </c>
      <c r="J397" s="265" t="str">
        <f>IFERROR(__xludf.DUMMYFUNCTION("""COMPUTED_VALUE"""),"(Chưa recheck)")</f>
        <v>(Chưa recheck)</v>
      </c>
      <c r="K397" s="265" t="str">
        <f>IFERROR(__xludf.DUMMYFUNCTION("""COMPUTED_VALUE"""),"(Chưa recheck)")</f>
        <v>(Chưa recheck)</v>
      </c>
    </row>
    <row r="398">
      <c r="A398" s="265" t="str">
        <f>IFERROR(__xludf.DUMMYFUNCTION("""COMPUTED_VALUE"""),"688")</f>
        <v>688</v>
      </c>
      <c r="B398" s="265" t="str">
        <f>IFERROR(__xludf.DUMMYFUNCTION("""COMPUTED_VALUE"""),"Hà Nội")</f>
        <v>Hà Nội</v>
      </c>
      <c r="C398" s="265" t="str">
        <f>IFERROR(__xludf.DUMMYFUNCTION("""COMPUTED_VALUE"""),"Locked")</f>
        <v>Locked</v>
      </c>
      <c r="D398" s="265" t="str">
        <f>IFERROR(__xludf.DUMMYFUNCTION("""COMPUTED_VALUE"""),"Vận tải &amp; logistics")</f>
        <v>Vận tải &amp; logistics</v>
      </c>
      <c r="E398" s="265" t="str">
        <f>IFERROR(__xludf.DUMMYFUNCTION("""COMPUTED_VALUE"""),"PhươngDTB")</f>
        <v>PhươngDTB</v>
      </c>
      <c r="F398" s="265" t="str">
        <f>IFERROR(__xludf.DUMMYFUNCTION("""COMPUTED_VALUE"""),"Sale chưa cung cấp")</f>
        <v>Sale chưa cung cấp</v>
      </c>
      <c r="G398" s="265" t="str">
        <f>IFERROR(__xludf.DUMMYFUNCTION("""COMPUTED_VALUE"""),"API")</f>
        <v>API</v>
      </c>
      <c r="H398" s="265" t="str">
        <f>IFERROR(__xludf.DUMMYFUNCTION("""COMPUTED_VALUE"""),"Trial")</f>
        <v>Trial</v>
      </c>
      <c r="I398" s="265" t="str">
        <f>IFERROR(__xludf.DUMMYFUNCTION("""COMPUTED_VALUE"""),"API")</f>
        <v>API</v>
      </c>
      <c r="J398" s="265" t="str">
        <f>IFERROR(__xludf.DUMMYFUNCTION("""COMPUTED_VALUE"""),"API")</f>
        <v>API</v>
      </c>
      <c r="K398" s="265" t="str">
        <f>IFERROR(__xludf.DUMMYFUNCTION("""COMPUTED_VALUE"""),"(Không recheck)")</f>
        <v>(Không recheck)</v>
      </c>
    </row>
    <row r="399">
      <c r="A399" s="265" t="str">
        <f>IFERROR(__xludf.DUMMYFUNCTION("""COMPUTED_VALUE"""),"687")</f>
        <v>687</v>
      </c>
      <c r="B399" s="265" t="str">
        <f>IFERROR(__xludf.DUMMYFUNCTION("""COMPUTED_VALUE"""),"Hà Nội")</f>
        <v>Hà Nội</v>
      </c>
      <c r="C399" s="265" t="str">
        <f>IFERROR(__xludf.DUMMYFUNCTION("""COMPUTED_VALUE"""),"Locked")</f>
        <v>Locked</v>
      </c>
      <c r="D399" s="265" t="str">
        <f>IFERROR(__xludf.DUMMYFUNCTION("""COMPUTED_VALUE"""),"Vận tải &amp; logistics")</f>
        <v>Vận tải &amp; logistics</v>
      </c>
      <c r="E399" s="265" t="str">
        <f>IFERROR(__xludf.DUMMYFUNCTION("""COMPUTED_VALUE"""),"PhươngDTB")</f>
        <v>PhươngDTB</v>
      </c>
      <c r="F399" s="265" t="str">
        <f>IFERROR(__xludf.DUMMYFUNCTION("""COMPUTED_VALUE"""),"Sale chưa cung cấp")</f>
        <v>Sale chưa cung cấp</v>
      </c>
      <c r="G399" s="265" t="str">
        <f>IFERROR(__xludf.DUMMYFUNCTION("""COMPUTED_VALUE"""),"API")</f>
        <v>API</v>
      </c>
      <c r="H399" s="265" t="str">
        <f>IFERROR(__xludf.DUMMYFUNCTION("""COMPUTED_VALUE"""),"(Chưa recheck)")</f>
        <v>(Chưa recheck)</v>
      </c>
      <c r="I399" s="265" t="str">
        <f>IFERROR(__xludf.DUMMYFUNCTION("""COMPUTED_VALUE"""),"API")</f>
        <v>API</v>
      </c>
      <c r="J399" s="265" t="str">
        <f>IFERROR(__xludf.DUMMYFUNCTION("""COMPUTED_VALUE"""),"API")</f>
        <v>API</v>
      </c>
      <c r="K399" s="265" t="str">
        <f>IFERROR(__xludf.DUMMYFUNCTION("""COMPUTED_VALUE"""),"(Chưa recheck)")</f>
        <v>(Chưa recheck)</v>
      </c>
    </row>
    <row r="400">
      <c r="A400" s="265" t="str">
        <f>IFERROR(__xludf.DUMMYFUNCTION("""COMPUTED_VALUE"""),"389")</f>
        <v>389</v>
      </c>
      <c r="B400" s="265" t="str">
        <f>IFERROR(__xludf.DUMMYFUNCTION("""COMPUTED_VALUE"""),"Hà Nội")</f>
        <v>Hà Nội</v>
      </c>
      <c r="C400" s="265" t="str">
        <f>IFERROR(__xludf.DUMMYFUNCTION("""COMPUTED_VALUE"""),"Locked")</f>
        <v>Locked</v>
      </c>
      <c r="D400" s="265" t="str">
        <f>IFERROR(__xludf.DUMMYFUNCTION("""COMPUTED_VALUE"""),"Bất động sản")</f>
        <v>Bất động sản</v>
      </c>
      <c r="E400" s="265" t="str">
        <f>IFERROR(__xludf.DUMMYFUNCTION("""COMPUTED_VALUE"""),"TúPHN")</f>
        <v>TúPHN</v>
      </c>
      <c r="F400" s="265" t="str">
        <f>IFERROR(__xludf.DUMMYFUNCTION("""COMPUTED_VALUE"""),"Bronze")</f>
        <v>Bronze</v>
      </c>
      <c r="G400" s="265" t="str">
        <f>IFERROR(__xludf.DUMMYFUNCTION("""COMPUTED_VALUE"""),"Enterprise")</f>
        <v>Enterprise</v>
      </c>
      <c r="H400" s="265" t="str">
        <f>IFERROR(__xludf.DUMMYFUNCTION("""COMPUTED_VALUE"""),"(Chưa recheck)")</f>
        <v>(Chưa recheck)</v>
      </c>
      <c r="I400" s="265" t="str">
        <f>IFERROR(__xludf.DUMMYFUNCTION("""COMPUTED_VALUE"""),"(Chưa recheck)")</f>
        <v>(Chưa recheck)</v>
      </c>
      <c r="J400" s="265" t="str">
        <f>IFERROR(__xludf.DUMMYFUNCTION("""COMPUTED_VALUE"""),"File Excel")</f>
        <v>File Excel</v>
      </c>
      <c r="K400" s="265" t="str">
        <f>IFERROR(__xludf.DUMMYFUNCTION("""COMPUTED_VALUE"""),"AnhNM")</f>
        <v>AnhNM</v>
      </c>
    </row>
    <row r="401">
      <c r="A401" s="265" t="str">
        <f>IFERROR(__xludf.DUMMYFUNCTION("""COMPUTED_VALUE"""),"689")</f>
        <v>689</v>
      </c>
      <c r="B401" s="265" t="str">
        <f>IFERROR(__xludf.DUMMYFUNCTION("""COMPUTED_VALUE"""),"Sài Gòn")</f>
        <v>Sài Gòn</v>
      </c>
      <c r="C401" s="265" t="str">
        <f>IFERROR(__xludf.DUMMYFUNCTION("""COMPUTED_VALUE"""),"Locked")</f>
        <v>Locked</v>
      </c>
      <c r="D401" s="265" t="str">
        <f>IFERROR(__xludf.DUMMYFUNCTION("""COMPUTED_VALUE"""),"Sale chưa cung cấp")</f>
        <v>Sale chưa cung cấp</v>
      </c>
      <c r="E401" s="265" t="str">
        <f>IFERROR(__xludf.DUMMYFUNCTION("""COMPUTED_VALUE"""),"HoaNTM")</f>
        <v>HoaNTM</v>
      </c>
      <c r="F401" s="265" t="str">
        <f>IFERROR(__xludf.DUMMYFUNCTION("""COMPUTED_VALUE"""),"Sale chưa cung cấp")</f>
        <v>Sale chưa cung cấp</v>
      </c>
      <c r="G401" s="265" t="str">
        <f>IFERROR(__xludf.DUMMYFUNCTION("""COMPUTED_VALUE"""),"Enterprise")</f>
        <v>Enterprise</v>
      </c>
      <c r="H401" s="265" t="str">
        <f>IFERROR(__xludf.DUMMYFUNCTION("""COMPUTED_VALUE"""),"Trial")</f>
        <v>Trial</v>
      </c>
      <c r="I401" s="265" t="str">
        <f>IFERROR(__xludf.DUMMYFUNCTION("""COMPUTED_VALUE"""),"API &amp; Portal")</f>
        <v>API &amp; Portal</v>
      </c>
      <c r="J401" s="265" t="str">
        <f>IFERROR(__xludf.DUMMYFUNCTION("""COMPUTED_VALUE"""),"(Không recheck)")</f>
        <v>(Không recheck)</v>
      </c>
      <c r="K401" s="265" t="str">
        <f>IFERROR(__xludf.DUMMYFUNCTION("""COMPUTED_VALUE"""),"(Không recheck)")</f>
        <v>(Không recheck)</v>
      </c>
    </row>
    <row r="402">
      <c r="A402" s="265" t="str">
        <f>IFERROR(__xludf.DUMMYFUNCTION("""COMPUTED_VALUE"""),"690")</f>
        <v>690</v>
      </c>
      <c r="B402" s="265" t="str">
        <f>IFERROR(__xludf.DUMMYFUNCTION("""COMPUTED_VALUE"""),"Hà Nội")</f>
        <v>Hà Nội</v>
      </c>
      <c r="C402" s="265" t="str">
        <f>IFERROR(__xludf.DUMMYFUNCTION("""COMPUTED_VALUE"""),"Locked")</f>
        <v>Locked</v>
      </c>
      <c r="D402" s="265" t="str">
        <f>IFERROR(__xludf.DUMMYFUNCTION("""COMPUTED_VALUE"""),"Thực phẩm &amp; Đồ uống")</f>
        <v>Thực phẩm &amp; Đồ uống</v>
      </c>
      <c r="E402" s="265" t="str">
        <f>IFERROR(__xludf.DUMMYFUNCTION("""COMPUTED_VALUE"""),"AnhNP")</f>
        <v>AnhNP</v>
      </c>
      <c r="F402" s="265" t="str">
        <f>IFERROR(__xludf.DUMMYFUNCTION("""COMPUTED_VALUE"""),"Sale chưa cung cấp")</f>
        <v>Sale chưa cung cấp</v>
      </c>
      <c r="G402" s="265" t="str">
        <f>IFERROR(__xludf.DUMMYFUNCTION("""COMPUTED_VALUE"""),"Enterprise")</f>
        <v>Enterprise</v>
      </c>
      <c r="H402" s="265" t="str">
        <f>IFERROR(__xludf.DUMMYFUNCTION("""COMPUTED_VALUE"""),"Trial")</f>
        <v>Trial</v>
      </c>
      <c r="I402" s="265" t="str">
        <f>IFERROR(__xludf.DUMMYFUNCTION("""COMPUTED_VALUE"""),"API &amp; Portal")</f>
        <v>API &amp; Portal</v>
      </c>
      <c r="J402" s="265" t="str">
        <f>IFERROR(__xludf.DUMMYFUNCTION("""COMPUTED_VALUE"""),"(Không recheck)")</f>
        <v>(Không recheck)</v>
      </c>
      <c r="K402" s="265" t="str">
        <f>IFERROR(__xludf.DUMMYFUNCTION("""COMPUTED_VALUE"""),"(Không recheck)")</f>
        <v>(Không recheck)</v>
      </c>
    </row>
    <row r="403">
      <c r="A403" s="265" t="str">
        <f>IFERROR(__xludf.DUMMYFUNCTION("""COMPUTED_VALUE"""),"691")</f>
        <v>691</v>
      </c>
      <c r="B403" s="265" t="str">
        <f>IFERROR(__xludf.DUMMYFUNCTION("""COMPUTED_VALUE"""),"Hà Nội")</f>
        <v>Hà Nội</v>
      </c>
      <c r="C403" s="265" t="str">
        <f>IFERROR(__xludf.DUMMYFUNCTION("""COMPUTED_VALUE"""),"Locked")</f>
        <v>Locked</v>
      </c>
      <c r="D403" s="265" t="str">
        <f>IFERROR(__xludf.DUMMYFUNCTION("""COMPUTED_VALUE"""),"Mua sắm &amp; Bán lẻ")</f>
        <v>Mua sắm &amp; Bán lẻ</v>
      </c>
      <c r="E403" s="265" t="str">
        <f>IFERROR(__xludf.DUMMYFUNCTION("""COMPUTED_VALUE"""),"HangNT")</f>
        <v>HangNT</v>
      </c>
      <c r="F403" s="265" t="str">
        <f>IFERROR(__xludf.DUMMYFUNCTION("""COMPUTED_VALUE"""),"Gold")</f>
        <v>Gold</v>
      </c>
      <c r="G403" s="265" t="str">
        <f>IFERROR(__xludf.DUMMYFUNCTION("""COMPUTED_VALUE"""),"SIMILAR")</f>
        <v>SIMILAR</v>
      </c>
      <c r="H403" s="265" t="str">
        <f>IFERROR(__xludf.DUMMYFUNCTION("""COMPUTED_VALUE"""),"Trial")</f>
        <v>Trial</v>
      </c>
      <c r="I403" s="265" t="str">
        <f>IFERROR(__xludf.DUMMYFUNCTION("""COMPUTED_VALUE"""),"Portal")</f>
        <v>Portal</v>
      </c>
      <c r="J403" s="265" t="str">
        <f>IFERROR(__xludf.DUMMYFUNCTION("""COMPUTED_VALUE"""),"File Excel")</f>
        <v>File Excel</v>
      </c>
      <c r="K403" s="265" t="str">
        <f>IFERROR(__xludf.DUMMYFUNCTION("""COMPUTED_VALUE"""),"(Chưa recheck)")</f>
        <v>(Chưa recheck)</v>
      </c>
    </row>
    <row r="404">
      <c r="A404" s="265" t="str">
        <f>IFERROR(__xludf.DUMMYFUNCTION("""COMPUTED_VALUE"""),"693")</f>
        <v>693</v>
      </c>
      <c r="B404" s="265" t="str">
        <f>IFERROR(__xludf.DUMMYFUNCTION("""COMPUTED_VALUE"""),"Hà Nội")</f>
        <v>Hà Nội</v>
      </c>
      <c r="C404" s="265" t="str">
        <f>IFERROR(__xludf.DUMMYFUNCTION("""COMPUTED_VALUE"""),"Locked")</f>
        <v>Locked</v>
      </c>
      <c r="D404" s="265" t="str">
        <f>IFERROR(__xludf.DUMMYFUNCTION("""COMPUTED_VALUE"""),"Giáo dục &amp; Đào tạo")</f>
        <v>Giáo dục &amp; Đào tạo</v>
      </c>
      <c r="E404" s="265" t="str">
        <f>IFERROR(__xludf.DUMMYFUNCTION("""COMPUTED_VALUE"""),"TùngLD")</f>
        <v>TùngLD</v>
      </c>
      <c r="F404" s="265" t="str">
        <f>IFERROR(__xludf.DUMMYFUNCTION("""COMPUTED_VALUE"""),"Sale chưa cung cấp")</f>
        <v>Sale chưa cung cấp</v>
      </c>
      <c r="G404" s="265" t="str">
        <f>IFERROR(__xludf.DUMMYFUNCTION("""COMPUTED_VALUE"""),"Enterprise")</f>
        <v>Enterprise</v>
      </c>
      <c r="H404" s="265" t="str">
        <f>IFERROR(__xludf.DUMMYFUNCTION("""COMPUTED_VALUE"""),"Trial")</f>
        <v>Trial</v>
      </c>
      <c r="I404" s="265" t="str">
        <f>IFERROR(__xludf.DUMMYFUNCTION("""COMPUTED_VALUE"""),"Portal")</f>
        <v>Portal</v>
      </c>
      <c r="J404" s="265" t="str">
        <f>IFERROR(__xludf.DUMMYFUNCTION("""COMPUTED_VALUE"""),"(Không recheck)")</f>
        <v>(Không recheck)</v>
      </c>
      <c r="K404" s="265" t="str">
        <f>IFERROR(__xludf.DUMMYFUNCTION("""COMPUTED_VALUE"""),"(Không recheck)")</f>
        <v>(Không recheck)</v>
      </c>
    </row>
    <row r="405">
      <c r="A405" s="265" t="str">
        <f>IFERROR(__xludf.DUMMYFUNCTION("""COMPUTED_VALUE"""),"692")</f>
        <v>692</v>
      </c>
      <c r="B405" s="265" t="str">
        <f>IFERROR(__xludf.DUMMYFUNCTION("""COMPUTED_VALUE"""),"Sài Gòn")</f>
        <v>Sài Gòn</v>
      </c>
      <c r="C405" s="265" t="str">
        <f>IFERROR(__xludf.DUMMYFUNCTION("""COMPUTED_VALUE"""),"Locked")</f>
        <v>Locked</v>
      </c>
      <c r="D405" s="265" t="str">
        <f>IFERROR(__xludf.DUMMYFUNCTION("""COMPUTED_VALUE"""),"Sale chưa cung cấp")</f>
        <v>Sale chưa cung cấp</v>
      </c>
      <c r="E405" s="265" t="str">
        <f>IFERROR(__xludf.DUMMYFUNCTION("""COMPUTED_VALUE"""),"HoaNTM")</f>
        <v>HoaNTM</v>
      </c>
      <c r="F405" s="265" t="str">
        <f>IFERROR(__xludf.DUMMYFUNCTION("""COMPUTED_VALUE"""),"Sale chưa cung cấp")</f>
        <v>Sale chưa cung cấp</v>
      </c>
      <c r="G405" s="265" t="str">
        <f>IFERROR(__xludf.DUMMYFUNCTION("""COMPUTED_VALUE"""),"Enterprise")</f>
        <v>Enterprise</v>
      </c>
      <c r="H405" s="265" t="str">
        <f>IFERROR(__xludf.DUMMYFUNCTION("""COMPUTED_VALUE"""),"Trial")</f>
        <v>Trial</v>
      </c>
      <c r="I405" s="265" t="str">
        <f>IFERROR(__xludf.DUMMYFUNCTION("""COMPUTED_VALUE"""),"API &amp; Portal")</f>
        <v>API &amp; Portal</v>
      </c>
      <c r="J405" s="265" t="str">
        <f>IFERROR(__xludf.DUMMYFUNCTION("""COMPUTED_VALUE"""),"(Không recheck)")</f>
        <v>(Không recheck)</v>
      </c>
      <c r="K405" s="265" t="str">
        <f>IFERROR(__xludf.DUMMYFUNCTION("""COMPUTED_VALUE"""),"(Không recheck)")</f>
        <v>(Không recheck)</v>
      </c>
    </row>
    <row r="406">
      <c r="A406" s="265" t="str">
        <f>IFERROR(__xludf.DUMMYFUNCTION("""COMPUTED_VALUE"""),"694")</f>
        <v>694</v>
      </c>
      <c r="B406" s="265" t="str">
        <f>IFERROR(__xludf.DUMMYFUNCTION("""COMPUTED_VALUE"""),"Hà Nội")</f>
        <v>Hà Nội</v>
      </c>
      <c r="C406" s="265" t="str">
        <f>IFERROR(__xludf.DUMMYFUNCTION("""COMPUTED_VALUE"""),"Active")</f>
        <v>Active</v>
      </c>
      <c r="D406" s="265" t="str">
        <f>IFERROR(__xludf.DUMMYFUNCTION("""COMPUTED_VALUE"""),"Bất động sản")</f>
        <v>Bất động sản</v>
      </c>
      <c r="E406" s="265" t="str">
        <f>IFERROR(__xludf.DUMMYFUNCTION("""COMPUTED_VALUE"""),"TúPHN")</f>
        <v>TúPHN</v>
      </c>
      <c r="F406" s="265" t="str">
        <f>IFERROR(__xludf.DUMMYFUNCTION("""COMPUTED_VALUE"""),"Diamond")</f>
        <v>Diamond</v>
      </c>
      <c r="G406" s="265" t="str">
        <f>IFERROR(__xludf.DUMMYFUNCTION("""COMPUTED_VALUE"""),"Standard")</f>
        <v>Standard</v>
      </c>
      <c r="H406" s="265" t="str">
        <f>IFERROR(__xludf.DUMMYFUNCTION("""COMPUTED_VALUE"""),"Trả sau")</f>
        <v>Trả sau</v>
      </c>
      <c r="I406" s="265" t="str">
        <f>IFERROR(__xludf.DUMMYFUNCTION("""COMPUTED_VALUE"""),"API")</f>
        <v>API</v>
      </c>
      <c r="J406" s="265" t="str">
        <f>IFERROR(__xludf.DUMMYFUNCTION("""COMPUTED_VALUE"""),"API")</f>
        <v>API</v>
      </c>
      <c r="K406" s="265" t="str">
        <f>IFERROR(__xludf.DUMMYFUNCTION("""COMPUTED_VALUE"""),"DungPL")</f>
        <v>DungPL</v>
      </c>
    </row>
    <row r="407">
      <c r="A407" s="265" t="str">
        <f>IFERROR(__xludf.DUMMYFUNCTION("""COMPUTED_VALUE"""),"695")</f>
        <v>695</v>
      </c>
      <c r="B407" s="265" t="str">
        <f>IFERROR(__xludf.DUMMYFUNCTION("""COMPUTED_VALUE"""),"Đà Nẵng")</f>
        <v>Đà Nẵng</v>
      </c>
      <c r="C407" s="265" t="str">
        <f>IFERROR(__xludf.DUMMYFUNCTION("""COMPUTED_VALUE"""),"Locked")</f>
        <v>Locked</v>
      </c>
      <c r="D407" s="265" t="str">
        <f>IFERROR(__xludf.DUMMYFUNCTION("""COMPUTED_VALUE"""),"Sản xuất &amp; Chế tạo")</f>
        <v>Sản xuất &amp; Chế tạo</v>
      </c>
      <c r="E407" s="265" t="str">
        <f>IFERROR(__xludf.DUMMYFUNCTION("""COMPUTED_VALUE"""),"TúPHN")</f>
        <v>TúPHN</v>
      </c>
      <c r="F407" s="265" t="str">
        <f>IFERROR(__xludf.DUMMYFUNCTION("""COMPUTED_VALUE"""),"Bronze")</f>
        <v>Bronze</v>
      </c>
      <c r="G407" s="265" t="str">
        <f>IFERROR(__xludf.DUMMYFUNCTION("""COMPUTED_VALUE"""),"SIMILAR")</f>
        <v>SIMILAR</v>
      </c>
      <c r="H407" s="265" t="str">
        <f>IFERROR(__xludf.DUMMYFUNCTION("""COMPUTED_VALUE"""),"Trả trước")</f>
        <v>Trả trước</v>
      </c>
      <c r="I407" s="265" t="str">
        <f>IFERROR(__xludf.DUMMYFUNCTION("""COMPUTED_VALUE"""),"Portal")</f>
        <v>Portal</v>
      </c>
      <c r="J407" s="265" t="str">
        <f>IFERROR(__xludf.DUMMYFUNCTION("""COMPUTED_VALUE"""),"File Excel")</f>
        <v>File Excel</v>
      </c>
      <c r="K407" s="265" t="str">
        <f>IFERROR(__xludf.DUMMYFUNCTION("""COMPUTED_VALUE"""),"LinhNTT1")</f>
        <v>LinhNTT1</v>
      </c>
    </row>
    <row r="408">
      <c r="A408" s="265" t="str">
        <f>IFERROR(__xludf.DUMMYFUNCTION("""COMPUTED_VALUE"""),"698")</f>
        <v>698</v>
      </c>
      <c r="B408" s="265" t="str">
        <f>IFERROR(__xludf.DUMMYFUNCTION("""COMPUTED_VALUE"""),"Hà Nội")</f>
        <v>Hà Nội</v>
      </c>
      <c r="C408" s="265" t="str">
        <f>IFERROR(__xludf.DUMMYFUNCTION("""COMPUTED_VALUE"""),"Locked")</f>
        <v>Locked</v>
      </c>
      <c r="D408" s="265" t="str">
        <f>IFERROR(__xludf.DUMMYFUNCTION("""COMPUTED_VALUE"""),"Mua sắm &amp; Bán lẻ")</f>
        <v>Mua sắm &amp; Bán lẻ</v>
      </c>
      <c r="E408" s="265" t="str">
        <f>IFERROR(__xludf.DUMMYFUNCTION("""COMPUTED_VALUE"""),"HangNT")</f>
        <v>HangNT</v>
      </c>
      <c r="F408" s="265" t="str">
        <f>IFERROR(__xludf.DUMMYFUNCTION("""COMPUTED_VALUE"""),"Bronze")</f>
        <v>Bronze</v>
      </c>
      <c r="G408" s="265" t="str">
        <f>IFERROR(__xludf.DUMMYFUNCTION("""COMPUTED_VALUE"""),"MSG")</f>
        <v>MSG</v>
      </c>
      <c r="H408" s="265" t="str">
        <f>IFERROR(__xludf.DUMMYFUNCTION("""COMPUTED_VALUE"""),"Trial")</f>
        <v>Trial</v>
      </c>
      <c r="I408" s="265" t="str">
        <f>IFERROR(__xludf.DUMMYFUNCTION("""COMPUTED_VALUE"""),"Portal")</f>
        <v>Portal</v>
      </c>
      <c r="J408" s="265" t="str">
        <f>IFERROR(__xludf.DUMMYFUNCTION("""COMPUTED_VALUE"""),"File Excel")</f>
        <v>File Excel</v>
      </c>
      <c r="K408" s="265" t="str">
        <f>IFERROR(__xludf.DUMMYFUNCTION("""COMPUTED_VALUE"""),"(Không recheck)")</f>
        <v>(Không recheck)</v>
      </c>
    </row>
    <row r="409">
      <c r="A409" s="265" t="str">
        <f>IFERROR(__xludf.DUMMYFUNCTION("""COMPUTED_VALUE"""),"697")</f>
        <v>697</v>
      </c>
      <c r="B409" s="265" t="str">
        <f>IFERROR(__xludf.DUMMYFUNCTION("""COMPUTED_VALUE"""),"Sài Gòn")</f>
        <v>Sài Gòn</v>
      </c>
      <c r="C409" s="265" t="str">
        <f>IFERROR(__xludf.DUMMYFUNCTION("""COMPUTED_VALUE"""),"Locked")</f>
        <v>Locked</v>
      </c>
      <c r="D409" s="265" t="str">
        <f>IFERROR(__xludf.DUMMYFUNCTION("""COMPUTED_VALUE"""),"Thời trang &amp; May mặc")</f>
        <v>Thời trang &amp; May mặc</v>
      </c>
      <c r="E409" s="265" t="str">
        <f>IFERROR(__xludf.DUMMYFUNCTION("""COMPUTED_VALUE"""),"HoaNTM")</f>
        <v>HoaNTM</v>
      </c>
      <c r="F409" s="265" t="str">
        <f>IFERROR(__xludf.DUMMYFUNCTION("""COMPUTED_VALUE"""),"Bronze")</f>
        <v>Bronze</v>
      </c>
      <c r="G409" s="265" t="str">
        <f>IFERROR(__xludf.DUMMYFUNCTION("""COMPUTED_VALUE"""),"Enterprise")</f>
        <v>Enterprise</v>
      </c>
      <c r="H409" s="265" t="str">
        <f>IFERROR(__xludf.DUMMYFUNCTION("""COMPUTED_VALUE"""),"(Chưa recheck)")</f>
        <v>(Chưa recheck)</v>
      </c>
      <c r="I409" s="265" t="str">
        <f>IFERROR(__xludf.DUMMYFUNCTION("""COMPUTED_VALUE"""),"API &amp; Portal")</f>
        <v>API &amp; Portal</v>
      </c>
      <c r="J409" s="265" t="str">
        <f>IFERROR(__xludf.DUMMYFUNCTION("""COMPUTED_VALUE"""),"File Excel")</f>
        <v>File Excel</v>
      </c>
      <c r="K409" s="265" t="str">
        <f>IFERROR(__xludf.DUMMYFUNCTION("""COMPUTED_VALUE"""),"Chưa phân công")</f>
        <v>Chưa phân công</v>
      </c>
    </row>
    <row r="410">
      <c r="A410" s="265" t="str">
        <f>IFERROR(__xludf.DUMMYFUNCTION("""COMPUTED_VALUE"""),"697")</f>
        <v>697</v>
      </c>
      <c r="B410" s="265" t="str">
        <f>IFERROR(__xludf.DUMMYFUNCTION("""COMPUTED_VALUE"""),"Sài Gòn")</f>
        <v>Sài Gòn</v>
      </c>
      <c r="C410" s="265" t="str">
        <f>IFERROR(__xludf.DUMMYFUNCTION("""COMPUTED_VALUE"""),"Locked")</f>
        <v>Locked</v>
      </c>
      <c r="D410" s="265" t="str">
        <f>IFERROR(__xludf.DUMMYFUNCTION("""COMPUTED_VALUE"""),"Thời trang &amp; May mặc")</f>
        <v>Thời trang &amp; May mặc</v>
      </c>
      <c r="E410" s="265" t="str">
        <f>IFERROR(__xludf.DUMMYFUNCTION("""COMPUTED_VALUE"""),"HoaNTM")</f>
        <v>HoaNTM</v>
      </c>
      <c r="F410" s="265" t="str">
        <f>IFERROR(__xludf.DUMMYFUNCTION("""COMPUTED_VALUE"""),"Bronze")</f>
        <v>Bronze</v>
      </c>
      <c r="G410" s="265" t="str">
        <f>IFERROR(__xludf.DUMMYFUNCTION("""COMPUTED_VALUE"""),"Enterprise")</f>
        <v>Enterprise</v>
      </c>
      <c r="H410" s="265" t="str">
        <f>IFERROR(__xludf.DUMMYFUNCTION("""COMPUTED_VALUE"""),"(Chưa recheck)")</f>
        <v>(Chưa recheck)</v>
      </c>
      <c r="I410" s="265" t="str">
        <f>IFERROR(__xludf.DUMMYFUNCTION("""COMPUTED_VALUE"""),"API &amp; Portal")</f>
        <v>API &amp; Portal</v>
      </c>
      <c r="J410" s="265" t="str">
        <f>IFERROR(__xludf.DUMMYFUNCTION("""COMPUTED_VALUE"""),"API")</f>
        <v>API</v>
      </c>
      <c r="K410" s="265" t="str">
        <f>IFERROR(__xludf.DUMMYFUNCTION("""COMPUTED_VALUE"""),"Chưa phân công")</f>
        <v>Chưa phân công</v>
      </c>
    </row>
    <row r="411">
      <c r="A411" s="265" t="str">
        <f>IFERROR(__xludf.DUMMYFUNCTION("""COMPUTED_VALUE"""),"696")</f>
        <v>696</v>
      </c>
      <c r="B411" s="265" t="str">
        <f>IFERROR(__xludf.DUMMYFUNCTION("""COMPUTED_VALUE"""),"Sài Gòn")</f>
        <v>Sài Gòn</v>
      </c>
      <c r="C411" s="265" t="str">
        <f>IFERROR(__xludf.DUMMYFUNCTION("""COMPUTED_VALUE"""),"Locked")</f>
        <v>Locked</v>
      </c>
      <c r="D411" s="265" t="str">
        <f>IFERROR(__xludf.DUMMYFUNCTION("""COMPUTED_VALUE"""),"Viễn thông")</f>
        <v>Viễn thông</v>
      </c>
      <c r="E411" s="265" t="str">
        <f>IFERROR(__xludf.DUMMYFUNCTION("""COMPUTED_VALUE"""),"HoaNTM")</f>
        <v>HoaNTM</v>
      </c>
      <c r="F411" s="265" t="str">
        <f>IFERROR(__xludf.DUMMYFUNCTION("""COMPUTED_VALUE"""),"Gold")</f>
        <v>Gold</v>
      </c>
      <c r="G411" s="265" t="str">
        <f>IFERROR(__xludf.DUMMYFUNCTION("""COMPUTED_VALUE"""),"Enterprise")</f>
        <v>Enterprise</v>
      </c>
      <c r="H411" s="265" t="str">
        <f>IFERROR(__xludf.DUMMYFUNCTION("""COMPUTED_VALUE"""),"(Chưa recheck)")</f>
        <v>(Chưa recheck)</v>
      </c>
      <c r="I411" s="265" t="str">
        <f>IFERROR(__xludf.DUMMYFUNCTION("""COMPUTED_VALUE"""),"API &amp; Portal")</f>
        <v>API &amp; Portal</v>
      </c>
      <c r="J411" s="265" t="str">
        <f>IFERROR(__xludf.DUMMYFUNCTION("""COMPUTED_VALUE"""),"File Excel")</f>
        <v>File Excel</v>
      </c>
      <c r="K411" s="265" t="str">
        <f>IFERROR(__xludf.DUMMYFUNCTION("""COMPUTED_VALUE"""),"AnhNM")</f>
        <v>AnhNM</v>
      </c>
    </row>
    <row r="412">
      <c r="A412" s="265" t="str">
        <f>IFERROR(__xludf.DUMMYFUNCTION("""COMPUTED_VALUE"""),"696")</f>
        <v>696</v>
      </c>
      <c r="B412" s="265" t="str">
        <f>IFERROR(__xludf.DUMMYFUNCTION("""COMPUTED_VALUE"""),"Sài Gòn")</f>
        <v>Sài Gòn</v>
      </c>
      <c r="C412" s="265" t="str">
        <f>IFERROR(__xludf.DUMMYFUNCTION("""COMPUTED_VALUE"""),"Locked")</f>
        <v>Locked</v>
      </c>
      <c r="D412" s="265" t="str">
        <f>IFERROR(__xludf.DUMMYFUNCTION("""COMPUTED_VALUE"""),"Viễn thông")</f>
        <v>Viễn thông</v>
      </c>
      <c r="E412" s="265" t="str">
        <f>IFERROR(__xludf.DUMMYFUNCTION("""COMPUTED_VALUE"""),"HoaNTM")</f>
        <v>HoaNTM</v>
      </c>
      <c r="F412" s="265" t="str">
        <f>IFERROR(__xludf.DUMMYFUNCTION("""COMPUTED_VALUE"""),"Gold")</f>
        <v>Gold</v>
      </c>
      <c r="G412" s="265" t="str">
        <f>IFERROR(__xludf.DUMMYFUNCTION("""COMPUTED_VALUE"""),"Enterprise")</f>
        <v>Enterprise</v>
      </c>
      <c r="H412" s="265" t="str">
        <f>IFERROR(__xludf.DUMMYFUNCTION("""COMPUTED_VALUE"""),"(Chưa recheck)")</f>
        <v>(Chưa recheck)</v>
      </c>
      <c r="I412" s="265" t="str">
        <f>IFERROR(__xludf.DUMMYFUNCTION("""COMPUTED_VALUE"""),"API &amp; Portal")</f>
        <v>API &amp; Portal</v>
      </c>
      <c r="J412" s="265" t="str">
        <f>IFERROR(__xludf.DUMMYFUNCTION("""COMPUTED_VALUE"""),"API")</f>
        <v>API</v>
      </c>
      <c r="K412" s="265" t="str">
        <f>IFERROR(__xludf.DUMMYFUNCTION("""COMPUTED_VALUE"""),"AnhNM")</f>
        <v>AnhNM</v>
      </c>
    </row>
    <row r="413">
      <c r="A413" s="265" t="str">
        <f>IFERROR(__xludf.DUMMYFUNCTION("""COMPUTED_VALUE"""),"699")</f>
        <v>699</v>
      </c>
      <c r="B413" s="265" t="str">
        <f>IFERROR(__xludf.DUMMYFUNCTION("""COMPUTED_VALUE"""),"Hà Nội")</f>
        <v>Hà Nội</v>
      </c>
      <c r="C413" s="265" t="str">
        <f>IFERROR(__xludf.DUMMYFUNCTION("""COMPUTED_VALUE"""),"Active")</f>
        <v>Active</v>
      </c>
      <c r="D413" s="265" t="str">
        <f>IFERROR(__xludf.DUMMYFUNCTION("""COMPUTED_VALUE"""),"Vận tải &amp; logistics")</f>
        <v>Vận tải &amp; logistics</v>
      </c>
      <c r="E413" s="265" t="str">
        <f>IFERROR(__xludf.DUMMYFUNCTION("""COMPUTED_VALUE"""),"AnhNM")</f>
        <v>AnhNM</v>
      </c>
      <c r="F413" s="265" t="str">
        <f>IFERROR(__xludf.DUMMYFUNCTION("""COMPUTED_VALUE"""),"Silver")</f>
        <v>Silver</v>
      </c>
      <c r="G413" s="265" t="str">
        <f>IFERROR(__xludf.DUMMYFUNCTION("""COMPUTED_VALUE"""),"Starter")</f>
        <v>Starter</v>
      </c>
      <c r="H413" s="265" t="str">
        <f>IFERROR(__xludf.DUMMYFUNCTION("""COMPUTED_VALUE"""),"Trả sau")</f>
        <v>Trả sau</v>
      </c>
      <c r="I413" s="265" t="str">
        <f>IFERROR(__xludf.DUMMYFUNCTION("""COMPUTED_VALUE"""),"API &amp; Portal")</f>
        <v>API &amp; Portal</v>
      </c>
      <c r="J413" s="265" t="str">
        <f>IFERROR(__xludf.DUMMYFUNCTION("""COMPUTED_VALUE"""),"API")</f>
        <v>API</v>
      </c>
      <c r="K413" s="265" t="str">
        <f>IFERROR(__xludf.DUMMYFUNCTION("""COMPUTED_VALUE"""),"DungVT, LinhNTT1")</f>
        <v>DungVT, LinhNTT1</v>
      </c>
    </row>
    <row r="414">
      <c r="A414" s="265" t="str">
        <f>IFERROR(__xludf.DUMMYFUNCTION("""COMPUTED_VALUE"""),"701")</f>
        <v>701</v>
      </c>
      <c r="B414" s="265" t="str">
        <f>IFERROR(__xludf.DUMMYFUNCTION("""COMPUTED_VALUE"""),"Hà Nội")</f>
        <v>Hà Nội</v>
      </c>
      <c r="C414" s="265" t="str">
        <f>IFERROR(__xludf.DUMMYFUNCTION("""COMPUTED_VALUE"""),"Locked")</f>
        <v>Locked</v>
      </c>
      <c r="D414" s="265" t="str">
        <f>IFERROR(__xludf.DUMMYFUNCTION("""COMPUTED_VALUE"""),"Sản xuất &amp; Chế tạo")</f>
        <v>Sản xuất &amp; Chế tạo</v>
      </c>
      <c r="E414" s="265" t="str">
        <f>IFERROR(__xludf.DUMMYFUNCTION("""COMPUTED_VALUE"""),"TùngLD")</f>
        <v>TùngLD</v>
      </c>
      <c r="F414" s="265" t="str">
        <f>IFERROR(__xludf.DUMMYFUNCTION("""COMPUTED_VALUE"""),"Sale chưa cung cấp")</f>
        <v>Sale chưa cung cấp</v>
      </c>
      <c r="G414" s="265" t="str">
        <f>IFERROR(__xludf.DUMMYFUNCTION("""COMPUTED_VALUE"""),"Enterprise")</f>
        <v>Enterprise</v>
      </c>
      <c r="H414" s="265" t="str">
        <f>IFERROR(__xludf.DUMMYFUNCTION("""COMPUTED_VALUE"""),"(Chưa recheck)")</f>
        <v>(Chưa recheck)</v>
      </c>
      <c r="I414" s="265" t="str">
        <f>IFERROR(__xludf.DUMMYFUNCTION("""COMPUTED_VALUE"""),"Portal")</f>
        <v>Portal</v>
      </c>
      <c r="J414" s="265" t="str">
        <f>IFERROR(__xludf.DUMMYFUNCTION("""COMPUTED_VALUE"""),"File Excel")</f>
        <v>File Excel</v>
      </c>
      <c r="K414" s="265" t="str">
        <f>IFERROR(__xludf.DUMMYFUNCTION("""COMPUTED_VALUE"""),"TuVTC")</f>
        <v>TuVTC</v>
      </c>
    </row>
    <row r="415">
      <c r="A415" s="265" t="str">
        <f>IFERROR(__xludf.DUMMYFUNCTION("""COMPUTED_VALUE"""),"702")</f>
        <v>702</v>
      </c>
      <c r="B415" s="265" t="str">
        <f>IFERROR(__xludf.DUMMYFUNCTION("""COMPUTED_VALUE"""),"Sài Gòn")</f>
        <v>Sài Gòn</v>
      </c>
      <c r="C415" s="265" t="str">
        <f>IFERROR(__xludf.DUMMYFUNCTION("""COMPUTED_VALUE"""),"Active")</f>
        <v>Active</v>
      </c>
      <c r="D415" s="265" t="str">
        <f>IFERROR(__xludf.DUMMYFUNCTION("""COMPUTED_VALUE"""),"Mua sắm &amp; Bán lẻ")</f>
        <v>Mua sắm &amp; Bán lẻ</v>
      </c>
      <c r="E415" s="265" t="str">
        <f>IFERROR(__xludf.DUMMYFUNCTION("""COMPUTED_VALUE"""),"TúPHN")</f>
        <v>TúPHN</v>
      </c>
      <c r="F415" s="265" t="str">
        <f>IFERROR(__xludf.DUMMYFUNCTION("""COMPUTED_VALUE"""),"Silver")</f>
        <v>Silver</v>
      </c>
      <c r="G415" s="265" t="str">
        <f>IFERROR(__xludf.DUMMYFUNCTION("""COMPUTED_VALUE"""),"Enterprise")</f>
        <v>Enterprise</v>
      </c>
      <c r="H415" s="265" t="str">
        <f>IFERROR(__xludf.DUMMYFUNCTION("""COMPUTED_VALUE"""),"Trả sau")</f>
        <v>Trả sau</v>
      </c>
      <c r="I415" s="265" t="str">
        <f>IFERROR(__xludf.DUMMYFUNCTION("""COMPUTED_VALUE"""),"API &amp; Portal")</f>
        <v>API &amp; Portal</v>
      </c>
      <c r="J415" s="265" t="str">
        <f>IFERROR(__xludf.DUMMYFUNCTION("""COMPUTED_VALUE"""),"File Excel")</f>
        <v>File Excel</v>
      </c>
      <c r="K415" s="265" t="str">
        <f>IFERROR(__xludf.DUMMYFUNCTION("""COMPUTED_VALUE"""),"DungPL")</f>
        <v>DungPL</v>
      </c>
    </row>
    <row r="416">
      <c r="A416" s="265" t="str">
        <f>IFERROR(__xludf.DUMMYFUNCTION("""COMPUTED_VALUE"""),"702")</f>
        <v>702</v>
      </c>
      <c r="B416" s="265" t="str">
        <f>IFERROR(__xludf.DUMMYFUNCTION("""COMPUTED_VALUE"""),"Sài Gòn")</f>
        <v>Sài Gòn</v>
      </c>
      <c r="C416" s="265" t="str">
        <f>IFERROR(__xludf.DUMMYFUNCTION("""COMPUTED_VALUE"""),"Active")</f>
        <v>Active</v>
      </c>
      <c r="D416" s="265" t="str">
        <f>IFERROR(__xludf.DUMMYFUNCTION("""COMPUTED_VALUE"""),"Mua sắm &amp; Bán lẻ")</f>
        <v>Mua sắm &amp; Bán lẻ</v>
      </c>
      <c r="E416" s="265" t="str">
        <f>IFERROR(__xludf.DUMMYFUNCTION("""COMPUTED_VALUE"""),"TúPHN")</f>
        <v>TúPHN</v>
      </c>
      <c r="F416" s="265" t="str">
        <f>IFERROR(__xludf.DUMMYFUNCTION("""COMPUTED_VALUE"""),"Silver")</f>
        <v>Silver</v>
      </c>
      <c r="G416" s="265" t="str">
        <f>IFERROR(__xludf.DUMMYFUNCTION("""COMPUTED_VALUE"""),"Enterprise")</f>
        <v>Enterprise</v>
      </c>
      <c r="H416" s="265" t="str">
        <f>IFERROR(__xludf.DUMMYFUNCTION("""COMPUTED_VALUE"""),"Trả sau")</f>
        <v>Trả sau</v>
      </c>
      <c r="I416" s="265" t="str">
        <f>IFERROR(__xludf.DUMMYFUNCTION("""COMPUTED_VALUE"""),"API &amp; Portal")</f>
        <v>API &amp; Portal</v>
      </c>
      <c r="J416" s="265" t="str">
        <f>IFERROR(__xludf.DUMMYFUNCTION("""COMPUTED_VALUE"""),"API")</f>
        <v>API</v>
      </c>
      <c r="K416" s="265" t="str">
        <f>IFERROR(__xludf.DUMMYFUNCTION("""COMPUTED_VALUE"""),"DungPL")</f>
        <v>DungPL</v>
      </c>
    </row>
    <row r="417">
      <c r="A417" s="265" t="str">
        <f>IFERROR(__xludf.DUMMYFUNCTION("""COMPUTED_VALUE"""),"722")</f>
        <v>722</v>
      </c>
      <c r="B417" s="265" t="str">
        <f>IFERROR(__xludf.DUMMYFUNCTION("""COMPUTED_VALUE"""),"Hà Nội")</f>
        <v>Hà Nội</v>
      </c>
      <c r="C417" s="265" t="str">
        <f>IFERROR(__xludf.DUMMYFUNCTION("""COMPUTED_VALUE"""),"Locked")</f>
        <v>Locked</v>
      </c>
      <c r="D417" s="265" t="str">
        <f>IFERROR(__xludf.DUMMYFUNCTION("""COMPUTED_VALUE"""),"Công nghệ &amp; Phần mềm")</f>
        <v>Công nghệ &amp; Phần mềm</v>
      </c>
      <c r="E417" s="265" t="str">
        <f>IFERROR(__xludf.DUMMYFUNCTION("""COMPUTED_VALUE"""),"TúPHN")</f>
        <v>TúPHN</v>
      </c>
      <c r="F417" s="265" t="str">
        <f>IFERROR(__xludf.DUMMYFUNCTION("""COMPUTED_VALUE"""),"Bronze")</f>
        <v>Bronze</v>
      </c>
      <c r="G417" s="265" t="str">
        <f>IFERROR(__xludf.DUMMYFUNCTION("""COMPUTED_VALUE"""),"API")</f>
        <v>API</v>
      </c>
      <c r="H417" s="265" t="str">
        <f>IFERROR(__xludf.DUMMYFUNCTION("""COMPUTED_VALUE"""),"(Chưa recheck)")</f>
        <v>(Chưa recheck)</v>
      </c>
      <c r="I417" s="265" t="str">
        <f>IFERROR(__xludf.DUMMYFUNCTION("""COMPUTED_VALUE"""),"API")</f>
        <v>API</v>
      </c>
      <c r="J417" s="265" t="str">
        <f>IFERROR(__xludf.DUMMYFUNCTION("""COMPUTED_VALUE"""),"API")</f>
        <v>API</v>
      </c>
      <c r="K417" s="265" t="str">
        <f>IFERROR(__xludf.DUMMYFUNCTION("""COMPUTED_VALUE"""),"(Chưa recheck)")</f>
        <v>(Chưa recheck)</v>
      </c>
    </row>
    <row r="418">
      <c r="A418" s="265" t="str">
        <f>IFERROR(__xludf.DUMMYFUNCTION("""COMPUTED_VALUE"""),"705")</f>
        <v>705</v>
      </c>
      <c r="B418" s="265" t="str">
        <f>IFERROR(__xludf.DUMMYFUNCTION("""COMPUTED_VALUE"""),"Sài Gòn")</f>
        <v>Sài Gòn</v>
      </c>
      <c r="C418" s="265" t="str">
        <f>IFERROR(__xludf.DUMMYFUNCTION("""COMPUTED_VALUE"""),"Locked")</f>
        <v>Locked</v>
      </c>
      <c r="D418" s="265" t="str">
        <f>IFERROR(__xludf.DUMMYFUNCTION("""COMPUTED_VALUE"""),"Thời trang &amp; May mặc")</f>
        <v>Thời trang &amp; May mặc</v>
      </c>
      <c r="E418" s="265" t="str">
        <f>IFERROR(__xludf.DUMMYFUNCTION("""COMPUTED_VALUE"""),"HoaNTM")</f>
        <v>HoaNTM</v>
      </c>
      <c r="F418" s="265" t="str">
        <f>IFERROR(__xludf.DUMMYFUNCTION("""COMPUTED_VALUE"""),"Sale chưa cung cấp")</f>
        <v>Sale chưa cung cấp</v>
      </c>
      <c r="G418" s="265" t="str">
        <f>IFERROR(__xludf.DUMMYFUNCTION("""COMPUTED_VALUE"""),"Enterprise")</f>
        <v>Enterprise</v>
      </c>
      <c r="H418" s="265" t="str">
        <f>IFERROR(__xludf.DUMMYFUNCTION("""COMPUTED_VALUE"""),"Trial")</f>
        <v>Trial</v>
      </c>
      <c r="I418" s="265" t="str">
        <f>IFERROR(__xludf.DUMMYFUNCTION("""COMPUTED_VALUE"""),"API &amp; Portal")</f>
        <v>API &amp; Portal</v>
      </c>
      <c r="J418" s="265" t="str">
        <f>IFERROR(__xludf.DUMMYFUNCTION("""COMPUTED_VALUE"""),"File Excel")</f>
        <v>File Excel</v>
      </c>
      <c r="K418" s="265" t="str">
        <f>IFERROR(__xludf.DUMMYFUNCTION("""COMPUTED_VALUE"""),"(Không recheck)")</f>
        <v>(Không recheck)</v>
      </c>
    </row>
    <row r="419">
      <c r="A419" s="265" t="str">
        <f>IFERROR(__xludf.DUMMYFUNCTION("""COMPUTED_VALUE"""),"705")</f>
        <v>705</v>
      </c>
      <c r="B419" s="265" t="str">
        <f>IFERROR(__xludf.DUMMYFUNCTION("""COMPUTED_VALUE"""),"Sài Gòn")</f>
        <v>Sài Gòn</v>
      </c>
      <c r="C419" s="265" t="str">
        <f>IFERROR(__xludf.DUMMYFUNCTION("""COMPUTED_VALUE"""),"Locked")</f>
        <v>Locked</v>
      </c>
      <c r="D419" s="265" t="str">
        <f>IFERROR(__xludf.DUMMYFUNCTION("""COMPUTED_VALUE"""),"Thời trang &amp; May mặc")</f>
        <v>Thời trang &amp; May mặc</v>
      </c>
      <c r="E419" s="265" t="str">
        <f>IFERROR(__xludf.DUMMYFUNCTION("""COMPUTED_VALUE"""),"HoaNTM")</f>
        <v>HoaNTM</v>
      </c>
      <c r="F419" s="265" t="str">
        <f>IFERROR(__xludf.DUMMYFUNCTION("""COMPUTED_VALUE"""),"Sale chưa cung cấp")</f>
        <v>Sale chưa cung cấp</v>
      </c>
      <c r="G419" s="265" t="str">
        <f>IFERROR(__xludf.DUMMYFUNCTION("""COMPUTED_VALUE"""),"Enterprise")</f>
        <v>Enterprise</v>
      </c>
      <c r="H419" s="265" t="str">
        <f>IFERROR(__xludf.DUMMYFUNCTION("""COMPUTED_VALUE"""),"Trial")</f>
        <v>Trial</v>
      </c>
      <c r="I419" s="265" t="str">
        <f>IFERROR(__xludf.DUMMYFUNCTION("""COMPUTED_VALUE"""),"API &amp; Portal")</f>
        <v>API &amp; Portal</v>
      </c>
      <c r="J419" s="265" t="str">
        <f>IFERROR(__xludf.DUMMYFUNCTION("""COMPUTED_VALUE"""),"API")</f>
        <v>API</v>
      </c>
      <c r="K419" s="265" t="str">
        <f>IFERROR(__xludf.DUMMYFUNCTION("""COMPUTED_VALUE"""),"(Không recheck)")</f>
        <v>(Không recheck)</v>
      </c>
    </row>
    <row r="420">
      <c r="A420" s="265" t="str">
        <f>IFERROR(__xludf.DUMMYFUNCTION("""COMPUTED_VALUE"""),"704")</f>
        <v>704</v>
      </c>
      <c r="B420" s="265" t="str">
        <f>IFERROR(__xludf.DUMMYFUNCTION("""COMPUTED_VALUE"""),"Sài Gòn")</f>
        <v>Sài Gòn</v>
      </c>
      <c r="C420" s="265" t="str">
        <f>IFERROR(__xludf.DUMMYFUNCTION("""COMPUTED_VALUE"""),"Locked")</f>
        <v>Locked</v>
      </c>
      <c r="D420" s="265" t="str">
        <f>IFERROR(__xludf.DUMMYFUNCTION("""COMPUTED_VALUE"""),"Y tế &amp; Dược phẩm")</f>
        <v>Y tế &amp; Dược phẩm</v>
      </c>
      <c r="E420" s="265" t="str">
        <f>IFERROR(__xludf.DUMMYFUNCTION("""COMPUTED_VALUE"""),"TùngLD")</f>
        <v>TùngLD</v>
      </c>
      <c r="F420" s="265" t="str">
        <f>IFERROR(__xludf.DUMMYFUNCTION("""COMPUTED_VALUE"""),"Bronze")</f>
        <v>Bronze</v>
      </c>
      <c r="G420" s="265" t="str">
        <f>IFERROR(__xludf.DUMMYFUNCTION("""COMPUTED_VALUE"""),"Enterprise")</f>
        <v>Enterprise</v>
      </c>
      <c r="H420" s="265" t="str">
        <f>IFERROR(__xludf.DUMMYFUNCTION("""COMPUTED_VALUE"""),"Trả sau")</f>
        <v>Trả sau</v>
      </c>
      <c r="I420" s="265" t="str">
        <f>IFERROR(__xludf.DUMMYFUNCTION("""COMPUTED_VALUE"""),"API &amp; Portal")</f>
        <v>API &amp; Portal</v>
      </c>
      <c r="J420" s="265" t="str">
        <f>IFERROR(__xludf.DUMMYFUNCTION("""COMPUTED_VALUE"""),"File Excel")</f>
        <v>File Excel</v>
      </c>
      <c r="K420" s="265" t="str">
        <f>IFERROR(__xludf.DUMMYFUNCTION("""COMPUTED_VALUE"""),"Không phân công")</f>
        <v>Không phân công</v>
      </c>
    </row>
    <row r="421">
      <c r="A421" s="265" t="str">
        <f>IFERROR(__xludf.DUMMYFUNCTION("""COMPUTED_VALUE"""),"704")</f>
        <v>704</v>
      </c>
      <c r="B421" s="265" t="str">
        <f>IFERROR(__xludf.DUMMYFUNCTION("""COMPUTED_VALUE"""),"Sài Gòn")</f>
        <v>Sài Gòn</v>
      </c>
      <c r="C421" s="265" t="str">
        <f>IFERROR(__xludf.DUMMYFUNCTION("""COMPUTED_VALUE"""),"Locked")</f>
        <v>Locked</v>
      </c>
      <c r="D421" s="265" t="str">
        <f>IFERROR(__xludf.DUMMYFUNCTION("""COMPUTED_VALUE"""),"Y tế &amp; Dược phẩm")</f>
        <v>Y tế &amp; Dược phẩm</v>
      </c>
      <c r="E421" s="265" t="str">
        <f>IFERROR(__xludf.DUMMYFUNCTION("""COMPUTED_VALUE"""),"TùngLD")</f>
        <v>TùngLD</v>
      </c>
      <c r="F421" s="265" t="str">
        <f>IFERROR(__xludf.DUMMYFUNCTION("""COMPUTED_VALUE"""),"Bronze")</f>
        <v>Bronze</v>
      </c>
      <c r="G421" s="265" t="str">
        <f>IFERROR(__xludf.DUMMYFUNCTION("""COMPUTED_VALUE"""),"Enterprise")</f>
        <v>Enterprise</v>
      </c>
      <c r="H421" s="265" t="str">
        <f>IFERROR(__xludf.DUMMYFUNCTION("""COMPUTED_VALUE"""),"Trả sau")</f>
        <v>Trả sau</v>
      </c>
      <c r="I421" s="265" t="str">
        <f>IFERROR(__xludf.DUMMYFUNCTION("""COMPUTED_VALUE"""),"API &amp; Portal")</f>
        <v>API &amp; Portal</v>
      </c>
      <c r="J421" s="265" t="str">
        <f>IFERROR(__xludf.DUMMYFUNCTION("""COMPUTED_VALUE"""),"API")</f>
        <v>API</v>
      </c>
      <c r="K421" s="265" t="str">
        <f>IFERROR(__xludf.DUMMYFUNCTION("""COMPUTED_VALUE"""),"Không phân công")</f>
        <v>Không phân công</v>
      </c>
    </row>
    <row r="422">
      <c r="A422" s="265" t="str">
        <f>IFERROR(__xludf.DUMMYFUNCTION("""COMPUTED_VALUE"""),"706")</f>
        <v>706</v>
      </c>
      <c r="B422" s="265" t="str">
        <f>IFERROR(__xludf.DUMMYFUNCTION("""COMPUTED_VALUE"""),"Hà Nội")</f>
        <v>Hà Nội</v>
      </c>
      <c r="C422" s="265" t="str">
        <f>IFERROR(__xludf.DUMMYFUNCTION("""COMPUTED_VALUE"""),"Locked")</f>
        <v>Locked</v>
      </c>
      <c r="D422" s="265" t="str">
        <f>IFERROR(__xludf.DUMMYFUNCTION("""COMPUTED_VALUE"""),"Mua sắm &amp; Bán lẻ")</f>
        <v>Mua sắm &amp; Bán lẻ</v>
      </c>
      <c r="E422" s="265" t="str">
        <f>IFERROR(__xludf.DUMMYFUNCTION("""COMPUTED_VALUE"""),"TùngLD")</f>
        <v>TùngLD</v>
      </c>
      <c r="F422" s="265" t="str">
        <f>IFERROR(__xludf.DUMMYFUNCTION("""COMPUTED_VALUE"""),"Diamond")</f>
        <v>Diamond</v>
      </c>
      <c r="G422" s="265" t="str">
        <f>IFERROR(__xludf.DUMMYFUNCTION("""COMPUTED_VALUE"""),"Starter")</f>
        <v>Starter</v>
      </c>
      <c r="H422" s="265" t="str">
        <f>IFERROR(__xludf.DUMMYFUNCTION("""COMPUTED_VALUE"""),"Trả sau")</f>
        <v>Trả sau</v>
      </c>
      <c r="I422" s="265" t="str">
        <f>IFERROR(__xludf.DUMMYFUNCTION("""COMPUTED_VALUE"""),"API")</f>
        <v>API</v>
      </c>
      <c r="J422" s="265" t="str">
        <f>IFERROR(__xludf.DUMMYFUNCTION("""COMPUTED_VALUE"""),"API")</f>
        <v>API</v>
      </c>
      <c r="K422" s="265" t="str">
        <f>IFERROR(__xludf.DUMMYFUNCTION("""COMPUTED_VALUE"""),"DungVT")</f>
        <v>DungVT</v>
      </c>
    </row>
    <row r="423">
      <c r="A423" s="265" t="str">
        <f>IFERROR(__xludf.DUMMYFUNCTION("""COMPUTED_VALUE"""),"700")</f>
        <v>700</v>
      </c>
      <c r="B423" s="265" t="str">
        <f>IFERROR(__xludf.DUMMYFUNCTION("""COMPUTED_VALUE"""),"Sài Gòn")</f>
        <v>Sài Gòn</v>
      </c>
      <c r="C423" s="265" t="str">
        <f>IFERROR(__xludf.DUMMYFUNCTION("""COMPUTED_VALUE"""),"Locked")</f>
        <v>Locked</v>
      </c>
      <c r="D423" s="265" t="str">
        <f>IFERROR(__xludf.DUMMYFUNCTION("""COMPUTED_VALUE"""),"Viễn thông")</f>
        <v>Viễn thông</v>
      </c>
      <c r="E423" s="265" t="str">
        <f>IFERROR(__xludf.DUMMYFUNCTION("""COMPUTED_VALUE"""),"HoaNTM")</f>
        <v>HoaNTM</v>
      </c>
      <c r="F423" s="265" t="str">
        <f>IFERROR(__xludf.DUMMYFUNCTION("""COMPUTED_VALUE"""),"Sale chưa cung cấp")</f>
        <v>Sale chưa cung cấp</v>
      </c>
      <c r="G423" s="265" t="str">
        <f>IFERROR(__xludf.DUMMYFUNCTION("""COMPUTED_VALUE"""),"Enterprise")</f>
        <v>Enterprise</v>
      </c>
      <c r="H423" s="265" t="str">
        <f>IFERROR(__xludf.DUMMYFUNCTION("""COMPUTED_VALUE"""),"(Chưa recheck)")</f>
        <v>(Chưa recheck)</v>
      </c>
      <c r="I423" s="265" t="str">
        <f>IFERROR(__xludf.DUMMYFUNCTION("""COMPUTED_VALUE"""),"API &amp; Portal")</f>
        <v>API &amp; Portal</v>
      </c>
      <c r="J423" s="265" t="str">
        <f>IFERROR(__xludf.DUMMYFUNCTION("""COMPUTED_VALUE"""),"File Excel")</f>
        <v>File Excel</v>
      </c>
      <c r="K423" s="265" t="str">
        <f>IFERROR(__xludf.DUMMYFUNCTION("""COMPUTED_VALUE"""),"(Chưa recheck)")</f>
        <v>(Chưa recheck)</v>
      </c>
    </row>
    <row r="424">
      <c r="A424" s="265" t="str">
        <f>IFERROR(__xludf.DUMMYFUNCTION("""COMPUTED_VALUE"""),"700")</f>
        <v>700</v>
      </c>
      <c r="B424" s="265" t="str">
        <f>IFERROR(__xludf.DUMMYFUNCTION("""COMPUTED_VALUE"""),"Sài Gòn")</f>
        <v>Sài Gòn</v>
      </c>
      <c r="C424" s="265" t="str">
        <f>IFERROR(__xludf.DUMMYFUNCTION("""COMPUTED_VALUE"""),"Locked")</f>
        <v>Locked</v>
      </c>
      <c r="D424" s="265" t="str">
        <f>IFERROR(__xludf.DUMMYFUNCTION("""COMPUTED_VALUE"""),"Viễn thông")</f>
        <v>Viễn thông</v>
      </c>
      <c r="E424" s="265" t="str">
        <f>IFERROR(__xludf.DUMMYFUNCTION("""COMPUTED_VALUE"""),"HoaNTM")</f>
        <v>HoaNTM</v>
      </c>
      <c r="F424" s="265" t="str">
        <f>IFERROR(__xludf.DUMMYFUNCTION("""COMPUTED_VALUE"""),"Sale chưa cung cấp")</f>
        <v>Sale chưa cung cấp</v>
      </c>
      <c r="G424" s="265" t="str">
        <f>IFERROR(__xludf.DUMMYFUNCTION("""COMPUTED_VALUE"""),"Enterprise")</f>
        <v>Enterprise</v>
      </c>
      <c r="H424" s="265" t="str">
        <f>IFERROR(__xludf.DUMMYFUNCTION("""COMPUTED_VALUE"""),"(Chưa recheck)")</f>
        <v>(Chưa recheck)</v>
      </c>
      <c r="I424" s="265" t="str">
        <f>IFERROR(__xludf.DUMMYFUNCTION("""COMPUTED_VALUE"""),"API &amp; Portal")</f>
        <v>API &amp; Portal</v>
      </c>
      <c r="J424" s="265" t="str">
        <f>IFERROR(__xludf.DUMMYFUNCTION("""COMPUTED_VALUE"""),"API")</f>
        <v>API</v>
      </c>
      <c r="K424" s="265" t="str">
        <f>IFERROR(__xludf.DUMMYFUNCTION("""COMPUTED_VALUE"""),"(Chưa recheck)")</f>
        <v>(Chưa recheck)</v>
      </c>
    </row>
    <row r="425">
      <c r="A425" s="265" t="str">
        <f>IFERROR(__xludf.DUMMYFUNCTION("""COMPUTED_VALUE"""),"707")</f>
        <v>707</v>
      </c>
      <c r="B425" s="265" t="str">
        <f>IFERROR(__xludf.DUMMYFUNCTION("""COMPUTED_VALUE"""),"Hà Nội")</f>
        <v>Hà Nội</v>
      </c>
      <c r="C425" s="265" t="str">
        <f>IFERROR(__xludf.DUMMYFUNCTION("""COMPUTED_VALUE"""),"Locked")</f>
        <v>Locked</v>
      </c>
      <c r="D425" s="265" t="str">
        <f>IFERROR(__xludf.DUMMYFUNCTION("""COMPUTED_VALUE"""),"Mua sắm &amp; Bán lẻ")</f>
        <v>Mua sắm &amp; Bán lẻ</v>
      </c>
      <c r="E425" s="265" t="str">
        <f>IFERROR(__xludf.DUMMYFUNCTION("""COMPUTED_VALUE"""),"PhươngDTB")</f>
        <v>PhươngDTB</v>
      </c>
      <c r="F425" s="265" t="str">
        <f>IFERROR(__xludf.DUMMYFUNCTION("""COMPUTED_VALUE"""),"Bronze")</f>
        <v>Bronze</v>
      </c>
      <c r="G425" s="265" t="str">
        <f>IFERROR(__xludf.DUMMYFUNCTION("""COMPUTED_VALUE"""),"Enterprise")</f>
        <v>Enterprise</v>
      </c>
      <c r="H425" s="265" t="str">
        <f>IFERROR(__xludf.DUMMYFUNCTION("""COMPUTED_VALUE"""),"(Chưa recheck)")</f>
        <v>(Chưa recheck)</v>
      </c>
      <c r="I425" s="265" t="str">
        <f>IFERROR(__xludf.DUMMYFUNCTION("""COMPUTED_VALUE"""),"API &amp; Portal")</f>
        <v>API &amp; Portal</v>
      </c>
      <c r="J425" s="265" t="str">
        <f>IFERROR(__xludf.DUMMYFUNCTION("""COMPUTED_VALUE"""),"Kiotviet")</f>
        <v>Kiotviet</v>
      </c>
      <c r="K425" s="265" t="str">
        <f>IFERROR(__xludf.DUMMYFUNCTION("""COMPUTED_VALUE"""),"AnhNM")</f>
        <v>AnhNM</v>
      </c>
    </row>
    <row r="426">
      <c r="A426" s="265" t="str">
        <f>IFERROR(__xludf.DUMMYFUNCTION("""COMPUTED_VALUE"""),"709")</f>
        <v>709</v>
      </c>
      <c r="B426" s="265" t="str">
        <f>IFERROR(__xludf.DUMMYFUNCTION("""COMPUTED_VALUE"""),"Hà Nội")</f>
        <v>Hà Nội</v>
      </c>
      <c r="C426" s="265" t="str">
        <f>IFERROR(__xludf.DUMMYFUNCTION("""COMPUTED_VALUE"""),"Locked")</f>
        <v>Locked</v>
      </c>
      <c r="D426" s="265" t="str">
        <f>IFERROR(__xludf.DUMMYFUNCTION("""COMPUTED_VALUE"""),"Viễn thông")</f>
        <v>Viễn thông</v>
      </c>
      <c r="E426" s="265" t="str">
        <f>IFERROR(__xludf.DUMMYFUNCTION("""COMPUTED_VALUE"""),"NamDT")</f>
        <v>NamDT</v>
      </c>
      <c r="F426" s="265" t="str">
        <f>IFERROR(__xludf.DUMMYFUNCTION("""COMPUTED_VALUE"""),"Sale chưa cung cấp")</f>
        <v>Sale chưa cung cấp</v>
      </c>
      <c r="G426" s="265" t="str">
        <f>IFERROR(__xludf.DUMMYFUNCTION("""COMPUTED_VALUE"""),"Enterprise")</f>
        <v>Enterprise</v>
      </c>
      <c r="H426" s="265" t="str">
        <f>IFERROR(__xludf.DUMMYFUNCTION("""COMPUTED_VALUE"""),"Trial")</f>
        <v>Trial</v>
      </c>
      <c r="I426" s="265" t="str">
        <f>IFERROR(__xludf.DUMMYFUNCTION("""COMPUTED_VALUE"""),"Portal")</f>
        <v>Portal</v>
      </c>
      <c r="J426" s="265" t="str">
        <f>IFERROR(__xludf.DUMMYFUNCTION("""COMPUTED_VALUE"""),"(Chưa recheck)")</f>
        <v>(Chưa recheck)</v>
      </c>
      <c r="K426" s="265" t="str">
        <f>IFERROR(__xludf.DUMMYFUNCTION("""COMPUTED_VALUE"""),"(Chưa recheck)")</f>
        <v>(Chưa recheck)</v>
      </c>
    </row>
    <row r="427">
      <c r="A427" s="265" t="str">
        <f>IFERROR(__xludf.DUMMYFUNCTION("""COMPUTED_VALUE"""),"708")</f>
        <v>708</v>
      </c>
      <c r="B427" s="265" t="str">
        <f>IFERROR(__xludf.DUMMYFUNCTION("""COMPUTED_VALUE"""),"Sài Gòn")</f>
        <v>Sài Gòn</v>
      </c>
      <c r="C427" s="265" t="str">
        <f>IFERROR(__xludf.DUMMYFUNCTION("""COMPUTED_VALUE"""),"Locked")</f>
        <v>Locked</v>
      </c>
      <c r="D427" s="265" t="str">
        <f>IFERROR(__xludf.DUMMYFUNCTION("""COMPUTED_VALUE"""),"Y tế &amp; Dược phẩm")</f>
        <v>Y tế &amp; Dược phẩm</v>
      </c>
      <c r="E427" s="265" t="str">
        <f>IFERROR(__xludf.DUMMYFUNCTION("""COMPUTED_VALUE"""),"HoaNTM")</f>
        <v>HoaNTM</v>
      </c>
      <c r="F427" s="265" t="str">
        <f>IFERROR(__xludf.DUMMYFUNCTION("""COMPUTED_VALUE"""),"Gold")</f>
        <v>Gold</v>
      </c>
      <c r="G427" s="265" t="str">
        <f>IFERROR(__xludf.DUMMYFUNCTION("""COMPUTED_VALUE"""),"Starter")</f>
        <v>Starter</v>
      </c>
      <c r="H427" s="265" t="str">
        <f>IFERROR(__xludf.DUMMYFUNCTION("""COMPUTED_VALUE"""),"(Chưa recheck)")</f>
        <v>(Chưa recheck)</v>
      </c>
      <c r="I427" s="265" t="str">
        <f>IFERROR(__xludf.DUMMYFUNCTION("""COMPUTED_VALUE"""),"API &amp; Portal")</f>
        <v>API &amp; Portal</v>
      </c>
      <c r="J427" s="265" t="str">
        <f>IFERROR(__xludf.DUMMYFUNCTION("""COMPUTED_VALUE"""),"File Excel")</f>
        <v>File Excel</v>
      </c>
      <c r="K427" s="265" t="str">
        <f>IFERROR(__xludf.DUMMYFUNCTION("""COMPUTED_VALUE"""),"(Chưa recheck)")</f>
        <v>(Chưa recheck)</v>
      </c>
    </row>
    <row r="428">
      <c r="A428" s="265" t="str">
        <f>IFERROR(__xludf.DUMMYFUNCTION("""COMPUTED_VALUE"""),"708")</f>
        <v>708</v>
      </c>
      <c r="B428" s="265" t="str">
        <f>IFERROR(__xludf.DUMMYFUNCTION("""COMPUTED_VALUE"""),"Sài Gòn")</f>
        <v>Sài Gòn</v>
      </c>
      <c r="C428" s="265" t="str">
        <f>IFERROR(__xludf.DUMMYFUNCTION("""COMPUTED_VALUE"""),"Locked")</f>
        <v>Locked</v>
      </c>
      <c r="D428" s="265" t="str">
        <f>IFERROR(__xludf.DUMMYFUNCTION("""COMPUTED_VALUE"""),"Y tế &amp; Dược phẩm")</f>
        <v>Y tế &amp; Dược phẩm</v>
      </c>
      <c r="E428" s="265" t="str">
        <f>IFERROR(__xludf.DUMMYFUNCTION("""COMPUTED_VALUE"""),"HoaNTM")</f>
        <v>HoaNTM</v>
      </c>
      <c r="F428" s="265" t="str">
        <f>IFERROR(__xludf.DUMMYFUNCTION("""COMPUTED_VALUE"""),"Gold")</f>
        <v>Gold</v>
      </c>
      <c r="G428" s="265" t="str">
        <f>IFERROR(__xludf.DUMMYFUNCTION("""COMPUTED_VALUE"""),"Starter")</f>
        <v>Starter</v>
      </c>
      <c r="H428" s="265" t="str">
        <f>IFERROR(__xludf.DUMMYFUNCTION("""COMPUTED_VALUE"""),"(Chưa recheck)")</f>
        <v>(Chưa recheck)</v>
      </c>
      <c r="I428" s="265" t="str">
        <f>IFERROR(__xludf.DUMMYFUNCTION("""COMPUTED_VALUE"""),"API &amp; Portal")</f>
        <v>API &amp; Portal</v>
      </c>
      <c r="J428" s="265" t="str">
        <f>IFERROR(__xludf.DUMMYFUNCTION("""COMPUTED_VALUE"""),"API")</f>
        <v>API</v>
      </c>
      <c r="K428" s="265" t="str">
        <f>IFERROR(__xludf.DUMMYFUNCTION("""COMPUTED_VALUE"""),"(Chưa recheck)")</f>
        <v>(Chưa recheck)</v>
      </c>
    </row>
    <row r="429">
      <c r="A429" s="265" t="str">
        <f>IFERROR(__xludf.DUMMYFUNCTION("""COMPUTED_VALUE"""),"710")</f>
        <v>710</v>
      </c>
      <c r="B429" s="265" t="str">
        <f>IFERROR(__xludf.DUMMYFUNCTION("""COMPUTED_VALUE"""),"Hà Nội")</f>
        <v>Hà Nội</v>
      </c>
      <c r="C429" s="265" t="str">
        <f>IFERROR(__xludf.DUMMYFUNCTION("""COMPUTED_VALUE"""),"Locked")</f>
        <v>Locked</v>
      </c>
      <c r="D429" s="265" t="str">
        <f>IFERROR(__xludf.DUMMYFUNCTION("""COMPUTED_VALUE"""),"Mua sắm &amp; Bán lẻ")</f>
        <v>Mua sắm &amp; Bán lẻ</v>
      </c>
      <c r="E429" s="265" t="str">
        <f>IFERROR(__xludf.DUMMYFUNCTION("""COMPUTED_VALUE"""),"TúPHN")</f>
        <v>TúPHN</v>
      </c>
      <c r="F429" s="265" t="str">
        <f>IFERROR(__xludf.DUMMYFUNCTION("""COMPUTED_VALUE"""),"Bronze")</f>
        <v>Bronze</v>
      </c>
      <c r="G429" s="265" t="str">
        <f>IFERROR(__xludf.DUMMYFUNCTION("""COMPUTED_VALUE"""),"Enterprise")</f>
        <v>Enterprise</v>
      </c>
      <c r="H429" s="265" t="str">
        <f>IFERROR(__xludf.DUMMYFUNCTION("""COMPUTED_VALUE"""),"Trả trước")</f>
        <v>Trả trước</v>
      </c>
      <c r="I429" s="265" t="str">
        <f>IFERROR(__xludf.DUMMYFUNCTION("""COMPUTED_VALUE"""),"API &amp; Portal")</f>
        <v>API &amp; Portal</v>
      </c>
      <c r="J429" s="265" t="str">
        <f>IFERROR(__xludf.DUMMYFUNCTION("""COMPUTED_VALUE"""),"File Excel")</f>
        <v>File Excel</v>
      </c>
      <c r="K429" s="265" t="str">
        <f>IFERROR(__xludf.DUMMYFUNCTION("""COMPUTED_VALUE"""),"AnhNM")</f>
        <v>AnhNM</v>
      </c>
    </row>
    <row r="430">
      <c r="A430" s="265" t="str">
        <f>IFERROR(__xludf.DUMMYFUNCTION("""COMPUTED_VALUE"""),"710")</f>
        <v>710</v>
      </c>
      <c r="B430" s="265" t="str">
        <f>IFERROR(__xludf.DUMMYFUNCTION("""COMPUTED_VALUE"""),"Hà Nội")</f>
        <v>Hà Nội</v>
      </c>
      <c r="C430" s="265" t="str">
        <f>IFERROR(__xludf.DUMMYFUNCTION("""COMPUTED_VALUE"""),"Locked")</f>
        <v>Locked</v>
      </c>
      <c r="D430" s="265" t="str">
        <f>IFERROR(__xludf.DUMMYFUNCTION("""COMPUTED_VALUE"""),"Mua sắm &amp; Bán lẻ")</f>
        <v>Mua sắm &amp; Bán lẻ</v>
      </c>
      <c r="E430" s="265" t="str">
        <f>IFERROR(__xludf.DUMMYFUNCTION("""COMPUTED_VALUE"""),"TúPHN")</f>
        <v>TúPHN</v>
      </c>
      <c r="F430" s="265" t="str">
        <f>IFERROR(__xludf.DUMMYFUNCTION("""COMPUTED_VALUE"""),"Bronze")</f>
        <v>Bronze</v>
      </c>
      <c r="G430" s="265" t="str">
        <f>IFERROR(__xludf.DUMMYFUNCTION("""COMPUTED_VALUE"""),"Enterprise")</f>
        <v>Enterprise</v>
      </c>
      <c r="H430" s="265" t="str">
        <f>IFERROR(__xludf.DUMMYFUNCTION("""COMPUTED_VALUE"""),"Trả trước")</f>
        <v>Trả trước</v>
      </c>
      <c r="I430" s="265" t="str">
        <f>IFERROR(__xludf.DUMMYFUNCTION("""COMPUTED_VALUE"""),"API &amp; Portal")</f>
        <v>API &amp; Portal</v>
      </c>
      <c r="J430" s="265" t="str">
        <f>IFERROR(__xludf.DUMMYFUNCTION("""COMPUTED_VALUE"""),"Haravan")</f>
        <v>Haravan</v>
      </c>
      <c r="K430" s="265" t="str">
        <f>IFERROR(__xludf.DUMMYFUNCTION("""COMPUTED_VALUE"""),"AnhNM")</f>
        <v>AnhNM</v>
      </c>
    </row>
    <row r="431">
      <c r="A431" s="265" t="str">
        <f>IFERROR(__xludf.DUMMYFUNCTION("""COMPUTED_VALUE"""),"712")</f>
        <v>712</v>
      </c>
      <c r="B431" s="265" t="str">
        <f>IFERROR(__xludf.DUMMYFUNCTION("""COMPUTED_VALUE"""),"Hà Nội")</f>
        <v>Hà Nội</v>
      </c>
      <c r="C431" s="265" t="str">
        <f>IFERROR(__xludf.DUMMYFUNCTION("""COMPUTED_VALUE"""),"Locked")</f>
        <v>Locked</v>
      </c>
      <c r="D431" s="265" t="str">
        <f>IFERROR(__xludf.DUMMYFUNCTION("""COMPUTED_VALUE"""),"Thời trang &amp; May mặc")</f>
        <v>Thời trang &amp; May mặc</v>
      </c>
      <c r="E431" s="265" t="str">
        <f>IFERROR(__xludf.DUMMYFUNCTION("""COMPUTED_VALUE"""),"TùngLD")</f>
        <v>TùngLD</v>
      </c>
      <c r="F431" s="265" t="str">
        <f>IFERROR(__xludf.DUMMYFUNCTION("""COMPUTED_VALUE"""),"Silver")</f>
        <v>Silver</v>
      </c>
      <c r="G431" s="265" t="str">
        <f>IFERROR(__xludf.DUMMYFUNCTION("""COMPUTED_VALUE"""),"Enterprise")</f>
        <v>Enterprise</v>
      </c>
      <c r="H431" s="265" t="str">
        <f>IFERROR(__xludf.DUMMYFUNCTION("""COMPUTED_VALUE"""),"Trả trước")</f>
        <v>Trả trước</v>
      </c>
      <c r="I431" s="265" t="str">
        <f>IFERROR(__xludf.DUMMYFUNCTION("""COMPUTED_VALUE"""),"Portal")</f>
        <v>Portal</v>
      </c>
      <c r="J431" s="265" t="str">
        <f>IFERROR(__xludf.DUMMYFUNCTION("""COMPUTED_VALUE"""),"File Excel")</f>
        <v>File Excel</v>
      </c>
      <c r="K431" s="265" t="str">
        <f>IFERROR(__xludf.DUMMYFUNCTION("""COMPUTED_VALUE"""),"DungPL")</f>
        <v>DungPL</v>
      </c>
    </row>
    <row r="432">
      <c r="A432" s="265" t="str">
        <f>IFERROR(__xludf.DUMMYFUNCTION("""COMPUTED_VALUE"""),"711")</f>
        <v>711</v>
      </c>
      <c r="B432" s="265" t="str">
        <f>IFERROR(__xludf.DUMMYFUNCTION("""COMPUTED_VALUE"""),"Hà Nội")</f>
        <v>Hà Nội</v>
      </c>
      <c r="C432" s="265" t="str">
        <f>IFERROR(__xludf.DUMMYFUNCTION("""COMPUTED_VALUE"""),"Locked")</f>
        <v>Locked</v>
      </c>
      <c r="D432" s="265" t="str">
        <f>IFERROR(__xludf.DUMMYFUNCTION("""COMPUTED_VALUE"""),"Thực phẩm &amp; Đồ uống")</f>
        <v>Thực phẩm &amp; Đồ uống</v>
      </c>
      <c r="E432" s="265" t="str">
        <f>IFERROR(__xludf.DUMMYFUNCTION("""COMPUTED_VALUE"""),"NamDT")</f>
        <v>NamDT</v>
      </c>
      <c r="F432" s="265" t="str">
        <f>IFERROR(__xludf.DUMMYFUNCTION("""COMPUTED_VALUE"""),"Sale chưa cung cấp")</f>
        <v>Sale chưa cung cấp</v>
      </c>
      <c r="G432" s="265" t="str">
        <f>IFERROR(__xludf.DUMMYFUNCTION("""COMPUTED_VALUE"""),"Enterprise")</f>
        <v>Enterprise</v>
      </c>
      <c r="H432" s="265" t="str">
        <f>IFERROR(__xludf.DUMMYFUNCTION("""COMPUTED_VALUE"""),"Trả sau")</f>
        <v>Trả sau</v>
      </c>
      <c r="I432" s="265" t="str">
        <f>IFERROR(__xludf.DUMMYFUNCTION("""COMPUTED_VALUE"""),"Portal")</f>
        <v>Portal</v>
      </c>
      <c r="J432" s="265" t="str">
        <f>IFERROR(__xludf.DUMMYFUNCTION("""COMPUTED_VALUE"""),"(Chưa recheck)")</f>
        <v>(Chưa recheck)</v>
      </c>
      <c r="K432" s="265" t="str">
        <f>IFERROR(__xludf.DUMMYFUNCTION("""COMPUTED_VALUE"""),"(Chưa recheck)")</f>
        <v>(Chưa recheck)</v>
      </c>
    </row>
    <row r="433">
      <c r="A433" s="265" t="str">
        <f>IFERROR(__xludf.DUMMYFUNCTION("""COMPUTED_VALUE"""),"713")</f>
        <v>713</v>
      </c>
      <c r="B433" s="265" t="str">
        <f>IFERROR(__xludf.DUMMYFUNCTION("""COMPUTED_VALUE"""),"Hà Nội")</f>
        <v>Hà Nội</v>
      </c>
      <c r="C433" s="265" t="str">
        <f>IFERROR(__xludf.DUMMYFUNCTION("""COMPUTED_VALUE"""),"Locked")</f>
        <v>Locked</v>
      </c>
      <c r="D433" s="265" t="str">
        <f>IFERROR(__xludf.DUMMYFUNCTION("""COMPUTED_VALUE"""),"Thực phẩm &amp; Đồ uống")</f>
        <v>Thực phẩm &amp; Đồ uống</v>
      </c>
      <c r="E433" s="265" t="str">
        <f>IFERROR(__xludf.DUMMYFUNCTION("""COMPUTED_VALUE"""),"NamDT")</f>
        <v>NamDT</v>
      </c>
      <c r="F433" s="265" t="str">
        <f>IFERROR(__xludf.DUMMYFUNCTION("""COMPUTED_VALUE"""),"Sale chưa cung cấp")</f>
        <v>Sale chưa cung cấp</v>
      </c>
      <c r="G433" s="265" t="str">
        <f>IFERROR(__xludf.DUMMYFUNCTION("""COMPUTED_VALUE"""),"Enterprise")</f>
        <v>Enterprise</v>
      </c>
      <c r="H433" s="265" t="str">
        <f>IFERROR(__xludf.DUMMYFUNCTION("""COMPUTED_VALUE"""),"Trả sau")</f>
        <v>Trả sau</v>
      </c>
      <c r="I433" s="265" t="str">
        <f>IFERROR(__xludf.DUMMYFUNCTION("""COMPUTED_VALUE"""),"Portal")</f>
        <v>Portal</v>
      </c>
      <c r="J433" s="265" t="str">
        <f>IFERROR(__xludf.DUMMYFUNCTION("""COMPUTED_VALUE"""),"(Chưa recheck)")</f>
        <v>(Chưa recheck)</v>
      </c>
      <c r="K433" s="265" t="str">
        <f>IFERROR(__xludf.DUMMYFUNCTION("""COMPUTED_VALUE"""),"(Chưa recheck)")</f>
        <v>(Chưa recheck)</v>
      </c>
    </row>
    <row r="434">
      <c r="A434" s="265" t="str">
        <f>IFERROR(__xludf.DUMMYFUNCTION("""COMPUTED_VALUE"""),"715")</f>
        <v>715</v>
      </c>
      <c r="B434" s="265" t="str">
        <f>IFERROR(__xludf.DUMMYFUNCTION("""COMPUTED_VALUE"""),"Hà Nội")</f>
        <v>Hà Nội</v>
      </c>
      <c r="C434" s="265" t="str">
        <f>IFERROR(__xludf.DUMMYFUNCTION("""COMPUTED_VALUE"""),"Active")</f>
        <v>Active</v>
      </c>
      <c r="D434" s="265" t="str">
        <f>IFERROR(__xludf.DUMMYFUNCTION("""COMPUTED_VALUE"""),"Tài chính &amp; Ngân hàng")</f>
        <v>Tài chính &amp; Ngân hàng</v>
      </c>
      <c r="E434" s="265" t="str">
        <f>IFERROR(__xludf.DUMMYFUNCTION("""COMPUTED_VALUE"""),"AnhNM")</f>
        <v>AnhNM</v>
      </c>
      <c r="F434" s="265" t="str">
        <f>IFERROR(__xludf.DUMMYFUNCTION("""COMPUTED_VALUE"""),"Sale chưa cung cấp")</f>
        <v>Sale chưa cung cấp</v>
      </c>
      <c r="G434" s="265" t="str">
        <f>IFERROR(__xludf.DUMMYFUNCTION("""COMPUTED_VALUE"""),"Starter")</f>
        <v>Starter</v>
      </c>
      <c r="H434" s="265" t="str">
        <f>IFERROR(__xludf.DUMMYFUNCTION("""COMPUTED_VALUE"""),"Trả sau")</f>
        <v>Trả sau</v>
      </c>
      <c r="I434" s="265" t="str">
        <f>IFERROR(__xludf.DUMMYFUNCTION("""COMPUTED_VALUE"""),"API")</f>
        <v>API</v>
      </c>
      <c r="J434" s="265" t="str">
        <f>IFERROR(__xludf.DUMMYFUNCTION("""COMPUTED_VALUE"""),"API")</f>
        <v>API</v>
      </c>
      <c r="K434" s="265" t="str">
        <f>IFERROR(__xludf.DUMMYFUNCTION("""COMPUTED_VALUE"""),"LinhNTT1")</f>
        <v>LinhNTT1</v>
      </c>
    </row>
    <row r="435">
      <c r="A435" s="265" t="str">
        <f>IFERROR(__xludf.DUMMYFUNCTION("""COMPUTED_VALUE"""),"714")</f>
        <v>714</v>
      </c>
      <c r="B435" s="265" t="str">
        <f>IFERROR(__xludf.DUMMYFUNCTION("""COMPUTED_VALUE"""),"Sài Gòn")</f>
        <v>Sài Gòn</v>
      </c>
      <c r="C435" s="265" t="str">
        <f>IFERROR(__xludf.DUMMYFUNCTION("""COMPUTED_VALUE"""),"Locked")</f>
        <v>Locked</v>
      </c>
      <c r="D435" s="265" t="str">
        <f>IFERROR(__xludf.DUMMYFUNCTION("""COMPUTED_VALUE"""),"Thực phẩm &amp; Đồ uống")</f>
        <v>Thực phẩm &amp; Đồ uống</v>
      </c>
      <c r="E435" s="265" t="str">
        <f>IFERROR(__xludf.DUMMYFUNCTION("""COMPUTED_VALUE"""),"HoaNTM")</f>
        <v>HoaNTM</v>
      </c>
      <c r="F435" s="265" t="str">
        <f>IFERROR(__xludf.DUMMYFUNCTION("""COMPUTED_VALUE"""),"Sale chưa cung cấp")</f>
        <v>Sale chưa cung cấp</v>
      </c>
      <c r="G435" s="265" t="str">
        <f>IFERROR(__xludf.DUMMYFUNCTION("""COMPUTED_VALUE"""),"Enterprise")</f>
        <v>Enterprise</v>
      </c>
      <c r="H435" s="265" t="str">
        <f>IFERROR(__xludf.DUMMYFUNCTION("""COMPUTED_VALUE"""),"Trả sau")</f>
        <v>Trả sau</v>
      </c>
      <c r="I435" s="265" t="str">
        <f>IFERROR(__xludf.DUMMYFUNCTION("""COMPUTED_VALUE"""),"Portal")</f>
        <v>Portal</v>
      </c>
      <c r="J435" s="265" t="str">
        <f>IFERROR(__xludf.DUMMYFUNCTION("""COMPUTED_VALUE"""),"File Excel")</f>
        <v>File Excel</v>
      </c>
      <c r="K435" s="265" t="str">
        <f>IFERROR(__xludf.DUMMYFUNCTION("""COMPUTED_VALUE"""),"(Chưa recheck)")</f>
        <v>(Chưa recheck)</v>
      </c>
    </row>
    <row r="436">
      <c r="A436" s="265" t="str">
        <f>IFERROR(__xludf.DUMMYFUNCTION("""COMPUTED_VALUE"""),"717")</f>
        <v>717</v>
      </c>
      <c r="B436" s="265" t="str">
        <f>IFERROR(__xludf.DUMMYFUNCTION("""COMPUTED_VALUE"""),"Sài Gòn")</f>
        <v>Sài Gòn</v>
      </c>
      <c r="C436" s="265" t="str">
        <f>IFERROR(__xludf.DUMMYFUNCTION("""COMPUTED_VALUE"""),"Locked")</f>
        <v>Locked</v>
      </c>
      <c r="D436" s="265" t="str">
        <f>IFERROR(__xludf.DUMMYFUNCTION("""COMPUTED_VALUE"""),"Sale chưa cung cấp")</f>
        <v>Sale chưa cung cấp</v>
      </c>
      <c r="E436" s="265" t="str">
        <f>IFERROR(__xludf.DUMMYFUNCTION("""COMPUTED_VALUE"""),"Không phân công")</f>
        <v>Không phân công</v>
      </c>
      <c r="F436" s="265" t="str">
        <f>IFERROR(__xludf.DUMMYFUNCTION("""COMPUTED_VALUE"""),"Sale chưa cung cấp")</f>
        <v>Sale chưa cung cấp</v>
      </c>
      <c r="G436" s="265" t="str">
        <f>IFERROR(__xludf.DUMMYFUNCTION("""COMPUTED_VALUE"""),"MSG")</f>
        <v>MSG</v>
      </c>
      <c r="H436" s="265" t="str">
        <f>IFERROR(__xludf.DUMMYFUNCTION("""COMPUTED_VALUE"""),"Trả trước")</f>
        <v>Trả trước</v>
      </c>
      <c r="I436" s="265" t="str">
        <f>IFERROR(__xludf.DUMMYFUNCTION("""COMPUTED_VALUE"""),"Portal")</f>
        <v>Portal</v>
      </c>
      <c r="J436" s="265" t="str">
        <f>IFERROR(__xludf.DUMMYFUNCTION("""COMPUTED_VALUE"""),"File Excel")</f>
        <v>File Excel</v>
      </c>
      <c r="K436" s="265" t="str">
        <f>IFERROR(__xludf.DUMMYFUNCTION("""COMPUTED_VALUE"""),"LinhNTT1")</f>
        <v>LinhNTT1</v>
      </c>
    </row>
    <row r="437">
      <c r="A437" s="265" t="str">
        <f>IFERROR(__xludf.DUMMYFUNCTION("""COMPUTED_VALUE"""),"718")</f>
        <v>718</v>
      </c>
      <c r="B437" s="265" t="str">
        <f>IFERROR(__xludf.DUMMYFUNCTION("""COMPUTED_VALUE"""),"Hà Nội")</f>
        <v>Hà Nội</v>
      </c>
      <c r="C437" s="265" t="str">
        <f>IFERROR(__xludf.DUMMYFUNCTION("""COMPUTED_VALUE"""),"Locked")</f>
        <v>Locked</v>
      </c>
      <c r="D437" s="265" t="str">
        <f>IFERROR(__xludf.DUMMYFUNCTION("""COMPUTED_VALUE"""),"Công nghệ &amp; Phần mềm")</f>
        <v>Công nghệ &amp; Phần mềm</v>
      </c>
      <c r="E437" s="265" t="str">
        <f>IFERROR(__xludf.DUMMYFUNCTION("""COMPUTED_VALUE"""),"NganNT1")</f>
        <v>NganNT1</v>
      </c>
      <c r="F437" s="265" t="str">
        <f>IFERROR(__xludf.DUMMYFUNCTION("""COMPUTED_VALUE"""),"Sale chưa cung cấp")</f>
        <v>Sale chưa cung cấp</v>
      </c>
      <c r="G437" s="265" t="str">
        <f>IFERROR(__xludf.DUMMYFUNCTION("""COMPUTED_VALUE"""),"API")</f>
        <v>API</v>
      </c>
      <c r="H437" s="265" t="str">
        <f>IFERROR(__xludf.DUMMYFUNCTION("""COMPUTED_VALUE"""),"Trial")</f>
        <v>Trial</v>
      </c>
      <c r="I437" s="265" t="str">
        <f>IFERROR(__xludf.DUMMYFUNCTION("""COMPUTED_VALUE"""),"API")</f>
        <v>API</v>
      </c>
      <c r="J437" s="265" t="str">
        <f>IFERROR(__xludf.DUMMYFUNCTION("""COMPUTED_VALUE"""),"API")</f>
        <v>API</v>
      </c>
      <c r="K437" s="265" t="str">
        <f>IFERROR(__xludf.DUMMYFUNCTION("""COMPUTED_VALUE"""),"(Không recheck)")</f>
        <v>(Không recheck)</v>
      </c>
    </row>
    <row r="438">
      <c r="A438" s="265" t="str">
        <f>IFERROR(__xludf.DUMMYFUNCTION("""COMPUTED_VALUE"""),"719")</f>
        <v>719</v>
      </c>
      <c r="B438" s="265" t="str">
        <f>IFERROR(__xludf.DUMMYFUNCTION("""COMPUTED_VALUE"""),"Hà Nội")</f>
        <v>Hà Nội</v>
      </c>
      <c r="C438" s="265" t="str">
        <f>IFERROR(__xludf.DUMMYFUNCTION("""COMPUTED_VALUE"""),"Active")</f>
        <v>Active</v>
      </c>
      <c r="D438" s="265" t="str">
        <f>IFERROR(__xludf.DUMMYFUNCTION("""COMPUTED_VALUE"""),"Tài chính &amp; Ngân hàng")</f>
        <v>Tài chính &amp; Ngân hàng</v>
      </c>
      <c r="E438" s="265" t="str">
        <f>IFERROR(__xludf.DUMMYFUNCTION("""COMPUTED_VALUE"""),"Không phân công")</f>
        <v>Không phân công</v>
      </c>
      <c r="F438" s="265" t="str">
        <f>IFERROR(__xludf.DUMMYFUNCTION("""COMPUTED_VALUE"""),"Sale chưa cung cấp")</f>
        <v>Sale chưa cung cấp</v>
      </c>
      <c r="G438" s="265" t="str">
        <f>IFERROR(__xludf.DUMMYFUNCTION("""COMPUTED_VALUE"""),"Starter")</f>
        <v>Starter</v>
      </c>
      <c r="H438" s="265" t="str">
        <f>IFERROR(__xludf.DUMMYFUNCTION("""COMPUTED_VALUE"""),"Trả sau")</f>
        <v>Trả sau</v>
      </c>
      <c r="I438" s="265" t="str">
        <f>IFERROR(__xludf.DUMMYFUNCTION("""COMPUTED_VALUE"""),"API &amp; Portal")</f>
        <v>API &amp; Portal</v>
      </c>
      <c r="J438" s="265" t="str">
        <f>IFERROR(__xludf.DUMMYFUNCTION("""COMPUTED_VALUE"""),"File Excel")</f>
        <v>File Excel</v>
      </c>
      <c r="K438" s="265" t="str">
        <f>IFERROR(__xludf.DUMMYFUNCTION("""COMPUTED_VALUE"""),"YếnĐH")</f>
        <v>YếnĐH</v>
      </c>
    </row>
    <row r="439">
      <c r="A439" s="265" t="str">
        <f>IFERROR(__xludf.DUMMYFUNCTION("""COMPUTED_VALUE"""),"719")</f>
        <v>719</v>
      </c>
      <c r="B439" s="265" t="str">
        <f>IFERROR(__xludf.DUMMYFUNCTION("""COMPUTED_VALUE"""),"Hà Nội")</f>
        <v>Hà Nội</v>
      </c>
      <c r="C439" s="265" t="str">
        <f>IFERROR(__xludf.DUMMYFUNCTION("""COMPUTED_VALUE"""),"Active")</f>
        <v>Active</v>
      </c>
      <c r="D439" s="265" t="str">
        <f>IFERROR(__xludf.DUMMYFUNCTION("""COMPUTED_VALUE"""),"Tài chính &amp; Ngân hàng")</f>
        <v>Tài chính &amp; Ngân hàng</v>
      </c>
      <c r="E439" s="265" t="str">
        <f>IFERROR(__xludf.DUMMYFUNCTION("""COMPUTED_VALUE"""),"Không phân công")</f>
        <v>Không phân công</v>
      </c>
      <c r="F439" s="265" t="str">
        <f>IFERROR(__xludf.DUMMYFUNCTION("""COMPUTED_VALUE"""),"Sale chưa cung cấp")</f>
        <v>Sale chưa cung cấp</v>
      </c>
      <c r="G439" s="265" t="str">
        <f>IFERROR(__xludf.DUMMYFUNCTION("""COMPUTED_VALUE"""),"Starter")</f>
        <v>Starter</v>
      </c>
      <c r="H439" s="265" t="str">
        <f>IFERROR(__xludf.DUMMYFUNCTION("""COMPUTED_VALUE"""),"Trả sau")</f>
        <v>Trả sau</v>
      </c>
      <c r="I439" s="265" t="str">
        <f>IFERROR(__xludf.DUMMYFUNCTION("""COMPUTED_VALUE"""),"API &amp; Portal")</f>
        <v>API &amp; Portal</v>
      </c>
      <c r="J439" s="265" t="str">
        <f>IFERROR(__xludf.DUMMYFUNCTION("""COMPUTED_VALUE"""),"API")</f>
        <v>API</v>
      </c>
      <c r="K439" s="265" t="str">
        <f>IFERROR(__xludf.DUMMYFUNCTION("""COMPUTED_VALUE"""),"YếnĐH")</f>
        <v>YếnĐH</v>
      </c>
    </row>
    <row r="440">
      <c r="A440" s="265" t="str">
        <f>IFERROR(__xludf.DUMMYFUNCTION("""COMPUTED_VALUE"""),"721")</f>
        <v>721</v>
      </c>
      <c r="B440" s="265" t="str">
        <f>IFERROR(__xludf.DUMMYFUNCTION("""COMPUTED_VALUE"""),"Sài Gòn")</f>
        <v>Sài Gòn</v>
      </c>
      <c r="C440" s="265" t="str">
        <f>IFERROR(__xludf.DUMMYFUNCTION("""COMPUTED_VALUE"""),"Locked")</f>
        <v>Locked</v>
      </c>
      <c r="D440" s="265" t="str">
        <f>IFERROR(__xludf.DUMMYFUNCTION("""COMPUTED_VALUE"""),"Thực phẩm &amp; Đồ uống")</f>
        <v>Thực phẩm &amp; Đồ uống</v>
      </c>
      <c r="E440" s="265" t="str">
        <f>IFERROR(__xludf.DUMMYFUNCTION("""COMPUTED_VALUE"""),"(Chưa recheck)")</f>
        <v>(Chưa recheck)</v>
      </c>
      <c r="F440" s="265" t="str">
        <f>IFERROR(__xludf.DUMMYFUNCTION("""COMPUTED_VALUE"""),"Sale chưa cung cấp")</f>
        <v>Sale chưa cung cấp</v>
      </c>
      <c r="G440" s="265" t="str">
        <f>IFERROR(__xludf.DUMMYFUNCTION("""COMPUTED_VALUE"""),"API")</f>
        <v>API</v>
      </c>
      <c r="H440" s="265" t="str">
        <f>IFERROR(__xludf.DUMMYFUNCTION("""COMPUTED_VALUE"""),"Trả sau")</f>
        <v>Trả sau</v>
      </c>
      <c r="I440" s="265" t="str">
        <f>IFERROR(__xludf.DUMMYFUNCTION("""COMPUTED_VALUE"""),"API")</f>
        <v>API</v>
      </c>
      <c r="J440" s="265" t="str">
        <f>IFERROR(__xludf.DUMMYFUNCTION("""COMPUTED_VALUE"""),"API")</f>
        <v>API</v>
      </c>
      <c r="K440" s="265" t="str">
        <f>IFERROR(__xludf.DUMMYFUNCTION("""COMPUTED_VALUE"""),"TuVTC")</f>
        <v>TuVTC</v>
      </c>
    </row>
    <row r="441">
      <c r="A441" s="265" t="str">
        <f>IFERROR(__xludf.DUMMYFUNCTION("""COMPUTED_VALUE"""),"723")</f>
        <v>723</v>
      </c>
      <c r="B441" s="265" t="str">
        <f>IFERROR(__xludf.DUMMYFUNCTION("""COMPUTED_VALUE"""),"Hà Nội")</f>
        <v>Hà Nội</v>
      </c>
      <c r="C441" s="265" t="str">
        <f>IFERROR(__xludf.DUMMYFUNCTION("""COMPUTED_VALUE"""),"Locked")</f>
        <v>Locked</v>
      </c>
      <c r="D441" s="265" t="str">
        <f>IFERROR(__xludf.DUMMYFUNCTION("""COMPUTED_VALUE"""),"Bất động sản")</f>
        <v>Bất động sản</v>
      </c>
      <c r="E441" s="265" t="str">
        <f>IFERROR(__xludf.DUMMYFUNCTION("""COMPUTED_VALUE"""),"DungDT")</f>
        <v>DungDT</v>
      </c>
      <c r="F441" s="265" t="str">
        <f>IFERROR(__xludf.DUMMYFUNCTION("""COMPUTED_VALUE"""),"Sale chưa cung cấp")</f>
        <v>Sale chưa cung cấp</v>
      </c>
      <c r="G441" s="265" t="str">
        <f>IFERROR(__xludf.DUMMYFUNCTION("""COMPUTED_VALUE"""),"Enterprise")</f>
        <v>Enterprise</v>
      </c>
      <c r="H441" s="265" t="str">
        <f>IFERROR(__xludf.DUMMYFUNCTION("""COMPUTED_VALUE"""),"Trial")</f>
        <v>Trial</v>
      </c>
      <c r="I441" s="265" t="str">
        <f>IFERROR(__xludf.DUMMYFUNCTION("""COMPUTED_VALUE"""),"API &amp; Portal")</f>
        <v>API &amp; Portal</v>
      </c>
      <c r="J441" s="265" t="str">
        <f>IFERROR(__xludf.DUMMYFUNCTION("""COMPUTED_VALUE"""),"File Excel")</f>
        <v>File Excel</v>
      </c>
      <c r="K441" s="265" t="str">
        <f>IFERROR(__xludf.DUMMYFUNCTION("""COMPUTED_VALUE"""),"(Không recheck)")</f>
        <v>(Không recheck)</v>
      </c>
    </row>
    <row r="442">
      <c r="A442" s="265" t="str">
        <f>IFERROR(__xludf.DUMMYFUNCTION("""COMPUTED_VALUE"""),"723")</f>
        <v>723</v>
      </c>
      <c r="B442" s="265" t="str">
        <f>IFERROR(__xludf.DUMMYFUNCTION("""COMPUTED_VALUE"""),"Hà Nội")</f>
        <v>Hà Nội</v>
      </c>
      <c r="C442" s="265" t="str">
        <f>IFERROR(__xludf.DUMMYFUNCTION("""COMPUTED_VALUE"""),"Locked")</f>
        <v>Locked</v>
      </c>
      <c r="D442" s="265" t="str">
        <f>IFERROR(__xludf.DUMMYFUNCTION("""COMPUTED_VALUE"""),"Bất động sản")</f>
        <v>Bất động sản</v>
      </c>
      <c r="E442" s="265" t="str">
        <f>IFERROR(__xludf.DUMMYFUNCTION("""COMPUTED_VALUE"""),"DungDT")</f>
        <v>DungDT</v>
      </c>
      <c r="F442" s="265" t="str">
        <f>IFERROR(__xludf.DUMMYFUNCTION("""COMPUTED_VALUE"""),"Sale chưa cung cấp")</f>
        <v>Sale chưa cung cấp</v>
      </c>
      <c r="G442" s="265" t="str">
        <f>IFERROR(__xludf.DUMMYFUNCTION("""COMPUTED_VALUE"""),"Enterprise")</f>
        <v>Enterprise</v>
      </c>
      <c r="H442" s="265" t="str">
        <f>IFERROR(__xludf.DUMMYFUNCTION("""COMPUTED_VALUE"""),"Trial")</f>
        <v>Trial</v>
      </c>
      <c r="I442" s="265" t="str">
        <f>IFERROR(__xludf.DUMMYFUNCTION("""COMPUTED_VALUE"""),"API &amp; Portal")</f>
        <v>API &amp; Portal</v>
      </c>
      <c r="J442" s="265" t="str">
        <f>IFERROR(__xludf.DUMMYFUNCTION("""COMPUTED_VALUE"""),"API")</f>
        <v>API</v>
      </c>
      <c r="K442" s="265" t="str">
        <f>IFERROR(__xludf.DUMMYFUNCTION("""COMPUTED_VALUE"""),"(Không recheck)")</f>
        <v>(Không recheck)</v>
      </c>
    </row>
    <row r="443">
      <c r="A443" s="265" t="str">
        <f>IFERROR(__xludf.DUMMYFUNCTION("""COMPUTED_VALUE"""),"726")</f>
        <v>726</v>
      </c>
      <c r="B443" s="265" t="str">
        <f>IFERROR(__xludf.DUMMYFUNCTION("""COMPUTED_VALUE"""),"Hà Nội")</f>
        <v>Hà Nội</v>
      </c>
      <c r="C443" s="265" t="str">
        <f>IFERROR(__xludf.DUMMYFUNCTION("""COMPUTED_VALUE"""),"Locked")</f>
        <v>Locked</v>
      </c>
      <c r="D443" s="265" t="str">
        <f>IFERROR(__xludf.DUMMYFUNCTION("""COMPUTED_VALUE"""),"Vận tải &amp; logistics")</f>
        <v>Vận tải &amp; logistics</v>
      </c>
      <c r="E443" s="265" t="str">
        <f>IFERROR(__xludf.DUMMYFUNCTION("""COMPUTED_VALUE"""),"TùngLD")</f>
        <v>TùngLD</v>
      </c>
      <c r="F443" s="265" t="str">
        <f>IFERROR(__xludf.DUMMYFUNCTION("""COMPUTED_VALUE"""),"Bronze")</f>
        <v>Bronze</v>
      </c>
      <c r="G443" s="265" t="str">
        <f>IFERROR(__xludf.DUMMYFUNCTION("""COMPUTED_VALUE"""),"MSG")</f>
        <v>MSG</v>
      </c>
      <c r="H443" s="265" t="str">
        <f>IFERROR(__xludf.DUMMYFUNCTION("""COMPUTED_VALUE"""),"Trả trước")</f>
        <v>Trả trước</v>
      </c>
      <c r="I443" s="265" t="str">
        <f>IFERROR(__xludf.DUMMYFUNCTION("""COMPUTED_VALUE"""),"Portal")</f>
        <v>Portal</v>
      </c>
      <c r="J443" s="265" t="str">
        <f>IFERROR(__xludf.DUMMYFUNCTION("""COMPUTED_VALUE"""),"File Excel")</f>
        <v>File Excel</v>
      </c>
      <c r="K443" s="265" t="str">
        <f>IFERROR(__xludf.DUMMYFUNCTION("""COMPUTED_VALUE"""),"AnhNM")</f>
        <v>AnhNM</v>
      </c>
    </row>
    <row r="444">
      <c r="A444" s="265" t="str">
        <f>IFERROR(__xludf.DUMMYFUNCTION("""COMPUTED_VALUE"""),"727")</f>
        <v>727</v>
      </c>
      <c r="B444" s="265" t="str">
        <f>IFERROR(__xludf.DUMMYFUNCTION("""COMPUTED_VALUE"""),"Sài Gòn")</f>
        <v>Sài Gòn</v>
      </c>
      <c r="C444" s="265" t="str">
        <f>IFERROR(__xludf.DUMMYFUNCTION("""COMPUTED_VALUE"""),"Locked")</f>
        <v>Locked</v>
      </c>
      <c r="D444" s="265" t="str">
        <f>IFERROR(__xludf.DUMMYFUNCTION("""COMPUTED_VALUE"""),"Thực phẩm &amp; Đồ uống")</f>
        <v>Thực phẩm &amp; Đồ uống</v>
      </c>
      <c r="E444" s="265" t="str">
        <f>IFERROR(__xludf.DUMMYFUNCTION("""COMPUTED_VALUE"""),"(Chưa recheck)")</f>
        <v>(Chưa recheck)</v>
      </c>
      <c r="F444" s="265" t="str">
        <f>IFERROR(__xludf.DUMMYFUNCTION("""COMPUTED_VALUE"""),"Sale chưa cung cấp")</f>
        <v>Sale chưa cung cấp</v>
      </c>
      <c r="G444" s="265" t="str">
        <f>IFERROR(__xludf.DUMMYFUNCTION("""COMPUTED_VALUE"""),"MSG")</f>
        <v>MSG</v>
      </c>
      <c r="H444" s="265" t="str">
        <f>IFERROR(__xludf.DUMMYFUNCTION("""COMPUTED_VALUE"""),"Trả sau")</f>
        <v>Trả sau</v>
      </c>
      <c r="I444" s="265" t="str">
        <f>IFERROR(__xludf.DUMMYFUNCTION("""COMPUTED_VALUE"""),"Portal")</f>
        <v>Portal</v>
      </c>
      <c r="J444" s="265" t="str">
        <f>IFERROR(__xludf.DUMMYFUNCTION("""COMPUTED_VALUE"""),"File Excel")</f>
        <v>File Excel</v>
      </c>
      <c r="K444" s="265" t="str">
        <f>IFERROR(__xludf.DUMMYFUNCTION("""COMPUTED_VALUE"""),"TuVTC")</f>
        <v>TuVTC</v>
      </c>
    </row>
    <row r="445">
      <c r="A445" s="265" t="str">
        <f>IFERROR(__xludf.DUMMYFUNCTION("""COMPUTED_VALUE"""),"728")</f>
        <v>728</v>
      </c>
      <c r="B445" s="265" t="str">
        <f>IFERROR(__xludf.DUMMYFUNCTION("""COMPUTED_VALUE"""),"Hà Nội")</f>
        <v>Hà Nội</v>
      </c>
      <c r="C445" s="265" t="str">
        <f>IFERROR(__xludf.DUMMYFUNCTION("""COMPUTED_VALUE"""),"Locked")</f>
        <v>Locked</v>
      </c>
      <c r="D445" s="265" t="str">
        <f>IFERROR(__xludf.DUMMYFUNCTION("""COMPUTED_VALUE"""),"Dịch vụ khác")</f>
        <v>Dịch vụ khác</v>
      </c>
      <c r="E445" s="265" t="str">
        <f>IFERROR(__xludf.DUMMYFUNCTION("""COMPUTED_VALUE"""),"PhươngDTB")</f>
        <v>PhươngDTB</v>
      </c>
      <c r="F445" s="265" t="str">
        <f>IFERROR(__xludf.DUMMYFUNCTION("""COMPUTED_VALUE"""),"Sale chưa cung cấp")</f>
        <v>Sale chưa cung cấp</v>
      </c>
      <c r="G445" s="265" t="str">
        <f>IFERROR(__xludf.DUMMYFUNCTION("""COMPUTED_VALUE"""),"API")</f>
        <v>API</v>
      </c>
      <c r="H445" s="265" t="str">
        <f>IFERROR(__xludf.DUMMYFUNCTION("""COMPUTED_VALUE"""),"Trial")</f>
        <v>Trial</v>
      </c>
      <c r="I445" s="265" t="str">
        <f>IFERROR(__xludf.DUMMYFUNCTION("""COMPUTED_VALUE"""),"Portal")</f>
        <v>Portal</v>
      </c>
      <c r="J445" s="265" t="str">
        <f>IFERROR(__xludf.DUMMYFUNCTION("""COMPUTED_VALUE"""),"File Excel")</f>
        <v>File Excel</v>
      </c>
      <c r="K445" s="265" t="str">
        <f>IFERROR(__xludf.DUMMYFUNCTION("""COMPUTED_VALUE"""),"(Không recheck)")</f>
        <v>(Không recheck)</v>
      </c>
    </row>
    <row r="446">
      <c r="A446" s="265" t="str">
        <f>IFERROR(__xludf.DUMMYFUNCTION("""COMPUTED_VALUE"""),"728")</f>
        <v>728</v>
      </c>
      <c r="B446" s="265" t="str">
        <f>IFERROR(__xludf.DUMMYFUNCTION("""COMPUTED_VALUE"""),"Hà Nội")</f>
        <v>Hà Nội</v>
      </c>
      <c r="C446" s="265" t="str">
        <f>IFERROR(__xludf.DUMMYFUNCTION("""COMPUTED_VALUE"""),"Locked")</f>
        <v>Locked</v>
      </c>
      <c r="D446" s="265" t="str">
        <f>IFERROR(__xludf.DUMMYFUNCTION("""COMPUTED_VALUE"""),"Dịch vụ khác")</f>
        <v>Dịch vụ khác</v>
      </c>
      <c r="E446" s="265" t="str">
        <f>IFERROR(__xludf.DUMMYFUNCTION("""COMPUTED_VALUE"""),"PhươngDTB")</f>
        <v>PhươngDTB</v>
      </c>
      <c r="F446" s="265" t="str">
        <f>IFERROR(__xludf.DUMMYFUNCTION("""COMPUTED_VALUE"""),"Sale chưa cung cấp")</f>
        <v>Sale chưa cung cấp</v>
      </c>
      <c r="G446" s="265" t="str">
        <f>IFERROR(__xludf.DUMMYFUNCTION("""COMPUTED_VALUE"""),"API")</f>
        <v>API</v>
      </c>
      <c r="H446" s="265" t="str">
        <f>IFERROR(__xludf.DUMMYFUNCTION("""COMPUTED_VALUE"""),"Trial")</f>
        <v>Trial</v>
      </c>
      <c r="I446" s="265" t="str">
        <f>IFERROR(__xludf.DUMMYFUNCTION("""COMPUTED_VALUE"""),"Portal")</f>
        <v>Portal</v>
      </c>
      <c r="J446" s="265" t="str">
        <f>IFERROR(__xludf.DUMMYFUNCTION("""COMPUTED_VALUE"""),"API")</f>
        <v>API</v>
      </c>
      <c r="K446" s="265" t="str">
        <f>IFERROR(__xludf.DUMMYFUNCTION("""COMPUTED_VALUE"""),"(Không recheck)")</f>
        <v>(Không recheck)</v>
      </c>
    </row>
    <row r="447">
      <c r="A447" s="265" t="str">
        <f>IFERROR(__xludf.DUMMYFUNCTION("""COMPUTED_VALUE"""),"730")</f>
        <v>730</v>
      </c>
      <c r="B447" s="265" t="str">
        <f>IFERROR(__xludf.DUMMYFUNCTION("""COMPUTED_VALUE"""),"Hà Nội")</f>
        <v>Hà Nội</v>
      </c>
      <c r="C447" s="265" t="str">
        <f>IFERROR(__xludf.DUMMYFUNCTION("""COMPUTED_VALUE"""),"Locked")</f>
        <v>Locked</v>
      </c>
      <c r="D447" s="265" t="str">
        <f>IFERROR(__xludf.DUMMYFUNCTION("""COMPUTED_VALUE"""),"Viễn thông")</f>
        <v>Viễn thông</v>
      </c>
      <c r="E447" s="265" t="str">
        <f>IFERROR(__xludf.DUMMYFUNCTION("""COMPUTED_VALUE"""),"DungDT")</f>
        <v>DungDT</v>
      </c>
      <c r="F447" s="265" t="str">
        <f>IFERROR(__xludf.DUMMYFUNCTION("""COMPUTED_VALUE"""),"Sale chưa cung cấp")</f>
        <v>Sale chưa cung cấp</v>
      </c>
      <c r="G447" s="265" t="str">
        <f>IFERROR(__xludf.DUMMYFUNCTION("""COMPUTED_VALUE"""),"API")</f>
        <v>API</v>
      </c>
      <c r="H447" s="265" t="str">
        <f>IFERROR(__xludf.DUMMYFUNCTION("""COMPUTED_VALUE"""),"Trả Sau")</f>
        <v>Trả Sau</v>
      </c>
      <c r="I447" s="265" t="str">
        <f>IFERROR(__xludf.DUMMYFUNCTION("""COMPUTED_VALUE"""),"API")</f>
        <v>API</v>
      </c>
      <c r="J447" s="265" t="str">
        <f>IFERROR(__xludf.DUMMYFUNCTION("""COMPUTED_VALUE"""),"API")</f>
        <v>API</v>
      </c>
      <c r="K447" s="265" t="str">
        <f>IFERROR(__xludf.DUMMYFUNCTION("""COMPUTED_VALUE"""),"AnhNM")</f>
        <v>AnhNM</v>
      </c>
    </row>
    <row r="448">
      <c r="A448" s="265" t="str">
        <f>IFERROR(__xludf.DUMMYFUNCTION("""COMPUTED_VALUE"""),"729")</f>
        <v>729</v>
      </c>
      <c r="B448" s="265" t="str">
        <f>IFERROR(__xludf.DUMMYFUNCTION("""COMPUTED_VALUE"""),"Sài Gòn")</f>
        <v>Sài Gòn</v>
      </c>
      <c r="C448" s="265" t="str">
        <f>IFERROR(__xludf.DUMMYFUNCTION("""COMPUTED_VALUE"""),"Active")</f>
        <v>Active</v>
      </c>
      <c r="D448" s="265" t="str">
        <f>IFERROR(__xludf.DUMMYFUNCTION("""COMPUTED_VALUE"""),"Sale chưa cung cấp")</f>
        <v>Sale chưa cung cấp</v>
      </c>
      <c r="E448" s="265" t="str">
        <f>IFERROR(__xludf.DUMMYFUNCTION("""COMPUTED_VALUE"""),"AnhNM")</f>
        <v>AnhNM</v>
      </c>
      <c r="F448" s="265" t="str">
        <f>IFERROR(__xludf.DUMMYFUNCTION("""COMPUTED_VALUE"""),"Gold")</f>
        <v>Gold</v>
      </c>
      <c r="G448" s="265" t="str">
        <f>IFERROR(__xludf.DUMMYFUNCTION("""COMPUTED_VALUE"""),"Enterprise")</f>
        <v>Enterprise</v>
      </c>
      <c r="H448" s="265" t="str">
        <f>IFERROR(__xludf.DUMMYFUNCTION("""COMPUTED_VALUE"""),"Trả sau")</f>
        <v>Trả sau</v>
      </c>
      <c r="I448" s="265" t="str">
        <f>IFERROR(__xludf.DUMMYFUNCTION("""COMPUTED_VALUE"""),"API &amp; Portal")</f>
        <v>API &amp; Portal</v>
      </c>
      <c r="J448" s="265" t="str">
        <f>IFERROR(__xludf.DUMMYFUNCTION("""COMPUTED_VALUE"""),"File Excel")</f>
        <v>File Excel</v>
      </c>
      <c r="K448" s="265" t="str">
        <f>IFERROR(__xludf.DUMMYFUNCTION("""COMPUTED_VALUE"""),"LinhNTT1")</f>
        <v>LinhNTT1</v>
      </c>
    </row>
    <row r="449">
      <c r="A449" s="265" t="str">
        <f>IFERROR(__xludf.DUMMYFUNCTION("""COMPUTED_VALUE"""),"729")</f>
        <v>729</v>
      </c>
      <c r="B449" s="265" t="str">
        <f>IFERROR(__xludf.DUMMYFUNCTION("""COMPUTED_VALUE"""),"Sài Gòn")</f>
        <v>Sài Gòn</v>
      </c>
      <c r="C449" s="265" t="str">
        <f>IFERROR(__xludf.DUMMYFUNCTION("""COMPUTED_VALUE"""),"Active")</f>
        <v>Active</v>
      </c>
      <c r="D449" s="265" t="str">
        <f>IFERROR(__xludf.DUMMYFUNCTION("""COMPUTED_VALUE"""),"Sale chưa cung cấp")</f>
        <v>Sale chưa cung cấp</v>
      </c>
      <c r="E449" s="265" t="str">
        <f>IFERROR(__xludf.DUMMYFUNCTION("""COMPUTED_VALUE"""),"AnhNM")</f>
        <v>AnhNM</v>
      </c>
      <c r="F449" s="265" t="str">
        <f>IFERROR(__xludf.DUMMYFUNCTION("""COMPUTED_VALUE"""),"Gold")</f>
        <v>Gold</v>
      </c>
      <c r="G449" s="265" t="str">
        <f>IFERROR(__xludf.DUMMYFUNCTION("""COMPUTED_VALUE"""),"Enterprise")</f>
        <v>Enterprise</v>
      </c>
      <c r="H449" s="265" t="str">
        <f>IFERROR(__xludf.DUMMYFUNCTION("""COMPUTED_VALUE"""),"Trả sau")</f>
        <v>Trả sau</v>
      </c>
      <c r="I449" s="265" t="str">
        <f>IFERROR(__xludf.DUMMYFUNCTION("""COMPUTED_VALUE"""),"API &amp; Portal")</f>
        <v>API &amp; Portal</v>
      </c>
      <c r="J449" s="265" t="str">
        <f>IFERROR(__xludf.DUMMYFUNCTION("""COMPUTED_VALUE"""),"API")</f>
        <v>API</v>
      </c>
      <c r="K449" s="265" t="str">
        <f>IFERROR(__xludf.DUMMYFUNCTION("""COMPUTED_VALUE"""),"LinhNTT1")</f>
        <v>LinhNTT1</v>
      </c>
    </row>
    <row r="450">
      <c r="A450" s="265" t="str">
        <f>IFERROR(__xludf.DUMMYFUNCTION("""COMPUTED_VALUE"""),"725")</f>
        <v>725</v>
      </c>
      <c r="B450" s="265" t="str">
        <f>IFERROR(__xludf.DUMMYFUNCTION("""COMPUTED_VALUE"""),"Hà Nội")</f>
        <v>Hà Nội</v>
      </c>
      <c r="C450" s="265" t="str">
        <f>IFERROR(__xludf.DUMMYFUNCTION("""COMPUTED_VALUE"""),"Locked")</f>
        <v>Locked</v>
      </c>
      <c r="D450" s="265" t="str">
        <f>IFERROR(__xludf.DUMMYFUNCTION("""COMPUTED_VALUE"""),"Tài chính &amp; Ngân hàng")</f>
        <v>Tài chính &amp; Ngân hàng</v>
      </c>
      <c r="E450" s="265" t="str">
        <f>IFERROR(__xludf.DUMMYFUNCTION("""COMPUTED_VALUE"""),"Không phân công")</f>
        <v>Không phân công</v>
      </c>
      <c r="F450" s="265" t="str">
        <f>IFERROR(__xludf.DUMMYFUNCTION("""COMPUTED_VALUE"""),"Sale chưa cung cấp")</f>
        <v>Sale chưa cung cấp</v>
      </c>
      <c r="G450" s="265" t="str">
        <f>IFERROR(__xludf.DUMMYFUNCTION("""COMPUTED_VALUE"""),"SIMILAR")</f>
        <v>SIMILAR</v>
      </c>
      <c r="H450" s="265" t="str">
        <f>IFERROR(__xludf.DUMMYFUNCTION("""COMPUTED_VALUE"""),"Trả sau")</f>
        <v>Trả sau</v>
      </c>
      <c r="I450" s="265" t="str">
        <f>IFERROR(__xludf.DUMMYFUNCTION("""COMPUTED_VALUE"""),"Portal")</f>
        <v>Portal</v>
      </c>
      <c r="J450" s="265" t="str">
        <f>IFERROR(__xludf.DUMMYFUNCTION("""COMPUTED_VALUE"""),"File Excel")</f>
        <v>File Excel</v>
      </c>
      <c r="K450" s="265" t="str">
        <f>IFERROR(__xludf.DUMMYFUNCTION("""COMPUTED_VALUE"""),"DungPL")</f>
        <v>DungPL</v>
      </c>
    </row>
    <row r="451">
      <c r="A451" s="265" t="str">
        <f>IFERROR(__xludf.DUMMYFUNCTION("""COMPUTED_VALUE"""),"614")</f>
        <v>614</v>
      </c>
      <c r="B451" s="265" t="str">
        <f>IFERROR(__xludf.DUMMYFUNCTION("""COMPUTED_VALUE"""),"Hà Nội")</f>
        <v>Hà Nội</v>
      </c>
      <c r="C451" s="265" t="str">
        <f>IFERROR(__xludf.DUMMYFUNCTION("""COMPUTED_VALUE"""),"Active")</f>
        <v>Active</v>
      </c>
      <c r="D451" s="265" t="str">
        <f>IFERROR(__xludf.DUMMYFUNCTION("""COMPUTED_VALUE"""),"Viễn thông")</f>
        <v>Viễn thông</v>
      </c>
      <c r="E451" s="265" t="str">
        <f>IFERROR(__xludf.DUMMYFUNCTION("""COMPUTED_VALUE"""),"Không phân công")</f>
        <v>Không phân công</v>
      </c>
      <c r="F451" s="265" t="str">
        <f>IFERROR(__xludf.DUMMYFUNCTION("""COMPUTED_VALUE"""),"Sale chưa cung cấp")</f>
        <v>Sale chưa cung cấp</v>
      </c>
      <c r="G451" s="265" t="str">
        <f>IFERROR(__xludf.DUMMYFUNCTION("""COMPUTED_VALUE"""),"Starter")</f>
        <v>Starter</v>
      </c>
      <c r="H451" s="265" t="str">
        <f>IFERROR(__xludf.DUMMYFUNCTION("""COMPUTED_VALUE"""),"Trial")</f>
        <v>Trial</v>
      </c>
      <c r="I451" s="265" t="str">
        <f>IFERROR(__xludf.DUMMYFUNCTION("""COMPUTED_VALUE"""),"Portal")</f>
        <v>Portal</v>
      </c>
      <c r="J451" s="265" t="str">
        <f>IFERROR(__xludf.DUMMYFUNCTION("""COMPUTED_VALUE"""),"API")</f>
        <v>API</v>
      </c>
      <c r="K451" s="265" t="str">
        <f>IFERROR(__xludf.DUMMYFUNCTION("""COMPUTED_VALUE"""),"DungVT")</f>
        <v>DungVT</v>
      </c>
    </row>
    <row r="452">
      <c r="A452" s="265" t="str">
        <f>IFERROR(__xludf.DUMMYFUNCTION("""COMPUTED_VALUE"""),"731")</f>
        <v>731</v>
      </c>
      <c r="B452" s="265" t="str">
        <f>IFERROR(__xludf.DUMMYFUNCTION("""COMPUTED_VALUE"""),"Sài Gòn")</f>
        <v>Sài Gòn</v>
      </c>
      <c r="C452" s="265" t="str">
        <f>IFERROR(__xludf.DUMMYFUNCTION("""COMPUTED_VALUE"""),"Locked")</f>
        <v>Locked</v>
      </c>
      <c r="D452" s="265" t="str">
        <f>IFERROR(__xludf.DUMMYFUNCTION("""COMPUTED_VALUE"""),"Viễn thông")</f>
        <v>Viễn thông</v>
      </c>
      <c r="E452" s="265" t="str">
        <f>IFERROR(__xludf.DUMMYFUNCTION("""COMPUTED_VALUE"""),"HoaNTM")</f>
        <v>HoaNTM</v>
      </c>
      <c r="F452" s="265" t="str">
        <f>IFERROR(__xludf.DUMMYFUNCTION("""COMPUTED_VALUE"""),"Gold")</f>
        <v>Gold</v>
      </c>
      <c r="G452" s="265" t="str">
        <f>IFERROR(__xludf.DUMMYFUNCTION("""COMPUTED_VALUE"""),"Enterprise")</f>
        <v>Enterprise</v>
      </c>
      <c r="H452" s="265" t="str">
        <f>IFERROR(__xludf.DUMMYFUNCTION("""COMPUTED_VALUE"""),"(Chưa recheck)")</f>
        <v>(Chưa recheck)</v>
      </c>
      <c r="I452" s="265" t="str">
        <f>IFERROR(__xludf.DUMMYFUNCTION("""COMPUTED_VALUE"""),"API &amp; Portal")</f>
        <v>API &amp; Portal</v>
      </c>
      <c r="J452" s="265" t="str">
        <f>IFERROR(__xludf.DUMMYFUNCTION("""COMPUTED_VALUE"""),"File Excel")</f>
        <v>File Excel</v>
      </c>
      <c r="K452" s="265" t="str">
        <f>IFERROR(__xludf.DUMMYFUNCTION("""COMPUTED_VALUE"""),"AnhNM")</f>
        <v>AnhNM</v>
      </c>
    </row>
    <row r="453">
      <c r="A453" s="265" t="str">
        <f>IFERROR(__xludf.DUMMYFUNCTION("""COMPUTED_VALUE"""),"731")</f>
        <v>731</v>
      </c>
      <c r="B453" s="265" t="str">
        <f>IFERROR(__xludf.DUMMYFUNCTION("""COMPUTED_VALUE"""),"Sài Gòn")</f>
        <v>Sài Gòn</v>
      </c>
      <c r="C453" s="265" t="str">
        <f>IFERROR(__xludf.DUMMYFUNCTION("""COMPUTED_VALUE"""),"Locked")</f>
        <v>Locked</v>
      </c>
      <c r="D453" s="265" t="str">
        <f>IFERROR(__xludf.DUMMYFUNCTION("""COMPUTED_VALUE"""),"Viễn thông")</f>
        <v>Viễn thông</v>
      </c>
      <c r="E453" s="265" t="str">
        <f>IFERROR(__xludf.DUMMYFUNCTION("""COMPUTED_VALUE"""),"HoaNTM")</f>
        <v>HoaNTM</v>
      </c>
      <c r="F453" s="265" t="str">
        <f>IFERROR(__xludf.DUMMYFUNCTION("""COMPUTED_VALUE"""),"Gold")</f>
        <v>Gold</v>
      </c>
      <c r="G453" s="265" t="str">
        <f>IFERROR(__xludf.DUMMYFUNCTION("""COMPUTED_VALUE"""),"Enterprise")</f>
        <v>Enterprise</v>
      </c>
      <c r="H453" s="265" t="str">
        <f>IFERROR(__xludf.DUMMYFUNCTION("""COMPUTED_VALUE"""),"(Chưa recheck)")</f>
        <v>(Chưa recheck)</v>
      </c>
      <c r="I453" s="265" t="str">
        <f>IFERROR(__xludf.DUMMYFUNCTION("""COMPUTED_VALUE"""),"API &amp; Portal")</f>
        <v>API &amp; Portal</v>
      </c>
      <c r="J453" s="265" t="str">
        <f>IFERROR(__xludf.DUMMYFUNCTION("""COMPUTED_VALUE"""),"API")</f>
        <v>API</v>
      </c>
      <c r="K453" s="265" t="str">
        <f>IFERROR(__xludf.DUMMYFUNCTION("""COMPUTED_VALUE"""),"AnhNM")</f>
        <v>AnhNM</v>
      </c>
    </row>
    <row r="454">
      <c r="A454" s="265" t="str">
        <f>IFERROR(__xludf.DUMMYFUNCTION("""COMPUTED_VALUE"""),"720")</f>
        <v>720</v>
      </c>
      <c r="B454" s="265" t="str">
        <f>IFERROR(__xludf.DUMMYFUNCTION("""COMPUTED_VALUE"""),"Hà Nội")</f>
        <v>Hà Nội</v>
      </c>
      <c r="C454" s="265" t="str">
        <f>IFERROR(__xludf.DUMMYFUNCTION("""COMPUTED_VALUE"""),"Locked")</f>
        <v>Locked</v>
      </c>
      <c r="D454" s="265" t="str">
        <f>IFERROR(__xludf.DUMMYFUNCTION("""COMPUTED_VALUE"""),"Thiết kế &amp; Thi công")</f>
        <v>Thiết kế &amp; Thi công</v>
      </c>
      <c r="E454" s="265" t="str">
        <f>IFERROR(__xludf.DUMMYFUNCTION("""COMPUTED_VALUE"""),"TùngLD")</f>
        <v>TùngLD</v>
      </c>
      <c r="F454" s="265" t="str">
        <f>IFERROR(__xludf.DUMMYFUNCTION("""COMPUTED_VALUE"""),"Bronze")</f>
        <v>Bronze</v>
      </c>
      <c r="G454" s="265" t="str">
        <f>IFERROR(__xludf.DUMMYFUNCTION("""COMPUTED_VALUE"""),"SIMILAR")</f>
        <v>SIMILAR</v>
      </c>
      <c r="H454" s="265" t="str">
        <f>IFERROR(__xludf.DUMMYFUNCTION("""COMPUTED_VALUE"""),"Trả trước")</f>
        <v>Trả trước</v>
      </c>
      <c r="I454" s="265" t="str">
        <f>IFERROR(__xludf.DUMMYFUNCTION("""COMPUTED_VALUE"""),"Portal")</f>
        <v>Portal</v>
      </c>
      <c r="J454" s="265" t="str">
        <f>IFERROR(__xludf.DUMMYFUNCTION("""COMPUTED_VALUE"""),"File Excel")</f>
        <v>File Excel</v>
      </c>
      <c r="K454" s="265" t="str">
        <f>IFERROR(__xludf.DUMMYFUNCTION("""COMPUTED_VALUE"""),"AnhNM")</f>
        <v>AnhNM</v>
      </c>
    </row>
    <row r="455">
      <c r="A455" s="265" t="str">
        <f>IFERROR(__xludf.DUMMYFUNCTION("""COMPUTED_VALUE"""),"732")</f>
        <v>732</v>
      </c>
      <c r="B455" s="265" t="str">
        <f>IFERROR(__xludf.DUMMYFUNCTION("""COMPUTED_VALUE"""),"Hà Nội")</f>
        <v>Hà Nội</v>
      </c>
      <c r="C455" s="265" t="str">
        <f>IFERROR(__xludf.DUMMYFUNCTION("""COMPUTED_VALUE"""),"Active")</f>
        <v>Active</v>
      </c>
      <c r="D455" s="265" t="str">
        <f>IFERROR(__xludf.DUMMYFUNCTION("""COMPUTED_VALUE"""),"Mua sắm &amp; Bán lẻ")</f>
        <v>Mua sắm &amp; Bán lẻ</v>
      </c>
      <c r="E455" s="265" t="str">
        <f>IFERROR(__xludf.DUMMYFUNCTION("""COMPUTED_VALUE"""),"TúPHN")</f>
        <v>TúPHN</v>
      </c>
      <c r="F455" s="265" t="str">
        <f>IFERROR(__xludf.DUMMYFUNCTION("""COMPUTED_VALUE"""),"Bronze")</f>
        <v>Bronze</v>
      </c>
      <c r="G455" s="265" t="str">
        <f>IFERROR(__xludf.DUMMYFUNCTION("""COMPUTED_VALUE"""),"Starter")</f>
        <v>Starter</v>
      </c>
      <c r="H455" s="265" t="str">
        <f>IFERROR(__xludf.DUMMYFUNCTION("""COMPUTED_VALUE"""),"Trả sau")</f>
        <v>Trả sau</v>
      </c>
      <c r="I455" s="265" t="str">
        <f>IFERROR(__xludf.DUMMYFUNCTION("""COMPUTED_VALUE"""),"API")</f>
        <v>API</v>
      </c>
      <c r="J455" s="265" t="str">
        <f>IFERROR(__xludf.DUMMYFUNCTION("""COMPUTED_VALUE"""),"API")</f>
        <v>API</v>
      </c>
      <c r="K455" s="265" t="str">
        <f>IFERROR(__xludf.DUMMYFUNCTION("""COMPUTED_VALUE"""),"LinhNTT1")</f>
        <v>LinhNTT1</v>
      </c>
    </row>
    <row r="456">
      <c r="A456" s="265" t="str">
        <f>IFERROR(__xludf.DUMMYFUNCTION("""COMPUTED_VALUE"""),"733")</f>
        <v>733</v>
      </c>
      <c r="B456" s="265" t="str">
        <f>IFERROR(__xludf.DUMMYFUNCTION("""COMPUTED_VALUE"""),"Hà Nội")</f>
        <v>Hà Nội</v>
      </c>
      <c r="C456" s="265" t="str">
        <f>IFERROR(__xludf.DUMMYFUNCTION("""COMPUTED_VALUE"""),"Active")</f>
        <v>Active</v>
      </c>
      <c r="D456" s="265" t="str">
        <f>IFERROR(__xludf.DUMMYFUNCTION("""COMPUTED_VALUE"""),"Viễn thông")</f>
        <v>Viễn thông</v>
      </c>
      <c r="E456" s="265" t="str">
        <f>IFERROR(__xludf.DUMMYFUNCTION("""COMPUTED_VALUE"""),"TúPHN")</f>
        <v>TúPHN</v>
      </c>
      <c r="F456" s="265" t="str">
        <f>IFERROR(__xludf.DUMMYFUNCTION("""COMPUTED_VALUE"""),"Diamond")</f>
        <v>Diamond</v>
      </c>
      <c r="G456" s="265" t="str">
        <f>IFERROR(__xludf.DUMMYFUNCTION("""COMPUTED_VALUE"""),"Enterprise")</f>
        <v>Enterprise</v>
      </c>
      <c r="H456" s="265" t="str">
        <f>IFERROR(__xludf.DUMMYFUNCTION("""COMPUTED_VALUE"""),"Trả sau")</f>
        <v>Trả sau</v>
      </c>
      <c r="I456" s="265" t="str">
        <f>IFERROR(__xludf.DUMMYFUNCTION("""COMPUTED_VALUE"""),"Portal")</f>
        <v>Portal</v>
      </c>
      <c r="J456" s="265" t="str">
        <f>IFERROR(__xludf.DUMMYFUNCTION("""COMPUTED_VALUE"""),"File Excel")</f>
        <v>File Excel</v>
      </c>
      <c r="K456" s="265" t="str">
        <f>IFERROR(__xludf.DUMMYFUNCTION("""COMPUTED_VALUE"""),"DungPL")</f>
        <v>DungPL</v>
      </c>
    </row>
    <row r="457">
      <c r="A457" s="265" t="str">
        <f>IFERROR(__xludf.DUMMYFUNCTION("""COMPUTED_VALUE"""),"733")</f>
        <v>733</v>
      </c>
      <c r="B457" s="265" t="str">
        <f>IFERROR(__xludf.DUMMYFUNCTION("""COMPUTED_VALUE"""),"Hà Nội")</f>
        <v>Hà Nội</v>
      </c>
      <c r="C457" s="265" t="str">
        <f>IFERROR(__xludf.DUMMYFUNCTION("""COMPUTED_VALUE"""),"Active")</f>
        <v>Active</v>
      </c>
      <c r="D457" s="265" t="str">
        <f>IFERROR(__xludf.DUMMYFUNCTION("""COMPUTED_VALUE"""),"Viễn thông")</f>
        <v>Viễn thông</v>
      </c>
      <c r="E457" s="265" t="str">
        <f>IFERROR(__xludf.DUMMYFUNCTION("""COMPUTED_VALUE"""),"TúPHN")</f>
        <v>TúPHN</v>
      </c>
      <c r="F457" s="265" t="str">
        <f>IFERROR(__xludf.DUMMYFUNCTION("""COMPUTED_VALUE"""),"Diamond")</f>
        <v>Diamond</v>
      </c>
      <c r="G457" s="265" t="str">
        <f>IFERROR(__xludf.DUMMYFUNCTION("""COMPUTED_VALUE"""),"Enterprise")</f>
        <v>Enterprise</v>
      </c>
      <c r="H457" s="265" t="str">
        <f>IFERROR(__xludf.DUMMYFUNCTION("""COMPUTED_VALUE"""),"Trả sau")</f>
        <v>Trả sau</v>
      </c>
      <c r="I457" s="265" t="str">
        <f>IFERROR(__xludf.DUMMYFUNCTION("""COMPUTED_VALUE"""),"Portal")</f>
        <v>Portal</v>
      </c>
      <c r="J457" s="265" t="str">
        <f>IFERROR(__xludf.DUMMYFUNCTION("""COMPUTED_VALUE"""),"ZCA gửi ZNS")</f>
        <v>ZCA gửi ZNS</v>
      </c>
      <c r="K457" s="265" t="str">
        <f>IFERROR(__xludf.DUMMYFUNCTION("""COMPUTED_VALUE"""),"DungPL")</f>
        <v>DungPL</v>
      </c>
    </row>
    <row r="458">
      <c r="A458" s="265" t="str">
        <f>IFERROR(__xludf.DUMMYFUNCTION("""COMPUTED_VALUE"""),"734")</f>
        <v>734</v>
      </c>
      <c r="B458" s="265" t="str">
        <f>IFERROR(__xludf.DUMMYFUNCTION("""COMPUTED_VALUE"""),"Hà Nội")</f>
        <v>Hà Nội</v>
      </c>
      <c r="C458" s="265" t="str">
        <f>IFERROR(__xludf.DUMMYFUNCTION("""COMPUTED_VALUE"""),"Active")</f>
        <v>Active</v>
      </c>
      <c r="D458" s="265" t="str">
        <f>IFERROR(__xludf.DUMMYFUNCTION("""COMPUTED_VALUE"""),"Sản xuất &amp; Chế tạo")</f>
        <v>Sản xuất &amp; Chế tạo</v>
      </c>
      <c r="E458" s="265" t="str">
        <f>IFERROR(__xludf.DUMMYFUNCTION("""COMPUTED_VALUE"""),"Không phân công")</f>
        <v>Không phân công</v>
      </c>
      <c r="F458" s="265" t="str">
        <f>IFERROR(__xludf.DUMMYFUNCTION("""COMPUTED_VALUE"""),"Bronze")</f>
        <v>Bronze</v>
      </c>
      <c r="G458" s="265" t="str">
        <f>IFERROR(__xludf.DUMMYFUNCTION("""COMPUTED_VALUE"""),"Starter")</f>
        <v>Starter</v>
      </c>
      <c r="H458" s="265" t="str">
        <f>IFERROR(__xludf.DUMMYFUNCTION("""COMPUTED_VALUE"""),"Trả sau")</f>
        <v>Trả sau</v>
      </c>
      <c r="I458" s="265" t="str">
        <f>IFERROR(__xludf.DUMMYFUNCTION("""COMPUTED_VALUE"""),"Portal")</f>
        <v>Portal</v>
      </c>
      <c r="J458" s="265" t="str">
        <f>IFERROR(__xludf.DUMMYFUNCTION("""COMPUTED_VALUE"""),"File Excel")</f>
        <v>File Excel</v>
      </c>
      <c r="K458" s="265" t="str">
        <f>IFERROR(__xludf.DUMMYFUNCTION("""COMPUTED_VALUE"""),"LinhNTT1")</f>
        <v>LinhNTT1</v>
      </c>
    </row>
    <row r="459">
      <c r="A459" s="265" t="str">
        <f>IFERROR(__xludf.DUMMYFUNCTION("""COMPUTED_VALUE"""),"735")</f>
        <v>735</v>
      </c>
      <c r="B459" s="265" t="str">
        <f>IFERROR(__xludf.DUMMYFUNCTION("""COMPUTED_VALUE"""),"Hà Nội")</f>
        <v>Hà Nội</v>
      </c>
      <c r="C459" s="265" t="str">
        <f>IFERROR(__xludf.DUMMYFUNCTION("""COMPUTED_VALUE"""),"Locked")</f>
        <v>Locked</v>
      </c>
      <c r="D459" s="265" t="str">
        <f>IFERROR(__xludf.DUMMYFUNCTION("""COMPUTED_VALUE"""),"Ô tô &amp; Xe máy")</f>
        <v>Ô tô &amp; Xe máy</v>
      </c>
      <c r="E459" s="265" t="str">
        <f>IFERROR(__xludf.DUMMYFUNCTION("""COMPUTED_VALUE"""),"DungDT")</f>
        <v>DungDT</v>
      </c>
      <c r="F459" s="265" t="str">
        <f>IFERROR(__xludf.DUMMYFUNCTION("""COMPUTED_VALUE"""),"Sale chưa cung cấp")</f>
        <v>Sale chưa cung cấp</v>
      </c>
      <c r="G459" s="265" t="str">
        <f>IFERROR(__xludf.DUMMYFUNCTION("""COMPUTED_VALUE"""),"MSG")</f>
        <v>MSG</v>
      </c>
      <c r="H459" s="265" t="str">
        <f>IFERROR(__xludf.DUMMYFUNCTION("""COMPUTED_VALUE"""),"Trial")</f>
        <v>Trial</v>
      </c>
      <c r="I459" s="265" t="str">
        <f>IFERROR(__xludf.DUMMYFUNCTION("""COMPUTED_VALUE"""),"API &amp; Portal")</f>
        <v>API &amp; Portal</v>
      </c>
      <c r="J459" s="265" t="str">
        <f>IFERROR(__xludf.DUMMYFUNCTION("""COMPUTED_VALUE"""),"File Excel")</f>
        <v>File Excel</v>
      </c>
      <c r="K459" s="265" t="str">
        <f>IFERROR(__xludf.DUMMYFUNCTION("""COMPUTED_VALUE"""),"(Không recheck)")</f>
        <v>(Không recheck)</v>
      </c>
    </row>
    <row r="460">
      <c r="A460" s="265" t="str">
        <f>IFERROR(__xludf.DUMMYFUNCTION("""COMPUTED_VALUE"""),"735")</f>
        <v>735</v>
      </c>
      <c r="B460" s="265" t="str">
        <f>IFERROR(__xludf.DUMMYFUNCTION("""COMPUTED_VALUE"""),"Hà Nội")</f>
        <v>Hà Nội</v>
      </c>
      <c r="C460" s="265" t="str">
        <f>IFERROR(__xludf.DUMMYFUNCTION("""COMPUTED_VALUE"""),"Locked")</f>
        <v>Locked</v>
      </c>
      <c r="D460" s="265" t="str">
        <f>IFERROR(__xludf.DUMMYFUNCTION("""COMPUTED_VALUE"""),"Ô tô &amp; Xe máy")</f>
        <v>Ô tô &amp; Xe máy</v>
      </c>
      <c r="E460" s="265" t="str">
        <f>IFERROR(__xludf.DUMMYFUNCTION("""COMPUTED_VALUE"""),"DungDT")</f>
        <v>DungDT</v>
      </c>
      <c r="F460" s="265" t="str">
        <f>IFERROR(__xludf.DUMMYFUNCTION("""COMPUTED_VALUE"""),"Sale chưa cung cấp")</f>
        <v>Sale chưa cung cấp</v>
      </c>
      <c r="G460" s="265" t="str">
        <f>IFERROR(__xludf.DUMMYFUNCTION("""COMPUTED_VALUE"""),"MSG")</f>
        <v>MSG</v>
      </c>
      <c r="H460" s="265" t="str">
        <f>IFERROR(__xludf.DUMMYFUNCTION("""COMPUTED_VALUE"""),"Trial")</f>
        <v>Trial</v>
      </c>
      <c r="I460" s="265" t="str">
        <f>IFERROR(__xludf.DUMMYFUNCTION("""COMPUTED_VALUE"""),"API &amp; Portal")</f>
        <v>API &amp; Portal</v>
      </c>
      <c r="J460" s="265" t="str">
        <f>IFERROR(__xludf.DUMMYFUNCTION("""COMPUTED_VALUE"""),"API")</f>
        <v>API</v>
      </c>
      <c r="K460" s="265" t="str">
        <f>IFERROR(__xludf.DUMMYFUNCTION("""COMPUTED_VALUE"""),"(Không recheck)")</f>
        <v>(Không recheck)</v>
      </c>
    </row>
    <row r="461">
      <c r="A461" s="265" t="str">
        <f>IFERROR(__xludf.DUMMYFUNCTION("""COMPUTED_VALUE"""),"736")</f>
        <v>736</v>
      </c>
      <c r="B461" s="265" t="str">
        <f>IFERROR(__xludf.DUMMYFUNCTION("""COMPUTED_VALUE"""),"Hà Nội")</f>
        <v>Hà Nội</v>
      </c>
      <c r="C461" s="265" t="str">
        <f>IFERROR(__xludf.DUMMYFUNCTION("""COMPUTED_VALUE"""),"Locked")</f>
        <v>Locked</v>
      </c>
      <c r="D461" s="265" t="str">
        <f>IFERROR(__xludf.DUMMYFUNCTION("""COMPUTED_VALUE"""),"Vận tải &amp; logistics")</f>
        <v>Vận tải &amp; logistics</v>
      </c>
      <c r="E461" s="265" t="str">
        <f>IFERROR(__xludf.DUMMYFUNCTION("""COMPUTED_VALUE"""),"TùngLD")</f>
        <v>TùngLD</v>
      </c>
      <c r="F461" s="265" t="str">
        <f>IFERROR(__xludf.DUMMYFUNCTION("""COMPUTED_VALUE"""),"Bronze")</f>
        <v>Bronze</v>
      </c>
      <c r="G461" s="265" t="str">
        <f>IFERROR(__xludf.DUMMYFUNCTION("""COMPUTED_VALUE"""),"MSG")</f>
        <v>MSG</v>
      </c>
      <c r="H461" s="265" t="str">
        <f>IFERROR(__xludf.DUMMYFUNCTION("""COMPUTED_VALUE"""),"Trả trước")</f>
        <v>Trả trước</v>
      </c>
      <c r="I461" s="265" t="str">
        <f>IFERROR(__xludf.DUMMYFUNCTION("""COMPUTED_VALUE"""),"Portal")</f>
        <v>Portal</v>
      </c>
      <c r="J461" s="265" t="str">
        <f>IFERROR(__xludf.DUMMYFUNCTION("""COMPUTED_VALUE"""),"File Excel")</f>
        <v>File Excel</v>
      </c>
      <c r="K461" s="265" t="str">
        <f>IFERROR(__xludf.DUMMYFUNCTION("""COMPUTED_VALUE"""),"AnhNM")</f>
        <v>AnhNM</v>
      </c>
    </row>
    <row r="462">
      <c r="A462" s="265" t="str">
        <f>IFERROR(__xludf.DUMMYFUNCTION("""COMPUTED_VALUE"""),"737")</f>
        <v>737</v>
      </c>
      <c r="B462" s="265" t="str">
        <f>IFERROR(__xludf.DUMMYFUNCTION("""COMPUTED_VALUE"""),"Sài Gòn")</f>
        <v>Sài Gòn</v>
      </c>
      <c r="C462" s="265" t="str">
        <f>IFERROR(__xludf.DUMMYFUNCTION("""COMPUTED_VALUE"""),"Locked")</f>
        <v>Locked</v>
      </c>
      <c r="D462" s="265" t="str">
        <f>IFERROR(__xludf.DUMMYFUNCTION("""COMPUTED_VALUE"""),"Thời trang &amp; May mặc")</f>
        <v>Thời trang &amp; May mặc</v>
      </c>
      <c r="E462" s="265" t="str">
        <f>IFERROR(__xludf.DUMMYFUNCTION("""COMPUTED_VALUE"""),"PhươngDTB")</f>
        <v>PhươngDTB</v>
      </c>
      <c r="F462" s="265" t="str">
        <f>IFERROR(__xludf.DUMMYFUNCTION("""COMPUTED_VALUE"""),"Sale chưa cung cấp")</f>
        <v>Sale chưa cung cấp</v>
      </c>
      <c r="G462" s="265" t="str">
        <f>IFERROR(__xludf.DUMMYFUNCTION("""COMPUTED_VALUE"""),"Enterprise")</f>
        <v>Enterprise</v>
      </c>
      <c r="H462" s="265" t="str">
        <f>IFERROR(__xludf.DUMMYFUNCTION("""COMPUTED_VALUE"""),"Trả trước")</f>
        <v>Trả trước</v>
      </c>
      <c r="I462" s="265" t="str">
        <f>IFERROR(__xludf.DUMMYFUNCTION("""COMPUTED_VALUE"""),"API &amp; Portal")</f>
        <v>API &amp; Portal</v>
      </c>
      <c r="J462" s="265" t="str">
        <f>IFERROR(__xludf.DUMMYFUNCTION("""COMPUTED_VALUE"""),"File Excel")</f>
        <v>File Excel</v>
      </c>
      <c r="K462" s="265" t="str">
        <f>IFERROR(__xludf.DUMMYFUNCTION("""COMPUTED_VALUE"""),"AnhNM")</f>
        <v>AnhNM</v>
      </c>
    </row>
    <row r="463">
      <c r="A463" s="265" t="str">
        <f>IFERROR(__xludf.DUMMYFUNCTION("""COMPUTED_VALUE"""),"737")</f>
        <v>737</v>
      </c>
      <c r="B463" s="265" t="str">
        <f>IFERROR(__xludf.DUMMYFUNCTION("""COMPUTED_VALUE"""),"Sài Gòn")</f>
        <v>Sài Gòn</v>
      </c>
      <c r="C463" s="265" t="str">
        <f>IFERROR(__xludf.DUMMYFUNCTION("""COMPUTED_VALUE"""),"Locked")</f>
        <v>Locked</v>
      </c>
      <c r="D463" s="265" t="str">
        <f>IFERROR(__xludf.DUMMYFUNCTION("""COMPUTED_VALUE"""),"Thời trang &amp; May mặc")</f>
        <v>Thời trang &amp; May mặc</v>
      </c>
      <c r="E463" s="265" t="str">
        <f>IFERROR(__xludf.DUMMYFUNCTION("""COMPUTED_VALUE"""),"PhươngDTB")</f>
        <v>PhươngDTB</v>
      </c>
      <c r="F463" s="265" t="str">
        <f>IFERROR(__xludf.DUMMYFUNCTION("""COMPUTED_VALUE"""),"Sale chưa cung cấp")</f>
        <v>Sale chưa cung cấp</v>
      </c>
      <c r="G463" s="265" t="str">
        <f>IFERROR(__xludf.DUMMYFUNCTION("""COMPUTED_VALUE"""),"Enterprise")</f>
        <v>Enterprise</v>
      </c>
      <c r="H463" s="265" t="str">
        <f>IFERROR(__xludf.DUMMYFUNCTION("""COMPUTED_VALUE"""),"Trả trước")</f>
        <v>Trả trước</v>
      </c>
      <c r="I463" s="265" t="str">
        <f>IFERROR(__xludf.DUMMYFUNCTION("""COMPUTED_VALUE"""),"API &amp; Portal")</f>
        <v>API &amp; Portal</v>
      </c>
      <c r="J463" s="265" t="str">
        <f>IFERROR(__xludf.DUMMYFUNCTION("""COMPUTED_VALUE"""),"API")</f>
        <v>API</v>
      </c>
      <c r="K463" s="265" t="str">
        <f>IFERROR(__xludf.DUMMYFUNCTION("""COMPUTED_VALUE"""),"AnhNM")</f>
        <v>AnhNM</v>
      </c>
    </row>
    <row r="464">
      <c r="A464" s="265" t="str">
        <f>IFERROR(__xludf.DUMMYFUNCTION("""COMPUTED_VALUE"""),"738")</f>
        <v>738</v>
      </c>
      <c r="B464" s="265" t="str">
        <f>IFERROR(__xludf.DUMMYFUNCTION("""COMPUTED_VALUE"""),"Hà Nội")</f>
        <v>Hà Nội</v>
      </c>
      <c r="C464" s="265" t="str">
        <f>IFERROR(__xludf.DUMMYFUNCTION("""COMPUTED_VALUE"""),"Active")</f>
        <v>Active</v>
      </c>
      <c r="D464" s="265" t="str">
        <f>IFERROR(__xludf.DUMMYFUNCTION("""COMPUTED_VALUE"""),"Y tế &amp; Dược phẩm")</f>
        <v>Y tế &amp; Dược phẩm</v>
      </c>
      <c r="E464" s="265" t="str">
        <f>IFERROR(__xludf.DUMMYFUNCTION("""COMPUTED_VALUE"""),"TúPHN")</f>
        <v>TúPHN</v>
      </c>
      <c r="F464" s="265" t="str">
        <f>IFERROR(__xludf.DUMMYFUNCTION("""COMPUTED_VALUE"""),"Silver")</f>
        <v>Silver</v>
      </c>
      <c r="G464" s="265" t="str">
        <f>IFERROR(__xludf.DUMMYFUNCTION("""COMPUTED_VALUE"""),"Enterprise")</f>
        <v>Enterprise</v>
      </c>
      <c r="H464" s="265" t="str">
        <f>IFERROR(__xludf.DUMMYFUNCTION("""COMPUTED_VALUE"""),"Trả trước")</f>
        <v>Trả trước</v>
      </c>
      <c r="I464" s="265" t="str">
        <f>IFERROR(__xludf.DUMMYFUNCTION("""COMPUTED_VALUE"""),"API &amp; Portal")</f>
        <v>API &amp; Portal</v>
      </c>
      <c r="J464" s="265" t="str">
        <f>IFERROR(__xludf.DUMMYFUNCTION("""COMPUTED_VALUE"""),"File Excel")</f>
        <v>File Excel</v>
      </c>
      <c r="K464" s="265" t="str">
        <f>IFERROR(__xludf.DUMMYFUNCTION("""COMPUTED_VALUE"""),"DungPL")</f>
        <v>DungPL</v>
      </c>
    </row>
    <row r="465">
      <c r="A465" s="265" t="str">
        <f>IFERROR(__xludf.DUMMYFUNCTION("""COMPUTED_VALUE"""),"738")</f>
        <v>738</v>
      </c>
      <c r="B465" s="265" t="str">
        <f>IFERROR(__xludf.DUMMYFUNCTION("""COMPUTED_VALUE"""),"Hà Nội")</f>
        <v>Hà Nội</v>
      </c>
      <c r="C465" s="265" t="str">
        <f>IFERROR(__xludf.DUMMYFUNCTION("""COMPUTED_VALUE"""),"Active")</f>
        <v>Active</v>
      </c>
      <c r="D465" s="265" t="str">
        <f>IFERROR(__xludf.DUMMYFUNCTION("""COMPUTED_VALUE"""),"Y tế &amp; Dược phẩm")</f>
        <v>Y tế &amp; Dược phẩm</v>
      </c>
      <c r="E465" s="265" t="str">
        <f>IFERROR(__xludf.DUMMYFUNCTION("""COMPUTED_VALUE"""),"TúPHN")</f>
        <v>TúPHN</v>
      </c>
      <c r="F465" s="265" t="str">
        <f>IFERROR(__xludf.DUMMYFUNCTION("""COMPUTED_VALUE"""),"Silver")</f>
        <v>Silver</v>
      </c>
      <c r="G465" s="265" t="str">
        <f>IFERROR(__xludf.DUMMYFUNCTION("""COMPUTED_VALUE"""),"Enterprise")</f>
        <v>Enterprise</v>
      </c>
      <c r="H465" s="265" t="str">
        <f>IFERROR(__xludf.DUMMYFUNCTION("""COMPUTED_VALUE"""),"Trả trước")</f>
        <v>Trả trước</v>
      </c>
      <c r="I465" s="265" t="str">
        <f>IFERROR(__xludf.DUMMYFUNCTION("""COMPUTED_VALUE"""),"API &amp; Portal")</f>
        <v>API &amp; Portal</v>
      </c>
      <c r="J465" s="265" t="str">
        <f>IFERROR(__xludf.DUMMYFUNCTION("""COMPUTED_VALUE"""),"API")</f>
        <v>API</v>
      </c>
      <c r="K465" s="265" t="str">
        <f>IFERROR(__xludf.DUMMYFUNCTION("""COMPUTED_VALUE"""),"DungPL")</f>
        <v>DungPL</v>
      </c>
    </row>
    <row r="466">
      <c r="A466" s="265" t="str">
        <f>IFERROR(__xludf.DUMMYFUNCTION("""COMPUTED_VALUE"""),"739")</f>
        <v>739</v>
      </c>
      <c r="B466" s="265" t="str">
        <f>IFERROR(__xludf.DUMMYFUNCTION("""COMPUTED_VALUE"""),"Sài Gòn")</f>
        <v>Sài Gòn</v>
      </c>
      <c r="C466" s="265" t="str">
        <f>IFERROR(__xludf.DUMMYFUNCTION("""COMPUTED_VALUE"""),"Active")</f>
        <v>Active</v>
      </c>
      <c r="D466" s="265" t="str">
        <f>IFERROR(__xludf.DUMMYFUNCTION("""COMPUTED_VALUE"""),"Thực phẩm &amp; Đồ uống")</f>
        <v>Thực phẩm &amp; Đồ uống</v>
      </c>
      <c r="E466" s="265" t="str">
        <f>IFERROR(__xludf.DUMMYFUNCTION("""COMPUTED_VALUE"""),"Không phân công")</f>
        <v>Không phân công</v>
      </c>
      <c r="F466" s="265" t="str">
        <f>IFERROR(__xludf.DUMMYFUNCTION("""COMPUTED_VALUE"""),"Sale chưa cung cấp")</f>
        <v>Sale chưa cung cấp</v>
      </c>
      <c r="G466" s="265" t="str">
        <f>IFERROR(__xludf.DUMMYFUNCTION("""COMPUTED_VALUE"""),"Enterprise")</f>
        <v>Enterprise</v>
      </c>
      <c r="H466" s="265" t="str">
        <f>IFERROR(__xludf.DUMMYFUNCTION("""COMPUTED_VALUE"""),"Trả sau")</f>
        <v>Trả sau</v>
      </c>
      <c r="I466" s="265" t="str">
        <f>IFERROR(__xludf.DUMMYFUNCTION("""COMPUTED_VALUE"""),"API &amp; Portal")</f>
        <v>API &amp; Portal</v>
      </c>
      <c r="J466" s="265" t="str">
        <f>IFERROR(__xludf.DUMMYFUNCTION("""COMPUTED_VALUE"""),"File Excel")</f>
        <v>File Excel</v>
      </c>
      <c r="K466" s="265" t="str">
        <f>IFERROR(__xludf.DUMMYFUNCTION("""COMPUTED_VALUE"""),"LinhNTT1")</f>
        <v>LinhNTT1</v>
      </c>
    </row>
    <row r="467">
      <c r="A467" s="265" t="str">
        <f>IFERROR(__xludf.DUMMYFUNCTION("""COMPUTED_VALUE"""),"740")</f>
        <v>740</v>
      </c>
      <c r="B467" s="265" t="str">
        <f>IFERROR(__xludf.DUMMYFUNCTION("""COMPUTED_VALUE"""),"Hà Nội")</f>
        <v>Hà Nội</v>
      </c>
      <c r="C467" s="265" t="str">
        <f>IFERROR(__xludf.DUMMYFUNCTION("""COMPUTED_VALUE"""),"Locked")</f>
        <v>Locked</v>
      </c>
      <c r="D467" s="265" t="str">
        <f>IFERROR(__xludf.DUMMYFUNCTION("""COMPUTED_VALUE"""),"Viễn thông")</f>
        <v>Viễn thông</v>
      </c>
      <c r="E467" s="265" t="str">
        <f>IFERROR(__xludf.DUMMYFUNCTION("""COMPUTED_VALUE"""),"PhươngDTB")</f>
        <v>PhươngDTB</v>
      </c>
      <c r="F467" s="265" t="str">
        <f>IFERROR(__xludf.DUMMYFUNCTION("""COMPUTED_VALUE"""),"Gold")</f>
        <v>Gold</v>
      </c>
      <c r="G467" s="265" t="str">
        <f>IFERROR(__xludf.DUMMYFUNCTION("""COMPUTED_VALUE"""),"Standard")</f>
        <v>Standard</v>
      </c>
      <c r="H467" s="265" t="str">
        <f>IFERROR(__xludf.DUMMYFUNCTION("""COMPUTED_VALUE"""),"Trả sau")</f>
        <v>Trả sau</v>
      </c>
      <c r="I467" s="265" t="str">
        <f>IFERROR(__xludf.DUMMYFUNCTION("""COMPUTED_VALUE"""),"API &amp; Portal")</f>
        <v>API &amp; Portal</v>
      </c>
      <c r="J467" s="265" t="str">
        <f>IFERROR(__xludf.DUMMYFUNCTION("""COMPUTED_VALUE"""),"File Excel")</f>
        <v>File Excel</v>
      </c>
      <c r="K467" s="265" t="str">
        <f>IFERROR(__xludf.DUMMYFUNCTION("""COMPUTED_VALUE"""),"AnhNM")</f>
        <v>AnhNM</v>
      </c>
    </row>
    <row r="468">
      <c r="A468" s="265" t="str">
        <f>IFERROR(__xludf.DUMMYFUNCTION("""COMPUTED_VALUE"""),"740")</f>
        <v>740</v>
      </c>
      <c r="B468" s="265" t="str">
        <f>IFERROR(__xludf.DUMMYFUNCTION("""COMPUTED_VALUE"""),"Hà Nội")</f>
        <v>Hà Nội</v>
      </c>
      <c r="C468" s="265" t="str">
        <f>IFERROR(__xludf.DUMMYFUNCTION("""COMPUTED_VALUE"""),"Locked")</f>
        <v>Locked</v>
      </c>
      <c r="D468" s="265" t="str">
        <f>IFERROR(__xludf.DUMMYFUNCTION("""COMPUTED_VALUE"""),"Viễn thông")</f>
        <v>Viễn thông</v>
      </c>
      <c r="E468" s="265" t="str">
        <f>IFERROR(__xludf.DUMMYFUNCTION("""COMPUTED_VALUE"""),"PhươngDTB")</f>
        <v>PhươngDTB</v>
      </c>
      <c r="F468" s="265" t="str">
        <f>IFERROR(__xludf.DUMMYFUNCTION("""COMPUTED_VALUE"""),"Gold")</f>
        <v>Gold</v>
      </c>
      <c r="G468" s="265" t="str">
        <f>IFERROR(__xludf.DUMMYFUNCTION("""COMPUTED_VALUE"""),"Standard")</f>
        <v>Standard</v>
      </c>
      <c r="H468" s="265" t="str">
        <f>IFERROR(__xludf.DUMMYFUNCTION("""COMPUTED_VALUE"""),"Trả sau")</f>
        <v>Trả sau</v>
      </c>
      <c r="I468" s="265" t="str">
        <f>IFERROR(__xludf.DUMMYFUNCTION("""COMPUTED_VALUE"""),"API &amp; Portal")</f>
        <v>API &amp; Portal</v>
      </c>
      <c r="J468" s="265" t="str">
        <f>IFERROR(__xludf.DUMMYFUNCTION("""COMPUTED_VALUE"""),"API")</f>
        <v>API</v>
      </c>
      <c r="K468" s="265" t="str">
        <f>IFERROR(__xludf.DUMMYFUNCTION("""COMPUTED_VALUE"""),"AnhNM")</f>
        <v>AnhNM</v>
      </c>
    </row>
    <row r="469">
      <c r="A469" s="265" t="str">
        <f>IFERROR(__xludf.DUMMYFUNCTION("""COMPUTED_VALUE"""),"742")</f>
        <v>742</v>
      </c>
      <c r="B469" s="265" t="str">
        <f>IFERROR(__xludf.DUMMYFUNCTION("""COMPUTED_VALUE"""),"Sài Gòn")</f>
        <v>Sài Gòn</v>
      </c>
      <c r="C469" s="265" t="str">
        <f>IFERROR(__xludf.DUMMYFUNCTION("""COMPUTED_VALUE"""),"Locked")</f>
        <v>Locked</v>
      </c>
      <c r="D469" s="265" t="str">
        <f>IFERROR(__xludf.DUMMYFUNCTION("""COMPUTED_VALUE"""),"Thực phẩm &amp; Đồ uống")</f>
        <v>Thực phẩm &amp; Đồ uống</v>
      </c>
      <c r="E469" s="265" t="str">
        <f>IFERROR(__xludf.DUMMYFUNCTION("""COMPUTED_VALUE"""),"TuVTC")</f>
        <v>TuVTC</v>
      </c>
      <c r="F469" s="265" t="str">
        <f>IFERROR(__xludf.DUMMYFUNCTION("""COMPUTED_VALUE"""),"Gold")</f>
        <v>Gold</v>
      </c>
      <c r="G469" s="265" t="str">
        <f>IFERROR(__xludf.DUMMYFUNCTION("""COMPUTED_VALUE"""),"API")</f>
        <v>API</v>
      </c>
      <c r="H469" s="265" t="str">
        <f>IFERROR(__xludf.DUMMYFUNCTION("""COMPUTED_VALUE"""),"Trả sau")</f>
        <v>Trả sau</v>
      </c>
      <c r="I469" s="265" t="str">
        <f>IFERROR(__xludf.DUMMYFUNCTION("""COMPUTED_VALUE"""),"API")</f>
        <v>API</v>
      </c>
      <c r="J469" s="265" t="str">
        <f>IFERROR(__xludf.DUMMYFUNCTION("""COMPUTED_VALUE"""),"API")</f>
        <v>API</v>
      </c>
      <c r="K469" s="265" t="str">
        <f>IFERROR(__xludf.DUMMYFUNCTION("""COMPUTED_VALUE"""),"TuVTC")</f>
        <v>TuVTC</v>
      </c>
    </row>
    <row r="470">
      <c r="A470" s="265" t="str">
        <f>IFERROR(__xludf.DUMMYFUNCTION("""COMPUTED_VALUE"""),"716")</f>
        <v>716</v>
      </c>
      <c r="B470" s="265" t="str">
        <f>IFERROR(__xludf.DUMMYFUNCTION("""COMPUTED_VALUE"""),"Hà Nội")</f>
        <v>Hà Nội</v>
      </c>
      <c r="C470" s="265" t="str">
        <f>IFERROR(__xludf.DUMMYFUNCTION("""COMPUTED_VALUE"""),"Active")</f>
        <v>Active</v>
      </c>
      <c r="D470" s="265" t="str">
        <f>IFERROR(__xludf.DUMMYFUNCTION("""COMPUTED_VALUE"""),"Tài chính &amp; Ngân hàng")</f>
        <v>Tài chính &amp; Ngân hàng</v>
      </c>
      <c r="E470" s="265" t="str">
        <f>IFERROR(__xludf.DUMMYFUNCTION("""COMPUTED_VALUE"""),"TùngLD")</f>
        <v>TùngLD</v>
      </c>
      <c r="F470" s="265" t="str">
        <f>IFERROR(__xludf.DUMMYFUNCTION("""COMPUTED_VALUE"""),"Bronze")</f>
        <v>Bronze</v>
      </c>
      <c r="G470" s="265" t="str">
        <f>IFERROR(__xludf.DUMMYFUNCTION("""COMPUTED_VALUE"""),"Starter")</f>
        <v>Starter</v>
      </c>
      <c r="H470" s="265" t="str">
        <f>IFERROR(__xludf.DUMMYFUNCTION("""COMPUTED_VALUE"""),"Trả sau")</f>
        <v>Trả sau</v>
      </c>
      <c r="I470" s="265" t="str">
        <f>IFERROR(__xludf.DUMMYFUNCTION("""COMPUTED_VALUE"""),"API")</f>
        <v>API</v>
      </c>
      <c r="J470" s="265" t="str">
        <f>IFERROR(__xludf.DUMMYFUNCTION("""COMPUTED_VALUE"""),"API")</f>
        <v>API</v>
      </c>
      <c r="K470" s="265" t="str">
        <f>IFERROR(__xludf.DUMMYFUNCTION("""COMPUTED_VALUE"""),"DungPL")</f>
        <v>DungPL</v>
      </c>
    </row>
    <row r="471">
      <c r="A471" s="265" t="str">
        <f>IFERROR(__xludf.DUMMYFUNCTION("""COMPUTED_VALUE"""),"744")</f>
        <v>744</v>
      </c>
      <c r="B471" s="265" t="str">
        <f>IFERROR(__xludf.DUMMYFUNCTION("""COMPUTED_VALUE"""),"Hà Nội")</f>
        <v>Hà Nội</v>
      </c>
      <c r="C471" s="265" t="str">
        <f>IFERROR(__xludf.DUMMYFUNCTION("""COMPUTED_VALUE"""),"Locked")</f>
        <v>Locked</v>
      </c>
      <c r="D471" s="265" t="str">
        <f>IFERROR(__xludf.DUMMYFUNCTION("""COMPUTED_VALUE"""),"Truyền thông &amp; Giải trí")</f>
        <v>Truyền thông &amp; Giải trí</v>
      </c>
      <c r="E471" s="265" t="str">
        <f>IFERROR(__xludf.DUMMYFUNCTION("""COMPUTED_VALUE"""),"TúPHN")</f>
        <v>TúPHN</v>
      </c>
      <c r="F471" s="265" t="str">
        <f>IFERROR(__xludf.DUMMYFUNCTION("""COMPUTED_VALUE"""),"Sale chưa cung cấp")</f>
        <v>Sale chưa cung cấp</v>
      </c>
      <c r="G471" s="265" t="str">
        <f>IFERROR(__xludf.DUMMYFUNCTION("""COMPUTED_VALUE"""),"API")</f>
        <v>API</v>
      </c>
      <c r="H471" s="265" t="str">
        <f>IFERROR(__xludf.DUMMYFUNCTION("""COMPUTED_VALUE"""),"Trả sau")</f>
        <v>Trả sau</v>
      </c>
      <c r="I471" s="265" t="str">
        <f>IFERROR(__xludf.DUMMYFUNCTION("""COMPUTED_VALUE"""),"API")</f>
        <v>API</v>
      </c>
      <c r="J471" s="265" t="str">
        <f>IFERROR(__xludf.DUMMYFUNCTION("""COMPUTED_VALUE"""),"API")</f>
        <v>API</v>
      </c>
      <c r="K471" s="265" t="str">
        <f>IFERROR(__xludf.DUMMYFUNCTION("""COMPUTED_VALUE"""),"AnhNM")</f>
        <v>AnhNM</v>
      </c>
    </row>
    <row r="472">
      <c r="A472" s="265" t="str">
        <f>IFERROR(__xludf.DUMMYFUNCTION("""COMPUTED_VALUE"""),"745")</f>
        <v>745</v>
      </c>
      <c r="B472" s="265" t="str">
        <f>IFERROR(__xludf.DUMMYFUNCTION("""COMPUTED_VALUE"""),"Sài Gòn")</f>
        <v>Sài Gòn</v>
      </c>
      <c r="C472" s="265" t="str">
        <f>IFERROR(__xludf.DUMMYFUNCTION("""COMPUTED_VALUE"""),"Active")</f>
        <v>Active</v>
      </c>
      <c r="D472" s="265" t="str">
        <f>IFERROR(__xludf.DUMMYFUNCTION("""COMPUTED_VALUE"""),"Sản xuất &amp; Chế tạo")</f>
        <v>Sản xuất &amp; Chế tạo</v>
      </c>
      <c r="E472" s="265" t="str">
        <f>IFERROR(__xludf.DUMMYFUNCTION("""COMPUTED_VALUE"""),"TúPHN")</f>
        <v>TúPHN</v>
      </c>
      <c r="F472" s="265" t="str">
        <f>IFERROR(__xludf.DUMMYFUNCTION("""COMPUTED_VALUE"""),"Bronze")</f>
        <v>Bronze</v>
      </c>
      <c r="G472" s="265" t="str">
        <f>IFERROR(__xludf.DUMMYFUNCTION("""COMPUTED_VALUE"""),"Premium")</f>
        <v>Premium</v>
      </c>
      <c r="H472" s="265" t="str">
        <f>IFERROR(__xludf.DUMMYFUNCTION("""COMPUTED_VALUE"""),"Trả sau")</f>
        <v>Trả sau</v>
      </c>
      <c r="I472" s="265" t="str">
        <f>IFERROR(__xludf.DUMMYFUNCTION("""COMPUTED_VALUE"""),"API &amp; Portal")</f>
        <v>API &amp; Portal</v>
      </c>
      <c r="J472" s="265" t="str">
        <f>IFERROR(__xludf.DUMMYFUNCTION("""COMPUTED_VALUE"""),"File Excel")</f>
        <v>File Excel</v>
      </c>
      <c r="K472" s="265" t="str">
        <f>IFERROR(__xludf.DUMMYFUNCTION("""COMPUTED_VALUE"""),"DungPL")</f>
        <v>DungPL</v>
      </c>
    </row>
    <row r="473">
      <c r="A473" s="265" t="str">
        <f>IFERROR(__xludf.DUMMYFUNCTION("""COMPUTED_VALUE"""),"746")</f>
        <v>746</v>
      </c>
      <c r="B473" s="265" t="str">
        <f>IFERROR(__xludf.DUMMYFUNCTION("""COMPUTED_VALUE"""),"Sài Gòn")</f>
        <v>Sài Gòn</v>
      </c>
      <c r="C473" s="265" t="str">
        <f>IFERROR(__xludf.DUMMYFUNCTION("""COMPUTED_VALUE"""),"Active")</f>
        <v>Active</v>
      </c>
      <c r="D473" s="265" t="str">
        <f>IFERROR(__xludf.DUMMYFUNCTION("""COMPUTED_VALUE"""),"Viễn thông")</f>
        <v>Viễn thông</v>
      </c>
      <c r="E473" s="265" t="str">
        <f>IFERROR(__xludf.DUMMYFUNCTION("""COMPUTED_VALUE"""),"TùngLD")</f>
        <v>TùngLD</v>
      </c>
      <c r="F473" s="265" t="str">
        <f>IFERROR(__xludf.DUMMYFUNCTION("""COMPUTED_VALUE"""),"Gold")</f>
        <v>Gold</v>
      </c>
      <c r="G473" s="265" t="str">
        <f>IFERROR(__xludf.DUMMYFUNCTION("""COMPUTED_VALUE"""),"Premium")</f>
        <v>Premium</v>
      </c>
      <c r="H473" s="265" t="str">
        <f>IFERROR(__xludf.DUMMYFUNCTION("""COMPUTED_VALUE"""),"Trả sau")</f>
        <v>Trả sau</v>
      </c>
      <c r="I473" s="265" t="str">
        <f>IFERROR(__xludf.DUMMYFUNCTION("""COMPUTED_VALUE"""),"API")</f>
        <v>API</v>
      </c>
      <c r="J473" s="265" t="str">
        <f>IFERROR(__xludf.DUMMYFUNCTION("""COMPUTED_VALUE"""),"API")</f>
        <v>API</v>
      </c>
      <c r="K473" s="265" t="str">
        <f>IFERROR(__xludf.DUMMYFUNCTION("""COMPUTED_VALUE"""),"YếnĐH")</f>
        <v>YếnĐH</v>
      </c>
    </row>
    <row r="474">
      <c r="A474" s="265" t="str">
        <f>IFERROR(__xludf.DUMMYFUNCTION("""COMPUTED_VALUE"""),"498")</f>
        <v>498</v>
      </c>
      <c r="B474" s="265" t="str">
        <f>IFERROR(__xludf.DUMMYFUNCTION("""COMPUTED_VALUE"""),"Hà Nội")</f>
        <v>Hà Nội</v>
      </c>
      <c r="C474" s="265" t="str">
        <f>IFERROR(__xludf.DUMMYFUNCTION("""COMPUTED_VALUE"""),"Locked")</f>
        <v>Locked</v>
      </c>
      <c r="D474" s="265" t="str">
        <f>IFERROR(__xludf.DUMMYFUNCTION("""COMPUTED_VALUE"""),"Sale chưa cung cấp")</f>
        <v>Sale chưa cung cấp</v>
      </c>
      <c r="E474" s="265" t="str">
        <f>IFERROR(__xludf.DUMMYFUNCTION("""COMPUTED_VALUE"""),"TùngLD")</f>
        <v>TùngLD</v>
      </c>
      <c r="F474" s="265" t="str">
        <f>IFERROR(__xludf.DUMMYFUNCTION("""COMPUTED_VALUE"""),"Bronze")</f>
        <v>Bronze</v>
      </c>
      <c r="G474" s="265" t="str">
        <f>IFERROR(__xludf.DUMMYFUNCTION("""COMPUTED_VALUE"""),"Enterprise")</f>
        <v>Enterprise</v>
      </c>
      <c r="H474" s="265" t="str">
        <f>IFERROR(__xludf.DUMMYFUNCTION("""COMPUTED_VALUE"""),"Trả sau")</f>
        <v>Trả sau</v>
      </c>
      <c r="I474" s="265" t="str">
        <f>IFERROR(__xludf.DUMMYFUNCTION("""COMPUTED_VALUE"""),"Portal")</f>
        <v>Portal</v>
      </c>
      <c r="J474" s="265" t="str">
        <f>IFERROR(__xludf.DUMMYFUNCTION("""COMPUTED_VALUE"""),"File Excel")</f>
        <v>File Excel</v>
      </c>
      <c r="K474" s="265" t="str">
        <f>IFERROR(__xludf.DUMMYFUNCTION("""COMPUTED_VALUE"""),"AnhNM, LinhNTT1")</f>
        <v>AnhNM, LinhNTT1</v>
      </c>
    </row>
    <row r="475">
      <c r="A475" s="265" t="str">
        <f>IFERROR(__xludf.DUMMYFUNCTION("""COMPUTED_VALUE"""),"747")</f>
        <v>747</v>
      </c>
      <c r="B475" s="265" t="str">
        <f>IFERROR(__xludf.DUMMYFUNCTION("""COMPUTED_VALUE"""),"Sài Gòn")</f>
        <v>Sài Gòn</v>
      </c>
      <c r="C475" s="265" t="str">
        <f>IFERROR(__xludf.DUMMYFUNCTION("""COMPUTED_VALUE"""),"Locked")</f>
        <v>Locked</v>
      </c>
      <c r="D475" s="265" t="str">
        <f>IFERROR(__xludf.DUMMYFUNCTION("""COMPUTED_VALUE"""),"Y tế &amp; Dược phẩm")</f>
        <v>Y tế &amp; Dược phẩm</v>
      </c>
      <c r="E475" s="265" t="str">
        <f>IFERROR(__xludf.DUMMYFUNCTION("""COMPUTED_VALUE"""),"HoaNTM")</f>
        <v>HoaNTM</v>
      </c>
      <c r="F475" s="265" t="str">
        <f>IFERROR(__xludf.DUMMYFUNCTION("""COMPUTED_VALUE"""),"Sale chưa cung cấp")</f>
        <v>Sale chưa cung cấp</v>
      </c>
      <c r="G475" s="265" t="str">
        <f>IFERROR(__xludf.DUMMYFUNCTION("""COMPUTED_VALUE"""),"Starter")</f>
        <v>Starter</v>
      </c>
      <c r="H475" s="265" t="str">
        <f>IFERROR(__xludf.DUMMYFUNCTION("""COMPUTED_VALUE"""),"Trả trước")</f>
        <v>Trả trước</v>
      </c>
      <c r="I475" s="265" t="str">
        <f>IFERROR(__xludf.DUMMYFUNCTION("""COMPUTED_VALUE"""),"API &amp; Portal")</f>
        <v>API &amp; Portal</v>
      </c>
      <c r="J475" s="265" t="str">
        <f>IFERROR(__xludf.DUMMYFUNCTION("""COMPUTED_VALUE"""),"File Excel")</f>
        <v>File Excel</v>
      </c>
      <c r="K475" s="265" t="str">
        <f>IFERROR(__xludf.DUMMYFUNCTION("""COMPUTED_VALUE"""),"DungPL")</f>
        <v>DungPL</v>
      </c>
    </row>
    <row r="476">
      <c r="A476" s="265" t="str">
        <f>IFERROR(__xludf.DUMMYFUNCTION("""COMPUTED_VALUE"""),"747")</f>
        <v>747</v>
      </c>
      <c r="B476" s="265" t="str">
        <f>IFERROR(__xludf.DUMMYFUNCTION("""COMPUTED_VALUE"""),"Sài Gòn")</f>
        <v>Sài Gòn</v>
      </c>
      <c r="C476" s="265" t="str">
        <f>IFERROR(__xludf.DUMMYFUNCTION("""COMPUTED_VALUE"""),"Locked")</f>
        <v>Locked</v>
      </c>
      <c r="D476" s="265" t="str">
        <f>IFERROR(__xludf.DUMMYFUNCTION("""COMPUTED_VALUE"""),"Y tế &amp; Dược phẩm")</f>
        <v>Y tế &amp; Dược phẩm</v>
      </c>
      <c r="E476" s="265" t="str">
        <f>IFERROR(__xludf.DUMMYFUNCTION("""COMPUTED_VALUE"""),"HoaNTM")</f>
        <v>HoaNTM</v>
      </c>
      <c r="F476" s="265" t="str">
        <f>IFERROR(__xludf.DUMMYFUNCTION("""COMPUTED_VALUE"""),"Sale chưa cung cấp")</f>
        <v>Sale chưa cung cấp</v>
      </c>
      <c r="G476" s="265" t="str">
        <f>IFERROR(__xludf.DUMMYFUNCTION("""COMPUTED_VALUE"""),"Starter")</f>
        <v>Starter</v>
      </c>
      <c r="H476" s="265" t="str">
        <f>IFERROR(__xludf.DUMMYFUNCTION("""COMPUTED_VALUE"""),"Trả trước")</f>
        <v>Trả trước</v>
      </c>
      <c r="I476" s="265" t="str">
        <f>IFERROR(__xludf.DUMMYFUNCTION("""COMPUTED_VALUE"""),"API &amp; Portal")</f>
        <v>API &amp; Portal</v>
      </c>
      <c r="J476" s="265" t="str">
        <f>IFERROR(__xludf.DUMMYFUNCTION("""COMPUTED_VALUE"""),"API")</f>
        <v>API</v>
      </c>
      <c r="K476" s="265" t="str">
        <f>IFERROR(__xludf.DUMMYFUNCTION("""COMPUTED_VALUE"""),"DungPL")</f>
        <v>DungPL</v>
      </c>
    </row>
    <row r="477">
      <c r="A477" s="265" t="str">
        <f>IFERROR(__xludf.DUMMYFUNCTION("""COMPUTED_VALUE"""),"748")</f>
        <v>748</v>
      </c>
      <c r="B477" s="265" t="str">
        <f>IFERROR(__xludf.DUMMYFUNCTION("""COMPUTED_VALUE"""),"Sài Gòn")</f>
        <v>Sài Gòn</v>
      </c>
      <c r="C477" s="265" t="str">
        <f>IFERROR(__xludf.DUMMYFUNCTION("""COMPUTED_VALUE"""),"Locked")</f>
        <v>Locked</v>
      </c>
      <c r="D477" s="265" t="str">
        <f>IFERROR(__xludf.DUMMYFUNCTION("""COMPUTED_VALUE"""),"Truyền thông &amp; Giải trí")</f>
        <v>Truyền thông &amp; Giải trí</v>
      </c>
      <c r="E477" s="265" t="str">
        <f>IFERROR(__xludf.DUMMYFUNCTION("""COMPUTED_VALUE"""),"HoaNTM")</f>
        <v>HoaNTM</v>
      </c>
      <c r="F477" s="265" t="str">
        <f>IFERROR(__xludf.DUMMYFUNCTION("""COMPUTED_VALUE"""),"Gold")</f>
        <v>Gold</v>
      </c>
      <c r="G477" s="265" t="str">
        <f>IFERROR(__xludf.DUMMYFUNCTION("""COMPUTED_VALUE"""),"Premium")</f>
        <v>Premium</v>
      </c>
      <c r="H477" s="265" t="str">
        <f>IFERROR(__xludf.DUMMYFUNCTION("""COMPUTED_VALUE"""),"Trả trước")</f>
        <v>Trả trước</v>
      </c>
      <c r="I477" s="265" t="str">
        <f>IFERROR(__xludf.DUMMYFUNCTION("""COMPUTED_VALUE"""),"API &amp; Portal")</f>
        <v>API &amp; Portal</v>
      </c>
      <c r="J477" s="265" t="str">
        <f>IFERROR(__xludf.DUMMYFUNCTION("""COMPUTED_VALUE"""),"HubSpot")</f>
        <v>HubSpot</v>
      </c>
      <c r="K477" s="265" t="str">
        <f>IFERROR(__xludf.DUMMYFUNCTION("""COMPUTED_VALUE"""),"LinhNTT1")</f>
        <v>LinhNTT1</v>
      </c>
    </row>
    <row r="478">
      <c r="A478" s="265" t="str">
        <f>IFERROR(__xludf.DUMMYFUNCTION("""COMPUTED_VALUE"""),"750")</f>
        <v>750</v>
      </c>
      <c r="B478" s="265" t="str">
        <f>IFERROR(__xludf.DUMMYFUNCTION("""COMPUTED_VALUE"""),"Hà Nội")</f>
        <v>Hà Nội</v>
      </c>
      <c r="C478" s="265" t="str">
        <f>IFERROR(__xludf.DUMMYFUNCTION("""COMPUTED_VALUE"""),"Locked")</f>
        <v>Locked</v>
      </c>
      <c r="D478" s="265" t="str">
        <f>IFERROR(__xludf.DUMMYFUNCTION("""COMPUTED_VALUE"""),"Truyền thông &amp; Giải trí")</f>
        <v>Truyền thông &amp; Giải trí</v>
      </c>
      <c r="E478" s="265" t="str">
        <f>IFERROR(__xludf.DUMMYFUNCTION("""COMPUTED_VALUE"""),"TúPHN")</f>
        <v>TúPHN</v>
      </c>
      <c r="F478" s="265" t="str">
        <f>IFERROR(__xludf.DUMMYFUNCTION("""COMPUTED_VALUE"""),"Bronze")</f>
        <v>Bronze</v>
      </c>
      <c r="G478" s="265" t="str">
        <f>IFERROR(__xludf.DUMMYFUNCTION("""COMPUTED_VALUE"""),"Starter")</f>
        <v>Starter</v>
      </c>
      <c r="H478" s="265" t="str">
        <f>IFERROR(__xludf.DUMMYFUNCTION("""COMPUTED_VALUE"""),"Trả sau")</f>
        <v>Trả sau</v>
      </c>
      <c r="I478" s="265" t="str">
        <f>IFERROR(__xludf.DUMMYFUNCTION("""COMPUTED_VALUE"""),"API &amp; Portal")</f>
        <v>API &amp; Portal</v>
      </c>
      <c r="J478" s="265" t="str">
        <f>IFERROR(__xludf.DUMMYFUNCTION("""COMPUTED_VALUE"""),"File Excel")</f>
        <v>File Excel</v>
      </c>
      <c r="K478" s="265" t="str">
        <f>IFERROR(__xludf.DUMMYFUNCTION("""COMPUTED_VALUE"""),"LinhNTT1")</f>
        <v>LinhNTT1</v>
      </c>
    </row>
    <row r="479">
      <c r="A479" s="265" t="str">
        <f>IFERROR(__xludf.DUMMYFUNCTION("""COMPUTED_VALUE"""),"750")</f>
        <v>750</v>
      </c>
      <c r="B479" s="265" t="str">
        <f>IFERROR(__xludf.DUMMYFUNCTION("""COMPUTED_VALUE"""),"Hà Nội")</f>
        <v>Hà Nội</v>
      </c>
      <c r="C479" s="265" t="str">
        <f>IFERROR(__xludf.DUMMYFUNCTION("""COMPUTED_VALUE"""),"Locked")</f>
        <v>Locked</v>
      </c>
      <c r="D479" s="265" t="str">
        <f>IFERROR(__xludf.DUMMYFUNCTION("""COMPUTED_VALUE"""),"Truyền thông &amp; Giải trí")</f>
        <v>Truyền thông &amp; Giải trí</v>
      </c>
      <c r="E479" s="265" t="str">
        <f>IFERROR(__xludf.DUMMYFUNCTION("""COMPUTED_VALUE"""),"TúPHN")</f>
        <v>TúPHN</v>
      </c>
      <c r="F479" s="265" t="str">
        <f>IFERROR(__xludf.DUMMYFUNCTION("""COMPUTED_VALUE"""),"Bronze")</f>
        <v>Bronze</v>
      </c>
      <c r="G479" s="265" t="str">
        <f>IFERROR(__xludf.DUMMYFUNCTION("""COMPUTED_VALUE"""),"Starter")</f>
        <v>Starter</v>
      </c>
      <c r="H479" s="265" t="str">
        <f>IFERROR(__xludf.DUMMYFUNCTION("""COMPUTED_VALUE"""),"Trả sau")</f>
        <v>Trả sau</v>
      </c>
      <c r="I479" s="265" t="str">
        <f>IFERROR(__xludf.DUMMYFUNCTION("""COMPUTED_VALUE"""),"API &amp; Portal")</f>
        <v>API &amp; Portal</v>
      </c>
      <c r="J479" s="265" t="str">
        <f>IFERROR(__xludf.DUMMYFUNCTION("""COMPUTED_VALUE"""),"API")</f>
        <v>API</v>
      </c>
      <c r="K479" s="265" t="str">
        <f>IFERROR(__xludf.DUMMYFUNCTION("""COMPUTED_VALUE"""),"LinhNTT1")</f>
        <v>LinhNTT1</v>
      </c>
    </row>
    <row r="480">
      <c r="A480" s="265" t="str">
        <f>IFERROR(__xludf.DUMMYFUNCTION("""COMPUTED_VALUE"""),"751")</f>
        <v>751</v>
      </c>
      <c r="B480" s="265" t="str">
        <f>IFERROR(__xludf.DUMMYFUNCTION("""COMPUTED_VALUE"""),"Sài Gòn")</f>
        <v>Sài Gòn</v>
      </c>
      <c r="C480" s="265" t="str">
        <f>IFERROR(__xludf.DUMMYFUNCTION("""COMPUTED_VALUE"""),"Locked")</f>
        <v>Locked</v>
      </c>
      <c r="D480" s="265" t="str">
        <f>IFERROR(__xludf.DUMMYFUNCTION("""COMPUTED_VALUE"""),"Mua sắm &amp; Bán lẻ")</f>
        <v>Mua sắm &amp; Bán lẻ</v>
      </c>
      <c r="E480" s="265" t="str">
        <f>IFERROR(__xludf.DUMMYFUNCTION("""COMPUTED_VALUE"""),"HoaNTM")</f>
        <v>HoaNTM</v>
      </c>
      <c r="F480" s="265" t="str">
        <f>IFERROR(__xludf.DUMMYFUNCTION("""COMPUTED_VALUE"""),"Sale chưa cung cấp")</f>
        <v>Sale chưa cung cấp</v>
      </c>
      <c r="G480" s="265" t="str">
        <f>IFERROR(__xludf.DUMMYFUNCTION("""COMPUTED_VALUE"""),"Premium")</f>
        <v>Premium</v>
      </c>
      <c r="H480" s="265" t="str">
        <f>IFERROR(__xludf.DUMMYFUNCTION("""COMPUTED_VALUE"""),"Trial")</f>
        <v>Trial</v>
      </c>
      <c r="I480" s="265" t="str">
        <f>IFERROR(__xludf.DUMMYFUNCTION("""COMPUTED_VALUE"""),"API &amp; Portal")</f>
        <v>API &amp; Portal</v>
      </c>
      <c r="J480" s="265" t="str">
        <f>IFERROR(__xludf.DUMMYFUNCTION("""COMPUTED_VALUE"""),"File Excel")</f>
        <v>File Excel</v>
      </c>
      <c r="K480" s="265" t="str">
        <f>IFERROR(__xludf.DUMMYFUNCTION("""COMPUTED_VALUE"""),"(Không recheck)")</f>
        <v>(Không recheck)</v>
      </c>
    </row>
    <row r="481">
      <c r="A481" s="265" t="str">
        <f>IFERROR(__xludf.DUMMYFUNCTION("""COMPUTED_VALUE"""),"751")</f>
        <v>751</v>
      </c>
      <c r="B481" s="265" t="str">
        <f>IFERROR(__xludf.DUMMYFUNCTION("""COMPUTED_VALUE"""),"Sài Gòn")</f>
        <v>Sài Gòn</v>
      </c>
      <c r="C481" s="265" t="str">
        <f>IFERROR(__xludf.DUMMYFUNCTION("""COMPUTED_VALUE"""),"Locked")</f>
        <v>Locked</v>
      </c>
      <c r="D481" s="265" t="str">
        <f>IFERROR(__xludf.DUMMYFUNCTION("""COMPUTED_VALUE"""),"Mua sắm &amp; Bán lẻ")</f>
        <v>Mua sắm &amp; Bán lẻ</v>
      </c>
      <c r="E481" s="265" t="str">
        <f>IFERROR(__xludf.DUMMYFUNCTION("""COMPUTED_VALUE"""),"HoaNTM")</f>
        <v>HoaNTM</v>
      </c>
      <c r="F481" s="265" t="str">
        <f>IFERROR(__xludf.DUMMYFUNCTION("""COMPUTED_VALUE"""),"Sale chưa cung cấp")</f>
        <v>Sale chưa cung cấp</v>
      </c>
      <c r="G481" s="265" t="str">
        <f>IFERROR(__xludf.DUMMYFUNCTION("""COMPUTED_VALUE"""),"Premium")</f>
        <v>Premium</v>
      </c>
      <c r="H481" s="265" t="str">
        <f>IFERROR(__xludf.DUMMYFUNCTION("""COMPUTED_VALUE"""),"Trial")</f>
        <v>Trial</v>
      </c>
      <c r="I481" s="265" t="str">
        <f>IFERROR(__xludf.DUMMYFUNCTION("""COMPUTED_VALUE"""),"API &amp; Portal")</f>
        <v>API &amp; Portal</v>
      </c>
      <c r="J481" s="265" t="str">
        <f>IFERROR(__xludf.DUMMYFUNCTION("""COMPUTED_VALUE"""),"API")</f>
        <v>API</v>
      </c>
      <c r="K481" s="265" t="str">
        <f>IFERROR(__xludf.DUMMYFUNCTION("""COMPUTED_VALUE"""),"(Không recheck)")</f>
        <v>(Không recheck)</v>
      </c>
    </row>
    <row r="482">
      <c r="A482" s="265" t="str">
        <f>IFERROR(__xludf.DUMMYFUNCTION("""COMPUTED_VALUE"""),"754")</f>
        <v>754</v>
      </c>
      <c r="B482" s="265" t="str">
        <f>IFERROR(__xludf.DUMMYFUNCTION("""COMPUTED_VALUE"""),"Hà Nội")</f>
        <v>Hà Nội</v>
      </c>
      <c r="C482" s="265" t="str">
        <f>IFERROR(__xludf.DUMMYFUNCTION("""COMPUTED_VALUE"""),"Locked")</f>
        <v>Locked</v>
      </c>
      <c r="D482" s="265" t="str">
        <f>IFERROR(__xludf.DUMMYFUNCTION("""COMPUTED_VALUE"""),"Viễn thông")</f>
        <v>Viễn thông</v>
      </c>
      <c r="E482" s="265" t="str">
        <f>IFERROR(__xludf.DUMMYFUNCTION("""COMPUTED_VALUE"""),"AnhNP")</f>
        <v>AnhNP</v>
      </c>
      <c r="F482" s="265" t="str">
        <f>IFERROR(__xludf.DUMMYFUNCTION("""COMPUTED_VALUE"""),"Sale chưa cung cấp")</f>
        <v>Sale chưa cung cấp</v>
      </c>
      <c r="G482" s="265" t="str">
        <f>IFERROR(__xludf.DUMMYFUNCTION("""COMPUTED_VALUE"""),"Starter")</f>
        <v>Starter</v>
      </c>
      <c r="H482" s="265" t="str">
        <f>IFERROR(__xludf.DUMMYFUNCTION("""COMPUTED_VALUE"""),"Trial")</f>
        <v>Trial</v>
      </c>
      <c r="I482" s="265" t="str">
        <f>IFERROR(__xludf.DUMMYFUNCTION("""COMPUTED_VALUE"""),"API &amp; Portal")</f>
        <v>API &amp; Portal</v>
      </c>
      <c r="J482" s="265" t="str">
        <f>IFERROR(__xludf.DUMMYFUNCTION("""COMPUTED_VALUE"""),"File Excel")</f>
        <v>File Excel</v>
      </c>
      <c r="K482" s="265" t="str">
        <f>IFERROR(__xludf.DUMMYFUNCTION("""COMPUTED_VALUE"""),"(Không recheck)")</f>
        <v>(Không recheck)</v>
      </c>
    </row>
    <row r="483">
      <c r="A483" s="265" t="str">
        <f>IFERROR(__xludf.DUMMYFUNCTION("""COMPUTED_VALUE"""),"754")</f>
        <v>754</v>
      </c>
      <c r="B483" s="265" t="str">
        <f>IFERROR(__xludf.DUMMYFUNCTION("""COMPUTED_VALUE"""),"Hà Nội")</f>
        <v>Hà Nội</v>
      </c>
      <c r="C483" s="265" t="str">
        <f>IFERROR(__xludf.DUMMYFUNCTION("""COMPUTED_VALUE"""),"Locked")</f>
        <v>Locked</v>
      </c>
      <c r="D483" s="265" t="str">
        <f>IFERROR(__xludf.DUMMYFUNCTION("""COMPUTED_VALUE"""),"Viễn thông")</f>
        <v>Viễn thông</v>
      </c>
      <c r="E483" s="265" t="str">
        <f>IFERROR(__xludf.DUMMYFUNCTION("""COMPUTED_VALUE"""),"AnhNP")</f>
        <v>AnhNP</v>
      </c>
      <c r="F483" s="265" t="str">
        <f>IFERROR(__xludf.DUMMYFUNCTION("""COMPUTED_VALUE"""),"Sale chưa cung cấp")</f>
        <v>Sale chưa cung cấp</v>
      </c>
      <c r="G483" s="265" t="str">
        <f>IFERROR(__xludf.DUMMYFUNCTION("""COMPUTED_VALUE"""),"Starter")</f>
        <v>Starter</v>
      </c>
      <c r="H483" s="265" t="str">
        <f>IFERROR(__xludf.DUMMYFUNCTION("""COMPUTED_VALUE"""),"Trial")</f>
        <v>Trial</v>
      </c>
      <c r="I483" s="265" t="str">
        <f>IFERROR(__xludf.DUMMYFUNCTION("""COMPUTED_VALUE"""),"API &amp; Portal")</f>
        <v>API &amp; Portal</v>
      </c>
      <c r="J483" s="265" t="str">
        <f>IFERROR(__xludf.DUMMYFUNCTION("""COMPUTED_VALUE"""),"API")</f>
        <v>API</v>
      </c>
      <c r="K483" s="265" t="str">
        <f>IFERROR(__xludf.DUMMYFUNCTION("""COMPUTED_VALUE"""),"(Không recheck)")</f>
        <v>(Không recheck)</v>
      </c>
    </row>
    <row r="484">
      <c r="A484" s="265" t="str">
        <f>IFERROR(__xludf.DUMMYFUNCTION("""COMPUTED_VALUE"""),"753")</f>
        <v>753</v>
      </c>
      <c r="B484" s="265" t="str">
        <f>IFERROR(__xludf.DUMMYFUNCTION("""COMPUTED_VALUE"""),"Sài Gòn")</f>
        <v>Sài Gòn</v>
      </c>
      <c r="C484" s="265" t="str">
        <f>IFERROR(__xludf.DUMMYFUNCTION("""COMPUTED_VALUE"""),"Locked")</f>
        <v>Locked</v>
      </c>
      <c r="D484" s="265" t="str">
        <f>IFERROR(__xludf.DUMMYFUNCTION("""COMPUTED_VALUE"""),"Giáo dục &amp; Đào tạo")</f>
        <v>Giáo dục &amp; Đào tạo</v>
      </c>
      <c r="E484" s="265" t="str">
        <f>IFERROR(__xludf.DUMMYFUNCTION("""COMPUTED_VALUE"""),"HoaNTM")</f>
        <v>HoaNTM</v>
      </c>
      <c r="F484" s="265" t="str">
        <f>IFERROR(__xludf.DUMMYFUNCTION("""COMPUTED_VALUE"""),"Bronze")</f>
        <v>Bronze</v>
      </c>
      <c r="G484" s="265" t="str">
        <f>IFERROR(__xludf.DUMMYFUNCTION("""COMPUTED_VALUE"""),"Starter")</f>
        <v>Starter</v>
      </c>
      <c r="H484" s="265" t="str">
        <f>IFERROR(__xludf.DUMMYFUNCTION("""COMPUTED_VALUE"""),"(Chưa recheck)")</f>
        <v>(Chưa recheck)</v>
      </c>
      <c r="I484" s="265" t="str">
        <f>IFERROR(__xludf.DUMMYFUNCTION("""COMPUTED_VALUE"""),"API &amp; Portal")</f>
        <v>API &amp; Portal</v>
      </c>
      <c r="J484" s="265" t="str">
        <f>IFERROR(__xludf.DUMMYFUNCTION("""COMPUTED_VALUE"""),"File Excel")</f>
        <v>File Excel</v>
      </c>
      <c r="K484" s="265" t="str">
        <f>IFERROR(__xludf.DUMMYFUNCTION("""COMPUTED_VALUE"""),"AnhNM")</f>
        <v>AnhNM</v>
      </c>
    </row>
    <row r="485">
      <c r="A485" s="265" t="str">
        <f>IFERROR(__xludf.DUMMYFUNCTION("""COMPUTED_VALUE"""),"753")</f>
        <v>753</v>
      </c>
      <c r="B485" s="265" t="str">
        <f>IFERROR(__xludf.DUMMYFUNCTION("""COMPUTED_VALUE"""),"Sài Gòn")</f>
        <v>Sài Gòn</v>
      </c>
      <c r="C485" s="265" t="str">
        <f>IFERROR(__xludf.DUMMYFUNCTION("""COMPUTED_VALUE"""),"Locked")</f>
        <v>Locked</v>
      </c>
      <c r="D485" s="265" t="str">
        <f>IFERROR(__xludf.DUMMYFUNCTION("""COMPUTED_VALUE"""),"Giáo dục &amp; Đào tạo")</f>
        <v>Giáo dục &amp; Đào tạo</v>
      </c>
      <c r="E485" s="265" t="str">
        <f>IFERROR(__xludf.DUMMYFUNCTION("""COMPUTED_VALUE"""),"HoaNTM")</f>
        <v>HoaNTM</v>
      </c>
      <c r="F485" s="265" t="str">
        <f>IFERROR(__xludf.DUMMYFUNCTION("""COMPUTED_VALUE"""),"Bronze")</f>
        <v>Bronze</v>
      </c>
      <c r="G485" s="265" t="str">
        <f>IFERROR(__xludf.DUMMYFUNCTION("""COMPUTED_VALUE"""),"Starter")</f>
        <v>Starter</v>
      </c>
      <c r="H485" s="265" t="str">
        <f>IFERROR(__xludf.DUMMYFUNCTION("""COMPUTED_VALUE"""),"(Chưa recheck)")</f>
        <v>(Chưa recheck)</v>
      </c>
      <c r="I485" s="265" t="str">
        <f>IFERROR(__xludf.DUMMYFUNCTION("""COMPUTED_VALUE"""),"API &amp; Portal")</f>
        <v>API &amp; Portal</v>
      </c>
      <c r="J485" s="265" t="str">
        <f>IFERROR(__xludf.DUMMYFUNCTION("""COMPUTED_VALUE"""),"API")</f>
        <v>API</v>
      </c>
      <c r="K485" s="265" t="str">
        <f>IFERROR(__xludf.DUMMYFUNCTION("""COMPUTED_VALUE"""),"AnhNM")</f>
        <v>AnhNM</v>
      </c>
    </row>
    <row r="486">
      <c r="A486" s="265" t="str">
        <f>IFERROR(__xludf.DUMMYFUNCTION("""COMPUTED_VALUE"""),"755")</f>
        <v>755</v>
      </c>
      <c r="B486" s="265" t="str">
        <f>IFERROR(__xludf.DUMMYFUNCTION("""COMPUTED_VALUE"""),"Sài Gòn")</f>
        <v>Sài Gòn</v>
      </c>
      <c r="C486" s="265" t="str">
        <f>IFERROR(__xludf.DUMMYFUNCTION("""COMPUTED_VALUE"""),"Locked")</f>
        <v>Locked</v>
      </c>
      <c r="D486" s="265" t="str">
        <f>IFERROR(__xludf.DUMMYFUNCTION("""COMPUTED_VALUE"""),"Sale chưa cung cấp")</f>
        <v>Sale chưa cung cấp</v>
      </c>
      <c r="E486" s="265" t="str">
        <f>IFERROR(__xludf.DUMMYFUNCTION("""COMPUTED_VALUE"""),"TuVTC")</f>
        <v>TuVTC</v>
      </c>
      <c r="F486" s="265" t="str">
        <f>IFERROR(__xludf.DUMMYFUNCTION("""COMPUTED_VALUE"""),"Bronze")</f>
        <v>Bronze</v>
      </c>
      <c r="G486" s="265" t="str">
        <f>IFERROR(__xludf.DUMMYFUNCTION("""COMPUTED_VALUE"""),"API")</f>
        <v>API</v>
      </c>
      <c r="H486" s="265" t="str">
        <f>IFERROR(__xludf.DUMMYFUNCTION("""COMPUTED_VALUE"""),"Trả trước")</f>
        <v>Trả trước</v>
      </c>
      <c r="I486" s="265" t="str">
        <f>IFERROR(__xludf.DUMMYFUNCTION("""COMPUTED_VALUE"""),"API")</f>
        <v>API</v>
      </c>
      <c r="J486" s="265" t="str">
        <f>IFERROR(__xludf.DUMMYFUNCTION("""COMPUTED_VALUE"""),"API")</f>
        <v>API</v>
      </c>
      <c r="K486" s="265" t="str">
        <f>IFERROR(__xludf.DUMMYFUNCTION("""COMPUTED_VALUE"""),"TuVTC")</f>
        <v>TuVTC</v>
      </c>
    </row>
    <row r="487">
      <c r="A487" s="265" t="str">
        <f>IFERROR(__xludf.DUMMYFUNCTION("""COMPUTED_VALUE"""),"756")</f>
        <v>756</v>
      </c>
      <c r="B487" s="265" t="str">
        <f>IFERROR(__xludf.DUMMYFUNCTION("""COMPUTED_VALUE"""),"Sài Gòn")</f>
        <v>Sài Gòn</v>
      </c>
      <c r="C487" s="265" t="str">
        <f>IFERROR(__xludf.DUMMYFUNCTION("""COMPUTED_VALUE"""),"Locked")</f>
        <v>Locked</v>
      </c>
      <c r="D487" s="265" t="str">
        <f>IFERROR(__xludf.DUMMYFUNCTION("""COMPUTED_VALUE"""),"Du lịch &amp; Lưu trú")</f>
        <v>Du lịch &amp; Lưu trú</v>
      </c>
      <c r="E487" s="265" t="str">
        <f>IFERROR(__xludf.DUMMYFUNCTION("""COMPUTED_VALUE"""),"HoaNTM")</f>
        <v>HoaNTM</v>
      </c>
      <c r="F487" s="265" t="str">
        <f>IFERROR(__xludf.DUMMYFUNCTION("""COMPUTED_VALUE"""),"Sale chưa cung cấp")</f>
        <v>Sale chưa cung cấp</v>
      </c>
      <c r="G487" s="265" t="str">
        <f>IFERROR(__xludf.DUMMYFUNCTION("""COMPUTED_VALUE"""),"Starter")</f>
        <v>Starter</v>
      </c>
      <c r="H487" s="265" t="str">
        <f>IFERROR(__xludf.DUMMYFUNCTION("""COMPUTED_VALUE"""),"(Chưa recheck)")</f>
        <v>(Chưa recheck)</v>
      </c>
      <c r="I487" s="265" t="str">
        <f>IFERROR(__xludf.DUMMYFUNCTION("""COMPUTED_VALUE"""),"Portal")</f>
        <v>Portal</v>
      </c>
      <c r="J487" s="265" t="str">
        <f>IFERROR(__xludf.DUMMYFUNCTION("""COMPUTED_VALUE"""),"File Excel")</f>
        <v>File Excel</v>
      </c>
      <c r="K487" s="265" t="str">
        <f>IFERROR(__xludf.DUMMYFUNCTION("""COMPUTED_VALUE"""),"AnhNM")</f>
        <v>AnhNM</v>
      </c>
    </row>
    <row r="488">
      <c r="A488" s="265" t="str">
        <f>IFERROR(__xludf.DUMMYFUNCTION("""COMPUTED_VALUE"""),"758")</f>
        <v>758</v>
      </c>
      <c r="B488" s="265" t="str">
        <f>IFERROR(__xludf.DUMMYFUNCTION("""COMPUTED_VALUE"""),"Hà Nội")</f>
        <v>Hà Nội</v>
      </c>
      <c r="C488" s="265" t="str">
        <f>IFERROR(__xludf.DUMMYFUNCTION("""COMPUTED_VALUE"""),"Active")</f>
        <v>Active</v>
      </c>
      <c r="D488" s="265" t="str">
        <f>IFERROR(__xludf.DUMMYFUNCTION("""COMPUTED_VALUE"""),"Giáo dục &amp; Đào tạo")</f>
        <v>Giáo dục &amp; Đào tạo</v>
      </c>
      <c r="E488" s="265" t="str">
        <f>IFERROR(__xludf.DUMMYFUNCTION("""COMPUTED_VALUE"""),"TùngLD")</f>
        <v>TùngLD</v>
      </c>
      <c r="F488" s="265" t="str">
        <f>IFERROR(__xludf.DUMMYFUNCTION("""COMPUTED_VALUE"""),"Silver")</f>
        <v>Silver</v>
      </c>
      <c r="G488" s="265" t="str">
        <f>IFERROR(__xludf.DUMMYFUNCTION("""COMPUTED_VALUE"""),"Premium")</f>
        <v>Premium</v>
      </c>
      <c r="H488" s="265" t="str">
        <f>IFERROR(__xludf.DUMMYFUNCTION("""COMPUTED_VALUE"""),"Trả sau")</f>
        <v>Trả sau</v>
      </c>
      <c r="I488" s="265" t="str">
        <f>IFERROR(__xludf.DUMMYFUNCTION("""COMPUTED_VALUE"""),"API &amp; Portal")</f>
        <v>API &amp; Portal</v>
      </c>
      <c r="J488" s="265" t="str">
        <f>IFERROR(__xludf.DUMMYFUNCTION("""COMPUTED_VALUE"""),"HubSpot")</f>
        <v>HubSpot</v>
      </c>
      <c r="K488" s="265" t="str">
        <f>IFERROR(__xludf.DUMMYFUNCTION("""COMPUTED_VALUE"""),"DungPL")</f>
        <v>DungPL</v>
      </c>
    </row>
    <row r="489">
      <c r="A489" s="265" t="str">
        <f>IFERROR(__xludf.DUMMYFUNCTION("""COMPUTED_VALUE"""),"759")</f>
        <v>759</v>
      </c>
      <c r="B489" s="265" t="str">
        <f>IFERROR(__xludf.DUMMYFUNCTION("""COMPUTED_VALUE"""),"Sài Gòn")</f>
        <v>Sài Gòn</v>
      </c>
      <c r="C489" s="265" t="str">
        <f>IFERROR(__xludf.DUMMYFUNCTION("""COMPUTED_VALUE"""),"Locked")</f>
        <v>Locked</v>
      </c>
      <c r="D489" s="265" t="str">
        <f>IFERROR(__xludf.DUMMYFUNCTION("""COMPUTED_VALUE"""),"Thực phẩm &amp; Đồ uống")</f>
        <v>Thực phẩm &amp; Đồ uống</v>
      </c>
      <c r="E489" s="265" t="str">
        <f>IFERROR(__xludf.DUMMYFUNCTION("""COMPUTED_VALUE"""),"HoaNTM")</f>
        <v>HoaNTM</v>
      </c>
      <c r="F489" s="265" t="str">
        <f>IFERROR(__xludf.DUMMYFUNCTION("""COMPUTED_VALUE"""),"Sale chưa cung cấp")</f>
        <v>Sale chưa cung cấp</v>
      </c>
      <c r="G489" s="265" t="str">
        <f>IFERROR(__xludf.DUMMYFUNCTION("""COMPUTED_VALUE"""),"Enterprise")</f>
        <v>Enterprise</v>
      </c>
      <c r="H489" s="265" t="str">
        <f>IFERROR(__xludf.DUMMYFUNCTION("""COMPUTED_VALUE"""),"Trả sau")</f>
        <v>Trả sau</v>
      </c>
      <c r="I489" s="265" t="str">
        <f>IFERROR(__xludf.DUMMYFUNCTION("""COMPUTED_VALUE"""),"API &amp; Portal")</f>
        <v>API &amp; Portal</v>
      </c>
      <c r="J489" s="265" t="str">
        <f>IFERROR(__xludf.DUMMYFUNCTION("""COMPUTED_VALUE"""),"(Chưa recheck)")</f>
        <v>(Chưa recheck)</v>
      </c>
      <c r="K489" s="265" t="str">
        <f>IFERROR(__xludf.DUMMYFUNCTION("""COMPUTED_VALUE"""),"TuVTC")</f>
        <v>TuVTC</v>
      </c>
    </row>
    <row r="490">
      <c r="A490" s="265" t="str">
        <f>IFERROR(__xludf.DUMMYFUNCTION("""COMPUTED_VALUE"""),"762")</f>
        <v>762</v>
      </c>
      <c r="B490" s="265" t="str">
        <f>IFERROR(__xludf.DUMMYFUNCTION("""COMPUTED_VALUE"""),"Sài Gòn")</f>
        <v>Sài Gòn</v>
      </c>
      <c r="C490" s="265" t="str">
        <f>IFERROR(__xludf.DUMMYFUNCTION("""COMPUTED_VALUE"""),"Locked")</f>
        <v>Locked</v>
      </c>
      <c r="D490" s="265" t="str">
        <f>IFERROR(__xludf.DUMMYFUNCTION("""COMPUTED_VALUE"""),"Thực phẩm &amp; Đồ uống")</f>
        <v>Thực phẩm &amp; Đồ uống</v>
      </c>
      <c r="E490" s="265" t="str">
        <f>IFERROR(__xludf.DUMMYFUNCTION("""COMPUTED_VALUE"""),"HoaNTM")</f>
        <v>HoaNTM</v>
      </c>
      <c r="F490" s="265" t="str">
        <f>IFERROR(__xludf.DUMMYFUNCTION("""COMPUTED_VALUE"""),"Sale chưa cung cấp")</f>
        <v>Sale chưa cung cấp</v>
      </c>
      <c r="G490" s="265" t="str">
        <f>IFERROR(__xludf.DUMMYFUNCTION("""COMPUTED_VALUE"""),"Enterprise")</f>
        <v>Enterprise</v>
      </c>
      <c r="H490" s="265" t="str">
        <f>IFERROR(__xludf.DUMMYFUNCTION("""COMPUTED_VALUE"""),"Trả sau")</f>
        <v>Trả sau</v>
      </c>
      <c r="I490" s="265" t="str">
        <f>IFERROR(__xludf.DUMMYFUNCTION("""COMPUTED_VALUE"""),"API &amp; Portal")</f>
        <v>API &amp; Portal</v>
      </c>
      <c r="J490" s="265" t="str">
        <f>IFERROR(__xludf.DUMMYFUNCTION("""COMPUTED_VALUE"""),"(Chưa recheck)")</f>
        <v>(Chưa recheck)</v>
      </c>
      <c r="K490" s="265" t="str">
        <f>IFERROR(__xludf.DUMMYFUNCTION("""COMPUTED_VALUE"""),"LinhNTT1")</f>
        <v>LinhNTT1</v>
      </c>
    </row>
    <row r="491">
      <c r="A491" s="265" t="str">
        <f>IFERROR(__xludf.DUMMYFUNCTION("""COMPUTED_VALUE"""),"749")</f>
        <v>749</v>
      </c>
      <c r="B491" s="265" t="str">
        <f>IFERROR(__xludf.DUMMYFUNCTION("""COMPUTED_VALUE"""),"Sài Gòn")</f>
        <v>Sài Gòn</v>
      </c>
      <c r="C491" s="265" t="str">
        <f>IFERROR(__xludf.DUMMYFUNCTION("""COMPUTED_VALUE"""),"Active")</f>
        <v>Active</v>
      </c>
      <c r="D491" s="265" t="str">
        <f>IFERROR(__xludf.DUMMYFUNCTION("""COMPUTED_VALUE"""),"Vận tải &amp; logistics")</f>
        <v>Vận tải &amp; logistics</v>
      </c>
      <c r="E491" s="265" t="str">
        <f>IFERROR(__xludf.DUMMYFUNCTION("""COMPUTED_VALUE"""),"AnhNM")</f>
        <v>AnhNM</v>
      </c>
      <c r="F491" s="265" t="str">
        <f>IFERROR(__xludf.DUMMYFUNCTION("""COMPUTED_VALUE"""),"Silver")</f>
        <v>Silver</v>
      </c>
      <c r="G491" s="265" t="str">
        <f>IFERROR(__xludf.DUMMYFUNCTION("""COMPUTED_VALUE"""),"Enterprise")</f>
        <v>Enterprise</v>
      </c>
      <c r="H491" s="265" t="str">
        <f>IFERROR(__xludf.DUMMYFUNCTION("""COMPUTED_VALUE"""),"Trả trước")</f>
        <v>Trả trước</v>
      </c>
      <c r="I491" s="265" t="str">
        <f>IFERROR(__xludf.DUMMYFUNCTION("""COMPUTED_VALUE"""),"API &amp; Portal")</f>
        <v>API &amp; Portal</v>
      </c>
      <c r="J491" s="265" t="str">
        <f>IFERROR(__xludf.DUMMYFUNCTION("""COMPUTED_VALUE"""),"File Excel")</f>
        <v>File Excel</v>
      </c>
      <c r="K491" s="265" t="str">
        <f>IFERROR(__xludf.DUMMYFUNCTION("""COMPUTED_VALUE"""),"LinhNTT1")</f>
        <v>LinhNTT1</v>
      </c>
    </row>
    <row r="492">
      <c r="A492" s="265" t="str">
        <f>IFERROR(__xludf.DUMMYFUNCTION("""COMPUTED_VALUE"""),"749")</f>
        <v>749</v>
      </c>
      <c r="B492" s="265" t="str">
        <f>IFERROR(__xludf.DUMMYFUNCTION("""COMPUTED_VALUE"""),"Sài Gòn")</f>
        <v>Sài Gòn</v>
      </c>
      <c r="C492" s="265" t="str">
        <f>IFERROR(__xludf.DUMMYFUNCTION("""COMPUTED_VALUE"""),"Active")</f>
        <v>Active</v>
      </c>
      <c r="D492" s="265" t="str">
        <f>IFERROR(__xludf.DUMMYFUNCTION("""COMPUTED_VALUE"""),"Vận tải &amp; logistics")</f>
        <v>Vận tải &amp; logistics</v>
      </c>
      <c r="E492" s="265" t="str">
        <f>IFERROR(__xludf.DUMMYFUNCTION("""COMPUTED_VALUE"""),"AnhNM")</f>
        <v>AnhNM</v>
      </c>
      <c r="F492" s="265" t="str">
        <f>IFERROR(__xludf.DUMMYFUNCTION("""COMPUTED_VALUE"""),"Silver")</f>
        <v>Silver</v>
      </c>
      <c r="G492" s="265" t="str">
        <f>IFERROR(__xludf.DUMMYFUNCTION("""COMPUTED_VALUE"""),"Enterprise")</f>
        <v>Enterprise</v>
      </c>
      <c r="H492" s="265" t="str">
        <f>IFERROR(__xludf.DUMMYFUNCTION("""COMPUTED_VALUE"""),"Trả trước")</f>
        <v>Trả trước</v>
      </c>
      <c r="I492" s="265" t="str">
        <f>IFERROR(__xludf.DUMMYFUNCTION("""COMPUTED_VALUE"""),"API &amp; Portal")</f>
        <v>API &amp; Portal</v>
      </c>
      <c r="J492" s="265" t="str">
        <f>IFERROR(__xludf.DUMMYFUNCTION("""COMPUTED_VALUE"""),"API")</f>
        <v>API</v>
      </c>
      <c r="K492" s="265" t="str">
        <f>IFERROR(__xludf.DUMMYFUNCTION("""COMPUTED_VALUE"""),"LinhNTT1")</f>
        <v>LinhNTT1</v>
      </c>
    </row>
    <row r="493">
      <c r="A493" s="265" t="str">
        <f>IFERROR(__xludf.DUMMYFUNCTION("""COMPUTED_VALUE"""),"None 6")</f>
        <v>None 6</v>
      </c>
      <c r="B493" s="265" t="str">
        <f>IFERROR(__xludf.DUMMYFUNCTION("""COMPUTED_VALUE"""),"Hà Nội")</f>
        <v>Hà Nội</v>
      </c>
      <c r="C493" s="265" t="str">
        <f>IFERROR(__xludf.DUMMYFUNCTION("""COMPUTED_VALUE"""),"Active")</f>
        <v>Active</v>
      </c>
      <c r="D493" s="265" t="str">
        <f>IFERROR(__xludf.DUMMYFUNCTION("""COMPUTED_VALUE"""),"Công nghệ &amp; Phần mềm")</f>
        <v>Công nghệ &amp; Phần mềm</v>
      </c>
      <c r="E493" s="265" t="str">
        <f>IFERROR(__xludf.DUMMYFUNCTION("""COMPUTED_VALUE"""),"TùngLD")</f>
        <v>TùngLD</v>
      </c>
      <c r="F493" s="265" t="str">
        <f>IFERROR(__xludf.DUMMYFUNCTION("""COMPUTED_VALUE"""),"Diamond")</f>
        <v>Diamond</v>
      </c>
      <c r="G493" s="265" t="str">
        <f>IFERROR(__xludf.DUMMYFUNCTION("""COMPUTED_VALUE"""),"Starter")</f>
        <v>Starter</v>
      </c>
      <c r="H493" s="265" t="str">
        <f>IFERROR(__xludf.DUMMYFUNCTION("""COMPUTED_VALUE"""),"Trả sau")</f>
        <v>Trả sau</v>
      </c>
      <c r="I493" s="265" t="str">
        <f>IFERROR(__xludf.DUMMYFUNCTION("""COMPUTED_VALUE"""),"API")</f>
        <v>API</v>
      </c>
      <c r="J493" s="265" t="str">
        <f>IFERROR(__xludf.DUMMYFUNCTION("""COMPUTED_VALUE"""),"ZCA gửi ZNS")</f>
        <v>ZCA gửi ZNS</v>
      </c>
      <c r="K493" s="265" t="str">
        <f>IFERROR(__xludf.DUMMYFUNCTION("""COMPUTED_VALUE"""),"DungPL")</f>
        <v>DungPL</v>
      </c>
    </row>
    <row r="494">
      <c r="A494" s="265" t="str">
        <f>IFERROR(__xludf.DUMMYFUNCTION("""COMPUTED_VALUE"""),"760")</f>
        <v>760</v>
      </c>
      <c r="B494" s="265" t="str">
        <f>IFERROR(__xludf.DUMMYFUNCTION("""COMPUTED_VALUE"""),"Sài Gòn")</f>
        <v>Sài Gòn</v>
      </c>
      <c r="C494" s="265" t="str">
        <f>IFERROR(__xludf.DUMMYFUNCTION("""COMPUTED_VALUE"""),"Locked")</f>
        <v>Locked</v>
      </c>
      <c r="D494" s="265" t="str">
        <f>IFERROR(__xludf.DUMMYFUNCTION("""COMPUTED_VALUE"""),"Thực phẩm &amp; Đồ uống")</f>
        <v>Thực phẩm &amp; Đồ uống</v>
      </c>
      <c r="E494" s="265" t="str">
        <f>IFERROR(__xludf.DUMMYFUNCTION("""COMPUTED_VALUE"""),"HoaNTM")</f>
        <v>HoaNTM</v>
      </c>
      <c r="F494" s="265" t="str">
        <f>IFERROR(__xludf.DUMMYFUNCTION("""COMPUTED_VALUE"""),"Diamond")</f>
        <v>Diamond</v>
      </c>
      <c r="G494" s="265" t="str">
        <f>IFERROR(__xludf.DUMMYFUNCTION("""COMPUTED_VALUE"""),"MSG")</f>
        <v>MSG</v>
      </c>
      <c r="H494" s="265" t="str">
        <f>IFERROR(__xludf.DUMMYFUNCTION("""COMPUTED_VALUE"""),"Trả trước")</f>
        <v>Trả trước</v>
      </c>
      <c r="I494" s="265" t="str">
        <f>IFERROR(__xludf.DUMMYFUNCTION("""COMPUTED_VALUE"""),"Portal")</f>
        <v>Portal</v>
      </c>
      <c r="J494" s="265" t="str">
        <f>IFERROR(__xludf.DUMMYFUNCTION("""COMPUTED_VALUE"""),"File Excel")</f>
        <v>File Excel</v>
      </c>
      <c r="K494" s="265" t="str">
        <f>IFERROR(__xludf.DUMMYFUNCTION("""COMPUTED_VALUE"""),"TuVTC")</f>
        <v>TuVTC</v>
      </c>
    </row>
    <row r="495">
      <c r="A495" s="265" t="str">
        <f>IFERROR(__xludf.DUMMYFUNCTION("""COMPUTED_VALUE"""),"763")</f>
        <v>763</v>
      </c>
      <c r="B495" s="265" t="str">
        <f>IFERROR(__xludf.DUMMYFUNCTION("""COMPUTED_VALUE"""),"Sài Gòn")</f>
        <v>Sài Gòn</v>
      </c>
      <c r="C495" s="265" t="str">
        <f>IFERROR(__xludf.DUMMYFUNCTION("""COMPUTED_VALUE"""),"Locked")</f>
        <v>Locked</v>
      </c>
      <c r="D495" s="265" t="str">
        <f>IFERROR(__xludf.DUMMYFUNCTION("""COMPUTED_VALUE"""),"Sale chưa cung cấp")</f>
        <v>Sale chưa cung cấp</v>
      </c>
      <c r="E495" s="265" t="str">
        <f>IFERROR(__xludf.DUMMYFUNCTION("""COMPUTED_VALUE"""),"HoaNTM")</f>
        <v>HoaNTM</v>
      </c>
      <c r="F495" s="265" t="str">
        <f>IFERROR(__xludf.DUMMYFUNCTION("""COMPUTED_VALUE"""),"Sale chưa cung cấp")</f>
        <v>Sale chưa cung cấp</v>
      </c>
      <c r="G495" s="265" t="str">
        <f>IFERROR(__xludf.DUMMYFUNCTION("""COMPUTED_VALUE"""),"Starter")</f>
        <v>Starter</v>
      </c>
      <c r="H495" s="265" t="str">
        <f>IFERROR(__xludf.DUMMYFUNCTION("""COMPUTED_VALUE"""),"Trial")</f>
        <v>Trial</v>
      </c>
      <c r="I495" s="265" t="str">
        <f>IFERROR(__xludf.DUMMYFUNCTION("""COMPUTED_VALUE"""),"API &amp; Portal")</f>
        <v>API &amp; Portal</v>
      </c>
      <c r="J495" s="265" t="str">
        <f>IFERROR(__xludf.DUMMYFUNCTION("""COMPUTED_VALUE"""),"(Không recheck)")</f>
        <v>(Không recheck)</v>
      </c>
      <c r="K495" s="265" t="str">
        <f>IFERROR(__xludf.DUMMYFUNCTION("""COMPUTED_VALUE"""),"(Không recheck)")</f>
        <v>(Không recheck)</v>
      </c>
    </row>
    <row r="496">
      <c r="A496" s="265" t="str">
        <f>IFERROR(__xludf.DUMMYFUNCTION("""COMPUTED_VALUE"""),"764")</f>
        <v>764</v>
      </c>
      <c r="B496" s="265" t="str">
        <f>IFERROR(__xludf.DUMMYFUNCTION("""COMPUTED_VALUE"""),"Sài Gòn")</f>
        <v>Sài Gòn</v>
      </c>
      <c r="C496" s="265" t="str">
        <f>IFERROR(__xludf.DUMMYFUNCTION("""COMPUTED_VALUE"""),"Active")</f>
        <v>Active</v>
      </c>
      <c r="D496" s="265" t="str">
        <f>IFERROR(__xludf.DUMMYFUNCTION("""COMPUTED_VALUE"""),"Sale chưa cung cấp")</f>
        <v>Sale chưa cung cấp</v>
      </c>
      <c r="E496" s="265" t="str">
        <f>IFERROR(__xludf.DUMMYFUNCTION("""COMPUTED_VALUE"""),"Không phân công")</f>
        <v>Không phân công</v>
      </c>
      <c r="F496" s="265" t="str">
        <f>IFERROR(__xludf.DUMMYFUNCTION("""COMPUTED_VALUE"""),"Bronze")</f>
        <v>Bronze</v>
      </c>
      <c r="G496" s="265" t="str">
        <f>IFERROR(__xludf.DUMMYFUNCTION("""COMPUTED_VALUE"""),"Starter")</f>
        <v>Starter</v>
      </c>
      <c r="H496" s="265" t="str">
        <f>IFERROR(__xludf.DUMMYFUNCTION("""COMPUTED_VALUE"""),"Trả sau")</f>
        <v>Trả sau</v>
      </c>
      <c r="I496" s="265" t="str">
        <f>IFERROR(__xludf.DUMMYFUNCTION("""COMPUTED_VALUE"""),"API &amp; Portal")</f>
        <v>API &amp; Portal</v>
      </c>
      <c r="J496" s="265" t="str">
        <f>IFERROR(__xludf.DUMMYFUNCTION("""COMPUTED_VALUE"""),"File Excel")</f>
        <v>File Excel</v>
      </c>
      <c r="K496" s="265" t="str">
        <f>IFERROR(__xludf.DUMMYFUNCTION("""COMPUTED_VALUE"""),"LinhNTT1")</f>
        <v>LinhNTT1</v>
      </c>
    </row>
    <row r="497">
      <c r="A497" s="265" t="str">
        <f>IFERROR(__xludf.DUMMYFUNCTION("""COMPUTED_VALUE"""),"765")</f>
        <v>765</v>
      </c>
      <c r="B497" s="265" t="str">
        <f>IFERROR(__xludf.DUMMYFUNCTION("""COMPUTED_VALUE"""),"Sài Gòn")</f>
        <v>Sài Gòn</v>
      </c>
      <c r="C497" s="265" t="str">
        <f>IFERROR(__xludf.DUMMYFUNCTION("""COMPUTED_VALUE"""),"Active")</f>
        <v>Active</v>
      </c>
      <c r="D497" s="265" t="str">
        <f>IFERROR(__xludf.DUMMYFUNCTION("""COMPUTED_VALUE"""),"Du lịch &amp; Lưu trú")</f>
        <v>Du lịch &amp; Lưu trú</v>
      </c>
      <c r="E497" s="265" t="str">
        <f>IFERROR(__xludf.DUMMYFUNCTION("""COMPUTED_VALUE"""),"Không phân công")</f>
        <v>Không phân công</v>
      </c>
      <c r="F497" s="265" t="str">
        <f>IFERROR(__xludf.DUMMYFUNCTION("""COMPUTED_VALUE"""),"Bronze")</f>
        <v>Bronze</v>
      </c>
      <c r="G497" s="265" t="str">
        <f>IFERROR(__xludf.DUMMYFUNCTION("""COMPUTED_VALUE"""),"Starter")</f>
        <v>Starter</v>
      </c>
      <c r="H497" s="265" t="str">
        <f>IFERROR(__xludf.DUMMYFUNCTION("""COMPUTED_VALUE"""),"Trả sau")</f>
        <v>Trả sau</v>
      </c>
      <c r="I497" s="265" t="str">
        <f>IFERROR(__xludf.DUMMYFUNCTION("""COMPUTED_VALUE"""),"Portal")</f>
        <v>Portal</v>
      </c>
      <c r="J497" s="265" t="str">
        <f>IFERROR(__xludf.DUMMYFUNCTION("""COMPUTED_VALUE"""),"File Excel")</f>
        <v>File Excel</v>
      </c>
      <c r="K497" s="265" t="str">
        <f>IFERROR(__xludf.DUMMYFUNCTION("""COMPUTED_VALUE"""),"LinhNTT1")</f>
        <v>LinhNTT1</v>
      </c>
    </row>
    <row r="498">
      <c r="A498" s="265" t="str">
        <f>IFERROR(__xludf.DUMMYFUNCTION("""COMPUTED_VALUE"""),"766")</f>
        <v>766</v>
      </c>
      <c r="B498" s="265" t="str">
        <f>IFERROR(__xludf.DUMMYFUNCTION("""COMPUTED_VALUE"""),"Hà Nội")</f>
        <v>Hà Nội</v>
      </c>
      <c r="C498" s="265" t="str">
        <f>IFERROR(__xludf.DUMMYFUNCTION("""COMPUTED_VALUE"""),"Locked")</f>
        <v>Locked</v>
      </c>
      <c r="D498" s="265" t="str">
        <f>IFERROR(__xludf.DUMMYFUNCTION("""COMPUTED_VALUE"""),"Y tế &amp; Dược phẩm")</f>
        <v>Y tế &amp; Dược phẩm</v>
      </c>
      <c r="E498" s="265" t="str">
        <f>IFERROR(__xludf.DUMMYFUNCTION("""COMPUTED_VALUE"""),"TúPHN")</f>
        <v>TúPHN</v>
      </c>
      <c r="F498" s="265" t="str">
        <f>IFERROR(__xludf.DUMMYFUNCTION("""COMPUTED_VALUE"""),"Silver")</f>
        <v>Silver</v>
      </c>
      <c r="G498" s="265" t="str">
        <f>IFERROR(__xludf.DUMMYFUNCTION("""COMPUTED_VALUE"""),"Standard")</f>
        <v>Standard</v>
      </c>
      <c r="H498" s="265" t="str">
        <f>IFERROR(__xludf.DUMMYFUNCTION("""COMPUTED_VALUE"""),"Trả sau")</f>
        <v>Trả sau</v>
      </c>
      <c r="I498" s="265" t="str">
        <f>IFERROR(__xludf.DUMMYFUNCTION("""COMPUTED_VALUE"""),"API")</f>
        <v>API</v>
      </c>
      <c r="J498" s="265" t="str">
        <f>IFERROR(__xludf.DUMMYFUNCTION("""COMPUTED_VALUE"""),"API")</f>
        <v>API</v>
      </c>
      <c r="K498" s="265" t="str">
        <f>IFERROR(__xludf.DUMMYFUNCTION("""COMPUTED_VALUE"""),"YếnĐH")</f>
        <v>YếnĐH</v>
      </c>
    </row>
    <row r="499">
      <c r="A499" s="265" t="str">
        <f>IFERROR(__xludf.DUMMYFUNCTION("""COMPUTED_VALUE"""),"767")</f>
        <v>767</v>
      </c>
      <c r="B499" s="265" t="str">
        <f>IFERROR(__xludf.DUMMYFUNCTION("""COMPUTED_VALUE"""),"Hà Nội")</f>
        <v>Hà Nội</v>
      </c>
      <c r="C499" s="265" t="str">
        <f>IFERROR(__xludf.DUMMYFUNCTION("""COMPUTED_VALUE"""),"Locked")</f>
        <v>Locked</v>
      </c>
      <c r="D499" s="265" t="str">
        <f>IFERROR(__xludf.DUMMYFUNCTION("""COMPUTED_VALUE"""),"Vận tải &amp; logistics")</f>
        <v>Vận tải &amp; logistics</v>
      </c>
      <c r="E499" s="265" t="str">
        <f>IFERROR(__xludf.DUMMYFUNCTION("""COMPUTED_VALUE"""),"PhươngDTB")</f>
        <v>PhươngDTB</v>
      </c>
      <c r="F499" s="265" t="str">
        <f>IFERROR(__xludf.DUMMYFUNCTION("""COMPUTED_VALUE"""),"Sale chưa cung cấp")</f>
        <v>Sale chưa cung cấp</v>
      </c>
      <c r="G499" s="265" t="str">
        <f>IFERROR(__xludf.DUMMYFUNCTION("""COMPUTED_VALUE"""),"Starter")</f>
        <v>Starter</v>
      </c>
      <c r="H499" s="265" t="str">
        <f>IFERROR(__xludf.DUMMYFUNCTION("""COMPUTED_VALUE"""),"Trả trước")</f>
        <v>Trả trước</v>
      </c>
      <c r="I499" s="265" t="str">
        <f>IFERROR(__xludf.DUMMYFUNCTION("""COMPUTED_VALUE"""),"Portal")</f>
        <v>Portal</v>
      </c>
      <c r="J499" s="265" t="str">
        <f>IFERROR(__xludf.DUMMYFUNCTION("""COMPUTED_VALUE"""),"(Chưa recheck)")</f>
        <v>(Chưa recheck)</v>
      </c>
      <c r="K499" s="265" t="str">
        <f>IFERROR(__xludf.DUMMYFUNCTION("""COMPUTED_VALUE"""),"(Chưa recheck)")</f>
        <v>(Chưa recheck)</v>
      </c>
    </row>
    <row r="500">
      <c r="A500" s="265" t="str">
        <f>IFERROR(__xludf.DUMMYFUNCTION("""COMPUTED_VALUE"""),"769")</f>
        <v>769</v>
      </c>
      <c r="B500" s="265" t="str">
        <f>IFERROR(__xludf.DUMMYFUNCTION("""COMPUTED_VALUE"""),"Hà Nội")</f>
        <v>Hà Nội</v>
      </c>
      <c r="C500" s="265" t="str">
        <f>IFERROR(__xludf.DUMMYFUNCTION("""COMPUTED_VALUE"""),"Locked")</f>
        <v>Locked</v>
      </c>
      <c r="D500" s="265" t="str">
        <f>IFERROR(__xludf.DUMMYFUNCTION("""COMPUTED_VALUE"""),"Công nghệ &amp; Phần mềm")</f>
        <v>Công nghệ &amp; Phần mềm</v>
      </c>
      <c r="E500" s="265" t="str">
        <f>IFERROR(__xludf.DUMMYFUNCTION("""COMPUTED_VALUE"""),"DungDT")</f>
        <v>DungDT</v>
      </c>
      <c r="F500" s="265" t="str">
        <f>IFERROR(__xludf.DUMMYFUNCTION("""COMPUTED_VALUE"""),"Sale chưa cung cấp")</f>
        <v>Sale chưa cung cấp</v>
      </c>
      <c r="G500" s="265" t="str">
        <f>IFERROR(__xludf.DUMMYFUNCTION("""COMPUTED_VALUE"""),"Premium")</f>
        <v>Premium</v>
      </c>
      <c r="H500" s="265" t="str">
        <f>IFERROR(__xludf.DUMMYFUNCTION("""COMPUTED_VALUE"""),"Trial")</f>
        <v>Trial</v>
      </c>
      <c r="I500" s="265" t="str">
        <f>IFERROR(__xludf.DUMMYFUNCTION("""COMPUTED_VALUE"""),"(Không recheck)")</f>
        <v>(Không recheck)</v>
      </c>
      <c r="J500" s="265" t="str">
        <f>IFERROR(__xludf.DUMMYFUNCTION("""COMPUTED_VALUE"""),"(Không recheck)")</f>
        <v>(Không recheck)</v>
      </c>
      <c r="K500" s="265" t="str">
        <f>IFERROR(__xludf.DUMMYFUNCTION("""COMPUTED_VALUE"""),"(Không recheck)")</f>
        <v>(Không recheck)</v>
      </c>
    </row>
    <row r="501">
      <c r="A501" s="265" t="str">
        <f>IFERROR(__xludf.DUMMYFUNCTION("""COMPUTED_VALUE"""),"770")</f>
        <v>770</v>
      </c>
      <c r="B501" s="265" t="str">
        <f>IFERROR(__xludf.DUMMYFUNCTION("""COMPUTED_VALUE"""),"Sài Gòn")</f>
        <v>Sài Gòn</v>
      </c>
      <c r="C501" s="265" t="str">
        <f>IFERROR(__xludf.DUMMYFUNCTION("""COMPUTED_VALUE"""),"Locked")</f>
        <v>Locked</v>
      </c>
      <c r="D501" s="265" t="str">
        <f>IFERROR(__xludf.DUMMYFUNCTION("""COMPUTED_VALUE"""),"Thực phẩm &amp; Đồ uống")</f>
        <v>Thực phẩm &amp; Đồ uống</v>
      </c>
      <c r="E501" s="265" t="str">
        <f>IFERROR(__xludf.DUMMYFUNCTION("""COMPUTED_VALUE"""),"HoaNTM")</f>
        <v>HoaNTM</v>
      </c>
      <c r="F501" s="265" t="str">
        <f>IFERROR(__xludf.DUMMYFUNCTION("""COMPUTED_VALUE"""),"Diamond")</f>
        <v>Diamond</v>
      </c>
      <c r="G501" s="265" t="str">
        <f>IFERROR(__xludf.DUMMYFUNCTION("""COMPUTED_VALUE"""),"Starter")</f>
        <v>Starter</v>
      </c>
      <c r="H501" s="265" t="str">
        <f>IFERROR(__xludf.DUMMYFUNCTION("""COMPUTED_VALUE"""),"Trả sau")</f>
        <v>Trả sau</v>
      </c>
      <c r="I501" s="265" t="str">
        <f>IFERROR(__xludf.DUMMYFUNCTION("""COMPUTED_VALUE"""),"API &amp; Portal")</f>
        <v>API &amp; Portal</v>
      </c>
      <c r="J501" s="265" t="str">
        <f>IFERROR(__xludf.DUMMYFUNCTION("""COMPUTED_VALUE"""),"API")</f>
        <v>API</v>
      </c>
      <c r="K501" s="265" t="str">
        <f>IFERROR(__xludf.DUMMYFUNCTION("""COMPUTED_VALUE"""),"ThanhLT")</f>
        <v>ThanhLT</v>
      </c>
    </row>
    <row r="502">
      <c r="A502" s="265" t="str">
        <f>IFERROR(__xludf.DUMMYFUNCTION("""COMPUTED_VALUE"""),"771")</f>
        <v>771</v>
      </c>
      <c r="B502" s="265" t="str">
        <f>IFERROR(__xludf.DUMMYFUNCTION("""COMPUTED_VALUE"""),"Sài Gòn")</f>
        <v>Sài Gòn</v>
      </c>
      <c r="C502" s="265" t="str">
        <f>IFERROR(__xludf.DUMMYFUNCTION("""COMPUTED_VALUE"""),"Locked")</f>
        <v>Locked</v>
      </c>
      <c r="D502" s="265" t="str">
        <f>IFERROR(__xludf.DUMMYFUNCTION("""COMPUTED_VALUE"""),"Thực phẩm &amp; Đồ uống")</f>
        <v>Thực phẩm &amp; Đồ uống</v>
      </c>
      <c r="E502" s="265" t="str">
        <f>IFERROR(__xludf.DUMMYFUNCTION("""COMPUTED_VALUE"""),"TùngLD")</f>
        <v>TùngLD</v>
      </c>
      <c r="F502" s="265" t="str">
        <f>IFERROR(__xludf.DUMMYFUNCTION("""COMPUTED_VALUE"""),"Gold")</f>
        <v>Gold</v>
      </c>
      <c r="G502" s="265" t="str">
        <f>IFERROR(__xludf.DUMMYFUNCTION("""COMPUTED_VALUE"""),"Premium")</f>
        <v>Premium</v>
      </c>
      <c r="H502" s="265" t="str">
        <f>IFERROR(__xludf.DUMMYFUNCTION("""COMPUTED_VALUE"""),"Trả trước")</f>
        <v>Trả trước</v>
      </c>
      <c r="I502" s="265" t="str">
        <f>IFERROR(__xludf.DUMMYFUNCTION("""COMPUTED_VALUE"""),"API &amp; Portal")</f>
        <v>API &amp; Portal</v>
      </c>
      <c r="J502" s="265" t="str">
        <f>IFERROR(__xludf.DUMMYFUNCTION("""COMPUTED_VALUE"""),"File Excel")</f>
        <v>File Excel</v>
      </c>
      <c r="K502" s="265" t="str">
        <f>IFERROR(__xludf.DUMMYFUNCTION("""COMPUTED_VALUE"""),"AnhNM")</f>
        <v>AnhNM</v>
      </c>
    </row>
    <row r="503">
      <c r="A503" s="265" t="str">
        <f>IFERROR(__xludf.DUMMYFUNCTION("""COMPUTED_VALUE"""),"771")</f>
        <v>771</v>
      </c>
      <c r="B503" s="265" t="str">
        <f>IFERROR(__xludf.DUMMYFUNCTION("""COMPUTED_VALUE"""),"Sài Gòn")</f>
        <v>Sài Gòn</v>
      </c>
      <c r="C503" s="265" t="str">
        <f>IFERROR(__xludf.DUMMYFUNCTION("""COMPUTED_VALUE"""),"Locked")</f>
        <v>Locked</v>
      </c>
      <c r="D503" s="265" t="str">
        <f>IFERROR(__xludf.DUMMYFUNCTION("""COMPUTED_VALUE"""),"Thực phẩm &amp; Đồ uống")</f>
        <v>Thực phẩm &amp; Đồ uống</v>
      </c>
      <c r="E503" s="265" t="str">
        <f>IFERROR(__xludf.DUMMYFUNCTION("""COMPUTED_VALUE"""),"TùngLD")</f>
        <v>TùngLD</v>
      </c>
      <c r="F503" s="265" t="str">
        <f>IFERROR(__xludf.DUMMYFUNCTION("""COMPUTED_VALUE"""),"Gold")</f>
        <v>Gold</v>
      </c>
      <c r="G503" s="265" t="str">
        <f>IFERROR(__xludf.DUMMYFUNCTION("""COMPUTED_VALUE"""),"Premium")</f>
        <v>Premium</v>
      </c>
      <c r="H503" s="265" t="str">
        <f>IFERROR(__xludf.DUMMYFUNCTION("""COMPUTED_VALUE"""),"Trả trước")</f>
        <v>Trả trước</v>
      </c>
      <c r="I503" s="265" t="str">
        <f>IFERROR(__xludf.DUMMYFUNCTION("""COMPUTED_VALUE"""),"API &amp; Portal")</f>
        <v>API &amp; Portal</v>
      </c>
      <c r="J503" s="265" t="str">
        <f>IFERROR(__xludf.DUMMYFUNCTION("""COMPUTED_VALUE"""),"API")</f>
        <v>API</v>
      </c>
      <c r="K503" s="265" t="str">
        <f>IFERROR(__xludf.DUMMYFUNCTION("""COMPUTED_VALUE"""),"AnhNM")</f>
        <v>AnhNM</v>
      </c>
    </row>
    <row r="504">
      <c r="A504" s="265" t="str">
        <f>IFERROR(__xludf.DUMMYFUNCTION("""COMPUTED_VALUE"""),"772")</f>
        <v>772</v>
      </c>
      <c r="B504" s="265" t="str">
        <f>IFERROR(__xludf.DUMMYFUNCTION("""COMPUTED_VALUE"""),"Sài Gòn")</f>
        <v>Sài Gòn</v>
      </c>
      <c r="C504" s="265" t="str">
        <f>IFERROR(__xludf.DUMMYFUNCTION("""COMPUTED_VALUE"""),"Locked")</f>
        <v>Locked</v>
      </c>
      <c r="D504" s="265" t="str">
        <f>IFERROR(__xludf.DUMMYFUNCTION("""COMPUTED_VALUE"""),"Sale chưa cung cấp")</f>
        <v>Sale chưa cung cấp</v>
      </c>
      <c r="E504" s="265" t="str">
        <f>IFERROR(__xludf.DUMMYFUNCTION("""COMPUTED_VALUE"""),"HoaNTM")</f>
        <v>HoaNTM</v>
      </c>
      <c r="F504" s="265" t="str">
        <f>IFERROR(__xludf.DUMMYFUNCTION("""COMPUTED_VALUE"""),"Sale chưa cung cấp")</f>
        <v>Sale chưa cung cấp</v>
      </c>
      <c r="G504" s="265" t="str">
        <f>IFERROR(__xludf.DUMMYFUNCTION("""COMPUTED_VALUE"""),"Premium")</f>
        <v>Premium</v>
      </c>
      <c r="H504" s="265" t="str">
        <f>IFERROR(__xludf.DUMMYFUNCTION("""COMPUTED_VALUE"""),"Trial")</f>
        <v>Trial</v>
      </c>
      <c r="I504" s="265" t="str">
        <f>IFERROR(__xludf.DUMMYFUNCTION("""COMPUTED_VALUE"""),"API &amp; Portal")</f>
        <v>API &amp; Portal</v>
      </c>
      <c r="J504" s="265" t="str">
        <f>IFERROR(__xludf.DUMMYFUNCTION("""COMPUTED_VALUE"""),"File Excel")</f>
        <v>File Excel</v>
      </c>
      <c r="K504" s="265" t="str">
        <f>IFERROR(__xludf.DUMMYFUNCTION("""COMPUTED_VALUE"""),"(Chưa recheck)")</f>
        <v>(Chưa recheck)</v>
      </c>
    </row>
    <row r="505">
      <c r="A505" s="265" t="str">
        <f>IFERROR(__xludf.DUMMYFUNCTION("""COMPUTED_VALUE"""),"772")</f>
        <v>772</v>
      </c>
      <c r="B505" s="265" t="str">
        <f>IFERROR(__xludf.DUMMYFUNCTION("""COMPUTED_VALUE"""),"Sài Gòn")</f>
        <v>Sài Gòn</v>
      </c>
      <c r="C505" s="265" t="str">
        <f>IFERROR(__xludf.DUMMYFUNCTION("""COMPUTED_VALUE"""),"Locked")</f>
        <v>Locked</v>
      </c>
      <c r="D505" s="265" t="str">
        <f>IFERROR(__xludf.DUMMYFUNCTION("""COMPUTED_VALUE"""),"Sale chưa cung cấp")</f>
        <v>Sale chưa cung cấp</v>
      </c>
      <c r="E505" s="265" t="str">
        <f>IFERROR(__xludf.DUMMYFUNCTION("""COMPUTED_VALUE"""),"HoaNTM")</f>
        <v>HoaNTM</v>
      </c>
      <c r="F505" s="265" t="str">
        <f>IFERROR(__xludf.DUMMYFUNCTION("""COMPUTED_VALUE"""),"Sale chưa cung cấp")</f>
        <v>Sale chưa cung cấp</v>
      </c>
      <c r="G505" s="265" t="str">
        <f>IFERROR(__xludf.DUMMYFUNCTION("""COMPUTED_VALUE"""),"Premium")</f>
        <v>Premium</v>
      </c>
      <c r="H505" s="265" t="str">
        <f>IFERROR(__xludf.DUMMYFUNCTION("""COMPUTED_VALUE"""),"Trial")</f>
        <v>Trial</v>
      </c>
      <c r="I505" s="265" t="str">
        <f>IFERROR(__xludf.DUMMYFUNCTION("""COMPUTED_VALUE"""),"API &amp; Portal")</f>
        <v>API &amp; Portal</v>
      </c>
      <c r="J505" s="265" t="str">
        <f>IFERROR(__xludf.DUMMYFUNCTION("""COMPUTED_VALUE"""),"API")</f>
        <v>API</v>
      </c>
      <c r="K505" s="265" t="str">
        <f>IFERROR(__xludf.DUMMYFUNCTION("""COMPUTED_VALUE"""),"(Chưa recheck)")</f>
        <v>(Chưa recheck)</v>
      </c>
    </row>
    <row r="506">
      <c r="A506" s="265" t="str">
        <f>IFERROR(__xludf.DUMMYFUNCTION("""COMPUTED_VALUE"""),"773")</f>
        <v>773</v>
      </c>
      <c r="B506" s="265" t="str">
        <f>IFERROR(__xludf.DUMMYFUNCTION("""COMPUTED_VALUE"""),"Sài Gòn")</f>
        <v>Sài Gòn</v>
      </c>
      <c r="C506" s="265" t="str">
        <f>IFERROR(__xludf.DUMMYFUNCTION("""COMPUTED_VALUE"""),"Locked")</f>
        <v>Locked</v>
      </c>
      <c r="D506" s="265" t="str">
        <f>IFERROR(__xludf.DUMMYFUNCTION("""COMPUTED_VALUE"""),"Thực phẩm &amp; Đồ uống")</f>
        <v>Thực phẩm &amp; Đồ uống</v>
      </c>
      <c r="E506" s="265" t="str">
        <f>IFERROR(__xludf.DUMMYFUNCTION("""COMPUTED_VALUE"""),"Không phân công")</f>
        <v>Không phân công</v>
      </c>
      <c r="F506" s="265" t="str">
        <f>IFERROR(__xludf.DUMMYFUNCTION("""COMPUTED_VALUE"""),"Sale chưa cung cấp")</f>
        <v>Sale chưa cung cấp</v>
      </c>
      <c r="G506" s="265" t="str">
        <f>IFERROR(__xludf.DUMMYFUNCTION("""COMPUTED_VALUE"""),"Starter")</f>
        <v>Starter</v>
      </c>
      <c r="H506" s="265" t="str">
        <f>IFERROR(__xludf.DUMMYFUNCTION("""COMPUTED_VALUE"""),"Trả sau")</f>
        <v>Trả sau</v>
      </c>
      <c r="I506" s="265" t="str">
        <f>IFERROR(__xludf.DUMMYFUNCTION("""COMPUTED_VALUE"""),"Portal")</f>
        <v>Portal</v>
      </c>
      <c r="J506" s="265" t="str">
        <f>IFERROR(__xludf.DUMMYFUNCTION("""COMPUTED_VALUE"""),"File Excel")</f>
        <v>File Excel</v>
      </c>
      <c r="K506" s="265" t="str">
        <f>IFERROR(__xludf.DUMMYFUNCTION("""COMPUTED_VALUE"""),"LinhNTT1")</f>
        <v>LinhNTT1</v>
      </c>
    </row>
    <row r="507">
      <c r="A507" s="265" t="str">
        <f>IFERROR(__xludf.DUMMYFUNCTION("""COMPUTED_VALUE"""),"775")</f>
        <v>775</v>
      </c>
      <c r="B507" s="265" t="str">
        <f>IFERROR(__xludf.DUMMYFUNCTION("""COMPUTED_VALUE"""),"Sài Gòn")</f>
        <v>Sài Gòn</v>
      </c>
      <c r="C507" s="265" t="str">
        <f>IFERROR(__xludf.DUMMYFUNCTION("""COMPUTED_VALUE"""),"Active")</f>
        <v>Active</v>
      </c>
      <c r="D507" s="265" t="str">
        <f>IFERROR(__xludf.DUMMYFUNCTION("""COMPUTED_VALUE"""),"Du lịch &amp; Lưu trú")</f>
        <v>Du lịch &amp; Lưu trú</v>
      </c>
      <c r="E507" s="265" t="str">
        <f>IFERROR(__xludf.DUMMYFUNCTION("""COMPUTED_VALUE"""),"Không phân công")</f>
        <v>Không phân công</v>
      </c>
      <c r="F507" s="265" t="str">
        <f>IFERROR(__xludf.DUMMYFUNCTION("""COMPUTED_VALUE"""),"Bronze")</f>
        <v>Bronze</v>
      </c>
      <c r="G507" s="265" t="str">
        <f>IFERROR(__xludf.DUMMYFUNCTION("""COMPUTED_VALUE"""),"Starter")</f>
        <v>Starter</v>
      </c>
      <c r="H507" s="265" t="str">
        <f>IFERROR(__xludf.DUMMYFUNCTION("""COMPUTED_VALUE"""),"Trả sau")</f>
        <v>Trả sau</v>
      </c>
      <c r="I507" s="265" t="str">
        <f>IFERROR(__xludf.DUMMYFUNCTION("""COMPUTED_VALUE"""),"Portal")</f>
        <v>Portal</v>
      </c>
      <c r="J507" s="265" t="str">
        <f>IFERROR(__xludf.DUMMYFUNCTION("""COMPUTED_VALUE"""),"File Excel")</f>
        <v>File Excel</v>
      </c>
      <c r="K507" s="265" t="str">
        <f>IFERROR(__xludf.DUMMYFUNCTION("""COMPUTED_VALUE"""),"LinhNTT1")</f>
        <v>LinhNTT1</v>
      </c>
    </row>
    <row r="508">
      <c r="A508" s="265" t="str">
        <f>IFERROR(__xludf.DUMMYFUNCTION("""COMPUTED_VALUE"""),"776")</f>
        <v>776</v>
      </c>
      <c r="B508" s="265" t="str">
        <f>IFERROR(__xludf.DUMMYFUNCTION("""COMPUTED_VALUE"""),"Sài Gòn")</f>
        <v>Sài Gòn</v>
      </c>
      <c r="C508" s="265" t="str">
        <f>IFERROR(__xludf.DUMMYFUNCTION("""COMPUTED_VALUE"""),"Active")</f>
        <v>Active</v>
      </c>
      <c r="D508" s="265" t="str">
        <f>IFERROR(__xludf.DUMMYFUNCTION("""COMPUTED_VALUE"""),"Du lịch &amp; Lưu trú")</f>
        <v>Du lịch &amp; Lưu trú</v>
      </c>
      <c r="E508" s="265" t="str">
        <f>IFERROR(__xludf.DUMMYFUNCTION("""COMPUTED_VALUE"""),"Không phân công")</f>
        <v>Không phân công</v>
      </c>
      <c r="F508" s="265" t="str">
        <f>IFERROR(__xludf.DUMMYFUNCTION("""COMPUTED_VALUE"""),"Bronze")</f>
        <v>Bronze</v>
      </c>
      <c r="G508" s="265" t="str">
        <f>IFERROR(__xludf.DUMMYFUNCTION("""COMPUTED_VALUE"""),"Starter")</f>
        <v>Starter</v>
      </c>
      <c r="H508" s="265" t="str">
        <f>IFERROR(__xludf.DUMMYFUNCTION("""COMPUTED_VALUE"""),"Trả sau")</f>
        <v>Trả sau</v>
      </c>
      <c r="I508" s="265" t="str">
        <f>IFERROR(__xludf.DUMMYFUNCTION("""COMPUTED_VALUE"""),"Portal")</f>
        <v>Portal</v>
      </c>
      <c r="J508" s="265" t="str">
        <f>IFERROR(__xludf.DUMMYFUNCTION("""COMPUTED_VALUE"""),"File Excel")</f>
        <v>File Excel</v>
      </c>
      <c r="K508" s="265" t="str">
        <f>IFERROR(__xludf.DUMMYFUNCTION("""COMPUTED_VALUE"""),"LinhNTT1")</f>
        <v>LinhNTT1</v>
      </c>
    </row>
    <row r="509">
      <c r="A509" s="265" t="str">
        <f>IFERROR(__xludf.DUMMYFUNCTION("""COMPUTED_VALUE"""),"777")</f>
        <v>777</v>
      </c>
      <c r="B509" s="265" t="str">
        <f>IFERROR(__xludf.DUMMYFUNCTION("""COMPUTED_VALUE"""),"Hà Nội")</f>
        <v>Hà Nội</v>
      </c>
      <c r="C509" s="265" t="str">
        <f>IFERROR(__xludf.DUMMYFUNCTION("""COMPUTED_VALUE"""),"Locked")</f>
        <v>Locked</v>
      </c>
      <c r="D509" s="265" t="str">
        <f>IFERROR(__xludf.DUMMYFUNCTION("""COMPUTED_VALUE"""),"Dịch vụ khác")</f>
        <v>Dịch vụ khác</v>
      </c>
      <c r="E509" s="265" t="str">
        <f>IFERROR(__xludf.DUMMYFUNCTION("""COMPUTED_VALUE"""),"PhươngDTB")</f>
        <v>PhươngDTB</v>
      </c>
      <c r="F509" s="265" t="str">
        <f>IFERROR(__xludf.DUMMYFUNCTION("""COMPUTED_VALUE"""),"Sale chưa cung cấp")</f>
        <v>Sale chưa cung cấp</v>
      </c>
      <c r="G509" s="265" t="str">
        <f>IFERROR(__xludf.DUMMYFUNCTION("""COMPUTED_VALUE"""),"API")</f>
        <v>API</v>
      </c>
      <c r="H509" s="265" t="str">
        <f>IFERROR(__xludf.DUMMYFUNCTION("""COMPUTED_VALUE"""),"Trial")</f>
        <v>Trial</v>
      </c>
      <c r="I509" s="265" t="str">
        <f>IFERROR(__xludf.DUMMYFUNCTION("""COMPUTED_VALUE"""),"API")</f>
        <v>API</v>
      </c>
      <c r="J509" s="265" t="str">
        <f>IFERROR(__xludf.DUMMYFUNCTION("""COMPUTED_VALUE"""),"(Không recheck)")</f>
        <v>(Không recheck)</v>
      </c>
      <c r="K509" s="265" t="str">
        <f>IFERROR(__xludf.DUMMYFUNCTION("""COMPUTED_VALUE"""),"(Không recheck)")</f>
        <v>(Không recheck)</v>
      </c>
    </row>
    <row r="510">
      <c r="A510" s="265" t="str">
        <f>IFERROR(__xludf.DUMMYFUNCTION("""COMPUTED_VALUE"""),"778")</f>
        <v>778</v>
      </c>
      <c r="B510" s="265" t="str">
        <f>IFERROR(__xludf.DUMMYFUNCTION("""COMPUTED_VALUE"""),"Hà Nội")</f>
        <v>Hà Nội</v>
      </c>
      <c r="C510" s="265" t="str">
        <f>IFERROR(__xludf.DUMMYFUNCTION("""COMPUTED_VALUE"""),"Locked")</f>
        <v>Locked</v>
      </c>
      <c r="D510" s="265" t="str">
        <f>IFERROR(__xludf.DUMMYFUNCTION("""COMPUTED_VALUE"""),"Y tế &amp; Dược phẩm")</f>
        <v>Y tế &amp; Dược phẩm</v>
      </c>
      <c r="E510" s="265" t="str">
        <f>IFERROR(__xludf.DUMMYFUNCTION("""COMPUTED_VALUE"""),"TúPHN")</f>
        <v>TúPHN</v>
      </c>
      <c r="F510" s="265" t="str">
        <f>IFERROR(__xludf.DUMMYFUNCTION("""COMPUTED_VALUE"""),"Bronze")</f>
        <v>Bronze</v>
      </c>
      <c r="G510" s="265" t="str">
        <f>IFERROR(__xludf.DUMMYFUNCTION("""COMPUTED_VALUE"""),"Starter")</f>
        <v>Starter</v>
      </c>
      <c r="H510" s="265" t="str">
        <f>IFERROR(__xludf.DUMMYFUNCTION("""COMPUTED_VALUE"""),"Trả trước")</f>
        <v>Trả trước</v>
      </c>
      <c r="I510" s="265" t="str">
        <f>IFERROR(__xludf.DUMMYFUNCTION("""COMPUTED_VALUE"""),"API &amp; Portal")</f>
        <v>API &amp; Portal</v>
      </c>
      <c r="J510" s="265" t="str">
        <f>IFERROR(__xludf.DUMMYFUNCTION("""COMPUTED_VALUE"""),"File Excel")</f>
        <v>File Excel</v>
      </c>
      <c r="K510" s="265" t="str">
        <f>IFERROR(__xludf.DUMMYFUNCTION("""COMPUTED_VALUE"""),"AnhNM")</f>
        <v>AnhNM</v>
      </c>
    </row>
    <row r="511">
      <c r="A511" s="265" t="str">
        <f>IFERROR(__xludf.DUMMYFUNCTION("""COMPUTED_VALUE"""),"778")</f>
        <v>778</v>
      </c>
      <c r="B511" s="265" t="str">
        <f>IFERROR(__xludf.DUMMYFUNCTION("""COMPUTED_VALUE"""),"Hà Nội")</f>
        <v>Hà Nội</v>
      </c>
      <c r="C511" s="265" t="str">
        <f>IFERROR(__xludf.DUMMYFUNCTION("""COMPUTED_VALUE"""),"Locked")</f>
        <v>Locked</v>
      </c>
      <c r="D511" s="265" t="str">
        <f>IFERROR(__xludf.DUMMYFUNCTION("""COMPUTED_VALUE"""),"Y tế &amp; Dược phẩm")</f>
        <v>Y tế &amp; Dược phẩm</v>
      </c>
      <c r="E511" s="265" t="str">
        <f>IFERROR(__xludf.DUMMYFUNCTION("""COMPUTED_VALUE"""),"TúPHN")</f>
        <v>TúPHN</v>
      </c>
      <c r="F511" s="265" t="str">
        <f>IFERROR(__xludf.DUMMYFUNCTION("""COMPUTED_VALUE"""),"Bronze")</f>
        <v>Bronze</v>
      </c>
      <c r="G511" s="265" t="str">
        <f>IFERROR(__xludf.DUMMYFUNCTION("""COMPUTED_VALUE"""),"Starter")</f>
        <v>Starter</v>
      </c>
      <c r="H511" s="265" t="str">
        <f>IFERROR(__xludf.DUMMYFUNCTION("""COMPUTED_VALUE"""),"Trả trước")</f>
        <v>Trả trước</v>
      </c>
      <c r="I511" s="265" t="str">
        <f>IFERROR(__xludf.DUMMYFUNCTION("""COMPUTED_VALUE"""),"API &amp; Portal")</f>
        <v>API &amp; Portal</v>
      </c>
      <c r="J511" s="265" t="str">
        <f>IFERROR(__xludf.DUMMYFUNCTION("""COMPUTED_VALUE"""),"API")</f>
        <v>API</v>
      </c>
      <c r="K511" s="265" t="str">
        <f>IFERROR(__xludf.DUMMYFUNCTION("""COMPUTED_VALUE"""),"AnhNM")</f>
        <v>AnhNM</v>
      </c>
    </row>
    <row r="512">
      <c r="A512" s="265" t="str">
        <f>IFERROR(__xludf.DUMMYFUNCTION("""COMPUTED_VALUE"""),"781")</f>
        <v>781</v>
      </c>
      <c r="B512" s="265" t="str">
        <f>IFERROR(__xludf.DUMMYFUNCTION("""COMPUTED_VALUE"""),"Sài Gòn")</f>
        <v>Sài Gòn</v>
      </c>
      <c r="C512" s="265" t="str">
        <f>IFERROR(__xludf.DUMMYFUNCTION("""COMPUTED_VALUE"""),"Active")</f>
        <v>Active</v>
      </c>
      <c r="D512" s="265" t="str">
        <f>IFERROR(__xludf.DUMMYFUNCTION("""COMPUTED_VALUE"""),"Giáo dục &amp; Đào tạo")</f>
        <v>Giáo dục &amp; Đào tạo</v>
      </c>
      <c r="E512" s="265" t="str">
        <f>IFERROR(__xludf.DUMMYFUNCTION("""COMPUTED_VALUE"""),"TúPHN")</f>
        <v>TúPHN</v>
      </c>
      <c r="F512" s="265" t="str">
        <f>IFERROR(__xludf.DUMMYFUNCTION("""COMPUTED_VALUE"""),"Silver")</f>
        <v>Silver</v>
      </c>
      <c r="G512" s="265" t="str">
        <f>IFERROR(__xludf.DUMMYFUNCTION("""COMPUTED_VALUE"""),"Starter")</f>
        <v>Starter</v>
      </c>
      <c r="H512" s="265" t="str">
        <f>IFERROR(__xludf.DUMMYFUNCTION("""COMPUTED_VALUE"""),"Trả sau")</f>
        <v>Trả sau</v>
      </c>
      <c r="I512" s="265" t="str">
        <f>IFERROR(__xludf.DUMMYFUNCTION("""COMPUTED_VALUE"""),"API")</f>
        <v>API</v>
      </c>
      <c r="J512" s="265" t="str">
        <f>IFERROR(__xludf.DUMMYFUNCTION("""COMPUTED_VALUE"""),"Bizfly CRM")</f>
        <v>Bizfly CRM</v>
      </c>
      <c r="K512" s="265" t="str">
        <f>IFERROR(__xludf.DUMMYFUNCTION("""COMPUTED_VALUE"""),"LinhNTT1")</f>
        <v>LinhNTT1</v>
      </c>
    </row>
    <row r="513">
      <c r="A513" s="265" t="str">
        <f>IFERROR(__xludf.DUMMYFUNCTION("""COMPUTED_VALUE"""),"678")</f>
        <v>678</v>
      </c>
      <c r="B513" s="265" t="str">
        <f>IFERROR(__xludf.DUMMYFUNCTION("""COMPUTED_VALUE"""),"Hà Nội")</f>
        <v>Hà Nội</v>
      </c>
      <c r="C513" s="265" t="str">
        <f>IFERROR(__xludf.DUMMYFUNCTION("""COMPUTED_VALUE"""),"Locked")</f>
        <v>Locked</v>
      </c>
      <c r="D513" s="265" t="str">
        <f>IFERROR(__xludf.DUMMYFUNCTION("""COMPUTED_VALUE"""),"Giáo dục &amp; Đào tạo")</f>
        <v>Giáo dục &amp; Đào tạo</v>
      </c>
      <c r="E513" s="265" t="str">
        <f>IFERROR(__xludf.DUMMYFUNCTION("""COMPUTED_VALUE"""),"TúPHN")</f>
        <v>TúPHN</v>
      </c>
      <c r="F513" s="265" t="str">
        <f>IFERROR(__xludf.DUMMYFUNCTION("""COMPUTED_VALUE"""),"Bronze")</f>
        <v>Bronze</v>
      </c>
      <c r="G513" s="265" t="str">
        <f>IFERROR(__xludf.DUMMYFUNCTION("""COMPUTED_VALUE"""),"Starter")</f>
        <v>Starter</v>
      </c>
      <c r="H513" s="265" t="str">
        <f>IFERROR(__xludf.DUMMYFUNCTION("""COMPUTED_VALUE"""),"Trả trước")</f>
        <v>Trả trước</v>
      </c>
      <c r="I513" s="265" t="str">
        <f>IFERROR(__xludf.DUMMYFUNCTION("""COMPUTED_VALUE"""),"Portal")</f>
        <v>Portal</v>
      </c>
      <c r="J513" s="265" t="str">
        <f>IFERROR(__xludf.DUMMYFUNCTION("""COMPUTED_VALUE"""),"File Excel")</f>
        <v>File Excel</v>
      </c>
      <c r="K513" s="265" t="str">
        <f>IFERROR(__xludf.DUMMYFUNCTION("""COMPUTED_VALUE"""),"AnhNM")</f>
        <v>AnhNM</v>
      </c>
    </row>
    <row r="514">
      <c r="A514" s="265" t="str">
        <f>IFERROR(__xludf.DUMMYFUNCTION("""COMPUTED_VALUE"""),"782")</f>
        <v>782</v>
      </c>
      <c r="B514" s="265" t="str">
        <f>IFERROR(__xludf.DUMMYFUNCTION("""COMPUTED_VALUE"""),"Sài Gòn")</f>
        <v>Sài Gòn</v>
      </c>
      <c r="C514" s="265" t="str">
        <f>IFERROR(__xludf.DUMMYFUNCTION("""COMPUTED_VALUE"""),"Locked")</f>
        <v>Locked</v>
      </c>
      <c r="D514" s="265" t="str">
        <f>IFERROR(__xludf.DUMMYFUNCTION("""COMPUTED_VALUE"""),"Dịch vụ khác")</f>
        <v>Dịch vụ khác</v>
      </c>
      <c r="E514" s="265" t="str">
        <f>IFERROR(__xludf.DUMMYFUNCTION("""COMPUTED_VALUE"""),"HoaNTM")</f>
        <v>HoaNTM</v>
      </c>
      <c r="F514" s="265" t="str">
        <f>IFERROR(__xludf.DUMMYFUNCTION("""COMPUTED_VALUE"""),"Sale chưa cung cấp")</f>
        <v>Sale chưa cung cấp</v>
      </c>
      <c r="G514" s="265" t="str">
        <f>IFERROR(__xludf.DUMMYFUNCTION("""COMPUTED_VALUE"""),"Enterprise")</f>
        <v>Enterprise</v>
      </c>
      <c r="H514" s="265" t="str">
        <f>IFERROR(__xludf.DUMMYFUNCTION("""COMPUTED_VALUE"""),"Trial")</f>
        <v>Trial</v>
      </c>
      <c r="I514" s="265" t="str">
        <f>IFERROR(__xludf.DUMMYFUNCTION("""COMPUTED_VALUE"""),"API &amp; Portal")</f>
        <v>API &amp; Portal</v>
      </c>
      <c r="J514" s="265" t="str">
        <f>IFERROR(__xludf.DUMMYFUNCTION("""COMPUTED_VALUE"""),"File Excel")</f>
        <v>File Excel</v>
      </c>
      <c r="K514" s="265" t="str">
        <f>IFERROR(__xludf.DUMMYFUNCTION("""COMPUTED_VALUE"""),"(Không recheck)")</f>
        <v>(Không recheck)</v>
      </c>
    </row>
    <row r="515">
      <c r="A515" s="265" t="str">
        <f>IFERROR(__xludf.DUMMYFUNCTION("""COMPUTED_VALUE"""),"782")</f>
        <v>782</v>
      </c>
      <c r="B515" s="265" t="str">
        <f>IFERROR(__xludf.DUMMYFUNCTION("""COMPUTED_VALUE"""),"Sài Gòn")</f>
        <v>Sài Gòn</v>
      </c>
      <c r="C515" s="265" t="str">
        <f>IFERROR(__xludf.DUMMYFUNCTION("""COMPUTED_VALUE"""),"Locked")</f>
        <v>Locked</v>
      </c>
      <c r="D515" s="265" t="str">
        <f>IFERROR(__xludf.DUMMYFUNCTION("""COMPUTED_VALUE"""),"Dịch vụ khác")</f>
        <v>Dịch vụ khác</v>
      </c>
      <c r="E515" s="265" t="str">
        <f>IFERROR(__xludf.DUMMYFUNCTION("""COMPUTED_VALUE"""),"HoaNTM")</f>
        <v>HoaNTM</v>
      </c>
      <c r="F515" s="265" t="str">
        <f>IFERROR(__xludf.DUMMYFUNCTION("""COMPUTED_VALUE"""),"Sale chưa cung cấp")</f>
        <v>Sale chưa cung cấp</v>
      </c>
      <c r="G515" s="265" t="str">
        <f>IFERROR(__xludf.DUMMYFUNCTION("""COMPUTED_VALUE"""),"Enterprise")</f>
        <v>Enterprise</v>
      </c>
      <c r="H515" s="265" t="str">
        <f>IFERROR(__xludf.DUMMYFUNCTION("""COMPUTED_VALUE"""),"Trial")</f>
        <v>Trial</v>
      </c>
      <c r="I515" s="265" t="str">
        <f>IFERROR(__xludf.DUMMYFUNCTION("""COMPUTED_VALUE"""),"API &amp; Portal")</f>
        <v>API &amp; Portal</v>
      </c>
      <c r="J515" s="265" t="str">
        <f>IFERROR(__xludf.DUMMYFUNCTION("""COMPUTED_VALUE"""),"API")</f>
        <v>API</v>
      </c>
      <c r="K515" s="265" t="str">
        <f>IFERROR(__xludf.DUMMYFUNCTION("""COMPUTED_VALUE"""),"(Không recheck)")</f>
        <v>(Không recheck)</v>
      </c>
    </row>
    <row r="516">
      <c r="A516" s="265" t="str">
        <f>IFERROR(__xludf.DUMMYFUNCTION("""COMPUTED_VALUE"""),"783")</f>
        <v>783</v>
      </c>
      <c r="B516" s="265" t="str">
        <f>IFERROR(__xludf.DUMMYFUNCTION("""COMPUTED_VALUE"""),"Hà Nội")</f>
        <v>Hà Nội</v>
      </c>
      <c r="C516" s="265" t="str">
        <f>IFERROR(__xludf.DUMMYFUNCTION("""COMPUTED_VALUE"""),"Locked")</f>
        <v>Locked</v>
      </c>
      <c r="D516" s="265" t="str">
        <f>IFERROR(__xludf.DUMMYFUNCTION("""COMPUTED_VALUE"""),"Sale chưa cung cấp")</f>
        <v>Sale chưa cung cấp</v>
      </c>
      <c r="E516" s="265" t="str">
        <f>IFERROR(__xludf.DUMMYFUNCTION("""COMPUTED_VALUE"""),"PhươngDTB")</f>
        <v>PhươngDTB</v>
      </c>
      <c r="F516" s="265" t="str">
        <f>IFERROR(__xludf.DUMMYFUNCTION("""COMPUTED_VALUE"""),"Sale chưa cung cấp")</f>
        <v>Sale chưa cung cấp</v>
      </c>
      <c r="G516" s="265" t="str">
        <f>IFERROR(__xludf.DUMMYFUNCTION("""COMPUTED_VALUE"""),"API")</f>
        <v>API</v>
      </c>
      <c r="H516" s="265" t="str">
        <f>IFERROR(__xludf.DUMMYFUNCTION("""COMPUTED_VALUE"""),"Trial")</f>
        <v>Trial</v>
      </c>
      <c r="I516" s="265" t="str">
        <f>IFERROR(__xludf.DUMMYFUNCTION("""COMPUTED_VALUE"""),"API")</f>
        <v>API</v>
      </c>
      <c r="J516" s="265" t="str">
        <f>IFERROR(__xludf.DUMMYFUNCTION("""COMPUTED_VALUE"""),"(Không recheck)")</f>
        <v>(Không recheck)</v>
      </c>
      <c r="K516" s="265" t="str">
        <f>IFERROR(__xludf.DUMMYFUNCTION("""COMPUTED_VALUE"""),"(Không recheck)")</f>
        <v>(Không recheck)</v>
      </c>
    </row>
    <row r="517">
      <c r="A517" s="265" t="str">
        <f>IFERROR(__xludf.DUMMYFUNCTION("""COMPUTED_VALUE"""),"784")</f>
        <v>784</v>
      </c>
      <c r="B517" s="265" t="str">
        <f>IFERROR(__xludf.DUMMYFUNCTION("""COMPUTED_VALUE"""),"Sài Gòn")</f>
        <v>Sài Gòn</v>
      </c>
      <c r="C517" s="265" t="str">
        <f>IFERROR(__xludf.DUMMYFUNCTION("""COMPUTED_VALUE"""),"Active")</f>
        <v>Active</v>
      </c>
      <c r="D517" s="265" t="str">
        <f>IFERROR(__xludf.DUMMYFUNCTION("""COMPUTED_VALUE"""),"Dịch vụ khác")</f>
        <v>Dịch vụ khác</v>
      </c>
      <c r="E517" s="265" t="str">
        <f>IFERROR(__xludf.DUMMYFUNCTION("""COMPUTED_VALUE"""),"AnhNM")</f>
        <v>AnhNM</v>
      </c>
      <c r="F517" s="265" t="str">
        <f>IFERROR(__xludf.DUMMYFUNCTION("""COMPUTED_VALUE"""),"Silver")</f>
        <v>Silver</v>
      </c>
      <c r="G517" s="265" t="str">
        <f>IFERROR(__xludf.DUMMYFUNCTION("""COMPUTED_VALUE"""),"Starter")</f>
        <v>Starter</v>
      </c>
      <c r="H517" s="265" t="str">
        <f>IFERROR(__xludf.DUMMYFUNCTION("""COMPUTED_VALUE"""),"Trả sau")</f>
        <v>Trả sau</v>
      </c>
      <c r="I517" s="265" t="str">
        <f>IFERROR(__xludf.DUMMYFUNCTION("""COMPUTED_VALUE"""),"API")</f>
        <v>API</v>
      </c>
      <c r="J517" s="265" t="str">
        <f>IFERROR(__xludf.DUMMYFUNCTION("""COMPUTED_VALUE"""),"API")</f>
        <v>API</v>
      </c>
      <c r="K517" s="265" t="str">
        <f>IFERROR(__xludf.DUMMYFUNCTION("""COMPUTED_VALUE"""),"LinhNTT1")</f>
        <v>LinhNTT1</v>
      </c>
    </row>
    <row r="518">
      <c r="A518" s="265" t="str">
        <f>IFERROR(__xludf.DUMMYFUNCTION("""COMPUTED_VALUE"""),"786")</f>
        <v>786</v>
      </c>
      <c r="B518" s="265" t="str">
        <f>IFERROR(__xludf.DUMMYFUNCTION("""COMPUTED_VALUE"""),"Sài Gòn")</f>
        <v>Sài Gòn</v>
      </c>
      <c r="C518" s="265" t="str">
        <f>IFERROR(__xludf.DUMMYFUNCTION("""COMPUTED_VALUE"""),"Active")</f>
        <v>Active</v>
      </c>
      <c r="D518" s="265" t="str">
        <f>IFERROR(__xludf.DUMMYFUNCTION("""COMPUTED_VALUE"""),"Dịch vụ khác")</f>
        <v>Dịch vụ khác</v>
      </c>
      <c r="E518" s="265" t="str">
        <f>IFERROR(__xludf.DUMMYFUNCTION("""COMPUTED_VALUE"""),"AnhNM")</f>
        <v>AnhNM</v>
      </c>
      <c r="F518" s="265" t="str">
        <f>IFERROR(__xludf.DUMMYFUNCTION("""COMPUTED_VALUE"""),"Bronze")</f>
        <v>Bronze</v>
      </c>
      <c r="G518" s="265" t="str">
        <f>IFERROR(__xludf.DUMMYFUNCTION("""COMPUTED_VALUE"""),"Premium")</f>
        <v>Premium</v>
      </c>
      <c r="H518" s="265" t="str">
        <f>IFERROR(__xludf.DUMMYFUNCTION("""COMPUTED_VALUE"""),"Trả trước")</f>
        <v>Trả trước</v>
      </c>
      <c r="I518" s="265" t="str">
        <f>IFERROR(__xludf.DUMMYFUNCTION("""COMPUTED_VALUE"""),"API")</f>
        <v>API</v>
      </c>
      <c r="J518" s="265" t="str">
        <f>IFERROR(__xludf.DUMMYFUNCTION("""COMPUTED_VALUE"""),"HubSpot")</f>
        <v>HubSpot</v>
      </c>
      <c r="K518" s="265" t="str">
        <f>IFERROR(__xludf.DUMMYFUNCTION("""COMPUTED_VALUE"""),"LinhNTT1")</f>
        <v>LinhNTT1</v>
      </c>
    </row>
    <row r="519">
      <c r="A519" s="265" t="str">
        <f>IFERROR(__xludf.DUMMYFUNCTION("""COMPUTED_VALUE"""),"787")</f>
        <v>787</v>
      </c>
      <c r="B519" s="265" t="str">
        <f>IFERROR(__xludf.DUMMYFUNCTION("""COMPUTED_VALUE"""),"Hà Nội")</f>
        <v>Hà Nội</v>
      </c>
      <c r="C519" s="265" t="str">
        <f>IFERROR(__xludf.DUMMYFUNCTION("""COMPUTED_VALUE"""),"Locked")</f>
        <v>Locked</v>
      </c>
      <c r="D519" s="265" t="str">
        <f>IFERROR(__xludf.DUMMYFUNCTION("""COMPUTED_VALUE"""),"Truyền thông &amp; Giải trí")</f>
        <v>Truyền thông &amp; Giải trí</v>
      </c>
      <c r="E519" s="265" t="str">
        <f>IFERROR(__xludf.DUMMYFUNCTION("""COMPUTED_VALUE"""),"TúPHN")</f>
        <v>TúPHN</v>
      </c>
      <c r="F519" s="265" t="str">
        <f>IFERROR(__xludf.DUMMYFUNCTION("""COMPUTED_VALUE"""),"Gold")</f>
        <v>Gold</v>
      </c>
      <c r="G519" s="265" t="str">
        <f>IFERROR(__xludf.DUMMYFUNCTION("""COMPUTED_VALUE"""),"Starter")</f>
        <v>Starter</v>
      </c>
      <c r="H519" s="265" t="str">
        <f>IFERROR(__xludf.DUMMYFUNCTION("""COMPUTED_VALUE"""),"Trả sau")</f>
        <v>Trả sau</v>
      </c>
      <c r="I519" s="265" t="str">
        <f>IFERROR(__xludf.DUMMYFUNCTION("""COMPUTED_VALUE"""),"API")</f>
        <v>API</v>
      </c>
      <c r="J519" s="265" t="str">
        <f>IFERROR(__xludf.DUMMYFUNCTION("""COMPUTED_VALUE"""),"API")</f>
        <v>API</v>
      </c>
      <c r="K519" s="265" t="str">
        <f>IFERROR(__xludf.DUMMYFUNCTION("""COMPUTED_VALUE"""),"LinhNTT1")</f>
        <v>LinhNTT1</v>
      </c>
    </row>
    <row r="520">
      <c r="A520" s="265" t="str">
        <f>IFERROR(__xludf.DUMMYFUNCTION("""COMPUTED_VALUE"""),"787")</f>
        <v>787</v>
      </c>
      <c r="B520" s="265" t="str">
        <f>IFERROR(__xludf.DUMMYFUNCTION("""COMPUTED_VALUE"""),"Hà Nội")</f>
        <v>Hà Nội</v>
      </c>
      <c r="C520" s="265" t="str">
        <f>IFERROR(__xludf.DUMMYFUNCTION("""COMPUTED_VALUE"""),"Locked")</f>
        <v>Locked</v>
      </c>
      <c r="D520" s="265" t="str">
        <f>IFERROR(__xludf.DUMMYFUNCTION("""COMPUTED_VALUE"""),"Truyền thông &amp; Giải trí")</f>
        <v>Truyền thông &amp; Giải trí</v>
      </c>
      <c r="E520" s="265" t="str">
        <f>IFERROR(__xludf.DUMMYFUNCTION("""COMPUTED_VALUE"""),"TúPHN")</f>
        <v>TúPHN</v>
      </c>
      <c r="F520" s="265" t="str">
        <f>IFERROR(__xludf.DUMMYFUNCTION("""COMPUTED_VALUE"""),"Gold")</f>
        <v>Gold</v>
      </c>
      <c r="G520" s="265" t="str">
        <f>IFERROR(__xludf.DUMMYFUNCTION("""COMPUTED_VALUE"""),"Starter")</f>
        <v>Starter</v>
      </c>
      <c r="H520" s="265" t="str">
        <f>IFERROR(__xludf.DUMMYFUNCTION("""COMPUTED_VALUE"""),"Trả sau")</f>
        <v>Trả sau</v>
      </c>
      <c r="I520" s="265" t="str">
        <f>IFERROR(__xludf.DUMMYFUNCTION("""COMPUTED_VALUE"""),"API")</f>
        <v>API</v>
      </c>
      <c r="J520" s="265" t="str">
        <f>IFERROR(__xludf.DUMMYFUNCTION("""COMPUTED_VALUE"""),"ZCA gửi ZNS")</f>
        <v>ZCA gửi ZNS</v>
      </c>
      <c r="K520" s="265" t="str">
        <f>IFERROR(__xludf.DUMMYFUNCTION("""COMPUTED_VALUE"""),"LinhNTT1")</f>
        <v>LinhNTT1</v>
      </c>
    </row>
    <row r="521">
      <c r="A521" s="265" t="str">
        <f>IFERROR(__xludf.DUMMYFUNCTION("""COMPUTED_VALUE"""),"789")</f>
        <v>789</v>
      </c>
      <c r="B521" s="265" t="str">
        <f>IFERROR(__xludf.DUMMYFUNCTION("""COMPUTED_VALUE"""),"Sài Gòn")</f>
        <v>Sài Gòn</v>
      </c>
      <c r="C521" s="265" t="str">
        <f>IFERROR(__xludf.DUMMYFUNCTION("""COMPUTED_VALUE"""),"Locked")</f>
        <v>Locked</v>
      </c>
      <c r="D521" s="265" t="str">
        <f>IFERROR(__xludf.DUMMYFUNCTION("""COMPUTED_VALUE"""),"Dịch vụ khác")</f>
        <v>Dịch vụ khác</v>
      </c>
      <c r="E521" s="265" t="str">
        <f>IFERROR(__xludf.DUMMYFUNCTION("""COMPUTED_VALUE"""),"PhươngDTB")</f>
        <v>PhươngDTB</v>
      </c>
      <c r="F521" s="265" t="str">
        <f>IFERROR(__xludf.DUMMYFUNCTION("""COMPUTED_VALUE"""),"Sale chưa cung cấp")</f>
        <v>Sale chưa cung cấp</v>
      </c>
      <c r="G521" s="265" t="str">
        <f>IFERROR(__xludf.DUMMYFUNCTION("""COMPUTED_VALUE"""),"Premium")</f>
        <v>Premium</v>
      </c>
      <c r="H521" s="265" t="str">
        <f>IFERROR(__xludf.DUMMYFUNCTION("""COMPUTED_VALUE"""),"Trả trước")</f>
        <v>Trả trước</v>
      </c>
      <c r="I521" s="265" t="str">
        <f>IFERROR(__xludf.DUMMYFUNCTION("""COMPUTED_VALUE"""),"API &amp; Portal")</f>
        <v>API &amp; Portal</v>
      </c>
      <c r="J521" s="265" t="str">
        <f>IFERROR(__xludf.DUMMYFUNCTION("""COMPUTED_VALUE"""),"File Excel")</f>
        <v>File Excel</v>
      </c>
      <c r="K521" s="265" t="str">
        <f>IFERROR(__xludf.DUMMYFUNCTION("""COMPUTED_VALUE"""),"AnhNM")</f>
        <v>AnhNM</v>
      </c>
    </row>
    <row r="522">
      <c r="A522" s="265" t="str">
        <f>IFERROR(__xludf.DUMMYFUNCTION("""COMPUTED_VALUE"""),"790")</f>
        <v>790</v>
      </c>
      <c r="B522" s="265" t="str">
        <f>IFERROR(__xludf.DUMMYFUNCTION("""COMPUTED_VALUE"""),"Hà Nội")</f>
        <v>Hà Nội</v>
      </c>
      <c r="C522" s="265" t="str">
        <f>IFERROR(__xludf.DUMMYFUNCTION("""COMPUTED_VALUE"""),"Locked")</f>
        <v>Locked</v>
      </c>
      <c r="D522" s="265" t="str">
        <f>IFERROR(__xludf.DUMMYFUNCTION("""COMPUTED_VALUE"""),"Mua sắm &amp; Bán lẻ")</f>
        <v>Mua sắm &amp; Bán lẻ</v>
      </c>
      <c r="E522" s="265" t="str">
        <f>IFERROR(__xludf.DUMMYFUNCTION("""COMPUTED_VALUE"""),"TùngLD")</f>
        <v>TùngLD</v>
      </c>
      <c r="F522" s="265" t="str">
        <f>IFERROR(__xludf.DUMMYFUNCTION("""COMPUTED_VALUE"""),"Sale chưa cung cấp")</f>
        <v>Sale chưa cung cấp</v>
      </c>
      <c r="G522" s="265" t="str">
        <f>IFERROR(__xludf.DUMMYFUNCTION("""COMPUTED_VALUE"""),"Premium")</f>
        <v>Premium</v>
      </c>
      <c r="H522" s="265" t="str">
        <f>IFERROR(__xludf.DUMMYFUNCTION("""COMPUTED_VALUE"""),"Trial")</f>
        <v>Trial</v>
      </c>
      <c r="I522" s="265" t="str">
        <f>IFERROR(__xludf.DUMMYFUNCTION("""COMPUTED_VALUE"""),"Portal")</f>
        <v>Portal</v>
      </c>
      <c r="J522" s="265" t="str">
        <f>IFERROR(__xludf.DUMMYFUNCTION("""COMPUTED_VALUE"""),"File Excel")</f>
        <v>File Excel</v>
      </c>
      <c r="K522" s="265" t="str">
        <f>IFERROR(__xludf.DUMMYFUNCTION("""COMPUTED_VALUE"""),"(Không recheck)")</f>
        <v>(Không recheck)</v>
      </c>
    </row>
    <row r="523">
      <c r="A523" s="265" t="str">
        <f>IFERROR(__xludf.DUMMYFUNCTION("""COMPUTED_VALUE"""),"None 4")</f>
        <v>None 4</v>
      </c>
      <c r="B523" s="265" t="str">
        <f>IFERROR(__xludf.DUMMYFUNCTION("""COMPUTED_VALUE"""),"Hà Nội")</f>
        <v>Hà Nội</v>
      </c>
      <c r="C523" s="265" t="str">
        <f>IFERROR(__xludf.DUMMYFUNCTION("""COMPUTED_VALUE"""),"Locked")</f>
        <v>Locked</v>
      </c>
      <c r="D523" s="265" t="str">
        <f>IFERROR(__xludf.DUMMYFUNCTION("""COMPUTED_VALUE"""),"Viễn thông")</f>
        <v>Viễn thông</v>
      </c>
      <c r="E523" s="265" t="str">
        <f>IFERROR(__xludf.DUMMYFUNCTION("""COMPUTED_VALUE"""),"TúPHN")</f>
        <v>TúPHN</v>
      </c>
      <c r="F523" s="265" t="str">
        <f>IFERROR(__xludf.DUMMYFUNCTION("""COMPUTED_VALUE"""),"Gold")</f>
        <v>Gold</v>
      </c>
      <c r="G523" s="265" t="str">
        <f>IFERROR(__xludf.DUMMYFUNCTION("""COMPUTED_VALUE"""),"None")</f>
        <v>None</v>
      </c>
      <c r="H523" s="265" t="str">
        <f>IFERROR(__xludf.DUMMYFUNCTION("""COMPUTED_VALUE"""),"Trả sau")</f>
        <v>Trả sau</v>
      </c>
      <c r="I523" s="265" t="str">
        <f>IFERROR(__xludf.DUMMYFUNCTION("""COMPUTED_VALUE"""),"API")</f>
        <v>API</v>
      </c>
      <c r="J523" s="265" t="str">
        <f>IFERROR(__xludf.DUMMYFUNCTION("""COMPUTED_VALUE"""),"ZCA gửi ZNS")</f>
        <v>ZCA gửi ZNS</v>
      </c>
      <c r="K523" s="265" t="str">
        <f>IFERROR(__xludf.DUMMYFUNCTION("""COMPUTED_VALUE"""),"AnhNM")</f>
        <v>AnhNM</v>
      </c>
    </row>
    <row r="524">
      <c r="A524" s="265" t="str">
        <f>IFERROR(__xludf.DUMMYFUNCTION("""COMPUTED_VALUE"""),"793")</f>
        <v>793</v>
      </c>
      <c r="B524" s="265" t="str">
        <f>IFERROR(__xludf.DUMMYFUNCTION("""COMPUTED_VALUE"""),"Hà Nội")</f>
        <v>Hà Nội</v>
      </c>
      <c r="C524" s="265" t="str">
        <f>IFERROR(__xludf.DUMMYFUNCTION("""COMPUTED_VALUE"""),"Locked")</f>
        <v>Locked</v>
      </c>
      <c r="D524" s="265" t="str">
        <f>IFERROR(__xludf.DUMMYFUNCTION("""COMPUTED_VALUE"""),"Mua sắm &amp; Bán lẻ")</f>
        <v>Mua sắm &amp; Bán lẻ</v>
      </c>
      <c r="E524" s="265" t="str">
        <f>IFERROR(__xludf.DUMMYFUNCTION("""COMPUTED_VALUE"""),"TùngLD")</f>
        <v>TùngLD</v>
      </c>
      <c r="F524" s="265" t="str">
        <f>IFERROR(__xludf.DUMMYFUNCTION("""COMPUTED_VALUE"""),"Bronze")</f>
        <v>Bronze</v>
      </c>
      <c r="G524" s="265" t="str">
        <f>IFERROR(__xludf.DUMMYFUNCTION("""COMPUTED_VALUE"""),"Starter")</f>
        <v>Starter</v>
      </c>
      <c r="H524" s="265" t="str">
        <f>IFERROR(__xludf.DUMMYFUNCTION("""COMPUTED_VALUE"""),"Trả trước")</f>
        <v>Trả trước</v>
      </c>
      <c r="I524" s="265" t="str">
        <f>IFERROR(__xludf.DUMMYFUNCTION("""COMPUTED_VALUE"""),"Portal")</f>
        <v>Portal</v>
      </c>
      <c r="J524" s="265" t="str">
        <f>IFERROR(__xludf.DUMMYFUNCTION("""COMPUTED_VALUE"""),"File Excel")</f>
        <v>File Excel</v>
      </c>
      <c r="K524" s="265" t="str">
        <f>IFERROR(__xludf.DUMMYFUNCTION("""COMPUTED_VALUE"""),"LinhNTT1")</f>
        <v>LinhNTT1</v>
      </c>
    </row>
    <row r="525">
      <c r="A525" s="265" t="str">
        <f>IFERROR(__xludf.DUMMYFUNCTION("""COMPUTED_VALUE"""),"792")</f>
        <v>792</v>
      </c>
      <c r="B525" s="265" t="str">
        <f>IFERROR(__xludf.DUMMYFUNCTION("""COMPUTED_VALUE"""),"Hà Nội")</f>
        <v>Hà Nội</v>
      </c>
      <c r="C525" s="265" t="str">
        <f>IFERROR(__xludf.DUMMYFUNCTION("""COMPUTED_VALUE"""),"Locked")</f>
        <v>Locked</v>
      </c>
      <c r="D525" s="265" t="str">
        <f>IFERROR(__xludf.DUMMYFUNCTION("""COMPUTED_VALUE"""),"Công nghệ &amp; Phần mềm")</f>
        <v>Công nghệ &amp; Phần mềm</v>
      </c>
      <c r="E525" s="265" t="str">
        <f>IFERROR(__xludf.DUMMYFUNCTION("""COMPUTED_VALUE"""),"TúPHN")</f>
        <v>TúPHN</v>
      </c>
      <c r="F525" s="265" t="str">
        <f>IFERROR(__xludf.DUMMYFUNCTION("""COMPUTED_VALUE"""),"Sale chưa cung cấp")</f>
        <v>Sale chưa cung cấp</v>
      </c>
      <c r="G525" s="265" t="str">
        <f>IFERROR(__xludf.DUMMYFUNCTION("""COMPUTED_VALUE"""),"Premium")</f>
        <v>Premium</v>
      </c>
      <c r="H525" s="265" t="str">
        <f>IFERROR(__xludf.DUMMYFUNCTION("""COMPUTED_VALUE"""),"Trial")</f>
        <v>Trial</v>
      </c>
      <c r="I525" s="265" t="str">
        <f>IFERROR(__xludf.DUMMYFUNCTION("""COMPUTED_VALUE"""),"Portal")</f>
        <v>Portal</v>
      </c>
      <c r="J525" s="265" t="str">
        <f>IFERROR(__xludf.DUMMYFUNCTION("""COMPUTED_VALUE"""),"File Excel")</f>
        <v>File Excel</v>
      </c>
      <c r="K525" s="265" t="str">
        <f>IFERROR(__xludf.DUMMYFUNCTION("""COMPUTED_VALUE"""),"(Không recheck)")</f>
        <v>(Không recheck)</v>
      </c>
    </row>
    <row r="526">
      <c r="A526" s="265" t="str">
        <f>IFERROR(__xludf.DUMMYFUNCTION("""COMPUTED_VALUE"""),"796")</f>
        <v>796</v>
      </c>
      <c r="B526" s="265" t="str">
        <f>IFERROR(__xludf.DUMMYFUNCTION("""COMPUTED_VALUE"""),"Hà Nội")</f>
        <v>Hà Nội</v>
      </c>
      <c r="C526" s="265" t="str">
        <f>IFERROR(__xludf.DUMMYFUNCTION("""COMPUTED_VALUE"""),"Locked")</f>
        <v>Locked</v>
      </c>
      <c r="D526" s="265" t="str">
        <f>IFERROR(__xludf.DUMMYFUNCTION("""COMPUTED_VALUE"""),"Ô tô &amp; Xe máy")</f>
        <v>Ô tô &amp; Xe máy</v>
      </c>
      <c r="E526" s="265" t="str">
        <f>IFERROR(__xludf.DUMMYFUNCTION("""COMPUTED_VALUE"""),"TúPHN")</f>
        <v>TúPHN</v>
      </c>
      <c r="F526" s="265" t="str">
        <f>IFERROR(__xludf.DUMMYFUNCTION("""COMPUTED_VALUE"""),"Diamond")</f>
        <v>Diamond</v>
      </c>
      <c r="G526" s="265" t="str">
        <f>IFERROR(__xludf.DUMMYFUNCTION("""COMPUTED_VALUE"""),"Enterprise")</f>
        <v>Enterprise</v>
      </c>
      <c r="H526" s="265" t="str">
        <f>IFERROR(__xludf.DUMMYFUNCTION("""COMPUTED_VALUE"""),"Trial")</f>
        <v>Trial</v>
      </c>
      <c r="I526" s="265" t="str">
        <f>IFERROR(__xludf.DUMMYFUNCTION("""COMPUTED_VALUE"""),"API")</f>
        <v>API</v>
      </c>
      <c r="J526" s="265" t="str">
        <f>IFERROR(__xludf.DUMMYFUNCTION("""COMPUTED_VALUE"""),"API")</f>
        <v>API</v>
      </c>
      <c r="K526" s="265" t="str">
        <f>IFERROR(__xludf.DUMMYFUNCTION("""COMPUTED_VALUE"""),"LinhNTT1")</f>
        <v>LinhNTT1</v>
      </c>
    </row>
    <row r="527">
      <c r="A527" s="265" t="str">
        <f>IFERROR(__xludf.DUMMYFUNCTION("""COMPUTED_VALUE"""),"795")</f>
        <v>795</v>
      </c>
      <c r="B527" s="265" t="str">
        <f>IFERROR(__xludf.DUMMYFUNCTION("""COMPUTED_VALUE"""),"Sài Gòn")</f>
        <v>Sài Gòn</v>
      </c>
      <c r="C527" s="265" t="str">
        <f>IFERROR(__xludf.DUMMYFUNCTION("""COMPUTED_VALUE"""),"Locked")</f>
        <v>Locked</v>
      </c>
      <c r="D527" s="265" t="str">
        <f>IFERROR(__xludf.DUMMYFUNCTION("""COMPUTED_VALUE"""),"Công nghệ &amp; Phần mềm")</f>
        <v>Công nghệ &amp; Phần mềm</v>
      </c>
      <c r="E527" s="265" t="str">
        <f>IFERROR(__xludf.DUMMYFUNCTION("""COMPUTED_VALUE"""),"HoaNTM")</f>
        <v>HoaNTM</v>
      </c>
      <c r="F527" s="265" t="str">
        <f>IFERROR(__xludf.DUMMYFUNCTION("""COMPUTED_VALUE"""),"Sale chưa cung cấp")</f>
        <v>Sale chưa cung cấp</v>
      </c>
      <c r="G527" s="265" t="str">
        <f>IFERROR(__xludf.DUMMYFUNCTION("""COMPUTED_VALUE"""),"Standard")</f>
        <v>Standard</v>
      </c>
      <c r="H527" s="265" t="str">
        <f>IFERROR(__xludf.DUMMYFUNCTION("""COMPUTED_VALUE"""),"Trial")</f>
        <v>Trial</v>
      </c>
      <c r="I527" s="265" t="str">
        <f>IFERROR(__xludf.DUMMYFUNCTION("""COMPUTED_VALUE"""),"API &amp; Portal")</f>
        <v>API &amp; Portal</v>
      </c>
      <c r="J527" s="265" t="str">
        <f>IFERROR(__xludf.DUMMYFUNCTION("""COMPUTED_VALUE"""),"File Excel")</f>
        <v>File Excel</v>
      </c>
      <c r="K527" s="265" t="str">
        <f>IFERROR(__xludf.DUMMYFUNCTION("""COMPUTED_VALUE"""),"Chưa phân công")</f>
        <v>Chưa phân công</v>
      </c>
    </row>
    <row r="528">
      <c r="A528" s="265" t="str">
        <f>IFERROR(__xludf.DUMMYFUNCTION("""COMPUTED_VALUE"""),"795")</f>
        <v>795</v>
      </c>
      <c r="B528" s="265" t="str">
        <f>IFERROR(__xludf.DUMMYFUNCTION("""COMPUTED_VALUE"""),"Sài Gòn")</f>
        <v>Sài Gòn</v>
      </c>
      <c r="C528" s="265" t="str">
        <f>IFERROR(__xludf.DUMMYFUNCTION("""COMPUTED_VALUE"""),"Locked")</f>
        <v>Locked</v>
      </c>
      <c r="D528" s="265" t="str">
        <f>IFERROR(__xludf.DUMMYFUNCTION("""COMPUTED_VALUE"""),"Công nghệ &amp; Phần mềm")</f>
        <v>Công nghệ &amp; Phần mềm</v>
      </c>
      <c r="E528" s="265" t="str">
        <f>IFERROR(__xludf.DUMMYFUNCTION("""COMPUTED_VALUE"""),"HoaNTM")</f>
        <v>HoaNTM</v>
      </c>
      <c r="F528" s="265" t="str">
        <f>IFERROR(__xludf.DUMMYFUNCTION("""COMPUTED_VALUE"""),"Sale chưa cung cấp")</f>
        <v>Sale chưa cung cấp</v>
      </c>
      <c r="G528" s="265" t="str">
        <f>IFERROR(__xludf.DUMMYFUNCTION("""COMPUTED_VALUE"""),"Standard")</f>
        <v>Standard</v>
      </c>
      <c r="H528" s="265" t="str">
        <f>IFERROR(__xludf.DUMMYFUNCTION("""COMPUTED_VALUE"""),"Trial")</f>
        <v>Trial</v>
      </c>
      <c r="I528" s="265" t="str">
        <f>IFERROR(__xludf.DUMMYFUNCTION("""COMPUTED_VALUE"""),"API &amp; Portal")</f>
        <v>API &amp; Portal</v>
      </c>
      <c r="J528" s="265" t="str">
        <f>IFERROR(__xludf.DUMMYFUNCTION("""COMPUTED_VALUE"""),"API")</f>
        <v>API</v>
      </c>
      <c r="K528" s="265" t="str">
        <f>IFERROR(__xludf.DUMMYFUNCTION("""COMPUTED_VALUE"""),"Chưa phân công")</f>
        <v>Chưa phân công</v>
      </c>
    </row>
    <row r="529">
      <c r="A529" s="265" t="str">
        <f>IFERROR(__xludf.DUMMYFUNCTION("""COMPUTED_VALUE"""),"797")</f>
        <v>797</v>
      </c>
      <c r="B529" s="265" t="str">
        <f>IFERROR(__xludf.DUMMYFUNCTION("""COMPUTED_VALUE"""),"Hà Nội")</f>
        <v>Hà Nội</v>
      </c>
      <c r="C529" s="265" t="str">
        <f>IFERROR(__xludf.DUMMYFUNCTION("""COMPUTED_VALUE"""),"Locked")</f>
        <v>Locked</v>
      </c>
      <c r="D529" s="265" t="str">
        <f>IFERROR(__xludf.DUMMYFUNCTION("""COMPUTED_VALUE"""),"Ô tô &amp; Xe máy")</f>
        <v>Ô tô &amp; Xe máy</v>
      </c>
      <c r="E529" s="265" t="str">
        <f>IFERROR(__xludf.DUMMYFUNCTION("""COMPUTED_VALUE"""),"TúPHN")</f>
        <v>TúPHN</v>
      </c>
      <c r="F529" s="265" t="str">
        <f>IFERROR(__xludf.DUMMYFUNCTION("""COMPUTED_VALUE"""),"Silver")</f>
        <v>Silver</v>
      </c>
      <c r="G529" s="265" t="str">
        <f>IFERROR(__xludf.DUMMYFUNCTION("""COMPUTED_VALUE"""),"Starter")</f>
        <v>Starter</v>
      </c>
      <c r="H529" s="265" t="str">
        <f>IFERROR(__xludf.DUMMYFUNCTION("""COMPUTED_VALUE"""),"Trial")</f>
        <v>Trial</v>
      </c>
      <c r="I529" s="265" t="str">
        <f>IFERROR(__xludf.DUMMYFUNCTION("""COMPUTED_VALUE"""),"API")</f>
        <v>API</v>
      </c>
      <c r="J529" s="265" t="str">
        <f>IFERROR(__xludf.DUMMYFUNCTION("""COMPUTED_VALUE"""),"API")</f>
        <v>API</v>
      </c>
      <c r="K529" s="265" t="str">
        <f>IFERROR(__xludf.DUMMYFUNCTION("""COMPUTED_VALUE"""),"(Không recheck)")</f>
        <v>(Không recheck)</v>
      </c>
    </row>
    <row r="530">
      <c r="A530" s="265" t="str">
        <f>IFERROR(__xludf.DUMMYFUNCTION("""COMPUTED_VALUE"""),"798")</f>
        <v>798</v>
      </c>
      <c r="B530" s="265" t="str">
        <f>IFERROR(__xludf.DUMMYFUNCTION("""COMPUTED_VALUE"""),"Hà Nội")</f>
        <v>Hà Nội</v>
      </c>
      <c r="C530" s="265" t="str">
        <f>IFERROR(__xludf.DUMMYFUNCTION("""COMPUTED_VALUE"""),"Active")</f>
        <v>Active</v>
      </c>
      <c r="D530" s="265" t="str">
        <f>IFERROR(__xludf.DUMMYFUNCTION("""COMPUTED_VALUE"""),"Công nghệ &amp; Phần mềm")</f>
        <v>Công nghệ &amp; Phần mềm</v>
      </c>
      <c r="E530" s="265" t="str">
        <f>IFERROR(__xludf.DUMMYFUNCTION("""COMPUTED_VALUE"""),"TùngLD")</f>
        <v>TùngLD</v>
      </c>
      <c r="F530" s="265" t="str">
        <f>IFERROR(__xludf.DUMMYFUNCTION("""COMPUTED_VALUE"""),"Gold")</f>
        <v>Gold</v>
      </c>
      <c r="G530" s="265" t="str">
        <f>IFERROR(__xludf.DUMMYFUNCTION("""COMPUTED_VALUE"""),"Starter")</f>
        <v>Starter</v>
      </c>
      <c r="H530" s="265" t="str">
        <f>IFERROR(__xludf.DUMMYFUNCTION("""COMPUTED_VALUE"""),"Trả sau")</f>
        <v>Trả sau</v>
      </c>
      <c r="I530" s="265" t="str">
        <f>IFERROR(__xludf.DUMMYFUNCTION("""COMPUTED_VALUE"""),"API &amp; Portal")</f>
        <v>API &amp; Portal</v>
      </c>
      <c r="J530" s="265" t="str">
        <f>IFERROR(__xludf.DUMMYFUNCTION("""COMPUTED_VALUE"""),"API")</f>
        <v>API</v>
      </c>
      <c r="K530" s="265" t="str">
        <f>IFERROR(__xludf.DUMMYFUNCTION("""COMPUTED_VALUE"""),"DungPL, DungVT")</f>
        <v>DungPL, DungVT</v>
      </c>
    </row>
    <row r="531">
      <c r="A531" s="265" t="str">
        <f>IFERROR(__xludf.DUMMYFUNCTION("""COMPUTED_VALUE"""),"757")</f>
        <v>757</v>
      </c>
      <c r="B531" s="265" t="str">
        <f>IFERROR(__xludf.DUMMYFUNCTION("""COMPUTED_VALUE"""),"Hà Nội")</f>
        <v>Hà Nội</v>
      </c>
      <c r="C531" s="265" t="str">
        <f>IFERROR(__xludf.DUMMYFUNCTION("""COMPUTED_VALUE"""),"Active")</f>
        <v>Active</v>
      </c>
      <c r="D531" s="265" t="str">
        <f>IFERROR(__xludf.DUMMYFUNCTION("""COMPUTED_VALUE"""),"Vận tải &amp; logistics")</f>
        <v>Vận tải &amp; logistics</v>
      </c>
      <c r="E531" s="265" t="str">
        <f>IFERROR(__xludf.DUMMYFUNCTION("""COMPUTED_VALUE"""),"AnhNM")</f>
        <v>AnhNM</v>
      </c>
      <c r="F531" s="265" t="str">
        <f>IFERROR(__xludf.DUMMYFUNCTION("""COMPUTED_VALUE"""),"Sale chưa cung cấp")</f>
        <v>Sale chưa cung cấp</v>
      </c>
      <c r="G531" s="265" t="str">
        <f>IFERROR(__xludf.DUMMYFUNCTION("""COMPUTED_VALUE"""),"Starter")</f>
        <v>Starter</v>
      </c>
      <c r="H531" s="265" t="str">
        <f>IFERROR(__xludf.DUMMYFUNCTION("""COMPUTED_VALUE"""),"Trả sau")</f>
        <v>Trả sau</v>
      </c>
      <c r="I531" s="265" t="str">
        <f>IFERROR(__xludf.DUMMYFUNCTION("""COMPUTED_VALUE"""),"API")</f>
        <v>API</v>
      </c>
      <c r="J531" s="265" t="str">
        <f>IFERROR(__xludf.DUMMYFUNCTION("""COMPUTED_VALUE"""),"File Excel")</f>
        <v>File Excel</v>
      </c>
      <c r="K531" s="265" t="str">
        <f>IFERROR(__xludf.DUMMYFUNCTION("""COMPUTED_VALUE"""),"DungPL")</f>
        <v>DungPL</v>
      </c>
    </row>
    <row r="532">
      <c r="A532" s="265" t="str">
        <f>IFERROR(__xludf.DUMMYFUNCTION("""COMPUTED_VALUE"""),"757")</f>
        <v>757</v>
      </c>
      <c r="B532" s="265" t="str">
        <f>IFERROR(__xludf.DUMMYFUNCTION("""COMPUTED_VALUE"""),"Hà Nội")</f>
        <v>Hà Nội</v>
      </c>
      <c r="C532" s="265" t="str">
        <f>IFERROR(__xludf.DUMMYFUNCTION("""COMPUTED_VALUE"""),"Active")</f>
        <v>Active</v>
      </c>
      <c r="D532" s="265" t="str">
        <f>IFERROR(__xludf.DUMMYFUNCTION("""COMPUTED_VALUE"""),"Vận tải &amp; logistics")</f>
        <v>Vận tải &amp; logistics</v>
      </c>
      <c r="E532" s="265" t="str">
        <f>IFERROR(__xludf.DUMMYFUNCTION("""COMPUTED_VALUE"""),"AnhNM")</f>
        <v>AnhNM</v>
      </c>
      <c r="F532" s="265" t="str">
        <f>IFERROR(__xludf.DUMMYFUNCTION("""COMPUTED_VALUE"""),"Sale chưa cung cấp")</f>
        <v>Sale chưa cung cấp</v>
      </c>
      <c r="G532" s="265" t="str">
        <f>IFERROR(__xludf.DUMMYFUNCTION("""COMPUTED_VALUE"""),"Starter")</f>
        <v>Starter</v>
      </c>
      <c r="H532" s="265" t="str">
        <f>IFERROR(__xludf.DUMMYFUNCTION("""COMPUTED_VALUE"""),"Trả sau")</f>
        <v>Trả sau</v>
      </c>
      <c r="I532" s="265" t="str">
        <f>IFERROR(__xludf.DUMMYFUNCTION("""COMPUTED_VALUE"""),"API")</f>
        <v>API</v>
      </c>
      <c r="J532" s="265" t="str">
        <f>IFERROR(__xludf.DUMMYFUNCTION("""COMPUTED_VALUE"""),"API")</f>
        <v>API</v>
      </c>
      <c r="K532" s="265" t="str">
        <f>IFERROR(__xludf.DUMMYFUNCTION("""COMPUTED_VALUE"""),"DungPL")</f>
        <v>DungPL</v>
      </c>
    </row>
    <row r="533">
      <c r="A533" s="265" t="str">
        <f>IFERROR(__xludf.DUMMYFUNCTION("""COMPUTED_VALUE"""),"799")</f>
        <v>799</v>
      </c>
      <c r="B533" s="265" t="str">
        <f>IFERROR(__xludf.DUMMYFUNCTION("""COMPUTED_VALUE"""),"Hà Nội")</f>
        <v>Hà Nội</v>
      </c>
      <c r="C533" s="265" t="str">
        <f>IFERROR(__xludf.DUMMYFUNCTION("""COMPUTED_VALUE"""),"Locked")</f>
        <v>Locked</v>
      </c>
      <c r="D533" s="265" t="str">
        <f>IFERROR(__xludf.DUMMYFUNCTION("""COMPUTED_VALUE"""),"Sale chưa cung cấp")</f>
        <v>Sale chưa cung cấp</v>
      </c>
      <c r="E533" s="265" t="str">
        <f>IFERROR(__xludf.DUMMYFUNCTION("""COMPUTED_VALUE"""),"HangNT")</f>
        <v>HangNT</v>
      </c>
      <c r="F533" s="265" t="str">
        <f>IFERROR(__xludf.DUMMYFUNCTION("""COMPUTED_VALUE"""),"Sale chưa cung cấp")</f>
        <v>Sale chưa cung cấp</v>
      </c>
      <c r="G533" s="265" t="str">
        <f>IFERROR(__xludf.DUMMYFUNCTION("""COMPUTED_VALUE"""),"Premium")</f>
        <v>Premium</v>
      </c>
      <c r="H533" s="265" t="str">
        <f>IFERROR(__xludf.DUMMYFUNCTION("""COMPUTED_VALUE"""),"Trial")</f>
        <v>Trial</v>
      </c>
      <c r="I533" s="265" t="str">
        <f>IFERROR(__xludf.DUMMYFUNCTION("""COMPUTED_VALUE"""),"Portal")</f>
        <v>Portal</v>
      </c>
      <c r="J533" s="265" t="str">
        <f>IFERROR(__xludf.DUMMYFUNCTION("""COMPUTED_VALUE"""),"API")</f>
        <v>API</v>
      </c>
      <c r="K533" s="265" t="str">
        <f>IFERROR(__xludf.DUMMYFUNCTION("""COMPUTED_VALUE"""),"AnhNM")</f>
        <v>AnhNM</v>
      </c>
    </row>
    <row r="534">
      <c r="A534" s="265" t="str">
        <f>IFERROR(__xludf.DUMMYFUNCTION("""COMPUTED_VALUE"""),"800")</f>
        <v>800</v>
      </c>
      <c r="B534" s="265" t="str">
        <f>IFERROR(__xludf.DUMMYFUNCTION("""COMPUTED_VALUE"""),"Hà Nội")</f>
        <v>Hà Nội</v>
      </c>
      <c r="C534" s="265" t="str">
        <f>IFERROR(__xludf.DUMMYFUNCTION("""COMPUTED_VALUE"""),"Active")</f>
        <v>Active</v>
      </c>
      <c r="D534" s="265" t="str">
        <f>IFERROR(__xludf.DUMMYFUNCTION("""COMPUTED_VALUE"""),"Vận tải &amp; logistics")</f>
        <v>Vận tải &amp; logistics</v>
      </c>
      <c r="E534" s="265" t="str">
        <f>IFERROR(__xludf.DUMMYFUNCTION("""COMPUTED_VALUE"""),"TúPHN")</f>
        <v>TúPHN</v>
      </c>
      <c r="F534" s="265" t="str">
        <f>IFERROR(__xludf.DUMMYFUNCTION("""COMPUTED_VALUE"""),"Gold")</f>
        <v>Gold</v>
      </c>
      <c r="G534" s="265" t="str">
        <f>IFERROR(__xludf.DUMMYFUNCTION("""COMPUTED_VALUE"""),"Starter")</f>
        <v>Starter</v>
      </c>
      <c r="H534" s="265" t="str">
        <f>IFERROR(__xludf.DUMMYFUNCTION("""COMPUTED_VALUE"""),"Trả sau")</f>
        <v>Trả sau</v>
      </c>
      <c r="I534" s="265" t="str">
        <f>IFERROR(__xludf.DUMMYFUNCTION("""COMPUTED_VALUE"""),"API &amp; Portal")</f>
        <v>API &amp; Portal</v>
      </c>
      <c r="J534" s="265" t="str">
        <f>IFERROR(__xludf.DUMMYFUNCTION("""COMPUTED_VALUE"""),"File Excel")</f>
        <v>File Excel</v>
      </c>
      <c r="K534" s="265" t="str">
        <f>IFERROR(__xludf.DUMMYFUNCTION("""COMPUTED_VALUE"""),"DungPL")</f>
        <v>DungPL</v>
      </c>
    </row>
    <row r="535">
      <c r="A535" s="265" t="str">
        <f>IFERROR(__xludf.DUMMYFUNCTION("""COMPUTED_VALUE"""),"800")</f>
        <v>800</v>
      </c>
      <c r="B535" s="265" t="str">
        <f>IFERROR(__xludf.DUMMYFUNCTION("""COMPUTED_VALUE"""),"Hà Nội")</f>
        <v>Hà Nội</v>
      </c>
      <c r="C535" s="265" t="str">
        <f>IFERROR(__xludf.DUMMYFUNCTION("""COMPUTED_VALUE"""),"Active")</f>
        <v>Active</v>
      </c>
      <c r="D535" s="265" t="str">
        <f>IFERROR(__xludf.DUMMYFUNCTION("""COMPUTED_VALUE"""),"Vận tải &amp; logistics")</f>
        <v>Vận tải &amp; logistics</v>
      </c>
      <c r="E535" s="265" t="str">
        <f>IFERROR(__xludf.DUMMYFUNCTION("""COMPUTED_VALUE"""),"TúPHN")</f>
        <v>TúPHN</v>
      </c>
      <c r="F535" s="265" t="str">
        <f>IFERROR(__xludf.DUMMYFUNCTION("""COMPUTED_VALUE"""),"Gold")</f>
        <v>Gold</v>
      </c>
      <c r="G535" s="265" t="str">
        <f>IFERROR(__xludf.DUMMYFUNCTION("""COMPUTED_VALUE"""),"Starter")</f>
        <v>Starter</v>
      </c>
      <c r="H535" s="265" t="str">
        <f>IFERROR(__xludf.DUMMYFUNCTION("""COMPUTED_VALUE"""),"Trả sau")</f>
        <v>Trả sau</v>
      </c>
      <c r="I535" s="265" t="str">
        <f>IFERROR(__xludf.DUMMYFUNCTION("""COMPUTED_VALUE"""),"API &amp; Portal")</f>
        <v>API &amp; Portal</v>
      </c>
      <c r="J535" s="265" t="str">
        <f>IFERROR(__xludf.DUMMYFUNCTION("""COMPUTED_VALUE"""),"API")</f>
        <v>API</v>
      </c>
      <c r="K535" s="265" t="str">
        <f>IFERROR(__xludf.DUMMYFUNCTION("""COMPUTED_VALUE"""),"DungPL")</f>
        <v>DungPL</v>
      </c>
    </row>
    <row r="536">
      <c r="A536" s="265" t="str">
        <f>IFERROR(__xludf.DUMMYFUNCTION("""COMPUTED_VALUE"""),"802")</f>
        <v>802</v>
      </c>
      <c r="B536" s="265" t="str">
        <f>IFERROR(__xludf.DUMMYFUNCTION("""COMPUTED_VALUE"""),"Sài Gòn")</f>
        <v>Sài Gòn</v>
      </c>
      <c r="C536" s="265" t="str">
        <f>IFERROR(__xludf.DUMMYFUNCTION("""COMPUTED_VALUE"""),"Active")</f>
        <v>Active</v>
      </c>
      <c r="D536" s="265" t="str">
        <f>IFERROR(__xludf.DUMMYFUNCTION("""COMPUTED_VALUE"""),"Dịch vụ khác")</f>
        <v>Dịch vụ khác</v>
      </c>
      <c r="E536" s="265" t="str">
        <f>IFERROR(__xludf.DUMMYFUNCTION("""COMPUTED_VALUE"""),"TúPHN")</f>
        <v>TúPHN</v>
      </c>
      <c r="F536" s="265" t="str">
        <f>IFERROR(__xludf.DUMMYFUNCTION("""COMPUTED_VALUE"""),"Silver")</f>
        <v>Silver</v>
      </c>
      <c r="G536" s="265" t="str">
        <f>IFERROR(__xludf.DUMMYFUNCTION("""COMPUTED_VALUE"""),"Standard")</f>
        <v>Standard</v>
      </c>
      <c r="H536" s="265" t="str">
        <f>IFERROR(__xludf.DUMMYFUNCTION("""COMPUTED_VALUE"""),"Trả trước")</f>
        <v>Trả trước</v>
      </c>
      <c r="I536" s="265" t="str">
        <f>IFERROR(__xludf.DUMMYFUNCTION("""COMPUTED_VALUE"""),"Portal")</f>
        <v>Portal</v>
      </c>
      <c r="J536" s="265" t="str">
        <f>IFERROR(__xludf.DUMMYFUNCTION("""COMPUTED_VALUE"""),"File Excel")</f>
        <v>File Excel</v>
      </c>
      <c r="K536" s="265" t="str">
        <f>IFERROR(__xludf.DUMMYFUNCTION("""COMPUTED_VALUE"""),"LinhNTT1")</f>
        <v>LinhNTT1</v>
      </c>
    </row>
    <row r="537">
      <c r="A537" s="265" t="str">
        <f>IFERROR(__xludf.DUMMYFUNCTION("""COMPUTED_VALUE"""),"803")</f>
        <v>803</v>
      </c>
      <c r="B537" s="265" t="str">
        <f>IFERROR(__xludf.DUMMYFUNCTION("""COMPUTED_VALUE"""),"Sài Gòn")</f>
        <v>Sài Gòn</v>
      </c>
      <c r="C537" s="265" t="str">
        <f>IFERROR(__xludf.DUMMYFUNCTION("""COMPUTED_VALUE"""),"Locked")</f>
        <v>Locked</v>
      </c>
      <c r="D537" s="265" t="str">
        <f>IFERROR(__xludf.DUMMYFUNCTION("""COMPUTED_VALUE"""),"Thực phẩm &amp; Đồ uống")</f>
        <v>Thực phẩm &amp; Đồ uống</v>
      </c>
      <c r="E537" s="265" t="str">
        <f>IFERROR(__xludf.DUMMYFUNCTION("""COMPUTED_VALUE"""),"HoaNTM")</f>
        <v>HoaNTM</v>
      </c>
      <c r="F537" s="265" t="str">
        <f>IFERROR(__xludf.DUMMYFUNCTION("""COMPUTED_VALUE"""),"Sale chưa cung cấp")</f>
        <v>Sale chưa cung cấp</v>
      </c>
      <c r="G537" s="265" t="str">
        <f>IFERROR(__xludf.DUMMYFUNCTION("""COMPUTED_VALUE"""),"Enterprise")</f>
        <v>Enterprise</v>
      </c>
      <c r="H537" s="265" t="str">
        <f>IFERROR(__xludf.DUMMYFUNCTION("""COMPUTED_VALUE"""),"Trả sau")</f>
        <v>Trả sau</v>
      </c>
      <c r="I537" s="265" t="str">
        <f>IFERROR(__xludf.DUMMYFUNCTION("""COMPUTED_VALUE"""),"Portal")</f>
        <v>Portal</v>
      </c>
      <c r="J537" s="265" t="str">
        <f>IFERROR(__xludf.DUMMYFUNCTION("""COMPUTED_VALUE"""),"File Excel")</f>
        <v>File Excel</v>
      </c>
      <c r="K537" s="265" t="str">
        <f>IFERROR(__xludf.DUMMYFUNCTION("""COMPUTED_VALUE"""),"(Chưa recheck)")</f>
        <v>(Chưa recheck)</v>
      </c>
    </row>
    <row r="538">
      <c r="A538" s="265" t="str">
        <f>IFERROR(__xludf.DUMMYFUNCTION("""COMPUTED_VALUE"""),"804")</f>
        <v>804</v>
      </c>
      <c r="B538" s="265" t="str">
        <f>IFERROR(__xludf.DUMMYFUNCTION("""COMPUTED_VALUE"""),"Sài Gòn")</f>
        <v>Sài Gòn</v>
      </c>
      <c r="C538" s="265" t="str">
        <f>IFERROR(__xludf.DUMMYFUNCTION("""COMPUTED_VALUE"""),"Active")</f>
        <v>Active</v>
      </c>
      <c r="D538" s="265" t="str">
        <f>IFERROR(__xludf.DUMMYFUNCTION("""COMPUTED_VALUE"""),"Mỹ phẩm &amp; Làm đẹp")</f>
        <v>Mỹ phẩm &amp; Làm đẹp</v>
      </c>
      <c r="E538" s="265" t="str">
        <f>IFERROR(__xludf.DUMMYFUNCTION("""COMPUTED_VALUE"""),"TùngLD")</f>
        <v>TùngLD</v>
      </c>
      <c r="F538" s="265" t="str">
        <f>IFERROR(__xludf.DUMMYFUNCTION("""COMPUTED_VALUE"""),"Silver")</f>
        <v>Silver</v>
      </c>
      <c r="G538" s="265" t="str">
        <f>IFERROR(__xludf.DUMMYFUNCTION("""COMPUTED_VALUE"""),"Premium")</f>
        <v>Premium</v>
      </c>
      <c r="H538" s="265" t="str">
        <f>IFERROR(__xludf.DUMMYFUNCTION("""COMPUTED_VALUE"""),"Trả trước")</f>
        <v>Trả trước</v>
      </c>
      <c r="I538" s="265" t="str">
        <f>IFERROR(__xludf.DUMMYFUNCTION("""COMPUTED_VALUE"""),"Portal")</f>
        <v>Portal</v>
      </c>
      <c r="J538" s="265" t="str">
        <f>IFERROR(__xludf.DUMMYFUNCTION("""COMPUTED_VALUE"""),"Haravan")</f>
        <v>Haravan</v>
      </c>
      <c r="K538" s="265" t="str">
        <f>IFERROR(__xludf.DUMMYFUNCTION("""COMPUTED_VALUE"""),"YếnĐH")</f>
        <v>YếnĐH</v>
      </c>
    </row>
    <row r="539">
      <c r="A539" s="265" t="str">
        <f>IFERROR(__xludf.DUMMYFUNCTION("""COMPUTED_VALUE"""),"805")</f>
        <v>805</v>
      </c>
      <c r="B539" s="265" t="str">
        <f>IFERROR(__xludf.DUMMYFUNCTION("""COMPUTED_VALUE"""),"Hà Nội")</f>
        <v>Hà Nội</v>
      </c>
      <c r="C539" s="265" t="str">
        <f>IFERROR(__xludf.DUMMYFUNCTION("""COMPUTED_VALUE"""),"Locked")</f>
        <v>Locked</v>
      </c>
      <c r="D539" s="265" t="str">
        <f>IFERROR(__xludf.DUMMYFUNCTION("""COMPUTED_VALUE"""),"Sale chưa cung cấp")</f>
        <v>Sale chưa cung cấp</v>
      </c>
      <c r="E539" s="265" t="str">
        <f>IFERROR(__xludf.DUMMYFUNCTION("""COMPUTED_VALUE"""),"TùngLD")</f>
        <v>TùngLD</v>
      </c>
      <c r="F539" s="265" t="str">
        <f>IFERROR(__xludf.DUMMYFUNCTION("""COMPUTED_VALUE"""),"Sale chưa cung cấp")</f>
        <v>Sale chưa cung cấp</v>
      </c>
      <c r="G539" s="265" t="str">
        <f>IFERROR(__xludf.DUMMYFUNCTION("""COMPUTED_VALUE"""),"Enterprise")</f>
        <v>Enterprise</v>
      </c>
      <c r="H539" s="265" t="str">
        <f>IFERROR(__xludf.DUMMYFUNCTION("""COMPUTED_VALUE"""),"Trả sau")</f>
        <v>Trả sau</v>
      </c>
      <c r="I539" s="265" t="str">
        <f>IFERROR(__xludf.DUMMYFUNCTION("""COMPUTED_VALUE"""),"Portal")</f>
        <v>Portal</v>
      </c>
      <c r="J539" s="265" t="str">
        <f>IFERROR(__xludf.DUMMYFUNCTION("""COMPUTED_VALUE"""),"File Excel")</f>
        <v>File Excel</v>
      </c>
      <c r="K539" s="265" t="str">
        <f>IFERROR(__xludf.DUMMYFUNCTION("""COMPUTED_VALUE"""),"Không phân công")</f>
        <v>Không phân công</v>
      </c>
    </row>
    <row r="540">
      <c r="A540" s="265" t="str">
        <f>IFERROR(__xludf.DUMMYFUNCTION("""COMPUTED_VALUE"""),"806")</f>
        <v>806</v>
      </c>
      <c r="B540" s="265" t="str">
        <f>IFERROR(__xludf.DUMMYFUNCTION("""COMPUTED_VALUE"""),"Hà Nội")</f>
        <v>Hà Nội</v>
      </c>
      <c r="C540" s="265" t="str">
        <f>IFERROR(__xludf.DUMMYFUNCTION("""COMPUTED_VALUE"""),"Locked")</f>
        <v>Locked</v>
      </c>
      <c r="D540" s="265" t="str">
        <f>IFERROR(__xludf.DUMMYFUNCTION("""COMPUTED_VALUE"""),"Sale chưa cung cấp")</f>
        <v>Sale chưa cung cấp</v>
      </c>
      <c r="E540" s="265" t="str">
        <f>IFERROR(__xludf.DUMMYFUNCTION("""COMPUTED_VALUE"""),"TùngLD")</f>
        <v>TùngLD</v>
      </c>
      <c r="F540" s="265" t="str">
        <f>IFERROR(__xludf.DUMMYFUNCTION("""COMPUTED_VALUE"""),"Sale chưa cung cấp")</f>
        <v>Sale chưa cung cấp</v>
      </c>
      <c r="G540" s="265" t="str">
        <f>IFERROR(__xludf.DUMMYFUNCTION("""COMPUTED_VALUE"""),"Enterprise")</f>
        <v>Enterprise</v>
      </c>
      <c r="H540" s="265" t="str">
        <f>IFERROR(__xludf.DUMMYFUNCTION("""COMPUTED_VALUE"""),"Trả sau")</f>
        <v>Trả sau</v>
      </c>
      <c r="I540" s="265" t="str">
        <f>IFERROR(__xludf.DUMMYFUNCTION("""COMPUTED_VALUE"""),"Portal")</f>
        <v>Portal</v>
      </c>
      <c r="J540" s="265" t="str">
        <f>IFERROR(__xludf.DUMMYFUNCTION("""COMPUTED_VALUE"""),"File Excel")</f>
        <v>File Excel</v>
      </c>
      <c r="K540" s="265" t="str">
        <f>IFERROR(__xludf.DUMMYFUNCTION("""COMPUTED_VALUE"""),"Không phân công")</f>
        <v>Không phân công</v>
      </c>
    </row>
    <row r="541">
      <c r="A541" s="265" t="str">
        <f>IFERROR(__xludf.DUMMYFUNCTION("""COMPUTED_VALUE"""),"808")</f>
        <v>808</v>
      </c>
      <c r="B541" s="265" t="str">
        <f>IFERROR(__xludf.DUMMYFUNCTION("""COMPUTED_VALUE"""),"Sài Gòn")</f>
        <v>Sài Gòn</v>
      </c>
      <c r="C541" s="265" t="str">
        <f>IFERROR(__xludf.DUMMYFUNCTION("""COMPUTED_VALUE"""),"Active")</f>
        <v>Active</v>
      </c>
      <c r="D541" s="265" t="str">
        <f>IFERROR(__xludf.DUMMYFUNCTION("""COMPUTED_VALUE"""),"Truyền thông &amp; Giải trí")</f>
        <v>Truyền thông &amp; Giải trí</v>
      </c>
      <c r="E541" s="265" t="str">
        <f>IFERROR(__xludf.DUMMYFUNCTION("""COMPUTED_VALUE"""),"TúPHN")</f>
        <v>TúPHN</v>
      </c>
      <c r="F541" s="265" t="str">
        <f>IFERROR(__xludf.DUMMYFUNCTION("""COMPUTED_VALUE"""),"Bronze")</f>
        <v>Bronze</v>
      </c>
      <c r="G541" s="265" t="str">
        <f>IFERROR(__xludf.DUMMYFUNCTION("""COMPUTED_VALUE"""),"Starter")</f>
        <v>Starter</v>
      </c>
      <c r="H541" s="265" t="str">
        <f>IFERROR(__xludf.DUMMYFUNCTION("""COMPUTED_VALUE"""),"Trả sau")</f>
        <v>Trả sau</v>
      </c>
      <c r="I541" s="265" t="str">
        <f>IFERROR(__xludf.DUMMYFUNCTION("""COMPUTED_VALUE"""),"API")</f>
        <v>API</v>
      </c>
      <c r="J541" s="265" t="str">
        <f>IFERROR(__xludf.DUMMYFUNCTION("""COMPUTED_VALUE"""),"API")</f>
        <v>API</v>
      </c>
      <c r="K541" s="265" t="str">
        <f>IFERROR(__xludf.DUMMYFUNCTION("""COMPUTED_VALUE"""),"DungPL")</f>
        <v>DungPL</v>
      </c>
    </row>
    <row r="542">
      <c r="A542" s="265" t="str">
        <f>IFERROR(__xludf.DUMMYFUNCTION("""COMPUTED_VALUE"""),"808")</f>
        <v>808</v>
      </c>
      <c r="B542" s="265" t="str">
        <f>IFERROR(__xludf.DUMMYFUNCTION("""COMPUTED_VALUE"""),"Sài Gòn")</f>
        <v>Sài Gòn</v>
      </c>
      <c r="C542" s="265" t="str">
        <f>IFERROR(__xludf.DUMMYFUNCTION("""COMPUTED_VALUE"""),"Active")</f>
        <v>Active</v>
      </c>
      <c r="D542" s="265" t="str">
        <f>IFERROR(__xludf.DUMMYFUNCTION("""COMPUTED_VALUE"""),"Truyền thông &amp; Giải trí")</f>
        <v>Truyền thông &amp; Giải trí</v>
      </c>
      <c r="E542" s="265" t="str">
        <f>IFERROR(__xludf.DUMMYFUNCTION("""COMPUTED_VALUE"""),"TúPHN")</f>
        <v>TúPHN</v>
      </c>
      <c r="F542" s="265" t="str">
        <f>IFERROR(__xludf.DUMMYFUNCTION("""COMPUTED_VALUE"""),"Bronze")</f>
        <v>Bronze</v>
      </c>
      <c r="G542" s="265" t="str">
        <f>IFERROR(__xludf.DUMMYFUNCTION("""COMPUTED_VALUE"""),"Starter")</f>
        <v>Starter</v>
      </c>
      <c r="H542" s="265" t="str">
        <f>IFERROR(__xludf.DUMMYFUNCTION("""COMPUTED_VALUE"""),"Trả sau")</f>
        <v>Trả sau</v>
      </c>
      <c r="I542" s="265" t="str">
        <f>IFERROR(__xludf.DUMMYFUNCTION("""COMPUTED_VALUE"""),"API")</f>
        <v>API</v>
      </c>
      <c r="J542" s="265" t="str">
        <f>IFERROR(__xludf.DUMMYFUNCTION("""COMPUTED_VALUE"""),"ZCA gửi ZNS")</f>
        <v>ZCA gửi ZNS</v>
      </c>
      <c r="K542" s="265" t="str">
        <f>IFERROR(__xludf.DUMMYFUNCTION("""COMPUTED_VALUE"""),"DungPL")</f>
        <v>DungPL</v>
      </c>
    </row>
    <row r="543">
      <c r="A543" s="265" t="str">
        <f>IFERROR(__xludf.DUMMYFUNCTION("""COMPUTED_VALUE"""),"807")</f>
        <v>807</v>
      </c>
      <c r="B543" s="265" t="str">
        <f>IFERROR(__xludf.DUMMYFUNCTION("""COMPUTED_VALUE"""),"Hà Nội")</f>
        <v>Hà Nội</v>
      </c>
      <c r="C543" s="265" t="str">
        <f>IFERROR(__xludf.DUMMYFUNCTION("""COMPUTED_VALUE"""),"Active")</f>
        <v>Active</v>
      </c>
      <c r="D543" s="265" t="str">
        <f>IFERROR(__xludf.DUMMYFUNCTION("""COMPUTED_VALUE"""),"Công nghệ &amp; Phần mềm")</f>
        <v>Công nghệ &amp; Phần mềm</v>
      </c>
      <c r="E543" s="265" t="str">
        <f>IFERROR(__xludf.DUMMYFUNCTION("""COMPUTED_VALUE"""),"Không phân công")</f>
        <v>Không phân công</v>
      </c>
      <c r="F543" s="265" t="str">
        <f>IFERROR(__xludf.DUMMYFUNCTION("""COMPUTED_VALUE"""),"Silver")</f>
        <v>Silver</v>
      </c>
      <c r="G543" s="265" t="str">
        <f>IFERROR(__xludf.DUMMYFUNCTION("""COMPUTED_VALUE"""),"API")</f>
        <v>API</v>
      </c>
      <c r="H543" s="265" t="str">
        <f>IFERROR(__xludf.DUMMYFUNCTION("""COMPUTED_VALUE"""),"Trả sau")</f>
        <v>Trả sau</v>
      </c>
      <c r="I543" s="265" t="str">
        <f>IFERROR(__xludf.DUMMYFUNCTION("""COMPUTED_VALUE"""),"API")</f>
        <v>API</v>
      </c>
      <c r="J543" s="265" t="str">
        <f>IFERROR(__xludf.DUMMYFUNCTION("""COMPUTED_VALUE"""),"API")</f>
        <v>API</v>
      </c>
      <c r="K543" s="265" t="str">
        <f>IFERROR(__xludf.DUMMYFUNCTION("""COMPUTED_VALUE"""),"DungVT")</f>
        <v>DungVT</v>
      </c>
    </row>
    <row r="544">
      <c r="A544" s="265" t="str">
        <f>IFERROR(__xludf.DUMMYFUNCTION("""COMPUTED_VALUE"""),"788")</f>
        <v>788</v>
      </c>
      <c r="B544" s="265" t="str">
        <f>IFERROR(__xludf.DUMMYFUNCTION("""COMPUTED_VALUE"""),"Hà Nội")</f>
        <v>Hà Nội</v>
      </c>
      <c r="C544" s="265" t="str">
        <f>IFERROR(__xludf.DUMMYFUNCTION("""COMPUTED_VALUE"""),"Active")</f>
        <v>Active</v>
      </c>
      <c r="D544" s="265" t="str">
        <f>IFERROR(__xludf.DUMMYFUNCTION("""COMPUTED_VALUE"""),"Mua sắm &amp; Bán lẻ")</f>
        <v>Mua sắm &amp; Bán lẻ</v>
      </c>
      <c r="E544" s="265" t="str">
        <f>IFERROR(__xludf.DUMMYFUNCTION("""COMPUTED_VALUE"""),"TùngLD")</f>
        <v>TùngLD</v>
      </c>
      <c r="F544" s="265" t="str">
        <f>IFERROR(__xludf.DUMMYFUNCTION("""COMPUTED_VALUE"""),"Bronze")</f>
        <v>Bronze</v>
      </c>
      <c r="G544" s="265" t="str">
        <f>IFERROR(__xludf.DUMMYFUNCTION("""COMPUTED_VALUE"""),"Starter")</f>
        <v>Starter</v>
      </c>
      <c r="H544" s="265" t="str">
        <f>IFERROR(__xludf.DUMMYFUNCTION("""COMPUTED_VALUE"""),"Trả sau")</f>
        <v>Trả sau</v>
      </c>
      <c r="I544" s="265" t="str">
        <f>IFERROR(__xludf.DUMMYFUNCTION("""COMPUTED_VALUE"""),"API &amp; Portal")</f>
        <v>API &amp; Portal</v>
      </c>
      <c r="J544" s="265" t="str">
        <f>IFERROR(__xludf.DUMMYFUNCTION("""COMPUTED_VALUE"""),"File Excel")</f>
        <v>File Excel</v>
      </c>
      <c r="K544" s="265" t="str">
        <f>IFERROR(__xludf.DUMMYFUNCTION("""COMPUTED_VALUE"""),"DungPL")</f>
        <v>DungPL</v>
      </c>
    </row>
    <row r="545">
      <c r="A545" s="265" t="str">
        <f>IFERROR(__xludf.DUMMYFUNCTION("""COMPUTED_VALUE"""),"788")</f>
        <v>788</v>
      </c>
      <c r="B545" s="265" t="str">
        <f>IFERROR(__xludf.DUMMYFUNCTION("""COMPUTED_VALUE"""),"Hà Nội")</f>
        <v>Hà Nội</v>
      </c>
      <c r="C545" s="265" t="str">
        <f>IFERROR(__xludf.DUMMYFUNCTION("""COMPUTED_VALUE"""),"Active")</f>
        <v>Active</v>
      </c>
      <c r="D545" s="265" t="str">
        <f>IFERROR(__xludf.DUMMYFUNCTION("""COMPUTED_VALUE"""),"Mua sắm &amp; Bán lẻ")</f>
        <v>Mua sắm &amp; Bán lẻ</v>
      </c>
      <c r="E545" s="265" t="str">
        <f>IFERROR(__xludf.DUMMYFUNCTION("""COMPUTED_VALUE"""),"TùngLD")</f>
        <v>TùngLD</v>
      </c>
      <c r="F545" s="265" t="str">
        <f>IFERROR(__xludf.DUMMYFUNCTION("""COMPUTED_VALUE"""),"Bronze")</f>
        <v>Bronze</v>
      </c>
      <c r="G545" s="265" t="str">
        <f>IFERROR(__xludf.DUMMYFUNCTION("""COMPUTED_VALUE"""),"Starter")</f>
        <v>Starter</v>
      </c>
      <c r="H545" s="265" t="str">
        <f>IFERROR(__xludf.DUMMYFUNCTION("""COMPUTED_VALUE"""),"Trả sau")</f>
        <v>Trả sau</v>
      </c>
      <c r="I545" s="265" t="str">
        <f>IFERROR(__xludf.DUMMYFUNCTION("""COMPUTED_VALUE"""),"API &amp; Portal")</f>
        <v>API &amp; Portal</v>
      </c>
      <c r="J545" s="265" t="str">
        <f>IFERROR(__xludf.DUMMYFUNCTION("""COMPUTED_VALUE"""),"API")</f>
        <v>API</v>
      </c>
      <c r="K545" s="265" t="str">
        <f>IFERROR(__xludf.DUMMYFUNCTION("""COMPUTED_VALUE"""),"DungPL")</f>
        <v>DungPL</v>
      </c>
    </row>
    <row r="546">
      <c r="A546" s="265" t="str">
        <f>IFERROR(__xludf.DUMMYFUNCTION("""COMPUTED_VALUE"""),"809")</f>
        <v>809</v>
      </c>
      <c r="B546" s="265" t="str">
        <f>IFERROR(__xludf.DUMMYFUNCTION("""COMPUTED_VALUE"""),"Hà Nội")</f>
        <v>Hà Nội</v>
      </c>
      <c r="C546" s="265" t="str">
        <f>IFERROR(__xludf.DUMMYFUNCTION("""COMPUTED_VALUE"""),"Locked")</f>
        <v>Locked</v>
      </c>
      <c r="D546" s="265" t="str">
        <f>IFERROR(__xludf.DUMMYFUNCTION("""COMPUTED_VALUE"""),"Sale chưa cung cấp")</f>
        <v>Sale chưa cung cấp</v>
      </c>
      <c r="E546" s="265" t="str">
        <f>IFERROR(__xludf.DUMMYFUNCTION("""COMPUTED_VALUE"""),"TúPHN")</f>
        <v>TúPHN</v>
      </c>
      <c r="F546" s="265" t="str">
        <f>IFERROR(__xludf.DUMMYFUNCTION("""COMPUTED_VALUE"""),"Silver")</f>
        <v>Silver</v>
      </c>
      <c r="G546" s="265" t="str">
        <f>IFERROR(__xludf.DUMMYFUNCTION("""COMPUTED_VALUE"""),"Starter")</f>
        <v>Starter</v>
      </c>
      <c r="H546" s="265" t="str">
        <f>IFERROR(__xludf.DUMMYFUNCTION("""COMPUTED_VALUE"""),"Trial")</f>
        <v>Trial</v>
      </c>
      <c r="I546" s="265" t="str">
        <f>IFERROR(__xludf.DUMMYFUNCTION("""COMPUTED_VALUE"""),"API")</f>
        <v>API</v>
      </c>
      <c r="J546" s="265" t="str">
        <f>IFERROR(__xludf.DUMMYFUNCTION("""COMPUTED_VALUE"""),"API")</f>
        <v>API</v>
      </c>
      <c r="K546" s="265" t="str">
        <f>IFERROR(__xludf.DUMMYFUNCTION("""COMPUTED_VALUE"""),"(Không recheck)")</f>
        <v>(Không recheck)</v>
      </c>
    </row>
    <row r="547">
      <c r="A547" s="265" t="str">
        <f>IFERROR(__xludf.DUMMYFUNCTION("""COMPUTED_VALUE"""),"810")</f>
        <v>810</v>
      </c>
      <c r="B547" s="265" t="str">
        <f>IFERROR(__xludf.DUMMYFUNCTION("""COMPUTED_VALUE"""),"Hà Nội")</f>
        <v>Hà Nội</v>
      </c>
      <c r="C547" s="265" t="str">
        <f>IFERROR(__xludf.DUMMYFUNCTION("""COMPUTED_VALUE"""),"Locked")</f>
        <v>Locked</v>
      </c>
      <c r="D547" s="265" t="str">
        <f>IFERROR(__xludf.DUMMYFUNCTION("""COMPUTED_VALUE"""),"Sale chưa cung cấp")</f>
        <v>Sale chưa cung cấp</v>
      </c>
      <c r="E547" s="265" t="str">
        <f>IFERROR(__xludf.DUMMYFUNCTION("""COMPUTED_VALUE"""),"HangNT")</f>
        <v>HangNT</v>
      </c>
      <c r="F547" s="265" t="str">
        <f>IFERROR(__xludf.DUMMYFUNCTION("""COMPUTED_VALUE"""),"Sale chưa cung cấp")</f>
        <v>Sale chưa cung cấp</v>
      </c>
      <c r="G547" s="265" t="str">
        <f>IFERROR(__xludf.DUMMYFUNCTION("""COMPUTED_VALUE"""),"Starter")</f>
        <v>Starter</v>
      </c>
      <c r="H547" s="265" t="str">
        <f>IFERROR(__xludf.DUMMYFUNCTION("""COMPUTED_VALUE"""),"Trial")</f>
        <v>Trial</v>
      </c>
      <c r="I547" s="265" t="str">
        <f>IFERROR(__xludf.DUMMYFUNCTION("""COMPUTED_VALUE"""),"API")</f>
        <v>API</v>
      </c>
      <c r="J547" s="265" t="str">
        <f>IFERROR(__xludf.DUMMYFUNCTION("""COMPUTED_VALUE"""),"API")</f>
        <v>API</v>
      </c>
      <c r="K547" s="265" t="str">
        <f>IFERROR(__xludf.DUMMYFUNCTION("""COMPUTED_VALUE"""),"(Không recheck)")</f>
        <v>(Không recheck)</v>
      </c>
    </row>
    <row r="548">
      <c r="A548" s="265" t="str">
        <f>IFERROR(__xludf.DUMMYFUNCTION("""COMPUTED_VALUE"""),"811")</f>
        <v>811</v>
      </c>
      <c r="B548" s="265" t="str">
        <f>IFERROR(__xludf.DUMMYFUNCTION("""COMPUTED_VALUE"""),"Hà Nội")</f>
        <v>Hà Nội</v>
      </c>
      <c r="C548" s="265" t="str">
        <f>IFERROR(__xludf.DUMMYFUNCTION("""COMPUTED_VALUE"""),"Active")</f>
        <v>Active</v>
      </c>
      <c r="D548" s="265" t="str">
        <f>IFERROR(__xludf.DUMMYFUNCTION("""COMPUTED_VALUE"""),"Truyền thông &amp; Giải trí")</f>
        <v>Truyền thông &amp; Giải trí</v>
      </c>
      <c r="E548" s="265" t="str">
        <f>IFERROR(__xludf.DUMMYFUNCTION("""COMPUTED_VALUE"""),"TúPHN")</f>
        <v>TúPHN</v>
      </c>
      <c r="F548" s="265" t="str">
        <f>IFERROR(__xludf.DUMMYFUNCTION("""COMPUTED_VALUE"""),"Bronze")</f>
        <v>Bronze</v>
      </c>
      <c r="G548" s="265" t="str">
        <f>IFERROR(__xludf.DUMMYFUNCTION("""COMPUTED_VALUE"""),"Starter")</f>
        <v>Starter</v>
      </c>
      <c r="H548" s="265" t="str">
        <f>IFERROR(__xludf.DUMMYFUNCTION("""COMPUTED_VALUE"""),"Trả sau")</f>
        <v>Trả sau</v>
      </c>
      <c r="I548" s="265" t="str">
        <f>IFERROR(__xludf.DUMMYFUNCTION("""COMPUTED_VALUE"""),"API")</f>
        <v>API</v>
      </c>
      <c r="J548" s="265" t="str">
        <f>IFERROR(__xludf.DUMMYFUNCTION("""COMPUTED_VALUE"""),"API")</f>
        <v>API</v>
      </c>
      <c r="K548" s="265" t="str">
        <f>IFERROR(__xludf.DUMMYFUNCTION("""COMPUTED_VALUE"""),"Không phân công")</f>
        <v>Không phân công</v>
      </c>
    </row>
    <row r="549">
      <c r="A549" s="265" t="str">
        <f>IFERROR(__xludf.DUMMYFUNCTION("""COMPUTED_VALUE"""),"812")</f>
        <v>812</v>
      </c>
      <c r="B549" s="265" t="str">
        <f>IFERROR(__xludf.DUMMYFUNCTION("""COMPUTED_VALUE"""),"Sài Gòn")</f>
        <v>Sài Gòn</v>
      </c>
      <c r="C549" s="265" t="str">
        <f>IFERROR(__xludf.DUMMYFUNCTION("""COMPUTED_VALUE"""),"Locked")</f>
        <v>Locked</v>
      </c>
      <c r="D549" s="265" t="str">
        <f>IFERROR(__xludf.DUMMYFUNCTION("""COMPUTED_VALUE"""),"Sản xuất &amp; Chế tạo")</f>
        <v>Sản xuất &amp; Chế tạo</v>
      </c>
      <c r="E549" s="265" t="str">
        <f>IFERROR(__xludf.DUMMYFUNCTION("""COMPUTED_VALUE"""),"HoaNTM")</f>
        <v>HoaNTM</v>
      </c>
      <c r="F549" s="265" t="str">
        <f>IFERROR(__xludf.DUMMYFUNCTION("""COMPUTED_VALUE"""),"Sale chưa cung cấp")</f>
        <v>Sale chưa cung cấp</v>
      </c>
      <c r="G549" s="265" t="str">
        <f>IFERROR(__xludf.DUMMYFUNCTION("""COMPUTED_VALUE"""),"API")</f>
        <v>API</v>
      </c>
      <c r="H549" s="265" t="str">
        <f>IFERROR(__xludf.DUMMYFUNCTION("""COMPUTED_VALUE"""),"Trả sau")</f>
        <v>Trả sau</v>
      </c>
      <c r="I549" s="265" t="str">
        <f>IFERROR(__xludf.DUMMYFUNCTION("""COMPUTED_VALUE"""),"API")</f>
        <v>API</v>
      </c>
      <c r="J549" s="265" t="str">
        <f>IFERROR(__xludf.DUMMYFUNCTION("""COMPUTED_VALUE"""),"API")</f>
        <v>API</v>
      </c>
      <c r="K549" s="265" t="str">
        <f>IFERROR(__xludf.DUMMYFUNCTION("""COMPUTED_VALUE"""),"(Chưa recheck)")</f>
        <v>(Chưa recheck)</v>
      </c>
    </row>
    <row r="550">
      <c r="A550" s="265" t="str">
        <f>IFERROR(__xludf.DUMMYFUNCTION("""COMPUTED_VALUE"""),"813")</f>
        <v>813</v>
      </c>
      <c r="B550" s="265" t="str">
        <f>IFERROR(__xludf.DUMMYFUNCTION("""COMPUTED_VALUE"""),"Sài Gòn")</f>
        <v>Sài Gòn</v>
      </c>
      <c r="C550" s="265" t="str">
        <f>IFERROR(__xludf.DUMMYFUNCTION("""COMPUTED_VALUE"""),"Locked")</f>
        <v>Locked</v>
      </c>
      <c r="D550" s="265" t="str">
        <f>IFERROR(__xludf.DUMMYFUNCTION("""COMPUTED_VALUE"""),"Giáo dục &amp; Đào tạo")</f>
        <v>Giáo dục &amp; Đào tạo</v>
      </c>
      <c r="E550" s="265" t="str">
        <f>IFERROR(__xludf.DUMMYFUNCTION("""COMPUTED_VALUE"""),"HoaNTM")</f>
        <v>HoaNTM</v>
      </c>
      <c r="F550" s="265" t="str">
        <f>IFERROR(__xludf.DUMMYFUNCTION("""COMPUTED_VALUE"""),"Sale chưa cung cấp")</f>
        <v>Sale chưa cung cấp</v>
      </c>
      <c r="G550" s="265" t="str">
        <f>IFERROR(__xludf.DUMMYFUNCTION("""COMPUTED_VALUE"""),"Premium")</f>
        <v>Premium</v>
      </c>
      <c r="H550" s="265" t="str">
        <f>IFERROR(__xludf.DUMMYFUNCTION("""COMPUTED_VALUE"""),"Trial")</f>
        <v>Trial</v>
      </c>
      <c r="I550" s="265" t="str">
        <f>IFERROR(__xludf.DUMMYFUNCTION("""COMPUTED_VALUE"""),"API &amp; Portal")</f>
        <v>API &amp; Portal</v>
      </c>
      <c r="J550" s="265" t="str">
        <f>IFERROR(__xludf.DUMMYFUNCTION("""COMPUTED_VALUE"""),"File Excel")</f>
        <v>File Excel</v>
      </c>
      <c r="K550" s="265" t="str">
        <f>IFERROR(__xludf.DUMMYFUNCTION("""COMPUTED_VALUE"""),"(Chưa recheck)")</f>
        <v>(Chưa recheck)</v>
      </c>
    </row>
    <row r="551">
      <c r="A551" s="265" t="str">
        <f>IFERROR(__xludf.DUMMYFUNCTION("""COMPUTED_VALUE"""),"813")</f>
        <v>813</v>
      </c>
      <c r="B551" s="265" t="str">
        <f>IFERROR(__xludf.DUMMYFUNCTION("""COMPUTED_VALUE"""),"Sài Gòn")</f>
        <v>Sài Gòn</v>
      </c>
      <c r="C551" s="265" t="str">
        <f>IFERROR(__xludf.DUMMYFUNCTION("""COMPUTED_VALUE"""),"Locked")</f>
        <v>Locked</v>
      </c>
      <c r="D551" s="265" t="str">
        <f>IFERROR(__xludf.DUMMYFUNCTION("""COMPUTED_VALUE"""),"Giáo dục &amp; Đào tạo")</f>
        <v>Giáo dục &amp; Đào tạo</v>
      </c>
      <c r="E551" s="265" t="str">
        <f>IFERROR(__xludf.DUMMYFUNCTION("""COMPUTED_VALUE"""),"HoaNTM")</f>
        <v>HoaNTM</v>
      </c>
      <c r="F551" s="265" t="str">
        <f>IFERROR(__xludf.DUMMYFUNCTION("""COMPUTED_VALUE"""),"Sale chưa cung cấp")</f>
        <v>Sale chưa cung cấp</v>
      </c>
      <c r="G551" s="265" t="str">
        <f>IFERROR(__xludf.DUMMYFUNCTION("""COMPUTED_VALUE"""),"Premium")</f>
        <v>Premium</v>
      </c>
      <c r="H551" s="265" t="str">
        <f>IFERROR(__xludf.DUMMYFUNCTION("""COMPUTED_VALUE"""),"Trial")</f>
        <v>Trial</v>
      </c>
      <c r="I551" s="265" t="str">
        <f>IFERROR(__xludf.DUMMYFUNCTION("""COMPUTED_VALUE"""),"API &amp; Portal")</f>
        <v>API &amp; Portal</v>
      </c>
      <c r="J551" s="265" t="str">
        <f>IFERROR(__xludf.DUMMYFUNCTION("""COMPUTED_VALUE"""),"API")</f>
        <v>API</v>
      </c>
      <c r="K551" s="265" t="str">
        <f>IFERROR(__xludf.DUMMYFUNCTION("""COMPUTED_VALUE"""),"(Chưa recheck)")</f>
        <v>(Chưa recheck)</v>
      </c>
    </row>
    <row r="552">
      <c r="A552" s="265" t="str">
        <f>IFERROR(__xludf.DUMMYFUNCTION("""COMPUTED_VALUE"""),"814")</f>
        <v>814</v>
      </c>
      <c r="B552" s="265" t="str">
        <f>IFERROR(__xludf.DUMMYFUNCTION("""COMPUTED_VALUE"""),"Sài Gòn")</f>
        <v>Sài Gòn</v>
      </c>
      <c r="C552" s="265" t="str">
        <f>IFERROR(__xludf.DUMMYFUNCTION("""COMPUTED_VALUE"""),"Active")</f>
        <v>Active</v>
      </c>
      <c r="D552" s="265" t="str">
        <f>IFERROR(__xludf.DUMMYFUNCTION("""COMPUTED_VALUE"""),"Thực phẩm &amp; Đồ uống")</f>
        <v>Thực phẩm &amp; Đồ uống</v>
      </c>
      <c r="E552" s="265" t="str">
        <f>IFERROR(__xludf.DUMMYFUNCTION("""COMPUTED_VALUE"""),"TrâmNNB")</f>
        <v>TrâmNNB</v>
      </c>
      <c r="F552" s="265" t="str">
        <f>IFERROR(__xludf.DUMMYFUNCTION("""COMPUTED_VALUE"""),"Diamond")</f>
        <v>Diamond</v>
      </c>
      <c r="G552" s="265" t="str">
        <f>IFERROR(__xludf.DUMMYFUNCTION("""COMPUTED_VALUE"""),"Enterprise")</f>
        <v>Enterprise</v>
      </c>
      <c r="H552" s="265" t="str">
        <f>IFERROR(__xludf.DUMMYFUNCTION("""COMPUTED_VALUE"""),"Trả sau")</f>
        <v>Trả sau</v>
      </c>
      <c r="I552" s="265" t="str">
        <f>IFERROR(__xludf.DUMMYFUNCTION("""COMPUTED_VALUE"""),"API &amp; Portal")</f>
        <v>API &amp; Portal</v>
      </c>
      <c r="J552" s="265" t="str">
        <f>IFERROR(__xludf.DUMMYFUNCTION("""COMPUTED_VALUE"""),"API")</f>
        <v>API</v>
      </c>
      <c r="K552" s="265" t="str">
        <f>IFERROR(__xludf.DUMMYFUNCTION("""COMPUTED_VALUE"""),"Không phân công")</f>
        <v>Không phân công</v>
      </c>
    </row>
    <row r="553">
      <c r="A553" s="265" t="str">
        <f>IFERROR(__xludf.DUMMYFUNCTION("""COMPUTED_VALUE"""),"815")</f>
        <v>815</v>
      </c>
      <c r="B553" s="265" t="str">
        <f>IFERROR(__xludf.DUMMYFUNCTION("""COMPUTED_VALUE"""),"Sài Gòn")</f>
        <v>Sài Gòn</v>
      </c>
      <c r="C553" s="265" t="str">
        <f>IFERROR(__xludf.DUMMYFUNCTION("""COMPUTED_VALUE"""),"Locked")</f>
        <v>Locked</v>
      </c>
      <c r="D553" s="265" t="str">
        <f>IFERROR(__xludf.DUMMYFUNCTION("""COMPUTED_VALUE"""),"Sản xuất &amp; Chế tạo")</f>
        <v>Sản xuất &amp; Chế tạo</v>
      </c>
      <c r="E553" s="265" t="str">
        <f>IFERROR(__xludf.DUMMYFUNCTION("""COMPUTED_VALUE"""),"HoaNTM")</f>
        <v>HoaNTM</v>
      </c>
      <c r="F553" s="265" t="str">
        <f>IFERROR(__xludf.DUMMYFUNCTION("""COMPUTED_VALUE"""),"Silver")</f>
        <v>Silver</v>
      </c>
      <c r="G553" s="265" t="str">
        <f>IFERROR(__xludf.DUMMYFUNCTION("""COMPUTED_VALUE"""),"Starter")</f>
        <v>Starter</v>
      </c>
      <c r="H553" s="265" t="str">
        <f>IFERROR(__xludf.DUMMYFUNCTION("""COMPUTED_VALUE"""),"Trial")</f>
        <v>Trial</v>
      </c>
      <c r="I553" s="265" t="str">
        <f>IFERROR(__xludf.DUMMYFUNCTION("""COMPUTED_VALUE"""),"Portal")</f>
        <v>Portal</v>
      </c>
      <c r="J553" s="265" t="str">
        <f>IFERROR(__xludf.DUMMYFUNCTION("""COMPUTED_VALUE"""),"File Excel")</f>
        <v>File Excel</v>
      </c>
      <c r="K553" s="265" t="str">
        <f>IFERROR(__xludf.DUMMYFUNCTION("""COMPUTED_VALUE"""),"AnhNM")</f>
        <v>AnhNM</v>
      </c>
    </row>
    <row r="554">
      <c r="A554" s="265" t="str">
        <f>IFERROR(__xludf.DUMMYFUNCTION("""COMPUTED_VALUE"""),"820")</f>
        <v>820</v>
      </c>
      <c r="B554" s="265" t="str">
        <f>IFERROR(__xludf.DUMMYFUNCTION("""COMPUTED_VALUE"""),"Sài Gòn")</f>
        <v>Sài Gòn</v>
      </c>
      <c r="C554" s="265" t="str">
        <f>IFERROR(__xludf.DUMMYFUNCTION("""COMPUTED_VALUE"""),"Locked")</f>
        <v>Locked</v>
      </c>
      <c r="D554" s="265" t="str">
        <f>IFERROR(__xludf.DUMMYFUNCTION("""COMPUTED_VALUE"""),"Thực phẩm &amp; Đồ uống")</f>
        <v>Thực phẩm &amp; Đồ uống</v>
      </c>
      <c r="E554" s="265" t="str">
        <f>IFERROR(__xludf.DUMMYFUNCTION("""COMPUTED_VALUE"""),"HoaNTM")</f>
        <v>HoaNTM</v>
      </c>
      <c r="F554" s="265" t="str">
        <f>IFERROR(__xludf.DUMMYFUNCTION("""COMPUTED_VALUE"""),"Sale chưa cung cấp")</f>
        <v>Sale chưa cung cấp</v>
      </c>
      <c r="G554" s="265" t="str">
        <f>IFERROR(__xludf.DUMMYFUNCTION("""COMPUTED_VALUE"""),"Enterprise")</f>
        <v>Enterprise</v>
      </c>
      <c r="H554" s="265" t="str">
        <f>IFERROR(__xludf.DUMMYFUNCTION("""COMPUTED_VALUE"""),"Trả sau")</f>
        <v>Trả sau</v>
      </c>
      <c r="I554" s="265" t="str">
        <f>IFERROR(__xludf.DUMMYFUNCTION("""COMPUTED_VALUE"""),"API &amp; Portal")</f>
        <v>API &amp; Portal</v>
      </c>
      <c r="J554" s="265" t="str">
        <f>IFERROR(__xludf.DUMMYFUNCTION("""COMPUTED_VALUE"""),"API")</f>
        <v>API</v>
      </c>
      <c r="K554" s="265" t="str">
        <f>IFERROR(__xludf.DUMMYFUNCTION("""COMPUTED_VALUE"""),"YếnĐH")</f>
        <v>YếnĐH</v>
      </c>
    </row>
    <row r="555">
      <c r="A555" s="265" t="str">
        <f>IFERROR(__xludf.DUMMYFUNCTION("""COMPUTED_VALUE"""),"821")</f>
        <v>821</v>
      </c>
      <c r="B555" s="265" t="str">
        <f>IFERROR(__xludf.DUMMYFUNCTION("""COMPUTED_VALUE"""),"Sài Gòn")</f>
        <v>Sài Gòn</v>
      </c>
      <c r="C555" s="265" t="str">
        <f>IFERROR(__xludf.DUMMYFUNCTION("""COMPUTED_VALUE"""),"Locked")</f>
        <v>Locked</v>
      </c>
      <c r="D555" s="265" t="str">
        <f>IFERROR(__xludf.DUMMYFUNCTION("""COMPUTED_VALUE"""),"Thực phẩm &amp; Đồ uống")</f>
        <v>Thực phẩm &amp; Đồ uống</v>
      </c>
      <c r="E555" s="265" t="str">
        <f>IFERROR(__xludf.DUMMYFUNCTION("""COMPUTED_VALUE"""),"HoaNTM")</f>
        <v>HoaNTM</v>
      </c>
      <c r="F555" s="265" t="str">
        <f>IFERROR(__xludf.DUMMYFUNCTION("""COMPUTED_VALUE"""),"Sale chưa cung cấp")</f>
        <v>Sale chưa cung cấp</v>
      </c>
      <c r="G555" s="265" t="str">
        <f>IFERROR(__xludf.DUMMYFUNCTION("""COMPUTED_VALUE"""),"Enterprise")</f>
        <v>Enterprise</v>
      </c>
      <c r="H555" s="265" t="str">
        <f>IFERROR(__xludf.DUMMYFUNCTION("""COMPUTED_VALUE"""),"Trả sau")</f>
        <v>Trả sau</v>
      </c>
      <c r="I555" s="265" t="str">
        <f>IFERROR(__xludf.DUMMYFUNCTION("""COMPUTED_VALUE"""),"API &amp; Portal")</f>
        <v>API &amp; Portal</v>
      </c>
      <c r="J555" s="265" t="str">
        <f>IFERROR(__xludf.DUMMYFUNCTION("""COMPUTED_VALUE"""),"API")</f>
        <v>API</v>
      </c>
      <c r="K555" s="265" t="str">
        <f>IFERROR(__xludf.DUMMYFUNCTION("""COMPUTED_VALUE"""),"YếnĐH")</f>
        <v>YếnĐH</v>
      </c>
    </row>
    <row r="556">
      <c r="A556" s="265" t="str">
        <f>IFERROR(__xludf.DUMMYFUNCTION("""COMPUTED_VALUE"""),"816")</f>
        <v>816</v>
      </c>
      <c r="B556" s="265" t="str">
        <f>IFERROR(__xludf.DUMMYFUNCTION("""COMPUTED_VALUE"""),"Hà Nội")</f>
        <v>Hà Nội</v>
      </c>
      <c r="C556" s="265" t="str">
        <f>IFERROR(__xludf.DUMMYFUNCTION("""COMPUTED_VALUE"""),"Locked")</f>
        <v>Locked</v>
      </c>
      <c r="D556" s="265" t="str">
        <f>IFERROR(__xludf.DUMMYFUNCTION("""COMPUTED_VALUE"""),"Sale chưa cung cấp")</f>
        <v>Sale chưa cung cấp</v>
      </c>
      <c r="E556" s="265" t="str">
        <f>IFERROR(__xludf.DUMMYFUNCTION("""COMPUTED_VALUE"""),"TùngLD")</f>
        <v>TùngLD</v>
      </c>
      <c r="F556" s="265" t="str">
        <f>IFERROR(__xludf.DUMMYFUNCTION("""COMPUTED_VALUE"""),"Gold")</f>
        <v>Gold</v>
      </c>
      <c r="G556" s="265" t="str">
        <f>IFERROR(__xludf.DUMMYFUNCTION("""COMPUTED_VALUE"""),"Premium")</f>
        <v>Premium</v>
      </c>
      <c r="H556" s="265" t="str">
        <f>IFERROR(__xludf.DUMMYFUNCTION("""COMPUTED_VALUE"""),"Trả sau")</f>
        <v>Trả sau</v>
      </c>
      <c r="I556" s="265" t="str">
        <f>IFERROR(__xludf.DUMMYFUNCTION("""COMPUTED_VALUE"""),"API")</f>
        <v>API</v>
      </c>
      <c r="J556" s="265" t="str">
        <f>IFERROR(__xludf.DUMMYFUNCTION("""COMPUTED_VALUE"""),"HubSpot")</f>
        <v>HubSpot</v>
      </c>
      <c r="K556" s="265" t="str">
        <f>IFERROR(__xludf.DUMMYFUNCTION("""COMPUTED_VALUE"""),"YếnĐH")</f>
        <v>YếnĐH</v>
      </c>
    </row>
    <row r="557">
      <c r="A557" s="265" t="str">
        <f>IFERROR(__xludf.DUMMYFUNCTION("""COMPUTED_VALUE"""),"817")</f>
        <v>817</v>
      </c>
      <c r="B557" s="265" t="str">
        <f>IFERROR(__xludf.DUMMYFUNCTION("""COMPUTED_VALUE"""),"Hà Nội")</f>
        <v>Hà Nội</v>
      </c>
      <c r="C557" s="265" t="str">
        <f>IFERROR(__xludf.DUMMYFUNCTION("""COMPUTED_VALUE"""),"Locked")</f>
        <v>Locked</v>
      </c>
      <c r="D557" s="265" t="str">
        <f>IFERROR(__xludf.DUMMYFUNCTION("""COMPUTED_VALUE"""),"Sale chưa cung cấp")</f>
        <v>Sale chưa cung cấp</v>
      </c>
      <c r="E557" s="265" t="str">
        <f>IFERROR(__xludf.DUMMYFUNCTION("""COMPUTED_VALUE"""),"AnhNM")</f>
        <v>AnhNM</v>
      </c>
      <c r="F557" s="265" t="str">
        <f>IFERROR(__xludf.DUMMYFUNCTION("""COMPUTED_VALUE"""),"Bronze")</f>
        <v>Bronze</v>
      </c>
      <c r="G557" s="265" t="str">
        <f>IFERROR(__xludf.DUMMYFUNCTION("""COMPUTED_VALUE"""),"Starter")</f>
        <v>Starter</v>
      </c>
      <c r="H557" s="265" t="str">
        <f>IFERROR(__xludf.DUMMYFUNCTION("""COMPUTED_VALUE"""),"Trả trước")</f>
        <v>Trả trước</v>
      </c>
      <c r="I557" s="265" t="str">
        <f>IFERROR(__xludf.DUMMYFUNCTION("""COMPUTED_VALUE"""),"Portal")</f>
        <v>Portal</v>
      </c>
      <c r="J557" s="265" t="str">
        <f>IFERROR(__xludf.DUMMYFUNCTION("""COMPUTED_VALUE"""),"File Excel")</f>
        <v>File Excel</v>
      </c>
      <c r="K557" s="265" t="str">
        <f>IFERROR(__xludf.DUMMYFUNCTION("""COMPUTED_VALUE"""),"LinhNTT1")</f>
        <v>LinhNTT1</v>
      </c>
    </row>
    <row r="558">
      <c r="A558" s="265" t="str">
        <f>IFERROR(__xludf.DUMMYFUNCTION("""COMPUTED_VALUE"""),"819")</f>
        <v>819</v>
      </c>
      <c r="B558" s="265" t="str">
        <f>IFERROR(__xludf.DUMMYFUNCTION("""COMPUTED_VALUE"""),"Đà Nẵng")</f>
        <v>Đà Nẵng</v>
      </c>
      <c r="C558" s="265" t="str">
        <f>IFERROR(__xludf.DUMMYFUNCTION("""COMPUTED_VALUE"""),"Active")</f>
        <v>Active</v>
      </c>
      <c r="D558" s="265" t="str">
        <f>IFERROR(__xludf.DUMMYFUNCTION("""COMPUTED_VALUE"""),"Sale chưa cung cấp")</f>
        <v>Sale chưa cung cấp</v>
      </c>
      <c r="E558" s="265" t="str">
        <f>IFERROR(__xludf.DUMMYFUNCTION("""COMPUTED_VALUE"""),"AnhNM")</f>
        <v>AnhNM</v>
      </c>
      <c r="F558" s="265" t="str">
        <f>IFERROR(__xludf.DUMMYFUNCTION("""COMPUTED_VALUE"""),"Bronze")</f>
        <v>Bronze</v>
      </c>
      <c r="G558" s="265" t="str">
        <f>IFERROR(__xludf.DUMMYFUNCTION("""COMPUTED_VALUE"""),"Starter")</f>
        <v>Starter</v>
      </c>
      <c r="H558" s="265" t="str">
        <f>IFERROR(__xludf.DUMMYFUNCTION("""COMPUTED_VALUE"""),"Trả sau")</f>
        <v>Trả sau</v>
      </c>
      <c r="I558" s="265" t="str">
        <f>IFERROR(__xludf.DUMMYFUNCTION("""COMPUTED_VALUE"""),"API")</f>
        <v>API</v>
      </c>
      <c r="J558" s="265" t="str">
        <f>IFERROR(__xludf.DUMMYFUNCTION("""COMPUTED_VALUE"""),"API")</f>
        <v>API</v>
      </c>
      <c r="K558" s="265" t="str">
        <f>IFERROR(__xludf.DUMMYFUNCTION("""COMPUTED_VALUE"""),"DungPL")</f>
        <v>DungPL</v>
      </c>
    </row>
    <row r="559">
      <c r="A559" s="265" t="str">
        <f>IFERROR(__xludf.DUMMYFUNCTION("""COMPUTED_VALUE"""),"818")</f>
        <v>818</v>
      </c>
      <c r="B559" s="265" t="str">
        <f>IFERROR(__xludf.DUMMYFUNCTION("""COMPUTED_VALUE"""),"Đà Nẵng")</f>
        <v>Đà Nẵng</v>
      </c>
      <c r="C559" s="265" t="str">
        <f>IFERROR(__xludf.DUMMYFUNCTION("""COMPUTED_VALUE"""),"Locked")</f>
        <v>Locked</v>
      </c>
      <c r="D559" s="265" t="str">
        <f>IFERROR(__xludf.DUMMYFUNCTION("""COMPUTED_VALUE"""),"Mua sắm &amp; Bán lẻ")</f>
        <v>Mua sắm &amp; Bán lẻ</v>
      </c>
      <c r="E559" s="265" t="str">
        <f>IFERROR(__xludf.DUMMYFUNCTION("""COMPUTED_VALUE"""),"TúPHN")</f>
        <v>TúPHN</v>
      </c>
      <c r="F559" s="265" t="str">
        <f>IFERROR(__xludf.DUMMYFUNCTION("""COMPUTED_VALUE"""),"Gold")</f>
        <v>Gold</v>
      </c>
      <c r="G559" s="265" t="str">
        <f>IFERROR(__xludf.DUMMYFUNCTION("""COMPUTED_VALUE"""),"Enterprise")</f>
        <v>Enterprise</v>
      </c>
      <c r="H559" s="265" t="str">
        <f>IFERROR(__xludf.DUMMYFUNCTION("""COMPUTED_VALUE"""),"Trả trước")</f>
        <v>Trả trước</v>
      </c>
      <c r="I559" s="265" t="str">
        <f>IFERROR(__xludf.DUMMYFUNCTION("""COMPUTED_VALUE"""),"API &amp; Portal")</f>
        <v>API &amp; Portal</v>
      </c>
      <c r="J559" s="265" t="str">
        <f>IFERROR(__xludf.DUMMYFUNCTION("""COMPUTED_VALUE"""),"File Excel")</f>
        <v>File Excel</v>
      </c>
      <c r="K559" s="265" t="str">
        <f>IFERROR(__xludf.DUMMYFUNCTION("""COMPUTED_VALUE"""),"LinhNTT1")</f>
        <v>LinhNTT1</v>
      </c>
    </row>
    <row r="560">
      <c r="A560" s="265" t="str">
        <f>IFERROR(__xludf.DUMMYFUNCTION("""COMPUTED_VALUE"""),"818")</f>
        <v>818</v>
      </c>
      <c r="B560" s="265" t="str">
        <f>IFERROR(__xludf.DUMMYFUNCTION("""COMPUTED_VALUE"""),"Đà Nẵng")</f>
        <v>Đà Nẵng</v>
      </c>
      <c r="C560" s="265" t="str">
        <f>IFERROR(__xludf.DUMMYFUNCTION("""COMPUTED_VALUE"""),"Locked")</f>
        <v>Locked</v>
      </c>
      <c r="D560" s="265" t="str">
        <f>IFERROR(__xludf.DUMMYFUNCTION("""COMPUTED_VALUE"""),"Mua sắm &amp; Bán lẻ")</f>
        <v>Mua sắm &amp; Bán lẻ</v>
      </c>
      <c r="E560" s="265" t="str">
        <f>IFERROR(__xludf.DUMMYFUNCTION("""COMPUTED_VALUE"""),"TúPHN")</f>
        <v>TúPHN</v>
      </c>
      <c r="F560" s="265" t="str">
        <f>IFERROR(__xludf.DUMMYFUNCTION("""COMPUTED_VALUE"""),"Gold")</f>
        <v>Gold</v>
      </c>
      <c r="G560" s="265" t="str">
        <f>IFERROR(__xludf.DUMMYFUNCTION("""COMPUTED_VALUE"""),"Enterprise")</f>
        <v>Enterprise</v>
      </c>
      <c r="H560" s="265" t="str">
        <f>IFERROR(__xludf.DUMMYFUNCTION("""COMPUTED_VALUE"""),"Trả trước")</f>
        <v>Trả trước</v>
      </c>
      <c r="I560" s="265" t="str">
        <f>IFERROR(__xludf.DUMMYFUNCTION("""COMPUTED_VALUE"""),"API &amp; Portal")</f>
        <v>API &amp; Portal</v>
      </c>
      <c r="J560" s="265" t="str">
        <f>IFERROR(__xludf.DUMMYFUNCTION("""COMPUTED_VALUE"""),"API")</f>
        <v>API</v>
      </c>
      <c r="K560" s="265" t="str">
        <f>IFERROR(__xludf.DUMMYFUNCTION("""COMPUTED_VALUE"""),"LinhNTT1")</f>
        <v>LinhNTT1</v>
      </c>
    </row>
    <row r="561">
      <c r="A561" s="265" t="str">
        <f>IFERROR(__xludf.DUMMYFUNCTION("""COMPUTED_VALUE"""),"822")</f>
        <v>822</v>
      </c>
      <c r="B561" s="265" t="str">
        <f>IFERROR(__xludf.DUMMYFUNCTION("""COMPUTED_VALUE"""),"Hà Nội")</f>
        <v>Hà Nội</v>
      </c>
      <c r="C561" s="265" t="str">
        <f>IFERROR(__xludf.DUMMYFUNCTION("""COMPUTED_VALUE"""),"Active")</f>
        <v>Active</v>
      </c>
      <c r="D561" s="265" t="str">
        <f>IFERROR(__xludf.DUMMYFUNCTION("""COMPUTED_VALUE"""),"Công nghệ &amp; Phần mềm")</f>
        <v>Công nghệ &amp; Phần mềm</v>
      </c>
      <c r="E561" s="265" t="str">
        <f>IFERROR(__xludf.DUMMYFUNCTION("""COMPUTED_VALUE"""),"TùngLD")</f>
        <v>TùngLD</v>
      </c>
      <c r="F561" s="265" t="str">
        <f>IFERROR(__xludf.DUMMYFUNCTION("""COMPUTED_VALUE"""),"Silver")</f>
        <v>Silver</v>
      </c>
      <c r="G561" s="265" t="str">
        <f>IFERROR(__xludf.DUMMYFUNCTION("""COMPUTED_VALUE"""),"Premium")</f>
        <v>Premium</v>
      </c>
      <c r="H561" s="265" t="str">
        <f>IFERROR(__xludf.DUMMYFUNCTION("""COMPUTED_VALUE"""),"Trả sau")</f>
        <v>Trả sau</v>
      </c>
      <c r="I561" s="265" t="str">
        <f>IFERROR(__xludf.DUMMYFUNCTION("""COMPUTED_VALUE"""),"Portal")</f>
        <v>Portal</v>
      </c>
      <c r="J561" s="265" t="str">
        <f>IFERROR(__xludf.DUMMYFUNCTION("""COMPUTED_VALUE"""),"File Excel")</f>
        <v>File Excel</v>
      </c>
      <c r="K561" s="265" t="str">
        <f>IFERROR(__xludf.DUMMYFUNCTION("""COMPUTED_VALUE"""),"YếnĐH")</f>
        <v>YếnĐH</v>
      </c>
    </row>
    <row r="562">
      <c r="A562" s="265" t="str">
        <f>IFERROR(__xludf.DUMMYFUNCTION("""COMPUTED_VALUE"""),"823")</f>
        <v>823</v>
      </c>
      <c r="B562" s="265" t="str">
        <f>IFERROR(__xludf.DUMMYFUNCTION("""COMPUTED_VALUE"""),"Sài Gòn")</f>
        <v>Sài Gòn</v>
      </c>
      <c r="C562" s="265" t="str">
        <f>IFERROR(__xludf.DUMMYFUNCTION("""COMPUTED_VALUE"""),"Active")</f>
        <v>Active</v>
      </c>
      <c r="D562" s="265" t="str">
        <f>IFERROR(__xludf.DUMMYFUNCTION("""COMPUTED_VALUE"""),"Sale chưa cung cấp")</f>
        <v>Sale chưa cung cấp</v>
      </c>
      <c r="E562" s="265" t="str">
        <f>IFERROR(__xludf.DUMMYFUNCTION("""COMPUTED_VALUE"""),"TùngLD")</f>
        <v>TùngLD</v>
      </c>
      <c r="F562" s="265" t="str">
        <f>IFERROR(__xludf.DUMMYFUNCTION("""COMPUTED_VALUE"""),"Diamond")</f>
        <v>Diamond</v>
      </c>
      <c r="G562" s="265" t="str">
        <f>IFERROR(__xludf.DUMMYFUNCTION("""COMPUTED_VALUE"""),"Enterprise")</f>
        <v>Enterprise</v>
      </c>
      <c r="H562" s="265" t="str">
        <f>IFERROR(__xludf.DUMMYFUNCTION("""COMPUTED_VALUE"""),"Trả sau")</f>
        <v>Trả sau</v>
      </c>
      <c r="I562" s="265" t="str">
        <f>IFERROR(__xludf.DUMMYFUNCTION("""COMPUTED_VALUE"""),"API &amp; Portal")</f>
        <v>API &amp; Portal</v>
      </c>
      <c r="J562" s="265" t="str">
        <f>IFERROR(__xludf.DUMMYFUNCTION("""COMPUTED_VALUE"""),"File Excel")</f>
        <v>File Excel</v>
      </c>
      <c r="K562" s="265" t="str">
        <f>IFERROR(__xludf.DUMMYFUNCTION("""COMPUTED_VALUE"""),"Không phân công")</f>
        <v>Không phân công</v>
      </c>
    </row>
    <row r="563">
      <c r="A563" s="265" t="str">
        <f>IFERROR(__xludf.DUMMYFUNCTION("""COMPUTED_VALUE"""),"823")</f>
        <v>823</v>
      </c>
      <c r="B563" s="265" t="str">
        <f>IFERROR(__xludf.DUMMYFUNCTION("""COMPUTED_VALUE"""),"Sài Gòn")</f>
        <v>Sài Gòn</v>
      </c>
      <c r="C563" s="265" t="str">
        <f>IFERROR(__xludf.DUMMYFUNCTION("""COMPUTED_VALUE"""),"Active")</f>
        <v>Active</v>
      </c>
      <c r="D563" s="265" t="str">
        <f>IFERROR(__xludf.DUMMYFUNCTION("""COMPUTED_VALUE"""),"Sale chưa cung cấp")</f>
        <v>Sale chưa cung cấp</v>
      </c>
      <c r="E563" s="265" t="str">
        <f>IFERROR(__xludf.DUMMYFUNCTION("""COMPUTED_VALUE"""),"TùngLD")</f>
        <v>TùngLD</v>
      </c>
      <c r="F563" s="265" t="str">
        <f>IFERROR(__xludf.DUMMYFUNCTION("""COMPUTED_VALUE"""),"Diamond")</f>
        <v>Diamond</v>
      </c>
      <c r="G563" s="265" t="str">
        <f>IFERROR(__xludf.DUMMYFUNCTION("""COMPUTED_VALUE"""),"Enterprise")</f>
        <v>Enterprise</v>
      </c>
      <c r="H563" s="265" t="str">
        <f>IFERROR(__xludf.DUMMYFUNCTION("""COMPUTED_VALUE"""),"Trả sau")</f>
        <v>Trả sau</v>
      </c>
      <c r="I563" s="265" t="str">
        <f>IFERROR(__xludf.DUMMYFUNCTION("""COMPUTED_VALUE"""),"API &amp; Portal")</f>
        <v>API &amp; Portal</v>
      </c>
      <c r="J563" s="265" t="str">
        <f>IFERROR(__xludf.DUMMYFUNCTION("""COMPUTED_VALUE"""),"API")</f>
        <v>API</v>
      </c>
      <c r="K563" s="265" t="str">
        <f>IFERROR(__xludf.DUMMYFUNCTION("""COMPUTED_VALUE"""),"Không phân công")</f>
        <v>Không phân công</v>
      </c>
    </row>
    <row r="564">
      <c r="A564" s="265" t="str">
        <f>IFERROR(__xludf.DUMMYFUNCTION("""COMPUTED_VALUE"""),"761")</f>
        <v>761</v>
      </c>
      <c r="B564" s="265" t="str">
        <f>IFERROR(__xludf.DUMMYFUNCTION("""COMPUTED_VALUE"""),"Hà Nội")</f>
        <v>Hà Nội</v>
      </c>
      <c r="C564" s="265" t="str">
        <f>IFERROR(__xludf.DUMMYFUNCTION("""COMPUTED_VALUE"""),"Locked")</f>
        <v>Locked</v>
      </c>
      <c r="D564" s="265" t="str">
        <f>IFERROR(__xludf.DUMMYFUNCTION("""COMPUTED_VALUE"""),"Y tế &amp; Dược phẩm")</f>
        <v>Y tế &amp; Dược phẩm</v>
      </c>
      <c r="E564" s="265" t="str">
        <f>IFERROR(__xludf.DUMMYFUNCTION("""COMPUTED_VALUE"""),"TùngLD")</f>
        <v>TùngLD</v>
      </c>
      <c r="F564" s="265" t="str">
        <f>IFERROR(__xludf.DUMMYFUNCTION("""COMPUTED_VALUE"""),"Sale chưa cung cấp")</f>
        <v>Sale chưa cung cấp</v>
      </c>
      <c r="G564" s="265" t="str">
        <f>IFERROR(__xludf.DUMMYFUNCTION("""COMPUTED_VALUE"""),"Premium")</f>
        <v>Premium</v>
      </c>
      <c r="H564" s="265" t="str">
        <f>IFERROR(__xludf.DUMMYFUNCTION("""COMPUTED_VALUE"""),"Trial")</f>
        <v>Trial</v>
      </c>
      <c r="I564" s="265" t="str">
        <f>IFERROR(__xludf.DUMMYFUNCTION("""COMPUTED_VALUE"""),"API")</f>
        <v>API</v>
      </c>
      <c r="J564" s="265" t="str">
        <f>IFERROR(__xludf.DUMMYFUNCTION("""COMPUTED_VALUE"""),"HubSpot")</f>
        <v>HubSpot</v>
      </c>
      <c r="K564" s="265" t="str">
        <f>IFERROR(__xludf.DUMMYFUNCTION("""COMPUTED_VALUE"""),"AnhNM")</f>
        <v>AnhNM</v>
      </c>
    </row>
    <row r="565">
      <c r="A565" s="265" t="str">
        <f>IFERROR(__xludf.DUMMYFUNCTION("""COMPUTED_VALUE"""),"824")</f>
        <v>824</v>
      </c>
      <c r="B565" s="265" t="str">
        <f>IFERROR(__xludf.DUMMYFUNCTION("""COMPUTED_VALUE"""),"Hà Nội")</f>
        <v>Hà Nội</v>
      </c>
      <c r="C565" s="265" t="str">
        <f>IFERROR(__xludf.DUMMYFUNCTION("""COMPUTED_VALUE"""),"Locked")</f>
        <v>Locked</v>
      </c>
      <c r="D565" s="265" t="str">
        <f>IFERROR(__xludf.DUMMYFUNCTION("""COMPUTED_VALUE"""),"Sale chưa cung cấp")</f>
        <v>Sale chưa cung cấp</v>
      </c>
      <c r="E565" s="265" t="str">
        <f>IFERROR(__xludf.DUMMYFUNCTION("""COMPUTED_VALUE"""),"TùngLD")</f>
        <v>TùngLD</v>
      </c>
      <c r="F565" s="265" t="str">
        <f>IFERROR(__xludf.DUMMYFUNCTION("""COMPUTED_VALUE"""),"Diamond")</f>
        <v>Diamond</v>
      </c>
      <c r="G565" s="265" t="str">
        <f>IFERROR(__xludf.DUMMYFUNCTION("""COMPUTED_VALUE"""),"Starter")</f>
        <v>Starter</v>
      </c>
      <c r="H565" s="265" t="str">
        <f>IFERROR(__xludf.DUMMYFUNCTION("""COMPUTED_VALUE"""),"Trial")</f>
        <v>Trial</v>
      </c>
      <c r="I565" s="265" t="str">
        <f>IFERROR(__xludf.DUMMYFUNCTION("""COMPUTED_VALUE"""),"Portal")</f>
        <v>Portal</v>
      </c>
      <c r="J565" s="265" t="str">
        <f>IFERROR(__xludf.DUMMYFUNCTION("""COMPUTED_VALUE"""),"HubSpot")</f>
        <v>HubSpot</v>
      </c>
      <c r="K565" s="265" t="str">
        <f>IFERROR(__xludf.DUMMYFUNCTION("""COMPUTED_VALUE"""),"(Không recheck)")</f>
        <v>(Không recheck)</v>
      </c>
    </row>
    <row r="566">
      <c r="A566" s="265" t="str">
        <f>IFERROR(__xludf.DUMMYFUNCTION("""COMPUTED_VALUE"""),"825")</f>
        <v>825</v>
      </c>
      <c r="B566" s="265" t="str">
        <f>IFERROR(__xludf.DUMMYFUNCTION("""COMPUTED_VALUE"""),"Hà Nội")</f>
        <v>Hà Nội</v>
      </c>
      <c r="C566" s="265" t="str">
        <f>IFERROR(__xludf.DUMMYFUNCTION("""COMPUTED_VALUE"""),"Active")</f>
        <v>Active</v>
      </c>
      <c r="D566" s="265" t="str">
        <f>IFERROR(__xludf.DUMMYFUNCTION("""COMPUTED_VALUE"""),"Sale chưa cung cấp")</f>
        <v>Sale chưa cung cấp</v>
      </c>
      <c r="E566" s="265" t="str">
        <f>IFERROR(__xludf.DUMMYFUNCTION("""COMPUTED_VALUE"""),"AnhNM")</f>
        <v>AnhNM</v>
      </c>
      <c r="F566" s="265" t="str">
        <f>IFERROR(__xludf.DUMMYFUNCTION("""COMPUTED_VALUE"""),"Silver")</f>
        <v>Silver</v>
      </c>
      <c r="G566" s="265" t="str">
        <f>IFERROR(__xludf.DUMMYFUNCTION("""COMPUTED_VALUE"""),"Starter")</f>
        <v>Starter</v>
      </c>
      <c r="H566" s="265" t="str">
        <f>IFERROR(__xludf.DUMMYFUNCTION("""COMPUTED_VALUE"""),"Trả trước")</f>
        <v>Trả trước</v>
      </c>
      <c r="I566" s="265" t="str">
        <f>IFERROR(__xludf.DUMMYFUNCTION("""COMPUTED_VALUE"""),"Portal")</f>
        <v>Portal</v>
      </c>
      <c r="J566" s="265" t="str">
        <f>IFERROR(__xludf.DUMMYFUNCTION("""COMPUTED_VALUE"""),"File Excel")</f>
        <v>File Excel</v>
      </c>
      <c r="K566" s="265" t="str">
        <f>IFERROR(__xludf.DUMMYFUNCTION("""COMPUTED_VALUE"""),"YếnĐH")</f>
        <v>YếnĐH</v>
      </c>
    </row>
    <row r="567">
      <c r="A567" s="265" t="str">
        <f>IFERROR(__xludf.DUMMYFUNCTION("""COMPUTED_VALUE"""),"826")</f>
        <v>826</v>
      </c>
      <c r="B567" s="265" t="str">
        <f>IFERROR(__xludf.DUMMYFUNCTION("""COMPUTED_VALUE"""),"Sài Gòn")</f>
        <v>Sài Gòn</v>
      </c>
      <c r="C567" s="265" t="str">
        <f>IFERROR(__xludf.DUMMYFUNCTION("""COMPUTED_VALUE"""),"Locked")</f>
        <v>Locked</v>
      </c>
      <c r="D567" s="265" t="str">
        <f>IFERROR(__xludf.DUMMYFUNCTION("""COMPUTED_VALUE"""),"Sản xuất &amp; Chế tạo")</f>
        <v>Sản xuất &amp; Chế tạo</v>
      </c>
      <c r="E567" s="265" t="str">
        <f>IFERROR(__xludf.DUMMYFUNCTION("""COMPUTED_VALUE"""),"HoaNTM")</f>
        <v>HoaNTM</v>
      </c>
      <c r="F567" s="265" t="str">
        <f>IFERROR(__xludf.DUMMYFUNCTION("""COMPUTED_VALUE"""),"Sale chưa cung cấp")</f>
        <v>Sale chưa cung cấp</v>
      </c>
      <c r="G567" s="265" t="str">
        <f>IFERROR(__xludf.DUMMYFUNCTION("""COMPUTED_VALUE"""),"API")</f>
        <v>API</v>
      </c>
      <c r="H567" s="265" t="str">
        <f>IFERROR(__xludf.DUMMYFUNCTION("""COMPUTED_VALUE"""),"Trả trước")</f>
        <v>Trả trước</v>
      </c>
      <c r="I567" s="265" t="str">
        <f>IFERROR(__xludf.DUMMYFUNCTION("""COMPUTED_VALUE"""),"API")</f>
        <v>API</v>
      </c>
      <c r="J567" s="265" t="str">
        <f>IFERROR(__xludf.DUMMYFUNCTION("""COMPUTED_VALUE"""),"API")</f>
        <v>API</v>
      </c>
      <c r="K567" s="265" t="str">
        <f>IFERROR(__xludf.DUMMYFUNCTION("""COMPUTED_VALUE"""),"AnhNM")</f>
        <v>AnhNM</v>
      </c>
    </row>
    <row r="568">
      <c r="A568" s="265" t="str">
        <f>IFERROR(__xludf.DUMMYFUNCTION("""COMPUTED_VALUE"""),"827")</f>
        <v>827</v>
      </c>
      <c r="B568" s="265" t="str">
        <f>IFERROR(__xludf.DUMMYFUNCTION("""COMPUTED_VALUE"""),"Sài Gòn")</f>
        <v>Sài Gòn</v>
      </c>
      <c r="C568" s="265" t="str">
        <f>IFERROR(__xludf.DUMMYFUNCTION("""COMPUTED_VALUE"""),"Locked")</f>
        <v>Locked</v>
      </c>
      <c r="D568" s="265" t="str">
        <f>IFERROR(__xludf.DUMMYFUNCTION("""COMPUTED_VALUE"""),"Mua sắm &amp; Bán lẻ")</f>
        <v>Mua sắm &amp; Bán lẻ</v>
      </c>
      <c r="E568" s="265" t="str">
        <f>IFERROR(__xludf.DUMMYFUNCTION("""COMPUTED_VALUE"""),"TúPHN")</f>
        <v>TúPHN</v>
      </c>
      <c r="F568" s="265" t="str">
        <f>IFERROR(__xludf.DUMMYFUNCTION("""COMPUTED_VALUE"""),"Silver")</f>
        <v>Silver</v>
      </c>
      <c r="G568" s="265" t="str">
        <f>IFERROR(__xludf.DUMMYFUNCTION("""COMPUTED_VALUE"""),"Premium")</f>
        <v>Premium</v>
      </c>
      <c r="H568" s="265" t="str">
        <f>IFERROR(__xludf.DUMMYFUNCTION("""COMPUTED_VALUE"""),"Trả sau")</f>
        <v>Trả sau</v>
      </c>
      <c r="I568" s="265" t="str">
        <f>IFERROR(__xludf.DUMMYFUNCTION("""COMPUTED_VALUE"""),"API &amp; Portal")</f>
        <v>API &amp; Portal</v>
      </c>
      <c r="J568" s="265" t="str">
        <f>IFERROR(__xludf.DUMMYFUNCTION("""COMPUTED_VALUE"""),"File Excel")</f>
        <v>File Excel</v>
      </c>
      <c r="K568" s="265" t="str">
        <f>IFERROR(__xludf.DUMMYFUNCTION("""COMPUTED_VALUE"""),"DungPL")</f>
        <v>DungPL</v>
      </c>
    </row>
    <row r="569">
      <c r="A569" s="265" t="str">
        <f>IFERROR(__xludf.DUMMYFUNCTION("""COMPUTED_VALUE"""),"827")</f>
        <v>827</v>
      </c>
      <c r="B569" s="265" t="str">
        <f>IFERROR(__xludf.DUMMYFUNCTION("""COMPUTED_VALUE"""),"Sài Gòn")</f>
        <v>Sài Gòn</v>
      </c>
      <c r="C569" s="265" t="str">
        <f>IFERROR(__xludf.DUMMYFUNCTION("""COMPUTED_VALUE"""),"Locked")</f>
        <v>Locked</v>
      </c>
      <c r="D569" s="265" t="str">
        <f>IFERROR(__xludf.DUMMYFUNCTION("""COMPUTED_VALUE"""),"Mua sắm &amp; Bán lẻ")</f>
        <v>Mua sắm &amp; Bán lẻ</v>
      </c>
      <c r="E569" s="265" t="str">
        <f>IFERROR(__xludf.DUMMYFUNCTION("""COMPUTED_VALUE"""),"TúPHN")</f>
        <v>TúPHN</v>
      </c>
      <c r="F569" s="265" t="str">
        <f>IFERROR(__xludf.DUMMYFUNCTION("""COMPUTED_VALUE"""),"Silver")</f>
        <v>Silver</v>
      </c>
      <c r="G569" s="265" t="str">
        <f>IFERROR(__xludf.DUMMYFUNCTION("""COMPUTED_VALUE"""),"Premium")</f>
        <v>Premium</v>
      </c>
      <c r="H569" s="265" t="str">
        <f>IFERROR(__xludf.DUMMYFUNCTION("""COMPUTED_VALUE"""),"Trả sau")</f>
        <v>Trả sau</v>
      </c>
      <c r="I569" s="265" t="str">
        <f>IFERROR(__xludf.DUMMYFUNCTION("""COMPUTED_VALUE"""),"API &amp; Portal")</f>
        <v>API &amp; Portal</v>
      </c>
      <c r="J569" s="265" t="str">
        <f>IFERROR(__xludf.DUMMYFUNCTION("""COMPUTED_VALUE"""),"API")</f>
        <v>API</v>
      </c>
      <c r="K569" s="265" t="str">
        <f>IFERROR(__xludf.DUMMYFUNCTION("""COMPUTED_VALUE"""),"DungPL")</f>
        <v>DungPL</v>
      </c>
    </row>
    <row r="570">
      <c r="A570" s="265" t="str">
        <f>IFERROR(__xludf.DUMMYFUNCTION("""COMPUTED_VALUE"""),"828")</f>
        <v>828</v>
      </c>
      <c r="B570" s="265" t="str">
        <f>IFERROR(__xludf.DUMMYFUNCTION("""COMPUTED_VALUE"""),"Hà Nội")</f>
        <v>Hà Nội</v>
      </c>
      <c r="C570" s="265" t="str">
        <f>IFERROR(__xludf.DUMMYFUNCTION("""COMPUTED_VALUE"""),"Active")</f>
        <v>Active</v>
      </c>
      <c r="D570" s="265" t="str">
        <f>IFERROR(__xludf.DUMMYFUNCTION("""COMPUTED_VALUE"""),"Vận tải &amp; logistics")</f>
        <v>Vận tải &amp; logistics</v>
      </c>
      <c r="E570" s="265" t="str">
        <f>IFERROR(__xludf.DUMMYFUNCTION("""COMPUTED_VALUE"""),"TùngLD")</f>
        <v>TùngLD</v>
      </c>
      <c r="F570" s="265" t="str">
        <f>IFERROR(__xludf.DUMMYFUNCTION("""COMPUTED_VALUE"""),"Silver")</f>
        <v>Silver</v>
      </c>
      <c r="G570" s="265" t="str">
        <f>IFERROR(__xludf.DUMMYFUNCTION("""COMPUTED_VALUE"""),"Premium")</f>
        <v>Premium</v>
      </c>
      <c r="H570" s="265" t="str">
        <f>IFERROR(__xludf.DUMMYFUNCTION("""COMPUTED_VALUE"""),"Trả sau")</f>
        <v>Trả sau</v>
      </c>
      <c r="I570" s="265" t="str">
        <f>IFERROR(__xludf.DUMMYFUNCTION("""COMPUTED_VALUE"""),"API &amp; Portal")</f>
        <v>API &amp; Portal</v>
      </c>
      <c r="J570" s="265" t="str">
        <f>IFERROR(__xludf.DUMMYFUNCTION("""COMPUTED_VALUE"""),"API")</f>
        <v>API</v>
      </c>
      <c r="K570" s="265" t="str">
        <f>IFERROR(__xludf.DUMMYFUNCTION("""COMPUTED_VALUE"""),"DungPL")</f>
        <v>DungPL</v>
      </c>
    </row>
    <row r="571">
      <c r="A571" s="265" t="str">
        <f>IFERROR(__xludf.DUMMYFUNCTION("""COMPUTED_VALUE"""),"829")</f>
        <v>829</v>
      </c>
      <c r="B571" s="265" t="str">
        <f>IFERROR(__xludf.DUMMYFUNCTION("""COMPUTED_VALUE"""),"Sài Gòn")</f>
        <v>Sài Gòn</v>
      </c>
      <c r="C571" s="265" t="str">
        <f>IFERROR(__xludf.DUMMYFUNCTION("""COMPUTED_VALUE"""),"Locked")</f>
        <v>Locked</v>
      </c>
      <c r="D571" s="265" t="str">
        <f>IFERROR(__xludf.DUMMYFUNCTION("""COMPUTED_VALUE"""),"Sale chưa cung cấp")</f>
        <v>Sale chưa cung cấp</v>
      </c>
      <c r="E571" s="265" t="str">
        <f>IFERROR(__xludf.DUMMYFUNCTION("""COMPUTED_VALUE"""),"TùngLD")</f>
        <v>TùngLD</v>
      </c>
      <c r="F571" s="265" t="str">
        <f>IFERROR(__xludf.DUMMYFUNCTION("""COMPUTED_VALUE"""),"Silver")</f>
        <v>Silver</v>
      </c>
      <c r="G571" s="265" t="str">
        <f>IFERROR(__xludf.DUMMYFUNCTION("""COMPUTED_VALUE"""),"Starter")</f>
        <v>Starter</v>
      </c>
      <c r="H571" s="265" t="str">
        <f>IFERROR(__xludf.DUMMYFUNCTION("""COMPUTED_VALUE"""),"Trial")</f>
        <v>Trial</v>
      </c>
      <c r="I571" s="265" t="str">
        <f>IFERROR(__xludf.DUMMYFUNCTION("""COMPUTED_VALUE"""),"API")</f>
        <v>API</v>
      </c>
      <c r="J571" s="265" t="str">
        <f>IFERROR(__xludf.DUMMYFUNCTION("""COMPUTED_VALUE"""),"API")</f>
        <v>API</v>
      </c>
      <c r="K571" s="265" t="str">
        <f>IFERROR(__xludf.DUMMYFUNCTION("""COMPUTED_VALUE"""),"AnhNM")</f>
        <v>AnhNM</v>
      </c>
    </row>
    <row r="572">
      <c r="A572" s="265" t="str">
        <f>IFERROR(__xludf.DUMMYFUNCTION("""COMPUTED_VALUE"""),"830")</f>
        <v>830</v>
      </c>
      <c r="B572" s="265" t="str">
        <f>IFERROR(__xludf.DUMMYFUNCTION("""COMPUTED_VALUE"""),"Hà Nội")</f>
        <v>Hà Nội</v>
      </c>
      <c r="C572" s="265" t="str">
        <f>IFERROR(__xludf.DUMMYFUNCTION("""COMPUTED_VALUE"""),"Locked")</f>
        <v>Locked</v>
      </c>
      <c r="D572" s="265" t="str">
        <f>IFERROR(__xludf.DUMMYFUNCTION("""COMPUTED_VALUE"""),"Viễn thông")</f>
        <v>Viễn thông</v>
      </c>
      <c r="E572" s="265" t="str">
        <f>IFERROR(__xludf.DUMMYFUNCTION("""COMPUTED_VALUE"""),"TúPHN")</f>
        <v>TúPHN</v>
      </c>
      <c r="F572" s="265" t="str">
        <f>IFERROR(__xludf.DUMMYFUNCTION("""COMPUTED_VALUE"""),"Gold")</f>
        <v>Gold</v>
      </c>
      <c r="G572" s="265" t="str">
        <f>IFERROR(__xludf.DUMMYFUNCTION("""COMPUTED_VALUE"""),"Starter")</f>
        <v>Starter</v>
      </c>
      <c r="H572" s="265" t="str">
        <f>IFERROR(__xludf.DUMMYFUNCTION("""COMPUTED_VALUE"""),"Trả sau")</f>
        <v>Trả sau</v>
      </c>
      <c r="I572" s="265" t="str">
        <f>IFERROR(__xludf.DUMMYFUNCTION("""COMPUTED_VALUE"""),"API")</f>
        <v>API</v>
      </c>
      <c r="J572" s="265" t="str">
        <f>IFERROR(__xludf.DUMMYFUNCTION("""COMPUTED_VALUE"""),"API")</f>
        <v>API</v>
      </c>
      <c r="K572" s="265" t="str">
        <f>IFERROR(__xludf.DUMMYFUNCTION("""COMPUTED_VALUE"""),"LinhNTT1")</f>
        <v>LinhNTT1</v>
      </c>
    </row>
    <row r="573">
      <c r="A573" s="265" t="str">
        <f>IFERROR(__xludf.DUMMYFUNCTION("""COMPUTED_VALUE"""),"837")</f>
        <v>837</v>
      </c>
      <c r="B573" s="265" t="str">
        <f>IFERROR(__xludf.DUMMYFUNCTION("""COMPUTED_VALUE"""),"Sài Gòn")</f>
        <v>Sài Gòn</v>
      </c>
      <c r="C573" s="265" t="str">
        <f>IFERROR(__xludf.DUMMYFUNCTION("""COMPUTED_VALUE"""),"Locked")</f>
        <v>Locked</v>
      </c>
      <c r="D573" s="265" t="str">
        <f>IFERROR(__xludf.DUMMYFUNCTION("""COMPUTED_VALUE"""),"Sale chưa cung cấp")</f>
        <v>Sale chưa cung cấp</v>
      </c>
      <c r="E573" s="265" t="str">
        <f>IFERROR(__xludf.DUMMYFUNCTION("""COMPUTED_VALUE"""),"TùngLD")</f>
        <v>TùngLD</v>
      </c>
      <c r="F573" s="265" t="str">
        <f>IFERROR(__xludf.DUMMYFUNCTION("""COMPUTED_VALUE"""),"Gold")</f>
        <v>Gold</v>
      </c>
      <c r="G573" s="265" t="str">
        <f>IFERROR(__xludf.DUMMYFUNCTION("""COMPUTED_VALUE"""),"Premium")</f>
        <v>Premium</v>
      </c>
      <c r="H573" s="265" t="str">
        <f>IFERROR(__xludf.DUMMYFUNCTION("""COMPUTED_VALUE"""),"Trả sau")</f>
        <v>Trả sau</v>
      </c>
      <c r="I573" s="265" t="str">
        <f>IFERROR(__xludf.DUMMYFUNCTION("""COMPUTED_VALUE"""),"API")</f>
        <v>API</v>
      </c>
      <c r="J573" s="265" t="str">
        <f>IFERROR(__xludf.DUMMYFUNCTION("""COMPUTED_VALUE"""),"ZCA gửi ZNS")</f>
        <v>ZCA gửi ZNS</v>
      </c>
      <c r="K573" s="265" t="str">
        <f>IFERROR(__xludf.DUMMYFUNCTION("""COMPUTED_VALUE"""),"DungPL")</f>
        <v>DungPL</v>
      </c>
    </row>
    <row r="574">
      <c r="A574" s="265" t="str">
        <f>IFERROR(__xludf.DUMMYFUNCTION("""COMPUTED_VALUE"""),"833")</f>
        <v>833</v>
      </c>
      <c r="B574" s="265" t="str">
        <f>IFERROR(__xludf.DUMMYFUNCTION("""COMPUTED_VALUE"""),"Hà Nội")</f>
        <v>Hà Nội</v>
      </c>
      <c r="C574" s="265" t="str">
        <f>IFERROR(__xludf.DUMMYFUNCTION("""COMPUTED_VALUE"""),"Locked")</f>
        <v>Locked</v>
      </c>
      <c r="D574" s="265" t="str">
        <f>IFERROR(__xludf.DUMMYFUNCTION("""COMPUTED_VALUE"""),"Sale chưa cung cấp")</f>
        <v>Sale chưa cung cấp</v>
      </c>
      <c r="E574" s="265" t="str">
        <f>IFERROR(__xludf.DUMMYFUNCTION("""COMPUTED_VALUE"""),"TùngLD")</f>
        <v>TùngLD</v>
      </c>
      <c r="F574" s="265" t="str">
        <f>IFERROR(__xludf.DUMMYFUNCTION("""COMPUTED_VALUE"""),"Sale chưa cung cấp")</f>
        <v>Sale chưa cung cấp</v>
      </c>
      <c r="G574" s="265" t="str">
        <f>IFERROR(__xludf.DUMMYFUNCTION("""COMPUTED_VALUE"""),"(Không recheck)")</f>
        <v>(Không recheck)</v>
      </c>
      <c r="H574" s="265" t="str">
        <f>IFERROR(__xludf.DUMMYFUNCTION("""COMPUTED_VALUE"""),"Trial")</f>
        <v>Trial</v>
      </c>
      <c r="I574" s="265" t="str">
        <f>IFERROR(__xludf.DUMMYFUNCTION("""COMPUTED_VALUE"""),"API")</f>
        <v>API</v>
      </c>
      <c r="J574" s="265" t="str">
        <f>IFERROR(__xludf.DUMMYFUNCTION("""COMPUTED_VALUE"""),"API")</f>
        <v>API</v>
      </c>
      <c r="K574" s="265" t="str">
        <f>IFERROR(__xludf.DUMMYFUNCTION("""COMPUTED_VALUE"""),"AnhNM")</f>
        <v>AnhNM</v>
      </c>
    </row>
    <row r="575">
      <c r="A575" s="265" t="str">
        <f>IFERROR(__xludf.DUMMYFUNCTION("""COMPUTED_VALUE"""),"834")</f>
        <v>834</v>
      </c>
      <c r="B575" s="265" t="str">
        <f>IFERROR(__xludf.DUMMYFUNCTION("""COMPUTED_VALUE"""),"Hà Nội")</f>
        <v>Hà Nội</v>
      </c>
      <c r="C575" s="265" t="str">
        <f>IFERROR(__xludf.DUMMYFUNCTION("""COMPUTED_VALUE"""),"Locked")</f>
        <v>Locked</v>
      </c>
      <c r="D575" s="265" t="str">
        <f>IFERROR(__xludf.DUMMYFUNCTION("""COMPUTED_VALUE"""),"Sale chưa cung cấp")</f>
        <v>Sale chưa cung cấp</v>
      </c>
      <c r="E575" s="265" t="str">
        <f>IFERROR(__xludf.DUMMYFUNCTION("""COMPUTED_VALUE"""),"AnhNM")</f>
        <v>AnhNM</v>
      </c>
      <c r="F575" s="265" t="str">
        <f>IFERROR(__xludf.DUMMYFUNCTION("""COMPUTED_VALUE"""),"Sale chưa cung cấp")</f>
        <v>Sale chưa cung cấp</v>
      </c>
      <c r="G575" s="265" t="str">
        <f>IFERROR(__xludf.DUMMYFUNCTION("""COMPUTED_VALUE"""),"Premium")</f>
        <v>Premium</v>
      </c>
      <c r="H575" s="265" t="str">
        <f>IFERROR(__xludf.DUMMYFUNCTION("""COMPUTED_VALUE"""),"Trả trước")</f>
        <v>Trả trước</v>
      </c>
      <c r="I575" s="265" t="str">
        <f>IFERROR(__xludf.DUMMYFUNCTION("""COMPUTED_VALUE"""),"API &amp; Portal")</f>
        <v>API &amp; Portal</v>
      </c>
      <c r="J575" s="265" t="str">
        <f>IFERROR(__xludf.DUMMYFUNCTION("""COMPUTED_VALUE"""),"File Excel")</f>
        <v>File Excel</v>
      </c>
      <c r="K575" s="265" t="str">
        <f>IFERROR(__xludf.DUMMYFUNCTION("""COMPUTED_VALUE"""),"LinhNTT1")</f>
        <v>LinhNTT1</v>
      </c>
    </row>
    <row r="576">
      <c r="A576" s="265" t="str">
        <f>IFERROR(__xludf.DUMMYFUNCTION("""COMPUTED_VALUE"""),"834")</f>
        <v>834</v>
      </c>
      <c r="B576" s="265" t="str">
        <f>IFERROR(__xludf.DUMMYFUNCTION("""COMPUTED_VALUE"""),"Hà Nội")</f>
        <v>Hà Nội</v>
      </c>
      <c r="C576" s="265" t="str">
        <f>IFERROR(__xludf.DUMMYFUNCTION("""COMPUTED_VALUE"""),"Locked")</f>
        <v>Locked</v>
      </c>
      <c r="D576" s="265" t="str">
        <f>IFERROR(__xludf.DUMMYFUNCTION("""COMPUTED_VALUE"""),"Sale chưa cung cấp")</f>
        <v>Sale chưa cung cấp</v>
      </c>
      <c r="E576" s="265" t="str">
        <f>IFERROR(__xludf.DUMMYFUNCTION("""COMPUTED_VALUE"""),"AnhNM")</f>
        <v>AnhNM</v>
      </c>
      <c r="F576" s="265" t="str">
        <f>IFERROR(__xludf.DUMMYFUNCTION("""COMPUTED_VALUE"""),"Sale chưa cung cấp")</f>
        <v>Sale chưa cung cấp</v>
      </c>
      <c r="G576" s="265" t="str">
        <f>IFERROR(__xludf.DUMMYFUNCTION("""COMPUTED_VALUE"""),"Premium")</f>
        <v>Premium</v>
      </c>
      <c r="H576" s="265" t="str">
        <f>IFERROR(__xludf.DUMMYFUNCTION("""COMPUTED_VALUE"""),"Trả trước")</f>
        <v>Trả trước</v>
      </c>
      <c r="I576" s="265" t="str">
        <f>IFERROR(__xludf.DUMMYFUNCTION("""COMPUTED_VALUE"""),"API &amp; Portal")</f>
        <v>API &amp; Portal</v>
      </c>
      <c r="J576" s="265" t="str">
        <f>IFERROR(__xludf.DUMMYFUNCTION("""COMPUTED_VALUE"""),"API")</f>
        <v>API</v>
      </c>
      <c r="K576" s="265" t="str">
        <f>IFERROR(__xludf.DUMMYFUNCTION("""COMPUTED_VALUE"""),"LinhNTT1")</f>
        <v>LinhNTT1</v>
      </c>
    </row>
    <row r="577">
      <c r="A577" s="265" t="str">
        <f>IFERROR(__xludf.DUMMYFUNCTION("""COMPUTED_VALUE"""),"836")</f>
        <v>836</v>
      </c>
      <c r="B577" s="265" t="str">
        <f>IFERROR(__xludf.DUMMYFUNCTION("""COMPUTED_VALUE"""),"Sài Gòn")</f>
        <v>Sài Gòn</v>
      </c>
      <c r="C577" s="265" t="str">
        <f>IFERROR(__xludf.DUMMYFUNCTION("""COMPUTED_VALUE"""),"Locked")</f>
        <v>Locked</v>
      </c>
      <c r="D577" s="265" t="str">
        <f>IFERROR(__xludf.DUMMYFUNCTION("""COMPUTED_VALUE"""),"Sale chưa cung cấp")</f>
        <v>Sale chưa cung cấp</v>
      </c>
      <c r="E577" s="265" t="str">
        <f>IFERROR(__xludf.DUMMYFUNCTION("""COMPUTED_VALUE"""),"HoaNTM")</f>
        <v>HoaNTM</v>
      </c>
      <c r="F577" s="265" t="str">
        <f>IFERROR(__xludf.DUMMYFUNCTION("""COMPUTED_VALUE"""),"Diamond")</f>
        <v>Diamond</v>
      </c>
      <c r="G577" s="265" t="str">
        <f>IFERROR(__xludf.DUMMYFUNCTION("""COMPUTED_VALUE"""),"API")</f>
        <v>API</v>
      </c>
      <c r="H577" s="265" t="str">
        <f>IFERROR(__xludf.DUMMYFUNCTION("""COMPUTED_VALUE"""),"Trả trước")</f>
        <v>Trả trước</v>
      </c>
      <c r="I577" s="265" t="str">
        <f>IFERROR(__xludf.DUMMYFUNCTION("""COMPUTED_VALUE"""),"API")</f>
        <v>API</v>
      </c>
      <c r="J577" s="265" t="str">
        <f>IFERROR(__xludf.DUMMYFUNCTION("""COMPUTED_VALUE"""),"File Excel")</f>
        <v>File Excel</v>
      </c>
      <c r="K577" s="265" t="str">
        <f>IFERROR(__xludf.DUMMYFUNCTION("""COMPUTED_VALUE"""),"LinhNTT1")</f>
        <v>LinhNTT1</v>
      </c>
    </row>
    <row r="578">
      <c r="A578" s="265" t="str">
        <f>IFERROR(__xludf.DUMMYFUNCTION("""COMPUTED_VALUE"""),"836")</f>
        <v>836</v>
      </c>
      <c r="B578" s="265" t="str">
        <f>IFERROR(__xludf.DUMMYFUNCTION("""COMPUTED_VALUE"""),"Sài Gòn")</f>
        <v>Sài Gòn</v>
      </c>
      <c r="C578" s="265" t="str">
        <f>IFERROR(__xludf.DUMMYFUNCTION("""COMPUTED_VALUE"""),"Locked")</f>
        <v>Locked</v>
      </c>
      <c r="D578" s="265" t="str">
        <f>IFERROR(__xludf.DUMMYFUNCTION("""COMPUTED_VALUE"""),"Sale chưa cung cấp")</f>
        <v>Sale chưa cung cấp</v>
      </c>
      <c r="E578" s="265" t="str">
        <f>IFERROR(__xludf.DUMMYFUNCTION("""COMPUTED_VALUE"""),"HoaNTM")</f>
        <v>HoaNTM</v>
      </c>
      <c r="F578" s="265" t="str">
        <f>IFERROR(__xludf.DUMMYFUNCTION("""COMPUTED_VALUE"""),"Diamond")</f>
        <v>Diamond</v>
      </c>
      <c r="G578" s="265" t="str">
        <f>IFERROR(__xludf.DUMMYFUNCTION("""COMPUTED_VALUE"""),"API")</f>
        <v>API</v>
      </c>
      <c r="H578" s="265" t="str">
        <f>IFERROR(__xludf.DUMMYFUNCTION("""COMPUTED_VALUE"""),"Trả trước")</f>
        <v>Trả trước</v>
      </c>
      <c r="I578" s="265" t="str">
        <f>IFERROR(__xludf.DUMMYFUNCTION("""COMPUTED_VALUE"""),"API")</f>
        <v>API</v>
      </c>
      <c r="J578" s="265" t="str">
        <f>IFERROR(__xludf.DUMMYFUNCTION("""COMPUTED_VALUE"""),"API")</f>
        <v>API</v>
      </c>
      <c r="K578" s="265" t="str">
        <f>IFERROR(__xludf.DUMMYFUNCTION("""COMPUTED_VALUE"""),"LinhNTT1")</f>
        <v>LinhNTT1</v>
      </c>
    </row>
    <row r="579">
      <c r="A579" s="265" t="str">
        <f>IFERROR(__xludf.DUMMYFUNCTION("""COMPUTED_VALUE"""),"838")</f>
        <v>838</v>
      </c>
      <c r="B579" s="265" t="str">
        <f>IFERROR(__xludf.DUMMYFUNCTION("""COMPUTED_VALUE"""),"Hà Nội")</f>
        <v>Hà Nội</v>
      </c>
      <c r="C579" s="265" t="str">
        <f>IFERROR(__xludf.DUMMYFUNCTION("""COMPUTED_VALUE"""),"Locked")</f>
        <v>Locked</v>
      </c>
      <c r="D579" s="265" t="str">
        <f>IFERROR(__xludf.DUMMYFUNCTION("""COMPUTED_VALUE"""),"Dịch vụ khác")</f>
        <v>Dịch vụ khác</v>
      </c>
      <c r="E579" s="265" t="str">
        <f>IFERROR(__xludf.DUMMYFUNCTION("""COMPUTED_VALUE"""),"AnhNM")</f>
        <v>AnhNM</v>
      </c>
      <c r="F579" s="265" t="str">
        <f>IFERROR(__xludf.DUMMYFUNCTION("""COMPUTED_VALUE"""),"Sale chưa cung cấp")</f>
        <v>Sale chưa cung cấp</v>
      </c>
      <c r="G579" s="265" t="str">
        <f>IFERROR(__xludf.DUMMYFUNCTION("""COMPUTED_VALUE"""),"Premium")</f>
        <v>Premium</v>
      </c>
      <c r="H579" s="265" t="str">
        <f>IFERROR(__xludf.DUMMYFUNCTION("""COMPUTED_VALUE"""),"Trả trước")</f>
        <v>Trả trước</v>
      </c>
      <c r="I579" s="265" t="str">
        <f>IFERROR(__xludf.DUMMYFUNCTION("""COMPUTED_VALUE"""),"API &amp; Portal")</f>
        <v>API &amp; Portal</v>
      </c>
      <c r="J579" s="265" t="str">
        <f>IFERROR(__xludf.DUMMYFUNCTION("""COMPUTED_VALUE"""),"File Excel")</f>
        <v>File Excel</v>
      </c>
      <c r="K579" s="265" t="str">
        <f>IFERROR(__xludf.DUMMYFUNCTION("""COMPUTED_VALUE"""),"DungPL")</f>
        <v>DungPL</v>
      </c>
    </row>
    <row r="580">
      <c r="A580" s="265" t="str">
        <f>IFERROR(__xludf.DUMMYFUNCTION("""COMPUTED_VALUE"""),"838")</f>
        <v>838</v>
      </c>
      <c r="B580" s="265" t="str">
        <f>IFERROR(__xludf.DUMMYFUNCTION("""COMPUTED_VALUE"""),"Hà Nội")</f>
        <v>Hà Nội</v>
      </c>
      <c r="C580" s="265" t="str">
        <f>IFERROR(__xludf.DUMMYFUNCTION("""COMPUTED_VALUE"""),"Locked")</f>
        <v>Locked</v>
      </c>
      <c r="D580" s="265" t="str">
        <f>IFERROR(__xludf.DUMMYFUNCTION("""COMPUTED_VALUE"""),"Dịch vụ khác")</f>
        <v>Dịch vụ khác</v>
      </c>
      <c r="E580" s="265" t="str">
        <f>IFERROR(__xludf.DUMMYFUNCTION("""COMPUTED_VALUE"""),"AnhNM")</f>
        <v>AnhNM</v>
      </c>
      <c r="F580" s="265" t="str">
        <f>IFERROR(__xludf.DUMMYFUNCTION("""COMPUTED_VALUE"""),"Sale chưa cung cấp")</f>
        <v>Sale chưa cung cấp</v>
      </c>
      <c r="G580" s="265" t="str">
        <f>IFERROR(__xludf.DUMMYFUNCTION("""COMPUTED_VALUE"""),"Premium")</f>
        <v>Premium</v>
      </c>
      <c r="H580" s="265" t="str">
        <f>IFERROR(__xludf.DUMMYFUNCTION("""COMPUTED_VALUE"""),"Trả trước")</f>
        <v>Trả trước</v>
      </c>
      <c r="I580" s="265" t="str">
        <f>IFERROR(__xludf.DUMMYFUNCTION("""COMPUTED_VALUE"""),"API &amp; Portal")</f>
        <v>API &amp; Portal</v>
      </c>
      <c r="J580" s="265" t="str">
        <f>IFERROR(__xludf.DUMMYFUNCTION("""COMPUTED_VALUE"""),"API")</f>
        <v>API</v>
      </c>
      <c r="K580" s="265" t="str">
        <f>IFERROR(__xludf.DUMMYFUNCTION("""COMPUTED_VALUE"""),"DungPL")</f>
        <v>DungPL</v>
      </c>
    </row>
    <row r="581">
      <c r="A581" s="265" t="str">
        <f>IFERROR(__xludf.DUMMYFUNCTION("""COMPUTED_VALUE"""),"884")</f>
        <v>884</v>
      </c>
      <c r="B581" s="265" t="str">
        <f>IFERROR(__xludf.DUMMYFUNCTION("""COMPUTED_VALUE"""),"Đà Nẵng")</f>
        <v>Đà Nẵng</v>
      </c>
      <c r="C581" s="265" t="str">
        <f>IFERROR(__xludf.DUMMYFUNCTION("""COMPUTED_VALUE"""),"Locked")</f>
        <v>Locked</v>
      </c>
      <c r="D581" s="265" t="str">
        <f>IFERROR(__xludf.DUMMYFUNCTION("""COMPUTED_VALUE"""),"Thời trang &amp; May mặc")</f>
        <v>Thời trang &amp; May mặc</v>
      </c>
      <c r="E581" s="265" t="str">
        <f>IFERROR(__xludf.DUMMYFUNCTION("""COMPUTED_VALUE"""),"TúPHN")</f>
        <v>TúPHN</v>
      </c>
      <c r="F581" s="265" t="str">
        <f>IFERROR(__xludf.DUMMYFUNCTION("""COMPUTED_VALUE"""),"Bronze")</f>
        <v>Bronze</v>
      </c>
      <c r="G581" s="265" t="str">
        <f>IFERROR(__xludf.DUMMYFUNCTION("""COMPUTED_VALUE"""),"Starter")</f>
        <v>Starter</v>
      </c>
      <c r="H581" s="265" t="str">
        <f>IFERROR(__xludf.DUMMYFUNCTION("""COMPUTED_VALUE"""),"Trả sau")</f>
        <v>Trả sau</v>
      </c>
      <c r="I581" s="265" t="str">
        <f>IFERROR(__xludf.DUMMYFUNCTION("""COMPUTED_VALUE"""),"Portal")</f>
        <v>Portal</v>
      </c>
      <c r="J581" s="265" t="str">
        <f>IFERROR(__xludf.DUMMYFUNCTION("""COMPUTED_VALUE"""),"File Excel")</f>
        <v>File Excel</v>
      </c>
      <c r="K581" s="265" t="str">
        <f>IFERROR(__xludf.DUMMYFUNCTION("""COMPUTED_VALUE"""),"DungPL")</f>
        <v>DungPL</v>
      </c>
    </row>
    <row r="582">
      <c r="A582" s="265" t="str">
        <f>IFERROR(__xludf.DUMMYFUNCTION("""COMPUTED_VALUE"""),"839")</f>
        <v>839</v>
      </c>
      <c r="B582" s="265" t="str">
        <f>IFERROR(__xludf.DUMMYFUNCTION("""COMPUTED_VALUE"""),"Sài Gòn")</f>
        <v>Sài Gòn</v>
      </c>
      <c r="C582" s="265" t="str">
        <f>IFERROR(__xludf.DUMMYFUNCTION("""COMPUTED_VALUE"""),"Locked")</f>
        <v>Locked</v>
      </c>
      <c r="D582" s="265" t="str">
        <f>IFERROR(__xludf.DUMMYFUNCTION("""COMPUTED_VALUE"""),"Sale chưa cung cấp")</f>
        <v>Sale chưa cung cấp</v>
      </c>
      <c r="E582" s="265" t="str">
        <f>IFERROR(__xludf.DUMMYFUNCTION("""COMPUTED_VALUE"""),"HoaNTM")</f>
        <v>HoaNTM</v>
      </c>
      <c r="F582" s="265" t="str">
        <f>IFERROR(__xludf.DUMMYFUNCTION("""COMPUTED_VALUE"""),"Diamond")</f>
        <v>Diamond</v>
      </c>
      <c r="G582" s="265" t="str">
        <f>IFERROR(__xludf.DUMMYFUNCTION("""COMPUTED_VALUE"""),"Enterprise")</f>
        <v>Enterprise</v>
      </c>
      <c r="H582" s="265" t="str">
        <f>IFERROR(__xludf.DUMMYFUNCTION("""COMPUTED_VALUE"""),"Trả sau")</f>
        <v>Trả sau</v>
      </c>
      <c r="I582" s="265" t="str">
        <f>IFERROR(__xludf.DUMMYFUNCTION("""COMPUTED_VALUE"""),"Portal")</f>
        <v>Portal</v>
      </c>
      <c r="J582" s="265" t="str">
        <f>IFERROR(__xludf.DUMMYFUNCTION("""COMPUTED_VALUE"""),"File Excel")</f>
        <v>File Excel</v>
      </c>
      <c r="K582" s="265" t="str">
        <f>IFERROR(__xludf.DUMMYFUNCTION("""COMPUTED_VALUE"""),"YếnĐH")</f>
        <v>YếnĐH</v>
      </c>
    </row>
    <row r="583">
      <c r="A583" s="265" t="str">
        <f>IFERROR(__xludf.DUMMYFUNCTION("""COMPUTED_VALUE"""),"841")</f>
        <v>841</v>
      </c>
      <c r="B583" s="265" t="str">
        <f>IFERROR(__xludf.DUMMYFUNCTION("""COMPUTED_VALUE"""),"Sài Gòn")</f>
        <v>Sài Gòn</v>
      </c>
      <c r="C583" s="265" t="str">
        <f>IFERROR(__xludf.DUMMYFUNCTION("""COMPUTED_VALUE"""),"Locked")</f>
        <v>Locked</v>
      </c>
      <c r="D583" s="265" t="str">
        <f>IFERROR(__xludf.DUMMYFUNCTION("""COMPUTED_VALUE"""),"Vận tải &amp; logistics")</f>
        <v>Vận tải &amp; logistics</v>
      </c>
      <c r="E583" s="265" t="str">
        <f>IFERROR(__xludf.DUMMYFUNCTION("""COMPUTED_VALUE"""),"TúPHN")</f>
        <v>TúPHN</v>
      </c>
      <c r="F583" s="265" t="str">
        <f>IFERROR(__xludf.DUMMYFUNCTION("""COMPUTED_VALUE"""),"Sale chưa cung cấp")</f>
        <v>Sale chưa cung cấp</v>
      </c>
      <c r="G583" s="265" t="str">
        <f>IFERROR(__xludf.DUMMYFUNCTION("""COMPUTED_VALUE"""),"Starter")</f>
        <v>Starter</v>
      </c>
      <c r="H583" s="265" t="str">
        <f>IFERROR(__xludf.DUMMYFUNCTION("""COMPUTED_VALUE"""),"Trial")</f>
        <v>Trial</v>
      </c>
      <c r="I583" s="265" t="str">
        <f>IFERROR(__xludf.DUMMYFUNCTION("""COMPUTED_VALUE"""),"API &amp; Portal")</f>
        <v>API &amp; Portal</v>
      </c>
      <c r="J583" s="265" t="str">
        <f>IFERROR(__xludf.DUMMYFUNCTION("""COMPUTED_VALUE"""),"File Excel")</f>
        <v>File Excel</v>
      </c>
      <c r="K583" s="265" t="str">
        <f>IFERROR(__xludf.DUMMYFUNCTION("""COMPUTED_VALUE"""),"(Không recheck)")</f>
        <v>(Không recheck)</v>
      </c>
    </row>
    <row r="584">
      <c r="A584" s="265" t="str">
        <f>IFERROR(__xludf.DUMMYFUNCTION("""COMPUTED_VALUE"""),"841")</f>
        <v>841</v>
      </c>
      <c r="B584" s="265" t="str">
        <f>IFERROR(__xludf.DUMMYFUNCTION("""COMPUTED_VALUE"""),"Sài Gòn")</f>
        <v>Sài Gòn</v>
      </c>
      <c r="C584" s="265" t="str">
        <f>IFERROR(__xludf.DUMMYFUNCTION("""COMPUTED_VALUE"""),"Locked")</f>
        <v>Locked</v>
      </c>
      <c r="D584" s="265" t="str">
        <f>IFERROR(__xludf.DUMMYFUNCTION("""COMPUTED_VALUE"""),"Vận tải &amp; logistics")</f>
        <v>Vận tải &amp; logistics</v>
      </c>
      <c r="E584" s="265" t="str">
        <f>IFERROR(__xludf.DUMMYFUNCTION("""COMPUTED_VALUE"""),"TúPHN")</f>
        <v>TúPHN</v>
      </c>
      <c r="F584" s="265" t="str">
        <f>IFERROR(__xludf.DUMMYFUNCTION("""COMPUTED_VALUE"""),"Sale chưa cung cấp")</f>
        <v>Sale chưa cung cấp</v>
      </c>
      <c r="G584" s="265" t="str">
        <f>IFERROR(__xludf.DUMMYFUNCTION("""COMPUTED_VALUE"""),"Starter")</f>
        <v>Starter</v>
      </c>
      <c r="H584" s="265" t="str">
        <f>IFERROR(__xludf.DUMMYFUNCTION("""COMPUTED_VALUE"""),"Trial")</f>
        <v>Trial</v>
      </c>
      <c r="I584" s="265" t="str">
        <f>IFERROR(__xludf.DUMMYFUNCTION("""COMPUTED_VALUE"""),"API &amp; Portal")</f>
        <v>API &amp; Portal</v>
      </c>
      <c r="J584" s="265" t="str">
        <f>IFERROR(__xludf.DUMMYFUNCTION("""COMPUTED_VALUE"""),"API")</f>
        <v>API</v>
      </c>
      <c r="K584" s="265" t="str">
        <f>IFERROR(__xludf.DUMMYFUNCTION("""COMPUTED_VALUE"""),"(Không recheck)")</f>
        <v>(Không recheck)</v>
      </c>
    </row>
    <row r="585">
      <c r="A585" s="265" t="str">
        <f>IFERROR(__xludf.DUMMYFUNCTION("""COMPUTED_VALUE"""),"840")</f>
        <v>840</v>
      </c>
      <c r="B585" s="265" t="str">
        <f>IFERROR(__xludf.DUMMYFUNCTION("""COMPUTED_VALUE"""),"Sài Gòn")</f>
        <v>Sài Gòn</v>
      </c>
      <c r="C585" s="265" t="str">
        <f>IFERROR(__xludf.DUMMYFUNCTION("""COMPUTED_VALUE"""),"Locked")</f>
        <v>Locked</v>
      </c>
      <c r="D585" s="265" t="str">
        <f>IFERROR(__xludf.DUMMYFUNCTION("""COMPUTED_VALUE"""),"Thực phẩm &amp; Đồ uống")</f>
        <v>Thực phẩm &amp; Đồ uống</v>
      </c>
      <c r="E585" s="265" t="str">
        <f>IFERROR(__xludf.DUMMYFUNCTION("""COMPUTED_VALUE"""),"HoaNTM")</f>
        <v>HoaNTM</v>
      </c>
      <c r="F585" s="265" t="str">
        <f>IFERROR(__xludf.DUMMYFUNCTION("""COMPUTED_VALUE"""),"Gold")</f>
        <v>Gold</v>
      </c>
      <c r="G585" s="265" t="str">
        <f>IFERROR(__xludf.DUMMYFUNCTION("""COMPUTED_VALUE"""),"API")</f>
        <v>API</v>
      </c>
      <c r="H585" s="265" t="str">
        <f>IFERROR(__xludf.DUMMYFUNCTION("""COMPUTED_VALUE"""),"Trả sau")</f>
        <v>Trả sau</v>
      </c>
      <c r="I585" s="265" t="str">
        <f>IFERROR(__xludf.DUMMYFUNCTION("""COMPUTED_VALUE"""),"API")</f>
        <v>API</v>
      </c>
      <c r="J585" s="265" t="str">
        <f>IFERROR(__xludf.DUMMYFUNCTION("""COMPUTED_VALUE"""),"File Excel")</f>
        <v>File Excel</v>
      </c>
      <c r="K585" s="265" t="str">
        <f>IFERROR(__xludf.DUMMYFUNCTION("""COMPUTED_VALUE"""),"AnhNM")</f>
        <v>AnhNM</v>
      </c>
    </row>
    <row r="586">
      <c r="A586" s="265" t="str">
        <f>IFERROR(__xludf.DUMMYFUNCTION("""COMPUTED_VALUE"""),"840")</f>
        <v>840</v>
      </c>
      <c r="B586" s="265" t="str">
        <f>IFERROR(__xludf.DUMMYFUNCTION("""COMPUTED_VALUE"""),"Sài Gòn")</f>
        <v>Sài Gòn</v>
      </c>
      <c r="C586" s="265" t="str">
        <f>IFERROR(__xludf.DUMMYFUNCTION("""COMPUTED_VALUE"""),"Locked")</f>
        <v>Locked</v>
      </c>
      <c r="D586" s="265" t="str">
        <f>IFERROR(__xludf.DUMMYFUNCTION("""COMPUTED_VALUE"""),"Thực phẩm &amp; Đồ uống")</f>
        <v>Thực phẩm &amp; Đồ uống</v>
      </c>
      <c r="E586" s="265" t="str">
        <f>IFERROR(__xludf.DUMMYFUNCTION("""COMPUTED_VALUE"""),"HoaNTM")</f>
        <v>HoaNTM</v>
      </c>
      <c r="F586" s="265" t="str">
        <f>IFERROR(__xludf.DUMMYFUNCTION("""COMPUTED_VALUE"""),"Gold")</f>
        <v>Gold</v>
      </c>
      <c r="G586" s="265" t="str">
        <f>IFERROR(__xludf.DUMMYFUNCTION("""COMPUTED_VALUE"""),"API")</f>
        <v>API</v>
      </c>
      <c r="H586" s="265" t="str">
        <f>IFERROR(__xludf.DUMMYFUNCTION("""COMPUTED_VALUE"""),"Trả sau")</f>
        <v>Trả sau</v>
      </c>
      <c r="I586" s="265" t="str">
        <f>IFERROR(__xludf.DUMMYFUNCTION("""COMPUTED_VALUE"""),"API")</f>
        <v>API</v>
      </c>
      <c r="J586" s="265" t="str">
        <f>IFERROR(__xludf.DUMMYFUNCTION("""COMPUTED_VALUE"""),"API")</f>
        <v>API</v>
      </c>
      <c r="K586" s="265" t="str">
        <f>IFERROR(__xludf.DUMMYFUNCTION("""COMPUTED_VALUE"""),"AnhNM")</f>
        <v>AnhNM</v>
      </c>
    </row>
    <row r="587">
      <c r="A587" s="265" t="str">
        <f>IFERROR(__xludf.DUMMYFUNCTION("""COMPUTED_VALUE"""),"842")</f>
        <v>842</v>
      </c>
      <c r="B587" s="265" t="str">
        <f>IFERROR(__xludf.DUMMYFUNCTION("""COMPUTED_VALUE"""),"Sài Gòn")</f>
        <v>Sài Gòn</v>
      </c>
      <c r="C587" s="265" t="str">
        <f>IFERROR(__xludf.DUMMYFUNCTION("""COMPUTED_VALUE"""),"Locked")</f>
        <v>Locked</v>
      </c>
      <c r="D587" s="265" t="str">
        <f>IFERROR(__xludf.DUMMYFUNCTION("""COMPUTED_VALUE"""),"Bảo hiểm")</f>
        <v>Bảo hiểm</v>
      </c>
      <c r="E587" s="265" t="str">
        <f>IFERROR(__xludf.DUMMYFUNCTION("""COMPUTED_VALUE"""),"HoaNTM")</f>
        <v>HoaNTM</v>
      </c>
      <c r="F587" s="265" t="str">
        <f>IFERROR(__xludf.DUMMYFUNCTION("""COMPUTED_VALUE"""),"Sale chưa cung cấp")</f>
        <v>Sale chưa cung cấp</v>
      </c>
      <c r="G587" s="265" t="str">
        <f>IFERROR(__xludf.DUMMYFUNCTION("""COMPUTED_VALUE"""),"Starter")</f>
        <v>Starter</v>
      </c>
      <c r="H587" s="265" t="str">
        <f>IFERROR(__xludf.DUMMYFUNCTION("""COMPUTED_VALUE"""),"Trial")</f>
        <v>Trial</v>
      </c>
      <c r="I587" s="265" t="str">
        <f>IFERROR(__xludf.DUMMYFUNCTION("""COMPUTED_VALUE"""),"API &amp; Portal")</f>
        <v>API &amp; Portal</v>
      </c>
      <c r="J587" s="265" t="str">
        <f>IFERROR(__xludf.DUMMYFUNCTION("""COMPUTED_VALUE"""),"File Excel")</f>
        <v>File Excel</v>
      </c>
      <c r="K587" s="265" t="str">
        <f>IFERROR(__xludf.DUMMYFUNCTION("""COMPUTED_VALUE"""),"(Chưa recheck)")</f>
        <v>(Chưa recheck)</v>
      </c>
    </row>
    <row r="588">
      <c r="A588" s="265" t="str">
        <f>IFERROR(__xludf.DUMMYFUNCTION("""COMPUTED_VALUE"""),"842")</f>
        <v>842</v>
      </c>
      <c r="B588" s="265" t="str">
        <f>IFERROR(__xludf.DUMMYFUNCTION("""COMPUTED_VALUE"""),"Sài Gòn")</f>
        <v>Sài Gòn</v>
      </c>
      <c r="C588" s="265" t="str">
        <f>IFERROR(__xludf.DUMMYFUNCTION("""COMPUTED_VALUE"""),"Locked")</f>
        <v>Locked</v>
      </c>
      <c r="D588" s="265" t="str">
        <f>IFERROR(__xludf.DUMMYFUNCTION("""COMPUTED_VALUE"""),"Bảo hiểm")</f>
        <v>Bảo hiểm</v>
      </c>
      <c r="E588" s="265" t="str">
        <f>IFERROR(__xludf.DUMMYFUNCTION("""COMPUTED_VALUE"""),"HoaNTM")</f>
        <v>HoaNTM</v>
      </c>
      <c r="F588" s="265" t="str">
        <f>IFERROR(__xludf.DUMMYFUNCTION("""COMPUTED_VALUE"""),"Sale chưa cung cấp")</f>
        <v>Sale chưa cung cấp</v>
      </c>
      <c r="G588" s="265" t="str">
        <f>IFERROR(__xludf.DUMMYFUNCTION("""COMPUTED_VALUE"""),"Starter")</f>
        <v>Starter</v>
      </c>
      <c r="H588" s="265" t="str">
        <f>IFERROR(__xludf.DUMMYFUNCTION("""COMPUTED_VALUE"""),"Trial")</f>
        <v>Trial</v>
      </c>
      <c r="I588" s="265" t="str">
        <f>IFERROR(__xludf.DUMMYFUNCTION("""COMPUTED_VALUE"""),"API &amp; Portal")</f>
        <v>API &amp; Portal</v>
      </c>
      <c r="J588" s="265" t="str">
        <f>IFERROR(__xludf.DUMMYFUNCTION("""COMPUTED_VALUE"""),"API")</f>
        <v>API</v>
      </c>
      <c r="K588" s="265" t="str">
        <f>IFERROR(__xludf.DUMMYFUNCTION("""COMPUTED_VALUE"""),"(Chưa recheck)")</f>
        <v>(Chưa recheck)</v>
      </c>
    </row>
    <row r="589">
      <c r="A589" s="265" t="str">
        <f>IFERROR(__xludf.DUMMYFUNCTION("""COMPUTED_VALUE"""),"843")</f>
        <v>843</v>
      </c>
      <c r="B589" s="265" t="str">
        <f>IFERROR(__xludf.DUMMYFUNCTION("""COMPUTED_VALUE"""),"Sài Gòn")</f>
        <v>Sài Gòn</v>
      </c>
      <c r="C589" s="265" t="str">
        <f>IFERROR(__xludf.DUMMYFUNCTION("""COMPUTED_VALUE"""),"Locked")</f>
        <v>Locked</v>
      </c>
      <c r="D589" s="265" t="str">
        <f>IFERROR(__xludf.DUMMYFUNCTION("""COMPUTED_VALUE"""),"Sale chưa cung cấp")</f>
        <v>Sale chưa cung cấp</v>
      </c>
      <c r="E589" s="265" t="str">
        <f>IFERROR(__xludf.DUMMYFUNCTION("""COMPUTED_VALUE"""),"(Chưa recheck)")</f>
        <v>(Chưa recheck)</v>
      </c>
      <c r="F589" s="265" t="str">
        <f>IFERROR(__xludf.DUMMYFUNCTION("""COMPUTED_VALUE"""),"Sale chưa cung cấp")</f>
        <v>Sale chưa cung cấp</v>
      </c>
      <c r="G589" s="265" t="str">
        <f>IFERROR(__xludf.DUMMYFUNCTION("""COMPUTED_VALUE"""),"Standard")</f>
        <v>Standard</v>
      </c>
      <c r="H589" s="265" t="str">
        <f>IFERROR(__xludf.DUMMYFUNCTION("""COMPUTED_VALUE"""),"Trial")</f>
        <v>Trial</v>
      </c>
      <c r="I589" s="265" t="str">
        <f>IFERROR(__xludf.DUMMYFUNCTION("""COMPUTED_VALUE"""),"API")</f>
        <v>API</v>
      </c>
      <c r="J589" s="265" t="str">
        <f>IFERROR(__xludf.DUMMYFUNCTION("""COMPUTED_VALUE"""),"(Chưa recheck)")</f>
        <v>(Chưa recheck)</v>
      </c>
      <c r="K589" s="265" t="str">
        <f>IFERROR(__xludf.DUMMYFUNCTION("""COMPUTED_VALUE"""),"(Chưa recheck)")</f>
        <v>(Chưa recheck)</v>
      </c>
    </row>
    <row r="590">
      <c r="A590" s="265" t="str">
        <f>IFERROR(__xludf.DUMMYFUNCTION("""COMPUTED_VALUE"""),"844")</f>
        <v>844</v>
      </c>
      <c r="B590" s="265" t="str">
        <f>IFERROR(__xludf.DUMMYFUNCTION("""COMPUTED_VALUE"""),"Sài Gòn")</f>
        <v>Sài Gòn</v>
      </c>
      <c r="C590" s="265" t="str">
        <f>IFERROR(__xludf.DUMMYFUNCTION("""COMPUTED_VALUE"""),"Locked")</f>
        <v>Locked</v>
      </c>
      <c r="D590" s="265" t="str">
        <f>IFERROR(__xludf.DUMMYFUNCTION("""COMPUTED_VALUE"""),"Mua sắm &amp; Bán lẻ")</f>
        <v>Mua sắm &amp; Bán lẻ</v>
      </c>
      <c r="E590" s="265" t="str">
        <f>IFERROR(__xludf.DUMMYFUNCTION("""COMPUTED_VALUE"""),"TúPHN")</f>
        <v>TúPHN</v>
      </c>
      <c r="F590" s="265" t="str">
        <f>IFERROR(__xludf.DUMMYFUNCTION("""COMPUTED_VALUE"""),"Sale chưa cung cấp")</f>
        <v>Sale chưa cung cấp</v>
      </c>
      <c r="G590" s="265" t="str">
        <f>IFERROR(__xludf.DUMMYFUNCTION("""COMPUTED_VALUE"""),"Premium")</f>
        <v>Premium</v>
      </c>
      <c r="H590" s="265" t="str">
        <f>IFERROR(__xludf.DUMMYFUNCTION("""COMPUTED_VALUE"""),"Trial")</f>
        <v>Trial</v>
      </c>
      <c r="I590" s="265" t="str">
        <f>IFERROR(__xludf.DUMMYFUNCTION("""COMPUTED_VALUE"""),"API &amp; Portal")</f>
        <v>API &amp; Portal</v>
      </c>
      <c r="J590" s="265" t="str">
        <f>IFERROR(__xludf.DUMMYFUNCTION("""COMPUTED_VALUE"""),"File Excel")</f>
        <v>File Excel</v>
      </c>
      <c r="K590" s="265" t="str">
        <f>IFERROR(__xludf.DUMMYFUNCTION("""COMPUTED_VALUE"""),"(Không recheck)")</f>
        <v>(Không recheck)</v>
      </c>
    </row>
    <row r="591">
      <c r="A591" s="265" t="str">
        <f>IFERROR(__xludf.DUMMYFUNCTION("""COMPUTED_VALUE"""),"844")</f>
        <v>844</v>
      </c>
      <c r="B591" s="265" t="str">
        <f>IFERROR(__xludf.DUMMYFUNCTION("""COMPUTED_VALUE"""),"Sài Gòn")</f>
        <v>Sài Gòn</v>
      </c>
      <c r="C591" s="265" t="str">
        <f>IFERROR(__xludf.DUMMYFUNCTION("""COMPUTED_VALUE"""),"Locked")</f>
        <v>Locked</v>
      </c>
      <c r="D591" s="265" t="str">
        <f>IFERROR(__xludf.DUMMYFUNCTION("""COMPUTED_VALUE"""),"Mua sắm &amp; Bán lẻ")</f>
        <v>Mua sắm &amp; Bán lẻ</v>
      </c>
      <c r="E591" s="265" t="str">
        <f>IFERROR(__xludf.DUMMYFUNCTION("""COMPUTED_VALUE"""),"TúPHN")</f>
        <v>TúPHN</v>
      </c>
      <c r="F591" s="265" t="str">
        <f>IFERROR(__xludf.DUMMYFUNCTION("""COMPUTED_VALUE"""),"Sale chưa cung cấp")</f>
        <v>Sale chưa cung cấp</v>
      </c>
      <c r="G591" s="265" t="str">
        <f>IFERROR(__xludf.DUMMYFUNCTION("""COMPUTED_VALUE"""),"Premium")</f>
        <v>Premium</v>
      </c>
      <c r="H591" s="265" t="str">
        <f>IFERROR(__xludf.DUMMYFUNCTION("""COMPUTED_VALUE"""),"Trial")</f>
        <v>Trial</v>
      </c>
      <c r="I591" s="265" t="str">
        <f>IFERROR(__xludf.DUMMYFUNCTION("""COMPUTED_VALUE"""),"API &amp; Portal")</f>
        <v>API &amp; Portal</v>
      </c>
      <c r="J591" s="265" t="str">
        <f>IFERROR(__xludf.DUMMYFUNCTION("""COMPUTED_VALUE"""),"API")</f>
        <v>API</v>
      </c>
      <c r="K591" s="265" t="str">
        <f>IFERROR(__xludf.DUMMYFUNCTION("""COMPUTED_VALUE"""),"(Không recheck)")</f>
        <v>(Không recheck)</v>
      </c>
    </row>
    <row r="592">
      <c r="A592" s="265" t="str">
        <f>IFERROR(__xludf.DUMMYFUNCTION("""COMPUTED_VALUE"""),"845")</f>
        <v>845</v>
      </c>
      <c r="B592" s="265" t="str">
        <f>IFERROR(__xludf.DUMMYFUNCTION("""COMPUTED_VALUE"""),"Sài Gòn")</f>
        <v>Sài Gòn</v>
      </c>
      <c r="C592" s="265" t="str">
        <f>IFERROR(__xludf.DUMMYFUNCTION("""COMPUTED_VALUE"""),"Locked")</f>
        <v>Locked</v>
      </c>
      <c r="D592" s="265" t="str">
        <f>IFERROR(__xludf.DUMMYFUNCTION("""COMPUTED_VALUE"""),"Mỹ phẩm &amp; Làm đẹp")</f>
        <v>Mỹ phẩm &amp; Làm đẹp</v>
      </c>
      <c r="E592" s="265" t="str">
        <f>IFERROR(__xludf.DUMMYFUNCTION("""COMPUTED_VALUE"""),"TùngLD")</f>
        <v>TùngLD</v>
      </c>
      <c r="F592" s="265" t="str">
        <f>IFERROR(__xludf.DUMMYFUNCTION("""COMPUTED_VALUE"""),"Sale chưa cung cấp")</f>
        <v>Sale chưa cung cấp</v>
      </c>
      <c r="G592" s="265" t="str">
        <f>IFERROR(__xludf.DUMMYFUNCTION("""COMPUTED_VALUE"""),"Premium")</f>
        <v>Premium</v>
      </c>
      <c r="H592" s="265" t="str">
        <f>IFERROR(__xludf.DUMMYFUNCTION("""COMPUTED_VALUE"""),"Trial")</f>
        <v>Trial</v>
      </c>
      <c r="I592" s="265" t="str">
        <f>IFERROR(__xludf.DUMMYFUNCTION("""COMPUTED_VALUE"""),"API &amp; Portal")</f>
        <v>API &amp; Portal</v>
      </c>
      <c r="J592" s="265" t="str">
        <f>IFERROR(__xludf.DUMMYFUNCTION("""COMPUTED_VALUE"""),"File Excel")</f>
        <v>File Excel</v>
      </c>
      <c r="K592" s="265" t="str">
        <f>IFERROR(__xludf.DUMMYFUNCTION("""COMPUTED_VALUE"""),"Không phân công")</f>
        <v>Không phân công</v>
      </c>
    </row>
    <row r="593">
      <c r="A593" s="265" t="str">
        <f>IFERROR(__xludf.DUMMYFUNCTION("""COMPUTED_VALUE"""),"846")</f>
        <v>846</v>
      </c>
      <c r="B593" s="265" t="str">
        <f>IFERROR(__xludf.DUMMYFUNCTION("""COMPUTED_VALUE"""),"Hà Nội")</f>
        <v>Hà Nội</v>
      </c>
      <c r="C593" s="265" t="str">
        <f>IFERROR(__xludf.DUMMYFUNCTION("""COMPUTED_VALUE"""),"Locked")</f>
        <v>Locked</v>
      </c>
      <c r="D593" s="265" t="str">
        <f>IFERROR(__xludf.DUMMYFUNCTION("""COMPUTED_VALUE"""),"Hành chính công")</f>
        <v>Hành chính công</v>
      </c>
      <c r="E593" s="265" t="str">
        <f>IFERROR(__xludf.DUMMYFUNCTION("""COMPUTED_VALUE"""),"TùngLD")</f>
        <v>TùngLD</v>
      </c>
      <c r="F593" s="265" t="str">
        <f>IFERROR(__xludf.DUMMYFUNCTION("""COMPUTED_VALUE"""),"Bronze")</f>
        <v>Bronze</v>
      </c>
      <c r="G593" s="265" t="str">
        <f>IFERROR(__xludf.DUMMYFUNCTION("""COMPUTED_VALUE"""),"Premium")</f>
        <v>Premium</v>
      </c>
      <c r="H593" s="265" t="str">
        <f>IFERROR(__xludf.DUMMYFUNCTION("""COMPUTED_VALUE"""),"Trả trước")</f>
        <v>Trả trước</v>
      </c>
      <c r="I593" s="265" t="str">
        <f>IFERROR(__xludf.DUMMYFUNCTION("""COMPUTED_VALUE"""),"Portal")</f>
        <v>Portal</v>
      </c>
      <c r="J593" s="265" t="str">
        <f>IFERROR(__xludf.DUMMYFUNCTION("""COMPUTED_VALUE"""),"API")</f>
        <v>API</v>
      </c>
      <c r="K593" s="265" t="str">
        <f>IFERROR(__xludf.DUMMYFUNCTION("""COMPUTED_VALUE"""),"Không phân công")</f>
        <v>Không phân công</v>
      </c>
    </row>
    <row r="594">
      <c r="A594" s="265" t="str">
        <f>IFERROR(__xludf.DUMMYFUNCTION("""COMPUTED_VALUE"""),"847")</f>
        <v>847</v>
      </c>
      <c r="B594" s="265" t="str">
        <f>IFERROR(__xludf.DUMMYFUNCTION("""COMPUTED_VALUE"""),"Sài Gòn")</f>
        <v>Sài Gòn</v>
      </c>
      <c r="C594" s="265" t="str">
        <f>IFERROR(__xludf.DUMMYFUNCTION("""COMPUTED_VALUE"""),"Locked")</f>
        <v>Locked</v>
      </c>
      <c r="D594" s="265" t="str">
        <f>IFERROR(__xludf.DUMMYFUNCTION("""COMPUTED_VALUE"""),"Du lịch &amp; Lưu trú")</f>
        <v>Du lịch &amp; Lưu trú</v>
      </c>
      <c r="E594" s="265" t="str">
        <f>IFERROR(__xludf.DUMMYFUNCTION("""COMPUTED_VALUE"""),"TúPHN")</f>
        <v>TúPHN</v>
      </c>
      <c r="F594" s="265" t="str">
        <f>IFERROR(__xludf.DUMMYFUNCTION("""COMPUTED_VALUE"""),"Sale chưa cung cấp")</f>
        <v>Sale chưa cung cấp</v>
      </c>
      <c r="G594" s="265" t="str">
        <f>IFERROR(__xludf.DUMMYFUNCTION("""COMPUTED_VALUE"""),"Premium")</f>
        <v>Premium</v>
      </c>
      <c r="H594" s="265" t="str">
        <f>IFERROR(__xludf.DUMMYFUNCTION("""COMPUTED_VALUE"""),"Trial")</f>
        <v>Trial</v>
      </c>
      <c r="I594" s="265" t="str">
        <f>IFERROR(__xludf.DUMMYFUNCTION("""COMPUTED_VALUE"""),"API &amp; Portal")</f>
        <v>API &amp; Portal</v>
      </c>
      <c r="J594" s="265" t="str">
        <f>IFERROR(__xludf.DUMMYFUNCTION("""COMPUTED_VALUE"""),"File Excel")</f>
        <v>File Excel</v>
      </c>
      <c r="K594" s="265" t="str">
        <f>IFERROR(__xludf.DUMMYFUNCTION("""COMPUTED_VALUE"""),"(Không recheck)")</f>
        <v>(Không recheck)</v>
      </c>
    </row>
    <row r="595">
      <c r="A595" s="265" t="str">
        <f>IFERROR(__xludf.DUMMYFUNCTION("""COMPUTED_VALUE"""),"847")</f>
        <v>847</v>
      </c>
      <c r="B595" s="265" t="str">
        <f>IFERROR(__xludf.DUMMYFUNCTION("""COMPUTED_VALUE"""),"Sài Gòn")</f>
        <v>Sài Gòn</v>
      </c>
      <c r="C595" s="265" t="str">
        <f>IFERROR(__xludf.DUMMYFUNCTION("""COMPUTED_VALUE"""),"Locked")</f>
        <v>Locked</v>
      </c>
      <c r="D595" s="265" t="str">
        <f>IFERROR(__xludf.DUMMYFUNCTION("""COMPUTED_VALUE"""),"Du lịch &amp; Lưu trú")</f>
        <v>Du lịch &amp; Lưu trú</v>
      </c>
      <c r="E595" s="265" t="str">
        <f>IFERROR(__xludf.DUMMYFUNCTION("""COMPUTED_VALUE"""),"TúPHN")</f>
        <v>TúPHN</v>
      </c>
      <c r="F595" s="265" t="str">
        <f>IFERROR(__xludf.DUMMYFUNCTION("""COMPUTED_VALUE"""),"Sale chưa cung cấp")</f>
        <v>Sale chưa cung cấp</v>
      </c>
      <c r="G595" s="265" t="str">
        <f>IFERROR(__xludf.DUMMYFUNCTION("""COMPUTED_VALUE"""),"Premium")</f>
        <v>Premium</v>
      </c>
      <c r="H595" s="265" t="str">
        <f>IFERROR(__xludf.DUMMYFUNCTION("""COMPUTED_VALUE"""),"Trial")</f>
        <v>Trial</v>
      </c>
      <c r="I595" s="265" t="str">
        <f>IFERROR(__xludf.DUMMYFUNCTION("""COMPUTED_VALUE"""),"API &amp; Portal")</f>
        <v>API &amp; Portal</v>
      </c>
      <c r="J595" s="265" t="str">
        <f>IFERROR(__xludf.DUMMYFUNCTION("""COMPUTED_VALUE"""),"API")</f>
        <v>API</v>
      </c>
      <c r="K595" s="265" t="str">
        <f>IFERROR(__xludf.DUMMYFUNCTION("""COMPUTED_VALUE"""),"(Không recheck)")</f>
        <v>(Không recheck)</v>
      </c>
    </row>
    <row r="596">
      <c r="A596" s="265" t="str">
        <f>IFERROR(__xludf.DUMMYFUNCTION("""COMPUTED_VALUE"""),"848")</f>
        <v>848</v>
      </c>
      <c r="B596" s="265" t="str">
        <f>IFERROR(__xludf.DUMMYFUNCTION("""COMPUTED_VALUE"""),"Sài Gòn")</f>
        <v>Sài Gòn</v>
      </c>
      <c r="C596" s="265" t="str">
        <f>IFERROR(__xludf.DUMMYFUNCTION("""COMPUTED_VALUE"""),"Locked")</f>
        <v>Locked</v>
      </c>
      <c r="D596" s="265" t="str">
        <f>IFERROR(__xludf.DUMMYFUNCTION("""COMPUTED_VALUE"""),"Sale chưa cung cấp")</f>
        <v>Sale chưa cung cấp</v>
      </c>
      <c r="E596" s="265" t="str">
        <f>IFERROR(__xludf.DUMMYFUNCTION("""COMPUTED_VALUE"""),"(Chưa recheck)")</f>
        <v>(Chưa recheck)</v>
      </c>
      <c r="F596" s="265" t="str">
        <f>IFERROR(__xludf.DUMMYFUNCTION("""COMPUTED_VALUE"""),"Sale chưa cung cấp")</f>
        <v>Sale chưa cung cấp</v>
      </c>
      <c r="G596" s="265" t="str">
        <f>IFERROR(__xludf.DUMMYFUNCTION("""COMPUTED_VALUE"""),"(Chưa recheck)")</f>
        <v>(Chưa recheck)</v>
      </c>
      <c r="H596" s="265" t="str">
        <f>IFERROR(__xludf.DUMMYFUNCTION("""COMPUTED_VALUE"""),"Trial")</f>
        <v>Trial</v>
      </c>
      <c r="I596" s="265" t="str">
        <f>IFERROR(__xludf.DUMMYFUNCTION("""COMPUTED_VALUE"""),"(Chưa recheck)")</f>
        <v>(Chưa recheck)</v>
      </c>
      <c r="J596" s="265" t="str">
        <f>IFERROR(__xludf.DUMMYFUNCTION("""COMPUTED_VALUE"""),"(Chưa recheck)")</f>
        <v>(Chưa recheck)</v>
      </c>
      <c r="K596" s="265" t="str">
        <f>IFERROR(__xludf.DUMMYFUNCTION("""COMPUTED_VALUE"""),"(Chưa recheck)")</f>
        <v>(Chưa recheck)</v>
      </c>
    </row>
    <row r="597">
      <c r="A597" s="265" t="str">
        <f>IFERROR(__xludf.DUMMYFUNCTION("""COMPUTED_VALUE"""),"850")</f>
        <v>850</v>
      </c>
      <c r="B597" s="265" t="str">
        <f>IFERROR(__xludf.DUMMYFUNCTION("""COMPUTED_VALUE"""),"Hà Nội")</f>
        <v>Hà Nội</v>
      </c>
      <c r="C597" s="265" t="str">
        <f>IFERROR(__xludf.DUMMYFUNCTION("""COMPUTED_VALUE"""),"Locked")</f>
        <v>Locked</v>
      </c>
      <c r="D597" s="265" t="str">
        <f>IFERROR(__xludf.DUMMYFUNCTION("""COMPUTED_VALUE"""),"Viễn thông")</f>
        <v>Viễn thông</v>
      </c>
      <c r="E597" s="265" t="str">
        <f>IFERROR(__xludf.DUMMYFUNCTION("""COMPUTED_VALUE"""),"TúPHN")</f>
        <v>TúPHN</v>
      </c>
      <c r="F597" s="265" t="str">
        <f>IFERROR(__xludf.DUMMYFUNCTION("""COMPUTED_VALUE"""),"Sale chưa cung cấp")</f>
        <v>Sale chưa cung cấp</v>
      </c>
      <c r="G597" s="265" t="str">
        <f>IFERROR(__xludf.DUMMYFUNCTION("""COMPUTED_VALUE"""),"Premium")</f>
        <v>Premium</v>
      </c>
      <c r="H597" s="265" t="str">
        <f>IFERROR(__xludf.DUMMYFUNCTION("""COMPUTED_VALUE"""),"Trial")</f>
        <v>Trial</v>
      </c>
      <c r="I597" s="265" t="str">
        <f>IFERROR(__xludf.DUMMYFUNCTION("""COMPUTED_VALUE"""),"API")</f>
        <v>API</v>
      </c>
      <c r="J597" s="265" t="str">
        <f>IFERROR(__xludf.DUMMYFUNCTION("""COMPUTED_VALUE"""),"API")</f>
        <v>API</v>
      </c>
      <c r="K597" s="265" t="str">
        <f>IFERROR(__xludf.DUMMYFUNCTION("""COMPUTED_VALUE"""),"Không phân công")</f>
        <v>Không phân công</v>
      </c>
    </row>
    <row r="598">
      <c r="A598" s="265" t="str">
        <f>IFERROR(__xludf.DUMMYFUNCTION("""COMPUTED_VALUE"""),"849")</f>
        <v>849</v>
      </c>
      <c r="B598" s="265" t="str">
        <f>IFERROR(__xludf.DUMMYFUNCTION("""COMPUTED_VALUE"""),"Hà Nội")</f>
        <v>Hà Nội</v>
      </c>
      <c r="C598" s="265" t="str">
        <f>IFERROR(__xludf.DUMMYFUNCTION("""COMPUTED_VALUE"""),"Locked")</f>
        <v>Locked</v>
      </c>
      <c r="D598" s="265" t="str">
        <f>IFERROR(__xludf.DUMMYFUNCTION("""COMPUTED_VALUE"""),"Sale chưa cung cấp")</f>
        <v>Sale chưa cung cấp</v>
      </c>
      <c r="E598" s="265" t="str">
        <f>IFERROR(__xludf.DUMMYFUNCTION("""COMPUTED_VALUE"""),"AnhNM")</f>
        <v>AnhNM</v>
      </c>
      <c r="F598" s="265" t="str">
        <f>IFERROR(__xludf.DUMMYFUNCTION("""COMPUTED_VALUE"""),"Silver")</f>
        <v>Silver</v>
      </c>
      <c r="G598" s="265" t="str">
        <f>IFERROR(__xludf.DUMMYFUNCTION("""COMPUTED_VALUE"""),"Premium")</f>
        <v>Premium</v>
      </c>
      <c r="H598" s="265" t="str">
        <f>IFERROR(__xludf.DUMMYFUNCTION("""COMPUTED_VALUE"""),"Trả trước")</f>
        <v>Trả trước</v>
      </c>
      <c r="I598" s="265" t="str">
        <f>IFERROR(__xludf.DUMMYFUNCTION("""COMPUTED_VALUE"""),"Portal")</f>
        <v>Portal</v>
      </c>
      <c r="J598" s="265" t="str">
        <f>IFERROR(__xludf.DUMMYFUNCTION("""COMPUTED_VALUE"""),"File Excel")</f>
        <v>File Excel</v>
      </c>
      <c r="K598" s="265" t="str">
        <f>IFERROR(__xludf.DUMMYFUNCTION("""COMPUTED_VALUE"""),"LinhNTT1")</f>
        <v>LinhNTT1</v>
      </c>
    </row>
    <row r="599">
      <c r="A599" s="265" t="str">
        <f>IFERROR(__xludf.DUMMYFUNCTION("""COMPUTED_VALUE"""),"851")</f>
        <v>851</v>
      </c>
      <c r="B599" s="265" t="str">
        <f>IFERROR(__xludf.DUMMYFUNCTION("""COMPUTED_VALUE"""),"Sài Gòn")</f>
        <v>Sài Gòn</v>
      </c>
      <c r="C599" s="265" t="str">
        <f>IFERROR(__xludf.DUMMYFUNCTION("""COMPUTED_VALUE"""),"Locked")</f>
        <v>Locked</v>
      </c>
      <c r="D599" s="265" t="str">
        <f>IFERROR(__xludf.DUMMYFUNCTION("""COMPUTED_VALUE"""),"Thực phẩm &amp; Đồ uống")</f>
        <v>Thực phẩm &amp; Đồ uống</v>
      </c>
      <c r="E599" s="265" t="str">
        <f>IFERROR(__xludf.DUMMYFUNCTION("""COMPUTED_VALUE"""),"HoaNTM")</f>
        <v>HoaNTM</v>
      </c>
      <c r="F599" s="265" t="str">
        <f>IFERROR(__xludf.DUMMYFUNCTION("""COMPUTED_VALUE"""),"Diamond")</f>
        <v>Diamond</v>
      </c>
      <c r="G599" s="265" t="str">
        <f>IFERROR(__xludf.DUMMYFUNCTION("""COMPUTED_VALUE"""),"Starter")</f>
        <v>Starter</v>
      </c>
      <c r="H599" s="265" t="str">
        <f>IFERROR(__xludf.DUMMYFUNCTION("""COMPUTED_VALUE"""),"Trả trước")</f>
        <v>Trả trước</v>
      </c>
      <c r="I599" s="265" t="str">
        <f>IFERROR(__xludf.DUMMYFUNCTION("""COMPUTED_VALUE"""),"API &amp; Portal")</f>
        <v>API &amp; Portal</v>
      </c>
      <c r="J599" s="265" t="str">
        <f>IFERROR(__xludf.DUMMYFUNCTION("""COMPUTED_VALUE"""),"File Excel")</f>
        <v>File Excel</v>
      </c>
      <c r="K599" s="265" t="str">
        <f>IFERROR(__xludf.DUMMYFUNCTION("""COMPUTED_VALUE"""),"YếnĐH")</f>
        <v>YếnĐH</v>
      </c>
    </row>
    <row r="600">
      <c r="A600" s="265" t="str">
        <f>IFERROR(__xludf.DUMMYFUNCTION("""COMPUTED_VALUE"""),"853")</f>
        <v>853</v>
      </c>
      <c r="B600" s="265" t="str">
        <f>IFERROR(__xludf.DUMMYFUNCTION("""COMPUTED_VALUE"""),"Sài Gòn")</f>
        <v>Sài Gòn</v>
      </c>
      <c r="C600" s="265" t="str">
        <f>IFERROR(__xludf.DUMMYFUNCTION("""COMPUTED_VALUE"""),"Active")</f>
        <v>Active</v>
      </c>
      <c r="D600" s="265" t="str">
        <f>IFERROR(__xludf.DUMMYFUNCTION("""COMPUTED_VALUE"""),"Sale chưa cung cấp")</f>
        <v>Sale chưa cung cấp</v>
      </c>
      <c r="E600" s="265" t="str">
        <f>IFERROR(__xludf.DUMMYFUNCTION("""COMPUTED_VALUE"""),"TùngLD")</f>
        <v>TùngLD</v>
      </c>
      <c r="F600" s="265" t="str">
        <f>IFERROR(__xludf.DUMMYFUNCTION("""COMPUTED_VALUE"""),"Silver")</f>
        <v>Silver</v>
      </c>
      <c r="G600" s="265" t="str">
        <f>IFERROR(__xludf.DUMMYFUNCTION("""COMPUTED_VALUE"""),"Standard")</f>
        <v>Standard</v>
      </c>
      <c r="H600" s="265" t="str">
        <f>IFERROR(__xludf.DUMMYFUNCTION("""COMPUTED_VALUE"""),"Trả sau")</f>
        <v>Trả sau</v>
      </c>
      <c r="I600" s="265" t="str">
        <f>IFERROR(__xludf.DUMMYFUNCTION("""COMPUTED_VALUE"""),"API")</f>
        <v>API</v>
      </c>
      <c r="J600" s="265" t="str">
        <f>IFERROR(__xludf.DUMMYFUNCTION("""COMPUTED_VALUE"""),"Bizfly CRM")</f>
        <v>Bizfly CRM</v>
      </c>
      <c r="K600" s="265" t="str">
        <f>IFERROR(__xludf.DUMMYFUNCTION("""COMPUTED_VALUE"""),"YếnĐH")</f>
        <v>YếnĐH</v>
      </c>
    </row>
    <row r="601">
      <c r="A601" s="265" t="str">
        <f>IFERROR(__xludf.DUMMYFUNCTION("""COMPUTED_VALUE"""),"852")</f>
        <v>852</v>
      </c>
      <c r="B601" s="265" t="str">
        <f>IFERROR(__xludf.DUMMYFUNCTION("""COMPUTED_VALUE"""),"Hà Nội")</f>
        <v>Hà Nội</v>
      </c>
      <c r="C601" s="265" t="str">
        <f>IFERROR(__xludf.DUMMYFUNCTION("""COMPUTED_VALUE"""),"Active")</f>
        <v>Active</v>
      </c>
      <c r="D601" s="265" t="str">
        <f>IFERROR(__xludf.DUMMYFUNCTION("""COMPUTED_VALUE"""),"Mua sắm &amp; Bán lẻ")</f>
        <v>Mua sắm &amp; Bán lẻ</v>
      </c>
      <c r="E601" s="265" t="str">
        <f>IFERROR(__xludf.DUMMYFUNCTION("""COMPUTED_VALUE"""),"TúPHN")</f>
        <v>TúPHN</v>
      </c>
      <c r="F601" s="265" t="str">
        <f>IFERROR(__xludf.DUMMYFUNCTION("""COMPUTED_VALUE"""),"Gold")</f>
        <v>Gold</v>
      </c>
      <c r="G601" s="265" t="str">
        <f>IFERROR(__xludf.DUMMYFUNCTION("""COMPUTED_VALUE"""),"Starter")</f>
        <v>Starter</v>
      </c>
      <c r="H601" s="265" t="str">
        <f>IFERROR(__xludf.DUMMYFUNCTION("""COMPUTED_VALUE"""),"Trả sau")</f>
        <v>Trả sau</v>
      </c>
      <c r="I601" s="265" t="str">
        <f>IFERROR(__xludf.DUMMYFUNCTION("""COMPUTED_VALUE"""),"API &amp; Portal")</f>
        <v>API &amp; Portal</v>
      </c>
      <c r="J601" s="265" t="str">
        <f>IFERROR(__xludf.DUMMYFUNCTION("""COMPUTED_VALUE"""),"File Excel")</f>
        <v>File Excel</v>
      </c>
      <c r="K601" s="265" t="str">
        <f>IFERROR(__xludf.DUMMYFUNCTION("""COMPUTED_VALUE"""),"LinhNTT1")</f>
        <v>LinhNTT1</v>
      </c>
    </row>
    <row r="602">
      <c r="A602" s="265" t="str">
        <f>IFERROR(__xludf.DUMMYFUNCTION("""COMPUTED_VALUE"""),"852")</f>
        <v>852</v>
      </c>
      <c r="B602" s="265" t="str">
        <f>IFERROR(__xludf.DUMMYFUNCTION("""COMPUTED_VALUE"""),"Hà Nội")</f>
        <v>Hà Nội</v>
      </c>
      <c r="C602" s="265" t="str">
        <f>IFERROR(__xludf.DUMMYFUNCTION("""COMPUTED_VALUE"""),"Active")</f>
        <v>Active</v>
      </c>
      <c r="D602" s="265" t="str">
        <f>IFERROR(__xludf.DUMMYFUNCTION("""COMPUTED_VALUE"""),"Mua sắm &amp; Bán lẻ")</f>
        <v>Mua sắm &amp; Bán lẻ</v>
      </c>
      <c r="E602" s="265" t="str">
        <f>IFERROR(__xludf.DUMMYFUNCTION("""COMPUTED_VALUE"""),"TúPHN")</f>
        <v>TúPHN</v>
      </c>
      <c r="F602" s="265" t="str">
        <f>IFERROR(__xludf.DUMMYFUNCTION("""COMPUTED_VALUE"""),"Gold")</f>
        <v>Gold</v>
      </c>
      <c r="G602" s="265" t="str">
        <f>IFERROR(__xludf.DUMMYFUNCTION("""COMPUTED_VALUE"""),"Starter")</f>
        <v>Starter</v>
      </c>
      <c r="H602" s="265" t="str">
        <f>IFERROR(__xludf.DUMMYFUNCTION("""COMPUTED_VALUE"""),"Trả sau")</f>
        <v>Trả sau</v>
      </c>
      <c r="I602" s="265" t="str">
        <f>IFERROR(__xludf.DUMMYFUNCTION("""COMPUTED_VALUE"""),"API &amp; Portal")</f>
        <v>API &amp; Portal</v>
      </c>
      <c r="J602" s="265" t="str">
        <f>IFERROR(__xludf.DUMMYFUNCTION("""COMPUTED_VALUE"""),"API")</f>
        <v>API</v>
      </c>
      <c r="K602" s="265" t="str">
        <f>IFERROR(__xludf.DUMMYFUNCTION("""COMPUTED_VALUE"""),"LinhNTT1")</f>
        <v>LinhNTT1</v>
      </c>
    </row>
    <row r="603">
      <c r="A603" s="265" t="str">
        <f>IFERROR(__xludf.DUMMYFUNCTION("""COMPUTED_VALUE"""),"854")</f>
        <v>854</v>
      </c>
      <c r="B603" s="265" t="str">
        <f>IFERROR(__xludf.DUMMYFUNCTION("""COMPUTED_VALUE"""),"Hà Nội")</f>
        <v>Hà Nội</v>
      </c>
      <c r="C603" s="265" t="str">
        <f>IFERROR(__xludf.DUMMYFUNCTION("""COMPUTED_VALUE"""),"Active")</f>
        <v>Active</v>
      </c>
      <c r="D603" s="265" t="str">
        <f>IFERROR(__xludf.DUMMYFUNCTION("""COMPUTED_VALUE"""),"Sale chưa cung cấp")</f>
        <v>Sale chưa cung cấp</v>
      </c>
      <c r="E603" s="265" t="str">
        <f>IFERROR(__xludf.DUMMYFUNCTION("""COMPUTED_VALUE"""),"TúPHN")</f>
        <v>TúPHN</v>
      </c>
      <c r="F603" s="265" t="str">
        <f>IFERROR(__xludf.DUMMYFUNCTION("""COMPUTED_VALUE"""),"Bronze")</f>
        <v>Bronze</v>
      </c>
      <c r="G603" s="265" t="str">
        <f>IFERROR(__xludf.DUMMYFUNCTION("""COMPUTED_VALUE"""),"Starter")</f>
        <v>Starter</v>
      </c>
      <c r="H603" s="265" t="str">
        <f>IFERROR(__xludf.DUMMYFUNCTION("""COMPUTED_VALUE"""),"Trả sau")</f>
        <v>Trả sau</v>
      </c>
      <c r="I603" s="265" t="str">
        <f>IFERROR(__xludf.DUMMYFUNCTION("""COMPUTED_VALUE"""),"API &amp; Portal")</f>
        <v>API &amp; Portal</v>
      </c>
      <c r="J603" s="265" t="str">
        <f>IFERROR(__xludf.DUMMYFUNCTION("""COMPUTED_VALUE"""),"File Excel")</f>
        <v>File Excel</v>
      </c>
      <c r="K603" s="265" t="str">
        <f>IFERROR(__xludf.DUMMYFUNCTION("""COMPUTED_VALUE"""),"DungPL")</f>
        <v>DungPL</v>
      </c>
    </row>
    <row r="604">
      <c r="A604" s="265" t="str">
        <f>IFERROR(__xludf.DUMMYFUNCTION("""COMPUTED_VALUE"""),"854")</f>
        <v>854</v>
      </c>
      <c r="B604" s="265" t="str">
        <f>IFERROR(__xludf.DUMMYFUNCTION("""COMPUTED_VALUE"""),"Hà Nội")</f>
        <v>Hà Nội</v>
      </c>
      <c r="C604" s="265" t="str">
        <f>IFERROR(__xludf.DUMMYFUNCTION("""COMPUTED_VALUE"""),"Active")</f>
        <v>Active</v>
      </c>
      <c r="D604" s="265" t="str">
        <f>IFERROR(__xludf.DUMMYFUNCTION("""COMPUTED_VALUE"""),"Sale chưa cung cấp")</f>
        <v>Sale chưa cung cấp</v>
      </c>
      <c r="E604" s="265" t="str">
        <f>IFERROR(__xludf.DUMMYFUNCTION("""COMPUTED_VALUE"""),"TúPHN")</f>
        <v>TúPHN</v>
      </c>
      <c r="F604" s="265" t="str">
        <f>IFERROR(__xludf.DUMMYFUNCTION("""COMPUTED_VALUE"""),"Bronze")</f>
        <v>Bronze</v>
      </c>
      <c r="G604" s="265" t="str">
        <f>IFERROR(__xludf.DUMMYFUNCTION("""COMPUTED_VALUE"""),"Starter")</f>
        <v>Starter</v>
      </c>
      <c r="H604" s="265" t="str">
        <f>IFERROR(__xludf.DUMMYFUNCTION("""COMPUTED_VALUE"""),"Trả sau")</f>
        <v>Trả sau</v>
      </c>
      <c r="I604" s="265" t="str">
        <f>IFERROR(__xludf.DUMMYFUNCTION("""COMPUTED_VALUE"""),"API &amp; Portal")</f>
        <v>API &amp; Portal</v>
      </c>
      <c r="J604" s="265" t="str">
        <f>IFERROR(__xludf.DUMMYFUNCTION("""COMPUTED_VALUE"""),"API")</f>
        <v>API</v>
      </c>
      <c r="K604" s="265" t="str">
        <f>IFERROR(__xludf.DUMMYFUNCTION("""COMPUTED_VALUE"""),"DungPL")</f>
        <v>DungPL</v>
      </c>
    </row>
    <row r="605">
      <c r="A605" s="265" t="str">
        <f>IFERROR(__xludf.DUMMYFUNCTION("""COMPUTED_VALUE"""),"859")</f>
        <v>859</v>
      </c>
      <c r="B605" s="265" t="str">
        <f>IFERROR(__xludf.DUMMYFUNCTION("""COMPUTED_VALUE"""),"Hà Nội")</f>
        <v>Hà Nội</v>
      </c>
      <c r="C605" s="265" t="str">
        <f>IFERROR(__xludf.DUMMYFUNCTION("""COMPUTED_VALUE"""),"Active")</f>
        <v>Active</v>
      </c>
      <c r="D605" s="265" t="str">
        <f>IFERROR(__xludf.DUMMYFUNCTION("""COMPUTED_VALUE"""),"Mua sắm &amp; Bán lẻ")</f>
        <v>Mua sắm &amp; Bán lẻ</v>
      </c>
      <c r="E605" s="265" t="str">
        <f>IFERROR(__xludf.DUMMYFUNCTION("""COMPUTED_VALUE"""),"TùngLD")</f>
        <v>TùngLD</v>
      </c>
      <c r="F605" s="265" t="str">
        <f>IFERROR(__xludf.DUMMYFUNCTION("""COMPUTED_VALUE"""),"Bronze")</f>
        <v>Bronze</v>
      </c>
      <c r="G605" s="265" t="str">
        <f>IFERROR(__xludf.DUMMYFUNCTION("""COMPUTED_VALUE"""),"Starter")</f>
        <v>Starter</v>
      </c>
      <c r="H605" s="265" t="str">
        <f>IFERROR(__xludf.DUMMYFUNCTION("""COMPUTED_VALUE"""),"Trả sau")</f>
        <v>Trả sau</v>
      </c>
      <c r="I605" s="265" t="str">
        <f>IFERROR(__xludf.DUMMYFUNCTION("""COMPUTED_VALUE"""),"API &amp; Portal")</f>
        <v>API &amp; Portal</v>
      </c>
      <c r="J605" s="265" t="str">
        <f>IFERROR(__xludf.DUMMYFUNCTION("""COMPUTED_VALUE"""),"API")</f>
        <v>API</v>
      </c>
      <c r="K605" s="265" t="str">
        <f>IFERROR(__xludf.DUMMYFUNCTION("""COMPUTED_VALUE"""),"DungVT")</f>
        <v>DungVT</v>
      </c>
    </row>
    <row r="606">
      <c r="A606" s="265" t="str">
        <f>IFERROR(__xludf.DUMMYFUNCTION("""COMPUTED_VALUE"""),"860")</f>
        <v>860</v>
      </c>
      <c r="B606" s="265" t="str">
        <f>IFERROR(__xludf.DUMMYFUNCTION("""COMPUTED_VALUE"""),"Hà Nội")</f>
        <v>Hà Nội</v>
      </c>
      <c r="C606" s="265" t="str">
        <f>IFERROR(__xludf.DUMMYFUNCTION("""COMPUTED_VALUE"""),"Active")</f>
        <v>Active</v>
      </c>
      <c r="D606" s="265" t="str">
        <f>IFERROR(__xludf.DUMMYFUNCTION("""COMPUTED_VALUE"""),"Tài chính &amp; Ngân hàng")</f>
        <v>Tài chính &amp; Ngân hàng</v>
      </c>
      <c r="E606" s="265" t="str">
        <f>IFERROR(__xludf.DUMMYFUNCTION("""COMPUTED_VALUE"""),"AnhNM")</f>
        <v>AnhNM</v>
      </c>
      <c r="F606" s="265" t="str">
        <f>IFERROR(__xludf.DUMMYFUNCTION("""COMPUTED_VALUE"""),"Sale chưa cung cấp")</f>
        <v>Sale chưa cung cấp</v>
      </c>
      <c r="G606" s="265" t="str">
        <f>IFERROR(__xludf.DUMMYFUNCTION("""COMPUTED_VALUE"""),"Starter")</f>
        <v>Starter</v>
      </c>
      <c r="H606" s="265" t="str">
        <f>IFERROR(__xludf.DUMMYFUNCTION("""COMPUTED_VALUE"""),"Trả sau")</f>
        <v>Trả sau</v>
      </c>
      <c r="I606" s="265" t="str">
        <f>IFERROR(__xludf.DUMMYFUNCTION("""COMPUTED_VALUE"""),"API")</f>
        <v>API</v>
      </c>
      <c r="J606" s="265" t="str">
        <f>IFERROR(__xludf.DUMMYFUNCTION("""COMPUTED_VALUE"""),"API")</f>
        <v>API</v>
      </c>
      <c r="K606" s="265" t="str">
        <f>IFERROR(__xludf.DUMMYFUNCTION("""COMPUTED_VALUE"""),"LinhNTT1")</f>
        <v>LinhNTT1</v>
      </c>
    </row>
    <row r="607">
      <c r="A607" s="265" t="str">
        <f>IFERROR(__xludf.DUMMYFUNCTION("""COMPUTED_VALUE"""),"861")</f>
        <v>861</v>
      </c>
      <c r="B607" s="265" t="str">
        <f>IFERROR(__xludf.DUMMYFUNCTION("""COMPUTED_VALUE"""),"Hà Nội")</f>
        <v>Hà Nội</v>
      </c>
      <c r="C607" s="265" t="str">
        <f>IFERROR(__xludf.DUMMYFUNCTION("""COMPUTED_VALUE"""),"Locked")</f>
        <v>Locked</v>
      </c>
      <c r="D607" s="265" t="str">
        <f>IFERROR(__xludf.DUMMYFUNCTION("""COMPUTED_VALUE"""),"Sale chưa cung cấp")</f>
        <v>Sale chưa cung cấp</v>
      </c>
      <c r="E607" s="265" t="str">
        <f>IFERROR(__xludf.DUMMYFUNCTION("""COMPUTED_VALUE"""),"TúPHN")</f>
        <v>TúPHN</v>
      </c>
      <c r="F607" s="265" t="str">
        <f>IFERROR(__xludf.DUMMYFUNCTION("""COMPUTED_VALUE"""),"Diamond")</f>
        <v>Diamond</v>
      </c>
      <c r="G607" s="265" t="str">
        <f>IFERROR(__xludf.DUMMYFUNCTION("""COMPUTED_VALUE"""),"Premium")</f>
        <v>Premium</v>
      </c>
      <c r="H607" s="265" t="str">
        <f>IFERROR(__xludf.DUMMYFUNCTION("""COMPUTED_VALUE"""),"Trial")</f>
        <v>Trial</v>
      </c>
      <c r="I607" s="265" t="str">
        <f>IFERROR(__xludf.DUMMYFUNCTION("""COMPUTED_VALUE"""),"API &amp; Portal")</f>
        <v>API &amp; Portal</v>
      </c>
      <c r="J607" s="265" t="str">
        <f>IFERROR(__xludf.DUMMYFUNCTION("""COMPUTED_VALUE"""),"File Excel")</f>
        <v>File Excel</v>
      </c>
      <c r="K607" s="265" t="str">
        <f>IFERROR(__xludf.DUMMYFUNCTION("""COMPUTED_VALUE"""),"Không phân công")</f>
        <v>Không phân công</v>
      </c>
    </row>
    <row r="608">
      <c r="A608" s="265" t="str">
        <f>IFERROR(__xludf.DUMMYFUNCTION("""COMPUTED_VALUE"""),"861")</f>
        <v>861</v>
      </c>
      <c r="B608" s="265" t="str">
        <f>IFERROR(__xludf.DUMMYFUNCTION("""COMPUTED_VALUE"""),"Hà Nội")</f>
        <v>Hà Nội</v>
      </c>
      <c r="C608" s="265" t="str">
        <f>IFERROR(__xludf.DUMMYFUNCTION("""COMPUTED_VALUE"""),"Locked")</f>
        <v>Locked</v>
      </c>
      <c r="D608" s="265" t="str">
        <f>IFERROR(__xludf.DUMMYFUNCTION("""COMPUTED_VALUE"""),"Sale chưa cung cấp")</f>
        <v>Sale chưa cung cấp</v>
      </c>
      <c r="E608" s="265" t="str">
        <f>IFERROR(__xludf.DUMMYFUNCTION("""COMPUTED_VALUE"""),"TúPHN")</f>
        <v>TúPHN</v>
      </c>
      <c r="F608" s="265" t="str">
        <f>IFERROR(__xludf.DUMMYFUNCTION("""COMPUTED_VALUE"""),"Diamond")</f>
        <v>Diamond</v>
      </c>
      <c r="G608" s="265" t="str">
        <f>IFERROR(__xludf.DUMMYFUNCTION("""COMPUTED_VALUE"""),"Premium")</f>
        <v>Premium</v>
      </c>
      <c r="H608" s="265" t="str">
        <f>IFERROR(__xludf.DUMMYFUNCTION("""COMPUTED_VALUE"""),"Trial")</f>
        <v>Trial</v>
      </c>
      <c r="I608" s="265" t="str">
        <f>IFERROR(__xludf.DUMMYFUNCTION("""COMPUTED_VALUE"""),"API &amp; Portal")</f>
        <v>API &amp; Portal</v>
      </c>
      <c r="J608" s="265" t="str">
        <f>IFERROR(__xludf.DUMMYFUNCTION("""COMPUTED_VALUE"""),"API")</f>
        <v>API</v>
      </c>
      <c r="K608" s="265" t="str">
        <f>IFERROR(__xludf.DUMMYFUNCTION("""COMPUTED_VALUE"""),"Không phân công")</f>
        <v>Không phân công</v>
      </c>
    </row>
    <row r="609">
      <c r="A609" s="265" t="str">
        <f>IFERROR(__xludf.DUMMYFUNCTION("""COMPUTED_VALUE"""),"863")</f>
        <v>863</v>
      </c>
      <c r="B609" s="265" t="str">
        <f>IFERROR(__xludf.DUMMYFUNCTION("""COMPUTED_VALUE"""),"Sài Gòn")</f>
        <v>Sài Gòn</v>
      </c>
      <c r="C609" s="265" t="str">
        <f>IFERROR(__xludf.DUMMYFUNCTION("""COMPUTED_VALUE"""),"Locked")</f>
        <v>Locked</v>
      </c>
      <c r="D609" s="265" t="str">
        <f>IFERROR(__xludf.DUMMYFUNCTION("""COMPUTED_VALUE"""),"Công nghệ &amp; Phần mềm")</f>
        <v>Công nghệ &amp; Phần mềm</v>
      </c>
      <c r="E609" s="265" t="str">
        <f>IFERROR(__xludf.DUMMYFUNCTION("""COMPUTED_VALUE"""),"TúPHN")</f>
        <v>TúPHN</v>
      </c>
      <c r="F609" s="265" t="str">
        <f>IFERROR(__xludf.DUMMYFUNCTION("""COMPUTED_VALUE"""),"Sale chưa cung cấp")</f>
        <v>Sale chưa cung cấp</v>
      </c>
      <c r="G609" s="265" t="str">
        <f>IFERROR(__xludf.DUMMYFUNCTION("""COMPUTED_VALUE"""),"Premium")</f>
        <v>Premium</v>
      </c>
      <c r="H609" s="265" t="str">
        <f>IFERROR(__xludf.DUMMYFUNCTION("""COMPUTED_VALUE"""),"Trial")</f>
        <v>Trial</v>
      </c>
      <c r="I609" s="265" t="str">
        <f>IFERROR(__xludf.DUMMYFUNCTION("""COMPUTED_VALUE"""),"API &amp; Portal")</f>
        <v>API &amp; Portal</v>
      </c>
      <c r="J609" s="265" t="str">
        <f>IFERROR(__xludf.DUMMYFUNCTION("""COMPUTED_VALUE"""),"File Excel")</f>
        <v>File Excel</v>
      </c>
      <c r="K609" s="265" t="str">
        <f>IFERROR(__xludf.DUMMYFUNCTION("""COMPUTED_VALUE"""),"(Chưa recheck)")</f>
        <v>(Chưa recheck)</v>
      </c>
    </row>
    <row r="610">
      <c r="A610" s="265" t="str">
        <f>IFERROR(__xludf.DUMMYFUNCTION("""COMPUTED_VALUE"""),"863")</f>
        <v>863</v>
      </c>
      <c r="B610" s="265" t="str">
        <f>IFERROR(__xludf.DUMMYFUNCTION("""COMPUTED_VALUE"""),"Sài Gòn")</f>
        <v>Sài Gòn</v>
      </c>
      <c r="C610" s="265" t="str">
        <f>IFERROR(__xludf.DUMMYFUNCTION("""COMPUTED_VALUE"""),"Locked")</f>
        <v>Locked</v>
      </c>
      <c r="D610" s="265" t="str">
        <f>IFERROR(__xludf.DUMMYFUNCTION("""COMPUTED_VALUE"""),"Công nghệ &amp; Phần mềm")</f>
        <v>Công nghệ &amp; Phần mềm</v>
      </c>
      <c r="E610" s="265" t="str">
        <f>IFERROR(__xludf.DUMMYFUNCTION("""COMPUTED_VALUE"""),"TúPHN")</f>
        <v>TúPHN</v>
      </c>
      <c r="F610" s="265" t="str">
        <f>IFERROR(__xludf.DUMMYFUNCTION("""COMPUTED_VALUE"""),"Sale chưa cung cấp")</f>
        <v>Sale chưa cung cấp</v>
      </c>
      <c r="G610" s="265" t="str">
        <f>IFERROR(__xludf.DUMMYFUNCTION("""COMPUTED_VALUE"""),"Premium")</f>
        <v>Premium</v>
      </c>
      <c r="H610" s="265" t="str">
        <f>IFERROR(__xludf.DUMMYFUNCTION("""COMPUTED_VALUE"""),"Trial")</f>
        <v>Trial</v>
      </c>
      <c r="I610" s="265" t="str">
        <f>IFERROR(__xludf.DUMMYFUNCTION("""COMPUTED_VALUE"""),"API &amp; Portal")</f>
        <v>API &amp; Portal</v>
      </c>
      <c r="J610" s="265" t="str">
        <f>IFERROR(__xludf.DUMMYFUNCTION("""COMPUTED_VALUE"""),"API")</f>
        <v>API</v>
      </c>
      <c r="K610" s="265" t="str">
        <f>IFERROR(__xludf.DUMMYFUNCTION("""COMPUTED_VALUE"""),"(Chưa recheck)")</f>
        <v>(Chưa recheck)</v>
      </c>
    </row>
    <row r="611">
      <c r="A611" s="265" t="str">
        <f>IFERROR(__xludf.DUMMYFUNCTION("""COMPUTED_VALUE"""),"865")</f>
        <v>865</v>
      </c>
      <c r="B611" s="265" t="str">
        <f>IFERROR(__xludf.DUMMYFUNCTION("""COMPUTED_VALUE"""),"Hà Nội")</f>
        <v>Hà Nội</v>
      </c>
      <c r="C611" s="265" t="str">
        <f>IFERROR(__xludf.DUMMYFUNCTION("""COMPUTED_VALUE"""),"Active")</f>
        <v>Active</v>
      </c>
      <c r="D611" s="265" t="str">
        <f>IFERROR(__xludf.DUMMYFUNCTION("""COMPUTED_VALUE"""),"Sale chưa cung cấp")</f>
        <v>Sale chưa cung cấp</v>
      </c>
      <c r="E611" s="265" t="str">
        <f>IFERROR(__xludf.DUMMYFUNCTION("""COMPUTED_VALUE"""),"TùngLD")</f>
        <v>TùngLD</v>
      </c>
      <c r="F611" s="265" t="str">
        <f>IFERROR(__xludf.DUMMYFUNCTION("""COMPUTED_VALUE"""),"Bronze")</f>
        <v>Bronze</v>
      </c>
      <c r="G611" s="265" t="str">
        <f>IFERROR(__xludf.DUMMYFUNCTION("""COMPUTED_VALUE"""),"Starter")</f>
        <v>Starter</v>
      </c>
      <c r="H611" s="265" t="str">
        <f>IFERROR(__xludf.DUMMYFUNCTION("""COMPUTED_VALUE"""),"Trả sau")</f>
        <v>Trả sau</v>
      </c>
      <c r="I611" s="265" t="str">
        <f>IFERROR(__xludf.DUMMYFUNCTION("""COMPUTED_VALUE"""),"API &amp; Portal")</f>
        <v>API &amp; Portal</v>
      </c>
      <c r="J611" s="265" t="str">
        <f>IFERROR(__xludf.DUMMYFUNCTION("""COMPUTED_VALUE"""),"API")</f>
        <v>API</v>
      </c>
      <c r="K611" s="265" t="str">
        <f>IFERROR(__xludf.DUMMYFUNCTION("""COMPUTED_VALUE"""),"DungPL")</f>
        <v>DungPL</v>
      </c>
    </row>
    <row r="612">
      <c r="A612" s="265" t="str">
        <f>IFERROR(__xludf.DUMMYFUNCTION("""COMPUTED_VALUE"""),"864")</f>
        <v>864</v>
      </c>
      <c r="B612" s="265" t="str">
        <f>IFERROR(__xludf.DUMMYFUNCTION("""COMPUTED_VALUE"""),"Sài Gòn")</f>
        <v>Sài Gòn</v>
      </c>
      <c r="C612" s="265" t="str">
        <f>IFERROR(__xludf.DUMMYFUNCTION("""COMPUTED_VALUE"""),"Locked")</f>
        <v>Locked</v>
      </c>
      <c r="D612" s="265" t="str">
        <f>IFERROR(__xludf.DUMMYFUNCTION("""COMPUTED_VALUE"""),"Thực phẩm &amp; Đồ uống")</f>
        <v>Thực phẩm &amp; Đồ uống</v>
      </c>
      <c r="E612" s="265" t="str">
        <f>IFERROR(__xludf.DUMMYFUNCTION("""COMPUTED_VALUE"""),"HoaNTM")</f>
        <v>HoaNTM</v>
      </c>
      <c r="F612" s="265" t="str">
        <f>IFERROR(__xludf.DUMMYFUNCTION("""COMPUTED_VALUE"""),"Diamond")</f>
        <v>Diamond</v>
      </c>
      <c r="G612" s="265" t="str">
        <f>IFERROR(__xludf.DUMMYFUNCTION("""COMPUTED_VALUE"""),"Standard")</f>
        <v>Standard</v>
      </c>
      <c r="H612" s="265" t="str">
        <f>IFERROR(__xludf.DUMMYFUNCTION("""COMPUTED_VALUE"""),"Trả sau")</f>
        <v>Trả sau</v>
      </c>
      <c r="I612" s="265" t="str">
        <f>IFERROR(__xludf.DUMMYFUNCTION("""COMPUTED_VALUE"""),"API")</f>
        <v>API</v>
      </c>
      <c r="J612" s="265" t="str">
        <f>IFERROR(__xludf.DUMMYFUNCTION("""COMPUTED_VALUE"""),"File Excel")</f>
        <v>File Excel</v>
      </c>
      <c r="K612" s="265" t="str">
        <f>IFERROR(__xludf.DUMMYFUNCTION("""COMPUTED_VALUE"""),"YếnĐH")</f>
        <v>YếnĐH</v>
      </c>
    </row>
    <row r="613">
      <c r="A613" s="265" t="str">
        <f>IFERROR(__xludf.DUMMYFUNCTION("""COMPUTED_VALUE"""),"867")</f>
        <v>867</v>
      </c>
      <c r="B613" s="265" t="str">
        <f>IFERROR(__xludf.DUMMYFUNCTION("""COMPUTED_VALUE"""),"Hà Nội")</f>
        <v>Hà Nội</v>
      </c>
      <c r="C613" s="265" t="str">
        <f>IFERROR(__xludf.DUMMYFUNCTION("""COMPUTED_VALUE"""),"Active")</f>
        <v>Active</v>
      </c>
      <c r="D613" s="265" t="str">
        <f>IFERROR(__xludf.DUMMYFUNCTION("""COMPUTED_VALUE"""),"Sale chưa cung cấp")</f>
        <v>Sale chưa cung cấp</v>
      </c>
      <c r="E613" s="265" t="str">
        <f>IFERROR(__xludf.DUMMYFUNCTION("""COMPUTED_VALUE"""),"TúPHN")</f>
        <v>TúPHN</v>
      </c>
      <c r="F613" s="265" t="str">
        <f>IFERROR(__xludf.DUMMYFUNCTION("""COMPUTED_VALUE"""),"Bronze")</f>
        <v>Bronze</v>
      </c>
      <c r="G613" s="265" t="str">
        <f>IFERROR(__xludf.DUMMYFUNCTION("""COMPUTED_VALUE"""),"Starter")</f>
        <v>Starter</v>
      </c>
      <c r="H613" s="265" t="str">
        <f>IFERROR(__xludf.DUMMYFUNCTION("""COMPUTED_VALUE"""),"Trả trước")</f>
        <v>Trả trước</v>
      </c>
      <c r="I613" s="265" t="str">
        <f>IFERROR(__xludf.DUMMYFUNCTION("""COMPUTED_VALUE"""),"API &amp; Portal")</f>
        <v>API &amp; Portal</v>
      </c>
      <c r="J613" s="265" t="str">
        <f>IFERROR(__xludf.DUMMYFUNCTION("""COMPUTED_VALUE"""),"File Excel")</f>
        <v>File Excel</v>
      </c>
      <c r="K613" s="265" t="str">
        <f>IFERROR(__xludf.DUMMYFUNCTION("""COMPUTED_VALUE"""),"DungPL")</f>
        <v>DungPL</v>
      </c>
    </row>
    <row r="614">
      <c r="A614" s="265" t="str">
        <f>IFERROR(__xludf.DUMMYFUNCTION("""COMPUTED_VALUE"""),"867")</f>
        <v>867</v>
      </c>
      <c r="B614" s="265" t="str">
        <f>IFERROR(__xludf.DUMMYFUNCTION("""COMPUTED_VALUE"""),"Hà Nội")</f>
        <v>Hà Nội</v>
      </c>
      <c r="C614" s="265" t="str">
        <f>IFERROR(__xludf.DUMMYFUNCTION("""COMPUTED_VALUE"""),"Active")</f>
        <v>Active</v>
      </c>
      <c r="D614" s="265" t="str">
        <f>IFERROR(__xludf.DUMMYFUNCTION("""COMPUTED_VALUE"""),"Sale chưa cung cấp")</f>
        <v>Sale chưa cung cấp</v>
      </c>
      <c r="E614" s="265" t="str">
        <f>IFERROR(__xludf.DUMMYFUNCTION("""COMPUTED_VALUE"""),"TúPHN")</f>
        <v>TúPHN</v>
      </c>
      <c r="F614" s="265" t="str">
        <f>IFERROR(__xludf.DUMMYFUNCTION("""COMPUTED_VALUE"""),"Bronze")</f>
        <v>Bronze</v>
      </c>
      <c r="G614" s="265" t="str">
        <f>IFERROR(__xludf.DUMMYFUNCTION("""COMPUTED_VALUE"""),"Starter")</f>
        <v>Starter</v>
      </c>
      <c r="H614" s="265" t="str">
        <f>IFERROR(__xludf.DUMMYFUNCTION("""COMPUTED_VALUE"""),"Trả trước")</f>
        <v>Trả trước</v>
      </c>
      <c r="I614" s="265" t="str">
        <f>IFERROR(__xludf.DUMMYFUNCTION("""COMPUTED_VALUE"""),"API &amp; Portal")</f>
        <v>API &amp; Portal</v>
      </c>
      <c r="J614" s="265" t="str">
        <f>IFERROR(__xludf.DUMMYFUNCTION("""COMPUTED_VALUE"""),"API")</f>
        <v>API</v>
      </c>
      <c r="K614" s="265" t="str">
        <f>IFERROR(__xludf.DUMMYFUNCTION("""COMPUTED_VALUE"""),"DungPL")</f>
        <v>DungPL</v>
      </c>
    </row>
    <row r="615">
      <c r="A615" s="265" t="str">
        <f>IFERROR(__xludf.DUMMYFUNCTION("""COMPUTED_VALUE"""),"868")</f>
        <v>868</v>
      </c>
      <c r="B615" s="265" t="str">
        <f>IFERROR(__xludf.DUMMYFUNCTION("""COMPUTED_VALUE"""),"Hà Nội")</f>
        <v>Hà Nội</v>
      </c>
      <c r="C615" s="265" t="str">
        <f>IFERROR(__xludf.DUMMYFUNCTION("""COMPUTED_VALUE"""),"Active")</f>
        <v>Active</v>
      </c>
      <c r="D615" s="265" t="str">
        <f>IFERROR(__xludf.DUMMYFUNCTION("""COMPUTED_VALUE"""),"Sale chưa cung cấp")</f>
        <v>Sale chưa cung cấp</v>
      </c>
      <c r="E615" s="265" t="str">
        <f>IFERROR(__xludf.DUMMYFUNCTION("""COMPUTED_VALUE"""),"TùngLD")</f>
        <v>TùngLD</v>
      </c>
      <c r="F615" s="265" t="str">
        <f>IFERROR(__xludf.DUMMYFUNCTION("""COMPUTED_VALUE"""),"Silver")</f>
        <v>Silver</v>
      </c>
      <c r="G615" s="265" t="str">
        <f>IFERROR(__xludf.DUMMYFUNCTION("""COMPUTED_VALUE"""),"Starter")</f>
        <v>Starter</v>
      </c>
      <c r="H615" s="265" t="str">
        <f>IFERROR(__xludf.DUMMYFUNCTION("""COMPUTED_VALUE"""),"Trả sau")</f>
        <v>Trả sau</v>
      </c>
      <c r="I615" s="265" t="str">
        <f>IFERROR(__xludf.DUMMYFUNCTION("""COMPUTED_VALUE"""),"API")</f>
        <v>API</v>
      </c>
      <c r="J615" s="265" t="str">
        <f>IFERROR(__xludf.DUMMYFUNCTION("""COMPUTED_VALUE"""),"API")</f>
        <v>API</v>
      </c>
      <c r="K615" s="265" t="str">
        <f>IFERROR(__xludf.DUMMYFUNCTION("""COMPUTED_VALUE"""),"LinhNTT1")</f>
        <v>LinhNTT1</v>
      </c>
    </row>
    <row r="616">
      <c r="A616" s="265" t="str">
        <f>IFERROR(__xludf.DUMMYFUNCTION("""COMPUTED_VALUE"""),"869")</f>
        <v>869</v>
      </c>
      <c r="B616" s="265" t="str">
        <f>IFERROR(__xludf.DUMMYFUNCTION("""COMPUTED_VALUE"""),"Hà Nội")</f>
        <v>Hà Nội</v>
      </c>
      <c r="C616" s="265" t="str">
        <f>IFERROR(__xludf.DUMMYFUNCTION("""COMPUTED_VALUE"""),"Active")</f>
        <v>Active</v>
      </c>
      <c r="D616" s="265" t="str">
        <f>IFERROR(__xludf.DUMMYFUNCTION("""COMPUTED_VALUE"""),"Sale chưa cung cấp")</f>
        <v>Sale chưa cung cấp</v>
      </c>
      <c r="E616" s="265" t="str">
        <f>IFERROR(__xludf.DUMMYFUNCTION("""COMPUTED_VALUE"""),"TùngLD")</f>
        <v>TùngLD</v>
      </c>
      <c r="F616" s="265" t="str">
        <f>IFERROR(__xludf.DUMMYFUNCTION("""COMPUTED_VALUE"""),"Silver")</f>
        <v>Silver</v>
      </c>
      <c r="G616" s="265" t="str">
        <f>IFERROR(__xludf.DUMMYFUNCTION("""COMPUTED_VALUE"""),"Starter")</f>
        <v>Starter</v>
      </c>
      <c r="H616" s="265" t="str">
        <f>IFERROR(__xludf.DUMMYFUNCTION("""COMPUTED_VALUE"""),"Trả sau")</f>
        <v>Trả sau</v>
      </c>
      <c r="I616" s="265" t="str">
        <f>IFERROR(__xludf.DUMMYFUNCTION("""COMPUTED_VALUE"""),"API")</f>
        <v>API</v>
      </c>
      <c r="J616" s="265" t="str">
        <f>IFERROR(__xludf.DUMMYFUNCTION("""COMPUTED_VALUE"""),"API")</f>
        <v>API</v>
      </c>
      <c r="K616" s="265" t="str">
        <f>IFERROR(__xludf.DUMMYFUNCTION("""COMPUTED_VALUE"""),"LinhNTT1")</f>
        <v>LinhNTT1</v>
      </c>
    </row>
    <row r="617">
      <c r="A617" s="265" t="str">
        <f>IFERROR(__xludf.DUMMYFUNCTION("""COMPUTED_VALUE"""),"870")</f>
        <v>870</v>
      </c>
      <c r="B617" s="265" t="str">
        <f>IFERROR(__xludf.DUMMYFUNCTION("""COMPUTED_VALUE"""),"Hà Nội")</f>
        <v>Hà Nội</v>
      </c>
      <c r="C617" s="265" t="str">
        <f>IFERROR(__xludf.DUMMYFUNCTION("""COMPUTED_VALUE"""),"Locked")</f>
        <v>Locked</v>
      </c>
      <c r="D617" s="265" t="str">
        <f>IFERROR(__xludf.DUMMYFUNCTION("""COMPUTED_VALUE"""),"Sale chưa cung cấp")</f>
        <v>Sale chưa cung cấp</v>
      </c>
      <c r="E617" s="265" t="str">
        <f>IFERROR(__xludf.DUMMYFUNCTION("""COMPUTED_VALUE"""),"TùngLD")</f>
        <v>TùngLD</v>
      </c>
      <c r="F617" s="265" t="str">
        <f>IFERROR(__xludf.DUMMYFUNCTION("""COMPUTED_VALUE"""),"Sale chưa cung cấp")</f>
        <v>Sale chưa cung cấp</v>
      </c>
      <c r="G617" s="265" t="str">
        <f>IFERROR(__xludf.DUMMYFUNCTION("""COMPUTED_VALUE"""),"Premium")</f>
        <v>Premium</v>
      </c>
      <c r="H617" s="265" t="str">
        <f>IFERROR(__xludf.DUMMYFUNCTION("""COMPUTED_VALUE"""),"Trial")</f>
        <v>Trial</v>
      </c>
      <c r="I617" s="265" t="str">
        <f>IFERROR(__xludf.DUMMYFUNCTION("""COMPUTED_VALUE"""),"Portal")</f>
        <v>Portal</v>
      </c>
      <c r="J617" s="265" t="str">
        <f>IFERROR(__xludf.DUMMYFUNCTION("""COMPUTED_VALUE"""),"API")</f>
        <v>API</v>
      </c>
      <c r="K617" s="265" t="str">
        <f>IFERROR(__xludf.DUMMYFUNCTION("""COMPUTED_VALUE"""),"Không phân công")</f>
        <v>Không phân công</v>
      </c>
    </row>
    <row r="618">
      <c r="A618" s="265" t="str">
        <f>IFERROR(__xludf.DUMMYFUNCTION("""COMPUTED_VALUE"""),"871")</f>
        <v>871</v>
      </c>
      <c r="B618" s="265" t="str">
        <f>IFERROR(__xludf.DUMMYFUNCTION("""COMPUTED_VALUE"""),"Hà Nội")</f>
        <v>Hà Nội</v>
      </c>
      <c r="C618" s="265" t="str">
        <f>IFERROR(__xludf.DUMMYFUNCTION("""COMPUTED_VALUE"""),"Active")</f>
        <v>Active</v>
      </c>
      <c r="D618" s="265" t="str">
        <f>IFERROR(__xludf.DUMMYFUNCTION("""COMPUTED_VALUE"""),"Tài chính &amp; Ngân hàng")</f>
        <v>Tài chính &amp; Ngân hàng</v>
      </c>
      <c r="E618" s="265" t="str">
        <f>IFERROR(__xludf.DUMMYFUNCTION("""COMPUTED_VALUE"""),"TùngLD")</f>
        <v>TùngLD</v>
      </c>
      <c r="F618" s="265" t="str">
        <f>IFERROR(__xludf.DUMMYFUNCTION("""COMPUTED_VALUE"""),"Diamond")</f>
        <v>Diamond</v>
      </c>
      <c r="G618" s="265" t="str">
        <f>IFERROR(__xludf.DUMMYFUNCTION("""COMPUTED_VALUE"""),"Starter")</f>
        <v>Starter</v>
      </c>
      <c r="H618" s="265" t="str">
        <f>IFERROR(__xludf.DUMMYFUNCTION("""COMPUTED_VALUE"""),"Trả sau")</f>
        <v>Trả sau</v>
      </c>
      <c r="I618" s="265" t="str">
        <f>IFERROR(__xludf.DUMMYFUNCTION("""COMPUTED_VALUE"""),"API &amp; Portal")</f>
        <v>API &amp; Portal</v>
      </c>
      <c r="J618" s="265" t="str">
        <f>IFERROR(__xludf.DUMMYFUNCTION("""COMPUTED_VALUE"""),"API")</f>
        <v>API</v>
      </c>
      <c r="K618" s="265" t="str">
        <f>IFERROR(__xludf.DUMMYFUNCTION("""COMPUTED_VALUE"""),"YếnĐH")</f>
        <v>YếnĐH</v>
      </c>
    </row>
    <row r="619">
      <c r="A619" s="265" t="str">
        <f>IFERROR(__xludf.DUMMYFUNCTION("""COMPUTED_VALUE"""),"872")</f>
        <v>872</v>
      </c>
      <c r="B619" s="265" t="str">
        <f>IFERROR(__xludf.DUMMYFUNCTION("""COMPUTED_VALUE"""),"Hà Nội")</f>
        <v>Hà Nội</v>
      </c>
      <c r="C619" s="265" t="str">
        <f>IFERROR(__xludf.DUMMYFUNCTION("""COMPUTED_VALUE"""),"Locked")</f>
        <v>Locked</v>
      </c>
      <c r="D619" s="265" t="str">
        <f>IFERROR(__xludf.DUMMYFUNCTION("""COMPUTED_VALUE"""),"Y tế &amp; Dược phẩm")</f>
        <v>Y tế &amp; Dược phẩm</v>
      </c>
      <c r="E619" s="265" t="str">
        <f>IFERROR(__xludf.DUMMYFUNCTION("""COMPUTED_VALUE"""),"TùngLD")</f>
        <v>TùngLD</v>
      </c>
      <c r="F619" s="265" t="str">
        <f>IFERROR(__xludf.DUMMYFUNCTION("""COMPUTED_VALUE"""),"Sale chưa cung cấp")</f>
        <v>Sale chưa cung cấp</v>
      </c>
      <c r="G619" s="265" t="str">
        <f>IFERROR(__xludf.DUMMYFUNCTION("""COMPUTED_VALUE"""),"Premium")</f>
        <v>Premium</v>
      </c>
      <c r="H619" s="265" t="str">
        <f>IFERROR(__xludf.DUMMYFUNCTION("""COMPUTED_VALUE"""),"Trial")</f>
        <v>Trial</v>
      </c>
      <c r="I619" s="265" t="str">
        <f>IFERROR(__xludf.DUMMYFUNCTION("""COMPUTED_VALUE"""),"API")</f>
        <v>API</v>
      </c>
      <c r="J619" s="265" t="str">
        <f>IFERROR(__xludf.DUMMYFUNCTION("""COMPUTED_VALUE"""),"API")</f>
        <v>API</v>
      </c>
      <c r="K619" s="265" t="str">
        <f>IFERROR(__xludf.DUMMYFUNCTION("""COMPUTED_VALUE"""),"Không phân công")</f>
        <v>Không phân công</v>
      </c>
    </row>
    <row r="620">
      <c r="A620" s="265" t="str">
        <f>IFERROR(__xludf.DUMMYFUNCTION("""COMPUTED_VALUE"""),"873")</f>
        <v>873</v>
      </c>
      <c r="B620" s="265" t="str">
        <f>IFERROR(__xludf.DUMMYFUNCTION("""COMPUTED_VALUE"""),"Sài Gòn")</f>
        <v>Sài Gòn</v>
      </c>
      <c r="C620" s="265" t="str">
        <f>IFERROR(__xludf.DUMMYFUNCTION("""COMPUTED_VALUE"""),"Locked")</f>
        <v>Locked</v>
      </c>
      <c r="D620" s="265" t="str">
        <f>IFERROR(__xludf.DUMMYFUNCTION("""COMPUTED_VALUE"""),"Dịch vụ khác")</f>
        <v>Dịch vụ khác</v>
      </c>
      <c r="E620" s="265" t="str">
        <f>IFERROR(__xludf.DUMMYFUNCTION("""COMPUTED_VALUE"""),"TùngLD")</f>
        <v>TùngLD</v>
      </c>
      <c r="F620" s="265" t="str">
        <f>IFERROR(__xludf.DUMMYFUNCTION("""COMPUTED_VALUE"""),"Sale chưa cung cấp")</f>
        <v>Sale chưa cung cấp</v>
      </c>
      <c r="G620" s="265" t="str">
        <f>IFERROR(__xludf.DUMMYFUNCTION("""COMPUTED_VALUE"""),"Standard")</f>
        <v>Standard</v>
      </c>
      <c r="H620" s="265" t="str">
        <f>IFERROR(__xludf.DUMMYFUNCTION("""COMPUTED_VALUE"""),"Trial")</f>
        <v>Trial</v>
      </c>
      <c r="I620" s="265" t="str">
        <f>IFERROR(__xludf.DUMMYFUNCTION("""COMPUTED_VALUE"""),"API &amp; Portal")</f>
        <v>API &amp; Portal</v>
      </c>
      <c r="J620" s="265" t="str">
        <f>IFERROR(__xludf.DUMMYFUNCTION("""COMPUTED_VALUE"""),"API")</f>
        <v>API</v>
      </c>
      <c r="K620" s="265" t="str">
        <f>IFERROR(__xludf.DUMMYFUNCTION("""COMPUTED_VALUE"""),"YếnĐH")</f>
        <v>YếnĐH</v>
      </c>
    </row>
    <row r="621">
      <c r="A621" s="265" t="str">
        <f>IFERROR(__xludf.DUMMYFUNCTION("""COMPUTED_VALUE"""),"874")</f>
        <v>874</v>
      </c>
      <c r="B621" s="265" t="str">
        <f>IFERROR(__xludf.DUMMYFUNCTION("""COMPUTED_VALUE"""),"Hà Nội")</f>
        <v>Hà Nội</v>
      </c>
      <c r="C621" s="265" t="str">
        <f>IFERROR(__xludf.DUMMYFUNCTION("""COMPUTED_VALUE"""),"Locked")</f>
        <v>Locked</v>
      </c>
      <c r="D621" s="265" t="str">
        <f>IFERROR(__xludf.DUMMYFUNCTION("""COMPUTED_VALUE"""),"Dịch vụ khác")</f>
        <v>Dịch vụ khác</v>
      </c>
      <c r="E621" s="265" t="str">
        <f>IFERROR(__xludf.DUMMYFUNCTION("""COMPUTED_VALUE"""),"TúPHN")</f>
        <v>TúPHN</v>
      </c>
      <c r="F621" s="265" t="str">
        <f>IFERROR(__xludf.DUMMYFUNCTION("""COMPUTED_VALUE"""),"Sale chưa cung cấp")</f>
        <v>Sale chưa cung cấp</v>
      </c>
      <c r="G621" s="265" t="str">
        <f>IFERROR(__xludf.DUMMYFUNCTION("""COMPUTED_VALUE"""),"Starter")</f>
        <v>Starter</v>
      </c>
      <c r="H621" s="265" t="str">
        <f>IFERROR(__xludf.DUMMYFUNCTION("""COMPUTED_VALUE"""),"Trial")</f>
        <v>Trial</v>
      </c>
      <c r="I621" s="265" t="str">
        <f>IFERROR(__xludf.DUMMYFUNCTION("""COMPUTED_VALUE"""),"API")</f>
        <v>API</v>
      </c>
      <c r="J621" s="265" t="str">
        <f>IFERROR(__xludf.DUMMYFUNCTION("""COMPUTED_VALUE"""),"API")</f>
        <v>API</v>
      </c>
      <c r="K621" s="265" t="str">
        <f>IFERROR(__xludf.DUMMYFUNCTION("""COMPUTED_VALUE"""),"Không phân công")</f>
        <v>Không phân công</v>
      </c>
    </row>
    <row r="622">
      <c r="A622" s="265" t="str">
        <f>IFERROR(__xludf.DUMMYFUNCTION("""COMPUTED_VALUE"""),"875")</f>
        <v>875</v>
      </c>
      <c r="B622" s="265" t="str">
        <f>IFERROR(__xludf.DUMMYFUNCTION("""COMPUTED_VALUE"""),"Hà Nội")</f>
        <v>Hà Nội</v>
      </c>
      <c r="C622" s="265" t="str">
        <f>IFERROR(__xludf.DUMMYFUNCTION("""COMPUTED_VALUE"""),"Active")</f>
        <v>Active</v>
      </c>
      <c r="D622" s="265" t="str">
        <f>IFERROR(__xludf.DUMMYFUNCTION("""COMPUTED_VALUE"""),"Công nghệ &amp; Phần mềm")</f>
        <v>Công nghệ &amp; Phần mềm</v>
      </c>
      <c r="E622" s="265" t="str">
        <f>IFERROR(__xludf.DUMMYFUNCTION("""COMPUTED_VALUE"""),"TùngLD")</f>
        <v>TùngLD</v>
      </c>
      <c r="F622" s="265" t="str">
        <f>IFERROR(__xludf.DUMMYFUNCTION("""COMPUTED_VALUE"""),"Sale chưa cung cấp")</f>
        <v>Sale chưa cung cấp</v>
      </c>
      <c r="G622" s="265" t="str">
        <f>IFERROR(__xludf.DUMMYFUNCTION("""COMPUTED_VALUE"""),"Starter")</f>
        <v>Starter</v>
      </c>
      <c r="H622" s="265" t="str">
        <f>IFERROR(__xludf.DUMMYFUNCTION("""COMPUTED_VALUE"""),"Trả sau")</f>
        <v>Trả sau</v>
      </c>
      <c r="I622" s="265" t="str">
        <f>IFERROR(__xludf.DUMMYFUNCTION("""COMPUTED_VALUE"""),"API")</f>
        <v>API</v>
      </c>
      <c r="J622" s="265" t="str">
        <f>IFERROR(__xludf.DUMMYFUNCTION("""COMPUTED_VALUE"""),"API")</f>
        <v>API</v>
      </c>
      <c r="K622" s="265" t="str">
        <f>IFERROR(__xludf.DUMMYFUNCTION("""COMPUTED_VALUE"""),"YếnĐH")</f>
        <v>YếnĐH</v>
      </c>
    </row>
    <row r="623">
      <c r="A623" s="265" t="str">
        <f>IFERROR(__xludf.DUMMYFUNCTION("""COMPUTED_VALUE"""),"876")</f>
        <v>876</v>
      </c>
      <c r="B623" s="265" t="str">
        <f>IFERROR(__xludf.DUMMYFUNCTION("""COMPUTED_VALUE"""),"Sài Gòn")</f>
        <v>Sài Gòn</v>
      </c>
      <c r="C623" s="265" t="str">
        <f>IFERROR(__xludf.DUMMYFUNCTION("""COMPUTED_VALUE"""),"Locked")</f>
        <v>Locked</v>
      </c>
      <c r="D623" s="265" t="str">
        <f>IFERROR(__xludf.DUMMYFUNCTION("""COMPUTED_VALUE"""),"Sản xuất &amp; Chế tạo")</f>
        <v>Sản xuất &amp; Chế tạo</v>
      </c>
      <c r="E623" s="265" t="str">
        <f>IFERROR(__xludf.DUMMYFUNCTION("""COMPUTED_VALUE"""),"HoaNTM")</f>
        <v>HoaNTM</v>
      </c>
      <c r="F623" s="265" t="str">
        <f>IFERROR(__xludf.DUMMYFUNCTION("""COMPUTED_VALUE"""),"Diamond")</f>
        <v>Diamond</v>
      </c>
      <c r="G623" s="265" t="str">
        <f>IFERROR(__xludf.DUMMYFUNCTION("""COMPUTED_VALUE"""),"Starter")</f>
        <v>Starter</v>
      </c>
      <c r="H623" s="265" t="str">
        <f>IFERROR(__xludf.DUMMYFUNCTION("""COMPUTED_VALUE"""),"Trả trước")</f>
        <v>Trả trước</v>
      </c>
      <c r="I623" s="265" t="str">
        <f>IFERROR(__xludf.DUMMYFUNCTION("""COMPUTED_VALUE"""),"API &amp; Portal")</f>
        <v>API &amp; Portal</v>
      </c>
      <c r="J623" s="265" t="str">
        <f>IFERROR(__xludf.DUMMYFUNCTION("""COMPUTED_VALUE"""),"API")</f>
        <v>API</v>
      </c>
      <c r="K623" s="265" t="str">
        <f>IFERROR(__xludf.DUMMYFUNCTION("""COMPUTED_VALUE"""),"LinhNTT1")</f>
        <v>LinhNTT1</v>
      </c>
    </row>
    <row r="624">
      <c r="A624" s="265" t="str">
        <f>IFERROR(__xludf.DUMMYFUNCTION("""COMPUTED_VALUE"""),"877")</f>
        <v>877</v>
      </c>
      <c r="B624" s="265" t="str">
        <f>IFERROR(__xludf.DUMMYFUNCTION("""COMPUTED_VALUE"""),"Sài Gòn")</f>
        <v>Sài Gòn</v>
      </c>
      <c r="C624" s="265" t="str">
        <f>IFERROR(__xludf.DUMMYFUNCTION("""COMPUTED_VALUE"""),"Active")</f>
        <v>Active</v>
      </c>
      <c r="D624" s="265" t="str">
        <f>IFERROR(__xludf.DUMMYFUNCTION("""COMPUTED_VALUE"""),"Sale chưa cung cấp")</f>
        <v>Sale chưa cung cấp</v>
      </c>
      <c r="E624" s="265" t="str">
        <f>IFERROR(__xludf.DUMMYFUNCTION("""COMPUTED_VALUE"""),"TùngLD")</f>
        <v>TùngLD</v>
      </c>
      <c r="F624" s="265" t="str">
        <f>IFERROR(__xludf.DUMMYFUNCTION("""COMPUTED_VALUE"""),"Gold")</f>
        <v>Gold</v>
      </c>
      <c r="G624" s="265" t="str">
        <f>IFERROR(__xludf.DUMMYFUNCTION("""COMPUTED_VALUE"""),"Standard")</f>
        <v>Standard</v>
      </c>
      <c r="H624" s="265" t="str">
        <f>IFERROR(__xludf.DUMMYFUNCTION("""COMPUTED_VALUE"""),"Trả sau")</f>
        <v>Trả sau</v>
      </c>
      <c r="I624" s="265" t="str">
        <f>IFERROR(__xludf.DUMMYFUNCTION("""COMPUTED_VALUE"""),"API")</f>
        <v>API</v>
      </c>
      <c r="J624" s="265" t="str">
        <f>IFERROR(__xludf.DUMMYFUNCTION("""COMPUTED_VALUE"""),"API")</f>
        <v>API</v>
      </c>
      <c r="K624" s="265" t="str">
        <f>IFERROR(__xludf.DUMMYFUNCTION("""COMPUTED_VALUE"""),"LinhNTT1")</f>
        <v>LinhNTT1</v>
      </c>
    </row>
    <row r="625">
      <c r="A625" s="265" t="str">
        <f>IFERROR(__xludf.DUMMYFUNCTION("""COMPUTED_VALUE"""),"879")</f>
        <v>879</v>
      </c>
      <c r="B625" s="265" t="str">
        <f>IFERROR(__xludf.DUMMYFUNCTION("""COMPUTED_VALUE"""),"Đà Nẵng")</f>
        <v>Đà Nẵng</v>
      </c>
      <c r="C625" s="265" t="str">
        <f>IFERROR(__xludf.DUMMYFUNCTION("""COMPUTED_VALUE"""),"Active")</f>
        <v>Active</v>
      </c>
      <c r="D625" s="265" t="str">
        <f>IFERROR(__xludf.DUMMYFUNCTION("""COMPUTED_VALUE"""),"Công nghệ &amp; Phần mềm")</f>
        <v>Công nghệ &amp; Phần mềm</v>
      </c>
      <c r="E625" s="265" t="str">
        <f>IFERROR(__xludf.DUMMYFUNCTION("""COMPUTED_VALUE"""),"TúPHN")</f>
        <v>TúPHN</v>
      </c>
      <c r="F625" s="265" t="str">
        <f>IFERROR(__xludf.DUMMYFUNCTION("""COMPUTED_VALUE"""),"Silver")</f>
        <v>Silver</v>
      </c>
      <c r="G625" s="265" t="str">
        <f>IFERROR(__xludf.DUMMYFUNCTION("""COMPUTED_VALUE"""),"Standard")</f>
        <v>Standard</v>
      </c>
      <c r="H625" s="265" t="str">
        <f>IFERROR(__xludf.DUMMYFUNCTION("""COMPUTED_VALUE"""),"Trả sau")</f>
        <v>Trả sau</v>
      </c>
      <c r="I625" s="265" t="str">
        <f>IFERROR(__xludf.DUMMYFUNCTION("""COMPUTED_VALUE"""),"API &amp; Portal")</f>
        <v>API &amp; Portal</v>
      </c>
      <c r="J625" s="265" t="str">
        <f>IFERROR(__xludf.DUMMYFUNCTION("""COMPUTED_VALUE"""),"File Excel")</f>
        <v>File Excel</v>
      </c>
      <c r="K625" s="265" t="str">
        <f>IFERROR(__xludf.DUMMYFUNCTION("""COMPUTED_VALUE"""),"YếnĐH")</f>
        <v>YếnĐH</v>
      </c>
    </row>
    <row r="626">
      <c r="A626" s="265" t="str">
        <f>IFERROR(__xludf.DUMMYFUNCTION("""COMPUTED_VALUE"""),"879")</f>
        <v>879</v>
      </c>
      <c r="B626" s="265" t="str">
        <f>IFERROR(__xludf.DUMMYFUNCTION("""COMPUTED_VALUE"""),"Đà Nẵng")</f>
        <v>Đà Nẵng</v>
      </c>
      <c r="C626" s="265" t="str">
        <f>IFERROR(__xludf.DUMMYFUNCTION("""COMPUTED_VALUE"""),"Active")</f>
        <v>Active</v>
      </c>
      <c r="D626" s="265" t="str">
        <f>IFERROR(__xludf.DUMMYFUNCTION("""COMPUTED_VALUE"""),"Công nghệ &amp; Phần mềm")</f>
        <v>Công nghệ &amp; Phần mềm</v>
      </c>
      <c r="E626" s="265" t="str">
        <f>IFERROR(__xludf.DUMMYFUNCTION("""COMPUTED_VALUE"""),"TúPHN")</f>
        <v>TúPHN</v>
      </c>
      <c r="F626" s="265" t="str">
        <f>IFERROR(__xludf.DUMMYFUNCTION("""COMPUTED_VALUE"""),"Silver")</f>
        <v>Silver</v>
      </c>
      <c r="G626" s="265" t="str">
        <f>IFERROR(__xludf.DUMMYFUNCTION("""COMPUTED_VALUE"""),"Standard")</f>
        <v>Standard</v>
      </c>
      <c r="H626" s="265" t="str">
        <f>IFERROR(__xludf.DUMMYFUNCTION("""COMPUTED_VALUE"""),"Trả sau")</f>
        <v>Trả sau</v>
      </c>
      <c r="I626" s="265" t="str">
        <f>IFERROR(__xludf.DUMMYFUNCTION("""COMPUTED_VALUE"""),"API &amp; Portal")</f>
        <v>API &amp; Portal</v>
      </c>
      <c r="J626" s="265" t="str">
        <f>IFERROR(__xludf.DUMMYFUNCTION("""COMPUTED_VALUE"""),"API")</f>
        <v>API</v>
      </c>
      <c r="K626" s="265" t="str">
        <f>IFERROR(__xludf.DUMMYFUNCTION("""COMPUTED_VALUE"""),"YếnĐH")</f>
        <v>YếnĐH</v>
      </c>
    </row>
    <row r="627">
      <c r="A627" s="265" t="str">
        <f>IFERROR(__xludf.DUMMYFUNCTION("""COMPUTED_VALUE"""),"880")</f>
        <v>880</v>
      </c>
      <c r="B627" s="265" t="str">
        <f>IFERROR(__xludf.DUMMYFUNCTION("""COMPUTED_VALUE"""),"Sài Gòn")</f>
        <v>Sài Gòn</v>
      </c>
      <c r="C627" s="265" t="str">
        <f>IFERROR(__xludf.DUMMYFUNCTION("""COMPUTED_VALUE"""),"Active")</f>
        <v>Active</v>
      </c>
      <c r="D627" s="265" t="str">
        <f>IFERROR(__xludf.DUMMYFUNCTION("""COMPUTED_VALUE"""),"Sale chưa cung cấp")</f>
        <v>Sale chưa cung cấp</v>
      </c>
      <c r="E627" s="265" t="str">
        <f>IFERROR(__xludf.DUMMYFUNCTION("""COMPUTED_VALUE"""),"Không phân công")</f>
        <v>Không phân công</v>
      </c>
      <c r="F627" s="265" t="str">
        <f>IFERROR(__xludf.DUMMYFUNCTION("""COMPUTED_VALUE"""),"Gold")</f>
        <v>Gold</v>
      </c>
      <c r="G627" s="265" t="str">
        <f>IFERROR(__xludf.DUMMYFUNCTION("""COMPUTED_VALUE"""),"Standard")</f>
        <v>Standard</v>
      </c>
      <c r="H627" s="265" t="str">
        <f>IFERROR(__xludf.DUMMYFUNCTION("""COMPUTED_VALUE"""),"Trả sau")</f>
        <v>Trả sau</v>
      </c>
      <c r="I627" s="265" t="str">
        <f>IFERROR(__xludf.DUMMYFUNCTION("""COMPUTED_VALUE"""),"API")</f>
        <v>API</v>
      </c>
      <c r="J627" s="265" t="str">
        <f>IFERROR(__xludf.DUMMYFUNCTION("""COMPUTED_VALUE"""),"API")</f>
        <v>API</v>
      </c>
      <c r="K627" s="265" t="str">
        <f>IFERROR(__xludf.DUMMYFUNCTION("""COMPUTED_VALUE"""),"LinhNTT1")</f>
        <v>LinhNTT1</v>
      </c>
    </row>
    <row r="628">
      <c r="A628" s="265" t="str">
        <f>IFERROR(__xludf.DUMMYFUNCTION("""COMPUTED_VALUE"""),"881")</f>
        <v>881</v>
      </c>
      <c r="B628" s="265" t="str">
        <f>IFERROR(__xludf.DUMMYFUNCTION("""COMPUTED_VALUE"""),"Hà Nội")</f>
        <v>Hà Nội</v>
      </c>
      <c r="C628" s="265" t="str">
        <f>IFERROR(__xludf.DUMMYFUNCTION("""COMPUTED_VALUE"""),"Active")</f>
        <v>Active</v>
      </c>
      <c r="D628" s="265" t="str">
        <f>IFERROR(__xludf.DUMMYFUNCTION("""COMPUTED_VALUE"""),"Truyền thông &amp; Giải trí")</f>
        <v>Truyền thông &amp; Giải trí</v>
      </c>
      <c r="E628" s="265" t="str">
        <f>IFERROR(__xludf.DUMMYFUNCTION("""COMPUTED_VALUE"""),"TúPHN")</f>
        <v>TúPHN</v>
      </c>
      <c r="F628" s="265" t="str">
        <f>IFERROR(__xludf.DUMMYFUNCTION("""COMPUTED_VALUE"""),"Gold")</f>
        <v>Gold</v>
      </c>
      <c r="G628" s="265" t="str">
        <f>IFERROR(__xludf.DUMMYFUNCTION("""COMPUTED_VALUE"""),"Starter")</f>
        <v>Starter</v>
      </c>
      <c r="H628" s="265" t="str">
        <f>IFERROR(__xludf.DUMMYFUNCTION("""COMPUTED_VALUE"""),"Trả trước")</f>
        <v>Trả trước</v>
      </c>
      <c r="I628" s="265" t="str">
        <f>IFERROR(__xludf.DUMMYFUNCTION("""COMPUTED_VALUE"""),"API")</f>
        <v>API</v>
      </c>
      <c r="J628" s="265" t="str">
        <f>IFERROR(__xludf.DUMMYFUNCTION("""COMPUTED_VALUE"""),"API")</f>
        <v>API</v>
      </c>
      <c r="K628" s="265" t="str">
        <f>IFERROR(__xludf.DUMMYFUNCTION("""COMPUTED_VALUE"""),"DungVT")</f>
        <v>DungVT</v>
      </c>
    </row>
    <row r="629">
      <c r="A629" s="265" t="str">
        <f>IFERROR(__xludf.DUMMYFUNCTION("""COMPUTED_VALUE"""),"882")</f>
        <v>882</v>
      </c>
      <c r="B629" s="265" t="str">
        <f>IFERROR(__xludf.DUMMYFUNCTION("""COMPUTED_VALUE"""),"Sài Gòn")</f>
        <v>Sài Gòn</v>
      </c>
      <c r="C629" s="265" t="str">
        <f>IFERROR(__xludf.DUMMYFUNCTION("""COMPUTED_VALUE"""),"Active")</f>
        <v>Active</v>
      </c>
      <c r="D629" s="265" t="str">
        <f>IFERROR(__xludf.DUMMYFUNCTION("""COMPUTED_VALUE"""),"Công nghệ &amp; Phần mềm")</f>
        <v>Công nghệ &amp; Phần mềm</v>
      </c>
      <c r="E629" s="265" t="str">
        <f>IFERROR(__xludf.DUMMYFUNCTION("""COMPUTED_VALUE"""),"AnhNM")</f>
        <v>AnhNM</v>
      </c>
      <c r="F629" s="265" t="str">
        <f>IFERROR(__xludf.DUMMYFUNCTION("""COMPUTED_VALUE"""),"Gold")</f>
        <v>Gold</v>
      </c>
      <c r="G629" s="265" t="str">
        <f>IFERROR(__xludf.DUMMYFUNCTION("""COMPUTED_VALUE"""),"Starter")</f>
        <v>Starter</v>
      </c>
      <c r="H629" s="265" t="str">
        <f>IFERROR(__xludf.DUMMYFUNCTION("""COMPUTED_VALUE"""),"Trả sau")</f>
        <v>Trả sau</v>
      </c>
      <c r="I629" s="265" t="str">
        <f>IFERROR(__xludf.DUMMYFUNCTION("""COMPUTED_VALUE"""),"API &amp; Portal")</f>
        <v>API &amp; Portal</v>
      </c>
      <c r="J629" s="265" t="str">
        <f>IFERROR(__xludf.DUMMYFUNCTION("""COMPUTED_VALUE"""),"File Excel")</f>
        <v>File Excel</v>
      </c>
      <c r="K629" s="265" t="str">
        <f>IFERROR(__xludf.DUMMYFUNCTION("""COMPUTED_VALUE"""),"DungPL")</f>
        <v>DungPL</v>
      </c>
    </row>
    <row r="630">
      <c r="A630" s="265" t="str">
        <f>IFERROR(__xludf.DUMMYFUNCTION("""COMPUTED_VALUE"""),"882")</f>
        <v>882</v>
      </c>
      <c r="B630" s="265" t="str">
        <f>IFERROR(__xludf.DUMMYFUNCTION("""COMPUTED_VALUE"""),"Sài Gòn")</f>
        <v>Sài Gòn</v>
      </c>
      <c r="C630" s="265" t="str">
        <f>IFERROR(__xludf.DUMMYFUNCTION("""COMPUTED_VALUE"""),"Active")</f>
        <v>Active</v>
      </c>
      <c r="D630" s="265" t="str">
        <f>IFERROR(__xludf.DUMMYFUNCTION("""COMPUTED_VALUE"""),"Công nghệ &amp; Phần mềm")</f>
        <v>Công nghệ &amp; Phần mềm</v>
      </c>
      <c r="E630" s="265" t="str">
        <f>IFERROR(__xludf.DUMMYFUNCTION("""COMPUTED_VALUE"""),"AnhNM")</f>
        <v>AnhNM</v>
      </c>
      <c r="F630" s="265" t="str">
        <f>IFERROR(__xludf.DUMMYFUNCTION("""COMPUTED_VALUE"""),"Gold")</f>
        <v>Gold</v>
      </c>
      <c r="G630" s="265" t="str">
        <f>IFERROR(__xludf.DUMMYFUNCTION("""COMPUTED_VALUE"""),"Starter")</f>
        <v>Starter</v>
      </c>
      <c r="H630" s="265" t="str">
        <f>IFERROR(__xludf.DUMMYFUNCTION("""COMPUTED_VALUE"""),"Trả sau")</f>
        <v>Trả sau</v>
      </c>
      <c r="I630" s="265" t="str">
        <f>IFERROR(__xludf.DUMMYFUNCTION("""COMPUTED_VALUE"""),"API &amp; Portal")</f>
        <v>API &amp; Portal</v>
      </c>
      <c r="J630" s="265" t="str">
        <f>IFERROR(__xludf.DUMMYFUNCTION("""COMPUTED_VALUE"""),"API")</f>
        <v>API</v>
      </c>
      <c r="K630" s="265" t="str">
        <f>IFERROR(__xludf.DUMMYFUNCTION("""COMPUTED_VALUE"""),"DungPL")</f>
        <v>DungPL</v>
      </c>
    </row>
    <row r="631">
      <c r="A631" s="265" t="str">
        <f>IFERROR(__xludf.DUMMYFUNCTION("""COMPUTED_VALUE"""),"883")</f>
        <v>883</v>
      </c>
      <c r="B631" s="265" t="str">
        <f>IFERROR(__xludf.DUMMYFUNCTION("""COMPUTED_VALUE"""),"Hà Nội")</f>
        <v>Hà Nội</v>
      </c>
      <c r="C631" s="265" t="str">
        <f>IFERROR(__xludf.DUMMYFUNCTION("""COMPUTED_VALUE"""),"Active")</f>
        <v>Active</v>
      </c>
      <c r="D631" s="265" t="str">
        <f>IFERROR(__xludf.DUMMYFUNCTION("""COMPUTED_VALUE"""),"Dịch vụ khác")</f>
        <v>Dịch vụ khác</v>
      </c>
      <c r="E631" s="265" t="str">
        <f>IFERROR(__xludf.DUMMYFUNCTION("""COMPUTED_VALUE"""),"TúPHN")</f>
        <v>TúPHN</v>
      </c>
      <c r="F631" s="265" t="str">
        <f>IFERROR(__xludf.DUMMYFUNCTION("""COMPUTED_VALUE"""),"Silver")</f>
        <v>Silver</v>
      </c>
      <c r="G631" s="265" t="str">
        <f>IFERROR(__xludf.DUMMYFUNCTION("""COMPUTED_VALUE"""),"Starter")</f>
        <v>Starter</v>
      </c>
      <c r="H631" s="265" t="str">
        <f>IFERROR(__xludf.DUMMYFUNCTION("""COMPUTED_VALUE"""),"Trả trước")</f>
        <v>Trả trước</v>
      </c>
      <c r="I631" s="265" t="str">
        <f>IFERROR(__xludf.DUMMYFUNCTION("""COMPUTED_VALUE"""),"Portal")</f>
        <v>Portal</v>
      </c>
      <c r="J631" s="265" t="str">
        <f>IFERROR(__xludf.DUMMYFUNCTION("""COMPUTED_VALUE"""),"File Excel")</f>
        <v>File Excel</v>
      </c>
      <c r="K631" s="265" t="str">
        <f>IFERROR(__xludf.DUMMYFUNCTION("""COMPUTED_VALUE"""),"LinhNTT1")</f>
        <v>LinhNTT1</v>
      </c>
    </row>
    <row r="632">
      <c r="A632" s="265" t="str">
        <f>IFERROR(__xludf.DUMMYFUNCTION("""COMPUTED_VALUE"""),"893")</f>
        <v>893</v>
      </c>
      <c r="B632" s="265" t="str">
        <f>IFERROR(__xludf.DUMMYFUNCTION("""COMPUTED_VALUE"""),"Hà Nội")</f>
        <v>Hà Nội</v>
      </c>
      <c r="C632" s="265" t="str">
        <f>IFERROR(__xludf.DUMMYFUNCTION("""COMPUTED_VALUE"""),"Active")</f>
        <v>Active</v>
      </c>
      <c r="D632" s="265" t="str">
        <f>IFERROR(__xludf.DUMMYFUNCTION("""COMPUTED_VALUE"""),"Sale chưa cung cấp")</f>
        <v>Sale chưa cung cấp</v>
      </c>
      <c r="E632" s="265" t="str">
        <f>IFERROR(__xludf.DUMMYFUNCTION("""COMPUTED_VALUE"""),"Không phân công")</f>
        <v>Không phân công</v>
      </c>
      <c r="F632" s="265" t="str">
        <f>IFERROR(__xludf.DUMMYFUNCTION("""COMPUTED_VALUE"""),"Sale chưa cung cấp")</f>
        <v>Sale chưa cung cấp</v>
      </c>
      <c r="G632" s="265" t="str">
        <f>IFERROR(__xludf.DUMMYFUNCTION("""COMPUTED_VALUE"""),"Starter")</f>
        <v>Starter</v>
      </c>
      <c r="H632" s="265" t="str">
        <f>IFERROR(__xludf.DUMMYFUNCTION("""COMPUTED_VALUE"""),"Trả sau")</f>
        <v>Trả sau</v>
      </c>
      <c r="I632" s="265" t="str">
        <f>IFERROR(__xludf.DUMMYFUNCTION("""COMPUTED_VALUE"""),"API")</f>
        <v>API</v>
      </c>
      <c r="J632" s="265" t="str">
        <f>IFERROR(__xludf.DUMMYFUNCTION("""COMPUTED_VALUE"""),"API")</f>
        <v>API</v>
      </c>
      <c r="K632" s="265" t="str">
        <f>IFERROR(__xludf.DUMMYFUNCTION("""COMPUTED_VALUE"""),"DungVT")</f>
        <v>DungVT</v>
      </c>
    </row>
    <row r="633">
      <c r="A633" s="265" t="str">
        <f>IFERROR(__xludf.DUMMYFUNCTION("""COMPUTED_VALUE"""),"886")</f>
        <v>886</v>
      </c>
      <c r="B633" s="265" t="str">
        <f>IFERROR(__xludf.DUMMYFUNCTION("""COMPUTED_VALUE"""),"Hà Nội")</f>
        <v>Hà Nội</v>
      </c>
      <c r="C633" s="265" t="str">
        <f>IFERROR(__xludf.DUMMYFUNCTION("""COMPUTED_VALUE"""),"Active")</f>
        <v>Active</v>
      </c>
      <c r="D633" s="265" t="str">
        <f>IFERROR(__xludf.DUMMYFUNCTION("""COMPUTED_VALUE"""),"Công nghệ &amp; Phần mềm")</f>
        <v>Công nghệ &amp; Phần mềm</v>
      </c>
      <c r="E633" s="265" t="str">
        <f>IFERROR(__xludf.DUMMYFUNCTION("""COMPUTED_VALUE"""),"TùngLD")</f>
        <v>TùngLD</v>
      </c>
      <c r="F633" s="265" t="str">
        <f>IFERROR(__xludf.DUMMYFUNCTION("""COMPUTED_VALUE"""),"Bronze")</f>
        <v>Bronze</v>
      </c>
      <c r="G633" s="265" t="str">
        <f>IFERROR(__xludf.DUMMYFUNCTION("""COMPUTED_VALUE"""),"Starter")</f>
        <v>Starter</v>
      </c>
      <c r="H633" s="265" t="str">
        <f>IFERROR(__xludf.DUMMYFUNCTION("""COMPUTED_VALUE"""),"Trả sau")</f>
        <v>Trả sau</v>
      </c>
      <c r="I633" s="265" t="str">
        <f>IFERROR(__xludf.DUMMYFUNCTION("""COMPUTED_VALUE"""),"API &amp; Portal")</f>
        <v>API &amp; Portal</v>
      </c>
      <c r="J633" s="265" t="str">
        <f>IFERROR(__xludf.DUMMYFUNCTION("""COMPUTED_VALUE"""),"API")</f>
        <v>API</v>
      </c>
      <c r="K633" s="265" t="str">
        <f>IFERROR(__xludf.DUMMYFUNCTION("""COMPUTED_VALUE"""),"DungPL")</f>
        <v>DungPL</v>
      </c>
    </row>
    <row r="634">
      <c r="A634" s="265" t="str">
        <f>IFERROR(__xludf.DUMMYFUNCTION("""COMPUTED_VALUE"""),"888")</f>
        <v>888</v>
      </c>
      <c r="B634" s="265" t="str">
        <f>IFERROR(__xludf.DUMMYFUNCTION("""COMPUTED_VALUE"""),"Hà Nội")</f>
        <v>Hà Nội</v>
      </c>
      <c r="C634" s="265" t="str">
        <f>IFERROR(__xludf.DUMMYFUNCTION("""COMPUTED_VALUE"""),"Active")</f>
        <v>Active</v>
      </c>
      <c r="D634" s="265" t="str">
        <f>IFERROR(__xludf.DUMMYFUNCTION("""COMPUTED_VALUE"""),"Tài chính &amp; Ngân hàng")</f>
        <v>Tài chính &amp; Ngân hàng</v>
      </c>
      <c r="E634" s="265" t="str">
        <f>IFERROR(__xludf.DUMMYFUNCTION("""COMPUTED_VALUE"""),"TùngLD")</f>
        <v>TùngLD</v>
      </c>
      <c r="F634" s="265" t="str">
        <f>IFERROR(__xludf.DUMMYFUNCTION("""COMPUTED_VALUE"""),"Silver")</f>
        <v>Silver</v>
      </c>
      <c r="G634" s="265" t="str">
        <f>IFERROR(__xludf.DUMMYFUNCTION("""COMPUTED_VALUE"""),"Starter")</f>
        <v>Starter</v>
      </c>
      <c r="H634" s="265" t="str">
        <f>IFERROR(__xludf.DUMMYFUNCTION("""COMPUTED_VALUE"""),"Trả sau")</f>
        <v>Trả sau</v>
      </c>
      <c r="I634" s="265" t="str">
        <f>IFERROR(__xludf.DUMMYFUNCTION("""COMPUTED_VALUE"""),"API &amp; Portal")</f>
        <v>API &amp; Portal</v>
      </c>
      <c r="J634" s="265" t="str">
        <f>IFERROR(__xludf.DUMMYFUNCTION("""COMPUTED_VALUE"""),"API")</f>
        <v>API</v>
      </c>
      <c r="K634" s="265" t="str">
        <f>IFERROR(__xludf.DUMMYFUNCTION("""COMPUTED_VALUE"""),"LinhNTT1")</f>
        <v>LinhNTT1</v>
      </c>
    </row>
    <row r="635">
      <c r="A635" s="265" t="str">
        <f>IFERROR(__xludf.DUMMYFUNCTION("""COMPUTED_VALUE"""),"889")</f>
        <v>889</v>
      </c>
      <c r="B635" s="265" t="str">
        <f>IFERROR(__xludf.DUMMYFUNCTION("""COMPUTED_VALUE"""),"Hà Nội")</f>
        <v>Hà Nội</v>
      </c>
      <c r="C635" s="265" t="str">
        <f>IFERROR(__xludf.DUMMYFUNCTION("""COMPUTED_VALUE"""),"Active")</f>
        <v>Active</v>
      </c>
      <c r="D635" s="265" t="str">
        <f>IFERROR(__xludf.DUMMYFUNCTION("""COMPUTED_VALUE"""),"Y tế &amp; Dược phẩm")</f>
        <v>Y tế &amp; Dược phẩm</v>
      </c>
      <c r="E635" s="265" t="str">
        <f>IFERROR(__xludf.DUMMYFUNCTION("""COMPUTED_VALUE"""),"TùngLD")</f>
        <v>TùngLD</v>
      </c>
      <c r="F635" s="265" t="str">
        <f>IFERROR(__xludf.DUMMYFUNCTION("""COMPUTED_VALUE"""),"Gold")</f>
        <v>Gold</v>
      </c>
      <c r="G635" s="265" t="str">
        <f>IFERROR(__xludf.DUMMYFUNCTION("""COMPUTED_VALUE"""),"Premium")</f>
        <v>Premium</v>
      </c>
      <c r="H635" s="265" t="str">
        <f>IFERROR(__xludf.DUMMYFUNCTION("""COMPUTED_VALUE"""),"Trả sau")</f>
        <v>Trả sau</v>
      </c>
      <c r="I635" s="265" t="str">
        <f>IFERROR(__xludf.DUMMYFUNCTION("""COMPUTED_VALUE"""),"API &amp; Portal")</f>
        <v>API &amp; Portal</v>
      </c>
      <c r="J635" s="265" t="str">
        <f>IFERROR(__xludf.DUMMYFUNCTION("""COMPUTED_VALUE"""),"File Excel")</f>
        <v>File Excel</v>
      </c>
      <c r="K635" s="265" t="str">
        <f>IFERROR(__xludf.DUMMYFUNCTION("""COMPUTED_VALUE"""),"LinhNTT1")</f>
        <v>LinhNTT1</v>
      </c>
    </row>
    <row r="636">
      <c r="A636" s="265" t="str">
        <f>IFERROR(__xludf.DUMMYFUNCTION("""COMPUTED_VALUE"""),"889")</f>
        <v>889</v>
      </c>
      <c r="B636" s="265" t="str">
        <f>IFERROR(__xludf.DUMMYFUNCTION("""COMPUTED_VALUE"""),"Hà Nội")</f>
        <v>Hà Nội</v>
      </c>
      <c r="C636" s="265" t="str">
        <f>IFERROR(__xludf.DUMMYFUNCTION("""COMPUTED_VALUE"""),"Active")</f>
        <v>Active</v>
      </c>
      <c r="D636" s="265" t="str">
        <f>IFERROR(__xludf.DUMMYFUNCTION("""COMPUTED_VALUE"""),"Y tế &amp; Dược phẩm")</f>
        <v>Y tế &amp; Dược phẩm</v>
      </c>
      <c r="E636" s="265" t="str">
        <f>IFERROR(__xludf.DUMMYFUNCTION("""COMPUTED_VALUE"""),"TùngLD")</f>
        <v>TùngLD</v>
      </c>
      <c r="F636" s="265" t="str">
        <f>IFERROR(__xludf.DUMMYFUNCTION("""COMPUTED_VALUE"""),"Gold")</f>
        <v>Gold</v>
      </c>
      <c r="G636" s="265" t="str">
        <f>IFERROR(__xludf.DUMMYFUNCTION("""COMPUTED_VALUE"""),"Premium")</f>
        <v>Premium</v>
      </c>
      <c r="H636" s="265" t="str">
        <f>IFERROR(__xludf.DUMMYFUNCTION("""COMPUTED_VALUE"""),"Trả sau")</f>
        <v>Trả sau</v>
      </c>
      <c r="I636" s="265" t="str">
        <f>IFERROR(__xludf.DUMMYFUNCTION("""COMPUTED_VALUE"""),"API &amp; Portal")</f>
        <v>API &amp; Portal</v>
      </c>
      <c r="J636" s="265" t="str">
        <f>IFERROR(__xludf.DUMMYFUNCTION("""COMPUTED_VALUE"""),"HubSpot")</f>
        <v>HubSpot</v>
      </c>
      <c r="K636" s="265" t="str">
        <f>IFERROR(__xludf.DUMMYFUNCTION("""COMPUTED_VALUE"""),"LinhNTT1")</f>
        <v>LinhNTT1</v>
      </c>
    </row>
    <row r="637">
      <c r="A637" s="265" t="str">
        <f>IFERROR(__xludf.DUMMYFUNCTION("""COMPUTED_VALUE"""),"890")</f>
        <v>890</v>
      </c>
      <c r="B637" s="265" t="str">
        <f>IFERROR(__xludf.DUMMYFUNCTION("""COMPUTED_VALUE"""),"Sài Gòn")</f>
        <v>Sài Gòn</v>
      </c>
      <c r="C637" s="265" t="str">
        <f>IFERROR(__xludf.DUMMYFUNCTION("""COMPUTED_VALUE"""),"Active")</f>
        <v>Active</v>
      </c>
      <c r="D637" s="265" t="str">
        <f>IFERROR(__xludf.DUMMYFUNCTION("""COMPUTED_VALUE"""),"Công nghệ &amp; Phần mềm")</f>
        <v>Công nghệ &amp; Phần mềm</v>
      </c>
      <c r="E637" s="265" t="str">
        <f>IFERROR(__xludf.DUMMYFUNCTION("""COMPUTED_VALUE"""),"TúPHN")</f>
        <v>TúPHN</v>
      </c>
      <c r="F637" s="265" t="str">
        <f>IFERROR(__xludf.DUMMYFUNCTION("""COMPUTED_VALUE"""),"Gold")</f>
        <v>Gold</v>
      </c>
      <c r="G637" s="265" t="str">
        <f>IFERROR(__xludf.DUMMYFUNCTION("""COMPUTED_VALUE"""),"Starter")</f>
        <v>Starter</v>
      </c>
      <c r="H637" s="265" t="str">
        <f>IFERROR(__xludf.DUMMYFUNCTION("""COMPUTED_VALUE"""),"Trả sau")</f>
        <v>Trả sau</v>
      </c>
      <c r="I637" s="265" t="str">
        <f>IFERROR(__xludf.DUMMYFUNCTION("""COMPUTED_VALUE"""),"API &amp; Portal")</f>
        <v>API &amp; Portal</v>
      </c>
      <c r="J637" s="265" t="str">
        <f>IFERROR(__xludf.DUMMYFUNCTION("""COMPUTED_VALUE"""),"API")</f>
        <v>API</v>
      </c>
      <c r="K637" s="265" t="str">
        <f>IFERROR(__xludf.DUMMYFUNCTION("""COMPUTED_VALUE"""),"LinhNTT1")</f>
        <v>LinhNTT1</v>
      </c>
    </row>
    <row r="638">
      <c r="A638" s="265" t="str">
        <f>IFERROR(__xludf.DUMMYFUNCTION("""COMPUTED_VALUE"""),"891")</f>
        <v>891</v>
      </c>
      <c r="B638" s="265" t="str">
        <f>IFERROR(__xludf.DUMMYFUNCTION("""COMPUTED_VALUE"""),"Sài Gòn")</f>
        <v>Sài Gòn</v>
      </c>
      <c r="C638" s="265" t="str">
        <f>IFERROR(__xludf.DUMMYFUNCTION("""COMPUTED_VALUE"""),"Locked")</f>
        <v>Locked</v>
      </c>
      <c r="D638" s="265" t="str">
        <f>IFERROR(__xludf.DUMMYFUNCTION("""COMPUTED_VALUE"""),"Sale chưa cung cấp")</f>
        <v>Sale chưa cung cấp</v>
      </c>
      <c r="E638" s="265" t="str">
        <f>IFERROR(__xludf.DUMMYFUNCTION("""COMPUTED_VALUE"""),"AnhNM")</f>
        <v>AnhNM</v>
      </c>
      <c r="F638" s="265" t="str">
        <f>IFERROR(__xludf.DUMMYFUNCTION("""COMPUTED_VALUE"""),"Sale chưa cung cấp")</f>
        <v>Sale chưa cung cấp</v>
      </c>
      <c r="G638" s="265" t="str">
        <f>IFERROR(__xludf.DUMMYFUNCTION("""COMPUTED_VALUE"""),"Standard")</f>
        <v>Standard</v>
      </c>
      <c r="H638" s="265" t="str">
        <f>IFERROR(__xludf.DUMMYFUNCTION("""COMPUTED_VALUE"""),"Trial")</f>
        <v>Trial</v>
      </c>
      <c r="I638" s="265" t="str">
        <f>IFERROR(__xludf.DUMMYFUNCTION("""COMPUTED_VALUE"""),"API")</f>
        <v>API</v>
      </c>
      <c r="J638" s="265" t="str">
        <f>IFERROR(__xludf.DUMMYFUNCTION("""COMPUTED_VALUE"""),"API")</f>
        <v>API</v>
      </c>
      <c r="K638" s="265" t="str">
        <f>IFERROR(__xludf.DUMMYFUNCTION("""COMPUTED_VALUE"""),"Không phân công")</f>
        <v>Không phân công</v>
      </c>
    </row>
    <row r="639">
      <c r="A639" s="265" t="str">
        <f>IFERROR(__xludf.DUMMYFUNCTION("""COMPUTED_VALUE"""),"892")</f>
        <v>892</v>
      </c>
      <c r="B639" s="265" t="str">
        <f>IFERROR(__xludf.DUMMYFUNCTION("""COMPUTED_VALUE"""),"Hà Nội")</f>
        <v>Hà Nội</v>
      </c>
      <c r="C639" s="265" t="str">
        <f>IFERROR(__xludf.DUMMYFUNCTION("""COMPUTED_VALUE"""),"Active")</f>
        <v>Active</v>
      </c>
      <c r="D639" s="265" t="str">
        <f>IFERROR(__xludf.DUMMYFUNCTION("""COMPUTED_VALUE"""),"Y tế &amp; Dược phẩm")</f>
        <v>Y tế &amp; Dược phẩm</v>
      </c>
      <c r="E639" s="265" t="str">
        <f>IFERROR(__xludf.DUMMYFUNCTION("""COMPUTED_VALUE"""),"TùngLD")</f>
        <v>TùngLD</v>
      </c>
      <c r="F639" s="265" t="str">
        <f>IFERROR(__xludf.DUMMYFUNCTION("""COMPUTED_VALUE"""),"Gold")</f>
        <v>Gold</v>
      </c>
      <c r="G639" s="265" t="str">
        <f>IFERROR(__xludf.DUMMYFUNCTION("""COMPUTED_VALUE"""),"Premium")</f>
        <v>Premium</v>
      </c>
      <c r="H639" s="265" t="str">
        <f>IFERROR(__xludf.DUMMYFUNCTION("""COMPUTED_VALUE"""),"Trả sau")</f>
        <v>Trả sau</v>
      </c>
      <c r="I639" s="265" t="str">
        <f>IFERROR(__xludf.DUMMYFUNCTION("""COMPUTED_VALUE"""),"API &amp; Portal")</f>
        <v>API &amp; Portal</v>
      </c>
      <c r="J639" s="265" t="str">
        <f>IFERROR(__xludf.DUMMYFUNCTION("""COMPUTED_VALUE"""),"File Excel")</f>
        <v>File Excel</v>
      </c>
      <c r="K639" s="265" t="str">
        <f>IFERROR(__xludf.DUMMYFUNCTION("""COMPUTED_VALUE"""),"LinhNTT1")</f>
        <v>LinhNTT1</v>
      </c>
    </row>
    <row r="640">
      <c r="A640" s="265" t="str">
        <f>IFERROR(__xludf.DUMMYFUNCTION("""COMPUTED_VALUE"""),"892")</f>
        <v>892</v>
      </c>
      <c r="B640" s="265" t="str">
        <f>IFERROR(__xludf.DUMMYFUNCTION("""COMPUTED_VALUE"""),"Hà Nội")</f>
        <v>Hà Nội</v>
      </c>
      <c r="C640" s="265" t="str">
        <f>IFERROR(__xludf.DUMMYFUNCTION("""COMPUTED_VALUE"""),"Active")</f>
        <v>Active</v>
      </c>
      <c r="D640" s="265" t="str">
        <f>IFERROR(__xludf.DUMMYFUNCTION("""COMPUTED_VALUE"""),"Y tế &amp; Dược phẩm")</f>
        <v>Y tế &amp; Dược phẩm</v>
      </c>
      <c r="E640" s="265" t="str">
        <f>IFERROR(__xludf.DUMMYFUNCTION("""COMPUTED_VALUE"""),"TùngLD")</f>
        <v>TùngLD</v>
      </c>
      <c r="F640" s="265" t="str">
        <f>IFERROR(__xludf.DUMMYFUNCTION("""COMPUTED_VALUE"""),"Gold")</f>
        <v>Gold</v>
      </c>
      <c r="G640" s="265" t="str">
        <f>IFERROR(__xludf.DUMMYFUNCTION("""COMPUTED_VALUE"""),"Premium")</f>
        <v>Premium</v>
      </c>
      <c r="H640" s="265" t="str">
        <f>IFERROR(__xludf.DUMMYFUNCTION("""COMPUTED_VALUE"""),"Trả sau")</f>
        <v>Trả sau</v>
      </c>
      <c r="I640" s="265" t="str">
        <f>IFERROR(__xludf.DUMMYFUNCTION("""COMPUTED_VALUE"""),"API &amp; Portal")</f>
        <v>API &amp; Portal</v>
      </c>
      <c r="J640" s="265" t="str">
        <f>IFERROR(__xludf.DUMMYFUNCTION("""COMPUTED_VALUE"""),"HubSpot")</f>
        <v>HubSpot</v>
      </c>
      <c r="K640" s="265" t="str">
        <f>IFERROR(__xludf.DUMMYFUNCTION("""COMPUTED_VALUE"""),"LinhNTT1")</f>
        <v>LinhNTT1</v>
      </c>
    </row>
    <row r="641">
      <c r="A641" s="265" t="str">
        <f>IFERROR(__xludf.DUMMYFUNCTION("""COMPUTED_VALUE"""),"895")</f>
        <v>895</v>
      </c>
      <c r="B641" s="265" t="str">
        <f>IFERROR(__xludf.DUMMYFUNCTION("""COMPUTED_VALUE"""),"Sài Gòn")</f>
        <v>Sài Gòn</v>
      </c>
      <c r="C641" s="265" t="str">
        <f>IFERROR(__xludf.DUMMYFUNCTION("""COMPUTED_VALUE"""),"Locked")</f>
        <v>Locked</v>
      </c>
      <c r="D641" s="265" t="str">
        <f>IFERROR(__xludf.DUMMYFUNCTION("""COMPUTED_VALUE"""),"Sale chưa cung cấp")</f>
        <v>Sale chưa cung cấp</v>
      </c>
      <c r="E641" s="265" t="str">
        <f>IFERROR(__xludf.DUMMYFUNCTION("""COMPUTED_VALUE"""),"AnhNM")</f>
        <v>AnhNM</v>
      </c>
      <c r="F641" s="265" t="str">
        <f>IFERROR(__xludf.DUMMYFUNCTION("""COMPUTED_VALUE"""),"Sale chưa cung cấp")</f>
        <v>Sale chưa cung cấp</v>
      </c>
      <c r="G641" s="265" t="str">
        <f>IFERROR(__xludf.DUMMYFUNCTION("""COMPUTED_VALUE"""),"Starter")</f>
        <v>Starter</v>
      </c>
      <c r="H641" s="265" t="str">
        <f>IFERROR(__xludf.DUMMYFUNCTION("""COMPUTED_VALUE"""),"Trial")</f>
        <v>Trial</v>
      </c>
      <c r="I641" s="265" t="str">
        <f>IFERROR(__xludf.DUMMYFUNCTION("""COMPUTED_VALUE"""),"API")</f>
        <v>API</v>
      </c>
      <c r="J641" s="265" t="str">
        <f>IFERROR(__xludf.DUMMYFUNCTION("""COMPUTED_VALUE"""),"API")</f>
        <v>API</v>
      </c>
      <c r="K641" s="265" t="str">
        <f>IFERROR(__xludf.DUMMYFUNCTION("""COMPUTED_VALUE"""),"Không phân công")</f>
        <v>Không phân công</v>
      </c>
    </row>
    <row r="642">
      <c r="A642" s="265" t="str">
        <f>IFERROR(__xludf.DUMMYFUNCTION("""COMPUTED_VALUE"""),"894")</f>
        <v>894</v>
      </c>
      <c r="B642" s="265" t="str">
        <f>IFERROR(__xludf.DUMMYFUNCTION("""COMPUTED_VALUE"""),"Sài Gòn")</f>
        <v>Sài Gòn</v>
      </c>
      <c r="C642" s="265" t="str">
        <f>IFERROR(__xludf.DUMMYFUNCTION("""COMPUTED_VALUE"""),"Active")</f>
        <v>Active</v>
      </c>
      <c r="D642" s="265" t="str">
        <f>IFERROR(__xludf.DUMMYFUNCTION("""COMPUTED_VALUE"""),"Sale chưa cung cấp")</f>
        <v>Sale chưa cung cấp</v>
      </c>
      <c r="E642" s="265" t="str">
        <f>IFERROR(__xludf.DUMMYFUNCTION("""COMPUTED_VALUE"""),"Không phân công")</f>
        <v>Không phân công</v>
      </c>
      <c r="F642" s="265" t="str">
        <f>IFERROR(__xludf.DUMMYFUNCTION("""COMPUTED_VALUE"""),"Diamond")</f>
        <v>Diamond</v>
      </c>
      <c r="G642" s="265" t="str">
        <f>IFERROR(__xludf.DUMMYFUNCTION("""COMPUTED_VALUE"""),"Standard")</f>
        <v>Standard</v>
      </c>
      <c r="H642" s="265" t="str">
        <f>IFERROR(__xludf.DUMMYFUNCTION("""COMPUTED_VALUE"""),"Trả trước")</f>
        <v>Trả trước</v>
      </c>
      <c r="I642" s="265" t="str">
        <f>IFERROR(__xludf.DUMMYFUNCTION("""COMPUTED_VALUE"""),"API")</f>
        <v>API</v>
      </c>
      <c r="J642" s="265" t="str">
        <f>IFERROR(__xludf.DUMMYFUNCTION("""COMPUTED_VALUE"""),"API")</f>
        <v>API</v>
      </c>
      <c r="K642" s="265" t="str">
        <f>IFERROR(__xludf.DUMMYFUNCTION("""COMPUTED_VALUE"""),"LinhNTT1")</f>
        <v>LinhNTT1</v>
      </c>
    </row>
    <row r="643">
      <c r="A643" s="265" t="str">
        <f>IFERROR(__xludf.DUMMYFUNCTION("""COMPUTED_VALUE"""),"896")</f>
        <v>896</v>
      </c>
      <c r="B643" s="265" t="str">
        <f>IFERROR(__xludf.DUMMYFUNCTION("""COMPUTED_VALUE"""),"Hà Nội")</f>
        <v>Hà Nội</v>
      </c>
      <c r="C643" s="265" t="str">
        <f>IFERROR(__xludf.DUMMYFUNCTION("""COMPUTED_VALUE"""),"Active")</f>
        <v>Active</v>
      </c>
      <c r="D643" s="265" t="str">
        <f>IFERROR(__xludf.DUMMYFUNCTION("""COMPUTED_VALUE"""),"Mua sắm &amp; Bán lẻ")</f>
        <v>Mua sắm &amp; Bán lẻ</v>
      </c>
      <c r="E643" s="265" t="str">
        <f>IFERROR(__xludf.DUMMYFUNCTION("""COMPUTED_VALUE"""),"TúPHN")</f>
        <v>TúPHN</v>
      </c>
      <c r="F643" s="265" t="str">
        <f>IFERROR(__xludf.DUMMYFUNCTION("""COMPUTED_VALUE"""),"Bronze")</f>
        <v>Bronze</v>
      </c>
      <c r="G643" s="265" t="str">
        <f>IFERROR(__xludf.DUMMYFUNCTION("""COMPUTED_VALUE"""),"Starter")</f>
        <v>Starter</v>
      </c>
      <c r="H643" s="265" t="str">
        <f>IFERROR(__xludf.DUMMYFUNCTION("""COMPUTED_VALUE"""),"Trả sau")</f>
        <v>Trả sau</v>
      </c>
      <c r="I643" s="265" t="str">
        <f>IFERROR(__xludf.DUMMYFUNCTION("""COMPUTED_VALUE"""),"API &amp; Portal")</f>
        <v>API &amp; Portal</v>
      </c>
      <c r="J643" s="265" t="str">
        <f>IFERROR(__xludf.DUMMYFUNCTION("""COMPUTED_VALUE"""),"File Excel")</f>
        <v>File Excel</v>
      </c>
      <c r="K643" s="265" t="str">
        <f>IFERROR(__xludf.DUMMYFUNCTION("""COMPUTED_VALUE"""),"DungPL")</f>
        <v>DungPL</v>
      </c>
    </row>
    <row r="644">
      <c r="A644" s="265" t="str">
        <f>IFERROR(__xludf.DUMMYFUNCTION("""COMPUTED_VALUE"""),"896")</f>
        <v>896</v>
      </c>
      <c r="B644" s="265" t="str">
        <f>IFERROR(__xludf.DUMMYFUNCTION("""COMPUTED_VALUE"""),"Hà Nội")</f>
        <v>Hà Nội</v>
      </c>
      <c r="C644" s="265" t="str">
        <f>IFERROR(__xludf.DUMMYFUNCTION("""COMPUTED_VALUE"""),"Active")</f>
        <v>Active</v>
      </c>
      <c r="D644" s="265" t="str">
        <f>IFERROR(__xludf.DUMMYFUNCTION("""COMPUTED_VALUE"""),"Mua sắm &amp; Bán lẻ")</f>
        <v>Mua sắm &amp; Bán lẻ</v>
      </c>
      <c r="E644" s="265" t="str">
        <f>IFERROR(__xludf.DUMMYFUNCTION("""COMPUTED_VALUE"""),"TúPHN")</f>
        <v>TúPHN</v>
      </c>
      <c r="F644" s="265" t="str">
        <f>IFERROR(__xludf.DUMMYFUNCTION("""COMPUTED_VALUE"""),"Bronze")</f>
        <v>Bronze</v>
      </c>
      <c r="G644" s="265" t="str">
        <f>IFERROR(__xludf.DUMMYFUNCTION("""COMPUTED_VALUE"""),"Starter")</f>
        <v>Starter</v>
      </c>
      <c r="H644" s="265" t="str">
        <f>IFERROR(__xludf.DUMMYFUNCTION("""COMPUTED_VALUE"""),"Trả sau")</f>
        <v>Trả sau</v>
      </c>
      <c r="I644" s="265" t="str">
        <f>IFERROR(__xludf.DUMMYFUNCTION("""COMPUTED_VALUE"""),"API &amp; Portal")</f>
        <v>API &amp; Portal</v>
      </c>
      <c r="J644" s="265" t="str">
        <f>IFERROR(__xludf.DUMMYFUNCTION("""COMPUTED_VALUE"""),"API")</f>
        <v>API</v>
      </c>
      <c r="K644" s="265" t="str">
        <f>IFERROR(__xludf.DUMMYFUNCTION("""COMPUTED_VALUE"""),"DungPL")</f>
        <v>DungPL</v>
      </c>
    </row>
    <row r="645">
      <c r="A645" s="265" t="str">
        <f>IFERROR(__xludf.DUMMYFUNCTION("""COMPUTED_VALUE"""),"897")</f>
        <v>897</v>
      </c>
      <c r="B645" s="265" t="str">
        <f>IFERROR(__xludf.DUMMYFUNCTION("""COMPUTED_VALUE"""),"Sài Gòn")</f>
        <v>Sài Gòn</v>
      </c>
      <c r="C645" s="265" t="str">
        <f>IFERROR(__xludf.DUMMYFUNCTION("""COMPUTED_VALUE"""),"Locked")</f>
        <v>Locked</v>
      </c>
      <c r="D645" s="265" t="str">
        <f>IFERROR(__xludf.DUMMYFUNCTION("""COMPUTED_VALUE"""),"Thực phẩm &amp; Đồ uống")</f>
        <v>Thực phẩm &amp; Đồ uống</v>
      </c>
      <c r="E645" s="265" t="str">
        <f>IFERROR(__xludf.DUMMYFUNCTION("""COMPUTED_VALUE"""),"HoaNTM")</f>
        <v>HoaNTM</v>
      </c>
      <c r="F645" s="265" t="str">
        <f>IFERROR(__xludf.DUMMYFUNCTION("""COMPUTED_VALUE"""),"Diamond")</f>
        <v>Diamond</v>
      </c>
      <c r="G645" s="265" t="str">
        <f>IFERROR(__xludf.DUMMYFUNCTION("""COMPUTED_VALUE"""),"Premium")</f>
        <v>Premium</v>
      </c>
      <c r="H645" s="265" t="str">
        <f>IFERROR(__xludf.DUMMYFUNCTION("""COMPUTED_VALUE"""),"Trả trước")</f>
        <v>Trả trước</v>
      </c>
      <c r="I645" s="265" t="str">
        <f>IFERROR(__xludf.DUMMYFUNCTION("""COMPUTED_VALUE"""),"API &amp; Portal")</f>
        <v>API &amp; Portal</v>
      </c>
      <c r="J645" s="265" t="str">
        <f>IFERROR(__xludf.DUMMYFUNCTION("""COMPUTED_VALUE"""),"File Excel")</f>
        <v>File Excel</v>
      </c>
      <c r="K645" s="265" t="str">
        <f>IFERROR(__xludf.DUMMYFUNCTION("""COMPUTED_VALUE"""),"LinhNTT1")</f>
        <v>LinhNTT1</v>
      </c>
    </row>
    <row r="646">
      <c r="A646" s="265" t="str">
        <f>IFERROR(__xludf.DUMMYFUNCTION("""COMPUTED_VALUE"""),"897")</f>
        <v>897</v>
      </c>
      <c r="B646" s="265" t="str">
        <f>IFERROR(__xludf.DUMMYFUNCTION("""COMPUTED_VALUE"""),"Sài Gòn")</f>
        <v>Sài Gòn</v>
      </c>
      <c r="C646" s="265" t="str">
        <f>IFERROR(__xludf.DUMMYFUNCTION("""COMPUTED_VALUE"""),"Locked")</f>
        <v>Locked</v>
      </c>
      <c r="D646" s="265" t="str">
        <f>IFERROR(__xludf.DUMMYFUNCTION("""COMPUTED_VALUE"""),"Thực phẩm &amp; Đồ uống")</f>
        <v>Thực phẩm &amp; Đồ uống</v>
      </c>
      <c r="E646" s="265" t="str">
        <f>IFERROR(__xludf.DUMMYFUNCTION("""COMPUTED_VALUE"""),"HoaNTM")</f>
        <v>HoaNTM</v>
      </c>
      <c r="F646" s="265" t="str">
        <f>IFERROR(__xludf.DUMMYFUNCTION("""COMPUTED_VALUE"""),"Diamond")</f>
        <v>Diamond</v>
      </c>
      <c r="G646" s="265" t="str">
        <f>IFERROR(__xludf.DUMMYFUNCTION("""COMPUTED_VALUE"""),"Premium")</f>
        <v>Premium</v>
      </c>
      <c r="H646" s="265" t="str">
        <f>IFERROR(__xludf.DUMMYFUNCTION("""COMPUTED_VALUE"""),"Trả trước")</f>
        <v>Trả trước</v>
      </c>
      <c r="I646" s="265" t="str">
        <f>IFERROR(__xludf.DUMMYFUNCTION("""COMPUTED_VALUE"""),"API &amp; Portal")</f>
        <v>API &amp; Portal</v>
      </c>
      <c r="J646" s="265" t="str">
        <f>IFERROR(__xludf.DUMMYFUNCTION("""COMPUTED_VALUE"""),"API")</f>
        <v>API</v>
      </c>
      <c r="K646" s="265" t="str">
        <f>IFERROR(__xludf.DUMMYFUNCTION("""COMPUTED_VALUE"""),"LinhNTT1")</f>
        <v>LinhNTT1</v>
      </c>
    </row>
    <row r="647">
      <c r="A647" s="265" t="str">
        <f>IFERROR(__xludf.DUMMYFUNCTION("""COMPUTED_VALUE"""),"898")</f>
        <v>898</v>
      </c>
      <c r="B647" s="265" t="str">
        <f>IFERROR(__xludf.DUMMYFUNCTION("""COMPUTED_VALUE"""),"Sài Gòn")</f>
        <v>Sài Gòn</v>
      </c>
      <c r="C647" s="265" t="str">
        <f>IFERROR(__xludf.DUMMYFUNCTION("""COMPUTED_VALUE"""),"Locked")</f>
        <v>Locked</v>
      </c>
      <c r="D647" s="265" t="str">
        <f>IFERROR(__xludf.DUMMYFUNCTION("""COMPUTED_VALUE"""),"Thực phẩm &amp; Đồ uống")</f>
        <v>Thực phẩm &amp; Đồ uống</v>
      </c>
      <c r="E647" s="265" t="str">
        <f>IFERROR(__xludf.DUMMYFUNCTION("""COMPUTED_VALUE"""),"HoaNTM")</f>
        <v>HoaNTM</v>
      </c>
      <c r="F647" s="265" t="str">
        <f>IFERROR(__xludf.DUMMYFUNCTION("""COMPUTED_VALUE"""),"Diamond")</f>
        <v>Diamond</v>
      </c>
      <c r="G647" s="265" t="str">
        <f>IFERROR(__xludf.DUMMYFUNCTION("""COMPUTED_VALUE"""),"Premium")</f>
        <v>Premium</v>
      </c>
      <c r="H647" s="265" t="str">
        <f>IFERROR(__xludf.DUMMYFUNCTION("""COMPUTED_VALUE"""),"Trả sau")</f>
        <v>Trả sau</v>
      </c>
      <c r="I647" s="265" t="str">
        <f>IFERROR(__xludf.DUMMYFUNCTION("""COMPUTED_VALUE"""),"API &amp; Portal")</f>
        <v>API &amp; Portal</v>
      </c>
      <c r="J647" s="265" t="str">
        <f>IFERROR(__xludf.DUMMYFUNCTION("""COMPUTED_VALUE"""),"File Excel")</f>
        <v>File Excel</v>
      </c>
      <c r="K647" s="265" t="str">
        <f>IFERROR(__xludf.DUMMYFUNCTION("""COMPUTED_VALUE"""),"DungVT")</f>
        <v>DungVT</v>
      </c>
    </row>
    <row r="648">
      <c r="A648" s="265" t="str">
        <f>IFERROR(__xludf.DUMMYFUNCTION("""COMPUTED_VALUE"""),"898")</f>
        <v>898</v>
      </c>
      <c r="B648" s="265" t="str">
        <f>IFERROR(__xludf.DUMMYFUNCTION("""COMPUTED_VALUE"""),"Sài Gòn")</f>
        <v>Sài Gòn</v>
      </c>
      <c r="C648" s="265" t="str">
        <f>IFERROR(__xludf.DUMMYFUNCTION("""COMPUTED_VALUE"""),"Locked")</f>
        <v>Locked</v>
      </c>
      <c r="D648" s="265" t="str">
        <f>IFERROR(__xludf.DUMMYFUNCTION("""COMPUTED_VALUE"""),"Thực phẩm &amp; Đồ uống")</f>
        <v>Thực phẩm &amp; Đồ uống</v>
      </c>
      <c r="E648" s="265" t="str">
        <f>IFERROR(__xludf.DUMMYFUNCTION("""COMPUTED_VALUE"""),"HoaNTM")</f>
        <v>HoaNTM</v>
      </c>
      <c r="F648" s="265" t="str">
        <f>IFERROR(__xludf.DUMMYFUNCTION("""COMPUTED_VALUE"""),"Diamond")</f>
        <v>Diamond</v>
      </c>
      <c r="G648" s="265" t="str">
        <f>IFERROR(__xludf.DUMMYFUNCTION("""COMPUTED_VALUE"""),"Premium")</f>
        <v>Premium</v>
      </c>
      <c r="H648" s="265" t="str">
        <f>IFERROR(__xludf.DUMMYFUNCTION("""COMPUTED_VALUE"""),"Trả sau")</f>
        <v>Trả sau</v>
      </c>
      <c r="I648" s="265" t="str">
        <f>IFERROR(__xludf.DUMMYFUNCTION("""COMPUTED_VALUE"""),"API &amp; Portal")</f>
        <v>API &amp; Portal</v>
      </c>
      <c r="J648" s="265" t="str">
        <f>IFERROR(__xludf.DUMMYFUNCTION("""COMPUTED_VALUE"""),"API")</f>
        <v>API</v>
      </c>
      <c r="K648" s="265" t="str">
        <f>IFERROR(__xludf.DUMMYFUNCTION("""COMPUTED_VALUE"""),"DungVT")</f>
        <v>DungVT</v>
      </c>
    </row>
    <row r="649">
      <c r="A649" s="265" t="str">
        <f>IFERROR(__xludf.DUMMYFUNCTION("""COMPUTED_VALUE"""),"899")</f>
        <v>899</v>
      </c>
      <c r="B649" s="265" t="str">
        <f>IFERROR(__xludf.DUMMYFUNCTION("""COMPUTED_VALUE"""),"Hà Nội")</f>
        <v>Hà Nội</v>
      </c>
      <c r="C649" s="265" t="str">
        <f>IFERROR(__xludf.DUMMYFUNCTION("""COMPUTED_VALUE"""),"Active")</f>
        <v>Active</v>
      </c>
      <c r="D649" s="265" t="str">
        <f>IFERROR(__xludf.DUMMYFUNCTION("""COMPUTED_VALUE"""),"Sale chưa cung cấp")</f>
        <v>Sale chưa cung cấp</v>
      </c>
      <c r="E649" s="265" t="str">
        <f>IFERROR(__xludf.DUMMYFUNCTION("""COMPUTED_VALUE"""),"AnhNM")</f>
        <v>AnhNM</v>
      </c>
      <c r="F649" s="265" t="str">
        <f>IFERROR(__xludf.DUMMYFUNCTION("""COMPUTED_VALUE"""),"Bronze")</f>
        <v>Bronze</v>
      </c>
      <c r="G649" s="265" t="str">
        <f>IFERROR(__xludf.DUMMYFUNCTION("""COMPUTED_VALUE"""),"Starter")</f>
        <v>Starter</v>
      </c>
      <c r="H649" s="265" t="str">
        <f>IFERROR(__xludf.DUMMYFUNCTION("""COMPUTED_VALUE"""),"Trả trước")</f>
        <v>Trả trước</v>
      </c>
      <c r="I649" s="265" t="str">
        <f>IFERROR(__xludf.DUMMYFUNCTION("""COMPUTED_VALUE"""),"API")</f>
        <v>API</v>
      </c>
      <c r="J649" s="265" t="str">
        <f>IFERROR(__xludf.DUMMYFUNCTION("""COMPUTED_VALUE"""),"API")</f>
        <v>API</v>
      </c>
      <c r="K649" s="265" t="str">
        <f>IFERROR(__xludf.DUMMYFUNCTION("""COMPUTED_VALUE"""),"LinhNTT1")</f>
        <v>LinhNTT1</v>
      </c>
    </row>
    <row r="650">
      <c r="A650" s="265" t="str">
        <f>IFERROR(__xludf.DUMMYFUNCTION("""COMPUTED_VALUE"""),"900")</f>
        <v>900</v>
      </c>
      <c r="B650" s="265" t="str">
        <f>IFERROR(__xludf.DUMMYFUNCTION("""COMPUTED_VALUE"""),"Hà Nội")</f>
        <v>Hà Nội</v>
      </c>
      <c r="C650" s="265" t="str">
        <f>IFERROR(__xludf.DUMMYFUNCTION("""COMPUTED_VALUE"""),"Active")</f>
        <v>Active</v>
      </c>
      <c r="D650" s="265" t="str">
        <f>IFERROR(__xludf.DUMMYFUNCTION("""COMPUTED_VALUE"""),"Sale chưa cung cấp")</f>
        <v>Sale chưa cung cấp</v>
      </c>
      <c r="E650" s="265" t="str">
        <f>IFERROR(__xludf.DUMMYFUNCTION("""COMPUTED_VALUE"""),"Không phân công")</f>
        <v>Không phân công</v>
      </c>
      <c r="F650" s="265" t="str">
        <f>IFERROR(__xludf.DUMMYFUNCTION("""COMPUTED_VALUE"""),"Sale chưa cung cấp")</f>
        <v>Sale chưa cung cấp</v>
      </c>
      <c r="G650" s="265" t="str">
        <f>IFERROR(__xludf.DUMMYFUNCTION("""COMPUTED_VALUE"""),"Starter")</f>
        <v>Starter</v>
      </c>
      <c r="H650" s="265" t="str">
        <f>IFERROR(__xludf.DUMMYFUNCTION("""COMPUTED_VALUE"""),"Trả sau")</f>
        <v>Trả sau</v>
      </c>
      <c r="I650" s="265" t="str">
        <f>IFERROR(__xludf.DUMMYFUNCTION("""COMPUTED_VALUE"""),"API &amp; Portal")</f>
        <v>API &amp; Portal</v>
      </c>
      <c r="J650" s="265" t="str">
        <f>IFERROR(__xludf.DUMMYFUNCTION("""COMPUTED_VALUE"""),"File Excel")</f>
        <v>File Excel</v>
      </c>
      <c r="K650" s="265" t="str">
        <f>IFERROR(__xludf.DUMMYFUNCTION("""COMPUTED_VALUE"""),"LinhNTT1")</f>
        <v>LinhNTT1</v>
      </c>
    </row>
    <row r="651">
      <c r="A651" s="265" t="str">
        <f>IFERROR(__xludf.DUMMYFUNCTION("""COMPUTED_VALUE"""),"900")</f>
        <v>900</v>
      </c>
      <c r="B651" s="265" t="str">
        <f>IFERROR(__xludf.DUMMYFUNCTION("""COMPUTED_VALUE"""),"Hà Nội")</f>
        <v>Hà Nội</v>
      </c>
      <c r="C651" s="265" t="str">
        <f>IFERROR(__xludf.DUMMYFUNCTION("""COMPUTED_VALUE"""),"Active")</f>
        <v>Active</v>
      </c>
      <c r="D651" s="265" t="str">
        <f>IFERROR(__xludf.DUMMYFUNCTION("""COMPUTED_VALUE"""),"Sale chưa cung cấp")</f>
        <v>Sale chưa cung cấp</v>
      </c>
      <c r="E651" s="265" t="str">
        <f>IFERROR(__xludf.DUMMYFUNCTION("""COMPUTED_VALUE"""),"Không phân công")</f>
        <v>Không phân công</v>
      </c>
      <c r="F651" s="265" t="str">
        <f>IFERROR(__xludf.DUMMYFUNCTION("""COMPUTED_VALUE"""),"Sale chưa cung cấp")</f>
        <v>Sale chưa cung cấp</v>
      </c>
      <c r="G651" s="265" t="str">
        <f>IFERROR(__xludf.DUMMYFUNCTION("""COMPUTED_VALUE"""),"Starter")</f>
        <v>Starter</v>
      </c>
      <c r="H651" s="265" t="str">
        <f>IFERROR(__xludf.DUMMYFUNCTION("""COMPUTED_VALUE"""),"Trả sau")</f>
        <v>Trả sau</v>
      </c>
      <c r="I651" s="265" t="str">
        <f>IFERROR(__xludf.DUMMYFUNCTION("""COMPUTED_VALUE"""),"API &amp; Portal")</f>
        <v>API &amp; Portal</v>
      </c>
      <c r="J651" s="265" t="str">
        <f>IFERROR(__xludf.DUMMYFUNCTION("""COMPUTED_VALUE"""),"API")</f>
        <v>API</v>
      </c>
      <c r="K651" s="265" t="str">
        <f>IFERROR(__xludf.DUMMYFUNCTION("""COMPUTED_VALUE"""),"LinhNTT1")</f>
        <v>LinhNTT1</v>
      </c>
    </row>
    <row r="652">
      <c r="A652" s="265" t="str">
        <f>IFERROR(__xludf.DUMMYFUNCTION("""COMPUTED_VALUE"""),"902")</f>
        <v>902</v>
      </c>
      <c r="B652" s="265" t="str">
        <f>IFERROR(__xludf.DUMMYFUNCTION("""COMPUTED_VALUE"""),"Hà Nội")</f>
        <v>Hà Nội</v>
      </c>
      <c r="C652" s="265" t="str">
        <f>IFERROR(__xludf.DUMMYFUNCTION("""COMPUTED_VALUE"""),"Active")</f>
        <v>Active</v>
      </c>
      <c r="D652" s="265" t="str">
        <f>IFERROR(__xludf.DUMMYFUNCTION("""COMPUTED_VALUE"""),"Y tế &amp; Dược phẩm")</f>
        <v>Y tế &amp; Dược phẩm</v>
      </c>
      <c r="E652" s="265" t="str">
        <f>IFERROR(__xludf.DUMMYFUNCTION("""COMPUTED_VALUE"""),"TùngLD")</f>
        <v>TùngLD</v>
      </c>
      <c r="F652" s="265" t="str">
        <f>IFERROR(__xludf.DUMMYFUNCTION("""COMPUTED_VALUE"""),"Gold")</f>
        <v>Gold</v>
      </c>
      <c r="G652" s="265" t="str">
        <f>IFERROR(__xludf.DUMMYFUNCTION("""COMPUTED_VALUE"""),"Premium")</f>
        <v>Premium</v>
      </c>
      <c r="H652" s="265" t="str">
        <f>IFERROR(__xludf.DUMMYFUNCTION("""COMPUTED_VALUE"""),"Trả sau")</f>
        <v>Trả sau</v>
      </c>
      <c r="I652" s="265" t="str">
        <f>IFERROR(__xludf.DUMMYFUNCTION("""COMPUTED_VALUE"""),"API &amp; Portal")</f>
        <v>API &amp; Portal</v>
      </c>
      <c r="J652" s="265" t="str">
        <f>IFERROR(__xludf.DUMMYFUNCTION("""COMPUTED_VALUE"""),"HubSpot")</f>
        <v>HubSpot</v>
      </c>
      <c r="K652" s="265" t="str">
        <f>IFERROR(__xludf.DUMMYFUNCTION("""COMPUTED_VALUE"""),"LinhNTT1")</f>
        <v>LinhNTT1</v>
      </c>
    </row>
    <row r="653">
      <c r="A653" s="265" t="str">
        <f>IFERROR(__xludf.DUMMYFUNCTION("""COMPUTED_VALUE"""),"901")</f>
        <v>901</v>
      </c>
      <c r="B653" s="265" t="str">
        <f>IFERROR(__xludf.DUMMYFUNCTION("""COMPUTED_VALUE"""),"Hà Nội")</f>
        <v>Hà Nội</v>
      </c>
      <c r="C653" s="265" t="str">
        <f>IFERROR(__xludf.DUMMYFUNCTION("""COMPUTED_VALUE"""),"Locked")</f>
        <v>Locked</v>
      </c>
      <c r="D653" s="265" t="str">
        <f>IFERROR(__xludf.DUMMYFUNCTION("""COMPUTED_VALUE"""),"Sale chưa cung cấp")</f>
        <v>Sale chưa cung cấp</v>
      </c>
      <c r="E653" s="265" t="str">
        <f>IFERROR(__xludf.DUMMYFUNCTION("""COMPUTED_VALUE"""),"PhươngDTB")</f>
        <v>PhươngDTB</v>
      </c>
      <c r="F653" s="265" t="str">
        <f>IFERROR(__xludf.DUMMYFUNCTION("""COMPUTED_VALUE"""),"Sale chưa cung cấp")</f>
        <v>Sale chưa cung cấp</v>
      </c>
      <c r="G653" s="265" t="str">
        <f>IFERROR(__xludf.DUMMYFUNCTION("""COMPUTED_VALUE"""),"Enterprise")</f>
        <v>Enterprise</v>
      </c>
      <c r="H653" s="265" t="str">
        <f>IFERROR(__xludf.DUMMYFUNCTION("""COMPUTED_VALUE"""),"Trial")</f>
        <v>Trial</v>
      </c>
      <c r="I653" s="265" t="str">
        <f>IFERROR(__xludf.DUMMYFUNCTION("""COMPUTED_VALUE"""),"API")</f>
        <v>API</v>
      </c>
      <c r="J653" s="265" t="str">
        <f>IFERROR(__xludf.DUMMYFUNCTION("""COMPUTED_VALUE"""),"API")</f>
        <v>API</v>
      </c>
      <c r="K653" s="265" t="str">
        <f>IFERROR(__xludf.DUMMYFUNCTION("""COMPUTED_VALUE"""),"DungPL")</f>
        <v>DungPL</v>
      </c>
    </row>
    <row r="654">
      <c r="A654" s="265" t="str">
        <f>IFERROR(__xludf.DUMMYFUNCTION("""COMPUTED_VALUE"""),"903")</f>
        <v>903</v>
      </c>
      <c r="B654" s="265" t="str">
        <f>IFERROR(__xludf.DUMMYFUNCTION("""COMPUTED_VALUE"""),"Sài Gòn")</f>
        <v>Sài Gòn</v>
      </c>
      <c r="C654" s="265" t="str">
        <f>IFERROR(__xludf.DUMMYFUNCTION("""COMPUTED_VALUE"""),"Active")</f>
        <v>Active</v>
      </c>
      <c r="D654" s="265" t="str">
        <f>IFERROR(__xludf.DUMMYFUNCTION("""COMPUTED_VALUE"""),"Ô tô &amp; Xe máy")</f>
        <v>Ô tô &amp; Xe máy</v>
      </c>
      <c r="E654" s="265" t="str">
        <f>IFERROR(__xludf.DUMMYFUNCTION("""COMPUTED_VALUE"""),"AnhNM")</f>
        <v>AnhNM</v>
      </c>
      <c r="F654" s="265" t="str">
        <f>IFERROR(__xludf.DUMMYFUNCTION("""COMPUTED_VALUE"""),"Silver")</f>
        <v>Silver</v>
      </c>
      <c r="G654" s="265" t="str">
        <f>IFERROR(__xludf.DUMMYFUNCTION("""COMPUTED_VALUE"""),"Standard")</f>
        <v>Standard</v>
      </c>
      <c r="H654" s="265" t="str">
        <f>IFERROR(__xludf.DUMMYFUNCTION("""COMPUTED_VALUE"""),"Trả trước")</f>
        <v>Trả trước</v>
      </c>
      <c r="I654" s="265" t="str">
        <f>IFERROR(__xludf.DUMMYFUNCTION("""COMPUTED_VALUE"""),"Portal")</f>
        <v>Portal</v>
      </c>
      <c r="J654" s="265" t="str">
        <f>IFERROR(__xludf.DUMMYFUNCTION("""COMPUTED_VALUE"""),"File Excel")</f>
        <v>File Excel</v>
      </c>
      <c r="K654" s="265" t="str">
        <f>IFERROR(__xludf.DUMMYFUNCTION("""COMPUTED_VALUE"""),"LinhNTT1")</f>
        <v>LinhNTT1</v>
      </c>
    </row>
    <row r="655">
      <c r="A655" s="265" t="str">
        <f>IFERROR(__xludf.DUMMYFUNCTION("""COMPUTED_VALUE"""),"904")</f>
        <v>904</v>
      </c>
      <c r="B655" s="265" t="str">
        <f>IFERROR(__xludf.DUMMYFUNCTION("""COMPUTED_VALUE"""),"Hà Nội")</f>
        <v>Hà Nội</v>
      </c>
      <c r="C655" s="265" t="str">
        <f>IFERROR(__xludf.DUMMYFUNCTION("""COMPUTED_VALUE"""),"Active")</f>
        <v>Active</v>
      </c>
      <c r="D655" s="265" t="str">
        <f>IFERROR(__xludf.DUMMYFUNCTION("""COMPUTED_VALUE"""),"Y tế &amp; Dược phẩm")</f>
        <v>Y tế &amp; Dược phẩm</v>
      </c>
      <c r="E655" s="265" t="str">
        <f>IFERROR(__xludf.DUMMYFUNCTION("""COMPUTED_VALUE"""),"TùngLD")</f>
        <v>TùngLD</v>
      </c>
      <c r="F655" s="265" t="str">
        <f>IFERROR(__xludf.DUMMYFUNCTION("""COMPUTED_VALUE"""),"Gold")</f>
        <v>Gold</v>
      </c>
      <c r="G655" s="265" t="str">
        <f>IFERROR(__xludf.DUMMYFUNCTION("""COMPUTED_VALUE"""),"Premium")</f>
        <v>Premium</v>
      </c>
      <c r="H655" s="265" t="str">
        <f>IFERROR(__xludf.DUMMYFUNCTION("""COMPUTED_VALUE"""),"Trả sau")</f>
        <v>Trả sau</v>
      </c>
      <c r="I655" s="265" t="str">
        <f>IFERROR(__xludf.DUMMYFUNCTION("""COMPUTED_VALUE"""),"API &amp; Portal")</f>
        <v>API &amp; Portal</v>
      </c>
      <c r="J655" s="265" t="str">
        <f>IFERROR(__xludf.DUMMYFUNCTION("""COMPUTED_VALUE"""),"File Excel")</f>
        <v>File Excel</v>
      </c>
      <c r="K655" s="265" t="str">
        <f>IFERROR(__xludf.DUMMYFUNCTION("""COMPUTED_VALUE"""),"LinhNTT1")</f>
        <v>LinhNTT1</v>
      </c>
    </row>
    <row r="656">
      <c r="A656" s="265" t="str">
        <f>IFERROR(__xludf.DUMMYFUNCTION("""COMPUTED_VALUE"""),"904")</f>
        <v>904</v>
      </c>
      <c r="B656" s="265" t="str">
        <f>IFERROR(__xludf.DUMMYFUNCTION("""COMPUTED_VALUE"""),"Hà Nội")</f>
        <v>Hà Nội</v>
      </c>
      <c r="C656" s="265" t="str">
        <f>IFERROR(__xludf.DUMMYFUNCTION("""COMPUTED_VALUE"""),"Active")</f>
        <v>Active</v>
      </c>
      <c r="D656" s="265" t="str">
        <f>IFERROR(__xludf.DUMMYFUNCTION("""COMPUTED_VALUE"""),"Y tế &amp; Dược phẩm")</f>
        <v>Y tế &amp; Dược phẩm</v>
      </c>
      <c r="E656" s="265" t="str">
        <f>IFERROR(__xludf.DUMMYFUNCTION("""COMPUTED_VALUE"""),"TùngLD")</f>
        <v>TùngLD</v>
      </c>
      <c r="F656" s="265" t="str">
        <f>IFERROR(__xludf.DUMMYFUNCTION("""COMPUTED_VALUE"""),"Gold")</f>
        <v>Gold</v>
      </c>
      <c r="G656" s="265" t="str">
        <f>IFERROR(__xludf.DUMMYFUNCTION("""COMPUTED_VALUE"""),"Premium")</f>
        <v>Premium</v>
      </c>
      <c r="H656" s="265" t="str">
        <f>IFERROR(__xludf.DUMMYFUNCTION("""COMPUTED_VALUE"""),"Trả sau")</f>
        <v>Trả sau</v>
      </c>
      <c r="I656" s="265" t="str">
        <f>IFERROR(__xludf.DUMMYFUNCTION("""COMPUTED_VALUE"""),"API &amp; Portal")</f>
        <v>API &amp; Portal</v>
      </c>
      <c r="J656" s="265" t="str">
        <f>IFERROR(__xludf.DUMMYFUNCTION("""COMPUTED_VALUE"""),"API")</f>
        <v>API</v>
      </c>
      <c r="K656" s="265" t="str">
        <f>IFERROR(__xludf.DUMMYFUNCTION("""COMPUTED_VALUE"""),"LinhNTT1")</f>
        <v>LinhNTT1</v>
      </c>
    </row>
    <row r="657">
      <c r="A657" s="265" t="str">
        <f>IFERROR(__xludf.DUMMYFUNCTION("""COMPUTED_VALUE"""),"904")</f>
        <v>904</v>
      </c>
      <c r="B657" s="265" t="str">
        <f>IFERROR(__xludf.DUMMYFUNCTION("""COMPUTED_VALUE"""),"Hà Nội")</f>
        <v>Hà Nội</v>
      </c>
      <c r="C657" s="265" t="str">
        <f>IFERROR(__xludf.DUMMYFUNCTION("""COMPUTED_VALUE"""),"Active")</f>
        <v>Active</v>
      </c>
      <c r="D657" s="265" t="str">
        <f>IFERROR(__xludf.DUMMYFUNCTION("""COMPUTED_VALUE"""),"Y tế &amp; Dược phẩm")</f>
        <v>Y tế &amp; Dược phẩm</v>
      </c>
      <c r="E657" s="265" t="str">
        <f>IFERROR(__xludf.DUMMYFUNCTION("""COMPUTED_VALUE"""),"TùngLD")</f>
        <v>TùngLD</v>
      </c>
      <c r="F657" s="265" t="str">
        <f>IFERROR(__xludf.DUMMYFUNCTION("""COMPUTED_VALUE"""),"Gold")</f>
        <v>Gold</v>
      </c>
      <c r="G657" s="265" t="str">
        <f>IFERROR(__xludf.DUMMYFUNCTION("""COMPUTED_VALUE"""),"Premium")</f>
        <v>Premium</v>
      </c>
      <c r="H657" s="265" t="str">
        <f>IFERROR(__xludf.DUMMYFUNCTION("""COMPUTED_VALUE"""),"Trả sau")</f>
        <v>Trả sau</v>
      </c>
      <c r="I657" s="265" t="str">
        <f>IFERROR(__xludf.DUMMYFUNCTION("""COMPUTED_VALUE"""),"API &amp; Portal")</f>
        <v>API &amp; Portal</v>
      </c>
      <c r="J657" s="265" t="str">
        <f>IFERROR(__xludf.DUMMYFUNCTION("""COMPUTED_VALUE"""),"HubSpot")</f>
        <v>HubSpot</v>
      </c>
      <c r="K657" s="265" t="str">
        <f>IFERROR(__xludf.DUMMYFUNCTION("""COMPUTED_VALUE"""),"LinhNTT1")</f>
        <v>LinhNTT1</v>
      </c>
    </row>
    <row r="658">
      <c r="A658" s="265" t="str">
        <f>IFERROR(__xludf.DUMMYFUNCTION("""COMPUTED_VALUE"""),"905")</f>
        <v>905</v>
      </c>
      <c r="B658" s="265" t="str">
        <f>IFERROR(__xludf.DUMMYFUNCTION("""COMPUTED_VALUE"""),"Hà Nội")</f>
        <v>Hà Nội</v>
      </c>
      <c r="C658" s="265" t="str">
        <f>IFERROR(__xludf.DUMMYFUNCTION("""COMPUTED_VALUE"""),"Locked")</f>
        <v>Locked</v>
      </c>
      <c r="D658" s="265" t="str">
        <f>IFERROR(__xludf.DUMMYFUNCTION("""COMPUTED_VALUE"""),"Ô tô &amp; Xe máy")</f>
        <v>Ô tô &amp; Xe máy</v>
      </c>
      <c r="E658" s="265" t="str">
        <f>IFERROR(__xludf.DUMMYFUNCTION("""COMPUTED_VALUE"""),"TùngLD")</f>
        <v>TùngLD</v>
      </c>
      <c r="F658" s="265" t="str">
        <f>IFERROR(__xludf.DUMMYFUNCTION("""COMPUTED_VALUE"""),"Sale chưa cung cấp")</f>
        <v>Sale chưa cung cấp</v>
      </c>
      <c r="G658" s="265" t="str">
        <f>IFERROR(__xludf.DUMMYFUNCTION("""COMPUTED_VALUE"""),"Starter")</f>
        <v>Starter</v>
      </c>
      <c r="H658" s="265" t="str">
        <f>IFERROR(__xludf.DUMMYFUNCTION("""COMPUTED_VALUE"""),"Trả sau")</f>
        <v>Trả sau</v>
      </c>
      <c r="I658" s="265" t="str">
        <f>IFERROR(__xludf.DUMMYFUNCTION("""COMPUTED_VALUE"""),"API")</f>
        <v>API</v>
      </c>
      <c r="J658" s="265" t="str">
        <f>IFERROR(__xludf.DUMMYFUNCTION("""COMPUTED_VALUE"""),"API")</f>
        <v>API</v>
      </c>
      <c r="K658" s="265" t="str">
        <f>IFERROR(__xludf.DUMMYFUNCTION("""COMPUTED_VALUE"""),"LinhNTT1")</f>
        <v>LinhNTT1</v>
      </c>
    </row>
    <row r="659">
      <c r="A659" s="265" t="str">
        <f>IFERROR(__xludf.DUMMYFUNCTION("""COMPUTED_VALUE"""),"907")</f>
        <v>907</v>
      </c>
      <c r="B659" s="265" t="str">
        <f>IFERROR(__xludf.DUMMYFUNCTION("""COMPUTED_VALUE"""),"Hà Nội")</f>
        <v>Hà Nội</v>
      </c>
      <c r="C659" s="265" t="str">
        <f>IFERROR(__xludf.DUMMYFUNCTION("""COMPUTED_VALUE"""),"Locked")</f>
        <v>Locked</v>
      </c>
      <c r="D659" s="265" t="str">
        <f>IFERROR(__xludf.DUMMYFUNCTION("""COMPUTED_VALUE"""),"Sale chưa cung cấp")</f>
        <v>Sale chưa cung cấp</v>
      </c>
      <c r="E659" s="265" t="str">
        <f>IFERROR(__xludf.DUMMYFUNCTION("""COMPUTED_VALUE"""),"PhươngDTB")</f>
        <v>PhươngDTB</v>
      </c>
      <c r="F659" s="265" t="str">
        <f>IFERROR(__xludf.DUMMYFUNCTION("""COMPUTED_VALUE"""),"Sale chưa cung cấp")</f>
        <v>Sale chưa cung cấp</v>
      </c>
      <c r="G659" s="265" t="str">
        <f>IFERROR(__xludf.DUMMYFUNCTION("""COMPUTED_VALUE"""),"Premium")</f>
        <v>Premium</v>
      </c>
      <c r="H659" s="265" t="str">
        <f>IFERROR(__xludf.DUMMYFUNCTION("""COMPUTED_VALUE"""),"Trial")</f>
        <v>Trial</v>
      </c>
      <c r="I659" s="265" t="str">
        <f>IFERROR(__xludf.DUMMYFUNCTION("""COMPUTED_VALUE"""),"API")</f>
        <v>API</v>
      </c>
      <c r="J659" s="265" t="str">
        <f>IFERROR(__xludf.DUMMYFUNCTION("""COMPUTED_VALUE"""),"API")</f>
        <v>API</v>
      </c>
      <c r="K659" s="265" t="str">
        <f>IFERROR(__xludf.DUMMYFUNCTION("""COMPUTED_VALUE"""),"LinhNTT1")</f>
        <v>LinhNTT1</v>
      </c>
    </row>
    <row r="660">
      <c r="A660" s="265" t="str">
        <f>IFERROR(__xludf.DUMMYFUNCTION("""COMPUTED_VALUE"""),"914")</f>
        <v>914</v>
      </c>
      <c r="B660" s="265" t="str">
        <f>IFERROR(__xludf.DUMMYFUNCTION("""COMPUTED_VALUE"""),"Sài Gòn")</f>
        <v>Sài Gòn</v>
      </c>
      <c r="C660" s="265" t="str">
        <f>IFERROR(__xludf.DUMMYFUNCTION("""COMPUTED_VALUE"""),"Locked")</f>
        <v>Locked</v>
      </c>
      <c r="D660" s="265" t="str">
        <f>IFERROR(__xludf.DUMMYFUNCTION("""COMPUTED_VALUE"""),"Dịch vụ khác")</f>
        <v>Dịch vụ khác</v>
      </c>
      <c r="E660" s="265" t="str">
        <f>IFERROR(__xludf.DUMMYFUNCTION("""COMPUTED_VALUE"""),"AnhNM")</f>
        <v>AnhNM</v>
      </c>
      <c r="F660" s="265" t="str">
        <f>IFERROR(__xludf.DUMMYFUNCTION("""COMPUTED_VALUE"""),"Gold")</f>
        <v>Gold</v>
      </c>
      <c r="G660" s="265" t="str">
        <f>IFERROR(__xludf.DUMMYFUNCTION("""COMPUTED_VALUE"""),"Standard")</f>
        <v>Standard</v>
      </c>
      <c r="H660" s="265" t="str">
        <f>IFERROR(__xludf.DUMMYFUNCTION("""COMPUTED_VALUE"""),"Trả sau")</f>
        <v>Trả sau</v>
      </c>
      <c r="I660" s="265" t="str">
        <f>IFERROR(__xludf.DUMMYFUNCTION("""COMPUTED_VALUE"""),"API &amp; Portal")</f>
        <v>API &amp; Portal</v>
      </c>
      <c r="J660" s="265" t="str">
        <f>IFERROR(__xludf.DUMMYFUNCTION("""COMPUTED_VALUE"""),"File Excel")</f>
        <v>File Excel</v>
      </c>
      <c r="K660" s="265" t="str">
        <f>IFERROR(__xludf.DUMMYFUNCTION("""COMPUTED_VALUE"""),"DungVT, LinhNTT1")</f>
        <v>DungVT, LinhNTT1</v>
      </c>
    </row>
    <row r="661">
      <c r="A661" s="265" t="str">
        <f>IFERROR(__xludf.DUMMYFUNCTION("""COMPUTED_VALUE"""),"914")</f>
        <v>914</v>
      </c>
      <c r="B661" s="265" t="str">
        <f>IFERROR(__xludf.DUMMYFUNCTION("""COMPUTED_VALUE"""),"Sài Gòn")</f>
        <v>Sài Gòn</v>
      </c>
      <c r="C661" s="265" t="str">
        <f>IFERROR(__xludf.DUMMYFUNCTION("""COMPUTED_VALUE"""),"Locked")</f>
        <v>Locked</v>
      </c>
      <c r="D661" s="265" t="str">
        <f>IFERROR(__xludf.DUMMYFUNCTION("""COMPUTED_VALUE"""),"Dịch vụ khác")</f>
        <v>Dịch vụ khác</v>
      </c>
      <c r="E661" s="265" t="str">
        <f>IFERROR(__xludf.DUMMYFUNCTION("""COMPUTED_VALUE"""),"AnhNM")</f>
        <v>AnhNM</v>
      </c>
      <c r="F661" s="265" t="str">
        <f>IFERROR(__xludf.DUMMYFUNCTION("""COMPUTED_VALUE"""),"Gold")</f>
        <v>Gold</v>
      </c>
      <c r="G661" s="265" t="str">
        <f>IFERROR(__xludf.DUMMYFUNCTION("""COMPUTED_VALUE"""),"Standard")</f>
        <v>Standard</v>
      </c>
      <c r="H661" s="265" t="str">
        <f>IFERROR(__xludf.DUMMYFUNCTION("""COMPUTED_VALUE"""),"Trả sau")</f>
        <v>Trả sau</v>
      </c>
      <c r="I661" s="265" t="str">
        <f>IFERROR(__xludf.DUMMYFUNCTION("""COMPUTED_VALUE"""),"API &amp; Portal")</f>
        <v>API &amp; Portal</v>
      </c>
      <c r="J661" s="265" t="str">
        <f>IFERROR(__xludf.DUMMYFUNCTION("""COMPUTED_VALUE"""),"API")</f>
        <v>API</v>
      </c>
      <c r="K661" s="265" t="str">
        <f>IFERROR(__xludf.DUMMYFUNCTION("""COMPUTED_VALUE"""),"DungVT, LinhNTT1")</f>
        <v>DungVT, LinhNTT1</v>
      </c>
    </row>
    <row r="662">
      <c r="A662" s="265" t="str">
        <f>IFERROR(__xludf.DUMMYFUNCTION("""COMPUTED_VALUE"""),"908")</f>
        <v>908</v>
      </c>
      <c r="B662" s="265" t="str">
        <f>IFERROR(__xludf.DUMMYFUNCTION("""COMPUTED_VALUE"""),"Sài Gòn")</f>
        <v>Sài Gòn</v>
      </c>
      <c r="C662" s="265" t="str">
        <f>IFERROR(__xludf.DUMMYFUNCTION("""COMPUTED_VALUE"""),"Locked")</f>
        <v>Locked</v>
      </c>
      <c r="D662" s="265" t="str">
        <f>IFERROR(__xludf.DUMMYFUNCTION("""COMPUTED_VALUE"""),"Công nghệ &amp; Phần mềm")</f>
        <v>Công nghệ &amp; Phần mềm</v>
      </c>
      <c r="E662" s="265" t="str">
        <f>IFERROR(__xludf.DUMMYFUNCTION("""COMPUTED_VALUE"""),"TúPHN")</f>
        <v>TúPHN</v>
      </c>
      <c r="F662" s="265" t="str">
        <f>IFERROR(__xludf.DUMMYFUNCTION("""COMPUTED_VALUE"""),"Gold")</f>
        <v>Gold</v>
      </c>
      <c r="G662" s="265" t="str">
        <f>IFERROR(__xludf.DUMMYFUNCTION("""COMPUTED_VALUE"""),"Standard")</f>
        <v>Standard</v>
      </c>
      <c r="H662" s="265" t="str">
        <f>IFERROR(__xludf.DUMMYFUNCTION("""COMPUTED_VALUE"""),"Trial")</f>
        <v>Trial</v>
      </c>
      <c r="I662" s="265" t="str">
        <f>IFERROR(__xludf.DUMMYFUNCTION("""COMPUTED_VALUE"""),"Portal")</f>
        <v>Portal</v>
      </c>
      <c r="J662" s="265" t="str">
        <f>IFERROR(__xludf.DUMMYFUNCTION("""COMPUTED_VALUE"""),"File Excel")</f>
        <v>File Excel</v>
      </c>
      <c r="K662" s="265" t="str">
        <f>IFERROR(__xludf.DUMMYFUNCTION("""COMPUTED_VALUE"""),"Không phân công")</f>
        <v>Không phân công</v>
      </c>
    </row>
    <row r="663">
      <c r="A663" s="265" t="str">
        <f>IFERROR(__xludf.DUMMYFUNCTION("""COMPUTED_VALUE"""),"909")</f>
        <v>909</v>
      </c>
      <c r="B663" s="265" t="str">
        <f>IFERROR(__xludf.DUMMYFUNCTION("""COMPUTED_VALUE"""),"Sài Gòn")</f>
        <v>Sài Gòn</v>
      </c>
      <c r="C663" s="265" t="str">
        <f>IFERROR(__xludf.DUMMYFUNCTION("""COMPUTED_VALUE"""),"Locked")</f>
        <v>Locked</v>
      </c>
      <c r="D663" s="265" t="str">
        <f>IFERROR(__xludf.DUMMYFUNCTION("""COMPUTED_VALUE"""),"Dịch vụ khác")</f>
        <v>Dịch vụ khác</v>
      </c>
      <c r="E663" s="265" t="str">
        <f>IFERROR(__xludf.DUMMYFUNCTION("""COMPUTED_VALUE"""),"AnhNM")</f>
        <v>AnhNM</v>
      </c>
      <c r="F663" s="265" t="str">
        <f>IFERROR(__xludf.DUMMYFUNCTION("""COMPUTED_VALUE"""),"Sale chưa cung cấp")</f>
        <v>Sale chưa cung cấp</v>
      </c>
      <c r="G663" s="265" t="str">
        <f>IFERROR(__xludf.DUMMYFUNCTION("""COMPUTED_VALUE"""),"Premium")</f>
        <v>Premium</v>
      </c>
      <c r="H663" s="265" t="str">
        <f>IFERROR(__xludf.DUMMYFUNCTION("""COMPUTED_VALUE"""),"Trial")</f>
        <v>Trial</v>
      </c>
      <c r="I663" s="265" t="str">
        <f>IFERROR(__xludf.DUMMYFUNCTION("""COMPUTED_VALUE"""),"API &amp; Portal")</f>
        <v>API &amp; Portal</v>
      </c>
      <c r="J663" s="265" t="str">
        <f>IFERROR(__xludf.DUMMYFUNCTION("""COMPUTED_VALUE"""),"File Excel")</f>
        <v>File Excel</v>
      </c>
      <c r="K663" s="265" t="str">
        <f>IFERROR(__xludf.DUMMYFUNCTION("""COMPUTED_VALUE"""),"Không phân công")</f>
        <v>Không phân công</v>
      </c>
    </row>
    <row r="664">
      <c r="A664" s="265" t="str">
        <f>IFERROR(__xludf.DUMMYFUNCTION("""COMPUTED_VALUE"""),"909")</f>
        <v>909</v>
      </c>
      <c r="B664" s="265" t="str">
        <f>IFERROR(__xludf.DUMMYFUNCTION("""COMPUTED_VALUE"""),"Sài Gòn")</f>
        <v>Sài Gòn</v>
      </c>
      <c r="C664" s="265" t="str">
        <f>IFERROR(__xludf.DUMMYFUNCTION("""COMPUTED_VALUE"""),"Locked")</f>
        <v>Locked</v>
      </c>
      <c r="D664" s="265" t="str">
        <f>IFERROR(__xludf.DUMMYFUNCTION("""COMPUTED_VALUE"""),"Dịch vụ khác")</f>
        <v>Dịch vụ khác</v>
      </c>
      <c r="E664" s="265" t="str">
        <f>IFERROR(__xludf.DUMMYFUNCTION("""COMPUTED_VALUE"""),"AnhNM")</f>
        <v>AnhNM</v>
      </c>
      <c r="F664" s="265" t="str">
        <f>IFERROR(__xludf.DUMMYFUNCTION("""COMPUTED_VALUE"""),"Sale chưa cung cấp")</f>
        <v>Sale chưa cung cấp</v>
      </c>
      <c r="G664" s="265" t="str">
        <f>IFERROR(__xludf.DUMMYFUNCTION("""COMPUTED_VALUE"""),"Premium")</f>
        <v>Premium</v>
      </c>
      <c r="H664" s="265" t="str">
        <f>IFERROR(__xludf.DUMMYFUNCTION("""COMPUTED_VALUE"""),"Trial")</f>
        <v>Trial</v>
      </c>
      <c r="I664" s="265" t="str">
        <f>IFERROR(__xludf.DUMMYFUNCTION("""COMPUTED_VALUE"""),"API &amp; Portal")</f>
        <v>API &amp; Portal</v>
      </c>
      <c r="J664" s="265" t="str">
        <f>IFERROR(__xludf.DUMMYFUNCTION("""COMPUTED_VALUE"""),"API")</f>
        <v>API</v>
      </c>
      <c r="K664" s="265" t="str">
        <f>IFERROR(__xludf.DUMMYFUNCTION("""COMPUTED_VALUE"""),"Không phân công")</f>
        <v>Không phân công</v>
      </c>
    </row>
    <row r="665">
      <c r="A665" s="265" t="str">
        <f>IFERROR(__xludf.DUMMYFUNCTION("""COMPUTED_VALUE"""),"911")</f>
        <v>911</v>
      </c>
      <c r="B665" s="265" t="str">
        <f>IFERROR(__xludf.DUMMYFUNCTION("""COMPUTED_VALUE"""),"Sài Gòn")</f>
        <v>Sài Gòn</v>
      </c>
      <c r="C665" s="265" t="str">
        <f>IFERROR(__xludf.DUMMYFUNCTION("""COMPUTED_VALUE"""),"Locked")</f>
        <v>Locked</v>
      </c>
      <c r="D665" s="265" t="str">
        <f>IFERROR(__xludf.DUMMYFUNCTION("""COMPUTED_VALUE"""),"Thực phẩm &amp; Đồ uống")</f>
        <v>Thực phẩm &amp; Đồ uống</v>
      </c>
      <c r="E665" s="265" t="str">
        <f>IFERROR(__xludf.DUMMYFUNCTION("""COMPUTED_VALUE"""),"HoaNTM")</f>
        <v>HoaNTM</v>
      </c>
      <c r="F665" s="265" t="str">
        <f>IFERROR(__xludf.DUMMYFUNCTION("""COMPUTED_VALUE"""),"Sale chưa cung cấp")</f>
        <v>Sale chưa cung cấp</v>
      </c>
      <c r="G665" s="265" t="str">
        <f>IFERROR(__xludf.DUMMYFUNCTION("""COMPUTED_VALUE"""),"Premium")</f>
        <v>Premium</v>
      </c>
      <c r="H665" s="265" t="str">
        <f>IFERROR(__xludf.DUMMYFUNCTION("""COMPUTED_VALUE"""),"Trả trước")</f>
        <v>Trả trước</v>
      </c>
      <c r="I665" s="265" t="str">
        <f>IFERROR(__xludf.DUMMYFUNCTION("""COMPUTED_VALUE"""),"Portal")</f>
        <v>Portal</v>
      </c>
      <c r="J665" s="265" t="str">
        <f>IFERROR(__xludf.DUMMYFUNCTION("""COMPUTED_VALUE"""),"File Excel")</f>
        <v>File Excel</v>
      </c>
      <c r="K665" s="265" t="str">
        <f>IFERROR(__xludf.DUMMYFUNCTION("""COMPUTED_VALUE"""),"YếnĐH")</f>
        <v>YếnĐH</v>
      </c>
    </row>
    <row r="666">
      <c r="A666" s="265" t="str">
        <f>IFERROR(__xludf.DUMMYFUNCTION("""COMPUTED_VALUE"""),"912")</f>
        <v>912</v>
      </c>
      <c r="B666" s="265" t="str">
        <f>IFERROR(__xludf.DUMMYFUNCTION("""COMPUTED_VALUE"""),"Sài Gòn")</f>
        <v>Sài Gòn</v>
      </c>
      <c r="C666" s="265" t="str">
        <f>IFERROR(__xludf.DUMMYFUNCTION("""COMPUTED_VALUE"""),"Locked")</f>
        <v>Locked</v>
      </c>
      <c r="D666" s="265" t="str">
        <f>IFERROR(__xludf.DUMMYFUNCTION("""COMPUTED_VALUE"""),"Truyền thông &amp; Giải trí")</f>
        <v>Truyền thông &amp; Giải trí</v>
      </c>
      <c r="E666" s="265" t="str">
        <f>IFERROR(__xludf.DUMMYFUNCTION("""COMPUTED_VALUE"""),"AnhNM")</f>
        <v>AnhNM</v>
      </c>
      <c r="F666" s="265" t="str">
        <f>IFERROR(__xludf.DUMMYFUNCTION("""COMPUTED_VALUE"""),"Sale chưa cung cấp")</f>
        <v>Sale chưa cung cấp</v>
      </c>
      <c r="G666" s="265" t="str">
        <f>IFERROR(__xludf.DUMMYFUNCTION("""COMPUTED_VALUE"""),"Standard")</f>
        <v>Standard</v>
      </c>
      <c r="H666" s="265" t="str">
        <f>IFERROR(__xludf.DUMMYFUNCTION("""COMPUTED_VALUE"""),"Trial")</f>
        <v>Trial</v>
      </c>
      <c r="I666" s="265" t="str">
        <f>IFERROR(__xludf.DUMMYFUNCTION("""COMPUTED_VALUE"""),"API &amp; Portal")</f>
        <v>API &amp; Portal</v>
      </c>
      <c r="J666" s="265" t="str">
        <f>IFERROR(__xludf.DUMMYFUNCTION("""COMPUTED_VALUE"""),"File Excel")</f>
        <v>File Excel</v>
      </c>
      <c r="K666" s="265" t="str">
        <f>IFERROR(__xludf.DUMMYFUNCTION("""COMPUTED_VALUE"""),"Không phân công")</f>
        <v>Không phân công</v>
      </c>
    </row>
    <row r="667">
      <c r="A667" s="265" t="str">
        <f>IFERROR(__xludf.DUMMYFUNCTION("""COMPUTED_VALUE"""),"912")</f>
        <v>912</v>
      </c>
      <c r="B667" s="265" t="str">
        <f>IFERROR(__xludf.DUMMYFUNCTION("""COMPUTED_VALUE"""),"Sài Gòn")</f>
        <v>Sài Gòn</v>
      </c>
      <c r="C667" s="265" t="str">
        <f>IFERROR(__xludf.DUMMYFUNCTION("""COMPUTED_VALUE"""),"Locked")</f>
        <v>Locked</v>
      </c>
      <c r="D667" s="265" t="str">
        <f>IFERROR(__xludf.DUMMYFUNCTION("""COMPUTED_VALUE"""),"Truyền thông &amp; Giải trí")</f>
        <v>Truyền thông &amp; Giải trí</v>
      </c>
      <c r="E667" s="265" t="str">
        <f>IFERROR(__xludf.DUMMYFUNCTION("""COMPUTED_VALUE"""),"AnhNM")</f>
        <v>AnhNM</v>
      </c>
      <c r="F667" s="265" t="str">
        <f>IFERROR(__xludf.DUMMYFUNCTION("""COMPUTED_VALUE"""),"Sale chưa cung cấp")</f>
        <v>Sale chưa cung cấp</v>
      </c>
      <c r="G667" s="265" t="str">
        <f>IFERROR(__xludf.DUMMYFUNCTION("""COMPUTED_VALUE"""),"Standard")</f>
        <v>Standard</v>
      </c>
      <c r="H667" s="265" t="str">
        <f>IFERROR(__xludf.DUMMYFUNCTION("""COMPUTED_VALUE"""),"Trial")</f>
        <v>Trial</v>
      </c>
      <c r="I667" s="265" t="str">
        <f>IFERROR(__xludf.DUMMYFUNCTION("""COMPUTED_VALUE"""),"API &amp; Portal")</f>
        <v>API &amp; Portal</v>
      </c>
      <c r="J667" s="265" t="str">
        <f>IFERROR(__xludf.DUMMYFUNCTION("""COMPUTED_VALUE"""),"API")</f>
        <v>API</v>
      </c>
      <c r="K667" s="265" t="str">
        <f>IFERROR(__xludf.DUMMYFUNCTION("""COMPUTED_VALUE"""),"Không phân công")</f>
        <v>Không phân công</v>
      </c>
    </row>
    <row r="668">
      <c r="A668" s="265" t="str">
        <f>IFERROR(__xludf.DUMMYFUNCTION("""COMPUTED_VALUE"""),"913")</f>
        <v>913</v>
      </c>
      <c r="B668" s="265" t="str">
        <f>IFERROR(__xludf.DUMMYFUNCTION("""COMPUTED_VALUE"""),"Hà Nội")</f>
        <v>Hà Nội</v>
      </c>
      <c r="C668" s="265" t="str">
        <f>IFERROR(__xludf.DUMMYFUNCTION("""COMPUTED_VALUE"""),"Locked")</f>
        <v>Locked</v>
      </c>
      <c r="D668" s="265" t="str">
        <f>IFERROR(__xludf.DUMMYFUNCTION("""COMPUTED_VALUE"""),"Công nghệ &amp; Phần mềm")</f>
        <v>Công nghệ &amp; Phần mềm</v>
      </c>
      <c r="E668" s="265" t="str">
        <f>IFERROR(__xludf.DUMMYFUNCTION("""COMPUTED_VALUE"""),"AnhNM")</f>
        <v>AnhNM</v>
      </c>
      <c r="F668" s="265" t="str">
        <f>IFERROR(__xludf.DUMMYFUNCTION("""COMPUTED_VALUE"""),"Sale chưa cung cấp")</f>
        <v>Sale chưa cung cấp</v>
      </c>
      <c r="G668" s="265" t="str">
        <f>IFERROR(__xludf.DUMMYFUNCTION("""COMPUTED_VALUE"""),"Premium")</f>
        <v>Premium</v>
      </c>
      <c r="H668" s="265" t="str">
        <f>IFERROR(__xludf.DUMMYFUNCTION("""COMPUTED_VALUE"""),"Trial")</f>
        <v>Trial</v>
      </c>
      <c r="I668" s="265" t="str">
        <f>IFERROR(__xludf.DUMMYFUNCTION("""COMPUTED_VALUE"""),"API &amp; Portal")</f>
        <v>API &amp; Portal</v>
      </c>
      <c r="J668" s="265" t="str">
        <f>IFERROR(__xludf.DUMMYFUNCTION("""COMPUTED_VALUE"""),"API")</f>
        <v>API</v>
      </c>
      <c r="K668" s="265" t="str">
        <f>IFERROR(__xludf.DUMMYFUNCTION("""COMPUTED_VALUE"""),"Không phân công")</f>
        <v>Không phân công</v>
      </c>
    </row>
    <row r="669">
      <c r="A669" s="265" t="str">
        <f>IFERROR(__xludf.DUMMYFUNCTION("""COMPUTED_VALUE"""),"915")</f>
        <v>915</v>
      </c>
      <c r="B669" s="265" t="str">
        <f>IFERROR(__xludf.DUMMYFUNCTION("""COMPUTED_VALUE"""),"Đà Nẵng")</f>
        <v>Đà Nẵng</v>
      </c>
      <c r="C669" s="265" t="str">
        <f>IFERROR(__xludf.DUMMYFUNCTION("""COMPUTED_VALUE"""),"Locked")</f>
        <v>Locked</v>
      </c>
      <c r="D669" s="265" t="str">
        <f>IFERROR(__xludf.DUMMYFUNCTION("""COMPUTED_VALUE"""),"Thời trang &amp; May mặc")</f>
        <v>Thời trang &amp; May mặc</v>
      </c>
      <c r="E669" s="265" t="str">
        <f>IFERROR(__xludf.DUMMYFUNCTION("""COMPUTED_VALUE"""),"AnhNM")</f>
        <v>AnhNM</v>
      </c>
      <c r="F669" s="265" t="str">
        <f>IFERROR(__xludf.DUMMYFUNCTION("""COMPUTED_VALUE"""),"Sale chưa cung cấp")</f>
        <v>Sale chưa cung cấp</v>
      </c>
      <c r="G669" s="265" t="str">
        <f>IFERROR(__xludf.DUMMYFUNCTION("""COMPUTED_VALUE"""),"Premium")</f>
        <v>Premium</v>
      </c>
      <c r="H669" s="265" t="str">
        <f>IFERROR(__xludf.DUMMYFUNCTION("""COMPUTED_VALUE"""),"Trial")</f>
        <v>Trial</v>
      </c>
      <c r="I669" s="265" t="str">
        <f>IFERROR(__xludf.DUMMYFUNCTION("""COMPUTED_VALUE"""),"Portal")</f>
        <v>Portal</v>
      </c>
      <c r="J669" s="265" t="str">
        <f>IFERROR(__xludf.DUMMYFUNCTION("""COMPUTED_VALUE"""),"File Excel")</f>
        <v>File Excel</v>
      </c>
      <c r="K669" s="265" t="str">
        <f>IFERROR(__xludf.DUMMYFUNCTION("""COMPUTED_VALUE"""),"Không phân công")</f>
        <v>Không phân công</v>
      </c>
    </row>
    <row r="670">
      <c r="A670" s="265" t="str">
        <f>IFERROR(__xludf.DUMMYFUNCTION("""COMPUTED_VALUE"""),"917")</f>
        <v>917</v>
      </c>
      <c r="B670" s="265" t="str">
        <f>IFERROR(__xludf.DUMMYFUNCTION("""COMPUTED_VALUE"""),"Hà Nội")</f>
        <v>Hà Nội</v>
      </c>
      <c r="C670" s="265" t="str">
        <f>IFERROR(__xludf.DUMMYFUNCTION("""COMPUTED_VALUE"""),"Locked")</f>
        <v>Locked</v>
      </c>
      <c r="D670" s="265" t="str">
        <f>IFERROR(__xludf.DUMMYFUNCTION("""COMPUTED_VALUE"""),"Sale chưa cung cấp")</f>
        <v>Sale chưa cung cấp</v>
      </c>
      <c r="E670" s="265" t="str">
        <f>IFERROR(__xludf.DUMMYFUNCTION("""COMPUTED_VALUE"""),"TùngLD")</f>
        <v>TùngLD</v>
      </c>
      <c r="F670" s="265" t="str">
        <f>IFERROR(__xludf.DUMMYFUNCTION("""COMPUTED_VALUE"""),"Sale chưa cung cấp")</f>
        <v>Sale chưa cung cấp</v>
      </c>
      <c r="G670" s="265" t="str">
        <f>IFERROR(__xludf.DUMMYFUNCTION("""COMPUTED_VALUE"""),"Standard")</f>
        <v>Standard</v>
      </c>
      <c r="H670" s="265" t="str">
        <f>IFERROR(__xludf.DUMMYFUNCTION("""COMPUTED_VALUE"""),"Trial")</f>
        <v>Trial</v>
      </c>
      <c r="I670" s="265" t="str">
        <f>IFERROR(__xludf.DUMMYFUNCTION("""COMPUTED_VALUE"""),"API &amp; Portal")</f>
        <v>API &amp; Portal</v>
      </c>
      <c r="J670" s="265" t="str">
        <f>IFERROR(__xludf.DUMMYFUNCTION("""COMPUTED_VALUE"""),"File Excel")</f>
        <v>File Excel</v>
      </c>
      <c r="K670" s="265" t="str">
        <f>IFERROR(__xludf.DUMMYFUNCTION("""COMPUTED_VALUE"""),"Không phân công")</f>
        <v>Không phân công</v>
      </c>
    </row>
    <row r="671">
      <c r="A671" s="265" t="str">
        <f>IFERROR(__xludf.DUMMYFUNCTION("""COMPUTED_VALUE"""),"917")</f>
        <v>917</v>
      </c>
      <c r="B671" s="265" t="str">
        <f>IFERROR(__xludf.DUMMYFUNCTION("""COMPUTED_VALUE"""),"Hà Nội")</f>
        <v>Hà Nội</v>
      </c>
      <c r="C671" s="265" t="str">
        <f>IFERROR(__xludf.DUMMYFUNCTION("""COMPUTED_VALUE"""),"Locked")</f>
        <v>Locked</v>
      </c>
      <c r="D671" s="265" t="str">
        <f>IFERROR(__xludf.DUMMYFUNCTION("""COMPUTED_VALUE"""),"Sale chưa cung cấp")</f>
        <v>Sale chưa cung cấp</v>
      </c>
      <c r="E671" s="265" t="str">
        <f>IFERROR(__xludf.DUMMYFUNCTION("""COMPUTED_VALUE"""),"TùngLD")</f>
        <v>TùngLD</v>
      </c>
      <c r="F671" s="265" t="str">
        <f>IFERROR(__xludf.DUMMYFUNCTION("""COMPUTED_VALUE"""),"Sale chưa cung cấp")</f>
        <v>Sale chưa cung cấp</v>
      </c>
      <c r="G671" s="265" t="str">
        <f>IFERROR(__xludf.DUMMYFUNCTION("""COMPUTED_VALUE"""),"Standard")</f>
        <v>Standard</v>
      </c>
      <c r="H671" s="265" t="str">
        <f>IFERROR(__xludf.DUMMYFUNCTION("""COMPUTED_VALUE"""),"Trial")</f>
        <v>Trial</v>
      </c>
      <c r="I671" s="265" t="str">
        <f>IFERROR(__xludf.DUMMYFUNCTION("""COMPUTED_VALUE"""),"API &amp; Portal")</f>
        <v>API &amp; Portal</v>
      </c>
      <c r="J671" s="265" t="str">
        <f>IFERROR(__xludf.DUMMYFUNCTION("""COMPUTED_VALUE"""),"API")</f>
        <v>API</v>
      </c>
      <c r="K671" s="265" t="str">
        <f>IFERROR(__xludf.DUMMYFUNCTION("""COMPUTED_VALUE"""),"Không phân công")</f>
        <v>Không phân công</v>
      </c>
    </row>
    <row r="672">
      <c r="A672" s="265" t="str">
        <f>IFERROR(__xludf.DUMMYFUNCTION("""COMPUTED_VALUE"""),"918")</f>
        <v>918</v>
      </c>
      <c r="B672" s="265" t="str">
        <f>IFERROR(__xludf.DUMMYFUNCTION("""COMPUTED_VALUE"""),"Sài Gòn")</f>
        <v>Sài Gòn</v>
      </c>
      <c r="C672" s="265" t="str">
        <f>IFERROR(__xludf.DUMMYFUNCTION("""COMPUTED_VALUE"""),"Locked")</f>
        <v>Locked</v>
      </c>
      <c r="D672" s="265" t="str">
        <f>IFERROR(__xludf.DUMMYFUNCTION("""COMPUTED_VALUE"""),"Thực phẩm &amp; Đồ uống")</f>
        <v>Thực phẩm &amp; Đồ uống</v>
      </c>
      <c r="E672" s="265" t="str">
        <f>IFERROR(__xludf.DUMMYFUNCTION("""COMPUTED_VALUE"""),"HoaNTM")</f>
        <v>HoaNTM</v>
      </c>
      <c r="F672" s="265" t="str">
        <f>IFERROR(__xludf.DUMMYFUNCTION("""COMPUTED_VALUE"""),"Diamond")</f>
        <v>Diamond</v>
      </c>
      <c r="G672" s="265" t="str">
        <f>IFERROR(__xludf.DUMMYFUNCTION("""COMPUTED_VALUE"""),"Starter")</f>
        <v>Starter</v>
      </c>
      <c r="H672" s="265" t="str">
        <f>IFERROR(__xludf.DUMMYFUNCTION("""COMPUTED_VALUE"""),"Trả trước")</f>
        <v>Trả trước</v>
      </c>
      <c r="I672" s="265" t="str">
        <f>IFERROR(__xludf.DUMMYFUNCTION("""COMPUTED_VALUE"""),"API")</f>
        <v>API</v>
      </c>
      <c r="J672" s="265" t="str">
        <f>IFERROR(__xludf.DUMMYFUNCTION("""COMPUTED_VALUE"""),"API")</f>
        <v>API</v>
      </c>
      <c r="K672" s="265" t="str">
        <f>IFERROR(__xludf.DUMMYFUNCTION("""COMPUTED_VALUE"""),"YếnĐH")</f>
        <v>YếnĐH</v>
      </c>
    </row>
    <row r="673">
      <c r="A673" s="265" t="str">
        <f>IFERROR(__xludf.DUMMYFUNCTION("""COMPUTED_VALUE"""),"919")</f>
        <v>919</v>
      </c>
      <c r="B673" s="265" t="str">
        <f>IFERROR(__xludf.DUMMYFUNCTION("""COMPUTED_VALUE"""),"Sài Gòn")</f>
        <v>Sài Gòn</v>
      </c>
      <c r="C673" s="265" t="str">
        <f>IFERROR(__xludf.DUMMYFUNCTION("""COMPUTED_VALUE"""),"Locked")</f>
        <v>Locked</v>
      </c>
      <c r="D673" s="265" t="str">
        <f>IFERROR(__xludf.DUMMYFUNCTION("""COMPUTED_VALUE"""),"Thực phẩm &amp; Đồ uống")</f>
        <v>Thực phẩm &amp; Đồ uống</v>
      </c>
      <c r="E673" s="265" t="str">
        <f>IFERROR(__xludf.DUMMYFUNCTION("""COMPUTED_VALUE"""),"HoaNTM")</f>
        <v>HoaNTM</v>
      </c>
      <c r="F673" s="265" t="str">
        <f>IFERROR(__xludf.DUMMYFUNCTION("""COMPUTED_VALUE"""),"Diamond")</f>
        <v>Diamond</v>
      </c>
      <c r="G673" s="265" t="str">
        <f>IFERROR(__xludf.DUMMYFUNCTION("""COMPUTED_VALUE"""),"Enterprise")</f>
        <v>Enterprise</v>
      </c>
      <c r="H673" s="265" t="str">
        <f>IFERROR(__xludf.DUMMYFUNCTION("""COMPUTED_VALUE"""),"Trả trước")</f>
        <v>Trả trước</v>
      </c>
      <c r="I673" s="265" t="str">
        <f>IFERROR(__xludf.DUMMYFUNCTION("""COMPUTED_VALUE"""),"API &amp; Portal")</f>
        <v>API &amp; Portal</v>
      </c>
      <c r="J673" s="265" t="str">
        <f>IFERROR(__xludf.DUMMYFUNCTION("""COMPUTED_VALUE"""),"API")</f>
        <v>API</v>
      </c>
      <c r="K673" s="265" t="str">
        <f>IFERROR(__xludf.DUMMYFUNCTION("""COMPUTED_VALUE"""),"LinhNTT1")</f>
        <v>LinhNTT1</v>
      </c>
    </row>
    <row r="674">
      <c r="A674" s="265" t="str">
        <f>IFERROR(__xludf.DUMMYFUNCTION("""COMPUTED_VALUE"""),"406")</f>
        <v>406</v>
      </c>
      <c r="B674" s="265" t="str">
        <f>IFERROR(__xludf.DUMMYFUNCTION("""COMPUTED_VALUE"""),"Hà Nội")</f>
        <v>Hà Nội</v>
      </c>
      <c r="C674" s="265" t="str">
        <f>IFERROR(__xludf.DUMMYFUNCTION("""COMPUTED_VALUE"""),"Locked")</f>
        <v>Locked</v>
      </c>
      <c r="D674" s="265" t="str">
        <f>IFERROR(__xludf.DUMMYFUNCTION("""COMPUTED_VALUE"""),"Thời trang &amp; May mặc")</f>
        <v>Thời trang &amp; May mặc</v>
      </c>
      <c r="E674" s="265" t="str">
        <f>IFERROR(__xludf.DUMMYFUNCTION("""COMPUTED_VALUE"""),"AnhNM")</f>
        <v>AnhNM</v>
      </c>
      <c r="F674" s="265" t="str">
        <f>IFERROR(__xludf.DUMMYFUNCTION("""COMPUTED_VALUE"""),"Bronze")</f>
        <v>Bronze</v>
      </c>
      <c r="G674" s="265" t="str">
        <f>IFERROR(__xludf.DUMMYFUNCTION("""COMPUTED_VALUE"""),"Premium")</f>
        <v>Premium</v>
      </c>
      <c r="H674" s="265" t="str">
        <f>IFERROR(__xludf.DUMMYFUNCTION("""COMPUTED_VALUE"""),"Trả trước")</f>
        <v>Trả trước</v>
      </c>
      <c r="I674" s="265" t="str">
        <f>IFERROR(__xludf.DUMMYFUNCTION("""COMPUTED_VALUE"""),"Portal")</f>
        <v>Portal</v>
      </c>
      <c r="J674" s="265" t="str">
        <f>IFERROR(__xludf.DUMMYFUNCTION("""COMPUTED_VALUE"""),"Kiotviet")</f>
        <v>Kiotviet</v>
      </c>
      <c r="K674" s="265" t="str">
        <f>IFERROR(__xludf.DUMMYFUNCTION("""COMPUTED_VALUE"""),"DungPL")</f>
        <v>DungPL</v>
      </c>
    </row>
    <row r="675">
      <c r="A675" s="265" t="str">
        <f>IFERROR(__xludf.DUMMYFUNCTION("""COMPUTED_VALUE"""),"920")</f>
        <v>920</v>
      </c>
      <c r="B675" s="265" t="str">
        <f>IFERROR(__xludf.DUMMYFUNCTION("""COMPUTED_VALUE"""),"Hà Nội")</f>
        <v>Hà Nội</v>
      </c>
      <c r="C675" s="265" t="str">
        <f>IFERROR(__xludf.DUMMYFUNCTION("""COMPUTED_VALUE"""),"Active")</f>
        <v>Active</v>
      </c>
      <c r="D675" s="265" t="str">
        <f>IFERROR(__xludf.DUMMYFUNCTION("""COMPUTED_VALUE"""),"Công nghệ &amp; Phần mềm")</f>
        <v>Công nghệ &amp; Phần mềm</v>
      </c>
      <c r="E675" s="265" t="str">
        <f>IFERROR(__xludf.DUMMYFUNCTION("""COMPUTED_VALUE"""),"AnhNM")</f>
        <v>AnhNM</v>
      </c>
      <c r="F675" s="265" t="str">
        <f>IFERROR(__xludf.DUMMYFUNCTION("""COMPUTED_VALUE"""),"Silver")</f>
        <v>Silver</v>
      </c>
      <c r="G675" s="265" t="str">
        <f>IFERROR(__xludf.DUMMYFUNCTION("""COMPUTED_VALUE"""),"Starter")</f>
        <v>Starter</v>
      </c>
      <c r="H675" s="265" t="str">
        <f>IFERROR(__xludf.DUMMYFUNCTION("""COMPUTED_VALUE"""),"Trả sau")</f>
        <v>Trả sau</v>
      </c>
      <c r="I675" s="265" t="str">
        <f>IFERROR(__xludf.DUMMYFUNCTION("""COMPUTED_VALUE"""),"API &amp; Portal")</f>
        <v>API &amp; Portal</v>
      </c>
      <c r="J675" s="265" t="str">
        <f>IFERROR(__xludf.DUMMYFUNCTION("""COMPUTED_VALUE"""),"File Excel")</f>
        <v>File Excel</v>
      </c>
      <c r="K675" s="265" t="str">
        <f>IFERROR(__xludf.DUMMYFUNCTION("""COMPUTED_VALUE"""),"LinhNTT1")</f>
        <v>LinhNTT1</v>
      </c>
    </row>
    <row r="676">
      <c r="A676" s="265" t="str">
        <f>IFERROR(__xludf.DUMMYFUNCTION("""COMPUTED_VALUE"""),"920")</f>
        <v>920</v>
      </c>
      <c r="B676" s="265" t="str">
        <f>IFERROR(__xludf.DUMMYFUNCTION("""COMPUTED_VALUE"""),"Hà Nội")</f>
        <v>Hà Nội</v>
      </c>
      <c r="C676" s="265" t="str">
        <f>IFERROR(__xludf.DUMMYFUNCTION("""COMPUTED_VALUE"""),"Active")</f>
        <v>Active</v>
      </c>
      <c r="D676" s="265" t="str">
        <f>IFERROR(__xludf.DUMMYFUNCTION("""COMPUTED_VALUE"""),"Công nghệ &amp; Phần mềm")</f>
        <v>Công nghệ &amp; Phần mềm</v>
      </c>
      <c r="E676" s="265" t="str">
        <f>IFERROR(__xludf.DUMMYFUNCTION("""COMPUTED_VALUE"""),"AnhNM")</f>
        <v>AnhNM</v>
      </c>
      <c r="F676" s="265" t="str">
        <f>IFERROR(__xludf.DUMMYFUNCTION("""COMPUTED_VALUE"""),"Silver")</f>
        <v>Silver</v>
      </c>
      <c r="G676" s="265" t="str">
        <f>IFERROR(__xludf.DUMMYFUNCTION("""COMPUTED_VALUE"""),"Starter")</f>
        <v>Starter</v>
      </c>
      <c r="H676" s="265" t="str">
        <f>IFERROR(__xludf.DUMMYFUNCTION("""COMPUTED_VALUE"""),"Trả sau")</f>
        <v>Trả sau</v>
      </c>
      <c r="I676" s="265" t="str">
        <f>IFERROR(__xludf.DUMMYFUNCTION("""COMPUTED_VALUE"""),"API &amp; Portal")</f>
        <v>API &amp; Portal</v>
      </c>
      <c r="J676" s="265" t="str">
        <f>IFERROR(__xludf.DUMMYFUNCTION("""COMPUTED_VALUE"""),"API")</f>
        <v>API</v>
      </c>
      <c r="K676" s="265" t="str">
        <f>IFERROR(__xludf.DUMMYFUNCTION("""COMPUTED_VALUE"""),"LinhNTT1")</f>
        <v>LinhNTT1</v>
      </c>
    </row>
    <row r="677">
      <c r="A677" s="265" t="str">
        <f>IFERROR(__xludf.DUMMYFUNCTION("""COMPUTED_VALUE"""),"921")</f>
        <v>921</v>
      </c>
      <c r="B677" s="265" t="str">
        <f>IFERROR(__xludf.DUMMYFUNCTION("""COMPUTED_VALUE"""),"Sài Gòn")</f>
        <v>Sài Gòn</v>
      </c>
      <c r="C677" s="265" t="str">
        <f>IFERROR(__xludf.DUMMYFUNCTION("""COMPUTED_VALUE"""),"Locked")</f>
        <v>Locked</v>
      </c>
      <c r="D677" s="265" t="str">
        <f>IFERROR(__xludf.DUMMYFUNCTION("""COMPUTED_VALUE"""),"Thực phẩm &amp; Đồ uống")</f>
        <v>Thực phẩm &amp; Đồ uống</v>
      </c>
      <c r="E677" s="265" t="str">
        <f>IFERROR(__xludf.DUMMYFUNCTION("""COMPUTED_VALUE"""),"HoaNTM")</f>
        <v>HoaNTM</v>
      </c>
      <c r="F677" s="265" t="str">
        <f>IFERROR(__xludf.DUMMYFUNCTION("""COMPUTED_VALUE"""),"Diamond")</f>
        <v>Diamond</v>
      </c>
      <c r="G677" s="265" t="str">
        <f>IFERROR(__xludf.DUMMYFUNCTION("""COMPUTED_VALUE"""),"Starter")</f>
        <v>Starter</v>
      </c>
      <c r="H677" s="265" t="str">
        <f>IFERROR(__xludf.DUMMYFUNCTION("""COMPUTED_VALUE"""),"Trả sau")</f>
        <v>Trả sau</v>
      </c>
      <c r="I677" s="265" t="str">
        <f>IFERROR(__xludf.DUMMYFUNCTION("""COMPUTED_VALUE"""),"Portal")</f>
        <v>Portal</v>
      </c>
      <c r="J677" s="265" t="str">
        <f>IFERROR(__xludf.DUMMYFUNCTION("""COMPUTED_VALUE"""),"File Excel")</f>
        <v>File Excel</v>
      </c>
      <c r="K677" s="265" t="str">
        <f>IFERROR(__xludf.DUMMYFUNCTION("""COMPUTED_VALUE"""),"YếnĐH")</f>
        <v>YếnĐH</v>
      </c>
    </row>
    <row r="678">
      <c r="A678" s="265" t="str">
        <f>IFERROR(__xludf.DUMMYFUNCTION("""COMPUTED_VALUE"""),"922")</f>
        <v>922</v>
      </c>
      <c r="B678" s="265" t="str">
        <f>IFERROR(__xludf.DUMMYFUNCTION("""COMPUTED_VALUE"""),"Sài Gòn")</f>
        <v>Sài Gòn</v>
      </c>
      <c r="C678" s="265" t="str">
        <f>IFERROR(__xludf.DUMMYFUNCTION("""COMPUTED_VALUE"""),"Active")</f>
        <v>Active</v>
      </c>
      <c r="D678" s="265" t="str">
        <f>IFERROR(__xludf.DUMMYFUNCTION("""COMPUTED_VALUE"""),"Viễn thông")</f>
        <v>Viễn thông</v>
      </c>
      <c r="E678" s="265" t="str">
        <f>IFERROR(__xludf.DUMMYFUNCTION("""COMPUTED_VALUE"""),"TúPHN")</f>
        <v>TúPHN</v>
      </c>
      <c r="F678" s="265" t="str">
        <f>IFERROR(__xludf.DUMMYFUNCTION("""COMPUTED_VALUE"""),"Gold")</f>
        <v>Gold</v>
      </c>
      <c r="G678" s="265" t="str">
        <f>IFERROR(__xludf.DUMMYFUNCTION("""COMPUTED_VALUE"""),"Standard")</f>
        <v>Standard</v>
      </c>
      <c r="H678" s="265" t="str">
        <f>IFERROR(__xludf.DUMMYFUNCTION("""COMPUTED_VALUE"""),"Trả trước")</f>
        <v>Trả trước</v>
      </c>
      <c r="I678" s="265" t="str">
        <f>IFERROR(__xludf.DUMMYFUNCTION("""COMPUTED_VALUE"""),"Portal")</f>
        <v>Portal</v>
      </c>
      <c r="J678" s="265" t="str">
        <f>IFERROR(__xludf.DUMMYFUNCTION("""COMPUTED_VALUE"""),"File Excel")</f>
        <v>File Excel</v>
      </c>
      <c r="K678" s="265" t="str">
        <f>IFERROR(__xludf.DUMMYFUNCTION("""COMPUTED_VALUE"""),"DungPL")</f>
        <v>DungPL</v>
      </c>
    </row>
    <row r="679">
      <c r="A679" s="265" t="str">
        <f>IFERROR(__xludf.DUMMYFUNCTION("""COMPUTED_VALUE"""),"923")</f>
        <v>923</v>
      </c>
      <c r="B679" s="265" t="str">
        <f>IFERROR(__xludf.DUMMYFUNCTION("""COMPUTED_VALUE"""),"Hà Nội")</f>
        <v>Hà Nội</v>
      </c>
      <c r="C679" s="265" t="str">
        <f>IFERROR(__xludf.DUMMYFUNCTION("""COMPUTED_VALUE"""),"Locked")</f>
        <v>Locked</v>
      </c>
      <c r="D679" s="265" t="str">
        <f>IFERROR(__xludf.DUMMYFUNCTION("""COMPUTED_VALUE"""),"Vận tải &amp; logistics")</f>
        <v>Vận tải &amp; logistics</v>
      </c>
      <c r="E679" s="265" t="str">
        <f>IFERROR(__xludf.DUMMYFUNCTION("""COMPUTED_VALUE"""),"AnhNM")</f>
        <v>AnhNM</v>
      </c>
      <c r="F679" s="265" t="str">
        <f>IFERROR(__xludf.DUMMYFUNCTION("""COMPUTED_VALUE"""),"Bronze")</f>
        <v>Bronze</v>
      </c>
      <c r="G679" s="265" t="str">
        <f>IFERROR(__xludf.DUMMYFUNCTION("""COMPUTED_VALUE"""),"Premium")</f>
        <v>Premium</v>
      </c>
      <c r="H679" s="265" t="str">
        <f>IFERROR(__xludf.DUMMYFUNCTION("""COMPUTED_VALUE"""),"Trial")</f>
        <v>Trial</v>
      </c>
      <c r="I679" s="265" t="str">
        <f>IFERROR(__xludf.DUMMYFUNCTION("""COMPUTED_VALUE"""),"API &amp; Portal")</f>
        <v>API &amp; Portal</v>
      </c>
      <c r="J679" s="265" t="str">
        <f>IFERROR(__xludf.DUMMYFUNCTION("""COMPUTED_VALUE"""),"File Excel")</f>
        <v>File Excel</v>
      </c>
      <c r="K679" s="265" t="str">
        <f>IFERROR(__xludf.DUMMYFUNCTION("""COMPUTED_VALUE"""),"Không phân công")</f>
        <v>Không phân công</v>
      </c>
    </row>
    <row r="680">
      <c r="A680" s="265" t="str">
        <f>IFERROR(__xludf.DUMMYFUNCTION("""COMPUTED_VALUE"""),"923")</f>
        <v>923</v>
      </c>
      <c r="B680" s="265" t="str">
        <f>IFERROR(__xludf.DUMMYFUNCTION("""COMPUTED_VALUE"""),"Hà Nội")</f>
        <v>Hà Nội</v>
      </c>
      <c r="C680" s="265" t="str">
        <f>IFERROR(__xludf.DUMMYFUNCTION("""COMPUTED_VALUE"""),"Locked")</f>
        <v>Locked</v>
      </c>
      <c r="D680" s="265" t="str">
        <f>IFERROR(__xludf.DUMMYFUNCTION("""COMPUTED_VALUE"""),"Vận tải &amp; logistics")</f>
        <v>Vận tải &amp; logistics</v>
      </c>
      <c r="E680" s="265" t="str">
        <f>IFERROR(__xludf.DUMMYFUNCTION("""COMPUTED_VALUE"""),"AnhNM")</f>
        <v>AnhNM</v>
      </c>
      <c r="F680" s="265" t="str">
        <f>IFERROR(__xludf.DUMMYFUNCTION("""COMPUTED_VALUE"""),"Bronze")</f>
        <v>Bronze</v>
      </c>
      <c r="G680" s="265" t="str">
        <f>IFERROR(__xludf.DUMMYFUNCTION("""COMPUTED_VALUE"""),"Premium")</f>
        <v>Premium</v>
      </c>
      <c r="H680" s="265" t="str">
        <f>IFERROR(__xludf.DUMMYFUNCTION("""COMPUTED_VALUE"""),"Trial")</f>
        <v>Trial</v>
      </c>
      <c r="I680" s="265" t="str">
        <f>IFERROR(__xludf.DUMMYFUNCTION("""COMPUTED_VALUE"""),"API &amp; Portal")</f>
        <v>API &amp; Portal</v>
      </c>
      <c r="J680" s="265" t="str">
        <f>IFERROR(__xludf.DUMMYFUNCTION("""COMPUTED_VALUE"""),"API")</f>
        <v>API</v>
      </c>
      <c r="K680" s="265" t="str">
        <f>IFERROR(__xludf.DUMMYFUNCTION("""COMPUTED_VALUE"""),"Không phân công")</f>
        <v>Không phân công</v>
      </c>
    </row>
    <row r="681">
      <c r="A681" s="265" t="str">
        <f>IFERROR(__xludf.DUMMYFUNCTION("""COMPUTED_VALUE"""),"916")</f>
        <v>916</v>
      </c>
      <c r="B681" s="265" t="str">
        <f>IFERROR(__xludf.DUMMYFUNCTION("""COMPUTED_VALUE"""),"Hà Nội")</f>
        <v>Hà Nội</v>
      </c>
      <c r="C681" s="265" t="str">
        <f>IFERROR(__xludf.DUMMYFUNCTION("""COMPUTED_VALUE"""),"Active")</f>
        <v>Active</v>
      </c>
      <c r="D681" s="265" t="str">
        <f>IFERROR(__xludf.DUMMYFUNCTION("""COMPUTED_VALUE"""),"Công nghệ &amp; Phần mềm")</f>
        <v>Công nghệ &amp; Phần mềm</v>
      </c>
      <c r="E681" s="265" t="str">
        <f>IFERROR(__xludf.DUMMYFUNCTION("""COMPUTED_VALUE"""),"AnhNM")</f>
        <v>AnhNM</v>
      </c>
      <c r="F681" s="265" t="str">
        <f>IFERROR(__xludf.DUMMYFUNCTION("""COMPUTED_VALUE"""),"Gold")</f>
        <v>Gold</v>
      </c>
      <c r="G681" s="265" t="str">
        <f>IFERROR(__xludf.DUMMYFUNCTION("""COMPUTED_VALUE"""),"Starter")</f>
        <v>Starter</v>
      </c>
      <c r="H681" s="265" t="str">
        <f>IFERROR(__xludf.DUMMYFUNCTION("""COMPUTED_VALUE"""),"Trả sau")</f>
        <v>Trả sau</v>
      </c>
      <c r="I681" s="265" t="str">
        <f>IFERROR(__xludf.DUMMYFUNCTION("""COMPUTED_VALUE"""),"API &amp; Portal")</f>
        <v>API &amp; Portal</v>
      </c>
      <c r="J681" s="265" t="str">
        <f>IFERROR(__xludf.DUMMYFUNCTION("""COMPUTED_VALUE"""),"File Excel")</f>
        <v>File Excel</v>
      </c>
      <c r="K681" s="265" t="str">
        <f>IFERROR(__xludf.DUMMYFUNCTION("""COMPUTED_VALUE"""),"DungVT")</f>
        <v>DungVT</v>
      </c>
    </row>
    <row r="682">
      <c r="A682" s="265" t="str">
        <f>IFERROR(__xludf.DUMMYFUNCTION("""COMPUTED_VALUE"""),"916")</f>
        <v>916</v>
      </c>
      <c r="B682" s="265" t="str">
        <f>IFERROR(__xludf.DUMMYFUNCTION("""COMPUTED_VALUE"""),"Hà Nội")</f>
        <v>Hà Nội</v>
      </c>
      <c r="C682" s="265" t="str">
        <f>IFERROR(__xludf.DUMMYFUNCTION("""COMPUTED_VALUE"""),"Active")</f>
        <v>Active</v>
      </c>
      <c r="D682" s="265" t="str">
        <f>IFERROR(__xludf.DUMMYFUNCTION("""COMPUTED_VALUE"""),"Công nghệ &amp; Phần mềm")</f>
        <v>Công nghệ &amp; Phần mềm</v>
      </c>
      <c r="E682" s="265" t="str">
        <f>IFERROR(__xludf.DUMMYFUNCTION("""COMPUTED_VALUE"""),"AnhNM")</f>
        <v>AnhNM</v>
      </c>
      <c r="F682" s="265" t="str">
        <f>IFERROR(__xludf.DUMMYFUNCTION("""COMPUTED_VALUE"""),"Gold")</f>
        <v>Gold</v>
      </c>
      <c r="G682" s="265" t="str">
        <f>IFERROR(__xludf.DUMMYFUNCTION("""COMPUTED_VALUE"""),"Starter")</f>
        <v>Starter</v>
      </c>
      <c r="H682" s="265" t="str">
        <f>IFERROR(__xludf.DUMMYFUNCTION("""COMPUTED_VALUE"""),"Trả sau")</f>
        <v>Trả sau</v>
      </c>
      <c r="I682" s="265" t="str">
        <f>IFERROR(__xludf.DUMMYFUNCTION("""COMPUTED_VALUE"""),"API &amp; Portal")</f>
        <v>API &amp; Portal</v>
      </c>
      <c r="J682" s="265" t="str">
        <f>IFERROR(__xludf.DUMMYFUNCTION("""COMPUTED_VALUE"""),"API")</f>
        <v>API</v>
      </c>
      <c r="K682" s="265" t="str">
        <f>IFERROR(__xludf.DUMMYFUNCTION("""COMPUTED_VALUE"""),"DungVT")</f>
        <v>DungVT</v>
      </c>
    </row>
    <row r="683">
      <c r="A683" s="265" t="str">
        <f>IFERROR(__xludf.DUMMYFUNCTION("""COMPUTED_VALUE"""),"924")</f>
        <v>924</v>
      </c>
      <c r="B683" s="265" t="str">
        <f>IFERROR(__xludf.DUMMYFUNCTION("""COMPUTED_VALUE"""),"Hà Nội")</f>
        <v>Hà Nội</v>
      </c>
      <c r="C683" s="265" t="str">
        <f>IFERROR(__xludf.DUMMYFUNCTION("""COMPUTED_VALUE"""),"Active")</f>
        <v>Active</v>
      </c>
      <c r="D683" s="265" t="str">
        <f>IFERROR(__xludf.DUMMYFUNCTION("""COMPUTED_VALUE"""),"Dịch vụ khác")</f>
        <v>Dịch vụ khác</v>
      </c>
      <c r="E683" s="265" t="str">
        <f>IFERROR(__xludf.DUMMYFUNCTION("""COMPUTED_VALUE"""),"AnhNM")</f>
        <v>AnhNM</v>
      </c>
      <c r="F683" s="265" t="str">
        <f>IFERROR(__xludf.DUMMYFUNCTION("""COMPUTED_VALUE"""),"Silver")</f>
        <v>Silver</v>
      </c>
      <c r="G683" s="265" t="str">
        <f>IFERROR(__xludf.DUMMYFUNCTION("""COMPUTED_VALUE"""),"Starter")</f>
        <v>Starter</v>
      </c>
      <c r="H683" s="265" t="str">
        <f>IFERROR(__xludf.DUMMYFUNCTION("""COMPUTED_VALUE"""),"Trả sau")</f>
        <v>Trả sau</v>
      </c>
      <c r="I683" s="265" t="str">
        <f>IFERROR(__xludf.DUMMYFUNCTION("""COMPUTED_VALUE"""),"API &amp; Portal")</f>
        <v>API &amp; Portal</v>
      </c>
      <c r="J683" s="265" t="str">
        <f>IFERROR(__xludf.DUMMYFUNCTION("""COMPUTED_VALUE"""),"File Excel")</f>
        <v>File Excel</v>
      </c>
      <c r="K683" s="265" t="str">
        <f>IFERROR(__xludf.DUMMYFUNCTION("""COMPUTED_VALUE"""),"DungVT")</f>
        <v>DungVT</v>
      </c>
    </row>
    <row r="684">
      <c r="A684" s="265" t="str">
        <f>IFERROR(__xludf.DUMMYFUNCTION("""COMPUTED_VALUE"""),"924")</f>
        <v>924</v>
      </c>
      <c r="B684" s="265" t="str">
        <f>IFERROR(__xludf.DUMMYFUNCTION("""COMPUTED_VALUE"""),"Hà Nội")</f>
        <v>Hà Nội</v>
      </c>
      <c r="C684" s="265" t="str">
        <f>IFERROR(__xludf.DUMMYFUNCTION("""COMPUTED_VALUE"""),"Active")</f>
        <v>Active</v>
      </c>
      <c r="D684" s="265" t="str">
        <f>IFERROR(__xludf.DUMMYFUNCTION("""COMPUTED_VALUE"""),"Dịch vụ khác")</f>
        <v>Dịch vụ khác</v>
      </c>
      <c r="E684" s="265" t="str">
        <f>IFERROR(__xludf.DUMMYFUNCTION("""COMPUTED_VALUE"""),"AnhNM")</f>
        <v>AnhNM</v>
      </c>
      <c r="F684" s="265" t="str">
        <f>IFERROR(__xludf.DUMMYFUNCTION("""COMPUTED_VALUE"""),"Silver")</f>
        <v>Silver</v>
      </c>
      <c r="G684" s="265" t="str">
        <f>IFERROR(__xludf.DUMMYFUNCTION("""COMPUTED_VALUE"""),"Starter")</f>
        <v>Starter</v>
      </c>
      <c r="H684" s="265" t="str">
        <f>IFERROR(__xludf.DUMMYFUNCTION("""COMPUTED_VALUE"""),"Trả sau")</f>
        <v>Trả sau</v>
      </c>
      <c r="I684" s="265" t="str">
        <f>IFERROR(__xludf.DUMMYFUNCTION("""COMPUTED_VALUE"""),"API &amp; Portal")</f>
        <v>API &amp; Portal</v>
      </c>
      <c r="J684" s="265" t="str">
        <f>IFERROR(__xludf.DUMMYFUNCTION("""COMPUTED_VALUE"""),"API")</f>
        <v>API</v>
      </c>
      <c r="K684" s="265" t="str">
        <f>IFERROR(__xludf.DUMMYFUNCTION("""COMPUTED_VALUE"""),"DungVT")</f>
        <v>DungVT</v>
      </c>
    </row>
    <row r="685">
      <c r="A685" s="265" t="str">
        <f>IFERROR(__xludf.DUMMYFUNCTION("""COMPUTED_VALUE"""),"926")</f>
        <v>926</v>
      </c>
      <c r="B685" s="265" t="str">
        <f>IFERROR(__xludf.DUMMYFUNCTION("""COMPUTED_VALUE"""),"Hà Nội")</f>
        <v>Hà Nội</v>
      </c>
      <c r="C685" s="265" t="str">
        <f>IFERROR(__xludf.DUMMYFUNCTION("""COMPUTED_VALUE"""),"Active")</f>
        <v>Active</v>
      </c>
      <c r="D685" s="265" t="str">
        <f>IFERROR(__xludf.DUMMYFUNCTION("""COMPUTED_VALUE"""),"Mua sắm &amp; Bán lẻ")</f>
        <v>Mua sắm &amp; Bán lẻ</v>
      </c>
      <c r="E685" s="265" t="str">
        <f>IFERROR(__xludf.DUMMYFUNCTION("""COMPUTED_VALUE"""),"TúPHN")</f>
        <v>TúPHN</v>
      </c>
      <c r="F685" s="265" t="str">
        <f>IFERROR(__xludf.DUMMYFUNCTION("""COMPUTED_VALUE"""),"Sale chưa cung cấp")</f>
        <v>Sale chưa cung cấp</v>
      </c>
      <c r="G685" s="265" t="str">
        <f>IFERROR(__xludf.DUMMYFUNCTION("""COMPUTED_VALUE"""),"Starter")</f>
        <v>Starter</v>
      </c>
      <c r="H685" s="265" t="str">
        <f>IFERROR(__xludf.DUMMYFUNCTION("""COMPUTED_VALUE"""),"Trả sau")</f>
        <v>Trả sau</v>
      </c>
      <c r="I685" s="265" t="str">
        <f>IFERROR(__xludf.DUMMYFUNCTION("""COMPUTED_VALUE"""),"API")</f>
        <v>API</v>
      </c>
      <c r="J685" s="265" t="str">
        <f>IFERROR(__xludf.DUMMYFUNCTION("""COMPUTED_VALUE"""),"API")</f>
        <v>API</v>
      </c>
      <c r="K685" s="265" t="str">
        <f>IFERROR(__xludf.DUMMYFUNCTION("""COMPUTED_VALUE"""),"DungPL")</f>
        <v>DungPL</v>
      </c>
    </row>
    <row r="686">
      <c r="A686" s="265" t="str">
        <f>IFERROR(__xludf.DUMMYFUNCTION("""COMPUTED_VALUE"""),"927")</f>
        <v>927</v>
      </c>
      <c r="B686" s="265" t="str">
        <f>IFERROR(__xludf.DUMMYFUNCTION("""COMPUTED_VALUE"""),"Hà Nội")</f>
        <v>Hà Nội</v>
      </c>
      <c r="C686" s="265" t="str">
        <f>IFERROR(__xludf.DUMMYFUNCTION("""COMPUTED_VALUE"""),"Active")</f>
        <v>Active</v>
      </c>
      <c r="D686" s="265" t="str">
        <f>IFERROR(__xludf.DUMMYFUNCTION("""COMPUTED_VALUE"""),"Viễn thông")</f>
        <v>Viễn thông</v>
      </c>
      <c r="E686" s="265" t="str">
        <f>IFERROR(__xludf.DUMMYFUNCTION("""COMPUTED_VALUE"""),"TùngLD")</f>
        <v>TùngLD</v>
      </c>
      <c r="F686" s="265" t="str">
        <f>IFERROR(__xludf.DUMMYFUNCTION("""COMPUTED_VALUE"""),"Gold")</f>
        <v>Gold</v>
      </c>
      <c r="G686" s="265" t="str">
        <f>IFERROR(__xludf.DUMMYFUNCTION("""COMPUTED_VALUE"""),"Enterprise")</f>
        <v>Enterprise</v>
      </c>
      <c r="H686" s="265" t="str">
        <f>IFERROR(__xludf.DUMMYFUNCTION("""COMPUTED_VALUE"""),"Trả sau")</f>
        <v>Trả sau</v>
      </c>
      <c r="I686" s="265" t="str">
        <f>IFERROR(__xludf.DUMMYFUNCTION("""COMPUTED_VALUE"""),"API &amp; Portal")</f>
        <v>API &amp; Portal</v>
      </c>
      <c r="J686" s="265" t="str">
        <f>IFERROR(__xludf.DUMMYFUNCTION("""COMPUTED_VALUE"""),"File Excel")</f>
        <v>File Excel</v>
      </c>
      <c r="K686" s="265" t="str">
        <f>IFERROR(__xludf.DUMMYFUNCTION("""COMPUTED_VALUE"""),"YếnĐH")</f>
        <v>YếnĐH</v>
      </c>
    </row>
    <row r="687">
      <c r="A687" s="265" t="str">
        <f>IFERROR(__xludf.DUMMYFUNCTION("""COMPUTED_VALUE"""),"927")</f>
        <v>927</v>
      </c>
      <c r="B687" s="265" t="str">
        <f>IFERROR(__xludf.DUMMYFUNCTION("""COMPUTED_VALUE"""),"Hà Nội")</f>
        <v>Hà Nội</v>
      </c>
      <c r="C687" s="265" t="str">
        <f>IFERROR(__xludf.DUMMYFUNCTION("""COMPUTED_VALUE"""),"Active")</f>
        <v>Active</v>
      </c>
      <c r="D687" s="265" t="str">
        <f>IFERROR(__xludf.DUMMYFUNCTION("""COMPUTED_VALUE"""),"Viễn thông")</f>
        <v>Viễn thông</v>
      </c>
      <c r="E687" s="265" t="str">
        <f>IFERROR(__xludf.DUMMYFUNCTION("""COMPUTED_VALUE"""),"TùngLD")</f>
        <v>TùngLD</v>
      </c>
      <c r="F687" s="265" t="str">
        <f>IFERROR(__xludf.DUMMYFUNCTION("""COMPUTED_VALUE"""),"Gold")</f>
        <v>Gold</v>
      </c>
      <c r="G687" s="265" t="str">
        <f>IFERROR(__xludf.DUMMYFUNCTION("""COMPUTED_VALUE"""),"Enterprise")</f>
        <v>Enterprise</v>
      </c>
      <c r="H687" s="265" t="str">
        <f>IFERROR(__xludf.DUMMYFUNCTION("""COMPUTED_VALUE"""),"Trả sau")</f>
        <v>Trả sau</v>
      </c>
      <c r="I687" s="265" t="str">
        <f>IFERROR(__xludf.DUMMYFUNCTION("""COMPUTED_VALUE"""),"API &amp; Portal")</f>
        <v>API &amp; Portal</v>
      </c>
      <c r="J687" s="265" t="str">
        <f>IFERROR(__xludf.DUMMYFUNCTION("""COMPUTED_VALUE"""),"API")</f>
        <v>API</v>
      </c>
      <c r="K687" s="265" t="str">
        <f>IFERROR(__xludf.DUMMYFUNCTION("""COMPUTED_VALUE"""),"YếnĐH")</f>
        <v>YếnĐH</v>
      </c>
    </row>
    <row r="688">
      <c r="A688" s="265" t="str">
        <f>IFERROR(__xludf.DUMMYFUNCTION("""COMPUTED_VALUE"""),"928")</f>
        <v>928</v>
      </c>
      <c r="B688" s="265" t="str">
        <f>IFERROR(__xludf.DUMMYFUNCTION("""COMPUTED_VALUE"""),"Hà Nội")</f>
        <v>Hà Nội</v>
      </c>
      <c r="C688" s="265" t="str">
        <f>IFERROR(__xludf.DUMMYFUNCTION("""COMPUTED_VALUE"""),"Locked")</f>
        <v>Locked</v>
      </c>
      <c r="D688" s="265" t="str">
        <f>IFERROR(__xludf.DUMMYFUNCTION("""COMPUTED_VALUE"""),"Công nghệ &amp; Phần mềm")</f>
        <v>Công nghệ &amp; Phần mềm</v>
      </c>
      <c r="E688" s="265" t="str">
        <f>IFERROR(__xludf.DUMMYFUNCTION("""COMPUTED_VALUE"""),"AnhNM")</f>
        <v>AnhNM</v>
      </c>
      <c r="F688" s="265" t="str">
        <f>IFERROR(__xludf.DUMMYFUNCTION("""COMPUTED_VALUE"""),"Bronze")</f>
        <v>Bronze</v>
      </c>
      <c r="G688" s="265" t="str">
        <f>IFERROR(__xludf.DUMMYFUNCTION("""COMPUTED_VALUE"""),"Standard")</f>
        <v>Standard</v>
      </c>
      <c r="H688" s="265" t="str">
        <f>IFERROR(__xludf.DUMMYFUNCTION("""COMPUTED_VALUE"""),"Trial")</f>
        <v>Trial</v>
      </c>
      <c r="I688" s="265" t="str">
        <f>IFERROR(__xludf.DUMMYFUNCTION("""COMPUTED_VALUE"""),"API")</f>
        <v>API</v>
      </c>
      <c r="J688" s="265" t="str">
        <f>IFERROR(__xludf.DUMMYFUNCTION("""COMPUTED_VALUE"""),"API")</f>
        <v>API</v>
      </c>
      <c r="K688" s="265" t="str">
        <f>IFERROR(__xludf.DUMMYFUNCTION("""COMPUTED_VALUE"""),"Không phân công")</f>
        <v>Không phân công</v>
      </c>
    </row>
    <row r="689">
      <c r="A689" s="265" t="str">
        <f>IFERROR(__xludf.DUMMYFUNCTION("""COMPUTED_VALUE"""),"929")</f>
        <v>929</v>
      </c>
      <c r="B689" s="265" t="str">
        <f>IFERROR(__xludf.DUMMYFUNCTION("""COMPUTED_VALUE"""),"Sài Gòn")</f>
        <v>Sài Gòn</v>
      </c>
      <c r="C689" s="265" t="str">
        <f>IFERROR(__xludf.DUMMYFUNCTION("""COMPUTED_VALUE"""),"Active")</f>
        <v>Active</v>
      </c>
      <c r="D689" s="265" t="str">
        <f>IFERROR(__xludf.DUMMYFUNCTION("""COMPUTED_VALUE"""),"Giáo dục &amp; Đào tạo")</f>
        <v>Giáo dục &amp; Đào tạo</v>
      </c>
      <c r="E689" s="265" t="str">
        <f>IFERROR(__xludf.DUMMYFUNCTION("""COMPUTED_VALUE"""),"TùngLD")</f>
        <v>TùngLD</v>
      </c>
      <c r="F689" s="265" t="str">
        <f>IFERROR(__xludf.DUMMYFUNCTION("""COMPUTED_VALUE"""),"Silver")</f>
        <v>Silver</v>
      </c>
      <c r="G689" s="265" t="str">
        <f>IFERROR(__xludf.DUMMYFUNCTION("""COMPUTED_VALUE"""),"Starter")</f>
        <v>Starter</v>
      </c>
      <c r="H689" s="265" t="str">
        <f>IFERROR(__xludf.DUMMYFUNCTION("""COMPUTED_VALUE"""),"Trả sau")</f>
        <v>Trả sau</v>
      </c>
      <c r="I689" s="265" t="str">
        <f>IFERROR(__xludf.DUMMYFUNCTION("""COMPUTED_VALUE"""),"API")</f>
        <v>API</v>
      </c>
      <c r="J689" s="265" t="str">
        <f>IFERROR(__xludf.DUMMYFUNCTION("""COMPUTED_VALUE"""),"Bizfly CRM")</f>
        <v>Bizfly CRM</v>
      </c>
      <c r="K689" s="265" t="str">
        <f>IFERROR(__xludf.DUMMYFUNCTION("""COMPUTED_VALUE"""),"DungPL")</f>
        <v>DungPL</v>
      </c>
    </row>
    <row r="690">
      <c r="A690" s="265" t="str">
        <f>IFERROR(__xludf.DUMMYFUNCTION("""COMPUTED_VALUE"""),"930")</f>
        <v>930</v>
      </c>
      <c r="B690" s="265" t="str">
        <f>IFERROR(__xludf.DUMMYFUNCTION("""COMPUTED_VALUE"""),"Hà Nội")</f>
        <v>Hà Nội</v>
      </c>
      <c r="C690" s="265" t="str">
        <f>IFERROR(__xludf.DUMMYFUNCTION("""COMPUTED_VALUE"""),"Locked")</f>
        <v>Locked</v>
      </c>
      <c r="D690" s="265" t="str">
        <f>IFERROR(__xludf.DUMMYFUNCTION("""COMPUTED_VALUE"""),"Dịch vụ khác")</f>
        <v>Dịch vụ khác</v>
      </c>
      <c r="E690" s="265" t="str">
        <f>IFERROR(__xludf.DUMMYFUNCTION("""COMPUTED_VALUE"""),"TùngLD")</f>
        <v>TùngLD</v>
      </c>
      <c r="F690" s="265" t="str">
        <f>IFERROR(__xludf.DUMMYFUNCTION("""COMPUTED_VALUE"""),"Diamond")</f>
        <v>Diamond</v>
      </c>
      <c r="G690" s="265" t="str">
        <f>IFERROR(__xludf.DUMMYFUNCTION("""COMPUTED_VALUE"""),"Premium")</f>
        <v>Premium</v>
      </c>
      <c r="H690" s="265" t="str">
        <f>IFERROR(__xludf.DUMMYFUNCTION("""COMPUTED_VALUE"""),"Trial")</f>
        <v>Trial</v>
      </c>
      <c r="I690" s="265" t="str">
        <f>IFERROR(__xludf.DUMMYFUNCTION("""COMPUTED_VALUE"""),"API")</f>
        <v>API</v>
      </c>
      <c r="J690" s="265" t="str">
        <f>IFERROR(__xludf.DUMMYFUNCTION("""COMPUTED_VALUE"""),"API")</f>
        <v>API</v>
      </c>
      <c r="K690" s="265" t="str">
        <f>IFERROR(__xludf.DUMMYFUNCTION("""COMPUTED_VALUE"""),"Không phân công")</f>
        <v>Không phân công</v>
      </c>
    </row>
    <row r="691">
      <c r="A691" s="265" t="str">
        <f>IFERROR(__xludf.DUMMYFUNCTION("""COMPUTED_VALUE"""),"931")</f>
        <v>931</v>
      </c>
      <c r="B691" s="265" t="str">
        <f>IFERROR(__xludf.DUMMYFUNCTION("""COMPUTED_VALUE"""),"Hà Nội")</f>
        <v>Hà Nội</v>
      </c>
      <c r="C691" s="265" t="str">
        <f>IFERROR(__xludf.DUMMYFUNCTION("""COMPUTED_VALUE"""),"Active")</f>
        <v>Active</v>
      </c>
      <c r="D691" s="265" t="str">
        <f>IFERROR(__xludf.DUMMYFUNCTION("""COMPUTED_VALUE"""),"Công nghệ &amp; Phần mềm")</f>
        <v>Công nghệ &amp; Phần mềm</v>
      </c>
      <c r="E691" s="265" t="str">
        <f>IFERROR(__xludf.DUMMYFUNCTION("""COMPUTED_VALUE"""),"AnhNM")</f>
        <v>AnhNM</v>
      </c>
      <c r="F691" s="265" t="str">
        <f>IFERROR(__xludf.DUMMYFUNCTION("""COMPUTED_VALUE"""),"Silver")</f>
        <v>Silver</v>
      </c>
      <c r="G691" s="265" t="str">
        <f>IFERROR(__xludf.DUMMYFUNCTION("""COMPUTED_VALUE"""),"Starter")</f>
        <v>Starter</v>
      </c>
      <c r="H691" s="265" t="str">
        <f>IFERROR(__xludf.DUMMYFUNCTION("""COMPUTED_VALUE"""),"Trả sau")</f>
        <v>Trả sau</v>
      </c>
      <c r="I691" s="265" t="str">
        <f>IFERROR(__xludf.DUMMYFUNCTION("""COMPUTED_VALUE"""),"API &amp; Portal")</f>
        <v>API &amp; Portal</v>
      </c>
      <c r="J691" s="265" t="str">
        <f>IFERROR(__xludf.DUMMYFUNCTION("""COMPUTED_VALUE"""),"File Excel")</f>
        <v>File Excel</v>
      </c>
      <c r="K691" s="265" t="str">
        <f>IFERROR(__xludf.DUMMYFUNCTION("""COMPUTED_VALUE"""),"DungPL")</f>
        <v>DungPL</v>
      </c>
    </row>
    <row r="692">
      <c r="A692" s="265" t="str">
        <f>IFERROR(__xludf.DUMMYFUNCTION("""COMPUTED_VALUE"""),"931")</f>
        <v>931</v>
      </c>
      <c r="B692" s="265" t="str">
        <f>IFERROR(__xludf.DUMMYFUNCTION("""COMPUTED_VALUE"""),"Hà Nội")</f>
        <v>Hà Nội</v>
      </c>
      <c r="C692" s="265" t="str">
        <f>IFERROR(__xludf.DUMMYFUNCTION("""COMPUTED_VALUE"""),"Active")</f>
        <v>Active</v>
      </c>
      <c r="D692" s="265" t="str">
        <f>IFERROR(__xludf.DUMMYFUNCTION("""COMPUTED_VALUE"""),"Công nghệ &amp; Phần mềm")</f>
        <v>Công nghệ &amp; Phần mềm</v>
      </c>
      <c r="E692" s="265" t="str">
        <f>IFERROR(__xludf.DUMMYFUNCTION("""COMPUTED_VALUE"""),"AnhNM")</f>
        <v>AnhNM</v>
      </c>
      <c r="F692" s="265" t="str">
        <f>IFERROR(__xludf.DUMMYFUNCTION("""COMPUTED_VALUE"""),"Silver")</f>
        <v>Silver</v>
      </c>
      <c r="G692" s="265" t="str">
        <f>IFERROR(__xludf.DUMMYFUNCTION("""COMPUTED_VALUE"""),"Starter")</f>
        <v>Starter</v>
      </c>
      <c r="H692" s="265" t="str">
        <f>IFERROR(__xludf.DUMMYFUNCTION("""COMPUTED_VALUE"""),"Trả sau")</f>
        <v>Trả sau</v>
      </c>
      <c r="I692" s="265" t="str">
        <f>IFERROR(__xludf.DUMMYFUNCTION("""COMPUTED_VALUE"""),"API &amp; Portal")</f>
        <v>API &amp; Portal</v>
      </c>
      <c r="J692" s="265" t="str">
        <f>IFERROR(__xludf.DUMMYFUNCTION("""COMPUTED_VALUE"""),"API")</f>
        <v>API</v>
      </c>
      <c r="K692" s="265" t="str">
        <f>IFERROR(__xludf.DUMMYFUNCTION("""COMPUTED_VALUE"""),"DungPL")</f>
        <v>DungPL</v>
      </c>
    </row>
    <row r="693">
      <c r="A693" s="265" t="str">
        <f>IFERROR(__xludf.DUMMYFUNCTION("""COMPUTED_VALUE"""),"932")</f>
        <v>932</v>
      </c>
      <c r="B693" s="265" t="str">
        <f>IFERROR(__xludf.DUMMYFUNCTION("""COMPUTED_VALUE"""),"Hà Nội")</f>
        <v>Hà Nội</v>
      </c>
      <c r="C693" s="265" t="str">
        <f>IFERROR(__xludf.DUMMYFUNCTION("""COMPUTED_VALUE"""),"Active")</f>
        <v>Active</v>
      </c>
      <c r="D693" s="265" t="str">
        <f>IFERROR(__xludf.DUMMYFUNCTION("""COMPUTED_VALUE"""),"Giáo dục &amp; Đào tạo")</f>
        <v>Giáo dục &amp; Đào tạo</v>
      </c>
      <c r="E693" s="265" t="str">
        <f>IFERROR(__xludf.DUMMYFUNCTION("""COMPUTED_VALUE"""),"AnhNM")</f>
        <v>AnhNM</v>
      </c>
      <c r="F693" s="265" t="str">
        <f>IFERROR(__xludf.DUMMYFUNCTION("""COMPUTED_VALUE"""),"Silver")</f>
        <v>Silver</v>
      </c>
      <c r="G693" s="265" t="str">
        <f>IFERROR(__xludf.DUMMYFUNCTION("""COMPUTED_VALUE"""),"Starter")</f>
        <v>Starter</v>
      </c>
      <c r="H693" s="265" t="str">
        <f>IFERROR(__xludf.DUMMYFUNCTION("""COMPUTED_VALUE"""),"Trả sau")</f>
        <v>Trả sau</v>
      </c>
      <c r="I693" s="265" t="str">
        <f>IFERROR(__xludf.DUMMYFUNCTION("""COMPUTED_VALUE"""),"API &amp; Portal")</f>
        <v>API &amp; Portal</v>
      </c>
      <c r="J693" s="265" t="str">
        <f>IFERROR(__xludf.DUMMYFUNCTION("""COMPUTED_VALUE"""),"File Excel")</f>
        <v>File Excel</v>
      </c>
      <c r="K693" s="265" t="str">
        <f>IFERROR(__xludf.DUMMYFUNCTION("""COMPUTED_VALUE"""),"Không phân công")</f>
        <v>Không phân công</v>
      </c>
    </row>
    <row r="694">
      <c r="A694" s="265" t="str">
        <f>IFERROR(__xludf.DUMMYFUNCTION("""COMPUTED_VALUE"""),"932")</f>
        <v>932</v>
      </c>
      <c r="B694" s="265" t="str">
        <f>IFERROR(__xludf.DUMMYFUNCTION("""COMPUTED_VALUE"""),"Hà Nội")</f>
        <v>Hà Nội</v>
      </c>
      <c r="C694" s="265" t="str">
        <f>IFERROR(__xludf.DUMMYFUNCTION("""COMPUTED_VALUE"""),"Active")</f>
        <v>Active</v>
      </c>
      <c r="D694" s="265" t="str">
        <f>IFERROR(__xludf.DUMMYFUNCTION("""COMPUTED_VALUE"""),"Giáo dục &amp; Đào tạo")</f>
        <v>Giáo dục &amp; Đào tạo</v>
      </c>
      <c r="E694" s="265" t="str">
        <f>IFERROR(__xludf.DUMMYFUNCTION("""COMPUTED_VALUE"""),"AnhNM")</f>
        <v>AnhNM</v>
      </c>
      <c r="F694" s="265" t="str">
        <f>IFERROR(__xludf.DUMMYFUNCTION("""COMPUTED_VALUE"""),"Silver")</f>
        <v>Silver</v>
      </c>
      <c r="G694" s="265" t="str">
        <f>IFERROR(__xludf.DUMMYFUNCTION("""COMPUTED_VALUE"""),"Starter")</f>
        <v>Starter</v>
      </c>
      <c r="H694" s="265" t="str">
        <f>IFERROR(__xludf.DUMMYFUNCTION("""COMPUTED_VALUE"""),"Trả sau")</f>
        <v>Trả sau</v>
      </c>
      <c r="I694" s="265" t="str">
        <f>IFERROR(__xludf.DUMMYFUNCTION("""COMPUTED_VALUE"""),"API &amp; Portal")</f>
        <v>API &amp; Portal</v>
      </c>
      <c r="J694" s="265" t="str">
        <f>IFERROR(__xludf.DUMMYFUNCTION("""COMPUTED_VALUE"""),"API")</f>
        <v>API</v>
      </c>
      <c r="K694" s="265" t="str">
        <f>IFERROR(__xludf.DUMMYFUNCTION("""COMPUTED_VALUE"""),"Không phân công")</f>
        <v>Không phân công</v>
      </c>
    </row>
    <row r="695">
      <c r="A695" s="265" t="str">
        <f>IFERROR(__xludf.DUMMYFUNCTION("""COMPUTED_VALUE"""),"933")</f>
        <v>933</v>
      </c>
      <c r="B695" s="265" t="str">
        <f>IFERROR(__xludf.DUMMYFUNCTION("""COMPUTED_VALUE"""),"Hà Nội")</f>
        <v>Hà Nội</v>
      </c>
      <c r="C695" s="265" t="str">
        <f>IFERROR(__xludf.DUMMYFUNCTION("""COMPUTED_VALUE"""),"Locked")</f>
        <v>Locked</v>
      </c>
      <c r="D695" s="265" t="str">
        <f>IFERROR(__xludf.DUMMYFUNCTION("""COMPUTED_VALUE"""),"Vận tải &amp; logistics")</f>
        <v>Vận tải &amp; logistics</v>
      </c>
      <c r="E695" s="265" t="str">
        <f>IFERROR(__xludf.DUMMYFUNCTION("""COMPUTED_VALUE"""),"Không phân công")</f>
        <v>Không phân công</v>
      </c>
      <c r="F695" s="265" t="str">
        <f>IFERROR(__xludf.DUMMYFUNCTION("""COMPUTED_VALUE"""),"Bronze")</f>
        <v>Bronze</v>
      </c>
      <c r="G695" s="265" t="str">
        <f>IFERROR(__xludf.DUMMYFUNCTION("""COMPUTED_VALUE"""),"Starter")</f>
        <v>Starter</v>
      </c>
      <c r="H695" s="265" t="str">
        <f>IFERROR(__xludf.DUMMYFUNCTION("""COMPUTED_VALUE"""),"Trả sau")</f>
        <v>Trả sau</v>
      </c>
      <c r="I695" s="265" t="str">
        <f>IFERROR(__xludf.DUMMYFUNCTION("""COMPUTED_VALUE"""),"API")</f>
        <v>API</v>
      </c>
      <c r="J695" s="265" t="str">
        <f>IFERROR(__xludf.DUMMYFUNCTION("""COMPUTED_VALUE"""),"API")</f>
        <v>API</v>
      </c>
      <c r="K695" s="265" t="str">
        <f>IFERROR(__xludf.DUMMYFUNCTION("""COMPUTED_VALUE"""),"DungVT")</f>
        <v>DungVT</v>
      </c>
    </row>
    <row r="696">
      <c r="A696" s="265" t="str">
        <f>IFERROR(__xludf.DUMMYFUNCTION("""COMPUTED_VALUE"""),"934")</f>
        <v>934</v>
      </c>
      <c r="B696" s="265" t="str">
        <f>IFERROR(__xludf.DUMMYFUNCTION("""COMPUTED_VALUE"""),"Đà Nẵng")</f>
        <v>Đà Nẵng</v>
      </c>
      <c r="C696" s="265" t="str">
        <f>IFERROR(__xludf.DUMMYFUNCTION("""COMPUTED_VALUE"""),"Locked")</f>
        <v>Locked</v>
      </c>
      <c r="D696" s="265" t="str">
        <f>IFERROR(__xludf.DUMMYFUNCTION("""COMPUTED_VALUE"""),"Tài chính &amp; Ngân hàng")</f>
        <v>Tài chính &amp; Ngân hàng</v>
      </c>
      <c r="E696" s="265" t="str">
        <f>IFERROR(__xludf.DUMMYFUNCTION("""COMPUTED_VALUE"""),"TùngLD")</f>
        <v>TùngLD</v>
      </c>
      <c r="F696" s="265" t="str">
        <f>IFERROR(__xludf.DUMMYFUNCTION("""COMPUTED_VALUE"""),"Diamond")</f>
        <v>Diamond</v>
      </c>
      <c r="G696" s="265" t="str">
        <f>IFERROR(__xludf.DUMMYFUNCTION("""COMPUTED_VALUE"""),"Premium")</f>
        <v>Premium</v>
      </c>
      <c r="H696" s="265" t="str">
        <f>IFERROR(__xludf.DUMMYFUNCTION("""COMPUTED_VALUE"""),"Trial")</f>
        <v>Trial</v>
      </c>
      <c r="I696" s="265" t="str">
        <f>IFERROR(__xludf.DUMMYFUNCTION("""COMPUTED_VALUE"""),"API &amp; Portal")</f>
        <v>API &amp; Portal</v>
      </c>
      <c r="J696" s="265" t="str">
        <f>IFERROR(__xludf.DUMMYFUNCTION("""COMPUTED_VALUE"""),"API")</f>
        <v>API</v>
      </c>
      <c r="K696" s="265" t="str">
        <f>IFERROR(__xludf.DUMMYFUNCTION("""COMPUTED_VALUE"""),"Không phân công")</f>
        <v>Không phân công</v>
      </c>
    </row>
    <row r="697">
      <c r="A697" s="265" t="str">
        <f>IFERROR(__xludf.DUMMYFUNCTION("""COMPUTED_VALUE"""),"935")</f>
        <v>935</v>
      </c>
      <c r="B697" s="265" t="str">
        <f>IFERROR(__xludf.DUMMYFUNCTION("""COMPUTED_VALUE"""),"Đà Nẵng")</f>
        <v>Đà Nẵng</v>
      </c>
      <c r="C697" s="265" t="str">
        <f>IFERROR(__xludf.DUMMYFUNCTION("""COMPUTED_VALUE"""),"Locked")</f>
        <v>Locked</v>
      </c>
      <c r="D697" s="265" t="str">
        <f>IFERROR(__xludf.DUMMYFUNCTION("""COMPUTED_VALUE"""),"Dịch vụ khác")</f>
        <v>Dịch vụ khác</v>
      </c>
      <c r="E697" s="265" t="str">
        <f>IFERROR(__xludf.DUMMYFUNCTION("""COMPUTED_VALUE"""),"TùngLD")</f>
        <v>TùngLD</v>
      </c>
      <c r="F697" s="265" t="str">
        <f>IFERROR(__xludf.DUMMYFUNCTION("""COMPUTED_VALUE"""),"Diamond")</f>
        <v>Diamond</v>
      </c>
      <c r="G697" s="265" t="str">
        <f>IFERROR(__xludf.DUMMYFUNCTION("""COMPUTED_VALUE"""),"Premium")</f>
        <v>Premium</v>
      </c>
      <c r="H697" s="265" t="str">
        <f>IFERROR(__xludf.DUMMYFUNCTION("""COMPUTED_VALUE"""),"Trial")</f>
        <v>Trial</v>
      </c>
      <c r="I697" s="265" t="str">
        <f>IFERROR(__xludf.DUMMYFUNCTION("""COMPUTED_VALUE"""),"API &amp; Portal")</f>
        <v>API &amp; Portal</v>
      </c>
      <c r="J697" s="265" t="str">
        <f>IFERROR(__xludf.DUMMYFUNCTION("""COMPUTED_VALUE"""),"API")</f>
        <v>API</v>
      </c>
      <c r="K697" s="265" t="str">
        <f>IFERROR(__xludf.DUMMYFUNCTION("""COMPUTED_VALUE"""),"Không phân công")</f>
        <v>Không phân công</v>
      </c>
    </row>
    <row r="698">
      <c r="A698" s="265" t="str">
        <f>IFERROR(__xludf.DUMMYFUNCTION("""COMPUTED_VALUE"""),"936")</f>
        <v>936</v>
      </c>
      <c r="B698" s="265" t="str">
        <f>IFERROR(__xludf.DUMMYFUNCTION("""COMPUTED_VALUE"""),"Sài Gòn")</f>
        <v>Sài Gòn</v>
      </c>
      <c r="C698" s="265" t="str">
        <f>IFERROR(__xludf.DUMMYFUNCTION("""COMPUTED_VALUE"""),"Locked")</f>
        <v>Locked</v>
      </c>
      <c r="D698" s="265" t="str">
        <f>IFERROR(__xludf.DUMMYFUNCTION("""COMPUTED_VALUE"""),"Thực phẩm &amp; Đồ uống")</f>
        <v>Thực phẩm &amp; Đồ uống</v>
      </c>
      <c r="E698" s="265" t="str">
        <f>IFERROR(__xludf.DUMMYFUNCTION("""COMPUTED_VALUE"""),"HoaNTM")</f>
        <v>HoaNTM</v>
      </c>
      <c r="F698" s="265" t="str">
        <f>IFERROR(__xludf.DUMMYFUNCTION("""COMPUTED_VALUE"""),"Diamond")</f>
        <v>Diamond</v>
      </c>
      <c r="G698" s="265" t="str">
        <f>IFERROR(__xludf.DUMMYFUNCTION("""COMPUTED_VALUE"""),"Starter")</f>
        <v>Starter</v>
      </c>
      <c r="H698" s="265" t="str">
        <f>IFERROR(__xludf.DUMMYFUNCTION("""COMPUTED_VALUE"""),"Trả trước")</f>
        <v>Trả trước</v>
      </c>
      <c r="I698" s="265" t="str">
        <f>IFERROR(__xludf.DUMMYFUNCTION("""COMPUTED_VALUE"""),"Portal")</f>
        <v>Portal</v>
      </c>
      <c r="J698" s="265" t="str">
        <f>IFERROR(__xludf.DUMMYFUNCTION("""COMPUTED_VALUE"""),"File Excel")</f>
        <v>File Excel</v>
      </c>
      <c r="K698" s="265" t="str">
        <f>IFERROR(__xludf.DUMMYFUNCTION("""COMPUTED_VALUE"""),"YếnĐH")</f>
        <v>YếnĐH</v>
      </c>
    </row>
    <row r="699">
      <c r="A699" s="265" t="str">
        <f>IFERROR(__xludf.DUMMYFUNCTION("""COMPUTED_VALUE"""),"937")</f>
        <v>937</v>
      </c>
      <c r="B699" s="265" t="str">
        <f>IFERROR(__xludf.DUMMYFUNCTION("""COMPUTED_VALUE"""),"Hà Nội")</f>
        <v>Hà Nội</v>
      </c>
      <c r="C699" s="265" t="str">
        <f>IFERROR(__xludf.DUMMYFUNCTION("""COMPUTED_VALUE"""),"Active")</f>
        <v>Active</v>
      </c>
      <c r="D699" s="265" t="str">
        <f>IFERROR(__xludf.DUMMYFUNCTION("""COMPUTED_VALUE"""),"Y tế &amp; Dược phẩm")</f>
        <v>Y tế &amp; Dược phẩm</v>
      </c>
      <c r="E699" s="265" t="str">
        <f>IFERROR(__xludf.DUMMYFUNCTION("""COMPUTED_VALUE"""),"TùngLD")</f>
        <v>TùngLD</v>
      </c>
      <c r="F699" s="265" t="str">
        <f>IFERROR(__xludf.DUMMYFUNCTION("""COMPUTED_VALUE"""),"Sale chưa cung cấp")</f>
        <v>Sale chưa cung cấp</v>
      </c>
      <c r="G699" s="265" t="str">
        <f>IFERROR(__xludf.DUMMYFUNCTION("""COMPUTED_VALUE"""),"Premium")</f>
        <v>Premium</v>
      </c>
      <c r="H699" s="265" t="str">
        <f>IFERROR(__xludf.DUMMYFUNCTION("""COMPUTED_VALUE"""),"Trả sau")</f>
        <v>Trả sau</v>
      </c>
      <c r="I699" s="265" t="str">
        <f>IFERROR(__xludf.DUMMYFUNCTION("""COMPUTED_VALUE"""),"API &amp; Portal")</f>
        <v>API &amp; Portal</v>
      </c>
      <c r="J699" s="265" t="str">
        <f>IFERROR(__xludf.DUMMYFUNCTION("""COMPUTED_VALUE"""),"File Excel")</f>
        <v>File Excel</v>
      </c>
      <c r="K699" s="265" t="str">
        <f>IFERROR(__xludf.DUMMYFUNCTION("""COMPUTED_VALUE"""),"LinhNTT1")</f>
        <v>LinhNTT1</v>
      </c>
    </row>
    <row r="700">
      <c r="A700" s="265" t="str">
        <f>IFERROR(__xludf.DUMMYFUNCTION("""COMPUTED_VALUE"""),"937")</f>
        <v>937</v>
      </c>
      <c r="B700" s="265" t="str">
        <f>IFERROR(__xludf.DUMMYFUNCTION("""COMPUTED_VALUE"""),"Hà Nội")</f>
        <v>Hà Nội</v>
      </c>
      <c r="C700" s="265" t="str">
        <f>IFERROR(__xludf.DUMMYFUNCTION("""COMPUTED_VALUE"""),"Active")</f>
        <v>Active</v>
      </c>
      <c r="D700" s="265" t="str">
        <f>IFERROR(__xludf.DUMMYFUNCTION("""COMPUTED_VALUE"""),"Y tế &amp; Dược phẩm")</f>
        <v>Y tế &amp; Dược phẩm</v>
      </c>
      <c r="E700" s="265" t="str">
        <f>IFERROR(__xludf.DUMMYFUNCTION("""COMPUTED_VALUE"""),"TùngLD")</f>
        <v>TùngLD</v>
      </c>
      <c r="F700" s="265" t="str">
        <f>IFERROR(__xludf.DUMMYFUNCTION("""COMPUTED_VALUE"""),"Sale chưa cung cấp")</f>
        <v>Sale chưa cung cấp</v>
      </c>
      <c r="G700" s="265" t="str">
        <f>IFERROR(__xludf.DUMMYFUNCTION("""COMPUTED_VALUE"""),"Premium")</f>
        <v>Premium</v>
      </c>
      <c r="H700" s="265" t="str">
        <f>IFERROR(__xludf.DUMMYFUNCTION("""COMPUTED_VALUE"""),"Trả sau")</f>
        <v>Trả sau</v>
      </c>
      <c r="I700" s="265" t="str">
        <f>IFERROR(__xludf.DUMMYFUNCTION("""COMPUTED_VALUE"""),"API &amp; Portal")</f>
        <v>API &amp; Portal</v>
      </c>
      <c r="J700" s="265" t="str">
        <f>IFERROR(__xludf.DUMMYFUNCTION("""COMPUTED_VALUE"""),"HubSpot")</f>
        <v>HubSpot</v>
      </c>
      <c r="K700" s="265" t="str">
        <f>IFERROR(__xludf.DUMMYFUNCTION("""COMPUTED_VALUE"""),"LinhNTT1")</f>
        <v>LinhNTT1</v>
      </c>
    </row>
    <row r="701">
      <c r="A701" s="265" t="str">
        <f>IFERROR(__xludf.DUMMYFUNCTION("""COMPUTED_VALUE"""),"938")</f>
        <v>938</v>
      </c>
      <c r="B701" s="265" t="str">
        <f>IFERROR(__xludf.DUMMYFUNCTION("""COMPUTED_VALUE"""),"Hà Nội")</f>
        <v>Hà Nội</v>
      </c>
      <c r="C701" s="265" t="str">
        <f>IFERROR(__xludf.DUMMYFUNCTION("""COMPUTED_VALUE"""),"Active")</f>
        <v>Active</v>
      </c>
      <c r="D701" s="265" t="str">
        <f>IFERROR(__xludf.DUMMYFUNCTION("""COMPUTED_VALUE"""),"Viễn thông")</f>
        <v>Viễn thông</v>
      </c>
      <c r="E701" s="265" t="str">
        <f>IFERROR(__xludf.DUMMYFUNCTION("""COMPUTED_VALUE"""),"TúPHN")</f>
        <v>TúPHN</v>
      </c>
      <c r="F701" s="265" t="str">
        <f>IFERROR(__xludf.DUMMYFUNCTION("""COMPUTED_VALUE"""),"Diamond")</f>
        <v>Diamond</v>
      </c>
      <c r="G701" s="265" t="str">
        <f>IFERROR(__xludf.DUMMYFUNCTION("""COMPUTED_VALUE"""),"Starter")</f>
        <v>Starter</v>
      </c>
      <c r="H701" s="265" t="str">
        <f>IFERROR(__xludf.DUMMYFUNCTION("""COMPUTED_VALUE"""),"Trả sau")</f>
        <v>Trả sau</v>
      </c>
      <c r="I701" s="265" t="str">
        <f>IFERROR(__xludf.DUMMYFUNCTION("""COMPUTED_VALUE"""),"API &amp; Portal")</f>
        <v>API &amp; Portal</v>
      </c>
      <c r="J701" s="265" t="str">
        <f>IFERROR(__xludf.DUMMYFUNCTION("""COMPUTED_VALUE"""),"File Excel")</f>
        <v>File Excel</v>
      </c>
      <c r="K701" s="265" t="str">
        <f>IFERROR(__xludf.DUMMYFUNCTION("""COMPUTED_VALUE"""),"DungPL")</f>
        <v>DungPL</v>
      </c>
    </row>
    <row r="702">
      <c r="A702" s="265" t="str">
        <f>IFERROR(__xludf.DUMMYFUNCTION("""COMPUTED_VALUE"""),"938")</f>
        <v>938</v>
      </c>
      <c r="B702" s="265" t="str">
        <f>IFERROR(__xludf.DUMMYFUNCTION("""COMPUTED_VALUE"""),"Hà Nội")</f>
        <v>Hà Nội</v>
      </c>
      <c r="C702" s="265" t="str">
        <f>IFERROR(__xludf.DUMMYFUNCTION("""COMPUTED_VALUE"""),"Active")</f>
        <v>Active</v>
      </c>
      <c r="D702" s="265" t="str">
        <f>IFERROR(__xludf.DUMMYFUNCTION("""COMPUTED_VALUE"""),"Viễn thông")</f>
        <v>Viễn thông</v>
      </c>
      <c r="E702" s="265" t="str">
        <f>IFERROR(__xludf.DUMMYFUNCTION("""COMPUTED_VALUE"""),"TúPHN")</f>
        <v>TúPHN</v>
      </c>
      <c r="F702" s="265" t="str">
        <f>IFERROR(__xludf.DUMMYFUNCTION("""COMPUTED_VALUE"""),"Diamond")</f>
        <v>Diamond</v>
      </c>
      <c r="G702" s="265" t="str">
        <f>IFERROR(__xludf.DUMMYFUNCTION("""COMPUTED_VALUE"""),"Starter")</f>
        <v>Starter</v>
      </c>
      <c r="H702" s="265" t="str">
        <f>IFERROR(__xludf.DUMMYFUNCTION("""COMPUTED_VALUE"""),"Trả sau")</f>
        <v>Trả sau</v>
      </c>
      <c r="I702" s="265" t="str">
        <f>IFERROR(__xludf.DUMMYFUNCTION("""COMPUTED_VALUE"""),"API &amp; Portal")</f>
        <v>API &amp; Portal</v>
      </c>
      <c r="J702" s="265" t="str">
        <f>IFERROR(__xludf.DUMMYFUNCTION("""COMPUTED_VALUE"""),"API")</f>
        <v>API</v>
      </c>
      <c r="K702" s="265" t="str">
        <f>IFERROR(__xludf.DUMMYFUNCTION("""COMPUTED_VALUE"""),"DungPL")</f>
        <v>DungPL</v>
      </c>
    </row>
    <row r="703">
      <c r="A703" s="265" t="str">
        <f>IFERROR(__xludf.DUMMYFUNCTION("""COMPUTED_VALUE"""),"938")</f>
        <v>938</v>
      </c>
      <c r="B703" s="265" t="str">
        <f>IFERROR(__xludf.DUMMYFUNCTION("""COMPUTED_VALUE"""),"Hà Nội")</f>
        <v>Hà Nội</v>
      </c>
      <c r="C703" s="265" t="str">
        <f>IFERROR(__xludf.DUMMYFUNCTION("""COMPUTED_VALUE"""),"Active")</f>
        <v>Active</v>
      </c>
      <c r="D703" s="265" t="str">
        <f>IFERROR(__xludf.DUMMYFUNCTION("""COMPUTED_VALUE"""),"Viễn thông")</f>
        <v>Viễn thông</v>
      </c>
      <c r="E703" s="265" t="str">
        <f>IFERROR(__xludf.DUMMYFUNCTION("""COMPUTED_VALUE"""),"TúPHN")</f>
        <v>TúPHN</v>
      </c>
      <c r="F703" s="265" t="str">
        <f>IFERROR(__xludf.DUMMYFUNCTION("""COMPUTED_VALUE"""),"Diamond")</f>
        <v>Diamond</v>
      </c>
      <c r="G703" s="265" t="str">
        <f>IFERROR(__xludf.DUMMYFUNCTION("""COMPUTED_VALUE"""),"Starter")</f>
        <v>Starter</v>
      </c>
      <c r="H703" s="265" t="str">
        <f>IFERROR(__xludf.DUMMYFUNCTION("""COMPUTED_VALUE"""),"Trả sau")</f>
        <v>Trả sau</v>
      </c>
      <c r="I703" s="265" t="str">
        <f>IFERROR(__xludf.DUMMYFUNCTION("""COMPUTED_VALUE"""),"API &amp; Portal")</f>
        <v>API &amp; Portal</v>
      </c>
      <c r="J703" s="265" t="str">
        <f>IFERROR(__xludf.DUMMYFUNCTION("""COMPUTED_VALUE"""),"ZCA gửi ZNS")</f>
        <v>ZCA gửi ZNS</v>
      </c>
      <c r="K703" s="265" t="str">
        <f>IFERROR(__xludf.DUMMYFUNCTION("""COMPUTED_VALUE"""),"DungPL")</f>
        <v>DungPL</v>
      </c>
    </row>
    <row r="704">
      <c r="A704" s="265" t="str">
        <f>IFERROR(__xludf.DUMMYFUNCTION("""COMPUTED_VALUE"""),"939")</f>
        <v>939</v>
      </c>
      <c r="B704" s="265" t="str">
        <f>IFERROR(__xludf.DUMMYFUNCTION("""COMPUTED_VALUE"""),"Hà Nội")</f>
        <v>Hà Nội</v>
      </c>
      <c r="C704" s="265" t="str">
        <f>IFERROR(__xludf.DUMMYFUNCTION("""COMPUTED_VALUE"""),"Active")</f>
        <v>Active</v>
      </c>
      <c r="D704" s="265" t="str">
        <f>IFERROR(__xludf.DUMMYFUNCTION("""COMPUTED_VALUE"""),"Truyền thông &amp; Giải trí")</f>
        <v>Truyền thông &amp; Giải trí</v>
      </c>
      <c r="E704" s="265" t="str">
        <f>IFERROR(__xludf.DUMMYFUNCTION("""COMPUTED_VALUE"""),"TúPHN")</f>
        <v>TúPHN</v>
      </c>
      <c r="F704" s="265" t="str">
        <f>IFERROR(__xludf.DUMMYFUNCTION("""COMPUTED_VALUE"""),"Silver")</f>
        <v>Silver</v>
      </c>
      <c r="G704" s="265" t="str">
        <f>IFERROR(__xludf.DUMMYFUNCTION("""COMPUTED_VALUE"""),"Starter")</f>
        <v>Starter</v>
      </c>
      <c r="H704" s="265" t="str">
        <f>IFERROR(__xludf.DUMMYFUNCTION("""COMPUTED_VALUE"""),"Trả sau")</f>
        <v>Trả sau</v>
      </c>
      <c r="I704" s="265" t="str">
        <f>IFERROR(__xludf.DUMMYFUNCTION("""COMPUTED_VALUE"""),"API")</f>
        <v>API</v>
      </c>
      <c r="J704" s="265" t="str">
        <f>IFERROR(__xludf.DUMMYFUNCTION("""COMPUTED_VALUE"""),"API")</f>
        <v>API</v>
      </c>
      <c r="K704" s="265" t="str">
        <f>IFERROR(__xludf.DUMMYFUNCTION("""COMPUTED_VALUE"""),"Không phân công")</f>
        <v>Không phân công</v>
      </c>
    </row>
    <row r="705">
      <c r="A705" s="265" t="str">
        <f>IFERROR(__xludf.DUMMYFUNCTION("""COMPUTED_VALUE"""),"940")</f>
        <v>940</v>
      </c>
      <c r="B705" s="265" t="str">
        <f>IFERROR(__xludf.DUMMYFUNCTION("""COMPUTED_VALUE"""),"Hà Nội")</f>
        <v>Hà Nội</v>
      </c>
      <c r="C705" s="265" t="str">
        <f>IFERROR(__xludf.DUMMYFUNCTION("""COMPUTED_VALUE"""),"Active")</f>
        <v>Active</v>
      </c>
      <c r="D705" s="265" t="str">
        <f>IFERROR(__xludf.DUMMYFUNCTION("""COMPUTED_VALUE"""),"Y tế &amp; Dược phẩm")</f>
        <v>Y tế &amp; Dược phẩm</v>
      </c>
      <c r="E705" s="265" t="str">
        <f>IFERROR(__xludf.DUMMYFUNCTION("""COMPUTED_VALUE"""),"Không phân công")</f>
        <v>Không phân công</v>
      </c>
      <c r="F705" s="265" t="str">
        <f>IFERROR(__xludf.DUMMYFUNCTION("""COMPUTED_VALUE"""),"Silver")</f>
        <v>Silver</v>
      </c>
      <c r="G705" s="265" t="str">
        <f>IFERROR(__xludf.DUMMYFUNCTION("""COMPUTED_VALUE"""),"Starter")</f>
        <v>Starter</v>
      </c>
      <c r="H705" s="265" t="str">
        <f>IFERROR(__xludf.DUMMYFUNCTION("""COMPUTED_VALUE"""),"Trả sau")</f>
        <v>Trả sau</v>
      </c>
      <c r="I705" s="265" t="str">
        <f>IFERROR(__xludf.DUMMYFUNCTION("""COMPUTED_VALUE"""),"Portal")</f>
        <v>Portal</v>
      </c>
      <c r="J705" s="265" t="str">
        <f>IFERROR(__xludf.DUMMYFUNCTION("""COMPUTED_VALUE"""),"File Excel")</f>
        <v>File Excel</v>
      </c>
      <c r="K705" s="265" t="str">
        <f>IFERROR(__xludf.DUMMYFUNCTION("""COMPUTED_VALUE"""),"DungPL")</f>
        <v>DungPL</v>
      </c>
    </row>
    <row r="706">
      <c r="A706" s="265" t="str">
        <f>IFERROR(__xludf.DUMMYFUNCTION("""COMPUTED_VALUE"""),"941")</f>
        <v>941</v>
      </c>
      <c r="B706" s="265" t="str">
        <f>IFERROR(__xludf.DUMMYFUNCTION("""COMPUTED_VALUE"""),"Hà Nội")</f>
        <v>Hà Nội</v>
      </c>
      <c r="C706" s="265" t="str">
        <f>IFERROR(__xludf.DUMMYFUNCTION("""COMPUTED_VALUE"""),"Active")</f>
        <v>Active</v>
      </c>
      <c r="D706" s="265" t="str">
        <f>IFERROR(__xludf.DUMMYFUNCTION("""COMPUTED_VALUE"""),"Giáo dục &amp; Đào tạo")</f>
        <v>Giáo dục &amp; Đào tạo</v>
      </c>
      <c r="E706" s="265" t="str">
        <f>IFERROR(__xludf.DUMMYFUNCTION("""COMPUTED_VALUE"""),"AnhNM")</f>
        <v>AnhNM</v>
      </c>
      <c r="F706" s="265" t="str">
        <f>IFERROR(__xludf.DUMMYFUNCTION("""COMPUTED_VALUE"""),"Bronze")</f>
        <v>Bronze</v>
      </c>
      <c r="G706" s="265" t="str">
        <f>IFERROR(__xludf.DUMMYFUNCTION("""COMPUTED_VALUE"""),"Starter")</f>
        <v>Starter</v>
      </c>
      <c r="H706" s="265" t="str">
        <f>IFERROR(__xludf.DUMMYFUNCTION("""COMPUTED_VALUE"""),"Trả sau")</f>
        <v>Trả sau</v>
      </c>
      <c r="I706" s="265" t="str">
        <f>IFERROR(__xludf.DUMMYFUNCTION("""COMPUTED_VALUE"""),"API")</f>
        <v>API</v>
      </c>
      <c r="J706" s="265" t="str">
        <f>IFERROR(__xludf.DUMMYFUNCTION("""COMPUTED_VALUE"""),"File Excel")</f>
        <v>File Excel</v>
      </c>
      <c r="K706" s="265" t="str">
        <f>IFERROR(__xludf.DUMMYFUNCTION("""COMPUTED_VALUE"""),"DungVT
DungPL")</f>
        <v>DungVT
DungPL</v>
      </c>
    </row>
    <row r="707">
      <c r="A707" s="265" t="str">
        <f>IFERROR(__xludf.DUMMYFUNCTION("""COMPUTED_VALUE"""),"941")</f>
        <v>941</v>
      </c>
      <c r="B707" s="265" t="str">
        <f>IFERROR(__xludf.DUMMYFUNCTION("""COMPUTED_VALUE"""),"Hà Nội")</f>
        <v>Hà Nội</v>
      </c>
      <c r="C707" s="265" t="str">
        <f>IFERROR(__xludf.DUMMYFUNCTION("""COMPUTED_VALUE"""),"Active")</f>
        <v>Active</v>
      </c>
      <c r="D707" s="265" t="str">
        <f>IFERROR(__xludf.DUMMYFUNCTION("""COMPUTED_VALUE"""),"Giáo dục &amp; Đào tạo")</f>
        <v>Giáo dục &amp; Đào tạo</v>
      </c>
      <c r="E707" s="265" t="str">
        <f>IFERROR(__xludf.DUMMYFUNCTION("""COMPUTED_VALUE"""),"AnhNM")</f>
        <v>AnhNM</v>
      </c>
      <c r="F707" s="265" t="str">
        <f>IFERROR(__xludf.DUMMYFUNCTION("""COMPUTED_VALUE"""),"Bronze")</f>
        <v>Bronze</v>
      </c>
      <c r="G707" s="265" t="str">
        <f>IFERROR(__xludf.DUMMYFUNCTION("""COMPUTED_VALUE"""),"Starter")</f>
        <v>Starter</v>
      </c>
      <c r="H707" s="265" t="str">
        <f>IFERROR(__xludf.DUMMYFUNCTION("""COMPUTED_VALUE"""),"Trả sau")</f>
        <v>Trả sau</v>
      </c>
      <c r="I707" s="265" t="str">
        <f>IFERROR(__xludf.DUMMYFUNCTION("""COMPUTED_VALUE"""),"API")</f>
        <v>API</v>
      </c>
      <c r="J707" s="265" t="str">
        <f>IFERROR(__xludf.DUMMYFUNCTION("""COMPUTED_VALUE"""),"API")</f>
        <v>API</v>
      </c>
      <c r="K707" s="265" t="str">
        <f>IFERROR(__xludf.DUMMYFUNCTION("""COMPUTED_VALUE"""),"DungVT
DungPL")</f>
        <v>DungVT
DungPL</v>
      </c>
    </row>
    <row r="708">
      <c r="A708" s="265" t="str">
        <f>IFERROR(__xludf.DUMMYFUNCTION("""COMPUTED_VALUE"""),"942")</f>
        <v>942</v>
      </c>
      <c r="B708" s="265" t="str">
        <f>IFERROR(__xludf.DUMMYFUNCTION("""COMPUTED_VALUE"""),"Sài Gòn")</f>
        <v>Sài Gòn</v>
      </c>
      <c r="C708" s="265" t="str">
        <f>IFERROR(__xludf.DUMMYFUNCTION("""COMPUTED_VALUE"""),"Active")</f>
        <v>Active</v>
      </c>
      <c r="D708" s="265" t="str">
        <f>IFERROR(__xludf.DUMMYFUNCTION("""COMPUTED_VALUE"""),"Viễn thông")</f>
        <v>Viễn thông</v>
      </c>
      <c r="E708" s="265" t="str">
        <f>IFERROR(__xludf.DUMMYFUNCTION("""COMPUTED_VALUE"""),"AnhNM")</f>
        <v>AnhNM</v>
      </c>
      <c r="F708" s="265" t="str">
        <f>IFERROR(__xludf.DUMMYFUNCTION("""COMPUTED_VALUE"""),"Gold")</f>
        <v>Gold</v>
      </c>
      <c r="G708" s="265" t="str">
        <f>IFERROR(__xludf.DUMMYFUNCTION("""COMPUTED_VALUE"""),"Premium")</f>
        <v>Premium</v>
      </c>
      <c r="H708" s="265" t="str">
        <f>IFERROR(__xludf.DUMMYFUNCTION("""COMPUTED_VALUE"""),"Trả sau")</f>
        <v>Trả sau</v>
      </c>
      <c r="I708" s="265" t="str">
        <f>IFERROR(__xludf.DUMMYFUNCTION("""COMPUTED_VALUE"""),"API &amp; Portal")</f>
        <v>API &amp; Portal</v>
      </c>
      <c r="J708" s="265" t="str">
        <f>IFERROR(__xludf.DUMMYFUNCTION("""COMPUTED_VALUE"""),"File Excel")</f>
        <v>File Excel</v>
      </c>
      <c r="K708" s="265" t="str">
        <f>IFERROR(__xludf.DUMMYFUNCTION("""COMPUTED_VALUE"""),"DungPL")</f>
        <v>DungPL</v>
      </c>
    </row>
    <row r="709">
      <c r="A709" s="265" t="str">
        <f>IFERROR(__xludf.DUMMYFUNCTION("""COMPUTED_VALUE"""),"942")</f>
        <v>942</v>
      </c>
      <c r="B709" s="265" t="str">
        <f>IFERROR(__xludf.DUMMYFUNCTION("""COMPUTED_VALUE"""),"Sài Gòn")</f>
        <v>Sài Gòn</v>
      </c>
      <c r="C709" s="265" t="str">
        <f>IFERROR(__xludf.DUMMYFUNCTION("""COMPUTED_VALUE"""),"Active")</f>
        <v>Active</v>
      </c>
      <c r="D709" s="265" t="str">
        <f>IFERROR(__xludf.DUMMYFUNCTION("""COMPUTED_VALUE"""),"Viễn thông")</f>
        <v>Viễn thông</v>
      </c>
      <c r="E709" s="265" t="str">
        <f>IFERROR(__xludf.DUMMYFUNCTION("""COMPUTED_VALUE"""),"AnhNM")</f>
        <v>AnhNM</v>
      </c>
      <c r="F709" s="265" t="str">
        <f>IFERROR(__xludf.DUMMYFUNCTION("""COMPUTED_VALUE"""),"Gold")</f>
        <v>Gold</v>
      </c>
      <c r="G709" s="265" t="str">
        <f>IFERROR(__xludf.DUMMYFUNCTION("""COMPUTED_VALUE"""),"Premium")</f>
        <v>Premium</v>
      </c>
      <c r="H709" s="265" t="str">
        <f>IFERROR(__xludf.DUMMYFUNCTION("""COMPUTED_VALUE"""),"Trả sau")</f>
        <v>Trả sau</v>
      </c>
      <c r="I709" s="265" t="str">
        <f>IFERROR(__xludf.DUMMYFUNCTION("""COMPUTED_VALUE"""),"API &amp; Portal")</f>
        <v>API &amp; Portal</v>
      </c>
      <c r="J709" s="265" t="str">
        <f>IFERROR(__xludf.DUMMYFUNCTION("""COMPUTED_VALUE"""),"API")</f>
        <v>API</v>
      </c>
      <c r="K709" s="265" t="str">
        <f>IFERROR(__xludf.DUMMYFUNCTION("""COMPUTED_VALUE"""),"DungPL")</f>
        <v>DungPL</v>
      </c>
    </row>
    <row r="710">
      <c r="A710" s="265" t="str">
        <f>IFERROR(__xludf.DUMMYFUNCTION("""COMPUTED_VALUE"""),"943")</f>
        <v>943</v>
      </c>
      <c r="B710" s="265" t="str">
        <f>IFERROR(__xludf.DUMMYFUNCTION("""COMPUTED_VALUE"""),"Hà Nội")</f>
        <v>Hà Nội</v>
      </c>
      <c r="C710" s="265" t="str">
        <f>IFERROR(__xludf.DUMMYFUNCTION("""COMPUTED_VALUE"""),"Active")</f>
        <v>Active</v>
      </c>
      <c r="D710" s="265" t="str">
        <f>IFERROR(__xludf.DUMMYFUNCTION("""COMPUTED_VALUE"""),"Bất động sản")</f>
        <v>Bất động sản</v>
      </c>
      <c r="E710" s="265" t="str">
        <f>IFERROR(__xludf.DUMMYFUNCTION("""COMPUTED_VALUE"""),"TùngLD")</f>
        <v>TùngLD</v>
      </c>
      <c r="F710" s="265" t="str">
        <f>IFERROR(__xludf.DUMMYFUNCTION("""COMPUTED_VALUE"""),"Silver")</f>
        <v>Silver</v>
      </c>
      <c r="G710" s="265" t="str">
        <f>IFERROR(__xludf.DUMMYFUNCTION("""COMPUTED_VALUE"""),"Starter")</f>
        <v>Starter</v>
      </c>
      <c r="H710" s="265" t="str">
        <f>IFERROR(__xludf.DUMMYFUNCTION("""COMPUTED_VALUE"""),"Trả sau")</f>
        <v>Trả sau</v>
      </c>
      <c r="I710" s="265" t="str">
        <f>IFERROR(__xludf.DUMMYFUNCTION("""COMPUTED_VALUE"""),"API")</f>
        <v>API</v>
      </c>
      <c r="J710" s="265" t="str">
        <f>IFERROR(__xludf.DUMMYFUNCTION("""COMPUTED_VALUE"""),"API")</f>
        <v>API</v>
      </c>
      <c r="K710" s="265" t="str">
        <f>IFERROR(__xludf.DUMMYFUNCTION("""COMPUTED_VALUE"""),"DungVT")</f>
        <v>DungVT</v>
      </c>
    </row>
    <row r="711">
      <c r="A711" s="265" t="str">
        <f>IFERROR(__xludf.DUMMYFUNCTION("""COMPUTED_VALUE"""),"943")</f>
        <v>943</v>
      </c>
      <c r="B711" s="265" t="str">
        <f>IFERROR(__xludf.DUMMYFUNCTION("""COMPUTED_VALUE"""),"Hà Nội")</f>
        <v>Hà Nội</v>
      </c>
      <c r="C711" s="265" t="str">
        <f>IFERROR(__xludf.DUMMYFUNCTION("""COMPUTED_VALUE"""),"Active")</f>
        <v>Active</v>
      </c>
      <c r="D711" s="265" t="str">
        <f>IFERROR(__xludf.DUMMYFUNCTION("""COMPUTED_VALUE"""),"Bất động sản")</f>
        <v>Bất động sản</v>
      </c>
      <c r="E711" s="265" t="str">
        <f>IFERROR(__xludf.DUMMYFUNCTION("""COMPUTED_VALUE"""),"TùngLD")</f>
        <v>TùngLD</v>
      </c>
      <c r="F711" s="265" t="str">
        <f>IFERROR(__xludf.DUMMYFUNCTION("""COMPUTED_VALUE"""),"Silver")</f>
        <v>Silver</v>
      </c>
      <c r="G711" s="265" t="str">
        <f>IFERROR(__xludf.DUMMYFUNCTION("""COMPUTED_VALUE"""),"Starter")</f>
        <v>Starter</v>
      </c>
      <c r="H711" s="265" t="str">
        <f>IFERROR(__xludf.DUMMYFUNCTION("""COMPUTED_VALUE"""),"Trả sau")</f>
        <v>Trả sau</v>
      </c>
      <c r="I711" s="265" t="str">
        <f>IFERROR(__xludf.DUMMYFUNCTION("""COMPUTED_VALUE"""),"API")</f>
        <v>API</v>
      </c>
      <c r="J711" s="265" t="str">
        <f>IFERROR(__xludf.DUMMYFUNCTION("""COMPUTED_VALUE"""),"Bizfly CRM")</f>
        <v>Bizfly CRM</v>
      </c>
      <c r="K711" s="265" t="str">
        <f>IFERROR(__xludf.DUMMYFUNCTION("""COMPUTED_VALUE"""),"DungVT")</f>
        <v>DungVT</v>
      </c>
    </row>
    <row r="712">
      <c r="A712" s="265" t="str">
        <f>IFERROR(__xludf.DUMMYFUNCTION("""COMPUTED_VALUE"""),"944")</f>
        <v>944</v>
      </c>
      <c r="B712" s="265" t="str">
        <f>IFERROR(__xludf.DUMMYFUNCTION("""COMPUTED_VALUE"""),"Sài Gòn")</f>
        <v>Sài Gòn</v>
      </c>
      <c r="C712" s="265" t="str">
        <f>IFERROR(__xludf.DUMMYFUNCTION("""COMPUTED_VALUE"""),"Active")</f>
        <v>Active</v>
      </c>
      <c r="D712" s="265" t="str">
        <f>IFERROR(__xludf.DUMMYFUNCTION("""COMPUTED_VALUE"""),"Hành chính công")</f>
        <v>Hành chính công</v>
      </c>
      <c r="E712" s="265" t="str">
        <f>IFERROR(__xludf.DUMMYFUNCTION("""COMPUTED_VALUE"""),"TúPHN")</f>
        <v>TúPHN</v>
      </c>
      <c r="F712" s="265" t="str">
        <f>IFERROR(__xludf.DUMMYFUNCTION("""COMPUTED_VALUE"""),"Bronze")</f>
        <v>Bronze</v>
      </c>
      <c r="G712" s="265" t="str">
        <f>IFERROR(__xludf.DUMMYFUNCTION("""COMPUTED_VALUE"""),"Standard")</f>
        <v>Standard</v>
      </c>
      <c r="H712" s="265" t="str">
        <f>IFERROR(__xludf.DUMMYFUNCTION("""COMPUTED_VALUE"""),"Trả trước")</f>
        <v>Trả trước</v>
      </c>
      <c r="I712" s="265" t="str">
        <f>IFERROR(__xludf.DUMMYFUNCTION("""COMPUTED_VALUE"""),"API &amp; Portal")</f>
        <v>API &amp; Portal</v>
      </c>
      <c r="J712" s="265" t="str">
        <f>IFERROR(__xludf.DUMMYFUNCTION("""COMPUTED_VALUE"""),"File Excel")</f>
        <v>File Excel</v>
      </c>
      <c r="K712" s="265" t="str">
        <f>IFERROR(__xludf.DUMMYFUNCTION("""COMPUTED_VALUE"""),"YếnĐH")</f>
        <v>YếnĐH</v>
      </c>
    </row>
    <row r="713">
      <c r="A713" s="265" t="str">
        <f>IFERROR(__xludf.DUMMYFUNCTION("""COMPUTED_VALUE"""),"945")</f>
        <v>945</v>
      </c>
      <c r="B713" s="265" t="str">
        <f>IFERROR(__xludf.DUMMYFUNCTION("""COMPUTED_VALUE"""),"Sài Gòn")</f>
        <v>Sài Gòn</v>
      </c>
      <c r="C713" s="265" t="str">
        <f>IFERROR(__xludf.DUMMYFUNCTION("""COMPUTED_VALUE"""),"Locked")</f>
        <v>Locked</v>
      </c>
      <c r="D713" s="265" t="str">
        <f>IFERROR(__xludf.DUMMYFUNCTION("""COMPUTED_VALUE"""),"Sản xuất &amp; Chế tạo")</f>
        <v>Sản xuất &amp; Chế tạo</v>
      </c>
      <c r="E713" s="265" t="str">
        <f>IFERROR(__xludf.DUMMYFUNCTION("""COMPUTED_VALUE"""),"HoaNTM")</f>
        <v>HoaNTM</v>
      </c>
      <c r="F713" s="265" t="str">
        <f>IFERROR(__xludf.DUMMYFUNCTION("""COMPUTED_VALUE"""),"Gold")</f>
        <v>Gold</v>
      </c>
      <c r="G713" s="265" t="str">
        <f>IFERROR(__xludf.DUMMYFUNCTION("""COMPUTED_VALUE"""),"Starter")</f>
        <v>Starter</v>
      </c>
      <c r="H713" s="265" t="str">
        <f>IFERROR(__xludf.DUMMYFUNCTION("""COMPUTED_VALUE"""),"Trả sau")</f>
        <v>Trả sau</v>
      </c>
      <c r="I713" s="265" t="str">
        <f>IFERROR(__xludf.DUMMYFUNCTION("""COMPUTED_VALUE"""),"API &amp; Portal")</f>
        <v>API &amp; Portal</v>
      </c>
      <c r="J713" s="265" t="str">
        <f>IFERROR(__xludf.DUMMYFUNCTION("""COMPUTED_VALUE"""),"API")</f>
        <v>API</v>
      </c>
      <c r="K713" s="265" t="str">
        <f>IFERROR(__xludf.DUMMYFUNCTION("""COMPUTED_VALUE"""),"Không phân công")</f>
        <v>Không phân công</v>
      </c>
    </row>
    <row r="714">
      <c r="A714" s="265" t="str">
        <f>IFERROR(__xludf.DUMMYFUNCTION("""COMPUTED_VALUE"""),"947")</f>
        <v>947</v>
      </c>
      <c r="B714" s="265" t="str">
        <f>IFERROR(__xludf.DUMMYFUNCTION("""COMPUTED_VALUE"""),"Sài Gòn")</f>
        <v>Sài Gòn</v>
      </c>
      <c r="C714" s="265" t="str">
        <f>IFERROR(__xludf.DUMMYFUNCTION("""COMPUTED_VALUE"""),"Locked")</f>
        <v>Locked</v>
      </c>
      <c r="D714" s="265" t="str">
        <f>IFERROR(__xludf.DUMMYFUNCTION("""COMPUTED_VALUE"""),"Thiết kế &amp; Thi công")</f>
        <v>Thiết kế &amp; Thi công</v>
      </c>
      <c r="E714" s="265" t="str">
        <f>IFERROR(__xludf.DUMMYFUNCTION("""COMPUTED_VALUE"""),"TùngLD")</f>
        <v>TùngLD</v>
      </c>
      <c r="F714" s="265" t="str">
        <f>IFERROR(__xludf.DUMMYFUNCTION("""COMPUTED_VALUE"""),"Diamond")</f>
        <v>Diamond</v>
      </c>
      <c r="G714" s="265" t="str">
        <f>IFERROR(__xludf.DUMMYFUNCTION("""COMPUTED_VALUE"""),"Standard")</f>
        <v>Standard</v>
      </c>
      <c r="H714" s="265" t="str">
        <f>IFERROR(__xludf.DUMMYFUNCTION("""COMPUTED_VALUE"""),"Trial")</f>
        <v>Trial</v>
      </c>
      <c r="I714" s="265" t="str">
        <f>IFERROR(__xludf.DUMMYFUNCTION("""COMPUTED_VALUE"""),"API &amp; Portal")</f>
        <v>API &amp; Portal</v>
      </c>
      <c r="J714" s="265" t="str">
        <f>IFERROR(__xludf.DUMMYFUNCTION("""COMPUTED_VALUE"""),"API")</f>
        <v>API</v>
      </c>
      <c r="K714" s="265" t="str">
        <f>IFERROR(__xludf.DUMMYFUNCTION("""COMPUTED_VALUE"""),"LinhNTT1")</f>
        <v>LinhNTT1</v>
      </c>
    </row>
    <row r="715">
      <c r="A715" s="265" t="str">
        <f>IFERROR(__xludf.DUMMYFUNCTION("""COMPUTED_VALUE"""),"948")</f>
        <v>948</v>
      </c>
      <c r="B715" s="265" t="str">
        <f>IFERROR(__xludf.DUMMYFUNCTION("""COMPUTED_VALUE"""),"Sài Gòn")</f>
        <v>Sài Gòn</v>
      </c>
      <c r="C715" s="265" t="str">
        <f>IFERROR(__xludf.DUMMYFUNCTION("""COMPUTED_VALUE"""),"Locked")</f>
        <v>Locked</v>
      </c>
      <c r="D715" s="265" t="str">
        <f>IFERROR(__xludf.DUMMYFUNCTION("""COMPUTED_VALUE"""),"Sale chưa cung cấp")</f>
        <v>Sale chưa cung cấp</v>
      </c>
      <c r="E715" s="265" t="str">
        <f>IFERROR(__xludf.DUMMYFUNCTION("""COMPUTED_VALUE"""),"Không phân công")</f>
        <v>Không phân công</v>
      </c>
      <c r="F715" s="265" t="str">
        <f>IFERROR(__xludf.DUMMYFUNCTION("""COMPUTED_VALUE"""),"Sale chưa cung cấp")</f>
        <v>Sale chưa cung cấp</v>
      </c>
      <c r="G715" s="265" t="str">
        <f>IFERROR(__xludf.DUMMYFUNCTION("""COMPUTED_VALUE"""),"Standard")</f>
        <v>Standard</v>
      </c>
      <c r="H715" s="265" t="str">
        <f>IFERROR(__xludf.DUMMYFUNCTION("""COMPUTED_VALUE"""),"Trial")</f>
        <v>Trial</v>
      </c>
      <c r="I715" s="265" t="str">
        <f>IFERROR(__xludf.DUMMYFUNCTION("""COMPUTED_VALUE"""),"Portal")</f>
        <v>Portal</v>
      </c>
      <c r="J715" s="265" t="str">
        <f>IFERROR(__xludf.DUMMYFUNCTION("""COMPUTED_VALUE"""),"File Excel")</f>
        <v>File Excel</v>
      </c>
      <c r="K715" s="265" t="str">
        <f>IFERROR(__xludf.DUMMYFUNCTION("""COMPUTED_VALUE"""),"LinhNTT1")</f>
        <v>LinhNTT1</v>
      </c>
    </row>
    <row r="716">
      <c r="A716" s="265" t="str">
        <f>IFERROR(__xludf.DUMMYFUNCTION("""COMPUTED_VALUE"""),"949")</f>
        <v>949</v>
      </c>
      <c r="B716" s="265" t="str">
        <f>IFERROR(__xludf.DUMMYFUNCTION("""COMPUTED_VALUE"""),"Hà Nội")</f>
        <v>Hà Nội</v>
      </c>
      <c r="C716" s="265" t="str">
        <f>IFERROR(__xludf.DUMMYFUNCTION("""COMPUTED_VALUE"""),"Locked")</f>
        <v>Locked</v>
      </c>
      <c r="D716" s="265" t="str">
        <f>IFERROR(__xludf.DUMMYFUNCTION("""COMPUTED_VALUE"""),"Mua sắm &amp; Bán lẻ")</f>
        <v>Mua sắm &amp; Bán lẻ</v>
      </c>
      <c r="E716" s="265" t="str">
        <f>IFERROR(__xludf.DUMMYFUNCTION("""COMPUTED_VALUE"""),"AnhNM")</f>
        <v>AnhNM</v>
      </c>
      <c r="F716" s="265" t="str">
        <f>IFERROR(__xludf.DUMMYFUNCTION("""COMPUTED_VALUE"""),"Bronze")</f>
        <v>Bronze</v>
      </c>
      <c r="G716" s="265" t="str">
        <f>IFERROR(__xludf.DUMMYFUNCTION("""COMPUTED_VALUE"""),"Premium")</f>
        <v>Premium</v>
      </c>
      <c r="H716" s="265" t="str">
        <f>IFERROR(__xludf.DUMMYFUNCTION("""COMPUTED_VALUE"""),"Trial")</f>
        <v>Trial</v>
      </c>
      <c r="I716" s="265" t="str">
        <f>IFERROR(__xludf.DUMMYFUNCTION("""COMPUTED_VALUE"""),"API &amp; Portal")</f>
        <v>API &amp; Portal</v>
      </c>
      <c r="J716" s="265" t="str">
        <f>IFERROR(__xludf.DUMMYFUNCTION("""COMPUTED_VALUE"""),"File Excel")</f>
        <v>File Excel</v>
      </c>
      <c r="K716" s="265" t="str">
        <f>IFERROR(__xludf.DUMMYFUNCTION("""COMPUTED_VALUE"""),"Không phân công")</f>
        <v>Không phân công</v>
      </c>
    </row>
    <row r="717">
      <c r="A717" s="265" t="str">
        <f>IFERROR(__xludf.DUMMYFUNCTION("""COMPUTED_VALUE"""),"949")</f>
        <v>949</v>
      </c>
      <c r="B717" s="265" t="str">
        <f>IFERROR(__xludf.DUMMYFUNCTION("""COMPUTED_VALUE"""),"Hà Nội")</f>
        <v>Hà Nội</v>
      </c>
      <c r="C717" s="265" t="str">
        <f>IFERROR(__xludf.DUMMYFUNCTION("""COMPUTED_VALUE"""),"Locked")</f>
        <v>Locked</v>
      </c>
      <c r="D717" s="265" t="str">
        <f>IFERROR(__xludf.DUMMYFUNCTION("""COMPUTED_VALUE"""),"Mua sắm &amp; Bán lẻ")</f>
        <v>Mua sắm &amp; Bán lẻ</v>
      </c>
      <c r="E717" s="265" t="str">
        <f>IFERROR(__xludf.DUMMYFUNCTION("""COMPUTED_VALUE"""),"AnhNM")</f>
        <v>AnhNM</v>
      </c>
      <c r="F717" s="265" t="str">
        <f>IFERROR(__xludf.DUMMYFUNCTION("""COMPUTED_VALUE"""),"Bronze")</f>
        <v>Bronze</v>
      </c>
      <c r="G717" s="265" t="str">
        <f>IFERROR(__xludf.DUMMYFUNCTION("""COMPUTED_VALUE"""),"Premium")</f>
        <v>Premium</v>
      </c>
      <c r="H717" s="265" t="str">
        <f>IFERROR(__xludf.DUMMYFUNCTION("""COMPUTED_VALUE"""),"Trial")</f>
        <v>Trial</v>
      </c>
      <c r="I717" s="265" t="str">
        <f>IFERROR(__xludf.DUMMYFUNCTION("""COMPUTED_VALUE"""),"API &amp; Portal")</f>
        <v>API &amp; Portal</v>
      </c>
      <c r="J717" s="265" t="str">
        <f>IFERROR(__xludf.DUMMYFUNCTION("""COMPUTED_VALUE"""),"API")</f>
        <v>API</v>
      </c>
      <c r="K717" s="265" t="str">
        <f>IFERROR(__xludf.DUMMYFUNCTION("""COMPUTED_VALUE"""),"Không phân công")</f>
        <v>Không phân công</v>
      </c>
    </row>
    <row r="718">
      <c r="A718" s="265" t="str">
        <f>IFERROR(__xludf.DUMMYFUNCTION("""COMPUTED_VALUE"""),"950")</f>
        <v>950</v>
      </c>
      <c r="B718" s="265" t="str">
        <f>IFERROR(__xludf.DUMMYFUNCTION("""COMPUTED_VALUE"""),"Sài Gòn")</f>
        <v>Sài Gòn</v>
      </c>
      <c r="C718" s="265" t="str">
        <f>IFERROR(__xludf.DUMMYFUNCTION("""COMPUTED_VALUE"""),"Active")</f>
        <v>Active</v>
      </c>
      <c r="D718" s="265" t="str">
        <f>IFERROR(__xludf.DUMMYFUNCTION("""COMPUTED_VALUE"""),"Thực phẩm &amp; Đồ uống")</f>
        <v>Thực phẩm &amp; Đồ uống</v>
      </c>
      <c r="E718" s="265" t="str">
        <f>IFERROR(__xludf.DUMMYFUNCTION("""COMPUTED_VALUE"""),"Không phân công")</f>
        <v>Không phân công</v>
      </c>
      <c r="F718" s="265" t="str">
        <f>IFERROR(__xludf.DUMMYFUNCTION("""COMPUTED_VALUE"""),"Gold")</f>
        <v>Gold</v>
      </c>
      <c r="G718" s="265" t="str">
        <f>IFERROR(__xludf.DUMMYFUNCTION("""COMPUTED_VALUE"""),"Starter")</f>
        <v>Starter</v>
      </c>
      <c r="H718" s="265" t="str">
        <f>IFERROR(__xludf.DUMMYFUNCTION("""COMPUTED_VALUE"""),"Trả sau")</f>
        <v>Trả sau</v>
      </c>
      <c r="I718" s="265" t="str">
        <f>IFERROR(__xludf.DUMMYFUNCTION("""COMPUTED_VALUE"""),"API")</f>
        <v>API</v>
      </c>
      <c r="J718" s="265" t="str">
        <f>IFERROR(__xludf.DUMMYFUNCTION("""COMPUTED_VALUE"""),"API")</f>
        <v>API</v>
      </c>
      <c r="K718" s="265" t="str">
        <f>IFERROR(__xludf.DUMMYFUNCTION("""COMPUTED_VALUE"""),"LinhNTT1")</f>
        <v>LinhNTT1</v>
      </c>
    </row>
    <row r="719">
      <c r="A719" s="265" t="str">
        <f>IFERROR(__xludf.DUMMYFUNCTION("""COMPUTED_VALUE"""),"951")</f>
        <v>951</v>
      </c>
      <c r="B719" s="265" t="str">
        <f>IFERROR(__xludf.DUMMYFUNCTION("""COMPUTED_VALUE"""),"Hà Nội")</f>
        <v>Hà Nội</v>
      </c>
      <c r="C719" s="265" t="str">
        <f>IFERROR(__xludf.DUMMYFUNCTION("""COMPUTED_VALUE"""),"Active")</f>
        <v>Active</v>
      </c>
      <c r="D719" s="265" t="str">
        <f>IFERROR(__xludf.DUMMYFUNCTION("""COMPUTED_VALUE"""),"Vận tải &amp; logistics")</f>
        <v>Vận tải &amp; logistics</v>
      </c>
      <c r="E719" s="265" t="str">
        <f>IFERROR(__xludf.DUMMYFUNCTION("""COMPUTED_VALUE"""),"TúPHN")</f>
        <v>TúPHN</v>
      </c>
      <c r="F719" s="265" t="str">
        <f>IFERROR(__xludf.DUMMYFUNCTION("""COMPUTED_VALUE"""),"Silver")</f>
        <v>Silver</v>
      </c>
      <c r="G719" s="265" t="str">
        <f>IFERROR(__xludf.DUMMYFUNCTION("""COMPUTED_VALUE"""),"Starter")</f>
        <v>Starter</v>
      </c>
      <c r="H719" s="265" t="str">
        <f>IFERROR(__xludf.DUMMYFUNCTION("""COMPUTED_VALUE"""),"Trả trước")</f>
        <v>Trả trước</v>
      </c>
      <c r="I719" s="265" t="str">
        <f>IFERROR(__xludf.DUMMYFUNCTION("""COMPUTED_VALUE"""),"Portal")</f>
        <v>Portal</v>
      </c>
      <c r="J719" s="265" t="str">
        <f>IFERROR(__xludf.DUMMYFUNCTION("""COMPUTED_VALUE"""),"File Excel")</f>
        <v>File Excel</v>
      </c>
      <c r="K719" s="265" t="str">
        <f>IFERROR(__xludf.DUMMYFUNCTION("""COMPUTED_VALUE"""),"DungPL")</f>
        <v>DungPL</v>
      </c>
    </row>
    <row r="720">
      <c r="A720" s="265" t="str">
        <f>IFERROR(__xludf.DUMMYFUNCTION("""COMPUTED_VALUE"""),"952")</f>
        <v>952</v>
      </c>
      <c r="B720" s="265" t="str">
        <f>IFERROR(__xludf.DUMMYFUNCTION("""COMPUTED_VALUE"""),"Sài Gòn")</f>
        <v>Sài Gòn</v>
      </c>
      <c r="C720" s="265" t="str">
        <f>IFERROR(__xludf.DUMMYFUNCTION("""COMPUTED_VALUE"""),"Locked")</f>
        <v>Locked</v>
      </c>
      <c r="D720" s="265" t="str">
        <f>IFERROR(__xludf.DUMMYFUNCTION("""COMPUTED_VALUE"""),"Thực phẩm &amp; Đồ uống")</f>
        <v>Thực phẩm &amp; Đồ uống</v>
      </c>
      <c r="E720" s="265" t="str">
        <f>IFERROR(__xludf.DUMMYFUNCTION("""COMPUTED_VALUE"""),"TúPHN")</f>
        <v>TúPHN</v>
      </c>
      <c r="F720" s="265" t="str">
        <f>IFERROR(__xludf.DUMMYFUNCTION("""COMPUTED_VALUE"""),"Gold")</f>
        <v>Gold</v>
      </c>
      <c r="G720" s="265" t="str">
        <f>IFERROR(__xludf.DUMMYFUNCTION("""COMPUTED_VALUE"""),"Standard")</f>
        <v>Standard</v>
      </c>
      <c r="H720" s="265" t="str">
        <f>IFERROR(__xludf.DUMMYFUNCTION("""COMPUTED_VALUE"""),"Trả trước")</f>
        <v>Trả trước</v>
      </c>
      <c r="I720" s="265" t="str">
        <f>IFERROR(__xludf.DUMMYFUNCTION("""COMPUTED_VALUE"""),"Portal")</f>
        <v>Portal</v>
      </c>
      <c r="J720" s="265" t="str">
        <f>IFERROR(__xludf.DUMMYFUNCTION("""COMPUTED_VALUE"""),"File Excel")</f>
        <v>File Excel</v>
      </c>
      <c r="K720" s="265" t="str">
        <f>IFERROR(__xludf.DUMMYFUNCTION("""COMPUTED_VALUE"""),"LinhNTT1")</f>
        <v>LinhNTT1</v>
      </c>
    </row>
    <row r="721">
      <c r="A721" s="265" t="str">
        <f>IFERROR(__xludf.DUMMYFUNCTION("""COMPUTED_VALUE"""),"953")</f>
        <v>953</v>
      </c>
      <c r="B721" s="265" t="str">
        <f>IFERROR(__xludf.DUMMYFUNCTION("""COMPUTED_VALUE"""),"Sài Gòn")</f>
        <v>Sài Gòn</v>
      </c>
      <c r="C721" s="265" t="str">
        <f>IFERROR(__xludf.DUMMYFUNCTION("""COMPUTED_VALUE"""),"Locked")</f>
        <v>Locked</v>
      </c>
      <c r="D721" s="265" t="str">
        <f>IFERROR(__xludf.DUMMYFUNCTION("""COMPUTED_VALUE"""),"Thực phẩm &amp; Đồ uống")</f>
        <v>Thực phẩm &amp; Đồ uống</v>
      </c>
      <c r="E721" s="265" t="str">
        <f>IFERROR(__xludf.DUMMYFUNCTION("""COMPUTED_VALUE"""),"TúPHN")</f>
        <v>TúPHN</v>
      </c>
      <c r="F721" s="265" t="str">
        <f>IFERROR(__xludf.DUMMYFUNCTION("""COMPUTED_VALUE"""),"Diamond")</f>
        <v>Diamond</v>
      </c>
      <c r="G721" s="265" t="str">
        <f>IFERROR(__xludf.DUMMYFUNCTION("""COMPUTED_VALUE"""),"Starter")</f>
        <v>Starter</v>
      </c>
      <c r="H721" s="265" t="str">
        <f>IFERROR(__xludf.DUMMYFUNCTION("""COMPUTED_VALUE"""),"Trial")</f>
        <v>Trial</v>
      </c>
      <c r="I721" s="265" t="str">
        <f>IFERROR(__xludf.DUMMYFUNCTION("""COMPUTED_VALUE"""),"Portal")</f>
        <v>Portal</v>
      </c>
      <c r="J721" s="265" t="str">
        <f>IFERROR(__xludf.DUMMYFUNCTION("""COMPUTED_VALUE"""),"File Excel")</f>
        <v>File Excel</v>
      </c>
      <c r="K721" s="265" t="str">
        <f>IFERROR(__xludf.DUMMYFUNCTION("""COMPUTED_VALUE"""),"DungPL")</f>
        <v>DungPL</v>
      </c>
    </row>
    <row r="722">
      <c r="A722" s="265" t="str">
        <f>IFERROR(__xludf.DUMMYFUNCTION("""COMPUTED_VALUE"""),"954")</f>
        <v>954</v>
      </c>
      <c r="B722" s="265" t="str">
        <f>IFERROR(__xludf.DUMMYFUNCTION("""COMPUTED_VALUE"""),"Hà Nội")</f>
        <v>Hà Nội</v>
      </c>
      <c r="C722" s="265" t="str">
        <f>IFERROR(__xludf.DUMMYFUNCTION("""COMPUTED_VALUE"""),"Locked")</f>
        <v>Locked</v>
      </c>
      <c r="D722" s="265" t="str">
        <f>IFERROR(__xludf.DUMMYFUNCTION("""COMPUTED_VALUE"""),"Dịch vụ khác")</f>
        <v>Dịch vụ khác</v>
      </c>
      <c r="E722" s="265" t="str">
        <f>IFERROR(__xludf.DUMMYFUNCTION("""COMPUTED_VALUE"""),"TúPHN")</f>
        <v>TúPHN</v>
      </c>
      <c r="F722" s="265" t="str">
        <f>IFERROR(__xludf.DUMMYFUNCTION("""COMPUTED_VALUE"""),"Bronze")</f>
        <v>Bronze</v>
      </c>
      <c r="G722" s="265" t="str">
        <f>IFERROR(__xludf.DUMMYFUNCTION("""COMPUTED_VALUE"""),"Premium")</f>
        <v>Premium</v>
      </c>
      <c r="H722" s="265" t="str">
        <f>IFERROR(__xludf.DUMMYFUNCTION("""COMPUTED_VALUE"""),"Trial")</f>
        <v>Trial</v>
      </c>
      <c r="I722" s="265" t="str">
        <f>IFERROR(__xludf.DUMMYFUNCTION("""COMPUTED_VALUE"""),"API &amp; Portal")</f>
        <v>API &amp; Portal</v>
      </c>
      <c r="J722" s="265" t="str">
        <f>IFERROR(__xludf.DUMMYFUNCTION("""COMPUTED_VALUE"""),"File Excel")</f>
        <v>File Excel</v>
      </c>
      <c r="K722" s="265" t="str">
        <f>IFERROR(__xludf.DUMMYFUNCTION("""COMPUTED_VALUE"""),"Không phân công")</f>
        <v>Không phân công</v>
      </c>
    </row>
    <row r="723">
      <c r="A723" s="265" t="str">
        <f>IFERROR(__xludf.DUMMYFUNCTION("""COMPUTED_VALUE"""),"954")</f>
        <v>954</v>
      </c>
      <c r="B723" s="265" t="str">
        <f>IFERROR(__xludf.DUMMYFUNCTION("""COMPUTED_VALUE"""),"Hà Nội")</f>
        <v>Hà Nội</v>
      </c>
      <c r="C723" s="265" t="str">
        <f>IFERROR(__xludf.DUMMYFUNCTION("""COMPUTED_VALUE"""),"Locked")</f>
        <v>Locked</v>
      </c>
      <c r="D723" s="265" t="str">
        <f>IFERROR(__xludf.DUMMYFUNCTION("""COMPUTED_VALUE"""),"Dịch vụ khác")</f>
        <v>Dịch vụ khác</v>
      </c>
      <c r="E723" s="265" t="str">
        <f>IFERROR(__xludf.DUMMYFUNCTION("""COMPUTED_VALUE"""),"TúPHN")</f>
        <v>TúPHN</v>
      </c>
      <c r="F723" s="265" t="str">
        <f>IFERROR(__xludf.DUMMYFUNCTION("""COMPUTED_VALUE"""),"Bronze")</f>
        <v>Bronze</v>
      </c>
      <c r="G723" s="265" t="str">
        <f>IFERROR(__xludf.DUMMYFUNCTION("""COMPUTED_VALUE"""),"Premium")</f>
        <v>Premium</v>
      </c>
      <c r="H723" s="265" t="str">
        <f>IFERROR(__xludf.DUMMYFUNCTION("""COMPUTED_VALUE"""),"Trial")</f>
        <v>Trial</v>
      </c>
      <c r="I723" s="265" t="str">
        <f>IFERROR(__xludf.DUMMYFUNCTION("""COMPUTED_VALUE"""),"API &amp; Portal")</f>
        <v>API &amp; Portal</v>
      </c>
      <c r="J723" s="265" t="str">
        <f>IFERROR(__xludf.DUMMYFUNCTION("""COMPUTED_VALUE"""),"API")</f>
        <v>API</v>
      </c>
      <c r="K723" s="265" t="str">
        <f>IFERROR(__xludf.DUMMYFUNCTION("""COMPUTED_VALUE"""),"Không phân công")</f>
        <v>Không phân công</v>
      </c>
    </row>
    <row r="724">
      <c r="A724" s="265" t="str">
        <f>IFERROR(__xludf.DUMMYFUNCTION("""COMPUTED_VALUE"""),"956")</f>
        <v>956</v>
      </c>
      <c r="B724" s="265" t="str">
        <f>IFERROR(__xludf.DUMMYFUNCTION("""COMPUTED_VALUE"""),"Hà Nội")</f>
        <v>Hà Nội</v>
      </c>
      <c r="C724" s="265" t="str">
        <f>IFERROR(__xludf.DUMMYFUNCTION("""COMPUTED_VALUE"""),"Active")</f>
        <v>Active</v>
      </c>
      <c r="D724" s="265" t="str">
        <f>IFERROR(__xludf.DUMMYFUNCTION("""COMPUTED_VALUE"""),"Dịch vụ khác")</f>
        <v>Dịch vụ khác</v>
      </c>
      <c r="E724" s="265" t="str">
        <f>IFERROR(__xludf.DUMMYFUNCTION("""COMPUTED_VALUE"""),"AnhNM")</f>
        <v>AnhNM</v>
      </c>
      <c r="F724" s="265" t="str">
        <f>IFERROR(__xludf.DUMMYFUNCTION("""COMPUTED_VALUE"""),"Bronze")</f>
        <v>Bronze</v>
      </c>
      <c r="G724" s="265" t="str">
        <f>IFERROR(__xludf.DUMMYFUNCTION("""COMPUTED_VALUE"""),"Starter")</f>
        <v>Starter</v>
      </c>
      <c r="H724" s="265" t="str">
        <f>IFERROR(__xludf.DUMMYFUNCTION("""COMPUTED_VALUE"""),"Trả sau")</f>
        <v>Trả sau</v>
      </c>
      <c r="I724" s="265" t="str">
        <f>IFERROR(__xludf.DUMMYFUNCTION("""COMPUTED_VALUE"""),"API &amp; Portal")</f>
        <v>API &amp; Portal</v>
      </c>
      <c r="J724" s="265" t="str">
        <f>IFERROR(__xludf.DUMMYFUNCTION("""COMPUTED_VALUE"""),"File Excel")</f>
        <v>File Excel</v>
      </c>
      <c r="K724" s="265" t="str">
        <f>IFERROR(__xludf.DUMMYFUNCTION("""COMPUTED_VALUE"""),"DungPL")</f>
        <v>DungPL</v>
      </c>
    </row>
    <row r="725">
      <c r="A725" s="265" t="str">
        <f>IFERROR(__xludf.DUMMYFUNCTION("""COMPUTED_VALUE"""),"956")</f>
        <v>956</v>
      </c>
      <c r="B725" s="265" t="str">
        <f>IFERROR(__xludf.DUMMYFUNCTION("""COMPUTED_VALUE"""),"Hà Nội")</f>
        <v>Hà Nội</v>
      </c>
      <c r="C725" s="265" t="str">
        <f>IFERROR(__xludf.DUMMYFUNCTION("""COMPUTED_VALUE"""),"Active")</f>
        <v>Active</v>
      </c>
      <c r="D725" s="265" t="str">
        <f>IFERROR(__xludf.DUMMYFUNCTION("""COMPUTED_VALUE"""),"Dịch vụ khác")</f>
        <v>Dịch vụ khác</v>
      </c>
      <c r="E725" s="265" t="str">
        <f>IFERROR(__xludf.DUMMYFUNCTION("""COMPUTED_VALUE"""),"AnhNM")</f>
        <v>AnhNM</v>
      </c>
      <c r="F725" s="265" t="str">
        <f>IFERROR(__xludf.DUMMYFUNCTION("""COMPUTED_VALUE"""),"Bronze")</f>
        <v>Bronze</v>
      </c>
      <c r="G725" s="265" t="str">
        <f>IFERROR(__xludf.DUMMYFUNCTION("""COMPUTED_VALUE"""),"Starter")</f>
        <v>Starter</v>
      </c>
      <c r="H725" s="265" t="str">
        <f>IFERROR(__xludf.DUMMYFUNCTION("""COMPUTED_VALUE"""),"Trả sau")</f>
        <v>Trả sau</v>
      </c>
      <c r="I725" s="265" t="str">
        <f>IFERROR(__xludf.DUMMYFUNCTION("""COMPUTED_VALUE"""),"API &amp; Portal")</f>
        <v>API &amp; Portal</v>
      </c>
      <c r="J725" s="265" t="str">
        <f>IFERROR(__xludf.DUMMYFUNCTION("""COMPUTED_VALUE"""),"API")</f>
        <v>API</v>
      </c>
      <c r="K725" s="265" t="str">
        <f>IFERROR(__xludf.DUMMYFUNCTION("""COMPUTED_VALUE"""),"DungPL")</f>
        <v>DungPL</v>
      </c>
    </row>
    <row r="726">
      <c r="A726" s="265" t="str">
        <f>IFERROR(__xludf.DUMMYFUNCTION("""COMPUTED_VALUE"""),"961")</f>
        <v>961</v>
      </c>
      <c r="B726" s="265" t="str">
        <f>IFERROR(__xludf.DUMMYFUNCTION("""COMPUTED_VALUE"""),"Sài Gòn")</f>
        <v>Sài Gòn</v>
      </c>
      <c r="C726" s="265" t="str">
        <f>IFERROR(__xludf.DUMMYFUNCTION("""COMPUTED_VALUE"""),"Locked")</f>
        <v>Locked</v>
      </c>
      <c r="D726" s="265" t="str">
        <f>IFERROR(__xludf.DUMMYFUNCTION("""COMPUTED_VALUE"""),"Mua sắm &amp; Bán lẻ")</f>
        <v>Mua sắm &amp; Bán lẻ</v>
      </c>
      <c r="E726" s="265" t="str">
        <f>IFERROR(__xludf.DUMMYFUNCTION("""COMPUTED_VALUE"""),"TrâmNNB")</f>
        <v>TrâmNNB</v>
      </c>
      <c r="F726" s="265" t="str">
        <f>IFERROR(__xludf.DUMMYFUNCTION("""COMPUTED_VALUE"""),"Sale chưa cung cấp")</f>
        <v>Sale chưa cung cấp</v>
      </c>
      <c r="G726" s="265" t="str">
        <f>IFERROR(__xludf.DUMMYFUNCTION("""COMPUTED_VALUE"""),"Standard")</f>
        <v>Standard</v>
      </c>
      <c r="H726" s="265" t="str">
        <f>IFERROR(__xludf.DUMMYFUNCTION("""COMPUTED_VALUE"""),"Trả trước")</f>
        <v>Trả trước</v>
      </c>
      <c r="I726" s="265" t="str">
        <f>IFERROR(__xludf.DUMMYFUNCTION("""COMPUTED_VALUE"""),"API &amp; Portal")</f>
        <v>API &amp; Portal</v>
      </c>
      <c r="J726" s="265" t="str">
        <f>IFERROR(__xludf.DUMMYFUNCTION("""COMPUTED_VALUE"""),"File Excel")</f>
        <v>File Excel</v>
      </c>
      <c r="K726" s="265" t="str">
        <f>IFERROR(__xludf.DUMMYFUNCTION("""COMPUTED_VALUE"""),"DungPL")</f>
        <v>DungPL</v>
      </c>
    </row>
    <row r="727">
      <c r="A727" s="265" t="str">
        <f>IFERROR(__xludf.DUMMYFUNCTION("""COMPUTED_VALUE"""),"961")</f>
        <v>961</v>
      </c>
      <c r="B727" s="265" t="str">
        <f>IFERROR(__xludf.DUMMYFUNCTION("""COMPUTED_VALUE"""),"Sài Gòn")</f>
        <v>Sài Gòn</v>
      </c>
      <c r="C727" s="265" t="str">
        <f>IFERROR(__xludf.DUMMYFUNCTION("""COMPUTED_VALUE"""),"Locked")</f>
        <v>Locked</v>
      </c>
      <c r="D727" s="265" t="str">
        <f>IFERROR(__xludf.DUMMYFUNCTION("""COMPUTED_VALUE"""),"Mua sắm &amp; Bán lẻ")</f>
        <v>Mua sắm &amp; Bán lẻ</v>
      </c>
      <c r="E727" s="265" t="str">
        <f>IFERROR(__xludf.DUMMYFUNCTION("""COMPUTED_VALUE"""),"TrâmNNB")</f>
        <v>TrâmNNB</v>
      </c>
      <c r="F727" s="265" t="str">
        <f>IFERROR(__xludf.DUMMYFUNCTION("""COMPUTED_VALUE"""),"Sale chưa cung cấp")</f>
        <v>Sale chưa cung cấp</v>
      </c>
      <c r="G727" s="265" t="str">
        <f>IFERROR(__xludf.DUMMYFUNCTION("""COMPUTED_VALUE"""),"Standard")</f>
        <v>Standard</v>
      </c>
      <c r="H727" s="265" t="str">
        <f>IFERROR(__xludf.DUMMYFUNCTION("""COMPUTED_VALUE"""),"Trả trước")</f>
        <v>Trả trước</v>
      </c>
      <c r="I727" s="265" t="str">
        <f>IFERROR(__xludf.DUMMYFUNCTION("""COMPUTED_VALUE"""),"API &amp; Portal")</f>
        <v>API &amp; Portal</v>
      </c>
      <c r="J727" s="265" t="str">
        <f>IFERROR(__xludf.DUMMYFUNCTION("""COMPUTED_VALUE"""),"API")</f>
        <v>API</v>
      </c>
      <c r="K727" s="265" t="str">
        <f>IFERROR(__xludf.DUMMYFUNCTION("""COMPUTED_VALUE"""),"DungPL")</f>
        <v>DungPL</v>
      </c>
    </row>
    <row r="728">
      <c r="A728" s="265" t="str">
        <f>IFERROR(__xludf.DUMMYFUNCTION("""COMPUTED_VALUE"""),"962")</f>
        <v>962</v>
      </c>
      <c r="B728" s="265" t="str">
        <f>IFERROR(__xludf.DUMMYFUNCTION("""COMPUTED_VALUE"""),"Hà Nội")</f>
        <v>Hà Nội</v>
      </c>
      <c r="C728" s="265" t="str">
        <f>IFERROR(__xludf.DUMMYFUNCTION("""COMPUTED_VALUE"""),"Active")</f>
        <v>Active</v>
      </c>
      <c r="D728" s="265" t="str">
        <f>IFERROR(__xludf.DUMMYFUNCTION("""COMPUTED_VALUE"""),"Viễn thông")</f>
        <v>Viễn thông</v>
      </c>
      <c r="E728" s="265" t="str">
        <f>IFERROR(__xludf.DUMMYFUNCTION("""COMPUTED_VALUE"""),"AnhNM")</f>
        <v>AnhNM</v>
      </c>
      <c r="F728" s="265" t="str">
        <f>IFERROR(__xludf.DUMMYFUNCTION("""COMPUTED_VALUE"""),"Bronze")</f>
        <v>Bronze</v>
      </c>
      <c r="G728" s="265" t="str">
        <f>IFERROR(__xludf.DUMMYFUNCTION("""COMPUTED_VALUE"""),"Starter")</f>
        <v>Starter</v>
      </c>
      <c r="H728" s="265" t="str">
        <f>IFERROR(__xludf.DUMMYFUNCTION("""COMPUTED_VALUE"""),"Trả sau")</f>
        <v>Trả sau</v>
      </c>
      <c r="I728" s="265" t="str">
        <f>IFERROR(__xludf.DUMMYFUNCTION("""COMPUTED_VALUE"""),"API")</f>
        <v>API</v>
      </c>
      <c r="J728" s="265" t="str">
        <f>IFERROR(__xludf.DUMMYFUNCTION("""COMPUTED_VALUE"""),"API")</f>
        <v>API</v>
      </c>
      <c r="K728" s="265" t="str">
        <f>IFERROR(__xludf.DUMMYFUNCTION("""COMPUTED_VALUE"""),"DungPL")</f>
        <v>DungPL</v>
      </c>
    </row>
    <row r="729">
      <c r="A729" s="265" t="str">
        <f>IFERROR(__xludf.DUMMYFUNCTION("""COMPUTED_VALUE"""),"965")</f>
        <v>965</v>
      </c>
      <c r="B729" s="265" t="str">
        <f>IFERROR(__xludf.DUMMYFUNCTION("""COMPUTED_VALUE"""),"Hà Nội")</f>
        <v>Hà Nội</v>
      </c>
      <c r="C729" s="265" t="str">
        <f>IFERROR(__xludf.DUMMYFUNCTION("""COMPUTED_VALUE"""),"Active")</f>
        <v>Active</v>
      </c>
      <c r="D729" s="265" t="str">
        <f>IFERROR(__xludf.DUMMYFUNCTION("""COMPUTED_VALUE"""),"Tài chính &amp; Ngân hàng")</f>
        <v>Tài chính &amp; Ngân hàng</v>
      </c>
      <c r="E729" s="265" t="str">
        <f>IFERROR(__xludf.DUMMYFUNCTION("""COMPUTED_VALUE"""),"TùngLD")</f>
        <v>TùngLD</v>
      </c>
      <c r="F729" s="265" t="str">
        <f>IFERROR(__xludf.DUMMYFUNCTION("""COMPUTED_VALUE"""),"Diamond")</f>
        <v>Diamond</v>
      </c>
      <c r="G729" s="265" t="str">
        <f>IFERROR(__xludf.DUMMYFUNCTION("""COMPUTED_VALUE"""),"Premium")</f>
        <v>Premium</v>
      </c>
      <c r="H729" s="265" t="str">
        <f>IFERROR(__xludf.DUMMYFUNCTION("""COMPUTED_VALUE"""),"Trả sau")</f>
        <v>Trả sau</v>
      </c>
      <c r="I729" s="265" t="str">
        <f>IFERROR(__xludf.DUMMYFUNCTION("""COMPUTED_VALUE"""),"API &amp; Portal")</f>
        <v>API &amp; Portal</v>
      </c>
      <c r="J729" s="265" t="str">
        <f>IFERROR(__xludf.DUMMYFUNCTION("""COMPUTED_VALUE"""),"API")</f>
        <v>API</v>
      </c>
      <c r="K729" s="265" t="str">
        <f>IFERROR(__xludf.DUMMYFUNCTION("""COMPUTED_VALUE"""),"LinhNTT1")</f>
        <v>LinhNTT1</v>
      </c>
    </row>
    <row r="730">
      <c r="A730" s="265" t="str">
        <f>IFERROR(__xludf.DUMMYFUNCTION("""COMPUTED_VALUE"""),"966")</f>
        <v>966</v>
      </c>
      <c r="B730" s="265" t="str">
        <f>IFERROR(__xludf.DUMMYFUNCTION("""COMPUTED_VALUE"""),"Sài Gòn")</f>
        <v>Sài Gòn</v>
      </c>
      <c r="C730" s="265" t="str">
        <f>IFERROR(__xludf.DUMMYFUNCTION("""COMPUTED_VALUE"""),"Active")</f>
        <v>Active</v>
      </c>
      <c r="D730" s="265" t="str">
        <f>IFERROR(__xludf.DUMMYFUNCTION("""COMPUTED_VALUE"""),"Vận tải &amp; logistics")</f>
        <v>Vận tải &amp; logistics</v>
      </c>
      <c r="E730" s="265" t="str">
        <f>IFERROR(__xludf.DUMMYFUNCTION("""COMPUTED_VALUE"""),"Không phân công")</f>
        <v>Không phân công</v>
      </c>
      <c r="F730" s="265" t="str">
        <f>IFERROR(__xludf.DUMMYFUNCTION("""COMPUTED_VALUE"""),"Gold")</f>
        <v>Gold</v>
      </c>
      <c r="G730" s="265" t="str">
        <f>IFERROR(__xludf.DUMMYFUNCTION("""COMPUTED_VALUE"""),"Starter")</f>
        <v>Starter</v>
      </c>
      <c r="H730" s="265" t="str">
        <f>IFERROR(__xludf.DUMMYFUNCTION("""COMPUTED_VALUE"""),"Trả sau")</f>
        <v>Trả sau</v>
      </c>
      <c r="I730" s="265" t="str">
        <f>IFERROR(__xludf.DUMMYFUNCTION("""COMPUTED_VALUE"""),"API")</f>
        <v>API</v>
      </c>
      <c r="J730" s="265" t="str">
        <f>IFERROR(__xludf.DUMMYFUNCTION("""COMPUTED_VALUE"""),"API")</f>
        <v>API</v>
      </c>
      <c r="K730" s="265" t="str">
        <f>IFERROR(__xludf.DUMMYFUNCTION("""COMPUTED_VALUE"""),"LinhNTT1")</f>
        <v>LinhNTT1</v>
      </c>
    </row>
    <row r="731">
      <c r="A731" s="265" t="str">
        <f>IFERROR(__xludf.DUMMYFUNCTION("""COMPUTED_VALUE"""),"970")</f>
        <v>970</v>
      </c>
      <c r="B731" s="265" t="str">
        <f>IFERROR(__xludf.DUMMYFUNCTION("""COMPUTED_VALUE"""),"Hà Nội")</f>
        <v>Hà Nội</v>
      </c>
      <c r="C731" s="265" t="str">
        <f>IFERROR(__xludf.DUMMYFUNCTION("""COMPUTED_VALUE"""),"Active")</f>
        <v>Active</v>
      </c>
      <c r="D731" s="265" t="str">
        <f>IFERROR(__xludf.DUMMYFUNCTION("""COMPUTED_VALUE"""),"Bất động sản")</f>
        <v>Bất động sản</v>
      </c>
      <c r="E731" s="265" t="str">
        <f>IFERROR(__xludf.DUMMYFUNCTION("""COMPUTED_VALUE"""),"TùngLD")</f>
        <v>TùngLD</v>
      </c>
      <c r="F731" s="265" t="str">
        <f>IFERROR(__xludf.DUMMYFUNCTION("""COMPUTED_VALUE"""),"Gold")</f>
        <v>Gold</v>
      </c>
      <c r="G731" s="265" t="str">
        <f>IFERROR(__xludf.DUMMYFUNCTION("""COMPUTED_VALUE"""),"Starter")</f>
        <v>Starter</v>
      </c>
      <c r="H731" s="265" t="str">
        <f>IFERROR(__xludf.DUMMYFUNCTION("""COMPUTED_VALUE"""),"Trả sau")</f>
        <v>Trả sau</v>
      </c>
      <c r="I731" s="265" t="str">
        <f>IFERROR(__xludf.DUMMYFUNCTION("""COMPUTED_VALUE"""),"API &amp; Portal")</f>
        <v>API &amp; Portal</v>
      </c>
      <c r="J731" s="265" t="str">
        <f>IFERROR(__xludf.DUMMYFUNCTION("""COMPUTED_VALUE"""),"File Excel")</f>
        <v>File Excel</v>
      </c>
      <c r="K731" s="265" t="str">
        <f>IFERROR(__xludf.DUMMYFUNCTION("""COMPUTED_VALUE"""),"DungPL")</f>
        <v>DungPL</v>
      </c>
    </row>
    <row r="732">
      <c r="A732" s="265" t="str">
        <f>IFERROR(__xludf.DUMMYFUNCTION("""COMPUTED_VALUE"""),"970")</f>
        <v>970</v>
      </c>
      <c r="B732" s="265" t="str">
        <f>IFERROR(__xludf.DUMMYFUNCTION("""COMPUTED_VALUE"""),"Hà Nội")</f>
        <v>Hà Nội</v>
      </c>
      <c r="C732" s="265" t="str">
        <f>IFERROR(__xludf.DUMMYFUNCTION("""COMPUTED_VALUE"""),"Active")</f>
        <v>Active</v>
      </c>
      <c r="D732" s="265" t="str">
        <f>IFERROR(__xludf.DUMMYFUNCTION("""COMPUTED_VALUE"""),"Bất động sản")</f>
        <v>Bất động sản</v>
      </c>
      <c r="E732" s="265" t="str">
        <f>IFERROR(__xludf.DUMMYFUNCTION("""COMPUTED_VALUE"""),"TùngLD")</f>
        <v>TùngLD</v>
      </c>
      <c r="F732" s="265" t="str">
        <f>IFERROR(__xludf.DUMMYFUNCTION("""COMPUTED_VALUE"""),"Gold")</f>
        <v>Gold</v>
      </c>
      <c r="G732" s="265" t="str">
        <f>IFERROR(__xludf.DUMMYFUNCTION("""COMPUTED_VALUE"""),"Starter")</f>
        <v>Starter</v>
      </c>
      <c r="H732" s="265" t="str">
        <f>IFERROR(__xludf.DUMMYFUNCTION("""COMPUTED_VALUE"""),"Trả sau")</f>
        <v>Trả sau</v>
      </c>
      <c r="I732" s="265" t="str">
        <f>IFERROR(__xludf.DUMMYFUNCTION("""COMPUTED_VALUE"""),"API &amp; Portal")</f>
        <v>API &amp; Portal</v>
      </c>
      <c r="J732" s="265" t="str">
        <f>IFERROR(__xludf.DUMMYFUNCTION("""COMPUTED_VALUE"""),"API")</f>
        <v>API</v>
      </c>
      <c r="K732" s="265" t="str">
        <f>IFERROR(__xludf.DUMMYFUNCTION("""COMPUTED_VALUE"""),"DungPL")</f>
        <v>DungPL</v>
      </c>
    </row>
    <row r="733">
      <c r="A733" s="265" t="str">
        <f>IFERROR(__xludf.DUMMYFUNCTION("""COMPUTED_VALUE"""),"969")</f>
        <v>969</v>
      </c>
      <c r="B733" s="265" t="str">
        <f>IFERROR(__xludf.DUMMYFUNCTION("""COMPUTED_VALUE"""),"Hà Nội")</f>
        <v>Hà Nội</v>
      </c>
      <c r="C733" s="265" t="str">
        <f>IFERROR(__xludf.DUMMYFUNCTION("""COMPUTED_VALUE"""),"Active")</f>
        <v>Active</v>
      </c>
      <c r="D733" s="265" t="str">
        <f>IFERROR(__xludf.DUMMYFUNCTION("""COMPUTED_VALUE"""),"Mua sắm &amp; Bán lẻ")</f>
        <v>Mua sắm &amp; Bán lẻ</v>
      </c>
      <c r="E733" s="265" t="str">
        <f>IFERROR(__xludf.DUMMYFUNCTION("""COMPUTED_VALUE"""),"TúPHN")</f>
        <v>TúPHN</v>
      </c>
      <c r="F733" s="265" t="str">
        <f>IFERROR(__xludf.DUMMYFUNCTION("""COMPUTED_VALUE"""),"Bronze")</f>
        <v>Bronze</v>
      </c>
      <c r="G733" s="265" t="str">
        <f>IFERROR(__xludf.DUMMYFUNCTION("""COMPUTED_VALUE"""),"Starter")</f>
        <v>Starter</v>
      </c>
      <c r="H733" s="265" t="str">
        <f>IFERROR(__xludf.DUMMYFUNCTION("""COMPUTED_VALUE"""),"Trả sau")</f>
        <v>Trả sau</v>
      </c>
      <c r="I733" s="265" t="str">
        <f>IFERROR(__xludf.DUMMYFUNCTION("""COMPUTED_VALUE"""),"API &amp; Portal")</f>
        <v>API &amp; Portal</v>
      </c>
      <c r="J733" s="265" t="str">
        <f>IFERROR(__xludf.DUMMYFUNCTION("""COMPUTED_VALUE"""),"File Excel")</f>
        <v>File Excel</v>
      </c>
      <c r="K733" s="265" t="str">
        <f>IFERROR(__xludf.DUMMYFUNCTION("""COMPUTED_VALUE"""),"YếnĐH")</f>
        <v>YếnĐH</v>
      </c>
    </row>
    <row r="734">
      <c r="A734" s="265" t="str">
        <f>IFERROR(__xludf.DUMMYFUNCTION("""COMPUTED_VALUE"""),"969")</f>
        <v>969</v>
      </c>
      <c r="B734" s="265" t="str">
        <f>IFERROR(__xludf.DUMMYFUNCTION("""COMPUTED_VALUE"""),"Hà Nội")</f>
        <v>Hà Nội</v>
      </c>
      <c r="C734" s="265" t="str">
        <f>IFERROR(__xludf.DUMMYFUNCTION("""COMPUTED_VALUE"""),"Active")</f>
        <v>Active</v>
      </c>
      <c r="D734" s="265" t="str">
        <f>IFERROR(__xludf.DUMMYFUNCTION("""COMPUTED_VALUE"""),"Mua sắm &amp; Bán lẻ")</f>
        <v>Mua sắm &amp; Bán lẻ</v>
      </c>
      <c r="E734" s="265" t="str">
        <f>IFERROR(__xludf.DUMMYFUNCTION("""COMPUTED_VALUE"""),"TúPHN")</f>
        <v>TúPHN</v>
      </c>
      <c r="F734" s="265" t="str">
        <f>IFERROR(__xludf.DUMMYFUNCTION("""COMPUTED_VALUE"""),"Bronze")</f>
        <v>Bronze</v>
      </c>
      <c r="G734" s="265" t="str">
        <f>IFERROR(__xludf.DUMMYFUNCTION("""COMPUTED_VALUE"""),"Starter")</f>
        <v>Starter</v>
      </c>
      <c r="H734" s="265" t="str">
        <f>IFERROR(__xludf.DUMMYFUNCTION("""COMPUTED_VALUE"""),"Trả sau")</f>
        <v>Trả sau</v>
      </c>
      <c r="I734" s="265" t="str">
        <f>IFERROR(__xludf.DUMMYFUNCTION("""COMPUTED_VALUE"""),"API &amp; Portal")</f>
        <v>API &amp; Portal</v>
      </c>
      <c r="J734" s="265" t="str">
        <f>IFERROR(__xludf.DUMMYFUNCTION("""COMPUTED_VALUE"""),"API")</f>
        <v>API</v>
      </c>
      <c r="K734" s="265" t="str">
        <f>IFERROR(__xludf.DUMMYFUNCTION("""COMPUTED_VALUE"""),"YếnĐH")</f>
        <v>YếnĐH</v>
      </c>
    </row>
    <row r="735">
      <c r="A735" s="265" t="str">
        <f>IFERROR(__xludf.DUMMYFUNCTION("""COMPUTED_VALUE"""),"972")</f>
        <v>972</v>
      </c>
      <c r="B735" s="265" t="str">
        <f>IFERROR(__xludf.DUMMYFUNCTION("""COMPUTED_VALUE"""),"Sài Gòn")</f>
        <v>Sài Gòn</v>
      </c>
      <c r="C735" s="265" t="str">
        <f>IFERROR(__xludf.DUMMYFUNCTION("""COMPUTED_VALUE"""),"Locked")</f>
        <v>Locked</v>
      </c>
      <c r="D735" s="265" t="str">
        <f>IFERROR(__xludf.DUMMYFUNCTION("""COMPUTED_VALUE"""),"Mua sắm &amp; Bán lẻ")</f>
        <v>Mua sắm &amp; Bán lẻ</v>
      </c>
      <c r="E735" s="265" t="str">
        <f>IFERROR(__xludf.DUMMYFUNCTION("""COMPUTED_VALUE"""),"AnhNM")</f>
        <v>AnhNM</v>
      </c>
      <c r="F735" s="265" t="str">
        <f>IFERROR(__xludf.DUMMYFUNCTION("""COMPUTED_VALUE"""),"Bronze")</f>
        <v>Bronze</v>
      </c>
      <c r="G735" s="265" t="str">
        <f>IFERROR(__xludf.DUMMYFUNCTION("""COMPUTED_VALUE"""),"Starter")</f>
        <v>Starter</v>
      </c>
      <c r="H735" s="265" t="str">
        <f>IFERROR(__xludf.DUMMYFUNCTION("""COMPUTED_VALUE"""),"Trial")</f>
        <v>Trial</v>
      </c>
      <c r="I735" s="265" t="str">
        <f>IFERROR(__xludf.DUMMYFUNCTION("""COMPUTED_VALUE"""),"API")</f>
        <v>API</v>
      </c>
      <c r="J735" s="265" t="str">
        <f>IFERROR(__xludf.DUMMYFUNCTION("""COMPUTED_VALUE"""),"API")</f>
        <v>API</v>
      </c>
      <c r="K735" s="265" t="str">
        <f>IFERROR(__xludf.DUMMYFUNCTION("""COMPUTED_VALUE"""),"Không phân công")</f>
        <v>Không phân công</v>
      </c>
    </row>
    <row r="736">
      <c r="A736" s="265" t="str">
        <f>IFERROR(__xludf.DUMMYFUNCTION("""COMPUTED_VALUE"""),"973")</f>
        <v>973</v>
      </c>
      <c r="B736" s="265" t="str">
        <f>IFERROR(__xludf.DUMMYFUNCTION("""COMPUTED_VALUE"""),"Hà Nội")</f>
        <v>Hà Nội</v>
      </c>
      <c r="C736" s="265" t="str">
        <f>IFERROR(__xludf.DUMMYFUNCTION("""COMPUTED_VALUE"""),"Locked")</f>
        <v>Locked</v>
      </c>
      <c r="D736" s="265" t="str">
        <f>IFERROR(__xludf.DUMMYFUNCTION("""COMPUTED_VALUE"""),"Vận tải &amp; logistics")</f>
        <v>Vận tải &amp; logistics</v>
      </c>
      <c r="E736" s="265" t="str">
        <f>IFERROR(__xludf.DUMMYFUNCTION("""COMPUTED_VALUE"""),"Không phân công")</f>
        <v>Không phân công</v>
      </c>
      <c r="F736" s="265" t="str">
        <f>IFERROR(__xludf.DUMMYFUNCTION("""COMPUTED_VALUE"""),"Silver")</f>
        <v>Silver</v>
      </c>
      <c r="G736" s="265" t="str">
        <f>IFERROR(__xludf.DUMMYFUNCTION("""COMPUTED_VALUE"""),"Starter")</f>
        <v>Starter</v>
      </c>
      <c r="H736" s="265" t="str">
        <f>IFERROR(__xludf.DUMMYFUNCTION("""COMPUTED_VALUE"""),"Trả sau")</f>
        <v>Trả sau</v>
      </c>
      <c r="I736" s="265" t="str">
        <f>IFERROR(__xludf.DUMMYFUNCTION("""COMPUTED_VALUE"""),"API")</f>
        <v>API</v>
      </c>
      <c r="J736" s="265" t="str">
        <f>IFERROR(__xludf.DUMMYFUNCTION("""COMPUTED_VALUE"""),"API")</f>
        <v>API</v>
      </c>
      <c r="K736" s="265" t="str">
        <f>IFERROR(__xludf.DUMMYFUNCTION("""COMPUTED_VALUE"""),"DungVT")</f>
        <v>DungVT</v>
      </c>
    </row>
    <row r="737">
      <c r="A737" s="265" t="str">
        <f>IFERROR(__xludf.DUMMYFUNCTION("""COMPUTED_VALUE"""),"974")</f>
        <v>974</v>
      </c>
      <c r="B737" s="265" t="str">
        <f>IFERROR(__xludf.DUMMYFUNCTION("""COMPUTED_VALUE"""),"Đà Nẵng")</f>
        <v>Đà Nẵng</v>
      </c>
      <c r="C737" s="265" t="str">
        <f>IFERROR(__xludf.DUMMYFUNCTION("""COMPUTED_VALUE"""),"Active")</f>
        <v>Active</v>
      </c>
      <c r="D737" s="265" t="str">
        <f>IFERROR(__xludf.DUMMYFUNCTION("""COMPUTED_VALUE"""),"Sale chưa cung cấp")</f>
        <v>Sale chưa cung cấp</v>
      </c>
      <c r="E737" s="265" t="str">
        <f>IFERROR(__xludf.DUMMYFUNCTION("""COMPUTED_VALUE"""),"Không phân công")</f>
        <v>Không phân công</v>
      </c>
      <c r="F737" s="265" t="str">
        <f>IFERROR(__xludf.DUMMYFUNCTION("""COMPUTED_VALUE"""),"Silver")</f>
        <v>Silver</v>
      </c>
      <c r="G737" s="265" t="str">
        <f>IFERROR(__xludf.DUMMYFUNCTION("""COMPUTED_VALUE"""),"Starter")</f>
        <v>Starter</v>
      </c>
      <c r="H737" s="265" t="str">
        <f>IFERROR(__xludf.DUMMYFUNCTION("""COMPUTED_VALUE"""),"Trả sau")</f>
        <v>Trả sau</v>
      </c>
      <c r="I737" s="265" t="str">
        <f>IFERROR(__xludf.DUMMYFUNCTION("""COMPUTED_VALUE"""),"API")</f>
        <v>API</v>
      </c>
      <c r="J737" s="265" t="str">
        <f>IFERROR(__xludf.DUMMYFUNCTION("""COMPUTED_VALUE"""),"API")</f>
        <v>API</v>
      </c>
      <c r="K737" s="265" t="str">
        <f>IFERROR(__xludf.DUMMYFUNCTION("""COMPUTED_VALUE"""),"DungVT")</f>
        <v>DungVT</v>
      </c>
    </row>
    <row r="738">
      <c r="A738" s="265" t="str">
        <f>IFERROR(__xludf.DUMMYFUNCTION("""COMPUTED_VALUE"""),"975")</f>
        <v>975</v>
      </c>
      <c r="B738" s="265" t="str">
        <f>IFERROR(__xludf.DUMMYFUNCTION("""COMPUTED_VALUE"""),"Hà Nội")</f>
        <v>Hà Nội</v>
      </c>
      <c r="C738" s="265" t="str">
        <f>IFERROR(__xludf.DUMMYFUNCTION("""COMPUTED_VALUE"""),"Active")</f>
        <v>Active</v>
      </c>
      <c r="D738" s="265" t="str">
        <f>IFERROR(__xludf.DUMMYFUNCTION("""COMPUTED_VALUE"""),"Tài chính &amp; Ngân hàng")</f>
        <v>Tài chính &amp; Ngân hàng</v>
      </c>
      <c r="E738" s="265" t="str">
        <f>IFERROR(__xludf.DUMMYFUNCTION("""COMPUTED_VALUE"""),"TúPHN")</f>
        <v>TúPHN</v>
      </c>
      <c r="F738" s="265" t="str">
        <f>IFERROR(__xludf.DUMMYFUNCTION("""COMPUTED_VALUE"""),"Bronze")</f>
        <v>Bronze</v>
      </c>
      <c r="G738" s="265" t="str">
        <f>IFERROR(__xludf.DUMMYFUNCTION("""COMPUTED_VALUE"""),"Starter")</f>
        <v>Starter</v>
      </c>
      <c r="H738" s="265" t="str">
        <f>IFERROR(__xludf.DUMMYFUNCTION("""COMPUTED_VALUE"""),"Trả sau")</f>
        <v>Trả sau</v>
      </c>
      <c r="I738" s="265" t="str">
        <f>IFERROR(__xludf.DUMMYFUNCTION("""COMPUTED_VALUE"""),"API")</f>
        <v>API</v>
      </c>
      <c r="J738" s="265" t="str">
        <f>IFERROR(__xludf.DUMMYFUNCTION("""COMPUTED_VALUE"""),"API")</f>
        <v>API</v>
      </c>
      <c r="K738" s="265" t="str">
        <f>IFERROR(__xludf.DUMMYFUNCTION("""COMPUTED_VALUE"""),"DungVT")</f>
        <v>DungVT</v>
      </c>
    </row>
    <row r="739">
      <c r="A739" s="265" t="str">
        <f>IFERROR(__xludf.DUMMYFUNCTION("""COMPUTED_VALUE"""),"977")</f>
        <v>977</v>
      </c>
      <c r="B739" s="265" t="str">
        <f>IFERROR(__xludf.DUMMYFUNCTION("""COMPUTED_VALUE"""),"Sài Gòn")</f>
        <v>Sài Gòn</v>
      </c>
      <c r="C739" s="265" t="str">
        <f>IFERROR(__xludf.DUMMYFUNCTION("""COMPUTED_VALUE"""),"Active")</f>
        <v>Active</v>
      </c>
      <c r="D739" s="265" t="str">
        <f>IFERROR(__xludf.DUMMYFUNCTION("""COMPUTED_VALUE"""),"Thực phẩm &amp; Đồ uống")</f>
        <v>Thực phẩm &amp; Đồ uống</v>
      </c>
      <c r="E739" s="265" t="str">
        <f>IFERROR(__xludf.DUMMYFUNCTION("""COMPUTED_VALUE"""),"TrâmNNB")</f>
        <v>TrâmNNB</v>
      </c>
      <c r="F739" s="265" t="str">
        <f>IFERROR(__xludf.DUMMYFUNCTION("""COMPUTED_VALUE"""),"Sale chưa cung cấp")</f>
        <v>Sale chưa cung cấp</v>
      </c>
      <c r="G739" s="265" t="str">
        <f>IFERROR(__xludf.DUMMYFUNCTION("""COMPUTED_VALUE"""),"Starter")</f>
        <v>Starter</v>
      </c>
      <c r="H739" s="265" t="str">
        <f>IFERROR(__xludf.DUMMYFUNCTION("""COMPUTED_VALUE"""),"Trả sau")</f>
        <v>Trả sau</v>
      </c>
      <c r="I739" s="265" t="str">
        <f>IFERROR(__xludf.DUMMYFUNCTION("""COMPUTED_VALUE"""),"Portal")</f>
        <v>Portal</v>
      </c>
      <c r="J739" s="265" t="str">
        <f>IFERROR(__xludf.DUMMYFUNCTION("""COMPUTED_VALUE"""),"File Excel")</f>
        <v>File Excel</v>
      </c>
      <c r="K739" s="265" t="str">
        <f>IFERROR(__xludf.DUMMYFUNCTION("""COMPUTED_VALUE"""),"LinhNTT1")</f>
        <v>LinhNTT1</v>
      </c>
    </row>
    <row r="740">
      <c r="A740" s="265" t="str">
        <f>IFERROR(__xludf.DUMMYFUNCTION("""COMPUTED_VALUE"""),"977")</f>
        <v>977</v>
      </c>
      <c r="B740" s="265" t="str">
        <f>IFERROR(__xludf.DUMMYFUNCTION("""COMPUTED_VALUE"""),"Sài Gòn")</f>
        <v>Sài Gòn</v>
      </c>
      <c r="C740" s="265" t="str">
        <f>IFERROR(__xludf.DUMMYFUNCTION("""COMPUTED_VALUE"""),"Active")</f>
        <v>Active</v>
      </c>
      <c r="D740" s="265" t="str">
        <f>IFERROR(__xludf.DUMMYFUNCTION("""COMPUTED_VALUE"""),"Thực phẩm &amp; Đồ uống")</f>
        <v>Thực phẩm &amp; Đồ uống</v>
      </c>
      <c r="E740" s="265" t="str">
        <f>IFERROR(__xludf.DUMMYFUNCTION("""COMPUTED_VALUE"""),"TrâmNNB")</f>
        <v>TrâmNNB</v>
      </c>
      <c r="F740" s="265" t="str">
        <f>IFERROR(__xludf.DUMMYFUNCTION("""COMPUTED_VALUE"""),"Sale chưa cung cấp")</f>
        <v>Sale chưa cung cấp</v>
      </c>
      <c r="G740" s="265" t="str">
        <f>IFERROR(__xludf.DUMMYFUNCTION("""COMPUTED_VALUE"""),"Starter")</f>
        <v>Starter</v>
      </c>
      <c r="H740" s="265" t="str">
        <f>IFERROR(__xludf.DUMMYFUNCTION("""COMPUTED_VALUE"""),"Trả sau")</f>
        <v>Trả sau</v>
      </c>
      <c r="I740" s="265" t="str">
        <f>IFERROR(__xludf.DUMMYFUNCTION("""COMPUTED_VALUE"""),"Portal")</f>
        <v>Portal</v>
      </c>
      <c r="J740" s="265" t="str">
        <f>IFERROR(__xludf.DUMMYFUNCTION("""COMPUTED_VALUE"""),"API")</f>
        <v>API</v>
      </c>
      <c r="K740" s="265" t="str">
        <f>IFERROR(__xludf.DUMMYFUNCTION("""COMPUTED_VALUE"""),"LinhNTT1")</f>
        <v>LinhNTT1</v>
      </c>
    </row>
    <row r="741">
      <c r="A741" s="265" t="str">
        <f>IFERROR(__xludf.DUMMYFUNCTION("""COMPUTED_VALUE"""),"978")</f>
        <v>978</v>
      </c>
      <c r="B741" s="265" t="str">
        <f>IFERROR(__xludf.DUMMYFUNCTION("""COMPUTED_VALUE"""),"Hà Nội")</f>
        <v>Hà Nội</v>
      </c>
      <c r="C741" s="265" t="str">
        <f>IFERROR(__xludf.DUMMYFUNCTION("""COMPUTED_VALUE"""),"Active")</f>
        <v>Active</v>
      </c>
      <c r="D741" s="265" t="str">
        <f>IFERROR(__xludf.DUMMYFUNCTION("""COMPUTED_VALUE"""),"Tài chính &amp; Ngân hàng")</f>
        <v>Tài chính &amp; Ngân hàng</v>
      </c>
      <c r="E741" s="265" t="str">
        <f>IFERROR(__xludf.DUMMYFUNCTION("""COMPUTED_VALUE"""),"TùngLD")</f>
        <v>TùngLD</v>
      </c>
      <c r="F741" s="265" t="str">
        <f>IFERROR(__xludf.DUMMYFUNCTION("""COMPUTED_VALUE"""),"Diamond")</f>
        <v>Diamond</v>
      </c>
      <c r="G741" s="265" t="str">
        <f>IFERROR(__xludf.DUMMYFUNCTION("""COMPUTED_VALUE"""),"Standard")</f>
        <v>Standard</v>
      </c>
      <c r="H741" s="265" t="str">
        <f>IFERROR(__xludf.DUMMYFUNCTION("""COMPUTED_VALUE"""),"Trả sau")</f>
        <v>Trả sau</v>
      </c>
      <c r="I741" s="265" t="str">
        <f>IFERROR(__xludf.DUMMYFUNCTION("""COMPUTED_VALUE"""),"API")</f>
        <v>API</v>
      </c>
      <c r="J741" s="265" t="str">
        <f>IFERROR(__xludf.DUMMYFUNCTION("""COMPUTED_VALUE"""),"API")</f>
        <v>API</v>
      </c>
      <c r="K741" s="265" t="str">
        <f>IFERROR(__xludf.DUMMYFUNCTION("""COMPUTED_VALUE"""),"DungVT, YếnĐH")</f>
        <v>DungVT, YếnĐH</v>
      </c>
    </row>
    <row r="742">
      <c r="A742" s="265" t="str">
        <f>IFERROR(__xludf.DUMMYFUNCTION("""COMPUTED_VALUE"""),"979")</f>
        <v>979</v>
      </c>
      <c r="B742" s="265" t="str">
        <f>IFERROR(__xludf.DUMMYFUNCTION("""COMPUTED_VALUE"""),"Sài Gòn")</f>
        <v>Sài Gòn</v>
      </c>
      <c r="C742" s="265" t="str">
        <f>IFERROR(__xludf.DUMMYFUNCTION("""COMPUTED_VALUE"""),"Active")</f>
        <v>Active</v>
      </c>
      <c r="D742" s="265" t="str">
        <f>IFERROR(__xludf.DUMMYFUNCTION("""COMPUTED_VALUE"""),"Thực phẩm &amp; Đồ uống")</f>
        <v>Thực phẩm &amp; Đồ uống</v>
      </c>
      <c r="E742" s="265" t="str">
        <f>IFERROR(__xludf.DUMMYFUNCTION("""COMPUTED_VALUE"""),"TrâmNNB")</f>
        <v>TrâmNNB</v>
      </c>
      <c r="F742" s="265" t="str">
        <f>IFERROR(__xludf.DUMMYFUNCTION("""COMPUTED_VALUE"""),"Diamond")</f>
        <v>Diamond</v>
      </c>
      <c r="G742" s="265" t="str">
        <f>IFERROR(__xludf.DUMMYFUNCTION("""COMPUTED_VALUE"""),"Enterprise")</f>
        <v>Enterprise</v>
      </c>
      <c r="H742" s="265" t="str">
        <f>IFERROR(__xludf.DUMMYFUNCTION("""COMPUTED_VALUE"""),"Trả trước")</f>
        <v>Trả trước</v>
      </c>
      <c r="I742" s="265" t="str">
        <f>IFERROR(__xludf.DUMMYFUNCTION("""COMPUTED_VALUE"""),"Portal")</f>
        <v>Portal</v>
      </c>
      <c r="J742" s="265" t="str">
        <f>IFERROR(__xludf.DUMMYFUNCTION("""COMPUTED_VALUE"""),"File Excel")</f>
        <v>File Excel</v>
      </c>
      <c r="K742" s="265" t="str">
        <f>IFERROR(__xludf.DUMMYFUNCTION("""COMPUTED_VALUE"""),"LinhNTT1")</f>
        <v>LinhNTT1</v>
      </c>
    </row>
    <row r="743">
      <c r="A743" s="265" t="str">
        <f>IFERROR(__xludf.DUMMYFUNCTION("""COMPUTED_VALUE"""),"959")</f>
        <v>959</v>
      </c>
      <c r="B743" s="265" t="str">
        <f>IFERROR(__xludf.DUMMYFUNCTION("""COMPUTED_VALUE"""),"Sài Gòn")</f>
        <v>Sài Gòn</v>
      </c>
      <c r="C743" s="265" t="str">
        <f>IFERROR(__xludf.DUMMYFUNCTION("""COMPUTED_VALUE"""),"Active")</f>
        <v>Active</v>
      </c>
      <c r="D743" s="265" t="str">
        <f>IFERROR(__xludf.DUMMYFUNCTION("""COMPUTED_VALUE"""),"Dịch vụ khác")</f>
        <v>Dịch vụ khác</v>
      </c>
      <c r="E743" s="265" t="str">
        <f>IFERROR(__xludf.DUMMYFUNCTION("""COMPUTED_VALUE"""),"TúPHN")</f>
        <v>TúPHN</v>
      </c>
      <c r="F743" s="265" t="str">
        <f>IFERROR(__xludf.DUMMYFUNCTION("""COMPUTED_VALUE"""),"Silver")</f>
        <v>Silver</v>
      </c>
      <c r="G743" s="265" t="str">
        <f>IFERROR(__xludf.DUMMYFUNCTION("""COMPUTED_VALUE"""),"Starter")</f>
        <v>Starter</v>
      </c>
      <c r="H743" s="265" t="str">
        <f>IFERROR(__xludf.DUMMYFUNCTION("""COMPUTED_VALUE"""),"Trả sau")</f>
        <v>Trả sau</v>
      </c>
      <c r="I743" s="265" t="str">
        <f>IFERROR(__xludf.DUMMYFUNCTION("""COMPUTED_VALUE"""),"API")</f>
        <v>API</v>
      </c>
      <c r="J743" s="265" t="str">
        <f>IFERROR(__xludf.DUMMYFUNCTION("""COMPUTED_VALUE"""),"API")</f>
        <v>API</v>
      </c>
      <c r="K743" s="265" t="str">
        <f>IFERROR(__xludf.DUMMYFUNCTION("""COMPUTED_VALUE"""),"DungPL")</f>
        <v>DungPL</v>
      </c>
    </row>
    <row r="744">
      <c r="A744" s="265" t="str">
        <f>IFERROR(__xludf.DUMMYFUNCTION("""COMPUTED_VALUE"""),"968")</f>
        <v>968</v>
      </c>
      <c r="B744" s="265" t="str">
        <f>IFERROR(__xludf.DUMMYFUNCTION("""COMPUTED_VALUE"""),"Sài Gòn")</f>
        <v>Sài Gòn</v>
      </c>
      <c r="C744" s="265" t="str">
        <f>IFERROR(__xludf.DUMMYFUNCTION("""COMPUTED_VALUE"""),"Active")</f>
        <v>Active</v>
      </c>
      <c r="D744" s="265" t="str">
        <f>IFERROR(__xludf.DUMMYFUNCTION("""COMPUTED_VALUE"""),"Dịch vụ khác")</f>
        <v>Dịch vụ khác</v>
      </c>
      <c r="E744" s="265" t="str">
        <f>IFERROR(__xludf.DUMMYFUNCTION("""COMPUTED_VALUE"""),"Không phân công")</f>
        <v>Không phân công</v>
      </c>
      <c r="F744" s="265" t="str">
        <f>IFERROR(__xludf.DUMMYFUNCTION("""COMPUTED_VALUE"""),"Gold")</f>
        <v>Gold</v>
      </c>
      <c r="G744" s="265" t="str">
        <f>IFERROR(__xludf.DUMMYFUNCTION("""COMPUTED_VALUE"""),"Starter")</f>
        <v>Starter</v>
      </c>
      <c r="H744" s="265" t="str">
        <f>IFERROR(__xludf.DUMMYFUNCTION("""COMPUTED_VALUE"""),"Trial")</f>
        <v>Trial</v>
      </c>
      <c r="I744" s="265" t="str">
        <f>IFERROR(__xludf.DUMMYFUNCTION("""COMPUTED_VALUE"""),"API")</f>
        <v>API</v>
      </c>
      <c r="J744" s="265" t="str">
        <f>IFERROR(__xludf.DUMMYFUNCTION("""COMPUTED_VALUE"""),"API")</f>
        <v>API</v>
      </c>
      <c r="K744" s="265" t="str">
        <f>IFERROR(__xludf.DUMMYFUNCTION("""COMPUTED_VALUE"""),"YếnĐH")</f>
        <v>YếnĐH</v>
      </c>
    </row>
    <row r="745">
      <c r="A745" s="265" t="str">
        <f>IFERROR(__xludf.DUMMYFUNCTION("""COMPUTED_VALUE"""),"980")</f>
        <v>980</v>
      </c>
      <c r="B745" s="265" t="str">
        <f>IFERROR(__xludf.DUMMYFUNCTION("""COMPUTED_VALUE"""),"Sài Gòn")</f>
        <v>Sài Gòn</v>
      </c>
      <c r="C745" s="265" t="str">
        <f>IFERROR(__xludf.DUMMYFUNCTION("""COMPUTED_VALUE"""),"Locked")</f>
        <v>Locked</v>
      </c>
      <c r="D745" s="265" t="str">
        <f>IFERROR(__xludf.DUMMYFUNCTION("""COMPUTED_VALUE"""),"Dịch vụ khác")</f>
        <v>Dịch vụ khác</v>
      </c>
      <c r="E745" s="265" t="str">
        <f>IFERROR(__xludf.DUMMYFUNCTION("""COMPUTED_VALUE"""),"Không phân công")</f>
        <v>Không phân công</v>
      </c>
      <c r="F745" s="265" t="str">
        <f>IFERROR(__xludf.DUMMYFUNCTION("""COMPUTED_VALUE"""),"Diamond")</f>
        <v>Diamond</v>
      </c>
      <c r="G745" s="265" t="str">
        <f>IFERROR(__xludf.DUMMYFUNCTION("""COMPUTED_VALUE"""),"Starter")</f>
        <v>Starter</v>
      </c>
      <c r="H745" s="265" t="str">
        <f>IFERROR(__xludf.DUMMYFUNCTION("""COMPUTED_VALUE"""),"Trial")</f>
        <v>Trial</v>
      </c>
      <c r="I745" s="265" t="str">
        <f>IFERROR(__xludf.DUMMYFUNCTION("""COMPUTED_VALUE"""),"API")</f>
        <v>API</v>
      </c>
      <c r="J745" s="265" t="str">
        <f>IFERROR(__xludf.DUMMYFUNCTION("""COMPUTED_VALUE"""),"API")</f>
        <v>API</v>
      </c>
      <c r="K745" s="265" t="str">
        <f>IFERROR(__xludf.DUMMYFUNCTION("""COMPUTED_VALUE"""),"DungVT")</f>
        <v>DungVT</v>
      </c>
    </row>
    <row r="746">
      <c r="A746" s="265" t="str">
        <f>IFERROR(__xludf.DUMMYFUNCTION("""COMPUTED_VALUE"""),"981")</f>
        <v>981</v>
      </c>
      <c r="B746" s="265" t="str">
        <f>IFERROR(__xludf.DUMMYFUNCTION("""COMPUTED_VALUE"""),"Sài Gòn")</f>
        <v>Sài Gòn</v>
      </c>
      <c r="C746" s="265" t="str">
        <f>IFERROR(__xludf.DUMMYFUNCTION("""COMPUTED_VALUE"""),"Active")</f>
        <v>Active</v>
      </c>
      <c r="D746" s="265" t="str">
        <f>IFERROR(__xludf.DUMMYFUNCTION("""COMPUTED_VALUE"""),"Truyền thông &amp; Giải trí")</f>
        <v>Truyền thông &amp; Giải trí</v>
      </c>
      <c r="E746" s="265" t="str">
        <f>IFERROR(__xludf.DUMMYFUNCTION("""COMPUTED_VALUE"""),"Không phân công")</f>
        <v>Không phân công</v>
      </c>
      <c r="F746" s="265" t="str">
        <f>IFERROR(__xludf.DUMMYFUNCTION("""COMPUTED_VALUE"""),"Diamond")</f>
        <v>Diamond</v>
      </c>
      <c r="G746" s="265" t="str">
        <f>IFERROR(__xludf.DUMMYFUNCTION("""COMPUTED_VALUE"""),"Starter")</f>
        <v>Starter</v>
      </c>
      <c r="H746" s="265" t="str">
        <f>IFERROR(__xludf.DUMMYFUNCTION("""COMPUTED_VALUE"""),"Trả trước")</f>
        <v>Trả trước</v>
      </c>
      <c r="I746" s="265" t="str">
        <f>IFERROR(__xludf.DUMMYFUNCTION("""COMPUTED_VALUE"""),"API")</f>
        <v>API</v>
      </c>
      <c r="J746" s="265" t="str">
        <f>IFERROR(__xludf.DUMMYFUNCTION("""COMPUTED_VALUE"""),"API")</f>
        <v>API</v>
      </c>
      <c r="K746" s="265" t="str">
        <f>IFERROR(__xludf.DUMMYFUNCTION("""COMPUTED_VALUE"""),"DungVT")</f>
        <v>DungVT</v>
      </c>
    </row>
    <row r="747">
      <c r="A747" s="265" t="str">
        <f>IFERROR(__xludf.DUMMYFUNCTION("""COMPUTED_VALUE"""),"982")</f>
        <v>982</v>
      </c>
      <c r="B747" s="265" t="str">
        <f>IFERROR(__xludf.DUMMYFUNCTION("""COMPUTED_VALUE"""),"Hà Nội")</f>
        <v>Hà Nội</v>
      </c>
      <c r="C747" s="265" t="str">
        <f>IFERROR(__xludf.DUMMYFUNCTION("""COMPUTED_VALUE"""),"Locked")</f>
        <v>Locked</v>
      </c>
      <c r="D747" s="265" t="str">
        <f>IFERROR(__xludf.DUMMYFUNCTION("""COMPUTED_VALUE"""),"Vận tải &amp; logistics")</f>
        <v>Vận tải &amp; logistics</v>
      </c>
      <c r="E747" s="265" t="str">
        <f>IFERROR(__xludf.DUMMYFUNCTION("""COMPUTED_VALUE"""),"Không phân công")</f>
        <v>Không phân công</v>
      </c>
      <c r="F747" s="265" t="str">
        <f>IFERROR(__xludf.DUMMYFUNCTION("""COMPUTED_VALUE"""),"Sale chưa cung cấp")</f>
        <v>Sale chưa cung cấp</v>
      </c>
      <c r="G747" s="265" t="str">
        <f>IFERROR(__xludf.DUMMYFUNCTION("""COMPUTED_VALUE"""),"Starter")</f>
        <v>Starter</v>
      </c>
      <c r="H747" s="265" t="str">
        <f>IFERROR(__xludf.DUMMYFUNCTION("""COMPUTED_VALUE"""),"Trả sau")</f>
        <v>Trả sau</v>
      </c>
      <c r="I747" s="265" t="str">
        <f>IFERROR(__xludf.DUMMYFUNCTION("""COMPUTED_VALUE"""),"API")</f>
        <v>API</v>
      </c>
      <c r="J747" s="265" t="str">
        <f>IFERROR(__xludf.DUMMYFUNCTION("""COMPUTED_VALUE"""),"API")</f>
        <v>API</v>
      </c>
      <c r="K747" s="265" t="str">
        <f>IFERROR(__xludf.DUMMYFUNCTION("""COMPUTED_VALUE"""),"LinhNTT1")</f>
        <v>LinhNTT1</v>
      </c>
    </row>
    <row r="748">
      <c r="A748" s="265" t="str">
        <f>IFERROR(__xludf.DUMMYFUNCTION("""COMPUTED_VALUE"""),"983")</f>
        <v>983</v>
      </c>
      <c r="B748" s="265" t="str">
        <f>IFERROR(__xludf.DUMMYFUNCTION("""COMPUTED_VALUE"""),"Sài Gòn")</f>
        <v>Sài Gòn</v>
      </c>
      <c r="C748" s="265" t="str">
        <f>IFERROR(__xludf.DUMMYFUNCTION("""COMPUTED_VALUE"""),"Locked")</f>
        <v>Locked</v>
      </c>
      <c r="D748" s="265" t="str">
        <f>IFERROR(__xludf.DUMMYFUNCTION("""COMPUTED_VALUE"""),"Nhà hàng &amp; Quán")</f>
        <v>Nhà hàng &amp; Quán</v>
      </c>
      <c r="E748" s="265" t="str">
        <f>IFERROR(__xludf.DUMMYFUNCTION("""COMPUTED_VALUE"""),"Không phân công")</f>
        <v>Không phân công</v>
      </c>
      <c r="F748" s="265" t="str">
        <f>IFERROR(__xludf.DUMMYFUNCTION("""COMPUTED_VALUE"""),"Sale chưa cung cấp")</f>
        <v>Sale chưa cung cấp</v>
      </c>
      <c r="G748" s="265" t="str">
        <f>IFERROR(__xludf.DUMMYFUNCTION("""COMPUTED_VALUE"""),"Starter")</f>
        <v>Starter</v>
      </c>
      <c r="H748" s="265" t="str">
        <f>IFERROR(__xludf.DUMMYFUNCTION("""COMPUTED_VALUE"""),"Trả sau")</f>
        <v>Trả sau</v>
      </c>
      <c r="I748" s="265" t="str">
        <f>IFERROR(__xludf.DUMMYFUNCTION("""COMPUTED_VALUE"""),"API")</f>
        <v>API</v>
      </c>
      <c r="J748" s="265" t="str">
        <f>IFERROR(__xludf.DUMMYFUNCTION("""COMPUTED_VALUE"""),"API")</f>
        <v>API</v>
      </c>
      <c r="K748" s="265" t="str">
        <f>IFERROR(__xludf.DUMMYFUNCTION("""COMPUTED_VALUE"""),"LinhNTT1")</f>
        <v>LinhNTT1</v>
      </c>
    </row>
    <row r="749">
      <c r="A749" s="265" t="str">
        <f>IFERROR(__xludf.DUMMYFUNCTION("""COMPUTED_VALUE"""),"984")</f>
        <v>984</v>
      </c>
      <c r="B749" s="265" t="str">
        <f>IFERROR(__xludf.DUMMYFUNCTION("""COMPUTED_VALUE"""),"Sài Gòn")</f>
        <v>Sài Gòn</v>
      </c>
      <c r="C749" s="265" t="str">
        <f>IFERROR(__xludf.DUMMYFUNCTION("""COMPUTED_VALUE"""),"Locked")</f>
        <v>Locked</v>
      </c>
      <c r="D749" s="265" t="str">
        <f>IFERROR(__xludf.DUMMYFUNCTION("""COMPUTED_VALUE"""),"Bất động sản")</f>
        <v>Bất động sản</v>
      </c>
      <c r="E749" s="265" t="str">
        <f>IFERROR(__xludf.DUMMYFUNCTION("""COMPUTED_VALUE"""),"Không phân công")</f>
        <v>Không phân công</v>
      </c>
      <c r="F749" s="265" t="str">
        <f>IFERROR(__xludf.DUMMYFUNCTION("""COMPUTED_VALUE"""),"Sale chưa cung cấp")</f>
        <v>Sale chưa cung cấp</v>
      </c>
      <c r="G749" s="265" t="str">
        <f>IFERROR(__xludf.DUMMYFUNCTION("""COMPUTED_VALUE"""),"Starter")</f>
        <v>Starter</v>
      </c>
      <c r="H749" s="265" t="str">
        <f>IFERROR(__xludf.DUMMYFUNCTION("""COMPUTED_VALUE"""),"Trả sau")</f>
        <v>Trả sau</v>
      </c>
      <c r="I749" s="265" t="str">
        <f>IFERROR(__xludf.DUMMYFUNCTION("""COMPUTED_VALUE"""),"API")</f>
        <v>API</v>
      </c>
      <c r="J749" s="265" t="str">
        <f>IFERROR(__xludf.DUMMYFUNCTION("""COMPUTED_VALUE"""),"API")</f>
        <v>API</v>
      </c>
      <c r="K749" s="265" t="str">
        <f>IFERROR(__xludf.DUMMYFUNCTION("""COMPUTED_VALUE"""),"LinhNTT1")</f>
        <v>LinhNTT1</v>
      </c>
    </row>
    <row r="750">
      <c r="A750" s="265" t="str">
        <f>IFERROR(__xludf.DUMMYFUNCTION("""COMPUTED_VALUE"""),"985")</f>
        <v>985</v>
      </c>
      <c r="B750" s="265" t="str">
        <f>IFERROR(__xludf.DUMMYFUNCTION("""COMPUTED_VALUE"""),"Hà Nội")</f>
        <v>Hà Nội</v>
      </c>
      <c r="C750" s="265" t="str">
        <f>IFERROR(__xludf.DUMMYFUNCTION("""COMPUTED_VALUE"""),"Locked")</f>
        <v>Locked</v>
      </c>
      <c r="D750" s="265" t="str">
        <f>IFERROR(__xludf.DUMMYFUNCTION("""COMPUTED_VALUE"""),"Sale chưa cung cấp")</f>
        <v>Sale chưa cung cấp</v>
      </c>
      <c r="E750" s="265" t="str">
        <f>IFERROR(__xludf.DUMMYFUNCTION("""COMPUTED_VALUE"""),"Không phân công")</f>
        <v>Không phân công</v>
      </c>
      <c r="F750" s="265" t="str">
        <f>IFERROR(__xludf.DUMMYFUNCTION("""COMPUTED_VALUE"""),"Sale chưa cung cấp")</f>
        <v>Sale chưa cung cấp</v>
      </c>
      <c r="G750" s="265" t="str">
        <f>IFERROR(__xludf.DUMMYFUNCTION("""COMPUTED_VALUE"""),"Starter")</f>
        <v>Starter</v>
      </c>
      <c r="H750" s="265" t="str">
        <f>IFERROR(__xludf.DUMMYFUNCTION("""COMPUTED_VALUE"""),"Trả sau")</f>
        <v>Trả sau</v>
      </c>
      <c r="I750" s="265" t="str">
        <f>IFERROR(__xludf.DUMMYFUNCTION("""COMPUTED_VALUE"""),"API")</f>
        <v>API</v>
      </c>
      <c r="J750" s="265" t="str">
        <f>IFERROR(__xludf.DUMMYFUNCTION("""COMPUTED_VALUE"""),"API")</f>
        <v>API</v>
      </c>
      <c r="K750" s="265" t="str">
        <f>IFERROR(__xludf.DUMMYFUNCTION("""COMPUTED_VALUE"""),"LinhNTT1")</f>
        <v>LinhNTT1</v>
      </c>
    </row>
    <row r="751">
      <c r="A751" s="265" t="str">
        <f>IFERROR(__xludf.DUMMYFUNCTION("""COMPUTED_VALUE"""),"986")</f>
        <v>986</v>
      </c>
      <c r="B751" s="265" t="str">
        <f>IFERROR(__xludf.DUMMYFUNCTION("""COMPUTED_VALUE"""),"Hà Nội")</f>
        <v>Hà Nội</v>
      </c>
      <c r="C751" s="265" t="str">
        <f>IFERROR(__xludf.DUMMYFUNCTION("""COMPUTED_VALUE"""),"Locked")</f>
        <v>Locked</v>
      </c>
      <c r="D751" s="265" t="str">
        <f>IFERROR(__xludf.DUMMYFUNCTION("""COMPUTED_VALUE"""),"Ô tô &amp; Xe máy")</f>
        <v>Ô tô &amp; Xe máy</v>
      </c>
      <c r="E751" s="265" t="str">
        <f>IFERROR(__xludf.DUMMYFUNCTION("""COMPUTED_VALUE"""),"Không phân công")</f>
        <v>Không phân công</v>
      </c>
      <c r="F751" s="265" t="str">
        <f>IFERROR(__xludf.DUMMYFUNCTION("""COMPUTED_VALUE"""),"Sale chưa cung cấp")</f>
        <v>Sale chưa cung cấp</v>
      </c>
      <c r="G751" s="265" t="str">
        <f>IFERROR(__xludf.DUMMYFUNCTION("""COMPUTED_VALUE"""),"Starter")</f>
        <v>Starter</v>
      </c>
      <c r="H751" s="265" t="str">
        <f>IFERROR(__xludf.DUMMYFUNCTION("""COMPUTED_VALUE"""),"Trả sau")</f>
        <v>Trả sau</v>
      </c>
      <c r="I751" s="265" t="str">
        <f>IFERROR(__xludf.DUMMYFUNCTION("""COMPUTED_VALUE"""),"API")</f>
        <v>API</v>
      </c>
      <c r="J751" s="265" t="str">
        <f>IFERROR(__xludf.DUMMYFUNCTION("""COMPUTED_VALUE"""),"API")</f>
        <v>API</v>
      </c>
      <c r="K751" s="265" t="str">
        <f>IFERROR(__xludf.DUMMYFUNCTION("""COMPUTED_VALUE"""),"LinhNTT1")</f>
        <v>LinhNTT1</v>
      </c>
    </row>
    <row r="752">
      <c r="A752" s="265" t="str">
        <f>IFERROR(__xludf.DUMMYFUNCTION("""COMPUTED_VALUE"""),"987")</f>
        <v>987</v>
      </c>
      <c r="B752" s="265" t="str">
        <f>IFERROR(__xludf.DUMMYFUNCTION("""COMPUTED_VALUE"""),"Hà Nội")</f>
        <v>Hà Nội</v>
      </c>
      <c r="C752" s="265" t="str">
        <f>IFERROR(__xludf.DUMMYFUNCTION("""COMPUTED_VALUE"""),"Locked")</f>
        <v>Locked</v>
      </c>
      <c r="D752" s="265" t="str">
        <f>IFERROR(__xludf.DUMMYFUNCTION("""COMPUTED_VALUE"""),"Sale chưa cung cấp")</f>
        <v>Sale chưa cung cấp</v>
      </c>
      <c r="E752" s="265" t="str">
        <f>IFERROR(__xludf.DUMMYFUNCTION("""COMPUTED_VALUE"""),"Không phân công")</f>
        <v>Không phân công</v>
      </c>
      <c r="F752" s="265" t="str">
        <f>IFERROR(__xludf.DUMMYFUNCTION("""COMPUTED_VALUE"""),"Sale chưa cung cấp")</f>
        <v>Sale chưa cung cấp</v>
      </c>
      <c r="G752" s="265" t="str">
        <f>IFERROR(__xludf.DUMMYFUNCTION("""COMPUTED_VALUE"""),"Starter")</f>
        <v>Starter</v>
      </c>
      <c r="H752" s="265" t="str">
        <f>IFERROR(__xludf.DUMMYFUNCTION("""COMPUTED_VALUE"""),"Trả sau")</f>
        <v>Trả sau</v>
      </c>
      <c r="I752" s="265" t="str">
        <f>IFERROR(__xludf.DUMMYFUNCTION("""COMPUTED_VALUE"""),"API")</f>
        <v>API</v>
      </c>
      <c r="J752" s="265" t="str">
        <f>IFERROR(__xludf.DUMMYFUNCTION("""COMPUTED_VALUE"""),"API")</f>
        <v>API</v>
      </c>
      <c r="K752" s="265" t="str">
        <f>IFERROR(__xludf.DUMMYFUNCTION("""COMPUTED_VALUE"""),"LinhNTT1")</f>
        <v>LinhNTT1</v>
      </c>
    </row>
    <row r="753">
      <c r="A753" s="265" t="str">
        <f>IFERROR(__xludf.DUMMYFUNCTION("""COMPUTED_VALUE"""),"989")</f>
        <v>989</v>
      </c>
      <c r="B753" s="265" t="str">
        <f>IFERROR(__xludf.DUMMYFUNCTION("""COMPUTED_VALUE"""),"Hà Nội")</f>
        <v>Hà Nội</v>
      </c>
      <c r="C753" s="265" t="str">
        <f>IFERROR(__xludf.DUMMYFUNCTION("""COMPUTED_VALUE"""),"Locked")</f>
        <v>Locked</v>
      </c>
      <c r="D753" s="265" t="str">
        <f>IFERROR(__xludf.DUMMYFUNCTION("""COMPUTED_VALUE"""),"Viễn thông")</f>
        <v>Viễn thông</v>
      </c>
      <c r="E753" s="265" t="str">
        <f>IFERROR(__xludf.DUMMYFUNCTION("""COMPUTED_VALUE"""),"Không phân công")</f>
        <v>Không phân công</v>
      </c>
      <c r="F753" s="265" t="str">
        <f>IFERROR(__xludf.DUMMYFUNCTION("""COMPUTED_VALUE"""),"Sale chưa cung cấp")</f>
        <v>Sale chưa cung cấp</v>
      </c>
      <c r="G753" s="265" t="str">
        <f>IFERROR(__xludf.DUMMYFUNCTION("""COMPUTED_VALUE"""),"Starter")</f>
        <v>Starter</v>
      </c>
      <c r="H753" s="265" t="str">
        <f>IFERROR(__xludf.DUMMYFUNCTION("""COMPUTED_VALUE"""),"Trả sau")</f>
        <v>Trả sau</v>
      </c>
      <c r="I753" s="265" t="str">
        <f>IFERROR(__xludf.DUMMYFUNCTION("""COMPUTED_VALUE"""),"API")</f>
        <v>API</v>
      </c>
      <c r="J753" s="265" t="str">
        <f>IFERROR(__xludf.DUMMYFUNCTION("""COMPUTED_VALUE"""),"API")</f>
        <v>API</v>
      </c>
      <c r="K753" s="265" t="str">
        <f>IFERROR(__xludf.DUMMYFUNCTION("""COMPUTED_VALUE"""),"LinhNTT1")</f>
        <v>LinhNTT1</v>
      </c>
    </row>
    <row r="754">
      <c r="A754" s="265" t="str">
        <f>IFERROR(__xludf.DUMMYFUNCTION("""COMPUTED_VALUE"""),"988")</f>
        <v>988</v>
      </c>
      <c r="B754" s="265" t="str">
        <f>IFERROR(__xludf.DUMMYFUNCTION("""COMPUTED_VALUE"""),"Hà Nội")</f>
        <v>Hà Nội</v>
      </c>
      <c r="C754" s="265" t="str">
        <f>IFERROR(__xludf.DUMMYFUNCTION("""COMPUTED_VALUE"""),"Active")</f>
        <v>Active</v>
      </c>
      <c r="D754" s="265" t="str">
        <f>IFERROR(__xludf.DUMMYFUNCTION("""COMPUTED_VALUE"""),"Viễn thông")</f>
        <v>Viễn thông</v>
      </c>
      <c r="E754" s="265" t="str">
        <f>IFERROR(__xludf.DUMMYFUNCTION("""COMPUTED_VALUE"""),"Không phân công")</f>
        <v>Không phân công</v>
      </c>
      <c r="F754" s="265" t="str">
        <f>IFERROR(__xludf.DUMMYFUNCTION("""COMPUTED_VALUE"""),"Sale chưa cung cấp")</f>
        <v>Sale chưa cung cấp</v>
      </c>
      <c r="G754" s="265" t="str">
        <f>IFERROR(__xludf.DUMMYFUNCTION("""COMPUTED_VALUE"""),"Starter")</f>
        <v>Starter</v>
      </c>
      <c r="H754" s="265" t="str">
        <f>IFERROR(__xludf.DUMMYFUNCTION("""COMPUTED_VALUE"""),"Trả sau")</f>
        <v>Trả sau</v>
      </c>
      <c r="I754" s="265" t="str">
        <f>IFERROR(__xludf.DUMMYFUNCTION("""COMPUTED_VALUE"""),"API")</f>
        <v>API</v>
      </c>
      <c r="J754" s="265" t="str">
        <f>IFERROR(__xludf.DUMMYFUNCTION("""COMPUTED_VALUE"""),"API")</f>
        <v>API</v>
      </c>
      <c r="K754" s="265" t="str">
        <f>IFERROR(__xludf.DUMMYFUNCTION("""COMPUTED_VALUE"""),"DungPL")</f>
        <v>DungPL</v>
      </c>
    </row>
    <row r="755">
      <c r="A755" s="265" t="str">
        <f>IFERROR(__xludf.DUMMYFUNCTION("""COMPUTED_VALUE"""),"990")</f>
        <v>990</v>
      </c>
      <c r="B755" s="265" t="str">
        <f>IFERROR(__xludf.DUMMYFUNCTION("""COMPUTED_VALUE"""),"Sài Gòn")</f>
        <v>Sài Gòn</v>
      </c>
      <c r="C755" s="265" t="str">
        <f>IFERROR(__xludf.DUMMYFUNCTION("""COMPUTED_VALUE"""),"Locked")</f>
        <v>Locked</v>
      </c>
      <c r="D755" s="265" t="str">
        <f>IFERROR(__xludf.DUMMYFUNCTION("""COMPUTED_VALUE"""),"Sale chưa cung cấp")</f>
        <v>Sale chưa cung cấp</v>
      </c>
      <c r="E755" s="265" t="str">
        <f>IFERROR(__xludf.DUMMYFUNCTION("""COMPUTED_VALUE"""),"Không phân công")</f>
        <v>Không phân công</v>
      </c>
      <c r="F755" s="265" t="str">
        <f>IFERROR(__xludf.DUMMYFUNCTION("""COMPUTED_VALUE"""),"Sale chưa cung cấp")</f>
        <v>Sale chưa cung cấp</v>
      </c>
      <c r="G755" s="265" t="str">
        <f>IFERROR(__xludf.DUMMYFUNCTION("""COMPUTED_VALUE"""),"Starter")</f>
        <v>Starter</v>
      </c>
      <c r="H755" s="265" t="str">
        <f>IFERROR(__xludf.DUMMYFUNCTION("""COMPUTED_VALUE"""),"Trả sau")</f>
        <v>Trả sau</v>
      </c>
      <c r="I755" s="265" t="str">
        <f>IFERROR(__xludf.DUMMYFUNCTION("""COMPUTED_VALUE"""),"API")</f>
        <v>API</v>
      </c>
      <c r="J755" s="265" t="str">
        <f>IFERROR(__xludf.DUMMYFUNCTION("""COMPUTED_VALUE"""),"API")</f>
        <v>API</v>
      </c>
      <c r="K755" s="265" t="str">
        <f>IFERROR(__xludf.DUMMYFUNCTION("""COMPUTED_VALUE"""),"LinhNTT1")</f>
        <v>LinhNTT1</v>
      </c>
    </row>
    <row r="756">
      <c r="A756" s="265" t="str">
        <f>IFERROR(__xludf.DUMMYFUNCTION("""COMPUTED_VALUE"""),"991")</f>
        <v>991</v>
      </c>
      <c r="B756" s="265" t="str">
        <f>IFERROR(__xludf.DUMMYFUNCTION("""COMPUTED_VALUE"""),"Hà Nội")</f>
        <v>Hà Nội</v>
      </c>
      <c r="C756" s="265" t="str">
        <f>IFERROR(__xludf.DUMMYFUNCTION("""COMPUTED_VALUE"""),"Locked")</f>
        <v>Locked</v>
      </c>
      <c r="D756" s="265" t="str">
        <f>IFERROR(__xludf.DUMMYFUNCTION("""COMPUTED_VALUE"""),"Viễn thông")</f>
        <v>Viễn thông</v>
      </c>
      <c r="E756" s="265" t="str">
        <f>IFERROR(__xludf.DUMMYFUNCTION("""COMPUTED_VALUE"""),"Không phân công")</f>
        <v>Không phân công</v>
      </c>
      <c r="F756" s="265" t="str">
        <f>IFERROR(__xludf.DUMMYFUNCTION("""COMPUTED_VALUE"""),"Sale chưa cung cấp")</f>
        <v>Sale chưa cung cấp</v>
      </c>
      <c r="G756" s="265" t="str">
        <f>IFERROR(__xludf.DUMMYFUNCTION("""COMPUTED_VALUE"""),"Starter")</f>
        <v>Starter</v>
      </c>
      <c r="H756" s="265" t="str">
        <f>IFERROR(__xludf.DUMMYFUNCTION("""COMPUTED_VALUE"""),"Trả sau")</f>
        <v>Trả sau</v>
      </c>
      <c r="I756" s="265" t="str">
        <f>IFERROR(__xludf.DUMMYFUNCTION("""COMPUTED_VALUE"""),"API")</f>
        <v>API</v>
      </c>
      <c r="J756" s="265" t="str">
        <f>IFERROR(__xludf.DUMMYFUNCTION("""COMPUTED_VALUE"""),"API")</f>
        <v>API</v>
      </c>
      <c r="K756" s="265" t="str">
        <f>IFERROR(__xludf.DUMMYFUNCTION("""COMPUTED_VALUE"""),"DungPL")</f>
        <v>DungPL</v>
      </c>
    </row>
    <row r="757">
      <c r="A757" s="265" t="str">
        <f>IFERROR(__xludf.DUMMYFUNCTION("""COMPUTED_VALUE"""),"992")</f>
        <v>992</v>
      </c>
      <c r="B757" s="265" t="str">
        <f>IFERROR(__xludf.DUMMYFUNCTION("""COMPUTED_VALUE"""),"Hà Nội")</f>
        <v>Hà Nội</v>
      </c>
      <c r="C757" s="265" t="str">
        <f>IFERROR(__xludf.DUMMYFUNCTION("""COMPUTED_VALUE"""),"Locked")</f>
        <v>Locked</v>
      </c>
      <c r="D757" s="265" t="str">
        <f>IFERROR(__xludf.DUMMYFUNCTION("""COMPUTED_VALUE"""),"Sale chưa cung cấp")</f>
        <v>Sale chưa cung cấp</v>
      </c>
      <c r="E757" s="265" t="str">
        <f>IFERROR(__xludf.DUMMYFUNCTION("""COMPUTED_VALUE"""),"Không phân công")</f>
        <v>Không phân công</v>
      </c>
      <c r="F757" s="265" t="str">
        <f>IFERROR(__xludf.DUMMYFUNCTION("""COMPUTED_VALUE"""),"Sale chưa cung cấp")</f>
        <v>Sale chưa cung cấp</v>
      </c>
      <c r="G757" s="265" t="str">
        <f>IFERROR(__xludf.DUMMYFUNCTION("""COMPUTED_VALUE"""),"Starter")</f>
        <v>Starter</v>
      </c>
      <c r="H757" s="265" t="str">
        <f>IFERROR(__xludf.DUMMYFUNCTION("""COMPUTED_VALUE"""),"Trả sau")</f>
        <v>Trả sau</v>
      </c>
      <c r="I757" s="265" t="str">
        <f>IFERROR(__xludf.DUMMYFUNCTION("""COMPUTED_VALUE"""),"API")</f>
        <v>API</v>
      </c>
      <c r="J757" s="265" t="str">
        <f>IFERROR(__xludf.DUMMYFUNCTION("""COMPUTED_VALUE"""),"API")</f>
        <v>API</v>
      </c>
      <c r="K757" s="265" t="str">
        <f>IFERROR(__xludf.DUMMYFUNCTION("""COMPUTED_VALUE"""),"LinhNTT1")</f>
        <v>LinhNTT1</v>
      </c>
    </row>
    <row r="758">
      <c r="A758" s="265" t="str">
        <f>IFERROR(__xludf.DUMMYFUNCTION("""COMPUTED_VALUE"""),"993")</f>
        <v>993</v>
      </c>
      <c r="B758" s="265" t="str">
        <f>IFERROR(__xludf.DUMMYFUNCTION("""COMPUTED_VALUE"""),"Hà Nội")</f>
        <v>Hà Nội</v>
      </c>
      <c r="C758" s="265" t="str">
        <f>IFERROR(__xludf.DUMMYFUNCTION("""COMPUTED_VALUE"""),"Locked")</f>
        <v>Locked</v>
      </c>
      <c r="D758" s="265" t="str">
        <f>IFERROR(__xludf.DUMMYFUNCTION("""COMPUTED_VALUE"""),"Viễn thông")</f>
        <v>Viễn thông</v>
      </c>
      <c r="E758" s="265" t="str">
        <f>IFERROR(__xludf.DUMMYFUNCTION("""COMPUTED_VALUE"""),"Không phân công")</f>
        <v>Không phân công</v>
      </c>
      <c r="F758" s="265" t="str">
        <f>IFERROR(__xludf.DUMMYFUNCTION("""COMPUTED_VALUE"""),"Sale chưa cung cấp")</f>
        <v>Sale chưa cung cấp</v>
      </c>
      <c r="G758" s="265" t="str">
        <f>IFERROR(__xludf.DUMMYFUNCTION("""COMPUTED_VALUE"""),"Starter")</f>
        <v>Starter</v>
      </c>
      <c r="H758" s="265" t="str">
        <f>IFERROR(__xludf.DUMMYFUNCTION("""COMPUTED_VALUE"""),"Trả sau")</f>
        <v>Trả sau</v>
      </c>
      <c r="I758" s="265" t="str">
        <f>IFERROR(__xludf.DUMMYFUNCTION("""COMPUTED_VALUE"""),"API")</f>
        <v>API</v>
      </c>
      <c r="J758" s="265" t="str">
        <f>IFERROR(__xludf.DUMMYFUNCTION("""COMPUTED_VALUE"""),"API")</f>
        <v>API</v>
      </c>
      <c r="K758" s="265" t="str">
        <f>IFERROR(__xludf.DUMMYFUNCTION("""COMPUTED_VALUE"""),"DungPL")</f>
        <v>DungPL</v>
      </c>
    </row>
    <row r="759">
      <c r="A759" s="265" t="str">
        <f>IFERROR(__xludf.DUMMYFUNCTION("""COMPUTED_VALUE"""),"994")</f>
        <v>994</v>
      </c>
      <c r="B759" s="265" t="str">
        <f>IFERROR(__xludf.DUMMYFUNCTION("""COMPUTED_VALUE"""),"Hà Nội")</f>
        <v>Hà Nội</v>
      </c>
      <c r="C759" s="265" t="str">
        <f>IFERROR(__xludf.DUMMYFUNCTION("""COMPUTED_VALUE"""),"Locked")</f>
        <v>Locked</v>
      </c>
      <c r="D759" s="265" t="str">
        <f>IFERROR(__xludf.DUMMYFUNCTION("""COMPUTED_VALUE"""),"Dịch vụ khác")</f>
        <v>Dịch vụ khác</v>
      </c>
      <c r="E759" s="265" t="str">
        <f>IFERROR(__xludf.DUMMYFUNCTION("""COMPUTED_VALUE"""),"Không phân công")</f>
        <v>Không phân công</v>
      </c>
      <c r="F759" s="265" t="str">
        <f>IFERROR(__xludf.DUMMYFUNCTION("""COMPUTED_VALUE"""),"Sale chưa cung cấp")</f>
        <v>Sale chưa cung cấp</v>
      </c>
      <c r="G759" s="265" t="str">
        <f>IFERROR(__xludf.DUMMYFUNCTION("""COMPUTED_VALUE"""),"Starter")</f>
        <v>Starter</v>
      </c>
      <c r="H759" s="265" t="str">
        <f>IFERROR(__xludf.DUMMYFUNCTION("""COMPUTED_VALUE"""),"Trả sau")</f>
        <v>Trả sau</v>
      </c>
      <c r="I759" s="265" t="str">
        <f>IFERROR(__xludf.DUMMYFUNCTION("""COMPUTED_VALUE"""),"API")</f>
        <v>API</v>
      </c>
      <c r="J759" s="265" t="str">
        <f>IFERROR(__xludf.DUMMYFUNCTION("""COMPUTED_VALUE"""),"API")</f>
        <v>API</v>
      </c>
      <c r="K759" s="265" t="str">
        <f>IFERROR(__xludf.DUMMYFUNCTION("""COMPUTED_VALUE"""),"DungPL")</f>
        <v>DungPL</v>
      </c>
    </row>
    <row r="760">
      <c r="A760" s="265" t="str">
        <f>IFERROR(__xludf.DUMMYFUNCTION("""COMPUTED_VALUE"""),"995")</f>
        <v>995</v>
      </c>
      <c r="B760" s="265" t="str">
        <f>IFERROR(__xludf.DUMMYFUNCTION("""COMPUTED_VALUE"""),"Hà Nội")</f>
        <v>Hà Nội</v>
      </c>
      <c r="C760" s="265" t="str">
        <f>IFERROR(__xludf.DUMMYFUNCTION("""COMPUTED_VALUE"""),"Locked")</f>
        <v>Locked</v>
      </c>
      <c r="D760" s="265" t="str">
        <f>IFERROR(__xludf.DUMMYFUNCTION("""COMPUTED_VALUE"""),"Viễn thông")</f>
        <v>Viễn thông</v>
      </c>
      <c r="E760" s="265" t="str">
        <f>IFERROR(__xludf.DUMMYFUNCTION("""COMPUTED_VALUE"""),"Không phân công")</f>
        <v>Không phân công</v>
      </c>
      <c r="F760" s="265" t="str">
        <f>IFERROR(__xludf.DUMMYFUNCTION("""COMPUTED_VALUE"""),"Sale chưa cung cấp")</f>
        <v>Sale chưa cung cấp</v>
      </c>
      <c r="G760" s="265" t="str">
        <f>IFERROR(__xludf.DUMMYFUNCTION("""COMPUTED_VALUE"""),"Starter")</f>
        <v>Starter</v>
      </c>
      <c r="H760" s="265" t="str">
        <f>IFERROR(__xludf.DUMMYFUNCTION("""COMPUTED_VALUE"""),"Trả sau")</f>
        <v>Trả sau</v>
      </c>
      <c r="I760" s="265" t="str">
        <f>IFERROR(__xludf.DUMMYFUNCTION("""COMPUTED_VALUE"""),"API")</f>
        <v>API</v>
      </c>
      <c r="J760" s="265" t="str">
        <f>IFERROR(__xludf.DUMMYFUNCTION("""COMPUTED_VALUE"""),"API")</f>
        <v>API</v>
      </c>
      <c r="K760" s="265" t="str">
        <f>IFERROR(__xludf.DUMMYFUNCTION("""COMPUTED_VALUE"""),"DungPL")</f>
        <v>DungPL</v>
      </c>
    </row>
    <row r="761">
      <c r="A761" s="265" t="str">
        <f>IFERROR(__xludf.DUMMYFUNCTION("""COMPUTED_VALUE"""),"996")</f>
        <v>996</v>
      </c>
      <c r="B761" s="265" t="str">
        <f>IFERROR(__xludf.DUMMYFUNCTION("""COMPUTED_VALUE"""),"Sài Gòn")</f>
        <v>Sài Gòn</v>
      </c>
      <c r="C761" s="265" t="str">
        <f>IFERROR(__xludf.DUMMYFUNCTION("""COMPUTED_VALUE"""),"Active")</f>
        <v>Active</v>
      </c>
      <c r="D761" s="265" t="str">
        <f>IFERROR(__xludf.DUMMYFUNCTION("""COMPUTED_VALUE"""),"Dịch vụ khác")</f>
        <v>Dịch vụ khác</v>
      </c>
      <c r="E761" s="265" t="str">
        <f>IFERROR(__xludf.DUMMYFUNCTION("""COMPUTED_VALUE"""),"Không phân công")</f>
        <v>Không phân công</v>
      </c>
      <c r="F761" s="265" t="str">
        <f>IFERROR(__xludf.DUMMYFUNCTION("""COMPUTED_VALUE"""),"Silver")</f>
        <v>Silver</v>
      </c>
      <c r="G761" s="265" t="str">
        <f>IFERROR(__xludf.DUMMYFUNCTION("""COMPUTED_VALUE"""),"Standard")</f>
        <v>Standard</v>
      </c>
      <c r="H761" s="265" t="str">
        <f>IFERROR(__xludf.DUMMYFUNCTION("""COMPUTED_VALUE"""),"Trả sau")</f>
        <v>Trả sau</v>
      </c>
      <c r="I761" s="265" t="str">
        <f>IFERROR(__xludf.DUMMYFUNCTION("""COMPUTED_VALUE"""),"Portal")</f>
        <v>Portal</v>
      </c>
      <c r="J761" s="265" t="str">
        <f>IFERROR(__xludf.DUMMYFUNCTION("""COMPUTED_VALUE"""),"File Excel")</f>
        <v>File Excel</v>
      </c>
      <c r="K761" s="265" t="str">
        <f>IFERROR(__xludf.DUMMYFUNCTION("""COMPUTED_VALUE"""),"DungPL")</f>
        <v>DungPL</v>
      </c>
    </row>
    <row r="762">
      <c r="A762" s="265" t="str">
        <f>IFERROR(__xludf.DUMMYFUNCTION("""COMPUTED_VALUE"""),"997")</f>
        <v>997</v>
      </c>
      <c r="B762" s="265" t="str">
        <f>IFERROR(__xludf.DUMMYFUNCTION("""COMPUTED_VALUE"""),"Hà Nội")</f>
        <v>Hà Nội</v>
      </c>
      <c r="C762" s="265" t="str">
        <f>IFERROR(__xludf.DUMMYFUNCTION("""COMPUTED_VALUE"""),"Locked")</f>
        <v>Locked</v>
      </c>
      <c r="D762" s="265" t="str">
        <f>IFERROR(__xludf.DUMMYFUNCTION("""COMPUTED_VALUE"""),"Dịch vụ khác")</f>
        <v>Dịch vụ khác</v>
      </c>
      <c r="E762" s="265" t="str">
        <f>IFERROR(__xludf.DUMMYFUNCTION("""COMPUTED_VALUE"""),"Không phân công")</f>
        <v>Không phân công</v>
      </c>
      <c r="F762" s="265" t="str">
        <f>IFERROR(__xludf.DUMMYFUNCTION("""COMPUTED_VALUE"""),"Sale chưa cung cấp")</f>
        <v>Sale chưa cung cấp</v>
      </c>
      <c r="G762" s="265" t="str">
        <f>IFERROR(__xludf.DUMMYFUNCTION("""COMPUTED_VALUE"""),"Starter")</f>
        <v>Starter</v>
      </c>
      <c r="H762" s="265" t="str">
        <f>IFERROR(__xludf.DUMMYFUNCTION("""COMPUTED_VALUE"""),"Trả sau")</f>
        <v>Trả sau</v>
      </c>
      <c r="I762" s="265" t="str">
        <f>IFERROR(__xludf.DUMMYFUNCTION("""COMPUTED_VALUE"""),"API")</f>
        <v>API</v>
      </c>
      <c r="J762" s="265" t="str">
        <f>IFERROR(__xludf.DUMMYFUNCTION("""COMPUTED_VALUE"""),"API")</f>
        <v>API</v>
      </c>
      <c r="K762" s="265" t="str">
        <f>IFERROR(__xludf.DUMMYFUNCTION("""COMPUTED_VALUE"""),"DungPL")</f>
        <v>DungPL</v>
      </c>
    </row>
    <row r="763">
      <c r="A763" s="265" t="str">
        <f>IFERROR(__xludf.DUMMYFUNCTION("""COMPUTED_VALUE"""),"998")</f>
        <v>998</v>
      </c>
      <c r="B763" s="265" t="str">
        <f>IFERROR(__xludf.DUMMYFUNCTION("""COMPUTED_VALUE"""),"Hà Nội")</f>
        <v>Hà Nội</v>
      </c>
      <c r="C763" s="265" t="str">
        <f>IFERROR(__xludf.DUMMYFUNCTION("""COMPUTED_VALUE"""),"Locked")</f>
        <v>Locked</v>
      </c>
      <c r="D763" s="265" t="str">
        <f>IFERROR(__xludf.DUMMYFUNCTION("""COMPUTED_VALUE"""),"Truyền thông &amp; Giải trí")</f>
        <v>Truyền thông &amp; Giải trí</v>
      </c>
      <c r="E763" s="265" t="str">
        <f>IFERROR(__xludf.DUMMYFUNCTION("""COMPUTED_VALUE"""),"Không phân công")</f>
        <v>Không phân công</v>
      </c>
      <c r="F763" s="265" t="str">
        <f>IFERROR(__xludf.DUMMYFUNCTION("""COMPUTED_VALUE"""),"Silver")</f>
        <v>Silver</v>
      </c>
      <c r="G763" s="265" t="str">
        <f>IFERROR(__xludf.DUMMYFUNCTION("""COMPUTED_VALUE"""),"Starter")</f>
        <v>Starter</v>
      </c>
      <c r="H763" s="265" t="str">
        <f>IFERROR(__xludf.DUMMYFUNCTION("""COMPUTED_VALUE"""),"Trả sau")</f>
        <v>Trả sau</v>
      </c>
      <c r="I763" s="265" t="str">
        <f>IFERROR(__xludf.DUMMYFUNCTION("""COMPUTED_VALUE"""),"API")</f>
        <v>API</v>
      </c>
      <c r="J763" s="265" t="str">
        <f>IFERROR(__xludf.DUMMYFUNCTION("""COMPUTED_VALUE"""),"API")</f>
        <v>API</v>
      </c>
      <c r="K763" s="265" t="str">
        <f>IFERROR(__xludf.DUMMYFUNCTION("""COMPUTED_VALUE"""),"DungVT")</f>
        <v>DungVT</v>
      </c>
    </row>
    <row r="764">
      <c r="A764" s="265" t="str">
        <f>IFERROR(__xludf.DUMMYFUNCTION("""COMPUTED_VALUE"""),"999")</f>
        <v>999</v>
      </c>
      <c r="B764" s="265" t="str">
        <f>IFERROR(__xludf.DUMMYFUNCTION("""COMPUTED_VALUE"""),"Hà Nội")</f>
        <v>Hà Nội</v>
      </c>
      <c r="C764" s="265" t="str">
        <f>IFERROR(__xludf.DUMMYFUNCTION("""COMPUTED_VALUE"""),"Locked")</f>
        <v>Locked</v>
      </c>
      <c r="D764" s="265" t="str">
        <f>IFERROR(__xludf.DUMMYFUNCTION("""COMPUTED_VALUE"""),"Dịch vụ khác")</f>
        <v>Dịch vụ khác</v>
      </c>
      <c r="E764" s="265" t="str">
        <f>IFERROR(__xludf.DUMMYFUNCTION("""COMPUTED_VALUE"""),"Không phân công")</f>
        <v>Không phân công</v>
      </c>
      <c r="F764" s="265" t="str">
        <f>IFERROR(__xludf.DUMMYFUNCTION("""COMPUTED_VALUE"""),"Sale chưa cung cấp")</f>
        <v>Sale chưa cung cấp</v>
      </c>
      <c r="G764" s="265" t="str">
        <f>IFERROR(__xludf.DUMMYFUNCTION("""COMPUTED_VALUE"""),"Starter")</f>
        <v>Starter</v>
      </c>
      <c r="H764" s="265" t="str">
        <f>IFERROR(__xludf.DUMMYFUNCTION("""COMPUTED_VALUE"""),"Trả sau")</f>
        <v>Trả sau</v>
      </c>
      <c r="I764" s="265" t="str">
        <f>IFERROR(__xludf.DUMMYFUNCTION("""COMPUTED_VALUE"""),"API")</f>
        <v>API</v>
      </c>
      <c r="J764" s="265" t="str">
        <f>IFERROR(__xludf.DUMMYFUNCTION("""COMPUTED_VALUE"""),"File Excel")</f>
        <v>File Excel</v>
      </c>
      <c r="K764" s="265" t="str">
        <f>IFERROR(__xludf.DUMMYFUNCTION("""COMPUTED_VALUE"""),"YếnĐH")</f>
        <v>YếnĐH</v>
      </c>
    </row>
    <row r="765">
      <c r="A765" s="265" t="str">
        <f>IFERROR(__xludf.DUMMYFUNCTION("""COMPUTED_VALUE"""),"1001")</f>
        <v>1001</v>
      </c>
      <c r="B765" s="265" t="str">
        <f>IFERROR(__xludf.DUMMYFUNCTION("""COMPUTED_VALUE"""),"Hà Nội")</f>
        <v>Hà Nội</v>
      </c>
      <c r="C765" s="265" t="str">
        <f>IFERROR(__xludf.DUMMYFUNCTION("""COMPUTED_VALUE"""),"Locked")</f>
        <v>Locked</v>
      </c>
      <c r="D765" s="265" t="str">
        <f>IFERROR(__xludf.DUMMYFUNCTION("""COMPUTED_VALUE"""),"Truyền thông &amp; Giải trí")</f>
        <v>Truyền thông &amp; Giải trí</v>
      </c>
      <c r="E765" s="265" t="str">
        <f>IFERROR(__xludf.DUMMYFUNCTION("""COMPUTED_VALUE"""),"Không phân công")</f>
        <v>Không phân công</v>
      </c>
      <c r="F765" s="265" t="str">
        <f>IFERROR(__xludf.DUMMYFUNCTION("""COMPUTED_VALUE"""),"Silver")</f>
        <v>Silver</v>
      </c>
      <c r="G765" s="265" t="str">
        <f>IFERROR(__xludf.DUMMYFUNCTION("""COMPUTED_VALUE"""),"Starter")</f>
        <v>Starter</v>
      </c>
      <c r="H765" s="265" t="str">
        <f>IFERROR(__xludf.DUMMYFUNCTION("""COMPUTED_VALUE"""),"Trả sau")</f>
        <v>Trả sau</v>
      </c>
      <c r="I765" s="265" t="str">
        <f>IFERROR(__xludf.DUMMYFUNCTION("""COMPUTED_VALUE"""),"API")</f>
        <v>API</v>
      </c>
      <c r="J765" s="265" t="str">
        <f>IFERROR(__xludf.DUMMYFUNCTION("""COMPUTED_VALUE"""),"API")</f>
        <v>API</v>
      </c>
      <c r="K765" s="265" t="str">
        <f>IFERROR(__xludf.DUMMYFUNCTION("""COMPUTED_VALUE"""),"DungVT")</f>
        <v>DungVT</v>
      </c>
    </row>
    <row r="766">
      <c r="A766" s="265" t="str">
        <f>IFERROR(__xludf.DUMMYFUNCTION("""COMPUTED_VALUE"""),"1002")</f>
        <v>1002</v>
      </c>
      <c r="B766" s="265" t="str">
        <f>IFERROR(__xludf.DUMMYFUNCTION("""COMPUTED_VALUE"""),"Hà Nội")</f>
        <v>Hà Nội</v>
      </c>
      <c r="C766" s="265" t="str">
        <f>IFERROR(__xludf.DUMMYFUNCTION("""COMPUTED_VALUE"""),"Locked")</f>
        <v>Locked</v>
      </c>
      <c r="D766" s="265" t="str">
        <f>IFERROR(__xludf.DUMMYFUNCTION("""COMPUTED_VALUE"""),"Dịch vụ khác")</f>
        <v>Dịch vụ khác</v>
      </c>
      <c r="E766" s="265" t="str">
        <f>IFERROR(__xludf.DUMMYFUNCTION("""COMPUTED_VALUE"""),"Không phân công")</f>
        <v>Không phân công</v>
      </c>
      <c r="F766" s="265" t="str">
        <f>IFERROR(__xludf.DUMMYFUNCTION("""COMPUTED_VALUE"""),"Sale chưa cung cấp")</f>
        <v>Sale chưa cung cấp</v>
      </c>
      <c r="G766" s="265" t="str">
        <f>IFERROR(__xludf.DUMMYFUNCTION("""COMPUTED_VALUE"""),"Starter")</f>
        <v>Starter</v>
      </c>
      <c r="H766" s="265" t="str">
        <f>IFERROR(__xludf.DUMMYFUNCTION("""COMPUTED_VALUE"""),"Trả sau")</f>
        <v>Trả sau</v>
      </c>
      <c r="I766" s="265" t="str">
        <f>IFERROR(__xludf.DUMMYFUNCTION("""COMPUTED_VALUE"""),"API")</f>
        <v>API</v>
      </c>
      <c r="J766" s="265" t="str">
        <f>IFERROR(__xludf.DUMMYFUNCTION("""COMPUTED_VALUE"""),"API")</f>
        <v>API</v>
      </c>
      <c r="K766" s="265" t="str">
        <f>IFERROR(__xludf.DUMMYFUNCTION("""COMPUTED_VALUE"""),"YếnĐH")</f>
        <v>YếnĐH</v>
      </c>
    </row>
    <row r="767">
      <c r="A767" s="265" t="str">
        <f>IFERROR(__xludf.DUMMYFUNCTION("""COMPUTED_VALUE"""),"1003")</f>
        <v>1003</v>
      </c>
      <c r="B767" s="265" t="str">
        <f>IFERROR(__xludf.DUMMYFUNCTION("""COMPUTED_VALUE"""),"Hà Nội")</f>
        <v>Hà Nội</v>
      </c>
      <c r="C767" s="265" t="str">
        <f>IFERROR(__xludf.DUMMYFUNCTION("""COMPUTED_VALUE"""),"Locked")</f>
        <v>Locked</v>
      </c>
      <c r="D767" s="265" t="str">
        <f>IFERROR(__xludf.DUMMYFUNCTION("""COMPUTED_VALUE"""),"Truyền thông &amp; Giải trí")</f>
        <v>Truyền thông &amp; Giải trí</v>
      </c>
      <c r="E767" s="265" t="str">
        <f>IFERROR(__xludf.DUMMYFUNCTION("""COMPUTED_VALUE"""),"Không phân công")</f>
        <v>Không phân công</v>
      </c>
      <c r="F767" s="265" t="str">
        <f>IFERROR(__xludf.DUMMYFUNCTION("""COMPUTED_VALUE"""),"Bronze")</f>
        <v>Bronze</v>
      </c>
      <c r="G767" s="265" t="str">
        <f>IFERROR(__xludf.DUMMYFUNCTION("""COMPUTED_VALUE"""),"Starter")</f>
        <v>Starter</v>
      </c>
      <c r="H767" s="265" t="str">
        <f>IFERROR(__xludf.DUMMYFUNCTION("""COMPUTED_VALUE"""),"Trả sau")</f>
        <v>Trả sau</v>
      </c>
      <c r="I767" s="265" t="str">
        <f>IFERROR(__xludf.DUMMYFUNCTION("""COMPUTED_VALUE"""),"API")</f>
        <v>API</v>
      </c>
      <c r="J767" s="265" t="str">
        <f>IFERROR(__xludf.DUMMYFUNCTION("""COMPUTED_VALUE"""),"API")</f>
        <v>API</v>
      </c>
      <c r="K767" s="265" t="str">
        <f>IFERROR(__xludf.DUMMYFUNCTION("""COMPUTED_VALUE"""),"DungVT")</f>
        <v>DungVT</v>
      </c>
    </row>
    <row r="768">
      <c r="A768" s="265" t="str">
        <f>IFERROR(__xludf.DUMMYFUNCTION("""COMPUTED_VALUE"""),"1004")</f>
        <v>1004</v>
      </c>
      <c r="B768" s="265" t="str">
        <f>IFERROR(__xludf.DUMMYFUNCTION("""COMPUTED_VALUE"""),"Sài Gòn")</f>
        <v>Sài Gòn</v>
      </c>
      <c r="C768" s="265" t="str">
        <f>IFERROR(__xludf.DUMMYFUNCTION("""COMPUTED_VALUE"""),"Locked")</f>
        <v>Locked</v>
      </c>
      <c r="D768" s="265" t="str">
        <f>IFERROR(__xludf.DUMMYFUNCTION("""COMPUTED_VALUE"""),"Thực phẩm &amp; Đồ uống")</f>
        <v>Thực phẩm &amp; Đồ uống</v>
      </c>
      <c r="E768" s="265" t="str">
        <f>IFERROR(__xludf.DUMMYFUNCTION("""COMPUTED_VALUE"""),"TrâmNNB")</f>
        <v>TrâmNNB</v>
      </c>
      <c r="F768" s="265" t="str">
        <f>IFERROR(__xludf.DUMMYFUNCTION("""COMPUTED_VALUE"""),"Diamond")</f>
        <v>Diamond</v>
      </c>
      <c r="G768" s="265" t="str">
        <f>IFERROR(__xludf.DUMMYFUNCTION("""COMPUTED_VALUE"""),"Starter")</f>
        <v>Starter</v>
      </c>
      <c r="H768" s="265" t="str">
        <f>IFERROR(__xludf.DUMMYFUNCTION("""COMPUTED_VALUE"""),"Trả sau")</f>
        <v>Trả sau</v>
      </c>
      <c r="I768" s="265" t="str">
        <f>IFERROR(__xludf.DUMMYFUNCTION("""COMPUTED_VALUE"""),"API")</f>
        <v>API</v>
      </c>
      <c r="J768" s="265" t="str">
        <f>IFERROR(__xludf.DUMMYFUNCTION("""COMPUTED_VALUE"""),"API")</f>
        <v>API</v>
      </c>
      <c r="K768" s="265" t="str">
        <f>IFERROR(__xludf.DUMMYFUNCTION("""COMPUTED_VALUE"""),"YếnĐH")</f>
        <v>YếnĐH</v>
      </c>
    </row>
    <row r="769">
      <c r="A769" s="265" t="str">
        <f>IFERROR(__xludf.DUMMYFUNCTION("""COMPUTED_VALUE"""),"1005")</f>
        <v>1005</v>
      </c>
      <c r="B769" s="265" t="str">
        <f>IFERROR(__xludf.DUMMYFUNCTION("""COMPUTED_VALUE"""),"Hà Nội")</f>
        <v>Hà Nội</v>
      </c>
      <c r="C769" s="265" t="str">
        <f>IFERROR(__xludf.DUMMYFUNCTION("""COMPUTED_VALUE"""),"Locked")</f>
        <v>Locked</v>
      </c>
      <c r="D769" s="265" t="str">
        <f>IFERROR(__xludf.DUMMYFUNCTION("""COMPUTED_VALUE"""),"Công nghệ &amp; Phần mềm")</f>
        <v>Công nghệ &amp; Phần mềm</v>
      </c>
      <c r="E769" s="265" t="str">
        <f>IFERROR(__xludf.DUMMYFUNCTION("""COMPUTED_VALUE"""),"Không phân công")</f>
        <v>Không phân công</v>
      </c>
      <c r="F769" s="265" t="str">
        <f>IFERROR(__xludf.DUMMYFUNCTION("""COMPUTED_VALUE"""),"Silver")</f>
        <v>Silver</v>
      </c>
      <c r="G769" s="265" t="str">
        <f>IFERROR(__xludf.DUMMYFUNCTION("""COMPUTED_VALUE"""),"Starter")</f>
        <v>Starter</v>
      </c>
      <c r="H769" s="265" t="str">
        <f>IFERROR(__xludf.DUMMYFUNCTION("""COMPUTED_VALUE"""),"Trả sau")</f>
        <v>Trả sau</v>
      </c>
      <c r="I769" s="265" t="str">
        <f>IFERROR(__xludf.DUMMYFUNCTION("""COMPUTED_VALUE"""),"API")</f>
        <v>API</v>
      </c>
      <c r="J769" s="265" t="str">
        <f>IFERROR(__xludf.DUMMYFUNCTION("""COMPUTED_VALUE"""),"API")</f>
        <v>API</v>
      </c>
      <c r="K769" s="265" t="str">
        <f>IFERROR(__xludf.DUMMYFUNCTION("""COMPUTED_VALUE"""),"DungVT")</f>
        <v>DungVT</v>
      </c>
    </row>
    <row r="770">
      <c r="A770" s="265" t="str">
        <f>IFERROR(__xludf.DUMMYFUNCTION("""COMPUTED_VALUE"""),"1006")</f>
        <v>1006</v>
      </c>
      <c r="B770" s="265" t="str">
        <f>IFERROR(__xludf.DUMMYFUNCTION("""COMPUTED_VALUE"""),"Hà Nội")</f>
        <v>Hà Nội</v>
      </c>
      <c r="C770" s="265" t="str">
        <f>IFERROR(__xludf.DUMMYFUNCTION("""COMPUTED_VALUE"""),"Locked")</f>
        <v>Locked</v>
      </c>
      <c r="D770" s="265" t="str">
        <f>IFERROR(__xludf.DUMMYFUNCTION("""COMPUTED_VALUE"""),"Tài chính &amp; Ngân hàng")</f>
        <v>Tài chính &amp; Ngân hàng</v>
      </c>
      <c r="E770" s="265" t="str">
        <f>IFERROR(__xludf.DUMMYFUNCTION("""COMPUTED_VALUE"""),"Không phân công")</f>
        <v>Không phân công</v>
      </c>
      <c r="F770" s="265" t="str">
        <f>IFERROR(__xludf.DUMMYFUNCTION("""COMPUTED_VALUE"""),"Silver")</f>
        <v>Silver</v>
      </c>
      <c r="G770" s="265" t="str">
        <f>IFERROR(__xludf.DUMMYFUNCTION("""COMPUTED_VALUE"""),"Starter")</f>
        <v>Starter</v>
      </c>
      <c r="H770" s="265" t="str">
        <f>IFERROR(__xludf.DUMMYFUNCTION("""COMPUTED_VALUE"""),"Trả sau")</f>
        <v>Trả sau</v>
      </c>
      <c r="I770" s="265" t="str">
        <f>IFERROR(__xludf.DUMMYFUNCTION("""COMPUTED_VALUE"""),"API")</f>
        <v>API</v>
      </c>
      <c r="J770" s="265" t="str">
        <f>IFERROR(__xludf.DUMMYFUNCTION("""COMPUTED_VALUE"""),"API")</f>
        <v>API</v>
      </c>
      <c r="K770" s="265" t="str">
        <f>IFERROR(__xludf.DUMMYFUNCTION("""COMPUTED_VALUE"""),"DungVT")</f>
        <v>DungVT</v>
      </c>
    </row>
    <row r="771">
      <c r="A771" s="265" t="str">
        <f>IFERROR(__xludf.DUMMYFUNCTION("""COMPUTED_VALUE"""),"1007")</f>
        <v>1007</v>
      </c>
      <c r="B771" s="265" t="str">
        <f>IFERROR(__xludf.DUMMYFUNCTION("""COMPUTED_VALUE"""),"Hà Nội")</f>
        <v>Hà Nội</v>
      </c>
      <c r="C771" s="265" t="str">
        <f>IFERROR(__xludf.DUMMYFUNCTION("""COMPUTED_VALUE"""),"Locked")</f>
        <v>Locked</v>
      </c>
      <c r="D771" s="265" t="str">
        <f>IFERROR(__xludf.DUMMYFUNCTION("""COMPUTED_VALUE"""),"Y tế &amp; Dược phẩm")</f>
        <v>Y tế &amp; Dược phẩm</v>
      </c>
      <c r="E771" s="265" t="str">
        <f>IFERROR(__xludf.DUMMYFUNCTION("""COMPUTED_VALUE"""),"Không phân công")</f>
        <v>Không phân công</v>
      </c>
      <c r="F771" s="265" t="str">
        <f>IFERROR(__xludf.DUMMYFUNCTION("""COMPUTED_VALUE"""),"Sale chưa cung cấp")</f>
        <v>Sale chưa cung cấp</v>
      </c>
      <c r="G771" s="265" t="str">
        <f>IFERROR(__xludf.DUMMYFUNCTION("""COMPUTED_VALUE"""),"Starter")</f>
        <v>Starter</v>
      </c>
      <c r="H771" s="265" t="str">
        <f>IFERROR(__xludf.DUMMYFUNCTION("""COMPUTED_VALUE"""),"Trả sau")</f>
        <v>Trả sau</v>
      </c>
      <c r="I771" s="265" t="str">
        <f>IFERROR(__xludf.DUMMYFUNCTION("""COMPUTED_VALUE"""),"API")</f>
        <v>API</v>
      </c>
      <c r="J771" s="265" t="str">
        <f>IFERROR(__xludf.DUMMYFUNCTION("""COMPUTED_VALUE"""),"API")</f>
        <v>API</v>
      </c>
      <c r="K771" s="265" t="str">
        <f>IFERROR(__xludf.DUMMYFUNCTION("""COMPUTED_VALUE"""),"LinhNTT1")</f>
        <v>LinhNTT1</v>
      </c>
    </row>
    <row r="772">
      <c r="A772" s="265" t="str">
        <f>IFERROR(__xludf.DUMMYFUNCTION("""COMPUTED_VALUE"""),"1008")</f>
        <v>1008</v>
      </c>
      <c r="B772" s="265" t="str">
        <f>IFERROR(__xludf.DUMMYFUNCTION("""COMPUTED_VALUE"""),"Sài Gòn")</f>
        <v>Sài Gòn</v>
      </c>
      <c r="C772" s="265" t="str">
        <f>IFERROR(__xludf.DUMMYFUNCTION("""COMPUTED_VALUE"""),"Active")</f>
        <v>Active</v>
      </c>
      <c r="D772" s="265" t="str">
        <f>IFERROR(__xludf.DUMMYFUNCTION("""COMPUTED_VALUE"""),"Dịch vụ khác")</f>
        <v>Dịch vụ khác</v>
      </c>
      <c r="E772" s="265" t="str">
        <f>IFERROR(__xludf.DUMMYFUNCTION("""COMPUTED_VALUE"""),"Không phân công")</f>
        <v>Không phân công</v>
      </c>
      <c r="F772" s="265" t="str">
        <f>IFERROR(__xludf.DUMMYFUNCTION("""COMPUTED_VALUE"""),"Bronze")</f>
        <v>Bronze</v>
      </c>
      <c r="G772" s="265" t="str">
        <f>IFERROR(__xludf.DUMMYFUNCTION("""COMPUTED_VALUE"""),"Starter")</f>
        <v>Starter</v>
      </c>
      <c r="H772" s="265" t="str">
        <f>IFERROR(__xludf.DUMMYFUNCTION("""COMPUTED_VALUE"""),"Trả sau")</f>
        <v>Trả sau</v>
      </c>
      <c r="I772" s="265" t="str">
        <f>IFERROR(__xludf.DUMMYFUNCTION("""COMPUTED_VALUE"""),"API")</f>
        <v>API</v>
      </c>
      <c r="J772" s="265" t="str">
        <f>IFERROR(__xludf.DUMMYFUNCTION("""COMPUTED_VALUE"""),"API")</f>
        <v>API</v>
      </c>
      <c r="K772" s="265" t="str">
        <f>IFERROR(__xludf.DUMMYFUNCTION("""COMPUTED_VALUE"""),"DungPL")</f>
        <v>DungPL</v>
      </c>
    </row>
    <row r="773">
      <c r="A773" s="265" t="str">
        <f>IFERROR(__xludf.DUMMYFUNCTION("""COMPUTED_VALUE"""),"1009")</f>
        <v>1009</v>
      </c>
      <c r="B773" s="265" t="str">
        <f>IFERROR(__xludf.DUMMYFUNCTION("""COMPUTED_VALUE"""),"Hà Nội")</f>
        <v>Hà Nội</v>
      </c>
      <c r="C773" s="265" t="str">
        <f>IFERROR(__xludf.DUMMYFUNCTION("""COMPUTED_VALUE"""),"Locked")</f>
        <v>Locked</v>
      </c>
      <c r="D773" s="265" t="str">
        <f>IFERROR(__xludf.DUMMYFUNCTION("""COMPUTED_VALUE"""),"Dịch vụ khác")</f>
        <v>Dịch vụ khác</v>
      </c>
      <c r="E773" s="265" t="str">
        <f>IFERROR(__xludf.DUMMYFUNCTION("""COMPUTED_VALUE"""),"AnhNM")</f>
        <v>AnhNM</v>
      </c>
      <c r="F773" s="265" t="str">
        <f>IFERROR(__xludf.DUMMYFUNCTION("""COMPUTED_VALUE"""),"Bronze")</f>
        <v>Bronze</v>
      </c>
      <c r="G773" s="265" t="str">
        <f>IFERROR(__xludf.DUMMYFUNCTION("""COMPUTED_VALUE"""),"Starter")</f>
        <v>Starter</v>
      </c>
      <c r="H773" s="265" t="str">
        <f>IFERROR(__xludf.DUMMYFUNCTION("""COMPUTED_VALUE"""),"Trial")</f>
        <v>Trial</v>
      </c>
      <c r="I773" s="265" t="str">
        <f>IFERROR(__xludf.DUMMYFUNCTION("""COMPUTED_VALUE"""),"API &amp; Portal")</f>
        <v>API &amp; Portal</v>
      </c>
      <c r="J773" s="265" t="str">
        <f>IFERROR(__xludf.DUMMYFUNCTION("""COMPUTED_VALUE"""),"File Excel")</f>
        <v>File Excel</v>
      </c>
      <c r="K773" s="265" t="str">
        <f>IFERROR(__xludf.DUMMYFUNCTION("""COMPUTED_VALUE"""),"Không phân công")</f>
        <v>Không phân công</v>
      </c>
    </row>
    <row r="774">
      <c r="A774" s="265" t="str">
        <f>IFERROR(__xludf.DUMMYFUNCTION("""COMPUTED_VALUE"""),"1009")</f>
        <v>1009</v>
      </c>
      <c r="B774" s="265" t="str">
        <f>IFERROR(__xludf.DUMMYFUNCTION("""COMPUTED_VALUE"""),"Hà Nội")</f>
        <v>Hà Nội</v>
      </c>
      <c r="C774" s="265" t="str">
        <f>IFERROR(__xludf.DUMMYFUNCTION("""COMPUTED_VALUE"""),"Locked")</f>
        <v>Locked</v>
      </c>
      <c r="D774" s="265" t="str">
        <f>IFERROR(__xludf.DUMMYFUNCTION("""COMPUTED_VALUE"""),"Dịch vụ khác")</f>
        <v>Dịch vụ khác</v>
      </c>
      <c r="E774" s="265" t="str">
        <f>IFERROR(__xludf.DUMMYFUNCTION("""COMPUTED_VALUE"""),"AnhNM")</f>
        <v>AnhNM</v>
      </c>
      <c r="F774" s="265" t="str">
        <f>IFERROR(__xludf.DUMMYFUNCTION("""COMPUTED_VALUE"""),"Bronze")</f>
        <v>Bronze</v>
      </c>
      <c r="G774" s="265" t="str">
        <f>IFERROR(__xludf.DUMMYFUNCTION("""COMPUTED_VALUE"""),"Starter")</f>
        <v>Starter</v>
      </c>
      <c r="H774" s="265" t="str">
        <f>IFERROR(__xludf.DUMMYFUNCTION("""COMPUTED_VALUE"""),"Trial")</f>
        <v>Trial</v>
      </c>
      <c r="I774" s="265" t="str">
        <f>IFERROR(__xludf.DUMMYFUNCTION("""COMPUTED_VALUE"""),"API &amp; Portal")</f>
        <v>API &amp; Portal</v>
      </c>
      <c r="J774" s="265" t="str">
        <f>IFERROR(__xludf.DUMMYFUNCTION("""COMPUTED_VALUE"""),"API")</f>
        <v>API</v>
      </c>
      <c r="K774" s="265" t="str">
        <f>IFERROR(__xludf.DUMMYFUNCTION("""COMPUTED_VALUE"""),"Không phân công")</f>
        <v>Không phân công</v>
      </c>
    </row>
    <row r="775">
      <c r="A775" s="265" t="str">
        <f>IFERROR(__xludf.DUMMYFUNCTION("""COMPUTED_VALUE"""),"1010")</f>
        <v>1010</v>
      </c>
      <c r="B775" s="265" t="str">
        <f>IFERROR(__xludf.DUMMYFUNCTION("""COMPUTED_VALUE"""),"Sài Gòn")</f>
        <v>Sài Gòn</v>
      </c>
      <c r="C775" s="265" t="str">
        <f>IFERROR(__xludf.DUMMYFUNCTION("""COMPUTED_VALUE"""),"Locked")</f>
        <v>Locked</v>
      </c>
      <c r="D775" s="265" t="str">
        <f>IFERROR(__xludf.DUMMYFUNCTION("""COMPUTED_VALUE"""),"Bất động sản")</f>
        <v>Bất động sản</v>
      </c>
      <c r="E775" s="265" t="str">
        <f>IFERROR(__xludf.DUMMYFUNCTION("""COMPUTED_VALUE"""),"Không phân công")</f>
        <v>Không phân công</v>
      </c>
      <c r="F775" s="265" t="str">
        <f>IFERROR(__xludf.DUMMYFUNCTION("""COMPUTED_VALUE"""),"Sale chưa cung cấp")</f>
        <v>Sale chưa cung cấp</v>
      </c>
      <c r="G775" s="265" t="str">
        <f>IFERROR(__xludf.DUMMYFUNCTION("""COMPUTED_VALUE"""),"Starter")</f>
        <v>Starter</v>
      </c>
      <c r="H775" s="265" t="str">
        <f>IFERROR(__xludf.DUMMYFUNCTION("""COMPUTED_VALUE"""),"Trả sau")</f>
        <v>Trả sau</v>
      </c>
      <c r="I775" s="265" t="str">
        <f>IFERROR(__xludf.DUMMYFUNCTION("""COMPUTED_VALUE"""),"API")</f>
        <v>API</v>
      </c>
      <c r="J775" s="265" t="str">
        <f>IFERROR(__xludf.DUMMYFUNCTION("""COMPUTED_VALUE"""),"API")</f>
        <v>API</v>
      </c>
      <c r="K775" s="265" t="str">
        <f>IFERROR(__xludf.DUMMYFUNCTION("""COMPUTED_VALUE"""),"LinhNTT1")</f>
        <v>LinhNTT1</v>
      </c>
    </row>
    <row r="776">
      <c r="A776" s="265" t="str">
        <f>IFERROR(__xludf.DUMMYFUNCTION("""COMPUTED_VALUE"""),"1011")</f>
        <v>1011</v>
      </c>
      <c r="B776" s="265" t="str">
        <f>IFERROR(__xludf.DUMMYFUNCTION("""COMPUTED_VALUE"""),"Hà Nội")</f>
        <v>Hà Nội</v>
      </c>
      <c r="C776" s="265" t="str">
        <f>IFERROR(__xludf.DUMMYFUNCTION("""COMPUTED_VALUE"""),"Locked")</f>
        <v>Locked</v>
      </c>
      <c r="D776" s="265" t="str">
        <f>IFERROR(__xludf.DUMMYFUNCTION("""COMPUTED_VALUE"""),"Dịch vụ khác")</f>
        <v>Dịch vụ khác</v>
      </c>
      <c r="E776" s="265" t="str">
        <f>IFERROR(__xludf.DUMMYFUNCTION("""COMPUTED_VALUE"""),"Không phân công")</f>
        <v>Không phân công</v>
      </c>
      <c r="F776" s="265" t="str">
        <f>IFERROR(__xludf.DUMMYFUNCTION("""COMPUTED_VALUE"""),"Sale chưa cung cấp")</f>
        <v>Sale chưa cung cấp</v>
      </c>
      <c r="G776" s="265" t="str">
        <f>IFERROR(__xludf.DUMMYFUNCTION("""COMPUTED_VALUE"""),"Starter")</f>
        <v>Starter</v>
      </c>
      <c r="H776" s="265" t="str">
        <f>IFERROR(__xludf.DUMMYFUNCTION("""COMPUTED_VALUE"""),"Trả sau")</f>
        <v>Trả sau</v>
      </c>
      <c r="I776" s="265" t="str">
        <f>IFERROR(__xludf.DUMMYFUNCTION("""COMPUTED_VALUE"""),"API")</f>
        <v>API</v>
      </c>
      <c r="J776" s="265" t="str">
        <f>IFERROR(__xludf.DUMMYFUNCTION("""COMPUTED_VALUE"""),"API")</f>
        <v>API</v>
      </c>
      <c r="K776" s="265" t="str">
        <f>IFERROR(__xludf.DUMMYFUNCTION("""COMPUTED_VALUE"""),"AnhNM")</f>
        <v>AnhNM</v>
      </c>
    </row>
    <row r="777">
      <c r="A777" s="265" t="str">
        <f>IFERROR(__xludf.DUMMYFUNCTION("""COMPUTED_VALUE"""),"1012")</f>
        <v>1012</v>
      </c>
      <c r="B777" s="265" t="str">
        <f>IFERROR(__xludf.DUMMYFUNCTION("""COMPUTED_VALUE"""),"Sài Gòn")</f>
        <v>Sài Gòn</v>
      </c>
      <c r="C777" s="265" t="str">
        <f>IFERROR(__xludf.DUMMYFUNCTION("""COMPUTED_VALUE"""),"Active")</f>
        <v>Active</v>
      </c>
      <c r="D777" s="265" t="str">
        <f>IFERROR(__xludf.DUMMYFUNCTION("""COMPUTED_VALUE"""),"Viễn thông")</f>
        <v>Viễn thông</v>
      </c>
      <c r="E777" s="265" t="str">
        <f>IFERROR(__xludf.DUMMYFUNCTION("""COMPUTED_VALUE"""),"AnhNM")</f>
        <v>AnhNM</v>
      </c>
      <c r="F777" s="265" t="str">
        <f>IFERROR(__xludf.DUMMYFUNCTION("""COMPUTED_VALUE"""),"Sale chưa cung cấp")</f>
        <v>Sale chưa cung cấp</v>
      </c>
      <c r="G777" s="265" t="str">
        <f>IFERROR(__xludf.DUMMYFUNCTION("""COMPUTED_VALUE"""),"Standard")</f>
        <v>Standard</v>
      </c>
      <c r="H777" s="265" t="str">
        <f>IFERROR(__xludf.DUMMYFUNCTION("""COMPUTED_VALUE"""),"Trả sau")</f>
        <v>Trả sau</v>
      </c>
      <c r="I777" s="265" t="str">
        <f>IFERROR(__xludf.DUMMYFUNCTION("""COMPUTED_VALUE"""),"Portal")</f>
        <v>Portal</v>
      </c>
      <c r="J777" s="265" t="str">
        <f>IFERROR(__xludf.DUMMYFUNCTION("""COMPUTED_VALUE"""),"File Excel")</f>
        <v>File Excel</v>
      </c>
      <c r="K777" s="265" t="str">
        <f>IFERROR(__xludf.DUMMYFUNCTION("""COMPUTED_VALUE"""),"DungPL")</f>
        <v>DungPL</v>
      </c>
    </row>
    <row r="778">
      <c r="A778" s="265" t="str">
        <f>IFERROR(__xludf.DUMMYFUNCTION("""COMPUTED_VALUE"""),"1013")</f>
        <v>1013</v>
      </c>
      <c r="B778" s="265" t="str">
        <f>IFERROR(__xludf.DUMMYFUNCTION("""COMPUTED_VALUE"""),"Sài Gòn")</f>
        <v>Sài Gòn</v>
      </c>
      <c r="C778" s="265" t="str">
        <f>IFERROR(__xludf.DUMMYFUNCTION("""COMPUTED_VALUE"""),"Active")</f>
        <v>Active</v>
      </c>
      <c r="D778" s="265" t="str">
        <f>IFERROR(__xludf.DUMMYFUNCTION("""COMPUTED_VALUE"""),"Mua sắm &amp; Bán lẻ")</f>
        <v>Mua sắm &amp; Bán lẻ</v>
      </c>
      <c r="E778" s="265" t="str">
        <f>IFERROR(__xludf.DUMMYFUNCTION("""COMPUTED_VALUE"""),"Không phân công")</f>
        <v>Không phân công</v>
      </c>
      <c r="F778" s="265" t="str">
        <f>IFERROR(__xludf.DUMMYFUNCTION("""COMPUTED_VALUE"""),"Diamond")</f>
        <v>Diamond</v>
      </c>
      <c r="G778" s="265" t="str">
        <f>IFERROR(__xludf.DUMMYFUNCTION("""COMPUTED_VALUE"""),"Starter")</f>
        <v>Starter</v>
      </c>
      <c r="H778" s="265" t="str">
        <f>IFERROR(__xludf.DUMMYFUNCTION("""COMPUTED_VALUE"""),"Trả sau")</f>
        <v>Trả sau</v>
      </c>
      <c r="I778" s="265" t="str">
        <f>IFERROR(__xludf.DUMMYFUNCTION("""COMPUTED_VALUE"""),"API")</f>
        <v>API</v>
      </c>
      <c r="J778" s="265" t="str">
        <f>IFERROR(__xludf.DUMMYFUNCTION("""COMPUTED_VALUE"""),"API")</f>
        <v>API</v>
      </c>
      <c r="K778" s="265" t="str">
        <f>IFERROR(__xludf.DUMMYFUNCTION("""COMPUTED_VALUE"""),"LinhNTT1")</f>
        <v>LinhNTT1</v>
      </c>
    </row>
    <row r="779">
      <c r="A779" s="265" t="str">
        <f>IFERROR(__xludf.DUMMYFUNCTION("""COMPUTED_VALUE"""),"1014")</f>
        <v>1014</v>
      </c>
      <c r="B779" s="265" t="str">
        <f>IFERROR(__xludf.DUMMYFUNCTION("""COMPUTED_VALUE"""),"Sài Gòn")</f>
        <v>Sài Gòn</v>
      </c>
      <c r="C779" s="265" t="str">
        <f>IFERROR(__xludf.DUMMYFUNCTION("""COMPUTED_VALUE"""),"Active")</f>
        <v>Active</v>
      </c>
      <c r="D779" s="265" t="str">
        <f>IFERROR(__xludf.DUMMYFUNCTION("""COMPUTED_VALUE"""),"Dịch vụ khác")</f>
        <v>Dịch vụ khác</v>
      </c>
      <c r="E779" s="265" t="str">
        <f>IFERROR(__xludf.DUMMYFUNCTION("""COMPUTED_VALUE"""),"AnhNM")</f>
        <v>AnhNM</v>
      </c>
      <c r="F779" s="265" t="str">
        <f>IFERROR(__xludf.DUMMYFUNCTION("""COMPUTED_VALUE"""),"Diamond")</f>
        <v>Diamond</v>
      </c>
      <c r="G779" s="265" t="str">
        <f>IFERROR(__xludf.DUMMYFUNCTION("""COMPUTED_VALUE"""),"Premium")</f>
        <v>Premium</v>
      </c>
      <c r="H779" s="265" t="str">
        <f>IFERROR(__xludf.DUMMYFUNCTION("""COMPUTED_VALUE"""),"Trả sau")</f>
        <v>Trả sau</v>
      </c>
      <c r="I779" s="265" t="str">
        <f>IFERROR(__xludf.DUMMYFUNCTION("""COMPUTED_VALUE"""),"API &amp; Portal")</f>
        <v>API &amp; Portal</v>
      </c>
      <c r="J779" s="265" t="str">
        <f>IFERROR(__xludf.DUMMYFUNCTION("""COMPUTED_VALUE"""),"File Excel")</f>
        <v>File Excel</v>
      </c>
      <c r="K779" s="265" t="str">
        <f>IFERROR(__xludf.DUMMYFUNCTION("""COMPUTED_VALUE"""),"LinhNTT1")</f>
        <v>LinhNTT1</v>
      </c>
    </row>
    <row r="780">
      <c r="A780" s="265" t="str">
        <f>IFERROR(__xludf.DUMMYFUNCTION("""COMPUTED_VALUE"""),"1014")</f>
        <v>1014</v>
      </c>
      <c r="B780" s="265" t="str">
        <f>IFERROR(__xludf.DUMMYFUNCTION("""COMPUTED_VALUE"""),"Sài Gòn")</f>
        <v>Sài Gòn</v>
      </c>
      <c r="C780" s="265" t="str">
        <f>IFERROR(__xludf.DUMMYFUNCTION("""COMPUTED_VALUE"""),"Active")</f>
        <v>Active</v>
      </c>
      <c r="D780" s="265" t="str">
        <f>IFERROR(__xludf.DUMMYFUNCTION("""COMPUTED_VALUE"""),"Dịch vụ khác")</f>
        <v>Dịch vụ khác</v>
      </c>
      <c r="E780" s="265" t="str">
        <f>IFERROR(__xludf.DUMMYFUNCTION("""COMPUTED_VALUE"""),"AnhNM")</f>
        <v>AnhNM</v>
      </c>
      <c r="F780" s="265" t="str">
        <f>IFERROR(__xludf.DUMMYFUNCTION("""COMPUTED_VALUE"""),"Diamond")</f>
        <v>Diamond</v>
      </c>
      <c r="G780" s="265" t="str">
        <f>IFERROR(__xludf.DUMMYFUNCTION("""COMPUTED_VALUE"""),"Premium")</f>
        <v>Premium</v>
      </c>
      <c r="H780" s="265" t="str">
        <f>IFERROR(__xludf.DUMMYFUNCTION("""COMPUTED_VALUE"""),"Trả sau")</f>
        <v>Trả sau</v>
      </c>
      <c r="I780" s="265" t="str">
        <f>IFERROR(__xludf.DUMMYFUNCTION("""COMPUTED_VALUE"""),"API &amp; Portal")</f>
        <v>API &amp; Portal</v>
      </c>
      <c r="J780" s="265" t="str">
        <f>IFERROR(__xludf.DUMMYFUNCTION("""COMPUTED_VALUE"""),"API")</f>
        <v>API</v>
      </c>
      <c r="K780" s="265" t="str">
        <f>IFERROR(__xludf.DUMMYFUNCTION("""COMPUTED_VALUE"""),"LinhNTT1")</f>
        <v>LinhNTT1</v>
      </c>
    </row>
    <row r="781">
      <c r="A781" s="265" t="str">
        <f>IFERROR(__xludf.DUMMYFUNCTION("""COMPUTED_VALUE"""),"1015")</f>
        <v>1015</v>
      </c>
      <c r="B781" s="265" t="str">
        <f>IFERROR(__xludf.DUMMYFUNCTION("""COMPUTED_VALUE"""),"Hà Nội")</f>
        <v>Hà Nội</v>
      </c>
      <c r="C781" s="265" t="str">
        <f>IFERROR(__xludf.DUMMYFUNCTION("""COMPUTED_VALUE"""),"Locked")</f>
        <v>Locked</v>
      </c>
      <c r="D781" s="265" t="str">
        <f>IFERROR(__xludf.DUMMYFUNCTION("""COMPUTED_VALUE"""),"Mua sắm &amp; Bán lẻ")</f>
        <v>Mua sắm &amp; Bán lẻ</v>
      </c>
      <c r="E781" s="265" t="str">
        <f>IFERROR(__xludf.DUMMYFUNCTION("""COMPUTED_VALUE"""),"AnhNM")</f>
        <v>AnhNM</v>
      </c>
      <c r="F781" s="265" t="str">
        <f>IFERROR(__xludf.DUMMYFUNCTION("""COMPUTED_VALUE"""),"Diamond")</f>
        <v>Diamond</v>
      </c>
      <c r="G781" s="265" t="str">
        <f>IFERROR(__xludf.DUMMYFUNCTION("""COMPUTED_VALUE"""),"Premium")</f>
        <v>Premium</v>
      </c>
      <c r="H781" s="265" t="str">
        <f>IFERROR(__xludf.DUMMYFUNCTION("""COMPUTED_VALUE"""),"Trial")</f>
        <v>Trial</v>
      </c>
      <c r="I781" s="265" t="str">
        <f>IFERROR(__xludf.DUMMYFUNCTION("""COMPUTED_VALUE"""),"API &amp; Portal")</f>
        <v>API &amp; Portal</v>
      </c>
      <c r="J781" s="265" t="str">
        <f>IFERROR(__xludf.DUMMYFUNCTION("""COMPUTED_VALUE"""),"File Excel")</f>
        <v>File Excel</v>
      </c>
      <c r="K781" s="265" t="str">
        <f>IFERROR(__xludf.DUMMYFUNCTION("""COMPUTED_VALUE"""),"Không phân công")</f>
        <v>Không phân công</v>
      </c>
    </row>
    <row r="782">
      <c r="A782" s="265" t="str">
        <f>IFERROR(__xludf.DUMMYFUNCTION("""COMPUTED_VALUE"""),"1015")</f>
        <v>1015</v>
      </c>
      <c r="B782" s="265" t="str">
        <f>IFERROR(__xludf.DUMMYFUNCTION("""COMPUTED_VALUE"""),"Hà Nội")</f>
        <v>Hà Nội</v>
      </c>
      <c r="C782" s="265" t="str">
        <f>IFERROR(__xludf.DUMMYFUNCTION("""COMPUTED_VALUE"""),"Locked")</f>
        <v>Locked</v>
      </c>
      <c r="D782" s="265" t="str">
        <f>IFERROR(__xludf.DUMMYFUNCTION("""COMPUTED_VALUE"""),"Mua sắm &amp; Bán lẻ")</f>
        <v>Mua sắm &amp; Bán lẻ</v>
      </c>
      <c r="E782" s="265" t="str">
        <f>IFERROR(__xludf.DUMMYFUNCTION("""COMPUTED_VALUE"""),"AnhNM")</f>
        <v>AnhNM</v>
      </c>
      <c r="F782" s="265" t="str">
        <f>IFERROR(__xludf.DUMMYFUNCTION("""COMPUTED_VALUE"""),"Diamond")</f>
        <v>Diamond</v>
      </c>
      <c r="G782" s="265" t="str">
        <f>IFERROR(__xludf.DUMMYFUNCTION("""COMPUTED_VALUE"""),"Premium")</f>
        <v>Premium</v>
      </c>
      <c r="H782" s="265" t="str">
        <f>IFERROR(__xludf.DUMMYFUNCTION("""COMPUTED_VALUE"""),"Trial")</f>
        <v>Trial</v>
      </c>
      <c r="I782" s="265" t="str">
        <f>IFERROR(__xludf.DUMMYFUNCTION("""COMPUTED_VALUE"""),"API &amp; Portal")</f>
        <v>API &amp; Portal</v>
      </c>
      <c r="J782" s="265" t="str">
        <f>IFERROR(__xludf.DUMMYFUNCTION("""COMPUTED_VALUE"""),"API")</f>
        <v>API</v>
      </c>
      <c r="K782" s="265" t="str">
        <f>IFERROR(__xludf.DUMMYFUNCTION("""COMPUTED_VALUE"""),"Không phân công")</f>
        <v>Không phân công</v>
      </c>
    </row>
    <row r="783">
      <c r="A783" s="265" t="str">
        <f>IFERROR(__xludf.DUMMYFUNCTION("""COMPUTED_VALUE"""),"1016")</f>
        <v>1016</v>
      </c>
      <c r="B783" s="265" t="str">
        <f>IFERROR(__xludf.DUMMYFUNCTION("""COMPUTED_VALUE"""),"Sài Gòn")</f>
        <v>Sài Gòn</v>
      </c>
      <c r="C783" s="265" t="str">
        <f>IFERROR(__xludf.DUMMYFUNCTION("""COMPUTED_VALUE"""),"Locked")</f>
        <v>Locked</v>
      </c>
      <c r="D783" s="265" t="str">
        <f>IFERROR(__xludf.DUMMYFUNCTION("""COMPUTED_VALUE"""),"Thực phẩm &amp; Đồ uống")</f>
        <v>Thực phẩm &amp; Đồ uống</v>
      </c>
      <c r="E783" s="265" t="str">
        <f>IFERROR(__xludf.DUMMYFUNCTION("""COMPUTED_VALUE"""),"TúPHN")</f>
        <v>TúPHN</v>
      </c>
      <c r="F783" s="265" t="str">
        <f>IFERROR(__xludf.DUMMYFUNCTION("""COMPUTED_VALUE"""),"Gold")</f>
        <v>Gold</v>
      </c>
      <c r="G783" s="265" t="str">
        <f>IFERROR(__xludf.DUMMYFUNCTION("""COMPUTED_VALUE"""),"Standard")</f>
        <v>Standard</v>
      </c>
      <c r="H783" s="265" t="str">
        <f>IFERROR(__xludf.DUMMYFUNCTION("""COMPUTED_VALUE"""),"Trả sau")</f>
        <v>Trả sau</v>
      </c>
      <c r="I783" s="265" t="str">
        <f>IFERROR(__xludf.DUMMYFUNCTION("""COMPUTED_VALUE"""),"Portal")</f>
        <v>Portal</v>
      </c>
      <c r="J783" s="265" t="str">
        <f>IFERROR(__xludf.DUMMYFUNCTION("""COMPUTED_VALUE"""),"File Excel")</f>
        <v>File Excel</v>
      </c>
      <c r="K783" s="265" t="str">
        <f>IFERROR(__xludf.DUMMYFUNCTION("""COMPUTED_VALUE"""),"LinhNTT1")</f>
        <v>LinhNTT1</v>
      </c>
    </row>
    <row r="784">
      <c r="A784" s="265" t="str">
        <f>IFERROR(__xludf.DUMMYFUNCTION("""COMPUTED_VALUE"""),"1018")</f>
        <v>1018</v>
      </c>
      <c r="B784" s="265" t="str">
        <f>IFERROR(__xludf.DUMMYFUNCTION("""COMPUTED_VALUE"""),"Hà Nội")</f>
        <v>Hà Nội</v>
      </c>
      <c r="C784" s="265" t="str">
        <f>IFERROR(__xludf.DUMMYFUNCTION("""COMPUTED_VALUE"""),"Locked")</f>
        <v>Locked</v>
      </c>
      <c r="D784" s="265" t="str">
        <f>IFERROR(__xludf.DUMMYFUNCTION("""COMPUTED_VALUE"""),"Sale chưa cung cấp")</f>
        <v>Sale chưa cung cấp</v>
      </c>
      <c r="E784" s="265" t="str">
        <f>IFERROR(__xludf.DUMMYFUNCTION("""COMPUTED_VALUE"""),"TúPHN")</f>
        <v>TúPHN</v>
      </c>
      <c r="F784" s="265" t="str">
        <f>IFERROR(__xludf.DUMMYFUNCTION("""COMPUTED_VALUE"""),"Bronze")</f>
        <v>Bronze</v>
      </c>
      <c r="G784" s="265" t="str">
        <f>IFERROR(__xludf.DUMMYFUNCTION("""COMPUTED_VALUE"""),"Starter")</f>
        <v>Starter</v>
      </c>
      <c r="H784" s="265" t="str">
        <f>IFERROR(__xludf.DUMMYFUNCTION("""COMPUTED_VALUE"""),"Trial")</f>
        <v>Trial</v>
      </c>
      <c r="I784" s="265" t="str">
        <f>IFERROR(__xludf.DUMMYFUNCTION("""COMPUTED_VALUE"""),"API &amp; Portal")</f>
        <v>API &amp; Portal</v>
      </c>
      <c r="J784" s="265" t="str">
        <f>IFERROR(__xludf.DUMMYFUNCTION("""COMPUTED_VALUE"""),"File Excel")</f>
        <v>File Excel</v>
      </c>
      <c r="K784" s="265" t="str">
        <f>IFERROR(__xludf.DUMMYFUNCTION("""COMPUTED_VALUE"""),"Không phân công")</f>
        <v>Không phân công</v>
      </c>
    </row>
    <row r="785">
      <c r="A785" s="265" t="str">
        <f>IFERROR(__xludf.DUMMYFUNCTION("""COMPUTED_VALUE"""),"1018")</f>
        <v>1018</v>
      </c>
      <c r="B785" s="265" t="str">
        <f>IFERROR(__xludf.DUMMYFUNCTION("""COMPUTED_VALUE"""),"Hà Nội")</f>
        <v>Hà Nội</v>
      </c>
      <c r="C785" s="265" t="str">
        <f>IFERROR(__xludf.DUMMYFUNCTION("""COMPUTED_VALUE"""),"Locked")</f>
        <v>Locked</v>
      </c>
      <c r="D785" s="265" t="str">
        <f>IFERROR(__xludf.DUMMYFUNCTION("""COMPUTED_VALUE"""),"Sale chưa cung cấp")</f>
        <v>Sale chưa cung cấp</v>
      </c>
      <c r="E785" s="265" t="str">
        <f>IFERROR(__xludf.DUMMYFUNCTION("""COMPUTED_VALUE"""),"TúPHN")</f>
        <v>TúPHN</v>
      </c>
      <c r="F785" s="265" t="str">
        <f>IFERROR(__xludf.DUMMYFUNCTION("""COMPUTED_VALUE"""),"Bronze")</f>
        <v>Bronze</v>
      </c>
      <c r="G785" s="265" t="str">
        <f>IFERROR(__xludf.DUMMYFUNCTION("""COMPUTED_VALUE"""),"Starter")</f>
        <v>Starter</v>
      </c>
      <c r="H785" s="265" t="str">
        <f>IFERROR(__xludf.DUMMYFUNCTION("""COMPUTED_VALUE"""),"Trial")</f>
        <v>Trial</v>
      </c>
      <c r="I785" s="265" t="str">
        <f>IFERROR(__xludf.DUMMYFUNCTION("""COMPUTED_VALUE"""),"API &amp; Portal")</f>
        <v>API &amp; Portal</v>
      </c>
      <c r="J785" s="265" t="str">
        <f>IFERROR(__xludf.DUMMYFUNCTION("""COMPUTED_VALUE"""),"API")</f>
        <v>API</v>
      </c>
      <c r="K785" s="265" t="str">
        <f>IFERROR(__xludf.DUMMYFUNCTION("""COMPUTED_VALUE"""),"Không phân công")</f>
        <v>Không phân công</v>
      </c>
    </row>
    <row r="786">
      <c r="A786" s="265" t="str">
        <f>IFERROR(__xludf.DUMMYFUNCTION("""COMPUTED_VALUE"""),"1019")</f>
        <v>1019</v>
      </c>
      <c r="B786" s="265" t="str">
        <f>IFERROR(__xludf.DUMMYFUNCTION("""COMPUTED_VALUE"""),"Hà Nội")</f>
        <v>Hà Nội</v>
      </c>
      <c r="C786" s="265" t="str">
        <f>IFERROR(__xludf.DUMMYFUNCTION("""COMPUTED_VALUE"""),"Active")</f>
        <v>Active</v>
      </c>
      <c r="D786" s="265" t="str">
        <f>IFERROR(__xludf.DUMMYFUNCTION("""COMPUTED_VALUE"""),"Sale chưa cung cấp")</f>
        <v>Sale chưa cung cấp</v>
      </c>
      <c r="E786" s="265" t="str">
        <f>IFERROR(__xludf.DUMMYFUNCTION("""COMPUTED_VALUE"""),"TúPHN")</f>
        <v>TúPHN</v>
      </c>
      <c r="F786" s="265" t="str">
        <f>IFERROR(__xludf.DUMMYFUNCTION("""COMPUTED_VALUE"""),"Silver")</f>
        <v>Silver</v>
      </c>
      <c r="G786" s="265" t="str">
        <f>IFERROR(__xludf.DUMMYFUNCTION("""COMPUTED_VALUE"""),"Premium")</f>
        <v>Premium</v>
      </c>
      <c r="H786" s="265" t="str">
        <f>IFERROR(__xludf.DUMMYFUNCTION("""COMPUTED_VALUE"""),"Trả sau")</f>
        <v>Trả sau</v>
      </c>
      <c r="I786" s="265" t="str">
        <f>IFERROR(__xludf.DUMMYFUNCTION("""COMPUTED_VALUE"""),"API")</f>
        <v>API</v>
      </c>
      <c r="J786" s="265" t="str">
        <f>IFERROR(__xludf.DUMMYFUNCTION("""COMPUTED_VALUE"""),"HubSpot")</f>
        <v>HubSpot</v>
      </c>
      <c r="K786" s="265" t="str">
        <f>IFERROR(__xludf.DUMMYFUNCTION("""COMPUTED_VALUE"""),"Không phân công")</f>
        <v>Không phân công</v>
      </c>
    </row>
    <row r="787">
      <c r="A787" s="265" t="str">
        <f>IFERROR(__xludf.DUMMYFUNCTION("""COMPUTED_VALUE"""),"1020")</f>
        <v>1020</v>
      </c>
      <c r="B787" s="265" t="str">
        <f>IFERROR(__xludf.DUMMYFUNCTION("""COMPUTED_VALUE"""),"Sài Gòn")</f>
        <v>Sài Gòn</v>
      </c>
      <c r="C787" s="265" t="str">
        <f>IFERROR(__xludf.DUMMYFUNCTION("""COMPUTED_VALUE"""),"Locked")</f>
        <v>Locked</v>
      </c>
      <c r="D787" s="265" t="str">
        <f>IFERROR(__xludf.DUMMYFUNCTION("""COMPUTED_VALUE"""),"Y tế &amp; Dược phẩm")</f>
        <v>Y tế &amp; Dược phẩm</v>
      </c>
      <c r="E787" s="265" t="str">
        <f>IFERROR(__xludf.DUMMYFUNCTION("""COMPUTED_VALUE"""),"AnhNM")</f>
        <v>AnhNM</v>
      </c>
      <c r="F787" s="265" t="str">
        <f>IFERROR(__xludf.DUMMYFUNCTION("""COMPUTED_VALUE"""),"Bronze")</f>
        <v>Bronze</v>
      </c>
      <c r="G787" s="265" t="str">
        <f>IFERROR(__xludf.DUMMYFUNCTION("""COMPUTED_VALUE"""),"Starter")</f>
        <v>Starter</v>
      </c>
      <c r="H787" s="265" t="str">
        <f>IFERROR(__xludf.DUMMYFUNCTION("""COMPUTED_VALUE"""),"Trial")</f>
        <v>Trial</v>
      </c>
      <c r="I787" s="265" t="str">
        <f>IFERROR(__xludf.DUMMYFUNCTION("""COMPUTED_VALUE"""),"Portal")</f>
        <v>Portal</v>
      </c>
      <c r="J787" s="265" t="str">
        <f>IFERROR(__xludf.DUMMYFUNCTION("""COMPUTED_VALUE"""),"File Excel")</f>
        <v>File Excel</v>
      </c>
      <c r="K787" s="265" t="str">
        <f>IFERROR(__xludf.DUMMYFUNCTION("""COMPUTED_VALUE"""),"Không phân công")</f>
        <v>Không phân công</v>
      </c>
    </row>
    <row r="788">
      <c r="A788" s="265" t="str">
        <f>IFERROR(__xludf.DUMMYFUNCTION("""COMPUTED_VALUE"""),"1021")</f>
        <v>1021</v>
      </c>
      <c r="B788" s="265" t="str">
        <f>IFERROR(__xludf.DUMMYFUNCTION("""COMPUTED_VALUE"""),"Hà Nội")</f>
        <v>Hà Nội</v>
      </c>
      <c r="C788" s="265" t="str">
        <f>IFERROR(__xludf.DUMMYFUNCTION("""COMPUTED_VALUE"""),"Locked")</f>
        <v>Locked</v>
      </c>
      <c r="D788" s="265" t="str">
        <f>IFERROR(__xludf.DUMMYFUNCTION("""COMPUTED_VALUE"""),"Công nghệ &amp; Phần mềm")</f>
        <v>Công nghệ &amp; Phần mềm</v>
      </c>
      <c r="E788" s="265" t="str">
        <f>IFERROR(__xludf.DUMMYFUNCTION("""COMPUTED_VALUE"""),"TúPHN")</f>
        <v>TúPHN</v>
      </c>
      <c r="F788" s="265" t="str">
        <f>IFERROR(__xludf.DUMMYFUNCTION("""COMPUTED_VALUE"""),"Gold")</f>
        <v>Gold</v>
      </c>
      <c r="G788" s="265" t="str">
        <f>IFERROR(__xludf.DUMMYFUNCTION("""COMPUTED_VALUE"""),"Starter")</f>
        <v>Starter</v>
      </c>
      <c r="H788" s="265" t="str">
        <f>IFERROR(__xludf.DUMMYFUNCTION("""COMPUTED_VALUE"""),"Trả sau")</f>
        <v>Trả sau</v>
      </c>
      <c r="I788" s="265" t="str">
        <f>IFERROR(__xludf.DUMMYFUNCTION("""COMPUTED_VALUE"""),"API")</f>
        <v>API</v>
      </c>
      <c r="J788" s="265" t="str">
        <f>IFERROR(__xludf.DUMMYFUNCTION("""COMPUTED_VALUE"""),"API")</f>
        <v>API</v>
      </c>
      <c r="K788" s="265" t="str">
        <f>IFERROR(__xludf.DUMMYFUNCTION("""COMPUTED_VALUE"""),"DungPL")</f>
        <v>DungPL</v>
      </c>
    </row>
    <row r="789">
      <c r="A789" s="265" t="str">
        <f>IFERROR(__xludf.DUMMYFUNCTION("""COMPUTED_VALUE"""),"1022")</f>
        <v>1022</v>
      </c>
      <c r="B789" s="265" t="str">
        <f>IFERROR(__xludf.DUMMYFUNCTION("""COMPUTED_VALUE"""),"Sài Gòn")</f>
        <v>Sài Gòn</v>
      </c>
      <c r="C789" s="265" t="str">
        <f>IFERROR(__xludf.DUMMYFUNCTION("""COMPUTED_VALUE"""),"Active")</f>
        <v>Active</v>
      </c>
      <c r="D789" s="265" t="str">
        <f>IFERROR(__xludf.DUMMYFUNCTION("""COMPUTED_VALUE"""),"Mua sắm &amp; Bán lẻ")</f>
        <v>Mua sắm &amp; Bán lẻ</v>
      </c>
      <c r="E789" s="265" t="str">
        <f>IFERROR(__xludf.DUMMYFUNCTION("""COMPUTED_VALUE"""),"TrâmNNB")</f>
        <v>TrâmNNB</v>
      </c>
      <c r="F789" s="265" t="str">
        <f>IFERROR(__xludf.DUMMYFUNCTION("""COMPUTED_VALUE"""),"Diamond")</f>
        <v>Diamond</v>
      </c>
      <c r="G789" s="265" t="str">
        <f>IFERROR(__xludf.DUMMYFUNCTION("""COMPUTED_VALUE"""),"Premium")</f>
        <v>Premium</v>
      </c>
      <c r="H789" s="265" t="str">
        <f>IFERROR(__xludf.DUMMYFUNCTION("""COMPUTED_VALUE"""),"Trả sau")</f>
        <v>Trả sau</v>
      </c>
      <c r="I789" s="265" t="str">
        <f>IFERROR(__xludf.DUMMYFUNCTION("""COMPUTED_VALUE"""),"API")</f>
        <v>API</v>
      </c>
      <c r="J789" s="265" t="str">
        <f>IFERROR(__xludf.DUMMYFUNCTION("""COMPUTED_VALUE"""),"API")</f>
        <v>API</v>
      </c>
      <c r="K789" s="265" t="str">
        <f>IFERROR(__xludf.DUMMYFUNCTION("""COMPUTED_VALUE"""),"DungVT, LinhNTT1")</f>
        <v>DungVT, LinhNTT1</v>
      </c>
    </row>
    <row r="790">
      <c r="A790" s="265" t="str">
        <f>IFERROR(__xludf.DUMMYFUNCTION("""COMPUTED_VALUE"""),"1023")</f>
        <v>1023</v>
      </c>
      <c r="B790" s="265" t="str">
        <f>IFERROR(__xludf.DUMMYFUNCTION("""COMPUTED_VALUE"""),"Hà Nội")</f>
        <v>Hà Nội</v>
      </c>
      <c r="C790" s="265" t="str">
        <f>IFERROR(__xludf.DUMMYFUNCTION("""COMPUTED_VALUE"""),"Active")</f>
        <v>Active</v>
      </c>
      <c r="D790" s="265" t="str">
        <f>IFERROR(__xludf.DUMMYFUNCTION("""COMPUTED_VALUE"""),"Tài chính &amp; Ngân hàng")</f>
        <v>Tài chính &amp; Ngân hàng</v>
      </c>
      <c r="E790" s="265" t="str">
        <f>IFERROR(__xludf.DUMMYFUNCTION("""COMPUTED_VALUE"""),"Không phân công")</f>
        <v>Không phân công</v>
      </c>
      <c r="F790" s="265" t="str">
        <f>IFERROR(__xludf.DUMMYFUNCTION("""COMPUTED_VALUE"""),"Diamond")</f>
        <v>Diamond</v>
      </c>
      <c r="G790" s="265" t="str">
        <f>IFERROR(__xludf.DUMMYFUNCTION("""COMPUTED_VALUE"""),"Starter")</f>
        <v>Starter</v>
      </c>
      <c r="H790" s="265" t="str">
        <f>IFERROR(__xludf.DUMMYFUNCTION("""COMPUTED_VALUE"""),"Trả sau")</f>
        <v>Trả sau</v>
      </c>
      <c r="I790" s="265" t="str">
        <f>IFERROR(__xludf.DUMMYFUNCTION("""COMPUTED_VALUE"""),"API")</f>
        <v>API</v>
      </c>
      <c r="J790" s="265" t="str">
        <f>IFERROR(__xludf.DUMMYFUNCTION("""COMPUTED_VALUE"""),"API")</f>
        <v>API</v>
      </c>
      <c r="K790" s="265" t="str">
        <f>IFERROR(__xludf.DUMMYFUNCTION("""COMPUTED_VALUE"""),"DungVT")</f>
        <v>DungVT</v>
      </c>
    </row>
    <row r="791">
      <c r="A791" s="265" t="str">
        <f>IFERROR(__xludf.DUMMYFUNCTION("""COMPUTED_VALUE"""),"1024")</f>
        <v>1024</v>
      </c>
      <c r="B791" s="265" t="str">
        <f>IFERROR(__xludf.DUMMYFUNCTION("""COMPUTED_VALUE"""),"Hà Nội")</f>
        <v>Hà Nội</v>
      </c>
      <c r="C791" s="265" t="str">
        <f>IFERROR(__xludf.DUMMYFUNCTION("""COMPUTED_VALUE"""),"Active")</f>
        <v>Active</v>
      </c>
      <c r="D791" s="265" t="str">
        <f>IFERROR(__xludf.DUMMYFUNCTION("""COMPUTED_VALUE"""),"Tài chính &amp; Ngân hàng")</f>
        <v>Tài chính &amp; Ngân hàng</v>
      </c>
      <c r="E791" s="265" t="str">
        <f>IFERROR(__xludf.DUMMYFUNCTION("""COMPUTED_VALUE"""),"Không phân công")</f>
        <v>Không phân công</v>
      </c>
      <c r="F791" s="265" t="str">
        <f>IFERROR(__xludf.DUMMYFUNCTION("""COMPUTED_VALUE"""),"Diamond")</f>
        <v>Diamond</v>
      </c>
      <c r="G791" s="265" t="str">
        <f>IFERROR(__xludf.DUMMYFUNCTION("""COMPUTED_VALUE"""),"Starter")</f>
        <v>Starter</v>
      </c>
      <c r="H791" s="265" t="str">
        <f>IFERROR(__xludf.DUMMYFUNCTION("""COMPUTED_VALUE"""),"Trả sau")</f>
        <v>Trả sau</v>
      </c>
      <c r="I791" s="265" t="str">
        <f>IFERROR(__xludf.DUMMYFUNCTION("""COMPUTED_VALUE"""),"API")</f>
        <v>API</v>
      </c>
      <c r="J791" s="265" t="str">
        <f>IFERROR(__xludf.DUMMYFUNCTION("""COMPUTED_VALUE"""),"API")</f>
        <v>API</v>
      </c>
      <c r="K791" s="265" t="str">
        <f>IFERROR(__xludf.DUMMYFUNCTION("""COMPUTED_VALUE"""),"DungVT")</f>
        <v>DungVT</v>
      </c>
    </row>
    <row r="792">
      <c r="A792" s="265" t="str">
        <f>IFERROR(__xludf.DUMMYFUNCTION("""COMPUTED_VALUE"""),"1025")</f>
        <v>1025</v>
      </c>
      <c r="B792" s="265" t="str">
        <f>IFERROR(__xludf.DUMMYFUNCTION("""COMPUTED_VALUE"""),"Sài Gòn")</f>
        <v>Sài Gòn</v>
      </c>
      <c r="C792" s="265" t="str">
        <f>IFERROR(__xludf.DUMMYFUNCTION("""COMPUTED_VALUE"""),"Locked")</f>
        <v>Locked</v>
      </c>
      <c r="D792" s="265" t="str">
        <f>IFERROR(__xludf.DUMMYFUNCTION("""COMPUTED_VALUE"""),"Viễn thông")</f>
        <v>Viễn thông</v>
      </c>
      <c r="E792" s="265" t="str">
        <f>IFERROR(__xludf.DUMMYFUNCTION("""COMPUTED_VALUE"""),"TùngLD")</f>
        <v>TùngLD</v>
      </c>
      <c r="F792" s="265" t="str">
        <f>IFERROR(__xludf.DUMMYFUNCTION("""COMPUTED_VALUE"""),"Bronze")</f>
        <v>Bronze</v>
      </c>
      <c r="G792" s="265" t="str">
        <f>IFERROR(__xludf.DUMMYFUNCTION("""COMPUTED_VALUE"""),"Standard")</f>
        <v>Standard</v>
      </c>
      <c r="H792" s="265" t="str">
        <f>IFERROR(__xludf.DUMMYFUNCTION("""COMPUTED_VALUE"""),"Trả sau")</f>
        <v>Trả sau</v>
      </c>
      <c r="I792" s="265" t="str">
        <f>IFERROR(__xludf.DUMMYFUNCTION("""COMPUTED_VALUE"""),"Portal")</f>
        <v>Portal</v>
      </c>
      <c r="J792" s="265" t="str">
        <f>IFERROR(__xludf.DUMMYFUNCTION("""COMPUTED_VALUE"""),"File Excel")</f>
        <v>File Excel</v>
      </c>
      <c r="K792" s="265" t="str">
        <f>IFERROR(__xludf.DUMMYFUNCTION("""COMPUTED_VALUE"""),"DungPL")</f>
        <v>DungPL</v>
      </c>
    </row>
    <row r="793">
      <c r="A793" s="265" t="str">
        <f>IFERROR(__xludf.DUMMYFUNCTION("""COMPUTED_VALUE"""),"1026")</f>
        <v>1026</v>
      </c>
      <c r="B793" s="265" t="str">
        <f>IFERROR(__xludf.DUMMYFUNCTION("""COMPUTED_VALUE"""),"Sài Gòn")</f>
        <v>Sài Gòn</v>
      </c>
      <c r="C793" s="265" t="str">
        <f>IFERROR(__xludf.DUMMYFUNCTION("""COMPUTED_VALUE"""),"Active")</f>
        <v>Active</v>
      </c>
      <c r="D793" s="265" t="str">
        <f>IFERROR(__xludf.DUMMYFUNCTION("""COMPUTED_VALUE"""),"Du lịch &amp; Lưu trú")</f>
        <v>Du lịch &amp; Lưu trú</v>
      </c>
      <c r="E793" s="265" t="str">
        <f>IFERROR(__xludf.DUMMYFUNCTION("""COMPUTED_VALUE"""),"TùngLD")</f>
        <v>TùngLD</v>
      </c>
      <c r="F793" s="265" t="str">
        <f>IFERROR(__xludf.DUMMYFUNCTION("""COMPUTED_VALUE"""),"Sale chưa cung cấp")</f>
        <v>Sale chưa cung cấp</v>
      </c>
      <c r="G793" s="265" t="str">
        <f>IFERROR(__xludf.DUMMYFUNCTION("""COMPUTED_VALUE"""),"Standard")</f>
        <v>Standard</v>
      </c>
      <c r="H793" s="265" t="str">
        <f>IFERROR(__xludf.DUMMYFUNCTION("""COMPUTED_VALUE"""),"Trả sau")</f>
        <v>Trả sau</v>
      </c>
      <c r="I793" s="265" t="str">
        <f>IFERROR(__xludf.DUMMYFUNCTION("""COMPUTED_VALUE"""),"API")</f>
        <v>API</v>
      </c>
      <c r="J793" s="265" t="str">
        <f>IFERROR(__xludf.DUMMYFUNCTION("""COMPUTED_VALUE"""),"API")</f>
        <v>API</v>
      </c>
      <c r="K793" s="265" t="str">
        <f>IFERROR(__xludf.DUMMYFUNCTION("""COMPUTED_VALUE"""),"YếnĐH")</f>
        <v>YếnĐH</v>
      </c>
    </row>
    <row r="794">
      <c r="A794" s="265" t="str">
        <f>IFERROR(__xludf.DUMMYFUNCTION("""COMPUTED_VALUE"""),"1027")</f>
        <v>1027</v>
      </c>
      <c r="B794" s="265" t="str">
        <f>IFERROR(__xludf.DUMMYFUNCTION("""COMPUTED_VALUE"""),"Hà Nội")</f>
        <v>Hà Nội</v>
      </c>
      <c r="C794" s="265" t="str">
        <f>IFERROR(__xludf.DUMMYFUNCTION("""COMPUTED_VALUE"""),"Locked")</f>
        <v>Locked</v>
      </c>
      <c r="D794" s="265" t="str">
        <f>IFERROR(__xludf.DUMMYFUNCTION("""COMPUTED_VALUE"""),"Truyền thông &amp; Giải trí")</f>
        <v>Truyền thông &amp; Giải trí</v>
      </c>
      <c r="E794" s="265" t="str">
        <f>IFERROR(__xludf.DUMMYFUNCTION("""COMPUTED_VALUE"""),"TùngLD")</f>
        <v>TùngLD</v>
      </c>
      <c r="F794" s="265" t="str">
        <f>IFERROR(__xludf.DUMMYFUNCTION("""COMPUTED_VALUE"""),"Silver")</f>
        <v>Silver</v>
      </c>
      <c r="G794" s="265" t="str">
        <f>IFERROR(__xludf.DUMMYFUNCTION("""COMPUTED_VALUE"""),"Starter")</f>
        <v>Starter</v>
      </c>
      <c r="H794" s="265" t="str">
        <f>IFERROR(__xludf.DUMMYFUNCTION("""COMPUTED_VALUE"""),"Trial")</f>
        <v>Trial</v>
      </c>
      <c r="I794" s="265" t="str">
        <f>IFERROR(__xludf.DUMMYFUNCTION("""COMPUTED_VALUE"""),"API &amp; Portal")</f>
        <v>API &amp; Portal</v>
      </c>
      <c r="J794" s="265" t="str">
        <f>IFERROR(__xludf.DUMMYFUNCTION("""COMPUTED_VALUE"""),"File Excel")</f>
        <v>File Excel</v>
      </c>
      <c r="K794" s="265" t="str">
        <f>IFERROR(__xludf.DUMMYFUNCTION("""COMPUTED_VALUE"""),"DungPL")</f>
        <v>DungPL</v>
      </c>
    </row>
    <row r="795">
      <c r="A795" s="265" t="str">
        <f>IFERROR(__xludf.DUMMYFUNCTION("""COMPUTED_VALUE"""),"1027")</f>
        <v>1027</v>
      </c>
      <c r="B795" s="265" t="str">
        <f>IFERROR(__xludf.DUMMYFUNCTION("""COMPUTED_VALUE"""),"Hà Nội")</f>
        <v>Hà Nội</v>
      </c>
      <c r="C795" s="265" t="str">
        <f>IFERROR(__xludf.DUMMYFUNCTION("""COMPUTED_VALUE"""),"Locked")</f>
        <v>Locked</v>
      </c>
      <c r="D795" s="265" t="str">
        <f>IFERROR(__xludf.DUMMYFUNCTION("""COMPUTED_VALUE"""),"Truyền thông &amp; Giải trí")</f>
        <v>Truyền thông &amp; Giải trí</v>
      </c>
      <c r="E795" s="265" t="str">
        <f>IFERROR(__xludf.DUMMYFUNCTION("""COMPUTED_VALUE"""),"TùngLD")</f>
        <v>TùngLD</v>
      </c>
      <c r="F795" s="265" t="str">
        <f>IFERROR(__xludf.DUMMYFUNCTION("""COMPUTED_VALUE"""),"Silver")</f>
        <v>Silver</v>
      </c>
      <c r="G795" s="265" t="str">
        <f>IFERROR(__xludf.DUMMYFUNCTION("""COMPUTED_VALUE"""),"Starter")</f>
        <v>Starter</v>
      </c>
      <c r="H795" s="265" t="str">
        <f>IFERROR(__xludf.DUMMYFUNCTION("""COMPUTED_VALUE"""),"Trial")</f>
        <v>Trial</v>
      </c>
      <c r="I795" s="265" t="str">
        <f>IFERROR(__xludf.DUMMYFUNCTION("""COMPUTED_VALUE"""),"API &amp; Portal")</f>
        <v>API &amp; Portal</v>
      </c>
      <c r="J795" s="265" t="str">
        <f>IFERROR(__xludf.DUMMYFUNCTION("""COMPUTED_VALUE"""),"API")</f>
        <v>API</v>
      </c>
      <c r="K795" s="265" t="str">
        <f>IFERROR(__xludf.DUMMYFUNCTION("""COMPUTED_VALUE"""),"DungPL")</f>
        <v>DungPL</v>
      </c>
    </row>
    <row r="796">
      <c r="A796" s="265" t="str">
        <f>IFERROR(__xludf.DUMMYFUNCTION("""COMPUTED_VALUE"""),"1028")</f>
        <v>1028</v>
      </c>
      <c r="B796" s="265" t="str">
        <f>IFERROR(__xludf.DUMMYFUNCTION("""COMPUTED_VALUE"""),"Hà Nội")</f>
        <v>Hà Nội</v>
      </c>
      <c r="C796" s="265" t="str">
        <f>IFERROR(__xludf.DUMMYFUNCTION("""COMPUTED_VALUE"""),"Locked")</f>
        <v>Locked</v>
      </c>
      <c r="D796" s="265" t="str">
        <f>IFERROR(__xludf.DUMMYFUNCTION("""COMPUTED_VALUE"""),"Thời trang &amp; May mặc")</f>
        <v>Thời trang &amp; May mặc</v>
      </c>
      <c r="E796" s="265" t="str">
        <f>IFERROR(__xludf.DUMMYFUNCTION("""COMPUTED_VALUE"""),"AnhNM")</f>
        <v>AnhNM</v>
      </c>
      <c r="F796" s="265" t="str">
        <f>IFERROR(__xludf.DUMMYFUNCTION("""COMPUTED_VALUE"""),"Diamond")</f>
        <v>Diamond</v>
      </c>
      <c r="G796" s="265" t="str">
        <f>IFERROR(__xludf.DUMMYFUNCTION("""COMPUTED_VALUE"""),"Standard")</f>
        <v>Standard</v>
      </c>
      <c r="H796" s="265" t="str">
        <f>IFERROR(__xludf.DUMMYFUNCTION("""COMPUTED_VALUE"""),"Trial")</f>
        <v>Trial</v>
      </c>
      <c r="I796" s="265" t="str">
        <f>IFERROR(__xludf.DUMMYFUNCTION("""COMPUTED_VALUE"""),"API")</f>
        <v>API</v>
      </c>
      <c r="J796" s="265" t="str">
        <f>IFERROR(__xludf.DUMMYFUNCTION("""COMPUTED_VALUE"""),"API")</f>
        <v>API</v>
      </c>
      <c r="K796" s="265" t="str">
        <f>IFERROR(__xludf.DUMMYFUNCTION("""COMPUTED_VALUE"""),"LinhNTT1")</f>
        <v>LinhNTT1</v>
      </c>
    </row>
    <row r="797">
      <c r="A797" s="265" t="str">
        <f>IFERROR(__xludf.DUMMYFUNCTION("""COMPUTED_VALUE"""),"1035")</f>
        <v>1035</v>
      </c>
      <c r="B797" s="265" t="str">
        <f>IFERROR(__xludf.DUMMYFUNCTION("""COMPUTED_VALUE"""),"Hà Nội")</f>
        <v>Hà Nội</v>
      </c>
      <c r="C797" s="265" t="str">
        <f>IFERROR(__xludf.DUMMYFUNCTION("""COMPUTED_VALUE"""),"Active")</f>
        <v>Active</v>
      </c>
      <c r="D797" s="265" t="str">
        <f>IFERROR(__xludf.DUMMYFUNCTION("""COMPUTED_VALUE"""),"Thời trang &amp; May mặc")</f>
        <v>Thời trang &amp; May mặc</v>
      </c>
      <c r="E797" s="265" t="str">
        <f>IFERROR(__xludf.DUMMYFUNCTION("""COMPUTED_VALUE"""),"AnhNM")</f>
        <v>AnhNM</v>
      </c>
      <c r="F797" s="265" t="str">
        <f>IFERROR(__xludf.DUMMYFUNCTION("""COMPUTED_VALUE"""),"Diamond")</f>
        <v>Diamond</v>
      </c>
      <c r="G797" s="265" t="str">
        <f>IFERROR(__xludf.DUMMYFUNCTION("""COMPUTED_VALUE"""),"Standard")</f>
        <v>Standard</v>
      </c>
      <c r="H797" s="265" t="str">
        <f>IFERROR(__xludf.DUMMYFUNCTION("""COMPUTED_VALUE"""),"Trả sau")</f>
        <v>Trả sau</v>
      </c>
      <c r="I797" s="265" t="str">
        <f>IFERROR(__xludf.DUMMYFUNCTION("""COMPUTED_VALUE"""),"API")</f>
        <v>API</v>
      </c>
      <c r="J797" s="265" t="str">
        <f>IFERROR(__xludf.DUMMYFUNCTION("""COMPUTED_VALUE"""),"API")</f>
        <v>API</v>
      </c>
      <c r="K797" s="265" t="str">
        <f>IFERROR(__xludf.DUMMYFUNCTION("""COMPUTED_VALUE"""),"LinhNTT1")</f>
        <v>LinhNTT1</v>
      </c>
    </row>
    <row r="798">
      <c r="A798" s="265" t="str">
        <f>IFERROR(__xludf.DUMMYFUNCTION("""COMPUTED_VALUE"""),"1029")</f>
        <v>1029</v>
      </c>
      <c r="B798" s="265" t="str">
        <f>IFERROR(__xludf.DUMMYFUNCTION("""COMPUTED_VALUE"""),"Sài Gòn")</f>
        <v>Sài Gòn</v>
      </c>
      <c r="C798" s="265" t="str">
        <f>IFERROR(__xludf.DUMMYFUNCTION("""COMPUTED_VALUE"""),"Active")</f>
        <v>Active</v>
      </c>
      <c r="D798" s="265" t="str">
        <f>IFERROR(__xludf.DUMMYFUNCTION("""COMPUTED_VALUE"""),"Thực phẩm &amp; Đồ uống")</f>
        <v>Thực phẩm &amp; Đồ uống</v>
      </c>
      <c r="E798" s="265" t="str">
        <f>IFERROR(__xludf.DUMMYFUNCTION("""COMPUTED_VALUE"""),"Không phân công")</f>
        <v>Không phân công</v>
      </c>
      <c r="F798" s="265" t="str">
        <f>IFERROR(__xludf.DUMMYFUNCTION("""COMPUTED_VALUE"""),"Bronze")</f>
        <v>Bronze</v>
      </c>
      <c r="G798" s="265" t="str">
        <f>IFERROR(__xludf.DUMMYFUNCTION("""COMPUTED_VALUE"""),"Standard")</f>
        <v>Standard</v>
      </c>
      <c r="H798" s="265" t="str">
        <f>IFERROR(__xludf.DUMMYFUNCTION("""COMPUTED_VALUE"""),"Trả sau")</f>
        <v>Trả sau</v>
      </c>
      <c r="I798" s="265" t="str">
        <f>IFERROR(__xludf.DUMMYFUNCTION("""COMPUTED_VALUE"""),"API &amp; Portal")</f>
        <v>API &amp; Portal</v>
      </c>
      <c r="J798" s="265" t="str">
        <f>IFERROR(__xludf.DUMMYFUNCTION("""COMPUTED_VALUE"""),"File Excel")</f>
        <v>File Excel</v>
      </c>
      <c r="K798" s="265" t="str">
        <f>IFERROR(__xludf.DUMMYFUNCTION("""COMPUTED_VALUE"""),"LinhNTT1")</f>
        <v>LinhNTT1</v>
      </c>
    </row>
    <row r="799">
      <c r="A799" s="265" t="str">
        <f>IFERROR(__xludf.DUMMYFUNCTION("""COMPUTED_VALUE"""),"1030")</f>
        <v>1030</v>
      </c>
      <c r="B799" s="265" t="str">
        <f>IFERROR(__xludf.DUMMYFUNCTION("""COMPUTED_VALUE"""),"Hà Nội")</f>
        <v>Hà Nội</v>
      </c>
      <c r="C799" s="265" t="str">
        <f>IFERROR(__xludf.DUMMYFUNCTION("""COMPUTED_VALUE"""),"Active")</f>
        <v>Active</v>
      </c>
      <c r="D799" s="265" t="str">
        <f>IFERROR(__xludf.DUMMYFUNCTION("""COMPUTED_VALUE"""),"Sale chưa cung cấp")</f>
        <v>Sale chưa cung cấp</v>
      </c>
      <c r="E799" s="265" t="str">
        <f>IFERROR(__xludf.DUMMYFUNCTION("""COMPUTED_VALUE"""),"TùngLD")</f>
        <v>TùngLD</v>
      </c>
      <c r="F799" s="265" t="str">
        <f>IFERROR(__xludf.DUMMYFUNCTION("""COMPUTED_VALUE"""),"Gold")</f>
        <v>Gold</v>
      </c>
      <c r="G799" s="265" t="str">
        <f>IFERROR(__xludf.DUMMYFUNCTION("""COMPUTED_VALUE"""),"Premium")</f>
        <v>Premium</v>
      </c>
      <c r="H799" s="265" t="str">
        <f>IFERROR(__xludf.DUMMYFUNCTION("""COMPUTED_VALUE"""),"Trả sau")</f>
        <v>Trả sau</v>
      </c>
      <c r="I799" s="265" t="str">
        <f>IFERROR(__xludf.DUMMYFUNCTION("""COMPUTED_VALUE"""),"API")</f>
        <v>API</v>
      </c>
      <c r="J799" s="265" t="str">
        <f>IFERROR(__xludf.DUMMYFUNCTION("""COMPUTED_VALUE"""),"API")</f>
        <v>API</v>
      </c>
      <c r="K799" s="265" t="str">
        <f>IFERROR(__xludf.DUMMYFUNCTION("""COMPUTED_VALUE"""),"LinhNTT1")</f>
        <v>LinhNTT1</v>
      </c>
    </row>
    <row r="800">
      <c r="A800" s="265" t="str">
        <f>IFERROR(__xludf.DUMMYFUNCTION("""COMPUTED_VALUE"""),"1031")</f>
        <v>1031</v>
      </c>
      <c r="B800" s="265" t="str">
        <f>IFERROR(__xludf.DUMMYFUNCTION("""COMPUTED_VALUE"""),"Hà Nội")</f>
        <v>Hà Nội</v>
      </c>
      <c r="C800" s="265" t="str">
        <f>IFERROR(__xludf.DUMMYFUNCTION("""COMPUTED_VALUE"""),"Active")</f>
        <v>Active</v>
      </c>
      <c r="D800" s="265" t="str">
        <f>IFERROR(__xludf.DUMMYFUNCTION("""COMPUTED_VALUE"""),"Viễn thông")</f>
        <v>Viễn thông</v>
      </c>
      <c r="E800" s="265" t="str">
        <f>IFERROR(__xludf.DUMMYFUNCTION("""COMPUTED_VALUE"""),"TùngLD")</f>
        <v>TùngLD</v>
      </c>
      <c r="F800" s="265" t="str">
        <f>IFERROR(__xludf.DUMMYFUNCTION("""COMPUTED_VALUE"""),"Gold")</f>
        <v>Gold</v>
      </c>
      <c r="G800" s="265" t="str">
        <f>IFERROR(__xludf.DUMMYFUNCTION("""COMPUTED_VALUE"""),"Enterprise")</f>
        <v>Enterprise</v>
      </c>
      <c r="H800" s="265" t="str">
        <f>IFERROR(__xludf.DUMMYFUNCTION("""COMPUTED_VALUE"""),"Trả trước")</f>
        <v>Trả trước</v>
      </c>
      <c r="I800" s="265" t="str">
        <f>IFERROR(__xludf.DUMMYFUNCTION("""COMPUTED_VALUE"""),"API")</f>
        <v>API</v>
      </c>
      <c r="J800" s="265" t="str">
        <f>IFERROR(__xludf.DUMMYFUNCTION("""COMPUTED_VALUE"""),"API")</f>
        <v>API</v>
      </c>
      <c r="K800" s="265" t="str">
        <f>IFERROR(__xludf.DUMMYFUNCTION("""COMPUTED_VALUE"""),"YếnĐH")</f>
        <v>YếnĐH</v>
      </c>
    </row>
    <row r="801">
      <c r="A801" s="265" t="str">
        <f>IFERROR(__xludf.DUMMYFUNCTION("""COMPUTED_VALUE"""),"1032")</f>
        <v>1032</v>
      </c>
      <c r="B801" s="265" t="str">
        <f>IFERROR(__xludf.DUMMYFUNCTION("""COMPUTED_VALUE"""),"Sài Gòn")</f>
        <v>Sài Gòn</v>
      </c>
      <c r="C801" s="265" t="str">
        <f>IFERROR(__xludf.DUMMYFUNCTION("""COMPUTED_VALUE"""),"Active")</f>
        <v>Active</v>
      </c>
      <c r="D801" s="265" t="str">
        <f>IFERROR(__xludf.DUMMYFUNCTION("""COMPUTED_VALUE"""),"Mua sắm &amp; Bán lẻ")</f>
        <v>Mua sắm &amp; Bán lẻ</v>
      </c>
      <c r="E801" s="265" t="str">
        <f>IFERROR(__xludf.DUMMYFUNCTION("""COMPUTED_VALUE"""),"TrâmNNB")</f>
        <v>TrâmNNB</v>
      </c>
      <c r="F801" s="265" t="str">
        <f>IFERROR(__xludf.DUMMYFUNCTION("""COMPUTED_VALUE"""),"Sale chưa cung cấp")</f>
        <v>Sale chưa cung cấp</v>
      </c>
      <c r="G801" s="265" t="str">
        <f>IFERROR(__xludf.DUMMYFUNCTION("""COMPUTED_VALUE"""),"Premium")</f>
        <v>Premium</v>
      </c>
      <c r="H801" s="265" t="str">
        <f>IFERROR(__xludf.DUMMYFUNCTION("""COMPUTED_VALUE"""),"Trả trước")</f>
        <v>Trả trước</v>
      </c>
      <c r="I801" s="265" t="str">
        <f>IFERROR(__xludf.DUMMYFUNCTION("""COMPUTED_VALUE"""),"API &amp; Portal")</f>
        <v>API &amp; Portal</v>
      </c>
      <c r="J801" s="265" t="str">
        <f>IFERROR(__xludf.DUMMYFUNCTION("""COMPUTED_VALUE"""),"File Excel")</f>
        <v>File Excel</v>
      </c>
      <c r="K801" s="265" t="str">
        <f>IFERROR(__xludf.DUMMYFUNCTION("""COMPUTED_VALUE"""),"LinhNTT1")</f>
        <v>LinhNTT1</v>
      </c>
    </row>
    <row r="802">
      <c r="A802" s="265" t="str">
        <f>IFERROR(__xludf.DUMMYFUNCTION("""COMPUTED_VALUE"""),"1033")</f>
        <v>1033</v>
      </c>
      <c r="B802" s="265" t="str">
        <f>IFERROR(__xludf.DUMMYFUNCTION("""COMPUTED_VALUE"""),"Sài Gòn")</f>
        <v>Sài Gòn</v>
      </c>
      <c r="C802" s="265" t="str">
        <f>IFERROR(__xludf.DUMMYFUNCTION("""COMPUTED_VALUE"""),"Active")</f>
        <v>Active</v>
      </c>
      <c r="D802" s="265" t="str">
        <f>IFERROR(__xludf.DUMMYFUNCTION("""COMPUTED_VALUE"""),"Y tế &amp; Dược phẩm")</f>
        <v>Y tế &amp; Dược phẩm</v>
      </c>
      <c r="E802" s="265" t="str">
        <f>IFERROR(__xludf.DUMMYFUNCTION("""COMPUTED_VALUE"""),"AnhNM")</f>
        <v>AnhNM</v>
      </c>
      <c r="F802" s="265" t="str">
        <f>IFERROR(__xludf.DUMMYFUNCTION("""COMPUTED_VALUE"""),"Bronze")</f>
        <v>Bronze</v>
      </c>
      <c r="G802" s="265" t="str">
        <f>IFERROR(__xludf.DUMMYFUNCTION("""COMPUTED_VALUE"""),"Enterprise")</f>
        <v>Enterprise</v>
      </c>
      <c r="H802" s="265" t="str">
        <f>IFERROR(__xludf.DUMMYFUNCTION("""COMPUTED_VALUE"""),"Trả trước")</f>
        <v>Trả trước</v>
      </c>
      <c r="I802" s="265" t="str">
        <f>IFERROR(__xludf.DUMMYFUNCTION("""COMPUTED_VALUE"""),"Portal")</f>
        <v>Portal</v>
      </c>
      <c r="J802" s="265" t="str">
        <f>IFERROR(__xludf.DUMMYFUNCTION("""COMPUTED_VALUE"""),"File Excel")</f>
        <v>File Excel</v>
      </c>
      <c r="K802" s="265" t="str">
        <f>IFERROR(__xludf.DUMMYFUNCTION("""COMPUTED_VALUE"""),"LinhNTT1")</f>
        <v>LinhNTT1</v>
      </c>
    </row>
    <row r="803">
      <c r="A803" s="265" t="str">
        <f>IFERROR(__xludf.DUMMYFUNCTION("""COMPUTED_VALUE"""),"1036")</f>
        <v>1036</v>
      </c>
      <c r="B803" s="265" t="str">
        <f>IFERROR(__xludf.DUMMYFUNCTION("""COMPUTED_VALUE"""),"Hà Nội")</f>
        <v>Hà Nội</v>
      </c>
      <c r="C803" s="265" t="str">
        <f>IFERROR(__xludf.DUMMYFUNCTION("""COMPUTED_VALUE"""),"Active")</f>
        <v>Active</v>
      </c>
      <c r="D803" s="265" t="str">
        <f>IFERROR(__xludf.DUMMYFUNCTION("""COMPUTED_VALUE"""),"Dịch vụ khác")</f>
        <v>Dịch vụ khác</v>
      </c>
      <c r="E803" s="265" t="str">
        <f>IFERROR(__xludf.DUMMYFUNCTION("""COMPUTED_VALUE"""),"Không phân công")</f>
        <v>Không phân công</v>
      </c>
      <c r="F803" s="265" t="str">
        <f>IFERROR(__xludf.DUMMYFUNCTION("""COMPUTED_VALUE"""),"Silver")</f>
        <v>Silver</v>
      </c>
      <c r="G803" s="265" t="str">
        <f>IFERROR(__xludf.DUMMYFUNCTION("""COMPUTED_VALUE"""),"Starter")</f>
        <v>Starter</v>
      </c>
      <c r="H803" s="265" t="str">
        <f>IFERROR(__xludf.DUMMYFUNCTION("""COMPUTED_VALUE"""),"Trial")</f>
        <v>Trial</v>
      </c>
      <c r="I803" s="265" t="str">
        <f>IFERROR(__xludf.DUMMYFUNCTION("""COMPUTED_VALUE"""),"API")</f>
        <v>API</v>
      </c>
      <c r="J803" s="265" t="str">
        <f>IFERROR(__xludf.DUMMYFUNCTION("""COMPUTED_VALUE"""),"API")</f>
        <v>API</v>
      </c>
      <c r="K803" s="265" t="str">
        <f>IFERROR(__xludf.DUMMYFUNCTION("""COMPUTED_VALUE"""),"DungPL")</f>
        <v>DungPL</v>
      </c>
    </row>
    <row r="804">
      <c r="A804" s="265" t="str">
        <f>IFERROR(__xludf.DUMMYFUNCTION("""COMPUTED_VALUE"""),"1039")</f>
        <v>1039</v>
      </c>
      <c r="B804" s="265" t="str">
        <f>IFERROR(__xludf.DUMMYFUNCTION("""COMPUTED_VALUE"""),"Sài Gòn")</f>
        <v>Sài Gòn</v>
      </c>
      <c r="C804" s="265" t="str">
        <f>IFERROR(__xludf.DUMMYFUNCTION("""COMPUTED_VALUE"""),"Active")</f>
        <v>Active</v>
      </c>
      <c r="D804" s="265" t="str">
        <f>IFERROR(__xludf.DUMMYFUNCTION("""COMPUTED_VALUE"""),"Dịch vụ khác")</f>
        <v>Dịch vụ khác</v>
      </c>
      <c r="E804" s="265" t="str">
        <f>IFERROR(__xludf.DUMMYFUNCTION("""COMPUTED_VALUE"""),"Không phân công")</f>
        <v>Không phân công</v>
      </c>
      <c r="F804" s="265" t="str">
        <f>IFERROR(__xludf.DUMMYFUNCTION("""COMPUTED_VALUE"""),"Diamond")</f>
        <v>Diamond</v>
      </c>
      <c r="G804" s="265" t="str">
        <f>IFERROR(__xludf.DUMMYFUNCTION("""COMPUTED_VALUE"""),"Starter")</f>
        <v>Starter</v>
      </c>
      <c r="H804" s="265" t="str">
        <f>IFERROR(__xludf.DUMMYFUNCTION("""COMPUTED_VALUE"""),"Trả trước")</f>
        <v>Trả trước</v>
      </c>
      <c r="I804" s="265" t="str">
        <f>IFERROR(__xludf.DUMMYFUNCTION("""COMPUTED_VALUE"""),"API")</f>
        <v>API</v>
      </c>
      <c r="J804" s="265" t="str">
        <f>IFERROR(__xludf.DUMMYFUNCTION("""COMPUTED_VALUE"""),"API")</f>
        <v>API</v>
      </c>
      <c r="K804" s="265" t="str">
        <f>IFERROR(__xludf.DUMMYFUNCTION("""COMPUTED_VALUE"""),"LinhNTT1")</f>
        <v>LinhNTT1</v>
      </c>
    </row>
    <row r="805">
      <c r="A805" s="265" t="str">
        <f>IFERROR(__xludf.DUMMYFUNCTION("""COMPUTED_VALUE"""),"1040")</f>
        <v>1040</v>
      </c>
      <c r="B805" s="265" t="str">
        <f>IFERROR(__xludf.DUMMYFUNCTION("""COMPUTED_VALUE"""),"Hà Nội")</f>
        <v>Hà Nội</v>
      </c>
      <c r="C805" s="265" t="str">
        <f>IFERROR(__xludf.DUMMYFUNCTION("""COMPUTED_VALUE"""),"Active")</f>
        <v>Active</v>
      </c>
      <c r="D805" s="265" t="str">
        <f>IFERROR(__xludf.DUMMYFUNCTION("""COMPUTED_VALUE"""),"Truyền thông &amp; Giải trí")</f>
        <v>Truyền thông &amp; Giải trí</v>
      </c>
      <c r="E805" s="265" t="str">
        <f>IFERROR(__xludf.DUMMYFUNCTION("""COMPUTED_VALUE"""),"AnhNM")</f>
        <v>AnhNM</v>
      </c>
      <c r="F805" s="265" t="str">
        <f>IFERROR(__xludf.DUMMYFUNCTION("""COMPUTED_VALUE"""),"Diamond")</f>
        <v>Diamond</v>
      </c>
      <c r="G805" s="265" t="str">
        <f>IFERROR(__xludf.DUMMYFUNCTION("""COMPUTED_VALUE"""),"Enterprise")</f>
        <v>Enterprise</v>
      </c>
      <c r="H805" s="265" t="str">
        <f>IFERROR(__xludf.DUMMYFUNCTION("""COMPUTED_VALUE"""),"Trial")</f>
        <v>Trial</v>
      </c>
      <c r="I805" s="265" t="str">
        <f>IFERROR(__xludf.DUMMYFUNCTION("""COMPUTED_VALUE"""),"API")</f>
        <v>API</v>
      </c>
      <c r="J805" s="265" t="str">
        <f>IFERROR(__xludf.DUMMYFUNCTION("""COMPUTED_VALUE"""),"API")</f>
        <v>API</v>
      </c>
      <c r="K805" s="265" t="str">
        <f>IFERROR(__xludf.DUMMYFUNCTION("""COMPUTED_VALUE"""),"Không phân công")</f>
        <v>Không phân công</v>
      </c>
    </row>
    <row r="806">
      <c r="A806" s="265" t="str">
        <f>IFERROR(__xludf.DUMMYFUNCTION("""COMPUTED_VALUE"""),"1038")</f>
        <v>1038</v>
      </c>
      <c r="B806" s="265" t="str">
        <f>IFERROR(__xludf.DUMMYFUNCTION("""COMPUTED_VALUE"""),"Hà Nội")</f>
        <v>Hà Nội</v>
      </c>
      <c r="C806" s="265" t="str">
        <f>IFERROR(__xludf.DUMMYFUNCTION("""COMPUTED_VALUE"""),"Active")</f>
        <v>Active</v>
      </c>
      <c r="D806" s="265" t="str">
        <f>IFERROR(__xludf.DUMMYFUNCTION("""COMPUTED_VALUE"""),"Y tế &amp; Dược phẩm")</f>
        <v>Y tế &amp; Dược phẩm</v>
      </c>
      <c r="E806" s="265" t="str">
        <f>IFERROR(__xludf.DUMMYFUNCTION("""COMPUTED_VALUE"""),"Không phân công")</f>
        <v>Không phân công</v>
      </c>
      <c r="F806" s="265" t="str">
        <f>IFERROR(__xludf.DUMMYFUNCTION("""COMPUTED_VALUE"""),"Bronze")</f>
        <v>Bronze</v>
      </c>
      <c r="G806" s="265" t="str">
        <f>IFERROR(__xludf.DUMMYFUNCTION("""COMPUTED_VALUE"""),"Starter")</f>
        <v>Starter</v>
      </c>
      <c r="H806" s="265" t="str">
        <f>IFERROR(__xludf.DUMMYFUNCTION("""COMPUTED_VALUE"""),"Trả sau")</f>
        <v>Trả sau</v>
      </c>
      <c r="I806" s="265" t="str">
        <f>IFERROR(__xludf.DUMMYFUNCTION("""COMPUTED_VALUE"""),"API &amp; Portal")</f>
        <v>API &amp; Portal</v>
      </c>
      <c r="J806" s="265" t="str">
        <f>IFERROR(__xludf.DUMMYFUNCTION("""COMPUTED_VALUE"""),"File Excel")</f>
        <v>File Excel</v>
      </c>
      <c r="K806" s="265" t="str">
        <f>IFERROR(__xludf.DUMMYFUNCTION("""COMPUTED_VALUE"""),"DungVT")</f>
        <v>DungVT</v>
      </c>
    </row>
    <row r="807">
      <c r="A807" s="265" t="str">
        <f>IFERROR(__xludf.DUMMYFUNCTION("""COMPUTED_VALUE"""),"1038")</f>
        <v>1038</v>
      </c>
      <c r="B807" s="265" t="str">
        <f>IFERROR(__xludf.DUMMYFUNCTION("""COMPUTED_VALUE"""),"Hà Nội")</f>
        <v>Hà Nội</v>
      </c>
      <c r="C807" s="265" t="str">
        <f>IFERROR(__xludf.DUMMYFUNCTION("""COMPUTED_VALUE"""),"Active")</f>
        <v>Active</v>
      </c>
      <c r="D807" s="265" t="str">
        <f>IFERROR(__xludf.DUMMYFUNCTION("""COMPUTED_VALUE"""),"Y tế &amp; Dược phẩm")</f>
        <v>Y tế &amp; Dược phẩm</v>
      </c>
      <c r="E807" s="265" t="str">
        <f>IFERROR(__xludf.DUMMYFUNCTION("""COMPUTED_VALUE"""),"Không phân công")</f>
        <v>Không phân công</v>
      </c>
      <c r="F807" s="265" t="str">
        <f>IFERROR(__xludf.DUMMYFUNCTION("""COMPUTED_VALUE"""),"Bronze")</f>
        <v>Bronze</v>
      </c>
      <c r="G807" s="265" t="str">
        <f>IFERROR(__xludf.DUMMYFUNCTION("""COMPUTED_VALUE"""),"Starter")</f>
        <v>Starter</v>
      </c>
      <c r="H807" s="265" t="str">
        <f>IFERROR(__xludf.DUMMYFUNCTION("""COMPUTED_VALUE"""),"Trả sau")</f>
        <v>Trả sau</v>
      </c>
      <c r="I807" s="265" t="str">
        <f>IFERROR(__xludf.DUMMYFUNCTION("""COMPUTED_VALUE"""),"API &amp; Portal")</f>
        <v>API &amp; Portal</v>
      </c>
      <c r="J807" s="265" t="str">
        <f>IFERROR(__xludf.DUMMYFUNCTION("""COMPUTED_VALUE"""),"API")</f>
        <v>API</v>
      </c>
      <c r="K807" s="265" t="str">
        <f>IFERROR(__xludf.DUMMYFUNCTION("""COMPUTED_VALUE"""),"DungVT")</f>
        <v>DungVT</v>
      </c>
    </row>
    <row r="808">
      <c r="A808" s="265" t="str">
        <f>IFERROR(__xludf.DUMMYFUNCTION("""COMPUTED_VALUE"""),"1043")</f>
        <v>1043</v>
      </c>
      <c r="B808" s="265" t="str">
        <f>IFERROR(__xludf.DUMMYFUNCTION("""COMPUTED_VALUE"""),"Sài Gòn")</f>
        <v>Sài Gòn</v>
      </c>
      <c r="C808" s="265" t="str">
        <f>IFERROR(__xludf.DUMMYFUNCTION("""COMPUTED_VALUE"""),"Active")</f>
        <v>Active</v>
      </c>
      <c r="D808" s="265" t="str">
        <f>IFERROR(__xludf.DUMMYFUNCTION("""COMPUTED_VALUE"""),"Thực phẩm &amp; Đồ uống")</f>
        <v>Thực phẩm &amp; Đồ uống</v>
      </c>
      <c r="E808" s="265" t="str">
        <f>IFERROR(__xludf.DUMMYFUNCTION("""COMPUTED_VALUE"""),"TúPHN")</f>
        <v>TúPHN</v>
      </c>
      <c r="F808" s="265" t="str">
        <f>IFERROR(__xludf.DUMMYFUNCTION("""COMPUTED_VALUE"""),"Bronze")</f>
        <v>Bronze</v>
      </c>
      <c r="G808" s="265" t="str">
        <f>IFERROR(__xludf.DUMMYFUNCTION("""COMPUTED_VALUE"""),"Premium")</f>
        <v>Premium</v>
      </c>
      <c r="H808" s="265" t="str">
        <f>IFERROR(__xludf.DUMMYFUNCTION("""COMPUTED_VALUE"""),"Trial")</f>
        <v>Trial</v>
      </c>
      <c r="I808" s="265" t="str">
        <f>IFERROR(__xludf.DUMMYFUNCTION("""COMPUTED_VALUE"""),"Portal")</f>
        <v>Portal</v>
      </c>
      <c r="J808" s="265" t="str">
        <f>IFERROR(__xludf.DUMMYFUNCTION("""COMPUTED_VALUE"""),"File Excel")</f>
        <v>File Excel</v>
      </c>
      <c r="K808" s="265" t="str">
        <f>IFERROR(__xludf.DUMMYFUNCTION("""COMPUTED_VALUE"""),"Không phân công")</f>
        <v>Không phân công</v>
      </c>
    </row>
    <row r="809">
      <c r="A809" s="265" t="str">
        <f>IFERROR(__xludf.DUMMYFUNCTION("""COMPUTED_VALUE"""),"1044")</f>
        <v>1044</v>
      </c>
      <c r="B809" s="265" t="str">
        <f>IFERROR(__xludf.DUMMYFUNCTION("""COMPUTED_VALUE"""),"Hà Nội")</f>
        <v>Hà Nội</v>
      </c>
      <c r="C809" s="265" t="str">
        <f>IFERROR(__xludf.DUMMYFUNCTION("""COMPUTED_VALUE"""),"Active")</f>
        <v>Active</v>
      </c>
      <c r="D809" s="265" t="str">
        <f>IFERROR(__xludf.DUMMYFUNCTION("""COMPUTED_VALUE"""),"Giáo dục &amp; Đào tạo")</f>
        <v>Giáo dục &amp; Đào tạo</v>
      </c>
      <c r="E809" s="265" t="str">
        <f>IFERROR(__xludf.DUMMYFUNCTION("""COMPUTED_VALUE"""),"TúPHN")</f>
        <v>TúPHN</v>
      </c>
      <c r="F809" s="265" t="str">
        <f>IFERROR(__xludf.DUMMYFUNCTION("""COMPUTED_VALUE"""),"Bronze")</f>
        <v>Bronze</v>
      </c>
      <c r="G809" s="265" t="str">
        <f>IFERROR(__xludf.DUMMYFUNCTION("""COMPUTED_VALUE"""),"Starter")</f>
        <v>Starter</v>
      </c>
      <c r="H809" s="265" t="str">
        <f>IFERROR(__xludf.DUMMYFUNCTION("""COMPUTED_VALUE"""),"Trả trước")</f>
        <v>Trả trước</v>
      </c>
      <c r="I809" s="265" t="str">
        <f>IFERROR(__xludf.DUMMYFUNCTION("""COMPUTED_VALUE"""),"API &amp; Portal")</f>
        <v>API &amp; Portal</v>
      </c>
      <c r="J809" s="265" t="str">
        <f>IFERROR(__xludf.DUMMYFUNCTION("""COMPUTED_VALUE"""),"File Excel")</f>
        <v>File Excel</v>
      </c>
      <c r="K809" s="265" t="str">
        <f>IFERROR(__xludf.DUMMYFUNCTION("""COMPUTED_VALUE"""),"DungPL")</f>
        <v>DungPL</v>
      </c>
    </row>
    <row r="810">
      <c r="A810" s="265" t="str">
        <f>IFERROR(__xludf.DUMMYFUNCTION("""COMPUTED_VALUE"""),"1044")</f>
        <v>1044</v>
      </c>
      <c r="B810" s="265" t="str">
        <f>IFERROR(__xludf.DUMMYFUNCTION("""COMPUTED_VALUE"""),"Hà Nội")</f>
        <v>Hà Nội</v>
      </c>
      <c r="C810" s="265" t="str">
        <f>IFERROR(__xludf.DUMMYFUNCTION("""COMPUTED_VALUE"""),"Active")</f>
        <v>Active</v>
      </c>
      <c r="D810" s="265" t="str">
        <f>IFERROR(__xludf.DUMMYFUNCTION("""COMPUTED_VALUE"""),"Giáo dục &amp; Đào tạo")</f>
        <v>Giáo dục &amp; Đào tạo</v>
      </c>
      <c r="E810" s="265" t="str">
        <f>IFERROR(__xludf.DUMMYFUNCTION("""COMPUTED_VALUE"""),"TúPHN")</f>
        <v>TúPHN</v>
      </c>
      <c r="F810" s="265" t="str">
        <f>IFERROR(__xludf.DUMMYFUNCTION("""COMPUTED_VALUE"""),"Bronze")</f>
        <v>Bronze</v>
      </c>
      <c r="G810" s="265" t="str">
        <f>IFERROR(__xludf.DUMMYFUNCTION("""COMPUTED_VALUE"""),"Starter")</f>
        <v>Starter</v>
      </c>
      <c r="H810" s="265" t="str">
        <f>IFERROR(__xludf.DUMMYFUNCTION("""COMPUTED_VALUE"""),"Trả trước")</f>
        <v>Trả trước</v>
      </c>
      <c r="I810" s="265" t="str">
        <f>IFERROR(__xludf.DUMMYFUNCTION("""COMPUTED_VALUE"""),"API &amp; Portal")</f>
        <v>API &amp; Portal</v>
      </c>
      <c r="J810" s="265" t="str">
        <f>IFERROR(__xludf.DUMMYFUNCTION("""COMPUTED_VALUE"""),"API")</f>
        <v>API</v>
      </c>
      <c r="K810" s="265" t="str">
        <f>IFERROR(__xludf.DUMMYFUNCTION("""COMPUTED_VALUE"""),"DungPL")</f>
        <v>DungPL</v>
      </c>
    </row>
  </sheetData>
  <autoFilter ref="$A$1:$K$685"/>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25"/>
    <col customWidth="1" min="7" max="7" width="16.0"/>
    <col customWidth="1" min="8" max="8" width="13.88"/>
    <col customWidth="1" min="9" max="9" width="14.13"/>
    <col customWidth="1" min="10" max="10" width="24.0"/>
    <col customWidth="1" min="11" max="11" width="22.63"/>
    <col customWidth="1" min="12" max="12" width="20.75"/>
    <col customWidth="1" min="13" max="13" width="16.88"/>
  </cols>
  <sheetData>
    <row r="1">
      <c r="A1" s="265" t="str">
        <f>IFERROR(__xludf.DUMMYFUNCTION("ARRAYFORMULA(
  QUERY(
    TRIM(
      SPLIT(
        FLATTEN(
          'Acc GapOne ver2'!C2:C2211 &amp; ""|"" &amp; 
          'Acc GapOne ver2'!A2:A2211 &amp; ""|"" &amp; 
          'Acc GapOne ver2'!B2:B2211 &amp; ""|"" &amp; 
          'Acc GapOne ver2'!Y2:Y2211 &amp; ""|"" &amp; 
"&amp;"          'Acc GapOne ver2'!Z2:Z2211 &amp; ""|"" &amp; 
          'Acc GapOne ver2'!AC2:AC2211 &amp; ""|"" &amp; 
          'Acc GapOne ver2'!H2:H2211 &amp; ""|"" &amp; 
          'Acc GapOne ver2'!I2:I2211 &amp; ""|"" &amp; 
         'Acc GapOne ver2'!J2:J2211 &amp; ""|"" &amp; 
          SPLI"&amp;"T('Acc GapOne ver2'!AA2:AA2211, "","")
        ), ""|""
      )
    ),
    ""SELECT Col1, Col2, Col3, Col4, Col5, Col6, Col7, Col8, Col9, Col10 
     WHERE Col10 IS NOT NULL AND Col10 &lt;&gt; ''
     AND Col1 IS NOT NULL AND Col1 &lt;&gt; ''
     LABEL Col1 'ORG ID'"&amp;", Col2 'Khu vực', Col3 'Status', Col4 'Ngành nghề', Col5 'Customer Success (Lead)', Col6 'Phân khúc', Col7 'Loại gói cước', Col8 'Hình thức TT', Col9 'Hình thức SD', Col10 'Customer Support'""
  ))"),"ORG ID")</f>
        <v>ORG ID</v>
      </c>
      <c r="B1" s="265" t="str">
        <f>IFERROR(__xludf.DUMMYFUNCTION("""COMPUTED_VALUE"""),"Khu vực")</f>
        <v>Khu vực</v>
      </c>
      <c r="C1" s="265" t="str">
        <f>IFERROR(__xludf.DUMMYFUNCTION("""COMPUTED_VALUE"""),"Status")</f>
        <v>Status</v>
      </c>
      <c r="D1" s="265" t="str">
        <f>IFERROR(__xludf.DUMMYFUNCTION("""COMPUTED_VALUE"""),"Ngành nghề")</f>
        <v>Ngành nghề</v>
      </c>
      <c r="E1" s="265" t="str">
        <f>IFERROR(__xludf.DUMMYFUNCTION("""COMPUTED_VALUE"""),"Customer Success (Lead)")</f>
        <v>Customer Success (Lead)</v>
      </c>
      <c r="F1" s="265" t="str">
        <f>IFERROR(__xludf.DUMMYFUNCTION("""COMPUTED_VALUE"""),"Phân khúc")</f>
        <v>Phân khúc</v>
      </c>
      <c r="G1" s="265" t="str">
        <f>IFERROR(__xludf.DUMMYFUNCTION("""COMPUTED_VALUE"""),"Loại gói cước")</f>
        <v>Loại gói cước</v>
      </c>
      <c r="H1" s="265" t="str">
        <f>IFERROR(__xludf.DUMMYFUNCTION("""COMPUTED_VALUE"""),"Hình thức TT")</f>
        <v>Hình thức TT</v>
      </c>
      <c r="I1" s="265" t="str">
        <f>IFERROR(__xludf.DUMMYFUNCTION("""COMPUTED_VALUE"""),"Hình thức SD")</f>
        <v>Hình thức SD</v>
      </c>
      <c r="J1" s="265" t="str">
        <f>IFERROR(__xludf.DUMMYFUNCTION("""COMPUTED_VALUE"""),"Customer Support")</f>
        <v>Customer Support</v>
      </c>
      <c r="K1" s="373"/>
    </row>
    <row r="2">
      <c r="A2" s="265" t="str">
        <f>IFERROR(__xludf.DUMMYFUNCTION("""COMPUTED_VALUE"""),"29")</f>
        <v>29</v>
      </c>
      <c r="B2" s="265" t="str">
        <f>IFERROR(__xludf.DUMMYFUNCTION("""COMPUTED_VALUE"""),"Hà Nội")</f>
        <v>Hà Nội</v>
      </c>
      <c r="C2" s="265" t="str">
        <f>IFERROR(__xludf.DUMMYFUNCTION("""COMPUTED_VALUE"""),"Active")</f>
        <v>Active</v>
      </c>
      <c r="D2" s="265" t="str">
        <f>IFERROR(__xludf.DUMMYFUNCTION("""COMPUTED_VALUE"""),"Vận tải &amp; logistics")</f>
        <v>Vận tải &amp; logistics</v>
      </c>
      <c r="E2" s="265" t="str">
        <f>IFERROR(__xludf.DUMMYFUNCTION("""COMPUTED_VALUE"""),"TùngLD")</f>
        <v>TùngLD</v>
      </c>
      <c r="F2" s="265" t="str">
        <f>IFERROR(__xludf.DUMMYFUNCTION("""COMPUTED_VALUE"""),"Gold")</f>
        <v>Gold</v>
      </c>
      <c r="G2" s="265" t="str">
        <f>IFERROR(__xludf.DUMMYFUNCTION("""COMPUTED_VALUE"""),"Enterprise")</f>
        <v>Enterprise</v>
      </c>
      <c r="H2" s="265" t="str">
        <f>IFERROR(__xludf.DUMMYFUNCTION("""COMPUTED_VALUE"""),"Trả sau")</f>
        <v>Trả sau</v>
      </c>
      <c r="I2" s="265" t="str">
        <f>IFERROR(__xludf.DUMMYFUNCTION("""COMPUTED_VALUE"""),"API")</f>
        <v>API</v>
      </c>
      <c r="J2" s="265" t="str">
        <f>IFERROR(__xludf.DUMMYFUNCTION("""COMPUTED_VALUE"""),"LinhNTT1")</f>
        <v>LinhNTT1</v>
      </c>
    </row>
    <row r="3">
      <c r="A3" s="265" t="str">
        <f>IFERROR(__xludf.DUMMYFUNCTION("""COMPUTED_VALUE"""),"75")</f>
        <v>75</v>
      </c>
      <c r="B3" s="265" t="str">
        <f>IFERROR(__xludf.DUMMYFUNCTION("""COMPUTED_VALUE"""),"Hà Nội")</f>
        <v>Hà Nội</v>
      </c>
      <c r="C3" s="265" t="str">
        <f>IFERROR(__xludf.DUMMYFUNCTION("""COMPUTED_VALUE"""),"Active")</f>
        <v>Active</v>
      </c>
      <c r="D3" s="265" t="str">
        <f>IFERROR(__xludf.DUMMYFUNCTION("""COMPUTED_VALUE"""),"Sale chưa cung cấp")</f>
        <v>Sale chưa cung cấp</v>
      </c>
      <c r="E3" s="265" t="str">
        <f>IFERROR(__xludf.DUMMYFUNCTION("""COMPUTED_VALUE"""),"TùngLD")</f>
        <v>TùngLD</v>
      </c>
      <c r="F3" s="265" t="str">
        <f>IFERROR(__xludf.DUMMYFUNCTION("""COMPUTED_VALUE"""),"Diamond")</f>
        <v>Diamond</v>
      </c>
      <c r="G3" s="265" t="str">
        <f>IFERROR(__xludf.DUMMYFUNCTION("""COMPUTED_VALUE"""),"Enterprise")</f>
        <v>Enterprise</v>
      </c>
      <c r="H3" s="265" t="str">
        <f>IFERROR(__xludf.DUMMYFUNCTION("""COMPUTED_VALUE"""),"Trả sau")</f>
        <v>Trả sau</v>
      </c>
      <c r="I3" s="265" t="str">
        <f>IFERROR(__xludf.DUMMYFUNCTION("""COMPUTED_VALUE"""),"API &amp; Portal")</f>
        <v>API &amp; Portal</v>
      </c>
      <c r="J3" s="265" t="str">
        <f>IFERROR(__xludf.DUMMYFUNCTION("""COMPUTED_VALUE"""),"DungPL")</f>
        <v>DungPL</v>
      </c>
    </row>
    <row r="4">
      <c r="A4" s="265" t="str">
        <f>IFERROR(__xludf.DUMMYFUNCTION("""COMPUTED_VALUE"""),"119")</f>
        <v>119</v>
      </c>
      <c r="B4" s="265" t="str">
        <f>IFERROR(__xludf.DUMMYFUNCTION("""COMPUTED_VALUE"""),"Sài Gòn")</f>
        <v>Sài Gòn</v>
      </c>
      <c r="C4" s="265" t="str">
        <f>IFERROR(__xludf.DUMMYFUNCTION("""COMPUTED_VALUE"""),"Locked")</f>
        <v>Locked</v>
      </c>
      <c r="D4" s="265" t="str">
        <f>IFERROR(__xludf.DUMMYFUNCTION("""COMPUTED_VALUE"""),"Giáo dục &amp; Đào tạo")</f>
        <v>Giáo dục &amp; Đào tạo</v>
      </c>
      <c r="E4" s="265" t="str">
        <f>IFERROR(__xludf.DUMMYFUNCTION("""COMPUTED_VALUE"""),"TúPHN")</f>
        <v>TúPHN</v>
      </c>
      <c r="F4" s="265" t="str">
        <f>IFERROR(__xludf.DUMMYFUNCTION("""COMPUTED_VALUE"""),"Sale chưa cung cấp")</f>
        <v>Sale chưa cung cấp</v>
      </c>
      <c r="G4" s="265" t="str">
        <f>IFERROR(__xludf.DUMMYFUNCTION("""COMPUTED_VALUE"""),"Standard")</f>
        <v>Standard</v>
      </c>
      <c r="H4" s="265" t="str">
        <f>IFERROR(__xludf.DUMMYFUNCTION("""COMPUTED_VALUE"""),"Trial")</f>
        <v>Trial</v>
      </c>
      <c r="I4" s="265" t="str">
        <f>IFERROR(__xludf.DUMMYFUNCTION("""COMPUTED_VALUE"""),"API &amp; Portal")</f>
        <v>API &amp; Portal</v>
      </c>
      <c r="J4" s="265" t="str">
        <f>IFERROR(__xludf.DUMMYFUNCTION("""COMPUTED_VALUE"""),"Không phân công")</f>
        <v>Không phân công</v>
      </c>
    </row>
    <row r="5">
      <c r="A5" s="265" t="str">
        <f>IFERROR(__xludf.DUMMYFUNCTION("""COMPUTED_VALUE"""),"878")</f>
        <v>878</v>
      </c>
      <c r="B5" s="265" t="str">
        <f>IFERROR(__xludf.DUMMYFUNCTION("""COMPUTED_VALUE"""),"Sài Gòn")</f>
        <v>Sài Gòn</v>
      </c>
      <c r="C5" s="265" t="str">
        <f>IFERROR(__xludf.DUMMYFUNCTION("""COMPUTED_VALUE"""),"Locked")</f>
        <v>Locked</v>
      </c>
      <c r="D5" s="265" t="str">
        <f>IFERROR(__xludf.DUMMYFUNCTION("""COMPUTED_VALUE"""),"Thực phẩm &amp; Đồ uống")</f>
        <v>Thực phẩm &amp; Đồ uống</v>
      </c>
      <c r="E5" s="265" t="str">
        <f>IFERROR(__xludf.DUMMYFUNCTION("""COMPUTED_VALUE"""),"HoaNTM")</f>
        <v>HoaNTM</v>
      </c>
      <c r="F5" s="265" t="str">
        <f>IFERROR(__xludf.DUMMYFUNCTION("""COMPUTED_VALUE"""),"Diamond")</f>
        <v>Diamond</v>
      </c>
      <c r="G5" s="265" t="str">
        <f>IFERROR(__xludf.DUMMYFUNCTION("""COMPUTED_VALUE"""),"Starter")</f>
        <v>Starter</v>
      </c>
      <c r="H5" s="265" t="str">
        <f>IFERROR(__xludf.DUMMYFUNCTION("""COMPUTED_VALUE"""),"Trả sau")</f>
        <v>Trả sau</v>
      </c>
      <c r="I5" s="265" t="str">
        <f>IFERROR(__xludf.DUMMYFUNCTION("""COMPUTED_VALUE"""),"Portal")</f>
        <v>Portal</v>
      </c>
      <c r="J5" s="265" t="str">
        <f>IFERROR(__xludf.DUMMYFUNCTION("""COMPUTED_VALUE"""),"LinhNTT1")</f>
        <v>LinhNTT1</v>
      </c>
    </row>
    <row r="6">
      <c r="A6" s="265" t="str">
        <f>IFERROR(__xludf.DUMMYFUNCTION("""COMPUTED_VALUE"""),"188")</f>
        <v>188</v>
      </c>
      <c r="B6" s="265" t="str">
        <f>IFERROR(__xludf.DUMMYFUNCTION("""COMPUTED_VALUE"""),"Hà Nội")</f>
        <v>Hà Nội</v>
      </c>
      <c r="C6" s="265" t="str">
        <f>IFERROR(__xludf.DUMMYFUNCTION("""COMPUTED_VALUE"""),"Active")</f>
        <v>Active</v>
      </c>
      <c r="D6" s="265" t="str">
        <f>IFERROR(__xludf.DUMMYFUNCTION("""COMPUTED_VALUE"""),"Tài chính &amp; Ngân hàng")</f>
        <v>Tài chính &amp; Ngân hàng</v>
      </c>
      <c r="E6" s="265" t="str">
        <f>IFERROR(__xludf.DUMMYFUNCTION("""COMPUTED_VALUE"""),"TúPHN")</f>
        <v>TúPHN</v>
      </c>
      <c r="F6" s="265" t="str">
        <f>IFERROR(__xludf.DUMMYFUNCTION("""COMPUTED_VALUE"""),"Silver")</f>
        <v>Silver</v>
      </c>
      <c r="G6" s="265" t="str">
        <f>IFERROR(__xludf.DUMMYFUNCTION("""COMPUTED_VALUE"""),"Starter")</f>
        <v>Starter</v>
      </c>
      <c r="H6" s="265" t="str">
        <f>IFERROR(__xludf.DUMMYFUNCTION("""COMPUTED_VALUE"""),"Trả sau")</f>
        <v>Trả sau</v>
      </c>
      <c r="I6" s="265" t="str">
        <f>IFERROR(__xludf.DUMMYFUNCTION("""COMPUTED_VALUE"""),"API")</f>
        <v>API</v>
      </c>
      <c r="J6" s="265" t="str">
        <f>IFERROR(__xludf.DUMMYFUNCTION("""COMPUTED_VALUE"""),"Không phân công")</f>
        <v>Không phân công</v>
      </c>
    </row>
    <row r="7">
      <c r="A7" s="265" t="str">
        <f>IFERROR(__xludf.DUMMYFUNCTION("""COMPUTED_VALUE"""),"209")</f>
        <v>209</v>
      </c>
      <c r="B7" s="265" t="str">
        <f>IFERROR(__xludf.DUMMYFUNCTION("""COMPUTED_VALUE"""),"Hà Nội")</f>
        <v>Hà Nội</v>
      </c>
      <c r="C7" s="265" t="str">
        <f>IFERROR(__xludf.DUMMYFUNCTION("""COMPUTED_VALUE"""),"Locked")</f>
        <v>Locked</v>
      </c>
      <c r="D7" s="265" t="str">
        <f>IFERROR(__xludf.DUMMYFUNCTION("""COMPUTED_VALUE"""),"Sale chưa cung cấp")</f>
        <v>Sale chưa cung cấp</v>
      </c>
      <c r="E7" s="265" t="str">
        <f>IFERROR(__xludf.DUMMYFUNCTION("""COMPUTED_VALUE"""),"PhươngDTB")</f>
        <v>PhươngDTB</v>
      </c>
      <c r="F7" s="265" t="str">
        <f>IFERROR(__xludf.DUMMYFUNCTION("""COMPUTED_VALUE"""),"Sale chưa cung cấp")</f>
        <v>Sale chưa cung cấp</v>
      </c>
      <c r="G7" s="265" t="str">
        <f>IFERROR(__xludf.DUMMYFUNCTION("""COMPUTED_VALUE"""),"Enterprise")</f>
        <v>Enterprise</v>
      </c>
      <c r="H7" s="265" t="str">
        <f>IFERROR(__xludf.DUMMYFUNCTION("""COMPUTED_VALUE"""),"(Chưa recheck)")</f>
        <v>(Chưa recheck)</v>
      </c>
      <c r="I7" s="265" t="str">
        <f>IFERROR(__xludf.DUMMYFUNCTION("""COMPUTED_VALUE"""),"(Chưa recheck)")</f>
        <v>(Chưa recheck)</v>
      </c>
      <c r="J7" s="265" t="str">
        <f>IFERROR(__xludf.DUMMYFUNCTION("""COMPUTED_VALUE"""),"(Chưa recheck)")</f>
        <v>(Chưa recheck)</v>
      </c>
    </row>
    <row r="8">
      <c r="A8" s="265" t="str">
        <f>IFERROR(__xludf.DUMMYFUNCTION("""COMPUTED_VALUE"""),"220")</f>
        <v>220</v>
      </c>
      <c r="B8" s="265" t="str">
        <f>IFERROR(__xludf.DUMMYFUNCTION("""COMPUTED_VALUE"""),"Hà Nội")</f>
        <v>Hà Nội</v>
      </c>
      <c r="C8" s="265" t="str">
        <f>IFERROR(__xludf.DUMMYFUNCTION("""COMPUTED_VALUE"""),"Locked")</f>
        <v>Locked</v>
      </c>
      <c r="D8" s="265" t="str">
        <f>IFERROR(__xludf.DUMMYFUNCTION("""COMPUTED_VALUE"""),"Sale chưa cung cấp")</f>
        <v>Sale chưa cung cấp</v>
      </c>
      <c r="E8" s="265" t="str">
        <f>IFERROR(__xludf.DUMMYFUNCTION("""COMPUTED_VALUE"""),"TùngLD")</f>
        <v>TùngLD</v>
      </c>
      <c r="F8" s="265" t="str">
        <f>IFERROR(__xludf.DUMMYFUNCTION("""COMPUTED_VALUE"""),"Bronze")</f>
        <v>Bronze</v>
      </c>
      <c r="G8" s="265" t="str">
        <f>IFERROR(__xludf.DUMMYFUNCTION("""COMPUTED_VALUE"""),"API")</f>
        <v>API</v>
      </c>
      <c r="H8" s="265" t="str">
        <f>IFERROR(__xludf.DUMMYFUNCTION("""COMPUTED_VALUE"""),"Trả sau")</f>
        <v>Trả sau</v>
      </c>
      <c r="I8" s="265" t="str">
        <f>IFERROR(__xludf.DUMMYFUNCTION("""COMPUTED_VALUE"""),"API")</f>
        <v>API</v>
      </c>
      <c r="J8" s="265" t="str">
        <f>IFERROR(__xludf.DUMMYFUNCTION("""COMPUTED_VALUE"""),"AnhNM")</f>
        <v>AnhNM</v>
      </c>
    </row>
    <row r="9">
      <c r="A9" s="265" t="str">
        <f>IFERROR(__xludf.DUMMYFUNCTION("""COMPUTED_VALUE"""),"226")</f>
        <v>226</v>
      </c>
      <c r="B9" s="265" t="str">
        <f>IFERROR(__xludf.DUMMYFUNCTION("""COMPUTED_VALUE"""),"Sài Gòn")</f>
        <v>Sài Gòn</v>
      </c>
      <c r="C9" s="265" t="str">
        <f>IFERROR(__xludf.DUMMYFUNCTION("""COMPUTED_VALUE"""),"Locked")</f>
        <v>Locked</v>
      </c>
      <c r="D9" s="265" t="str">
        <f>IFERROR(__xludf.DUMMYFUNCTION("""COMPUTED_VALUE"""),"Sale chưa cung cấp")</f>
        <v>Sale chưa cung cấp</v>
      </c>
      <c r="E9" s="265" t="str">
        <f>IFERROR(__xludf.DUMMYFUNCTION("""COMPUTED_VALUE"""),"HoaNTM")</f>
        <v>HoaNTM</v>
      </c>
      <c r="F9" s="265" t="str">
        <f>IFERROR(__xludf.DUMMYFUNCTION("""COMPUTED_VALUE"""),"Sale chưa cung cấp")</f>
        <v>Sale chưa cung cấp</v>
      </c>
      <c r="G9" s="265" t="str">
        <f>IFERROR(__xludf.DUMMYFUNCTION("""COMPUTED_VALUE"""),"API")</f>
        <v>API</v>
      </c>
      <c r="H9" s="265" t="str">
        <f>IFERROR(__xludf.DUMMYFUNCTION("""COMPUTED_VALUE"""),"(Chưa recheck)")</f>
        <v>(Chưa recheck)</v>
      </c>
      <c r="I9" s="265" t="str">
        <f>IFERROR(__xludf.DUMMYFUNCTION("""COMPUTED_VALUE"""),"(Chưa recheck)")</f>
        <v>(Chưa recheck)</v>
      </c>
      <c r="J9" s="265" t="str">
        <f>IFERROR(__xludf.DUMMYFUNCTION("""COMPUTED_VALUE"""),"AnhNM")</f>
        <v>AnhNM</v>
      </c>
    </row>
    <row r="10">
      <c r="A10" s="265" t="str">
        <f>IFERROR(__xludf.DUMMYFUNCTION("""COMPUTED_VALUE"""),"225")</f>
        <v>225</v>
      </c>
      <c r="B10" s="265" t="str">
        <f>IFERROR(__xludf.DUMMYFUNCTION("""COMPUTED_VALUE"""),"Sài Gòn")</f>
        <v>Sài Gòn</v>
      </c>
      <c r="C10" s="265" t="str">
        <f>IFERROR(__xludf.DUMMYFUNCTION("""COMPUTED_VALUE"""),"Active")</f>
        <v>Active</v>
      </c>
      <c r="D10" s="265" t="str">
        <f>IFERROR(__xludf.DUMMYFUNCTION("""COMPUTED_VALUE"""),"Sale chưa cung cấp")</f>
        <v>Sale chưa cung cấp</v>
      </c>
      <c r="E10" s="265" t="str">
        <f>IFERROR(__xludf.DUMMYFUNCTION("""COMPUTED_VALUE"""),"TúPHN")</f>
        <v>TúPHN</v>
      </c>
      <c r="F10" s="265" t="str">
        <f>IFERROR(__xludf.DUMMYFUNCTION("""COMPUTED_VALUE"""),"Diamond")</f>
        <v>Diamond</v>
      </c>
      <c r="G10" s="265" t="str">
        <f>IFERROR(__xludf.DUMMYFUNCTION("""COMPUTED_VALUE"""),"Starter")</f>
        <v>Starter</v>
      </c>
      <c r="H10" s="265" t="str">
        <f>IFERROR(__xludf.DUMMYFUNCTION("""COMPUTED_VALUE"""),"Trả sau")</f>
        <v>Trả sau</v>
      </c>
      <c r="I10" s="265" t="str">
        <f>IFERROR(__xludf.DUMMYFUNCTION("""COMPUTED_VALUE"""),"API &amp; Portal")</f>
        <v>API &amp; Portal</v>
      </c>
      <c r="J10" s="265" t="str">
        <f>IFERROR(__xludf.DUMMYFUNCTION("""COMPUTED_VALUE"""),"LinhNTT1")</f>
        <v>LinhNTT1</v>
      </c>
    </row>
    <row r="11">
      <c r="A11" s="265" t="str">
        <f>IFERROR(__xludf.DUMMYFUNCTION("""COMPUTED_VALUE"""),"225")</f>
        <v>225</v>
      </c>
      <c r="B11" s="265" t="str">
        <f>IFERROR(__xludf.DUMMYFUNCTION("""COMPUTED_VALUE"""),"Sài Gòn")</f>
        <v>Sài Gòn</v>
      </c>
      <c r="C11" s="265" t="str">
        <f>IFERROR(__xludf.DUMMYFUNCTION("""COMPUTED_VALUE"""),"Active")</f>
        <v>Active</v>
      </c>
      <c r="D11" s="265" t="str">
        <f>IFERROR(__xludf.DUMMYFUNCTION("""COMPUTED_VALUE"""),"Sale chưa cung cấp")</f>
        <v>Sale chưa cung cấp</v>
      </c>
      <c r="E11" s="265" t="str">
        <f>IFERROR(__xludf.DUMMYFUNCTION("""COMPUTED_VALUE"""),"TúPHN")</f>
        <v>TúPHN</v>
      </c>
      <c r="F11" s="265" t="str">
        <f>IFERROR(__xludf.DUMMYFUNCTION("""COMPUTED_VALUE"""),"Diamond")</f>
        <v>Diamond</v>
      </c>
      <c r="G11" s="265" t="str">
        <f>IFERROR(__xludf.DUMMYFUNCTION("""COMPUTED_VALUE"""),"Starter")</f>
        <v>Starter</v>
      </c>
      <c r="H11" s="265" t="str">
        <f>IFERROR(__xludf.DUMMYFUNCTION("""COMPUTED_VALUE"""),"Trả sau")</f>
        <v>Trả sau</v>
      </c>
      <c r="I11" s="265" t="str">
        <f>IFERROR(__xludf.DUMMYFUNCTION("""COMPUTED_VALUE"""),"API &amp; Portal")</f>
        <v>API &amp; Portal</v>
      </c>
      <c r="J11" s="265" t="str">
        <f>IFERROR(__xludf.DUMMYFUNCTION("""COMPUTED_VALUE"""),"YếnĐH")</f>
        <v>YếnĐH</v>
      </c>
    </row>
    <row r="12">
      <c r="A12" s="265" t="str">
        <f>IFERROR(__xludf.DUMMYFUNCTION("""COMPUTED_VALUE"""),"239")</f>
        <v>239</v>
      </c>
      <c r="B12" s="265" t="str">
        <f>IFERROR(__xludf.DUMMYFUNCTION("""COMPUTED_VALUE"""),"Hà Nội")</f>
        <v>Hà Nội</v>
      </c>
      <c r="C12" s="265" t="str">
        <f>IFERROR(__xludf.DUMMYFUNCTION("""COMPUTED_VALUE"""),"Locked")</f>
        <v>Locked</v>
      </c>
      <c r="D12" s="265" t="str">
        <f>IFERROR(__xludf.DUMMYFUNCTION("""COMPUTED_VALUE"""),"Sale chưa cung cấp")</f>
        <v>Sale chưa cung cấp</v>
      </c>
      <c r="E12" s="265" t="str">
        <f>IFERROR(__xludf.DUMMYFUNCTION("""COMPUTED_VALUE"""),"HangNT")</f>
        <v>HangNT</v>
      </c>
      <c r="F12" s="265" t="str">
        <f>IFERROR(__xludf.DUMMYFUNCTION("""COMPUTED_VALUE"""),"Bronze")</f>
        <v>Bronze</v>
      </c>
      <c r="G12" s="265" t="str">
        <f>IFERROR(__xludf.DUMMYFUNCTION("""COMPUTED_VALUE"""),"Enterprise")</f>
        <v>Enterprise</v>
      </c>
      <c r="H12" s="265" t="str">
        <f>IFERROR(__xludf.DUMMYFUNCTION("""COMPUTED_VALUE"""),"(Chưa recheck)")</f>
        <v>(Chưa recheck)</v>
      </c>
      <c r="I12" s="265" t="str">
        <f>IFERROR(__xludf.DUMMYFUNCTION("""COMPUTED_VALUE"""),"(Chưa recheck)")</f>
        <v>(Chưa recheck)</v>
      </c>
      <c r="J12" s="265" t="str">
        <f>IFERROR(__xludf.DUMMYFUNCTION("""COMPUTED_VALUE"""),"AnhNM")</f>
        <v>AnhNM</v>
      </c>
    </row>
    <row r="13">
      <c r="A13" s="265" t="str">
        <f>IFERROR(__xludf.DUMMYFUNCTION("""COMPUTED_VALUE"""),"247")</f>
        <v>247</v>
      </c>
      <c r="B13" s="265" t="str">
        <f>IFERROR(__xludf.DUMMYFUNCTION("""COMPUTED_VALUE"""),"Đà Nẵng")</f>
        <v>Đà Nẵng</v>
      </c>
      <c r="C13" s="265" t="str">
        <f>IFERROR(__xludf.DUMMYFUNCTION("""COMPUTED_VALUE"""),"Active")</f>
        <v>Active</v>
      </c>
      <c r="D13" s="265" t="str">
        <f>IFERROR(__xludf.DUMMYFUNCTION("""COMPUTED_VALUE"""),"Sale chưa cung cấp")</f>
        <v>Sale chưa cung cấp</v>
      </c>
      <c r="E13" s="265" t="str">
        <f>IFERROR(__xludf.DUMMYFUNCTION("""COMPUTED_VALUE"""),"AnhNM")</f>
        <v>AnhNM</v>
      </c>
      <c r="F13" s="265" t="str">
        <f>IFERROR(__xludf.DUMMYFUNCTION("""COMPUTED_VALUE"""),"Bronze")</f>
        <v>Bronze</v>
      </c>
      <c r="G13" s="265" t="str">
        <f>IFERROR(__xludf.DUMMYFUNCTION("""COMPUTED_VALUE"""),"Starter")</f>
        <v>Starter</v>
      </c>
      <c r="H13" s="265" t="str">
        <f>IFERROR(__xludf.DUMMYFUNCTION("""COMPUTED_VALUE"""),"Trả sau")</f>
        <v>Trả sau</v>
      </c>
      <c r="I13" s="265" t="str">
        <f>IFERROR(__xludf.DUMMYFUNCTION("""COMPUTED_VALUE"""),"API &amp; Portal")</f>
        <v>API &amp; Portal</v>
      </c>
      <c r="J13" s="265" t="str">
        <f>IFERROR(__xludf.DUMMYFUNCTION("""COMPUTED_VALUE"""),"DungPL")</f>
        <v>DungPL</v>
      </c>
    </row>
    <row r="14">
      <c r="A14" s="265" t="str">
        <f>IFERROR(__xludf.DUMMYFUNCTION("""COMPUTED_VALUE"""),"264")</f>
        <v>264</v>
      </c>
      <c r="B14" s="265" t="str">
        <f>IFERROR(__xludf.DUMMYFUNCTION("""COMPUTED_VALUE"""),"Hà Nội")</f>
        <v>Hà Nội</v>
      </c>
      <c r="C14" s="265" t="str">
        <f>IFERROR(__xludf.DUMMYFUNCTION("""COMPUTED_VALUE"""),"Locked")</f>
        <v>Locked</v>
      </c>
      <c r="D14" s="265" t="str">
        <f>IFERROR(__xludf.DUMMYFUNCTION("""COMPUTED_VALUE"""),"Sale chưa cung cấp")</f>
        <v>Sale chưa cung cấp</v>
      </c>
      <c r="E14" s="265" t="str">
        <f>IFERROR(__xludf.DUMMYFUNCTION("""COMPUTED_VALUE"""),"PhươngDTB")</f>
        <v>PhươngDTB</v>
      </c>
      <c r="F14" s="265" t="str">
        <f>IFERROR(__xludf.DUMMYFUNCTION("""COMPUTED_VALUE"""),"Sale chưa cung cấp")</f>
        <v>Sale chưa cung cấp</v>
      </c>
      <c r="G14" s="265" t="str">
        <f>IFERROR(__xludf.DUMMYFUNCTION("""COMPUTED_VALUE"""),"Enterprise")</f>
        <v>Enterprise</v>
      </c>
      <c r="H14" s="265" t="str">
        <f>IFERROR(__xludf.DUMMYFUNCTION("""COMPUTED_VALUE"""),"Trial")</f>
        <v>Trial</v>
      </c>
      <c r="I14" s="265" t="str">
        <f>IFERROR(__xludf.DUMMYFUNCTION("""COMPUTED_VALUE"""),"(Không recheck)")</f>
        <v>(Không recheck)</v>
      </c>
      <c r="J14" s="265" t="str">
        <f>IFERROR(__xludf.DUMMYFUNCTION("""COMPUTED_VALUE"""),"(Không recheck)")</f>
        <v>(Không recheck)</v>
      </c>
    </row>
    <row r="15">
      <c r="A15" s="265" t="str">
        <f>IFERROR(__xludf.DUMMYFUNCTION("""COMPUTED_VALUE"""),"248")</f>
        <v>248</v>
      </c>
      <c r="B15" s="265" t="str">
        <f>IFERROR(__xludf.DUMMYFUNCTION("""COMPUTED_VALUE"""),"Sài Gòn")</f>
        <v>Sài Gòn</v>
      </c>
      <c r="C15" s="265" t="str">
        <f>IFERROR(__xludf.DUMMYFUNCTION("""COMPUTED_VALUE"""),"Active")</f>
        <v>Active</v>
      </c>
      <c r="D15" s="265" t="str">
        <f>IFERROR(__xludf.DUMMYFUNCTION("""COMPUTED_VALUE"""),"Sale chưa cung cấp")</f>
        <v>Sale chưa cung cấp</v>
      </c>
      <c r="E15" s="265" t="str">
        <f>IFERROR(__xludf.DUMMYFUNCTION("""COMPUTED_VALUE"""),"TúPHN")</f>
        <v>TúPHN</v>
      </c>
      <c r="F15" s="265" t="str">
        <f>IFERROR(__xludf.DUMMYFUNCTION("""COMPUTED_VALUE"""),"Silver")</f>
        <v>Silver</v>
      </c>
      <c r="G15" s="265" t="str">
        <f>IFERROR(__xludf.DUMMYFUNCTION("""COMPUTED_VALUE"""),"Enterprise")</f>
        <v>Enterprise</v>
      </c>
      <c r="H15" s="265" t="str">
        <f>IFERROR(__xludf.DUMMYFUNCTION("""COMPUTED_VALUE"""),"Trả sau")</f>
        <v>Trả sau</v>
      </c>
      <c r="I15" s="265" t="str">
        <f>IFERROR(__xludf.DUMMYFUNCTION("""COMPUTED_VALUE"""),"Portal")</f>
        <v>Portal</v>
      </c>
      <c r="J15" s="265" t="str">
        <f>IFERROR(__xludf.DUMMYFUNCTION("""COMPUTED_VALUE"""),"LinhNTT1")</f>
        <v>LinhNTT1</v>
      </c>
    </row>
    <row r="16">
      <c r="A16" s="265" t="str">
        <f>IFERROR(__xludf.DUMMYFUNCTION("""COMPUTED_VALUE"""),"300")</f>
        <v>300</v>
      </c>
      <c r="B16" s="265" t="str">
        <f>IFERROR(__xludf.DUMMYFUNCTION("""COMPUTED_VALUE"""),"Hà Nội")</f>
        <v>Hà Nội</v>
      </c>
      <c r="C16" s="265" t="str">
        <f>IFERROR(__xludf.DUMMYFUNCTION("""COMPUTED_VALUE"""),"Active")</f>
        <v>Active</v>
      </c>
      <c r="D16" s="265" t="str">
        <f>IFERROR(__xludf.DUMMYFUNCTION("""COMPUTED_VALUE"""),"Sale chưa cung cấp")</f>
        <v>Sale chưa cung cấp</v>
      </c>
      <c r="E16" s="265" t="str">
        <f>IFERROR(__xludf.DUMMYFUNCTION("""COMPUTED_VALUE"""),"TùngLD")</f>
        <v>TùngLD</v>
      </c>
      <c r="F16" s="265" t="str">
        <f>IFERROR(__xludf.DUMMYFUNCTION("""COMPUTED_VALUE"""),"Gold")</f>
        <v>Gold</v>
      </c>
      <c r="G16" s="265" t="str">
        <f>IFERROR(__xludf.DUMMYFUNCTION("""COMPUTED_VALUE"""),"Starter")</f>
        <v>Starter</v>
      </c>
      <c r="H16" s="265" t="str">
        <f>IFERROR(__xludf.DUMMYFUNCTION("""COMPUTED_VALUE"""),"Trả sau")</f>
        <v>Trả sau</v>
      </c>
      <c r="I16" s="265" t="str">
        <f>IFERROR(__xludf.DUMMYFUNCTION("""COMPUTED_VALUE"""),"API")</f>
        <v>API</v>
      </c>
      <c r="J16" s="265" t="str">
        <f>IFERROR(__xludf.DUMMYFUNCTION("""COMPUTED_VALUE"""),"LinhNTT1")</f>
        <v>LinhNTT1</v>
      </c>
    </row>
    <row r="17">
      <c r="A17" s="265" t="str">
        <f>IFERROR(__xludf.DUMMYFUNCTION("""COMPUTED_VALUE"""),"301")</f>
        <v>301</v>
      </c>
      <c r="B17" s="265" t="str">
        <f>IFERROR(__xludf.DUMMYFUNCTION("""COMPUTED_VALUE"""),"Đà Nẵng")</f>
        <v>Đà Nẵng</v>
      </c>
      <c r="C17" s="265" t="str">
        <f>IFERROR(__xludf.DUMMYFUNCTION("""COMPUTED_VALUE"""),"Locked")</f>
        <v>Locked</v>
      </c>
      <c r="D17" s="265" t="str">
        <f>IFERROR(__xludf.DUMMYFUNCTION("""COMPUTED_VALUE"""),"Sale chưa cung cấp")</f>
        <v>Sale chưa cung cấp</v>
      </c>
      <c r="E17" s="265" t="str">
        <f>IFERROR(__xludf.DUMMYFUNCTION("""COMPUTED_VALUE"""),"PhươngDTB")</f>
        <v>PhươngDTB</v>
      </c>
      <c r="F17" s="265" t="str">
        <f>IFERROR(__xludf.DUMMYFUNCTION("""COMPUTED_VALUE"""),"Bronze")</f>
        <v>Bronze</v>
      </c>
      <c r="G17" s="265" t="str">
        <f>IFERROR(__xludf.DUMMYFUNCTION("""COMPUTED_VALUE"""),"Enterprise")</f>
        <v>Enterprise</v>
      </c>
      <c r="H17" s="265" t="str">
        <f>IFERROR(__xludf.DUMMYFUNCTION("""COMPUTED_VALUE"""),"(Chưa recheck)")</f>
        <v>(Chưa recheck)</v>
      </c>
      <c r="I17" s="265" t="str">
        <f>IFERROR(__xludf.DUMMYFUNCTION("""COMPUTED_VALUE"""),"(Chưa recheck)")</f>
        <v>(Chưa recheck)</v>
      </c>
      <c r="J17" s="265" t="str">
        <f>IFERROR(__xludf.DUMMYFUNCTION("""COMPUTED_VALUE"""),"(Chưa recheck)")</f>
        <v>(Chưa recheck)</v>
      </c>
    </row>
    <row r="18">
      <c r="A18" s="265" t="str">
        <f>IFERROR(__xludf.DUMMYFUNCTION("""COMPUTED_VALUE"""),"306")</f>
        <v>306</v>
      </c>
      <c r="B18" s="265" t="str">
        <f>IFERROR(__xludf.DUMMYFUNCTION("""COMPUTED_VALUE"""),"Hà Nội")</f>
        <v>Hà Nội</v>
      </c>
      <c r="C18" s="265" t="str">
        <f>IFERROR(__xludf.DUMMYFUNCTION("""COMPUTED_VALUE"""),"Active")</f>
        <v>Active</v>
      </c>
      <c r="D18" s="265" t="str">
        <f>IFERROR(__xludf.DUMMYFUNCTION("""COMPUTED_VALUE"""),"Sale chưa cung cấp")</f>
        <v>Sale chưa cung cấp</v>
      </c>
      <c r="E18" s="265" t="str">
        <f>IFERROR(__xludf.DUMMYFUNCTION("""COMPUTED_VALUE"""),"TùngLD")</f>
        <v>TùngLD</v>
      </c>
      <c r="F18" s="265" t="str">
        <f>IFERROR(__xludf.DUMMYFUNCTION("""COMPUTED_VALUE"""),"Bronze")</f>
        <v>Bronze</v>
      </c>
      <c r="G18" s="265" t="str">
        <f>IFERROR(__xludf.DUMMYFUNCTION("""COMPUTED_VALUE"""),"Starter")</f>
        <v>Starter</v>
      </c>
      <c r="H18" s="265" t="str">
        <f>IFERROR(__xludf.DUMMYFUNCTION("""COMPUTED_VALUE"""),"Trả sau")</f>
        <v>Trả sau</v>
      </c>
      <c r="I18" s="265" t="str">
        <f>IFERROR(__xludf.DUMMYFUNCTION("""COMPUTED_VALUE"""),"API")</f>
        <v>API</v>
      </c>
      <c r="J18" s="265" t="str">
        <f>IFERROR(__xludf.DUMMYFUNCTION("""COMPUTED_VALUE"""),"LinhNTT1")</f>
        <v>LinhNTT1</v>
      </c>
    </row>
    <row r="19">
      <c r="A19" s="265" t="str">
        <f>IFERROR(__xludf.DUMMYFUNCTION("""COMPUTED_VALUE"""),"312")</f>
        <v>312</v>
      </c>
      <c r="B19" s="265" t="str">
        <f>IFERROR(__xludf.DUMMYFUNCTION("""COMPUTED_VALUE"""),"Sài Gòn")</f>
        <v>Sài Gòn</v>
      </c>
      <c r="C19" s="265" t="str">
        <f>IFERROR(__xludf.DUMMYFUNCTION("""COMPUTED_VALUE"""),"Active")</f>
        <v>Active</v>
      </c>
      <c r="D19" s="265" t="str">
        <f>IFERROR(__xludf.DUMMYFUNCTION("""COMPUTED_VALUE"""),"Trang sức")</f>
        <v>Trang sức</v>
      </c>
      <c r="E19" s="265" t="str">
        <f>IFERROR(__xludf.DUMMYFUNCTION("""COMPUTED_VALUE"""),"AnhNM")</f>
        <v>AnhNM</v>
      </c>
      <c r="F19" s="265" t="str">
        <f>IFERROR(__xludf.DUMMYFUNCTION("""COMPUTED_VALUE"""),"Silver")</f>
        <v>Silver</v>
      </c>
      <c r="G19" s="265" t="str">
        <f>IFERROR(__xludf.DUMMYFUNCTION("""COMPUTED_VALUE"""),"Starter")</f>
        <v>Starter</v>
      </c>
      <c r="H19" s="265" t="str">
        <f>IFERROR(__xludf.DUMMYFUNCTION("""COMPUTED_VALUE"""),"Trả sau")</f>
        <v>Trả sau</v>
      </c>
      <c r="I19" s="265" t="str">
        <f>IFERROR(__xludf.DUMMYFUNCTION("""COMPUTED_VALUE"""),"Portal")</f>
        <v>Portal</v>
      </c>
      <c r="J19" s="265" t="str">
        <f>IFERROR(__xludf.DUMMYFUNCTION("""COMPUTED_VALUE"""),"LinhNTT1")</f>
        <v>LinhNTT1</v>
      </c>
    </row>
    <row r="20">
      <c r="A20" s="265" t="str">
        <f>IFERROR(__xludf.DUMMYFUNCTION("""COMPUTED_VALUE"""),"314")</f>
        <v>314</v>
      </c>
      <c r="B20" s="265" t="str">
        <f>IFERROR(__xludf.DUMMYFUNCTION("""COMPUTED_VALUE"""),"Sài Gòn")</f>
        <v>Sài Gòn</v>
      </c>
      <c r="C20" s="265" t="str">
        <f>IFERROR(__xludf.DUMMYFUNCTION("""COMPUTED_VALUE"""),"Locked")</f>
        <v>Locked</v>
      </c>
      <c r="D20" s="265" t="str">
        <f>IFERROR(__xludf.DUMMYFUNCTION("""COMPUTED_VALUE"""),"Sale chưa cung cấp")</f>
        <v>Sale chưa cung cấp</v>
      </c>
      <c r="E20" s="265" t="str">
        <f>IFERROR(__xludf.DUMMYFUNCTION("""COMPUTED_VALUE"""),"PhươngDTB")</f>
        <v>PhươngDTB</v>
      </c>
      <c r="F20" s="265" t="str">
        <f>IFERROR(__xludf.DUMMYFUNCTION("""COMPUTED_VALUE"""),"Sale chưa cung cấp")</f>
        <v>Sale chưa cung cấp</v>
      </c>
      <c r="G20" s="265" t="str">
        <f>IFERROR(__xludf.DUMMYFUNCTION("""COMPUTED_VALUE"""),"API")</f>
        <v>API</v>
      </c>
      <c r="H20" s="265" t="str">
        <f>IFERROR(__xludf.DUMMYFUNCTION("""COMPUTED_VALUE"""),"(Chưa recheck)")</f>
        <v>(Chưa recheck)</v>
      </c>
      <c r="I20" s="265" t="str">
        <f>IFERROR(__xludf.DUMMYFUNCTION("""COMPUTED_VALUE"""),"(Chưa recheck)")</f>
        <v>(Chưa recheck)</v>
      </c>
      <c r="J20" s="265" t="str">
        <f>IFERROR(__xludf.DUMMYFUNCTION("""COMPUTED_VALUE"""),"(Chưa recheck)")</f>
        <v>(Chưa recheck)</v>
      </c>
    </row>
    <row r="21">
      <c r="A21" s="265" t="str">
        <f>IFERROR(__xludf.DUMMYFUNCTION("""COMPUTED_VALUE"""),"321")</f>
        <v>321</v>
      </c>
      <c r="B21" s="265" t="str">
        <f>IFERROR(__xludf.DUMMYFUNCTION("""COMPUTED_VALUE"""),"Sài Gòn")</f>
        <v>Sài Gòn</v>
      </c>
      <c r="C21" s="265" t="str">
        <f>IFERROR(__xludf.DUMMYFUNCTION("""COMPUTED_VALUE"""),"Locked")</f>
        <v>Locked</v>
      </c>
      <c r="D21" s="265" t="str">
        <f>IFERROR(__xludf.DUMMYFUNCTION("""COMPUTED_VALUE"""),"Sale chưa cung cấp")</f>
        <v>Sale chưa cung cấp</v>
      </c>
      <c r="E21" s="265" t="str">
        <f>IFERROR(__xludf.DUMMYFUNCTION("""COMPUTED_VALUE"""),"HoaNTM")</f>
        <v>HoaNTM</v>
      </c>
      <c r="F21" s="265" t="str">
        <f>IFERROR(__xludf.DUMMYFUNCTION("""COMPUTED_VALUE"""),"Bronze")</f>
        <v>Bronze</v>
      </c>
      <c r="G21" s="265" t="str">
        <f>IFERROR(__xludf.DUMMYFUNCTION("""COMPUTED_VALUE"""),"API")</f>
        <v>API</v>
      </c>
      <c r="H21" s="265" t="str">
        <f>IFERROR(__xludf.DUMMYFUNCTION("""COMPUTED_VALUE"""),"(Chưa recheck)")</f>
        <v>(Chưa recheck)</v>
      </c>
      <c r="I21" s="265" t="str">
        <f>IFERROR(__xludf.DUMMYFUNCTION("""COMPUTED_VALUE"""),"(Chưa recheck)")</f>
        <v>(Chưa recheck)</v>
      </c>
      <c r="J21" s="265" t="str">
        <f>IFERROR(__xludf.DUMMYFUNCTION("""COMPUTED_VALUE"""),"AnhNM")</f>
        <v>AnhNM</v>
      </c>
    </row>
    <row r="22">
      <c r="A22" s="265" t="str">
        <f>IFERROR(__xludf.DUMMYFUNCTION("""COMPUTED_VALUE"""),"None 1")</f>
        <v>None 1</v>
      </c>
      <c r="B22" s="265" t="str">
        <f>IFERROR(__xludf.DUMMYFUNCTION("""COMPUTED_VALUE"""),"Hà Nội")</f>
        <v>Hà Nội</v>
      </c>
      <c r="C22" s="265" t="str">
        <f>IFERROR(__xludf.DUMMYFUNCTION("""COMPUTED_VALUE"""),"Locked")</f>
        <v>Locked</v>
      </c>
      <c r="D22" s="265" t="str">
        <f>IFERROR(__xludf.DUMMYFUNCTION("""COMPUTED_VALUE"""),"Sale chưa cung cấp")</f>
        <v>Sale chưa cung cấp</v>
      </c>
      <c r="E22" s="265" t="str">
        <f>IFERROR(__xludf.DUMMYFUNCTION("""COMPUTED_VALUE"""),"HangNT")</f>
        <v>HangNT</v>
      </c>
      <c r="F22" s="265" t="str">
        <f>IFERROR(__xludf.DUMMYFUNCTION("""COMPUTED_VALUE"""),"Sale chưa cung cấp")</f>
        <v>Sale chưa cung cấp</v>
      </c>
      <c r="G22" s="265" t="str">
        <f>IFERROR(__xludf.DUMMYFUNCTION("""COMPUTED_VALUE"""),"GAPONE HUBSPOT")</f>
        <v>GAPONE HUBSPOT</v>
      </c>
      <c r="H22" s="265" t="str">
        <f>IFERROR(__xludf.DUMMYFUNCTION("""COMPUTED_VALUE"""),"(Chưa recheck)")</f>
        <v>(Chưa recheck)</v>
      </c>
      <c r="I22" s="265" t="str">
        <f>IFERROR(__xludf.DUMMYFUNCTION("""COMPUTED_VALUE"""),"(Chưa recheck)")</f>
        <v>(Chưa recheck)</v>
      </c>
      <c r="J22" s="265" t="str">
        <f>IFERROR(__xludf.DUMMYFUNCTION("""COMPUTED_VALUE"""),"(Chưa recheck)")</f>
        <v>(Chưa recheck)</v>
      </c>
    </row>
    <row r="23">
      <c r="A23" s="265" t="str">
        <f>IFERROR(__xludf.DUMMYFUNCTION("""COMPUTED_VALUE"""),"324")</f>
        <v>324</v>
      </c>
      <c r="B23" s="265" t="str">
        <f>IFERROR(__xludf.DUMMYFUNCTION("""COMPUTED_VALUE"""),"Hà Nội")</f>
        <v>Hà Nội</v>
      </c>
      <c r="C23" s="265" t="str">
        <f>IFERROR(__xludf.DUMMYFUNCTION("""COMPUTED_VALUE"""),"Active")</f>
        <v>Active</v>
      </c>
      <c r="D23" s="265" t="str">
        <f>IFERROR(__xludf.DUMMYFUNCTION("""COMPUTED_VALUE"""),"Sale chưa cung cấp")</f>
        <v>Sale chưa cung cấp</v>
      </c>
      <c r="E23" s="265" t="str">
        <f>IFERROR(__xludf.DUMMYFUNCTION("""COMPUTED_VALUE"""),"TúPHN")</f>
        <v>TúPHN</v>
      </c>
      <c r="F23" s="265" t="str">
        <f>IFERROR(__xludf.DUMMYFUNCTION("""COMPUTED_VALUE"""),"Gold")</f>
        <v>Gold</v>
      </c>
      <c r="G23" s="265" t="str">
        <f>IFERROR(__xludf.DUMMYFUNCTION("""COMPUTED_VALUE"""),"Enterprise")</f>
        <v>Enterprise</v>
      </c>
      <c r="H23" s="265" t="str">
        <f>IFERROR(__xludf.DUMMYFUNCTION("""COMPUTED_VALUE"""),"Trả sau")</f>
        <v>Trả sau</v>
      </c>
      <c r="I23" s="265" t="str">
        <f>IFERROR(__xludf.DUMMYFUNCTION("""COMPUTED_VALUE"""),"API")</f>
        <v>API</v>
      </c>
      <c r="J23" s="265" t="str">
        <f>IFERROR(__xludf.DUMMYFUNCTION("""COMPUTED_VALUE"""),"YếnĐH")</f>
        <v>YếnĐH</v>
      </c>
    </row>
    <row r="24">
      <c r="A24" s="265" t="str">
        <f>IFERROR(__xludf.DUMMYFUNCTION("""COMPUTED_VALUE"""),"327")</f>
        <v>327</v>
      </c>
      <c r="B24" s="265" t="str">
        <f>IFERROR(__xludf.DUMMYFUNCTION("""COMPUTED_VALUE"""),"Đà Nẵng")</f>
        <v>Đà Nẵng</v>
      </c>
      <c r="C24" s="265" t="str">
        <f>IFERROR(__xludf.DUMMYFUNCTION("""COMPUTED_VALUE"""),"Active")</f>
        <v>Active</v>
      </c>
      <c r="D24" s="265" t="str">
        <f>IFERROR(__xludf.DUMMYFUNCTION("""COMPUTED_VALUE"""),"Sale chưa cung cấp")</f>
        <v>Sale chưa cung cấp</v>
      </c>
      <c r="E24" s="265" t="str">
        <f>IFERROR(__xludf.DUMMYFUNCTION("""COMPUTED_VALUE"""),"TùngLD")</f>
        <v>TùngLD</v>
      </c>
      <c r="F24" s="265" t="str">
        <f>IFERROR(__xludf.DUMMYFUNCTION("""COMPUTED_VALUE"""),"Silver")</f>
        <v>Silver</v>
      </c>
      <c r="G24" s="265" t="str">
        <f>IFERROR(__xludf.DUMMYFUNCTION("""COMPUTED_VALUE"""),"Starter")</f>
        <v>Starter</v>
      </c>
      <c r="H24" s="265" t="str">
        <f>IFERROR(__xludf.DUMMYFUNCTION("""COMPUTED_VALUE"""),"Trả trước")</f>
        <v>Trả trước</v>
      </c>
      <c r="I24" s="265" t="str">
        <f>IFERROR(__xludf.DUMMYFUNCTION("""COMPUTED_VALUE"""),"API")</f>
        <v>API</v>
      </c>
      <c r="J24" s="265" t="str">
        <f>IFERROR(__xludf.DUMMYFUNCTION("""COMPUTED_VALUE"""),"DungPL")</f>
        <v>DungPL</v>
      </c>
    </row>
    <row r="25">
      <c r="A25" s="265" t="str">
        <f>IFERROR(__xludf.DUMMYFUNCTION("""COMPUTED_VALUE"""),"None 3")</f>
        <v>None 3</v>
      </c>
      <c r="B25" s="265" t="str">
        <f>IFERROR(__xludf.DUMMYFUNCTION("""COMPUTED_VALUE"""),"Hà Nội")</f>
        <v>Hà Nội</v>
      </c>
      <c r="C25" s="265" t="str">
        <f>IFERROR(__xludf.DUMMYFUNCTION("""COMPUTED_VALUE"""),"Locked")</f>
        <v>Locked</v>
      </c>
      <c r="D25" s="265" t="str">
        <f>IFERROR(__xludf.DUMMYFUNCTION("""COMPUTED_VALUE"""),"Viễn thông")</f>
        <v>Viễn thông</v>
      </c>
      <c r="E25" s="265" t="str">
        <f>IFERROR(__xludf.DUMMYFUNCTION("""COMPUTED_VALUE"""),"TúPHN")</f>
        <v>TúPHN</v>
      </c>
      <c r="F25" s="265" t="str">
        <f>IFERROR(__xludf.DUMMYFUNCTION("""COMPUTED_VALUE"""),"Silver")</f>
        <v>Silver</v>
      </c>
      <c r="G25" s="265" t="str">
        <f>IFERROR(__xludf.DUMMYFUNCTION("""COMPUTED_VALUE"""),"None")</f>
        <v>None</v>
      </c>
      <c r="H25" s="265" t="str">
        <f>IFERROR(__xludf.DUMMYFUNCTION("""COMPUTED_VALUE"""),"Trả sau")</f>
        <v>Trả sau</v>
      </c>
      <c r="I25" s="265" t="str">
        <f>IFERROR(__xludf.DUMMYFUNCTION("""COMPUTED_VALUE"""),"API")</f>
        <v>API</v>
      </c>
      <c r="J25" s="265" t="str">
        <f>IFERROR(__xludf.DUMMYFUNCTION("""COMPUTED_VALUE"""),"AnhNM")</f>
        <v>AnhNM</v>
      </c>
    </row>
    <row r="26">
      <c r="A26" s="265" t="str">
        <f>IFERROR(__xludf.DUMMYFUNCTION("""COMPUTED_VALUE"""),"331")</f>
        <v>331</v>
      </c>
      <c r="B26" s="265" t="str">
        <f>IFERROR(__xludf.DUMMYFUNCTION("""COMPUTED_VALUE"""),"Hà Nội")</f>
        <v>Hà Nội</v>
      </c>
      <c r="C26" s="265" t="str">
        <f>IFERROR(__xludf.DUMMYFUNCTION("""COMPUTED_VALUE"""),"Active")</f>
        <v>Active</v>
      </c>
      <c r="D26" s="265" t="str">
        <f>IFERROR(__xludf.DUMMYFUNCTION("""COMPUTED_VALUE"""),"Sale chưa cung cấp")</f>
        <v>Sale chưa cung cấp</v>
      </c>
      <c r="E26" s="265" t="str">
        <f>IFERROR(__xludf.DUMMYFUNCTION("""COMPUTED_VALUE"""),"TúPHN")</f>
        <v>TúPHN</v>
      </c>
      <c r="F26" s="265" t="str">
        <f>IFERROR(__xludf.DUMMYFUNCTION("""COMPUTED_VALUE"""),"Diamond")</f>
        <v>Diamond</v>
      </c>
      <c r="G26" s="265" t="str">
        <f>IFERROR(__xludf.DUMMYFUNCTION("""COMPUTED_VALUE"""),"Enterprise")</f>
        <v>Enterprise</v>
      </c>
      <c r="H26" s="265" t="str">
        <f>IFERROR(__xludf.DUMMYFUNCTION("""COMPUTED_VALUE"""),"Trả sau")</f>
        <v>Trả sau</v>
      </c>
      <c r="I26" s="265" t="str">
        <f>IFERROR(__xludf.DUMMYFUNCTION("""COMPUTED_VALUE"""),"API &amp; Portal")</f>
        <v>API &amp; Portal</v>
      </c>
      <c r="J26" s="265" t="str">
        <f>IFERROR(__xludf.DUMMYFUNCTION("""COMPUTED_VALUE"""),"DungPL")</f>
        <v>DungPL</v>
      </c>
    </row>
    <row r="27">
      <c r="A27" s="265" t="str">
        <f>IFERROR(__xludf.DUMMYFUNCTION("""COMPUTED_VALUE"""),"331")</f>
        <v>331</v>
      </c>
      <c r="B27" s="265" t="str">
        <f>IFERROR(__xludf.DUMMYFUNCTION("""COMPUTED_VALUE"""),"Hà Nội")</f>
        <v>Hà Nội</v>
      </c>
      <c r="C27" s="265" t="str">
        <f>IFERROR(__xludf.DUMMYFUNCTION("""COMPUTED_VALUE"""),"Active")</f>
        <v>Active</v>
      </c>
      <c r="D27" s="265" t="str">
        <f>IFERROR(__xludf.DUMMYFUNCTION("""COMPUTED_VALUE"""),"Sale chưa cung cấp")</f>
        <v>Sale chưa cung cấp</v>
      </c>
      <c r="E27" s="265" t="str">
        <f>IFERROR(__xludf.DUMMYFUNCTION("""COMPUTED_VALUE"""),"TúPHN")</f>
        <v>TúPHN</v>
      </c>
      <c r="F27" s="265" t="str">
        <f>IFERROR(__xludf.DUMMYFUNCTION("""COMPUTED_VALUE"""),"Diamond")</f>
        <v>Diamond</v>
      </c>
      <c r="G27" s="265" t="str">
        <f>IFERROR(__xludf.DUMMYFUNCTION("""COMPUTED_VALUE"""),"Enterprise")</f>
        <v>Enterprise</v>
      </c>
      <c r="H27" s="265" t="str">
        <f>IFERROR(__xludf.DUMMYFUNCTION("""COMPUTED_VALUE"""),"Trả sau")</f>
        <v>Trả sau</v>
      </c>
      <c r="I27" s="265" t="str">
        <f>IFERROR(__xludf.DUMMYFUNCTION("""COMPUTED_VALUE"""),"API &amp; Portal")</f>
        <v>API &amp; Portal</v>
      </c>
      <c r="J27" s="265" t="str">
        <f>IFERROR(__xludf.DUMMYFUNCTION("""COMPUTED_VALUE"""),"DungVT")</f>
        <v>DungVT</v>
      </c>
    </row>
    <row r="28">
      <c r="A28" s="265" t="str">
        <f>IFERROR(__xludf.DUMMYFUNCTION("""COMPUTED_VALUE"""),"332")</f>
        <v>332</v>
      </c>
      <c r="B28" s="265" t="str">
        <f>IFERROR(__xludf.DUMMYFUNCTION("""COMPUTED_VALUE"""),"Hà Nội")</f>
        <v>Hà Nội</v>
      </c>
      <c r="C28" s="265" t="str">
        <f>IFERROR(__xludf.DUMMYFUNCTION("""COMPUTED_VALUE"""),"Locked")</f>
        <v>Locked</v>
      </c>
      <c r="D28" s="265" t="str">
        <f>IFERROR(__xludf.DUMMYFUNCTION("""COMPUTED_VALUE"""),"Sale chưa cung cấp")</f>
        <v>Sale chưa cung cấp</v>
      </c>
      <c r="E28" s="265" t="str">
        <f>IFERROR(__xludf.DUMMYFUNCTION("""COMPUTED_VALUE"""),"PhươngDTB")</f>
        <v>PhươngDTB</v>
      </c>
      <c r="F28" s="265" t="str">
        <f>IFERROR(__xludf.DUMMYFUNCTION("""COMPUTED_VALUE"""),"Sale chưa cung cấp")</f>
        <v>Sale chưa cung cấp</v>
      </c>
      <c r="G28" s="265" t="str">
        <f>IFERROR(__xludf.DUMMYFUNCTION("""COMPUTED_VALUE"""),"Enterprise")</f>
        <v>Enterprise</v>
      </c>
      <c r="H28" s="265" t="str">
        <f>IFERROR(__xludf.DUMMYFUNCTION("""COMPUTED_VALUE"""),"Trial")</f>
        <v>Trial</v>
      </c>
      <c r="I28" s="265" t="str">
        <f>IFERROR(__xludf.DUMMYFUNCTION("""COMPUTED_VALUE"""),"(Chưa recheck)")</f>
        <v>(Chưa recheck)</v>
      </c>
      <c r="J28" s="265" t="str">
        <f>IFERROR(__xludf.DUMMYFUNCTION("""COMPUTED_VALUE"""),"(Chưa recheck)")</f>
        <v>(Chưa recheck)</v>
      </c>
    </row>
    <row r="29">
      <c r="A29" s="265" t="str">
        <f>IFERROR(__xludf.DUMMYFUNCTION("""COMPUTED_VALUE"""),"344")</f>
        <v>344</v>
      </c>
      <c r="B29" s="265" t="str">
        <f>IFERROR(__xludf.DUMMYFUNCTION("""COMPUTED_VALUE"""),"Hà Nội")</f>
        <v>Hà Nội</v>
      </c>
      <c r="C29" s="265" t="str">
        <f>IFERROR(__xludf.DUMMYFUNCTION("""COMPUTED_VALUE"""),"Locked")</f>
        <v>Locked</v>
      </c>
      <c r="D29" s="265" t="str">
        <f>IFERROR(__xludf.DUMMYFUNCTION("""COMPUTED_VALUE"""),"Sale chưa cung cấp")</f>
        <v>Sale chưa cung cấp</v>
      </c>
      <c r="E29" s="265" t="str">
        <f>IFERROR(__xludf.DUMMYFUNCTION("""COMPUTED_VALUE"""),"TùngLD")</f>
        <v>TùngLD</v>
      </c>
      <c r="F29" s="265" t="str">
        <f>IFERROR(__xludf.DUMMYFUNCTION("""COMPUTED_VALUE"""),"Sale chưa cung cấp")</f>
        <v>Sale chưa cung cấp</v>
      </c>
      <c r="G29" s="265" t="str">
        <f>IFERROR(__xludf.DUMMYFUNCTION("""COMPUTED_VALUE"""),"Enterprise")</f>
        <v>Enterprise</v>
      </c>
      <c r="H29" s="265" t="str">
        <f>IFERROR(__xludf.DUMMYFUNCTION("""COMPUTED_VALUE"""),"Trả sau")</f>
        <v>Trả sau</v>
      </c>
      <c r="I29" s="265" t="str">
        <f>IFERROR(__xludf.DUMMYFUNCTION("""COMPUTED_VALUE"""),"API &amp; Portal")</f>
        <v>API &amp; Portal</v>
      </c>
      <c r="J29" s="265" t="str">
        <f>IFERROR(__xludf.DUMMYFUNCTION("""COMPUTED_VALUE"""),"LinhNTT1")</f>
        <v>LinhNTT1</v>
      </c>
    </row>
    <row r="30">
      <c r="A30" s="265" t="str">
        <f>IFERROR(__xludf.DUMMYFUNCTION("""COMPUTED_VALUE"""),"346")</f>
        <v>346</v>
      </c>
      <c r="B30" s="265" t="str">
        <f>IFERROR(__xludf.DUMMYFUNCTION("""COMPUTED_VALUE"""),"Hà Nội")</f>
        <v>Hà Nội</v>
      </c>
      <c r="C30" s="265" t="str">
        <f>IFERROR(__xludf.DUMMYFUNCTION("""COMPUTED_VALUE"""),"Active")</f>
        <v>Active</v>
      </c>
      <c r="D30" s="265" t="str">
        <f>IFERROR(__xludf.DUMMYFUNCTION("""COMPUTED_VALUE"""),"Sale chưa cung cấp")</f>
        <v>Sale chưa cung cấp</v>
      </c>
      <c r="E30" s="265" t="str">
        <f>IFERROR(__xludf.DUMMYFUNCTION("""COMPUTED_VALUE"""),"Không phân công")</f>
        <v>Không phân công</v>
      </c>
      <c r="F30" s="265" t="str">
        <f>IFERROR(__xludf.DUMMYFUNCTION("""COMPUTED_VALUE"""),"Sale chưa cung cấp")</f>
        <v>Sale chưa cung cấp</v>
      </c>
      <c r="G30" s="265" t="str">
        <f>IFERROR(__xludf.DUMMYFUNCTION("""COMPUTED_VALUE"""),"API")</f>
        <v>API</v>
      </c>
      <c r="H30" s="265" t="str">
        <f>IFERROR(__xludf.DUMMYFUNCTION("""COMPUTED_VALUE"""),"Trả sau")</f>
        <v>Trả sau</v>
      </c>
      <c r="I30" s="265" t="str">
        <f>IFERROR(__xludf.DUMMYFUNCTION("""COMPUTED_VALUE"""),"API")</f>
        <v>API</v>
      </c>
      <c r="J30" s="265" t="str">
        <f>IFERROR(__xludf.DUMMYFUNCTION("""COMPUTED_VALUE"""),"LinhNTT1")</f>
        <v>LinhNTT1</v>
      </c>
    </row>
    <row r="31">
      <c r="A31" s="265" t="str">
        <f>IFERROR(__xludf.DUMMYFUNCTION("""COMPUTED_VALUE"""),"347")</f>
        <v>347</v>
      </c>
      <c r="B31" s="265" t="str">
        <f>IFERROR(__xludf.DUMMYFUNCTION("""COMPUTED_VALUE"""),"Sài Gòn")</f>
        <v>Sài Gòn</v>
      </c>
      <c r="C31" s="265" t="str">
        <f>IFERROR(__xludf.DUMMYFUNCTION("""COMPUTED_VALUE"""),"Locked")</f>
        <v>Locked</v>
      </c>
      <c r="D31" s="265" t="str">
        <f>IFERROR(__xludf.DUMMYFUNCTION("""COMPUTED_VALUE"""),"Sale chưa cung cấp")</f>
        <v>Sale chưa cung cấp</v>
      </c>
      <c r="E31" s="265" t="str">
        <f>IFERROR(__xludf.DUMMYFUNCTION("""COMPUTED_VALUE"""),"HoaNTM")</f>
        <v>HoaNTM</v>
      </c>
      <c r="F31" s="265" t="str">
        <f>IFERROR(__xludf.DUMMYFUNCTION("""COMPUTED_VALUE"""),"Sale chưa cung cấp")</f>
        <v>Sale chưa cung cấp</v>
      </c>
      <c r="G31" s="265" t="str">
        <f>IFERROR(__xludf.DUMMYFUNCTION("""COMPUTED_VALUE"""),"API")</f>
        <v>API</v>
      </c>
      <c r="H31" s="265" t="str">
        <f>IFERROR(__xludf.DUMMYFUNCTION("""COMPUTED_VALUE"""),"(Chưa recheck)")</f>
        <v>(Chưa recheck)</v>
      </c>
      <c r="I31" s="265" t="str">
        <f>IFERROR(__xludf.DUMMYFUNCTION("""COMPUTED_VALUE"""),"(Chưa recheck)")</f>
        <v>(Chưa recheck)</v>
      </c>
      <c r="J31" s="265" t="str">
        <f>IFERROR(__xludf.DUMMYFUNCTION("""COMPUTED_VALUE"""),"(Chưa recheck)")</f>
        <v>(Chưa recheck)</v>
      </c>
    </row>
    <row r="32">
      <c r="A32" s="265" t="str">
        <f>IFERROR(__xludf.DUMMYFUNCTION("""COMPUTED_VALUE"""),"350")</f>
        <v>350</v>
      </c>
      <c r="B32" s="265" t="str">
        <f>IFERROR(__xludf.DUMMYFUNCTION("""COMPUTED_VALUE"""),"Hà Nội")</f>
        <v>Hà Nội</v>
      </c>
      <c r="C32" s="265" t="str">
        <f>IFERROR(__xludf.DUMMYFUNCTION("""COMPUTED_VALUE"""),"Locked")</f>
        <v>Locked</v>
      </c>
      <c r="D32" s="265" t="str">
        <f>IFERROR(__xludf.DUMMYFUNCTION("""COMPUTED_VALUE"""),"Tài chính &amp; Ngân hàng")</f>
        <v>Tài chính &amp; Ngân hàng</v>
      </c>
      <c r="E32" s="265" t="str">
        <f>IFERROR(__xludf.DUMMYFUNCTION("""COMPUTED_VALUE"""),"(Không recheck)")</f>
        <v>(Không recheck)</v>
      </c>
      <c r="F32" s="265" t="str">
        <f>IFERROR(__xludf.DUMMYFUNCTION("""COMPUTED_VALUE"""),"Diamond")</f>
        <v>Diamond</v>
      </c>
      <c r="G32" s="265" t="str">
        <f>IFERROR(__xludf.DUMMYFUNCTION("""COMPUTED_VALUE"""),"API")</f>
        <v>API</v>
      </c>
      <c r="H32" s="265" t="str">
        <f>IFERROR(__xludf.DUMMYFUNCTION("""COMPUTED_VALUE"""),"Trial")</f>
        <v>Trial</v>
      </c>
      <c r="I32" s="265" t="str">
        <f>IFERROR(__xludf.DUMMYFUNCTION("""COMPUTED_VALUE"""),"API")</f>
        <v>API</v>
      </c>
      <c r="J32" s="265" t="str">
        <f>IFERROR(__xludf.DUMMYFUNCTION("""COMPUTED_VALUE"""),"(Không recheck)")</f>
        <v>(Không recheck)</v>
      </c>
    </row>
    <row r="33">
      <c r="A33" s="265" t="str">
        <f>IFERROR(__xludf.DUMMYFUNCTION("""COMPUTED_VALUE"""),"351")</f>
        <v>351</v>
      </c>
      <c r="B33" s="265" t="str">
        <f>IFERROR(__xludf.DUMMYFUNCTION("""COMPUTED_VALUE"""),"Hà Nội")</f>
        <v>Hà Nội</v>
      </c>
      <c r="C33" s="265" t="str">
        <f>IFERROR(__xludf.DUMMYFUNCTION("""COMPUTED_VALUE"""),"Locked")</f>
        <v>Locked</v>
      </c>
      <c r="D33" s="265" t="str">
        <f>IFERROR(__xludf.DUMMYFUNCTION("""COMPUTED_VALUE"""),"Sale chưa cung cấp")</f>
        <v>Sale chưa cung cấp</v>
      </c>
      <c r="E33" s="265" t="str">
        <f>IFERROR(__xludf.DUMMYFUNCTION("""COMPUTED_VALUE"""),"HangNT")</f>
        <v>HangNT</v>
      </c>
      <c r="F33" s="265" t="str">
        <f>IFERROR(__xludf.DUMMYFUNCTION("""COMPUTED_VALUE"""),"Sale chưa cung cấp")</f>
        <v>Sale chưa cung cấp</v>
      </c>
      <c r="G33" s="265" t="str">
        <f>IFERROR(__xludf.DUMMYFUNCTION("""COMPUTED_VALUE"""),"Enterprise")</f>
        <v>Enterprise</v>
      </c>
      <c r="H33" s="265" t="str">
        <f>IFERROR(__xludf.DUMMYFUNCTION("""COMPUTED_VALUE"""),"(Chưa recheck)")</f>
        <v>(Chưa recheck)</v>
      </c>
      <c r="I33" s="265" t="str">
        <f>IFERROR(__xludf.DUMMYFUNCTION("""COMPUTED_VALUE"""),"(Chưa recheck)")</f>
        <v>(Chưa recheck)</v>
      </c>
      <c r="J33" s="265" t="str">
        <f>IFERROR(__xludf.DUMMYFUNCTION("""COMPUTED_VALUE"""),"(Chưa recheck)")</f>
        <v>(Chưa recheck)</v>
      </c>
    </row>
    <row r="34">
      <c r="A34" s="265" t="str">
        <f>IFERROR(__xludf.DUMMYFUNCTION("""COMPUTED_VALUE"""),"352")</f>
        <v>352</v>
      </c>
      <c r="B34" s="265" t="str">
        <f>IFERROR(__xludf.DUMMYFUNCTION("""COMPUTED_VALUE"""),"Hà Nội")</f>
        <v>Hà Nội</v>
      </c>
      <c r="C34" s="265" t="str">
        <f>IFERROR(__xludf.DUMMYFUNCTION("""COMPUTED_VALUE"""),"Locked")</f>
        <v>Locked</v>
      </c>
      <c r="D34" s="265" t="str">
        <f>IFERROR(__xludf.DUMMYFUNCTION("""COMPUTED_VALUE"""),"Sale chưa cung cấp")</f>
        <v>Sale chưa cung cấp</v>
      </c>
      <c r="E34" s="265" t="str">
        <f>IFERROR(__xludf.DUMMYFUNCTION("""COMPUTED_VALUE"""),"(Chưa recheck)")</f>
        <v>(Chưa recheck)</v>
      </c>
      <c r="F34" s="265" t="str">
        <f>IFERROR(__xludf.DUMMYFUNCTION("""COMPUTED_VALUE"""),"Sale chưa cung cấp")</f>
        <v>Sale chưa cung cấp</v>
      </c>
      <c r="G34" s="265" t="str">
        <f>IFERROR(__xludf.DUMMYFUNCTION("""COMPUTED_VALUE"""),"API")</f>
        <v>API</v>
      </c>
      <c r="H34" s="265" t="str">
        <f>IFERROR(__xludf.DUMMYFUNCTION("""COMPUTED_VALUE"""),"(Chưa recheck)")</f>
        <v>(Chưa recheck)</v>
      </c>
      <c r="I34" s="265" t="str">
        <f>IFERROR(__xludf.DUMMYFUNCTION("""COMPUTED_VALUE"""),"API")</f>
        <v>API</v>
      </c>
      <c r="J34" s="265" t="str">
        <f>IFERROR(__xludf.DUMMYFUNCTION("""COMPUTED_VALUE"""),"(Chưa recheck)")</f>
        <v>(Chưa recheck)</v>
      </c>
    </row>
    <row r="35">
      <c r="A35" s="265" t="str">
        <f>IFERROR(__xludf.DUMMYFUNCTION("""COMPUTED_VALUE"""),"353")</f>
        <v>353</v>
      </c>
      <c r="B35" s="265" t="str">
        <f>IFERROR(__xludf.DUMMYFUNCTION("""COMPUTED_VALUE"""),"Hà Nội")</f>
        <v>Hà Nội</v>
      </c>
      <c r="C35" s="265" t="str">
        <f>IFERROR(__xludf.DUMMYFUNCTION("""COMPUTED_VALUE"""),"Locked")</f>
        <v>Locked</v>
      </c>
      <c r="D35" s="265" t="str">
        <f>IFERROR(__xludf.DUMMYFUNCTION("""COMPUTED_VALUE"""),"Sale chưa cung cấp")</f>
        <v>Sale chưa cung cấp</v>
      </c>
      <c r="E35" s="265" t="str">
        <f>IFERROR(__xludf.DUMMYFUNCTION("""COMPUTED_VALUE"""),"(Không recheck)")</f>
        <v>(Không recheck)</v>
      </c>
      <c r="F35" s="265" t="str">
        <f>IFERROR(__xludf.DUMMYFUNCTION("""COMPUTED_VALUE"""),"Sale chưa cung cấp")</f>
        <v>Sale chưa cung cấp</v>
      </c>
      <c r="G35" s="265" t="str">
        <f>IFERROR(__xludf.DUMMYFUNCTION("""COMPUTED_VALUE"""),"Enterprise")</f>
        <v>Enterprise</v>
      </c>
      <c r="H35" s="265" t="str">
        <f>IFERROR(__xludf.DUMMYFUNCTION("""COMPUTED_VALUE"""),"Trial")</f>
        <v>Trial</v>
      </c>
      <c r="I35" s="265" t="str">
        <f>IFERROR(__xludf.DUMMYFUNCTION("""COMPUTED_VALUE"""),"(Không recheck)")</f>
        <v>(Không recheck)</v>
      </c>
      <c r="J35" s="265" t="str">
        <f>IFERROR(__xludf.DUMMYFUNCTION("""COMPUTED_VALUE"""),"(Không recheck)")</f>
        <v>(Không recheck)</v>
      </c>
    </row>
    <row r="36">
      <c r="A36" s="265" t="str">
        <f>IFERROR(__xludf.DUMMYFUNCTION("""COMPUTED_VALUE"""),"354")</f>
        <v>354</v>
      </c>
      <c r="B36" s="265" t="str">
        <f>IFERROR(__xludf.DUMMYFUNCTION("""COMPUTED_VALUE"""),"Sài Gòn")</f>
        <v>Sài Gòn</v>
      </c>
      <c r="C36" s="265" t="str">
        <f>IFERROR(__xludf.DUMMYFUNCTION("""COMPUTED_VALUE"""),"Locked")</f>
        <v>Locked</v>
      </c>
      <c r="D36" s="265" t="str">
        <f>IFERROR(__xludf.DUMMYFUNCTION("""COMPUTED_VALUE"""),"Sale chưa cung cấp")</f>
        <v>Sale chưa cung cấp</v>
      </c>
      <c r="E36" s="265" t="str">
        <f>IFERROR(__xludf.DUMMYFUNCTION("""COMPUTED_VALUE"""),"MaiTP")</f>
        <v>MaiTP</v>
      </c>
      <c r="F36" s="265" t="str">
        <f>IFERROR(__xludf.DUMMYFUNCTION("""COMPUTED_VALUE"""),"Sale chưa cung cấp")</f>
        <v>Sale chưa cung cấp</v>
      </c>
      <c r="G36" s="265" t="str">
        <f>IFERROR(__xludf.DUMMYFUNCTION("""COMPUTED_VALUE"""),"Enterprise")</f>
        <v>Enterprise</v>
      </c>
      <c r="H36" s="265" t="str">
        <f>IFERROR(__xludf.DUMMYFUNCTION("""COMPUTED_VALUE"""),"(Chưa recheck)")</f>
        <v>(Chưa recheck)</v>
      </c>
      <c r="I36" s="265" t="str">
        <f>IFERROR(__xludf.DUMMYFUNCTION("""COMPUTED_VALUE"""),"(Chưa recheck)")</f>
        <v>(Chưa recheck)</v>
      </c>
      <c r="J36" s="265" t="str">
        <f>IFERROR(__xludf.DUMMYFUNCTION("""COMPUTED_VALUE"""),"(Chưa recheck)")</f>
        <v>(Chưa recheck)</v>
      </c>
    </row>
    <row r="37">
      <c r="A37" s="265" t="str">
        <f>IFERROR(__xludf.DUMMYFUNCTION("""COMPUTED_VALUE"""),"355")</f>
        <v>355</v>
      </c>
      <c r="B37" s="265" t="str">
        <f>IFERROR(__xludf.DUMMYFUNCTION("""COMPUTED_VALUE"""),"Hà Nội")</f>
        <v>Hà Nội</v>
      </c>
      <c r="C37" s="265" t="str">
        <f>IFERROR(__xludf.DUMMYFUNCTION("""COMPUTED_VALUE"""),"Locked")</f>
        <v>Locked</v>
      </c>
      <c r="D37" s="265" t="str">
        <f>IFERROR(__xludf.DUMMYFUNCTION("""COMPUTED_VALUE"""),"Sale chưa cung cấp")</f>
        <v>Sale chưa cung cấp</v>
      </c>
      <c r="E37" s="265" t="str">
        <f>IFERROR(__xludf.DUMMYFUNCTION("""COMPUTED_VALUE"""),"(Không recheck)")</f>
        <v>(Không recheck)</v>
      </c>
      <c r="F37" s="265" t="str">
        <f>IFERROR(__xludf.DUMMYFUNCTION("""COMPUTED_VALUE"""),"Bronze")</f>
        <v>Bronze</v>
      </c>
      <c r="G37" s="265" t="str">
        <f>IFERROR(__xludf.DUMMYFUNCTION("""COMPUTED_VALUE"""),"MSG")</f>
        <v>MSG</v>
      </c>
      <c r="H37" s="265" t="str">
        <f>IFERROR(__xludf.DUMMYFUNCTION("""COMPUTED_VALUE"""),"Trial")</f>
        <v>Trial</v>
      </c>
      <c r="I37" s="265" t="str">
        <f>IFERROR(__xludf.DUMMYFUNCTION("""COMPUTED_VALUE"""),"Portal")</f>
        <v>Portal</v>
      </c>
      <c r="J37" s="265" t="str">
        <f>IFERROR(__xludf.DUMMYFUNCTION("""COMPUTED_VALUE"""),"(Không recheck)")</f>
        <v>(Không recheck)</v>
      </c>
    </row>
    <row r="38">
      <c r="A38" s="265" t="str">
        <f>IFERROR(__xludf.DUMMYFUNCTION("""COMPUTED_VALUE"""),"356")</f>
        <v>356</v>
      </c>
      <c r="B38" s="265" t="str">
        <f>IFERROR(__xludf.DUMMYFUNCTION("""COMPUTED_VALUE"""),"Sài Gòn")</f>
        <v>Sài Gòn</v>
      </c>
      <c r="C38" s="265" t="str">
        <f>IFERROR(__xludf.DUMMYFUNCTION("""COMPUTED_VALUE"""),"Active")</f>
        <v>Active</v>
      </c>
      <c r="D38" s="265" t="str">
        <f>IFERROR(__xludf.DUMMYFUNCTION("""COMPUTED_VALUE"""),"Sale chưa cung cấp")</f>
        <v>Sale chưa cung cấp</v>
      </c>
      <c r="E38" s="265" t="str">
        <f>IFERROR(__xludf.DUMMYFUNCTION("""COMPUTED_VALUE"""),"TúPHN")</f>
        <v>TúPHN</v>
      </c>
      <c r="F38" s="265" t="str">
        <f>IFERROR(__xludf.DUMMYFUNCTION("""COMPUTED_VALUE"""),"Gold")</f>
        <v>Gold</v>
      </c>
      <c r="G38" s="265" t="str">
        <f>IFERROR(__xludf.DUMMYFUNCTION("""COMPUTED_VALUE"""),"Standard")</f>
        <v>Standard</v>
      </c>
      <c r="H38" s="265" t="str">
        <f>IFERROR(__xludf.DUMMYFUNCTION("""COMPUTED_VALUE"""),"Trả sau")</f>
        <v>Trả sau</v>
      </c>
      <c r="I38" s="265" t="str">
        <f>IFERROR(__xludf.DUMMYFUNCTION("""COMPUTED_VALUE"""),"API &amp; Portal")</f>
        <v>API &amp; Portal</v>
      </c>
      <c r="J38" s="265" t="str">
        <f>IFERROR(__xludf.DUMMYFUNCTION("""COMPUTED_VALUE"""),"DungPL")</f>
        <v>DungPL</v>
      </c>
    </row>
    <row r="39">
      <c r="A39" s="265" t="str">
        <f>IFERROR(__xludf.DUMMYFUNCTION("""COMPUTED_VALUE"""),"359")</f>
        <v>359</v>
      </c>
      <c r="B39" s="265" t="str">
        <f>IFERROR(__xludf.DUMMYFUNCTION("""COMPUTED_VALUE"""),"Hà Nội")</f>
        <v>Hà Nội</v>
      </c>
      <c r="C39" s="265" t="str">
        <f>IFERROR(__xludf.DUMMYFUNCTION("""COMPUTED_VALUE"""),"Locked")</f>
        <v>Locked</v>
      </c>
      <c r="D39" s="265" t="str">
        <f>IFERROR(__xludf.DUMMYFUNCTION("""COMPUTED_VALUE"""),"Sale chưa cung cấp")</f>
        <v>Sale chưa cung cấp</v>
      </c>
      <c r="E39" s="265" t="str">
        <f>IFERROR(__xludf.DUMMYFUNCTION("""COMPUTED_VALUE"""),"(Không recheck)")</f>
        <v>(Không recheck)</v>
      </c>
      <c r="F39" s="265" t="str">
        <f>IFERROR(__xludf.DUMMYFUNCTION("""COMPUTED_VALUE"""),"Sale chưa cung cấp")</f>
        <v>Sale chưa cung cấp</v>
      </c>
      <c r="G39" s="265" t="str">
        <f>IFERROR(__xludf.DUMMYFUNCTION("""COMPUTED_VALUE"""),"Enterprise")</f>
        <v>Enterprise</v>
      </c>
      <c r="H39" s="265" t="str">
        <f>IFERROR(__xludf.DUMMYFUNCTION("""COMPUTED_VALUE"""),"Trial")</f>
        <v>Trial</v>
      </c>
      <c r="I39" s="265" t="str">
        <f>IFERROR(__xludf.DUMMYFUNCTION("""COMPUTED_VALUE"""),"(Không recheck)")</f>
        <v>(Không recheck)</v>
      </c>
      <c r="J39" s="265" t="str">
        <f>IFERROR(__xludf.DUMMYFUNCTION("""COMPUTED_VALUE"""),"(Không recheck)")</f>
        <v>(Không recheck)</v>
      </c>
    </row>
    <row r="40">
      <c r="A40" s="265" t="str">
        <f>IFERROR(__xludf.DUMMYFUNCTION("""COMPUTED_VALUE"""),"358")</f>
        <v>358</v>
      </c>
      <c r="B40" s="265" t="str">
        <f>IFERROR(__xludf.DUMMYFUNCTION("""COMPUTED_VALUE"""),"Sài Gòn")</f>
        <v>Sài Gòn</v>
      </c>
      <c r="C40" s="265" t="str">
        <f>IFERROR(__xludf.DUMMYFUNCTION("""COMPUTED_VALUE"""),"Locked")</f>
        <v>Locked</v>
      </c>
      <c r="D40" s="265" t="str">
        <f>IFERROR(__xludf.DUMMYFUNCTION("""COMPUTED_VALUE"""),"Sale chưa cung cấp")</f>
        <v>Sale chưa cung cấp</v>
      </c>
      <c r="E40" s="265" t="str">
        <f>IFERROR(__xludf.DUMMYFUNCTION("""COMPUTED_VALUE"""),"(Chưa recheck)")</f>
        <v>(Chưa recheck)</v>
      </c>
      <c r="F40" s="265" t="str">
        <f>IFERROR(__xludf.DUMMYFUNCTION("""COMPUTED_VALUE"""),"Sale chưa cung cấp")</f>
        <v>Sale chưa cung cấp</v>
      </c>
      <c r="G40" s="265" t="str">
        <f>IFERROR(__xludf.DUMMYFUNCTION("""COMPUTED_VALUE"""),"API")</f>
        <v>API</v>
      </c>
      <c r="H40" s="265" t="str">
        <f>IFERROR(__xludf.DUMMYFUNCTION("""COMPUTED_VALUE"""),"(Chưa recheck)")</f>
        <v>(Chưa recheck)</v>
      </c>
      <c r="I40" s="265" t="str">
        <f>IFERROR(__xludf.DUMMYFUNCTION("""COMPUTED_VALUE"""),"(Chưa recheck)")</f>
        <v>(Chưa recheck)</v>
      </c>
      <c r="J40" s="265" t="str">
        <f>IFERROR(__xludf.DUMMYFUNCTION("""COMPUTED_VALUE"""),"AnhNM")</f>
        <v>AnhNM</v>
      </c>
    </row>
    <row r="41">
      <c r="A41" s="265" t="str">
        <f>IFERROR(__xludf.DUMMYFUNCTION("""COMPUTED_VALUE"""),"357")</f>
        <v>357</v>
      </c>
      <c r="B41" s="265" t="str">
        <f>IFERROR(__xludf.DUMMYFUNCTION("""COMPUTED_VALUE"""),"Đà Nẵng")</f>
        <v>Đà Nẵng</v>
      </c>
      <c r="C41" s="265" t="str">
        <f>IFERROR(__xludf.DUMMYFUNCTION("""COMPUTED_VALUE"""),"Locked")</f>
        <v>Locked</v>
      </c>
      <c r="D41" s="265" t="str">
        <f>IFERROR(__xludf.DUMMYFUNCTION("""COMPUTED_VALUE"""),"Sale chưa cung cấp")</f>
        <v>Sale chưa cung cấp</v>
      </c>
      <c r="E41" s="265" t="str">
        <f>IFERROR(__xludf.DUMMYFUNCTION("""COMPUTED_VALUE"""),"HoaNTM")</f>
        <v>HoaNTM</v>
      </c>
      <c r="F41" s="265" t="str">
        <f>IFERROR(__xludf.DUMMYFUNCTION("""COMPUTED_VALUE"""),"Sale chưa cung cấp")</f>
        <v>Sale chưa cung cấp</v>
      </c>
      <c r="G41" s="265" t="str">
        <f>IFERROR(__xludf.DUMMYFUNCTION("""COMPUTED_VALUE"""),"API")</f>
        <v>API</v>
      </c>
      <c r="H41" s="265" t="str">
        <f>IFERROR(__xludf.DUMMYFUNCTION("""COMPUTED_VALUE"""),"(Chưa recheck)")</f>
        <v>(Chưa recheck)</v>
      </c>
      <c r="I41" s="265" t="str">
        <f>IFERROR(__xludf.DUMMYFUNCTION("""COMPUTED_VALUE"""),"(Chưa recheck)")</f>
        <v>(Chưa recheck)</v>
      </c>
      <c r="J41" s="265" t="str">
        <f>IFERROR(__xludf.DUMMYFUNCTION("""COMPUTED_VALUE"""),"AnhNM")</f>
        <v>AnhNM</v>
      </c>
    </row>
    <row r="42">
      <c r="A42" s="265" t="str">
        <f>IFERROR(__xludf.DUMMYFUNCTION("""COMPUTED_VALUE"""),"360")</f>
        <v>360</v>
      </c>
      <c r="B42" s="265" t="str">
        <f>IFERROR(__xludf.DUMMYFUNCTION("""COMPUTED_VALUE"""),"Hà Nội")</f>
        <v>Hà Nội</v>
      </c>
      <c r="C42" s="265" t="str">
        <f>IFERROR(__xludf.DUMMYFUNCTION("""COMPUTED_VALUE"""),"Locked")</f>
        <v>Locked</v>
      </c>
      <c r="D42" s="265" t="str">
        <f>IFERROR(__xludf.DUMMYFUNCTION("""COMPUTED_VALUE"""),"Sale chưa cung cấp")</f>
        <v>Sale chưa cung cấp</v>
      </c>
      <c r="E42" s="265" t="str">
        <f>IFERROR(__xludf.DUMMYFUNCTION("""COMPUTED_VALUE"""),"(Chưa recheck)")</f>
        <v>(Chưa recheck)</v>
      </c>
      <c r="F42" s="265" t="str">
        <f>IFERROR(__xludf.DUMMYFUNCTION("""COMPUTED_VALUE"""),"Bronze")</f>
        <v>Bronze</v>
      </c>
      <c r="G42" s="265" t="str">
        <f>IFERROR(__xludf.DUMMYFUNCTION("""COMPUTED_VALUE"""),"MSG")</f>
        <v>MSG</v>
      </c>
      <c r="H42" s="265" t="str">
        <f>IFERROR(__xludf.DUMMYFUNCTION("""COMPUTED_VALUE"""),"(Chưa recheck)")</f>
        <v>(Chưa recheck)</v>
      </c>
      <c r="I42" s="265" t="str">
        <f>IFERROR(__xludf.DUMMYFUNCTION("""COMPUTED_VALUE"""),"(Chưa recheck)")</f>
        <v>(Chưa recheck)</v>
      </c>
      <c r="J42" s="265" t="str">
        <f>IFERROR(__xludf.DUMMYFUNCTION("""COMPUTED_VALUE"""),"AnhNM")</f>
        <v>AnhNM</v>
      </c>
    </row>
    <row r="43">
      <c r="A43" s="265" t="str">
        <f>IFERROR(__xludf.DUMMYFUNCTION("""COMPUTED_VALUE"""),"362")</f>
        <v>362</v>
      </c>
      <c r="B43" s="265" t="str">
        <f>IFERROR(__xludf.DUMMYFUNCTION("""COMPUTED_VALUE"""),"Hà Nội")</f>
        <v>Hà Nội</v>
      </c>
      <c r="C43" s="265" t="str">
        <f>IFERROR(__xludf.DUMMYFUNCTION("""COMPUTED_VALUE"""),"Active")</f>
        <v>Active</v>
      </c>
      <c r="D43" s="265" t="str">
        <f>IFERROR(__xludf.DUMMYFUNCTION("""COMPUTED_VALUE"""),"Sale chưa cung cấp")</f>
        <v>Sale chưa cung cấp</v>
      </c>
      <c r="E43" s="265" t="str">
        <f>IFERROR(__xludf.DUMMYFUNCTION("""COMPUTED_VALUE"""),"AnhNM")</f>
        <v>AnhNM</v>
      </c>
      <c r="F43" s="265" t="str">
        <f>IFERROR(__xludf.DUMMYFUNCTION("""COMPUTED_VALUE"""),"Bronze")</f>
        <v>Bronze</v>
      </c>
      <c r="G43" s="265" t="str">
        <f>IFERROR(__xludf.DUMMYFUNCTION("""COMPUTED_VALUE"""),"Starter")</f>
        <v>Starter</v>
      </c>
      <c r="H43" s="265" t="str">
        <f>IFERROR(__xludf.DUMMYFUNCTION("""COMPUTED_VALUE"""),"Trả sau")</f>
        <v>Trả sau</v>
      </c>
      <c r="I43" s="265" t="str">
        <f>IFERROR(__xludf.DUMMYFUNCTION("""COMPUTED_VALUE"""),"API")</f>
        <v>API</v>
      </c>
      <c r="J43" s="265" t="str">
        <f>IFERROR(__xludf.DUMMYFUNCTION("""COMPUTED_VALUE"""),"DungPL")</f>
        <v>DungPL</v>
      </c>
    </row>
    <row r="44">
      <c r="A44" s="265" t="str">
        <f>IFERROR(__xludf.DUMMYFUNCTION("""COMPUTED_VALUE"""),"361")</f>
        <v>361</v>
      </c>
      <c r="B44" s="265" t="str">
        <f>IFERROR(__xludf.DUMMYFUNCTION("""COMPUTED_VALUE"""),"Hà Nội")</f>
        <v>Hà Nội</v>
      </c>
      <c r="C44" s="265" t="str">
        <f>IFERROR(__xludf.DUMMYFUNCTION("""COMPUTED_VALUE"""),"Locked")</f>
        <v>Locked</v>
      </c>
      <c r="D44" s="265" t="str">
        <f>IFERROR(__xludf.DUMMYFUNCTION("""COMPUTED_VALUE"""),"Sale chưa cung cấp")</f>
        <v>Sale chưa cung cấp</v>
      </c>
      <c r="E44" s="265" t="str">
        <f>IFERROR(__xludf.DUMMYFUNCTION("""COMPUTED_VALUE"""),"(Chưa recheck)")</f>
        <v>(Chưa recheck)</v>
      </c>
      <c r="F44" s="265" t="str">
        <f>IFERROR(__xludf.DUMMYFUNCTION("""COMPUTED_VALUE"""),"Sale chưa cung cấp")</f>
        <v>Sale chưa cung cấp</v>
      </c>
      <c r="G44" s="265" t="str">
        <f>IFERROR(__xludf.DUMMYFUNCTION("""COMPUTED_VALUE"""),"Enterprise")</f>
        <v>Enterprise</v>
      </c>
      <c r="H44" s="265" t="str">
        <f>IFERROR(__xludf.DUMMYFUNCTION("""COMPUTED_VALUE"""),"(Chưa recheck)")</f>
        <v>(Chưa recheck)</v>
      </c>
      <c r="I44" s="265" t="str">
        <f>IFERROR(__xludf.DUMMYFUNCTION("""COMPUTED_VALUE"""),"(Chưa recheck)")</f>
        <v>(Chưa recheck)</v>
      </c>
      <c r="J44" s="265" t="str">
        <f>IFERROR(__xludf.DUMMYFUNCTION("""COMPUTED_VALUE"""),"AnhNM")</f>
        <v>AnhNM</v>
      </c>
    </row>
    <row r="45">
      <c r="A45" s="265" t="str">
        <f>IFERROR(__xludf.DUMMYFUNCTION("""COMPUTED_VALUE"""),"363")</f>
        <v>363</v>
      </c>
      <c r="B45" s="265" t="str">
        <f>IFERROR(__xludf.DUMMYFUNCTION("""COMPUTED_VALUE"""),"Hà Nội")</f>
        <v>Hà Nội</v>
      </c>
      <c r="C45" s="265" t="str">
        <f>IFERROR(__xludf.DUMMYFUNCTION("""COMPUTED_VALUE"""),"Locked")</f>
        <v>Locked</v>
      </c>
      <c r="D45" s="265" t="str">
        <f>IFERROR(__xludf.DUMMYFUNCTION("""COMPUTED_VALUE"""),"Sale chưa cung cấp")</f>
        <v>Sale chưa cung cấp</v>
      </c>
      <c r="E45" s="265" t="str">
        <f>IFERROR(__xludf.DUMMYFUNCTION("""COMPUTED_VALUE"""),"NamDT")</f>
        <v>NamDT</v>
      </c>
      <c r="F45" s="265" t="str">
        <f>IFERROR(__xludf.DUMMYFUNCTION("""COMPUTED_VALUE"""),"Bronze")</f>
        <v>Bronze</v>
      </c>
      <c r="G45" s="265" t="str">
        <f>IFERROR(__xludf.DUMMYFUNCTION("""COMPUTED_VALUE"""),"MSG")</f>
        <v>MSG</v>
      </c>
      <c r="H45" s="265" t="str">
        <f>IFERROR(__xludf.DUMMYFUNCTION("""COMPUTED_VALUE"""),"(Chưa recheck)")</f>
        <v>(Chưa recheck)</v>
      </c>
      <c r="I45" s="265" t="str">
        <f>IFERROR(__xludf.DUMMYFUNCTION("""COMPUTED_VALUE"""),"(Chưa recheck)")</f>
        <v>(Chưa recheck)</v>
      </c>
      <c r="J45" s="265" t="str">
        <f>IFERROR(__xludf.DUMMYFUNCTION("""COMPUTED_VALUE"""),"(Chưa recheck)")</f>
        <v>(Chưa recheck)</v>
      </c>
    </row>
    <row r="46">
      <c r="A46" s="265" t="str">
        <f>IFERROR(__xludf.DUMMYFUNCTION("""COMPUTED_VALUE"""),"364")</f>
        <v>364</v>
      </c>
      <c r="B46" s="265" t="str">
        <f>IFERROR(__xludf.DUMMYFUNCTION("""COMPUTED_VALUE"""),"Hà Nội")</f>
        <v>Hà Nội</v>
      </c>
      <c r="C46" s="265" t="str">
        <f>IFERROR(__xludf.DUMMYFUNCTION("""COMPUTED_VALUE"""),"Locked")</f>
        <v>Locked</v>
      </c>
      <c r="D46" s="265" t="str">
        <f>IFERROR(__xludf.DUMMYFUNCTION("""COMPUTED_VALUE"""),"Sale chưa cung cấp")</f>
        <v>Sale chưa cung cấp</v>
      </c>
      <c r="E46" s="265" t="str">
        <f>IFERROR(__xludf.DUMMYFUNCTION("""COMPUTED_VALUE"""),"(Chưa recheck)")</f>
        <v>(Chưa recheck)</v>
      </c>
      <c r="F46" s="265" t="str">
        <f>IFERROR(__xludf.DUMMYFUNCTION("""COMPUTED_VALUE"""),"Bronze")</f>
        <v>Bronze</v>
      </c>
      <c r="G46" s="265" t="str">
        <f>IFERROR(__xludf.DUMMYFUNCTION("""COMPUTED_VALUE"""),"API")</f>
        <v>API</v>
      </c>
      <c r="H46" s="265" t="str">
        <f>IFERROR(__xludf.DUMMYFUNCTION("""COMPUTED_VALUE"""),"(Chưa recheck)")</f>
        <v>(Chưa recheck)</v>
      </c>
      <c r="I46" s="265" t="str">
        <f>IFERROR(__xludf.DUMMYFUNCTION("""COMPUTED_VALUE"""),"(Chưa recheck)")</f>
        <v>(Chưa recheck)</v>
      </c>
      <c r="J46" s="265" t="str">
        <f>IFERROR(__xludf.DUMMYFUNCTION("""COMPUTED_VALUE"""),"(Chưa recheck)")</f>
        <v>(Chưa recheck)</v>
      </c>
    </row>
    <row r="47">
      <c r="A47" s="265" t="str">
        <f>IFERROR(__xludf.DUMMYFUNCTION("""COMPUTED_VALUE"""),"366")</f>
        <v>366</v>
      </c>
      <c r="B47" s="265" t="str">
        <f>IFERROR(__xludf.DUMMYFUNCTION("""COMPUTED_VALUE"""),"Hà Nội")</f>
        <v>Hà Nội</v>
      </c>
      <c r="C47" s="265" t="str">
        <f>IFERROR(__xludf.DUMMYFUNCTION("""COMPUTED_VALUE"""),"Locked")</f>
        <v>Locked</v>
      </c>
      <c r="D47" s="265" t="str">
        <f>IFERROR(__xludf.DUMMYFUNCTION("""COMPUTED_VALUE"""),"Sale chưa cung cấp")</f>
        <v>Sale chưa cung cấp</v>
      </c>
      <c r="E47" s="265" t="str">
        <f>IFERROR(__xludf.DUMMYFUNCTION("""COMPUTED_VALUE"""),"(Chưa recheck)")</f>
        <v>(Chưa recheck)</v>
      </c>
      <c r="F47" s="265" t="str">
        <f>IFERROR(__xludf.DUMMYFUNCTION("""COMPUTED_VALUE"""),"Sale chưa cung cấp")</f>
        <v>Sale chưa cung cấp</v>
      </c>
      <c r="G47" s="265" t="str">
        <f>IFERROR(__xludf.DUMMYFUNCTION("""COMPUTED_VALUE"""),"API")</f>
        <v>API</v>
      </c>
      <c r="H47" s="265" t="str">
        <f>IFERROR(__xludf.DUMMYFUNCTION("""COMPUTED_VALUE"""),"(Chưa recheck)")</f>
        <v>(Chưa recheck)</v>
      </c>
      <c r="I47" s="265" t="str">
        <f>IFERROR(__xludf.DUMMYFUNCTION("""COMPUTED_VALUE"""),"(Chưa recheck)")</f>
        <v>(Chưa recheck)</v>
      </c>
      <c r="J47" s="265" t="str">
        <f>IFERROR(__xludf.DUMMYFUNCTION("""COMPUTED_VALUE"""),"(Chưa recheck)")</f>
        <v>(Chưa recheck)</v>
      </c>
    </row>
    <row r="48">
      <c r="A48" s="265" t="str">
        <f>IFERROR(__xludf.DUMMYFUNCTION("""COMPUTED_VALUE"""),"367")</f>
        <v>367</v>
      </c>
      <c r="B48" s="265" t="str">
        <f>IFERROR(__xludf.DUMMYFUNCTION("""COMPUTED_VALUE"""),"Hà Nội")</f>
        <v>Hà Nội</v>
      </c>
      <c r="C48" s="265" t="str">
        <f>IFERROR(__xludf.DUMMYFUNCTION("""COMPUTED_VALUE"""),"Locked")</f>
        <v>Locked</v>
      </c>
      <c r="D48" s="265" t="str">
        <f>IFERROR(__xludf.DUMMYFUNCTION("""COMPUTED_VALUE"""),"Sale chưa cung cấp")</f>
        <v>Sale chưa cung cấp</v>
      </c>
      <c r="E48" s="265" t="str">
        <f>IFERROR(__xludf.DUMMYFUNCTION("""COMPUTED_VALUE"""),"AnhNM")</f>
        <v>AnhNM</v>
      </c>
      <c r="F48" s="265" t="str">
        <f>IFERROR(__xludf.DUMMYFUNCTION("""COMPUTED_VALUE"""),"Sale chưa cung cấp")</f>
        <v>Sale chưa cung cấp</v>
      </c>
      <c r="G48" s="265" t="str">
        <f>IFERROR(__xludf.DUMMYFUNCTION("""COMPUTED_VALUE"""),"API")</f>
        <v>API</v>
      </c>
      <c r="H48" s="265" t="str">
        <f>IFERROR(__xludf.DUMMYFUNCTION("""COMPUTED_VALUE"""),"Trả sau")</f>
        <v>Trả sau</v>
      </c>
      <c r="I48" s="265" t="str">
        <f>IFERROR(__xludf.DUMMYFUNCTION("""COMPUTED_VALUE"""),"API")</f>
        <v>API</v>
      </c>
      <c r="J48" s="265" t="str">
        <f>IFERROR(__xludf.DUMMYFUNCTION("""COMPUTED_VALUE"""),"LinhNTT1")</f>
        <v>LinhNTT1</v>
      </c>
    </row>
    <row r="49">
      <c r="A49" s="265" t="str">
        <f>IFERROR(__xludf.DUMMYFUNCTION("""COMPUTED_VALUE"""),"368")</f>
        <v>368</v>
      </c>
      <c r="B49" s="265" t="str">
        <f>IFERROR(__xludf.DUMMYFUNCTION("""COMPUTED_VALUE"""),"Hà Nội")</f>
        <v>Hà Nội</v>
      </c>
      <c r="C49" s="265" t="str">
        <f>IFERROR(__xludf.DUMMYFUNCTION("""COMPUTED_VALUE"""),"Locked")</f>
        <v>Locked</v>
      </c>
      <c r="D49" s="265" t="str">
        <f>IFERROR(__xludf.DUMMYFUNCTION("""COMPUTED_VALUE"""),"Sale chưa cung cấp")</f>
        <v>Sale chưa cung cấp</v>
      </c>
      <c r="E49" s="265" t="str">
        <f>IFERROR(__xludf.DUMMYFUNCTION("""COMPUTED_VALUE"""),"(Không recheck)")</f>
        <v>(Không recheck)</v>
      </c>
      <c r="F49" s="265" t="str">
        <f>IFERROR(__xludf.DUMMYFUNCTION("""COMPUTED_VALUE"""),"Sale chưa cung cấp")</f>
        <v>Sale chưa cung cấp</v>
      </c>
      <c r="G49" s="265" t="str">
        <f>IFERROR(__xludf.DUMMYFUNCTION("""COMPUTED_VALUE"""),"Enterprise")</f>
        <v>Enterprise</v>
      </c>
      <c r="H49" s="265" t="str">
        <f>IFERROR(__xludf.DUMMYFUNCTION("""COMPUTED_VALUE"""),"Trial")</f>
        <v>Trial</v>
      </c>
      <c r="I49" s="265" t="str">
        <f>IFERROR(__xludf.DUMMYFUNCTION("""COMPUTED_VALUE"""),"(Không recheck)")</f>
        <v>(Không recheck)</v>
      </c>
      <c r="J49" s="265" t="str">
        <f>IFERROR(__xludf.DUMMYFUNCTION("""COMPUTED_VALUE"""),"(Không recheck)")</f>
        <v>(Không recheck)</v>
      </c>
    </row>
    <row r="50">
      <c r="A50" s="265" t="str">
        <f>IFERROR(__xludf.DUMMYFUNCTION("""COMPUTED_VALUE"""),"369")</f>
        <v>369</v>
      </c>
      <c r="B50" s="265" t="str">
        <f>IFERROR(__xludf.DUMMYFUNCTION("""COMPUTED_VALUE"""),"Hà Nội")</f>
        <v>Hà Nội</v>
      </c>
      <c r="C50" s="265" t="str">
        <f>IFERROR(__xludf.DUMMYFUNCTION("""COMPUTED_VALUE"""),"Active")</f>
        <v>Active</v>
      </c>
      <c r="D50" s="265" t="str">
        <f>IFERROR(__xludf.DUMMYFUNCTION("""COMPUTED_VALUE"""),"Sale chưa cung cấp")</f>
        <v>Sale chưa cung cấp</v>
      </c>
      <c r="E50" s="265" t="str">
        <f>IFERROR(__xludf.DUMMYFUNCTION("""COMPUTED_VALUE"""),"TuPHN")</f>
        <v>TuPHN</v>
      </c>
      <c r="F50" s="265" t="str">
        <f>IFERROR(__xludf.DUMMYFUNCTION("""COMPUTED_VALUE"""),"Gold")</f>
        <v>Gold</v>
      </c>
      <c r="G50" s="265" t="str">
        <f>IFERROR(__xludf.DUMMYFUNCTION("""COMPUTED_VALUE"""),"Starter")</f>
        <v>Starter</v>
      </c>
      <c r="H50" s="265" t="str">
        <f>IFERROR(__xludf.DUMMYFUNCTION("""COMPUTED_VALUE"""),"Trả sau")</f>
        <v>Trả sau</v>
      </c>
      <c r="I50" s="265" t="str">
        <f>IFERROR(__xludf.DUMMYFUNCTION("""COMPUTED_VALUE"""),"API")</f>
        <v>API</v>
      </c>
      <c r="J50" s="265" t="str">
        <f>IFERROR(__xludf.DUMMYFUNCTION("""COMPUTED_VALUE"""),"DungPL")</f>
        <v>DungPL</v>
      </c>
    </row>
    <row r="51">
      <c r="A51" s="265" t="str">
        <f>IFERROR(__xludf.DUMMYFUNCTION("""COMPUTED_VALUE"""),"370")</f>
        <v>370</v>
      </c>
      <c r="B51" s="265" t="str">
        <f>IFERROR(__xludf.DUMMYFUNCTION("""COMPUTED_VALUE"""),"Hà Nội")</f>
        <v>Hà Nội</v>
      </c>
      <c r="C51" s="265" t="str">
        <f>IFERROR(__xludf.DUMMYFUNCTION("""COMPUTED_VALUE"""),"Locked")</f>
        <v>Locked</v>
      </c>
      <c r="D51" s="265" t="str">
        <f>IFERROR(__xludf.DUMMYFUNCTION("""COMPUTED_VALUE"""),"Sale chưa cung cấp")</f>
        <v>Sale chưa cung cấp</v>
      </c>
      <c r="E51" s="265" t="str">
        <f>IFERROR(__xludf.DUMMYFUNCTION("""COMPUTED_VALUE"""),"(Chưa recheck)")</f>
        <v>(Chưa recheck)</v>
      </c>
      <c r="F51" s="265" t="str">
        <f>IFERROR(__xludf.DUMMYFUNCTION("""COMPUTED_VALUE"""),"Sale chưa cung cấp")</f>
        <v>Sale chưa cung cấp</v>
      </c>
      <c r="G51" s="265" t="str">
        <f>IFERROR(__xludf.DUMMYFUNCTION("""COMPUTED_VALUE"""),"Enterprise")</f>
        <v>Enterprise</v>
      </c>
      <c r="H51" s="265" t="str">
        <f>IFERROR(__xludf.DUMMYFUNCTION("""COMPUTED_VALUE"""),"(Chưa recheck)")</f>
        <v>(Chưa recheck)</v>
      </c>
      <c r="I51" s="265" t="str">
        <f>IFERROR(__xludf.DUMMYFUNCTION("""COMPUTED_VALUE"""),"(Chưa recheck)")</f>
        <v>(Chưa recheck)</v>
      </c>
      <c r="J51" s="265" t="str">
        <f>IFERROR(__xludf.DUMMYFUNCTION("""COMPUTED_VALUE"""),"(Chưa recheck)")</f>
        <v>(Chưa recheck)</v>
      </c>
    </row>
    <row r="52">
      <c r="A52" s="265" t="str">
        <f>IFERROR(__xludf.DUMMYFUNCTION("""COMPUTED_VALUE"""),"372")</f>
        <v>372</v>
      </c>
      <c r="B52" s="265" t="str">
        <f>IFERROR(__xludf.DUMMYFUNCTION("""COMPUTED_VALUE"""),"Hà Nội")</f>
        <v>Hà Nội</v>
      </c>
      <c r="C52" s="265" t="str">
        <f>IFERROR(__xludf.DUMMYFUNCTION("""COMPUTED_VALUE"""),"Locked")</f>
        <v>Locked</v>
      </c>
      <c r="D52" s="265" t="str">
        <f>IFERROR(__xludf.DUMMYFUNCTION("""COMPUTED_VALUE"""),"Sale chưa cung cấp")</f>
        <v>Sale chưa cung cấp</v>
      </c>
      <c r="E52" s="265" t="str">
        <f>IFERROR(__xludf.DUMMYFUNCTION("""COMPUTED_VALUE"""),"(Không recheck)")</f>
        <v>(Không recheck)</v>
      </c>
      <c r="F52" s="265" t="str">
        <f>IFERROR(__xludf.DUMMYFUNCTION("""COMPUTED_VALUE"""),"Sale chưa cung cấp")</f>
        <v>Sale chưa cung cấp</v>
      </c>
      <c r="G52" s="265" t="str">
        <f>IFERROR(__xludf.DUMMYFUNCTION("""COMPUTED_VALUE"""),"Enterprise")</f>
        <v>Enterprise</v>
      </c>
      <c r="H52" s="265" t="str">
        <f>IFERROR(__xludf.DUMMYFUNCTION("""COMPUTED_VALUE"""),"Trial")</f>
        <v>Trial</v>
      </c>
      <c r="I52" s="265" t="str">
        <f>IFERROR(__xludf.DUMMYFUNCTION("""COMPUTED_VALUE"""),"(Không recheck)")</f>
        <v>(Không recheck)</v>
      </c>
      <c r="J52" s="265" t="str">
        <f>IFERROR(__xludf.DUMMYFUNCTION("""COMPUTED_VALUE"""),"(Không recheck)")</f>
        <v>(Không recheck)</v>
      </c>
    </row>
    <row r="53">
      <c r="A53" s="265" t="str">
        <f>IFERROR(__xludf.DUMMYFUNCTION("""COMPUTED_VALUE"""),"373")</f>
        <v>373</v>
      </c>
      <c r="B53" s="265" t="str">
        <f>IFERROR(__xludf.DUMMYFUNCTION("""COMPUTED_VALUE"""),"Hà Nội")</f>
        <v>Hà Nội</v>
      </c>
      <c r="C53" s="265" t="str">
        <f>IFERROR(__xludf.DUMMYFUNCTION("""COMPUTED_VALUE"""),"Locked")</f>
        <v>Locked</v>
      </c>
      <c r="D53" s="265" t="str">
        <f>IFERROR(__xludf.DUMMYFUNCTION("""COMPUTED_VALUE"""),"Sale chưa cung cấp")</f>
        <v>Sale chưa cung cấp</v>
      </c>
      <c r="E53" s="265" t="str">
        <f>IFERROR(__xludf.DUMMYFUNCTION("""COMPUTED_VALUE"""),"(Không recheck)")</f>
        <v>(Không recheck)</v>
      </c>
      <c r="F53" s="265" t="str">
        <f>IFERROR(__xludf.DUMMYFUNCTION("""COMPUTED_VALUE"""),"Sale chưa cung cấp")</f>
        <v>Sale chưa cung cấp</v>
      </c>
      <c r="G53" s="265" t="str">
        <f>IFERROR(__xludf.DUMMYFUNCTION("""COMPUTED_VALUE"""),"Enterprise")</f>
        <v>Enterprise</v>
      </c>
      <c r="H53" s="265" t="str">
        <f>IFERROR(__xludf.DUMMYFUNCTION("""COMPUTED_VALUE"""),"Trial")</f>
        <v>Trial</v>
      </c>
      <c r="I53" s="265" t="str">
        <f>IFERROR(__xludf.DUMMYFUNCTION("""COMPUTED_VALUE"""),"(Không recheck)")</f>
        <v>(Không recheck)</v>
      </c>
      <c r="J53" s="265" t="str">
        <f>IFERROR(__xludf.DUMMYFUNCTION("""COMPUTED_VALUE"""),"(Không recheck)")</f>
        <v>(Không recheck)</v>
      </c>
    </row>
    <row r="54">
      <c r="A54" s="265" t="str">
        <f>IFERROR(__xludf.DUMMYFUNCTION("""COMPUTED_VALUE"""),"375")</f>
        <v>375</v>
      </c>
      <c r="B54" s="265" t="str">
        <f>IFERROR(__xludf.DUMMYFUNCTION("""COMPUTED_VALUE"""),"Hà Nội")</f>
        <v>Hà Nội</v>
      </c>
      <c r="C54" s="265" t="str">
        <f>IFERROR(__xludf.DUMMYFUNCTION("""COMPUTED_VALUE"""),"Locked")</f>
        <v>Locked</v>
      </c>
      <c r="D54" s="265" t="str">
        <f>IFERROR(__xludf.DUMMYFUNCTION("""COMPUTED_VALUE"""),"Sale chưa cung cấp")</f>
        <v>Sale chưa cung cấp</v>
      </c>
      <c r="E54" s="265" t="str">
        <f>IFERROR(__xludf.DUMMYFUNCTION("""COMPUTED_VALUE"""),"(Không recheck)")</f>
        <v>(Không recheck)</v>
      </c>
      <c r="F54" s="265" t="str">
        <f>IFERROR(__xludf.DUMMYFUNCTION("""COMPUTED_VALUE"""),"Sale chưa cung cấp")</f>
        <v>Sale chưa cung cấp</v>
      </c>
      <c r="G54" s="265" t="str">
        <f>IFERROR(__xludf.DUMMYFUNCTION("""COMPUTED_VALUE"""),"Enterprise")</f>
        <v>Enterprise</v>
      </c>
      <c r="H54" s="265" t="str">
        <f>IFERROR(__xludf.DUMMYFUNCTION("""COMPUTED_VALUE"""),"Trial")</f>
        <v>Trial</v>
      </c>
      <c r="I54" s="265" t="str">
        <f>IFERROR(__xludf.DUMMYFUNCTION("""COMPUTED_VALUE"""),"(Không recheck)")</f>
        <v>(Không recheck)</v>
      </c>
      <c r="J54" s="265" t="str">
        <f>IFERROR(__xludf.DUMMYFUNCTION("""COMPUTED_VALUE"""),"(Không recheck)")</f>
        <v>(Không recheck)</v>
      </c>
    </row>
    <row r="55">
      <c r="A55" s="265" t="str">
        <f>IFERROR(__xludf.DUMMYFUNCTION("""COMPUTED_VALUE"""),"374")</f>
        <v>374</v>
      </c>
      <c r="B55" s="265" t="str">
        <f>IFERROR(__xludf.DUMMYFUNCTION("""COMPUTED_VALUE"""),"Sài Gòn")</f>
        <v>Sài Gòn</v>
      </c>
      <c r="C55" s="265" t="str">
        <f>IFERROR(__xludf.DUMMYFUNCTION("""COMPUTED_VALUE"""),"Locked")</f>
        <v>Locked</v>
      </c>
      <c r="D55" s="265" t="str">
        <f>IFERROR(__xludf.DUMMYFUNCTION("""COMPUTED_VALUE"""),"Sale chưa cung cấp")</f>
        <v>Sale chưa cung cấp</v>
      </c>
      <c r="E55" s="265" t="str">
        <f>IFERROR(__xludf.DUMMYFUNCTION("""COMPUTED_VALUE"""),"NamDT")</f>
        <v>NamDT</v>
      </c>
      <c r="F55" s="265" t="str">
        <f>IFERROR(__xludf.DUMMYFUNCTION("""COMPUTED_VALUE"""),"Sale chưa cung cấp")</f>
        <v>Sale chưa cung cấp</v>
      </c>
      <c r="G55" s="265" t="str">
        <f>IFERROR(__xludf.DUMMYFUNCTION("""COMPUTED_VALUE"""),"Enterprise")</f>
        <v>Enterprise</v>
      </c>
      <c r="H55" s="265" t="str">
        <f>IFERROR(__xludf.DUMMYFUNCTION("""COMPUTED_VALUE"""),"(Chưa recheck)")</f>
        <v>(Chưa recheck)</v>
      </c>
      <c r="I55" s="265" t="str">
        <f>IFERROR(__xludf.DUMMYFUNCTION("""COMPUTED_VALUE"""),"(Chưa recheck)")</f>
        <v>(Chưa recheck)</v>
      </c>
      <c r="J55" s="265" t="str">
        <f>IFERROR(__xludf.DUMMYFUNCTION("""COMPUTED_VALUE"""),"(Chưa recheck)")</f>
        <v>(Chưa recheck)</v>
      </c>
    </row>
    <row r="56">
      <c r="A56" s="265" t="str">
        <f>IFERROR(__xludf.DUMMYFUNCTION("""COMPUTED_VALUE"""),"376")</f>
        <v>376</v>
      </c>
      <c r="B56" s="265" t="str">
        <f>IFERROR(__xludf.DUMMYFUNCTION("""COMPUTED_VALUE"""),"Hà Nội")</f>
        <v>Hà Nội</v>
      </c>
      <c r="C56" s="265" t="str">
        <f>IFERROR(__xludf.DUMMYFUNCTION("""COMPUTED_VALUE"""),"Locked")</f>
        <v>Locked</v>
      </c>
      <c r="D56" s="265" t="str">
        <f>IFERROR(__xludf.DUMMYFUNCTION("""COMPUTED_VALUE"""),"Sale chưa cung cấp")</f>
        <v>Sale chưa cung cấp</v>
      </c>
      <c r="E56" s="265" t="str">
        <f>IFERROR(__xludf.DUMMYFUNCTION("""COMPUTED_VALUE"""),"(Không recheck)")</f>
        <v>(Không recheck)</v>
      </c>
      <c r="F56" s="265" t="str">
        <f>IFERROR(__xludf.DUMMYFUNCTION("""COMPUTED_VALUE"""),"Sale chưa cung cấp")</f>
        <v>Sale chưa cung cấp</v>
      </c>
      <c r="G56" s="265" t="str">
        <f>IFERROR(__xludf.DUMMYFUNCTION("""COMPUTED_VALUE"""),"Enterprise")</f>
        <v>Enterprise</v>
      </c>
      <c r="H56" s="265" t="str">
        <f>IFERROR(__xludf.DUMMYFUNCTION("""COMPUTED_VALUE"""),"Trial")</f>
        <v>Trial</v>
      </c>
      <c r="I56" s="265" t="str">
        <f>IFERROR(__xludf.DUMMYFUNCTION("""COMPUTED_VALUE"""),"(Không recheck)")</f>
        <v>(Không recheck)</v>
      </c>
      <c r="J56" s="265" t="str">
        <f>IFERROR(__xludf.DUMMYFUNCTION("""COMPUTED_VALUE"""),"(Không recheck)")</f>
        <v>(Không recheck)</v>
      </c>
    </row>
    <row r="57">
      <c r="A57" s="265" t="str">
        <f>IFERROR(__xludf.DUMMYFUNCTION("""COMPUTED_VALUE"""),"377")</f>
        <v>377</v>
      </c>
      <c r="B57" s="265" t="str">
        <f>IFERROR(__xludf.DUMMYFUNCTION("""COMPUTED_VALUE"""),"Hà Nội")</f>
        <v>Hà Nội</v>
      </c>
      <c r="C57" s="265" t="str">
        <f>IFERROR(__xludf.DUMMYFUNCTION("""COMPUTED_VALUE"""),"Locked")</f>
        <v>Locked</v>
      </c>
      <c r="D57" s="265" t="str">
        <f>IFERROR(__xludf.DUMMYFUNCTION("""COMPUTED_VALUE"""),"Sale chưa cung cấp")</f>
        <v>Sale chưa cung cấp</v>
      </c>
      <c r="E57" s="265" t="str">
        <f>IFERROR(__xludf.DUMMYFUNCTION("""COMPUTED_VALUE"""),"(Không recheck)")</f>
        <v>(Không recheck)</v>
      </c>
      <c r="F57" s="265" t="str">
        <f>IFERROR(__xludf.DUMMYFUNCTION("""COMPUTED_VALUE"""),"Sale chưa cung cấp")</f>
        <v>Sale chưa cung cấp</v>
      </c>
      <c r="G57" s="265" t="str">
        <f>IFERROR(__xludf.DUMMYFUNCTION("""COMPUTED_VALUE"""),"API")</f>
        <v>API</v>
      </c>
      <c r="H57" s="265" t="str">
        <f>IFERROR(__xludf.DUMMYFUNCTION("""COMPUTED_VALUE"""),"Trial")</f>
        <v>Trial</v>
      </c>
      <c r="I57" s="265" t="str">
        <f>IFERROR(__xludf.DUMMYFUNCTION("""COMPUTED_VALUE"""),"(Không recheck)")</f>
        <v>(Không recheck)</v>
      </c>
      <c r="J57" s="265" t="str">
        <f>IFERROR(__xludf.DUMMYFUNCTION("""COMPUTED_VALUE"""),"(Không recheck)")</f>
        <v>(Không recheck)</v>
      </c>
    </row>
    <row r="58">
      <c r="A58" s="265" t="str">
        <f>IFERROR(__xludf.DUMMYFUNCTION("""COMPUTED_VALUE"""),"378")</f>
        <v>378</v>
      </c>
      <c r="B58" s="265" t="str">
        <f>IFERROR(__xludf.DUMMYFUNCTION("""COMPUTED_VALUE"""),"Hà Nội")</f>
        <v>Hà Nội</v>
      </c>
      <c r="C58" s="265" t="str">
        <f>IFERROR(__xludf.DUMMYFUNCTION("""COMPUTED_VALUE"""),"Locked")</f>
        <v>Locked</v>
      </c>
      <c r="D58" s="265" t="str">
        <f>IFERROR(__xludf.DUMMYFUNCTION("""COMPUTED_VALUE"""),"Sale chưa cung cấp")</f>
        <v>Sale chưa cung cấp</v>
      </c>
      <c r="E58" s="265" t="str">
        <f>IFERROR(__xludf.DUMMYFUNCTION("""COMPUTED_VALUE"""),"(Không recheck)")</f>
        <v>(Không recheck)</v>
      </c>
      <c r="F58" s="265" t="str">
        <f>IFERROR(__xludf.DUMMYFUNCTION("""COMPUTED_VALUE"""),"Sale chưa cung cấp")</f>
        <v>Sale chưa cung cấp</v>
      </c>
      <c r="G58" s="265" t="str">
        <f>IFERROR(__xludf.DUMMYFUNCTION("""COMPUTED_VALUE"""),"MSG")</f>
        <v>MSG</v>
      </c>
      <c r="H58" s="265" t="str">
        <f>IFERROR(__xludf.DUMMYFUNCTION("""COMPUTED_VALUE"""),"Trial")</f>
        <v>Trial</v>
      </c>
      <c r="I58" s="265" t="str">
        <f>IFERROR(__xludf.DUMMYFUNCTION("""COMPUTED_VALUE"""),"(Không recheck)")</f>
        <v>(Không recheck)</v>
      </c>
      <c r="J58" s="265" t="str">
        <f>IFERROR(__xludf.DUMMYFUNCTION("""COMPUTED_VALUE"""),"(Không recheck)")</f>
        <v>(Không recheck)</v>
      </c>
    </row>
    <row r="59">
      <c r="A59" s="265" t="str">
        <f>IFERROR(__xludf.DUMMYFUNCTION("""COMPUTED_VALUE"""),"379")</f>
        <v>379</v>
      </c>
      <c r="B59" s="265" t="str">
        <f>IFERROR(__xludf.DUMMYFUNCTION("""COMPUTED_VALUE"""),"Hà Nội")</f>
        <v>Hà Nội</v>
      </c>
      <c r="C59" s="265" t="str">
        <f>IFERROR(__xludf.DUMMYFUNCTION("""COMPUTED_VALUE"""),"Locked")</f>
        <v>Locked</v>
      </c>
      <c r="D59" s="265" t="str">
        <f>IFERROR(__xludf.DUMMYFUNCTION("""COMPUTED_VALUE"""),"Sale chưa cung cấp")</f>
        <v>Sale chưa cung cấp</v>
      </c>
      <c r="E59" s="265" t="str">
        <f>IFERROR(__xludf.DUMMYFUNCTION("""COMPUTED_VALUE"""),"(Không recheck)")</f>
        <v>(Không recheck)</v>
      </c>
      <c r="F59" s="265" t="str">
        <f>IFERROR(__xludf.DUMMYFUNCTION("""COMPUTED_VALUE"""),"Sale chưa cung cấp")</f>
        <v>Sale chưa cung cấp</v>
      </c>
      <c r="G59" s="265" t="str">
        <f>IFERROR(__xludf.DUMMYFUNCTION("""COMPUTED_VALUE"""),"Enterprise")</f>
        <v>Enterprise</v>
      </c>
      <c r="H59" s="265" t="str">
        <f>IFERROR(__xludf.DUMMYFUNCTION("""COMPUTED_VALUE"""),"Trial")</f>
        <v>Trial</v>
      </c>
      <c r="I59" s="265" t="str">
        <f>IFERROR(__xludf.DUMMYFUNCTION("""COMPUTED_VALUE"""),"(Không recheck)")</f>
        <v>(Không recheck)</v>
      </c>
      <c r="J59" s="265" t="str">
        <f>IFERROR(__xludf.DUMMYFUNCTION("""COMPUTED_VALUE"""),"(Không recheck)")</f>
        <v>(Không recheck)</v>
      </c>
    </row>
    <row r="60">
      <c r="A60" s="265" t="str">
        <f>IFERROR(__xludf.DUMMYFUNCTION("""COMPUTED_VALUE"""),"380")</f>
        <v>380</v>
      </c>
      <c r="B60" s="265" t="str">
        <f>IFERROR(__xludf.DUMMYFUNCTION("""COMPUTED_VALUE"""),"Hà Nội")</f>
        <v>Hà Nội</v>
      </c>
      <c r="C60" s="265" t="str">
        <f>IFERROR(__xludf.DUMMYFUNCTION("""COMPUTED_VALUE"""),"Locked")</f>
        <v>Locked</v>
      </c>
      <c r="D60" s="265" t="str">
        <f>IFERROR(__xludf.DUMMYFUNCTION("""COMPUTED_VALUE"""),"Sale chưa cung cấp")</f>
        <v>Sale chưa cung cấp</v>
      </c>
      <c r="E60" s="265" t="str">
        <f>IFERROR(__xludf.DUMMYFUNCTION("""COMPUTED_VALUE"""),"(Chưa recheck)")</f>
        <v>(Chưa recheck)</v>
      </c>
      <c r="F60" s="265" t="str">
        <f>IFERROR(__xludf.DUMMYFUNCTION("""COMPUTED_VALUE"""),"Sale chưa cung cấp")</f>
        <v>Sale chưa cung cấp</v>
      </c>
      <c r="G60" s="265" t="str">
        <f>IFERROR(__xludf.DUMMYFUNCTION("""COMPUTED_VALUE"""),"API")</f>
        <v>API</v>
      </c>
      <c r="H60" s="265" t="str">
        <f>IFERROR(__xludf.DUMMYFUNCTION("""COMPUTED_VALUE"""),"(Chưa recheck)")</f>
        <v>(Chưa recheck)</v>
      </c>
      <c r="I60" s="265" t="str">
        <f>IFERROR(__xludf.DUMMYFUNCTION("""COMPUTED_VALUE"""),"(Chưa recheck)")</f>
        <v>(Chưa recheck)</v>
      </c>
      <c r="J60" s="265" t="str">
        <f>IFERROR(__xludf.DUMMYFUNCTION("""COMPUTED_VALUE"""),"(Chưa recheck)")</f>
        <v>(Chưa recheck)</v>
      </c>
    </row>
    <row r="61">
      <c r="A61" s="265" t="str">
        <f>IFERROR(__xludf.DUMMYFUNCTION("""COMPUTED_VALUE"""),"383")</f>
        <v>383</v>
      </c>
      <c r="B61" s="265" t="str">
        <f>IFERROR(__xludf.DUMMYFUNCTION("""COMPUTED_VALUE"""),"Hà Nội")</f>
        <v>Hà Nội</v>
      </c>
      <c r="C61" s="265" t="str">
        <f>IFERROR(__xludf.DUMMYFUNCTION("""COMPUTED_VALUE"""),"Locked")</f>
        <v>Locked</v>
      </c>
      <c r="D61" s="265" t="str">
        <f>IFERROR(__xludf.DUMMYFUNCTION("""COMPUTED_VALUE"""),"Sale chưa cung cấp")</f>
        <v>Sale chưa cung cấp</v>
      </c>
      <c r="E61" s="265" t="str">
        <f>IFERROR(__xludf.DUMMYFUNCTION("""COMPUTED_VALUE"""),"HangNT")</f>
        <v>HangNT</v>
      </c>
      <c r="F61" s="265" t="str">
        <f>IFERROR(__xludf.DUMMYFUNCTION("""COMPUTED_VALUE"""),"Sale chưa cung cấp")</f>
        <v>Sale chưa cung cấp</v>
      </c>
      <c r="G61" s="265" t="str">
        <f>IFERROR(__xludf.DUMMYFUNCTION("""COMPUTED_VALUE"""),"API")</f>
        <v>API</v>
      </c>
      <c r="H61" s="265" t="str">
        <f>IFERROR(__xludf.DUMMYFUNCTION("""COMPUTED_VALUE"""),"Trả sau")</f>
        <v>Trả sau</v>
      </c>
      <c r="I61" s="265" t="str">
        <f>IFERROR(__xludf.DUMMYFUNCTION("""COMPUTED_VALUE"""),"(Chưa recheck)")</f>
        <v>(Chưa recheck)</v>
      </c>
      <c r="J61" s="265" t="str">
        <f>IFERROR(__xludf.DUMMYFUNCTION("""COMPUTED_VALUE"""),"(Chưa recheck)")</f>
        <v>(Chưa recheck)</v>
      </c>
    </row>
    <row r="62">
      <c r="A62" s="265" t="str">
        <f>IFERROR(__xludf.DUMMYFUNCTION("""COMPUTED_VALUE"""),"384")</f>
        <v>384</v>
      </c>
      <c r="B62" s="265" t="str">
        <f>IFERROR(__xludf.DUMMYFUNCTION("""COMPUTED_VALUE"""),"Hà Nội")</f>
        <v>Hà Nội</v>
      </c>
      <c r="C62" s="265" t="str">
        <f>IFERROR(__xludf.DUMMYFUNCTION("""COMPUTED_VALUE"""),"Locked")</f>
        <v>Locked</v>
      </c>
      <c r="D62" s="265" t="str">
        <f>IFERROR(__xludf.DUMMYFUNCTION("""COMPUTED_VALUE"""),"Sale chưa cung cấp")</f>
        <v>Sale chưa cung cấp</v>
      </c>
      <c r="E62" s="265" t="str">
        <f>IFERROR(__xludf.DUMMYFUNCTION("""COMPUTED_VALUE"""),"(Chưa recheck)")</f>
        <v>(Chưa recheck)</v>
      </c>
      <c r="F62" s="265" t="str">
        <f>IFERROR(__xludf.DUMMYFUNCTION("""COMPUTED_VALUE"""),"Sale chưa cung cấp")</f>
        <v>Sale chưa cung cấp</v>
      </c>
      <c r="G62" s="265" t="str">
        <f>IFERROR(__xludf.DUMMYFUNCTION("""COMPUTED_VALUE"""),"MSG")</f>
        <v>MSG</v>
      </c>
      <c r="H62" s="265" t="str">
        <f>IFERROR(__xludf.DUMMYFUNCTION("""COMPUTED_VALUE"""),"(Chưa recheck)")</f>
        <v>(Chưa recheck)</v>
      </c>
      <c r="I62" s="265" t="str">
        <f>IFERROR(__xludf.DUMMYFUNCTION("""COMPUTED_VALUE"""),"(Chưa recheck)")</f>
        <v>(Chưa recheck)</v>
      </c>
      <c r="J62" s="265" t="str">
        <f>IFERROR(__xludf.DUMMYFUNCTION("""COMPUTED_VALUE"""),"(Chưa recheck)")</f>
        <v>(Chưa recheck)</v>
      </c>
    </row>
    <row r="63">
      <c r="A63" s="265" t="str">
        <f>IFERROR(__xludf.DUMMYFUNCTION("""COMPUTED_VALUE"""),"386")</f>
        <v>386</v>
      </c>
      <c r="B63" s="265" t="str">
        <f>IFERROR(__xludf.DUMMYFUNCTION("""COMPUTED_VALUE"""),"Hà Nội")</f>
        <v>Hà Nội</v>
      </c>
      <c r="C63" s="265" t="str">
        <f>IFERROR(__xludf.DUMMYFUNCTION("""COMPUTED_VALUE"""),"Locked")</f>
        <v>Locked</v>
      </c>
      <c r="D63" s="265" t="str">
        <f>IFERROR(__xludf.DUMMYFUNCTION("""COMPUTED_VALUE"""),"Sale chưa cung cấp")</f>
        <v>Sale chưa cung cấp</v>
      </c>
      <c r="E63" s="265" t="str">
        <f>IFERROR(__xludf.DUMMYFUNCTION("""COMPUTED_VALUE"""),"(Không recheck)")</f>
        <v>(Không recheck)</v>
      </c>
      <c r="F63" s="265" t="str">
        <f>IFERROR(__xludf.DUMMYFUNCTION("""COMPUTED_VALUE"""),"Sale chưa cung cấp")</f>
        <v>Sale chưa cung cấp</v>
      </c>
      <c r="G63" s="265" t="str">
        <f>IFERROR(__xludf.DUMMYFUNCTION("""COMPUTED_VALUE"""),"Enterprise")</f>
        <v>Enterprise</v>
      </c>
      <c r="H63" s="265" t="str">
        <f>IFERROR(__xludf.DUMMYFUNCTION("""COMPUTED_VALUE"""),"Trial")</f>
        <v>Trial</v>
      </c>
      <c r="I63" s="265" t="str">
        <f>IFERROR(__xludf.DUMMYFUNCTION("""COMPUTED_VALUE"""),"(Không recheck)")</f>
        <v>(Không recheck)</v>
      </c>
      <c r="J63" s="265" t="str">
        <f>IFERROR(__xludf.DUMMYFUNCTION("""COMPUTED_VALUE"""),"(Không recheck)")</f>
        <v>(Không recheck)</v>
      </c>
    </row>
    <row r="64">
      <c r="A64" s="265" t="str">
        <f>IFERROR(__xludf.DUMMYFUNCTION("""COMPUTED_VALUE"""),"387")</f>
        <v>387</v>
      </c>
      <c r="B64" s="265" t="str">
        <f>IFERROR(__xludf.DUMMYFUNCTION("""COMPUTED_VALUE"""),"Hà Nội")</f>
        <v>Hà Nội</v>
      </c>
      <c r="C64" s="265" t="str">
        <f>IFERROR(__xludf.DUMMYFUNCTION("""COMPUTED_VALUE"""),"Locked")</f>
        <v>Locked</v>
      </c>
      <c r="D64" s="265" t="str">
        <f>IFERROR(__xludf.DUMMYFUNCTION("""COMPUTED_VALUE"""),"Sale chưa cung cấp")</f>
        <v>Sale chưa cung cấp</v>
      </c>
      <c r="E64" s="265" t="str">
        <f>IFERROR(__xludf.DUMMYFUNCTION("""COMPUTED_VALUE"""),"(Không recheck)")</f>
        <v>(Không recheck)</v>
      </c>
      <c r="F64" s="265" t="str">
        <f>IFERROR(__xludf.DUMMYFUNCTION("""COMPUTED_VALUE"""),"Sale chưa cung cấp")</f>
        <v>Sale chưa cung cấp</v>
      </c>
      <c r="G64" s="265" t="str">
        <f>IFERROR(__xludf.DUMMYFUNCTION("""COMPUTED_VALUE"""),"Enterprise")</f>
        <v>Enterprise</v>
      </c>
      <c r="H64" s="265" t="str">
        <f>IFERROR(__xludf.DUMMYFUNCTION("""COMPUTED_VALUE"""),"Trial")</f>
        <v>Trial</v>
      </c>
      <c r="I64" s="265" t="str">
        <f>IFERROR(__xludf.DUMMYFUNCTION("""COMPUTED_VALUE"""),"(Không recheck)")</f>
        <v>(Không recheck)</v>
      </c>
      <c r="J64" s="265" t="str">
        <f>IFERROR(__xludf.DUMMYFUNCTION("""COMPUTED_VALUE"""),"(Không recheck)")</f>
        <v>(Không recheck)</v>
      </c>
    </row>
    <row r="65">
      <c r="A65" s="265" t="str">
        <f>IFERROR(__xludf.DUMMYFUNCTION("""COMPUTED_VALUE"""),"388")</f>
        <v>388</v>
      </c>
      <c r="B65" s="265" t="str">
        <f>IFERROR(__xludf.DUMMYFUNCTION("""COMPUTED_VALUE"""),"Hà Nội")</f>
        <v>Hà Nội</v>
      </c>
      <c r="C65" s="265" t="str">
        <f>IFERROR(__xludf.DUMMYFUNCTION("""COMPUTED_VALUE"""),"Active")</f>
        <v>Active</v>
      </c>
      <c r="D65" s="265" t="str">
        <f>IFERROR(__xludf.DUMMYFUNCTION("""COMPUTED_VALUE"""),"Sale chưa cung cấp")</f>
        <v>Sale chưa cung cấp</v>
      </c>
      <c r="E65" s="265" t="str">
        <f>IFERROR(__xludf.DUMMYFUNCTION("""COMPUTED_VALUE"""),"TúPHN")</f>
        <v>TúPHN</v>
      </c>
      <c r="F65" s="265" t="str">
        <f>IFERROR(__xludf.DUMMYFUNCTION("""COMPUTED_VALUE"""),"Bronze")</f>
        <v>Bronze</v>
      </c>
      <c r="G65" s="265" t="str">
        <f>IFERROR(__xludf.DUMMYFUNCTION("""COMPUTED_VALUE"""),"Standard")</f>
        <v>Standard</v>
      </c>
      <c r="H65" s="265" t="str">
        <f>IFERROR(__xludf.DUMMYFUNCTION("""COMPUTED_VALUE"""),"Trả trước")</f>
        <v>Trả trước</v>
      </c>
      <c r="I65" s="265" t="str">
        <f>IFERROR(__xludf.DUMMYFUNCTION("""COMPUTED_VALUE"""),"API")</f>
        <v>API</v>
      </c>
      <c r="J65" s="265" t="str">
        <f>IFERROR(__xludf.DUMMYFUNCTION("""COMPUTED_VALUE"""),"DungPL")</f>
        <v>DungPL</v>
      </c>
    </row>
    <row r="66">
      <c r="A66" s="265" t="str">
        <f>IFERROR(__xludf.DUMMYFUNCTION("""COMPUTED_VALUE"""),"385")</f>
        <v>385</v>
      </c>
      <c r="B66" s="265" t="str">
        <f>IFERROR(__xludf.DUMMYFUNCTION("""COMPUTED_VALUE"""),"Sài Gòn")</f>
        <v>Sài Gòn</v>
      </c>
      <c r="C66" s="265" t="str">
        <f>IFERROR(__xludf.DUMMYFUNCTION("""COMPUTED_VALUE"""),"Locked")</f>
        <v>Locked</v>
      </c>
      <c r="D66" s="265" t="str">
        <f>IFERROR(__xludf.DUMMYFUNCTION("""COMPUTED_VALUE"""),"Sale chưa cung cấp")</f>
        <v>Sale chưa cung cấp</v>
      </c>
      <c r="E66" s="265" t="str">
        <f>IFERROR(__xludf.DUMMYFUNCTION("""COMPUTED_VALUE"""),"PhươngDTB")</f>
        <v>PhươngDTB</v>
      </c>
      <c r="F66" s="265" t="str">
        <f>IFERROR(__xludf.DUMMYFUNCTION("""COMPUTED_VALUE"""),"Silver")</f>
        <v>Silver</v>
      </c>
      <c r="G66" s="265" t="str">
        <f>IFERROR(__xludf.DUMMYFUNCTION("""COMPUTED_VALUE"""),"Enterprise")</f>
        <v>Enterprise</v>
      </c>
      <c r="H66" s="265" t="str">
        <f>IFERROR(__xludf.DUMMYFUNCTION("""COMPUTED_VALUE"""),"(Chưa recheck)")</f>
        <v>(Chưa recheck)</v>
      </c>
      <c r="I66" s="265" t="str">
        <f>IFERROR(__xludf.DUMMYFUNCTION("""COMPUTED_VALUE"""),"(Chưa recheck)")</f>
        <v>(Chưa recheck)</v>
      </c>
      <c r="J66" s="265" t="str">
        <f>IFERROR(__xludf.DUMMYFUNCTION("""COMPUTED_VALUE"""),"AnhNM")</f>
        <v>AnhNM</v>
      </c>
    </row>
    <row r="67">
      <c r="A67" s="265" t="str">
        <f>IFERROR(__xludf.DUMMYFUNCTION("""COMPUTED_VALUE"""),"390")</f>
        <v>390</v>
      </c>
      <c r="B67" s="265" t="str">
        <f>IFERROR(__xludf.DUMMYFUNCTION("""COMPUTED_VALUE"""),"Sài Gòn")</f>
        <v>Sài Gòn</v>
      </c>
      <c r="C67" s="265" t="str">
        <f>IFERROR(__xludf.DUMMYFUNCTION("""COMPUTED_VALUE"""),"Locked")</f>
        <v>Locked</v>
      </c>
      <c r="D67" s="265" t="str">
        <f>IFERROR(__xludf.DUMMYFUNCTION("""COMPUTED_VALUE"""),"Sale chưa cung cấp")</f>
        <v>Sale chưa cung cấp</v>
      </c>
      <c r="E67" s="265" t="str">
        <f>IFERROR(__xludf.DUMMYFUNCTION("""COMPUTED_VALUE"""),"NamDT")</f>
        <v>NamDT</v>
      </c>
      <c r="F67" s="265" t="str">
        <f>IFERROR(__xludf.DUMMYFUNCTION("""COMPUTED_VALUE"""),"Sale chưa cung cấp")</f>
        <v>Sale chưa cung cấp</v>
      </c>
      <c r="G67" s="265" t="str">
        <f>IFERROR(__xludf.DUMMYFUNCTION("""COMPUTED_VALUE"""),"Enterprise")</f>
        <v>Enterprise</v>
      </c>
      <c r="H67" s="265" t="str">
        <f>IFERROR(__xludf.DUMMYFUNCTION("""COMPUTED_VALUE"""),"(Chưa recheck)")</f>
        <v>(Chưa recheck)</v>
      </c>
      <c r="I67" s="265" t="str">
        <f>IFERROR(__xludf.DUMMYFUNCTION("""COMPUTED_VALUE"""),"(Chưa recheck)")</f>
        <v>(Chưa recheck)</v>
      </c>
      <c r="J67" s="265" t="str">
        <f>IFERROR(__xludf.DUMMYFUNCTION("""COMPUTED_VALUE"""),"AnhNM")</f>
        <v>AnhNM</v>
      </c>
    </row>
    <row r="68">
      <c r="A68" s="265" t="str">
        <f>IFERROR(__xludf.DUMMYFUNCTION("""COMPUTED_VALUE"""),"391")</f>
        <v>391</v>
      </c>
      <c r="B68" s="265" t="str">
        <f>IFERROR(__xludf.DUMMYFUNCTION("""COMPUTED_VALUE"""),"Sài Gòn")</f>
        <v>Sài Gòn</v>
      </c>
      <c r="C68" s="265" t="str">
        <f>IFERROR(__xludf.DUMMYFUNCTION("""COMPUTED_VALUE"""),"Locked")</f>
        <v>Locked</v>
      </c>
      <c r="D68" s="265" t="str">
        <f>IFERROR(__xludf.DUMMYFUNCTION("""COMPUTED_VALUE"""),"Sale chưa cung cấp")</f>
        <v>Sale chưa cung cấp</v>
      </c>
      <c r="E68" s="265" t="str">
        <f>IFERROR(__xludf.DUMMYFUNCTION("""COMPUTED_VALUE"""),"NamDT")</f>
        <v>NamDT</v>
      </c>
      <c r="F68" s="265" t="str">
        <f>IFERROR(__xludf.DUMMYFUNCTION("""COMPUTED_VALUE"""),"Sale chưa cung cấp")</f>
        <v>Sale chưa cung cấp</v>
      </c>
      <c r="G68" s="265" t="str">
        <f>IFERROR(__xludf.DUMMYFUNCTION("""COMPUTED_VALUE"""),"Enterprise")</f>
        <v>Enterprise</v>
      </c>
      <c r="H68" s="265" t="str">
        <f>IFERROR(__xludf.DUMMYFUNCTION("""COMPUTED_VALUE"""),"(Chưa recheck)")</f>
        <v>(Chưa recheck)</v>
      </c>
      <c r="I68" s="265" t="str">
        <f>IFERROR(__xludf.DUMMYFUNCTION("""COMPUTED_VALUE"""),"(Chưa recheck)")</f>
        <v>(Chưa recheck)</v>
      </c>
      <c r="J68" s="265" t="str">
        <f>IFERROR(__xludf.DUMMYFUNCTION("""COMPUTED_VALUE"""),"AnhNM")</f>
        <v>AnhNM</v>
      </c>
    </row>
    <row r="69">
      <c r="A69" s="265" t="str">
        <f>IFERROR(__xludf.DUMMYFUNCTION("""COMPUTED_VALUE"""),"392")</f>
        <v>392</v>
      </c>
      <c r="B69" s="265" t="str">
        <f>IFERROR(__xludf.DUMMYFUNCTION("""COMPUTED_VALUE"""),"Hà Nội")</f>
        <v>Hà Nội</v>
      </c>
      <c r="C69" s="265" t="str">
        <f>IFERROR(__xludf.DUMMYFUNCTION("""COMPUTED_VALUE"""),"Locked")</f>
        <v>Locked</v>
      </c>
      <c r="D69" s="265" t="str">
        <f>IFERROR(__xludf.DUMMYFUNCTION("""COMPUTED_VALUE"""),"Sale chưa cung cấp")</f>
        <v>Sale chưa cung cấp</v>
      </c>
      <c r="E69" s="265" t="str">
        <f>IFERROR(__xludf.DUMMYFUNCTION("""COMPUTED_VALUE"""),"HangNT")</f>
        <v>HangNT</v>
      </c>
      <c r="F69" s="265" t="str">
        <f>IFERROR(__xludf.DUMMYFUNCTION("""COMPUTED_VALUE"""),"Bronze")</f>
        <v>Bronze</v>
      </c>
      <c r="G69" s="265" t="str">
        <f>IFERROR(__xludf.DUMMYFUNCTION("""COMPUTED_VALUE"""),"Enterprise")</f>
        <v>Enterprise</v>
      </c>
      <c r="H69" s="265" t="str">
        <f>IFERROR(__xludf.DUMMYFUNCTION("""COMPUTED_VALUE"""),"(Chưa recheck)")</f>
        <v>(Chưa recheck)</v>
      </c>
      <c r="I69" s="265" t="str">
        <f>IFERROR(__xludf.DUMMYFUNCTION("""COMPUTED_VALUE"""),"(Chưa recheck)")</f>
        <v>(Chưa recheck)</v>
      </c>
      <c r="J69" s="265" t="str">
        <f>IFERROR(__xludf.DUMMYFUNCTION("""COMPUTED_VALUE"""),"AnhNM")</f>
        <v>AnhNM</v>
      </c>
    </row>
    <row r="70">
      <c r="A70" s="265" t="str">
        <f>IFERROR(__xludf.DUMMYFUNCTION("""COMPUTED_VALUE"""),"393")</f>
        <v>393</v>
      </c>
      <c r="B70" s="265" t="str">
        <f>IFERROR(__xludf.DUMMYFUNCTION("""COMPUTED_VALUE"""),"Hà Nội")</f>
        <v>Hà Nội</v>
      </c>
      <c r="C70" s="265" t="str">
        <f>IFERROR(__xludf.DUMMYFUNCTION("""COMPUTED_VALUE"""),"Locked")</f>
        <v>Locked</v>
      </c>
      <c r="D70" s="265" t="str">
        <f>IFERROR(__xludf.DUMMYFUNCTION("""COMPUTED_VALUE"""),"Sale chưa cung cấp")</f>
        <v>Sale chưa cung cấp</v>
      </c>
      <c r="E70" s="265" t="str">
        <f>IFERROR(__xludf.DUMMYFUNCTION("""COMPUTED_VALUE"""),"HangNT")</f>
        <v>HangNT</v>
      </c>
      <c r="F70" s="265" t="str">
        <f>IFERROR(__xludf.DUMMYFUNCTION("""COMPUTED_VALUE"""),"Bronze")</f>
        <v>Bronze</v>
      </c>
      <c r="G70" s="265" t="str">
        <f>IFERROR(__xludf.DUMMYFUNCTION("""COMPUTED_VALUE"""),"Enterprise")</f>
        <v>Enterprise</v>
      </c>
      <c r="H70" s="265" t="str">
        <f>IFERROR(__xludf.DUMMYFUNCTION("""COMPUTED_VALUE"""),"(Chưa recheck)")</f>
        <v>(Chưa recheck)</v>
      </c>
      <c r="I70" s="265" t="str">
        <f>IFERROR(__xludf.DUMMYFUNCTION("""COMPUTED_VALUE"""),"(Chưa recheck)")</f>
        <v>(Chưa recheck)</v>
      </c>
      <c r="J70" s="265" t="str">
        <f>IFERROR(__xludf.DUMMYFUNCTION("""COMPUTED_VALUE"""),"AnhNM")</f>
        <v>AnhNM</v>
      </c>
    </row>
    <row r="71">
      <c r="A71" s="265" t="str">
        <f>IFERROR(__xludf.DUMMYFUNCTION("""COMPUTED_VALUE"""),"394")</f>
        <v>394</v>
      </c>
      <c r="B71" s="265" t="str">
        <f>IFERROR(__xludf.DUMMYFUNCTION("""COMPUTED_VALUE"""),"Hà Nội")</f>
        <v>Hà Nội</v>
      </c>
      <c r="C71" s="265" t="str">
        <f>IFERROR(__xludf.DUMMYFUNCTION("""COMPUTED_VALUE"""),"Locked")</f>
        <v>Locked</v>
      </c>
      <c r="D71" s="265" t="str">
        <f>IFERROR(__xludf.DUMMYFUNCTION("""COMPUTED_VALUE"""),"Sale chưa cung cấp")</f>
        <v>Sale chưa cung cấp</v>
      </c>
      <c r="E71" s="265" t="str">
        <f>IFERROR(__xludf.DUMMYFUNCTION("""COMPUTED_VALUE"""),"(Chưa recheck)")</f>
        <v>(Chưa recheck)</v>
      </c>
      <c r="F71" s="265" t="str">
        <f>IFERROR(__xludf.DUMMYFUNCTION("""COMPUTED_VALUE"""),"Bronze")</f>
        <v>Bronze</v>
      </c>
      <c r="G71" s="265" t="str">
        <f>IFERROR(__xludf.DUMMYFUNCTION("""COMPUTED_VALUE"""),"MSG")</f>
        <v>MSG</v>
      </c>
      <c r="H71" s="265" t="str">
        <f>IFERROR(__xludf.DUMMYFUNCTION("""COMPUTED_VALUE"""),"(Chưa recheck)")</f>
        <v>(Chưa recheck)</v>
      </c>
      <c r="I71" s="265" t="str">
        <f>IFERROR(__xludf.DUMMYFUNCTION("""COMPUTED_VALUE"""),"(Chưa recheck)")</f>
        <v>(Chưa recheck)</v>
      </c>
      <c r="J71" s="265" t="str">
        <f>IFERROR(__xludf.DUMMYFUNCTION("""COMPUTED_VALUE"""),"AnhNM")</f>
        <v>AnhNM</v>
      </c>
    </row>
    <row r="72">
      <c r="A72" s="265" t="str">
        <f>IFERROR(__xludf.DUMMYFUNCTION("""COMPUTED_VALUE"""),"395")</f>
        <v>395</v>
      </c>
      <c r="B72" s="265" t="str">
        <f>IFERROR(__xludf.DUMMYFUNCTION("""COMPUTED_VALUE"""),"Hà Nội")</f>
        <v>Hà Nội</v>
      </c>
      <c r="C72" s="265" t="str">
        <f>IFERROR(__xludf.DUMMYFUNCTION("""COMPUTED_VALUE"""),"Locked")</f>
        <v>Locked</v>
      </c>
      <c r="D72" s="265" t="str">
        <f>IFERROR(__xludf.DUMMYFUNCTION("""COMPUTED_VALUE"""),"Sale chưa cung cấp")</f>
        <v>Sale chưa cung cấp</v>
      </c>
      <c r="E72" s="265" t="str">
        <f>IFERROR(__xludf.DUMMYFUNCTION("""COMPUTED_VALUE"""),"HangNT")</f>
        <v>HangNT</v>
      </c>
      <c r="F72" s="265" t="str">
        <f>IFERROR(__xludf.DUMMYFUNCTION("""COMPUTED_VALUE"""),"Sale chưa cung cấp")</f>
        <v>Sale chưa cung cấp</v>
      </c>
      <c r="G72" s="265" t="str">
        <f>IFERROR(__xludf.DUMMYFUNCTION("""COMPUTED_VALUE"""),"API")</f>
        <v>API</v>
      </c>
      <c r="H72" s="265" t="str">
        <f>IFERROR(__xludf.DUMMYFUNCTION("""COMPUTED_VALUE"""),"(Chưa recheck)")</f>
        <v>(Chưa recheck)</v>
      </c>
      <c r="I72" s="265" t="str">
        <f>IFERROR(__xludf.DUMMYFUNCTION("""COMPUTED_VALUE"""),"(Chưa recheck)")</f>
        <v>(Chưa recheck)</v>
      </c>
      <c r="J72" s="265" t="str">
        <f>IFERROR(__xludf.DUMMYFUNCTION("""COMPUTED_VALUE"""),"(Chưa recheck)")</f>
        <v>(Chưa recheck)</v>
      </c>
    </row>
    <row r="73">
      <c r="A73" s="265" t="str">
        <f>IFERROR(__xludf.DUMMYFUNCTION("""COMPUTED_VALUE"""),"396")</f>
        <v>396</v>
      </c>
      <c r="B73" s="265" t="str">
        <f>IFERROR(__xludf.DUMMYFUNCTION("""COMPUTED_VALUE"""),"Hà Nội")</f>
        <v>Hà Nội</v>
      </c>
      <c r="C73" s="265" t="str">
        <f>IFERROR(__xludf.DUMMYFUNCTION("""COMPUTED_VALUE"""),"Locked")</f>
        <v>Locked</v>
      </c>
      <c r="D73" s="265" t="str">
        <f>IFERROR(__xludf.DUMMYFUNCTION("""COMPUTED_VALUE"""),"Sale chưa cung cấp")</f>
        <v>Sale chưa cung cấp</v>
      </c>
      <c r="E73" s="265" t="str">
        <f>IFERROR(__xludf.DUMMYFUNCTION("""COMPUTED_VALUE"""),"HangNT")</f>
        <v>HangNT</v>
      </c>
      <c r="F73" s="265" t="str">
        <f>IFERROR(__xludf.DUMMYFUNCTION("""COMPUTED_VALUE"""),"Bronze")</f>
        <v>Bronze</v>
      </c>
      <c r="G73" s="265" t="str">
        <f>IFERROR(__xludf.DUMMYFUNCTION("""COMPUTED_VALUE"""),"Enterprise")</f>
        <v>Enterprise</v>
      </c>
      <c r="H73" s="265" t="str">
        <f>IFERROR(__xludf.DUMMYFUNCTION("""COMPUTED_VALUE"""),"(Chưa recheck)")</f>
        <v>(Chưa recheck)</v>
      </c>
      <c r="I73" s="265" t="str">
        <f>IFERROR(__xludf.DUMMYFUNCTION("""COMPUTED_VALUE"""),"(Chưa recheck)")</f>
        <v>(Chưa recheck)</v>
      </c>
      <c r="J73" s="265" t="str">
        <f>IFERROR(__xludf.DUMMYFUNCTION("""COMPUTED_VALUE"""),"AnhNM")</f>
        <v>AnhNM</v>
      </c>
    </row>
    <row r="74">
      <c r="A74" s="265" t="str">
        <f>IFERROR(__xludf.DUMMYFUNCTION("""COMPUTED_VALUE"""),"398")</f>
        <v>398</v>
      </c>
      <c r="B74" s="265" t="str">
        <f>IFERROR(__xludf.DUMMYFUNCTION("""COMPUTED_VALUE"""),"Sài Gòn")</f>
        <v>Sài Gòn</v>
      </c>
      <c r="C74" s="265" t="str">
        <f>IFERROR(__xludf.DUMMYFUNCTION("""COMPUTED_VALUE"""),"Locked")</f>
        <v>Locked</v>
      </c>
      <c r="D74" s="265" t="str">
        <f>IFERROR(__xludf.DUMMYFUNCTION("""COMPUTED_VALUE"""),"Sale chưa cung cấp")</f>
        <v>Sale chưa cung cấp</v>
      </c>
      <c r="E74" s="265" t="str">
        <f>IFERROR(__xludf.DUMMYFUNCTION("""COMPUTED_VALUE"""),"(Chưa recheck)")</f>
        <v>(Chưa recheck)</v>
      </c>
      <c r="F74" s="265" t="str">
        <f>IFERROR(__xludf.DUMMYFUNCTION("""COMPUTED_VALUE"""),"Diamond")</f>
        <v>Diamond</v>
      </c>
      <c r="G74" s="265" t="str">
        <f>IFERROR(__xludf.DUMMYFUNCTION("""COMPUTED_VALUE"""),"MSG")</f>
        <v>MSG</v>
      </c>
      <c r="H74" s="265" t="str">
        <f>IFERROR(__xludf.DUMMYFUNCTION("""COMPUTED_VALUE"""),"Trial")</f>
        <v>Trial</v>
      </c>
      <c r="I74" s="265" t="str">
        <f>IFERROR(__xludf.DUMMYFUNCTION("""COMPUTED_VALUE"""),"(Chưa recheck)")</f>
        <v>(Chưa recheck)</v>
      </c>
      <c r="J74" s="265" t="str">
        <f>IFERROR(__xludf.DUMMYFUNCTION("""COMPUTED_VALUE"""),"(Chưa recheck)")</f>
        <v>(Chưa recheck)</v>
      </c>
    </row>
    <row r="75">
      <c r="A75" s="265" t="str">
        <f>IFERROR(__xludf.DUMMYFUNCTION("""COMPUTED_VALUE"""),"371")</f>
        <v>371</v>
      </c>
      <c r="B75" s="265" t="str">
        <f>IFERROR(__xludf.DUMMYFUNCTION("""COMPUTED_VALUE"""),"Hà Nội")</f>
        <v>Hà Nội</v>
      </c>
      <c r="C75" s="265" t="str">
        <f>IFERROR(__xludf.DUMMYFUNCTION("""COMPUTED_VALUE"""),"Locked")</f>
        <v>Locked</v>
      </c>
      <c r="D75" s="265" t="str">
        <f>IFERROR(__xludf.DUMMYFUNCTION("""COMPUTED_VALUE"""),"Sale chưa cung cấp")</f>
        <v>Sale chưa cung cấp</v>
      </c>
      <c r="E75" s="265" t="str">
        <f>IFERROR(__xludf.DUMMYFUNCTION("""COMPUTED_VALUE"""),"PhươngDTB")</f>
        <v>PhươngDTB</v>
      </c>
      <c r="F75" s="265" t="str">
        <f>IFERROR(__xludf.DUMMYFUNCTION("""COMPUTED_VALUE"""),"Sale chưa cung cấp")</f>
        <v>Sale chưa cung cấp</v>
      </c>
      <c r="G75" s="265" t="str">
        <f>IFERROR(__xludf.DUMMYFUNCTION("""COMPUTED_VALUE"""),"Enterprise")</f>
        <v>Enterprise</v>
      </c>
      <c r="H75" s="265" t="str">
        <f>IFERROR(__xludf.DUMMYFUNCTION("""COMPUTED_VALUE"""),"Trả sau")</f>
        <v>Trả sau</v>
      </c>
      <c r="I75" s="265" t="str">
        <f>IFERROR(__xludf.DUMMYFUNCTION("""COMPUTED_VALUE"""),"API &amp; Portal")</f>
        <v>API &amp; Portal</v>
      </c>
      <c r="J75" s="265" t="str">
        <f>IFERROR(__xludf.DUMMYFUNCTION("""COMPUTED_VALUE"""),"(Chưa recheck)")</f>
        <v>(Chưa recheck)</v>
      </c>
    </row>
    <row r="76">
      <c r="A76" s="265" t="str">
        <f>IFERROR(__xludf.DUMMYFUNCTION("""COMPUTED_VALUE"""),"399")</f>
        <v>399</v>
      </c>
      <c r="B76" s="265" t="str">
        <f>IFERROR(__xludf.DUMMYFUNCTION("""COMPUTED_VALUE"""),"Hà Nội")</f>
        <v>Hà Nội</v>
      </c>
      <c r="C76" s="265" t="str">
        <f>IFERROR(__xludf.DUMMYFUNCTION("""COMPUTED_VALUE"""),"Locked")</f>
        <v>Locked</v>
      </c>
      <c r="D76" s="265" t="str">
        <f>IFERROR(__xludf.DUMMYFUNCTION("""COMPUTED_VALUE"""),"Sale chưa cung cấp")</f>
        <v>Sale chưa cung cấp</v>
      </c>
      <c r="E76" s="265" t="str">
        <f>IFERROR(__xludf.DUMMYFUNCTION("""COMPUTED_VALUE"""),"TúPHN")</f>
        <v>TúPHN</v>
      </c>
      <c r="F76" s="265" t="str">
        <f>IFERROR(__xludf.DUMMYFUNCTION("""COMPUTED_VALUE"""),"Sale chưa cung cấp")</f>
        <v>Sale chưa cung cấp</v>
      </c>
      <c r="G76" s="265" t="str">
        <f>IFERROR(__xludf.DUMMYFUNCTION("""COMPUTED_VALUE"""),"Starter")</f>
        <v>Starter</v>
      </c>
      <c r="H76" s="265" t="str">
        <f>IFERROR(__xludf.DUMMYFUNCTION("""COMPUTED_VALUE"""),"Trial")</f>
        <v>Trial</v>
      </c>
      <c r="I76" s="265" t="str">
        <f>IFERROR(__xludf.DUMMYFUNCTION("""COMPUTED_VALUE"""),"API")</f>
        <v>API</v>
      </c>
      <c r="J76" s="265" t="str">
        <f>IFERROR(__xludf.DUMMYFUNCTION("""COMPUTED_VALUE"""),"Không phân công")</f>
        <v>Không phân công</v>
      </c>
    </row>
    <row r="77">
      <c r="A77" s="265" t="str">
        <f>IFERROR(__xludf.DUMMYFUNCTION("""COMPUTED_VALUE"""),"400")</f>
        <v>400</v>
      </c>
      <c r="B77" s="265" t="str">
        <f>IFERROR(__xludf.DUMMYFUNCTION("""COMPUTED_VALUE"""),"Đà Nẵng")</f>
        <v>Đà Nẵng</v>
      </c>
      <c r="C77" s="265" t="str">
        <f>IFERROR(__xludf.DUMMYFUNCTION("""COMPUTED_VALUE"""),"Locked")</f>
        <v>Locked</v>
      </c>
      <c r="D77" s="265" t="str">
        <f>IFERROR(__xludf.DUMMYFUNCTION("""COMPUTED_VALUE"""),"Sale chưa cung cấp")</f>
        <v>Sale chưa cung cấp</v>
      </c>
      <c r="E77" s="265" t="str">
        <f>IFERROR(__xludf.DUMMYFUNCTION("""COMPUTED_VALUE"""),"HangNT")</f>
        <v>HangNT</v>
      </c>
      <c r="F77" s="265" t="str">
        <f>IFERROR(__xludf.DUMMYFUNCTION("""COMPUTED_VALUE"""),"Sale chưa cung cấp")</f>
        <v>Sale chưa cung cấp</v>
      </c>
      <c r="G77" s="265" t="str">
        <f>IFERROR(__xludf.DUMMYFUNCTION("""COMPUTED_VALUE"""),"Enterprise")</f>
        <v>Enterprise</v>
      </c>
      <c r="H77" s="265" t="str">
        <f>IFERROR(__xludf.DUMMYFUNCTION("""COMPUTED_VALUE"""),"(Chưa recheck)")</f>
        <v>(Chưa recheck)</v>
      </c>
      <c r="I77" s="265" t="str">
        <f>IFERROR(__xludf.DUMMYFUNCTION("""COMPUTED_VALUE"""),"(Chưa recheck)")</f>
        <v>(Chưa recheck)</v>
      </c>
      <c r="J77" s="265" t="str">
        <f>IFERROR(__xludf.DUMMYFUNCTION("""COMPUTED_VALUE"""),"AnhNM")</f>
        <v>AnhNM</v>
      </c>
    </row>
    <row r="78">
      <c r="A78" s="265" t="str">
        <f>IFERROR(__xludf.DUMMYFUNCTION("""COMPUTED_VALUE"""),"401")</f>
        <v>401</v>
      </c>
      <c r="B78" s="265" t="str">
        <f>IFERROR(__xludf.DUMMYFUNCTION("""COMPUTED_VALUE"""),"Hà Nội")</f>
        <v>Hà Nội</v>
      </c>
      <c r="C78" s="265" t="str">
        <f>IFERROR(__xludf.DUMMYFUNCTION("""COMPUTED_VALUE"""),"Locked")</f>
        <v>Locked</v>
      </c>
      <c r="D78" s="265" t="str">
        <f>IFERROR(__xludf.DUMMYFUNCTION("""COMPUTED_VALUE"""),"Sale chưa cung cấp")</f>
        <v>Sale chưa cung cấp</v>
      </c>
      <c r="E78" s="265" t="str">
        <f>IFERROR(__xludf.DUMMYFUNCTION("""COMPUTED_VALUE"""),"HangNT")</f>
        <v>HangNT</v>
      </c>
      <c r="F78" s="265" t="str">
        <f>IFERROR(__xludf.DUMMYFUNCTION("""COMPUTED_VALUE"""),"Sale chưa cung cấp")</f>
        <v>Sale chưa cung cấp</v>
      </c>
      <c r="G78" s="265" t="str">
        <f>IFERROR(__xludf.DUMMYFUNCTION("""COMPUTED_VALUE"""),"Enterprise")</f>
        <v>Enterprise</v>
      </c>
      <c r="H78" s="265" t="str">
        <f>IFERROR(__xludf.DUMMYFUNCTION("""COMPUTED_VALUE"""),"(Chưa recheck)")</f>
        <v>(Chưa recheck)</v>
      </c>
      <c r="I78" s="265" t="str">
        <f>IFERROR(__xludf.DUMMYFUNCTION("""COMPUTED_VALUE"""),"(Chưa recheck)")</f>
        <v>(Chưa recheck)</v>
      </c>
      <c r="J78" s="265" t="str">
        <f>IFERROR(__xludf.DUMMYFUNCTION("""COMPUTED_VALUE"""),"(Chưa recheck)")</f>
        <v>(Chưa recheck)</v>
      </c>
    </row>
    <row r="79">
      <c r="A79" s="265" t="str">
        <f>IFERROR(__xludf.DUMMYFUNCTION("""COMPUTED_VALUE"""),"403")</f>
        <v>403</v>
      </c>
      <c r="B79" s="265" t="str">
        <f>IFERROR(__xludf.DUMMYFUNCTION("""COMPUTED_VALUE"""),"Sài Gòn")</f>
        <v>Sài Gòn</v>
      </c>
      <c r="C79" s="265" t="str">
        <f>IFERROR(__xludf.DUMMYFUNCTION("""COMPUTED_VALUE"""),"Active")</f>
        <v>Active</v>
      </c>
      <c r="D79" s="265" t="str">
        <f>IFERROR(__xludf.DUMMYFUNCTION("""COMPUTED_VALUE"""),"Sale chưa cung cấp")</f>
        <v>Sale chưa cung cấp</v>
      </c>
      <c r="E79" s="265" t="str">
        <f>IFERROR(__xludf.DUMMYFUNCTION("""COMPUTED_VALUE"""),"TùngLD")</f>
        <v>TùngLD</v>
      </c>
      <c r="F79" s="265" t="str">
        <f>IFERROR(__xludf.DUMMYFUNCTION("""COMPUTED_VALUE"""),"Gold")</f>
        <v>Gold</v>
      </c>
      <c r="G79" s="265" t="str">
        <f>IFERROR(__xludf.DUMMYFUNCTION("""COMPUTED_VALUE"""),"Enterprise")</f>
        <v>Enterprise</v>
      </c>
      <c r="H79" s="265" t="str">
        <f>IFERROR(__xludf.DUMMYFUNCTION("""COMPUTED_VALUE"""),"Trả sau")</f>
        <v>Trả sau</v>
      </c>
      <c r="I79" s="265" t="str">
        <f>IFERROR(__xludf.DUMMYFUNCTION("""COMPUTED_VALUE"""),"API")</f>
        <v>API</v>
      </c>
      <c r="J79" s="265" t="str">
        <f>IFERROR(__xludf.DUMMYFUNCTION("""COMPUTED_VALUE"""),"DungPL")</f>
        <v>DungPL</v>
      </c>
    </row>
    <row r="80">
      <c r="A80" s="265" t="str">
        <f>IFERROR(__xludf.DUMMYFUNCTION("""COMPUTED_VALUE"""),"404")</f>
        <v>404</v>
      </c>
      <c r="B80" s="265" t="str">
        <f>IFERROR(__xludf.DUMMYFUNCTION("""COMPUTED_VALUE"""),"Sài Gòn")</f>
        <v>Sài Gòn</v>
      </c>
      <c r="C80" s="265" t="str">
        <f>IFERROR(__xludf.DUMMYFUNCTION("""COMPUTED_VALUE"""),"Locked")</f>
        <v>Locked</v>
      </c>
      <c r="D80" s="265" t="str">
        <f>IFERROR(__xludf.DUMMYFUNCTION("""COMPUTED_VALUE"""),"Thực phẩm &amp; Đồ uống")</f>
        <v>Thực phẩm &amp; Đồ uống</v>
      </c>
      <c r="E80" s="265" t="str">
        <f>IFERROR(__xludf.DUMMYFUNCTION("""COMPUTED_VALUE"""),"PhươngDTB")</f>
        <v>PhươngDTB</v>
      </c>
      <c r="F80" s="265" t="str">
        <f>IFERROR(__xludf.DUMMYFUNCTION("""COMPUTED_VALUE"""),"Silver")</f>
        <v>Silver</v>
      </c>
      <c r="G80" s="265" t="str">
        <f>IFERROR(__xludf.DUMMYFUNCTION("""COMPUTED_VALUE"""),"Enterprise")</f>
        <v>Enterprise</v>
      </c>
      <c r="H80" s="265" t="str">
        <f>IFERROR(__xludf.DUMMYFUNCTION("""COMPUTED_VALUE"""),"Trả trước")</f>
        <v>Trả trước</v>
      </c>
      <c r="I80" s="265" t="str">
        <f>IFERROR(__xludf.DUMMYFUNCTION("""COMPUTED_VALUE"""),"(Chưa recheck)")</f>
        <v>(Chưa recheck)</v>
      </c>
      <c r="J80" s="265" t="str">
        <f>IFERROR(__xludf.DUMMYFUNCTION("""COMPUTED_VALUE"""),"AnhNM")</f>
        <v>AnhNM</v>
      </c>
    </row>
    <row r="81">
      <c r="A81" s="265" t="str">
        <f>IFERROR(__xludf.DUMMYFUNCTION("""COMPUTED_VALUE"""),"405")</f>
        <v>405</v>
      </c>
      <c r="B81" s="265" t="str">
        <f>IFERROR(__xludf.DUMMYFUNCTION("""COMPUTED_VALUE"""),"Hà Nội")</f>
        <v>Hà Nội</v>
      </c>
      <c r="C81" s="265" t="str">
        <f>IFERROR(__xludf.DUMMYFUNCTION("""COMPUTED_VALUE"""),"Locked")</f>
        <v>Locked</v>
      </c>
      <c r="D81" s="265" t="str">
        <f>IFERROR(__xludf.DUMMYFUNCTION("""COMPUTED_VALUE"""),"Sale chưa cung cấp")</f>
        <v>Sale chưa cung cấp</v>
      </c>
      <c r="E81" s="265" t="str">
        <f>IFERROR(__xludf.DUMMYFUNCTION("""COMPUTED_VALUE"""),"(Không recheck)")</f>
        <v>(Không recheck)</v>
      </c>
      <c r="F81" s="265" t="str">
        <f>IFERROR(__xludf.DUMMYFUNCTION("""COMPUTED_VALUE"""),"Sale chưa cung cấp")</f>
        <v>Sale chưa cung cấp</v>
      </c>
      <c r="G81" s="265" t="str">
        <f>IFERROR(__xludf.DUMMYFUNCTION("""COMPUTED_VALUE"""),"Enterprise")</f>
        <v>Enterprise</v>
      </c>
      <c r="H81" s="265" t="str">
        <f>IFERROR(__xludf.DUMMYFUNCTION("""COMPUTED_VALUE"""),"Trial")</f>
        <v>Trial</v>
      </c>
      <c r="I81" s="265" t="str">
        <f>IFERROR(__xludf.DUMMYFUNCTION("""COMPUTED_VALUE"""),"(Không recheck)")</f>
        <v>(Không recheck)</v>
      </c>
      <c r="J81" s="265" t="str">
        <f>IFERROR(__xludf.DUMMYFUNCTION("""COMPUTED_VALUE"""),"(Không recheck)")</f>
        <v>(Không recheck)</v>
      </c>
    </row>
    <row r="82">
      <c r="A82" s="265" t="str">
        <f>IFERROR(__xludf.DUMMYFUNCTION("""COMPUTED_VALUE"""),"407")</f>
        <v>407</v>
      </c>
      <c r="B82" s="265" t="str">
        <f>IFERROR(__xludf.DUMMYFUNCTION("""COMPUTED_VALUE"""),"Sài Gòn")</f>
        <v>Sài Gòn</v>
      </c>
      <c r="C82" s="265" t="str">
        <f>IFERROR(__xludf.DUMMYFUNCTION("""COMPUTED_VALUE"""),"Locked")</f>
        <v>Locked</v>
      </c>
      <c r="D82" s="265" t="str">
        <f>IFERROR(__xludf.DUMMYFUNCTION("""COMPUTED_VALUE"""),"Sale chưa cung cấp")</f>
        <v>Sale chưa cung cấp</v>
      </c>
      <c r="E82" s="265" t="str">
        <f>IFERROR(__xludf.DUMMYFUNCTION("""COMPUTED_VALUE"""),"HangNT")</f>
        <v>HangNT</v>
      </c>
      <c r="F82" s="265" t="str">
        <f>IFERROR(__xludf.DUMMYFUNCTION("""COMPUTED_VALUE"""),"Sale chưa cung cấp")</f>
        <v>Sale chưa cung cấp</v>
      </c>
      <c r="G82" s="265" t="str">
        <f>IFERROR(__xludf.DUMMYFUNCTION("""COMPUTED_VALUE"""),"Enterprise")</f>
        <v>Enterprise</v>
      </c>
      <c r="H82" s="265" t="str">
        <f>IFERROR(__xludf.DUMMYFUNCTION("""COMPUTED_VALUE"""),"(Chưa recheck)")</f>
        <v>(Chưa recheck)</v>
      </c>
      <c r="I82" s="265" t="str">
        <f>IFERROR(__xludf.DUMMYFUNCTION("""COMPUTED_VALUE"""),"(Chưa recheck)")</f>
        <v>(Chưa recheck)</v>
      </c>
      <c r="J82" s="265" t="str">
        <f>IFERROR(__xludf.DUMMYFUNCTION("""COMPUTED_VALUE"""),"AnhNM")</f>
        <v>AnhNM</v>
      </c>
    </row>
    <row r="83">
      <c r="A83" s="265" t="str">
        <f>IFERROR(__xludf.DUMMYFUNCTION("""COMPUTED_VALUE"""),"408")</f>
        <v>408</v>
      </c>
      <c r="B83" s="265" t="str">
        <f>IFERROR(__xludf.DUMMYFUNCTION("""COMPUTED_VALUE"""),"Đà Nẵng")</f>
        <v>Đà Nẵng</v>
      </c>
      <c r="C83" s="265" t="str">
        <f>IFERROR(__xludf.DUMMYFUNCTION("""COMPUTED_VALUE"""),"Locked")</f>
        <v>Locked</v>
      </c>
      <c r="D83" s="265" t="str">
        <f>IFERROR(__xludf.DUMMYFUNCTION("""COMPUTED_VALUE"""),"Sale chưa cung cấp")</f>
        <v>Sale chưa cung cấp</v>
      </c>
      <c r="E83" s="265" t="str">
        <f>IFERROR(__xludf.DUMMYFUNCTION("""COMPUTED_VALUE"""),"PhươngDTB")</f>
        <v>PhươngDTB</v>
      </c>
      <c r="F83" s="265" t="str">
        <f>IFERROR(__xludf.DUMMYFUNCTION("""COMPUTED_VALUE"""),"Sale chưa cung cấp")</f>
        <v>Sale chưa cung cấp</v>
      </c>
      <c r="G83" s="265" t="str">
        <f>IFERROR(__xludf.DUMMYFUNCTION("""COMPUTED_VALUE"""),"Enterprise")</f>
        <v>Enterprise</v>
      </c>
      <c r="H83" s="265" t="str">
        <f>IFERROR(__xludf.DUMMYFUNCTION("""COMPUTED_VALUE"""),"(Chưa recheck)")</f>
        <v>(Chưa recheck)</v>
      </c>
      <c r="I83" s="265" t="str">
        <f>IFERROR(__xludf.DUMMYFUNCTION("""COMPUTED_VALUE"""),"(Chưa recheck)")</f>
        <v>(Chưa recheck)</v>
      </c>
      <c r="J83" s="265" t="str">
        <f>IFERROR(__xludf.DUMMYFUNCTION("""COMPUTED_VALUE"""),"(Chưa recheck)")</f>
        <v>(Chưa recheck)</v>
      </c>
    </row>
    <row r="84">
      <c r="A84" s="265" t="str">
        <f>IFERROR(__xludf.DUMMYFUNCTION("""COMPUTED_VALUE"""),"410")</f>
        <v>410</v>
      </c>
      <c r="B84" s="265" t="str">
        <f>IFERROR(__xludf.DUMMYFUNCTION("""COMPUTED_VALUE"""),"Hà Nội")</f>
        <v>Hà Nội</v>
      </c>
      <c r="C84" s="265" t="str">
        <f>IFERROR(__xludf.DUMMYFUNCTION("""COMPUTED_VALUE"""),"Locked")</f>
        <v>Locked</v>
      </c>
      <c r="D84" s="265" t="str">
        <f>IFERROR(__xludf.DUMMYFUNCTION("""COMPUTED_VALUE"""),"Sale chưa cung cấp")</f>
        <v>Sale chưa cung cấp</v>
      </c>
      <c r="E84" s="265" t="str">
        <f>IFERROR(__xludf.DUMMYFUNCTION("""COMPUTED_VALUE"""),"HangNT")</f>
        <v>HangNT</v>
      </c>
      <c r="F84" s="265" t="str">
        <f>IFERROR(__xludf.DUMMYFUNCTION("""COMPUTED_VALUE"""),"Bronze")</f>
        <v>Bronze</v>
      </c>
      <c r="G84" s="265" t="str">
        <f>IFERROR(__xludf.DUMMYFUNCTION("""COMPUTED_VALUE"""),"Enterprise")</f>
        <v>Enterprise</v>
      </c>
      <c r="H84" s="265" t="str">
        <f>IFERROR(__xludf.DUMMYFUNCTION("""COMPUTED_VALUE"""),"(Chưa recheck)")</f>
        <v>(Chưa recheck)</v>
      </c>
      <c r="I84" s="265" t="str">
        <f>IFERROR(__xludf.DUMMYFUNCTION("""COMPUTED_VALUE"""),"(Chưa recheck)")</f>
        <v>(Chưa recheck)</v>
      </c>
      <c r="J84" s="265" t="str">
        <f>IFERROR(__xludf.DUMMYFUNCTION("""COMPUTED_VALUE"""),"(Chưa recheck)")</f>
        <v>(Chưa recheck)</v>
      </c>
    </row>
    <row r="85">
      <c r="A85" s="265" t="str">
        <f>IFERROR(__xludf.DUMMYFUNCTION("""COMPUTED_VALUE"""),"409")</f>
        <v>409</v>
      </c>
      <c r="B85" s="265" t="str">
        <f>IFERROR(__xludf.DUMMYFUNCTION("""COMPUTED_VALUE"""),"Sài Gòn")</f>
        <v>Sài Gòn</v>
      </c>
      <c r="C85" s="265" t="str">
        <f>IFERROR(__xludf.DUMMYFUNCTION("""COMPUTED_VALUE"""),"Locked")</f>
        <v>Locked</v>
      </c>
      <c r="D85" s="265" t="str">
        <f>IFERROR(__xludf.DUMMYFUNCTION("""COMPUTED_VALUE"""),"Sale chưa cung cấp")</f>
        <v>Sale chưa cung cấp</v>
      </c>
      <c r="E85" s="265" t="str">
        <f>IFERROR(__xludf.DUMMYFUNCTION("""COMPUTED_VALUE"""),"HoaNTM")</f>
        <v>HoaNTM</v>
      </c>
      <c r="F85" s="265" t="str">
        <f>IFERROR(__xludf.DUMMYFUNCTION("""COMPUTED_VALUE"""),"Gold")</f>
        <v>Gold</v>
      </c>
      <c r="G85" s="265" t="str">
        <f>IFERROR(__xludf.DUMMYFUNCTION("""COMPUTED_VALUE"""),"Enterprise")</f>
        <v>Enterprise</v>
      </c>
      <c r="H85" s="265" t="str">
        <f>IFERROR(__xludf.DUMMYFUNCTION("""COMPUTED_VALUE"""),"(Chưa recheck)")</f>
        <v>(Chưa recheck)</v>
      </c>
      <c r="I85" s="265" t="str">
        <f>IFERROR(__xludf.DUMMYFUNCTION("""COMPUTED_VALUE"""),"(Chưa recheck)")</f>
        <v>(Chưa recheck)</v>
      </c>
      <c r="J85" s="265" t="str">
        <f>IFERROR(__xludf.DUMMYFUNCTION("""COMPUTED_VALUE"""),"DungPL")</f>
        <v>DungPL</v>
      </c>
    </row>
    <row r="86">
      <c r="A86" s="265" t="str">
        <f>IFERROR(__xludf.DUMMYFUNCTION("""COMPUTED_VALUE"""),"412")</f>
        <v>412</v>
      </c>
      <c r="B86" s="265" t="str">
        <f>IFERROR(__xludf.DUMMYFUNCTION("""COMPUTED_VALUE"""),"Sài Gòn")</f>
        <v>Sài Gòn</v>
      </c>
      <c r="C86" s="265" t="str">
        <f>IFERROR(__xludf.DUMMYFUNCTION("""COMPUTED_VALUE"""),"Locked")</f>
        <v>Locked</v>
      </c>
      <c r="D86" s="265" t="str">
        <f>IFERROR(__xludf.DUMMYFUNCTION("""COMPUTED_VALUE"""),"Sale chưa cung cấp")</f>
        <v>Sale chưa cung cấp</v>
      </c>
      <c r="E86" s="265" t="str">
        <f>IFERROR(__xludf.DUMMYFUNCTION("""COMPUTED_VALUE"""),"PhươngDTB")</f>
        <v>PhươngDTB</v>
      </c>
      <c r="F86" s="265" t="str">
        <f>IFERROR(__xludf.DUMMYFUNCTION("""COMPUTED_VALUE"""),"Sale chưa cung cấp")</f>
        <v>Sale chưa cung cấp</v>
      </c>
      <c r="G86" s="265" t="str">
        <f>IFERROR(__xludf.DUMMYFUNCTION("""COMPUTED_VALUE"""),"Enterprise")</f>
        <v>Enterprise</v>
      </c>
      <c r="H86" s="265" t="str">
        <f>IFERROR(__xludf.DUMMYFUNCTION("""COMPUTED_VALUE"""),"(Chưa recheck)")</f>
        <v>(Chưa recheck)</v>
      </c>
      <c r="I86" s="265" t="str">
        <f>IFERROR(__xludf.DUMMYFUNCTION("""COMPUTED_VALUE"""),"(Chưa recheck)")</f>
        <v>(Chưa recheck)</v>
      </c>
      <c r="J86" s="265" t="str">
        <f>IFERROR(__xludf.DUMMYFUNCTION("""COMPUTED_VALUE"""),"(Chưa recheck)")</f>
        <v>(Chưa recheck)</v>
      </c>
    </row>
    <row r="87">
      <c r="A87" s="265" t="str">
        <f>IFERROR(__xludf.DUMMYFUNCTION("""COMPUTED_VALUE"""),"413")</f>
        <v>413</v>
      </c>
      <c r="B87" s="265" t="str">
        <f>IFERROR(__xludf.DUMMYFUNCTION("""COMPUTED_VALUE"""),"Hà Nội")</f>
        <v>Hà Nội</v>
      </c>
      <c r="C87" s="265" t="str">
        <f>IFERROR(__xludf.DUMMYFUNCTION("""COMPUTED_VALUE"""),"Locked")</f>
        <v>Locked</v>
      </c>
      <c r="D87" s="265" t="str">
        <f>IFERROR(__xludf.DUMMYFUNCTION("""COMPUTED_VALUE"""),"Sale chưa cung cấp")</f>
        <v>Sale chưa cung cấp</v>
      </c>
      <c r="E87" s="265" t="str">
        <f>IFERROR(__xludf.DUMMYFUNCTION("""COMPUTED_VALUE"""),"HangNT")</f>
        <v>HangNT</v>
      </c>
      <c r="F87" s="265" t="str">
        <f>IFERROR(__xludf.DUMMYFUNCTION("""COMPUTED_VALUE"""),"Diamond")</f>
        <v>Diamond</v>
      </c>
      <c r="G87" s="265" t="str">
        <f>IFERROR(__xludf.DUMMYFUNCTION("""COMPUTED_VALUE"""),"API")</f>
        <v>API</v>
      </c>
      <c r="H87" s="265" t="str">
        <f>IFERROR(__xludf.DUMMYFUNCTION("""COMPUTED_VALUE"""),"Trả sau")</f>
        <v>Trả sau</v>
      </c>
      <c r="I87" s="265" t="str">
        <f>IFERROR(__xludf.DUMMYFUNCTION("""COMPUTED_VALUE"""),"(Chưa recheck)")</f>
        <v>(Chưa recheck)</v>
      </c>
      <c r="J87" s="265" t="str">
        <f>IFERROR(__xludf.DUMMYFUNCTION("""COMPUTED_VALUE"""),"(Chưa recheck)")</f>
        <v>(Chưa recheck)</v>
      </c>
    </row>
    <row r="88">
      <c r="A88" s="265" t="str">
        <f>IFERROR(__xludf.DUMMYFUNCTION("""COMPUTED_VALUE"""),"416")</f>
        <v>416</v>
      </c>
      <c r="B88" s="265" t="str">
        <f>IFERROR(__xludf.DUMMYFUNCTION("""COMPUTED_VALUE"""),"Hà Nội")</f>
        <v>Hà Nội</v>
      </c>
      <c r="C88" s="265" t="str">
        <f>IFERROR(__xludf.DUMMYFUNCTION("""COMPUTED_VALUE"""),"Locked")</f>
        <v>Locked</v>
      </c>
      <c r="D88" s="265" t="str">
        <f>IFERROR(__xludf.DUMMYFUNCTION("""COMPUTED_VALUE"""),"Sale chưa cung cấp")</f>
        <v>Sale chưa cung cấp</v>
      </c>
      <c r="E88" s="265" t="str">
        <f>IFERROR(__xludf.DUMMYFUNCTION("""COMPUTED_VALUE"""),"(Chưa recheck)")</f>
        <v>(Chưa recheck)</v>
      </c>
      <c r="F88" s="265" t="str">
        <f>IFERROR(__xludf.DUMMYFUNCTION("""COMPUTED_VALUE"""),"Sale chưa cung cấp")</f>
        <v>Sale chưa cung cấp</v>
      </c>
      <c r="G88" s="265" t="str">
        <f>IFERROR(__xludf.DUMMYFUNCTION("""COMPUTED_VALUE"""),"API")</f>
        <v>API</v>
      </c>
      <c r="H88" s="265" t="str">
        <f>IFERROR(__xludf.DUMMYFUNCTION("""COMPUTED_VALUE"""),"Trả sau")</f>
        <v>Trả sau</v>
      </c>
      <c r="I88" s="265" t="str">
        <f>IFERROR(__xludf.DUMMYFUNCTION("""COMPUTED_VALUE"""),"(Chưa recheck)")</f>
        <v>(Chưa recheck)</v>
      </c>
      <c r="J88" s="265" t="str">
        <f>IFERROR(__xludf.DUMMYFUNCTION("""COMPUTED_VALUE"""),"(Chưa recheck)")</f>
        <v>(Chưa recheck)</v>
      </c>
    </row>
    <row r="89">
      <c r="A89" s="265" t="str">
        <f>IFERROR(__xludf.DUMMYFUNCTION("""COMPUTED_VALUE"""),"417")</f>
        <v>417</v>
      </c>
      <c r="B89" s="265" t="str">
        <f>IFERROR(__xludf.DUMMYFUNCTION("""COMPUTED_VALUE"""),"Đà Nẵng")</f>
        <v>Đà Nẵng</v>
      </c>
      <c r="C89" s="265" t="str">
        <f>IFERROR(__xludf.DUMMYFUNCTION("""COMPUTED_VALUE"""),"Active")</f>
        <v>Active</v>
      </c>
      <c r="D89" s="265" t="str">
        <f>IFERROR(__xludf.DUMMYFUNCTION("""COMPUTED_VALUE"""),"Viễn thông")</f>
        <v>Viễn thông</v>
      </c>
      <c r="E89" s="265" t="str">
        <f>IFERROR(__xludf.DUMMYFUNCTION("""COMPUTED_VALUE"""),"AnhNM")</f>
        <v>AnhNM</v>
      </c>
      <c r="F89" s="265" t="str">
        <f>IFERROR(__xludf.DUMMYFUNCTION("""COMPUTED_VALUE"""),"Silver")</f>
        <v>Silver</v>
      </c>
      <c r="G89" s="265" t="str">
        <f>IFERROR(__xludf.DUMMYFUNCTION("""COMPUTED_VALUE"""),"Enterprise")</f>
        <v>Enterprise</v>
      </c>
      <c r="H89" s="265" t="str">
        <f>IFERROR(__xludf.DUMMYFUNCTION("""COMPUTED_VALUE"""),"Trả sau")</f>
        <v>Trả sau</v>
      </c>
      <c r="I89" s="265" t="str">
        <f>IFERROR(__xludf.DUMMYFUNCTION("""COMPUTED_VALUE"""),"API &amp; Portal")</f>
        <v>API &amp; Portal</v>
      </c>
      <c r="J89" s="265" t="str">
        <f>IFERROR(__xludf.DUMMYFUNCTION("""COMPUTED_VALUE"""),"LinhNTT1")</f>
        <v>LinhNTT1</v>
      </c>
    </row>
    <row r="90">
      <c r="A90" s="265" t="str">
        <f>IFERROR(__xludf.DUMMYFUNCTION("""COMPUTED_VALUE"""),"418")</f>
        <v>418</v>
      </c>
      <c r="B90" s="265" t="str">
        <f>IFERROR(__xludf.DUMMYFUNCTION("""COMPUTED_VALUE"""),"Hà Nội")</f>
        <v>Hà Nội</v>
      </c>
      <c r="C90" s="265" t="str">
        <f>IFERROR(__xludf.DUMMYFUNCTION("""COMPUTED_VALUE"""),"Locked")</f>
        <v>Locked</v>
      </c>
      <c r="D90" s="265" t="str">
        <f>IFERROR(__xludf.DUMMYFUNCTION("""COMPUTED_VALUE"""),"Sale chưa cung cấp")</f>
        <v>Sale chưa cung cấp</v>
      </c>
      <c r="E90" s="265" t="str">
        <f>IFERROR(__xludf.DUMMYFUNCTION("""COMPUTED_VALUE"""),"(Không recheck)")</f>
        <v>(Không recheck)</v>
      </c>
      <c r="F90" s="265" t="str">
        <f>IFERROR(__xludf.DUMMYFUNCTION("""COMPUTED_VALUE"""),"Sale chưa cung cấp")</f>
        <v>Sale chưa cung cấp</v>
      </c>
      <c r="G90" s="265" t="str">
        <f>IFERROR(__xludf.DUMMYFUNCTION("""COMPUTED_VALUE"""),"Enterprise")</f>
        <v>Enterprise</v>
      </c>
      <c r="H90" s="265" t="str">
        <f>IFERROR(__xludf.DUMMYFUNCTION("""COMPUTED_VALUE"""),"Trial")</f>
        <v>Trial</v>
      </c>
      <c r="I90" s="265" t="str">
        <f>IFERROR(__xludf.DUMMYFUNCTION("""COMPUTED_VALUE"""),"(Không recheck)")</f>
        <v>(Không recheck)</v>
      </c>
      <c r="J90" s="265" t="str">
        <f>IFERROR(__xludf.DUMMYFUNCTION("""COMPUTED_VALUE"""),"(Không recheck)")</f>
        <v>(Không recheck)</v>
      </c>
    </row>
    <row r="91">
      <c r="A91" s="265" t="str">
        <f>IFERROR(__xludf.DUMMYFUNCTION("""COMPUTED_VALUE"""),"420")</f>
        <v>420</v>
      </c>
      <c r="B91" s="265" t="str">
        <f>IFERROR(__xludf.DUMMYFUNCTION("""COMPUTED_VALUE"""),"Hà Nội")</f>
        <v>Hà Nội</v>
      </c>
      <c r="C91" s="265" t="str">
        <f>IFERROR(__xludf.DUMMYFUNCTION("""COMPUTED_VALUE"""),"Active")</f>
        <v>Active</v>
      </c>
      <c r="D91" s="265" t="str">
        <f>IFERROR(__xludf.DUMMYFUNCTION("""COMPUTED_VALUE"""),"Sale chưa cung cấp")</f>
        <v>Sale chưa cung cấp</v>
      </c>
      <c r="E91" s="265" t="str">
        <f>IFERROR(__xludf.DUMMYFUNCTION("""COMPUTED_VALUE"""),"TùngLD")</f>
        <v>TùngLD</v>
      </c>
      <c r="F91" s="265" t="str">
        <f>IFERROR(__xludf.DUMMYFUNCTION("""COMPUTED_VALUE"""),"Diamond")</f>
        <v>Diamond</v>
      </c>
      <c r="G91" s="265" t="str">
        <f>IFERROR(__xludf.DUMMYFUNCTION("""COMPUTED_VALUE"""),"Enterprise")</f>
        <v>Enterprise</v>
      </c>
      <c r="H91" s="265" t="str">
        <f>IFERROR(__xludf.DUMMYFUNCTION("""COMPUTED_VALUE"""),"Trả sau")</f>
        <v>Trả sau</v>
      </c>
      <c r="I91" s="265" t="str">
        <f>IFERROR(__xludf.DUMMYFUNCTION("""COMPUTED_VALUE"""),"API &amp; Portal")</f>
        <v>API &amp; Portal</v>
      </c>
      <c r="J91" s="265" t="str">
        <f>IFERROR(__xludf.DUMMYFUNCTION("""COMPUTED_VALUE"""),"LinhNTT1")</f>
        <v>LinhNTT1</v>
      </c>
    </row>
    <row r="92">
      <c r="A92" s="265" t="str">
        <f>IFERROR(__xludf.DUMMYFUNCTION("""COMPUTED_VALUE"""),"421")</f>
        <v>421</v>
      </c>
      <c r="B92" s="265" t="str">
        <f>IFERROR(__xludf.DUMMYFUNCTION("""COMPUTED_VALUE"""),"Hà Nội")</f>
        <v>Hà Nội</v>
      </c>
      <c r="C92" s="265" t="str">
        <f>IFERROR(__xludf.DUMMYFUNCTION("""COMPUTED_VALUE"""),"Locked")</f>
        <v>Locked</v>
      </c>
      <c r="D92" s="265" t="str">
        <f>IFERROR(__xludf.DUMMYFUNCTION("""COMPUTED_VALUE"""),"Sale chưa cung cấp")</f>
        <v>Sale chưa cung cấp</v>
      </c>
      <c r="E92" s="265" t="str">
        <f>IFERROR(__xludf.DUMMYFUNCTION("""COMPUTED_VALUE"""),"TùngLD")</f>
        <v>TùngLD</v>
      </c>
      <c r="F92" s="265" t="str">
        <f>IFERROR(__xludf.DUMMYFUNCTION("""COMPUTED_VALUE"""),"Diamond")</f>
        <v>Diamond</v>
      </c>
      <c r="G92" s="265" t="str">
        <f>IFERROR(__xludf.DUMMYFUNCTION("""COMPUTED_VALUE"""),"Enterprise")</f>
        <v>Enterprise</v>
      </c>
      <c r="H92" s="265" t="str">
        <f>IFERROR(__xludf.DUMMYFUNCTION("""COMPUTED_VALUE"""),"Trả sau")</f>
        <v>Trả sau</v>
      </c>
      <c r="I92" s="265" t="str">
        <f>IFERROR(__xludf.DUMMYFUNCTION("""COMPUTED_VALUE"""),"API &amp; Portal")</f>
        <v>API &amp; Portal</v>
      </c>
      <c r="J92" s="265" t="str">
        <f>IFERROR(__xludf.DUMMYFUNCTION("""COMPUTED_VALUE"""),"LinhNTT1")</f>
        <v>LinhNTT1</v>
      </c>
    </row>
    <row r="93">
      <c r="A93" s="265" t="str">
        <f>IFERROR(__xludf.DUMMYFUNCTION("""COMPUTED_VALUE"""),"422")</f>
        <v>422</v>
      </c>
      <c r="B93" s="265" t="str">
        <f>IFERROR(__xludf.DUMMYFUNCTION("""COMPUTED_VALUE"""),"Hà Nội")</f>
        <v>Hà Nội</v>
      </c>
      <c r="C93" s="265" t="str">
        <f>IFERROR(__xludf.DUMMYFUNCTION("""COMPUTED_VALUE"""),"Locked")</f>
        <v>Locked</v>
      </c>
      <c r="D93" s="265" t="str">
        <f>IFERROR(__xludf.DUMMYFUNCTION("""COMPUTED_VALUE"""),"Sale chưa cung cấp")</f>
        <v>Sale chưa cung cấp</v>
      </c>
      <c r="E93" s="265" t="str">
        <f>IFERROR(__xludf.DUMMYFUNCTION("""COMPUTED_VALUE"""),"TùngLD")</f>
        <v>TùngLD</v>
      </c>
      <c r="F93" s="265" t="str">
        <f>IFERROR(__xludf.DUMMYFUNCTION("""COMPUTED_VALUE"""),"Diamond")</f>
        <v>Diamond</v>
      </c>
      <c r="G93" s="265" t="str">
        <f>IFERROR(__xludf.DUMMYFUNCTION("""COMPUTED_VALUE"""),"Enterprise")</f>
        <v>Enterprise</v>
      </c>
      <c r="H93" s="265" t="str">
        <f>IFERROR(__xludf.DUMMYFUNCTION("""COMPUTED_VALUE"""),"Trả sau")</f>
        <v>Trả sau</v>
      </c>
      <c r="I93" s="265" t="str">
        <f>IFERROR(__xludf.DUMMYFUNCTION("""COMPUTED_VALUE"""),"API &amp; Portal")</f>
        <v>API &amp; Portal</v>
      </c>
      <c r="J93" s="265" t="str">
        <f>IFERROR(__xludf.DUMMYFUNCTION("""COMPUTED_VALUE"""),"LinhNTT1")</f>
        <v>LinhNTT1</v>
      </c>
    </row>
    <row r="94">
      <c r="A94" s="265" t="str">
        <f>IFERROR(__xludf.DUMMYFUNCTION("""COMPUTED_VALUE"""),"423")</f>
        <v>423</v>
      </c>
      <c r="B94" s="265" t="str">
        <f>IFERROR(__xludf.DUMMYFUNCTION("""COMPUTED_VALUE"""),"Hà Nội")</f>
        <v>Hà Nội</v>
      </c>
      <c r="C94" s="265" t="str">
        <f>IFERROR(__xludf.DUMMYFUNCTION("""COMPUTED_VALUE"""),"Locked")</f>
        <v>Locked</v>
      </c>
      <c r="D94" s="265" t="str">
        <f>IFERROR(__xludf.DUMMYFUNCTION("""COMPUTED_VALUE"""),"Sale chưa cung cấp")</f>
        <v>Sale chưa cung cấp</v>
      </c>
      <c r="E94" s="265" t="str">
        <f>IFERROR(__xludf.DUMMYFUNCTION("""COMPUTED_VALUE"""),"TùngLD")</f>
        <v>TùngLD</v>
      </c>
      <c r="F94" s="265" t="str">
        <f>IFERROR(__xludf.DUMMYFUNCTION("""COMPUTED_VALUE"""),"Gold")</f>
        <v>Gold</v>
      </c>
      <c r="G94" s="265" t="str">
        <f>IFERROR(__xludf.DUMMYFUNCTION("""COMPUTED_VALUE"""),"Enterprise")</f>
        <v>Enterprise</v>
      </c>
      <c r="H94" s="265" t="str">
        <f>IFERROR(__xludf.DUMMYFUNCTION("""COMPUTED_VALUE"""),"Trả sau")</f>
        <v>Trả sau</v>
      </c>
      <c r="I94" s="265" t="str">
        <f>IFERROR(__xludf.DUMMYFUNCTION("""COMPUTED_VALUE"""),"API &amp; Portal")</f>
        <v>API &amp; Portal</v>
      </c>
      <c r="J94" s="265" t="str">
        <f>IFERROR(__xludf.DUMMYFUNCTION("""COMPUTED_VALUE"""),"LinhNTT1")</f>
        <v>LinhNTT1</v>
      </c>
    </row>
    <row r="95">
      <c r="A95" s="265" t="str">
        <f>IFERROR(__xludf.DUMMYFUNCTION("""COMPUTED_VALUE"""),"424")</f>
        <v>424</v>
      </c>
      <c r="B95" s="265" t="str">
        <f>IFERROR(__xludf.DUMMYFUNCTION("""COMPUTED_VALUE"""),"Đà Nẵng")</f>
        <v>Đà Nẵng</v>
      </c>
      <c r="C95" s="265" t="str">
        <f>IFERROR(__xludf.DUMMYFUNCTION("""COMPUTED_VALUE"""),"Locked")</f>
        <v>Locked</v>
      </c>
      <c r="D95" s="265" t="str">
        <f>IFERROR(__xludf.DUMMYFUNCTION("""COMPUTED_VALUE"""),"Sale chưa cung cấp")</f>
        <v>Sale chưa cung cấp</v>
      </c>
      <c r="E95" s="265" t="str">
        <f>IFERROR(__xludf.DUMMYFUNCTION("""COMPUTED_VALUE"""),"MaiTP")</f>
        <v>MaiTP</v>
      </c>
      <c r="F95" s="265" t="str">
        <f>IFERROR(__xludf.DUMMYFUNCTION("""COMPUTED_VALUE"""),"Sale chưa cung cấp")</f>
        <v>Sale chưa cung cấp</v>
      </c>
      <c r="G95" s="265" t="str">
        <f>IFERROR(__xludf.DUMMYFUNCTION("""COMPUTED_VALUE"""),"Enterprise")</f>
        <v>Enterprise</v>
      </c>
      <c r="H95" s="265" t="str">
        <f>IFERROR(__xludf.DUMMYFUNCTION("""COMPUTED_VALUE"""),"(Chưa recheck)")</f>
        <v>(Chưa recheck)</v>
      </c>
      <c r="I95" s="265" t="str">
        <f>IFERROR(__xludf.DUMMYFUNCTION("""COMPUTED_VALUE"""),"(Chưa recheck)")</f>
        <v>(Chưa recheck)</v>
      </c>
      <c r="J95" s="265" t="str">
        <f>IFERROR(__xludf.DUMMYFUNCTION("""COMPUTED_VALUE"""),"(Chưa recheck)")</f>
        <v>(Chưa recheck)</v>
      </c>
    </row>
    <row r="96">
      <c r="A96" s="265" t="str">
        <f>IFERROR(__xludf.DUMMYFUNCTION("""COMPUTED_VALUE"""),"425")</f>
        <v>425</v>
      </c>
      <c r="B96" s="265" t="str">
        <f>IFERROR(__xludf.DUMMYFUNCTION("""COMPUTED_VALUE"""),"Hà Nội")</f>
        <v>Hà Nội</v>
      </c>
      <c r="C96" s="265" t="str">
        <f>IFERROR(__xludf.DUMMYFUNCTION("""COMPUTED_VALUE"""),"Active")</f>
        <v>Active</v>
      </c>
      <c r="D96" s="265" t="str">
        <f>IFERROR(__xludf.DUMMYFUNCTION("""COMPUTED_VALUE"""),"Thực phẩm và đồ uống")</f>
        <v>Thực phẩm và đồ uống</v>
      </c>
      <c r="E96" s="265" t="str">
        <f>IFERROR(__xludf.DUMMYFUNCTION("""COMPUTED_VALUE"""),"AnhNM")</f>
        <v>AnhNM</v>
      </c>
      <c r="F96" s="265" t="str">
        <f>IFERROR(__xludf.DUMMYFUNCTION("""COMPUTED_VALUE"""),"Silver")</f>
        <v>Silver</v>
      </c>
      <c r="G96" s="265" t="str">
        <f>IFERROR(__xludf.DUMMYFUNCTION("""COMPUTED_VALUE"""),"Starter")</f>
        <v>Starter</v>
      </c>
      <c r="H96" s="265" t="str">
        <f>IFERROR(__xludf.DUMMYFUNCTION("""COMPUTED_VALUE"""),"Trả sau")</f>
        <v>Trả sau</v>
      </c>
      <c r="I96" s="265" t="str">
        <f>IFERROR(__xludf.DUMMYFUNCTION("""COMPUTED_VALUE"""),"API")</f>
        <v>API</v>
      </c>
      <c r="J96" s="265" t="str">
        <f>IFERROR(__xludf.DUMMYFUNCTION("""COMPUTED_VALUE"""),"LinhNTT1")</f>
        <v>LinhNTT1</v>
      </c>
    </row>
    <row r="97">
      <c r="A97" s="265" t="str">
        <f>IFERROR(__xludf.DUMMYFUNCTION("""COMPUTED_VALUE"""),"428")</f>
        <v>428</v>
      </c>
      <c r="B97" s="265" t="str">
        <f>IFERROR(__xludf.DUMMYFUNCTION("""COMPUTED_VALUE"""),"Hà Nội")</f>
        <v>Hà Nội</v>
      </c>
      <c r="C97" s="265" t="str">
        <f>IFERROR(__xludf.DUMMYFUNCTION("""COMPUTED_VALUE"""),"Active")</f>
        <v>Active</v>
      </c>
      <c r="D97" s="265" t="str">
        <f>IFERROR(__xludf.DUMMYFUNCTION("""COMPUTED_VALUE"""),"Sale chưa cung cấp")</f>
        <v>Sale chưa cung cấp</v>
      </c>
      <c r="E97" s="265" t="str">
        <f>IFERROR(__xludf.DUMMYFUNCTION("""COMPUTED_VALUE"""),"AnhNM")</f>
        <v>AnhNM</v>
      </c>
      <c r="F97" s="265" t="str">
        <f>IFERROR(__xludf.DUMMYFUNCTION("""COMPUTED_VALUE"""),"Silver")</f>
        <v>Silver</v>
      </c>
      <c r="G97" s="265" t="str">
        <f>IFERROR(__xludf.DUMMYFUNCTION("""COMPUTED_VALUE"""),"Premium")</f>
        <v>Premium</v>
      </c>
      <c r="H97" s="265" t="str">
        <f>IFERROR(__xludf.DUMMYFUNCTION("""COMPUTED_VALUE"""),"Trả sau")</f>
        <v>Trả sau</v>
      </c>
      <c r="I97" s="265" t="str">
        <f>IFERROR(__xludf.DUMMYFUNCTION("""COMPUTED_VALUE"""),"API &amp; Portal")</f>
        <v>API &amp; Portal</v>
      </c>
      <c r="J97" s="265" t="str">
        <f>IFERROR(__xludf.DUMMYFUNCTION("""COMPUTED_VALUE"""),"DungPL")</f>
        <v>DungPL</v>
      </c>
    </row>
    <row r="98">
      <c r="A98" s="265" t="str">
        <f>IFERROR(__xludf.DUMMYFUNCTION("""COMPUTED_VALUE"""),"426")</f>
        <v>426</v>
      </c>
      <c r="B98" s="265" t="str">
        <f>IFERROR(__xludf.DUMMYFUNCTION("""COMPUTED_VALUE"""),"Sài Gòn")</f>
        <v>Sài Gòn</v>
      </c>
      <c r="C98" s="265" t="str">
        <f>IFERROR(__xludf.DUMMYFUNCTION("""COMPUTED_VALUE"""),"Locked")</f>
        <v>Locked</v>
      </c>
      <c r="D98" s="265" t="str">
        <f>IFERROR(__xludf.DUMMYFUNCTION("""COMPUTED_VALUE"""),"Sale chưa cung cấp")</f>
        <v>Sale chưa cung cấp</v>
      </c>
      <c r="E98" s="265" t="str">
        <f>IFERROR(__xludf.DUMMYFUNCTION("""COMPUTED_VALUE"""),"HoaNTM")</f>
        <v>HoaNTM</v>
      </c>
      <c r="F98" s="265" t="str">
        <f>IFERROR(__xludf.DUMMYFUNCTION("""COMPUTED_VALUE"""),"Sale chưa cung cấp")</f>
        <v>Sale chưa cung cấp</v>
      </c>
      <c r="G98" s="265" t="str">
        <f>IFERROR(__xludf.DUMMYFUNCTION("""COMPUTED_VALUE"""),"API")</f>
        <v>API</v>
      </c>
      <c r="H98" s="265" t="str">
        <f>IFERROR(__xludf.DUMMYFUNCTION("""COMPUTED_VALUE"""),"Trả sau")</f>
        <v>Trả sau</v>
      </c>
      <c r="I98" s="265" t="str">
        <f>IFERROR(__xludf.DUMMYFUNCTION("""COMPUTED_VALUE"""),"API")</f>
        <v>API</v>
      </c>
      <c r="J98" s="265" t="str">
        <f>IFERROR(__xludf.DUMMYFUNCTION("""COMPUTED_VALUE"""),"DungPL")</f>
        <v>DungPL</v>
      </c>
    </row>
    <row r="99">
      <c r="A99" s="265" t="str">
        <f>IFERROR(__xludf.DUMMYFUNCTION("""COMPUTED_VALUE"""),"429")</f>
        <v>429</v>
      </c>
      <c r="B99" s="265" t="str">
        <f>IFERROR(__xludf.DUMMYFUNCTION("""COMPUTED_VALUE"""),"Hà Nội")</f>
        <v>Hà Nội</v>
      </c>
      <c r="C99" s="265" t="str">
        <f>IFERROR(__xludf.DUMMYFUNCTION("""COMPUTED_VALUE"""),"Locked")</f>
        <v>Locked</v>
      </c>
      <c r="D99" s="265" t="str">
        <f>IFERROR(__xludf.DUMMYFUNCTION("""COMPUTED_VALUE"""),"Sale chưa cung cấp")</f>
        <v>Sale chưa cung cấp</v>
      </c>
      <c r="E99" s="265" t="str">
        <f>IFERROR(__xludf.DUMMYFUNCTION("""COMPUTED_VALUE"""),"NamDT")</f>
        <v>NamDT</v>
      </c>
      <c r="F99" s="265" t="str">
        <f>IFERROR(__xludf.DUMMYFUNCTION("""COMPUTED_VALUE"""),"Sale chưa cung cấp")</f>
        <v>Sale chưa cung cấp</v>
      </c>
      <c r="G99" s="265" t="str">
        <f>IFERROR(__xludf.DUMMYFUNCTION("""COMPUTED_VALUE"""),"Enterprise")</f>
        <v>Enterprise</v>
      </c>
      <c r="H99" s="265" t="str">
        <f>IFERROR(__xludf.DUMMYFUNCTION("""COMPUTED_VALUE"""),"(Chưa recheck)")</f>
        <v>(Chưa recheck)</v>
      </c>
      <c r="I99" s="265" t="str">
        <f>IFERROR(__xludf.DUMMYFUNCTION("""COMPUTED_VALUE"""),"(Chưa recheck)")</f>
        <v>(Chưa recheck)</v>
      </c>
      <c r="J99" s="265" t="str">
        <f>IFERROR(__xludf.DUMMYFUNCTION("""COMPUTED_VALUE"""),"(Chưa recheck)")</f>
        <v>(Chưa recheck)</v>
      </c>
    </row>
    <row r="100">
      <c r="A100" s="265" t="str">
        <f>IFERROR(__xludf.DUMMYFUNCTION("""COMPUTED_VALUE"""),"427")</f>
        <v>427</v>
      </c>
      <c r="B100" s="265" t="str">
        <f>IFERROR(__xludf.DUMMYFUNCTION("""COMPUTED_VALUE"""),"Sài Gòn")</f>
        <v>Sài Gòn</v>
      </c>
      <c r="C100" s="265" t="str">
        <f>IFERROR(__xludf.DUMMYFUNCTION("""COMPUTED_VALUE"""),"Locked")</f>
        <v>Locked</v>
      </c>
      <c r="D100" s="265" t="str">
        <f>IFERROR(__xludf.DUMMYFUNCTION("""COMPUTED_VALUE"""),"Sale chưa cung cấp")</f>
        <v>Sale chưa cung cấp</v>
      </c>
      <c r="E100" s="265" t="str">
        <f>IFERROR(__xludf.DUMMYFUNCTION("""COMPUTED_VALUE"""),"HoaNTM")</f>
        <v>HoaNTM</v>
      </c>
      <c r="F100" s="265" t="str">
        <f>IFERROR(__xludf.DUMMYFUNCTION("""COMPUTED_VALUE"""),"Bronze")</f>
        <v>Bronze</v>
      </c>
      <c r="G100" s="265" t="str">
        <f>IFERROR(__xludf.DUMMYFUNCTION("""COMPUTED_VALUE"""),"MSG")</f>
        <v>MSG</v>
      </c>
      <c r="H100" s="265" t="str">
        <f>IFERROR(__xludf.DUMMYFUNCTION("""COMPUTED_VALUE"""),"(Chưa recheck)")</f>
        <v>(Chưa recheck)</v>
      </c>
      <c r="I100" s="265" t="str">
        <f>IFERROR(__xludf.DUMMYFUNCTION("""COMPUTED_VALUE"""),"(Chưa recheck)")</f>
        <v>(Chưa recheck)</v>
      </c>
      <c r="J100" s="265" t="str">
        <f>IFERROR(__xludf.DUMMYFUNCTION("""COMPUTED_VALUE"""),"AnhNM")</f>
        <v>AnhNM</v>
      </c>
    </row>
    <row r="101">
      <c r="A101" s="265" t="str">
        <f>IFERROR(__xludf.DUMMYFUNCTION("""COMPUTED_VALUE"""),"431")</f>
        <v>431</v>
      </c>
      <c r="B101" s="265" t="str">
        <f>IFERROR(__xludf.DUMMYFUNCTION("""COMPUTED_VALUE"""),"Đà Nẵng")</f>
        <v>Đà Nẵng</v>
      </c>
      <c r="C101" s="265" t="str">
        <f>IFERROR(__xludf.DUMMYFUNCTION("""COMPUTED_VALUE"""),"Active")</f>
        <v>Active</v>
      </c>
      <c r="D101" s="265" t="str">
        <f>IFERROR(__xludf.DUMMYFUNCTION("""COMPUTED_VALUE"""),"Sale chưa cung cấp")</f>
        <v>Sale chưa cung cấp</v>
      </c>
      <c r="E101" s="265" t="str">
        <f>IFERROR(__xludf.DUMMYFUNCTION("""COMPUTED_VALUE"""),"AnhNM")</f>
        <v>AnhNM</v>
      </c>
      <c r="F101" s="265" t="str">
        <f>IFERROR(__xludf.DUMMYFUNCTION("""COMPUTED_VALUE"""),"Gold")</f>
        <v>Gold</v>
      </c>
      <c r="G101" s="265" t="str">
        <f>IFERROR(__xludf.DUMMYFUNCTION("""COMPUTED_VALUE"""),"Enterprise")</f>
        <v>Enterprise</v>
      </c>
      <c r="H101" s="265" t="str">
        <f>IFERROR(__xludf.DUMMYFUNCTION("""COMPUTED_VALUE"""),"Trả sau")</f>
        <v>Trả sau</v>
      </c>
      <c r="I101" s="265" t="str">
        <f>IFERROR(__xludf.DUMMYFUNCTION("""COMPUTED_VALUE"""),"API &amp; Portal")</f>
        <v>API &amp; Portal</v>
      </c>
      <c r="J101" s="265" t="str">
        <f>IFERROR(__xludf.DUMMYFUNCTION("""COMPUTED_VALUE"""),"LinhNTT1")</f>
        <v>LinhNTT1</v>
      </c>
    </row>
    <row r="102">
      <c r="A102" s="265" t="str">
        <f>IFERROR(__xludf.DUMMYFUNCTION("""COMPUTED_VALUE"""),"432")</f>
        <v>432</v>
      </c>
      <c r="B102" s="265" t="str">
        <f>IFERROR(__xludf.DUMMYFUNCTION("""COMPUTED_VALUE"""),"Đà Nẵng")</f>
        <v>Đà Nẵng</v>
      </c>
      <c r="C102" s="265" t="str">
        <f>IFERROR(__xludf.DUMMYFUNCTION("""COMPUTED_VALUE"""),"Active")</f>
        <v>Active</v>
      </c>
      <c r="D102" s="265" t="str">
        <f>IFERROR(__xludf.DUMMYFUNCTION("""COMPUTED_VALUE"""),"Sale chưa cung cấp")</f>
        <v>Sale chưa cung cấp</v>
      </c>
      <c r="E102" s="265" t="str">
        <f>IFERROR(__xludf.DUMMYFUNCTION("""COMPUTED_VALUE"""),"AnhNM")</f>
        <v>AnhNM</v>
      </c>
      <c r="F102" s="265" t="str">
        <f>IFERROR(__xludf.DUMMYFUNCTION("""COMPUTED_VALUE"""),"Silver")</f>
        <v>Silver</v>
      </c>
      <c r="G102" s="265" t="str">
        <f>IFERROR(__xludf.DUMMYFUNCTION("""COMPUTED_VALUE"""),"Enterprise")</f>
        <v>Enterprise</v>
      </c>
      <c r="H102" s="265" t="str">
        <f>IFERROR(__xludf.DUMMYFUNCTION("""COMPUTED_VALUE"""),"Trả sau")</f>
        <v>Trả sau</v>
      </c>
      <c r="I102" s="265" t="str">
        <f>IFERROR(__xludf.DUMMYFUNCTION("""COMPUTED_VALUE"""),"API &amp; Portal")</f>
        <v>API &amp; Portal</v>
      </c>
      <c r="J102" s="265" t="str">
        <f>IFERROR(__xludf.DUMMYFUNCTION("""COMPUTED_VALUE"""),"DungPL")</f>
        <v>DungPL</v>
      </c>
    </row>
    <row r="103">
      <c r="A103" s="265" t="str">
        <f>IFERROR(__xludf.DUMMYFUNCTION("""COMPUTED_VALUE"""),"433")</f>
        <v>433</v>
      </c>
      <c r="B103" s="265" t="str">
        <f>IFERROR(__xludf.DUMMYFUNCTION("""COMPUTED_VALUE"""),"Sài Gòn")</f>
        <v>Sài Gòn</v>
      </c>
      <c r="C103" s="265" t="str">
        <f>IFERROR(__xludf.DUMMYFUNCTION("""COMPUTED_VALUE"""),"Active")</f>
        <v>Active</v>
      </c>
      <c r="D103" s="265" t="str">
        <f>IFERROR(__xludf.DUMMYFUNCTION("""COMPUTED_VALUE"""),"Sale chưa cung cấp")</f>
        <v>Sale chưa cung cấp</v>
      </c>
      <c r="E103" s="265" t="str">
        <f>IFERROR(__xludf.DUMMYFUNCTION("""COMPUTED_VALUE"""),"AnhNM")</f>
        <v>AnhNM</v>
      </c>
      <c r="F103" s="265" t="str">
        <f>IFERROR(__xludf.DUMMYFUNCTION("""COMPUTED_VALUE"""),"Silver")</f>
        <v>Silver</v>
      </c>
      <c r="G103" s="265" t="str">
        <f>IFERROR(__xludf.DUMMYFUNCTION("""COMPUTED_VALUE"""),"Enterprise")</f>
        <v>Enterprise</v>
      </c>
      <c r="H103" s="265" t="str">
        <f>IFERROR(__xludf.DUMMYFUNCTION("""COMPUTED_VALUE"""),"Trả trước")</f>
        <v>Trả trước</v>
      </c>
      <c r="I103" s="265" t="str">
        <f>IFERROR(__xludf.DUMMYFUNCTION("""COMPUTED_VALUE"""),"API &amp; Portal")</f>
        <v>API &amp; Portal</v>
      </c>
      <c r="J103" s="265" t="str">
        <f>IFERROR(__xludf.DUMMYFUNCTION("""COMPUTED_VALUE"""),"LinhNTT1")</f>
        <v>LinhNTT1</v>
      </c>
    </row>
    <row r="104">
      <c r="A104" s="265" t="str">
        <f>IFERROR(__xludf.DUMMYFUNCTION("""COMPUTED_VALUE"""),"437")</f>
        <v>437</v>
      </c>
      <c r="B104" s="265" t="str">
        <f>IFERROR(__xludf.DUMMYFUNCTION("""COMPUTED_VALUE"""),"Sài Gòn")</f>
        <v>Sài Gòn</v>
      </c>
      <c r="C104" s="265" t="str">
        <f>IFERROR(__xludf.DUMMYFUNCTION("""COMPUTED_VALUE"""),"Locked")</f>
        <v>Locked</v>
      </c>
      <c r="D104" s="265" t="str">
        <f>IFERROR(__xludf.DUMMYFUNCTION("""COMPUTED_VALUE"""),"Sale chưa cung cấp")</f>
        <v>Sale chưa cung cấp</v>
      </c>
      <c r="E104" s="265" t="str">
        <f>IFERROR(__xludf.DUMMYFUNCTION("""COMPUTED_VALUE"""),"HoaNTM")</f>
        <v>HoaNTM</v>
      </c>
      <c r="F104" s="265" t="str">
        <f>IFERROR(__xludf.DUMMYFUNCTION("""COMPUTED_VALUE"""),"Sale chưa cung cấp")</f>
        <v>Sale chưa cung cấp</v>
      </c>
      <c r="G104" s="265" t="str">
        <f>IFERROR(__xludf.DUMMYFUNCTION("""COMPUTED_VALUE"""),"API")</f>
        <v>API</v>
      </c>
      <c r="H104" s="265" t="str">
        <f>IFERROR(__xludf.DUMMYFUNCTION("""COMPUTED_VALUE"""),"(Chưa recheck)")</f>
        <v>(Chưa recheck)</v>
      </c>
      <c r="I104" s="265" t="str">
        <f>IFERROR(__xludf.DUMMYFUNCTION("""COMPUTED_VALUE"""),"(Chưa recheck)")</f>
        <v>(Chưa recheck)</v>
      </c>
      <c r="J104" s="265" t="str">
        <f>IFERROR(__xludf.DUMMYFUNCTION("""COMPUTED_VALUE"""),"(Chưa recheck)")</f>
        <v>(Chưa recheck)</v>
      </c>
    </row>
    <row r="105">
      <c r="A105" s="265" t="str">
        <f>IFERROR(__xludf.DUMMYFUNCTION("""COMPUTED_VALUE"""),"438")</f>
        <v>438</v>
      </c>
      <c r="B105" s="265" t="str">
        <f>IFERROR(__xludf.DUMMYFUNCTION("""COMPUTED_VALUE"""),"Sài Gòn")</f>
        <v>Sài Gòn</v>
      </c>
      <c r="C105" s="265" t="str">
        <f>IFERROR(__xludf.DUMMYFUNCTION("""COMPUTED_VALUE"""),"Locked")</f>
        <v>Locked</v>
      </c>
      <c r="D105" s="265" t="str">
        <f>IFERROR(__xludf.DUMMYFUNCTION("""COMPUTED_VALUE"""),"Sale chưa cung cấp")</f>
        <v>Sale chưa cung cấp</v>
      </c>
      <c r="E105" s="265" t="str">
        <f>IFERROR(__xludf.DUMMYFUNCTION("""COMPUTED_VALUE"""),"PhươngDTB")</f>
        <v>PhươngDTB</v>
      </c>
      <c r="F105" s="265" t="str">
        <f>IFERROR(__xludf.DUMMYFUNCTION("""COMPUTED_VALUE"""),"Bronze")</f>
        <v>Bronze</v>
      </c>
      <c r="G105" s="265" t="str">
        <f>IFERROR(__xludf.DUMMYFUNCTION("""COMPUTED_VALUE"""),"MSG")</f>
        <v>MSG</v>
      </c>
      <c r="H105" s="265" t="str">
        <f>IFERROR(__xludf.DUMMYFUNCTION("""COMPUTED_VALUE"""),"(Chưa recheck)")</f>
        <v>(Chưa recheck)</v>
      </c>
      <c r="I105" s="265" t="str">
        <f>IFERROR(__xludf.DUMMYFUNCTION("""COMPUTED_VALUE"""),"(Chưa recheck)")</f>
        <v>(Chưa recheck)</v>
      </c>
      <c r="J105" s="265" t="str">
        <f>IFERROR(__xludf.DUMMYFUNCTION("""COMPUTED_VALUE"""),"AnhNM")</f>
        <v>AnhNM</v>
      </c>
    </row>
    <row r="106">
      <c r="A106" s="265" t="str">
        <f>IFERROR(__xludf.DUMMYFUNCTION("""COMPUTED_VALUE"""),"439")</f>
        <v>439</v>
      </c>
      <c r="B106" s="265" t="str">
        <f>IFERROR(__xludf.DUMMYFUNCTION("""COMPUTED_VALUE"""),"Hà Nội")</f>
        <v>Hà Nội</v>
      </c>
      <c r="C106" s="265" t="str">
        <f>IFERROR(__xludf.DUMMYFUNCTION("""COMPUTED_VALUE"""),"Locked")</f>
        <v>Locked</v>
      </c>
      <c r="D106" s="265" t="str">
        <f>IFERROR(__xludf.DUMMYFUNCTION("""COMPUTED_VALUE"""),"Sale chưa cung cấp")</f>
        <v>Sale chưa cung cấp</v>
      </c>
      <c r="E106" s="265" t="str">
        <f>IFERROR(__xludf.DUMMYFUNCTION("""COMPUTED_VALUE"""),"NamDT")</f>
        <v>NamDT</v>
      </c>
      <c r="F106" s="265" t="str">
        <f>IFERROR(__xludf.DUMMYFUNCTION("""COMPUTED_VALUE"""),"Sale chưa cung cấp")</f>
        <v>Sale chưa cung cấp</v>
      </c>
      <c r="G106" s="265" t="str">
        <f>IFERROR(__xludf.DUMMYFUNCTION("""COMPUTED_VALUE"""),"Enterprise")</f>
        <v>Enterprise</v>
      </c>
      <c r="H106" s="265" t="str">
        <f>IFERROR(__xludf.DUMMYFUNCTION("""COMPUTED_VALUE"""),"Trial")</f>
        <v>Trial</v>
      </c>
      <c r="I106" s="265" t="str">
        <f>IFERROR(__xludf.DUMMYFUNCTION("""COMPUTED_VALUE"""),"(Không recheck)")</f>
        <v>(Không recheck)</v>
      </c>
      <c r="J106" s="265" t="str">
        <f>IFERROR(__xludf.DUMMYFUNCTION("""COMPUTED_VALUE"""),"(Không recheck)")</f>
        <v>(Không recheck)</v>
      </c>
    </row>
    <row r="107">
      <c r="A107" s="265" t="str">
        <f>IFERROR(__xludf.DUMMYFUNCTION("""COMPUTED_VALUE"""),"440")</f>
        <v>440</v>
      </c>
      <c r="B107" s="265" t="str">
        <f>IFERROR(__xludf.DUMMYFUNCTION("""COMPUTED_VALUE"""),"Sài Gòn")</f>
        <v>Sài Gòn</v>
      </c>
      <c r="C107" s="265" t="str">
        <f>IFERROR(__xludf.DUMMYFUNCTION("""COMPUTED_VALUE"""),"Locked")</f>
        <v>Locked</v>
      </c>
      <c r="D107" s="265" t="str">
        <f>IFERROR(__xludf.DUMMYFUNCTION("""COMPUTED_VALUE"""),"Sale chưa cung cấp")</f>
        <v>Sale chưa cung cấp</v>
      </c>
      <c r="E107" s="265" t="str">
        <f>IFERROR(__xludf.DUMMYFUNCTION("""COMPUTED_VALUE"""),"TúPHN")</f>
        <v>TúPHN</v>
      </c>
      <c r="F107" s="265" t="str">
        <f>IFERROR(__xludf.DUMMYFUNCTION("""COMPUTED_VALUE"""),"Bronze")</f>
        <v>Bronze</v>
      </c>
      <c r="G107" s="265" t="str">
        <f>IFERROR(__xludf.DUMMYFUNCTION("""COMPUTED_VALUE"""),"MSG")</f>
        <v>MSG</v>
      </c>
      <c r="H107" s="265" t="str">
        <f>IFERROR(__xludf.DUMMYFUNCTION("""COMPUTED_VALUE"""),"(Chưa recheck)")</f>
        <v>(Chưa recheck)</v>
      </c>
      <c r="I107" s="265" t="str">
        <f>IFERROR(__xludf.DUMMYFUNCTION("""COMPUTED_VALUE"""),"(Chưa recheck)")</f>
        <v>(Chưa recheck)</v>
      </c>
      <c r="J107" s="265" t="str">
        <f>IFERROR(__xludf.DUMMYFUNCTION("""COMPUTED_VALUE"""),"AnhNM")</f>
        <v>AnhNM</v>
      </c>
    </row>
    <row r="108">
      <c r="A108" s="265" t="str">
        <f>IFERROR(__xludf.DUMMYFUNCTION("""COMPUTED_VALUE"""),"307")</f>
        <v>307</v>
      </c>
      <c r="B108" s="265" t="str">
        <f>IFERROR(__xludf.DUMMYFUNCTION("""COMPUTED_VALUE"""),"Hà Nội")</f>
        <v>Hà Nội</v>
      </c>
      <c r="C108" s="265" t="str">
        <f>IFERROR(__xludf.DUMMYFUNCTION("""COMPUTED_VALUE"""),"Locked")</f>
        <v>Locked</v>
      </c>
      <c r="D108" s="265" t="str">
        <f>IFERROR(__xludf.DUMMYFUNCTION("""COMPUTED_VALUE"""),"Sale chưa cung cấp")</f>
        <v>Sale chưa cung cấp</v>
      </c>
      <c r="E108" s="265" t="str">
        <f>IFERROR(__xludf.DUMMYFUNCTION("""COMPUTED_VALUE"""),"MaiTP")</f>
        <v>MaiTP</v>
      </c>
      <c r="F108" s="265" t="str">
        <f>IFERROR(__xludf.DUMMYFUNCTION("""COMPUTED_VALUE"""),"Sale chưa cung cấp")</f>
        <v>Sale chưa cung cấp</v>
      </c>
      <c r="G108" s="265" t="str">
        <f>IFERROR(__xludf.DUMMYFUNCTION("""COMPUTED_VALUE"""),"API")</f>
        <v>API</v>
      </c>
      <c r="H108" s="265" t="str">
        <f>IFERROR(__xludf.DUMMYFUNCTION("""COMPUTED_VALUE"""),"(Chưa recheck)")</f>
        <v>(Chưa recheck)</v>
      </c>
      <c r="I108" s="265" t="str">
        <f>IFERROR(__xludf.DUMMYFUNCTION("""COMPUTED_VALUE"""),"(Chưa recheck)")</f>
        <v>(Chưa recheck)</v>
      </c>
      <c r="J108" s="265" t="str">
        <f>IFERROR(__xludf.DUMMYFUNCTION("""COMPUTED_VALUE"""),"(Chưa recheck)")</f>
        <v>(Chưa recheck)</v>
      </c>
    </row>
    <row r="109">
      <c r="A109" s="265" t="str">
        <f>IFERROR(__xludf.DUMMYFUNCTION("""COMPUTED_VALUE"""),"441")</f>
        <v>441</v>
      </c>
      <c r="B109" s="265" t="str">
        <f>IFERROR(__xludf.DUMMYFUNCTION("""COMPUTED_VALUE"""),"Hà Nội")</f>
        <v>Hà Nội</v>
      </c>
      <c r="C109" s="265" t="str">
        <f>IFERROR(__xludf.DUMMYFUNCTION("""COMPUTED_VALUE"""),"Locked")</f>
        <v>Locked</v>
      </c>
      <c r="D109" s="265" t="str">
        <f>IFERROR(__xludf.DUMMYFUNCTION("""COMPUTED_VALUE"""),"Sale chưa cung cấp")</f>
        <v>Sale chưa cung cấp</v>
      </c>
      <c r="E109" s="265" t="str">
        <f>IFERROR(__xludf.DUMMYFUNCTION("""COMPUTED_VALUE"""),"PhươngDTB")</f>
        <v>PhươngDTB</v>
      </c>
      <c r="F109" s="265" t="str">
        <f>IFERROR(__xludf.DUMMYFUNCTION("""COMPUTED_VALUE"""),"Bronze")</f>
        <v>Bronze</v>
      </c>
      <c r="G109" s="265" t="str">
        <f>IFERROR(__xludf.DUMMYFUNCTION("""COMPUTED_VALUE"""),"API")</f>
        <v>API</v>
      </c>
      <c r="H109" s="265" t="str">
        <f>IFERROR(__xludf.DUMMYFUNCTION("""COMPUTED_VALUE"""),"(Chưa recheck)")</f>
        <v>(Chưa recheck)</v>
      </c>
      <c r="I109" s="265" t="str">
        <f>IFERROR(__xludf.DUMMYFUNCTION("""COMPUTED_VALUE"""),"(Chưa recheck)")</f>
        <v>(Chưa recheck)</v>
      </c>
      <c r="J109" s="265" t="str">
        <f>IFERROR(__xludf.DUMMYFUNCTION("""COMPUTED_VALUE"""),"(Chưa recheck)")</f>
        <v>(Chưa recheck)</v>
      </c>
    </row>
    <row r="110">
      <c r="A110" s="265" t="str">
        <f>IFERROR(__xludf.DUMMYFUNCTION("""COMPUTED_VALUE"""),"442")</f>
        <v>442</v>
      </c>
      <c r="B110" s="265" t="str">
        <f>IFERROR(__xludf.DUMMYFUNCTION("""COMPUTED_VALUE"""),"Sài Gòn")</f>
        <v>Sài Gòn</v>
      </c>
      <c r="C110" s="265" t="str">
        <f>IFERROR(__xludf.DUMMYFUNCTION("""COMPUTED_VALUE"""),"Locked")</f>
        <v>Locked</v>
      </c>
      <c r="D110" s="265" t="str">
        <f>IFERROR(__xludf.DUMMYFUNCTION("""COMPUTED_VALUE"""),"Truyền thông &amp; Giải trí")</f>
        <v>Truyền thông &amp; Giải trí</v>
      </c>
      <c r="E110" s="265" t="str">
        <f>IFERROR(__xludf.DUMMYFUNCTION("""COMPUTED_VALUE"""),"Không phân công")</f>
        <v>Không phân công</v>
      </c>
      <c r="F110" s="265" t="str">
        <f>IFERROR(__xludf.DUMMYFUNCTION("""COMPUTED_VALUE"""),"Diamond")</f>
        <v>Diamond</v>
      </c>
      <c r="G110" s="265" t="str">
        <f>IFERROR(__xludf.DUMMYFUNCTION("""COMPUTED_VALUE"""),"Starter")</f>
        <v>Starter</v>
      </c>
      <c r="H110" s="265" t="str">
        <f>IFERROR(__xludf.DUMMYFUNCTION("""COMPUTED_VALUE"""),"Trả sau")</f>
        <v>Trả sau</v>
      </c>
      <c r="I110" s="265" t="str">
        <f>IFERROR(__xludf.DUMMYFUNCTION("""COMPUTED_VALUE"""),"API")</f>
        <v>API</v>
      </c>
      <c r="J110" s="265" t="str">
        <f>IFERROR(__xludf.DUMMYFUNCTION("""COMPUTED_VALUE"""),"LinhNTT1")</f>
        <v>LinhNTT1</v>
      </c>
    </row>
    <row r="111">
      <c r="A111" s="265" t="str">
        <f>IFERROR(__xludf.DUMMYFUNCTION("""COMPUTED_VALUE"""),"443")</f>
        <v>443</v>
      </c>
      <c r="B111" s="265" t="str">
        <f>IFERROR(__xludf.DUMMYFUNCTION("""COMPUTED_VALUE"""),"Hà Nội")</f>
        <v>Hà Nội</v>
      </c>
      <c r="C111" s="265" t="str">
        <f>IFERROR(__xludf.DUMMYFUNCTION("""COMPUTED_VALUE"""),"Locked")</f>
        <v>Locked</v>
      </c>
      <c r="D111" s="265" t="str">
        <f>IFERROR(__xludf.DUMMYFUNCTION("""COMPUTED_VALUE"""),"Sale chưa cung cấp")</f>
        <v>Sale chưa cung cấp</v>
      </c>
      <c r="E111" s="265" t="str">
        <f>IFERROR(__xludf.DUMMYFUNCTION("""COMPUTED_VALUE"""),"PhươngDTB")</f>
        <v>PhươngDTB</v>
      </c>
      <c r="F111" s="265" t="str">
        <f>IFERROR(__xludf.DUMMYFUNCTION("""COMPUTED_VALUE"""),"Bronze")</f>
        <v>Bronze</v>
      </c>
      <c r="G111" s="265" t="str">
        <f>IFERROR(__xludf.DUMMYFUNCTION("""COMPUTED_VALUE"""),"Enterprise")</f>
        <v>Enterprise</v>
      </c>
      <c r="H111" s="265" t="str">
        <f>IFERROR(__xludf.DUMMYFUNCTION("""COMPUTED_VALUE"""),"(Chưa recheck)")</f>
        <v>(Chưa recheck)</v>
      </c>
      <c r="I111" s="265" t="str">
        <f>IFERROR(__xludf.DUMMYFUNCTION("""COMPUTED_VALUE"""),"(Chưa recheck)")</f>
        <v>(Chưa recheck)</v>
      </c>
      <c r="J111" s="265" t="str">
        <f>IFERROR(__xludf.DUMMYFUNCTION("""COMPUTED_VALUE"""),"(Chưa recheck)")</f>
        <v>(Chưa recheck)</v>
      </c>
    </row>
    <row r="112">
      <c r="A112" s="265" t="str">
        <f>IFERROR(__xludf.DUMMYFUNCTION("""COMPUTED_VALUE"""),"446")</f>
        <v>446</v>
      </c>
      <c r="B112" s="265" t="str">
        <f>IFERROR(__xludf.DUMMYFUNCTION("""COMPUTED_VALUE"""),"Hà Nội")</f>
        <v>Hà Nội</v>
      </c>
      <c r="C112" s="265" t="str">
        <f>IFERROR(__xludf.DUMMYFUNCTION("""COMPUTED_VALUE"""),"Active")</f>
        <v>Active</v>
      </c>
      <c r="D112" s="265" t="str">
        <f>IFERROR(__xludf.DUMMYFUNCTION("""COMPUTED_VALUE"""),"Sale chưa cung cấp")</f>
        <v>Sale chưa cung cấp</v>
      </c>
      <c r="E112" s="265" t="str">
        <f>IFERROR(__xludf.DUMMYFUNCTION("""COMPUTED_VALUE"""),"TúPHN")</f>
        <v>TúPHN</v>
      </c>
      <c r="F112" s="265" t="str">
        <f>IFERROR(__xludf.DUMMYFUNCTION("""COMPUTED_VALUE"""),"Bronze")</f>
        <v>Bronze</v>
      </c>
      <c r="G112" s="265" t="str">
        <f>IFERROR(__xludf.DUMMYFUNCTION("""COMPUTED_VALUE"""),"API")</f>
        <v>API</v>
      </c>
      <c r="H112" s="265" t="str">
        <f>IFERROR(__xludf.DUMMYFUNCTION("""COMPUTED_VALUE"""),"Trả sau")</f>
        <v>Trả sau</v>
      </c>
      <c r="I112" s="265" t="str">
        <f>IFERROR(__xludf.DUMMYFUNCTION("""COMPUTED_VALUE"""),"API")</f>
        <v>API</v>
      </c>
      <c r="J112" s="265" t="str">
        <f>IFERROR(__xludf.DUMMYFUNCTION("""COMPUTED_VALUE"""),"DungVT")</f>
        <v>DungVT</v>
      </c>
    </row>
    <row r="113">
      <c r="A113" s="265" t="str">
        <f>IFERROR(__xludf.DUMMYFUNCTION("""COMPUTED_VALUE"""),"445")</f>
        <v>445</v>
      </c>
      <c r="B113" s="265" t="str">
        <f>IFERROR(__xludf.DUMMYFUNCTION("""COMPUTED_VALUE"""),"Sài Gòn")</f>
        <v>Sài Gòn</v>
      </c>
      <c r="C113" s="265" t="str">
        <f>IFERROR(__xludf.DUMMYFUNCTION("""COMPUTED_VALUE"""),"Locked")</f>
        <v>Locked</v>
      </c>
      <c r="D113" s="265" t="str">
        <f>IFERROR(__xludf.DUMMYFUNCTION("""COMPUTED_VALUE"""),"Sale chưa cung cấp")</f>
        <v>Sale chưa cung cấp</v>
      </c>
      <c r="E113" s="265" t="str">
        <f>IFERROR(__xludf.DUMMYFUNCTION("""COMPUTED_VALUE"""),"HoaNTM")</f>
        <v>HoaNTM</v>
      </c>
      <c r="F113" s="265" t="str">
        <f>IFERROR(__xludf.DUMMYFUNCTION("""COMPUTED_VALUE"""),"Sale chưa cung cấp")</f>
        <v>Sale chưa cung cấp</v>
      </c>
      <c r="G113" s="265" t="str">
        <f>IFERROR(__xludf.DUMMYFUNCTION("""COMPUTED_VALUE"""),"MSG")</f>
        <v>MSG</v>
      </c>
      <c r="H113" s="265" t="str">
        <f>IFERROR(__xludf.DUMMYFUNCTION("""COMPUTED_VALUE"""),"(Chưa recheck)")</f>
        <v>(Chưa recheck)</v>
      </c>
      <c r="I113" s="265" t="str">
        <f>IFERROR(__xludf.DUMMYFUNCTION("""COMPUTED_VALUE"""),"(Chưa recheck)")</f>
        <v>(Chưa recheck)</v>
      </c>
      <c r="J113" s="265" t="str">
        <f>IFERROR(__xludf.DUMMYFUNCTION("""COMPUTED_VALUE"""),"AnhNM")</f>
        <v>AnhNM</v>
      </c>
    </row>
    <row r="114">
      <c r="A114" s="265" t="str">
        <f>IFERROR(__xludf.DUMMYFUNCTION("""COMPUTED_VALUE"""),"447")</f>
        <v>447</v>
      </c>
      <c r="B114" s="265" t="str">
        <f>IFERROR(__xludf.DUMMYFUNCTION("""COMPUTED_VALUE"""),"Hà Nội")</f>
        <v>Hà Nội</v>
      </c>
      <c r="C114" s="265" t="str">
        <f>IFERROR(__xludf.DUMMYFUNCTION("""COMPUTED_VALUE"""),"Active")</f>
        <v>Active</v>
      </c>
      <c r="D114" s="265" t="str">
        <f>IFERROR(__xludf.DUMMYFUNCTION("""COMPUTED_VALUE"""),"Sale chưa cung cấp")</f>
        <v>Sale chưa cung cấp</v>
      </c>
      <c r="E114" s="265" t="str">
        <f>IFERROR(__xludf.DUMMYFUNCTION("""COMPUTED_VALUE"""),"AnhNM")</f>
        <v>AnhNM</v>
      </c>
      <c r="F114" s="265" t="str">
        <f>IFERROR(__xludf.DUMMYFUNCTION("""COMPUTED_VALUE"""),"Silver")</f>
        <v>Silver</v>
      </c>
      <c r="G114" s="265" t="str">
        <f>IFERROR(__xludf.DUMMYFUNCTION("""COMPUTED_VALUE"""),"Standard")</f>
        <v>Standard</v>
      </c>
      <c r="H114" s="265" t="str">
        <f>IFERROR(__xludf.DUMMYFUNCTION("""COMPUTED_VALUE"""),"Trả sau")</f>
        <v>Trả sau</v>
      </c>
      <c r="I114" s="265" t="str">
        <f>IFERROR(__xludf.DUMMYFUNCTION("""COMPUTED_VALUE"""),"Portal")</f>
        <v>Portal</v>
      </c>
      <c r="J114" s="265" t="str">
        <f>IFERROR(__xludf.DUMMYFUNCTION("""COMPUTED_VALUE"""),"DungPL")</f>
        <v>DungPL</v>
      </c>
    </row>
    <row r="115">
      <c r="A115" s="265" t="str">
        <f>IFERROR(__xludf.DUMMYFUNCTION("""COMPUTED_VALUE"""),"448")</f>
        <v>448</v>
      </c>
      <c r="B115" s="265" t="str">
        <f>IFERROR(__xludf.DUMMYFUNCTION("""COMPUTED_VALUE"""),"Hà Nội")</f>
        <v>Hà Nội</v>
      </c>
      <c r="C115" s="265" t="str">
        <f>IFERROR(__xludf.DUMMYFUNCTION("""COMPUTED_VALUE"""),"Locked")</f>
        <v>Locked</v>
      </c>
      <c r="D115" s="265" t="str">
        <f>IFERROR(__xludf.DUMMYFUNCTION("""COMPUTED_VALUE"""),"Sale chưa cung cấp")</f>
        <v>Sale chưa cung cấp</v>
      </c>
      <c r="E115" s="265" t="str">
        <f>IFERROR(__xludf.DUMMYFUNCTION("""COMPUTED_VALUE"""),"NamDT")</f>
        <v>NamDT</v>
      </c>
      <c r="F115" s="265" t="str">
        <f>IFERROR(__xludf.DUMMYFUNCTION("""COMPUTED_VALUE"""),"Bronze")</f>
        <v>Bronze</v>
      </c>
      <c r="G115" s="265" t="str">
        <f>IFERROR(__xludf.DUMMYFUNCTION("""COMPUTED_VALUE"""),"Enterprise")</f>
        <v>Enterprise</v>
      </c>
      <c r="H115" s="265" t="str">
        <f>IFERROR(__xludf.DUMMYFUNCTION("""COMPUTED_VALUE"""),"(Chưa recheck)")</f>
        <v>(Chưa recheck)</v>
      </c>
      <c r="I115" s="265" t="str">
        <f>IFERROR(__xludf.DUMMYFUNCTION("""COMPUTED_VALUE"""),"(Chưa recheck)")</f>
        <v>(Chưa recheck)</v>
      </c>
      <c r="J115" s="265" t="str">
        <f>IFERROR(__xludf.DUMMYFUNCTION("""COMPUTED_VALUE"""),"(Chưa recheck)")</f>
        <v>(Chưa recheck)</v>
      </c>
    </row>
    <row r="116">
      <c r="A116" s="265" t="str">
        <f>IFERROR(__xludf.DUMMYFUNCTION("""COMPUTED_VALUE"""),"449")</f>
        <v>449</v>
      </c>
      <c r="B116" s="265" t="str">
        <f>IFERROR(__xludf.DUMMYFUNCTION("""COMPUTED_VALUE"""),"Hà Nội")</f>
        <v>Hà Nội</v>
      </c>
      <c r="C116" s="265" t="str">
        <f>IFERROR(__xludf.DUMMYFUNCTION("""COMPUTED_VALUE"""),"Locked")</f>
        <v>Locked</v>
      </c>
      <c r="D116" s="265" t="str">
        <f>IFERROR(__xludf.DUMMYFUNCTION("""COMPUTED_VALUE"""),"Sale chưa cung cấp")</f>
        <v>Sale chưa cung cấp</v>
      </c>
      <c r="E116" s="265" t="str">
        <f>IFERROR(__xludf.DUMMYFUNCTION("""COMPUTED_VALUE"""),"HangNT")</f>
        <v>HangNT</v>
      </c>
      <c r="F116" s="265" t="str">
        <f>IFERROR(__xludf.DUMMYFUNCTION("""COMPUTED_VALUE"""),"Sale chưa cung cấp")</f>
        <v>Sale chưa cung cấp</v>
      </c>
      <c r="G116" s="265" t="str">
        <f>IFERROR(__xludf.DUMMYFUNCTION("""COMPUTED_VALUE"""),"API")</f>
        <v>API</v>
      </c>
      <c r="H116" s="265" t="str">
        <f>IFERROR(__xludf.DUMMYFUNCTION("""COMPUTED_VALUE"""),"(Chưa recheck)")</f>
        <v>(Chưa recheck)</v>
      </c>
      <c r="I116" s="265" t="str">
        <f>IFERROR(__xludf.DUMMYFUNCTION("""COMPUTED_VALUE"""),"(Chưa recheck)")</f>
        <v>(Chưa recheck)</v>
      </c>
      <c r="J116" s="265" t="str">
        <f>IFERROR(__xludf.DUMMYFUNCTION("""COMPUTED_VALUE"""),"(Chưa recheck)")</f>
        <v>(Chưa recheck)</v>
      </c>
    </row>
    <row r="117">
      <c r="A117" s="265" t="str">
        <f>IFERROR(__xludf.DUMMYFUNCTION("""COMPUTED_VALUE"""),"478")</f>
        <v>478</v>
      </c>
      <c r="B117" s="265" t="str">
        <f>IFERROR(__xludf.DUMMYFUNCTION("""COMPUTED_VALUE"""),"Sài Gòn")</f>
        <v>Sài Gòn</v>
      </c>
      <c r="C117" s="265" t="str">
        <f>IFERROR(__xludf.DUMMYFUNCTION("""COMPUTED_VALUE"""),"Locked")</f>
        <v>Locked</v>
      </c>
      <c r="D117" s="265" t="str">
        <f>IFERROR(__xludf.DUMMYFUNCTION("""COMPUTED_VALUE"""),"Sale chưa cung cấp")</f>
        <v>Sale chưa cung cấp</v>
      </c>
      <c r="E117" s="265" t="str">
        <f>IFERROR(__xludf.DUMMYFUNCTION("""COMPUTED_VALUE"""),"HoaNTM")</f>
        <v>HoaNTM</v>
      </c>
      <c r="F117" s="265" t="str">
        <f>IFERROR(__xludf.DUMMYFUNCTION("""COMPUTED_VALUE"""),"Silver")</f>
        <v>Silver</v>
      </c>
      <c r="G117" s="265" t="str">
        <f>IFERROR(__xludf.DUMMYFUNCTION("""COMPUTED_VALUE"""),"Enterprise")</f>
        <v>Enterprise</v>
      </c>
      <c r="H117" s="265" t="str">
        <f>IFERROR(__xludf.DUMMYFUNCTION("""COMPUTED_VALUE"""),"(Chưa recheck)")</f>
        <v>(Chưa recheck)</v>
      </c>
      <c r="I117" s="265" t="str">
        <f>IFERROR(__xludf.DUMMYFUNCTION("""COMPUTED_VALUE"""),"(Chưa recheck)")</f>
        <v>(Chưa recheck)</v>
      </c>
      <c r="J117" s="265" t="str">
        <f>IFERROR(__xludf.DUMMYFUNCTION("""COMPUTED_VALUE"""),"AnhNM")</f>
        <v>AnhNM</v>
      </c>
    </row>
    <row r="118">
      <c r="A118" s="265" t="str">
        <f>IFERROR(__xludf.DUMMYFUNCTION("""COMPUTED_VALUE"""),"450")</f>
        <v>450</v>
      </c>
      <c r="B118" s="265" t="str">
        <f>IFERROR(__xludf.DUMMYFUNCTION("""COMPUTED_VALUE"""),"Sài Gòn")</f>
        <v>Sài Gòn</v>
      </c>
      <c r="C118" s="265" t="str">
        <f>IFERROR(__xludf.DUMMYFUNCTION("""COMPUTED_VALUE"""),"Active")</f>
        <v>Active</v>
      </c>
      <c r="D118" s="265" t="str">
        <f>IFERROR(__xludf.DUMMYFUNCTION("""COMPUTED_VALUE"""),"Sale chưa cung cấp")</f>
        <v>Sale chưa cung cấp</v>
      </c>
      <c r="E118" s="265" t="str">
        <f>IFERROR(__xludf.DUMMYFUNCTION("""COMPUTED_VALUE"""),"TùngLD")</f>
        <v>TùngLD</v>
      </c>
      <c r="F118" s="265" t="str">
        <f>IFERROR(__xludf.DUMMYFUNCTION("""COMPUTED_VALUE"""),"Bronze")</f>
        <v>Bronze</v>
      </c>
      <c r="G118" s="265" t="str">
        <f>IFERROR(__xludf.DUMMYFUNCTION("""COMPUTED_VALUE"""),"Enterprise")</f>
        <v>Enterprise</v>
      </c>
      <c r="H118" s="265" t="str">
        <f>IFERROR(__xludf.DUMMYFUNCTION("""COMPUTED_VALUE"""),"Trả sau")</f>
        <v>Trả sau</v>
      </c>
      <c r="I118" s="265" t="str">
        <f>IFERROR(__xludf.DUMMYFUNCTION("""COMPUTED_VALUE"""),"Portal")</f>
        <v>Portal</v>
      </c>
      <c r="J118" s="265" t="str">
        <f>IFERROR(__xludf.DUMMYFUNCTION("""COMPUTED_VALUE"""),"DungPL")</f>
        <v>DungPL</v>
      </c>
    </row>
    <row r="119">
      <c r="A119" s="265" t="str">
        <f>IFERROR(__xludf.DUMMYFUNCTION("""COMPUTED_VALUE"""),"451")</f>
        <v>451</v>
      </c>
      <c r="B119" s="265" t="str">
        <f>IFERROR(__xludf.DUMMYFUNCTION("""COMPUTED_VALUE"""),"Hà Nội")</f>
        <v>Hà Nội</v>
      </c>
      <c r="C119" s="265" t="str">
        <f>IFERROR(__xludf.DUMMYFUNCTION("""COMPUTED_VALUE"""),"Locked")</f>
        <v>Locked</v>
      </c>
      <c r="D119" s="265" t="str">
        <f>IFERROR(__xludf.DUMMYFUNCTION("""COMPUTED_VALUE"""),"Sale chưa cung cấp")</f>
        <v>Sale chưa cung cấp</v>
      </c>
      <c r="E119" s="265" t="str">
        <f>IFERROR(__xludf.DUMMYFUNCTION("""COMPUTED_VALUE"""),"PhươngDTB")</f>
        <v>PhươngDTB</v>
      </c>
      <c r="F119" s="265" t="str">
        <f>IFERROR(__xludf.DUMMYFUNCTION("""COMPUTED_VALUE"""),"Bronze")</f>
        <v>Bronze</v>
      </c>
      <c r="G119" s="265" t="str">
        <f>IFERROR(__xludf.DUMMYFUNCTION("""COMPUTED_VALUE"""),"Enterprise")</f>
        <v>Enterprise</v>
      </c>
      <c r="H119" s="265" t="str">
        <f>IFERROR(__xludf.DUMMYFUNCTION("""COMPUTED_VALUE"""),"(Chưa recheck)")</f>
        <v>(Chưa recheck)</v>
      </c>
      <c r="I119" s="265" t="str">
        <f>IFERROR(__xludf.DUMMYFUNCTION("""COMPUTED_VALUE"""),"(Chưa recheck)")</f>
        <v>(Chưa recheck)</v>
      </c>
      <c r="J119" s="265" t="str">
        <f>IFERROR(__xludf.DUMMYFUNCTION("""COMPUTED_VALUE"""),"(Chưa recheck)")</f>
        <v>(Chưa recheck)</v>
      </c>
    </row>
    <row r="120">
      <c r="A120" s="265" t="str">
        <f>IFERROR(__xludf.DUMMYFUNCTION("""COMPUTED_VALUE"""),"452")</f>
        <v>452</v>
      </c>
      <c r="B120" s="265" t="str">
        <f>IFERROR(__xludf.DUMMYFUNCTION("""COMPUTED_VALUE"""),"Hà Nội")</f>
        <v>Hà Nội</v>
      </c>
      <c r="C120" s="265" t="str">
        <f>IFERROR(__xludf.DUMMYFUNCTION("""COMPUTED_VALUE"""),"Locked")</f>
        <v>Locked</v>
      </c>
      <c r="D120" s="265" t="str">
        <f>IFERROR(__xludf.DUMMYFUNCTION("""COMPUTED_VALUE"""),"Sale chưa cung cấp")</f>
        <v>Sale chưa cung cấp</v>
      </c>
      <c r="E120" s="265" t="str">
        <f>IFERROR(__xludf.DUMMYFUNCTION("""COMPUTED_VALUE"""),"TùngLD")</f>
        <v>TùngLD</v>
      </c>
      <c r="F120" s="265" t="str">
        <f>IFERROR(__xludf.DUMMYFUNCTION("""COMPUTED_VALUE"""),"Bronze")</f>
        <v>Bronze</v>
      </c>
      <c r="G120" s="265" t="str">
        <f>IFERROR(__xludf.DUMMYFUNCTION("""COMPUTED_VALUE"""),"Enterprise")</f>
        <v>Enterprise</v>
      </c>
      <c r="H120" s="265" t="str">
        <f>IFERROR(__xludf.DUMMYFUNCTION("""COMPUTED_VALUE"""),"(Chưa recheck)")</f>
        <v>(Chưa recheck)</v>
      </c>
      <c r="I120" s="265" t="str">
        <f>IFERROR(__xludf.DUMMYFUNCTION("""COMPUTED_VALUE"""),"Portal")</f>
        <v>Portal</v>
      </c>
      <c r="J120" s="265" t="str">
        <f>IFERROR(__xludf.DUMMYFUNCTION("""COMPUTED_VALUE"""),"AnhNM")</f>
        <v>AnhNM</v>
      </c>
    </row>
    <row r="121">
      <c r="A121" s="265" t="str">
        <f>IFERROR(__xludf.DUMMYFUNCTION("""COMPUTED_VALUE"""),"436")</f>
        <v>436</v>
      </c>
      <c r="B121" s="265" t="str">
        <f>IFERROR(__xludf.DUMMYFUNCTION("""COMPUTED_VALUE"""),"Sài Gòn")</f>
        <v>Sài Gòn</v>
      </c>
      <c r="C121" s="265" t="str">
        <f>IFERROR(__xludf.DUMMYFUNCTION("""COMPUTED_VALUE"""),"Locked")</f>
        <v>Locked</v>
      </c>
      <c r="D121" s="265" t="str">
        <f>IFERROR(__xludf.DUMMYFUNCTION("""COMPUTED_VALUE"""),"Sale chưa cung cấp")</f>
        <v>Sale chưa cung cấp</v>
      </c>
      <c r="E121" s="265" t="str">
        <f>IFERROR(__xludf.DUMMYFUNCTION("""COMPUTED_VALUE"""),"HoaNTM")</f>
        <v>HoaNTM</v>
      </c>
      <c r="F121" s="265" t="str">
        <f>IFERROR(__xludf.DUMMYFUNCTION("""COMPUTED_VALUE"""),"Bronze")</f>
        <v>Bronze</v>
      </c>
      <c r="G121" s="265" t="str">
        <f>IFERROR(__xludf.DUMMYFUNCTION("""COMPUTED_VALUE"""),"Enterprise")</f>
        <v>Enterprise</v>
      </c>
      <c r="H121" s="265" t="str">
        <f>IFERROR(__xludf.DUMMYFUNCTION("""COMPUTED_VALUE"""),"(Chưa recheck)")</f>
        <v>(Chưa recheck)</v>
      </c>
      <c r="I121" s="265" t="str">
        <f>IFERROR(__xludf.DUMMYFUNCTION("""COMPUTED_VALUE"""),"(Chưa recheck)")</f>
        <v>(Chưa recheck)</v>
      </c>
      <c r="J121" s="265" t="str">
        <f>IFERROR(__xludf.DUMMYFUNCTION("""COMPUTED_VALUE"""),"AnhNM")</f>
        <v>AnhNM</v>
      </c>
    </row>
    <row r="122">
      <c r="A122" s="265" t="str">
        <f>IFERROR(__xludf.DUMMYFUNCTION("""COMPUTED_VALUE"""),"453")</f>
        <v>453</v>
      </c>
      <c r="B122" s="265" t="str">
        <f>IFERROR(__xludf.DUMMYFUNCTION("""COMPUTED_VALUE"""),"Sài Gòn")</f>
        <v>Sài Gòn</v>
      </c>
      <c r="C122" s="265" t="str">
        <f>IFERROR(__xludf.DUMMYFUNCTION("""COMPUTED_VALUE"""),"Locked")</f>
        <v>Locked</v>
      </c>
      <c r="D122" s="265" t="str">
        <f>IFERROR(__xludf.DUMMYFUNCTION("""COMPUTED_VALUE"""),"Sale chưa cung cấp")</f>
        <v>Sale chưa cung cấp</v>
      </c>
      <c r="E122" s="265" t="str">
        <f>IFERROR(__xludf.DUMMYFUNCTION("""COMPUTED_VALUE"""),"HoaNTM")</f>
        <v>HoaNTM</v>
      </c>
      <c r="F122" s="265" t="str">
        <f>IFERROR(__xludf.DUMMYFUNCTION("""COMPUTED_VALUE"""),"Sale chưa cung cấp")</f>
        <v>Sale chưa cung cấp</v>
      </c>
      <c r="G122" s="265" t="str">
        <f>IFERROR(__xludf.DUMMYFUNCTION("""COMPUTED_VALUE"""),"MSG")</f>
        <v>MSG</v>
      </c>
      <c r="H122" s="265" t="str">
        <f>IFERROR(__xludf.DUMMYFUNCTION("""COMPUTED_VALUE"""),"(Chưa recheck)")</f>
        <v>(Chưa recheck)</v>
      </c>
      <c r="I122" s="265" t="str">
        <f>IFERROR(__xludf.DUMMYFUNCTION("""COMPUTED_VALUE"""),"(Chưa recheck)")</f>
        <v>(Chưa recheck)</v>
      </c>
      <c r="J122" s="265" t="str">
        <f>IFERROR(__xludf.DUMMYFUNCTION("""COMPUTED_VALUE"""),"AnhNM")</f>
        <v>AnhNM</v>
      </c>
    </row>
    <row r="123">
      <c r="A123" s="265" t="str">
        <f>IFERROR(__xludf.DUMMYFUNCTION("""COMPUTED_VALUE"""),"454")</f>
        <v>454</v>
      </c>
      <c r="B123" s="265" t="str">
        <f>IFERROR(__xludf.DUMMYFUNCTION("""COMPUTED_VALUE"""),"Sài Gòn")</f>
        <v>Sài Gòn</v>
      </c>
      <c r="C123" s="265" t="str">
        <f>IFERROR(__xludf.DUMMYFUNCTION("""COMPUTED_VALUE"""),"Locked")</f>
        <v>Locked</v>
      </c>
      <c r="D123" s="265" t="str">
        <f>IFERROR(__xludf.DUMMYFUNCTION("""COMPUTED_VALUE"""),"Sale chưa cung cấp")</f>
        <v>Sale chưa cung cấp</v>
      </c>
      <c r="E123" s="265" t="str">
        <f>IFERROR(__xludf.DUMMYFUNCTION("""COMPUTED_VALUE"""),"HoaNTM")</f>
        <v>HoaNTM</v>
      </c>
      <c r="F123" s="265" t="str">
        <f>IFERROR(__xludf.DUMMYFUNCTION("""COMPUTED_VALUE"""),"Sale chưa cung cấp")</f>
        <v>Sale chưa cung cấp</v>
      </c>
      <c r="G123" s="265" t="str">
        <f>IFERROR(__xludf.DUMMYFUNCTION("""COMPUTED_VALUE"""),"MSG")</f>
        <v>MSG</v>
      </c>
      <c r="H123" s="265" t="str">
        <f>IFERROR(__xludf.DUMMYFUNCTION("""COMPUTED_VALUE"""),"(Chưa recheck)")</f>
        <v>(Chưa recheck)</v>
      </c>
      <c r="I123" s="265" t="str">
        <f>IFERROR(__xludf.DUMMYFUNCTION("""COMPUTED_VALUE"""),"(Chưa recheck)")</f>
        <v>(Chưa recheck)</v>
      </c>
      <c r="J123" s="265" t="str">
        <f>IFERROR(__xludf.DUMMYFUNCTION("""COMPUTED_VALUE"""),"AnhNM")</f>
        <v>AnhNM</v>
      </c>
    </row>
    <row r="124">
      <c r="A124" s="265" t="str">
        <f>IFERROR(__xludf.DUMMYFUNCTION("""COMPUTED_VALUE"""),"455")</f>
        <v>455</v>
      </c>
      <c r="B124" s="265" t="str">
        <f>IFERROR(__xludf.DUMMYFUNCTION("""COMPUTED_VALUE"""),"Sài Gòn")</f>
        <v>Sài Gòn</v>
      </c>
      <c r="C124" s="265" t="str">
        <f>IFERROR(__xludf.DUMMYFUNCTION("""COMPUTED_VALUE"""),"Active")</f>
        <v>Active</v>
      </c>
      <c r="D124" s="265" t="str">
        <f>IFERROR(__xludf.DUMMYFUNCTION("""COMPUTED_VALUE"""),"Sale chưa cung cấp")</f>
        <v>Sale chưa cung cấp</v>
      </c>
      <c r="E124" s="265" t="str">
        <f>IFERROR(__xludf.DUMMYFUNCTION("""COMPUTED_VALUE"""),"AnhNM")</f>
        <v>AnhNM</v>
      </c>
      <c r="F124" s="265" t="str">
        <f>IFERROR(__xludf.DUMMYFUNCTION("""COMPUTED_VALUE"""),"Silver")</f>
        <v>Silver</v>
      </c>
      <c r="G124" s="265" t="str">
        <f>IFERROR(__xludf.DUMMYFUNCTION("""COMPUTED_VALUE"""),"Enterprise")</f>
        <v>Enterprise</v>
      </c>
      <c r="H124" s="265" t="str">
        <f>IFERROR(__xludf.DUMMYFUNCTION("""COMPUTED_VALUE"""),"Trả sau")</f>
        <v>Trả sau</v>
      </c>
      <c r="I124" s="265" t="str">
        <f>IFERROR(__xludf.DUMMYFUNCTION("""COMPUTED_VALUE"""),"API &amp; Portal")</f>
        <v>API &amp; Portal</v>
      </c>
      <c r="J124" s="265" t="str">
        <f>IFERROR(__xludf.DUMMYFUNCTION("""COMPUTED_VALUE"""),"DungPL")</f>
        <v>DungPL</v>
      </c>
    </row>
    <row r="125">
      <c r="A125" s="265" t="str">
        <f>IFERROR(__xludf.DUMMYFUNCTION("""COMPUTED_VALUE"""),"456")</f>
        <v>456</v>
      </c>
      <c r="B125" s="265" t="str">
        <f>IFERROR(__xludf.DUMMYFUNCTION("""COMPUTED_VALUE"""),"Sài Gòn")</f>
        <v>Sài Gòn</v>
      </c>
      <c r="C125" s="265" t="str">
        <f>IFERROR(__xludf.DUMMYFUNCTION("""COMPUTED_VALUE"""),"Locked")</f>
        <v>Locked</v>
      </c>
      <c r="D125" s="265" t="str">
        <f>IFERROR(__xludf.DUMMYFUNCTION("""COMPUTED_VALUE"""),"Sale chưa cung cấp")</f>
        <v>Sale chưa cung cấp</v>
      </c>
      <c r="E125" s="265" t="str">
        <f>IFERROR(__xludf.DUMMYFUNCTION("""COMPUTED_VALUE"""),"HoaNTM")</f>
        <v>HoaNTM</v>
      </c>
      <c r="F125" s="265" t="str">
        <f>IFERROR(__xludf.DUMMYFUNCTION("""COMPUTED_VALUE"""),"Sale chưa cung cấp")</f>
        <v>Sale chưa cung cấp</v>
      </c>
      <c r="G125" s="265" t="str">
        <f>IFERROR(__xludf.DUMMYFUNCTION("""COMPUTED_VALUE"""),"MSG")</f>
        <v>MSG</v>
      </c>
      <c r="H125" s="265" t="str">
        <f>IFERROR(__xludf.DUMMYFUNCTION("""COMPUTED_VALUE"""),"(Chưa recheck)")</f>
        <v>(Chưa recheck)</v>
      </c>
      <c r="I125" s="265" t="str">
        <f>IFERROR(__xludf.DUMMYFUNCTION("""COMPUTED_VALUE"""),"(Chưa recheck)")</f>
        <v>(Chưa recheck)</v>
      </c>
      <c r="J125" s="265" t="str">
        <f>IFERROR(__xludf.DUMMYFUNCTION("""COMPUTED_VALUE"""),"(Chưa recheck)")</f>
        <v>(Chưa recheck)</v>
      </c>
    </row>
    <row r="126">
      <c r="A126" s="265" t="str">
        <f>IFERROR(__xludf.DUMMYFUNCTION("""COMPUTED_VALUE"""),"457")</f>
        <v>457</v>
      </c>
      <c r="B126" s="265" t="str">
        <f>IFERROR(__xludf.DUMMYFUNCTION("""COMPUTED_VALUE"""),"Sài Gòn")</f>
        <v>Sài Gòn</v>
      </c>
      <c r="C126" s="265" t="str">
        <f>IFERROR(__xludf.DUMMYFUNCTION("""COMPUTED_VALUE"""),"Locked")</f>
        <v>Locked</v>
      </c>
      <c r="D126" s="265" t="str">
        <f>IFERROR(__xludf.DUMMYFUNCTION("""COMPUTED_VALUE"""),"Sale chưa cung cấp")</f>
        <v>Sale chưa cung cấp</v>
      </c>
      <c r="E126" s="265" t="str">
        <f>IFERROR(__xludf.DUMMYFUNCTION("""COMPUTED_VALUE"""),"HoaNTM")</f>
        <v>HoaNTM</v>
      </c>
      <c r="F126" s="265" t="str">
        <f>IFERROR(__xludf.DUMMYFUNCTION("""COMPUTED_VALUE"""),"Sale chưa cung cấp")</f>
        <v>Sale chưa cung cấp</v>
      </c>
      <c r="G126" s="265" t="str">
        <f>IFERROR(__xludf.DUMMYFUNCTION("""COMPUTED_VALUE"""),"Enterprise")</f>
        <v>Enterprise</v>
      </c>
      <c r="H126" s="265" t="str">
        <f>IFERROR(__xludf.DUMMYFUNCTION("""COMPUTED_VALUE"""),"Trial")</f>
        <v>Trial</v>
      </c>
      <c r="I126" s="265" t="str">
        <f>IFERROR(__xludf.DUMMYFUNCTION("""COMPUTED_VALUE"""),"(Không recheck)")</f>
        <v>(Không recheck)</v>
      </c>
      <c r="J126" s="265" t="str">
        <f>IFERROR(__xludf.DUMMYFUNCTION("""COMPUTED_VALUE"""),"(Không recheck)")</f>
        <v>(Không recheck)</v>
      </c>
    </row>
    <row r="127">
      <c r="A127" s="265" t="str">
        <f>IFERROR(__xludf.DUMMYFUNCTION("""COMPUTED_VALUE"""),"458")</f>
        <v>458</v>
      </c>
      <c r="B127" s="265" t="str">
        <f>IFERROR(__xludf.DUMMYFUNCTION("""COMPUTED_VALUE"""),"Sài Gòn")</f>
        <v>Sài Gòn</v>
      </c>
      <c r="C127" s="265" t="str">
        <f>IFERROR(__xludf.DUMMYFUNCTION("""COMPUTED_VALUE"""),"Locked")</f>
        <v>Locked</v>
      </c>
      <c r="D127" s="265" t="str">
        <f>IFERROR(__xludf.DUMMYFUNCTION("""COMPUTED_VALUE"""),"Sale chưa cung cấp")</f>
        <v>Sale chưa cung cấp</v>
      </c>
      <c r="E127" s="265" t="str">
        <f>IFERROR(__xludf.DUMMYFUNCTION("""COMPUTED_VALUE"""),"HoaNTM")</f>
        <v>HoaNTM</v>
      </c>
      <c r="F127" s="265" t="str">
        <f>IFERROR(__xludf.DUMMYFUNCTION("""COMPUTED_VALUE"""),"Sale chưa cung cấp")</f>
        <v>Sale chưa cung cấp</v>
      </c>
      <c r="G127" s="265" t="str">
        <f>IFERROR(__xludf.DUMMYFUNCTION("""COMPUTED_VALUE"""),"MSG")</f>
        <v>MSG</v>
      </c>
      <c r="H127" s="265" t="str">
        <f>IFERROR(__xludf.DUMMYFUNCTION("""COMPUTED_VALUE"""),"(Chưa recheck)")</f>
        <v>(Chưa recheck)</v>
      </c>
      <c r="I127" s="265" t="str">
        <f>IFERROR(__xludf.DUMMYFUNCTION("""COMPUTED_VALUE"""),"(Chưa recheck)")</f>
        <v>(Chưa recheck)</v>
      </c>
      <c r="J127" s="265" t="str">
        <f>IFERROR(__xludf.DUMMYFUNCTION("""COMPUTED_VALUE"""),"AnhNM")</f>
        <v>AnhNM</v>
      </c>
    </row>
    <row r="128">
      <c r="A128" s="265" t="str">
        <f>IFERROR(__xludf.DUMMYFUNCTION("""COMPUTED_VALUE"""),"460")</f>
        <v>460</v>
      </c>
      <c r="B128" s="265" t="str">
        <f>IFERROR(__xludf.DUMMYFUNCTION("""COMPUTED_VALUE"""),"Hà Nội")</f>
        <v>Hà Nội</v>
      </c>
      <c r="C128" s="265" t="str">
        <f>IFERROR(__xludf.DUMMYFUNCTION("""COMPUTED_VALUE"""),"Locked")</f>
        <v>Locked</v>
      </c>
      <c r="D128" s="265" t="str">
        <f>IFERROR(__xludf.DUMMYFUNCTION("""COMPUTED_VALUE"""),"Sale chưa cung cấp")</f>
        <v>Sale chưa cung cấp</v>
      </c>
      <c r="E128" s="265" t="str">
        <f>IFERROR(__xludf.DUMMYFUNCTION("""COMPUTED_VALUE"""),"NamDT")</f>
        <v>NamDT</v>
      </c>
      <c r="F128" s="265" t="str">
        <f>IFERROR(__xludf.DUMMYFUNCTION("""COMPUTED_VALUE"""),"Sale chưa cung cấp")</f>
        <v>Sale chưa cung cấp</v>
      </c>
      <c r="G128" s="265" t="str">
        <f>IFERROR(__xludf.DUMMYFUNCTION("""COMPUTED_VALUE"""),"API")</f>
        <v>API</v>
      </c>
      <c r="H128" s="265" t="str">
        <f>IFERROR(__xludf.DUMMYFUNCTION("""COMPUTED_VALUE"""),"Trial")</f>
        <v>Trial</v>
      </c>
      <c r="I128" s="265" t="str">
        <f>IFERROR(__xludf.DUMMYFUNCTION("""COMPUTED_VALUE"""),"(Không recheck)")</f>
        <v>(Không recheck)</v>
      </c>
      <c r="J128" s="265" t="str">
        <f>IFERROR(__xludf.DUMMYFUNCTION("""COMPUTED_VALUE"""),"(Không recheck)")</f>
        <v>(Không recheck)</v>
      </c>
    </row>
    <row r="129">
      <c r="A129" s="265" t="str">
        <f>IFERROR(__xludf.DUMMYFUNCTION("""COMPUTED_VALUE"""),"461")</f>
        <v>461</v>
      </c>
      <c r="B129" s="265" t="str">
        <f>IFERROR(__xludf.DUMMYFUNCTION("""COMPUTED_VALUE"""),"Hà Nội")</f>
        <v>Hà Nội</v>
      </c>
      <c r="C129" s="265" t="str">
        <f>IFERROR(__xludf.DUMMYFUNCTION("""COMPUTED_VALUE"""),"Active")</f>
        <v>Active</v>
      </c>
      <c r="D129" s="265" t="str">
        <f>IFERROR(__xludf.DUMMYFUNCTION("""COMPUTED_VALUE"""),"Sale chưa cung cấp")</f>
        <v>Sale chưa cung cấp</v>
      </c>
      <c r="E129" s="265" t="str">
        <f>IFERROR(__xludf.DUMMYFUNCTION("""COMPUTED_VALUE"""),"AnhNM")</f>
        <v>AnhNM</v>
      </c>
      <c r="F129" s="265" t="str">
        <f>IFERROR(__xludf.DUMMYFUNCTION("""COMPUTED_VALUE"""),"Bronze")</f>
        <v>Bronze</v>
      </c>
      <c r="G129" s="265" t="str">
        <f>IFERROR(__xludf.DUMMYFUNCTION("""COMPUTED_VALUE"""),"Starter")</f>
        <v>Starter</v>
      </c>
      <c r="H129" s="265" t="str">
        <f>IFERROR(__xludf.DUMMYFUNCTION("""COMPUTED_VALUE"""),"Trả sau")</f>
        <v>Trả sau</v>
      </c>
      <c r="I129" s="265" t="str">
        <f>IFERROR(__xludf.DUMMYFUNCTION("""COMPUTED_VALUE"""),"API")</f>
        <v>API</v>
      </c>
      <c r="J129" s="265" t="str">
        <f>IFERROR(__xludf.DUMMYFUNCTION("""COMPUTED_VALUE"""),"LinhNTT1")</f>
        <v>LinhNTT1</v>
      </c>
    </row>
    <row r="130">
      <c r="A130" s="265" t="str">
        <f>IFERROR(__xludf.DUMMYFUNCTION("""COMPUTED_VALUE"""),"462")</f>
        <v>462</v>
      </c>
      <c r="B130" s="265" t="str">
        <f>IFERROR(__xludf.DUMMYFUNCTION("""COMPUTED_VALUE"""),"Sài Gòn")</f>
        <v>Sài Gòn</v>
      </c>
      <c r="C130" s="265" t="str">
        <f>IFERROR(__xludf.DUMMYFUNCTION("""COMPUTED_VALUE"""),"Active")</f>
        <v>Active</v>
      </c>
      <c r="D130" s="265" t="str">
        <f>IFERROR(__xludf.DUMMYFUNCTION("""COMPUTED_VALUE"""),"Sale chưa cung cấp")</f>
        <v>Sale chưa cung cấp</v>
      </c>
      <c r="E130" s="265" t="str">
        <f>IFERROR(__xludf.DUMMYFUNCTION("""COMPUTED_VALUE"""),"TúPHN")</f>
        <v>TúPHN</v>
      </c>
      <c r="F130" s="265" t="str">
        <f>IFERROR(__xludf.DUMMYFUNCTION("""COMPUTED_VALUE"""),"Silver")</f>
        <v>Silver</v>
      </c>
      <c r="G130" s="265" t="str">
        <f>IFERROR(__xludf.DUMMYFUNCTION("""COMPUTED_VALUE"""),"Enterprise")</f>
        <v>Enterprise</v>
      </c>
      <c r="H130" s="265" t="str">
        <f>IFERROR(__xludf.DUMMYFUNCTION("""COMPUTED_VALUE"""),"Trả sau")</f>
        <v>Trả sau</v>
      </c>
      <c r="I130" s="265" t="str">
        <f>IFERROR(__xludf.DUMMYFUNCTION("""COMPUTED_VALUE"""),"API")</f>
        <v>API</v>
      </c>
      <c r="J130" s="265" t="str">
        <f>IFERROR(__xludf.DUMMYFUNCTION("""COMPUTED_VALUE"""),"DungPL")</f>
        <v>DungPL</v>
      </c>
    </row>
    <row r="131">
      <c r="A131" s="265" t="str">
        <f>IFERROR(__xludf.DUMMYFUNCTION("""COMPUTED_VALUE"""),"464")</f>
        <v>464</v>
      </c>
      <c r="B131" s="265" t="str">
        <f>IFERROR(__xludf.DUMMYFUNCTION("""COMPUTED_VALUE"""),"Hà Nội")</f>
        <v>Hà Nội</v>
      </c>
      <c r="C131" s="265" t="str">
        <f>IFERROR(__xludf.DUMMYFUNCTION("""COMPUTED_VALUE"""),"Locked")</f>
        <v>Locked</v>
      </c>
      <c r="D131" s="265" t="str">
        <f>IFERROR(__xludf.DUMMYFUNCTION("""COMPUTED_VALUE"""),"Sale chưa cung cấp")</f>
        <v>Sale chưa cung cấp</v>
      </c>
      <c r="E131" s="265" t="str">
        <f>IFERROR(__xludf.DUMMYFUNCTION("""COMPUTED_VALUE"""),"PhươngDTB")</f>
        <v>PhươngDTB</v>
      </c>
      <c r="F131" s="265" t="str">
        <f>IFERROR(__xludf.DUMMYFUNCTION("""COMPUTED_VALUE"""),"Bronze")</f>
        <v>Bronze</v>
      </c>
      <c r="G131" s="265" t="str">
        <f>IFERROR(__xludf.DUMMYFUNCTION("""COMPUTED_VALUE"""),"Enterprise")</f>
        <v>Enterprise</v>
      </c>
      <c r="H131" s="265" t="str">
        <f>IFERROR(__xludf.DUMMYFUNCTION("""COMPUTED_VALUE"""),"Trả sau")</f>
        <v>Trả sau</v>
      </c>
      <c r="I131" s="265" t="str">
        <f>IFERROR(__xludf.DUMMYFUNCTION("""COMPUTED_VALUE"""),"API")</f>
        <v>API</v>
      </c>
      <c r="J131" s="265" t="str">
        <f>IFERROR(__xludf.DUMMYFUNCTION("""COMPUTED_VALUE"""),"Không phân công")</f>
        <v>Không phân công</v>
      </c>
    </row>
    <row r="132">
      <c r="A132" s="265" t="str">
        <f>IFERROR(__xludf.DUMMYFUNCTION("""COMPUTED_VALUE"""),"463")</f>
        <v>463</v>
      </c>
      <c r="B132" s="265" t="str">
        <f>IFERROR(__xludf.DUMMYFUNCTION("""COMPUTED_VALUE"""),"Hà Nội")</f>
        <v>Hà Nội</v>
      </c>
      <c r="C132" s="265" t="str">
        <f>IFERROR(__xludf.DUMMYFUNCTION("""COMPUTED_VALUE"""),"Locked")</f>
        <v>Locked</v>
      </c>
      <c r="D132" s="265" t="str">
        <f>IFERROR(__xludf.DUMMYFUNCTION("""COMPUTED_VALUE"""),"Sale chưa cung cấp")</f>
        <v>Sale chưa cung cấp</v>
      </c>
      <c r="E132" s="265" t="str">
        <f>IFERROR(__xludf.DUMMYFUNCTION("""COMPUTED_VALUE"""),"HangNT")</f>
        <v>HangNT</v>
      </c>
      <c r="F132" s="265" t="str">
        <f>IFERROR(__xludf.DUMMYFUNCTION("""COMPUTED_VALUE"""),"Sale chưa cung cấp")</f>
        <v>Sale chưa cung cấp</v>
      </c>
      <c r="G132" s="265" t="str">
        <f>IFERROR(__xludf.DUMMYFUNCTION("""COMPUTED_VALUE"""),"Enterprise")</f>
        <v>Enterprise</v>
      </c>
      <c r="H132" s="265" t="str">
        <f>IFERROR(__xludf.DUMMYFUNCTION("""COMPUTED_VALUE"""),"(Chưa recheck)")</f>
        <v>(Chưa recheck)</v>
      </c>
      <c r="I132" s="265" t="str">
        <f>IFERROR(__xludf.DUMMYFUNCTION("""COMPUTED_VALUE"""),"(Chưa recheck)")</f>
        <v>(Chưa recheck)</v>
      </c>
      <c r="J132" s="265" t="str">
        <f>IFERROR(__xludf.DUMMYFUNCTION("""COMPUTED_VALUE"""),"(Chưa recheck)")</f>
        <v>(Chưa recheck)</v>
      </c>
    </row>
    <row r="133">
      <c r="A133" s="265" t="str">
        <f>IFERROR(__xludf.DUMMYFUNCTION("""COMPUTED_VALUE"""),"465")</f>
        <v>465</v>
      </c>
      <c r="B133" s="265" t="str">
        <f>IFERROR(__xludf.DUMMYFUNCTION("""COMPUTED_VALUE"""),"Sài Gòn")</f>
        <v>Sài Gòn</v>
      </c>
      <c r="C133" s="265" t="str">
        <f>IFERROR(__xludf.DUMMYFUNCTION("""COMPUTED_VALUE"""),"Locked")</f>
        <v>Locked</v>
      </c>
      <c r="D133" s="265" t="str">
        <f>IFERROR(__xludf.DUMMYFUNCTION("""COMPUTED_VALUE"""),"Sale chưa cung cấp")</f>
        <v>Sale chưa cung cấp</v>
      </c>
      <c r="E133" s="265" t="str">
        <f>IFERROR(__xludf.DUMMYFUNCTION("""COMPUTED_VALUE"""),"HoaNTM")</f>
        <v>HoaNTM</v>
      </c>
      <c r="F133" s="265" t="str">
        <f>IFERROR(__xludf.DUMMYFUNCTION("""COMPUTED_VALUE"""),"Diamond")</f>
        <v>Diamond</v>
      </c>
      <c r="G133" s="265" t="str">
        <f>IFERROR(__xludf.DUMMYFUNCTION("""COMPUTED_VALUE"""),"API")</f>
        <v>API</v>
      </c>
      <c r="H133" s="265" t="str">
        <f>IFERROR(__xludf.DUMMYFUNCTION("""COMPUTED_VALUE"""),"Trả sau")</f>
        <v>Trả sau</v>
      </c>
      <c r="I133" s="265" t="str">
        <f>IFERROR(__xludf.DUMMYFUNCTION("""COMPUTED_VALUE"""),"(Chưa recheck)")</f>
        <v>(Chưa recheck)</v>
      </c>
      <c r="J133" s="265" t="str">
        <f>IFERROR(__xludf.DUMMYFUNCTION("""COMPUTED_VALUE"""),"AnhNM")</f>
        <v>AnhNM</v>
      </c>
    </row>
    <row r="134">
      <c r="A134" s="265" t="str">
        <f>IFERROR(__xludf.DUMMYFUNCTION("""COMPUTED_VALUE"""),"466")</f>
        <v>466</v>
      </c>
      <c r="B134" s="265" t="str">
        <f>IFERROR(__xludf.DUMMYFUNCTION("""COMPUTED_VALUE"""),"Sài Gòn")</f>
        <v>Sài Gòn</v>
      </c>
      <c r="C134" s="265" t="str">
        <f>IFERROR(__xludf.DUMMYFUNCTION("""COMPUTED_VALUE"""),"Locked")</f>
        <v>Locked</v>
      </c>
      <c r="D134" s="265" t="str">
        <f>IFERROR(__xludf.DUMMYFUNCTION("""COMPUTED_VALUE"""),"Sale chưa cung cấp")</f>
        <v>Sale chưa cung cấp</v>
      </c>
      <c r="E134" s="265" t="str">
        <f>IFERROR(__xludf.DUMMYFUNCTION("""COMPUTED_VALUE"""),"HoaNTM")</f>
        <v>HoaNTM</v>
      </c>
      <c r="F134" s="265" t="str">
        <f>IFERROR(__xludf.DUMMYFUNCTION("""COMPUTED_VALUE"""),"Diamond")</f>
        <v>Diamond</v>
      </c>
      <c r="G134" s="265" t="str">
        <f>IFERROR(__xludf.DUMMYFUNCTION("""COMPUTED_VALUE"""),"API")</f>
        <v>API</v>
      </c>
      <c r="H134" s="265" t="str">
        <f>IFERROR(__xludf.DUMMYFUNCTION("""COMPUTED_VALUE"""),"Trial")</f>
        <v>Trial</v>
      </c>
      <c r="I134" s="265" t="str">
        <f>IFERROR(__xludf.DUMMYFUNCTION("""COMPUTED_VALUE"""),"(Không recheck)")</f>
        <v>(Không recheck)</v>
      </c>
      <c r="J134" s="265" t="str">
        <f>IFERROR(__xludf.DUMMYFUNCTION("""COMPUTED_VALUE"""),"(Không recheck)")</f>
        <v>(Không recheck)</v>
      </c>
    </row>
    <row r="135">
      <c r="A135" s="265" t="str">
        <f>IFERROR(__xludf.DUMMYFUNCTION("""COMPUTED_VALUE"""),"468")</f>
        <v>468</v>
      </c>
      <c r="B135" s="265" t="str">
        <f>IFERROR(__xludf.DUMMYFUNCTION("""COMPUTED_VALUE"""),"Hà Nội")</f>
        <v>Hà Nội</v>
      </c>
      <c r="C135" s="265" t="str">
        <f>IFERROR(__xludf.DUMMYFUNCTION("""COMPUTED_VALUE"""),"Locked")</f>
        <v>Locked</v>
      </c>
      <c r="D135" s="265" t="str">
        <f>IFERROR(__xludf.DUMMYFUNCTION("""COMPUTED_VALUE"""),"Sale chưa cung cấp")</f>
        <v>Sale chưa cung cấp</v>
      </c>
      <c r="E135" s="265" t="str">
        <f>IFERROR(__xludf.DUMMYFUNCTION("""COMPUTED_VALUE"""),"(Không recheck)")</f>
        <v>(Không recheck)</v>
      </c>
      <c r="F135" s="265" t="str">
        <f>IFERROR(__xludf.DUMMYFUNCTION("""COMPUTED_VALUE"""),"Sale chưa cung cấp")</f>
        <v>Sale chưa cung cấp</v>
      </c>
      <c r="G135" s="265" t="str">
        <f>IFERROR(__xludf.DUMMYFUNCTION("""COMPUTED_VALUE"""),"MSG")</f>
        <v>MSG</v>
      </c>
      <c r="H135" s="265" t="str">
        <f>IFERROR(__xludf.DUMMYFUNCTION("""COMPUTED_VALUE"""),"Trial")</f>
        <v>Trial</v>
      </c>
      <c r="I135" s="265" t="str">
        <f>IFERROR(__xludf.DUMMYFUNCTION("""COMPUTED_VALUE"""),"(Không recheck)")</f>
        <v>(Không recheck)</v>
      </c>
      <c r="J135" s="265" t="str">
        <f>IFERROR(__xludf.DUMMYFUNCTION("""COMPUTED_VALUE"""),"(Không recheck)")</f>
        <v>(Không recheck)</v>
      </c>
    </row>
    <row r="136">
      <c r="A136" s="265" t="str">
        <f>IFERROR(__xludf.DUMMYFUNCTION("""COMPUTED_VALUE"""),"467")</f>
        <v>467</v>
      </c>
      <c r="B136" s="265" t="str">
        <f>IFERROR(__xludf.DUMMYFUNCTION("""COMPUTED_VALUE"""),"Sài Gòn")</f>
        <v>Sài Gòn</v>
      </c>
      <c r="C136" s="265" t="str">
        <f>IFERROR(__xludf.DUMMYFUNCTION("""COMPUTED_VALUE"""),"Locked")</f>
        <v>Locked</v>
      </c>
      <c r="D136" s="265" t="str">
        <f>IFERROR(__xludf.DUMMYFUNCTION("""COMPUTED_VALUE"""),"Sale chưa cung cấp")</f>
        <v>Sale chưa cung cấp</v>
      </c>
      <c r="E136" s="265" t="str">
        <f>IFERROR(__xludf.DUMMYFUNCTION("""COMPUTED_VALUE"""),"HoaNTM")</f>
        <v>HoaNTM</v>
      </c>
      <c r="F136" s="265" t="str">
        <f>IFERROR(__xludf.DUMMYFUNCTION("""COMPUTED_VALUE"""),"Sale chưa cung cấp")</f>
        <v>Sale chưa cung cấp</v>
      </c>
      <c r="G136" s="265" t="str">
        <f>IFERROR(__xludf.DUMMYFUNCTION("""COMPUTED_VALUE"""),"Enterprise")</f>
        <v>Enterprise</v>
      </c>
      <c r="H136" s="265" t="str">
        <f>IFERROR(__xludf.DUMMYFUNCTION("""COMPUTED_VALUE"""),"(Chưa recheck)")</f>
        <v>(Chưa recheck)</v>
      </c>
      <c r="I136" s="265" t="str">
        <f>IFERROR(__xludf.DUMMYFUNCTION("""COMPUTED_VALUE"""),"(Chưa recheck)")</f>
        <v>(Chưa recheck)</v>
      </c>
      <c r="J136" s="265" t="str">
        <f>IFERROR(__xludf.DUMMYFUNCTION("""COMPUTED_VALUE"""),"AnhNM")</f>
        <v>AnhNM</v>
      </c>
    </row>
    <row r="137">
      <c r="A137" s="265" t="str">
        <f>IFERROR(__xludf.DUMMYFUNCTION("""COMPUTED_VALUE"""),"365")</f>
        <v>365</v>
      </c>
      <c r="B137" s="265" t="str">
        <f>IFERROR(__xludf.DUMMYFUNCTION("""COMPUTED_VALUE"""),"Đà Nẵng")</f>
        <v>Đà Nẵng</v>
      </c>
      <c r="C137" s="265" t="str">
        <f>IFERROR(__xludf.DUMMYFUNCTION("""COMPUTED_VALUE"""),"Locked")</f>
        <v>Locked</v>
      </c>
      <c r="D137" s="265" t="str">
        <f>IFERROR(__xludf.DUMMYFUNCTION("""COMPUTED_VALUE"""),"Sale chưa cung cấp")</f>
        <v>Sale chưa cung cấp</v>
      </c>
      <c r="E137" s="265" t="str">
        <f>IFERROR(__xludf.DUMMYFUNCTION("""COMPUTED_VALUE"""),"HoaNTM")</f>
        <v>HoaNTM</v>
      </c>
      <c r="F137" s="265" t="str">
        <f>IFERROR(__xludf.DUMMYFUNCTION("""COMPUTED_VALUE"""),"Bronze")</f>
        <v>Bronze</v>
      </c>
      <c r="G137" s="265" t="str">
        <f>IFERROR(__xludf.DUMMYFUNCTION("""COMPUTED_VALUE"""),"Enterprise")</f>
        <v>Enterprise</v>
      </c>
      <c r="H137" s="265" t="str">
        <f>IFERROR(__xludf.DUMMYFUNCTION("""COMPUTED_VALUE"""),"(Chưa recheck)")</f>
        <v>(Chưa recheck)</v>
      </c>
      <c r="I137" s="265" t="str">
        <f>IFERROR(__xludf.DUMMYFUNCTION("""COMPUTED_VALUE"""),"(Chưa recheck)")</f>
        <v>(Chưa recheck)</v>
      </c>
      <c r="J137" s="265" t="str">
        <f>IFERROR(__xludf.DUMMYFUNCTION("""COMPUTED_VALUE"""),"AnhNM")</f>
        <v>AnhNM</v>
      </c>
    </row>
    <row r="138">
      <c r="A138" s="265" t="str">
        <f>IFERROR(__xludf.DUMMYFUNCTION("""COMPUTED_VALUE"""),"470")</f>
        <v>470</v>
      </c>
      <c r="B138" s="265" t="str">
        <f>IFERROR(__xludf.DUMMYFUNCTION("""COMPUTED_VALUE"""),"Hà Nội")</f>
        <v>Hà Nội</v>
      </c>
      <c r="C138" s="265" t="str">
        <f>IFERROR(__xludf.DUMMYFUNCTION("""COMPUTED_VALUE"""),"Locked")</f>
        <v>Locked</v>
      </c>
      <c r="D138" s="265" t="str">
        <f>IFERROR(__xludf.DUMMYFUNCTION("""COMPUTED_VALUE"""),"Sale chưa cung cấp")</f>
        <v>Sale chưa cung cấp</v>
      </c>
      <c r="E138" s="265" t="str">
        <f>IFERROR(__xludf.DUMMYFUNCTION("""COMPUTED_VALUE"""),"HangNT")</f>
        <v>HangNT</v>
      </c>
      <c r="F138" s="265" t="str">
        <f>IFERROR(__xludf.DUMMYFUNCTION("""COMPUTED_VALUE"""),"Sale chưa cung cấp")</f>
        <v>Sale chưa cung cấp</v>
      </c>
      <c r="G138" s="265" t="str">
        <f>IFERROR(__xludf.DUMMYFUNCTION("""COMPUTED_VALUE"""),"API")</f>
        <v>API</v>
      </c>
      <c r="H138" s="265" t="str">
        <f>IFERROR(__xludf.DUMMYFUNCTION("""COMPUTED_VALUE"""),"Trả sau")</f>
        <v>Trả sau</v>
      </c>
      <c r="I138" s="265" t="str">
        <f>IFERROR(__xludf.DUMMYFUNCTION("""COMPUTED_VALUE"""),"(Chưa recheck)")</f>
        <v>(Chưa recheck)</v>
      </c>
      <c r="J138" s="265" t="str">
        <f>IFERROR(__xludf.DUMMYFUNCTION("""COMPUTED_VALUE"""),"(Chưa recheck)")</f>
        <v>(Chưa recheck)</v>
      </c>
    </row>
    <row r="139">
      <c r="A139" s="265" t="str">
        <f>IFERROR(__xludf.DUMMYFUNCTION("""COMPUTED_VALUE"""),"471")</f>
        <v>471</v>
      </c>
      <c r="B139" s="265" t="str">
        <f>IFERROR(__xludf.DUMMYFUNCTION("""COMPUTED_VALUE"""),"Hà Nội")</f>
        <v>Hà Nội</v>
      </c>
      <c r="C139" s="265" t="str">
        <f>IFERROR(__xludf.DUMMYFUNCTION("""COMPUTED_VALUE"""),"Locked")</f>
        <v>Locked</v>
      </c>
      <c r="D139" s="265" t="str">
        <f>IFERROR(__xludf.DUMMYFUNCTION("""COMPUTED_VALUE"""),"Sale chưa cung cấp")</f>
        <v>Sale chưa cung cấp</v>
      </c>
      <c r="E139" s="265" t="str">
        <f>IFERROR(__xludf.DUMMYFUNCTION("""COMPUTED_VALUE"""),"TrangHTT")</f>
        <v>TrangHTT</v>
      </c>
      <c r="F139" s="265" t="str">
        <f>IFERROR(__xludf.DUMMYFUNCTION("""COMPUTED_VALUE"""),"Sale chưa cung cấp")</f>
        <v>Sale chưa cung cấp</v>
      </c>
      <c r="G139" s="265" t="str">
        <f>IFERROR(__xludf.DUMMYFUNCTION("""COMPUTED_VALUE"""),"Enterprise")</f>
        <v>Enterprise</v>
      </c>
      <c r="H139" s="265" t="str">
        <f>IFERROR(__xludf.DUMMYFUNCTION("""COMPUTED_VALUE"""),"Trial")</f>
        <v>Trial</v>
      </c>
      <c r="I139" s="265" t="str">
        <f>IFERROR(__xludf.DUMMYFUNCTION("""COMPUTED_VALUE"""),"(Không recheck)")</f>
        <v>(Không recheck)</v>
      </c>
      <c r="J139" s="265" t="str">
        <f>IFERROR(__xludf.DUMMYFUNCTION("""COMPUTED_VALUE"""),"(Không recheck)")</f>
        <v>(Không recheck)</v>
      </c>
    </row>
    <row r="140">
      <c r="A140" s="265" t="str">
        <f>IFERROR(__xludf.DUMMYFUNCTION("""COMPUTED_VALUE"""),"477")</f>
        <v>477</v>
      </c>
      <c r="B140" s="265" t="str">
        <f>IFERROR(__xludf.DUMMYFUNCTION("""COMPUTED_VALUE"""),"Sài Gòn")</f>
        <v>Sài Gòn</v>
      </c>
      <c r="C140" s="265" t="str">
        <f>IFERROR(__xludf.DUMMYFUNCTION("""COMPUTED_VALUE"""),"Locked")</f>
        <v>Locked</v>
      </c>
      <c r="D140" s="265" t="str">
        <f>IFERROR(__xludf.DUMMYFUNCTION("""COMPUTED_VALUE"""),"Sale chưa cung cấp")</f>
        <v>Sale chưa cung cấp</v>
      </c>
      <c r="E140" s="265" t="str">
        <f>IFERROR(__xludf.DUMMYFUNCTION("""COMPUTED_VALUE"""),"HoaNTM")</f>
        <v>HoaNTM</v>
      </c>
      <c r="F140" s="265" t="str">
        <f>IFERROR(__xludf.DUMMYFUNCTION("""COMPUTED_VALUE"""),"Sale chưa cung cấp")</f>
        <v>Sale chưa cung cấp</v>
      </c>
      <c r="G140" s="265" t="str">
        <f>IFERROR(__xludf.DUMMYFUNCTION("""COMPUTED_VALUE"""),"MSG")</f>
        <v>MSG</v>
      </c>
      <c r="H140" s="265" t="str">
        <f>IFERROR(__xludf.DUMMYFUNCTION("""COMPUTED_VALUE"""),"(Chưa recheck)")</f>
        <v>(Chưa recheck)</v>
      </c>
      <c r="I140" s="265" t="str">
        <f>IFERROR(__xludf.DUMMYFUNCTION("""COMPUTED_VALUE"""),"(Chưa recheck)")</f>
        <v>(Chưa recheck)</v>
      </c>
      <c r="J140" s="265" t="str">
        <f>IFERROR(__xludf.DUMMYFUNCTION("""COMPUTED_VALUE"""),"AnhNM")</f>
        <v>AnhNM</v>
      </c>
    </row>
    <row r="141">
      <c r="A141" s="265" t="str">
        <f>IFERROR(__xludf.DUMMYFUNCTION("""COMPUTED_VALUE"""),"472")</f>
        <v>472</v>
      </c>
      <c r="B141" s="265" t="str">
        <f>IFERROR(__xludf.DUMMYFUNCTION("""COMPUTED_VALUE"""),"Sài Gòn")</f>
        <v>Sài Gòn</v>
      </c>
      <c r="C141" s="265" t="str">
        <f>IFERROR(__xludf.DUMMYFUNCTION("""COMPUTED_VALUE"""),"Active")</f>
        <v>Active</v>
      </c>
      <c r="D141" s="265" t="str">
        <f>IFERROR(__xludf.DUMMYFUNCTION("""COMPUTED_VALUE"""),"Sale chưa cung cấp")</f>
        <v>Sale chưa cung cấp</v>
      </c>
      <c r="E141" s="265" t="str">
        <f>IFERROR(__xludf.DUMMYFUNCTION("""COMPUTED_VALUE"""),"TùngLD")</f>
        <v>TùngLD</v>
      </c>
      <c r="F141" s="265" t="str">
        <f>IFERROR(__xludf.DUMMYFUNCTION("""COMPUTED_VALUE"""),"Diamond")</f>
        <v>Diamond</v>
      </c>
      <c r="G141" s="265" t="str">
        <f>IFERROR(__xludf.DUMMYFUNCTION("""COMPUTED_VALUE"""),"Enterprise")</f>
        <v>Enterprise</v>
      </c>
      <c r="H141" s="265" t="str">
        <f>IFERROR(__xludf.DUMMYFUNCTION("""COMPUTED_VALUE"""),"Trả sau")</f>
        <v>Trả sau</v>
      </c>
      <c r="I141" s="265" t="str">
        <f>IFERROR(__xludf.DUMMYFUNCTION("""COMPUTED_VALUE"""),"API &amp; Portal")</f>
        <v>API &amp; Portal</v>
      </c>
      <c r="J141" s="265" t="str">
        <f>IFERROR(__xludf.DUMMYFUNCTION("""COMPUTED_VALUE"""),"DungPL")</f>
        <v>DungPL</v>
      </c>
    </row>
    <row r="142">
      <c r="A142" s="265" t="str">
        <f>IFERROR(__xludf.DUMMYFUNCTION("""COMPUTED_VALUE"""),"473")</f>
        <v>473</v>
      </c>
      <c r="B142" s="265" t="str">
        <f>IFERROR(__xludf.DUMMYFUNCTION("""COMPUTED_VALUE"""),"Sài Gòn")</f>
        <v>Sài Gòn</v>
      </c>
      <c r="C142" s="265" t="str">
        <f>IFERROR(__xludf.DUMMYFUNCTION("""COMPUTED_VALUE"""),"Locked")</f>
        <v>Locked</v>
      </c>
      <c r="D142" s="265" t="str">
        <f>IFERROR(__xludf.DUMMYFUNCTION("""COMPUTED_VALUE"""),"Sale chưa cung cấp")</f>
        <v>Sale chưa cung cấp</v>
      </c>
      <c r="E142" s="265" t="str">
        <f>IFERROR(__xludf.DUMMYFUNCTION("""COMPUTED_VALUE"""),"HoaNTM")</f>
        <v>HoaNTM</v>
      </c>
      <c r="F142" s="265" t="str">
        <f>IFERROR(__xludf.DUMMYFUNCTION("""COMPUTED_VALUE"""),"Sale chưa cung cấp")</f>
        <v>Sale chưa cung cấp</v>
      </c>
      <c r="G142" s="265" t="str">
        <f>IFERROR(__xludf.DUMMYFUNCTION("""COMPUTED_VALUE"""),"Enterprise")</f>
        <v>Enterprise</v>
      </c>
      <c r="H142" s="265" t="str">
        <f>IFERROR(__xludf.DUMMYFUNCTION("""COMPUTED_VALUE"""),"Trial")</f>
        <v>Trial</v>
      </c>
      <c r="I142" s="265" t="str">
        <f>IFERROR(__xludf.DUMMYFUNCTION("""COMPUTED_VALUE"""),"(Không recheck)")</f>
        <v>(Không recheck)</v>
      </c>
      <c r="J142" s="265" t="str">
        <f>IFERROR(__xludf.DUMMYFUNCTION("""COMPUTED_VALUE"""),"(Không recheck)")</f>
        <v>(Không recheck)</v>
      </c>
    </row>
    <row r="143">
      <c r="A143" s="265" t="str">
        <f>IFERROR(__xludf.DUMMYFUNCTION("""COMPUTED_VALUE"""),"474")</f>
        <v>474</v>
      </c>
      <c r="B143" s="265" t="str">
        <f>IFERROR(__xludf.DUMMYFUNCTION("""COMPUTED_VALUE"""),"Hà Nội")</f>
        <v>Hà Nội</v>
      </c>
      <c r="C143" s="265" t="str">
        <f>IFERROR(__xludf.DUMMYFUNCTION("""COMPUTED_VALUE"""),"Active")</f>
        <v>Active</v>
      </c>
      <c r="D143" s="265" t="str">
        <f>IFERROR(__xludf.DUMMYFUNCTION("""COMPUTED_VALUE"""),"Sale chưa cung cấp")</f>
        <v>Sale chưa cung cấp</v>
      </c>
      <c r="E143" s="265" t="str">
        <f>IFERROR(__xludf.DUMMYFUNCTION("""COMPUTED_VALUE"""),"TúPHN")</f>
        <v>TúPHN</v>
      </c>
      <c r="F143" s="265" t="str">
        <f>IFERROR(__xludf.DUMMYFUNCTION("""COMPUTED_VALUE"""),"Gold")</f>
        <v>Gold</v>
      </c>
      <c r="G143" s="265" t="str">
        <f>IFERROR(__xludf.DUMMYFUNCTION("""COMPUTED_VALUE"""),"Starter")</f>
        <v>Starter</v>
      </c>
      <c r="H143" s="265" t="str">
        <f>IFERROR(__xludf.DUMMYFUNCTION("""COMPUTED_VALUE"""),"Trả sau")</f>
        <v>Trả sau</v>
      </c>
      <c r="I143" s="265" t="str">
        <f>IFERROR(__xludf.DUMMYFUNCTION("""COMPUTED_VALUE"""),"API")</f>
        <v>API</v>
      </c>
      <c r="J143" s="265" t="str">
        <f>IFERROR(__xludf.DUMMYFUNCTION("""COMPUTED_VALUE"""),"DungPL")</f>
        <v>DungPL</v>
      </c>
    </row>
    <row r="144">
      <c r="A144" s="265" t="str">
        <f>IFERROR(__xludf.DUMMYFUNCTION("""COMPUTED_VALUE"""),"476")</f>
        <v>476</v>
      </c>
      <c r="B144" s="265" t="str">
        <f>IFERROR(__xludf.DUMMYFUNCTION("""COMPUTED_VALUE"""),"Sài Gòn")</f>
        <v>Sài Gòn</v>
      </c>
      <c r="C144" s="265" t="str">
        <f>IFERROR(__xludf.DUMMYFUNCTION("""COMPUTED_VALUE"""),"Locked")</f>
        <v>Locked</v>
      </c>
      <c r="D144" s="265" t="str">
        <f>IFERROR(__xludf.DUMMYFUNCTION("""COMPUTED_VALUE"""),"Sale chưa cung cấp")</f>
        <v>Sale chưa cung cấp</v>
      </c>
      <c r="E144" s="265" t="str">
        <f>IFERROR(__xludf.DUMMYFUNCTION("""COMPUTED_VALUE"""),"HoaNTM")</f>
        <v>HoaNTM</v>
      </c>
      <c r="F144" s="265" t="str">
        <f>IFERROR(__xludf.DUMMYFUNCTION("""COMPUTED_VALUE"""),"Sale chưa cung cấp")</f>
        <v>Sale chưa cung cấp</v>
      </c>
      <c r="G144" s="265" t="str">
        <f>IFERROR(__xludf.DUMMYFUNCTION("""COMPUTED_VALUE"""),"MSG")</f>
        <v>MSG</v>
      </c>
      <c r="H144" s="265" t="str">
        <f>IFERROR(__xludf.DUMMYFUNCTION("""COMPUTED_VALUE"""),"(Chưa recheck)")</f>
        <v>(Chưa recheck)</v>
      </c>
      <c r="I144" s="265" t="str">
        <f>IFERROR(__xludf.DUMMYFUNCTION("""COMPUTED_VALUE"""),"(Chưa recheck)")</f>
        <v>(Chưa recheck)</v>
      </c>
      <c r="J144" s="265" t="str">
        <f>IFERROR(__xludf.DUMMYFUNCTION("""COMPUTED_VALUE"""),"AnhNM")</f>
        <v>AnhNM</v>
      </c>
    </row>
    <row r="145">
      <c r="A145" s="265" t="str">
        <f>IFERROR(__xludf.DUMMYFUNCTION("""COMPUTED_VALUE"""),"475")</f>
        <v>475</v>
      </c>
      <c r="B145" s="265" t="str">
        <f>IFERROR(__xludf.DUMMYFUNCTION("""COMPUTED_VALUE"""),"Sài Gòn")</f>
        <v>Sài Gòn</v>
      </c>
      <c r="C145" s="265" t="str">
        <f>IFERROR(__xludf.DUMMYFUNCTION("""COMPUTED_VALUE"""),"Locked")</f>
        <v>Locked</v>
      </c>
      <c r="D145" s="265" t="str">
        <f>IFERROR(__xludf.DUMMYFUNCTION("""COMPUTED_VALUE"""),"Sale chưa cung cấp")</f>
        <v>Sale chưa cung cấp</v>
      </c>
      <c r="E145" s="265" t="str">
        <f>IFERROR(__xludf.DUMMYFUNCTION("""COMPUTED_VALUE"""),"HoaNTM")</f>
        <v>HoaNTM</v>
      </c>
      <c r="F145" s="265" t="str">
        <f>IFERROR(__xludf.DUMMYFUNCTION("""COMPUTED_VALUE"""),"Sale chưa cung cấp")</f>
        <v>Sale chưa cung cấp</v>
      </c>
      <c r="G145" s="265" t="str">
        <f>IFERROR(__xludf.DUMMYFUNCTION("""COMPUTED_VALUE"""),"Enterprise")</f>
        <v>Enterprise</v>
      </c>
      <c r="H145" s="265" t="str">
        <f>IFERROR(__xludf.DUMMYFUNCTION("""COMPUTED_VALUE"""),"Trial")</f>
        <v>Trial</v>
      </c>
      <c r="I145" s="265" t="str">
        <f>IFERROR(__xludf.DUMMYFUNCTION("""COMPUTED_VALUE"""),"(Không recheck)")</f>
        <v>(Không recheck)</v>
      </c>
      <c r="J145" s="265" t="str">
        <f>IFERROR(__xludf.DUMMYFUNCTION("""COMPUTED_VALUE"""),"(Không recheck)")</f>
        <v>(Không recheck)</v>
      </c>
    </row>
    <row r="146">
      <c r="A146" s="265" t="str">
        <f>IFERROR(__xludf.DUMMYFUNCTION("""COMPUTED_VALUE"""),"479")</f>
        <v>479</v>
      </c>
      <c r="B146" s="265" t="str">
        <f>IFERROR(__xludf.DUMMYFUNCTION("""COMPUTED_VALUE"""),"Sài Gòn")</f>
        <v>Sài Gòn</v>
      </c>
      <c r="C146" s="265" t="str">
        <f>IFERROR(__xludf.DUMMYFUNCTION("""COMPUTED_VALUE"""),"Locked")</f>
        <v>Locked</v>
      </c>
      <c r="D146" s="265" t="str">
        <f>IFERROR(__xludf.DUMMYFUNCTION("""COMPUTED_VALUE"""),"Sale chưa cung cấp")</f>
        <v>Sale chưa cung cấp</v>
      </c>
      <c r="E146" s="265" t="str">
        <f>IFERROR(__xludf.DUMMYFUNCTION("""COMPUTED_VALUE"""),"HoaNTM")</f>
        <v>HoaNTM</v>
      </c>
      <c r="F146" s="265" t="str">
        <f>IFERROR(__xludf.DUMMYFUNCTION("""COMPUTED_VALUE"""),"Sale chưa cung cấp")</f>
        <v>Sale chưa cung cấp</v>
      </c>
      <c r="G146" s="265" t="str">
        <f>IFERROR(__xludf.DUMMYFUNCTION("""COMPUTED_VALUE"""),"Enterprise")</f>
        <v>Enterprise</v>
      </c>
      <c r="H146" s="265" t="str">
        <f>IFERROR(__xludf.DUMMYFUNCTION("""COMPUTED_VALUE"""),"(Chưa recheck)")</f>
        <v>(Chưa recheck)</v>
      </c>
      <c r="I146" s="265" t="str">
        <f>IFERROR(__xludf.DUMMYFUNCTION("""COMPUTED_VALUE"""),"(Chưa recheck)")</f>
        <v>(Chưa recheck)</v>
      </c>
      <c r="J146" s="265" t="str">
        <f>IFERROR(__xludf.DUMMYFUNCTION("""COMPUTED_VALUE"""),"AnhNM")</f>
        <v>AnhNM</v>
      </c>
    </row>
    <row r="147">
      <c r="A147" s="265" t="str">
        <f>IFERROR(__xludf.DUMMYFUNCTION("""COMPUTED_VALUE"""),"482")</f>
        <v>482</v>
      </c>
      <c r="B147" s="265" t="str">
        <f>IFERROR(__xludf.DUMMYFUNCTION("""COMPUTED_VALUE"""),"Hà Nội")</f>
        <v>Hà Nội</v>
      </c>
      <c r="C147" s="265" t="str">
        <f>IFERROR(__xludf.DUMMYFUNCTION("""COMPUTED_VALUE"""),"Locked")</f>
        <v>Locked</v>
      </c>
      <c r="D147" s="265" t="str">
        <f>IFERROR(__xludf.DUMMYFUNCTION("""COMPUTED_VALUE"""),"Sale chưa cung cấp")</f>
        <v>Sale chưa cung cấp</v>
      </c>
      <c r="E147" s="265" t="str">
        <f>IFERROR(__xludf.DUMMYFUNCTION("""COMPUTED_VALUE"""),"HangNT")</f>
        <v>HangNT</v>
      </c>
      <c r="F147" s="265" t="str">
        <f>IFERROR(__xludf.DUMMYFUNCTION("""COMPUTED_VALUE"""),"Bronze")</f>
        <v>Bronze</v>
      </c>
      <c r="G147" s="265" t="str">
        <f>IFERROR(__xludf.DUMMYFUNCTION("""COMPUTED_VALUE"""),"Enterprise")</f>
        <v>Enterprise</v>
      </c>
      <c r="H147" s="265" t="str">
        <f>IFERROR(__xludf.DUMMYFUNCTION("""COMPUTED_VALUE"""),"(Chưa recheck)")</f>
        <v>(Chưa recheck)</v>
      </c>
      <c r="I147" s="265" t="str">
        <f>IFERROR(__xludf.DUMMYFUNCTION("""COMPUTED_VALUE"""),"(Chưa recheck)")</f>
        <v>(Chưa recheck)</v>
      </c>
      <c r="J147" s="265" t="str">
        <f>IFERROR(__xludf.DUMMYFUNCTION("""COMPUTED_VALUE"""),"(Chưa recheck)")</f>
        <v>(Chưa recheck)</v>
      </c>
    </row>
    <row r="148">
      <c r="A148" s="265" t="str">
        <f>IFERROR(__xludf.DUMMYFUNCTION("""COMPUTED_VALUE"""),"480")</f>
        <v>480</v>
      </c>
      <c r="B148" s="265" t="str">
        <f>IFERROR(__xludf.DUMMYFUNCTION("""COMPUTED_VALUE"""),"Sài Gòn")</f>
        <v>Sài Gòn</v>
      </c>
      <c r="C148" s="265" t="str">
        <f>IFERROR(__xludf.DUMMYFUNCTION("""COMPUTED_VALUE"""),"Locked")</f>
        <v>Locked</v>
      </c>
      <c r="D148" s="265" t="str">
        <f>IFERROR(__xludf.DUMMYFUNCTION("""COMPUTED_VALUE"""),"Sale chưa cung cấp")</f>
        <v>Sale chưa cung cấp</v>
      </c>
      <c r="E148" s="265" t="str">
        <f>IFERROR(__xludf.DUMMYFUNCTION("""COMPUTED_VALUE"""),"HoaNTM")</f>
        <v>HoaNTM</v>
      </c>
      <c r="F148" s="265" t="str">
        <f>IFERROR(__xludf.DUMMYFUNCTION("""COMPUTED_VALUE"""),"Sale chưa cung cấp")</f>
        <v>Sale chưa cung cấp</v>
      </c>
      <c r="G148" s="265" t="str">
        <f>IFERROR(__xludf.DUMMYFUNCTION("""COMPUTED_VALUE"""),"MSG")</f>
        <v>MSG</v>
      </c>
      <c r="H148" s="265" t="str">
        <f>IFERROR(__xludf.DUMMYFUNCTION("""COMPUTED_VALUE"""),"(Chưa recheck)")</f>
        <v>(Chưa recheck)</v>
      </c>
      <c r="I148" s="265" t="str">
        <f>IFERROR(__xludf.DUMMYFUNCTION("""COMPUTED_VALUE"""),"(Chưa recheck)")</f>
        <v>(Chưa recheck)</v>
      </c>
      <c r="J148" s="265" t="str">
        <f>IFERROR(__xludf.DUMMYFUNCTION("""COMPUTED_VALUE"""),"AnhNM")</f>
        <v>AnhNM</v>
      </c>
    </row>
    <row r="149">
      <c r="A149" s="265" t="str">
        <f>IFERROR(__xludf.DUMMYFUNCTION("""COMPUTED_VALUE"""),"481")</f>
        <v>481</v>
      </c>
      <c r="B149" s="265" t="str">
        <f>IFERROR(__xludf.DUMMYFUNCTION("""COMPUTED_VALUE"""),"Sài Gòn")</f>
        <v>Sài Gòn</v>
      </c>
      <c r="C149" s="265" t="str">
        <f>IFERROR(__xludf.DUMMYFUNCTION("""COMPUTED_VALUE"""),"Locked")</f>
        <v>Locked</v>
      </c>
      <c r="D149" s="265" t="str">
        <f>IFERROR(__xludf.DUMMYFUNCTION("""COMPUTED_VALUE"""),"Sale chưa cung cấp")</f>
        <v>Sale chưa cung cấp</v>
      </c>
      <c r="E149" s="265" t="str">
        <f>IFERROR(__xludf.DUMMYFUNCTION("""COMPUTED_VALUE"""),"HoaNTM")</f>
        <v>HoaNTM</v>
      </c>
      <c r="F149" s="265" t="str">
        <f>IFERROR(__xludf.DUMMYFUNCTION("""COMPUTED_VALUE"""),"Sale chưa cung cấp")</f>
        <v>Sale chưa cung cấp</v>
      </c>
      <c r="G149" s="265" t="str">
        <f>IFERROR(__xludf.DUMMYFUNCTION("""COMPUTED_VALUE"""),"MSG")</f>
        <v>MSG</v>
      </c>
      <c r="H149" s="265" t="str">
        <f>IFERROR(__xludf.DUMMYFUNCTION("""COMPUTED_VALUE"""),"(Chưa recheck)")</f>
        <v>(Chưa recheck)</v>
      </c>
      <c r="I149" s="265" t="str">
        <f>IFERROR(__xludf.DUMMYFUNCTION("""COMPUTED_VALUE"""),"(Chưa recheck)")</f>
        <v>(Chưa recheck)</v>
      </c>
      <c r="J149" s="265" t="str">
        <f>IFERROR(__xludf.DUMMYFUNCTION("""COMPUTED_VALUE"""),"AnhNM")</f>
        <v>AnhNM</v>
      </c>
    </row>
    <row r="150">
      <c r="A150" s="265" t="str">
        <f>IFERROR(__xludf.DUMMYFUNCTION("""COMPUTED_VALUE"""),"483")</f>
        <v>483</v>
      </c>
      <c r="B150" s="265" t="str">
        <f>IFERROR(__xludf.DUMMYFUNCTION("""COMPUTED_VALUE"""),"Hà Nội")</f>
        <v>Hà Nội</v>
      </c>
      <c r="C150" s="265" t="str">
        <f>IFERROR(__xludf.DUMMYFUNCTION("""COMPUTED_VALUE"""),"Locked")</f>
        <v>Locked</v>
      </c>
      <c r="D150" s="265" t="str">
        <f>IFERROR(__xludf.DUMMYFUNCTION("""COMPUTED_VALUE"""),"Sale chưa cung cấp")</f>
        <v>Sale chưa cung cấp</v>
      </c>
      <c r="E150" s="265" t="str">
        <f>IFERROR(__xludf.DUMMYFUNCTION("""COMPUTED_VALUE"""),"TrangHTT")</f>
        <v>TrangHTT</v>
      </c>
      <c r="F150" s="265" t="str">
        <f>IFERROR(__xludf.DUMMYFUNCTION("""COMPUTED_VALUE"""),"Sale chưa cung cấp")</f>
        <v>Sale chưa cung cấp</v>
      </c>
      <c r="G150" s="265" t="str">
        <f>IFERROR(__xludf.DUMMYFUNCTION("""COMPUTED_VALUE"""),"Enterprise")</f>
        <v>Enterprise</v>
      </c>
      <c r="H150" s="265" t="str">
        <f>IFERROR(__xludf.DUMMYFUNCTION("""COMPUTED_VALUE"""),"Trial")</f>
        <v>Trial</v>
      </c>
      <c r="I150" s="265" t="str">
        <f>IFERROR(__xludf.DUMMYFUNCTION("""COMPUTED_VALUE"""),"(Không recheck)")</f>
        <v>(Không recheck)</v>
      </c>
      <c r="J150" s="265" t="str">
        <f>IFERROR(__xludf.DUMMYFUNCTION("""COMPUTED_VALUE"""),"(Không recheck)")</f>
        <v>(Không recheck)</v>
      </c>
    </row>
    <row r="151">
      <c r="A151" s="265" t="str">
        <f>IFERROR(__xludf.DUMMYFUNCTION("""COMPUTED_VALUE"""),"484")</f>
        <v>484</v>
      </c>
      <c r="B151" s="265" t="str">
        <f>IFERROR(__xludf.DUMMYFUNCTION("""COMPUTED_VALUE"""),"Hà Nội")</f>
        <v>Hà Nội</v>
      </c>
      <c r="C151" s="265" t="str">
        <f>IFERROR(__xludf.DUMMYFUNCTION("""COMPUTED_VALUE"""),"Locked")</f>
        <v>Locked</v>
      </c>
      <c r="D151" s="265" t="str">
        <f>IFERROR(__xludf.DUMMYFUNCTION("""COMPUTED_VALUE"""),"Sale chưa cung cấp")</f>
        <v>Sale chưa cung cấp</v>
      </c>
      <c r="E151" s="265" t="str">
        <f>IFERROR(__xludf.DUMMYFUNCTION("""COMPUTED_VALUE"""),"NamDT")</f>
        <v>NamDT</v>
      </c>
      <c r="F151" s="265" t="str">
        <f>IFERROR(__xludf.DUMMYFUNCTION("""COMPUTED_VALUE"""),"Sale chưa cung cấp")</f>
        <v>Sale chưa cung cấp</v>
      </c>
      <c r="G151" s="265" t="str">
        <f>IFERROR(__xludf.DUMMYFUNCTION("""COMPUTED_VALUE"""),"API")</f>
        <v>API</v>
      </c>
      <c r="H151" s="265" t="str">
        <f>IFERROR(__xludf.DUMMYFUNCTION("""COMPUTED_VALUE"""),"(Chưa recheck)")</f>
        <v>(Chưa recheck)</v>
      </c>
      <c r="I151" s="265" t="str">
        <f>IFERROR(__xludf.DUMMYFUNCTION("""COMPUTED_VALUE"""),"(Chưa recheck)")</f>
        <v>(Chưa recheck)</v>
      </c>
      <c r="J151" s="265" t="str">
        <f>IFERROR(__xludf.DUMMYFUNCTION("""COMPUTED_VALUE"""),"AnhNM")</f>
        <v>AnhNM</v>
      </c>
    </row>
    <row r="152">
      <c r="A152" s="265" t="str">
        <f>IFERROR(__xludf.DUMMYFUNCTION("""COMPUTED_VALUE"""),"486")</f>
        <v>486</v>
      </c>
      <c r="B152" s="265" t="str">
        <f>IFERROR(__xludf.DUMMYFUNCTION("""COMPUTED_VALUE"""),"Hà Nội")</f>
        <v>Hà Nội</v>
      </c>
      <c r="C152" s="265" t="str">
        <f>IFERROR(__xludf.DUMMYFUNCTION("""COMPUTED_VALUE"""),"Active")</f>
        <v>Active</v>
      </c>
      <c r="D152" s="265" t="str">
        <f>IFERROR(__xludf.DUMMYFUNCTION("""COMPUTED_VALUE"""),"Công nghệ &amp; Phần mềm")</f>
        <v>Công nghệ &amp; Phần mềm</v>
      </c>
      <c r="E152" s="265" t="str">
        <f>IFERROR(__xludf.DUMMYFUNCTION("""COMPUTED_VALUE"""),"TúPHN")</f>
        <v>TúPHN</v>
      </c>
      <c r="F152" s="265" t="str">
        <f>IFERROR(__xludf.DUMMYFUNCTION("""COMPUTED_VALUE"""),"Gold")</f>
        <v>Gold</v>
      </c>
      <c r="G152" s="265" t="str">
        <f>IFERROR(__xludf.DUMMYFUNCTION("""COMPUTED_VALUE"""),"Starter")</f>
        <v>Starter</v>
      </c>
      <c r="H152" s="265" t="str">
        <f>IFERROR(__xludf.DUMMYFUNCTION("""COMPUTED_VALUE"""),"Trả trước")</f>
        <v>Trả trước</v>
      </c>
      <c r="I152" s="265" t="str">
        <f>IFERROR(__xludf.DUMMYFUNCTION("""COMPUTED_VALUE"""),"API")</f>
        <v>API</v>
      </c>
      <c r="J152" s="265" t="str">
        <f>IFERROR(__xludf.DUMMYFUNCTION("""COMPUTED_VALUE"""),"DungPL")</f>
        <v>DungPL</v>
      </c>
    </row>
    <row r="153">
      <c r="A153" s="265" t="str">
        <f>IFERROR(__xludf.DUMMYFUNCTION("""COMPUTED_VALUE"""),"485")</f>
        <v>485</v>
      </c>
      <c r="B153" s="265" t="str">
        <f>IFERROR(__xludf.DUMMYFUNCTION("""COMPUTED_VALUE"""),"Hà Nội")</f>
        <v>Hà Nội</v>
      </c>
      <c r="C153" s="265" t="str">
        <f>IFERROR(__xludf.DUMMYFUNCTION("""COMPUTED_VALUE"""),"Locked")</f>
        <v>Locked</v>
      </c>
      <c r="D153" s="265" t="str">
        <f>IFERROR(__xludf.DUMMYFUNCTION("""COMPUTED_VALUE"""),"Sale chưa cung cấp")</f>
        <v>Sale chưa cung cấp</v>
      </c>
      <c r="E153" s="265" t="str">
        <f>IFERROR(__xludf.DUMMYFUNCTION("""COMPUTED_VALUE"""),"PhươngDTB")</f>
        <v>PhươngDTB</v>
      </c>
      <c r="F153" s="265" t="str">
        <f>IFERROR(__xludf.DUMMYFUNCTION("""COMPUTED_VALUE"""),"Sale chưa cung cấp")</f>
        <v>Sale chưa cung cấp</v>
      </c>
      <c r="G153" s="265" t="str">
        <f>IFERROR(__xludf.DUMMYFUNCTION("""COMPUTED_VALUE"""),"Enterprise")</f>
        <v>Enterprise</v>
      </c>
      <c r="H153" s="265" t="str">
        <f>IFERROR(__xludf.DUMMYFUNCTION("""COMPUTED_VALUE"""),"Trial")</f>
        <v>Trial</v>
      </c>
      <c r="I153" s="265" t="str">
        <f>IFERROR(__xludf.DUMMYFUNCTION("""COMPUTED_VALUE"""),"(Không recheck)")</f>
        <v>(Không recheck)</v>
      </c>
      <c r="J153" s="265" t="str">
        <f>IFERROR(__xludf.DUMMYFUNCTION("""COMPUTED_VALUE"""),"(Không recheck)")</f>
        <v>(Không recheck)</v>
      </c>
    </row>
    <row r="154">
      <c r="A154" s="265" t="str">
        <f>IFERROR(__xludf.DUMMYFUNCTION("""COMPUTED_VALUE"""),"487")</f>
        <v>487</v>
      </c>
      <c r="B154" s="265" t="str">
        <f>IFERROR(__xludf.DUMMYFUNCTION("""COMPUTED_VALUE"""),"Hà Nội")</f>
        <v>Hà Nội</v>
      </c>
      <c r="C154" s="265" t="str">
        <f>IFERROR(__xludf.DUMMYFUNCTION("""COMPUTED_VALUE"""),"Locked")</f>
        <v>Locked</v>
      </c>
      <c r="D154" s="265" t="str">
        <f>IFERROR(__xludf.DUMMYFUNCTION("""COMPUTED_VALUE"""),"Sale chưa cung cấp")</f>
        <v>Sale chưa cung cấp</v>
      </c>
      <c r="E154" s="265" t="str">
        <f>IFERROR(__xludf.DUMMYFUNCTION("""COMPUTED_VALUE"""),"NamDT")</f>
        <v>NamDT</v>
      </c>
      <c r="F154" s="265" t="str">
        <f>IFERROR(__xludf.DUMMYFUNCTION("""COMPUTED_VALUE"""),"Silver")</f>
        <v>Silver</v>
      </c>
      <c r="G154" s="265" t="str">
        <f>IFERROR(__xludf.DUMMYFUNCTION("""COMPUTED_VALUE"""),"Enterprise")</f>
        <v>Enterprise</v>
      </c>
      <c r="H154" s="265" t="str">
        <f>IFERROR(__xludf.DUMMYFUNCTION("""COMPUTED_VALUE"""),"(Chưa recheck)")</f>
        <v>(Chưa recheck)</v>
      </c>
      <c r="I154" s="265" t="str">
        <f>IFERROR(__xludf.DUMMYFUNCTION("""COMPUTED_VALUE"""),"(Chưa recheck)")</f>
        <v>(Chưa recheck)</v>
      </c>
      <c r="J154" s="265" t="str">
        <f>IFERROR(__xludf.DUMMYFUNCTION("""COMPUTED_VALUE"""),"AnhNM")</f>
        <v>AnhNM</v>
      </c>
    </row>
    <row r="155">
      <c r="A155" s="265" t="str">
        <f>IFERROR(__xludf.DUMMYFUNCTION("""COMPUTED_VALUE"""),"488")</f>
        <v>488</v>
      </c>
      <c r="B155" s="265" t="str">
        <f>IFERROR(__xludf.DUMMYFUNCTION("""COMPUTED_VALUE"""),"Sài Gòn")</f>
        <v>Sài Gòn</v>
      </c>
      <c r="C155" s="265" t="str">
        <f>IFERROR(__xludf.DUMMYFUNCTION("""COMPUTED_VALUE"""),"Locked")</f>
        <v>Locked</v>
      </c>
      <c r="D155" s="265" t="str">
        <f>IFERROR(__xludf.DUMMYFUNCTION("""COMPUTED_VALUE"""),"Sale chưa cung cấp")</f>
        <v>Sale chưa cung cấp</v>
      </c>
      <c r="E155" s="265" t="str">
        <f>IFERROR(__xludf.DUMMYFUNCTION("""COMPUTED_VALUE"""),"HoaNTM")</f>
        <v>HoaNTM</v>
      </c>
      <c r="F155" s="265" t="str">
        <f>IFERROR(__xludf.DUMMYFUNCTION("""COMPUTED_VALUE"""),"Sale chưa cung cấp")</f>
        <v>Sale chưa cung cấp</v>
      </c>
      <c r="G155" s="265" t="str">
        <f>IFERROR(__xludf.DUMMYFUNCTION("""COMPUTED_VALUE"""),"MSG")</f>
        <v>MSG</v>
      </c>
      <c r="H155" s="265" t="str">
        <f>IFERROR(__xludf.DUMMYFUNCTION("""COMPUTED_VALUE"""),"Trial")</f>
        <v>Trial</v>
      </c>
      <c r="I155" s="265" t="str">
        <f>IFERROR(__xludf.DUMMYFUNCTION("""COMPUTED_VALUE"""),"(Không recheck)")</f>
        <v>(Không recheck)</v>
      </c>
      <c r="J155" s="265" t="str">
        <f>IFERROR(__xludf.DUMMYFUNCTION("""COMPUTED_VALUE"""),"DungPL")</f>
        <v>DungPL</v>
      </c>
    </row>
    <row r="156">
      <c r="A156" s="265" t="str">
        <f>IFERROR(__xludf.DUMMYFUNCTION("""COMPUTED_VALUE"""),"489")</f>
        <v>489</v>
      </c>
      <c r="B156" s="265" t="str">
        <f>IFERROR(__xludf.DUMMYFUNCTION("""COMPUTED_VALUE"""),"Sài Gòn")</f>
        <v>Sài Gòn</v>
      </c>
      <c r="C156" s="265" t="str">
        <f>IFERROR(__xludf.DUMMYFUNCTION("""COMPUTED_VALUE"""),"Locked")</f>
        <v>Locked</v>
      </c>
      <c r="D156" s="265" t="str">
        <f>IFERROR(__xludf.DUMMYFUNCTION("""COMPUTED_VALUE"""),"Sale chưa cung cấp")</f>
        <v>Sale chưa cung cấp</v>
      </c>
      <c r="E156" s="265" t="str">
        <f>IFERROR(__xludf.DUMMYFUNCTION("""COMPUTED_VALUE"""),"HoaNTM")</f>
        <v>HoaNTM</v>
      </c>
      <c r="F156" s="265" t="str">
        <f>IFERROR(__xludf.DUMMYFUNCTION("""COMPUTED_VALUE"""),"Sale chưa cung cấp")</f>
        <v>Sale chưa cung cấp</v>
      </c>
      <c r="G156" s="265" t="str">
        <f>IFERROR(__xludf.DUMMYFUNCTION("""COMPUTED_VALUE"""),"Enterprise")</f>
        <v>Enterprise</v>
      </c>
      <c r="H156" s="265" t="str">
        <f>IFERROR(__xludf.DUMMYFUNCTION("""COMPUTED_VALUE"""),"Trial")</f>
        <v>Trial</v>
      </c>
      <c r="I156" s="265" t="str">
        <f>IFERROR(__xludf.DUMMYFUNCTION("""COMPUTED_VALUE"""),"(Không recheck)")</f>
        <v>(Không recheck)</v>
      </c>
      <c r="J156" s="265" t="str">
        <f>IFERROR(__xludf.DUMMYFUNCTION("""COMPUTED_VALUE"""),"(Không recheck)")</f>
        <v>(Không recheck)</v>
      </c>
    </row>
    <row r="157">
      <c r="A157" s="265" t="str">
        <f>IFERROR(__xludf.DUMMYFUNCTION("""COMPUTED_VALUE"""),"490")</f>
        <v>490</v>
      </c>
      <c r="B157" s="265" t="str">
        <f>IFERROR(__xludf.DUMMYFUNCTION("""COMPUTED_VALUE"""),"Hà Nội")</f>
        <v>Hà Nội</v>
      </c>
      <c r="C157" s="265" t="str">
        <f>IFERROR(__xludf.DUMMYFUNCTION("""COMPUTED_VALUE"""),"Locked")</f>
        <v>Locked</v>
      </c>
      <c r="D157" s="265" t="str">
        <f>IFERROR(__xludf.DUMMYFUNCTION("""COMPUTED_VALUE"""),"Sale chưa cung cấp")</f>
        <v>Sale chưa cung cấp</v>
      </c>
      <c r="E157" s="265" t="str">
        <f>IFERROR(__xludf.DUMMYFUNCTION("""COMPUTED_VALUE"""),"TúPHN")</f>
        <v>TúPHN</v>
      </c>
      <c r="F157" s="265" t="str">
        <f>IFERROR(__xludf.DUMMYFUNCTION("""COMPUTED_VALUE"""),"Silver")</f>
        <v>Silver</v>
      </c>
      <c r="G157" s="265" t="str">
        <f>IFERROR(__xludf.DUMMYFUNCTION("""COMPUTED_VALUE"""),"Enterprise")</f>
        <v>Enterprise</v>
      </c>
      <c r="H157" s="265" t="str">
        <f>IFERROR(__xludf.DUMMYFUNCTION("""COMPUTED_VALUE"""),"(Chưa recheck)")</f>
        <v>(Chưa recheck)</v>
      </c>
      <c r="I157" s="265" t="str">
        <f>IFERROR(__xludf.DUMMYFUNCTION("""COMPUTED_VALUE"""),"(Chưa recheck)")</f>
        <v>(Chưa recheck)</v>
      </c>
      <c r="J157" s="265" t="str">
        <f>IFERROR(__xludf.DUMMYFUNCTION("""COMPUTED_VALUE"""),"AnhNM")</f>
        <v>AnhNM</v>
      </c>
    </row>
    <row r="158">
      <c r="A158" s="265" t="str">
        <f>IFERROR(__xludf.DUMMYFUNCTION("""COMPUTED_VALUE"""),"491")</f>
        <v>491</v>
      </c>
      <c r="B158" s="265" t="str">
        <f>IFERROR(__xludf.DUMMYFUNCTION("""COMPUTED_VALUE"""),"Hà Nội")</f>
        <v>Hà Nội</v>
      </c>
      <c r="C158" s="265" t="str">
        <f>IFERROR(__xludf.DUMMYFUNCTION("""COMPUTED_VALUE"""),"Locked")</f>
        <v>Locked</v>
      </c>
      <c r="D158" s="265" t="str">
        <f>IFERROR(__xludf.DUMMYFUNCTION("""COMPUTED_VALUE"""),"Sale chưa cung cấp")</f>
        <v>Sale chưa cung cấp</v>
      </c>
      <c r="E158" s="265" t="str">
        <f>IFERROR(__xludf.DUMMYFUNCTION("""COMPUTED_VALUE"""),"(Không recheck)")</f>
        <v>(Không recheck)</v>
      </c>
      <c r="F158" s="265" t="str">
        <f>IFERROR(__xludf.DUMMYFUNCTION("""COMPUTED_VALUE"""),"Sale chưa cung cấp")</f>
        <v>Sale chưa cung cấp</v>
      </c>
      <c r="G158" s="265" t="str">
        <f>IFERROR(__xludf.DUMMYFUNCTION("""COMPUTED_VALUE"""),"API")</f>
        <v>API</v>
      </c>
      <c r="H158" s="265" t="str">
        <f>IFERROR(__xludf.DUMMYFUNCTION("""COMPUTED_VALUE"""),"Trial")</f>
        <v>Trial</v>
      </c>
      <c r="I158" s="265" t="str">
        <f>IFERROR(__xludf.DUMMYFUNCTION("""COMPUTED_VALUE"""),"(Không recheck)")</f>
        <v>(Không recheck)</v>
      </c>
      <c r="J158" s="265" t="str">
        <f>IFERROR(__xludf.DUMMYFUNCTION("""COMPUTED_VALUE"""),"AnhNM")</f>
        <v>AnhNM</v>
      </c>
    </row>
    <row r="159">
      <c r="A159" s="265" t="str">
        <f>IFERROR(__xludf.DUMMYFUNCTION("""COMPUTED_VALUE"""),"492")</f>
        <v>492</v>
      </c>
      <c r="B159" s="265" t="str">
        <f>IFERROR(__xludf.DUMMYFUNCTION("""COMPUTED_VALUE"""),"Sài Gòn")</f>
        <v>Sài Gòn</v>
      </c>
      <c r="C159" s="265" t="str">
        <f>IFERROR(__xludf.DUMMYFUNCTION("""COMPUTED_VALUE"""),"Locked")</f>
        <v>Locked</v>
      </c>
      <c r="D159" s="265" t="str">
        <f>IFERROR(__xludf.DUMMYFUNCTION("""COMPUTED_VALUE"""),"Sale chưa cung cấp")</f>
        <v>Sale chưa cung cấp</v>
      </c>
      <c r="E159" s="265" t="str">
        <f>IFERROR(__xludf.DUMMYFUNCTION("""COMPUTED_VALUE"""),"HoaNTM")</f>
        <v>HoaNTM</v>
      </c>
      <c r="F159" s="265" t="str">
        <f>IFERROR(__xludf.DUMMYFUNCTION("""COMPUTED_VALUE"""),"Sale chưa cung cấp")</f>
        <v>Sale chưa cung cấp</v>
      </c>
      <c r="G159" s="265" t="str">
        <f>IFERROR(__xludf.DUMMYFUNCTION("""COMPUTED_VALUE"""),"MSG")</f>
        <v>MSG</v>
      </c>
      <c r="H159" s="265" t="str">
        <f>IFERROR(__xludf.DUMMYFUNCTION("""COMPUTED_VALUE"""),"(Chưa recheck)")</f>
        <v>(Chưa recheck)</v>
      </c>
      <c r="I159" s="265" t="str">
        <f>IFERROR(__xludf.DUMMYFUNCTION("""COMPUTED_VALUE"""),"(Chưa recheck)")</f>
        <v>(Chưa recheck)</v>
      </c>
      <c r="J159" s="265" t="str">
        <f>IFERROR(__xludf.DUMMYFUNCTION("""COMPUTED_VALUE"""),"AnhNM")</f>
        <v>AnhNM</v>
      </c>
    </row>
    <row r="160">
      <c r="A160" s="265" t="str">
        <f>IFERROR(__xludf.DUMMYFUNCTION("""COMPUTED_VALUE"""),"494")</f>
        <v>494</v>
      </c>
      <c r="B160" s="265" t="str">
        <f>IFERROR(__xludf.DUMMYFUNCTION("""COMPUTED_VALUE"""),"Sài Gòn")</f>
        <v>Sài Gòn</v>
      </c>
      <c r="C160" s="265" t="str">
        <f>IFERROR(__xludf.DUMMYFUNCTION("""COMPUTED_VALUE"""),"Locked")</f>
        <v>Locked</v>
      </c>
      <c r="D160" s="265" t="str">
        <f>IFERROR(__xludf.DUMMYFUNCTION("""COMPUTED_VALUE"""),"Sale chưa cung cấp")</f>
        <v>Sale chưa cung cấp</v>
      </c>
      <c r="E160" s="265" t="str">
        <f>IFERROR(__xludf.DUMMYFUNCTION("""COMPUTED_VALUE"""),"HoaNTM")</f>
        <v>HoaNTM</v>
      </c>
      <c r="F160" s="265" t="str">
        <f>IFERROR(__xludf.DUMMYFUNCTION("""COMPUTED_VALUE"""),"Diamond")</f>
        <v>Diamond</v>
      </c>
      <c r="G160" s="265" t="str">
        <f>IFERROR(__xludf.DUMMYFUNCTION("""COMPUTED_VALUE"""),"API")</f>
        <v>API</v>
      </c>
      <c r="H160" s="265" t="str">
        <f>IFERROR(__xludf.DUMMYFUNCTION("""COMPUTED_VALUE"""),"Trả sau")</f>
        <v>Trả sau</v>
      </c>
      <c r="I160" s="265" t="str">
        <f>IFERROR(__xludf.DUMMYFUNCTION("""COMPUTED_VALUE"""),"(Chưa recheck)")</f>
        <v>(Chưa recheck)</v>
      </c>
      <c r="J160" s="265" t="str">
        <f>IFERROR(__xludf.DUMMYFUNCTION("""COMPUTED_VALUE"""),"(Chưa recheck)")</f>
        <v>(Chưa recheck)</v>
      </c>
    </row>
    <row r="161">
      <c r="A161" s="265" t="str">
        <f>IFERROR(__xludf.DUMMYFUNCTION("""COMPUTED_VALUE"""),"493")</f>
        <v>493</v>
      </c>
      <c r="B161" s="265" t="str">
        <f>IFERROR(__xludf.DUMMYFUNCTION("""COMPUTED_VALUE"""),"Sài Gòn")</f>
        <v>Sài Gòn</v>
      </c>
      <c r="C161" s="265" t="str">
        <f>IFERROR(__xludf.DUMMYFUNCTION("""COMPUTED_VALUE"""),"Locked")</f>
        <v>Locked</v>
      </c>
      <c r="D161" s="265" t="str">
        <f>IFERROR(__xludf.DUMMYFUNCTION("""COMPUTED_VALUE"""),"Sale chưa cung cấp")</f>
        <v>Sale chưa cung cấp</v>
      </c>
      <c r="E161" s="265" t="str">
        <f>IFERROR(__xludf.DUMMYFUNCTION("""COMPUTED_VALUE"""),"HoaNTM")</f>
        <v>HoaNTM</v>
      </c>
      <c r="F161" s="265" t="str">
        <f>IFERROR(__xludf.DUMMYFUNCTION("""COMPUTED_VALUE"""),"Sale chưa cung cấp")</f>
        <v>Sale chưa cung cấp</v>
      </c>
      <c r="G161" s="265" t="str">
        <f>IFERROR(__xludf.DUMMYFUNCTION("""COMPUTED_VALUE"""),"Enterprise")</f>
        <v>Enterprise</v>
      </c>
      <c r="H161" s="265" t="str">
        <f>IFERROR(__xludf.DUMMYFUNCTION("""COMPUTED_VALUE"""),"Trial")</f>
        <v>Trial</v>
      </c>
      <c r="I161" s="265" t="str">
        <f>IFERROR(__xludf.DUMMYFUNCTION("""COMPUTED_VALUE"""),"(Không recheck)")</f>
        <v>(Không recheck)</v>
      </c>
      <c r="J161" s="265" t="str">
        <f>IFERROR(__xludf.DUMMYFUNCTION("""COMPUTED_VALUE"""),"(Không recheck)")</f>
        <v>(Không recheck)</v>
      </c>
    </row>
    <row r="162">
      <c r="A162" s="265" t="str">
        <f>IFERROR(__xludf.DUMMYFUNCTION("""COMPUTED_VALUE"""),"496")</f>
        <v>496</v>
      </c>
      <c r="B162" s="265" t="str">
        <f>IFERROR(__xludf.DUMMYFUNCTION("""COMPUTED_VALUE"""),"Hà Nội")</f>
        <v>Hà Nội</v>
      </c>
      <c r="C162" s="265" t="str">
        <f>IFERROR(__xludf.DUMMYFUNCTION("""COMPUTED_VALUE"""),"Locked")</f>
        <v>Locked</v>
      </c>
      <c r="D162" s="265" t="str">
        <f>IFERROR(__xludf.DUMMYFUNCTION("""COMPUTED_VALUE"""),"Sale chưa cung cấp")</f>
        <v>Sale chưa cung cấp</v>
      </c>
      <c r="E162" s="265" t="str">
        <f>IFERROR(__xludf.DUMMYFUNCTION("""COMPUTED_VALUE"""),"PhươngDTB")</f>
        <v>PhươngDTB</v>
      </c>
      <c r="F162" s="265" t="str">
        <f>IFERROR(__xludf.DUMMYFUNCTION("""COMPUTED_VALUE"""),"Sale chưa cung cấp")</f>
        <v>Sale chưa cung cấp</v>
      </c>
      <c r="G162" s="265" t="str">
        <f>IFERROR(__xludf.DUMMYFUNCTION("""COMPUTED_VALUE"""),"Enterprise")</f>
        <v>Enterprise</v>
      </c>
      <c r="H162" s="265" t="str">
        <f>IFERROR(__xludf.DUMMYFUNCTION("""COMPUTED_VALUE"""),"Trial")</f>
        <v>Trial</v>
      </c>
      <c r="I162" s="265" t="str">
        <f>IFERROR(__xludf.DUMMYFUNCTION("""COMPUTED_VALUE"""),"(Không recheck)")</f>
        <v>(Không recheck)</v>
      </c>
      <c r="J162" s="265" t="str">
        <f>IFERROR(__xludf.DUMMYFUNCTION("""COMPUTED_VALUE"""),"(Không recheck)")</f>
        <v>(Không recheck)</v>
      </c>
    </row>
    <row r="163">
      <c r="A163" s="265" t="str">
        <f>IFERROR(__xludf.DUMMYFUNCTION("""COMPUTED_VALUE"""),"495")</f>
        <v>495</v>
      </c>
      <c r="B163" s="265" t="str">
        <f>IFERROR(__xludf.DUMMYFUNCTION("""COMPUTED_VALUE"""),"Sài Gòn")</f>
        <v>Sài Gòn</v>
      </c>
      <c r="C163" s="265" t="str">
        <f>IFERROR(__xludf.DUMMYFUNCTION("""COMPUTED_VALUE"""),"Active")</f>
        <v>Active</v>
      </c>
      <c r="D163" s="265" t="str">
        <f>IFERROR(__xludf.DUMMYFUNCTION("""COMPUTED_VALUE"""),"Sale chưa cung cấp")</f>
        <v>Sale chưa cung cấp</v>
      </c>
      <c r="E163" s="265" t="str">
        <f>IFERROR(__xludf.DUMMYFUNCTION("""COMPUTED_VALUE"""),"TùngLD")</f>
        <v>TùngLD</v>
      </c>
      <c r="F163" s="265" t="str">
        <f>IFERROR(__xludf.DUMMYFUNCTION("""COMPUTED_VALUE"""),"Diamond")</f>
        <v>Diamond</v>
      </c>
      <c r="G163" s="265" t="str">
        <f>IFERROR(__xludf.DUMMYFUNCTION("""COMPUTED_VALUE"""),"Enterprise")</f>
        <v>Enterprise</v>
      </c>
      <c r="H163" s="265" t="str">
        <f>IFERROR(__xludf.DUMMYFUNCTION("""COMPUTED_VALUE"""),"Trả sau")</f>
        <v>Trả sau</v>
      </c>
      <c r="I163" s="265" t="str">
        <f>IFERROR(__xludf.DUMMYFUNCTION("""COMPUTED_VALUE"""),"API &amp; Portal")</f>
        <v>API &amp; Portal</v>
      </c>
      <c r="J163" s="265" t="str">
        <f>IFERROR(__xludf.DUMMYFUNCTION("""COMPUTED_VALUE"""),"LinhNTT1")</f>
        <v>LinhNTT1</v>
      </c>
    </row>
    <row r="164">
      <c r="A164" s="265" t="str">
        <f>IFERROR(__xludf.DUMMYFUNCTION("""COMPUTED_VALUE"""),"497")</f>
        <v>497</v>
      </c>
      <c r="B164" s="265" t="str">
        <f>IFERROR(__xludf.DUMMYFUNCTION("""COMPUTED_VALUE"""),"Sài Gòn")</f>
        <v>Sài Gòn</v>
      </c>
      <c r="C164" s="265" t="str">
        <f>IFERROR(__xludf.DUMMYFUNCTION("""COMPUTED_VALUE"""),"Locked")</f>
        <v>Locked</v>
      </c>
      <c r="D164" s="265" t="str">
        <f>IFERROR(__xludf.DUMMYFUNCTION("""COMPUTED_VALUE"""),"Sale chưa cung cấp")</f>
        <v>Sale chưa cung cấp</v>
      </c>
      <c r="E164" s="265" t="str">
        <f>IFERROR(__xludf.DUMMYFUNCTION("""COMPUTED_VALUE"""),"HoaNTM")</f>
        <v>HoaNTM</v>
      </c>
      <c r="F164" s="265" t="str">
        <f>IFERROR(__xludf.DUMMYFUNCTION("""COMPUTED_VALUE"""),"Sale chưa cung cấp")</f>
        <v>Sale chưa cung cấp</v>
      </c>
      <c r="G164" s="265" t="str">
        <f>IFERROR(__xludf.DUMMYFUNCTION("""COMPUTED_VALUE"""),"Enterprise")</f>
        <v>Enterprise</v>
      </c>
      <c r="H164" s="265" t="str">
        <f>IFERROR(__xludf.DUMMYFUNCTION("""COMPUTED_VALUE"""),"Trial")</f>
        <v>Trial</v>
      </c>
      <c r="I164" s="265" t="str">
        <f>IFERROR(__xludf.DUMMYFUNCTION("""COMPUTED_VALUE"""),"(Không recheck)")</f>
        <v>(Không recheck)</v>
      </c>
      <c r="J164" s="265" t="str">
        <f>IFERROR(__xludf.DUMMYFUNCTION("""COMPUTED_VALUE"""),"(Không recheck)")</f>
        <v>(Không recheck)</v>
      </c>
    </row>
    <row r="165">
      <c r="A165" s="265" t="str">
        <f>IFERROR(__xludf.DUMMYFUNCTION("""COMPUTED_VALUE"""),"499")</f>
        <v>499</v>
      </c>
      <c r="B165" s="265" t="str">
        <f>IFERROR(__xludf.DUMMYFUNCTION("""COMPUTED_VALUE"""),"Hà Nội")</f>
        <v>Hà Nội</v>
      </c>
      <c r="C165" s="265" t="str">
        <f>IFERROR(__xludf.DUMMYFUNCTION("""COMPUTED_VALUE"""),"Locked")</f>
        <v>Locked</v>
      </c>
      <c r="D165" s="265" t="str">
        <f>IFERROR(__xludf.DUMMYFUNCTION("""COMPUTED_VALUE"""),"Sale chưa cung cấp")</f>
        <v>Sale chưa cung cấp</v>
      </c>
      <c r="E165" s="265" t="str">
        <f>IFERROR(__xludf.DUMMYFUNCTION("""COMPUTED_VALUE"""),"(Không recheck)")</f>
        <v>(Không recheck)</v>
      </c>
      <c r="F165" s="265" t="str">
        <f>IFERROR(__xludf.DUMMYFUNCTION("""COMPUTED_VALUE"""),"Sale chưa cung cấp")</f>
        <v>Sale chưa cung cấp</v>
      </c>
      <c r="G165" s="265" t="str">
        <f>IFERROR(__xludf.DUMMYFUNCTION("""COMPUTED_VALUE"""),"API")</f>
        <v>API</v>
      </c>
      <c r="H165" s="265" t="str">
        <f>IFERROR(__xludf.DUMMYFUNCTION("""COMPUTED_VALUE"""),"Trial")</f>
        <v>Trial</v>
      </c>
      <c r="I165" s="265" t="str">
        <f>IFERROR(__xludf.DUMMYFUNCTION("""COMPUTED_VALUE"""),"(Không recheck)")</f>
        <v>(Không recheck)</v>
      </c>
      <c r="J165" s="265" t="str">
        <f>IFERROR(__xludf.DUMMYFUNCTION("""COMPUTED_VALUE"""),"AnhNM")</f>
        <v>AnhNM</v>
      </c>
    </row>
    <row r="166">
      <c r="A166" s="265" t="str">
        <f>IFERROR(__xludf.DUMMYFUNCTION("""COMPUTED_VALUE"""),"500")</f>
        <v>500</v>
      </c>
      <c r="B166" s="265" t="str">
        <f>IFERROR(__xludf.DUMMYFUNCTION("""COMPUTED_VALUE"""),"Hà Nội")</f>
        <v>Hà Nội</v>
      </c>
      <c r="C166" s="265" t="str">
        <f>IFERROR(__xludf.DUMMYFUNCTION("""COMPUTED_VALUE"""),"Locked")</f>
        <v>Locked</v>
      </c>
      <c r="D166" s="265" t="str">
        <f>IFERROR(__xludf.DUMMYFUNCTION("""COMPUTED_VALUE"""),"Sale chưa cung cấp")</f>
        <v>Sale chưa cung cấp</v>
      </c>
      <c r="E166" s="265" t="str">
        <f>IFERROR(__xludf.DUMMYFUNCTION("""COMPUTED_VALUE"""),"AnhNM")</f>
        <v>AnhNM</v>
      </c>
      <c r="F166" s="265" t="str">
        <f>IFERROR(__xludf.DUMMYFUNCTION("""COMPUTED_VALUE"""),"Gold")</f>
        <v>Gold</v>
      </c>
      <c r="G166" s="265" t="str">
        <f>IFERROR(__xludf.DUMMYFUNCTION("""COMPUTED_VALUE"""),"Enterprise")</f>
        <v>Enterprise</v>
      </c>
      <c r="H166" s="265" t="str">
        <f>IFERROR(__xludf.DUMMYFUNCTION("""COMPUTED_VALUE"""),"Trả trước")</f>
        <v>Trả trước</v>
      </c>
      <c r="I166" s="265" t="str">
        <f>IFERROR(__xludf.DUMMYFUNCTION("""COMPUTED_VALUE"""),"API")</f>
        <v>API</v>
      </c>
      <c r="J166" s="265" t="str">
        <f>IFERROR(__xludf.DUMMYFUNCTION("""COMPUTED_VALUE"""),"LinhNTT1")</f>
        <v>LinhNTT1</v>
      </c>
    </row>
    <row r="167">
      <c r="A167" s="265" t="str">
        <f>IFERROR(__xludf.DUMMYFUNCTION("""COMPUTED_VALUE"""),"501")</f>
        <v>501</v>
      </c>
      <c r="B167" s="265" t="str">
        <f>IFERROR(__xludf.DUMMYFUNCTION("""COMPUTED_VALUE"""),"Hà Nội")</f>
        <v>Hà Nội</v>
      </c>
      <c r="C167" s="265" t="str">
        <f>IFERROR(__xludf.DUMMYFUNCTION("""COMPUTED_VALUE"""),"Locked")</f>
        <v>Locked</v>
      </c>
      <c r="D167" s="265" t="str">
        <f>IFERROR(__xludf.DUMMYFUNCTION("""COMPUTED_VALUE"""),"Sale chưa cung cấp")</f>
        <v>Sale chưa cung cấp</v>
      </c>
      <c r="E167" s="265" t="str">
        <f>IFERROR(__xludf.DUMMYFUNCTION("""COMPUTED_VALUE"""),"PhươngDTB")</f>
        <v>PhươngDTB</v>
      </c>
      <c r="F167" s="265" t="str">
        <f>IFERROR(__xludf.DUMMYFUNCTION("""COMPUTED_VALUE"""),"Bronze")</f>
        <v>Bronze</v>
      </c>
      <c r="G167" s="265" t="str">
        <f>IFERROR(__xludf.DUMMYFUNCTION("""COMPUTED_VALUE"""),"Enterprise")</f>
        <v>Enterprise</v>
      </c>
      <c r="H167" s="265" t="str">
        <f>IFERROR(__xludf.DUMMYFUNCTION("""COMPUTED_VALUE"""),"(Chưa recheck)")</f>
        <v>(Chưa recheck)</v>
      </c>
      <c r="I167" s="265" t="str">
        <f>IFERROR(__xludf.DUMMYFUNCTION("""COMPUTED_VALUE"""),"(Chưa recheck)")</f>
        <v>(Chưa recheck)</v>
      </c>
      <c r="J167" s="265" t="str">
        <f>IFERROR(__xludf.DUMMYFUNCTION("""COMPUTED_VALUE"""),"(Chưa recheck)")</f>
        <v>(Chưa recheck)</v>
      </c>
    </row>
    <row r="168">
      <c r="A168" s="265" t="str">
        <f>IFERROR(__xludf.DUMMYFUNCTION("""COMPUTED_VALUE"""),"504")</f>
        <v>504</v>
      </c>
      <c r="B168" s="265" t="str">
        <f>IFERROR(__xludf.DUMMYFUNCTION("""COMPUTED_VALUE"""),"Hà Nội")</f>
        <v>Hà Nội</v>
      </c>
      <c r="C168" s="265" t="str">
        <f>IFERROR(__xludf.DUMMYFUNCTION("""COMPUTED_VALUE"""),"Locked")</f>
        <v>Locked</v>
      </c>
      <c r="D168" s="265" t="str">
        <f>IFERROR(__xludf.DUMMYFUNCTION("""COMPUTED_VALUE"""),"Sale chưa cung cấp")</f>
        <v>Sale chưa cung cấp</v>
      </c>
      <c r="E168" s="265" t="str">
        <f>IFERROR(__xludf.DUMMYFUNCTION("""COMPUTED_VALUE"""),"NamDT")</f>
        <v>NamDT</v>
      </c>
      <c r="F168" s="265" t="str">
        <f>IFERROR(__xludf.DUMMYFUNCTION("""COMPUTED_VALUE"""),"Sale chưa cung cấp")</f>
        <v>Sale chưa cung cấp</v>
      </c>
      <c r="G168" s="265" t="str">
        <f>IFERROR(__xludf.DUMMYFUNCTION("""COMPUTED_VALUE"""),"MSG")</f>
        <v>MSG</v>
      </c>
      <c r="H168" s="265" t="str">
        <f>IFERROR(__xludf.DUMMYFUNCTION("""COMPUTED_VALUE"""),"(Chưa recheck)")</f>
        <v>(Chưa recheck)</v>
      </c>
      <c r="I168" s="265" t="str">
        <f>IFERROR(__xludf.DUMMYFUNCTION("""COMPUTED_VALUE"""),"(Chưa recheck)")</f>
        <v>(Chưa recheck)</v>
      </c>
      <c r="J168" s="265" t="str">
        <f>IFERROR(__xludf.DUMMYFUNCTION("""COMPUTED_VALUE"""),"(Chưa recheck)")</f>
        <v>(Chưa recheck)</v>
      </c>
    </row>
    <row r="169">
      <c r="A169" s="265" t="str">
        <f>IFERROR(__xludf.DUMMYFUNCTION("""COMPUTED_VALUE"""),"506")</f>
        <v>506</v>
      </c>
      <c r="B169" s="265" t="str">
        <f>IFERROR(__xludf.DUMMYFUNCTION("""COMPUTED_VALUE"""),"Sài Gòn")</f>
        <v>Sài Gòn</v>
      </c>
      <c r="C169" s="265" t="str">
        <f>IFERROR(__xludf.DUMMYFUNCTION("""COMPUTED_VALUE"""),"Locked")</f>
        <v>Locked</v>
      </c>
      <c r="D169" s="265" t="str">
        <f>IFERROR(__xludf.DUMMYFUNCTION("""COMPUTED_VALUE"""),"Sale chưa cung cấp")</f>
        <v>Sale chưa cung cấp</v>
      </c>
      <c r="E169" s="265" t="str">
        <f>IFERROR(__xludf.DUMMYFUNCTION("""COMPUTED_VALUE"""),"HoaNTM")</f>
        <v>HoaNTM</v>
      </c>
      <c r="F169" s="265" t="str">
        <f>IFERROR(__xludf.DUMMYFUNCTION("""COMPUTED_VALUE"""),"Bronze")</f>
        <v>Bronze</v>
      </c>
      <c r="G169" s="265" t="str">
        <f>IFERROR(__xludf.DUMMYFUNCTION("""COMPUTED_VALUE"""),"Enterprise")</f>
        <v>Enterprise</v>
      </c>
      <c r="H169" s="265" t="str">
        <f>IFERROR(__xludf.DUMMYFUNCTION("""COMPUTED_VALUE"""),"(Chưa recheck)")</f>
        <v>(Chưa recheck)</v>
      </c>
      <c r="I169" s="265" t="str">
        <f>IFERROR(__xludf.DUMMYFUNCTION("""COMPUTED_VALUE"""),"(Chưa recheck)")</f>
        <v>(Chưa recheck)</v>
      </c>
      <c r="J169" s="265" t="str">
        <f>IFERROR(__xludf.DUMMYFUNCTION("""COMPUTED_VALUE"""),"AnhNM")</f>
        <v>AnhNM</v>
      </c>
    </row>
    <row r="170">
      <c r="A170" s="265" t="str">
        <f>IFERROR(__xludf.DUMMYFUNCTION("""COMPUTED_VALUE"""),"505")</f>
        <v>505</v>
      </c>
      <c r="B170" s="265" t="str">
        <f>IFERROR(__xludf.DUMMYFUNCTION("""COMPUTED_VALUE"""),"Sài Gòn")</f>
        <v>Sài Gòn</v>
      </c>
      <c r="C170" s="265" t="str">
        <f>IFERROR(__xludf.DUMMYFUNCTION("""COMPUTED_VALUE"""),"Locked")</f>
        <v>Locked</v>
      </c>
      <c r="D170" s="265" t="str">
        <f>IFERROR(__xludf.DUMMYFUNCTION("""COMPUTED_VALUE"""),"Sale chưa cung cấp")</f>
        <v>Sale chưa cung cấp</v>
      </c>
      <c r="E170" s="265" t="str">
        <f>IFERROR(__xludf.DUMMYFUNCTION("""COMPUTED_VALUE"""),"HoaNTM")</f>
        <v>HoaNTM</v>
      </c>
      <c r="F170" s="265" t="str">
        <f>IFERROR(__xludf.DUMMYFUNCTION("""COMPUTED_VALUE"""),"Sale chưa cung cấp")</f>
        <v>Sale chưa cung cấp</v>
      </c>
      <c r="G170" s="265" t="str">
        <f>IFERROR(__xludf.DUMMYFUNCTION("""COMPUTED_VALUE"""),"Enterprise")</f>
        <v>Enterprise</v>
      </c>
      <c r="H170" s="265" t="str">
        <f>IFERROR(__xludf.DUMMYFUNCTION("""COMPUTED_VALUE"""),"Trial")</f>
        <v>Trial</v>
      </c>
      <c r="I170" s="265" t="str">
        <f>IFERROR(__xludf.DUMMYFUNCTION("""COMPUTED_VALUE"""),"(Không recheck)")</f>
        <v>(Không recheck)</v>
      </c>
      <c r="J170" s="265" t="str">
        <f>IFERROR(__xludf.DUMMYFUNCTION("""COMPUTED_VALUE"""),"AnhNM")</f>
        <v>AnhNM</v>
      </c>
    </row>
    <row r="171">
      <c r="A171" s="265" t="str">
        <f>IFERROR(__xludf.DUMMYFUNCTION("""COMPUTED_VALUE"""),"507")</f>
        <v>507</v>
      </c>
      <c r="B171" s="265" t="str">
        <f>IFERROR(__xludf.DUMMYFUNCTION("""COMPUTED_VALUE"""),"Sài Gòn")</f>
        <v>Sài Gòn</v>
      </c>
      <c r="C171" s="265" t="str">
        <f>IFERROR(__xludf.DUMMYFUNCTION("""COMPUTED_VALUE"""),"Locked")</f>
        <v>Locked</v>
      </c>
      <c r="D171" s="265" t="str">
        <f>IFERROR(__xludf.DUMMYFUNCTION("""COMPUTED_VALUE"""),"Sale chưa cung cấp")</f>
        <v>Sale chưa cung cấp</v>
      </c>
      <c r="E171" s="265" t="str">
        <f>IFERROR(__xludf.DUMMYFUNCTION("""COMPUTED_VALUE"""),"HoaNTM")</f>
        <v>HoaNTM</v>
      </c>
      <c r="F171" s="265" t="str">
        <f>IFERROR(__xludf.DUMMYFUNCTION("""COMPUTED_VALUE"""),"Sale chưa cung cấp")</f>
        <v>Sale chưa cung cấp</v>
      </c>
      <c r="G171" s="265" t="str">
        <f>IFERROR(__xludf.DUMMYFUNCTION("""COMPUTED_VALUE"""),"MSG")</f>
        <v>MSG</v>
      </c>
      <c r="H171" s="265" t="str">
        <f>IFERROR(__xludf.DUMMYFUNCTION("""COMPUTED_VALUE"""),"(Chưa recheck)")</f>
        <v>(Chưa recheck)</v>
      </c>
      <c r="I171" s="265" t="str">
        <f>IFERROR(__xludf.DUMMYFUNCTION("""COMPUTED_VALUE"""),"(Chưa recheck)")</f>
        <v>(Chưa recheck)</v>
      </c>
      <c r="J171" s="265" t="str">
        <f>IFERROR(__xludf.DUMMYFUNCTION("""COMPUTED_VALUE"""),"AnhNM")</f>
        <v>AnhNM</v>
      </c>
    </row>
    <row r="172">
      <c r="A172" s="265" t="str">
        <f>IFERROR(__xludf.DUMMYFUNCTION("""COMPUTED_VALUE"""),"None 5")</f>
        <v>None 5</v>
      </c>
      <c r="B172" s="265" t="str">
        <f>IFERROR(__xludf.DUMMYFUNCTION("""COMPUTED_VALUE"""),"Hà Nội")</f>
        <v>Hà Nội</v>
      </c>
      <c r="C172" s="265" t="str">
        <f>IFERROR(__xludf.DUMMYFUNCTION("""COMPUTED_VALUE"""),"Locked")</f>
        <v>Locked</v>
      </c>
      <c r="D172" s="265" t="str">
        <f>IFERROR(__xludf.DUMMYFUNCTION("""COMPUTED_VALUE"""),"Sale chưa cung cấp")</f>
        <v>Sale chưa cung cấp</v>
      </c>
      <c r="E172" s="265" t="str">
        <f>IFERROR(__xludf.DUMMYFUNCTION("""COMPUTED_VALUE"""),"Không phân công")</f>
        <v>Không phân công</v>
      </c>
      <c r="F172" s="265" t="str">
        <f>IFERROR(__xludf.DUMMYFUNCTION("""COMPUTED_VALUE"""),"Sale chưa cung cấp")</f>
        <v>Sale chưa cung cấp</v>
      </c>
      <c r="G172" s="265" t="str">
        <f>IFERROR(__xludf.DUMMYFUNCTION("""COMPUTED_VALUE"""),"API")</f>
        <v>API</v>
      </c>
      <c r="H172" s="265" t="str">
        <f>IFERROR(__xludf.DUMMYFUNCTION("""COMPUTED_VALUE"""),"(Chưa recheck)")</f>
        <v>(Chưa recheck)</v>
      </c>
      <c r="I172" s="265" t="str">
        <f>IFERROR(__xludf.DUMMYFUNCTION("""COMPUTED_VALUE"""),"(Chưa recheck)")</f>
        <v>(Chưa recheck)</v>
      </c>
      <c r="J172" s="265" t="str">
        <f>IFERROR(__xludf.DUMMYFUNCTION("""COMPUTED_VALUE"""),"AnhNM")</f>
        <v>AnhNM</v>
      </c>
    </row>
    <row r="173">
      <c r="A173" s="265" t="str">
        <f>IFERROR(__xludf.DUMMYFUNCTION("""COMPUTED_VALUE"""),"508")</f>
        <v>508</v>
      </c>
      <c r="B173" s="265" t="str">
        <f>IFERROR(__xludf.DUMMYFUNCTION("""COMPUTED_VALUE"""),"Sài Gòn")</f>
        <v>Sài Gòn</v>
      </c>
      <c r="C173" s="265" t="str">
        <f>IFERROR(__xludf.DUMMYFUNCTION("""COMPUTED_VALUE"""),"Locked")</f>
        <v>Locked</v>
      </c>
      <c r="D173" s="265" t="str">
        <f>IFERROR(__xludf.DUMMYFUNCTION("""COMPUTED_VALUE"""),"Sale chưa cung cấp")</f>
        <v>Sale chưa cung cấp</v>
      </c>
      <c r="E173" s="265" t="str">
        <f>IFERROR(__xludf.DUMMYFUNCTION("""COMPUTED_VALUE"""),"HoaNTM")</f>
        <v>HoaNTM</v>
      </c>
      <c r="F173" s="265" t="str">
        <f>IFERROR(__xludf.DUMMYFUNCTION("""COMPUTED_VALUE"""),"Bronze")</f>
        <v>Bronze</v>
      </c>
      <c r="G173" s="265" t="str">
        <f>IFERROR(__xludf.DUMMYFUNCTION("""COMPUTED_VALUE"""),"MSG")</f>
        <v>MSG</v>
      </c>
      <c r="H173" s="265" t="str">
        <f>IFERROR(__xludf.DUMMYFUNCTION("""COMPUTED_VALUE"""),"(Chưa recheck)")</f>
        <v>(Chưa recheck)</v>
      </c>
      <c r="I173" s="265" t="str">
        <f>IFERROR(__xludf.DUMMYFUNCTION("""COMPUTED_VALUE"""),"(Chưa recheck)")</f>
        <v>(Chưa recheck)</v>
      </c>
      <c r="J173" s="265" t="str">
        <f>IFERROR(__xludf.DUMMYFUNCTION("""COMPUTED_VALUE"""),"AnhNM")</f>
        <v>AnhNM</v>
      </c>
    </row>
    <row r="174">
      <c r="A174" s="265" t="str">
        <f>IFERROR(__xludf.DUMMYFUNCTION("""COMPUTED_VALUE"""),"509")</f>
        <v>509</v>
      </c>
      <c r="B174" s="265" t="str">
        <f>IFERROR(__xludf.DUMMYFUNCTION("""COMPUTED_VALUE"""),"Sài Gòn")</f>
        <v>Sài Gòn</v>
      </c>
      <c r="C174" s="265" t="str">
        <f>IFERROR(__xludf.DUMMYFUNCTION("""COMPUTED_VALUE"""),"Locked")</f>
        <v>Locked</v>
      </c>
      <c r="D174" s="265" t="str">
        <f>IFERROR(__xludf.DUMMYFUNCTION("""COMPUTED_VALUE"""),"Sale chưa cung cấp")</f>
        <v>Sale chưa cung cấp</v>
      </c>
      <c r="E174" s="265" t="str">
        <f>IFERROR(__xludf.DUMMYFUNCTION("""COMPUTED_VALUE"""),"HoaNTM")</f>
        <v>HoaNTM</v>
      </c>
      <c r="F174" s="265" t="str">
        <f>IFERROR(__xludf.DUMMYFUNCTION("""COMPUTED_VALUE"""),"Sale chưa cung cấp")</f>
        <v>Sale chưa cung cấp</v>
      </c>
      <c r="G174" s="265" t="str">
        <f>IFERROR(__xludf.DUMMYFUNCTION("""COMPUTED_VALUE"""),"Enterprise")</f>
        <v>Enterprise</v>
      </c>
      <c r="H174" s="265" t="str">
        <f>IFERROR(__xludf.DUMMYFUNCTION("""COMPUTED_VALUE"""),"Trả sau")</f>
        <v>Trả sau</v>
      </c>
      <c r="I174" s="265" t="str">
        <f>IFERROR(__xludf.DUMMYFUNCTION("""COMPUTED_VALUE"""),"(Chưa recheck)")</f>
        <v>(Chưa recheck)</v>
      </c>
      <c r="J174" s="265" t="str">
        <f>IFERROR(__xludf.DUMMYFUNCTION("""COMPUTED_VALUE"""),"(Chưa recheck)")</f>
        <v>(Chưa recheck)</v>
      </c>
    </row>
    <row r="175">
      <c r="A175" s="265" t="str">
        <f>IFERROR(__xludf.DUMMYFUNCTION("""COMPUTED_VALUE"""),"510")</f>
        <v>510</v>
      </c>
      <c r="B175" s="265" t="str">
        <f>IFERROR(__xludf.DUMMYFUNCTION("""COMPUTED_VALUE"""),"Sài Gòn")</f>
        <v>Sài Gòn</v>
      </c>
      <c r="C175" s="265" t="str">
        <f>IFERROR(__xludf.DUMMYFUNCTION("""COMPUTED_VALUE"""),"Locked")</f>
        <v>Locked</v>
      </c>
      <c r="D175" s="265" t="str">
        <f>IFERROR(__xludf.DUMMYFUNCTION("""COMPUTED_VALUE"""),"Sale chưa cung cấp")</f>
        <v>Sale chưa cung cấp</v>
      </c>
      <c r="E175" s="265" t="str">
        <f>IFERROR(__xludf.DUMMYFUNCTION("""COMPUTED_VALUE"""),"Không phân công")</f>
        <v>Không phân công</v>
      </c>
      <c r="F175" s="265" t="str">
        <f>IFERROR(__xludf.DUMMYFUNCTION("""COMPUTED_VALUE"""),"Sale chưa cung cấp")</f>
        <v>Sale chưa cung cấp</v>
      </c>
      <c r="G175" s="265" t="str">
        <f>IFERROR(__xludf.DUMMYFUNCTION("""COMPUTED_VALUE"""),"Starter")</f>
        <v>Starter</v>
      </c>
      <c r="H175" s="265" t="str">
        <f>IFERROR(__xludf.DUMMYFUNCTION("""COMPUTED_VALUE"""),"Trả sau")</f>
        <v>Trả sau</v>
      </c>
      <c r="I175" s="265" t="str">
        <f>IFERROR(__xludf.DUMMYFUNCTION("""COMPUTED_VALUE"""),"API")</f>
        <v>API</v>
      </c>
      <c r="J175" s="265" t="str">
        <f>IFERROR(__xludf.DUMMYFUNCTION("""COMPUTED_VALUE"""),"LinhNTT1")</f>
        <v>LinhNTT1</v>
      </c>
    </row>
    <row r="176">
      <c r="A176" s="265" t="str">
        <f>IFERROR(__xludf.DUMMYFUNCTION("""COMPUTED_VALUE"""),"511")</f>
        <v>511</v>
      </c>
      <c r="B176" s="265" t="str">
        <f>IFERROR(__xludf.DUMMYFUNCTION("""COMPUTED_VALUE"""),"Hà Nội")</f>
        <v>Hà Nội</v>
      </c>
      <c r="C176" s="265" t="str">
        <f>IFERROR(__xludf.DUMMYFUNCTION("""COMPUTED_VALUE"""),"Locked")</f>
        <v>Locked</v>
      </c>
      <c r="D176" s="265" t="str">
        <f>IFERROR(__xludf.DUMMYFUNCTION("""COMPUTED_VALUE"""),"Sale chưa cung cấp")</f>
        <v>Sale chưa cung cấp</v>
      </c>
      <c r="E176" s="265" t="str">
        <f>IFERROR(__xludf.DUMMYFUNCTION("""COMPUTED_VALUE"""),"PhươngDTB")</f>
        <v>PhươngDTB</v>
      </c>
      <c r="F176" s="265" t="str">
        <f>IFERROR(__xludf.DUMMYFUNCTION("""COMPUTED_VALUE"""),"Sale chưa cung cấp")</f>
        <v>Sale chưa cung cấp</v>
      </c>
      <c r="G176" s="265" t="str">
        <f>IFERROR(__xludf.DUMMYFUNCTION("""COMPUTED_VALUE"""),"MSG")</f>
        <v>MSG</v>
      </c>
      <c r="H176" s="265" t="str">
        <f>IFERROR(__xludf.DUMMYFUNCTION("""COMPUTED_VALUE"""),"Trả sau")</f>
        <v>Trả sau</v>
      </c>
      <c r="I176" s="265" t="str">
        <f>IFERROR(__xludf.DUMMYFUNCTION("""COMPUTED_VALUE"""),"(Chưa recheck)")</f>
        <v>(Chưa recheck)</v>
      </c>
      <c r="J176" s="265" t="str">
        <f>IFERROR(__xludf.DUMMYFUNCTION("""COMPUTED_VALUE"""),"AnhNM")</f>
        <v>AnhNM</v>
      </c>
    </row>
    <row r="177">
      <c r="A177" s="265" t="str">
        <f>IFERROR(__xludf.DUMMYFUNCTION("""COMPUTED_VALUE"""),"512")</f>
        <v>512</v>
      </c>
      <c r="B177" s="265" t="str">
        <f>IFERROR(__xludf.DUMMYFUNCTION("""COMPUTED_VALUE"""),"Sài Gòn")</f>
        <v>Sài Gòn</v>
      </c>
      <c r="C177" s="265" t="str">
        <f>IFERROR(__xludf.DUMMYFUNCTION("""COMPUTED_VALUE"""),"Locked")</f>
        <v>Locked</v>
      </c>
      <c r="D177" s="265" t="str">
        <f>IFERROR(__xludf.DUMMYFUNCTION("""COMPUTED_VALUE"""),"Sale chưa cung cấp")</f>
        <v>Sale chưa cung cấp</v>
      </c>
      <c r="E177" s="265" t="str">
        <f>IFERROR(__xludf.DUMMYFUNCTION("""COMPUTED_VALUE"""),"HoaNTM")</f>
        <v>HoaNTM</v>
      </c>
      <c r="F177" s="265" t="str">
        <f>IFERROR(__xludf.DUMMYFUNCTION("""COMPUTED_VALUE"""),"Sale chưa cung cấp")</f>
        <v>Sale chưa cung cấp</v>
      </c>
      <c r="G177" s="265" t="str">
        <f>IFERROR(__xludf.DUMMYFUNCTION("""COMPUTED_VALUE"""),"API")</f>
        <v>API</v>
      </c>
      <c r="H177" s="265" t="str">
        <f>IFERROR(__xludf.DUMMYFUNCTION("""COMPUTED_VALUE"""),"Trial")</f>
        <v>Trial</v>
      </c>
      <c r="I177" s="265" t="str">
        <f>IFERROR(__xludf.DUMMYFUNCTION("""COMPUTED_VALUE"""),"(Không recheck)")</f>
        <v>(Không recheck)</v>
      </c>
      <c r="J177" s="265" t="str">
        <f>IFERROR(__xludf.DUMMYFUNCTION("""COMPUTED_VALUE"""),"(Không recheck)")</f>
        <v>(Không recheck)</v>
      </c>
    </row>
    <row r="178">
      <c r="A178" s="265" t="str">
        <f>IFERROR(__xludf.DUMMYFUNCTION("""COMPUTED_VALUE"""),"515")</f>
        <v>515</v>
      </c>
      <c r="B178" s="265" t="str">
        <f>IFERROR(__xludf.DUMMYFUNCTION("""COMPUTED_VALUE"""),"Hà Nội")</f>
        <v>Hà Nội</v>
      </c>
      <c r="C178" s="265" t="str">
        <f>IFERROR(__xludf.DUMMYFUNCTION("""COMPUTED_VALUE"""),"Active")</f>
        <v>Active</v>
      </c>
      <c r="D178" s="265" t="str">
        <f>IFERROR(__xludf.DUMMYFUNCTION("""COMPUTED_VALUE"""),"Nhà hàng &amp; Quán")</f>
        <v>Nhà hàng &amp; Quán</v>
      </c>
      <c r="E178" s="265" t="str">
        <f>IFERROR(__xludf.DUMMYFUNCTION("""COMPUTED_VALUE"""),"TùngLD")</f>
        <v>TùngLD</v>
      </c>
      <c r="F178" s="265" t="str">
        <f>IFERROR(__xludf.DUMMYFUNCTION("""COMPUTED_VALUE"""),"Silver")</f>
        <v>Silver</v>
      </c>
      <c r="G178" s="265" t="str">
        <f>IFERROR(__xludf.DUMMYFUNCTION("""COMPUTED_VALUE"""),"Enterprise")</f>
        <v>Enterprise</v>
      </c>
      <c r="H178" s="265" t="str">
        <f>IFERROR(__xludf.DUMMYFUNCTION("""COMPUTED_VALUE"""),"Trả sau")</f>
        <v>Trả sau</v>
      </c>
      <c r="I178" s="265" t="str">
        <f>IFERROR(__xludf.DUMMYFUNCTION("""COMPUTED_VALUE"""),"API &amp; Portal")</f>
        <v>API &amp; Portal</v>
      </c>
      <c r="J178" s="265" t="str">
        <f>IFERROR(__xludf.DUMMYFUNCTION("""COMPUTED_VALUE"""),"LinhNTT1")</f>
        <v>LinhNTT1</v>
      </c>
    </row>
    <row r="179">
      <c r="A179" s="265" t="str">
        <f>IFERROR(__xludf.DUMMYFUNCTION("""COMPUTED_VALUE"""),"245")</f>
        <v>245</v>
      </c>
      <c r="B179" s="265" t="str">
        <f>IFERROR(__xludf.DUMMYFUNCTION("""COMPUTED_VALUE"""),"Hà Nội")</f>
        <v>Hà Nội</v>
      </c>
      <c r="C179" s="265" t="str">
        <f>IFERROR(__xludf.DUMMYFUNCTION("""COMPUTED_VALUE"""),"Active")</f>
        <v>Active</v>
      </c>
      <c r="D179" s="265" t="str">
        <f>IFERROR(__xludf.DUMMYFUNCTION("""COMPUTED_VALUE"""),"Sale chưa cung cấp")</f>
        <v>Sale chưa cung cấp</v>
      </c>
      <c r="E179" s="265" t="str">
        <f>IFERROR(__xludf.DUMMYFUNCTION("""COMPUTED_VALUE"""),"AnhNM")</f>
        <v>AnhNM</v>
      </c>
      <c r="F179" s="265" t="str">
        <f>IFERROR(__xludf.DUMMYFUNCTION("""COMPUTED_VALUE"""),"Gold")</f>
        <v>Gold</v>
      </c>
      <c r="G179" s="265" t="str">
        <f>IFERROR(__xludf.DUMMYFUNCTION("""COMPUTED_VALUE"""),"Starter")</f>
        <v>Starter</v>
      </c>
      <c r="H179" s="265" t="str">
        <f>IFERROR(__xludf.DUMMYFUNCTION("""COMPUTED_VALUE"""),"Trả sau")</f>
        <v>Trả sau</v>
      </c>
      <c r="I179" s="265" t="str">
        <f>IFERROR(__xludf.DUMMYFUNCTION("""COMPUTED_VALUE"""),"Portal")</f>
        <v>Portal</v>
      </c>
      <c r="J179" s="265" t="str">
        <f>IFERROR(__xludf.DUMMYFUNCTION("""COMPUTED_VALUE"""),"DungPL")</f>
        <v>DungPL</v>
      </c>
    </row>
    <row r="180">
      <c r="A180" s="265" t="str">
        <f>IFERROR(__xludf.DUMMYFUNCTION("""COMPUTED_VALUE"""),"516")</f>
        <v>516</v>
      </c>
      <c r="B180" s="265" t="str">
        <f>IFERROR(__xludf.DUMMYFUNCTION("""COMPUTED_VALUE"""),"Sài Gòn")</f>
        <v>Sài Gòn</v>
      </c>
      <c r="C180" s="265" t="str">
        <f>IFERROR(__xludf.DUMMYFUNCTION("""COMPUTED_VALUE"""),"Active")</f>
        <v>Active</v>
      </c>
      <c r="D180" s="265" t="str">
        <f>IFERROR(__xludf.DUMMYFUNCTION("""COMPUTED_VALUE"""),"Sale chưa cung cấp")</f>
        <v>Sale chưa cung cấp</v>
      </c>
      <c r="E180" s="265" t="str">
        <f>IFERROR(__xludf.DUMMYFUNCTION("""COMPUTED_VALUE"""),"TúPHN")</f>
        <v>TúPHN</v>
      </c>
      <c r="F180" s="265" t="str">
        <f>IFERROR(__xludf.DUMMYFUNCTION("""COMPUTED_VALUE"""),"Gold")</f>
        <v>Gold</v>
      </c>
      <c r="G180" s="265" t="str">
        <f>IFERROR(__xludf.DUMMYFUNCTION("""COMPUTED_VALUE"""),"Premium")</f>
        <v>Premium</v>
      </c>
      <c r="H180" s="265" t="str">
        <f>IFERROR(__xludf.DUMMYFUNCTION("""COMPUTED_VALUE"""),"Trả sau")</f>
        <v>Trả sau</v>
      </c>
      <c r="I180" s="265" t="str">
        <f>IFERROR(__xludf.DUMMYFUNCTION("""COMPUTED_VALUE"""),"API &amp; Portal")</f>
        <v>API &amp; Portal</v>
      </c>
      <c r="J180" s="265" t="str">
        <f>IFERROR(__xludf.DUMMYFUNCTION("""COMPUTED_VALUE"""),"LinhNTT1")</f>
        <v>LinhNTT1</v>
      </c>
    </row>
    <row r="181">
      <c r="A181" s="265" t="str">
        <f>IFERROR(__xludf.DUMMYFUNCTION("""COMPUTED_VALUE"""),"514")</f>
        <v>514</v>
      </c>
      <c r="B181" s="265" t="str">
        <f>IFERROR(__xludf.DUMMYFUNCTION("""COMPUTED_VALUE"""),"Hà Nội")</f>
        <v>Hà Nội</v>
      </c>
      <c r="C181" s="265" t="str">
        <f>IFERROR(__xludf.DUMMYFUNCTION("""COMPUTED_VALUE"""),"Locked")</f>
        <v>Locked</v>
      </c>
      <c r="D181" s="265" t="str">
        <f>IFERROR(__xludf.DUMMYFUNCTION("""COMPUTED_VALUE"""),"Sale chưa cung cấp")</f>
        <v>Sale chưa cung cấp</v>
      </c>
      <c r="E181" s="265" t="str">
        <f>IFERROR(__xludf.DUMMYFUNCTION("""COMPUTED_VALUE"""),"HangNT")</f>
        <v>HangNT</v>
      </c>
      <c r="F181" s="265" t="str">
        <f>IFERROR(__xludf.DUMMYFUNCTION("""COMPUTED_VALUE"""),"Sale chưa cung cấp")</f>
        <v>Sale chưa cung cấp</v>
      </c>
      <c r="G181" s="265" t="str">
        <f>IFERROR(__xludf.DUMMYFUNCTION("""COMPUTED_VALUE"""),"Enterprise")</f>
        <v>Enterprise</v>
      </c>
      <c r="H181" s="265" t="str">
        <f>IFERROR(__xludf.DUMMYFUNCTION("""COMPUTED_VALUE"""),"(Chưa recheck)")</f>
        <v>(Chưa recheck)</v>
      </c>
      <c r="I181" s="265" t="str">
        <f>IFERROR(__xludf.DUMMYFUNCTION("""COMPUTED_VALUE"""),"(Chưa recheck)")</f>
        <v>(Chưa recheck)</v>
      </c>
      <c r="J181" s="265" t="str">
        <f>IFERROR(__xludf.DUMMYFUNCTION("""COMPUTED_VALUE"""),"DungPL")</f>
        <v>DungPL</v>
      </c>
    </row>
    <row r="182">
      <c r="A182" s="265" t="str">
        <f>IFERROR(__xludf.DUMMYFUNCTION("""COMPUTED_VALUE"""),"517")</f>
        <v>517</v>
      </c>
      <c r="B182" s="265" t="str">
        <f>IFERROR(__xludf.DUMMYFUNCTION("""COMPUTED_VALUE"""),"Sài Gòn")</f>
        <v>Sài Gòn</v>
      </c>
      <c r="C182" s="265" t="str">
        <f>IFERROR(__xludf.DUMMYFUNCTION("""COMPUTED_VALUE"""),"Active")</f>
        <v>Active</v>
      </c>
      <c r="D182" s="265" t="str">
        <f>IFERROR(__xludf.DUMMYFUNCTION("""COMPUTED_VALUE"""),"Sale chưa cung cấp")</f>
        <v>Sale chưa cung cấp</v>
      </c>
      <c r="E182" s="265" t="str">
        <f>IFERROR(__xludf.DUMMYFUNCTION("""COMPUTED_VALUE"""),"TúPHN")</f>
        <v>TúPHN</v>
      </c>
      <c r="F182" s="265" t="str">
        <f>IFERROR(__xludf.DUMMYFUNCTION("""COMPUTED_VALUE"""),"Silver")</f>
        <v>Silver</v>
      </c>
      <c r="G182" s="265" t="str">
        <f>IFERROR(__xludf.DUMMYFUNCTION("""COMPUTED_VALUE"""),"Starter")</f>
        <v>Starter</v>
      </c>
      <c r="H182" s="265" t="str">
        <f>IFERROR(__xludf.DUMMYFUNCTION("""COMPUTED_VALUE"""),"Trả trước")</f>
        <v>Trả trước</v>
      </c>
      <c r="I182" s="265" t="str">
        <f>IFERROR(__xludf.DUMMYFUNCTION("""COMPUTED_VALUE"""),"API &amp; Portal")</f>
        <v>API &amp; Portal</v>
      </c>
      <c r="J182" s="265" t="str">
        <f>IFERROR(__xludf.DUMMYFUNCTION("""COMPUTED_VALUE"""),"DungPL")</f>
        <v>DungPL</v>
      </c>
    </row>
    <row r="183">
      <c r="A183" s="265" t="str">
        <f>IFERROR(__xludf.DUMMYFUNCTION("""COMPUTED_VALUE"""),"518")</f>
        <v>518</v>
      </c>
      <c r="B183" s="265" t="str">
        <f>IFERROR(__xludf.DUMMYFUNCTION("""COMPUTED_VALUE"""),"Hà Nội")</f>
        <v>Hà Nội</v>
      </c>
      <c r="C183" s="265" t="str">
        <f>IFERROR(__xludf.DUMMYFUNCTION("""COMPUTED_VALUE"""),"Active")</f>
        <v>Active</v>
      </c>
      <c r="D183" s="265" t="str">
        <f>IFERROR(__xludf.DUMMYFUNCTION("""COMPUTED_VALUE"""),"Mỹ phẩm &amp; Làm đẹp")</f>
        <v>Mỹ phẩm &amp; Làm đẹp</v>
      </c>
      <c r="E183" s="265" t="str">
        <f>IFERROR(__xludf.DUMMYFUNCTION("""COMPUTED_VALUE"""),"TúPHN")</f>
        <v>TúPHN</v>
      </c>
      <c r="F183" s="265" t="str">
        <f>IFERROR(__xludf.DUMMYFUNCTION("""COMPUTED_VALUE"""),"Gold")</f>
        <v>Gold</v>
      </c>
      <c r="G183" s="265" t="str">
        <f>IFERROR(__xludf.DUMMYFUNCTION("""COMPUTED_VALUE"""),"Enterprise")</f>
        <v>Enterprise</v>
      </c>
      <c r="H183" s="265" t="str">
        <f>IFERROR(__xludf.DUMMYFUNCTION("""COMPUTED_VALUE"""),"Trả sau")</f>
        <v>Trả sau</v>
      </c>
      <c r="I183" s="265" t="str">
        <f>IFERROR(__xludf.DUMMYFUNCTION("""COMPUTED_VALUE"""),"API &amp; Portal")</f>
        <v>API &amp; Portal</v>
      </c>
      <c r="J183" s="265" t="str">
        <f>IFERROR(__xludf.DUMMYFUNCTION("""COMPUTED_VALUE"""),"DungPL")</f>
        <v>DungPL</v>
      </c>
    </row>
    <row r="184">
      <c r="A184" s="265" t="str">
        <f>IFERROR(__xludf.DUMMYFUNCTION("""COMPUTED_VALUE"""),"519")</f>
        <v>519</v>
      </c>
      <c r="B184" s="265" t="str">
        <f>IFERROR(__xludf.DUMMYFUNCTION("""COMPUTED_VALUE"""),"Sài Gòn")</f>
        <v>Sài Gòn</v>
      </c>
      <c r="C184" s="265" t="str">
        <f>IFERROR(__xludf.DUMMYFUNCTION("""COMPUTED_VALUE"""),"Active")</f>
        <v>Active</v>
      </c>
      <c r="D184" s="265" t="str">
        <f>IFERROR(__xludf.DUMMYFUNCTION("""COMPUTED_VALUE"""),"Sale chưa cung cấp")</f>
        <v>Sale chưa cung cấp</v>
      </c>
      <c r="E184" s="265" t="str">
        <f>IFERROR(__xludf.DUMMYFUNCTION("""COMPUTED_VALUE"""),"TúPHN")</f>
        <v>TúPHN</v>
      </c>
      <c r="F184" s="265" t="str">
        <f>IFERROR(__xludf.DUMMYFUNCTION("""COMPUTED_VALUE"""),"Silver")</f>
        <v>Silver</v>
      </c>
      <c r="G184" s="265" t="str">
        <f>IFERROR(__xludf.DUMMYFUNCTION("""COMPUTED_VALUE"""),"Starter")</f>
        <v>Starter</v>
      </c>
      <c r="H184" s="265" t="str">
        <f>IFERROR(__xludf.DUMMYFUNCTION("""COMPUTED_VALUE"""),"Trả sau")</f>
        <v>Trả sau</v>
      </c>
      <c r="I184" s="265" t="str">
        <f>IFERROR(__xludf.DUMMYFUNCTION("""COMPUTED_VALUE"""),"API &amp; Portal")</f>
        <v>API &amp; Portal</v>
      </c>
      <c r="J184" s="265" t="str">
        <f>IFERROR(__xludf.DUMMYFUNCTION("""COMPUTED_VALUE"""),"DungPL")</f>
        <v>DungPL</v>
      </c>
    </row>
    <row r="185">
      <c r="A185" s="265" t="str">
        <f>IFERROR(__xludf.DUMMYFUNCTION("""COMPUTED_VALUE"""),"520")</f>
        <v>520</v>
      </c>
      <c r="B185" s="265" t="str">
        <f>IFERROR(__xludf.DUMMYFUNCTION("""COMPUTED_VALUE"""),"Sài Gòn")</f>
        <v>Sài Gòn</v>
      </c>
      <c r="C185" s="265" t="str">
        <f>IFERROR(__xludf.DUMMYFUNCTION("""COMPUTED_VALUE"""),"Locked")</f>
        <v>Locked</v>
      </c>
      <c r="D185" s="265" t="str">
        <f>IFERROR(__xludf.DUMMYFUNCTION("""COMPUTED_VALUE"""),"Sale chưa cung cấp")</f>
        <v>Sale chưa cung cấp</v>
      </c>
      <c r="E185" s="265" t="str">
        <f>IFERROR(__xludf.DUMMYFUNCTION("""COMPUTED_VALUE"""),"HoaNTM")</f>
        <v>HoaNTM</v>
      </c>
      <c r="F185" s="265" t="str">
        <f>IFERROR(__xludf.DUMMYFUNCTION("""COMPUTED_VALUE"""),"Bronze")</f>
        <v>Bronze</v>
      </c>
      <c r="G185" s="265" t="str">
        <f>IFERROR(__xludf.DUMMYFUNCTION("""COMPUTED_VALUE"""),"Enterprise")</f>
        <v>Enterprise</v>
      </c>
      <c r="H185" s="265" t="str">
        <f>IFERROR(__xludf.DUMMYFUNCTION("""COMPUTED_VALUE"""),"(Chưa recheck)")</f>
        <v>(Chưa recheck)</v>
      </c>
      <c r="I185" s="265" t="str">
        <f>IFERROR(__xludf.DUMMYFUNCTION("""COMPUTED_VALUE"""),"(Chưa recheck)")</f>
        <v>(Chưa recheck)</v>
      </c>
      <c r="J185" s="265" t="str">
        <f>IFERROR(__xludf.DUMMYFUNCTION("""COMPUTED_VALUE"""),"AnhNM")</f>
        <v>AnhNM</v>
      </c>
    </row>
    <row r="186">
      <c r="A186" s="265" t="str">
        <f>IFERROR(__xludf.DUMMYFUNCTION("""COMPUTED_VALUE"""),"540")</f>
        <v>540</v>
      </c>
      <c r="B186" s="265" t="str">
        <f>IFERROR(__xludf.DUMMYFUNCTION("""COMPUTED_VALUE"""),"Hà Nội")</f>
        <v>Hà Nội</v>
      </c>
      <c r="C186" s="265" t="str">
        <f>IFERROR(__xludf.DUMMYFUNCTION("""COMPUTED_VALUE"""),"Active")</f>
        <v>Active</v>
      </c>
      <c r="D186" s="265" t="str">
        <f>IFERROR(__xludf.DUMMYFUNCTION("""COMPUTED_VALUE"""),"Sale chưa cung cấp")</f>
        <v>Sale chưa cung cấp</v>
      </c>
      <c r="E186" s="265" t="str">
        <f>IFERROR(__xludf.DUMMYFUNCTION("""COMPUTED_VALUE"""),"TùngLD")</f>
        <v>TùngLD</v>
      </c>
      <c r="F186" s="265" t="str">
        <f>IFERROR(__xludf.DUMMYFUNCTION("""COMPUTED_VALUE"""),"Bronze")</f>
        <v>Bronze</v>
      </c>
      <c r="G186" s="265" t="str">
        <f>IFERROR(__xludf.DUMMYFUNCTION("""COMPUTED_VALUE"""),"Starter")</f>
        <v>Starter</v>
      </c>
      <c r="H186" s="265" t="str">
        <f>IFERROR(__xludf.DUMMYFUNCTION("""COMPUTED_VALUE"""),"Trả sau")</f>
        <v>Trả sau</v>
      </c>
      <c r="I186" s="265" t="str">
        <f>IFERROR(__xludf.DUMMYFUNCTION("""COMPUTED_VALUE"""),"API")</f>
        <v>API</v>
      </c>
      <c r="J186" s="265" t="str">
        <f>IFERROR(__xludf.DUMMYFUNCTION("""COMPUTED_VALUE"""),"DungPL")</f>
        <v>DungPL</v>
      </c>
    </row>
    <row r="187">
      <c r="A187" s="265" t="str">
        <f>IFERROR(__xludf.DUMMYFUNCTION("""COMPUTED_VALUE"""),"521")</f>
        <v>521</v>
      </c>
      <c r="B187" s="265" t="str">
        <f>IFERROR(__xludf.DUMMYFUNCTION("""COMPUTED_VALUE"""),"Hà Nội")</f>
        <v>Hà Nội</v>
      </c>
      <c r="C187" s="265" t="str">
        <f>IFERROR(__xludf.DUMMYFUNCTION("""COMPUTED_VALUE"""),"Locked")</f>
        <v>Locked</v>
      </c>
      <c r="D187" s="265" t="str">
        <f>IFERROR(__xludf.DUMMYFUNCTION("""COMPUTED_VALUE"""),"Sale chưa cung cấp")</f>
        <v>Sale chưa cung cấp</v>
      </c>
      <c r="E187" s="265" t="str">
        <f>IFERROR(__xludf.DUMMYFUNCTION("""COMPUTED_VALUE"""),"PhươngDTB")</f>
        <v>PhươngDTB</v>
      </c>
      <c r="F187" s="265" t="str">
        <f>IFERROR(__xludf.DUMMYFUNCTION("""COMPUTED_VALUE"""),"Bronze")</f>
        <v>Bronze</v>
      </c>
      <c r="G187" s="265" t="str">
        <f>IFERROR(__xludf.DUMMYFUNCTION("""COMPUTED_VALUE"""),"Enterprise")</f>
        <v>Enterprise</v>
      </c>
      <c r="H187" s="265" t="str">
        <f>IFERROR(__xludf.DUMMYFUNCTION("""COMPUTED_VALUE"""),"(Chưa recheck)")</f>
        <v>(Chưa recheck)</v>
      </c>
      <c r="I187" s="265" t="str">
        <f>IFERROR(__xludf.DUMMYFUNCTION("""COMPUTED_VALUE"""),"(Chưa recheck)")</f>
        <v>(Chưa recheck)</v>
      </c>
      <c r="J187" s="265" t="str">
        <f>IFERROR(__xludf.DUMMYFUNCTION("""COMPUTED_VALUE"""),"AnhNM")</f>
        <v>AnhNM</v>
      </c>
    </row>
    <row r="188">
      <c r="A188" s="265" t="str">
        <f>IFERROR(__xludf.DUMMYFUNCTION("""COMPUTED_VALUE"""),"522")</f>
        <v>522</v>
      </c>
      <c r="B188" s="265" t="str">
        <f>IFERROR(__xludf.DUMMYFUNCTION("""COMPUTED_VALUE"""),"Hà Nội")</f>
        <v>Hà Nội</v>
      </c>
      <c r="C188" s="265" t="str">
        <f>IFERROR(__xludf.DUMMYFUNCTION("""COMPUTED_VALUE"""),"Locked")</f>
        <v>Locked</v>
      </c>
      <c r="D188" s="265" t="str">
        <f>IFERROR(__xludf.DUMMYFUNCTION("""COMPUTED_VALUE"""),"Sale chưa cung cấp")</f>
        <v>Sale chưa cung cấp</v>
      </c>
      <c r="E188" s="265" t="str">
        <f>IFERROR(__xludf.DUMMYFUNCTION("""COMPUTED_VALUE"""),"TùngLD")</f>
        <v>TùngLD</v>
      </c>
      <c r="F188" s="265" t="str">
        <f>IFERROR(__xludf.DUMMYFUNCTION("""COMPUTED_VALUE"""),"Sale chưa cung cấp")</f>
        <v>Sale chưa cung cấp</v>
      </c>
      <c r="G188" s="265" t="str">
        <f>IFERROR(__xludf.DUMMYFUNCTION("""COMPUTED_VALUE"""),"API")</f>
        <v>API</v>
      </c>
      <c r="H188" s="265" t="str">
        <f>IFERROR(__xludf.DUMMYFUNCTION("""COMPUTED_VALUE"""),"Trial")</f>
        <v>Trial</v>
      </c>
      <c r="I188" s="265" t="str">
        <f>IFERROR(__xludf.DUMMYFUNCTION("""COMPUTED_VALUE"""),"API")</f>
        <v>API</v>
      </c>
      <c r="J188" s="265" t="str">
        <f>IFERROR(__xludf.DUMMYFUNCTION("""COMPUTED_VALUE"""),"(Không recheck)")</f>
        <v>(Không recheck)</v>
      </c>
    </row>
    <row r="189">
      <c r="A189" s="265" t="str">
        <f>IFERROR(__xludf.DUMMYFUNCTION("""COMPUTED_VALUE"""),"523")</f>
        <v>523</v>
      </c>
      <c r="B189" s="265" t="str">
        <f>IFERROR(__xludf.DUMMYFUNCTION("""COMPUTED_VALUE"""),"Hà Nội")</f>
        <v>Hà Nội</v>
      </c>
      <c r="C189" s="265" t="str">
        <f>IFERROR(__xludf.DUMMYFUNCTION("""COMPUTED_VALUE"""),"Locked")</f>
        <v>Locked</v>
      </c>
      <c r="D189" s="265" t="str">
        <f>IFERROR(__xludf.DUMMYFUNCTION("""COMPUTED_VALUE"""),"Sale chưa cung cấp")</f>
        <v>Sale chưa cung cấp</v>
      </c>
      <c r="E189" s="265" t="str">
        <f>IFERROR(__xludf.DUMMYFUNCTION("""COMPUTED_VALUE"""),"TùngLD")</f>
        <v>TùngLD</v>
      </c>
      <c r="F189" s="265" t="str">
        <f>IFERROR(__xludf.DUMMYFUNCTION("""COMPUTED_VALUE"""),"Bronze")</f>
        <v>Bronze</v>
      </c>
      <c r="G189" s="265" t="str">
        <f>IFERROR(__xludf.DUMMYFUNCTION("""COMPUTED_VALUE"""),"API")</f>
        <v>API</v>
      </c>
      <c r="H189" s="265" t="str">
        <f>IFERROR(__xludf.DUMMYFUNCTION("""COMPUTED_VALUE"""),"Trả sau")</f>
        <v>Trả sau</v>
      </c>
      <c r="I189" s="265" t="str">
        <f>IFERROR(__xludf.DUMMYFUNCTION("""COMPUTED_VALUE"""),"API &amp; Portal")</f>
        <v>API &amp; Portal</v>
      </c>
      <c r="J189" s="265" t="str">
        <f>IFERROR(__xludf.DUMMYFUNCTION("""COMPUTED_VALUE"""),"AnhNM")</f>
        <v>AnhNM</v>
      </c>
    </row>
    <row r="190">
      <c r="A190" s="265" t="str">
        <f>IFERROR(__xludf.DUMMYFUNCTION("""COMPUTED_VALUE"""),"524")</f>
        <v>524</v>
      </c>
      <c r="B190" s="265" t="str">
        <f>IFERROR(__xludf.DUMMYFUNCTION("""COMPUTED_VALUE"""),"Sài Gòn")</f>
        <v>Sài Gòn</v>
      </c>
      <c r="C190" s="265" t="str">
        <f>IFERROR(__xludf.DUMMYFUNCTION("""COMPUTED_VALUE"""),"Active")</f>
        <v>Active</v>
      </c>
      <c r="D190" s="265" t="str">
        <f>IFERROR(__xludf.DUMMYFUNCTION("""COMPUTED_VALUE"""),"Mua sắm &amp; Bán lẻ")</f>
        <v>Mua sắm &amp; Bán lẻ</v>
      </c>
      <c r="E190" s="265" t="str">
        <f>IFERROR(__xludf.DUMMYFUNCTION("""COMPUTED_VALUE"""),"TùngLD")</f>
        <v>TùngLD</v>
      </c>
      <c r="F190" s="265" t="str">
        <f>IFERROR(__xludf.DUMMYFUNCTION("""COMPUTED_VALUE"""),"Silver")</f>
        <v>Silver</v>
      </c>
      <c r="G190" s="265" t="str">
        <f>IFERROR(__xludf.DUMMYFUNCTION("""COMPUTED_VALUE"""),"Enterprise")</f>
        <v>Enterprise</v>
      </c>
      <c r="H190" s="265" t="str">
        <f>IFERROR(__xludf.DUMMYFUNCTION("""COMPUTED_VALUE"""),"Trả trước")</f>
        <v>Trả trước</v>
      </c>
      <c r="I190" s="265" t="str">
        <f>IFERROR(__xludf.DUMMYFUNCTION("""COMPUTED_VALUE"""),"API &amp; Portal")</f>
        <v>API &amp; Portal</v>
      </c>
      <c r="J190" s="265" t="str">
        <f>IFERROR(__xludf.DUMMYFUNCTION("""COMPUTED_VALUE"""),"DungPL")</f>
        <v>DungPL</v>
      </c>
    </row>
    <row r="191">
      <c r="A191" s="265" t="str">
        <f>IFERROR(__xludf.DUMMYFUNCTION("""COMPUTED_VALUE"""),"525")</f>
        <v>525</v>
      </c>
      <c r="B191" s="265" t="str">
        <f>IFERROR(__xludf.DUMMYFUNCTION("""COMPUTED_VALUE"""),"Sài Gòn")</f>
        <v>Sài Gòn</v>
      </c>
      <c r="C191" s="265" t="str">
        <f>IFERROR(__xludf.DUMMYFUNCTION("""COMPUTED_VALUE"""),"Locked")</f>
        <v>Locked</v>
      </c>
      <c r="D191" s="265" t="str">
        <f>IFERROR(__xludf.DUMMYFUNCTION("""COMPUTED_VALUE"""),"Sale chưa cung cấp")</f>
        <v>Sale chưa cung cấp</v>
      </c>
      <c r="E191" s="265" t="str">
        <f>IFERROR(__xludf.DUMMYFUNCTION("""COMPUTED_VALUE"""),"HoaNTM")</f>
        <v>HoaNTM</v>
      </c>
      <c r="F191" s="265" t="str">
        <f>IFERROR(__xludf.DUMMYFUNCTION("""COMPUTED_VALUE"""),"Diamond")</f>
        <v>Diamond</v>
      </c>
      <c r="G191" s="265" t="str">
        <f>IFERROR(__xludf.DUMMYFUNCTION("""COMPUTED_VALUE"""),"API")</f>
        <v>API</v>
      </c>
      <c r="H191" s="265" t="str">
        <f>IFERROR(__xludf.DUMMYFUNCTION("""COMPUTED_VALUE"""),"Trả sau")</f>
        <v>Trả sau</v>
      </c>
      <c r="I191" s="265" t="str">
        <f>IFERROR(__xludf.DUMMYFUNCTION("""COMPUTED_VALUE"""),"(Chưa recheck)")</f>
        <v>(Chưa recheck)</v>
      </c>
      <c r="J191" s="265" t="str">
        <f>IFERROR(__xludf.DUMMYFUNCTION("""COMPUTED_VALUE"""),"(Chưa recheck)")</f>
        <v>(Chưa recheck)</v>
      </c>
    </row>
    <row r="192">
      <c r="A192" s="265" t="str">
        <f>IFERROR(__xludf.DUMMYFUNCTION("""COMPUTED_VALUE"""),"526")</f>
        <v>526</v>
      </c>
      <c r="B192" s="265" t="str">
        <f>IFERROR(__xludf.DUMMYFUNCTION("""COMPUTED_VALUE"""),"Sài Gòn")</f>
        <v>Sài Gòn</v>
      </c>
      <c r="C192" s="265" t="str">
        <f>IFERROR(__xludf.DUMMYFUNCTION("""COMPUTED_VALUE"""),"Locked")</f>
        <v>Locked</v>
      </c>
      <c r="D192" s="265" t="str">
        <f>IFERROR(__xludf.DUMMYFUNCTION("""COMPUTED_VALUE"""),"Sale chưa cung cấp")</f>
        <v>Sale chưa cung cấp</v>
      </c>
      <c r="E192" s="265" t="str">
        <f>IFERROR(__xludf.DUMMYFUNCTION("""COMPUTED_VALUE"""),"HoaNTM")</f>
        <v>HoaNTM</v>
      </c>
      <c r="F192" s="265" t="str">
        <f>IFERROR(__xludf.DUMMYFUNCTION("""COMPUTED_VALUE"""),"Bronze")</f>
        <v>Bronze</v>
      </c>
      <c r="G192" s="265" t="str">
        <f>IFERROR(__xludf.DUMMYFUNCTION("""COMPUTED_VALUE"""),"Enterprise")</f>
        <v>Enterprise</v>
      </c>
      <c r="H192" s="265" t="str">
        <f>IFERROR(__xludf.DUMMYFUNCTION("""COMPUTED_VALUE"""),"(Chưa recheck)")</f>
        <v>(Chưa recheck)</v>
      </c>
      <c r="I192" s="265" t="str">
        <f>IFERROR(__xludf.DUMMYFUNCTION("""COMPUTED_VALUE"""),"(Chưa recheck)")</f>
        <v>(Chưa recheck)</v>
      </c>
      <c r="J192" s="265" t="str">
        <f>IFERROR(__xludf.DUMMYFUNCTION("""COMPUTED_VALUE"""),"(Chưa recheck)")</f>
        <v>(Chưa recheck)</v>
      </c>
    </row>
    <row r="193">
      <c r="A193" s="265" t="str">
        <f>IFERROR(__xludf.DUMMYFUNCTION("""COMPUTED_VALUE"""),"531")</f>
        <v>531</v>
      </c>
      <c r="B193" s="265" t="str">
        <f>IFERROR(__xludf.DUMMYFUNCTION("""COMPUTED_VALUE"""),"Sài Gòn")</f>
        <v>Sài Gòn</v>
      </c>
      <c r="C193" s="265" t="str">
        <f>IFERROR(__xludf.DUMMYFUNCTION("""COMPUTED_VALUE"""),"Locked")</f>
        <v>Locked</v>
      </c>
      <c r="D193" s="265" t="str">
        <f>IFERROR(__xludf.DUMMYFUNCTION("""COMPUTED_VALUE"""),"Sale chưa cung cấp")</f>
        <v>Sale chưa cung cấp</v>
      </c>
      <c r="E193" s="265" t="str">
        <f>IFERROR(__xludf.DUMMYFUNCTION("""COMPUTED_VALUE"""),"HoaNTM")</f>
        <v>HoaNTM</v>
      </c>
      <c r="F193" s="265" t="str">
        <f>IFERROR(__xludf.DUMMYFUNCTION("""COMPUTED_VALUE"""),"Sale chưa cung cấp")</f>
        <v>Sale chưa cung cấp</v>
      </c>
      <c r="G193" s="265" t="str">
        <f>IFERROR(__xludf.DUMMYFUNCTION("""COMPUTED_VALUE"""),"Enterprise")</f>
        <v>Enterprise</v>
      </c>
      <c r="H193" s="265" t="str">
        <f>IFERROR(__xludf.DUMMYFUNCTION("""COMPUTED_VALUE"""),"(Chưa recheck)")</f>
        <v>(Chưa recheck)</v>
      </c>
      <c r="I193" s="265" t="str">
        <f>IFERROR(__xludf.DUMMYFUNCTION("""COMPUTED_VALUE"""),"(Chưa recheck)")</f>
        <v>(Chưa recheck)</v>
      </c>
      <c r="J193" s="265" t="str">
        <f>IFERROR(__xludf.DUMMYFUNCTION("""COMPUTED_VALUE"""),"AnhNM")</f>
        <v>AnhNM</v>
      </c>
    </row>
    <row r="194">
      <c r="A194" s="265" t="str">
        <f>IFERROR(__xludf.DUMMYFUNCTION("""COMPUTED_VALUE"""),"527")</f>
        <v>527</v>
      </c>
      <c r="B194" s="265" t="str">
        <f>IFERROR(__xludf.DUMMYFUNCTION("""COMPUTED_VALUE"""),"Hà Nội")</f>
        <v>Hà Nội</v>
      </c>
      <c r="C194" s="265" t="str">
        <f>IFERROR(__xludf.DUMMYFUNCTION("""COMPUTED_VALUE"""),"Locked")</f>
        <v>Locked</v>
      </c>
      <c r="D194" s="265" t="str">
        <f>IFERROR(__xludf.DUMMYFUNCTION("""COMPUTED_VALUE"""),"Công nghệ &amp; Phần mềm")</f>
        <v>Công nghệ &amp; Phần mềm</v>
      </c>
      <c r="E194" s="265" t="str">
        <f>IFERROR(__xludf.DUMMYFUNCTION("""COMPUTED_VALUE"""),"TùngLD")</f>
        <v>TùngLD</v>
      </c>
      <c r="F194" s="265" t="str">
        <f>IFERROR(__xludf.DUMMYFUNCTION("""COMPUTED_VALUE"""),"Silver")</f>
        <v>Silver</v>
      </c>
      <c r="G194" s="265" t="str">
        <f>IFERROR(__xludf.DUMMYFUNCTION("""COMPUTED_VALUE"""),"Enterprise")</f>
        <v>Enterprise</v>
      </c>
      <c r="H194" s="265" t="str">
        <f>IFERROR(__xludf.DUMMYFUNCTION("""COMPUTED_VALUE"""),"Trả trước")</f>
        <v>Trả trước</v>
      </c>
      <c r="I194" s="265" t="str">
        <f>IFERROR(__xludf.DUMMYFUNCTION("""COMPUTED_VALUE"""),"API &amp; Portal")</f>
        <v>API &amp; Portal</v>
      </c>
      <c r="J194" s="265" t="str">
        <f>IFERROR(__xludf.DUMMYFUNCTION("""COMPUTED_VALUE"""),"LinhNTT1")</f>
        <v>LinhNTT1</v>
      </c>
    </row>
    <row r="195">
      <c r="A195" s="265" t="str">
        <f>IFERROR(__xludf.DUMMYFUNCTION("""COMPUTED_VALUE"""),"528")</f>
        <v>528</v>
      </c>
      <c r="B195" s="265" t="str">
        <f>IFERROR(__xludf.DUMMYFUNCTION("""COMPUTED_VALUE"""),"Sài Gòn")</f>
        <v>Sài Gòn</v>
      </c>
      <c r="C195" s="265" t="str">
        <f>IFERROR(__xludf.DUMMYFUNCTION("""COMPUTED_VALUE"""),"Active")</f>
        <v>Active</v>
      </c>
      <c r="D195" s="265" t="str">
        <f>IFERROR(__xludf.DUMMYFUNCTION("""COMPUTED_VALUE"""),"Sale chưa cung cấp")</f>
        <v>Sale chưa cung cấp</v>
      </c>
      <c r="E195" s="265" t="str">
        <f>IFERROR(__xludf.DUMMYFUNCTION("""COMPUTED_VALUE"""),"TúPHN")</f>
        <v>TúPHN</v>
      </c>
      <c r="F195" s="265" t="str">
        <f>IFERROR(__xludf.DUMMYFUNCTION("""COMPUTED_VALUE"""),"Diamond")</f>
        <v>Diamond</v>
      </c>
      <c r="G195" s="265" t="str">
        <f>IFERROR(__xludf.DUMMYFUNCTION("""COMPUTED_VALUE"""),"Enterprise")</f>
        <v>Enterprise</v>
      </c>
      <c r="H195" s="265" t="str">
        <f>IFERROR(__xludf.DUMMYFUNCTION("""COMPUTED_VALUE"""),"Trả sau")</f>
        <v>Trả sau</v>
      </c>
      <c r="I195" s="265" t="str">
        <f>IFERROR(__xludf.DUMMYFUNCTION("""COMPUTED_VALUE"""),"Portal")</f>
        <v>Portal</v>
      </c>
      <c r="J195" s="265" t="str">
        <f>IFERROR(__xludf.DUMMYFUNCTION("""COMPUTED_VALUE"""),"LinhNTT1")</f>
        <v>LinhNTT1</v>
      </c>
    </row>
    <row r="196">
      <c r="A196" s="265" t="str">
        <f>IFERROR(__xludf.DUMMYFUNCTION("""COMPUTED_VALUE"""),"529")</f>
        <v>529</v>
      </c>
      <c r="B196" s="265" t="str">
        <f>IFERROR(__xludf.DUMMYFUNCTION("""COMPUTED_VALUE"""),"Hà Nội")</f>
        <v>Hà Nội</v>
      </c>
      <c r="C196" s="265" t="str">
        <f>IFERROR(__xludf.DUMMYFUNCTION("""COMPUTED_VALUE"""),"Locked")</f>
        <v>Locked</v>
      </c>
      <c r="D196" s="265" t="str">
        <f>IFERROR(__xludf.DUMMYFUNCTION("""COMPUTED_VALUE"""),"Sale chưa cung cấp")</f>
        <v>Sale chưa cung cấp</v>
      </c>
      <c r="E196" s="265" t="str">
        <f>IFERROR(__xludf.DUMMYFUNCTION("""COMPUTED_VALUE"""),"PhươngDTB")</f>
        <v>PhươngDTB</v>
      </c>
      <c r="F196" s="265" t="str">
        <f>IFERROR(__xludf.DUMMYFUNCTION("""COMPUTED_VALUE"""),"Bronze")</f>
        <v>Bronze</v>
      </c>
      <c r="G196" s="265" t="str">
        <f>IFERROR(__xludf.DUMMYFUNCTION("""COMPUTED_VALUE"""),"Enterprise")</f>
        <v>Enterprise</v>
      </c>
      <c r="H196" s="265" t="str">
        <f>IFERROR(__xludf.DUMMYFUNCTION("""COMPUTED_VALUE"""),"(Chưa recheck)")</f>
        <v>(Chưa recheck)</v>
      </c>
      <c r="I196" s="265" t="str">
        <f>IFERROR(__xludf.DUMMYFUNCTION("""COMPUTED_VALUE"""),"(Chưa recheck)")</f>
        <v>(Chưa recheck)</v>
      </c>
      <c r="J196" s="265" t="str">
        <f>IFERROR(__xludf.DUMMYFUNCTION("""COMPUTED_VALUE"""),"(Chưa recheck)")</f>
        <v>(Chưa recheck)</v>
      </c>
    </row>
    <row r="197">
      <c r="A197" s="265" t="str">
        <f>IFERROR(__xludf.DUMMYFUNCTION("""COMPUTED_VALUE"""),"530")</f>
        <v>530</v>
      </c>
      <c r="B197" s="265" t="str">
        <f>IFERROR(__xludf.DUMMYFUNCTION("""COMPUTED_VALUE"""),"Sài Gòn")</f>
        <v>Sài Gòn</v>
      </c>
      <c r="C197" s="265" t="str">
        <f>IFERROR(__xludf.DUMMYFUNCTION("""COMPUTED_VALUE"""),"Active")</f>
        <v>Active</v>
      </c>
      <c r="D197" s="265" t="str">
        <f>IFERROR(__xludf.DUMMYFUNCTION("""COMPUTED_VALUE"""),"Công nghệ &amp; Phần mềm")</f>
        <v>Công nghệ &amp; Phần mềm</v>
      </c>
      <c r="E197" s="265" t="str">
        <f>IFERROR(__xludf.DUMMYFUNCTION("""COMPUTED_VALUE"""),"TùngLD")</f>
        <v>TùngLD</v>
      </c>
      <c r="F197" s="265" t="str">
        <f>IFERROR(__xludf.DUMMYFUNCTION("""COMPUTED_VALUE"""),"Silver")</f>
        <v>Silver</v>
      </c>
      <c r="G197" s="265" t="str">
        <f>IFERROR(__xludf.DUMMYFUNCTION("""COMPUTED_VALUE"""),"API")</f>
        <v>API</v>
      </c>
      <c r="H197" s="265" t="str">
        <f>IFERROR(__xludf.DUMMYFUNCTION("""COMPUTED_VALUE"""),"Trả sau")</f>
        <v>Trả sau</v>
      </c>
      <c r="I197" s="265" t="str">
        <f>IFERROR(__xludf.DUMMYFUNCTION("""COMPUTED_VALUE"""),"API")</f>
        <v>API</v>
      </c>
      <c r="J197" s="265" t="str">
        <f>IFERROR(__xludf.DUMMYFUNCTION("""COMPUTED_VALUE"""),"LinhNTT1")</f>
        <v>LinhNTT1</v>
      </c>
    </row>
    <row r="198">
      <c r="A198" s="265" t="str">
        <f>IFERROR(__xludf.DUMMYFUNCTION("""COMPUTED_VALUE"""),"533")</f>
        <v>533</v>
      </c>
      <c r="B198" s="265" t="str">
        <f>IFERROR(__xludf.DUMMYFUNCTION("""COMPUTED_VALUE"""),"Sài Gòn")</f>
        <v>Sài Gòn</v>
      </c>
      <c r="C198" s="265" t="str">
        <f>IFERROR(__xludf.DUMMYFUNCTION("""COMPUTED_VALUE"""),"Locked")</f>
        <v>Locked</v>
      </c>
      <c r="D198" s="265" t="str">
        <f>IFERROR(__xludf.DUMMYFUNCTION("""COMPUTED_VALUE"""),"Sale chưa cung cấp")</f>
        <v>Sale chưa cung cấp</v>
      </c>
      <c r="E198" s="265" t="str">
        <f>IFERROR(__xludf.DUMMYFUNCTION("""COMPUTED_VALUE"""),"HoaNTM")</f>
        <v>HoaNTM</v>
      </c>
      <c r="F198" s="265" t="str">
        <f>IFERROR(__xludf.DUMMYFUNCTION("""COMPUTED_VALUE"""),"Bronze")</f>
        <v>Bronze</v>
      </c>
      <c r="G198" s="265" t="str">
        <f>IFERROR(__xludf.DUMMYFUNCTION("""COMPUTED_VALUE"""),"Enterprise")</f>
        <v>Enterprise</v>
      </c>
      <c r="H198" s="265" t="str">
        <f>IFERROR(__xludf.DUMMYFUNCTION("""COMPUTED_VALUE"""),"(Chưa recheck)")</f>
        <v>(Chưa recheck)</v>
      </c>
      <c r="I198" s="265" t="str">
        <f>IFERROR(__xludf.DUMMYFUNCTION("""COMPUTED_VALUE"""),"(Chưa recheck)")</f>
        <v>(Chưa recheck)</v>
      </c>
      <c r="J198" s="265" t="str">
        <f>IFERROR(__xludf.DUMMYFUNCTION("""COMPUTED_VALUE"""),"(Chưa recheck)")</f>
        <v>(Chưa recheck)</v>
      </c>
    </row>
    <row r="199">
      <c r="A199" s="265" t="str">
        <f>IFERROR(__xludf.DUMMYFUNCTION("""COMPUTED_VALUE"""),"532")</f>
        <v>532</v>
      </c>
      <c r="B199" s="265" t="str">
        <f>IFERROR(__xludf.DUMMYFUNCTION("""COMPUTED_VALUE"""),"Hà Nội")</f>
        <v>Hà Nội</v>
      </c>
      <c r="C199" s="265" t="str">
        <f>IFERROR(__xludf.DUMMYFUNCTION("""COMPUTED_VALUE"""),"Locked")</f>
        <v>Locked</v>
      </c>
      <c r="D199" s="265" t="str">
        <f>IFERROR(__xludf.DUMMYFUNCTION("""COMPUTED_VALUE"""),"Sale chưa cung cấp")</f>
        <v>Sale chưa cung cấp</v>
      </c>
      <c r="E199" s="265" t="str">
        <f>IFERROR(__xludf.DUMMYFUNCTION("""COMPUTED_VALUE"""),"TùngLD")</f>
        <v>TùngLD</v>
      </c>
      <c r="F199" s="265" t="str">
        <f>IFERROR(__xludf.DUMMYFUNCTION("""COMPUTED_VALUE"""),"Sale chưa cung cấp")</f>
        <v>Sale chưa cung cấp</v>
      </c>
      <c r="G199" s="265" t="str">
        <f>IFERROR(__xludf.DUMMYFUNCTION("""COMPUTED_VALUE"""),"Enterprise")</f>
        <v>Enterprise</v>
      </c>
      <c r="H199" s="265" t="str">
        <f>IFERROR(__xludf.DUMMYFUNCTION("""COMPUTED_VALUE"""),"Trial")</f>
        <v>Trial</v>
      </c>
      <c r="I199" s="265" t="str">
        <f>IFERROR(__xludf.DUMMYFUNCTION("""COMPUTED_VALUE"""),"Portal")</f>
        <v>Portal</v>
      </c>
      <c r="J199" s="265" t="str">
        <f>IFERROR(__xludf.DUMMYFUNCTION("""COMPUTED_VALUE"""),"(Không recheck)")</f>
        <v>(Không recheck)</v>
      </c>
    </row>
    <row r="200">
      <c r="A200" s="265" t="str">
        <f>IFERROR(__xludf.DUMMYFUNCTION("""COMPUTED_VALUE"""),"534")</f>
        <v>534</v>
      </c>
      <c r="B200" s="265" t="str">
        <f>IFERROR(__xludf.DUMMYFUNCTION("""COMPUTED_VALUE"""),"Sài Gòn")</f>
        <v>Sài Gòn</v>
      </c>
      <c r="C200" s="265" t="str">
        <f>IFERROR(__xludf.DUMMYFUNCTION("""COMPUTED_VALUE"""),"Locked")</f>
        <v>Locked</v>
      </c>
      <c r="D200" s="265" t="str">
        <f>IFERROR(__xludf.DUMMYFUNCTION("""COMPUTED_VALUE"""),"Sale chưa cung cấp")</f>
        <v>Sale chưa cung cấp</v>
      </c>
      <c r="E200" s="265" t="str">
        <f>IFERROR(__xludf.DUMMYFUNCTION("""COMPUTED_VALUE"""),"HoaNTM")</f>
        <v>HoaNTM</v>
      </c>
      <c r="F200" s="265" t="str">
        <f>IFERROR(__xludf.DUMMYFUNCTION("""COMPUTED_VALUE"""),"Bronze")</f>
        <v>Bronze</v>
      </c>
      <c r="G200" s="265" t="str">
        <f>IFERROR(__xludf.DUMMYFUNCTION("""COMPUTED_VALUE"""),"Enterprise")</f>
        <v>Enterprise</v>
      </c>
      <c r="H200" s="265" t="str">
        <f>IFERROR(__xludf.DUMMYFUNCTION("""COMPUTED_VALUE"""),"(Chưa recheck)")</f>
        <v>(Chưa recheck)</v>
      </c>
      <c r="I200" s="265" t="str">
        <f>IFERROR(__xludf.DUMMYFUNCTION("""COMPUTED_VALUE"""),"(Chưa recheck)")</f>
        <v>(Chưa recheck)</v>
      </c>
      <c r="J200" s="265" t="str">
        <f>IFERROR(__xludf.DUMMYFUNCTION("""COMPUTED_VALUE"""),"AnhNM")</f>
        <v>AnhNM</v>
      </c>
    </row>
    <row r="201">
      <c r="A201" s="265" t="str">
        <f>IFERROR(__xludf.DUMMYFUNCTION("""COMPUTED_VALUE"""),"535")</f>
        <v>535</v>
      </c>
      <c r="B201" s="265" t="str">
        <f>IFERROR(__xludf.DUMMYFUNCTION("""COMPUTED_VALUE"""),"Sài Gòn")</f>
        <v>Sài Gòn</v>
      </c>
      <c r="C201" s="265" t="str">
        <f>IFERROR(__xludf.DUMMYFUNCTION("""COMPUTED_VALUE"""),"Locked")</f>
        <v>Locked</v>
      </c>
      <c r="D201" s="265" t="str">
        <f>IFERROR(__xludf.DUMMYFUNCTION("""COMPUTED_VALUE"""),"Sale chưa cung cấp")</f>
        <v>Sale chưa cung cấp</v>
      </c>
      <c r="E201" s="265" t="str">
        <f>IFERROR(__xludf.DUMMYFUNCTION("""COMPUTED_VALUE"""),"HoaNTM")</f>
        <v>HoaNTM</v>
      </c>
      <c r="F201" s="265" t="str">
        <f>IFERROR(__xludf.DUMMYFUNCTION("""COMPUTED_VALUE"""),"Sale chưa cung cấp")</f>
        <v>Sale chưa cung cấp</v>
      </c>
      <c r="G201" s="265" t="str">
        <f>IFERROR(__xludf.DUMMYFUNCTION("""COMPUTED_VALUE"""),"Enterprise")</f>
        <v>Enterprise</v>
      </c>
      <c r="H201" s="265" t="str">
        <f>IFERROR(__xludf.DUMMYFUNCTION("""COMPUTED_VALUE"""),"Trial")</f>
        <v>Trial</v>
      </c>
      <c r="I201" s="265" t="str">
        <f>IFERROR(__xludf.DUMMYFUNCTION("""COMPUTED_VALUE"""),"(Không recheck)")</f>
        <v>(Không recheck)</v>
      </c>
      <c r="J201" s="265" t="str">
        <f>IFERROR(__xludf.DUMMYFUNCTION("""COMPUTED_VALUE"""),"(Không recheck)")</f>
        <v>(Không recheck)</v>
      </c>
    </row>
    <row r="202">
      <c r="A202" s="265" t="str">
        <f>IFERROR(__xludf.DUMMYFUNCTION("""COMPUTED_VALUE"""),"536")</f>
        <v>536</v>
      </c>
      <c r="B202" s="265" t="str">
        <f>IFERROR(__xludf.DUMMYFUNCTION("""COMPUTED_VALUE"""),"Hà Nội")</f>
        <v>Hà Nội</v>
      </c>
      <c r="C202" s="265" t="str">
        <f>IFERROR(__xludf.DUMMYFUNCTION("""COMPUTED_VALUE"""),"Active")</f>
        <v>Active</v>
      </c>
      <c r="D202" s="265" t="str">
        <f>IFERROR(__xludf.DUMMYFUNCTION("""COMPUTED_VALUE"""),"Sale chưa cung cấp")</f>
        <v>Sale chưa cung cấp</v>
      </c>
      <c r="E202" s="265" t="str">
        <f>IFERROR(__xludf.DUMMYFUNCTION("""COMPUTED_VALUE"""),"TùngLD")</f>
        <v>TùngLD</v>
      </c>
      <c r="F202" s="265" t="str">
        <f>IFERROR(__xludf.DUMMYFUNCTION("""COMPUTED_VALUE"""),"Silver")</f>
        <v>Silver</v>
      </c>
      <c r="G202" s="265" t="str">
        <f>IFERROR(__xludf.DUMMYFUNCTION("""COMPUTED_VALUE"""),"API")</f>
        <v>API</v>
      </c>
      <c r="H202" s="265" t="str">
        <f>IFERROR(__xludf.DUMMYFUNCTION("""COMPUTED_VALUE"""),"Trả sau")</f>
        <v>Trả sau</v>
      </c>
      <c r="I202" s="265" t="str">
        <f>IFERROR(__xludf.DUMMYFUNCTION("""COMPUTED_VALUE"""),"API")</f>
        <v>API</v>
      </c>
      <c r="J202" s="265" t="str">
        <f>IFERROR(__xludf.DUMMYFUNCTION("""COMPUTED_VALUE"""),"Không phân công")</f>
        <v>Không phân công</v>
      </c>
    </row>
    <row r="203">
      <c r="A203" s="265" t="str">
        <f>IFERROR(__xludf.DUMMYFUNCTION("""COMPUTED_VALUE"""),"537")</f>
        <v>537</v>
      </c>
      <c r="B203" s="265" t="str">
        <f>IFERROR(__xludf.DUMMYFUNCTION("""COMPUTED_VALUE"""),"Hà Nội")</f>
        <v>Hà Nội</v>
      </c>
      <c r="C203" s="265" t="str">
        <f>IFERROR(__xludf.DUMMYFUNCTION("""COMPUTED_VALUE"""),"Locked")</f>
        <v>Locked</v>
      </c>
      <c r="D203" s="265" t="str">
        <f>IFERROR(__xludf.DUMMYFUNCTION("""COMPUTED_VALUE"""),"Sale chưa cung cấp")</f>
        <v>Sale chưa cung cấp</v>
      </c>
      <c r="E203" s="265" t="str">
        <f>IFERROR(__xludf.DUMMYFUNCTION("""COMPUTED_VALUE"""),"TùngLD")</f>
        <v>TùngLD</v>
      </c>
      <c r="F203" s="265" t="str">
        <f>IFERROR(__xludf.DUMMYFUNCTION("""COMPUTED_VALUE"""),"Bronze")</f>
        <v>Bronze</v>
      </c>
      <c r="G203" s="265" t="str">
        <f>IFERROR(__xludf.DUMMYFUNCTION("""COMPUTED_VALUE"""),"API")</f>
        <v>API</v>
      </c>
      <c r="H203" s="265" t="str">
        <f>IFERROR(__xludf.DUMMYFUNCTION("""COMPUTED_VALUE"""),"(Chưa recheck)")</f>
        <v>(Chưa recheck)</v>
      </c>
      <c r="I203" s="265" t="str">
        <f>IFERROR(__xludf.DUMMYFUNCTION("""COMPUTED_VALUE"""),"API &amp; Portal")</f>
        <v>API &amp; Portal</v>
      </c>
      <c r="J203" s="265" t="str">
        <f>IFERROR(__xludf.DUMMYFUNCTION("""COMPUTED_VALUE"""),"TuVTC")</f>
        <v>TuVTC</v>
      </c>
    </row>
    <row r="204">
      <c r="A204" s="265" t="str">
        <f>IFERROR(__xludf.DUMMYFUNCTION("""COMPUTED_VALUE"""),"538")</f>
        <v>538</v>
      </c>
      <c r="B204" s="265" t="str">
        <f>IFERROR(__xludf.DUMMYFUNCTION("""COMPUTED_VALUE"""),"Hà Nội")</f>
        <v>Hà Nội</v>
      </c>
      <c r="C204" s="265" t="str">
        <f>IFERROR(__xludf.DUMMYFUNCTION("""COMPUTED_VALUE"""),"Locked")</f>
        <v>Locked</v>
      </c>
      <c r="D204" s="265" t="str">
        <f>IFERROR(__xludf.DUMMYFUNCTION("""COMPUTED_VALUE"""),"Sale chưa cung cấp")</f>
        <v>Sale chưa cung cấp</v>
      </c>
      <c r="E204" s="265" t="str">
        <f>IFERROR(__xludf.DUMMYFUNCTION("""COMPUTED_VALUE"""),"TùngLD")</f>
        <v>TùngLD</v>
      </c>
      <c r="F204" s="265" t="str">
        <f>IFERROR(__xludf.DUMMYFUNCTION("""COMPUTED_VALUE"""),"Sale chưa cung cấp")</f>
        <v>Sale chưa cung cấp</v>
      </c>
      <c r="G204" s="265" t="str">
        <f>IFERROR(__xludf.DUMMYFUNCTION("""COMPUTED_VALUE"""),"Enterprise")</f>
        <v>Enterprise</v>
      </c>
      <c r="H204" s="265" t="str">
        <f>IFERROR(__xludf.DUMMYFUNCTION("""COMPUTED_VALUE"""),"Trial")</f>
        <v>Trial</v>
      </c>
      <c r="I204" s="265" t="str">
        <f>IFERROR(__xludf.DUMMYFUNCTION("""COMPUTED_VALUE"""),"Portal")</f>
        <v>Portal</v>
      </c>
      <c r="J204" s="265" t="str">
        <f>IFERROR(__xludf.DUMMYFUNCTION("""COMPUTED_VALUE"""),"(Không recheck)")</f>
        <v>(Không recheck)</v>
      </c>
    </row>
    <row r="205">
      <c r="A205" s="265" t="str">
        <f>IFERROR(__xludf.DUMMYFUNCTION("""COMPUTED_VALUE"""),"539")</f>
        <v>539</v>
      </c>
      <c r="B205" s="265" t="str">
        <f>IFERROR(__xludf.DUMMYFUNCTION("""COMPUTED_VALUE"""),"Sài Gòn")</f>
        <v>Sài Gòn</v>
      </c>
      <c r="C205" s="265" t="str">
        <f>IFERROR(__xludf.DUMMYFUNCTION("""COMPUTED_VALUE"""),"Locked")</f>
        <v>Locked</v>
      </c>
      <c r="D205" s="265" t="str">
        <f>IFERROR(__xludf.DUMMYFUNCTION("""COMPUTED_VALUE"""),"Sale chưa cung cấp")</f>
        <v>Sale chưa cung cấp</v>
      </c>
      <c r="E205" s="265" t="str">
        <f>IFERROR(__xludf.DUMMYFUNCTION("""COMPUTED_VALUE"""),"(Không recheck)")</f>
        <v>(Không recheck)</v>
      </c>
      <c r="F205" s="265" t="str">
        <f>IFERROR(__xludf.DUMMYFUNCTION("""COMPUTED_VALUE"""),"Diamond")</f>
        <v>Diamond</v>
      </c>
      <c r="G205" s="265" t="str">
        <f>IFERROR(__xludf.DUMMYFUNCTION("""COMPUTED_VALUE"""),"API")</f>
        <v>API</v>
      </c>
      <c r="H205" s="265" t="str">
        <f>IFERROR(__xludf.DUMMYFUNCTION("""COMPUTED_VALUE"""),"Trial")</f>
        <v>Trial</v>
      </c>
      <c r="I205" s="265" t="str">
        <f>IFERROR(__xludf.DUMMYFUNCTION("""COMPUTED_VALUE"""),"(Không recheck)")</f>
        <v>(Không recheck)</v>
      </c>
      <c r="J205" s="265" t="str">
        <f>IFERROR(__xludf.DUMMYFUNCTION("""COMPUTED_VALUE"""),"(Không recheck)")</f>
        <v>(Không recheck)</v>
      </c>
    </row>
    <row r="206">
      <c r="A206" s="265" t="str">
        <f>IFERROR(__xludf.DUMMYFUNCTION("""COMPUTED_VALUE"""),"216")</f>
        <v>216</v>
      </c>
      <c r="B206" s="265" t="str">
        <f>IFERROR(__xludf.DUMMYFUNCTION("""COMPUTED_VALUE"""),"Hà Nội")</f>
        <v>Hà Nội</v>
      </c>
      <c r="C206" s="265" t="str">
        <f>IFERROR(__xludf.DUMMYFUNCTION("""COMPUTED_VALUE"""),"Active")</f>
        <v>Active</v>
      </c>
      <c r="D206" s="265" t="str">
        <f>IFERROR(__xludf.DUMMYFUNCTION("""COMPUTED_VALUE"""),"Sale chưa cung cấp")</f>
        <v>Sale chưa cung cấp</v>
      </c>
      <c r="E206" s="265" t="str">
        <f>IFERROR(__xludf.DUMMYFUNCTION("""COMPUTED_VALUE"""),"Không phân công")</f>
        <v>Không phân công</v>
      </c>
      <c r="F206" s="265" t="str">
        <f>IFERROR(__xludf.DUMMYFUNCTION("""COMPUTED_VALUE"""),"Bronze")</f>
        <v>Bronze</v>
      </c>
      <c r="G206" s="265" t="str">
        <f>IFERROR(__xludf.DUMMYFUNCTION("""COMPUTED_VALUE"""),"Enterprise")</f>
        <v>Enterprise</v>
      </c>
      <c r="H206" s="265" t="str">
        <f>IFERROR(__xludf.DUMMYFUNCTION("""COMPUTED_VALUE"""),"Trả sau")</f>
        <v>Trả sau</v>
      </c>
      <c r="I206" s="265" t="str">
        <f>IFERROR(__xludf.DUMMYFUNCTION("""COMPUTED_VALUE"""),"API &amp; Portal")</f>
        <v>API &amp; Portal</v>
      </c>
      <c r="J206" s="265" t="str">
        <f>IFERROR(__xludf.DUMMYFUNCTION("""COMPUTED_VALUE"""),"LinhNTT1")</f>
        <v>LinhNTT1</v>
      </c>
    </row>
    <row r="207">
      <c r="A207" s="265" t="str">
        <f>IFERROR(__xludf.DUMMYFUNCTION("""COMPUTED_VALUE"""),"541")</f>
        <v>541</v>
      </c>
      <c r="B207" s="265" t="str">
        <f>IFERROR(__xludf.DUMMYFUNCTION("""COMPUTED_VALUE"""),"Sài Gòn")</f>
        <v>Sài Gòn</v>
      </c>
      <c r="C207" s="265" t="str">
        <f>IFERROR(__xludf.DUMMYFUNCTION("""COMPUTED_VALUE"""),"Active")</f>
        <v>Active</v>
      </c>
      <c r="D207" s="265" t="str">
        <f>IFERROR(__xludf.DUMMYFUNCTION("""COMPUTED_VALUE"""),"Sale chưa cung cấp")</f>
        <v>Sale chưa cung cấp</v>
      </c>
      <c r="E207" s="265" t="str">
        <f>IFERROR(__xludf.DUMMYFUNCTION("""COMPUTED_VALUE"""),"AnhNM")</f>
        <v>AnhNM</v>
      </c>
      <c r="F207" s="265" t="str">
        <f>IFERROR(__xludf.DUMMYFUNCTION("""COMPUTED_VALUE"""),"Gold")</f>
        <v>Gold</v>
      </c>
      <c r="G207" s="265" t="str">
        <f>IFERROR(__xludf.DUMMYFUNCTION("""COMPUTED_VALUE"""),"Enterprise")</f>
        <v>Enterprise</v>
      </c>
      <c r="H207" s="265" t="str">
        <f>IFERROR(__xludf.DUMMYFUNCTION("""COMPUTED_VALUE"""),"Trả sau")</f>
        <v>Trả sau</v>
      </c>
      <c r="I207" s="265" t="str">
        <f>IFERROR(__xludf.DUMMYFUNCTION("""COMPUTED_VALUE"""),"API &amp; Portal")</f>
        <v>API &amp; Portal</v>
      </c>
      <c r="J207" s="265" t="str">
        <f>IFERROR(__xludf.DUMMYFUNCTION("""COMPUTED_VALUE"""),"LinhNTT1")</f>
        <v>LinhNTT1</v>
      </c>
    </row>
    <row r="208">
      <c r="A208" s="265" t="str">
        <f>IFERROR(__xludf.DUMMYFUNCTION("""COMPUTED_VALUE"""),"542")</f>
        <v>542</v>
      </c>
      <c r="B208" s="265" t="str">
        <f>IFERROR(__xludf.DUMMYFUNCTION("""COMPUTED_VALUE"""),"Sài Gòn")</f>
        <v>Sài Gòn</v>
      </c>
      <c r="C208" s="265" t="str">
        <f>IFERROR(__xludf.DUMMYFUNCTION("""COMPUTED_VALUE"""),"Locked")</f>
        <v>Locked</v>
      </c>
      <c r="D208" s="265" t="str">
        <f>IFERROR(__xludf.DUMMYFUNCTION("""COMPUTED_VALUE"""),"Sale chưa cung cấp")</f>
        <v>Sale chưa cung cấp</v>
      </c>
      <c r="E208" s="265" t="str">
        <f>IFERROR(__xludf.DUMMYFUNCTION("""COMPUTED_VALUE"""),"HoaNTM")</f>
        <v>HoaNTM</v>
      </c>
      <c r="F208" s="265" t="str">
        <f>IFERROR(__xludf.DUMMYFUNCTION("""COMPUTED_VALUE"""),"Sale chưa cung cấp")</f>
        <v>Sale chưa cung cấp</v>
      </c>
      <c r="G208" s="265" t="str">
        <f>IFERROR(__xludf.DUMMYFUNCTION("""COMPUTED_VALUE"""),"Enterprise")</f>
        <v>Enterprise</v>
      </c>
      <c r="H208" s="265" t="str">
        <f>IFERROR(__xludf.DUMMYFUNCTION("""COMPUTED_VALUE"""),"(Chưa recheck)")</f>
        <v>(Chưa recheck)</v>
      </c>
      <c r="I208" s="265" t="str">
        <f>IFERROR(__xludf.DUMMYFUNCTION("""COMPUTED_VALUE"""),"(Chưa recheck)")</f>
        <v>(Chưa recheck)</v>
      </c>
      <c r="J208" s="265" t="str">
        <f>IFERROR(__xludf.DUMMYFUNCTION("""COMPUTED_VALUE"""),"AnhNM")</f>
        <v>AnhNM</v>
      </c>
    </row>
    <row r="209">
      <c r="A209" s="265" t="str">
        <f>IFERROR(__xludf.DUMMYFUNCTION("""COMPUTED_VALUE"""),"544")</f>
        <v>544</v>
      </c>
      <c r="B209" s="265" t="str">
        <f>IFERROR(__xludf.DUMMYFUNCTION("""COMPUTED_VALUE"""),"Sài Gòn")</f>
        <v>Sài Gòn</v>
      </c>
      <c r="C209" s="265" t="str">
        <f>IFERROR(__xludf.DUMMYFUNCTION("""COMPUTED_VALUE"""),"Locked")</f>
        <v>Locked</v>
      </c>
      <c r="D209" s="265" t="str">
        <f>IFERROR(__xludf.DUMMYFUNCTION("""COMPUTED_VALUE"""),"Sale chưa cung cấp")</f>
        <v>Sale chưa cung cấp</v>
      </c>
      <c r="E209" s="265" t="str">
        <f>IFERROR(__xludf.DUMMYFUNCTION("""COMPUTED_VALUE"""),"TùngLD")</f>
        <v>TùngLD</v>
      </c>
      <c r="F209" s="265" t="str">
        <f>IFERROR(__xludf.DUMMYFUNCTION("""COMPUTED_VALUE"""),"Sale chưa cung cấp")</f>
        <v>Sale chưa cung cấp</v>
      </c>
      <c r="G209" s="265" t="str">
        <f>IFERROR(__xludf.DUMMYFUNCTION("""COMPUTED_VALUE"""),"MSG")</f>
        <v>MSG</v>
      </c>
      <c r="H209" s="265" t="str">
        <f>IFERROR(__xludf.DUMMYFUNCTION("""COMPUTED_VALUE"""),"(Chưa recheck)")</f>
        <v>(Chưa recheck)</v>
      </c>
      <c r="I209" s="265" t="str">
        <f>IFERROR(__xludf.DUMMYFUNCTION("""COMPUTED_VALUE"""),"(Chưa recheck)")</f>
        <v>(Chưa recheck)</v>
      </c>
      <c r="J209" s="265" t="str">
        <f>IFERROR(__xludf.DUMMYFUNCTION("""COMPUTED_VALUE"""),"AnhNM")</f>
        <v>AnhNM</v>
      </c>
    </row>
    <row r="210">
      <c r="A210" s="265" t="str">
        <f>IFERROR(__xludf.DUMMYFUNCTION("""COMPUTED_VALUE"""),"545")</f>
        <v>545</v>
      </c>
      <c r="B210" s="265" t="str">
        <f>IFERROR(__xludf.DUMMYFUNCTION("""COMPUTED_VALUE"""),"Sài Gòn")</f>
        <v>Sài Gòn</v>
      </c>
      <c r="C210" s="265" t="str">
        <f>IFERROR(__xludf.DUMMYFUNCTION("""COMPUTED_VALUE"""),"Locked")</f>
        <v>Locked</v>
      </c>
      <c r="D210" s="265" t="str">
        <f>IFERROR(__xludf.DUMMYFUNCTION("""COMPUTED_VALUE"""),"Sale chưa cung cấp")</f>
        <v>Sale chưa cung cấp</v>
      </c>
      <c r="E210" s="265" t="str">
        <f>IFERROR(__xludf.DUMMYFUNCTION("""COMPUTED_VALUE"""),"HoaNTM")</f>
        <v>HoaNTM</v>
      </c>
      <c r="F210" s="265" t="str">
        <f>IFERROR(__xludf.DUMMYFUNCTION("""COMPUTED_VALUE"""),"Gold")</f>
        <v>Gold</v>
      </c>
      <c r="G210" s="265" t="str">
        <f>IFERROR(__xludf.DUMMYFUNCTION("""COMPUTED_VALUE"""),"API")</f>
        <v>API</v>
      </c>
      <c r="H210" s="265" t="str">
        <f>IFERROR(__xludf.DUMMYFUNCTION("""COMPUTED_VALUE"""),"Trả sau")</f>
        <v>Trả sau</v>
      </c>
      <c r="I210" s="265" t="str">
        <f>IFERROR(__xludf.DUMMYFUNCTION("""COMPUTED_VALUE"""),"API &amp; Portal")</f>
        <v>API &amp; Portal</v>
      </c>
      <c r="J210" s="265" t="str">
        <f>IFERROR(__xludf.DUMMYFUNCTION("""COMPUTED_VALUE"""),"AnhNM")</f>
        <v>AnhNM</v>
      </c>
    </row>
    <row r="211">
      <c r="A211" s="265" t="str">
        <f>IFERROR(__xludf.DUMMYFUNCTION("""COMPUTED_VALUE"""),"547")</f>
        <v>547</v>
      </c>
      <c r="B211" s="265" t="str">
        <f>IFERROR(__xludf.DUMMYFUNCTION("""COMPUTED_VALUE"""),"Hà Nội")</f>
        <v>Hà Nội</v>
      </c>
      <c r="C211" s="265" t="str">
        <f>IFERROR(__xludf.DUMMYFUNCTION("""COMPUTED_VALUE"""),"Active")</f>
        <v>Active</v>
      </c>
      <c r="D211" s="265" t="str">
        <f>IFERROR(__xludf.DUMMYFUNCTION("""COMPUTED_VALUE"""),"Sale chưa cung cấp")</f>
        <v>Sale chưa cung cấp</v>
      </c>
      <c r="E211" s="265" t="str">
        <f>IFERROR(__xludf.DUMMYFUNCTION("""COMPUTED_VALUE"""),"TùngLD")</f>
        <v>TùngLD</v>
      </c>
      <c r="F211" s="265" t="str">
        <f>IFERROR(__xludf.DUMMYFUNCTION("""COMPUTED_VALUE"""),"Gold")</f>
        <v>Gold</v>
      </c>
      <c r="G211" s="265" t="str">
        <f>IFERROR(__xludf.DUMMYFUNCTION("""COMPUTED_VALUE"""),"API")</f>
        <v>API</v>
      </c>
      <c r="H211" s="265" t="str">
        <f>IFERROR(__xludf.DUMMYFUNCTION("""COMPUTED_VALUE"""),"Trả sau")</f>
        <v>Trả sau</v>
      </c>
      <c r="I211" s="265" t="str">
        <f>IFERROR(__xludf.DUMMYFUNCTION("""COMPUTED_VALUE"""),"API")</f>
        <v>API</v>
      </c>
      <c r="J211" s="265" t="str">
        <f>IFERROR(__xludf.DUMMYFUNCTION("""COMPUTED_VALUE"""),"LinhNTT1")</f>
        <v>LinhNTT1</v>
      </c>
    </row>
    <row r="212">
      <c r="A212" s="265" t="str">
        <f>IFERROR(__xludf.DUMMYFUNCTION("""COMPUTED_VALUE"""),"None 2")</f>
        <v>None 2</v>
      </c>
      <c r="B212" s="265" t="str">
        <f>IFERROR(__xludf.DUMMYFUNCTION("""COMPUTED_VALUE"""),"Hà Nội")</f>
        <v>Hà Nội</v>
      </c>
      <c r="C212" s="265" t="str">
        <f>IFERROR(__xludf.DUMMYFUNCTION("""COMPUTED_VALUE"""),"Locked")</f>
        <v>Locked</v>
      </c>
      <c r="D212" s="265" t="str">
        <f>IFERROR(__xludf.DUMMYFUNCTION("""COMPUTED_VALUE"""),"Sale chưa cung cấp")</f>
        <v>Sale chưa cung cấp</v>
      </c>
      <c r="E212" s="265" t="str">
        <f>IFERROR(__xludf.DUMMYFUNCTION("""COMPUTED_VALUE"""),"TúPHN")</f>
        <v>TúPHN</v>
      </c>
      <c r="F212" s="265" t="str">
        <f>IFERROR(__xludf.DUMMYFUNCTION("""COMPUTED_VALUE"""),"Bronze")</f>
        <v>Bronze</v>
      </c>
      <c r="G212" s="265" t="str">
        <f>IFERROR(__xludf.DUMMYFUNCTION("""COMPUTED_VALUE"""),"API")</f>
        <v>API</v>
      </c>
      <c r="H212" s="265" t="str">
        <f>IFERROR(__xludf.DUMMYFUNCTION("""COMPUTED_VALUE"""),"Trả sau")</f>
        <v>Trả sau</v>
      </c>
      <c r="I212" s="265" t="str">
        <f>IFERROR(__xludf.DUMMYFUNCTION("""COMPUTED_VALUE"""),"API")</f>
        <v>API</v>
      </c>
      <c r="J212" s="265" t="str">
        <f>IFERROR(__xludf.DUMMYFUNCTION("""COMPUTED_VALUE"""),"AnhNM")</f>
        <v>AnhNM</v>
      </c>
    </row>
    <row r="213">
      <c r="A213" s="265" t="str">
        <f>IFERROR(__xludf.DUMMYFUNCTION("""COMPUTED_VALUE"""),"546")</f>
        <v>546</v>
      </c>
      <c r="B213" s="265" t="str">
        <f>IFERROR(__xludf.DUMMYFUNCTION("""COMPUTED_VALUE"""),"Sài Gòn")</f>
        <v>Sài Gòn</v>
      </c>
      <c r="C213" s="265" t="str">
        <f>IFERROR(__xludf.DUMMYFUNCTION("""COMPUTED_VALUE"""),"Locked")</f>
        <v>Locked</v>
      </c>
      <c r="D213" s="265" t="str">
        <f>IFERROR(__xludf.DUMMYFUNCTION("""COMPUTED_VALUE"""),"Sale chưa cung cấp")</f>
        <v>Sale chưa cung cấp</v>
      </c>
      <c r="E213" s="265" t="str">
        <f>IFERROR(__xludf.DUMMYFUNCTION("""COMPUTED_VALUE"""),"HoaNTM")</f>
        <v>HoaNTM</v>
      </c>
      <c r="F213" s="265" t="str">
        <f>IFERROR(__xludf.DUMMYFUNCTION("""COMPUTED_VALUE"""),"Bronze")</f>
        <v>Bronze</v>
      </c>
      <c r="G213" s="265" t="str">
        <f>IFERROR(__xludf.DUMMYFUNCTION("""COMPUTED_VALUE"""),"Enterprise")</f>
        <v>Enterprise</v>
      </c>
      <c r="H213" s="265" t="str">
        <f>IFERROR(__xludf.DUMMYFUNCTION("""COMPUTED_VALUE"""),"(Chưa recheck)")</f>
        <v>(Chưa recheck)</v>
      </c>
      <c r="I213" s="265" t="str">
        <f>IFERROR(__xludf.DUMMYFUNCTION("""COMPUTED_VALUE"""),"(Chưa recheck)")</f>
        <v>(Chưa recheck)</v>
      </c>
      <c r="J213" s="265" t="str">
        <f>IFERROR(__xludf.DUMMYFUNCTION("""COMPUTED_VALUE"""),"(Chưa recheck)")</f>
        <v>(Chưa recheck)</v>
      </c>
    </row>
    <row r="214">
      <c r="A214" s="265" t="str">
        <f>IFERROR(__xludf.DUMMYFUNCTION("""COMPUTED_VALUE"""),"548")</f>
        <v>548</v>
      </c>
      <c r="B214" s="265" t="str">
        <f>IFERROR(__xludf.DUMMYFUNCTION("""COMPUTED_VALUE"""),"Sài Gòn")</f>
        <v>Sài Gòn</v>
      </c>
      <c r="C214" s="265" t="str">
        <f>IFERROR(__xludf.DUMMYFUNCTION("""COMPUTED_VALUE"""),"Locked")</f>
        <v>Locked</v>
      </c>
      <c r="D214" s="265" t="str">
        <f>IFERROR(__xludf.DUMMYFUNCTION("""COMPUTED_VALUE"""),"Sale chưa cung cấp")</f>
        <v>Sale chưa cung cấp</v>
      </c>
      <c r="E214" s="265" t="str">
        <f>IFERROR(__xludf.DUMMYFUNCTION("""COMPUTED_VALUE"""),"HoaNTM")</f>
        <v>HoaNTM</v>
      </c>
      <c r="F214" s="265" t="str">
        <f>IFERROR(__xludf.DUMMYFUNCTION("""COMPUTED_VALUE"""),"Sale chưa cung cấp")</f>
        <v>Sale chưa cung cấp</v>
      </c>
      <c r="G214" s="265" t="str">
        <f>IFERROR(__xludf.DUMMYFUNCTION("""COMPUTED_VALUE"""),"Enterprise")</f>
        <v>Enterprise</v>
      </c>
      <c r="H214" s="265" t="str">
        <f>IFERROR(__xludf.DUMMYFUNCTION("""COMPUTED_VALUE"""),"(Chưa recheck)")</f>
        <v>(Chưa recheck)</v>
      </c>
      <c r="I214" s="265" t="str">
        <f>IFERROR(__xludf.DUMMYFUNCTION("""COMPUTED_VALUE"""),"(Chưa recheck)")</f>
        <v>(Chưa recheck)</v>
      </c>
      <c r="J214" s="265" t="str">
        <f>IFERROR(__xludf.DUMMYFUNCTION("""COMPUTED_VALUE"""),"(Chưa recheck)")</f>
        <v>(Chưa recheck)</v>
      </c>
    </row>
    <row r="215">
      <c r="A215" s="265" t="str">
        <f>IFERROR(__xludf.DUMMYFUNCTION("""COMPUTED_VALUE"""),"549")</f>
        <v>549</v>
      </c>
      <c r="B215" s="265" t="str">
        <f>IFERROR(__xludf.DUMMYFUNCTION("""COMPUTED_VALUE"""),"Sài Gòn")</f>
        <v>Sài Gòn</v>
      </c>
      <c r="C215" s="265" t="str">
        <f>IFERROR(__xludf.DUMMYFUNCTION("""COMPUTED_VALUE"""),"Locked")</f>
        <v>Locked</v>
      </c>
      <c r="D215" s="265" t="str">
        <f>IFERROR(__xludf.DUMMYFUNCTION("""COMPUTED_VALUE"""),"Sale chưa cung cấp")</f>
        <v>Sale chưa cung cấp</v>
      </c>
      <c r="E215" s="265" t="str">
        <f>IFERROR(__xludf.DUMMYFUNCTION("""COMPUTED_VALUE"""),"HoaNTM")</f>
        <v>HoaNTM</v>
      </c>
      <c r="F215" s="265" t="str">
        <f>IFERROR(__xludf.DUMMYFUNCTION("""COMPUTED_VALUE"""),"Sale chưa cung cấp")</f>
        <v>Sale chưa cung cấp</v>
      </c>
      <c r="G215" s="265" t="str">
        <f>IFERROR(__xludf.DUMMYFUNCTION("""COMPUTED_VALUE"""),"Enterprise")</f>
        <v>Enterprise</v>
      </c>
      <c r="H215" s="265" t="str">
        <f>IFERROR(__xludf.DUMMYFUNCTION("""COMPUTED_VALUE"""),"(Chưa recheck)")</f>
        <v>(Chưa recheck)</v>
      </c>
      <c r="I215" s="265" t="str">
        <f>IFERROR(__xludf.DUMMYFUNCTION("""COMPUTED_VALUE"""),"(Chưa recheck)")</f>
        <v>(Chưa recheck)</v>
      </c>
      <c r="J215" s="265" t="str">
        <f>IFERROR(__xludf.DUMMYFUNCTION("""COMPUTED_VALUE"""),"(Chưa recheck)")</f>
        <v>(Chưa recheck)</v>
      </c>
    </row>
    <row r="216">
      <c r="A216" s="265" t="str">
        <f>IFERROR(__xludf.DUMMYFUNCTION("""COMPUTED_VALUE"""),"550")</f>
        <v>550</v>
      </c>
      <c r="B216" s="265" t="str">
        <f>IFERROR(__xludf.DUMMYFUNCTION("""COMPUTED_VALUE"""),"Sài Gòn")</f>
        <v>Sài Gòn</v>
      </c>
      <c r="C216" s="265" t="str">
        <f>IFERROR(__xludf.DUMMYFUNCTION("""COMPUTED_VALUE"""),"Locked")</f>
        <v>Locked</v>
      </c>
      <c r="D216" s="265" t="str">
        <f>IFERROR(__xludf.DUMMYFUNCTION("""COMPUTED_VALUE"""),"Sale chưa cung cấp")</f>
        <v>Sale chưa cung cấp</v>
      </c>
      <c r="E216" s="265" t="str">
        <f>IFERROR(__xludf.DUMMYFUNCTION("""COMPUTED_VALUE"""),"HoaNTM")</f>
        <v>HoaNTM</v>
      </c>
      <c r="F216" s="265" t="str">
        <f>IFERROR(__xludf.DUMMYFUNCTION("""COMPUTED_VALUE"""),"Sale chưa cung cấp")</f>
        <v>Sale chưa cung cấp</v>
      </c>
      <c r="G216" s="265" t="str">
        <f>IFERROR(__xludf.DUMMYFUNCTION("""COMPUTED_VALUE"""),"Enterprise")</f>
        <v>Enterprise</v>
      </c>
      <c r="H216" s="265" t="str">
        <f>IFERROR(__xludf.DUMMYFUNCTION("""COMPUTED_VALUE"""),"Trial")</f>
        <v>Trial</v>
      </c>
      <c r="I216" s="265" t="str">
        <f>IFERROR(__xludf.DUMMYFUNCTION("""COMPUTED_VALUE"""),"(Không recheck)")</f>
        <v>(Không recheck)</v>
      </c>
      <c r="J216" s="265" t="str">
        <f>IFERROR(__xludf.DUMMYFUNCTION("""COMPUTED_VALUE"""),"(Không recheck)")</f>
        <v>(Không recheck)</v>
      </c>
    </row>
    <row r="217">
      <c r="A217" s="265" t="str">
        <f>IFERROR(__xludf.DUMMYFUNCTION("""COMPUTED_VALUE"""),"554")</f>
        <v>554</v>
      </c>
      <c r="B217" s="265" t="str">
        <f>IFERROR(__xludf.DUMMYFUNCTION("""COMPUTED_VALUE"""),"Hà Nội")</f>
        <v>Hà Nội</v>
      </c>
      <c r="C217" s="265" t="str">
        <f>IFERROR(__xludf.DUMMYFUNCTION("""COMPUTED_VALUE"""),"Active")</f>
        <v>Active</v>
      </c>
      <c r="D217" s="265" t="str">
        <f>IFERROR(__xludf.DUMMYFUNCTION("""COMPUTED_VALUE"""),"Truyền thông &amp; Giải trí")</f>
        <v>Truyền thông &amp; Giải trí</v>
      </c>
      <c r="E217" s="265" t="str">
        <f>IFERROR(__xludf.DUMMYFUNCTION("""COMPUTED_VALUE"""),"TùngLD")</f>
        <v>TùngLD</v>
      </c>
      <c r="F217" s="265" t="str">
        <f>IFERROR(__xludf.DUMMYFUNCTION("""COMPUTED_VALUE"""),"Silver")</f>
        <v>Silver</v>
      </c>
      <c r="G217" s="265" t="str">
        <f>IFERROR(__xludf.DUMMYFUNCTION("""COMPUTED_VALUE"""),"Enterprise")</f>
        <v>Enterprise</v>
      </c>
      <c r="H217" s="265" t="str">
        <f>IFERROR(__xludf.DUMMYFUNCTION("""COMPUTED_VALUE"""),"Trả sau")</f>
        <v>Trả sau</v>
      </c>
      <c r="I217" s="265" t="str">
        <f>IFERROR(__xludf.DUMMYFUNCTION("""COMPUTED_VALUE"""),"API &amp; Portal")</f>
        <v>API &amp; Portal</v>
      </c>
      <c r="J217" s="265" t="str">
        <f>IFERROR(__xludf.DUMMYFUNCTION("""COMPUTED_VALUE"""),"DungPL")</f>
        <v>DungPL</v>
      </c>
    </row>
    <row r="218">
      <c r="A218" s="265" t="str">
        <f>IFERROR(__xludf.DUMMYFUNCTION("""COMPUTED_VALUE"""),"551")</f>
        <v>551</v>
      </c>
      <c r="B218" s="265" t="str">
        <f>IFERROR(__xludf.DUMMYFUNCTION("""COMPUTED_VALUE"""),"Sài Gòn")</f>
        <v>Sài Gòn</v>
      </c>
      <c r="C218" s="265" t="str">
        <f>IFERROR(__xludf.DUMMYFUNCTION("""COMPUTED_VALUE"""),"Locked")</f>
        <v>Locked</v>
      </c>
      <c r="D218" s="265" t="str">
        <f>IFERROR(__xludf.DUMMYFUNCTION("""COMPUTED_VALUE"""),"Sale chưa cung cấp")</f>
        <v>Sale chưa cung cấp</v>
      </c>
      <c r="E218" s="265" t="str">
        <f>IFERROR(__xludf.DUMMYFUNCTION("""COMPUTED_VALUE"""),"HoaNTM")</f>
        <v>HoaNTM</v>
      </c>
      <c r="F218" s="265" t="str">
        <f>IFERROR(__xludf.DUMMYFUNCTION("""COMPUTED_VALUE"""),"Sale chưa cung cấp")</f>
        <v>Sale chưa cung cấp</v>
      </c>
      <c r="G218" s="265" t="str">
        <f>IFERROR(__xludf.DUMMYFUNCTION("""COMPUTED_VALUE"""),"MSG")</f>
        <v>MSG</v>
      </c>
      <c r="H218" s="265" t="str">
        <f>IFERROR(__xludf.DUMMYFUNCTION("""COMPUTED_VALUE"""),"(Chưa recheck)")</f>
        <v>(Chưa recheck)</v>
      </c>
      <c r="I218" s="265" t="str">
        <f>IFERROR(__xludf.DUMMYFUNCTION("""COMPUTED_VALUE"""),"(Chưa recheck)")</f>
        <v>(Chưa recheck)</v>
      </c>
      <c r="J218" s="265" t="str">
        <f>IFERROR(__xludf.DUMMYFUNCTION("""COMPUTED_VALUE"""),"(Chưa recheck)")</f>
        <v>(Chưa recheck)</v>
      </c>
    </row>
    <row r="219">
      <c r="A219" s="265" t="str">
        <f>IFERROR(__xludf.DUMMYFUNCTION("""COMPUTED_VALUE"""),"552")</f>
        <v>552</v>
      </c>
      <c r="B219" s="265" t="str">
        <f>IFERROR(__xludf.DUMMYFUNCTION("""COMPUTED_VALUE"""),"Sài Gòn")</f>
        <v>Sài Gòn</v>
      </c>
      <c r="C219" s="265" t="str">
        <f>IFERROR(__xludf.DUMMYFUNCTION("""COMPUTED_VALUE"""),"Locked")</f>
        <v>Locked</v>
      </c>
      <c r="D219" s="265" t="str">
        <f>IFERROR(__xludf.DUMMYFUNCTION("""COMPUTED_VALUE"""),"Sale chưa cung cấp")</f>
        <v>Sale chưa cung cấp</v>
      </c>
      <c r="E219" s="265" t="str">
        <f>IFERROR(__xludf.DUMMYFUNCTION("""COMPUTED_VALUE"""),"HoaNTM")</f>
        <v>HoaNTM</v>
      </c>
      <c r="F219" s="265" t="str">
        <f>IFERROR(__xludf.DUMMYFUNCTION("""COMPUTED_VALUE"""),"Gold")</f>
        <v>Gold</v>
      </c>
      <c r="G219" s="265" t="str">
        <f>IFERROR(__xludf.DUMMYFUNCTION("""COMPUTED_VALUE"""),"Enterprise")</f>
        <v>Enterprise</v>
      </c>
      <c r="H219" s="265" t="str">
        <f>IFERROR(__xludf.DUMMYFUNCTION("""COMPUTED_VALUE"""),"Trả sau")</f>
        <v>Trả sau</v>
      </c>
      <c r="I219" s="265" t="str">
        <f>IFERROR(__xludf.DUMMYFUNCTION("""COMPUTED_VALUE"""),"(Chưa recheck)")</f>
        <v>(Chưa recheck)</v>
      </c>
      <c r="J219" s="265" t="str">
        <f>IFERROR(__xludf.DUMMYFUNCTION("""COMPUTED_VALUE"""),"(Chưa recheck)")</f>
        <v>(Chưa recheck)</v>
      </c>
    </row>
    <row r="220">
      <c r="A220" s="265" t="str">
        <f>IFERROR(__xludf.DUMMYFUNCTION("""COMPUTED_VALUE"""),"553")</f>
        <v>553</v>
      </c>
      <c r="B220" s="265" t="str">
        <f>IFERROR(__xludf.DUMMYFUNCTION("""COMPUTED_VALUE"""),"Sài Gòn")</f>
        <v>Sài Gòn</v>
      </c>
      <c r="C220" s="265" t="str">
        <f>IFERROR(__xludf.DUMMYFUNCTION("""COMPUTED_VALUE"""),"Locked")</f>
        <v>Locked</v>
      </c>
      <c r="D220" s="265" t="str">
        <f>IFERROR(__xludf.DUMMYFUNCTION("""COMPUTED_VALUE"""),"Sale chưa cung cấp")</f>
        <v>Sale chưa cung cấp</v>
      </c>
      <c r="E220" s="265" t="str">
        <f>IFERROR(__xludf.DUMMYFUNCTION("""COMPUTED_VALUE"""),"HoaNTM")</f>
        <v>HoaNTM</v>
      </c>
      <c r="F220" s="265" t="str">
        <f>IFERROR(__xludf.DUMMYFUNCTION("""COMPUTED_VALUE"""),"Sale chưa cung cấp")</f>
        <v>Sale chưa cung cấp</v>
      </c>
      <c r="G220" s="265" t="str">
        <f>IFERROR(__xludf.DUMMYFUNCTION("""COMPUTED_VALUE"""),"Enterprise")</f>
        <v>Enterprise</v>
      </c>
      <c r="H220" s="265" t="str">
        <f>IFERROR(__xludf.DUMMYFUNCTION("""COMPUTED_VALUE"""),"(Chưa recheck)")</f>
        <v>(Chưa recheck)</v>
      </c>
      <c r="I220" s="265" t="str">
        <f>IFERROR(__xludf.DUMMYFUNCTION("""COMPUTED_VALUE"""),"(Chưa recheck)")</f>
        <v>(Chưa recheck)</v>
      </c>
      <c r="J220" s="265" t="str">
        <f>IFERROR(__xludf.DUMMYFUNCTION("""COMPUTED_VALUE"""),"AnhNM")</f>
        <v>AnhNM</v>
      </c>
    </row>
    <row r="221">
      <c r="A221" s="265" t="str">
        <f>IFERROR(__xludf.DUMMYFUNCTION("""COMPUTED_VALUE"""),"555")</f>
        <v>555</v>
      </c>
      <c r="B221" s="265" t="str">
        <f>IFERROR(__xludf.DUMMYFUNCTION("""COMPUTED_VALUE"""),"Sài Gòn")</f>
        <v>Sài Gòn</v>
      </c>
      <c r="C221" s="265" t="str">
        <f>IFERROR(__xludf.DUMMYFUNCTION("""COMPUTED_VALUE"""),"Locked")</f>
        <v>Locked</v>
      </c>
      <c r="D221" s="265" t="str">
        <f>IFERROR(__xludf.DUMMYFUNCTION("""COMPUTED_VALUE"""),"Sale chưa cung cấp")</f>
        <v>Sale chưa cung cấp</v>
      </c>
      <c r="E221" s="265" t="str">
        <f>IFERROR(__xludf.DUMMYFUNCTION("""COMPUTED_VALUE"""),"HoaNTM")</f>
        <v>HoaNTM</v>
      </c>
      <c r="F221" s="265" t="str">
        <f>IFERROR(__xludf.DUMMYFUNCTION("""COMPUTED_VALUE"""),"Sale chưa cung cấp")</f>
        <v>Sale chưa cung cấp</v>
      </c>
      <c r="G221" s="265" t="str">
        <f>IFERROR(__xludf.DUMMYFUNCTION("""COMPUTED_VALUE"""),"MSG")</f>
        <v>MSG</v>
      </c>
      <c r="H221" s="265" t="str">
        <f>IFERROR(__xludf.DUMMYFUNCTION("""COMPUTED_VALUE"""),"(Chưa recheck)")</f>
        <v>(Chưa recheck)</v>
      </c>
      <c r="I221" s="265" t="str">
        <f>IFERROR(__xludf.DUMMYFUNCTION("""COMPUTED_VALUE"""),"(Chưa recheck)")</f>
        <v>(Chưa recheck)</v>
      </c>
      <c r="J221" s="265" t="str">
        <f>IFERROR(__xludf.DUMMYFUNCTION("""COMPUTED_VALUE"""),"(Chưa recheck)")</f>
        <v>(Chưa recheck)</v>
      </c>
    </row>
    <row r="222">
      <c r="A222" s="265" t="str">
        <f>IFERROR(__xludf.DUMMYFUNCTION("""COMPUTED_VALUE"""),"503")</f>
        <v>503</v>
      </c>
      <c r="B222" s="265" t="str">
        <f>IFERROR(__xludf.DUMMYFUNCTION("""COMPUTED_VALUE"""),"Hà Nội")</f>
        <v>Hà Nội</v>
      </c>
      <c r="C222" s="265" t="str">
        <f>IFERROR(__xludf.DUMMYFUNCTION("""COMPUTED_VALUE"""),"Locked")</f>
        <v>Locked</v>
      </c>
      <c r="D222" s="265" t="str">
        <f>IFERROR(__xludf.DUMMYFUNCTION("""COMPUTED_VALUE"""),"Sale chưa cung cấp")</f>
        <v>Sale chưa cung cấp</v>
      </c>
      <c r="E222" s="265" t="str">
        <f>IFERROR(__xludf.DUMMYFUNCTION("""COMPUTED_VALUE"""),"NamDT")</f>
        <v>NamDT</v>
      </c>
      <c r="F222" s="265" t="str">
        <f>IFERROR(__xludf.DUMMYFUNCTION("""COMPUTED_VALUE"""),"Sale chưa cung cấp")</f>
        <v>Sale chưa cung cấp</v>
      </c>
      <c r="G222" s="265" t="str">
        <f>IFERROR(__xludf.DUMMYFUNCTION("""COMPUTED_VALUE"""),"MSG")</f>
        <v>MSG</v>
      </c>
      <c r="H222" s="265" t="str">
        <f>IFERROR(__xludf.DUMMYFUNCTION("""COMPUTED_VALUE"""),"(Chưa recheck)")</f>
        <v>(Chưa recheck)</v>
      </c>
      <c r="I222" s="265" t="str">
        <f>IFERROR(__xludf.DUMMYFUNCTION("""COMPUTED_VALUE"""),"(Chưa recheck)")</f>
        <v>(Chưa recheck)</v>
      </c>
      <c r="J222" s="265" t="str">
        <f>IFERROR(__xludf.DUMMYFUNCTION("""COMPUTED_VALUE"""),"(Chưa recheck)")</f>
        <v>(Chưa recheck)</v>
      </c>
    </row>
    <row r="223">
      <c r="A223" s="265" t="str">
        <f>IFERROR(__xludf.DUMMYFUNCTION("""COMPUTED_VALUE"""),"557")</f>
        <v>557</v>
      </c>
      <c r="B223" s="265" t="str">
        <f>IFERROR(__xludf.DUMMYFUNCTION("""COMPUTED_VALUE"""),"Hà Nội")</f>
        <v>Hà Nội</v>
      </c>
      <c r="C223" s="265" t="str">
        <f>IFERROR(__xludf.DUMMYFUNCTION("""COMPUTED_VALUE"""),"Active")</f>
        <v>Active</v>
      </c>
      <c r="D223" s="265" t="str">
        <f>IFERROR(__xludf.DUMMYFUNCTION("""COMPUTED_VALUE"""),"Sale chưa cung cấp")</f>
        <v>Sale chưa cung cấp</v>
      </c>
      <c r="E223" s="265" t="str">
        <f>IFERROR(__xludf.DUMMYFUNCTION("""COMPUTED_VALUE"""),"AnhNM")</f>
        <v>AnhNM</v>
      </c>
      <c r="F223" s="265" t="str">
        <f>IFERROR(__xludf.DUMMYFUNCTION("""COMPUTED_VALUE"""),"Bronze")</f>
        <v>Bronze</v>
      </c>
      <c r="G223" s="265" t="str">
        <f>IFERROR(__xludf.DUMMYFUNCTION("""COMPUTED_VALUE"""),"Starter")</f>
        <v>Starter</v>
      </c>
      <c r="H223" s="265" t="str">
        <f>IFERROR(__xludf.DUMMYFUNCTION("""COMPUTED_VALUE"""),"Trả sau")</f>
        <v>Trả sau</v>
      </c>
      <c r="I223" s="265" t="str">
        <f>IFERROR(__xludf.DUMMYFUNCTION("""COMPUTED_VALUE"""),"API")</f>
        <v>API</v>
      </c>
      <c r="J223" s="265" t="str">
        <f>IFERROR(__xludf.DUMMYFUNCTION("""COMPUTED_VALUE"""),"DungPL")</f>
        <v>DungPL</v>
      </c>
    </row>
    <row r="224">
      <c r="A224" s="265" t="str">
        <f>IFERROR(__xludf.DUMMYFUNCTION("""COMPUTED_VALUE"""),"556")</f>
        <v>556</v>
      </c>
      <c r="B224" s="265" t="str">
        <f>IFERROR(__xludf.DUMMYFUNCTION("""COMPUTED_VALUE"""),"Sài Gòn")</f>
        <v>Sài Gòn</v>
      </c>
      <c r="C224" s="265" t="str">
        <f>IFERROR(__xludf.DUMMYFUNCTION("""COMPUTED_VALUE"""),"Active")</f>
        <v>Active</v>
      </c>
      <c r="D224" s="265" t="str">
        <f>IFERROR(__xludf.DUMMYFUNCTION("""COMPUTED_VALUE"""),"Sale chưa cung cấp")</f>
        <v>Sale chưa cung cấp</v>
      </c>
      <c r="E224" s="265" t="str">
        <f>IFERROR(__xludf.DUMMYFUNCTION("""COMPUTED_VALUE"""),"TúPHN")</f>
        <v>TúPHN</v>
      </c>
      <c r="F224" s="265" t="str">
        <f>IFERROR(__xludf.DUMMYFUNCTION("""COMPUTED_VALUE"""),"Diamond")</f>
        <v>Diamond</v>
      </c>
      <c r="G224" s="265" t="str">
        <f>IFERROR(__xludf.DUMMYFUNCTION("""COMPUTED_VALUE"""),"Enterprise")</f>
        <v>Enterprise</v>
      </c>
      <c r="H224" s="265" t="str">
        <f>IFERROR(__xludf.DUMMYFUNCTION("""COMPUTED_VALUE"""),"Trả sau")</f>
        <v>Trả sau</v>
      </c>
      <c r="I224" s="265" t="str">
        <f>IFERROR(__xludf.DUMMYFUNCTION("""COMPUTED_VALUE"""),"Portal")</f>
        <v>Portal</v>
      </c>
      <c r="J224" s="265" t="str">
        <f>IFERROR(__xludf.DUMMYFUNCTION("""COMPUTED_VALUE"""),"LinhNTT1")</f>
        <v>LinhNTT1</v>
      </c>
    </row>
    <row r="225">
      <c r="A225" s="265" t="str">
        <f>IFERROR(__xludf.DUMMYFUNCTION("""COMPUTED_VALUE"""),"559")</f>
        <v>559</v>
      </c>
      <c r="B225" s="265" t="str">
        <f>IFERROR(__xludf.DUMMYFUNCTION("""COMPUTED_VALUE"""),"Hà Nội")</f>
        <v>Hà Nội</v>
      </c>
      <c r="C225" s="265" t="str">
        <f>IFERROR(__xludf.DUMMYFUNCTION("""COMPUTED_VALUE"""),"Active")</f>
        <v>Active</v>
      </c>
      <c r="D225" s="265" t="str">
        <f>IFERROR(__xludf.DUMMYFUNCTION("""COMPUTED_VALUE"""),"Sale chưa cung cấp")</f>
        <v>Sale chưa cung cấp</v>
      </c>
      <c r="E225" s="265" t="str">
        <f>IFERROR(__xludf.DUMMYFUNCTION("""COMPUTED_VALUE"""),"Không phân công")</f>
        <v>Không phân công</v>
      </c>
      <c r="F225" s="265" t="str">
        <f>IFERROR(__xludf.DUMMYFUNCTION("""COMPUTED_VALUE"""),"Bronze")</f>
        <v>Bronze</v>
      </c>
      <c r="G225" s="265" t="str">
        <f>IFERROR(__xludf.DUMMYFUNCTION("""COMPUTED_VALUE"""),"MSG")</f>
        <v>MSG</v>
      </c>
      <c r="H225" s="265" t="str">
        <f>IFERROR(__xludf.DUMMYFUNCTION("""COMPUTED_VALUE"""),"Trả sau")</f>
        <v>Trả sau</v>
      </c>
      <c r="I225" s="265" t="str">
        <f>IFERROR(__xludf.DUMMYFUNCTION("""COMPUTED_VALUE"""),"Portal")</f>
        <v>Portal</v>
      </c>
      <c r="J225" s="265" t="str">
        <f>IFERROR(__xludf.DUMMYFUNCTION("""COMPUTED_VALUE"""),"LinhNTT1")</f>
        <v>LinhNTT1</v>
      </c>
    </row>
    <row r="226">
      <c r="A226" s="265" t="str">
        <f>IFERROR(__xludf.DUMMYFUNCTION("""COMPUTED_VALUE"""),"560")</f>
        <v>560</v>
      </c>
      <c r="B226" s="265" t="str">
        <f>IFERROR(__xludf.DUMMYFUNCTION("""COMPUTED_VALUE"""),"Hà Nội")</f>
        <v>Hà Nội</v>
      </c>
      <c r="C226" s="265" t="str">
        <f>IFERROR(__xludf.DUMMYFUNCTION("""COMPUTED_VALUE"""),"Active")</f>
        <v>Active</v>
      </c>
      <c r="D226" s="265" t="str">
        <f>IFERROR(__xludf.DUMMYFUNCTION("""COMPUTED_VALUE"""),"Giáo dục &amp; Đào tạo")</f>
        <v>Giáo dục &amp; Đào tạo</v>
      </c>
      <c r="E226" s="265" t="str">
        <f>IFERROR(__xludf.DUMMYFUNCTION("""COMPUTED_VALUE"""),"Không phân công")</f>
        <v>Không phân công</v>
      </c>
      <c r="F226" s="265" t="str">
        <f>IFERROR(__xludf.DUMMYFUNCTION("""COMPUTED_VALUE"""),"Bronze")</f>
        <v>Bronze</v>
      </c>
      <c r="G226" s="265" t="str">
        <f>IFERROR(__xludf.DUMMYFUNCTION("""COMPUTED_VALUE"""),"Starter")</f>
        <v>Starter</v>
      </c>
      <c r="H226" s="265" t="str">
        <f>IFERROR(__xludf.DUMMYFUNCTION("""COMPUTED_VALUE"""),"Trả sau")</f>
        <v>Trả sau</v>
      </c>
      <c r="I226" s="265" t="str">
        <f>IFERROR(__xludf.DUMMYFUNCTION("""COMPUTED_VALUE"""),"API &amp; Portal")</f>
        <v>API &amp; Portal</v>
      </c>
      <c r="J226" s="265" t="str">
        <f>IFERROR(__xludf.DUMMYFUNCTION("""COMPUTED_VALUE"""),"DungPL")</f>
        <v>DungPL</v>
      </c>
    </row>
    <row r="227">
      <c r="A227" s="265" t="str">
        <f>IFERROR(__xludf.DUMMYFUNCTION("""COMPUTED_VALUE"""),"561")</f>
        <v>561</v>
      </c>
      <c r="B227" s="265" t="str">
        <f>IFERROR(__xludf.DUMMYFUNCTION("""COMPUTED_VALUE"""),"Hà Nội")</f>
        <v>Hà Nội</v>
      </c>
      <c r="C227" s="265" t="str">
        <f>IFERROR(__xludf.DUMMYFUNCTION("""COMPUTED_VALUE"""),"Locked")</f>
        <v>Locked</v>
      </c>
      <c r="D227" s="265" t="str">
        <f>IFERROR(__xludf.DUMMYFUNCTION("""COMPUTED_VALUE"""),"Sale chưa cung cấp")</f>
        <v>Sale chưa cung cấp</v>
      </c>
      <c r="E227" s="265" t="str">
        <f>IFERROR(__xludf.DUMMYFUNCTION("""COMPUTED_VALUE"""),"Không phân công")</f>
        <v>Không phân công</v>
      </c>
      <c r="F227" s="265" t="str">
        <f>IFERROR(__xludf.DUMMYFUNCTION("""COMPUTED_VALUE"""),"Bronze")</f>
        <v>Bronze</v>
      </c>
      <c r="G227" s="265" t="str">
        <f>IFERROR(__xludf.DUMMYFUNCTION("""COMPUTED_VALUE"""),"Starter")</f>
        <v>Starter</v>
      </c>
      <c r="H227" s="265" t="str">
        <f>IFERROR(__xludf.DUMMYFUNCTION("""COMPUTED_VALUE"""),"Trả sau")</f>
        <v>Trả sau</v>
      </c>
      <c r="I227" s="265" t="str">
        <f>IFERROR(__xludf.DUMMYFUNCTION("""COMPUTED_VALUE"""),"Portal")</f>
        <v>Portal</v>
      </c>
      <c r="J227" s="265" t="str">
        <f>IFERROR(__xludf.DUMMYFUNCTION("""COMPUTED_VALUE"""),"DungPL")</f>
        <v>DungPL</v>
      </c>
    </row>
    <row r="228">
      <c r="A228" s="265" t="str">
        <f>IFERROR(__xludf.DUMMYFUNCTION("""COMPUTED_VALUE"""),"564")</f>
        <v>564</v>
      </c>
      <c r="B228" s="265" t="str">
        <f>IFERROR(__xludf.DUMMYFUNCTION("""COMPUTED_VALUE"""),"Sài Gòn")</f>
        <v>Sài Gòn</v>
      </c>
      <c r="C228" s="265" t="str">
        <f>IFERROR(__xludf.DUMMYFUNCTION("""COMPUTED_VALUE"""),"Locked")</f>
        <v>Locked</v>
      </c>
      <c r="D228" s="265" t="str">
        <f>IFERROR(__xludf.DUMMYFUNCTION("""COMPUTED_VALUE"""),"Sale chưa cung cấp")</f>
        <v>Sale chưa cung cấp</v>
      </c>
      <c r="E228" s="265" t="str">
        <f>IFERROR(__xludf.DUMMYFUNCTION("""COMPUTED_VALUE"""),"HoaNTM")</f>
        <v>HoaNTM</v>
      </c>
      <c r="F228" s="265" t="str">
        <f>IFERROR(__xludf.DUMMYFUNCTION("""COMPUTED_VALUE"""),"Bronze")</f>
        <v>Bronze</v>
      </c>
      <c r="G228" s="265" t="str">
        <f>IFERROR(__xludf.DUMMYFUNCTION("""COMPUTED_VALUE"""),"Enterprise")</f>
        <v>Enterprise</v>
      </c>
      <c r="H228" s="265" t="str">
        <f>IFERROR(__xludf.DUMMYFUNCTION("""COMPUTED_VALUE"""),"(Chưa recheck)")</f>
        <v>(Chưa recheck)</v>
      </c>
      <c r="I228" s="265" t="str">
        <f>IFERROR(__xludf.DUMMYFUNCTION("""COMPUTED_VALUE"""),"(Chưa recheck)")</f>
        <v>(Chưa recheck)</v>
      </c>
      <c r="J228" s="265" t="str">
        <f>IFERROR(__xludf.DUMMYFUNCTION("""COMPUTED_VALUE"""),"AnhNM")</f>
        <v>AnhNM</v>
      </c>
    </row>
    <row r="229">
      <c r="A229" s="265" t="str">
        <f>IFERROR(__xludf.DUMMYFUNCTION("""COMPUTED_VALUE"""),"563")</f>
        <v>563</v>
      </c>
      <c r="B229" s="265" t="str">
        <f>IFERROR(__xludf.DUMMYFUNCTION("""COMPUTED_VALUE"""),"Hà Nội")</f>
        <v>Hà Nội</v>
      </c>
      <c r="C229" s="265" t="str">
        <f>IFERROR(__xludf.DUMMYFUNCTION("""COMPUTED_VALUE"""),"Locked")</f>
        <v>Locked</v>
      </c>
      <c r="D229" s="265" t="str">
        <f>IFERROR(__xludf.DUMMYFUNCTION("""COMPUTED_VALUE"""),"Sale chưa cung cấp")</f>
        <v>Sale chưa cung cấp</v>
      </c>
      <c r="E229" s="265" t="str">
        <f>IFERROR(__xludf.DUMMYFUNCTION("""COMPUTED_VALUE"""),"TùngLD")</f>
        <v>TùngLD</v>
      </c>
      <c r="F229" s="265" t="str">
        <f>IFERROR(__xludf.DUMMYFUNCTION("""COMPUTED_VALUE"""),"Sale chưa cung cấp")</f>
        <v>Sale chưa cung cấp</v>
      </c>
      <c r="G229" s="265" t="str">
        <f>IFERROR(__xludf.DUMMYFUNCTION("""COMPUTED_VALUE"""),"Enterprise")</f>
        <v>Enterprise</v>
      </c>
      <c r="H229" s="265" t="str">
        <f>IFERROR(__xludf.DUMMYFUNCTION("""COMPUTED_VALUE"""),"Trial")</f>
        <v>Trial</v>
      </c>
      <c r="I229" s="265" t="str">
        <f>IFERROR(__xludf.DUMMYFUNCTION("""COMPUTED_VALUE"""),"Portal")</f>
        <v>Portal</v>
      </c>
      <c r="J229" s="265" t="str">
        <f>IFERROR(__xludf.DUMMYFUNCTION("""COMPUTED_VALUE"""),"(Không recheck)")</f>
        <v>(Không recheck)</v>
      </c>
    </row>
    <row r="230">
      <c r="A230" s="265" t="str">
        <f>IFERROR(__xludf.DUMMYFUNCTION("""COMPUTED_VALUE"""),"562")</f>
        <v>562</v>
      </c>
      <c r="B230" s="265" t="str">
        <f>IFERROR(__xludf.DUMMYFUNCTION("""COMPUTED_VALUE"""),"Hà Nội")</f>
        <v>Hà Nội</v>
      </c>
      <c r="C230" s="265" t="str">
        <f>IFERROR(__xludf.DUMMYFUNCTION("""COMPUTED_VALUE"""),"Locked")</f>
        <v>Locked</v>
      </c>
      <c r="D230" s="265" t="str">
        <f>IFERROR(__xludf.DUMMYFUNCTION("""COMPUTED_VALUE"""),"Sale chưa cung cấp")</f>
        <v>Sale chưa cung cấp</v>
      </c>
      <c r="E230" s="265" t="str">
        <f>IFERROR(__xludf.DUMMYFUNCTION("""COMPUTED_VALUE"""),"HangNT")</f>
        <v>HangNT</v>
      </c>
      <c r="F230" s="265" t="str">
        <f>IFERROR(__xludf.DUMMYFUNCTION("""COMPUTED_VALUE"""),"Sale chưa cung cấp")</f>
        <v>Sale chưa cung cấp</v>
      </c>
      <c r="G230" s="265" t="str">
        <f>IFERROR(__xludf.DUMMYFUNCTION("""COMPUTED_VALUE"""),"MSG")</f>
        <v>MSG</v>
      </c>
      <c r="H230" s="265" t="str">
        <f>IFERROR(__xludf.DUMMYFUNCTION("""COMPUTED_VALUE"""),"(Chưa recheck)")</f>
        <v>(Chưa recheck)</v>
      </c>
      <c r="I230" s="265" t="str">
        <f>IFERROR(__xludf.DUMMYFUNCTION("""COMPUTED_VALUE"""),"(Chưa recheck)")</f>
        <v>(Chưa recheck)</v>
      </c>
      <c r="J230" s="265" t="str">
        <f>IFERROR(__xludf.DUMMYFUNCTION("""COMPUTED_VALUE"""),"(Chưa recheck)")</f>
        <v>(Chưa recheck)</v>
      </c>
    </row>
    <row r="231">
      <c r="A231" s="265" t="str">
        <f>IFERROR(__xludf.DUMMYFUNCTION("""COMPUTED_VALUE"""),"565")</f>
        <v>565</v>
      </c>
      <c r="B231" s="265" t="str">
        <f>IFERROR(__xludf.DUMMYFUNCTION("""COMPUTED_VALUE"""),"Hà Nội")</f>
        <v>Hà Nội</v>
      </c>
      <c r="C231" s="265" t="str">
        <f>IFERROR(__xludf.DUMMYFUNCTION("""COMPUTED_VALUE"""),"Locked")</f>
        <v>Locked</v>
      </c>
      <c r="D231" s="265" t="str">
        <f>IFERROR(__xludf.DUMMYFUNCTION("""COMPUTED_VALUE"""),"Sale chưa cung cấp")</f>
        <v>Sale chưa cung cấp</v>
      </c>
      <c r="E231" s="265" t="str">
        <f>IFERROR(__xludf.DUMMYFUNCTION("""COMPUTED_VALUE"""),"PhươngDTB")</f>
        <v>PhươngDTB</v>
      </c>
      <c r="F231" s="265" t="str">
        <f>IFERROR(__xludf.DUMMYFUNCTION("""COMPUTED_VALUE"""),"Silver")</f>
        <v>Silver</v>
      </c>
      <c r="G231" s="265" t="str">
        <f>IFERROR(__xludf.DUMMYFUNCTION("""COMPUTED_VALUE"""),"MSG")</f>
        <v>MSG</v>
      </c>
      <c r="H231" s="265" t="str">
        <f>IFERROR(__xludf.DUMMYFUNCTION("""COMPUTED_VALUE"""),"(Chưa recheck)")</f>
        <v>(Chưa recheck)</v>
      </c>
      <c r="I231" s="265" t="str">
        <f>IFERROR(__xludf.DUMMYFUNCTION("""COMPUTED_VALUE"""),"(Chưa recheck)")</f>
        <v>(Chưa recheck)</v>
      </c>
      <c r="J231" s="265" t="str">
        <f>IFERROR(__xludf.DUMMYFUNCTION("""COMPUTED_VALUE"""),"(Chưa recheck)")</f>
        <v>(Chưa recheck)</v>
      </c>
    </row>
    <row r="232">
      <c r="A232" s="265" t="str">
        <f>IFERROR(__xludf.DUMMYFUNCTION("""COMPUTED_VALUE"""),"566")</f>
        <v>566</v>
      </c>
      <c r="B232" s="265" t="str">
        <f>IFERROR(__xludf.DUMMYFUNCTION("""COMPUTED_VALUE"""),"Sài Gòn")</f>
        <v>Sài Gòn</v>
      </c>
      <c r="C232" s="265" t="str">
        <f>IFERROR(__xludf.DUMMYFUNCTION("""COMPUTED_VALUE"""),"Locked")</f>
        <v>Locked</v>
      </c>
      <c r="D232" s="265" t="str">
        <f>IFERROR(__xludf.DUMMYFUNCTION("""COMPUTED_VALUE"""),"Sale chưa cung cấp")</f>
        <v>Sale chưa cung cấp</v>
      </c>
      <c r="E232" s="265" t="str">
        <f>IFERROR(__xludf.DUMMYFUNCTION("""COMPUTED_VALUE"""),"HoaNTM")</f>
        <v>HoaNTM</v>
      </c>
      <c r="F232" s="265" t="str">
        <f>IFERROR(__xludf.DUMMYFUNCTION("""COMPUTED_VALUE"""),"Sale chưa cung cấp")</f>
        <v>Sale chưa cung cấp</v>
      </c>
      <c r="G232" s="265" t="str">
        <f>IFERROR(__xludf.DUMMYFUNCTION("""COMPUTED_VALUE"""),"Enterprise")</f>
        <v>Enterprise</v>
      </c>
      <c r="H232" s="265" t="str">
        <f>IFERROR(__xludf.DUMMYFUNCTION("""COMPUTED_VALUE"""),"(Chưa recheck)")</f>
        <v>(Chưa recheck)</v>
      </c>
      <c r="I232" s="265" t="str">
        <f>IFERROR(__xludf.DUMMYFUNCTION("""COMPUTED_VALUE"""),"(Chưa recheck)")</f>
        <v>(Chưa recheck)</v>
      </c>
      <c r="J232" s="265" t="str">
        <f>IFERROR(__xludf.DUMMYFUNCTION("""COMPUTED_VALUE"""),"(Chưa recheck)")</f>
        <v>(Chưa recheck)</v>
      </c>
    </row>
    <row r="233">
      <c r="A233" s="265" t="str">
        <f>IFERROR(__xludf.DUMMYFUNCTION("""COMPUTED_VALUE"""),"567")</f>
        <v>567</v>
      </c>
      <c r="B233" s="265" t="str">
        <f>IFERROR(__xludf.DUMMYFUNCTION("""COMPUTED_VALUE"""),"Hà Nội")</f>
        <v>Hà Nội</v>
      </c>
      <c r="C233" s="265" t="str">
        <f>IFERROR(__xludf.DUMMYFUNCTION("""COMPUTED_VALUE"""),"Locked")</f>
        <v>Locked</v>
      </c>
      <c r="D233" s="265" t="str">
        <f>IFERROR(__xludf.DUMMYFUNCTION("""COMPUTED_VALUE"""),"Sale chưa cung cấp")</f>
        <v>Sale chưa cung cấp</v>
      </c>
      <c r="E233" s="265" t="str">
        <f>IFERROR(__xludf.DUMMYFUNCTION("""COMPUTED_VALUE"""),"PhươngDTB")</f>
        <v>PhươngDTB</v>
      </c>
      <c r="F233" s="265" t="str">
        <f>IFERROR(__xludf.DUMMYFUNCTION("""COMPUTED_VALUE"""),"Sale chưa cung cấp")</f>
        <v>Sale chưa cung cấp</v>
      </c>
      <c r="G233" s="265" t="str">
        <f>IFERROR(__xludf.DUMMYFUNCTION("""COMPUTED_VALUE"""),"MSG")</f>
        <v>MSG</v>
      </c>
      <c r="H233" s="265" t="str">
        <f>IFERROR(__xludf.DUMMYFUNCTION("""COMPUTED_VALUE"""),"(Chưa recheck)")</f>
        <v>(Chưa recheck)</v>
      </c>
      <c r="I233" s="265" t="str">
        <f>IFERROR(__xludf.DUMMYFUNCTION("""COMPUTED_VALUE"""),"(Chưa recheck)")</f>
        <v>(Chưa recheck)</v>
      </c>
      <c r="J233" s="265" t="str">
        <f>IFERROR(__xludf.DUMMYFUNCTION("""COMPUTED_VALUE"""),"(Chưa recheck)")</f>
        <v>(Chưa recheck)</v>
      </c>
    </row>
    <row r="234">
      <c r="A234" s="265" t="str">
        <f>IFERROR(__xludf.DUMMYFUNCTION("""COMPUTED_VALUE"""),"568")</f>
        <v>568</v>
      </c>
      <c r="B234" s="265" t="str">
        <f>IFERROR(__xludf.DUMMYFUNCTION("""COMPUTED_VALUE"""),"Hà Nội")</f>
        <v>Hà Nội</v>
      </c>
      <c r="C234" s="265" t="str">
        <f>IFERROR(__xludf.DUMMYFUNCTION("""COMPUTED_VALUE"""),"Locked")</f>
        <v>Locked</v>
      </c>
      <c r="D234" s="265" t="str">
        <f>IFERROR(__xludf.DUMMYFUNCTION("""COMPUTED_VALUE"""),"Sale chưa cung cấp")</f>
        <v>Sale chưa cung cấp</v>
      </c>
      <c r="E234" s="265" t="str">
        <f>IFERROR(__xludf.DUMMYFUNCTION("""COMPUTED_VALUE"""),"PhươngDTB")</f>
        <v>PhươngDTB</v>
      </c>
      <c r="F234" s="265" t="str">
        <f>IFERROR(__xludf.DUMMYFUNCTION("""COMPUTED_VALUE"""),"Sale chưa cung cấp")</f>
        <v>Sale chưa cung cấp</v>
      </c>
      <c r="G234" s="265" t="str">
        <f>IFERROR(__xludf.DUMMYFUNCTION("""COMPUTED_VALUE"""),"MSG")</f>
        <v>MSG</v>
      </c>
      <c r="H234" s="265" t="str">
        <f>IFERROR(__xludf.DUMMYFUNCTION("""COMPUTED_VALUE"""),"(Chưa recheck)")</f>
        <v>(Chưa recheck)</v>
      </c>
      <c r="I234" s="265" t="str">
        <f>IFERROR(__xludf.DUMMYFUNCTION("""COMPUTED_VALUE"""),"(Chưa recheck)")</f>
        <v>(Chưa recheck)</v>
      </c>
      <c r="J234" s="265" t="str">
        <f>IFERROR(__xludf.DUMMYFUNCTION("""COMPUTED_VALUE"""),"AnhNM")</f>
        <v>AnhNM</v>
      </c>
    </row>
    <row r="235">
      <c r="A235" s="265" t="str">
        <f>IFERROR(__xludf.DUMMYFUNCTION("""COMPUTED_VALUE"""),"569")</f>
        <v>569</v>
      </c>
      <c r="B235" s="265" t="str">
        <f>IFERROR(__xludf.DUMMYFUNCTION("""COMPUTED_VALUE"""),"Sài Gòn")</f>
        <v>Sài Gòn</v>
      </c>
      <c r="C235" s="265" t="str">
        <f>IFERROR(__xludf.DUMMYFUNCTION("""COMPUTED_VALUE"""),"Locked")</f>
        <v>Locked</v>
      </c>
      <c r="D235" s="265" t="str">
        <f>IFERROR(__xludf.DUMMYFUNCTION("""COMPUTED_VALUE"""),"Sale chưa cung cấp")</f>
        <v>Sale chưa cung cấp</v>
      </c>
      <c r="E235" s="265" t="str">
        <f>IFERROR(__xludf.DUMMYFUNCTION("""COMPUTED_VALUE"""),"HoaNTM")</f>
        <v>HoaNTM</v>
      </c>
      <c r="F235" s="265" t="str">
        <f>IFERROR(__xludf.DUMMYFUNCTION("""COMPUTED_VALUE"""),"Sale chưa cung cấp")</f>
        <v>Sale chưa cung cấp</v>
      </c>
      <c r="G235" s="265" t="str">
        <f>IFERROR(__xludf.DUMMYFUNCTION("""COMPUTED_VALUE"""),"API")</f>
        <v>API</v>
      </c>
      <c r="H235" s="265" t="str">
        <f>IFERROR(__xludf.DUMMYFUNCTION("""COMPUTED_VALUE"""),"(Chưa recheck)")</f>
        <v>(Chưa recheck)</v>
      </c>
      <c r="I235" s="265" t="str">
        <f>IFERROR(__xludf.DUMMYFUNCTION("""COMPUTED_VALUE"""),"(Chưa recheck)")</f>
        <v>(Chưa recheck)</v>
      </c>
      <c r="J235" s="265" t="str">
        <f>IFERROR(__xludf.DUMMYFUNCTION("""COMPUTED_VALUE"""),"(Chưa recheck)")</f>
        <v>(Chưa recheck)</v>
      </c>
    </row>
    <row r="236">
      <c r="A236" s="265" t="str">
        <f>IFERROR(__xludf.DUMMYFUNCTION("""COMPUTED_VALUE"""),"574")</f>
        <v>574</v>
      </c>
      <c r="B236" s="265" t="str">
        <f>IFERROR(__xludf.DUMMYFUNCTION("""COMPUTED_VALUE"""),"Hà Nội")</f>
        <v>Hà Nội</v>
      </c>
      <c r="C236" s="265" t="str">
        <f>IFERROR(__xludf.DUMMYFUNCTION("""COMPUTED_VALUE"""),"Locked")</f>
        <v>Locked</v>
      </c>
      <c r="D236" s="265" t="str">
        <f>IFERROR(__xludf.DUMMYFUNCTION("""COMPUTED_VALUE"""),"Sale chưa cung cấp")</f>
        <v>Sale chưa cung cấp</v>
      </c>
      <c r="E236" s="265" t="str">
        <f>IFERROR(__xludf.DUMMYFUNCTION("""COMPUTED_VALUE"""),"TùngLD")</f>
        <v>TùngLD</v>
      </c>
      <c r="F236" s="265" t="str">
        <f>IFERROR(__xludf.DUMMYFUNCTION("""COMPUTED_VALUE"""),"Sale chưa cung cấp")</f>
        <v>Sale chưa cung cấp</v>
      </c>
      <c r="G236" s="265" t="str">
        <f>IFERROR(__xludf.DUMMYFUNCTION("""COMPUTED_VALUE"""),"MSG")</f>
        <v>MSG</v>
      </c>
      <c r="H236" s="265" t="str">
        <f>IFERROR(__xludf.DUMMYFUNCTION("""COMPUTED_VALUE"""),"Trả sau")</f>
        <v>Trả sau</v>
      </c>
      <c r="I236" s="265" t="str">
        <f>IFERROR(__xludf.DUMMYFUNCTION("""COMPUTED_VALUE"""),"Portal")</f>
        <v>Portal</v>
      </c>
      <c r="J236" s="265" t="str">
        <f>IFERROR(__xludf.DUMMYFUNCTION("""COMPUTED_VALUE"""),"AnhNM")</f>
        <v>AnhNM</v>
      </c>
    </row>
    <row r="237">
      <c r="A237" s="265" t="str">
        <f>IFERROR(__xludf.DUMMYFUNCTION("""COMPUTED_VALUE"""),"572")</f>
        <v>572</v>
      </c>
      <c r="B237" s="265" t="str">
        <f>IFERROR(__xludf.DUMMYFUNCTION("""COMPUTED_VALUE"""),"Hà Nội")</f>
        <v>Hà Nội</v>
      </c>
      <c r="C237" s="265" t="str">
        <f>IFERROR(__xludf.DUMMYFUNCTION("""COMPUTED_VALUE"""),"Active")</f>
        <v>Active</v>
      </c>
      <c r="D237" s="265" t="str">
        <f>IFERROR(__xludf.DUMMYFUNCTION("""COMPUTED_VALUE"""),"Trang sức")</f>
        <v>Trang sức</v>
      </c>
      <c r="E237" s="265" t="str">
        <f>IFERROR(__xludf.DUMMYFUNCTION("""COMPUTED_VALUE"""),"AnhNM")</f>
        <v>AnhNM</v>
      </c>
      <c r="F237" s="265" t="str">
        <f>IFERROR(__xludf.DUMMYFUNCTION("""COMPUTED_VALUE"""),"Gold")</f>
        <v>Gold</v>
      </c>
      <c r="G237" s="265" t="str">
        <f>IFERROR(__xludf.DUMMYFUNCTION("""COMPUTED_VALUE"""),"Starter")</f>
        <v>Starter</v>
      </c>
      <c r="H237" s="265" t="str">
        <f>IFERROR(__xludf.DUMMYFUNCTION("""COMPUTED_VALUE"""),"Trả sau")</f>
        <v>Trả sau</v>
      </c>
      <c r="I237" s="265" t="str">
        <f>IFERROR(__xludf.DUMMYFUNCTION("""COMPUTED_VALUE"""),"API &amp; Portal")</f>
        <v>API &amp; Portal</v>
      </c>
      <c r="J237" s="265" t="str">
        <f>IFERROR(__xludf.DUMMYFUNCTION("""COMPUTED_VALUE"""),"DungPL")</f>
        <v>DungPL</v>
      </c>
    </row>
    <row r="238">
      <c r="A238" s="265" t="str">
        <f>IFERROR(__xludf.DUMMYFUNCTION("""COMPUTED_VALUE"""),"572")</f>
        <v>572</v>
      </c>
      <c r="B238" s="265" t="str">
        <f>IFERROR(__xludf.DUMMYFUNCTION("""COMPUTED_VALUE"""),"Hà Nội")</f>
        <v>Hà Nội</v>
      </c>
      <c r="C238" s="265" t="str">
        <f>IFERROR(__xludf.DUMMYFUNCTION("""COMPUTED_VALUE"""),"Active")</f>
        <v>Active</v>
      </c>
      <c r="D238" s="265" t="str">
        <f>IFERROR(__xludf.DUMMYFUNCTION("""COMPUTED_VALUE"""),"Trang sức")</f>
        <v>Trang sức</v>
      </c>
      <c r="E238" s="265" t="str">
        <f>IFERROR(__xludf.DUMMYFUNCTION("""COMPUTED_VALUE"""),"AnhNM")</f>
        <v>AnhNM</v>
      </c>
      <c r="F238" s="265" t="str">
        <f>IFERROR(__xludf.DUMMYFUNCTION("""COMPUTED_VALUE"""),"Gold")</f>
        <v>Gold</v>
      </c>
      <c r="G238" s="265" t="str">
        <f>IFERROR(__xludf.DUMMYFUNCTION("""COMPUTED_VALUE"""),"Starter")</f>
        <v>Starter</v>
      </c>
      <c r="H238" s="265" t="str">
        <f>IFERROR(__xludf.DUMMYFUNCTION("""COMPUTED_VALUE"""),"Trả sau")</f>
        <v>Trả sau</v>
      </c>
      <c r="I238" s="265" t="str">
        <f>IFERROR(__xludf.DUMMYFUNCTION("""COMPUTED_VALUE"""),"API &amp; Portal")</f>
        <v>API &amp; Portal</v>
      </c>
      <c r="J238" s="265" t="str">
        <f>IFERROR(__xludf.DUMMYFUNCTION("""COMPUTED_VALUE"""),"DungVT")</f>
        <v>DungVT</v>
      </c>
    </row>
    <row r="239">
      <c r="A239" s="265" t="str">
        <f>IFERROR(__xludf.DUMMYFUNCTION("""COMPUTED_VALUE"""),"570")</f>
        <v>570</v>
      </c>
      <c r="B239" s="265" t="str">
        <f>IFERROR(__xludf.DUMMYFUNCTION("""COMPUTED_VALUE"""),"Sài Gòn")</f>
        <v>Sài Gòn</v>
      </c>
      <c r="C239" s="265" t="str">
        <f>IFERROR(__xludf.DUMMYFUNCTION("""COMPUTED_VALUE"""),"Locked")</f>
        <v>Locked</v>
      </c>
      <c r="D239" s="265" t="str">
        <f>IFERROR(__xludf.DUMMYFUNCTION("""COMPUTED_VALUE"""),"Sale chưa cung cấp")</f>
        <v>Sale chưa cung cấp</v>
      </c>
      <c r="E239" s="265" t="str">
        <f>IFERROR(__xludf.DUMMYFUNCTION("""COMPUTED_VALUE"""),"HoaNTM")</f>
        <v>HoaNTM</v>
      </c>
      <c r="F239" s="265" t="str">
        <f>IFERROR(__xludf.DUMMYFUNCTION("""COMPUTED_VALUE"""),"Sale chưa cung cấp")</f>
        <v>Sale chưa cung cấp</v>
      </c>
      <c r="G239" s="265" t="str">
        <f>IFERROR(__xludf.DUMMYFUNCTION("""COMPUTED_VALUE"""),"Enterprise")</f>
        <v>Enterprise</v>
      </c>
      <c r="H239" s="265" t="str">
        <f>IFERROR(__xludf.DUMMYFUNCTION("""COMPUTED_VALUE"""),"(Chưa recheck)")</f>
        <v>(Chưa recheck)</v>
      </c>
      <c r="I239" s="265" t="str">
        <f>IFERROR(__xludf.DUMMYFUNCTION("""COMPUTED_VALUE"""),"(Chưa recheck)")</f>
        <v>(Chưa recheck)</v>
      </c>
      <c r="J239" s="265" t="str">
        <f>IFERROR(__xludf.DUMMYFUNCTION("""COMPUTED_VALUE"""),"AnhNM")</f>
        <v>AnhNM</v>
      </c>
    </row>
    <row r="240">
      <c r="A240" s="265" t="str">
        <f>IFERROR(__xludf.DUMMYFUNCTION("""COMPUTED_VALUE"""),"571")</f>
        <v>571</v>
      </c>
      <c r="B240" s="265" t="str">
        <f>IFERROR(__xludf.DUMMYFUNCTION("""COMPUTED_VALUE"""),"Sài Gòn")</f>
        <v>Sài Gòn</v>
      </c>
      <c r="C240" s="265" t="str">
        <f>IFERROR(__xludf.DUMMYFUNCTION("""COMPUTED_VALUE"""),"Locked")</f>
        <v>Locked</v>
      </c>
      <c r="D240" s="265" t="str">
        <f>IFERROR(__xludf.DUMMYFUNCTION("""COMPUTED_VALUE"""),"Sale chưa cung cấp")</f>
        <v>Sale chưa cung cấp</v>
      </c>
      <c r="E240" s="265" t="str">
        <f>IFERROR(__xludf.DUMMYFUNCTION("""COMPUTED_VALUE"""),"HoaNTM")</f>
        <v>HoaNTM</v>
      </c>
      <c r="F240" s="265" t="str">
        <f>IFERROR(__xludf.DUMMYFUNCTION("""COMPUTED_VALUE"""),"Bronze")</f>
        <v>Bronze</v>
      </c>
      <c r="G240" s="265" t="str">
        <f>IFERROR(__xludf.DUMMYFUNCTION("""COMPUTED_VALUE"""),"Enterprise")</f>
        <v>Enterprise</v>
      </c>
      <c r="H240" s="265" t="str">
        <f>IFERROR(__xludf.DUMMYFUNCTION("""COMPUTED_VALUE"""),"(Chưa recheck)")</f>
        <v>(Chưa recheck)</v>
      </c>
      <c r="I240" s="265" t="str">
        <f>IFERROR(__xludf.DUMMYFUNCTION("""COMPUTED_VALUE"""),"(Chưa recheck)")</f>
        <v>(Chưa recheck)</v>
      </c>
      <c r="J240" s="265" t="str">
        <f>IFERROR(__xludf.DUMMYFUNCTION("""COMPUTED_VALUE"""),"(Chưa recheck)")</f>
        <v>(Chưa recheck)</v>
      </c>
    </row>
    <row r="241">
      <c r="A241" s="265" t="str">
        <f>IFERROR(__xludf.DUMMYFUNCTION("""COMPUTED_VALUE"""),"573")</f>
        <v>573</v>
      </c>
      <c r="B241" s="265" t="str">
        <f>IFERROR(__xludf.DUMMYFUNCTION("""COMPUTED_VALUE"""),"Hà Nội")</f>
        <v>Hà Nội</v>
      </c>
      <c r="C241" s="265" t="str">
        <f>IFERROR(__xludf.DUMMYFUNCTION("""COMPUTED_VALUE"""),"Locked")</f>
        <v>Locked</v>
      </c>
      <c r="D241" s="265" t="str">
        <f>IFERROR(__xludf.DUMMYFUNCTION("""COMPUTED_VALUE"""),"Sale chưa cung cấp")</f>
        <v>Sale chưa cung cấp</v>
      </c>
      <c r="E241" s="265" t="str">
        <f>IFERROR(__xludf.DUMMYFUNCTION("""COMPUTED_VALUE"""),"TùngLD")</f>
        <v>TùngLD</v>
      </c>
      <c r="F241" s="265" t="str">
        <f>IFERROR(__xludf.DUMMYFUNCTION("""COMPUTED_VALUE"""),"Sale chưa cung cấp")</f>
        <v>Sale chưa cung cấp</v>
      </c>
      <c r="G241" s="265" t="str">
        <f>IFERROR(__xludf.DUMMYFUNCTION("""COMPUTED_VALUE"""),"API")</f>
        <v>API</v>
      </c>
      <c r="H241" s="265" t="str">
        <f>IFERROR(__xludf.DUMMYFUNCTION("""COMPUTED_VALUE"""),"Trial")</f>
        <v>Trial</v>
      </c>
      <c r="I241" s="265" t="str">
        <f>IFERROR(__xludf.DUMMYFUNCTION("""COMPUTED_VALUE"""),"API")</f>
        <v>API</v>
      </c>
      <c r="J241" s="265" t="str">
        <f>IFERROR(__xludf.DUMMYFUNCTION("""COMPUTED_VALUE"""),"(Không recheck)")</f>
        <v>(Không recheck)</v>
      </c>
    </row>
    <row r="242">
      <c r="A242" s="265" t="str">
        <f>IFERROR(__xludf.DUMMYFUNCTION("""COMPUTED_VALUE"""),"575")</f>
        <v>575</v>
      </c>
      <c r="B242" s="265" t="str">
        <f>IFERROR(__xludf.DUMMYFUNCTION("""COMPUTED_VALUE"""),"Sài Gòn")</f>
        <v>Sài Gòn</v>
      </c>
      <c r="C242" s="265" t="str">
        <f>IFERROR(__xludf.DUMMYFUNCTION("""COMPUTED_VALUE"""),"Locked")</f>
        <v>Locked</v>
      </c>
      <c r="D242" s="265" t="str">
        <f>IFERROR(__xludf.DUMMYFUNCTION("""COMPUTED_VALUE"""),"Sale chưa cung cấp")</f>
        <v>Sale chưa cung cấp</v>
      </c>
      <c r="E242" s="265" t="str">
        <f>IFERROR(__xludf.DUMMYFUNCTION("""COMPUTED_VALUE"""),"HoaNTM")</f>
        <v>HoaNTM</v>
      </c>
      <c r="F242" s="265" t="str">
        <f>IFERROR(__xludf.DUMMYFUNCTION("""COMPUTED_VALUE"""),"Diamond")</f>
        <v>Diamond</v>
      </c>
      <c r="G242" s="265" t="str">
        <f>IFERROR(__xludf.DUMMYFUNCTION("""COMPUTED_VALUE"""),"MSG")</f>
        <v>MSG</v>
      </c>
      <c r="H242" s="265" t="str">
        <f>IFERROR(__xludf.DUMMYFUNCTION("""COMPUTED_VALUE"""),"Trả sau")</f>
        <v>Trả sau</v>
      </c>
      <c r="I242" s="265" t="str">
        <f>IFERROR(__xludf.DUMMYFUNCTION("""COMPUTED_VALUE"""),"(Chưa recheck)")</f>
        <v>(Chưa recheck)</v>
      </c>
      <c r="J242" s="265" t="str">
        <f>IFERROR(__xludf.DUMMYFUNCTION("""COMPUTED_VALUE"""),"(Chưa recheck)")</f>
        <v>(Chưa recheck)</v>
      </c>
    </row>
    <row r="243">
      <c r="A243" s="265" t="str">
        <f>IFERROR(__xludf.DUMMYFUNCTION("""COMPUTED_VALUE"""),"576")</f>
        <v>576</v>
      </c>
      <c r="B243" s="265" t="str">
        <f>IFERROR(__xludf.DUMMYFUNCTION("""COMPUTED_VALUE"""),"Sài Gòn")</f>
        <v>Sài Gòn</v>
      </c>
      <c r="C243" s="265" t="str">
        <f>IFERROR(__xludf.DUMMYFUNCTION("""COMPUTED_VALUE"""),"Active")</f>
        <v>Active</v>
      </c>
      <c r="D243" s="265" t="str">
        <f>IFERROR(__xludf.DUMMYFUNCTION("""COMPUTED_VALUE"""),"Sale chưa cung cấp")</f>
        <v>Sale chưa cung cấp</v>
      </c>
      <c r="E243" s="265" t="str">
        <f>IFERROR(__xludf.DUMMYFUNCTION("""COMPUTED_VALUE"""),"Không phân công")</f>
        <v>Không phân công</v>
      </c>
      <c r="F243" s="265" t="str">
        <f>IFERROR(__xludf.DUMMYFUNCTION("""COMPUTED_VALUE"""),"Gold")</f>
        <v>Gold</v>
      </c>
      <c r="G243" s="265" t="str">
        <f>IFERROR(__xludf.DUMMYFUNCTION("""COMPUTED_VALUE"""),"Starter")</f>
        <v>Starter</v>
      </c>
      <c r="H243" s="265" t="str">
        <f>IFERROR(__xludf.DUMMYFUNCTION("""COMPUTED_VALUE"""),"Trả sau")</f>
        <v>Trả sau</v>
      </c>
      <c r="I243" s="265" t="str">
        <f>IFERROR(__xludf.DUMMYFUNCTION("""COMPUTED_VALUE"""),"API")</f>
        <v>API</v>
      </c>
      <c r="J243" s="265" t="str">
        <f>IFERROR(__xludf.DUMMYFUNCTION("""COMPUTED_VALUE"""),"LinhNTT1")</f>
        <v>LinhNTT1</v>
      </c>
    </row>
    <row r="244">
      <c r="A244" s="265" t="str">
        <f>IFERROR(__xludf.DUMMYFUNCTION("""COMPUTED_VALUE"""),"577")</f>
        <v>577</v>
      </c>
      <c r="B244" s="265" t="str">
        <f>IFERROR(__xludf.DUMMYFUNCTION("""COMPUTED_VALUE"""),"Hà Nội")</f>
        <v>Hà Nội</v>
      </c>
      <c r="C244" s="265" t="str">
        <f>IFERROR(__xludf.DUMMYFUNCTION("""COMPUTED_VALUE"""),"Locked")</f>
        <v>Locked</v>
      </c>
      <c r="D244" s="265" t="str">
        <f>IFERROR(__xludf.DUMMYFUNCTION("""COMPUTED_VALUE"""),"Sale chưa cung cấp")</f>
        <v>Sale chưa cung cấp</v>
      </c>
      <c r="E244" s="265" t="str">
        <f>IFERROR(__xludf.DUMMYFUNCTION("""COMPUTED_VALUE"""),"HangNT")</f>
        <v>HangNT</v>
      </c>
      <c r="F244" s="265" t="str">
        <f>IFERROR(__xludf.DUMMYFUNCTION("""COMPUTED_VALUE"""),"Bronze")</f>
        <v>Bronze</v>
      </c>
      <c r="G244" s="265" t="str">
        <f>IFERROR(__xludf.DUMMYFUNCTION("""COMPUTED_VALUE"""),"Enterprise")</f>
        <v>Enterprise</v>
      </c>
      <c r="H244" s="265" t="str">
        <f>IFERROR(__xludf.DUMMYFUNCTION("""COMPUTED_VALUE"""),"(Chưa recheck)")</f>
        <v>(Chưa recheck)</v>
      </c>
      <c r="I244" s="265" t="str">
        <f>IFERROR(__xludf.DUMMYFUNCTION("""COMPUTED_VALUE"""),"(Chưa recheck)")</f>
        <v>(Chưa recheck)</v>
      </c>
      <c r="J244" s="265" t="str">
        <f>IFERROR(__xludf.DUMMYFUNCTION("""COMPUTED_VALUE"""),"(Chưa recheck)")</f>
        <v>(Chưa recheck)</v>
      </c>
    </row>
    <row r="245">
      <c r="A245" s="265" t="str">
        <f>IFERROR(__xludf.DUMMYFUNCTION("""COMPUTED_VALUE"""),"578")</f>
        <v>578</v>
      </c>
      <c r="B245" s="265" t="str">
        <f>IFERROR(__xludf.DUMMYFUNCTION("""COMPUTED_VALUE"""),"Sài Gòn")</f>
        <v>Sài Gòn</v>
      </c>
      <c r="C245" s="265" t="str">
        <f>IFERROR(__xludf.DUMMYFUNCTION("""COMPUTED_VALUE"""),"Locked")</f>
        <v>Locked</v>
      </c>
      <c r="D245" s="265" t="str">
        <f>IFERROR(__xludf.DUMMYFUNCTION("""COMPUTED_VALUE"""),"Sale chưa cung cấp")</f>
        <v>Sale chưa cung cấp</v>
      </c>
      <c r="E245" s="265" t="str">
        <f>IFERROR(__xludf.DUMMYFUNCTION("""COMPUTED_VALUE"""),"HoaNTM")</f>
        <v>HoaNTM</v>
      </c>
      <c r="F245" s="265" t="str">
        <f>IFERROR(__xludf.DUMMYFUNCTION("""COMPUTED_VALUE"""),"Sale chưa cung cấp")</f>
        <v>Sale chưa cung cấp</v>
      </c>
      <c r="G245" s="265" t="str">
        <f>IFERROR(__xludf.DUMMYFUNCTION("""COMPUTED_VALUE"""),"Enterprise")</f>
        <v>Enterprise</v>
      </c>
      <c r="H245" s="265" t="str">
        <f>IFERROR(__xludf.DUMMYFUNCTION("""COMPUTED_VALUE"""),"Trial")</f>
        <v>Trial</v>
      </c>
      <c r="I245" s="265" t="str">
        <f>IFERROR(__xludf.DUMMYFUNCTION("""COMPUTED_VALUE"""),"(Chưa recheck)")</f>
        <v>(Chưa recheck)</v>
      </c>
      <c r="J245" s="265" t="str">
        <f>IFERROR(__xludf.DUMMYFUNCTION("""COMPUTED_VALUE"""),"(Chưa recheck)")</f>
        <v>(Chưa recheck)</v>
      </c>
    </row>
    <row r="246">
      <c r="A246" s="265" t="str">
        <f>IFERROR(__xludf.DUMMYFUNCTION("""COMPUTED_VALUE"""),"682")</f>
        <v>682</v>
      </c>
      <c r="B246" s="265" t="str">
        <f>IFERROR(__xludf.DUMMYFUNCTION("""COMPUTED_VALUE"""),"Hà Nội")</f>
        <v>Hà Nội</v>
      </c>
      <c r="C246" s="265" t="str">
        <f>IFERROR(__xludf.DUMMYFUNCTION("""COMPUTED_VALUE"""),"Active")</f>
        <v>Active</v>
      </c>
      <c r="D246" s="265" t="str">
        <f>IFERROR(__xludf.DUMMYFUNCTION("""COMPUTED_VALUE"""),"Sale chưa cung cấp")</f>
        <v>Sale chưa cung cấp</v>
      </c>
      <c r="E246" s="265" t="str">
        <f>IFERROR(__xludf.DUMMYFUNCTION("""COMPUTED_VALUE"""),"Không phân công")</f>
        <v>Không phân công</v>
      </c>
      <c r="F246" s="265" t="str">
        <f>IFERROR(__xludf.DUMMYFUNCTION("""COMPUTED_VALUE"""),"Bronze")</f>
        <v>Bronze</v>
      </c>
      <c r="G246" s="265" t="str">
        <f>IFERROR(__xludf.DUMMYFUNCTION("""COMPUTED_VALUE"""),"MSG")</f>
        <v>MSG</v>
      </c>
      <c r="H246" s="265" t="str">
        <f>IFERROR(__xludf.DUMMYFUNCTION("""COMPUTED_VALUE"""),"Trả sau")</f>
        <v>Trả sau</v>
      </c>
      <c r="I246" s="265" t="str">
        <f>IFERROR(__xludf.DUMMYFUNCTION("""COMPUTED_VALUE"""),"Portal")</f>
        <v>Portal</v>
      </c>
      <c r="J246" s="265" t="str">
        <f>IFERROR(__xludf.DUMMYFUNCTION("""COMPUTED_VALUE"""),"LinhNTT1")</f>
        <v>LinhNTT1</v>
      </c>
    </row>
    <row r="247">
      <c r="A247" s="265" t="str">
        <f>IFERROR(__xludf.DUMMYFUNCTION("""COMPUTED_VALUE"""),"579")</f>
        <v>579</v>
      </c>
      <c r="B247" s="265" t="str">
        <f>IFERROR(__xludf.DUMMYFUNCTION("""COMPUTED_VALUE"""),"Sài Gòn")</f>
        <v>Sài Gòn</v>
      </c>
      <c r="C247" s="265" t="str">
        <f>IFERROR(__xludf.DUMMYFUNCTION("""COMPUTED_VALUE"""),"Locked")</f>
        <v>Locked</v>
      </c>
      <c r="D247" s="265" t="str">
        <f>IFERROR(__xludf.DUMMYFUNCTION("""COMPUTED_VALUE"""),"Sale chưa cung cấp")</f>
        <v>Sale chưa cung cấp</v>
      </c>
      <c r="E247" s="265" t="str">
        <f>IFERROR(__xludf.DUMMYFUNCTION("""COMPUTED_VALUE"""),"HoaNTM")</f>
        <v>HoaNTM</v>
      </c>
      <c r="F247" s="265" t="str">
        <f>IFERROR(__xludf.DUMMYFUNCTION("""COMPUTED_VALUE"""),"Diamond")</f>
        <v>Diamond</v>
      </c>
      <c r="G247" s="265" t="str">
        <f>IFERROR(__xludf.DUMMYFUNCTION("""COMPUTED_VALUE"""),"MSG")</f>
        <v>MSG</v>
      </c>
      <c r="H247" s="265" t="str">
        <f>IFERROR(__xludf.DUMMYFUNCTION("""COMPUTED_VALUE"""),"Trả sau")</f>
        <v>Trả sau</v>
      </c>
      <c r="I247" s="265" t="str">
        <f>IFERROR(__xludf.DUMMYFUNCTION("""COMPUTED_VALUE"""),"(Chưa recheck)")</f>
        <v>(Chưa recheck)</v>
      </c>
      <c r="J247" s="265" t="str">
        <f>IFERROR(__xludf.DUMMYFUNCTION("""COMPUTED_VALUE"""),"(Chưa recheck)")</f>
        <v>(Chưa recheck)</v>
      </c>
    </row>
    <row r="248">
      <c r="A248" s="265" t="str">
        <f>IFERROR(__xludf.DUMMYFUNCTION("""COMPUTED_VALUE"""),"580")</f>
        <v>580</v>
      </c>
      <c r="B248" s="265" t="str">
        <f>IFERROR(__xludf.DUMMYFUNCTION("""COMPUTED_VALUE"""),"Sài Gòn")</f>
        <v>Sài Gòn</v>
      </c>
      <c r="C248" s="265" t="str">
        <f>IFERROR(__xludf.DUMMYFUNCTION("""COMPUTED_VALUE"""),"Locked")</f>
        <v>Locked</v>
      </c>
      <c r="D248" s="265" t="str">
        <f>IFERROR(__xludf.DUMMYFUNCTION("""COMPUTED_VALUE"""),"Sale chưa cung cấp")</f>
        <v>Sale chưa cung cấp</v>
      </c>
      <c r="E248" s="265" t="str">
        <f>IFERROR(__xludf.DUMMYFUNCTION("""COMPUTED_VALUE"""),"HoaNTM")</f>
        <v>HoaNTM</v>
      </c>
      <c r="F248" s="265" t="str">
        <f>IFERROR(__xludf.DUMMYFUNCTION("""COMPUTED_VALUE"""),"Diamond")</f>
        <v>Diamond</v>
      </c>
      <c r="G248" s="265" t="str">
        <f>IFERROR(__xludf.DUMMYFUNCTION("""COMPUTED_VALUE"""),"MSG")</f>
        <v>MSG</v>
      </c>
      <c r="H248" s="265" t="str">
        <f>IFERROR(__xludf.DUMMYFUNCTION("""COMPUTED_VALUE"""),"Trả sau")</f>
        <v>Trả sau</v>
      </c>
      <c r="I248" s="265" t="str">
        <f>IFERROR(__xludf.DUMMYFUNCTION("""COMPUTED_VALUE"""),"(Chưa recheck)")</f>
        <v>(Chưa recheck)</v>
      </c>
      <c r="J248" s="265" t="str">
        <f>IFERROR(__xludf.DUMMYFUNCTION("""COMPUTED_VALUE"""),"(Chưa recheck)")</f>
        <v>(Chưa recheck)</v>
      </c>
    </row>
    <row r="249">
      <c r="A249" s="265" t="str">
        <f>IFERROR(__xludf.DUMMYFUNCTION("""COMPUTED_VALUE"""),"581")</f>
        <v>581</v>
      </c>
      <c r="B249" s="265" t="str">
        <f>IFERROR(__xludf.DUMMYFUNCTION("""COMPUTED_VALUE"""),"Sài Gòn")</f>
        <v>Sài Gòn</v>
      </c>
      <c r="C249" s="265" t="str">
        <f>IFERROR(__xludf.DUMMYFUNCTION("""COMPUTED_VALUE"""),"Locked")</f>
        <v>Locked</v>
      </c>
      <c r="D249" s="265" t="str">
        <f>IFERROR(__xludf.DUMMYFUNCTION("""COMPUTED_VALUE"""),"Sale chưa cung cấp")</f>
        <v>Sale chưa cung cấp</v>
      </c>
      <c r="E249" s="265" t="str">
        <f>IFERROR(__xludf.DUMMYFUNCTION("""COMPUTED_VALUE"""),"HoaNTM")</f>
        <v>HoaNTM</v>
      </c>
      <c r="F249" s="265" t="str">
        <f>IFERROR(__xludf.DUMMYFUNCTION("""COMPUTED_VALUE"""),"Diamond")</f>
        <v>Diamond</v>
      </c>
      <c r="G249" s="265" t="str">
        <f>IFERROR(__xludf.DUMMYFUNCTION("""COMPUTED_VALUE"""),"MSG")</f>
        <v>MSG</v>
      </c>
      <c r="H249" s="265" t="str">
        <f>IFERROR(__xludf.DUMMYFUNCTION("""COMPUTED_VALUE"""),"Trả sau")</f>
        <v>Trả sau</v>
      </c>
      <c r="I249" s="265" t="str">
        <f>IFERROR(__xludf.DUMMYFUNCTION("""COMPUTED_VALUE"""),"(Chưa recheck)")</f>
        <v>(Chưa recheck)</v>
      </c>
      <c r="J249" s="265" t="str">
        <f>IFERROR(__xludf.DUMMYFUNCTION("""COMPUTED_VALUE"""),"(Chưa recheck)")</f>
        <v>(Chưa recheck)</v>
      </c>
    </row>
    <row r="250">
      <c r="A250" s="265" t="str">
        <f>IFERROR(__xludf.DUMMYFUNCTION("""COMPUTED_VALUE"""),"582")</f>
        <v>582</v>
      </c>
      <c r="B250" s="265" t="str">
        <f>IFERROR(__xludf.DUMMYFUNCTION("""COMPUTED_VALUE"""),"Sài Gòn")</f>
        <v>Sài Gòn</v>
      </c>
      <c r="C250" s="265" t="str">
        <f>IFERROR(__xludf.DUMMYFUNCTION("""COMPUTED_VALUE"""),"Locked")</f>
        <v>Locked</v>
      </c>
      <c r="D250" s="265" t="str">
        <f>IFERROR(__xludf.DUMMYFUNCTION("""COMPUTED_VALUE"""),"Sale chưa cung cấp")</f>
        <v>Sale chưa cung cấp</v>
      </c>
      <c r="E250" s="265" t="str">
        <f>IFERROR(__xludf.DUMMYFUNCTION("""COMPUTED_VALUE"""),"HoaNTM")</f>
        <v>HoaNTM</v>
      </c>
      <c r="F250" s="265" t="str">
        <f>IFERROR(__xludf.DUMMYFUNCTION("""COMPUTED_VALUE"""),"Diamond")</f>
        <v>Diamond</v>
      </c>
      <c r="G250" s="265" t="str">
        <f>IFERROR(__xludf.DUMMYFUNCTION("""COMPUTED_VALUE"""),"MSG")</f>
        <v>MSG</v>
      </c>
      <c r="H250" s="265" t="str">
        <f>IFERROR(__xludf.DUMMYFUNCTION("""COMPUTED_VALUE"""),"Trả sau")</f>
        <v>Trả sau</v>
      </c>
      <c r="I250" s="265" t="str">
        <f>IFERROR(__xludf.DUMMYFUNCTION("""COMPUTED_VALUE"""),"(Chưa recheck)")</f>
        <v>(Chưa recheck)</v>
      </c>
      <c r="J250" s="265" t="str">
        <f>IFERROR(__xludf.DUMMYFUNCTION("""COMPUTED_VALUE"""),"(Chưa recheck)")</f>
        <v>(Chưa recheck)</v>
      </c>
    </row>
    <row r="251">
      <c r="A251" s="265" t="str">
        <f>IFERROR(__xludf.DUMMYFUNCTION("""COMPUTED_VALUE"""),"583")</f>
        <v>583</v>
      </c>
      <c r="B251" s="265" t="str">
        <f>IFERROR(__xludf.DUMMYFUNCTION("""COMPUTED_VALUE"""),"Sài Gòn")</f>
        <v>Sài Gòn</v>
      </c>
      <c r="C251" s="265" t="str">
        <f>IFERROR(__xludf.DUMMYFUNCTION("""COMPUTED_VALUE"""),"Locked")</f>
        <v>Locked</v>
      </c>
      <c r="D251" s="265" t="str">
        <f>IFERROR(__xludf.DUMMYFUNCTION("""COMPUTED_VALUE"""),"Sale chưa cung cấp")</f>
        <v>Sale chưa cung cấp</v>
      </c>
      <c r="E251" s="265" t="str">
        <f>IFERROR(__xludf.DUMMYFUNCTION("""COMPUTED_VALUE"""),"HoaNTM")</f>
        <v>HoaNTM</v>
      </c>
      <c r="F251" s="265" t="str">
        <f>IFERROR(__xludf.DUMMYFUNCTION("""COMPUTED_VALUE"""),"Diamond")</f>
        <v>Diamond</v>
      </c>
      <c r="G251" s="265" t="str">
        <f>IFERROR(__xludf.DUMMYFUNCTION("""COMPUTED_VALUE"""),"MSG")</f>
        <v>MSG</v>
      </c>
      <c r="H251" s="265" t="str">
        <f>IFERROR(__xludf.DUMMYFUNCTION("""COMPUTED_VALUE"""),"Trả sau")</f>
        <v>Trả sau</v>
      </c>
      <c r="I251" s="265" t="str">
        <f>IFERROR(__xludf.DUMMYFUNCTION("""COMPUTED_VALUE"""),"(Chưa recheck)")</f>
        <v>(Chưa recheck)</v>
      </c>
      <c r="J251" s="265" t="str">
        <f>IFERROR(__xludf.DUMMYFUNCTION("""COMPUTED_VALUE"""),"(Chưa recheck)")</f>
        <v>(Chưa recheck)</v>
      </c>
    </row>
    <row r="252">
      <c r="A252" s="265" t="str">
        <f>IFERROR(__xludf.DUMMYFUNCTION("""COMPUTED_VALUE"""),"584")</f>
        <v>584</v>
      </c>
      <c r="B252" s="265" t="str">
        <f>IFERROR(__xludf.DUMMYFUNCTION("""COMPUTED_VALUE"""),"Sài Gòn")</f>
        <v>Sài Gòn</v>
      </c>
      <c r="C252" s="265" t="str">
        <f>IFERROR(__xludf.DUMMYFUNCTION("""COMPUTED_VALUE"""),"Locked")</f>
        <v>Locked</v>
      </c>
      <c r="D252" s="265" t="str">
        <f>IFERROR(__xludf.DUMMYFUNCTION("""COMPUTED_VALUE"""),"Sale chưa cung cấp")</f>
        <v>Sale chưa cung cấp</v>
      </c>
      <c r="E252" s="265" t="str">
        <f>IFERROR(__xludf.DUMMYFUNCTION("""COMPUTED_VALUE"""),"HoaNTM")</f>
        <v>HoaNTM</v>
      </c>
      <c r="F252" s="265" t="str">
        <f>IFERROR(__xludf.DUMMYFUNCTION("""COMPUTED_VALUE"""),"Diamond")</f>
        <v>Diamond</v>
      </c>
      <c r="G252" s="265" t="str">
        <f>IFERROR(__xludf.DUMMYFUNCTION("""COMPUTED_VALUE"""),"MSG")</f>
        <v>MSG</v>
      </c>
      <c r="H252" s="265" t="str">
        <f>IFERROR(__xludf.DUMMYFUNCTION("""COMPUTED_VALUE"""),"Trả sau")</f>
        <v>Trả sau</v>
      </c>
      <c r="I252" s="265" t="str">
        <f>IFERROR(__xludf.DUMMYFUNCTION("""COMPUTED_VALUE"""),"(Chưa recheck)")</f>
        <v>(Chưa recheck)</v>
      </c>
      <c r="J252" s="265" t="str">
        <f>IFERROR(__xludf.DUMMYFUNCTION("""COMPUTED_VALUE"""),"(Chưa recheck)")</f>
        <v>(Chưa recheck)</v>
      </c>
    </row>
    <row r="253">
      <c r="A253" s="265" t="str">
        <f>IFERROR(__xludf.DUMMYFUNCTION("""COMPUTED_VALUE"""),"585")</f>
        <v>585</v>
      </c>
      <c r="B253" s="265" t="str">
        <f>IFERROR(__xludf.DUMMYFUNCTION("""COMPUTED_VALUE"""),"Hà Nội")</f>
        <v>Hà Nội</v>
      </c>
      <c r="C253" s="265" t="str">
        <f>IFERROR(__xludf.DUMMYFUNCTION("""COMPUTED_VALUE"""),"Active")</f>
        <v>Active</v>
      </c>
      <c r="D253" s="265" t="str">
        <f>IFERROR(__xludf.DUMMYFUNCTION("""COMPUTED_VALUE"""),"Sale chưa cung cấp")</f>
        <v>Sale chưa cung cấp</v>
      </c>
      <c r="E253" s="265" t="str">
        <f>IFERROR(__xludf.DUMMYFUNCTION("""COMPUTED_VALUE"""),"Không phân công")</f>
        <v>Không phân công</v>
      </c>
      <c r="F253" s="265" t="str">
        <f>IFERROR(__xludf.DUMMYFUNCTION("""COMPUTED_VALUE"""),"Bronze")</f>
        <v>Bronze</v>
      </c>
      <c r="G253" s="265" t="str">
        <f>IFERROR(__xludf.DUMMYFUNCTION("""COMPUTED_VALUE"""),"Starter")</f>
        <v>Starter</v>
      </c>
      <c r="H253" s="265" t="str">
        <f>IFERROR(__xludf.DUMMYFUNCTION("""COMPUTED_VALUE"""),"Trả sau")</f>
        <v>Trả sau</v>
      </c>
      <c r="I253" s="265" t="str">
        <f>IFERROR(__xludf.DUMMYFUNCTION("""COMPUTED_VALUE"""),"Portal")</f>
        <v>Portal</v>
      </c>
      <c r="J253" s="265" t="str">
        <f>IFERROR(__xludf.DUMMYFUNCTION("""COMPUTED_VALUE"""),"DungPL")</f>
        <v>DungPL</v>
      </c>
    </row>
    <row r="254">
      <c r="A254" s="265" t="str">
        <f>IFERROR(__xludf.DUMMYFUNCTION("""COMPUTED_VALUE"""),"586")</f>
        <v>586</v>
      </c>
      <c r="B254" s="265" t="str">
        <f>IFERROR(__xludf.DUMMYFUNCTION("""COMPUTED_VALUE"""),"Hà Nội")</f>
        <v>Hà Nội</v>
      </c>
      <c r="C254" s="265" t="str">
        <f>IFERROR(__xludf.DUMMYFUNCTION("""COMPUTED_VALUE"""),"Active")</f>
        <v>Active</v>
      </c>
      <c r="D254" s="265" t="str">
        <f>IFERROR(__xludf.DUMMYFUNCTION("""COMPUTED_VALUE"""),"Sale chưa cung cấp")</f>
        <v>Sale chưa cung cấp</v>
      </c>
      <c r="E254" s="265" t="str">
        <f>IFERROR(__xludf.DUMMYFUNCTION("""COMPUTED_VALUE"""),"TúPHN")</f>
        <v>TúPHN</v>
      </c>
      <c r="F254" s="265" t="str">
        <f>IFERROR(__xludf.DUMMYFUNCTION("""COMPUTED_VALUE"""),"Gold")</f>
        <v>Gold</v>
      </c>
      <c r="G254" s="265" t="str">
        <f>IFERROR(__xludf.DUMMYFUNCTION("""COMPUTED_VALUE"""),"Premium")</f>
        <v>Premium</v>
      </c>
      <c r="H254" s="265" t="str">
        <f>IFERROR(__xludf.DUMMYFUNCTION("""COMPUTED_VALUE"""),"Trả sau")</f>
        <v>Trả sau</v>
      </c>
      <c r="I254" s="265" t="str">
        <f>IFERROR(__xludf.DUMMYFUNCTION("""COMPUTED_VALUE"""),"Portal")</f>
        <v>Portal</v>
      </c>
      <c r="J254" s="265" t="str">
        <f>IFERROR(__xludf.DUMMYFUNCTION("""COMPUTED_VALUE"""),"DungPL")</f>
        <v>DungPL</v>
      </c>
    </row>
    <row r="255">
      <c r="A255" s="265" t="str">
        <f>IFERROR(__xludf.DUMMYFUNCTION("""COMPUTED_VALUE"""),"589")</f>
        <v>589</v>
      </c>
      <c r="B255" s="265" t="str">
        <f>IFERROR(__xludf.DUMMYFUNCTION("""COMPUTED_VALUE"""),"Hà Nội")</f>
        <v>Hà Nội</v>
      </c>
      <c r="C255" s="265" t="str">
        <f>IFERROR(__xludf.DUMMYFUNCTION("""COMPUTED_VALUE"""),"Active")</f>
        <v>Active</v>
      </c>
      <c r="D255" s="265" t="str">
        <f>IFERROR(__xludf.DUMMYFUNCTION("""COMPUTED_VALUE"""),"Sale chưa cung cấp")</f>
        <v>Sale chưa cung cấp</v>
      </c>
      <c r="E255" s="265" t="str">
        <f>IFERROR(__xludf.DUMMYFUNCTION("""COMPUTED_VALUE"""),"Không phân công")</f>
        <v>Không phân công</v>
      </c>
      <c r="F255" s="265" t="str">
        <f>IFERROR(__xludf.DUMMYFUNCTION("""COMPUTED_VALUE"""),"Bronze")</f>
        <v>Bronze</v>
      </c>
      <c r="G255" s="265" t="str">
        <f>IFERROR(__xludf.DUMMYFUNCTION("""COMPUTED_VALUE"""),"MSG")</f>
        <v>MSG</v>
      </c>
      <c r="H255" s="265" t="str">
        <f>IFERROR(__xludf.DUMMYFUNCTION("""COMPUTED_VALUE"""),"Trả sau")</f>
        <v>Trả sau</v>
      </c>
      <c r="I255" s="265" t="str">
        <f>IFERROR(__xludf.DUMMYFUNCTION("""COMPUTED_VALUE"""),"Portal")</f>
        <v>Portal</v>
      </c>
      <c r="J255" s="265" t="str">
        <f>IFERROR(__xludf.DUMMYFUNCTION("""COMPUTED_VALUE"""),"DungPL")</f>
        <v>DungPL</v>
      </c>
    </row>
    <row r="256">
      <c r="A256" s="265" t="str">
        <f>IFERROR(__xludf.DUMMYFUNCTION("""COMPUTED_VALUE"""),"587")</f>
        <v>587</v>
      </c>
      <c r="B256" s="265" t="str">
        <f>IFERROR(__xludf.DUMMYFUNCTION("""COMPUTED_VALUE"""),"Hà Nội")</f>
        <v>Hà Nội</v>
      </c>
      <c r="C256" s="265" t="str">
        <f>IFERROR(__xludf.DUMMYFUNCTION("""COMPUTED_VALUE"""),"Active")</f>
        <v>Active</v>
      </c>
      <c r="D256" s="265" t="str">
        <f>IFERROR(__xludf.DUMMYFUNCTION("""COMPUTED_VALUE"""),"Sale chưa cung cấp")</f>
        <v>Sale chưa cung cấp</v>
      </c>
      <c r="E256" s="265" t="str">
        <f>IFERROR(__xludf.DUMMYFUNCTION("""COMPUTED_VALUE"""),"Không phân công")</f>
        <v>Không phân công</v>
      </c>
      <c r="F256" s="265" t="str">
        <f>IFERROR(__xludf.DUMMYFUNCTION("""COMPUTED_VALUE"""),"Silver")</f>
        <v>Silver</v>
      </c>
      <c r="G256" s="265" t="str">
        <f>IFERROR(__xludf.DUMMYFUNCTION("""COMPUTED_VALUE"""),"Starter")</f>
        <v>Starter</v>
      </c>
      <c r="H256" s="265" t="str">
        <f>IFERROR(__xludf.DUMMYFUNCTION("""COMPUTED_VALUE"""),"Trả sau")</f>
        <v>Trả sau</v>
      </c>
      <c r="I256" s="265" t="str">
        <f>IFERROR(__xludf.DUMMYFUNCTION("""COMPUTED_VALUE"""),"Portal")</f>
        <v>Portal</v>
      </c>
      <c r="J256" s="265" t="str">
        <f>IFERROR(__xludf.DUMMYFUNCTION("""COMPUTED_VALUE"""),"DungPL")</f>
        <v>DungPL</v>
      </c>
    </row>
    <row r="257">
      <c r="A257" s="265" t="str">
        <f>IFERROR(__xludf.DUMMYFUNCTION("""COMPUTED_VALUE"""),"590")</f>
        <v>590</v>
      </c>
      <c r="B257" s="265" t="str">
        <f>IFERROR(__xludf.DUMMYFUNCTION("""COMPUTED_VALUE"""),"Hà Nội")</f>
        <v>Hà Nội</v>
      </c>
      <c r="C257" s="265" t="str">
        <f>IFERROR(__xludf.DUMMYFUNCTION("""COMPUTED_VALUE"""),"Active")</f>
        <v>Active</v>
      </c>
      <c r="D257" s="265" t="str">
        <f>IFERROR(__xludf.DUMMYFUNCTION("""COMPUTED_VALUE"""),"Sale chưa cung cấp")</f>
        <v>Sale chưa cung cấp</v>
      </c>
      <c r="E257" s="265" t="str">
        <f>IFERROR(__xludf.DUMMYFUNCTION("""COMPUTED_VALUE"""),"Không phân công")</f>
        <v>Không phân công</v>
      </c>
      <c r="F257" s="265" t="str">
        <f>IFERROR(__xludf.DUMMYFUNCTION("""COMPUTED_VALUE"""),"Bronze")</f>
        <v>Bronze</v>
      </c>
      <c r="G257" s="265" t="str">
        <f>IFERROR(__xludf.DUMMYFUNCTION("""COMPUTED_VALUE"""),"Starter")</f>
        <v>Starter</v>
      </c>
      <c r="H257" s="265" t="str">
        <f>IFERROR(__xludf.DUMMYFUNCTION("""COMPUTED_VALUE"""),"Trả sau")</f>
        <v>Trả sau</v>
      </c>
      <c r="I257" s="265" t="str">
        <f>IFERROR(__xludf.DUMMYFUNCTION("""COMPUTED_VALUE"""),"API &amp; Portal")</f>
        <v>API &amp; Portal</v>
      </c>
      <c r="J257" s="265" t="str">
        <f>IFERROR(__xludf.DUMMYFUNCTION("""COMPUTED_VALUE"""),"DungPL")</f>
        <v>DungPL</v>
      </c>
    </row>
    <row r="258">
      <c r="A258" s="265" t="str">
        <f>IFERROR(__xludf.DUMMYFUNCTION("""COMPUTED_VALUE"""),"588")</f>
        <v>588</v>
      </c>
      <c r="B258" s="265" t="str">
        <f>IFERROR(__xludf.DUMMYFUNCTION("""COMPUTED_VALUE"""),"Hà Nội")</f>
        <v>Hà Nội</v>
      </c>
      <c r="C258" s="265" t="str">
        <f>IFERROR(__xludf.DUMMYFUNCTION("""COMPUTED_VALUE"""),"Locked")</f>
        <v>Locked</v>
      </c>
      <c r="D258" s="265" t="str">
        <f>IFERROR(__xludf.DUMMYFUNCTION("""COMPUTED_VALUE"""),"Sale chưa cung cấp")</f>
        <v>Sale chưa cung cấp</v>
      </c>
      <c r="E258" s="265" t="str">
        <f>IFERROR(__xludf.DUMMYFUNCTION("""COMPUTED_VALUE"""),"HangNT")</f>
        <v>HangNT</v>
      </c>
      <c r="F258" s="265" t="str">
        <f>IFERROR(__xludf.DUMMYFUNCTION("""COMPUTED_VALUE"""),"Silver")</f>
        <v>Silver</v>
      </c>
      <c r="G258" s="265" t="str">
        <f>IFERROR(__xludf.DUMMYFUNCTION("""COMPUTED_VALUE"""),"MSG")</f>
        <v>MSG</v>
      </c>
      <c r="H258" s="265" t="str">
        <f>IFERROR(__xludf.DUMMYFUNCTION("""COMPUTED_VALUE"""),"(Chưa recheck)")</f>
        <v>(Chưa recheck)</v>
      </c>
      <c r="I258" s="265" t="str">
        <f>IFERROR(__xludf.DUMMYFUNCTION("""COMPUTED_VALUE"""),"(Chưa recheck)")</f>
        <v>(Chưa recheck)</v>
      </c>
      <c r="J258" s="265" t="str">
        <f>IFERROR(__xludf.DUMMYFUNCTION("""COMPUTED_VALUE"""),"(Chưa recheck)")</f>
        <v>(Chưa recheck)</v>
      </c>
    </row>
    <row r="259">
      <c r="A259" s="265" t="str">
        <f>IFERROR(__xludf.DUMMYFUNCTION("""COMPUTED_VALUE"""),"591")</f>
        <v>591</v>
      </c>
      <c r="B259" s="265" t="str">
        <f>IFERROR(__xludf.DUMMYFUNCTION("""COMPUTED_VALUE"""),"Hà Nội")</f>
        <v>Hà Nội</v>
      </c>
      <c r="C259" s="265" t="str">
        <f>IFERROR(__xludf.DUMMYFUNCTION("""COMPUTED_VALUE"""),"Locked")</f>
        <v>Locked</v>
      </c>
      <c r="D259" s="265" t="str">
        <f>IFERROR(__xludf.DUMMYFUNCTION("""COMPUTED_VALUE"""),"Sale chưa cung cấp")</f>
        <v>Sale chưa cung cấp</v>
      </c>
      <c r="E259" s="265" t="str">
        <f>IFERROR(__xludf.DUMMYFUNCTION("""COMPUTED_VALUE"""),"TùngLD")</f>
        <v>TùngLD</v>
      </c>
      <c r="F259" s="265" t="str">
        <f>IFERROR(__xludf.DUMMYFUNCTION("""COMPUTED_VALUE"""),"Sale chưa cung cấp")</f>
        <v>Sale chưa cung cấp</v>
      </c>
      <c r="G259" s="265" t="str">
        <f>IFERROR(__xludf.DUMMYFUNCTION("""COMPUTED_VALUE"""),"MSG")</f>
        <v>MSG</v>
      </c>
      <c r="H259" s="265" t="str">
        <f>IFERROR(__xludf.DUMMYFUNCTION("""COMPUTED_VALUE"""),"(Chưa recheck)")</f>
        <v>(Chưa recheck)</v>
      </c>
      <c r="I259" s="265" t="str">
        <f>IFERROR(__xludf.DUMMYFUNCTION("""COMPUTED_VALUE"""),"API &amp; Portal")</f>
        <v>API &amp; Portal</v>
      </c>
      <c r="J259" s="265" t="str">
        <f>IFERROR(__xludf.DUMMYFUNCTION("""COMPUTED_VALUE"""),"(Chưa recheck)")</f>
        <v>(Chưa recheck)</v>
      </c>
    </row>
    <row r="260">
      <c r="A260" s="265" t="str">
        <f>IFERROR(__xludf.DUMMYFUNCTION("""COMPUTED_VALUE"""),"593")</f>
        <v>593</v>
      </c>
      <c r="B260" s="265" t="str">
        <f>IFERROR(__xludf.DUMMYFUNCTION("""COMPUTED_VALUE"""),"Sài Gòn")</f>
        <v>Sài Gòn</v>
      </c>
      <c r="C260" s="265" t="str">
        <f>IFERROR(__xludf.DUMMYFUNCTION("""COMPUTED_VALUE"""),"Locked")</f>
        <v>Locked</v>
      </c>
      <c r="D260" s="265" t="str">
        <f>IFERROR(__xludf.DUMMYFUNCTION("""COMPUTED_VALUE"""),"Sale chưa cung cấp")</f>
        <v>Sale chưa cung cấp</v>
      </c>
      <c r="E260" s="265" t="str">
        <f>IFERROR(__xludf.DUMMYFUNCTION("""COMPUTED_VALUE"""),"HoaNTM")</f>
        <v>HoaNTM</v>
      </c>
      <c r="F260" s="265" t="str">
        <f>IFERROR(__xludf.DUMMYFUNCTION("""COMPUTED_VALUE"""),"Diamond")</f>
        <v>Diamond</v>
      </c>
      <c r="G260" s="265" t="str">
        <f>IFERROR(__xludf.DUMMYFUNCTION("""COMPUTED_VALUE"""),"MSG")</f>
        <v>MSG</v>
      </c>
      <c r="H260" s="265" t="str">
        <f>IFERROR(__xludf.DUMMYFUNCTION("""COMPUTED_VALUE"""),"Trả sau")</f>
        <v>Trả sau</v>
      </c>
      <c r="I260" s="265" t="str">
        <f>IFERROR(__xludf.DUMMYFUNCTION("""COMPUTED_VALUE"""),"(Chưa recheck)")</f>
        <v>(Chưa recheck)</v>
      </c>
      <c r="J260" s="265" t="str">
        <f>IFERROR(__xludf.DUMMYFUNCTION("""COMPUTED_VALUE"""),"(Chưa recheck)")</f>
        <v>(Chưa recheck)</v>
      </c>
    </row>
    <row r="261">
      <c r="A261" s="265" t="str">
        <f>IFERROR(__xludf.DUMMYFUNCTION("""COMPUTED_VALUE"""),"592")</f>
        <v>592</v>
      </c>
      <c r="B261" s="265" t="str">
        <f>IFERROR(__xludf.DUMMYFUNCTION("""COMPUTED_VALUE"""),"Sài Gòn")</f>
        <v>Sài Gòn</v>
      </c>
      <c r="C261" s="265" t="str">
        <f>IFERROR(__xludf.DUMMYFUNCTION("""COMPUTED_VALUE"""),"Locked")</f>
        <v>Locked</v>
      </c>
      <c r="D261" s="265" t="str">
        <f>IFERROR(__xludf.DUMMYFUNCTION("""COMPUTED_VALUE"""),"Sale chưa cung cấp")</f>
        <v>Sale chưa cung cấp</v>
      </c>
      <c r="E261" s="265" t="str">
        <f>IFERROR(__xludf.DUMMYFUNCTION("""COMPUTED_VALUE"""),"HoaNTM")</f>
        <v>HoaNTM</v>
      </c>
      <c r="F261" s="265" t="str">
        <f>IFERROR(__xludf.DUMMYFUNCTION("""COMPUTED_VALUE"""),"Sale chưa cung cấp")</f>
        <v>Sale chưa cung cấp</v>
      </c>
      <c r="G261" s="265" t="str">
        <f>IFERROR(__xludf.DUMMYFUNCTION("""COMPUTED_VALUE"""),"Enterprise")</f>
        <v>Enterprise</v>
      </c>
      <c r="H261" s="265" t="str">
        <f>IFERROR(__xludf.DUMMYFUNCTION("""COMPUTED_VALUE"""),"Trial")</f>
        <v>Trial</v>
      </c>
      <c r="I261" s="265" t="str">
        <f>IFERROR(__xludf.DUMMYFUNCTION("""COMPUTED_VALUE"""),"(Không recheck)")</f>
        <v>(Không recheck)</v>
      </c>
      <c r="J261" s="265" t="str">
        <f>IFERROR(__xludf.DUMMYFUNCTION("""COMPUTED_VALUE"""),"(Không recheck)")</f>
        <v>(Không recheck)</v>
      </c>
    </row>
    <row r="262">
      <c r="A262" s="265" t="str">
        <f>IFERROR(__xludf.DUMMYFUNCTION("""COMPUTED_VALUE"""),"594")</f>
        <v>594</v>
      </c>
      <c r="B262" s="265" t="str">
        <f>IFERROR(__xludf.DUMMYFUNCTION("""COMPUTED_VALUE"""),"Sài Gòn")</f>
        <v>Sài Gòn</v>
      </c>
      <c r="C262" s="265" t="str">
        <f>IFERROR(__xludf.DUMMYFUNCTION("""COMPUTED_VALUE"""),"Locked")</f>
        <v>Locked</v>
      </c>
      <c r="D262" s="265" t="str">
        <f>IFERROR(__xludf.DUMMYFUNCTION("""COMPUTED_VALUE"""),"Sale chưa cung cấp")</f>
        <v>Sale chưa cung cấp</v>
      </c>
      <c r="E262" s="265" t="str">
        <f>IFERROR(__xludf.DUMMYFUNCTION("""COMPUTED_VALUE"""),"HoaNTM")</f>
        <v>HoaNTM</v>
      </c>
      <c r="F262" s="265" t="str">
        <f>IFERROR(__xludf.DUMMYFUNCTION("""COMPUTED_VALUE"""),"Silver")</f>
        <v>Silver</v>
      </c>
      <c r="G262" s="265" t="str">
        <f>IFERROR(__xludf.DUMMYFUNCTION("""COMPUTED_VALUE"""),"Enterprise")</f>
        <v>Enterprise</v>
      </c>
      <c r="H262" s="265" t="str">
        <f>IFERROR(__xludf.DUMMYFUNCTION("""COMPUTED_VALUE"""),"(Chưa recheck)")</f>
        <v>(Chưa recheck)</v>
      </c>
      <c r="I262" s="265" t="str">
        <f>IFERROR(__xludf.DUMMYFUNCTION("""COMPUTED_VALUE"""),"(Chưa recheck)")</f>
        <v>(Chưa recheck)</v>
      </c>
      <c r="J262" s="265" t="str">
        <f>IFERROR(__xludf.DUMMYFUNCTION("""COMPUTED_VALUE"""),"AnhNM")</f>
        <v>AnhNM</v>
      </c>
    </row>
    <row r="263">
      <c r="A263" s="265" t="str">
        <f>IFERROR(__xludf.DUMMYFUNCTION("""COMPUTED_VALUE"""),"595")</f>
        <v>595</v>
      </c>
      <c r="B263" s="265" t="str">
        <f>IFERROR(__xludf.DUMMYFUNCTION("""COMPUTED_VALUE"""),"Sài Gòn")</f>
        <v>Sài Gòn</v>
      </c>
      <c r="C263" s="265" t="str">
        <f>IFERROR(__xludf.DUMMYFUNCTION("""COMPUTED_VALUE"""),"Locked")</f>
        <v>Locked</v>
      </c>
      <c r="D263" s="265" t="str">
        <f>IFERROR(__xludf.DUMMYFUNCTION("""COMPUTED_VALUE"""),"Sale chưa cung cấp")</f>
        <v>Sale chưa cung cấp</v>
      </c>
      <c r="E263" s="265" t="str">
        <f>IFERROR(__xludf.DUMMYFUNCTION("""COMPUTED_VALUE"""),"HoaNTM")</f>
        <v>HoaNTM</v>
      </c>
      <c r="F263" s="265" t="str">
        <f>IFERROR(__xludf.DUMMYFUNCTION("""COMPUTED_VALUE"""),"Bronze")</f>
        <v>Bronze</v>
      </c>
      <c r="G263" s="265" t="str">
        <f>IFERROR(__xludf.DUMMYFUNCTION("""COMPUTED_VALUE"""),"Enterprise")</f>
        <v>Enterprise</v>
      </c>
      <c r="H263" s="265" t="str">
        <f>IFERROR(__xludf.DUMMYFUNCTION("""COMPUTED_VALUE"""),"(Chưa recheck)")</f>
        <v>(Chưa recheck)</v>
      </c>
      <c r="I263" s="265" t="str">
        <f>IFERROR(__xludf.DUMMYFUNCTION("""COMPUTED_VALUE"""),"(Chưa recheck)")</f>
        <v>(Chưa recheck)</v>
      </c>
      <c r="J263" s="265" t="str">
        <f>IFERROR(__xludf.DUMMYFUNCTION("""COMPUTED_VALUE"""),"AnhNM")</f>
        <v>AnhNM</v>
      </c>
    </row>
    <row r="264">
      <c r="A264" s="265" t="str">
        <f>IFERROR(__xludf.DUMMYFUNCTION("""COMPUTED_VALUE"""),"596")</f>
        <v>596</v>
      </c>
      <c r="B264" s="265" t="str">
        <f>IFERROR(__xludf.DUMMYFUNCTION("""COMPUTED_VALUE"""),"Hà Nội")</f>
        <v>Hà Nội</v>
      </c>
      <c r="C264" s="265" t="str">
        <f>IFERROR(__xludf.DUMMYFUNCTION("""COMPUTED_VALUE"""),"Locked")</f>
        <v>Locked</v>
      </c>
      <c r="D264" s="265" t="str">
        <f>IFERROR(__xludf.DUMMYFUNCTION("""COMPUTED_VALUE"""),"Sale chưa cung cấp")</f>
        <v>Sale chưa cung cấp</v>
      </c>
      <c r="E264" s="265" t="str">
        <f>IFERROR(__xludf.DUMMYFUNCTION("""COMPUTED_VALUE"""),"PhươngDTB")</f>
        <v>PhươngDTB</v>
      </c>
      <c r="F264" s="265" t="str">
        <f>IFERROR(__xludf.DUMMYFUNCTION("""COMPUTED_VALUE"""),"Bronze")</f>
        <v>Bronze</v>
      </c>
      <c r="G264" s="265" t="str">
        <f>IFERROR(__xludf.DUMMYFUNCTION("""COMPUTED_VALUE"""),"Enterprise")</f>
        <v>Enterprise</v>
      </c>
      <c r="H264" s="265" t="str">
        <f>IFERROR(__xludf.DUMMYFUNCTION("""COMPUTED_VALUE"""),"(Chưa recheck)")</f>
        <v>(Chưa recheck)</v>
      </c>
      <c r="I264" s="265" t="str">
        <f>IFERROR(__xludf.DUMMYFUNCTION("""COMPUTED_VALUE"""),"(Chưa recheck)")</f>
        <v>(Chưa recheck)</v>
      </c>
      <c r="J264" s="265" t="str">
        <f>IFERROR(__xludf.DUMMYFUNCTION("""COMPUTED_VALUE"""),"(Chưa recheck)")</f>
        <v>(Chưa recheck)</v>
      </c>
    </row>
    <row r="265">
      <c r="A265" s="265" t="str">
        <f>IFERROR(__xludf.DUMMYFUNCTION("""COMPUTED_VALUE"""),"598")</f>
        <v>598</v>
      </c>
      <c r="B265" s="265" t="str">
        <f>IFERROR(__xludf.DUMMYFUNCTION("""COMPUTED_VALUE"""),"Sài Gòn")</f>
        <v>Sài Gòn</v>
      </c>
      <c r="C265" s="265" t="str">
        <f>IFERROR(__xludf.DUMMYFUNCTION("""COMPUTED_VALUE"""),"Locked")</f>
        <v>Locked</v>
      </c>
      <c r="D265" s="265" t="str">
        <f>IFERROR(__xludf.DUMMYFUNCTION("""COMPUTED_VALUE"""),"Sale chưa cung cấp")</f>
        <v>Sale chưa cung cấp</v>
      </c>
      <c r="E265" s="265" t="str">
        <f>IFERROR(__xludf.DUMMYFUNCTION("""COMPUTED_VALUE"""),"HoaNTM")</f>
        <v>HoaNTM</v>
      </c>
      <c r="F265" s="265" t="str">
        <f>IFERROR(__xludf.DUMMYFUNCTION("""COMPUTED_VALUE"""),"Silver")</f>
        <v>Silver</v>
      </c>
      <c r="G265" s="265" t="str">
        <f>IFERROR(__xludf.DUMMYFUNCTION("""COMPUTED_VALUE"""),"MSG")</f>
        <v>MSG</v>
      </c>
      <c r="H265" s="265" t="str">
        <f>IFERROR(__xludf.DUMMYFUNCTION("""COMPUTED_VALUE"""),"(Chưa recheck)")</f>
        <v>(Chưa recheck)</v>
      </c>
      <c r="I265" s="265" t="str">
        <f>IFERROR(__xludf.DUMMYFUNCTION("""COMPUTED_VALUE"""),"(Chưa recheck)")</f>
        <v>(Chưa recheck)</v>
      </c>
      <c r="J265" s="265" t="str">
        <f>IFERROR(__xludf.DUMMYFUNCTION("""COMPUTED_VALUE"""),"(Chưa recheck)")</f>
        <v>(Chưa recheck)</v>
      </c>
    </row>
    <row r="266">
      <c r="A266" s="265" t="str">
        <f>IFERROR(__xludf.DUMMYFUNCTION("""COMPUTED_VALUE"""),"600")</f>
        <v>600</v>
      </c>
      <c r="B266" s="265" t="str">
        <f>IFERROR(__xludf.DUMMYFUNCTION("""COMPUTED_VALUE"""),"Sài Gòn")</f>
        <v>Sài Gòn</v>
      </c>
      <c r="C266" s="265" t="str">
        <f>IFERROR(__xludf.DUMMYFUNCTION("""COMPUTED_VALUE"""),"Locked")</f>
        <v>Locked</v>
      </c>
      <c r="D266" s="265" t="str">
        <f>IFERROR(__xludf.DUMMYFUNCTION("""COMPUTED_VALUE"""),"Sale chưa cung cấp")</f>
        <v>Sale chưa cung cấp</v>
      </c>
      <c r="E266" s="265" t="str">
        <f>IFERROR(__xludf.DUMMYFUNCTION("""COMPUTED_VALUE"""),"HoaNTM")</f>
        <v>HoaNTM</v>
      </c>
      <c r="F266" s="265" t="str">
        <f>IFERROR(__xludf.DUMMYFUNCTION("""COMPUTED_VALUE"""),"Silver")</f>
        <v>Silver</v>
      </c>
      <c r="G266" s="265" t="str">
        <f>IFERROR(__xludf.DUMMYFUNCTION("""COMPUTED_VALUE"""),"Enterprise")</f>
        <v>Enterprise</v>
      </c>
      <c r="H266" s="265" t="str">
        <f>IFERROR(__xludf.DUMMYFUNCTION("""COMPUTED_VALUE"""),"(Chưa recheck)")</f>
        <v>(Chưa recheck)</v>
      </c>
      <c r="I266" s="265" t="str">
        <f>IFERROR(__xludf.DUMMYFUNCTION("""COMPUTED_VALUE"""),"(Chưa recheck)")</f>
        <v>(Chưa recheck)</v>
      </c>
      <c r="J266" s="265" t="str">
        <f>IFERROR(__xludf.DUMMYFUNCTION("""COMPUTED_VALUE"""),"(Chưa recheck)")</f>
        <v>(Chưa recheck)</v>
      </c>
    </row>
    <row r="267">
      <c r="A267" s="265" t="str">
        <f>IFERROR(__xludf.DUMMYFUNCTION("""COMPUTED_VALUE"""),"597")</f>
        <v>597</v>
      </c>
      <c r="B267" s="265" t="str">
        <f>IFERROR(__xludf.DUMMYFUNCTION("""COMPUTED_VALUE"""),"Sài Gòn")</f>
        <v>Sài Gòn</v>
      </c>
      <c r="C267" s="265" t="str">
        <f>IFERROR(__xludf.DUMMYFUNCTION("""COMPUTED_VALUE"""),"Active")</f>
        <v>Active</v>
      </c>
      <c r="D267" s="265" t="str">
        <f>IFERROR(__xludf.DUMMYFUNCTION("""COMPUTED_VALUE"""),"Sale chưa cung cấp")</f>
        <v>Sale chưa cung cấp</v>
      </c>
      <c r="E267" s="265" t="str">
        <f>IFERROR(__xludf.DUMMYFUNCTION("""COMPUTED_VALUE"""),"Không phân công")</f>
        <v>Không phân công</v>
      </c>
      <c r="F267" s="265" t="str">
        <f>IFERROR(__xludf.DUMMYFUNCTION("""COMPUTED_VALUE"""),"Silver")</f>
        <v>Silver</v>
      </c>
      <c r="G267" s="265" t="str">
        <f>IFERROR(__xludf.DUMMYFUNCTION("""COMPUTED_VALUE"""),"Standard")</f>
        <v>Standard</v>
      </c>
      <c r="H267" s="265" t="str">
        <f>IFERROR(__xludf.DUMMYFUNCTION("""COMPUTED_VALUE"""),"Trả trước")</f>
        <v>Trả trước</v>
      </c>
      <c r="I267" s="265" t="str">
        <f>IFERROR(__xludf.DUMMYFUNCTION("""COMPUTED_VALUE"""),"Portal")</f>
        <v>Portal</v>
      </c>
      <c r="J267" s="265" t="str">
        <f>IFERROR(__xludf.DUMMYFUNCTION("""COMPUTED_VALUE"""),"DungVT")</f>
        <v>DungVT</v>
      </c>
    </row>
    <row r="268">
      <c r="A268" s="265" t="str">
        <f>IFERROR(__xludf.DUMMYFUNCTION("""COMPUTED_VALUE"""),"599")</f>
        <v>599</v>
      </c>
      <c r="B268" s="265" t="str">
        <f>IFERROR(__xludf.DUMMYFUNCTION("""COMPUTED_VALUE"""),"Sài Gòn")</f>
        <v>Sài Gòn</v>
      </c>
      <c r="C268" s="265" t="str">
        <f>IFERROR(__xludf.DUMMYFUNCTION("""COMPUTED_VALUE"""),"Active")</f>
        <v>Active</v>
      </c>
      <c r="D268" s="265" t="str">
        <f>IFERROR(__xludf.DUMMYFUNCTION("""COMPUTED_VALUE"""),"Sale chưa cung cấp")</f>
        <v>Sale chưa cung cấp</v>
      </c>
      <c r="E268" s="265" t="str">
        <f>IFERROR(__xludf.DUMMYFUNCTION("""COMPUTED_VALUE"""),"Không phân công")</f>
        <v>Không phân công</v>
      </c>
      <c r="F268" s="265" t="str">
        <f>IFERROR(__xludf.DUMMYFUNCTION("""COMPUTED_VALUE"""),"Diamond")</f>
        <v>Diamond</v>
      </c>
      <c r="G268" s="265" t="str">
        <f>IFERROR(__xludf.DUMMYFUNCTION("""COMPUTED_VALUE"""),"Enterprise")</f>
        <v>Enterprise</v>
      </c>
      <c r="H268" s="265" t="str">
        <f>IFERROR(__xludf.DUMMYFUNCTION("""COMPUTED_VALUE"""),"Trả sau")</f>
        <v>Trả sau</v>
      </c>
      <c r="I268" s="265" t="str">
        <f>IFERROR(__xludf.DUMMYFUNCTION("""COMPUTED_VALUE"""),"Portal")</f>
        <v>Portal</v>
      </c>
      <c r="J268" s="265" t="str">
        <f>IFERROR(__xludf.DUMMYFUNCTION("""COMPUTED_VALUE"""),"LinhNTT1")</f>
        <v>LinhNTT1</v>
      </c>
    </row>
    <row r="269">
      <c r="A269" s="265" t="str">
        <f>IFERROR(__xludf.DUMMYFUNCTION("""COMPUTED_VALUE"""),"601")</f>
        <v>601</v>
      </c>
      <c r="B269" s="265" t="str">
        <f>IFERROR(__xludf.DUMMYFUNCTION("""COMPUTED_VALUE"""),"Sài Gòn")</f>
        <v>Sài Gòn</v>
      </c>
      <c r="C269" s="265" t="str">
        <f>IFERROR(__xludf.DUMMYFUNCTION("""COMPUTED_VALUE"""),"Locked")</f>
        <v>Locked</v>
      </c>
      <c r="D269" s="265" t="str">
        <f>IFERROR(__xludf.DUMMYFUNCTION("""COMPUTED_VALUE"""),"Sale chưa cung cấp")</f>
        <v>Sale chưa cung cấp</v>
      </c>
      <c r="E269" s="265" t="str">
        <f>IFERROR(__xludf.DUMMYFUNCTION("""COMPUTED_VALUE"""),"HoaNTM")</f>
        <v>HoaNTM</v>
      </c>
      <c r="F269" s="265" t="str">
        <f>IFERROR(__xludf.DUMMYFUNCTION("""COMPUTED_VALUE"""),"Sale chưa cung cấp")</f>
        <v>Sale chưa cung cấp</v>
      </c>
      <c r="G269" s="265" t="str">
        <f>IFERROR(__xludf.DUMMYFUNCTION("""COMPUTED_VALUE"""),"MSG")</f>
        <v>MSG</v>
      </c>
      <c r="H269" s="265" t="str">
        <f>IFERROR(__xludf.DUMMYFUNCTION("""COMPUTED_VALUE"""),"(Chưa recheck)")</f>
        <v>(Chưa recheck)</v>
      </c>
      <c r="I269" s="265" t="str">
        <f>IFERROR(__xludf.DUMMYFUNCTION("""COMPUTED_VALUE"""),"(Chưa recheck)")</f>
        <v>(Chưa recheck)</v>
      </c>
      <c r="J269" s="265" t="str">
        <f>IFERROR(__xludf.DUMMYFUNCTION("""COMPUTED_VALUE"""),"(Chưa recheck)")</f>
        <v>(Chưa recheck)</v>
      </c>
    </row>
    <row r="270">
      <c r="A270" s="265" t="str">
        <f>IFERROR(__xludf.DUMMYFUNCTION("""COMPUTED_VALUE"""),"602")</f>
        <v>602</v>
      </c>
      <c r="B270" s="265" t="str">
        <f>IFERROR(__xludf.DUMMYFUNCTION("""COMPUTED_VALUE"""),"Sài Gòn")</f>
        <v>Sài Gòn</v>
      </c>
      <c r="C270" s="265" t="str">
        <f>IFERROR(__xludf.DUMMYFUNCTION("""COMPUTED_VALUE"""),"Locked")</f>
        <v>Locked</v>
      </c>
      <c r="D270" s="265" t="str">
        <f>IFERROR(__xludf.DUMMYFUNCTION("""COMPUTED_VALUE"""),"Sale chưa cung cấp")</f>
        <v>Sale chưa cung cấp</v>
      </c>
      <c r="E270" s="265" t="str">
        <f>IFERROR(__xludf.DUMMYFUNCTION("""COMPUTED_VALUE"""),"Không phân công")</f>
        <v>Không phân công</v>
      </c>
      <c r="F270" s="265" t="str">
        <f>IFERROR(__xludf.DUMMYFUNCTION("""COMPUTED_VALUE"""),"Bronze")</f>
        <v>Bronze</v>
      </c>
      <c r="G270" s="265" t="str">
        <f>IFERROR(__xludf.DUMMYFUNCTION("""COMPUTED_VALUE"""),"Starter")</f>
        <v>Starter</v>
      </c>
      <c r="H270" s="265" t="str">
        <f>IFERROR(__xludf.DUMMYFUNCTION("""COMPUTED_VALUE"""),"Trả trước")</f>
        <v>Trả trước</v>
      </c>
      <c r="I270" s="265" t="str">
        <f>IFERROR(__xludf.DUMMYFUNCTION("""COMPUTED_VALUE"""),"Portal")</f>
        <v>Portal</v>
      </c>
      <c r="J270" s="265" t="str">
        <f>IFERROR(__xludf.DUMMYFUNCTION("""COMPUTED_VALUE"""),"LinhNTT1")</f>
        <v>LinhNTT1</v>
      </c>
    </row>
    <row r="271">
      <c r="A271" s="265" t="str">
        <f>IFERROR(__xludf.DUMMYFUNCTION("""COMPUTED_VALUE"""),"603")</f>
        <v>603</v>
      </c>
      <c r="B271" s="265" t="str">
        <f>IFERROR(__xludf.DUMMYFUNCTION("""COMPUTED_VALUE"""),"Sài Gòn")</f>
        <v>Sài Gòn</v>
      </c>
      <c r="C271" s="265" t="str">
        <f>IFERROR(__xludf.DUMMYFUNCTION("""COMPUTED_VALUE"""),"Locked")</f>
        <v>Locked</v>
      </c>
      <c r="D271" s="265" t="str">
        <f>IFERROR(__xludf.DUMMYFUNCTION("""COMPUTED_VALUE"""),"Sale chưa cung cấp")</f>
        <v>Sale chưa cung cấp</v>
      </c>
      <c r="E271" s="265" t="str">
        <f>IFERROR(__xludf.DUMMYFUNCTION("""COMPUTED_VALUE"""),"Không phân công")</f>
        <v>Không phân công</v>
      </c>
      <c r="F271" s="265" t="str">
        <f>IFERROR(__xludf.DUMMYFUNCTION("""COMPUTED_VALUE"""),"Bronze")</f>
        <v>Bronze</v>
      </c>
      <c r="G271" s="265" t="str">
        <f>IFERROR(__xludf.DUMMYFUNCTION("""COMPUTED_VALUE"""),"Starter")</f>
        <v>Starter</v>
      </c>
      <c r="H271" s="265" t="str">
        <f>IFERROR(__xludf.DUMMYFUNCTION("""COMPUTED_VALUE"""),"Trả trước")</f>
        <v>Trả trước</v>
      </c>
      <c r="I271" s="265" t="str">
        <f>IFERROR(__xludf.DUMMYFUNCTION("""COMPUTED_VALUE"""),"Portal")</f>
        <v>Portal</v>
      </c>
      <c r="J271" s="265" t="str">
        <f>IFERROR(__xludf.DUMMYFUNCTION("""COMPUTED_VALUE"""),"LinhNTT1")</f>
        <v>LinhNTT1</v>
      </c>
    </row>
    <row r="272">
      <c r="A272" s="265" t="str">
        <f>IFERROR(__xludf.DUMMYFUNCTION("""COMPUTED_VALUE"""),"604")</f>
        <v>604</v>
      </c>
      <c r="B272" s="265" t="str">
        <f>IFERROR(__xludf.DUMMYFUNCTION("""COMPUTED_VALUE"""),"Hà Nội")</f>
        <v>Hà Nội</v>
      </c>
      <c r="C272" s="265" t="str">
        <f>IFERROR(__xludf.DUMMYFUNCTION("""COMPUTED_VALUE"""),"Locked")</f>
        <v>Locked</v>
      </c>
      <c r="D272" s="265" t="str">
        <f>IFERROR(__xludf.DUMMYFUNCTION("""COMPUTED_VALUE"""),"Sale chưa cung cấp")</f>
        <v>Sale chưa cung cấp</v>
      </c>
      <c r="E272" s="265" t="str">
        <f>IFERROR(__xludf.DUMMYFUNCTION("""COMPUTED_VALUE"""),"TùngLD")</f>
        <v>TùngLD</v>
      </c>
      <c r="F272" s="265" t="str">
        <f>IFERROR(__xludf.DUMMYFUNCTION("""COMPUTED_VALUE"""),"Sale chưa cung cấp")</f>
        <v>Sale chưa cung cấp</v>
      </c>
      <c r="G272" s="265" t="str">
        <f>IFERROR(__xludf.DUMMYFUNCTION("""COMPUTED_VALUE"""),"Enterprise")</f>
        <v>Enterprise</v>
      </c>
      <c r="H272" s="265" t="str">
        <f>IFERROR(__xludf.DUMMYFUNCTION("""COMPUTED_VALUE"""),"Trial")</f>
        <v>Trial</v>
      </c>
      <c r="I272" s="265" t="str">
        <f>IFERROR(__xludf.DUMMYFUNCTION("""COMPUTED_VALUE"""),"Portal")</f>
        <v>Portal</v>
      </c>
      <c r="J272" s="265" t="str">
        <f>IFERROR(__xludf.DUMMYFUNCTION("""COMPUTED_VALUE"""),"(Không recheck)")</f>
        <v>(Không recheck)</v>
      </c>
    </row>
    <row r="273">
      <c r="A273" s="265" t="str">
        <f>IFERROR(__xludf.DUMMYFUNCTION("""COMPUTED_VALUE"""),"605")</f>
        <v>605</v>
      </c>
      <c r="B273" s="265" t="str">
        <f>IFERROR(__xludf.DUMMYFUNCTION("""COMPUTED_VALUE"""),"Hà Nội")</f>
        <v>Hà Nội</v>
      </c>
      <c r="C273" s="265" t="str">
        <f>IFERROR(__xludf.DUMMYFUNCTION("""COMPUTED_VALUE"""),"Active")</f>
        <v>Active</v>
      </c>
      <c r="D273" s="265" t="str">
        <f>IFERROR(__xludf.DUMMYFUNCTION("""COMPUTED_VALUE"""),"Sale chưa cung cấp")</f>
        <v>Sale chưa cung cấp</v>
      </c>
      <c r="E273" s="265" t="str">
        <f>IFERROR(__xludf.DUMMYFUNCTION("""COMPUTED_VALUE"""),"Không phân công")</f>
        <v>Không phân công</v>
      </c>
      <c r="F273" s="265" t="str">
        <f>IFERROR(__xludf.DUMMYFUNCTION("""COMPUTED_VALUE"""),"Bronze")</f>
        <v>Bronze</v>
      </c>
      <c r="G273" s="265" t="str">
        <f>IFERROR(__xludf.DUMMYFUNCTION("""COMPUTED_VALUE"""),"Starter")</f>
        <v>Starter</v>
      </c>
      <c r="H273" s="265" t="str">
        <f>IFERROR(__xludf.DUMMYFUNCTION("""COMPUTED_VALUE"""),"Trả sau")</f>
        <v>Trả sau</v>
      </c>
      <c r="I273" s="265" t="str">
        <f>IFERROR(__xludf.DUMMYFUNCTION("""COMPUTED_VALUE"""),"API")</f>
        <v>API</v>
      </c>
      <c r="J273" s="265" t="str">
        <f>IFERROR(__xludf.DUMMYFUNCTION("""COMPUTED_VALUE"""),"DungPL")</f>
        <v>DungPL</v>
      </c>
    </row>
    <row r="274">
      <c r="A274" s="265" t="str">
        <f>IFERROR(__xludf.DUMMYFUNCTION("""COMPUTED_VALUE"""),"606")</f>
        <v>606</v>
      </c>
      <c r="B274" s="265" t="str">
        <f>IFERROR(__xludf.DUMMYFUNCTION("""COMPUTED_VALUE"""),"Sài Gòn")</f>
        <v>Sài Gòn</v>
      </c>
      <c r="C274" s="265" t="str">
        <f>IFERROR(__xludf.DUMMYFUNCTION("""COMPUTED_VALUE"""),"Locked")</f>
        <v>Locked</v>
      </c>
      <c r="D274" s="265" t="str">
        <f>IFERROR(__xludf.DUMMYFUNCTION("""COMPUTED_VALUE"""),"Sale chưa cung cấp")</f>
        <v>Sale chưa cung cấp</v>
      </c>
      <c r="E274" s="265" t="str">
        <f>IFERROR(__xludf.DUMMYFUNCTION("""COMPUTED_VALUE"""),"HoaNTM")</f>
        <v>HoaNTM</v>
      </c>
      <c r="F274" s="265" t="str">
        <f>IFERROR(__xludf.DUMMYFUNCTION("""COMPUTED_VALUE"""),"Bronze")</f>
        <v>Bronze</v>
      </c>
      <c r="G274" s="265" t="str">
        <f>IFERROR(__xludf.DUMMYFUNCTION("""COMPUTED_VALUE"""),"Enterprise")</f>
        <v>Enterprise</v>
      </c>
      <c r="H274" s="265" t="str">
        <f>IFERROR(__xludf.DUMMYFUNCTION("""COMPUTED_VALUE"""),"(Chưa recheck)")</f>
        <v>(Chưa recheck)</v>
      </c>
      <c r="I274" s="265" t="str">
        <f>IFERROR(__xludf.DUMMYFUNCTION("""COMPUTED_VALUE"""),"(Chưa recheck)")</f>
        <v>(Chưa recheck)</v>
      </c>
      <c r="J274" s="265" t="str">
        <f>IFERROR(__xludf.DUMMYFUNCTION("""COMPUTED_VALUE"""),"AnhNM")</f>
        <v>AnhNM</v>
      </c>
    </row>
    <row r="275">
      <c r="A275" s="265" t="str">
        <f>IFERROR(__xludf.DUMMYFUNCTION("""COMPUTED_VALUE"""),"609")</f>
        <v>609</v>
      </c>
      <c r="B275" s="265" t="str">
        <f>IFERROR(__xludf.DUMMYFUNCTION("""COMPUTED_VALUE"""),"Sài Gòn")</f>
        <v>Sài Gòn</v>
      </c>
      <c r="C275" s="265" t="str">
        <f>IFERROR(__xludf.DUMMYFUNCTION("""COMPUTED_VALUE"""),"Locked")</f>
        <v>Locked</v>
      </c>
      <c r="D275" s="265" t="str">
        <f>IFERROR(__xludf.DUMMYFUNCTION("""COMPUTED_VALUE"""),"Sale chưa cung cấp")</f>
        <v>Sale chưa cung cấp</v>
      </c>
      <c r="E275" s="265" t="str">
        <f>IFERROR(__xludf.DUMMYFUNCTION("""COMPUTED_VALUE"""),"HoaNTM")</f>
        <v>HoaNTM</v>
      </c>
      <c r="F275" s="265" t="str">
        <f>IFERROR(__xludf.DUMMYFUNCTION("""COMPUTED_VALUE"""),"Gold")</f>
        <v>Gold</v>
      </c>
      <c r="G275" s="265" t="str">
        <f>IFERROR(__xludf.DUMMYFUNCTION("""COMPUTED_VALUE"""),"MSG")</f>
        <v>MSG</v>
      </c>
      <c r="H275" s="265" t="str">
        <f>IFERROR(__xludf.DUMMYFUNCTION("""COMPUTED_VALUE"""),"(Chưa recheck)")</f>
        <v>(Chưa recheck)</v>
      </c>
      <c r="I275" s="265" t="str">
        <f>IFERROR(__xludf.DUMMYFUNCTION("""COMPUTED_VALUE"""),"(Chưa recheck)")</f>
        <v>(Chưa recheck)</v>
      </c>
      <c r="J275" s="265" t="str">
        <f>IFERROR(__xludf.DUMMYFUNCTION("""COMPUTED_VALUE"""),"(Chưa recheck)")</f>
        <v>(Chưa recheck)</v>
      </c>
    </row>
    <row r="276">
      <c r="A276" s="265" t="str">
        <f>IFERROR(__xludf.DUMMYFUNCTION("""COMPUTED_VALUE"""),"607")</f>
        <v>607</v>
      </c>
      <c r="B276" s="265" t="str">
        <f>IFERROR(__xludf.DUMMYFUNCTION("""COMPUTED_VALUE"""),"Sài Gòn")</f>
        <v>Sài Gòn</v>
      </c>
      <c r="C276" s="265" t="str">
        <f>IFERROR(__xludf.DUMMYFUNCTION("""COMPUTED_VALUE"""),"Locked")</f>
        <v>Locked</v>
      </c>
      <c r="D276" s="265" t="str">
        <f>IFERROR(__xludf.DUMMYFUNCTION("""COMPUTED_VALUE"""),"Sale chưa cung cấp")</f>
        <v>Sale chưa cung cấp</v>
      </c>
      <c r="E276" s="265" t="str">
        <f>IFERROR(__xludf.DUMMYFUNCTION("""COMPUTED_VALUE"""),"HoaNTM")</f>
        <v>HoaNTM</v>
      </c>
      <c r="F276" s="265" t="str">
        <f>IFERROR(__xludf.DUMMYFUNCTION("""COMPUTED_VALUE"""),"Sale chưa cung cấp")</f>
        <v>Sale chưa cung cấp</v>
      </c>
      <c r="G276" s="265" t="str">
        <f>IFERROR(__xludf.DUMMYFUNCTION("""COMPUTED_VALUE"""),"Enterprise")</f>
        <v>Enterprise</v>
      </c>
      <c r="H276" s="265" t="str">
        <f>IFERROR(__xludf.DUMMYFUNCTION("""COMPUTED_VALUE"""),"Trial")</f>
        <v>Trial</v>
      </c>
      <c r="I276" s="265" t="str">
        <f>IFERROR(__xludf.DUMMYFUNCTION("""COMPUTED_VALUE"""),"(Không recheck)")</f>
        <v>(Không recheck)</v>
      </c>
      <c r="J276" s="265" t="str">
        <f>IFERROR(__xludf.DUMMYFUNCTION("""COMPUTED_VALUE"""),"(Không recheck)")</f>
        <v>(Không recheck)</v>
      </c>
    </row>
    <row r="277">
      <c r="A277" s="265" t="str">
        <f>IFERROR(__xludf.DUMMYFUNCTION("""COMPUTED_VALUE"""),"611")</f>
        <v>611</v>
      </c>
      <c r="B277" s="265" t="str">
        <f>IFERROR(__xludf.DUMMYFUNCTION("""COMPUTED_VALUE"""),"Hà Nội")</f>
        <v>Hà Nội</v>
      </c>
      <c r="C277" s="265" t="str">
        <f>IFERROR(__xludf.DUMMYFUNCTION("""COMPUTED_VALUE"""),"Active")</f>
        <v>Active</v>
      </c>
      <c r="D277" s="265" t="str">
        <f>IFERROR(__xludf.DUMMYFUNCTION("""COMPUTED_VALUE"""),"Sale chưa cung cấp")</f>
        <v>Sale chưa cung cấp</v>
      </c>
      <c r="E277" s="265" t="str">
        <f>IFERROR(__xludf.DUMMYFUNCTION("""COMPUTED_VALUE"""),"TùngLD")</f>
        <v>TùngLD</v>
      </c>
      <c r="F277" s="265" t="str">
        <f>IFERROR(__xludf.DUMMYFUNCTION("""COMPUTED_VALUE"""),"Silver")</f>
        <v>Silver</v>
      </c>
      <c r="G277" s="265" t="str">
        <f>IFERROR(__xludf.DUMMYFUNCTION("""COMPUTED_VALUE"""),"Enterprise")</f>
        <v>Enterprise</v>
      </c>
      <c r="H277" s="265" t="str">
        <f>IFERROR(__xludf.DUMMYFUNCTION("""COMPUTED_VALUE"""),"Trả trước")</f>
        <v>Trả trước</v>
      </c>
      <c r="I277" s="265" t="str">
        <f>IFERROR(__xludf.DUMMYFUNCTION("""COMPUTED_VALUE"""),"API &amp; Portal")</f>
        <v>API &amp; Portal</v>
      </c>
      <c r="J277" s="265" t="str">
        <f>IFERROR(__xludf.DUMMYFUNCTION("""COMPUTED_VALUE"""),"YếnĐH")</f>
        <v>YếnĐH</v>
      </c>
    </row>
    <row r="278">
      <c r="A278" s="265" t="str">
        <f>IFERROR(__xludf.DUMMYFUNCTION("""COMPUTED_VALUE"""),"612")</f>
        <v>612</v>
      </c>
      <c r="B278" s="265" t="str">
        <f>IFERROR(__xludf.DUMMYFUNCTION("""COMPUTED_VALUE"""),"Hà Nội")</f>
        <v>Hà Nội</v>
      </c>
      <c r="C278" s="265" t="str">
        <f>IFERROR(__xludf.DUMMYFUNCTION("""COMPUTED_VALUE"""),"Locked")</f>
        <v>Locked</v>
      </c>
      <c r="D278" s="265" t="str">
        <f>IFERROR(__xludf.DUMMYFUNCTION("""COMPUTED_VALUE"""),"Sale chưa cung cấp")</f>
        <v>Sale chưa cung cấp</v>
      </c>
      <c r="E278" s="265" t="str">
        <f>IFERROR(__xludf.DUMMYFUNCTION("""COMPUTED_VALUE"""),"TùngLD")</f>
        <v>TùngLD</v>
      </c>
      <c r="F278" s="265" t="str">
        <f>IFERROR(__xludf.DUMMYFUNCTION("""COMPUTED_VALUE"""),"Sale chưa cung cấp")</f>
        <v>Sale chưa cung cấp</v>
      </c>
      <c r="G278" s="265" t="str">
        <f>IFERROR(__xludf.DUMMYFUNCTION("""COMPUTED_VALUE"""),"API")</f>
        <v>API</v>
      </c>
      <c r="H278" s="265" t="str">
        <f>IFERROR(__xludf.DUMMYFUNCTION("""COMPUTED_VALUE"""),"Trả sau")</f>
        <v>Trả sau</v>
      </c>
      <c r="I278" s="265" t="str">
        <f>IFERROR(__xludf.DUMMYFUNCTION("""COMPUTED_VALUE"""),"API")</f>
        <v>API</v>
      </c>
      <c r="J278" s="265" t="str">
        <f>IFERROR(__xludf.DUMMYFUNCTION("""COMPUTED_VALUE"""),"DungPL")</f>
        <v>DungPL</v>
      </c>
    </row>
    <row r="279">
      <c r="A279" s="265" t="str">
        <f>IFERROR(__xludf.DUMMYFUNCTION("""COMPUTED_VALUE"""),"610")</f>
        <v>610</v>
      </c>
      <c r="B279" s="265" t="str">
        <f>IFERROR(__xludf.DUMMYFUNCTION("""COMPUTED_VALUE"""),"Hà Nội")</f>
        <v>Hà Nội</v>
      </c>
      <c r="C279" s="265" t="str">
        <f>IFERROR(__xludf.DUMMYFUNCTION("""COMPUTED_VALUE"""),"Locked")</f>
        <v>Locked</v>
      </c>
      <c r="D279" s="265" t="str">
        <f>IFERROR(__xludf.DUMMYFUNCTION("""COMPUTED_VALUE"""),"Sale chưa cung cấp")</f>
        <v>Sale chưa cung cấp</v>
      </c>
      <c r="E279" s="265" t="str">
        <f>IFERROR(__xludf.DUMMYFUNCTION("""COMPUTED_VALUE"""),"TùngLD")</f>
        <v>TùngLD</v>
      </c>
      <c r="F279" s="265" t="str">
        <f>IFERROR(__xludf.DUMMYFUNCTION("""COMPUTED_VALUE"""),"Bronze")</f>
        <v>Bronze</v>
      </c>
      <c r="G279" s="265" t="str">
        <f>IFERROR(__xludf.DUMMYFUNCTION("""COMPUTED_VALUE"""),"Enterprise")</f>
        <v>Enterprise</v>
      </c>
      <c r="H279" s="265" t="str">
        <f>IFERROR(__xludf.DUMMYFUNCTION("""COMPUTED_VALUE"""),"Trả trước")</f>
        <v>Trả trước</v>
      </c>
      <c r="I279" s="265" t="str">
        <f>IFERROR(__xludf.DUMMYFUNCTION("""COMPUTED_VALUE"""),"Portal")</f>
        <v>Portal</v>
      </c>
      <c r="J279" s="265" t="str">
        <f>IFERROR(__xludf.DUMMYFUNCTION("""COMPUTED_VALUE"""),"(Chưa recheck)")</f>
        <v>(Chưa recheck)</v>
      </c>
    </row>
    <row r="280">
      <c r="A280" s="265" t="str">
        <f>IFERROR(__xludf.DUMMYFUNCTION("""COMPUTED_VALUE"""),"613")</f>
        <v>613</v>
      </c>
      <c r="B280" s="265" t="str">
        <f>IFERROR(__xludf.DUMMYFUNCTION("""COMPUTED_VALUE"""),"Sài Gòn")</f>
        <v>Sài Gòn</v>
      </c>
      <c r="C280" s="265" t="str">
        <f>IFERROR(__xludf.DUMMYFUNCTION("""COMPUTED_VALUE"""),"Locked")</f>
        <v>Locked</v>
      </c>
      <c r="D280" s="265" t="str">
        <f>IFERROR(__xludf.DUMMYFUNCTION("""COMPUTED_VALUE"""),"Sale chưa cung cấp")</f>
        <v>Sale chưa cung cấp</v>
      </c>
      <c r="E280" s="265" t="str">
        <f>IFERROR(__xludf.DUMMYFUNCTION("""COMPUTED_VALUE"""),"HoaNTM")</f>
        <v>HoaNTM</v>
      </c>
      <c r="F280" s="265" t="str">
        <f>IFERROR(__xludf.DUMMYFUNCTION("""COMPUTED_VALUE"""),"Sale chưa cung cấp")</f>
        <v>Sale chưa cung cấp</v>
      </c>
      <c r="G280" s="265" t="str">
        <f>IFERROR(__xludf.DUMMYFUNCTION("""COMPUTED_VALUE"""),"Enterprise")</f>
        <v>Enterprise</v>
      </c>
      <c r="H280" s="265" t="str">
        <f>IFERROR(__xludf.DUMMYFUNCTION("""COMPUTED_VALUE"""),"(Chưa recheck)")</f>
        <v>(Chưa recheck)</v>
      </c>
      <c r="I280" s="265" t="str">
        <f>IFERROR(__xludf.DUMMYFUNCTION("""COMPUTED_VALUE"""),"(Chưa recheck)")</f>
        <v>(Chưa recheck)</v>
      </c>
      <c r="J280" s="265" t="str">
        <f>IFERROR(__xludf.DUMMYFUNCTION("""COMPUTED_VALUE"""),"(Chưa recheck)")</f>
        <v>(Chưa recheck)</v>
      </c>
    </row>
    <row r="281">
      <c r="A281" s="265" t="str">
        <f>IFERROR(__xludf.DUMMYFUNCTION("""COMPUTED_VALUE"""),"616")</f>
        <v>616</v>
      </c>
      <c r="B281" s="265" t="str">
        <f>IFERROR(__xludf.DUMMYFUNCTION("""COMPUTED_VALUE"""),"Hà Nội")</f>
        <v>Hà Nội</v>
      </c>
      <c r="C281" s="265" t="str">
        <f>IFERROR(__xludf.DUMMYFUNCTION("""COMPUTED_VALUE"""),"Locked")</f>
        <v>Locked</v>
      </c>
      <c r="D281" s="265" t="str">
        <f>IFERROR(__xludf.DUMMYFUNCTION("""COMPUTED_VALUE"""),"Sale chưa cung cấp")</f>
        <v>Sale chưa cung cấp</v>
      </c>
      <c r="E281" s="265" t="str">
        <f>IFERROR(__xludf.DUMMYFUNCTION("""COMPUTED_VALUE"""),"Không phân công")</f>
        <v>Không phân công</v>
      </c>
      <c r="F281" s="265" t="str">
        <f>IFERROR(__xludf.DUMMYFUNCTION("""COMPUTED_VALUE"""),"Bronze")</f>
        <v>Bronze</v>
      </c>
      <c r="G281" s="265" t="str">
        <f>IFERROR(__xludf.DUMMYFUNCTION("""COMPUTED_VALUE"""),"Enterprise")</f>
        <v>Enterprise</v>
      </c>
      <c r="H281" s="265" t="str">
        <f>IFERROR(__xludf.DUMMYFUNCTION("""COMPUTED_VALUE"""),"Trả sau")</f>
        <v>Trả sau</v>
      </c>
      <c r="I281" s="265" t="str">
        <f>IFERROR(__xludf.DUMMYFUNCTION("""COMPUTED_VALUE"""),"API &amp; Portal")</f>
        <v>API &amp; Portal</v>
      </c>
      <c r="J281" s="265" t="str">
        <f>IFERROR(__xludf.DUMMYFUNCTION("""COMPUTED_VALUE"""),"DungPL")</f>
        <v>DungPL</v>
      </c>
    </row>
    <row r="282">
      <c r="A282" s="265" t="str">
        <f>IFERROR(__xludf.DUMMYFUNCTION("""COMPUTED_VALUE"""),"615")</f>
        <v>615</v>
      </c>
      <c r="B282" s="265" t="str">
        <f>IFERROR(__xludf.DUMMYFUNCTION("""COMPUTED_VALUE"""),"Hà Nội")</f>
        <v>Hà Nội</v>
      </c>
      <c r="C282" s="265" t="str">
        <f>IFERROR(__xludf.DUMMYFUNCTION("""COMPUTED_VALUE"""),"Locked")</f>
        <v>Locked</v>
      </c>
      <c r="D282" s="265" t="str">
        <f>IFERROR(__xludf.DUMMYFUNCTION("""COMPUTED_VALUE"""),"Sale chưa cung cấp")</f>
        <v>Sale chưa cung cấp</v>
      </c>
      <c r="E282" s="265" t="str">
        <f>IFERROR(__xludf.DUMMYFUNCTION("""COMPUTED_VALUE"""),"PhươngDTB")</f>
        <v>PhươngDTB</v>
      </c>
      <c r="F282" s="265" t="str">
        <f>IFERROR(__xludf.DUMMYFUNCTION("""COMPUTED_VALUE"""),"Silver")</f>
        <v>Silver</v>
      </c>
      <c r="G282" s="265" t="str">
        <f>IFERROR(__xludf.DUMMYFUNCTION("""COMPUTED_VALUE"""),"Enterprise")</f>
        <v>Enterprise</v>
      </c>
      <c r="H282" s="265" t="str">
        <f>IFERROR(__xludf.DUMMYFUNCTION("""COMPUTED_VALUE"""),"(Chưa recheck)")</f>
        <v>(Chưa recheck)</v>
      </c>
      <c r="I282" s="265" t="str">
        <f>IFERROR(__xludf.DUMMYFUNCTION("""COMPUTED_VALUE"""),"(Chưa recheck)")</f>
        <v>(Chưa recheck)</v>
      </c>
      <c r="J282" s="265" t="str">
        <f>IFERROR(__xludf.DUMMYFUNCTION("""COMPUTED_VALUE"""),"(Chưa recheck)")</f>
        <v>(Chưa recheck)</v>
      </c>
    </row>
    <row r="283">
      <c r="A283" s="265" t="str">
        <f>IFERROR(__xludf.DUMMYFUNCTION("""COMPUTED_VALUE"""),"617")</f>
        <v>617</v>
      </c>
      <c r="B283" s="265" t="str">
        <f>IFERROR(__xludf.DUMMYFUNCTION("""COMPUTED_VALUE"""),"Sài Gòn")</f>
        <v>Sài Gòn</v>
      </c>
      <c r="C283" s="265" t="str">
        <f>IFERROR(__xludf.DUMMYFUNCTION("""COMPUTED_VALUE"""),"Locked")</f>
        <v>Locked</v>
      </c>
      <c r="D283" s="265" t="str">
        <f>IFERROR(__xludf.DUMMYFUNCTION("""COMPUTED_VALUE"""),"Sale chưa cung cấp")</f>
        <v>Sale chưa cung cấp</v>
      </c>
      <c r="E283" s="265" t="str">
        <f>IFERROR(__xludf.DUMMYFUNCTION("""COMPUTED_VALUE"""),"HoaNTM")</f>
        <v>HoaNTM</v>
      </c>
      <c r="F283" s="265" t="str">
        <f>IFERROR(__xludf.DUMMYFUNCTION("""COMPUTED_VALUE"""),"Diamond")</f>
        <v>Diamond</v>
      </c>
      <c r="G283" s="265" t="str">
        <f>IFERROR(__xludf.DUMMYFUNCTION("""COMPUTED_VALUE"""),"SIMILAR")</f>
        <v>SIMILAR</v>
      </c>
      <c r="H283" s="265" t="str">
        <f>IFERROR(__xludf.DUMMYFUNCTION("""COMPUTED_VALUE"""),"Trả sau")</f>
        <v>Trả sau</v>
      </c>
      <c r="I283" s="265" t="str">
        <f>IFERROR(__xludf.DUMMYFUNCTION("""COMPUTED_VALUE"""),"(Chưa recheck)")</f>
        <v>(Chưa recheck)</v>
      </c>
      <c r="J283" s="265" t="str">
        <f>IFERROR(__xludf.DUMMYFUNCTION("""COMPUTED_VALUE"""),"(Chưa recheck)")</f>
        <v>(Chưa recheck)</v>
      </c>
    </row>
    <row r="284">
      <c r="A284" s="265" t="str">
        <f>IFERROR(__xludf.DUMMYFUNCTION("""COMPUTED_VALUE"""),"608")</f>
        <v>608</v>
      </c>
      <c r="B284" s="265" t="str">
        <f>IFERROR(__xludf.DUMMYFUNCTION("""COMPUTED_VALUE"""),"Hà Nội")</f>
        <v>Hà Nội</v>
      </c>
      <c r="C284" s="265" t="str">
        <f>IFERROR(__xludf.DUMMYFUNCTION("""COMPUTED_VALUE"""),"Locked")</f>
        <v>Locked</v>
      </c>
      <c r="D284" s="265" t="str">
        <f>IFERROR(__xludf.DUMMYFUNCTION("""COMPUTED_VALUE"""),"Sale chưa cung cấp")</f>
        <v>Sale chưa cung cấp</v>
      </c>
      <c r="E284" s="265" t="str">
        <f>IFERROR(__xludf.DUMMYFUNCTION("""COMPUTED_VALUE"""),"TùngLD")</f>
        <v>TùngLD</v>
      </c>
      <c r="F284" s="265" t="str">
        <f>IFERROR(__xludf.DUMMYFUNCTION("""COMPUTED_VALUE"""),"Sale chưa cung cấp")</f>
        <v>Sale chưa cung cấp</v>
      </c>
      <c r="G284" s="265" t="str">
        <f>IFERROR(__xludf.DUMMYFUNCTION("""COMPUTED_VALUE"""),"API")</f>
        <v>API</v>
      </c>
      <c r="H284" s="265" t="str">
        <f>IFERROR(__xludf.DUMMYFUNCTION("""COMPUTED_VALUE"""),"Trial")</f>
        <v>Trial</v>
      </c>
      <c r="I284" s="265" t="str">
        <f>IFERROR(__xludf.DUMMYFUNCTION("""COMPUTED_VALUE"""),"API")</f>
        <v>API</v>
      </c>
      <c r="J284" s="265" t="str">
        <f>IFERROR(__xludf.DUMMYFUNCTION("""COMPUTED_VALUE"""),"(Không recheck)")</f>
        <v>(Không recheck)</v>
      </c>
    </row>
    <row r="285">
      <c r="A285" s="265" t="str">
        <f>IFERROR(__xludf.DUMMYFUNCTION("""COMPUTED_VALUE"""),"618")</f>
        <v>618</v>
      </c>
      <c r="B285" s="265" t="str">
        <f>IFERROR(__xludf.DUMMYFUNCTION("""COMPUTED_VALUE"""),"Hà Nội")</f>
        <v>Hà Nội</v>
      </c>
      <c r="C285" s="265" t="str">
        <f>IFERROR(__xludf.DUMMYFUNCTION("""COMPUTED_VALUE"""),"Active")</f>
        <v>Active</v>
      </c>
      <c r="D285" s="265" t="str">
        <f>IFERROR(__xludf.DUMMYFUNCTION("""COMPUTED_VALUE"""),"Sale chưa cung cấp")</f>
        <v>Sale chưa cung cấp</v>
      </c>
      <c r="E285" s="265" t="str">
        <f>IFERROR(__xludf.DUMMYFUNCTION("""COMPUTED_VALUE"""),"TúPHN")</f>
        <v>TúPHN</v>
      </c>
      <c r="F285" s="265" t="str">
        <f>IFERROR(__xludf.DUMMYFUNCTION("""COMPUTED_VALUE"""),"Gold")</f>
        <v>Gold</v>
      </c>
      <c r="G285" s="265" t="str">
        <f>IFERROR(__xludf.DUMMYFUNCTION("""COMPUTED_VALUE"""),"Premium")</f>
        <v>Premium</v>
      </c>
      <c r="H285" s="265" t="str">
        <f>IFERROR(__xludf.DUMMYFUNCTION("""COMPUTED_VALUE"""),"Trả sau")</f>
        <v>Trả sau</v>
      </c>
      <c r="I285" s="265" t="str">
        <f>IFERROR(__xludf.DUMMYFUNCTION("""COMPUTED_VALUE"""),"Portal")</f>
        <v>Portal</v>
      </c>
      <c r="J285" s="265" t="str">
        <f>IFERROR(__xludf.DUMMYFUNCTION("""COMPUTED_VALUE"""),"DungPL")</f>
        <v>DungPL</v>
      </c>
    </row>
    <row r="286">
      <c r="A286" s="265" t="str">
        <f>IFERROR(__xludf.DUMMYFUNCTION("""COMPUTED_VALUE"""),"619")</f>
        <v>619</v>
      </c>
      <c r="B286" s="265" t="str">
        <f>IFERROR(__xludf.DUMMYFUNCTION("""COMPUTED_VALUE"""),"Sài Gòn")</f>
        <v>Sài Gòn</v>
      </c>
      <c r="C286" s="265" t="str">
        <f>IFERROR(__xludf.DUMMYFUNCTION("""COMPUTED_VALUE"""),"Locked")</f>
        <v>Locked</v>
      </c>
      <c r="D286" s="265" t="str">
        <f>IFERROR(__xludf.DUMMYFUNCTION("""COMPUTED_VALUE"""),"Sale chưa cung cấp")</f>
        <v>Sale chưa cung cấp</v>
      </c>
      <c r="E286" s="265" t="str">
        <f>IFERROR(__xludf.DUMMYFUNCTION("""COMPUTED_VALUE"""),"HoaNTM")</f>
        <v>HoaNTM</v>
      </c>
      <c r="F286" s="265" t="str">
        <f>IFERROR(__xludf.DUMMYFUNCTION("""COMPUTED_VALUE"""),"Sale chưa cung cấp")</f>
        <v>Sale chưa cung cấp</v>
      </c>
      <c r="G286" s="265" t="str">
        <f>IFERROR(__xludf.DUMMYFUNCTION("""COMPUTED_VALUE"""),"MSG")</f>
        <v>MSG</v>
      </c>
      <c r="H286" s="265" t="str">
        <f>IFERROR(__xludf.DUMMYFUNCTION("""COMPUTED_VALUE"""),"(Chưa recheck)")</f>
        <v>(Chưa recheck)</v>
      </c>
      <c r="I286" s="265" t="str">
        <f>IFERROR(__xludf.DUMMYFUNCTION("""COMPUTED_VALUE"""),"(Chưa recheck)")</f>
        <v>(Chưa recheck)</v>
      </c>
      <c r="J286" s="265" t="str">
        <f>IFERROR(__xludf.DUMMYFUNCTION("""COMPUTED_VALUE"""),"(Chưa recheck)")</f>
        <v>(Chưa recheck)</v>
      </c>
    </row>
    <row r="287">
      <c r="A287" s="265" t="str">
        <f>IFERROR(__xludf.DUMMYFUNCTION("""COMPUTED_VALUE"""),"621")</f>
        <v>621</v>
      </c>
      <c r="B287" s="265" t="str">
        <f>IFERROR(__xludf.DUMMYFUNCTION("""COMPUTED_VALUE"""),"Sài Gòn")</f>
        <v>Sài Gòn</v>
      </c>
      <c r="C287" s="265" t="str">
        <f>IFERROR(__xludf.DUMMYFUNCTION("""COMPUTED_VALUE"""),"Active")</f>
        <v>Active</v>
      </c>
      <c r="D287" s="265" t="str">
        <f>IFERROR(__xludf.DUMMYFUNCTION("""COMPUTED_VALUE"""),"Sale chưa cung cấp")</f>
        <v>Sale chưa cung cấp</v>
      </c>
      <c r="E287" s="265" t="str">
        <f>IFERROR(__xludf.DUMMYFUNCTION("""COMPUTED_VALUE"""),"TúPHN")</f>
        <v>TúPHN</v>
      </c>
      <c r="F287" s="265" t="str">
        <f>IFERROR(__xludf.DUMMYFUNCTION("""COMPUTED_VALUE"""),"Bronze")</f>
        <v>Bronze</v>
      </c>
      <c r="G287" s="265" t="str">
        <f>IFERROR(__xludf.DUMMYFUNCTION("""COMPUTED_VALUE"""),"Enterprise")</f>
        <v>Enterprise</v>
      </c>
      <c r="H287" s="265" t="str">
        <f>IFERROR(__xludf.DUMMYFUNCTION("""COMPUTED_VALUE"""),"Trả trước")</f>
        <v>Trả trước</v>
      </c>
      <c r="I287" s="265" t="str">
        <f>IFERROR(__xludf.DUMMYFUNCTION("""COMPUTED_VALUE"""),"Portal")</f>
        <v>Portal</v>
      </c>
      <c r="J287" s="265" t="str">
        <f>IFERROR(__xludf.DUMMYFUNCTION("""COMPUTED_VALUE"""),"DungPL")</f>
        <v>DungPL</v>
      </c>
    </row>
    <row r="288">
      <c r="A288" s="265" t="str">
        <f>IFERROR(__xludf.DUMMYFUNCTION("""COMPUTED_VALUE"""),"622")</f>
        <v>622</v>
      </c>
      <c r="B288" s="265" t="str">
        <f>IFERROR(__xludf.DUMMYFUNCTION("""COMPUTED_VALUE"""),"Hà Nội")</f>
        <v>Hà Nội</v>
      </c>
      <c r="C288" s="265" t="str">
        <f>IFERROR(__xludf.DUMMYFUNCTION("""COMPUTED_VALUE"""),"Locked")</f>
        <v>Locked</v>
      </c>
      <c r="D288" s="265" t="str">
        <f>IFERROR(__xludf.DUMMYFUNCTION("""COMPUTED_VALUE"""),"Sale chưa cung cấp")</f>
        <v>Sale chưa cung cấp</v>
      </c>
      <c r="E288" s="265" t="str">
        <f>IFERROR(__xludf.DUMMYFUNCTION("""COMPUTED_VALUE"""),"AnhNP")</f>
        <v>AnhNP</v>
      </c>
      <c r="F288" s="265" t="str">
        <f>IFERROR(__xludf.DUMMYFUNCTION("""COMPUTED_VALUE"""),"Sale chưa cung cấp")</f>
        <v>Sale chưa cung cấp</v>
      </c>
      <c r="G288" s="265" t="str">
        <f>IFERROR(__xludf.DUMMYFUNCTION("""COMPUTED_VALUE"""),"MSG")</f>
        <v>MSG</v>
      </c>
      <c r="H288" s="265" t="str">
        <f>IFERROR(__xludf.DUMMYFUNCTION("""COMPUTED_VALUE"""),"(Chưa recheck)")</f>
        <v>(Chưa recheck)</v>
      </c>
      <c r="I288" s="265" t="str">
        <f>IFERROR(__xludf.DUMMYFUNCTION("""COMPUTED_VALUE"""),"Portal")</f>
        <v>Portal</v>
      </c>
      <c r="J288" s="265" t="str">
        <f>IFERROR(__xludf.DUMMYFUNCTION("""COMPUTED_VALUE"""),"(Chưa recheck)")</f>
        <v>(Chưa recheck)</v>
      </c>
    </row>
    <row r="289">
      <c r="A289" s="265" t="str">
        <f>IFERROR(__xludf.DUMMYFUNCTION("""COMPUTED_VALUE"""),"620")</f>
        <v>620</v>
      </c>
      <c r="B289" s="265" t="str">
        <f>IFERROR(__xludf.DUMMYFUNCTION("""COMPUTED_VALUE"""),"Hà Nội")</f>
        <v>Hà Nội</v>
      </c>
      <c r="C289" s="265" t="str">
        <f>IFERROR(__xludf.DUMMYFUNCTION("""COMPUTED_VALUE"""),"Locked")</f>
        <v>Locked</v>
      </c>
      <c r="D289" s="265" t="str">
        <f>IFERROR(__xludf.DUMMYFUNCTION("""COMPUTED_VALUE"""),"Sale chưa cung cấp")</f>
        <v>Sale chưa cung cấp</v>
      </c>
      <c r="E289" s="265" t="str">
        <f>IFERROR(__xludf.DUMMYFUNCTION("""COMPUTED_VALUE"""),"TùngLD")</f>
        <v>TùngLD</v>
      </c>
      <c r="F289" s="265" t="str">
        <f>IFERROR(__xludf.DUMMYFUNCTION("""COMPUTED_VALUE"""),"Sale chưa cung cấp")</f>
        <v>Sale chưa cung cấp</v>
      </c>
      <c r="G289" s="265" t="str">
        <f>IFERROR(__xludf.DUMMYFUNCTION("""COMPUTED_VALUE"""),"SIMILAR")</f>
        <v>SIMILAR</v>
      </c>
      <c r="H289" s="265" t="str">
        <f>IFERROR(__xludf.DUMMYFUNCTION("""COMPUTED_VALUE"""),"(Chưa recheck)")</f>
        <v>(Chưa recheck)</v>
      </c>
      <c r="I289" s="265" t="str">
        <f>IFERROR(__xludf.DUMMYFUNCTION("""COMPUTED_VALUE"""),"Portal")</f>
        <v>Portal</v>
      </c>
      <c r="J289" s="265" t="str">
        <f>IFERROR(__xludf.DUMMYFUNCTION("""COMPUTED_VALUE"""),"(Chưa recheck)")</f>
        <v>(Chưa recheck)</v>
      </c>
    </row>
    <row r="290">
      <c r="A290" s="265" t="str">
        <f>IFERROR(__xludf.DUMMYFUNCTION("""COMPUTED_VALUE"""),"623")</f>
        <v>623</v>
      </c>
      <c r="B290" s="265" t="str">
        <f>IFERROR(__xludf.DUMMYFUNCTION("""COMPUTED_VALUE"""),"Sài Gòn")</f>
        <v>Sài Gòn</v>
      </c>
      <c r="C290" s="265" t="str">
        <f>IFERROR(__xludf.DUMMYFUNCTION("""COMPUTED_VALUE"""),"Locked")</f>
        <v>Locked</v>
      </c>
      <c r="D290" s="265" t="str">
        <f>IFERROR(__xludf.DUMMYFUNCTION("""COMPUTED_VALUE"""),"Sale chưa cung cấp")</f>
        <v>Sale chưa cung cấp</v>
      </c>
      <c r="E290" s="265" t="str">
        <f>IFERROR(__xludf.DUMMYFUNCTION("""COMPUTED_VALUE"""),"HoaNTM")</f>
        <v>HoaNTM</v>
      </c>
      <c r="F290" s="265" t="str">
        <f>IFERROR(__xludf.DUMMYFUNCTION("""COMPUTED_VALUE"""),"Sale chưa cung cấp")</f>
        <v>Sale chưa cung cấp</v>
      </c>
      <c r="G290" s="265" t="str">
        <f>IFERROR(__xludf.DUMMYFUNCTION("""COMPUTED_VALUE"""),"MSG")</f>
        <v>MSG</v>
      </c>
      <c r="H290" s="265" t="str">
        <f>IFERROR(__xludf.DUMMYFUNCTION("""COMPUTED_VALUE"""),"Trả sau")</f>
        <v>Trả sau</v>
      </c>
      <c r="I290" s="265" t="str">
        <f>IFERROR(__xludf.DUMMYFUNCTION("""COMPUTED_VALUE"""),"(Chưa recheck)")</f>
        <v>(Chưa recheck)</v>
      </c>
      <c r="J290" s="265" t="str">
        <f>IFERROR(__xludf.DUMMYFUNCTION("""COMPUTED_VALUE"""),"LinhNTT1")</f>
        <v>LinhNTT1</v>
      </c>
    </row>
    <row r="291">
      <c r="A291" s="265" t="str">
        <f>IFERROR(__xludf.DUMMYFUNCTION("""COMPUTED_VALUE"""),"624")</f>
        <v>624</v>
      </c>
      <c r="B291" s="265" t="str">
        <f>IFERROR(__xludf.DUMMYFUNCTION("""COMPUTED_VALUE"""),"Sài Gòn")</f>
        <v>Sài Gòn</v>
      </c>
      <c r="C291" s="265" t="str">
        <f>IFERROR(__xludf.DUMMYFUNCTION("""COMPUTED_VALUE"""),"Locked")</f>
        <v>Locked</v>
      </c>
      <c r="D291" s="265" t="str">
        <f>IFERROR(__xludf.DUMMYFUNCTION("""COMPUTED_VALUE"""),"Sale chưa cung cấp")</f>
        <v>Sale chưa cung cấp</v>
      </c>
      <c r="E291" s="265" t="str">
        <f>IFERROR(__xludf.DUMMYFUNCTION("""COMPUTED_VALUE"""),"TuVTC")</f>
        <v>TuVTC</v>
      </c>
      <c r="F291" s="265" t="str">
        <f>IFERROR(__xludf.DUMMYFUNCTION("""COMPUTED_VALUE"""),"Sale chưa cung cấp")</f>
        <v>Sale chưa cung cấp</v>
      </c>
      <c r="G291" s="265" t="str">
        <f>IFERROR(__xludf.DUMMYFUNCTION("""COMPUTED_VALUE"""),"MSG")</f>
        <v>MSG</v>
      </c>
      <c r="H291" s="265" t="str">
        <f>IFERROR(__xludf.DUMMYFUNCTION("""COMPUTED_VALUE"""),"(Chưa recheck)")</f>
        <v>(Chưa recheck)</v>
      </c>
      <c r="I291" s="265" t="str">
        <f>IFERROR(__xludf.DUMMYFUNCTION("""COMPUTED_VALUE"""),"(Chưa recheck)")</f>
        <v>(Chưa recheck)</v>
      </c>
      <c r="J291" s="265" t="str">
        <f>IFERROR(__xludf.DUMMYFUNCTION("""COMPUTED_VALUE"""),"TuVTC")</f>
        <v>TuVTC</v>
      </c>
    </row>
    <row r="292">
      <c r="A292" s="265" t="str">
        <f>IFERROR(__xludf.DUMMYFUNCTION("""COMPUTED_VALUE"""),"625")</f>
        <v>625</v>
      </c>
      <c r="B292" s="265" t="str">
        <f>IFERROR(__xludf.DUMMYFUNCTION("""COMPUTED_VALUE"""),"Sài Gòn")</f>
        <v>Sài Gòn</v>
      </c>
      <c r="C292" s="265" t="str">
        <f>IFERROR(__xludf.DUMMYFUNCTION("""COMPUTED_VALUE"""),"Active")</f>
        <v>Active</v>
      </c>
      <c r="D292" s="265" t="str">
        <f>IFERROR(__xludf.DUMMYFUNCTION("""COMPUTED_VALUE"""),"Sale chưa cung cấp")</f>
        <v>Sale chưa cung cấp</v>
      </c>
      <c r="E292" s="265" t="str">
        <f>IFERROR(__xludf.DUMMYFUNCTION("""COMPUTED_VALUE"""),"TúPHN")</f>
        <v>TúPHN</v>
      </c>
      <c r="F292" s="265" t="str">
        <f>IFERROR(__xludf.DUMMYFUNCTION("""COMPUTED_VALUE"""),"Gold")</f>
        <v>Gold</v>
      </c>
      <c r="G292" s="265" t="str">
        <f>IFERROR(__xludf.DUMMYFUNCTION("""COMPUTED_VALUE"""),"GAPONE HUBSPOT")</f>
        <v>GAPONE HUBSPOT</v>
      </c>
      <c r="H292" s="265" t="str">
        <f>IFERROR(__xludf.DUMMYFUNCTION("""COMPUTED_VALUE"""),"Trả sau")</f>
        <v>Trả sau</v>
      </c>
      <c r="I292" s="265" t="str">
        <f>IFERROR(__xludf.DUMMYFUNCTION("""COMPUTED_VALUE"""),"API")</f>
        <v>API</v>
      </c>
      <c r="J292" s="265" t="str">
        <f>IFERROR(__xludf.DUMMYFUNCTION("""COMPUTED_VALUE"""),"DungPL")</f>
        <v>DungPL</v>
      </c>
    </row>
    <row r="293">
      <c r="A293" s="265" t="str">
        <f>IFERROR(__xludf.DUMMYFUNCTION("""COMPUTED_VALUE"""),"626")</f>
        <v>626</v>
      </c>
      <c r="B293" s="265" t="str">
        <f>IFERROR(__xludf.DUMMYFUNCTION("""COMPUTED_VALUE"""),"Hà Nội")</f>
        <v>Hà Nội</v>
      </c>
      <c r="C293" s="265" t="str">
        <f>IFERROR(__xludf.DUMMYFUNCTION("""COMPUTED_VALUE"""),"Locked")</f>
        <v>Locked</v>
      </c>
      <c r="D293" s="265" t="str">
        <f>IFERROR(__xludf.DUMMYFUNCTION("""COMPUTED_VALUE"""),"Sale chưa cung cấp")</f>
        <v>Sale chưa cung cấp</v>
      </c>
      <c r="E293" s="265" t="str">
        <f>IFERROR(__xludf.DUMMYFUNCTION("""COMPUTED_VALUE"""),"TùngLD")</f>
        <v>TùngLD</v>
      </c>
      <c r="F293" s="265" t="str">
        <f>IFERROR(__xludf.DUMMYFUNCTION("""COMPUTED_VALUE"""),"Sale chưa cung cấp")</f>
        <v>Sale chưa cung cấp</v>
      </c>
      <c r="G293" s="265" t="str">
        <f>IFERROR(__xludf.DUMMYFUNCTION("""COMPUTED_VALUE"""),"Enterprise")</f>
        <v>Enterprise</v>
      </c>
      <c r="H293" s="265" t="str">
        <f>IFERROR(__xludf.DUMMYFUNCTION("""COMPUTED_VALUE"""),"Trial")</f>
        <v>Trial</v>
      </c>
      <c r="I293" s="265" t="str">
        <f>IFERROR(__xludf.DUMMYFUNCTION("""COMPUTED_VALUE"""),"Portal")</f>
        <v>Portal</v>
      </c>
      <c r="J293" s="265" t="str">
        <f>IFERROR(__xludf.DUMMYFUNCTION("""COMPUTED_VALUE"""),"(Không recheck)")</f>
        <v>(Không recheck)</v>
      </c>
    </row>
    <row r="294">
      <c r="A294" s="265" t="str">
        <f>IFERROR(__xludf.DUMMYFUNCTION("""COMPUTED_VALUE"""),"627")</f>
        <v>627</v>
      </c>
      <c r="B294" s="265" t="str">
        <f>IFERROR(__xludf.DUMMYFUNCTION("""COMPUTED_VALUE"""),"Sài Gòn")</f>
        <v>Sài Gòn</v>
      </c>
      <c r="C294" s="265" t="str">
        <f>IFERROR(__xludf.DUMMYFUNCTION("""COMPUTED_VALUE"""),"Active")</f>
        <v>Active</v>
      </c>
      <c r="D294" s="265" t="str">
        <f>IFERROR(__xludf.DUMMYFUNCTION("""COMPUTED_VALUE"""),"Sale chưa cung cấp")</f>
        <v>Sale chưa cung cấp</v>
      </c>
      <c r="E294" s="265" t="str">
        <f>IFERROR(__xludf.DUMMYFUNCTION("""COMPUTED_VALUE"""),"TùngLD")</f>
        <v>TùngLD</v>
      </c>
      <c r="F294" s="265" t="str">
        <f>IFERROR(__xludf.DUMMYFUNCTION("""COMPUTED_VALUE"""),"Bronze")</f>
        <v>Bronze</v>
      </c>
      <c r="G294" s="265" t="str">
        <f>IFERROR(__xludf.DUMMYFUNCTION("""COMPUTED_VALUE"""),"Starter")</f>
        <v>Starter</v>
      </c>
      <c r="H294" s="265" t="str">
        <f>IFERROR(__xludf.DUMMYFUNCTION("""COMPUTED_VALUE"""),"Trả sau")</f>
        <v>Trả sau</v>
      </c>
      <c r="I294" s="265" t="str">
        <f>IFERROR(__xludf.DUMMYFUNCTION("""COMPUTED_VALUE"""),"API &amp; Portal")</f>
        <v>API &amp; Portal</v>
      </c>
      <c r="J294" s="265" t="str">
        <f>IFERROR(__xludf.DUMMYFUNCTION("""COMPUTED_VALUE"""),"LinhNTT1")</f>
        <v>LinhNTT1</v>
      </c>
    </row>
    <row r="295">
      <c r="A295" s="265" t="str">
        <f>IFERROR(__xludf.DUMMYFUNCTION("""COMPUTED_VALUE"""),"628")</f>
        <v>628</v>
      </c>
      <c r="B295" s="265" t="str">
        <f>IFERROR(__xludf.DUMMYFUNCTION("""COMPUTED_VALUE"""),"Hà Nội")</f>
        <v>Hà Nội</v>
      </c>
      <c r="C295" s="265" t="str">
        <f>IFERROR(__xludf.DUMMYFUNCTION("""COMPUTED_VALUE"""),"Locked")</f>
        <v>Locked</v>
      </c>
      <c r="D295" s="265" t="str">
        <f>IFERROR(__xludf.DUMMYFUNCTION("""COMPUTED_VALUE"""),"Bảo hiểm")</f>
        <v>Bảo hiểm</v>
      </c>
      <c r="E295" s="265" t="str">
        <f>IFERROR(__xludf.DUMMYFUNCTION("""COMPUTED_VALUE"""),"TùngLD")</f>
        <v>TùngLD</v>
      </c>
      <c r="F295" s="265" t="str">
        <f>IFERROR(__xludf.DUMMYFUNCTION("""COMPUTED_VALUE"""),"Diamond")</f>
        <v>Diamond</v>
      </c>
      <c r="G295" s="265" t="str">
        <f>IFERROR(__xludf.DUMMYFUNCTION("""COMPUTED_VALUE"""),"Starter")</f>
        <v>Starter</v>
      </c>
      <c r="H295" s="265" t="str">
        <f>IFERROR(__xludf.DUMMYFUNCTION("""COMPUTED_VALUE"""),"Trả sau")</f>
        <v>Trả sau</v>
      </c>
      <c r="I295" s="265" t="str">
        <f>IFERROR(__xludf.DUMMYFUNCTION("""COMPUTED_VALUE"""),"API")</f>
        <v>API</v>
      </c>
      <c r="J295" s="265" t="str">
        <f>IFERROR(__xludf.DUMMYFUNCTION("""COMPUTED_VALUE"""),"DungPL")</f>
        <v>DungPL</v>
      </c>
    </row>
    <row r="296">
      <c r="A296" s="265" t="str">
        <f>IFERROR(__xludf.DUMMYFUNCTION("""COMPUTED_VALUE"""),"349")</f>
        <v>349</v>
      </c>
      <c r="B296" s="265" t="str">
        <f>IFERROR(__xludf.DUMMYFUNCTION("""COMPUTED_VALUE"""),"Hà Nội")</f>
        <v>Hà Nội</v>
      </c>
      <c r="C296" s="265" t="str">
        <f>IFERROR(__xludf.DUMMYFUNCTION("""COMPUTED_VALUE"""),"Locked")</f>
        <v>Locked</v>
      </c>
      <c r="D296" s="265" t="str">
        <f>IFERROR(__xludf.DUMMYFUNCTION("""COMPUTED_VALUE"""),"Sale chưa cung cấp")</f>
        <v>Sale chưa cung cấp</v>
      </c>
      <c r="E296" s="265" t="str">
        <f>IFERROR(__xludf.DUMMYFUNCTION("""COMPUTED_VALUE"""),"TúPHN")</f>
        <v>TúPHN</v>
      </c>
      <c r="F296" s="265" t="str">
        <f>IFERROR(__xludf.DUMMYFUNCTION("""COMPUTED_VALUE"""),"Bronze")</f>
        <v>Bronze</v>
      </c>
      <c r="G296" s="265" t="str">
        <f>IFERROR(__xludf.DUMMYFUNCTION("""COMPUTED_VALUE"""),"Starter")</f>
        <v>Starter</v>
      </c>
      <c r="H296" s="265" t="str">
        <f>IFERROR(__xludf.DUMMYFUNCTION("""COMPUTED_VALUE"""),"Trả trước")</f>
        <v>Trả trước</v>
      </c>
      <c r="I296" s="265" t="str">
        <f>IFERROR(__xludf.DUMMYFUNCTION("""COMPUTED_VALUE"""),"Portal")</f>
        <v>Portal</v>
      </c>
      <c r="J296" s="265" t="str">
        <f>IFERROR(__xludf.DUMMYFUNCTION("""COMPUTED_VALUE"""),"Không phân công")</f>
        <v>Không phân công</v>
      </c>
    </row>
    <row r="297">
      <c r="A297" s="265" t="str">
        <f>IFERROR(__xludf.DUMMYFUNCTION("""COMPUTED_VALUE"""),"629")</f>
        <v>629</v>
      </c>
      <c r="B297" s="265" t="str">
        <f>IFERROR(__xludf.DUMMYFUNCTION("""COMPUTED_VALUE"""),"Hà Nội")</f>
        <v>Hà Nội</v>
      </c>
      <c r="C297" s="265" t="str">
        <f>IFERROR(__xludf.DUMMYFUNCTION("""COMPUTED_VALUE"""),"Active")</f>
        <v>Active</v>
      </c>
      <c r="D297" s="265" t="str">
        <f>IFERROR(__xludf.DUMMYFUNCTION("""COMPUTED_VALUE"""),"Sale chưa cung cấp")</f>
        <v>Sale chưa cung cấp</v>
      </c>
      <c r="E297" s="265" t="str">
        <f>IFERROR(__xludf.DUMMYFUNCTION("""COMPUTED_VALUE"""),"Không phân công")</f>
        <v>Không phân công</v>
      </c>
      <c r="F297" s="265" t="str">
        <f>IFERROR(__xludf.DUMMYFUNCTION("""COMPUTED_VALUE"""),"Bronze")</f>
        <v>Bronze</v>
      </c>
      <c r="G297" s="265" t="str">
        <f>IFERROR(__xludf.DUMMYFUNCTION("""COMPUTED_VALUE"""),"Starter")</f>
        <v>Starter</v>
      </c>
      <c r="H297" s="265" t="str">
        <f>IFERROR(__xludf.DUMMYFUNCTION("""COMPUTED_VALUE"""),"Trả sau")</f>
        <v>Trả sau</v>
      </c>
      <c r="I297" s="265" t="str">
        <f>IFERROR(__xludf.DUMMYFUNCTION("""COMPUTED_VALUE"""),"API")</f>
        <v>API</v>
      </c>
      <c r="J297" s="265" t="str">
        <f>IFERROR(__xludf.DUMMYFUNCTION("""COMPUTED_VALUE"""),"YếnĐH")</f>
        <v>YếnĐH</v>
      </c>
    </row>
    <row r="298">
      <c r="A298" s="265" t="str">
        <f>IFERROR(__xludf.DUMMYFUNCTION("""COMPUTED_VALUE"""),"631")</f>
        <v>631</v>
      </c>
      <c r="B298" s="265" t="str">
        <f>IFERROR(__xludf.DUMMYFUNCTION("""COMPUTED_VALUE"""),"Sài Gòn")</f>
        <v>Sài Gòn</v>
      </c>
      <c r="C298" s="265" t="str">
        <f>IFERROR(__xludf.DUMMYFUNCTION("""COMPUTED_VALUE"""),"Active")</f>
        <v>Active</v>
      </c>
      <c r="D298" s="265" t="str">
        <f>IFERROR(__xludf.DUMMYFUNCTION("""COMPUTED_VALUE"""),"Sale chưa cung cấp")</f>
        <v>Sale chưa cung cấp</v>
      </c>
      <c r="E298" s="265" t="str">
        <f>IFERROR(__xludf.DUMMYFUNCTION("""COMPUTED_VALUE"""),"AnhNM")</f>
        <v>AnhNM</v>
      </c>
      <c r="F298" s="265" t="str">
        <f>IFERROR(__xludf.DUMMYFUNCTION("""COMPUTED_VALUE"""),"Diamond")</f>
        <v>Diamond</v>
      </c>
      <c r="G298" s="265" t="str">
        <f>IFERROR(__xludf.DUMMYFUNCTION("""COMPUTED_VALUE"""),"Enterprise")</f>
        <v>Enterprise</v>
      </c>
      <c r="H298" s="265" t="str">
        <f>IFERROR(__xludf.DUMMYFUNCTION("""COMPUTED_VALUE"""),"Trả sau")</f>
        <v>Trả sau</v>
      </c>
      <c r="I298" s="265" t="str">
        <f>IFERROR(__xludf.DUMMYFUNCTION("""COMPUTED_VALUE"""),"API")</f>
        <v>API</v>
      </c>
      <c r="J298" s="265" t="str">
        <f>IFERROR(__xludf.DUMMYFUNCTION("""COMPUTED_VALUE"""),"LinhNTT1")</f>
        <v>LinhNTT1</v>
      </c>
    </row>
    <row r="299">
      <c r="A299" s="265" t="str">
        <f>IFERROR(__xludf.DUMMYFUNCTION("""COMPUTED_VALUE"""),"630")</f>
        <v>630</v>
      </c>
      <c r="B299" s="265" t="str">
        <f>IFERROR(__xludf.DUMMYFUNCTION("""COMPUTED_VALUE"""),"Hà Nội")</f>
        <v>Hà Nội</v>
      </c>
      <c r="C299" s="265" t="str">
        <f>IFERROR(__xludf.DUMMYFUNCTION("""COMPUTED_VALUE"""),"Active")</f>
        <v>Active</v>
      </c>
      <c r="D299" s="265" t="str">
        <f>IFERROR(__xludf.DUMMYFUNCTION("""COMPUTED_VALUE"""),"Sale chưa cung cấp")</f>
        <v>Sale chưa cung cấp</v>
      </c>
      <c r="E299" s="265" t="str">
        <f>IFERROR(__xludf.DUMMYFUNCTION("""COMPUTED_VALUE"""),"TúPHN")</f>
        <v>TúPHN</v>
      </c>
      <c r="F299" s="265" t="str">
        <f>IFERROR(__xludf.DUMMYFUNCTION("""COMPUTED_VALUE"""),"Gold")</f>
        <v>Gold</v>
      </c>
      <c r="G299" s="265" t="str">
        <f>IFERROR(__xludf.DUMMYFUNCTION("""COMPUTED_VALUE"""),"Starter")</f>
        <v>Starter</v>
      </c>
      <c r="H299" s="265" t="str">
        <f>IFERROR(__xludf.DUMMYFUNCTION("""COMPUTED_VALUE"""),"Trả sau")</f>
        <v>Trả sau</v>
      </c>
      <c r="I299" s="265" t="str">
        <f>IFERROR(__xludf.DUMMYFUNCTION("""COMPUTED_VALUE"""),"API")</f>
        <v>API</v>
      </c>
      <c r="J299" s="265" t="str">
        <f>IFERROR(__xludf.DUMMYFUNCTION("""COMPUTED_VALUE"""),"DungPL")</f>
        <v>DungPL</v>
      </c>
    </row>
    <row r="300">
      <c r="A300" s="265" t="str">
        <f>IFERROR(__xludf.DUMMYFUNCTION("""COMPUTED_VALUE"""),"633")</f>
        <v>633</v>
      </c>
      <c r="B300" s="265" t="str">
        <f>IFERROR(__xludf.DUMMYFUNCTION("""COMPUTED_VALUE"""),"Sài Gòn")</f>
        <v>Sài Gòn</v>
      </c>
      <c r="C300" s="265" t="str">
        <f>IFERROR(__xludf.DUMMYFUNCTION("""COMPUTED_VALUE"""),"Locked")</f>
        <v>Locked</v>
      </c>
      <c r="D300" s="265" t="str">
        <f>IFERROR(__xludf.DUMMYFUNCTION("""COMPUTED_VALUE"""),"Sale chưa cung cấp")</f>
        <v>Sale chưa cung cấp</v>
      </c>
      <c r="E300" s="265" t="str">
        <f>IFERROR(__xludf.DUMMYFUNCTION("""COMPUTED_VALUE"""),"HoaNTM")</f>
        <v>HoaNTM</v>
      </c>
      <c r="F300" s="265" t="str">
        <f>IFERROR(__xludf.DUMMYFUNCTION("""COMPUTED_VALUE"""),"Sale chưa cung cấp")</f>
        <v>Sale chưa cung cấp</v>
      </c>
      <c r="G300" s="265" t="str">
        <f>IFERROR(__xludf.DUMMYFUNCTION("""COMPUTED_VALUE"""),"SIMILAR")</f>
        <v>SIMILAR</v>
      </c>
      <c r="H300" s="265" t="str">
        <f>IFERROR(__xludf.DUMMYFUNCTION("""COMPUTED_VALUE"""),"(Chưa recheck)")</f>
        <v>(Chưa recheck)</v>
      </c>
      <c r="I300" s="265" t="str">
        <f>IFERROR(__xludf.DUMMYFUNCTION("""COMPUTED_VALUE"""),"(Chưa recheck)")</f>
        <v>(Chưa recheck)</v>
      </c>
      <c r="J300" s="265" t="str">
        <f>IFERROR(__xludf.DUMMYFUNCTION("""COMPUTED_VALUE"""),"(Chưa recheck)")</f>
        <v>(Chưa recheck)</v>
      </c>
    </row>
    <row r="301">
      <c r="A301" s="265" t="str">
        <f>IFERROR(__xludf.DUMMYFUNCTION("""COMPUTED_VALUE"""),"632")</f>
        <v>632</v>
      </c>
      <c r="B301" s="265" t="str">
        <f>IFERROR(__xludf.DUMMYFUNCTION("""COMPUTED_VALUE"""),"Đà Nẵng")</f>
        <v>Đà Nẵng</v>
      </c>
      <c r="C301" s="265" t="str">
        <f>IFERROR(__xludf.DUMMYFUNCTION("""COMPUTED_VALUE"""),"Active")</f>
        <v>Active</v>
      </c>
      <c r="D301" s="265" t="str">
        <f>IFERROR(__xludf.DUMMYFUNCTION("""COMPUTED_VALUE"""),"Sale chưa cung cấp")</f>
        <v>Sale chưa cung cấp</v>
      </c>
      <c r="E301" s="265" t="str">
        <f>IFERROR(__xludf.DUMMYFUNCTION("""COMPUTED_VALUE"""),"AnhNM")</f>
        <v>AnhNM</v>
      </c>
      <c r="F301" s="265" t="str">
        <f>IFERROR(__xludf.DUMMYFUNCTION("""COMPUTED_VALUE"""),"Silver")</f>
        <v>Silver</v>
      </c>
      <c r="G301" s="265" t="str">
        <f>IFERROR(__xludf.DUMMYFUNCTION("""COMPUTED_VALUE"""),"Premium")</f>
        <v>Premium</v>
      </c>
      <c r="H301" s="265" t="str">
        <f>IFERROR(__xludf.DUMMYFUNCTION("""COMPUTED_VALUE"""),"Trả sau")</f>
        <v>Trả sau</v>
      </c>
      <c r="I301" s="265" t="str">
        <f>IFERROR(__xludf.DUMMYFUNCTION("""COMPUTED_VALUE"""),"Portal")</f>
        <v>Portal</v>
      </c>
      <c r="J301" s="265" t="str">
        <f>IFERROR(__xludf.DUMMYFUNCTION("""COMPUTED_VALUE"""),"YếnĐH")</f>
        <v>YếnĐH</v>
      </c>
    </row>
    <row r="302">
      <c r="A302" s="265" t="str">
        <f>IFERROR(__xludf.DUMMYFUNCTION("""COMPUTED_VALUE"""),"634")</f>
        <v>634</v>
      </c>
      <c r="B302" s="265" t="str">
        <f>IFERROR(__xludf.DUMMYFUNCTION("""COMPUTED_VALUE"""),"Hà Nội")</f>
        <v>Hà Nội</v>
      </c>
      <c r="C302" s="265" t="str">
        <f>IFERROR(__xludf.DUMMYFUNCTION("""COMPUTED_VALUE"""),"Locked")</f>
        <v>Locked</v>
      </c>
      <c r="D302" s="265" t="str">
        <f>IFERROR(__xludf.DUMMYFUNCTION("""COMPUTED_VALUE"""),"Sale chưa cung cấp")</f>
        <v>Sale chưa cung cấp</v>
      </c>
      <c r="E302" s="265" t="str">
        <f>IFERROR(__xludf.DUMMYFUNCTION("""COMPUTED_VALUE"""),"(Chưa recheck)")</f>
        <v>(Chưa recheck)</v>
      </c>
      <c r="F302" s="265" t="str">
        <f>IFERROR(__xludf.DUMMYFUNCTION("""COMPUTED_VALUE"""),"Sale chưa cung cấp")</f>
        <v>Sale chưa cung cấp</v>
      </c>
      <c r="G302" s="265" t="str">
        <f>IFERROR(__xludf.DUMMYFUNCTION("""COMPUTED_VALUE"""),"MSG")</f>
        <v>MSG</v>
      </c>
      <c r="H302" s="265" t="str">
        <f>IFERROR(__xludf.DUMMYFUNCTION("""COMPUTED_VALUE"""),"Trả sau")</f>
        <v>Trả sau</v>
      </c>
      <c r="I302" s="265" t="str">
        <f>IFERROR(__xludf.DUMMYFUNCTION("""COMPUTED_VALUE"""),"Portal")</f>
        <v>Portal</v>
      </c>
      <c r="J302" s="265" t="str">
        <f>IFERROR(__xludf.DUMMYFUNCTION("""COMPUTED_VALUE"""),"ThanhLT")</f>
        <v>ThanhLT</v>
      </c>
    </row>
    <row r="303">
      <c r="A303" s="265" t="str">
        <f>IFERROR(__xludf.DUMMYFUNCTION("""COMPUTED_VALUE"""),"635")</f>
        <v>635</v>
      </c>
      <c r="B303" s="265" t="str">
        <f>IFERROR(__xludf.DUMMYFUNCTION("""COMPUTED_VALUE"""),"Sài Gòn")</f>
        <v>Sài Gòn</v>
      </c>
      <c r="C303" s="265" t="str">
        <f>IFERROR(__xludf.DUMMYFUNCTION("""COMPUTED_VALUE"""),"Locked")</f>
        <v>Locked</v>
      </c>
      <c r="D303" s="265" t="str">
        <f>IFERROR(__xludf.DUMMYFUNCTION("""COMPUTED_VALUE"""),"Sale chưa cung cấp")</f>
        <v>Sale chưa cung cấp</v>
      </c>
      <c r="E303" s="265" t="str">
        <f>IFERROR(__xludf.DUMMYFUNCTION("""COMPUTED_VALUE"""),"HoaNTM")</f>
        <v>HoaNTM</v>
      </c>
      <c r="F303" s="265" t="str">
        <f>IFERROR(__xludf.DUMMYFUNCTION("""COMPUTED_VALUE"""),"Sale chưa cung cấp")</f>
        <v>Sale chưa cung cấp</v>
      </c>
      <c r="G303" s="265" t="str">
        <f>IFERROR(__xludf.DUMMYFUNCTION("""COMPUTED_VALUE"""),"SIMILAR")</f>
        <v>SIMILAR</v>
      </c>
      <c r="H303" s="265" t="str">
        <f>IFERROR(__xludf.DUMMYFUNCTION("""COMPUTED_VALUE"""),"Trả sau")</f>
        <v>Trả sau</v>
      </c>
      <c r="I303" s="265" t="str">
        <f>IFERROR(__xludf.DUMMYFUNCTION("""COMPUTED_VALUE"""),"(Chưa recheck)")</f>
        <v>(Chưa recheck)</v>
      </c>
      <c r="J303" s="265" t="str">
        <f>IFERROR(__xludf.DUMMYFUNCTION("""COMPUTED_VALUE"""),"(Chưa recheck)")</f>
        <v>(Chưa recheck)</v>
      </c>
    </row>
    <row r="304">
      <c r="A304" s="265" t="str">
        <f>IFERROR(__xludf.DUMMYFUNCTION("""COMPUTED_VALUE"""),"636")</f>
        <v>636</v>
      </c>
      <c r="B304" s="265" t="str">
        <f>IFERROR(__xludf.DUMMYFUNCTION("""COMPUTED_VALUE"""),"Hà Nội")</f>
        <v>Hà Nội</v>
      </c>
      <c r="C304" s="265" t="str">
        <f>IFERROR(__xludf.DUMMYFUNCTION("""COMPUTED_VALUE"""),"Locked")</f>
        <v>Locked</v>
      </c>
      <c r="D304" s="265" t="str">
        <f>IFERROR(__xludf.DUMMYFUNCTION("""COMPUTED_VALUE"""),"Thực phẩm &amp; Đồ uống")</f>
        <v>Thực phẩm &amp; Đồ uống</v>
      </c>
      <c r="E304" s="265" t="str">
        <f>IFERROR(__xludf.DUMMYFUNCTION("""COMPUTED_VALUE"""),"HangNT")</f>
        <v>HangNT</v>
      </c>
      <c r="F304" s="265" t="str">
        <f>IFERROR(__xludf.DUMMYFUNCTION("""COMPUTED_VALUE"""),"Sale chưa cung cấp")</f>
        <v>Sale chưa cung cấp</v>
      </c>
      <c r="G304" s="265" t="str">
        <f>IFERROR(__xludf.DUMMYFUNCTION("""COMPUTED_VALUE"""),"SIMILAR")</f>
        <v>SIMILAR</v>
      </c>
      <c r="H304" s="265" t="str">
        <f>IFERROR(__xludf.DUMMYFUNCTION("""COMPUTED_VALUE"""),"Trả sau")</f>
        <v>Trả sau</v>
      </c>
      <c r="I304" s="265" t="str">
        <f>IFERROR(__xludf.DUMMYFUNCTION("""COMPUTED_VALUE"""),"Portal")</f>
        <v>Portal</v>
      </c>
      <c r="J304" s="265" t="str">
        <f>IFERROR(__xludf.DUMMYFUNCTION("""COMPUTED_VALUE"""),"(Chưa recheck)")</f>
        <v>(Chưa recheck)</v>
      </c>
    </row>
    <row r="305">
      <c r="A305" s="265" t="str">
        <f>IFERROR(__xludf.DUMMYFUNCTION("""COMPUTED_VALUE"""),"637")</f>
        <v>637</v>
      </c>
      <c r="B305" s="265" t="str">
        <f>IFERROR(__xludf.DUMMYFUNCTION("""COMPUTED_VALUE"""),"Đà Nẵng")</f>
        <v>Đà Nẵng</v>
      </c>
      <c r="C305" s="265" t="str">
        <f>IFERROR(__xludf.DUMMYFUNCTION("""COMPUTED_VALUE"""),"Active")</f>
        <v>Active</v>
      </c>
      <c r="D305" s="265" t="str">
        <f>IFERROR(__xludf.DUMMYFUNCTION("""COMPUTED_VALUE"""),"Sale chưa cung cấp")</f>
        <v>Sale chưa cung cấp</v>
      </c>
      <c r="E305" s="265" t="str">
        <f>IFERROR(__xludf.DUMMYFUNCTION("""COMPUTED_VALUE"""),"AnhNM")</f>
        <v>AnhNM</v>
      </c>
      <c r="F305" s="265" t="str">
        <f>IFERROR(__xludf.DUMMYFUNCTION("""COMPUTED_VALUE"""),"Silver")</f>
        <v>Silver</v>
      </c>
      <c r="G305" s="265" t="str">
        <f>IFERROR(__xludf.DUMMYFUNCTION("""COMPUTED_VALUE"""),"Enterprise")</f>
        <v>Enterprise</v>
      </c>
      <c r="H305" s="265" t="str">
        <f>IFERROR(__xludf.DUMMYFUNCTION("""COMPUTED_VALUE"""),"Trả sau")</f>
        <v>Trả sau</v>
      </c>
      <c r="I305" s="265" t="str">
        <f>IFERROR(__xludf.DUMMYFUNCTION("""COMPUTED_VALUE"""),"Portal")</f>
        <v>Portal</v>
      </c>
      <c r="J305" s="265" t="str">
        <f>IFERROR(__xludf.DUMMYFUNCTION("""COMPUTED_VALUE"""),"DungPL")</f>
        <v>DungPL</v>
      </c>
    </row>
    <row r="306">
      <c r="A306" s="265" t="str">
        <f>IFERROR(__xludf.DUMMYFUNCTION("""COMPUTED_VALUE"""),"639")</f>
        <v>639</v>
      </c>
      <c r="B306" s="265" t="str">
        <f>IFERROR(__xludf.DUMMYFUNCTION("""COMPUTED_VALUE"""),"Hà Nội")</f>
        <v>Hà Nội</v>
      </c>
      <c r="C306" s="265" t="str">
        <f>IFERROR(__xludf.DUMMYFUNCTION("""COMPUTED_VALUE"""),"Locked")</f>
        <v>Locked</v>
      </c>
      <c r="D306" s="265" t="str">
        <f>IFERROR(__xludf.DUMMYFUNCTION("""COMPUTED_VALUE"""),"Sale chưa cung cấp")</f>
        <v>Sale chưa cung cấp</v>
      </c>
      <c r="E306" s="265" t="str">
        <f>IFERROR(__xludf.DUMMYFUNCTION("""COMPUTED_VALUE"""),"PhươngDTB")</f>
        <v>PhươngDTB</v>
      </c>
      <c r="F306" s="265" t="str">
        <f>IFERROR(__xludf.DUMMYFUNCTION("""COMPUTED_VALUE"""),"Sale chưa cung cấp")</f>
        <v>Sale chưa cung cấp</v>
      </c>
      <c r="G306" s="265" t="str">
        <f>IFERROR(__xludf.DUMMYFUNCTION("""COMPUTED_VALUE"""),"API")</f>
        <v>API</v>
      </c>
      <c r="H306" s="265" t="str">
        <f>IFERROR(__xludf.DUMMYFUNCTION("""COMPUTED_VALUE"""),"Trial")</f>
        <v>Trial</v>
      </c>
      <c r="I306" s="265" t="str">
        <f>IFERROR(__xludf.DUMMYFUNCTION("""COMPUTED_VALUE"""),"API")</f>
        <v>API</v>
      </c>
      <c r="J306" s="265" t="str">
        <f>IFERROR(__xludf.DUMMYFUNCTION("""COMPUTED_VALUE"""),"(Không recheck)")</f>
        <v>(Không recheck)</v>
      </c>
    </row>
    <row r="307">
      <c r="A307" s="265" t="str">
        <f>IFERROR(__xludf.DUMMYFUNCTION("""COMPUTED_VALUE"""),"640")</f>
        <v>640</v>
      </c>
      <c r="B307" s="265" t="str">
        <f>IFERROR(__xludf.DUMMYFUNCTION("""COMPUTED_VALUE"""),"Hà Nội")</f>
        <v>Hà Nội</v>
      </c>
      <c r="C307" s="265" t="str">
        <f>IFERROR(__xludf.DUMMYFUNCTION("""COMPUTED_VALUE"""),"Locked")</f>
        <v>Locked</v>
      </c>
      <c r="D307" s="265" t="str">
        <f>IFERROR(__xludf.DUMMYFUNCTION("""COMPUTED_VALUE"""),"Viễn thông")</f>
        <v>Viễn thông</v>
      </c>
      <c r="E307" s="265" t="str">
        <f>IFERROR(__xludf.DUMMYFUNCTION("""COMPUTED_VALUE"""),"TùngLD")</f>
        <v>TùngLD</v>
      </c>
      <c r="F307" s="265" t="str">
        <f>IFERROR(__xludf.DUMMYFUNCTION("""COMPUTED_VALUE"""),"Gold")</f>
        <v>Gold</v>
      </c>
      <c r="G307" s="265" t="str">
        <f>IFERROR(__xludf.DUMMYFUNCTION("""COMPUTED_VALUE"""),"SIMILAR")</f>
        <v>SIMILAR</v>
      </c>
      <c r="H307" s="265" t="str">
        <f>IFERROR(__xludf.DUMMYFUNCTION("""COMPUTED_VALUE"""),"Trả sau")</f>
        <v>Trả sau</v>
      </c>
      <c r="I307" s="265" t="str">
        <f>IFERROR(__xludf.DUMMYFUNCTION("""COMPUTED_VALUE"""),"Portal")</f>
        <v>Portal</v>
      </c>
      <c r="J307" s="265" t="str">
        <f>IFERROR(__xludf.DUMMYFUNCTION("""COMPUTED_VALUE"""),"AnhNM")</f>
        <v>AnhNM</v>
      </c>
    </row>
    <row r="308">
      <c r="A308" s="265" t="str">
        <f>IFERROR(__xludf.DUMMYFUNCTION("""COMPUTED_VALUE"""),"638")</f>
        <v>638</v>
      </c>
      <c r="B308" s="265" t="str">
        <f>IFERROR(__xludf.DUMMYFUNCTION("""COMPUTED_VALUE"""),"Sài Gòn")</f>
        <v>Sài Gòn</v>
      </c>
      <c r="C308" s="265" t="str">
        <f>IFERROR(__xludf.DUMMYFUNCTION("""COMPUTED_VALUE"""),"Locked")</f>
        <v>Locked</v>
      </c>
      <c r="D308" s="265" t="str">
        <f>IFERROR(__xludf.DUMMYFUNCTION("""COMPUTED_VALUE"""),"Sale chưa cung cấp")</f>
        <v>Sale chưa cung cấp</v>
      </c>
      <c r="E308" s="265" t="str">
        <f>IFERROR(__xludf.DUMMYFUNCTION("""COMPUTED_VALUE"""),"HoaNTM")</f>
        <v>HoaNTM</v>
      </c>
      <c r="F308" s="265" t="str">
        <f>IFERROR(__xludf.DUMMYFUNCTION("""COMPUTED_VALUE"""),"Diamond")</f>
        <v>Diamond</v>
      </c>
      <c r="G308" s="265" t="str">
        <f>IFERROR(__xludf.DUMMYFUNCTION("""COMPUTED_VALUE"""),"SIMILAR")</f>
        <v>SIMILAR</v>
      </c>
      <c r="H308" s="265" t="str">
        <f>IFERROR(__xludf.DUMMYFUNCTION("""COMPUTED_VALUE"""),"Trả sau")</f>
        <v>Trả sau</v>
      </c>
      <c r="I308" s="265" t="str">
        <f>IFERROR(__xludf.DUMMYFUNCTION("""COMPUTED_VALUE"""),"(Chưa recheck)")</f>
        <v>(Chưa recheck)</v>
      </c>
      <c r="J308" s="265" t="str">
        <f>IFERROR(__xludf.DUMMYFUNCTION("""COMPUTED_VALUE"""),"(Chưa recheck)")</f>
        <v>(Chưa recheck)</v>
      </c>
    </row>
    <row r="309">
      <c r="A309" s="265" t="str">
        <f>IFERROR(__xludf.DUMMYFUNCTION("""COMPUTED_VALUE"""),"641")</f>
        <v>641</v>
      </c>
      <c r="B309" s="265" t="str">
        <f>IFERROR(__xludf.DUMMYFUNCTION("""COMPUTED_VALUE"""),"Sài Gòn")</f>
        <v>Sài Gòn</v>
      </c>
      <c r="C309" s="265" t="str">
        <f>IFERROR(__xludf.DUMMYFUNCTION("""COMPUTED_VALUE"""),"Active")</f>
        <v>Active</v>
      </c>
      <c r="D309" s="265" t="str">
        <f>IFERROR(__xludf.DUMMYFUNCTION("""COMPUTED_VALUE"""),"Sale chưa cung cấp")</f>
        <v>Sale chưa cung cấp</v>
      </c>
      <c r="E309" s="265" t="str">
        <f>IFERROR(__xludf.DUMMYFUNCTION("""COMPUTED_VALUE"""),"Không phân công")</f>
        <v>Không phân công</v>
      </c>
      <c r="F309" s="265" t="str">
        <f>IFERROR(__xludf.DUMMYFUNCTION("""COMPUTED_VALUE"""),"Silver")</f>
        <v>Silver</v>
      </c>
      <c r="G309" s="265" t="str">
        <f>IFERROR(__xludf.DUMMYFUNCTION("""COMPUTED_VALUE"""),"Starter")</f>
        <v>Starter</v>
      </c>
      <c r="H309" s="265" t="str">
        <f>IFERROR(__xludf.DUMMYFUNCTION("""COMPUTED_VALUE"""),"Trả sau")</f>
        <v>Trả sau</v>
      </c>
      <c r="I309" s="265" t="str">
        <f>IFERROR(__xludf.DUMMYFUNCTION("""COMPUTED_VALUE"""),"Portal")</f>
        <v>Portal</v>
      </c>
      <c r="J309" s="265" t="str">
        <f>IFERROR(__xludf.DUMMYFUNCTION("""COMPUTED_VALUE"""),"LinhNTT1")</f>
        <v>LinhNTT1</v>
      </c>
    </row>
    <row r="310">
      <c r="A310" s="265" t="str">
        <f>IFERROR(__xludf.DUMMYFUNCTION("""COMPUTED_VALUE"""),"642")</f>
        <v>642</v>
      </c>
      <c r="B310" s="265" t="str">
        <f>IFERROR(__xludf.DUMMYFUNCTION("""COMPUTED_VALUE"""),"Hà Nội")</f>
        <v>Hà Nội</v>
      </c>
      <c r="C310" s="265" t="str">
        <f>IFERROR(__xludf.DUMMYFUNCTION("""COMPUTED_VALUE"""),"Locked")</f>
        <v>Locked</v>
      </c>
      <c r="D310" s="265" t="str">
        <f>IFERROR(__xludf.DUMMYFUNCTION("""COMPUTED_VALUE"""),"Mua sắm &amp; Bán lẻ")</f>
        <v>Mua sắm &amp; Bán lẻ</v>
      </c>
      <c r="E310" s="265" t="str">
        <f>IFERROR(__xludf.DUMMYFUNCTION("""COMPUTED_VALUE"""),"Không phân công")</f>
        <v>Không phân công</v>
      </c>
      <c r="F310" s="265" t="str">
        <f>IFERROR(__xludf.DUMMYFUNCTION("""COMPUTED_VALUE"""),"Silver")</f>
        <v>Silver</v>
      </c>
      <c r="G310" s="265" t="str">
        <f>IFERROR(__xludf.DUMMYFUNCTION("""COMPUTED_VALUE"""),"Starter")</f>
        <v>Starter</v>
      </c>
      <c r="H310" s="265" t="str">
        <f>IFERROR(__xludf.DUMMYFUNCTION("""COMPUTED_VALUE"""),"Trả sau")</f>
        <v>Trả sau</v>
      </c>
      <c r="I310" s="265" t="str">
        <f>IFERROR(__xludf.DUMMYFUNCTION("""COMPUTED_VALUE"""),"API")</f>
        <v>API</v>
      </c>
      <c r="J310" s="265" t="str">
        <f>IFERROR(__xludf.DUMMYFUNCTION("""COMPUTED_VALUE"""),"DungVT")</f>
        <v>DungVT</v>
      </c>
    </row>
    <row r="311">
      <c r="A311" s="265" t="str">
        <f>IFERROR(__xludf.DUMMYFUNCTION("""COMPUTED_VALUE"""),"402")</f>
        <v>402</v>
      </c>
      <c r="B311" s="265" t="str">
        <f>IFERROR(__xludf.DUMMYFUNCTION("""COMPUTED_VALUE"""),"Hà Nội")</f>
        <v>Hà Nội</v>
      </c>
      <c r="C311" s="265" t="str">
        <f>IFERROR(__xludf.DUMMYFUNCTION("""COMPUTED_VALUE"""),"Locked")</f>
        <v>Locked</v>
      </c>
      <c r="D311" s="265" t="str">
        <f>IFERROR(__xludf.DUMMYFUNCTION("""COMPUTED_VALUE"""),"Sale chưa cung cấp")</f>
        <v>Sale chưa cung cấp</v>
      </c>
      <c r="E311" s="265" t="str">
        <f>IFERROR(__xludf.DUMMYFUNCTION("""COMPUTED_VALUE"""),"PhươngDTB")</f>
        <v>PhươngDTB</v>
      </c>
      <c r="F311" s="265" t="str">
        <f>IFERROR(__xludf.DUMMYFUNCTION("""COMPUTED_VALUE"""),"Gold")</f>
        <v>Gold</v>
      </c>
      <c r="G311" s="265" t="str">
        <f>IFERROR(__xludf.DUMMYFUNCTION("""COMPUTED_VALUE"""),"API")</f>
        <v>API</v>
      </c>
      <c r="H311" s="265" t="str">
        <f>IFERROR(__xludf.DUMMYFUNCTION("""COMPUTED_VALUE"""),"(Chưa recheck)")</f>
        <v>(Chưa recheck)</v>
      </c>
      <c r="I311" s="265" t="str">
        <f>IFERROR(__xludf.DUMMYFUNCTION("""COMPUTED_VALUE"""),"(Chưa recheck)")</f>
        <v>(Chưa recheck)</v>
      </c>
      <c r="J311" s="265" t="str">
        <f>IFERROR(__xludf.DUMMYFUNCTION("""COMPUTED_VALUE"""),"YếnĐH")</f>
        <v>YếnĐH</v>
      </c>
    </row>
    <row r="312">
      <c r="A312" s="265" t="str">
        <f>IFERROR(__xludf.DUMMYFUNCTION("""COMPUTED_VALUE"""),"643")</f>
        <v>643</v>
      </c>
      <c r="B312" s="265" t="str">
        <f>IFERROR(__xludf.DUMMYFUNCTION("""COMPUTED_VALUE"""),"Sài Gòn")</f>
        <v>Sài Gòn</v>
      </c>
      <c r="C312" s="265" t="str">
        <f>IFERROR(__xludf.DUMMYFUNCTION("""COMPUTED_VALUE"""),"Locked")</f>
        <v>Locked</v>
      </c>
      <c r="D312" s="265" t="str">
        <f>IFERROR(__xludf.DUMMYFUNCTION("""COMPUTED_VALUE"""),"Sale chưa cung cấp")</f>
        <v>Sale chưa cung cấp</v>
      </c>
      <c r="E312" s="265" t="str">
        <f>IFERROR(__xludf.DUMMYFUNCTION("""COMPUTED_VALUE"""),"TuVTC")</f>
        <v>TuVTC</v>
      </c>
      <c r="F312" s="265" t="str">
        <f>IFERROR(__xludf.DUMMYFUNCTION("""COMPUTED_VALUE"""),"Sale chưa cung cấp")</f>
        <v>Sale chưa cung cấp</v>
      </c>
      <c r="G312" s="265" t="str">
        <f>IFERROR(__xludf.DUMMYFUNCTION("""COMPUTED_VALUE"""),"MSG")</f>
        <v>MSG</v>
      </c>
      <c r="H312" s="265" t="str">
        <f>IFERROR(__xludf.DUMMYFUNCTION("""COMPUTED_VALUE"""),"(Chưa recheck)")</f>
        <v>(Chưa recheck)</v>
      </c>
      <c r="I312" s="265" t="str">
        <f>IFERROR(__xludf.DUMMYFUNCTION("""COMPUTED_VALUE"""),"(Chưa recheck)")</f>
        <v>(Chưa recheck)</v>
      </c>
      <c r="J312" s="265" t="str">
        <f>IFERROR(__xludf.DUMMYFUNCTION("""COMPUTED_VALUE"""),"TuVTC")</f>
        <v>TuVTC</v>
      </c>
    </row>
    <row r="313">
      <c r="A313" s="265" t="str">
        <f>IFERROR(__xludf.DUMMYFUNCTION("""COMPUTED_VALUE"""),"644")</f>
        <v>644</v>
      </c>
      <c r="B313" s="265" t="str">
        <f>IFERROR(__xludf.DUMMYFUNCTION("""COMPUTED_VALUE"""),"Sài Gòn")</f>
        <v>Sài Gòn</v>
      </c>
      <c r="C313" s="265" t="str">
        <f>IFERROR(__xludf.DUMMYFUNCTION("""COMPUTED_VALUE"""),"Active")</f>
        <v>Active</v>
      </c>
      <c r="D313" s="265" t="str">
        <f>IFERROR(__xludf.DUMMYFUNCTION("""COMPUTED_VALUE"""),"Sale chưa cung cấp")</f>
        <v>Sale chưa cung cấp</v>
      </c>
      <c r="E313" s="265" t="str">
        <f>IFERROR(__xludf.DUMMYFUNCTION("""COMPUTED_VALUE"""),"TúPHN")</f>
        <v>TúPHN</v>
      </c>
      <c r="F313" s="265" t="str">
        <f>IFERROR(__xludf.DUMMYFUNCTION("""COMPUTED_VALUE"""),"Gold")</f>
        <v>Gold</v>
      </c>
      <c r="G313" s="265" t="str">
        <f>IFERROR(__xludf.DUMMYFUNCTION("""COMPUTED_VALUE"""),"Starter")</f>
        <v>Starter</v>
      </c>
      <c r="H313" s="265" t="str">
        <f>IFERROR(__xludf.DUMMYFUNCTION("""COMPUTED_VALUE"""),"Trả sau")</f>
        <v>Trả sau</v>
      </c>
      <c r="I313" s="265" t="str">
        <f>IFERROR(__xludf.DUMMYFUNCTION("""COMPUTED_VALUE"""),"Portal")</f>
        <v>Portal</v>
      </c>
      <c r="J313" s="265" t="str">
        <f>IFERROR(__xludf.DUMMYFUNCTION("""COMPUTED_VALUE"""),"LinhNTT1")</f>
        <v>LinhNTT1</v>
      </c>
    </row>
    <row r="314">
      <c r="A314" s="265" t="str">
        <f>IFERROR(__xludf.DUMMYFUNCTION("""COMPUTED_VALUE"""),"645")</f>
        <v>645</v>
      </c>
      <c r="B314" s="265" t="str">
        <f>IFERROR(__xludf.DUMMYFUNCTION("""COMPUTED_VALUE"""),"Hà Nội")</f>
        <v>Hà Nội</v>
      </c>
      <c r="C314" s="265" t="str">
        <f>IFERROR(__xludf.DUMMYFUNCTION("""COMPUTED_VALUE"""),"Locked")</f>
        <v>Locked</v>
      </c>
      <c r="D314" s="265" t="str">
        <f>IFERROR(__xludf.DUMMYFUNCTION("""COMPUTED_VALUE"""),"Y tế &amp; Dược phẩm")</f>
        <v>Y tế &amp; Dược phẩm</v>
      </c>
      <c r="E314" s="265" t="str">
        <f>IFERROR(__xludf.DUMMYFUNCTION("""COMPUTED_VALUE"""),"HangNT")</f>
        <v>HangNT</v>
      </c>
      <c r="F314" s="265" t="str">
        <f>IFERROR(__xludf.DUMMYFUNCTION("""COMPUTED_VALUE"""),"Bronze")</f>
        <v>Bronze</v>
      </c>
      <c r="G314" s="265" t="str">
        <f>IFERROR(__xludf.DUMMYFUNCTION("""COMPUTED_VALUE"""),"Enterprise")</f>
        <v>Enterprise</v>
      </c>
      <c r="H314" s="265" t="str">
        <f>IFERROR(__xludf.DUMMYFUNCTION("""COMPUTED_VALUE"""),"Trả trước")</f>
        <v>Trả trước</v>
      </c>
      <c r="I314" s="265" t="str">
        <f>IFERROR(__xludf.DUMMYFUNCTION("""COMPUTED_VALUE"""),"Portal")</f>
        <v>Portal</v>
      </c>
      <c r="J314" s="265" t="str">
        <f>IFERROR(__xludf.DUMMYFUNCTION("""COMPUTED_VALUE"""),"(Chưa recheck)")</f>
        <v>(Chưa recheck)</v>
      </c>
    </row>
    <row r="315">
      <c r="A315" s="265" t="str">
        <f>IFERROR(__xludf.DUMMYFUNCTION("""COMPUTED_VALUE"""),"647")</f>
        <v>647</v>
      </c>
      <c r="B315" s="265" t="str">
        <f>IFERROR(__xludf.DUMMYFUNCTION("""COMPUTED_VALUE"""),"Hà Nội")</f>
        <v>Hà Nội</v>
      </c>
      <c r="C315" s="265" t="str">
        <f>IFERROR(__xludf.DUMMYFUNCTION("""COMPUTED_VALUE"""),"Locked")</f>
        <v>Locked</v>
      </c>
      <c r="D315" s="265" t="str">
        <f>IFERROR(__xludf.DUMMYFUNCTION("""COMPUTED_VALUE"""),"Sale chưa cung cấp")</f>
        <v>Sale chưa cung cấp</v>
      </c>
      <c r="E315" s="265" t="str">
        <f>IFERROR(__xludf.DUMMYFUNCTION("""COMPUTED_VALUE"""),"AnhNP")</f>
        <v>AnhNP</v>
      </c>
      <c r="F315" s="265" t="str">
        <f>IFERROR(__xludf.DUMMYFUNCTION("""COMPUTED_VALUE"""),"Sale chưa cung cấp")</f>
        <v>Sale chưa cung cấp</v>
      </c>
      <c r="G315" s="265" t="str">
        <f>IFERROR(__xludf.DUMMYFUNCTION("""COMPUTED_VALUE"""),"MSG")</f>
        <v>MSG</v>
      </c>
      <c r="H315" s="265" t="str">
        <f>IFERROR(__xludf.DUMMYFUNCTION("""COMPUTED_VALUE"""),"Trial")</f>
        <v>Trial</v>
      </c>
      <c r="I315" s="265" t="str">
        <f>IFERROR(__xludf.DUMMYFUNCTION("""COMPUTED_VALUE"""),"Portal")</f>
        <v>Portal</v>
      </c>
      <c r="J315" s="265" t="str">
        <f>IFERROR(__xludf.DUMMYFUNCTION("""COMPUTED_VALUE"""),"(Không recheck)")</f>
        <v>(Không recheck)</v>
      </c>
    </row>
    <row r="316">
      <c r="A316" s="265" t="str">
        <f>IFERROR(__xludf.DUMMYFUNCTION("""COMPUTED_VALUE"""),"651")</f>
        <v>651</v>
      </c>
      <c r="B316" s="265" t="str">
        <f>IFERROR(__xludf.DUMMYFUNCTION("""COMPUTED_VALUE"""),"Hà Nội")</f>
        <v>Hà Nội</v>
      </c>
      <c r="C316" s="265" t="str">
        <f>IFERROR(__xludf.DUMMYFUNCTION("""COMPUTED_VALUE"""),"Active")</f>
        <v>Active</v>
      </c>
      <c r="D316" s="265" t="str">
        <f>IFERROR(__xludf.DUMMYFUNCTION("""COMPUTED_VALUE"""),"Sản xuất &amp; Chế tạo")</f>
        <v>Sản xuất &amp; Chế tạo</v>
      </c>
      <c r="E316" s="265" t="str">
        <f>IFERROR(__xludf.DUMMYFUNCTION("""COMPUTED_VALUE"""),"TúPHN")</f>
        <v>TúPHN</v>
      </c>
      <c r="F316" s="265" t="str">
        <f>IFERROR(__xludf.DUMMYFUNCTION("""COMPUTED_VALUE"""),"Bronze")</f>
        <v>Bronze</v>
      </c>
      <c r="G316" s="265" t="str">
        <f>IFERROR(__xludf.DUMMYFUNCTION("""COMPUTED_VALUE"""),"Standard")</f>
        <v>Standard</v>
      </c>
      <c r="H316" s="265" t="str">
        <f>IFERROR(__xludf.DUMMYFUNCTION("""COMPUTED_VALUE"""),"Trả trước")</f>
        <v>Trả trước</v>
      </c>
      <c r="I316" s="265" t="str">
        <f>IFERROR(__xludf.DUMMYFUNCTION("""COMPUTED_VALUE"""),"API &amp; Portal")</f>
        <v>API &amp; Portal</v>
      </c>
      <c r="J316" s="265" t="str">
        <f>IFERROR(__xludf.DUMMYFUNCTION("""COMPUTED_VALUE"""),"LinhNTT1")</f>
        <v>LinhNTT1</v>
      </c>
    </row>
    <row r="317">
      <c r="A317" s="265" t="str">
        <f>IFERROR(__xludf.DUMMYFUNCTION("""COMPUTED_VALUE"""),"646")</f>
        <v>646</v>
      </c>
      <c r="B317" s="265" t="str">
        <f>IFERROR(__xludf.DUMMYFUNCTION("""COMPUTED_VALUE"""),"Sài Gòn")</f>
        <v>Sài Gòn</v>
      </c>
      <c r="C317" s="265" t="str">
        <f>IFERROR(__xludf.DUMMYFUNCTION("""COMPUTED_VALUE"""),"Locked")</f>
        <v>Locked</v>
      </c>
      <c r="D317" s="265" t="str">
        <f>IFERROR(__xludf.DUMMYFUNCTION("""COMPUTED_VALUE"""),"Hành chính công")</f>
        <v>Hành chính công</v>
      </c>
      <c r="E317" s="265" t="str">
        <f>IFERROR(__xludf.DUMMYFUNCTION("""COMPUTED_VALUE"""),"TùngLD")</f>
        <v>TùngLD</v>
      </c>
      <c r="F317" s="265" t="str">
        <f>IFERROR(__xludf.DUMMYFUNCTION("""COMPUTED_VALUE"""),"Gold")</f>
        <v>Gold</v>
      </c>
      <c r="G317" s="265" t="str">
        <f>IFERROR(__xludf.DUMMYFUNCTION("""COMPUTED_VALUE"""),"Enterprise")</f>
        <v>Enterprise</v>
      </c>
      <c r="H317" s="265" t="str">
        <f>IFERROR(__xludf.DUMMYFUNCTION("""COMPUTED_VALUE"""),"(Chưa recheck)")</f>
        <v>(Chưa recheck)</v>
      </c>
      <c r="I317" s="265" t="str">
        <f>IFERROR(__xludf.DUMMYFUNCTION("""COMPUTED_VALUE"""),"Portal")</f>
        <v>Portal</v>
      </c>
      <c r="J317" s="265" t="str">
        <f>IFERROR(__xludf.DUMMYFUNCTION("""COMPUTED_VALUE"""),"AnhNM")</f>
        <v>AnhNM</v>
      </c>
    </row>
    <row r="318">
      <c r="A318" s="265" t="str">
        <f>IFERROR(__xludf.DUMMYFUNCTION("""COMPUTED_VALUE"""),"648")</f>
        <v>648</v>
      </c>
      <c r="B318" s="265" t="str">
        <f>IFERROR(__xludf.DUMMYFUNCTION("""COMPUTED_VALUE"""),"Sài Gòn")</f>
        <v>Sài Gòn</v>
      </c>
      <c r="C318" s="265" t="str">
        <f>IFERROR(__xludf.DUMMYFUNCTION("""COMPUTED_VALUE"""),"Locked")</f>
        <v>Locked</v>
      </c>
      <c r="D318" s="265" t="str">
        <f>IFERROR(__xludf.DUMMYFUNCTION("""COMPUTED_VALUE"""),"Sale chưa cung cấp")</f>
        <v>Sale chưa cung cấp</v>
      </c>
      <c r="E318" s="265" t="str">
        <f>IFERROR(__xludf.DUMMYFUNCTION("""COMPUTED_VALUE"""),"(Không recheck)")</f>
        <v>(Không recheck)</v>
      </c>
      <c r="F318" s="265" t="str">
        <f>IFERROR(__xludf.DUMMYFUNCTION("""COMPUTED_VALUE"""),"Diamond")</f>
        <v>Diamond</v>
      </c>
      <c r="G318" s="265" t="str">
        <f>IFERROR(__xludf.DUMMYFUNCTION("""COMPUTED_VALUE"""),"Enterprise")</f>
        <v>Enterprise</v>
      </c>
      <c r="H318" s="265" t="str">
        <f>IFERROR(__xludf.DUMMYFUNCTION("""COMPUTED_VALUE"""),"Trial")</f>
        <v>Trial</v>
      </c>
      <c r="I318" s="265" t="str">
        <f>IFERROR(__xludf.DUMMYFUNCTION("""COMPUTED_VALUE"""),"(Không recheck)")</f>
        <v>(Không recheck)</v>
      </c>
      <c r="J318" s="265" t="str">
        <f>IFERROR(__xludf.DUMMYFUNCTION("""COMPUTED_VALUE"""),"(Không recheck)")</f>
        <v>(Không recheck)</v>
      </c>
    </row>
    <row r="319">
      <c r="A319" s="265" t="str">
        <f>IFERROR(__xludf.DUMMYFUNCTION("""COMPUTED_VALUE"""),"649")</f>
        <v>649</v>
      </c>
      <c r="B319" s="265" t="str">
        <f>IFERROR(__xludf.DUMMYFUNCTION("""COMPUTED_VALUE"""),"Sài Gòn")</f>
        <v>Sài Gòn</v>
      </c>
      <c r="C319" s="265" t="str">
        <f>IFERROR(__xludf.DUMMYFUNCTION("""COMPUTED_VALUE"""),"Locked")</f>
        <v>Locked</v>
      </c>
      <c r="D319" s="265" t="str">
        <f>IFERROR(__xludf.DUMMYFUNCTION("""COMPUTED_VALUE"""),"Sale chưa cung cấp")</f>
        <v>Sale chưa cung cấp</v>
      </c>
      <c r="E319" s="265" t="str">
        <f>IFERROR(__xludf.DUMMYFUNCTION("""COMPUTED_VALUE"""),"HoaNTM")</f>
        <v>HoaNTM</v>
      </c>
      <c r="F319" s="265" t="str">
        <f>IFERROR(__xludf.DUMMYFUNCTION("""COMPUTED_VALUE"""),"Silver")</f>
        <v>Silver</v>
      </c>
      <c r="G319" s="265" t="str">
        <f>IFERROR(__xludf.DUMMYFUNCTION("""COMPUTED_VALUE"""),"Enterprise")</f>
        <v>Enterprise</v>
      </c>
      <c r="H319" s="265" t="str">
        <f>IFERROR(__xludf.DUMMYFUNCTION("""COMPUTED_VALUE"""),"(Chưa recheck)")</f>
        <v>(Chưa recheck)</v>
      </c>
      <c r="I319" s="265" t="str">
        <f>IFERROR(__xludf.DUMMYFUNCTION("""COMPUTED_VALUE"""),"(Chưa recheck)")</f>
        <v>(Chưa recheck)</v>
      </c>
      <c r="J319" s="265" t="str">
        <f>IFERROR(__xludf.DUMMYFUNCTION("""COMPUTED_VALUE"""),"DungPL")</f>
        <v>DungPL</v>
      </c>
    </row>
    <row r="320">
      <c r="A320" s="265" t="str">
        <f>IFERROR(__xludf.DUMMYFUNCTION("""COMPUTED_VALUE"""),"650")</f>
        <v>650</v>
      </c>
      <c r="B320" s="265" t="str">
        <f>IFERROR(__xludf.DUMMYFUNCTION("""COMPUTED_VALUE"""),"Hà Nội")</f>
        <v>Hà Nội</v>
      </c>
      <c r="C320" s="265" t="str">
        <f>IFERROR(__xludf.DUMMYFUNCTION("""COMPUTED_VALUE"""),"Active")</f>
        <v>Active</v>
      </c>
      <c r="D320" s="265" t="str">
        <f>IFERROR(__xludf.DUMMYFUNCTION("""COMPUTED_VALUE"""),"Sản xuất &amp; Chế tạo")</f>
        <v>Sản xuất &amp; Chế tạo</v>
      </c>
      <c r="E320" s="265" t="str">
        <f>IFERROR(__xludf.DUMMYFUNCTION("""COMPUTED_VALUE"""),"AnhNM")</f>
        <v>AnhNM</v>
      </c>
      <c r="F320" s="265" t="str">
        <f>IFERROR(__xludf.DUMMYFUNCTION("""COMPUTED_VALUE"""),"Bronze")</f>
        <v>Bronze</v>
      </c>
      <c r="G320" s="265" t="str">
        <f>IFERROR(__xludf.DUMMYFUNCTION("""COMPUTED_VALUE"""),"Premium")</f>
        <v>Premium</v>
      </c>
      <c r="H320" s="265" t="str">
        <f>IFERROR(__xludf.DUMMYFUNCTION("""COMPUTED_VALUE"""),"Trả sau")</f>
        <v>Trả sau</v>
      </c>
      <c r="I320" s="265" t="str">
        <f>IFERROR(__xludf.DUMMYFUNCTION("""COMPUTED_VALUE"""),"API")</f>
        <v>API</v>
      </c>
      <c r="J320" s="265" t="str">
        <f>IFERROR(__xludf.DUMMYFUNCTION("""COMPUTED_VALUE"""),"LinhNTT1")</f>
        <v>LinhNTT1</v>
      </c>
    </row>
    <row r="321">
      <c r="A321" s="265" t="str">
        <f>IFERROR(__xludf.DUMMYFUNCTION("""COMPUTED_VALUE"""),"652")</f>
        <v>652</v>
      </c>
      <c r="B321" s="265" t="str">
        <f>IFERROR(__xludf.DUMMYFUNCTION("""COMPUTED_VALUE"""),"Hà Nội")</f>
        <v>Hà Nội</v>
      </c>
      <c r="C321" s="265" t="str">
        <f>IFERROR(__xludf.DUMMYFUNCTION("""COMPUTED_VALUE"""),"Locked")</f>
        <v>Locked</v>
      </c>
      <c r="D321" s="265" t="str">
        <f>IFERROR(__xludf.DUMMYFUNCTION("""COMPUTED_VALUE"""),"Y tế &amp; Dược phẩm")</f>
        <v>Y tế &amp; Dược phẩm</v>
      </c>
      <c r="E321" s="265" t="str">
        <f>IFERROR(__xludf.DUMMYFUNCTION("""COMPUTED_VALUE"""),"NamDT")</f>
        <v>NamDT</v>
      </c>
      <c r="F321" s="265" t="str">
        <f>IFERROR(__xludf.DUMMYFUNCTION("""COMPUTED_VALUE"""),"Sale chưa cung cấp")</f>
        <v>Sale chưa cung cấp</v>
      </c>
      <c r="G321" s="265" t="str">
        <f>IFERROR(__xludf.DUMMYFUNCTION("""COMPUTED_VALUE"""),"Enterprise")</f>
        <v>Enterprise</v>
      </c>
      <c r="H321" s="265" t="str">
        <f>IFERROR(__xludf.DUMMYFUNCTION("""COMPUTED_VALUE"""),"Trả trước")</f>
        <v>Trả trước</v>
      </c>
      <c r="I321" s="265" t="str">
        <f>IFERROR(__xludf.DUMMYFUNCTION("""COMPUTED_VALUE"""),"Portal")</f>
        <v>Portal</v>
      </c>
      <c r="J321" s="265" t="str">
        <f>IFERROR(__xludf.DUMMYFUNCTION("""COMPUTED_VALUE"""),"(Chưa recheck)")</f>
        <v>(Chưa recheck)</v>
      </c>
    </row>
    <row r="322">
      <c r="A322" s="265" t="str">
        <f>IFERROR(__xludf.DUMMYFUNCTION("""COMPUTED_VALUE"""),"654")</f>
        <v>654</v>
      </c>
      <c r="B322" s="265" t="str">
        <f>IFERROR(__xludf.DUMMYFUNCTION("""COMPUTED_VALUE"""),"Sài Gòn")</f>
        <v>Sài Gòn</v>
      </c>
      <c r="C322" s="265" t="str">
        <f>IFERROR(__xludf.DUMMYFUNCTION("""COMPUTED_VALUE"""),"Locked")</f>
        <v>Locked</v>
      </c>
      <c r="D322" s="265" t="str">
        <f>IFERROR(__xludf.DUMMYFUNCTION("""COMPUTED_VALUE"""),"Viễn thông")</f>
        <v>Viễn thông</v>
      </c>
      <c r="E322" s="265" t="str">
        <f>IFERROR(__xludf.DUMMYFUNCTION("""COMPUTED_VALUE"""),"HoaNTM")</f>
        <v>HoaNTM</v>
      </c>
      <c r="F322" s="265" t="str">
        <f>IFERROR(__xludf.DUMMYFUNCTION("""COMPUTED_VALUE"""),"Sale chưa cung cấp")</f>
        <v>Sale chưa cung cấp</v>
      </c>
      <c r="G322" s="265" t="str">
        <f>IFERROR(__xludf.DUMMYFUNCTION("""COMPUTED_VALUE"""),"Enterprise")</f>
        <v>Enterprise</v>
      </c>
      <c r="H322" s="265" t="str">
        <f>IFERROR(__xludf.DUMMYFUNCTION("""COMPUTED_VALUE"""),"Trả sau")</f>
        <v>Trả sau</v>
      </c>
      <c r="I322" s="265" t="str">
        <f>IFERROR(__xludf.DUMMYFUNCTION("""COMPUTED_VALUE"""),"API &amp; Portal")</f>
        <v>API &amp; Portal</v>
      </c>
      <c r="J322" s="265" t="str">
        <f>IFERROR(__xludf.DUMMYFUNCTION("""COMPUTED_VALUE"""),"AnhNM")</f>
        <v>AnhNM</v>
      </c>
    </row>
    <row r="323">
      <c r="A323" s="265" t="str">
        <f>IFERROR(__xludf.DUMMYFUNCTION("""COMPUTED_VALUE"""),"655")</f>
        <v>655</v>
      </c>
      <c r="B323" s="265" t="str">
        <f>IFERROR(__xludf.DUMMYFUNCTION("""COMPUTED_VALUE"""),"Sài Gòn")</f>
        <v>Sài Gòn</v>
      </c>
      <c r="C323" s="265" t="str">
        <f>IFERROR(__xludf.DUMMYFUNCTION("""COMPUTED_VALUE"""),"Active")</f>
        <v>Active</v>
      </c>
      <c r="D323" s="265" t="str">
        <f>IFERROR(__xludf.DUMMYFUNCTION("""COMPUTED_VALUE"""),"Thực phẩm &amp; Đồ uống")</f>
        <v>Thực phẩm &amp; Đồ uống</v>
      </c>
      <c r="E323" s="265" t="str">
        <f>IFERROR(__xludf.DUMMYFUNCTION("""COMPUTED_VALUE"""),"TùngLD")</f>
        <v>TùngLD</v>
      </c>
      <c r="F323" s="265" t="str">
        <f>IFERROR(__xludf.DUMMYFUNCTION("""COMPUTED_VALUE"""),"Diamond")</f>
        <v>Diamond</v>
      </c>
      <c r="G323" s="265" t="str">
        <f>IFERROR(__xludf.DUMMYFUNCTION("""COMPUTED_VALUE"""),"Enterprise")</f>
        <v>Enterprise</v>
      </c>
      <c r="H323" s="265" t="str">
        <f>IFERROR(__xludf.DUMMYFUNCTION("""COMPUTED_VALUE"""),"Trả sau")</f>
        <v>Trả sau</v>
      </c>
      <c r="I323" s="265" t="str">
        <f>IFERROR(__xludf.DUMMYFUNCTION("""COMPUTED_VALUE"""),"API")</f>
        <v>API</v>
      </c>
      <c r="J323" s="265" t="str">
        <f>IFERROR(__xludf.DUMMYFUNCTION("""COMPUTED_VALUE"""),"Không phân công")</f>
        <v>Không phân công</v>
      </c>
    </row>
    <row r="324">
      <c r="A324" s="265" t="str">
        <f>IFERROR(__xludf.DUMMYFUNCTION("""COMPUTED_VALUE"""),"656")</f>
        <v>656</v>
      </c>
      <c r="B324" s="265" t="str">
        <f>IFERROR(__xludf.DUMMYFUNCTION("""COMPUTED_VALUE"""),"Hà Nội")</f>
        <v>Hà Nội</v>
      </c>
      <c r="C324" s="265" t="str">
        <f>IFERROR(__xludf.DUMMYFUNCTION("""COMPUTED_VALUE"""),"Locked")</f>
        <v>Locked</v>
      </c>
      <c r="D324" s="265" t="str">
        <f>IFERROR(__xludf.DUMMYFUNCTION("""COMPUTED_VALUE"""),"Giáo dục &amp; Đào tạo")</f>
        <v>Giáo dục &amp; Đào tạo</v>
      </c>
      <c r="E324" s="265" t="str">
        <f>IFERROR(__xludf.DUMMYFUNCTION("""COMPUTED_VALUE"""),"AnhNP")</f>
        <v>AnhNP</v>
      </c>
      <c r="F324" s="265" t="str">
        <f>IFERROR(__xludf.DUMMYFUNCTION("""COMPUTED_VALUE"""),"Sale chưa cung cấp")</f>
        <v>Sale chưa cung cấp</v>
      </c>
      <c r="G324" s="265" t="str">
        <f>IFERROR(__xludf.DUMMYFUNCTION("""COMPUTED_VALUE"""),"Enterprise")</f>
        <v>Enterprise</v>
      </c>
      <c r="H324" s="265" t="str">
        <f>IFERROR(__xludf.DUMMYFUNCTION("""COMPUTED_VALUE"""),"Trả trước")</f>
        <v>Trả trước</v>
      </c>
      <c r="I324" s="265" t="str">
        <f>IFERROR(__xludf.DUMMYFUNCTION("""COMPUTED_VALUE"""),"Portal")</f>
        <v>Portal</v>
      </c>
      <c r="J324" s="265" t="str">
        <f>IFERROR(__xludf.DUMMYFUNCTION("""COMPUTED_VALUE"""),"(Chưa recheck)")</f>
        <v>(Chưa recheck)</v>
      </c>
    </row>
    <row r="325">
      <c r="A325" s="265" t="str">
        <f>IFERROR(__xludf.DUMMYFUNCTION("""COMPUTED_VALUE"""),"674")</f>
        <v>674</v>
      </c>
      <c r="B325" s="265" t="str">
        <f>IFERROR(__xludf.DUMMYFUNCTION("""COMPUTED_VALUE"""),"Hà Nội")</f>
        <v>Hà Nội</v>
      </c>
      <c r="C325" s="265" t="str">
        <f>IFERROR(__xludf.DUMMYFUNCTION("""COMPUTED_VALUE"""),"Active")</f>
        <v>Active</v>
      </c>
      <c r="D325" s="265" t="str">
        <f>IFERROR(__xludf.DUMMYFUNCTION("""COMPUTED_VALUE"""),"Mua sắm &amp; Bán lẻ")</f>
        <v>Mua sắm &amp; Bán lẻ</v>
      </c>
      <c r="E325" s="265" t="str">
        <f>IFERROR(__xludf.DUMMYFUNCTION("""COMPUTED_VALUE"""),"TúPHN")</f>
        <v>TúPHN</v>
      </c>
      <c r="F325" s="265" t="str">
        <f>IFERROR(__xludf.DUMMYFUNCTION("""COMPUTED_VALUE"""),"Diamond")</f>
        <v>Diamond</v>
      </c>
      <c r="G325" s="265" t="str">
        <f>IFERROR(__xludf.DUMMYFUNCTION("""COMPUTED_VALUE"""),"Enterprise")</f>
        <v>Enterprise</v>
      </c>
      <c r="H325" s="265" t="str">
        <f>IFERROR(__xludf.DUMMYFUNCTION("""COMPUTED_VALUE"""),"Trả sau")</f>
        <v>Trả sau</v>
      </c>
      <c r="I325" s="265" t="str">
        <f>IFERROR(__xludf.DUMMYFUNCTION("""COMPUTED_VALUE"""),"Portal")</f>
        <v>Portal</v>
      </c>
      <c r="J325" s="265" t="str">
        <f>IFERROR(__xludf.DUMMYFUNCTION("""COMPUTED_VALUE"""),"DungPL")</f>
        <v>DungPL</v>
      </c>
    </row>
    <row r="326">
      <c r="A326" s="265" t="str">
        <f>IFERROR(__xludf.DUMMYFUNCTION("""COMPUTED_VALUE"""),"659")</f>
        <v>659</v>
      </c>
      <c r="B326" s="265" t="str">
        <f>IFERROR(__xludf.DUMMYFUNCTION("""COMPUTED_VALUE"""),"Hà Nội")</f>
        <v>Hà Nội</v>
      </c>
      <c r="C326" s="265" t="str">
        <f>IFERROR(__xludf.DUMMYFUNCTION("""COMPUTED_VALUE"""),"Locked")</f>
        <v>Locked</v>
      </c>
      <c r="D326" s="265" t="str">
        <f>IFERROR(__xludf.DUMMYFUNCTION("""COMPUTED_VALUE"""),"Tài chính &amp; Ngân hàng")</f>
        <v>Tài chính &amp; Ngân hàng</v>
      </c>
      <c r="E326" s="265" t="str">
        <f>IFERROR(__xludf.DUMMYFUNCTION("""COMPUTED_VALUE"""),"NamDT")</f>
        <v>NamDT</v>
      </c>
      <c r="F326" s="265" t="str">
        <f>IFERROR(__xludf.DUMMYFUNCTION("""COMPUTED_VALUE"""),"Sale chưa cung cấp")</f>
        <v>Sale chưa cung cấp</v>
      </c>
      <c r="G326" s="265" t="str">
        <f>IFERROR(__xludf.DUMMYFUNCTION("""COMPUTED_VALUE"""),"Enterprise")</f>
        <v>Enterprise</v>
      </c>
      <c r="H326" s="265" t="str">
        <f>IFERROR(__xludf.DUMMYFUNCTION("""COMPUTED_VALUE"""),"Trial")</f>
        <v>Trial</v>
      </c>
      <c r="I326" s="265" t="str">
        <f>IFERROR(__xludf.DUMMYFUNCTION("""COMPUTED_VALUE"""),"API")</f>
        <v>API</v>
      </c>
      <c r="J326" s="265" t="str">
        <f>IFERROR(__xludf.DUMMYFUNCTION("""COMPUTED_VALUE"""),"YếnĐH")</f>
        <v>YếnĐH</v>
      </c>
    </row>
    <row r="327">
      <c r="A327" s="265" t="str">
        <f>IFERROR(__xludf.DUMMYFUNCTION("""COMPUTED_VALUE"""),"658")</f>
        <v>658</v>
      </c>
      <c r="B327" s="265" t="str">
        <f>IFERROR(__xludf.DUMMYFUNCTION("""COMPUTED_VALUE"""),"Sài Gòn")</f>
        <v>Sài Gòn</v>
      </c>
      <c r="C327" s="265" t="str">
        <f>IFERROR(__xludf.DUMMYFUNCTION("""COMPUTED_VALUE"""),"Active")</f>
        <v>Active</v>
      </c>
      <c r="D327" s="265" t="str">
        <f>IFERROR(__xludf.DUMMYFUNCTION("""COMPUTED_VALUE"""),"Công nghệ &amp; Phần mềm")</f>
        <v>Công nghệ &amp; Phần mềm</v>
      </c>
      <c r="E327" s="265" t="str">
        <f>IFERROR(__xludf.DUMMYFUNCTION("""COMPUTED_VALUE"""),"TúPHN")</f>
        <v>TúPHN</v>
      </c>
      <c r="F327" s="265" t="str">
        <f>IFERROR(__xludf.DUMMYFUNCTION("""COMPUTED_VALUE"""),"Gold")</f>
        <v>Gold</v>
      </c>
      <c r="G327" s="265" t="str">
        <f>IFERROR(__xludf.DUMMYFUNCTION("""COMPUTED_VALUE"""),"Premium")</f>
        <v>Premium</v>
      </c>
      <c r="H327" s="265" t="str">
        <f>IFERROR(__xludf.DUMMYFUNCTION("""COMPUTED_VALUE"""),"Trả sau")</f>
        <v>Trả sau</v>
      </c>
      <c r="I327" s="265" t="str">
        <f>IFERROR(__xludf.DUMMYFUNCTION("""COMPUTED_VALUE"""),"API")</f>
        <v>API</v>
      </c>
      <c r="J327" s="265" t="str">
        <f>IFERROR(__xludf.DUMMYFUNCTION("""COMPUTED_VALUE"""),"LinhNTT1")</f>
        <v>LinhNTT1</v>
      </c>
    </row>
    <row r="328">
      <c r="A328" s="265" t="str">
        <f>IFERROR(__xludf.DUMMYFUNCTION("""COMPUTED_VALUE"""),"660")</f>
        <v>660</v>
      </c>
      <c r="B328" s="265" t="str">
        <f>IFERROR(__xludf.DUMMYFUNCTION("""COMPUTED_VALUE"""),"Sài Gòn")</f>
        <v>Sài Gòn</v>
      </c>
      <c r="C328" s="265" t="str">
        <f>IFERROR(__xludf.DUMMYFUNCTION("""COMPUTED_VALUE"""),"Active")</f>
        <v>Active</v>
      </c>
      <c r="D328" s="265" t="str">
        <f>IFERROR(__xludf.DUMMYFUNCTION("""COMPUTED_VALUE"""),"Sale chưa cung cấp")</f>
        <v>Sale chưa cung cấp</v>
      </c>
      <c r="E328" s="265" t="str">
        <f>IFERROR(__xludf.DUMMYFUNCTION("""COMPUTED_VALUE"""),"TùngLD")</f>
        <v>TùngLD</v>
      </c>
      <c r="F328" s="265" t="str">
        <f>IFERROR(__xludf.DUMMYFUNCTION("""COMPUTED_VALUE"""),"Diamond")</f>
        <v>Diamond</v>
      </c>
      <c r="G328" s="265" t="str">
        <f>IFERROR(__xludf.DUMMYFUNCTION("""COMPUTED_VALUE"""),"Starter")</f>
        <v>Starter</v>
      </c>
      <c r="H328" s="265" t="str">
        <f>IFERROR(__xludf.DUMMYFUNCTION("""COMPUTED_VALUE"""),"Trả sau")</f>
        <v>Trả sau</v>
      </c>
      <c r="I328" s="265" t="str">
        <f>IFERROR(__xludf.DUMMYFUNCTION("""COMPUTED_VALUE"""),"Portal")</f>
        <v>Portal</v>
      </c>
      <c r="J328" s="265" t="str">
        <f>IFERROR(__xludf.DUMMYFUNCTION("""COMPUTED_VALUE"""),"LinhNTT1")</f>
        <v>LinhNTT1</v>
      </c>
    </row>
    <row r="329">
      <c r="A329" s="265" t="str">
        <f>IFERROR(__xludf.DUMMYFUNCTION("""COMPUTED_VALUE"""),"661")</f>
        <v>661</v>
      </c>
      <c r="B329" s="265" t="str">
        <f>IFERROR(__xludf.DUMMYFUNCTION("""COMPUTED_VALUE"""),"Hà Nội")</f>
        <v>Hà Nội</v>
      </c>
      <c r="C329" s="265" t="str">
        <f>IFERROR(__xludf.DUMMYFUNCTION("""COMPUTED_VALUE"""),"Locked")</f>
        <v>Locked</v>
      </c>
      <c r="D329" s="265" t="str">
        <f>IFERROR(__xludf.DUMMYFUNCTION("""COMPUTED_VALUE"""),"Viễn thông")</f>
        <v>Viễn thông</v>
      </c>
      <c r="E329" s="265" t="str">
        <f>IFERROR(__xludf.DUMMYFUNCTION("""COMPUTED_VALUE"""),"TùngLD")</f>
        <v>TùngLD</v>
      </c>
      <c r="F329" s="265" t="str">
        <f>IFERROR(__xludf.DUMMYFUNCTION("""COMPUTED_VALUE"""),"Gold")</f>
        <v>Gold</v>
      </c>
      <c r="G329" s="265" t="str">
        <f>IFERROR(__xludf.DUMMYFUNCTION("""COMPUTED_VALUE"""),"Enterprise")</f>
        <v>Enterprise</v>
      </c>
      <c r="H329" s="265" t="str">
        <f>IFERROR(__xludf.DUMMYFUNCTION("""COMPUTED_VALUE"""),"Trả sau")</f>
        <v>Trả sau</v>
      </c>
      <c r="I329" s="265" t="str">
        <f>IFERROR(__xludf.DUMMYFUNCTION("""COMPUTED_VALUE"""),"Portal")</f>
        <v>Portal</v>
      </c>
      <c r="J329" s="265" t="str">
        <f>IFERROR(__xludf.DUMMYFUNCTION("""COMPUTED_VALUE"""),"DungPL")</f>
        <v>DungPL</v>
      </c>
    </row>
    <row r="330">
      <c r="A330" s="265" t="str">
        <f>IFERROR(__xludf.DUMMYFUNCTION("""COMPUTED_VALUE"""),"662")</f>
        <v>662</v>
      </c>
      <c r="B330" s="265" t="str">
        <f>IFERROR(__xludf.DUMMYFUNCTION("""COMPUTED_VALUE"""),"Sài Gòn")</f>
        <v>Sài Gòn</v>
      </c>
      <c r="C330" s="265" t="str">
        <f>IFERROR(__xludf.DUMMYFUNCTION("""COMPUTED_VALUE"""),"Locked")</f>
        <v>Locked</v>
      </c>
      <c r="D330" s="265" t="str">
        <f>IFERROR(__xludf.DUMMYFUNCTION("""COMPUTED_VALUE"""),"Sale chưa cung cấp")</f>
        <v>Sale chưa cung cấp</v>
      </c>
      <c r="E330" s="265" t="str">
        <f>IFERROR(__xludf.DUMMYFUNCTION("""COMPUTED_VALUE"""),"TuVTC")</f>
        <v>TuVTC</v>
      </c>
      <c r="F330" s="265" t="str">
        <f>IFERROR(__xludf.DUMMYFUNCTION("""COMPUTED_VALUE"""),"Sale chưa cung cấp")</f>
        <v>Sale chưa cung cấp</v>
      </c>
      <c r="G330" s="265" t="str">
        <f>IFERROR(__xludf.DUMMYFUNCTION("""COMPUTED_VALUE"""),"MSG")</f>
        <v>MSG</v>
      </c>
      <c r="H330" s="265" t="str">
        <f>IFERROR(__xludf.DUMMYFUNCTION("""COMPUTED_VALUE"""),"Trả sau")</f>
        <v>Trả sau</v>
      </c>
      <c r="I330" s="265" t="str">
        <f>IFERROR(__xludf.DUMMYFUNCTION("""COMPUTED_VALUE"""),"(Chưa recheck)")</f>
        <v>(Chưa recheck)</v>
      </c>
      <c r="J330" s="265" t="str">
        <f>IFERROR(__xludf.DUMMYFUNCTION("""COMPUTED_VALUE"""),"TuVTC")</f>
        <v>TuVTC</v>
      </c>
    </row>
    <row r="331">
      <c r="A331" s="265" t="str">
        <f>IFERROR(__xludf.DUMMYFUNCTION("""COMPUTED_VALUE"""),"663")</f>
        <v>663</v>
      </c>
      <c r="B331" s="265" t="str">
        <f>IFERROR(__xludf.DUMMYFUNCTION("""COMPUTED_VALUE"""),"Hà Nội")</f>
        <v>Hà Nội</v>
      </c>
      <c r="C331" s="265" t="str">
        <f>IFERROR(__xludf.DUMMYFUNCTION("""COMPUTED_VALUE"""),"Locked")</f>
        <v>Locked</v>
      </c>
      <c r="D331" s="265" t="str">
        <f>IFERROR(__xludf.DUMMYFUNCTION("""COMPUTED_VALUE"""),"Y tế &amp; Dược phẩm")</f>
        <v>Y tế &amp; Dược phẩm</v>
      </c>
      <c r="E331" s="265" t="str">
        <f>IFERROR(__xludf.DUMMYFUNCTION("""COMPUTED_VALUE"""),"TúPHN")</f>
        <v>TúPHN</v>
      </c>
      <c r="F331" s="265" t="str">
        <f>IFERROR(__xludf.DUMMYFUNCTION("""COMPUTED_VALUE"""),"Sale chưa cung cấp")</f>
        <v>Sale chưa cung cấp</v>
      </c>
      <c r="G331" s="265" t="str">
        <f>IFERROR(__xludf.DUMMYFUNCTION("""COMPUTED_VALUE"""),"Enterprise")</f>
        <v>Enterprise</v>
      </c>
      <c r="H331" s="265" t="str">
        <f>IFERROR(__xludf.DUMMYFUNCTION("""COMPUTED_VALUE"""),"Trial")</f>
        <v>Trial</v>
      </c>
      <c r="I331" s="265" t="str">
        <f>IFERROR(__xludf.DUMMYFUNCTION("""COMPUTED_VALUE"""),"API &amp; Portal")</f>
        <v>API &amp; Portal</v>
      </c>
      <c r="J331" s="265" t="str">
        <f>IFERROR(__xludf.DUMMYFUNCTION("""COMPUTED_VALUE"""),"DungPL")</f>
        <v>DungPL</v>
      </c>
    </row>
    <row r="332">
      <c r="A332" s="265" t="str">
        <f>IFERROR(__xludf.DUMMYFUNCTION("""COMPUTED_VALUE"""),"665")</f>
        <v>665</v>
      </c>
      <c r="B332" s="265" t="str">
        <f>IFERROR(__xludf.DUMMYFUNCTION("""COMPUTED_VALUE"""),"Sài Gòn")</f>
        <v>Sài Gòn</v>
      </c>
      <c r="C332" s="265" t="str">
        <f>IFERROR(__xludf.DUMMYFUNCTION("""COMPUTED_VALUE"""),"Locked")</f>
        <v>Locked</v>
      </c>
      <c r="D332" s="265" t="str">
        <f>IFERROR(__xludf.DUMMYFUNCTION("""COMPUTED_VALUE"""),"Công nghệ &amp; Phần mềm")</f>
        <v>Công nghệ &amp; Phần mềm</v>
      </c>
      <c r="E332" s="265" t="str">
        <f>IFERROR(__xludf.DUMMYFUNCTION("""COMPUTED_VALUE"""),"TùngLD")</f>
        <v>TùngLD</v>
      </c>
      <c r="F332" s="265" t="str">
        <f>IFERROR(__xludf.DUMMYFUNCTION("""COMPUTED_VALUE"""),"Bronze")</f>
        <v>Bronze</v>
      </c>
      <c r="G332" s="265" t="str">
        <f>IFERROR(__xludf.DUMMYFUNCTION("""COMPUTED_VALUE"""),"Enterprise")</f>
        <v>Enterprise</v>
      </c>
      <c r="H332" s="265" t="str">
        <f>IFERROR(__xludf.DUMMYFUNCTION("""COMPUTED_VALUE"""),"(Chưa recheck)")</f>
        <v>(Chưa recheck)</v>
      </c>
      <c r="I332" s="265" t="str">
        <f>IFERROR(__xludf.DUMMYFUNCTION("""COMPUTED_VALUE"""),"(Chưa recheck)")</f>
        <v>(Chưa recheck)</v>
      </c>
      <c r="J332" s="265" t="str">
        <f>IFERROR(__xludf.DUMMYFUNCTION("""COMPUTED_VALUE"""),"ThanhLT")</f>
        <v>ThanhLT</v>
      </c>
    </row>
    <row r="333">
      <c r="A333" s="265" t="str">
        <f>IFERROR(__xludf.DUMMYFUNCTION("""COMPUTED_VALUE"""),"664")</f>
        <v>664</v>
      </c>
      <c r="B333" s="265" t="str">
        <f>IFERROR(__xludf.DUMMYFUNCTION("""COMPUTED_VALUE"""),"Sài Gòn")</f>
        <v>Sài Gòn</v>
      </c>
      <c r="C333" s="265" t="str">
        <f>IFERROR(__xludf.DUMMYFUNCTION("""COMPUTED_VALUE"""),"Locked")</f>
        <v>Locked</v>
      </c>
      <c r="D333" s="265" t="str">
        <f>IFERROR(__xludf.DUMMYFUNCTION("""COMPUTED_VALUE"""),"Sale chưa cung cấp")</f>
        <v>Sale chưa cung cấp</v>
      </c>
      <c r="E333" s="265" t="str">
        <f>IFERROR(__xludf.DUMMYFUNCTION("""COMPUTED_VALUE"""),"Không phân công")</f>
        <v>Không phân công</v>
      </c>
      <c r="F333" s="265" t="str">
        <f>IFERROR(__xludf.DUMMYFUNCTION("""COMPUTED_VALUE"""),"Sale chưa cung cấp")</f>
        <v>Sale chưa cung cấp</v>
      </c>
      <c r="G333" s="265" t="str">
        <f>IFERROR(__xludf.DUMMYFUNCTION("""COMPUTED_VALUE"""),"SIMILAR")</f>
        <v>SIMILAR</v>
      </c>
      <c r="H333" s="265" t="str">
        <f>IFERROR(__xludf.DUMMYFUNCTION("""COMPUTED_VALUE"""),"Trả sau")</f>
        <v>Trả sau</v>
      </c>
      <c r="I333" s="265" t="str">
        <f>IFERROR(__xludf.DUMMYFUNCTION("""COMPUTED_VALUE"""),"API")</f>
        <v>API</v>
      </c>
      <c r="J333" s="265" t="str">
        <f>IFERROR(__xludf.DUMMYFUNCTION("""COMPUTED_VALUE"""),"LinhNTT1")</f>
        <v>LinhNTT1</v>
      </c>
    </row>
    <row r="334">
      <c r="A334" s="265" t="str">
        <f>IFERROR(__xludf.DUMMYFUNCTION("""COMPUTED_VALUE"""),"666")</f>
        <v>666</v>
      </c>
      <c r="B334" s="265" t="str">
        <f>IFERROR(__xludf.DUMMYFUNCTION("""COMPUTED_VALUE"""),"Sài Gòn")</f>
        <v>Sài Gòn</v>
      </c>
      <c r="C334" s="265" t="str">
        <f>IFERROR(__xludf.DUMMYFUNCTION("""COMPUTED_VALUE"""),"Locked")</f>
        <v>Locked</v>
      </c>
      <c r="D334" s="265" t="str">
        <f>IFERROR(__xludf.DUMMYFUNCTION("""COMPUTED_VALUE"""),"Sale chưa cung cấp")</f>
        <v>Sale chưa cung cấp</v>
      </c>
      <c r="E334" s="265" t="str">
        <f>IFERROR(__xludf.DUMMYFUNCTION("""COMPUTED_VALUE"""),"TúPHN")</f>
        <v>TúPHN</v>
      </c>
      <c r="F334" s="265" t="str">
        <f>IFERROR(__xludf.DUMMYFUNCTION("""COMPUTED_VALUE"""),"Sale chưa cung cấp")</f>
        <v>Sale chưa cung cấp</v>
      </c>
      <c r="G334" s="265" t="str">
        <f>IFERROR(__xludf.DUMMYFUNCTION("""COMPUTED_VALUE"""),"API")</f>
        <v>API</v>
      </c>
      <c r="H334" s="265" t="str">
        <f>IFERROR(__xludf.DUMMYFUNCTION("""COMPUTED_VALUE"""),"Trial")</f>
        <v>Trial</v>
      </c>
      <c r="I334" s="265" t="str">
        <f>IFERROR(__xludf.DUMMYFUNCTION("""COMPUTED_VALUE"""),"API")</f>
        <v>API</v>
      </c>
      <c r="J334" s="265" t="str">
        <f>IFERROR(__xludf.DUMMYFUNCTION("""COMPUTED_VALUE"""),"(Không recheck)")</f>
        <v>(Không recheck)</v>
      </c>
    </row>
    <row r="335">
      <c r="A335" s="265" t="str">
        <f>IFERROR(__xludf.DUMMYFUNCTION("""COMPUTED_VALUE"""),"667")</f>
        <v>667</v>
      </c>
      <c r="B335" s="265" t="str">
        <f>IFERROR(__xludf.DUMMYFUNCTION("""COMPUTED_VALUE"""),"Đà Nẵng")</f>
        <v>Đà Nẵng</v>
      </c>
      <c r="C335" s="265" t="str">
        <f>IFERROR(__xludf.DUMMYFUNCTION("""COMPUTED_VALUE"""),"Active")</f>
        <v>Active</v>
      </c>
      <c r="D335" s="265" t="str">
        <f>IFERROR(__xludf.DUMMYFUNCTION("""COMPUTED_VALUE"""),"Sale chưa cung cấp")</f>
        <v>Sale chưa cung cấp</v>
      </c>
      <c r="E335" s="265" t="str">
        <f>IFERROR(__xludf.DUMMYFUNCTION("""COMPUTED_VALUE"""),"Không phân công")</f>
        <v>Không phân công</v>
      </c>
      <c r="F335" s="265" t="str">
        <f>IFERROR(__xludf.DUMMYFUNCTION("""COMPUTED_VALUE"""),"Gold")</f>
        <v>Gold</v>
      </c>
      <c r="G335" s="265" t="str">
        <f>IFERROR(__xludf.DUMMYFUNCTION("""COMPUTED_VALUE"""),"Standard")</f>
        <v>Standard</v>
      </c>
      <c r="H335" s="265" t="str">
        <f>IFERROR(__xludf.DUMMYFUNCTION("""COMPUTED_VALUE"""),"Trả trước")</f>
        <v>Trả trước</v>
      </c>
      <c r="I335" s="265" t="str">
        <f>IFERROR(__xludf.DUMMYFUNCTION("""COMPUTED_VALUE"""),"API")</f>
        <v>API</v>
      </c>
      <c r="J335" s="265" t="str">
        <f>IFERROR(__xludf.DUMMYFUNCTION("""COMPUTED_VALUE"""),"DungPL")</f>
        <v>DungPL</v>
      </c>
    </row>
    <row r="336">
      <c r="A336" s="265" t="str">
        <f>IFERROR(__xludf.DUMMYFUNCTION("""COMPUTED_VALUE"""),"668")</f>
        <v>668</v>
      </c>
      <c r="B336" s="265" t="str">
        <f>IFERROR(__xludf.DUMMYFUNCTION("""COMPUTED_VALUE"""),"Hà Nội")</f>
        <v>Hà Nội</v>
      </c>
      <c r="C336" s="265" t="str">
        <f>IFERROR(__xludf.DUMMYFUNCTION("""COMPUTED_VALUE"""),"Locked")</f>
        <v>Locked</v>
      </c>
      <c r="D336" s="265" t="str">
        <f>IFERROR(__xludf.DUMMYFUNCTION("""COMPUTED_VALUE"""),"Viễn thông")</f>
        <v>Viễn thông</v>
      </c>
      <c r="E336" s="265" t="str">
        <f>IFERROR(__xludf.DUMMYFUNCTION("""COMPUTED_VALUE"""),"TúPHN")</f>
        <v>TúPHN</v>
      </c>
      <c r="F336" s="265" t="str">
        <f>IFERROR(__xludf.DUMMYFUNCTION("""COMPUTED_VALUE"""),"Gold")</f>
        <v>Gold</v>
      </c>
      <c r="G336" s="265" t="str">
        <f>IFERROR(__xludf.DUMMYFUNCTION("""COMPUTED_VALUE"""),"Enterprise")</f>
        <v>Enterprise</v>
      </c>
      <c r="H336" s="265" t="str">
        <f>IFERROR(__xludf.DUMMYFUNCTION("""COMPUTED_VALUE"""),"Trả sau")</f>
        <v>Trả sau</v>
      </c>
      <c r="I336" s="265" t="str">
        <f>IFERROR(__xludf.DUMMYFUNCTION("""COMPUTED_VALUE"""),"Portal")</f>
        <v>Portal</v>
      </c>
      <c r="J336" s="265" t="str">
        <f>IFERROR(__xludf.DUMMYFUNCTION("""COMPUTED_VALUE"""),"AnhNM")</f>
        <v>AnhNM</v>
      </c>
    </row>
    <row r="337">
      <c r="A337" s="265" t="str">
        <f>IFERROR(__xludf.DUMMYFUNCTION("""COMPUTED_VALUE"""),"669")</f>
        <v>669</v>
      </c>
      <c r="B337" s="265" t="str">
        <f>IFERROR(__xludf.DUMMYFUNCTION("""COMPUTED_VALUE"""),"Hà Nội")</f>
        <v>Hà Nội</v>
      </c>
      <c r="C337" s="265" t="str">
        <f>IFERROR(__xludf.DUMMYFUNCTION("""COMPUTED_VALUE"""),"Locked")</f>
        <v>Locked</v>
      </c>
      <c r="D337" s="265" t="str">
        <f>IFERROR(__xludf.DUMMYFUNCTION("""COMPUTED_VALUE"""),"Tài chính &amp; Ngân hàng")</f>
        <v>Tài chính &amp; Ngân hàng</v>
      </c>
      <c r="E337" s="265" t="str">
        <f>IFERROR(__xludf.DUMMYFUNCTION("""COMPUTED_VALUE"""),"DungDT")</f>
        <v>DungDT</v>
      </c>
      <c r="F337" s="265" t="str">
        <f>IFERROR(__xludf.DUMMYFUNCTION("""COMPUTED_VALUE"""),"Sale chưa cung cấp")</f>
        <v>Sale chưa cung cấp</v>
      </c>
      <c r="G337" s="265" t="str">
        <f>IFERROR(__xludf.DUMMYFUNCTION("""COMPUTED_VALUE"""),"Enterprise")</f>
        <v>Enterprise</v>
      </c>
      <c r="H337" s="265" t="str">
        <f>IFERROR(__xludf.DUMMYFUNCTION("""COMPUTED_VALUE"""),"Trial")</f>
        <v>Trial</v>
      </c>
      <c r="I337" s="265" t="str">
        <f>IFERROR(__xludf.DUMMYFUNCTION("""COMPUTED_VALUE"""),"(Không recheck)")</f>
        <v>(Không recheck)</v>
      </c>
      <c r="J337" s="265" t="str">
        <f>IFERROR(__xludf.DUMMYFUNCTION("""COMPUTED_VALUE"""),"(Không recheck)")</f>
        <v>(Không recheck)</v>
      </c>
    </row>
    <row r="338">
      <c r="A338" s="265" t="str">
        <f>IFERROR(__xludf.DUMMYFUNCTION("""COMPUTED_VALUE"""),"670")</f>
        <v>670</v>
      </c>
      <c r="B338" s="265" t="str">
        <f>IFERROR(__xludf.DUMMYFUNCTION("""COMPUTED_VALUE"""),"Sài Gòn")</f>
        <v>Sài Gòn</v>
      </c>
      <c r="C338" s="265" t="str">
        <f>IFERROR(__xludf.DUMMYFUNCTION("""COMPUTED_VALUE"""),"Locked")</f>
        <v>Locked</v>
      </c>
      <c r="D338" s="265" t="str">
        <f>IFERROR(__xludf.DUMMYFUNCTION("""COMPUTED_VALUE"""),"Viễn thông")</f>
        <v>Viễn thông</v>
      </c>
      <c r="E338" s="265" t="str">
        <f>IFERROR(__xludf.DUMMYFUNCTION("""COMPUTED_VALUE"""),"HoaNTM")</f>
        <v>HoaNTM</v>
      </c>
      <c r="F338" s="265" t="str">
        <f>IFERROR(__xludf.DUMMYFUNCTION("""COMPUTED_VALUE"""),"Sale chưa cung cấp")</f>
        <v>Sale chưa cung cấp</v>
      </c>
      <c r="G338" s="265" t="str">
        <f>IFERROR(__xludf.DUMMYFUNCTION("""COMPUTED_VALUE"""),"Enterprise")</f>
        <v>Enterprise</v>
      </c>
      <c r="H338" s="265" t="str">
        <f>IFERROR(__xludf.DUMMYFUNCTION("""COMPUTED_VALUE"""),"(Chưa recheck)")</f>
        <v>(Chưa recheck)</v>
      </c>
      <c r="I338" s="265" t="str">
        <f>IFERROR(__xludf.DUMMYFUNCTION("""COMPUTED_VALUE"""),"API &amp; Portal")</f>
        <v>API &amp; Portal</v>
      </c>
      <c r="J338" s="265" t="str">
        <f>IFERROR(__xludf.DUMMYFUNCTION("""COMPUTED_VALUE"""),"AnhNM")</f>
        <v>AnhNM</v>
      </c>
    </row>
    <row r="339">
      <c r="A339" s="265" t="str">
        <f>IFERROR(__xludf.DUMMYFUNCTION("""COMPUTED_VALUE"""),"411")</f>
        <v>411</v>
      </c>
      <c r="B339" s="265" t="str">
        <f>IFERROR(__xludf.DUMMYFUNCTION("""COMPUTED_VALUE"""),"Sài Gòn")</f>
        <v>Sài Gòn</v>
      </c>
      <c r="C339" s="265" t="str">
        <f>IFERROR(__xludf.DUMMYFUNCTION("""COMPUTED_VALUE"""),"Locked")</f>
        <v>Locked</v>
      </c>
      <c r="D339" s="265" t="str">
        <f>IFERROR(__xludf.DUMMYFUNCTION("""COMPUTED_VALUE"""),"Sale chưa cung cấp")</f>
        <v>Sale chưa cung cấp</v>
      </c>
      <c r="E339" s="265" t="str">
        <f>IFERROR(__xludf.DUMMYFUNCTION("""COMPUTED_VALUE"""),"TúPHN")</f>
        <v>TúPHN</v>
      </c>
      <c r="F339" s="265" t="str">
        <f>IFERROR(__xludf.DUMMYFUNCTION("""COMPUTED_VALUE"""),"Silver")</f>
        <v>Silver</v>
      </c>
      <c r="G339" s="265" t="str">
        <f>IFERROR(__xludf.DUMMYFUNCTION("""COMPUTED_VALUE"""),"Enterprise")</f>
        <v>Enterprise</v>
      </c>
      <c r="H339" s="265" t="str">
        <f>IFERROR(__xludf.DUMMYFUNCTION("""COMPUTED_VALUE"""),"(Chưa recheck)")</f>
        <v>(Chưa recheck)</v>
      </c>
      <c r="I339" s="265" t="str">
        <f>IFERROR(__xludf.DUMMYFUNCTION("""COMPUTED_VALUE"""),"(Chưa recheck)")</f>
        <v>(Chưa recheck)</v>
      </c>
      <c r="J339" s="265" t="str">
        <f>IFERROR(__xludf.DUMMYFUNCTION("""COMPUTED_VALUE"""),"AnhNM")</f>
        <v>AnhNM</v>
      </c>
    </row>
    <row r="340">
      <c r="A340" s="265" t="str">
        <f>IFERROR(__xludf.DUMMYFUNCTION("""COMPUTED_VALUE"""),"671")</f>
        <v>671</v>
      </c>
      <c r="B340" s="265" t="str">
        <f>IFERROR(__xludf.DUMMYFUNCTION("""COMPUTED_VALUE"""),"Hà Nội")</f>
        <v>Hà Nội</v>
      </c>
      <c r="C340" s="265" t="str">
        <f>IFERROR(__xludf.DUMMYFUNCTION("""COMPUTED_VALUE"""),"Locked")</f>
        <v>Locked</v>
      </c>
      <c r="D340" s="265" t="str">
        <f>IFERROR(__xludf.DUMMYFUNCTION("""COMPUTED_VALUE"""),"Tài chính &amp; Ngân hàng")</f>
        <v>Tài chính &amp; Ngân hàng</v>
      </c>
      <c r="E340" s="265" t="str">
        <f>IFERROR(__xludf.DUMMYFUNCTION("""COMPUTED_VALUE"""),"(Không recheck)")</f>
        <v>(Không recheck)</v>
      </c>
      <c r="F340" s="265" t="str">
        <f>IFERROR(__xludf.DUMMYFUNCTION("""COMPUTED_VALUE"""),"Sale chưa cung cấp")</f>
        <v>Sale chưa cung cấp</v>
      </c>
      <c r="G340" s="265" t="str">
        <f>IFERROR(__xludf.DUMMYFUNCTION("""COMPUTED_VALUE"""),"API")</f>
        <v>API</v>
      </c>
      <c r="H340" s="265" t="str">
        <f>IFERROR(__xludf.DUMMYFUNCTION("""COMPUTED_VALUE"""),"Trial")</f>
        <v>Trial</v>
      </c>
      <c r="I340" s="265" t="str">
        <f>IFERROR(__xludf.DUMMYFUNCTION("""COMPUTED_VALUE"""),"API")</f>
        <v>API</v>
      </c>
      <c r="J340" s="265" t="str">
        <f>IFERROR(__xludf.DUMMYFUNCTION("""COMPUTED_VALUE"""),"(Không recheck)")</f>
        <v>(Không recheck)</v>
      </c>
    </row>
    <row r="341">
      <c r="A341" s="265" t="str">
        <f>IFERROR(__xludf.DUMMYFUNCTION("""COMPUTED_VALUE"""),"672")</f>
        <v>672</v>
      </c>
      <c r="B341" s="265" t="str">
        <f>IFERROR(__xludf.DUMMYFUNCTION("""COMPUTED_VALUE"""),"Hà Nội")</f>
        <v>Hà Nội</v>
      </c>
      <c r="C341" s="265" t="str">
        <f>IFERROR(__xludf.DUMMYFUNCTION("""COMPUTED_VALUE"""),"Locked")</f>
        <v>Locked</v>
      </c>
      <c r="D341" s="265" t="str">
        <f>IFERROR(__xludf.DUMMYFUNCTION("""COMPUTED_VALUE"""),"Bất động sản")</f>
        <v>Bất động sản</v>
      </c>
      <c r="E341" s="265" t="str">
        <f>IFERROR(__xludf.DUMMYFUNCTION("""COMPUTED_VALUE"""),"TúPHN")</f>
        <v>TúPHN</v>
      </c>
      <c r="F341" s="265" t="str">
        <f>IFERROR(__xludf.DUMMYFUNCTION("""COMPUTED_VALUE"""),"Bronze")</f>
        <v>Bronze</v>
      </c>
      <c r="G341" s="265" t="str">
        <f>IFERROR(__xludf.DUMMYFUNCTION("""COMPUTED_VALUE"""),"Enterprise")</f>
        <v>Enterprise</v>
      </c>
      <c r="H341" s="265" t="str">
        <f>IFERROR(__xludf.DUMMYFUNCTION("""COMPUTED_VALUE"""),"Trả trước")</f>
        <v>Trả trước</v>
      </c>
      <c r="I341" s="265" t="str">
        <f>IFERROR(__xludf.DUMMYFUNCTION("""COMPUTED_VALUE"""),"Portal")</f>
        <v>Portal</v>
      </c>
      <c r="J341" s="265" t="str">
        <f>IFERROR(__xludf.DUMMYFUNCTION("""COMPUTED_VALUE"""),"LinhNTT1")</f>
        <v>LinhNTT1</v>
      </c>
    </row>
    <row r="342">
      <c r="A342" s="265" t="str">
        <f>IFERROR(__xludf.DUMMYFUNCTION("""COMPUTED_VALUE"""),"673")</f>
        <v>673</v>
      </c>
      <c r="B342" s="265" t="str">
        <f>IFERROR(__xludf.DUMMYFUNCTION("""COMPUTED_VALUE"""),"Hà Nội")</f>
        <v>Hà Nội</v>
      </c>
      <c r="C342" s="265" t="str">
        <f>IFERROR(__xludf.DUMMYFUNCTION("""COMPUTED_VALUE"""),"Locked")</f>
        <v>Locked</v>
      </c>
      <c r="D342" s="265" t="str">
        <f>IFERROR(__xludf.DUMMYFUNCTION("""COMPUTED_VALUE"""),"Sale chưa cung cấp")</f>
        <v>Sale chưa cung cấp</v>
      </c>
      <c r="E342" s="265" t="str">
        <f>IFERROR(__xludf.DUMMYFUNCTION("""COMPUTED_VALUE"""),"TùngLD")</f>
        <v>TùngLD</v>
      </c>
      <c r="F342" s="265" t="str">
        <f>IFERROR(__xludf.DUMMYFUNCTION("""COMPUTED_VALUE"""),"Sale chưa cung cấp")</f>
        <v>Sale chưa cung cấp</v>
      </c>
      <c r="G342" s="265" t="str">
        <f>IFERROR(__xludf.DUMMYFUNCTION("""COMPUTED_VALUE"""),"Enterprise")</f>
        <v>Enterprise</v>
      </c>
      <c r="H342" s="265" t="str">
        <f>IFERROR(__xludf.DUMMYFUNCTION("""COMPUTED_VALUE"""),"Trial")</f>
        <v>Trial</v>
      </c>
      <c r="I342" s="265" t="str">
        <f>IFERROR(__xludf.DUMMYFUNCTION("""COMPUTED_VALUE"""),"Portal")</f>
        <v>Portal</v>
      </c>
      <c r="J342" s="265" t="str">
        <f>IFERROR(__xludf.DUMMYFUNCTION("""COMPUTED_VALUE"""),"(Không recheck)")</f>
        <v>(Không recheck)</v>
      </c>
    </row>
    <row r="343">
      <c r="A343" s="265" t="str">
        <f>IFERROR(__xludf.DUMMYFUNCTION("""COMPUTED_VALUE"""),"675")</f>
        <v>675</v>
      </c>
      <c r="B343" s="265" t="str">
        <f>IFERROR(__xludf.DUMMYFUNCTION("""COMPUTED_VALUE"""),"Hà Nội")</f>
        <v>Hà Nội</v>
      </c>
      <c r="C343" s="265" t="str">
        <f>IFERROR(__xludf.DUMMYFUNCTION("""COMPUTED_VALUE"""),"Active")</f>
        <v>Active</v>
      </c>
      <c r="D343" s="265" t="str">
        <f>IFERROR(__xludf.DUMMYFUNCTION("""COMPUTED_VALUE"""),"Du lịch &amp; Lưu trú")</f>
        <v>Du lịch &amp; Lưu trú</v>
      </c>
      <c r="E343" s="265" t="str">
        <f>IFERROR(__xludf.DUMMYFUNCTION("""COMPUTED_VALUE"""),"TúPHN")</f>
        <v>TúPHN</v>
      </c>
      <c r="F343" s="265" t="str">
        <f>IFERROR(__xludf.DUMMYFUNCTION("""COMPUTED_VALUE"""),"Bronze")</f>
        <v>Bronze</v>
      </c>
      <c r="G343" s="265" t="str">
        <f>IFERROR(__xludf.DUMMYFUNCTION("""COMPUTED_VALUE"""),"Standard")</f>
        <v>Standard</v>
      </c>
      <c r="H343" s="265" t="str">
        <f>IFERROR(__xludf.DUMMYFUNCTION("""COMPUTED_VALUE"""),"Trả trước")</f>
        <v>Trả trước</v>
      </c>
      <c r="I343" s="265" t="str">
        <f>IFERROR(__xludf.DUMMYFUNCTION("""COMPUTED_VALUE"""),"Portal")</f>
        <v>Portal</v>
      </c>
      <c r="J343" s="265" t="str">
        <f>IFERROR(__xludf.DUMMYFUNCTION("""COMPUTED_VALUE"""),"DungPL")</f>
        <v>DungPL</v>
      </c>
    </row>
    <row r="344">
      <c r="A344" s="265" t="str">
        <f>IFERROR(__xludf.DUMMYFUNCTION("""COMPUTED_VALUE"""),"676")</f>
        <v>676</v>
      </c>
      <c r="B344" s="265" t="str">
        <f>IFERROR(__xludf.DUMMYFUNCTION("""COMPUTED_VALUE"""),"Hà Nội")</f>
        <v>Hà Nội</v>
      </c>
      <c r="C344" s="265" t="str">
        <f>IFERROR(__xludf.DUMMYFUNCTION("""COMPUTED_VALUE"""),"Locked")</f>
        <v>Locked</v>
      </c>
      <c r="D344" s="265" t="str">
        <f>IFERROR(__xludf.DUMMYFUNCTION("""COMPUTED_VALUE"""),"Giáo dục &amp; Đào tạo")</f>
        <v>Giáo dục &amp; Đào tạo</v>
      </c>
      <c r="E344" s="265" t="str">
        <f>IFERROR(__xludf.DUMMYFUNCTION("""COMPUTED_VALUE"""),"TùngLD")</f>
        <v>TùngLD</v>
      </c>
      <c r="F344" s="265" t="str">
        <f>IFERROR(__xludf.DUMMYFUNCTION("""COMPUTED_VALUE"""),"Sale chưa cung cấp")</f>
        <v>Sale chưa cung cấp</v>
      </c>
      <c r="G344" s="265" t="str">
        <f>IFERROR(__xludf.DUMMYFUNCTION("""COMPUTED_VALUE"""),"Enterprise")</f>
        <v>Enterprise</v>
      </c>
      <c r="H344" s="265" t="str">
        <f>IFERROR(__xludf.DUMMYFUNCTION("""COMPUTED_VALUE"""),"Trả sau")</f>
        <v>Trả sau</v>
      </c>
      <c r="I344" s="265" t="str">
        <f>IFERROR(__xludf.DUMMYFUNCTION("""COMPUTED_VALUE"""),"Portal")</f>
        <v>Portal</v>
      </c>
      <c r="J344" s="265" t="str">
        <f>IFERROR(__xludf.DUMMYFUNCTION("""COMPUTED_VALUE"""),"AnhNM")</f>
        <v>AnhNM</v>
      </c>
    </row>
    <row r="345">
      <c r="A345" s="265" t="str">
        <f>IFERROR(__xludf.DUMMYFUNCTION("""COMPUTED_VALUE"""),"677")</f>
        <v>677</v>
      </c>
      <c r="B345" s="265" t="str">
        <f>IFERROR(__xludf.DUMMYFUNCTION("""COMPUTED_VALUE"""),"Sài Gòn")</f>
        <v>Sài Gòn</v>
      </c>
      <c r="C345" s="265" t="str">
        <f>IFERROR(__xludf.DUMMYFUNCTION("""COMPUTED_VALUE"""),"Locked")</f>
        <v>Locked</v>
      </c>
      <c r="D345" s="265" t="str">
        <f>IFERROR(__xludf.DUMMYFUNCTION("""COMPUTED_VALUE"""),"Nhà hàng &amp; Quán")</f>
        <v>Nhà hàng &amp; Quán</v>
      </c>
      <c r="E345" s="265" t="str">
        <f>IFERROR(__xludf.DUMMYFUNCTION("""COMPUTED_VALUE"""),"HoaNTM")</f>
        <v>HoaNTM</v>
      </c>
      <c r="F345" s="265" t="str">
        <f>IFERROR(__xludf.DUMMYFUNCTION("""COMPUTED_VALUE"""),"Bronze")</f>
        <v>Bronze</v>
      </c>
      <c r="G345" s="265" t="str">
        <f>IFERROR(__xludf.DUMMYFUNCTION("""COMPUTED_VALUE"""),"SIMILAR")</f>
        <v>SIMILAR</v>
      </c>
      <c r="H345" s="265" t="str">
        <f>IFERROR(__xludf.DUMMYFUNCTION("""COMPUTED_VALUE"""),"(Chưa recheck)")</f>
        <v>(Chưa recheck)</v>
      </c>
      <c r="I345" s="265" t="str">
        <f>IFERROR(__xludf.DUMMYFUNCTION("""COMPUTED_VALUE"""),"API &amp; Portal")</f>
        <v>API &amp; Portal</v>
      </c>
      <c r="J345" s="265" t="str">
        <f>IFERROR(__xludf.DUMMYFUNCTION("""COMPUTED_VALUE"""),"AnhNM")</f>
        <v>AnhNM</v>
      </c>
    </row>
    <row r="346">
      <c r="A346" s="265" t="str">
        <f>IFERROR(__xludf.DUMMYFUNCTION("""COMPUTED_VALUE"""),"679")</f>
        <v>679</v>
      </c>
      <c r="B346" s="265" t="str">
        <f>IFERROR(__xludf.DUMMYFUNCTION("""COMPUTED_VALUE"""),"Đà Nẵng")</f>
        <v>Đà Nẵng</v>
      </c>
      <c r="C346" s="265" t="str">
        <f>IFERROR(__xludf.DUMMYFUNCTION("""COMPUTED_VALUE"""),"Active")</f>
        <v>Active</v>
      </c>
      <c r="D346" s="265" t="str">
        <f>IFERROR(__xludf.DUMMYFUNCTION("""COMPUTED_VALUE"""),"Giáo dục &amp; Đào tạo")</f>
        <v>Giáo dục &amp; Đào tạo</v>
      </c>
      <c r="E346" s="265" t="str">
        <f>IFERROR(__xludf.DUMMYFUNCTION("""COMPUTED_VALUE"""),"TúPHN")</f>
        <v>TúPHN</v>
      </c>
      <c r="F346" s="265" t="str">
        <f>IFERROR(__xludf.DUMMYFUNCTION("""COMPUTED_VALUE"""),"Bronze")</f>
        <v>Bronze</v>
      </c>
      <c r="G346" s="265" t="str">
        <f>IFERROR(__xludf.DUMMYFUNCTION("""COMPUTED_VALUE"""),"Standard")</f>
        <v>Standard</v>
      </c>
      <c r="H346" s="265" t="str">
        <f>IFERROR(__xludf.DUMMYFUNCTION("""COMPUTED_VALUE"""),"Trả trước")</f>
        <v>Trả trước</v>
      </c>
      <c r="I346" s="265" t="str">
        <f>IFERROR(__xludf.DUMMYFUNCTION("""COMPUTED_VALUE"""),"Portal")</f>
        <v>Portal</v>
      </c>
      <c r="J346" s="265" t="str">
        <f>IFERROR(__xludf.DUMMYFUNCTION("""COMPUTED_VALUE"""),"LinhNTT1")</f>
        <v>LinhNTT1</v>
      </c>
    </row>
    <row r="347">
      <c r="A347" s="265" t="str">
        <f>IFERROR(__xludf.DUMMYFUNCTION("""COMPUTED_VALUE"""),"680")</f>
        <v>680</v>
      </c>
      <c r="B347" s="265" t="str">
        <f>IFERROR(__xludf.DUMMYFUNCTION("""COMPUTED_VALUE"""),"Hà Nội")</f>
        <v>Hà Nội</v>
      </c>
      <c r="C347" s="265" t="str">
        <f>IFERROR(__xludf.DUMMYFUNCTION("""COMPUTED_VALUE"""),"Active")</f>
        <v>Active</v>
      </c>
      <c r="D347" s="265" t="str">
        <f>IFERROR(__xludf.DUMMYFUNCTION("""COMPUTED_VALUE"""),"Truyền thông &amp; Giải trí")</f>
        <v>Truyền thông &amp; Giải trí</v>
      </c>
      <c r="E347" s="265" t="str">
        <f>IFERROR(__xludf.DUMMYFUNCTION("""COMPUTED_VALUE"""),"Không phân công")</f>
        <v>Không phân công</v>
      </c>
      <c r="F347" s="265" t="str">
        <f>IFERROR(__xludf.DUMMYFUNCTION("""COMPUTED_VALUE"""),"Sale chưa cung cấp")</f>
        <v>Sale chưa cung cấp</v>
      </c>
      <c r="G347" s="265" t="str">
        <f>IFERROR(__xludf.DUMMYFUNCTION("""COMPUTED_VALUE"""),"Enterprise")</f>
        <v>Enterprise</v>
      </c>
      <c r="H347" s="265" t="str">
        <f>IFERROR(__xludf.DUMMYFUNCTION("""COMPUTED_VALUE"""),"Trả sau")</f>
        <v>Trả sau</v>
      </c>
      <c r="I347" s="265" t="str">
        <f>IFERROR(__xludf.DUMMYFUNCTION("""COMPUTED_VALUE"""),"API &amp; Portal")</f>
        <v>API &amp; Portal</v>
      </c>
      <c r="J347" s="265" t="str">
        <f>IFERROR(__xludf.DUMMYFUNCTION("""COMPUTED_VALUE"""),"Không phân công")</f>
        <v>Không phân công</v>
      </c>
    </row>
    <row r="348">
      <c r="A348" s="265" t="str">
        <f>IFERROR(__xludf.DUMMYFUNCTION("""COMPUTED_VALUE"""),"414")</f>
        <v>414</v>
      </c>
      <c r="B348" s="265" t="str">
        <f>IFERROR(__xludf.DUMMYFUNCTION("""COMPUTED_VALUE"""),"Hà Nội")</f>
        <v>Hà Nội</v>
      </c>
      <c r="C348" s="265" t="str">
        <f>IFERROR(__xludf.DUMMYFUNCTION("""COMPUTED_VALUE"""),"Active")</f>
        <v>Active</v>
      </c>
      <c r="D348" s="265" t="str">
        <f>IFERROR(__xludf.DUMMYFUNCTION("""COMPUTED_VALUE"""),"Sale chưa cung cấp")</f>
        <v>Sale chưa cung cấp</v>
      </c>
      <c r="E348" s="265" t="str">
        <f>IFERROR(__xludf.DUMMYFUNCTION("""COMPUTED_VALUE"""),"TúPHN")</f>
        <v>TúPHN</v>
      </c>
      <c r="F348" s="265" t="str">
        <f>IFERROR(__xludf.DUMMYFUNCTION("""COMPUTED_VALUE"""),"Bronze")</f>
        <v>Bronze</v>
      </c>
      <c r="G348" s="265" t="str">
        <f>IFERROR(__xludf.DUMMYFUNCTION("""COMPUTED_VALUE"""),"Enterprise")</f>
        <v>Enterprise</v>
      </c>
      <c r="H348" s="265" t="str">
        <f>IFERROR(__xludf.DUMMYFUNCTION("""COMPUTED_VALUE"""),"Trả trước")</f>
        <v>Trả trước</v>
      </c>
      <c r="I348" s="265" t="str">
        <f>IFERROR(__xludf.DUMMYFUNCTION("""COMPUTED_VALUE"""),"API")</f>
        <v>API</v>
      </c>
      <c r="J348" s="265" t="str">
        <f>IFERROR(__xludf.DUMMYFUNCTION("""COMPUTED_VALUE"""),"LinhNTT1")</f>
        <v>LinhNTT1</v>
      </c>
    </row>
    <row r="349">
      <c r="A349" s="265" t="str">
        <f>IFERROR(__xludf.DUMMYFUNCTION("""COMPUTED_VALUE"""),"683")</f>
        <v>683</v>
      </c>
      <c r="B349" s="265" t="str">
        <f>IFERROR(__xludf.DUMMYFUNCTION("""COMPUTED_VALUE"""),"Hà Nội")</f>
        <v>Hà Nội</v>
      </c>
      <c r="C349" s="265" t="str">
        <f>IFERROR(__xludf.DUMMYFUNCTION("""COMPUTED_VALUE"""),"Locked")</f>
        <v>Locked</v>
      </c>
      <c r="D349" s="265" t="str">
        <f>IFERROR(__xludf.DUMMYFUNCTION("""COMPUTED_VALUE"""),"Ô tô &amp; Xe máy")</f>
        <v>Ô tô &amp; Xe máy</v>
      </c>
      <c r="E349" s="265" t="str">
        <f>IFERROR(__xludf.DUMMYFUNCTION("""COMPUTED_VALUE"""),"DungDT")</f>
        <v>DungDT</v>
      </c>
      <c r="F349" s="265" t="str">
        <f>IFERROR(__xludf.DUMMYFUNCTION("""COMPUTED_VALUE"""),"Sale chưa cung cấp")</f>
        <v>Sale chưa cung cấp</v>
      </c>
      <c r="G349" s="265" t="str">
        <f>IFERROR(__xludf.DUMMYFUNCTION("""COMPUTED_VALUE"""),"Enterprise")</f>
        <v>Enterprise</v>
      </c>
      <c r="H349" s="265" t="str">
        <f>IFERROR(__xludf.DUMMYFUNCTION("""COMPUTED_VALUE"""),"Trial")</f>
        <v>Trial</v>
      </c>
      <c r="I349" s="265" t="str">
        <f>IFERROR(__xludf.DUMMYFUNCTION("""COMPUTED_VALUE"""),"Portal")</f>
        <v>Portal</v>
      </c>
      <c r="J349" s="265" t="str">
        <f>IFERROR(__xludf.DUMMYFUNCTION("""COMPUTED_VALUE"""),"(Không recheck)")</f>
        <v>(Không recheck)</v>
      </c>
    </row>
    <row r="350">
      <c r="A350" s="265" t="str">
        <f>IFERROR(__xludf.DUMMYFUNCTION("""COMPUTED_VALUE"""),"684")</f>
        <v>684</v>
      </c>
      <c r="B350" s="265" t="str">
        <f>IFERROR(__xludf.DUMMYFUNCTION("""COMPUTED_VALUE"""),"Hà Nội")</f>
        <v>Hà Nội</v>
      </c>
      <c r="C350" s="265" t="str">
        <f>IFERROR(__xludf.DUMMYFUNCTION("""COMPUTED_VALUE"""),"Active")</f>
        <v>Active</v>
      </c>
      <c r="D350" s="265" t="str">
        <f>IFERROR(__xludf.DUMMYFUNCTION("""COMPUTED_VALUE"""),"Y tế &amp; Dược phẩm")</f>
        <v>Y tế &amp; Dược phẩm</v>
      </c>
      <c r="E350" s="265" t="str">
        <f>IFERROR(__xludf.DUMMYFUNCTION("""COMPUTED_VALUE"""),"TúPHN")</f>
        <v>TúPHN</v>
      </c>
      <c r="F350" s="265" t="str">
        <f>IFERROR(__xludf.DUMMYFUNCTION("""COMPUTED_VALUE"""),"Silver")</f>
        <v>Silver</v>
      </c>
      <c r="G350" s="265" t="str">
        <f>IFERROR(__xludf.DUMMYFUNCTION("""COMPUTED_VALUE"""),"Starter")</f>
        <v>Starter</v>
      </c>
      <c r="H350" s="265" t="str">
        <f>IFERROR(__xludf.DUMMYFUNCTION("""COMPUTED_VALUE"""),"Trả sau")</f>
        <v>Trả sau</v>
      </c>
      <c r="I350" s="265" t="str">
        <f>IFERROR(__xludf.DUMMYFUNCTION("""COMPUTED_VALUE"""),"API")</f>
        <v>API</v>
      </c>
      <c r="J350" s="265" t="str">
        <f>IFERROR(__xludf.DUMMYFUNCTION("""COMPUTED_VALUE"""),"LinhNTT1")</f>
        <v>LinhNTT1</v>
      </c>
    </row>
    <row r="351">
      <c r="A351" s="265" t="str">
        <f>IFERROR(__xludf.DUMMYFUNCTION("""COMPUTED_VALUE"""),"685")</f>
        <v>685</v>
      </c>
      <c r="B351" s="265" t="str">
        <f>IFERROR(__xludf.DUMMYFUNCTION("""COMPUTED_VALUE"""),"Hà Nội")</f>
        <v>Hà Nội</v>
      </c>
      <c r="C351" s="265" t="str">
        <f>IFERROR(__xludf.DUMMYFUNCTION("""COMPUTED_VALUE"""),"Locked")</f>
        <v>Locked</v>
      </c>
      <c r="D351" s="265" t="str">
        <f>IFERROR(__xludf.DUMMYFUNCTION("""COMPUTED_VALUE"""),"Giáo dục &amp; Đào tạo")</f>
        <v>Giáo dục &amp; Đào tạo</v>
      </c>
      <c r="E351" s="265" t="str">
        <f>IFERROR(__xludf.DUMMYFUNCTION("""COMPUTED_VALUE"""),"TùngLD")</f>
        <v>TùngLD</v>
      </c>
      <c r="F351" s="265" t="str">
        <f>IFERROR(__xludf.DUMMYFUNCTION("""COMPUTED_VALUE"""),"Sale chưa cung cấp")</f>
        <v>Sale chưa cung cấp</v>
      </c>
      <c r="G351" s="265" t="str">
        <f>IFERROR(__xludf.DUMMYFUNCTION("""COMPUTED_VALUE"""),"SIMILAR")</f>
        <v>SIMILAR</v>
      </c>
      <c r="H351" s="265" t="str">
        <f>IFERROR(__xludf.DUMMYFUNCTION("""COMPUTED_VALUE"""),"Trả trước")</f>
        <v>Trả trước</v>
      </c>
      <c r="I351" s="265" t="str">
        <f>IFERROR(__xludf.DUMMYFUNCTION("""COMPUTED_VALUE"""),"Portal")</f>
        <v>Portal</v>
      </c>
      <c r="J351" s="265" t="str">
        <f>IFERROR(__xludf.DUMMYFUNCTION("""COMPUTED_VALUE"""),"AnhNM")</f>
        <v>AnhNM</v>
      </c>
    </row>
    <row r="352">
      <c r="A352" s="265" t="str">
        <f>IFERROR(__xludf.DUMMYFUNCTION("""COMPUTED_VALUE"""),"686")</f>
        <v>686</v>
      </c>
      <c r="B352" s="265" t="str">
        <f>IFERROR(__xludf.DUMMYFUNCTION("""COMPUTED_VALUE"""),"Hà Nội")</f>
        <v>Hà Nội</v>
      </c>
      <c r="C352" s="265" t="str">
        <f>IFERROR(__xludf.DUMMYFUNCTION("""COMPUTED_VALUE"""),"Locked")</f>
        <v>Locked</v>
      </c>
      <c r="D352" s="265" t="str">
        <f>IFERROR(__xludf.DUMMYFUNCTION("""COMPUTED_VALUE"""),"Vận tải &amp; logistics")</f>
        <v>Vận tải &amp; logistics</v>
      </c>
      <c r="E352" s="265" t="str">
        <f>IFERROR(__xludf.DUMMYFUNCTION("""COMPUTED_VALUE"""),"TúPHN")</f>
        <v>TúPHN</v>
      </c>
      <c r="F352" s="265" t="str">
        <f>IFERROR(__xludf.DUMMYFUNCTION("""COMPUTED_VALUE"""),"Diamond")</f>
        <v>Diamond</v>
      </c>
      <c r="G352" s="265" t="str">
        <f>IFERROR(__xludf.DUMMYFUNCTION("""COMPUTED_VALUE"""),"Enterprise")</f>
        <v>Enterprise</v>
      </c>
      <c r="H352" s="265" t="str">
        <f>IFERROR(__xludf.DUMMYFUNCTION("""COMPUTED_VALUE"""),"Trả trước")</f>
        <v>Trả trước</v>
      </c>
      <c r="I352" s="265" t="str">
        <f>IFERROR(__xludf.DUMMYFUNCTION("""COMPUTED_VALUE"""),"API &amp; Portal")</f>
        <v>API &amp; Portal</v>
      </c>
      <c r="J352" s="265" t="str">
        <f>IFERROR(__xludf.DUMMYFUNCTION("""COMPUTED_VALUE"""),"LinhNTT1")</f>
        <v>LinhNTT1</v>
      </c>
    </row>
    <row r="353">
      <c r="A353" s="265" t="str">
        <f>IFERROR(__xludf.DUMMYFUNCTION("""COMPUTED_VALUE"""),"338")</f>
        <v>338</v>
      </c>
      <c r="B353" s="265" t="str">
        <f>IFERROR(__xludf.DUMMYFUNCTION("""COMPUTED_VALUE"""),"Sài Gòn")</f>
        <v>Sài Gòn</v>
      </c>
      <c r="C353" s="265" t="str">
        <f>IFERROR(__xludf.DUMMYFUNCTION("""COMPUTED_VALUE"""),"Locked")</f>
        <v>Locked</v>
      </c>
      <c r="D353" s="265" t="str">
        <f>IFERROR(__xludf.DUMMYFUNCTION("""COMPUTED_VALUE"""),"Mua sắm &amp; Bán lẻ")</f>
        <v>Mua sắm &amp; Bán lẻ</v>
      </c>
      <c r="E353" s="265" t="str">
        <f>IFERROR(__xludf.DUMMYFUNCTION("""COMPUTED_VALUE"""),"HoaNTM")</f>
        <v>HoaNTM</v>
      </c>
      <c r="F353" s="265" t="str">
        <f>IFERROR(__xludf.DUMMYFUNCTION("""COMPUTED_VALUE"""),"Sale chưa cung cấp")</f>
        <v>Sale chưa cung cấp</v>
      </c>
      <c r="G353" s="265" t="str">
        <f>IFERROR(__xludf.DUMMYFUNCTION("""COMPUTED_VALUE"""),"SIMILAR")</f>
        <v>SIMILAR</v>
      </c>
      <c r="H353" s="265" t="str">
        <f>IFERROR(__xludf.DUMMYFUNCTION("""COMPUTED_VALUE"""),"(Chưa recheck)")</f>
        <v>(Chưa recheck)</v>
      </c>
      <c r="I353" s="265" t="str">
        <f>IFERROR(__xludf.DUMMYFUNCTION("""COMPUTED_VALUE"""),"API &amp; Portal")</f>
        <v>API &amp; Portal</v>
      </c>
      <c r="J353" s="265" t="str">
        <f>IFERROR(__xludf.DUMMYFUNCTION("""COMPUTED_VALUE"""),"(Chưa recheck)")</f>
        <v>(Chưa recheck)</v>
      </c>
    </row>
    <row r="354">
      <c r="A354" s="265" t="str">
        <f>IFERROR(__xludf.DUMMYFUNCTION("""COMPUTED_VALUE"""),"688")</f>
        <v>688</v>
      </c>
      <c r="B354" s="265" t="str">
        <f>IFERROR(__xludf.DUMMYFUNCTION("""COMPUTED_VALUE"""),"Hà Nội")</f>
        <v>Hà Nội</v>
      </c>
      <c r="C354" s="265" t="str">
        <f>IFERROR(__xludf.DUMMYFUNCTION("""COMPUTED_VALUE"""),"Locked")</f>
        <v>Locked</v>
      </c>
      <c r="D354" s="265" t="str">
        <f>IFERROR(__xludf.DUMMYFUNCTION("""COMPUTED_VALUE"""),"Vận tải &amp; logistics")</f>
        <v>Vận tải &amp; logistics</v>
      </c>
      <c r="E354" s="265" t="str">
        <f>IFERROR(__xludf.DUMMYFUNCTION("""COMPUTED_VALUE"""),"PhươngDTB")</f>
        <v>PhươngDTB</v>
      </c>
      <c r="F354" s="265" t="str">
        <f>IFERROR(__xludf.DUMMYFUNCTION("""COMPUTED_VALUE"""),"Sale chưa cung cấp")</f>
        <v>Sale chưa cung cấp</v>
      </c>
      <c r="G354" s="265" t="str">
        <f>IFERROR(__xludf.DUMMYFUNCTION("""COMPUTED_VALUE"""),"API")</f>
        <v>API</v>
      </c>
      <c r="H354" s="265" t="str">
        <f>IFERROR(__xludf.DUMMYFUNCTION("""COMPUTED_VALUE"""),"Trial")</f>
        <v>Trial</v>
      </c>
      <c r="I354" s="265" t="str">
        <f>IFERROR(__xludf.DUMMYFUNCTION("""COMPUTED_VALUE"""),"API")</f>
        <v>API</v>
      </c>
      <c r="J354" s="265" t="str">
        <f>IFERROR(__xludf.DUMMYFUNCTION("""COMPUTED_VALUE"""),"(Không recheck)")</f>
        <v>(Không recheck)</v>
      </c>
    </row>
    <row r="355">
      <c r="A355" s="265" t="str">
        <f>IFERROR(__xludf.DUMMYFUNCTION("""COMPUTED_VALUE"""),"687")</f>
        <v>687</v>
      </c>
      <c r="B355" s="265" t="str">
        <f>IFERROR(__xludf.DUMMYFUNCTION("""COMPUTED_VALUE"""),"Hà Nội")</f>
        <v>Hà Nội</v>
      </c>
      <c r="C355" s="265" t="str">
        <f>IFERROR(__xludf.DUMMYFUNCTION("""COMPUTED_VALUE"""),"Locked")</f>
        <v>Locked</v>
      </c>
      <c r="D355" s="265" t="str">
        <f>IFERROR(__xludf.DUMMYFUNCTION("""COMPUTED_VALUE"""),"Vận tải &amp; logistics")</f>
        <v>Vận tải &amp; logistics</v>
      </c>
      <c r="E355" s="265" t="str">
        <f>IFERROR(__xludf.DUMMYFUNCTION("""COMPUTED_VALUE"""),"PhươngDTB")</f>
        <v>PhươngDTB</v>
      </c>
      <c r="F355" s="265" t="str">
        <f>IFERROR(__xludf.DUMMYFUNCTION("""COMPUTED_VALUE"""),"Sale chưa cung cấp")</f>
        <v>Sale chưa cung cấp</v>
      </c>
      <c r="G355" s="265" t="str">
        <f>IFERROR(__xludf.DUMMYFUNCTION("""COMPUTED_VALUE"""),"API")</f>
        <v>API</v>
      </c>
      <c r="H355" s="265" t="str">
        <f>IFERROR(__xludf.DUMMYFUNCTION("""COMPUTED_VALUE"""),"(Chưa recheck)")</f>
        <v>(Chưa recheck)</v>
      </c>
      <c r="I355" s="265" t="str">
        <f>IFERROR(__xludf.DUMMYFUNCTION("""COMPUTED_VALUE"""),"API")</f>
        <v>API</v>
      </c>
      <c r="J355" s="265" t="str">
        <f>IFERROR(__xludf.DUMMYFUNCTION("""COMPUTED_VALUE"""),"(Chưa recheck)")</f>
        <v>(Chưa recheck)</v>
      </c>
    </row>
    <row r="356">
      <c r="A356" s="265" t="str">
        <f>IFERROR(__xludf.DUMMYFUNCTION("""COMPUTED_VALUE"""),"389")</f>
        <v>389</v>
      </c>
      <c r="B356" s="265" t="str">
        <f>IFERROR(__xludf.DUMMYFUNCTION("""COMPUTED_VALUE"""),"Hà Nội")</f>
        <v>Hà Nội</v>
      </c>
      <c r="C356" s="265" t="str">
        <f>IFERROR(__xludf.DUMMYFUNCTION("""COMPUTED_VALUE"""),"Locked")</f>
        <v>Locked</v>
      </c>
      <c r="D356" s="265" t="str">
        <f>IFERROR(__xludf.DUMMYFUNCTION("""COMPUTED_VALUE"""),"Bất động sản")</f>
        <v>Bất động sản</v>
      </c>
      <c r="E356" s="265" t="str">
        <f>IFERROR(__xludf.DUMMYFUNCTION("""COMPUTED_VALUE"""),"TúPHN")</f>
        <v>TúPHN</v>
      </c>
      <c r="F356" s="265" t="str">
        <f>IFERROR(__xludf.DUMMYFUNCTION("""COMPUTED_VALUE"""),"Bronze")</f>
        <v>Bronze</v>
      </c>
      <c r="G356" s="265" t="str">
        <f>IFERROR(__xludf.DUMMYFUNCTION("""COMPUTED_VALUE"""),"Enterprise")</f>
        <v>Enterprise</v>
      </c>
      <c r="H356" s="265" t="str">
        <f>IFERROR(__xludf.DUMMYFUNCTION("""COMPUTED_VALUE"""),"(Chưa recheck)")</f>
        <v>(Chưa recheck)</v>
      </c>
      <c r="I356" s="265" t="str">
        <f>IFERROR(__xludf.DUMMYFUNCTION("""COMPUTED_VALUE"""),"(Chưa recheck)")</f>
        <v>(Chưa recheck)</v>
      </c>
      <c r="J356" s="265" t="str">
        <f>IFERROR(__xludf.DUMMYFUNCTION("""COMPUTED_VALUE"""),"AnhNM")</f>
        <v>AnhNM</v>
      </c>
    </row>
    <row r="357">
      <c r="A357" s="265" t="str">
        <f>IFERROR(__xludf.DUMMYFUNCTION("""COMPUTED_VALUE"""),"689")</f>
        <v>689</v>
      </c>
      <c r="B357" s="265" t="str">
        <f>IFERROR(__xludf.DUMMYFUNCTION("""COMPUTED_VALUE"""),"Sài Gòn")</f>
        <v>Sài Gòn</v>
      </c>
      <c r="C357" s="265" t="str">
        <f>IFERROR(__xludf.DUMMYFUNCTION("""COMPUTED_VALUE"""),"Locked")</f>
        <v>Locked</v>
      </c>
      <c r="D357" s="265" t="str">
        <f>IFERROR(__xludf.DUMMYFUNCTION("""COMPUTED_VALUE"""),"Sale chưa cung cấp")</f>
        <v>Sale chưa cung cấp</v>
      </c>
      <c r="E357" s="265" t="str">
        <f>IFERROR(__xludf.DUMMYFUNCTION("""COMPUTED_VALUE"""),"HoaNTM")</f>
        <v>HoaNTM</v>
      </c>
      <c r="F357" s="265" t="str">
        <f>IFERROR(__xludf.DUMMYFUNCTION("""COMPUTED_VALUE"""),"Sale chưa cung cấp")</f>
        <v>Sale chưa cung cấp</v>
      </c>
      <c r="G357" s="265" t="str">
        <f>IFERROR(__xludf.DUMMYFUNCTION("""COMPUTED_VALUE"""),"Enterprise")</f>
        <v>Enterprise</v>
      </c>
      <c r="H357" s="265" t="str">
        <f>IFERROR(__xludf.DUMMYFUNCTION("""COMPUTED_VALUE"""),"Trial")</f>
        <v>Trial</v>
      </c>
      <c r="I357" s="265" t="str">
        <f>IFERROR(__xludf.DUMMYFUNCTION("""COMPUTED_VALUE"""),"API &amp; Portal")</f>
        <v>API &amp; Portal</v>
      </c>
      <c r="J357" s="265" t="str">
        <f>IFERROR(__xludf.DUMMYFUNCTION("""COMPUTED_VALUE"""),"(Không recheck)")</f>
        <v>(Không recheck)</v>
      </c>
    </row>
    <row r="358">
      <c r="A358" s="265" t="str">
        <f>IFERROR(__xludf.DUMMYFUNCTION("""COMPUTED_VALUE"""),"690")</f>
        <v>690</v>
      </c>
      <c r="B358" s="265" t="str">
        <f>IFERROR(__xludf.DUMMYFUNCTION("""COMPUTED_VALUE"""),"Hà Nội")</f>
        <v>Hà Nội</v>
      </c>
      <c r="C358" s="265" t="str">
        <f>IFERROR(__xludf.DUMMYFUNCTION("""COMPUTED_VALUE"""),"Locked")</f>
        <v>Locked</v>
      </c>
      <c r="D358" s="265" t="str">
        <f>IFERROR(__xludf.DUMMYFUNCTION("""COMPUTED_VALUE"""),"Thực phẩm &amp; Đồ uống")</f>
        <v>Thực phẩm &amp; Đồ uống</v>
      </c>
      <c r="E358" s="265" t="str">
        <f>IFERROR(__xludf.DUMMYFUNCTION("""COMPUTED_VALUE"""),"AnhNP")</f>
        <v>AnhNP</v>
      </c>
      <c r="F358" s="265" t="str">
        <f>IFERROR(__xludf.DUMMYFUNCTION("""COMPUTED_VALUE"""),"Sale chưa cung cấp")</f>
        <v>Sale chưa cung cấp</v>
      </c>
      <c r="G358" s="265" t="str">
        <f>IFERROR(__xludf.DUMMYFUNCTION("""COMPUTED_VALUE"""),"Enterprise")</f>
        <v>Enterprise</v>
      </c>
      <c r="H358" s="265" t="str">
        <f>IFERROR(__xludf.DUMMYFUNCTION("""COMPUTED_VALUE"""),"Trial")</f>
        <v>Trial</v>
      </c>
      <c r="I358" s="265" t="str">
        <f>IFERROR(__xludf.DUMMYFUNCTION("""COMPUTED_VALUE"""),"API &amp; Portal")</f>
        <v>API &amp; Portal</v>
      </c>
      <c r="J358" s="265" t="str">
        <f>IFERROR(__xludf.DUMMYFUNCTION("""COMPUTED_VALUE"""),"(Không recheck)")</f>
        <v>(Không recheck)</v>
      </c>
    </row>
    <row r="359">
      <c r="A359" s="265" t="str">
        <f>IFERROR(__xludf.DUMMYFUNCTION("""COMPUTED_VALUE"""),"691")</f>
        <v>691</v>
      </c>
      <c r="B359" s="265" t="str">
        <f>IFERROR(__xludf.DUMMYFUNCTION("""COMPUTED_VALUE"""),"Hà Nội")</f>
        <v>Hà Nội</v>
      </c>
      <c r="C359" s="265" t="str">
        <f>IFERROR(__xludf.DUMMYFUNCTION("""COMPUTED_VALUE"""),"Locked")</f>
        <v>Locked</v>
      </c>
      <c r="D359" s="265" t="str">
        <f>IFERROR(__xludf.DUMMYFUNCTION("""COMPUTED_VALUE"""),"Mua sắm &amp; Bán lẻ")</f>
        <v>Mua sắm &amp; Bán lẻ</v>
      </c>
      <c r="E359" s="265" t="str">
        <f>IFERROR(__xludf.DUMMYFUNCTION("""COMPUTED_VALUE"""),"HangNT")</f>
        <v>HangNT</v>
      </c>
      <c r="F359" s="265" t="str">
        <f>IFERROR(__xludf.DUMMYFUNCTION("""COMPUTED_VALUE"""),"Gold")</f>
        <v>Gold</v>
      </c>
      <c r="G359" s="265" t="str">
        <f>IFERROR(__xludf.DUMMYFUNCTION("""COMPUTED_VALUE"""),"SIMILAR")</f>
        <v>SIMILAR</v>
      </c>
      <c r="H359" s="265" t="str">
        <f>IFERROR(__xludf.DUMMYFUNCTION("""COMPUTED_VALUE"""),"Trial")</f>
        <v>Trial</v>
      </c>
      <c r="I359" s="265" t="str">
        <f>IFERROR(__xludf.DUMMYFUNCTION("""COMPUTED_VALUE"""),"Portal")</f>
        <v>Portal</v>
      </c>
      <c r="J359" s="265" t="str">
        <f>IFERROR(__xludf.DUMMYFUNCTION("""COMPUTED_VALUE"""),"(Chưa recheck)")</f>
        <v>(Chưa recheck)</v>
      </c>
    </row>
    <row r="360">
      <c r="A360" s="265" t="str">
        <f>IFERROR(__xludf.DUMMYFUNCTION("""COMPUTED_VALUE"""),"693")</f>
        <v>693</v>
      </c>
      <c r="B360" s="265" t="str">
        <f>IFERROR(__xludf.DUMMYFUNCTION("""COMPUTED_VALUE"""),"Hà Nội")</f>
        <v>Hà Nội</v>
      </c>
      <c r="C360" s="265" t="str">
        <f>IFERROR(__xludf.DUMMYFUNCTION("""COMPUTED_VALUE"""),"Locked")</f>
        <v>Locked</v>
      </c>
      <c r="D360" s="265" t="str">
        <f>IFERROR(__xludf.DUMMYFUNCTION("""COMPUTED_VALUE"""),"Giáo dục &amp; Đào tạo")</f>
        <v>Giáo dục &amp; Đào tạo</v>
      </c>
      <c r="E360" s="265" t="str">
        <f>IFERROR(__xludf.DUMMYFUNCTION("""COMPUTED_VALUE"""),"TùngLD")</f>
        <v>TùngLD</v>
      </c>
      <c r="F360" s="265" t="str">
        <f>IFERROR(__xludf.DUMMYFUNCTION("""COMPUTED_VALUE"""),"Sale chưa cung cấp")</f>
        <v>Sale chưa cung cấp</v>
      </c>
      <c r="G360" s="265" t="str">
        <f>IFERROR(__xludf.DUMMYFUNCTION("""COMPUTED_VALUE"""),"Enterprise")</f>
        <v>Enterprise</v>
      </c>
      <c r="H360" s="265" t="str">
        <f>IFERROR(__xludf.DUMMYFUNCTION("""COMPUTED_VALUE"""),"Trial")</f>
        <v>Trial</v>
      </c>
      <c r="I360" s="265" t="str">
        <f>IFERROR(__xludf.DUMMYFUNCTION("""COMPUTED_VALUE"""),"Portal")</f>
        <v>Portal</v>
      </c>
      <c r="J360" s="265" t="str">
        <f>IFERROR(__xludf.DUMMYFUNCTION("""COMPUTED_VALUE"""),"(Không recheck)")</f>
        <v>(Không recheck)</v>
      </c>
    </row>
    <row r="361">
      <c r="A361" s="265" t="str">
        <f>IFERROR(__xludf.DUMMYFUNCTION("""COMPUTED_VALUE"""),"692")</f>
        <v>692</v>
      </c>
      <c r="B361" s="265" t="str">
        <f>IFERROR(__xludf.DUMMYFUNCTION("""COMPUTED_VALUE"""),"Sài Gòn")</f>
        <v>Sài Gòn</v>
      </c>
      <c r="C361" s="265" t="str">
        <f>IFERROR(__xludf.DUMMYFUNCTION("""COMPUTED_VALUE"""),"Locked")</f>
        <v>Locked</v>
      </c>
      <c r="D361" s="265" t="str">
        <f>IFERROR(__xludf.DUMMYFUNCTION("""COMPUTED_VALUE"""),"Sale chưa cung cấp")</f>
        <v>Sale chưa cung cấp</v>
      </c>
      <c r="E361" s="265" t="str">
        <f>IFERROR(__xludf.DUMMYFUNCTION("""COMPUTED_VALUE"""),"HoaNTM")</f>
        <v>HoaNTM</v>
      </c>
      <c r="F361" s="265" t="str">
        <f>IFERROR(__xludf.DUMMYFUNCTION("""COMPUTED_VALUE"""),"Sale chưa cung cấp")</f>
        <v>Sale chưa cung cấp</v>
      </c>
      <c r="G361" s="265" t="str">
        <f>IFERROR(__xludf.DUMMYFUNCTION("""COMPUTED_VALUE"""),"Enterprise")</f>
        <v>Enterprise</v>
      </c>
      <c r="H361" s="265" t="str">
        <f>IFERROR(__xludf.DUMMYFUNCTION("""COMPUTED_VALUE"""),"Trial")</f>
        <v>Trial</v>
      </c>
      <c r="I361" s="265" t="str">
        <f>IFERROR(__xludf.DUMMYFUNCTION("""COMPUTED_VALUE"""),"API &amp; Portal")</f>
        <v>API &amp; Portal</v>
      </c>
      <c r="J361" s="265" t="str">
        <f>IFERROR(__xludf.DUMMYFUNCTION("""COMPUTED_VALUE"""),"(Không recheck)")</f>
        <v>(Không recheck)</v>
      </c>
    </row>
    <row r="362">
      <c r="A362" s="265" t="str">
        <f>IFERROR(__xludf.DUMMYFUNCTION("""COMPUTED_VALUE"""),"694")</f>
        <v>694</v>
      </c>
      <c r="B362" s="265" t="str">
        <f>IFERROR(__xludf.DUMMYFUNCTION("""COMPUTED_VALUE"""),"Hà Nội")</f>
        <v>Hà Nội</v>
      </c>
      <c r="C362" s="265" t="str">
        <f>IFERROR(__xludf.DUMMYFUNCTION("""COMPUTED_VALUE"""),"Active")</f>
        <v>Active</v>
      </c>
      <c r="D362" s="265" t="str">
        <f>IFERROR(__xludf.DUMMYFUNCTION("""COMPUTED_VALUE"""),"Bất động sản")</f>
        <v>Bất động sản</v>
      </c>
      <c r="E362" s="265" t="str">
        <f>IFERROR(__xludf.DUMMYFUNCTION("""COMPUTED_VALUE"""),"TúPHN")</f>
        <v>TúPHN</v>
      </c>
      <c r="F362" s="265" t="str">
        <f>IFERROR(__xludf.DUMMYFUNCTION("""COMPUTED_VALUE"""),"Diamond")</f>
        <v>Diamond</v>
      </c>
      <c r="G362" s="265" t="str">
        <f>IFERROR(__xludf.DUMMYFUNCTION("""COMPUTED_VALUE"""),"Standard")</f>
        <v>Standard</v>
      </c>
      <c r="H362" s="265" t="str">
        <f>IFERROR(__xludf.DUMMYFUNCTION("""COMPUTED_VALUE"""),"Trả sau")</f>
        <v>Trả sau</v>
      </c>
      <c r="I362" s="265" t="str">
        <f>IFERROR(__xludf.DUMMYFUNCTION("""COMPUTED_VALUE"""),"API")</f>
        <v>API</v>
      </c>
      <c r="J362" s="265" t="str">
        <f>IFERROR(__xludf.DUMMYFUNCTION("""COMPUTED_VALUE"""),"DungPL")</f>
        <v>DungPL</v>
      </c>
    </row>
    <row r="363">
      <c r="A363" s="265" t="str">
        <f>IFERROR(__xludf.DUMMYFUNCTION("""COMPUTED_VALUE"""),"695")</f>
        <v>695</v>
      </c>
      <c r="B363" s="265" t="str">
        <f>IFERROR(__xludf.DUMMYFUNCTION("""COMPUTED_VALUE"""),"Đà Nẵng")</f>
        <v>Đà Nẵng</v>
      </c>
      <c r="C363" s="265" t="str">
        <f>IFERROR(__xludf.DUMMYFUNCTION("""COMPUTED_VALUE"""),"Locked")</f>
        <v>Locked</v>
      </c>
      <c r="D363" s="265" t="str">
        <f>IFERROR(__xludf.DUMMYFUNCTION("""COMPUTED_VALUE"""),"Sản xuất &amp; Chế tạo")</f>
        <v>Sản xuất &amp; Chế tạo</v>
      </c>
      <c r="E363" s="265" t="str">
        <f>IFERROR(__xludf.DUMMYFUNCTION("""COMPUTED_VALUE"""),"TúPHN")</f>
        <v>TúPHN</v>
      </c>
      <c r="F363" s="265" t="str">
        <f>IFERROR(__xludf.DUMMYFUNCTION("""COMPUTED_VALUE"""),"Bronze")</f>
        <v>Bronze</v>
      </c>
      <c r="G363" s="265" t="str">
        <f>IFERROR(__xludf.DUMMYFUNCTION("""COMPUTED_VALUE"""),"SIMILAR")</f>
        <v>SIMILAR</v>
      </c>
      <c r="H363" s="265" t="str">
        <f>IFERROR(__xludf.DUMMYFUNCTION("""COMPUTED_VALUE"""),"Trả trước")</f>
        <v>Trả trước</v>
      </c>
      <c r="I363" s="265" t="str">
        <f>IFERROR(__xludf.DUMMYFUNCTION("""COMPUTED_VALUE"""),"Portal")</f>
        <v>Portal</v>
      </c>
      <c r="J363" s="265" t="str">
        <f>IFERROR(__xludf.DUMMYFUNCTION("""COMPUTED_VALUE"""),"LinhNTT1")</f>
        <v>LinhNTT1</v>
      </c>
    </row>
    <row r="364">
      <c r="A364" s="265" t="str">
        <f>IFERROR(__xludf.DUMMYFUNCTION("""COMPUTED_VALUE"""),"698")</f>
        <v>698</v>
      </c>
      <c r="B364" s="265" t="str">
        <f>IFERROR(__xludf.DUMMYFUNCTION("""COMPUTED_VALUE"""),"Hà Nội")</f>
        <v>Hà Nội</v>
      </c>
      <c r="C364" s="265" t="str">
        <f>IFERROR(__xludf.DUMMYFUNCTION("""COMPUTED_VALUE"""),"Locked")</f>
        <v>Locked</v>
      </c>
      <c r="D364" s="265" t="str">
        <f>IFERROR(__xludf.DUMMYFUNCTION("""COMPUTED_VALUE"""),"Mua sắm &amp; Bán lẻ")</f>
        <v>Mua sắm &amp; Bán lẻ</v>
      </c>
      <c r="E364" s="265" t="str">
        <f>IFERROR(__xludf.DUMMYFUNCTION("""COMPUTED_VALUE"""),"HangNT")</f>
        <v>HangNT</v>
      </c>
      <c r="F364" s="265" t="str">
        <f>IFERROR(__xludf.DUMMYFUNCTION("""COMPUTED_VALUE"""),"Bronze")</f>
        <v>Bronze</v>
      </c>
      <c r="G364" s="265" t="str">
        <f>IFERROR(__xludf.DUMMYFUNCTION("""COMPUTED_VALUE"""),"MSG")</f>
        <v>MSG</v>
      </c>
      <c r="H364" s="265" t="str">
        <f>IFERROR(__xludf.DUMMYFUNCTION("""COMPUTED_VALUE"""),"Trial")</f>
        <v>Trial</v>
      </c>
      <c r="I364" s="265" t="str">
        <f>IFERROR(__xludf.DUMMYFUNCTION("""COMPUTED_VALUE"""),"Portal")</f>
        <v>Portal</v>
      </c>
      <c r="J364" s="265" t="str">
        <f>IFERROR(__xludf.DUMMYFUNCTION("""COMPUTED_VALUE"""),"(Không recheck)")</f>
        <v>(Không recheck)</v>
      </c>
    </row>
    <row r="365">
      <c r="A365" s="265" t="str">
        <f>IFERROR(__xludf.DUMMYFUNCTION("""COMPUTED_VALUE"""),"697")</f>
        <v>697</v>
      </c>
      <c r="B365" s="265" t="str">
        <f>IFERROR(__xludf.DUMMYFUNCTION("""COMPUTED_VALUE"""),"Sài Gòn")</f>
        <v>Sài Gòn</v>
      </c>
      <c r="C365" s="265" t="str">
        <f>IFERROR(__xludf.DUMMYFUNCTION("""COMPUTED_VALUE"""),"Locked")</f>
        <v>Locked</v>
      </c>
      <c r="D365" s="265" t="str">
        <f>IFERROR(__xludf.DUMMYFUNCTION("""COMPUTED_VALUE"""),"Thời trang &amp; May mặc")</f>
        <v>Thời trang &amp; May mặc</v>
      </c>
      <c r="E365" s="265" t="str">
        <f>IFERROR(__xludf.DUMMYFUNCTION("""COMPUTED_VALUE"""),"HoaNTM")</f>
        <v>HoaNTM</v>
      </c>
      <c r="F365" s="265" t="str">
        <f>IFERROR(__xludf.DUMMYFUNCTION("""COMPUTED_VALUE"""),"Bronze")</f>
        <v>Bronze</v>
      </c>
      <c r="G365" s="265" t="str">
        <f>IFERROR(__xludf.DUMMYFUNCTION("""COMPUTED_VALUE"""),"Enterprise")</f>
        <v>Enterprise</v>
      </c>
      <c r="H365" s="265" t="str">
        <f>IFERROR(__xludf.DUMMYFUNCTION("""COMPUTED_VALUE"""),"(Chưa recheck)")</f>
        <v>(Chưa recheck)</v>
      </c>
      <c r="I365" s="265" t="str">
        <f>IFERROR(__xludf.DUMMYFUNCTION("""COMPUTED_VALUE"""),"API &amp; Portal")</f>
        <v>API &amp; Portal</v>
      </c>
      <c r="J365" s="265" t="str">
        <f>IFERROR(__xludf.DUMMYFUNCTION("""COMPUTED_VALUE"""),"Chưa phân công")</f>
        <v>Chưa phân công</v>
      </c>
    </row>
    <row r="366">
      <c r="A366" s="265" t="str">
        <f>IFERROR(__xludf.DUMMYFUNCTION("""COMPUTED_VALUE"""),"696")</f>
        <v>696</v>
      </c>
      <c r="B366" s="265" t="str">
        <f>IFERROR(__xludf.DUMMYFUNCTION("""COMPUTED_VALUE"""),"Sài Gòn")</f>
        <v>Sài Gòn</v>
      </c>
      <c r="C366" s="265" t="str">
        <f>IFERROR(__xludf.DUMMYFUNCTION("""COMPUTED_VALUE"""),"Locked")</f>
        <v>Locked</v>
      </c>
      <c r="D366" s="265" t="str">
        <f>IFERROR(__xludf.DUMMYFUNCTION("""COMPUTED_VALUE"""),"Viễn thông")</f>
        <v>Viễn thông</v>
      </c>
      <c r="E366" s="265" t="str">
        <f>IFERROR(__xludf.DUMMYFUNCTION("""COMPUTED_VALUE"""),"HoaNTM")</f>
        <v>HoaNTM</v>
      </c>
      <c r="F366" s="265" t="str">
        <f>IFERROR(__xludf.DUMMYFUNCTION("""COMPUTED_VALUE"""),"Gold")</f>
        <v>Gold</v>
      </c>
      <c r="G366" s="265" t="str">
        <f>IFERROR(__xludf.DUMMYFUNCTION("""COMPUTED_VALUE"""),"Enterprise")</f>
        <v>Enterprise</v>
      </c>
      <c r="H366" s="265" t="str">
        <f>IFERROR(__xludf.DUMMYFUNCTION("""COMPUTED_VALUE"""),"(Chưa recheck)")</f>
        <v>(Chưa recheck)</v>
      </c>
      <c r="I366" s="265" t="str">
        <f>IFERROR(__xludf.DUMMYFUNCTION("""COMPUTED_VALUE"""),"API &amp; Portal")</f>
        <v>API &amp; Portal</v>
      </c>
      <c r="J366" s="265" t="str">
        <f>IFERROR(__xludf.DUMMYFUNCTION("""COMPUTED_VALUE"""),"AnhNM")</f>
        <v>AnhNM</v>
      </c>
    </row>
    <row r="367">
      <c r="A367" s="265" t="str">
        <f>IFERROR(__xludf.DUMMYFUNCTION("""COMPUTED_VALUE"""),"699")</f>
        <v>699</v>
      </c>
      <c r="B367" s="265" t="str">
        <f>IFERROR(__xludf.DUMMYFUNCTION("""COMPUTED_VALUE"""),"Hà Nội")</f>
        <v>Hà Nội</v>
      </c>
      <c r="C367" s="265" t="str">
        <f>IFERROR(__xludf.DUMMYFUNCTION("""COMPUTED_VALUE"""),"Active")</f>
        <v>Active</v>
      </c>
      <c r="D367" s="265" t="str">
        <f>IFERROR(__xludf.DUMMYFUNCTION("""COMPUTED_VALUE"""),"Vận tải &amp; logistics")</f>
        <v>Vận tải &amp; logistics</v>
      </c>
      <c r="E367" s="265" t="str">
        <f>IFERROR(__xludf.DUMMYFUNCTION("""COMPUTED_VALUE"""),"AnhNM")</f>
        <v>AnhNM</v>
      </c>
      <c r="F367" s="265" t="str">
        <f>IFERROR(__xludf.DUMMYFUNCTION("""COMPUTED_VALUE"""),"Silver")</f>
        <v>Silver</v>
      </c>
      <c r="G367" s="265" t="str">
        <f>IFERROR(__xludf.DUMMYFUNCTION("""COMPUTED_VALUE"""),"Starter")</f>
        <v>Starter</v>
      </c>
      <c r="H367" s="265" t="str">
        <f>IFERROR(__xludf.DUMMYFUNCTION("""COMPUTED_VALUE"""),"Trả sau")</f>
        <v>Trả sau</v>
      </c>
      <c r="I367" s="265" t="str">
        <f>IFERROR(__xludf.DUMMYFUNCTION("""COMPUTED_VALUE"""),"API &amp; Portal")</f>
        <v>API &amp; Portal</v>
      </c>
      <c r="J367" s="265" t="str">
        <f>IFERROR(__xludf.DUMMYFUNCTION("""COMPUTED_VALUE"""),"DungVT")</f>
        <v>DungVT</v>
      </c>
    </row>
    <row r="368">
      <c r="A368" s="265" t="str">
        <f>IFERROR(__xludf.DUMMYFUNCTION("""COMPUTED_VALUE"""),"699")</f>
        <v>699</v>
      </c>
      <c r="B368" s="265" t="str">
        <f>IFERROR(__xludf.DUMMYFUNCTION("""COMPUTED_VALUE"""),"Hà Nội")</f>
        <v>Hà Nội</v>
      </c>
      <c r="C368" s="265" t="str">
        <f>IFERROR(__xludf.DUMMYFUNCTION("""COMPUTED_VALUE"""),"Active")</f>
        <v>Active</v>
      </c>
      <c r="D368" s="265" t="str">
        <f>IFERROR(__xludf.DUMMYFUNCTION("""COMPUTED_VALUE"""),"Vận tải &amp; logistics")</f>
        <v>Vận tải &amp; logistics</v>
      </c>
      <c r="E368" s="265" t="str">
        <f>IFERROR(__xludf.DUMMYFUNCTION("""COMPUTED_VALUE"""),"AnhNM")</f>
        <v>AnhNM</v>
      </c>
      <c r="F368" s="265" t="str">
        <f>IFERROR(__xludf.DUMMYFUNCTION("""COMPUTED_VALUE"""),"Silver")</f>
        <v>Silver</v>
      </c>
      <c r="G368" s="265" t="str">
        <f>IFERROR(__xludf.DUMMYFUNCTION("""COMPUTED_VALUE"""),"Starter")</f>
        <v>Starter</v>
      </c>
      <c r="H368" s="265" t="str">
        <f>IFERROR(__xludf.DUMMYFUNCTION("""COMPUTED_VALUE"""),"Trả sau")</f>
        <v>Trả sau</v>
      </c>
      <c r="I368" s="265" t="str">
        <f>IFERROR(__xludf.DUMMYFUNCTION("""COMPUTED_VALUE"""),"API &amp; Portal")</f>
        <v>API &amp; Portal</v>
      </c>
      <c r="J368" s="265" t="str">
        <f>IFERROR(__xludf.DUMMYFUNCTION("""COMPUTED_VALUE"""),"LinhNTT1")</f>
        <v>LinhNTT1</v>
      </c>
    </row>
    <row r="369">
      <c r="A369" s="265" t="str">
        <f>IFERROR(__xludf.DUMMYFUNCTION("""COMPUTED_VALUE"""),"701")</f>
        <v>701</v>
      </c>
      <c r="B369" s="265" t="str">
        <f>IFERROR(__xludf.DUMMYFUNCTION("""COMPUTED_VALUE"""),"Hà Nội")</f>
        <v>Hà Nội</v>
      </c>
      <c r="C369" s="265" t="str">
        <f>IFERROR(__xludf.DUMMYFUNCTION("""COMPUTED_VALUE"""),"Locked")</f>
        <v>Locked</v>
      </c>
      <c r="D369" s="265" t="str">
        <f>IFERROR(__xludf.DUMMYFUNCTION("""COMPUTED_VALUE"""),"Sản xuất &amp; Chế tạo")</f>
        <v>Sản xuất &amp; Chế tạo</v>
      </c>
      <c r="E369" s="265" t="str">
        <f>IFERROR(__xludf.DUMMYFUNCTION("""COMPUTED_VALUE"""),"TùngLD")</f>
        <v>TùngLD</v>
      </c>
      <c r="F369" s="265" t="str">
        <f>IFERROR(__xludf.DUMMYFUNCTION("""COMPUTED_VALUE"""),"Sale chưa cung cấp")</f>
        <v>Sale chưa cung cấp</v>
      </c>
      <c r="G369" s="265" t="str">
        <f>IFERROR(__xludf.DUMMYFUNCTION("""COMPUTED_VALUE"""),"Enterprise")</f>
        <v>Enterprise</v>
      </c>
      <c r="H369" s="265" t="str">
        <f>IFERROR(__xludf.DUMMYFUNCTION("""COMPUTED_VALUE"""),"(Chưa recheck)")</f>
        <v>(Chưa recheck)</v>
      </c>
      <c r="I369" s="265" t="str">
        <f>IFERROR(__xludf.DUMMYFUNCTION("""COMPUTED_VALUE"""),"Portal")</f>
        <v>Portal</v>
      </c>
      <c r="J369" s="265" t="str">
        <f>IFERROR(__xludf.DUMMYFUNCTION("""COMPUTED_VALUE"""),"TuVTC")</f>
        <v>TuVTC</v>
      </c>
    </row>
    <row r="370">
      <c r="A370" s="265" t="str">
        <f>IFERROR(__xludf.DUMMYFUNCTION("""COMPUTED_VALUE"""),"702")</f>
        <v>702</v>
      </c>
      <c r="B370" s="265" t="str">
        <f>IFERROR(__xludf.DUMMYFUNCTION("""COMPUTED_VALUE"""),"Sài Gòn")</f>
        <v>Sài Gòn</v>
      </c>
      <c r="C370" s="265" t="str">
        <f>IFERROR(__xludf.DUMMYFUNCTION("""COMPUTED_VALUE"""),"Active")</f>
        <v>Active</v>
      </c>
      <c r="D370" s="265" t="str">
        <f>IFERROR(__xludf.DUMMYFUNCTION("""COMPUTED_VALUE"""),"Mua sắm &amp; Bán lẻ")</f>
        <v>Mua sắm &amp; Bán lẻ</v>
      </c>
      <c r="E370" s="265" t="str">
        <f>IFERROR(__xludf.DUMMYFUNCTION("""COMPUTED_VALUE"""),"TúPHN")</f>
        <v>TúPHN</v>
      </c>
      <c r="F370" s="265" t="str">
        <f>IFERROR(__xludf.DUMMYFUNCTION("""COMPUTED_VALUE"""),"Silver")</f>
        <v>Silver</v>
      </c>
      <c r="G370" s="265" t="str">
        <f>IFERROR(__xludf.DUMMYFUNCTION("""COMPUTED_VALUE"""),"Enterprise")</f>
        <v>Enterprise</v>
      </c>
      <c r="H370" s="265" t="str">
        <f>IFERROR(__xludf.DUMMYFUNCTION("""COMPUTED_VALUE"""),"Trả sau")</f>
        <v>Trả sau</v>
      </c>
      <c r="I370" s="265" t="str">
        <f>IFERROR(__xludf.DUMMYFUNCTION("""COMPUTED_VALUE"""),"API &amp; Portal")</f>
        <v>API &amp; Portal</v>
      </c>
      <c r="J370" s="265" t="str">
        <f>IFERROR(__xludf.DUMMYFUNCTION("""COMPUTED_VALUE"""),"DungPL")</f>
        <v>DungPL</v>
      </c>
    </row>
    <row r="371">
      <c r="A371" s="265" t="str">
        <f>IFERROR(__xludf.DUMMYFUNCTION("""COMPUTED_VALUE"""),"722")</f>
        <v>722</v>
      </c>
      <c r="B371" s="265" t="str">
        <f>IFERROR(__xludf.DUMMYFUNCTION("""COMPUTED_VALUE"""),"Hà Nội")</f>
        <v>Hà Nội</v>
      </c>
      <c r="C371" s="265" t="str">
        <f>IFERROR(__xludf.DUMMYFUNCTION("""COMPUTED_VALUE"""),"Locked")</f>
        <v>Locked</v>
      </c>
      <c r="D371" s="265" t="str">
        <f>IFERROR(__xludf.DUMMYFUNCTION("""COMPUTED_VALUE"""),"Công nghệ &amp; Phần mềm")</f>
        <v>Công nghệ &amp; Phần mềm</v>
      </c>
      <c r="E371" s="265" t="str">
        <f>IFERROR(__xludf.DUMMYFUNCTION("""COMPUTED_VALUE"""),"TúPHN")</f>
        <v>TúPHN</v>
      </c>
      <c r="F371" s="265" t="str">
        <f>IFERROR(__xludf.DUMMYFUNCTION("""COMPUTED_VALUE"""),"Bronze")</f>
        <v>Bronze</v>
      </c>
      <c r="G371" s="265" t="str">
        <f>IFERROR(__xludf.DUMMYFUNCTION("""COMPUTED_VALUE"""),"API")</f>
        <v>API</v>
      </c>
      <c r="H371" s="265" t="str">
        <f>IFERROR(__xludf.DUMMYFUNCTION("""COMPUTED_VALUE"""),"(Chưa recheck)")</f>
        <v>(Chưa recheck)</v>
      </c>
      <c r="I371" s="265" t="str">
        <f>IFERROR(__xludf.DUMMYFUNCTION("""COMPUTED_VALUE"""),"API")</f>
        <v>API</v>
      </c>
      <c r="J371" s="265" t="str">
        <f>IFERROR(__xludf.DUMMYFUNCTION("""COMPUTED_VALUE"""),"(Chưa recheck)")</f>
        <v>(Chưa recheck)</v>
      </c>
    </row>
    <row r="372">
      <c r="A372" s="265" t="str">
        <f>IFERROR(__xludf.DUMMYFUNCTION("""COMPUTED_VALUE"""),"705")</f>
        <v>705</v>
      </c>
      <c r="B372" s="265" t="str">
        <f>IFERROR(__xludf.DUMMYFUNCTION("""COMPUTED_VALUE"""),"Sài Gòn")</f>
        <v>Sài Gòn</v>
      </c>
      <c r="C372" s="265" t="str">
        <f>IFERROR(__xludf.DUMMYFUNCTION("""COMPUTED_VALUE"""),"Locked")</f>
        <v>Locked</v>
      </c>
      <c r="D372" s="265" t="str">
        <f>IFERROR(__xludf.DUMMYFUNCTION("""COMPUTED_VALUE"""),"Thời trang &amp; May mặc")</f>
        <v>Thời trang &amp; May mặc</v>
      </c>
      <c r="E372" s="265" t="str">
        <f>IFERROR(__xludf.DUMMYFUNCTION("""COMPUTED_VALUE"""),"HoaNTM")</f>
        <v>HoaNTM</v>
      </c>
      <c r="F372" s="265" t="str">
        <f>IFERROR(__xludf.DUMMYFUNCTION("""COMPUTED_VALUE"""),"Sale chưa cung cấp")</f>
        <v>Sale chưa cung cấp</v>
      </c>
      <c r="G372" s="265" t="str">
        <f>IFERROR(__xludf.DUMMYFUNCTION("""COMPUTED_VALUE"""),"Enterprise")</f>
        <v>Enterprise</v>
      </c>
      <c r="H372" s="265" t="str">
        <f>IFERROR(__xludf.DUMMYFUNCTION("""COMPUTED_VALUE"""),"Trial")</f>
        <v>Trial</v>
      </c>
      <c r="I372" s="265" t="str">
        <f>IFERROR(__xludf.DUMMYFUNCTION("""COMPUTED_VALUE"""),"API &amp; Portal")</f>
        <v>API &amp; Portal</v>
      </c>
      <c r="J372" s="265" t="str">
        <f>IFERROR(__xludf.DUMMYFUNCTION("""COMPUTED_VALUE"""),"(Không recheck)")</f>
        <v>(Không recheck)</v>
      </c>
    </row>
    <row r="373">
      <c r="A373" s="265" t="str">
        <f>IFERROR(__xludf.DUMMYFUNCTION("""COMPUTED_VALUE"""),"704")</f>
        <v>704</v>
      </c>
      <c r="B373" s="265" t="str">
        <f>IFERROR(__xludf.DUMMYFUNCTION("""COMPUTED_VALUE"""),"Sài Gòn")</f>
        <v>Sài Gòn</v>
      </c>
      <c r="C373" s="265" t="str">
        <f>IFERROR(__xludf.DUMMYFUNCTION("""COMPUTED_VALUE"""),"Locked")</f>
        <v>Locked</v>
      </c>
      <c r="D373" s="265" t="str">
        <f>IFERROR(__xludf.DUMMYFUNCTION("""COMPUTED_VALUE"""),"Y tế &amp; Dược phẩm")</f>
        <v>Y tế &amp; Dược phẩm</v>
      </c>
      <c r="E373" s="265" t="str">
        <f>IFERROR(__xludf.DUMMYFUNCTION("""COMPUTED_VALUE"""),"TùngLD")</f>
        <v>TùngLD</v>
      </c>
      <c r="F373" s="265" t="str">
        <f>IFERROR(__xludf.DUMMYFUNCTION("""COMPUTED_VALUE"""),"Bronze")</f>
        <v>Bronze</v>
      </c>
      <c r="G373" s="265" t="str">
        <f>IFERROR(__xludf.DUMMYFUNCTION("""COMPUTED_VALUE"""),"Enterprise")</f>
        <v>Enterprise</v>
      </c>
      <c r="H373" s="265" t="str">
        <f>IFERROR(__xludf.DUMMYFUNCTION("""COMPUTED_VALUE"""),"Trả sau")</f>
        <v>Trả sau</v>
      </c>
      <c r="I373" s="265" t="str">
        <f>IFERROR(__xludf.DUMMYFUNCTION("""COMPUTED_VALUE"""),"API &amp; Portal")</f>
        <v>API &amp; Portal</v>
      </c>
      <c r="J373" s="265" t="str">
        <f>IFERROR(__xludf.DUMMYFUNCTION("""COMPUTED_VALUE"""),"Không phân công")</f>
        <v>Không phân công</v>
      </c>
    </row>
    <row r="374">
      <c r="A374" s="265" t="str">
        <f>IFERROR(__xludf.DUMMYFUNCTION("""COMPUTED_VALUE"""),"706")</f>
        <v>706</v>
      </c>
      <c r="B374" s="265" t="str">
        <f>IFERROR(__xludf.DUMMYFUNCTION("""COMPUTED_VALUE"""),"Hà Nội")</f>
        <v>Hà Nội</v>
      </c>
      <c r="C374" s="265" t="str">
        <f>IFERROR(__xludf.DUMMYFUNCTION("""COMPUTED_VALUE"""),"Locked")</f>
        <v>Locked</v>
      </c>
      <c r="D374" s="265" t="str">
        <f>IFERROR(__xludf.DUMMYFUNCTION("""COMPUTED_VALUE"""),"Mua sắm &amp; Bán lẻ")</f>
        <v>Mua sắm &amp; Bán lẻ</v>
      </c>
      <c r="E374" s="265" t="str">
        <f>IFERROR(__xludf.DUMMYFUNCTION("""COMPUTED_VALUE"""),"TùngLD")</f>
        <v>TùngLD</v>
      </c>
      <c r="F374" s="265" t="str">
        <f>IFERROR(__xludf.DUMMYFUNCTION("""COMPUTED_VALUE"""),"Diamond")</f>
        <v>Diamond</v>
      </c>
      <c r="G374" s="265" t="str">
        <f>IFERROR(__xludf.DUMMYFUNCTION("""COMPUTED_VALUE"""),"Starter")</f>
        <v>Starter</v>
      </c>
      <c r="H374" s="265" t="str">
        <f>IFERROR(__xludf.DUMMYFUNCTION("""COMPUTED_VALUE"""),"Trả sau")</f>
        <v>Trả sau</v>
      </c>
      <c r="I374" s="265" t="str">
        <f>IFERROR(__xludf.DUMMYFUNCTION("""COMPUTED_VALUE"""),"API")</f>
        <v>API</v>
      </c>
      <c r="J374" s="265" t="str">
        <f>IFERROR(__xludf.DUMMYFUNCTION("""COMPUTED_VALUE"""),"DungVT")</f>
        <v>DungVT</v>
      </c>
    </row>
    <row r="375">
      <c r="A375" s="265" t="str">
        <f>IFERROR(__xludf.DUMMYFUNCTION("""COMPUTED_VALUE"""),"700")</f>
        <v>700</v>
      </c>
      <c r="B375" s="265" t="str">
        <f>IFERROR(__xludf.DUMMYFUNCTION("""COMPUTED_VALUE"""),"Sài Gòn")</f>
        <v>Sài Gòn</v>
      </c>
      <c r="C375" s="265" t="str">
        <f>IFERROR(__xludf.DUMMYFUNCTION("""COMPUTED_VALUE"""),"Locked")</f>
        <v>Locked</v>
      </c>
      <c r="D375" s="265" t="str">
        <f>IFERROR(__xludf.DUMMYFUNCTION("""COMPUTED_VALUE"""),"Viễn thông")</f>
        <v>Viễn thông</v>
      </c>
      <c r="E375" s="265" t="str">
        <f>IFERROR(__xludf.DUMMYFUNCTION("""COMPUTED_VALUE"""),"HoaNTM")</f>
        <v>HoaNTM</v>
      </c>
      <c r="F375" s="265" t="str">
        <f>IFERROR(__xludf.DUMMYFUNCTION("""COMPUTED_VALUE"""),"Sale chưa cung cấp")</f>
        <v>Sale chưa cung cấp</v>
      </c>
      <c r="G375" s="265" t="str">
        <f>IFERROR(__xludf.DUMMYFUNCTION("""COMPUTED_VALUE"""),"Enterprise")</f>
        <v>Enterprise</v>
      </c>
      <c r="H375" s="265" t="str">
        <f>IFERROR(__xludf.DUMMYFUNCTION("""COMPUTED_VALUE"""),"(Chưa recheck)")</f>
        <v>(Chưa recheck)</v>
      </c>
      <c r="I375" s="265" t="str">
        <f>IFERROR(__xludf.DUMMYFUNCTION("""COMPUTED_VALUE"""),"API &amp; Portal")</f>
        <v>API &amp; Portal</v>
      </c>
      <c r="J375" s="265" t="str">
        <f>IFERROR(__xludf.DUMMYFUNCTION("""COMPUTED_VALUE"""),"(Chưa recheck)")</f>
        <v>(Chưa recheck)</v>
      </c>
    </row>
    <row r="376">
      <c r="A376" s="265" t="str">
        <f>IFERROR(__xludf.DUMMYFUNCTION("""COMPUTED_VALUE"""),"707")</f>
        <v>707</v>
      </c>
      <c r="B376" s="265" t="str">
        <f>IFERROR(__xludf.DUMMYFUNCTION("""COMPUTED_VALUE"""),"Hà Nội")</f>
        <v>Hà Nội</v>
      </c>
      <c r="C376" s="265" t="str">
        <f>IFERROR(__xludf.DUMMYFUNCTION("""COMPUTED_VALUE"""),"Locked")</f>
        <v>Locked</v>
      </c>
      <c r="D376" s="265" t="str">
        <f>IFERROR(__xludf.DUMMYFUNCTION("""COMPUTED_VALUE"""),"Mua sắm &amp; Bán lẻ")</f>
        <v>Mua sắm &amp; Bán lẻ</v>
      </c>
      <c r="E376" s="265" t="str">
        <f>IFERROR(__xludf.DUMMYFUNCTION("""COMPUTED_VALUE"""),"PhươngDTB")</f>
        <v>PhươngDTB</v>
      </c>
      <c r="F376" s="265" t="str">
        <f>IFERROR(__xludf.DUMMYFUNCTION("""COMPUTED_VALUE"""),"Bronze")</f>
        <v>Bronze</v>
      </c>
      <c r="G376" s="265" t="str">
        <f>IFERROR(__xludf.DUMMYFUNCTION("""COMPUTED_VALUE"""),"Enterprise")</f>
        <v>Enterprise</v>
      </c>
      <c r="H376" s="265" t="str">
        <f>IFERROR(__xludf.DUMMYFUNCTION("""COMPUTED_VALUE"""),"(Chưa recheck)")</f>
        <v>(Chưa recheck)</v>
      </c>
      <c r="I376" s="265" t="str">
        <f>IFERROR(__xludf.DUMMYFUNCTION("""COMPUTED_VALUE"""),"API &amp; Portal")</f>
        <v>API &amp; Portal</v>
      </c>
      <c r="J376" s="265" t="str">
        <f>IFERROR(__xludf.DUMMYFUNCTION("""COMPUTED_VALUE"""),"AnhNM")</f>
        <v>AnhNM</v>
      </c>
    </row>
    <row r="377">
      <c r="A377" s="265" t="str">
        <f>IFERROR(__xludf.DUMMYFUNCTION("""COMPUTED_VALUE"""),"709")</f>
        <v>709</v>
      </c>
      <c r="B377" s="265" t="str">
        <f>IFERROR(__xludf.DUMMYFUNCTION("""COMPUTED_VALUE"""),"Hà Nội")</f>
        <v>Hà Nội</v>
      </c>
      <c r="C377" s="265" t="str">
        <f>IFERROR(__xludf.DUMMYFUNCTION("""COMPUTED_VALUE"""),"Locked")</f>
        <v>Locked</v>
      </c>
      <c r="D377" s="265" t="str">
        <f>IFERROR(__xludf.DUMMYFUNCTION("""COMPUTED_VALUE"""),"Viễn thông")</f>
        <v>Viễn thông</v>
      </c>
      <c r="E377" s="265" t="str">
        <f>IFERROR(__xludf.DUMMYFUNCTION("""COMPUTED_VALUE"""),"NamDT")</f>
        <v>NamDT</v>
      </c>
      <c r="F377" s="265" t="str">
        <f>IFERROR(__xludf.DUMMYFUNCTION("""COMPUTED_VALUE"""),"Sale chưa cung cấp")</f>
        <v>Sale chưa cung cấp</v>
      </c>
      <c r="G377" s="265" t="str">
        <f>IFERROR(__xludf.DUMMYFUNCTION("""COMPUTED_VALUE"""),"Enterprise")</f>
        <v>Enterprise</v>
      </c>
      <c r="H377" s="265" t="str">
        <f>IFERROR(__xludf.DUMMYFUNCTION("""COMPUTED_VALUE"""),"Trial")</f>
        <v>Trial</v>
      </c>
      <c r="I377" s="265" t="str">
        <f>IFERROR(__xludf.DUMMYFUNCTION("""COMPUTED_VALUE"""),"Portal")</f>
        <v>Portal</v>
      </c>
      <c r="J377" s="265" t="str">
        <f>IFERROR(__xludf.DUMMYFUNCTION("""COMPUTED_VALUE"""),"(Chưa recheck)")</f>
        <v>(Chưa recheck)</v>
      </c>
    </row>
    <row r="378">
      <c r="A378" s="265" t="str">
        <f>IFERROR(__xludf.DUMMYFUNCTION("""COMPUTED_VALUE"""),"708")</f>
        <v>708</v>
      </c>
      <c r="B378" s="265" t="str">
        <f>IFERROR(__xludf.DUMMYFUNCTION("""COMPUTED_VALUE"""),"Sài Gòn")</f>
        <v>Sài Gòn</v>
      </c>
      <c r="C378" s="265" t="str">
        <f>IFERROR(__xludf.DUMMYFUNCTION("""COMPUTED_VALUE"""),"Locked")</f>
        <v>Locked</v>
      </c>
      <c r="D378" s="265" t="str">
        <f>IFERROR(__xludf.DUMMYFUNCTION("""COMPUTED_VALUE"""),"Y tế &amp; Dược phẩm")</f>
        <v>Y tế &amp; Dược phẩm</v>
      </c>
      <c r="E378" s="265" t="str">
        <f>IFERROR(__xludf.DUMMYFUNCTION("""COMPUTED_VALUE"""),"HoaNTM")</f>
        <v>HoaNTM</v>
      </c>
      <c r="F378" s="265" t="str">
        <f>IFERROR(__xludf.DUMMYFUNCTION("""COMPUTED_VALUE"""),"Gold")</f>
        <v>Gold</v>
      </c>
      <c r="G378" s="265" t="str">
        <f>IFERROR(__xludf.DUMMYFUNCTION("""COMPUTED_VALUE"""),"Starter")</f>
        <v>Starter</v>
      </c>
      <c r="H378" s="265" t="str">
        <f>IFERROR(__xludf.DUMMYFUNCTION("""COMPUTED_VALUE"""),"(Chưa recheck)")</f>
        <v>(Chưa recheck)</v>
      </c>
      <c r="I378" s="265" t="str">
        <f>IFERROR(__xludf.DUMMYFUNCTION("""COMPUTED_VALUE"""),"API &amp; Portal")</f>
        <v>API &amp; Portal</v>
      </c>
      <c r="J378" s="265" t="str">
        <f>IFERROR(__xludf.DUMMYFUNCTION("""COMPUTED_VALUE"""),"(Chưa recheck)")</f>
        <v>(Chưa recheck)</v>
      </c>
    </row>
    <row r="379">
      <c r="A379" s="265" t="str">
        <f>IFERROR(__xludf.DUMMYFUNCTION("""COMPUTED_VALUE"""),"710")</f>
        <v>710</v>
      </c>
      <c r="B379" s="265" t="str">
        <f>IFERROR(__xludf.DUMMYFUNCTION("""COMPUTED_VALUE"""),"Hà Nội")</f>
        <v>Hà Nội</v>
      </c>
      <c r="C379" s="265" t="str">
        <f>IFERROR(__xludf.DUMMYFUNCTION("""COMPUTED_VALUE"""),"Locked")</f>
        <v>Locked</v>
      </c>
      <c r="D379" s="265" t="str">
        <f>IFERROR(__xludf.DUMMYFUNCTION("""COMPUTED_VALUE"""),"Mua sắm &amp; Bán lẻ")</f>
        <v>Mua sắm &amp; Bán lẻ</v>
      </c>
      <c r="E379" s="265" t="str">
        <f>IFERROR(__xludf.DUMMYFUNCTION("""COMPUTED_VALUE"""),"TúPHN")</f>
        <v>TúPHN</v>
      </c>
      <c r="F379" s="265" t="str">
        <f>IFERROR(__xludf.DUMMYFUNCTION("""COMPUTED_VALUE"""),"Bronze")</f>
        <v>Bronze</v>
      </c>
      <c r="G379" s="265" t="str">
        <f>IFERROR(__xludf.DUMMYFUNCTION("""COMPUTED_VALUE"""),"Enterprise")</f>
        <v>Enterprise</v>
      </c>
      <c r="H379" s="265" t="str">
        <f>IFERROR(__xludf.DUMMYFUNCTION("""COMPUTED_VALUE"""),"Trả trước")</f>
        <v>Trả trước</v>
      </c>
      <c r="I379" s="265" t="str">
        <f>IFERROR(__xludf.DUMMYFUNCTION("""COMPUTED_VALUE"""),"API &amp; Portal")</f>
        <v>API &amp; Portal</v>
      </c>
      <c r="J379" s="265" t="str">
        <f>IFERROR(__xludf.DUMMYFUNCTION("""COMPUTED_VALUE"""),"AnhNM")</f>
        <v>AnhNM</v>
      </c>
    </row>
    <row r="380">
      <c r="A380" s="265" t="str">
        <f>IFERROR(__xludf.DUMMYFUNCTION("""COMPUTED_VALUE"""),"712")</f>
        <v>712</v>
      </c>
      <c r="B380" s="265" t="str">
        <f>IFERROR(__xludf.DUMMYFUNCTION("""COMPUTED_VALUE"""),"Hà Nội")</f>
        <v>Hà Nội</v>
      </c>
      <c r="C380" s="265" t="str">
        <f>IFERROR(__xludf.DUMMYFUNCTION("""COMPUTED_VALUE"""),"Locked")</f>
        <v>Locked</v>
      </c>
      <c r="D380" s="265" t="str">
        <f>IFERROR(__xludf.DUMMYFUNCTION("""COMPUTED_VALUE"""),"Thời trang &amp; May mặc")</f>
        <v>Thời trang &amp; May mặc</v>
      </c>
      <c r="E380" s="265" t="str">
        <f>IFERROR(__xludf.DUMMYFUNCTION("""COMPUTED_VALUE"""),"TùngLD")</f>
        <v>TùngLD</v>
      </c>
      <c r="F380" s="265" t="str">
        <f>IFERROR(__xludf.DUMMYFUNCTION("""COMPUTED_VALUE"""),"Silver")</f>
        <v>Silver</v>
      </c>
      <c r="G380" s="265" t="str">
        <f>IFERROR(__xludf.DUMMYFUNCTION("""COMPUTED_VALUE"""),"Enterprise")</f>
        <v>Enterprise</v>
      </c>
      <c r="H380" s="265" t="str">
        <f>IFERROR(__xludf.DUMMYFUNCTION("""COMPUTED_VALUE"""),"Trả trước")</f>
        <v>Trả trước</v>
      </c>
      <c r="I380" s="265" t="str">
        <f>IFERROR(__xludf.DUMMYFUNCTION("""COMPUTED_VALUE"""),"Portal")</f>
        <v>Portal</v>
      </c>
      <c r="J380" s="265" t="str">
        <f>IFERROR(__xludf.DUMMYFUNCTION("""COMPUTED_VALUE"""),"DungPL")</f>
        <v>DungPL</v>
      </c>
    </row>
    <row r="381">
      <c r="A381" s="265" t="str">
        <f>IFERROR(__xludf.DUMMYFUNCTION("""COMPUTED_VALUE"""),"711")</f>
        <v>711</v>
      </c>
      <c r="B381" s="265" t="str">
        <f>IFERROR(__xludf.DUMMYFUNCTION("""COMPUTED_VALUE"""),"Hà Nội")</f>
        <v>Hà Nội</v>
      </c>
      <c r="C381" s="265" t="str">
        <f>IFERROR(__xludf.DUMMYFUNCTION("""COMPUTED_VALUE"""),"Locked")</f>
        <v>Locked</v>
      </c>
      <c r="D381" s="265" t="str">
        <f>IFERROR(__xludf.DUMMYFUNCTION("""COMPUTED_VALUE"""),"Thực phẩm &amp; Đồ uống")</f>
        <v>Thực phẩm &amp; Đồ uống</v>
      </c>
      <c r="E381" s="265" t="str">
        <f>IFERROR(__xludf.DUMMYFUNCTION("""COMPUTED_VALUE"""),"NamDT")</f>
        <v>NamDT</v>
      </c>
      <c r="F381" s="265" t="str">
        <f>IFERROR(__xludf.DUMMYFUNCTION("""COMPUTED_VALUE"""),"Sale chưa cung cấp")</f>
        <v>Sale chưa cung cấp</v>
      </c>
      <c r="G381" s="265" t="str">
        <f>IFERROR(__xludf.DUMMYFUNCTION("""COMPUTED_VALUE"""),"Enterprise")</f>
        <v>Enterprise</v>
      </c>
      <c r="H381" s="265" t="str">
        <f>IFERROR(__xludf.DUMMYFUNCTION("""COMPUTED_VALUE"""),"Trả sau")</f>
        <v>Trả sau</v>
      </c>
      <c r="I381" s="265" t="str">
        <f>IFERROR(__xludf.DUMMYFUNCTION("""COMPUTED_VALUE"""),"Portal")</f>
        <v>Portal</v>
      </c>
      <c r="J381" s="265" t="str">
        <f>IFERROR(__xludf.DUMMYFUNCTION("""COMPUTED_VALUE"""),"(Chưa recheck)")</f>
        <v>(Chưa recheck)</v>
      </c>
    </row>
    <row r="382">
      <c r="A382" s="265" t="str">
        <f>IFERROR(__xludf.DUMMYFUNCTION("""COMPUTED_VALUE"""),"713")</f>
        <v>713</v>
      </c>
      <c r="B382" s="265" t="str">
        <f>IFERROR(__xludf.DUMMYFUNCTION("""COMPUTED_VALUE"""),"Hà Nội")</f>
        <v>Hà Nội</v>
      </c>
      <c r="C382" s="265" t="str">
        <f>IFERROR(__xludf.DUMMYFUNCTION("""COMPUTED_VALUE"""),"Locked")</f>
        <v>Locked</v>
      </c>
      <c r="D382" s="265" t="str">
        <f>IFERROR(__xludf.DUMMYFUNCTION("""COMPUTED_VALUE"""),"Thực phẩm &amp; Đồ uống")</f>
        <v>Thực phẩm &amp; Đồ uống</v>
      </c>
      <c r="E382" s="265" t="str">
        <f>IFERROR(__xludf.DUMMYFUNCTION("""COMPUTED_VALUE"""),"NamDT")</f>
        <v>NamDT</v>
      </c>
      <c r="F382" s="265" t="str">
        <f>IFERROR(__xludf.DUMMYFUNCTION("""COMPUTED_VALUE"""),"Sale chưa cung cấp")</f>
        <v>Sale chưa cung cấp</v>
      </c>
      <c r="G382" s="265" t="str">
        <f>IFERROR(__xludf.DUMMYFUNCTION("""COMPUTED_VALUE"""),"Enterprise")</f>
        <v>Enterprise</v>
      </c>
      <c r="H382" s="265" t="str">
        <f>IFERROR(__xludf.DUMMYFUNCTION("""COMPUTED_VALUE"""),"Trả sau")</f>
        <v>Trả sau</v>
      </c>
      <c r="I382" s="265" t="str">
        <f>IFERROR(__xludf.DUMMYFUNCTION("""COMPUTED_VALUE"""),"Portal")</f>
        <v>Portal</v>
      </c>
      <c r="J382" s="265" t="str">
        <f>IFERROR(__xludf.DUMMYFUNCTION("""COMPUTED_VALUE"""),"(Chưa recheck)")</f>
        <v>(Chưa recheck)</v>
      </c>
    </row>
    <row r="383">
      <c r="A383" s="265" t="str">
        <f>IFERROR(__xludf.DUMMYFUNCTION("""COMPUTED_VALUE"""),"715")</f>
        <v>715</v>
      </c>
      <c r="B383" s="265" t="str">
        <f>IFERROR(__xludf.DUMMYFUNCTION("""COMPUTED_VALUE"""),"Hà Nội")</f>
        <v>Hà Nội</v>
      </c>
      <c r="C383" s="265" t="str">
        <f>IFERROR(__xludf.DUMMYFUNCTION("""COMPUTED_VALUE"""),"Active")</f>
        <v>Active</v>
      </c>
      <c r="D383" s="265" t="str">
        <f>IFERROR(__xludf.DUMMYFUNCTION("""COMPUTED_VALUE"""),"Tài chính &amp; Ngân hàng")</f>
        <v>Tài chính &amp; Ngân hàng</v>
      </c>
      <c r="E383" s="265" t="str">
        <f>IFERROR(__xludf.DUMMYFUNCTION("""COMPUTED_VALUE"""),"AnhNM")</f>
        <v>AnhNM</v>
      </c>
      <c r="F383" s="265" t="str">
        <f>IFERROR(__xludf.DUMMYFUNCTION("""COMPUTED_VALUE"""),"Sale chưa cung cấp")</f>
        <v>Sale chưa cung cấp</v>
      </c>
      <c r="G383" s="265" t="str">
        <f>IFERROR(__xludf.DUMMYFUNCTION("""COMPUTED_VALUE"""),"Starter")</f>
        <v>Starter</v>
      </c>
      <c r="H383" s="265" t="str">
        <f>IFERROR(__xludf.DUMMYFUNCTION("""COMPUTED_VALUE"""),"Trả sau")</f>
        <v>Trả sau</v>
      </c>
      <c r="I383" s="265" t="str">
        <f>IFERROR(__xludf.DUMMYFUNCTION("""COMPUTED_VALUE"""),"API")</f>
        <v>API</v>
      </c>
      <c r="J383" s="265" t="str">
        <f>IFERROR(__xludf.DUMMYFUNCTION("""COMPUTED_VALUE"""),"LinhNTT1")</f>
        <v>LinhNTT1</v>
      </c>
    </row>
    <row r="384">
      <c r="A384" s="265" t="str">
        <f>IFERROR(__xludf.DUMMYFUNCTION("""COMPUTED_VALUE"""),"714")</f>
        <v>714</v>
      </c>
      <c r="B384" s="265" t="str">
        <f>IFERROR(__xludf.DUMMYFUNCTION("""COMPUTED_VALUE"""),"Sài Gòn")</f>
        <v>Sài Gòn</v>
      </c>
      <c r="C384" s="265" t="str">
        <f>IFERROR(__xludf.DUMMYFUNCTION("""COMPUTED_VALUE"""),"Locked")</f>
        <v>Locked</v>
      </c>
      <c r="D384" s="265" t="str">
        <f>IFERROR(__xludf.DUMMYFUNCTION("""COMPUTED_VALUE"""),"Thực phẩm &amp; Đồ uống")</f>
        <v>Thực phẩm &amp; Đồ uống</v>
      </c>
      <c r="E384" s="265" t="str">
        <f>IFERROR(__xludf.DUMMYFUNCTION("""COMPUTED_VALUE"""),"HoaNTM")</f>
        <v>HoaNTM</v>
      </c>
      <c r="F384" s="265" t="str">
        <f>IFERROR(__xludf.DUMMYFUNCTION("""COMPUTED_VALUE"""),"Sale chưa cung cấp")</f>
        <v>Sale chưa cung cấp</v>
      </c>
      <c r="G384" s="265" t="str">
        <f>IFERROR(__xludf.DUMMYFUNCTION("""COMPUTED_VALUE"""),"Enterprise")</f>
        <v>Enterprise</v>
      </c>
      <c r="H384" s="265" t="str">
        <f>IFERROR(__xludf.DUMMYFUNCTION("""COMPUTED_VALUE"""),"Trả sau")</f>
        <v>Trả sau</v>
      </c>
      <c r="I384" s="265" t="str">
        <f>IFERROR(__xludf.DUMMYFUNCTION("""COMPUTED_VALUE"""),"Portal")</f>
        <v>Portal</v>
      </c>
      <c r="J384" s="265" t="str">
        <f>IFERROR(__xludf.DUMMYFUNCTION("""COMPUTED_VALUE"""),"(Chưa recheck)")</f>
        <v>(Chưa recheck)</v>
      </c>
    </row>
    <row r="385">
      <c r="A385" s="265" t="str">
        <f>IFERROR(__xludf.DUMMYFUNCTION("""COMPUTED_VALUE"""),"717")</f>
        <v>717</v>
      </c>
      <c r="B385" s="265" t="str">
        <f>IFERROR(__xludf.DUMMYFUNCTION("""COMPUTED_VALUE"""),"Sài Gòn")</f>
        <v>Sài Gòn</v>
      </c>
      <c r="C385" s="265" t="str">
        <f>IFERROR(__xludf.DUMMYFUNCTION("""COMPUTED_VALUE"""),"Locked")</f>
        <v>Locked</v>
      </c>
      <c r="D385" s="265" t="str">
        <f>IFERROR(__xludf.DUMMYFUNCTION("""COMPUTED_VALUE"""),"Sale chưa cung cấp")</f>
        <v>Sale chưa cung cấp</v>
      </c>
      <c r="E385" s="265" t="str">
        <f>IFERROR(__xludf.DUMMYFUNCTION("""COMPUTED_VALUE"""),"Không phân công")</f>
        <v>Không phân công</v>
      </c>
      <c r="F385" s="265" t="str">
        <f>IFERROR(__xludf.DUMMYFUNCTION("""COMPUTED_VALUE"""),"Sale chưa cung cấp")</f>
        <v>Sale chưa cung cấp</v>
      </c>
      <c r="G385" s="265" t="str">
        <f>IFERROR(__xludf.DUMMYFUNCTION("""COMPUTED_VALUE"""),"MSG")</f>
        <v>MSG</v>
      </c>
      <c r="H385" s="265" t="str">
        <f>IFERROR(__xludf.DUMMYFUNCTION("""COMPUTED_VALUE"""),"Trả trước")</f>
        <v>Trả trước</v>
      </c>
      <c r="I385" s="265" t="str">
        <f>IFERROR(__xludf.DUMMYFUNCTION("""COMPUTED_VALUE"""),"Portal")</f>
        <v>Portal</v>
      </c>
      <c r="J385" s="265" t="str">
        <f>IFERROR(__xludf.DUMMYFUNCTION("""COMPUTED_VALUE"""),"LinhNTT1")</f>
        <v>LinhNTT1</v>
      </c>
    </row>
    <row r="386">
      <c r="A386" s="265" t="str">
        <f>IFERROR(__xludf.DUMMYFUNCTION("""COMPUTED_VALUE"""),"718")</f>
        <v>718</v>
      </c>
      <c r="B386" s="265" t="str">
        <f>IFERROR(__xludf.DUMMYFUNCTION("""COMPUTED_VALUE"""),"Hà Nội")</f>
        <v>Hà Nội</v>
      </c>
      <c r="C386" s="265" t="str">
        <f>IFERROR(__xludf.DUMMYFUNCTION("""COMPUTED_VALUE"""),"Locked")</f>
        <v>Locked</v>
      </c>
      <c r="D386" s="265" t="str">
        <f>IFERROR(__xludf.DUMMYFUNCTION("""COMPUTED_VALUE"""),"Công nghệ &amp; Phần mềm")</f>
        <v>Công nghệ &amp; Phần mềm</v>
      </c>
      <c r="E386" s="265" t="str">
        <f>IFERROR(__xludf.DUMMYFUNCTION("""COMPUTED_VALUE"""),"NganNT1")</f>
        <v>NganNT1</v>
      </c>
      <c r="F386" s="265" t="str">
        <f>IFERROR(__xludf.DUMMYFUNCTION("""COMPUTED_VALUE"""),"Sale chưa cung cấp")</f>
        <v>Sale chưa cung cấp</v>
      </c>
      <c r="G386" s="265" t="str">
        <f>IFERROR(__xludf.DUMMYFUNCTION("""COMPUTED_VALUE"""),"API")</f>
        <v>API</v>
      </c>
      <c r="H386" s="265" t="str">
        <f>IFERROR(__xludf.DUMMYFUNCTION("""COMPUTED_VALUE"""),"Trial")</f>
        <v>Trial</v>
      </c>
      <c r="I386" s="265" t="str">
        <f>IFERROR(__xludf.DUMMYFUNCTION("""COMPUTED_VALUE"""),"API")</f>
        <v>API</v>
      </c>
      <c r="J386" s="265" t="str">
        <f>IFERROR(__xludf.DUMMYFUNCTION("""COMPUTED_VALUE"""),"(Không recheck)")</f>
        <v>(Không recheck)</v>
      </c>
    </row>
    <row r="387">
      <c r="A387" s="265" t="str">
        <f>IFERROR(__xludf.DUMMYFUNCTION("""COMPUTED_VALUE"""),"719")</f>
        <v>719</v>
      </c>
      <c r="B387" s="265" t="str">
        <f>IFERROR(__xludf.DUMMYFUNCTION("""COMPUTED_VALUE"""),"Hà Nội")</f>
        <v>Hà Nội</v>
      </c>
      <c r="C387" s="265" t="str">
        <f>IFERROR(__xludf.DUMMYFUNCTION("""COMPUTED_VALUE"""),"Active")</f>
        <v>Active</v>
      </c>
      <c r="D387" s="265" t="str">
        <f>IFERROR(__xludf.DUMMYFUNCTION("""COMPUTED_VALUE"""),"Tài chính &amp; Ngân hàng")</f>
        <v>Tài chính &amp; Ngân hàng</v>
      </c>
      <c r="E387" s="265" t="str">
        <f>IFERROR(__xludf.DUMMYFUNCTION("""COMPUTED_VALUE"""),"Không phân công")</f>
        <v>Không phân công</v>
      </c>
      <c r="F387" s="265" t="str">
        <f>IFERROR(__xludf.DUMMYFUNCTION("""COMPUTED_VALUE"""),"Sale chưa cung cấp")</f>
        <v>Sale chưa cung cấp</v>
      </c>
      <c r="G387" s="265" t="str">
        <f>IFERROR(__xludf.DUMMYFUNCTION("""COMPUTED_VALUE"""),"Starter")</f>
        <v>Starter</v>
      </c>
      <c r="H387" s="265" t="str">
        <f>IFERROR(__xludf.DUMMYFUNCTION("""COMPUTED_VALUE"""),"Trả sau")</f>
        <v>Trả sau</v>
      </c>
      <c r="I387" s="265" t="str">
        <f>IFERROR(__xludf.DUMMYFUNCTION("""COMPUTED_VALUE"""),"API &amp; Portal")</f>
        <v>API &amp; Portal</v>
      </c>
      <c r="J387" s="265" t="str">
        <f>IFERROR(__xludf.DUMMYFUNCTION("""COMPUTED_VALUE"""),"YếnĐH")</f>
        <v>YếnĐH</v>
      </c>
    </row>
    <row r="388">
      <c r="A388" s="265" t="str">
        <f>IFERROR(__xludf.DUMMYFUNCTION("""COMPUTED_VALUE"""),"721")</f>
        <v>721</v>
      </c>
      <c r="B388" s="265" t="str">
        <f>IFERROR(__xludf.DUMMYFUNCTION("""COMPUTED_VALUE"""),"Sài Gòn")</f>
        <v>Sài Gòn</v>
      </c>
      <c r="C388" s="265" t="str">
        <f>IFERROR(__xludf.DUMMYFUNCTION("""COMPUTED_VALUE"""),"Locked")</f>
        <v>Locked</v>
      </c>
      <c r="D388" s="265" t="str">
        <f>IFERROR(__xludf.DUMMYFUNCTION("""COMPUTED_VALUE"""),"Thực phẩm &amp; Đồ uống")</f>
        <v>Thực phẩm &amp; Đồ uống</v>
      </c>
      <c r="E388" s="265" t="str">
        <f>IFERROR(__xludf.DUMMYFUNCTION("""COMPUTED_VALUE"""),"(Chưa recheck)")</f>
        <v>(Chưa recheck)</v>
      </c>
      <c r="F388" s="265" t="str">
        <f>IFERROR(__xludf.DUMMYFUNCTION("""COMPUTED_VALUE"""),"Sale chưa cung cấp")</f>
        <v>Sale chưa cung cấp</v>
      </c>
      <c r="G388" s="265" t="str">
        <f>IFERROR(__xludf.DUMMYFUNCTION("""COMPUTED_VALUE"""),"API")</f>
        <v>API</v>
      </c>
      <c r="H388" s="265" t="str">
        <f>IFERROR(__xludf.DUMMYFUNCTION("""COMPUTED_VALUE"""),"Trả sau")</f>
        <v>Trả sau</v>
      </c>
      <c r="I388" s="265" t="str">
        <f>IFERROR(__xludf.DUMMYFUNCTION("""COMPUTED_VALUE"""),"API")</f>
        <v>API</v>
      </c>
      <c r="J388" s="265" t="str">
        <f>IFERROR(__xludf.DUMMYFUNCTION("""COMPUTED_VALUE"""),"TuVTC")</f>
        <v>TuVTC</v>
      </c>
    </row>
    <row r="389">
      <c r="A389" s="265" t="str">
        <f>IFERROR(__xludf.DUMMYFUNCTION("""COMPUTED_VALUE"""),"723")</f>
        <v>723</v>
      </c>
      <c r="B389" s="265" t="str">
        <f>IFERROR(__xludf.DUMMYFUNCTION("""COMPUTED_VALUE"""),"Hà Nội")</f>
        <v>Hà Nội</v>
      </c>
      <c r="C389" s="265" t="str">
        <f>IFERROR(__xludf.DUMMYFUNCTION("""COMPUTED_VALUE"""),"Locked")</f>
        <v>Locked</v>
      </c>
      <c r="D389" s="265" t="str">
        <f>IFERROR(__xludf.DUMMYFUNCTION("""COMPUTED_VALUE"""),"Bất động sản")</f>
        <v>Bất động sản</v>
      </c>
      <c r="E389" s="265" t="str">
        <f>IFERROR(__xludf.DUMMYFUNCTION("""COMPUTED_VALUE"""),"DungDT")</f>
        <v>DungDT</v>
      </c>
      <c r="F389" s="265" t="str">
        <f>IFERROR(__xludf.DUMMYFUNCTION("""COMPUTED_VALUE"""),"Sale chưa cung cấp")</f>
        <v>Sale chưa cung cấp</v>
      </c>
      <c r="G389" s="265" t="str">
        <f>IFERROR(__xludf.DUMMYFUNCTION("""COMPUTED_VALUE"""),"Enterprise")</f>
        <v>Enterprise</v>
      </c>
      <c r="H389" s="265" t="str">
        <f>IFERROR(__xludf.DUMMYFUNCTION("""COMPUTED_VALUE"""),"Trial")</f>
        <v>Trial</v>
      </c>
      <c r="I389" s="265" t="str">
        <f>IFERROR(__xludf.DUMMYFUNCTION("""COMPUTED_VALUE"""),"API &amp; Portal")</f>
        <v>API &amp; Portal</v>
      </c>
      <c r="J389" s="265" t="str">
        <f>IFERROR(__xludf.DUMMYFUNCTION("""COMPUTED_VALUE"""),"(Không recheck)")</f>
        <v>(Không recheck)</v>
      </c>
    </row>
    <row r="390">
      <c r="A390" s="265" t="str">
        <f>IFERROR(__xludf.DUMMYFUNCTION("""COMPUTED_VALUE"""),"726")</f>
        <v>726</v>
      </c>
      <c r="B390" s="265" t="str">
        <f>IFERROR(__xludf.DUMMYFUNCTION("""COMPUTED_VALUE"""),"Hà Nội")</f>
        <v>Hà Nội</v>
      </c>
      <c r="C390" s="265" t="str">
        <f>IFERROR(__xludf.DUMMYFUNCTION("""COMPUTED_VALUE"""),"Locked")</f>
        <v>Locked</v>
      </c>
      <c r="D390" s="265" t="str">
        <f>IFERROR(__xludf.DUMMYFUNCTION("""COMPUTED_VALUE"""),"Vận tải &amp; logistics")</f>
        <v>Vận tải &amp; logistics</v>
      </c>
      <c r="E390" s="265" t="str">
        <f>IFERROR(__xludf.DUMMYFUNCTION("""COMPUTED_VALUE"""),"TùngLD")</f>
        <v>TùngLD</v>
      </c>
      <c r="F390" s="265" t="str">
        <f>IFERROR(__xludf.DUMMYFUNCTION("""COMPUTED_VALUE"""),"Bronze")</f>
        <v>Bronze</v>
      </c>
      <c r="G390" s="265" t="str">
        <f>IFERROR(__xludf.DUMMYFUNCTION("""COMPUTED_VALUE"""),"MSG")</f>
        <v>MSG</v>
      </c>
      <c r="H390" s="265" t="str">
        <f>IFERROR(__xludf.DUMMYFUNCTION("""COMPUTED_VALUE"""),"Trả trước")</f>
        <v>Trả trước</v>
      </c>
      <c r="I390" s="265" t="str">
        <f>IFERROR(__xludf.DUMMYFUNCTION("""COMPUTED_VALUE"""),"Portal")</f>
        <v>Portal</v>
      </c>
      <c r="J390" s="265" t="str">
        <f>IFERROR(__xludf.DUMMYFUNCTION("""COMPUTED_VALUE"""),"AnhNM")</f>
        <v>AnhNM</v>
      </c>
    </row>
    <row r="391">
      <c r="A391" s="265" t="str">
        <f>IFERROR(__xludf.DUMMYFUNCTION("""COMPUTED_VALUE"""),"727")</f>
        <v>727</v>
      </c>
      <c r="B391" s="265" t="str">
        <f>IFERROR(__xludf.DUMMYFUNCTION("""COMPUTED_VALUE"""),"Sài Gòn")</f>
        <v>Sài Gòn</v>
      </c>
      <c r="C391" s="265" t="str">
        <f>IFERROR(__xludf.DUMMYFUNCTION("""COMPUTED_VALUE"""),"Locked")</f>
        <v>Locked</v>
      </c>
      <c r="D391" s="265" t="str">
        <f>IFERROR(__xludf.DUMMYFUNCTION("""COMPUTED_VALUE"""),"Thực phẩm &amp; Đồ uống")</f>
        <v>Thực phẩm &amp; Đồ uống</v>
      </c>
      <c r="E391" s="265" t="str">
        <f>IFERROR(__xludf.DUMMYFUNCTION("""COMPUTED_VALUE"""),"(Chưa recheck)")</f>
        <v>(Chưa recheck)</v>
      </c>
      <c r="F391" s="265" t="str">
        <f>IFERROR(__xludf.DUMMYFUNCTION("""COMPUTED_VALUE"""),"Sale chưa cung cấp")</f>
        <v>Sale chưa cung cấp</v>
      </c>
      <c r="G391" s="265" t="str">
        <f>IFERROR(__xludf.DUMMYFUNCTION("""COMPUTED_VALUE"""),"MSG")</f>
        <v>MSG</v>
      </c>
      <c r="H391" s="265" t="str">
        <f>IFERROR(__xludf.DUMMYFUNCTION("""COMPUTED_VALUE"""),"Trả sau")</f>
        <v>Trả sau</v>
      </c>
      <c r="I391" s="265" t="str">
        <f>IFERROR(__xludf.DUMMYFUNCTION("""COMPUTED_VALUE"""),"Portal")</f>
        <v>Portal</v>
      </c>
      <c r="J391" s="265" t="str">
        <f>IFERROR(__xludf.DUMMYFUNCTION("""COMPUTED_VALUE"""),"TuVTC")</f>
        <v>TuVTC</v>
      </c>
    </row>
    <row r="392">
      <c r="A392" s="265" t="str">
        <f>IFERROR(__xludf.DUMMYFUNCTION("""COMPUTED_VALUE"""),"728")</f>
        <v>728</v>
      </c>
      <c r="B392" s="265" t="str">
        <f>IFERROR(__xludf.DUMMYFUNCTION("""COMPUTED_VALUE"""),"Hà Nội")</f>
        <v>Hà Nội</v>
      </c>
      <c r="C392" s="265" t="str">
        <f>IFERROR(__xludf.DUMMYFUNCTION("""COMPUTED_VALUE"""),"Locked")</f>
        <v>Locked</v>
      </c>
      <c r="D392" s="265" t="str">
        <f>IFERROR(__xludf.DUMMYFUNCTION("""COMPUTED_VALUE"""),"Dịch vụ khác")</f>
        <v>Dịch vụ khác</v>
      </c>
      <c r="E392" s="265" t="str">
        <f>IFERROR(__xludf.DUMMYFUNCTION("""COMPUTED_VALUE"""),"PhươngDTB")</f>
        <v>PhươngDTB</v>
      </c>
      <c r="F392" s="265" t="str">
        <f>IFERROR(__xludf.DUMMYFUNCTION("""COMPUTED_VALUE"""),"Sale chưa cung cấp")</f>
        <v>Sale chưa cung cấp</v>
      </c>
      <c r="G392" s="265" t="str">
        <f>IFERROR(__xludf.DUMMYFUNCTION("""COMPUTED_VALUE"""),"API")</f>
        <v>API</v>
      </c>
      <c r="H392" s="265" t="str">
        <f>IFERROR(__xludf.DUMMYFUNCTION("""COMPUTED_VALUE"""),"Trial")</f>
        <v>Trial</v>
      </c>
      <c r="I392" s="265" t="str">
        <f>IFERROR(__xludf.DUMMYFUNCTION("""COMPUTED_VALUE"""),"Portal")</f>
        <v>Portal</v>
      </c>
      <c r="J392" s="265" t="str">
        <f>IFERROR(__xludf.DUMMYFUNCTION("""COMPUTED_VALUE"""),"(Không recheck)")</f>
        <v>(Không recheck)</v>
      </c>
    </row>
    <row r="393">
      <c r="A393" s="265" t="str">
        <f>IFERROR(__xludf.DUMMYFUNCTION("""COMPUTED_VALUE"""),"730")</f>
        <v>730</v>
      </c>
      <c r="B393" s="265" t="str">
        <f>IFERROR(__xludf.DUMMYFUNCTION("""COMPUTED_VALUE"""),"Hà Nội")</f>
        <v>Hà Nội</v>
      </c>
      <c r="C393" s="265" t="str">
        <f>IFERROR(__xludf.DUMMYFUNCTION("""COMPUTED_VALUE"""),"Locked")</f>
        <v>Locked</v>
      </c>
      <c r="D393" s="265" t="str">
        <f>IFERROR(__xludf.DUMMYFUNCTION("""COMPUTED_VALUE"""),"Viễn thông")</f>
        <v>Viễn thông</v>
      </c>
      <c r="E393" s="265" t="str">
        <f>IFERROR(__xludf.DUMMYFUNCTION("""COMPUTED_VALUE"""),"DungDT")</f>
        <v>DungDT</v>
      </c>
      <c r="F393" s="265" t="str">
        <f>IFERROR(__xludf.DUMMYFUNCTION("""COMPUTED_VALUE"""),"Sale chưa cung cấp")</f>
        <v>Sale chưa cung cấp</v>
      </c>
      <c r="G393" s="265" t="str">
        <f>IFERROR(__xludf.DUMMYFUNCTION("""COMPUTED_VALUE"""),"API")</f>
        <v>API</v>
      </c>
      <c r="H393" s="265" t="str">
        <f>IFERROR(__xludf.DUMMYFUNCTION("""COMPUTED_VALUE"""),"Trả Sau")</f>
        <v>Trả Sau</v>
      </c>
      <c r="I393" s="265" t="str">
        <f>IFERROR(__xludf.DUMMYFUNCTION("""COMPUTED_VALUE"""),"API")</f>
        <v>API</v>
      </c>
      <c r="J393" s="265" t="str">
        <f>IFERROR(__xludf.DUMMYFUNCTION("""COMPUTED_VALUE"""),"AnhNM")</f>
        <v>AnhNM</v>
      </c>
    </row>
    <row r="394">
      <c r="A394" s="265" t="str">
        <f>IFERROR(__xludf.DUMMYFUNCTION("""COMPUTED_VALUE"""),"729")</f>
        <v>729</v>
      </c>
      <c r="B394" s="265" t="str">
        <f>IFERROR(__xludf.DUMMYFUNCTION("""COMPUTED_VALUE"""),"Sài Gòn")</f>
        <v>Sài Gòn</v>
      </c>
      <c r="C394" s="265" t="str">
        <f>IFERROR(__xludf.DUMMYFUNCTION("""COMPUTED_VALUE"""),"Active")</f>
        <v>Active</v>
      </c>
      <c r="D394" s="265" t="str">
        <f>IFERROR(__xludf.DUMMYFUNCTION("""COMPUTED_VALUE"""),"Sale chưa cung cấp")</f>
        <v>Sale chưa cung cấp</v>
      </c>
      <c r="E394" s="265" t="str">
        <f>IFERROR(__xludf.DUMMYFUNCTION("""COMPUTED_VALUE"""),"AnhNM")</f>
        <v>AnhNM</v>
      </c>
      <c r="F394" s="265" t="str">
        <f>IFERROR(__xludf.DUMMYFUNCTION("""COMPUTED_VALUE"""),"Gold")</f>
        <v>Gold</v>
      </c>
      <c r="G394" s="265" t="str">
        <f>IFERROR(__xludf.DUMMYFUNCTION("""COMPUTED_VALUE"""),"Enterprise")</f>
        <v>Enterprise</v>
      </c>
      <c r="H394" s="265" t="str">
        <f>IFERROR(__xludf.DUMMYFUNCTION("""COMPUTED_VALUE"""),"Trả sau")</f>
        <v>Trả sau</v>
      </c>
      <c r="I394" s="265" t="str">
        <f>IFERROR(__xludf.DUMMYFUNCTION("""COMPUTED_VALUE"""),"API &amp; Portal")</f>
        <v>API &amp; Portal</v>
      </c>
      <c r="J394" s="265" t="str">
        <f>IFERROR(__xludf.DUMMYFUNCTION("""COMPUTED_VALUE"""),"LinhNTT1")</f>
        <v>LinhNTT1</v>
      </c>
    </row>
    <row r="395">
      <c r="A395" s="265" t="str">
        <f>IFERROR(__xludf.DUMMYFUNCTION("""COMPUTED_VALUE"""),"725")</f>
        <v>725</v>
      </c>
      <c r="B395" s="265" t="str">
        <f>IFERROR(__xludf.DUMMYFUNCTION("""COMPUTED_VALUE"""),"Hà Nội")</f>
        <v>Hà Nội</v>
      </c>
      <c r="C395" s="265" t="str">
        <f>IFERROR(__xludf.DUMMYFUNCTION("""COMPUTED_VALUE"""),"Locked")</f>
        <v>Locked</v>
      </c>
      <c r="D395" s="265" t="str">
        <f>IFERROR(__xludf.DUMMYFUNCTION("""COMPUTED_VALUE"""),"Tài chính &amp; Ngân hàng")</f>
        <v>Tài chính &amp; Ngân hàng</v>
      </c>
      <c r="E395" s="265" t="str">
        <f>IFERROR(__xludf.DUMMYFUNCTION("""COMPUTED_VALUE"""),"Không phân công")</f>
        <v>Không phân công</v>
      </c>
      <c r="F395" s="265" t="str">
        <f>IFERROR(__xludf.DUMMYFUNCTION("""COMPUTED_VALUE"""),"Sale chưa cung cấp")</f>
        <v>Sale chưa cung cấp</v>
      </c>
      <c r="G395" s="265" t="str">
        <f>IFERROR(__xludf.DUMMYFUNCTION("""COMPUTED_VALUE"""),"SIMILAR")</f>
        <v>SIMILAR</v>
      </c>
      <c r="H395" s="265" t="str">
        <f>IFERROR(__xludf.DUMMYFUNCTION("""COMPUTED_VALUE"""),"Trả sau")</f>
        <v>Trả sau</v>
      </c>
      <c r="I395" s="265" t="str">
        <f>IFERROR(__xludf.DUMMYFUNCTION("""COMPUTED_VALUE"""),"Portal")</f>
        <v>Portal</v>
      </c>
      <c r="J395" s="265" t="str">
        <f>IFERROR(__xludf.DUMMYFUNCTION("""COMPUTED_VALUE"""),"DungPL")</f>
        <v>DungPL</v>
      </c>
    </row>
    <row r="396">
      <c r="A396" s="265" t="str">
        <f>IFERROR(__xludf.DUMMYFUNCTION("""COMPUTED_VALUE"""),"614")</f>
        <v>614</v>
      </c>
      <c r="B396" s="265" t="str">
        <f>IFERROR(__xludf.DUMMYFUNCTION("""COMPUTED_VALUE"""),"Hà Nội")</f>
        <v>Hà Nội</v>
      </c>
      <c r="C396" s="265" t="str">
        <f>IFERROR(__xludf.DUMMYFUNCTION("""COMPUTED_VALUE"""),"Active")</f>
        <v>Active</v>
      </c>
      <c r="D396" s="265" t="str">
        <f>IFERROR(__xludf.DUMMYFUNCTION("""COMPUTED_VALUE"""),"Viễn thông")</f>
        <v>Viễn thông</v>
      </c>
      <c r="E396" s="265" t="str">
        <f>IFERROR(__xludf.DUMMYFUNCTION("""COMPUTED_VALUE"""),"Không phân công")</f>
        <v>Không phân công</v>
      </c>
      <c r="F396" s="265" t="str">
        <f>IFERROR(__xludf.DUMMYFUNCTION("""COMPUTED_VALUE"""),"Sale chưa cung cấp")</f>
        <v>Sale chưa cung cấp</v>
      </c>
      <c r="G396" s="265" t="str">
        <f>IFERROR(__xludf.DUMMYFUNCTION("""COMPUTED_VALUE"""),"Starter")</f>
        <v>Starter</v>
      </c>
      <c r="H396" s="265" t="str">
        <f>IFERROR(__xludf.DUMMYFUNCTION("""COMPUTED_VALUE"""),"Trial")</f>
        <v>Trial</v>
      </c>
      <c r="I396" s="265" t="str">
        <f>IFERROR(__xludf.DUMMYFUNCTION("""COMPUTED_VALUE"""),"Portal")</f>
        <v>Portal</v>
      </c>
      <c r="J396" s="265" t="str">
        <f>IFERROR(__xludf.DUMMYFUNCTION("""COMPUTED_VALUE"""),"DungVT")</f>
        <v>DungVT</v>
      </c>
    </row>
    <row r="397">
      <c r="A397" s="265" t="str">
        <f>IFERROR(__xludf.DUMMYFUNCTION("""COMPUTED_VALUE"""),"731")</f>
        <v>731</v>
      </c>
      <c r="B397" s="265" t="str">
        <f>IFERROR(__xludf.DUMMYFUNCTION("""COMPUTED_VALUE"""),"Sài Gòn")</f>
        <v>Sài Gòn</v>
      </c>
      <c r="C397" s="265" t="str">
        <f>IFERROR(__xludf.DUMMYFUNCTION("""COMPUTED_VALUE"""),"Locked")</f>
        <v>Locked</v>
      </c>
      <c r="D397" s="265" t="str">
        <f>IFERROR(__xludf.DUMMYFUNCTION("""COMPUTED_VALUE"""),"Viễn thông")</f>
        <v>Viễn thông</v>
      </c>
      <c r="E397" s="265" t="str">
        <f>IFERROR(__xludf.DUMMYFUNCTION("""COMPUTED_VALUE"""),"HoaNTM")</f>
        <v>HoaNTM</v>
      </c>
      <c r="F397" s="265" t="str">
        <f>IFERROR(__xludf.DUMMYFUNCTION("""COMPUTED_VALUE"""),"Gold")</f>
        <v>Gold</v>
      </c>
      <c r="G397" s="265" t="str">
        <f>IFERROR(__xludf.DUMMYFUNCTION("""COMPUTED_VALUE"""),"Enterprise")</f>
        <v>Enterprise</v>
      </c>
      <c r="H397" s="265" t="str">
        <f>IFERROR(__xludf.DUMMYFUNCTION("""COMPUTED_VALUE"""),"(Chưa recheck)")</f>
        <v>(Chưa recheck)</v>
      </c>
      <c r="I397" s="265" t="str">
        <f>IFERROR(__xludf.DUMMYFUNCTION("""COMPUTED_VALUE"""),"API &amp; Portal")</f>
        <v>API &amp; Portal</v>
      </c>
      <c r="J397" s="265" t="str">
        <f>IFERROR(__xludf.DUMMYFUNCTION("""COMPUTED_VALUE"""),"AnhNM")</f>
        <v>AnhNM</v>
      </c>
    </row>
    <row r="398">
      <c r="A398" s="265" t="str">
        <f>IFERROR(__xludf.DUMMYFUNCTION("""COMPUTED_VALUE"""),"720")</f>
        <v>720</v>
      </c>
      <c r="B398" s="265" t="str">
        <f>IFERROR(__xludf.DUMMYFUNCTION("""COMPUTED_VALUE"""),"Hà Nội")</f>
        <v>Hà Nội</v>
      </c>
      <c r="C398" s="265" t="str">
        <f>IFERROR(__xludf.DUMMYFUNCTION("""COMPUTED_VALUE"""),"Locked")</f>
        <v>Locked</v>
      </c>
      <c r="D398" s="265" t="str">
        <f>IFERROR(__xludf.DUMMYFUNCTION("""COMPUTED_VALUE"""),"Thiết kế &amp; Thi công")</f>
        <v>Thiết kế &amp; Thi công</v>
      </c>
      <c r="E398" s="265" t="str">
        <f>IFERROR(__xludf.DUMMYFUNCTION("""COMPUTED_VALUE"""),"TùngLD")</f>
        <v>TùngLD</v>
      </c>
      <c r="F398" s="265" t="str">
        <f>IFERROR(__xludf.DUMMYFUNCTION("""COMPUTED_VALUE"""),"Bronze")</f>
        <v>Bronze</v>
      </c>
      <c r="G398" s="265" t="str">
        <f>IFERROR(__xludf.DUMMYFUNCTION("""COMPUTED_VALUE"""),"SIMILAR")</f>
        <v>SIMILAR</v>
      </c>
      <c r="H398" s="265" t="str">
        <f>IFERROR(__xludf.DUMMYFUNCTION("""COMPUTED_VALUE"""),"Trả trước")</f>
        <v>Trả trước</v>
      </c>
      <c r="I398" s="265" t="str">
        <f>IFERROR(__xludf.DUMMYFUNCTION("""COMPUTED_VALUE"""),"Portal")</f>
        <v>Portal</v>
      </c>
      <c r="J398" s="265" t="str">
        <f>IFERROR(__xludf.DUMMYFUNCTION("""COMPUTED_VALUE"""),"AnhNM")</f>
        <v>AnhNM</v>
      </c>
    </row>
    <row r="399">
      <c r="A399" s="265" t="str">
        <f>IFERROR(__xludf.DUMMYFUNCTION("""COMPUTED_VALUE"""),"732")</f>
        <v>732</v>
      </c>
      <c r="B399" s="265" t="str">
        <f>IFERROR(__xludf.DUMMYFUNCTION("""COMPUTED_VALUE"""),"Hà Nội")</f>
        <v>Hà Nội</v>
      </c>
      <c r="C399" s="265" t="str">
        <f>IFERROR(__xludf.DUMMYFUNCTION("""COMPUTED_VALUE"""),"Active")</f>
        <v>Active</v>
      </c>
      <c r="D399" s="265" t="str">
        <f>IFERROR(__xludf.DUMMYFUNCTION("""COMPUTED_VALUE"""),"Mua sắm &amp; Bán lẻ")</f>
        <v>Mua sắm &amp; Bán lẻ</v>
      </c>
      <c r="E399" s="265" t="str">
        <f>IFERROR(__xludf.DUMMYFUNCTION("""COMPUTED_VALUE"""),"TúPHN")</f>
        <v>TúPHN</v>
      </c>
      <c r="F399" s="265" t="str">
        <f>IFERROR(__xludf.DUMMYFUNCTION("""COMPUTED_VALUE"""),"Bronze")</f>
        <v>Bronze</v>
      </c>
      <c r="G399" s="265" t="str">
        <f>IFERROR(__xludf.DUMMYFUNCTION("""COMPUTED_VALUE"""),"Starter")</f>
        <v>Starter</v>
      </c>
      <c r="H399" s="265" t="str">
        <f>IFERROR(__xludf.DUMMYFUNCTION("""COMPUTED_VALUE"""),"Trả sau")</f>
        <v>Trả sau</v>
      </c>
      <c r="I399" s="265" t="str">
        <f>IFERROR(__xludf.DUMMYFUNCTION("""COMPUTED_VALUE"""),"API")</f>
        <v>API</v>
      </c>
      <c r="J399" s="265" t="str">
        <f>IFERROR(__xludf.DUMMYFUNCTION("""COMPUTED_VALUE"""),"LinhNTT1")</f>
        <v>LinhNTT1</v>
      </c>
    </row>
    <row r="400">
      <c r="A400" s="265" t="str">
        <f>IFERROR(__xludf.DUMMYFUNCTION("""COMPUTED_VALUE"""),"733")</f>
        <v>733</v>
      </c>
      <c r="B400" s="265" t="str">
        <f>IFERROR(__xludf.DUMMYFUNCTION("""COMPUTED_VALUE"""),"Hà Nội")</f>
        <v>Hà Nội</v>
      </c>
      <c r="C400" s="265" t="str">
        <f>IFERROR(__xludf.DUMMYFUNCTION("""COMPUTED_VALUE"""),"Active")</f>
        <v>Active</v>
      </c>
      <c r="D400" s="265" t="str">
        <f>IFERROR(__xludf.DUMMYFUNCTION("""COMPUTED_VALUE"""),"Viễn thông")</f>
        <v>Viễn thông</v>
      </c>
      <c r="E400" s="265" t="str">
        <f>IFERROR(__xludf.DUMMYFUNCTION("""COMPUTED_VALUE"""),"TúPHN")</f>
        <v>TúPHN</v>
      </c>
      <c r="F400" s="265" t="str">
        <f>IFERROR(__xludf.DUMMYFUNCTION("""COMPUTED_VALUE"""),"Diamond")</f>
        <v>Diamond</v>
      </c>
      <c r="G400" s="265" t="str">
        <f>IFERROR(__xludf.DUMMYFUNCTION("""COMPUTED_VALUE"""),"Enterprise")</f>
        <v>Enterprise</v>
      </c>
      <c r="H400" s="265" t="str">
        <f>IFERROR(__xludf.DUMMYFUNCTION("""COMPUTED_VALUE"""),"Trả sau")</f>
        <v>Trả sau</v>
      </c>
      <c r="I400" s="265" t="str">
        <f>IFERROR(__xludf.DUMMYFUNCTION("""COMPUTED_VALUE"""),"Portal")</f>
        <v>Portal</v>
      </c>
      <c r="J400" s="265" t="str">
        <f>IFERROR(__xludf.DUMMYFUNCTION("""COMPUTED_VALUE"""),"DungPL")</f>
        <v>DungPL</v>
      </c>
    </row>
    <row r="401">
      <c r="A401" s="265" t="str">
        <f>IFERROR(__xludf.DUMMYFUNCTION("""COMPUTED_VALUE"""),"734")</f>
        <v>734</v>
      </c>
      <c r="B401" s="265" t="str">
        <f>IFERROR(__xludf.DUMMYFUNCTION("""COMPUTED_VALUE"""),"Hà Nội")</f>
        <v>Hà Nội</v>
      </c>
      <c r="C401" s="265" t="str">
        <f>IFERROR(__xludf.DUMMYFUNCTION("""COMPUTED_VALUE"""),"Active")</f>
        <v>Active</v>
      </c>
      <c r="D401" s="265" t="str">
        <f>IFERROR(__xludf.DUMMYFUNCTION("""COMPUTED_VALUE"""),"Sản xuất &amp; Chế tạo")</f>
        <v>Sản xuất &amp; Chế tạo</v>
      </c>
      <c r="E401" s="265" t="str">
        <f>IFERROR(__xludf.DUMMYFUNCTION("""COMPUTED_VALUE"""),"Không phân công")</f>
        <v>Không phân công</v>
      </c>
      <c r="F401" s="265" t="str">
        <f>IFERROR(__xludf.DUMMYFUNCTION("""COMPUTED_VALUE"""),"Bronze")</f>
        <v>Bronze</v>
      </c>
      <c r="G401" s="265" t="str">
        <f>IFERROR(__xludf.DUMMYFUNCTION("""COMPUTED_VALUE"""),"Starter")</f>
        <v>Starter</v>
      </c>
      <c r="H401" s="265" t="str">
        <f>IFERROR(__xludf.DUMMYFUNCTION("""COMPUTED_VALUE"""),"Trả sau")</f>
        <v>Trả sau</v>
      </c>
      <c r="I401" s="265" t="str">
        <f>IFERROR(__xludf.DUMMYFUNCTION("""COMPUTED_VALUE"""),"Portal")</f>
        <v>Portal</v>
      </c>
      <c r="J401" s="265" t="str">
        <f>IFERROR(__xludf.DUMMYFUNCTION("""COMPUTED_VALUE"""),"LinhNTT1")</f>
        <v>LinhNTT1</v>
      </c>
    </row>
    <row r="402">
      <c r="A402" s="265" t="str">
        <f>IFERROR(__xludf.DUMMYFUNCTION("""COMPUTED_VALUE"""),"735")</f>
        <v>735</v>
      </c>
      <c r="B402" s="265" t="str">
        <f>IFERROR(__xludf.DUMMYFUNCTION("""COMPUTED_VALUE"""),"Hà Nội")</f>
        <v>Hà Nội</v>
      </c>
      <c r="C402" s="265" t="str">
        <f>IFERROR(__xludf.DUMMYFUNCTION("""COMPUTED_VALUE"""),"Locked")</f>
        <v>Locked</v>
      </c>
      <c r="D402" s="265" t="str">
        <f>IFERROR(__xludf.DUMMYFUNCTION("""COMPUTED_VALUE"""),"Ô tô &amp; Xe máy")</f>
        <v>Ô tô &amp; Xe máy</v>
      </c>
      <c r="E402" s="265" t="str">
        <f>IFERROR(__xludf.DUMMYFUNCTION("""COMPUTED_VALUE"""),"DungDT")</f>
        <v>DungDT</v>
      </c>
      <c r="F402" s="265" t="str">
        <f>IFERROR(__xludf.DUMMYFUNCTION("""COMPUTED_VALUE"""),"Sale chưa cung cấp")</f>
        <v>Sale chưa cung cấp</v>
      </c>
      <c r="G402" s="265" t="str">
        <f>IFERROR(__xludf.DUMMYFUNCTION("""COMPUTED_VALUE"""),"MSG")</f>
        <v>MSG</v>
      </c>
      <c r="H402" s="265" t="str">
        <f>IFERROR(__xludf.DUMMYFUNCTION("""COMPUTED_VALUE"""),"Trial")</f>
        <v>Trial</v>
      </c>
      <c r="I402" s="265" t="str">
        <f>IFERROR(__xludf.DUMMYFUNCTION("""COMPUTED_VALUE"""),"API &amp; Portal")</f>
        <v>API &amp; Portal</v>
      </c>
      <c r="J402" s="265" t="str">
        <f>IFERROR(__xludf.DUMMYFUNCTION("""COMPUTED_VALUE"""),"(Không recheck)")</f>
        <v>(Không recheck)</v>
      </c>
    </row>
    <row r="403">
      <c r="A403" s="265" t="str">
        <f>IFERROR(__xludf.DUMMYFUNCTION("""COMPUTED_VALUE"""),"736")</f>
        <v>736</v>
      </c>
      <c r="B403" s="265" t="str">
        <f>IFERROR(__xludf.DUMMYFUNCTION("""COMPUTED_VALUE"""),"Hà Nội")</f>
        <v>Hà Nội</v>
      </c>
      <c r="C403" s="265" t="str">
        <f>IFERROR(__xludf.DUMMYFUNCTION("""COMPUTED_VALUE"""),"Locked")</f>
        <v>Locked</v>
      </c>
      <c r="D403" s="265" t="str">
        <f>IFERROR(__xludf.DUMMYFUNCTION("""COMPUTED_VALUE"""),"Vận tải &amp; logistics")</f>
        <v>Vận tải &amp; logistics</v>
      </c>
      <c r="E403" s="265" t="str">
        <f>IFERROR(__xludf.DUMMYFUNCTION("""COMPUTED_VALUE"""),"TùngLD")</f>
        <v>TùngLD</v>
      </c>
      <c r="F403" s="265" t="str">
        <f>IFERROR(__xludf.DUMMYFUNCTION("""COMPUTED_VALUE"""),"Bronze")</f>
        <v>Bronze</v>
      </c>
      <c r="G403" s="265" t="str">
        <f>IFERROR(__xludf.DUMMYFUNCTION("""COMPUTED_VALUE"""),"MSG")</f>
        <v>MSG</v>
      </c>
      <c r="H403" s="265" t="str">
        <f>IFERROR(__xludf.DUMMYFUNCTION("""COMPUTED_VALUE"""),"Trả trước")</f>
        <v>Trả trước</v>
      </c>
      <c r="I403" s="265" t="str">
        <f>IFERROR(__xludf.DUMMYFUNCTION("""COMPUTED_VALUE"""),"Portal")</f>
        <v>Portal</v>
      </c>
      <c r="J403" s="265" t="str">
        <f>IFERROR(__xludf.DUMMYFUNCTION("""COMPUTED_VALUE"""),"AnhNM")</f>
        <v>AnhNM</v>
      </c>
    </row>
    <row r="404">
      <c r="A404" s="265" t="str">
        <f>IFERROR(__xludf.DUMMYFUNCTION("""COMPUTED_VALUE"""),"737")</f>
        <v>737</v>
      </c>
      <c r="B404" s="265" t="str">
        <f>IFERROR(__xludf.DUMMYFUNCTION("""COMPUTED_VALUE"""),"Sài Gòn")</f>
        <v>Sài Gòn</v>
      </c>
      <c r="C404" s="265" t="str">
        <f>IFERROR(__xludf.DUMMYFUNCTION("""COMPUTED_VALUE"""),"Locked")</f>
        <v>Locked</v>
      </c>
      <c r="D404" s="265" t="str">
        <f>IFERROR(__xludf.DUMMYFUNCTION("""COMPUTED_VALUE"""),"Thời trang &amp; May mặc")</f>
        <v>Thời trang &amp; May mặc</v>
      </c>
      <c r="E404" s="265" t="str">
        <f>IFERROR(__xludf.DUMMYFUNCTION("""COMPUTED_VALUE"""),"PhươngDTB")</f>
        <v>PhươngDTB</v>
      </c>
      <c r="F404" s="265" t="str">
        <f>IFERROR(__xludf.DUMMYFUNCTION("""COMPUTED_VALUE"""),"Sale chưa cung cấp")</f>
        <v>Sale chưa cung cấp</v>
      </c>
      <c r="G404" s="265" t="str">
        <f>IFERROR(__xludf.DUMMYFUNCTION("""COMPUTED_VALUE"""),"Enterprise")</f>
        <v>Enterprise</v>
      </c>
      <c r="H404" s="265" t="str">
        <f>IFERROR(__xludf.DUMMYFUNCTION("""COMPUTED_VALUE"""),"Trả trước")</f>
        <v>Trả trước</v>
      </c>
      <c r="I404" s="265" t="str">
        <f>IFERROR(__xludf.DUMMYFUNCTION("""COMPUTED_VALUE"""),"API &amp; Portal")</f>
        <v>API &amp; Portal</v>
      </c>
      <c r="J404" s="265" t="str">
        <f>IFERROR(__xludf.DUMMYFUNCTION("""COMPUTED_VALUE"""),"AnhNM")</f>
        <v>AnhNM</v>
      </c>
    </row>
    <row r="405">
      <c r="A405" s="265" t="str">
        <f>IFERROR(__xludf.DUMMYFUNCTION("""COMPUTED_VALUE"""),"738")</f>
        <v>738</v>
      </c>
      <c r="B405" s="265" t="str">
        <f>IFERROR(__xludf.DUMMYFUNCTION("""COMPUTED_VALUE"""),"Hà Nội")</f>
        <v>Hà Nội</v>
      </c>
      <c r="C405" s="265" t="str">
        <f>IFERROR(__xludf.DUMMYFUNCTION("""COMPUTED_VALUE"""),"Active")</f>
        <v>Active</v>
      </c>
      <c r="D405" s="265" t="str">
        <f>IFERROR(__xludf.DUMMYFUNCTION("""COMPUTED_VALUE"""),"Y tế &amp; Dược phẩm")</f>
        <v>Y tế &amp; Dược phẩm</v>
      </c>
      <c r="E405" s="265" t="str">
        <f>IFERROR(__xludf.DUMMYFUNCTION("""COMPUTED_VALUE"""),"TúPHN")</f>
        <v>TúPHN</v>
      </c>
      <c r="F405" s="265" t="str">
        <f>IFERROR(__xludf.DUMMYFUNCTION("""COMPUTED_VALUE"""),"Silver")</f>
        <v>Silver</v>
      </c>
      <c r="G405" s="265" t="str">
        <f>IFERROR(__xludf.DUMMYFUNCTION("""COMPUTED_VALUE"""),"Enterprise")</f>
        <v>Enterprise</v>
      </c>
      <c r="H405" s="265" t="str">
        <f>IFERROR(__xludf.DUMMYFUNCTION("""COMPUTED_VALUE"""),"Trả trước")</f>
        <v>Trả trước</v>
      </c>
      <c r="I405" s="265" t="str">
        <f>IFERROR(__xludf.DUMMYFUNCTION("""COMPUTED_VALUE"""),"API &amp; Portal")</f>
        <v>API &amp; Portal</v>
      </c>
      <c r="J405" s="265" t="str">
        <f>IFERROR(__xludf.DUMMYFUNCTION("""COMPUTED_VALUE"""),"DungPL")</f>
        <v>DungPL</v>
      </c>
    </row>
    <row r="406">
      <c r="A406" s="265" t="str">
        <f>IFERROR(__xludf.DUMMYFUNCTION("""COMPUTED_VALUE"""),"739")</f>
        <v>739</v>
      </c>
      <c r="B406" s="265" t="str">
        <f>IFERROR(__xludf.DUMMYFUNCTION("""COMPUTED_VALUE"""),"Sài Gòn")</f>
        <v>Sài Gòn</v>
      </c>
      <c r="C406" s="265" t="str">
        <f>IFERROR(__xludf.DUMMYFUNCTION("""COMPUTED_VALUE"""),"Active")</f>
        <v>Active</v>
      </c>
      <c r="D406" s="265" t="str">
        <f>IFERROR(__xludf.DUMMYFUNCTION("""COMPUTED_VALUE"""),"Thực phẩm &amp; Đồ uống")</f>
        <v>Thực phẩm &amp; Đồ uống</v>
      </c>
      <c r="E406" s="265" t="str">
        <f>IFERROR(__xludf.DUMMYFUNCTION("""COMPUTED_VALUE"""),"Không phân công")</f>
        <v>Không phân công</v>
      </c>
      <c r="F406" s="265" t="str">
        <f>IFERROR(__xludf.DUMMYFUNCTION("""COMPUTED_VALUE"""),"Sale chưa cung cấp")</f>
        <v>Sale chưa cung cấp</v>
      </c>
      <c r="G406" s="265" t="str">
        <f>IFERROR(__xludf.DUMMYFUNCTION("""COMPUTED_VALUE"""),"Enterprise")</f>
        <v>Enterprise</v>
      </c>
      <c r="H406" s="265" t="str">
        <f>IFERROR(__xludf.DUMMYFUNCTION("""COMPUTED_VALUE"""),"Trả sau")</f>
        <v>Trả sau</v>
      </c>
      <c r="I406" s="265" t="str">
        <f>IFERROR(__xludf.DUMMYFUNCTION("""COMPUTED_VALUE"""),"API &amp; Portal")</f>
        <v>API &amp; Portal</v>
      </c>
      <c r="J406" s="265" t="str">
        <f>IFERROR(__xludf.DUMMYFUNCTION("""COMPUTED_VALUE"""),"LinhNTT1")</f>
        <v>LinhNTT1</v>
      </c>
    </row>
    <row r="407">
      <c r="A407" s="265" t="str">
        <f>IFERROR(__xludf.DUMMYFUNCTION("""COMPUTED_VALUE"""),"740")</f>
        <v>740</v>
      </c>
      <c r="B407" s="265" t="str">
        <f>IFERROR(__xludf.DUMMYFUNCTION("""COMPUTED_VALUE"""),"Hà Nội")</f>
        <v>Hà Nội</v>
      </c>
      <c r="C407" s="265" t="str">
        <f>IFERROR(__xludf.DUMMYFUNCTION("""COMPUTED_VALUE"""),"Locked")</f>
        <v>Locked</v>
      </c>
      <c r="D407" s="265" t="str">
        <f>IFERROR(__xludf.DUMMYFUNCTION("""COMPUTED_VALUE"""),"Viễn thông")</f>
        <v>Viễn thông</v>
      </c>
      <c r="E407" s="265" t="str">
        <f>IFERROR(__xludf.DUMMYFUNCTION("""COMPUTED_VALUE"""),"PhươngDTB")</f>
        <v>PhươngDTB</v>
      </c>
      <c r="F407" s="265" t="str">
        <f>IFERROR(__xludf.DUMMYFUNCTION("""COMPUTED_VALUE"""),"Gold")</f>
        <v>Gold</v>
      </c>
      <c r="G407" s="265" t="str">
        <f>IFERROR(__xludf.DUMMYFUNCTION("""COMPUTED_VALUE"""),"Standard")</f>
        <v>Standard</v>
      </c>
      <c r="H407" s="265" t="str">
        <f>IFERROR(__xludf.DUMMYFUNCTION("""COMPUTED_VALUE"""),"Trả sau")</f>
        <v>Trả sau</v>
      </c>
      <c r="I407" s="265" t="str">
        <f>IFERROR(__xludf.DUMMYFUNCTION("""COMPUTED_VALUE"""),"API &amp; Portal")</f>
        <v>API &amp; Portal</v>
      </c>
      <c r="J407" s="265" t="str">
        <f>IFERROR(__xludf.DUMMYFUNCTION("""COMPUTED_VALUE"""),"AnhNM")</f>
        <v>AnhNM</v>
      </c>
    </row>
    <row r="408">
      <c r="A408" s="265" t="str">
        <f>IFERROR(__xludf.DUMMYFUNCTION("""COMPUTED_VALUE"""),"742")</f>
        <v>742</v>
      </c>
      <c r="B408" s="265" t="str">
        <f>IFERROR(__xludf.DUMMYFUNCTION("""COMPUTED_VALUE"""),"Sài Gòn")</f>
        <v>Sài Gòn</v>
      </c>
      <c r="C408" s="265" t="str">
        <f>IFERROR(__xludf.DUMMYFUNCTION("""COMPUTED_VALUE"""),"Locked")</f>
        <v>Locked</v>
      </c>
      <c r="D408" s="265" t="str">
        <f>IFERROR(__xludf.DUMMYFUNCTION("""COMPUTED_VALUE"""),"Thực phẩm &amp; Đồ uống")</f>
        <v>Thực phẩm &amp; Đồ uống</v>
      </c>
      <c r="E408" s="265" t="str">
        <f>IFERROR(__xludf.DUMMYFUNCTION("""COMPUTED_VALUE"""),"TuVTC")</f>
        <v>TuVTC</v>
      </c>
      <c r="F408" s="265" t="str">
        <f>IFERROR(__xludf.DUMMYFUNCTION("""COMPUTED_VALUE"""),"Gold")</f>
        <v>Gold</v>
      </c>
      <c r="G408" s="265" t="str">
        <f>IFERROR(__xludf.DUMMYFUNCTION("""COMPUTED_VALUE"""),"API")</f>
        <v>API</v>
      </c>
      <c r="H408" s="265" t="str">
        <f>IFERROR(__xludf.DUMMYFUNCTION("""COMPUTED_VALUE"""),"Trả sau")</f>
        <v>Trả sau</v>
      </c>
      <c r="I408" s="265" t="str">
        <f>IFERROR(__xludf.DUMMYFUNCTION("""COMPUTED_VALUE"""),"API")</f>
        <v>API</v>
      </c>
      <c r="J408" s="265" t="str">
        <f>IFERROR(__xludf.DUMMYFUNCTION("""COMPUTED_VALUE"""),"TuVTC")</f>
        <v>TuVTC</v>
      </c>
    </row>
    <row r="409">
      <c r="A409" s="265" t="str">
        <f>IFERROR(__xludf.DUMMYFUNCTION("""COMPUTED_VALUE"""),"716")</f>
        <v>716</v>
      </c>
      <c r="B409" s="265" t="str">
        <f>IFERROR(__xludf.DUMMYFUNCTION("""COMPUTED_VALUE"""),"Hà Nội")</f>
        <v>Hà Nội</v>
      </c>
      <c r="C409" s="265" t="str">
        <f>IFERROR(__xludf.DUMMYFUNCTION("""COMPUTED_VALUE"""),"Active")</f>
        <v>Active</v>
      </c>
      <c r="D409" s="265" t="str">
        <f>IFERROR(__xludf.DUMMYFUNCTION("""COMPUTED_VALUE"""),"Tài chính &amp; Ngân hàng")</f>
        <v>Tài chính &amp; Ngân hàng</v>
      </c>
      <c r="E409" s="265" t="str">
        <f>IFERROR(__xludf.DUMMYFUNCTION("""COMPUTED_VALUE"""),"TùngLD")</f>
        <v>TùngLD</v>
      </c>
      <c r="F409" s="265" t="str">
        <f>IFERROR(__xludf.DUMMYFUNCTION("""COMPUTED_VALUE"""),"Bronze")</f>
        <v>Bronze</v>
      </c>
      <c r="G409" s="265" t="str">
        <f>IFERROR(__xludf.DUMMYFUNCTION("""COMPUTED_VALUE"""),"Starter")</f>
        <v>Starter</v>
      </c>
      <c r="H409" s="265" t="str">
        <f>IFERROR(__xludf.DUMMYFUNCTION("""COMPUTED_VALUE"""),"Trả sau")</f>
        <v>Trả sau</v>
      </c>
      <c r="I409" s="265" t="str">
        <f>IFERROR(__xludf.DUMMYFUNCTION("""COMPUTED_VALUE"""),"API")</f>
        <v>API</v>
      </c>
      <c r="J409" s="265" t="str">
        <f>IFERROR(__xludf.DUMMYFUNCTION("""COMPUTED_VALUE"""),"DungPL")</f>
        <v>DungPL</v>
      </c>
    </row>
    <row r="410">
      <c r="A410" s="265" t="str">
        <f>IFERROR(__xludf.DUMMYFUNCTION("""COMPUTED_VALUE"""),"744")</f>
        <v>744</v>
      </c>
      <c r="B410" s="265" t="str">
        <f>IFERROR(__xludf.DUMMYFUNCTION("""COMPUTED_VALUE"""),"Hà Nội")</f>
        <v>Hà Nội</v>
      </c>
      <c r="C410" s="265" t="str">
        <f>IFERROR(__xludf.DUMMYFUNCTION("""COMPUTED_VALUE"""),"Locked")</f>
        <v>Locked</v>
      </c>
      <c r="D410" s="265" t="str">
        <f>IFERROR(__xludf.DUMMYFUNCTION("""COMPUTED_VALUE"""),"Truyền thông &amp; Giải trí")</f>
        <v>Truyền thông &amp; Giải trí</v>
      </c>
      <c r="E410" s="265" t="str">
        <f>IFERROR(__xludf.DUMMYFUNCTION("""COMPUTED_VALUE"""),"TúPHN")</f>
        <v>TúPHN</v>
      </c>
      <c r="F410" s="265" t="str">
        <f>IFERROR(__xludf.DUMMYFUNCTION("""COMPUTED_VALUE"""),"Sale chưa cung cấp")</f>
        <v>Sale chưa cung cấp</v>
      </c>
      <c r="G410" s="265" t="str">
        <f>IFERROR(__xludf.DUMMYFUNCTION("""COMPUTED_VALUE"""),"API")</f>
        <v>API</v>
      </c>
      <c r="H410" s="265" t="str">
        <f>IFERROR(__xludf.DUMMYFUNCTION("""COMPUTED_VALUE"""),"Trả sau")</f>
        <v>Trả sau</v>
      </c>
      <c r="I410" s="265" t="str">
        <f>IFERROR(__xludf.DUMMYFUNCTION("""COMPUTED_VALUE"""),"API")</f>
        <v>API</v>
      </c>
      <c r="J410" s="265" t="str">
        <f>IFERROR(__xludf.DUMMYFUNCTION("""COMPUTED_VALUE"""),"AnhNM")</f>
        <v>AnhNM</v>
      </c>
    </row>
    <row r="411">
      <c r="A411" s="265" t="str">
        <f>IFERROR(__xludf.DUMMYFUNCTION("""COMPUTED_VALUE"""),"745")</f>
        <v>745</v>
      </c>
      <c r="B411" s="265" t="str">
        <f>IFERROR(__xludf.DUMMYFUNCTION("""COMPUTED_VALUE"""),"Sài Gòn")</f>
        <v>Sài Gòn</v>
      </c>
      <c r="C411" s="265" t="str">
        <f>IFERROR(__xludf.DUMMYFUNCTION("""COMPUTED_VALUE"""),"Active")</f>
        <v>Active</v>
      </c>
      <c r="D411" s="265" t="str">
        <f>IFERROR(__xludf.DUMMYFUNCTION("""COMPUTED_VALUE"""),"Sản xuất &amp; Chế tạo")</f>
        <v>Sản xuất &amp; Chế tạo</v>
      </c>
      <c r="E411" s="265" t="str">
        <f>IFERROR(__xludf.DUMMYFUNCTION("""COMPUTED_VALUE"""),"TúPHN")</f>
        <v>TúPHN</v>
      </c>
      <c r="F411" s="265" t="str">
        <f>IFERROR(__xludf.DUMMYFUNCTION("""COMPUTED_VALUE"""),"Bronze")</f>
        <v>Bronze</v>
      </c>
      <c r="G411" s="265" t="str">
        <f>IFERROR(__xludf.DUMMYFUNCTION("""COMPUTED_VALUE"""),"Premium")</f>
        <v>Premium</v>
      </c>
      <c r="H411" s="265" t="str">
        <f>IFERROR(__xludf.DUMMYFUNCTION("""COMPUTED_VALUE"""),"Trả sau")</f>
        <v>Trả sau</v>
      </c>
      <c r="I411" s="265" t="str">
        <f>IFERROR(__xludf.DUMMYFUNCTION("""COMPUTED_VALUE"""),"API &amp; Portal")</f>
        <v>API &amp; Portal</v>
      </c>
      <c r="J411" s="265" t="str">
        <f>IFERROR(__xludf.DUMMYFUNCTION("""COMPUTED_VALUE"""),"DungPL")</f>
        <v>DungPL</v>
      </c>
    </row>
    <row r="412">
      <c r="A412" s="265" t="str">
        <f>IFERROR(__xludf.DUMMYFUNCTION("""COMPUTED_VALUE"""),"746")</f>
        <v>746</v>
      </c>
      <c r="B412" s="265" t="str">
        <f>IFERROR(__xludf.DUMMYFUNCTION("""COMPUTED_VALUE"""),"Sài Gòn")</f>
        <v>Sài Gòn</v>
      </c>
      <c r="C412" s="265" t="str">
        <f>IFERROR(__xludf.DUMMYFUNCTION("""COMPUTED_VALUE"""),"Active")</f>
        <v>Active</v>
      </c>
      <c r="D412" s="265" t="str">
        <f>IFERROR(__xludf.DUMMYFUNCTION("""COMPUTED_VALUE"""),"Viễn thông")</f>
        <v>Viễn thông</v>
      </c>
      <c r="E412" s="265" t="str">
        <f>IFERROR(__xludf.DUMMYFUNCTION("""COMPUTED_VALUE"""),"TùngLD")</f>
        <v>TùngLD</v>
      </c>
      <c r="F412" s="265" t="str">
        <f>IFERROR(__xludf.DUMMYFUNCTION("""COMPUTED_VALUE"""),"Gold")</f>
        <v>Gold</v>
      </c>
      <c r="G412" s="265" t="str">
        <f>IFERROR(__xludf.DUMMYFUNCTION("""COMPUTED_VALUE"""),"Premium")</f>
        <v>Premium</v>
      </c>
      <c r="H412" s="265" t="str">
        <f>IFERROR(__xludf.DUMMYFUNCTION("""COMPUTED_VALUE"""),"Trả sau")</f>
        <v>Trả sau</v>
      </c>
      <c r="I412" s="265" t="str">
        <f>IFERROR(__xludf.DUMMYFUNCTION("""COMPUTED_VALUE"""),"API")</f>
        <v>API</v>
      </c>
      <c r="J412" s="265" t="str">
        <f>IFERROR(__xludf.DUMMYFUNCTION("""COMPUTED_VALUE"""),"YếnĐH")</f>
        <v>YếnĐH</v>
      </c>
    </row>
    <row r="413">
      <c r="A413" s="265" t="str">
        <f>IFERROR(__xludf.DUMMYFUNCTION("""COMPUTED_VALUE"""),"498")</f>
        <v>498</v>
      </c>
      <c r="B413" s="265" t="str">
        <f>IFERROR(__xludf.DUMMYFUNCTION("""COMPUTED_VALUE"""),"Hà Nội")</f>
        <v>Hà Nội</v>
      </c>
      <c r="C413" s="265" t="str">
        <f>IFERROR(__xludf.DUMMYFUNCTION("""COMPUTED_VALUE"""),"Locked")</f>
        <v>Locked</v>
      </c>
      <c r="D413" s="265" t="str">
        <f>IFERROR(__xludf.DUMMYFUNCTION("""COMPUTED_VALUE"""),"Sale chưa cung cấp")</f>
        <v>Sale chưa cung cấp</v>
      </c>
      <c r="E413" s="265" t="str">
        <f>IFERROR(__xludf.DUMMYFUNCTION("""COMPUTED_VALUE"""),"TùngLD")</f>
        <v>TùngLD</v>
      </c>
      <c r="F413" s="265" t="str">
        <f>IFERROR(__xludf.DUMMYFUNCTION("""COMPUTED_VALUE"""),"Bronze")</f>
        <v>Bronze</v>
      </c>
      <c r="G413" s="265" t="str">
        <f>IFERROR(__xludf.DUMMYFUNCTION("""COMPUTED_VALUE"""),"Enterprise")</f>
        <v>Enterprise</v>
      </c>
      <c r="H413" s="265" t="str">
        <f>IFERROR(__xludf.DUMMYFUNCTION("""COMPUTED_VALUE"""),"Trả sau")</f>
        <v>Trả sau</v>
      </c>
      <c r="I413" s="265" t="str">
        <f>IFERROR(__xludf.DUMMYFUNCTION("""COMPUTED_VALUE"""),"Portal")</f>
        <v>Portal</v>
      </c>
      <c r="J413" s="265" t="str">
        <f>IFERROR(__xludf.DUMMYFUNCTION("""COMPUTED_VALUE"""),"AnhNM")</f>
        <v>AnhNM</v>
      </c>
    </row>
    <row r="414">
      <c r="A414" s="265" t="str">
        <f>IFERROR(__xludf.DUMMYFUNCTION("""COMPUTED_VALUE"""),"498")</f>
        <v>498</v>
      </c>
      <c r="B414" s="265" t="str">
        <f>IFERROR(__xludf.DUMMYFUNCTION("""COMPUTED_VALUE"""),"Hà Nội")</f>
        <v>Hà Nội</v>
      </c>
      <c r="C414" s="265" t="str">
        <f>IFERROR(__xludf.DUMMYFUNCTION("""COMPUTED_VALUE"""),"Locked")</f>
        <v>Locked</v>
      </c>
      <c r="D414" s="265" t="str">
        <f>IFERROR(__xludf.DUMMYFUNCTION("""COMPUTED_VALUE"""),"Sale chưa cung cấp")</f>
        <v>Sale chưa cung cấp</v>
      </c>
      <c r="E414" s="265" t="str">
        <f>IFERROR(__xludf.DUMMYFUNCTION("""COMPUTED_VALUE"""),"TùngLD")</f>
        <v>TùngLD</v>
      </c>
      <c r="F414" s="265" t="str">
        <f>IFERROR(__xludf.DUMMYFUNCTION("""COMPUTED_VALUE"""),"Bronze")</f>
        <v>Bronze</v>
      </c>
      <c r="G414" s="265" t="str">
        <f>IFERROR(__xludf.DUMMYFUNCTION("""COMPUTED_VALUE"""),"Enterprise")</f>
        <v>Enterprise</v>
      </c>
      <c r="H414" s="265" t="str">
        <f>IFERROR(__xludf.DUMMYFUNCTION("""COMPUTED_VALUE"""),"Trả sau")</f>
        <v>Trả sau</v>
      </c>
      <c r="I414" s="265" t="str">
        <f>IFERROR(__xludf.DUMMYFUNCTION("""COMPUTED_VALUE"""),"Portal")</f>
        <v>Portal</v>
      </c>
      <c r="J414" s="265" t="str">
        <f>IFERROR(__xludf.DUMMYFUNCTION("""COMPUTED_VALUE"""),"LinhNTT1")</f>
        <v>LinhNTT1</v>
      </c>
    </row>
    <row r="415">
      <c r="A415" s="265" t="str">
        <f>IFERROR(__xludf.DUMMYFUNCTION("""COMPUTED_VALUE"""),"747")</f>
        <v>747</v>
      </c>
      <c r="B415" s="265" t="str">
        <f>IFERROR(__xludf.DUMMYFUNCTION("""COMPUTED_VALUE"""),"Sài Gòn")</f>
        <v>Sài Gòn</v>
      </c>
      <c r="C415" s="265" t="str">
        <f>IFERROR(__xludf.DUMMYFUNCTION("""COMPUTED_VALUE"""),"Locked")</f>
        <v>Locked</v>
      </c>
      <c r="D415" s="265" t="str">
        <f>IFERROR(__xludf.DUMMYFUNCTION("""COMPUTED_VALUE"""),"Y tế &amp; Dược phẩm")</f>
        <v>Y tế &amp; Dược phẩm</v>
      </c>
      <c r="E415" s="265" t="str">
        <f>IFERROR(__xludf.DUMMYFUNCTION("""COMPUTED_VALUE"""),"HoaNTM")</f>
        <v>HoaNTM</v>
      </c>
      <c r="F415" s="265" t="str">
        <f>IFERROR(__xludf.DUMMYFUNCTION("""COMPUTED_VALUE"""),"Sale chưa cung cấp")</f>
        <v>Sale chưa cung cấp</v>
      </c>
      <c r="G415" s="265" t="str">
        <f>IFERROR(__xludf.DUMMYFUNCTION("""COMPUTED_VALUE"""),"Starter")</f>
        <v>Starter</v>
      </c>
      <c r="H415" s="265" t="str">
        <f>IFERROR(__xludf.DUMMYFUNCTION("""COMPUTED_VALUE"""),"Trả trước")</f>
        <v>Trả trước</v>
      </c>
      <c r="I415" s="265" t="str">
        <f>IFERROR(__xludf.DUMMYFUNCTION("""COMPUTED_VALUE"""),"API &amp; Portal")</f>
        <v>API &amp; Portal</v>
      </c>
      <c r="J415" s="265" t="str">
        <f>IFERROR(__xludf.DUMMYFUNCTION("""COMPUTED_VALUE"""),"DungPL")</f>
        <v>DungPL</v>
      </c>
    </row>
    <row r="416">
      <c r="A416" s="265" t="str">
        <f>IFERROR(__xludf.DUMMYFUNCTION("""COMPUTED_VALUE"""),"748")</f>
        <v>748</v>
      </c>
      <c r="B416" s="265" t="str">
        <f>IFERROR(__xludf.DUMMYFUNCTION("""COMPUTED_VALUE"""),"Sài Gòn")</f>
        <v>Sài Gòn</v>
      </c>
      <c r="C416" s="265" t="str">
        <f>IFERROR(__xludf.DUMMYFUNCTION("""COMPUTED_VALUE"""),"Locked")</f>
        <v>Locked</v>
      </c>
      <c r="D416" s="265" t="str">
        <f>IFERROR(__xludf.DUMMYFUNCTION("""COMPUTED_VALUE"""),"Truyền thông &amp; Giải trí")</f>
        <v>Truyền thông &amp; Giải trí</v>
      </c>
      <c r="E416" s="265" t="str">
        <f>IFERROR(__xludf.DUMMYFUNCTION("""COMPUTED_VALUE"""),"HoaNTM")</f>
        <v>HoaNTM</v>
      </c>
      <c r="F416" s="265" t="str">
        <f>IFERROR(__xludf.DUMMYFUNCTION("""COMPUTED_VALUE"""),"Gold")</f>
        <v>Gold</v>
      </c>
      <c r="G416" s="265" t="str">
        <f>IFERROR(__xludf.DUMMYFUNCTION("""COMPUTED_VALUE"""),"Premium")</f>
        <v>Premium</v>
      </c>
      <c r="H416" s="265" t="str">
        <f>IFERROR(__xludf.DUMMYFUNCTION("""COMPUTED_VALUE"""),"Trả trước")</f>
        <v>Trả trước</v>
      </c>
      <c r="I416" s="265" t="str">
        <f>IFERROR(__xludf.DUMMYFUNCTION("""COMPUTED_VALUE"""),"API &amp; Portal")</f>
        <v>API &amp; Portal</v>
      </c>
      <c r="J416" s="265" t="str">
        <f>IFERROR(__xludf.DUMMYFUNCTION("""COMPUTED_VALUE"""),"LinhNTT1")</f>
        <v>LinhNTT1</v>
      </c>
    </row>
    <row r="417">
      <c r="A417" s="265" t="str">
        <f>IFERROR(__xludf.DUMMYFUNCTION("""COMPUTED_VALUE"""),"750")</f>
        <v>750</v>
      </c>
      <c r="B417" s="265" t="str">
        <f>IFERROR(__xludf.DUMMYFUNCTION("""COMPUTED_VALUE"""),"Hà Nội")</f>
        <v>Hà Nội</v>
      </c>
      <c r="C417" s="265" t="str">
        <f>IFERROR(__xludf.DUMMYFUNCTION("""COMPUTED_VALUE"""),"Locked")</f>
        <v>Locked</v>
      </c>
      <c r="D417" s="265" t="str">
        <f>IFERROR(__xludf.DUMMYFUNCTION("""COMPUTED_VALUE"""),"Truyền thông &amp; Giải trí")</f>
        <v>Truyền thông &amp; Giải trí</v>
      </c>
      <c r="E417" s="265" t="str">
        <f>IFERROR(__xludf.DUMMYFUNCTION("""COMPUTED_VALUE"""),"TúPHN")</f>
        <v>TúPHN</v>
      </c>
      <c r="F417" s="265" t="str">
        <f>IFERROR(__xludf.DUMMYFUNCTION("""COMPUTED_VALUE"""),"Bronze")</f>
        <v>Bronze</v>
      </c>
      <c r="G417" s="265" t="str">
        <f>IFERROR(__xludf.DUMMYFUNCTION("""COMPUTED_VALUE"""),"Starter")</f>
        <v>Starter</v>
      </c>
      <c r="H417" s="265" t="str">
        <f>IFERROR(__xludf.DUMMYFUNCTION("""COMPUTED_VALUE"""),"Trả sau")</f>
        <v>Trả sau</v>
      </c>
      <c r="I417" s="265" t="str">
        <f>IFERROR(__xludf.DUMMYFUNCTION("""COMPUTED_VALUE"""),"API &amp; Portal")</f>
        <v>API &amp; Portal</v>
      </c>
      <c r="J417" s="265" t="str">
        <f>IFERROR(__xludf.DUMMYFUNCTION("""COMPUTED_VALUE"""),"LinhNTT1")</f>
        <v>LinhNTT1</v>
      </c>
    </row>
    <row r="418">
      <c r="A418" s="265" t="str">
        <f>IFERROR(__xludf.DUMMYFUNCTION("""COMPUTED_VALUE"""),"751")</f>
        <v>751</v>
      </c>
      <c r="B418" s="265" t="str">
        <f>IFERROR(__xludf.DUMMYFUNCTION("""COMPUTED_VALUE"""),"Sài Gòn")</f>
        <v>Sài Gòn</v>
      </c>
      <c r="C418" s="265" t="str">
        <f>IFERROR(__xludf.DUMMYFUNCTION("""COMPUTED_VALUE"""),"Locked")</f>
        <v>Locked</v>
      </c>
      <c r="D418" s="265" t="str">
        <f>IFERROR(__xludf.DUMMYFUNCTION("""COMPUTED_VALUE"""),"Mua sắm &amp; Bán lẻ")</f>
        <v>Mua sắm &amp; Bán lẻ</v>
      </c>
      <c r="E418" s="265" t="str">
        <f>IFERROR(__xludf.DUMMYFUNCTION("""COMPUTED_VALUE"""),"HoaNTM")</f>
        <v>HoaNTM</v>
      </c>
      <c r="F418" s="265" t="str">
        <f>IFERROR(__xludf.DUMMYFUNCTION("""COMPUTED_VALUE"""),"Sale chưa cung cấp")</f>
        <v>Sale chưa cung cấp</v>
      </c>
      <c r="G418" s="265" t="str">
        <f>IFERROR(__xludf.DUMMYFUNCTION("""COMPUTED_VALUE"""),"Premium")</f>
        <v>Premium</v>
      </c>
      <c r="H418" s="265" t="str">
        <f>IFERROR(__xludf.DUMMYFUNCTION("""COMPUTED_VALUE"""),"Trial")</f>
        <v>Trial</v>
      </c>
      <c r="I418" s="265" t="str">
        <f>IFERROR(__xludf.DUMMYFUNCTION("""COMPUTED_VALUE"""),"API &amp; Portal")</f>
        <v>API &amp; Portal</v>
      </c>
      <c r="J418" s="265" t="str">
        <f>IFERROR(__xludf.DUMMYFUNCTION("""COMPUTED_VALUE"""),"(Không recheck)")</f>
        <v>(Không recheck)</v>
      </c>
    </row>
    <row r="419">
      <c r="A419" s="265" t="str">
        <f>IFERROR(__xludf.DUMMYFUNCTION("""COMPUTED_VALUE"""),"754")</f>
        <v>754</v>
      </c>
      <c r="B419" s="265" t="str">
        <f>IFERROR(__xludf.DUMMYFUNCTION("""COMPUTED_VALUE"""),"Hà Nội")</f>
        <v>Hà Nội</v>
      </c>
      <c r="C419" s="265" t="str">
        <f>IFERROR(__xludf.DUMMYFUNCTION("""COMPUTED_VALUE"""),"Locked")</f>
        <v>Locked</v>
      </c>
      <c r="D419" s="265" t="str">
        <f>IFERROR(__xludf.DUMMYFUNCTION("""COMPUTED_VALUE"""),"Viễn thông")</f>
        <v>Viễn thông</v>
      </c>
      <c r="E419" s="265" t="str">
        <f>IFERROR(__xludf.DUMMYFUNCTION("""COMPUTED_VALUE"""),"AnhNP")</f>
        <v>AnhNP</v>
      </c>
      <c r="F419" s="265" t="str">
        <f>IFERROR(__xludf.DUMMYFUNCTION("""COMPUTED_VALUE"""),"Sale chưa cung cấp")</f>
        <v>Sale chưa cung cấp</v>
      </c>
      <c r="G419" s="265" t="str">
        <f>IFERROR(__xludf.DUMMYFUNCTION("""COMPUTED_VALUE"""),"Starter")</f>
        <v>Starter</v>
      </c>
      <c r="H419" s="265" t="str">
        <f>IFERROR(__xludf.DUMMYFUNCTION("""COMPUTED_VALUE"""),"Trial")</f>
        <v>Trial</v>
      </c>
      <c r="I419" s="265" t="str">
        <f>IFERROR(__xludf.DUMMYFUNCTION("""COMPUTED_VALUE"""),"API &amp; Portal")</f>
        <v>API &amp; Portal</v>
      </c>
      <c r="J419" s="265" t="str">
        <f>IFERROR(__xludf.DUMMYFUNCTION("""COMPUTED_VALUE"""),"(Không recheck)")</f>
        <v>(Không recheck)</v>
      </c>
    </row>
    <row r="420">
      <c r="A420" s="265" t="str">
        <f>IFERROR(__xludf.DUMMYFUNCTION("""COMPUTED_VALUE"""),"753")</f>
        <v>753</v>
      </c>
      <c r="B420" s="265" t="str">
        <f>IFERROR(__xludf.DUMMYFUNCTION("""COMPUTED_VALUE"""),"Sài Gòn")</f>
        <v>Sài Gòn</v>
      </c>
      <c r="C420" s="265" t="str">
        <f>IFERROR(__xludf.DUMMYFUNCTION("""COMPUTED_VALUE"""),"Locked")</f>
        <v>Locked</v>
      </c>
      <c r="D420" s="265" t="str">
        <f>IFERROR(__xludf.DUMMYFUNCTION("""COMPUTED_VALUE"""),"Giáo dục &amp; Đào tạo")</f>
        <v>Giáo dục &amp; Đào tạo</v>
      </c>
      <c r="E420" s="265" t="str">
        <f>IFERROR(__xludf.DUMMYFUNCTION("""COMPUTED_VALUE"""),"HoaNTM")</f>
        <v>HoaNTM</v>
      </c>
      <c r="F420" s="265" t="str">
        <f>IFERROR(__xludf.DUMMYFUNCTION("""COMPUTED_VALUE"""),"Bronze")</f>
        <v>Bronze</v>
      </c>
      <c r="G420" s="265" t="str">
        <f>IFERROR(__xludf.DUMMYFUNCTION("""COMPUTED_VALUE"""),"Starter")</f>
        <v>Starter</v>
      </c>
      <c r="H420" s="265" t="str">
        <f>IFERROR(__xludf.DUMMYFUNCTION("""COMPUTED_VALUE"""),"(Chưa recheck)")</f>
        <v>(Chưa recheck)</v>
      </c>
      <c r="I420" s="265" t="str">
        <f>IFERROR(__xludf.DUMMYFUNCTION("""COMPUTED_VALUE"""),"API &amp; Portal")</f>
        <v>API &amp; Portal</v>
      </c>
      <c r="J420" s="265" t="str">
        <f>IFERROR(__xludf.DUMMYFUNCTION("""COMPUTED_VALUE"""),"AnhNM")</f>
        <v>AnhNM</v>
      </c>
    </row>
    <row r="421">
      <c r="A421" s="265" t="str">
        <f>IFERROR(__xludf.DUMMYFUNCTION("""COMPUTED_VALUE"""),"755")</f>
        <v>755</v>
      </c>
      <c r="B421" s="265" t="str">
        <f>IFERROR(__xludf.DUMMYFUNCTION("""COMPUTED_VALUE"""),"Sài Gòn")</f>
        <v>Sài Gòn</v>
      </c>
      <c r="C421" s="265" t="str">
        <f>IFERROR(__xludf.DUMMYFUNCTION("""COMPUTED_VALUE"""),"Locked")</f>
        <v>Locked</v>
      </c>
      <c r="D421" s="265" t="str">
        <f>IFERROR(__xludf.DUMMYFUNCTION("""COMPUTED_VALUE"""),"Sale chưa cung cấp")</f>
        <v>Sale chưa cung cấp</v>
      </c>
      <c r="E421" s="265" t="str">
        <f>IFERROR(__xludf.DUMMYFUNCTION("""COMPUTED_VALUE"""),"TuVTC")</f>
        <v>TuVTC</v>
      </c>
      <c r="F421" s="265" t="str">
        <f>IFERROR(__xludf.DUMMYFUNCTION("""COMPUTED_VALUE"""),"Bronze")</f>
        <v>Bronze</v>
      </c>
      <c r="G421" s="265" t="str">
        <f>IFERROR(__xludf.DUMMYFUNCTION("""COMPUTED_VALUE"""),"API")</f>
        <v>API</v>
      </c>
      <c r="H421" s="265" t="str">
        <f>IFERROR(__xludf.DUMMYFUNCTION("""COMPUTED_VALUE"""),"Trả trước")</f>
        <v>Trả trước</v>
      </c>
      <c r="I421" s="265" t="str">
        <f>IFERROR(__xludf.DUMMYFUNCTION("""COMPUTED_VALUE"""),"API")</f>
        <v>API</v>
      </c>
      <c r="J421" s="265" t="str">
        <f>IFERROR(__xludf.DUMMYFUNCTION("""COMPUTED_VALUE"""),"TuVTC")</f>
        <v>TuVTC</v>
      </c>
    </row>
    <row r="422">
      <c r="A422" s="265" t="str">
        <f>IFERROR(__xludf.DUMMYFUNCTION("""COMPUTED_VALUE"""),"756")</f>
        <v>756</v>
      </c>
      <c r="B422" s="265" t="str">
        <f>IFERROR(__xludf.DUMMYFUNCTION("""COMPUTED_VALUE"""),"Sài Gòn")</f>
        <v>Sài Gòn</v>
      </c>
      <c r="C422" s="265" t="str">
        <f>IFERROR(__xludf.DUMMYFUNCTION("""COMPUTED_VALUE"""),"Locked")</f>
        <v>Locked</v>
      </c>
      <c r="D422" s="265" t="str">
        <f>IFERROR(__xludf.DUMMYFUNCTION("""COMPUTED_VALUE"""),"Du lịch &amp; Lưu trú")</f>
        <v>Du lịch &amp; Lưu trú</v>
      </c>
      <c r="E422" s="265" t="str">
        <f>IFERROR(__xludf.DUMMYFUNCTION("""COMPUTED_VALUE"""),"HoaNTM")</f>
        <v>HoaNTM</v>
      </c>
      <c r="F422" s="265" t="str">
        <f>IFERROR(__xludf.DUMMYFUNCTION("""COMPUTED_VALUE"""),"Sale chưa cung cấp")</f>
        <v>Sale chưa cung cấp</v>
      </c>
      <c r="G422" s="265" t="str">
        <f>IFERROR(__xludf.DUMMYFUNCTION("""COMPUTED_VALUE"""),"Starter")</f>
        <v>Starter</v>
      </c>
      <c r="H422" s="265" t="str">
        <f>IFERROR(__xludf.DUMMYFUNCTION("""COMPUTED_VALUE"""),"(Chưa recheck)")</f>
        <v>(Chưa recheck)</v>
      </c>
      <c r="I422" s="265" t="str">
        <f>IFERROR(__xludf.DUMMYFUNCTION("""COMPUTED_VALUE"""),"Portal")</f>
        <v>Portal</v>
      </c>
      <c r="J422" s="265" t="str">
        <f>IFERROR(__xludf.DUMMYFUNCTION("""COMPUTED_VALUE"""),"AnhNM")</f>
        <v>AnhNM</v>
      </c>
    </row>
    <row r="423">
      <c r="A423" s="265" t="str">
        <f>IFERROR(__xludf.DUMMYFUNCTION("""COMPUTED_VALUE"""),"758")</f>
        <v>758</v>
      </c>
      <c r="B423" s="265" t="str">
        <f>IFERROR(__xludf.DUMMYFUNCTION("""COMPUTED_VALUE"""),"Hà Nội")</f>
        <v>Hà Nội</v>
      </c>
      <c r="C423" s="265" t="str">
        <f>IFERROR(__xludf.DUMMYFUNCTION("""COMPUTED_VALUE"""),"Active")</f>
        <v>Active</v>
      </c>
      <c r="D423" s="265" t="str">
        <f>IFERROR(__xludf.DUMMYFUNCTION("""COMPUTED_VALUE"""),"Giáo dục &amp; Đào tạo")</f>
        <v>Giáo dục &amp; Đào tạo</v>
      </c>
      <c r="E423" s="265" t="str">
        <f>IFERROR(__xludf.DUMMYFUNCTION("""COMPUTED_VALUE"""),"TùngLD")</f>
        <v>TùngLD</v>
      </c>
      <c r="F423" s="265" t="str">
        <f>IFERROR(__xludf.DUMMYFUNCTION("""COMPUTED_VALUE"""),"Silver")</f>
        <v>Silver</v>
      </c>
      <c r="G423" s="265" t="str">
        <f>IFERROR(__xludf.DUMMYFUNCTION("""COMPUTED_VALUE"""),"Premium")</f>
        <v>Premium</v>
      </c>
      <c r="H423" s="265" t="str">
        <f>IFERROR(__xludf.DUMMYFUNCTION("""COMPUTED_VALUE"""),"Trả sau")</f>
        <v>Trả sau</v>
      </c>
      <c r="I423" s="265" t="str">
        <f>IFERROR(__xludf.DUMMYFUNCTION("""COMPUTED_VALUE"""),"API &amp; Portal")</f>
        <v>API &amp; Portal</v>
      </c>
      <c r="J423" s="265" t="str">
        <f>IFERROR(__xludf.DUMMYFUNCTION("""COMPUTED_VALUE"""),"DungPL")</f>
        <v>DungPL</v>
      </c>
    </row>
    <row r="424">
      <c r="A424" s="265" t="str">
        <f>IFERROR(__xludf.DUMMYFUNCTION("""COMPUTED_VALUE"""),"759")</f>
        <v>759</v>
      </c>
      <c r="B424" s="265" t="str">
        <f>IFERROR(__xludf.DUMMYFUNCTION("""COMPUTED_VALUE"""),"Sài Gòn")</f>
        <v>Sài Gòn</v>
      </c>
      <c r="C424" s="265" t="str">
        <f>IFERROR(__xludf.DUMMYFUNCTION("""COMPUTED_VALUE"""),"Locked")</f>
        <v>Locked</v>
      </c>
      <c r="D424" s="265" t="str">
        <f>IFERROR(__xludf.DUMMYFUNCTION("""COMPUTED_VALUE"""),"Thực phẩm &amp; Đồ uống")</f>
        <v>Thực phẩm &amp; Đồ uống</v>
      </c>
      <c r="E424" s="265" t="str">
        <f>IFERROR(__xludf.DUMMYFUNCTION("""COMPUTED_VALUE"""),"HoaNTM")</f>
        <v>HoaNTM</v>
      </c>
      <c r="F424" s="265" t="str">
        <f>IFERROR(__xludf.DUMMYFUNCTION("""COMPUTED_VALUE"""),"Sale chưa cung cấp")</f>
        <v>Sale chưa cung cấp</v>
      </c>
      <c r="G424" s="265" t="str">
        <f>IFERROR(__xludf.DUMMYFUNCTION("""COMPUTED_VALUE"""),"Enterprise")</f>
        <v>Enterprise</v>
      </c>
      <c r="H424" s="265" t="str">
        <f>IFERROR(__xludf.DUMMYFUNCTION("""COMPUTED_VALUE"""),"Trả sau")</f>
        <v>Trả sau</v>
      </c>
      <c r="I424" s="265" t="str">
        <f>IFERROR(__xludf.DUMMYFUNCTION("""COMPUTED_VALUE"""),"API &amp; Portal")</f>
        <v>API &amp; Portal</v>
      </c>
      <c r="J424" s="265" t="str">
        <f>IFERROR(__xludf.DUMMYFUNCTION("""COMPUTED_VALUE"""),"TuVTC")</f>
        <v>TuVTC</v>
      </c>
    </row>
    <row r="425">
      <c r="A425" s="265" t="str">
        <f>IFERROR(__xludf.DUMMYFUNCTION("""COMPUTED_VALUE"""),"762")</f>
        <v>762</v>
      </c>
      <c r="B425" s="265" t="str">
        <f>IFERROR(__xludf.DUMMYFUNCTION("""COMPUTED_VALUE"""),"Sài Gòn")</f>
        <v>Sài Gòn</v>
      </c>
      <c r="C425" s="265" t="str">
        <f>IFERROR(__xludf.DUMMYFUNCTION("""COMPUTED_VALUE"""),"Locked")</f>
        <v>Locked</v>
      </c>
      <c r="D425" s="265" t="str">
        <f>IFERROR(__xludf.DUMMYFUNCTION("""COMPUTED_VALUE"""),"Thực phẩm &amp; Đồ uống")</f>
        <v>Thực phẩm &amp; Đồ uống</v>
      </c>
      <c r="E425" s="265" t="str">
        <f>IFERROR(__xludf.DUMMYFUNCTION("""COMPUTED_VALUE"""),"HoaNTM")</f>
        <v>HoaNTM</v>
      </c>
      <c r="F425" s="265" t="str">
        <f>IFERROR(__xludf.DUMMYFUNCTION("""COMPUTED_VALUE"""),"Sale chưa cung cấp")</f>
        <v>Sale chưa cung cấp</v>
      </c>
      <c r="G425" s="265" t="str">
        <f>IFERROR(__xludf.DUMMYFUNCTION("""COMPUTED_VALUE"""),"Enterprise")</f>
        <v>Enterprise</v>
      </c>
      <c r="H425" s="265" t="str">
        <f>IFERROR(__xludf.DUMMYFUNCTION("""COMPUTED_VALUE"""),"Trả sau")</f>
        <v>Trả sau</v>
      </c>
      <c r="I425" s="265" t="str">
        <f>IFERROR(__xludf.DUMMYFUNCTION("""COMPUTED_VALUE"""),"API &amp; Portal")</f>
        <v>API &amp; Portal</v>
      </c>
      <c r="J425" s="265" t="str">
        <f>IFERROR(__xludf.DUMMYFUNCTION("""COMPUTED_VALUE"""),"LinhNTT1")</f>
        <v>LinhNTT1</v>
      </c>
    </row>
    <row r="426">
      <c r="A426" s="265" t="str">
        <f>IFERROR(__xludf.DUMMYFUNCTION("""COMPUTED_VALUE"""),"749")</f>
        <v>749</v>
      </c>
      <c r="B426" s="265" t="str">
        <f>IFERROR(__xludf.DUMMYFUNCTION("""COMPUTED_VALUE"""),"Sài Gòn")</f>
        <v>Sài Gòn</v>
      </c>
      <c r="C426" s="265" t="str">
        <f>IFERROR(__xludf.DUMMYFUNCTION("""COMPUTED_VALUE"""),"Active")</f>
        <v>Active</v>
      </c>
      <c r="D426" s="265" t="str">
        <f>IFERROR(__xludf.DUMMYFUNCTION("""COMPUTED_VALUE"""),"Vận tải &amp; logistics")</f>
        <v>Vận tải &amp; logistics</v>
      </c>
      <c r="E426" s="265" t="str">
        <f>IFERROR(__xludf.DUMMYFUNCTION("""COMPUTED_VALUE"""),"AnhNM")</f>
        <v>AnhNM</v>
      </c>
      <c r="F426" s="265" t="str">
        <f>IFERROR(__xludf.DUMMYFUNCTION("""COMPUTED_VALUE"""),"Silver")</f>
        <v>Silver</v>
      </c>
      <c r="G426" s="265" t="str">
        <f>IFERROR(__xludf.DUMMYFUNCTION("""COMPUTED_VALUE"""),"Enterprise")</f>
        <v>Enterprise</v>
      </c>
      <c r="H426" s="265" t="str">
        <f>IFERROR(__xludf.DUMMYFUNCTION("""COMPUTED_VALUE"""),"Trả trước")</f>
        <v>Trả trước</v>
      </c>
      <c r="I426" s="265" t="str">
        <f>IFERROR(__xludf.DUMMYFUNCTION("""COMPUTED_VALUE"""),"API &amp; Portal")</f>
        <v>API &amp; Portal</v>
      </c>
      <c r="J426" s="265" t="str">
        <f>IFERROR(__xludf.DUMMYFUNCTION("""COMPUTED_VALUE"""),"LinhNTT1")</f>
        <v>LinhNTT1</v>
      </c>
    </row>
    <row r="427">
      <c r="A427" s="265" t="str">
        <f>IFERROR(__xludf.DUMMYFUNCTION("""COMPUTED_VALUE"""),"None 6")</f>
        <v>None 6</v>
      </c>
      <c r="B427" s="265" t="str">
        <f>IFERROR(__xludf.DUMMYFUNCTION("""COMPUTED_VALUE"""),"Hà Nội")</f>
        <v>Hà Nội</v>
      </c>
      <c r="C427" s="265" t="str">
        <f>IFERROR(__xludf.DUMMYFUNCTION("""COMPUTED_VALUE"""),"Active")</f>
        <v>Active</v>
      </c>
      <c r="D427" s="265" t="str">
        <f>IFERROR(__xludf.DUMMYFUNCTION("""COMPUTED_VALUE"""),"Công nghệ &amp; Phần mềm")</f>
        <v>Công nghệ &amp; Phần mềm</v>
      </c>
      <c r="E427" s="265" t="str">
        <f>IFERROR(__xludf.DUMMYFUNCTION("""COMPUTED_VALUE"""),"TùngLD")</f>
        <v>TùngLD</v>
      </c>
      <c r="F427" s="265" t="str">
        <f>IFERROR(__xludf.DUMMYFUNCTION("""COMPUTED_VALUE"""),"Diamond")</f>
        <v>Diamond</v>
      </c>
      <c r="G427" s="265" t="str">
        <f>IFERROR(__xludf.DUMMYFUNCTION("""COMPUTED_VALUE"""),"Starter")</f>
        <v>Starter</v>
      </c>
      <c r="H427" s="265" t="str">
        <f>IFERROR(__xludf.DUMMYFUNCTION("""COMPUTED_VALUE"""),"Trả sau")</f>
        <v>Trả sau</v>
      </c>
      <c r="I427" s="265" t="str">
        <f>IFERROR(__xludf.DUMMYFUNCTION("""COMPUTED_VALUE"""),"API")</f>
        <v>API</v>
      </c>
      <c r="J427" s="265" t="str">
        <f>IFERROR(__xludf.DUMMYFUNCTION("""COMPUTED_VALUE"""),"DungPL")</f>
        <v>DungPL</v>
      </c>
    </row>
    <row r="428">
      <c r="A428" s="265" t="str">
        <f>IFERROR(__xludf.DUMMYFUNCTION("""COMPUTED_VALUE"""),"760")</f>
        <v>760</v>
      </c>
      <c r="B428" s="265" t="str">
        <f>IFERROR(__xludf.DUMMYFUNCTION("""COMPUTED_VALUE"""),"Sài Gòn")</f>
        <v>Sài Gòn</v>
      </c>
      <c r="C428" s="265" t="str">
        <f>IFERROR(__xludf.DUMMYFUNCTION("""COMPUTED_VALUE"""),"Locked")</f>
        <v>Locked</v>
      </c>
      <c r="D428" s="265" t="str">
        <f>IFERROR(__xludf.DUMMYFUNCTION("""COMPUTED_VALUE"""),"Thực phẩm &amp; Đồ uống")</f>
        <v>Thực phẩm &amp; Đồ uống</v>
      </c>
      <c r="E428" s="265" t="str">
        <f>IFERROR(__xludf.DUMMYFUNCTION("""COMPUTED_VALUE"""),"HoaNTM")</f>
        <v>HoaNTM</v>
      </c>
      <c r="F428" s="265" t="str">
        <f>IFERROR(__xludf.DUMMYFUNCTION("""COMPUTED_VALUE"""),"Diamond")</f>
        <v>Diamond</v>
      </c>
      <c r="G428" s="265" t="str">
        <f>IFERROR(__xludf.DUMMYFUNCTION("""COMPUTED_VALUE"""),"MSG")</f>
        <v>MSG</v>
      </c>
      <c r="H428" s="265" t="str">
        <f>IFERROR(__xludf.DUMMYFUNCTION("""COMPUTED_VALUE"""),"Trả trước")</f>
        <v>Trả trước</v>
      </c>
      <c r="I428" s="265" t="str">
        <f>IFERROR(__xludf.DUMMYFUNCTION("""COMPUTED_VALUE"""),"Portal")</f>
        <v>Portal</v>
      </c>
      <c r="J428" s="265" t="str">
        <f>IFERROR(__xludf.DUMMYFUNCTION("""COMPUTED_VALUE"""),"TuVTC")</f>
        <v>TuVTC</v>
      </c>
    </row>
    <row r="429">
      <c r="A429" s="265" t="str">
        <f>IFERROR(__xludf.DUMMYFUNCTION("""COMPUTED_VALUE"""),"763")</f>
        <v>763</v>
      </c>
      <c r="B429" s="265" t="str">
        <f>IFERROR(__xludf.DUMMYFUNCTION("""COMPUTED_VALUE"""),"Sài Gòn")</f>
        <v>Sài Gòn</v>
      </c>
      <c r="C429" s="265" t="str">
        <f>IFERROR(__xludf.DUMMYFUNCTION("""COMPUTED_VALUE"""),"Locked")</f>
        <v>Locked</v>
      </c>
      <c r="D429" s="265" t="str">
        <f>IFERROR(__xludf.DUMMYFUNCTION("""COMPUTED_VALUE"""),"Sale chưa cung cấp")</f>
        <v>Sale chưa cung cấp</v>
      </c>
      <c r="E429" s="265" t="str">
        <f>IFERROR(__xludf.DUMMYFUNCTION("""COMPUTED_VALUE"""),"HoaNTM")</f>
        <v>HoaNTM</v>
      </c>
      <c r="F429" s="265" t="str">
        <f>IFERROR(__xludf.DUMMYFUNCTION("""COMPUTED_VALUE"""),"Sale chưa cung cấp")</f>
        <v>Sale chưa cung cấp</v>
      </c>
      <c r="G429" s="265" t="str">
        <f>IFERROR(__xludf.DUMMYFUNCTION("""COMPUTED_VALUE"""),"Starter")</f>
        <v>Starter</v>
      </c>
      <c r="H429" s="265" t="str">
        <f>IFERROR(__xludf.DUMMYFUNCTION("""COMPUTED_VALUE"""),"Trial")</f>
        <v>Trial</v>
      </c>
      <c r="I429" s="265" t="str">
        <f>IFERROR(__xludf.DUMMYFUNCTION("""COMPUTED_VALUE"""),"API &amp; Portal")</f>
        <v>API &amp; Portal</v>
      </c>
      <c r="J429" s="265" t="str">
        <f>IFERROR(__xludf.DUMMYFUNCTION("""COMPUTED_VALUE"""),"(Không recheck)")</f>
        <v>(Không recheck)</v>
      </c>
    </row>
    <row r="430">
      <c r="A430" s="265" t="str">
        <f>IFERROR(__xludf.DUMMYFUNCTION("""COMPUTED_VALUE"""),"764")</f>
        <v>764</v>
      </c>
      <c r="B430" s="265" t="str">
        <f>IFERROR(__xludf.DUMMYFUNCTION("""COMPUTED_VALUE"""),"Sài Gòn")</f>
        <v>Sài Gòn</v>
      </c>
      <c r="C430" s="265" t="str">
        <f>IFERROR(__xludf.DUMMYFUNCTION("""COMPUTED_VALUE"""),"Active")</f>
        <v>Active</v>
      </c>
      <c r="D430" s="265" t="str">
        <f>IFERROR(__xludf.DUMMYFUNCTION("""COMPUTED_VALUE"""),"Sale chưa cung cấp")</f>
        <v>Sale chưa cung cấp</v>
      </c>
      <c r="E430" s="265" t="str">
        <f>IFERROR(__xludf.DUMMYFUNCTION("""COMPUTED_VALUE"""),"Không phân công")</f>
        <v>Không phân công</v>
      </c>
      <c r="F430" s="265" t="str">
        <f>IFERROR(__xludf.DUMMYFUNCTION("""COMPUTED_VALUE"""),"Bronze")</f>
        <v>Bronze</v>
      </c>
      <c r="G430" s="265" t="str">
        <f>IFERROR(__xludf.DUMMYFUNCTION("""COMPUTED_VALUE"""),"Starter")</f>
        <v>Starter</v>
      </c>
      <c r="H430" s="265" t="str">
        <f>IFERROR(__xludf.DUMMYFUNCTION("""COMPUTED_VALUE"""),"Trả sau")</f>
        <v>Trả sau</v>
      </c>
      <c r="I430" s="265" t="str">
        <f>IFERROR(__xludf.DUMMYFUNCTION("""COMPUTED_VALUE"""),"API &amp; Portal")</f>
        <v>API &amp; Portal</v>
      </c>
      <c r="J430" s="265" t="str">
        <f>IFERROR(__xludf.DUMMYFUNCTION("""COMPUTED_VALUE"""),"LinhNTT1")</f>
        <v>LinhNTT1</v>
      </c>
    </row>
    <row r="431">
      <c r="A431" s="265" t="str">
        <f>IFERROR(__xludf.DUMMYFUNCTION("""COMPUTED_VALUE"""),"765")</f>
        <v>765</v>
      </c>
      <c r="B431" s="265" t="str">
        <f>IFERROR(__xludf.DUMMYFUNCTION("""COMPUTED_VALUE"""),"Sài Gòn")</f>
        <v>Sài Gòn</v>
      </c>
      <c r="C431" s="265" t="str">
        <f>IFERROR(__xludf.DUMMYFUNCTION("""COMPUTED_VALUE"""),"Active")</f>
        <v>Active</v>
      </c>
      <c r="D431" s="265" t="str">
        <f>IFERROR(__xludf.DUMMYFUNCTION("""COMPUTED_VALUE"""),"Du lịch &amp; Lưu trú")</f>
        <v>Du lịch &amp; Lưu trú</v>
      </c>
      <c r="E431" s="265" t="str">
        <f>IFERROR(__xludf.DUMMYFUNCTION("""COMPUTED_VALUE"""),"Không phân công")</f>
        <v>Không phân công</v>
      </c>
      <c r="F431" s="265" t="str">
        <f>IFERROR(__xludf.DUMMYFUNCTION("""COMPUTED_VALUE"""),"Bronze")</f>
        <v>Bronze</v>
      </c>
      <c r="G431" s="265" t="str">
        <f>IFERROR(__xludf.DUMMYFUNCTION("""COMPUTED_VALUE"""),"Starter")</f>
        <v>Starter</v>
      </c>
      <c r="H431" s="265" t="str">
        <f>IFERROR(__xludf.DUMMYFUNCTION("""COMPUTED_VALUE"""),"Trả sau")</f>
        <v>Trả sau</v>
      </c>
      <c r="I431" s="265" t="str">
        <f>IFERROR(__xludf.DUMMYFUNCTION("""COMPUTED_VALUE"""),"Portal")</f>
        <v>Portal</v>
      </c>
      <c r="J431" s="265" t="str">
        <f>IFERROR(__xludf.DUMMYFUNCTION("""COMPUTED_VALUE"""),"LinhNTT1")</f>
        <v>LinhNTT1</v>
      </c>
    </row>
    <row r="432">
      <c r="A432" s="265" t="str">
        <f>IFERROR(__xludf.DUMMYFUNCTION("""COMPUTED_VALUE"""),"766")</f>
        <v>766</v>
      </c>
      <c r="B432" s="265" t="str">
        <f>IFERROR(__xludf.DUMMYFUNCTION("""COMPUTED_VALUE"""),"Hà Nội")</f>
        <v>Hà Nội</v>
      </c>
      <c r="C432" s="265" t="str">
        <f>IFERROR(__xludf.DUMMYFUNCTION("""COMPUTED_VALUE"""),"Locked")</f>
        <v>Locked</v>
      </c>
      <c r="D432" s="265" t="str">
        <f>IFERROR(__xludf.DUMMYFUNCTION("""COMPUTED_VALUE"""),"Y tế &amp; Dược phẩm")</f>
        <v>Y tế &amp; Dược phẩm</v>
      </c>
      <c r="E432" s="265" t="str">
        <f>IFERROR(__xludf.DUMMYFUNCTION("""COMPUTED_VALUE"""),"TúPHN")</f>
        <v>TúPHN</v>
      </c>
      <c r="F432" s="265" t="str">
        <f>IFERROR(__xludf.DUMMYFUNCTION("""COMPUTED_VALUE"""),"Silver")</f>
        <v>Silver</v>
      </c>
      <c r="G432" s="265" t="str">
        <f>IFERROR(__xludf.DUMMYFUNCTION("""COMPUTED_VALUE"""),"Standard")</f>
        <v>Standard</v>
      </c>
      <c r="H432" s="265" t="str">
        <f>IFERROR(__xludf.DUMMYFUNCTION("""COMPUTED_VALUE"""),"Trả sau")</f>
        <v>Trả sau</v>
      </c>
      <c r="I432" s="265" t="str">
        <f>IFERROR(__xludf.DUMMYFUNCTION("""COMPUTED_VALUE"""),"API")</f>
        <v>API</v>
      </c>
      <c r="J432" s="265" t="str">
        <f>IFERROR(__xludf.DUMMYFUNCTION("""COMPUTED_VALUE"""),"YếnĐH")</f>
        <v>YếnĐH</v>
      </c>
    </row>
    <row r="433">
      <c r="A433" s="265" t="str">
        <f>IFERROR(__xludf.DUMMYFUNCTION("""COMPUTED_VALUE"""),"767")</f>
        <v>767</v>
      </c>
      <c r="B433" s="265" t="str">
        <f>IFERROR(__xludf.DUMMYFUNCTION("""COMPUTED_VALUE"""),"Hà Nội")</f>
        <v>Hà Nội</v>
      </c>
      <c r="C433" s="265" t="str">
        <f>IFERROR(__xludf.DUMMYFUNCTION("""COMPUTED_VALUE"""),"Locked")</f>
        <v>Locked</v>
      </c>
      <c r="D433" s="265" t="str">
        <f>IFERROR(__xludf.DUMMYFUNCTION("""COMPUTED_VALUE"""),"Vận tải &amp; logistics")</f>
        <v>Vận tải &amp; logistics</v>
      </c>
      <c r="E433" s="265" t="str">
        <f>IFERROR(__xludf.DUMMYFUNCTION("""COMPUTED_VALUE"""),"PhươngDTB")</f>
        <v>PhươngDTB</v>
      </c>
      <c r="F433" s="265" t="str">
        <f>IFERROR(__xludf.DUMMYFUNCTION("""COMPUTED_VALUE"""),"Sale chưa cung cấp")</f>
        <v>Sale chưa cung cấp</v>
      </c>
      <c r="G433" s="265" t="str">
        <f>IFERROR(__xludf.DUMMYFUNCTION("""COMPUTED_VALUE"""),"Starter")</f>
        <v>Starter</v>
      </c>
      <c r="H433" s="265" t="str">
        <f>IFERROR(__xludf.DUMMYFUNCTION("""COMPUTED_VALUE"""),"Trả trước")</f>
        <v>Trả trước</v>
      </c>
      <c r="I433" s="265" t="str">
        <f>IFERROR(__xludf.DUMMYFUNCTION("""COMPUTED_VALUE"""),"Portal")</f>
        <v>Portal</v>
      </c>
      <c r="J433" s="265" t="str">
        <f>IFERROR(__xludf.DUMMYFUNCTION("""COMPUTED_VALUE"""),"(Chưa recheck)")</f>
        <v>(Chưa recheck)</v>
      </c>
    </row>
    <row r="434">
      <c r="A434" s="265" t="str">
        <f>IFERROR(__xludf.DUMMYFUNCTION("""COMPUTED_VALUE"""),"769")</f>
        <v>769</v>
      </c>
      <c r="B434" s="265" t="str">
        <f>IFERROR(__xludf.DUMMYFUNCTION("""COMPUTED_VALUE"""),"Hà Nội")</f>
        <v>Hà Nội</v>
      </c>
      <c r="C434" s="265" t="str">
        <f>IFERROR(__xludf.DUMMYFUNCTION("""COMPUTED_VALUE"""),"Locked")</f>
        <v>Locked</v>
      </c>
      <c r="D434" s="265" t="str">
        <f>IFERROR(__xludf.DUMMYFUNCTION("""COMPUTED_VALUE"""),"Công nghệ &amp; Phần mềm")</f>
        <v>Công nghệ &amp; Phần mềm</v>
      </c>
      <c r="E434" s="265" t="str">
        <f>IFERROR(__xludf.DUMMYFUNCTION("""COMPUTED_VALUE"""),"DungDT")</f>
        <v>DungDT</v>
      </c>
      <c r="F434" s="265" t="str">
        <f>IFERROR(__xludf.DUMMYFUNCTION("""COMPUTED_VALUE"""),"Sale chưa cung cấp")</f>
        <v>Sale chưa cung cấp</v>
      </c>
      <c r="G434" s="265" t="str">
        <f>IFERROR(__xludf.DUMMYFUNCTION("""COMPUTED_VALUE"""),"Premium")</f>
        <v>Premium</v>
      </c>
      <c r="H434" s="265" t="str">
        <f>IFERROR(__xludf.DUMMYFUNCTION("""COMPUTED_VALUE"""),"Trial")</f>
        <v>Trial</v>
      </c>
      <c r="I434" s="265" t="str">
        <f>IFERROR(__xludf.DUMMYFUNCTION("""COMPUTED_VALUE"""),"(Không recheck)")</f>
        <v>(Không recheck)</v>
      </c>
      <c r="J434" s="265" t="str">
        <f>IFERROR(__xludf.DUMMYFUNCTION("""COMPUTED_VALUE"""),"(Không recheck)")</f>
        <v>(Không recheck)</v>
      </c>
    </row>
    <row r="435">
      <c r="A435" s="265" t="str">
        <f>IFERROR(__xludf.DUMMYFUNCTION("""COMPUTED_VALUE"""),"770")</f>
        <v>770</v>
      </c>
      <c r="B435" s="265" t="str">
        <f>IFERROR(__xludf.DUMMYFUNCTION("""COMPUTED_VALUE"""),"Sài Gòn")</f>
        <v>Sài Gòn</v>
      </c>
      <c r="C435" s="265" t="str">
        <f>IFERROR(__xludf.DUMMYFUNCTION("""COMPUTED_VALUE"""),"Locked")</f>
        <v>Locked</v>
      </c>
      <c r="D435" s="265" t="str">
        <f>IFERROR(__xludf.DUMMYFUNCTION("""COMPUTED_VALUE"""),"Thực phẩm &amp; Đồ uống")</f>
        <v>Thực phẩm &amp; Đồ uống</v>
      </c>
      <c r="E435" s="265" t="str">
        <f>IFERROR(__xludf.DUMMYFUNCTION("""COMPUTED_VALUE"""),"HoaNTM")</f>
        <v>HoaNTM</v>
      </c>
      <c r="F435" s="265" t="str">
        <f>IFERROR(__xludf.DUMMYFUNCTION("""COMPUTED_VALUE"""),"Diamond")</f>
        <v>Diamond</v>
      </c>
      <c r="G435" s="265" t="str">
        <f>IFERROR(__xludf.DUMMYFUNCTION("""COMPUTED_VALUE"""),"Starter")</f>
        <v>Starter</v>
      </c>
      <c r="H435" s="265" t="str">
        <f>IFERROR(__xludf.DUMMYFUNCTION("""COMPUTED_VALUE"""),"Trả sau")</f>
        <v>Trả sau</v>
      </c>
      <c r="I435" s="265" t="str">
        <f>IFERROR(__xludf.DUMMYFUNCTION("""COMPUTED_VALUE"""),"API &amp; Portal")</f>
        <v>API &amp; Portal</v>
      </c>
      <c r="J435" s="265" t="str">
        <f>IFERROR(__xludf.DUMMYFUNCTION("""COMPUTED_VALUE"""),"ThanhLT")</f>
        <v>ThanhLT</v>
      </c>
    </row>
    <row r="436">
      <c r="A436" s="265" t="str">
        <f>IFERROR(__xludf.DUMMYFUNCTION("""COMPUTED_VALUE"""),"771")</f>
        <v>771</v>
      </c>
      <c r="B436" s="265" t="str">
        <f>IFERROR(__xludf.DUMMYFUNCTION("""COMPUTED_VALUE"""),"Sài Gòn")</f>
        <v>Sài Gòn</v>
      </c>
      <c r="C436" s="265" t="str">
        <f>IFERROR(__xludf.DUMMYFUNCTION("""COMPUTED_VALUE"""),"Locked")</f>
        <v>Locked</v>
      </c>
      <c r="D436" s="265" t="str">
        <f>IFERROR(__xludf.DUMMYFUNCTION("""COMPUTED_VALUE"""),"Thực phẩm &amp; Đồ uống")</f>
        <v>Thực phẩm &amp; Đồ uống</v>
      </c>
      <c r="E436" s="265" t="str">
        <f>IFERROR(__xludf.DUMMYFUNCTION("""COMPUTED_VALUE"""),"TùngLD")</f>
        <v>TùngLD</v>
      </c>
      <c r="F436" s="265" t="str">
        <f>IFERROR(__xludf.DUMMYFUNCTION("""COMPUTED_VALUE"""),"Gold")</f>
        <v>Gold</v>
      </c>
      <c r="G436" s="265" t="str">
        <f>IFERROR(__xludf.DUMMYFUNCTION("""COMPUTED_VALUE"""),"Premium")</f>
        <v>Premium</v>
      </c>
      <c r="H436" s="265" t="str">
        <f>IFERROR(__xludf.DUMMYFUNCTION("""COMPUTED_VALUE"""),"Trả trước")</f>
        <v>Trả trước</v>
      </c>
      <c r="I436" s="265" t="str">
        <f>IFERROR(__xludf.DUMMYFUNCTION("""COMPUTED_VALUE"""),"API &amp; Portal")</f>
        <v>API &amp; Portal</v>
      </c>
      <c r="J436" s="265" t="str">
        <f>IFERROR(__xludf.DUMMYFUNCTION("""COMPUTED_VALUE"""),"AnhNM")</f>
        <v>AnhNM</v>
      </c>
    </row>
    <row r="437">
      <c r="A437" s="265" t="str">
        <f>IFERROR(__xludf.DUMMYFUNCTION("""COMPUTED_VALUE"""),"772")</f>
        <v>772</v>
      </c>
      <c r="B437" s="265" t="str">
        <f>IFERROR(__xludf.DUMMYFUNCTION("""COMPUTED_VALUE"""),"Sài Gòn")</f>
        <v>Sài Gòn</v>
      </c>
      <c r="C437" s="265" t="str">
        <f>IFERROR(__xludf.DUMMYFUNCTION("""COMPUTED_VALUE"""),"Locked")</f>
        <v>Locked</v>
      </c>
      <c r="D437" s="265" t="str">
        <f>IFERROR(__xludf.DUMMYFUNCTION("""COMPUTED_VALUE"""),"Sale chưa cung cấp")</f>
        <v>Sale chưa cung cấp</v>
      </c>
      <c r="E437" s="265" t="str">
        <f>IFERROR(__xludf.DUMMYFUNCTION("""COMPUTED_VALUE"""),"HoaNTM")</f>
        <v>HoaNTM</v>
      </c>
      <c r="F437" s="265" t="str">
        <f>IFERROR(__xludf.DUMMYFUNCTION("""COMPUTED_VALUE"""),"Sale chưa cung cấp")</f>
        <v>Sale chưa cung cấp</v>
      </c>
      <c r="G437" s="265" t="str">
        <f>IFERROR(__xludf.DUMMYFUNCTION("""COMPUTED_VALUE"""),"Premium")</f>
        <v>Premium</v>
      </c>
      <c r="H437" s="265" t="str">
        <f>IFERROR(__xludf.DUMMYFUNCTION("""COMPUTED_VALUE"""),"Trial")</f>
        <v>Trial</v>
      </c>
      <c r="I437" s="265" t="str">
        <f>IFERROR(__xludf.DUMMYFUNCTION("""COMPUTED_VALUE"""),"API &amp; Portal")</f>
        <v>API &amp; Portal</v>
      </c>
      <c r="J437" s="265" t="str">
        <f>IFERROR(__xludf.DUMMYFUNCTION("""COMPUTED_VALUE"""),"(Chưa recheck)")</f>
        <v>(Chưa recheck)</v>
      </c>
    </row>
    <row r="438">
      <c r="A438" s="265" t="str">
        <f>IFERROR(__xludf.DUMMYFUNCTION("""COMPUTED_VALUE"""),"773")</f>
        <v>773</v>
      </c>
      <c r="B438" s="265" t="str">
        <f>IFERROR(__xludf.DUMMYFUNCTION("""COMPUTED_VALUE"""),"Sài Gòn")</f>
        <v>Sài Gòn</v>
      </c>
      <c r="C438" s="265" t="str">
        <f>IFERROR(__xludf.DUMMYFUNCTION("""COMPUTED_VALUE"""),"Locked")</f>
        <v>Locked</v>
      </c>
      <c r="D438" s="265" t="str">
        <f>IFERROR(__xludf.DUMMYFUNCTION("""COMPUTED_VALUE"""),"Thực phẩm &amp; Đồ uống")</f>
        <v>Thực phẩm &amp; Đồ uống</v>
      </c>
      <c r="E438" s="265" t="str">
        <f>IFERROR(__xludf.DUMMYFUNCTION("""COMPUTED_VALUE"""),"Không phân công")</f>
        <v>Không phân công</v>
      </c>
      <c r="F438" s="265" t="str">
        <f>IFERROR(__xludf.DUMMYFUNCTION("""COMPUTED_VALUE"""),"Sale chưa cung cấp")</f>
        <v>Sale chưa cung cấp</v>
      </c>
      <c r="G438" s="265" t="str">
        <f>IFERROR(__xludf.DUMMYFUNCTION("""COMPUTED_VALUE"""),"Starter")</f>
        <v>Starter</v>
      </c>
      <c r="H438" s="265" t="str">
        <f>IFERROR(__xludf.DUMMYFUNCTION("""COMPUTED_VALUE"""),"Trả sau")</f>
        <v>Trả sau</v>
      </c>
      <c r="I438" s="265" t="str">
        <f>IFERROR(__xludf.DUMMYFUNCTION("""COMPUTED_VALUE"""),"Portal")</f>
        <v>Portal</v>
      </c>
      <c r="J438" s="265" t="str">
        <f>IFERROR(__xludf.DUMMYFUNCTION("""COMPUTED_VALUE"""),"LinhNTT1")</f>
        <v>LinhNTT1</v>
      </c>
    </row>
    <row r="439">
      <c r="A439" s="265" t="str">
        <f>IFERROR(__xludf.DUMMYFUNCTION("""COMPUTED_VALUE"""),"775")</f>
        <v>775</v>
      </c>
      <c r="B439" s="265" t="str">
        <f>IFERROR(__xludf.DUMMYFUNCTION("""COMPUTED_VALUE"""),"Sài Gòn")</f>
        <v>Sài Gòn</v>
      </c>
      <c r="C439" s="265" t="str">
        <f>IFERROR(__xludf.DUMMYFUNCTION("""COMPUTED_VALUE"""),"Active")</f>
        <v>Active</v>
      </c>
      <c r="D439" s="265" t="str">
        <f>IFERROR(__xludf.DUMMYFUNCTION("""COMPUTED_VALUE"""),"Du lịch &amp; Lưu trú")</f>
        <v>Du lịch &amp; Lưu trú</v>
      </c>
      <c r="E439" s="265" t="str">
        <f>IFERROR(__xludf.DUMMYFUNCTION("""COMPUTED_VALUE"""),"Không phân công")</f>
        <v>Không phân công</v>
      </c>
      <c r="F439" s="265" t="str">
        <f>IFERROR(__xludf.DUMMYFUNCTION("""COMPUTED_VALUE"""),"Bronze")</f>
        <v>Bronze</v>
      </c>
      <c r="G439" s="265" t="str">
        <f>IFERROR(__xludf.DUMMYFUNCTION("""COMPUTED_VALUE"""),"Starter")</f>
        <v>Starter</v>
      </c>
      <c r="H439" s="265" t="str">
        <f>IFERROR(__xludf.DUMMYFUNCTION("""COMPUTED_VALUE"""),"Trả sau")</f>
        <v>Trả sau</v>
      </c>
      <c r="I439" s="265" t="str">
        <f>IFERROR(__xludf.DUMMYFUNCTION("""COMPUTED_VALUE"""),"Portal")</f>
        <v>Portal</v>
      </c>
      <c r="J439" s="265" t="str">
        <f>IFERROR(__xludf.DUMMYFUNCTION("""COMPUTED_VALUE"""),"LinhNTT1")</f>
        <v>LinhNTT1</v>
      </c>
    </row>
    <row r="440">
      <c r="A440" s="265" t="str">
        <f>IFERROR(__xludf.DUMMYFUNCTION("""COMPUTED_VALUE"""),"776")</f>
        <v>776</v>
      </c>
      <c r="B440" s="265" t="str">
        <f>IFERROR(__xludf.DUMMYFUNCTION("""COMPUTED_VALUE"""),"Sài Gòn")</f>
        <v>Sài Gòn</v>
      </c>
      <c r="C440" s="265" t="str">
        <f>IFERROR(__xludf.DUMMYFUNCTION("""COMPUTED_VALUE"""),"Active")</f>
        <v>Active</v>
      </c>
      <c r="D440" s="265" t="str">
        <f>IFERROR(__xludf.DUMMYFUNCTION("""COMPUTED_VALUE"""),"Du lịch &amp; Lưu trú")</f>
        <v>Du lịch &amp; Lưu trú</v>
      </c>
      <c r="E440" s="265" t="str">
        <f>IFERROR(__xludf.DUMMYFUNCTION("""COMPUTED_VALUE"""),"Không phân công")</f>
        <v>Không phân công</v>
      </c>
      <c r="F440" s="265" t="str">
        <f>IFERROR(__xludf.DUMMYFUNCTION("""COMPUTED_VALUE"""),"Bronze")</f>
        <v>Bronze</v>
      </c>
      <c r="G440" s="265" t="str">
        <f>IFERROR(__xludf.DUMMYFUNCTION("""COMPUTED_VALUE"""),"Starter")</f>
        <v>Starter</v>
      </c>
      <c r="H440" s="265" t="str">
        <f>IFERROR(__xludf.DUMMYFUNCTION("""COMPUTED_VALUE"""),"Trả sau")</f>
        <v>Trả sau</v>
      </c>
      <c r="I440" s="265" t="str">
        <f>IFERROR(__xludf.DUMMYFUNCTION("""COMPUTED_VALUE"""),"Portal")</f>
        <v>Portal</v>
      </c>
      <c r="J440" s="265" t="str">
        <f>IFERROR(__xludf.DUMMYFUNCTION("""COMPUTED_VALUE"""),"LinhNTT1")</f>
        <v>LinhNTT1</v>
      </c>
    </row>
    <row r="441">
      <c r="A441" s="265" t="str">
        <f>IFERROR(__xludf.DUMMYFUNCTION("""COMPUTED_VALUE"""),"777")</f>
        <v>777</v>
      </c>
      <c r="B441" s="265" t="str">
        <f>IFERROR(__xludf.DUMMYFUNCTION("""COMPUTED_VALUE"""),"Hà Nội")</f>
        <v>Hà Nội</v>
      </c>
      <c r="C441" s="265" t="str">
        <f>IFERROR(__xludf.DUMMYFUNCTION("""COMPUTED_VALUE"""),"Locked")</f>
        <v>Locked</v>
      </c>
      <c r="D441" s="265" t="str">
        <f>IFERROR(__xludf.DUMMYFUNCTION("""COMPUTED_VALUE"""),"Dịch vụ khác")</f>
        <v>Dịch vụ khác</v>
      </c>
      <c r="E441" s="265" t="str">
        <f>IFERROR(__xludf.DUMMYFUNCTION("""COMPUTED_VALUE"""),"PhươngDTB")</f>
        <v>PhươngDTB</v>
      </c>
      <c r="F441" s="265" t="str">
        <f>IFERROR(__xludf.DUMMYFUNCTION("""COMPUTED_VALUE"""),"Sale chưa cung cấp")</f>
        <v>Sale chưa cung cấp</v>
      </c>
      <c r="G441" s="265" t="str">
        <f>IFERROR(__xludf.DUMMYFUNCTION("""COMPUTED_VALUE"""),"API")</f>
        <v>API</v>
      </c>
      <c r="H441" s="265" t="str">
        <f>IFERROR(__xludf.DUMMYFUNCTION("""COMPUTED_VALUE"""),"Trial")</f>
        <v>Trial</v>
      </c>
      <c r="I441" s="265" t="str">
        <f>IFERROR(__xludf.DUMMYFUNCTION("""COMPUTED_VALUE"""),"API")</f>
        <v>API</v>
      </c>
      <c r="J441" s="265" t="str">
        <f>IFERROR(__xludf.DUMMYFUNCTION("""COMPUTED_VALUE"""),"(Không recheck)")</f>
        <v>(Không recheck)</v>
      </c>
    </row>
    <row r="442">
      <c r="A442" s="265" t="str">
        <f>IFERROR(__xludf.DUMMYFUNCTION("""COMPUTED_VALUE"""),"778")</f>
        <v>778</v>
      </c>
      <c r="B442" s="265" t="str">
        <f>IFERROR(__xludf.DUMMYFUNCTION("""COMPUTED_VALUE"""),"Hà Nội")</f>
        <v>Hà Nội</v>
      </c>
      <c r="C442" s="265" t="str">
        <f>IFERROR(__xludf.DUMMYFUNCTION("""COMPUTED_VALUE"""),"Locked")</f>
        <v>Locked</v>
      </c>
      <c r="D442" s="265" t="str">
        <f>IFERROR(__xludf.DUMMYFUNCTION("""COMPUTED_VALUE"""),"Y tế &amp; Dược phẩm")</f>
        <v>Y tế &amp; Dược phẩm</v>
      </c>
      <c r="E442" s="265" t="str">
        <f>IFERROR(__xludf.DUMMYFUNCTION("""COMPUTED_VALUE"""),"TúPHN")</f>
        <v>TúPHN</v>
      </c>
      <c r="F442" s="265" t="str">
        <f>IFERROR(__xludf.DUMMYFUNCTION("""COMPUTED_VALUE"""),"Bronze")</f>
        <v>Bronze</v>
      </c>
      <c r="G442" s="265" t="str">
        <f>IFERROR(__xludf.DUMMYFUNCTION("""COMPUTED_VALUE"""),"Starter")</f>
        <v>Starter</v>
      </c>
      <c r="H442" s="265" t="str">
        <f>IFERROR(__xludf.DUMMYFUNCTION("""COMPUTED_VALUE"""),"Trả trước")</f>
        <v>Trả trước</v>
      </c>
      <c r="I442" s="265" t="str">
        <f>IFERROR(__xludf.DUMMYFUNCTION("""COMPUTED_VALUE"""),"API &amp; Portal")</f>
        <v>API &amp; Portal</v>
      </c>
      <c r="J442" s="265" t="str">
        <f>IFERROR(__xludf.DUMMYFUNCTION("""COMPUTED_VALUE"""),"AnhNM")</f>
        <v>AnhNM</v>
      </c>
    </row>
    <row r="443">
      <c r="A443" s="265" t="str">
        <f>IFERROR(__xludf.DUMMYFUNCTION("""COMPUTED_VALUE"""),"781")</f>
        <v>781</v>
      </c>
      <c r="B443" s="265" t="str">
        <f>IFERROR(__xludf.DUMMYFUNCTION("""COMPUTED_VALUE"""),"Sài Gòn")</f>
        <v>Sài Gòn</v>
      </c>
      <c r="C443" s="265" t="str">
        <f>IFERROR(__xludf.DUMMYFUNCTION("""COMPUTED_VALUE"""),"Active")</f>
        <v>Active</v>
      </c>
      <c r="D443" s="265" t="str">
        <f>IFERROR(__xludf.DUMMYFUNCTION("""COMPUTED_VALUE"""),"Giáo dục &amp; Đào tạo")</f>
        <v>Giáo dục &amp; Đào tạo</v>
      </c>
      <c r="E443" s="265" t="str">
        <f>IFERROR(__xludf.DUMMYFUNCTION("""COMPUTED_VALUE"""),"TúPHN")</f>
        <v>TúPHN</v>
      </c>
      <c r="F443" s="265" t="str">
        <f>IFERROR(__xludf.DUMMYFUNCTION("""COMPUTED_VALUE"""),"Silver")</f>
        <v>Silver</v>
      </c>
      <c r="G443" s="265" t="str">
        <f>IFERROR(__xludf.DUMMYFUNCTION("""COMPUTED_VALUE"""),"Starter")</f>
        <v>Starter</v>
      </c>
      <c r="H443" s="265" t="str">
        <f>IFERROR(__xludf.DUMMYFUNCTION("""COMPUTED_VALUE"""),"Trả sau")</f>
        <v>Trả sau</v>
      </c>
      <c r="I443" s="265" t="str">
        <f>IFERROR(__xludf.DUMMYFUNCTION("""COMPUTED_VALUE"""),"API")</f>
        <v>API</v>
      </c>
      <c r="J443" s="265" t="str">
        <f>IFERROR(__xludf.DUMMYFUNCTION("""COMPUTED_VALUE"""),"LinhNTT1")</f>
        <v>LinhNTT1</v>
      </c>
    </row>
    <row r="444">
      <c r="A444" s="265" t="str">
        <f>IFERROR(__xludf.DUMMYFUNCTION("""COMPUTED_VALUE"""),"678")</f>
        <v>678</v>
      </c>
      <c r="B444" s="265" t="str">
        <f>IFERROR(__xludf.DUMMYFUNCTION("""COMPUTED_VALUE"""),"Hà Nội")</f>
        <v>Hà Nội</v>
      </c>
      <c r="C444" s="265" t="str">
        <f>IFERROR(__xludf.DUMMYFUNCTION("""COMPUTED_VALUE"""),"Locked")</f>
        <v>Locked</v>
      </c>
      <c r="D444" s="265" t="str">
        <f>IFERROR(__xludf.DUMMYFUNCTION("""COMPUTED_VALUE"""),"Giáo dục &amp; Đào tạo")</f>
        <v>Giáo dục &amp; Đào tạo</v>
      </c>
      <c r="E444" s="265" t="str">
        <f>IFERROR(__xludf.DUMMYFUNCTION("""COMPUTED_VALUE"""),"TúPHN")</f>
        <v>TúPHN</v>
      </c>
      <c r="F444" s="265" t="str">
        <f>IFERROR(__xludf.DUMMYFUNCTION("""COMPUTED_VALUE"""),"Bronze")</f>
        <v>Bronze</v>
      </c>
      <c r="G444" s="265" t="str">
        <f>IFERROR(__xludf.DUMMYFUNCTION("""COMPUTED_VALUE"""),"Starter")</f>
        <v>Starter</v>
      </c>
      <c r="H444" s="265" t="str">
        <f>IFERROR(__xludf.DUMMYFUNCTION("""COMPUTED_VALUE"""),"Trả trước")</f>
        <v>Trả trước</v>
      </c>
      <c r="I444" s="265" t="str">
        <f>IFERROR(__xludf.DUMMYFUNCTION("""COMPUTED_VALUE"""),"Portal")</f>
        <v>Portal</v>
      </c>
      <c r="J444" s="265" t="str">
        <f>IFERROR(__xludf.DUMMYFUNCTION("""COMPUTED_VALUE"""),"AnhNM")</f>
        <v>AnhNM</v>
      </c>
    </row>
    <row r="445">
      <c r="A445" s="265" t="str">
        <f>IFERROR(__xludf.DUMMYFUNCTION("""COMPUTED_VALUE"""),"782")</f>
        <v>782</v>
      </c>
      <c r="B445" s="265" t="str">
        <f>IFERROR(__xludf.DUMMYFUNCTION("""COMPUTED_VALUE"""),"Sài Gòn")</f>
        <v>Sài Gòn</v>
      </c>
      <c r="C445" s="265" t="str">
        <f>IFERROR(__xludf.DUMMYFUNCTION("""COMPUTED_VALUE"""),"Locked")</f>
        <v>Locked</v>
      </c>
      <c r="D445" s="265" t="str">
        <f>IFERROR(__xludf.DUMMYFUNCTION("""COMPUTED_VALUE"""),"Dịch vụ khác")</f>
        <v>Dịch vụ khác</v>
      </c>
      <c r="E445" s="265" t="str">
        <f>IFERROR(__xludf.DUMMYFUNCTION("""COMPUTED_VALUE"""),"HoaNTM")</f>
        <v>HoaNTM</v>
      </c>
      <c r="F445" s="265" t="str">
        <f>IFERROR(__xludf.DUMMYFUNCTION("""COMPUTED_VALUE"""),"Sale chưa cung cấp")</f>
        <v>Sale chưa cung cấp</v>
      </c>
      <c r="G445" s="265" t="str">
        <f>IFERROR(__xludf.DUMMYFUNCTION("""COMPUTED_VALUE"""),"Enterprise")</f>
        <v>Enterprise</v>
      </c>
      <c r="H445" s="265" t="str">
        <f>IFERROR(__xludf.DUMMYFUNCTION("""COMPUTED_VALUE"""),"Trial")</f>
        <v>Trial</v>
      </c>
      <c r="I445" s="265" t="str">
        <f>IFERROR(__xludf.DUMMYFUNCTION("""COMPUTED_VALUE"""),"API &amp; Portal")</f>
        <v>API &amp; Portal</v>
      </c>
      <c r="J445" s="265" t="str">
        <f>IFERROR(__xludf.DUMMYFUNCTION("""COMPUTED_VALUE"""),"(Không recheck)")</f>
        <v>(Không recheck)</v>
      </c>
    </row>
    <row r="446">
      <c r="A446" s="265" t="str">
        <f>IFERROR(__xludf.DUMMYFUNCTION("""COMPUTED_VALUE"""),"783")</f>
        <v>783</v>
      </c>
      <c r="B446" s="265" t="str">
        <f>IFERROR(__xludf.DUMMYFUNCTION("""COMPUTED_VALUE"""),"Hà Nội")</f>
        <v>Hà Nội</v>
      </c>
      <c r="C446" s="265" t="str">
        <f>IFERROR(__xludf.DUMMYFUNCTION("""COMPUTED_VALUE"""),"Locked")</f>
        <v>Locked</v>
      </c>
      <c r="D446" s="265" t="str">
        <f>IFERROR(__xludf.DUMMYFUNCTION("""COMPUTED_VALUE"""),"Sale chưa cung cấp")</f>
        <v>Sale chưa cung cấp</v>
      </c>
      <c r="E446" s="265" t="str">
        <f>IFERROR(__xludf.DUMMYFUNCTION("""COMPUTED_VALUE"""),"PhươngDTB")</f>
        <v>PhươngDTB</v>
      </c>
      <c r="F446" s="265" t="str">
        <f>IFERROR(__xludf.DUMMYFUNCTION("""COMPUTED_VALUE"""),"Sale chưa cung cấp")</f>
        <v>Sale chưa cung cấp</v>
      </c>
      <c r="G446" s="265" t="str">
        <f>IFERROR(__xludf.DUMMYFUNCTION("""COMPUTED_VALUE"""),"API")</f>
        <v>API</v>
      </c>
      <c r="H446" s="265" t="str">
        <f>IFERROR(__xludf.DUMMYFUNCTION("""COMPUTED_VALUE"""),"Trial")</f>
        <v>Trial</v>
      </c>
      <c r="I446" s="265" t="str">
        <f>IFERROR(__xludf.DUMMYFUNCTION("""COMPUTED_VALUE"""),"API")</f>
        <v>API</v>
      </c>
      <c r="J446" s="265" t="str">
        <f>IFERROR(__xludf.DUMMYFUNCTION("""COMPUTED_VALUE"""),"(Không recheck)")</f>
        <v>(Không recheck)</v>
      </c>
    </row>
    <row r="447">
      <c r="A447" s="265" t="str">
        <f>IFERROR(__xludf.DUMMYFUNCTION("""COMPUTED_VALUE"""),"784")</f>
        <v>784</v>
      </c>
      <c r="B447" s="265" t="str">
        <f>IFERROR(__xludf.DUMMYFUNCTION("""COMPUTED_VALUE"""),"Sài Gòn")</f>
        <v>Sài Gòn</v>
      </c>
      <c r="C447" s="265" t="str">
        <f>IFERROR(__xludf.DUMMYFUNCTION("""COMPUTED_VALUE"""),"Active")</f>
        <v>Active</v>
      </c>
      <c r="D447" s="265" t="str">
        <f>IFERROR(__xludf.DUMMYFUNCTION("""COMPUTED_VALUE"""),"Dịch vụ khác")</f>
        <v>Dịch vụ khác</v>
      </c>
      <c r="E447" s="265" t="str">
        <f>IFERROR(__xludf.DUMMYFUNCTION("""COMPUTED_VALUE"""),"AnhNM")</f>
        <v>AnhNM</v>
      </c>
      <c r="F447" s="265" t="str">
        <f>IFERROR(__xludf.DUMMYFUNCTION("""COMPUTED_VALUE"""),"Silver")</f>
        <v>Silver</v>
      </c>
      <c r="G447" s="265" t="str">
        <f>IFERROR(__xludf.DUMMYFUNCTION("""COMPUTED_VALUE"""),"Starter")</f>
        <v>Starter</v>
      </c>
      <c r="H447" s="265" t="str">
        <f>IFERROR(__xludf.DUMMYFUNCTION("""COMPUTED_VALUE"""),"Trả sau")</f>
        <v>Trả sau</v>
      </c>
      <c r="I447" s="265" t="str">
        <f>IFERROR(__xludf.DUMMYFUNCTION("""COMPUTED_VALUE"""),"API")</f>
        <v>API</v>
      </c>
      <c r="J447" s="265" t="str">
        <f>IFERROR(__xludf.DUMMYFUNCTION("""COMPUTED_VALUE"""),"LinhNTT1")</f>
        <v>LinhNTT1</v>
      </c>
    </row>
    <row r="448">
      <c r="A448" s="265" t="str">
        <f>IFERROR(__xludf.DUMMYFUNCTION("""COMPUTED_VALUE"""),"785")</f>
        <v>785</v>
      </c>
      <c r="B448" s="265" t="str">
        <f>IFERROR(__xludf.DUMMYFUNCTION("""COMPUTED_VALUE"""),"Hà Nội")</f>
        <v>Hà Nội</v>
      </c>
      <c r="C448" s="265" t="str">
        <f>IFERROR(__xludf.DUMMYFUNCTION("""COMPUTED_VALUE"""),"Active")</f>
        <v>Active</v>
      </c>
      <c r="D448" s="265" t="str">
        <f>IFERROR(__xludf.DUMMYFUNCTION("""COMPUTED_VALUE"""),"Vận tải &amp; logistics")</f>
        <v>Vận tải &amp; logistics</v>
      </c>
      <c r="E448" s="265" t="str">
        <f>IFERROR(__xludf.DUMMYFUNCTION("""COMPUTED_VALUE"""),"AnhNM")</f>
        <v>AnhNM</v>
      </c>
      <c r="F448" s="265" t="str">
        <f>IFERROR(__xludf.DUMMYFUNCTION("""COMPUTED_VALUE"""),"Sale chưa cung cấp")</f>
        <v>Sale chưa cung cấp</v>
      </c>
      <c r="G448" s="265" t="str">
        <f>IFERROR(__xludf.DUMMYFUNCTION("""COMPUTED_VALUE"""),"Starter")</f>
        <v>Starter</v>
      </c>
      <c r="H448" s="265" t="str">
        <f>IFERROR(__xludf.DUMMYFUNCTION("""COMPUTED_VALUE"""),"Trả trước")</f>
        <v>Trả trước</v>
      </c>
      <c r="I448" s="265" t="str">
        <f>IFERROR(__xludf.DUMMYFUNCTION("""COMPUTED_VALUE"""),"Portal")</f>
        <v>Portal</v>
      </c>
      <c r="J448" s="265" t="str">
        <f>IFERROR(__xludf.DUMMYFUNCTION("""COMPUTED_VALUE"""),"LinhNTT1")</f>
        <v>LinhNTT1</v>
      </c>
    </row>
    <row r="449">
      <c r="A449" s="265" t="str">
        <f>IFERROR(__xludf.DUMMYFUNCTION("""COMPUTED_VALUE"""),"786")</f>
        <v>786</v>
      </c>
      <c r="B449" s="265" t="str">
        <f>IFERROR(__xludf.DUMMYFUNCTION("""COMPUTED_VALUE"""),"Sài Gòn")</f>
        <v>Sài Gòn</v>
      </c>
      <c r="C449" s="265" t="str">
        <f>IFERROR(__xludf.DUMMYFUNCTION("""COMPUTED_VALUE"""),"Active")</f>
        <v>Active</v>
      </c>
      <c r="D449" s="265" t="str">
        <f>IFERROR(__xludf.DUMMYFUNCTION("""COMPUTED_VALUE"""),"Dịch vụ khác")</f>
        <v>Dịch vụ khác</v>
      </c>
      <c r="E449" s="265" t="str">
        <f>IFERROR(__xludf.DUMMYFUNCTION("""COMPUTED_VALUE"""),"AnhNM")</f>
        <v>AnhNM</v>
      </c>
      <c r="F449" s="265" t="str">
        <f>IFERROR(__xludf.DUMMYFUNCTION("""COMPUTED_VALUE"""),"Bronze")</f>
        <v>Bronze</v>
      </c>
      <c r="G449" s="265" t="str">
        <f>IFERROR(__xludf.DUMMYFUNCTION("""COMPUTED_VALUE"""),"Premium")</f>
        <v>Premium</v>
      </c>
      <c r="H449" s="265" t="str">
        <f>IFERROR(__xludf.DUMMYFUNCTION("""COMPUTED_VALUE"""),"Trả trước")</f>
        <v>Trả trước</v>
      </c>
      <c r="I449" s="265" t="str">
        <f>IFERROR(__xludf.DUMMYFUNCTION("""COMPUTED_VALUE"""),"API")</f>
        <v>API</v>
      </c>
      <c r="J449" s="265" t="str">
        <f>IFERROR(__xludf.DUMMYFUNCTION("""COMPUTED_VALUE"""),"LinhNTT1")</f>
        <v>LinhNTT1</v>
      </c>
    </row>
    <row r="450">
      <c r="A450" s="265" t="str">
        <f>IFERROR(__xludf.DUMMYFUNCTION("""COMPUTED_VALUE"""),"787")</f>
        <v>787</v>
      </c>
      <c r="B450" s="265" t="str">
        <f>IFERROR(__xludf.DUMMYFUNCTION("""COMPUTED_VALUE"""),"Hà Nội")</f>
        <v>Hà Nội</v>
      </c>
      <c r="C450" s="265" t="str">
        <f>IFERROR(__xludf.DUMMYFUNCTION("""COMPUTED_VALUE"""),"Locked")</f>
        <v>Locked</v>
      </c>
      <c r="D450" s="265" t="str">
        <f>IFERROR(__xludf.DUMMYFUNCTION("""COMPUTED_VALUE"""),"Truyền thông &amp; Giải trí")</f>
        <v>Truyền thông &amp; Giải trí</v>
      </c>
      <c r="E450" s="265" t="str">
        <f>IFERROR(__xludf.DUMMYFUNCTION("""COMPUTED_VALUE"""),"TúPHN")</f>
        <v>TúPHN</v>
      </c>
      <c r="F450" s="265" t="str">
        <f>IFERROR(__xludf.DUMMYFUNCTION("""COMPUTED_VALUE"""),"Gold")</f>
        <v>Gold</v>
      </c>
      <c r="G450" s="265" t="str">
        <f>IFERROR(__xludf.DUMMYFUNCTION("""COMPUTED_VALUE"""),"Starter")</f>
        <v>Starter</v>
      </c>
      <c r="H450" s="265" t="str">
        <f>IFERROR(__xludf.DUMMYFUNCTION("""COMPUTED_VALUE"""),"Trả sau")</f>
        <v>Trả sau</v>
      </c>
      <c r="I450" s="265" t="str">
        <f>IFERROR(__xludf.DUMMYFUNCTION("""COMPUTED_VALUE"""),"API")</f>
        <v>API</v>
      </c>
      <c r="J450" s="265" t="str">
        <f>IFERROR(__xludf.DUMMYFUNCTION("""COMPUTED_VALUE"""),"LinhNTT1")</f>
        <v>LinhNTT1</v>
      </c>
    </row>
    <row r="451">
      <c r="A451" s="265" t="str">
        <f>IFERROR(__xludf.DUMMYFUNCTION("""COMPUTED_VALUE"""),"789")</f>
        <v>789</v>
      </c>
      <c r="B451" s="265" t="str">
        <f>IFERROR(__xludf.DUMMYFUNCTION("""COMPUTED_VALUE"""),"Sài Gòn")</f>
        <v>Sài Gòn</v>
      </c>
      <c r="C451" s="265" t="str">
        <f>IFERROR(__xludf.DUMMYFUNCTION("""COMPUTED_VALUE"""),"Locked")</f>
        <v>Locked</v>
      </c>
      <c r="D451" s="265" t="str">
        <f>IFERROR(__xludf.DUMMYFUNCTION("""COMPUTED_VALUE"""),"Dịch vụ khác")</f>
        <v>Dịch vụ khác</v>
      </c>
      <c r="E451" s="265" t="str">
        <f>IFERROR(__xludf.DUMMYFUNCTION("""COMPUTED_VALUE"""),"PhươngDTB")</f>
        <v>PhươngDTB</v>
      </c>
      <c r="F451" s="265" t="str">
        <f>IFERROR(__xludf.DUMMYFUNCTION("""COMPUTED_VALUE"""),"Sale chưa cung cấp")</f>
        <v>Sale chưa cung cấp</v>
      </c>
      <c r="G451" s="265" t="str">
        <f>IFERROR(__xludf.DUMMYFUNCTION("""COMPUTED_VALUE"""),"Premium")</f>
        <v>Premium</v>
      </c>
      <c r="H451" s="265" t="str">
        <f>IFERROR(__xludf.DUMMYFUNCTION("""COMPUTED_VALUE"""),"Trả trước")</f>
        <v>Trả trước</v>
      </c>
      <c r="I451" s="265" t="str">
        <f>IFERROR(__xludf.DUMMYFUNCTION("""COMPUTED_VALUE"""),"API &amp; Portal")</f>
        <v>API &amp; Portal</v>
      </c>
      <c r="J451" s="265" t="str">
        <f>IFERROR(__xludf.DUMMYFUNCTION("""COMPUTED_VALUE"""),"AnhNM")</f>
        <v>AnhNM</v>
      </c>
    </row>
    <row r="452">
      <c r="A452" s="265" t="str">
        <f>IFERROR(__xludf.DUMMYFUNCTION("""COMPUTED_VALUE"""),"790")</f>
        <v>790</v>
      </c>
      <c r="B452" s="265" t="str">
        <f>IFERROR(__xludf.DUMMYFUNCTION("""COMPUTED_VALUE"""),"Hà Nội")</f>
        <v>Hà Nội</v>
      </c>
      <c r="C452" s="265" t="str">
        <f>IFERROR(__xludf.DUMMYFUNCTION("""COMPUTED_VALUE"""),"Locked")</f>
        <v>Locked</v>
      </c>
      <c r="D452" s="265" t="str">
        <f>IFERROR(__xludf.DUMMYFUNCTION("""COMPUTED_VALUE"""),"Mua sắm &amp; Bán lẻ")</f>
        <v>Mua sắm &amp; Bán lẻ</v>
      </c>
      <c r="E452" s="265" t="str">
        <f>IFERROR(__xludf.DUMMYFUNCTION("""COMPUTED_VALUE"""),"TùngLD")</f>
        <v>TùngLD</v>
      </c>
      <c r="F452" s="265" t="str">
        <f>IFERROR(__xludf.DUMMYFUNCTION("""COMPUTED_VALUE"""),"Sale chưa cung cấp")</f>
        <v>Sale chưa cung cấp</v>
      </c>
      <c r="G452" s="265" t="str">
        <f>IFERROR(__xludf.DUMMYFUNCTION("""COMPUTED_VALUE"""),"Premium")</f>
        <v>Premium</v>
      </c>
      <c r="H452" s="265" t="str">
        <f>IFERROR(__xludf.DUMMYFUNCTION("""COMPUTED_VALUE"""),"Trial")</f>
        <v>Trial</v>
      </c>
      <c r="I452" s="265" t="str">
        <f>IFERROR(__xludf.DUMMYFUNCTION("""COMPUTED_VALUE"""),"Portal")</f>
        <v>Portal</v>
      </c>
      <c r="J452" s="265" t="str">
        <f>IFERROR(__xludf.DUMMYFUNCTION("""COMPUTED_VALUE"""),"(Không recheck)")</f>
        <v>(Không recheck)</v>
      </c>
    </row>
    <row r="453">
      <c r="A453" s="265" t="str">
        <f>IFERROR(__xludf.DUMMYFUNCTION("""COMPUTED_VALUE"""),"None 4")</f>
        <v>None 4</v>
      </c>
      <c r="B453" s="265" t="str">
        <f>IFERROR(__xludf.DUMMYFUNCTION("""COMPUTED_VALUE"""),"Hà Nội")</f>
        <v>Hà Nội</v>
      </c>
      <c r="C453" s="265" t="str">
        <f>IFERROR(__xludf.DUMMYFUNCTION("""COMPUTED_VALUE"""),"Locked")</f>
        <v>Locked</v>
      </c>
      <c r="D453" s="265" t="str">
        <f>IFERROR(__xludf.DUMMYFUNCTION("""COMPUTED_VALUE"""),"Viễn thông")</f>
        <v>Viễn thông</v>
      </c>
      <c r="E453" s="265" t="str">
        <f>IFERROR(__xludf.DUMMYFUNCTION("""COMPUTED_VALUE"""),"TúPHN")</f>
        <v>TúPHN</v>
      </c>
      <c r="F453" s="265" t="str">
        <f>IFERROR(__xludf.DUMMYFUNCTION("""COMPUTED_VALUE"""),"Gold")</f>
        <v>Gold</v>
      </c>
      <c r="G453" s="265" t="str">
        <f>IFERROR(__xludf.DUMMYFUNCTION("""COMPUTED_VALUE"""),"None")</f>
        <v>None</v>
      </c>
      <c r="H453" s="265" t="str">
        <f>IFERROR(__xludf.DUMMYFUNCTION("""COMPUTED_VALUE"""),"Trả sau")</f>
        <v>Trả sau</v>
      </c>
      <c r="I453" s="265" t="str">
        <f>IFERROR(__xludf.DUMMYFUNCTION("""COMPUTED_VALUE"""),"API")</f>
        <v>API</v>
      </c>
      <c r="J453" s="265" t="str">
        <f>IFERROR(__xludf.DUMMYFUNCTION("""COMPUTED_VALUE"""),"AnhNM")</f>
        <v>AnhNM</v>
      </c>
    </row>
    <row r="454">
      <c r="A454" s="265" t="str">
        <f>IFERROR(__xludf.DUMMYFUNCTION("""COMPUTED_VALUE"""),"793")</f>
        <v>793</v>
      </c>
      <c r="B454" s="265" t="str">
        <f>IFERROR(__xludf.DUMMYFUNCTION("""COMPUTED_VALUE"""),"Hà Nội")</f>
        <v>Hà Nội</v>
      </c>
      <c r="C454" s="265" t="str">
        <f>IFERROR(__xludf.DUMMYFUNCTION("""COMPUTED_VALUE"""),"Locked")</f>
        <v>Locked</v>
      </c>
      <c r="D454" s="265" t="str">
        <f>IFERROR(__xludf.DUMMYFUNCTION("""COMPUTED_VALUE"""),"Mua sắm &amp; Bán lẻ")</f>
        <v>Mua sắm &amp; Bán lẻ</v>
      </c>
      <c r="E454" s="265" t="str">
        <f>IFERROR(__xludf.DUMMYFUNCTION("""COMPUTED_VALUE"""),"TùngLD")</f>
        <v>TùngLD</v>
      </c>
      <c r="F454" s="265" t="str">
        <f>IFERROR(__xludf.DUMMYFUNCTION("""COMPUTED_VALUE"""),"Bronze")</f>
        <v>Bronze</v>
      </c>
      <c r="G454" s="265" t="str">
        <f>IFERROR(__xludf.DUMMYFUNCTION("""COMPUTED_VALUE"""),"Starter")</f>
        <v>Starter</v>
      </c>
      <c r="H454" s="265" t="str">
        <f>IFERROR(__xludf.DUMMYFUNCTION("""COMPUTED_VALUE"""),"Trả trước")</f>
        <v>Trả trước</v>
      </c>
      <c r="I454" s="265" t="str">
        <f>IFERROR(__xludf.DUMMYFUNCTION("""COMPUTED_VALUE"""),"Portal")</f>
        <v>Portal</v>
      </c>
      <c r="J454" s="265" t="str">
        <f>IFERROR(__xludf.DUMMYFUNCTION("""COMPUTED_VALUE"""),"LinhNTT1")</f>
        <v>LinhNTT1</v>
      </c>
    </row>
    <row r="455">
      <c r="A455" s="265" t="str">
        <f>IFERROR(__xludf.DUMMYFUNCTION("""COMPUTED_VALUE"""),"792")</f>
        <v>792</v>
      </c>
      <c r="B455" s="265" t="str">
        <f>IFERROR(__xludf.DUMMYFUNCTION("""COMPUTED_VALUE"""),"Hà Nội")</f>
        <v>Hà Nội</v>
      </c>
      <c r="C455" s="265" t="str">
        <f>IFERROR(__xludf.DUMMYFUNCTION("""COMPUTED_VALUE"""),"Locked")</f>
        <v>Locked</v>
      </c>
      <c r="D455" s="265" t="str">
        <f>IFERROR(__xludf.DUMMYFUNCTION("""COMPUTED_VALUE"""),"Công nghệ &amp; Phần mềm")</f>
        <v>Công nghệ &amp; Phần mềm</v>
      </c>
      <c r="E455" s="265" t="str">
        <f>IFERROR(__xludf.DUMMYFUNCTION("""COMPUTED_VALUE"""),"TúPHN")</f>
        <v>TúPHN</v>
      </c>
      <c r="F455" s="265" t="str">
        <f>IFERROR(__xludf.DUMMYFUNCTION("""COMPUTED_VALUE"""),"Sale chưa cung cấp")</f>
        <v>Sale chưa cung cấp</v>
      </c>
      <c r="G455" s="265" t="str">
        <f>IFERROR(__xludf.DUMMYFUNCTION("""COMPUTED_VALUE"""),"Premium")</f>
        <v>Premium</v>
      </c>
      <c r="H455" s="265" t="str">
        <f>IFERROR(__xludf.DUMMYFUNCTION("""COMPUTED_VALUE"""),"Trial")</f>
        <v>Trial</v>
      </c>
      <c r="I455" s="265" t="str">
        <f>IFERROR(__xludf.DUMMYFUNCTION("""COMPUTED_VALUE"""),"Portal")</f>
        <v>Portal</v>
      </c>
      <c r="J455" s="265" t="str">
        <f>IFERROR(__xludf.DUMMYFUNCTION("""COMPUTED_VALUE"""),"(Không recheck)")</f>
        <v>(Không recheck)</v>
      </c>
    </row>
    <row r="456">
      <c r="A456" s="265" t="str">
        <f>IFERROR(__xludf.DUMMYFUNCTION("""COMPUTED_VALUE"""),"794")</f>
        <v>794</v>
      </c>
      <c r="B456" s="265" t="str">
        <f>IFERROR(__xludf.DUMMYFUNCTION("""COMPUTED_VALUE"""),"Hà Nội")</f>
        <v>Hà Nội</v>
      </c>
      <c r="C456" s="265" t="str">
        <f>IFERROR(__xludf.DUMMYFUNCTION("""COMPUTED_VALUE"""),"Locked")</f>
        <v>Locked</v>
      </c>
      <c r="D456" s="265" t="str">
        <f>IFERROR(__xludf.DUMMYFUNCTION("""COMPUTED_VALUE"""),"Ô tô &amp; Xe máy")</f>
        <v>Ô tô &amp; Xe máy</v>
      </c>
      <c r="E456" s="265" t="str">
        <f>IFERROR(__xludf.DUMMYFUNCTION("""COMPUTED_VALUE"""),"TúPHN")</f>
        <v>TúPHN</v>
      </c>
      <c r="F456" s="265" t="str">
        <f>IFERROR(__xludf.DUMMYFUNCTION("""COMPUTED_VALUE"""),"Bronze")</f>
        <v>Bronze</v>
      </c>
      <c r="G456" s="265" t="str">
        <f>IFERROR(__xludf.DUMMYFUNCTION("""COMPUTED_VALUE"""),"Starter")</f>
        <v>Starter</v>
      </c>
      <c r="H456" s="265" t="str">
        <f>IFERROR(__xludf.DUMMYFUNCTION("""COMPUTED_VALUE"""),"Trả sau")</f>
        <v>Trả sau</v>
      </c>
      <c r="I456" s="265" t="str">
        <f>IFERROR(__xludf.DUMMYFUNCTION("""COMPUTED_VALUE"""),"API")</f>
        <v>API</v>
      </c>
      <c r="J456" s="265" t="str">
        <f>IFERROR(__xludf.DUMMYFUNCTION("""COMPUTED_VALUE"""),"AnhNM")</f>
        <v>AnhNM</v>
      </c>
    </row>
    <row r="457">
      <c r="A457" s="265" t="str">
        <f>IFERROR(__xludf.DUMMYFUNCTION("""COMPUTED_VALUE"""),"796")</f>
        <v>796</v>
      </c>
      <c r="B457" s="265" t="str">
        <f>IFERROR(__xludf.DUMMYFUNCTION("""COMPUTED_VALUE"""),"Hà Nội")</f>
        <v>Hà Nội</v>
      </c>
      <c r="C457" s="265" t="str">
        <f>IFERROR(__xludf.DUMMYFUNCTION("""COMPUTED_VALUE"""),"Locked")</f>
        <v>Locked</v>
      </c>
      <c r="D457" s="265" t="str">
        <f>IFERROR(__xludf.DUMMYFUNCTION("""COMPUTED_VALUE"""),"Ô tô &amp; Xe máy")</f>
        <v>Ô tô &amp; Xe máy</v>
      </c>
      <c r="E457" s="265" t="str">
        <f>IFERROR(__xludf.DUMMYFUNCTION("""COMPUTED_VALUE"""),"TúPHN")</f>
        <v>TúPHN</v>
      </c>
      <c r="F457" s="265" t="str">
        <f>IFERROR(__xludf.DUMMYFUNCTION("""COMPUTED_VALUE"""),"Diamond")</f>
        <v>Diamond</v>
      </c>
      <c r="G457" s="265" t="str">
        <f>IFERROR(__xludf.DUMMYFUNCTION("""COMPUTED_VALUE"""),"Enterprise")</f>
        <v>Enterprise</v>
      </c>
      <c r="H457" s="265" t="str">
        <f>IFERROR(__xludf.DUMMYFUNCTION("""COMPUTED_VALUE"""),"Trial")</f>
        <v>Trial</v>
      </c>
      <c r="I457" s="265" t="str">
        <f>IFERROR(__xludf.DUMMYFUNCTION("""COMPUTED_VALUE"""),"API")</f>
        <v>API</v>
      </c>
      <c r="J457" s="265" t="str">
        <f>IFERROR(__xludf.DUMMYFUNCTION("""COMPUTED_VALUE"""),"LinhNTT1")</f>
        <v>LinhNTT1</v>
      </c>
    </row>
    <row r="458">
      <c r="A458" s="265" t="str">
        <f>IFERROR(__xludf.DUMMYFUNCTION("""COMPUTED_VALUE"""),"795")</f>
        <v>795</v>
      </c>
      <c r="B458" s="265" t="str">
        <f>IFERROR(__xludf.DUMMYFUNCTION("""COMPUTED_VALUE"""),"Sài Gòn")</f>
        <v>Sài Gòn</v>
      </c>
      <c r="C458" s="265" t="str">
        <f>IFERROR(__xludf.DUMMYFUNCTION("""COMPUTED_VALUE"""),"Locked")</f>
        <v>Locked</v>
      </c>
      <c r="D458" s="265" t="str">
        <f>IFERROR(__xludf.DUMMYFUNCTION("""COMPUTED_VALUE"""),"Công nghệ &amp; Phần mềm")</f>
        <v>Công nghệ &amp; Phần mềm</v>
      </c>
      <c r="E458" s="265" t="str">
        <f>IFERROR(__xludf.DUMMYFUNCTION("""COMPUTED_VALUE"""),"HoaNTM")</f>
        <v>HoaNTM</v>
      </c>
      <c r="F458" s="265" t="str">
        <f>IFERROR(__xludf.DUMMYFUNCTION("""COMPUTED_VALUE"""),"Sale chưa cung cấp")</f>
        <v>Sale chưa cung cấp</v>
      </c>
      <c r="G458" s="265" t="str">
        <f>IFERROR(__xludf.DUMMYFUNCTION("""COMPUTED_VALUE"""),"Standard")</f>
        <v>Standard</v>
      </c>
      <c r="H458" s="265" t="str">
        <f>IFERROR(__xludf.DUMMYFUNCTION("""COMPUTED_VALUE"""),"Trial")</f>
        <v>Trial</v>
      </c>
      <c r="I458" s="265" t="str">
        <f>IFERROR(__xludf.DUMMYFUNCTION("""COMPUTED_VALUE"""),"API &amp; Portal")</f>
        <v>API &amp; Portal</v>
      </c>
      <c r="J458" s="265" t="str">
        <f>IFERROR(__xludf.DUMMYFUNCTION("""COMPUTED_VALUE"""),"Chưa phân công")</f>
        <v>Chưa phân công</v>
      </c>
    </row>
    <row r="459">
      <c r="A459" s="265" t="str">
        <f>IFERROR(__xludf.DUMMYFUNCTION("""COMPUTED_VALUE"""),"797")</f>
        <v>797</v>
      </c>
      <c r="B459" s="265" t="str">
        <f>IFERROR(__xludf.DUMMYFUNCTION("""COMPUTED_VALUE"""),"Hà Nội")</f>
        <v>Hà Nội</v>
      </c>
      <c r="C459" s="265" t="str">
        <f>IFERROR(__xludf.DUMMYFUNCTION("""COMPUTED_VALUE"""),"Locked")</f>
        <v>Locked</v>
      </c>
      <c r="D459" s="265" t="str">
        <f>IFERROR(__xludf.DUMMYFUNCTION("""COMPUTED_VALUE"""),"Ô tô &amp; Xe máy")</f>
        <v>Ô tô &amp; Xe máy</v>
      </c>
      <c r="E459" s="265" t="str">
        <f>IFERROR(__xludf.DUMMYFUNCTION("""COMPUTED_VALUE"""),"TúPHN")</f>
        <v>TúPHN</v>
      </c>
      <c r="F459" s="265" t="str">
        <f>IFERROR(__xludf.DUMMYFUNCTION("""COMPUTED_VALUE"""),"Silver")</f>
        <v>Silver</v>
      </c>
      <c r="G459" s="265" t="str">
        <f>IFERROR(__xludf.DUMMYFUNCTION("""COMPUTED_VALUE"""),"Starter")</f>
        <v>Starter</v>
      </c>
      <c r="H459" s="265" t="str">
        <f>IFERROR(__xludf.DUMMYFUNCTION("""COMPUTED_VALUE"""),"Trial")</f>
        <v>Trial</v>
      </c>
      <c r="I459" s="265" t="str">
        <f>IFERROR(__xludf.DUMMYFUNCTION("""COMPUTED_VALUE"""),"API")</f>
        <v>API</v>
      </c>
      <c r="J459" s="265" t="str">
        <f>IFERROR(__xludf.DUMMYFUNCTION("""COMPUTED_VALUE"""),"(Không recheck)")</f>
        <v>(Không recheck)</v>
      </c>
    </row>
    <row r="460">
      <c r="A460" s="265" t="str">
        <f>IFERROR(__xludf.DUMMYFUNCTION("""COMPUTED_VALUE"""),"798")</f>
        <v>798</v>
      </c>
      <c r="B460" s="265" t="str">
        <f>IFERROR(__xludf.DUMMYFUNCTION("""COMPUTED_VALUE"""),"Hà Nội")</f>
        <v>Hà Nội</v>
      </c>
      <c r="C460" s="265" t="str">
        <f>IFERROR(__xludf.DUMMYFUNCTION("""COMPUTED_VALUE"""),"Active")</f>
        <v>Active</v>
      </c>
      <c r="D460" s="265" t="str">
        <f>IFERROR(__xludf.DUMMYFUNCTION("""COMPUTED_VALUE"""),"Công nghệ &amp; Phần mềm")</f>
        <v>Công nghệ &amp; Phần mềm</v>
      </c>
      <c r="E460" s="265" t="str">
        <f>IFERROR(__xludf.DUMMYFUNCTION("""COMPUTED_VALUE"""),"TùngLD")</f>
        <v>TùngLD</v>
      </c>
      <c r="F460" s="265" t="str">
        <f>IFERROR(__xludf.DUMMYFUNCTION("""COMPUTED_VALUE"""),"Gold")</f>
        <v>Gold</v>
      </c>
      <c r="G460" s="265" t="str">
        <f>IFERROR(__xludf.DUMMYFUNCTION("""COMPUTED_VALUE"""),"Starter")</f>
        <v>Starter</v>
      </c>
      <c r="H460" s="265" t="str">
        <f>IFERROR(__xludf.DUMMYFUNCTION("""COMPUTED_VALUE"""),"Trả sau")</f>
        <v>Trả sau</v>
      </c>
      <c r="I460" s="265" t="str">
        <f>IFERROR(__xludf.DUMMYFUNCTION("""COMPUTED_VALUE"""),"API &amp; Portal")</f>
        <v>API &amp; Portal</v>
      </c>
      <c r="J460" s="265" t="str">
        <f>IFERROR(__xludf.DUMMYFUNCTION("""COMPUTED_VALUE"""),"DungPL")</f>
        <v>DungPL</v>
      </c>
    </row>
    <row r="461">
      <c r="A461" s="265" t="str">
        <f>IFERROR(__xludf.DUMMYFUNCTION("""COMPUTED_VALUE"""),"798")</f>
        <v>798</v>
      </c>
      <c r="B461" s="265" t="str">
        <f>IFERROR(__xludf.DUMMYFUNCTION("""COMPUTED_VALUE"""),"Hà Nội")</f>
        <v>Hà Nội</v>
      </c>
      <c r="C461" s="265" t="str">
        <f>IFERROR(__xludf.DUMMYFUNCTION("""COMPUTED_VALUE"""),"Active")</f>
        <v>Active</v>
      </c>
      <c r="D461" s="265" t="str">
        <f>IFERROR(__xludf.DUMMYFUNCTION("""COMPUTED_VALUE"""),"Công nghệ &amp; Phần mềm")</f>
        <v>Công nghệ &amp; Phần mềm</v>
      </c>
      <c r="E461" s="265" t="str">
        <f>IFERROR(__xludf.DUMMYFUNCTION("""COMPUTED_VALUE"""),"TùngLD")</f>
        <v>TùngLD</v>
      </c>
      <c r="F461" s="265" t="str">
        <f>IFERROR(__xludf.DUMMYFUNCTION("""COMPUTED_VALUE"""),"Gold")</f>
        <v>Gold</v>
      </c>
      <c r="G461" s="265" t="str">
        <f>IFERROR(__xludf.DUMMYFUNCTION("""COMPUTED_VALUE"""),"Starter")</f>
        <v>Starter</v>
      </c>
      <c r="H461" s="265" t="str">
        <f>IFERROR(__xludf.DUMMYFUNCTION("""COMPUTED_VALUE"""),"Trả sau")</f>
        <v>Trả sau</v>
      </c>
      <c r="I461" s="265" t="str">
        <f>IFERROR(__xludf.DUMMYFUNCTION("""COMPUTED_VALUE"""),"API &amp; Portal")</f>
        <v>API &amp; Portal</v>
      </c>
      <c r="J461" s="265" t="str">
        <f>IFERROR(__xludf.DUMMYFUNCTION("""COMPUTED_VALUE"""),"DungVT")</f>
        <v>DungVT</v>
      </c>
    </row>
    <row r="462">
      <c r="A462" s="265" t="str">
        <f>IFERROR(__xludf.DUMMYFUNCTION("""COMPUTED_VALUE"""),"757")</f>
        <v>757</v>
      </c>
      <c r="B462" s="265" t="str">
        <f>IFERROR(__xludf.DUMMYFUNCTION("""COMPUTED_VALUE"""),"Hà Nội")</f>
        <v>Hà Nội</v>
      </c>
      <c r="C462" s="265" t="str">
        <f>IFERROR(__xludf.DUMMYFUNCTION("""COMPUTED_VALUE"""),"Active")</f>
        <v>Active</v>
      </c>
      <c r="D462" s="265" t="str">
        <f>IFERROR(__xludf.DUMMYFUNCTION("""COMPUTED_VALUE"""),"Vận tải &amp; logistics")</f>
        <v>Vận tải &amp; logistics</v>
      </c>
      <c r="E462" s="265" t="str">
        <f>IFERROR(__xludf.DUMMYFUNCTION("""COMPUTED_VALUE"""),"AnhNM")</f>
        <v>AnhNM</v>
      </c>
      <c r="F462" s="265" t="str">
        <f>IFERROR(__xludf.DUMMYFUNCTION("""COMPUTED_VALUE"""),"Sale chưa cung cấp")</f>
        <v>Sale chưa cung cấp</v>
      </c>
      <c r="G462" s="265" t="str">
        <f>IFERROR(__xludf.DUMMYFUNCTION("""COMPUTED_VALUE"""),"Starter")</f>
        <v>Starter</v>
      </c>
      <c r="H462" s="265" t="str">
        <f>IFERROR(__xludf.DUMMYFUNCTION("""COMPUTED_VALUE"""),"Trả sau")</f>
        <v>Trả sau</v>
      </c>
      <c r="I462" s="265" t="str">
        <f>IFERROR(__xludf.DUMMYFUNCTION("""COMPUTED_VALUE"""),"API")</f>
        <v>API</v>
      </c>
      <c r="J462" s="265" t="str">
        <f>IFERROR(__xludf.DUMMYFUNCTION("""COMPUTED_VALUE"""),"DungPL")</f>
        <v>DungPL</v>
      </c>
    </row>
    <row r="463">
      <c r="A463" s="265" t="str">
        <f>IFERROR(__xludf.DUMMYFUNCTION("""COMPUTED_VALUE"""),"799")</f>
        <v>799</v>
      </c>
      <c r="B463" s="265" t="str">
        <f>IFERROR(__xludf.DUMMYFUNCTION("""COMPUTED_VALUE"""),"Hà Nội")</f>
        <v>Hà Nội</v>
      </c>
      <c r="C463" s="265" t="str">
        <f>IFERROR(__xludf.DUMMYFUNCTION("""COMPUTED_VALUE"""),"Locked")</f>
        <v>Locked</v>
      </c>
      <c r="D463" s="265" t="str">
        <f>IFERROR(__xludf.DUMMYFUNCTION("""COMPUTED_VALUE"""),"Sale chưa cung cấp")</f>
        <v>Sale chưa cung cấp</v>
      </c>
      <c r="E463" s="265" t="str">
        <f>IFERROR(__xludf.DUMMYFUNCTION("""COMPUTED_VALUE"""),"HangNT")</f>
        <v>HangNT</v>
      </c>
      <c r="F463" s="265" t="str">
        <f>IFERROR(__xludf.DUMMYFUNCTION("""COMPUTED_VALUE"""),"Sale chưa cung cấp")</f>
        <v>Sale chưa cung cấp</v>
      </c>
      <c r="G463" s="265" t="str">
        <f>IFERROR(__xludf.DUMMYFUNCTION("""COMPUTED_VALUE"""),"Premium")</f>
        <v>Premium</v>
      </c>
      <c r="H463" s="265" t="str">
        <f>IFERROR(__xludf.DUMMYFUNCTION("""COMPUTED_VALUE"""),"Trial")</f>
        <v>Trial</v>
      </c>
      <c r="I463" s="265" t="str">
        <f>IFERROR(__xludf.DUMMYFUNCTION("""COMPUTED_VALUE"""),"Portal")</f>
        <v>Portal</v>
      </c>
      <c r="J463" s="265" t="str">
        <f>IFERROR(__xludf.DUMMYFUNCTION("""COMPUTED_VALUE"""),"AnhNM")</f>
        <v>AnhNM</v>
      </c>
    </row>
    <row r="464">
      <c r="A464" s="265" t="str">
        <f>IFERROR(__xludf.DUMMYFUNCTION("""COMPUTED_VALUE"""),"800")</f>
        <v>800</v>
      </c>
      <c r="B464" s="265" t="str">
        <f>IFERROR(__xludf.DUMMYFUNCTION("""COMPUTED_VALUE"""),"Hà Nội")</f>
        <v>Hà Nội</v>
      </c>
      <c r="C464" s="265" t="str">
        <f>IFERROR(__xludf.DUMMYFUNCTION("""COMPUTED_VALUE"""),"Active")</f>
        <v>Active</v>
      </c>
      <c r="D464" s="265" t="str">
        <f>IFERROR(__xludf.DUMMYFUNCTION("""COMPUTED_VALUE"""),"Vận tải &amp; logistics")</f>
        <v>Vận tải &amp; logistics</v>
      </c>
      <c r="E464" s="265" t="str">
        <f>IFERROR(__xludf.DUMMYFUNCTION("""COMPUTED_VALUE"""),"TúPHN")</f>
        <v>TúPHN</v>
      </c>
      <c r="F464" s="265" t="str">
        <f>IFERROR(__xludf.DUMMYFUNCTION("""COMPUTED_VALUE"""),"Gold")</f>
        <v>Gold</v>
      </c>
      <c r="G464" s="265" t="str">
        <f>IFERROR(__xludf.DUMMYFUNCTION("""COMPUTED_VALUE"""),"Starter")</f>
        <v>Starter</v>
      </c>
      <c r="H464" s="265" t="str">
        <f>IFERROR(__xludf.DUMMYFUNCTION("""COMPUTED_VALUE"""),"Trả sau")</f>
        <v>Trả sau</v>
      </c>
      <c r="I464" s="265" t="str">
        <f>IFERROR(__xludf.DUMMYFUNCTION("""COMPUTED_VALUE"""),"API &amp; Portal")</f>
        <v>API &amp; Portal</v>
      </c>
      <c r="J464" s="265" t="str">
        <f>IFERROR(__xludf.DUMMYFUNCTION("""COMPUTED_VALUE"""),"DungPL")</f>
        <v>DungPL</v>
      </c>
    </row>
    <row r="465">
      <c r="A465" s="265" t="str">
        <f>IFERROR(__xludf.DUMMYFUNCTION("""COMPUTED_VALUE"""),"802")</f>
        <v>802</v>
      </c>
      <c r="B465" s="265" t="str">
        <f>IFERROR(__xludf.DUMMYFUNCTION("""COMPUTED_VALUE"""),"Sài Gòn")</f>
        <v>Sài Gòn</v>
      </c>
      <c r="C465" s="265" t="str">
        <f>IFERROR(__xludf.DUMMYFUNCTION("""COMPUTED_VALUE"""),"Active")</f>
        <v>Active</v>
      </c>
      <c r="D465" s="265" t="str">
        <f>IFERROR(__xludf.DUMMYFUNCTION("""COMPUTED_VALUE"""),"Dịch vụ khác")</f>
        <v>Dịch vụ khác</v>
      </c>
      <c r="E465" s="265" t="str">
        <f>IFERROR(__xludf.DUMMYFUNCTION("""COMPUTED_VALUE"""),"TúPHN")</f>
        <v>TúPHN</v>
      </c>
      <c r="F465" s="265" t="str">
        <f>IFERROR(__xludf.DUMMYFUNCTION("""COMPUTED_VALUE"""),"Silver")</f>
        <v>Silver</v>
      </c>
      <c r="G465" s="265" t="str">
        <f>IFERROR(__xludf.DUMMYFUNCTION("""COMPUTED_VALUE"""),"Standard")</f>
        <v>Standard</v>
      </c>
      <c r="H465" s="265" t="str">
        <f>IFERROR(__xludf.DUMMYFUNCTION("""COMPUTED_VALUE"""),"Trả trước")</f>
        <v>Trả trước</v>
      </c>
      <c r="I465" s="265" t="str">
        <f>IFERROR(__xludf.DUMMYFUNCTION("""COMPUTED_VALUE"""),"Portal")</f>
        <v>Portal</v>
      </c>
      <c r="J465" s="265" t="str">
        <f>IFERROR(__xludf.DUMMYFUNCTION("""COMPUTED_VALUE"""),"LinhNTT1")</f>
        <v>LinhNTT1</v>
      </c>
    </row>
    <row r="466">
      <c r="A466" s="265" t="str">
        <f>IFERROR(__xludf.DUMMYFUNCTION("""COMPUTED_VALUE"""),"803")</f>
        <v>803</v>
      </c>
      <c r="B466" s="265" t="str">
        <f>IFERROR(__xludf.DUMMYFUNCTION("""COMPUTED_VALUE"""),"Sài Gòn")</f>
        <v>Sài Gòn</v>
      </c>
      <c r="C466" s="265" t="str">
        <f>IFERROR(__xludf.DUMMYFUNCTION("""COMPUTED_VALUE"""),"Locked")</f>
        <v>Locked</v>
      </c>
      <c r="D466" s="265" t="str">
        <f>IFERROR(__xludf.DUMMYFUNCTION("""COMPUTED_VALUE"""),"Thực phẩm &amp; Đồ uống")</f>
        <v>Thực phẩm &amp; Đồ uống</v>
      </c>
      <c r="E466" s="265" t="str">
        <f>IFERROR(__xludf.DUMMYFUNCTION("""COMPUTED_VALUE"""),"HoaNTM")</f>
        <v>HoaNTM</v>
      </c>
      <c r="F466" s="265" t="str">
        <f>IFERROR(__xludf.DUMMYFUNCTION("""COMPUTED_VALUE"""),"Sale chưa cung cấp")</f>
        <v>Sale chưa cung cấp</v>
      </c>
      <c r="G466" s="265" t="str">
        <f>IFERROR(__xludf.DUMMYFUNCTION("""COMPUTED_VALUE"""),"Enterprise")</f>
        <v>Enterprise</v>
      </c>
      <c r="H466" s="265" t="str">
        <f>IFERROR(__xludf.DUMMYFUNCTION("""COMPUTED_VALUE"""),"Trả sau")</f>
        <v>Trả sau</v>
      </c>
      <c r="I466" s="265" t="str">
        <f>IFERROR(__xludf.DUMMYFUNCTION("""COMPUTED_VALUE"""),"Portal")</f>
        <v>Portal</v>
      </c>
      <c r="J466" s="265" t="str">
        <f>IFERROR(__xludf.DUMMYFUNCTION("""COMPUTED_VALUE"""),"(Chưa recheck)")</f>
        <v>(Chưa recheck)</v>
      </c>
    </row>
    <row r="467">
      <c r="A467" s="265" t="str">
        <f>IFERROR(__xludf.DUMMYFUNCTION("""COMPUTED_VALUE"""),"804")</f>
        <v>804</v>
      </c>
      <c r="B467" s="265" t="str">
        <f>IFERROR(__xludf.DUMMYFUNCTION("""COMPUTED_VALUE"""),"Sài Gòn")</f>
        <v>Sài Gòn</v>
      </c>
      <c r="C467" s="265" t="str">
        <f>IFERROR(__xludf.DUMMYFUNCTION("""COMPUTED_VALUE"""),"Active")</f>
        <v>Active</v>
      </c>
      <c r="D467" s="265" t="str">
        <f>IFERROR(__xludf.DUMMYFUNCTION("""COMPUTED_VALUE"""),"Mỹ phẩm &amp; Làm đẹp")</f>
        <v>Mỹ phẩm &amp; Làm đẹp</v>
      </c>
      <c r="E467" s="265" t="str">
        <f>IFERROR(__xludf.DUMMYFUNCTION("""COMPUTED_VALUE"""),"TùngLD")</f>
        <v>TùngLD</v>
      </c>
      <c r="F467" s="265" t="str">
        <f>IFERROR(__xludf.DUMMYFUNCTION("""COMPUTED_VALUE"""),"Silver")</f>
        <v>Silver</v>
      </c>
      <c r="G467" s="265" t="str">
        <f>IFERROR(__xludf.DUMMYFUNCTION("""COMPUTED_VALUE"""),"Premium")</f>
        <v>Premium</v>
      </c>
      <c r="H467" s="265" t="str">
        <f>IFERROR(__xludf.DUMMYFUNCTION("""COMPUTED_VALUE"""),"Trả trước")</f>
        <v>Trả trước</v>
      </c>
      <c r="I467" s="265" t="str">
        <f>IFERROR(__xludf.DUMMYFUNCTION("""COMPUTED_VALUE"""),"Portal")</f>
        <v>Portal</v>
      </c>
      <c r="J467" s="265" t="str">
        <f>IFERROR(__xludf.DUMMYFUNCTION("""COMPUTED_VALUE"""),"YếnĐH")</f>
        <v>YếnĐH</v>
      </c>
    </row>
    <row r="468">
      <c r="A468" s="265" t="str">
        <f>IFERROR(__xludf.DUMMYFUNCTION("""COMPUTED_VALUE"""),"805")</f>
        <v>805</v>
      </c>
      <c r="B468" s="265" t="str">
        <f>IFERROR(__xludf.DUMMYFUNCTION("""COMPUTED_VALUE"""),"Hà Nội")</f>
        <v>Hà Nội</v>
      </c>
      <c r="C468" s="265" t="str">
        <f>IFERROR(__xludf.DUMMYFUNCTION("""COMPUTED_VALUE"""),"Locked")</f>
        <v>Locked</v>
      </c>
      <c r="D468" s="265" t="str">
        <f>IFERROR(__xludf.DUMMYFUNCTION("""COMPUTED_VALUE"""),"Sale chưa cung cấp")</f>
        <v>Sale chưa cung cấp</v>
      </c>
      <c r="E468" s="265" t="str">
        <f>IFERROR(__xludf.DUMMYFUNCTION("""COMPUTED_VALUE"""),"TùngLD")</f>
        <v>TùngLD</v>
      </c>
      <c r="F468" s="265" t="str">
        <f>IFERROR(__xludf.DUMMYFUNCTION("""COMPUTED_VALUE"""),"Sale chưa cung cấp")</f>
        <v>Sale chưa cung cấp</v>
      </c>
      <c r="G468" s="265" t="str">
        <f>IFERROR(__xludf.DUMMYFUNCTION("""COMPUTED_VALUE"""),"Enterprise")</f>
        <v>Enterprise</v>
      </c>
      <c r="H468" s="265" t="str">
        <f>IFERROR(__xludf.DUMMYFUNCTION("""COMPUTED_VALUE"""),"Trả sau")</f>
        <v>Trả sau</v>
      </c>
      <c r="I468" s="265" t="str">
        <f>IFERROR(__xludf.DUMMYFUNCTION("""COMPUTED_VALUE"""),"Portal")</f>
        <v>Portal</v>
      </c>
      <c r="J468" s="265" t="str">
        <f>IFERROR(__xludf.DUMMYFUNCTION("""COMPUTED_VALUE"""),"Không phân công")</f>
        <v>Không phân công</v>
      </c>
    </row>
    <row r="469">
      <c r="A469" s="265" t="str">
        <f>IFERROR(__xludf.DUMMYFUNCTION("""COMPUTED_VALUE"""),"806")</f>
        <v>806</v>
      </c>
      <c r="B469" s="265" t="str">
        <f>IFERROR(__xludf.DUMMYFUNCTION("""COMPUTED_VALUE"""),"Hà Nội")</f>
        <v>Hà Nội</v>
      </c>
      <c r="C469" s="265" t="str">
        <f>IFERROR(__xludf.DUMMYFUNCTION("""COMPUTED_VALUE"""),"Locked")</f>
        <v>Locked</v>
      </c>
      <c r="D469" s="265" t="str">
        <f>IFERROR(__xludf.DUMMYFUNCTION("""COMPUTED_VALUE"""),"Sale chưa cung cấp")</f>
        <v>Sale chưa cung cấp</v>
      </c>
      <c r="E469" s="265" t="str">
        <f>IFERROR(__xludf.DUMMYFUNCTION("""COMPUTED_VALUE"""),"TùngLD")</f>
        <v>TùngLD</v>
      </c>
      <c r="F469" s="265" t="str">
        <f>IFERROR(__xludf.DUMMYFUNCTION("""COMPUTED_VALUE"""),"Sale chưa cung cấp")</f>
        <v>Sale chưa cung cấp</v>
      </c>
      <c r="G469" s="265" t="str">
        <f>IFERROR(__xludf.DUMMYFUNCTION("""COMPUTED_VALUE"""),"Enterprise")</f>
        <v>Enterprise</v>
      </c>
      <c r="H469" s="265" t="str">
        <f>IFERROR(__xludf.DUMMYFUNCTION("""COMPUTED_VALUE"""),"Trả sau")</f>
        <v>Trả sau</v>
      </c>
      <c r="I469" s="265" t="str">
        <f>IFERROR(__xludf.DUMMYFUNCTION("""COMPUTED_VALUE"""),"Portal")</f>
        <v>Portal</v>
      </c>
      <c r="J469" s="265" t="str">
        <f>IFERROR(__xludf.DUMMYFUNCTION("""COMPUTED_VALUE"""),"Không phân công")</f>
        <v>Không phân công</v>
      </c>
    </row>
    <row r="470">
      <c r="A470" s="265" t="str">
        <f>IFERROR(__xludf.DUMMYFUNCTION("""COMPUTED_VALUE"""),"808")</f>
        <v>808</v>
      </c>
      <c r="B470" s="265" t="str">
        <f>IFERROR(__xludf.DUMMYFUNCTION("""COMPUTED_VALUE"""),"Sài Gòn")</f>
        <v>Sài Gòn</v>
      </c>
      <c r="C470" s="265" t="str">
        <f>IFERROR(__xludf.DUMMYFUNCTION("""COMPUTED_VALUE"""),"Active")</f>
        <v>Active</v>
      </c>
      <c r="D470" s="265" t="str">
        <f>IFERROR(__xludf.DUMMYFUNCTION("""COMPUTED_VALUE"""),"Truyền thông &amp; Giải trí")</f>
        <v>Truyền thông &amp; Giải trí</v>
      </c>
      <c r="E470" s="265" t="str">
        <f>IFERROR(__xludf.DUMMYFUNCTION("""COMPUTED_VALUE"""),"TúPHN")</f>
        <v>TúPHN</v>
      </c>
      <c r="F470" s="265" t="str">
        <f>IFERROR(__xludf.DUMMYFUNCTION("""COMPUTED_VALUE"""),"Bronze")</f>
        <v>Bronze</v>
      </c>
      <c r="G470" s="265" t="str">
        <f>IFERROR(__xludf.DUMMYFUNCTION("""COMPUTED_VALUE"""),"Starter")</f>
        <v>Starter</v>
      </c>
      <c r="H470" s="265" t="str">
        <f>IFERROR(__xludf.DUMMYFUNCTION("""COMPUTED_VALUE"""),"Trả sau")</f>
        <v>Trả sau</v>
      </c>
      <c r="I470" s="265" t="str">
        <f>IFERROR(__xludf.DUMMYFUNCTION("""COMPUTED_VALUE"""),"API")</f>
        <v>API</v>
      </c>
      <c r="J470" s="265" t="str">
        <f>IFERROR(__xludf.DUMMYFUNCTION("""COMPUTED_VALUE"""),"DungPL")</f>
        <v>DungPL</v>
      </c>
    </row>
    <row r="471">
      <c r="A471" s="265" t="str">
        <f>IFERROR(__xludf.DUMMYFUNCTION("""COMPUTED_VALUE"""),"807")</f>
        <v>807</v>
      </c>
      <c r="B471" s="265" t="str">
        <f>IFERROR(__xludf.DUMMYFUNCTION("""COMPUTED_VALUE"""),"Hà Nội")</f>
        <v>Hà Nội</v>
      </c>
      <c r="C471" s="265" t="str">
        <f>IFERROR(__xludf.DUMMYFUNCTION("""COMPUTED_VALUE"""),"Active")</f>
        <v>Active</v>
      </c>
      <c r="D471" s="265" t="str">
        <f>IFERROR(__xludf.DUMMYFUNCTION("""COMPUTED_VALUE"""),"Công nghệ &amp; Phần mềm")</f>
        <v>Công nghệ &amp; Phần mềm</v>
      </c>
      <c r="E471" s="265" t="str">
        <f>IFERROR(__xludf.DUMMYFUNCTION("""COMPUTED_VALUE"""),"Không phân công")</f>
        <v>Không phân công</v>
      </c>
      <c r="F471" s="265" t="str">
        <f>IFERROR(__xludf.DUMMYFUNCTION("""COMPUTED_VALUE"""),"Silver")</f>
        <v>Silver</v>
      </c>
      <c r="G471" s="265" t="str">
        <f>IFERROR(__xludf.DUMMYFUNCTION("""COMPUTED_VALUE"""),"API")</f>
        <v>API</v>
      </c>
      <c r="H471" s="265" t="str">
        <f>IFERROR(__xludf.DUMMYFUNCTION("""COMPUTED_VALUE"""),"Trả sau")</f>
        <v>Trả sau</v>
      </c>
      <c r="I471" s="265" t="str">
        <f>IFERROR(__xludf.DUMMYFUNCTION("""COMPUTED_VALUE"""),"API")</f>
        <v>API</v>
      </c>
      <c r="J471" s="265" t="str">
        <f>IFERROR(__xludf.DUMMYFUNCTION("""COMPUTED_VALUE"""),"DungVT")</f>
        <v>DungVT</v>
      </c>
    </row>
    <row r="472">
      <c r="A472" s="265" t="str">
        <f>IFERROR(__xludf.DUMMYFUNCTION("""COMPUTED_VALUE"""),"788")</f>
        <v>788</v>
      </c>
      <c r="B472" s="265" t="str">
        <f>IFERROR(__xludf.DUMMYFUNCTION("""COMPUTED_VALUE"""),"Hà Nội")</f>
        <v>Hà Nội</v>
      </c>
      <c r="C472" s="265" t="str">
        <f>IFERROR(__xludf.DUMMYFUNCTION("""COMPUTED_VALUE"""),"Active")</f>
        <v>Active</v>
      </c>
      <c r="D472" s="265" t="str">
        <f>IFERROR(__xludf.DUMMYFUNCTION("""COMPUTED_VALUE"""),"Mua sắm &amp; Bán lẻ")</f>
        <v>Mua sắm &amp; Bán lẻ</v>
      </c>
      <c r="E472" s="265" t="str">
        <f>IFERROR(__xludf.DUMMYFUNCTION("""COMPUTED_VALUE"""),"TùngLD")</f>
        <v>TùngLD</v>
      </c>
      <c r="F472" s="265" t="str">
        <f>IFERROR(__xludf.DUMMYFUNCTION("""COMPUTED_VALUE"""),"Bronze")</f>
        <v>Bronze</v>
      </c>
      <c r="G472" s="265" t="str">
        <f>IFERROR(__xludf.DUMMYFUNCTION("""COMPUTED_VALUE"""),"Starter")</f>
        <v>Starter</v>
      </c>
      <c r="H472" s="265" t="str">
        <f>IFERROR(__xludf.DUMMYFUNCTION("""COMPUTED_VALUE"""),"Trả sau")</f>
        <v>Trả sau</v>
      </c>
      <c r="I472" s="265" t="str">
        <f>IFERROR(__xludf.DUMMYFUNCTION("""COMPUTED_VALUE"""),"API &amp; Portal")</f>
        <v>API &amp; Portal</v>
      </c>
      <c r="J472" s="265" t="str">
        <f>IFERROR(__xludf.DUMMYFUNCTION("""COMPUTED_VALUE"""),"DungPL")</f>
        <v>DungPL</v>
      </c>
    </row>
    <row r="473">
      <c r="A473" s="265" t="str">
        <f>IFERROR(__xludf.DUMMYFUNCTION("""COMPUTED_VALUE"""),"809")</f>
        <v>809</v>
      </c>
      <c r="B473" s="265" t="str">
        <f>IFERROR(__xludf.DUMMYFUNCTION("""COMPUTED_VALUE"""),"Hà Nội")</f>
        <v>Hà Nội</v>
      </c>
      <c r="C473" s="265" t="str">
        <f>IFERROR(__xludf.DUMMYFUNCTION("""COMPUTED_VALUE"""),"Locked")</f>
        <v>Locked</v>
      </c>
      <c r="D473" s="265" t="str">
        <f>IFERROR(__xludf.DUMMYFUNCTION("""COMPUTED_VALUE"""),"Sale chưa cung cấp")</f>
        <v>Sale chưa cung cấp</v>
      </c>
      <c r="E473" s="265" t="str">
        <f>IFERROR(__xludf.DUMMYFUNCTION("""COMPUTED_VALUE"""),"TúPHN")</f>
        <v>TúPHN</v>
      </c>
      <c r="F473" s="265" t="str">
        <f>IFERROR(__xludf.DUMMYFUNCTION("""COMPUTED_VALUE"""),"Silver")</f>
        <v>Silver</v>
      </c>
      <c r="G473" s="265" t="str">
        <f>IFERROR(__xludf.DUMMYFUNCTION("""COMPUTED_VALUE"""),"Starter")</f>
        <v>Starter</v>
      </c>
      <c r="H473" s="265" t="str">
        <f>IFERROR(__xludf.DUMMYFUNCTION("""COMPUTED_VALUE"""),"Trial")</f>
        <v>Trial</v>
      </c>
      <c r="I473" s="265" t="str">
        <f>IFERROR(__xludf.DUMMYFUNCTION("""COMPUTED_VALUE"""),"API")</f>
        <v>API</v>
      </c>
      <c r="J473" s="265" t="str">
        <f>IFERROR(__xludf.DUMMYFUNCTION("""COMPUTED_VALUE"""),"(Không recheck)")</f>
        <v>(Không recheck)</v>
      </c>
    </row>
    <row r="474">
      <c r="A474" s="265" t="str">
        <f>IFERROR(__xludf.DUMMYFUNCTION("""COMPUTED_VALUE"""),"810")</f>
        <v>810</v>
      </c>
      <c r="B474" s="265" t="str">
        <f>IFERROR(__xludf.DUMMYFUNCTION("""COMPUTED_VALUE"""),"Hà Nội")</f>
        <v>Hà Nội</v>
      </c>
      <c r="C474" s="265" t="str">
        <f>IFERROR(__xludf.DUMMYFUNCTION("""COMPUTED_VALUE"""),"Locked")</f>
        <v>Locked</v>
      </c>
      <c r="D474" s="265" t="str">
        <f>IFERROR(__xludf.DUMMYFUNCTION("""COMPUTED_VALUE"""),"Sale chưa cung cấp")</f>
        <v>Sale chưa cung cấp</v>
      </c>
      <c r="E474" s="265" t="str">
        <f>IFERROR(__xludf.DUMMYFUNCTION("""COMPUTED_VALUE"""),"HangNT")</f>
        <v>HangNT</v>
      </c>
      <c r="F474" s="265" t="str">
        <f>IFERROR(__xludf.DUMMYFUNCTION("""COMPUTED_VALUE"""),"Sale chưa cung cấp")</f>
        <v>Sale chưa cung cấp</v>
      </c>
      <c r="G474" s="265" t="str">
        <f>IFERROR(__xludf.DUMMYFUNCTION("""COMPUTED_VALUE"""),"Starter")</f>
        <v>Starter</v>
      </c>
      <c r="H474" s="265" t="str">
        <f>IFERROR(__xludf.DUMMYFUNCTION("""COMPUTED_VALUE"""),"Trial")</f>
        <v>Trial</v>
      </c>
      <c r="I474" s="265" t="str">
        <f>IFERROR(__xludf.DUMMYFUNCTION("""COMPUTED_VALUE"""),"API")</f>
        <v>API</v>
      </c>
      <c r="J474" s="265" t="str">
        <f>IFERROR(__xludf.DUMMYFUNCTION("""COMPUTED_VALUE"""),"(Không recheck)")</f>
        <v>(Không recheck)</v>
      </c>
    </row>
    <row r="475">
      <c r="A475" s="265" t="str">
        <f>IFERROR(__xludf.DUMMYFUNCTION("""COMPUTED_VALUE"""),"811")</f>
        <v>811</v>
      </c>
      <c r="B475" s="265" t="str">
        <f>IFERROR(__xludf.DUMMYFUNCTION("""COMPUTED_VALUE"""),"Hà Nội")</f>
        <v>Hà Nội</v>
      </c>
      <c r="C475" s="265" t="str">
        <f>IFERROR(__xludf.DUMMYFUNCTION("""COMPUTED_VALUE"""),"Active")</f>
        <v>Active</v>
      </c>
      <c r="D475" s="265" t="str">
        <f>IFERROR(__xludf.DUMMYFUNCTION("""COMPUTED_VALUE"""),"Truyền thông &amp; Giải trí")</f>
        <v>Truyền thông &amp; Giải trí</v>
      </c>
      <c r="E475" s="265" t="str">
        <f>IFERROR(__xludf.DUMMYFUNCTION("""COMPUTED_VALUE"""),"TúPHN")</f>
        <v>TúPHN</v>
      </c>
      <c r="F475" s="265" t="str">
        <f>IFERROR(__xludf.DUMMYFUNCTION("""COMPUTED_VALUE"""),"Bronze")</f>
        <v>Bronze</v>
      </c>
      <c r="G475" s="265" t="str">
        <f>IFERROR(__xludf.DUMMYFUNCTION("""COMPUTED_VALUE"""),"Starter")</f>
        <v>Starter</v>
      </c>
      <c r="H475" s="265" t="str">
        <f>IFERROR(__xludf.DUMMYFUNCTION("""COMPUTED_VALUE"""),"Trả sau")</f>
        <v>Trả sau</v>
      </c>
      <c r="I475" s="265" t="str">
        <f>IFERROR(__xludf.DUMMYFUNCTION("""COMPUTED_VALUE"""),"API")</f>
        <v>API</v>
      </c>
      <c r="J475" s="265" t="str">
        <f>IFERROR(__xludf.DUMMYFUNCTION("""COMPUTED_VALUE"""),"Không phân công")</f>
        <v>Không phân công</v>
      </c>
    </row>
    <row r="476">
      <c r="A476" s="265" t="str">
        <f>IFERROR(__xludf.DUMMYFUNCTION("""COMPUTED_VALUE"""),"812")</f>
        <v>812</v>
      </c>
      <c r="B476" s="265" t="str">
        <f>IFERROR(__xludf.DUMMYFUNCTION("""COMPUTED_VALUE"""),"Sài Gòn")</f>
        <v>Sài Gòn</v>
      </c>
      <c r="C476" s="265" t="str">
        <f>IFERROR(__xludf.DUMMYFUNCTION("""COMPUTED_VALUE"""),"Locked")</f>
        <v>Locked</v>
      </c>
      <c r="D476" s="265" t="str">
        <f>IFERROR(__xludf.DUMMYFUNCTION("""COMPUTED_VALUE"""),"Sản xuất &amp; Chế tạo")</f>
        <v>Sản xuất &amp; Chế tạo</v>
      </c>
      <c r="E476" s="265" t="str">
        <f>IFERROR(__xludf.DUMMYFUNCTION("""COMPUTED_VALUE"""),"HoaNTM")</f>
        <v>HoaNTM</v>
      </c>
      <c r="F476" s="265" t="str">
        <f>IFERROR(__xludf.DUMMYFUNCTION("""COMPUTED_VALUE"""),"Sale chưa cung cấp")</f>
        <v>Sale chưa cung cấp</v>
      </c>
      <c r="G476" s="265" t="str">
        <f>IFERROR(__xludf.DUMMYFUNCTION("""COMPUTED_VALUE"""),"API")</f>
        <v>API</v>
      </c>
      <c r="H476" s="265" t="str">
        <f>IFERROR(__xludf.DUMMYFUNCTION("""COMPUTED_VALUE"""),"Trả sau")</f>
        <v>Trả sau</v>
      </c>
      <c r="I476" s="265" t="str">
        <f>IFERROR(__xludf.DUMMYFUNCTION("""COMPUTED_VALUE"""),"API")</f>
        <v>API</v>
      </c>
      <c r="J476" s="265" t="str">
        <f>IFERROR(__xludf.DUMMYFUNCTION("""COMPUTED_VALUE"""),"(Chưa recheck)")</f>
        <v>(Chưa recheck)</v>
      </c>
    </row>
    <row r="477">
      <c r="A477" s="265" t="str">
        <f>IFERROR(__xludf.DUMMYFUNCTION("""COMPUTED_VALUE"""),"813")</f>
        <v>813</v>
      </c>
      <c r="B477" s="265" t="str">
        <f>IFERROR(__xludf.DUMMYFUNCTION("""COMPUTED_VALUE"""),"Sài Gòn")</f>
        <v>Sài Gòn</v>
      </c>
      <c r="C477" s="265" t="str">
        <f>IFERROR(__xludf.DUMMYFUNCTION("""COMPUTED_VALUE"""),"Locked")</f>
        <v>Locked</v>
      </c>
      <c r="D477" s="265" t="str">
        <f>IFERROR(__xludf.DUMMYFUNCTION("""COMPUTED_VALUE"""),"Giáo dục &amp; Đào tạo")</f>
        <v>Giáo dục &amp; Đào tạo</v>
      </c>
      <c r="E477" s="265" t="str">
        <f>IFERROR(__xludf.DUMMYFUNCTION("""COMPUTED_VALUE"""),"HoaNTM")</f>
        <v>HoaNTM</v>
      </c>
      <c r="F477" s="265" t="str">
        <f>IFERROR(__xludf.DUMMYFUNCTION("""COMPUTED_VALUE"""),"Sale chưa cung cấp")</f>
        <v>Sale chưa cung cấp</v>
      </c>
      <c r="G477" s="265" t="str">
        <f>IFERROR(__xludf.DUMMYFUNCTION("""COMPUTED_VALUE"""),"Premium")</f>
        <v>Premium</v>
      </c>
      <c r="H477" s="265" t="str">
        <f>IFERROR(__xludf.DUMMYFUNCTION("""COMPUTED_VALUE"""),"Trial")</f>
        <v>Trial</v>
      </c>
      <c r="I477" s="265" t="str">
        <f>IFERROR(__xludf.DUMMYFUNCTION("""COMPUTED_VALUE"""),"API &amp; Portal")</f>
        <v>API &amp; Portal</v>
      </c>
      <c r="J477" s="265" t="str">
        <f>IFERROR(__xludf.DUMMYFUNCTION("""COMPUTED_VALUE"""),"(Chưa recheck)")</f>
        <v>(Chưa recheck)</v>
      </c>
    </row>
    <row r="478">
      <c r="A478" s="265" t="str">
        <f>IFERROR(__xludf.DUMMYFUNCTION("""COMPUTED_VALUE"""),"814")</f>
        <v>814</v>
      </c>
      <c r="B478" s="265" t="str">
        <f>IFERROR(__xludf.DUMMYFUNCTION("""COMPUTED_VALUE"""),"Sài Gòn")</f>
        <v>Sài Gòn</v>
      </c>
      <c r="C478" s="265" t="str">
        <f>IFERROR(__xludf.DUMMYFUNCTION("""COMPUTED_VALUE"""),"Active")</f>
        <v>Active</v>
      </c>
      <c r="D478" s="265" t="str">
        <f>IFERROR(__xludf.DUMMYFUNCTION("""COMPUTED_VALUE"""),"Thực phẩm &amp; Đồ uống")</f>
        <v>Thực phẩm &amp; Đồ uống</v>
      </c>
      <c r="E478" s="265" t="str">
        <f>IFERROR(__xludf.DUMMYFUNCTION("""COMPUTED_VALUE"""),"TrâmNNB")</f>
        <v>TrâmNNB</v>
      </c>
      <c r="F478" s="265" t="str">
        <f>IFERROR(__xludf.DUMMYFUNCTION("""COMPUTED_VALUE"""),"Diamond")</f>
        <v>Diamond</v>
      </c>
      <c r="G478" s="265" t="str">
        <f>IFERROR(__xludf.DUMMYFUNCTION("""COMPUTED_VALUE"""),"Enterprise")</f>
        <v>Enterprise</v>
      </c>
      <c r="H478" s="265" t="str">
        <f>IFERROR(__xludf.DUMMYFUNCTION("""COMPUTED_VALUE"""),"Trả sau")</f>
        <v>Trả sau</v>
      </c>
      <c r="I478" s="265" t="str">
        <f>IFERROR(__xludf.DUMMYFUNCTION("""COMPUTED_VALUE"""),"API &amp; Portal")</f>
        <v>API &amp; Portal</v>
      </c>
      <c r="J478" s="265" t="str">
        <f>IFERROR(__xludf.DUMMYFUNCTION("""COMPUTED_VALUE"""),"Không phân công")</f>
        <v>Không phân công</v>
      </c>
    </row>
    <row r="479">
      <c r="A479" s="265" t="str">
        <f>IFERROR(__xludf.DUMMYFUNCTION("""COMPUTED_VALUE"""),"815")</f>
        <v>815</v>
      </c>
      <c r="B479" s="265" t="str">
        <f>IFERROR(__xludf.DUMMYFUNCTION("""COMPUTED_VALUE"""),"Sài Gòn")</f>
        <v>Sài Gòn</v>
      </c>
      <c r="C479" s="265" t="str">
        <f>IFERROR(__xludf.DUMMYFUNCTION("""COMPUTED_VALUE"""),"Locked")</f>
        <v>Locked</v>
      </c>
      <c r="D479" s="265" t="str">
        <f>IFERROR(__xludf.DUMMYFUNCTION("""COMPUTED_VALUE"""),"Sản xuất &amp; Chế tạo")</f>
        <v>Sản xuất &amp; Chế tạo</v>
      </c>
      <c r="E479" s="265" t="str">
        <f>IFERROR(__xludf.DUMMYFUNCTION("""COMPUTED_VALUE"""),"HoaNTM")</f>
        <v>HoaNTM</v>
      </c>
      <c r="F479" s="265" t="str">
        <f>IFERROR(__xludf.DUMMYFUNCTION("""COMPUTED_VALUE"""),"Silver")</f>
        <v>Silver</v>
      </c>
      <c r="G479" s="265" t="str">
        <f>IFERROR(__xludf.DUMMYFUNCTION("""COMPUTED_VALUE"""),"Starter")</f>
        <v>Starter</v>
      </c>
      <c r="H479" s="265" t="str">
        <f>IFERROR(__xludf.DUMMYFUNCTION("""COMPUTED_VALUE"""),"Trial")</f>
        <v>Trial</v>
      </c>
      <c r="I479" s="265" t="str">
        <f>IFERROR(__xludf.DUMMYFUNCTION("""COMPUTED_VALUE"""),"Portal")</f>
        <v>Portal</v>
      </c>
      <c r="J479" s="265" t="str">
        <f>IFERROR(__xludf.DUMMYFUNCTION("""COMPUTED_VALUE"""),"AnhNM")</f>
        <v>AnhNM</v>
      </c>
    </row>
    <row r="480">
      <c r="A480" s="265" t="str">
        <f>IFERROR(__xludf.DUMMYFUNCTION("""COMPUTED_VALUE"""),"820")</f>
        <v>820</v>
      </c>
      <c r="B480" s="265" t="str">
        <f>IFERROR(__xludf.DUMMYFUNCTION("""COMPUTED_VALUE"""),"Sài Gòn")</f>
        <v>Sài Gòn</v>
      </c>
      <c r="C480" s="265" t="str">
        <f>IFERROR(__xludf.DUMMYFUNCTION("""COMPUTED_VALUE"""),"Locked")</f>
        <v>Locked</v>
      </c>
      <c r="D480" s="265" t="str">
        <f>IFERROR(__xludf.DUMMYFUNCTION("""COMPUTED_VALUE"""),"Thực phẩm &amp; Đồ uống")</f>
        <v>Thực phẩm &amp; Đồ uống</v>
      </c>
      <c r="E480" s="265" t="str">
        <f>IFERROR(__xludf.DUMMYFUNCTION("""COMPUTED_VALUE"""),"HoaNTM")</f>
        <v>HoaNTM</v>
      </c>
      <c r="F480" s="265" t="str">
        <f>IFERROR(__xludf.DUMMYFUNCTION("""COMPUTED_VALUE"""),"Sale chưa cung cấp")</f>
        <v>Sale chưa cung cấp</v>
      </c>
      <c r="G480" s="265" t="str">
        <f>IFERROR(__xludf.DUMMYFUNCTION("""COMPUTED_VALUE"""),"Enterprise")</f>
        <v>Enterprise</v>
      </c>
      <c r="H480" s="265" t="str">
        <f>IFERROR(__xludf.DUMMYFUNCTION("""COMPUTED_VALUE"""),"Trả sau")</f>
        <v>Trả sau</v>
      </c>
      <c r="I480" s="265" t="str">
        <f>IFERROR(__xludf.DUMMYFUNCTION("""COMPUTED_VALUE"""),"API &amp; Portal")</f>
        <v>API &amp; Portal</v>
      </c>
      <c r="J480" s="265" t="str">
        <f>IFERROR(__xludf.DUMMYFUNCTION("""COMPUTED_VALUE"""),"YếnĐH")</f>
        <v>YếnĐH</v>
      </c>
    </row>
    <row r="481">
      <c r="A481" s="265" t="str">
        <f>IFERROR(__xludf.DUMMYFUNCTION("""COMPUTED_VALUE"""),"821")</f>
        <v>821</v>
      </c>
      <c r="B481" s="265" t="str">
        <f>IFERROR(__xludf.DUMMYFUNCTION("""COMPUTED_VALUE"""),"Sài Gòn")</f>
        <v>Sài Gòn</v>
      </c>
      <c r="C481" s="265" t="str">
        <f>IFERROR(__xludf.DUMMYFUNCTION("""COMPUTED_VALUE"""),"Locked")</f>
        <v>Locked</v>
      </c>
      <c r="D481" s="265" t="str">
        <f>IFERROR(__xludf.DUMMYFUNCTION("""COMPUTED_VALUE"""),"Thực phẩm &amp; Đồ uống")</f>
        <v>Thực phẩm &amp; Đồ uống</v>
      </c>
      <c r="E481" s="265" t="str">
        <f>IFERROR(__xludf.DUMMYFUNCTION("""COMPUTED_VALUE"""),"HoaNTM")</f>
        <v>HoaNTM</v>
      </c>
      <c r="F481" s="265" t="str">
        <f>IFERROR(__xludf.DUMMYFUNCTION("""COMPUTED_VALUE"""),"Sale chưa cung cấp")</f>
        <v>Sale chưa cung cấp</v>
      </c>
      <c r="G481" s="265" t="str">
        <f>IFERROR(__xludf.DUMMYFUNCTION("""COMPUTED_VALUE"""),"Enterprise")</f>
        <v>Enterprise</v>
      </c>
      <c r="H481" s="265" t="str">
        <f>IFERROR(__xludf.DUMMYFUNCTION("""COMPUTED_VALUE"""),"Trả sau")</f>
        <v>Trả sau</v>
      </c>
      <c r="I481" s="265" t="str">
        <f>IFERROR(__xludf.DUMMYFUNCTION("""COMPUTED_VALUE"""),"API &amp; Portal")</f>
        <v>API &amp; Portal</v>
      </c>
      <c r="J481" s="265" t="str">
        <f>IFERROR(__xludf.DUMMYFUNCTION("""COMPUTED_VALUE"""),"YếnĐH")</f>
        <v>YếnĐH</v>
      </c>
    </row>
    <row r="482">
      <c r="A482" s="265" t="str">
        <f>IFERROR(__xludf.DUMMYFUNCTION("""COMPUTED_VALUE"""),"816")</f>
        <v>816</v>
      </c>
      <c r="B482" s="265" t="str">
        <f>IFERROR(__xludf.DUMMYFUNCTION("""COMPUTED_VALUE"""),"Hà Nội")</f>
        <v>Hà Nội</v>
      </c>
      <c r="C482" s="265" t="str">
        <f>IFERROR(__xludf.DUMMYFUNCTION("""COMPUTED_VALUE"""),"Locked")</f>
        <v>Locked</v>
      </c>
      <c r="D482" s="265" t="str">
        <f>IFERROR(__xludf.DUMMYFUNCTION("""COMPUTED_VALUE"""),"Sale chưa cung cấp")</f>
        <v>Sale chưa cung cấp</v>
      </c>
      <c r="E482" s="265" t="str">
        <f>IFERROR(__xludf.DUMMYFUNCTION("""COMPUTED_VALUE"""),"TùngLD")</f>
        <v>TùngLD</v>
      </c>
      <c r="F482" s="265" t="str">
        <f>IFERROR(__xludf.DUMMYFUNCTION("""COMPUTED_VALUE"""),"Gold")</f>
        <v>Gold</v>
      </c>
      <c r="G482" s="265" t="str">
        <f>IFERROR(__xludf.DUMMYFUNCTION("""COMPUTED_VALUE"""),"Premium")</f>
        <v>Premium</v>
      </c>
      <c r="H482" s="265" t="str">
        <f>IFERROR(__xludf.DUMMYFUNCTION("""COMPUTED_VALUE"""),"Trả sau")</f>
        <v>Trả sau</v>
      </c>
      <c r="I482" s="265" t="str">
        <f>IFERROR(__xludf.DUMMYFUNCTION("""COMPUTED_VALUE"""),"API")</f>
        <v>API</v>
      </c>
      <c r="J482" s="265" t="str">
        <f>IFERROR(__xludf.DUMMYFUNCTION("""COMPUTED_VALUE"""),"YếnĐH")</f>
        <v>YếnĐH</v>
      </c>
    </row>
    <row r="483">
      <c r="A483" s="265" t="str">
        <f>IFERROR(__xludf.DUMMYFUNCTION("""COMPUTED_VALUE"""),"817")</f>
        <v>817</v>
      </c>
      <c r="B483" s="265" t="str">
        <f>IFERROR(__xludf.DUMMYFUNCTION("""COMPUTED_VALUE"""),"Hà Nội")</f>
        <v>Hà Nội</v>
      </c>
      <c r="C483" s="265" t="str">
        <f>IFERROR(__xludf.DUMMYFUNCTION("""COMPUTED_VALUE"""),"Locked")</f>
        <v>Locked</v>
      </c>
      <c r="D483" s="265" t="str">
        <f>IFERROR(__xludf.DUMMYFUNCTION("""COMPUTED_VALUE"""),"Sale chưa cung cấp")</f>
        <v>Sale chưa cung cấp</v>
      </c>
      <c r="E483" s="265" t="str">
        <f>IFERROR(__xludf.DUMMYFUNCTION("""COMPUTED_VALUE"""),"AnhNM")</f>
        <v>AnhNM</v>
      </c>
      <c r="F483" s="265" t="str">
        <f>IFERROR(__xludf.DUMMYFUNCTION("""COMPUTED_VALUE"""),"Bronze")</f>
        <v>Bronze</v>
      </c>
      <c r="G483" s="265" t="str">
        <f>IFERROR(__xludf.DUMMYFUNCTION("""COMPUTED_VALUE"""),"Starter")</f>
        <v>Starter</v>
      </c>
      <c r="H483" s="265" t="str">
        <f>IFERROR(__xludf.DUMMYFUNCTION("""COMPUTED_VALUE"""),"Trả trước")</f>
        <v>Trả trước</v>
      </c>
      <c r="I483" s="265" t="str">
        <f>IFERROR(__xludf.DUMMYFUNCTION("""COMPUTED_VALUE"""),"Portal")</f>
        <v>Portal</v>
      </c>
      <c r="J483" s="265" t="str">
        <f>IFERROR(__xludf.DUMMYFUNCTION("""COMPUTED_VALUE"""),"LinhNTT1")</f>
        <v>LinhNTT1</v>
      </c>
    </row>
    <row r="484">
      <c r="A484" s="265" t="str">
        <f>IFERROR(__xludf.DUMMYFUNCTION("""COMPUTED_VALUE"""),"819")</f>
        <v>819</v>
      </c>
      <c r="B484" s="265" t="str">
        <f>IFERROR(__xludf.DUMMYFUNCTION("""COMPUTED_VALUE"""),"Đà Nẵng")</f>
        <v>Đà Nẵng</v>
      </c>
      <c r="C484" s="265" t="str">
        <f>IFERROR(__xludf.DUMMYFUNCTION("""COMPUTED_VALUE"""),"Active")</f>
        <v>Active</v>
      </c>
      <c r="D484" s="265" t="str">
        <f>IFERROR(__xludf.DUMMYFUNCTION("""COMPUTED_VALUE"""),"Sale chưa cung cấp")</f>
        <v>Sale chưa cung cấp</v>
      </c>
      <c r="E484" s="265" t="str">
        <f>IFERROR(__xludf.DUMMYFUNCTION("""COMPUTED_VALUE"""),"AnhNM")</f>
        <v>AnhNM</v>
      </c>
      <c r="F484" s="265" t="str">
        <f>IFERROR(__xludf.DUMMYFUNCTION("""COMPUTED_VALUE"""),"Bronze")</f>
        <v>Bronze</v>
      </c>
      <c r="G484" s="265" t="str">
        <f>IFERROR(__xludf.DUMMYFUNCTION("""COMPUTED_VALUE"""),"Starter")</f>
        <v>Starter</v>
      </c>
      <c r="H484" s="265" t="str">
        <f>IFERROR(__xludf.DUMMYFUNCTION("""COMPUTED_VALUE"""),"Trả sau")</f>
        <v>Trả sau</v>
      </c>
      <c r="I484" s="265" t="str">
        <f>IFERROR(__xludf.DUMMYFUNCTION("""COMPUTED_VALUE"""),"API")</f>
        <v>API</v>
      </c>
      <c r="J484" s="265" t="str">
        <f>IFERROR(__xludf.DUMMYFUNCTION("""COMPUTED_VALUE"""),"DungPL")</f>
        <v>DungPL</v>
      </c>
    </row>
    <row r="485">
      <c r="A485" s="265" t="str">
        <f>IFERROR(__xludf.DUMMYFUNCTION("""COMPUTED_VALUE"""),"818")</f>
        <v>818</v>
      </c>
      <c r="B485" s="265" t="str">
        <f>IFERROR(__xludf.DUMMYFUNCTION("""COMPUTED_VALUE"""),"Đà Nẵng")</f>
        <v>Đà Nẵng</v>
      </c>
      <c r="C485" s="265" t="str">
        <f>IFERROR(__xludf.DUMMYFUNCTION("""COMPUTED_VALUE"""),"Locked")</f>
        <v>Locked</v>
      </c>
      <c r="D485" s="265" t="str">
        <f>IFERROR(__xludf.DUMMYFUNCTION("""COMPUTED_VALUE"""),"Mua sắm &amp; Bán lẻ")</f>
        <v>Mua sắm &amp; Bán lẻ</v>
      </c>
      <c r="E485" s="265" t="str">
        <f>IFERROR(__xludf.DUMMYFUNCTION("""COMPUTED_VALUE"""),"TúPHN")</f>
        <v>TúPHN</v>
      </c>
      <c r="F485" s="265" t="str">
        <f>IFERROR(__xludf.DUMMYFUNCTION("""COMPUTED_VALUE"""),"Gold")</f>
        <v>Gold</v>
      </c>
      <c r="G485" s="265" t="str">
        <f>IFERROR(__xludf.DUMMYFUNCTION("""COMPUTED_VALUE"""),"Enterprise")</f>
        <v>Enterprise</v>
      </c>
      <c r="H485" s="265" t="str">
        <f>IFERROR(__xludf.DUMMYFUNCTION("""COMPUTED_VALUE"""),"Trả trước")</f>
        <v>Trả trước</v>
      </c>
      <c r="I485" s="265" t="str">
        <f>IFERROR(__xludf.DUMMYFUNCTION("""COMPUTED_VALUE"""),"API &amp; Portal")</f>
        <v>API &amp; Portal</v>
      </c>
      <c r="J485" s="265" t="str">
        <f>IFERROR(__xludf.DUMMYFUNCTION("""COMPUTED_VALUE"""),"LinhNTT1")</f>
        <v>LinhNTT1</v>
      </c>
    </row>
    <row r="486">
      <c r="A486" s="265" t="str">
        <f>IFERROR(__xludf.DUMMYFUNCTION("""COMPUTED_VALUE"""),"822")</f>
        <v>822</v>
      </c>
      <c r="B486" s="265" t="str">
        <f>IFERROR(__xludf.DUMMYFUNCTION("""COMPUTED_VALUE"""),"Hà Nội")</f>
        <v>Hà Nội</v>
      </c>
      <c r="C486" s="265" t="str">
        <f>IFERROR(__xludf.DUMMYFUNCTION("""COMPUTED_VALUE"""),"Active")</f>
        <v>Active</v>
      </c>
      <c r="D486" s="265" t="str">
        <f>IFERROR(__xludf.DUMMYFUNCTION("""COMPUTED_VALUE"""),"Công nghệ &amp; Phần mềm")</f>
        <v>Công nghệ &amp; Phần mềm</v>
      </c>
      <c r="E486" s="265" t="str">
        <f>IFERROR(__xludf.DUMMYFUNCTION("""COMPUTED_VALUE"""),"TùngLD")</f>
        <v>TùngLD</v>
      </c>
      <c r="F486" s="265" t="str">
        <f>IFERROR(__xludf.DUMMYFUNCTION("""COMPUTED_VALUE"""),"Silver")</f>
        <v>Silver</v>
      </c>
      <c r="G486" s="265" t="str">
        <f>IFERROR(__xludf.DUMMYFUNCTION("""COMPUTED_VALUE"""),"Premium")</f>
        <v>Premium</v>
      </c>
      <c r="H486" s="265" t="str">
        <f>IFERROR(__xludf.DUMMYFUNCTION("""COMPUTED_VALUE"""),"Trả sau")</f>
        <v>Trả sau</v>
      </c>
      <c r="I486" s="265" t="str">
        <f>IFERROR(__xludf.DUMMYFUNCTION("""COMPUTED_VALUE"""),"Portal")</f>
        <v>Portal</v>
      </c>
      <c r="J486" s="265" t="str">
        <f>IFERROR(__xludf.DUMMYFUNCTION("""COMPUTED_VALUE"""),"YếnĐH")</f>
        <v>YếnĐH</v>
      </c>
    </row>
    <row r="487">
      <c r="A487" s="265" t="str">
        <f>IFERROR(__xludf.DUMMYFUNCTION("""COMPUTED_VALUE"""),"823")</f>
        <v>823</v>
      </c>
      <c r="B487" s="265" t="str">
        <f>IFERROR(__xludf.DUMMYFUNCTION("""COMPUTED_VALUE"""),"Sài Gòn")</f>
        <v>Sài Gòn</v>
      </c>
      <c r="C487" s="265" t="str">
        <f>IFERROR(__xludf.DUMMYFUNCTION("""COMPUTED_VALUE"""),"Active")</f>
        <v>Active</v>
      </c>
      <c r="D487" s="265" t="str">
        <f>IFERROR(__xludf.DUMMYFUNCTION("""COMPUTED_VALUE"""),"Sale chưa cung cấp")</f>
        <v>Sale chưa cung cấp</v>
      </c>
      <c r="E487" s="265" t="str">
        <f>IFERROR(__xludf.DUMMYFUNCTION("""COMPUTED_VALUE"""),"TùngLD")</f>
        <v>TùngLD</v>
      </c>
      <c r="F487" s="265" t="str">
        <f>IFERROR(__xludf.DUMMYFUNCTION("""COMPUTED_VALUE"""),"Diamond")</f>
        <v>Diamond</v>
      </c>
      <c r="G487" s="265" t="str">
        <f>IFERROR(__xludf.DUMMYFUNCTION("""COMPUTED_VALUE"""),"Enterprise")</f>
        <v>Enterprise</v>
      </c>
      <c r="H487" s="265" t="str">
        <f>IFERROR(__xludf.DUMMYFUNCTION("""COMPUTED_VALUE"""),"Trả sau")</f>
        <v>Trả sau</v>
      </c>
      <c r="I487" s="265" t="str">
        <f>IFERROR(__xludf.DUMMYFUNCTION("""COMPUTED_VALUE"""),"API &amp; Portal")</f>
        <v>API &amp; Portal</v>
      </c>
      <c r="J487" s="265" t="str">
        <f>IFERROR(__xludf.DUMMYFUNCTION("""COMPUTED_VALUE"""),"Không phân công")</f>
        <v>Không phân công</v>
      </c>
    </row>
    <row r="488">
      <c r="A488" s="265" t="str">
        <f>IFERROR(__xludf.DUMMYFUNCTION("""COMPUTED_VALUE"""),"761")</f>
        <v>761</v>
      </c>
      <c r="B488" s="265" t="str">
        <f>IFERROR(__xludf.DUMMYFUNCTION("""COMPUTED_VALUE"""),"Hà Nội")</f>
        <v>Hà Nội</v>
      </c>
      <c r="C488" s="265" t="str">
        <f>IFERROR(__xludf.DUMMYFUNCTION("""COMPUTED_VALUE"""),"Locked")</f>
        <v>Locked</v>
      </c>
      <c r="D488" s="265" t="str">
        <f>IFERROR(__xludf.DUMMYFUNCTION("""COMPUTED_VALUE"""),"Y tế &amp; Dược phẩm")</f>
        <v>Y tế &amp; Dược phẩm</v>
      </c>
      <c r="E488" s="265" t="str">
        <f>IFERROR(__xludf.DUMMYFUNCTION("""COMPUTED_VALUE"""),"TùngLD")</f>
        <v>TùngLD</v>
      </c>
      <c r="F488" s="265" t="str">
        <f>IFERROR(__xludf.DUMMYFUNCTION("""COMPUTED_VALUE"""),"Sale chưa cung cấp")</f>
        <v>Sale chưa cung cấp</v>
      </c>
      <c r="G488" s="265" t="str">
        <f>IFERROR(__xludf.DUMMYFUNCTION("""COMPUTED_VALUE"""),"Premium")</f>
        <v>Premium</v>
      </c>
      <c r="H488" s="265" t="str">
        <f>IFERROR(__xludf.DUMMYFUNCTION("""COMPUTED_VALUE"""),"Trial")</f>
        <v>Trial</v>
      </c>
      <c r="I488" s="265" t="str">
        <f>IFERROR(__xludf.DUMMYFUNCTION("""COMPUTED_VALUE"""),"API")</f>
        <v>API</v>
      </c>
      <c r="J488" s="265" t="str">
        <f>IFERROR(__xludf.DUMMYFUNCTION("""COMPUTED_VALUE"""),"AnhNM")</f>
        <v>AnhNM</v>
      </c>
    </row>
    <row r="489">
      <c r="A489" s="265" t="str">
        <f>IFERROR(__xludf.DUMMYFUNCTION("""COMPUTED_VALUE"""),"824")</f>
        <v>824</v>
      </c>
      <c r="B489" s="265" t="str">
        <f>IFERROR(__xludf.DUMMYFUNCTION("""COMPUTED_VALUE"""),"Hà Nội")</f>
        <v>Hà Nội</v>
      </c>
      <c r="C489" s="265" t="str">
        <f>IFERROR(__xludf.DUMMYFUNCTION("""COMPUTED_VALUE"""),"Locked")</f>
        <v>Locked</v>
      </c>
      <c r="D489" s="265" t="str">
        <f>IFERROR(__xludf.DUMMYFUNCTION("""COMPUTED_VALUE"""),"Sale chưa cung cấp")</f>
        <v>Sale chưa cung cấp</v>
      </c>
      <c r="E489" s="265" t="str">
        <f>IFERROR(__xludf.DUMMYFUNCTION("""COMPUTED_VALUE"""),"TùngLD")</f>
        <v>TùngLD</v>
      </c>
      <c r="F489" s="265" t="str">
        <f>IFERROR(__xludf.DUMMYFUNCTION("""COMPUTED_VALUE"""),"Diamond")</f>
        <v>Diamond</v>
      </c>
      <c r="G489" s="265" t="str">
        <f>IFERROR(__xludf.DUMMYFUNCTION("""COMPUTED_VALUE"""),"Starter")</f>
        <v>Starter</v>
      </c>
      <c r="H489" s="265" t="str">
        <f>IFERROR(__xludf.DUMMYFUNCTION("""COMPUTED_VALUE"""),"Trial")</f>
        <v>Trial</v>
      </c>
      <c r="I489" s="265" t="str">
        <f>IFERROR(__xludf.DUMMYFUNCTION("""COMPUTED_VALUE"""),"Portal")</f>
        <v>Portal</v>
      </c>
      <c r="J489" s="265" t="str">
        <f>IFERROR(__xludf.DUMMYFUNCTION("""COMPUTED_VALUE"""),"(Không recheck)")</f>
        <v>(Không recheck)</v>
      </c>
    </row>
    <row r="490">
      <c r="A490" s="265" t="str">
        <f>IFERROR(__xludf.DUMMYFUNCTION("""COMPUTED_VALUE"""),"825")</f>
        <v>825</v>
      </c>
      <c r="B490" s="265" t="str">
        <f>IFERROR(__xludf.DUMMYFUNCTION("""COMPUTED_VALUE"""),"Hà Nội")</f>
        <v>Hà Nội</v>
      </c>
      <c r="C490" s="265" t="str">
        <f>IFERROR(__xludf.DUMMYFUNCTION("""COMPUTED_VALUE"""),"Active")</f>
        <v>Active</v>
      </c>
      <c r="D490" s="265" t="str">
        <f>IFERROR(__xludf.DUMMYFUNCTION("""COMPUTED_VALUE"""),"Sale chưa cung cấp")</f>
        <v>Sale chưa cung cấp</v>
      </c>
      <c r="E490" s="265" t="str">
        <f>IFERROR(__xludf.DUMMYFUNCTION("""COMPUTED_VALUE"""),"AnhNM")</f>
        <v>AnhNM</v>
      </c>
      <c r="F490" s="265" t="str">
        <f>IFERROR(__xludf.DUMMYFUNCTION("""COMPUTED_VALUE"""),"Silver")</f>
        <v>Silver</v>
      </c>
      <c r="G490" s="265" t="str">
        <f>IFERROR(__xludf.DUMMYFUNCTION("""COMPUTED_VALUE"""),"Starter")</f>
        <v>Starter</v>
      </c>
      <c r="H490" s="265" t="str">
        <f>IFERROR(__xludf.DUMMYFUNCTION("""COMPUTED_VALUE"""),"Trả trước")</f>
        <v>Trả trước</v>
      </c>
      <c r="I490" s="265" t="str">
        <f>IFERROR(__xludf.DUMMYFUNCTION("""COMPUTED_VALUE"""),"Portal")</f>
        <v>Portal</v>
      </c>
      <c r="J490" s="265" t="str">
        <f>IFERROR(__xludf.DUMMYFUNCTION("""COMPUTED_VALUE"""),"YếnĐH")</f>
        <v>YếnĐH</v>
      </c>
    </row>
    <row r="491">
      <c r="A491" s="265" t="str">
        <f>IFERROR(__xludf.DUMMYFUNCTION("""COMPUTED_VALUE"""),"826")</f>
        <v>826</v>
      </c>
      <c r="B491" s="265" t="str">
        <f>IFERROR(__xludf.DUMMYFUNCTION("""COMPUTED_VALUE"""),"Sài Gòn")</f>
        <v>Sài Gòn</v>
      </c>
      <c r="C491" s="265" t="str">
        <f>IFERROR(__xludf.DUMMYFUNCTION("""COMPUTED_VALUE"""),"Locked")</f>
        <v>Locked</v>
      </c>
      <c r="D491" s="265" t="str">
        <f>IFERROR(__xludf.DUMMYFUNCTION("""COMPUTED_VALUE"""),"Sản xuất &amp; Chế tạo")</f>
        <v>Sản xuất &amp; Chế tạo</v>
      </c>
      <c r="E491" s="265" t="str">
        <f>IFERROR(__xludf.DUMMYFUNCTION("""COMPUTED_VALUE"""),"HoaNTM")</f>
        <v>HoaNTM</v>
      </c>
      <c r="F491" s="265" t="str">
        <f>IFERROR(__xludf.DUMMYFUNCTION("""COMPUTED_VALUE"""),"Sale chưa cung cấp")</f>
        <v>Sale chưa cung cấp</v>
      </c>
      <c r="G491" s="265" t="str">
        <f>IFERROR(__xludf.DUMMYFUNCTION("""COMPUTED_VALUE"""),"API")</f>
        <v>API</v>
      </c>
      <c r="H491" s="265" t="str">
        <f>IFERROR(__xludf.DUMMYFUNCTION("""COMPUTED_VALUE"""),"Trả trước")</f>
        <v>Trả trước</v>
      </c>
      <c r="I491" s="265" t="str">
        <f>IFERROR(__xludf.DUMMYFUNCTION("""COMPUTED_VALUE"""),"API")</f>
        <v>API</v>
      </c>
      <c r="J491" s="265" t="str">
        <f>IFERROR(__xludf.DUMMYFUNCTION("""COMPUTED_VALUE"""),"AnhNM")</f>
        <v>AnhNM</v>
      </c>
    </row>
    <row r="492">
      <c r="A492" s="265" t="str">
        <f>IFERROR(__xludf.DUMMYFUNCTION("""COMPUTED_VALUE"""),"827")</f>
        <v>827</v>
      </c>
      <c r="B492" s="265" t="str">
        <f>IFERROR(__xludf.DUMMYFUNCTION("""COMPUTED_VALUE"""),"Sài Gòn")</f>
        <v>Sài Gòn</v>
      </c>
      <c r="C492" s="265" t="str">
        <f>IFERROR(__xludf.DUMMYFUNCTION("""COMPUTED_VALUE"""),"Locked")</f>
        <v>Locked</v>
      </c>
      <c r="D492" s="265" t="str">
        <f>IFERROR(__xludf.DUMMYFUNCTION("""COMPUTED_VALUE"""),"Mua sắm &amp; Bán lẻ")</f>
        <v>Mua sắm &amp; Bán lẻ</v>
      </c>
      <c r="E492" s="265" t="str">
        <f>IFERROR(__xludf.DUMMYFUNCTION("""COMPUTED_VALUE"""),"TúPHN")</f>
        <v>TúPHN</v>
      </c>
      <c r="F492" s="265" t="str">
        <f>IFERROR(__xludf.DUMMYFUNCTION("""COMPUTED_VALUE"""),"Silver")</f>
        <v>Silver</v>
      </c>
      <c r="G492" s="265" t="str">
        <f>IFERROR(__xludf.DUMMYFUNCTION("""COMPUTED_VALUE"""),"Premium")</f>
        <v>Premium</v>
      </c>
      <c r="H492" s="265" t="str">
        <f>IFERROR(__xludf.DUMMYFUNCTION("""COMPUTED_VALUE"""),"Trả sau")</f>
        <v>Trả sau</v>
      </c>
      <c r="I492" s="265" t="str">
        <f>IFERROR(__xludf.DUMMYFUNCTION("""COMPUTED_VALUE"""),"API &amp; Portal")</f>
        <v>API &amp; Portal</v>
      </c>
      <c r="J492" s="265" t="str">
        <f>IFERROR(__xludf.DUMMYFUNCTION("""COMPUTED_VALUE"""),"DungPL")</f>
        <v>DungPL</v>
      </c>
    </row>
    <row r="493">
      <c r="A493" s="265" t="str">
        <f>IFERROR(__xludf.DUMMYFUNCTION("""COMPUTED_VALUE"""),"828")</f>
        <v>828</v>
      </c>
      <c r="B493" s="265" t="str">
        <f>IFERROR(__xludf.DUMMYFUNCTION("""COMPUTED_VALUE"""),"Hà Nội")</f>
        <v>Hà Nội</v>
      </c>
      <c r="C493" s="265" t="str">
        <f>IFERROR(__xludf.DUMMYFUNCTION("""COMPUTED_VALUE"""),"Active")</f>
        <v>Active</v>
      </c>
      <c r="D493" s="265" t="str">
        <f>IFERROR(__xludf.DUMMYFUNCTION("""COMPUTED_VALUE"""),"Vận tải &amp; logistics")</f>
        <v>Vận tải &amp; logistics</v>
      </c>
      <c r="E493" s="265" t="str">
        <f>IFERROR(__xludf.DUMMYFUNCTION("""COMPUTED_VALUE"""),"TùngLD")</f>
        <v>TùngLD</v>
      </c>
      <c r="F493" s="265" t="str">
        <f>IFERROR(__xludf.DUMMYFUNCTION("""COMPUTED_VALUE"""),"Silver")</f>
        <v>Silver</v>
      </c>
      <c r="G493" s="265" t="str">
        <f>IFERROR(__xludf.DUMMYFUNCTION("""COMPUTED_VALUE"""),"Premium")</f>
        <v>Premium</v>
      </c>
      <c r="H493" s="265" t="str">
        <f>IFERROR(__xludf.DUMMYFUNCTION("""COMPUTED_VALUE"""),"Trả sau")</f>
        <v>Trả sau</v>
      </c>
      <c r="I493" s="265" t="str">
        <f>IFERROR(__xludf.DUMMYFUNCTION("""COMPUTED_VALUE"""),"API &amp; Portal")</f>
        <v>API &amp; Portal</v>
      </c>
      <c r="J493" s="265" t="str">
        <f>IFERROR(__xludf.DUMMYFUNCTION("""COMPUTED_VALUE"""),"DungPL")</f>
        <v>DungPL</v>
      </c>
    </row>
    <row r="494">
      <c r="A494" s="265" t="str">
        <f>IFERROR(__xludf.DUMMYFUNCTION("""COMPUTED_VALUE"""),"829")</f>
        <v>829</v>
      </c>
      <c r="B494" s="265" t="str">
        <f>IFERROR(__xludf.DUMMYFUNCTION("""COMPUTED_VALUE"""),"Sài Gòn")</f>
        <v>Sài Gòn</v>
      </c>
      <c r="C494" s="265" t="str">
        <f>IFERROR(__xludf.DUMMYFUNCTION("""COMPUTED_VALUE"""),"Locked")</f>
        <v>Locked</v>
      </c>
      <c r="D494" s="265" t="str">
        <f>IFERROR(__xludf.DUMMYFUNCTION("""COMPUTED_VALUE"""),"Sale chưa cung cấp")</f>
        <v>Sale chưa cung cấp</v>
      </c>
      <c r="E494" s="265" t="str">
        <f>IFERROR(__xludf.DUMMYFUNCTION("""COMPUTED_VALUE"""),"TùngLD")</f>
        <v>TùngLD</v>
      </c>
      <c r="F494" s="265" t="str">
        <f>IFERROR(__xludf.DUMMYFUNCTION("""COMPUTED_VALUE"""),"Silver")</f>
        <v>Silver</v>
      </c>
      <c r="G494" s="265" t="str">
        <f>IFERROR(__xludf.DUMMYFUNCTION("""COMPUTED_VALUE"""),"Starter")</f>
        <v>Starter</v>
      </c>
      <c r="H494" s="265" t="str">
        <f>IFERROR(__xludf.DUMMYFUNCTION("""COMPUTED_VALUE"""),"Trial")</f>
        <v>Trial</v>
      </c>
      <c r="I494" s="265" t="str">
        <f>IFERROR(__xludf.DUMMYFUNCTION("""COMPUTED_VALUE"""),"API")</f>
        <v>API</v>
      </c>
      <c r="J494" s="265" t="str">
        <f>IFERROR(__xludf.DUMMYFUNCTION("""COMPUTED_VALUE"""),"AnhNM")</f>
        <v>AnhNM</v>
      </c>
    </row>
    <row r="495">
      <c r="A495" s="265" t="str">
        <f>IFERROR(__xludf.DUMMYFUNCTION("""COMPUTED_VALUE"""),"830")</f>
        <v>830</v>
      </c>
      <c r="B495" s="265" t="str">
        <f>IFERROR(__xludf.DUMMYFUNCTION("""COMPUTED_VALUE"""),"Hà Nội")</f>
        <v>Hà Nội</v>
      </c>
      <c r="C495" s="265" t="str">
        <f>IFERROR(__xludf.DUMMYFUNCTION("""COMPUTED_VALUE"""),"Locked")</f>
        <v>Locked</v>
      </c>
      <c r="D495" s="265" t="str">
        <f>IFERROR(__xludf.DUMMYFUNCTION("""COMPUTED_VALUE"""),"Viễn thông")</f>
        <v>Viễn thông</v>
      </c>
      <c r="E495" s="265" t="str">
        <f>IFERROR(__xludf.DUMMYFUNCTION("""COMPUTED_VALUE"""),"TúPHN")</f>
        <v>TúPHN</v>
      </c>
      <c r="F495" s="265" t="str">
        <f>IFERROR(__xludf.DUMMYFUNCTION("""COMPUTED_VALUE"""),"Gold")</f>
        <v>Gold</v>
      </c>
      <c r="G495" s="265" t="str">
        <f>IFERROR(__xludf.DUMMYFUNCTION("""COMPUTED_VALUE"""),"Starter")</f>
        <v>Starter</v>
      </c>
      <c r="H495" s="265" t="str">
        <f>IFERROR(__xludf.DUMMYFUNCTION("""COMPUTED_VALUE"""),"Trả sau")</f>
        <v>Trả sau</v>
      </c>
      <c r="I495" s="265" t="str">
        <f>IFERROR(__xludf.DUMMYFUNCTION("""COMPUTED_VALUE"""),"API")</f>
        <v>API</v>
      </c>
      <c r="J495" s="265" t="str">
        <f>IFERROR(__xludf.DUMMYFUNCTION("""COMPUTED_VALUE"""),"LinhNTT1")</f>
        <v>LinhNTT1</v>
      </c>
    </row>
    <row r="496">
      <c r="A496" s="265" t="str">
        <f>IFERROR(__xludf.DUMMYFUNCTION("""COMPUTED_VALUE"""),"837")</f>
        <v>837</v>
      </c>
      <c r="B496" s="265" t="str">
        <f>IFERROR(__xludf.DUMMYFUNCTION("""COMPUTED_VALUE"""),"Sài Gòn")</f>
        <v>Sài Gòn</v>
      </c>
      <c r="C496" s="265" t="str">
        <f>IFERROR(__xludf.DUMMYFUNCTION("""COMPUTED_VALUE"""),"Locked")</f>
        <v>Locked</v>
      </c>
      <c r="D496" s="265" t="str">
        <f>IFERROR(__xludf.DUMMYFUNCTION("""COMPUTED_VALUE"""),"Sale chưa cung cấp")</f>
        <v>Sale chưa cung cấp</v>
      </c>
      <c r="E496" s="265" t="str">
        <f>IFERROR(__xludf.DUMMYFUNCTION("""COMPUTED_VALUE"""),"TùngLD")</f>
        <v>TùngLD</v>
      </c>
      <c r="F496" s="265" t="str">
        <f>IFERROR(__xludf.DUMMYFUNCTION("""COMPUTED_VALUE"""),"Gold")</f>
        <v>Gold</v>
      </c>
      <c r="G496" s="265" t="str">
        <f>IFERROR(__xludf.DUMMYFUNCTION("""COMPUTED_VALUE"""),"Premium")</f>
        <v>Premium</v>
      </c>
      <c r="H496" s="265" t="str">
        <f>IFERROR(__xludf.DUMMYFUNCTION("""COMPUTED_VALUE"""),"Trả sau")</f>
        <v>Trả sau</v>
      </c>
      <c r="I496" s="265" t="str">
        <f>IFERROR(__xludf.DUMMYFUNCTION("""COMPUTED_VALUE"""),"API")</f>
        <v>API</v>
      </c>
      <c r="J496" s="265" t="str">
        <f>IFERROR(__xludf.DUMMYFUNCTION("""COMPUTED_VALUE"""),"DungPL")</f>
        <v>DungPL</v>
      </c>
    </row>
    <row r="497">
      <c r="A497" s="265" t="str">
        <f>IFERROR(__xludf.DUMMYFUNCTION("""COMPUTED_VALUE"""),"833")</f>
        <v>833</v>
      </c>
      <c r="B497" s="265" t="str">
        <f>IFERROR(__xludf.DUMMYFUNCTION("""COMPUTED_VALUE"""),"Hà Nội")</f>
        <v>Hà Nội</v>
      </c>
      <c r="C497" s="265" t="str">
        <f>IFERROR(__xludf.DUMMYFUNCTION("""COMPUTED_VALUE"""),"Locked")</f>
        <v>Locked</v>
      </c>
      <c r="D497" s="265" t="str">
        <f>IFERROR(__xludf.DUMMYFUNCTION("""COMPUTED_VALUE"""),"Sale chưa cung cấp")</f>
        <v>Sale chưa cung cấp</v>
      </c>
      <c r="E497" s="265" t="str">
        <f>IFERROR(__xludf.DUMMYFUNCTION("""COMPUTED_VALUE"""),"TùngLD")</f>
        <v>TùngLD</v>
      </c>
      <c r="F497" s="265" t="str">
        <f>IFERROR(__xludf.DUMMYFUNCTION("""COMPUTED_VALUE"""),"Sale chưa cung cấp")</f>
        <v>Sale chưa cung cấp</v>
      </c>
      <c r="G497" s="265" t="str">
        <f>IFERROR(__xludf.DUMMYFUNCTION("""COMPUTED_VALUE"""),"(Không recheck)")</f>
        <v>(Không recheck)</v>
      </c>
      <c r="H497" s="265" t="str">
        <f>IFERROR(__xludf.DUMMYFUNCTION("""COMPUTED_VALUE"""),"Trial")</f>
        <v>Trial</v>
      </c>
      <c r="I497" s="265" t="str">
        <f>IFERROR(__xludf.DUMMYFUNCTION("""COMPUTED_VALUE"""),"API")</f>
        <v>API</v>
      </c>
      <c r="J497" s="265" t="str">
        <f>IFERROR(__xludf.DUMMYFUNCTION("""COMPUTED_VALUE"""),"AnhNM")</f>
        <v>AnhNM</v>
      </c>
    </row>
    <row r="498">
      <c r="A498" s="265" t="str">
        <f>IFERROR(__xludf.DUMMYFUNCTION("""COMPUTED_VALUE"""),"834")</f>
        <v>834</v>
      </c>
      <c r="B498" s="265" t="str">
        <f>IFERROR(__xludf.DUMMYFUNCTION("""COMPUTED_VALUE"""),"Hà Nội")</f>
        <v>Hà Nội</v>
      </c>
      <c r="C498" s="265" t="str">
        <f>IFERROR(__xludf.DUMMYFUNCTION("""COMPUTED_VALUE"""),"Locked")</f>
        <v>Locked</v>
      </c>
      <c r="D498" s="265" t="str">
        <f>IFERROR(__xludf.DUMMYFUNCTION("""COMPUTED_VALUE"""),"Sale chưa cung cấp")</f>
        <v>Sale chưa cung cấp</v>
      </c>
      <c r="E498" s="265" t="str">
        <f>IFERROR(__xludf.DUMMYFUNCTION("""COMPUTED_VALUE"""),"AnhNM")</f>
        <v>AnhNM</v>
      </c>
      <c r="F498" s="265" t="str">
        <f>IFERROR(__xludf.DUMMYFUNCTION("""COMPUTED_VALUE"""),"Sale chưa cung cấp")</f>
        <v>Sale chưa cung cấp</v>
      </c>
      <c r="G498" s="265" t="str">
        <f>IFERROR(__xludf.DUMMYFUNCTION("""COMPUTED_VALUE"""),"Premium")</f>
        <v>Premium</v>
      </c>
      <c r="H498" s="265" t="str">
        <f>IFERROR(__xludf.DUMMYFUNCTION("""COMPUTED_VALUE"""),"Trả trước")</f>
        <v>Trả trước</v>
      </c>
      <c r="I498" s="265" t="str">
        <f>IFERROR(__xludf.DUMMYFUNCTION("""COMPUTED_VALUE"""),"API &amp; Portal")</f>
        <v>API &amp; Portal</v>
      </c>
      <c r="J498" s="265" t="str">
        <f>IFERROR(__xludf.DUMMYFUNCTION("""COMPUTED_VALUE"""),"LinhNTT1")</f>
        <v>LinhNTT1</v>
      </c>
    </row>
    <row r="499">
      <c r="A499" s="265" t="str">
        <f>IFERROR(__xludf.DUMMYFUNCTION("""COMPUTED_VALUE"""),"836")</f>
        <v>836</v>
      </c>
      <c r="B499" s="265" t="str">
        <f>IFERROR(__xludf.DUMMYFUNCTION("""COMPUTED_VALUE"""),"Sài Gòn")</f>
        <v>Sài Gòn</v>
      </c>
      <c r="C499" s="265" t="str">
        <f>IFERROR(__xludf.DUMMYFUNCTION("""COMPUTED_VALUE"""),"Locked")</f>
        <v>Locked</v>
      </c>
      <c r="D499" s="265" t="str">
        <f>IFERROR(__xludf.DUMMYFUNCTION("""COMPUTED_VALUE"""),"Sale chưa cung cấp")</f>
        <v>Sale chưa cung cấp</v>
      </c>
      <c r="E499" s="265" t="str">
        <f>IFERROR(__xludf.DUMMYFUNCTION("""COMPUTED_VALUE"""),"HoaNTM")</f>
        <v>HoaNTM</v>
      </c>
      <c r="F499" s="265" t="str">
        <f>IFERROR(__xludf.DUMMYFUNCTION("""COMPUTED_VALUE"""),"Diamond")</f>
        <v>Diamond</v>
      </c>
      <c r="G499" s="265" t="str">
        <f>IFERROR(__xludf.DUMMYFUNCTION("""COMPUTED_VALUE"""),"API")</f>
        <v>API</v>
      </c>
      <c r="H499" s="265" t="str">
        <f>IFERROR(__xludf.DUMMYFUNCTION("""COMPUTED_VALUE"""),"Trả trước")</f>
        <v>Trả trước</v>
      </c>
      <c r="I499" s="265" t="str">
        <f>IFERROR(__xludf.DUMMYFUNCTION("""COMPUTED_VALUE"""),"API")</f>
        <v>API</v>
      </c>
      <c r="J499" s="265" t="str">
        <f>IFERROR(__xludf.DUMMYFUNCTION("""COMPUTED_VALUE"""),"LinhNTT1")</f>
        <v>LinhNTT1</v>
      </c>
    </row>
    <row r="500">
      <c r="A500" s="265" t="str">
        <f>IFERROR(__xludf.DUMMYFUNCTION("""COMPUTED_VALUE"""),"838")</f>
        <v>838</v>
      </c>
      <c r="B500" s="265" t="str">
        <f>IFERROR(__xludf.DUMMYFUNCTION("""COMPUTED_VALUE"""),"Hà Nội")</f>
        <v>Hà Nội</v>
      </c>
      <c r="C500" s="265" t="str">
        <f>IFERROR(__xludf.DUMMYFUNCTION("""COMPUTED_VALUE"""),"Locked")</f>
        <v>Locked</v>
      </c>
      <c r="D500" s="265" t="str">
        <f>IFERROR(__xludf.DUMMYFUNCTION("""COMPUTED_VALUE"""),"Dịch vụ khác")</f>
        <v>Dịch vụ khác</v>
      </c>
      <c r="E500" s="265" t="str">
        <f>IFERROR(__xludf.DUMMYFUNCTION("""COMPUTED_VALUE"""),"AnhNM")</f>
        <v>AnhNM</v>
      </c>
      <c r="F500" s="265" t="str">
        <f>IFERROR(__xludf.DUMMYFUNCTION("""COMPUTED_VALUE"""),"Sale chưa cung cấp")</f>
        <v>Sale chưa cung cấp</v>
      </c>
      <c r="G500" s="265" t="str">
        <f>IFERROR(__xludf.DUMMYFUNCTION("""COMPUTED_VALUE"""),"Premium")</f>
        <v>Premium</v>
      </c>
      <c r="H500" s="265" t="str">
        <f>IFERROR(__xludf.DUMMYFUNCTION("""COMPUTED_VALUE"""),"Trả trước")</f>
        <v>Trả trước</v>
      </c>
      <c r="I500" s="265" t="str">
        <f>IFERROR(__xludf.DUMMYFUNCTION("""COMPUTED_VALUE"""),"API &amp; Portal")</f>
        <v>API &amp; Portal</v>
      </c>
      <c r="J500" s="265" t="str">
        <f>IFERROR(__xludf.DUMMYFUNCTION("""COMPUTED_VALUE"""),"DungPL")</f>
        <v>DungPL</v>
      </c>
    </row>
    <row r="501">
      <c r="A501" s="265" t="str">
        <f>IFERROR(__xludf.DUMMYFUNCTION("""COMPUTED_VALUE"""),"884")</f>
        <v>884</v>
      </c>
      <c r="B501" s="265" t="str">
        <f>IFERROR(__xludf.DUMMYFUNCTION("""COMPUTED_VALUE"""),"Đà Nẵng")</f>
        <v>Đà Nẵng</v>
      </c>
      <c r="C501" s="265" t="str">
        <f>IFERROR(__xludf.DUMMYFUNCTION("""COMPUTED_VALUE"""),"Locked")</f>
        <v>Locked</v>
      </c>
      <c r="D501" s="265" t="str">
        <f>IFERROR(__xludf.DUMMYFUNCTION("""COMPUTED_VALUE"""),"Thời trang &amp; May mặc")</f>
        <v>Thời trang &amp; May mặc</v>
      </c>
      <c r="E501" s="265" t="str">
        <f>IFERROR(__xludf.DUMMYFUNCTION("""COMPUTED_VALUE"""),"TúPHN")</f>
        <v>TúPHN</v>
      </c>
      <c r="F501" s="265" t="str">
        <f>IFERROR(__xludf.DUMMYFUNCTION("""COMPUTED_VALUE"""),"Bronze")</f>
        <v>Bronze</v>
      </c>
      <c r="G501" s="265" t="str">
        <f>IFERROR(__xludf.DUMMYFUNCTION("""COMPUTED_VALUE"""),"Starter")</f>
        <v>Starter</v>
      </c>
      <c r="H501" s="265" t="str">
        <f>IFERROR(__xludf.DUMMYFUNCTION("""COMPUTED_VALUE"""),"Trả sau")</f>
        <v>Trả sau</v>
      </c>
      <c r="I501" s="265" t="str">
        <f>IFERROR(__xludf.DUMMYFUNCTION("""COMPUTED_VALUE"""),"Portal")</f>
        <v>Portal</v>
      </c>
      <c r="J501" s="265" t="str">
        <f>IFERROR(__xludf.DUMMYFUNCTION("""COMPUTED_VALUE"""),"DungPL")</f>
        <v>DungPL</v>
      </c>
    </row>
    <row r="502">
      <c r="A502" s="265" t="str">
        <f>IFERROR(__xludf.DUMMYFUNCTION("""COMPUTED_VALUE"""),"839")</f>
        <v>839</v>
      </c>
      <c r="B502" s="265" t="str">
        <f>IFERROR(__xludf.DUMMYFUNCTION("""COMPUTED_VALUE"""),"Sài Gòn")</f>
        <v>Sài Gòn</v>
      </c>
      <c r="C502" s="265" t="str">
        <f>IFERROR(__xludf.DUMMYFUNCTION("""COMPUTED_VALUE"""),"Locked")</f>
        <v>Locked</v>
      </c>
      <c r="D502" s="265" t="str">
        <f>IFERROR(__xludf.DUMMYFUNCTION("""COMPUTED_VALUE"""),"Sale chưa cung cấp")</f>
        <v>Sale chưa cung cấp</v>
      </c>
      <c r="E502" s="265" t="str">
        <f>IFERROR(__xludf.DUMMYFUNCTION("""COMPUTED_VALUE"""),"HoaNTM")</f>
        <v>HoaNTM</v>
      </c>
      <c r="F502" s="265" t="str">
        <f>IFERROR(__xludf.DUMMYFUNCTION("""COMPUTED_VALUE"""),"Diamond")</f>
        <v>Diamond</v>
      </c>
      <c r="G502" s="265" t="str">
        <f>IFERROR(__xludf.DUMMYFUNCTION("""COMPUTED_VALUE"""),"Enterprise")</f>
        <v>Enterprise</v>
      </c>
      <c r="H502" s="265" t="str">
        <f>IFERROR(__xludf.DUMMYFUNCTION("""COMPUTED_VALUE"""),"Trả sau")</f>
        <v>Trả sau</v>
      </c>
      <c r="I502" s="265" t="str">
        <f>IFERROR(__xludf.DUMMYFUNCTION("""COMPUTED_VALUE"""),"Portal")</f>
        <v>Portal</v>
      </c>
      <c r="J502" s="265" t="str">
        <f>IFERROR(__xludf.DUMMYFUNCTION("""COMPUTED_VALUE"""),"YếnĐH")</f>
        <v>YếnĐH</v>
      </c>
    </row>
    <row r="503">
      <c r="A503" s="265" t="str">
        <f>IFERROR(__xludf.DUMMYFUNCTION("""COMPUTED_VALUE"""),"841")</f>
        <v>841</v>
      </c>
      <c r="B503" s="265" t="str">
        <f>IFERROR(__xludf.DUMMYFUNCTION("""COMPUTED_VALUE"""),"Sài Gòn")</f>
        <v>Sài Gòn</v>
      </c>
      <c r="C503" s="265" t="str">
        <f>IFERROR(__xludf.DUMMYFUNCTION("""COMPUTED_VALUE"""),"Locked")</f>
        <v>Locked</v>
      </c>
      <c r="D503" s="265" t="str">
        <f>IFERROR(__xludf.DUMMYFUNCTION("""COMPUTED_VALUE"""),"Vận tải &amp; logistics")</f>
        <v>Vận tải &amp; logistics</v>
      </c>
      <c r="E503" s="265" t="str">
        <f>IFERROR(__xludf.DUMMYFUNCTION("""COMPUTED_VALUE"""),"TúPHN")</f>
        <v>TúPHN</v>
      </c>
      <c r="F503" s="265" t="str">
        <f>IFERROR(__xludf.DUMMYFUNCTION("""COMPUTED_VALUE"""),"Sale chưa cung cấp")</f>
        <v>Sale chưa cung cấp</v>
      </c>
      <c r="G503" s="265" t="str">
        <f>IFERROR(__xludf.DUMMYFUNCTION("""COMPUTED_VALUE"""),"Starter")</f>
        <v>Starter</v>
      </c>
      <c r="H503" s="265" t="str">
        <f>IFERROR(__xludf.DUMMYFUNCTION("""COMPUTED_VALUE"""),"Trial")</f>
        <v>Trial</v>
      </c>
      <c r="I503" s="265" t="str">
        <f>IFERROR(__xludf.DUMMYFUNCTION("""COMPUTED_VALUE"""),"API &amp; Portal")</f>
        <v>API &amp; Portal</v>
      </c>
      <c r="J503" s="265" t="str">
        <f>IFERROR(__xludf.DUMMYFUNCTION("""COMPUTED_VALUE"""),"(Không recheck)")</f>
        <v>(Không recheck)</v>
      </c>
    </row>
    <row r="504">
      <c r="A504" s="265" t="str">
        <f>IFERROR(__xludf.DUMMYFUNCTION("""COMPUTED_VALUE"""),"840")</f>
        <v>840</v>
      </c>
      <c r="B504" s="265" t="str">
        <f>IFERROR(__xludf.DUMMYFUNCTION("""COMPUTED_VALUE"""),"Sài Gòn")</f>
        <v>Sài Gòn</v>
      </c>
      <c r="C504" s="265" t="str">
        <f>IFERROR(__xludf.DUMMYFUNCTION("""COMPUTED_VALUE"""),"Locked")</f>
        <v>Locked</v>
      </c>
      <c r="D504" s="265" t="str">
        <f>IFERROR(__xludf.DUMMYFUNCTION("""COMPUTED_VALUE"""),"Thực phẩm &amp; Đồ uống")</f>
        <v>Thực phẩm &amp; Đồ uống</v>
      </c>
      <c r="E504" s="265" t="str">
        <f>IFERROR(__xludf.DUMMYFUNCTION("""COMPUTED_VALUE"""),"HoaNTM")</f>
        <v>HoaNTM</v>
      </c>
      <c r="F504" s="265" t="str">
        <f>IFERROR(__xludf.DUMMYFUNCTION("""COMPUTED_VALUE"""),"Gold")</f>
        <v>Gold</v>
      </c>
      <c r="G504" s="265" t="str">
        <f>IFERROR(__xludf.DUMMYFUNCTION("""COMPUTED_VALUE"""),"API")</f>
        <v>API</v>
      </c>
      <c r="H504" s="265" t="str">
        <f>IFERROR(__xludf.DUMMYFUNCTION("""COMPUTED_VALUE"""),"Trả sau")</f>
        <v>Trả sau</v>
      </c>
      <c r="I504" s="265" t="str">
        <f>IFERROR(__xludf.DUMMYFUNCTION("""COMPUTED_VALUE"""),"API")</f>
        <v>API</v>
      </c>
      <c r="J504" s="265" t="str">
        <f>IFERROR(__xludf.DUMMYFUNCTION("""COMPUTED_VALUE"""),"AnhNM")</f>
        <v>AnhNM</v>
      </c>
    </row>
    <row r="505">
      <c r="A505" s="265" t="str">
        <f>IFERROR(__xludf.DUMMYFUNCTION("""COMPUTED_VALUE"""),"842")</f>
        <v>842</v>
      </c>
      <c r="B505" s="265" t="str">
        <f>IFERROR(__xludf.DUMMYFUNCTION("""COMPUTED_VALUE"""),"Sài Gòn")</f>
        <v>Sài Gòn</v>
      </c>
      <c r="C505" s="265" t="str">
        <f>IFERROR(__xludf.DUMMYFUNCTION("""COMPUTED_VALUE"""),"Locked")</f>
        <v>Locked</v>
      </c>
      <c r="D505" s="265" t="str">
        <f>IFERROR(__xludf.DUMMYFUNCTION("""COMPUTED_VALUE"""),"Bảo hiểm")</f>
        <v>Bảo hiểm</v>
      </c>
      <c r="E505" s="265" t="str">
        <f>IFERROR(__xludf.DUMMYFUNCTION("""COMPUTED_VALUE"""),"HoaNTM")</f>
        <v>HoaNTM</v>
      </c>
      <c r="F505" s="265" t="str">
        <f>IFERROR(__xludf.DUMMYFUNCTION("""COMPUTED_VALUE"""),"Sale chưa cung cấp")</f>
        <v>Sale chưa cung cấp</v>
      </c>
      <c r="G505" s="265" t="str">
        <f>IFERROR(__xludf.DUMMYFUNCTION("""COMPUTED_VALUE"""),"Starter")</f>
        <v>Starter</v>
      </c>
      <c r="H505" s="265" t="str">
        <f>IFERROR(__xludf.DUMMYFUNCTION("""COMPUTED_VALUE"""),"Trial")</f>
        <v>Trial</v>
      </c>
      <c r="I505" s="265" t="str">
        <f>IFERROR(__xludf.DUMMYFUNCTION("""COMPUTED_VALUE"""),"API &amp; Portal")</f>
        <v>API &amp; Portal</v>
      </c>
      <c r="J505" s="265" t="str">
        <f>IFERROR(__xludf.DUMMYFUNCTION("""COMPUTED_VALUE"""),"(Chưa recheck)")</f>
        <v>(Chưa recheck)</v>
      </c>
    </row>
    <row r="506">
      <c r="A506" s="265" t="str">
        <f>IFERROR(__xludf.DUMMYFUNCTION("""COMPUTED_VALUE"""),"843")</f>
        <v>843</v>
      </c>
      <c r="B506" s="265" t="str">
        <f>IFERROR(__xludf.DUMMYFUNCTION("""COMPUTED_VALUE"""),"Sài Gòn")</f>
        <v>Sài Gòn</v>
      </c>
      <c r="C506" s="265" t="str">
        <f>IFERROR(__xludf.DUMMYFUNCTION("""COMPUTED_VALUE"""),"Locked")</f>
        <v>Locked</v>
      </c>
      <c r="D506" s="265" t="str">
        <f>IFERROR(__xludf.DUMMYFUNCTION("""COMPUTED_VALUE"""),"Sale chưa cung cấp")</f>
        <v>Sale chưa cung cấp</v>
      </c>
      <c r="E506" s="265" t="str">
        <f>IFERROR(__xludf.DUMMYFUNCTION("""COMPUTED_VALUE"""),"(Chưa recheck)")</f>
        <v>(Chưa recheck)</v>
      </c>
      <c r="F506" s="265" t="str">
        <f>IFERROR(__xludf.DUMMYFUNCTION("""COMPUTED_VALUE"""),"Sale chưa cung cấp")</f>
        <v>Sale chưa cung cấp</v>
      </c>
      <c r="G506" s="265" t="str">
        <f>IFERROR(__xludf.DUMMYFUNCTION("""COMPUTED_VALUE"""),"Standard")</f>
        <v>Standard</v>
      </c>
      <c r="H506" s="265" t="str">
        <f>IFERROR(__xludf.DUMMYFUNCTION("""COMPUTED_VALUE"""),"Trial")</f>
        <v>Trial</v>
      </c>
      <c r="I506" s="265" t="str">
        <f>IFERROR(__xludf.DUMMYFUNCTION("""COMPUTED_VALUE"""),"API")</f>
        <v>API</v>
      </c>
      <c r="J506" s="265" t="str">
        <f>IFERROR(__xludf.DUMMYFUNCTION("""COMPUTED_VALUE"""),"(Chưa recheck)")</f>
        <v>(Chưa recheck)</v>
      </c>
    </row>
    <row r="507">
      <c r="A507" s="265" t="str">
        <f>IFERROR(__xludf.DUMMYFUNCTION("""COMPUTED_VALUE"""),"844")</f>
        <v>844</v>
      </c>
      <c r="B507" s="265" t="str">
        <f>IFERROR(__xludf.DUMMYFUNCTION("""COMPUTED_VALUE"""),"Sài Gòn")</f>
        <v>Sài Gòn</v>
      </c>
      <c r="C507" s="265" t="str">
        <f>IFERROR(__xludf.DUMMYFUNCTION("""COMPUTED_VALUE"""),"Locked")</f>
        <v>Locked</v>
      </c>
      <c r="D507" s="265" t="str">
        <f>IFERROR(__xludf.DUMMYFUNCTION("""COMPUTED_VALUE"""),"Mua sắm &amp; Bán lẻ")</f>
        <v>Mua sắm &amp; Bán lẻ</v>
      </c>
      <c r="E507" s="265" t="str">
        <f>IFERROR(__xludf.DUMMYFUNCTION("""COMPUTED_VALUE"""),"TúPHN")</f>
        <v>TúPHN</v>
      </c>
      <c r="F507" s="265" t="str">
        <f>IFERROR(__xludf.DUMMYFUNCTION("""COMPUTED_VALUE"""),"Sale chưa cung cấp")</f>
        <v>Sale chưa cung cấp</v>
      </c>
      <c r="G507" s="265" t="str">
        <f>IFERROR(__xludf.DUMMYFUNCTION("""COMPUTED_VALUE"""),"Premium")</f>
        <v>Premium</v>
      </c>
      <c r="H507" s="265" t="str">
        <f>IFERROR(__xludf.DUMMYFUNCTION("""COMPUTED_VALUE"""),"Trial")</f>
        <v>Trial</v>
      </c>
      <c r="I507" s="265" t="str">
        <f>IFERROR(__xludf.DUMMYFUNCTION("""COMPUTED_VALUE"""),"API &amp; Portal")</f>
        <v>API &amp; Portal</v>
      </c>
      <c r="J507" s="265" t="str">
        <f>IFERROR(__xludf.DUMMYFUNCTION("""COMPUTED_VALUE"""),"(Không recheck)")</f>
        <v>(Không recheck)</v>
      </c>
    </row>
    <row r="508">
      <c r="A508" s="265" t="str">
        <f>IFERROR(__xludf.DUMMYFUNCTION("""COMPUTED_VALUE"""),"845")</f>
        <v>845</v>
      </c>
      <c r="B508" s="265" t="str">
        <f>IFERROR(__xludf.DUMMYFUNCTION("""COMPUTED_VALUE"""),"Sài Gòn")</f>
        <v>Sài Gòn</v>
      </c>
      <c r="C508" s="265" t="str">
        <f>IFERROR(__xludf.DUMMYFUNCTION("""COMPUTED_VALUE"""),"Locked")</f>
        <v>Locked</v>
      </c>
      <c r="D508" s="265" t="str">
        <f>IFERROR(__xludf.DUMMYFUNCTION("""COMPUTED_VALUE"""),"Mỹ phẩm &amp; Làm đẹp")</f>
        <v>Mỹ phẩm &amp; Làm đẹp</v>
      </c>
      <c r="E508" s="265" t="str">
        <f>IFERROR(__xludf.DUMMYFUNCTION("""COMPUTED_VALUE"""),"TùngLD")</f>
        <v>TùngLD</v>
      </c>
      <c r="F508" s="265" t="str">
        <f>IFERROR(__xludf.DUMMYFUNCTION("""COMPUTED_VALUE"""),"Sale chưa cung cấp")</f>
        <v>Sale chưa cung cấp</v>
      </c>
      <c r="G508" s="265" t="str">
        <f>IFERROR(__xludf.DUMMYFUNCTION("""COMPUTED_VALUE"""),"Premium")</f>
        <v>Premium</v>
      </c>
      <c r="H508" s="265" t="str">
        <f>IFERROR(__xludf.DUMMYFUNCTION("""COMPUTED_VALUE"""),"Trial")</f>
        <v>Trial</v>
      </c>
      <c r="I508" s="265" t="str">
        <f>IFERROR(__xludf.DUMMYFUNCTION("""COMPUTED_VALUE"""),"API &amp; Portal")</f>
        <v>API &amp; Portal</v>
      </c>
      <c r="J508" s="265" t="str">
        <f>IFERROR(__xludf.DUMMYFUNCTION("""COMPUTED_VALUE"""),"Không phân công")</f>
        <v>Không phân công</v>
      </c>
    </row>
    <row r="509">
      <c r="A509" s="265" t="str">
        <f>IFERROR(__xludf.DUMMYFUNCTION("""COMPUTED_VALUE"""),"846")</f>
        <v>846</v>
      </c>
      <c r="B509" s="265" t="str">
        <f>IFERROR(__xludf.DUMMYFUNCTION("""COMPUTED_VALUE"""),"Hà Nội")</f>
        <v>Hà Nội</v>
      </c>
      <c r="C509" s="265" t="str">
        <f>IFERROR(__xludf.DUMMYFUNCTION("""COMPUTED_VALUE"""),"Locked")</f>
        <v>Locked</v>
      </c>
      <c r="D509" s="265" t="str">
        <f>IFERROR(__xludf.DUMMYFUNCTION("""COMPUTED_VALUE"""),"Hành chính công")</f>
        <v>Hành chính công</v>
      </c>
      <c r="E509" s="265" t="str">
        <f>IFERROR(__xludf.DUMMYFUNCTION("""COMPUTED_VALUE"""),"TùngLD")</f>
        <v>TùngLD</v>
      </c>
      <c r="F509" s="265" t="str">
        <f>IFERROR(__xludf.DUMMYFUNCTION("""COMPUTED_VALUE"""),"Bronze")</f>
        <v>Bronze</v>
      </c>
      <c r="G509" s="265" t="str">
        <f>IFERROR(__xludf.DUMMYFUNCTION("""COMPUTED_VALUE"""),"Premium")</f>
        <v>Premium</v>
      </c>
      <c r="H509" s="265" t="str">
        <f>IFERROR(__xludf.DUMMYFUNCTION("""COMPUTED_VALUE"""),"Trả trước")</f>
        <v>Trả trước</v>
      </c>
      <c r="I509" s="265" t="str">
        <f>IFERROR(__xludf.DUMMYFUNCTION("""COMPUTED_VALUE"""),"Portal")</f>
        <v>Portal</v>
      </c>
      <c r="J509" s="265" t="str">
        <f>IFERROR(__xludf.DUMMYFUNCTION("""COMPUTED_VALUE"""),"Không phân công")</f>
        <v>Không phân công</v>
      </c>
    </row>
    <row r="510">
      <c r="A510" s="265" t="str">
        <f>IFERROR(__xludf.DUMMYFUNCTION("""COMPUTED_VALUE"""),"847")</f>
        <v>847</v>
      </c>
      <c r="B510" s="265" t="str">
        <f>IFERROR(__xludf.DUMMYFUNCTION("""COMPUTED_VALUE"""),"Sài Gòn")</f>
        <v>Sài Gòn</v>
      </c>
      <c r="C510" s="265" t="str">
        <f>IFERROR(__xludf.DUMMYFUNCTION("""COMPUTED_VALUE"""),"Locked")</f>
        <v>Locked</v>
      </c>
      <c r="D510" s="265" t="str">
        <f>IFERROR(__xludf.DUMMYFUNCTION("""COMPUTED_VALUE"""),"Du lịch &amp; Lưu trú")</f>
        <v>Du lịch &amp; Lưu trú</v>
      </c>
      <c r="E510" s="265" t="str">
        <f>IFERROR(__xludf.DUMMYFUNCTION("""COMPUTED_VALUE"""),"TúPHN")</f>
        <v>TúPHN</v>
      </c>
      <c r="F510" s="265" t="str">
        <f>IFERROR(__xludf.DUMMYFUNCTION("""COMPUTED_VALUE"""),"Sale chưa cung cấp")</f>
        <v>Sale chưa cung cấp</v>
      </c>
      <c r="G510" s="265" t="str">
        <f>IFERROR(__xludf.DUMMYFUNCTION("""COMPUTED_VALUE"""),"Premium")</f>
        <v>Premium</v>
      </c>
      <c r="H510" s="265" t="str">
        <f>IFERROR(__xludf.DUMMYFUNCTION("""COMPUTED_VALUE"""),"Trial")</f>
        <v>Trial</v>
      </c>
      <c r="I510" s="265" t="str">
        <f>IFERROR(__xludf.DUMMYFUNCTION("""COMPUTED_VALUE"""),"API &amp; Portal")</f>
        <v>API &amp; Portal</v>
      </c>
      <c r="J510" s="265" t="str">
        <f>IFERROR(__xludf.DUMMYFUNCTION("""COMPUTED_VALUE"""),"(Không recheck)")</f>
        <v>(Không recheck)</v>
      </c>
    </row>
    <row r="511">
      <c r="A511" s="265" t="str">
        <f>IFERROR(__xludf.DUMMYFUNCTION("""COMPUTED_VALUE"""),"848")</f>
        <v>848</v>
      </c>
      <c r="B511" s="265" t="str">
        <f>IFERROR(__xludf.DUMMYFUNCTION("""COMPUTED_VALUE"""),"Sài Gòn")</f>
        <v>Sài Gòn</v>
      </c>
      <c r="C511" s="265" t="str">
        <f>IFERROR(__xludf.DUMMYFUNCTION("""COMPUTED_VALUE"""),"Locked")</f>
        <v>Locked</v>
      </c>
      <c r="D511" s="265" t="str">
        <f>IFERROR(__xludf.DUMMYFUNCTION("""COMPUTED_VALUE"""),"Sale chưa cung cấp")</f>
        <v>Sale chưa cung cấp</v>
      </c>
      <c r="E511" s="265" t="str">
        <f>IFERROR(__xludf.DUMMYFUNCTION("""COMPUTED_VALUE"""),"(Chưa recheck)")</f>
        <v>(Chưa recheck)</v>
      </c>
      <c r="F511" s="265" t="str">
        <f>IFERROR(__xludf.DUMMYFUNCTION("""COMPUTED_VALUE"""),"Sale chưa cung cấp")</f>
        <v>Sale chưa cung cấp</v>
      </c>
      <c r="G511" s="265" t="str">
        <f>IFERROR(__xludf.DUMMYFUNCTION("""COMPUTED_VALUE"""),"(Chưa recheck)")</f>
        <v>(Chưa recheck)</v>
      </c>
      <c r="H511" s="265" t="str">
        <f>IFERROR(__xludf.DUMMYFUNCTION("""COMPUTED_VALUE"""),"Trial")</f>
        <v>Trial</v>
      </c>
      <c r="I511" s="265" t="str">
        <f>IFERROR(__xludf.DUMMYFUNCTION("""COMPUTED_VALUE"""),"(Chưa recheck)")</f>
        <v>(Chưa recheck)</v>
      </c>
      <c r="J511" s="265" t="str">
        <f>IFERROR(__xludf.DUMMYFUNCTION("""COMPUTED_VALUE"""),"(Chưa recheck)")</f>
        <v>(Chưa recheck)</v>
      </c>
    </row>
    <row r="512">
      <c r="A512" s="265" t="str">
        <f>IFERROR(__xludf.DUMMYFUNCTION("""COMPUTED_VALUE"""),"850")</f>
        <v>850</v>
      </c>
      <c r="B512" s="265" t="str">
        <f>IFERROR(__xludf.DUMMYFUNCTION("""COMPUTED_VALUE"""),"Hà Nội")</f>
        <v>Hà Nội</v>
      </c>
      <c r="C512" s="265" t="str">
        <f>IFERROR(__xludf.DUMMYFUNCTION("""COMPUTED_VALUE"""),"Locked")</f>
        <v>Locked</v>
      </c>
      <c r="D512" s="265" t="str">
        <f>IFERROR(__xludf.DUMMYFUNCTION("""COMPUTED_VALUE"""),"Viễn thông")</f>
        <v>Viễn thông</v>
      </c>
      <c r="E512" s="265" t="str">
        <f>IFERROR(__xludf.DUMMYFUNCTION("""COMPUTED_VALUE"""),"TúPHN")</f>
        <v>TúPHN</v>
      </c>
      <c r="F512" s="265" t="str">
        <f>IFERROR(__xludf.DUMMYFUNCTION("""COMPUTED_VALUE"""),"Sale chưa cung cấp")</f>
        <v>Sale chưa cung cấp</v>
      </c>
      <c r="G512" s="265" t="str">
        <f>IFERROR(__xludf.DUMMYFUNCTION("""COMPUTED_VALUE"""),"Premium")</f>
        <v>Premium</v>
      </c>
      <c r="H512" s="265" t="str">
        <f>IFERROR(__xludf.DUMMYFUNCTION("""COMPUTED_VALUE"""),"Trial")</f>
        <v>Trial</v>
      </c>
      <c r="I512" s="265" t="str">
        <f>IFERROR(__xludf.DUMMYFUNCTION("""COMPUTED_VALUE"""),"API")</f>
        <v>API</v>
      </c>
      <c r="J512" s="265" t="str">
        <f>IFERROR(__xludf.DUMMYFUNCTION("""COMPUTED_VALUE"""),"Không phân công")</f>
        <v>Không phân công</v>
      </c>
    </row>
    <row r="513">
      <c r="A513" s="265" t="str">
        <f>IFERROR(__xludf.DUMMYFUNCTION("""COMPUTED_VALUE"""),"849")</f>
        <v>849</v>
      </c>
      <c r="B513" s="265" t="str">
        <f>IFERROR(__xludf.DUMMYFUNCTION("""COMPUTED_VALUE"""),"Hà Nội")</f>
        <v>Hà Nội</v>
      </c>
      <c r="C513" s="265" t="str">
        <f>IFERROR(__xludf.DUMMYFUNCTION("""COMPUTED_VALUE"""),"Locked")</f>
        <v>Locked</v>
      </c>
      <c r="D513" s="265" t="str">
        <f>IFERROR(__xludf.DUMMYFUNCTION("""COMPUTED_VALUE"""),"Sale chưa cung cấp")</f>
        <v>Sale chưa cung cấp</v>
      </c>
      <c r="E513" s="265" t="str">
        <f>IFERROR(__xludf.DUMMYFUNCTION("""COMPUTED_VALUE"""),"AnhNM")</f>
        <v>AnhNM</v>
      </c>
      <c r="F513" s="265" t="str">
        <f>IFERROR(__xludf.DUMMYFUNCTION("""COMPUTED_VALUE"""),"Silver")</f>
        <v>Silver</v>
      </c>
      <c r="G513" s="265" t="str">
        <f>IFERROR(__xludf.DUMMYFUNCTION("""COMPUTED_VALUE"""),"Premium")</f>
        <v>Premium</v>
      </c>
      <c r="H513" s="265" t="str">
        <f>IFERROR(__xludf.DUMMYFUNCTION("""COMPUTED_VALUE"""),"Trả trước")</f>
        <v>Trả trước</v>
      </c>
      <c r="I513" s="265" t="str">
        <f>IFERROR(__xludf.DUMMYFUNCTION("""COMPUTED_VALUE"""),"Portal")</f>
        <v>Portal</v>
      </c>
      <c r="J513" s="265" t="str">
        <f>IFERROR(__xludf.DUMMYFUNCTION("""COMPUTED_VALUE"""),"LinhNTT1")</f>
        <v>LinhNTT1</v>
      </c>
    </row>
    <row r="514">
      <c r="A514" s="265" t="str">
        <f>IFERROR(__xludf.DUMMYFUNCTION("""COMPUTED_VALUE"""),"851")</f>
        <v>851</v>
      </c>
      <c r="B514" s="265" t="str">
        <f>IFERROR(__xludf.DUMMYFUNCTION("""COMPUTED_VALUE"""),"Sài Gòn")</f>
        <v>Sài Gòn</v>
      </c>
      <c r="C514" s="265" t="str">
        <f>IFERROR(__xludf.DUMMYFUNCTION("""COMPUTED_VALUE"""),"Locked")</f>
        <v>Locked</v>
      </c>
      <c r="D514" s="265" t="str">
        <f>IFERROR(__xludf.DUMMYFUNCTION("""COMPUTED_VALUE"""),"Thực phẩm &amp; Đồ uống")</f>
        <v>Thực phẩm &amp; Đồ uống</v>
      </c>
      <c r="E514" s="265" t="str">
        <f>IFERROR(__xludf.DUMMYFUNCTION("""COMPUTED_VALUE"""),"HoaNTM")</f>
        <v>HoaNTM</v>
      </c>
      <c r="F514" s="265" t="str">
        <f>IFERROR(__xludf.DUMMYFUNCTION("""COMPUTED_VALUE"""),"Diamond")</f>
        <v>Diamond</v>
      </c>
      <c r="G514" s="265" t="str">
        <f>IFERROR(__xludf.DUMMYFUNCTION("""COMPUTED_VALUE"""),"Starter")</f>
        <v>Starter</v>
      </c>
      <c r="H514" s="265" t="str">
        <f>IFERROR(__xludf.DUMMYFUNCTION("""COMPUTED_VALUE"""),"Trả trước")</f>
        <v>Trả trước</v>
      </c>
      <c r="I514" s="265" t="str">
        <f>IFERROR(__xludf.DUMMYFUNCTION("""COMPUTED_VALUE"""),"API &amp; Portal")</f>
        <v>API &amp; Portal</v>
      </c>
      <c r="J514" s="265" t="str">
        <f>IFERROR(__xludf.DUMMYFUNCTION("""COMPUTED_VALUE"""),"YếnĐH")</f>
        <v>YếnĐH</v>
      </c>
    </row>
    <row r="515">
      <c r="A515" s="265" t="str">
        <f>IFERROR(__xludf.DUMMYFUNCTION("""COMPUTED_VALUE"""),"853")</f>
        <v>853</v>
      </c>
      <c r="B515" s="265" t="str">
        <f>IFERROR(__xludf.DUMMYFUNCTION("""COMPUTED_VALUE"""),"Sài Gòn")</f>
        <v>Sài Gòn</v>
      </c>
      <c r="C515" s="265" t="str">
        <f>IFERROR(__xludf.DUMMYFUNCTION("""COMPUTED_VALUE"""),"Active")</f>
        <v>Active</v>
      </c>
      <c r="D515" s="265" t="str">
        <f>IFERROR(__xludf.DUMMYFUNCTION("""COMPUTED_VALUE"""),"Sale chưa cung cấp")</f>
        <v>Sale chưa cung cấp</v>
      </c>
      <c r="E515" s="265" t="str">
        <f>IFERROR(__xludf.DUMMYFUNCTION("""COMPUTED_VALUE"""),"TùngLD")</f>
        <v>TùngLD</v>
      </c>
      <c r="F515" s="265" t="str">
        <f>IFERROR(__xludf.DUMMYFUNCTION("""COMPUTED_VALUE"""),"Silver")</f>
        <v>Silver</v>
      </c>
      <c r="G515" s="265" t="str">
        <f>IFERROR(__xludf.DUMMYFUNCTION("""COMPUTED_VALUE"""),"Standard")</f>
        <v>Standard</v>
      </c>
      <c r="H515" s="265" t="str">
        <f>IFERROR(__xludf.DUMMYFUNCTION("""COMPUTED_VALUE"""),"Trả sau")</f>
        <v>Trả sau</v>
      </c>
      <c r="I515" s="265" t="str">
        <f>IFERROR(__xludf.DUMMYFUNCTION("""COMPUTED_VALUE"""),"API")</f>
        <v>API</v>
      </c>
      <c r="J515" s="265" t="str">
        <f>IFERROR(__xludf.DUMMYFUNCTION("""COMPUTED_VALUE"""),"YếnĐH")</f>
        <v>YếnĐH</v>
      </c>
    </row>
    <row r="516">
      <c r="A516" s="265" t="str">
        <f>IFERROR(__xludf.DUMMYFUNCTION("""COMPUTED_VALUE"""),"852")</f>
        <v>852</v>
      </c>
      <c r="B516" s="265" t="str">
        <f>IFERROR(__xludf.DUMMYFUNCTION("""COMPUTED_VALUE"""),"Hà Nội")</f>
        <v>Hà Nội</v>
      </c>
      <c r="C516" s="265" t="str">
        <f>IFERROR(__xludf.DUMMYFUNCTION("""COMPUTED_VALUE"""),"Active")</f>
        <v>Active</v>
      </c>
      <c r="D516" s="265" t="str">
        <f>IFERROR(__xludf.DUMMYFUNCTION("""COMPUTED_VALUE"""),"Mua sắm &amp; Bán lẻ")</f>
        <v>Mua sắm &amp; Bán lẻ</v>
      </c>
      <c r="E516" s="265" t="str">
        <f>IFERROR(__xludf.DUMMYFUNCTION("""COMPUTED_VALUE"""),"TúPHN")</f>
        <v>TúPHN</v>
      </c>
      <c r="F516" s="265" t="str">
        <f>IFERROR(__xludf.DUMMYFUNCTION("""COMPUTED_VALUE"""),"Gold")</f>
        <v>Gold</v>
      </c>
      <c r="G516" s="265" t="str">
        <f>IFERROR(__xludf.DUMMYFUNCTION("""COMPUTED_VALUE"""),"Starter")</f>
        <v>Starter</v>
      </c>
      <c r="H516" s="265" t="str">
        <f>IFERROR(__xludf.DUMMYFUNCTION("""COMPUTED_VALUE"""),"Trả sau")</f>
        <v>Trả sau</v>
      </c>
      <c r="I516" s="265" t="str">
        <f>IFERROR(__xludf.DUMMYFUNCTION("""COMPUTED_VALUE"""),"API &amp; Portal")</f>
        <v>API &amp; Portal</v>
      </c>
      <c r="J516" s="265" t="str">
        <f>IFERROR(__xludf.DUMMYFUNCTION("""COMPUTED_VALUE"""),"LinhNTT1")</f>
        <v>LinhNTT1</v>
      </c>
    </row>
    <row r="517">
      <c r="A517" s="265" t="str">
        <f>IFERROR(__xludf.DUMMYFUNCTION("""COMPUTED_VALUE"""),"854")</f>
        <v>854</v>
      </c>
      <c r="B517" s="265" t="str">
        <f>IFERROR(__xludf.DUMMYFUNCTION("""COMPUTED_VALUE"""),"Hà Nội")</f>
        <v>Hà Nội</v>
      </c>
      <c r="C517" s="265" t="str">
        <f>IFERROR(__xludf.DUMMYFUNCTION("""COMPUTED_VALUE"""),"Active")</f>
        <v>Active</v>
      </c>
      <c r="D517" s="265" t="str">
        <f>IFERROR(__xludf.DUMMYFUNCTION("""COMPUTED_VALUE"""),"Sale chưa cung cấp")</f>
        <v>Sale chưa cung cấp</v>
      </c>
      <c r="E517" s="265" t="str">
        <f>IFERROR(__xludf.DUMMYFUNCTION("""COMPUTED_VALUE"""),"TúPHN")</f>
        <v>TúPHN</v>
      </c>
      <c r="F517" s="265" t="str">
        <f>IFERROR(__xludf.DUMMYFUNCTION("""COMPUTED_VALUE"""),"Bronze")</f>
        <v>Bronze</v>
      </c>
      <c r="G517" s="265" t="str">
        <f>IFERROR(__xludf.DUMMYFUNCTION("""COMPUTED_VALUE"""),"Starter")</f>
        <v>Starter</v>
      </c>
      <c r="H517" s="265" t="str">
        <f>IFERROR(__xludf.DUMMYFUNCTION("""COMPUTED_VALUE"""),"Trả sau")</f>
        <v>Trả sau</v>
      </c>
      <c r="I517" s="265" t="str">
        <f>IFERROR(__xludf.DUMMYFUNCTION("""COMPUTED_VALUE"""),"API &amp; Portal")</f>
        <v>API &amp; Portal</v>
      </c>
      <c r="J517" s="265" t="str">
        <f>IFERROR(__xludf.DUMMYFUNCTION("""COMPUTED_VALUE"""),"DungPL")</f>
        <v>DungPL</v>
      </c>
    </row>
    <row r="518">
      <c r="A518" s="265" t="str">
        <f>IFERROR(__xludf.DUMMYFUNCTION("""COMPUTED_VALUE"""),"859")</f>
        <v>859</v>
      </c>
      <c r="B518" s="265" t="str">
        <f>IFERROR(__xludf.DUMMYFUNCTION("""COMPUTED_VALUE"""),"Hà Nội")</f>
        <v>Hà Nội</v>
      </c>
      <c r="C518" s="265" t="str">
        <f>IFERROR(__xludf.DUMMYFUNCTION("""COMPUTED_VALUE"""),"Active")</f>
        <v>Active</v>
      </c>
      <c r="D518" s="265" t="str">
        <f>IFERROR(__xludf.DUMMYFUNCTION("""COMPUTED_VALUE"""),"Mua sắm &amp; Bán lẻ")</f>
        <v>Mua sắm &amp; Bán lẻ</v>
      </c>
      <c r="E518" s="265" t="str">
        <f>IFERROR(__xludf.DUMMYFUNCTION("""COMPUTED_VALUE"""),"TùngLD")</f>
        <v>TùngLD</v>
      </c>
      <c r="F518" s="265" t="str">
        <f>IFERROR(__xludf.DUMMYFUNCTION("""COMPUTED_VALUE"""),"Bronze")</f>
        <v>Bronze</v>
      </c>
      <c r="G518" s="265" t="str">
        <f>IFERROR(__xludf.DUMMYFUNCTION("""COMPUTED_VALUE"""),"Starter")</f>
        <v>Starter</v>
      </c>
      <c r="H518" s="265" t="str">
        <f>IFERROR(__xludf.DUMMYFUNCTION("""COMPUTED_VALUE"""),"Trả sau")</f>
        <v>Trả sau</v>
      </c>
      <c r="I518" s="265" t="str">
        <f>IFERROR(__xludf.DUMMYFUNCTION("""COMPUTED_VALUE"""),"API &amp; Portal")</f>
        <v>API &amp; Portal</v>
      </c>
      <c r="J518" s="265" t="str">
        <f>IFERROR(__xludf.DUMMYFUNCTION("""COMPUTED_VALUE"""),"DungVT")</f>
        <v>DungVT</v>
      </c>
    </row>
    <row r="519">
      <c r="A519" s="265" t="str">
        <f>IFERROR(__xludf.DUMMYFUNCTION("""COMPUTED_VALUE"""),"860")</f>
        <v>860</v>
      </c>
      <c r="B519" s="265" t="str">
        <f>IFERROR(__xludf.DUMMYFUNCTION("""COMPUTED_VALUE"""),"Hà Nội")</f>
        <v>Hà Nội</v>
      </c>
      <c r="C519" s="265" t="str">
        <f>IFERROR(__xludf.DUMMYFUNCTION("""COMPUTED_VALUE"""),"Active")</f>
        <v>Active</v>
      </c>
      <c r="D519" s="265" t="str">
        <f>IFERROR(__xludf.DUMMYFUNCTION("""COMPUTED_VALUE"""),"Tài chính &amp; Ngân hàng")</f>
        <v>Tài chính &amp; Ngân hàng</v>
      </c>
      <c r="E519" s="265" t="str">
        <f>IFERROR(__xludf.DUMMYFUNCTION("""COMPUTED_VALUE"""),"AnhNM")</f>
        <v>AnhNM</v>
      </c>
      <c r="F519" s="265" t="str">
        <f>IFERROR(__xludf.DUMMYFUNCTION("""COMPUTED_VALUE"""),"Sale chưa cung cấp")</f>
        <v>Sale chưa cung cấp</v>
      </c>
      <c r="G519" s="265" t="str">
        <f>IFERROR(__xludf.DUMMYFUNCTION("""COMPUTED_VALUE"""),"Starter")</f>
        <v>Starter</v>
      </c>
      <c r="H519" s="265" t="str">
        <f>IFERROR(__xludf.DUMMYFUNCTION("""COMPUTED_VALUE"""),"Trả sau")</f>
        <v>Trả sau</v>
      </c>
      <c r="I519" s="265" t="str">
        <f>IFERROR(__xludf.DUMMYFUNCTION("""COMPUTED_VALUE"""),"API")</f>
        <v>API</v>
      </c>
      <c r="J519" s="265" t="str">
        <f>IFERROR(__xludf.DUMMYFUNCTION("""COMPUTED_VALUE"""),"LinhNTT1")</f>
        <v>LinhNTT1</v>
      </c>
    </row>
    <row r="520">
      <c r="A520" s="265" t="str">
        <f>IFERROR(__xludf.DUMMYFUNCTION("""COMPUTED_VALUE"""),"861")</f>
        <v>861</v>
      </c>
      <c r="B520" s="265" t="str">
        <f>IFERROR(__xludf.DUMMYFUNCTION("""COMPUTED_VALUE"""),"Hà Nội")</f>
        <v>Hà Nội</v>
      </c>
      <c r="C520" s="265" t="str">
        <f>IFERROR(__xludf.DUMMYFUNCTION("""COMPUTED_VALUE"""),"Locked")</f>
        <v>Locked</v>
      </c>
      <c r="D520" s="265" t="str">
        <f>IFERROR(__xludf.DUMMYFUNCTION("""COMPUTED_VALUE"""),"Sale chưa cung cấp")</f>
        <v>Sale chưa cung cấp</v>
      </c>
      <c r="E520" s="265" t="str">
        <f>IFERROR(__xludf.DUMMYFUNCTION("""COMPUTED_VALUE"""),"TúPHN")</f>
        <v>TúPHN</v>
      </c>
      <c r="F520" s="265" t="str">
        <f>IFERROR(__xludf.DUMMYFUNCTION("""COMPUTED_VALUE"""),"Diamond")</f>
        <v>Diamond</v>
      </c>
      <c r="G520" s="265" t="str">
        <f>IFERROR(__xludf.DUMMYFUNCTION("""COMPUTED_VALUE"""),"Premium")</f>
        <v>Premium</v>
      </c>
      <c r="H520" s="265" t="str">
        <f>IFERROR(__xludf.DUMMYFUNCTION("""COMPUTED_VALUE"""),"Trial")</f>
        <v>Trial</v>
      </c>
      <c r="I520" s="265" t="str">
        <f>IFERROR(__xludf.DUMMYFUNCTION("""COMPUTED_VALUE"""),"API &amp; Portal")</f>
        <v>API &amp; Portal</v>
      </c>
      <c r="J520" s="265" t="str">
        <f>IFERROR(__xludf.DUMMYFUNCTION("""COMPUTED_VALUE"""),"Không phân công")</f>
        <v>Không phân công</v>
      </c>
    </row>
    <row r="521">
      <c r="A521" s="265" t="str">
        <f>IFERROR(__xludf.DUMMYFUNCTION("""COMPUTED_VALUE"""),"863")</f>
        <v>863</v>
      </c>
      <c r="B521" s="265" t="str">
        <f>IFERROR(__xludf.DUMMYFUNCTION("""COMPUTED_VALUE"""),"Sài Gòn")</f>
        <v>Sài Gòn</v>
      </c>
      <c r="C521" s="265" t="str">
        <f>IFERROR(__xludf.DUMMYFUNCTION("""COMPUTED_VALUE"""),"Locked")</f>
        <v>Locked</v>
      </c>
      <c r="D521" s="265" t="str">
        <f>IFERROR(__xludf.DUMMYFUNCTION("""COMPUTED_VALUE"""),"Công nghệ &amp; Phần mềm")</f>
        <v>Công nghệ &amp; Phần mềm</v>
      </c>
      <c r="E521" s="265" t="str">
        <f>IFERROR(__xludf.DUMMYFUNCTION("""COMPUTED_VALUE"""),"TúPHN")</f>
        <v>TúPHN</v>
      </c>
      <c r="F521" s="265" t="str">
        <f>IFERROR(__xludf.DUMMYFUNCTION("""COMPUTED_VALUE"""),"Sale chưa cung cấp")</f>
        <v>Sale chưa cung cấp</v>
      </c>
      <c r="G521" s="265" t="str">
        <f>IFERROR(__xludf.DUMMYFUNCTION("""COMPUTED_VALUE"""),"Premium")</f>
        <v>Premium</v>
      </c>
      <c r="H521" s="265" t="str">
        <f>IFERROR(__xludf.DUMMYFUNCTION("""COMPUTED_VALUE"""),"Trial")</f>
        <v>Trial</v>
      </c>
      <c r="I521" s="265" t="str">
        <f>IFERROR(__xludf.DUMMYFUNCTION("""COMPUTED_VALUE"""),"API &amp; Portal")</f>
        <v>API &amp; Portal</v>
      </c>
      <c r="J521" s="265" t="str">
        <f>IFERROR(__xludf.DUMMYFUNCTION("""COMPUTED_VALUE"""),"(Chưa recheck)")</f>
        <v>(Chưa recheck)</v>
      </c>
    </row>
    <row r="522">
      <c r="A522" s="265" t="str">
        <f>IFERROR(__xludf.DUMMYFUNCTION("""COMPUTED_VALUE"""),"865")</f>
        <v>865</v>
      </c>
      <c r="B522" s="265" t="str">
        <f>IFERROR(__xludf.DUMMYFUNCTION("""COMPUTED_VALUE"""),"Hà Nội")</f>
        <v>Hà Nội</v>
      </c>
      <c r="C522" s="265" t="str">
        <f>IFERROR(__xludf.DUMMYFUNCTION("""COMPUTED_VALUE"""),"Active")</f>
        <v>Active</v>
      </c>
      <c r="D522" s="265" t="str">
        <f>IFERROR(__xludf.DUMMYFUNCTION("""COMPUTED_VALUE"""),"Sale chưa cung cấp")</f>
        <v>Sale chưa cung cấp</v>
      </c>
      <c r="E522" s="265" t="str">
        <f>IFERROR(__xludf.DUMMYFUNCTION("""COMPUTED_VALUE"""),"TùngLD")</f>
        <v>TùngLD</v>
      </c>
      <c r="F522" s="265" t="str">
        <f>IFERROR(__xludf.DUMMYFUNCTION("""COMPUTED_VALUE"""),"Bronze")</f>
        <v>Bronze</v>
      </c>
      <c r="G522" s="265" t="str">
        <f>IFERROR(__xludf.DUMMYFUNCTION("""COMPUTED_VALUE"""),"Starter")</f>
        <v>Starter</v>
      </c>
      <c r="H522" s="265" t="str">
        <f>IFERROR(__xludf.DUMMYFUNCTION("""COMPUTED_VALUE"""),"Trả sau")</f>
        <v>Trả sau</v>
      </c>
      <c r="I522" s="265" t="str">
        <f>IFERROR(__xludf.DUMMYFUNCTION("""COMPUTED_VALUE"""),"API &amp; Portal")</f>
        <v>API &amp; Portal</v>
      </c>
      <c r="J522" s="265" t="str">
        <f>IFERROR(__xludf.DUMMYFUNCTION("""COMPUTED_VALUE"""),"DungPL")</f>
        <v>DungPL</v>
      </c>
    </row>
    <row r="523">
      <c r="A523" s="265" t="str">
        <f>IFERROR(__xludf.DUMMYFUNCTION("""COMPUTED_VALUE"""),"864")</f>
        <v>864</v>
      </c>
      <c r="B523" s="265" t="str">
        <f>IFERROR(__xludf.DUMMYFUNCTION("""COMPUTED_VALUE"""),"Sài Gòn")</f>
        <v>Sài Gòn</v>
      </c>
      <c r="C523" s="265" t="str">
        <f>IFERROR(__xludf.DUMMYFUNCTION("""COMPUTED_VALUE"""),"Locked")</f>
        <v>Locked</v>
      </c>
      <c r="D523" s="265" t="str">
        <f>IFERROR(__xludf.DUMMYFUNCTION("""COMPUTED_VALUE"""),"Thực phẩm &amp; Đồ uống")</f>
        <v>Thực phẩm &amp; Đồ uống</v>
      </c>
      <c r="E523" s="265" t="str">
        <f>IFERROR(__xludf.DUMMYFUNCTION("""COMPUTED_VALUE"""),"HoaNTM")</f>
        <v>HoaNTM</v>
      </c>
      <c r="F523" s="265" t="str">
        <f>IFERROR(__xludf.DUMMYFUNCTION("""COMPUTED_VALUE"""),"Diamond")</f>
        <v>Diamond</v>
      </c>
      <c r="G523" s="265" t="str">
        <f>IFERROR(__xludf.DUMMYFUNCTION("""COMPUTED_VALUE"""),"Standard")</f>
        <v>Standard</v>
      </c>
      <c r="H523" s="265" t="str">
        <f>IFERROR(__xludf.DUMMYFUNCTION("""COMPUTED_VALUE"""),"Trả sau")</f>
        <v>Trả sau</v>
      </c>
      <c r="I523" s="265" t="str">
        <f>IFERROR(__xludf.DUMMYFUNCTION("""COMPUTED_VALUE"""),"API")</f>
        <v>API</v>
      </c>
      <c r="J523" s="265" t="str">
        <f>IFERROR(__xludf.DUMMYFUNCTION("""COMPUTED_VALUE"""),"YếnĐH")</f>
        <v>YếnĐH</v>
      </c>
    </row>
    <row r="524">
      <c r="A524" s="265" t="str">
        <f>IFERROR(__xludf.DUMMYFUNCTION("""COMPUTED_VALUE"""),"867")</f>
        <v>867</v>
      </c>
      <c r="B524" s="265" t="str">
        <f>IFERROR(__xludf.DUMMYFUNCTION("""COMPUTED_VALUE"""),"Hà Nội")</f>
        <v>Hà Nội</v>
      </c>
      <c r="C524" s="265" t="str">
        <f>IFERROR(__xludf.DUMMYFUNCTION("""COMPUTED_VALUE"""),"Active")</f>
        <v>Active</v>
      </c>
      <c r="D524" s="265" t="str">
        <f>IFERROR(__xludf.DUMMYFUNCTION("""COMPUTED_VALUE"""),"Sale chưa cung cấp")</f>
        <v>Sale chưa cung cấp</v>
      </c>
      <c r="E524" s="265" t="str">
        <f>IFERROR(__xludf.DUMMYFUNCTION("""COMPUTED_VALUE"""),"TúPHN")</f>
        <v>TúPHN</v>
      </c>
      <c r="F524" s="265" t="str">
        <f>IFERROR(__xludf.DUMMYFUNCTION("""COMPUTED_VALUE"""),"Bronze")</f>
        <v>Bronze</v>
      </c>
      <c r="G524" s="265" t="str">
        <f>IFERROR(__xludf.DUMMYFUNCTION("""COMPUTED_VALUE"""),"Starter")</f>
        <v>Starter</v>
      </c>
      <c r="H524" s="265" t="str">
        <f>IFERROR(__xludf.DUMMYFUNCTION("""COMPUTED_VALUE"""),"Trả trước")</f>
        <v>Trả trước</v>
      </c>
      <c r="I524" s="265" t="str">
        <f>IFERROR(__xludf.DUMMYFUNCTION("""COMPUTED_VALUE"""),"API &amp; Portal")</f>
        <v>API &amp; Portal</v>
      </c>
      <c r="J524" s="265" t="str">
        <f>IFERROR(__xludf.DUMMYFUNCTION("""COMPUTED_VALUE"""),"DungPL")</f>
        <v>DungPL</v>
      </c>
    </row>
    <row r="525">
      <c r="A525" s="265" t="str">
        <f>IFERROR(__xludf.DUMMYFUNCTION("""COMPUTED_VALUE"""),"868")</f>
        <v>868</v>
      </c>
      <c r="B525" s="265" t="str">
        <f>IFERROR(__xludf.DUMMYFUNCTION("""COMPUTED_VALUE"""),"Hà Nội")</f>
        <v>Hà Nội</v>
      </c>
      <c r="C525" s="265" t="str">
        <f>IFERROR(__xludf.DUMMYFUNCTION("""COMPUTED_VALUE"""),"Active")</f>
        <v>Active</v>
      </c>
      <c r="D525" s="265" t="str">
        <f>IFERROR(__xludf.DUMMYFUNCTION("""COMPUTED_VALUE"""),"Sale chưa cung cấp")</f>
        <v>Sale chưa cung cấp</v>
      </c>
      <c r="E525" s="265" t="str">
        <f>IFERROR(__xludf.DUMMYFUNCTION("""COMPUTED_VALUE"""),"TùngLD")</f>
        <v>TùngLD</v>
      </c>
      <c r="F525" s="265" t="str">
        <f>IFERROR(__xludf.DUMMYFUNCTION("""COMPUTED_VALUE"""),"Silver")</f>
        <v>Silver</v>
      </c>
      <c r="G525" s="265" t="str">
        <f>IFERROR(__xludf.DUMMYFUNCTION("""COMPUTED_VALUE"""),"Starter")</f>
        <v>Starter</v>
      </c>
      <c r="H525" s="265" t="str">
        <f>IFERROR(__xludf.DUMMYFUNCTION("""COMPUTED_VALUE"""),"Trả sau")</f>
        <v>Trả sau</v>
      </c>
      <c r="I525" s="265" t="str">
        <f>IFERROR(__xludf.DUMMYFUNCTION("""COMPUTED_VALUE"""),"API")</f>
        <v>API</v>
      </c>
      <c r="J525" s="265" t="str">
        <f>IFERROR(__xludf.DUMMYFUNCTION("""COMPUTED_VALUE"""),"LinhNTT1")</f>
        <v>LinhNTT1</v>
      </c>
    </row>
    <row r="526">
      <c r="A526" s="265" t="str">
        <f>IFERROR(__xludf.DUMMYFUNCTION("""COMPUTED_VALUE"""),"869")</f>
        <v>869</v>
      </c>
      <c r="B526" s="265" t="str">
        <f>IFERROR(__xludf.DUMMYFUNCTION("""COMPUTED_VALUE"""),"Hà Nội")</f>
        <v>Hà Nội</v>
      </c>
      <c r="C526" s="265" t="str">
        <f>IFERROR(__xludf.DUMMYFUNCTION("""COMPUTED_VALUE"""),"Active")</f>
        <v>Active</v>
      </c>
      <c r="D526" s="265" t="str">
        <f>IFERROR(__xludf.DUMMYFUNCTION("""COMPUTED_VALUE"""),"Sale chưa cung cấp")</f>
        <v>Sale chưa cung cấp</v>
      </c>
      <c r="E526" s="265" t="str">
        <f>IFERROR(__xludf.DUMMYFUNCTION("""COMPUTED_VALUE"""),"TùngLD")</f>
        <v>TùngLD</v>
      </c>
      <c r="F526" s="265" t="str">
        <f>IFERROR(__xludf.DUMMYFUNCTION("""COMPUTED_VALUE"""),"Silver")</f>
        <v>Silver</v>
      </c>
      <c r="G526" s="265" t="str">
        <f>IFERROR(__xludf.DUMMYFUNCTION("""COMPUTED_VALUE"""),"Starter")</f>
        <v>Starter</v>
      </c>
      <c r="H526" s="265" t="str">
        <f>IFERROR(__xludf.DUMMYFUNCTION("""COMPUTED_VALUE"""),"Trả sau")</f>
        <v>Trả sau</v>
      </c>
      <c r="I526" s="265" t="str">
        <f>IFERROR(__xludf.DUMMYFUNCTION("""COMPUTED_VALUE"""),"API")</f>
        <v>API</v>
      </c>
      <c r="J526" s="265" t="str">
        <f>IFERROR(__xludf.DUMMYFUNCTION("""COMPUTED_VALUE"""),"LinhNTT1")</f>
        <v>LinhNTT1</v>
      </c>
    </row>
    <row r="527">
      <c r="A527" s="265" t="str">
        <f>IFERROR(__xludf.DUMMYFUNCTION("""COMPUTED_VALUE"""),"870")</f>
        <v>870</v>
      </c>
      <c r="B527" s="265" t="str">
        <f>IFERROR(__xludf.DUMMYFUNCTION("""COMPUTED_VALUE"""),"Hà Nội")</f>
        <v>Hà Nội</v>
      </c>
      <c r="C527" s="265" t="str">
        <f>IFERROR(__xludf.DUMMYFUNCTION("""COMPUTED_VALUE"""),"Locked")</f>
        <v>Locked</v>
      </c>
      <c r="D527" s="265" t="str">
        <f>IFERROR(__xludf.DUMMYFUNCTION("""COMPUTED_VALUE"""),"Sale chưa cung cấp")</f>
        <v>Sale chưa cung cấp</v>
      </c>
      <c r="E527" s="265" t="str">
        <f>IFERROR(__xludf.DUMMYFUNCTION("""COMPUTED_VALUE"""),"TùngLD")</f>
        <v>TùngLD</v>
      </c>
      <c r="F527" s="265" t="str">
        <f>IFERROR(__xludf.DUMMYFUNCTION("""COMPUTED_VALUE"""),"Sale chưa cung cấp")</f>
        <v>Sale chưa cung cấp</v>
      </c>
      <c r="G527" s="265" t="str">
        <f>IFERROR(__xludf.DUMMYFUNCTION("""COMPUTED_VALUE"""),"Premium")</f>
        <v>Premium</v>
      </c>
      <c r="H527" s="265" t="str">
        <f>IFERROR(__xludf.DUMMYFUNCTION("""COMPUTED_VALUE"""),"Trial")</f>
        <v>Trial</v>
      </c>
      <c r="I527" s="265" t="str">
        <f>IFERROR(__xludf.DUMMYFUNCTION("""COMPUTED_VALUE"""),"Portal")</f>
        <v>Portal</v>
      </c>
      <c r="J527" s="265" t="str">
        <f>IFERROR(__xludf.DUMMYFUNCTION("""COMPUTED_VALUE"""),"Không phân công")</f>
        <v>Không phân công</v>
      </c>
    </row>
    <row r="528">
      <c r="A528" s="265" t="str">
        <f>IFERROR(__xludf.DUMMYFUNCTION("""COMPUTED_VALUE"""),"871")</f>
        <v>871</v>
      </c>
      <c r="B528" s="265" t="str">
        <f>IFERROR(__xludf.DUMMYFUNCTION("""COMPUTED_VALUE"""),"Hà Nội")</f>
        <v>Hà Nội</v>
      </c>
      <c r="C528" s="265" t="str">
        <f>IFERROR(__xludf.DUMMYFUNCTION("""COMPUTED_VALUE"""),"Active")</f>
        <v>Active</v>
      </c>
      <c r="D528" s="265" t="str">
        <f>IFERROR(__xludf.DUMMYFUNCTION("""COMPUTED_VALUE"""),"Tài chính &amp; Ngân hàng")</f>
        <v>Tài chính &amp; Ngân hàng</v>
      </c>
      <c r="E528" s="265" t="str">
        <f>IFERROR(__xludf.DUMMYFUNCTION("""COMPUTED_VALUE"""),"TùngLD")</f>
        <v>TùngLD</v>
      </c>
      <c r="F528" s="265" t="str">
        <f>IFERROR(__xludf.DUMMYFUNCTION("""COMPUTED_VALUE"""),"Diamond")</f>
        <v>Diamond</v>
      </c>
      <c r="G528" s="265" t="str">
        <f>IFERROR(__xludf.DUMMYFUNCTION("""COMPUTED_VALUE"""),"Starter")</f>
        <v>Starter</v>
      </c>
      <c r="H528" s="265" t="str">
        <f>IFERROR(__xludf.DUMMYFUNCTION("""COMPUTED_VALUE"""),"Trả sau")</f>
        <v>Trả sau</v>
      </c>
      <c r="I528" s="265" t="str">
        <f>IFERROR(__xludf.DUMMYFUNCTION("""COMPUTED_VALUE"""),"API &amp; Portal")</f>
        <v>API &amp; Portal</v>
      </c>
      <c r="J528" s="265" t="str">
        <f>IFERROR(__xludf.DUMMYFUNCTION("""COMPUTED_VALUE"""),"YếnĐH")</f>
        <v>YếnĐH</v>
      </c>
    </row>
    <row r="529">
      <c r="A529" s="265" t="str">
        <f>IFERROR(__xludf.DUMMYFUNCTION("""COMPUTED_VALUE"""),"872")</f>
        <v>872</v>
      </c>
      <c r="B529" s="265" t="str">
        <f>IFERROR(__xludf.DUMMYFUNCTION("""COMPUTED_VALUE"""),"Hà Nội")</f>
        <v>Hà Nội</v>
      </c>
      <c r="C529" s="265" t="str">
        <f>IFERROR(__xludf.DUMMYFUNCTION("""COMPUTED_VALUE"""),"Locked")</f>
        <v>Locked</v>
      </c>
      <c r="D529" s="265" t="str">
        <f>IFERROR(__xludf.DUMMYFUNCTION("""COMPUTED_VALUE"""),"Y tế &amp; Dược phẩm")</f>
        <v>Y tế &amp; Dược phẩm</v>
      </c>
      <c r="E529" s="265" t="str">
        <f>IFERROR(__xludf.DUMMYFUNCTION("""COMPUTED_VALUE"""),"TùngLD")</f>
        <v>TùngLD</v>
      </c>
      <c r="F529" s="265" t="str">
        <f>IFERROR(__xludf.DUMMYFUNCTION("""COMPUTED_VALUE"""),"Sale chưa cung cấp")</f>
        <v>Sale chưa cung cấp</v>
      </c>
      <c r="G529" s="265" t="str">
        <f>IFERROR(__xludf.DUMMYFUNCTION("""COMPUTED_VALUE"""),"Premium")</f>
        <v>Premium</v>
      </c>
      <c r="H529" s="265" t="str">
        <f>IFERROR(__xludf.DUMMYFUNCTION("""COMPUTED_VALUE"""),"Trial")</f>
        <v>Trial</v>
      </c>
      <c r="I529" s="265" t="str">
        <f>IFERROR(__xludf.DUMMYFUNCTION("""COMPUTED_VALUE"""),"API")</f>
        <v>API</v>
      </c>
      <c r="J529" s="265" t="str">
        <f>IFERROR(__xludf.DUMMYFUNCTION("""COMPUTED_VALUE"""),"Không phân công")</f>
        <v>Không phân công</v>
      </c>
    </row>
    <row r="530">
      <c r="A530" s="265" t="str">
        <f>IFERROR(__xludf.DUMMYFUNCTION("""COMPUTED_VALUE"""),"873")</f>
        <v>873</v>
      </c>
      <c r="B530" s="265" t="str">
        <f>IFERROR(__xludf.DUMMYFUNCTION("""COMPUTED_VALUE"""),"Sài Gòn")</f>
        <v>Sài Gòn</v>
      </c>
      <c r="C530" s="265" t="str">
        <f>IFERROR(__xludf.DUMMYFUNCTION("""COMPUTED_VALUE"""),"Locked")</f>
        <v>Locked</v>
      </c>
      <c r="D530" s="265" t="str">
        <f>IFERROR(__xludf.DUMMYFUNCTION("""COMPUTED_VALUE"""),"Dịch vụ khác")</f>
        <v>Dịch vụ khác</v>
      </c>
      <c r="E530" s="265" t="str">
        <f>IFERROR(__xludf.DUMMYFUNCTION("""COMPUTED_VALUE"""),"TùngLD")</f>
        <v>TùngLD</v>
      </c>
      <c r="F530" s="265" t="str">
        <f>IFERROR(__xludf.DUMMYFUNCTION("""COMPUTED_VALUE"""),"Sale chưa cung cấp")</f>
        <v>Sale chưa cung cấp</v>
      </c>
      <c r="G530" s="265" t="str">
        <f>IFERROR(__xludf.DUMMYFUNCTION("""COMPUTED_VALUE"""),"Standard")</f>
        <v>Standard</v>
      </c>
      <c r="H530" s="265" t="str">
        <f>IFERROR(__xludf.DUMMYFUNCTION("""COMPUTED_VALUE"""),"Trial")</f>
        <v>Trial</v>
      </c>
      <c r="I530" s="265" t="str">
        <f>IFERROR(__xludf.DUMMYFUNCTION("""COMPUTED_VALUE"""),"API &amp; Portal")</f>
        <v>API &amp; Portal</v>
      </c>
      <c r="J530" s="265" t="str">
        <f>IFERROR(__xludf.DUMMYFUNCTION("""COMPUTED_VALUE"""),"YếnĐH")</f>
        <v>YếnĐH</v>
      </c>
    </row>
    <row r="531">
      <c r="A531" s="265" t="str">
        <f>IFERROR(__xludf.DUMMYFUNCTION("""COMPUTED_VALUE"""),"874")</f>
        <v>874</v>
      </c>
      <c r="B531" s="265" t="str">
        <f>IFERROR(__xludf.DUMMYFUNCTION("""COMPUTED_VALUE"""),"Hà Nội")</f>
        <v>Hà Nội</v>
      </c>
      <c r="C531" s="265" t="str">
        <f>IFERROR(__xludf.DUMMYFUNCTION("""COMPUTED_VALUE"""),"Locked")</f>
        <v>Locked</v>
      </c>
      <c r="D531" s="265" t="str">
        <f>IFERROR(__xludf.DUMMYFUNCTION("""COMPUTED_VALUE"""),"Dịch vụ khác")</f>
        <v>Dịch vụ khác</v>
      </c>
      <c r="E531" s="265" t="str">
        <f>IFERROR(__xludf.DUMMYFUNCTION("""COMPUTED_VALUE"""),"TúPHN")</f>
        <v>TúPHN</v>
      </c>
      <c r="F531" s="265" t="str">
        <f>IFERROR(__xludf.DUMMYFUNCTION("""COMPUTED_VALUE"""),"Sale chưa cung cấp")</f>
        <v>Sale chưa cung cấp</v>
      </c>
      <c r="G531" s="265" t="str">
        <f>IFERROR(__xludf.DUMMYFUNCTION("""COMPUTED_VALUE"""),"Starter")</f>
        <v>Starter</v>
      </c>
      <c r="H531" s="265" t="str">
        <f>IFERROR(__xludf.DUMMYFUNCTION("""COMPUTED_VALUE"""),"Trial")</f>
        <v>Trial</v>
      </c>
      <c r="I531" s="265" t="str">
        <f>IFERROR(__xludf.DUMMYFUNCTION("""COMPUTED_VALUE"""),"API")</f>
        <v>API</v>
      </c>
      <c r="J531" s="265" t="str">
        <f>IFERROR(__xludf.DUMMYFUNCTION("""COMPUTED_VALUE"""),"Không phân công")</f>
        <v>Không phân công</v>
      </c>
    </row>
    <row r="532">
      <c r="A532" s="265" t="str">
        <f>IFERROR(__xludf.DUMMYFUNCTION("""COMPUTED_VALUE"""),"875")</f>
        <v>875</v>
      </c>
      <c r="B532" s="265" t="str">
        <f>IFERROR(__xludf.DUMMYFUNCTION("""COMPUTED_VALUE"""),"Hà Nội")</f>
        <v>Hà Nội</v>
      </c>
      <c r="C532" s="265" t="str">
        <f>IFERROR(__xludf.DUMMYFUNCTION("""COMPUTED_VALUE"""),"Active")</f>
        <v>Active</v>
      </c>
      <c r="D532" s="265" t="str">
        <f>IFERROR(__xludf.DUMMYFUNCTION("""COMPUTED_VALUE"""),"Công nghệ &amp; Phần mềm")</f>
        <v>Công nghệ &amp; Phần mềm</v>
      </c>
      <c r="E532" s="265" t="str">
        <f>IFERROR(__xludf.DUMMYFUNCTION("""COMPUTED_VALUE"""),"TùngLD")</f>
        <v>TùngLD</v>
      </c>
      <c r="F532" s="265" t="str">
        <f>IFERROR(__xludf.DUMMYFUNCTION("""COMPUTED_VALUE"""),"Sale chưa cung cấp")</f>
        <v>Sale chưa cung cấp</v>
      </c>
      <c r="G532" s="265" t="str">
        <f>IFERROR(__xludf.DUMMYFUNCTION("""COMPUTED_VALUE"""),"Starter")</f>
        <v>Starter</v>
      </c>
      <c r="H532" s="265" t="str">
        <f>IFERROR(__xludf.DUMMYFUNCTION("""COMPUTED_VALUE"""),"Trả sau")</f>
        <v>Trả sau</v>
      </c>
      <c r="I532" s="265" t="str">
        <f>IFERROR(__xludf.DUMMYFUNCTION("""COMPUTED_VALUE"""),"API")</f>
        <v>API</v>
      </c>
      <c r="J532" s="265" t="str">
        <f>IFERROR(__xludf.DUMMYFUNCTION("""COMPUTED_VALUE"""),"YếnĐH")</f>
        <v>YếnĐH</v>
      </c>
    </row>
    <row r="533">
      <c r="A533" s="265" t="str">
        <f>IFERROR(__xludf.DUMMYFUNCTION("""COMPUTED_VALUE"""),"876")</f>
        <v>876</v>
      </c>
      <c r="B533" s="265" t="str">
        <f>IFERROR(__xludf.DUMMYFUNCTION("""COMPUTED_VALUE"""),"Sài Gòn")</f>
        <v>Sài Gòn</v>
      </c>
      <c r="C533" s="265" t="str">
        <f>IFERROR(__xludf.DUMMYFUNCTION("""COMPUTED_VALUE"""),"Locked")</f>
        <v>Locked</v>
      </c>
      <c r="D533" s="265" t="str">
        <f>IFERROR(__xludf.DUMMYFUNCTION("""COMPUTED_VALUE"""),"Sản xuất &amp; Chế tạo")</f>
        <v>Sản xuất &amp; Chế tạo</v>
      </c>
      <c r="E533" s="265" t="str">
        <f>IFERROR(__xludf.DUMMYFUNCTION("""COMPUTED_VALUE"""),"HoaNTM")</f>
        <v>HoaNTM</v>
      </c>
      <c r="F533" s="265" t="str">
        <f>IFERROR(__xludf.DUMMYFUNCTION("""COMPUTED_VALUE"""),"Diamond")</f>
        <v>Diamond</v>
      </c>
      <c r="G533" s="265" t="str">
        <f>IFERROR(__xludf.DUMMYFUNCTION("""COMPUTED_VALUE"""),"Starter")</f>
        <v>Starter</v>
      </c>
      <c r="H533" s="265" t="str">
        <f>IFERROR(__xludf.DUMMYFUNCTION("""COMPUTED_VALUE"""),"Trả trước")</f>
        <v>Trả trước</v>
      </c>
      <c r="I533" s="265" t="str">
        <f>IFERROR(__xludf.DUMMYFUNCTION("""COMPUTED_VALUE"""),"API &amp; Portal")</f>
        <v>API &amp; Portal</v>
      </c>
      <c r="J533" s="265" t="str">
        <f>IFERROR(__xludf.DUMMYFUNCTION("""COMPUTED_VALUE"""),"LinhNTT1")</f>
        <v>LinhNTT1</v>
      </c>
    </row>
    <row r="534">
      <c r="A534" s="265" t="str">
        <f>IFERROR(__xludf.DUMMYFUNCTION("""COMPUTED_VALUE"""),"877")</f>
        <v>877</v>
      </c>
      <c r="B534" s="265" t="str">
        <f>IFERROR(__xludf.DUMMYFUNCTION("""COMPUTED_VALUE"""),"Sài Gòn")</f>
        <v>Sài Gòn</v>
      </c>
      <c r="C534" s="265" t="str">
        <f>IFERROR(__xludf.DUMMYFUNCTION("""COMPUTED_VALUE"""),"Active")</f>
        <v>Active</v>
      </c>
      <c r="D534" s="265" t="str">
        <f>IFERROR(__xludf.DUMMYFUNCTION("""COMPUTED_VALUE"""),"Sale chưa cung cấp")</f>
        <v>Sale chưa cung cấp</v>
      </c>
      <c r="E534" s="265" t="str">
        <f>IFERROR(__xludf.DUMMYFUNCTION("""COMPUTED_VALUE"""),"TùngLD")</f>
        <v>TùngLD</v>
      </c>
      <c r="F534" s="265" t="str">
        <f>IFERROR(__xludf.DUMMYFUNCTION("""COMPUTED_VALUE"""),"Gold")</f>
        <v>Gold</v>
      </c>
      <c r="G534" s="265" t="str">
        <f>IFERROR(__xludf.DUMMYFUNCTION("""COMPUTED_VALUE"""),"Standard")</f>
        <v>Standard</v>
      </c>
      <c r="H534" s="265" t="str">
        <f>IFERROR(__xludf.DUMMYFUNCTION("""COMPUTED_VALUE"""),"Trả sau")</f>
        <v>Trả sau</v>
      </c>
      <c r="I534" s="265" t="str">
        <f>IFERROR(__xludf.DUMMYFUNCTION("""COMPUTED_VALUE"""),"API")</f>
        <v>API</v>
      </c>
      <c r="J534" s="265" t="str">
        <f>IFERROR(__xludf.DUMMYFUNCTION("""COMPUTED_VALUE"""),"LinhNTT1")</f>
        <v>LinhNTT1</v>
      </c>
    </row>
    <row r="535">
      <c r="A535" s="265" t="str">
        <f>IFERROR(__xludf.DUMMYFUNCTION("""COMPUTED_VALUE"""),"879")</f>
        <v>879</v>
      </c>
      <c r="B535" s="265" t="str">
        <f>IFERROR(__xludf.DUMMYFUNCTION("""COMPUTED_VALUE"""),"Đà Nẵng")</f>
        <v>Đà Nẵng</v>
      </c>
      <c r="C535" s="265" t="str">
        <f>IFERROR(__xludf.DUMMYFUNCTION("""COMPUTED_VALUE"""),"Active")</f>
        <v>Active</v>
      </c>
      <c r="D535" s="265" t="str">
        <f>IFERROR(__xludf.DUMMYFUNCTION("""COMPUTED_VALUE"""),"Công nghệ &amp; Phần mềm")</f>
        <v>Công nghệ &amp; Phần mềm</v>
      </c>
      <c r="E535" s="265" t="str">
        <f>IFERROR(__xludf.DUMMYFUNCTION("""COMPUTED_VALUE"""),"TúPHN")</f>
        <v>TúPHN</v>
      </c>
      <c r="F535" s="265" t="str">
        <f>IFERROR(__xludf.DUMMYFUNCTION("""COMPUTED_VALUE"""),"Silver")</f>
        <v>Silver</v>
      </c>
      <c r="G535" s="265" t="str">
        <f>IFERROR(__xludf.DUMMYFUNCTION("""COMPUTED_VALUE"""),"Standard")</f>
        <v>Standard</v>
      </c>
      <c r="H535" s="265" t="str">
        <f>IFERROR(__xludf.DUMMYFUNCTION("""COMPUTED_VALUE"""),"Trả sau")</f>
        <v>Trả sau</v>
      </c>
      <c r="I535" s="265" t="str">
        <f>IFERROR(__xludf.DUMMYFUNCTION("""COMPUTED_VALUE"""),"API &amp; Portal")</f>
        <v>API &amp; Portal</v>
      </c>
      <c r="J535" s="265" t="str">
        <f>IFERROR(__xludf.DUMMYFUNCTION("""COMPUTED_VALUE"""),"YếnĐH")</f>
        <v>YếnĐH</v>
      </c>
    </row>
    <row r="536">
      <c r="A536" s="265" t="str">
        <f>IFERROR(__xludf.DUMMYFUNCTION("""COMPUTED_VALUE"""),"880")</f>
        <v>880</v>
      </c>
      <c r="B536" s="265" t="str">
        <f>IFERROR(__xludf.DUMMYFUNCTION("""COMPUTED_VALUE"""),"Sài Gòn")</f>
        <v>Sài Gòn</v>
      </c>
      <c r="C536" s="265" t="str">
        <f>IFERROR(__xludf.DUMMYFUNCTION("""COMPUTED_VALUE"""),"Active")</f>
        <v>Active</v>
      </c>
      <c r="D536" s="265" t="str">
        <f>IFERROR(__xludf.DUMMYFUNCTION("""COMPUTED_VALUE"""),"Sale chưa cung cấp")</f>
        <v>Sale chưa cung cấp</v>
      </c>
      <c r="E536" s="265" t="str">
        <f>IFERROR(__xludf.DUMMYFUNCTION("""COMPUTED_VALUE"""),"Không phân công")</f>
        <v>Không phân công</v>
      </c>
      <c r="F536" s="265" t="str">
        <f>IFERROR(__xludf.DUMMYFUNCTION("""COMPUTED_VALUE"""),"Gold")</f>
        <v>Gold</v>
      </c>
      <c r="G536" s="265" t="str">
        <f>IFERROR(__xludf.DUMMYFUNCTION("""COMPUTED_VALUE"""),"Standard")</f>
        <v>Standard</v>
      </c>
      <c r="H536" s="265" t="str">
        <f>IFERROR(__xludf.DUMMYFUNCTION("""COMPUTED_VALUE"""),"Trả sau")</f>
        <v>Trả sau</v>
      </c>
      <c r="I536" s="265" t="str">
        <f>IFERROR(__xludf.DUMMYFUNCTION("""COMPUTED_VALUE"""),"API")</f>
        <v>API</v>
      </c>
      <c r="J536" s="265" t="str">
        <f>IFERROR(__xludf.DUMMYFUNCTION("""COMPUTED_VALUE"""),"LinhNTT1")</f>
        <v>LinhNTT1</v>
      </c>
    </row>
    <row r="537">
      <c r="A537" s="265" t="str">
        <f>IFERROR(__xludf.DUMMYFUNCTION("""COMPUTED_VALUE"""),"881")</f>
        <v>881</v>
      </c>
      <c r="B537" s="265" t="str">
        <f>IFERROR(__xludf.DUMMYFUNCTION("""COMPUTED_VALUE"""),"Hà Nội")</f>
        <v>Hà Nội</v>
      </c>
      <c r="C537" s="265" t="str">
        <f>IFERROR(__xludf.DUMMYFUNCTION("""COMPUTED_VALUE"""),"Active")</f>
        <v>Active</v>
      </c>
      <c r="D537" s="265" t="str">
        <f>IFERROR(__xludf.DUMMYFUNCTION("""COMPUTED_VALUE"""),"Truyền thông &amp; Giải trí")</f>
        <v>Truyền thông &amp; Giải trí</v>
      </c>
      <c r="E537" s="265" t="str">
        <f>IFERROR(__xludf.DUMMYFUNCTION("""COMPUTED_VALUE"""),"TúPHN")</f>
        <v>TúPHN</v>
      </c>
      <c r="F537" s="265" t="str">
        <f>IFERROR(__xludf.DUMMYFUNCTION("""COMPUTED_VALUE"""),"Gold")</f>
        <v>Gold</v>
      </c>
      <c r="G537" s="265" t="str">
        <f>IFERROR(__xludf.DUMMYFUNCTION("""COMPUTED_VALUE"""),"Starter")</f>
        <v>Starter</v>
      </c>
      <c r="H537" s="265" t="str">
        <f>IFERROR(__xludf.DUMMYFUNCTION("""COMPUTED_VALUE"""),"Trả trước")</f>
        <v>Trả trước</v>
      </c>
      <c r="I537" s="265" t="str">
        <f>IFERROR(__xludf.DUMMYFUNCTION("""COMPUTED_VALUE"""),"API")</f>
        <v>API</v>
      </c>
      <c r="J537" s="265" t="str">
        <f>IFERROR(__xludf.DUMMYFUNCTION("""COMPUTED_VALUE"""),"DungVT")</f>
        <v>DungVT</v>
      </c>
    </row>
    <row r="538">
      <c r="A538" s="265" t="str">
        <f>IFERROR(__xludf.DUMMYFUNCTION("""COMPUTED_VALUE"""),"882")</f>
        <v>882</v>
      </c>
      <c r="B538" s="265" t="str">
        <f>IFERROR(__xludf.DUMMYFUNCTION("""COMPUTED_VALUE"""),"Sài Gòn")</f>
        <v>Sài Gòn</v>
      </c>
      <c r="C538" s="265" t="str">
        <f>IFERROR(__xludf.DUMMYFUNCTION("""COMPUTED_VALUE"""),"Active")</f>
        <v>Active</v>
      </c>
      <c r="D538" s="265" t="str">
        <f>IFERROR(__xludf.DUMMYFUNCTION("""COMPUTED_VALUE"""),"Công nghệ &amp; Phần mềm")</f>
        <v>Công nghệ &amp; Phần mềm</v>
      </c>
      <c r="E538" s="265" t="str">
        <f>IFERROR(__xludf.DUMMYFUNCTION("""COMPUTED_VALUE"""),"AnhNM")</f>
        <v>AnhNM</v>
      </c>
      <c r="F538" s="265" t="str">
        <f>IFERROR(__xludf.DUMMYFUNCTION("""COMPUTED_VALUE"""),"Gold")</f>
        <v>Gold</v>
      </c>
      <c r="G538" s="265" t="str">
        <f>IFERROR(__xludf.DUMMYFUNCTION("""COMPUTED_VALUE"""),"Starter")</f>
        <v>Starter</v>
      </c>
      <c r="H538" s="265" t="str">
        <f>IFERROR(__xludf.DUMMYFUNCTION("""COMPUTED_VALUE"""),"Trả sau")</f>
        <v>Trả sau</v>
      </c>
      <c r="I538" s="265" t="str">
        <f>IFERROR(__xludf.DUMMYFUNCTION("""COMPUTED_VALUE"""),"API &amp; Portal")</f>
        <v>API &amp; Portal</v>
      </c>
      <c r="J538" s="265" t="str">
        <f>IFERROR(__xludf.DUMMYFUNCTION("""COMPUTED_VALUE"""),"DungPL")</f>
        <v>DungPL</v>
      </c>
    </row>
    <row r="539">
      <c r="A539" s="265" t="str">
        <f>IFERROR(__xludf.DUMMYFUNCTION("""COMPUTED_VALUE"""),"883")</f>
        <v>883</v>
      </c>
      <c r="B539" s="265" t="str">
        <f>IFERROR(__xludf.DUMMYFUNCTION("""COMPUTED_VALUE"""),"Hà Nội")</f>
        <v>Hà Nội</v>
      </c>
      <c r="C539" s="265" t="str">
        <f>IFERROR(__xludf.DUMMYFUNCTION("""COMPUTED_VALUE"""),"Active")</f>
        <v>Active</v>
      </c>
      <c r="D539" s="265" t="str">
        <f>IFERROR(__xludf.DUMMYFUNCTION("""COMPUTED_VALUE"""),"Dịch vụ khác")</f>
        <v>Dịch vụ khác</v>
      </c>
      <c r="E539" s="265" t="str">
        <f>IFERROR(__xludf.DUMMYFUNCTION("""COMPUTED_VALUE"""),"TúPHN")</f>
        <v>TúPHN</v>
      </c>
      <c r="F539" s="265" t="str">
        <f>IFERROR(__xludf.DUMMYFUNCTION("""COMPUTED_VALUE"""),"Silver")</f>
        <v>Silver</v>
      </c>
      <c r="G539" s="265" t="str">
        <f>IFERROR(__xludf.DUMMYFUNCTION("""COMPUTED_VALUE"""),"Starter")</f>
        <v>Starter</v>
      </c>
      <c r="H539" s="265" t="str">
        <f>IFERROR(__xludf.DUMMYFUNCTION("""COMPUTED_VALUE"""),"Trả trước")</f>
        <v>Trả trước</v>
      </c>
      <c r="I539" s="265" t="str">
        <f>IFERROR(__xludf.DUMMYFUNCTION("""COMPUTED_VALUE"""),"Portal")</f>
        <v>Portal</v>
      </c>
      <c r="J539" s="265" t="str">
        <f>IFERROR(__xludf.DUMMYFUNCTION("""COMPUTED_VALUE"""),"LinhNTT1")</f>
        <v>LinhNTT1</v>
      </c>
    </row>
    <row r="540">
      <c r="A540" s="265" t="str">
        <f>IFERROR(__xludf.DUMMYFUNCTION("""COMPUTED_VALUE"""),"893")</f>
        <v>893</v>
      </c>
      <c r="B540" s="265" t="str">
        <f>IFERROR(__xludf.DUMMYFUNCTION("""COMPUTED_VALUE"""),"Hà Nội")</f>
        <v>Hà Nội</v>
      </c>
      <c r="C540" s="265" t="str">
        <f>IFERROR(__xludf.DUMMYFUNCTION("""COMPUTED_VALUE"""),"Active")</f>
        <v>Active</v>
      </c>
      <c r="D540" s="265" t="str">
        <f>IFERROR(__xludf.DUMMYFUNCTION("""COMPUTED_VALUE"""),"Sale chưa cung cấp")</f>
        <v>Sale chưa cung cấp</v>
      </c>
      <c r="E540" s="265" t="str">
        <f>IFERROR(__xludf.DUMMYFUNCTION("""COMPUTED_VALUE"""),"Không phân công")</f>
        <v>Không phân công</v>
      </c>
      <c r="F540" s="265" t="str">
        <f>IFERROR(__xludf.DUMMYFUNCTION("""COMPUTED_VALUE"""),"Sale chưa cung cấp")</f>
        <v>Sale chưa cung cấp</v>
      </c>
      <c r="G540" s="265" t="str">
        <f>IFERROR(__xludf.DUMMYFUNCTION("""COMPUTED_VALUE"""),"Starter")</f>
        <v>Starter</v>
      </c>
      <c r="H540" s="265" t="str">
        <f>IFERROR(__xludf.DUMMYFUNCTION("""COMPUTED_VALUE"""),"Trả sau")</f>
        <v>Trả sau</v>
      </c>
      <c r="I540" s="265" t="str">
        <f>IFERROR(__xludf.DUMMYFUNCTION("""COMPUTED_VALUE"""),"API")</f>
        <v>API</v>
      </c>
      <c r="J540" s="265" t="str">
        <f>IFERROR(__xludf.DUMMYFUNCTION("""COMPUTED_VALUE"""),"DungVT")</f>
        <v>DungVT</v>
      </c>
    </row>
    <row r="541">
      <c r="A541" s="265" t="str">
        <f>IFERROR(__xludf.DUMMYFUNCTION("""COMPUTED_VALUE"""),"886")</f>
        <v>886</v>
      </c>
      <c r="B541" s="265" t="str">
        <f>IFERROR(__xludf.DUMMYFUNCTION("""COMPUTED_VALUE"""),"Hà Nội")</f>
        <v>Hà Nội</v>
      </c>
      <c r="C541" s="265" t="str">
        <f>IFERROR(__xludf.DUMMYFUNCTION("""COMPUTED_VALUE"""),"Active")</f>
        <v>Active</v>
      </c>
      <c r="D541" s="265" t="str">
        <f>IFERROR(__xludf.DUMMYFUNCTION("""COMPUTED_VALUE"""),"Công nghệ &amp; Phần mềm")</f>
        <v>Công nghệ &amp; Phần mềm</v>
      </c>
      <c r="E541" s="265" t="str">
        <f>IFERROR(__xludf.DUMMYFUNCTION("""COMPUTED_VALUE"""),"TùngLD")</f>
        <v>TùngLD</v>
      </c>
      <c r="F541" s="265" t="str">
        <f>IFERROR(__xludf.DUMMYFUNCTION("""COMPUTED_VALUE"""),"Bronze")</f>
        <v>Bronze</v>
      </c>
      <c r="G541" s="265" t="str">
        <f>IFERROR(__xludf.DUMMYFUNCTION("""COMPUTED_VALUE"""),"Starter")</f>
        <v>Starter</v>
      </c>
      <c r="H541" s="265" t="str">
        <f>IFERROR(__xludf.DUMMYFUNCTION("""COMPUTED_VALUE"""),"Trả sau")</f>
        <v>Trả sau</v>
      </c>
      <c r="I541" s="265" t="str">
        <f>IFERROR(__xludf.DUMMYFUNCTION("""COMPUTED_VALUE"""),"API &amp; Portal")</f>
        <v>API &amp; Portal</v>
      </c>
      <c r="J541" s="265" t="str">
        <f>IFERROR(__xludf.DUMMYFUNCTION("""COMPUTED_VALUE"""),"DungPL")</f>
        <v>DungPL</v>
      </c>
    </row>
    <row r="542">
      <c r="A542" s="265" t="str">
        <f>IFERROR(__xludf.DUMMYFUNCTION("""COMPUTED_VALUE"""),"888")</f>
        <v>888</v>
      </c>
      <c r="B542" s="265" t="str">
        <f>IFERROR(__xludf.DUMMYFUNCTION("""COMPUTED_VALUE"""),"Hà Nội")</f>
        <v>Hà Nội</v>
      </c>
      <c r="C542" s="265" t="str">
        <f>IFERROR(__xludf.DUMMYFUNCTION("""COMPUTED_VALUE"""),"Active")</f>
        <v>Active</v>
      </c>
      <c r="D542" s="265" t="str">
        <f>IFERROR(__xludf.DUMMYFUNCTION("""COMPUTED_VALUE"""),"Tài chính &amp; Ngân hàng")</f>
        <v>Tài chính &amp; Ngân hàng</v>
      </c>
      <c r="E542" s="265" t="str">
        <f>IFERROR(__xludf.DUMMYFUNCTION("""COMPUTED_VALUE"""),"TùngLD")</f>
        <v>TùngLD</v>
      </c>
      <c r="F542" s="265" t="str">
        <f>IFERROR(__xludf.DUMMYFUNCTION("""COMPUTED_VALUE"""),"Silver")</f>
        <v>Silver</v>
      </c>
      <c r="G542" s="265" t="str">
        <f>IFERROR(__xludf.DUMMYFUNCTION("""COMPUTED_VALUE"""),"Starter")</f>
        <v>Starter</v>
      </c>
      <c r="H542" s="265" t="str">
        <f>IFERROR(__xludf.DUMMYFUNCTION("""COMPUTED_VALUE"""),"Trả sau")</f>
        <v>Trả sau</v>
      </c>
      <c r="I542" s="265" t="str">
        <f>IFERROR(__xludf.DUMMYFUNCTION("""COMPUTED_VALUE"""),"API &amp; Portal")</f>
        <v>API &amp; Portal</v>
      </c>
      <c r="J542" s="265" t="str">
        <f>IFERROR(__xludf.DUMMYFUNCTION("""COMPUTED_VALUE"""),"LinhNTT1")</f>
        <v>LinhNTT1</v>
      </c>
    </row>
    <row r="543">
      <c r="A543" s="265" t="str">
        <f>IFERROR(__xludf.DUMMYFUNCTION("""COMPUTED_VALUE"""),"889")</f>
        <v>889</v>
      </c>
      <c r="B543" s="265" t="str">
        <f>IFERROR(__xludf.DUMMYFUNCTION("""COMPUTED_VALUE"""),"Hà Nội")</f>
        <v>Hà Nội</v>
      </c>
      <c r="C543" s="265" t="str">
        <f>IFERROR(__xludf.DUMMYFUNCTION("""COMPUTED_VALUE"""),"Active")</f>
        <v>Active</v>
      </c>
      <c r="D543" s="265" t="str">
        <f>IFERROR(__xludf.DUMMYFUNCTION("""COMPUTED_VALUE"""),"Y tế &amp; Dược phẩm")</f>
        <v>Y tế &amp; Dược phẩm</v>
      </c>
      <c r="E543" s="265" t="str">
        <f>IFERROR(__xludf.DUMMYFUNCTION("""COMPUTED_VALUE"""),"TùngLD")</f>
        <v>TùngLD</v>
      </c>
      <c r="F543" s="265" t="str">
        <f>IFERROR(__xludf.DUMMYFUNCTION("""COMPUTED_VALUE"""),"Gold")</f>
        <v>Gold</v>
      </c>
      <c r="G543" s="265" t="str">
        <f>IFERROR(__xludf.DUMMYFUNCTION("""COMPUTED_VALUE"""),"Premium")</f>
        <v>Premium</v>
      </c>
      <c r="H543" s="265" t="str">
        <f>IFERROR(__xludf.DUMMYFUNCTION("""COMPUTED_VALUE"""),"Trả sau")</f>
        <v>Trả sau</v>
      </c>
      <c r="I543" s="265" t="str">
        <f>IFERROR(__xludf.DUMMYFUNCTION("""COMPUTED_VALUE"""),"API &amp; Portal")</f>
        <v>API &amp; Portal</v>
      </c>
      <c r="J543" s="265" t="str">
        <f>IFERROR(__xludf.DUMMYFUNCTION("""COMPUTED_VALUE"""),"LinhNTT1")</f>
        <v>LinhNTT1</v>
      </c>
    </row>
    <row r="544">
      <c r="A544" s="265" t="str">
        <f>IFERROR(__xludf.DUMMYFUNCTION("""COMPUTED_VALUE"""),"890")</f>
        <v>890</v>
      </c>
      <c r="B544" s="265" t="str">
        <f>IFERROR(__xludf.DUMMYFUNCTION("""COMPUTED_VALUE"""),"Sài Gòn")</f>
        <v>Sài Gòn</v>
      </c>
      <c r="C544" s="265" t="str">
        <f>IFERROR(__xludf.DUMMYFUNCTION("""COMPUTED_VALUE"""),"Active")</f>
        <v>Active</v>
      </c>
      <c r="D544" s="265" t="str">
        <f>IFERROR(__xludf.DUMMYFUNCTION("""COMPUTED_VALUE"""),"Công nghệ &amp; Phần mềm")</f>
        <v>Công nghệ &amp; Phần mềm</v>
      </c>
      <c r="E544" s="265" t="str">
        <f>IFERROR(__xludf.DUMMYFUNCTION("""COMPUTED_VALUE"""),"TúPHN")</f>
        <v>TúPHN</v>
      </c>
      <c r="F544" s="265" t="str">
        <f>IFERROR(__xludf.DUMMYFUNCTION("""COMPUTED_VALUE"""),"Gold")</f>
        <v>Gold</v>
      </c>
      <c r="G544" s="265" t="str">
        <f>IFERROR(__xludf.DUMMYFUNCTION("""COMPUTED_VALUE"""),"Starter")</f>
        <v>Starter</v>
      </c>
      <c r="H544" s="265" t="str">
        <f>IFERROR(__xludf.DUMMYFUNCTION("""COMPUTED_VALUE"""),"Trả sau")</f>
        <v>Trả sau</v>
      </c>
      <c r="I544" s="265" t="str">
        <f>IFERROR(__xludf.DUMMYFUNCTION("""COMPUTED_VALUE"""),"API &amp; Portal")</f>
        <v>API &amp; Portal</v>
      </c>
      <c r="J544" s="265" t="str">
        <f>IFERROR(__xludf.DUMMYFUNCTION("""COMPUTED_VALUE"""),"LinhNTT1")</f>
        <v>LinhNTT1</v>
      </c>
    </row>
    <row r="545">
      <c r="A545" s="265" t="str">
        <f>IFERROR(__xludf.DUMMYFUNCTION("""COMPUTED_VALUE"""),"891")</f>
        <v>891</v>
      </c>
      <c r="B545" s="265" t="str">
        <f>IFERROR(__xludf.DUMMYFUNCTION("""COMPUTED_VALUE"""),"Sài Gòn")</f>
        <v>Sài Gòn</v>
      </c>
      <c r="C545" s="265" t="str">
        <f>IFERROR(__xludf.DUMMYFUNCTION("""COMPUTED_VALUE"""),"Locked")</f>
        <v>Locked</v>
      </c>
      <c r="D545" s="265" t="str">
        <f>IFERROR(__xludf.DUMMYFUNCTION("""COMPUTED_VALUE"""),"Sale chưa cung cấp")</f>
        <v>Sale chưa cung cấp</v>
      </c>
      <c r="E545" s="265" t="str">
        <f>IFERROR(__xludf.DUMMYFUNCTION("""COMPUTED_VALUE"""),"AnhNM")</f>
        <v>AnhNM</v>
      </c>
      <c r="F545" s="265" t="str">
        <f>IFERROR(__xludf.DUMMYFUNCTION("""COMPUTED_VALUE"""),"Sale chưa cung cấp")</f>
        <v>Sale chưa cung cấp</v>
      </c>
      <c r="G545" s="265" t="str">
        <f>IFERROR(__xludf.DUMMYFUNCTION("""COMPUTED_VALUE"""),"Standard")</f>
        <v>Standard</v>
      </c>
      <c r="H545" s="265" t="str">
        <f>IFERROR(__xludf.DUMMYFUNCTION("""COMPUTED_VALUE"""),"Trial")</f>
        <v>Trial</v>
      </c>
      <c r="I545" s="265" t="str">
        <f>IFERROR(__xludf.DUMMYFUNCTION("""COMPUTED_VALUE"""),"API")</f>
        <v>API</v>
      </c>
      <c r="J545" s="265" t="str">
        <f>IFERROR(__xludf.DUMMYFUNCTION("""COMPUTED_VALUE"""),"Không phân công")</f>
        <v>Không phân công</v>
      </c>
    </row>
    <row r="546">
      <c r="A546" s="265" t="str">
        <f>IFERROR(__xludf.DUMMYFUNCTION("""COMPUTED_VALUE"""),"892")</f>
        <v>892</v>
      </c>
      <c r="B546" s="265" t="str">
        <f>IFERROR(__xludf.DUMMYFUNCTION("""COMPUTED_VALUE"""),"Hà Nội")</f>
        <v>Hà Nội</v>
      </c>
      <c r="C546" s="265" t="str">
        <f>IFERROR(__xludf.DUMMYFUNCTION("""COMPUTED_VALUE"""),"Active")</f>
        <v>Active</v>
      </c>
      <c r="D546" s="265" t="str">
        <f>IFERROR(__xludf.DUMMYFUNCTION("""COMPUTED_VALUE"""),"Y tế &amp; Dược phẩm")</f>
        <v>Y tế &amp; Dược phẩm</v>
      </c>
      <c r="E546" s="265" t="str">
        <f>IFERROR(__xludf.DUMMYFUNCTION("""COMPUTED_VALUE"""),"TùngLD")</f>
        <v>TùngLD</v>
      </c>
      <c r="F546" s="265" t="str">
        <f>IFERROR(__xludf.DUMMYFUNCTION("""COMPUTED_VALUE"""),"Gold")</f>
        <v>Gold</v>
      </c>
      <c r="G546" s="265" t="str">
        <f>IFERROR(__xludf.DUMMYFUNCTION("""COMPUTED_VALUE"""),"Premium")</f>
        <v>Premium</v>
      </c>
      <c r="H546" s="265" t="str">
        <f>IFERROR(__xludf.DUMMYFUNCTION("""COMPUTED_VALUE"""),"Trả sau")</f>
        <v>Trả sau</v>
      </c>
      <c r="I546" s="265" t="str">
        <f>IFERROR(__xludf.DUMMYFUNCTION("""COMPUTED_VALUE"""),"API &amp; Portal")</f>
        <v>API &amp; Portal</v>
      </c>
      <c r="J546" s="265" t="str">
        <f>IFERROR(__xludf.DUMMYFUNCTION("""COMPUTED_VALUE"""),"LinhNTT1")</f>
        <v>LinhNTT1</v>
      </c>
    </row>
    <row r="547">
      <c r="A547" s="265" t="str">
        <f>IFERROR(__xludf.DUMMYFUNCTION("""COMPUTED_VALUE"""),"895")</f>
        <v>895</v>
      </c>
      <c r="B547" s="265" t="str">
        <f>IFERROR(__xludf.DUMMYFUNCTION("""COMPUTED_VALUE"""),"Sài Gòn")</f>
        <v>Sài Gòn</v>
      </c>
      <c r="C547" s="265" t="str">
        <f>IFERROR(__xludf.DUMMYFUNCTION("""COMPUTED_VALUE"""),"Locked")</f>
        <v>Locked</v>
      </c>
      <c r="D547" s="265" t="str">
        <f>IFERROR(__xludf.DUMMYFUNCTION("""COMPUTED_VALUE"""),"Sale chưa cung cấp")</f>
        <v>Sale chưa cung cấp</v>
      </c>
      <c r="E547" s="265" t="str">
        <f>IFERROR(__xludf.DUMMYFUNCTION("""COMPUTED_VALUE"""),"AnhNM")</f>
        <v>AnhNM</v>
      </c>
      <c r="F547" s="265" t="str">
        <f>IFERROR(__xludf.DUMMYFUNCTION("""COMPUTED_VALUE"""),"Sale chưa cung cấp")</f>
        <v>Sale chưa cung cấp</v>
      </c>
      <c r="G547" s="265" t="str">
        <f>IFERROR(__xludf.DUMMYFUNCTION("""COMPUTED_VALUE"""),"Starter")</f>
        <v>Starter</v>
      </c>
      <c r="H547" s="265" t="str">
        <f>IFERROR(__xludf.DUMMYFUNCTION("""COMPUTED_VALUE"""),"Trial")</f>
        <v>Trial</v>
      </c>
      <c r="I547" s="265" t="str">
        <f>IFERROR(__xludf.DUMMYFUNCTION("""COMPUTED_VALUE"""),"API")</f>
        <v>API</v>
      </c>
      <c r="J547" s="265" t="str">
        <f>IFERROR(__xludf.DUMMYFUNCTION("""COMPUTED_VALUE"""),"Không phân công")</f>
        <v>Không phân công</v>
      </c>
    </row>
    <row r="548">
      <c r="A548" s="265" t="str">
        <f>IFERROR(__xludf.DUMMYFUNCTION("""COMPUTED_VALUE"""),"894")</f>
        <v>894</v>
      </c>
      <c r="B548" s="265" t="str">
        <f>IFERROR(__xludf.DUMMYFUNCTION("""COMPUTED_VALUE"""),"Sài Gòn")</f>
        <v>Sài Gòn</v>
      </c>
      <c r="C548" s="265" t="str">
        <f>IFERROR(__xludf.DUMMYFUNCTION("""COMPUTED_VALUE"""),"Active")</f>
        <v>Active</v>
      </c>
      <c r="D548" s="265" t="str">
        <f>IFERROR(__xludf.DUMMYFUNCTION("""COMPUTED_VALUE"""),"Sale chưa cung cấp")</f>
        <v>Sale chưa cung cấp</v>
      </c>
      <c r="E548" s="265" t="str">
        <f>IFERROR(__xludf.DUMMYFUNCTION("""COMPUTED_VALUE"""),"Không phân công")</f>
        <v>Không phân công</v>
      </c>
      <c r="F548" s="265" t="str">
        <f>IFERROR(__xludf.DUMMYFUNCTION("""COMPUTED_VALUE"""),"Diamond")</f>
        <v>Diamond</v>
      </c>
      <c r="G548" s="265" t="str">
        <f>IFERROR(__xludf.DUMMYFUNCTION("""COMPUTED_VALUE"""),"Standard")</f>
        <v>Standard</v>
      </c>
      <c r="H548" s="265" t="str">
        <f>IFERROR(__xludf.DUMMYFUNCTION("""COMPUTED_VALUE"""),"Trả trước")</f>
        <v>Trả trước</v>
      </c>
      <c r="I548" s="265" t="str">
        <f>IFERROR(__xludf.DUMMYFUNCTION("""COMPUTED_VALUE"""),"API")</f>
        <v>API</v>
      </c>
      <c r="J548" s="265" t="str">
        <f>IFERROR(__xludf.DUMMYFUNCTION("""COMPUTED_VALUE"""),"LinhNTT1")</f>
        <v>LinhNTT1</v>
      </c>
    </row>
    <row r="549">
      <c r="A549" s="265" t="str">
        <f>IFERROR(__xludf.DUMMYFUNCTION("""COMPUTED_VALUE"""),"896")</f>
        <v>896</v>
      </c>
      <c r="B549" s="265" t="str">
        <f>IFERROR(__xludf.DUMMYFUNCTION("""COMPUTED_VALUE"""),"Hà Nội")</f>
        <v>Hà Nội</v>
      </c>
      <c r="C549" s="265" t="str">
        <f>IFERROR(__xludf.DUMMYFUNCTION("""COMPUTED_VALUE"""),"Active")</f>
        <v>Active</v>
      </c>
      <c r="D549" s="265" t="str">
        <f>IFERROR(__xludf.DUMMYFUNCTION("""COMPUTED_VALUE"""),"Mua sắm &amp; Bán lẻ")</f>
        <v>Mua sắm &amp; Bán lẻ</v>
      </c>
      <c r="E549" s="265" t="str">
        <f>IFERROR(__xludf.DUMMYFUNCTION("""COMPUTED_VALUE"""),"TúPHN")</f>
        <v>TúPHN</v>
      </c>
      <c r="F549" s="265" t="str">
        <f>IFERROR(__xludf.DUMMYFUNCTION("""COMPUTED_VALUE"""),"Bronze")</f>
        <v>Bronze</v>
      </c>
      <c r="G549" s="265" t="str">
        <f>IFERROR(__xludf.DUMMYFUNCTION("""COMPUTED_VALUE"""),"Starter")</f>
        <v>Starter</v>
      </c>
      <c r="H549" s="265" t="str">
        <f>IFERROR(__xludf.DUMMYFUNCTION("""COMPUTED_VALUE"""),"Trả sau")</f>
        <v>Trả sau</v>
      </c>
      <c r="I549" s="265" t="str">
        <f>IFERROR(__xludf.DUMMYFUNCTION("""COMPUTED_VALUE"""),"API &amp; Portal")</f>
        <v>API &amp; Portal</v>
      </c>
      <c r="J549" s="265" t="str">
        <f>IFERROR(__xludf.DUMMYFUNCTION("""COMPUTED_VALUE"""),"DungPL")</f>
        <v>DungPL</v>
      </c>
    </row>
    <row r="550">
      <c r="A550" s="265" t="str">
        <f>IFERROR(__xludf.DUMMYFUNCTION("""COMPUTED_VALUE"""),"897")</f>
        <v>897</v>
      </c>
      <c r="B550" s="265" t="str">
        <f>IFERROR(__xludf.DUMMYFUNCTION("""COMPUTED_VALUE"""),"Sài Gòn")</f>
        <v>Sài Gòn</v>
      </c>
      <c r="C550" s="265" t="str">
        <f>IFERROR(__xludf.DUMMYFUNCTION("""COMPUTED_VALUE"""),"Locked")</f>
        <v>Locked</v>
      </c>
      <c r="D550" s="265" t="str">
        <f>IFERROR(__xludf.DUMMYFUNCTION("""COMPUTED_VALUE"""),"Thực phẩm &amp; Đồ uống")</f>
        <v>Thực phẩm &amp; Đồ uống</v>
      </c>
      <c r="E550" s="265" t="str">
        <f>IFERROR(__xludf.DUMMYFUNCTION("""COMPUTED_VALUE"""),"HoaNTM")</f>
        <v>HoaNTM</v>
      </c>
      <c r="F550" s="265" t="str">
        <f>IFERROR(__xludf.DUMMYFUNCTION("""COMPUTED_VALUE"""),"Diamond")</f>
        <v>Diamond</v>
      </c>
      <c r="G550" s="265" t="str">
        <f>IFERROR(__xludf.DUMMYFUNCTION("""COMPUTED_VALUE"""),"Premium")</f>
        <v>Premium</v>
      </c>
      <c r="H550" s="265" t="str">
        <f>IFERROR(__xludf.DUMMYFUNCTION("""COMPUTED_VALUE"""),"Trả trước")</f>
        <v>Trả trước</v>
      </c>
      <c r="I550" s="265" t="str">
        <f>IFERROR(__xludf.DUMMYFUNCTION("""COMPUTED_VALUE"""),"API &amp; Portal")</f>
        <v>API &amp; Portal</v>
      </c>
      <c r="J550" s="265" t="str">
        <f>IFERROR(__xludf.DUMMYFUNCTION("""COMPUTED_VALUE"""),"LinhNTT1")</f>
        <v>LinhNTT1</v>
      </c>
    </row>
    <row r="551">
      <c r="A551" s="265" t="str">
        <f>IFERROR(__xludf.DUMMYFUNCTION("""COMPUTED_VALUE"""),"898")</f>
        <v>898</v>
      </c>
      <c r="B551" s="265" t="str">
        <f>IFERROR(__xludf.DUMMYFUNCTION("""COMPUTED_VALUE"""),"Sài Gòn")</f>
        <v>Sài Gòn</v>
      </c>
      <c r="C551" s="265" t="str">
        <f>IFERROR(__xludf.DUMMYFUNCTION("""COMPUTED_VALUE"""),"Locked")</f>
        <v>Locked</v>
      </c>
      <c r="D551" s="265" t="str">
        <f>IFERROR(__xludf.DUMMYFUNCTION("""COMPUTED_VALUE"""),"Thực phẩm &amp; Đồ uống")</f>
        <v>Thực phẩm &amp; Đồ uống</v>
      </c>
      <c r="E551" s="265" t="str">
        <f>IFERROR(__xludf.DUMMYFUNCTION("""COMPUTED_VALUE"""),"HoaNTM")</f>
        <v>HoaNTM</v>
      </c>
      <c r="F551" s="265" t="str">
        <f>IFERROR(__xludf.DUMMYFUNCTION("""COMPUTED_VALUE"""),"Diamond")</f>
        <v>Diamond</v>
      </c>
      <c r="G551" s="265" t="str">
        <f>IFERROR(__xludf.DUMMYFUNCTION("""COMPUTED_VALUE"""),"Premium")</f>
        <v>Premium</v>
      </c>
      <c r="H551" s="265" t="str">
        <f>IFERROR(__xludf.DUMMYFUNCTION("""COMPUTED_VALUE"""),"Trả sau")</f>
        <v>Trả sau</v>
      </c>
      <c r="I551" s="265" t="str">
        <f>IFERROR(__xludf.DUMMYFUNCTION("""COMPUTED_VALUE"""),"API &amp; Portal")</f>
        <v>API &amp; Portal</v>
      </c>
      <c r="J551" s="265" t="str">
        <f>IFERROR(__xludf.DUMMYFUNCTION("""COMPUTED_VALUE"""),"DungVT")</f>
        <v>DungVT</v>
      </c>
    </row>
    <row r="552">
      <c r="A552" s="265" t="str">
        <f>IFERROR(__xludf.DUMMYFUNCTION("""COMPUTED_VALUE"""),"899")</f>
        <v>899</v>
      </c>
      <c r="B552" s="265" t="str">
        <f>IFERROR(__xludf.DUMMYFUNCTION("""COMPUTED_VALUE"""),"Hà Nội")</f>
        <v>Hà Nội</v>
      </c>
      <c r="C552" s="265" t="str">
        <f>IFERROR(__xludf.DUMMYFUNCTION("""COMPUTED_VALUE"""),"Active")</f>
        <v>Active</v>
      </c>
      <c r="D552" s="265" t="str">
        <f>IFERROR(__xludf.DUMMYFUNCTION("""COMPUTED_VALUE"""),"Sale chưa cung cấp")</f>
        <v>Sale chưa cung cấp</v>
      </c>
      <c r="E552" s="265" t="str">
        <f>IFERROR(__xludf.DUMMYFUNCTION("""COMPUTED_VALUE"""),"AnhNM")</f>
        <v>AnhNM</v>
      </c>
      <c r="F552" s="265" t="str">
        <f>IFERROR(__xludf.DUMMYFUNCTION("""COMPUTED_VALUE"""),"Bronze")</f>
        <v>Bronze</v>
      </c>
      <c r="G552" s="265" t="str">
        <f>IFERROR(__xludf.DUMMYFUNCTION("""COMPUTED_VALUE"""),"Starter")</f>
        <v>Starter</v>
      </c>
      <c r="H552" s="265" t="str">
        <f>IFERROR(__xludf.DUMMYFUNCTION("""COMPUTED_VALUE"""),"Trả trước")</f>
        <v>Trả trước</v>
      </c>
      <c r="I552" s="265" t="str">
        <f>IFERROR(__xludf.DUMMYFUNCTION("""COMPUTED_VALUE"""),"API")</f>
        <v>API</v>
      </c>
      <c r="J552" s="265" t="str">
        <f>IFERROR(__xludf.DUMMYFUNCTION("""COMPUTED_VALUE"""),"LinhNTT1")</f>
        <v>LinhNTT1</v>
      </c>
    </row>
    <row r="553">
      <c r="A553" s="265" t="str">
        <f>IFERROR(__xludf.DUMMYFUNCTION("""COMPUTED_VALUE"""),"900")</f>
        <v>900</v>
      </c>
      <c r="B553" s="265" t="str">
        <f>IFERROR(__xludf.DUMMYFUNCTION("""COMPUTED_VALUE"""),"Hà Nội")</f>
        <v>Hà Nội</v>
      </c>
      <c r="C553" s="265" t="str">
        <f>IFERROR(__xludf.DUMMYFUNCTION("""COMPUTED_VALUE"""),"Active")</f>
        <v>Active</v>
      </c>
      <c r="D553" s="265" t="str">
        <f>IFERROR(__xludf.DUMMYFUNCTION("""COMPUTED_VALUE"""),"Sale chưa cung cấp")</f>
        <v>Sale chưa cung cấp</v>
      </c>
      <c r="E553" s="265" t="str">
        <f>IFERROR(__xludf.DUMMYFUNCTION("""COMPUTED_VALUE"""),"Không phân công")</f>
        <v>Không phân công</v>
      </c>
      <c r="F553" s="265" t="str">
        <f>IFERROR(__xludf.DUMMYFUNCTION("""COMPUTED_VALUE"""),"Sale chưa cung cấp")</f>
        <v>Sale chưa cung cấp</v>
      </c>
      <c r="G553" s="265" t="str">
        <f>IFERROR(__xludf.DUMMYFUNCTION("""COMPUTED_VALUE"""),"Starter")</f>
        <v>Starter</v>
      </c>
      <c r="H553" s="265" t="str">
        <f>IFERROR(__xludf.DUMMYFUNCTION("""COMPUTED_VALUE"""),"Trả sau")</f>
        <v>Trả sau</v>
      </c>
      <c r="I553" s="265" t="str">
        <f>IFERROR(__xludf.DUMMYFUNCTION("""COMPUTED_VALUE"""),"API &amp; Portal")</f>
        <v>API &amp; Portal</v>
      </c>
      <c r="J553" s="265" t="str">
        <f>IFERROR(__xludf.DUMMYFUNCTION("""COMPUTED_VALUE"""),"LinhNTT1")</f>
        <v>LinhNTT1</v>
      </c>
    </row>
    <row r="554">
      <c r="A554" s="265" t="str">
        <f>IFERROR(__xludf.DUMMYFUNCTION("""COMPUTED_VALUE"""),"902")</f>
        <v>902</v>
      </c>
      <c r="B554" s="265" t="str">
        <f>IFERROR(__xludf.DUMMYFUNCTION("""COMPUTED_VALUE"""),"Hà Nội")</f>
        <v>Hà Nội</v>
      </c>
      <c r="C554" s="265" t="str">
        <f>IFERROR(__xludf.DUMMYFUNCTION("""COMPUTED_VALUE"""),"Active")</f>
        <v>Active</v>
      </c>
      <c r="D554" s="265" t="str">
        <f>IFERROR(__xludf.DUMMYFUNCTION("""COMPUTED_VALUE"""),"Y tế &amp; Dược phẩm")</f>
        <v>Y tế &amp; Dược phẩm</v>
      </c>
      <c r="E554" s="265" t="str">
        <f>IFERROR(__xludf.DUMMYFUNCTION("""COMPUTED_VALUE"""),"TùngLD")</f>
        <v>TùngLD</v>
      </c>
      <c r="F554" s="265" t="str">
        <f>IFERROR(__xludf.DUMMYFUNCTION("""COMPUTED_VALUE"""),"Gold")</f>
        <v>Gold</v>
      </c>
      <c r="G554" s="265" t="str">
        <f>IFERROR(__xludf.DUMMYFUNCTION("""COMPUTED_VALUE"""),"Premium")</f>
        <v>Premium</v>
      </c>
      <c r="H554" s="265" t="str">
        <f>IFERROR(__xludf.DUMMYFUNCTION("""COMPUTED_VALUE"""),"Trả sau")</f>
        <v>Trả sau</v>
      </c>
      <c r="I554" s="265" t="str">
        <f>IFERROR(__xludf.DUMMYFUNCTION("""COMPUTED_VALUE"""),"API &amp; Portal")</f>
        <v>API &amp; Portal</v>
      </c>
      <c r="J554" s="265" t="str">
        <f>IFERROR(__xludf.DUMMYFUNCTION("""COMPUTED_VALUE"""),"LinhNTT1")</f>
        <v>LinhNTT1</v>
      </c>
    </row>
    <row r="555">
      <c r="A555" s="265" t="str">
        <f>IFERROR(__xludf.DUMMYFUNCTION("""COMPUTED_VALUE"""),"901")</f>
        <v>901</v>
      </c>
      <c r="B555" s="265" t="str">
        <f>IFERROR(__xludf.DUMMYFUNCTION("""COMPUTED_VALUE"""),"Hà Nội")</f>
        <v>Hà Nội</v>
      </c>
      <c r="C555" s="265" t="str">
        <f>IFERROR(__xludf.DUMMYFUNCTION("""COMPUTED_VALUE"""),"Locked")</f>
        <v>Locked</v>
      </c>
      <c r="D555" s="265" t="str">
        <f>IFERROR(__xludf.DUMMYFUNCTION("""COMPUTED_VALUE"""),"Sale chưa cung cấp")</f>
        <v>Sale chưa cung cấp</v>
      </c>
      <c r="E555" s="265" t="str">
        <f>IFERROR(__xludf.DUMMYFUNCTION("""COMPUTED_VALUE"""),"PhươngDTB")</f>
        <v>PhươngDTB</v>
      </c>
      <c r="F555" s="265" t="str">
        <f>IFERROR(__xludf.DUMMYFUNCTION("""COMPUTED_VALUE"""),"Sale chưa cung cấp")</f>
        <v>Sale chưa cung cấp</v>
      </c>
      <c r="G555" s="265" t="str">
        <f>IFERROR(__xludf.DUMMYFUNCTION("""COMPUTED_VALUE"""),"Enterprise")</f>
        <v>Enterprise</v>
      </c>
      <c r="H555" s="265" t="str">
        <f>IFERROR(__xludf.DUMMYFUNCTION("""COMPUTED_VALUE"""),"Trial")</f>
        <v>Trial</v>
      </c>
      <c r="I555" s="265" t="str">
        <f>IFERROR(__xludf.DUMMYFUNCTION("""COMPUTED_VALUE"""),"API")</f>
        <v>API</v>
      </c>
      <c r="J555" s="265" t="str">
        <f>IFERROR(__xludf.DUMMYFUNCTION("""COMPUTED_VALUE"""),"DungPL")</f>
        <v>DungPL</v>
      </c>
    </row>
    <row r="556">
      <c r="A556" s="265" t="str">
        <f>IFERROR(__xludf.DUMMYFUNCTION("""COMPUTED_VALUE"""),"903")</f>
        <v>903</v>
      </c>
      <c r="B556" s="265" t="str">
        <f>IFERROR(__xludf.DUMMYFUNCTION("""COMPUTED_VALUE"""),"Sài Gòn")</f>
        <v>Sài Gòn</v>
      </c>
      <c r="C556" s="265" t="str">
        <f>IFERROR(__xludf.DUMMYFUNCTION("""COMPUTED_VALUE"""),"Active")</f>
        <v>Active</v>
      </c>
      <c r="D556" s="265" t="str">
        <f>IFERROR(__xludf.DUMMYFUNCTION("""COMPUTED_VALUE"""),"Ô tô &amp; Xe máy")</f>
        <v>Ô tô &amp; Xe máy</v>
      </c>
      <c r="E556" s="265" t="str">
        <f>IFERROR(__xludf.DUMMYFUNCTION("""COMPUTED_VALUE"""),"AnhNM")</f>
        <v>AnhNM</v>
      </c>
      <c r="F556" s="265" t="str">
        <f>IFERROR(__xludf.DUMMYFUNCTION("""COMPUTED_VALUE"""),"Silver")</f>
        <v>Silver</v>
      </c>
      <c r="G556" s="265" t="str">
        <f>IFERROR(__xludf.DUMMYFUNCTION("""COMPUTED_VALUE"""),"Standard")</f>
        <v>Standard</v>
      </c>
      <c r="H556" s="265" t="str">
        <f>IFERROR(__xludf.DUMMYFUNCTION("""COMPUTED_VALUE"""),"Trả trước")</f>
        <v>Trả trước</v>
      </c>
      <c r="I556" s="265" t="str">
        <f>IFERROR(__xludf.DUMMYFUNCTION("""COMPUTED_VALUE"""),"Portal")</f>
        <v>Portal</v>
      </c>
      <c r="J556" s="265" t="str">
        <f>IFERROR(__xludf.DUMMYFUNCTION("""COMPUTED_VALUE"""),"LinhNTT1")</f>
        <v>LinhNTT1</v>
      </c>
    </row>
    <row r="557">
      <c r="A557" s="265" t="str">
        <f>IFERROR(__xludf.DUMMYFUNCTION("""COMPUTED_VALUE"""),"904")</f>
        <v>904</v>
      </c>
      <c r="B557" s="265" t="str">
        <f>IFERROR(__xludf.DUMMYFUNCTION("""COMPUTED_VALUE"""),"Hà Nội")</f>
        <v>Hà Nội</v>
      </c>
      <c r="C557" s="265" t="str">
        <f>IFERROR(__xludf.DUMMYFUNCTION("""COMPUTED_VALUE"""),"Active")</f>
        <v>Active</v>
      </c>
      <c r="D557" s="265" t="str">
        <f>IFERROR(__xludf.DUMMYFUNCTION("""COMPUTED_VALUE"""),"Y tế &amp; Dược phẩm")</f>
        <v>Y tế &amp; Dược phẩm</v>
      </c>
      <c r="E557" s="265" t="str">
        <f>IFERROR(__xludf.DUMMYFUNCTION("""COMPUTED_VALUE"""),"TùngLD")</f>
        <v>TùngLD</v>
      </c>
      <c r="F557" s="265" t="str">
        <f>IFERROR(__xludf.DUMMYFUNCTION("""COMPUTED_VALUE"""),"Gold")</f>
        <v>Gold</v>
      </c>
      <c r="G557" s="265" t="str">
        <f>IFERROR(__xludf.DUMMYFUNCTION("""COMPUTED_VALUE"""),"Premium")</f>
        <v>Premium</v>
      </c>
      <c r="H557" s="265" t="str">
        <f>IFERROR(__xludf.DUMMYFUNCTION("""COMPUTED_VALUE"""),"Trả sau")</f>
        <v>Trả sau</v>
      </c>
      <c r="I557" s="265" t="str">
        <f>IFERROR(__xludf.DUMMYFUNCTION("""COMPUTED_VALUE"""),"API &amp; Portal")</f>
        <v>API &amp; Portal</v>
      </c>
      <c r="J557" s="265" t="str">
        <f>IFERROR(__xludf.DUMMYFUNCTION("""COMPUTED_VALUE"""),"LinhNTT1")</f>
        <v>LinhNTT1</v>
      </c>
    </row>
    <row r="558">
      <c r="A558" s="265" t="str">
        <f>IFERROR(__xludf.DUMMYFUNCTION("""COMPUTED_VALUE"""),"905")</f>
        <v>905</v>
      </c>
      <c r="B558" s="265" t="str">
        <f>IFERROR(__xludf.DUMMYFUNCTION("""COMPUTED_VALUE"""),"Hà Nội")</f>
        <v>Hà Nội</v>
      </c>
      <c r="C558" s="265" t="str">
        <f>IFERROR(__xludf.DUMMYFUNCTION("""COMPUTED_VALUE"""),"Locked")</f>
        <v>Locked</v>
      </c>
      <c r="D558" s="265" t="str">
        <f>IFERROR(__xludf.DUMMYFUNCTION("""COMPUTED_VALUE"""),"Ô tô &amp; Xe máy")</f>
        <v>Ô tô &amp; Xe máy</v>
      </c>
      <c r="E558" s="265" t="str">
        <f>IFERROR(__xludf.DUMMYFUNCTION("""COMPUTED_VALUE"""),"TùngLD")</f>
        <v>TùngLD</v>
      </c>
      <c r="F558" s="265" t="str">
        <f>IFERROR(__xludf.DUMMYFUNCTION("""COMPUTED_VALUE"""),"Sale chưa cung cấp")</f>
        <v>Sale chưa cung cấp</v>
      </c>
      <c r="G558" s="265" t="str">
        <f>IFERROR(__xludf.DUMMYFUNCTION("""COMPUTED_VALUE"""),"Starter")</f>
        <v>Starter</v>
      </c>
      <c r="H558" s="265" t="str">
        <f>IFERROR(__xludf.DUMMYFUNCTION("""COMPUTED_VALUE"""),"Trả sau")</f>
        <v>Trả sau</v>
      </c>
      <c r="I558" s="265" t="str">
        <f>IFERROR(__xludf.DUMMYFUNCTION("""COMPUTED_VALUE"""),"API")</f>
        <v>API</v>
      </c>
      <c r="J558" s="265" t="str">
        <f>IFERROR(__xludf.DUMMYFUNCTION("""COMPUTED_VALUE"""),"LinhNTT1")</f>
        <v>LinhNTT1</v>
      </c>
    </row>
    <row r="559">
      <c r="A559" s="265" t="str">
        <f>IFERROR(__xludf.DUMMYFUNCTION("""COMPUTED_VALUE"""),"907")</f>
        <v>907</v>
      </c>
      <c r="B559" s="265" t="str">
        <f>IFERROR(__xludf.DUMMYFUNCTION("""COMPUTED_VALUE"""),"Hà Nội")</f>
        <v>Hà Nội</v>
      </c>
      <c r="C559" s="265" t="str">
        <f>IFERROR(__xludf.DUMMYFUNCTION("""COMPUTED_VALUE"""),"Locked")</f>
        <v>Locked</v>
      </c>
      <c r="D559" s="265" t="str">
        <f>IFERROR(__xludf.DUMMYFUNCTION("""COMPUTED_VALUE"""),"Sale chưa cung cấp")</f>
        <v>Sale chưa cung cấp</v>
      </c>
      <c r="E559" s="265" t="str">
        <f>IFERROR(__xludf.DUMMYFUNCTION("""COMPUTED_VALUE"""),"PhươngDTB")</f>
        <v>PhươngDTB</v>
      </c>
      <c r="F559" s="265" t="str">
        <f>IFERROR(__xludf.DUMMYFUNCTION("""COMPUTED_VALUE"""),"Sale chưa cung cấp")</f>
        <v>Sale chưa cung cấp</v>
      </c>
      <c r="G559" s="265" t="str">
        <f>IFERROR(__xludf.DUMMYFUNCTION("""COMPUTED_VALUE"""),"Premium")</f>
        <v>Premium</v>
      </c>
      <c r="H559" s="265" t="str">
        <f>IFERROR(__xludf.DUMMYFUNCTION("""COMPUTED_VALUE"""),"Trial")</f>
        <v>Trial</v>
      </c>
      <c r="I559" s="265" t="str">
        <f>IFERROR(__xludf.DUMMYFUNCTION("""COMPUTED_VALUE"""),"API")</f>
        <v>API</v>
      </c>
      <c r="J559" s="265" t="str">
        <f>IFERROR(__xludf.DUMMYFUNCTION("""COMPUTED_VALUE"""),"LinhNTT1")</f>
        <v>LinhNTT1</v>
      </c>
    </row>
    <row r="560">
      <c r="A560" s="265" t="str">
        <f>IFERROR(__xludf.DUMMYFUNCTION("""COMPUTED_VALUE"""),"914")</f>
        <v>914</v>
      </c>
      <c r="B560" s="265" t="str">
        <f>IFERROR(__xludf.DUMMYFUNCTION("""COMPUTED_VALUE"""),"Sài Gòn")</f>
        <v>Sài Gòn</v>
      </c>
      <c r="C560" s="265" t="str">
        <f>IFERROR(__xludf.DUMMYFUNCTION("""COMPUTED_VALUE"""),"Locked")</f>
        <v>Locked</v>
      </c>
      <c r="D560" s="265" t="str">
        <f>IFERROR(__xludf.DUMMYFUNCTION("""COMPUTED_VALUE"""),"Dịch vụ khác")</f>
        <v>Dịch vụ khác</v>
      </c>
      <c r="E560" s="265" t="str">
        <f>IFERROR(__xludf.DUMMYFUNCTION("""COMPUTED_VALUE"""),"AnhNM")</f>
        <v>AnhNM</v>
      </c>
      <c r="F560" s="265" t="str">
        <f>IFERROR(__xludf.DUMMYFUNCTION("""COMPUTED_VALUE"""),"Gold")</f>
        <v>Gold</v>
      </c>
      <c r="G560" s="265" t="str">
        <f>IFERROR(__xludf.DUMMYFUNCTION("""COMPUTED_VALUE"""),"Standard")</f>
        <v>Standard</v>
      </c>
      <c r="H560" s="265" t="str">
        <f>IFERROR(__xludf.DUMMYFUNCTION("""COMPUTED_VALUE"""),"Trả sau")</f>
        <v>Trả sau</v>
      </c>
      <c r="I560" s="265" t="str">
        <f>IFERROR(__xludf.DUMMYFUNCTION("""COMPUTED_VALUE"""),"API &amp; Portal")</f>
        <v>API &amp; Portal</v>
      </c>
      <c r="J560" s="265" t="str">
        <f>IFERROR(__xludf.DUMMYFUNCTION("""COMPUTED_VALUE"""),"DungVT")</f>
        <v>DungVT</v>
      </c>
    </row>
    <row r="561">
      <c r="A561" s="265" t="str">
        <f>IFERROR(__xludf.DUMMYFUNCTION("""COMPUTED_VALUE"""),"914")</f>
        <v>914</v>
      </c>
      <c r="B561" s="265" t="str">
        <f>IFERROR(__xludf.DUMMYFUNCTION("""COMPUTED_VALUE"""),"Sài Gòn")</f>
        <v>Sài Gòn</v>
      </c>
      <c r="C561" s="265" t="str">
        <f>IFERROR(__xludf.DUMMYFUNCTION("""COMPUTED_VALUE"""),"Locked")</f>
        <v>Locked</v>
      </c>
      <c r="D561" s="265" t="str">
        <f>IFERROR(__xludf.DUMMYFUNCTION("""COMPUTED_VALUE"""),"Dịch vụ khác")</f>
        <v>Dịch vụ khác</v>
      </c>
      <c r="E561" s="265" t="str">
        <f>IFERROR(__xludf.DUMMYFUNCTION("""COMPUTED_VALUE"""),"AnhNM")</f>
        <v>AnhNM</v>
      </c>
      <c r="F561" s="265" t="str">
        <f>IFERROR(__xludf.DUMMYFUNCTION("""COMPUTED_VALUE"""),"Gold")</f>
        <v>Gold</v>
      </c>
      <c r="G561" s="265" t="str">
        <f>IFERROR(__xludf.DUMMYFUNCTION("""COMPUTED_VALUE"""),"Standard")</f>
        <v>Standard</v>
      </c>
      <c r="H561" s="265" t="str">
        <f>IFERROR(__xludf.DUMMYFUNCTION("""COMPUTED_VALUE"""),"Trả sau")</f>
        <v>Trả sau</v>
      </c>
      <c r="I561" s="265" t="str">
        <f>IFERROR(__xludf.DUMMYFUNCTION("""COMPUTED_VALUE"""),"API &amp; Portal")</f>
        <v>API &amp; Portal</v>
      </c>
      <c r="J561" s="265" t="str">
        <f>IFERROR(__xludf.DUMMYFUNCTION("""COMPUTED_VALUE"""),"LinhNTT1")</f>
        <v>LinhNTT1</v>
      </c>
    </row>
    <row r="562">
      <c r="A562" s="265" t="str">
        <f>IFERROR(__xludf.DUMMYFUNCTION("""COMPUTED_VALUE"""),"906")</f>
        <v>906</v>
      </c>
      <c r="B562" s="265" t="str">
        <f>IFERROR(__xludf.DUMMYFUNCTION("""COMPUTED_VALUE"""),"Hà Nội")</f>
        <v>Hà Nội</v>
      </c>
      <c r="C562" s="265" t="str">
        <f>IFERROR(__xludf.DUMMYFUNCTION("""COMPUTED_VALUE"""),"Active")</f>
        <v>Active</v>
      </c>
      <c r="D562" s="265" t="str">
        <f>IFERROR(__xludf.DUMMYFUNCTION("""COMPUTED_VALUE"""),"Công nghệ &amp; Phần mềm")</f>
        <v>Công nghệ &amp; Phần mềm</v>
      </c>
      <c r="E562" s="265" t="str">
        <f>IFERROR(__xludf.DUMMYFUNCTION("""COMPUTED_VALUE"""),"Không phân công")</f>
        <v>Không phân công</v>
      </c>
      <c r="F562" s="265" t="str">
        <f>IFERROR(__xludf.DUMMYFUNCTION("""COMPUTED_VALUE"""),"Bronze")</f>
        <v>Bronze</v>
      </c>
      <c r="G562" s="265" t="str">
        <f>IFERROR(__xludf.DUMMYFUNCTION("""COMPUTED_VALUE"""),"Starter")</f>
        <v>Starter</v>
      </c>
      <c r="H562" s="265" t="str">
        <f>IFERROR(__xludf.DUMMYFUNCTION("""COMPUTED_VALUE"""),"Trả sau")</f>
        <v>Trả sau</v>
      </c>
      <c r="I562" s="265" t="str">
        <f>IFERROR(__xludf.DUMMYFUNCTION("""COMPUTED_VALUE"""),"API &amp; Portal")</f>
        <v>API &amp; Portal</v>
      </c>
      <c r="J562" s="265" t="str">
        <f>IFERROR(__xludf.DUMMYFUNCTION("""COMPUTED_VALUE"""),"DungPL")</f>
        <v>DungPL</v>
      </c>
    </row>
    <row r="563">
      <c r="A563" s="265" t="str">
        <f>IFERROR(__xludf.DUMMYFUNCTION("""COMPUTED_VALUE"""),"908")</f>
        <v>908</v>
      </c>
      <c r="B563" s="265" t="str">
        <f>IFERROR(__xludf.DUMMYFUNCTION("""COMPUTED_VALUE"""),"Sài Gòn")</f>
        <v>Sài Gòn</v>
      </c>
      <c r="C563" s="265" t="str">
        <f>IFERROR(__xludf.DUMMYFUNCTION("""COMPUTED_VALUE"""),"Locked")</f>
        <v>Locked</v>
      </c>
      <c r="D563" s="265" t="str">
        <f>IFERROR(__xludf.DUMMYFUNCTION("""COMPUTED_VALUE"""),"Công nghệ &amp; Phần mềm")</f>
        <v>Công nghệ &amp; Phần mềm</v>
      </c>
      <c r="E563" s="265" t="str">
        <f>IFERROR(__xludf.DUMMYFUNCTION("""COMPUTED_VALUE"""),"TúPHN")</f>
        <v>TúPHN</v>
      </c>
      <c r="F563" s="265" t="str">
        <f>IFERROR(__xludf.DUMMYFUNCTION("""COMPUTED_VALUE"""),"Gold")</f>
        <v>Gold</v>
      </c>
      <c r="G563" s="265" t="str">
        <f>IFERROR(__xludf.DUMMYFUNCTION("""COMPUTED_VALUE"""),"Standard")</f>
        <v>Standard</v>
      </c>
      <c r="H563" s="265" t="str">
        <f>IFERROR(__xludf.DUMMYFUNCTION("""COMPUTED_VALUE"""),"Trial")</f>
        <v>Trial</v>
      </c>
      <c r="I563" s="265" t="str">
        <f>IFERROR(__xludf.DUMMYFUNCTION("""COMPUTED_VALUE"""),"Portal")</f>
        <v>Portal</v>
      </c>
      <c r="J563" s="265" t="str">
        <f>IFERROR(__xludf.DUMMYFUNCTION("""COMPUTED_VALUE"""),"Không phân công")</f>
        <v>Không phân công</v>
      </c>
    </row>
    <row r="564">
      <c r="A564" s="265" t="str">
        <f>IFERROR(__xludf.DUMMYFUNCTION("""COMPUTED_VALUE"""),"909")</f>
        <v>909</v>
      </c>
      <c r="B564" s="265" t="str">
        <f>IFERROR(__xludf.DUMMYFUNCTION("""COMPUTED_VALUE"""),"Sài Gòn")</f>
        <v>Sài Gòn</v>
      </c>
      <c r="C564" s="265" t="str">
        <f>IFERROR(__xludf.DUMMYFUNCTION("""COMPUTED_VALUE"""),"Locked")</f>
        <v>Locked</v>
      </c>
      <c r="D564" s="265" t="str">
        <f>IFERROR(__xludf.DUMMYFUNCTION("""COMPUTED_VALUE"""),"Dịch vụ khác")</f>
        <v>Dịch vụ khác</v>
      </c>
      <c r="E564" s="265" t="str">
        <f>IFERROR(__xludf.DUMMYFUNCTION("""COMPUTED_VALUE"""),"AnhNM")</f>
        <v>AnhNM</v>
      </c>
      <c r="F564" s="265" t="str">
        <f>IFERROR(__xludf.DUMMYFUNCTION("""COMPUTED_VALUE"""),"Sale chưa cung cấp")</f>
        <v>Sale chưa cung cấp</v>
      </c>
      <c r="G564" s="265" t="str">
        <f>IFERROR(__xludf.DUMMYFUNCTION("""COMPUTED_VALUE"""),"Premium")</f>
        <v>Premium</v>
      </c>
      <c r="H564" s="265" t="str">
        <f>IFERROR(__xludf.DUMMYFUNCTION("""COMPUTED_VALUE"""),"Trial")</f>
        <v>Trial</v>
      </c>
      <c r="I564" s="265" t="str">
        <f>IFERROR(__xludf.DUMMYFUNCTION("""COMPUTED_VALUE"""),"API &amp; Portal")</f>
        <v>API &amp; Portal</v>
      </c>
      <c r="J564" s="265" t="str">
        <f>IFERROR(__xludf.DUMMYFUNCTION("""COMPUTED_VALUE"""),"Không phân công")</f>
        <v>Không phân công</v>
      </c>
    </row>
    <row r="565">
      <c r="A565" s="265" t="str">
        <f>IFERROR(__xludf.DUMMYFUNCTION("""COMPUTED_VALUE"""),"911")</f>
        <v>911</v>
      </c>
      <c r="B565" s="265" t="str">
        <f>IFERROR(__xludf.DUMMYFUNCTION("""COMPUTED_VALUE"""),"Sài Gòn")</f>
        <v>Sài Gòn</v>
      </c>
      <c r="C565" s="265" t="str">
        <f>IFERROR(__xludf.DUMMYFUNCTION("""COMPUTED_VALUE"""),"Locked")</f>
        <v>Locked</v>
      </c>
      <c r="D565" s="265" t="str">
        <f>IFERROR(__xludf.DUMMYFUNCTION("""COMPUTED_VALUE"""),"Thực phẩm &amp; Đồ uống")</f>
        <v>Thực phẩm &amp; Đồ uống</v>
      </c>
      <c r="E565" s="265" t="str">
        <f>IFERROR(__xludf.DUMMYFUNCTION("""COMPUTED_VALUE"""),"HoaNTM")</f>
        <v>HoaNTM</v>
      </c>
      <c r="F565" s="265" t="str">
        <f>IFERROR(__xludf.DUMMYFUNCTION("""COMPUTED_VALUE"""),"Sale chưa cung cấp")</f>
        <v>Sale chưa cung cấp</v>
      </c>
      <c r="G565" s="265" t="str">
        <f>IFERROR(__xludf.DUMMYFUNCTION("""COMPUTED_VALUE"""),"Premium")</f>
        <v>Premium</v>
      </c>
      <c r="H565" s="265" t="str">
        <f>IFERROR(__xludf.DUMMYFUNCTION("""COMPUTED_VALUE"""),"Trả trước")</f>
        <v>Trả trước</v>
      </c>
      <c r="I565" s="265" t="str">
        <f>IFERROR(__xludf.DUMMYFUNCTION("""COMPUTED_VALUE"""),"Portal")</f>
        <v>Portal</v>
      </c>
      <c r="J565" s="265" t="str">
        <f>IFERROR(__xludf.DUMMYFUNCTION("""COMPUTED_VALUE"""),"YếnĐH")</f>
        <v>YếnĐH</v>
      </c>
    </row>
    <row r="566">
      <c r="A566" s="265" t="str">
        <f>IFERROR(__xludf.DUMMYFUNCTION("""COMPUTED_VALUE"""),"912")</f>
        <v>912</v>
      </c>
      <c r="B566" s="265" t="str">
        <f>IFERROR(__xludf.DUMMYFUNCTION("""COMPUTED_VALUE"""),"Sài Gòn")</f>
        <v>Sài Gòn</v>
      </c>
      <c r="C566" s="265" t="str">
        <f>IFERROR(__xludf.DUMMYFUNCTION("""COMPUTED_VALUE"""),"Locked")</f>
        <v>Locked</v>
      </c>
      <c r="D566" s="265" t="str">
        <f>IFERROR(__xludf.DUMMYFUNCTION("""COMPUTED_VALUE"""),"Truyền thông &amp; Giải trí")</f>
        <v>Truyền thông &amp; Giải trí</v>
      </c>
      <c r="E566" s="265" t="str">
        <f>IFERROR(__xludf.DUMMYFUNCTION("""COMPUTED_VALUE"""),"AnhNM")</f>
        <v>AnhNM</v>
      </c>
      <c r="F566" s="265" t="str">
        <f>IFERROR(__xludf.DUMMYFUNCTION("""COMPUTED_VALUE"""),"Sale chưa cung cấp")</f>
        <v>Sale chưa cung cấp</v>
      </c>
      <c r="G566" s="265" t="str">
        <f>IFERROR(__xludf.DUMMYFUNCTION("""COMPUTED_VALUE"""),"Standard")</f>
        <v>Standard</v>
      </c>
      <c r="H566" s="265" t="str">
        <f>IFERROR(__xludf.DUMMYFUNCTION("""COMPUTED_VALUE"""),"Trial")</f>
        <v>Trial</v>
      </c>
      <c r="I566" s="265" t="str">
        <f>IFERROR(__xludf.DUMMYFUNCTION("""COMPUTED_VALUE"""),"API &amp; Portal")</f>
        <v>API &amp; Portal</v>
      </c>
      <c r="J566" s="265" t="str">
        <f>IFERROR(__xludf.DUMMYFUNCTION("""COMPUTED_VALUE"""),"Không phân công")</f>
        <v>Không phân công</v>
      </c>
    </row>
    <row r="567">
      <c r="A567" s="265" t="str">
        <f>IFERROR(__xludf.DUMMYFUNCTION("""COMPUTED_VALUE"""),"913")</f>
        <v>913</v>
      </c>
      <c r="B567" s="265" t="str">
        <f>IFERROR(__xludf.DUMMYFUNCTION("""COMPUTED_VALUE"""),"Hà Nội")</f>
        <v>Hà Nội</v>
      </c>
      <c r="C567" s="265" t="str">
        <f>IFERROR(__xludf.DUMMYFUNCTION("""COMPUTED_VALUE"""),"Locked")</f>
        <v>Locked</v>
      </c>
      <c r="D567" s="265" t="str">
        <f>IFERROR(__xludf.DUMMYFUNCTION("""COMPUTED_VALUE"""),"Công nghệ &amp; Phần mềm")</f>
        <v>Công nghệ &amp; Phần mềm</v>
      </c>
      <c r="E567" s="265" t="str">
        <f>IFERROR(__xludf.DUMMYFUNCTION("""COMPUTED_VALUE"""),"AnhNM")</f>
        <v>AnhNM</v>
      </c>
      <c r="F567" s="265" t="str">
        <f>IFERROR(__xludf.DUMMYFUNCTION("""COMPUTED_VALUE"""),"Sale chưa cung cấp")</f>
        <v>Sale chưa cung cấp</v>
      </c>
      <c r="G567" s="265" t="str">
        <f>IFERROR(__xludf.DUMMYFUNCTION("""COMPUTED_VALUE"""),"Premium")</f>
        <v>Premium</v>
      </c>
      <c r="H567" s="265" t="str">
        <f>IFERROR(__xludf.DUMMYFUNCTION("""COMPUTED_VALUE"""),"Trial")</f>
        <v>Trial</v>
      </c>
      <c r="I567" s="265" t="str">
        <f>IFERROR(__xludf.DUMMYFUNCTION("""COMPUTED_VALUE"""),"API &amp; Portal")</f>
        <v>API &amp; Portal</v>
      </c>
      <c r="J567" s="265" t="str">
        <f>IFERROR(__xludf.DUMMYFUNCTION("""COMPUTED_VALUE"""),"Không phân công")</f>
        <v>Không phân công</v>
      </c>
    </row>
    <row r="568">
      <c r="A568" s="265" t="str">
        <f>IFERROR(__xludf.DUMMYFUNCTION("""COMPUTED_VALUE"""),"915")</f>
        <v>915</v>
      </c>
      <c r="B568" s="265" t="str">
        <f>IFERROR(__xludf.DUMMYFUNCTION("""COMPUTED_VALUE"""),"Đà Nẵng")</f>
        <v>Đà Nẵng</v>
      </c>
      <c r="C568" s="265" t="str">
        <f>IFERROR(__xludf.DUMMYFUNCTION("""COMPUTED_VALUE"""),"Locked")</f>
        <v>Locked</v>
      </c>
      <c r="D568" s="265" t="str">
        <f>IFERROR(__xludf.DUMMYFUNCTION("""COMPUTED_VALUE"""),"Thời trang &amp; May mặc")</f>
        <v>Thời trang &amp; May mặc</v>
      </c>
      <c r="E568" s="265" t="str">
        <f>IFERROR(__xludf.DUMMYFUNCTION("""COMPUTED_VALUE"""),"AnhNM")</f>
        <v>AnhNM</v>
      </c>
      <c r="F568" s="265" t="str">
        <f>IFERROR(__xludf.DUMMYFUNCTION("""COMPUTED_VALUE"""),"Sale chưa cung cấp")</f>
        <v>Sale chưa cung cấp</v>
      </c>
      <c r="G568" s="265" t="str">
        <f>IFERROR(__xludf.DUMMYFUNCTION("""COMPUTED_VALUE"""),"Premium")</f>
        <v>Premium</v>
      </c>
      <c r="H568" s="265" t="str">
        <f>IFERROR(__xludf.DUMMYFUNCTION("""COMPUTED_VALUE"""),"Trial")</f>
        <v>Trial</v>
      </c>
      <c r="I568" s="265" t="str">
        <f>IFERROR(__xludf.DUMMYFUNCTION("""COMPUTED_VALUE"""),"Portal")</f>
        <v>Portal</v>
      </c>
      <c r="J568" s="265" t="str">
        <f>IFERROR(__xludf.DUMMYFUNCTION("""COMPUTED_VALUE"""),"Không phân công")</f>
        <v>Không phân công</v>
      </c>
    </row>
    <row r="569">
      <c r="A569" s="265" t="str">
        <f>IFERROR(__xludf.DUMMYFUNCTION("""COMPUTED_VALUE"""),"917")</f>
        <v>917</v>
      </c>
      <c r="B569" s="265" t="str">
        <f>IFERROR(__xludf.DUMMYFUNCTION("""COMPUTED_VALUE"""),"Hà Nội")</f>
        <v>Hà Nội</v>
      </c>
      <c r="C569" s="265" t="str">
        <f>IFERROR(__xludf.DUMMYFUNCTION("""COMPUTED_VALUE"""),"Locked")</f>
        <v>Locked</v>
      </c>
      <c r="D569" s="265" t="str">
        <f>IFERROR(__xludf.DUMMYFUNCTION("""COMPUTED_VALUE"""),"Sale chưa cung cấp")</f>
        <v>Sale chưa cung cấp</v>
      </c>
      <c r="E569" s="265" t="str">
        <f>IFERROR(__xludf.DUMMYFUNCTION("""COMPUTED_VALUE"""),"TùngLD")</f>
        <v>TùngLD</v>
      </c>
      <c r="F569" s="265" t="str">
        <f>IFERROR(__xludf.DUMMYFUNCTION("""COMPUTED_VALUE"""),"Sale chưa cung cấp")</f>
        <v>Sale chưa cung cấp</v>
      </c>
      <c r="G569" s="265" t="str">
        <f>IFERROR(__xludf.DUMMYFUNCTION("""COMPUTED_VALUE"""),"Standard")</f>
        <v>Standard</v>
      </c>
      <c r="H569" s="265" t="str">
        <f>IFERROR(__xludf.DUMMYFUNCTION("""COMPUTED_VALUE"""),"Trial")</f>
        <v>Trial</v>
      </c>
      <c r="I569" s="265" t="str">
        <f>IFERROR(__xludf.DUMMYFUNCTION("""COMPUTED_VALUE"""),"API &amp; Portal")</f>
        <v>API &amp; Portal</v>
      </c>
      <c r="J569" s="265" t="str">
        <f>IFERROR(__xludf.DUMMYFUNCTION("""COMPUTED_VALUE"""),"Không phân công")</f>
        <v>Không phân công</v>
      </c>
    </row>
    <row r="570">
      <c r="A570" s="265" t="str">
        <f>IFERROR(__xludf.DUMMYFUNCTION("""COMPUTED_VALUE"""),"918")</f>
        <v>918</v>
      </c>
      <c r="B570" s="265" t="str">
        <f>IFERROR(__xludf.DUMMYFUNCTION("""COMPUTED_VALUE"""),"Sài Gòn")</f>
        <v>Sài Gòn</v>
      </c>
      <c r="C570" s="265" t="str">
        <f>IFERROR(__xludf.DUMMYFUNCTION("""COMPUTED_VALUE"""),"Locked")</f>
        <v>Locked</v>
      </c>
      <c r="D570" s="265" t="str">
        <f>IFERROR(__xludf.DUMMYFUNCTION("""COMPUTED_VALUE"""),"Thực phẩm &amp; Đồ uống")</f>
        <v>Thực phẩm &amp; Đồ uống</v>
      </c>
      <c r="E570" s="265" t="str">
        <f>IFERROR(__xludf.DUMMYFUNCTION("""COMPUTED_VALUE"""),"HoaNTM")</f>
        <v>HoaNTM</v>
      </c>
      <c r="F570" s="265" t="str">
        <f>IFERROR(__xludf.DUMMYFUNCTION("""COMPUTED_VALUE"""),"Diamond")</f>
        <v>Diamond</v>
      </c>
      <c r="G570" s="265" t="str">
        <f>IFERROR(__xludf.DUMMYFUNCTION("""COMPUTED_VALUE"""),"Starter")</f>
        <v>Starter</v>
      </c>
      <c r="H570" s="265" t="str">
        <f>IFERROR(__xludf.DUMMYFUNCTION("""COMPUTED_VALUE"""),"Trả trước")</f>
        <v>Trả trước</v>
      </c>
      <c r="I570" s="265" t="str">
        <f>IFERROR(__xludf.DUMMYFUNCTION("""COMPUTED_VALUE"""),"API")</f>
        <v>API</v>
      </c>
      <c r="J570" s="265" t="str">
        <f>IFERROR(__xludf.DUMMYFUNCTION("""COMPUTED_VALUE"""),"YếnĐH")</f>
        <v>YếnĐH</v>
      </c>
    </row>
    <row r="571">
      <c r="A571" s="265" t="str">
        <f>IFERROR(__xludf.DUMMYFUNCTION("""COMPUTED_VALUE"""),"919")</f>
        <v>919</v>
      </c>
      <c r="B571" s="265" t="str">
        <f>IFERROR(__xludf.DUMMYFUNCTION("""COMPUTED_VALUE"""),"Sài Gòn")</f>
        <v>Sài Gòn</v>
      </c>
      <c r="C571" s="265" t="str">
        <f>IFERROR(__xludf.DUMMYFUNCTION("""COMPUTED_VALUE"""),"Locked")</f>
        <v>Locked</v>
      </c>
      <c r="D571" s="265" t="str">
        <f>IFERROR(__xludf.DUMMYFUNCTION("""COMPUTED_VALUE"""),"Thực phẩm &amp; Đồ uống")</f>
        <v>Thực phẩm &amp; Đồ uống</v>
      </c>
      <c r="E571" s="265" t="str">
        <f>IFERROR(__xludf.DUMMYFUNCTION("""COMPUTED_VALUE"""),"HoaNTM")</f>
        <v>HoaNTM</v>
      </c>
      <c r="F571" s="265" t="str">
        <f>IFERROR(__xludf.DUMMYFUNCTION("""COMPUTED_VALUE"""),"Diamond")</f>
        <v>Diamond</v>
      </c>
      <c r="G571" s="265" t="str">
        <f>IFERROR(__xludf.DUMMYFUNCTION("""COMPUTED_VALUE"""),"Enterprise")</f>
        <v>Enterprise</v>
      </c>
      <c r="H571" s="265" t="str">
        <f>IFERROR(__xludf.DUMMYFUNCTION("""COMPUTED_VALUE"""),"Trả trước")</f>
        <v>Trả trước</v>
      </c>
      <c r="I571" s="265" t="str">
        <f>IFERROR(__xludf.DUMMYFUNCTION("""COMPUTED_VALUE"""),"API &amp; Portal")</f>
        <v>API &amp; Portal</v>
      </c>
      <c r="J571" s="265" t="str">
        <f>IFERROR(__xludf.DUMMYFUNCTION("""COMPUTED_VALUE"""),"LinhNTT1")</f>
        <v>LinhNTT1</v>
      </c>
    </row>
    <row r="572">
      <c r="A572" s="265" t="str">
        <f>IFERROR(__xludf.DUMMYFUNCTION("""COMPUTED_VALUE"""),"406")</f>
        <v>406</v>
      </c>
      <c r="B572" s="265" t="str">
        <f>IFERROR(__xludf.DUMMYFUNCTION("""COMPUTED_VALUE"""),"Hà Nội")</f>
        <v>Hà Nội</v>
      </c>
      <c r="C572" s="265" t="str">
        <f>IFERROR(__xludf.DUMMYFUNCTION("""COMPUTED_VALUE"""),"Locked")</f>
        <v>Locked</v>
      </c>
      <c r="D572" s="265" t="str">
        <f>IFERROR(__xludf.DUMMYFUNCTION("""COMPUTED_VALUE"""),"Thời trang &amp; May mặc")</f>
        <v>Thời trang &amp; May mặc</v>
      </c>
      <c r="E572" s="265" t="str">
        <f>IFERROR(__xludf.DUMMYFUNCTION("""COMPUTED_VALUE"""),"AnhNM")</f>
        <v>AnhNM</v>
      </c>
      <c r="F572" s="265" t="str">
        <f>IFERROR(__xludf.DUMMYFUNCTION("""COMPUTED_VALUE"""),"Bronze")</f>
        <v>Bronze</v>
      </c>
      <c r="G572" s="265" t="str">
        <f>IFERROR(__xludf.DUMMYFUNCTION("""COMPUTED_VALUE"""),"Premium")</f>
        <v>Premium</v>
      </c>
      <c r="H572" s="265" t="str">
        <f>IFERROR(__xludf.DUMMYFUNCTION("""COMPUTED_VALUE"""),"Trả trước")</f>
        <v>Trả trước</v>
      </c>
      <c r="I572" s="265" t="str">
        <f>IFERROR(__xludf.DUMMYFUNCTION("""COMPUTED_VALUE"""),"Portal")</f>
        <v>Portal</v>
      </c>
      <c r="J572" s="265" t="str">
        <f>IFERROR(__xludf.DUMMYFUNCTION("""COMPUTED_VALUE"""),"DungPL")</f>
        <v>DungPL</v>
      </c>
    </row>
    <row r="573">
      <c r="A573" s="265" t="str">
        <f>IFERROR(__xludf.DUMMYFUNCTION("""COMPUTED_VALUE"""),"920")</f>
        <v>920</v>
      </c>
      <c r="B573" s="265" t="str">
        <f>IFERROR(__xludf.DUMMYFUNCTION("""COMPUTED_VALUE"""),"Hà Nội")</f>
        <v>Hà Nội</v>
      </c>
      <c r="C573" s="265" t="str">
        <f>IFERROR(__xludf.DUMMYFUNCTION("""COMPUTED_VALUE"""),"Active")</f>
        <v>Active</v>
      </c>
      <c r="D573" s="265" t="str">
        <f>IFERROR(__xludf.DUMMYFUNCTION("""COMPUTED_VALUE"""),"Công nghệ &amp; Phần mềm")</f>
        <v>Công nghệ &amp; Phần mềm</v>
      </c>
      <c r="E573" s="265" t="str">
        <f>IFERROR(__xludf.DUMMYFUNCTION("""COMPUTED_VALUE"""),"AnhNM")</f>
        <v>AnhNM</v>
      </c>
      <c r="F573" s="265" t="str">
        <f>IFERROR(__xludf.DUMMYFUNCTION("""COMPUTED_VALUE"""),"Silver")</f>
        <v>Silver</v>
      </c>
      <c r="G573" s="265" t="str">
        <f>IFERROR(__xludf.DUMMYFUNCTION("""COMPUTED_VALUE"""),"Starter")</f>
        <v>Starter</v>
      </c>
      <c r="H573" s="265" t="str">
        <f>IFERROR(__xludf.DUMMYFUNCTION("""COMPUTED_VALUE"""),"Trả sau")</f>
        <v>Trả sau</v>
      </c>
      <c r="I573" s="265" t="str">
        <f>IFERROR(__xludf.DUMMYFUNCTION("""COMPUTED_VALUE"""),"API &amp; Portal")</f>
        <v>API &amp; Portal</v>
      </c>
      <c r="J573" s="265" t="str">
        <f>IFERROR(__xludf.DUMMYFUNCTION("""COMPUTED_VALUE"""),"LinhNTT1")</f>
        <v>LinhNTT1</v>
      </c>
    </row>
    <row r="574">
      <c r="A574" s="265" t="str">
        <f>IFERROR(__xludf.DUMMYFUNCTION("""COMPUTED_VALUE"""),"921")</f>
        <v>921</v>
      </c>
      <c r="B574" s="265" t="str">
        <f>IFERROR(__xludf.DUMMYFUNCTION("""COMPUTED_VALUE"""),"Sài Gòn")</f>
        <v>Sài Gòn</v>
      </c>
      <c r="C574" s="265" t="str">
        <f>IFERROR(__xludf.DUMMYFUNCTION("""COMPUTED_VALUE"""),"Locked")</f>
        <v>Locked</v>
      </c>
      <c r="D574" s="265" t="str">
        <f>IFERROR(__xludf.DUMMYFUNCTION("""COMPUTED_VALUE"""),"Thực phẩm &amp; Đồ uống")</f>
        <v>Thực phẩm &amp; Đồ uống</v>
      </c>
      <c r="E574" s="265" t="str">
        <f>IFERROR(__xludf.DUMMYFUNCTION("""COMPUTED_VALUE"""),"HoaNTM")</f>
        <v>HoaNTM</v>
      </c>
      <c r="F574" s="265" t="str">
        <f>IFERROR(__xludf.DUMMYFUNCTION("""COMPUTED_VALUE"""),"Diamond")</f>
        <v>Diamond</v>
      </c>
      <c r="G574" s="265" t="str">
        <f>IFERROR(__xludf.DUMMYFUNCTION("""COMPUTED_VALUE"""),"Starter")</f>
        <v>Starter</v>
      </c>
      <c r="H574" s="265" t="str">
        <f>IFERROR(__xludf.DUMMYFUNCTION("""COMPUTED_VALUE"""),"Trả sau")</f>
        <v>Trả sau</v>
      </c>
      <c r="I574" s="265" t="str">
        <f>IFERROR(__xludf.DUMMYFUNCTION("""COMPUTED_VALUE"""),"Portal")</f>
        <v>Portal</v>
      </c>
      <c r="J574" s="265" t="str">
        <f>IFERROR(__xludf.DUMMYFUNCTION("""COMPUTED_VALUE"""),"YếnĐH")</f>
        <v>YếnĐH</v>
      </c>
    </row>
    <row r="575">
      <c r="A575" s="265" t="str">
        <f>IFERROR(__xludf.DUMMYFUNCTION("""COMPUTED_VALUE"""),"922")</f>
        <v>922</v>
      </c>
      <c r="B575" s="265" t="str">
        <f>IFERROR(__xludf.DUMMYFUNCTION("""COMPUTED_VALUE"""),"Sài Gòn")</f>
        <v>Sài Gòn</v>
      </c>
      <c r="C575" s="265" t="str">
        <f>IFERROR(__xludf.DUMMYFUNCTION("""COMPUTED_VALUE"""),"Active")</f>
        <v>Active</v>
      </c>
      <c r="D575" s="265" t="str">
        <f>IFERROR(__xludf.DUMMYFUNCTION("""COMPUTED_VALUE"""),"Viễn thông")</f>
        <v>Viễn thông</v>
      </c>
      <c r="E575" s="265" t="str">
        <f>IFERROR(__xludf.DUMMYFUNCTION("""COMPUTED_VALUE"""),"TúPHN")</f>
        <v>TúPHN</v>
      </c>
      <c r="F575" s="265" t="str">
        <f>IFERROR(__xludf.DUMMYFUNCTION("""COMPUTED_VALUE"""),"Gold")</f>
        <v>Gold</v>
      </c>
      <c r="G575" s="265" t="str">
        <f>IFERROR(__xludf.DUMMYFUNCTION("""COMPUTED_VALUE"""),"Standard")</f>
        <v>Standard</v>
      </c>
      <c r="H575" s="265" t="str">
        <f>IFERROR(__xludf.DUMMYFUNCTION("""COMPUTED_VALUE"""),"Trả trước")</f>
        <v>Trả trước</v>
      </c>
      <c r="I575" s="265" t="str">
        <f>IFERROR(__xludf.DUMMYFUNCTION("""COMPUTED_VALUE"""),"Portal")</f>
        <v>Portal</v>
      </c>
      <c r="J575" s="265" t="str">
        <f>IFERROR(__xludf.DUMMYFUNCTION("""COMPUTED_VALUE"""),"DungPL")</f>
        <v>DungPL</v>
      </c>
    </row>
    <row r="576">
      <c r="A576" s="265" t="str">
        <f>IFERROR(__xludf.DUMMYFUNCTION("""COMPUTED_VALUE"""),"923")</f>
        <v>923</v>
      </c>
      <c r="B576" s="265" t="str">
        <f>IFERROR(__xludf.DUMMYFUNCTION("""COMPUTED_VALUE"""),"Hà Nội")</f>
        <v>Hà Nội</v>
      </c>
      <c r="C576" s="265" t="str">
        <f>IFERROR(__xludf.DUMMYFUNCTION("""COMPUTED_VALUE"""),"Locked")</f>
        <v>Locked</v>
      </c>
      <c r="D576" s="265" t="str">
        <f>IFERROR(__xludf.DUMMYFUNCTION("""COMPUTED_VALUE"""),"Vận tải &amp; logistics")</f>
        <v>Vận tải &amp; logistics</v>
      </c>
      <c r="E576" s="265" t="str">
        <f>IFERROR(__xludf.DUMMYFUNCTION("""COMPUTED_VALUE"""),"AnhNM")</f>
        <v>AnhNM</v>
      </c>
      <c r="F576" s="265" t="str">
        <f>IFERROR(__xludf.DUMMYFUNCTION("""COMPUTED_VALUE"""),"Bronze")</f>
        <v>Bronze</v>
      </c>
      <c r="G576" s="265" t="str">
        <f>IFERROR(__xludf.DUMMYFUNCTION("""COMPUTED_VALUE"""),"Premium")</f>
        <v>Premium</v>
      </c>
      <c r="H576" s="265" t="str">
        <f>IFERROR(__xludf.DUMMYFUNCTION("""COMPUTED_VALUE"""),"Trial")</f>
        <v>Trial</v>
      </c>
      <c r="I576" s="265" t="str">
        <f>IFERROR(__xludf.DUMMYFUNCTION("""COMPUTED_VALUE"""),"API &amp; Portal")</f>
        <v>API &amp; Portal</v>
      </c>
      <c r="J576" s="265" t="str">
        <f>IFERROR(__xludf.DUMMYFUNCTION("""COMPUTED_VALUE"""),"Không phân công")</f>
        <v>Không phân công</v>
      </c>
    </row>
    <row r="577">
      <c r="A577" s="265" t="str">
        <f>IFERROR(__xludf.DUMMYFUNCTION("""COMPUTED_VALUE"""),"916")</f>
        <v>916</v>
      </c>
      <c r="B577" s="265" t="str">
        <f>IFERROR(__xludf.DUMMYFUNCTION("""COMPUTED_VALUE"""),"Hà Nội")</f>
        <v>Hà Nội</v>
      </c>
      <c r="C577" s="265" t="str">
        <f>IFERROR(__xludf.DUMMYFUNCTION("""COMPUTED_VALUE"""),"Active")</f>
        <v>Active</v>
      </c>
      <c r="D577" s="265" t="str">
        <f>IFERROR(__xludf.DUMMYFUNCTION("""COMPUTED_VALUE"""),"Công nghệ &amp; Phần mềm")</f>
        <v>Công nghệ &amp; Phần mềm</v>
      </c>
      <c r="E577" s="265" t="str">
        <f>IFERROR(__xludf.DUMMYFUNCTION("""COMPUTED_VALUE"""),"AnhNM")</f>
        <v>AnhNM</v>
      </c>
      <c r="F577" s="265" t="str">
        <f>IFERROR(__xludf.DUMMYFUNCTION("""COMPUTED_VALUE"""),"Gold")</f>
        <v>Gold</v>
      </c>
      <c r="G577" s="265" t="str">
        <f>IFERROR(__xludf.DUMMYFUNCTION("""COMPUTED_VALUE"""),"Starter")</f>
        <v>Starter</v>
      </c>
      <c r="H577" s="265" t="str">
        <f>IFERROR(__xludf.DUMMYFUNCTION("""COMPUTED_VALUE"""),"Trả sau")</f>
        <v>Trả sau</v>
      </c>
      <c r="I577" s="265" t="str">
        <f>IFERROR(__xludf.DUMMYFUNCTION("""COMPUTED_VALUE"""),"API &amp; Portal")</f>
        <v>API &amp; Portal</v>
      </c>
      <c r="J577" s="265" t="str">
        <f>IFERROR(__xludf.DUMMYFUNCTION("""COMPUTED_VALUE"""),"DungVT")</f>
        <v>DungVT</v>
      </c>
    </row>
    <row r="578">
      <c r="A578" s="265" t="str">
        <f>IFERROR(__xludf.DUMMYFUNCTION("""COMPUTED_VALUE"""),"924")</f>
        <v>924</v>
      </c>
      <c r="B578" s="265" t="str">
        <f>IFERROR(__xludf.DUMMYFUNCTION("""COMPUTED_VALUE"""),"Hà Nội")</f>
        <v>Hà Nội</v>
      </c>
      <c r="C578" s="265" t="str">
        <f>IFERROR(__xludf.DUMMYFUNCTION("""COMPUTED_VALUE"""),"Active")</f>
        <v>Active</v>
      </c>
      <c r="D578" s="265" t="str">
        <f>IFERROR(__xludf.DUMMYFUNCTION("""COMPUTED_VALUE"""),"Dịch vụ khác")</f>
        <v>Dịch vụ khác</v>
      </c>
      <c r="E578" s="265" t="str">
        <f>IFERROR(__xludf.DUMMYFUNCTION("""COMPUTED_VALUE"""),"AnhNM")</f>
        <v>AnhNM</v>
      </c>
      <c r="F578" s="265" t="str">
        <f>IFERROR(__xludf.DUMMYFUNCTION("""COMPUTED_VALUE"""),"Silver")</f>
        <v>Silver</v>
      </c>
      <c r="G578" s="265" t="str">
        <f>IFERROR(__xludf.DUMMYFUNCTION("""COMPUTED_VALUE"""),"Starter")</f>
        <v>Starter</v>
      </c>
      <c r="H578" s="265" t="str">
        <f>IFERROR(__xludf.DUMMYFUNCTION("""COMPUTED_VALUE"""),"Trả sau")</f>
        <v>Trả sau</v>
      </c>
      <c r="I578" s="265" t="str">
        <f>IFERROR(__xludf.DUMMYFUNCTION("""COMPUTED_VALUE"""),"API &amp; Portal")</f>
        <v>API &amp; Portal</v>
      </c>
      <c r="J578" s="265" t="str">
        <f>IFERROR(__xludf.DUMMYFUNCTION("""COMPUTED_VALUE"""),"DungVT")</f>
        <v>DungVT</v>
      </c>
    </row>
    <row r="579">
      <c r="A579" s="265" t="str">
        <f>IFERROR(__xludf.DUMMYFUNCTION("""COMPUTED_VALUE"""),"925")</f>
        <v>925</v>
      </c>
      <c r="B579" s="265" t="str">
        <f>IFERROR(__xludf.DUMMYFUNCTION("""COMPUTED_VALUE"""),"Hà Nội")</f>
        <v>Hà Nội</v>
      </c>
      <c r="C579" s="265" t="str">
        <f>IFERROR(__xludf.DUMMYFUNCTION("""COMPUTED_VALUE"""),"Active")</f>
        <v>Active</v>
      </c>
      <c r="D579" s="265" t="str">
        <f>IFERROR(__xludf.DUMMYFUNCTION("""COMPUTED_VALUE"""),"Dịch vụ khác")</f>
        <v>Dịch vụ khác</v>
      </c>
      <c r="E579" s="265" t="str">
        <f>IFERROR(__xludf.DUMMYFUNCTION("""COMPUTED_VALUE"""),"TuPHN")</f>
        <v>TuPHN</v>
      </c>
      <c r="F579" s="265" t="str">
        <f>IFERROR(__xludf.DUMMYFUNCTION("""COMPUTED_VALUE"""),"Diamond")</f>
        <v>Diamond</v>
      </c>
      <c r="G579" s="265" t="str">
        <f>IFERROR(__xludf.DUMMYFUNCTION("""COMPUTED_VALUE"""),"Starter")</f>
        <v>Starter</v>
      </c>
      <c r="H579" s="265" t="str">
        <f>IFERROR(__xludf.DUMMYFUNCTION("""COMPUTED_VALUE"""),"Trả trước")</f>
        <v>Trả trước</v>
      </c>
      <c r="I579" s="265" t="str">
        <f>IFERROR(__xludf.DUMMYFUNCTION("""COMPUTED_VALUE"""),"API")</f>
        <v>API</v>
      </c>
      <c r="J579" s="265" t="str">
        <f>IFERROR(__xludf.DUMMYFUNCTION("""COMPUTED_VALUE"""),"Không phân công")</f>
        <v>Không phân công</v>
      </c>
    </row>
    <row r="580">
      <c r="A580" s="265" t="str">
        <f>IFERROR(__xludf.DUMMYFUNCTION("""COMPUTED_VALUE"""),"926")</f>
        <v>926</v>
      </c>
      <c r="B580" s="265" t="str">
        <f>IFERROR(__xludf.DUMMYFUNCTION("""COMPUTED_VALUE"""),"Hà Nội")</f>
        <v>Hà Nội</v>
      </c>
      <c r="C580" s="265" t="str">
        <f>IFERROR(__xludf.DUMMYFUNCTION("""COMPUTED_VALUE"""),"Active")</f>
        <v>Active</v>
      </c>
      <c r="D580" s="265" t="str">
        <f>IFERROR(__xludf.DUMMYFUNCTION("""COMPUTED_VALUE"""),"Mua sắm &amp; Bán lẻ")</f>
        <v>Mua sắm &amp; Bán lẻ</v>
      </c>
      <c r="E580" s="265" t="str">
        <f>IFERROR(__xludf.DUMMYFUNCTION("""COMPUTED_VALUE"""),"TúPHN")</f>
        <v>TúPHN</v>
      </c>
      <c r="F580" s="265" t="str">
        <f>IFERROR(__xludf.DUMMYFUNCTION("""COMPUTED_VALUE"""),"Sale chưa cung cấp")</f>
        <v>Sale chưa cung cấp</v>
      </c>
      <c r="G580" s="265" t="str">
        <f>IFERROR(__xludf.DUMMYFUNCTION("""COMPUTED_VALUE"""),"Starter")</f>
        <v>Starter</v>
      </c>
      <c r="H580" s="265" t="str">
        <f>IFERROR(__xludf.DUMMYFUNCTION("""COMPUTED_VALUE"""),"Trả sau")</f>
        <v>Trả sau</v>
      </c>
      <c r="I580" s="265" t="str">
        <f>IFERROR(__xludf.DUMMYFUNCTION("""COMPUTED_VALUE"""),"API")</f>
        <v>API</v>
      </c>
      <c r="J580" s="265" t="str">
        <f>IFERROR(__xludf.DUMMYFUNCTION("""COMPUTED_VALUE"""),"DungPL")</f>
        <v>DungPL</v>
      </c>
    </row>
    <row r="581">
      <c r="A581" s="265" t="str">
        <f>IFERROR(__xludf.DUMMYFUNCTION("""COMPUTED_VALUE"""),"927")</f>
        <v>927</v>
      </c>
      <c r="B581" s="265" t="str">
        <f>IFERROR(__xludf.DUMMYFUNCTION("""COMPUTED_VALUE"""),"Hà Nội")</f>
        <v>Hà Nội</v>
      </c>
      <c r="C581" s="265" t="str">
        <f>IFERROR(__xludf.DUMMYFUNCTION("""COMPUTED_VALUE"""),"Active")</f>
        <v>Active</v>
      </c>
      <c r="D581" s="265" t="str">
        <f>IFERROR(__xludf.DUMMYFUNCTION("""COMPUTED_VALUE"""),"Viễn thông")</f>
        <v>Viễn thông</v>
      </c>
      <c r="E581" s="265" t="str">
        <f>IFERROR(__xludf.DUMMYFUNCTION("""COMPUTED_VALUE"""),"TùngLD")</f>
        <v>TùngLD</v>
      </c>
      <c r="F581" s="265" t="str">
        <f>IFERROR(__xludf.DUMMYFUNCTION("""COMPUTED_VALUE"""),"Gold")</f>
        <v>Gold</v>
      </c>
      <c r="G581" s="265" t="str">
        <f>IFERROR(__xludf.DUMMYFUNCTION("""COMPUTED_VALUE"""),"Enterprise")</f>
        <v>Enterprise</v>
      </c>
      <c r="H581" s="265" t="str">
        <f>IFERROR(__xludf.DUMMYFUNCTION("""COMPUTED_VALUE"""),"Trả sau")</f>
        <v>Trả sau</v>
      </c>
      <c r="I581" s="265" t="str">
        <f>IFERROR(__xludf.DUMMYFUNCTION("""COMPUTED_VALUE"""),"API &amp; Portal")</f>
        <v>API &amp; Portal</v>
      </c>
      <c r="J581" s="265" t="str">
        <f>IFERROR(__xludf.DUMMYFUNCTION("""COMPUTED_VALUE"""),"YếnĐH")</f>
        <v>YếnĐH</v>
      </c>
    </row>
    <row r="582">
      <c r="A582" s="265" t="str">
        <f>IFERROR(__xludf.DUMMYFUNCTION("""COMPUTED_VALUE"""),"928")</f>
        <v>928</v>
      </c>
      <c r="B582" s="265" t="str">
        <f>IFERROR(__xludf.DUMMYFUNCTION("""COMPUTED_VALUE"""),"Hà Nội")</f>
        <v>Hà Nội</v>
      </c>
      <c r="C582" s="265" t="str">
        <f>IFERROR(__xludf.DUMMYFUNCTION("""COMPUTED_VALUE"""),"Locked")</f>
        <v>Locked</v>
      </c>
      <c r="D582" s="265" t="str">
        <f>IFERROR(__xludf.DUMMYFUNCTION("""COMPUTED_VALUE"""),"Công nghệ &amp; Phần mềm")</f>
        <v>Công nghệ &amp; Phần mềm</v>
      </c>
      <c r="E582" s="265" t="str">
        <f>IFERROR(__xludf.DUMMYFUNCTION("""COMPUTED_VALUE"""),"AnhNM")</f>
        <v>AnhNM</v>
      </c>
      <c r="F582" s="265" t="str">
        <f>IFERROR(__xludf.DUMMYFUNCTION("""COMPUTED_VALUE"""),"Bronze")</f>
        <v>Bronze</v>
      </c>
      <c r="G582" s="265" t="str">
        <f>IFERROR(__xludf.DUMMYFUNCTION("""COMPUTED_VALUE"""),"Standard")</f>
        <v>Standard</v>
      </c>
      <c r="H582" s="265" t="str">
        <f>IFERROR(__xludf.DUMMYFUNCTION("""COMPUTED_VALUE"""),"Trial")</f>
        <v>Trial</v>
      </c>
      <c r="I582" s="265" t="str">
        <f>IFERROR(__xludf.DUMMYFUNCTION("""COMPUTED_VALUE"""),"API")</f>
        <v>API</v>
      </c>
      <c r="J582" s="265" t="str">
        <f>IFERROR(__xludf.DUMMYFUNCTION("""COMPUTED_VALUE"""),"Không phân công")</f>
        <v>Không phân công</v>
      </c>
    </row>
    <row r="583">
      <c r="A583" s="265" t="str">
        <f>IFERROR(__xludf.DUMMYFUNCTION("""COMPUTED_VALUE"""),"929")</f>
        <v>929</v>
      </c>
      <c r="B583" s="265" t="str">
        <f>IFERROR(__xludf.DUMMYFUNCTION("""COMPUTED_VALUE"""),"Sài Gòn")</f>
        <v>Sài Gòn</v>
      </c>
      <c r="C583" s="265" t="str">
        <f>IFERROR(__xludf.DUMMYFUNCTION("""COMPUTED_VALUE"""),"Active")</f>
        <v>Active</v>
      </c>
      <c r="D583" s="265" t="str">
        <f>IFERROR(__xludf.DUMMYFUNCTION("""COMPUTED_VALUE"""),"Giáo dục &amp; Đào tạo")</f>
        <v>Giáo dục &amp; Đào tạo</v>
      </c>
      <c r="E583" s="265" t="str">
        <f>IFERROR(__xludf.DUMMYFUNCTION("""COMPUTED_VALUE"""),"TùngLD")</f>
        <v>TùngLD</v>
      </c>
      <c r="F583" s="265" t="str">
        <f>IFERROR(__xludf.DUMMYFUNCTION("""COMPUTED_VALUE"""),"Silver")</f>
        <v>Silver</v>
      </c>
      <c r="G583" s="265" t="str">
        <f>IFERROR(__xludf.DUMMYFUNCTION("""COMPUTED_VALUE"""),"Starter")</f>
        <v>Starter</v>
      </c>
      <c r="H583" s="265" t="str">
        <f>IFERROR(__xludf.DUMMYFUNCTION("""COMPUTED_VALUE"""),"Trả sau")</f>
        <v>Trả sau</v>
      </c>
      <c r="I583" s="265" t="str">
        <f>IFERROR(__xludf.DUMMYFUNCTION("""COMPUTED_VALUE"""),"API")</f>
        <v>API</v>
      </c>
      <c r="J583" s="265" t="str">
        <f>IFERROR(__xludf.DUMMYFUNCTION("""COMPUTED_VALUE"""),"DungPL")</f>
        <v>DungPL</v>
      </c>
    </row>
    <row r="584">
      <c r="A584" s="265" t="str">
        <f>IFERROR(__xludf.DUMMYFUNCTION("""COMPUTED_VALUE"""),"930")</f>
        <v>930</v>
      </c>
      <c r="B584" s="265" t="str">
        <f>IFERROR(__xludf.DUMMYFUNCTION("""COMPUTED_VALUE"""),"Hà Nội")</f>
        <v>Hà Nội</v>
      </c>
      <c r="C584" s="265" t="str">
        <f>IFERROR(__xludf.DUMMYFUNCTION("""COMPUTED_VALUE"""),"Locked")</f>
        <v>Locked</v>
      </c>
      <c r="D584" s="265" t="str">
        <f>IFERROR(__xludf.DUMMYFUNCTION("""COMPUTED_VALUE"""),"Dịch vụ khác")</f>
        <v>Dịch vụ khác</v>
      </c>
      <c r="E584" s="265" t="str">
        <f>IFERROR(__xludf.DUMMYFUNCTION("""COMPUTED_VALUE"""),"TùngLD")</f>
        <v>TùngLD</v>
      </c>
      <c r="F584" s="265" t="str">
        <f>IFERROR(__xludf.DUMMYFUNCTION("""COMPUTED_VALUE"""),"Diamond")</f>
        <v>Diamond</v>
      </c>
      <c r="G584" s="265" t="str">
        <f>IFERROR(__xludf.DUMMYFUNCTION("""COMPUTED_VALUE"""),"Premium")</f>
        <v>Premium</v>
      </c>
      <c r="H584" s="265" t="str">
        <f>IFERROR(__xludf.DUMMYFUNCTION("""COMPUTED_VALUE"""),"Trial")</f>
        <v>Trial</v>
      </c>
      <c r="I584" s="265" t="str">
        <f>IFERROR(__xludf.DUMMYFUNCTION("""COMPUTED_VALUE"""),"API")</f>
        <v>API</v>
      </c>
      <c r="J584" s="265" t="str">
        <f>IFERROR(__xludf.DUMMYFUNCTION("""COMPUTED_VALUE"""),"Không phân công")</f>
        <v>Không phân công</v>
      </c>
    </row>
    <row r="585">
      <c r="A585" s="265" t="str">
        <f>IFERROR(__xludf.DUMMYFUNCTION("""COMPUTED_VALUE"""),"931")</f>
        <v>931</v>
      </c>
      <c r="B585" s="265" t="str">
        <f>IFERROR(__xludf.DUMMYFUNCTION("""COMPUTED_VALUE"""),"Hà Nội")</f>
        <v>Hà Nội</v>
      </c>
      <c r="C585" s="265" t="str">
        <f>IFERROR(__xludf.DUMMYFUNCTION("""COMPUTED_VALUE"""),"Active")</f>
        <v>Active</v>
      </c>
      <c r="D585" s="265" t="str">
        <f>IFERROR(__xludf.DUMMYFUNCTION("""COMPUTED_VALUE"""),"Công nghệ &amp; Phần mềm")</f>
        <v>Công nghệ &amp; Phần mềm</v>
      </c>
      <c r="E585" s="265" t="str">
        <f>IFERROR(__xludf.DUMMYFUNCTION("""COMPUTED_VALUE"""),"AnhNM")</f>
        <v>AnhNM</v>
      </c>
      <c r="F585" s="265" t="str">
        <f>IFERROR(__xludf.DUMMYFUNCTION("""COMPUTED_VALUE"""),"Silver")</f>
        <v>Silver</v>
      </c>
      <c r="G585" s="265" t="str">
        <f>IFERROR(__xludf.DUMMYFUNCTION("""COMPUTED_VALUE"""),"Starter")</f>
        <v>Starter</v>
      </c>
      <c r="H585" s="265" t="str">
        <f>IFERROR(__xludf.DUMMYFUNCTION("""COMPUTED_VALUE"""),"Trả sau")</f>
        <v>Trả sau</v>
      </c>
      <c r="I585" s="265" t="str">
        <f>IFERROR(__xludf.DUMMYFUNCTION("""COMPUTED_VALUE"""),"API &amp; Portal")</f>
        <v>API &amp; Portal</v>
      </c>
      <c r="J585" s="265" t="str">
        <f>IFERROR(__xludf.DUMMYFUNCTION("""COMPUTED_VALUE"""),"DungPL")</f>
        <v>DungPL</v>
      </c>
    </row>
    <row r="586">
      <c r="A586" s="265" t="str">
        <f>IFERROR(__xludf.DUMMYFUNCTION("""COMPUTED_VALUE"""),"932")</f>
        <v>932</v>
      </c>
      <c r="B586" s="265" t="str">
        <f>IFERROR(__xludf.DUMMYFUNCTION("""COMPUTED_VALUE"""),"Hà Nội")</f>
        <v>Hà Nội</v>
      </c>
      <c r="C586" s="265" t="str">
        <f>IFERROR(__xludf.DUMMYFUNCTION("""COMPUTED_VALUE"""),"Active")</f>
        <v>Active</v>
      </c>
      <c r="D586" s="265" t="str">
        <f>IFERROR(__xludf.DUMMYFUNCTION("""COMPUTED_VALUE"""),"Giáo dục &amp; Đào tạo")</f>
        <v>Giáo dục &amp; Đào tạo</v>
      </c>
      <c r="E586" s="265" t="str">
        <f>IFERROR(__xludf.DUMMYFUNCTION("""COMPUTED_VALUE"""),"AnhNM")</f>
        <v>AnhNM</v>
      </c>
      <c r="F586" s="265" t="str">
        <f>IFERROR(__xludf.DUMMYFUNCTION("""COMPUTED_VALUE"""),"Silver")</f>
        <v>Silver</v>
      </c>
      <c r="G586" s="265" t="str">
        <f>IFERROR(__xludf.DUMMYFUNCTION("""COMPUTED_VALUE"""),"Starter")</f>
        <v>Starter</v>
      </c>
      <c r="H586" s="265" t="str">
        <f>IFERROR(__xludf.DUMMYFUNCTION("""COMPUTED_VALUE"""),"Trả sau")</f>
        <v>Trả sau</v>
      </c>
      <c r="I586" s="265" t="str">
        <f>IFERROR(__xludf.DUMMYFUNCTION("""COMPUTED_VALUE"""),"API &amp; Portal")</f>
        <v>API &amp; Portal</v>
      </c>
      <c r="J586" s="265" t="str">
        <f>IFERROR(__xludf.DUMMYFUNCTION("""COMPUTED_VALUE"""),"Không phân công")</f>
        <v>Không phân công</v>
      </c>
    </row>
    <row r="587">
      <c r="A587" s="265" t="str">
        <f>IFERROR(__xludf.DUMMYFUNCTION("""COMPUTED_VALUE"""),"933")</f>
        <v>933</v>
      </c>
      <c r="B587" s="265" t="str">
        <f>IFERROR(__xludf.DUMMYFUNCTION("""COMPUTED_VALUE"""),"Hà Nội")</f>
        <v>Hà Nội</v>
      </c>
      <c r="C587" s="265" t="str">
        <f>IFERROR(__xludf.DUMMYFUNCTION("""COMPUTED_VALUE"""),"Locked")</f>
        <v>Locked</v>
      </c>
      <c r="D587" s="265" t="str">
        <f>IFERROR(__xludf.DUMMYFUNCTION("""COMPUTED_VALUE"""),"Vận tải &amp; logistics")</f>
        <v>Vận tải &amp; logistics</v>
      </c>
      <c r="E587" s="265" t="str">
        <f>IFERROR(__xludf.DUMMYFUNCTION("""COMPUTED_VALUE"""),"Không phân công")</f>
        <v>Không phân công</v>
      </c>
      <c r="F587" s="265" t="str">
        <f>IFERROR(__xludf.DUMMYFUNCTION("""COMPUTED_VALUE"""),"Bronze")</f>
        <v>Bronze</v>
      </c>
      <c r="G587" s="265" t="str">
        <f>IFERROR(__xludf.DUMMYFUNCTION("""COMPUTED_VALUE"""),"Starter")</f>
        <v>Starter</v>
      </c>
      <c r="H587" s="265" t="str">
        <f>IFERROR(__xludf.DUMMYFUNCTION("""COMPUTED_VALUE"""),"Trả sau")</f>
        <v>Trả sau</v>
      </c>
      <c r="I587" s="265" t="str">
        <f>IFERROR(__xludf.DUMMYFUNCTION("""COMPUTED_VALUE"""),"API")</f>
        <v>API</v>
      </c>
      <c r="J587" s="265" t="str">
        <f>IFERROR(__xludf.DUMMYFUNCTION("""COMPUTED_VALUE"""),"DungVT")</f>
        <v>DungVT</v>
      </c>
    </row>
    <row r="588">
      <c r="A588" s="265" t="str">
        <f>IFERROR(__xludf.DUMMYFUNCTION("""COMPUTED_VALUE"""),"934")</f>
        <v>934</v>
      </c>
      <c r="B588" s="265" t="str">
        <f>IFERROR(__xludf.DUMMYFUNCTION("""COMPUTED_VALUE"""),"Đà Nẵng")</f>
        <v>Đà Nẵng</v>
      </c>
      <c r="C588" s="265" t="str">
        <f>IFERROR(__xludf.DUMMYFUNCTION("""COMPUTED_VALUE"""),"Locked")</f>
        <v>Locked</v>
      </c>
      <c r="D588" s="265" t="str">
        <f>IFERROR(__xludf.DUMMYFUNCTION("""COMPUTED_VALUE"""),"Tài chính &amp; Ngân hàng")</f>
        <v>Tài chính &amp; Ngân hàng</v>
      </c>
      <c r="E588" s="265" t="str">
        <f>IFERROR(__xludf.DUMMYFUNCTION("""COMPUTED_VALUE"""),"TùngLD")</f>
        <v>TùngLD</v>
      </c>
      <c r="F588" s="265" t="str">
        <f>IFERROR(__xludf.DUMMYFUNCTION("""COMPUTED_VALUE"""),"Diamond")</f>
        <v>Diamond</v>
      </c>
      <c r="G588" s="265" t="str">
        <f>IFERROR(__xludf.DUMMYFUNCTION("""COMPUTED_VALUE"""),"Premium")</f>
        <v>Premium</v>
      </c>
      <c r="H588" s="265" t="str">
        <f>IFERROR(__xludf.DUMMYFUNCTION("""COMPUTED_VALUE"""),"Trial")</f>
        <v>Trial</v>
      </c>
      <c r="I588" s="265" t="str">
        <f>IFERROR(__xludf.DUMMYFUNCTION("""COMPUTED_VALUE"""),"API &amp; Portal")</f>
        <v>API &amp; Portal</v>
      </c>
      <c r="J588" s="265" t="str">
        <f>IFERROR(__xludf.DUMMYFUNCTION("""COMPUTED_VALUE"""),"Không phân công")</f>
        <v>Không phân công</v>
      </c>
    </row>
    <row r="589">
      <c r="A589" s="265" t="str">
        <f>IFERROR(__xludf.DUMMYFUNCTION("""COMPUTED_VALUE"""),"935")</f>
        <v>935</v>
      </c>
      <c r="B589" s="265" t="str">
        <f>IFERROR(__xludf.DUMMYFUNCTION("""COMPUTED_VALUE"""),"Đà Nẵng")</f>
        <v>Đà Nẵng</v>
      </c>
      <c r="C589" s="265" t="str">
        <f>IFERROR(__xludf.DUMMYFUNCTION("""COMPUTED_VALUE"""),"Locked")</f>
        <v>Locked</v>
      </c>
      <c r="D589" s="265" t="str">
        <f>IFERROR(__xludf.DUMMYFUNCTION("""COMPUTED_VALUE"""),"Dịch vụ khác")</f>
        <v>Dịch vụ khác</v>
      </c>
      <c r="E589" s="265" t="str">
        <f>IFERROR(__xludf.DUMMYFUNCTION("""COMPUTED_VALUE"""),"TùngLD")</f>
        <v>TùngLD</v>
      </c>
      <c r="F589" s="265" t="str">
        <f>IFERROR(__xludf.DUMMYFUNCTION("""COMPUTED_VALUE"""),"Diamond")</f>
        <v>Diamond</v>
      </c>
      <c r="G589" s="265" t="str">
        <f>IFERROR(__xludf.DUMMYFUNCTION("""COMPUTED_VALUE"""),"Premium")</f>
        <v>Premium</v>
      </c>
      <c r="H589" s="265" t="str">
        <f>IFERROR(__xludf.DUMMYFUNCTION("""COMPUTED_VALUE"""),"Trial")</f>
        <v>Trial</v>
      </c>
      <c r="I589" s="265" t="str">
        <f>IFERROR(__xludf.DUMMYFUNCTION("""COMPUTED_VALUE"""),"API &amp; Portal")</f>
        <v>API &amp; Portal</v>
      </c>
      <c r="J589" s="265" t="str">
        <f>IFERROR(__xludf.DUMMYFUNCTION("""COMPUTED_VALUE"""),"Không phân công")</f>
        <v>Không phân công</v>
      </c>
    </row>
    <row r="590">
      <c r="A590" s="265" t="str">
        <f>IFERROR(__xludf.DUMMYFUNCTION("""COMPUTED_VALUE"""),"936")</f>
        <v>936</v>
      </c>
      <c r="B590" s="265" t="str">
        <f>IFERROR(__xludf.DUMMYFUNCTION("""COMPUTED_VALUE"""),"Sài Gòn")</f>
        <v>Sài Gòn</v>
      </c>
      <c r="C590" s="265" t="str">
        <f>IFERROR(__xludf.DUMMYFUNCTION("""COMPUTED_VALUE"""),"Locked")</f>
        <v>Locked</v>
      </c>
      <c r="D590" s="265" t="str">
        <f>IFERROR(__xludf.DUMMYFUNCTION("""COMPUTED_VALUE"""),"Thực phẩm &amp; Đồ uống")</f>
        <v>Thực phẩm &amp; Đồ uống</v>
      </c>
      <c r="E590" s="265" t="str">
        <f>IFERROR(__xludf.DUMMYFUNCTION("""COMPUTED_VALUE"""),"HoaNTM")</f>
        <v>HoaNTM</v>
      </c>
      <c r="F590" s="265" t="str">
        <f>IFERROR(__xludf.DUMMYFUNCTION("""COMPUTED_VALUE"""),"Diamond")</f>
        <v>Diamond</v>
      </c>
      <c r="G590" s="265" t="str">
        <f>IFERROR(__xludf.DUMMYFUNCTION("""COMPUTED_VALUE"""),"Starter")</f>
        <v>Starter</v>
      </c>
      <c r="H590" s="265" t="str">
        <f>IFERROR(__xludf.DUMMYFUNCTION("""COMPUTED_VALUE"""),"Trả trước")</f>
        <v>Trả trước</v>
      </c>
      <c r="I590" s="265" t="str">
        <f>IFERROR(__xludf.DUMMYFUNCTION("""COMPUTED_VALUE"""),"Portal")</f>
        <v>Portal</v>
      </c>
      <c r="J590" s="265" t="str">
        <f>IFERROR(__xludf.DUMMYFUNCTION("""COMPUTED_VALUE"""),"YếnĐH")</f>
        <v>YếnĐH</v>
      </c>
    </row>
    <row r="591">
      <c r="A591" s="265" t="str">
        <f>IFERROR(__xludf.DUMMYFUNCTION("""COMPUTED_VALUE"""),"937")</f>
        <v>937</v>
      </c>
      <c r="B591" s="265" t="str">
        <f>IFERROR(__xludf.DUMMYFUNCTION("""COMPUTED_VALUE"""),"Hà Nội")</f>
        <v>Hà Nội</v>
      </c>
      <c r="C591" s="265" t="str">
        <f>IFERROR(__xludf.DUMMYFUNCTION("""COMPUTED_VALUE"""),"Active")</f>
        <v>Active</v>
      </c>
      <c r="D591" s="265" t="str">
        <f>IFERROR(__xludf.DUMMYFUNCTION("""COMPUTED_VALUE"""),"Y tế &amp; Dược phẩm")</f>
        <v>Y tế &amp; Dược phẩm</v>
      </c>
      <c r="E591" s="265" t="str">
        <f>IFERROR(__xludf.DUMMYFUNCTION("""COMPUTED_VALUE"""),"TùngLD")</f>
        <v>TùngLD</v>
      </c>
      <c r="F591" s="265" t="str">
        <f>IFERROR(__xludf.DUMMYFUNCTION("""COMPUTED_VALUE"""),"Sale chưa cung cấp")</f>
        <v>Sale chưa cung cấp</v>
      </c>
      <c r="G591" s="265" t="str">
        <f>IFERROR(__xludf.DUMMYFUNCTION("""COMPUTED_VALUE"""),"Premium")</f>
        <v>Premium</v>
      </c>
      <c r="H591" s="265" t="str">
        <f>IFERROR(__xludf.DUMMYFUNCTION("""COMPUTED_VALUE"""),"Trả sau")</f>
        <v>Trả sau</v>
      </c>
      <c r="I591" s="265" t="str">
        <f>IFERROR(__xludf.DUMMYFUNCTION("""COMPUTED_VALUE"""),"API &amp; Portal")</f>
        <v>API &amp; Portal</v>
      </c>
      <c r="J591" s="265" t="str">
        <f>IFERROR(__xludf.DUMMYFUNCTION("""COMPUTED_VALUE"""),"LinhNTT1")</f>
        <v>LinhNTT1</v>
      </c>
    </row>
    <row r="592">
      <c r="A592" s="265" t="str">
        <f>IFERROR(__xludf.DUMMYFUNCTION("""COMPUTED_VALUE"""),"938")</f>
        <v>938</v>
      </c>
      <c r="B592" s="265" t="str">
        <f>IFERROR(__xludf.DUMMYFUNCTION("""COMPUTED_VALUE"""),"Hà Nội")</f>
        <v>Hà Nội</v>
      </c>
      <c r="C592" s="265" t="str">
        <f>IFERROR(__xludf.DUMMYFUNCTION("""COMPUTED_VALUE"""),"Active")</f>
        <v>Active</v>
      </c>
      <c r="D592" s="265" t="str">
        <f>IFERROR(__xludf.DUMMYFUNCTION("""COMPUTED_VALUE"""),"Viễn thông")</f>
        <v>Viễn thông</v>
      </c>
      <c r="E592" s="265" t="str">
        <f>IFERROR(__xludf.DUMMYFUNCTION("""COMPUTED_VALUE"""),"TúPHN")</f>
        <v>TúPHN</v>
      </c>
      <c r="F592" s="265" t="str">
        <f>IFERROR(__xludf.DUMMYFUNCTION("""COMPUTED_VALUE"""),"Diamond")</f>
        <v>Diamond</v>
      </c>
      <c r="G592" s="265" t="str">
        <f>IFERROR(__xludf.DUMMYFUNCTION("""COMPUTED_VALUE"""),"Starter")</f>
        <v>Starter</v>
      </c>
      <c r="H592" s="265" t="str">
        <f>IFERROR(__xludf.DUMMYFUNCTION("""COMPUTED_VALUE"""),"Trả sau")</f>
        <v>Trả sau</v>
      </c>
      <c r="I592" s="265" t="str">
        <f>IFERROR(__xludf.DUMMYFUNCTION("""COMPUTED_VALUE"""),"API &amp; Portal")</f>
        <v>API &amp; Portal</v>
      </c>
      <c r="J592" s="265" t="str">
        <f>IFERROR(__xludf.DUMMYFUNCTION("""COMPUTED_VALUE"""),"DungPL")</f>
        <v>DungPL</v>
      </c>
    </row>
    <row r="593">
      <c r="A593" s="265" t="str">
        <f>IFERROR(__xludf.DUMMYFUNCTION("""COMPUTED_VALUE"""),"939")</f>
        <v>939</v>
      </c>
      <c r="B593" s="265" t="str">
        <f>IFERROR(__xludf.DUMMYFUNCTION("""COMPUTED_VALUE"""),"Hà Nội")</f>
        <v>Hà Nội</v>
      </c>
      <c r="C593" s="265" t="str">
        <f>IFERROR(__xludf.DUMMYFUNCTION("""COMPUTED_VALUE"""),"Active")</f>
        <v>Active</v>
      </c>
      <c r="D593" s="265" t="str">
        <f>IFERROR(__xludf.DUMMYFUNCTION("""COMPUTED_VALUE"""),"Truyền thông &amp; Giải trí")</f>
        <v>Truyền thông &amp; Giải trí</v>
      </c>
      <c r="E593" s="265" t="str">
        <f>IFERROR(__xludf.DUMMYFUNCTION("""COMPUTED_VALUE"""),"TúPHN")</f>
        <v>TúPHN</v>
      </c>
      <c r="F593" s="265" t="str">
        <f>IFERROR(__xludf.DUMMYFUNCTION("""COMPUTED_VALUE"""),"Silver")</f>
        <v>Silver</v>
      </c>
      <c r="G593" s="265" t="str">
        <f>IFERROR(__xludf.DUMMYFUNCTION("""COMPUTED_VALUE"""),"Starter")</f>
        <v>Starter</v>
      </c>
      <c r="H593" s="265" t="str">
        <f>IFERROR(__xludf.DUMMYFUNCTION("""COMPUTED_VALUE"""),"Trả sau")</f>
        <v>Trả sau</v>
      </c>
      <c r="I593" s="265" t="str">
        <f>IFERROR(__xludf.DUMMYFUNCTION("""COMPUTED_VALUE"""),"API")</f>
        <v>API</v>
      </c>
      <c r="J593" s="265" t="str">
        <f>IFERROR(__xludf.DUMMYFUNCTION("""COMPUTED_VALUE"""),"Không phân công")</f>
        <v>Không phân công</v>
      </c>
    </row>
    <row r="594">
      <c r="A594" s="265" t="str">
        <f>IFERROR(__xludf.DUMMYFUNCTION("""COMPUTED_VALUE"""),"940")</f>
        <v>940</v>
      </c>
      <c r="B594" s="265" t="str">
        <f>IFERROR(__xludf.DUMMYFUNCTION("""COMPUTED_VALUE"""),"Hà Nội")</f>
        <v>Hà Nội</v>
      </c>
      <c r="C594" s="265" t="str">
        <f>IFERROR(__xludf.DUMMYFUNCTION("""COMPUTED_VALUE"""),"Active")</f>
        <v>Active</v>
      </c>
      <c r="D594" s="265" t="str">
        <f>IFERROR(__xludf.DUMMYFUNCTION("""COMPUTED_VALUE"""),"Y tế &amp; Dược phẩm")</f>
        <v>Y tế &amp; Dược phẩm</v>
      </c>
      <c r="E594" s="265" t="str">
        <f>IFERROR(__xludf.DUMMYFUNCTION("""COMPUTED_VALUE"""),"Không phân công")</f>
        <v>Không phân công</v>
      </c>
      <c r="F594" s="265" t="str">
        <f>IFERROR(__xludf.DUMMYFUNCTION("""COMPUTED_VALUE"""),"Silver")</f>
        <v>Silver</v>
      </c>
      <c r="G594" s="265" t="str">
        <f>IFERROR(__xludf.DUMMYFUNCTION("""COMPUTED_VALUE"""),"Starter")</f>
        <v>Starter</v>
      </c>
      <c r="H594" s="265" t="str">
        <f>IFERROR(__xludf.DUMMYFUNCTION("""COMPUTED_VALUE"""),"Trả sau")</f>
        <v>Trả sau</v>
      </c>
      <c r="I594" s="265" t="str">
        <f>IFERROR(__xludf.DUMMYFUNCTION("""COMPUTED_VALUE"""),"Portal")</f>
        <v>Portal</v>
      </c>
      <c r="J594" s="265" t="str">
        <f>IFERROR(__xludf.DUMMYFUNCTION("""COMPUTED_VALUE"""),"DungPL")</f>
        <v>DungPL</v>
      </c>
    </row>
    <row r="595">
      <c r="A595" s="265" t="str">
        <f>IFERROR(__xludf.DUMMYFUNCTION("""COMPUTED_VALUE"""),"941")</f>
        <v>941</v>
      </c>
      <c r="B595" s="265" t="str">
        <f>IFERROR(__xludf.DUMMYFUNCTION("""COMPUTED_VALUE"""),"Hà Nội")</f>
        <v>Hà Nội</v>
      </c>
      <c r="C595" s="265" t="str">
        <f>IFERROR(__xludf.DUMMYFUNCTION("""COMPUTED_VALUE"""),"Active")</f>
        <v>Active</v>
      </c>
      <c r="D595" s="265" t="str">
        <f>IFERROR(__xludf.DUMMYFUNCTION("""COMPUTED_VALUE"""),"Giáo dục &amp; Đào tạo")</f>
        <v>Giáo dục &amp; Đào tạo</v>
      </c>
      <c r="E595" s="265" t="str">
        <f>IFERROR(__xludf.DUMMYFUNCTION("""COMPUTED_VALUE"""),"AnhNM")</f>
        <v>AnhNM</v>
      </c>
      <c r="F595" s="265" t="str">
        <f>IFERROR(__xludf.DUMMYFUNCTION("""COMPUTED_VALUE"""),"Bronze")</f>
        <v>Bronze</v>
      </c>
      <c r="G595" s="265" t="str">
        <f>IFERROR(__xludf.DUMMYFUNCTION("""COMPUTED_VALUE"""),"Starter")</f>
        <v>Starter</v>
      </c>
      <c r="H595" s="265" t="str">
        <f>IFERROR(__xludf.DUMMYFUNCTION("""COMPUTED_VALUE"""),"Trả sau")</f>
        <v>Trả sau</v>
      </c>
      <c r="I595" s="265" t="str">
        <f>IFERROR(__xludf.DUMMYFUNCTION("""COMPUTED_VALUE"""),"API")</f>
        <v>API</v>
      </c>
      <c r="J595" s="265" t="str">
        <f>IFERROR(__xludf.DUMMYFUNCTION("""COMPUTED_VALUE"""),"DungVT
DungPL")</f>
        <v>DungVT
DungPL</v>
      </c>
    </row>
    <row r="596">
      <c r="A596" s="265" t="str">
        <f>IFERROR(__xludf.DUMMYFUNCTION("""COMPUTED_VALUE"""),"942")</f>
        <v>942</v>
      </c>
      <c r="B596" s="265" t="str">
        <f>IFERROR(__xludf.DUMMYFUNCTION("""COMPUTED_VALUE"""),"Sài Gòn")</f>
        <v>Sài Gòn</v>
      </c>
      <c r="C596" s="265" t="str">
        <f>IFERROR(__xludf.DUMMYFUNCTION("""COMPUTED_VALUE"""),"Active")</f>
        <v>Active</v>
      </c>
      <c r="D596" s="265" t="str">
        <f>IFERROR(__xludf.DUMMYFUNCTION("""COMPUTED_VALUE"""),"Viễn thông")</f>
        <v>Viễn thông</v>
      </c>
      <c r="E596" s="265" t="str">
        <f>IFERROR(__xludf.DUMMYFUNCTION("""COMPUTED_VALUE"""),"AnhNM")</f>
        <v>AnhNM</v>
      </c>
      <c r="F596" s="265" t="str">
        <f>IFERROR(__xludf.DUMMYFUNCTION("""COMPUTED_VALUE"""),"Gold")</f>
        <v>Gold</v>
      </c>
      <c r="G596" s="265" t="str">
        <f>IFERROR(__xludf.DUMMYFUNCTION("""COMPUTED_VALUE"""),"Premium")</f>
        <v>Premium</v>
      </c>
      <c r="H596" s="265" t="str">
        <f>IFERROR(__xludf.DUMMYFUNCTION("""COMPUTED_VALUE"""),"Trả sau")</f>
        <v>Trả sau</v>
      </c>
      <c r="I596" s="265" t="str">
        <f>IFERROR(__xludf.DUMMYFUNCTION("""COMPUTED_VALUE"""),"API &amp; Portal")</f>
        <v>API &amp; Portal</v>
      </c>
      <c r="J596" s="265" t="str">
        <f>IFERROR(__xludf.DUMMYFUNCTION("""COMPUTED_VALUE"""),"DungPL")</f>
        <v>DungPL</v>
      </c>
    </row>
    <row r="597">
      <c r="A597" s="265" t="str">
        <f>IFERROR(__xludf.DUMMYFUNCTION("""COMPUTED_VALUE"""),"943")</f>
        <v>943</v>
      </c>
      <c r="B597" s="265" t="str">
        <f>IFERROR(__xludf.DUMMYFUNCTION("""COMPUTED_VALUE"""),"Hà Nội")</f>
        <v>Hà Nội</v>
      </c>
      <c r="C597" s="265" t="str">
        <f>IFERROR(__xludf.DUMMYFUNCTION("""COMPUTED_VALUE"""),"Active")</f>
        <v>Active</v>
      </c>
      <c r="D597" s="265" t="str">
        <f>IFERROR(__xludf.DUMMYFUNCTION("""COMPUTED_VALUE"""),"Bất động sản")</f>
        <v>Bất động sản</v>
      </c>
      <c r="E597" s="265" t="str">
        <f>IFERROR(__xludf.DUMMYFUNCTION("""COMPUTED_VALUE"""),"TùngLD")</f>
        <v>TùngLD</v>
      </c>
      <c r="F597" s="265" t="str">
        <f>IFERROR(__xludf.DUMMYFUNCTION("""COMPUTED_VALUE"""),"Silver")</f>
        <v>Silver</v>
      </c>
      <c r="G597" s="265" t="str">
        <f>IFERROR(__xludf.DUMMYFUNCTION("""COMPUTED_VALUE"""),"Starter")</f>
        <v>Starter</v>
      </c>
      <c r="H597" s="265" t="str">
        <f>IFERROR(__xludf.DUMMYFUNCTION("""COMPUTED_VALUE"""),"Trả sau")</f>
        <v>Trả sau</v>
      </c>
      <c r="I597" s="265" t="str">
        <f>IFERROR(__xludf.DUMMYFUNCTION("""COMPUTED_VALUE"""),"API")</f>
        <v>API</v>
      </c>
      <c r="J597" s="265" t="str">
        <f>IFERROR(__xludf.DUMMYFUNCTION("""COMPUTED_VALUE"""),"DungVT")</f>
        <v>DungVT</v>
      </c>
    </row>
    <row r="598">
      <c r="A598" s="265" t="str">
        <f>IFERROR(__xludf.DUMMYFUNCTION("""COMPUTED_VALUE"""),"944")</f>
        <v>944</v>
      </c>
      <c r="B598" s="265" t="str">
        <f>IFERROR(__xludf.DUMMYFUNCTION("""COMPUTED_VALUE"""),"Sài Gòn")</f>
        <v>Sài Gòn</v>
      </c>
      <c r="C598" s="265" t="str">
        <f>IFERROR(__xludf.DUMMYFUNCTION("""COMPUTED_VALUE"""),"Active")</f>
        <v>Active</v>
      </c>
      <c r="D598" s="265" t="str">
        <f>IFERROR(__xludf.DUMMYFUNCTION("""COMPUTED_VALUE"""),"Hành chính công")</f>
        <v>Hành chính công</v>
      </c>
      <c r="E598" s="265" t="str">
        <f>IFERROR(__xludf.DUMMYFUNCTION("""COMPUTED_VALUE"""),"TúPHN")</f>
        <v>TúPHN</v>
      </c>
      <c r="F598" s="265" t="str">
        <f>IFERROR(__xludf.DUMMYFUNCTION("""COMPUTED_VALUE"""),"Bronze")</f>
        <v>Bronze</v>
      </c>
      <c r="G598" s="265" t="str">
        <f>IFERROR(__xludf.DUMMYFUNCTION("""COMPUTED_VALUE"""),"Standard")</f>
        <v>Standard</v>
      </c>
      <c r="H598" s="265" t="str">
        <f>IFERROR(__xludf.DUMMYFUNCTION("""COMPUTED_VALUE"""),"Trả trước")</f>
        <v>Trả trước</v>
      </c>
      <c r="I598" s="265" t="str">
        <f>IFERROR(__xludf.DUMMYFUNCTION("""COMPUTED_VALUE"""),"API &amp; Portal")</f>
        <v>API &amp; Portal</v>
      </c>
      <c r="J598" s="265" t="str">
        <f>IFERROR(__xludf.DUMMYFUNCTION("""COMPUTED_VALUE"""),"YếnĐH")</f>
        <v>YếnĐH</v>
      </c>
    </row>
    <row r="599">
      <c r="A599" s="265" t="str">
        <f>IFERROR(__xludf.DUMMYFUNCTION("""COMPUTED_VALUE"""),"945")</f>
        <v>945</v>
      </c>
      <c r="B599" s="265" t="str">
        <f>IFERROR(__xludf.DUMMYFUNCTION("""COMPUTED_VALUE"""),"Sài Gòn")</f>
        <v>Sài Gòn</v>
      </c>
      <c r="C599" s="265" t="str">
        <f>IFERROR(__xludf.DUMMYFUNCTION("""COMPUTED_VALUE"""),"Locked")</f>
        <v>Locked</v>
      </c>
      <c r="D599" s="265" t="str">
        <f>IFERROR(__xludf.DUMMYFUNCTION("""COMPUTED_VALUE"""),"Sản xuất &amp; Chế tạo")</f>
        <v>Sản xuất &amp; Chế tạo</v>
      </c>
      <c r="E599" s="265" t="str">
        <f>IFERROR(__xludf.DUMMYFUNCTION("""COMPUTED_VALUE"""),"HoaNTM")</f>
        <v>HoaNTM</v>
      </c>
      <c r="F599" s="265" t="str">
        <f>IFERROR(__xludf.DUMMYFUNCTION("""COMPUTED_VALUE"""),"Gold")</f>
        <v>Gold</v>
      </c>
      <c r="G599" s="265" t="str">
        <f>IFERROR(__xludf.DUMMYFUNCTION("""COMPUTED_VALUE"""),"Starter")</f>
        <v>Starter</v>
      </c>
      <c r="H599" s="265" t="str">
        <f>IFERROR(__xludf.DUMMYFUNCTION("""COMPUTED_VALUE"""),"Trả sau")</f>
        <v>Trả sau</v>
      </c>
      <c r="I599" s="265" t="str">
        <f>IFERROR(__xludf.DUMMYFUNCTION("""COMPUTED_VALUE"""),"API &amp; Portal")</f>
        <v>API &amp; Portal</v>
      </c>
      <c r="J599" s="265" t="str">
        <f>IFERROR(__xludf.DUMMYFUNCTION("""COMPUTED_VALUE"""),"Không phân công")</f>
        <v>Không phân công</v>
      </c>
    </row>
    <row r="600">
      <c r="A600" s="265" t="str">
        <f>IFERROR(__xludf.DUMMYFUNCTION("""COMPUTED_VALUE"""),"947")</f>
        <v>947</v>
      </c>
      <c r="B600" s="265" t="str">
        <f>IFERROR(__xludf.DUMMYFUNCTION("""COMPUTED_VALUE"""),"Sài Gòn")</f>
        <v>Sài Gòn</v>
      </c>
      <c r="C600" s="265" t="str">
        <f>IFERROR(__xludf.DUMMYFUNCTION("""COMPUTED_VALUE"""),"Locked")</f>
        <v>Locked</v>
      </c>
      <c r="D600" s="265" t="str">
        <f>IFERROR(__xludf.DUMMYFUNCTION("""COMPUTED_VALUE"""),"Thiết kế &amp; Thi công")</f>
        <v>Thiết kế &amp; Thi công</v>
      </c>
      <c r="E600" s="265" t="str">
        <f>IFERROR(__xludf.DUMMYFUNCTION("""COMPUTED_VALUE"""),"TùngLD")</f>
        <v>TùngLD</v>
      </c>
      <c r="F600" s="265" t="str">
        <f>IFERROR(__xludf.DUMMYFUNCTION("""COMPUTED_VALUE"""),"Diamond")</f>
        <v>Diamond</v>
      </c>
      <c r="G600" s="265" t="str">
        <f>IFERROR(__xludf.DUMMYFUNCTION("""COMPUTED_VALUE"""),"Standard")</f>
        <v>Standard</v>
      </c>
      <c r="H600" s="265" t="str">
        <f>IFERROR(__xludf.DUMMYFUNCTION("""COMPUTED_VALUE"""),"Trial")</f>
        <v>Trial</v>
      </c>
      <c r="I600" s="265" t="str">
        <f>IFERROR(__xludf.DUMMYFUNCTION("""COMPUTED_VALUE"""),"API &amp; Portal")</f>
        <v>API &amp; Portal</v>
      </c>
      <c r="J600" s="265" t="str">
        <f>IFERROR(__xludf.DUMMYFUNCTION("""COMPUTED_VALUE"""),"LinhNTT1")</f>
        <v>LinhNTT1</v>
      </c>
    </row>
    <row r="601">
      <c r="A601" s="265" t="str">
        <f>IFERROR(__xludf.DUMMYFUNCTION("""COMPUTED_VALUE"""),"948")</f>
        <v>948</v>
      </c>
      <c r="B601" s="265" t="str">
        <f>IFERROR(__xludf.DUMMYFUNCTION("""COMPUTED_VALUE"""),"Sài Gòn")</f>
        <v>Sài Gòn</v>
      </c>
      <c r="C601" s="265" t="str">
        <f>IFERROR(__xludf.DUMMYFUNCTION("""COMPUTED_VALUE"""),"Locked")</f>
        <v>Locked</v>
      </c>
      <c r="D601" s="265" t="str">
        <f>IFERROR(__xludf.DUMMYFUNCTION("""COMPUTED_VALUE"""),"Sale chưa cung cấp")</f>
        <v>Sale chưa cung cấp</v>
      </c>
      <c r="E601" s="265" t="str">
        <f>IFERROR(__xludf.DUMMYFUNCTION("""COMPUTED_VALUE"""),"Không phân công")</f>
        <v>Không phân công</v>
      </c>
      <c r="F601" s="265" t="str">
        <f>IFERROR(__xludf.DUMMYFUNCTION("""COMPUTED_VALUE"""),"Sale chưa cung cấp")</f>
        <v>Sale chưa cung cấp</v>
      </c>
      <c r="G601" s="265" t="str">
        <f>IFERROR(__xludf.DUMMYFUNCTION("""COMPUTED_VALUE"""),"Standard")</f>
        <v>Standard</v>
      </c>
      <c r="H601" s="265" t="str">
        <f>IFERROR(__xludf.DUMMYFUNCTION("""COMPUTED_VALUE"""),"Trial")</f>
        <v>Trial</v>
      </c>
      <c r="I601" s="265" t="str">
        <f>IFERROR(__xludf.DUMMYFUNCTION("""COMPUTED_VALUE"""),"Portal")</f>
        <v>Portal</v>
      </c>
      <c r="J601" s="265" t="str">
        <f>IFERROR(__xludf.DUMMYFUNCTION("""COMPUTED_VALUE"""),"LinhNTT1")</f>
        <v>LinhNTT1</v>
      </c>
    </row>
    <row r="602">
      <c r="A602" s="265" t="str">
        <f>IFERROR(__xludf.DUMMYFUNCTION("""COMPUTED_VALUE"""),"949")</f>
        <v>949</v>
      </c>
      <c r="B602" s="265" t="str">
        <f>IFERROR(__xludf.DUMMYFUNCTION("""COMPUTED_VALUE"""),"Hà Nội")</f>
        <v>Hà Nội</v>
      </c>
      <c r="C602" s="265" t="str">
        <f>IFERROR(__xludf.DUMMYFUNCTION("""COMPUTED_VALUE"""),"Locked")</f>
        <v>Locked</v>
      </c>
      <c r="D602" s="265" t="str">
        <f>IFERROR(__xludf.DUMMYFUNCTION("""COMPUTED_VALUE"""),"Mua sắm &amp; Bán lẻ")</f>
        <v>Mua sắm &amp; Bán lẻ</v>
      </c>
      <c r="E602" s="265" t="str">
        <f>IFERROR(__xludf.DUMMYFUNCTION("""COMPUTED_VALUE"""),"AnhNM")</f>
        <v>AnhNM</v>
      </c>
      <c r="F602" s="265" t="str">
        <f>IFERROR(__xludf.DUMMYFUNCTION("""COMPUTED_VALUE"""),"Bronze")</f>
        <v>Bronze</v>
      </c>
      <c r="G602" s="265" t="str">
        <f>IFERROR(__xludf.DUMMYFUNCTION("""COMPUTED_VALUE"""),"Premium")</f>
        <v>Premium</v>
      </c>
      <c r="H602" s="265" t="str">
        <f>IFERROR(__xludf.DUMMYFUNCTION("""COMPUTED_VALUE"""),"Trial")</f>
        <v>Trial</v>
      </c>
      <c r="I602" s="265" t="str">
        <f>IFERROR(__xludf.DUMMYFUNCTION("""COMPUTED_VALUE"""),"API &amp; Portal")</f>
        <v>API &amp; Portal</v>
      </c>
      <c r="J602" s="265" t="str">
        <f>IFERROR(__xludf.DUMMYFUNCTION("""COMPUTED_VALUE"""),"Không phân công")</f>
        <v>Không phân công</v>
      </c>
    </row>
    <row r="603">
      <c r="A603" s="265" t="str">
        <f>IFERROR(__xludf.DUMMYFUNCTION("""COMPUTED_VALUE"""),"950")</f>
        <v>950</v>
      </c>
      <c r="B603" s="265" t="str">
        <f>IFERROR(__xludf.DUMMYFUNCTION("""COMPUTED_VALUE"""),"Sài Gòn")</f>
        <v>Sài Gòn</v>
      </c>
      <c r="C603" s="265" t="str">
        <f>IFERROR(__xludf.DUMMYFUNCTION("""COMPUTED_VALUE"""),"Active")</f>
        <v>Active</v>
      </c>
      <c r="D603" s="265" t="str">
        <f>IFERROR(__xludf.DUMMYFUNCTION("""COMPUTED_VALUE"""),"Thực phẩm &amp; Đồ uống")</f>
        <v>Thực phẩm &amp; Đồ uống</v>
      </c>
      <c r="E603" s="265" t="str">
        <f>IFERROR(__xludf.DUMMYFUNCTION("""COMPUTED_VALUE"""),"Không phân công")</f>
        <v>Không phân công</v>
      </c>
      <c r="F603" s="265" t="str">
        <f>IFERROR(__xludf.DUMMYFUNCTION("""COMPUTED_VALUE"""),"Gold")</f>
        <v>Gold</v>
      </c>
      <c r="G603" s="265" t="str">
        <f>IFERROR(__xludf.DUMMYFUNCTION("""COMPUTED_VALUE"""),"Starter")</f>
        <v>Starter</v>
      </c>
      <c r="H603" s="265" t="str">
        <f>IFERROR(__xludf.DUMMYFUNCTION("""COMPUTED_VALUE"""),"Trả sau")</f>
        <v>Trả sau</v>
      </c>
      <c r="I603" s="265" t="str">
        <f>IFERROR(__xludf.DUMMYFUNCTION("""COMPUTED_VALUE"""),"API")</f>
        <v>API</v>
      </c>
      <c r="J603" s="265" t="str">
        <f>IFERROR(__xludf.DUMMYFUNCTION("""COMPUTED_VALUE"""),"LinhNTT1")</f>
        <v>LinhNTT1</v>
      </c>
    </row>
    <row r="604">
      <c r="A604" s="265" t="str">
        <f>IFERROR(__xludf.DUMMYFUNCTION("""COMPUTED_VALUE"""),"951")</f>
        <v>951</v>
      </c>
      <c r="B604" s="265" t="str">
        <f>IFERROR(__xludf.DUMMYFUNCTION("""COMPUTED_VALUE"""),"Hà Nội")</f>
        <v>Hà Nội</v>
      </c>
      <c r="C604" s="265" t="str">
        <f>IFERROR(__xludf.DUMMYFUNCTION("""COMPUTED_VALUE"""),"Active")</f>
        <v>Active</v>
      </c>
      <c r="D604" s="265" t="str">
        <f>IFERROR(__xludf.DUMMYFUNCTION("""COMPUTED_VALUE"""),"Vận tải &amp; logistics")</f>
        <v>Vận tải &amp; logistics</v>
      </c>
      <c r="E604" s="265" t="str">
        <f>IFERROR(__xludf.DUMMYFUNCTION("""COMPUTED_VALUE"""),"TúPHN")</f>
        <v>TúPHN</v>
      </c>
      <c r="F604" s="265" t="str">
        <f>IFERROR(__xludf.DUMMYFUNCTION("""COMPUTED_VALUE"""),"Silver")</f>
        <v>Silver</v>
      </c>
      <c r="G604" s="265" t="str">
        <f>IFERROR(__xludf.DUMMYFUNCTION("""COMPUTED_VALUE"""),"Starter")</f>
        <v>Starter</v>
      </c>
      <c r="H604" s="265" t="str">
        <f>IFERROR(__xludf.DUMMYFUNCTION("""COMPUTED_VALUE"""),"Trả trước")</f>
        <v>Trả trước</v>
      </c>
      <c r="I604" s="265" t="str">
        <f>IFERROR(__xludf.DUMMYFUNCTION("""COMPUTED_VALUE"""),"Portal")</f>
        <v>Portal</v>
      </c>
      <c r="J604" s="265" t="str">
        <f>IFERROR(__xludf.DUMMYFUNCTION("""COMPUTED_VALUE"""),"DungPL")</f>
        <v>DungPL</v>
      </c>
    </row>
    <row r="605">
      <c r="A605" s="265" t="str">
        <f>IFERROR(__xludf.DUMMYFUNCTION("""COMPUTED_VALUE"""),"952")</f>
        <v>952</v>
      </c>
      <c r="B605" s="265" t="str">
        <f>IFERROR(__xludf.DUMMYFUNCTION("""COMPUTED_VALUE"""),"Sài Gòn")</f>
        <v>Sài Gòn</v>
      </c>
      <c r="C605" s="265" t="str">
        <f>IFERROR(__xludf.DUMMYFUNCTION("""COMPUTED_VALUE"""),"Locked")</f>
        <v>Locked</v>
      </c>
      <c r="D605" s="265" t="str">
        <f>IFERROR(__xludf.DUMMYFUNCTION("""COMPUTED_VALUE"""),"Thực phẩm &amp; Đồ uống")</f>
        <v>Thực phẩm &amp; Đồ uống</v>
      </c>
      <c r="E605" s="265" t="str">
        <f>IFERROR(__xludf.DUMMYFUNCTION("""COMPUTED_VALUE"""),"TúPHN")</f>
        <v>TúPHN</v>
      </c>
      <c r="F605" s="265" t="str">
        <f>IFERROR(__xludf.DUMMYFUNCTION("""COMPUTED_VALUE"""),"Gold")</f>
        <v>Gold</v>
      </c>
      <c r="G605" s="265" t="str">
        <f>IFERROR(__xludf.DUMMYFUNCTION("""COMPUTED_VALUE"""),"Standard")</f>
        <v>Standard</v>
      </c>
      <c r="H605" s="265" t="str">
        <f>IFERROR(__xludf.DUMMYFUNCTION("""COMPUTED_VALUE"""),"Trả trước")</f>
        <v>Trả trước</v>
      </c>
      <c r="I605" s="265" t="str">
        <f>IFERROR(__xludf.DUMMYFUNCTION("""COMPUTED_VALUE"""),"Portal")</f>
        <v>Portal</v>
      </c>
      <c r="J605" s="265" t="str">
        <f>IFERROR(__xludf.DUMMYFUNCTION("""COMPUTED_VALUE"""),"LinhNTT1")</f>
        <v>LinhNTT1</v>
      </c>
    </row>
    <row r="606">
      <c r="A606" s="265" t="str">
        <f>IFERROR(__xludf.DUMMYFUNCTION("""COMPUTED_VALUE"""),"953")</f>
        <v>953</v>
      </c>
      <c r="B606" s="265" t="str">
        <f>IFERROR(__xludf.DUMMYFUNCTION("""COMPUTED_VALUE"""),"Sài Gòn")</f>
        <v>Sài Gòn</v>
      </c>
      <c r="C606" s="265" t="str">
        <f>IFERROR(__xludf.DUMMYFUNCTION("""COMPUTED_VALUE"""),"Locked")</f>
        <v>Locked</v>
      </c>
      <c r="D606" s="265" t="str">
        <f>IFERROR(__xludf.DUMMYFUNCTION("""COMPUTED_VALUE"""),"Thực phẩm &amp; Đồ uống")</f>
        <v>Thực phẩm &amp; Đồ uống</v>
      </c>
      <c r="E606" s="265" t="str">
        <f>IFERROR(__xludf.DUMMYFUNCTION("""COMPUTED_VALUE"""),"TúPHN")</f>
        <v>TúPHN</v>
      </c>
      <c r="F606" s="265" t="str">
        <f>IFERROR(__xludf.DUMMYFUNCTION("""COMPUTED_VALUE"""),"Diamond")</f>
        <v>Diamond</v>
      </c>
      <c r="G606" s="265" t="str">
        <f>IFERROR(__xludf.DUMMYFUNCTION("""COMPUTED_VALUE"""),"Starter")</f>
        <v>Starter</v>
      </c>
      <c r="H606" s="265" t="str">
        <f>IFERROR(__xludf.DUMMYFUNCTION("""COMPUTED_VALUE"""),"Trial")</f>
        <v>Trial</v>
      </c>
      <c r="I606" s="265" t="str">
        <f>IFERROR(__xludf.DUMMYFUNCTION("""COMPUTED_VALUE"""),"Portal")</f>
        <v>Portal</v>
      </c>
      <c r="J606" s="265" t="str">
        <f>IFERROR(__xludf.DUMMYFUNCTION("""COMPUTED_VALUE"""),"DungPL")</f>
        <v>DungPL</v>
      </c>
    </row>
    <row r="607">
      <c r="A607" s="265" t="str">
        <f>IFERROR(__xludf.DUMMYFUNCTION("""COMPUTED_VALUE"""),"954")</f>
        <v>954</v>
      </c>
      <c r="B607" s="265" t="str">
        <f>IFERROR(__xludf.DUMMYFUNCTION("""COMPUTED_VALUE"""),"Hà Nội")</f>
        <v>Hà Nội</v>
      </c>
      <c r="C607" s="265" t="str">
        <f>IFERROR(__xludf.DUMMYFUNCTION("""COMPUTED_VALUE"""),"Locked")</f>
        <v>Locked</v>
      </c>
      <c r="D607" s="265" t="str">
        <f>IFERROR(__xludf.DUMMYFUNCTION("""COMPUTED_VALUE"""),"Dịch vụ khác")</f>
        <v>Dịch vụ khác</v>
      </c>
      <c r="E607" s="265" t="str">
        <f>IFERROR(__xludf.DUMMYFUNCTION("""COMPUTED_VALUE"""),"TúPHN")</f>
        <v>TúPHN</v>
      </c>
      <c r="F607" s="265" t="str">
        <f>IFERROR(__xludf.DUMMYFUNCTION("""COMPUTED_VALUE"""),"Bronze")</f>
        <v>Bronze</v>
      </c>
      <c r="G607" s="265" t="str">
        <f>IFERROR(__xludf.DUMMYFUNCTION("""COMPUTED_VALUE"""),"Premium")</f>
        <v>Premium</v>
      </c>
      <c r="H607" s="265" t="str">
        <f>IFERROR(__xludf.DUMMYFUNCTION("""COMPUTED_VALUE"""),"Trial")</f>
        <v>Trial</v>
      </c>
      <c r="I607" s="265" t="str">
        <f>IFERROR(__xludf.DUMMYFUNCTION("""COMPUTED_VALUE"""),"API &amp; Portal")</f>
        <v>API &amp; Portal</v>
      </c>
      <c r="J607" s="265" t="str">
        <f>IFERROR(__xludf.DUMMYFUNCTION("""COMPUTED_VALUE"""),"Không phân công")</f>
        <v>Không phân công</v>
      </c>
    </row>
    <row r="608">
      <c r="A608" s="265" t="str">
        <f>IFERROR(__xludf.DUMMYFUNCTION("""COMPUTED_VALUE"""),"956")</f>
        <v>956</v>
      </c>
      <c r="B608" s="265" t="str">
        <f>IFERROR(__xludf.DUMMYFUNCTION("""COMPUTED_VALUE"""),"Hà Nội")</f>
        <v>Hà Nội</v>
      </c>
      <c r="C608" s="265" t="str">
        <f>IFERROR(__xludf.DUMMYFUNCTION("""COMPUTED_VALUE"""),"Active")</f>
        <v>Active</v>
      </c>
      <c r="D608" s="265" t="str">
        <f>IFERROR(__xludf.DUMMYFUNCTION("""COMPUTED_VALUE"""),"Dịch vụ khác")</f>
        <v>Dịch vụ khác</v>
      </c>
      <c r="E608" s="265" t="str">
        <f>IFERROR(__xludf.DUMMYFUNCTION("""COMPUTED_VALUE"""),"AnhNM")</f>
        <v>AnhNM</v>
      </c>
      <c r="F608" s="265" t="str">
        <f>IFERROR(__xludf.DUMMYFUNCTION("""COMPUTED_VALUE"""),"Bronze")</f>
        <v>Bronze</v>
      </c>
      <c r="G608" s="265" t="str">
        <f>IFERROR(__xludf.DUMMYFUNCTION("""COMPUTED_VALUE"""),"Starter")</f>
        <v>Starter</v>
      </c>
      <c r="H608" s="265" t="str">
        <f>IFERROR(__xludf.DUMMYFUNCTION("""COMPUTED_VALUE"""),"Trả sau")</f>
        <v>Trả sau</v>
      </c>
      <c r="I608" s="265" t="str">
        <f>IFERROR(__xludf.DUMMYFUNCTION("""COMPUTED_VALUE"""),"API &amp; Portal")</f>
        <v>API &amp; Portal</v>
      </c>
      <c r="J608" s="265" t="str">
        <f>IFERROR(__xludf.DUMMYFUNCTION("""COMPUTED_VALUE"""),"DungPL")</f>
        <v>DungPL</v>
      </c>
    </row>
    <row r="609">
      <c r="A609" s="265" t="str">
        <f>IFERROR(__xludf.DUMMYFUNCTION("""COMPUTED_VALUE"""),"961")</f>
        <v>961</v>
      </c>
      <c r="B609" s="265" t="str">
        <f>IFERROR(__xludf.DUMMYFUNCTION("""COMPUTED_VALUE"""),"Sài Gòn")</f>
        <v>Sài Gòn</v>
      </c>
      <c r="C609" s="265" t="str">
        <f>IFERROR(__xludf.DUMMYFUNCTION("""COMPUTED_VALUE"""),"Locked")</f>
        <v>Locked</v>
      </c>
      <c r="D609" s="265" t="str">
        <f>IFERROR(__xludf.DUMMYFUNCTION("""COMPUTED_VALUE"""),"Mua sắm &amp; Bán lẻ")</f>
        <v>Mua sắm &amp; Bán lẻ</v>
      </c>
      <c r="E609" s="265" t="str">
        <f>IFERROR(__xludf.DUMMYFUNCTION("""COMPUTED_VALUE"""),"TrâmNNB")</f>
        <v>TrâmNNB</v>
      </c>
      <c r="F609" s="265" t="str">
        <f>IFERROR(__xludf.DUMMYFUNCTION("""COMPUTED_VALUE"""),"Sale chưa cung cấp")</f>
        <v>Sale chưa cung cấp</v>
      </c>
      <c r="G609" s="265" t="str">
        <f>IFERROR(__xludf.DUMMYFUNCTION("""COMPUTED_VALUE"""),"Standard")</f>
        <v>Standard</v>
      </c>
      <c r="H609" s="265" t="str">
        <f>IFERROR(__xludf.DUMMYFUNCTION("""COMPUTED_VALUE"""),"Trả trước")</f>
        <v>Trả trước</v>
      </c>
      <c r="I609" s="265" t="str">
        <f>IFERROR(__xludf.DUMMYFUNCTION("""COMPUTED_VALUE"""),"API &amp; Portal")</f>
        <v>API &amp; Portal</v>
      </c>
      <c r="J609" s="265" t="str">
        <f>IFERROR(__xludf.DUMMYFUNCTION("""COMPUTED_VALUE"""),"DungPL")</f>
        <v>DungPL</v>
      </c>
    </row>
    <row r="610">
      <c r="A610" s="265" t="str">
        <f>IFERROR(__xludf.DUMMYFUNCTION("""COMPUTED_VALUE"""),"962")</f>
        <v>962</v>
      </c>
      <c r="B610" s="265" t="str">
        <f>IFERROR(__xludf.DUMMYFUNCTION("""COMPUTED_VALUE"""),"Hà Nội")</f>
        <v>Hà Nội</v>
      </c>
      <c r="C610" s="265" t="str">
        <f>IFERROR(__xludf.DUMMYFUNCTION("""COMPUTED_VALUE"""),"Active")</f>
        <v>Active</v>
      </c>
      <c r="D610" s="265" t="str">
        <f>IFERROR(__xludf.DUMMYFUNCTION("""COMPUTED_VALUE"""),"Viễn thông")</f>
        <v>Viễn thông</v>
      </c>
      <c r="E610" s="265" t="str">
        <f>IFERROR(__xludf.DUMMYFUNCTION("""COMPUTED_VALUE"""),"AnhNM")</f>
        <v>AnhNM</v>
      </c>
      <c r="F610" s="265" t="str">
        <f>IFERROR(__xludf.DUMMYFUNCTION("""COMPUTED_VALUE"""),"Bronze")</f>
        <v>Bronze</v>
      </c>
      <c r="G610" s="265" t="str">
        <f>IFERROR(__xludf.DUMMYFUNCTION("""COMPUTED_VALUE"""),"Starter")</f>
        <v>Starter</v>
      </c>
      <c r="H610" s="265" t="str">
        <f>IFERROR(__xludf.DUMMYFUNCTION("""COMPUTED_VALUE"""),"Trả sau")</f>
        <v>Trả sau</v>
      </c>
      <c r="I610" s="265" t="str">
        <f>IFERROR(__xludf.DUMMYFUNCTION("""COMPUTED_VALUE"""),"API")</f>
        <v>API</v>
      </c>
      <c r="J610" s="265" t="str">
        <f>IFERROR(__xludf.DUMMYFUNCTION("""COMPUTED_VALUE"""),"DungPL")</f>
        <v>DungPL</v>
      </c>
    </row>
    <row r="611">
      <c r="A611" s="265" t="str">
        <f>IFERROR(__xludf.DUMMYFUNCTION("""COMPUTED_VALUE"""),"964")</f>
        <v>964</v>
      </c>
      <c r="B611" s="265" t="str">
        <f>IFERROR(__xludf.DUMMYFUNCTION("""COMPUTED_VALUE"""),"Sài Gòn")</f>
        <v>Sài Gòn</v>
      </c>
      <c r="C611" s="265" t="str">
        <f>IFERROR(__xludf.DUMMYFUNCTION("""COMPUTED_VALUE"""),"Active")</f>
        <v>Active</v>
      </c>
      <c r="D611" s="265" t="str">
        <f>IFERROR(__xludf.DUMMYFUNCTION("""COMPUTED_VALUE"""),"Dịch vụ khác")</f>
        <v>Dịch vụ khác</v>
      </c>
      <c r="E611" s="265" t="str">
        <f>IFERROR(__xludf.DUMMYFUNCTION("""COMPUTED_VALUE"""),"Không phân công")</f>
        <v>Không phân công</v>
      </c>
      <c r="F611" s="265" t="str">
        <f>IFERROR(__xludf.DUMMYFUNCTION("""COMPUTED_VALUE"""),"Diamond")</f>
        <v>Diamond</v>
      </c>
      <c r="G611" s="265" t="str">
        <f>IFERROR(__xludf.DUMMYFUNCTION("""COMPUTED_VALUE"""),"Starter")</f>
        <v>Starter</v>
      </c>
      <c r="H611" s="265" t="str">
        <f>IFERROR(__xludf.DUMMYFUNCTION("""COMPUTED_VALUE"""),"Trả sau")</f>
        <v>Trả sau</v>
      </c>
      <c r="I611" s="265" t="str">
        <f>IFERROR(__xludf.DUMMYFUNCTION("""COMPUTED_VALUE"""),"API")</f>
        <v>API</v>
      </c>
      <c r="J611" s="265" t="str">
        <f>IFERROR(__xludf.DUMMYFUNCTION("""COMPUTED_VALUE"""),"DungVT")</f>
        <v>DungVT</v>
      </c>
    </row>
    <row r="612">
      <c r="A612" s="265" t="str">
        <f>IFERROR(__xludf.DUMMYFUNCTION("""COMPUTED_VALUE"""),"965")</f>
        <v>965</v>
      </c>
      <c r="B612" s="265" t="str">
        <f>IFERROR(__xludf.DUMMYFUNCTION("""COMPUTED_VALUE"""),"Hà Nội")</f>
        <v>Hà Nội</v>
      </c>
      <c r="C612" s="265" t="str">
        <f>IFERROR(__xludf.DUMMYFUNCTION("""COMPUTED_VALUE"""),"Active")</f>
        <v>Active</v>
      </c>
      <c r="D612" s="265" t="str">
        <f>IFERROR(__xludf.DUMMYFUNCTION("""COMPUTED_VALUE"""),"Tài chính &amp; Ngân hàng")</f>
        <v>Tài chính &amp; Ngân hàng</v>
      </c>
      <c r="E612" s="265" t="str">
        <f>IFERROR(__xludf.DUMMYFUNCTION("""COMPUTED_VALUE"""),"TùngLD")</f>
        <v>TùngLD</v>
      </c>
      <c r="F612" s="265" t="str">
        <f>IFERROR(__xludf.DUMMYFUNCTION("""COMPUTED_VALUE"""),"Diamond")</f>
        <v>Diamond</v>
      </c>
      <c r="G612" s="265" t="str">
        <f>IFERROR(__xludf.DUMMYFUNCTION("""COMPUTED_VALUE"""),"Premium")</f>
        <v>Premium</v>
      </c>
      <c r="H612" s="265" t="str">
        <f>IFERROR(__xludf.DUMMYFUNCTION("""COMPUTED_VALUE"""),"Trả sau")</f>
        <v>Trả sau</v>
      </c>
      <c r="I612" s="265" t="str">
        <f>IFERROR(__xludf.DUMMYFUNCTION("""COMPUTED_VALUE"""),"API &amp; Portal")</f>
        <v>API &amp; Portal</v>
      </c>
      <c r="J612" s="265" t="str">
        <f>IFERROR(__xludf.DUMMYFUNCTION("""COMPUTED_VALUE"""),"LinhNTT1")</f>
        <v>LinhNTT1</v>
      </c>
    </row>
    <row r="613">
      <c r="A613" s="265" t="str">
        <f>IFERROR(__xludf.DUMMYFUNCTION("""COMPUTED_VALUE"""),"966")</f>
        <v>966</v>
      </c>
      <c r="B613" s="265" t="str">
        <f>IFERROR(__xludf.DUMMYFUNCTION("""COMPUTED_VALUE"""),"Sài Gòn")</f>
        <v>Sài Gòn</v>
      </c>
      <c r="C613" s="265" t="str">
        <f>IFERROR(__xludf.DUMMYFUNCTION("""COMPUTED_VALUE"""),"Active")</f>
        <v>Active</v>
      </c>
      <c r="D613" s="265" t="str">
        <f>IFERROR(__xludf.DUMMYFUNCTION("""COMPUTED_VALUE"""),"Vận tải &amp; logistics")</f>
        <v>Vận tải &amp; logistics</v>
      </c>
      <c r="E613" s="265" t="str">
        <f>IFERROR(__xludf.DUMMYFUNCTION("""COMPUTED_VALUE"""),"Không phân công")</f>
        <v>Không phân công</v>
      </c>
      <c r="F613" s="265" t="str">
        <f>IFERROR(__xludf.DUMMYFUNCTION("""COMPUTED_VALUE"""),"Gold")</f>
        <v>Gold</v>
      </c>
      <c r="G613" s="265" t="str">
        <f>IFERROR(__xludf.DUMMYFUNCTION("""COMPUTED_VALUE"""),"Starter")</f>
        <v>Starter</v>
      </c>
      <c r="H613" s="265" t="str">
        <f>IFERROR(__xludf.DUMMYFUNCTION("""COMPUTED_VALUE"""),"Trả sau")</f>
        <v>Trả sau</v>
      </c>
      <c r="I613" s="265" t="str">
        <f>IFERROR(__xludf.DUMMYFUNCTION("""COMPUTED_VALUE"""),"API")</f>
        <v>API</v>
      </c>
      <c r="J613" s="265" t="str">
        <f>IFERROR(__xludf.DUMMYFUNCTION("""COMPUTED_VALUE"""),"LinhNTT1")</f>
        <v>LinhNTT1</v>
      </c>
    </row>
    <row r="614">
      <c r="A614" s="265" t="str">
        <f>IFERROR(__xludf.DUMMYFUNCTION("""COMPUTED_VALUE"""),"970")</f>
        <v>970</v>
      </c>
      <c r="B614" s="265" t="str">
        <f>IFERROR(__xludf.DUMMYFUNCTION("""COMPUTED_VALUE"""),"Hà Nội")</f>
        <v>Hà Nội</v>
      </c>
      <c r="C614" s="265" t="str">
        <f>IFERROR(__xludf.DUMMYFUNCTION("""COMPUTED_VALUE"""),"Active")</f>
        <v>Active</v>
      </c>
      <c r="D614" s="265" t="str">
        <f>IFERROR(__xludf.DUMMYFUNCTION("""COMPUTED_VALUE"""),"Bất động sản")</f>
        <v>Bất động sản</v>
      </c>
      <c r="E614" s="265" t="str">
        <f>IFERROR(__xludf.DUMMYFUNCTION("""COMPUTED_VALUE"""),"TùngLD")</f>
        <v>TùngLD</v>
      </c>
      <c r="F614" s="265" t="str">
        <f>IFERROR(__xludf.DUMMYFUNCTION("""COMPUTED_VALUE"""),"Gold")</f>
        <v>Gold</v>
      </c>
      <c r="G614" s="265" t="str">
        <f>IFERROR(__xludf.DUMMYFUNCTION("""COMPUTED_VALUE"""),"Starter")</f>
        <v>Starter</v>
      </c>
      <c r="H614" s="265" t="str">
        <f>IFERROR(__xludf.DUMMYFUNCTION("""COMPUTED_VALUE"""),"Trả sau")</f>
        <v>Trả sau</v>
      </c>
      <c r="I614" s="265" t="str">
        <f>IFERROR(__xludf.DUMMYFUNCTION("""COMPUTED_VALUE"""),"API &amp; Portal")</f>
        <v>API &amp; Portal</v>
      </c>
      <c r="J614" s="265" t="str">
        <f>IFERROR(__xludf.DUMMYFUNCTION("""COMPUTED_VALUE"""),"DungPL")</f>
        <v>DungPL</v>
      </c>
    </row>
    <row r="615">
      <c r="A615" s="265" t="str">
        <f>IFERROR(__xludf.DUMMYFUNCTION("""COMPUTED_VALUE"""),"969")</f>
        <v>969</v>
      </c>
      <c r="B615" s="265" t="str">
        <f>IFERROR(__xludf.DUMMYFUNCTION("""COMPUTED_VALUE"""),"Hà Nội")</f>
        <v>Hà Nội</v>
      </c>
      <c r="C615" s="265" t="str">
        <f>IFERROR(__xludf.DUMMYFUNCTION("""COMPUTED_VALUE"""),"Active")</f>
        <v>Active</v>
      </c>
      <c r="D615" s="265" t="str">
        <f>IFERROR(__xludf.DUMMYFUNCTION("""COMPUTED_VALUE"""),"Mua sắm &amp; Bán lẻ")</f>
        <v>Mua sắm &amp; Bán lẻ</v>
      </c>
      <c r="E615" s="265" t="str">
        <f>IFERROR(__xludf.DUMMYFUNCTION("""COMPUTED_VALUE"""),"TúPHN")</f>
        <v>TúPHN</v>
      </c>
      <c r="F615" s="265" t="str">
        <f>IFERROR(__xludf.DUMMYFUNCTION("""COMPUTED_VALUE"""),"Bronze")</f>
        <v>Bronze</v>
      </c>
      <c r="G615" s="265" t="str">
        <f>IFERROR(__xludf.DUMMYFUNCTION("""COMPUTED_VALUE"""),"Starter")</f>
        <v>Starter</v>
      </c>
      <c r="H615" s="265" t="str">
        <f>IFERROR(__xludf.DUMMYFUNCTION("""COMPUTED_VALUE"""),"Trả sau")</f>
        <v>Trả sau</v>
      </c>
      <c r="I615" s="265" t="str">
        <f>IFERROR(__xludf.DUMMYFUNCTION("""COMPUTED_VALUE"""),"API &amp; Portal")</f>
        <v>API &amp; Portal</v>
      </c>
      <c r="J615" s="265" t="str">
        <f>IFERROR(__xludf.DUMMYFUNCTION("""COMPUTED_VALUE"""),"YếnĐH")</f>
        <v>YếnĐH</v>
      </c>
    </row>
    <row r="616">
      <c r="A616" s="265" t="str">
        <f>IFERROR(__xludf.DUMMYFUNCTION("""COMPUTED_VALUE"""),"972")</f>
        <v>972</v>
      </c>
      <c r="B616" s="265" t="str">
        <f>IFERROR(__xludf.DUMMYFUNCTION("""COMPUTED_VALUE"""),"Sài Gòn")</f>
        <v>Sài Gòn</v>
      </c>
      <c r="C616" s="265" t="str">
        <f>IFERROR(__xludf.DUMMYFUNCTION("""COMPUTED_VALUE"""),"Locked")</f>
        <v>Locked</v>
      </c>
      <c r="D616" s="265" t="str">
        <f>IFERROR(__xludf.DUMMYFUNCTION("""COMPUTED_VALUE"""),"Mua sắm &amp; Bán lẻ")</f>
        <v>Mua sắm &amp; Bán lẻ</v>
      </c>
      <c r="E616" s="265" t="str">
        <f>IFERROR(__xludf.DUMMYFUNCTION("""COMPUTED_VALUE"""),"AnhNM")</f>
        <v>AnhNM</v>
      </c>
      <c r="F616" s="265" t="str">
        <f>IFERROR(__xludf.DUMMYFUNCTION("""COMPUTED_VALUE"""),"Bronze")</f>
        <v>Bronze</v>
      </c>
      <c r="G616" s="265" t="str">
        <f>IFERROR(__xludf.DUMMYFUNCTION("""COMPUTED_VALUE"""),"Starter")</f>
        <v>Starter</v>
      </c>
      <c r="H616" s="265" t="str">
        <f>IFERROR(__xludf.DUMMYFUNCTION("""COMPUTED_VALUE"""),"Trial")</f>
        <v>Trial</v>
      </c>
      <c r="I616" s="265" t="str">
        <f>IFERROR(__xludf.DUMMYFUNCTION("""COMPUTED_VALUE"""),"API")</f>
        <v>API</v>
      </c>
      <c r="J616" s="265" t="str">
        <f>IFERROR(__xludf.DUMMYFUNCTION("""COMPUTED_VALUE"""),"Không phân công")</f>
        <v>Không phân công</v>
      </c>
    </row>
    <row r="617">
      <c r="A617" s="265" t="str">
        <f>IFERROR(__xludf.DUMMYFUNCTION("""COMPUTED_VALUE"""),"973")</f>
        <v>973</v>
      </c>
      <c r="B617" s="265" t="str">
        <f>IFERROR(__xludf.DUMMYFUNCTION("""COMPUTED_VALUE"""),"Hà Nội")</f>
        <v>Hà Nội</v>
      </c>
      <c r="C617" s="265" t="str">
        <f>IFERROR(__xludf.DUMMYFUNCTION("""COMPUTED_VALUE"""),"Locked")</f>
        <v>Locked</v>
      </c>
      <c r="D617" s="265" t="str">
        <f>IFERROR(__xludf.DUMMYFUNCTION("""COMPUTED_VALUE"""),"Vận tải &amp; logistics")</f>
        <v>Vận tải &amp; logistics</v>
      </c>
      <c r="E617" s="265" t="str">
        <f>IFERROR(__xludf.DUMMYFUNCTION("""COMPUTED_VALUE"""),"Không phân công")</f>
        <v>Không phân công</v>
      </c>
      <c r="F617" s="265" t="str">
        <f>IFERROR(__xludf.DUMMYFUNCTION("""COMPUTED_VALUE"""),"Silver")</f>
        <v>Silver</v>
      </c>
      <c r="G617" s="265" t="str">
        <f>IFERROR(__xludf.DUMMYFUNCTION("""COMPUTED_VALUE"""),"Starter")</f>
        <v>Starter</v>
      </c>
      <c r="H617" s="265" t="str">
        <f>IFERROR(__xludf.DUMMYFUNCTION("""COMPUTED_VALUE"""),"Trả sau")</f>
        <v>Trả sau</v>
      </c>
      <c r="I617" s="265" t="str">
        <f>IFERROR(__xludf.DUMMYFUNCTION("""COMPUTED_VALUE"""),"API")</f>
        <v>API</v>
      </c>
      <c r="J617" s="265" t="str">
        <f>IFERROR(__xludf.DUMMYFUNCTION("""COMPUTED_VALUE"""),"DungVT")</f>
        <v>DungVT</v>
      </c>
    </row>
    <row r="618">
      <c r="A618" s="265" t="str">
        <f>IFERROR(__xludf.DUMMYFUNCTION("""COMPUTED_VALUE"""),"974")</f>
        <v>974</v>
      </c>
      <c r="B618" s="265" t="str">
        <f>IFERROR(__xludf.DUMMYFUNCTION("""COMPUTED_VALUE"""),"Đà Nẵng")</f>
        <v>Đà Nẵng</v>
      </c>
      <c r="C618" s="265" t="str">
        <f>IFERROR(__xludf.DUMMYFUNCTION("""COMPUTED_VALUE"""),"Active")</f>
        <v>Active</v>
      </c>
      <c r="D618" s="265" t="str">
        <f>IFERROR(__xludf.DUMMYFUNCTION("""COMPUTED_VALUE"""),"Sale chưa cung cấp")</f>
        <v>Sale chưa cung cấp</v>
      </c>
      <c r="E618" s="265" t="str">
        <f>IFERROR(__xludf.DUMMYFUNCTION("""COMPUTED_VALUE"""),"Không phân công")</f>
        <v>Không phân công</v>
      </c>
      <c r="F618" s="265" t="str">
        <f>IFERROR(__xludf.DUMMYFUNCTION("""COMPUTED_VALUE"""),"Silver")</f>
        <v>Silver</v>
      </c>
      <c r="G618" s="265" t="str">
        <f>IFERROR(__xludf.DUMMYFUNCTION("""COMPUTED_VALUE"""),"Starter")</f>
        <v>Starter</v>
      </c>
      <c r="H618" s="265" t="str">
        <f>IFERROR(__xludf.DUMMYFUNCTION("""COMPUTED_VALUE"""),"Trả sau")</f>
        <v>Trả sau</v>
      </c>
      <c r="I618" s="265" t="str">
        <f>IFERROR(__xludf.DUMMYFUNCTION("""COMPUTED_VALUE"""),"API")</f>
        <v>API</v>
      </c>
      <c r="J618" s="265" t="str">
        <f>IFERROR(__xludf.DUMMYFUNCTION("""COMPUTED_VALUE"""),"DungVT")</f>
        <v>DungVT</v>
      </c>
    </row>
    <row r="619">
      <c r="A619" s="265" t="str">
        <f>IFERROR(__xludf.DUMMYFUNCTION("""COMPUTED_VALUE"""),"975")</f>
        <v>975</v>
      </c>
      <c r="B619" s="265" t="str">
        <f>IFERROR(__xludf.DUMMYFUNCTION("""COMPUTED_VALUE"""),"Hà Nội")</f>
        <v>Hà Nội</v>
      </c>
      <c r="C619" s="265" t="str">
        <f>IFERROR(__xludf.DUMMYFUNCTION("""COMPUTED_VALUE"""),"Active")</f>
        <v>Active</v>
      </c>
      <c r="D619" s="265" t="str">
        <f>IFERROR(__xludf.DUMMYFUNCTION("""COMPUTED_VALUE"""),"Tài chính &amp; Ngân hàng")</f>
        <v>Tài chính &amp; Ngân hàng</v>
      </c>
      <c r="E619" s="265" t="str">
        <f>IFERROR(__xludf.DUMMYFUNCTION("""COMPUTED_VALUE"""),"TúPHN")</f>
        <v>TúPHN</v>
      </c>
      <c r="F619" s="265" t="str">
        <f>IFERROR(__xludf.DUMMYFUNCTION("""COMPUTED_VALUE"""),"Bronze")</f>
        <v>Bronze</v>
      </c>
      <c r="G619" s="265" t="str">
        <f>IFERROR(__xludf.DUMMYFUNCTION("""COMPUTED_VALUE"""),"Starter")</f>
        <v>Starter</v>
      </c>
      <c r="H619" s="265" t="str">
        <f>IFERROR(__xludf.DUMMYFUNCTION("""COMPUTED_VALUE"""),"Trả sau")</f>
        <v>Trả sau</v>
      </c>
      <c r="I619" s="265" t="str">
        <f>IFERROR(__xludf.DUMMYFUNCTION("""COMPUTED_VALUE"""),"API")</f>
        <v>API</v>
      </c>
      <c r="J619" s="265" t="str">
        <f>IFERROR(__xludf.DUMMYFUNCTION("""COMPUTED_VALUE"""),"DungVT")</f>
        <v>DungVT</v>
      </c>
    </row>
    <row r="620">
      <c r="A620" s="265" t="str">
        <f>IFERROR(__xludf.DUMMYFUNCTION("""COMPUTED_VALUE"""),"977")</f>
        <v>977</v>
      </c>
      <c r="B620" s="265" t="str">
        <f>IFERROR(__xludf.DUMMYFUNCTION("""COMPUTED_VALUE"""),"Sài Gòn")</f>
        <v>Sài Gòn</v>
      </c>
      <c r="C620" s="265" t="str">
        <f>IFERROR(__xludf.DUMMYFUNCTION("""COMPUTED_VALUE"""),"Active")</f>
        <v>Active</v>
      </c>
      <c r="D620" s="265" t="str">
        <f>IFERROR(__xludf.DUMMYFUNCTION("""COMPUTED_VALUE"""),"Thực phẩm &amp; Đồ uống")</f>
        <v>Thực phẩm &amp; Đồ uống</v>
      </c>
      <c r="E620" s="265" t="str">
        <f>IFERROR(__xludf.DUMMYFUNCTION("""COMPUTED_VALUE"""),"TrâmNNB")</f>
        <v>TrâmNNB</v>
      </c>
      <c r="F620" s="265" t="str">
        <f>IFERROR(__xludf.DUMMYFUNCTION("""COMPUTED_VALUE"""),"Sale chưa cung cấp")</f>
        <v>Sale chưa cung cấp</v>
      </c>
      <c r="G620" s="265" t="str">
        <f>IFERROR(__xludf.DUMMYFUNCTION("""COMPUTED_VALUE"""),"Starter")</f>
        <v>Starter</v>
      </c>
      <c r="H620" s="265" t="str">
        <f>IFERROR(__xludf.DUMMYFUNCTION("""COMPUTED_VALUE"""),"Trả sau")</f>
        <v>Trả sau</v>
      </c>
      <c r="I620" s="265" t="str">
        <f>IFERROR(__xludf.DUMMYFUNCTION("""COMPUTED_VALUE"""),"Portal")</f>
        <v>Portal</v>
      </c>
      <c r="J620" s="265" t="str">
        <f>IFERROR(__xludf.DUMMYFUNCTION("""COMPUTED_VALUE"""),"LinhNTT1")</f>
        <v>LinhNTT1</v>
      </c>
    </row>
    <row r="621">
      <c r="A621" s="265" t="str">
        <f>IFERROR(__xludf.DUMMYFUNCTION("""COMPUTED_VALUE"""),"978")</f>
        <v>978</v>
      </c>
      <c r="B621" s="265" t="str">
        <f>IFERROR(__xludf.DUMMYFUNCTION("""COMPUTED_VALUE"""),"Hà Nội")</f>
        <v>Hà Nội</v>
      </c>
      <c r="C621" s="265" t="str">
        <f>IFERROR(__xludf.DUMMYFUNCTION("""COMPUTED_VALUE"""),"Active")</f>
        <v>Active</v>
      </c>
      <c r="D621" s="265" t="str">
        <f>IFERROR(__xludf.DUMMYFUNCTION("""COMPUTED_VALUE"""),"Tài chính &amp; Ngân hàng")</f>
        <v>Tài chính &amp; Ngân hàng</v>
      </c>
      <c r="E621" s="265" t="str">
        <f>IFERROR(__xludf.DUMMYFUNCTION("""COMPUTED_VALUE"""),"TùngLD")</f>
        <v>TùngLD</v>
      </c>
      <c r="F621" s="265" t="str">
        <f>IFERROR(__xludf.DUMMYFUNCTION("""COMPUTED_VALUE"""),"Diamond")</f>
        <v>Diamond</v>
      </c>
      <c r="G621" s="265" t="str">
        <f>IFERROR(__xludf.DUMMYFUNCTION("""COMPUTED_VALUE"""),"Standard")</f>
        <v>Standard</v>
      </c>
      <c r="H621" s="265" t="str">
        <f>IFERROR(__xludf.DUMMYFUNCTION("""COMPUTED_VALUE"""),"Trả sau")</f>
        <v>Trả sau</v>
      </c>
      <c r="I621" s="265" t="str">
        <f>IFERROR(__xludf.DUMMYFUNCTION("""COMPUTED_VALUE"""),"API")</f>
        <v>API</v>
      </c>
      <c r="J621" s="265" t="str">
        <f>IFERROR(__xludf.DUMMYFUNCTION("""COMPUTED_VALUE"""),"DungVT")</f>
        <v>DungVT</v>
      </c>
    </row>
    <row r="622">
      <c r="A622" s="265" t="str">
        <f>IFERROR(__xludf.DUMMYFUNCTION("""COMPUTED_VALUE"""),"978")</f>
        <v>978</v>
      </c>
      <c r="B622" s="265" t="str">
        <f>IFERROR(__xludf.DUMMYFUNCTION("""COMPUTED_VALUE"""),"Hà Nội")</f>
        <v>Hà Nội</v>
      </c>
      <c r="C622" s="265" t="str">
        <f>IFERROR(__xludf.DUMMYFUNCTION("""COMPUTED_VALUE"""),"Active")</f>
        <v>Active</v>
      </c>
      <c r="D622" s="265" t="str">
        <f>IFERROR(__xludf.DUMMYFUNCTION("""COMPUTED_VALUE"""),"Tài chính &amp; Ngân hàng")</f>
        <v>Tài chính &amp; Ngân hàng</v>
      </c>
      <c r="E622" s="265" t="str">
        <f>IFERROR(__xludf.DUMMYFUNCTION("""COMPUTED_VALUE"""),"TùngLD")</f>
        <v>TùngLD</v>
      </c>
      <c r="F622" s="265" t="str">
        <f>IFERROR(__xludf.DUMMYFUNCTION("""COMPUTED_VALUE"""),"Diamond")</f>
        <v>Diamond</v>
      </c>
      <c r="G622" s="265" t="str">
        <f>IFERROR(__xludf.DUMMYFUNCTION("""COMPUTED_VALUE"""),"Standard")</f>
        <v>Standard</v>
      </c>
      <c r="H622" s="265" t="str">
        <f>IFERROR(__xludf.DUMMYFUNCTION("""COMPUTED_VALUE"""),"Trả sau")</f>
        <v>Trả sau</v>
      </c>
      <c r="I622" s="265" t="str">
        <f>IFERROR(__xludf.DUMMYFUNCTION("""COMPUTED_VALUE"""),"API")</f>
        <v>API</v>
      </c>
      <c r="J622" s="265" t="str">
        <f>IFERROR(__xludf.DUMMYFUNCTION("""COMPUTED_VALUE"""),"YếnĐH")</f>
        <v>YếnĐH</v>
      </c>
    </row>
    <row r="623">
      <c r="A623" s="265" t="str">
        <f>IFERROR(__xludf.DUMMYFUNCTION("""COMPUTED_VALUE"""),"979")</f>
        <v>979</v>
      </c>
      <c r="B623" s="265" t="str">
        <f>IFERROR(__xludf.DUMMYFUNCTION("""COMPUTED_VALUE"""),"Sài Gòn")</f>
        <v>Sài Gòn</v>
      </c>
      <c r="C623" s="265" t="str">
        <f>IFERROR(__xludf.DUMMYFUNCTION("""COMPUTED_VALUE"""),"Active")</f>
        <v>Active</v>
      </c>
      <c r="D623" s="265" t="str">
        <f>IFERROR(__xludf.DUMMYFUNCTION("""COMPUTED_VALUE"""),"Thực phẩm &amp; Đồ uống")</f>
        <v>Thực phẩm &amp; Đồ uống</v>
      </c>
      <c r="E623" s="265" t="str">
        <f>IFERROR(__xludf.DUMMYFUNCTION("""COMPUTED_VALUE"""),"TrâmNNB")</f>
        <v>TrâmNNB</v>
      </c>
      <c r="F623" s="265" t="str">
        <f>IFERROR(__xludf.DUMMYFUNCTION("""COMPUTED_VALUE"""),"Diamond")</f>
        <v>Diamond</v>
      </c>
      <c r="G623" s="265" t="str">
        <f>IFERROR(__xludf.DUMMYFUNCTION("""COMPUTED_VALUE"""),"Enterprise")</f>
        <v>Enterprise</v>
      </c>
      <c r="H623" s="265" t="str">
        <f>IFERROR(__xludf.DUMMYFUNCTION("""COMPUTED_VALUE"""),"Trả trước")</f>
        <v>Trả trước</v>
      </c>
      <c r="I623" s="265" t="str">
        <f>IFERROR(__xludf.DUMMYFUNCTION("""COMPUTED_VALUE"""),"Portal")</f>
        <v>Portal</v>
      </c>
      <c r="J623" s="265" t="str">
        <f>IFERROR(__xludf.DUMMYFUNCTION("""COMPUTED_VALUE"""),"LinhNTT1")</f>
        <v>LinhNTT1</v>
      </c>
    </row>
    <row r="624">
      <c r="A624" s="265" t="str">
        <f>IFERROR(__xludf.DUMMYFUNCTION("""COMPUTED_VALUE"""),"959")</f>
        <v>959</v>
      </c>
      <c r="B624" s="265" t="str">
        <f>IFERROR(__xludf.DUMMYFUNCTION("""COMPUTED_VALUE"""),"Sài Gòn")</f>
        <v>Sài Gòn</v>
      </c>
      <c r="C624" s="265" t="str">
        <f>IFERROR(__xludf.DUMMYFUNCTION("""COMPUTED_VALUE"""),"Active")</f>
        <v>Active</v>
      </c>
      <c r="D624" s="265" t="str">
        <f>IFERROR(__xludf.DUMMYFUNCTION("""COMPUTED_VALUE"""),"Dịch vụ khác")</f>
        <v>Dịch vụ khác</v>
      </c>
      <c r="E624" s="265" t="str">
        <f>IFERROR(__xludf.DUMMYFUNCTION("""COMPUTED_VALUE"""),"TúPHN")</f>
        <v>TúPHN</v>
      </c>
      <c r="F624" s="265" t="str">
        <f>IFERROR(__xludf.DUMMYFUNCTION("""COMPUTED_VALUE"""),"Silver")</f>
        <v>Silver</v>
      </c>
      <c r="G624" s="265" t="str">
        <f>IFERROR(__xludf.DUMMYFUNCTION("""COMPUTED_VALUE"""),"Starter")</f>
        <v>Starter</v>
      </c>
      <c r="H624" s="265" t="str">
        <f>IFERROR(__xludf.DUMMYFUNCTION("""COMPUTED_VALUE"""),"Trả sau")</f>
        <v>Trả sau</v>
      </c>
      <c r="I624" s="265" t="str">
        <f>IFERROR(__xludf.DUMMYFUNCTION("""COMPUTED_VALUE"""),"API")</f>
        <v>API</v>
      </c>
      <c r="J624" s="265" t="str">
        <f>IFERROR(__xludf.DUMMYFUNCTION("""COMPUTED_VALUE"""),"DungPL")</f>
        <v>DungPL</v>
      </c>
    </row>
    <row r="625">
      <c r="A625" s="265" t="str">
        <f>IFERROR(__xludf.DUMMYFUNCTION("""COMPUTED_VALUE"""),"968")</f>
        <v>968</v>
      </c>
      <c r="B625" s="265" t="str">
        <f>IFERROR(__xludf.DUMMYFUNCTION("""COMPUTED_VALUE"""),"Sài Gòn")</f>
        <v>Sài Gòn</v>
      </c>
      <c r="C625" s="265" t="str">
        <f>IFERROR(__xludf.DUMMYFUNCTION("""COMPUTED_VALUE"""),"Active")</f>
        <v>Active</v>
      </c>
      <c r="D625" s="265" t="str">
        <f>IFERROR(__xludf.DUMMYFUNCTION("""COMPUTED_VALUE"""),"Dịch vụ khác")</f>
        <v>Dịch vụ khác</v>
      </c>
      <c r="E625" s="265" t="str">
        <f>IFERROR(__xludf.DUMMYFUNCTION("""COMPUTED_VALUE"""),"Không phân công")</f>
        <v>Không phân công</v>
      </c>
      <c r="F625" s="265" t="str">
        <f>IFERROR(__xludf.DUMMYFUNCTION("""COMPUTED_VALUE"""),"Gold")</f>
        <v>Gold</v>
      </c>
      <c r="G625" s="265" t="str">
        <f>IFERROR(__xludf.DUMMYFUNCTION("""COMPUTED_VALUE"""),"Starter")</f>
        <v>Starter</v>
      </c>
      <c r="H625" s="265" t="str">
        <f>IFERROR(__xludf.DUMMYFUNCTION("""COMPUTED_VALUE"""),"Trial")</f>
        <v>Trial</v>
      </c>
      <c r="I625" s="265" t="str">
        <f>IFERROR(__xludf.DUMMYFUNCTION("""COMPUTED_VALUE"""),"API")</f>
        <v>API</v>
      </c>
      <c r="J625" s="265" t="str">
        <f>IFERROR(__xludf.DUMMYFUNCTION("""COMPUTED_VALUE"""),"YếnĐH")</f>
        <v>YếnĐH</v>
      </c>
    </row>
    <row r="626">
      <c r="A626" s="265" t="str">
        <f>IFERROR(__xludf.DUMMYFUNCTION("""COMPUTED_VALUE"""),"980")</f>
        <v>980</v>
      </c>
      <c r="B626" s="265" t="str">
        <f>IFERROR(__xludf.DUMMYFUNCTION("""COMPUTED_VALUE"""),"Sài Gòn")</f>
        <v>Sài Gòn</v>
      </c>
      <c r="C626" s="265" t="str">
        <f>IFERROR(__xludf.DUMMYFUNCTION("""COMPUTED_VALUE"""),"Locked")</f>
        <v>Locked</v>
      </c>
      <c r="D626" s="265" t="str">
        <f>IFERROR(__xludf.DUMMYFUNCTION("""COMPUTED_VALUE"""),"Dịch vụ khác")</f>
        <v>Dịch vụ khác</v>
      </c>
      <c r="E626" s="265" t="str">
        <f>IFERROR(__xludf.DUMMYFUNCTION("""COMPUTED_VALUE"""),"Không phân công")</f>
        <v>Không phân công</v>
      </c>
      <c r="F626" s="265" t="str">
        <f>IFERROR(__xludf.DUMMYFUNCTION("""COMPUTED_VALUE"""),"Diamond")</f>
        <v>Diamond</v>
      </c>
      <c r="G626" s="265" t="str">
        <f>IFERROR(__xludf.DUMMYFUNCTION("""COMPUTED_VALUE"""),"Starter")</f>
        <v>Starter</v>
      </c>
      <c r="H626" s="265" t="str">
        <f>IFERROR(__xludf.DUMMYFUNCTION("""COMPUTED_VALUE"""),"Trial")</f>
        <v>Trial</v>
      </c>
      <c r="I626" s="265" t="str">
        <f>IFERROR(__xludf.DUMMYFUNCTION("""COMPUTED_VALUE"""),"API")</f>
        <v>API</v>
      </c>
      <c r="J626" s="265" t="str">
        <f>IFERROR(__xludf.DUMMYFUNCTION("""COMPUTED_VALUE"""),"DungVT")</f>
        <v>DungVT</v>
      </c>
    </row>
    <row r="627">
      <c r="A627" s="265" t="str">
        <f>IFERROR(__xludf.DUMMYFUNCTION("""COMPUTED_VALUE"""),"981")</f>
        <v>981</v>
      </c>
      <c r="B627" s="265" t="str">
        <f>IFERROR(__xludf.DUMMYFUNCTION("""COMPUTED_VALUE"""),"Sài Gòn")</f>
        <v>Sài Gòn</v>
      </c>
      <c r="C627" s="265" t="str">
        <f>IFERROR(__xludf.DUMMYFUNCTION("""COMPUTED_VALUE"""),"Active")</f>
        <v>Active</v>
      </c>
      <c r="D627" s="265" t="str">
        <f>IFERROR(__xludf.DUMMYFUNCTION("""COMPUTED_VALUE"""),"Truyền thông &amp; Giải trí")</f>
        <v>Truyền thông &amp; Giải trí</v>
      </c>
      <c r="E627" s="265" t="str">
        <f>IFERROR(__xludf.DUMMYFUNCTION("""COMPUTED_VALUE"""),"Không phân công")</f>
        <v>Không phân công</v>
      </c>
      <c r="F627" s="265" t="str">
        <f>IFERROR(__xludf.DUMMYFUNCTION("""COMPUTED_VALUE"""),"Diamond")</f>
        <v>Diamond</v>
      </c>
      <c r="G627" s="265" t="str">
        <f>IFERROR(__xludf.DUMMYFUNCTION("""COMPUTED_VALUE"""),"Starter")</f>
        <v>Starter</v>
      </c>
      <c r="H627" s="265" t="str">
        <f>IFERROR(__xludf.DUMMYFUNCTION("""COMPUTED_VALUE"""),"Trả trước")</f>
        <v>Trả trước</v>
      </c>
      <c r="I627" s="265" t="str">
        <f>IFERROR(__xludf.DUMMYFUNCTION("""COMPUTED_VALUE"""),"API")</f>
        <v>API</v>
      </c>
      <c r="J627" s="265" t="str">
        <f>IFERROR(__xludf.DUMMYFUNCTION("""COMPUTED_VALUE"""),"DungVT")</f>
        <v>DungVT</v>
      </c>
    </row>
    <row r="628">
      <c r="A628" s="265" t="str">
        <f>IFERROR(__xludf.DUMMYFUNCTION("""COMPUTED_VALUE"""),"982")</f>
        <v>982</v>
      </c>
      <c r="B628" s="265" t="str">
        <f>IFERROR(__xludf.DUMMYFUNCTION("""COMPUTED_VALUE"""),"Hà Nội")</f>
        <v>Hà Nội</v>
      </c>
      <c r="C628" s="265" t="str">
        <f>IFERROR(__xludf.DUMMYFUNCTION("""COMPUTED_VALUE"""),"Locked")</f>
        <v>Locked</v>
      </c>
      <c r="D628" s="265" t="str">
        <f>IFERROR(__xludf.DUMMYFUNCTION("""COMPUTED_VALUE"""),"Vận tải &amp; logistics")</f>
        <v>Vận tải &amp; logistics</v>
      </c>
      <c r="E628" s="265" t="str">
        <f>IFERROR(__xludf.DUMMYFUNCTION("""COMPUTED_VALUE"""),"Không phân công")</f>
        <v>Không phân công</v>
      </c>
      <c r="F628" s="265" t="str">
        <f>IFERROR(__xludf.DUMMYFUNCTION("""COMPUTED_VALUE"""),"Sale chưa cung cấp")</f>
        <v>Sale chưa cung cấp</v>
      </c>
      <c r="G628" s="265" t="str">
        <f>IFERROR(__xludf.DUMMYFUNCTION("""COMPUTED_VALUE"""),"Starter")</f>
        <v>Starter</v>
      </c>
      <c r="H628" s="265" t="str">
        <f>IFERROR(__xludf.DUMMYFUNCTION("""COMPUTED_VALUE"""),"Trả sau")</f>
        <v>Trả sau</v>
      </c>
      <c r="I628" s="265" t="str">
        <f>IFERROR(__xludf.DUMMYFUNCTION("""COMPUTED_VALUE"""),"API")</f>
        <v>API</v>
      </c>
      <c r="J628" s="265" t="str">
        <f>IFERROR(__xludf.DUMMYFUNCTION("""COMPUTED_VALUE"""),"LinhNTT1")</f>
        <v>LinhNTT1</v>
      </c>
    </row>
    <row r="629">
      <c r="A629" s="265" t="str">
        <f>IFERROR(__xludf.DUMMYFUNCTION("""COMPUTED_VALUE"""),"983")</f>
        <v>983</v>
      </c>
      <c r="B629" s="265" t="str">
        <f>IFERROR(__xludf.DUMMYFUNCTION("""COMPUTED_VALUE"""),"Sài Gòn")</f>
        <v>Sài Gòn</v>
      </c>
      <c r="C629" s="265" t="str">
        <f>IFERROR(__xludf.DUMMYFUNCTION("""COMPUTED_VALUE"""),"Locked")</f>
        <v>Locked</v>
      </c>
      <c r="D629" s="265" t="str">
        <f>IFERROR(__xludf.DUMMYFUNCTION("""COMPUTED_VALUE"""),"Nhà hàng &amp; Quán")</f>
        <v>Nhà hàng &amp; Quán</v>
      </c>
      <c r="E629" s="265" t="str">
        <f>IFERROR(__xludf.DUMMYFUNCTION("""COMPUTED_VALUE"""),"Không phân công")</f>
        <v>Không phân công</v>
      </c>
      <c r="F629" s="265" t="str">
        <f>IFERROR(__xludf.DUMMYFUNCTION("""COMPUTED_VALUE"""),"Sale chưa cung cấp")</f>
        <v>Sale chưa cung cấp</v>
      </c>
      <c r="G629" s="265" t="str">
        <f>IFERROR(__xludf.DUMMYFUNCTION("""COMPUTED_VALUE"""),"Starter")</f>
        <v>Starter</v>
      </c>
      <c r="H629" s="265" t="str">
        <f>IFERROR(__xludf.DUMMYFUNCTION("""COMPUTED_VALUE"""),"Trả sau")</f>
        <v>Trả sau</v>
      </c>
      <c r="I629" s="265" t="str">
        <f>IFERROR(__xludf.DUMMYFUNCTION("""COMPUTED_VALUE"""),"API")</f>
        <v>API</v>
      </c>
      <c r="J629" s="265" t="str">
        <f>IFERROR(__xludf.DUMMYFUNCTION("""COMPUTED_VALUE"""),"LinhNTT1")</f>
        <v>LinhNTT1</v>
      </c>
    </row>
    <row r="630">
      <c r="A630" s="265" t="str">
        <f>IFERROR(__xludf.DUMMYFUNCTION("""COMPUTED_VALUE"""),"984")</f>
        <v>984</v>
      </c>
      <c r="B630" s="265" t="str">
        <f>IFERROR(__xludf.DUMMYFUNCTION("""COMPUTED_VALUE"""),"Sài Gòn")</f>
        <v>Sài Gòn</v>
      </c>
      <c r="C630" s="265" t="str">
        <f>IFERROR(__xludf.DUMMYFUNCTION("""COMPUTED_VALUE"""),"Locked")</f>
        <v>Locked</v>
      </c>
      <c r="D630" s="265" t="str">
        <f>IFERROR(__xludf.DUMMYFUNCTION("""COMPUTED_VALUE"""),"Bất động sản")</f>
        <v>Bất động sản</v>
      </c>
      <c r="E630" s="265" t="str">
        <f>IFERROR(__xludf.DUMMYFUNCTION("""COMPUTED_VALUE"""),"Không phân công")</f>
        <v>Không phân công</v>
      </c>
      <c r="F630" s="265" t="str">
        <f>IFERROR(__xludf.DUMMYFUNCTION("""COMPUTED_VALUE"""),"Sale chưa cung cấp")</f>
        <v>Sale chưa cung cấp</v>
      </c>
      <c r="G630" s="265" t="str">
        <f>IFERROR(__xludf.DUMMYFUNCTION("""COMPUTED_VALUE"""),"Starter")</f>
        <v>Starter</v>
      </c>
      <c r="H630" s="265" t="str">
        <f>IFERROR(__xludf.DUMMYFUNCTION("""COMPUTED_VALUE"""),"Trả sau")</f>
        <v>Trả sau</v>
      </c>
      <c r="I630" s="265" t="str">
        <f>IFERROR(__xludf.DUMMYFUNCTION("""COMPUTED_VALUE"""),"API")</f>
        <v>API</v>
      </c>
      <c r="J630" s="265" t="str">
        <f>IFERROR(__xludf.DUMMYFUNCTION("""COMPUTED_VALUE"""),"LinhNTT1")</f>
        <v>LinhNTT1</v>
      </c>
    </row>
    <row r="631">
      <c r="A631" s="265" t="str">
        <f>IFERROR(__xludf.DUMMYFUNCTION("""COMPUTED_VALUE"""),"985")</f>
        <v>985</v>
      </c>
      <c r="B631" s="265" t="str">
        <f>IFERROR(__xludf.DUMMYFUNCTION("""COMPUTED_VALUE"""),"Hà Nội")</f>
        <v>Hà Nội</v>
      </c>
      <c r="C631" s="265" t="str">
        <f>IFERROR(__xludf.DUMMYFUNCTION("""COMPUTED_VALUE"""),"Locked")</f>
        <v>Locked</v>
      </c>
      <c r="D631" s="265" t="str">
        <f>IFERROR(__xludf.DUMMYFUNCTION("""COMPUTED_VALUE"""),"Sale chưa cung cấp")</f>
        <v>Sale chưa cung cấp</v>
      </c>
      <c r="E631" s="265" t="str">
        <f>IFERROR(__xludf.DUMMYFUNCTION("""COMPUTED_VALUE"""),"Không phân công")</f>
        <v>Không phân công</v>
      </c>
      <c r="F631" s="265" t="str">
        <f>IFERROR(__xludf.DUMMYFUNCTION("""COMPUTED_VALUE"""),"Sale chưa cung cấp")</f>
        <v>Sale chưa cung cấp</v>
      </c>
      <c r="G631" s="265" t="str">
        <f>IFERROR(__xludf.DUMMYFUNCTION("""COMPUTED_VALUE"""),"Starter")</f>
        <v>Starter</v>
      </c>
      <c r="H631" s="265" t="str">
        <f>IFERROR(__xludf.DUMMYFUNCTION("""COMPUTED_VALUE"""),"Trả sau")</f>
        <v>Trả sau</v>
      </c>
      <c r="I631" s="265" t="str">
        <f>IFERROR(__xludf.DUMMYFUNCTION("""COMPUTED_VALUE"""),"API")</f>
        <v>API</v>
      </c>
      <c r="J631" s="265" t="str">
        <f>IFERROR(__xludf.DUMMYFUNCTION("""COMPUTED_VALUE"""),"LinhNTT1")</f>
        <v>LinhNTT1</v>
      </c>
    </row>
    <row r="632">
      <c r="A632" s="265" t="str">
        <f>IFERROR(__xludf.DUMMYFUNCTION("""COMPUTED_VALUE"""),"986")</f>
        <v>986</v>
      </c>
      <c r="B632" s="265" t="str">
        <f>IFERROR(__xludf.DUMMYFUNCTION("""COMPUTED_VALUE"""),"Hà Nội")</f>
        <v>Hà Nội</v>
      </c>
      <c r="C632" s="265" t="str">
        <f>IFERROR(__xludf.DUMMYFUNCTION("""COMPUTED_VALUE"""),"Locked")</f>
        <v>Locked</v>
      </c>
      <c r="D632" s="265" t="str">
        <f>IFERROR(__xludf.DUMMYFUNCTION("""COMPUTED_VALUE"""),"Ô tô &amp; Xe máy")</f>
        <v>Ô tô &amp; Xe máy</v>
      </c>
      <c r="E632" s="265" t="str">
        <f>IFERROR(__xludf.DUMMYFUNCTION("""COMPUTED_VALUE"""),"Không phân công")</f>
        <v>Không phân công</v>
      </c>
      <c r="F632" s="265" t="str">
        <f>IFERROR(__xludf.DUMMYFUNCTION("""COMPUTED_VALUE"""),"Sale chưa cung cấp")</f>
        <v>Sale chưa cung cấp</v>
      </c>
      <c r="G632" s="265" t="str">
        <f>IFERROR(__xludf.DUMMYFUNCTION("""COMPUTED_VALUE"""),"Starter")</f>
        <v>Starter</v>
      </c>
      <c r="H632" s="265" t="str">
        <f>IFERROR(__xludf.DUMMYFUNCTION("""COMPUTED_VALUE"""),"Trả sau")</f>
        <v>Trả sau</v>
      </c>
      <c r="I632" s="265" t="str">
        <f>IFERROR(__xludf.DUMMYFUNCTION("""COMPUTED_VALUE"""),"API")</f>
        <v>API</v>
      </c>
      <c r="J632" s="265" t="str">
        <f>IFERROR(__xludf.DUMMYFUNCTION("""COMPUTED_VALUE"""),"LinhNTT1")</f>
        <v>LinhNTT1</v>
      </c>
    </row>
    <row r="633">
      <c r="A633" s="265" t="str">
        <f>IFERROR(__xludf.DUMMYFUNCTION("""COMPUTED_VALUE"""),"987")</f>
        <v>987</v>
      </c>
      <c r="B633" s="265" t="str">
        <f>IFERROR(__xludf.DUMMYFUNCTION("""COMPUTED_VALUE"""),"Hà Nội")</f>
        <v>Hà Nội</v>
      </c>
      <c r="C633" s="265" t="str">
        <f>IFERROR(__xludf.DUMMYFUNCTION("""COMPUTED_VALUE"""),"Locked")</f>
        <v>Locked</v>
      </c>
      <c r="D633" s="265" t="str">
        <f>IFERROR(__xludf.DUMMYFUNCTION("""COMPUTED_VALUE"""),"Sale chưa cung cấp")</f>
        <v>Sale chưa cung cấp</v>
      </c>
      <c r="E633" s="265" t="str">
        <f>IFERROR(__xludf.DUMMYFUNCTION("""COMPUTED_VALUE"""),"Không phân công")</f>
        <v>Không phân công</v>
      </c>
      <c r="F633" s="265" t="str">
        <f>IFERROR(__xludf.DUMMYFUNCTION("""COMPUTED_VALUE"""),"Sale chưa cung cấp")</f>
        <v>Sale chưa cung cấp</v>
      </c>
      <c r="G633" s="265" t="str">
        <f>IFERROR(__xludf.DUMMYFUNCTION("""COMPUTED_VALUE"""),"Starter")</f>
        <v>Starter</v>
      </c>
      <c r="H633" s="265" t="str">
        <f>IFERROR(__xludf.DUMMYFUNCTION("""COMPUTED_VALUE"""),"Trả sau")</f>
        <v>Trả sau</v>
      </c>
      <c r="I633" s="265" t="str">
        <f>IFERROR(__xludf.DUMMYFUNCTION("""COMPUTED_VALUE"""),"API")</f>
        <v>API</v>
      </c>
      <c r="J633" s="265" t="str">
        <f>IFERROR(__xludf.DUMMYFUNCTION("""COMPUTED_VALUE"""),"LinhNTT1")</f>
        <v>LinhNTT1</v>
      </c>
    </row>
    <row r="634">
      <c r="A634" s="265" t="str">
        <f>IFERROR(__xludf.DUMMYFUNCTION("""COMPUTED_VALUE"""),"989")</f>
        <v>989</v>
      </c>
      <c r="B634" s="265" t="str">
        <f>IFERROR(__xludf.DUMMYFUNCTION("""COMPUTED_VALUE"""),"Hà Nội")</f>
        <v>Hà Nội</v>
      </c>
      <c r="C634" s="265" t="str">
        <f>IFERROR(__xludf.DUMMYFUNCTION("""COMPUTED_VALUE"""),"Locked")</f>
        <v>Locked</v>
      </c>
      <c r="D634" s="265" t="str">
        <f>IFERROR(__xludf.DUMMYFUNCTION("""COMPUTED_VALUE"""),"Viễn thông")</f>
        <v>Viễn thông</v>
      </c>
      <c r="E634" s="265" t="str">
        <f>IFERROR(__xludf.DUMMYFUNCTION("""COMPUTED_VALUE"""),"Không phân công")</f>
        <v>Không phân công</v>
      </c>
      <c r="F634" s="265" t="str">
        <f>IFERROR(__xludf.DUMMYFUNCTION("""COMPUTED_VALUE"""),"Sale chưa cung cấp")</f>
        <v>Sale chưa cung cấp</v>
      </c>
      <c r="G634" s="265" t="str">
        <f>IFERROR(__xludf.DUMMYFUNCTION("""COMPUTED_VALUE"""),"Starter")</f>
        <v>Starter</v>
      </c>
      <c r="H634" s="265" t="str">
        <f>IFERROR(__xludf.DUMMYFUNCTION("""COMPUTED_VALUE"""),"Trả sau")</f>
        <v>Trả sau</v>
      </c>
      <c r="I634" s="265" t="str">
        <f>IFERROR(__xludf.DUMMYFUNCTION("""COMPUTED_VALUE"""),"API")</f>
        <v>API</v>
      </c>
      <c r="J634" s="265" t="str">
        <f>IFERROR(__xludf.DUMMYFUNCTION("""COMPUTED_VALUE"""),"LinhNTT1")</f>
        <v>LinhNTT1</v>
      </c>
    </row>
    <row r="635">
      <c r="A635" s="265" t="str">
        <f>IFERROR(__xludf.DUMMYFUNCTION("""COMPUTED_VALUE"""),"988")</f>
        <v>988</v>
      </c>
      <c r="B635" s="265" t="str">
        <f>IFERROR(__xludf.DUMMYFUNCTION("""COMPUTED_VALUE"""),"Hà Nội")</f>
        <v>Hà Nội</v>
      </c>
      <c r="C635" s="265" t="str">
        <f>IFERROR(__xludf.DUMMYFUNCTION("""COMPUTED_VALUE"""),"Active")</f>
        <v>Active</v>
      </c>
      <c r="D635" s="265" t="str">
        <f>IFERROR(__xludf.DUMMYFUNCTION("""COMPUTED_VALUE"""),"Viễn thông")</f>
        <v>Viễn thông</v>
      </c>
      <c r="E635" s="265" t="str">
        <f>IFERROR(__xludf.DUMMYFUNCTION("""COMPUTED_VALUE"""),"Không phân công")</f>
        <v>Không phân công</v>
      </c>
      <c r="F635" s="265" t="str">
        <f>IFERROR(__xludf.DUMMYFUNCTION("""COMPUTED_VALUE"""),"Sale chưa cung cấp")</f>
        <v>Sale chưa cung cấp</v>
      </c>
      <c r="G635" s="265" t="str">
        <f>IFERROR(__xludf.DUMMYFUNCTION("""COMPUTED_VALUE"""),"Starter")</f>
        <v>Starter</v>
      </c>
      <c r="H635" s="265" t="str">
        <f>IFERROR(__xludf.DUMMYFUNCTION("""COMPUTED_VALUE"""),"Trả sau")</f>
        <v>Trả sau</v>
      </c>
      <c r="I635" s="265" t="str">
        <f>IFERROR(__xludf.DUMMYFUNCTION("""COMPUTED_VALUE"""),"API")</f>
        <v>API</v>
      </c>
      <c r="J635" s="265" t="str">
        <f>IFERROR(__xludf.DUMMYFUNCTION("""COMPUTED_VALUE"""),"DungPL")</f>
        <v>DungPL</v>
      </c>
    </row>
    <row r="636">
      <c r="A636" s="265" t="str">
        <f>IFERROR(__xludf.DUMMYFUNCTION("""COMPUTED_VALUE"""),"990")</f>
        <v>990</v>
      </c>
      <c r="B636" s="265" t="str">
        <f>IFERROR(__xludf.DUMMYFUNCTION("""COMPUTED_VALUE"""),"Sài Gòn")</f>
        <v>Sài Gòn</v>
      </c>
      <c r="C636" s="265" t="str">
        <f>IFERROR(__xludf.DUMMYFUNCTION("""COMPUTED_VALUE"""),"Locked")</f>
        <v>Locked</v>
      </c>
      <c r="D636" s="265" t="str">
        <f>IFERROR(__xludf.DUMMYFUNCTION("""COMPUTED_VALUE"""),"Sale chưa cung cấp")</f>
        <v>Sale chưa cung cấp</v>
      </c>
      <c r="E636" s="265" t="str">
        <f>IFERROR(__xludf.DUMMYFUNCTION("""COMPUTED_VALUE"""),"Không phân công")</f>
        <v>Không phân công</v>
      </c>
      <c r="F636" s="265" t="str">
        <f>IFERROR(__xludf.DUMMYFUNCTION("""COMPUTED_VALUE"""),"Sale chưa cung cấp")</f>
        <v>Sale chưa cung cấp</v>
      </c>
      <c r="G636" s="265" t="str">
        <f>IFERROR(__xludf.DUMMYFUNCTION("""COMPUTED_VALUE"""),"Starter")</f>
        <v>Starter</v>
      </c>
      <c r="H636" s="265" t="str">
        <f>IFERROR(__xludf.DUMMYFUNCTION("""COMPUTED_VALUE"""),"Trả sau")</f>
        <v>Trả sau</v>
      </c>
      <c r="I636" s="265" t="str">
        <f>IFERROR(__xludf.DUMMYFUNCTION("""COMPUTED_VALUE"""),"API")</f>
        <v>API</v>
      </c>
      <c r="J636" s="265" t="str">
        <f>IFERROR(__xludf.DUMMYFUNCTION("""COMPUTED_VALUE"""),"LinhNTT1")</f>
        <v>LinhNTT1</v>
      </c>
    </row>
    <row r="637">
      <c r="A637" s="265" t="str">
        <f>IFERROR(__xludf.DUMMYFUNCTION("""COMPUTED_VALUE"""),"991")</f>
        <v>991</v>
      </c>
      <c r="B637" s="265" t="str">
        <f>IFERROR(__xludf.DUMMYFUNCTION("""COMPUTED_VALUE"""),"Hà Nội")</f>
        <v>Hà Nội</v>
      </c>
      <c r="C637" s="265" t="str">
        <f>IFERROR(__xludf.DUMMYFUNCTION("""COMPUTED_VALUE"""),"Locked")</f>
        <v>Locked</v>
      </c>
      <c r="D637" s="265" t="str">
        <f>IFERROR(__xludf.DUMMYFUNCTION("""COMPUTED_VALUE"""),"Viễn thông")</f>
        <v>Viễn thông</v>
      </c>
      <c r="E637" s="265" t="str">
        <f>IFERROR(__xludf.DUMMYFUNCTION("""COMPUTED_VALUE"""),"Không phân công")</f>
        <v>Không phân công</v>
      </c>
      <c r="F637" s="265" t="str">
        <f>IFERROR(__xludf.DUMMYFUNCTION("""COMPUTED_VALUE"""),"Sale chưa cung cấp")</f>
        <v>Sale chưa cung cấp</v>
      </c>
      <c r="G637" s="265" t="str">
        <f>IFERROR(__xludf.DUMMYFUNCTION("""COMPUTED_VALUE"""),"Starter")</f>
        <v>Starter</v>
      </c>
      <c r="H637" s="265" t="str">
        <f>IFERROR(__xludf.DUMMYFUNCTION("""COMPUTED_VALUE"""),"Trả sau")</f>
        <v>Trả sau</v>
      </c>
      <c r="I637" s="265" t="str">
        <f>IFERROR(__xludf.DUMMYFUNCTION("""COMPUTED_VALUE"""),"API")</f>
        <v>API</v>
      </c>
      <c r="J637" s="265" t="str">
        <f>IFERROR(__xludf.DUMMYFUNCTION("""COMPUTED_VALUE"""),"DungPL")</f>
        <v>DungPL</v>
      </c>
    </row>
    <row r="638">
      <c r="A638" s="265" t="str">
        <f>IFERROR(__xludf.DUMMYFUNCTION("""COMPUTED_VALUE"""),"992")</f>
        <v>992</v>
      </c>
      <c r="B638" s="265" t="str">
        <f>IFERROR(__xludf.DUMMYFUNCTION("""COMPUTED_VALUE"""),"Hà Nội")</f>
        <v>Hà Nội</v>
      </c>
      <c r="C638" s="265" t="str">
        <f>IFERROR(__xludf.DUMMYFUNCTION("""COMPUTED_VALUE"""),"Locked")</f>
        <v>Locked</v>
      </c>
      <c r="D638" s="265" t="str">
        <f>IFERROR(__xludf.DUMMYFUNCTION("""COMPUTED_VALUE"""),"Sale chưa cung cấp")</f>
        <v>Sale chưa cung cấp</v>
      </c>
      <c r="E638" s="265" t="str">
        <f>IFERROR(__xludf.DUMMYFUNCTION("""COMPUTED_VALUE"""),"Không phân công")</f>
        <v>Không phân công</v>
      </c>
      <c r="F638" s="265" t="str">
        <f>IFERROR(__xludf.DUMMYFUNCTION("""COMPUTED_VALUE"""),"Sale chưa cung cấp")</f>
        <v>Sale chưa cung cấp</v>
      </c>
      <c r="G638" s="265" t="str">
        <f>IFERROR(__xludf.DUMMYFUNCTION("""COMPUTED_VALUE"""),"Starter")</f>
        <v>Starter</v>
      </c>
      <c r="H638" s="265" t="str">
        <f>IFERROR(__xludf.DUMMYFUNCTION("""COMPUTED_VALUE"""),"Trả sau")</f>
        <v>Trả sau</v>
      </c>
      <c r="I638" s="265" t="str">
        <f>IFERROR(__xludf.DUMMYFUNCTION("""COMPUTED_VALUE"""),"API")</f>
        <v>API</v>
      </c>
      <c r="J638" s="265" t="str">
        <f>IFERROR(__xludf.DUMMYFUNCTION("""COMPUTED_VALUE"""),"LinhNTT1")</f>
        <v>LinhNTT1</v>
      </c>
    </row>
    <row r="639">
      <c r="A639" s="265" t="str">
        <f>IFERROR(__xludf.DUMMYFUNCTION("""COMPUTED_VALUE"""),"993")</f>
        <v>993</v>
      </c>
      <c r="B639" s="265" t="str">
        <f>IFERROR(__xludf.DUMMYFUNCTION("""COMPUTED_VALUE"""),"Hà Nội")</f>
        <v>Hà Nội</v>
      </c>
      <c r="C639" s="265" t="str">
        <f>IFERROR(__xludf.DUMMYFUNCTION("""COMPUTED_VALUE"""),"Locked")</f>
        <v>Locked</v>
      </c>
      <c r="D639" s="265" t="str">
        <f>IFERROR(__xludf.DUMMYFUNCTION("""COMPUTED_VALUE"""),"Viễn thông")</f>
        <v>Viễn thông</v>
      </c>
      <c r="E639" s="265" t="str">
        <f>IFERROR(__xludf.DUMMYFUNCTION("""COMPUTED_VALUE"""),"Không phân công")</f>
        <v>Không phân công</v>
      </c>
      <c r="F639" s="265" t="str">
        <f>IFERROR(__xludf.DUMMYFUNCTION("""COMPUTED_VALUE"""),"Sale chưa cung cấp")</f>
        <v>Sale chưa cung cấp</v>
      </c>
      <c r="G639" s="265" t="str">
        <f>IFERROR(__xludf.DUMMYFUNCTION("""COMPUTED_VALUE"""),"Starter")</f>
        <v>Starter</v>
      </c>
      <c r="H639" s="265" t="str">
        <f>IFERROR(__xludf.DUMMYFUNCTION("""COMPUTED_VALUE"""),"Trả sau")</f>
        <v>Trả sau</v>
      </c>
      <c r="I639" s="265" t="str">
        <f>IFERROR(__xludf.DUMMYFUNCTION("""COMPUTED_VALUE"""),"API")</f>
        <v>API</v>
      </c>
      <c r="J639" s="265" t="str">
        <f>IFERROR(__xludf.DUMMYFUNCTION("""COMPUTED_VALUE"""),"DungPL")</f>
        <v>DungPL</v>
      </c>
    </row>
    <row r="640">
      <c r="A640" s="265" t="str">
        <f>IFERROR(__xludf.DUMMYFUNCTION("""COMPUTED_VALUE"""),"994")</f>
        <v>994</v>
      </c>
      <c r="B640" s="265" t="str">
        <f>IFERROR(__xludf.DUMMYFUNCTION("""COMPUTED_VALUE"""),"Hà Nội")</f>
        <v>Hà Nội</v>
      </c>
      <c r="C640" s="265" t="str">
        <f>IFERROR(__xludf.DUMMYFUNCTION("""COMPUTED_VALUE"""),"Locked")</f>
        <v>Locked</v>
      </c>
      <c r="D640" s="265" t="str">
        <f>IFERROR(__xludf.DUMMYFUNCTION("""COMPUTED_VALUE"""),"Dịch vụ khác")</f>
        <v>Dịch vụ khác</v>
      </c>
      <c r="E640" s="265" t="str">
        <f>IFERROR(__xludf.DUMMYFUNCTION("""COMPUTED_VALUE"""),"Không phân công")</f>
        <v>Không phân công</v>
      </c>
      <c r="F640" s="265" t="str">
        <f>IFERROR(__xludf.DUMMYFUNCTION("""COMPUTED_VALUE"""),"Sale chưa cung cấp")</f>
        <v>Sale chưa cung cấp</v>
      </c>
      <c r="G640" s="265" t="str">
        <f>IFERROR(__xludf.DUMMYFUNCTION("""COMPUTED_VALUE"""),"Starter")</f>
        <v>Starter</v>
      </c>
      <c r="H640" s="265" t="str">
        <f>IFERROR(__xludf.DUMMYFUNCTION("""COMPUTED_VALUE"""),"Trả sau")</f>
        <v>Trả sau</v>
      </c>
      <c r="I640" s="265" t="str">
        <f>IFERROR(__xludf.DUMMYFUNCTION("""COMPUTED_VALUE"""),"API")</f>
        <v>API</v>
      </c>
      <c r="J640" s="265" t="str">
        <f>IFERROR(__xludf.DUMMYFUNCTION("""COMPUTED_VALUE"""),"DungPL")</f>
        <v>DungPL</v>
      </c>
    </row>
    <row r="641">
      <c r="A641" s="265" t="str">
        <f>IFERROR(__xludf.DUMMYFUNCTION("""COMPUTED_VALUE"""),"995")</f>
        <v>995</v>
      </c>
      <c r="B641" s="265" t="str">
        <f>IFERROR(__xludf.DUMMYFUNCTION("""COMPUTED_VALUE"""),"Hà Nội")</f>
        <v>Hà Nội</v>
      </c>
      <c r="C641" s="265" t="str">
        <f>IFERROR(__xludf.DUMMYFUNCTION("""COMPUTED_VALUE"""),"Locked")</f>
        <v>Locked</v>
      </c>
      <c r="D641" s="265" t="str">
        <f>IFERROR(__xludf.DUMMYFUNCTION("""COMPUTED_VALUE"""),"Viễn thông")</f>
        <v>Viễn thông</v>
      </c>
      <c r="E641" s="265" t="str">
        <f>IFERROR(__xludf.DUMMYFUNCTION("""COMPUTED_VALUE"""),"Không phân công")</f>
        <v>Không phân công</v>
      </c>
      <c r="F641" s="265" t="str">
        <f>IFERROR(__xludf.DUMMYFUNCTION("""COMPUTED_VALUE"""),"Sale chưa cung cấp")</f>
        <v>Sale chưa cung cấp</v>
      </c>
      <c r="G641" s="265" t="str">
        <f>IFERROR(__xludf.DUMMYFUNCTION("""COMPUTED_VALUE"""),"Starter")</f>
        <v>Starter</v>
      </c>
      <c r="H641" s="265" t="str">
        <f>IFERROR(__xludf.DUMMYFUNCTION("""COMPUTED_VALUE"""),"Trả sau")</f>
        <v>Trả sau</v>
      </c>
      <c r="I641" s="265" t="str">
        <f>IFERROR(__xludf.DUMMYFUNCTION("""COMPUTED_VALUE"""),"API")</f>
        <v>API</v>
      </c>
      <c r="J641" s="265" t="str">
        <f>IFERROR(__xludf.DUMMYFUNCTION("""COMPUTED_VALUE"""),"DungPL")</f>
        <v>DungPL</v>
      </c>
    </row>
    <row r="642">
      <c r="A642" s="265" t="str">
        <f>IFERROR(__xludf.DUMMYFUNCTION("""COMPUTED_VALUE"""),"996")</f>
        <v>996</v>
      </c>
      <c r="B642" s="265" t="str">
        <f>IFERROR(__xludf.DUMMYFUNCTION("""COMPUTED_VALUE"""),"Sài Gòn")</f>
        <v>Sài Gòn</v>
      </c>
      <c r="C642" s="265" t="str">
        <f>IFERROR(__xludf.DUMMYFUNCTION("""COMPUTED_VALUE"""),"Active")</f>
        <v>Active</v>
      </c>
      <c r="D642" s="265" t="str">
        <f>IFERROR(__xludf.DUMMYFUNCTION("""COMPUTED_VALUE"""),"Dịch vụ khác")</f>
        <v>Dịch vụ khác</v>
      </c>
      <c r="E642" s="265" t="str">
        <f>IFERROR(__xludf.DUMMYFUNCTION("""COMPUTED_VALUE"""),"Không phân công")</f>
        <v>Không phân công</v>
      </c>
      <c r="F642" s="265" t="str">
        <f>IFERROR(__xludf.DUMMYFUNCTION("""COMPUTED_VALUE"""),"Silver")</f>
        <v>Silver</v>
      </c>
      <c r="G642" s="265" t="str">
        <f>IFERROR(__xludf.DUMMYFUNCTION("""COMPUTED_VALUE"""),"Standard")</f>
        <v>Standard</v>
      </c>
      <c r="H642" s="265" t="str">
        <f>IFERROR(__xludf.DUMMYFUNCTION("""COMPUTED_VALUE"""),"Trả sau")</f>
        <v>Trả sau</v>
      </c>
      <c r="I642" s="265" t="str">
        <f>IFERROR(__xludf.DUMMYFUNCTION("""COMPUTED_VALUE"""),"Portal")</f>
        <v>Portal</v>
      </c>
      <c r="J642" s="265" t="str">
        <f>IFERROR(__xludf.DUMMYFUNCTION("""COMPUTED_VALUE"""),"DungPL")</f>
        <v>DungPL</v>
      </c>
    </row>
    <row r="643">
      <c r="A643" s="265" t="str">
        <f>IFERROR(__xludf.DUMMYFUNCTION("""COMPUTED_VALUE"""),"997")</f>
        <v>997</v>
      </c>
      <c r="B643" s="265" t="str">
        <f>IFERROR(__xludf.DUMMYFUNCTION("""COMPUTED_VALUE"""),"Hà Nội")</f>
        <v>Hà Nội</v>
      </c>
      <c r="C643" s="265" t="str">
        <f>IFERROR(__xludf.DUMMYFUNCTION("""COMPUTED_VALUE"""),"Locked")</f>
        <v>Locked</v>
      </c>
      <c r="D643" s="265" t="str">
        <f>IFERROR(__xludf.DUMMYFUNCTION("""COMPUTED_VALUE"""),"Dịch vụ khác")</f>
        <v>Dịch vụ khác</v>
      </c>
      <c r="E643" s="265" t="str">
        <f>IFERROR(__xludf.DUMMYFUNCTION("""COMPUTED_VALUE"""),"Không phân công")</f>
        <v>Không phân công</v>
      </c>
      <c r="F643" s="265" t="str">
        <f>IFERROR(__xludf.DUMMYFUNCTION("""COMPUTED_VALUE"""),"Sale chưa cung cấp")</f>
        <v>Sale chưa cung cấp</v>
      </c>
      <c r="G643" s="265" t="str">
        <f>IFERROR(__xludf.DUMMYFUNCTION("""COMPUTED_VALUE"""),"Starter")</f>
        <v>Starter</v>
      </c>
      <c r="H643" s="265" t="str">
        <f>IFERROR(__xludf.DUMMYFUNCTION("""COMPUTED_VALUE"""),"Trả sau")</f>
        <v>Trả sau</v>
      </c>
      <c r="I643" s="265" t="str">
        <f>IFERROR(__xludf.DUMMYFUNCTION("""COMPUTED_VALUE"""),"API")</f>
        <v>API</v>
      </c>
      <c r="J643" s="265" t="str">
        <f>IFERROR(__xludf.DUMMYFUNCTION("""COMPUTED_VALUE"""),"DungPL")</f>
        <v>DungPL</v>
      </c>
    </row>
    <row r="644">
      <c r="A644" s="265" t="str">
        <f>IFERROR(__xludf.DUMMYFUNCTION("""COMPUTED_VALUE"""),"998")</f>
        <v>998</v>
      </c>
      <c r="B644" s="265" t="str">
        <f>IFERROR(__xludf.DUMMYFUNCTION("""COMPUTED_VALUE"""),"Hà Nội")</f>
        <v>Hà Nội</v>
      </c>
      <c r="C644" s="265" t="str">
        <f>IFERROR(__xludf.DUMMYFUNCTION("""COMPUTED_VALUE"""),"Locked")</f>
        <v>Locked</v>
      </c>
      <c r="D644" s="265" t="str">
        <f>IFERROR(__xludf.DUMMYFUNCTION("""COMPUTED_VALUE"""),"Truyền thông &amp; Giải trí")</f>
        <v>Truyền thông &amp; Giải trí</v>
      </c>
      <c r="E644" s="265" t="str">
        <f>IFERROR(__xludf.DUMMYFUNCTION("""COMPUTED_VALUE"""),"Không phân công")</f>
        <v>Không phân công</v>
      </c>
      <c r="F644" s="265" t="str">
        <f>IFERROR(__xludf.DUMMYFUNCTION("""COMPUTED_VALUE"""),"Silver")</f>
        <v>Silver</v>
      </c>
      <c r="G644" s="265" t="str">
        <f>IFERROR(__xludf.DUMMYFUNCTION("""COMPUTED_VALUE"""),"Starter")</f>
        <v>Starter</v>
      </c>
      <c r="H644" s="265" t="str">
        <f>IFERROR(__xludf.DUMMYFUNCTION("""COMPUTED_VALUE"""),"Trả sau")</f>
        <v>Trả sau</v>
      </c>
      <c r="I644" s="265" t="str">
        <f>IFERROR(__xludf.DUMMYFUNCTION("""COMPUTED_VALUE"""),"API")</f>
        <v>API</v>
      </c>
      <c r="J644" s="265" t="str">
        <f>IFERROR(__xludf.DUMMYFUNCTION("""COMPUTED_VALUE"""),"DungVT")</f>
        <v>DungVT</v>
      </c>
    </row>
    <row r="645">
      <c r="A645" s="265" t="str">
        <f>IFERROR(__xludf.DUMMYFUNCTION("""COMPUTED_VALUE"""),"999")</f>
        <v>999</v>
      </c>
      <c r="B645" s="265" t="str">
        <f>IFERROR(__xludf.DUMMYFUNCTION("""COMPUTED_VALUE"""),"Hà Nội")</f>
        <v>Hà Nội</v>
      </c>
      <c r="C645" s="265" t="str">
        <f>IFERROR(__xludf.DUMMYFUNCTION("""COMPUTED_VALUE"""),"Locked")</f>
        <v>Locked</v>
      </c>
      <c r="D645" s="265" t="str">
        <f>IFERROR(__xludf.DUMMYFUNCTION("""COMPUTED_VALUE"""),"Dịch vụ khác")</f>
        <v>Dịch vụ khác</v>
      </c>
      <c r="E645" s="265" t="str">
        <f>IFERROR(__xludf.DUMMYFUNCTION("""COMPUTED_VALUE"""),"Không phân công")</f>
        <v>Không phân công</v>
      </c>
      <c r="F645" s="265" t="str">
        <f>IFERROR(__xludf.DUMMYFUNCTION("""COMPUTED_VALUE"""),"Sale chưa cung cấp")</f>
        <v>Sale chưa cung cấp</v>
      </c>
      <c r="G645" s="265" t="str">
        <f>IFERROR(__xludf.DUMMYFUNCTION("""COMPUTED_VALUE"""),"Starter")</f>
        <v>Starter</v>
      </c>
      <c r="H645" s="265" t="str">
        <f>IFERROR(__xludf.DUMMYFUNCTION("""COMPUTED_VALUE"""),"Trả sau")</f>
        <v>Trả sau</v>
      </c>
      <c r="I645" s="265" t="str">
        <f>IFERROR(__xludf.DUMMYFUNCTION("""COMPUTED_VALUE"""),"API")</f>
        <v>API</v>
      </c>
      <c r="J645" s="265" t="str">
        <f>IFERROR(__xludf.DUMMYFUNCTION("""COMPUTED_VALUE"""),"YếnĐH")</f>
        <v>YếnĐH</v>
      </c>
    </row>
    <row r="646">
      <c r="A646" s="265" t="str">
        <f>IFERROR(__xludf.DUMMYFUNCTION("""COMPUTED_VALUE"""),"1001")</f>
        <v>1001</v>
      </c>
      <c r="B646" s="265" t="str">
        <f>IFERROR(__xludf.DUMMYFUNCTION("""COMPUTED_VALUE"""),"Hà Nội")</f>
        <v>Hà Nội</v>
      </c>
      <c r="C646" s="265" t="str">
        <f>IFERROR(__xludf.DUMMYFUNCTION("""COMPUTED_VALUE"""),"Locked")</f>
        <v>Locked</v>
      </c>
      <c r="D646" s="265" t="str">
        <f>IFERROR(__xludf.DUMMYFUNCTION("""COMPUTED_VALUE"""),"Truyền thông &amp; Giải trí")</f>
        <v>Truyền thông &amp; Giải trí</v>
      </c>
      <c r="E646" s="265" t="str">
        <f>IFERROR(__xludf.DUMMYFUNCTION("""COMPUTED_VALUE"""),"Không phân công")</f>
        <v>Không phân công</v>
      </c>
      <c r="F646" s="265" t="str">
        <f>IFERROR(__xludf.DUMMYFUNCTION("""COMPUTED_VALUE"""),"Silver")</f>
        <v>Silver</v>
      </c>
      <c r="G646" s="265" t="str">
        <f>IFERROR(__xludf.DUMMYFUNCTION("""COMPUTED_VALUE"""),"Starter")</f>
        <v>Starter</v>
      </c>
      <c r="H646" s="265" t="str">
        <f>IFERROR(__xludf.DUMMYFUNCTION("""COMPUTED_VALUE"""),"Trả sau")</f>
        <v>Trả sau</v>
      </c>
      <c r="I646" s="265" t="str">
        <f>IFERROR(__xludf.DUMMYFUNCTION("""COMPUTED_VALUE"""),"API")</f>
        <v>API</v>
      </c>
      <c r="J646" s="265" t="str">
        <f>IFERROR(__xludf.DUMMYFUNCTION("""COMPUTED_VALUE"""),"DungVT")</f>
        <v>DungVT</v>
      </c>
    </row>
    <row r="647">
      <c r="A647" s="265" t="str">
        <f>IFERROR(__xludf.DUMMYFUNCTION("""COMPUTED_VALUE"""),"1002")</f>
        <v>1002</v>
      </c>
      <c r="B647" s="265" t="str">
        <f>IFERROR(__xludf.DUMMYFUNCTION("""COMPUTED_VALUE"""),"Hà Nội")</f>
        <v>Hà Nội</v>
      </c>
      <c r="C647" s="265" t="str">
        <f>IFERROR(__xludf.DUMMYFUNCTION("""COMPUTED_VALUE"""),"Locked")</f>
        <v>Locked</v>
      </c>
      <c r="D647" s="265" t="str">
        <f>IFERROR(__xludf.DUMMYFUNCTION("""COMPUTED_VALUE"""),"Dịch vụ khác")</f>
        <v>Dịch vụ khác</v>
      </c>
      <c r="E647" s="265" t="str">
        <f>IFERROR(__xludf.DUMMYFUNCTION("""COMPUTED_VALUE"""),"Không phân công")</f>
        <v>Không phân công</v>
      </c>
      <c r="F647" s="265" t="str">
        <f>IFERROR(__xludf.DUMMYFUNCTION("""COMPUTED_VALUE"""),"Sale chưa cung cấp")</f>
        <v>Sale chưa cung cấp</v>
      </c>
      <c r="G647" s="265" t="str">
        <f>IFERROR(__xludf.DUMMYFUNCTION("""COMPUTED_VALUE"""),"Starter")</f>
        <v>Starter</v>
      </c>
      <c r="H647" s="265" t="str">
        <f>IFERROR(__xludf.DUMMYFUNCTION("""COMPUTED_VALUE"""),"Trả sau")</f>
        <v>Trả sau</v>
      </c>
      <c r="I647" s="265" t="str">
        <f>IFERROR(__xludf.DUMMYFUNCTION("""COMPUTED_VALUE"""),"API")</f>
        <v>API</v>
      </c>
      <c r="J647" s="265" t="str">
        <f>IFERROR(__xludf.DUMMYFUNCTION("""COMPUTED_VALUE"""),"YếnĐH")</f>
        <v>YếnĐH</v>
      </c>
    </row>
    <row r="648">
      <c r="A648" s="265" t="str">
        <f>IFERROR(__xludf.DUMMYFUNCTION("""COMPUTED_VALUE"""),"1003")</f>
        <v>1003</v>
      </c>
      <c r="B648" s="265" t="str">
        <f>IFERROR(__xludf.DUMMYFUNCTION("""COMPUTED_VALUE"""),"Hà Nội")</f>
        <v>Hà Nội</v>
      </c>
      <c r="C648" s="265" t="str">
        <f>IFERROR(__xludf.DUMMYFUNCTION("""COMPUTED_VALUE"""),"Locked")</f>
        <v>Locked</v>
      </c>
      <c r="D648" s="265" t="str">
        <f>IFERROR(__xludf.DUMMYFUNCTION("""COMPUTED_VALUE"""),"Truyền thông &amp; Giải trí")</f>
        <v>Truyền thông &amp; Giải trí</v>
      </c>
      <c r="E648" s="265" t="str">
        <f>IFERROR(__xludf.DUMMYFUNCTION("""COMPUTED_VALUE"""),"Không phân công")</f>
        <v>Không phân công</v>
      </c>
      <c r="F648" s="265" t="str">
        <f>IFERROR(__xludf.DUMMYFUNCTION("""COMPUTED_VALUE"""),"Bronze")</f>
        <v>Bronze</v>
      </c>
      <c r="G648" s="265" t="str">
        <f>IFERROR(__xludf.DUMMYFUNCTION("""COMPUTED_VALUE"""),"Starter")</f>
        <v>Starter</v>
      </c>
      <c r="H648" s="265" t="str">
        <f>IFERROR(__xludf.DUMMYFUNCTION("""COMPUTED_VALUE"""),"Trả sau")</f>
        <v>Trả sau</v>
      </c>
      <c r="I648" s="265" t="str">
        <f>IFERROR(__xludf.DUMMYFUNCTION("""COMPUTED_VALUE"""),"API")</f>
        <v>API</v>
      </c>
      <c r="J648" s="265" t="str">
        <f>IFERROR(__xludf.DUMMYFUNCTION("""COMPUTED_VALUE"""),"DungVT")</f>
        <v>DungVT</v>
      </c>
    </row>
    <row r="649">
      <c r="A649" s="265" t="str">
        <f>IFERROR(__xludf.DUMMYFUNCTION("""COMPUTED_VALUE"""),"1004")</f>
        <v>1004</v>
      </c>
      <c r="B649" s="265" t="str">
        <f>IFERROR(__xludf.DUMMYFUNCTION("""COMPUTED_VALUE"""),"Sài Gòn")</f>
        <v>Sài Gòn</v>
      </c>
      <c r="C649" s="265" t="str">
        <f>IFERROR(__xludf.DUMMYFUNCTION("""COMPUTED_VALUE"""),"Locked")</f>
        <v>Locked</v>
      </c>
      <c r="D649" s="265" t="str">
        <f>IFERROR(__xludf.DUMMYFUNCTION("""COMPUTED_VALUE"""),"Thực phẩm &amp; Đồ uống")</f>
        <v>Thực phẩm &amp; Đồ uống</v>
      </c>
      <c r="E649" s="265" t="str">
        <f>IFERROR(__xludf.DUMMYFUNCTION("""COMPUTED_VALUE"""),"TrâmNNB")</f>
        <v>TrâmNNB</v>
      </c>
      <c r="F649" s="265" t="str">
        <f>IFERROR(__xludf.DUMMYFUNCTION("""COMPUTED_VALUE"""),"Diamond")</f>
        <v>Diamond</v>
      </c>
      <c r="G649" s="265" t="str">
        <f>IFERROR(__xludf.DUMMYFUNCTION("""COMPUTED_VALUE"""),"Starter")</f>
        <v>Starter</v>
      </c>
      <c r="H649" s="265" t="str">
        <f>IFERROR(__xludf.DUMMYFUNCTION("""COMPUTED_VALUE"""),"Trả sau")</f>
        <v>Trả sau</v>
      </c>
      <c r="I649" s="265" t="str">
        <f>IFERROR(__xludf.DUMMYFUNCTION("""COMPUTED_VALUE"""),"API")</f>
        <v>API</v>
      </c>
      <c r="J649" s="265" t="str">
        <f>IFERROR(__xludf.DUMMYFUNCTION("""COMPUTED_VALUE"""),"YếnĐH")</f>
        <v>YếnĐH</v>
      </c>
    </row>
    <row r="650">
      <c r="A650" s="265" t="str">
        <f>IFERROR(__xludf.DUMMYFUNCTION("""COMPUTED_VALUE"""),"1005")</f>
        <v>1005</v>
      </c>
      <c r="B650" s="265" t="str">
        <f>IFERROR(__xludf.DUMMYFUNCTION("""COMPUTED_VALUE"""),"Hà Nội")</f>
        <v>Hà Nội</v>
      </c>
      <c r="C650" s="265" t="str">
        <f>IFERROR(__xludf.DUMMYFUNCTION("""COMPUTED_VALUE"""),"Locked")</f>
        <v>Locked</v>
      </c>
      <c r="D650" s="265" t="str">
        <f>IFERROR(__xludf.DUMMYFUNCTION("""COMPUTED_VALUE"""),"Công nghệ &amp; Phần mềm")</f>
        <v>Công nghệ &amp; Phần mềm</v>
      </c>
      <c r="E650" s="265" t="str">
        <f>IFERROR(__xludf.DUMMYFUNCTION("""COMPUTED_VALUE"""),"Không phân công")</f>
        <v>Không phân công</v>
      </c>
      <c r="F650" s="265" t="str">
        <f>IFERROR(__xludf.DUMMYFUNCTION("""COMPUTED_VALUE"""),"Silver")</f>
        <v>Silver</v>
      </c>
      <c r="G650" s="265" t="str">
        <f>IFERROR(__xludf.DUMMYFUNCTION("""COMPUTED_VALUE"""),"Starter")</f>
        <v>Starter</v>
      </c>
      <c r="H650" s="265" t="str">
        <f>IFERROR(__xludf.DUMMYFUNCTION("""COMPUTED_VALUE"""),"Trả sau")</f>
        <v>Trả sau</v>
      </c>
      <c r="I650" s="265" t="str">
        <f>IFERROR(__xludf.DUMMYFUNCTION("""COMPUTED_VALUE"""),"API")</f>
        <v>API</v>
      </c>
      <c r="J650" s="265" t="str">
        <f>IFERROR(__xludf.DUMMYFUNCTION("""COMPUTED_VALUE"""),"DungVT")</f>
        <v>DungVT</v>
      </c>
    </row>
    <row r="651">
      <c r="A651" s="265" t="str">
        <f>IFERROR(__xludf.DUMMYFUNCTION("""COMPUTED_VALUE"""),"1006")</f>
        <v>1006</v>
      </c>
      <c r="B651" s="265" t="str">
        <f>IFERROR(__xludf.DUMMYFUNCTION("""COMPUTED_VALUE"""),"Hà Nội")</f>
        <v>Hà Nội</v>
      </c>
      <c r="C651" s="265" t="str">
        <f>IFERROR(__xludf.DUMMYFUNCTION("""COMPUTED_VALUE"""),"Locked")</f>
        <v>Locked</v>
      </c>
      <c r="D651" s="265" t="str">
        <f>IFERROR(__xludf.DUMMYFUNCTION("""COMPUTED_VALUE"""),"Tài chính &amp; Ngân hàng")</f>
        <v>Tài chính &amp; Ngân hàng</v>
      </c>
      <c r="E651" s="265" t="str">
        <f>IFERROR(__xludf.DUMMYFUNCTION("""COMPUTED_VALUE"""),"Không phân công")</f>
        <v>Không phân công</v>
      </c>
      <c r="F651" s="265" t="str">
        <f>IFERROR(__xludf.DUMMYFUNCTION("""COMPUTED_VALUE"""),"Silver")</f>
        <v>Silver</v>
      </c>
      <c r="G651" s="265" t="str">
        <f>IFERROR(__xludf.DUMMYFUNCTION("""COMPUTED_VALUE"""),"Starter")</f>
        <v>Starter</v>
      </c>
      <c r="H651" s="265" t="str">
        <f>IFERROR(__xludf.DUMMYFUNCTION("""COMPUTED_VALUE"""),"Trả sau")</f>
        <v>Trả sau</v>
      </c>
      <c r="I651" s="265" t="str">
        <f>IFERROR(__xludf.DUMMYFUNCTION("""COMPUTED_VALUE"""),"API")</f>
        <v>API</v>
      </c>
      <c r="J651" s="265" t="str">
        <f>IFERROR(__xludf.DUMMYFUNCTION("""COMPUTED_VALUE"""),"DungVT")</f>
        <v>DungVT</v>
      </c>
    </row>
    <row r="652">
      <c r="A652" s="265" t="str">
        <f>IFERROR(__xludf.DUMMYFUNCTION("""COMPUTED_VALUE"""),"1007")</f>
        <v>1007</v>
      </c>
      <c r="B652" s="265" t="str">
        <f>IFERROR(__xludf.DUMMYFUNCTION("""COMPUTED_VALUE"""),"Hà Nội")</f>
        <v>Hà Nội</v>
      </c>
      <c r="C652" s="265" t="str">
        <f>IFERROR(__xludf.DUMMYFUNCTION("""COMPUTED_VALUE"""),"Locked")</f>
        <v>Locked</v>
      </c>
      <c r="D652" s="265" t="str">
        <f>IFERROR(__xludf.DUMMYFUNCTION("""COMPUTED_VALUE"""),"Y tế &amp; Dược phẩm")</f>
        <v>Y tế &amp; Dược phẩm</v>
      </c>
      <c r="E652" s="265" t="str">
        <f>IFERROR(__xludf.DUMMYFUNCTION("""COMPUTED_VALUE"""),"Không phân công")</f>
        <v>Không phân công</v>
      </c>
      <c r="F652" s="265" t="str">
        <f>IFERROR(__xludf.DUMMYFUNCTION("""COMPUTED_VALUE"""),"Sale chưa cung cấp")</f>
        <v>Sale chưa cung cấp</v>
      </c>
      <c r="G652" s="265" t="str">
        <f>IFERROR(__xludf.DUMMYFUNCTION("""COMPUTED_VALUE"""),"Starter")</f>
        <v>Starter</v>
      </c>
      <c r="H652" s="265" t="str">
        <f>IFERROR(__xludf.DUMMYFUNCTION("""COMPUTED_VALUE"""),"Trả sau")</f>
        <v>Trả sau</v>
      </c>
      <c r="I652" s="265" t="str">
        <f>IFERROR(__xludf.DUMMYFUNCTION("""COMPUTED_VALUE"""),"API")</f>
        <v>API</v>
      </c>
      <c r="J652" s="265" t="str">
        <f>IFERROR(__xludf.DUMMYFUNCTION("""COMPUTED_VALUE"""),"LinhNTT1")</f>
        <v>LinhNTT1</v>
      </c>
    </row>
    <row r="653">
      <c r="A653" s="265" t="str">
        <f>IFERROR(__xludf.DUMMYFUNCTION("""COMPUTED_VALUE"""),"1008")</f>
        <v>1008</v>
      </c>
      <c r="B653" s="265" t="str">
        <f>IFERROR(__xludf.DUMMYFUNCTION("""COMPUTED_VALUE"""),"Sài Gòn")</f>
        <v>Sài Gòn</v>
      </c>
      <c r="C653" s="265" t="str">
        <f>IFERROR(__xludf.DUMMYFUNCTION("""COMPUTED_VALUE"""),"Active")</f>
        <v>Active</v>
      </c>
      <c r="D653" s="265" t="str">
        <f>IFERROR(__xludf.DUMMYFUNCTION("""COMPUTED_VALUE"""),"Dịch vụ khác")</f>
        <v>Dịch vụ khác</v>
      </c>
      <c r="E653" s="265" t="str">
        <f>IFERROR(__xludf.DUMMYFUNCTION("""COMPUTED_VALUE"""),"Không phân công")</f>
        <v>Không phân công</v>
      </c>
      <c r="F653" s="265" t="str">
        <f>IFERROR(__xludf.DUMMYFUNCTION("""COMPUTED_VALUE"""),"Bronze")</f>
        <v>Bronze</v>
      </c>
      <c r="G653" s="265" t="str">
        <f>IFERROR(__xludf.DUMMYFUNCTION("""COMPUTED_VALUE"""),"Starter")</f>
        <v>Starter</v>
      </c>
      <c r="H653" s="265" t="str">
        <f>IFERROR(__xludf.DUMMYFUNCTION("""COMPUTED_VALUE"""),"Trả sau")</f>
        <v>Trả sau</v>
      </c>
      <c r="I653" s="265" t="str">
        <f>IFERROR(__xludf.DUMMYFUNCTION("""COMPUTED_VALUE"""),"API")</f>
        <v>API</v>
      </c>
      <c r="J653" s="265" t="str">
        <f>IFERROR(__xludf.DUMMYFUNCTION("""COMPUTED_VALUE"""),"DungPL")</f>
        <v>DungPL</v>
      </c>
    </row>
    <row r="654">
      <c r="A654" s="265" t="str">
        <f>IFERROR(__xludf.DUMMYFUNCTION("""COMPUTED_VALUE"""),"1009")</f>
        <v>1009</v>
      </c>
      <c r="B654" s="265" t="str">
        <f>IFERROR(__xludf.DUMMYFUNCTION("""COMPUTED_VALUE"""),"Hà Nội")</f>
        <v>Hà Nội</v>
      </c>
      <c r="C654" s="265" t="str">
        <f>IFERROR(__xludf.DUMMYFUNCTION("""COMPUTED_VALUE"""),"Locked")</f>
        <v>Locked</v>
      </c>
      <c r="D654" s="265" t="str">
        <f>IFERROR(__xludf.DUMMYFUNCTION("""COMPUTED_VALUE"""),"Dịch vụ khác")</f>
        <v>Dịch vụ khác</v>
      </c>
      <c r="E654" s="265" t="str">
        <f>IFERROR(__xludf.DUMMYFUNCTION("""COMPUTED_VALUE"""),"AnhNM")</f>
        <v>AnhNM</v>
      </c>
      <c r="F654" s="265" t="str">
        <f>IFERROR(__xludf.DUMMYFUNCTION("""COMPUTED_VALUE"""),"Bronze")</f>
        <v>Bronze</v>
      </c>
      <c r="G654" s="265" t="str">
        <f>IFERROR(__xludf.DUMMYFUNCTION("""COMPUTED_VALUE"""),"Starter")</f>
        <v>Starter</v>
      </c>
      <c r="H654" s="265" t="str">
        <f>IFERROR(__xludf.DUMMYFUNCTION("""COMPUTED_VALUE"""),"Trial")</f>
        <v>Trial</v>
      </c>
      <c r="I654" s="265" t="str">
        <f>IFERROR(__xludf.DUMMYFUNCTION("""COMPUTED_VALUE"""),"API &amp; Portal")</f>
        <v>API &amp; Portal</v>
      </c>
      <c r="J654" s="265" t="str">
        <f>IFERROR(__xludf.DUMMYFUNCTION("""COMPUTED_VALUE"""),"Không phân công")</f>
        <v>Không phân công</v>
      </c>
    </row>
    <row r="655">
      <c r="A655" s="265" t="str">
        <f>IFERROR(__xludf.DUMMYFUNCTION("""COMPUTED_VALUE"""),"1010")</f>
        <v>1010</v>
      </c>
      <c r="B655" s="265" t="str">
        <f>IFERROR(__xludf.DUMMYFUNCTION("""COMPUTED_VALUE"""),"Sài Gòn")</f>
        <v>Sài Gòn</v>
      </c>
      <c r="C655" s="265" t="str">
        <f>IFERROR(__xludf.DUMMYFUNCTION("""COMPUTED_VALUE"""),"Locked")</f>
        <v>Locked</v>
      </c>
      <c r="D655" s="265" t="str">
        <f>IFERROR(__xludf.DUMMYFUNCTION("""COMPUTED_VALUE"""),"Bất động sản")</f>
        <v>Bất động sản</v>
      </c>
      <c r="E655" s="265" t="str">
        <f>IFERROR(__xludf.DUMMYFUNCTION("""COMPUTED_VALUE"""),"Không phân công")</f>
        <v>Không phân công</v>
      </c>
      <c r="F655" s="265" t="str">
        <f>IFERROR(__xludf.DUMMYFUNCTION("""COMPUTED_VALUE"""),"Sale chưa cung cấp")</f>
        <v>Sale chưa cung cấp</v>
      </c>
      <c r="G655" s="265" t="str">
        <f>IFERROR(__xludf.DUMMYFUNCTION("""COMPUTED_VALUE"""),"Starter")</f>
        <v>Starter</v>
      </c>
      <c r="H655" s="265" t="str">
        <f>IFERROR(__xludf.DUMMYFUNCTION("""COMPUTED_VALUE"""),"Trả sau")</f>
        <v>Trả sau</v>
      </c>
      <c r="I655" s="265" t="str">
        <f>IFERROR(__xludf.DUMMYFUNCTION("""COMPUTED_VALUE"""),"API")</f>
        <v>API</v>
      </c>
      <c r="J655" s="265" t="str">
        <f>IFERROR(__xludf.DUMMYFUNCTION("""COMPUTED_VALUE"""),"LinhNTT1")</f>
        <v>LinhNTT1</v>
      </c>
    </row>
    <row r="656">
      <c r="A656" s="265" t="str">
        <f>IFERROR(__xludf.DUMMYFUNCTION("""COMPUTED_VALUE"""),"1011")</f>
        <v>1011</v>
      </c>
      <c r="B656" s="265" t="str">
        <f>IFERROR(__xludf.DUMMYFUNCTION("""COMPUTED_VALUE"""),"Hà Nội")</f>
        <v>Hà Nội</v>
      </c>
      <c r="C656" s="265" t="str">
        <f>IFERROR(__xludf.DUMMYFUNCTION("""COMPUTED_VALUE"""),"Locked")</f>
        <v>Locked</v>
      </c>
      <c r="D656" s="265" t="str">
        <f>IFERROR(__xludf.DUMMYFUNCTION("""COMPUTED_VALUE"""),"Dịch vụ khác")</f>
        <v>Dịch vụ khác</v>
      </c>
      <c r="E656" s="265" t="str">
        <f>IFERROR(__xludf.DUMMYFUNCTION("""COMPUTED_VALUE"""),"Không phân công")</f>
        <v>Không phân công</v>
      </c>
      <c r="F656" s="265" t="str">
        <f>IFERROR(__xludf.DUMMYFUNCTION("""COMPUTED_VALUE"""),"Sale chưa cung cấp")</f>
        <v>Sale chưa cung cấp</v>
      </c>
      <c r="G656" s="265" t="str">
        <f>IFERROR(__xludf.DUMMYFUNCTION("""COMPUTED_VALUE"""),"Starter")</f>
        <v>Starter</v>
      </c>
      <c r="H656" s="265" t="str">
        <f>IFERROR(__xludf.DUMMYFUNCTION("""COMPUTED_VALUE"""),"Trả sau")</f>
        <v>Trả sau</v>
      </c>
      <c r="I656" s="265" t="str">
        <f>IFERROR(__xludf.DUMMYFUNCTION("""COMPUTED_VALUE"""),"API")</f>
        <v>API</v>
      </c>
      <c r="J656" s="265" t="str">
        <f>IFERROR(__xludf.DUMMYFUNCTION("""COMPUTED_VALUE"""),"AnhNM")</f>
        <v>AnhNM</v>
      </c>
    </row>
    <row r="657">
      <c r="A657" s="265" t="str">
        <f>IFERROR(__xludf.DUMMYFUNCTION("""COMPUTED_VALUE"""),"1012")</f>
        <v>1012</v>
      </c>
      <c r="B657" s="265" t="str">
        <f>IFERROR(__xludf.DUMMYFUNCTION("""COMPUTED_VALUE"""),"Sài Gòn")</f>
        <v>Sài Gòn</v>
      </c>
      <c r="C657" s="265" t="str">
        <f>IFERROR(__xludf.DUMMYFUNCTION("""COMPUTED_VALUE"""),"Active")</f>
        <v>Active</v>
      </c>
      <c r="D657" s="265" t="str">
        <f>IFERROR(__xludf.DUMMYFUNCTION("""COMPUTED_VALUE"""),"Viễn thông")</f>
        <v>Viễn thông</v>
      </c>
      <c r="E657" s="265" t="str">
        <f>IFERROR(__xludf.DUMMYFUNCTION("""COMPUTED_VALUE"""),"AnhNM")</f>
        <v>AnhNM</v>
      </c>
      <c r="F657" s="265" t="str">
        <f>IFERROR(__xludf.DUMMYFUNCTION("""COMPUTED_VALUE"""),"Sale chưa cung cấp")</f>
        <v>Sale chưa cung cấp</v>
      </c>
      <c r="G657" s="265" t="str">
        <f>IFERROR(__xludf.DUMMYFUNCTION("""COMPUTED_VALUE"""),"Standard")</f>
        <v>Standard</v>
      </c>
      <c r="H657" s="265" t="str">
        <f>IFERROR(__xludf.DUMMYFUNCTION("""COMPUTED_VALUE"""),"Trả sau")</f>
        <v>Trả sau</v>
      </c>
      <c r="I657" s="265" t="str">
        <f>IFERROR(__xludf.DUMMYFUNCTION("""COMPUTED_VALUE"""),"Portal")</f>
        <v>Portal</v>
      </c>
      <c r="J657" s="265" t="str">
        <f>IFERROR(__xludf.DUMMYFUNCTION("""COMPUTED_VALUE"""),"DungPL")</f>
        <v>DungPL</v>
      </c>
    </row>
    <row r="658">
      <c r="A658" s="265" t="str">
        <f>IFERROR(__xludf.DUMMYFUNCTION("""COMPUTED_VALUE"""),"1013")</f>
        <v>1013</v>
      </c>
      <c r="B658" s="265" t="str">
        <f>IFERROR(__xludf.DUMMYFUNCTION("""COMPUTED_VALUE"""),"Sài Gòn")</f>
        <v>Sài Gòn</v>
      </c>
      <c r="C658" s="265" t="str">
        <f>IFERROR(__xludf.DUMMYFUNCTION("""COMPUTED_VALUE"""),"Active")</f>
        <v>Active</v>
      </c>
      <c r="D658" s="265" t="str">
        <f>IFERROR(__xludf.DUMMYFUNCTION("""COMPUTED_VALUE"""),"Mua sắm &amp; Bán lẻ")</f>
        <v>Mua sắm &amp; Bán lẻ</v>
      </c>
      <c r="E658" s="265" t="str">
        <f>IFERROR(__xludf.DUMMYFUNCTION("""COMPUTED_VALUE"""),"Không phân công")</f>
        <v>Không phân công</v>
      </c>
      <c r="F658" s="265" t="str">
        <f>IFERROR(__xludf.DUMMYFUNCTION("""COMPUTED_VALUE"""),"Diamond")</f>
        <v>Diamond</v>
      </c>
      <c r="G658" s="265" t="str">
        <f>IFERROR(__xludf.DUMMYFUNCTION("""COMPUTED_VALUE"""),"Starter")</f>
        <v>Starter</v>
      </c>
      <c r="H658" s="265" t="str">
        <f>IFERROR(__xludf.DUMMYFUNCTION("""COMPUTED_VALUE"""),"Trả sau")</f>
        <v>Trả sau</v>
      </c>
      <c r="I658" s="265" t="str">
        <f>IFERROR(__xludf.DUMMYFUNCTION("""COMPUTED_VALUE"""),"API")</f>
        <v>API</v>
      </c>
      <c r="J658" s="265" t="str">
        <f>IFERROR(__xludf.DUMMYFUNCTION("""COMPUTED_VALUE"""),"LinhNTT1")</f>
        <v>LinhNTT1</v>
      </c>
    </row>
    <row r="659">
      <c r="A659" s="265" t="str">
        <f>IFERROR(__xludf.DUMMYFUNCTION("""COMPUTED_VALUE"""),"1014")</f>
        <v>1014</v>
      </c>
      <c r="B659" s="265" t="str">
        <f>IFERROR(__xludf.DUMMYFUNCTION("""COMPUTED_VALUE"""),"Sài Gòn")</f>
        <v>Sài Gòn</v>
      </c>
      <c r="C659" s="265" t="str">
        <f>IFERROR(__xludf.DUMMYFUNCTION("""COMPUTED_VALUE"""),"Active")</f>
        <v>Active</v>
      </c>
      <c r="D659" s="265" t="str">
        <f>IFERROR(__xludf.DUMMYFUNCTION("""COMPUTED_VALUE"""),"Dịch vụ khác")</f>
        <v>Dịch vụ khác</v>
      </c>
      <c r="E659" s="265" t="str">
        <f>IFERROR(__xludf.DUMMYFUNCTION("""COMPUTED_VALUE"""),"AnhNM")</f>
        <v>AnhNM</v>
      </c>
      <c r="F659" s="265" t="str">
        <f>IFERROR(__xludf.DUMMYFUNCTION("""COMPUTED_VALUE"""),"Diamond")</f>
        <v>Diamond</v>
      </c>
      <c r="G659" s="265" t="str">
        <f>IFERROR(__xludf.DUMMYFUNCTION("""COMPUTED_VALUE"""),"Premium")</f>
        <v>Premium</v>
      </c>
      <c r="H659" s="265" t="str">
        <f>IFERROR(__xludf.DUMMYFUNCTION("""COMPUTED_VALUE"""),"Trả sau")</f>
        <v>Trả sau</v>
      </c>
      <c r="I659" s="265" t="str">
        <f>IFERROR(__xludf.DUMMYFUNCTION("""COMPUTED_VALUE"""),"API &amp; Portal")</f>
        <v>API &amp; Portal</v>
      </c>
      <c r="J659" s="265" t="str">
        <f>IFERROR(__xludf.DUMMYFUNCTION("""COMPUTED_VALUE"""),"LinhNTT1")</f>
        <v>LinhNTT1</v>
      </c>
    </row>
    <row r="660">
      <c r="A660" s="265" t="str">
        <f>IFERROR(__xludf.DUMMYFUNCTION("""COMPUTED_VALUE"""),"1015")</f>
        <v>1015</v>
      </c>
      <c r="B660" s="265" t="str">
        <f>IFERROR(__xludf.DUMMYFUNCTION("""COMPUTED_VALUE"""),"Hà Nội")</f>
        <v>Hà Nội</v>
      </c>
      <c r="C660" s="265" t="str">
        <f>IFERROR(__xludf.DUMMYFUNCTION("""COMPUTED_VALUE"""),"Locked")</f>
        <v>Locked</v>
      </c>
      <c r="D660" s="265" t="str">
        <f>IFERROR(__xludf.DUMMYFUNCTION("""COMPUTED_VALUE"""),"Mua sắm &amp; Bán lẻ")</f>
        <v>Mua sắm &amp; Bán lẻ</v>
      </c>
      <c r="E660" s="265" t="str">
        <f>IFERROR(__xludf.DUMMYFUNCTION("""COMPUTED_VALUE"""),"AnhNM")</f>
        <v>AnhNM</v>
      </c>
      <c r="F660" s="265" t="str">
        <f>IFERROR(__xludf.DUMMYFUNCTION("""COMPUTED_VALUE"""),"Diamond")</f>
        <v>Diamond</v>
      </c>
      <c r="G660" s="265" t="str">
        <f>IFERROR(__xludf.DUMMYFUNCTION("""COMPUTED_VALUE"""),"Premium")</f>
        <v>Premium</v>
      </c>
      <c r="H660" s="265" t="str">
        <f>IFERROR(__xludf.DUMMYFUNCTION("""COMPUTED_VALUE"""),"Trial")</f>
        <v>Trial</v>
      </c>
      <c r="I660" s="265" t="str">
        <f>IFERROR(__xludf.DUMMYFUNCTION("""COMPUTED_VALUE"""),"API &amp; Portal")</f>
        <v>API &amp; Portal</v>
      </c>
      <c r="J660" s="265" t="str">
        <f>IFERROR(__xludf.DUMMYFUNCTION("""COMPUTED_VALUE"""),"Không phân công")</f>
        <v>Không phân công</v>
      </c>
    </row>
    <row r="661">
      <c r="A661" s="265" t="str">
        <f>IFERROR(__xludf.DUMMYFUNCTION("""COMPUTED_VALUE"""),"1016")</f>
        <v>1016</v>
      </c>
      <c r="B661" s="265" t="str">
        <f>IFERROR(__xludf.DUMMYFUNCTION("""COMPUTED_VALUE"""),"Sài Gòn")</f>
        <v>Sài Gòn</v>
      </c>
      <c r="C661" s="265" t="str">
        <f>IFERROR(__xludf.DUMMYFUNCTION("""COMPUTED_VALUE"""),"Locked")</f>
        <v>Locked</v>
      </c>
      <c r="D661" s="265" t="str">
        <f>IFERROR(__xludf.DUMMYFUNCTION("""COMPUTED_VALUE"""),"Thực phẩm &amp; Đồ uống")</f>
        <v>Thực phẩm &amp; Đồ uống</v>
      </c>
      <c r="E661" s="265" t="str">
        <f>IFERROR(__xludf.DUMMYFUNCTION("""COMPUTED_VALUE"""),"TúPHN")</f>
        <v>TúPHN</v>
      </c>
      <c r="F661" s="265" t="str">
        <f>IFERROR(__xludf.DUMMYFUNCTION("""COMPUTED_VALUE"""),"Gold")</f>
        <v>Gold</v>
      </c>
      <c r="G661" s="265" t="str">
        <f>IFERROR(__xludf.DUMMYFUNCTION("""COMPUTED_VALUE"""),"Standard")</f>
        <v>Standard</v>
      </c>
      <c r="H661" s="265" t="str">
        <f>IFERROR(__xludf.DUMMYFUNCTION("""COMPUTED_VALUE"""),"Trả sau")</f>
        <v>Trả sau</v>
      </c>
      <c r="I661" s="265" t="str">
        <f>IFERROR(__xludf.DUMMYFUNCTION("""COMPUTED_VALUE"""),"Portal")</f>
        <v>Portal</v>
      </c>
      <c r="J661" s="265" t="str">
        <f>IFERROR(__xludf.DUMMYFUNCTION("""COMPUTED_VALUE"""),"LinhNTT1")</f>
        <v>LinhNTT1</v>
      </c>
    </row>
    <row r="662">
      <c r="A662" s="265" t="str">
        <f>IFERROR(__xludf.DUMMYFUNCTION("""COMPUTED_VALUE"""),"1018")</f>
        <v>1018</v>
      </c>
      <c r="B662" s="265" t="str">
        <f>IFERROR(__xludf.DUMMYFUNCTION("""COMPUTED_VALUE"""),"Hà Nội")</f>
        <v>Hà Nội</v>
      </c>
      <c r="C662" s="265" t="str">
        <f>IFERROR(__xludf.DUMMYFUNCTION("""COMPUTED_VALUE"""),"Locked")</f>
        <v>Locked</v>
      </c>
      <c r="D662" s="265" t="str">
        <f>IFERROR(__xludf.DUMMYFUNCTION("""COMPUTED_VALUE"""),"Sale chưa cung cấp")</f>
        <v>Sale chưa cung cấp</v>
      </c>
      <c r="E662" s="265" t="str">
        <f>IFERROR(__xludf.DUMMYFUNCTION("""COMPUTED_VALUE"""),"TúPHN")</f>
        <v>TúPHN</v>
      </c>
      <c r="F662" s="265" t="str">
        <f>IFERROR(__xludf.DUMMYFUNCTION("""COMPUTED_VALUE"""),"Bronze")</f>
        <v>Bronze</v>
      </c>
      <c r="G662" s="265" t="str">
        <f>IFERROR(__xludf.DUMMYFUNCTION("""COMPUTED_VALUE"""),"Starter")</f>
        <v>Starter</v>
      </c>
      <c r="H662" s="265" t="str">
        <f>IFERROR(__xludf.DUMMYFUNCTION("""COMPUTED_VALUE"""),"Trial")</f>
        <v>Trial</v>
      </c>
      <c r="I662" s="265" t="str">
        <f>IFERROR(__xludf.DUMMYFUNCTION("""COMPUTED_VALUE"""),"API &amp; Portal")</f>
        <v>API &amp; Portal</v>
      </c>
      <c r="J662" s="265" t="str">
        <f>IFERROR(__xludf.DUMMYFUNCTION("""COMPUTED_VALUE"""),"Không phân công")</f>
        <v>Không phân công</v>
      </c>
    </row>
    <row r="663">
      <c r="A663" s="265" t="str">
        <f>IFERROR(__xludf.DUMMYFUNCTION("""COMPUTED_VALUE"""),"1019")</f>
        <v>1019</v>
      </c>
      <c r="B663" s="265" t="str">
        <f>IFERROR(__xludf.DUMMYFUNCTION("""COMPUTED_VALUE"""),"Hà Nội")</f>
        <v>Hà Nội</v>
      </c>
      <c r="C663" s="265" t="str">
        <f>IFERROR(__xludf.DUMMYFUNCTION("""COMPUTED_VALUE"""),"Active")</f>
        <v>Active</v>
      </c>
      <c r="D663" s="265" t="str">
        <f>IFERROR(__xludf.DUMMYFUNCTION("""COMPUTED_VALUE"""),"Sale chưa cung cấp")</f>
        <v>Sale chưa cung cấp</v>
      </c>
      <c r="E663" s="265" t="str">
        <f>IFERROR(__xludf.DUMMYFUNCTION("""COMPUTED_VALUE"""),"TúPHN")</f>
        <v>TúPHN</v>
      </c>
      <c r="F663" s="265" t="str">
        <f>IFERROR(__xludf.DUMMYFUNCTION("""COMPUTED_VALUE"""),"Silver")</f>
        <v>Silver</v>
      </c>
      <c r="G663" s="265" t="str">
        <f>IFERROR(__xludf.DUMMYFUNCTION("""COMPUTED_VALUE"""),"Premium")</f>
        <v>Premium</v>
      </c>
      <c r="H663" s="265" t="str">
        <f>IFERROR(__xludf.DUMMYFUNCTION("""COMPUTED_VALUE"""),"Trả sau")</f>
        <v>Trả sau</v>
      </c>
      <c r="I663" s="265" t="str">
        <f>IFERROR(__xludf.DUMMYFUNCTION("""COMPUTED_VALUE"""),"API")</f>
        <v>API</v>
      </c>
      <c r="J663" s="265" t="str">
        <f>IFERROR(__xludf.DUMMYFUNCTION("""COMPUTED_VALUE"""),"Không phân công")</f>
        <v>Không phân công</v>
      </c>
    </row>
    <row r="664">
      <c r="A664" s="265" t="str">
        <f>IFERROR(__xludf.DUMMYFUNCTION("""COMPUTED_VALUE"""),"1020")</f>
        <v>1020</v>
      </c>
      <c r="B664" s="265" t="str">
        <f>IFERROR(__xludf.DUMMYFUNCTION("""COMPUTED_VALUE"""),"Sài Gòn")</f>
        <v>Sài Gòn</v>
      </c>
      <c r="C664" s="265" t="str">
        <f>IFERROR(__xludf.DUMMYFUNCTION("""COMPUTED_VALUE"""),"Locked")</f>
        <v>Locked</v>
      </c>
      <c r="D664" s="265" t="str">
        <f>IFERROR(__xludf.DUMMYFUNCTION("""COMPUTED_VALUE"""),"Y tế &amp; Dược phẩm")</f>
        <v>Y tế &amp; Dược phẩm</v>
      </c>
      <c r="E664" s="265" t="str">
        <f>IFERROR(__xludf.DUMMYFUNCTION("""COMPUTED_VALUE"""),"AnhNM")</f>
        <v>AnhNM</v>
      </c>
      <c r="F664" s="265" t="str">
        <f>IFERROR(__xludf.DUMMYFUNCTION("""COMPUTED_VALUE"""),"Bronze")</f>
        <v>Bronze</v>
      </c>
      <c r="G664" s="265" t="str">
        <f>IFERROR(__xludf.DUMMYFUNCTION("""COMPUTED_VALUE"""),"Starter")</f>
        <v>Starter</v>
      </c>
      <c r="H664" s="265" t="str">
        <f>IFERROR(__xludf.DUMMYFUNCTION("""COMPUTED_VALUE"""),"Trial")</f>
        <v>Trial</v>
      </c>
      <c r="I664" s="265" t="str">
        <f>IFERROR(__xludf.DUMMYFUNCTION("""COMPUTED_VALUE"""),"Portal")</f>
        <v>Portal</v>
      </c>
      <c r="J664" s="265" t="str">
        <f>IFERROR(__xludf.DUMMYFUNCTION("""COMPUTED_VALUE"""),"Không phân công")</f>
        <v>Không phân công</v>
      </c>
    </row>
    <row r="665">
      <c r="A665" s="265" t="str">
        <f>IFERROR(__xludf.DUMMYFUNCTION("""COMPUTED_VALUE"""),"1021")</f>
        <v>1021</v>
      </c>
      <c r="B665" s="265" t="str">
        <f>IFERROR(__xludf.DUMMYFUNCTION("""COMPUTED_VALUE"""),"Hà Nội")</f>
        <v>Hà Nội</v>
      </c>
      <c r="C665" s="265" t="str">
        <f>IFERROR(__xludf.DUMMYFUNCTION("""COMPUTED_VALUE"""),"Locked")</f>
        <v>Locked</v>
      </c>
      <c r="D665" s="265" t="str">
        <f>IFERROR(__xludf.DUMMYFUNCTION("""COMPUTED_VALUE"""),"Công nghệ &amp; Phần mềm")</f>
        <v>Công nghệ &amp; Phần mềm</v>
      </c>
      <c r="E665" s="265" t="str">
        <f>IFERROR(__xludf.DUMMYFUNCTION("""COMPUTED_VALUE"""),"TúPHN")</f>
        <v>TúPHN</v>
      </c>
      <c r="F665" s="265" t="str">
        <f>IFERROR(__xludf.DUMMYFUNCTION("""COMPUTED_VALUE"""),"Gold")</f>
        <v>Gold</v>
      </c>
      <c r="G665" s="265" t="str">
        <f>IFERROR(__xludf.DUMMYFUNCTION("""COMPUTED_VALUE"""),"Starter")</f>
        <v>Starter</v>
      </c>
      <c r="H665" s="265" t="str">
        <f>IFERROR(__xludf.DUMMYFUNCTION("""COMPUTED_VALUE"""),"Trả sau")</f>
        <v>Trả sau</v>
      </c>
      <c r="I665" s="265" t="str">
        <f>IFERROR(__xludf.DUMMYFUNCTION("""COMPUTED_VALUE"""),"API")</f>
        <v>API</v>
      </c>
      <c r="J665" s="265" t="str">
        <f>IFERROR(__xludf.DUMMYFUNCTION("""COMPUTED_VALUE"""),"DungPL")</f>
        <v>DungPL</v>
      </c>
    </row>
    <row r="666">
      <c r="A666" s="265" t="str">
        <f>IFERROR(__xludf.DUMMYFUNCTION("""COMPUTED_VALUE"""),"1022")</f>
        <v>1022</v>
      </c>
      <c r="B666" s="265" t="str">
        <f>IFERROR(__xludf.DUMMYFUNCTION("""COMPUTED_VALUE"""),"Sài Gòn")</f>
        <v>Sài Gòn</v>
      </c>
      <c r="C666" s="265" t="str">
        <f>IFERROR(__xludf.DUMMYFUNCTION("""COMPUTED_VALUE"""),"Active")</f>
        <v>Active</v>
      </c>
      <c r="D666" s="265" t="str">
        <f>IFERROR(__xludf.DUMMYFUNCTION("""COMPUTED_VALUE"""),"Mua sắm &amp; Bán lẻ")</f>
        <v>Mua sắm &amp; Bán lẻ</v>
      </c>
      <c r="E666" s="265" t="str">
        <f>IFERROR(__xludf.DUMMYFUNCTION("""COMPUTED_VALUE"""),"TrâmNNB")</f>
        <v>TrâmNNB</v>
      </c>
      <c r="F666" s="265" t="str">
        <f>IFERROR(__xludf.DUMMYFUNCTION("""COMPUTED_VALUE"""),"Diamond")</f>
        <v>Diamond</v>
      </c>
      <c r="G666" s="265" t="str">
        <f>IFERROR(__xludf.DUMMYFUNCTION("""COMPUTED_VALUE"""),"Premium")</f>
        <v>Premium</v>
      </c>
      <c r="H666" s="265" t="str">
        <f>IFERROR(__xludf.DUMMYFUNCTION("""COMPUTED_VALUE"""),"Trả sau")</f>
        <v>Trả sau</v>
      </c>
      <c r="I666" s="265" t="str">
        <f>IFERROR(__xludf.DUMMYFUNCTION("""COMPUTED_VALUE"""),"API")</f>
        <v>API</v>
      </c>
      <c r="J666" s="265" t="str">
        <f>IFERROR(__xludf.DUMMYFUNCTION("""COMPUTED_VALUE"""),"DungVT")</f>
        <v>DungVT</v>
      </c>
    </row>
    <row r="667">
      <c r="A667" s="265" t="str">
        <f>IFERROR(__xludf.DUMMYFUNCTION("""COMPUTED_VALUE"""),"1022")</f>
        <v>1022</v>
      </c>
      <c r="B667" s="265" t="str">
        <f>IFERROR(__xludf.DUMMYFUNCTION("""COMPUTED_VALUE"""),"Sài Gòn")</f>
        <v>Sài Gòn</v>
      </c>
      <c r="C667" s="265" t="str">
        <f>IFERROR(__xludf.DUMMYFUNCTION("""COMPUTED_VALUE"""),"Active")</f>
        <v>Active</v>
      </c>
      <c r="D667" s="265" t="str">
        <f>IFERROR(__xludf.DUMMYFUNCTION("""COMPUTED_VALUE"""),"Mua sắm &amp; Bán lẻ")</f>
        <v>Mua sắm &amp; Bán lẻ</v>
      </c>
      <c r="E667" s="265" t="str">
        <f>IFERROR(__xludf.DUMMYFUNCTION("""COMPUTED_VALUE"""),"TrâmNNB")</f>
        <v>TrâmNNB</v>
      </c>
      <c r="F667" s="265" t="str">
        <f>IFERROR(__xludf.DUMMYFUNCTION("""COMPUTED_VALUE"""),"Diamond")</f>
        <v>Diamond</v>
      </c>
      <c r="G667" s="265" t="str">
        <f>IFERROR(__xludf.DUMMYFUNCTION("""COMPUTED_VALUE"""),"Premium")</f>
        <v>Premium</v>
      </c>
      <c r="H667" s="265" t="str">
        <f>IFERROR(__xludf.DUMMYFUNCTION("""COMPUTED_VALUE"""),"Trả sau")</f>
        <v>Trả sau</v>
      </c>
      <c r="I667" s="265" t="str">
        <f>IFERROR(__xludf.DUMMYFUNCTION("""COMPUTED_VALUE"""),"API")</f>
        <v>API</v>
      </c>
      <c r="J667" s="265" t="str">
        <f>IFERROR(__xludf.DUMMYFUNCTION("""COMPUTED_VALUE"""),"LinhNTT1")</f>
        <v>LinhNTT1</v>
      </c>
    </row>
    <row r="668">
      <c r="A668" s="265" t="str">
        <f>IFERROR(__xludf.DUMMYFUNCTION("""COMPUTED_VALUE"""),"1023")</f>
        <v>1023</v>
      </c>
      <c r="B668" s="265" t="str">
        <f>IFERROR(__xludf.DUMMYFUNCTION("""COMPUTED_VALUE"""),"Hà Nội")</f>
        <v>Hà Nội</v>
      </c>
      <c r="C668" s="265" t="str">
        <f>IFERROR(__xludf.DUMMYFUNCTION("""COMPUTED_VALUE"""),"Active")</f>
        <v>Active</v>
      </c>
      <c r="D668" s="265" t="str">
        <f>IFERROR(__xludf.DUMMYFUNCTION("""COMPUTED_VALUE"""),"Tài chính &amp; Ngân hàng")</f>
        <v>Tài chính &amp; Ngân hàng</v>
      </c>
      <c r="E668" s="265" t="str">
        <f>IFERROR(__xludf.DUMMYFUNCTION("""COMPUTED_VALUE"""),"Không phân công")</f>
        <v>Không phân công</v>
      </c>
      <c r="F668" s="265" t="str">
        <f>IFERROR(__xludf.DUMMYFUNCTION("""COMPUTED_VALUE"""),"Diamond")</f>
        <v>Diamond</v>
      </c>
      <c r="G668" s="265" t="str">
        <f>IFERROR(__xludf.DUMMYFUNCTION("""COMPUTED_VALUE"""),"Starter")</f>
        <v>Starter</v>
      </c>
      <c r="H668" s="265" t="str">
        <f>IFERROR(__xludf.DUMMYFUNCTION("""COMPUTED_VALUE"""),"Trả sau")</f>
        <v>Trả sau</v>
      </c>
      <c r="I668" s="265" t="str">
        <f>IFERROR(__xludf.DUMMYFUNCTION("""COMPUTED_VALUE"""),"API")</f>
        <v>API</v>
      </c>
      <c r="J668" s="265" t="str">
        <f>IFERROR(__xludf.DUMMYFUNCTION("""COMPUTED_VALUE"""),"DungVT")</f>
        <v>DungVT</v>
      </c>
    </row>
    <row r="669">
      <c r="A669" s="265" t="str">
        <f>IFERROR(__xludf.DUMMYFUNCTION("""COMPUTED_VALUE"""),"1024")</f>
        <v>1024</v>
      </c>
      <c r="B669" s="265" t="str">
        <f>IFERROR(__xludf.DUMMYFUNCTION("""COMPUTED_VALUE"""),"Hà Nội")</f>
        <v>Hà Nội</v>
      </c>
      <c r="C669" s="265" t="str">
        <f>IFERROR(__xludf.DUMMYFUNCTION("""COMPUTED_VALUE"""),"Active")</f>
        <v>Active</v>
      </c>
      <c r="D669" s="265" t="str">
        <f>IFERROR(__xludf.DUMMYFUNCTION("""COMPUTED_VALUE"""),"Tài chính &amp; Ngân hàng")</f>
        <v>Tài chính &amp; Ngân hàng</v>
      </c>
      <c r="E669" s="265" t="str">
        <f>IFERROR(__xludf.DUMMYFUNCTION("""COMPUTED_VALUE"""),"Không phân công")</f>
        <v>Không phân công</v>
      </c>
      <c r="F669" s="265" t="str">
        <f>IFERROR(__xludf.DUMMYFUNCTION("""COMPUTED_VALUE"""),"Diamond")</f>
        <v>Diamond</v>
      </c>
      <c r="G669" s="265" t="str">
        <f>IFERROR(__xludf.DUMMYFUNCTION("""COMPUTED_VALUE"""),"Starter")</f>
        <v>Starter</v>
      </c>
      <c r="H669" s="265" t="str">
        <f>IFERROR(__xludf.DUMMYFUNCTION("""COMPUTED_VALUE"""),"Trả sau")</f>
        <v>Trả sau</v>
      </c>
      <c r="I669" s="265" t="str">
        <f>IFERROR(__xludf.DUMMYFUNCTION("""COMPUTED_VALUE"""),"API")</f>
        <v>API</v>
      </c>
      <c r="J669" s="265" t="str">
        <f>IFERROR(__xludf.DUMMYFUNCTION("""COMPUTED_VALUE"""),"DungVT")</f>
        <v>DungVT</v>
      </c>
    </row>
    <row r="670">
      <c r="A670" s="265" t="str">
        <f>IFERROR(__xludf.DUMMYFUNCTION("""COMPUTED_VALUE"""),"1025")</f>
        <v>1025</v>
      </c>
      <c r="B670" s="265" t="str">
        <f>IFERROR(__xludf.DUMMYFUNCTION("""COMPUTED_VALUE"""),"Sài Gòn")</f>
        <v>Sài Gòn</v>
      </c>
      <c r="C670" s="265" t="str">
        <f>IFERROR(__xludf.DUMMYFUNCTION("""COMPUTED_VALUE"""),"Locked")</f>
        <v>Locked</v>
      </c>
      <c r="D670" s="265" t="str">
        <f>IFERROR(__xludf.DUMMYFUNCTION("""COMPUTED_VALUE"""),"Viễn thông")</f>
        <v>Viễn thông</v>
      </c>
      <c r="E670" s="265" t="str">
        <f>IFERROR(__xludf.DUMMYFUNCTION("""COMPUTED_VALUE"""),"TùngLD")</f>
        <v>TùngLD</v>
      </c>
      <c r="F670" s="265" t="str">
        <f>IFERROR(__xludf.DUMMYFUNCTION("""COMPUTED_VALUE"""),"Bronze")</f>
        <v>Bronze</v>
      </c>
      <c r="G670" s="265" t="str">
        <f>IFERROR(__xludf.DUMMYFUNCTION("""COMPUTED_VALUE"""),"Standard")</f>
        <v>Standard</v>
      </c>
      <c r="H670" s="265" t="str">
        <f>IFERROR(__xludf.DUMMYFUNCTION("""COMPUTED_VALUE"""),"Trả sau")</f>
        <v>Trả sau</v>
      </c>
      <c r="I670" s="265" t="str">
        <f>IFERROR(__xludf.DUMMYFUNCTION("""COMPUTED_VALUE"""),"Portal")</f>
        <v>Portal</v>
      </c>
      <c r="J670" s="265" t="str">
        <f>IFERROR(__xludf.DUMMYFUNCTION("""COMPUTED_VALUE"""),"DungPL")</f>
        <v>DungPL</v>
      </c>
    </row>
    <row r="671">
      <c r="A671" s="265" t="str">
        <f>IFERROR(__xludf.DUMMYFUNCTION("""COMPUTED_VALUE"""),"1026")</f>
        <v>1026</v>
      </c>
      <c r="B671" s="265" t="str">
        <f>IFERROR(__xludf.DUMMYFUNCTION("""COMPUTED_VALUE"""),"Sài Gòn")</f>
        <v>Sài Gòn</v>
      </c>
      <c r="C671" s="265" t="str">
        <f>IFERROR(__xludf.DUMMYFUNCTION("""COMPUTED_VALUE"""),"Active")</f>
        <v>Active</v>
      </c>
      <c r="D671" s="265" t="str">
        <f>IFERROR(__xludf.DUMMYFUNCTION("""COMPUTED_VALUE"""),"Du lịch &amp; Lưu trú")</f>
        <v>Du lịch &amp; Lưu trú</v>
      </c>
      <c r="E671" s="265" t="str">
        <f>IFERROR(__xludf.DUMMYFUNCTION("""COMPUTED_VALUE"""),"TùngLD")</f>
        <v>TùngLD</v>
      </c>
      <c r="F671" s="265" t="str">
        <f>IFERROR(__xludf.DUMMYFUNCTION("""COMPUTED_VALUE"""),"Sale chưa cung cấp")</f>
        <v>Sale chưa cung cấp</v>
      </c>
      <c r="G671" s="265" t="str">
        <f>IFERROR(__xludf.DUMMYFUNCTION("""COMPUTED_VALUE"""),"Standard")</f>
        <v>Standard</v>
      </c>
      <c r="H671" s="265" t="str">
        <f>IFERROR(__xludf.DUMMYFUNCTION("""COMPUTED_VALUE"""),"Trả sau")</f>
        <v>Trả sau</v>
      </c>
      <c r="I671" s="265" t="str">
        <f>IFERROR(__xludf.DUMMYFUNCTION("""COMPUTED_VALUE"""),"API")</f>
        <v>API</v>
      </c>
      <c r="J671" s="265" t="str">
        <f>IFERROR(__xludf.DUMMYFUNCTION("""COMPUTED_VALUE"""),"YếnĐH")</f>
        <v>YếnĐH</v>
      </c>
    </row>
    <row r="672">
      <c r="A672" s="265" t="str">
        <f>IFERROR(__xludf.DUMMYFUNCTION("""COMPUTED_VALUE"""),"1027")</f>
        <v>1027</v>
      </c>
      <c r="B672" s="265" t="str">
        <f>IFERROR(__xludf.DUMMYFUNCTION("""COMPUTED_VALUE"""),"Hà Nội")</f>
        <v>Hà Nội</v>
      </c>
      <c r="C672" s="265" t="str">
        <f>IFERROR(__xludf.DUMMYFUNCTION("""COMPUTED_VALUE"""),"Locked")</f>
        <v>Locked</v>
      </c>
      <c r="D672" s="265" t="str">
        <f>IFERROR(__xludf.DUMMYFUNCTION("""COMPUTED_VALUE"""),"Truyền thông &amp; Giải trí")</f>
        <v>Truyền thông &amp; Giải trí</v>
      </c>
      <c r="E672" s="265" t="str">
        <f>IFERROR(__xludf.DUMMYFUNCTION("""COMPUTED_VALUE"""),"TùngLD")</f>
        <v>TùngLD</v>
      </c>
      <c r="F672" s="265" t="str">
        <f>IFERROR(__xludf.DUMMYFUNCTION("""COMPUTED_VALUE"""),"Silver")</f>
        <v>Silver</v>
      </c>
      <c r="G672" s="265" t="str">
        <f>IFERROR(__xludf.DUMMYFUNCTION("""COMPUTED_VALUE"""),"Starter")</f>
        <v>Starter</v>
      </c>
      <c r="H672" s="265" t="str">
        <f>IFERROR(__xludf.DUMMYFUNCTION("""COMPUTED_VALUE"""),"Trial")</f>
        <v>Trial</v>
      </c>
      <c r="I672" s="265" t="str">
        <f>IFERROR(__xludf.DUMMYFUNCTION("""COMPUTED_VALUE"""),"API &amp; Portal")</f>
        <v>API &amp; Portal</v>
      </c>
      <c r="J672" s="265" t="str">
        <f>IFERROR(__xludf.DUMMYFUNCTION("""COMPUTED_VALUE"""),"DungPL")</f>
        <v>DungPL</v>
      </c>
    </row>
    <row r="673">
      <c r="A673" s="265" t="str">
        <f>IFERROR(__xludf.DUMMYFUNCTION("""COMPUTED_VALUE"""),"1028")</f>
        <v>1028</v>
      </c>
      <c r="B673" s="265" t="str">
        <f>IFERROR(__xludf.DUMMYFUNCTION("""COMPUTED_VALUE"""),"Hà Nội")</f>
        <v>Hà Nội</v>
      </c>
      <c r="C673" s="265" t="str">
        <f>IFERROR(__xludf.DUMMYFUNCTION("""COMPUTED_VALUE"""),"Locked")</f>
        <v>Locked</v>
      </c>
      <c r="D673" s="265" t="str">
        <f>IFERROR(__xludf.DUMMYFUNCTION("""COMPUTED_VALUE"""),"Thời trang &amp; May mặc")</f>
        <v>Thời trang &amp; May mặc</v>
      </c>
      <c r="E673" s="265" t="str">
        <f>IFERROR(__xludf.DUMMYFUNCTION("""COMPUTED_VALUE"""),"AnhNM")</f>
        <v>AnhNM</v>
      </c>
      <c r="F673" s="265" t="str">
        <f>IFERROR(__xludf.DUMMYFUNCTION("""COMPUTED_VALUE"""),"Diamond")</f>
        <v>Diamond</v>
      </c>
      <c r="G673" s="265" t="str">
        <f>IFERROR(__xludf.DUMMYFUNCTION("""COMPUTED_VALUE"""),"Standard")</f>
        <v>Standard</v>
      </c>
      <c r="H673" s="265" t="str">
        <f>IFERROR(__xludf.DUMMYFUNCTION("""COMPUTED_VALUE"""),"Trial")</f>
        <v>Trial</v>
      </c>
      <c r="I673" s="265" t="str">
        <f>IFERROR(__xludf.DUMMYFUNCTION("""COMPUTED_VALUE"""),"API")</f>
        <v>API</v>
      </c>
      <c r="J673" s="265" t="str">
        <f>IFERROR(__xludf.DUMMYFUNCTION("""COMPUTED_VALUE"""),"LinhNTT1")</f>
        <v>LinhNTT1</v>
      </c>
    </row>
    <row r="674">
      <c r="A674" s="265" t="str">
        <f>IFERROR(__xludf.DUMMYFUNCTION("""COMPUTED_VALUE"""),"1035")</f>
        <v>1035</v>
      </c>
      <c r="B674" s="265" t="str">
        <f>IFERROR(__xludf.DUMMYFUNCTION("""COMPUTED_VALUE"""),"Hà Nội")</f>
        <v>Hà Nội</v>
      </c>
      <c r="C674" s="265" t="str">
        <f>IFERROR(__xludf.DUMMYFUNCTION("""COMPUTED_VALUE"""),"Active")</f>
        <v>Active</v>
      </c>
      <c r="D674" s="265" t="str">
        <f>IFERROR(__xludf.DUMMYFUNCTION("""COMPUTED_VALUE"""),"Thời trang &amp; May mặc")</f>
        <v>Thời trang &amp; May mặc</v>
      </c>
      <c r="E674" s="265" t="str">
        <f>IFERROR(__xludf.DUMMYFUNCTION("""COMPUTED_VALUE"""),"AnhNM")</f>
        <v>AnhNM</v>
      </c>
      <c r="F674" s="265" t="str">
        <f>IFERROR(__xludf.DUMMYFUNCTION("""COMPUTED_VALUE"""),"Diamond")</f>
        <v>Diamond</v>
      </c>
      <c r="G674" s="265" t="str">
        <f>IFERROR(__xludf.DUMMYFUNCTION("""COMPUTED_VALUE"""),"Standard")</f>
        <v>Standard</v>
      </c>
      <c r="H674" s="265" t="str">
        <f>IFERROR(__xludf.DUMMYFUNCTION("""COMPUTED_VALUE"""),"Trả sau")</f>
        <v>Trả sau</v>
      </c>
      <c r="I674" s="265" t="str">
        <f>IFERROR(__xludf.DUMMYFUNCTION("""COMPUTED_VALUE"""),"API")</f>
        <v>API</v>
      </c>
      <c r="J674" s="265" t="str">
        <f>IFERROR(__xludf.DUMMYFUNCTION("""COMPUTED_VALUE"""),"LinhNTT1")</f>
        <v>LinhNTT1</v>
      </c>
    </row>
    <row r="675">
      <c r="A675" s="265" t="str">
        <f>IFERROR(__xludf.DUMMYFUNCTION("""COMPUTED_VALUE"""),"1029")</f>
        <v>1029</v>
      </c>
      <c r="B675" s="265" t="str">
        <f>IFERROR(__xludf.DUMMYFUNCTION("""COMPUTED_VALUE"""),"Sài Gòn")</f>
        <v>Sài Gòn</v>
      </c>
      <c r="C675" s="265" t="str">
        <f>IFERROR(__xludf.DUMMYFUNCTION("""COMPUTED_VALUE"""),"Active")</f>
        <v>Active</v>
      </c>
      <c r="D675" s="265" t="str">
        <f>IFERROR(__xludf.DUMMYFUNCTION("""COMPUTED_VALUE"""),"Thực phẩm &amp; Đồ uống")</f>
        <v>Thực phẩm &amp; Đồ uống</v>
      </c>
      <c r="E675" s="265" t="str">
        <f>IFERROR(__xludf.DUMMYFUNCTION("""COMPUTED_VALUE"""),"Không phân công")</f>
        <v>Không phân công</v>
      </c>
      <c r="F675" s="265" t="str">
        <f>IFERROR(__xludf.DUMMYFUNCTION("""COMPUTED_VALUE"""),"Bronze")</f>
        <v>Bronze</v>
      </c>
      <c r="G675" s="265" t="str">
        <f>IFERROR(__xludf.DUMMYFUNCTION("""COMPUTED_VALUE"""),"Standard")</f>
        <v>Standard</v>
      </c>
      <c r="H675" s="265" t="str">
        <f>IFERROR(__xludf.DUMMYFUNCTION("""COMPUTED_VALUE"""),"Trả sau")</f>
        <v>Trả sau</v>
      </c>
      <c r="I675" s="265" t="str">
        <f>IFERROR(__xludf.DUMMYFUNCTION("""COMPUTED_VALUE"""),"API &amp; Portal")</f>
        <v>API &amp; Portal</v>
      </c>
      <c r="J675" s="265" t="str">
        <f>IFERROR(__xludf.DUMMYFUNCTION("""COMPUTED_VALUE"""),"LinhNTT1")</f>
        <v>LinhNTT1</v>
      </c>
    </row>
    <row r="676">
      <c r="A676" s="265" t="str">
        <f>IFERROR(__xludf.DUMMYFUNCTION("""COMPUTED_VALUE"""),"1030")</f>
        <v>1030</v>
      </c>
      <c r="B676" s="265" t="str">
        <f>IFERROR(__xludf.DUMMYFUNCTION("""COMPUTED_VALUE"""),"Hà Nội")</f>
        <v>Hà Nội</v>
      </c>
      <c r="C676" s="265" t="str">
        <f>IFERROR(__xludf.DUMMYFUNCTION("""COMPUTED_VALUE"""),"Active")</f>
        <v>Active</v>
      </c>
      <c r="D676" s="265" t="str">
        <f>IFERROR(__xludf.DUMMYFUNCTION("""COMPUTED_VALUE"""),"Sale chưa cung cấp")</f>
        <v>Sale chưa cung cấp</v>
      </c>
      <c r="E676" s="265" t="str">
        <f>IFERROR(__xludf.DUMMYFUNCTION("""COMPUTED_VALUE"""),"TùngLD")</f>
        <v>TùngLD</v>
      </c>
      <c r="F676" s="265" t="str">
        <f>IFERROR(__xludf.DUMMYFUNCTION("""COMPUTED_VALUE"""),"Gold")</f>
        <v>Gold</v>
      </c>
      <c r="G676" s="265" t="str">
        <f>IFERROR(__xludf.DUMMYFUNCTION("""COMPUTED_VALUE"""),"Premium")</f>
        <v>Premium</v>
      </c>
      <c r="H676" s="265" t="str">
        <f>IFERROR(__xludf.DUMMYFUNCTION("""COMPUTED_VALUE"""),"Trả sau")</f>
        <v>Trả sau</v>
      </c>
      <c r="I676" s="265" t="str">
        <f>IFERROR(__xludf.DUMMYFUNCTION("""COMPUTED_VALUE"""),"API")</f>
        <v>API</v>
      </c>
      <c r="J676" s="265" t="str">
        <f>IFERROR(__xludf.DUMMYFUNCTION("""COMPUTED_VALUE"""),"LinhNTT1")</f>
        <v>LinhNTT1</v>
      </c>
    </row>
    <row r="677">
      <c r="A677" s="265" t="str">
        <f>IFERROR(__xludf.DUMMYFUNCTION("""COMPUTED_VALUE"""),"1031")</f>
        <v>1031</v>
      </c>
      <c r="B677" s="265" t="str">
        <f>IFERROR(__xludf.DUMMYFUNCTION("""COMPUTED_VALUE"""),"Hà Nội")</f>
        <v>Hà Nội</v>
      </c>
      <c r="C677" s="265" t="str">
        <f>IFERROR(__xludf.DUMMYFUNCTION("""COMPUTED_VALUE"""),"Active")</f>
        <v>Active</v>
      </c>
      <c r="D677" s="265" t="str">
        <f>IFERROR(__xludf.DUMMYFUNCTION("""COMPUTED_VALUE"""),"Viễn thông")</f>
        <v>Viễn thông</v>
      </c>
      <c r="E677" s="265" t="str">
        <f>IFERROR(__xludf.DUMMYFUNCTION("""COMPUTED_VALUE"""),"TùngLD")</f>
        <v>TùngLD</v>
      </c>
      <c r="F677" s="265" t="str">
        <f>IFERROR(__xludf.DUMMYFUNCTION("""COMPUTED_VALUE"""),"Gold")</f>
        <v>Gold</v>
      </c>
      <c r="G677" s="265" t="str">
        <f>IFERROR(__xludf.DUMMYFUNCTION("""COMPUTED_VALUE"""),"Enterprise")</f>
        <v>Enterprise</v>
      </c>
      <c r="H677" s="265" t="str">
        <f>IFERROR(__xludf.DUMMYFUNCTION("""COMPUTED_VALUE"""),"Trả trước")</f>
        <v>Trả trước</v>
      </c>
      <c r="I677" s="265" t="str">
        <f>IFERROR(__xludf.DUMMYFUNCTION("""COMPUTED_VALUE"""),"API")</f>
        <v>API</v>
      </c>
      <c r="J677" s="265" t="str">
        <f>IFERROR(__xludf.DUMMYFUNCTION("""COMPUTED_VALUE"""),"YếnĐH")</f>
        <v>YếnĐH</v>
      </c>
    </row>
    <row r="678">
      <c r="A678" s="265" t="str">
        <f>IFERROR(__xludf.DUMMYFUNCTION("""COMPUTED_VALUE"""),"1032")</f>
        <v>1032</v>
      </c>
      <c r="B678" s="265" t="str">
        <f>IFERROR(__xludf.DUMMYFUNCTION("""COMPUTED_VALUE"""),"Sài Gòn")</f>
        <v>Sài Gòn</v>
      </c>
      <c r="C678" s="265" t="str">
        <f>IFERROR(__xludf.DUMMYFUNCTION("""COMPUTED_VALUE"""),"Active")</f>
        <v>Active</v>
      </c>
      <c r="D678" s="265" t="str">
        <f>IFERROR(__xludf.DUMMYFUNCTION("""COMPUTED_VALUE"""),"Mua sắm &amp; Bán lẻ")</f>
        <v>Mua sắm &amp; Bán lẻ</v>
      </c>
      <c r="E678" s="265" t="str">
        <f>IFERROR(__xludf.DUMMYFUNCTION("""COMPUTED_VALUE"""),"TrâmNNB")</f>
        <v>TrâmNNB</v>
      </c>
      <c r="F678" s="265" t="str">
        <f>IFERROR(__xludf.DUMMYFUNCTION("""COMPUTED_VALUE"""),"Sale chưa cung cấp")</f>
        <v>Sale chưa cung cấp</v>
      </c>
      <c r="G678" s="265" t="str">
        <f>IFERROR(__xludf.DUMMYFUNCTION("""COMPUTED_VALUE"""),"Premium")</f>
        <v>Premium</v>
      </c>
      <c r="H678" s="265" t="str">
        <f>IFERROR(__xludf.DUMMYFUNCTION("""COMPUTED_VALUE"""),"Trả trước")</f>
        <v>Trả trước</v>
      </c>
      <c r="I678" s="265" t="str">
        <f>IFERROR(__xludf.DUMMYFUNCTION("""COMPUTED_VALUE"""),"API &amp; Portal")</f>
        <v>API &amp; Portal</v>
      </c>
      <c r="J678" s="265" t="str">
        <f>IFERROR(__xludf.DUMMYFUNCTION("""COMPUTED_VALUE"""),"LinhNTT1")</f>
        <v>LinhNTT1</v>
      </c>
    </row>
    <row r="679">
      <c r="A679" s="265" t="str">
        <f>IFERROR(__xludf.DUMMYFUNCTION("""COMPUTED_VALUE"""),"1033")</f>
        <v>1033</v>
      </c>
      <c r="B679" s="265" t="str">
        <f>IFERROR(__xludf.DUMMYFUNCTION("""COMPUTED_VALUE"""),"Sài Gòn")</f>
        <v>Sài Gòn</v>
      </c>
      <c r="C679" s="265" t="str">
        <f>IFERROR(__xludf.DUMMYFUNCTION("""COMPUTED_VALUE"""),"Active")</f>
        <v>Active</v>
      </c>
      <c r="D679" s="265" t="str">
        <f>IFERROR(__xludf.DUMMYFUNCTION("""COMPUTED_VALUE"""),"Y tế &amp; Dược phẩm")</f>
        <v>Y tế &amp; Dược phẩm</v>
      </c>
      <c r="E679" s="265" t="str">
        <f>IFERROR(__xludf.DUMMYFUNCTION("""COMPUTED_VALUE"""),"AnhNM")</f>
        <v>AnhNM</v>
      </c>
      <c r="F679" s="265" t="str">
        <f>IFERROR(__xludf.DUMMYFUNCTION("""COMPUTED_VALUE"""),"Bronze")</f>
        <v>Bronze</v>
      </c>
      <c r="G679" s="265" t="str">
        <f>IFERROR(__xludf.DUMMYFUNCTION("""COMPUTED_VALUE"""),"Enterprise")</f>
        <v>Enterprise</v>
      </c>
      <c r="H679" s="265" t="str">
        <f>IFERROR(__xludf.DUMMYFUNCTION("""COMPUTED_VALUE"""),"Trả trước")</f>
        <v>Trả trước</v>
      </c>
      <c r="I679" s="265" t="str">
        <f>IFERROR(__xludf.DUMMYFUNCTION("""COMPUTED_VALUE"""),"Portal")</f>
        <v>Portal</v>
      </c>
      <c r="J679" s="265" t="str">
        <f>IFERROR(__xludf.DUMMYFUNCTION("""COMPUTED_VALUE"""),"LinhNTT1")</f>
        <v>LinhNTT1</v>
      </c>
    </row>
    <row r="680">
      <c r="A680" s="265" t="str">
        <f>IFERROR(__xludf.DUMMYFUNCTION("""COMPUTED_VALUE"""),"1036")</f>
        <v>1036</v>
      </c>
      <c r="B680" s="265" t="str">
        <f>IFERROR(__xludf.DUMMYFUNCTION("""COMPUTED_VALUE"""),"Hà Nội")</f>
        <v>Hà Nội</v>
      </c>
      <c r="C680" s="265" t="str">
        <f>IFERROR(__xludf.DUMMYFUNCTION("""COMPUTED_VALUE"""),"Active")</f>
        <v>Active</v>
      </c>
      <c r="D680" s="265" t="str">
        <f>IFERROR(__xludf.DUMMYFUNCTION("""COMPUTED_VALUE"""),"Dịch vụ khác")</f>
        <v>Dịch vụ khác</v>
      </c>
      <c r="E680" s="265" t="str">
        <f>IFERROR(__xludf.DUMMYFUNCTION("""COMPUTED_VALUE"""),"Không phân công")</f>
        <v>Không phân công</v>
      </c>
      <c r="F680" s="265" t="str">
        <f>IFERROR(__xludf.DUMMYFUNCTION("""COMPUTED_VALUE"""),"Silver")</f>
        <v>Silver</v>
      </c>
      <c r="G680" s="265" t="str">
        <f>IFERROR(__xludf.DUMMYFUNCTION("""COMPUTED_VALUE"""),"Starter")</f>
        <v>Starter</v>
      </c>
      <c r="H680" s="265" t="str">
        <f>IFERROR(__xludf.DUMMYFUNCTION("""COMPUTED_VALUE"""),"Trial")</f>
        <v>Trial</v>
      </c>
      <c r="I680" s="265" t="str">
        <f>IFERROR(__xludf.DUMMYFUNCTION("""COMPUTED_VALUE"""),"API")</f>
        <v>API</v>
      </c>
      <c r="J680" s="265" t="str">
        <f>IFERROR(__xludf.DUMMYFUNCTION("""COMPUTED_VALUE"""),"DungPL")</f>
        <v>DungPL</v>
      </c>
    </row>
    <row r="681">
      <c r="A681" s="265" t="str">
        <f>IFERROR(__xludf.DUMMYFUNCTION("""COMPUTED_VALUE"""),"1039")</f>
        <v>1039</v>
      </c>
      <c r="B681" s="265" t="str">
        <f>IFERROR(__xludf.DUMMYFUNCTION("""COMPUTED_VALUE"""),"Sài Gòn")</f>
        <v>Sài Gòn</v>
      </c>
      <c r="C681" s="265" t="str">
        <f>IFERROR(__xludf.DUMMYFUNCTION("""COMPUTED_VALUE"""),"Active")</f>
        <v>Active</v>
      </c>
      <c r="D681" s="265" t="str">
        <f>IFERROR(__xludf.DUMMYFUNCTION("""COMPUTED_VALUE"""),"Dịch vụ khác")</f>
        <v>Dịch vụ khác</v>
      </c>
      <c r="E681" s="265" t="str">
        <f>IFERROR(__xludf.DUMMYFUNCTION("""COMPUTED_VALUE"""),"Không phân công")</f>
        <v>Không phân công</v>
      </c>
      <c r="F681" s="265" t="str">
        <f>IFERROR(__xludf.DUMMYFUNCTION("""COMPUTED_VALUE"""),"Diamond")</f>
        <v>Diamond</v>
      </c>
      <c r="G681" s="265" t="str">
        <f>IFERROR(__xludf.DUMMYFUNCTION("""COMPUTED_VALUE"""),"Starter")</f>
        <v>Starter</v>
      </c>
      <c r="H681" s="265" t="str">
        <f>IFERROR(__xludf.DUMMYFUNCTION("""COMPUTED_VALUE"""),"Trả trước")</f>
        <v>Trả trước</v>
      </c>
      <c r="I681" s="265" t="str">
        <f>IFERROR(__xludf.DUMMYFUNCTION("""COMPUTED_VALUE"""),"API")</f>
        <v>API</v>
      </c>
      <c r="J681" s="265" t="str">
        <f>IFERROR(__xludf.DUMMYFUNCTION("""COMPUTED_VALUE"""),"LinhNTT1")</f>
        <v>LinhNTT1</v>
      </c>
    </row>
    <row r="682">
      <c r="A682" s="265" t="str">
        <f>IFERROR(__xludf.DUMMYFUNCTION("""COMPUTED_VALUE"""),"1040")</f>
        <v>1040</v>
      </c>
      <c r="B682" s="265" t="str">
        <f>IFERROR(__xludf.DUMMYFUNCTION("""COMPUTED_VALUE"""),"Hà Nội")</f>
        <v>Hà Nội</v>
      </c>
      <c r="C682" s="265" t="str">
        <f>IFERROR(__xludf.DUMMYFUNCTION("""COMPUTED_VALUE"""),"Active")</f>
        <v>Active</v>
      </c>
      <c r="D682" s="265" t="str">
        <f>IFERROR(__xludf.DUMMYFUNCTION("""COMPUTED_VALUE"""),"Truyền thông &amp; Giải trí")</f>
        <v>Truyền thông &amp; Giải trí</v>
      </c>
      <c r="E682" s="265" t="str">
        <f>IFERROR(__xludf.DUMMYFUNCTION("""COMPUTED_VALUE"""),"AnhNM")</f>
        <v>AnhNM</v>
      </c>
      <c r="F682" s="265" t="str">
        <f>IFERROR(__xludf.DUMMYFUNCTION("""COMPUTED_VALUE"""),"Diamond")</f>
        <v>Diamond</v>
      </c>
      <c r="G682" s="265" t="str">
        <f>IFERROR(__xludf.DUMMYFUNCTION("""COMPUTED_VALUE"""),"Enterprise")</f>
        <v>Enterprise</v>
      </c>
      <c r="H682" s="265" t="str">
        <f>IFERROR(__xludf.DUMMYFUNCTION("""COMPUTED_VALUE"""),"Trial")</f>
        <v>Trial</v>
      </c>
      <c r="I682" s="265" t="str">
        <f>IFERROR(__xludf.DUMMYFUNCTION("""COMPUTED_VALUE"""),"API")</f>
        <v>API</v>
      </c>
      <c r="J682" s="265" t="str">
        <f>IFERROR(__xludf.DUMMYFUNCTION("""COMPUTED_VALUE"""),"Không phân công")</f>
        <v>Không phân công</v>
      </c>
    </row>
    <row r="683">
      <c r="A683" s="265" t="str">
        <f>IFERROR(__xludf.DUMMYFUNCTION("""COMPUTED_VALUE"""),"1038")</f>
        <v>1038</v>
      </c>
      <c r="B683" s="265" t="str">
        <f>IFERROR(__xludf.DUMMYFUNCTION("""COMPUTED_VALUE"""),"Hà Nội")</f>
        <v>Hà Nội</v>
      </c>
      <c r="C683" s="265" t="str">
        <f>IFERROR(__xludf.DUMMYFUNCTION("""COMPUTED_VALUE"""),"Active")</f>
        <v>Active</v>
      </c>
      <c r="D683" s="265" t="str">
        <f>IFERROR(__xludf.DUMMYFUNCTION("""COMPUTED_VALUE"""),"Y tế &amp; Dược phẩm")</f>
        <v>Y tế &amp; Dược phẩm</v>
      </c>
      <c r="E683" s="265" t="str">
        <f>IFERROR(__xludf.DUMMYFUNCTION("""COMPUTED_VALUE"""),"Không phân công")</f>
        <v>Không phân công</v>
      </c>
      <c r="F683" s="265" t="str">
        <f>IFERROR(__xludf.DUMMYFUNCTION("""COMPUTED_VALUE"""),"Bronze")</f>
        <v>Bronze</v>
      </c>
      <c r="G683" s="265" t="str">
        <f>IFERROR(__xludf.DUMMYFUNCTION("""COMPUTED_VALUE"""),"Starter")</f>
        <v>Starter</v>
      </c>
      <c r="H683" s="265" t="str">
        <f>IFERROR(__xludf.DUMMYFUNCTION("""COMPUTED_VALUE"""),"Trả sau")</f>
        <v>Trả sau</v>
      </c>
      <c r="I683" s="265" t="str">
        <f>IFERROR(__xludf.DUMMYFUNCTION("""COMPUTED_VALUE"""),"API &amp; Portal")</f>
        <v>API &amp; Portal</v>
      </c>
      <c r="J683" s="265" t="str">
        <f>IFERROR(__xludf.DUMMYFUNCTION("""COMPUTED_VALUE"""),"DungVT")</f>
        <v>DungVT</v>
      </c>
    </row>
    <row r="684">
      <c r="A684" s="265" t="str">
        <f>IFERROR(__xludf.DUMMYFUNCTION("""COMPUTED_VALUE"""),"1043")</f>
        <v>1043</v>
      </c>
      <c r="B684" s="265" t="str">
        <f>IFERROR(__xludf.DUMMYFUNCTION("""COMPUTED_VALUE"""),"Sài Gòn")</f>
        <v>Sài Gòn</v>
      </c>
      <c r="C684" s="265" t="str">
        <f>IFERROR(__xludf.DUMMYFUNCTION("""COMPUTED_VALUE"""),"Active")</f>
        <v>Active</v>
      </c>
      <c r="D684" s="265" t="str">
        <f>IFERROR(__xludf.DUMMYFUNCTION("""COMPUTED_VALUE"""),"Thực phẩm &amp; Đồ uống")</f>
        <v>Thực phẩm &amp; Đồ uống</v>
      </c>
      <c r="E684" s="265" t="str">
        <f>IFERROR(__xludf.DUMMYFUNCTION("""COMPUTED_VALUE"""),"TúPHN")</f>
        <v>TúPHN</v>
      </c>
      <c r="F684" s="265" t="str">
        <f>IFERROR(__xludf.DUMMYFUNCTION("""COMPUTED_VALUE"""),"Bronze")</f>
        <v>Bronze</v>
      </c>
      <c r="G684" s="265" t="str">
        <f>IFERROR(__xludf.DUMMYFUNCTION("""COMPUTED_VALUE"""),"Premium")</f>
        <v>Premium</v>
      </c>
      <c r="H684" s="265" t="str">
        <f>IFERROR(__xludf.DUMMYFUNCTION("""COMPUTED_VALUE"""),"Trial")</f>
        <v>Trial</v>
      </c>
      <c r="I684" s="265" t="str">
        <f>IFERROR(__xludf.DUMMYFUNCTION("""COMPUTED_VALUE"""),"Portal")</f>
        <v>Portal</v>
      </c>
      <c r="J684" s="265" t="str">
        <f>IFERROR(__xludf.DUMMYFUNCTION("""COMPUTED_VALUE"""),"Không phân công")</f>
        <v>Không phân công</v>
      </c>
    </row>
    <row r="685">
      <c r="A685" s="265" t="str">
        <f>IFERROR(__xludf.DUMMYFUNCTION("""COMPUTED_VALUE"""),"1044")</f>
        <v>1044</v>
      </c>
      <c r="B685" s="265" t="str">
        <f>IFERROR(__xludf.DUMMYFUNCTION("""COMPUTED_VALUE"""),"Hà Nội")</f>
        <v>Hà Nội</v>
      </c>
      <c r="C685" s="265" t="str">
        <f>IFERROR(__xludf.DUMMYFUNCTION("""COMPUTED_VALUE"""),"Active")</f>
        <v>Active</v>
      </c>
      <c r="D685" s="265" t="str">
        <f>IFERROR(__xludf.DUMMYFUNCTION("""COMPUTED_VALUE"""),"Giáo dục &amp; Đào tạo")</f>
        <v>Giáo dục &amp; Đào tạo</v>
      </c>
      <c r="E685" s="265" t="str">
        <f>IFERROR(__xludf.DUMMYFUNCTION("""COMPUTED_VALUE"""),"TúPHN")</f>
        <v>TúPHN</v>
      </c>
      <c r="F685" s="265" t="str">
        <f>IFERROR(__xludf.DUMMYFUNCTION("""COMPUTED_VALUE"""),"Bronze")</f>
        <v>Bronze</v>
      </c>
      <c r="G685" s="265" t="str">
        <f>IFERROR(__xludf.DUMMYFUNCTION("""COMPUTED_VALUE"""),"Starter")</f>
        <v>Starter</v>
      </c>
      <c r="H685" s="265" t="str">
        <f>IFERROR(__xludf.DUMMYFUNCTION("""COMPUTED_VALUE"""),"Trả trước")</f>
        <v>Trả trước</v>
      </c>
      <c r="I685" s="265" t="str">
        <f>IFERROR(__xludf.DUMMYFUNCTION("""COMPUTED_VALUE"""),"API &amp; Portal")</f>
        <v>API &amp; Portal</v>
      </c>
      <c r="J685" s="265" t="str">
        <f>IFERROR(__xludf.DUMMYFUNCTION("""COMPUTED_VALUE"""),"DungPL")</f>
        <v>DungPL</v>
      </c>
    </row>
  </sheetData>
  <autoFilter ref="$A$1:$J$579"/>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4" max="4" width="32.5"/>
    <col customWidth="1" min="5" max="5" width="14.13"/>
    <col customWidth="1" min="6" max="6" width="15.88"/>
    <col customWidth="1" min="7" max="7" width="17.38"/>
    <col customWidth="1" min="9" max="9" width="19.38"/>
    <col customWidth="1" min="12" max="12" width="18.5"/>
    <col customWidth="1" min="13" max="13" width="18.63"/>
  </cols>
  <sheetData>
    <row r="1">
      <c r="A1" s="265" t="str">
        <f>IFERROR(__xludf.DUMMYFUNCTION("ARRAYFORMULA(
  QUERY(
    TRIM(
      SPLIT(
        FLATTEN(
          IMPORTRANGE(""1r9BL0meDj0_P7ECoIKndcsy1mCDsviJS4SxuDTXr5N0"", ""'Acc GapOne ver2'!C2:C"") &amp; ""|"" &amp; 
          IMPORTRANGE(""1r9BL0meDj0_P7ECoIKndcsy1mCDsviJS4SxuDTXr5N0"", ""'Acc Ga"&amp;"pOne ver2'!A2:A"") &amp; ""|"" &amp; 
          IMPORTRANGE(""1r9BL0meDj0_P7ECoIKndcsy1mCDsviJS4SxuDTXr5N0"", ""'Acc GapOne ver2'!B2:B"") &amp; ""|"" &amp; 
          IMPORTRANGE(""1r9BL0meDj0_P7ECoIKndcsy1mCDsviJS4SxuDTXr5N0"", ""'Acc GapOne ver2'!Y2:Y"") &amp; ""|"" &amp; 
   "&amp;"       IMPORTRANGE(""1r9BL0meDj0_P7ECoIKndcsy1mCDsviJS4SxuDTXr5N0"", ""'Acc GapOne ver2'!Z2:Z"") &amp; ""|"" &amp; 
          IMPORTRANGE(""1r9BL0meDj0_P7ECoIKndcsy1mCDsviJS4SxuDTXr5N0"", ""'Acc GapOne ver2'!AC2:AC"") &amp; ""|"" &amp; 
          IMPORTRANGE(""1r9BL0meDj"&amp;"0_P7ECoIKndcsy1mCDsviJS4SxuDTXr5N0"", ""'Acc GapOne ver2'!H2:H"") &amp; ""|"" &amp; 
          IMPORTRANGE(""1r9BL0meDj0_P7ECoIKndcsy1mCDsviJS4SxuDTXr5N0"", ""'Acc GapOne ver2'!I2:I"") &amp; ""|"" &amp; 
          IMPORTRANGE(""1r9BL0meDj0_P7ECoIKndcsy1mCDsviJS4SxuDTXr5N"&amp;"0"", ""'Acc GapOne ver2'!J2:J"") &amp; ""|"" &amp; 
          SPLIT(IMPORTRANGE(""1r9BL0meDj0_P7ECoIKndcsy1mCDsviJS4SxuDTXr5N0"", ""'Acc GapOne ver2'!K2:K""), "","")
        ), ""|""
      )
    ),
    ""SELECT Col1, Col2, Col3, Col4, Col5, Col6, Col7, Col8, Col9"&amp;", Col10 WHERE Col10 IS NOT NULL LABEL Col1 'ORG ID', Col2 'Khu vực', Col3 'Status', Col4 'Ngành nghề', Col5 'CS', Col6 'Phân khúc', Col7 'Loại gói cước', Col8 'Hình thức thanh toán', Col9 'Hình thức sử dụng', Col10 'Input chi tiết'""
  )
)"),"ORG ID")</f>
        <v>ORG ID</v>
      </c>
      <c r="B1" s="265" t="str">
        <f>IFERROR(__xludf.DUMMYFUNCTION("""COMPUTED_VALUE"""),"Khu vực")</f>
        <v>Khu vực</v>
      </c>
      <c r="C1" s="265" t="str">
        <f>IFERROR(__xludf.DUMMYFUNCTION("""COMPUTED_VALUE"""),"Status")</f>
        <v>Status</v>
      </c>
      <c r="D1" s="265" t="str">
        <f>IFERROR(__xludf.DUMMYFUNCTION("""COMPUTED_VALUE"""),"Ngành nghề")</f>
        <v>Ngành nghề</v>
      </c>
      <c r="E1" s="265" t="str">
        <f>IFERROR(__xludf.DUMMYFUNCTION("""COMPUTED_VALUE"""),"CS")</f>
        <v>CS</v>
      </c>
      <c r="F1" s="265" t="str">
        <f>IFERROR(__xludf.DUMMYFUNCTION("""COMPUTED_VALUE"""),"Phân khúc")</f>
        <v>Phân khúc</v>
      </c>
      <c r="G1" s="265" t="str">
        <f>IFERROR(__xludf.DUMMYFUNCTION("""COMPUTED_VALUE"""),"Loại gói cước")</f>
        <v>Loại gói cước</v>
      </c>
      <c r="H1" s="265" t="str">
        <f>IFERROR(__xludf.DUMMYFUNCTION("""COMPUTED_VALUE"""),"Hình thức thanh toán")</f>
        <v>Hình thức thanh toán</v>
      </c>
      <c r="I1" s="265" t="str">
        <f>IFERROR(__xludf.DUMMYFUNCTION("""COMPUTED_VALUE"""),"Hình thức sử dụng")</f>
        <v>Hình thức sử dụng</v>
      </c>
      <c r="J1" s="265" t="str">
        <f>IFERROR(__xludf.DUMMYFUNCTION("""COMPUTED_VALUE"""),"Input chi tiết")</f>
        <v>Input chi tiết</v>
      </c>
    </row>
    <row r="2">
      <c r="A2" s="265" t="str">
        <f>IFERROR(__xludf.DUMMYFUNCTION("""COMPUTED_VALUE"""),"29")</f>
        <v>29</v>
      </c>
      <c r="B2" s="265" t="str">
        <f>IFERROR(__xludf.DUMMYFUNCTION("""COMPUTED_VALUE"""),"Hà Nội")</f>
        <v>Hà Nội</v>
      </c>
      <c r="C2" s="265" t="str">
        <f>IFERROR(__xludf.DUMMYFUNCTION("""COMPUTED_VALUE"""),"Active")</f>
        <v>Active</v>
      </c>
      <c r="D2" s="265" t="str">
        <f>IFERROR(__xludf.DUMMYFUNCTION("""COMPUTED_VALUE"""),"Vận tải &amp; logistics")</f>
        <v>Vận tải &amp; logistics</v>
      </c>
      <c r="E2" s="265" t="str">
        <f>IFERROR(__xludf.DUMMYFUNCTION("""COMPUTED_VALUE"""),"TùngLD")</f>
        <v>TùngLD</v>
      </c>
      <c r="F2" s="265" t="str">
        <f>IFERROR(__xludf.DUMMYFUNCTION("""COMPUTED_VALUE"""),"Gold")</f>
        <v>Gold</v>
      </c>
      <c r="G2" s="265" t="str">
        <f>IFERROR(__xludf.DUMMYFUNCTION("""COMPUTED_VALUE"""),"Enterprise")</f>
        <v>Enterprise</v>
      </c>
      <c r="H2" s="265" t="str">
        <f>IFERROR(__xludf.DUMMYFUNCTION("""COMPUTED_VALUE"""),"Trả sau")</f>
        <v>Trả sau</v>
      </c>
      <c r="I2" s="265" t="str">
        <f>IFERROR(__xludf.DUMMYFUNCTION("""COMPUTED_VALUE"""),"API")</f>
        <v>API</v>
      </c>
      <c r="J2" s="265" t="str">
        <f>IFERROR(__xludf.DUMMYFUNCTION("""COMPUTED_VALUE"""),"API")</f>
        <v>API</v>
      </c>
    </row>
    <row r="3">
      <c r="A3" s="265" t="str">
        <f>IFERROR(__xludf.DUMMYFUNCTION("""COMPUTED_VALUE"""),"75")</f>
        <v>75</v>
      </c>
      <c r="B3" s="265" t="str">
        <f>IFERROR(__xludf.DUMMYFUNCTION("""COMPUTED_VALUE"""),"Hà Nội")</f>
        <v>Hà Nội</v>
      </c>
      <c r="C3" s="265" t="str">
        <f>IFERROR(__xludf.DUMMYFUNCTION("""COMPUTED_VALUE"""),"Active")</f>
        <v>Active</v>
      </c>
      <c r="D3" s="265" t="str">
        <f>IFERROR(__xludf.DUMMYFUNCTION("""COMPUTED_VALUE"""),"Sale chưa cung cấp")</f>
        <v>Sale chưa cung cấp</v>
      </c>
      <c r="E3" s="265" t="str">
        <f>IFERROR(__xludf.DUMMYFUNCTION("""COMPUTED_VALUE"""),"TùngLD")</f>
        <v>TùngLD</v>
      </c>
      <c r="F3" s="265" t="str">
        <f>IFERROR(__xludf.DUMMYFUNCTION("""COMPUTED_VALUE"""),"Diamond")</f>
        <v>Diamond</v>
      </c>
      <c r="G3" s="265" t="str">
        <f>IFERROR(__xludf.DUMMYFUNCTION("""COMPUTED_VALUE"""),"Enterprise")</f>
        <v>Enterprise</v>
      </c>
      <c r="H3" s="265" t="str">
        <f>IFERROR(__xludf.DUMMYFUNCTION("""COMPUTED_VALUE"""),"Trả sau")</f>
        <v>Trả sau</v>
      </c>
      <c r="I3" s="265" t="str">
        <f>IFERROR(__xludf.DUMMYFUNCTION("""COMPUTED_VALUE"""),"API &amp; Portal")</f>
        <v>API &amp; Portal</v>
      </c>
      <c r="J3" s="265" t="str">
        <f>IFERROR(__xludf.DUMMYFUNCTION("""COMPUTED_VALUE"""),"File Excel")</f>
        <v>File Excel</v>
      </c>
    </row>
    <row r="4">
      <c r="A4" s="265" t="str">
        <f>IFERROR(__xludf.DUMMYFUNCTION("""COMPUTED_VALUE"""),"75")</f>
        <v>75</v>
      </c>
      <c r="B4" s="265" t="str">
        <f>IFERROR(__xludf.DUMMYFUNCTION("""COMPUTED_VALUE"""),"Hà Nội")</f>
        <v>Hà Nội</v>
      </c>
      <c r="C4" s="265" t="str">
        <f>IFERROR(__xludf.DUMMYFUNCTION("""COMPUTED_VALUE"""),"Active")</f>
        <v>Active</v>
      </c>
      <c r="D4" s="265" t="str">
        <f>IFERROR(__xludf.DUMMYFUNCTION("""COMPUTED_VALUE"""),"Sale chưa cung cấp")</f>
        <v>Sale chưa cung cấp</v>
      </c>
      <c r="E4" s="265" t="str">
        <f>IFERROR(__xludf.DUMMYFUNCTION("""COMPUTED_VALUE"""),"TùngLD")</f>
        <v>TùngLD</v>
      </c>
      <c r="F4" s="265" t="str">
        <f>IFERROR(__xludf.DUMMYFUNCTION("""COMPUTED_VALUE"""),"Diamond")</f>
        <v>Diamond</v>
      </c>
      <c r="G4" s="265" t="str">
        <f>IFERROR(__xludf.DUMMYFUNCTION("""COMPUTED_VALUE"""),"Enterprise")</f>
        <v>Enterprise</v>
      </c>
      <c r="H4" s="265" t="str">
        <f>IFERROR(__xludf.DUMMYFUNCTION("""COMPUTED_VALUE"""),"Trả sau")</f>
        <v>Trả sau</v>
      </c>
      <c r="I4" s="265" t="str">
        <f>IFERROR(__xludf.DUMMYFUNCTION("""COMPUTED_VALUE"""),"API &amp; Portal")</f>
        <v>API &amp; Portal</v>
      </c>
      <c r="J4" s="265" t="str">
        <f>IFERROR(__xludf.DUMMYFUNCTION("""COMPUTED_VALUE"""),"API")</f>
        <v>API</v>
      </c>
    </row>
    <row r="5">
      <c r="A5" s="265" t="str">
        <f>IFERROR(__xludf.DUMMYFUNCTION("""COMPUTED_VALUE"""),"119")</f>
        <v>119</v>
      </c>
      <c r="B5" s="265" t="str">
        <f>IFERROR(__xludf.DUMMYFUNCTION("""COMPUTED_VALUE"""),"Sài Gòn")</f>
        <v>Sài Gòn</v>
      </c>
      <c r="C5" s="265" t="str">
        <f>IFERROR(__xludf.DUMMYFUNCTION("""COMPUTED_VALUE"""),"Locked")</f>
        <v>Locked</v>
      </c>
      <c r="D5" s="265" t="str">
        <f>IFERROR(__xludf.DUMMYFUNCTION("""COMPUTED_VALUE"""),"Giáo dục &amp; Đào tạo")</f>
        <v>Giáo dục &amp; Đào tạo</v>
      </c>
      <c r="E5" s="265" t="str">
        <f>IFERROR(__xludf.DUMMYFUNCTION("""COMPUTED_VALUE"""),"TúPHN")</f>
        <v>TúPHN</v>
      </c>
      <c r="F5" s="265" t="str">
        <f>IFERROR(__xludf.DUMMYFUNCTION("""COMPUTED_VALUE"""),"Sale chưa cung cấp")</f>
        <v>Sale chưa cung cấp</v>
      </c>
      <c r="G5" s="265" t="str">
        <f>IFERROR(__xludf.DUMMYFUNCTION("""COMPUTED_VALUE"""),"Standard")</f>
        <v>Standard</v>
      </c>
      <c r="H5" s="265" t="str">
        <f>IFERROR(__xludf.DUMMYFUNCTION("""COMPUTED_VALUE"""),"Trial")</f>
        <v>Trial</v>
      </c>
      <c r="I5" s="265" t="str">
        <f>IFERROR(__xludf.DUMMYFUNCTION("""COMPUTED_VALUE"""),"API &amp; Portal")</f>
        <v>API &amp; Portal</v>
      </c>
      <c r="J5" s="265" t="str">
        <f>IFERROR(__xludf.DUMMYFUNCTION("""COMPUTED_VALUE"""),"File Excel")</f>
        <v>File Excel</v>
      </c>
    </row>
    <row r="6">
      <c r="A6" s="265" t="str">
        <f>IFERROR(__xludf.DUMMYFUNCTION("""COMPUTED_VALUE"""),"119")</f>
        <v>119</v>
      </c>
      <c r="B6" s="265" t="str">
        <f>IFERROR(__xludf.DUMMYFUNCTION("""COMPUTED_VALUE"""),"Sài Gòn")</f>
        <v>Sài Gòn</v>
      </c>
      <c r="C6" s="265" t="str">
        <f>IFERROR(__xludf.DUMMYFUNCTION("""COMPUTED_VALUE"""),"Locked")</f>
        <v>Locked</v>
      </c>
      <c r="D6" s="265" t="str">
        <f>IFERROR(__xludf.DUMMYFUNCTION("""COMPUTED_VALUE"""),"Giáo dục &amp; Đào tạo")</f>
        <v>Giáo dục &amp; Đào tạo</v>
      </c>
      <c r="E6" s="265" t="str">
        <f>IFERROR(__xludf.DUMMYFUNCTION("""COMPUTED_VALUE"""),"TúPHN")</f>
        <v>TúPHN</v>
      </c>
      <c r="F6" s="265" t="str">
        <f>IFERROR(__xludf.DUMMYFUNCTION("""COMPUTED_VALUE"""),"Sale chưa cung cấp")</f>
        <v>Sale chưa cung cấp</v>
      </c>
      <c r="G6" s="265" t="str">
        <f>IFERROR(__xludf.DUMMYFUNCTION("""COMPUTED_VALUE"""),"Standard")</f>
        <v>Standard</v>
      </c>
      <c r="H6" s="265" t="str">
        <f>IFERROR(__xludf.DUMMYFUNCTION("""COMPUTED_VALUE"""),"Trial")</f>
        <v>Trial</v>
      </c>
      <c r="I6" s="265" t="str">
        <f>IFERROR(__xludf.DUMMYFUNCTION("""COMPUTED_VALUE"""),"API &amp; Portal")</f>
        <v>API &amp; Portal</v>
      </c>
      <c r="J6" s="265" t="str">
        <f>IFERROR(__xludf.DUMMYFUNCTION("""COMPUTED_VALUE"""),"API")</f>
        <v>API</v>
      </c>
    </row>
    <row r="7">
      <c r="A7" s="265" t="str">
        <f>IFERROR(__xludf.DUMMYFUNCTION("""COMPUTED_VALUE"""),"878")</f>
        <v>878</v>
      </c>
      <c r="B7" s="265" t="str">
        <f>IFERROR(__xludf.DUMMYFUNCTION("""COMPUTED_VALUE"""),"Sài Gòn")</f>
        <v>Sài Gòn</v>
      </c>
      <c r="C7" s="265" t="str">
        <f>IFERROR(__xludf.DUMMYFUNCTION("""COMPUTED_VALUE"""),"Locked")</f>
        <v>Locked</v>
      </c>
      <c r="D7" s="265" t="str">
        <f>IFERROR(__xludf.DUMMYFUNCTION("""COMPUTED_VALUE"""),"Thực phẩm &amp; Đồ uống")</f>
        <v>Thực phẩm &amp; Đồ uống</v>
      </c>
      <c r="E7" s="265" t="str">
        <f>IFERROR(__xludf.DUMMYFUNCTION("""COMPUTED_VALUE"""),"HoaNTM")</f>
        <v>HoaNTM</v>
      </c>
      <c r="F7" s="265" t="str">
        <f>IFERROR(__xludf.DUMMYFUNCTION("""COMPUTED_VALUE"""),"Diamond")</f>
        <v>Diamond</v>
      </c>
      <c r="G7" s="265" t="str">
        <f>IFERROR(__xludf.DUMMYFUNCTION("""COMPUTED_VALUE"""),"Starter")</f>
        <v>Starter</v>
      </c>
      <c r="H7" s="265" t="str">
        <f>IFERROR(__xludf.DUMMYFUNCTION("""COMPUTED_VALUE"""),"Trả sau")</f>
        <v>Trả sau</v>
      </c>
      <c r="I7" s="265" t="str">
        <f>IFERROR(__xludf.DUMMYFUNCTION("""COMPUTED_VALUE"""),"Portal")</f>
        <v>Portal</v>
      </c>
      <c r="J7" s="265" t="str">
        <f>IFERROR(__xludf.DUMMYFUNCTION("""COMPUTED_VALUE"""),"File Excel")</f>
        <v>File Excel</v>
      </c>
    </row>
    <row r="8">
      <c r="A8" s="265" t="str">
        <f>IFERROR(__xludf.DUMMYFUNCTION("""COMPUTED_VALUE"""),"188")</f>
        <v>188</v>
      </c>
      <c r="B8" s="265" t="str">
        <f>IFERROR(__xludf.DUMMYFUNCTION("""COMPUTED_VALUE"""),"Hà Nội")</f>
        <v>Hà Nội</v>
      </c>
      <c r="C8" s="265" t="str">
        <f>IFERROR(__xludf.DUMMYFUNCTION("""COMPUTED_VALUE"""),"Active")</f>
        <v>Active</v>
      </c>
      <c r="D8" s="265" t="str">
        <f>IFERROR(__xludf.DUMMYFUNCTION("""COMPUTED_VALUE"""),"Tài chính &amp; Ngân hàng")</f>
        <v>Tài chính &amp; Ngân hàng</v>
      </c>
      <c r="E8" s="265" t="str">
        <f>IFERROR(__xludf.DUMMYFUNCTION("""COMPUTED_VALUE"""),"TúPHN")</f>
        <v>TúPHN</v>
      </c>
      <c r="F8" s="265" t="str">
        <f>IFERROR(__xludf.DUMMYFUNCTION("""COMPUTED_VALUE"""),"Silver")</f>
        <v>Silver</v>
      </c>
      <c r="G8" s="265" t="str">
        <f>IFERROR(__xludf.DUMMYFUNCTION("""COMPUTED_VALUE"""),"Starter")</f>
        <v>Starter</v>
      </c>
      <c r="H8" s="265" t="str">
        <f>IFERROR(__xludf.DUMMYFUNCTION("""COMPUTED_VALUE"""),"Trả sau")</f>
        <v>Trả sau</v>
      </c>
      <c r="I8" s="265" t="str">
        <f>IFERROR(__xludf.DUMMYFUNCTION("""COMPUTED_VALUE"""),"API")</f>
        <v>API</v>
      </c>
      <c r="J8" s="265" t="str">
        <f>IFERROR(__xludf.DUMMYFUNCTION("""COMPUTED_VALUE"""),"API")</f>
        <v>API</v>
      </c>
    </row>
    <row r="9">
      <c r="A9" s="265" t="str">
        <f>IFERROR(__xludf.DUMMYFUNCTION("""COMPUTED_VALUE"""),"209")</f>
        <v>209</v>
      </c>
      <c r="B9" s="265" t="str">
        <f>IFERROR(__xludf.DUMMYFUNCTION("""COMPUTED_VALUE"""),"Hà Nội")</f>
        <v>Hà Nội</v>
      </c>
      <c r="C9" s="265" t="str">
        <f>IFERROR(__xludf.DUMMYFUNCTION("""COMPUTED_VALUE"""),"Locked")</f>
        <v>Locked</v>
      </c>
      <c r="D9" s="265" t="str">
        <f>IFERROR(__xludf.DUMMYFUNCTION("""COMPUTED_VALUE"""),"Sale chưa cung cấp")</f>
        <v>Sale chưa cung cấp</v>
      </c>
      <c r="E9" s="265" t="str">
        <f>IFERROR(__xludf.DUMMYFUNCTION("""COMPUTED_VALUE"""),"PhươngDTB")</f>
        <v>PhươngDTB</v>
      </c>
      <c r="F9" s="265" t="str">
        <f>IFERROR(__xludf.DUMMYFUNCTION("""COMPUTED_VALUE"""),"Sale chưa cung cấp")</f>
        <v>Sale chưa cung cấp</v>
      </c>
      <c r="G9" s="265" t="str">
        <f>IFERROR(__xludf.DUMMYFUNCTION("""COMPUTED_VALUE"""),"Enterprise")</f>
        <v>Enterprise</v>
      </c>
      <c r="H9" s="265" t="str">
        <f>IFERROR(__xludf.DUMMYFUNCTION("""COMPUTED_VALUE"""),"(Chưa recheck)")</f>
        <v>(Chưa recheck)</v>
      </c>
      <c r="I9" s="265" t="str">
        <f>IFERROR(__xludf.DUMMYFUNCTION("""COMPUTED_VALUE"""),"(Chưa recheck)")</f>
        <v>(Chưa recheck)</v>
      </c>
      <c r="J9" s="265" t="str">
        <f>IFERROR(__xludf.DUMMYFUNCTION("""COMPUTED_VALUE"""),"(Chưa recheck)")</f>
        <v>(Chưa recheck)</v>
      </c>
    </row>
    <row r="10">
      <c r="A10" s="265" t="str">
        <f>IFERROR(__xludf.DUMMYFUNCTION("""COMPUTED_VALUE"""),"220")</f>
        <v>220</v>
      </c>
      <c r="B10" s="265" t="str">
        <f>IFERROR(__xludf.DUMMYFUNCTION("""COMPUTED_VALUE"""),"Hà Nội")</f>
        <v>Hà Nội</v>
      </c>
      <c r="C10" s="265" t="str">
        <f>IFERROR(__xludf.DUMMYFUNCTION("""COMPUTED_VALUE"""),"Locked")</f>
        <v>Locked</v>
      </c>
      <c r="D10" s="265" t="str">
        <f>IFERROR(__xludf.DUMMYFUNCTION("""COMPUTED_VALUE"""),"Sale chưa cung cấp")</f>
        <v>Sale chưa cung cấp</v>
      </c>
      <c r="E10" s="265" t="str">
        <f>IFERROR(__xludf.DUMMYFUNCTION("""COMPUTED_VALUE"""),"TùngLD")</f>
        <v>TùngLD</v>
      </c>
      <c r="F10" s="265" t="str">
        <f>IFERROR(__xludf.DUMMYFUNCTION("""COMPUTED_VALUE"""),"Bronze")</f>
        <v>Bronze</v>
      </c>
      <c r="G10" s="265" t="str">
        <f>IFERROR(__xludf.DUMMYFUNCTION("""COMPUTED_VALUE"""),"API")</f>
        <v>API</v>
      </c>
      <c r="H10" s="265" t="str">
        <f>IFERROR(__xludf.DUMMYFUNCTION("""COMPUTED_VALUE"""),"Trả sau")</f>
        <v>Trả sau</v>
      </c>
      <c r="I10" s="265" t="str">
        <f>IFERROR(__xludf.DUMMYFUNCTION("""COMPUTED_VALUE"""),"API")</f>
        <v>API</v>
      </c>
      <c r="J10" s="265" t="str">
        <f>IFERROR(__xludf.DUMMYFUNCTION("""COMPUTED_VALUE"""),"API")</f>
        <v>API</v>
      </c>
    </row>
    <row r="11">
      <c r="A11" s="265" t="str">
        <f>IFERROR(__xludf.DUMMYFUNCTION("""COMPUTED_VALUE"""),"226")</f>
        <v>226</v>
      </c>
      <c r="B11" s="265" t="str">
        <f>IFERROR(__xludf.DUMMYFUNCTION("""COMPUTED_VALUE"""),"Sài Gòn")</f>
        <v>Sài Gòn</v>
      </c>
      <c r="C11" s="265" t="str">
        <f>IFERROR(__xludf.DUMMYFUNCTION("""COMPUTED_VALUE"""),"Locked")</f>
        <v>Locked</v>
      </c>
      <c r="D11" s="265" t="str">
        <f>IFERROR(__xludf.DUMMYFUNCTION("""COMPUTED_VALUE"""),"Sale chưa cung cấp")</f>
        <v>Sale chưa cung cấp</v>
      </c>
      <c r="E11" s="265" t="str">
        <f>IFERROR(__xludf.DUMMYFUNCTION("""COMPUTED_VALUE"""),"HoaNTM")</f>
        <v>HoaNTM</v>
      </c>
      <c r="F11" s="265" t="str">
        <f>IFERROR(__xludf.DUMMYFUNCTION("""COMPUTED_VALUE"""),"Sale chưa cung cấp")</f>
        <v>Sale chưa cung cấp</v>
      </c>
      <c r="G11" s="265" t="str">
        <f>IFERROR(__xludf.DUMMYFUNCTION("""COMPUTED_VALUE"""),"API")</f>
        <v>API</v>
      </c>
      <c r="H11" s="265" t="str">
        <f>IFERROR(__xludf.DUMMYFUNCTION("""COMPUTED_VALUE"""),"(Chưa recheck)")</f>
        <v>(Chưa recheck)</v>
      </c>
      <c r="I11" s="265" t="str">
        <f>IFERROR(__xludf.DUMMYFUNCTION("""COMPUTED_VALUE"""),"(Chưa recheck)")</f>
        <v>(Chưa recheck)</v>
      </c>
      <c r="J11" s="265" t="str">
        <f>IFERROR(__xludf.DUMMYFUNCTION("""COMPUTED_VALUE"""),"(Chưa recheck)")</f>
        <v>(Chưa recheck)</v>
      </c>
    </row>
    <row r="12">
      <c r="A12" s="265" t="str">
        <f>IFERROR(__xludf.DUMMYFUNCTION("""COMPUTED_VALUE"""),"225")</f>
        <v>225</v>
      </c>
      <c r="B12" s="265" t="str">
        <f>IFERROR(__xludf.DUMMYFUNCTION("""COMPUTED_VALUE"""),"Sài Gòn")</f>
        <v>Sài Gòn</v>
      </c>
      <c r="C12" s="265" t="str">
        <f>IFERROR(__xludf.DUMMYFUNCTION("""COMPUTED_VALUE"""),"Active")</f>
        <v>Active</v>
      </c>
      <c r="D12" s="265" t="str">
        <f>IFERROR(__xludf.DUMMYFUNCTION("""COMPUTED_VALUE"""),"Sale chưa cung cấp")</f>
        <v>Sale chưa cung cấp</v>
      </c>
      <c r="E12" s="265" t="str">
        <f>IFERROR(__xludf.DUMMYFUNCTION("""COMPUTED_VALUE"""),"TúPHN")</f>
        <v>TúPHN</v>
      </c>
      <c r="F12" s="265" t="str">
        <f>IFERROR(__xludf.DUMMYFUNCTION("""COMPUTED_VALUE"""),"Diamond")</f>
        <v>Diamond</v>
      </c>
      <c r="G12" s="265" t="str">
        <f>IFERROR(__xludf.DUMMYFUNCTION("""COMPUTED_VALUE"""),"Starter")</f>
        <v>Starter</v>
      </c>
      <c r="H12" s="265" t="str">
        <f>IFERROR(__xludf.DUMMYFUNCTION("""COMPUTED_VALUE"""),"Trả sau")</f>
        <v>Trả sau</v>
      </c>
      <c r="I12" s="265" t="str">
        <f>IFERROR(__xludf.DUMMYFUNCTION("""COMPUTED_VALUE"""),"API &amp; Portal")</f>
        <v>API &amp; Portal</v>
      </c>
      <c r="J12" s="265" t="str">
        <f>IFERROR(__xludf.DUMMYFUNCTION("""COMPUTED_VALUE"""),"File Excel")</f>
        <v>File Excel</v>
      </c>
    </row>
    <row r="13">
      <c r="A13" s="265" t="str">
        <f>IFERROR(__xludf.DUMMYFUNCTION("""COMPUTED_VALUE"""),"225")</f>
        <v>225</v>
      </c>
      <c r="B13" s="265" t="str">
        <f>IFERROR(__xludf.DUMMYFUNCTION("""COMPUTED_VALUE"""),"Sài Gòn")</f>
        <v>Sài Gòn</v>
      </c>
      <c r="C13" s="265" t="str">
        <f>IFERROR(__xludf.DUMMYFUNCTION("""COMPUTED_VALUE"""),"Active")</f>
        <v>Active</v>
      </c>
      <c r="D13" s="265" t="str">
        <f>IFERROR(__xludf.DUMMYFUNCTION("""COMPUTED_VALUE"""),"Sale chưa cung cấp")</f>
        <v>Sale chưa cung cấp</v>
      </c>
      <c r="E13" s="265" t="str">
        <f>IFERROR(__xludf.DUMMYFUNCTION("""COMPUTED_VALUE"""),"TúPHN")</f>
        <v>TúPHN</v>
      </c>
      <c r="F13" s="265" t="str">
        <f>IFERROR(__xludf.DUMMYFUNCTION("""COMPUTED_VALUE"""),"Diamond")</f>
        <v>Diamond</v>
      </c>
      <c r="G13" s="265" t="str">
        <f>IFERROR(__xludf.DUMMYFUNCTION("""COMPUTED_VALUE"""),"Starter")</f>
        <v>Starter</v>
      </c>
      <c r="H13" s="265" t="str">
        <f>IFERROR(__xludf.DUMMYFUNCTION("""COMPUTED_VALUE"""),"Trả sau")</f>
        <v>Trả sau</v>
      </c>
      <c r="I13" s="265" t="str">
        <f>IFERROR(__xludf.DUMMYFUNCTION("""COMPUTED_VALUE"""),"API &amp; Portal")</f>
        <v>API &amp; Portal</v>
      </c>
      <c r="J13" s="265" t="str">
        <f>IFERROR(__xludf.DUMMYFUNCTION("""COMPUTED_VALUE"""),"API")</f>
        <v>API</v>
      </c>
    </row>
    <row r="14">
      <c r="A14" s="265" t="str">
        <f>IFERROR(__xludf.DUMMYFUNCTION("""COMPUTED_VALUE"""),"239")</f>
        <v>239</v>
      </c>
      <c r="B14" s="265" t="str">
        <f>IFERROR(__xludf.DUMMYFUNCTION("""COMPUTED_VALUE"""),"Hà Nội")</f>
        <v>Hà Nội</v>
      </c>
      <c r="C14" s="265" t="str">
        <f>IFERROR(__xludf.DUMMYFUNCTION("""COMPUTED_VALUE"""),"Locked")</f>
        <v>Locked</v>
      </c>
      <c r="D14" s="265" t="str">
        <f>IFERROR(__xludf.DUMMYFUNCTION("""COMPUTED_VALUE"""),"Sale chưa cung cấp")</f>
        <v>Sale chưa cung cấp</v>
      </c>
      <c r="E14" s="265" t="str">
        <f>IFERROR(__xludf.DUMMYFUNCTION("""COMPUTED_VALUE"""),"HangNT")</f>
        <v>HangNT</v>
      </c>
      <c r="F14" s="265" t="str">
        <f>IFERROR(__xludf.DUMMYFUNCTION("""COMPUTED_VALUE"""),"Bronze")</f>
        <v>Bronze</v>
      </c>
      <c r="G14" s="265" t="str">
        <f>IFERROR(__xludf.DUMMYFUNCTION("""COMPUTED_VALUE"""),"Enterprise")</f>
        <v>Enterprise</v>
      </c>
      <c r="H14" s="265" t="str">
        <f>IFERROR(__xludf.DUMMYFUNCTION("""COMPUTED_VALUE"""),"(Chưa recheck)")</f>
        <v>(Chưa recheck)</v>
      </c>
      <c r="I14" s="265" t="str">
        <f>IFERROR(__xludf.DUMMYFUNCTION("""COMPUTED_VALUE"""),"(Chưa recheck)")</f>
        <v>(Chưa recheck)</v>
      </c>
      <c r="J14" s="265" t="str">
        <f>IFERROR(__xludf.DUMMYFUNCTION("""COMPUTED_VALUE"""),"API")</f>
        <v>API</v>
      </c>
    </row>
    <row r="15">
      <c r="A15" s="265" t="str">
        <f>IFERROR(__xludf.DUMMYFUNCTION("""COMPUTED_VALUE"""),"247")</f>
        <v>247</v>
      </c>
      <c r="B15" s="265" t="str">
        <f>IFERROR(__xludf.DUMMYFUNCTION("""COMPUTED_VALUE"""),"Đà Nẵng")</f>
        <v>Đà Nẵng</v>
      </c>
      <c r="C15" s="265" t="str">
        <f>IFERROR(__xludf.DUMMYFUNCTION("""COMPUTED_VALUE"""),"Active")</f>
        <v>Active</v>
      </c>
      <c r="D15" s="265" t="str">
        <f>IFERROR(__xludf.DUMMYFUNCTION("""COMPUTED_VALUE"""),"Sale chưa cung cấp")</f>
        <v>Sale chưa cung cấp</v>
      </c>
      <c r="E15" s="265" t="str">
        <f>IFERROR(__xludf.DUMMYFUNCTION("""COMPUTED_VALUE"""),"AnhNM")</f>
        <v>AnhNM</v>
      </c>
      <c r="F15" s="265" t="str">
        <f>IFERROR(__xludf.DUMMYFUNCTION("""COMPUTED_VALUE"""),"Bronze")</f>
        <v>Bronze</v>
      </c>
      <c r="G15" s="265" t="str">
        <f>IFERROR(__xludf.DUMMYFUNCTION("""COMPUTED_VALUE"""),"Starter")</f>
        <v>Starter</v>
      </c>
      <c r="H15" s="265" t="str">
        <f>IFERROR(__xludf.DUMMYFUNCTION("""COMPUTED_VALUE"""),"Trả sau")</f>
        <v>Trả sau</v>
      </c>
      <c r="I15" s="265" t="str">
        <f>IFERROR(__xludf.DUMMYFUNCTION("""COMPUTED_VALUE"""),"API &amp; Portal")</f>
        <v>API &amp; Portal</v>
      </c>
      <c r="J15" s="265" t="str">
        <f>IFERROR(__xludf.DUMMYFUNCTION("""COMPUTED_VALUE"""),"File Excel")</f>
        <v>File Excel</v>
      </c>
    </row>
    <row r="16">
      <c r="A16" s="265" t="str">
        <f>IFERROR(__xludf.DUMMYFUNCTION("""COMPUTED_VALUE"""),"247")</f>
        <v>247</v>
      </c>
      <c r="B16" s="265" t="str">
        <f>IFERROR(__xludf.DUMMYFUNCTION("""COMPUTED_VALUE"""),"Đà Nẵng")</f>
        <v>Đà Nẵng</v>
      </c>
      <c r="C16" s="265" t="str">
        <f>IFERROR(__xludf.DUMMYFUNCTION("""COMPUTED_VALUE"""),"Active")</f>
        <v>Active</v>
      </c>
      <c r="D16" s="265" t="str">
        <f>IFERROR(__xludf.DUMMYFUNCTION("""COMPUTED_VALUE"""),"Sale chưa cung cấp")</f>
        <v>Sale chưa cung cấp</v>
      </c>
      <c r="E16" s="265" t="str">
        <f>IFERROR(__xludf.DUMMYFUNCTION("""COMPUTED_VALUE"""),"AnhNM")</f>
        <v>AnhNM</v>
      </c>
      <c r="F16" s="265" t="str">
        <f>IFERROR(__xludf.DUMMYFUNCTION("""COMPUTED_VALUE"""),"Bronze")</f>
        <v>Bronze</v>
      </c>
      <c r="G16" s="265" t="str">
        <f>IFERROR(__xludf.DUMMYFUNCTION("""COMPUTED_VALUE"""),"Starter")</f>
        <v>Starter</v>
      </c>
      <c r="H16" s="265" t="str">
        <f>IFERROR(__xludf.DUMMYFUNCTION("""COMPUTED_VALUE"""),"Trả sau")</f>
        <v>Trả sau</v>
      </c>
      <c r="I16" s="265" t="str">
        <f>IFERROR(__xludf.DUMMYFUNCTION("""COMPUTED_VALUE"""),"API &amp; Portal")</f>
        <v>API &amp; Portal</v>
      </c>
      <c r="J16" s="265" t="str">
        <f>IFERROR(__xludf.DUMMYFUNCTION("""COMPUTED_VALUE"""),"API")</f>
        <v>API</v>
      </c>
    </row>
    <row r="17">
      <c r="A17" s="265" t="str">
        <f>IFERROR(__xludf.DUMMYFUNCTION("""COMPUTED_VALUE"""),"264")</f>
        <v>264</v>
      </c>
      <c r="B17" s="265" t="str">
        <f>IFERROR(__xludf.DUMMYFUNCTION("""COMPUTED_VALUE"""),"Hà Nội")</f>
        <v>Hà Nội</v>
      </c>
      <c r="C17" s="265" t="str">
        <f>IFERROR(__xludf.DUMMYFUNCTION("""COMPUTED_VALUE"""),"Locked")</f>
        <v>Locked</v>
      </c>
      <c r="D17" s="265" t="str">
        <f>IFERROR(__xludf.DUMMYFUNCTION("""COMPUTED_VALUE"""),"Sale chưa cung cấp")</f>
        <v>Sale chưa cung cấp</v>
      </c>
      <c r="E17" s="265" t="str">
        <f>IFERROR(__xludf.DUMMYFUNCTION("""COMPUTED_VALUE"""),"PhươngDTB")</f>
        <v>PhươngDTB</v>
      </c>
      <c r="F17" s="265" t="str">
        <f>IFERROR(__xludf.DUMMYFUNCTION("""COMPUTED_VALUE"""),"Sale chưa cung cấp")</f>
        <v>Sale chưa cung cấp</v>
      </c>
      <c r="G17" s="265" t="str">
        <f>IFERROR(__xludf.DUMMYFUNCTION("""COMPUTED_VALUE"""),"Enterprise")</f>
        <v>Enterprise</v>
      </c>
      <c r="H17" s="265" t="str">
        <f>IFERROR(__xludf.DUMMYFUNCTION("""COMPUTED_VALUE"""),"Trial")</f>
        <v>Trial</v>
      </c>
      <c r="I17" s="265" t="str">
        <f>IFERROR(__xludf.DUMMYFUNCTION("""COMPUTED_VALUE"""),"(Không recheck)")</f>
        <v>(Không recheck)</v>
      </c>
      <c r="J17" s="265" t="str">
        <f>IFERROR(__xludf.DUMMYFUNCTION("""COMPUTED_VALUE"""),"(Không recheck)")</f>
        <v>(Không recheck)</v>
      </c>
    </row>
    <row r="18">
      <c r="A18" s="265" t="str">
        <f>IFERROR(__xludf.DUMMYFUNCTION("""COMPUTED_VALUE"""),"248")</f>
        <v>248</v>
      </c>
      <c r="B18" s="265" t="str">
        <f>IFERROR(__xludf.DUMMYFUNCTION("""COMPUTED_VALUE"""),"Sài Gòn")</f>
        <v>Sài Gòn</v>
      </c>
      <c r="C18" s="265" t="str">
        <f>IFERROR(__xludf.DUMMYFUNCTION("""COMPUTED_VALUE"""),"Active")</f>
        <v>Active</v>
      </c>
      <c r="D18" s="265" t="str">
        <f>IFERROR(__xludf.DUMMYFUNCTION("""COMPUTED_VALUE"""),"Sale chưa cung cấp")</f>
        <v>Sale chưa cung cấp</v>
      </c>
      <c r="E18" s="265" t="str">
        <f>IFERROR(__xludf.DUMMYFUNCTION("""COMPUTED_VALUE"""),"TúPHN")</f>
        <v>TúPHN</v>
      </c>
      <c r="F18" s="265" t="str">
        <f>IFERROR(__xludf.DUMMYFUNCTION("""COMPUTED_VALUE"""),"Silver")</f>
        <v>Silver</v>
      </c>
      <c r="G18" s="265" t="str">
        <f>IFERROR(__xludf.DUMMYFUNCTION("""COMPUTED_VALUE"""),"Enterprise")</f>
        <v>Enterprise</v>
      </c>
      <c r="H18" s="265" t="str">
        <f>IFERROR(__xludf.DUMMYFUNCTION("""COMPUTED_VALUE"""),"Trả sau")</f>
        <v>Trả sau</v>
      </c>
      <c r="I18" s="265" t="str">
        <f>IFERROR(__xludf.DUMMYFUNCTION("""COMPUTED_VALUE"""),"Portal")</f>
        <v>Portal</v>
      </c>
      <c r="J18" s="265" t="str">
        <f>IFERROR(__xludf.DUMMYFUNCTION("""COMPUTED_VALUE"""),"File Excel")</f>
        <v>File Excel</v>
      </c>
    </row>
    <row r="19">
      <c r="A19" s="265" t="str">
        <f>IFERROR(__xludf.DUMMYFUNCTION("""COMPUTED_VALUE"""),"300")</f>
        <v>300</v>
      </c>
      <c r="B19" s="265" t="str">
        <f>IFERROR(__xludf.DUMMYFUNCTION("""COMPUTED_VALUE"""),"Hà Nội")</f>
        <v>Hà Nội</v>
      </c>
      <c r="C19" s="265" t="str">
        <f>IFERROR(__xludf.DUMMYFUNCTION("""COMPUTED_VALUE"""),"Active")</f>
        <v>Active</v>
      </c>
      <c r="D19" s="265" t="str">
        <f>IFERROR(__xludf.DUMMYFUNCTION("""COMPUTED_VALUE"""),"Sale chưa cung cấp")</f>
        <v>Sale chưa cung cấp</v>
      </c>
      <c r="E19" s="265" t="str">
        <f>IFERROR(__xludf.DUMMYFUNCTION("""COMPUTED_VALUE"""),"TùngLD")</f>
        <v>TùngLD</v>
      </c>
      <c r="F19" s="265" t="str">
        <f>IFERROR(__xludf.DUMMYFUNCTION("""COMPUTED_VALUE"""),"Gold")</f>
        <v>Gold</v>
      </c>
      <c r="G19" s="265" t="str">
        <f>IFERROR(__xludf.DUMMYFUNCTION("""COMPUTED_VALUE"""),"Starter")</f>
        <v>Starter</v>
      </c>
      <c r="H19" s="265" t="str">
        <f>IFERROR(__xludf.DUMMYFUNCTION("""COMPUTED_VALUE"""),"Trả sau")</f>
        <v>Trả sau</v>
      </c>
      <c r="I19" s="265" t="str">
        <f>IFERROR(__xludf.DUMMYFUNCTION("""COMPUTED_VALUE"""),"API")</f>
        <v>API</v>
      </c>
      <c r="J19" s="265" t="str">
        <f>IFERROR(__xludf.DUMMYFUNCTION("""COMPUTED_VALUE"""),"API")</f>
        <v>API</v>
      </c>
    </row>
    <row r="20">
      <c r="A20" s="265" t="str">
        <f>IFERROR(__xludf.DUMMYFUNCTION("""COMPUTED_VALUE"""),"301")</f>
        <v>301</v>
      </c>
      <c r="B20" s="265" t="str">
        <f>IFERROR(__xludf.DUMMYFUNCTION("""COMPUTED_VALUE"""),"Đà Nẵng")</f>
        <v>Đà Nẵng</v>
      </c>
      <c r="C20" s="265" t="str">
        <f>IFERROR(__xludf.DUMMYFUNCTION("""COMPUTED_VALUE"""),"Locked")</f>
        <v>Locked</v>
      </c>
      <c r="D20" s="265" t="str">
        <f>IFERROR(__xludf.DUMMYFUNCTION("""COMPUTED_VALUE"""),"Sale chưa cung cấp")</f>
        <v>Sale chưa cung cấp</v>
      </c>
      <c r="E20" s="265" t="str">
        <f>IFERROR(__xludf.DUMMYFUNCTION("""COMPUTED_VALUE"""),"PhươngDTB")</f>
        <v>PhươngDTB</v>
      </c>
      <c r="F20" s="265" t="str">
        <f>IFERROR(__xludf.DUMMYFUNCTION("""COMPUTED_VALUE"""),"Bronze")</f>
        <v>Bronze</v>
      </c>
      <c r="G20" s="265" t="str">
        <f>IFERROR(__xludf.DUMMYFUNCTION("""COMPUTED_VALUE"""),"Enterprise")</f>
        <v>Enterprise</v>
      </c>
      <c r="H20" s="265" t="str">
        <f>IFERROR(__xludf.DUMMYFUNCTION("""COMPUTED_VALUE"""),"(Chưa recheck)")</f>
        <v>(Chưa recheck)</v>
      </c>
      <c r="I20" s="265" t="str">
        <f>IFERROR(__xludf.DUMMYFUNCTION("""COMPUTED_VALUE"""),"(Chưa recheck)")</f>
        <v>(Chưa recheck)</v>
      </c>
      <c r="J20" s="265" t="str">
        <f>IFERROR(__xludf.DUMMYFUNCTION("""COMPUTED_VALUE"""),"(Chưa recheck)")</f>
        <v>(Chưa recheck)</v>
      </c>
    </row>
    <row r="21">
      <c r="A21" s="265" t="str">
        <f>IFERROR(__xludf.DUMMYFUNCTION("""COMPUTED_VALUE"""),"306")</f>
        <v>306</v>
      </c>
      <c r="B21" s="265" t="str">
        <f>IFERROR(__xludf.DUMMYFUNCTION("""COMPUTED_VALUE"""),"Hà Nội")</f>
        <v>Hà Nội</v>
      </c>
      <c r="C21" s="265" t="str">
        <f>IFERROR(__xludf.DUMMYFUNCTION("""COMPUTED_VALUE"""),"Active")</f>
        <v>Active</v>
      </c>
      <c r="D21" s="265" t="str">
        <f>IFERROR(__xludf.DUMMYFUNCTION("""COMPUTED_VALUE"""),"Sale chưa cung cấp")</f>
        <v>Sale chưa cung cấp</v>
      </c>
      <c r="E21" s="265" t="str">
        <f>IFERROR(__xludf.DUMMYFUNCTION("""COMPUTED_VALUE"""),"TùngLD")</f>
        <v>TùngLD</v>
      </c>
      <c r="F21" s="265" t="str">
        <f>IFERROR(__xludf.DUMMYFUNCTION("""COMPUTED_VALUE"""),"Bronze")</f>
        <v>Bronze</v>
      </c>
      <c r="G21" s="265" t="str">
        <f>IFERROR(__xludf.DUMMYFUNCTION("""COMPUTED_VALUE"""),"Starter")</f>
        <v>Starter</v>
      </c>
      <c r="H21" s="265" t="str">
        <f>IFERROR(__xludf.DUMMYFUNCTION("""COMPUTED_VALUE"""),"Trả sau")</f>
        <v>Trả sau</v>
      </c>
      <c r="I21" s="265" t="str">
        <f>IFERROR(__xludf.DUMMYFUNCTION("""COMPUTED_VALUE"""),"API")</f>
        <v>API</v>
      </c>
      <c r="J21" s="265" t="str">
        <f>IFERROR(__xludf.DUMMYFUNCTION("""COMPUTED_VALUE"""),"API")</f>
        <v>API</v>
      </c>
    </row>
    <row r="22">
      <c r="A22" s="265" t="str">
        <f>IFERROR(__xludf.DUMMYFUNCTION("""COMPUTED_VALUE"""),"312")</f>
        <v>312</v>
      </c>
      <c r="B22" s="265" t="str">
        <f>IFERROR(__xludf.DUMMYFUNCTION("""COMPUTED_VALUE"""),"Sài Gòn")</f>
        <v>Sài Gòn</v>
      </c>
      <c r="C22" s="265" t="str">
        <f>IFERROR(__xludf.DUMMYFUNCTION("""COMPUTED_VALUE"""),"Active")</f>
        <v>Active</v>
      </c>
      <c r="D22" s="265" t="str">
        <f>IFERROR(__xludf.DUMMYFUNCTION("""COMPUTED_VALUE"""),"Trang sức")</f>
        <v>Trang sức</v>
      </c>
      <c r="E22" s="265" t="str">
        <f>IFERROR(__xludf.DUMMYFUNCTION("""COMPUTED_VALUE"""),"AnhNM")</f>
        <v>AnhNM</v>
      </c>
      <c r="F22" s="265" t="str">
        <f>IFERROR(__xludf.DUMMYFUNCTION("""COMPUTED_VALUE"""),"Silver")</f>
        <v>Silver</v>
      </c>
      <c r="G22" s="265" t="str">
        <f>IFERROR(__xludf.DUMMYFUNCTION("""COMPUTED_VALUE"""),"Starter")</f>
        <v>Starter</v>
      </c>
      <c r="H22" s="265" t="str">
        <f>IFERROR(__xludf.DUMMYFUNCTION("""COMPUTED_VALUE"""),"Trả sau")</f>
        <v>Trả sau</v>
      </c>
      <c r="I22" s="265" t="str">
        <f>IFERROR(__xludf.DUMMYFUNCTION("""COMPUTED_VALUE"""),"Portal")</f>
        <v>Portal</v>
      </c>
      <c r="J22" s="265" t="str">
        <f>IFERROR(__xludf.DUMMYFUNCTION("""COMPUTED_VALUE"""),"File Excel")</f>
        <v>File Excel</v>
      </c>
    </row>
    <row r="23">
      <c r="A23" s="265" t="str">
        <f>IFERROR(__xludf.DUMMYFUNCTION("""COMPUTED_VALUE"""),"314")</f>
        <v>314</v>
      </c>
      <c r="B23" s="265" t="str">
        <f>IFERROR(__xludf.DUMMYFUNCTION("""COMPUTED_VALUE"""),"Sài Gòn")</f>
        <v>Sài Gòn</v>
      </c>
      <c r="C23" s="265" t="str">
        <f>IFERROR(__xludf.DUMMYFUNCTION("""COMPUTED_VALUE"""),"Locked")</f>
        <v>Locked</v>
      </c>
      <c r="D23" s="265" t="str">
        <f>IFERROR(__xludf.DUMMYFUNCTION("""COMPUTED_VALUE"""),"Sale chưa cung cấp")</f>
        <v>Sale chưa cung cấp</v>
      </c>
      <c r="E23" s="265" t="str">
        <f>IFERROR(__xludf.DUMMYFUNCTION("""COMPUTED_VALUE"""),"PhươngDTB")</f>
        <v>PhươngDTB</v>
      </c>
      <c r="F23" s="265" t="str">
        <f>IFERROR(__xludf.DUMMYFUNCTION("""COMPUTED_VALUE"""),"Sale chưa cung cấp")</f>
        <v>Sale chưa cung cấp</v>
      </c>
      <c r="G23" s="265" t="str">
        <f>IFERROR(__xludf.DUMMYFUNCTION("""COMPUTED_VALUE"""),"API")</f>
        <v>API</v>
      </c>
      <c r="H23" s="265" t="str">
        <f>IFERROR(__xludf.DUMMYFUNCTION("""COMPUTED_VALUE"""),"(Chưa recheck)")</f>
        <v>(Chưa recheck)</v>
      </c>
      <c r="I23" s="265" t="str">
        <f>IFERROR(__xludf.DUMMYFUNCTION("""COMPUTED_VALUE"""),"(Chưa recheck)")</f>
        <v>(Chưa recheck)</v>
      </c>
      <c r="J23" s="265" t="str">
        <f>IFERROR(__xludf.DUMMYFUNCTION("""COMPUTED_VALUE"""),"(Chưa recheck)")</f>
        <v>(Chưa recheck)</v>
      </c>
    </row>
    <row r="24">
      <c r="A24" s="265" t="str">
        <f>IFERROR(__xludf.DUMMYFUNCTION("""COMPUTED_VALUE"""),"321")</f>
        <v>321</v>
      </c>
      <c r="B24" s="265" t="str">
        <f>IFERROR(__xludf.DUMMYFUNCTION("""COMPUTED_VALUE"""),"Sài Gòn")</f>
        <v>Sài Gòn</v>
      </c>
      <c r="C24" s="265" t="str">
        <f>IFERROR(__xludf.DUMMYFUNCTION("""COMPUTED_VALUE"""),"Locked")</f>
        <v>Locked</v>
      </c>
      <c r="D24" s="265" t="str">
        <f>IFERROR(__xludf.DUMMYFUNCTION("""COMPUTED_VALUE"""),"Sale chưa cung cấp")</f>
        <v>Sale chưa cung cấp</v>
      </c>
      <c r="E24" s="265" t="str">
        <f>IFERROR(__xludf.DUMMYFUNCTION("""COMPUTED_VALUE"""),"HoaNTM")</f>
        <v>HoaNTM</v>
      </c>
      <c r="F24" s="265" t="str">
        <f>IFERROR(__xludf.DUMMYFUNCTION("""COMPUTED_VALUE"""),"Bronze")</f>
        <v>Bronze</v>
      </c>
      <c r="G24" s="265" t="str">
        <f>IFERROR(__xludf.DUMMYFUNCTION("""COMPUTED_VALUE"""),"API")</f>
        <v>API</v>
      </c>
      <c r="H24" s="265" t="str">
        <f>IFERROR(__xludf.DUMMYFUNCTION("""COMPUTED_VALUE"""),"(Chưa recheck)")</f>
        <v>(Chưa recheck)</v>
      </c>
      <c r="I24" s="265" t="str">
        <f>IFERROR(__xludf.DUMMYFUNCTION("""COMPUTED_VALUE"""),"(Chưa recheck)")</f>
        <v>(Chưa recheck)</v>
      </c>
      <c r="J24" s="265" t="str">
        <f>IFERROR(__xludf.DUMMYFUNCTION("""COMPUTED_VALUE"""),"(Chưa recheck)")</f>
        <v>(Chưa recheck)</v>
      </c>
    </row>
    <row r="25">
      <c r="A25" s="265" t="str">
        <f>IFERROR(__xludf.DUMMYFUNCTION("""COMPUTED_VALUE"""),"None 1")</f>
        <v>None 1</v>
      </c>
      <c r="B25" s="265" t="str">
        <f>IFERROR(__xludf.DUMMYFUNCTION("""COMPUTED_VALUE"""),"Hà Nội")</f>
        <v>Hà Nội</v>
      </c>
      <c r="C25" s="265" t="str">
        <f>IFERROR(__xludf.DUMMYFUNCTION("""COMPUTED_VALUE"""),"Locked")</f>
        <v>Locked</v>
      </c>
      <c r="D25" s="265" t="str">
        <f>IFERROR(__xludf.DUMMYFUNCTION("""COMPUTED_VALUE"""),"Sale chưa cung cấp")</f>
        <v>Sale chưa cung cấp</v>
      </c>
      <c r="E25" s="265" t="str">
        <f>IFERROR(__xludf.DUMMYFUNCTION("""COMPUTED_VALUE"""),"HangNT")</f>
        <v>HangNT</v>
      </c>
      <c r="F25" s="265" t="str">
        <f>IFERROR(__xludf.DUMMYFUNCTION("""COMPUTED_VALUE"""),"Sale chưa cung cấp")</f>
        <v>Sale chưa cung cấp</v>
      </c>
      <c r="G25" s="265" t="str">
        <f>IFERROR(__xludf.DUMMYFUNCTION("""COMPUTED_VALUE"""),"GAPONE HUBSPOT")</f>
        <v>GAPONE HUBSPOT</v>
      </c>
      <c r="H25" s="265" t="str">
        <f>IFERROR(__xludf.DUMMYFUNCTION("""COMPUTED_VALUE"""),"(Chưa recheck)")</f>
        <v>(Chưa recheck)</v>
      </c>
      <c r="I25" s="265" t="str">
        <f>IFERROR(__xludf.DUMMYFUNCTION("""COMPUTED_VALUE"""),"(Chưa recheck)")</f>
        <v>(Chưa recheck)</v>
      </c>
      <c r="J25" s="265" t="str">
        <f>IFERROR(__xludf.DUMMYFUNCTION("""COMPUTED_VALUE"""),"API")</f>
        <v>API</v>
      </c>
    </row>
    <row r="26">
      <c r="A26" s="265" t="str">
        <f>IFERROR(__xludf.DUMMYFUNCTION("""COMPUTED_VALUE"""),"324")</f>
        <v>324</v>
      </c>
      <c r="B26" s="265" t="str">
        <f>IFERROR(__xludf.DUMMYFUNCTION("""COMPUTED_VALUE"""),"Hà Nội")</f>
        <v>Hà Nội</v>
      </c>
      <c r="C26" s="265" t="str">
        <f>IFERROR(__xludf.DUMMYFUNCTION("""COMPUTED_VALUE"""),"Active")</f>
        <v>Active</v>
      </c>
      <c r="D26" s="265" t="str">
        <f>IFERROR(__xludf.DUMMYFUNCTION("""COMPUTED_VALUE"""),"Sale chưa cung cấp")</f>
        <v>Sale chưa cung cấp</v>
      </c>
      <c r="E26" s="265" t="str">
        <f>IFERROR(__xludf.DUMMYFUNCTION("""COMPUTED_VALUE"""),"TúPHN")</f>
        <v>TúPHN</v>
      </c>
      <c r="F26" s="265" t="str">
        <f>IFERROR(__xludf.DUMMYFUNCTION("""COMPUTED_VALUE"""),"Gold")</f>
        <v>Gold</v>
      </c>
      <c r="G26" s="265" t="str">
        <f>IFERROR(__xludf.DUMMYFUNCTION("""COMPUTED_VALUE"""),"Enterprise")</f>
        <v>Enterprise</v>
      </c>
      <c r="H26" s="265" t="str">
        <f>IFERROR(__xludf.DUMMYFUNCTION("""COMPUTED_VALUE"""),"Trả sau")</f>
        <v>Trả sau</v>
      </c>
      <c r="I26" s="265" t="str">
        <f>IFERROR(__xludf.DUMMYFUNCTION("""COMPUTED_VALUE"""),"API")</f>
        <v>API</v>
      </c>
      <c r="J26" s="265" t="str">
        <f>IFERROR(__xludf.DUMMYFUNCTION("""COMPUTED_VALUE"""),"API")</f>
        <v>API</v>
      </c>
    </row>
    <row r="27">
      <c r="A27" s="265" t="str">
        <f>IFERROR(__xludf.DUMMYFUNCTION("""COMPUTED_VALUE"""),"327")</f>
        <v>327</v>
      </c>
      <c r="B27" s="265" t="str">
        <f>IFERROR(__xludf.DUMMYFUNCTION("""COMPUTED_VALUE"""),"Đà Nẵng")</f>
        <v>Đà Nẵng</v>
      </c>
      <c r="C27" s="265" t="str">
        <f>IFERROR(__xludf.DUMMYFUNCTION("""COMPUTED_VALUE"""),"Active")</f>
        <v>Active</v>
      </c>
      <c r="D27" s="265" t="str">
        <f>IFERROR(__xludf.DUMMYFUNCTION("""COMPUTED_VALUE"""),"Sale chưa cung cấp")</f>
        <v>Sale chưa cung cấp</v>
      </c>
      <c r="E27" s="265" t="str">
        <f>IFERROR(__xludf.DUMMYFUNCTION("""COMPUTED_VALUE"""),"TùngLD")</f>
        <v>TùngLD</v>
      </c>
      <c r="F27" s="265" t="str">
        <f>IFERROR(__xludf.DUMMYFUNCTION("""COMPUTED_VALUE"""),"Silver")</f>
        <v>Silver</v>
      </c>
      <c r="G27" s="265" t="str">
        <f>IFERROR(__xludf.DUMMYFUNCTION("""COMPUTED_VALUE"""),"Starter")</f>
        <v>Starter</v>
      </c>
      <c r="H27" s="265" t="str">
        <f>IFERROR(__xludf.DUMMYFUNCTION("""COMPUTED_VALUE"""),"Trả trước")</f>
        <v>Trả trước</v>
      </c>
      <c r="I27" s="265" t="str">
        <f>IFERROR(__xludf.DUMMYFUNCTION("""COMPUTED_VALUE"""),"API")</f>
        <v>API</v>
      </c>
      <c r="J27" s="265" t="str">
        <f>IFERROR(__xludf.DUMMYFUNCTION("""COMPUTED_VALUE"""),"API")</f>
        <v>API</v>
      </c>
    </row>
    <row r="28">
      <c r="A28" s="265" t="str">
        <f>IFERROR(__xludf.DUMMYFUNCTION("""COMPUTED_VALUE"""),"None 3")</f>
        <v>None 3</v>
      </c>
      <c r="B28" s="265" t="str">
        <f>IFERROR(__xludf.DUMMYFUNCTION("""COMPUTED_VALUE"""),"Hà Nội")</f>
        <v>Hà Nội</v>
      </c>
      <c r="C28" s="265" t="str">
        <f>IFERROR(__xludf.DUMMYFUNCTION("""COMPUTED_VALUE"""),"Locked")</f>
        <v>Locked</v>
      </c>
      <c r="D28" s="265" t="str">
        <f>IFERROR(__xludf.DUMMYFUNCTION("""COMPUTED_VALUE"""),"Viễn thông")</f>
        <v>Viễn thông</v>
      </c>
      <c r="E28" s="265" t="str">
        <f>IFERROR(__xludf.DUMMYFUNCTION("""COMPUTED_VALUE"""),"TúPHN")</f>
        <v>TúPHN</v>
      </c>
      <c r="F28" s="265" t="str">
        <f>IFERROR(__xludf.DUMMYFUNCTION("""COMPUTED_VALUE"""),"Silver")</f>
        <v>Silver</v>
      </c>
      <c r="G28" s="265" t="str">
        <f>IFERROR(__xludf.DUMMYFUNCTION("""COMPUTED_VALUE"""),"None")</f>
        <v>None</v>
      </c>
      <c r="H28" s="265" t="str">
        <f>IFERROR(__xludf.DUMMYFUNCTION("""COMPUTED_VALUE"""),"Trả sau")</f>
        <v>Trả sau</v>
      </c>
      <c r="I28" s="265" t="str">
        <f>IFERROR(__xludf.DUMMYFUNCTION("""COMPUTED_VALUE"""),"API")</f>
        <v>API</v>
      </c>
      <c r="J28" s="265" t="str">
        <f>IFERROR(__xludf.DUMMYFUNCTION("""COMPUTED_VALUE"""),"ZCA gửi ZNS")</f>
        <v>ZCA gửi ZNS</v>
      </c>
    </row>
    <row r="29">
      <c r="A29" s="265" t="str">
        <f>IFERROR(__xludf.DUMMYFUNCTION("""COMPUTED_VALUE"""),"331")</f>
        <v>331</v>
      </c>
      <c r="B29" s="265" t="str">
        <f>IFERROR(__xludf.DUMMYFUNCTION("""COMPUTED_VALUE"""),"Hà Nội")</f>
        <v>Hà Nội</v>
      </c>
      <c r="C29" s="265" t="str">
        <f>IFERROR(__xludf.DUMMYFUNCTION("""COMPUTED_VALUE"""),"Active")</f>
        <v>Active</v>
      </c>
      <c r="D29" s="265" t="str">
        <f>IFERROR(__xludf.DUMMYFUNCTION("""COMPUTED_VALUE"""),"Sale chưa cung cấp")</f>
        <v>Sale chưa cung cấp</v>
      </c>
      <c r="E29" s="265" t="str">
        <f>IFERROR(__xludf.DUMMYFUNCTION("""COMPUTED_VALUE"""),"TúPHN")</f>
        <v>TúPHN</v>
      </c>
      <c r="F29" s="265" t="str">
        <f>IFERROR(__xludf.DUMMYFUNCTION("""COMPUTED_VALUE"""),"Diamond")</f>
        <v>Diamond</v>
      </c>
      <c r="G29" s="265" t="str">
        <f>IFERROR(__xludf.DUMMYFUNCTION("""COMPUTED_VALUE"""),"Enterprise")</f>
        <v>Enterprise</v>
      </c>
      <c r="H29" s="265" t="str">
        <f>IFERROR(__xludf.DUMMYFUNCTION("""COMPUTED_VALUE"""),"Trả sau")</f>
        <v>Trả sau</v>
      </c>
      <c r="I29" s="265" t="str">
        <f>IFERROR(__xludf.DUMMYFUNCTION("""COMPUTED_VALUE"""),"API &amp; Portal")</f>
        <v>API &amp; Portal</v>
      </c>
      <c r="J29" s="265" t="str">
        <f>IFERROR(__xludf.DUMMYFUNCTION("""COMPUTED_VALUE"""),"API")</f>
        <v>API</v>
      </c>
    </row>
    <row r="30">
      <c r="A30" s="265" t="str">
        <f>IFERROR(__xludf.DUMMYFUNCTION("""COMPUTED_VALUE"""),"332")</f>
        <v>332</v>
      </c>
      <c r="B30" s="265" t="str">
        <f>IFERROR(__xludf.DUMMYFUNCTION("""COMPUTED_VALUE"""),"Hà Nội")</f>
        <v>Hà Nội</v>
      </c>
      <c r="C30" s="265" t="str">
        <f>IFERROR(__xludf.DUMMYFUNCTION("""COMPUTED_VALUE"""),"Locked")</f>
        <v>Locked</v>
      </c>
      <c r="D30" s="265" t="str">
        <f>IFERROR(__xludf.DUMMYFUNCTION("""COMPUTED_VALUE"""),"Sale chưa cung cấp")</f>
        <v>Sale chưa cung cấp</v>
      </c>
      <c r="E30" s="265" t="str">
        <f>IFERROR(__xludf.DUMMYFUNCTION("""COMPUTED_VALUE"""),"PhươngDTB")</f>
        <v>PhươngDTB</v>
      </c>
      <c r="F30" s="265" t="str">
        <f>IFERROR(__xludf.DUMMYFUNCTION("""COMPUTED_VALUE"""),"Sale chưa cung cấp")</f>
        <v>Sale chưa cung cấp</v>
      </c>
      <c r="G30" s="265" t="str">
        <f>IFERROR(__xludf.DUMMYFUNCTION("""COMPUTED_VALUE"""),"Enterprise")</f>
        <v>Enterprise</v>
      </c>
      <c r="H30" s="265" t="str">
        <f>IFERROR(__xludf.DUMMYFUNCTION("""COMPUTED_VALUE"""),"Trial")</f>
        <v>Trial</v>
      </c>
      <c r="I30" s="265" t="str">
        <f>IFERROR(__xludf.DUMMYFUNCTION("""COMPUTED_VALUE"""),"(Chưa recheck)")</f>
        <v>(Chưa recheck)</v>
      </c>
      <c r="J30" s="265" t="str">
        <f>IFERROR(__xludf.DUMMYFUNCTION("""COMPUTED_VALUE"""),"File Excel")</f>
        <v>File Excel</v>
      </c>
    </row>
    <row r="31">
      <c r="A31" s="265" t="str">
        <f>IFERROR(__xludf.DUMMYFUNCTION("""COMPUTED_VALUE"""),"344")</f>
        <v>344</v>
      </c>
      <c r="B31" s="265" t="str">
        <f>IFERROR(__xludf.DUMMYFUNCTION("""COMPUTED_VALUE"""),"Hà Nội")</f>
        <v>Hà Nội</v>
      </c>
      <c r="C31" s="265" t="str">
        <f>IFERROR(__xludf.DUMMYFUNCTION("""COMPUTED_VALUE"""),"Locked")</f>
        <v>Locked</v>
      </c>
      <c r="D31" s="265" t="str">
        <f>IFERROR(__xludf.DUMMYFUNCTION("""COMPUTED_VALUE"""),"Sale chưa cung cấp")</f>
        <v>Sale chưa cung cấp</v>
      </c>
      <c r="E31" s="265" t="str">
        <f>IFERROR(__xludf.DUMMYFUNCTION("""COMPUTED_VALUE"""),"TùngLD")</f>
        <v>TùngLD</v>
      </c>
      <c r="F31" s="265" t="str">
        <f>IFERROR(__xludf.DUMMYFUNCTION("""COMPUTED_VALUE"""),"Sale chưa cung cấp")</f>
        <v>Sale chưa cung cấp</v>
      </c>
      <c r="G31" s="265" t="str">
        <f>IFERROR(__xludf.DUMMYFUNCTION("""COMPUTED_VALUE"""),"Enterprise")</f>
        <v>Enterprise</v>
      </c>
      <c r="H31" s="265" t="str">
        <f>IFERROR(__xludf.DUMMYFUNCTION("""COMPUTED_VALUE"""),"Trả sau")</f>
        <v>Trả sau</v>
      </c>
      <c r="I31" s="265" t="str">
        <f>IFERROR(__xludf.DUMMYFUNCTION("""COMPUTED_VALUE"""),"API &amp; Portal")</f>
        <v>API &amp; Portal</v>
      </c>
      <c r="J31" s="265" t="str">
        <f>IFERROR(__xludf.DUMMYFUNCTION("""COMPUTED_VALUE"""),"API")</f>
        <v>API</v>
      </c>
    </row>
    <row r="32">
      <c r="A32" s="265" t="str">
        <f>IFERROR(__xludf.DUMMYFUNCTION("""COMPUTED_VALUE"""),"346")</f>
        <v>346</v>
      </c>
      <c r="B32" s="265" t="str">
        <f>IFERROR(__xludf.DUMMYFUNCTION("""COMPUTED_VALUE"""),"Hà Nội")</f>
        <v>Hà Nội</v>
      </c>
      <c r="C32" s="265" t="str">
        <f>IFERROR(__xludf.DUMMYFUNCTION("""COMPUTED_VALUE"""),"Active")</f>
        <v>Active</v>
      </c>
      <c r="D32" s="265" t="str">
        <f>IFERROR(__xludf.DUMMYFUNCTION("""COMPUTED_VALUE"""),"Sale chưa cung cấp")</f>
        <v>Sale chưa cung cấp</v>
      </c>
      <c r="E32" s="265" t="str">
        <f>IFERROR(__xludf.DUMMYFUNCTION("""COMPUTED_VALUE"""),"Không phân công")</f>
        <v>Không phân công</v>
      </c>
      <c r="F32" s="265" t="str">
        <f>IFERROR(__xludf.DUMMYFUNCTION("""COMPUTED_VALUE"""),"Sale chưa cung cấp")</f>
        <v>Sale chưa cung cấp</v>
      </c>
      <c r="G32" s="265" t="str">
        <f>IFERROR(__xludf.DUMMYFUNCTION("""COMPUTED_VALUE"""),"API")</f>
        <v>API</v>
      </c>
      <c r="H32" s="265" t="str">
        <f>IFERROR(__xludf.DUMMYFUNCTION("""COMPUTED_VALUE"""),"Trả sau")</f>
        <v>Trả sau</v>
      </c>
      <c r="I32" s="265" t="str">
        <f>IFERROR(__xludf.DUMMYFUNCTION("""COMPUTED_VALUE"""),"API")</f>
        <v>API</v>
      </c>
      <c r="J32" s="265" t="str">
        <f>IFERROR(__xludf.DUMMYFUNCTION("""COMPUTED_VALUE"""),"API")</f>
        <v>API</v>
      </c>
    </row>
    <row r="33">
      <c r="A33" s="265" t="str">
        <f>IFERROR(__xludf.DUMMYFUNCTION("""COMPUTED_VALUE"""),"347")</f>
        <v>347</v>
      </c>
      <c r="B33" s="265" t="str">
        <f>IFERROR(__xludf.DUMMYFUNCTION("""COMPUTED_VALUE"""),"Sài Gòn")</f>
        <v>Sài Gòn</v>
      </c>
      <c r="C33" s="265" t="str">
        <f>IFERROR(__xludf.DUMMYFUNCTION("""COMPUTED_VALUE"""),"Locked")</f>
        <v>Locked</v>
      </c>
      <c r="D33" s="265" t="str">
        <f>IFERROR(__xludf.DUMMYFUNCTION("""COMPUTED_VALUE"""),"Sale chưa cung cấp")</f>
        <v>Sale chưa cung cấp</v>
      </c>
      <c r="E33" s="265" t="str">
        <f>IFERROR(__xludf.DUMMYFUNCTION("""COMPUTED_VALUE"""),"HoaNTM")</f>
        <v>HoaNTM</v>
      </c>
      <c r="F33" s="265" t="str">
        <f>IFERROR(__xludf.DUMMYFUNCTION("""COMPUTED_VALUE"""),"Sale chưa cung cấp")</f>
        <v>Sale chưa cung cấp</v>
      </c>
      <c r="G33" s="265" t="str">
        <f>IFERROR(__xludf.DUMMYFUNCTION("""COMPUTED_VALUE"""),"API")</f>
        <v>API</v>
      </c>
      <c r="H33" s="265" t="str">
        <f>IFERROR(__xludf.DUMMYFUNCTION("""COMPUTED_VALUE"""),"(Chưa recheck)")</f>
        <v>(Chưa recheck)</v>
      </c>
      <c r="I33" s="265" t="str">
        <f>IFERROR(__xludf.DUMMYFUNCTION("""COMPUTED_VALUE"""),"(Chưa recheck)")</f>
        <v>(Chưa recheck)</v>
      </c>
      <c r="J33" s="265" t="str">
        <f>IFERROR(__xludf.DUMMYFUNCTION("""COMPUTED_VALUE"""),"(Chưa recheck)")</f>
        <v>(Chưa recheck)</v>
      </c>
    </row>
    <row r="34">
      <c r="A34" s="265" t="str">
        <f>IFERROR(__xludf.DUMMYFUNCTION("""COMPUTED_VALUE"""),"350")</f>
        <v>350</v>
      </c>
      <c r="B34" s="265" t="str">
        <f>IFERROR(__xludf.DUMMYFUNCTION("""COMPUTED_VALUE"""),"Hà Nội")</f>
        <v>Hà Nội</v>
      </c>
      <c r="C34" s="265" t="str">
        <f>IFERROR(__xludf.DUMMYFUNCTION("""COMPUTED_VALUE"""),"Locked")</f>
        <v>Locked</v>
      </c>
      <c r="D34" s="265" t="str">
        <f>IFERROR(__xludf.DUMMYFUNCTION("""COMPUTED_VALUE"""),"Tài chính &amp; Ngân hàng")</f>
        <v>Tài chính &amp; Ngân hàng</v>
      </c>
      <c r="E34" s="265" t="str">
        <f>IFERROR(__xludf.DUMMYFUNCTION("""COMPUTED_VALUE"""),"(Không recheck)")</f>
        <v>(Không recheck)</v>
      </c>
      <c r="F34" s="265" t="str">
        <f>IFERROR(__xludf.DUMMYFUNCTION("""COMPUTED_VALUE"""),"Diamond")</f>
        <v>Diamond</v>
      </c>
      <c r="G34" s="265" t="str">
        <f>IFERROR(__xludf.DUMMYFUNCTION("""COMPUTED_VALUE"""),"API")</f>
        <v>API</v>
      </c>
      <c r="H34" s="265" t="str">
        <f>IFERROR(__xludf.DUMMYFUNCTION("""COMPUTED_VALUE"""),"Trial")</f>
        <v>Trial</v>
      </c>
      <c r="I34" s="265" t="str">
        <f>IFERROR(__xludf.DUMMYFUNCTION("""COMPUTED_VALUE"""),"API")</f>
        <v>API</v>
      </c>
      <c r="J34" s="265" t="str">
        <f>IFERROR(__xludf.DUMMYFUNCTION("""COMPUTED_VALUE"""),"API")</f>
        <v>API</v>
      </c>
    </row>
    <row r="35">
      <c r="A35" s="265" t="str">
        <f>IFERROR(__xludf.DUMMYFUNCTION("""COMPUTED_VALUE"""),"351")</f>
        <v>351</v>
      </c>
      <c r="B35" s="265" t="str">
        <f>IFERROR(__xludf.DUMMYFUNCTION("""COMPUTED_VALUE"""),"Hà Nội")</f>
        <v>Hà Nội</v>
      </c>
      <c r="C35" s="265" t="str">
        <f>IFERROR(__xludf.DUMMYFUNCTION("""COMPUTED_VALUE"""),"Locked")</f>
        <v>Locked</v>
      </c>
      <c r="D35" s="265" t="str">
        <f>IFERROR(__xludf.DUMMYFUNCTION("""COMPUTED_VALUE"""),"Sale chưa cung cấp")</f>
        <v>Sale chưa cung cấp</v>
      </c>
      <c r="E35" s="265" t="str">
        <f>IFERROR(__xludf.DUMMYFUNCTION("""COMPUTED_VALUE"""),"HangNT")</f>
        <v>HangNT</v>
      </c>
      <c r="F35" s="265" t="str">
        <f>IFERROR(__xludf.DUMMYFUNCTION("""COMPUTED_VALUE"""),"Sale chưa cung cấp")</f>
        <v>Sale chưa cung cấp</v>
      </c>
      <c r="G35" s="265" t="str">
        <f>IFERROR(__xludf.DUMMYFUNCTION("""COMPUTED_VALUE"""),"Enterprise")</f>
        <v>Enterprise</v>
      </c>
      <c r="H35" s="265" t="str">
        <f>IFERROR(__xludf.DUMMYFUNCTION("""COMPUTED_VALUE"""),"(Chưa recheck)")</f>
        <v>(Chưa recheck)</v>
      </c>
      <c r="I35" s="265" t="str">
        <f>IFERROR(__xludf.DUMMYFUNCTION("""COMPUTED_VALUE"""),"(Chưa recheck)")</f>
        <v>(Chưa recheck)</v>
      </c>
      <c r="J35" s="265" t="str">
        <f>IFERROR(__xludf.DUMMYFUNCTION("""COMPUTED_VALUE"""),"(Chưa recheck)")</f>
        <v>(Chưa recheck)</v>
      </c>
    </row>
    <row r="36">
      <c r="A36" s="265" t="str">
        <f>IFERROR(__xludf.DUMMYFUNCTION("""COMPUTED_VALUE"""),"352")</f>
        <v>352</v>
      </c>
      <c r="B36" s="265" t="str">
        <f>IFERROR(__xludf.DUMMYFUNCTION("""COMPUTED_VALUE"""),"Hà Nội")</f>
        <v>Hà Nội</v>
      </c>
      <c r="C36" s="265" t="str">
        <f>IFERROR(__xludf.DUMMYFUNCTION("""COMPUTED_VALUE"""),"Locked")</f>
        <v>Locked</v>
      </c>
      <c r="D36" s="265" t="str">
        <f>IFERROR(__xludf.DUMMYFUNCTION("""COMPUTED_VALUE"""),"Sale chưa cung cấp")</f>
        <v>Sale chưa cung cấp</v>
      </c>
      <c r="E36" s="265" t="str">
        <f>IFERROR(__xludf.DUMMYFUNCTION("""COMPUTED_VALUE"""),"(Chưa recheck)")</f>
        <v>(Chưa recheck)</v>
      </c>
      <c r="F36" s="265" t="str">
        <f>IFERROR(__xludf.DUMMYFUNCTION("""COMPUTED_VALUE"""),"Sale chưa cung cấp")</f>
        <v>Sale chưa cung cấp</v>
      </c>
      <c r="G36" s="265" t="str">
        <f>IFERROR(__xludf.DUMMYFUNCTION("""COMPUTED_VALUE"""),"API")</f>
        <v>API</v>
      </c>
      <c r="H36" s="265" t="str">
        <f>IFERROR(__xludf.DUMMYFUNCTION("""COMPUTED_VALUE"""),"(Chưa recheck)")</f>
        <v>(Chưa recheck)</v>
      </c>
      <c r="I36" s="265" t="str">
        <f>IFERROR(__xludf.DUMMYFUNCTION("""COMPUTED_VALUE"""),"API")</f>
        <v>API</v>
      </c>
      <c r="J36" s="265" t="str">
        <f>IFERROR(__xludf.DUMMYFUNCTION("""COMPUTED_VALUE"""),"API")</f>
        <v>API</v>
      </c>
    </row>
    <row r="37">
      <c r="A37" s="265" t="str">
        <f>IFERROR(__xludf.DUMMYFUNCTION("""COMPUTED_VALUE"""),"353")</f>
        <v>353</v>
      </c>
      <c r="B37" s="265" t="str">
        <f>IFERROR(__xludf.DUMMYFUNCTION("""COMPUTED_VALUE"""),"Hà Nội")</f>
        <v>Hà Nội</v>
      </c>
      <c r="C37" s="265" t="str">
        <f>IFERROR(__xludf.DUMMYFUNCTION("""COMPUTED_VALUE"""),"Locked")</f>
        <v>Locked</v>
      </c>
      <c r="D37" s="265" t="str">
        <f>IFERROR(__xludf.DUMMYFUNCTION("""COMPUTED_VALUE"""),"Sale chưa cung cấp")</f>
        <v>Sale chưa cung cấp</v>
      </c>
      <c r="E37" s="265" t="str">
        <f>IFERROR(__xludf.DUMMYFUNCTION("""COMPUTED_VALUE"""),"(Không recheck)")</f>
        <v>(Không recheck)</v>
      </c>
      <c r="F37" s="265" t="str">
        <f>IFERROR(__xludf.DUMMYFUNCTION("""COMPUTED_VALUE"""),"Sale chưa cung cấp")</f>
        <v>Sale chưa cung cấp</v>
      </c>
      <c r="G37" s="265" t="str">
        <f>IFERROR(__xludf.DUMMYFUNCTION("""COMPUTED_VALUE"""),"Enterprise")</f>
        <v>Enterprise</v>
      </c>
      <c r="H37" s="265" t="str">
        <f>IFERROR(__xludf.DUMMYFUNCTION("""COMPUTED_VALUE"""),"Trial")</f>
        <v>Trial</v>
      </c>
      <c r="I37" s="265" t="str">
        <f>IFERROR(__xludf.DUMMYFUNCTION("""COMPUTED_VALUE"""),"(Không recheck)")</f>
        <v>(Không recheck)</v>
      </c>
      <c r="J37" s="265" t="str">
        <f>IFERROR(__xludf.DUMMYFUNCTION("""COMPUTED_VALUE"""),"(Không recheck)")</f>
        <v>(Không recheck)</v>
      </c>
    </row>
    <row r="38">
      <c r="A38" s="265" t="str">
        <f>IFERROR(__xludf.DUMMYFUNCTION("""COMPUTED_VALUE"""),"354")</f>
        <v>354</v>
      </c>
      <c r="B38" s="265" t="str">
        <f>IFERROR(__xludf.DUMMYFUNCTION("""COMPUTED_VALUE"""),"Sài Gòn")</f>
        <v>Sài Gòn</v>
      </c>
      <c r="C38" s="265" t="str">
        <f>IFERROR(__xludf.DUMMYFUNCTION("""COMPUTED_VALUE"""),"Locked")</f>
        <v>Locked</v>
      </c>
      <c r="D38" s="265" t="str">
        <f>IFERROR(__xludf.DUMMYFUNCTION("""COMPUTED_VALUE"""),"Sale chưa cung cấp")</f>
        <v>Sale chưa cung cấp</v>
      </c>
      <c r="E38" s="265" t="str">
        <f>IFERROR(__xludf.DUMMYFUNCTION("""COMPUTED_VALUE"""),"MaiTP")</f>
        <v>MaiTP</v>
      </c>
      <c r="F38" s="265" t="str">
        <f>IFERROR(__xludf.DUMMYFUNCTION("""COMPUTED_VALUE"""),"Sale chưa cung cấp")</f>
        <v>Sale chưa cung cấp</v>
      </c>
      <c r="G38" s="265" t="str">
        <f>IFERROR(__xludf.DUMMYFUNCTION("""COMPUTED_VALUE"""),"Enterprise")</f>
        <v>Enterprise</v>
      </c>
      <c r="H38" s="265" t="str">
        <f>IFERROR(__xludf.DUMMYFUNCTION("""COMPUTED_VALUE"""),"(Chưa recheck)")</f>
        <v>(Chưa recheck)</v>
      </c>
      <c r="I38" s="265" t="str">
        <f>IFERROR(__xludf.DUMMYFUNCTION("""COMPUTED_VALUE"""),"(Chưa recheck)")</f>
        <v>(Chưa recheck)</v>
      </c>
      <c r="J38" s="265" t="str">
        <f>IFERROR(__xludf.DUMMYFUNCTION("""COMPUTED_VALUE"""),"API")</f>
        <v>API</v>
      </c>
    </row>
    <row r="39">
      <c r="A39" s="265" t="str">
        <f>IFERROR(__xludf.DUMMYFUNCTION("""COMPUTED_VALUE"""),"355")</f>
        <v>355</v>
      </c>
      <c r="B39" s="265" t="str">
        <f>IFERROR(__xludf.DUMMYFUNCTION("""COMPUTED_VALUE"""),"Hà Nội")</f>
        <v>Hà Nội</v>
      </c>
      <c r="C39" s="265" t="str">
        <f>IFERROR(__xludf.DUMMYFUNCTION("""COMPUTED_VALUE"""),"Locked")</f>
        <v>Locked</v>
      </c>
      <c r="D39" s="265" t="str">
        <f>IFERROR(__xludf.DUMMYFUNCTION("""COMPUTED_VALUE"""),"Sale chưa cung cấp")</f>
        <v>Sale chưa cung cấp</v>
      </c>
      <c r="E39" s="265" t="str">
        <f>IFERROR(__xludf.DUMMYFUNCTION("""COMPUTED_VALUE"""),"(Không recheck)")</f>
        <v>(Không recheck)</v>
      </c>
      <c r="F39" s="265" t="str">
        <f>IFERROR(__xludf.DUMMYFUNCTION("""COMPUTED_VALUE"""),"Bronze")</f>
        <v>Bronze</v>
      </c>
      <c r="G39" s="265" t="str">
        <f>IFERROR(__xludf.DUMMYFUNCTION("""COMPUTED_VALUE"""),"MSG")</f>
        <v>MSG</v>
      </c>
      <c r="H39" s="265" t="str">
        <f>IFERROR(__xludf.DUMMYFUNCTION("""COMPUTED_VALUE"""),"Trial")</f>
        <v>Trial</v>
      </c>
      <c r="I39" s="265" t="str">
        <f>IFERROR(__xludf.DUMMYFUNCTION("""COMPUTED_VALUE"""),"Portal")</f>
        <v>Portal</v>
      </c>
      <c r="J39" s="265" t="str">
        <f>IFERROR(__xludf.DUMMYFUNCTION("""COMPUTED_VALUE"""),"File Excel")</f>
        <v>File Excel</v>
      </c>
    </row>
    <row r="40">
      <c r="A40" s="265" t="str">
        <f>IFERROR(__xludf.DUMMYFUNCTION("""COMPUTED_VALUE"""),"356")</f>
        <v>356</v>
      </c>
      <c r="B40" s="265" t="str">
        <f>IFERROR(__xludf.DUMMYFUNCTION("""COMPUTED_VALUE"""),"Sài Gòn")</f>
        <v>Sài Gòn</v>
      </c>
      <c r="C40" s="265" t="str">
        <f>IFERROR(__xludf.DUMMYFUNCTION("""COMPUTED_VALUE"""),"Active")</f>
        <v>Active</v>
      </c>
      <c r="D40" s="265" t="str">
        <f>IFERROR(__xludf.DUMMYFUNCTION("""COMPUTED_VALUE"""),"Sale chưa cung cấp")</f>
        <v>Sale chưa cung cấp</v>
      </c>
      <c r="E40" s="265" t="str">
        <f>IFERROR(__xludf.DUMMYFUNCTION("""COMPUTED_VALUE"""),"TúPHN")</f>
        <v>TúPHN</v>
      </c>
      <c r="F40" s="265" t="str">
        <f>IFERROR(__xludf.DUMMYFUNCTION("""COMPUTED_VALUE"""),"Gold")</f>
        <v>Gold</v>
      </c>
      <c r="G40" s="265" t="str">
        <f>IFERROR(__xludf.DUMMYFUNCTION("""COMPUTED_VALUE"""),"Standard")</f>
        <v>Standard</v>
      </c>
      <c r="H40" s="265" t="str">
        <f>IFERROR(__xludf.DUMMYFUNCTION("""COMPUTED_VALUE"""),"Trả sau")</f>
        <v>Trả sau</v>
      </c>
      <c r="I40" s="265" t="str">
        <f>IFERROR(__xludf.DUMMYFUNCTION("""COMPUTED_VALUE"""),"API &amp; Portal")</f>
        <v>API &amp; Portal</v>
      </c>
      <c r="J40" s="265" t="str">
        <f>IFERROR(__xludf.DUMMYFUNCTION("""COMPUTED_VALUE"""),"Kiotviet")</f>
        <v>Kiotviet</v>
      </c>
    </row>
    <row r="41">
      <c r="A41" s="265" t="str">
        <f>IFERROR(__xludf.DUMMYFUNCTION("""COMPUTED_VALUE"""),"359")</f>
        <v>359</v>
      </c>
      <c r="B41" s="265" t="str">
        <f>IFERROR(__xludf.DUMMYFUNCTION("""COMPUTED_VALUE"""),"Hà Nội")</f>
        <v>Hà Nội</v>
      </c>
      <c r="C41" s="265" t="str">
        <f>IFERROR(__xludf.DUMMYFUNCTION("""COMPUTED_VALUE"""),"Locked")</f>
        <v>Locked</v>
      </c>
      <c r="D41" s="265" t="str">
        <f>IFERROR(__xludf.DUMMYFUNCTION("""COMPUTED_VALUE"""),"Sale chưa cung cấp")</f>
        <v>Sale chưa cung cấp</v>
      </c>
      <c r="E41" s="265" t="str">
        <f>IFERROR(__xludf.DUMMYFUNCTION("""COMPUTED_VALUE"""),"(Không recheck)")</f>
        <v>(Không recheck)</v>
      </c>
      <c r="F41" s="265" t="str">
        <f>IFERROR(__xludf.DUMMYFUNCTION("""COMPUTED_VALUE"""),"Sale chưa cung cấp")</f>
        <v>Sale chưa cung cấp</v>
      </c>
      <c r="G41" s="265" t="str">
        <f>IFERROR(__xludf.DUMMYFUNCTION("""COMPUTED_VALUE"""),"Enterprise")</f>
        <v>Enterprise</v>
      </c>
      <c r="H41" s="265" t="str">
        <f>IFERROR(__xludf.DUMMYFUNCTION("""COMPUTED_VALUE"""),"Trial")</f>
        <v>Trial</v>
      </c>
      <c r="I41" s="265" t="str">
        <f>IFERROR(__xludf.DUMMYFUNCTION("""COMPUTED_VALUE"""),"(Không recheck)")</f>
        <v>(Không recheck)</v>
      </c>
      <c r="J41" s="265" t="str">
        <f>IFERROR(__xludf.DUMMYFUNCTION("""COMPUTED_VALUE"""),"(Không recheck)")</f>
        <v>(Không recheck)</v>
      </c>
    </row>
    <row r="42">
      <c r="A42" s="265" t="str">
        <f>IFERROR(__xludf.DUMMYFUNCTION("""COMPUTED_VALUE"""),"358")</f>
        <v>358</v>
      </c>
      <c r="B42" s="265" t="str">
        <f>IFERROR(__xludf.DUMMYFUNCTION("""COMPUTED_VALUE"""),"Sài Gòn")</f>
        <v>Sài Gòn</v>
      </c>
      <c r="C42" s="265" t="str">
        <f>IFERROR(__xludf.DUMMYFUNCTION("""COMPUTED_VALUE"""),"Locked")</f>
        <v>Locked</v>
      </c>
      <c r="D42" s="265" t="str">
        <f>IFERROR(__xludf.DUMMYFUNCTION("""COMPUTED_VALUE"""),"Sale chưa cung cấp")</f>
        <v>Sale chưa cung cấp</v>
      </c>
      <c r="E42" s="265" t="str">
        <f>IFERROR(__xludf.DUMMYFUNCTION("""COMPUTED_VALUE"""),"(Chưa recheck)")</f>
        <v>(Chưa recheck)</v>
      </c>
      <c r="F42" s="265" t="str">
        <f>IFERROR(__xludf.DUMMYFUNCTION("""COMPUTED_VALUE"""),"Sale chưa cung cấp")</f>
        <v>Sale chưa cung cấp</v>
      </c>
      <c r="G42" s="265" t="str">
        <f>IFERROR(__xludf.DUMMYFUNCTION("""COMPUTED_VALUE"""),"API")</f>
        <v>API</v>
      </c>
      <c r="H42" s="265" t="str">
        <f>IFERROR(__xludf.DUMMYFUNCTION("""COMPUTED_VALUE"""),"(Chưa recheck)")</f>
        <v>(Chưa recheck)</v>
      </c>
      <c r="I42" s="265" t="str">
        <f>IFERROR(__xludf.DUMMYFUNCTION("""COMPUTED_VALUE"""),"(Chưa recheck)")</f>
        <v>(Chưa recheck)</v>
      </c>
      <c r="J42" s="265" t="str">
        <f>IFERROR(__xludf.DUMMYFUNCTION("""COMPUTED_VALUE"""),"API")</f>
        <v>API</v>
      </c>
    </row>
    <row r="43">
      <c r="A43" s="265" t="str">
        <f>IFERROR(__xludf.DUMMYFUNCTION("""COMPUTED_VALUE"""),"357")</f>
        <v>357</v>
      </c>
      <c r="B43" s="265" t="str">
        <f>IFERROR(__xludf.DUMMYFUNCTION("""COMPUTED_VALUE"""),"Đà Nẵng")</f>
        <v>Đà Nẵng</v>
      </c>
      <c r="C43" s="265" t="str">
        <f>IFERROR(__xludf.DUMMYFUNCTION("""COMPUTED_VALUE"""),"Locked")</f>
        <v>Locked</v>
      </c>
      <c r="D43" s="265" t="str">
        <f>IFERROR(__xludf.DUMMYFUNCTION("""COMPUTED_VALUE"""),"Sale chưa cung cấp")</f>
        <v>Sale chưa cung cấp</v>
      </c>
      <c r="E43" s="265" t="str">
        <f>IFERROR(__xludf.DUMMYFUNCTION("""COMPUTED_VALUE"""),"HoaNTM")</f>
        <v>HoaNTM</v>
      </c>
      <c r="F43" s="265" t="str">
        <f>IFERROR(__xludf.DUMMYFUNCTION("""COMPUTED_VALUE"""),"Sale chưa cung cấp")</f>
        <v>Sale chưa cung cấp</v>
      </c>
      <c r="G43" s="265" t="str">
        <f>IFERROR(__xludf.DUMMYFUNCTION("""COMPUTED_VALUE"""),"API")</f>
        <v>API</v>
      </c>
      <c r="H43" s="265" t="str">
        <f>IFERROR(__xludf.DUMMYFUNCTION("""COMPUTED_VALUE"""),"(Chưa recheck)")</f>
        <v>(Chưa recheck)</v>
      </c>
      <c r="I43" s="265" t="str">
        <f>IFERROR(__xludf.DUMMYFUNCTION("""COMPUTED_VALUE"""),"(Chưa recheck)")</f>
        <v>(Chưa recheck)</v>
      </c>
      <c r="J43" s="265" t="str">
        <f>IFERROR(__xludf.DUMMYFUNCTION("""COMPUTED_VALUE"""),"API")</f>
        <v>API</v>
      </c>
    </row>
    <row r="44">
      <c r="A44" s="265" t="str">
        <f>IFERROR(__xludf.DUMMYFUNCTION("""COMPUTED_VALUE"""),"360")</f>
        <v>360</v>
      </c>
      <c r="B44" s="265" t="str">
        <f>IFERROR(__xludf.DUMMYFUNCTION("""COMPUTED_VALUE"""),"Hà Nội")</f>
        <v>Hà Nội</v>
      </c>
      <c r="C44" s="265" t="str">
        <f>IFERROR(__xludf.DUMMYFUNCTION("""COMPUTED_VALUE"""),"Locked")</f>
        <v>Locked</v>
      </c>
      <c r="D44" s="265" t="str">
        <f>IFERROR(__xludf.DUMMYFUNCTION("""COMPUTED_VALUE"""),"Sale chưa cung cấp")</f>
        <v>Sale chưa cung cấp</v>
      </c>
      <c r="E44" s="265" t="str">
        <f>IFERROR(__xludf.DUMMYFUNCTION("""COMPUTED_VALUE"""),"(Chưa recheck)")</f>
        <v>(Chưa recheck)</v>
      </c>
      <c r="F44" s="265" t="str">
        <f>IFERROR(__xludf.DUMMYFUNCTION("""COMPUTED_VALUE"""),"Bronze")</f>
        <v>Bronze</v>
      </c>
      <c r="G44" s="265" t="str">
        <f>IFERROR(__xludf.DUMMYFUNCTION("""COMPUTED_VALUE"""),"MSG")</f>
        <v>MSG</v>
      </c>
      <c r="H44" s="265" t="str">
        <f>IFERROR(__xludf.DUMMYFUNCTION("""COMPUTED_VALUE"""),"(Chưa recheck)")</f>
        <v>(Chưa recheck)</v>
      </c>
      <c r="I44" s="265" t="str">
        <f>IFERROR(__xludf.DUMMYFUNCTION("""COMPUTED_VALUE"""),"(Chưa recheck)")</f>
        <v>(Chưa recheck)</v>
      </c>
      <c r="J44" s="265" t="str">
        <f>IFERROR(__xludf.DUMMYFUNCTION("""COMPUTED_VALUE"""),"(Chưa recheck)")</f>
        <v>(Chưa recheck)</v>
      </c>
    </row>
    <row r="45">
      <c r="A45" s="265" t="str">
        <f>IFERROR(__xludf.DUMMYFUNCTION("""COMPUTED_VALUE"""),"362")</f>
        <v>362</v>
      </c>
      <c r="B45" s="265" t="str">
        <f>IFERROR(__xludf.DUMMYFUNCTION("""COMPUTED_VALUE"""),"Hà Nội")</f>
        <v>Hà Nội</v>
      </c>
      <c r="C45" s="265" t="str">
        <f>IFERROR(__xludf.DUMMYFUNCTION("""COMPUTED_VALUE"""),"Active")</f>
        <v>Active</v>
      </c>
      <c r="D45" s="265" t="str">
        <f>IFERROR(__xludf.DUMMYFUNCTION("""COMPUTED_VALUE"""),"Sale chưa cung cấp")</f>
        <v>Sale chưa cung cấp</v>
      </c>
      <c r="E45" s="265" t="str">
        <f>IFERROR(__xludf.DUMMYFUNCTION("""COMPUTED_VALUE"""),"AnhNM")</f>
        <v>AnhNM</v>
      </c>
      <c r="F45" s="265" t="str">
        <f>IFERROR(__xludf.DUMMYFUNCTION("""COMPUTED_VALUE"""),"Bronze")</f>
        <v>Bronze</v>
      </c>
      <c r="G45" s="265" t="str">
        <f>IFERROR(__xludf.DUMMYFUNCTION("""COMPUTED_VALUE"""),"Starter")</f>
        <v>Starter</v>
      </c>
      <c r="H45" s="265" t="str">
        <f>IFERROR(__xludf.DUMMYFUNCTION("""COMPUTED_VALUE"""),"Trả sau")</f>
        <v>Trả sau</v>
      </c>
      <c r="I45" s="265" t="str">
        <f>IFERROR(__xludf.DUMMYFUNCTION("""COMPUTED_VALUE"""),"API")</f>
        <v>API</v>
      </c>
      <c r="J45" s="265" t="str">
        <f>IFERROR(__xludf.DUMMYFUNCTION("""COMPUTED_VALUE"""),"API")</f>
        <v>API</v>
      </c>
    </row>
    <row r="46">
      <c r="A46" s="265" t="str">
        <f>IFERROR(__xludf.DUMMYFUNCTION("""COMPUTED_VALUE"""),"361")</f>
        <v>361</v>
      </c>
      <c r="B46" s="265" t="str">
        <f>IFERROR(__xludf.DUMMYFUNCTION("""COMPUTED_VALUE"""),"Hà Nội")</f>
        <v>Hà Nội</v>
      </c>
      <c r="C46" s="265" t="str">
        <f>IFERROR(__xludf.DUMMYFUNCTION("""COMPUTED_VALUE"""),"Locked")</f>
        <v>Locked</v>
      </c>
      <c r="D46" s="265" t="str">
        <f>IFERROR(__xludf.DUMMYFUNCTION("""COMPUTED_VALUE"""),"Sale chưa cung cấp")</f>
        <v>Sale chưa cung cấp</v>
      </c>
      <c r="E46" s="265" t="str">
        <f>IFERROR(__xludf.DUMMYFUNCTION("""COMPUTED_VALUE"""),"(Chưa recheck)")</f>
        <v>(Chưa recheck)</v>
      </c>
      <c r="F46" s="265" t="str">
        <f>IFERROR(__xludf.DUMMYFUNCTION("""COMPUTED_VALUE"""),"Sale chưa cung cấp")</f>
        <v>Sale chưa cung cấp</v>
      </c>
      <c r="G46" s="265" t="str">
        <f>IFERROR(__xludf.DUMMYFUNCTION("""COMPUTED_VALUE"""),"Enterprise")</f>
        <v>Enterprise</v>
      </c>
      <c r="H46" s="265" t="str">
        <f>IFERROR(__xludf.DUMMYFUNCTION("""COMPUTED_VALUE"""),"(Chưa recheck)")</f>
        <v>(Chưa recheck)</v>
      </c>
      <c r="I46" s="265" t="str">
        <f>IFERROR(__xludf.DUMMYFUNCTION("""COMPUTED_VALUE"""),"(Chưa recheck)")</f>
        <v>(Chưa recheck)</v>
      </c>
      <c r="J46" s="265" t="str">
        <f>IFERROR(__xludf.DUMMYFUNCTION("""COMPUTED_VALUE"""),"(Chưa recheck)")</f>
        <v>(Chưa recheck)</v>
      </c>
    </row>
    <row r="47">
      <c r="A47" s="265" t="str">
        <f>IFERROR(__xludf.DUMMYFUNCTION("""COMPUTED_VALUE"""),"363")</f>
        <v>363</v>
      </c>
      <c r="B47" s="265" t="str">
        <f>IFERROR(__xludf.DUMMYFUNCTION("""COMPUTED_VALUE"""),"Hà Nội")</f>
        <v>Hà Nội</v>
      </c>
      <c r="C47" s="265" t="str">
        <f>IFERROR(__xludf.DUMMYFUNCTION("""COMPUTED_VALUE"""),"Locked")</f>
        <v>Locked</v>
      </c>
      <c r="D47" s="265" t="str">
        <f>IFERROR(__xludf.DUMMYFUNCTION("""COMPUTED_VALUE"""),"Sale chưa cung cấp")</f>
        <v>Sale chưa cung cấp</v>
      </c>
      <c r="E47" s="265" t="str">
        <f>IFERROR(__xludf.DUMMYFUNCTION("""COMPUTED_VALUE"""),"NamDT")</f>
        <v>NamDT</v>
      </c>
      <c r="F47" s="265" t="str">
        <f>IFERROR(__xludf.DUMMYFUNCTION("""COMPUTED_VALUE"""),"Bronze")</f>
        <v>Bronze</v>
      </c>
      <c r="G47" s="265" t="str">
        <f>IFERROR(__xludf.DUMMYFUNCTION("""COMPUTED_VALUE"""),"MSG")</f>
        <v>MSG</v>
      </c>
      <c r="H47" s="265" t="str">
        <f>IFERROR(__xludf.DUMMYFUNCTION("""COMPUTED_VALUE"""),"(Chưa recheck)")</f>
        <v>(Chưa recheck)</v>
      </c>
      <c r="I47" s="265" t="str">
        <f>IFERROR(__xludf.DUMMYFUNCTION("""COMPUTED_VALUE"""),"(Chưa recheck)")</f>
        <v>(Chưa recheck)</v>
      </c>
      <c r="J47" s="265" t="str">
        <f>IFERROR(__xludf.DUMMYFUNCTION("""COMPUTED_VALUE"""),"File Excel")</f>
        <v>File Excel</v>
      </c>
    </row>
    <row r="48">
      <c r="A48" s="265" t="str">
        <f>IFERROR(__xludf.DUMMYFUNCTION("""COMPUTED_VALUE"""),"364")</f>
        <v>364</v>
      </c>
      <c r="B48" s="265" t="str">
        <f>IFERROR(__xludf.DUMMYFUNCTION("""COMPUTED_VALUE"""),"Hà Nội")</f>
        <v>Hà Nội</v>
      </c>
      <c r="C48" s="265" t="str">
        <f>IFERROR(__xludf.DUMMYFUNCTION("""COMPUTED_VALUE"""),"Locked")</f>
        <v>Locked</v>
      </c>
      <c r="D48" s="265" t="str">
        <f>IFERROR(__xludf.DUMMYFUNCTION("""COMPUTED_VALUE"""),"Sale chưa cung cấp")</f>
        <v>Sale chưa cung cấp</v>
      </c>
      <c r="E48" s="265" t="str">
        <f>IFERROR(__xludf.DUMMYFUNCTION("""COMPUTED_VALUE"""),"(Chưa recheck)")</f>
        <v>(Chưa recheck)</v>
      </c>
      <c r="F48" s="265" t="str">
        <f>IFERROR(__xludf.DUMMYFUNCTION("""COMPUTED_VALUE"""),"Bronze")</f>
        <v>Bronze</v>
      </c>
      <c r="G48" s="265" t="str">
        <f>IFERROR(__xludf.DUMMYFUNCTION("""COMPUTED_VALUE"""),"API")</f>
        <v>API</v>
      </c>
      <c r="H48" s="265" t="str">
        <f>IFERROR(__xludf.DUMMYFUNCTION("""COMPUTED_VALUE"""),"(Chưa recheck)")</f>
        <v>(Chưa recheck)</v>
      </c>
      <c r="I48" s="265" t="str">
        <f>IFERROR(__xludf.DUMMYFUNCTION("""COMPUTED_VALUE"""),"(Chưa recheck)")</f>
        <v>(Chưa recheck)</v>
      </c>
      <c r="J48" s="265" t="str">
        <f>IFERROR(__xludf.DUMMYFUNCTION("""COMPUTED_VALUE"""),"API")</f>
        <v>API</v>
      </c>
    </row>
    <row r="49">
      <c r="A49" s="265" t="str">
        <f>IFERROR(__xludf.DUMMYFUNCTION("""COMPUTED_VALUE"""),"366")</f>
        <v>366</v>
      </c>
      <c r="B49" s="265" t="str">
        <f>IFERROR(__xludf.DUMMYFUNCTION("""COMPUTED_VALUE"""),"Hà Nội")</f>
        <v>Hà Nội</v>
      </c>
      <c r="C49" s="265" t="str">
        <f>IFERROR(__xludf.DUMMYFUNCTION("""COMPUTED_VALUE"""),"Locked")</f>
        <v>Locked</v>
      </c>
      <c r="D49" s="265" t="str">
        <f>IFERROR(__xludf.DUMMYFUNCTION("""COMPUTED_VALUE"""),"Sale chưa cung cấp")</f>
        <v>Sale chưa cung cấp</v>
      </c>
      <c r="E49" s="265" t="str">
        <f>IFERROR(__xludf.DUMMYFUNCTION("""COMPUTED_VALUE"""),"(Chưa recheck)")</f>
        <v>(Chưa recheck)</v>
      </c>
      <c r="F49" s="265" t="str">
        <f>IFERROR(__xludf.DUMMYFUNCTION("""COMPUTED_VALUE"""),"Sale chưa cung cấp")</f>
        <v>Sale chưa cung cấp</v>
      </c>
      <c r="G49" s="265" t="str">
        <f>IFERROR(__xludf.DUMMYFUNCTION("""COMPUTED_VALUE"""),"API")</f>
        <v>API</v>
      </c>
      <c r="H49" s="265" t="str">
        <f>IFERROR(__xludf.DUMMYFUNCTION("""COMPUTED_VALUE"""),"(Chưa recheck)")</f>
        <v>(Chưa recheck)</v>
      </c>
      <c r="I49" s="265" t="str">
        <f>IFERROR(__xludf.DUMMYFUNCTION("""COMPUTED_VALUE"""),"(Chưa recheck)")</f>
        <v>(Chưa recheck)</v>
      </c>
      <c r="J49" s="265" t="str">
        <f>IFERROR(__xludf.DUMMYFUNCTION("""COMPUTED_VALUE"""),"API")</f>
        <v>API</v>
      </c>
    </row>
    <row r="50">
      <c r="A50" s="265" t="str">
        <f>IFERROR(__xludf.DUMMYFUNCTION("""COMPUTED_VALUE"""),"367")</f>
        <v>367</v>
      </c>
      <c r="B50" s="265" t="str">
        <f>IFERROR(__xludf.DUMMYFUNCTION("""COMPUTED_VALUE"""),"Hà Nội")</f>
        <v>Hà Nội</v>
      </c>
      <c r="C50" s="265" t="str">
        <f>IFERROR(__xludf.DUMMYFUNCTION("""COMPUTED_VALUE"""),"Locked")</f>
        <v>Locked</v>
      </c>
      <c r="D50" s="265" t="str">
        <f>IFERROR(__xludf.DUMMYFUNCTION("""COMPUTED_VALUE"""),"Sale chưa cung cấp")</f>
        <v>Sale chưa cung cấp</v>
      </c>
      <c r="E50" s="265" t="str">
        <f>IFERROR(__xludf.DUMMYFUNCTION("""COMPUTED_VALUE"""),"AnhNM")</f>
        <v>AnhNM</v>
      </c>
      <c r="F50" s="265" t="str">
        <f>IFERROR(__xludf.DUMMYFUNCTION("""COMPUTED_VALUE"""),"Sale chưa cung cấp")</f>
        <v>Sale chưa cung cấp</v>
      </c>
      <c r="G50" s="265" t="str">
        <f>IFERROR(__xludf.DUMMYFUNCTION("""COMPUTED_VALUE"""),"API")</f>
        <v>API</v>
      </c>
      <c r="H50" s="265" t="str">
        <f>IFERROR(__xludf.DUMMYFUNCTION("""COMPUTED_VALUE"""),"Trả sau")</f>
        <v>Trả sau</v>
      </c>
      <c r="I50" s="265" t="str">
        <f>IFERROR(__xludf.DUMMYFUNCTION("""COMPUTED_VALUE"""),"API")</f>
        <v>API</v>
      </c>
      <c r="J50" s="265" t="str">
        <f>IFERROR(__xludf.DUMMYFUNCTION("""COMPUTED_VALUE"""),"API")</f>
        <v>API</v>
      </c>
    </row>
    <row r="51">
      <c r="A51" s="265" t="str">
        <f>IFERROR(__xludf.DUMMYFUNCTION("""COMPUTED_VALUE"""),"368")</f>
        <v>368</v>
      </c>
      <c r="B51" s="265" t="str">
        <f>IFERROR(__xludf.DUMMYFUNCTION("""COMPUTED_VALUE"""),"Hà Nội")</f>
        <v>Hà Nội</v>
      </c>
      <c r="C51" s="265" t="str">
        <f>IFERROR(__xludf.DUMMYFUNCTION("""COMPUTED_VALUE"""),"Locked")</f>
        <v>Locked</v>
      </c>
      <c r="D51" s="265" t="str">
        <f>IFERROR(__xludf.DUMMYFUNCTION("""COMPUTED_VALUE"""),"Sale chưa cung cấp")</f>
        <v>Sale chưa cung cấp</v>
      </c>
      <c r="E51" s="265" t="str">
        <f>IFERROR(__xludf.DUMMYFUNCTION("""COMPUTED_VALUE"""),"(Không recheck)")</f>
        <v>(Không recheck)</v>
      </c>
      <c r="F51" s="265" t="str">
        <f>IFERROR(__xludf.DUMMYFUNCTION("""COMPUTED_VALUE"""),"Sale chưa cung cấp")</f>
        <v>Sale chưa cung cấp</v>
      </c>
      <c r="G51" s="265" t="str">
        <f>IFERROR(__xludf.DUMMYFUNCTION("""COMPUTED_VALUE"""),"Enterprise")</f>
        <v>Enterprise</v>
      </c>
      <c r="H51" s="265" t="str">
        <f>IFERROR(__xludf.DUMMYFUNCTION("""COMPUTED_VALUE"""),"Trial")</f>
        <v>Trial</v>
      </c>
      <c r="I51" s="265" t="str">
        <f>IFERROR(__xludf.DUMMYFUNCTION("""COMPUTED_VALUE"""),"(Không recheck)")</f>
        <v>(Không recheck)</v>
      </c>
      <c r="J51" s="265" t="str">
        <f>IFERROR(__xludf.DUMMYFUNCTION("""COMPUTED_VALUE"""),"(Không recheck)")</f>
        <v>(Không recheck)</v>
      </c>
    </row>
    <row r="52">
      <c r="A52" s="265" t="str">
        <f>IFERROR(__xludf.DUMMYFUNCTION("""COMPUTED_VALUE"""),"369")</f>
        <v>369</v>
      </c>
      <c r="B52" s="265" t="str">
        <f>IFERROR(__xludf.DUMMYFUNCTION("""COMPUTED_VALUE"""),"Hà Nội")</f>
        <v>Hà Nội</v>
      </c>
      <c r="C52" s="265" t="str">
        <f>IFERROR(__xludf.DUMMYFUNCTION("""COMPUTED_VALUE"""),"Active")</f>
        <v>Active</v>
      </c>
      <c r="D52" s="265" t="str">
        <f>IFERROR(__xludf.DUMMYFUNCTION("""COMPUTED_VALUE"""),"Sale chưa cung cấp")</f>
        <v>Sale chưa cung cấp</v>
      </c>
      <c r="E52" s="265" t="str">
        <f>IFERROR(__xludf.DUMMYFUNCTION("""COMPUTED_VALUE"""),"TuPHN")</f>
        <v>TuPHN</v>
      </c>
      <c r="F52" s="265" t="str">
        <f>IFERROR(__xludf.DUMMYFUNCTION("""COMPUTED_VALUE"""),"Gold")</f>
        <v>Gold</v>
      </c>
      <c r="G52" s="265" t="str">
        <f>IFERROR(__xludf.DUMMYFUNCTION("""COMPUTED_VALUE"""),"Starter")</f>
        <v>Starter</v>
      </c>
      <c r="H52" s="265" t="str">
        <f>IFERROR(__xludf.DUMMYFUNCTION("""COMPUTED_VALUE"""),"Trả sau")</f>
        <v>Trả sau</v>
      </c>
      <c r="I52" s="265" t="str">
        <f>IFERROR(__xludf.DUMMYFUNCTION("""COMPUTED_VALUE"""),"API")</f>
        <v>API</v>
      </c>
      <c r="J52" s="265" t="str">
        <f>IFERROR(__xludf.DUMMYFUNCTION("""COMPUTED_VALUE"""),"API")</f>
        <v>API</v>
      </c>
    </row>
    <row r="53">
      <c r="A53" s="265" t="str">
        <f>IFERROR(__xludf.DUMMYFUNCTION("""COMPUTED_VALUE"""),"370")</f>
        <v>370</v>
      </c>
      <c r="B53" s="265" t="str">
        <f>IFERROR(__xludf.DUMMYFUNCTION("""COMPUTED_VALUE"""),"Hà Nội")</f>
        <v>Hà Nội</v>
      </c>
      <c r="C53" s="265" t="str">
        <f>IFERROR(__xludf.DUMMYFUNCTION("""COMPUTED_VALUE"""),"Locked")</f>
        <v>Locked</v>
      </c>
      <c r="D53" s="265" t="str">
        <f>IFERROR(__xludf.DUMMYFUNCTION("""COMPUTED_VALUE"""),"Sale chưa cung cấp")</f>
        <v>Sale chưa cung cấp</v>
      </c>
      <c r="E53" s="265" t="str">
        <f>IFERROR(__xludf.DUMMYFUNCTION("""COMPUTED_VALUE"""),"(Chưa recheck)")</f>
        <v>(Chưa recheck)</v>
      </c>
      <c r="F53" s="265" t="str">
        <f>IFERROR(__xludf.DUMMYFUNCTION("""COMPUTED_VALUE"""),"Sale chưa cung cấp")</f>
        <v>Sale chưa cung cấp</v>
      </c>
      <c r="G53" s="265" t="str">
        <f>IFERROR(__xludf.DUMMYFUNCTION("""COMPUTED_VALUE"""),"Enterprise")</f>
        <v>Enterprise</v>
      </c>
      <c r="H53" s="265" t="str">
        <f>IFERROR(__xludf.DUMMYFUNCTION("""COMPUTED_VALUE"""),"(Chưa recheck)")</f>
        <v>(Chưa recheck)</v>
      </c>
      <c r="I53" s="265" t="str">
        <f>IFERROR(__xludf.DUMMYFUNCTION("""COMPUTED_VALUE"""),"(Chưa recheck)")</f>
        <v>(Chưa recheck)</v>
      </c>
      <c r="J53" s="265" t="str">
        <f>IFERROR(__xludf.DUMMYFUNCTION("""COMPUTED_VALUE"""),"(Chưa recheck)")</f>
        <v>(Chưa recheck)</v>
      </c>
    </row>
    <row r="54">
      <c r="A54" s="265" t="str">
        <f>IFERROR(__xludf.DUMMYFUNCTION("""COMPUTED_VALUE"""),"372")</f>
        <v>372</v>
      </c>
      <c r="B54" s="265" t="str">
        <f>IFERROR(__xludf.DUMMYFUNCTION("""COMPUTED_VALUE"""),"Hà Nội")</f>
        <v>Hà Nội</v>
      </c>
      <c r="C54" s="265" t="str">
        <f>IFERROR(__xludf.DUMMYFUNCTION("""COMPUTED_VALUE"""),"Locked")</f>
        <v>Locked</v>
      </c>
      <c r="D54" s="265" t="str">
        <f>IFERROR(__xludf.DUMMYFUNCTION("""COMPUTED_VALUE"""),"Sale chưa cung cấp")</f>
        <v>Sale chưa cung cấp</v>
      </c>
      <c r="E54" s="265" t="str">
        <f>IFERROR(__xludf.DUMMYFUNCTION("""COMPUTED_VALUE"""),"(Không recheck)")</f>
        <v>(Không recheck)</v>
      </c>
      <c r="F54" s="265" t="str">
        <f>IFERROR(__xludf.DUMMYFUNCTION("""COMPUTED_VALUE"""),"Sale chưa cung cấp")</f>
        <v>Sale chưa cung cấp</v>
      </c>
      <c r="G54" s="265" t="str">
        <f>IFERROR(__xludf.DUMMYFUNCTION("""COMPUTED_VALUE"""),"Enterprise")</f>
        <v>Enterprise</v>
      </c>
      <c r="H54" s="265" t="str">
        <f>IFERROR(__xludf.DUMMYFUNCTION("""COMPUTED_VALUE"""),"Trial")</f>
        <v>Trial</v>
      </c>
      <c r="I54" s="265" t="str">
        <f>IFERROR(__xludf.DUMMYFUNCTION("""COMPUTED_VALUE"""),"(Không recheck)")</f>
        <v>(Không recheck)</v>
      </c>
      <c r="J54" s="265" t="str">
        <f>IFERROR(__xludf.DUMMYFUNCTION("""COMPUTED_VALUE"""),"(Không recheck)")</f>
        <v>(Không recheck)</v>
      </c>
    </row>
    <row r="55">
      <c r="A55" s="265" t="str">
        <f>IFERROR(__xludf.DUMMYFUNCTION("""COMPUTED_VALUE"""),"373")</f>
        <v>373</v>
      </c>
      <c r="B55" s="265" t="str">
        <f>IFERROR(__xludf.DUMMYFUNCTION("""COMPUTED_VALUE"""),"Hà Nội")</f>
        <v>Hà Nội</v>
      </c>
      <c r="C55" s="265" t="str">
        <f>IFERROR(__xludf.DUMMYFUNCTION("""COMPUTED_VALUE"""),"Locked")</f>
        <v>Locked</v>
      </c>
      <c r="D55" s="265" t="str">
        <f>IFERROR(__xludf.DUMMYFUNCTION("""COMPUTED_VALUE"""),"Sale chưa cung cấp")</f>
        <v>Sale chưa cung cấp</v>
      </c>
      <c r="E55" s="265" t="str">
        <f>IFERROR(__xludf.DUMMYFUNCTION("""COMPUTED_VALUE"""),"(Không recheck)")</f>
        <v>(Không recheck)</v>
      </c>
      <c r="F55" s="265" t="str">
        <f>IFERROR(__xludf.DUMMYFUNCTION("""COMPUTED_VALUE"""),"Sale chưa cung cấp")</f>
        <v>Sale chưa cung cấp</v>
      </c>
      <c r="G55" s="265" t="str">
        <f>IFERROR(__xludf.DUMMYFUNCTION("""COMPUTED_VALUE"""),"Enterprise")</f>
        <v>Enterprise</v>
      </c>
      <c r="H55" s="265" t="str">
        <f>IFERROR(__xludf.DUMMYFUNCTION("""COMPUTED_VALUE"""),"Trial")</f>
        <v>Trial</v>
      </c>
      <c r="I55" s="265" t="str">
        <f>IFERROR(__xludf.DUMMYFUNCTION("""COMPUTED_VALUE"""),"(Không recheck)")</f>
        <v>(Không recheck)</v>
      </c>
      <c r="J55" s="265" t="str">
        <f>IFERROR(__xludf.DUMMYFUNCTION("""COMPUTED_VALUE"""),"API")</f>
        <v>API</v>
      </c>
    </row>
    <row r="56">
      <c r="A56" s="265" t="str">
        <f>IFERROR(__xludf.DUMMYFUNCTION("""COMPUTED_VALUE"""),"375")</f>
        <v>375</v>
      </c>
      <c r="B56" s="265" t="str">
        <f>IFERROR(__xludf.DUMMYFUNCTION("""COMPUTED_VALUE"""),"Hà Nội")</f>
        <v>Hà Nội</v>
      </c>
      <c r="C56" s="265" t="str">
        <f>IFERROR(__xludf.DUMMYFUNCTION("""COMPUTED_VALUE"""),"Locked")</f>
        <v>Locked</v>
      </c>
      <c r="D56" s="265" t="str">
        <f>IFERROR(__xludf.DUMMYFUNCTION("""COMPUTED_VALUE"""),"Sale chưa cung cấp")</f>
        <v>Sale chưa cung cấp</v>
      </c>
      <c r="E56" s="265" t="str">
        <f>IFERROR(__xludf.DUMMYFUNCTION("""COMPUTED_VALUE"""),"(Không recheck)")</f>
        <v>(Không recheck)</v>
      </c>
      <c r="F56" s="265" t="str">
        <f>IFERROR(__xludf.DUMMYFUNCTION("""COMPUTED_VALUE"""),"Sale chưa cung cấp")</f>
        <v>Sale chưa cung cấp</v>
      </c>
      <c r="G56" s="265" t="str">
        <f>IFERROR(__xludf.DUMMYFUNCTION("""COMPUTED_VALUE"""),"Enterprise")</f>
        <v>Enterprise</v>
      </c>
      <c r="H56" s="265" t="str">
        <f>IFERROR(__xludf.DUMMYFUNCTION("""COMPUTED_VALUE"""),"Trial")</f>
        <v>Trial</v>
      </c>
      <c r="I56" s="265" t="str">
        <f>IFERROR(__xludf.DUMMYFUNCTION("""COMPUTED_VALUE"""),"(Không recheck)")</f>
        <v>(Không recheck)</v>
      </c>
      <c r="J56" s="265" t="str">
        <f>IFERROR(__xludf.DUMMYFUNCTION("""COMPUTED_VALUE"""),"(Không recheck)")</f>
        <v>(Không recheck)</v>
      </c>
    </row>
    <row r="57">
      <c r="A57" s="265" t="str">
        <f>IFERROR(__xludf.DUMMYFUNCTION("""COMPUTED_VALUE"""),"374")</f>
        <v>374</v>
      </c>
      <c r="B57" s="265" t="str">
        <f>IFERROR(__xludf.DUMMYFUNCTION("""COMPUTED_VALUE"""),"Sài Gòn")</f>
        <v>Sài Gòn</v>
      </c>
      <c r="C57" s="265" t="str">
        <f>IFERROR(__xludf.DUMMYFUNCTION("""COMPUTED_VALUE"""),"Locked")</f>
        <v>Locked</v>
      </c>
      <c r="D57" s="265" t="str">
        <f>IFERROR(__xludf.DUMMYFUNCTION("""COMPUTED_VALUE"""),"Sale chưa cung cấp")</f>
        <v>Sale chưa cung cấp</v>
      </c>
      <c r="E57" s="265" t="str">
        <f>IFERROR(__xludf.DUMMYFUNCTION("""COMPUTED_VALUE"""),"NamDT")</f>
        <v>NamDT</v>
      </c>
      <c r="F57" s="265" t="str">
        <f>IFERROR(__xludf.DUMMYFUNCTION("""COMPUTED_VALUE"""),"Sale chưa cung cấp")</f>
        <v>Sale chưa cung cấp</v>
      </c>
      <c r="G57" s="265" t="str">
        <f>IFERROR(__xludf.DUMMYFUNCTION("""COMPUTED_VALUE"""),"Enterprise")</f>
        <v>Enterprise</v>
      </c>
      <c r="H57" s="265" t="str">
        <f>IFERROR(__xludf.DUMMYFUNCTION("""COMPUTED_VALUE"""),"(Chưa recheck)")</f>
        <v>(Chưa recheck)</v>
      </c>
      <c r="I57" s="265" t="str">
        <f>IFERROR(__xludf.DUMMYFUNCTION("""COMPUTED_VALUE"""),"(Chưa recheck)")</f>
        <v>(Chưa recheck)</v>
      </c>
      <c r="J57" s="265" t="str">
        <f>IFERROR(__xludf.DUMMYFUNCTION("""COMPUTED_VALUE"""),"API")</f>
        <v>API</v>
      </c>
    </row>
    <row r="58">
      <c r="A58" s="265" t="str">
        <f>IFERROR(__xludf.DUMMYFUNCTION("""COMPUTED_VALUE"""),"376")</f>
        <v>376</v>
      </c>
      <c r="B58" s="265" t="str">
        <f>IFERROR(__xludf.DUMMYFUNCTION("""COMPUTED_VALUE"""),"Hà Nội")</f>
        <v>Hà Nội</v>
      </c>
      <c r="C58" s="265" t="str">
        <f>IFERROR(__xludf.DUMMYFUNCTION("""COMPUTED_VALUE"""),"Locked")</f>
        <v>Locked</v>
      </c>
      <c r="D58" s="265" t="str">
        <f>IFERROR(__xludf.DUMMYFUNCTION("""COMPUTED_VALUE"""),"Sale chưa cung cấp")</f>
        <v>Sale chưa cung cấp</v>
      </c>
      <c r="E58" s="265" t="str">
        <f>IFERROR(__xludf.DUMMYFUNCTION("""COMPUTED_VALUE"""),"(Không recheck)")</f>
        <v>(Không recheck)</v>
      </c>
      <c r="F58" s="265" t="str">
        <f>IFERROR(__xludf.DUMMYFUNCTION("""COMPUTED_VALUE"""),"Sale chưa cung cấp")</f>
        <v>Sale chưa cung cấp</v>
      </c>
      <c r="G58" s="265" t="str">
        <f>IFERROR(__xludf.DUMMYFUNCTION("""COMPUTED_VALUE"""),"Enterprise")</f>
        <v>Enterprise</v>
      </c>
      <c r="H58" s="265" t="str">
        <f>IFERROR(__xludf.DUMMYFUNCTION("""COMPUTED_VALUE"""),"Trial")</f>
        <v>Trial</v>
      </c>
      <c r="I58" s="265" t="str">
        <f>IFERROR(__xludf.DUMMYFUNCTION("""COMPUTED_VALUE"""),"(Không recheck)")</f>
        <v>(Không recheck)</v>
      </c>
      <c r="J58" s="265" t="str">
        <f>IFERROR(__xludf.DUMMYFUNCTION("""COMPUTED_VALUE"""),"(Không recheck)")</f>
        <v>(Không recheck)</v>
      </c>
    </row>
    <row r="59">
      <c r="A59" s="265" t="str">
        <f>IFERROR(__xludf.DUMMYFUNCTION("""COMPUTED_VALUE"""),"377")</f>
        <v>377</v>
      </c>
      <c r="B59" s="265" t="str">
        <f>IFERROR(__xludf.DUMMYFUNCTION("""COMPUTED_VALUE"""),"Hà Nội")</f>
        <v>Hà Nội</v>
      </c>
      <c r="C59" s="265" t="str">
        <f>IFERROR(__xludf.DUMMYFUNCTION("""COMPUTED_VALUE"""),"Locked")</f>
        <v>Locked</v>
      </c>
      <c r="D59" s="265" t="str">
        <f>IFERROR(__xludf.DUMMYFUNCTION("""COMPUTED_VALUE"""),"Sale chưa cung cấp")</f>
        <v>Sale chưa cung cấp</v>
      </c>
      <c r="E59" s="265" t="str">
        <f>IFERROR(__xludf.DUMMYFUNCTION("""COMPUTED_VALUE"""),"(Không recheck)")</f>
        <v>(Không recheck)</v>
      </c>
      <c r="F59" s="265" t="str">
        <f>IFERROR(__xludf.DUMMYFUNCTION("""COMPUTED_VALUE"""),"Sale chưa cung cấp")</f>
        <v>Sale chưa cung cấp</v>
      </c>
      <c r="G59" s="265" t="str">
        <f>IFERROR(__xludf.DUMMYFUNCTION("""COMPUTED_VALUE"""),"API")</f>
        <v>API</v>
      </c>
      <c r="H59" s="265" t="str">
        <f>IFERROR(__xludf.DUMMYFUNCTION("""COMPUTED_VALUE"""),"Trial")</f>
        <v>Trial</v>
      </c>
      <c r="I59" s="265" t="str">
        <f>IFERROR(__xludf.DUMMYFUNCTION("""COMPUTED_VALUE"""),"(Không recheck)")</f>
        <v>(Không recheck)</v>
      </c>
      <c r="J59" s="265" t="str">
        <f>IFERROR(__xludf.DUMMYFUNCTION("""COMPUTED_VALUE"""),"API")</f>
        <v>API</v>
      </c>
    </row>
    <row r="60">
      <c r="A60" s="265" t="str">
        <f>IFERROR(__xludf.DUMMYFUNCTION("""COMPUTED_VALUE"""),"378")</f>
        <v>378</v>
      </c>
      <c r="B60" s="265" t="str">
        <f>IFERROR(__xludf.DUMMYFUNCTION("""COMPUTED_VALUE"""),"Hà Nội")</f>
        <v>Hà Nội</v>
      </c>
      <c r="C60" s="265" t="str">
        <f>IFERROR(__xludf.DUMMYFUNCTION("""COMPUTED_VALUE"""),"Locked")</f>
        <v>Locked</v>
      </c>
      <c r="D60" s="265" t="str">
        <f>IFERROR(__xludf.DUMMYFUNCTION("""COMPUTED_VALUE"""),"Sale chưa cung cấp")</f>
        <v>Sale chưa cung cấp</v>
      </c>
      <c r="E60" s="265" t="str">
        <f>IFERROR(__xludf.DUMMYFUNCTION("""COMPUTED_VALUE"""),"(Không recheck)")</f>
        <v>(Không recheck)</v>
      </c>
      <c r="F60" s="265" t="str">
        <f>IFERROR(__xludf.DUMMYFUNCTION("""COMPUTED_VALUE"""),"Sale chưa cung cấp")</f>
        <v>Sale chưa cung cấp</v>
      </c>
      <c r="G60" s="265" t="str">
        <f>IFERROR(__xludf.DUMMYFUNCTION("""COMPUTED_VALUE"""),"MSG")</f>
        <v>MSG</v>
      </c>
      <c r="H60" s="265" t="str">
        <f>IFERROR(__xludf.DUMMYFUNCTION("""COMPUTED_VALUE"""),"Trial")</f>
        <v>Trial</v>
      </c>
      <c r="I60" s="265" t="str">
        <f>IFERROR(__xludf.DUMMYFUNCTION("""COMPUTED_VALUE"""),"(Không recheck)")</f>
        <v>(Không recheck)</v>
      </c>
      <c r="J60" s="265" t="str">
        <f>IFERROR(__xludf.DUMMYFUNCTION("""COMPUTED_VALUE"""),"File Excel")</f>
        <v>File Excel</v>
      </c>
    </row>
    <row r="61">
      <c r="A61" s="265" t="str">
        <f>IFERROR(__xludf.DUMMYFUNCTION("""COMPUTED_VALUE"""),"379")</f>
        <v>379</v>
      </c>
      <c r="B61" s="265" t="str">
        <f>IFERROR(__xludf.DUMMYFUNCTION("""COMPUTED_VALUE"""),"Hà Nội")</f>
        <v>Hà Nội</v>
      </c>
      <c r="C61" s="265" t="str">
        <f>IFERROR(__xludf.DUMMYFUNCTION("""COMPUTED_VALUE"""),"Locked")</f>
        <v>Locked</v>
      </c>
      <c r="D61" s="265" t="str">
        <f>IFERROR(__xludf.DUMMYFUNCTION("""COMPUTED_VALUE"""),"Sale chưa cung cấp")</f>
        <v>Sale chưa cung cấp</v>
      </c>
      <c r="E61" s="265" t="str">
        <f>IFERROR(__xludf.DUMMYFUNCTION("""COMPUTED_VALUE"""),"(Không recheck)")</f>
        <v>(Không recheck)</v>
      </c>
      <c r="F61" s="265" t="str">
        <f>IFERROR(__xludf.DUMMYFUNCTION("""COMPUTED_VALUE"""),"Sale chưa cung cấp")</f>
        <v>Sale chưa cung cấp</v>
      </c>
      <c r="G61" s="265" t="str">
        <f>IFERROR(__xludf.DUMMYFUNCTION("""COMPUTED_VALUE"""),"Enterprise")</f>
        <v>Enterprise</v>
      </c>
      <c r="H61" s="265" t="str">
        <f>IFERROR(__xludf.DUMMYFUNCTION("""COMPUTED_VALUE"""),"Trial")</f>
        <v>Trial</v>
      </c>
      <c r="I61" s="265" t="str">
        <f>IFERROR(__xludf.DUMMYFUNCTION("""COMPUTED_VALUE"""),"(Không recheck)")</f>
        <v>(Không recheck)</v>
      </c>
      <c r="J61" s="265" t="str">
        <f>IFERROR(__xludf.DUMMYFUNCTION("""COMPUTED_VALUE"""),"(Không recheck)")</f>
        <v>(Không recheck)</v>
      </c>
    </row>
    <row r="62">
      <c r="A62" s="265" t="str">
        <f>IFERROR(__xludf.DUMMYFUNCTION("""COMPUTED_VALUE"""),"380")</f>
        <v>380</v>
      </c>
      <c r="B62" s="265" t="str">
        <f>IFERROR(__xludf.DUMMYFUNCTION("""COMPUTED_VALUE"""),"Hà Nội")</f>
        <v>Hà Nội</v>
      </c>
      <c r="C62" s="265" t="str">
        <f>IFERROR(__xludf.DUMMYFUNCTION("""COMPUTED_VALUE"""),"Locked")</f>
        <v>Locked</v>
      </c>
      <c r="D62" s="265" t="str">
        <f>IFERROR(__xludf.DUMMYFUNCTION("""COMPUTED_VALUE"""),"Sale chưa cung cấp")</f>
        <v>Sale chưa cung cấp</v>
      </c>
      <c r="E62" s="265" t="str">
        <f>IFERROR(__xludf.DUMMYFUNCTION("""COMPUTED_VALUE"""),"(Chưa recheck)")</f>
        <v>(Chưa recheck)</v>
      </c>
      <c r="F62" s="265" t="str">
        <f>IFERROR(__xludf.DUMMYFUNCTION("""COMPUTED_VALUE"""),"Sale chưa cung cấp")</f>
        <v>Sale chưa cung cấp</v>
      </c>
      <c r="G62" s="265" t="str">
        <f>IFERROR(__xludf.DUMMYFUNCTION("""COMPUTED_VALUE"""),"API")</f>
        <v>API</v>
      </c>
      <c r="H62" s="265" t="str">
        <f>IFERROR(__xludf.DUMMYFUNCTION("""COMPUTED_VALUE"""),"(Chưa recheck)")</f>
        <v>(Chưa recheck)</v>
      </c>
      <c r="I62" s="265" t="str">
        <f>IFERROR(__xludf.DUMMYFUNCTION("""COMPUTED_VALUE"""),"(Chưa recheck)")</f>
        <v>(Chưa recheck)</v>
      </c>
      <c r="J62" s="265" t="str">
        <f>IFERROR(__xludf.DUMMYFUNCTION("""COMPUTED_VALUE"""),"API")</f>
        <v>API</v>
      </c>
    </row>
    <row r="63">
      <c r="A63" s="265" t="str">
        <f>IFERROR(__xludf.DUMMYFUNCTION("""COMPUTED_VALUE"""),"383")</f>
        <v>383</v>
      </c>
      <c r="B63" s="265" t="str">
        <f>IFERROR(__xludf.DUMMYFUNCTION("""COMPUTED_VALUE"""),"Hà Nội")</f>
        <v>Hà Nội</v>
      </c>
      <c r="C63" s="265" t="str">
        <f>IFERROR(__xludf.DUMMYFUNCTION("""COMPUTED_VALUE"""),"Locked")</f>
        <v>Locked</v>
      </c>
      <c r="D63" s="265" t="str">
        <f>IFERROR(__xludf.DUMMYFUNCTION("""COMPUTED_VALUE"""),"Sale chưa cung cấp")</f>
        <v>Sale chưa cung cấp</v>
      </c>
      <c r="E63" s="265" t="str">
        <f>IFERROR(__xludf.DUMMYFUNCTION("""COMPUTED_VALUE"""),"HangNT")</f>
        <v>HangNT</v>
      </c>
      <c r="F63" s="265" t="str">
        <f>IFERROR(__xludf.DUMMYFUNCTION("""COMPUTED_VALUE"""),"Sale chưa cung cấp")</f>
        <v>Sale chưa cung cấp</v>
      </c>
      <c r="G63" s="265" t="str">
        <f>IFERROR(__xludf.DUMMYFUNCTION("""COMPUTED_VALUE"""),"API")</f>
        <v>API</v>
      </c>
      <c r="H63" s="265" t="str">
        <f>IFERROR(__xludf.DUMMYFUNCTION("""COMPUTED_VALUE"""),"Trả sau")</f>
        <v>Trả sau</v>
      </c>
      <c r="I63" s="265" t="str">
        <f>IFERROR(__xludf.DUMMYFUNCTION("""COMPUTED_VALUE"""),"(Chưa recheck)")</f>
        <v>(Chưa recheck)</v>
      </c>
      <c r="J63" s="265" t="str">
        <f>IFERROR(__xludf.DUMMYFUNCTION("""COMPUTED_VALUE"""),"(Chưa recheck)")</f>
        <v>(Chưa recheck)</v>
      </c>
    </row>
    <row r="64">
      <c r="A64" s="265" t="str">
        <f>IFERROR(__xludf.DUMMYFUNCTION("""COMPUTED_VALUE"""),"384")</f>
        <v>384</v>
      </c>
      <c r="B64" s="265" t="str">
        <f>IFERROR(__xludf.DUMMYFUNCTION("""COMPUTED_VALUE"""),"Hà Nội")</f>
        <v>Hà Nội</v>
      </c>
      <c r="C64" s="265" t="str">
        <f>IFERROR(__xludf.DUMMYFUNCTION("""COMPUTED_VALUE"""),"Locked")</f>
        <v>Locked</v>
      </c>
      <c r="D64" s="265" t="str">
        <f>IFERROR(__xludf.DUMMYFUNCTION("""COMPUTED_VALUE"""),"Sale chưa cung cấp")</f>
        <v>Sale chưa cung cấp</v>
      </c>
      <c r="E64" s="265" t="str">
        <f>IFERROR(__xludf.DUMMYFUNCTION("""COMPUTED_VALUE"""),"(Chưa recheck)")</f>
        <v>(Chưa recheck)</v>
      </c>
      <c r="F64" s="265" t="str">
        <f>IFERROR(__xludf.DUMMYFUNCTION("""COMPUTED_VALUE"""),"Sale chưa cung cấp")</f>
        <v>Sale chưa cung cấp</v>
      </c>
      <c r="G64" s="265" t="str">
        <f>IFERROR(__xludf.DUMMYFUNCTION("""COMPUTED_VALUE"""),"MSG")</f>
        <v>MSG</v>
      </c>
      <c r="H64" s="265" t="str">
        <f>IFERROR(__xludf.DUMMYFUNCTION("""COMPUTED_VALUE"""),"(Chưa recheck)")</f>
        <v>(Chưa recheck)</v>
      </c>
      <c r="I64" s="265" t="str">
        <f>IFERROR(__xludf.DUMMYFUNCTION("""COMPUTED_VALUE"""),"(Chưa recheck)")</f>
        <v>(Chưa recheck)</v>
      </c>
      <c r="J64" s="265" t="str">
        <f>IFERROR(__xludf.DUMMYFUNCTION("""COMPUTED_VALUE"""),"(Chưa recheck)")</f>
        <v>(Chưa recheck)</v>
      </c>
    </row>
    <row r="65">
      <c r="A65" s="265" t="str">
        <f>IFERROR(__xludf.DUMMYFUNCTION("""COMPUTED_VALUE"""),"386")</f>
        <v>386</v>
      </c>
      <c r="B65" s="265" t="str">
        <f>IFERROR(__xludf.DUMMYFUNCTION("""COMPUTED_VALUE"""),"Hà Nội")</f>
        <v>Hà Nội</v>
      </c>
      <c r="C65" s="265" t="str">
        <f>IFERROR(__xludf.DUMMYFUNCTION("""COMPUTED_VALUE"""),"Locked")</f>
        <v>Locked</v>
      </c>
      <c r="D65" s="265" t="str">
        <f>IFERROR(__xludf.DUMMYFUNCTION("""COMPUTED_VALUE"""),"Sale chưa cung cấp")</f>
        <v>Sale chưa cung cấp</v>
      </c>
      <c r="E65" s="265" t="str">
        <f>IFERROR(__xludf.DUMMYFUNCTION("""COMPUTED_VALUE"""),"(Không recheck)")</f>
        <v>(Không recheck)</v>
      </c>
      <c r="F65" s="265" t="str">
        <f>IFERROR(__xludf.DUMMYFUNCTION("""COMPUTED_VALUE"""),"Sale chưa cung cấp")</f>
        <v>Sale chưa cung cấp</v>
      </c>
      <c r="G65" s="265" t="str">
        <f>IFERROR(__xludf.DUMMYFUNCTION("""COMPUTED_VALUE"""),"Enterprise")</f>
        <v>Enterprise</v>
      </c>
      <c r="H65" s="265" t="str">
        <f>IFERROR(__xludf.DUMMYFUNCTION("""COMPUTED_VALUE"""),"Trial")</f>
        <v>Trial</v>
      </c>
      <c r="I65" s="265" t="str">
        <f>IFERROR(__xludf.DUMMYFUNCTION("""COMPUTED_VALUE"""),"(Không recheck)")</f>
        <v>(Không recheck)</v>
      </c>
      <c r="J65" s="265" t="str">
        <f>IFERROR(__xludf.DUMMYFUNCTION("""COMPUTED_VALUE"""),"(Không recheck)")</f>
        <v>(Không recheck)</v>
      </c>
    </row>
    <row r="66">
      <c r="A66" s="265" t="str">
        <f>IFERROR(__xludf.DUMMYFUNCTION("""COMPUTED_VALUE"""),"387")</f>
        <v>387</v>
      </c>
      <c r="B66" s="265" t="str">
        <f>IFERROR(__xludf.DUMMYFUNCTION("""COMPUTED_VALUE"""),"Hà Nội")</f>
        <v>Hà Nội</v>
      </c>
      <c r="C66" s="265" t="str">
        <f>IFERROR(__xludf.DUMMYFUNCTION("""COMPUTED_VALUE"""),"Locked")</f>
        <v>Locked</v>
      </c>
      <c r="D66" s="265" t="str">
        <f>IFERROR(__xludf.DUMMYFUNCTION("""COMPUTED_VALUE"""),"Sale chưa cung cấp")</f>
        <v>Sale chưa cung cấp</v>
      </c>
      <c r="E66" s="265" t="str">
        <f>IFERROR(__xludf.DUMMYFUNCTION("""COMPUTED_VALUE"""),"(Không recheck)")</f>
        <v>(Không recheck)</v>
      </c>
      <c r="F66" s="265" t="str">
        <f>IFERROR(__xludf.DUMMYFUNCTION("""COMPUTED_VALUE"""),"Sale chưa cung cấp")</f>
        <v>Sale chưa cung cấp</v>
      </c>
      <c r="G66" s="265" t="str">
        <f>IFERROR(__xludf.DUMMYFUNCTION("""COMPUTED_VALUE"""),"Enterprise")</f>
        <v>Enterprise</v>
      </c>
      <c r="H66" s="265" t="str">
        <f>IFERROR(__xludf.DUMMYFUNCTION("""COMPUTED_VALUE"""),"Trial")</f>
        <v>Trial</v>
      </c>
      <c r="I66" s="265" t="str">
        <f>IFERROR(__xludf.DUMMYFUNCTION("""COMPUTED_VALUE"""),"(Không recheck)")</f>
        <v>(Không recheck)</v>
      </c>
      <c r="J66" s="265" t="str">
        <f>IFERROR(__xludf.DUMMYFUNCTION("""COMPUTED_VALUE"""),"(Không recheck)")</f>
        <v>(Không recheck)</v>
      </c>
    </row>
    <row r="67">
      <c r="A67" s="265" t="str">
        <f>IFERROR(__xludf.DUMMYFUNCTION("""COMPUTED_VALUE"""),"388")</f>
        <v>388</v>
      </c>
      <c r="B67" s="265" t="str">
        <f>IFERROR(__xludf.DUMMYFUNCTION("""COMPUTED_VALUE"""),"Hà Nội")</f>
        <v>Hà Nội</v>
      </c>
      <c r="C67" s="265" t="str">
        <f>IFERROR(__xludf.DUMMYFUNCTION("""COMPUTED_VALUE"""),"Active")</f>
        <v>Active</v>
      </c>
      <c r="D67" s="265" t="str">
        <f>IFERROR(__xludf.DUMMYFUNCTION("""COMPUTED_VALUE"""),"Sale chưa cung cấp")</f>
        <v>Sale chưa cung cấp</v>
      </c>
      <c r="E67" s="265" t="str">
        <f>IFERROR(__xludf.DUMMYFUNCTION("""COMPUTED_VALUE"""),"TúPHN")</f>
        <v>TúPHN</v>
      </c>
      <c r="F67" s="265" t="str">
        <f>IFERROR(__xludf.DUMMYFUNCTION("""COMPUTED_VALUE"""),"Bronze")</f>
        <v>Bronze</v>
      </c>
      <c r="G67" s="265" t="str">
        <f>IFERROR(__xludf.DUMMYFUNCTION("""COMPUTED_VALUE"""),"Standard")</f>
        <v>Standard</v>
      </c>
      <c r="H67" s="265" t="str">
        <f>IFERROR(__xludf.DUMMYFUNCTION("""COMPUTED_VALUE"""),"Trả trước")</f>
        <v>Trả trước</v>
      </c>
      <c r="I67" s="265" t="str">
        <f>IFERROR(__xludf.DUMMYFUNCTION("""COMPUTED_VALUE"""),"API")</f>
        <v>API</v>
      </c>
      <c r="J67" s="265" t="str">
        <f>IFERROR(__xludf.DUMMYFUNCTION("""COMPUTED_VALUE"""),"API")</f>
        <v>API</v>
      </c>
    </row>
    <row r="68">
      <c r="A68" s="265" t="str">
        <f>IFERROR(__xludf.DUMMYFUNCTION("""COMPUTED_VALUE"""),"385")</f>
        <v>385</v>
      </c>
      <c r="B68" s="265" t="str">
        <f>IFERROR(__xludf.DUMMYFUNCTION("""COMPUTED_VALUE"""),"Sài Gòn")</f>
        <v>Sài Gòn</v>
      </c>
      <c r="C68" s="265" t="str">
        <f>IFERROR(__xludf.DUMMYFUNCTION("""COMPUTED_VALUE"""),"Locked")</f>
        <v>Locked</v>
      </c>
      <c r="D68" s="265" t="str">
        <f>IFERROR(__xludf.DUMMYFUNCTION("""COMPUTED_VALUE"""),"Sale chưa cung cấp")</f>
        <v>Sale chưa cung cấp</v>
      </c>
      <c r="E68" s="265" t="str">
        <f>IFERROR(__xludf.DUMMYFUNCTION("""COMPUTED_VALUE"""),"PhươngDTB")</f>
        <v>PhươngDTB</v>
      </c>
      <c r="F68" s="265" t="str">
        <f>IFERROR(__xludf.DUMMYFUNCTION("""COMPUTED_VALUE"""),"Silver")</f>
        <v>Silver</v>
      </c>
      <c r="G68" s="265" t="str">
        <f>IFERROR(__xludf.DUMMYFUNCTION("""COMPUTED_VALUE"""),"Enterprise")</f>
        <v>Enterprise</v>
      </c>
      <c r="H68" s="265" t="str">
        <f>IFERROR(__xludf.DUMMYFUNCTION("""COMPUTED_VALUE"""),"(Chưa recheck)")</f>
        <v>(Chưa recheck)</v>
      </c>
      <c r="I68" s="265" t="str">
        <f>IFERROR(__xludf.DUMMYFUNCTION("""COMPUTED_VALUE"""),"(Chưa recheck)")</f>
        <v>(Chưa recheck)</v>
      </c>
      <c r="J68" s="265" t="str">
        <f>IFERROR(__xludf.DUMMYFUNCTION("""COMPUTED_VALUE"""),"Haravan")</f>
        <v>Haravan</v>
      </c>
    </row>
    <row r="69">
      <c r="A69" s="265" t="str">
        <f>IFERROR(__xludf.DUMMYFUNCTION("""COMPUTED_VALUE"""),"390")</f>
        <v>390</v>
      </c>
      <c r="B69" s="265" t="str">
        <f>IFERROR(__xludf.DUMMYFUNCTION("""COMPUTED_VALUE"""),"Sài Gòn")</f>
        <v>Sài Gòn</v>
      </c>
      <c r="C69" s="265" t="str">
        <f>IFERROR(__xludf.DUMMYFUNCTION("""COMPUTED_VALUE"""),"Locked")</f>
        <v>Locked</v>
      </c>
      <c r="D69" s="265" t="str">
        <f>IFERROR(__xludf.DUMMYFUNCTION("""COMPUTED_VALUE"""),"Sale chưa cung cấp")</f>
        <v>Sale chưa cung cấp</v>
      </c>
      <c r="E69" s="265" t="str">
        <f>IFERROR(__xludf.DUMMYFUNCTION("""COMPUTED_VALUE"""),"NamDT")</f>
        <v>NamDT</v>
      </c>
      <c r="F69" s="265" t="str">
        <f>IFERROR(__xludf.DUMMYFUNCTION("""COMPUTED_VALUE"""),"Sale chưa cung cấp")</f>
        <v>Sale chưa cung cấp</v>
      </c>
      <c r="G69" s="265" t="str">
        <f>IFERROR(__xludf.DUMMYFUNCTION("""COMPUTED_VALUE"""),"Enterprise")</f>
        <v>Enterprise</v>
      </c>
      <c r="H69" s="265" t="str">
        <f>IFERROR(__xludf.DUMMYFUNCTION("""COMPUTED_VALUE"""),"(Chưa recheck)")</f>
        <v>(Chưa recheck)</v>
      </c>
      <c r="I69" s="265" t="str">
        <f>IFERROR(__xludf.DUMMYFUNCTION("""COMPUTED_VALUE"""),"(Chưa recheck)")</f>
        <v>(Chưa recheck)</v>
      </c>
      <c r="J69" s="265" t="str">
        <f>IFERROR(__xludf.DUMMYFUNCTION("""COMPUTED_VALUE"""),"API")</f>
        <v>API</v>
      </c>
    </row>
    <row r="70">
      <c r="A70" s="265" t="str">
        <f>IFERROR(__xludf.DUMMYFUNCTION("""COMPUTED_VALUE"""),"391")</f>
        <v>391</v>
      </c>
      <c r="B70" s="265" t="str">
        <f>IFERROR(__xludf.DUMMYFUNCTION("""COMPUTED_VALUE"""),"Sài Gòn")</f>
        <v>Sài Gòn</v>
      </c>
      <c r="C70" s="265" t="str">
        <f>IFERROR(__xludf.DUMMYFUNCTION("""COMPUTED_VALUE"""),"Locked")</f>
        <v>Locked</v>
      </c>
      <c r="D70" s="265" t="str">
        <f>IFERROR(__xludf.DUMMYFUNCTION("""COMPUTED_VALUE"""),"Sale chưa cung cấp")</f>
        <v>Sale chưa cung cấp</v>
      </c>
      <c r="E70" s="265" t="str">
        <f>IFERROR(__xludf.DUMMYFUNCTION("""COMPUTED_VALUE"""),"NamDT")</f>
        <v>NamDT</v>
      </c>
      <c r="F70" s="265" t="str">
        <f>IFERROR(__xludf.DUMMYFUNCTION("""COMPUTED_VALUE"""),"Sale chưa cung cấp")</f>
        <v>Sale chưa cung cấp</v>
      </c>
      <c r="G70" s="265" t="str">
        <f>IFERROR(__xludf.DUMMYFUNCTION("""COMPUTED_VALUE"""),"Enterprise")</f>
        <v>Enterprise</v>
      </c>
      <c r="H70" s="265" t="str">
        <f>IFERROR(__xludf.DUMMYFUNCTION("""COMPUTED_VALUE"""),"(Chưa recheck)")</f>
        <v>(Chưa recheck)</v>
      </c>
      <c r="I70" s="265" t="str">
        <f>IFERROR(__xludf.DUMMYFUNCTION("""COMPUTED_VALUE"""),"(Chưa recheck)")</f>
        <v>(Chưa recheck)</v>
      </c>
      <c r="J70" s="265" t="str">
        <f>IFERROR(__xludf.DUMMYFUNCTION("""COMPUTED_VALUE"""),"Kiotviet")</f>
        <v>Kiotviet</v>
      </c>
    </row>
    <row r="71">
      <c r="A71" s="265" t="str">
        <f>IFERROR(__xludf.DUMMYFUNCTION("""COMPUTED_VALUE"""),"392")</f>
        <v>392</v>
      </c>
      <c r="B71" s="265" t="str">
        <f>IFERROR(__xludf.DUMMYFUNCTION("""COMPUTED_VALUE"""),"Hà Nội")</f>
        <v>Hà Nội</v>
      </c>
      <c r="C71" s="265" t="str">
        <f>IFERROR(__xludf.DUMMYFUNCTION("""COMPUTED_VALUE"""),"Locked")</f>
        <v>Locked</v>
      </c>
      <c r="D71" s="265" t="str">
        <f>IFERROR(__xludf.DUMMYFUNCTION("""COMPUTED_VALUE"""),"Sale chưa cung cấp")</f>
        <v>Sale chưa cung cấp</v>
      </c>
      <c r="E71" s="265" t="str">
        <f>IFERROR(__xludf.DUMMYFUNCTION("""COMPUTED_VALUE"""),"HangNT")</f>
        <v>HangNT</v>
      </c>
      <c r="F71" s="265" t="str">
        <f>IFERROR(__xludf.DUMMYFUNCTION("""COMPUTED_VALUE"""),"Bronze")</f>
        <v>Bronze</v>
      </c>
      <c r="G71" s="265" t="str">
        <f>IFERROR(__xludf.DUMMYFUNCTION("""COMPUTED_VALUE"""),"Enterprise")</f>
        <v>Enterprise</v>
      </c>
      <c r="H71" s="265" t="str">
        <f>IFERROR(__xludf.DUMMYFUNCTION("""COMPUTED_VALUE"""),"(Chưa recheck)")</f>
        <v>(Chưa recheck)</v>
      </c>
      <c r="I71" s="265" t="str">
        <f>IFERROR(__xludf.DUMMYFUNCTION("""COMPUTED_VALUE"""),"(Chưa recheck)")</f>
        <v>(Chưa recheck)</v>
      </c>
      <c r="J71" s="265" t="str">
        <f>IFERROR(__xludf.DUMMYFUNCTION("""COMPUTED_VALUE"""),"WooCommerce")</f>
        <v>WooCommerce</v>
      </c>
    </row>
    <row r="72">
      <c r="A72" s="265" t="str">
        <f>IFERROR(__xludf.DUMMYFUNCTION("""COMPUTED_VALUE"""),"393")</f>
        <v>393</v>
      </c>
      <c r="B72" s="265" t="str">
        <f>IFERROR(__xludf.DUMMYFUNCTION("""COMPUTED_VALUE"""),"Hà Nội")</f>
        <v>Hà Nội</v>
      </c>
      <c r="C72" s="265" t="str">
        <f>IFERROR(__xludf.DUMMYFUNCTION("""COMPUTED_VALUE"""),"Locked")</f>
        <v>Locked</v>
      </c>
      <c r="D72" s="265" t="str">
        <f>IFERROR(__xludf.DUMMYFUNCTION("""COMPUTED_VALUE"""),"Sale chưa cung cấp")</f>
        <v>Sale chưa cung cấp</v>
      </c>
      <c r="E72" s="265" t="str">
        <f>IFERROR(__xludf.DUMMYFUNCTION("""COMPUTED_VALUE"""),"HangNT")</f>
        <v>HangNT</v>
      </c>
      <c r="F72" s="265" t="str">
        <f>IFERROR(__xludf.DUMMYFUNCTION("""COMPUTED_VALUE"""),"Bronze")</f>
        <v>Bronze</v>
      </c>
      <c r="G72" s="265" t="str">
        <f>IFERROR(__xludf.DUMMYFUNCTION("""COMPUTED_VALUE"""),"Enterprise")</f>
        <v>Enterprise</v>
      </c>
      <c r="H72" s="265" t="str">
        <f>IFERROR(__xludf.DUMMYFUNCTION("""COMPUTED_VALUE"""),"(Chưa recheck)")</f>
        <v>(Chưa recheck)</v>
      </c>
      <c r="I72" s="265" t="str">
        <f>IFERROR(__xludf.DUMMYFUNCTION("""COMPUTED_VALUE"""),"(Chưa recheck)")</f>
        <v>(Chưa recheck)</v>
      </c>
      <c r="J72" s="265" t="str">
        <f>IFERROR(__xludf.DUMMYFUNCTION("""COMPUTED_VALUE"""),"File Excel")</f>
        <v>File Excel</v>
      </c>
    </row>
    <row r="73">
      <c r="A73" s="265" t="str">
        <f>IFERROR(__xludf.DUMMYFUNCTION("""COMPUTED_VALUE"""),"394")</f>
        <v>394</v>
      </c>
      <c r="B73" s="265" t="str">
        <f>IFERROR(__xludf.DUMMYFUNCTION("""COMPUTED_VALUE"""),"Hà Nội")</f>
        <v>Hà Nội</v>
      </c>
      <c r="C73" s="265" t="str">
        <f>IFERROR(__xludf.DUMMYFUNCTION("""COMPUTED_VALUE"""),"Locked")</f>
        <v>Locked</v>
      </c>
      <c r="D73" s="265" t="str">
        <f>IFERROR(__xludf.DUMMYFUNCTION("""COMPUTED_VALUE"""),"Sale chưa cung cấp")</f>
        <v>Sale chưa cung cấp</v>
      </c>
      <c r="E73" s="265" t="str">
        <f>IFERROR(__xludf.DUMMYFUNCTION("""COMPUTED_VALUE"""),"(Chưa recheck)")</f>
        <v>(Chưa recheck)</v>
      </c>
      <c r="F73" s="265" t="str">
        <f>IFERROR(__xludf.DUMMYFUNCTION("""COMPUTED_VALUE"""),"Bronze")</f>
        <v>Bronze</v>
      </c>
      <c r="G73" s="265" t="str">
        <f>IFERROR(__xludf.DUMMYFUNCTION("""COMPUTED_VALUE"""),"MSG")</f>
        <v>MSG</v>
      </c>
      <c r="H73" s="265" t="str">
        <f>IFERROR(__xludf.DUMMYFUNCTION("""COMPUTED_VALUE"""),"(Chưa recheck)")</f>
        <v>(Chưa recheck)</v>
      </c>
      <c r="I73" s="265" t="str">
        <f>IFERROR(__xludf.DUMMYFUNCTION("""COMPUTED_VALUE"""),"(Chưa recheck)")</f>
        <v>(Chưa recheck)</v>
      </c>
      <c r="J73" s="265" t="str">
        <f>IFERROR(__xludf.DUMMYFUNCTION("""COMPUTED_VALUE"""),"File Excel")</f>
        <v>File Excel</v>
      </c>
    </row>
    <row r="74">
      <c r="A74" s="265" t="str">
        <f>IFERROR(__xludf.DUMMYFUNCTION("""COMPUTED_VALUE"""),"395")</f>
        <v>395</v>
      </c>
      <c r="B74" s="265" t="str">
        <f>IFERROR(__xludf.DUMMYFUNCTION("""COMPUTED_VALUE"""),"Hà Nội")</f>
        <v>Hà Nội</v>
      </c>
      <c r="C74" s="265" t="str">
        <f>IFERROR(__xludf.DUMMYFUNCTION("""COMPUTED_VALUE"""),"Locked")</f>
        <v>Locked</v>
      </c>
      <c r="D74" s="265" t="str">
        <f>IFERROR(__xludf.DUMMYFUNCTION("""COMPUTED_VALUE"""),"Sale chưa cung cấp")</f>
        <v>Sale chưa cung cấp</v>
      </c>
      <c r="E74" s="265" t="str">
        <f>IFERROR(__xludf.DUMMYFUNCTION("""COMPUTED_VALUE"""),"HangNT")</f>
        <v>HangNT</v>
      </c>
      <c r="F74" s="265" t="str">
        <f>IFERROR(__xludf.DUMMYFUNCTION("""COMPUTED_VALUE"""),"Sale chưa cung cấp")</f>
        <v>Sale chưa cung cấp</v>
      </c>
      <c r="G74" s="265" t="str">
        <f>IFERROR(__xludf.DUMMYFUNCTION("""COMPUTED_VALUE"""),"API")</f>
        <v>API</v>
      </c>
      <c r="H74" s="265" t="str">
        <f>IFERROR(__xludf.DUMMYFUNCTION("""COMPUTED_VALUE"""),"(Chưa recheck)")</f>
        <v>(Chưa recheck)</v>
      </c>
      <c r="I74" s="265" t="str">
        <f>IFERROR(__xludf.DUMMYFUNCTION("""COMPUTED_VALUE"""),"(Chưa recheck)")</f>
        <v>(Chưa recheck)</v>
      </c>
      <c r="J74" s="265" t="str">
        <f>IFERROR(__xludf.DUMMYFUNCTION("""COMPUTED_VALUE"""),"(Chưa recheck)")</f>
        <v>(Chưa recheck)</v>
      </c>
    </row>
    <row r="75">
      <c r="A75" s="265" t="str">
        <f>IFERROR(__xludf.DUMMYFUNCTION("""COMPUTED_VALUE"""),"396")</f>
        <v>396</v>
      </c>
      <c r="B75" s="265" t="str">
        <f>IFERROR(__xludf.DUMMYFUNCTION("""COMPUTED_VALUE"""),"Hà Nội")</f>
        <v>Hà Nội</v>
      </c>
      <c r="C75" s="265" t="str">
        <f>IFERROR(__xludf.DUMMYFUNCTION("""COMPUTED_VALUE"""),"Locked")</f>
        <v>Locked</v>
      </c>
      <c r="D75" s="265" t="str">
        <f>IFERROR(__xludf.DUMMYFUNCTION("""COMPUTED_VALUE"""),"Sale chưa cung cấp")</f>
        <v>Sale chưa cung cấp</v>
      </c>
      <c r="E75" s="265" t="str">
        <f>IFERROR(__xludf.DUMMYFUNCTION("""COMPUTED_VALUE"""),"HangNT")</f>
        <v>HangNT</v>
      </c>
      <c r="F75" s="265" t="str">
        <f>IFERROR(__xludf.DUMMYFUNCTION("""COMPUTED_VALUE"""),"Bronze")</f>
        <v>Bronze</v>
      </c>
      <c r="G75" s="265" t="str">
        <f>IFERROR(__xludf.DUMMYFUNCTION("""COMPUTED_VALUE"""),"Enterprise")</f>
        <v>Enterprise</v>
      </c>
      <c r="H75" s="265" t="str">
        <f>IFERROR(__xludf.DUMMYFUNCTION("""COMPUTED_VALUE"""),"(Chưa recheck)")</f>
        <v>(Chưa recheck)</v>
      </c>
      <c r="I75" s="265" t="str">
        <f>IFERROR(__xludf.DUMMYFUNCTION("""COMPUTED_VALUE"""),"(Chưa recheck)")</f>
        <v>(Chưa recheck)</v>
      </c>
      <c r="J75" s="265" t="str">
        <f>IFERROR(__xludf.DUMMYFUNCTION("""COMPUTED_VALUE"""),"File Excel")</f>
        <v>File Excel</v>
      </c>
    </row>
    <row r="76">
      <c r="A76" s="265" t="str">
        <f>IFERROR(__xludf.DUMMYFUNCTION("""COMPUTED_VALUE"""),"398")</f>
        <v>398</v>
      </c>
      <c r="B76" s="265" t="str">
        <f>IFERROR(__xludf.DUMMYFUNCTION("""COMPUTED_VALUE"""),"Sài Gòn")</f>
        <v>Sài Gòn</v>
      </c>
      <c r="C76" s="265" t="str">
        <f>IFERROR(__xludf.DUMMYFUNCTION("""COMPUTED_VALUE"""),"Locked")</f>
        <v>Locked</v>
      </c>
      <c r="D76" s="265" t="str">
        <f>IFERROR(__xludf.DUMMYFUNCTION("""COMPUTED_VALUE"""),"Sale chưa cung cấp")</f>
        <v>Sale chưa cung cấp</v>
      </c>
      <c r="E76" s="265" t="str">
        <f>IFERROR(__xludf.DUMMYFUNCTION("""COMPUTED_VALUE"""),"(Chưa recheck)")</f>
        <v>(Chưa recheck)</v>
      </c>
      <c r="F76" s="265" t="str">
        <f>IFERROR(__xludf.DUMMYFUNCTION("""COMPUTED_VALUE"""),"Diamond")</f>
        <v>Diamond</v>
      </c>
      <c r="G76" s="265" t="str">
        <f>IFERROR(__xludf.DUMMYFUNCTION("""COMPUTED_VALUE"""),"MSG")</f>
        <v>MSG</v>
      </c>
      <c r="H76" s="265" t="str">
        <f>IFERROR(__xludf.DUMMYFUNCTION("""COMPUTED_VALUE"""),"Trial")</f>
        <v>Trial</v>
      </c>
      <c r="I76" s="265" t="str">
        <f>IFERROR(__xludf.DUMMYFUNCTION("""COMPUTED_VALUE"""),"(Chưa recheck)")</f>
        <v>(Chưa recheck)</v>
      </c>
      <c r="J76" s="265" t="str">
        <f>IFERROR(__xludf.DUMMYFUNCTION("""COMPUTED_VALUE"""),"File Excel")</f>
        <v>File Excel</v>
      </c>
    </row>
    <row r="77">
      <c r="A77" s="265" t="str">
        <f>IFERROR(__xludf.DUMMYFUNCTION("""COMPUTED_VALUE"""),"371")</f>
        <v>371</v>
      </c>
      <c r="B77" s="265" t="str">
        <f>IFERROR(__xludf.DUMMYFUNCTION("""COMPUTED_VALUE"""),"Hà Nội")</f>
        <v>Hà Nội</v>
      </c>
      <c r="C77" s="265" t="str">
        <f>IFERROR(__xludf.DUMMYFUNCTION("""COMPUTED_VALUE"""),"Locked")</f>
        <v>Locked</v>
      </c>
      <c r="D77" s="265" t="str">
        <f>IFERROR(__xludf.DUMMYFUNCTION("""COMPUTED_VALUE"""),"Sale chưa cung cấp")</f>
        <v>Sale chưa cung cấp</v>
      </c>
      <c r="E77" s="265" t="str">
        <f>IFERROR(__xludf.DUMMYFUNCTION("""COMPUTED_VALUE"""),"PhươngDTB")</f>
        <v>PhươngDTB</v>
      </c>
      <c r="F77" s="265" t="str">
        <f>IFERROR(__xludf.DUMMYFUNCTION("""COMPUTED_VALUE"""),"Sale chưa cung cấp")</f>
        <v>Sale chưa cung cấp</v>
      </c>
      <c r="G77" s="265" t="str">
        <f>IFERROR(__xludf.DUMMYFUNCTION("""COMPUTED_VALUE"""),"Enterprise")</f>
        <v>Enterprise</v>
      </c>
      <c r="H77" s="265" t="str">
        <f>IFERROR(__xludf.DUMMYFUNCTION("""COMPUTED_VALUE"""),"Trả sau")</f>
        <v>Trả sau</v>
      </c>
      <c r="I77" s="265" t="str">
        <f>IFERROR(__xludf.DUMMYFUNCTION("""COMPUTED_VALUE"""),"API &amp; Portal")</f>
        <v>API &amp; Portal</v>
      </c>
      <c r="J77" s="265" t="str">
        <f>IFERROR(__xludf.DUMMYFUNCTION("""COMPUTED_VALUE"""),"File Excel")</f>
        <v>File Excel</v>
      </c>
    </row>
    <row r="78">
      <c r="A78" s="265" t="str">
        <f>IFERROR(__xludf.DUMMYFUNCTION("""COMPUTED_VALUE"""),"399")</f>
        <v>399</v>
      </c>
      <c r="B78" s="265" t="str">
        <f>IFERROR(__xludf.DUMMYFUNCTION("""COMPUTED_VALUE"""),"Hà Nội")</f>
        <v>Hà Nội</v>
      </c>
      <c r="C78" s="265" t="str">
        <f>IFERROR(__xludf.DUMMYFUNCTION("""COMPUTED_VALUE"""),"Locked")</f>
        <v>Locked</v>
      </c>
      <c r="D78" s="265" t="str">
        <f>IFERROR(__xludf.DUMMYFUNCTION("""COMPUTED_VALUE"""),"Sale chưa cung cấp")</f>
        <v>Sale chưa cung cấp</v>
      </c>
      <c r="E78" s="265" t="str">
        <f>IFERROR(__xludf.DUMMYFUNCTION("""COMPUTED_VALUE"""),"TúPHN")</f>
        <v>TúPHN</v>
      </c>
      <c r="F78" s="265" t="str">
        <f>IFERROR(__xludf.DUMMYFUNCTION("""COMPUTED_VALUE"""),"Sale chưa cung cấp")</f>
        <v>Sale chưa cung cấp</v>
      </c>
      <c r="G78" s="265" t="str">
        <f>IFERROR(__xludf.DUMMYFUNCTION("""COMPUTED_VALUE"""),"Starter")</f>
        <v>Starter</v>
      </c>
      <c r="H78" s="265" t="str">
        <f>IFERROR(__xludf.DUMMYFUNCTION("""COMPUTED_VALUE"""),"Trial")</f>
        <v>Trial</v>
      </c>
      <c r="I78" s="265" t="str">
        <f>IFERROR(__xludf.DUMMYFUNCTION("""COMPUTED_VALUE"""),"API")</f>
        <v>API</v>
      </c>
      <c r="J78" s="265" t="str">
        <f>IFERROR(__xludf.DUMMYFUNCTION("""COMPUTED_VALUE"""),"API")</f>
        <v>API</v>
      </c>
    </row>
    <row r="79">
      <c r="A79" s="265" t="str">
        <f>IFERROR(__xludf.DUMMYFUNCTION("""COMPUTED_VALUE"""),"400")</f>
        <v>400</v>
      </c>
      <c r="B79" s="265" t="str">
        <f>IFERROR(__xludf.DUMMYFUNCTION("""COMPUTED_VALUE"""),"Đà Nẵng")</f>
        <v>Đà Nẵng</v>
      </c>
      <c r="C79" s="265" t="str">
        <f>IFERROR(__xludf.DUMMYFUNCTION("""COMPUTED_VALUE"""),"Locked")</f>
        <v>Locked</v>
      </c>
      <c r="D79" s="265" t="str">
        <f>IFERROR(__xludf.DUMMYFUNCTION("""COMPUTED_VALUE"""),"Sale chưa cung cấp")</f>
        <v>Sale chưa cung cấp</v>
      </c>
      <c r="E79" s="265" t="str">
        <f>IFERROR(__xludf.DUMMYFUNCTION("""COMPUTED_VALUE"""),"HangNT")</f>
        <v>HangNT</v>
      </c>
      <c r="F79" s="265" t="str">
        <f>IFERROR(__xludf.DUMMYFUNCTION("""COMPUTED_VALUE"""),"Sale chưa cung cấp")</f>
        <v>Sale chưa cung cấp</v>
      </c>
      <c r="G79" s="265" t="str">
        <f>IFERROR(__xludf.DUMMYFUNCTION("""COMPUTED_VALUE"""),"Enterprise")</f>
        <v>Enterprise</v>
      </c>
      <c r="H79" s="265" t="str">
        <f>IFERROR(__xludf.DUMMYFUNCTION("""COMPUTED_VALUE"""),"(Chưa recheck)")</f>
        <v>(Chưa recheck)</v>
      </c>
      <c r="I79" s="265" t="str">
        <f>IFERROR(__xludf.DUMMYFUNCTION("""COMPUTED_VALUE"""),"(Chưa recheck)")</f>
        <v>(Chưa recheck)</v>
      </c>
      <c r="J79" s="265" t="str">
        <f>IFERROR(__xludf.DUMMYFUNCTION("""COMPUTED_VALUE"""),"API")</f>
        <v>API</v>
      </c>
    </row>
    <row r="80">
      <c r="A80" s="265" t="str">
        <f>IFERROR(__xludf.DUMMYFUNCTION("""COMPUTED_VALUE"""),"401")</f>
        <v>401</v>
      </c>
      <c r="B80" s="265" t="str">
        <f>IFERROR(__xludf.DUMMYFUNCTION("""COMPUTED_VALUE"""),"Hà Nội")</f>
        <v>Hà Nội</v>
      </c>
      <c r="C80" s="265" t="str">
        <f>IFERROR(__xludf.DUMMYFUNCTION("""COMPUTED_VALUE"""),"Locked")</f>
        <v>Locked</v>
      </c>
      <c r="D80" s="265" t="str">
        <f>IFERROR(__xludf.DUMMYFUNCTION("""COMPUTED_VALUE"""),"Sale chưa cung cấp")</f>
        <v>Sale chưa cung cấp</v>
      </c>
      <c r="E80" s="265" t="str">
        <f>IFERROR(__xludf.DUMMYFUNCTION("""COMPUTED_VALUE"""),"HangNT")</f>
        <v>HangNT</v>
      </c>
      <c r="F80" s="265" t="str">
        <f>IFERROR(__xludf.DUMMYFUNCTION("""COMPUTED_VALUE"""),"Sale chưa cung cấp")</f>
        <v>Sale chưa cung cấp</v>
      </c>
      <c r="G80" s="265" t="str">
        <f>IFERROR(__xludf.DUMMYFUNCTION("""COMPUTED_VALUE"""),"Enterprise")</f>
        <v>Enterprise</v>
      </c>
      <c r="H80" s="265" t="str">
        <f>IFERROR(__xludf.DUMMYFUNCTION("""COMPUTED_VALUE"""),"(Chưa recheck)")</f>
        <v>(Chưa recheck)</v>
      </c>
      <c r="I80" s="265" t="str">
        <f>IFERROR(__xludf.DUMMYFUNCTION("""COMPUTED_VALUE"""),"(Chưa recheck)")</f>
        <v>(Chưa recheck)</v>
      </c>
      <c r="J80" s="265" t="str">
        <f>IFERROR(__xludf.DUMMYFUNCTION("""COMPUTED_VALUE"""),"(Chưa recheck)")</f>
        <v>(Chưa recheck)</v>
      </c>
    </row>
    <row r="81">
      <c r="A81" s="265" t="str">
        <f>IFERROR(__xludf.DUMMYFUNCTION("""COMPUTED_VALUE"""),"403")</f>
        <v>403</v>
      </c>
      <c r="B81" s="265" t="str">
        <f>IFERROR(__xludf.DUMMYFUNCTION("""COMPUTED_VALUE"""),"Sài Gòn")</f>
        <v>Sài Gòn</v>
      </c>
      <c r="C81" s="265" t="str">
        <f>IFERROR(__xludf.DUMMYFUNCTION("""COMPUTED_VALUE"""),"Active")</f>
        <v>Active</v>
      </c>
      <c r="D81" s="265" t="str">
        <f>IFERROR(__xludf.DUMMYFUNCTION("""COMPUTED_VALUE"""),"Sale chưa cung cấp")</f>
        <v>Sale chưa cung cấp</v>
      </c>
      <c r="E81" s="265" t="str">
        <f>IFERROR(__xludf.DUMMYFUNCTION("""COMPUTED_VALUE"""),"TùngLD")</f>
        <v>TùngLD</v>
      </c>
      <c r="F81" s="265" t="str">
        <f>IFERROR(__xludf.DUMMYFUNCTION("""COMPUTED_VALUE"""),"Gold")</f>
        <v>Gold</v>
      </c>
      <c r="G81" s="265" t="str">
        <f>IFERROR(__xludf.DUMMYFUNCTION("""COMPUTED_VALUE"""),"Enterprise")</f>
        <v>Enterprise</v>
      </c>
      <c r="H81" s="265" t="str">
        <f>IFERROR(__xludf.DUMMYFUNCTION("""COMPUTED_VALUE"""),"Trả sau")</f>
        <v>Trả sau</v>
      </c>
      <c r="I81" s="265" t="str">
        <f>IFERROR(__xludf.DUMMYFUNCTION("""COMPUTED_VALUE"""),"API")</f>
        <v>API</v>
      </c>
      <c r="J81" s="265" t="str">
        <f>IFERROR(__xludf.DUMMYFUNCTION("""COMPUTED_VALUE"""),"API")</f>
        <v>API</v>
      </c>
    </row>
    <row r="82">
      <c r="A82" s="265" t="str">
        <f>IFERROR(__xludf.DUMMYFUNCTION("""COMPUTED_VALUE"""),"404")</f>
        <v>404</v>
      </c>
      <c r="B82" s="265" t="str">
        <f>IFERROR(__xludf.DUMMYFUNCTION("""COMPUTED_VALUE"""),"Sài Gòn")</f>
        <v>Sài Gòn</v>
      </c>
      <c r="C82" s="265" t="str">
        <f>IFERROR(__xludf.DUMMYFUNCTION("""COMPUTED_VALUE"""),"Locked")</f>
        <v>Locked</v>
      </c>
      <c r="D82" s="265" t="str">
        <f>IFERROR(__xludf.DUMMYFUNCTION("""COMPUTED_VALUE"""),"Thực phẩm &amp; Đồ uống")</f>
        <v>Thực phẩm &amp; Đồ uống</v>
      </c>
      <c r="E82" s="265" t="str">
        <f>IFERROR(__xludf.DUMMYFUNCTION("""COMPUTED_VALUE"""),"PhươngDTB")</f>
        <v>PhươngDTB</v>
      </c>
      <c r="F82" s="265" t="str">
        <f>IFERROR(__xludf.DUMMYFUNCTION("""COMPUTED_VALUE"""),"Silver")</f>
        <v>Silver</v>
      </c>
      <c r="G82" s="265" t="str">
        <f>IFERROR(__xludf.DUMMYFUNCTION("""COMPUTED_VALUE"""),"Enterprise")</f>
        <v>Enterprise</v>
      </c>
      <c r="H82" s="265" t="str">
        <f>IFERROR(__xludf.DUMMYFUNCTION("""COMPUTED_VALUE"""),"Trả trước")</f>
        <v>Trả trước</v>
      </c>
      <c r="I82" s="265" t="str">
        <f>IFERROR(__xludf.DUMMYFUNCTION("""COMPUTED_VALUE"""),"(Chưa recheck)")</f>
        <v>(Chưa recheck)</v>
      </c>
      <c r="J82" s="265" t="str">
        <f>IFERROR(__xludf.DUMMYFUNCTION("""COMPUTED_VALUE"""),"(Chưa recheck)")</f>
        <v>(Chưa recheck)</v>
      </c>
    </row>
    <row r="83">
      <c r="A83" s="265" t="str">
        <f>IFERROR(__xludf.DUMMYFUNCTION("""COMPUTED_VALUE"""),"405")</f>
        <v>405</v>
      </c>
      <c r="B83" s="265" t="str">
        <f>IFERROR(__xludf.DUMMYFUNCTION("""COMPUTED_VALUE"""),"Hà Nội")</f>
        <v>Hà Nội</v>
      </c>
      <c r="C83" s="265" t="str">
        <f>IFERROR(__xludf.DUMMYFUNCTION("""COMPUTED_VALUE"""),"Locked")</f>
        <v>Locked</v>
      </c>
      <c r="D83" s="265" t="str">
        <f>IFERROR(__xludf.DUMMYFUNCTION("""COMPUTED_VALUE"""),"Sale chưa cung cấp")</f>
        <v>Sale chưa cung cấp</v>
      </c>
      <c r="E83" s="265" t="str">
        <f>IFERROR(__xludf.DUMMYFUNCTION("""COMPUTED_VALUE"""),"(Không recheck)")</f>
        <v>(Không recheck)</v>
      </c>
      <c r="F83" s="265" t="str">
        <f>IFERROR(__xludf.DUMMYFUNCTION("""COMPUTED_VALUE"""),"Sale chưa cung cấp")</f>
        <v>Sale chưa cung cấp</v>
      </c>
      <c r="G83" s="265" t="str">
        <f>IFERROR(__xludf.DUMMYFUNCTION("""COMPUTED_VALUE"""),"Enterprise")</f>
        <v>Enterprise</v>
      </c>
      <c r="H83" s="265" t="str">
        <f>IFERROR(__xludf.DUMMYFUNCTION("""COMPUTED_VALUE"""),"Trial")</f>
        <v>Trial</v>
      </c>
      <c r="I83" s="265" t="str">
        <f>IFERROR(__xludf.DUMMYFUNCTION("""COMPUTED_VALUE"""),"(Không recheck)")</f>
        <v>(Không recheck)</v>
      </c>
      <c r="J83" s="265" t="str">
        <f>IFERROR(__xludf.DUMMYFUNCTION("""COMPUTED_VALUE"""),"(Không recheck)")</f>
        <v>(Không recheck)</v>
      </c>
    </row>
    <row r="84">
      <c r="A84" s="265" t="str">
        <f>IFERROR(__xludf.DUMMYFUNCTION("""COMPUTED_VALUE"""),"407")</f>
        <v>407</v>
      </c>
      <c r="B84" s="265" t="str">
        <f>IFERROR(__xludf.DUMMYFUNCTION("""COMPUTED_VALUE"""),"Sài Gòn")</f>
        <v>Sài Gòn</v>
      </c>
      <c r="C84" s="265" t="str">
        <f>IFERROR(__xludf.DUMMYFUNCTION("""COMPUTED_VALUE"""),"Locked")</f>
        <v>Locked</v>
      </c>
      <c r="D84" s="265" t="str">
        <f>IFERROR(__xludf.DUMMYFUNCTION("""COMPUTED_VALUE"""),"Sale chưa cung cấp")</f>
        <v>Sale chưa cung cấp</v>
      </c>
      <c r="E84" s="265" t="str">
        <f>IFERROR(__xludf.DUMMYFUNCTION("""COMPUTED_VALUE"""),"HangNT")</f>
        <v>HangNT</v>
      </c>
      <c r="F84" s="265" t="str">
        <f>IFERROR(__xludf.DUMMYFUNCTION("""COMPUTED_VALUE"""),"Sale chưa cung cấp")</f>
        <v>Sale chưa cung cấp</v>
      </c>
      <c r="G84" s="265" t="str">
        <f>IFERROR(__xludf.DUMMYFUNCTION("""COMPUTED_VALUE"""),"Enterprise")</f>
        <v>Enterprise</v>
      </c>
      <c r="H84" s="265" t="str">
        <f>IFERROR(__xludf.DUMMYFUNCTION("""COMPUTED_VALUE"""),"(Chưa recheck)")</f>
        <v>(Chưa recheck)</v>
      </c>
      <c r="I84" s="265" t="str">
        <f>IFERROR(__xludf.DUMMYFUNCTION("""COMPUTED_VALUE"""),"(Chưa recheck)")</f>
        <v>(Chưa recheck)</v>
      </c>
      <c r="J84" s="265" t="str">
        <f>IFERROR(__xludf.DUMMYFUNCTION("""COMPUTED_VALUE"""),"(Chưa recheck)")</f>
        <v>(Chưa recheck)</v>
      </c>
    </row>
    <row r="85">
      <c r="A85" s="265" t="str">
        <f>IFERROR(__xludf.DUMMYFUNCTION("""COMPUTED_VALUE"""),"408")</f>
        <v>408</v>
      </c>
      <c r="B85" s="265" t="str">
        <f>IFERROR(__xludf.DUMMYFUNCTION("""COMPUTED_VALUE"""),"Đà Nẵng")</f>
        <v>Đà Nẵng</v>
      </c>
      <c r="C85" s="265" t="str">
        <f>IFERROR(__xludf.DUMMYFUNCTION("""COMPUTED_VALUE"""),"Locked")</f>
        <v>Locked</v>
      </c>
      <c r="D85" s="265" t="str">
        <f>IFERROR(__xludf.DUMMYFUNCTION("""COMPUTED_VALUE"""),"Sale chưa cung cấp")</f>
        <v>Sale chưa cung cấp</v>
      </c>
      <c r="E85" s="265" t="str">
        <f>IFERROR(__xludf.DUMMYFUNCTION("""COMPUTED_VALUE"""),"PhươngDTB")</f>
        <v>PhươngDTB</v>
      </c>
      <c r="F85" s="265" t="str">
        <f>IFERROR(__xludf.DUMMYFUNCTION("""COMPUTED_VALUE"""),"Sale chưa cung cấp")</f>
        <v>Sale chưa cung cấp</v>
      </c>
      <c r="G85" s="265" t="str">
        <f>IFERROR(__xludf.DUMMYFUNCTION("""COMPUTED_VALUE"""),"Enterprise")</f>
        <v>Enterprise</v>
      </c>
      <c r="H85" s="265" t="str">
        <f>IFERROR(__xludf.DUMMYFUNCTION("""COMPUTED_VALUE"""),"(Chưa recheck)")</f>
        <v>(Chưa recheck)</v>
      </c>
      <c r="I85" s="265" t="str">
        <f>IFERROR(__xludf.DUMMYFUNCTION("""COMPUTED_VALUE"""),"(Chưa recheck)")</f>
        <v>(Chưa recheck)</v>
      </c>
      <c r="J85" s="265" t="str">
        <f>IFERROR(__xludf.DUMMYFUNCTION("""COMPUTED_VALUE"""),"(Chưa recheck)")</f>
        <v>(Chưa recheck)</v>
      </c>
    </row>
    <row r="86">
      <c r="A86" s="265" t="str">
        <f>IFERROR(__xludf.DUMMYFUNCTION("""COMPUTED_VALUE"""),"410")</f>
        <v>410</v>
      </c>
      <c r="B86" s="265" t="str">
        <f>IFERROR(__xludf.DUMMYFUNCTION("""COMPUTED_VALUE"""),"Hà Nội")</f>
        <v>Hà Nội</v>
      </c>
      <c r="C86" s="265" t="str">
        <f>IFERROR(__xludf.DUMMYFUNCTION("""COMPUTED_VALUE"""),"Locked")</f>
        <v>Locked</v>
      </c>
      <c r="D86" s="265" t="str">
        <f>IFERROR(__xludf.DUMMYFUNCTION("""COMPUTED_VALUE"""),"Sale chưa cung cấp")</f>
        <v>Sale chưa cung cấp</v>
      </c>
      <c r="E86" s="265" t="str">
        <f>IFERROR(__xludf.DUMMYFUNCTION("""COMPUTED_VALUE"""),"HangNT")</f>
        <v>HangNT</v>
      </c>
      <c r="F86" s="265" t="str">
        <f>IFERROR(__xludf.DUMMYFUNCTION("""COMPUTED_VALUE"""),"Bronze")</f>
        <v>Bronze</v>
      </c>
      <c r="G86" s="265" t="str">
        <f>IFERROR(__xludf.DUMMYFUNCTION("""COMPUTED_VALUE"""),"Enterprise")</f>
        <v>Enterprise</v>
      </c>
      <c r="H86" s="265" t="str">
        <f>IFERROR(__xludf.DUMMYFUNCTION("""COMPUTED_VALUE"""),"(Chưa recheck)")</f>
        <v>(Chưa recheck)</v>
      </c>
      <c r="I86" s="265" t="str">
        <f>IFERROR(__xludf.DUMMYFUNCTION("""COMPUTED_VALUE"""),"(Chưa recheck)")</f>
        <v>(Chưa recheck)</v>
      </c>
      <c r="J86" s="265" t="str">
        <f>IFERROR(__xludf.DUMMYFUNCTION("""COMPUTED_VALUE"""),"Haravan")</f>
        <v>Haravan</v>
      </c>
    </row>
    <row r="87">
      <c r="A87" s="265" t="str">
        <f>IFERROR(__xludf.DUMMYFUNCTION("""COMPUTED_VALUE"""),"409")</f>
        <v>409</v>
      </c>
      <c r="B87" s="265" t="str">
        <f>IFERROR(__xludf.DUMMYFUNCTION("""COMPUTED_VALUE"""),"Sài Gòn")</f>
        <v>Sài Gòn</v>
      </c>
      <c r="C87" s="265" t="str">
        <f>IFERROR(__xludf.DUMMYFUNCTION("""COMPUTED_VALUE"""),"Locked")</f>
        <v>Locked</v>
      </c>
      <c r="D87" s="265" t="str">
        <f>IFERROR(__xludf.DUMMYFUNCTION("""COMPUTED_VALUE"""),"Sale chưa cung cấp")</f>
        <v>Sale chưa cung cấp</v>
      </c>
      <c r="E87" s="265" t="str">
        <f>IFERROR(__xludf.DUMMYFUNCTION("""COMPUTED_VALUE"""),"HoaNTM")</f>
        <v>HoaNTM</v>
      </c>
      <c r="F87" s="265" t="str">
        <f>IFERROR(__xludf.DUMMYFUNCTION("""COMPUTED_VALUE"""),"Gold")</f>
        <v>Gold</v>
      </c>
      <c r="G87" s="265" t="str">
        <f>IFERROR(__xludf.DUMMYFUNCTION("""COMPUTED_VALUE"""),"Enterprise")</f>
        <v>Enterprise</v>
      </c>
      <c r="H87" s="265" t="str">
        <f>IFERROR(__xludf.DUMMYFUNCTION("""COMPUTED_VALUE"""),"(Chưa recheck)")</f>
        <v>(Chưa recheck)</v>
      </c>
      <c r="I87" s="265" t="str">
        <f>IFERROR(__xludf.DUMMYFUNCTION("""COMPUTED_VALUE"""),"(Chưa recheck)")</f>
        <v>(Chưa recheck)</v>
      </c>
      <c r="J87" s="265" t="str">
        <f>IFERROR(__xludf.DUMMYFUNCTION("""COMPUTED_VALUE"""),"(Chưa recheck)")</f>
        <v>(Chưa recheck)</v>
      </c>
    </row>
    <row r="88">
      <c r="A88" s="265" t="str">
        <f>IFERROR(__xludf.DUMMYFUNCTION("""COMPUTED_VALUE"""),"412")</f>
        <v>412</v>
      </c>
      <c r="B88" s="265" t="str">
        <f>IFERROR(__xludf.DUMMYFUNCTION("""COMPUTED_VALUE"""),"Sài Gòn")</f>
        <v>Sài Gòn</v>
      </c>
      <c r="C88" s="265" t="str">
        <f>IFERROR(__xludf.DUMMYFUNCTION("""COMPUTED_VALUE"""),"Locked")</f>
        <v>Locked</v>
      </c>
      <c r="D88" s="265" t="str">
        <f>IFERROR(__xludf.DUMMYFUNCTION("""COMPUTED_VALUE"""),"Sale chưa cung cấp")</f>
        <v>Sale chưa cung cấp</v>
      </c>
      <c r="E88" s="265" t="str">
        <f>IFERROR(__xludf.DUMMYFUNCTION("""COMPUTED_VALUE"""),"PhươngDTB")</f>
        <v>PhươngDTB</v>
      </c>
      <c r="F88" s="265" t="str">
        <f>IFERROR(__xludf.DUMMYFUNCTION("""COMPUTED_VALUE"""),"Sale chưa cung cấp")</f>
        <v>Sale chưa cung cấp</v>
      </c>
      <c r="G88" s="265" t="str">
        <f>IFERROR(__xludf.DUMMYFUNCTION("""COMPUTED_VALUE"""),"Enterprise")</f>
        <v>Enterprise</v>
      </c>
      <c r="H88" s="265" t="str">
        <f>IFERROR(__xludf.DUMMYFUNCTION("""COMPUTED_VALUE"""),"(Chưa recheck)")</f>
        <v>(Chưa recheck)</v>
      </c>
      <c r="I88" s="265" t="str">
        <f>IFERROR(__xludf.DUMMYFUNCTION("""COMPUTED_VALUE"""),"(Chưa recheck)")</f>
        <v>(Chưa recheck)</v>
      </c>
      <c r="J88" s="265" t="str">
        <f>IFERROR(__xludf.DUMMYFUNCTION("""COMPUTED_VALUE"""),"API")</f>
        <v>API</v>
      </c>
    </row>
    <row r="89">
      <c r="A89" s="265" t="str">
        <f>IFERROR(__xludf.DUMMYFUNCTION("""COMPUTED_VALUE"""),"413")</f>
        <v>413</v>
      </c>
      <c r="B89" s="265" t="str">
        <f>IFERROR(__xludf.DUMMYFUNCTION("""COMPUTED_VALUE"""),"Hà Nội")</f>
        <v>Hà Nội</v>
      </c>
      <c r="C89" s="265" t="str">
        <f>IFERROR(__xludf.DUMMYFUNCTION("""COMPUTED_VALUE"""),"Locked")</f>
        <v>Locked</v>
      </c>
      <c r="D89" s="265" t="str">
        <f>IFERROR(__xludf.DUMMYFUNCTION("""COMPUTED_VALUE"""),"Sale chưa cung cấp")</f>
        <v>Sale chưa cung cấp</v>
      </c>
      <c r="E89" s="265" t="str">
        <f>IFERROR(__xludf.DUMMYFUNCTION("""COMPUTED_VALUE"""),"HangNT")</f>
        <v>HangNT</v>
      </c>
      <c r="F89" s="265" t="str">
        <f>IFERROR(__xludf.DUMMYFUNCTION("""COMPUTED_VALUE"""),"Diamond")</f>
        <v>Diamond</v>
      </c>
      <c r="G89" s="265" t="str">
        <f>IFERROR(__xludf.DUMMYFUNCTION("""COMPUTED_VALUE"""),"API")</f>
        <v>API</v>
      </c>
      <c r="H89" s="265" t="str">
        <f>IFERROR(__xludf.DUMMYFUNCTION("""COMPUTED_VALUE"""),"Trả sau")</f>
        <v>Trả sau</v>
      </c>
      <c r="I89" s="265" t="str">
        <f>IFERROR(__xludf.DUMMYFUNCTION("""COMPUTED_VALUE"""),"(Chưa recheck)")</f>
        <v>(Chưa recheck)</v>
      </c>
      <c r="J89" s="265" t="str">
        <f>IFERROR(__xludf.DUMMYFUNCTION("""COMPUTED_VALUE"""),"(Chưa recheck)")</f>
        <v>(Chưa recheck)</v>
      </c>
    </row>
    <row r="90">
      <c r="A90" s="265" t="str">
        <f>IFERROR(__xludf.DUMMYFUNCTION("""COMPUTED_VALUE"""),"416")</f>
        <v>416</v>
      </c>
      <c r="B90" s="265" t="str">
        <f>IFERROR(__xludf.DUMMYFUNCTION("""COMPUTED_VALUE"""),"Hà Nội")</f>
        <v>Hà Nội</v>
      </c>
      <c r="C90" s="265" t="str">
        <f>IFERROR(__xludf.DUMMYFUNCTION("""COMPUTED_VALUE"""),"Locked")</f>
        <v>Locked</v>
      </c>
      <c r="D90" s="265" t="str">
        <f>IFERROR(__xludf.DUMMYFUNCTION("""COMPUTED_VALUE"""),"Sale chưa cung cấp")</f>
        <v>Sale chưa cung cấp</v>
      </c>
      <c r="E90" s="265" t="str">
        <f>IFERROR(__xludf.DUMMYFUNCTION("""COMPUTED_VALUE"""),"(Chưa recheck)")</f>
        <v>(Chưa recheck)</v>
      </c>
      <c r="F90" s="265" t="str">
        <f>IFERROR(__xludf.DUMMYFUNCTION("""COMPUTED_VALUE"""),"Sale chưa cung cấp")</f>
        <v>Sale chưa cung cấp</v>
      </c>
      <c r="G90" s="265" t="str">
        <f>IFERROR(__xludf.DUMMYFUNCTION("""COMPUTED_VALUE"""),"API")</f>
        <v>API</v>
      </c>
      <c r="H90" s="265" t="str">
        <f>IFERROR(__xludf.DUMMYFUNCTION("""COMPUTED_VALUE"""),"Trả sau")</f>
        <v>Trả sau</v>
      </c>
      <c r="I90" s="265" t="str">
        <f>IFERROR(__xludf.DUMMYFUNCTION("""COMPUTED_VALUE"""),"(Chưa recheck)")</f>
        <v>(Chưa recheck)</v>
      </c>
      <c r="J90" s="265" t="str">
        <f>IFERROR(__xludf.DUMMYFUNCTION("""COMPUTED_VALUE"""),"API")</f>
        <v>API</v>
      </c>
    </row>
    <row r="91">
      <c r="A91" s="265" t="str">
        <f>IFERROR(__xludf.DUMMYFUNCTION("""COMPUTED_VALUE"""),"417")</f>
        <v>417</v>
      </c>
      <c r="B91" s="265" t="str">
        <f>IFERROR(__xludf.DUMMYFUNCTION("""COMPUTED_VALUE"""),"Đà Nẵng")</f>
        <v>Đà Nẵng</v>
      </c>
      <c r="C91" s="265" t="str">
        <f>IFERROR(__xludf.DUMMYFUNCTION("""COMPUTED_VALUE"""),"Active")</f>
        <v>Active</v>
      </c>
      <c r="D91" s="265" t="str">
        <f>IFERROR(__xludf.DUMMYFUNCTION("""COMPUTED_VALUE"""),"Viễn thông")</f>
        <v>Viễn thông</v>
      </c>
      <c r="E91" s="265" t="str">
        <f>IFERROR(__xludf.DUMMYFUNCTION("""COMPUTED_VALUE"""),"AnhNM")</f>
        <v>AnhNM</v>
      </c>
      <c r="F91" s="265" t="str">
        <f>IFERROR(__xludf.DUMMYFUNCTION("""COMPUTED_VALUE"""),"Silver")</f>
        <v>Silver</v>
      </c>
      <c r="G91" s="265" t="str">
        <f>IFERROR(__xludf.DUMMYFUNCTION("""COMPUTED_VALUE"""),"Enterprise")</f>
        <v>Enterprise</v>
      </c>
      <c r="H91" s="265" t="str">
        <f>IFERROR(__xludf.DUMMYFUNCTION("""COMPUTED_VALUE"""),"Trả sau")</f>
        <v>Trả sau</v>
      </c>
      <c r="I91" s="265" t="str">
        <f>IFERROR(__xludf.DUMMYFUNCTION("""COMPUTED_VALUE"""),"API &amp; Portal")</f>
        <v>API &amp; Portal</v>
      </c>
      <c r="J91" s="265" t="str">
        <f>IFERROR(__xludf.DUMMYFUNCTION("""COMPUTED_VALUE"""),"API")</f>
        <v>API</v>
      </c>
    </row>
    <row r="92">
      <c r="A92" s="265" t="str">
        <f>IFERROR(__xludf.DUMMYFUNCTION("""COMPUTED_VALUE"""),"418")</f>
        <v>418</v>
      </c>
      <c r="B92" s="265" t="str">
        <f>IFERROR(__xludf.DUMMYFUNCTION("""COMPUTED_VALUE"""),"Hà Nội")</f>
        <v>Hà Nội</v>
      </c>
      <c r="C92" s="265" t="str">
        <f>IFERROR(__xludf.DUMMYFUNCTION("""COMPUTED_VALUE"""),"Locked")</f>
        <v>Locked</v>
      </c>
      <c r="D92" s="265" t="str">
        <f>IFERROR(__xludf.DUMMYFUNCTION("""COMPUTED_VALUE"""),"Sale chưa cung cấp")</f>
        <v>Sale chưa cung cấp</v>
      </c>
      <c r="E92" s="265" t="str">
        <f>IFERROR(__xludf.DUMMYFUNCTION("""COMPUTED_VALUE"""),"(Không recheck)")</f>
        <v>(Không recheck)</v>
      </c>
      <c r="F92" s="265" t="str">
        <f>IFERROR(__xludf.DUMMYFUNCTION("""COMPUTED_VALUE"""),"Sale chưa cung cấp")</f>
        <v>Sale chưa cung cấp</v>
      </c>
      <c r="G92" s="265" t="str">
        <f>IFERROR(__xludf.DUMMYFUNCTION("""COMPUTED_VALUE"""),"Enterprise")</f>
        <v>Enterprise</v>
      </c>
      <c r="H92" s="265" t="str">
        <f>IFERROR(__xludf.DUMMYFUNCTION("""COMPUTED_VALUE"""),"Trial")</f>
        <v>Trial</v>
      </c>
      <c r="I92" s="265" t="str">
        <f>IFERROR(__xludf.DUMMYFUNCTION("""COMPUTED_VALUE"""),"(Không recheck)")</f>
        <v>(Không recheck)</v>
      </c>
      <c r="J92" s="265" t="str">
        <f>IFERROR(__xludf.DUMMYFUNCTION("""COMPUTED_VALUE"""),"(Không recheck)")</f>
        <v>(Không recheck)</v>
      </c>
    </row>
    <row r="93">
      <c r="A93" s="265" t="str">
        <f>IFERROR(__xludf.DUMMYFUNCTION("""COMPUTED_VALUE"""),"420")</f>
        <v>420</v>
      </c>
      <c r="B93" s="265" t="str">
        <f>IFERROR(__xludf.DUMMYFUNCTION("""COMPUTED_VALUE"""),"Hà Nội")</f>
        <v>Hà Nội</v>
      </c>
      <c r="C93" s="265" t="str">
        <f>IFERROR(__xludf.DUMMYFUNCTION("""COMPUTED_VALUE"""),"Active")</f>
        <v>Active</v>
      </c>
      <c r="D93" s="265" t="str">
        <f>IFERROR(__xludf.DUMMYFUNCTION("""COMPUTED_VALUE"""),"Sale chưa cung cấp")</f>
        <v>Sale chưa cung cấp</v>
      </c>
      <c r="E93" s="265" t="str">
        <f>IFERROR(__xludf.DUMMYFUNCTION("""COMPUTED_VALUE"""),"TùngLD")</f>
        <v>TùngLD</v>
      </c>
      <c r="F93" s="265" t="str">
        <f>IFERROR(__xludf.DUMMYFUNCTION("""COMPUTED_VALUE"""),"Diamond")</f>
        <v>Diamond</v>
      </c>
      <c r="G93" s="265" t="str">
        <f>IFERROR(__xludf.DUMMYFUNCTION("""COMPUTED_VALUE"""),"Enterprise")</f>
        <v>Enterprise</v>
      </c>
      <c r="H93" s="265" t="str">
        <f>IFERROR(__xludf.DUMMYFUNCTION("""COMPUTED_VALUE"""),"Trả sau")</f>
        <v>Trả sau</v>
      </c>
      <c r="I93" s="265" t="str">
        <f>IFERROR(__xludf.DUMMYFUNCTION("""COMPUTED_VALUE"""),"API &amp; Portal")</f>
        <v>API &amp; Portal</v>
      </c>
      <c r="J93" s="265" t="str">
        <f>IFERROR(__xludf.DUMMYFUNCTION("""COMPUTED_VALUE"""),"API")</f>
        <v>API</v>
      </c>
    </row>
    <row r="94">
      <c r="A94" s="265" t="str">
        <f>IFERROR(__xludf.DUMMYFUNCTION("""COMPUTED_VALUE"""),"421")</f>
        <v>421</v>
      </c>
      <c r="B94" s="265" t="str">
        <f>IFERROR(__xludf.DUMMYFUNCTION("""COMPUTED_VALUE"""),"Hà Nội")</f>
        <v>Hà Nội</v>
      </c>
      <c r="C94" s="265" t="str">
        <f>IFERROR(__xludf.DUMMYFUNCTION("""COMPUTED_VALUE"""),"Locked")</f>
        <v>Locked</v>
      </c>
      <c r="D94" s="265" t="str">
        <f>IFERROR(__xludf.DUMMYFUNCTION("""COMPUTED_VALUE"""),"Sale chưa cung cấp")</f>
        <v>Sale chưa cung cấp</v>
      </c>
      <c r="E94" s="265" t="str">
        <f>IFERROR(__xludf.DUMMYFUNCTION("""COMPUTED_VALUE"""),"TùngLD")</f>
        <v>TùngLD</v>
      </c>
      <c r="F94" s="265" t="str">
        <f>IFERROR(__xludf.DUMMYFUNCTION("""COMPUTED_VALUE"""),"Diamond")</f>
        <v>Diamond</v>
      </c>
      <c r="G94" s="265" t="str">
        <f>IFERROR(__xludf.DUMMYFUNCTION("""COMPUTED_VALUE"""),"Enterprise")</f>
        <v>Enterprise</v>
      </c>
      <c r="H94" s="265" t="str">
        <f>IFERROR(__xludf.DUMMYFUNCTION("""COMPUTED_VALUE"""),"Trả sau")</f>
        <v>Trả sau</v>
      </c>
      <c r="I94" s="265" t="str">
        <f>IFERROR(__xludf.DUMMYFUNCTION("""COMPUTED_VALUE"""),"API &amp; Portal")</f>
        <v>API &amp; Portal</v>
      </c>
      <c r="J94" s="265" t="str">
        <f>IFERROR(__xludf.DUMMYFUNCTION("""COMPUTED_VALUE"""),"API")</f>
        <v>API</v>
      </c>
    </row>
    <row r="95">
      <c r="A95" s="265" t="str">
        <f>IFERROR(__xludf.DUMMYFUNCTION("""COMPUTED_VALUE"""),"422")</f>
        <v>422</v>
      </c>
      <c r="B95" s="265" t="str">
        <f>IFERROR(__xludf.DUMMYFUNCTION("""COMPUTED_VALUE"""),"Hà Nội")</f>
        <v>Hà Nội</v>
      </c>
      <c r="C95" s="265" t="str">
        <f>IFERROR(__xludf.DUMMYFUNCTION("""COMPUTED_VALUE"""),"Locked")</f>
        <v>Locked</v>
      </c>
      <c r="D95" s="265" t="str">
        <f>IFERROR(__xludf.DUMMYFUNCTION("""COMPUTED_VALUE"""),"Sale chưa cung cấp")</f>
        <v>Sale chưa cung cấp</v>
      </c>
      <c r="E95" s="265" t="str">
        <f>IFERROR(__xludf.DUMMYFUNCTION("""COMPUTED_VALUE"""),"TùngLD")</f>
        <v>TùngLD</v>
      </c>
      <c r="F95" s="265" t="str">
        <f>IFERROR(__xludf.DUMMYFUNCTION("""COMPUTED_VALUE"""),"Diamond")</f>
        <v>Diamond</v>
      </c>
      <c r="G95" s="265" t="str">
        <f>IFERROR(__xludf.DUMMYFUNCTION("""COMPUTED_VALUE"""),"Enterprise")</f>
        <v>Enterprise</v>
      </c>
      <c r="H95" s="265" t="str">
        <f>IFERROR(__xludf.DUMMYFUNCTION("""COMPUTED_VALUE"""),"Trả sau")</f>
        <v>Trả sau</v>
      </c>
      <c r="I95" s="265" t="str">
        <f>IFERROR(__xludf.DUMMYFUNCTION("""COMPUTED_VALUE"""),"API &amp; Portal")</f>
        <v>API &amp; Portal</v>
      </c>
      <c r="J95" s="265" t="str">
        <f>IFERROR(__xludf.DUMMYFUNCTION("""COMPUTED_VALUE"""),"API")</f>
        <v>API</v>
      </c>
    </row>
    <row r="96">
      <c r="A96" s="265" t="str">
        <f>IFERROR(__xludf.DUMMYFUNCTION("""COMPUTED_VALUE"""),"423")</f>
        <v>423</v>
      </c>
      <c r="B96" s="265" t="str">
        <f>IFERROR(__xludf.DUMMYFUNCTION("""COMPUTED_VALUE"""),"Hà Nội")</f>
        <v>Hà Nội</v>
      </c>
      <c r="C96" s="265" t="str">
        <f>IFERROR(__xludf.DUMMYFUNCTION("""COMPUTED_VALUE"""),"Locked")</f>
        <v>Locked</v>
      </c>
      <c r="D96" s="265" t="str">
        <f>IFERROR(__xludf.DUMMYFUNCTION("""COMPUTED_VALUE"""),"Sale chưa cung cấp")</f>
        <v>Sale chưa cung cấp</v>
      </c>
      <c r="E96" s="265" t="str">
        <f>IFERROR(__xludf.DUMMYFUNCTION("""COMPUTED_VALUE"""),"TùngLD")</f>
        <v>TùngLD</v>
      </c>
      <c r="F96" s="265" t="str">
        <f>IFERROR(__xludf.DUMMYFUNCTION("""COMPUTED_VALUE"""),"Gold")</f>
        <v>Gold</v>
      </c>
      <c r="G96" s="265" t="str">
        <f>IFERROR(__xludf.DUMMYFUNCTION("""COMPUTED_VALUE"""),"Enterprise")</f>
        <v>Enterprise</v>
      </c>
      <c r="H96" s="265" t="str">
        <f>IFERROR(__xludf.DUMMYFUNCTION("""COMPUTED_VALUE"""),"Trả sau")</f>
        <v>Trả sau</v>
      </c>
      <c r="I96" s="265" t="str">
        <f>IFERROR(__xludf.DUMMYFUNCTION("""COMPUTED_VALUE"""),"API &amp; Portal")</f>
        <v>API &amp; Portal</v>
      </c>
      <c r="J96" s="265" t="str">
        <f>IFERROR(__xludf.DUMMYFUNCTION("""COMPUTED_VALUE"""),"File Excel")</f>
        <v>File Excel</v>
      </c>
    </row>
    <row r="97">
      <c r="A97" s="265" t="str">
        <f>IFERROR(__xludf.DUMMYFUNCTION("""COMPUTED_VALUE"""),"424")</f>
        <v>424</v>
      </c>
      <c r="B97" s="265" t="str">
        <f>IFERROR(__xludf.DUMMYFUNCTION("""COMPUTED_VALUE"""),"Đà Nẵng")</f>
        <v>Đà Nẵng</v>
      </c>
      <c r="C97" s="265" t="str">
        <f>IFERROR(__xludf.DUMMYFUNCTION("""COMPUTED_VALUE"""),"Locked")</f>
        <v>Locked</v>
      </c>
      <c r="D97" s="265" t="str">
        <f>IFERROR(__xludf.DUMMYFUNCTION("""COMPUTED_VALUE"""),"Sale chưa cung cấp")</f>
        <v>Sale chưa cung cấp</v>
      </c>
      <c r="E97" s="265" t="str">
        <f>IFERROR(__xludf.DUMMYFUNCTION("""COMPUTED_VALUE"""),"MaiTP")</f>
        <v>MaiTP</v>
      </c>
      <c r="F97" s="265" t="str">
        <f>IFERROR(__xludf.DUMMYFUNCTION("""COMPUTED_VALUE"""),"Sale chưa cung cấp")</f>
        <v>Sale chưa cung cấp</v>
      </c>
      <c r="G97" s="265" t="str">
        <f>IFERROR(__xludf.DUMMYFUNCTION("""COMPUTED_VALUE"""),"Enterprise")</f>
        <v>Enterprise</v>
      </c>
      <c r="H97" s="265" t="str">
        <f>IFERROR(__xludf.DUMMYFUNCTION("""COMPUTED_VALUE"""),"(Chưa recheck)")</f>
        <v>(Chưa recheck)</v>
      </c>
      <c r="I97" s="265" t="str">
        <f>IFERROR(__xludf.DUMMYFUNCTION("""COMPUTED_VALUE"""),"(Chưa recheck)")</f>
        <v>(Chưa recheck)</v>
      </c>
      <c r="J97" s="265" t="str">
        <f>IFERROR(__xludf.DUMMYFUNCTION("""COMPUTED_VALUE"""),"(Chưa recheck)")</f>
        <v>(Chưa recheck)</v>
      </c>
    </row>
    <row r="98">
      <c r="A98" s="265" t="str">
        <f>IFERROR(__xludf.DUMMYFUNCTION("""COMPUTED_VALUE"""),"425")</f>
        <v>425</v>
      </c>
      <c r="B98" s="265" t="str">
        <f>IFERROR(__xludf.DUMMYFUNCTION("""COMPUTED_VALUE"""),"Hà Nội")</f>
        <v>Hà Nội</v>
      </c>
      <c r="C98" s="265" t="str">
        <f>IFERROR(__xludf.DUMMYFUNCTION("""COMPUTED_VALUE"""),"Active")</f>
        <v>Active</v>
      </c>
      <c r="D98" s="265" t="str">
        <f>IFERROR(__xludf.DUMMYFUNCTION("""COMPUTED_VALUE"""),"Thực phẩm và đồ uống")</f>
        <v>Thực phẩm và đồ uống</v>
      </c>
      <c r="E98" s="265" t="str">
        <f>IFERROR(__xludf.DUMMYFUNCTION("""COMPUTED_VALUE"""),"AnhNM")</f>
        <v>AnhNM</v>
      </c>
      <c r="F98" s="265" t="str">
        <f>IFERROR(__xludf.DUMMYFUNCTION("""COMPUTED_VALUE"""),"Silver")</f>
        <v>Silver</v>
      </c>
      <c r="G98" s="265" t="str">
        <f>IFERROR(__xludf.DUMMYFUNCTION("""COMPUTED_VALUE"""),"Starter")</f>
        <v>Starter</v>
      </c>
      <c r="H98" s="265" t="str">
        <f>IFERROR(__xludf.DUMMYFUNCTION("""COMPUTED_VALUE"""),"Trả sau")</f>
        <v>Trả sau</v>
      </c>
      <c r="I98" s="265" t="str">
        <f>IFERROR(__xludf.DUMMYFUNCTION("""COMPUTED_VALUE"""),"API")</f>
        <v>API</v>
      </c>
      <c r="J98" s="265" t="str">
        <f>IFERROR(__xludf.DUMMYFUNCTION("""COMPUTED_VALUE"""),"CRM")</f>
        <v>CRM</v>
      </c>
    </row>
    <row r="99">
      <c r="A99" s="265" t="str">
        <f>IFERROR(__xludf.DUMMYFUNCTION("""COMPUTED_VALUE"""),"428")</f>
        <v>428</v>
      </c>
      <c r="B99" s="265" t="str">
        <f>IFERROR(__xludf.DUMMYFUNCTION("""COMPUTED_VALUE"""),"Hà Nội")</f>
        <v>Hà Nội</v>
      </c>
      <c r="C99" s="265" t="str">
        <f>IFERROR(__xludf.DUMMYFUNCTION("""COMPUTED_VALUE"""),"Active")</f>
        <v>Active</v>
      </c>
      <c r="D99" s="265" t="str">
        <f>IFERROR(__xludf.DUMMYFUNCTION("""COMPUTED_VALUE"""),"Sale chưa cung cấp")</f>
        <v>Sale chưa cung cấp</v>
      </c>
      <c r="E99" s="265" t="str">
        <f>IFERROR(__xludf.DUMMYFUNCTION("""COMPUTED_VALUE"""),"AnhNM")</f>
        <v>AnhNM</v>
      </c>
      <c r="F99" s="265" t="str">
        <f>IFERROR(__xludf.DUMMYFUNCTION("""COMPUTED_VALUE"""),"Silver")</f>
        <v>Silver</v>
      </c>
      <c r="G99" s="265" t="str">
        <f>IFERROR(__xludf.DUMMYFUNCTION("""COMPUTED_VALUE"""),"Premium")</f>
        <v>Premium</v>
      </c>
      <c r="H99" s="265" t="str">
        <f>IFERROR(__xludf.DUMMYFUNCTION("""COMPUTED_VALUE"""),"Trả sau")</f>
        <v>Trả sau</v>
      </c>
      <c r="I99" s="265" t="str">
        <f>IFERROR(__xludf.DUMMYFUNCTION("""COMPUTED_VALUE"""),"API &amp; Portal")</f>
        <v>API &amp; Portal</v>
      </c>
      <c r="J99" s="265" t="str">
        <f>IFERROR(__xludf.DUMMYFUNCTION("""COMPUTED_VALUE"""),"API")</f>
        <v>API</v>
      </c>
    </row>
    <row r="100">
      <c r="A100" s="265" t="str">
        <f>IFERROR(__xludf.DUMMYFUNCTION("""COMPUTED_VALUE"""),"426")</f>
        <v>426</v>
      </c>
      <c r="B100" s="265" t="str">
        <f>IFERROR(__xludf.DUMMYFUNCTION("""COMPUTED_VALUE"""),"Sài Gòn")</f>
        <v>Sài Gòn</v>
      </c>
      <c r="C100" s="265" t="str">
        <f>IFERROR(__xludf.DUMMYFUNCTION("""COMPUTED_VALUE"""),"Locked")</f>
        <v>Locked</v>
      </c>
      <c r="D100" s="265" t="str">
        <f>IFERROR(__xludf.DUMMYFUNCTION("""COMPUTED_VALUE"""),"Sale chưa cung cấp")</f>
        <v>Sale chưa cung cấp</v>
      </c>
      <c r="E100" s="265" t="str">
        <f>IFERROR(__xludf.DUMMYFUNCTION("""COMPUTED_VALUE"""),"HoaNTM")</f>
        <v>HoaNTM</v>
      </c>
      <c r="F100" s="265" t="str">
        <f>IFERROR(__xludf.DUMMYFUNCTION("""COMPUTED_VALUE"""),"Sale chưa cung cấp")</f>
        <v>Sale chưa cung cấp</v>
      </c>
      <c r="G100" s="265" t="str">
        <f>IFERROR(__xludf.DUMMYFUNCTION("""COMPUTED_VALUE"""),"API")</f>
        <v>API</v>
      </c>
      <c r="H100" s="265" t="str">
        <f>IFERROR(__xludf.DUMMYFUNCTION("""COMPUTED_VALUE"""),"Trả sau")</f>
        <v>Trả sau</v>
      </c>
      <c r="I100" s="265" t="str">
        <f>IFERROR(__xludf.DUMMYFUNCTION("""COMPUTED_VALUE"""),"API")</f>
        <v>API</v>
      </c>
      <c r="J100" s="265" t="str">
        <f>IFERROR(__xludf.DUMMYFUNCTION("""COMPUTED_VALUE"""),"API")</f>
        <v>API</v>
      </c>
    </row>
    <row r="101">
      <c r="A101" s="265" t="str">
        <f>IFERROR(__xludf.DUMMYFUNCTION("""COMPUTED_VALUE"""),"429")</f>
        <v>429</v>
      </c>
      <c r="B101" s="265" t="str">
        <f>IFERROR(__xludf.DUMMYFUNCTION("""COMPUTED_VALUE"""),"Hà Nội")</f>
        <v>Hà Nội</v>
      </c>
      <c r="C101" s="265" t="str">
        <f>IFERROR(__xludf.DUMMYFUNCTION("""COMPUTED_VALUE"""),"Locked")</f>
        <v>Locked</v>
      </c>
      <c r="D101" s="265" t="str">
        <f>IFERROR(__xludf.DUMMYFUNCTION("""COMPUTED_VALUE"""),"Sale chưa cung cấp")</f>
        <v>Sale chưa cung cấp</v>
      </c>
      <c r="E101" s="265" t="str">
        <f>IFERROR(__xludf.DUMMYFUNCTION("""COMPUTED_VALUE"""),"NamDT")</f>
        <v>NamDT</v>
      </c>
      <c r="F101" s="265" t="str">
        <f>IFERROR(__xludf.DUMMYFUNCTION("""COMPUTED_VALUE"""),"Sale chưa cung cấp")</f>
        <v>Sale chưa cung cấp</v>
      </c>
      <c r="G101" s="265" t="str">
        <f>IFERROR(__xludf.DUMMYFUNCTION("""COMPUTED_VALUE"""),"Enterprise")</f>
        <v>Enterprise</v>
      </c>
      <c r="H101" s="265" t="str">
        <f>IFERROR(__xludf.DUMMYFUNCTION("""COMPUTED_VALUE"""),"(Chưa recheck)")</f>
        <v>(Chưa recheck)</v>
      </c>
      <c r="I101" s="265" t="str">
        <f>IFERROR(__xludf.DUMMYFUNCTION("""COMPUTED_VALUE"""),"(Chưa recheck)")</f>
        <v>(Chưa recheck)</v>
      </c>
      <c r="J101" s="265" t="str">
        <f>IFERROR(__xludf.DUMMYFUNCTION("""COMPUTED_VALUE"""),"File Excel")</f>
        <v>File Excel</v>
      </c>
    </row>
    <row r="102">
      <c r="A102" s="265" t="str">
        <f>IFERROR(__xludf.DUMMYFUNCTION("""COMPUTED_VALUE"""),"427")</f>
        <v>427</v>
      </c>
      <c r="B102" s="265" t="str">
        <f>IFERROR(__xludf.DUMMYFUNCTION("""COMPUTED_VALUE"""),"Sài Gòn")</f>
        <v>Sài Gòn</v>
      </c>
      <c r="C102" s="265" t="str">
        <f>IFERROR(__xludf.DUMMYFUNCTION("""COMPUTED_VALUE"""),"Locked")</f>
        <v>Locked</v>
      </c>
      <c r="D102" s="265" t="str">
        <f>IFERROR(__xludf.DUMMYFUNCTION("""COMPUTED_VALUE"""),"Sale chưa cung cấp")</f>
        <v>Sale chưa cung cấp</v>
      </c>
      <c r="E102" s="265" t="str">
        <f>IFERROR(__xludf.DUMMYFUNCTION("""COMPUTED_VALUE"""),"HoaNTM")</f>
        <v>HoaNTM</v>
      </c>
      <c r="F102" s="265" t="str">
        <f>IFERROR(__xludf.DUMMYFUNCTION("""COMPUTED_VALUE"""),"Bronze")</f>
        <v>Bronze</v>
      </c>
      <c r="G102" s="265" t="str">
        <f>IFERROR(__xludf.DUMMYFUNCTION("""COMPUTED_VALUE"""),"MSG")</f>
        <v>MSG</v>
      </c>
      <c r="H102" s="265" t="str">
        <f>IFERROR(__xludf.DUMMYFUNCTION("""COMPUTED_VALUE"""),"(Chưa recheck)")</f>
        <v>(Chưa recheck)</v>
      </c>
      <c r="I102" s="265" t="str">
        <f>IFERROR(__xludf.DUMMYFUNCTION("""COMPUTED_VALUE"""),"(Chưa recheck)")</f>
        <v>(Chưa recheck)</v>
      </c>
      <c r="J102" s="265" t="str">
        <f>IFERROR(__xludf.DUMMYFUNCTION("""COMPUTED_VALUE"""),"File Excel")</f>
        <v>File Excel</v>
      </c>
    </row>
    <row r="103">
      <c r="A103" s="265" t="str">
        <f>IFERROR(__xludf.DUMMYFUNCTION("""COMPUTED_VALUE"""),"431")</f>
        <v>431</v>
      </c>
      <c r="B103" s="265" t="str">
        <f>IFERROR(__xludf.DUMMYFUNCTION("""COMPUTED_VALUE"""),"Đà Nẵng")</f>
        <v>Đà Nẵng</v>
      </c>
      <c r="C103" s="265" t="str">
        <f>IFERROR(__xludf.DUMMYFUNCTION("""COMPUTED_VALUE"""),"Active")</f>
        <v>Active</v>
      </c>
      <c r="D103" s="265" t="str">
        <f>IFERROR(__xludf.DUMMYFUNCTION("""COMPUTED_VALUE"""),"Sale chưa cung cấp")</f>
        <v>Sale chưa cung cấp</v>
      </c>
      <c r="E103" s="265" t="str">
        <f>IFERROR(__xludf.DUMMYFUNCTION("""COMPUTED_VALUE"""),"AnhNM")</f>
        <v>AnhNM</v>
      </c>
      <c r="F103" s="265" t="str">
        <f>IFERROR(__xludf.DUMMYFUNCTION("""COMPUTED_VALUE"""),"Gold")</f>
        <v>Gold</v>
      </c>
      <c r="G103" s="265" t="str">
        <f>IFERROR(__xludf.DUMMYFUNCTION("""COMPUTED_VALUE"""),"Enterprise")</f>
        <v>Enterprise</v>
      </c>
      <c r="H103" s="265" t="str">
        <f>IFERROR(__xludf.DUMMYFUNCTION("""COMPUTED_VALUE"""),"Trả sau")</f>
        <v>Trả sau</v>
      </c>
      <c r="I103" s="265" t="str">
        <f>IFERROR(__xludf.DUMMYFUNCTION("""COMPUTED_VALUE"""),"API &amp; Portal")</f>
        <v>API &amp; Portal</v>
      </c>
      <c r="J103" s="265" t="str">
        <f>IFERROR(__xludf.DUMMYFUNCTION("""COMPUTED_VALUE"""),"Sapo")</f>
        <v>Sapo</v>
      </c>
    </row>
    <row r="104">
      <c r="A104" s="265" t="str">
        <f>IFERROR(__xludf.DUMMYFUNCTION("""COMPUTED_VALUE"""),"432")</f>
        <v>432</v>
      </c>
      <c r="B104" s="265" t="str">
        <f>IFERROR(__xludf.DUMMYFUNCTION("""COMPUTED_VALUE"""),"Đà Nẵng")</f>
        <v>Đà Nẵng</v>
      </c>
      <c r="C104" s="265" t="str">
        <f>IFERROR(__xludf.DUMMYFUNCTION("""COMPUTED_VALUE"""),"Active")</f>
        <v>Active</v>
      </c>
      <c r="D104" s="265" t="str">
        <f>IFERROR(__xludf.DUMMYFUNCTION("""COMPUTED_VALUE"""),"Sale chưa cung cấp")</f>
        <v>Sale chưa cung cấp</v>
      </c>
      <c r="E104" s="265" t="str">
        <f>IFERROR(__xludf.DUMMYFUNCTION("""COMPUTED_VALUE"""),"AnhNM")</f>
        <v>AnhNM</v>
      </c>
      <c r="F104" s="265" t="str">
        <f>IFERROR(__xludf.DUMMYFUNCTION("""COMPUTED_VALUE"""),"Silver")</f>
        <v>Silver</v>
      </c>
      <c r="G104" s="265" t="str">
        <f>IFERROR(__xludf.DUMMYFUNCTION("""COMPUTED_VALUE"""),"Enterprise")</f>
        <v>Enterprise</v>
      </c>
      <c r="H104" s="265" t="str">
        <f>IFERROR(__xludf.DUMMYFUNCTION("""COMPUTED_VALUE"""),"Trả sau")</f>
        <v>Trả sau</v>
      </c>
      <c r="I104" s="265" t="str">
        <f>IFERROR(__xludf.DUMMYFUNCTION("""COMPUTED_VALUE"""),"API &amp; Portal")</f>
        <v>API &amp; Portal</v>
      </c>
      <c r="J104" s="265" t="str">
        <f>IFERROR(__xludf.DUMMYFUNCTION("""COMPUTED_VALUE"""),"File Excel")</f>
        <v>File Excel</v>
      </c>
    </row>
    <row r="105">
      <c r="A105" s="265" t="str">
        <f>IFERROR(__xludf.DUMMYFUNCTION("""COMPUTED_VALUE"""),"432")</f>
        <v>432</v>
      </c>
      <c r="B105" s="265" t="str">
        <f>IFERROR(__xludf.DUMMYFUNCTION("""COMPUTED_VALUE"""),"Đà Nẵng")</f>
        <v>Đà Nẵng</v>
      </c>
      <c r="C105" s="265" t="str">
        <f>IFERROR(__xludf.DUMMYFUNCTION("""COMPUTED_VALUE"""),"Active")</f>
        <v>Active</v>
      </c>
      <c r="D105" s="265" t="str">
        <f>IFERROR(__xludf.DUMMYFUNCTION("""COMPUTED_VALUE"""),"Sale chưa cung cấp")</f>
        <v>Sale chưa cung cấp</v>
      </c>
      <c r="E105" s="265" t="str">
        <f>IFERROR(__xludf.DUMMYFUNCTION("""COMPUTED_VALUE"""),"AnhNM")</f>
        <v>AnhNM</v>
      </c>
      <c r="F105" s="265" t="str">
        <f>IFERROR(__xludf.DUMMYFUNCTION("""COMPUTED_VALUE"""),"Silver")</f>
        <v>Silver</v>
      </c>
      <c r="G105" s="265" t="str">
        <f>IFERROR(__xludf.DUMMYFUNCTION("""COMPUTED_VALUE"""),"Enterprise")</f>
        <v>Enterprise</v>
      </c>
      <c r="H105" s="265" t="str">
        <f>IFERROR(__xludf.DUMMYFUNCTION("""COMPUTED_VALUE"""),"Trả sau")</f>
        <v>Trả sau</v>
      </c>
      <c r="I105" s="265" t="str">
        <f>IFERROR(__xludf.DUMMYFUNCTION("""COMPUTED_VALUE"""),"API &amp; Portal")</f>
        <v>API &amp; Portal</v>
      </c>
      <c r="J105" s="265" t="str">
        <f>IFERROR(__xludf.DUMMYFUNCTION("""COMPUTED_VALUE"""),"API")</f>
        <v>API</v>
      </c>
    </row>
    <row r="106">
      <c r="A106" s="265" t="str">
        <f>IFERROR(__xludf.DUMMYFUNCTION("""COMPUTED_VALUE"""),"433")</f>
        <v>433</v>
      </c>
      <c r="B106" s="265" t="str">
        <f>IFERROR(__xludf.DUMMYFUNCTION("""COMPUTED_VALUE"""),"Sài Gòn")</f>
        <v>Sài Gòn</v>
      </c>
      <c r="C106" s="265" t="str">
        <f>IFERROR(__xludf.DUMMYFUNCTION("""COMPUTED_VALUE"""),"Active")</f>
        <v>Active</v>
      </c>
      <c r="D106" s="265" t="str">
        <f>IFERROR(__xludf.DUMMYFUNCTION("""COMPUTED_VALUE"""),"Sale chưa cung cấp")</f>
        <v>Sale chưa cung cấp</v>
      </c>
      <c r="E106" s="265" t="str">
        <f>IFERROR(__xludf.DUMMYFUNCTION("""COMPUTED_VALUE"""),"AnhNM")</f>
        <v>AnhNM</v>
      </c>
      <c r="F106" s="265" t="str">
        <f>IFERROR(__xludf.DUMMYFUNCTION("""COMPUTED_VALUE"""),"Silver")</f>
        <v>Silver</v>
      </c>
      <c r="G106" s="265" t="str">
        <f>IFERROR(__xludf.DUMMYFUNCTION("""COMPUTED_VALUE"""),"Enterprise")</f>
        <v>Enterprise</v>
      </c>
      <c r="H106" s="265" t="str">
        <f>IFERROR(__xludf.DUMMYFUNCTION("""COMPUTED_VALUE"""),"Trả trước")</f>
        <v>Trả trước</v>
      </c>
      <c r="I106" s="265" t="str">
        <f>IFERROR(__xludf.DUMMYFUNCTION("""COMPUTED_VALUE"""),"API &amp; Portal")</f>
        <v>API &amp; Portal</v>
      </c>
      <c r="J106" s="265" t="str">
        <f>IFERROR(__xludf.DUMMYFUNCTION("""COMPUTED_VALUE"""),"File Excel")</f>
        <v>File Excel</v>
      </c>
    </row>
    <row r="107">
      <c r="A107" s="265" t="str">
        <f>IFERROR(__xludf.DUMMYFUNCTION("""COMPUTED_VALUE"""),"433")</f>
        <v>433</v>
      </c>
      <c r="B107" s="265" t="str">
        <f>IFERROR(__xludf.DUMMYFUNCTION("""COMPUTED_VALUE"""),"Sài Gòn")</f>
        <v>Sài Gòn</v>
      </c>
      <c r="C107" s="265" t="str">
        <f>IFERROR(__xludf.DUMMYFUNCTION("""COMPUTED_VALUE"""),"Active")</f>
        <v>Active</v>
      </c>
      <c r="D107" s="265" t="str">
        <f>IFERROR(__xludf.DUMMYFUNCTION("""COMPUTED_VALUE"""),"Sale chưa cung cấp")</f>
        <v>Sale chưa cung cấp</v>
      </c>
      <c r="E107" s="265" t="str">
        <f>IFERROR(__xludf.DUMMYFUNCTION("""COMPUTED_VALUE"""),"AnhNM")</f>
        <v>AnhNM</v>
      </c>
      <c r="F107" s="265" t="str">
        <f>IFERROR(__xludf.DUMMYFUNCTION("""COMPUTED_VALUE"""),"Silver")</f>
        <v>Silver</v>
      </c>
      <c r="G107" s="265" t="str">
        <f>IFERROR(__xludf.DUMMYFUNCTION("""COMPUTED_VALUE"""),"Enterprise")</f>
        <v>Enterprise</v>
      </c>
      <c r="H107" s="265" t="str">
        <f>IFERROR(__xludf.DUMMYFUNCTION("""COMPUTED_VALUE"""),"Trả trước")</f>
        <v>Trả trước</v>
      </c>
      <c r="I107" s="265" t="str">
        <f>IFERROR(__xludf.DUMMYFUNCTION("""COMPUTED_VALUE"""),"API &amp; Portal")</f>
        <v>API &amp; Portal</v>
      </c>
      <c r="J107" s="265" t="str">
        <f>IFERROR(__xludf.DUMMYFUNCTION("""COMPUTED_VALUE"""),"API")</f>
        <v>API</v>
      </c>
    </row>
    <row r="108">
      <c r="A108" s="265" t="str">
        <f>IFERROR(__xludf.DUMMYFUNCTION("""COMPUTED_VALUE"""),"437")</f>
        <v>437</v>
      </c>
      <c r="B108" s="265" t="str">
        <f>IFERROR(__xludf.DUMMYFUNCTION("""COMPUTED_VALUE"""),"Sài Gòn")</f>
        <v>Sài Gòn</v>
      </c>
      <c r="C108" s="265" t="str">
        <f>IFERROR(__xludf.DUMMYFUNCTION("""COMPUTED_VALUE"""),"Locked")</f>
        <v>Locked</v>
      </c>
      <c r="D108" s="265" t="str">
        <f>IFERROR(__xludf.DUMMYFUNCTION("""COMPUTED_VALUE"""),"Sale chưa cung cấp")</f>
        <v>Sale chưa cung cấp</v>
      </c>
      <c r="E108" s="265" t="str">
        <f>IFERROR(__xludf.DUMMYFUNCTION("""COMPUTED_VALUE"""),"HoaNTM")</f>
        <v>HoaNTM</v>
      </c>
      <c r="F108" s="265" t="str">
        <f>IFERROR(__xludf.DUMMYFUNCTION("""COMPUTED_VALUE"""),"Sale chưa cung cấp")</f>
        <v>Sale chưa cung cấp</v>
      </c>
      <c r="G108" s="265" t="str">
        <f>IFERROR(__xludf.DUMMYFUNCTION("""COMPUTED_VALUE"""),"API")</f>
        <v>API</v>
      </c>
      <c r="H108" s="265" t="str">
        <f>IFERROR(__xludf.DUMMYFUNCTION("""COMPUTED_VALUE"""),"(Chưa recheck)")</f>
        <v>(Chưa recheck)</v>
      </c>
      <c r="I108" s="265" t="str">
        <f>IFERROR(__xludf.DUMMYFUNCTION("""COMPUTED_VALUE"""),"(Chưa recheck)")</f>
        <v>(Chưa recheck)</v>
      </c>
      <c r="J108" s="265" t="str">
        <f>IFERROR(__xludf.DUMMYFUNCTION("""COMPUTED_VALUE"""),"(Chưa recheck)")</f>
        <v>(Chưa recheck)</v>
      </c>
    </row>
    <row r="109">
      <c r="A109" s="265" t="str">
        <f>IFERROR(__xludf.DUMMYFUNCTION("""COMPUTED_VALUE"""),"438")</f>
        <v>438</v>
      </c>
      <c r="B109" s="265" t="str">
        <f>IFERROR(__xludf.DUMMYFUNCTION("""COMPUTED_VALUE"""),"Sài Gòn")</f>
        <v>Sài Gòn</v>
      </c>
      <c r="C109" s="265" t="str">
        <f>IFERROR(__xludf.DUMMYFUNCTION("""COMPUTED_VALUE"""),"Locked")</f>
        <v>Locked</v>
      </c>
      <c r="D109" s="265" t="str">
        <f>IFERROR(__xludf.DUMMYFUNCTION("""COMPUTED_VALUE"""),"Sale chưa cung cấp")</f>
        <v>Sale chưa cung cấp</v>
      </c>
      <c r="E109" s="265" t="str">
        <f>IFERROR(__xludf.DUMMYFUNCTION("""COMPUTED_VALUE"""),"PhươngDTB")</f>
        <v>PhươngDTB</v>
      </c>
      <c r="F109" s="265" t="str">
        <f>IFERROR(__xludf.DUMMYFUNCTION("""COMPUTED_VALUE"""),"Bronze")</f>
        <v>Bronze</v>
      </c>
      <c r="G109" s="265" t="str">
        <f>IFERROR(__xludf.DUMMYFUNCTION("""COMPUTED_VALUE"""),"MSG")</f>
        <v>MSG</v>
      </c>
      <c r="H109" s="265" t="str">
        <f>IFERROR(__xludf.DUMMYFUNCTION("""COMPUTED_VALUE"""),"(Chưa recheck)")</f>
        <v>(Chưa recheck)</v>
      </c>
      <c r="I109" s="265" t="str">
        <f>IFERROR(__xludf.DUMMYFUNCTION("""COMPUTED_VALUE"""),"(Chưa recheck)")</f>
        <v>(Chưa recheck)</v>
      </c>
      <c r="J109" s="265" t="str">
        <f>IFERROR(__xludf.DUMMYFUNCTION("""COMPUTED_VALUE"""),"(Chưa recheck)")</f>
        <v>(Chưa recheck)</v>
      </c>
    </row>
    <row r="110">
      <c r="A110" s="265" t="str">
        <f>IFERROR(__xludf.DUMMYFUNCTION("""COMPUTED_VALUE"""),"439")</f>
        <v>439</v>
      </c>
      <c r="B110" s="265" t="str">
        <f>IFERROR(__xludf.DUMMYFUNCTION("""COMPUTED_VALUE"""),"Hà Nội")</f>
        <v>Hà Nội</v>
      </c>
      <c r="C110" s="265" t="str">
        <f>IFERROR(__xludf.DUMMYFUNCTION("""COMPUTED_VALUE"""),"Locked")</f>
        <v>Locked</v>
      </c>
      <c r="D110" s="265" t="str">
        <f>IFERROR(__xludf.DUMMYFUNCTION("""COMPUTED_VALUE"""),"Sale chưa cung cấp")</f>
        <v>Sale chưa cung cấp</v>
      </c>
      <c r="E110" s="265" t="str">
        <f>IFERROR(__xludf.DUMMYFUNCTION("""COMPUTED_VALUE"""),"NamDT")</f>
        <v>NamDT</v>
      </c>
      <c r="F110" s="265" t="str">
        <f>IFERROR(__xludf.DUMMYFUNCTION("""COMPUTED_VALUE"""),"Sale chưa cung cấp")</f>
        <v>Sale chưa cung cấp</v>
      </c>
      <c r="G110" s="265" t="str">
        <f>IFERROR(__xludf.DUMMYFUNCTION("""COMPUTED_VALUE"""),"Enterprise")</f>
        <v>Enterprise</v>
      </c>
      <c r="H110" s="265" t="str">
        <f>IFERROR(__xludf.DUMMYFUNCTION("""COMPUTED_VALUE"""),"Trial")</f>
        <v>Trial</v>
      </c>
      <c r="I110" s="265" t="str">
        <f>IFERROR(__xludf.DUMMYFUNCTION("""COMPUTED_VALUE"""),"(Không recheck)")</f>
        <v>(Không recheck)</v>
      </c>
      <c r="J110" s="265" t="str">
        <f>IFERROR(__xludf.DUMMYFUNCTION("""COMPUTED_VALUE"""),"(Không recheck)")</f>
        <v>(Không recheck)</v>
      </c>
    </row>
    <row r="111">
      <c r="A111" s="265" t="str">
        <f>IFERROR(__xludf.DUMMYFUNCTION("""COMPUTED_VALUE"""),"440")</f>
        <v>440</v>
      </c>
      <c r="B111" s="265" t="str">
        <f>IFERROR(__xludf.DUMMYFUNCTION("""COMPUTED_VALUE"""),"Sài Gòn")</f>
        <v>Sài Gòn</v>
      </c>
      <c r="C111" s="265" t="str">
        <f>IFERROR(__xludf.DUMMYFUNCTION("""COMPUTED_VALUE"""),"Locked")</f>
        <v>Locked</v>
      </c>
      <c r="D111" s="265" t="str">
        <f>IFERROR(__xludf.DUMMYFUNCTION("""COMPUTED_VALUE"""),"Sale chưa cung cấp")</f>
        <v>Sale chưa cung cấp</v>
      </c>
      <c r="E111" s="265" t="str">
        <f>IFERROR(__xludf.DUMMYFUNCTION("""COMPUTED_VALUE"""),"TúPHN")</f>
        <v>TúPHN</v>
      </c>
      <c r="F111" s="265" t="str">
        <f>IFERROR(__xludf.DUMMYFUNCTION("""COMPUTED_VALUE"""),"Bronze")</f>
        <v>Bronze</v>
      </c>
      <c r="G111" s="265" t="str">
        <f>IFERROR(__xludf.DUMMYFUNCTION("""COMPUTED_VALUE"""),"MSG")</f>
        <v>MSG</v>
      </c>
      <c r="H111" s="265" t="str">
        <f>IFERROR(__xludf.DUMMYFUNCTION("""COMPUTED_VALUE"""),"(Chưa recheck)")</f>
        <v>(Chưa recheck)</v>
      </c>
      <c r="I111" s="265" t="str">
        <f>IFERROR(__xludf.DUMMYFUNCTION("""COMPUTED_VALUE"""),"(Chưa recheck)")</f>
        <v>(Chưa recheck)</v>
      </c>
      <c r="J111" s="265" t="str">
        <f>IFERROR(__xludf.DUMMYFUNCTION("""COMPUTED_VALUE"""),"(Chưa recheck)")</f>
        <v>(Chưa recheck)</v>
      </c>
    </row>
    <row r="112">
      <c r="A112" s="265" t="str">
        <f>IFERROR(__xludf.DUMMYFUNCTION("""COMPUTED_VALUE"""),"307")</f>
        <v>307</v>
      </c>
      <c r="B112" s="265" t="str">
        <f>IFERROR(__xludf.DUMMYFUNCTION("""COMPUTED_VALUE"""),"Hà Nội")</f>
        <v>Hà Nội</v>
      </c>
      <c r="C112" s="265" t="str">
        <f>IFERROR(__xludf.DUMMYFUNCTION("""COMPUTED_VALUE"""),"Locked")</f>
        <v>Locked</v>
      </c>
      <c r="D112" s="265" t="str">
        <f>IFERROR(__xludf.DUMMYFUNCTION("""COMPUTED_VALUE"""),"Sale chưa cung cấp")</f>
        <v>Sale chưa cung cấp</v>
      </c>
      <c r="E112" s="265" t="str">
        <f>IFERROR(__xludf.DUMMYFUNCTION("""COMPUTED_VALUE"""),"MaiTP")</f>
        <v>MaiTP</v>
      </c>
      <c r="F112" s="265" t="str">
        <f>IFERROR(__xludf.DUMMYFUNCTION("""COMPUTED_VALUE"""),"Sale chưa cung cấp")</f>
        <v>Sale chưa cung cấp</v>
      </c>
      <c r="G112" s="265" t="str">
        <f>IFERROR(__xludf.DUMMYFUNCTION("""COMPUTED_VALUE"""),"API")</f>
        <v>API</v>
      </c>
      <c r="H112" s="265" t="str">
        <f>IFERROR(__xludf.DUMMYFUNCTION("""COMPUTED_VALUE"""),"(Chưa recheck)")</f>
        <v>(Chưa recheck)</v>
      </c>
      <c r="I112" s="265" t="str">
        <f>IFERROR(__xludf.DUMMYFUNCTION("""COMPUTED_VALUE"""),"(Chưa recheck)")</f>
        <v>(Chưa recheck)</v>
      </c>
      <c r="J112" s="265" t="str">
        <f>IFERROR(__xludf.DUMMYFUNCTION("""COMPUTED_VALUE"""),"API")</f>
        <v>API</v>
      </c>
    </row>
    <row r="113">
      <c r="A113" s="265" t="str">
        <f>IFERROR(__xludf.DUMMYFUNCTION("""COMPUTED_VALUE"""),"441")</f>
        <v>441</v>
      </c>
      <c r="B113" s="265" t="str">
        <f>IFERROR(__xludf.DUMMYFUNCTION("""COMPUTED_VALUE"""),"Hà Nội")</f>
        <v>Hà Nội</v>
      </c>
      <c r="C113" s="265" t="str">
        <f>IFERROR(__xludf.DUMMYFUNCTION("""COMPUTED_VALUE"""),"Locked")</f>
        <v>Locked</v>
      </c>
      <c r="D113" s="265" t="str">
        <f>IFERROR(__xludf.DUMMYFUNCTION("""COMPUTED_VALUE"""),"Sale chưa cung cấp")</f>
        <v>Sale chưa cung cấp</v>
      </c>
      <c r="E113" s="265" t="str">
        <f>IFERROR(__xludf.DUMMYFUNCTION("""COMPUTED_VALUE"""),"PhươngDTB")</f>
        <v>PhươngDTB</v>
      </c>
      <c r="F113" s="265" t="str">
        <f>IFERROR(__xludf.DUMMYFUNCTION("""COMPUTED_VALUE"""),"Bronze")</f>
        <v>Bronze</v>
      </c>
      <c r="G113" s="265" t="str">
        <f>IFERROR(__xludf.DUMMYFUNCTION("""COMPUTED_VALUE"""),"API")</f>
        <v>API</v>
      </c>
      <c r="H113" s="265" t="str">
        <f>IFERROR(__xludf.DUMMYFUNCTION("""COMPUTED_VALUE"""),"(Chưa recheck)")</f>
        <v>(Chưa recheck)</v>
      </c>
      <c r="I113" s="265" t="str">
        <f>IFERROR(__xludf.DUMMYFUNCTION("""COMPUTED_VALUE"""),"(Chưa recheck)")</f>
        <v>(Chưa recheck)</v>
      </c>
      <c r="J113" s="265" t="str">
        <f>IFERROR(__xludf.DUMMYFUNCTION("""COMPUTED_VALUE"""),"API")</f>
        <v>API</v>
      </c>
    </row>
    <row r="114">
      <c r="A114" s="265" t="str">
        <f>IFERROR(__xludf.DUMMYFUNCTION("""COMPUTED_VALUE"""),"442")</f>
        <v>442</v>
      </c>
      <c r="B114" s="265" t="str">
        <f>IFERROR(__xludf.DUMMYFUNCTION("""COMPUTED_VALUE"""),"Sài Gòn")</f>
        <v>Sài Gòn</v>
      </c>
      <c r="C114" s="265" t="str">
        <f>IFERROR(__xludf.DUMMYFUNCTION("""COMPUTED_VALUE"""),"Locked")</f>
        <v>Locked</v>
      </c>
      <c r="D114" s="265" t="str">
        <f>IFERROR(__xludf.DUMMYFUNCTION("""COMPUTED_VALUE"""),"Truyền thông &amp; Giải trí")</f>
        <v>Truyền thông &amp; Giải trí</v>
      </c>
      <c r="E114" s="265" t="str">
        <f>IFERROR(__xludf.DUMMYFUNCTION("""COMPUTED_VALUE"""),"Không phân công")</f>
        <v>Không phân công</v>
      </c>
      <c r="F114" s="265" t="str">
        <f>IFERROR(__xludf.DUMMYFUNCTION("""COMPUTED_VALUE"""),"Diamond")</f>
        <v>Diamond</v>
      </c>
      <c r="G114" s="265" t="str">
        <f>IFERROR(__xludf.DUMMYFUNCTION("""COMPUTED_VALUE"""),"Starter")</f>
        <v>Starter</v>
      </c>
      <c r="H114" s="265" t="str">
        <f>IFERROR(__xludf.DUMMYFUNCTION("""COMPUTED_VALUE"""),"Trả sau")</f>
        <v>Trả sau</v>
      </c>
      <c r="I114" s="265" t="str">
        <f>IFERROR(__xludf.DUMMYFUNCTION("""COMPUTED_VALUE"""),"API")</f>
        <v>API</v>
      </c>
      <c r="J114" s="265" t="str">
        <f>IFERROR(__xludf.DUMMYFUNCTION("""COMPUTED_VALUE"""),"API")</f>
        <v>API</v>
      </c>
    </row>
    <row r="115">
      <c r="A115" s="265" t="str">
        <f>IFERROR(__xludf.DUMMYFUNCTION("""COMPUTED_VALUE"""),"443")</f>
        <v>443</v>
      </c>
      <c r="B115" s="265" t="str">
        <f>IFERROR(__xludf.DUMMYFUNCTION("""COMPUTED_VALUE"""),"Hà Nội")</f>
        <v>Hà Nội</v>
      </c>
      <c r="C115" s="265" t="str">
        <f>IFERROR(__xludf.DUMMYFUNCTION("""COMPUTED_VALUE"""),"Locked")</f>
        <v>Locked</v>
      </c>
      <c r="D115" s="265" t="str">
        <f>IFERROR(__xludf.DUMMYFUNCTION("""COMPUTED_VALUE"""),"Sale chưa cung cấp")</f>
        <v>Sale chưa cung cấp</v>
      </c>
      <c r="E115" s="265" t="str">
        <f>IFERROR(__xludf.DUMMYFUNCTION("""COMPUTED_VALUE"""),"PhươngDTB")</f>
        <v>PhươngDTB</v>
      </c>
      <c r="F115" s="265" t="str">
        <f>IFERROR(__xludf.DUMMYFUNCTION("""COMPUTED_VALUE"""),"Bronze")</f>
        <v>Bronze</v>
      </c>
      <c r="G115" s="265" t="str">
        <f>IFERROR(__xludf.DUMMYFUNCTION("""COMPUTED_VALUE"""),"Enterprise")</f>
        <v>Enterprise</v>
      </c>
      <c r="H115" s="265" t="str">
        <f>IFERROR(__xludf.DUMMYFUNCTION("""COMPUTED_VALUE"""),"(Chưa recheck)")</f>
        <v>(Chưa recheck)</v>
      </c>
      <c r="I115" s="265" t="str">
        <f>IFERROR(__xludf.DUMMYFUNCTION("""COMPUTED_VALUE"""),"(Chưa recheck)")</f>
        <v>(Chưa recheck)</v>
      </c>
      <c r="J115" s="265" t="str">
        <f>IFERROR(__xludf.DUMMYFUNCTION("""COMPUTED_VALUE"""),"File Excel")</f>
        <v>File Excel</v>
      </c>
    </row>
    <row r="116">
      <c r="A116" s="265" t="str">
        <f>IFERROR(__xludf.DUMMYFUNCTION("""COMPUTED_VALUE"""),"446")</f>
        <v>446</v>
      </c>
      <c r="B116" s="265" t="str">
        <f>IFERROR(__xludf.DUMMYFUNCTION("""COMPUTED_VALUE"""),"Hà Nội")</f>
        <v>Hà Nội</v>
      </c>
      <c r="C116" s="265" t="str">
        <f>IFERROR(__xludf.DUMMYFUNCTION("""COMPUTED_VALUE"""),"Active")</f>
        <v>Active</v>
      </c>
      <c r="D116" s="265" t="str">
        <f>IFERROR(__xludf.DUMMYFUNCTION("""COMPUTED_VALUE"""),"Sale chưa cung cấp")</f>
        <v>Sale chưa cung cấp</v>
      </c>
      <c r="E116" s="265" t="str">
        <f>IFERROR(__xludf.DUMMYFUNCTION("""COMPUTED_VALUE"""),"TúPHN")</f>
        <v>TúPHN</v>
      </c>
      <c r="F116" s="265" t="str">
        <f>IFERROR(__xludf.DUMMYFUNCTION("""COMPUTED_VALUE"""),"Bronze")</f>
        <v>Bronze</v>
      </c>
      <c r="G116" s="265" t="str">
        <f>IFERROR(__xludf.DUMMYFUNCTION("""COMPUTED_VALUE"""),"API")</f>
        <v>API</v>
      </c>
      <c r="H116" s="265" t="str">
        <f>IFERROR(__xludf.DUMMYFUNCTION("""COMPUTED_VALUE"""),"Trả sau")</f>
        <v>Trả sau</v>
      </c>
      <c r="I116" s="265" t="str">
        <f>IFERROR(__xludf.DUMMYFUNCTION("""COMPUTED_VALUE"""),"API")</f>
        <v>API</v>
      </c>
      <c r="J116" s="265" t="str">
        <f>IFERROR(__xludf.DUMMYFUNCTION("""COMPUTED_VALUE"""),"API")</f>
        <v>API</v>
      </c>
    </row>
    <row r="117">
      <c r="A117" s="265" t="str">
        <f>IFERROR(__xludf.DUMMYFUNCTION("""COMPUTED_VALUE"""),"445")</f>
        <v>445</v>
      </c>
      <c r="B117" s="265" t="str">
        <f>IFERROR(__xludf.DUMMYFUNCTION("""COMPUTED_VALUE"""),"Sài Gòn")</f>
        <v>Sài Gòn</v>
      </c>
      <c r="C117" s="265" t="str">
        <f>IFERROR(__xludf.DUMMYFUNCTION("""COMPUTED_VALUE"""),"Locked")</f>
        <v>Locked</v>
      </c>
      <c r="D117" s="265" t="str">
        <f>IFERROR(__xludf.DUMMYFUNCTION("""COMPUTED_VALUE"""),"Sale chưa cung cấp")</f>
        <v>Sale chưa cung cấp</v>
      </c>
      <c r="E117" s="265" t="str">
        <f>IFERROR(__xludf.DUMMYFUNCTION("""COMPUTED_VALUE"""),"HoaNTM")</f>
        <v>HoaNTM</v>
      </c>
      <c r="F117" s="265" t="str">
        <f>IFERROR(__xludf.DUMMYFUNCTION("""COMPUTED_VALUE"""),"Sale chưa cung cấp")</f>
        <v>Sale chưa cung cấp</v>
      </c>
      <c r="G117" s="265" t="str">
        <f>IFERROR(__xludf.DUMMYFUNCTION("""COMPUTED_VALUE"""),"MSG")</f>
        <v>MSG</v>
      </c>
      <c r="H117" s="265" t="str">
        <f>IFERROR(__xludf.DUMMYFUNCTION("""COMPUTED_VALUE"""),"(Chưa recheck)")</f>
        <v>(Chưa recheck)</v>
      </c>
      <c r="I117" s="265" t="str">
        <f>IFERROR(__xludf.DUMMYFUNCTION("""COMPUTED_VALUE"""),"(Chưa recheck)")</f>
        <v>(Chưa recheck)</v>
      </c>
      <c r="J117" s="265" t="str">
        <f>IFERROR(__xludf.DUMMYFUNCTION("""COMPUTED_VALUE"""),"(Chưa recheck)")</f>
        <v>(Chưa recheck)</v>
      </c>
    </row>
    <row r="118">
      <c r="A118" s="265" t="str">
        <f>IFERROR(__xludf.DUMMYFUNCTION("""COMPUTED_VALUE"""),"447")</f>
        <v>447</v>
      </c>
      <c r="B118" s="265" t="str">
        <f>IFERROR(__xludf.DUMMYFUNCTION("""COMPUTED_VALUE"""),"Hà Nội")</f>
        <v>Hà Nội</v>
      </c>
      <c r="C118" s="265" t="str">
        <f>IFERROR(__xludf.DUMMYFUNCTION("""COMPUTED_VALUE"""),"Active")</f>
        <v>Active</v>
      </c>
      <c r="D118" s="265" t="str">
        <f>IFERROR(__xludf.DUMMYFUNCTION("""COMPUTED_VALUE"""),"Sale chưa cung cấp")</f>
        <v>Sale chưa cung cấp</v>
      </c>
      <c r="E118" s="265" t="str">
        <f>IFERROR(__xludf.DUMMYFUNCTION("""COMPUTED_VALUE"""),"AnhNM")</f>
        <v>AnhNM</v>
      </c>
      <c r="F118" s="265" t="str">
        <f>IFERROR(__xludf.DUMMYFUNCTION("""COMPUTED_VALUE"""),"Silver")</f>
        <v>Silver</v>
      </c>
      <c r="G118" s="265" t="str">
        <f>IFERROR(__xludf.DUMMYFUNCTION("""COMPUTED_VALUE"""),"Standard")</f>
        <v>Standard</v>
      </c>
      <c r="H118" s="265" t="str">
        <f>IFERROR(__xludf.DUMMYFUNCTION("""COMPUTED_VALUE"""),"Trả sau")</f>
        <v>Trả sau</v>
      </c>
      <c r="I118" s="265" t="str">
        <f>IFERROR(__xludf.DUMMYFUNCTION("""COMPUTED_VALUE"""),"Portal")</f>
        <v>Portal</v>
      </c>
      <c r="J118" s="265" t="str">
        <f>IFERROR(__xludf.DUMMYFUNCTION("""COMPUTED_VALUE"""),"File Excel")</f>
        <v>File Excel</v>
      </c>
    </row>
    <row r="119">
      <c r="A119" s="265" t="str">
        <f>IFERROR(__xludf.DUMMYFUNCTION("""COMPUTED_VALUE"""),"448")</f>
        <v>448</v>
      </c>
      <c r="B119" s="265" t="str">
        <f>IFERROR(__xludf.DUMMYFUNCTION("""COMPUTED_VALUE"""),"Hà Nội")</f>
        <v>Hà Nội</v>
      </c>
      <c r="C119" s="265" t="str">
        <f>IFERROR(__xludf.DUMMYFUNCTION("""COMPUTED_VALUE"""),"Locked")</f>
        <v>Locked</v>
      </c>
      <c r="D119" s="265" t="str">
        <f>IFERROR(__xludf.DUMMYFUNCTION("""COMPUTED_VALUE"""),"Sale chưa cung cấp")</f>
        <v>Sale chưa cung cấp</v>
      </c>
      <c r="E119" s="265" t="str">
        <f>IFERROR(__xludf.DUMMYFUNCTION("""COMPUTED_VALUE"""),"NamDT")</f>
        <v>NamDT</v>
      </c>
      <c r="F119" s="265" t="str">
        <f>IFERROR(__xludf.DUMMYFUNCTION("""COMPUTED_VALUE"""),"Bronze")</f>
        <v>Bronze</v>
      </c>
      <c r="G119" s="265" t="str">
        <f>IFERROR(__xludf.DUMMYFUNCTION("""COMPUTED_VALUE"""),"Enterprise")</f>
        <v>Enterprise</v>
      </c>
      <c r="H119" s="265" t="str">
        <f>IFERROR(__xludf.DUMMYFUNCTION("""COMPUTED_VALUE"""),"(Chưa recheck)")</f>
        <v>(Chưa recheck)</v>
      </c>
      <c r="I119" s="265" t="str">
        <f>IFERROR(__xludf.DUMMYFUNCTION("""COMPUTED_VALUE"""),"(Chưa recheck)")</f>
        <v>(Chưa recheck)</v>
      </c>
      <c r="J119" s="265" t="str">
        <f>IFERROR(__xludf.DUMMYFUNCTION("""COMPUTED_VALUE"""),"(Chưa recheck)")</f>
        <v>(Chưa recheck)</v>
      </c>
    </row>
    <row r="120">
      <c r="A120" s="265" t="str">
        <f>IFERROR(__xludf.DUMMYFUNCTION("""COMPUTED_VALUE"""),"449")</f>
        <v>449</v>
      </c>
      <c r="B120" s="265" t="str">
        <f>IFERROR(__xludf.DUMMYFUNCTION("""COMPUTED_VALUE"""),"Hà Nội")</f>
        <v>Hà Nội</v>
      </c>
      <c r="C120" s="265" t="str">
        <f>IFERROR(__xludf.DUMMYFUNCTION("""COMPUTED_VALUE"""),"Locked")</f>
        <v>Locked</v>
      </c>
      <c r="D120" s="265" t="str">
        <f>IFERROR(__xludf.DUMMYFUNCTION("""COMPUTED_VALUE"""),"Sale chưa cung cấp")</f>
        <v>Sale chưa cung cấp</v>
      </c>
      <c r="E120" s="265" t="str">
        <f>IFERROR(__xludf.DUMMYFUNCTION("""COMPUTED_VALUE"""),"HangNT")</f>
        <v>HangNT</v>
      </c>
      <c r="F120" s="265" t="str">
        <f>IFERROR(__xludf.DUMMYFUNCTION("""COMPUTED_VALUE"""),"Sale chưa cung cấp")</f>
        <v>Sale chưa cung cấp</v>
      </c>
      <c r="G120" s="265" t="str">
        <f>IFERROR(__xludf.DUMMYFUNCTION("""COMPUTED_VALUE"""),"API")</f>
        <v>API</v>
      </c>
      <c r="H120" s="265" t="str">
        <f>IFERROR(__xludf.DUMMYFUNCTION("""COMPUTED_VALUE"""),"(Chưa recheck)")</f>
        <v>(Chưa recheck)</v>
      </c>
      <c r="I120" s="265" t="str">
        <f>IFERROR(__xludf.DUMMYFUNCTION("""COMPUTED_VALUE"""),"(Chưa recheck)")</f>
        <v>(Chưa recheck)</v>
      </c>
      <c r="J120" s="265" t="str">
        <f>IFERROR(__xludf.DUMMYFUNCTION("""COMPUTED_VALUE"""),"(Chưa recheck)")</f>
        <v>(Chưa recheck)</v>
      </c>
    </row>
    <row r="121">
      <c r="A121" s="265" t="str">
        <f>IFERROR(__xludf.DUMMYFUNCTION("""COMPUTED_VALUE"""),"478")</f>
        <v>478</v>
      </c>
      <c r="B121" s="265" t="str">
        <f>IFERROR(__xludf.DUMMYFUNCTION("""COMPUTED_VALUE"""),"Sài Gòn")</f>
        <v>Sài Gòn</v>
      </c>
      <c r="C121" s="265" t="str">
        <f>IFERROR(__xludf.DUMMYFUNCTION("""COMPUTED_VALUE"""),"Locked")</f>
        <v>Locked</v>
      </c>
      <c r="D121" s="265" t="str">
        <f>IFERROR(__xludf.DUMMYFUNCTION("""COMPUTED_VALUE"""),"Sale chưa cung cấp")</f>
        <v>Sale chưa cung cấp</v>
      </c>
      <c r="E121" s="265" t="str">
        <f>IFERROR(__xludf.DUMMYFUNCTION("""COMPUTED_VALUE"""),"HoaNTM")</f>
        <v>HoaNTM</v>
      </c>
      <c r="F121" s="265" t="str">
        <f>IFERROR(__xludf.DUMMYFUNCTION("""COMPUTED_VALUE"""),"Silver")</f>
        <v>Silver</v>
      </c>
      <c r="G121" s="265" t="str">
        <f>IFERROR(__xludf.DUMMYFUNCTION("""COMPUTED_VALUE"""),"Enterprise")</f>
        <v>Enterprise</v>
      </c>
      <c r="H121" s="265" t="str">
        <f>IFERROR(__xludf.DUMMYFUNCTION("""COMPUTED_VALUE"""),"(Chưa recheck)")</f>
        <v>(Chưa recheck)</v>
      </c>
      <c r="I121" s="265" t="str">
        <f>IFERROR(__xludf.DUMMYFUNCTION("""COMPUTED_VALUE"""),"(Chưa recheck)")</f>
        <v>(Chưa recheck)</v>
      </c>
      <c r="J121" s="265" t="str">
        <f>IFERROR(__xludf.DUMMYFUNCTION("""COMPUTED_VALUE"""),"(Chưa recheck)")</f>
        <v>(Chưa recheck)</v>
      </c>
    </row>
    <row r="122">
      <c r="A122" s="265" t="str">
        <f>IFERROR(__xludf.DUMMYFUNCTION("""COMPUTED_VALUE"""),"450")</f>
        <v>450</v>
      </c>
      <c r="B122" s="265" t="str">
        <f>IFERROR(__xludf.DUMMYFUNCTION("""COMPUTED_VALUE"""),"Sài Gòn")</f>
        <v>Sài Gòn</v>
      </c>
      <c r="C122" s="265" t="str">
        <f>IFERROR(__xludf.DUMMYFUNCTION("""COMPUTED_VALUE"""),"Active")</f>
        <v>Active</v>
      </c>
      <c r="D122" s="265" t="str">
        <f>IFERROR(__xludf.DUMMYFUNCTION("""COMPUTED_VALUE"""),"Sale chưa cung cấp")</f>
        <v>Sale chưa cung cấp</v>
      </c>
      <c r="E122" s="265" t="str">
        <f>IFERROR(__xludf.DUMMYFUNCTION("""COMPUTED_VALUE"""),"TùngLD")</f>
        <v>TùngLD</v>
      </c>
      <c r="F122" s="265" t="str">
        <f>IFERROR(__xludf.DUMMYFUNCTION("""COMPUTED_VALUE"""),"Bronze")</f>
        <v>Bronze</v>
      </c>
      <c r="G122" s="265" t="str">
        <f>IFERROR(__xludf.DUMMYFUNCTION("""COMPUTED_VALUE"""),"Enterprise")</f>
        <v>Enterprise</v>
      </c>
      <c r="H122" s="265" t="str">
        <f>IFERROR(__xludf.DUMMYFUNCTION("""COMPUTED_VALUE"""),"Trả sau")</f>
        <v>Trả sau</v>
      </c>
      <c r="I122" s="265" t="str">
        <f>IFERROR(__xludf.DUMMYFUNCTION("""COMPUTED_VALUE"""),"Portal")</f>
        <v>Portal</v>
      </c>
      <c r="J122" s="265" t="str">
        <f>IFERROR(__xludf.DUMMYFUNCTION("""COMPUTED_VALUE"""),"File Excel")</f>
        <v>File Excel</v>
      </c>
    </row>
    <row r="123">
      <c r="A123" s="265" t="str">
        <f>IFERROR(__xludf.DUMMYFUNCTION("""COMPUTED_VALUE"""),"451")</f>
        <v>451</v>
      </c>
      <c r="B123" s="265" t="str">
        <f>IFERROR(__xludf.DUMMYFUNCTION("""COMPUTED_VALUE"""),"Hà Nội")</f>
        <v>Hà Nội</v>
      </c>
      <c r="C123" s="265" t="str">
        <f>IFERROR(__xludf.DUMMYFUNCTION("""COMPUTED_VALUE"""),"Locked")</f>
        <v>Locked</v>
      </c>
      <c r="D123" s="265" t="str">
        <f>IFERROR(__xludf.DUMMYFUNCTION("""COMPUTED_VALUE"""),"Sale chưa cung cấp")</f>
        <v>Sale chưa cung cấp</v>
      </c>
      <c r="E123" s="265" t="str">
        <f>IFERROR(__xludf.DUMMYFUNCTION("""COMPUTED_VALUE"""),"PhươngDTB")</f>
        <v>PhươngDTB</v>
      </c>
      <c r="F123" s="265" t="str">
        <f>IFERROR(__xludf.DUMMYFUNCTION("""COMPUTED_VALUE"""),"Bronze")</f>
        <v>Bronze</v>
      </c>
      <c r="G123" s="265" t="str">
        <f>IFERROR(__xludf.DUMMYFUNCTION("""COMPUTED_VALUE"""),"Enterprise")</f>
        <v>Enterprise</v>
      </c>
      <c r="H123" s="265" t="str">
        <f>IFERROR(__xludf.DUMMYFUNCTION("""COMPUTED_VALUE"""),"(Chưa recheck)")</f>
        <v>(Chưa recheck)</v>
      </c>
      <c r="I123" s="265" t="str">
        <f>IFERROR(__xludf.DUMMYFUNCTION("""COMPUTED_VALUE"""),"(Chưa recheck)")</f>
        <v>(Chưa recheck)</v>
      </c>
      <c r="J123" s="265" t="str">
        <f>IFERROR(__xludf.DUMMYFUNCTION("""COMPUTED_VALUE"""),"Pancake")</f>
        <v>Pancake</v>
      </c>
    </row>
    <row r="124">
      <c r="A124" s="265" t="str">
        <f>IFERROR(__xludf.DUMMYFUNCTION("""COMPUTED_VALUE"""),"452")</f>
        <v>452</v>
      </c>
      <c r="B124" s="265" t="str">
        <f>IFERROR(__xludf.DUMMYFUNCTION("""COMPUTED_VALUE"""),"Hà Nội")</f>
        <v>Hà Nội</v>
      </c>
      <c r="C124" s="265" t="str">
        <f>IFERROR(__xludf.DUMMYFUNCTION("""COMPUTED_VALUE"""),"Locked")</f>
        <v>Locked</v>
      </c>
      <c r="D124" s="265" t="str">
        <f>IFERROR(__xludf.DUMMYFUNCTION("""COMPUTED_VALUE"""),"Sale chưa cung cấp")</f>
        <v>Sale chưa cung cấp</v>
      </c>
      <c r="E124" s="265" t="str">
        <f>IFERROR(__xludf.DUMMYFUNCTION("""COMPUTED_VALUE"""),"TùngLD")</f>
        <v>TùngLD</v>
      </c>
      <c r="F124" s="265" t="str">
        <f>IFERROR(__xludf.DUMMYFUNCTION("""COMPUTED_VALUE"""),"Bronze")</f>
        <v>Bronze</v>
      </c>
      <c r="G124" s="265" t="str">
        <f>IFERROR(__xludf.DUMMYFUNCTION("""COMPUTED_VALUE"""),"Enterprise")</f>
        <v>Enterprise</v>
      </c>
      <c r="H124" s="265" t="str">
        <f>IFERROR(__xludf.DUMMYFUNCTION("""COMPUTED_VALUE"""),"(Chưa recheck)")</f>
        <v>(Chưa recheck)</v>
      </c>
      <c r="I124" s="265" t="str">
        <f>IFERROR(__xludf.DUMMYFUNCTION("""COMPUTED_VALUE"""),"Portal")</f>
        <v>Portal</v>
      </c>
      <c r="J124" s="265" t="str">
        <f>IFERROR(__xludf.DUMMYFUNCTION("""COMPUTED_VALUE"""),"File Excel")</f>
        <v>File Excel</v>
      </c>
    </row>
    <row r="125">
      <c r="A125" s="265" t="str">
        <f>IFERROR(__xludf.DUMMYFUNCTION("""COMPUTED_VALUE"""),"452")</f>
        <v>452</v>
      </c>
      <c r="B125" s="265" t="str">
        <f>IFERROR(__xludf.DUMMYFUNCTION("""COMPUTED_VALUE"""),"Hà Nội")</f>
        <v>Hà Nội</v>
      </c>
      <c r="C125" s="265" t="str">
        <f>IFERROR(__xludf.DUMMYFUNCTION("""COMPUTED_VALUE"""),"Locked")</f>
        <v>Locked</v>
      </c>
      <c r="D125" s="265" t="str">
        <f>IFERROR(__xludf.DUMMYFUNCTION("""COMPUTED_VALUE"""),"Sale chưa cung cấp")</f>
        <v>Sale chưa cung cấp</v>
      </c>
      <c r="E125" s="265" t="str">
        <f>IFERROR(__xludf.DUMMYFUNCTION("""COMPUTED_VALUE"""),"TùngLD")</f>
        <v>TùngLD</v>
      </c>
      <c r="F125" s="265" t="str">
        <f>IFERROR(__xludf.DUMMYFUNCTION("""COMPUTED_VALUE"""),"Bronze")</f>
        <v>Bronze</v>
      </c>
      <c r="G125" s="265" t="str">
        <f>IFERROR(__xludf.DUMMYFUNCTION("""COMPUTED_VALUE"""),"Enterprise")</f>
        <v>Enterprise</v>
      </c>
      <c r="H125" s="265" t="str">
        <f>IFERROR(__xludf.DUMMYFUNCTION("""COMPUTED_VALUE"""),"(Chưa recheck)")</f>
        <v>(Chưa recheck)</v>
      </c>
      <c r="I125" s="265" t="str">
        <f>IFERROR(__xludf.DUMMYFUNCTION("""COMPUTED_VALUE"""),"Portal")</f>
        <v>Portal</v>
      </c>
      <c r="J125" s="265" t="str">
        <f>IFERROR(__xludf.DUMMYFUNCTION("""COMPUTED_VALUE"""),"Nhanhvn")</f>
        <v>Nhanhvn</v>
      </c>
    </row>
    <row r="126">
      <c r="A126" s="265" t="str">
        <f>IFERROR(__xludf.DUMMYFUNCTION("""COMPUTED_VALUE"""),"436")</f>
        <v>436</v>
      </c>
      <c r="B126" s="265" t="str">
        <f>IFERROR(__xludf.DUMMYFUNCTION("""COMPUTED_VALUE"""),"Sài Gòn")</f>
        <v>Sài Gòn</v>
      </c>
      <c r="C126" s="265" t="str">
        <f>IFERROR(__xludf.DUMMYFUNCTION("""COMPUTED_VALUE"""),"Locked")</f>
        <v>Locked</v>
      </c>
      <c r="D126" s="265" t="str">
        <f>IFERROR(__xludf.DUMMYFUNCTION("""COMPUTED_VALUE"""),"Sale chưa cung cấp")</f>
        <v>Sale chưa cung cấp</v>
      </c>
      <c r="E126" s="265" t="str">
        <f>IFERROR(__xludf.DUMMYFUNCTION("""COMPUTED_VALUE"""),"HoaNTM")</f>
        <v>HoaNTM</v>
      </c>
      <c r="F126" s="265" t="str">
        <f>IFERROR(__xludf.DUMMYFUNCTION("""COMPUTED_VALUE"""),"Bronze")</f>
        <v>Bronze</v>
      </c>
      <c r="G126" s="265" t="str">
        <f>IFERROR(__xludf.DUMMYFUNCTION("""COMPUTED_VALUE"""),"Enterprise")</f>
        <v>Enterprise</v>
      </c>
      <c r="H126" s="265" t="str">
        <f>IFERROR(__xludf.DUMMYFUNCTION("""COMPUTED_VALUE"""),"(Chưa recheck)")</f>
        <v>(Chưa recheck)</v>
      </c>
      <c r="I126" s="265" t="str">
        <f>IFERROR(__xludf.DUMMYFUNCTION("""COMPUTED_VALUE"""),"(Chưa recheck)")</f>
        <v>(Chưa recheck)</v>
      </c>
      <c r="J126" s="265" t="str">
        <f>IFERROR(__xludf.DUMMYFUNCTION("""COMPUTED_VALUE"""),"(Chưa recheck)")</f>
        <v>(Chưa recheck)</v>
      </c>
    </row>
    <row r="127">
      <c r="A127" s="265" t="str">
        <f>IFERROR(__xludf.DUMMYFUNCTION("""COMPUTED_VALUE"""),"453")</f>
        <v>453</v>
      </c>
      <c r="B127" s="265" t="str">
        <f>IFERROR(__xludf.DUMMYFUNCTION("""COMPUTED_VALUE"""),"Sài Gòn")</f>
        <v>Sài Gòn</v>
      </c>
      <c r="C127" s="265" t="str">
        <f>IFERROR(__xludf.DUMMYFUNCTION("""COMPUTED_VALUE"""),"Locked")</f>
        <v>Locked</v>
      </c>
      <c r="D127" s="265" t="str">
        <f>IFERROR(__xludf.DUMMYFUNCTION("""COMPUTED_VALUE"""),"Sale chưa cung cấp")</f>
        <v>Sale chưa cung cấp</v>
      </c>
      <c r="E127" s="265" t="str">
        <f>IFERROR(__xludf.DUMMYFUNCTION("""COMPUTED_VALUE"""),"HoaNTM")</f>
        <v>HoaNTM</v>
      </c>
      <c r="F127" s="265" t="str">
        <f>IFERROR(__xludf.DUMMYFUNCTION("""COMPUTED_VALUE"""),"Sale chưa cung cấp")</f>
        <v>Sale chưa cung cấp</v>
      </c>
      <c r="G127" s="265" t="str">
        <f>IFERROR(__xludf.DUMMYFUNCTION("""COMPUTED_VALUE"""),"MSG")</f>
        <v>MSG</v>
      </c>
      <c r="H127" s="265" t="str">
        <f>IFERROR(__xludf.DUMMYFUNCTION("""COMPUTED_VALUE"""),"(Chưa recheck)")</f>
        <v>(Chưa recheck)</v>
      </c>
      <c r="I127" s="265" t="str">
        <f>IFERROR(__xludf.DUMMYFUNCTION("""COMPUTED_VALUE"""),"(Chưa recheck)")</f>
        <v>(Chưa recheck)</v>
      </c>
      <c r="J127" s="265" t="str">
        <f>IFERROR(__xludf.DUMMYFUNCTION("""COMPUTED_VALUE"""),"(Chưa recheck)")</f>
        <v>(Chưa recheck)</v>
      </c>
    </row>
    <row r="128">
      <c r="A128" s="265" t="str">
        <f>IFERROR(__xludf.DUMMYFUNCTION("""COMPUTED_VALUE"""),"454")</f>
        <v>454</v>
      </c>
      <c r="B128" s="265" t="str">
        <f>IFERROR(__xludf.DUMMYFUNCTION("""COMPUTED_VALUE"""),"Sài Gòn")</f>
        <v>Sài Gòn</v>
      </c>
      <c r="C128" s="265" t="str">
        <f>IFERROR(__xludf.DUMMYFUNCTION("""COMPUTED_VALUE"""),"Locked")</f>
        <v>Locked</v>
      </c>
      <c r="D128" s="265" t="str">
        <f>IFERROR(__xludf.DUMMYFUNCTION("""COMPUTED_VALUE"""),"Sale chưa cung cấp")</f>
        <v>Sale chưa cung cấp</v>
      </c>
      <c r="E128" s="265" t="str">
        <f>IFERROR(__xludf.DUMMYFUNCTION("""COMPUTED_VALUE"""),"HoaNTM")</f>
        <v>HoaNTM</v>
      </c>
      <c r="F128" s="265" t="str">
        <f>IFERROR(__xludf.DUMMYFUNCTION("""COMPUTED_VALUE"""),"Sale chưa cung cấp")</f>
        <v>Sale chưa cung cấp</v>
      </c>
      <c r="G128" s="265" t="str">
        <f>IFERROR(__xludf.DUMMYFUNCTION("""COMPUTED_VALUE"""),"MSG")</f>
        <v>MSG</v>
      </c>
      <c r="H128" s="265" t="str">
        <f>IFERROR(__xludf.DUMMYFUNCTION("""COMPUTED_VALUE"""),"(Chưa recheck)")</f>
        <v>(Chưa recheck)</v>
      </c>
      <c r="I128" s="265" t="str">
        <f>IFERROR(__xludf.DUMMYFUNCTION("""COMPUTED_VALUE"""),"(Chưa recheck)")</f>
        <v>(Chưa recheck)</v>
      </c>
      <c r="J128" s="265" t="str">
        <f>IFERROR(__xludf.DUMMYFUNCTION("""COMPUTED_VALUE"""),"(Chưa recheck)")</f>
        <v>(Chưa recheck)</v>
      </c>
    </row>
    <row r="129">
      <c r="A129" s="265" t="str">
        <f>IFERROR(__xludf.DUMMYFUNCTION("""COMPUTED_VALUE"""),"455")</f>
        <v>455</v>
      </c>
      <c r="B129" s="265" t="str">
        <f>IFERROR(__xludf.DUMMYFUNCTION("""COMPUTED_VALUE"""),"Sài Gòn")</f>
        <v>Sài Gòn</v>
      </c>
      <c r="C129" s="265" t="str">
        <f>IFERROR(__xludf.DUMMYFUNCTION("""COMPUTED_VALUE"""),"Active")</f>
        <v>Active</v>
      </c>
      <c r="D129" s="265" t="str">
        <f>IFERROR(__xludf.DUMMYFUNCTION("""COMPUTED_VALUE"""),"Sale chưa cung cấp")</f>
        <v>Sale chưa cung cấp</v>
      </c>
      <c r="E129" s="265" t="str">
        <f>IFERROR(__xludf.DUMMYFUNCTION("""COMPUTED_VALUE"""),"AnhNM")</f>
        <v>AnhNM</v>
      </c>
      <c r="F129" s="265" t="str">
        <f>IFERROR(__xludf.DUMMYFUNCTION("""COMPUTED_VALUE"""),"Silver")</f>
        <v>Silver</v>
      </c>
      <c r="G129" s="265" t="str">
        <f>IFERROR(__xludf.DUMMYFUNCTION("""COMPUTED_VALUE"""),"Enterprise")</f>
        <v>Enterprise</v>
      </c>
      <c r="H129" s="265" t="str">
        <f>IFERROR(__xludf.DUMMYFUNCTION("""COMPUTED_VALUE"""),"Trả sau")</f>
        <v>Trả sau</v>
      </c>
      <c r="I129" s="265" t="str">
        <f>IFERROR(__xludf.DUMMYFUNCTION("""COMPUTED_VALUE"""),"API &amp; Portal")</f>
        <v>API &amp; Portal</v>
      </c>
      <c r="J129" s="265" t="str">
        <f>IFERROR(__xludf.DUMMYFUNCTION("""COMPUTED_VALUE"""),"File Excel")</f>
        <v>File Excel</v>
      </c>
    </row>
    <row r="130">
      <c r="A130" s="265" t="str">
        <f>IFERROR(__xludf.DUMMYFUNCTION("""COMPUTED_VALUE"""),"455")</f>
        <v>455</v>
      </c>
      <c r="B130" s="265" t="str">
        <f>IFERROR(__xludf.DUMMYFUNCTION("""COMPUTED_VALUE"""),"Sài Gòn")</f>
        <v>Sài Gòn</v>
      </c>
      <c r="C130" s="265" t="str">
        <f>IFERROR(__xludf.DUMMYFUNCTION("""COMPUTED_VALUE"""),"Active")</f>
        <v>Active</v>
      </c>
      <c r="D130" s="265" t="str">
        <f>IFERROR(__xludf.DUMMYFUNCTION("""COMPUTED_VALUE"""),"Sale chưa cung cấp")</f>
        <v>Sale chưa cung cấp</v>
      </c>
      <c r="E130" s="265" t="str">
        <f>IFERROR(__xludf.DUMMYFUNCTION("""COMPUTED_VALUE"""),"AnhNM")</f>
        <v>AnhNM</v>
      </c>
      <c r="F130" s="265" t="str">
        <f>IFERROR(__xludf.DUMMYFUNCTION("""COMPUTED_VALUE"""),"Silver")</f>
        <v>Silver</v>
      </c>
      <c r="G130" s="265" t="str">
        <f>IFERROR(__xludf.DUMMYFUNCTION("""COMPUTED_VALUE"""),"Enterprise")</f>
        <v>Enterprise</v>
      </c>
      <c r="H130" s="265" t="str">
        <f>IFERROR(__xludf.DUMMYFUNCTION("""COMPUTED_VALUE"""),"Trả sau")</f>
        <v>Trả sau</v>
      </c>
      <c r="I130" s="265" t="str">
        <f>IFERROR(__xludf.DUMMYFUNCTION("""COMPUTED_VALUE"""),"API &amp; Portal")</f>
        <v>API &amp; Portal</v>
      </c>
      <c r="J130" s="265" t="str">
        <f>IFERROR(__xludf.DUMMYFUNCTION("""COMPUTED_VALUE"""),"API")</f>
        <v>API</v>
      </c>
    </row>
    <row r="131">
      <c r="A131" s="265" t="str">
        <f>IFERROR(__xludf.DUMMYFUNCTION("""COMPUTED_VALUE"""),"456")</f>
        <v>456</v>
      </c>
      <c r="B131" s="265" t="str">
        <f>IFERROR(__xludf.DUMMYFUNCTION("""COMPUTED_VALUE"""),"Sài Gòn")</f>
        <v>Sài Gòn</v>
      </c>
      <c r="C131" s="265" t="str">
        <f>IFERROR(__xludf.DUMMYFUNCTION("""COMPUTED_VALUE"""),"Locked")</f>
        <v>Locked</v>
      </c>
      <c r="D131" s="265" t="str">
        <f>IFERROR(__xludf.DUMMYFUNCTION("""COMPUTED_VALUE"""),"Sale chưa cung cấp")</f>
        <v>Sale chưa cung cấp</v>
      </c>
      <c r="E131" s="265" t="str">
        <f>IFERROR(__xludf.DUMMYFUNCTION("""COMPUTED_VALUE"""),"HoaNTM")</f>
        <v>HoaNTM</v>
      </c>
      <c r="F131" s="265" t="str">
        <f>IFERROR(__xludf.DUMMYFUNCTION("""COMPUTED_VALUE"""),"Sale chưa cung cấp")</f>
        <v>Sale chưa cung cấp</v>
      </c>
      <c r="G131" s="265" t="str">
        <f>IFERROR(__xludf.DUMMYFUNCTION("""COMPUTED_VALUE"""),"MSG")</f>
        <v>MSG</v>
      </c>
      <c r="H131" s="265" t="str">
        <f>IFERROR(__xludf.DUMMYFUNCTION("""COMPUTED_VALUE"""),"(Chưa recheck)")</f>
        <v>(Chưa recheck)</v>
      </c>
      <c r="I131" s="265" t="str">
        <f>IFERROR(__xludf.DUMMYFUNCTION("""COMPUTED_VALUE"""),"(Chưa recheck)")</f>
        <v>(Chưa recheck)</v>
      </c>
      <c r="J131" s="265" t="str">
        <f>IFERROR(__xludf.DUMMYFUNCTION("""COMPUTED_VALUE"""),"(Chưa recheck)")</f>
        <v>(Chưa recheck)</v>
      </c>
    </row>
    <row r="132">
      <c r="A132" s="265" t="str">
        <f>IFERROR(__xludf.DUMMYFUNCTION("""COMPUTED_VALUE"""),"457")</f>
        <v>457</v>
      </c>
      <c r="B132" s="265" t="str">
        <f>IFERROR(__xludf.DUMMYFUNCTION("""COMPUTED_VALUE"""),"Sài Gòn")</f>
        <v>Sài Gòn</v>
      </c>
      <c r="C132" s="265" t="str">
        <f>IFERROR(__xludf.DUMMYFUNCTION("""COMPUTED_VALUE"""),"Locked")</f>
        <v>Locked</v>
      </c>
      <c r="D132" s="265" t="str">
        <f>IFERROR(__xludf.DUMMYFUNCTION("""COMPUTED_VALUE"""),"Sale chưa cung cấp")</f>
        <v>Sale chưa cung cấp</v>
      </c>
      <c r="E132" s="265" t="str">
        <f>IFERROR(__xludf.DUMMYFUNCTION("""COMPUTED_VALUE"""),"HoaNTM")</f>
        <v>HoaNTM</v>
      </c>
      <c r="F132" s="265" t="str">
        <f>IFERROR(__xludf.DUMMYFUNCTION("""COMPUTED_VALUE"""),"Sale chưa cung cấp")</f>
        <v>Sale chưa cung cấp</v>
      </c>
      <c r="G132" s="265" t="str">
        <f>IFERROR(__xludf.DUMMYFUNCTION("""COMPUTED_VALUE"""),"Enterprise")</f>
        <v>Enterprise</v>
      </c>
      <c r="H132" s="265" t="str">
        <f>IFERROR(__xludf.DUMMYFUNCTION("""COMPUTED_VALUE"""),"Trial")</f>
        <v>Trial</v>
      </c>
      <c r="I132" s="265" t="str">
        <f>IFERROR(__xludf.DUMMYFUNCTION("""COMPUTED_VALUE"""),"(Không recheck)")</f>
        <v>(Không recheck)</v>
      </c>
      <c r="J132" s="265" t="str">
        <f>IFERROR(__xludf.DUMMYFUNCTION("""COMPUTED_VALUE"""),"(Không recheck)")</f>
        <v>(Không recheck)</v>
      </c>
    </row>
    <row r="133">
      <c r="A133" s="265" t="str">
        <f>IFERROR(__xludf.DUMMYFUNCTION("""COMPUTED_VALUE"""),"458")</f>
        <v>458</v>
      </c>
      <c r="B133" s="265" t="str">
        <f>IFERROR(__xludf.DUMMYFUNCTION("""COMPUTED_VALUE"""),"Sài Gòn")</f>
        <v>Sài Gòn</v>
      </c>
      <c r="C133" s="265" t="str">
        <f>IFERROR(__xludf.DUMMYFUNCTION("""COMPUTED_VALUE"""),"Locked")</f>
        <v>Locked</v>
      </c>
      <c r="D133" s="265" t="str">
        <f>IFERROR(__xludf.DUMMYFUNCTION("""COMPUTED_VALUE"""),"Sale chưa cung cấp")</f>
        <v>Sale chưa cung cấp</v>
      </c>
      <c r="E133" s="265" t="str">
        <f>IFERROR(__xludf.DUMMYFUNCTION("""COMPUTED_VALUE"""),"HoaNTM")</f>
        <v>HoaNTM</v>
      </c>
      <c r="F133" s="265" t="str">
        <f>IFERROR(__xludf.DUMMYFUNCTION("""COMPUTED_VALUE"""),"Sale chưa cung cấp")</f>
        <v>Sale chưa cung cấp</v>
      </c>
      <c r="G133" s="265" t="str">
        <f>IFERROR(__xludf.DUMMYFUNCTION("""COMPUTED_VALUE"""),"MSG")</f>
        <v>MSG</v>
      </c>
      <c r="H133" s="265" t="str">
        <f>IFERROR(__xludf.DUMMYFUNCTION("""COMPUTED_VALUE"""),"(Chưa recheck)")</f>
        <v>(Chưa recheck)</v>
      </c>
      <c r="I133" s="265" t="str">
        <f>IFERROR(__xludf.DUMMYFUNCTION("""COMPUTED_VALUE"""),"(Chưa recheck)")</f>
        <v>(Chưa recheck)</v>
      </c>
      <c r="J133" s="265" t="str">
        <f>IFERROR(__xludf.DUMMYFUNCTION("""COMPUTED_VALUE"""),"(Chưa recheck)")</f>
        <v>(Chưa recheck)</v>
      </c>
    </row>
    <row r="134">
      <c r="A134" s="265" t="str">
        <f>IFERROR(__xludf.DUMMYFUNCTION("""COMPUTED_VALUE"""),"460")</f>
        <v>460</v>
      </c>
      <c r="B134" s="265" t="str">
        <f>IFERROR(__xludf.DUMMYFUNCTION("""COMPUTED_VALUE"""),"Hà Nội")</f>
        <v>Hà Nội</v>
      </c>
      <c r="C134" s="265" t="str">
        <f>IFERROR(__xludf.DUMMYFUNCTION("""COMPUTED_VALUE"""),"Locked")</f>
        <v>Locked</v>
      </c>
      <c r="D134" s="265" t="str">
        <f>IFERROR(__xludf.DUMMYFUNCTION("""COMPUTED_VALUE"""),"Sale chưa cung cấp")</f>
        <v>Sale chưa cung cấp</v>
      </c>
      <c r="E134" s="265" t="str">
        <f>IFERROR(__xludf.DUMMYFUNCTION("""COMPUTED_VALUE"""),"NamDT")</f>
        <v>NamDT</v>
      </c>
      <c r="F134" s="265" t="str">
        <f>IFERROR(__xludf.DUMMYFUNCTION("""COMPUTED_VALUE"""),"Sale chưa cung cấp")</f>
        <v>Sale chưa cung cấp</v>
      </c>
      <c r="G134" s="265" t="str">
        <f>IFERROR(__xludf.DUMMYFUNCTION("""COMPUTED_VALUE"""),"API")</f>
        <v>API</v>
      </c>
      <c r="H134" s="265" t="str">
        <f>IFERROR(__xludf.DUMMYFUNCTION("""COMPUTED_VALUE"""),"Trial")</f>
        <v>Trial</v>
      </c>
      <c r="I134" s="265" t="str">
        <f>IFERROR(__xludf.DUMMYFUNCTION("""COMPUTED_VALUE"""),"(Không recheck)")</f>
        <v>(Không recheck)</v>
      </c>
      <c r="J134" s="265" t="str">
        <f>IFERROR(__xludf.DUMMYFUNCTION("""COMPUTED_VALUE"""),"(Không recheck)")</f>
        <v>(Không recheck)</v>
      </c>
    </row>
    <row r="135">
      <c r="A135" s="265" t="str">
        <f>IFERROR(__xludf.DUMMYFUNCTION("""COMPUTED_VALUE"""),"461")</f>
        <v>461</v>
      </c>
      <c r="B135" s="265" t="str">
        <f>IFERROR(__xludf.DUMMYFUNCTION("""COMPUTED_VALUE"""),"Hà Nội")</f>
        <v>Hà Nội</v>
      </c>
      <c r="C135" s="265" t="str">
        <f>IFERROR(__xludf.DUMMYFUNCTION("""COMPUTED_VALUE"""),"Active")</f>
        <v>Active</v>
      </c>
      <c r="D135" s="265" t="str">
        <f>IFERROR(__xludf.DUMMYFUNCTION("""COMPUTED_VALUE"""),"Sale chưa cung cấp")</f>
        <v>Sale chưa cung cấp</v>
      </c>
      <c r="E135" s="265" t="str">
        <f>IFERROR(__xludf.DUMMYFUNCTION("""COMPUTED_VALUE"""),"AnhNM")</f>
        <v>AnhNM</v>
      </c>
      <c r="F135" s="265" t="str">
        <f>IFERROR(__xludf.DUMMYFUNCTION("""COMPUTED_VALUE"""),"Bronze")</f>
        <v>Bronze</v>
      </c>
      <c r="G135" s="265" t="str">
        <f>IFERROR(__xludf.DUMMYFUNCTION("""COMPUTED_VALUE"""),"Starter")</f>
        <v>Starter</v>
      </c>
      <c r="H135" s="265" t="str">
        <f>IFERROR(__xludf.DUMMYFUNCTION("""COMPUTED_VALUE"""),"Trả sau")</f>
        <v>Trả sau</v>
      </c>
      <c r="I135" s="265" t="str">
        <f>IFERROR(__xludf.DUMMYFUNCTION("""COMPUTED_VALUE"""),"API")</f>
        <v>API</v>
      </c>
      <c r="J135" s="265" t="str">
        <f>IFERROR(__xludf.DUMMYFUNCTION("""COMPUTED_VALUE"""),"API")</f>
        <v>API</v>
      </c>
    </row>
    <row r="136">
      <c r="A136" s="265" t="str">
        <f>IFERROR(__xludf.DUMMYFUNCTION("""COMPUTED_VALUE"""),"462")</f>
        <v>462</v>
      </c>
      <c r="B136" s="265" t="str">
        <f>IFERROR(__xludf.DUMMYFUNCTION("""COMPUTED_VALUE"""),"Sài Gòn")</f>
        <v>Sài Gòn</v>
      </c>
      <c r="C136" s="265" t="str">
        <f>IFERROR(__xludf.DUMMYFUNCTION("""COMPUTED_VALUE"""),"Active")</f>
        <v>Active</v>
      </c>
      <c r="D136" s="265" t="str">
        <f>IFERROR(__xludf.DUMMYFUNCTION("""COMPUTED_VALUE"""),"Sale chưa cung cấp")</f>
        <v>Sale chưa cung cấp</v>
      </c>
      <c r="E136" s="265" t="str">
        <f>IFERROR(__xludf.DUMMYFUNCTION("""COMPUTED_VALUE"""),"TúPHN")</f>
        <v>TúPHN</v>
      </c>
      <c r="F136" s="265" t="str">
        <f>IFERROR(__xludf.DUMMYFUNCTION("""COMPUTED_VALUE"""),"Silver")</f>
        <v>Silver</v>
      </c>
      <c r="G136" s="265" t="str">
        <f>IFERROR(__xludf.DUMMYFUNCTION("""COMPUTED_VALUE"""),"Enterprise")</f>
        <v>Enterprise</v>
      </c>
      <c r="H136" s="265" t="str">
        <f>IFERROR(__xludf.DUMMYFUNCTION("""COMPUTED_VALUE"""),"Trả sau")</f>
        <v>Trả sau</v>
      </c>
      <c r="I136" s="265" t="str">
        <f>IFERROR(__xludf.DUMMYFUNCTION("""COMPUTED_VALUE"""),"API")</f>
        <v>API</v>
      </c>
      <c r="J136" s="265" t="str">
        <f>IFERROR(__xludf.DUMMYFUNCTION("""COMPUTED_VALUE"""),"Bizfly CRM")</f>
        <v>Bizfly CRM</v>
      </c>
    </row>
    <row r="137">
      <c r="A137" s="265" t="str">
        <f>IFERROR(__xludf.DUMMYFUNCTION("""COMPUTED_VALUE"""),"464")</f>
        <v>464</v>
      </c>
      <c r="B137" s="265" t="str">
        <f>IFERROR(__xludf.DUMMYFUNCTION("""COMPUTED_VALUE"""),"Hà Nội")</f>
        <v>Hà Nội</v>
      </c>
      <c r="C137" s="265" t="str">
        <f>IFERROR(__xludf.DUMMYFUNCTION("""COMPUTED_VALUE"""),"Locked")</f>
        <v>Locked</v>
      </c>
      <c r="D137" s="265" t="str">
        <f>IFERROR(__xludf.DUMMYFUNCTION("""COMPUTED_VALUE"""),"Sale chưa cung cấp")</f>
        <v>Sale chưa cung cấp</v>
      </c>
      <c r="E137" s="265" t="str">
        <f>IFERROR(__xludf.DUMMYFUNCTION("""COMPUTED_VALUE"""),"PhươngDTB")</f>
        <v>PhươngDTB</v>
      </c>
      <c r="F137" s="265" t="str">
        <f>IFERROR(__xludf.DUMMYFUNCTION("""COMPUTED_VALUE"""),"Bronze")</f>
        <v>Bronze</v>
      </c>
      <c r="G137" s="265" t="str">
        <f>IFERROR(__xludf.DUMMYFUNCTION("""COMPUTED_VALUE"""),"Enterprise")</f>
        <v>Enterprise</v>
      </c>
      <c r="H137" s="265" t="str">
        <f>IFERROR(__xludf.DUMMYFUNCTION("""COMPUTED_VALUE"""),"Trả sau")</f>
        <v>Trả sau</v>
      </c>
      <c r="I137" s="265" t="str">
        <f>IFERROR(__xludf.DUMMYFUNCTION("""COMPUTED_VALUE"""),"API")</f>
        <v>API</v>
      </c>
      <c r="J137" s="265" t="str">
        <f>IFERROR(__xludf.DUMMYFUNCTION("""COMPUTED_VALUE"""),"API")</f>
        <v>API</v>
      </c>
    </row>
    <row r="138">
      <c r="A138" s="265" t="str">
        <f>IFERROR(__xludf.DUMMYFUNCTION("""COMPUTED_VALUE"""),"463")</f>
        <v>463</v>
      </c>
      <c r="B138" s="265" t="str">
        <f>IFERROR(__xludf.DUMMYFUNCTION("""COMPUTED_VALUE"""),"Hà Nội")</f>
        <v>Hà Nội</v>
      </c>
      <c r="C138" s="265" t="str">
        <f>IFERROR(__xludf.DUMMYFUNCTION("""COMPUTED_VALUE"""),"Locked")</f>
        <v>Locked</v>
      </c>
      <c r="D138" s="265" t="str">
        <f>IFERROR(__xludf.DUMMYFUNCTION("""COMPUTED_VALUE"""),"Sale chưa cung cấp")</f>
        <v>Sale chưa cung cấp</v>
      </c>
      <c r="E138" s="265" t="str">
        <f>IFERROR(__xludf.DUMMYFUNCTION("""COMPUTED_VALUE"""),"HangNT")</f>
        <v>HangNT</v>
      </c>
      <c r="F138" s="265" t="str">
        <f>IFERROR(__xludf.DUMMYFUNCTION("""COMPUTED_VALUE"""),"Sale chưa cung cấp")</f>
        <v>Sale chưa cung cấp</v>
      </c>
      <c r="G138" s="265" t="str">
        <f>IFERROR(__xludf.DUMMYFUNCTION("""COMPUTED_VALUE"""),"Enterprise")</f>
        <v>Enterprise</v>
      </c>
      <c r="H138" s="265" t="str">
        <f>IFERROR(__xludf.DUMMYFUNCTION("""COMPUTED_VALUE"""),"(Chưa recheck)")</f>
        <v>(Chưa recheck)</v>
      </c>
      <c r="I138" s="265" t="str">
        <f>IFERROR(__xludf.DUMMYFUNCTION("""COMPUTED_VALUE"""),"(Chưa recheck)")</f>
        <v>(Chưa recheck)</v>
      </c>
      <c r="J138" s="265" t="str">
        <f>IFERROR(__xludf.DUMMYFUNCTION("""COMPUTED_VALUE"""),"File Excel")</f>
        <v>File Excel</v>
      </c>
    </row>
    <row r="139">
      <c r="A139" s="265" t="str">
        <f>IFERROR(__xludf.DUMMYFUNCTION("""COMPUTED_VALUE"""),"465")</f>
        <v>465</v>
      </c>
      <c r="B139" s="265" t="str">
        <f>IFERROR(__xludf.DUMMYFUNCTION("""COMPUTED_VALUE"""),"Sài Gòn")</f>
        <v>Sài Gòn</v>
      </c>
      <c r="C139" s="265" t="str">
        <f>IFERROR(__xludf.DUMMYFUNCTION("""COMPUTED_VALUE"""),"Locked")</f>
        <v>Locked</v>
      </c>
      <c r="D139" s="265" t="str">
        <f>IFERROR(__xludf.DUMMYFUNCTION("""COMPUTED_VALUE"""),"Sale chưa cung cấp")</f>
        <v>Sale chưa cung cấp</v>
      </c>
      <c r="E139" s="265" t="str">
        <f>IFERROR(__xludf.DUMMYFUNCTION("""COMPUTED_VALUE"""),"HoaNTM")</f>
        <v>HoaNTM</v>
      </c>
      <c r="F139" s="265" t="str">
        <f>IFERROR(__xludf.DUMMYFUNCTION("""COMPUTED_VALUE"""),"Diamond")</f>
        <v>Diamond</v>
      </c>
      <c r="G139" s="265" t="str">
        <f>IFERROR(__xludf.DUMMYFUNCTION("""COMPUTED_VALUE"""),"API")</f>
        <v>API</v>
      </c>
      <c r="H139" s="265" t="str">
        <f>IFERROR(__xludf.DUMMYFUNCTION("""COMPUTED_VALUE"""),"Trả sau")</f>
        <v>Trả sau</v>
      </c>
      <c r="I139" s="265" t="str">
        <f>IFERROR(__xludf.DUMMYFUNCTION("""COMPUTED_VALUE"""),"(Chưa recheck)")</f>
        <v>(Chưa recheck)</v>
      </c>
      <c r="J139" s="265" t="str">
        <f>IFERROR(__xludf.DUMMYFUNCTION("""COMPUTED_VALUE"""),"(Chưa recheck)")</f>
        <v>(Chưa recheck)</v>
      </c>
    </row>
    <row r="140">
      <c r="A140" s="265" t="str">
        <f>IFERROR(__xludf.DUMMYFUNCTION("""COMPUTED_VALUE"""),"466")</f>
        <v>466</v>
      </c>
      <c r="B140" s="265" t="str">
        <f>IFERROR(__xludf.DUMMYFUNCTION("""COMPUTED_VALUE"""),"Sài Gòn")</f>
        <v>Sài Gòn</v>
      </c>
      <c r="C140" s="265" t="str">
        <f>IFERROR(__xludf.DUMMYFUNCTION("""COMPUTED_VALUE"""),"Locked")</f>
        <v>Locked</v>
      </c>
      <c r="D140" s="265" t="str">
        <f>IFERROR(__xludf.DUMMYFUNCTION("""COMPUTED_VALUE"""),"Sale chưa cung cấp")</f>
        <v>Sale chưa cung cấp</v>
      </c>
      <c r="E140" s="265" t="str">
        <f>IFERROR(__xludf.DUMMYFUNCTION("""COMPUTED_VALUE"""),"HoaNTM")</f>
        <v>HoaNTM</v>
      </c>
      <c r="F140" s="265" t="str">
        <f>IFERROR(__xludf.DUMMYFUNCTION("""COMPUTED_VALUE"""),"Diamond")</f>
        <v>Diamond</v>
      </c>
      <c r="G140" s="265" t="str">
        <f>IFERROR(__xludf.DUMMYFUNCTION("""COMPUTED_VALUE"""),"API")</f>
        <v>API</v>
      </c>
      <c r="H140" s="265" t="str">
        <f>IFERROR(__xludf.DUMMYFUNCTION("""COMPUTED_VALUE"""),"Trial")</f>
        <v>Trial</v>
      </c>
      <c r="I140" s="265" t="str">
        <f>IFERROR(__xludf.DUMMYFUNCTION("""COMPUTED_VALUE"""),"(Không recheck)")</f>
        <v>(Không recheck)</v>
      </c>
      <c r="J140" s="265" t="str">
        <f>IFERROR(__xludf.DUMMYFUNCTION("""COMPUTED_VALUE"""),"(Không recheck)")</f>
        <v>(Không recheck)</v>
      </c>
    </row>
    <row r="141">
      <c r="A141" s="265" t="str">
        <f>IFERROR(__xludf.DUMMYFUNCTION("""COMPUTED_VALUE"""),"468")</f>
        <v>468</v>
      </c>
      <c r="B141" s="265" t="str">
        <f>IFERROR(__xludf.DUMMYFUNCTION("""COMPUTED_VALUE"""),"Hà Nội")</f>
        <v>Hà Nội</v>
      </c>
      <c r="C141" s="265" t="str">
        <f>IFERROR(__xludf.DUMMYFUNCTION("""COMPUTED_VALUE"""),"Locked")</f>
        <v>Locked</v>
      </c>
      <c r="D141" s="265" t="str">
        <f>IFERROR(__xludf.DUMMYFUNCTION("""COMPUTED_VALUE"""),"Sale chưa cung cấp")</f>
        <v>Sale chưa cung cấp</v>
      </c>
      <c r="E141" s="265" t="str">
        <f>IFERROR(__xludf.DUMMYFUNCTION("""COMPUTED_VALUE"""),"(Không recheck)")</f>
        <v>(Không recheck)</v>
      </c>
      <c r="F141" s="265" t="str">
        <f>IFERROR(__xludf.DUMMYFUNCTION("""COMPUTED_VALUE"""),"Sale chưa cung cấp")</f>
        <v>Sale chưa cung cấp</v>
      </c>
      <c r="G141" s="265" t="str">
        <f>IFERROR(__xludf.DUMMYFUNCTION("""COMPUTED_VALUE"""),"MSG")</f>
        <v>MSG</v>
      </c>
      <c r="H141" s="265" t="str">
        <f>IFERROR(__xludf.DUMMYFUNCTION("""COMPUTED_VALUE"""),"Trial")</f>
        <v>Trial</v>
      </c>
      <c r="I141" s="265" t="str">
        <f>IFERROR(__xludf.DUMMYFUNCTION("""COMPUTED_VALUE"""),"(Không recheck)")</f>
        <v>(Không recheck)</v>
      </c>
      <c r="J141" s="265" t="str">
        <f>IFERROR(__xludf.DUMMYFUNCTION("""COMPUTED_VALUE"""),"(Không recheck)")</f>
        <v>(Không recheck)</v>
      </c>
    </row>
    <row r="142">
      <c r="A142" s="265" t="str">
        <f>IFERROR(__xludf.DUMMYFUNCTION("""COMPUTED_VALUE"""),"467")</f>
        <v>467</v>
      </c>
      <c r="B142" s="265" t="str">
        <f>IFERROR(__xludf.DUMMYFUNCTION("""COMPUTED_VALUE"""),"Sài Gòn")</f>
        <v>Sài Gòn</v>
      </c>
      <c r="C142" s="265" t="str">
        <f>IFERROR(__xludf.DUMMYFUNCTION("""COMPUTED_VALUE"""),"Locked")</f>
        <v>Locked</v>
      </c>
      <c r="D142" s="265" t="str">
        <f>IFERROR(__xludf.DUMMYFUNCTION("""COMPUTED_VALUE"""),"Sale chưa cung cấp")</f>
        <v>Sale chưa cung cấp</v>
      </c>
      <c r="E142" s="265" t="str">
        <f>IFERROR(__xludf.DUMMYFUNCTION("""COMPUTED_VALUE"""),"HoaNTM")</f>
        <v>HoaNTM</v>
      </c>
      <c r="F142" s="265" t="str">
        <f>IFERROR(__xludf.DUMMYFUNCTION("""COMPUTED_VALUE"""),"Sale chưa cung cấp")</f>
        <v>Sale chưa cung cấp</v>
      </c>
      <c r="G142" s="265" t="str">
        <f>IFERROR(__xludf.DUMMYFUNCTION("""COMPUTED_VALUE"""),"Enterprise")</f>
        <v>Enterprise</v>
      </c>
      <c r="H142" s="265" t="str">
        <f>IFERROR(__xludf.DUMMYFUNCTION("""COMPUTED_VALUE"""),"(Chưa recheck)")</f>
        <v>(Chưa recheck)</v>
      </c>
      <c r="I142" s="265" t="str">
        <f>IFERROR(__xludf.DUMMYFUNCTION("""COMPUTED_VALUE"""),"(Chưa recheck)")</f>
        <v>(Chưa recheck)</v>
      </c>
      <c r="J142" s="265" t="str">
        <f>IFERROR(__xludf.DUMMYFUNCTION("""COMPUTED_VALUE"""),"(Chưa recheck)")</f>
        <v>(Chưa recheck)</v>
      </c>
    </row>
    <row r="143">
      <c r="A143" s="265" t="str">
        <f>IFERROR(__xludf.DUMMYFUNCTION("""COMPUTED_VALUE"""),"365")</f>
        <v>365</v>
      </c>
      <c r="B143" s="265" t="str">
        <f>IFERROR(__xludf.DUMMYFUNCTION("""COMPUTED_VALUE"""),"Đà Nẵng")</f>
        <v>Đà Nẵng</v>
      </c>
      <c r="C143" s="265" t="str">
        <f>IFERROR(__xludf.DUMMYFUNCTION("""COMPUTED_VALUE"""),"Locked")</f>
        <v>Locked</v>
      </c>
      <c r="D143" s="265" t="str">
        <f>IFERROR(__xludf.DUMMYFUNCTION("""COMPUTED_VALUE"""),"Sale chưa cung cấp")</f>
        <v>Sale chưa cung cấp</v>
      </c>
      <c r="E143" s="265" t="str">
        <f>IFERROR(__xludf.DUMMYFUNCTION("""COMPUTED_VALUE"""),"HoaNTM")</f>
        <v>HoaNTM</v>
      </c>
      <c r="F143" s="265" t="str">
        <f>IFERROR(__xludf.DUMMYFUNCTION("""COMPUTED_VALUE"""),"Bronze")</f>
        <v>Bronze</v>
      </c>
      <c r="G143" s="265" t="str">
        <f>IFERROR(__xludf.DUMMYFUNCTION("""COMPUTED_VALUE"""),"Enterprise")</f>
        <v>Enterprise</v>
      </c>
      <c r="H143" s="265" t="str">
        <f>IFERROR(__xludf.DUMMYFUNCTION("""COMPUTED_VALUE"""),"(Chưa recheck)")</f>
        <v>(Chưa recheck)</v>
      </c>
      <c r="I143" s="265" t="str">
        <f>IFERROR(__xludf.DUMMYFUNCTION("""COMPUTED_VALUE"""),"(Chưa recheck)")</f>
        <v>(Chưa recheck)</v>
      </c>
      <c r="J143" s="265" t="str">
        <f>IFERROR(__xludf.DUMMYFUNCTION("""COMPUTED_VALUE"""),"(Chưa recheck)")</f>
        <v>(Chưa recheck)</v>
      </c>
    </row>
    <row r="144">
      <c r="A144" s="265" t="str">
        <f>IFERROR(__xludf.DUMMYFUNCTION("""COMPUTED_VALUE"""),"470")</f>
        <v>470</v>
      </c>
      <c r="B144" s="265" t="str">
        <f>IFERROR(__xludf.DUMMYFUNCTION("""COMPUTED_VALUE"""),"Hà Nội")</f>
        <v>Hà Nội</v>
      </c>
      <c r="C144" s="265" t="str">
        <f>IFERROR(__xludf.DUMMYFUNCTION("""COMPUTED_VALUE"""),"Locked")</f>
        <v>Locked</v>
      </c>
      <c r="D144" s="265" t="str">
        <f>IFERROR(__xludf.DUMMYFUNCTION("""COMPUTED_VALUE"""),"Sale chưa cung cấp")</f>
        <v>Sale chưa cung cấp</v>
      </c>
      <c r="E144" s="265" t="str">
        <f>IFERROR(__xludf.DUMMYFUNCTION("""COMPUTED_VALUE"""),"HangNT")</f>
        <v>HangNT</v>
      </c>
      <c r="F144" s="265" t="str">
        <f>IFERROR(__xludf.DUMMYFUNCTION("""COMPUTED_VALUE"""),"Sale chưa cung cấp")</f>
        <v>Sale chưa cung cấp</v>
      </c>
      <c r="G144" s="265" t="str">
        <f>IFERROR(__xludf.DUMMYFUNCTION("""COMPUTED_VALUE"""),"API")</f>
        <v>API</v>
      </c>
      <c r="H144" s="265" t="str">
        <f>IFERROR(__xludf.DUMMYFUNCTION("""COMPUTED_VALUE"""),"Trả sau")</f>
        <v>Trả sau</v>
      </c>
      <c r="I144" s="265" t="str">
        <f>IFERROR(__xludf.DUMMYFUNCTION("""COMPUTED_VALUE"""),"(Chưa recheck)")</f>
        <v>(Chưa recheck)</v>
      </c>
      <c r="J144" s="265" t="str">
        <f>IFERROR(__xludf.DUMMYFUNCTION("""COMPUTED_VALUE"""),"API")</f>
        <v>API</v>
      </c>
    </row>
    <row r="145">
      <c r="A145" s="265" t="str">
        <f>IFERROR(__xludf.DUMMYFUNCTION("""COMPUTED_VALUE"""),"471")</f>
        <v>471</v>
      </c>
      <c r="B145" s="265" t="str">
        <f>IFERROR(__xludf.DUMMYFUNCTION("""COMPUTED_VALUE"""),"Hà Nội")</f>
        <v>Hà Nội</v>
      </c>
      <c r="C145" s="265" t="str">
        <f>IFERROR(__xludf.DUMMYFUNCTION("""COMPUTED_VALUE"""),"Locked")</f>
        <v>Locked</v>
      </c>
      <c r="D145" s="265" t="str">
        <f>IFERROR(__xludf.DUMMYFUNCTION("""COMPUTED_VALUE"""),"Sale chưa cung cấp")</f>
        <v>Sale chưa cung cấp</v>
      </c>
      <c r="E145" s="265" t="str">
        <f>IFERROR(__xludf.DUMMYFUNCTION("""COMPUTED_VALUE"""),"TrangHTT")</f>
        <v>TrangHTT</v>
      </c>
      <c r="F145" s="265" t="str">
        <f>IFERROR(__xludf.DUMMYFUNCTION("""COMPUTED_VALUE"""),"Sale chưa cung cấp")</f>
        <v>Sale chưa cung cấp</v>
      </c>
      <c r="G145" s="265" t="str">
        <f>IFERROR(__xludf.DUMMYFUNCTION("""COMPUTED_VALUE"""),"Enterprise")</f>
        <v>Enterprise</v>
      </c>
      <c r="H145" s="265" t="str">
        <f>IFERROR(__xludf.DUMMYFUNCTION("""COMPUTED_VALUE"""),"Trial")</f>
        <v>Trial</v>
      </c>
      <c r="I145" s="265" t="str">
        <f>IFERROR(__xludf.DUMMYFUNCTION("""COMPUTED_VALUE"""),"(Không recheck)")</f>
        <v>(Không recheck)</v>
      </c>
      <c r="J145" s="265" t="str">
        <f>IFERROR(__xludf.DUMMYFUNCTION("""COMPUTED_VALUE"""),"API")</f>
        <v>API</v>
      </c>
    </row>
    <row r="146">
      <c r="A146" s="265" t="str">
        <f>IFERROR(__xludf.DUMMYFUNCTION("""COMPUTED_VALUE"""),"477")</f>
        <v>477</v>
      </c>
      <c r="B146" s="265" t="str">
        <f>IFERROR(__xludf.DUMMYFUNCTION("""COMPUTED_VALUE"""),"Sài Gòn")</f>
        <v>Sài Gòn</v>
      </c>
      <c r="C146" s="265" t="str">
        <f>IFERROR(__xludf.DUMMYFUNCTION("""COMPUTED_VALUE"""),"Locked")</f>
        <v>Locked</v>
      </c>
      <c r="D146" s="265" t="str">
        <f>IFERROR(__xludf.DUMMYFUNCTION("""COMPUTED_VALUE"""),"Sale chưa cung cấp")</f>
        <v>Sale chưa cung cấp</v>
      </c>
      <c r="E146" s="265" t="str">
        <f>IFERROR(__xludf.DUMMYFUNCTION("""COMPUTED_VALUE"""),"HoaNTM")</f>
        <v>HoaNTM</v>
      </c>
      <c r="F146" s="265" t="str">
        <f>IFERROR(__xludf.DUMMYFUNCTION("""COMPUTED_VALUE"""),"Sale chưa cung cấp")</f>
        <v>Sale chưa cung cấp</v>
      </c>
      <c r="G146" s="265" t="str">
        <f>IFERROR(__xludf.DUMMYFUNCTION("""COMPUTED_VALUE"""),"MSG")</f>
        <v>MSG</v>
      </c>
      <c r="H146" s="265" t="str">
        <f>IFERROR(__xludf.DUMMYFUNCTION("""COMPUTED_VALUE"""),"(Chưa recheck)")</f>
        <v>(Chưa recheck)</v>
      </c>
      <c r="I146" s="265" t="str">
        <f>IFERROR(__xludf.DUMMYFUNCTION("""COMPUTED_VALUE"""),"(Chưa recheck)")</f>
        <v>(Chưa recheck)</v>
      </c>
      <c r="J146" s="265" t="str">
        <f>IFERROR(__xludf.DUMMYFUNCTION("""COMPUTED_VALUE"""),"(Chưa recheck)")</f>
        <v>(Chưa recheck)</v>
      </c>
    </row>
    <row r="147">
      <c r="A147" s="265" t="str">
        <f>IFERROR(__xludf.DUMMYFUNCTION("""COMPUTED_VALUE"""),"472")</f>
        <v>472</v>
      </c>
      <c r="B147" s="265" t="str">
        <f>IFERROR(__xludf.DUMMYFUNCTION("""COMPUTED_VALUE"""),"Sài Gòn")</f>
        <v>Sài Gòn</v>
      </c>
      <c r="C147" s="265" t="str">
        <f>IFERROR(__xludf.DUMMYFUNCTION("""COMPUTED_VALUE"""),"Active")</f>
        <v>Active</v>
      </c>
      <c r="D147" s="265" t="str">
        <f>IFERROR(__xludf.DUMMYFUNCTION("""COMPUTED_VALUE"""),"Sale chưa cung cấp")</f>
        <v>Sale chưa cung cấp</v>
      </c>
      <c r="E147" s="265" t="str">
        <f>IFERROR(__xludf.DUMMYFUNCTION("""COMPUTED_VALUE"""),"TùngLD")</f>
        <v>TùngLD</v>
      </c>
      <c r="F147" s="265" t="str">
        <f>IFERROR(__xludf.DUMMYFUNCTION("""COMPUTED_VALUE"""),"Diamond")</f>
        <v>Diamond</v>
      </c>
      <c r="G147" s="265" t="str">
        <f>IFERROR(__xludf.DUMMYFUNCTION("""COMPUTED_VALUE"""),"Enterprise")</f>
        <v>Enterprise</v>
      </c>
      <c r="H147" s="265" t="str">
        <f>IFERROR(__xludf.DUMMYFUNCTION("""COMPUTED_VALUE"""),"Trả sau")</f>
        <v>Trả sau</v>
      </c>
      <c r="I147" s="265" t="str">
        <f>IFERROR(__xludf.DUMMYFUNCTION("""COMPUTED_VALUE"""),"API &amp; Portal")</f>
        <v>API &amp; Portal</v>
      </c>
      <c r="J147" s="265" t="str">
        <f>IFERROR(__xludf.DUMMYFUNCTION("""COMPUTED_VALUE"""),"File Excel")</f>
        <v>File Excel</v>
      </c>
    </row>
    <row r="148">
      <c r="A148" s="265" t="str">
        <f>IFERROR(__xludf.DUMMYFUNCTION("""COMPUTED_VALUE"""),"472")</f>
        <v>472</v>
      </c>
      <c r="B148" s="265" t="str">
        <f>IFERROR(__xludf.DUMMYFUNCTION("""COMPUTED_VALUE"""),"Sài Gòn")</f>
        <v>Sài Gòn</v>
      </c>
      <c r="C148" s="265" t="str">
        <f>IFERROR(__xludf.DUMMYFUNCTION("""COMPUTED_VALUE"""),"Active")</f>
        <v>Active</v>
      </c>
      <c r="D148" s="265" t="str">
        <f>IFERROR(__xludf.DUMMYFUNCTION("""COMPUTED_VALUE"""),"Sale chưa cung cấp")</f>
        <v>Sale chưa cung cấp</v>
      </c>
      <c r="E148" s="265" t="str">
        <f>IFERROR(__xludf.DUMMYFUNCTION("""COMPUTED_VALUE"""),"TùngLD")</f>
        <v>TùngLD</v>
      </c>
      <c r="F148" s="265" t="str">
        <f>IFERROR(__xludf.DUMMYFUNCTION("""COMPUTED_VALUE"""),"Diamond")</f>
        <v>Diamond</v>
      </c>
      <c r="G148" s="265" t="str">
        <f>IFERROR(__xludf.DUMMYFUNCTION("""COMPUTED_VALUE"""),"Enterprise")</f>
        <v>Enterprise</v>
      </c>
      <c r="H148" s="265" t="str">
        <f>IFERROR(__xludf.DUMMYFUNCTION("""COMPUTED_VALUE"""),"Trả sau")</f>
        <v>Trả sau</v>
      </c>
      <c r="I148" s="265" t="str">
        <f>IFERROR(__xludf.DUMMYFUNCTION("""COMPUTED_VALUE"""),"API &amp; Portal")</f>
        <v>API &amp; Portal</v>
      </c>
      <c r="J148" s="265" t="str">
        <f>IFERROR(__xludf.DUMMYFUNCTION("""COMPUTED_VALUE"""),"API")</f>
        <v>API</v>
      </c>
    </row>
    <row r="149">
      <c r="A149" s="265" t="str">
        <f>IFERROR(__xludf.DUMMYFUNCTION("""COMPUTED_VALUE"""),"473")</f>
        <v>473</v>
      </c>
      <c r="B149" s="265" t="str">
        <f>IFERROR(__xludf.DUMMYFUNCTION("""COMPUTED_VALUE"""),"Sài Gòn")</f>
        <v>Sài Gòn</v>
      </c>
      <c r="C149" s="265" t="str">
        <f>IFERROR(__xludf.DUMMYFUNCTION("""COMPUTED_VALUE"""),"Locked")</f>
        <v>Locked</v>
      </c>
      <c r="D149" s="265" t="str">
        <f>IFERROR(__xludf.DUMMYFUNCTION("""COMPUTED_VALUE"""),"Sale chưa cung cấp")</f>
        <v>Sale chưa cung cấp</v>
      </c>
      <c r="E149" s="265" t="str">
        <f>IFERROR(__xludf.DUMMYFUNCTION("""COMPUTED_VALUE"""),"HoaNTM")</f>
        <v>HoaNTM</v>
      </c>
      <c r="F149" s="265" t="str">
        <f>IFERROR(__xludf.DUMMYFUNCTION("""COMPUTED_VALUE"""),"Sale chưa cung cấp")</f>
        <v>Sale chưa cung cấp</v>
      </c>
      <c r="G149" s="265" t="str">
        <f>IFERROR(__xludf.DUMMYFUNCTION("""COMPUTED_VALUE"""),"Enterprise")</f>
        <v>Enterprise</v>
      </c>
      <c r="H149" s="265" t="str">
        <f>IFERROR(__xludf.DUMMYFUNCTION("""COMPUTED_VALUE"""),"Trial")</f>
        <v>Trial</v>
      </c>
      <c r="I149" s="265" t="str">
        <f>IFERROR(__xludf.DUMMYFUNCTION("""COMPUTED_VALUE"""),"(Không recheck)")</f>
        <v>(Không recheck)</v>
      </c>
      <c r="J149" s="265" t="str">
        <f>IFERROR(__xludf.DUMMYFUNCTION("""COMPUTED_VALUE"""),"(Không recheck)")</f>
        <v>(Không recheck)</v>
      </c>
    </row>
    <row r="150">
      <c r="A150" s="265" t="str">
        <f>IFERROR(__xludf.DUMMYFUNCTION("""COMPUTED_VALUE"""),"474")</f>
        <v>474</v>
      </c>
      <c r="B150" s="265" t="str">
        <f>IFERROR(__xludf.DUMMYFUNCTION("""COMPUTED_VALUE"""),"Hà Nội")</f>
        <v>Hà Nội</v>
      </c>
      <c r="C150" s="265" t="str">
        <f>IFERROR(__xludf.DUMMYFUNCTION("""COMPUTED_VALUE"""),"Active")</f>
        <v>Active</v>
      </c>
      <c r="D150" s="265" t="str">
        <f>IFERROR(__xludf.DUMMYFUNCTION("""COMPUTED_VALUE"""),"Sale chưa cung cấp")</f>
        <v>Sale chưa cung cấp</v>
      </c>
      <c r="E150" s="265" t="str">
        <f>IFERROR(__xludf.DUMMYFUNCTION("""COMPUTED_VALUE"""),"TúPHN")</f>
        <v>TúPHN</v>
      </c>
      <c r="F150" s="265" t="str">
        <f>IFERROR(__xludf.DUMMYFUNCTION("""COMPUTED_VALUE"""),"Gold")</f>
        <v>Gold</v>
      </c>
      <c r="G150" s="265" t="str">
        <f>IFERROR(__xludf.DUMMYFUNCTION("""COMPUTED_VALUE"""),"Starter")</f>
        <v>Starter</v>
      </c>
      <c r="H150" s="265" t="str">
        <f>IFERROR(__xludf.DUMMYFUNCTION("""COMPUTED_VALUE"""),"Trả sau")</f>
        <v>Trả sau</v>
      </c>
      <c r="I150" s="265" t="str">
        <f>IFERROR(__xludf.DUMMYFUNCTION("""COMPUTED_VALUE"""),"API")</f>
        <v>API</v>
      </c>
      <c r="J150" s="265" t="str">
        <f>IFERROR(__xludf.DUMMYFUNCTION("""COMPUTED_VALUE"""),"API")</f>
        <v>API</v>
      </c>
    </row>
    <row r="151">
      <c r="A151" s="265" t="str">
        <f>IFERROR(__xludf.DUMMYFUNCTION("""COMPUTED_VALUE"""),"476")</f>
        <v>476</v>
      </c>
      <c r="B151" s="265" t="str">
        <f>IFERROR(__xludf.DUMMYFUNCTION("""COMPUTED_VALUE"""),"Sài Gòn")</f>
        <v>Sài Gòn</v>
      </c>
      <c r="C151" s="265" t="str">
        <f>IFERROR(__xludf.DUMMYFUNCTION("""COMPUTED_VALUE"""),"Locked")</f>
        <v>Locked</v>
      </c>
      <c r="D151" s="265" t="str">
        <f>IFERROR(__xludf.DUMMYFUNCTION("""COMPUTED_VALUE"""),"Sale chưa cung cấp")</f>
        <v>Sale chưa cung cấp</v>
      </c>
      <c r="E151" s="265" t="str">
        <f>IFERROR(__xludf.DUMMYFUNCTION("""COMPUTED_VALUE"""),"HoaNTM")</f>
        <v>HoaNTM</v>
      </c>
      <c r="F151" s="265" t="str">
        <f>IFERROR(__xludf.DUMMYFUNCTION("""COMPUTED_VALUE"""),"Sale chưa cung cấp")</f>
        <v>Sale chưa cung cấp</v>
      </c>
      <c r="G151" s="265" t="str">
        <f>IFERROR(__xludf.DUMMYFUNCTION("""COMPUTED_VALUE"""),"MSG")</f>
        <v>MSG</v>
      </c>
      <c r="H151" s="265" t="str">
        <f>IFERROR(__xludf.DUMMYFUNCTION("""COMPUTED_VALUE"""),"(Chưa recheck)")</f>
        <v>(Chưa recheck)</v>
      </c>
      <c r="I151" s="265" t="str">
        <f>IFERROR(__xludf.DUMMYFUNCTION("""COMPUTED_VALUE"""),"(Chưa recheck)")</f>
        <v>(Chưa recheck)</v>
      </c>
      <c r="J151" s="265" t="str">
        <f>IFERROR(__xludf.DUMMYFUNCTION("""COMPUTED_VALUE"""),"(Chưa recheck)")</f>
        <v>(Chưa recheck)</v>
      </c>
    </row>
    <row r="152">
      <c r="A152" s="265" t="str">
        <f>IFERROR(__xludf.DUMMYFUNCTION("""COMPUTED_VALUE"""),"475")</f>
        <v>475</v>
      </c>
      <c r="B152" s="265" t="str">
        <f>IFERROR(__xludf.DUMMYFUNCTION("""COMPUTED_VALUE"""),"Sài Gòn")</f>
        <v>Sài Gòn</v>
      </c>
      <c r="C152" s="265" t="str">
        <f>IFERROR(__xludf.DUMMYFUNCTION("""COMPUTED_VALUE"""),"Locked")</f>
        <v>Locked</v>
      </c>
      <c r="D152" s="265" t="str">
        <f>IFERROR(__xludf.DUMMYFUNCTION("""COMPUTED_VALUE"""),"Sale chưa cung cấp")</f>
        <v>Sale chưa cung cấp</v>
      </c>
      <c r="E152" s="265" t="str">
        <f>IFERROR(__xludf.DUMMYFUNCTION("""COMPUTED_VALUE"""),"HoaNTM")</f>
        <v>HoaNTM</v>
      </c>
      <c r="F152" s="265" t="str">
        <f>IFERROR(__xludf.DUMMYFUNCTION("""COMPUTED_VALUE"""),"Sale chưa cung cấp")</f>
        <v>Sale chưa cung cấp</v>
      </c>
      <c r="G152" s="265" t="str">
        <f>IFERROR(__xludf.DUMMYFUNCTION("""COMPUTED_VALUE"""),"Enterprise")</f>
        <v>Enterprise</v>
      </c>
      <c r="H152" s="265" t="str">
        <f>IFERROR(__xludf.DUMMYFUNCTION("""COMPUTED_VALUE"""),"Trial")</f>
        <v>Trial</v>
      </c>
      <c r="I152" s="265" t="str">
        <f>IFERROR(__xludf.DUMMYFUNCTION("""COMPUTED_VALUE"""),"(Không recheck)")</f>
        <v>(Không recheck)</v>
      </c>
      <c r="J152" s="265" t="str">
        <f>IFERROR(__xludf.DUMMYFUNCTION("""COMPUTED_VALUE"""),"(Không recheck)")</f>
        <v>(Không recheck)</v>
      </c>
    </row>
    <row r="153">
      <c r="A153" s="265" t="str">
        <f>IFERROR(__xludf.DUMMYFUNCTION("""COMPUTED_VALUE"""),"479")</f>
        <v>479</v>
      </c>
      <c r="B153" s="265" t="str">
        <f>IFERROR(__xludf.DUMMYFUNCTION("""COMPUTED_VALUE"""),"Sài Gòn")</f>
        <v>Sài Gòn</v>
      </c>
      <c r="C153" s="265" t="str">
        <f>IFERROR(__xludf.DUMMYFUNCTION("""COMPUTED_VALUE"""),"Locked")</f>
        <v>Locked</v>
      </c>
      <c r="D153" s="265" t="str">
        <f>IFERROR(__xludf.DUMMYFUNCTION("""COMPUTED_VALUE"""),"Sale chưa cung cấp")</f>
        <v>Sale chưa cung cấp</v>
      </c>
      <c r="E153" s="265" t="str">
        <f>IFERROR(__xludf.DUMMYFUNCTION("""COMPUTED_VALUE"""),"HoaNTM")</f>
        <v>HoaNTM</v>
      </c>
      <c r="F153" s="265" t="str">
        <f>IFERROR(__xludf.DUMMYFUNCTION("""COMPUTED_VALUE"""),"Sale chưa cung cấp")</f>
        <v>Sale chưa cung cấp</v>
      </c>
      <c r="G153" s="265" t="str">
        <f>IFERROR(__xludf.DUMMYFUNCTION("""COMPUTED_VALUE"""),"Enterprise")</f>
        <v>Enterprise</v>
      </c>
      <c r="H153" s="265" t="str">
        <f>IFERROR(__xludf.DUMMYFUNCTION("""COMPUTED_VALUE"""),"(Chưa recheck)")</f>
        <v>(Chưa recheck)</v>
      </c>
      <c r="I153" s="265" t="str">
        <f>IFERROR(__xludf.DUMMYFUNCTION("""COMPUTED_VALUE"""),"(Chưa recheck)")</f>
        <v>(Chưa recheck)</v>
      </c>
      <c r="J153" s="265" t="str">
        <f>IFERROR(__xludf.DUMMYFUNCTION("""COMPUTED_VALUE"""),"(Chưa recheck)")</f>
        <v>(Chưa recheck)</v>
      </c>
    </row>
    <row r="154">
      <c r="A154" s="265" t="str">
        <f>IFERROR(__xludf.DUMMYFUNCTION("""COMPUTED_VALUE"""),"482")</f>
        <v>482</v>
      </c>
      <c r="B154" s="265" t="str">
        <f>IFERROR(__xludf.DUMMYFUNCTION("""COMPUTED_VALUE"""),"Hà Nội")</f>
        <v>Hà Nội</v>
      </c>
      <c r="C154" s="265" t="str">
        <f>IFERROR(__xludf.DUMMYFUNCTION("""COMPUTED_VALUE"""),"Locked")</f>
        <v>Locked</v>
      </c>
      <c r="D154" s="265" t="str">
        <f>IFERROR(__xludf.DUMMYFUNCTION("""COMPUTED_VALUE"""),"Sale chưa cung cấp")</f>
        <v>Sale chưa cung cấp</v>
      </c>
      <c r="E154" s="265" t="str">
        <f>IFERROR(__xludf.DUMMYFUNCTION("""COMPUTED_VALUE"""),"HangNT")</f>
        <v>HangNT</v>
      </c>
      <c r="F154" s="265" t="str">
        <f>IFERROR(__xludf.DUMMYFUNCTION("""COMPUTED_VALUE"""),"Bronze")</f>
        <v>Bronze</v>
      </c>
      <c r="G154" s="265" t="str">
        <f>IFERROR(__xludf.DUMMYFUNCTION("""COMPUTED_VALUE"""),"Enterprise")</f>
        <v>Enterprise</v>
      </c>
      <c r="H154" s="265" t="str">
        <f>IFERROR(__xludf.DUMMYFUNCTION("""COMPUTED_VALUE"""),"(Chưa recheck)")</f>
        <v>(Chưa recheck)</v>
      </c>
      <c r="I154" s="265" t="str">
        <f>IFERROR(__xludf.DUMMYFUNCTION("""COMPUTED_VALUE"""),"(Chưa recheck)")</f>
        <v>(Chưa recheck)</v>
      </c>
      <c r="J154" s="265" t="str">
        <f>IFERROR(__xludf.DUMMYFUNCTION("""COMPUTED_VALUE"""),"Kiotviet")</f>
        <v>Kiotviet</v>
      </c>
    </row>
    <row r="155">
      <c r="A155" s="265" t="str">
        <f>IFERROR(__xludf.DUMMYFUNCTION("""COMPUTED_VALUE"""),"480")</f>
        <v>480</v>
      </c>
      <c r="B155" s="265" t="str">
        <f>IFERROR(__xludf.DUMMYFUNCTION("""COMPUTED_VALUE"""),"Sài Gòn")</f>
        <v>Sài Gòn</v>
      </c>
      <c r="C155" s="265" t="str">
        <f>IFERROR(__xludf.DUMMYFUNCTION("""COMPUTED_VALUE"""),"Locked")</f>
        <v>Locked</v>
      </c>
      <c r="D155" s="265" t="str">
        <f>IFERROR(__xludf.DUMMYFUNCTION("""COMPUTED_VALUE"""),"Sale chưa cung cấp")</f>
        <v>Sale chưa cung cấp</v>
      </c>
      <c r="E155" s="265" t="str">
        <f>IFERROR(__xludf.DUMMYFUNCTION("""COMPUTED_VALUE"""),"HoaNTM")</f>
        <v>HoaNTM</v>
      </c>
      <c r="F155" s="265" t="str">
        <f>IFERROR(__xludf.DUMMYFUNCTION("""COMPUTED_VALUE"""),"Sale chưa cung cấp")</f>
        <v>Sale chưa cung cấp</v>
      </c>
      <c r="G155" s="265" t="str">
        <f>IFERROR(__xludf.DUMMYFUNCTION("""COMPUTED_VALUE"""),"MSG")</f>
        <v>MSG</v>
      </c>
      <c r="H155" s="265" t="str">
        <f>IFERROR(__xludf.DUMMYFUNCTION("""COMPUTED_VALUE"""),"(Chưa recheck)")</f>
        <v>(Chưa recheck)</v>
      </c>
      <c r="I155" s="265" t="str">
        <f>IFERROR(__xludf.DUMMYFUNCTION("""COMPUTED_VALUE"""),"(Chưa recheck)")</f>
        <v>(Chưa recheck)</v>
      </c>
      <c r="J155" s="265" t="str">
        <f>IFERROR(__xludf.DUMMYFUNCTION("""COMPUTED_VALUE"""),"(Chưa recheck)")</f>
        <v>(Chưa recheck)</v>
      </c>
    </row>
    <row r="156">
      <c r="A156" s="265" t="str">
        <f>IFERROR(__xludf.DUMMYFUNCTION("""COMPUTED_VALUE"""),"481")</f>
        <v>481</v>
      </c>
      <c r="B156" s="265" t="str">
        <f>IFERROR(__xludf.DUMMYFUNCTION("""COMPUTED_VALUE"""),"Sài Gòn")</f>
        <v>Sài Gòn</v>
      </c>
      <c r="C156" s="265" t="str">
        <f>IFERROR(__xludf.DUMMYFUNCTION("""COMPUTED_VALUE"""),"Locked")</f>
        <v>Locked</v>
      </c>
      <c r="D156" s="265" t="str">
        <f>IFERROR(__xludf.DUMMYFUNCTION("""COMPUTED_VALUE"""),"Sale chưa cung cấp")</f>
        <v>Sale chưa cung cấp</v>
      </c>
      <c r="E156" s="265" t="str">
        <f>IFERROR(__xludf.DUMMYFUNCTION("""COMPUTED_VALUE"""),"HoaNTM")</f>
        <v>HoaNTM</v>
      </c>
      <c r="F156" s="265" t="str">
        <f>IFERROR(__xludf.DUMMYFUNCTION("""COMPUTED_VALUE"""),"Sale chưa cung cấp")</f>
        <v>Sale chưa cung cấp</v>
      </c>
      <c r="G156" s="265" t="str">
        <f>IFERROR(__xludf.DUMMYFUNCTION("""COMPUTED_VALUE"""),"MSG")</f>
        <v>MSG</v>
      </c>
      <c r="H156" s="265" t="str">
        <f>IFERROR(__xludf.DUMMYFUNCTION("""COMPUTED_VALUE"""),"(Chưa recheck)")</f>
        <v>(Chưa recheck)</v>
      </c>
      <c r="I156" s="265" t="str">
        <f>IFERROR(__xludf.DUMMYFUNCTION("""COMPUTED_VALUE"""),"(Chưa recheck)")</f>
        <v>(Chưa recheck)</v>
      </c>
      <c r="J156" s="265" t="str">
        <f>IFERROR(__xludf.DUMMYFUNCTION("""COMPUTED_VALUE"""),"(Chưa recheck)")</f>
        <v>(Chưa recheck)</v>
      </c>
    </row>
    <row r="157">
      <c r="A157" s="265" t="str">
        <f>IFERROR(__xludf.DUMMYFUNCTION("""COMPUTED_VALUE"""),"483")</f>
        <v>483</v>
      </c>
      <c r="B157" s="265" t="str">
        <f>IFERROR(__xludf.DUMMYFUNCTION("""COMPUTED_VALUE"""),"Hà Nội")</f>
        <v>Hà Nội</v>
      </c>
      <c r="C157" s="265" t="str">
        <f>IFERROR(__xludf.DUMMYFUNCTION("""COMPUTED_VALUE"""),"Locked")</f>
        <v>Locked</v>
      </c>
      <c r="D157" s="265" t="str">
        <f>IFERROR(__xludf.DUMMYFUNCTION("""COMPUTED_VALUE"""),"Sale chưa cung cấp")</f>
        <v>Sale chưa cung cấp</v>
      </c>
      <c r="E157" s="265" t="str">
        <f>IFERROR(__xludf.DUMMYFUNCTION("""COMPUTED_VALUE"""),"TrangHTT")</f>
        <v>TrangHTT</v>
      </c>
      <c r="F157" s="265" t="str">
        <f>IFERROR(__xludf.DUMMYFUNCTION("""COMPUTED_VALUE"""),"Sale chưa cung cấp")</f>
        <v>Sale chưa cung cấp</v>
      </c>
      <c r="G157" s="265" t="str">
        <f>IFERROR(__xludf.DUMMYFUNCTION("""COMPUTED_VALUE"""),"Enterprise")</f>
        <v>Enterprise</v>
      </c>
      <c r="H157" s="265" t="str">
        <f>IFERROR(__xludf.DUMMYFUNCTION("""COMPUTED_VALUE"""),"Trial")</f>
        <v>Trial</v>
      </c>
      <c r="I157" s="265" t="str">
        <f>IFERROR(__xludf.DUMMYFUNCTION("""COMPUTED_VALUE"""),"(Không recheck)")</f>
        <v>(Không recheck)</v>
      </c>
      <c r="J157" s="265" t="str">
        <f>IFERROR(__xludf.DUMMYFUNCTION("""COMPUTED_VALUE"""),"API")</f>
        <v>API</v>
      </c>
    </row>
    <row r="158">
      <c r="A158" s="265" t="str">
        <f>IFERROR(__xludf.DUMMYFUNCTION("""COMPUTED_VALUE"""),"484")</f>
        <v>484</v>
      </c>
      <c r="B158" s="265" t="str">
        <f>IFERROR(__xludf.DUMMYFUNCTION("""COMPUTED_VALUE"""),"Hà Nội")</f>
        <v>Hà Nội</v>
      </c>
      <c r="C158" s="265" t="str">
        <f>IFERROR(__xludf.DUMMYFUNCTION("""COMPUTED_VALUE"""),"Locked")</f>
        <v>Locked</v>
      </c>
      <c r="D158" s="265" t="str">
        <f>IFERROR(__xludf.DUMMYFUNCTION("""COMPUTED_VALUE"""),"Sale chưa cung cấp")</f>
        <v>Sale chưa cung cấp</v>
      </c>
      <c r="E158" s="265" t="str">
        <f>IFERROR(__xludf.DUMMYFUNCTION("""COMPUTED_VALUE"""),"NamDT")</f>
        <v>NamDT</v>
      </c>
      <c r="F158" s="265" t="str">
        <f>IFERROR(__xludf.DUMMYFUNCTION("""COMPUTED_VALUE"""),"Sale chưa cung cấp")</f>
        <v>Sale chưa cung cấp</v>
      </c>
      <c r="G158" s="265" t="str">
        <f>IFERROR(__xludf.DUMMYFUNCTION("""COMPUTED_VALUE"""),"API")</f>
        <v>API</v>
      </c>
      <c r="H158" s="265" t="str">
        <f>IFERROR(__xludf.DUMMYFUNCTION("""COMPUTED_VALUE"""),"(Chưa recheck)")</f>
        <v>(Chưa recheck)</v>
      </c>
      <c r="I158" s="265" t="str">
        <f>IFERROR(__xludf.DUMMYFUNCTION("""COMPUTED_VALUE"""),"(Chưa recheck)")</f>
        <v>(Chưa recheck)</v>
      </c>
      <c r="J158" s="265" t="str">
        <f>IFERROR(__xludf.DUMMYFUNCTION("""COMPUTED_VALUE"""),"API")</f>
        <v>API</v>
      </c>
    </row>
    <row r="159">
      <c r="A159" s="265" t="str">
        <f>IFERROR(__xludf.DUMMYFUNCTION("""COMPUTED_VALUE"""),"486")</f>
        <v>486</v>
      </c>
      <c r="B159" s="265" t="str">
        <f>IFERROR(__xludf.DUMMYFUNCTION("""COMPUTED_VALUE"""),"Hà Nội")</f>
        <v>Hà Nội</v>
      </c>
      <c r="C159" s="265" t="str">
        <f>IFERROR(__xludf.DUMMYFUNCTION("""COMPUTED_VALUE"""),"Active")</f>
        <v>Active</v>
      </c>
      <c r="D159" s="265" t="str">
        <f>IFERROR(__xludf.DUMMYFUNCTION("""COMPUTED_VALUE"""),"Công nghệ &amp; Phần mềm")</f>
        <v>Công nghệ &amp; Phần mềm</v>
      </c>
      <c r="E159" s="265" t="str">
        <f>IFERROR(__xludf.DUMMYFUNCTION("""COMPUTED_VALUE"""),"TúPHN")</f>
        <v>TúPHN</v>
      </c>
      <c r="F159" s="265" t="str">
        <f>IFERROR(__xludf.DUMMYFUNCTION("""COMPUTED_VALUE"""),"Gold")</f>
        <v>Gold</v>
      </c>
      <c r="G159" s="265" t="str">
        <f>IFERROR(__xludf.DUMMYFUNCTION("""COMPUTED_VALUE"""),"Starter")</f>
        <v>Starter</v>
      </c>
      <c r="H159" s="265" t="str">
        <f>IFERROR(__xludf.DUMMYFUNCTION("""COMPUTED_VALUE"""),"Trả trước")</f>
        <v>Trả trước</v>
      </c>
      <c r="I159" s="265" t="str">
        <f>IFERROR(__xludf.DUMMYFUNCTION("""COMPUTED_VALUE"""),"API")</f>
        <v>API</v>
      </c>
      <c r="J159" s="265" t="str">
        <f>IFERROR(__xludf.DUMMYFUNCTION("""COMPUTED_VALUE"""),"API")</f>
        <v>API</v>
      </c>
    </row>
    <row r="160">
      <c r="A160" s="265" t="str">
        <f>IFERROR(__xludf.DUMMYFUNCTION("""COMPUTED_VALUE"""),"485")</f>
        <v>485</v>
      </c>
      <c r="B160" s="265" t="str">
        <f>IFERROR(__xludf.DUMMYFUNCTION("""COMPUTED_VALUE"""),"Hà Nội")</f>
        <v>Hà Nội</v>
      </c>
      <c r="C160" s="265" t="str">
        <f>IFERROR(__xludf.DUMMYFUNCTION("""COMPUTED_VALUE"""),"Locked")</f>
        <v>Locked</v>
      </c>
      <c r="D160" s="265" t="str">
        <f>IFERROR(__xludf.DUMMYFUNCTION("""COMPUTED_VALUE"""),"Sale chưa cung cấp")</f>
        <v>Sale chưa cung cấp</v>
      </c>
      <c r="E160" s="265" t="str">
        <f>IFERROR(__xludf.DUMMYFUNCTION("""COMPUTED_VALUE"""),"PhươngDTB")</f>
        <v>PhươngDTB</v>
      </c>
      <c r="F160" s="265" t="str">
        <f>IFERROR(__xludf.DUMMYFUNCTION("""COMPUTED_VALUE"""),"Sale chưa cung cấp")</f>
        <v>Sale chưa cung cấp</v>
      </c>
      <c r="G160" s="265" t="str">
        <f>IFERROR(__xludf.DUMMYFUNCTION("""COMPUTED_VALUE"""),"Enterprise")</f>
        <v>Enterprise</v>
      </c>
      <c r="H160" s="265" t="str">
        <f>IFERROR(__xludf.DUMMYFUNCTION("""COMPUTED_VALUE"""),"Trial")</f>
        <v>Trial</v>
      </c>
      <c r="I160" s="265" t="str">
        <f>IFERROR(__xludf.DUMMYFUNCTION("""COMPUTED_VALUE"""),"(Không recheck)")</f>
        <v>(Không recheck)</v>
      </c>
      <c r="J160" s="265" t="str">
        <f>IFERROR(__xludf.DUMMYFUNCTION("""COMPUTED_VALUE"""),"(Không recheck)")</f>
        <v>(Không recheck)</v>
      </c>
    </row>
    <row r="161">
      <c r="A161" s="265" t="str">
        <f>IFERROR(__xludf.DUMMYFUNCTION("""COMPUTED_VALUE"""),"487")</f>
        <v>487</v>
      </c>
      <c r="B161" s="265" t="str">
        <f>IFERROR(__xludf.DUMMYFUNCTION("""COMPUTED_VALUE"""),"Hà Nội")</f>
        <v>Hà Nội</v>
      </c>
      <c r="C161" s="265" t="str">
        <f>IFERROR(__xludf.DUMMYFUNCTION("""COMPUTED_VALUE"""),"Locked")</f>
        <v>Locked</v>
      </c>
      <c r="D161" s="265" t="str">
        <f>IFERROR(__xludf.DUMMYFUNCTION("""COMPUTED_VALUE"""),"Sale chưa cung cấp")</f>
        <v>Sale chưa cung cấp</v>
      </c>
      <c r="E161" s="265" t="str">
        <f>IFERROR(__xludf.DUMMYFUNCTION("""COMPUTED_VALUE"""),"NamDT")</f>
        <v>NamDT</v>
      </c>
      <c r="F161" s="265" t="str">
        <f>IFERROR(__xludf.DUMMYFUNCTION("""COMPUTED_VALUE"""),"Silver")</f>
        <v>Silver</v>
      </c>
      <c r="G161" s="265" t="str">
        <f>IFERROR(__xludf.DUMMYFUNCTION("""COMPUTED_VALUE"""),"Enterprise")</f>
        <v>Enterprise</v>
      </c>
      <c r="H161" s="265" t="str">
        <f>IFERROR(__xludf.DUMMYFUNCTION("""COMPUTED_VALUE"""),"(Chưa recheck)")</f>
        <v>(Chưa recheck)</v>
      </c>
      <c r="I161" s="265" t="str">
        <f>IFERROR(__xludf.DUMMYFUNCTION("""COMPUTED_VALUE"""),"(Chưa recheck)")</f>
        <v>(Chưa recheck)</v>
      </c>
      <c r="J161" s="265" t="str">
        <f>IFERROR(__xludf.DUMMYFUNCTION("""COMPUTED_VALUE"""),"(Chưa recheck)")</f>
        <v>(Chưa recheck)</v>
      </c>
    </row>
    <row r="162">
      <c r="A162" s="265" t="str">
        <f>IFERROR(__xludf.DUMMYFUNCTION("""COMPUTED_VALUE"""),"488")</f>
        <v>488</v>
      </c>
      <c r="B162" s="265" t="str">
        <f>IFERROR(__xludf.DUMMYFUNCTION("""COMPUTED_VALUE"""),"Sài Gòn")</f>
        <v>Sài Gòn</v>
      </c>
      <c r="C162" s="265" t="str">
        <f>IFERROR(__xludf.DUMMYFUNCTION("""COMPUTED_VALUE"""),"Locked")</f>
        <v>Locked</v>
      </c>
      <c r="D162" s="265" t="str">
        <f>IFERROR(__xludf.DUMMYFUNCTION("""COMPUTED_VALUE"""),"Sale chưa cung cấp")</f>
        <v>Sale chưa cung cấp</v>
      </c>
      <c r="E162" s="265" t="str">
        <f>IFERROR(__xludf.DUMMYFUNCTION("""COMPUTED_VALUE"""),"HoaNTM")</f>
        <v>HoaNTM</v>
      </c>
      <c r="F162" s="265" t="str">
        <f>IFERROR(__xludf.DUMMYFUNCTION("""COMPUTED_VALUE"""),"Sale chưa cung cấp")</f>
        <v>Sale chưa cung cấp</v>
      </c>
      <c r="G162" s="265" t="str">
        <f>IFERROR(__xludf.DUMMYFUNCTION("""COMPUTED_VALUE"""),"MSG")</f>
        <v>MSG</v>
      </c>
      <c r="H162" s="265" t="str">
        <f>IFERROR(__xludf.DUMMYFUNCTION("""COMPUTED_VALUE"""),"Trial")</f>
        <v>Trial</v>
      </c>
      <c r="I162" s="265" t="str">
        <f>IFERROR(__xludf.DUMMYFUNCTION("""COMPUTED_VALUE"""),"(Không recheck)")</f>
        <v>(Không recheck)</v>
      </c>
      <c r="J162" s="265" t="str">
        <f>IFERROR(__xludf.DUMMYFUNCTION("""COMPUTED_VALUE"""),"(Không recheck)")</f>
        <v>(Không recheck)</v>
      </c>
    </row>
    <row r="163">
      <c r="A163" s="265" t="str">
        <f>IFERROR(__xludf.DUMMYFUNCTION("""COMPUTED_VALUE"""),"489")</f>
        <v>489</v>
      </c>
      <c r="B163" s="265" t="str">
        <f>IFERROR(__xludf.DUMMYFUNCTION("""COMPUTED_VALUE"""),"Sài Gòn")</f>
        <v>Sài Gòn</v>
      </c>
      <c r="C163" s="265" t="str">
        <f>IFERROR(__xludf.DUMMYFUNCTION("""COMPUTED_VALUE"""),"Locked")</f>
        <v>Locked</v>
      </c>
      <c r="D163" s="265" t="str">
        <f>IFERROR(__xludf.DUMMYFUNCTION("""COMPUTED_VALUE"""),"Sale chưa cung cấp")</f>
        <v>Sale chưa cung cấp</v>
      </c>
      <c r="E163" s="265" t="str">
        <f>IFERROR(__xludf.DUMMYFUNCTION("""COMPUTED_VALUE"""),"HoaNTM")</f>
        <v>HoaNTM</v>
      </c>
      <c r="F163" s="265" t="str">
        <f>IFERROR(__xludf.DUMMYFUNCTION("""COMPUTED_VALUE"""),"Sale chưa cung cấp")</f>
        <v>Sale chưa cung cấp</v>
      </c>
      <c r="G163" s="265" t="str">
        <f>IFERROR(__xludf.DUMMYFUNCTION("""COMPUTED_VALUE"""),"Enterprise")</f>
        <v>Enterprise</v>
      </c>
      <c r="H163" s="265" t="str">
        <f>IFERROR(__xludf.DUMMYFUNCTION("""COMPUTED_VALUE"""),"Trial")</f>
        <v>Trial</v>
      </c>
      <c r="I163" s="265" t="str">
        <f>IFERROR(__xludf.DUMMYFUNCTION("""COMPUTED_VALUE"""),"(Không recheck)")</f>
        <v>(Không recheck)</v>
      </c>
      <c r="J163" s="265" t="str">
        <f>IFERROR(__xludf.DUMMYFUNCTION("""COMPUTED_VALUE"""),"(Không recheck)")</f>
        <v>(Không recheck)</v>
      </c>
    </row>
    <row r="164">
      <c r="A164" s="265" t="str">
        <f>IFERROR(__xludf.DUMMYFUNCTION("""COMPUTED_VALUE"""),"490")</f>
        <v>490</v>
      </c>
      <c r="B164" s="265" t="str">
        <f>IFERROR(__xludf.DUMMYFUNCTION("""COMPUTED_VALUE"""),"Hà Nội")</f>
        <v>Hà Nội</v>
      </c>
      <c r="C164" s="265" t="str">
        <f>IFERROR(__xludf.DUMMYFUNCTION("""COMPUTED_VALUE"""),"Locked")</f>
        <v>Locked</v>
      </c>
      <c r="D164" s="265" t="str">
        <f>IFERROR(__xludf.DUMMYFUNCTION("""COMPUTED_VALUE"""),"Sale chưa cung cấp")</f>
        <v>Sale chưa cung cấp</v>
      </c>
      <c r="E164" s="265" t="str">
        <f>IFERROR(__xludf.DUMMYFUNCTION("""COMPUTED_VALUE"""),"TúPHN")</f>
        <v>TúPHN</v>
      </c>
      <c r="F164" s="265" t="str">
        <f>IFERROR(__xludf.DUMMYFUNCTION("""COMPUTED_VALUE"""),"Silver")</f>
        <v>Silver</v>
      </c>
      <c r="G164" s="265" t="str">
        <f>IFERROR(__xludf.DUMMYFUNCTION("""COMPUTED_VALUE"""),"Enterprise")</f>
        <v>Enterprise</v>
      </c>
      <c r="H164" s="265" t="str">
        <f>IFERROR(__xludf.DUMMYFUNCTION("""COMPUTED_VALUE"""),"(Chưa recheck)")</f>
        <v>(Chưa recheck)</v>
      </c>
      <c r="I164" s="265" t="str">
        <f>IFERROR(__xludf.DUMMYFUNCTION("""COMPUTED_VALUE"""),"(Chưa recheck)")</f>
        <v>(Chưa recheck)</v>
      </c>
      <c r="J164" s="265" t="str">
        <f>IFERROR(__xludf.DUMMYFUNCTION("""COMPUTED_VALUE"""),"Kiotviet")</f>
        <v>Kiotviet</v>
      </c>
    </row>
    <row r="165">
      <c r="A165" s="265" t="str">
        <f>IFERROR(__xludf.DUMMYFUNCTION("""COMPUTED_VALUE"""),"491")</f>
        <v>491</v>
      </c>
      <c r="B165" s="265" t="str">
        <f>IFERROR(__xludf.DUMMYFUNCTION("""COMPUTED_VALUE"""),"Hà Nội")</f>
        <v>Hà Nội</v>
      </c>
      <c r="C165" s="265" t="str">
        <f>IFERROR(__xludf.DUMMYFUNCTION("""COMPUTED_VALUE"""),"Locked")</f>
        <v>Locked</v>
      </c>
      <c r="D165" s="265" t="str">
        <f>IFERROR(__xludf.DUMMYFUNCTION("""COMPUTED_VALUE"""),"Sale chưa cung cấp")</f>
        <v>Sale chưa cung cấp</v>
      </c>
      <c r="E165" s="265" t="str">
        <f>IFERROR(__xludf.DUMMYFUNCTION("""COMPUTED_VALUE"""),"(Không recheck)")</f>
        <v>(Không recheck)</v>
      </c>
      <c r="F165" s="265" t="str">
        <f>IFERROR(__xludf.DUMMYFUNCTION("""COMPUTED_VALUE"""),"Sale chưa cung cấp")</f>
        <v>Sale chưa cung cấp</v>
      </c>
      <c r="G165" s="265" t="str">
        <f>IFERROR(__xludf.DUMMYFUNCTION("""COMPUTED_VALUE"""),"API")</f>
        <v>API</v>
      </c>
      <c r="H165" s="265" t="str">
        <f>IFERROR(__xludf.DUMMYFUNCTION("""COMPUTED_VALUE"""),"Trial")</f>
        <v>Trial</v>
      </c>
      <c r="I165" s="265" t="str">
        <f>IFERROR(__xludf.DUMMYFUNCTION("""COMPUTED_VALUE"""),"(Không recheck)")</f>
        <v>(Không recheck)</v>
      </c>
      <c r="J165" s="265" t="str">
        <f>IFERROR(__xludf.DUMMYFUNCTION("""COMPUTED_VALUE"""),"API")</f>
        <v>API</v>
      </c>
    </row>
    <row r="166">
      <c r="A166" s="265" t="str">
        <f>IFERROR(__xludf.DUMMYFUNCTION("""COMPUTED_VALUE"""),"492")</f>
        <v>492</v>
      </c>
      <c r="B166" s="265" t="str">
        <f>IFERROR(__xludf.DUMMYFUNCTION("""COMPUTED_VALUE"""),"Sài Gòn")</f>
        <v>Sài Gòn</v>
      </c>
      <c r="C166" s="265" t="str">
        <f>IFERROR(__xludf.DUMMYFUNCTION("""COMPUTED_VALUE"""),"Locked")</f>
        <v>Locked</v>
      </c>
      <c r="D166" s="265" t="str">
        <f>IFERROR(__xludf.DUMMYFUNCTION("""COMPUTED_VALUE"""),"Sale chưa cung cấp")</f>
        <v>Sale chưa cung cấp</v>
      </c>
      <c r="E166" s="265" t="str">
        <f>IFERROR(__xludf.DUMMYFUNCTION("""COMPUTED_VALUE"""),"HoaNTM")</f>
        <v>HoaNTM</v>
      </c>
      <c r="F166" s="265" t="str">
        <f>IFERROR(__xludf.DUMMYFUNCTION("""COMPUTED_VALUE"""),"Sale chưa cung cấp")</f>
        <v>Sale chưa cung cấp</v>
      </c>
      <c r="G166" s="265" t="str">
        <f>IFERROR(__xludf.DUMMYFUNCTION("""COMPUTED_VALUE"""),"MSG")</f>
        <v>MSG</v>
      </c>
      <c r="H166" s="265" t="str">
        <f>IFERROR(__xludf.DUMMYFUNCTION("""COMPUTED_VALUE"""),"(Chưa recheck)")</f>
        <v>(Chưa recheck)</v>
      </c>
      <c r="I166" s="265" t="str">
        <f>IFERROR(__xludf.DUMMYFUNCTION("""COMPUTED_VALUE"""),"(Chưa recheck)")</f>
        <v>(Chưa recheck)</v>
      </c>
      <c r="J166" s="265" t="str">
        <f>IFERROR(__xludf.DUMMYFUNCTION("""COMPUTED_VALUE"""),"(Chưa recheck)")</f>
        <v>(Chưa recheck)</v>
      </c>
    </row>
    <row r="167">
      <c r="A167" s="265" t="str">
        <f>IFERROR(__xludf.DUMMYFUNCTION("""COMPUTED_VALUE"""),"494")</f>
        <v>494</v>
      </c>
      <c r="B167" s="265" t="str">
        <f>IFERROR(__xludf.DUMMYFUNCTION("""COMPUTED_VALUE"""),"Sài Gòn")</f>
        <v>Sài Gòn</v>
      </c>
      <c r="C167" s="265" t="str">
        <f>IFERROR(__xludf.DUMMYFUNCTION("""COMPUTED_VALUE"""),"Locked")</f>
        <v>Locked</v>
      </c>
      <c r="D167" s="265" t="str">
        <f>IFERROR(__xludf.DUMMYFUNCTION("""COMPUTED_VALUE"""),"Sale chưa cung cấp")</f>
        <v>Sale chưa cung cấp</v>
      </c>
      <c r="E167" s="265" t="str">
        <f>IFERROR(__xludf.DUMMYFUNCTION("""COMPUTED_VALUE"""),"HoaNTM")</f>
        <v>HoaNTM</v>
      </c>
      <c r="F167" s="265" t="str">
        <f>IFERROR(__xludf.DUMMYFUNCTION("""COMPUTED_VALUE"""),"Diamond")</f>
        <v>Diamond</v>
      </c>
      <c r="G167" s="265" t="str">
        <f>IFERROR(__xludf.DUMMYFUNCTION("""COMPUTED_VALUE"""),"API")</f>
        <v>API</v>
      </c>
      <c r="H167" s="265" t="str">
        <f>IFERROR(__xludf.DUMMYFUNCTION("""COMPUTED_VALUE"""),"Trả sau")</f>
        <v>Trả sau</v>
      </c>
      <c r="I167" s="265" t="str">
        <f>IFERROR(__xludf.DUMMYFUNCTION("""COMPUTED_VALUE"""),"(Chưa recheck)")</f>
        <v>(Chưa recheck)</v>
      </c>
      <c r="J167" s="265" t="str">
        <f>IFERROR(__xludf.DUMMYFUNCTION("""COMPUTED_VALUE"""),"(Chưa recheck)")</f>
        <v>(Chưa recheck)</v>
      </c>
    </row>
    <row r="168">
      <c r="A168" s="265" t="str">
        <f>IFERROR(__xludf.DUMMYFUNCTION("""COMPUTED_VALUE"""),"493")</f>
        <v>493</v>
      </c>
      <c r="B168" s="265" t="str">
        <f>IFERROR(__xludf.DUMMYFUNCTION("""COMPUTED_VALUE"""),"Sài Gòn")</f>
        <v>Sài Gòn</v>
      </c>
      <c r="C168" s="265" t="str">
        <f>IFERROR(__xludf.DUMMYFUNCTION("""COMPUTED_VALUE"""),"Locked")</f>
        <v>Locked</v>
      </c>
      <c r="D168" s="265" t="str">
        <f>IFERROR(__xludf.DUMMYFUNCTION("""COMPUTED_VALUE"""),"Sale chưa cung cấp")</f>
        <v>Sale chưa cung cấp</v>
      </c>
      <c r="E168" s="265" t="str">
        <f>IFERROR(__xludf.DUMMYFUNCTION("""COMPUTED_VALUE"""),"HoaNTM")</f>
        <v>HoaNTM</v>
      </c>
      <c r="F168" s="265" t="str">
        <f>IFERROR(__xludf.DUMMYFUNCTION("""COMPUTED_VALUE"""),"Sale chưa cung cấp")</f>
        <v>Sale chưa cung cấp</v>
      </c>
      <c r="G168" s="265" t="str">
        <f>IFERROR(__xludf.DUMMYFUNCTION("""COMPUTED_VALUE"""),"Enterprise")</f>
        <v>Enterprise</v>
      </c>
      <c r="H168" s="265" t="str">
        <f>IFERROR(__xludf.DUMMYFUNCTION("""COMPUTED_VALUE"""),"Trial")</f>
        <v>Trial</v>
      </c>
      <c r="I168" s="265" t="str">
        <f>IFERROR(__xludf.DUMMYFUNCTION("""COMPUTED_VALUE"""),"(Không recheck)")</f>
        <v>(Không recheck)</v>
      </c>
      <c r="J168" s="265" t="str">
        <f>IFERROR(__xludf.DUMMYFUNCTION("""COMPUTED_VALUE"""),"(Không recheck)")</f>
        <v>(Không recheck)</v>
      </c>
    </row>
    <row r="169">
      <c r="A169" s="265" t="str">
        <f>IFERROR(__xludf.DUMMYFUNCTION("""COMPUTED_VALUE"""),"496")</f>
        <v>496</v>
      </c>
      <c r="B169" s="265" t="str">
        <f>IFERROR(__xludf.DUMMYFUNCTION("""COMPUTED_VALUE"""),"Hà Nội")</f>
        <v>Hà Nội</v>
      </c>
      <c r="C169" s="265" t="str">
        <f>IFERROR(__xludf.DUMMYFUNCTION("""COMPUTED_VALUE"""),"Locked")</f>
        <v>Locked</v>
      </c>
      <c r="D169" s="265" t="str">
        <f>IFERROR(__xludf.DUMMYFUNCTION("""COMPUTED_VALUE"""),"Sale chưa cung cấp")</f>
        <v>Sale chưa cung cấp</v>
      </c>
      <c r="E169" s="265" t="str">
        <f>IFERROR(__xludf.DUMMYFUNCTION("""COMPUTED_VALUE"""),"PhươngDTB")</f>
        <v>PhươngDTB</v>
      </c>
      <c r="F169" s="265" t="str">
        <f>IFERROR(__xludf.DUMMYFUNCTION("""COMPUTED_VALUE"""),"Sale chưa cung cấp")</f>
        <v>Sale chưa cung cấp</v>
      </c>
      <c r="G169" s="265" t="str">
        <f>IFERROR(__xludf.DUMMYFUNCTION("""COMPUTED_VALUE"""),"Enterprise")</f>
        <v>Enterprise</v>
      </c>
      <c r="H169" s="265" t="str">
        <f>IFERROR(__xludf.DUMMYFUNCTION("""COMPUTED_VALUE"""),"Trial")</f>
        <v>Trial</v>
      </c>
      <c r="I169" s="265" t="str">
        <f>IFERROR(__xludf.DUMMYFUNCTION("""COMPUTED_VALUE"""),"(Không recheck)")</f>
        <v>(Không recheck)</v>
      </c>
      <c r="J169" s="265" t="str">
        <f>IFERROR(__xludf.DUMMYFUNCTION("""COMPUTED_VALUE"""),"(Không recheck)")</f>
        <v>(Không recheck)</v>
      </c>
    </row>
    <row r="170">
      <c r="A170" s="265" t="str">
        <f>IFERROR(__xludf.DUMMYFUNCTION("""COMPUTED_VALUE"""),"495")</f>
        <v>495</v>
      </c>
      <c r="B170" s="265" t="str">
        <f>IFERROR(__xludf.DUMMYFUNCTION("""COMPUTED_VALUE"""),"Sài Gòn")</f>
        <v>Sài Gòn</v>
      </c>
      <c r="C170" s="265" t="str">
        <f>IFERROR(__xludf.DUMMYFUNCTION("""COMPUTED_VALUE"""),"Active")</f>
        <v>Active</v>
      </c>
      <c r="D170" s="265" t="str">
        <f>IFERROR(__xludf.DUMMYFUNCTION("""COMPUTED_VALUE"""),"Sale chưa cung cấp")</f>
        <v>Sale chưa cung cấp</v>
      </c>
      <c r="E170" s="265" t="str">
        <f>IFERROR(__xludf.DUMMYFUNCTION("""COMPUTED_VALUE"""),"TùngLD")</f>
        <v>TùngLD</v>
      </c>
      <c r="F170" s="265" t="str">
        <f>IFERROR(__xludf.DUMMYFUNCTION("""COMPUTED_VALUE"""),"Diamond")</f>
        <v>Diamond</v>
      </c>
      <c r="G170" s="265" t="str">
        <f>IFERROR(__xludf.DUMMYFUNCTION("""COMPUTED_VALUE"""),"Enterprise")</f>
        <v>Enterprise</v>
      </c>
      <c r="H170" s="265" t="str">
        <f>IFERROR(__xludf.DUMMYFUNCTION("""COMPUTED_VALUE"""),"Trả sau")</f>
        <v>Trả sau</v>
      </c>
      <c r="I170" s="265" t="str">
        <f>IFERROR(__xludf.DUMMYFUNCTION("""COMPUTED_VALUE"""),"API &amp; Portal")</f>
        <v>API &amp; Portal</v>
      </c>
      <c r="J170" s="265" t="str">
        <f>IFERROR(__xludf.DUMMYFUNCTION("""COMPUTED_VALUE"""),"File Excel")</f>
        <v>File Excel</v>
      </c>
    </row>
    <row r="171">
      <c r="A171" s="265" t="str">
        <f>IFERROR(__xludf.DUMMYFUNCTION("""COMPUTED_VALUE"""),"495")</f>
        <v>495</v>
      </c>
      <c r="B171" s="265" t="str">
        <f>IFERROR(__xludf.DUMMYFUNCTION("""COMPUTED_VALUE"""),"Sài Gòn")</f>
        <v>Sài Gòn</v>
      </c>
      <c r="C171" s="265" t="str">
        <f>IFERROR(__xludf.DUMMYFUNCTION("""COMPUTED_VALUE"""),"Active")</f>
        <v>Active</v>
      </c>
      <c r="D171" s="265" t="str">
        <f>IFERROR(__xludf.DUMMYFUNCTION("""COMPUTED_VALUE"""),"Sale chưa cung cấp")</f>
        <v>Sale chưa cung cấp</v>
      </c>
      <c r="E171" s="265" t="str">
        <f>IFERROR(__xludf.DUMMYFUNCTION("""COMPUTED_VALUE"""),"TùngLD")</f>
        <v>TùngLD</v>
      </c>
      <c r="F171" s="265" t="str">
        <f>IFERROR(__xludf.DUMMYFUNCTION("""COMPUTED_VALUE"""),"Diamond")</f>
        <v>Diamond</v>
      </c>
      <c r="G171" s="265" t="str">
        <f>IFERROR(__xludf.DUMMYFUNCTION("""COMPUTED_VALUE"""),"Enterprise")</f>
        <v>Enterprise</v>
      </c>
      <c r="H171" s="265" t="str">
        <f>IFERROR(__xludf.DUMMYFUNCTION("""COMPUTED_VALUE"""),"Trả sau")</f>
        <v>Trả sau</v>
      </c>
      <c r="I171" s="265" t="str">
        <f>IFERROR(__xludf.DUMMYFUNCTION("""COMPUTED_VALUE"""),"API &amp; Portal")</f>
        <v>API &amp; Portal</v>
      </c>
      <c r="J171" s="265" t="str">
        <f>IFERROR(__xludf.DUMMYFUNCTION("""COMPUTED_VALUE"""),"API")</f>
        <v>API</v>
      </c>
    </row>
    <row r="172">
      <c r="A172" s="265" t="str">
        <f>IFERROR(__xludf.DUMMYFUNCTION("""COMPUTED_VALUE"""),"497")</f>
        <v>497</v>
      </c>
      <c r="B172" s="265" t="str">
        <f>IFERROR(__xludf.DUMMYFUNCTION("""COMPUTED_VALUE"""),"Sài Gòn")</f>
        <v>Sài Gòn</v>
      </c>
      <c r="C172" s="265" t="str">
        <f>IFERROR(__xludf.DUMMYFUNCTION("""COMPUTED_VALUE"""),"Locked")</f>
        <v>Locked</v>
      </c>
      <c r="D172" s="265" t="str">
        <f>IFERROR(__xludf.DUMMYFUNCTION("""COMPUTED_VALUE"""),"Sale chưa cung cấp")</f>
        <v>Sale chưa cung cấp</v>
      </c>
      <c r="E172" s="265" t="str">
        <f>IFERROR(__xludf.DUMMYFUNCTION("""COMPUTED_VALUE"""),"HoaNTM")</f>
        <v>HoaNTM</v>
      </c>
      <c r="F172" s="265" t="str">
        <f>IFERROR(__xludf.DUMMYFUNCTION("""COMPUTED_VALUE"""),"Sale chưa cung cấp")</f>
        <v>Sale chưa cung cấp</v>
      </c>
      <c r="G172" s="265" t="str">
        <f>IFERROR(__xludf.DUMMYFUNCTION("""COMPUTED_VALUE"""),"Enterprise")</f>
        <v>Enterprise</v>
      </c>
      <c r="H172" s="265" t="str">
        <f>IFERROR(__xludf.DUMMYFUNCTION("""COMPUTED_VALUE"""),"Trial")</f>
        <v>Trial</v>
      </c>
      <c r="I172" s="265" t="str">
        <f>IFERROR(__xludf.DUMMYFUNCTION("""COMPUTED_VALUE"""),"(Không recheck)")</f>
        <v>(Không recheck)</v>
      </c>
      <c r="J172" s="265" t="str">
        <f>IFERROR(__xludf.DUMMYFUNCTION("""COMPUTED_VALUE"""),"(Không recheck)")</f>
        <v>(Không recheck)</v>
      </c>
    </row>
    <row r="173">
      <c r="A173" s="265" t="str">
        <f>IFERROR(__xludf.DUMMYFUNCTION("""COMPUTED_VALUE"""),"499")</f>
        <v>499</v>
      </c>
      <c r="B173" s="265" t="str">
        <f>IFERROR(__xludf.DUMMYFUNCTION("""COMPUTED_VALUE"""),"Hà Nội")</f>
        <v>Hà Nội</v>
      </c>
      <c r="C173" s="265" t="str">
        <f>IFERROR(__xludf.DUMMYFUNCTION("""COMPUTED_VALUE"""),"Locked")</f>
        <v>Locked</v>
      </c>
      <c r="D173" s="265" t="str">
        <f>IFERROR(__xludf.DUMMYFUNCTION("""COMPUTED_VALUE"""),"Sale chưa cung cấp")</f>
        <v>Sale chưa cung cấp</v>
      </c>
      <c r="E173" s="265" t="str">
        <f>IFERROR(__xludf.DUMMYFUNCTION("""COMPUTED_VALUE"""),"(Không recheck)")</f>
        <v>(Không recheck)</v>
      </c>
      <c r="F173" s="265" t="str">
        <f>IFERROR(__xludf.DUMMYFUNCTION("""COMPUTED_VALUE"""),"Sale chưa cung cấp")</f>
        <v>Sale chưa cung cấp</v>
      </c>
      <c r="G173" s="265" t="str">
        <f>IFERROR(__xludf.DUMMYFUNCTION("""COMPUTED_VALUE"""),"API")</f>
        <v>API</v>
      </c>
      <c r="H173" s="265" t="str">
        <f>IFERROR(__xludf.DUMMYFUNCTION("""COMPUTED_VALUE"""),"Trial")</f>
        <v>Trial</v>
      </c>
      <c r="I173" s="265" t="str">
        <f>IFERROR(__xludf.DUMMYFUNCTION("""COMPUTED_VALUE"""),"(Không recheck)")</f>
        <v>(Không recheck)</v>
      </c>
      <c r="J173" s="265" t="str">
        <f>IFERROR(__xludf.DUMMYFUNCTION("""COMPUTED_VALUE"""),"(Không recheck)")</f>
        <v>(Không recheck)</v>
      </c>
    </row>
    <row r="174">
      <c r="A174" s="265" t="str">
        <f>IFERROR(__xludf.DUMMYFUNCTION("""COMPUTED_VALUE"""),"500")</f>
        <v>500</v>
      </c>
      <c r="B174" s="265" t="str">
        <f>IFERROR(__xludf.DUMMYFUNCTION("""COMPUTED_VALUE"""),"Hà Nội")</f>
        <v>Hà Nội</v>
      </c>
      <c r="C174" s="265" t="str">
        <f>IFERROR(__xludf.DUMMYFUNCTION("""COMPUTED_VALUE"""),"Locked")</f>
        <v>Locked</v>
      </c>
      <c r="D174" s="265" t="str">
        <f>IFERROR(__xludf.DUMMYFUNCTION("""COMPUTED_VALUE"""),"Sale chưa cung cấp")</f>
        <v>Sale chưa cung cấp</v>
      </c>
      <c r="E174" s="265" t="str">
        <f>IFERROR(__xludf.DUMMYFUNCTION("""COMPUTED_VALUE"""),"AnhNM")</f>
        <v>AnhNM</v>
      </c>
      <c r="F174" s="265" t="str">
        <f>IFERROR(__xludf.DUMMYFUNCTION("""COMPUTED_VALUE"""),"Gold")</f>
        <v>Gold</v>
      </c>
      <c r="G174" s="265" t="str">
        <f>IFERROR(__xludf.DUMMYFUNCTION("""COMPUTED_VALUE"""),"Enterprise")</f>
        <v>Enterprise</v>
      </c>
      <c r="H174" s="265" t="str">
        <f>IFERROR(__xludf.DUMMYFUNCTION("""COMPUTED_VALUE"""),"Trả trước")</f>
        <v>Trả trước</v>
      </c>
      <c r="I174" s="265" t="str">
        <f>IFERROR(__xludf.DUMMYFUNCTION("""COMPUTED_VALUE"""),"API")</f>
        <v>API</v>
      </c>
      <c r="J174" s="265" t="str">
        <f>IFERROR(__xludf.DUMMYFUNCTION("""COMPUTED_VALUE"""),"HubSpot")</f>
        <v>HubSpot</v>
      </c>
    </row>
    <row r="175">
      <c r="A175" s="265" t="str">
        <f>IFERROR(__xludf.DUMMYFUNCTION("""COMPUTED_VALUE"""),"501")</f>
        <v>501</v>
      </c>
      <c r="B175" s="265" t="str">
        <f>IFERROR(__xludf.DUMMYFUNCTION("""COMPUTED_VALUE"""),"Hà Nội")</f>
        <v>Hà Nội</v>
      </c>
      <c r="C175" s="265" t="str">
        <f>IFERROR(__xludf.DUMMYFUNCTION("""COMPUTED_VALUE"""),"Locked")</f>
        <v>Locked</v>
      </c>
      <c r="D175" s="265" t="str">
        <f>IFERROR(__xludf.DUMMYFUNCTION("""COMPUTED_VALUE"""),"Sale chưa cung cấp")</f>
        <v>Sale chưa cung cấp</v>
      </c>
      <c r="E175" s="265" t="str">
        <f>IFERROR(__xludf.DUMMYFUNCTION("""COMPUTED_VALUE"""),"PhươngDTB")</f>
        <v>PhươngDTB</v>
      </c>
      <c r="F175" s="265" t="str">
        <f>IFERROR(__xludf.DUMMYFUNCTION("""COMPUTED_VALUE"""),"Bronze")</f>
        <v>Bronze</v>
      </c>
      <c r="G175" s="265" t="str">
        <f>IFERROR(__xludf.DUMMYFUNCTION("""COMPUTED_VALUE"""),"Enterprise")</f>
        <v>Enterprise</v>
      </c>
      <c r="H175" s="265" t="str">
        <f>IFERROR(__xludf.DUMMYFUNCTION("""COMPUTED_VALUE"""),"(Chưa recheck)")</f>
        <v>(Chưa recheck)</v>
      </c>
      <c r="I175" s="265" t="str">
        <f>IFERROR(__xludf.DUMMYFUNCTION("""COMPUTED_VALUE"""),"(Chưa recheck)")</f>
        <v>(Chưa recheck)</v>
      </c>
      <c r="J175" s="265" t="str">
        <f>IFERROR(__xludf.DUMMYFUNCTION("""COMPUTED_VALUE"""),"Kiotviet")</f>
        <v>Kiotviet</v>
      </c>
    </row>
    <row r="176">
      <c r="A176" s="265" t="str">
        <f>IFERROR(__xludf.DUMMYFUNCTION("""COMPUTED_VALUE"""),"504")</f>
        <v>504</v>
      </c>
      <c r="B176" s="265" t="str">
        <f>IFERROR(__xludf.DUMMYFUNCTION("""COMPUTED_VALUE"""),"Hà Nội")</f>
        <v>Hà Nội</v>
      </c>
      <c r="C176" s="265" t="str">
        <f>IFERROR(__xludf.DUMMYFUNCTION("""COMPUTED_VALUE"""),"Locked")</f>
        <v>Locked</v>
      </c>
      <c r="D176" s="265" t="str">
        <f>IFERROR(__xludf.DUMMYFUNCTION("""COMPUTED_VALUE"""),"Sale chưa cung cấp")</f>
        <v>Sale chưa cung cấp</v>
      </c>
      <c r="E176" s="265" t="str">
        <f>IFERROR(__xludf.DUMMYFUNCTION("""COMPUTED_VALUE"""),"NamDT")</f>
        <v>NamDT</v>
      </c>
      <c r="F176" s="265" t="str">
        <f>IFERROR(__xludf.DUMMYFUNCTION("""COMPUTED_VALUE"""),"Sale chưa cung cấp")</f>
        <v>Sale chưa cung cấp</v>
      </c>
      <c r="G176" s="265" t="str">
        <f>IFERROR(__xludf.DUMMYFUNCTION("""COMPUTED_VALUE"""),"MSG")</f>
        <v>MSG</v>
      </c>
      <c r="H176" s="265" t="str">
        <f>IFERROR(__xludf.DUMMYFUNCTION("""COMPUTED_VALUE"""),"(Chưa recheck)")</f>
        <v>(Chưa recheck)</v>
      </c>
      <c r="I176" s="265" t="str">
        <f>IFERROR(__xludf.DUMMYFUNCTION("""COMPUTED_VALUE"""),"(Chưa recheck)")</f>
        <v>(Chưa recheck)</v>
      </c>
      <c r="J176" s="265" t="str">
        <f>IFERROR(__xludf.DUMMYFUNCTION("""COMPUTED_VALUE"""),"File Excel")</f>
        <v>File Excel</v>
      </c>
    </row>
    <row r="177">
      <c r="A177" s="265" t="str">
        <f>IFERROR(__xludf.DUMMYFUNCTION("""COMPUTED_VALUE"""),"506")</f>
        <v>506</v>
      </c>
      <c r="B177" s="265" t="str">
        <f>IFERROR(__xludf.DUMMYFUNCTION("""COMPUTED_VALUE"""),"Sài Gòn")</f>
        <v>Sài Gòn</v>
      </c>
      <c r="C177" s="265" t="str">
        <f>IFERROR(__xludf.DUMMYFUNCTION("""COMPUTED_VALUE"""),"Locked")</f>
        <v>Locked</v>
      </c>
      <c r="D177" s="265" t="str">
        <f>IFERROR(__xludf.DUMMYFUNCTION("""COMPUTED_VALUE"""),"Sale chưa cung cấp")</f>
        <v>Sale chưa cung cấp</v>
      </c>
      <c r="E177" s="265" t="str">
        <f>IFERROR(__xludf.DUMMYFUNCTION("""COMPUTED_VALUE"""),"HoaNTM")</f>
        <v>HoaNTM</v>
      </c>
      <c r="F177" s="265" t="str">
        <f>IFERROR(__xludf.DUMMYFUNCTION("""COMPUTED_VALUE"""),"Bronze")</f>
        <v>Bronze</v>
      </c>
      <c r="G177" s="265" t="str">
        <f>IFERROR(__xludf.DUMMYFUNCTION("""COMPUTED_VALUE"""),"Enterprise")</f>
        <v>Enterprise</v>
      </c>
      <c r="H177" s="265" t="str">
        <f>IFERROR(__xludf.DUMMYFUNCTION("""COMPUTED_VALUE"""),"(Chưa recheck)")</f>
        <v>(Chưa recheck)</v>
      </c>
      <c r="I177" s="265" t="str">
        <f>IFERROR(__xludf.DUMMYFUNCTION("""COMPUTED_VALUE"""),"(Chưa recheck)")</f>
        <v>(Chưa recheck)</v>
      </c>
      <c r="J177" s="265" t="str">
        <f>IFERROR(__xludf.DUMMYFUNCTION("""COMPUTED_VALUE"""),"(Chưa recheck)")</f>
        <v>(Chưa recheck)</v>
      </c>
    </row>
    <row r="178">
      <c r="A178" s="265" t="str">
        <f>IFERROR(__xludf.DUMMYFUNCTION("""COMPUTED_VALUE"""),"505")</f>
        <v>505</v>
      </c>
      <c r="B178" s="265" t="str">
        <f>IFERROR(__xludf.DUMMYFUNCTION("""COMPUTED_VALUE"""),"Sài Gòn")</f>
        <v>Sài Gòn</v>
      </c>
      <c r="C178" s="265" t="str">
        <f>IFERROR(__xludf.DUMMYFUNCTION("""COMPUTED_VALUE"""),"Locked")</f>
        <v>Locked</v>
      </c>
      <c r="D178" s="265" t="str">
        <f>IFERROR(__xludf.DUMMYFUNCTION("""COMPUTED_VALUE"""),"Sale chưa cung cấp")</f>
        <v>Sale chưa cung cấp</v>
      </c>
      <c r="E178" s="265" t="str">
        <f>IFERROR(__xludf.DUMMYFUNCTION("""COMPUTED_VALUE"""),"HoaNTM")</f>
        <v>HoaNTM</v>
      </c>
      <c r="F178" s="265" t="str">
        <f>IFERROR(__xludf.DUMMYFUNCTION("""COMPUTED_VALUE"""),"Sale chưa cung cấp")</f>
        <v>Sale chưa cung cấp</v>
      </c>
      <c r="G178" s="265" t="str">
        <f>IFERROR(__xludf.DUMMYFUNCTION("""COMPUTED_VALUE"""),"Enterprise")</f>
        <v>Enterprise</v>
      </c>
      <c r="H178" s="265" t="str">
        <f>IFERROR(__xludf.DUMMYFUNCTION("""COMPUTED_VALUE"""),"Trial")</f>
        <v>Trial</v>
      </c>
      <c r="I178" s="265" t="str">
        <f>IFERROR(__xludf.DUMMYFUNCTION("""COMPUTED_VALUE"""),"(Không recheck)")</f>
        <v>(Không recheck)</v>
      </c>
      <c r="J178" s="265" t="str">
        <f>IFERROR(__xludf.DUMMYFUNCTION("""COMPUTED_VALUE"""),"(Không recheck)")</f>
        <v>(Không recheck)</v>
      </c>
    </row>
    <row r="179">
      <c r="A179" s="265" t="str">
        <f>IFERROR(__xludf.DUMMYFUNCTION("""COMPUTED_VALUE"""),"507")</f>
        <v>507</v>
      </c>
      <c r="B179" s="265" t="str">
        <f>IFERROR(__xludf.DUMMYFUNCTION("""COMPUTED_VALUE"""),"Sài Gòn")</f>
        <v>Sài Gòn</v>
      </c>
      <c r="C179" s="265" t="str">
        <f>IFERROR(__xludf.DUMMYFUNCTION("""COMPUTED_VALUE"""),"Locked")</f>
        <v>Locked</v>
      </c>
      <c r="D179" s="265" t="str">
        <f>IFERROR(__xludf.DUMMYFUNCTION("""COMPUTED_VALUE"""),"Sale chưa cung cấp")</f>
        <v>Sale chưa cung cấp</v>
      </c>
      <c r="E179" s="265" t="str">
        <f>IFERROR(__xludf.DUMMYFUNCTION("""COMPUTED_VALUE"""),"HoaNTM")</f>
        <v>HoaNTM</v>
      </c>
      <c r="F179" s="265" t="str">
        <f>IFERROR(__xludf.DUMMYFUNCTION("""COMPUTED_VALUE"""),"Sale chưa cung cấp")</f>
        <v>Sale chưa cung cấp</v>
      </c>
      <c r="G179" s="265" t="str">
        <f>IFERROR(__xludf.DUMMYFUNCTION("""COMPUTED_VALUE"""),"MSG")</f>
        <v>MSG</v>
      </c>
      <c r="H179" s="265" t="str">
        <f>IFERROR(__xludf.DUMMYFUNCTION("""COMPUTED_VALUE"""),"(Chưa recheck)")</f>
        <v>(Chưa recheck)</v>
      </c>
      <c r="I179" s="265" t="str">
        <f>IFERROR(__xludf.DUMMYFUNCTION("""COMPUTED_VALUE"""),"(Chưa recheck)")</f>
        <v>(Chưa recheck)</v>
      </c>
      <c r="J179" s="265" t="str">
        <f>IFERROR(__xludf.DUMMYFUNCTION("""COMPUTED_VALUE"""),"(Chưa recheck)")</f>
        <v>(Chưa recheck)</v>
      </c>
    </row>
    <row r="180">
      <c r="A180" s="265" t="str">
        <f>IFERROR(__xludf.DUMMYFUNCTION("""COMPUTED_VALUE"""),"None 5")</f>
        <v>None 5</v>
      </c>
      <c r="B180" s="265" t="str">
        <f>IFERROR(__xludf.DUMMYFUNCTION("""COMPUTED_VALUE"""),"Hà Nội")</f>
        <v>Hà Nội</v>
      </c>
      <c r="C180" s="265" t="str">
        <f>IFERROR(__xludf.DUMMYFUNCTION("""COMPUTED_VALUE"""),"Locked")</f>
        <v>Locked</v>
      </c>
      <c r="D180" s="265" t="str">
        <f>IFERROR(__xludf.DUMMYFUNCTION("""COMPUTED_VALUE"""),"Sale chưa cung cấp")</f>
        <v>Sale chưa cung cấp</v>
      </c>
      <c r="E180" s="265" t="str">
        <f>IFERROR(__xludf.DUMMYFUNCTION("""COMPUTED_VALUE"""),"Không phân công")</f>
        <v>Không phân công</v>
      </c>
      <c r="F180" s="265" t="str">
        <f>IFERROR(__xludf.DUMMYFUNCTION("""COMPUTED_VALUE"""),"Sale chưa cung cấp")</f>
        <v>Sale chưa cung cấp</v>
      </c>
      <c r="G180" s="265" t="str">
        <f>IFERROR(__xludf.DUMMYFUNCTION("""COMPUTED_VALUE"""),"API")</f>
        <v>API</v>
      </c>
      <c r="H180" s="265" t="str">
        <f>IFERROR(__xludf.DUMMYFUNCTION("""COMPUTED_VALUE"""),"(Chưa recheck)")</f>
        <v>(Chưa recheck)</v>
      </c>
      <c r="I180" s="265" t="str">
        <f>IFERROR(__xludf.DUMMYFUNCTION("""COMPUTED_VALUE"""),"(Chưa recheck)")</f>
        <v>(Chưa recheck)</v>
      </c>
      <c r="J180" s="265" t="str">
        <f>IFERROR(__xludf.DUMMYFUNCTION("""COMPUTED_VALUE"""),"API")</f>
        <v>API</v>
      </c>
    </row>
    <row r="181">
      <c r="A181" s="265" t="str">
        <f>IFERROR(__xludf.DUMMYFUNCTION("""COMPUTED_VALUE"""),"508")</f>
        <v>508</v>
      </c>
      <c r="B181" s="265" t="str">
        <f>IFERROR(__xludf.DUMMYFUNCTION("""COMPUTED_VALUE"""),"Sài Gòn")</f>
        <v>Sài Gòn</v>
      </c>
      <c r="C181" s="265" t="str">
        <f>IFERROR(__xludf.DUMMYFUNCTION("""COMPUTED_VALUE"""),"Locked")</f>
        <v>Locked</v>
      </c>
      <c r="D181" s="265" t="str">
        <f>IFERROR(__xludf.DUMMYFUNCTION("""COMPUTED_VALUE"""),"Sale chưa cung cấp")</f>
        <v>Sale chưa cung cấp</v>
      </c>
      <c r="E181" s="265" t="str">
        <f>IFERROR(__xludf.DUMMYFUNCTION("""COMPUTED_VALUE"""),"HoaNTM")</f>
        <v>HoaNTM</v>
      </c>
      <c r="F181" s="265" t="str">
        <f>IFERROR(__xludf.DUMMYFUNCTION("""COMPUTED_VALUE"""),"Bronze")</f>
        <v>Bronze</v>
      </c>
      <c r="G181" s="265" t="str">
        <f>IFERROR(__xludf.DUMMYFUNCTION("""COMPUTED_VALUE"""),"MSG")</f>
        <v>MSG</v>
      </c>
      <c r="H181" s="265" t="str">
        <f>IFERROR(__xludf.DUMMYFUNCTION("""COMPUTED_VALUE"""),"(Chưa recheck)")</f>
        <v>(Chưa recheck)</v>
      </c>
      <c r="I181" s="265" t="str">
        <f>IFERROR(__xludf.DUMMYFUNCTION("""COMPUTED_VALUE"""),"(Chưa recheck)")</f>
        <v>(Chưa recheck)</v>
      </c>
      <c r="J181" s="265" t="str">
        <f>IFERROR(__xludf.DUMMYFUNCTION("""COMPUTED_VALUE"""),"(Chưa recheck)")</f>
        <v>(Chưa recheck)</v>
      </c>
    </row>
    <row r="182">
      <c r="A182" s="265" t="str">
        <f>IFERROR(__xludf.DUMMYFUNCTION("""COMPUTED_VALUE"""),"509")</f>
        <v>509</v>
      </c>
      <c r="B182" s="265" t="str">
        <f>IFERROR(__xludf.DUMMYFUNCTION("""COMPUTED_VALUE"""),"Sài Gòn")</f>
        <v>Sài Gòn</v>
      </c>
      <c r="C182" s="265" t="str">
        <f>IFERROR(__xludf.DUMMYFUNCTION("""COMPUTED_VALUE"""),"Locked")</f>
        <v>Locked</v>
      </c>
      <c r="D182" s="265" t="str">
        <f>IFERROR(__xludf.DUMMYFUNCTION("""COMPUTED_VALUE"""),"Sale chưa cung cấp")</f>
        <v>Sale chưa cung cấp</v>
      </c>
      <c r="E182" s="265" t="str">
        <f>IFERROR(__xludf.DUMMYFUNCTION("""COMPUTED_VALUE"""),"HoaNTM")</f>
        <v>HoaNTM</v>
      </c>
      <c r="F182" s="265" t="str">
        <f>IFERROR(__xludf.DUMMYFUNCTION("""COMPUTED_VALUE"""),"Sale chưa cung cấp")</f>
        <v>Sale chưa cung cấp</v>
      </c>
      <c r="G182" s="265" t="str">
        <f>IFERROR(__xludf.DUMMYFUNCTION("""COMPUTED_VALUE"""),"Enterprise")</f>
        <v>Enterprise</v>
      </c>
      <c r="H182" s="265" t="str">
        <f>IFERROR(__xludf.DUMMYFUNCTION("""COMPUTED_VALUE"""),"Trả sau")</f>
        <v>Trả sau</v>
      </c>
      <c r="I182" s="265" t="str">
        <f>IFERROR(__xludf.DUMMYFUNCTION("""COMPUTED_VALUE"""),"(Chưa recheck)")</f>
        <v>(Chưa recheck)</v>
      </c>
      <c r="J182" s="265" t="str">
        <f>IFERROR(__xludf.DUMMYFUNCTION("""COMPUTED_VALUE"""),"(Chưa recheck)")</f>
        <v>(Chưa recheck)</v>
      </c>
    </row>
    <row r="183">
      <c r="A183" s="265" t="str">
        <f>IFERROR(__xludf.DUMMYFUNCTION("""COMPUTED_VALUE"""),"510")</f>
        <v>510</v>
      </c>
      <c r="B183" s="265" t="str">
        <f>IFERROR(__xludf.DUMMYFUNCTION("""COMPUTED_VALUE"""),"Sài Gòn")</f>
        <v>Sài Gòn</v>
      </c>
      <c r="C183" s="265" t="str">
        <f>IFERROR(__xludf.DUMMYFUNCTION("""COMPUTED_VALUE"""),"Locked")</f>
        <v>Locked</v>
      </c>
      <c r="D183" s="265" t="str">
        <f>IFERROR(__xludf.DUMMYFUNCTION("""COMPUTED_VALUE"""),"Sale chưa cung cấp")</f>
        <v>Sale chưa cung cấp</v>
      </c>
      <c r="E183" s="265" t="str">
        <f>IFERROR(__xludf.DUMMYFUNCTION("""COMPUTED_VALUE"""),"Không phân công")</f>
        <v>Không phân công</v>
      </c>
      <c r="F183" s="265" t="str">
        <f>IFERROR(__xludf.DUMMYFUNCTION("""COMPUTED_VALUE"""),"Sale chưa cung cấp")</f>
        <v>Sale chưa cung cấp</v>
      </c>
      <c r="G183" s="265" t="str">
        <f>IFERROR(__xludf.DUMMYFUNCTION("""COMPUTED_VALUE"""),"Starter")</f>
        <v>Starter</v>
      </c>
      <c r="H183" s="265" t="str">
        <f>IFERROR(__xludf.DUMMYFUNCTION("""COMPUTED_VALUE"""),"Trả sau")</f>
        <v>Trả sau</v>
      </c>
      <c r="I183" s="265" t="str">
        <f>IFERROR(__xludf.DUMMYFUNCTION("""COMPUTED_VALUE"""),"API")</f>
        <v>API</v>
      </c>
      <c r="J183" s="265" t="str">
        <f>IFERROR(__xludf.DUMMYFUNCTION("""COMPUTED_VALUE"""),"API")</f>
        <v>API</v>
      </c>
    </row>
    <row r="184">
      <c r="A184" s="265" t="str">
        <f>IFERROR(__xludf.DUMMYFUNCTION("""COMPUTED_VALUE"""),"511")</f>
        <v>511</v>
      </c>
      <c r="B184" s="265" t="str">
        <f>IFERROR(__xludf.DUMMYFUNCTION("""COMPUTED_VALUE"""),"Hà Nội")</f>
        <v>Hà Nội</v>
      </c>
      <c r="C184" s="265" t="str">
        <f>IFERROR(__xludf.DUMMYFUNCTION("""COMPUTED_VALUE"""),"Locked")</f>
        <v>Locked</v>
      </c>
      <c r="D184" s="265" t="str">
        <f>IFERROR(__xludf.DUMMYFUNCTION("""COMPUTED_VALUE"""),"Sale chưa cung cấp")</f>
        <v>Sale chưa cung cấp</v>
      </c>
      <c r="E184" s="265" t="str">
        <f>IFERROR(__xludf.DUMMYFUNCTION("""COMPUTED_VALUE"""),"PhươngDTB")</f>
        <v>PhươngDTB</v>
      </c>
      <c r="F184" s="265" t="str">
        <f>IFERROR(__xludf.DUMMYFUNCTION("""COMPUTED_VALUE"""),"Sale chưa cung cấp")</f>
        <v>Sale chưa cung cấp</v>
      </c>
      <c r="G184" s="265" t="str">
        <f>IFERROR(__xludf.DUMMYFUNCTION("""COMPUTED_VALUE"""),"MSG")</f>
        <v>MSG</v>
      </c>
      <c r="H184" s="265" t="str">
        <f>IFERROR(__xludf.DUMMYFUNCTION("""COMPUTED_VALUE"""),"Trả sau")</f>
        <v>Trả sau</v>
      </c>
      <c r="I184" s="265" t="str">
        <f>IFERROR(__xludf.DUMMYFUNCTION("""COMPUTED_VALUE"""),"(Chưa recheck)")</f>
        <v>(Chưa recheck)</v>
      </c>
      <c r="J184" s="265" t="str">
        <f>IFERROR(__xludf.DUMMYFUNCTION("""COMPUTED_VALUE"""),"File Excel")</f>
        <v>File Excel</v>
      </c>
    </row>
    <row r="185">
      <c r="A185" s="265" t="str">
        <f>IFERROR(__xludf.DUMMYFUNCTION("""COMPUTED_VALUE"""),"512")</f>
        <v>512</v>
      </c>
      <c r="B185" s="265" t="str">
        <f>IFERROR(__xludf.DUMMYFUNCTION("""COMPUTED_VALUE"""),"Sài Gòn")</f>
        <v>Sài Gòn</v>
      </c>
      <c r="C185" s="265" t="str">
        <f>IFERROR(__xludf.DUMMYFUNCTION("""COMPUTED_VALUE"""),"Locked")</f>
        <v>Locked</v>
      </c>
      <c r="D185" s="265" t="str">
        <f>IFERROR(__xludf.DUMMYFUNCTION("""COMPUTED_VALUE"""),"Sale chưa cung cấp")</f>
        <v>Sale chưa cung cấp</v>
      </c>
      <c r="E185" s="265" t="str">
        <f>IFERROR(__xludf.DUMMYFUNCTION("""COMPUTED_VALUE"""),"HoaNTM")</f>
        <v>HoaNTM</v>
      </c>
      <c r="F185" s="265" t="str">
        <f>IFERROR(__xludf.DUMMYFUNCTION("""COMPUTED_VALUE"""),"Sale chưa cung cấp")</f>
        <v>Sale chưa cung cấp</v>
      </c>
      <c r="G185" s="265" t="str">
        <f>IFERROR(__xludf.DUMMYFUNCTION("""COMPUTED_VALUE"""),"API")</f>
        <v>API</v>
      </c>
      <c r="H185" s="265" t="str">
        <f>IFERROR(__xludf.DUMMYFUNCTION("""COMPUTED_VALUE"""),"Trial")</f>
        <v>Trial</v>
      </c>
      <c r="I185" s="265" t="str">
        <f>IFERROR(__xludf.DUMMYFUNCTION("""COMPUTED_VALUE"""),"(Không recheck)")</f>
        <v>(Không recheck)</v>
      </c>
      <c r="J185" s="265" t="str">
        <f>IFERROR(__xludf.DUMMYFUNCTION("""COMPUTED_VALUE"""),"(Không recheck)")</f>
        <v>(Không recheck)</v>
      </c>
    </row>
    <row r="186">
      <c r="A186" s="265" t="str">
        <f>IFERROR(__xludf.DUMMYFUNCTION("""COMPUTED_VALUE"""),"515")</f>
        <v>515</v>
      </c>
      <c r="B186" s="265" t="str">
        <f>IFERROR(__xludf.DUMMYFUNCTION("""COMPUTED_VALUE"""),"Hà Nội")</f>
        <v>Hà Nội</v>
      </c>
      <c r="C186" s="265" t="str">
        <f>IFERROR(__xludf.DUMMYFUNCTION("""COMPUTED_VALUE"""),"Active")</f>
        <v>Active</v>
      </c>
      <c r="D186" s="265" t="str">
        <f>IFERROR(__xludf.DUMMYFUNCTION("""COMPUTED_VALUE"""),"Nhà hàng &amp; Quán")</f>
        <v>Nhà hàng &amp; Quán</v>
      </c>
      <c r="E186" s="265" t="str">
        <f>IFERROR(__xludf.DUMMYFUNCTION("""COMPUTED_VALUE"""),"TùngLD")</f>
        <v>TùngLD</v>
      </c>
      <c r="F186" s="265" t="str">
        <f>IFERROR(__xludf.DUMMYFUNCTION("""COMPUTED_VALUE"""),"Silver")</f>
        <v>Silver</v>
      </c>
      <c r="G186" s="265" t="str">
        <f>IFERROR(__xludf.DUMMYFUNCTION("""COMPUTED_VALUE"""),"Enterprise")</f>
        <v>Enterprise</v>
      </c>
      <c r="H186" s="265" t="str">
        <f>IFERROR(__xludf.DUMMYFUNCTION("""COMPUTED_VALUE"""),"Trả sau")</f>
        <v>Trả sau</v>
      </c>
      <c r="I186" s="265" t="str">
        <f>IFERROR(__xludf.DUMMYFUNCTION("""COMPUTED_VALUE"""),"API &amp; Portal")</f>
        <v>API &amp; Portal</v>
      </c>
      <c r="J186" s="265" t="str">
        <f>IFERROR(__xludf.DUMMYFUNCTION("""COMPUTED_VALUE"""),"File Excel")</f>
        <v>File Excel</v>
      </c>
    </row>
    <row r="187">
      <c r="A187" s="265" t="str">
        <f>IFERROR(__xludf.DUMMYFUNCTION("""COMPUTED_VALUE"""),"515")</f>
        <v>515</v>
      </c>
      <c r="B187" s="265" t="str">
        <f>IFERROR(__xludf.DUMMYFUNCTION("""COMPUTED_VALUE"""),"Hà Nội")</f>
        <v>Hà Nội</v>
      </c>
      <c r="C187" s="265" t="str">
        <f>IFERROR(__xludf.DUMMYFUNCTION("""COMPUTED_VALUE"""),"Active")</f>
        <v>Active</v>
      </c>
      <c r="D187" s="265" t="str">
        <f>IFERROR(__xludf.DUMMYFUNCTION("""COMPUTED_VALUE"""),"Nhà hàng &amp; Quán")</f>
        <v>Nhà hàng &amp; Quán</v>
      </c>
      <c r="E187" s="265" t="str">
        <f>IFERROR(__xludf.DUMMYFUNCTION("""COMPUTED_VALUE"""),"TùngLD")</f>
        <v>TùngLD</v>
      </c>
      <c r="F187" s="265" t="str">
        <f>IFERROR(__xludf.DUMMYFUNCTION("""COMPUTED_VALUE"""),"Silver")</f>
        <v>Silver</v>
      </c>
      <c r="G187" s="265" t="str">
        <f>IFERROR(__xludf.DUMMYFUNCTION("""COMPUTED_VALUE"""),"Enterprise")</f>
        <v>Enterprise</v>
      </c>
      <c r="H187" s="265" t="str">
        <f>IFERROR(__xludf.DUMMYFUNCTION("""COMPUTED_VALUE"""),"Trả sau")</f>
        <v>Trả sau</v>
      </c>
      <c r="I187" s="265" t="str">
        <f>IFERROR(__xludf.DUMMYFUNCTION("""COMPUTED_VALUE"""),"API &amp; Portal")</f>
        <v>API &amp; Portal</v>
      </c>
      <c r="J187" s="265" t="str">
        <f>IFERROR(__xludf.DUMMYFUNCTION("""COMPUTED_VALUE"""),"API")</f>
        <v>API</v>
      </c>
    </row>
    <row r="188">
      <c r="A188" s="265" t="str">
        <f>IFERROR(__xludf.DUMMYFUNCTION("""COMPUTED_VALUE"""),"245")</f>
        <v>245</v>
      </c>
      <c r="B188" s="265" t="str">
        <f>IFERROR(__xludf.DUMMYFUNCTION("""COMPUTED_VALUE"""),"Hà Nội")</f>
        <v>Hà Nội</v>
      </c>
      <c r="C188" s="265" t="str">
        <f>IFERROR(__xludf.DUMMYFUNCTION("""COMPUTED_VALUE"""),"Active")</f>
        <v>Active</v>
      </c>
      <c r="D188" s="265" t="str">
        <f>IFERROR(__xludf.DUMMYFUNCTION("""COMPUTED_VALUE"""),"Sale chưa cung cấp")</f>
        <v>Sale chưa cung cấp</v>
      </c>
      <c r="E188" s="265" t="str">
        <f>IFERROR(__xludf.DUMMYFUNCTION("""COMPUTED_VALUE"""),"AnhNM")</f>
        <v>AnhNM</v>
      </c>
      <c r="F188" s="265" t="str">
        <f>IFERROR(__xludf.DUMMYFUNCTION("""COMPUTED_VALUE"""),"Gold")</f>
        <v>Gold</v>
      </c>
      <c r="G188" s="265" t="str">
        <f>IFERROR(__xludf.DUMMYFUNCTION("""COMPUTED_VALUE"""),"Starter")</f>
        <v>Starter</v>
      </c>
      <c r="H188" s="265" t="str">
        <f>IFERROR(__xludf.DUMMYFUNCTION("""COMPUTED_VALUE"""),"Trả sau")</f>
        <v>Trả sau</v>
      </c>
      <c r="I188" s="265" t="str">
        <f>IFERROR(__xludf.DUMMYFUNCTION("""COMPUTED_VALUE"""),"Portal")</f>
        <v>Portal</v>
      </c>
      <c r="J188" s="265" t="str">
        <f>IFERROR(__xludf.DUMMYFUNCTION("""COMPUTED_VALUE"""),"File Excel")</f>
        <v>File Excel</v>
      </c>
    </row>
    <row r="189">
      <c r="A189" s="265" t="str">
        <f>IFERROR(__xludf.DUMMYFUNCTION("""COMPUTED_VALUE"""),"245")</f>
        <v>245</v>
      </c>
      <c r="B189" s="265" t="str">
        <f>IFERROR(__xludf.DUMMYFUNCTION("""COMPUTED_VALUE"""),"Hà Nội")</f>
        <v>Hà Nội</v>
      </c>
      <c r="C189" s="265" t="str">
        <f>IFERROR(__xludf.DUMMYFUNCTION("""COMPUTED_VALUE"""),"Active")</f>
        <v>Active</v>
      </c>
      <c r="D189" s="265" t="str">
        <f>IFERROR(__xludf.DUMMYFUNCTION("""COMPUTED_VALUE"""),"Sale chưa cung cấp")</f>
        <v>Sale chưa cung cấp</v>
      </c>
      <c r="E189" s="265" t="str">
        <f>IFERROR(__xludf.DUMMYFUNCTION("""COMPUTED_VALUE"""),"AnhNM")</f>
        <v>AnhNM</v>
      </c>
      <c r="F189" s="265" t="str">
        <f>IFERROR(__xludf.DUMMYFUNCTION("""COMPUTED_VALUE"""),"Gold")</f>
        <v>Gold</v>
      </c>
      <c r="G189" s="265" t="str">
        <f>IFERROR(__xludf.DUMMYFUNCTION("""COMPUTED_VALUE"""),"Starter")</f>
        <v>Starter</v>
      </c>
      <c r="H189" s="265" t="str">
        <f>IFERROR(__xludf.DUMMYFUNCTION("""COMPUTED_VALUE"""),"Trả sau")</f>
        <v>Trả sau</v>
      </c>
      <c r="I189" s="265" t="str">
        <f>IFERROR(__xludf.DUMMYFUNCTION("""COMPUTED_VALUE"""),"Portal")</f>
        <v>Portal</v>
      </c>
      <c r="J189" s="265" t="str">
        <f>IFERROR(__xludf.DUMMYFUNCTION("""COMPUTED_VALUE"""),"API")</f>
        <v>API</v>
      </c>
    </row>
    <row r="190">
      <c r="A190" s="265" t="str">
        <f>IFERROR(__xludf.DUMMYFUNCTION("""COMPUTED_VALUE"""),"516")</f>
        <v>516</v>
      </c>
      <c r="B190" s="265" t="str">
        <f>IFERROR(__xludf.DUMMYFUNCTION("""COMPUTED_VALUE"""),"Sài Gòn")</f>
        <v>Sài Gòn</v>
      </c>
      <c r="C190" s="265" t="str">
        <f>IFERROR(__xludf.DUMMYFUNCTION("""COMPUTED_VALUE"""),"Active")</f>
        <v>Active</v>
      </c>
      <c r="D190" s="265" t="str">
        <f>IFERROR(__xludf.DUMMYFUNCTION("""COMPUTED_VALUE"""),"Sale chưa cung cấp")</f>
        <v>Sale chưa cung cấp</v>
      </c>
      <c r="E190" s="265" t="str">
        <f>IFERROR(__xludf.DUMMYFUNCTION("""COMPUTED_VALUE"""),"TúPHN")</f>
        <v>TúPHN</v>
      </c>
      <c r="F190" s="265" t="str">
        <f>IFERROR(__xludf.DUMMYFUNCTION("""COMPUTED_VALUE"""),"Gold")</f>
        <v>Gold</v>
      </c>
      <c r="G190" s="265" t="str">
        <f>IFERROR(__xludf.DUMMYFUNCTION("""COMPUTED_VALUE"""),"Premium")</f>
        <v>Premium</v>
      </c>
      <c r="H190" s="265" t="str">
        <f>IFERROR(__xludf.DUMMYFUNCTION("""COMPUTED_VALUE"""),"Trả sau")</f>
        <v>Trả sau</v>
      </c>
      <c r="I190" s="265" t="str">
        <f>IFERROR(__xludf.DUMMYFUNCTION("""COMPUTED_VALUE"""),"API &amp; Portal")</f>
        <v>API &amp; Portal</v>
      </c>
      <c r="J190" s="265" t="str">
        <f>IFERROR(__xludf.DUMMYFUNCTION("""COMPUTED_VALUE"""),"File Excel")</f>
        <v>File Excel</v>
      </c>
    </row>
    <row r="191">
      <c r="A191" s="265" t="str">
        <f>IFERROR(__xludf.DUMMYFUNCTION("""COMPUTED_VALUE"""),"516")</f>
        <v>516</v>
      </c>
      <c r="B191" s="265" t="str">
        <f>IFERROR(__xludf.DUMMYFUNCTION("""COMPUTED_VALUE"""),"Sài Gòn")</f>
        <v>Sài Gòn</v>
      </c>
      <c r="C191" s="265" t="str">
        <f>IFERROR(__xludf.DUMMYFUNCTION("""COMPUTED_VALUE"""),"Active")</f>
        <v>Active</v>
      </c>
      <c r="D191" s="265" t="str">
        <f>IFERROR(__xludf.DUMMYFUNCTION("""COMPUTED_VALUE"""),"Sale chưa cung cấp")</f>
        <v>Sale chưa cung cấp</v>
      </c>
      <c r="E191" s="265" t="str">
        <f>IFERROR(__xludf.DUMMYFUNCTION("""COMPUTED_VALUE"""),"TúPHN")</f>
        <v>TúPHN</v>
      </c>
      <c r="F191" s="265" t="str">
        <f>IFERROR(__xludf.DUMMYFUNCTION("""COMPUTED_VALUE"""),"Gold")</f>
        <v>Gold</v>
      </c>
      <c r="G191" s="265" t="str">
        <f>IFERROR(__xludf.DUMMYFUNCTION("""COMPUTED_VALUE"""),"Premium")</f>
        <v>Premium</v>
      </c>
      <c r="H191" s="265" t="str">
        <f>IFERROR(__xludf.DUMMYFUNCTION("""COMPUTED_VALUE"""),"Trả sau")</f>
        <v>Trả sau</v>
      </c>
      <c r="I191" s="265" t="str">
        <f>IFERROR(__xludf.DUMMYFUNCTION("""COMPUTED_VALUE"""),"API &amp; Portal")</f>
        <v>API &amp; Portal</v>
      </c>
      <c r="J191" s="265" t="str">
        <f>IFERROR(__xludf.DUMMYFUNCTION("""COMPUTED_VALUE"""),"API")</f>
        <v>API</v>
      </c>
    </row>
    <row r="192">
      <c r="A192" s="265" t="str">
        <f>IFERROR(__xludf.DUMMYFUNCTION("""COMPUTED_VALUE"""),"514")</f>
        <v>514</v>
      </c>
      <c r="B192" s="265" t="str">
        <f>IFERROR(__xludf.DUMMYFUNCTION("""COMPUTED_VALUE"""),"Hà Nội")</f>
        <v>Hà Nội</v>
      </c>
      <c r="C192" s="265" t="str">
        <f>IFERROR(__xludf.DUMMYFUNCTION("""COMPUTED_VALUE"""),"Locked")</f>
        <v>Locked</v>
      </c>
      <c r="D192" s="265" t="str">
        <f>IFERROR(__xludf.DUMMYFUNCTION("""COMPUTED_VALUE"""),"Sale chưa cung cấp")</f>
        <v>Sale chưa cung cấp</v>
      </c>
      <c r="E192" s="265" t="str">
        <f>IFERROR(__xludf.DUMMYFUNCTION("""COMPUTED_VALUE"""),"HangNT")</f>
        <v>HangNT</v>
      </c>
      <c r="F192" s="265" t="str">
        <f>IFERROR(__xludf.DUMMYFUNCTION("""COMPUTED_VALUE"""),"Sale chưa cung cấp")</f>
        <v>Sale chưa cung cấp</v>
      </c>
      <c r="G192" s="265" t="str">
        <f>IFERROR(__xludf.DUMMYFUNCTION("""COMPUTED_VALUE"""),"Enterprise")</f>
        <v>Enterprise</v>
      </c>
      <c r="H192" s="265" t="str">
        <f>IFERROR(__xludf.DUMMYFUNCTION("""COMPUTED_VALUE"""),"(Chưa recheck)")</f>
        <v>(Chưa recheck)</v>
      </c>
      <c r="I192" s="265" t="str">
        <f>IFERROR(__xludf.DUMMYFUNCTION("""COMPUTED_VALUE"""),"(Chưa recheck)")</f>
        <v>(Chưa recheck)</v>
      </c>
      <c r="J192" s="265" t="str">
        <f>IFERROR(__xludf.DUMMYFUNCTION("""COMPUTED_VALUE"""),"File Excel")</f>
        <v>File Excel</v>
      </c>
    </row>
    <row r="193">
      <c r="A193" s="265" t="str">
        <f>IFERROR(__xludf.DUMMYFUNCTION("""COMPUTED_VALUE"""),"517")</f>
        <v>517</v>
      </c>
      <c r="B193" s="265" t="str">
        <f>IFERROR(__xludf.DUMMYFUNCTION("""COMPUTED_VALUE"""),"Sài Gòn")</f>
        <v>Sài Gòn</v>
      </c>
      <c r="C193" s="265" t="str">
        <f>IFERROR(__xludf.DUMMYFUNCTION("""COMPUTED_VALUE"""),"Active")</f>
        <v>Active</v>
      </c>
      <c r="D193" s="265" t="str">
        <f>IFERROR(__xludf.DUMMYFUNCTION("""COMPUTED_VALUE"""),"Sale chưa cung cấp")</f>
        <v>Sale chưa cung cấp</v>
      </c>
      <c r="E193" s="265" t="str">
        <f>IFERROR(__xludf.DUMMYFUNCTION("""COMPUTED_VALUE"""),"TúPHN")</f>
        <v>TúPHN</v>
      </c>
      <c r="F193" s="265" t="str">
        <f>IFERROR(__xludf.DUMMYFUNCTION("""COMPUTED_VALUE"""),"Silver")</f>
        <v>Silver</v>
      </c>
      <c r="G193" s="265" t="str">
        <f>IFERROR(__xludf.DUMMYFUNCTION("""COMPUTED_VALUE"""),"Starter")</f>
        <v>Starter</v>
      </c>
      <c r="H193" s="265" t="str">
        <f>IFERROR(__xludf.DUMMYFUNCTION("""COMPUTED_VALUE"""),"Trả trước")</f>
        <v>Trả trước</v>
      </c>
      <c r="I193" s="265" t="str">
        <f>IFERROR(__xludf.DUMMYFUNCTION("""COMPUTED_VALUE"""),"API &amp; Portal")</f>
        <v>API &amp; Portal</v>
      </c>
      <c r="J193" s="265" t="str">
        <f>IFERROR(__xludf.DUMMYFUNCTION("""COMPUTED_VALUE"""),"File Excel")</f>
        <v>File Excel</v>
      </c>
    </row>
    <row r="194">
      <c r="A194" s="265" t="str">
        <f>IFERROR(__xludf.DUMMYFUNCTION("""COMPUTED_VALUE"""),"517")</f>
        <v>517</v>
      </c>
      <c r="B194" s="265" t="str">
        <f>IFERROR(__xludf.DUMMYFUNCTION("""COMPUTED_VALUE"""),"Sài Gòn")</f>
        <v>Sài Gòn</v>
      </c>
      <c r="C194" s="265" t="str">
        <f>IFERROR(__xludf.DUMMYFUNCTION("""COMPUTED_VALUE"""),"Active")</f>
        <v>Active</v>
      </c>
      <c r="D194" s="265" t="str">
        <f>IFERROR(__xludf.DUMMYFUNCTION("""COMPUTED_VALUE"""),"Sale chưa cung cấp")</f>
        <v>Sale chưa cung cấp</v>
      </c>
      <c r="E194" s="265" t="str">
        <f>IFERROR(__xludf.DUMMYFUNCTION("""COMPUTED_VALUE"""),"TúPHN")</f>
        <v>TúPHN</v>
      </c>
      <c r="F194" s="265" t="str">
        <f>IFERROR(__xludf.DUMMYFUNCTION("""COMPUTED_VALUE"""),"Silver")</f>
        <v>Silver</v>
      </c>
      <c r="G194" s="265" t="str">
        <f>IFERROR(__xludf.DUMMYFUNCTION("""COMPUTED_VALUE"""),"Starter")</f>
        <v>Starter</v>
      </c>
      <c r="H194" s="265" t="str">
        <f>IFERROR(__xludf.DUMMYFUNCTION("""COMPUTED_VALUE"""),"Trả trước")</f>
        <v>Trả trước</v>
      </c>
      <c r="I194" s="265" t="str">
        <f>IFERROR(__xludf.DUMMYFUNCTION("""COMPUTED_VALUE"""),"API &amp; Portal")</f>
        <v>API &amp; Portal</v>
      </c>
      <c r="J194" s="265" t="str">
        <f>IFERROR(__xludf.DUMMYFUNCTION("""COMPUTED_VALUE"""),"API")</f>
        <v>API</v>
      </c>
    </row>
    <row r="195">
      <c r="A195" s="265" t="str">
        <f>IFERROR(__xludf.DUMMYFUNCTION("""COMPUTED_VALUE"""),"518")</f>
        <v>518</v>
      </c>
      <c r="B195" s="265" t="str">
        <f>IFERROR(__xludf.DUMMYFUNCTION("""COMPUTED_VALUE"""),"Hà Nội")</f>
        <v>Hà Nội</v>
      </c>
      <c r="C195" s="265" t="str">
        <f>IFERROR(__xludf.DUMMYFUNCTION("""COMPUTED_VALUE"""),"Active")</f>
        <v>Active</v>
      </c>
      <c r="D195" s="265" t="str">
        <f>IFERROR(__xludf.DUMMYFUNCTION("""COMPUTED_VALUE"""),"Mỹ phẩm &amp; Làm đẹp")</f>
        <v>Mỹ phẩm &amp; Làm đẹp</v>
      </c>
      <c r="E195" s="265" t="str">
        <f>IFERROR(__xludf.DUMMYFUNCTION("""COMPUTED_VALUE"""),"TúPHN")</f>
        <v>TúPHN</v>
      </c>
      <c r="F195" s="265" t="str">
        <f>IFERROR(__xludf.DUMMYFUNCTION("""COMPUTED_VALUE"""),"Gold")</f>
        <v>Gold</v>
      </c>
      <c r="G195" s="265" t="str">
        <f>IFERROR(__xludf.DUMMYFUNCTION("""COMPUTED_VALUE"""),"Enterprise")</f>
        <v>Enterprise</v>
      </c>
      <c r="H195" s="265" t="str">
        <f>IFERROR(__xludf.DUMMYFUNCTION("""COMPUTED_VALUE"""),"Trả sau")</f>
        <v>Trả sau</v>
      </c>
      <c r="I195" s="265" t="str">
        <f>IFERROR(__xludf.DUMMYFUNCTION("""COMPUTED_VALUE"""),"API &amp; Portal")</f>
        <v>API &amp; Portal</v>
      </c>
      <c r="J195" s="265" t="str">
        <f>IFERROR(__xludf.DUMMYFUNCTION("""COMPUTED_VALUE"""),"ZCA gửi ZNS")</f>
        <v>ZCA gửi ZNS</v>
      </c>
    </row>
    <row r="196">
      <c r="A196" s="265" t="str">
        <f>IFERROR(__xludf.DUMMYFUNCTION("""COMPUTED_VALUE"""),"519")</f>
        <v>519</v>
      </c>
      <c r="B196" s="265" t="str">
        <f>IFERROR(__xludf.DUMMYFUNCTION("""COMPUTED_VALUE"""),"Sài Gòn")</f>
        <v>Sài Gòn</v>
      </c>
      <c r="C196" s="265" t="str">
        <f>IFERROR(__xludf.DUMMYFUNCTION("""COMPUTED_VALUE"""),"Active")</f>
        <v>Active</v>
      </c>
      <c r="D196" s="265" t="str">
        <f>IFERROR(__xludf.DUMMYFUNCTION("""COMPUTED_VALUE"""),"Sale chưa cung cấp")</f>
        <v>Sale chưa cung cấp</v>
      </c>
      <c r="E196" s="265" t="str">
        <f>IFERROR(__xludf.DUMMYFUNCTION("""COMPUTED_VALUE"""),"TúPHN")</f>
        <v>TúPHN</v>
      </c>
      <c r="F196" s="265" t="str">
        <f>IFERROR(__xludf.DUMMYFUNCTION("""COMPUTED_VALUE"""),"Silver")</f>
        <v>Silver</v>
      </c>
      <c r="G196" s="265" t="str">
        <f>IFERROR(__xludf.DUMMYFUNCTION("""COMPUTED_VALUE"""),"Starter")</f>
        <v>Starter</v>
      </c>
      <c r="H196" s="265" t="str">
        <f>IFERROR(__xludf.DUMMYFUNCTION("""COMPUTED_VALUE"""),"Trả sau")</f>
        <v>Trả sau</v>
      </c>
      <c r="I196" s="265" t="str">
        <f>IFERROR(__xludf.DUMMYFUNCTION("""COMPUTED_VALUE"""),"API &amp; Portal")</f>
        <v>API &amp; Portal</v>
      </c>
      <c r="J196" s="265" t="str">
        <f>IFERROR(__xludf.DUMMYFUNCTION("""COMPUTED_VALUE"""),"API")</f>
        <v>API</v>
      </c>
    </row>
    <row r="197">
      <c r="A197" s="265" t="str">
        <f>IFERROR(__xludf.DUMMYFUNCTION("""COMPUTED_VALUE"""),"520")</f>
        <v>520</v>
      </c>
      <c r="B197" s="265" t="str">
        <f>IFERROR(__xludf.DUMMYFUNCTION("""COMPUTED_VALUE"""),"Sài Gòn")</f>
        <v>Sài Gòn</v>
      </c>
      <c r="C197" s="265" t="str">
        <f>IFERROR(__xludf.DUMMYFUNCTION("""COMPUTED_VALUE"""),"Locked")</f>
        <v>Locked</v>
      </c>
      <c r="D197" s="265" t="str">
        <f>IFERROR(__xludf.DUMMYFUNCTION("""COMPUTED_VALUE"""),"Sale chưa cung cấp")</f>
        <v>Sale chưa cung cấp</v>
      </c>
      <c r="E197" s="265" t="str">
        <f>IFERROR(__xludf.DUMMYFUNCTION("""COMPUTED_VALUE"""),"HoaNTM")</f>
        <v>HoaNTM</v>
      </c>
      <c r="F197" s="265" t="str">
        <f>IFERROR(__xludf.DUMMYFUNCTION("""COMPUTED_VALUE"""),"Bronze")</f>
        <v>Bronze</v>
      </c>
      <c r="G197" s="265" t="str">
        <f>IFERROR(__xludf.DUMMYFUNCTION("""COMPUTED_VALUE"""),"Enterprise")</f>
        <v>Enterprise</v>
      </c>
      <c r="H197" s="265" t="str">
        <f>IFERROR(__xludf.DUMMYFUNCTION("""COMPUTED_VALUE"""),"(Chưa recheck)")</f>
        <v>(Chưa recheck)</v>
      </c>
      <c r="I197" s="265" t="str">
        <f>IFERROR(__xludf.DUMMYFUNCTION("""COMPUTED_VALUE"""),"(Chưa recheck)")</f>
        <v>(Chưa recheck)</v>
      </c>
      <c r="J197" s="265" t="str">
        <f>IFERROR(__xludf.DUMMYFUNCTION("""COMPUTED_VALUE"""),"(Chưa recheck)")</f>
        <v>(Chưa recheck)</v>
      </c>
    </row>
    <row r="198">
      <c r="A198" s="265" t="str">
        <f>IFERROR(__xludf.DUMMYFUNCTION("""COMPUTED_VALUE"""),"540")</f>
        <v>540</v>
      </c>
      <c r="B198" s="265" t="str">
        <f>IFERROR(__xludf.DUMMYFUNCTION("""COMPUTED_VALUE"""),"Hà Nội")</f>
        <v>Hà Nội</v>
      </c>
      <c r="C198" s="265" t="str">
        <f>IFERROR(__xludf.DUMMYFUNCTION("""COMPUTED_VALUE"""),"Active")</f>
        <v>Active</v>
      </c>
      <c r="D198" s="265" t="str">
        <f>IFERROR(__xludf.DUMMYFUNCTION("""COMPUTED_VALUE"""),"Sale chưa cung cấp")</f>
        <v>Sale chưa cung cấp</v>
      </c>
      <c r="E198" s="265" t="str">
        <f>IFERROR(__xludf.DUMMYFUNCTION("""COMPUTED_VALUE"""),"TùngLD")</f>
        <v>TùngLD</v>
      </c>
      <c r="F198" s="265" t="str">
        <f>IFERROR(__xludf.DUMMYFUNCTION("""COMPUTED_VALUE"""),"Bronze")</f>
        <v>Bronze</v>
      </c>
      <c r="G198" s="265" t="str">
        <f>IFERROR(__xludf.DUMMYFUNCTION("""COMPUTED_VALUE"""),"Starter")</f>
        <v>Starter</v>
      </c>
      <c r="H198" s="265" t="str">
        <f>IFERROR(__xludf.DUMMYFUNCTION("""COMPUTED_VALUE"""),"Trả sau")</f>
        <v>Trả sau</v>
      </c>
      <c r="I198" s="265" t="str">
        <f>IFERROR(__xludf.DUMMYFUNCTION("""COMPUTED_VALUE"""),"API")</f>
        <v>API</v>
      </c>
      <c r="J198" s="265" t="str">
        <f>IFERROR(__xludf.DUMMYFUNCTION("""COMPUTED_VALUE"""),"API")</f>
        <v>API</v>
      </c>
    </row>
    <row r="199">
      <c r="A199" s="265" t="str">
        <f>IFERROR(__xludf.DUMMYFUNCTION("""COMPUTED_VALUE"""),"521")</f>
        <v>521</v>
      </c>
      <c r="B199" s="265" t="str">
        <f>IFERROR(__xludf.DUMMYFUNCTION("""COMPUTED_VALUE"""),"Hà Nội")</f>
        <v>Hà Nội</v>
      </c>
      <c r="C199" s="265" t="str">
        <f>IFERROR(__xludf.DUMMYFUNCTION("""COMPUTED_VALUE"""),"Locked")</f>
        <v>Locked</v>
      </c>
      <c r="D199" s="265" t="str">
        <f>IFERROR(__xludf.DUMMYFUNCTION("""COMPUTED_VALUE"""),"Sale chưa cung cấp")</f>
        <v>Sale chưa cung cấp</v>
      </c>
      <c r="E199" s="265" t="str">
        <f>IFERROR(__xludf.DUMMYFUNCTION("""COMPUTED_VALUE"""),"PhươngDTB")</f>
        <v>PhươngDTB</v>
      </c>
      <c r="F199" s="265" t="str">
        <f>IFERROR(__xludf.DUMMYFUNCTION("""COMPUTED_VALUE"""),"Bronze")</f>
        <v>Bronze</v>
      </c>
      <c r="G199" s="265" t="str">
        <f>IFERROR(__xludf.DUMMYFUNCTION("""COMPUTED_VALUE"""),"Enterprise")</f>
        <v>Enterprise</v>
      </c>
      <c r="H199" s="265" t="str">
        <f>IFERROR(__xludf.DUMMYFUNCTION("""COMPUTED_VALUE"""),"(Chưa recheck)")</f>
        <v>(Chưa recheck)</v>
      </c>
      <c r="I199" s="265" t="str">
        <f>IFERROR(__xludf.DUMMYFUNCTION("""COMPUTED_VALUE"""),"(Chưa recheck)")</f>
        <v>(Chưa recheck)</v>
      </c>
      <c r="J199" s="265" t="str">
        <f>IFERROR(__xludf.DUMMYFUNCTION("""COMPUTED_VALUE"""),"Kiotviet")</f>
        <v>Kiotviet</v>
      </c>
    </row>
    <row r="200">
      <c r="A200" s="265" t="str">
        <f>IFERROR(__xludf.DUMMYFUNCTION("""COMPUTED_VALUE"""),"522")</f>
        <v>522</v>
      </c>
      <c r="B200" s="265" t="str">
        <f>IFERROR(__xludf.DUMMYFUNCTION("""COMPUTED_VALUE"""),"Hà Nội")</f>
        <v>Hà Nội</v>
      </c>
      <c r="C200" s="265" t="str">
        <f>IFERROR(__xludf.DUMMYFUNCTION("""COMPUTED_VALUE"""),"Locked")</f>
        <v>Locked</v>
      </c>
      <c r="D200" s="265" t="str">
        <f>IFERROR(__xludf.DUMMYFUNCTION("""COMPUTED_VALUE"""),"Sale chưa cung cấp")</f>
        <v>Sale chưa cung cấp</v>
      </c>
      <c r="E200" s="265" t="str">
        <f>IFERROR(__xludf.DUMMYFUNCTION("""COMPUTED_VALUE"""),"TùngLD")</f>
        <v>TùngLD</v>
      </c>
      <c r="F200" s="265" t="str">
        <f>IFERROR(__xludf.DUMMYFUNCTION("""COMPUTED_VALUE"""),"Sale chưa cung cấp")</f>
        <v>Sale chưa cung cấp</v>
      </c>
      <c r="G200" s="265" t="str">
        <f>IFERROR(__xludf.DUMMYFUNCTION("""COMPUTED_VALUE"""),"API")</f>
        <v>API</v>
      </c>
      <c r="H200" s="265" t="str">
        <f>IFERROR(__xludf.DUMMYFUNCTION("""COMPUTED_VALUE"""),"Trial")</f>
        <v>Trial</v>
      </c>
      <c r="I200" s="265" t="str">
        <f>IFERROR(__xludf.DUMMYFUNCTION("""COMPUTED_VALUE"""),"API")</f>
        <v>API</v>
      </c>
      <c r="J200" s="265" t="str">
        <f>IFERROR(__xludf.DUMMYFUNCTION("""COMPUTED_VALUE"""),"API")</f>
        <v>API</v>
      </c>
    </row>
    <row r="201">
      <c r="A201" s="265" t="str">
        <f>IFERROR(__xludf.DUMMYFUNCTION("""COMPUTED_VALUE"""),"523")</f>
        <v>523</v>
      </c>
      <c r="B201" s="265" t="str">
        <f>IFERROR(__xludf.DUMMYFUNCTION("""COMPUTED_VALUE"""),"Hà Nội")</f>
        <v>Hà Nội</v>
      </c>
      <c r="C201" s="265" t="str">
        <f>IFERROR(__xludf.DUMMYFUNCTION("""COMPUTED_VALUE"""),"Locked")</f>
        <v>Locked</v>
      </c>
      <c r="D201" s="265" t="str">
        <f>IFERROR(__xludf.DUMMYFUNCTION("""COMPUTED_VALUE"""),"Sale chưa cung cấp")</f>
        <v>Sale chưa cung cấp</v>
      </c>
      <c r="E201" s="265" t="str">
        <f>IFERROR(__xludf.DUMMYFUNCTION("""COMPUTED_VALUE"""),"TùngLD")</f>
        <v>TùngLD</v>
      </c>
      <c r="F201" s="265" t="str">
        <f>IFERROR(__xludf.DUMMYFUNCTION("""COMPUTED_VALUE"""),"Bronze")</f>
        <v>Bronze</v>
      </c>
      <c r="G201" s="265" t="str">
        <f>IFERROR(__xludf.DUMMYFUNCTION("""COMPUTED_VALUE"""),"API")</f>
        <v>API</v>
      </c>
      <c r="H201" s="265" t="str">
        <f>IFERROR(__xludf.DUMMYFUNCTION("""COMPUTED_VALUE"""),"Trả sau")</f>
        <v>Trả sau</v>
      </c>
      <c r="I201" s="265" t="str">
        <f>IFERROR(__xludf.DUMMYFUNCTION("""COMPUTED_VALUE"""),"API &amp; Portal")</f>
        <v>API &amp; Portal</v>
      </c>
      <c r="J201" s="265" t="str">
        <f>IFERROR(__xludf.DUMMYFUNCTION("""COMPUTED_VALUE"""),"API")</f>
        <v>API</v>
      </c>
    </row>
    <row r="202">
      <c r="A202" s="265" t="str">
        <f>IFERROR(__xludf.DUMMYFUNCTION("""COMPUTED_VALUE"""),"524")</f>
        <v>524</v>
      </c>
      <c r="B202" s="265" t="str">
        <f>IFERROR(__xludf.DUMMYFUNCTION("""COMPUTED_VALUE"""),"Sài Gòn")</f>
        <v>Sài Gòn</v>
      </c>
      <c r="C202" s="265" t="str">
        <f>IFERROR(__xludf.DUMMYFUNCTION("""COMPUTED_VALUE"""),"Active")</f>
        <v>Active</v>
      </c>
      <c r="D202" s="265" t="str">
        <f>IFERROR(__xludf.DUMMYFUNCTION("""COMPUTED_VALUE"""),"Mua sắm &amp; Bán lẻ")</f>
        <v>Mua sắm &amp; Bán lẻ</v>
      </c>
      <c r="E202" s="265" t="str">
        <f>IFERROR(__xludf.DUMMYFUNCTION("""COMPUTED_VALUE"""),"TùngLD")</f>
        <v>TùngLD</v>
      </c>
      <c r="F202" s="265" t="str">
        <f>IFERROR(__xludf.DUMMYFUNCTION("""COMPUTED_VALUE"""),"Silver")</f>
        <v>Silver</v>
      </c>
      <c r="G202" s="265" t="str">
        <f>IFERROR(__xludf.DUMMYFUNCTION("""COMPUTED_VALUE"""),"Enterprise")</f>
        <v>Enterprise</v>
      </c>
      <c r="H202" s="265" t="str">
        <f>IFERROR(__xludf.DUMMYFUNCTION("""COMPUTED_VALUE"""),"Trả trước")</f>
        <v>Trả trước</v>
      </c>
      <c r="I202" s="265" t="str">
        <f>IFERROR(__xludf.DUMMYFUNCTION("""COMPUTED_VALUE"""),"API &amp; Portal")</f>
        <v>API &amp; Portal</v>
      </c>
      <c r="J202" s="265" t="str">
        <f>IFERROR(__xludf.DUMMYFUNCTION("""COMPUTED_VALUE"""),"Kiotviet")</f>
        <v>Kiotviet</v>
      </c>
    </row>
    <row r="203">
      <c r="A203" s="265" t="str">
        <f>IFERROR(__xludf.DUMMYFUNCTION("""COMPUTED_VALUE"""),"525")</f>
        <v>525</v>
      </c>
      <c r="B203" s="265" t="str">
        <f>IFERROR(__xludf.DUMMYFUNCTION("""COMPUTED_VALUE"""),"Sài Gòn")</f>
        <v>Sài Gòn</v>
      </c>
      <c r="C203" s="265" t="str">
        <f>IFERROR(__xludf.DUMMYFUNCTION("""COMPUTED_VALUE"""),"Locked")</f>
        <v>Locked</v>
      </c>
      <c r="D203" s="265" t="str">
        <f>IFERROR(__xludf.DUMMYFUNCTION("""COMPUTED_VALUE"""),"Sale chưa cung cấp")</f>
        <v>Sale chưa cung cấp</v>
      </c>
      <c r="E203" s="265" t="str">
        <f>IFERROR(__xludf.DUMMYFUNCTION("""COMPUTED_VALUE"""),"HoaNTM")</f>
        <v>HoaNTM</v>
      </c>
      <c r="F203" s="265" t="str">
        <f>IFERROR(__xludf.DUMMYFUNCTION("""COMPUTED_VALUE"""),"Diamond")</f>
        <v>Diamond</v>
      </c>
      <c r="G203" s="265" t="str">
        <f>IFERROR(__xludf.DUMMYFUNCTION("""COMPUTED_VALUE"""),"API")</f>
        <v>API</v>
      </c>
      <c r="H203" s="265" t="str">
        <f>IFERROR(__xludf.DUMMYFUNCTION("""COMPUTED_VALUE"""),"Trả sau")</f>
        <v>Trả sau</v>
      </c>
      <c r="I203" s="265" t="str">
        <f>IFERROR(__xludf.DUMMYFUNCTION("""COMPUTED_VALUE"""),"(Chưa recheck)")</f>
        <v>(Chưa recheck)</v>
      </c>
      <c r="J203" s="265" t="str">
        <f>IFERROR(__xludf.DUMMYFUNCTION("""COMPUTED_VALUE"""),"(Chưa recheck)")</f>
        <v>(Chưa recheck)</v>
      </c>
    </row>
    <row r="204">
      <c r="A204" s="265" t="str">
        <f>IFERROR(__xludf.DUMMYFUNCTION("""COMPUTED_VALUE"""),"526")</f>
        <v>526</v>
      </c>
      <c r="B204" s="265" t="str">
        <f>IFERROR(__xludf.DUMMYFUNCTION("""COMPUTED_VALUE"""),"Sài Gòn")</f>
        <v>Sài Gòn</v>
      </c>
      <c r="C204" s="265" t="str">
        <f>IFERROR(__xludf.DUMMYFUNCTION("""COMPUTED_VALUE"""),"Locked")</f>
        <v>Locked</v>
      </c>
      <c r="D204" s="265" t="str">
        <f>IFERROR(__xludf.DUMMYFUNCTION("""COMPUTED_VALUE"""),"Sale chưa cung cấp")</f>
        <v>Sale chưa cung cấp</v>
      </c>
      <c r="E204" s="265" t="str">
        <f>IFERROR(__xludf.DUMMYFUNCTION("""COMPUTED_VALUE"""),"HoaNTM")</f>
        <v>HoaNTM</v>
      </c>
      <c r="F204" s="265" t="str">
        <f>IFERROR(__xludf.DUMMYFUNCTION("""COMPUTED_VALUE"""),"Bronze")</f>
        <v>Bronze</v>
      </c>
      <c r="G204" s="265" t="str">
        <f>IFERROR(__xludf.DUMMYFUNCTION("""COMPUTED_VALUE"""),"Enterprise")</f>
        <v>Enterprise</v>
      </c>
      <c r="H204" s="265" t="str">
        <f>IFERROR(__xludf.DUMMYFUNCTION("""COMPUTED_VALUE"""),"(Chưa recheck)")</f>
        <v>(Chưa recheck)</v>
      </c>
      <c r="I204" s="265" t="str">
        <f>IFERROR(__xludf.DUMMYFUNCTION("""COMPUTED_VALUE"""),"(Chưa recheck)")</f>
        <v>(Chưa recheck)</v>
      </c>
      <c r="J204" s="265" t="str">
        <f>IFERROR(__xludf.DUMMYFUNCTION("""COMPUTED_VALUE"""),"(Chưa recheck)")</f>
        <v>(Chưa recheck)</v>
      </c>
    </row>
    <row r="205">
      <c r="A205" s="265" t="str">
        <f>IFERROR(__xludf.DUMMYFUNCTION("""COMPUTED_VALUE"""),"531")</f>
        <v>531</v>
      </c>
      <c r="B205" s="265" t="str">
        <f>IFERROR(__xludf.DUMMYFUNCTION("""COMPUTED_VALUE"""),"Sài Gòn")</f>
        <v>Sài Gòn</v>
      </c>
      <c r="C205" s="265" t="str">
        <f>IFERROR(__xludf.DUMMYFUNCTION("""COMPUTED_VALUE"""),"Locked")</f>
        <v>Locked</v>
      </c>
      <c r="D205" s="265" t="str">
        <f>IFERROR(__xludf.DUMMYFUNCTION("""COMPUTED_VALUE"""),"Sale chưa cung cấp")</f>
        <v>Sale chưa cung cấp</v>
      </c>
      <c r="E205" s="265" t="str">
        <f>IFERROR(__xludf.DUMMYFUNCTION("""COMPUTED_VALUE"""),"HoaNTM")</f>
        <v>HoaNTM</v>
      </c>
      <c r="F205" s="265" t="str">
        <f>IFERROR(__xludf.DUMMYFUNCTION("""COMPUTED_VALUE"""),"Sale chưa cung cấp")</f>
        <v>Sale chưa cung cấp</v>
      </c>
      <c r="G205" s="265" t="str">
        <f>IFERROR(__xludf.DUMMYFUNCTION("""COMPUTED_VALUE"""),"Enterprise")</f>
        <v>Enterprise</v>
      </c>
      <c r="H205" s="265" t="str">
        <f>IFERROR(__xludf.DUMMYFUNCTION("""COMPUTED_VALUE"""),"(Chưa recheck)")</f>
        <v>(Chưa recheck)</v>
      </c>
      <c r="I205" s="265" t="str">
        <f>IFERROR(__xludf.DUMMYFUNCTION("""COMPUTED_VALUE"""),"(Chưa recheck)")</f>
        <v>(Chưa recheck)</v>
      </c>
      <c r="J205" s="265" t="str">
        <f>IFERROR(__xludf.DUMMYFUNCTION("""COMPUTED_VALUE"""),"(Chưa recheck)")</f>
        <v>(Chưa recheck)</v>
      </c>
    </row>
    <row r="206">
      <c r="A206" s="265" t="str">
        <f>IFERROR(__xludf.DUMMYFUNCTION("""COMPUTED_VALUE"""),"527")</f>
        <v>527</v>
      </c>
      <c r="B206" s="265" t="str">
        <f>IFERROR(__xludf.DUMMYFUNCTION("""COMPUTED_VALUE"""),"Hà Nội")</f>
        <v>Hà Nội</v>
      </c>
      <c r="C206" s="265" t="str">
        <f>IFERROR(__xludf.DUMMYFUNCTION("""COMPUTED_VALUE"""),"Locked")</f>
        <v>Locked</v>
      </c>
      <c r="D206" s="265" t="str">
        <f>IFERROR(__xludf.DUMMYFUNCTION("""COMPUTED_VALUE"""),"Công nghệ &amp; Phần mềm")</f>
        <v>Công nghệ &amp; Phần mềm</v>
      </c>
      <c r="E206" s="265" t="str">
        <f>IFERROR(__xludf.DUMMYFUNCTION("""COMPUTED_VALUE"""),"TùngLD")</f>
        <v>TùngLD</v>
      </c>
      <c r="F206" s="265" t="str">
        <f>IFERROR(__xludf.DUMMYFUNCTION("""COMPUTED_VALUE"""),"Silver")</f>
        <v>Silver</v>
      </c>
      <c r="G206" s="265" t="str">
        <f>IFERROR(__xludf.DUMMYFUNCTION("""COMPUTED_VALUE"""),"Enterprise")</f>
        <v>Enterprise</v>
      </c>
      <c r="H206" s="265" t="str">
        <f>IFERROR(__xludf.DUMMYFUNCTION("""COMPUTED_VALUE"""),"Trả trước")</f>
        <v>Trả trước</v>
      </c>
      <c r="I206" s="265" t="str">
        <f>IFERROR(__xludf.DUMMYFUNCTION("""COMPUTED_VALUE"""),"API &amp; Portal")</f>
        <v>API &amp; Portal</v>
      </c>
      <c r="J206" s="265" t="str">
        <f>IFERROR(__xludf.DUMMYFUNCTION("""COMPUTED_VALUE"""),"File Excel")</f>
        <v>File Excel</v>
      </c>
    </row>
    <row r="207">
      <c r="A207" s="265" t="str">
        <f>IFERROR(__xludf.DUMMYFUNCTION("""COMPUTED_VALUE"""),"528")</f>
        <v>528</v>
      </c>
      <c r="B207" s="265" t="str">
        <f>IFERROR(__xludf.DUMMYFUNCTION("""COMPUTED_VALUE"""),"Sài Gòn")</f>
        <v>Sài Gòn</v>
      </c>
      <c r="C207" s="265" t="str">
        <f>IFERROR(__xludf.DUMMYFUNCTION("""COMPUTED_VALUE"""),"Active")</f>
        <v>Active</v>
      </c>
      <c r="D207" s="265" t="str">
        <f>IFERROR(__xludf.DUMMYFUNCTION("""COMPUTED_VALUE"""),"Sale chưa cung cấp")</f>
        <v>Sale chưa cung cấp</v>
      </c>
      <c r="E207" s="265" t="str">
        <f>IFERROR(__xludf.DUMMYFUNCTION("""COMPUTED_VALUE"""),"TúPHN")</f>
        <v>TúPHN</v>
      </c>
      <c r="F207" s="265" t="str">
        <f>IFERROR(__xludf.DUMMYFUNCTION("""COMPUTED_VALUE"""),"Diamond")</f>
        <v>Diamond</v>
      </c>
      <c r="G207" s="265" t="str">
        <f>IFERROR(__xludf.DUMMYFUNCTION("""COMPUTED_VALUE"""),"Enterprise")</f>
        <v>Enterprise</v>
      </c>
      <c r="H207" s="265" t="str">
        <f>IFERROR(__xludf.DUMMYFUNCTION("""COMPUTED_VALUE"""),"Trả sau")</f>
        <v>Trả sau</v>
      </c>
      <c r="I207" s="265" t="str">
        <f>IFERROR(__xludf.DUMMYFUNCTION("""COMPUTED_VALUE"""),"Portal")</f>
        <v>Portal</v>
      </c>
      <c r="J207" s="265" t="str">
        <f>IFERROR(__xludf.DUMMYFUNCTION("""COMPUTED_VALUE"""),"File Excel")</f>
        <v>File Excel</v>
      </c>
    </row>
    <row r="208">
      <c r="A208" s="265" t="str">
        <f>IFERROR(__xludf.DUMMYFUNCTION("""COMPUTED_VALUE"""),"529")</f>
        <v>529</v>
      </c>
      <c r="B208" s="265" t="str">
        <f>IFERROR(__xludf.DUMMYFUNCTION("""COMPUTED_VALUE"""),"Hà Nội")</f>
        <v>Hà Nội</v>
      </c>
      <c r="C208" s="265" t="str">
        <f>IFERROR(__xludf.DUMMYFUNCTION("""COMPUTED_VALUE"""),"Locked")</f>
        <v>Locked</v>
      </c>
      <c r="D208" s="265" t="str">
        <f>IFERROR(__xludf.DUMMYFUNCTION("""COMPUTED_VALUE"""),"Sale chưa cung cấp")</f>
        <v>Sale chưa cung cấp</v>
      </c>
      <c r="E208" s="265" t="str">
        <f>IFERROR(__xludf.DUMMYFUNCTION("""COMPUTED_VALUE"""),"PhươngDTB")</f>
        <v>PhươngDTB</v>
      </c>
      <c r="F208" s="265" t="str">
        <f>IFERROR(__xludf.DUMMYFUNCTION("""COMPUTED_VALUE"""),"Bronze")</f>
        <v>Bronze</v>
      </c>
      <c r="G208" s="265" t="str">
        <f>IFERROR(__xludf.DUMMYFUNCTION("""COMPUTED_VALUE"""),"Enterprise")</f>
        <v>Enterprise</v>
      </c>
      <c r="H208" s="265" t="str">
        <f>IFERROR(__xludf.DUMMYFUNCTION("""COMPUTED_VALUE"""),"(Chưa recheck)")</f>
        <v>(Chưa recheck)</v>
      </c>
      <c r="I208" s="265" t="str">
        <f>IFERROR(__xludf.DUMMYFUNCTION("""COMPUTED_VALUE"""),"(Chưa recheck)")</f>
        <v>(Chưa recheck)</v>
      </c>
      <c r="J208" s="265" t="str">
        <f>IFERROR(__xludf.DUMMYFUNCTION("""COMPUTED_VALUE"""),"File Excel")</f>
        <v>File Excel</v>
      </c>
    </row>
    <row r="209">
      <c r="A209" s="265" t="str">
        <f>IFERROR(__xludf.DUMMYFUNCTION("""COMPUTED_VALUE"""),"530")</f>
        <v>530</v>
      </c>
      <c r="B209" s="265" t="str">
        <f>IFERROR(__xludf.DUMMYFUNCTION("""COMPUTED_VALUE"""),"Sài Gòn")</f>
        <v>Sài Gòn</v>
      </c>
      <c r="C209" s="265" t="str">
        <f>IFERROR(__xludf.DUMMYFUNCTION("""COMPUTED_VALUE"""),"Active")</f>
        <v>Active</v>
      </c>
      <c r="D209" s="265" t="str">
        <f>IFERROR(__xludf.DUMMYFUNCTION("""COMPUTED_VALUE"""),"Công nghệ &amp; Phần mềm")</f>
        <v>Công nghệ &amp; Phần mềm</v>
      </c>
      <c r="E209" s="265" t="str">
        <f>IFERROR(__xludf.DUMMYFUNCTION("""COMPUTED_VALUE"""),"TùngLD")</f>
        <v>TùngLD</v>
      </c>
      <c r="F209" s="265" t="str">
        <f>IFERROR(__xludf.DUMMYFUNCTION("""COMPUTED_VALUE"""),"Silver")</f>
        <v>Silver</v>
      </c>
      <c r="G209" s="265" t="str">
        <f>IFERROR(__xludf.DUMMYFUNCTION("""COMPUTED_VALUE"""),"API")</f>
        <v>API</v>
      </c>
      <c r="H209" s="265" t="str">
        <f>IFERROR(__xludf.DUMMYFUNCTION("""COMPUTED_VALUE"""),"Trả sau")</f>
        <v>Trả sau</v>
      </c>
      <c r="I209" s="265" t="str">
        <f>IFERROR(__xludf.DUMMYFUNCTION("""COMPUTED_VALUE"""),"API")</f>
        <v>API</v>
      </c>
      <c r="J209" s="265" t="str">
        <f>IFERROR(__xludf.DUMMYFUNCTION("""COMPUTED_VALUE"""),"API")</f>
        <v>API</v>
      </c>
    </row>
    <row r="210">
      <c r="A210" s="265" t="str">
        <f>IFERROR(__xludf.DUMMYFUNCTION("""COMPUTED_VALUE"""),"533")</f>
        <v>533</v>
      </c>
      <c r="B210" s="265" t="str">
        <f>IFERROR(__xludf.DUMMYFUNCTION("""COMPUTED_VALUE"""),"Sài Gòn")</f>
        <v>Sài Gòn</v>
      </c>
      <c r="C210" s="265" t="str">
        <f>IFERROR(__xludf.DUMMYFUNCTION("""COMPUTED_VALUE"""),"Locked")</f>
        <v>Locked</v>
      </c>
      <c r="D210" s="265" t="str">
        <f>IFERROR(__xludf.DUMMYFUNCTION("""COMPUTED_VALUE"""),"Sale chưa cung cấp")</f>
        <v>Sale chưa cung cấp</v>
      </c>
      <c r="E210" s="265" t="str">
        <f>IFERROR(__xludf.DUMMYFUNCTION("""COMPUTED_VALUE"""),"HoaNTM")</f>
        <v>HoaNTM</v>
      </c>
      <c r="F210" s="265" t="str">
        <f>IFERROR(__xludf.DUMMYFUNCTION("""COMPUTED_VALUE"""),"Bronze")</f>
        <v>Bronze</v>
      </c>
      <c r="G210" s="265" t="str">
        <f>IFERROR(__xludf.DUMMYFUNCTION("""COMPUTED_VALUE"""),"Enterprise")</f>
        <v>Enterprise</v>
      </c>
      <c r="H210" s="265" t="str">
        <f>IFERROR(__xludf.DUMMYFUNCTION("""COMPUTED_VALUE"""),"(Chưa recheck)")</f>
        <v>(Chưa recheck)</v>
      </c>
      <c r="I210" s="265" t="str">
        <f>IFERROR(__xludf.DUMMYFUNCTION("""COMPUTED_VALUE"""),"(Chưa recheck)")</f>
        <v>(Chưa recheck)</v>
      </c>
      <c r="J210" s="265" t="str">
        <f>IFERROR(__xludf.DUMMYFUNCTION("""COMPUTED_VALUE"""),"File Excel")</f>
        <v>File Excel</v>
      </c>
    </row>
    <row r="211">
      <c r="A211" s="265" t="str">
        <f>IFERROR(__xludf.DUMMYFUNCTION("""COMPUTED_VALUE"""),"533")</f>
        <v>533</v>
      </c>
      <c r="B211" s="265" t="str">
        <f>IFERROR(__xludf.DUMMYFUNCTION("""COMPUTED_VALUE"""),"Sài Gòn")</f>
        <v>Sài Gòn</v>
      </c>
      <c r="C211" s="265" t="str">
        <f>IFERROR(__xludf.DUMMYFUNCTION("""COMPUTED_VALUE"""),"Locked")</f>
        <v>Locked</v>
      </c>
      <c r="D211" s="265" t="str">
        <f>IFERROR(__xludf.DUMMYFUNCTION("""COMPUTED_VALUE"""),"Sale chưa cung cấp")</f>
        <v>Sale chưa cung cấp</v>
      </c>
      <c r="E211" s="265" t="str">
        <f>IFERROR(__xludf.DUMMYFUNCTION("""COMPUTED_VALUE"""),"HoaNTM")</f>
        <v>HoaNTM</v>
      </c>
      <c r="F211" s="265" t="str">
        <f>IFERROR(__xludf.DUMMYFUNCTION("""COMPUTED_VALUE"""),"Bronze")</f>
        <v>Bronze</v>
      </c>
      <c r="G211" s="265" t="str">
        <f>IFERROR(__xludf.DUMMYFUNCTION("""COMPUTED_VALUE"""),"Enterprise")</f>
        <v>Enterprise</v>
      </c>
      <c r="H211" s="265" t="str">
        <f>IFERROR(__xludf.DUMMYFUNCTION("""COMPUTED_VALUE"""),"(Chưa recheck)")</f>
        <v>(Chưa recheck)</v>
      </c>
      <c r="I211" s="265" t="str">
        <f>IFERROR(__xludf.DUMMYFUNCTION("""COMPUTED_VALUE"""),"(Chưa recheck)")</f>
        <v>(Chưa recheck)</v>
      </c>
      <c r="J211" s="265" t="str">
        <f>IFERROR(__xludf.DUMMYFUNCTION("""COMPUTED_VALUE"""),"API")</f>
        <v>API</v>
      </c>
    </row>
    <row r="212">
      <c r="A212" s="265" t="str">
        <f>IFERROR(__xludf.DUMMYFUNCTION("""COMPUTED_VALUE"""),"533")</f>
        <v>533</v>
      </c>
      <c r="B212" s="265" t="str">
        <f>IFERROR(__xludf.DUMMYFUNCTION("""COMPUTED_VALUE"""),"Sài Gòn")</f>
        <v>Sài Gòn</v>
      </c>
      <c r="C212" s="265" t="str">
        <f>IFERROR(__xludf.DUMMYFUNCTION("""COMPUTED_VALUE"""),"Locked")</f>
        <v>Locked</v>
      </c>
      <c r="D212" s="265" t="str">
        <f>IFERROR(__xludf.DUMMYFUNCTION("""COMPUTED_VALUE"""),"Sale chưa cung cấp")</f>
        <v>Sale chưa cung cấp</v>
      </c>
      <c r="E212" s="265" t="str">
        <f>IFERROR(__xludf.DUMMYFUNCTION("""COMPUTED_VALUE"""),"HoaNTM")</f>
        <v>HoaNTM</v>
      </c>
      <c r="F212" s="265" t="str">
        <f>IFERROR(__xludf.DUMMYFUNCTION("""COMPUTED_VALUE"""),"Bronze")</f>
        <v>Bronze</v>
      </c>
      <c r="G212" s="265" t="str">
        <f>IFERROR(__xludf.DUMMYFUNCTION("""COMPUTED_VALUE"""),"Enterprise")</f>
        <v>Enterprise</v>
      </c>
      <c r="H212" s="265" t="str">
        <f>IFERROR(__xludf.DUMMYFUNCTION("""COMPUTED_VALUE"""),"(Chưa recheck)")</f>
        <v>(Chưa recheck)</v>
      </c>
      <c r="I212" s="265" t="str">
        <f>IFERROR(__xludf.DUMMYFUNCTION("""COMPUTED_VALUE"""),"(Chưa recheck)")</f>
        <v>(Chưa recheck)</v>
      </c>
      <c r="J212" s="265" t="str">
        <f>IFERROR(__xludf.DUMMYFUNCTION("""COMPUTED_VALUE"""),"Kiotviet")</f>
        <v>Kiotviet</v>
      </c>
    </row>
    <row r="213">
      <c r="A213" s="265" t="str">
        <f>IFERROR(__xludf.DUMMYFUNCTION("""COMPUTED_VALUE"""),"532")</f>
        <v>532</v>
      </c>
      <c r="B213" s="265" t="str">
        <f>IFERROR(__xludf.DUMMYFUNCTION("""COMPUTED_VALUE"""),"Hà Nội")</f>
        <v>Hà Nội</v>
      </c>
      <c r="C213" s="265" t="str">
        <f>IFERROR(__xludf.DUMMYFUNCTION("""COMPUTED_VALUE"""),"Locked")</f>
        <v>Locked</v>
      </c>
      <c r="D213" s="265" t="str">
        <f>IFERROR(__xludf.DUMMYFUNCTION("""COMPUTED_VALUE"""),"Sale chưa cung cấp")</f>
        <v>Sale chưa cung cấp</v>
      </c>
      <c r="E213" s="265" t="str">
        <f>IFERROR(__xludf.DUMMYFUNCTION("""COMPUTED_VALUE"""),"TùngLD")</f>
        <v>TùngLD</v>
      </c>
      <c r="F213" s="265" t="str">
        <f>IFERROR(__xludf.DUMMYFUNCTION("""COMPUTED_VALUE"""),"Sale chưa cung cấp")</f>
        <v>Sale chưa cung cấp</v>
      </c>
      <c r="G213" s="265" t="str">
        <f>IFERROR(__xludf.DUMMYFUNCTION("""COMPUTED_VALUE"""),"Enterprise")</f>
        <v>Enterprise</v>
      </c>
      <c r="H213" s="265" t="str">
        <f>IFERROR(__xludf.DUMMYFUNCTION("""COMPUTED_VALUE"""),"Trial")</f>
        <v>Trial</v>
      </c>
      <c r="I213" s="265" t="str">
        <f>IFERROR(__xludf.DUMMYFUNCTION("""COMPUTED_VALUE"""),"Portal")</f>
        <v>Portal</v>
      </c>
      <c r="J213" s="265" t="str">
        <f>IFERROR(__xludf.DUMMYFUNCTION("""COMPUTED_VALUE"""),"File Excel")</f>
        <v>File Excel</v>
      </c>
    </row>
    <row r="214">
      <c r="A214" s="265" t="str">
        <f>IFERROR(__xludf.DUMMYFUNCTION("""COMPUTED_VALUE"""),"534")</f>
        <v>534</v>
      </c>
      <c r="B214" s="265" t="str">
        <f>IFERROR(__xludf.DUMMYFUNCTION("""COMPUTED_VALUE"""),"Sài Gòn")</f>
        <v>Sài Gòn</v>
      </c>
      <c r="C214" s="265" t="str">
        <f>IFERROR(__xludf.DUMMYFUNCTION("""COMPUTED_VALUE"""),"Locked")</f>
        <v>Locked</v>
      </c>
      <c r="D214" s="265" t="str">
        <f>IFERROR(__xludf.DUMMYFUNCTION("""COMPUTED_VALUE"""),"Sale chưa cung cấp")</f>
        <v>Sale chưa cung cấp</v>
      </c>
      <c r="E214" s="265" t="str">
        <f>IFERROR(__xludf.DUMMYFUNCTION("""COMPUTED_VALUE"""),"HoaNTM")</f>
        <v>HoaNTM</v>
      </c>
      <c r="F214" s="265" t="str">
        <f>IFERROR(__xludf.DUMMYFUNCTION("""COMPUTED_VALUE"""),"Bronze")</f>
        <v>Bronze</v>
      </c>
      <c r="G214" s="265" t="str">
        <f>IFERROR(__xludf.DUMMYFUNCTION("""COMPUTED_VALUE"""),"Enterprise")</f>
        <v>Enterprise</v>
      </c>
      <c r="H214" s="265" t="str">
        <f>IFERROR(__xludf.DUMMYFUNCTION("""COMPUTED_VALUE"""),"(Chưa recheck)")</f>
        <v>(Chưa recheck)</v>
      </c>
      <c r="I214" s="265" t="str">
        <f>IFERROR(__xludf.DUMMYFUNCTION("""COMPUTED_VALUE"""),"(Chưa recheck)")</f>
        <v>(Chưa recheck)</v>
      </c>
      <c r="J214" s="265" t="str">
        <f>IFERROR(__xludf.DUMMYFUNCTION("""COMPUTED_VALUE"""),"File Excel")</f>
        <v>File Excel</v>
      </c>
    </row>
    <row r="215">
      <c r="A215" s="265" t="str">
        <f>IFERROR(__xludf.DUMMYFUNCTION("""COMPUTED_VALUE"""),"534")</f>
        <v>534</v>
      </c>
      <c r="B215" s="265" t="str">
        <f>IFERROR(__xludf.DUMMYFUNCTION("""COMPUTED_VALUE"""),"Sài Gòn")</f>
        <v>Sài Gòn</v>
      </c>
      <c r="C215" s="265" t="str">
        <f>IFERROR(__xludf.DUMMYFUNCTION("""COMPUTED_VALUE"""),"Locked")</f>
        <v>Locked</v>
      </c>
      <c r="D215" s="265" t="str">
        <f>IFERROR(__xludf.DUMMYFUNCTION("""COMPUTED_VALUE"""),"Sale chưa cung cấp")</f>
        <v>Sale chưa cung cấp</v>
      </c>
      <c r="E215" s="265" t="str">
        <f>IFERROR(__xludf.DUMMYFUNCTION("""COMPUTED_VALUE"""),"HoaNTM")</f>
        <v>HoaNTM</v>
      </c>
      <c r="F215" s="265" t="str">
        <f>IFERROR(__xludf.DUMMYFUNCTION("""COMPUTED_VALUE"""),"Bronze")</f>
        <v>Bronze</v>
      </c>
      <c r="G215" s="265" t="str">
        <f>IFERROR(__xludf.DUMMYFUNCTION("""COMPUTED_VALUE"""),"Enterprise")</f>
        <v>Enterprise</v>
      </c>
      <c r="H215" s="265" t="str">
        <f>IFERROR(__xludf.DUMMYFUNCTION("""COMPUTED_VALUE"""),"(Chưa recheck)")</f>
        <v>(Chưa recheck)</v>
      </c>
      <c r="I215" s="265" t="str">
        <f>IFERROR(__xludf.DUMMYFUNCTION("""COMPUTED_VALUE"""),"(Chưa recheck)")</f>
        <v>(Chưa recheck)</v>
      </c>
      <c r="J215" s="265" t="str">
        <f>IFERROR(__xludf.DUMMYFUNCTION("""COMPUTED_VALUE"""),"API")</f>
        <v>API</v>
      </c>
    </row>
    <row r="216">
      <c r="A216" s="265" t="str">
        <f>IFERROR(__xludf.DUMMYFUNCTION("""COMPUTED_VALUE"""),"534")</f>
        <v>534</v>
      </c>
      <c r="B216" s="265" t="str">
        <f>IFERROR(__xludf.DUMMYFUNCTION("""COMPUTED_VALUE"""),"Sài Gòn")</f>
        <v>Sài Gòn</v>
      </c>
      <c r="C216" s="265" t="str">
        <f>IFERROR(__xludf.DUMMYFUNCTION("""COMPUTED_VALUE"""),"Locked")</f>
        <v>Locked</v>
      </c>
      <c r="D216" s="265" t="str">
        <f>IFERROR(__xludf.DUMMYFUNCTION("""COMPUTED_VALUE"""),"Sale chưa cung cấp")</f>
        <v>Sale chưa cung cấp</v>
      </c>
      <c r="E216" s="265" t="str">
        <f>IFERROR(__xludf.DUMMYFUNCTION("""COMPUTED_VALUE"""),"HoaNTM")</f>
        <v>HoaNTM</v>
      </c>
      <c r="F216" s="265" t="str">
        <f>IFERROR(__xludf.DUMMYFUNCTION("""COMPUTED_VALUE"""),"Bronze")</f>
        <v>Bronze</v>
      </c>
      <c r="G216" s="265" t="str">
        <f>IFERROR(__xludf.DUMMYFUNCTION("""COMPUTED_VALUE"""),"Enterprise")</f>
        <v>Enterprise</v>
      </c>
      <c r="H216" s="265" t="str">
        <f>IFERROR(__xludf.DUMMYFUNCTION("""COMPUTED_VALUE"""),"(Chưa recheck)")</f>
        <v>(Chưa recheck)</v>
      </c>
      <c r="I216" s="265" t="str">
        <f>IFERROR(__xludf.DUMMYFUNCTION("""COMPUTED_VALUE"""),"(Chưa recheck)")</f>
        <v>(Chưa recheck)</v>
      </c>
      <c r="J216" s="265" t="str">
        <f>IFERROR(__xludf.DUMMYFUNCTION("""COMPUTED_VALUE"""),"Kiotviet")</f>
        <v>Kiotviet</v>
      </c>
    </row>
    <row r="217">
      <c r="A217" s="265" t="str">
        <f>IFERROR(__xludf.DUMMYFUNCTION("""COMPUTED_VALUE"""),"535")</f>
        <v>535</v>
      </c>
      <c r="B217" s="265" t="str">
        <f>IFERROR(__xludf.DUMMYFUNCTION("""COMPUTED_VALUE"""),"Sài Gòn")</f>
        <v>Sài Gòn</v>
      </c>
      <c r="C217" s="265" t="str">
        <f>IFERROR(__xludf.DUMMYFUNCTION("""COMPUTED_VALUE"""),"Locked")</f>
        <v>Locked</v>
      </c>
      <c r="D217" s="265" t="str">
        <f>IFERROR(__xludf.DUMMYFUNCTION("""COMPUTED_VALUE"""),"Sale chưa cung cấp")</f>
        <v>Sale chưa cung cấp</v>
      </c>
      <c r="E217" s="265" t="str">
        <f>IFERROR(__xludf.DUMMYFUNCTION("""COMPUTED_VALUE"""),"HoaNTM")</f>
        <v>HoaNTM</v>
      </c>
      <c r="F217" s="265" t="str">
        <f>IFERROR(__xludf.DUMMYFUNCTION("""COMPUTED_VALUE"""),"Sale chưa cung cấp")</f>
        <v>Sale chưa cung cấp</v>
      </c>
      <c r="G217" s="265" t="str">
        <f>IFERROR(__xludf.DUMMYFUNCTION("""COMPUTED_VALUE"""),"Enterprise")</f>
        <v>Enterprise</v>
      </c>
      <c r="H217" s="265" t="str">
        <f>IFERROR(__xludf.DUMMYFUNCTION("""COMPUTED_VALUE"""),"Trial")</f>
        <v>Trial</v>
      </c>
      <c r="I217" s="265" t="str">
        <f>IFERROR(__xludf.DUMMYFUNCTION("""COMPUTED_VALUE"""),"(Không recheck)")</f>
        <v>(Không recheck)</v>
      </c>
      <c r="J217" s="265" t="str">
        <f>IFERROR(__xludf.DUMMYFUNCTION("""COMPUTED_VALUE"""),"API")</f>
        <v>API</v>
      </c>
    </row>
    <row r="218">
      <c r="A218" s="265" t="str">
        <f>IFERROR(__xludf.DUMMYFUNCTION("""COMPUTED_VALUE"""),"536")</f>
        <v>536</v>
      </c>
      <c r="B218" s="265" t="str">
        <f>IFERROR(__xludf.DUMMYFUNCTION("""COMPUTED_VALUE"""),"Hà Nội")</f>
        <v>Hà Nội</v>
      </c>
      <c r="C218" s="265" t="str">
        <f>IFERROR(__xludf.DUMMYFUNCTION("""COMPUTED_VALUE"""),"Active")</f>
        <v>Active</v>
      </c>
      <c r="D218" s="265" t="str">
        <f>IFERROR(__xludf.DUMMYFUNCTION("""COMPUTED_VALUE"""),"Sale chưa cung cấp")</f>
        <v>Sale chưa cung cấp</v>
      </c>
      <c r="E218" s="265" t="str">
        <f>IFERROR(__xludf.DUMMYFUNCTION("""COMPUTED_VALUE"""),"TùngLD")</f>
        <v>TùngLD</v>
      </c>
      <c r="F218" s="265" t="str">
        <f>IFERROR(__xludf.DUMMYFUNCTION("""COMPUTED_VALUE"""),"Silver")</f>
        <v>Silver</v>
      </c>
      <c r="G218" s="265" t="str">
        <f>IFERROR(__xludf.DUMMYFUNCTION("""COMPUTED_VALUE"""),"API")</f>
        <v>API</v>
      </c>
      <c r="H218" s="265" t="str">
        <f>IFERROR(__xludf.DUMMYFUNCTION("""COMPUTED_VALUE"""),"Trả sau")</f>
        <v>Trả sau</v>
      </c>
      <c r="I218" s="265" t="str">
        <f>IFERROR(__xludf.DUMMYFUNCTION("""COMPUTED_VALUE"""),"API")</f>
        <v>API</v>
      </c>
      <c r="J218" s="265" t="str">
        <f>IFERROR(__xludf.DUMMYFUNCTION("""COMPUTED_VALUE"""),"API")</f>
        <v>API</v>
      </c>
    </row>
    <row r="219">
      <c r="A219" s="265" t="str">
        <f>IFERROR(__xludf.DUMMYFUNCTION("""COMPUTED_VALUE"""),"537")</f>
        <v>537</v>
      </c>
      <c r="B219" s="265" t="str">
        <f>IFERROR(__xludf.DUMMYFUNCTION("""COMPUTED_VALUE"""),"Hà Nội")</f>
        <v>Hà Nội</v>
      </c>
      <c r="C219" s="265" t="str">
        <f>IFERROR(__xludf.DUMMYFUNCTION("""COMPUTED_VALUE"""),"Locked")</f>
        <v>Locked</v>
      </c>
      <c r="D219" s="265" t="str">
        <f>IFERROR(__xludf.DUMMYFUNCTION("""COMPUTED_VALUE"""),"Sale chưa cung cấp")</f>
        <v>Sale chưa cung cấp</v>
      </c>
      <c r="E219" s="265" t="str">
        <f>IFERROR(__xludf.DUMMYFUNCTION("""COMPUTED_VALUE"""),"TùngLD")</f>
        <v>TùngLD</v>
      </c>
      <c r="F219" s="265" t="str">
        <f>IFERROR(__xludf.DUMMYFUNCTION("""COMPUTED_VALUE"""),"Bronze")</f>
        <v>Bronze</v>
      </c>
      <c r="G219" s="265" t="str">
        <f>IFERROR(__xludf.DUMMYFUNCTION("""COMPUTED_VALUE"""),"API")</f>
        <v>API</v>
      </c>
      <c r="H219" s="265" t="str">
        <f>IFERROR(__xludf.DUMMYFUNCTION("""COMPUTED_VALUE"""),"(Chưa recheck)")</f>
        <v>(Chưa recheck)</v>
      </c>
      <c r="I219" s="265" t="str">
        <f>IFERROR(__xludf.DUMMYFUNCTION("""COMPUTED_VALUE"""),"API &amp; Portal")</f>
        <v>API &amp; Portal</v>
      </c>
      <c r="J219" s="265" t="str">
        <f>IFERROR(__xludf.DUMMYFUNCTION("""COMPUTED_VALUE"""),"API")</f>
        <v>API</v>
      </c>
    </row>
    <row r="220">
      <c r="A220" s="265" t="str">
        <f>IFERROR(__xludf.DUMMYFUNCTION("""COMPUTED_VALUE"""),"538")</f>
        <v>538</v>
      </c>
      <c r="B220" s="265" t="str">
        <f>IFERROR(__xludf.DUMMYFUNCTION("""COMPUTED_VALUE"""),"Hà Nội")</f>
        <v>Hà Nội</v>
      </c>
      <c r="C220" s="265" t="str">
        <f>IFERROR(__xludf.DUMMYFUNCTION("""COMPUTED_VALUE"""),"Locked")</f>
        <v>Locked</v>
      </c>
      <c r="D220" s="265" t="str">
        <f>IFERROR(__xludf.DUMMYFUNCTION("""COMPUTED_VALUE"""),"Sale chưa cung cấp")</f>
        <v>Sale chưa cung cấp</v>
      </c>
      <c r="E220" s="265" t="str">
        <f>IFERROR(__xludf.DUMMYFUNCTION("""COMPUTED_VALUE"""),"TùngLD")</f>
        <v>TùngLD</v>
      </c>
      <c r="F220" s="265" t="str">
        <f>IFERROR(__xludf.DUMMYFUNCTION("""COMPUTED_VALUE"""),"Sale chưa cung cấp")</f>
        <v>Sale chưa cung cấp</v>
      </c>
      <c r="G220" s="265" t="str">
        <f>IFERROR(__xludf.DUMMYFUNCTION("""COMPUTED_VALUE"""),"Enterprise")</f>
        <v>Enterprise</v>
      </c>
      <c r="H220" s="265" t="str">
        <f>IFERROR(__xludf.DUMMYFUNCTION("""COMPUTED_VALUE"""),"Trial")</f>
        <v>Trial</v>
      </c>
      <c r="I220" s="265" t="str">
        <f>IFERROR(__xludf.DUMMYFUNCTION("""COMPUTED_VALUE"""),"Portal")</f>
        <v>Portal</v>
      </c>
      <c r="J220" s="265" t="str">
        <f>IFERROR(__xludf.DUMMYFUNCTION("""COMPUTED_VALUE"""),"File Excel")</f>
        <v>File Excel</v>
      </c>
    </row>
    <row r="221">
      <c r="A221" s="265" t="str">
        <f>IFERROR(__xludf.DUMMYFUNCTION("""COMPUTED_VALUE"""),"539")</f>
        <v>539</v>
      </c>
      <c r="B221" s="265" t="str">
        <f>IFERROR(__xludf.DUMMYFUNCTION("""COMPUTED_VALUE"""),"Sài Gòn")</f>
        <v>Sài Gòn</v>
      </c>
      <c r="C221" s="265" t="str">
        <f>IFERROR(__xludf.DUMMYFUNCTION("""COMPUTED_VALUE"""),"Locked")</f>
        <v>Locked</v>
      </c>
      <c r="D221" s="265" t="str">
        <f>IFERROR(__xludf.DUMMYFUNCTION("""COMPUTED_VALUE"""),"Sale chưa cung cấp")</f>
        <v>Sale chưa cung cấp</v>
      </c>
      <c r="E221" s="265" t="str">
        <f>IFERROR(__xludf.DUMMYFUNCTION("""COMPUTED_VALUE"""),"(Không recheck)")</f>
        <v>(Không recheck)</v>
      </c>
      <c r="F221" s="265" t="str">
        <f>IFERROR(__xludf.DUMMYFUNCTION("""COMPUTED_VALUE"""),"Diamond")</f>
        <v>Diamond</v>
      </c>
      <c r="G221" s="265" t="str">
        <f>IFERROR(__xludf.DUMMYFUNCTION("""COMPUTED_VALUE"""),"API")</f>
        <v>API</v>
      </c>
      <c r="H221" s="265" t="str">
        <f>IFERROR(__xludf.DUMMYFUNCTION("""COMPUTED_VALUE"""),"Trial")</f>
        <v>Trial</v>
      </c>
      <c r="I221" s="265" t="str">
        <f>IFERROR(__xludf.DUMMYFUNCTION("""COMPUTED_VALUE"""),"(Không recheck)")</f>
        <v>(Không recheck)</v>
      </c>
      <c r="J221" s="265" t="str">
        <f>IFERROR(__xludf.DUMMYFUNCTION("""COMPUTED_VALUE"""),"API")</f>
        <v>API</v>
      </c>
    </row>
    <row r="222">
      <c r="A222" s="265" t="str">
        <f>IFERROR(__xludf.DUMMYFUNCTION("""COMPUTED_VALUE"""),"216")</f>
        <v>216</v>
      </c>
      <c r="B222" s="265" t="str">
        <f>IFERROR(__xludf.DUMMYFUNCTION("""COMPUTED_VALUE"""),"Hà Nội")</f>
        <v>Hà Nội</v>
      </c>
      <c r="C222" s="265" t="str">
        <f>IFERROR(__xludf.DUMMYFUNCTION("""COMPUTED_VALUE"""),"Active")</f>
        <v>Active</v>
      </c>
      <c r="D222" s="265" t="str">
        <f>IFERROR(__xludf.DUMMYFUNCTION("""COMPUTED_VALUE"""),"Sale chưa cung cấp")</f>
        <v>Sale chưa cung cấp</v>
      </c>
      <c r="E222" s="265" t="str">
        <f>IFERROR(__xludf.DUMMYFUNCTION("""COMPUTED_VALUE"""),"Không phân công")</f>
        <v>Không phân công</v>
      </c>
      <c r="F222" s="265" t="str">
        <f>IFERROR(__xludf.DUMMYFUNCTION("""COMPUTED_VALUE"""),"Bronze")</f>
        <v>Bronze</v>
      </c>
      <c r="G222" s="265" t="str">
        <f>IFERROR(__xludf.DUMMYFUNCTION("""COMPUTED_VALUE"""),"Enterprise")</f>
        <v>Enterprise</v>
      </c>
      <c r="H222" s="265" t="str">
        <f>IFERROR(__xludf.DUMMYFUNCTION("""COMPUTED_VALUE"""),"Trả sau")</f>
        <v>Trả sau</v>
      </c>
      <c r="I222" s="265" t="str">
        <f>IFERROR(__xludf.DUMMYFUNCTION("""COMPUTED_VALUE"""),"API &amp; Portal")</f>
        <v>API &amp; Portal</v>
      </c>
      <c r="J222" s="265" t="str">
        <f>IFERROR(__xludf.DUMMYFUNCTION("""COMPUTED_VALUE"""),"File Excel")</f>
        <v>File Excel</v>
      </c>
    </row>
    <row r="223">
      <c r="A223" s="265" t="str">
        <f>IFERROR(__xludf.DUMMYFUNCTION("""COMPUTED_VALUE"""),"541")</f>
        <v>541</v>
      </c>
      <c r="B223" s="265" t="str">
        <f>IFERROR(__xludf.DUMMYFUNCTION("""COMPUTED_VALUE"""),"Sài Gòn")</f>
        <v>Sài Gòn</v>
      </c>
      <c r="C223" s="265" t="str">
        <f>IFERROR(__xludf.DUMMYFUNCTION("""COMPUTED_VALUE"""),"Active")</f>
        <v>Active</v>
      </c>
      <c r="D223" s="265" t="str">
        <f>IFERROR(__xludf.DUMMYFUNCTION("""COMPUTED_VALUE"""),"Sale chưa cung cấp")</f>
        <v>Sale chưa cung cấp</v>
      </c>
      <c r="E223" s="265" t="str">
        <f>IFERROR(__xludf.DUMMYFUNCTION("""COMPUTED_VALUE"""),"AnhNM")</f>
        <v>AnhNM</v>
      </c>
      <c r="F223" s="265" t="str">
        <f>IFERROR(__xludf.DUMMYFUNCTION("""COMPUTED_VALUE"""),"Gold")</f>
        <v>Gold</v>
      </c>
      <c r="G223" s="265" t="str">
        <f>IFERROR(__xludf.DUMMYFUNCTION("""COMPUTED_VALUE"""),"Enterprise")</f>
        <v>Enterprise</v>
      </c>
      <c r="H223" s="265" t="str">
        <f>IFERROR(__xludf.DUMMYFUNCTION("""COMPUTED_VALUE"""),"Trả sau")</f>
        <v>Trả sau</v>
      </c>
      <c r="I223" s="265" t="str">
        <f>IFERROR(__xludf.DUMMYFUNCTION("""COMPUTED_VALUE"""),"API &amp; Portal")</f>
        <v>API &amp; Portal</v>
      </c>
      <c r="J223" s="265" t="str">
        <f>IFERROR(__xludf.DUMMYFUNCTION("""COMPUTED_VALUE"""),"File Excel")</f>
        <v>File Excel</v>
      </c>
    </row>
    <row r="224">
      <c r="A224" s="265" t="str">
        <f>IFERROR(__xludf.DUMMYFUNCTION("""COMPUTED_VALUE"""),"541")</f>
        <v>541</v>
      </c>
      <c r="B224" s="265" t="str">
        <f>IFERROR(__xludf.DUMMYFUNCTION("""COMPUTED_VALUE"""),"Sài Gòn")</f>
        <v>Sài Gòn</v>
      </c>
      <c r="C224" s="265" t="str">
        <f>IFERROR(__xludf.DUMMYFUNCTION("""COMPUTED_VALUE"""),"Active")</f>
        <v>Active</v>
      </c>
      <c r="D224" s="265" t="str">
        <f>IFERROR(__xludf.DUMMYFUNCTION("""COMPUTED_VALUE"""),"Sale chưa cung cấp")</f>
        <v>Sale chưa cung cấp</v>
      </c>
      <c r="E224" s="265" t="str">
        <f>IFERROR(__xludf.DUMMYFUNCTION("""COMPUTED_VALUE"""),"AnhNM")</f>
        <v>AnhNM</v>
      </c>
      <c r="F224" s="265" t="str">
        <f>IFERROR(__xludf.DUMMYFUNCTION("""COMPUTED_VALUE"""),"Gold")</f>
        <v>Gold</v>
      </c>
      <c r="G224" s="265" t="str">
        <f>IFERROR(__xludf.DUMMYFUNCTION("""COMPUTED_VALUE"""),"Enterprise")</f>
        <v>Enterprise</v>
      </c>
      <c r="H224" s="265" t="str">
        <f>IFERROR(__xludf.DUMMYFUNCTION("""COMPUTED_VALUE"""),"Trả sau")</f>
        <v>Trả sau</v>
      </c>
      <c r="I224" s="265" t="str">
        <f>IFERROR(__xludf.DUMMYFUNCTION("""COMPUTED_VALUE"""),"API &amp; Portal")</f>
        <v>API &amp; Portal</v>
      </c>
      <c r="J224" s="265" t="str">
        <f>IFERROR(__xludf.DUMMYFUNCTION("""COMPUTED_VALUE"""),"API")</f>
        <v>API</v>
      </c>
    </row>
    <row r="225">
      <c r="A225" s="265" t="str">
        <f>IFERROR(__xludf.DUMMYFUNCTION("""COMPUTED_VALUE"""),"542")</f>
        <v>542</v>
      </c>
      <c r="B225" s="265" t="str">
        <f>IFERROR(__xludf.DUMMYFUNCTION("""COMPUTED_VALUE"""),"Sài Gòn")</f>
        <v>Sài Gòn</v>
      </c>
      <c r="C225" s="265" t="str">
        <f>IFERROR(__xludf.DUMMYFUNCTION("""COMPUTED_VALUE"""),"Locked")</f>
        <v>Locked</v>
      </c>
      <c r="D225" s="265" t="str">
        <f>IFERROR(__xludf.DUMMYFUNCTION("""COMPUTED_VALUE"""),"Sale chưa cung cấp")</f>
        <v>Sale chưa cung cấp</v>
      </c>
      <c r="E225" s="265" t="str">
        <f>IFERROR(__xludf.DUMMYFUNCTION("""COMPUTED_VALUE"""),"HoaNTM")</f>
        <v>HoaNTM</v>
      </c>
      <c r="F225" s="265" t="str">
        <f>IFERROR(__xludf.DUMMYFUNCTION("""COMPUTED_VALUE"""),"Sale chưa cung cấp")</f>
        <v>Sale chưa cung cấp</v>
      </c>
      <c r="G225" s="265" t="str">
        <f>IFERROR(__xludf.DUMMYFUNCTION("""COMPUTED_VALUE"""),"Enterprise")</f>
        <v>Enterprise</v>
      </c>
      <c r="H225" s="265" t="str">
        <f>IFERROR(__xludf.DUMMYFUNCTION("""COMPUTED_VALUE"""),"(Chưa recheck)")</f>
        <v>(Chưa recheck)</v>
      </c>
      <c r="I225" s="265" t="str">
        <f>IFERROR(__xludf.DUMMYFUNCTION("""COMPUTED_VALUE"""),"(Chưa recheck)")</f>
        <v>(Chưa recheck)</v>
      </c>
      <c r="J225" s="265" t="str">
        <f>IFERROR(__xludf.DUMMYFUNCTION("""COMPUTED_VALUE"""),"File Excel")</f>
        <v>File Excel</v>
      </c>
    </row>
    <row r="226">
      <c r="A226" s="265" t="str">
        <f>IFERROR(__xludf.DUMMYFUNCTION("""COMPUTED_VALUE"""),"542")</f>
        <v>542</v>
      </c>
      <c r="B226" s="265" t="str">
        <f>IFERROR(__xludf.DUMMYFUNCTION("""COMPUTED_VALUE"""),"Sài Gòn")</f>
        <v>Sài Gòn</v>
      </c>
      <c r="C226" s="265" t="str">
        <f>IFERROR(__xludf.DUMMYFUNCTION("""COMPUTED_VALUE"""),"Locked")</f>
        <v>Locked</v>
      </c>
      <c r="D226" s="265" t="str">
        <f>IFERROR(__xludf.DUMMYFUNCTION("""COMPUTED_VALUE"""),"Sale chưa cung cấp")</f>
        <v>Sale chưa cung cấp</v>
      </c>
      <c r="E226" s="265" t="str">
        <f>IFERROR(__xludf.DUMMYFUNCTION("""COMPUTED_VALUE"""),"HoaNTM")</f>
        <v>HoaNTM</v>
      </c>
      <c r="F226" s="265" t="str">
        <f>IFERROR(__xludf.DUMMYFUNCTION("""COMPUTED_VALUE"""),"Sale chưa cung cấp")</f>
        <v>Sale chưa cung cấp</v>
      </c>
      <c r="G226" s="265" t="str">
        <f>IFERROR(__xludf.DUMMYFUNCTION("""COMPUTED_VALUE"""),"Enterprise")</f>
        <v>Enterprise</v>
      </c>
      <c r="H226" s="265" t="str">
        <f>IFERROR(__xludf.DUMMYFUNCTION("""COMPUTED_VALUE"""),"(Chưa recheck)")</f>
        <v>(Chưa recheck)</v>
      </c>
      <c r="I226" s="265" t="str">
        <f>IFERROR(__xludf.DUMMYFUNCTION("""COMPUTED_VALUE"""),"(Chưa recheck)")</f>
        <v>(Chưa recheck)</v>
      </c>
      <c r="J226" s="265" t="str">
        <f>IFERROR(__xludf.DUMMYFUNCTION("""COMPUTED_VALUE"""),"API")</f>
        <v>API</v>
      </c>
    </row>
    <row r="227">
      <c r="A227" s="265" t="str">
        <f>IFERROR(__xludf.DUMMYFUNCTION("""COMPUTED_VALUE"""),"542")</f>
        <v>542</v>
      </c>
      <c r="B227" s="265" t="str">
        <f>IFERROR(__xludf.DUMMYFUNCTION("""COMPUTED_VALUE"""),"Sài Gòn")</f>
        <v>Sài Gòn</v>
      </c>
      <c r="C227" s="265" t="str">
        <f>IFERROR(__xludf.DUMMYFUNCTION("""COMPUTED_VALUE"""),"Locked")</f>
        <v>Locked</v>
      </c>
      <c r="D227" s="265" t="str">
        <f>IFERROR(__xludf.DUMMYFUNCTION("""COMPUTED_VALUE"""),"Sale chưa cung cấp")</f>
        <v>Sale chưa cung cấp</v>
      </c>
      <c r="E227" s="265" t="str">
        <f>IFERROR(__xludf.DUMMYFUNCTION("""COMPUTED_VALUE"""),"HoaNTM")</f>
        <v>HoaNTM</v>
      </c>
      <c r="F227" s="265" t="str">
        <f>IFERROR(__xludf.DUMMYFUNCTION("""COMPUTED_VALUE"""),"Sale chưa cung cấp")</f>
        <v>Sale chưa cung cấp</v>
      </c>
      <c r="G227" s="265" t="str">
        <f>IFERROR(__xludf.DUMMYFUNCTION("""COMPUTED_VALUE"""),"Enterprise")</f>
        <v>Enterprise</v>
      </c>
      <c r="H227" s="265" t="str">
        <f>IFERROR(__xludf.DUMMYFUNCTION("""COMPUTED_VALUE"""),"(Chưa recheck)")</f>
        <v>(Chưa recheck)</v>
      </c>
      <c r="I227" s="265" t="str">
        <f>IFERROR(__xludf.DUMMYFUNCTION("""COMPUTED_VALUE"""),"(Chưa recheck)")</f>
        <v>(Chưa recheck)</v>
      </c>
      <c r="J227" s="265" t="str">
        <f>IFERROR(__xludf.DUMMYFUNCTION("""COMPUTED_VALUE"""),"Kiotviet")</f>
        <v>Kiotviet</v>
      </c>
    </row>
    <row r="228">
      <c r="A228" s="265" t="str">
        <f>IFERROR(__xludf.DUMMYFUNCTION("""COMPUTED_VALUE"""),"544")</f>
        <v>544</v>
      </c>
      <c r="B228" s="265" t="str">
        <f>IFERROR(__xludf.DUMMYFUNCTION("""COMPUTED_VALUE"""),"Sài Gòn")</f>
        <v>Sài Gòn</v>
      </c>
      <c r="C228" s="265" t="str">
        <f>IFERROR(__xludf.DUMMYFUNCTION("""COMPUTED_VALUE"""),"Locked")</f>
        <v>Locked</v>
      </c>
      <c r="D228" s="265" t="str">
        <f>IFERROR(__xludf.DUMMYFUNCTION("""COMPUTED_VALUE"""),"Sale chưa cung cấp")</f>
        <v>Sale chưa cung cấp</v>
      </c>
      <c r="E228" s="265" t="str">
        <f>IFERROR(__xludf.DUMMYFUNCTION("""COMPUTED_VALUE"""),"TùngLD")</f>
        <v>TùngLD</v>
      </c>
      <c r="F228" s="265" t="str">
        <f>IFERROR(__xludf.DUMMYFUNCTION("""COMPUTED_VALUE"""),"Sale chưa cung cấp")</f>
        <v>Sale chưa cung cấp</v>
      </c>
      <c r="G228" s="265" t="str">
        <f>IFERROR(__xludf.DUMMYFUNCTION("""COMPUTED_VALUE"""),"MSG")</f>
        <v>MSG</v>
      </c>
      <c r="H228" s="265" t="str">
        <f>IFERROR(__xludf.DUMMYFUNCTION("""COMPUTED_VALUE"""),"(Chưa recheck)")</f>
        <v>(Chưa recheck)</v>
      </c>
      <c r="I228" s="265" t="str">
        <f>IFERROR(__xludf.DUMMYFUNCTION("""COMPUTED_VALUE"""),"(Chưa recheck)")</f>
        <v>(Chưa recheck)</v>
      </c>
      <c r="J228" s="265" t="str">
        <f>IFERROR(__xludf.DUMMYFUNCTION("""COMPUTED_VALUE"""),"File Excel")</f>
        <v>File Excel</v>
      </c>
    </row>
    <row r="229">
      <c r="A229" s="265" t="str">
        <f>IFERROR(__xludf.DUMMYFUNCTION("""COMPUTED_VALUE"""),"545")</f>
        <v>545</v>
      </c>
      <c r="B229" s="265" t="str">
        <f>IFERROR(__xludf.DUMMYFUNCTION("""COMPUTED_VALUE"""),"Sài Gòn")</f>
        <v>Sài Gòn</v>
      </c>
      <c r="C229" s="265" t="str">
        <f>IFERROR(__xludf.DUMMYFUNCTION("""COMPUTED_VALUE"""),"Locked")</f>
        <v>Locked</v>
      </c>
      <c r="D229" s="265" t="str">
        <f>IFERROR(__xludf.DUMMYFUNCTION("""COMPUTED_VALUE"""),"Sale chưa cung cấp")</f>
        <v>Sale chưa cung cấp</v>
      </c>
      <c r="E229" s="265" t="str">
        <f>IFERROR(__xludf.DUMMYFUNCTION("""COMPUTED_VALUE"""),"HoaNTM")</f>
        <v>HoaNTM</v>
      </c>
      <c r="F229" s="265" t="str">
        <f>IFERROR(__xludf.DUMMYFUNCTION("""COMPUTED_VALUE"""),"Gold")</f>
        <v>Gold</v>
      </c>
      <c r="G229" s="265" t="str">
        <f>IFERROR(__xludf.DUMMYFUNCTION("""COMPUTED_VALUE"""),"API")</f>
        <v>API</v>
      </c>
      <c r="H229" s="265" t="str">
        <f>IFERROR(__xludf.DUMMYFUNCTION("""COMPUTED_VALUE"""),"Trả sau")</f>
        <v>Trả sau</v>
      </c>
      <c r="I229" s="265" t="str">
        <f>IFERROR(__xludf.DUMMYFUNCTION("""COMPUTED_VALUE"""),"API &amp; Portal")</f>
        <v>API &amp; Portal</v>
      </c>
      <c r="J229" s="265" t="str">
        <f>IFERROR(__xludf.DUMMYFUNCTION("""COMPUTED_VALUE"""),"API")</f>
        <v>API</v>
      </c>
    </row>
    <row r="230">
      <c r="A230" s="265" t="str">
        <f>IFERROR(__xludf.DUMMYFUNCTION("""COMPUTED_VALUE"""),"547")</f>
        <v>547</v>
      </c>
      <c r="B230" s="265" t="str">
        <f>IFERROR(__xludf.DUMMYFUNCTION("""COMPUTED_VALUE"""),"Hà Nội")</f>
        <v>Hà Nội</v>
      </c>
      <c r="C230" s="265" t="str">
        <f>IFERROR(__xludf.DUMMYFUNCTION("""COMPUTED_VALUE"""),"Active")</f>
        <v>Active</v>
      </c>
      <c r="D230" s="265" t="str">
        <f>IFERROR(__xludf.DUMMYFUNCTION("""COMPUTED_VALUE"""),"Sale chưa cung cấp")</f>
        <v>Sale chưa cung cấp</v>
      </c>
      <c r="E230" s="265" t="str">
        <f>IFERROR(__xludf.DUMMYFUNCTION("""COMPUTED_VALUE"""),"TùngLD")</f>
        <v>TùngLD</v>
      </c>
      <c r="F230" s="265" t="str">
        <f>IFERROR(__xludf.DUMMYFUNCTION("""COMPUTED_VALUE"""),"Gold")</f>
        <v>Gold</v>
      </c>
      <c r="G230" s="265" t="str">
        <f>IFERROR(__xludf.DUMMYFUNCTION("""COMPUTED_VALUE"""),"API")</f>
        <v>API</v>
      </c>
      <c r="H230" s="265" t="str">
        <f>IFERROR(__xludf.DUMMYFUNCTION("""COMPUTED_VALUE"""),"Trả sau")</f>
        <v>Trả sau</v>
      </c>
      <c r="I230" s="265" t="str">
        <f>IFERROR(__xludf.DUMMYFUNCTION("""COMPUTED_VALUE"""),"API")</f>
        <v>API</v>
      </c>
      <c r="J230" s="265" t="str">
        <f>IFERROR(__xludf.DUMMYFUNCTION("""COMPUTED_VALUE"""),"API")</f>
        <v>API</v>
      </c>
    </row>
    <row r="231">
      <c r="A231" s="265" t="str">
        <f>IFERROR(__xludf.DUMMYFUNCTION("""COMPUTED_VALUE"""),"None 2")</f>
        <v>None 2</v>
      </c>
      <c r="B231" s="265" t="str">
        <f>IFERROR(__xludf.DUMMYFUNCTION("""COMPUTED_VALUE"""),"Hà Nội")</f>
        <v>Hà Nội</v>
      </c>
      <c r="C231" s="265" t="str">
        <f>IFERROR(__xludf.DUMMYFUNCTION("""COMPUTED_VALUE"""),"Locked")</f>
        <v>Locked</v>
      </c>
      <c r="D231" s="265" t="str">
        <f>IFERROR(__xludf.DUMMYFUNCTION("""COMPUTED_VALUE"""),"Sale chưa cung cấp")</f>
        <v>Sale chưa cung cấp</v>
      </c>
      <c r="E231" s="265" t="str">
        <f>IFERROR(__xludf.DUMMYFUNCTION("""COMPUTED_VALUE"""),"TúPHN")</f>
        <v>TúPHN</v>
      </c>
      <c r="F231" s="265" t="str">
        <f>IFERROR(__xludf.DUMMYFUNCTION("""COMPUTED_VALUE"""),"Bronze")</f>
        <v>Bronze</v>
      </c>
      <c r="G231" s="265" t="str">
        <f>IFERROR(__xludf.DUMMYFUNCTION("""COMPUTED_VALUE"""),"API")</f>
        <v>API</v>
      </c>
      <c r="H231" s="265" t="str">
        <f>IFERROR(__xludf.DUMMYFUNCTION("""COMPUTED_VALUE"""),"Trả sau")</f>
        <v>Trả sau</v>
      </c>
      <c r="I231" s="265" t="str">
        <f>IFERROR(__xludf.DUMMYFUNCTION("""COMPUTED_VALUE"""),"API")</f>
        <v>API</v>
      </c>
      <c r="J231" s="265" t="str">
        <f>IFERROR(__xludf.DUMMYFUNCTION("""COMPUTED_VALUE"""),"ZCA gửi ZNS")</f>
        <v>ZCA gửi ZNS</v>
      </c>
    </row>
    <row r="232">
      <c r="A232" s="265" t="str">
        <f>IFERROR(__xludf.DUMMYFUNCTION("""COMPUTED_VALUE"""),"546")</f>
        <v>546</v>
      </c>
      <c r="B232" s="265" t="str">
        <f>IFERROR(__xludf.DUMMYFUNCTION("""COMPUTED_VALUE"""),"Sài Gòn")</f>
        <v>Sài Gòn</v>
      </c>
      <c r="C232" s="265" t="str">
        <f>IFERROR(__xludf.DUMMYFUNCTION("""COMPUTED_VALUE"""),"Locked")</f>
        <v>Locked</v>
      </c>
      <c r="D232" s="265" t="str">
        <f>IFERROR(__xludf.DUMMYFUNCTION("""COMPUTED_VALUE"""),"Sale chưa cung cấp")</f>
        <v>Sale chưa cung cấp</v>
      </c>
      <c r="E232" s="265" t="str">
        <f>IFERROR(__xludf.DUMMYFUNCTION("""COMPUTED_VALUE"""),"HoaNTM")</f>
        <v>HoaNTM</v>
      </c>
      <c r="F232" s="265" t="str">
        <f>IFERROR(__xludf.DUMMYFUNCTION("""COMPUTED_VALUE"""),"Bronze")</f>
        <v>Bronze</v>
      </c>
      <c r="G232" s="265" t="str">
        <f>IFERROR(__xludf.DUMMYFUNCTION("""COMPUTED_VALUE"""),"Enterprise")</f>
        <v>Enterprise</v>
      </c>
      <c r="H232" s="265" t="str">
        <f>IFERROR(__xludf.DUMMYFUNCTION("""COMPUTED_VALUE"""),"(Chưa recheck)")</f>
        <v>(Chưa recheck)</v>
      </c>
      <c r="I232" s="265" t="str">
        <f>IFERROR(__xludf.DUMMYFUNCTION("""COMPUTED_VALUE"""),"(Chưa recheck)")</f>
        <v>(Chưa recheck)</v>
      </c>
      <c r="J232" s="265" t="str">
        <f>IFERROR(__xludf.DUMMYFUNCTION("""COMPUTED_VALUE"""),"File Excel")</f>
        <v>File Excel</v>
      </c>
    </row>
    <row r="233">
      <c r="A233" s="265" t="str">
        <f>IFERROR(__xludf.DUMMYFUNCTION("""COMPUTED_VALUE"""),"548")</f>
        <v>548</v>
      </c>
      <c r="B233" s="265" t="str">
        <f>IFERROR(__xludf.DUMMYFUNCTION("""COMPUTED_VALUE"""),"Sài Gòn")</f>
        <v>Sài Gòn</v>
      </c>
      <c r="C233" s="265" t="str">
        <f>IFERROR(__xludf.DUMMYFUNCTION("""COMPUTED_VALUE"""),"Locked")</f>
        <v>Locked</v>
      </c>
      <c r="D233" s="265" t="str">
        <f>IFERROR(__xludf.DUMMYFUNCTION("""COMPUTED_VALUE"""),"Sale chưa cung cấp")</f>
        <v>Sale chưa cung cấp</v>
      </c>
      <c r="E233" s="265" t="str">
        <f>IFERROR(__xludf.DUMMYFUNCTION("""COMPUTED_VALUE"""),"HoaNTM")</f>
        <v>HoaNTM</v>
      </c>
      <c r="F233" s="265" t="str">
        <f>IFERROR(__xludf.DUMMYFUNCTION("""COMPUTED_VALUE"""),"Sale chưa cung cấp")</f>
        <v>Sale chưa cung cấp</v>
      </c>
      <c r="G233" s="265" t="str">
        <f>IFERROR(__xludf.DUMMYFUNCTION("""COMPUTED_VALUE"""),"Enterprise")</f>
        <v>Enterprise</v>
      </c>
      <c r="H233" s="265" t="str">
        <f>IFERROR(__xludf.DUMMYFUNCTION("""COMPUTED_VALUE"""),"(Chưa recheck)")</f>
        <v>(Chưa recheck)</v>
      </c>
      <c r="I233" s="265" t="str">
        <f>IFERROR(__xludf.DUMMYFUNCTION("""COMPUTED_VALUE"""),"(Chưa recheck)")</f>
        <v>(Chưa recheck)</v>
      </c>
      <c r="J233" s="265" t="str">
        <f>IFERROR(__xludf.DUMMYFUNCTION("""COMPUTED_VALUE"""),"File Excel")</f>
        <v>File Excel</v>
      </c>
    </row>
    <row r="234">
      <c r="A234" s="265" t="str">
        <f>IFERROR(__xludf.DUMMYFUNCTION("""COMPUTED_VALUE"""),"548")</f>
        <v>548</v>
      </c>
      <c r="B234" s="265" t="str">
        <f>IFERROR(__xludf.DUMMYFUNCTION("""COMPUTED_VALUE"""),"Sài Gòn")</f>
        <v>Sài Gòn</v>
      </c>
      <c r="C234" s="265" t="str">
        <f>IFERROR(__xludf.DUMMYFUNCTION("""COMPUTED_VALUE"""),"Locked")</f>
        <v>Locked</v>
      </c>
      <c r="D234" s="265" t="str">
        <f>IFERROR(__xludf.DUMMYFUNCTION("""COMPUTED_VALUE"""),"Sale chưa cung cấp")</f>
        <v>Sale chưa cung cấp</v>
      </c>
      <c r="E234" s="265" t="str">
        <f>IFERROR(__xludf.DUMMYFUNCTION("""COMPUTED_VALUE"""),"HoaNTM")</f>
        <v>HoaNTM</v>
      </c>
      <c r="F234" s="265" t="str">
        <f>IFERROR(__xludf.DUMMYFUNCTION("""COMPUTED_VALUE"""),"Sale chưa cung cấp")</f>
        <v>Sale chưa cung cấp</v>
      </c>
      <c r="G234" s="265" t="str">
        <f>IFERROR(__xludf.DUMMYFUNCTION("""COMPUTED_VALUE"""),"Enterprise")</f>
        <v>Enterprise</v>
      </c>
      <c r="H234" s="265" t="str">
        <f>IFERROR(__xludf.DUMMYFUNCTION("""COMPUTED_VALUE"""),"(Chưa recheck)")</f>
        <v>(Chưa recheck)</v>
      </c>
      <c r="I234" s="265" t="str">
        <f>IFERROR(__xludf.DUMMYFUNCTION("""COMPUTED_VALUE"""),"(Chưa recheck)")</f>
        <v>(Chưa recheck)</v>
      </c>
      <c r="J234" s="265" t="str">
        <f>IFERROR(__xludf.DUMMYFUNCTION("""COMPUTED_VALUE"""),"API")</f>
        <v>API</v>
      </c>
    </row>
    <row r="235">
      <c r="A235" s="265" t="str">
        <f>IFERROR(__xludf.DUMMYFUNCTION("""COMPUTED_VALUE"""),"549")</f>
        <v>549</v>
      </c>
      <c r="B235" s="265" t="str">
        <f>IFERROR(__xludf.DUMMYFUNCTION("""COMPUTED_VALUE"""),"Sài Gòn")</f>
        <v>Sài Gòn</v>
      </c>
      <c r="C235" s="265" t="str">
        <f>IFERROR(__xludf.DUMMYFUNCTION("""COMPUTED_VALUE"""),"Locked")</f>
        <v>Locked</v>
      </c>
      <c r="D235" s="265" t="str">
        <f>IFERROR(__xludf.DUMMYFUNCTION("""COMPUTED_VALUE"""),"Sale chưa cung cấp")</f>
        <v>Sale chưa cung cấp</v>
      </c>
      <c r="E235" s="265" t="str">
        <f>IFERROR(__xludf.DUMMYFUNCTION("""COMPUTED_VALUE"""),"HoaNTM")</f>
        <v>HoaNTM</v>
      </c>
      <c r="F235" s="265" t="str">
        <f>IFERROR(__xludf.DUMMYFUNCTION("""COMPUTED_VALUE"""),"Sale chưa cung cấp")</f>
        <v>Sale chưa cung cấp</v>
      </c>
      <c r="G235" s="265" t="str">
        <f>IFERROR(__xludf.DUMMYFUNCTION("""COMPUTED_VALUE"""),"Enterprise")</f>
        <v>Enterprise</v>
      </c>
      <c r="H235" s="265" t="str">
        <f>IFERROR(__xludf.DUMMYFUNCTION("""COMPUTED_VALUE"""),"(Chưa recheck)")</f>
        <v>(Chưa recheck)</v>
      </c>
      <c r="I235" s="265" t="str">
        <f>IFERROR(__xludf.DUMMYFUNCTION("""COMPUTED_VALUE"""),"(Chưa recheck)")</f>
        <v>(Chưa recheck)</v>
      </c>
      <c r="J235" s="265" t="str">
        <f>IFERROR(__xludf.DUMMYFUNCTION("""COMPUTED_VALUE"""),"File Excel")</f>
        <v>File Excel</v>
      </c>
    </row>
    <row r="236">
      <c r="A236" s="265" t="str">
        <f>IFERROR(__xludf.DUMMYFUNCTION("""COMPUTED_VALUE"""),"550")</f>
        <v>550</v>
      </c>
      <c r="B236" s="265" t="str">
        <f>IFERROR(__xludf.DUMMYFUNCTION("""COMPUTED_VALUE"""),"Sài Gòn")</f>
        <v>Sài Gòn</v>
      </c>
      <c r="C236" s="265" t="str">
        <f>IFERROR(__xludf.DUMMYFUNCTION("""COMPUTED_VALUE"""),"Locked")</f>
        <v>Locked</v>
      </c>
      <c r="D236" s="265" t="str">
        <f>IFERROR(__xludf.DUMMYFUNCTION("""COMPUTED_VALUE"""),"Sale chưa cung cấp")</f>
        <v>Sale chưa cung cấp</v>
      </c>
      <c r="E236" s="265" t="str">
        <f>IFERROR(__xludf.DUMMYFUNCTION("""COMPUTED_VALUE"""),"HoaNTM")</f>
        <v>HoaNTM</v>
      </c>
      <c r="F236" s="265" t="str">
        <f>IFERROR(__xludf.DUMMYFUNCTION("""COMPUTED_VALUE"""),"Sale chưa cung cấp")</f>
        <v>Sale chưa cung cấp</v>
      </c>
      <c r="G236" s="265" t="str">
        <f>IFERROR(__xludf.DUMMYFUNCTION("""COMPUTED_VALUE"""),"Enterprise")</f>
        <v>Enterprise</v>
      </c>
      <c r="H236" s="265" t="str">
        <f>IFERROR(__xludf.DUMMYFUNCTION("""COMPUTED_VALUE"""),"Trial")</f>
        <v>Trial</v>
      </c>
      <c r="I236" s="265" t="str">
        <f>IFERROR(__xludf.DUMMYFUNCTION("""COMPUTED_VALUE"""),"(Không recheck)")</f>
        <v>(Không recheck)</v>
      </c>
      <c r="J236" s="265" t="str">
        <f>IFERROR(__xludf.DUMMYFUNCTION("""COMPUTED_VALUE"""),"File Excel")</f>
        <v>File Excel</v>
      </c>
    </row>
    <row r="237">
      <c r="A237" s="265" t="str">
        <f>IFERROR(__xludf.DUMMYFUNCTION("""COMPUTED_VALUE"""),"550")</f>
        <v>550</v>
      </c>
      <c r="B237" s="265" t="str">
        <f>IFERROR(__xludf.DUMMYFUNCTION("""COMPUTED_VALUE"""),"Sài Gòn")</f>
        <v>Sài Gòn</v>
      </c>
      <c r="C237" s="265" t="str">
        <f>IFERROR(__xludf.DUMMYFUNCTION("""COMPUTED_VALUE"""),"Locked")</f>
        <v>Locked</v>
      </c>
      <c r="D237" s="265" t="str">
        <f>IFERROR(__xludf.DUMMYFUNCTION("""COMPUTED_VALUE"""),"Sale chưa cung cấp")</f>
        <v>Sale chưa cung cấp</v>
      </c>
      <c r="E237" s="265" t="str">
        <f>IFERROR(__xludf.DUMMYFUNCTION("""COMPUTED_VALUE"""),"HoaNTM")</f>
        <v>HoaNTM</v>
      </c>
      <c r="F237" s="265" t="str">
        <f>IFERROR(__xludf.DUMMYFUNCTION("""COMPUTED_VALUE"""),"Sale chưa cung cấp")</f>
        <v>Sale chưa cung cấp</v>
      </c>
      <c r="G237" s="265" t="str">
        <f>IFERROR(__xludf.DUMMYFUNCTION("""COMPUTED_VALUE"""),"Enterprise")</f>
        <v>Enterprise</v>
      </c>
      <c r="H237" s="265" t="str">
        <f>IFERROR(__xludf.DUMMYFUNCTION("""COMPUTED_VALUE"""),"Trial")</f>
        <v>Trial</v>
      </c>
      <c r="I237" s="265" t="str">
        <f>IFERROR(__xludf.DUMMYFUNCTION("""COMPUTED_VALUE"""),"(Không recheck)")</f>
        <v>(Không recheck)</v>
      </c>
      <c r="J237" s="265" t="str">
        <f>IFERROR(__xludf.DUMMYFUNCTION("""COMPUTED_VALUE"""),"API")</f>
        <v>API</v>
      </c>
    </row>
    <row r="238">
      <c r="A238" s="265" t="str">
        <f>IFERROR(__xludf.DUMMYFUNCTION("""COMPUTED_VALUE"""),"554")</f>
        <v>554</v>
      </c>
      <c r="B238" s="265" t="str">
        <f>IFERROR(__xludf.DUMMYFUNCTION("""COMPUTED_VALUE"""),"Hà Nội")</f>
        <v>Hà Nội</v>
      </c>
      <c r="C238" s="265" t="str">
        <f>IFERROR(__xludf.DUMMYFUNCTION("""COMPUTED_VALUE"""),"Active")</f>
        <v>Active</v>
      </c>
      <c r="D238" s="265" t="str">
        <f>IFERROR(__xludf.DUMMYFUNCTION("""COMPUTED_VALUE"""),"Truyền thông &amp; Giải trí")</f>
        <v>Truyền thông &amp; Giải trí</v>
      </c>
      <c r="E238" s="265" t="str">
        <f>IFERROR(__xludf.DUMMYFUNCTION("""COMPUTED_VALUE"""),"TùngLD")</f>
        <v>TùngLD</v>
      </c>
      <c r="F238" s="265" t="str">
        <f>IFERROR(__xludf.DUMMYFUNCTION("""COMPUTED_VALUE"""),"Silver")</f>
        <v>Silver</v>
      </c>
      <c r="G238" s="265" t="str">
        <f>IFERROR(__xludf.DUMMYFUNCTION("""COMPUTED_VALUE"""),"Enterprise")</f>
        <v>Enterprise</v>
      </c>
      <c r="H238" s="265" t="str">
        <f>IFERROR(__xludf.DUMMYFUNCTION("""COMPUTED_VALUE"""),"Trả sau")</f>
        <v>Trả sau</v>
      </c>
      <c r="I238" s="265" t="str">
        <f>IFERROR(__xludf.DUMMYFUNCTION("""COMPUTED_VALUE"""),"API &amp; Portal")</f>
        <v>API &amp; Portal</v>
      </c>
      <c r="J238" s="265" t="str">
        <f>IFERROR(__xludf.DUMMYFUNCTION("""COMPUTED_VALUE"""),"File Excel")</f>
        <v>File Excel</v>
      </c>
    </row>
    <row r="239">
      <c r="A239" s="265" t="str">
        <f>IFERROR(__xludf.DUMMYFUNCTION("""COMPUTED_VALUE"""),"551")</f>
        <v>551</v>
      </c>
      <c r="B239" s="265" t="str">
        <f>IFERROR(__xludf.DUMMYFUNCTION("""COMPUTED_VALUE"""),"Sài Gòn")</f>
        <v>Sài Gòn</v>
      </c>
      <c r="C239" s="265" t="str">
        <f>IFERROR(__xludf.DUMMYFUNCTION("""COMPUTED_VALUE"""),"Locked")</f>
        <v>Locked</v>
      </c>
      <c r="D239" s="265" t="str">
        <f>IFERROR(__xludf.DUMMYFUNCTION("""COMPUTED_VALUE"""),"Sale chưa cung cấp")</f>
        <v>Sale chưa cung cấp</v>
      </c>
      <c r="E239" s="265" t="str">
        <f>IFERROR(__xludf.DUMMYFUNCTION("""COMPUTED_VALUE"""),"HoaNTM")</f>
        <v>HoaNTM</v>
      </c>
      <c r="F239" s="265" t="str">
        <f>IFERROR(__xludf.DUMMYFUNCTION("""COMPUTED_VALUE"""),"Sale chưa cung cấp")</f>
        <v>Sale chưa cung cấp</v>
      </c>
      <c r="G239" s="265" t="str">
        <f>IFERROR(__xludf.DUMMYFUNCTION("""COMPUTED_VALUE"""),"MSG")</f>
        <v>MSG</v>
      </c>
      <c r="H239" s="265" t="str">
        <f>IFERROR(__xludf.DUMMYFUNCTION("""COMPUTED_VALUE"""),"(Chưa recheck)")</f>
        <v>(Chưa recheck)</v>
      </c>
      <c r="I239" s="265" t="str">
        <f>IFERROR(__xludf.DUMMYFUNCTION("""COMPUTED_VALUE"""),"(Chưa recheck)")</f>
        <v>(Chưa recheck)</v>
      </c>
      <c r="J239" s="265" t="str">
        <f>IFERROR(__xludf.DUMMYFUNCTION("""COMPUTED_VALUE"""),"File Excel")</f>
        <v>File Excel</v>
      </c>
    </row>
    <row r="240">
      <c r="A240" s="265" t="str">
        <f>IFERROR(__xludf.DUMMYFUNCTION("""COMPUTED_VALUE"""),"552")</f>
        <v>552</v>
      </c>
      <c r="B240" s="265" t="str">
        <f>IFERROR(__xludf.DUMMYFUNCTION("""COMPUTED_VALUE"""),"Sài Gòn")</f>
        <v>Sài Gòn</v>
      </c>
      <c r="C240" s="265" t="str">
        <f>IFERROR(__xludf.DUMMYFUNCTION("""COMPUTED_VALUE"""),"Locked")</f>
        <v>Locked</v>
      </c>
      <c r="D240" s="265" t="str">
        <f>IFERROR(__xludf.DUMMYFUNCTION("""COMPUTED_VALUE"""),"Sale chưa cung cấp")</f>
        <v>Sale chưa cung cấp</v>
      </c>
      <c r="E240" s="265" t="str">
        <f>IFERROR(__xludf.DUMMYFUNCTION("""COMPUTED_VALUE"""),"HoaNTM")</f>
        <v>HoaNTM</v>
      </c>
      <c r="F240" s="265" t="str">
        <f>IFERROR(__xludf.DUMMYFUNCTION("""COMPUTED_VALUE"""),"Gold")</f>
        <v>Gold</v>
      </c>
      <c r="G240" s="265" t="str">
        <f>IFERROR(__xludf.DUMMYFUNCTION("""COMPUTED_VALUE"""),"Enterprise")</f>
        <v>Enterprise</v>
      </c>
      <c r="H240" s="265" t="str">
        <f>IFERROR(__xludf.DUMMYFUNCTION("""COMPUTED_VALUE"""),"Trả sau")</f>
        <v>Trả sau</v>
      </c>
      <c r="I240" s="265" t="str">
        <f>IFERROR(__xludf.DUMMYFUNCTION("""COMPUTED_VALUE"""),"(Chưa recheck)")</f>
        <v>(Chưa recheck)</v>
      </c>
      <c r="J240" s="265" t="str">
        <f>IFERROR(__xludf.DUMMYFUNCTION("""COMPUTED_VALUE"""),"API")</f>
        <v>API</v>
      </c>
    </row>
    <row r="241">
      <c r="A241" s="265" t="str">
        <f>IFERROR(__xludf.DUMMYFUNCTION("""COMPUTED_VALUE"""),"553")</f>
        <v>553</v>
      </c>
      <c r="B241" s="265" t="str">
        <f>IFERROR(__xludf.DUMMYFUNCTION("""COMPUTED_VALUE"""),"Sài Gòn")</f>
        <v>Sài Gòn</v>
      </c>
      <c r="C241" s="265" t="str">
        <f>IFERROR(__xludf.DUMMYFUNCTION("""COMPUTED_VALUE"""),"Locked")</f>
        <v>Locked</v>
      </c>
      <c r="D241" s="265" t="str">
        <f>IFERROR(__xludf.DUMMYFUNCTION("""COMPUTED_VALUE"""),"Sale chưa cung cấp")</f>
        <v>Sale chưa cung cấp</v>
      </c>
      <c r="E241" s="265" t="str">
        <f>IFERROR(__xludf.DUMMYFUNCTION("""COMPUTED_VALUE"""),"HoaNTM")</f>
        <v>HoaNTM</v>
      </c>
      <c r="F241" s="265" t="str">
        <f>IFERROR(__xludf.DUMMYFUNCTION("""COMPUTED_VALUE"""),"Sale chưa cung cấp")</f>
        <v>Sale chưa cung cấp</v>
      </c>
      <c r="G241" s="265" t="str">
        <f>IFERROR(__xludf.DUMMYFUNCTION("""COMPUTED_VALUE"""),"Enterprise")</f>
        <v>Enterprise</v>
      </c>
      <c r="H241" s="265" t="str">
        <f>IFERROR(__xludf.DUMMYFUNCTION("""COMPUTED_VALUE"""),"(Chưa recheck)")</f>
        <v>(Chưa recheck)</v>
      </c>
      <c r="I241" s="265" t="str">
        <f>IFERROR(__xludf.DUMMYFUNCTION("""COMPUTED_VALUE"""),"(Chưa recheck)")</f>
        <v>(Chưa recheck)</v>
      </c>
      <c r="J241" s="265" t="str">
        <f>IFERROR(__xludf.DUMMYFUNCTION("""COMPUTED_VALUE"""),"Pos365")</f>
        <v>Pos365</v>
      </c>
    </row>
    <row r="242">
      <c r="A242" s="265" t="str">
        <f>IFERROR(__xludf.DUMMYFUNCTION("""COMPUTED_VALUE"""),"555")</f>
        <v>555</v>
      </c>
      <c r="B242" s="265" t="str">
        <f>IFERROR(__xludf.DUMMYFUNCTION("""COMPUTED_VALUE"""),"Sài Gòn")</f>
        <v>Sài Gòn</v>
      </c>
      <c r="C242" s="265" t="str">
        <f>IFERROR(__xludf.DUMMYFUNCTION("""COMPUTED_VALUE"""),"Locked")</f>
        <v>Locked</v>
      </c>
      <c r="D242" s="265" t="str">
        <f>IFERROR(__xludf.DUMMYFUNCTION("""COMPUTED_VALUE"""),"Sale chưa cung cấp")</f>
        <v>Sale chưa cung cấp</v>
      </c>
      <c r="E242" s="265" t="str">
        <f>IFERROR(__xludf.DUMMYFUNCTION("""COMPUTED_VALUE"""),"HoaNTM")</f>
        <v>HoaNTM</v>
      </c>
      <c r="F242" s="265" t="str">
        <f>IFERROR(__xludf.DUMMYFUNCTION("""COMPUTED_VALUE"""),"Sale chưa cung cấp")</f>
        <v>Sale chưa cung cấp</v>
      </c>
      <c r="G242" s="265" t="str">
        <f>IFERROR(__xludf.DUMMYFUNCTION("""COMPUTED_VALUE"""),"MSG")</f>
        <v>MSG</v>
      </c>
      <c r="H242" s="265" t="str">
        <f>IFERROR(__xludf.DUMMYFUNCTION("""COMPUTED_VALUE"""),"(Chưa recheck)")</f>
        <v>(Chưa recheck)</v>
      </c>
      <c r="I242" s="265" t="str">
        <f>IFERROR(__xludf.DUMMYFUNCTION("""COMPUTED_VALUE"""),"(Chưa recheck)")</f>
        <v>(Chưa recheck)</v>
      </c>
      <c r="J242" s="265" t="str">
        <f>IFERROR(__xludf.DUMMYFUNCTION("""COMPUTED_VALUE"""),"File Excel")</f>
        <v>File Excel</v>
      </c>
    </row>
    <row r="243">
      <c r="A243" s="265" t="str">
        <f>IFERROR(__xludf.DUMMYFUNCTION("""COMPUTED_VALUE"""),"503")</f>
        <v>503</v>
      </c>
      <c r="B243" s="265" t="str">
        <f>IFERROR(__xludf.DUMMYFUNCTION("""COMPUTED_VALUE"""),"Hà Nội")</f>
        <v>Hà Nội</v>
      </c>
      <c r="C243" s="265" t="str">
        <f>IFERROR(__xludf.DUMMYFUNCTION("""COMPUTED_VALUE"""),"Locked")</f>
        <v>Locked</v>
      </c>
      <c r="D243" s="265" t="str">
        <f>IFERROR(__xludf.DUMMYFUNCTION("""COMPUTED_VALUE"""),"Sale chưa cung cấp")</f>
        <v>Sale chưa cung cấp</v>
      </c>
      <c r="E243" s="265" t="str">
        <f>IFERROR(__xludf.DUMMYFUNCTION("""COMPUTED_VALUE"""),"NamDT")</f>
        <v>NamDT</v>
      </c>
      <c r="F243" s="265" t="str">
        <f>IFERROR(__xludf.DUMMYFUNCTION("""COMPUTED_VALUE"""),"Sale chưa cung cấp")</f>
        <v>Sale chưa cung cấp</v>
      </c>
      <c r="G243" s="265" t="str">
        <f>IFERROR(__xludf.DUMMYFUNCTION("""COMPUTED_VALUE"""),"MSG")</f>
        <v>MSG</v>
      </c>
      <c r="H243" s="265" t="str">
        <f>IFERROR(__xludf.DUMMYFUNCTION("""COMPUTED_VALUE"""),"(Chưa recheck)")</f>
        <v>(Chưa recheck)</v>
      </c>
      <c r="I243" s="265" t="str">
        <f>IFERROR(__xludf.DUMMYFUNCTION("""COMPUTED_VALUE"""),"(Chưa recheck)")</f>
        <v>(Chưa recheck)</v>
      </c>
      <c r="J243" s="265" t="str">
        <f>IFERROR(__xludf.DUMMYFUNCTION("""COMPUTED_VALUE"""),"File Excel")</f>
        <v>File Excel</v>
      </c>
    </row>
    <row r="244">
      <c r="A244" s="265" t="str">
        <f>IFERROR(__xludf.DUMMYFUNCTION("""COMPUTED_VALUE"""),"557")</f>
        <v>557</v>
      </c>
      <c r="B244" s="265" t="str">
        <f>IFERROR(__xludf.DUMMYFUNCTION("""COMPUTED_VALUE"""),"Hà Nội")</f>
        <v>Hà Nội</v>
      </c>
      <c r="C244" s="265" t="str">
        <f>IFERROR(__xludf.DUMMYFUNCTION("""COMPUTED_VALUE"""),"Active")</f>
        <v>Active</v>
      </c>
      <c r="D244" s="265" t="str">
        <f>IFERROR(__xludf.DUMMYFUNCTION("""COMPUTED_VALUE"""),"Sale chưa cung cấp")</f>
        <v>Sale chưa cung cấp</v>
      </c>
      <c r="E244" s="265" t="str">
        <f>IFERROR(__xludf.DUMMYFUNCTION("""COMPUTED_VALUE"""),"AnhNM")</f>
        <v>AnhNM</v>
      </c>
      <c r="F244" s="265" t="str">
        <f>IFERROR(__xludf.DUMMYFUNCTION("""COMPUTED_VALUE"""),"Bronze")</f>
        <v>Bronze</v>
      </c>
      <c r="G244" s="265" t="str">
        <f>IFERROR(__xludf.DUMMYFUNCTION("""COMPUTED_VALUE"""),"Starter")</f>
        <v>Starter</v>
      </c>
      <c r="H244" s="265" t="str">
        <f>IFERROR(__xludf.DUMMYFUNCTION("""COMPUTED_VALUE"""),"Trả sau")</f>
        <v>Trả sau</v>
      </c>
      <c r="I244" s="265" t="str">
        <f>IFERROR(__xludf.DUMMYFUNCTION("""COMPUTED_VALUE"""),"API")</f>
        <v>API</v>
      </c>
      <c r="J244" s="265" t="str">
        <f>IFERROR(__xludf.DUMMYFUNCTION("""COMPUTED_VALUE"""),"API")</f>
        <v>API</v>
      </c>
    </row>
    <row r="245">
      <c r="A245" s="265" t="str">
        <f>IFERROR(__xludf.DUMMYFUNCTION("""COMPUTED_VALUE"""),"558")</f>
        <v>558</v>
      </c>
      <c r="B245" s="265" t="str">
        <f>IFERROR(__xludf.DUMMYFUNCTION("""COMPUTED_VALUE"""),"Sài Gòn")</f>
        <v>Sài Gòn</v>
      </c>
      <c r="C245" s="265" t="str">
        <f>IFERROR(__xludf.DUMMYFUNCTION("""COMPUTED_VALUE"""),"Active")</f>
        <v>Active</v>
      </c>
      <c r="D245" s="265" t="str">
        <f>IFERROR(__xludf.DUMMYFUNCTION("""COMPUTED_VALUE"""),"Dịch vụ khác")</f>
        <v>Dịch vụ khác</v>
      </c>
      <c r="E245" s="265" t="str">
        <f>IFERROR(__xludf.DUMMYFUNCTION("""COMPUTED_VALUE"""),"TúPHN")</f>
        <v>TúPHN</v>
      </c>
      <c r="F245" s="265" t="str">
        <f>IFERROR(__xludf.DUMMYFUNCTION("""COMPUTED_VALUE"""),"Silver")</f>
        <v>Silver</v>
      </c>
      <c r="G245" s="265" t="str">
        <f>IFERROR(__xludf.DUMMYFUNCTION("""COMPUTED_VALUE"""),"Enterprise")</f>
        <v>Enterprise</v>
      </c>
      <c r="H245" s="265" t="str">
        <f>IFERROR(__xludf.DUMMYFUNCTION("""COMPUTED_VALUE"""),"Trả sau")</f>
        <v>Trả sau</v>
      </c>
      <c r="I245" s="265" t="str">
        <f>IFERROR(__xludf.DUMMYFUNCTION("""COMPUTED_VALUE"""),"Portal")</f>
        <v>Portal</v>
      </c>
      <c r="J245" s="265" t="str">
        <f>IFERROR(__xludf.DUMMYFUNCTION("""COMPUTED_VALUE"""),"File Excel")</f>
        <v>File Excel</v>
      </c>
    </row>
    <row r="246">
      <c r="A246" s="265" t="str">
        <f>IFERROR(__xludf.DUMMYFUNCTION("""COMPUTED_VALUE"""),"556")</f>
        <v>556</v>
      </c>
      <c r="B246" s="265" t="str">
        <f>IFERROR(__xludf.DUMMYFUNCTION("""COMPUTED_VALUE"""),"Sài Gòn")</f>
        <v>Sài Gòn</v>
      </c>
      <c r="C246" s="265" t="str">
        <f>IFERROR(__xludf.DUMMYFUNCTION("""COMPUTED_VALUE"""),"Active")</f>
        <v>Active</v>
      </c>
      <c r="D246" s="265" t="str">
        <f>IFERROR(__xludf.DUMMYFUNCTION("""COMPUTED_VALUE"""),"Sale chưa cung cấp")</f>
        <v>Sale chưa cung cấp</v>
      </c>
      <c r="E246" s="265" t="str">
        <f>IFERROR(__xludf.DUMMYFUNCTION("""COMPUTED_VALUE"""),"TúPHN")</f>
        <v>TúPHN</v>
      </c>
      <c r="F246" s="265" t="str">
        <f>IFERROR(__xludf.DUMMYFUNCTION("""COMPUTED_VALUE"""),"Diamond")</f>
        <v>Diamond</v>
      </c>
      <c r="G246" s="265" t="str">
        <f>IFERROR(__xludf.DUMMYFUNCTION("""COMPUTED_VALUE"""),"Enterprise")</f>
        <v>Enterprise</v>
      </c>
      <c r="H246" s="265" t="str">
        <f>IFERROR(__xludf.DUMMYFUNCTION("""COMPUTED_VALUE"""),"Trả sau")</f>
        <v>Trả sau</v>
      </c>
      <c r="I246" s="265" t="str">
        <f>IFERROR(__xludf.DUMMYFUNCTION("""COMPUTED_VALUE"""),"Portal")</f>
        <v>Portal</v>
      </c>
      <c r="J246" s="265" t="str">
        <f>IFERROR(__xludf.DUMMYFUNCTION("""COMPUTED_VALUE"""),"File Excel")</f>
        <v>File Excel</v>
      </c>
    </row>
    <row r="247">
      <c r="A247" s="265" t="str">
        <f>IFERROR(__xludf.DUMMYFUNCTION("""COMPUTED_VALUE"""),"559")</f>
        <v>559</v>
      </c>
      <c r="B247" s="265" t="str">
        <f>IFERROR(__xludf.DUMMYFUNCTION("""COMPUTED_VALUE"""),"Hà Nội")</f>
        <v>Hà Nội</v>
      </c>
      <c r="C247" s="265" t="str">
        <f>IFERROR(__xludf.DUMMYFUNCTION("""COMPUTED_VALUE"""),"Active")</f>
        <v>Active</v>
      </c>
      <c r="D247" s="265" t="str">
        <f>IFERROR(__xludf.DUMMYFUNCTION("""COMPUTED_VALUE"""),"Sale chưa cung cấp")</f>
        <v>Sale chưa cung cấp</v>
      </c>
      <c r="E247" s="265" t="str">
        <f>IFERROR(__xludf.DUMMYFUNCTION("""COMPUTED_VALUE"""),"Không phân công")</f>
        <v>Không phân công</v>
      </c>
      <c r="F247" s="265" t="str">
        <f>IFERROR(__xludf.DUMMYFUNCTION("""COMPUTED_VALUE"""),"Bronze")</f>
        <v>Bronze</v>
      </c>
      <c r="G247" s="265" t="str">
        <f>IFERROR(__xludf.DUMMYFUNCTION("""COMPUTED_VALUE"""),"MSG")</f>
        <v>MSG</v>
      </c>
      <c r="H247" s="265" t="str">
        <f>IFERROR(__xludf.DUMMYFUNCTION("""COMPUTED_VALUE"""),"Trả sau")</f>
        <v>Trả sau</v>
      </c>
      <c r="I247" s="265" t="str">
        <f>IFERROR(__xludf.DUMMYFUNCTION("""COMPUTED_VALUE"""),"Portal")</f>
        <v>Portal</v>
      </c>
      <c r="J247" s="265" t="str">
        <f>IFERROR(__xludf.DUMMYFUNCTION("""COMPUTED_VALUE"""),"File Excel")</f>
        <v>File Excel</v>
      </c>
    </row>
    <row r="248">
      <c r="A248" s="265" t="str">
        <f>IFERROR(__xludf.DUMMYFUNCTION("""COMPUTED_VALUE"""),"560")</f>
        <v>560</v>
      </c>
      <c r="B248" s="265" t="str">
        <f>IFERROR(__xludf.DUMMYFUNCTION("""COMPUTED_VALUE"""),"Hà Nội")</f>
        <v>Hà Nội</v>
      </c>
      <c r="C248" s="265" t="str">
        <f>IFERROR(__xludf.DUMMYFUNCTION("""COMPUTED_VALUE"""),"Active")</f>
        <v>Active</v>
      </c>
      <c r="D248" s="265" t="str">
        <f>IFERROR(__xludf.DUMMYFUNCTION("""COMPUTED_VALUE"""),"Giáo dục &amp; Đào tạo")</f>
        <v>Giáo dục &amp; Đào tạo</v>
      </c>
      <c r="E248" s="265" t="str">
        <f>IFERROR(__xludf.DUMMYFUNCTION("""COMPUTED_VALUE"""),"Không phân công")</f>
        <v>Không phân công</v>
      </c>
      <c r="F248" s="265" t="str">
        <f>IFERROR(__xludf.DUMMYFUNCTION("""COMPUTED_VALUE"""),"Bronze")</f>
        <v>Bronze</v>
      </c>
      <c r="G248" s="265" t="str">
        <f>IFERROR(__xludf.DUMMYFUNCTION("""COMPUTED_VALUE"""),"Starter")</f>
        <v>Starter</v>
      </c>
      <c r="H248" s="265" t="str">
        <f>IFERROR(__xludf.DUMMYFUNCTION("""COMPUTED_VALUE"""),"Trả sau")</f>
        <v>Trả sau</v>
      </c>
      <c r="I248" s="265" t="str">
        <f>IFERROR(__xludf.DUMMYFUNCTION("""COMPUTED_VALUE"""),"API &amp; Portal")</f>
        <v>API &amp; Portal</v>
      </c>
      <c r="J248" s="265" t="str">
        <f>IFERROR(__xludf.DUMMYFUNCTION("""COMPUTED_VALUE"""),"File Excel")</f>
        <v>File Excel</v>
      </c>
    </row>
    <row r="249">
      <c r="A249" s="265" t="str">
        <f>IFERROR(__xludf.DUMMYFUNCTION("""COMPUTED_VALUE"""),"561")</f>
        <v>561</v>
      </c>
      <c r="B249" s="265" t="str">
        <f>IFERROR(__xludf.DUMMYFUNCTION("""COMPUTED_VALUE"""),"Hà Nội")</f>
        <v>Hà Nội</v>
      </c>
      <c r="C249" s="265" t="str">
        <f>IFERROR(__xludf.DUMMYFUNCTION("""COMPUTED_VALUE"""),"Locked")</f>
        <v>Locked</v>
      </c>
      <c r="D249" s="265" t="str">
        <f>IFERROR(__xludf.DUMMYFUNCTION("""COMPUTED_VALUE"""),"Sale chưa cung cấp")</f>
        <v>Sale chưa cung cấp</v>
      </c>
      <c r="E249" s="265" t="str">
        <f>IFERROR(__xludf.DUMMYFUNCTION("""COMPUTED_VALUE"""),"Không phân công")</f>
        <v>Không phân công</v>
      </c>
      <c r="F249" s="265" t="str">
        <f>IFERROR(__xludf.DUMMYFUNCTION("""COMPUTED_VALUE"""),"Bronze")</f>
        <v>Bronze</v>
      </c>
      <c r="G249" s="265" t="str">
        <f>IFERROR(__xludf.DUMMYFUNCTION("""COMPUTED_VALUE"""),"Starter")</f>
        <v>Starter</v>
      </c>
      <c r="H249" s="265" t="str">
        <f>IFERROR(__xludf.DUMMYFUNCTION("""COMPUTED_VALUE"""),"Trả sau")</f>
        <v>Trả sau</v>
      </c>
      <c r="I249" s="265" t="str">
        <f>IFERROR(__xludf.DUMMYFUNCTION("""COMPUTED_VALUE"""),"Portal")</f>
        <v>Portal</v>
      </c>
      <c r="J249" s="265" t="str">
        <f>IFERROR(__xludf.DUMMYFUNCTION("""COMPUTED_VALUE"""),"File Excel")</f>
        <v>File Excel</v>
      </c>
    </row>
    <row r="250">
      <c r="A250" s="265" t="str">
        <f>IFERROR(__xludf.DUMMYFUNCTION("""COMPUTED_VALUE"""),"564")</f>
        <v>564</v>
      </c>
      <c r="B250" s="265" t="str">
        <f>IFERROR(__xludf.DUMMYFUNCTION("""COMPUTED_VALUE"""),"Sài Gòn")</f>
        <v>Sài Gòn</v>
      </c>
      <c r="C250" s="265" t="str">
        <f>IFERROR(__xludf.DUMMYFUNCTION("""COMPUTED_VALUE"""),"Locked")</f>
        <v>Locked</v>
      </c>
      <c r="D250" s="265" t="str">
        <f>IFERROR(__xludf.DUMMYFUNCTION("""COMPUTED_VALUE"""),"Sale chưa cung cấp")</f>
        <v>Sale chưa cung cấp</v>
      </c>
      <c r="E250" s="265" t="str">
        <f>IFERROR(__xludf.DUMMYFUNCTION("""COMPUTED_VALUE"""),"HoaNTM")</f>
        <v>HoaNTM</v>
      </c>
      <c r="F250" s="265" t="str">
        <f>IFERROR(__xludf.DUMMYFUNCTION("""COMPUTED_VALUE"""),"Bronze")</f>
        <v>Bronze</v>
      </c>
      <c r="G250" s="265" t="str">
        <f>IFERROR(__xludf.DUMMYFUNCTION("""COMPUTED_VALUE"""),"Enterprise")</f>
        <v>Enterprise</v>
      </c>
      <c r="H250" s="265" t="str">
        <f>IFERROR(__xludf.DUMMYFUNCTION("""COMPUTED_VALUE"""),"(Chưa recheck)")</f>
        <v>(Chưa recheck)</v>
      </c>
      <c r="I250" s="265" t="str">
        <f>IFERROR(__xludf.DUMMYFUNCTION("""COMPUTED_VALUE"""),"(Chưa recheck)")</f>
        <v>(Chưa recheck)</v>
      </c>
      <c r="J250" s="265" t="str">
        <f>IFERROR(__xludf.DUMMYFUNCTION("""COMPUTED_VALUE"""),"File Excel")</f>
        <v>File Excel</v>
      </c>
    </row>
    <row r="251">
      <c r="A251" s="265" t="str">
        <f>IFERROR(__xludf.DUMMYFUNCTION("""COMPUTED_VALUE"""),"564")</f>
        <v>564</v>
      </c>
      <c r="B251" s="265" t="str">
        <f>IFERROR(__xludf.DUMMYFUNCTION("""COMPUTED_VALUE"""),"Sài Gòn")</f>
        <v>Sài Gòn</v>
      </c>
      <c r="C251" s="265" t="str">
        <f>IFERROR(__xludf.DUMMYFUNCTION("""COMPUTED_VALUE"""),"Locked")</f>
        <v>Locked</v>
      </c>
      <c r="D251" s="265" t="str">
        <f>IFERROR(__xludf.DUMMYFUNCTION("""COMPUTED_VALUE"""),"Sale chưa cung cấp")</f>
        <v>Sale chưa cung cấp</v>
      </c>
      <c r="E251" s="265" t="str">
        <f>IFERROR(__xludf.DUMMYFUNCTION("""COMPUTED_VALUE"""),"HoaNTM")</f>
        <v>HoaNTM</v>
      </c>
      <c r="F251" s="265" t="str">
        <f>IFERROR(__xludf.DUMMYFUNCTION("""COMPUTED_VALUE"""),"Bronze")</f>
        <v>Bronze</v>
      </c>
      <c r="G251" s="265" t="str">
        <f>IFERROR(__xludf.DUMMYFUNCTION("""COMPUTED_VALUE"""),"Enterprise")</f>
        <v>Enterprise</v>
      </c>
      <c r="H251" s="265" t="str">
        <f>IFERROR(__xludf.DUMMYFUNCTION("""COMPUTED_VALUE"""),"(Chưa recheck)")</f>
        <v>(Chưa recheck)</v>
      </c>
      <c r="I251" s="265" t="str">
        <f>IFERROR(__xludf.DUMMYFUNCTION("""COMPUTED_VALUE"""),"(Chưa recheck)")</f>
        <v>(Chưa recheck)</v>
      </c>
      <c r="J251" s="265" t="str">
        <f>IFERROR(__xludf.DUMMYFUNCTION("""COMPUTED_VALUE"""),"API")</f>
        <v>API</v>
      </c>
    </row>
    <row r="252">
      <c r="A252" s="265" t="str">
        <f>IFERROR(__xludf.DUMMYFUNCTION("""COMPUTED_VALUE"""),"563")</f>
        <v>563</v>
      </c>
      <c r="B252" s="265" t="str">
        <f>IFERROR(__xludf.DUMMYFUNCTION("""COMPUTED_VALUE"""),"Hà Nội")</f>
        <v>Hà Nội</v>
      </c>
      <c r="C252" s="265" t="str">
        <f>IFERROR(__xludf.DUMMYFUNCTION("""COMPUTED_VALUE"""),"Locked")</f>
        <v>Locked</v>
      </c>
      <c r="D252" s="265" t="str">
        <f>IFERROR(__xludf.DUMMYFUNCTION("""COMPUTED_VALUE"""),"Sale chưa cung cấp")</f>
        <v>Sale chưa cung cấp</v>
      </c>
      <c r="E252" s="265" t="str">
        <f>IFERROR(__xludf.DUMMYFUNCTION("""COMPUTED_VALUE"""),"TùngLD")</f>
        <v>TùngLD</v>
      </c>
      <c r="F252" s="265" t="str">
        <f>IFERROR(__xludf.DUMMYFUNCTION("""COMPUTED_VALUE"""),"Sale chưa cung cấp")</f>
        <v>Sale chưa cung cấp</v>
      </c>
      <c r="G252" s="265" t="str">
        <f>IFERROR(__xludf.DUMMYFUNCTION("""COMPUTED_VALUE"""),"Enterprise")</f>
        <v>Enterprise</v>
      </c>
      <c r="H252" s="265" t="str">
        <f>IFERROR(__xludf.DUMMYFUNCTION("""COMPUTED_VALUE"""),"Trial")</f>
        <v>Trial</v>
      </c>
      <c r="I252" s="265" t="str">
        <f>IFERROR(__xludf.DUMMYFUNCTION("""COMPUTED_VALUE"""),"Portal")</f>
        <v>Portal</v>
      </c>
      <c r="J252" s="265" t="str">
        <f>IFERROR(__xludf.DUMMYFUNCTION("""COMPUTED_VALUE"""),"File Excel")</f>
        <v>File Excel</v>
      </c>
    </row>
    <row r="253">
      <c r="A253" s="265" t="str">
        <f>IFERROR(__xludf.DUMMYFUNCTION("""COMPUTED_VALUE"""),"563")</f>
        <v>563</v>
      </c>
      <c r="B253" s="265" t="str">
        <f>IFERROR(__xludf.DUMMYFUNCTION("""COMPUTED_VALUE"""),"Hà Nội")</f>
        <v>Hà Nội</v>
      </c>
      <c r="C253" s="265" t="str">
        <f>IFERROR(__xludf.DUMMYFUNCTION("""COMPUTED_VALUE"""),"Locked")</f>
        <v>Locked</v>
      </c>
      <c r="D253" s="265" t="str">
        <f>IFERROR(__xludf.DUMMYFUNCTION("""COMPUTED_VALUE"""),"Sale chưa cung cấp")</f>
        <v>Sale chưa cung cấp</v>
      </c>
      <c r="E253" s="265" t="str">
        <f>IFERROR(__xludf.DUMMYFUNCTION("""COMPUTED_VALUE"""),"TùngLD")</f>
        <v>TùngLD</v>
      </c>
      <c r="F253" s="265" t="str">
        <f>IFERROR(__xludf.DUMMYFUNCTION("""COMPUTED_VALUE"""),"Sale chưa cung cấp")</f>
        <v>Sale chưa cung cấp</v>
      </c>
      <c r="G253" s="265" t="str">
        <f>IFERROR(__xludf.DUMMYFUNCTION("""COMPUTED_VALUE"""),"Enterprise")</f>
        <v>Enterprise</v>
      </c>
      <c r="H253" s="265" t="str">
        <f>IFERROR(__xludf.DUMMYFUNCTION("""COMPUTED_VALUE"""),"Trial")</f>
        <v>Trial</v>
      </c>
      <c r="I253" s="265" t="str">
        <f>IFERROR(__xludf.DUMMYFUNCTION("""COMPUTED_VALUE"""),"Portal")</f>
        <v>Portal</v>
      </c>
      <c r="J253" s="265" t="str">
        <f>IFERROR(__xludf.DUMMYFUNCTION("""COMPUTED_VALUE"""),"API")</f>
        <v>API</v>
      </c>
    </row>
    <row r="254">
      <c r="A254" s="265" t="str">
        <f>IFERROR(__xludf.DUMMYFUNCTION("""COMPUTED_VALUE"""),"562")</f>
        <v>562</v>
      </c>
      <c r="B254" s="265" t="str">
        <f>IFERROR(__xludf.DUMMYFUNCTION("""COMPUTED_VALUE"""),"Hà Nội")</f>
        <v>Hà Nội</v>
      </c>
      <c r="C254" s="265" t="str">
        <f>IFERROR(__xludf.DUMMYFUNCTION("""COMPUTED_VALUE"""),"Locked")</f>
        <v>Locked</v>
      </c>
      <c r="D254" s="265" t="str">
        <f>IFERROR(__xludf.DUMMYFUNCTION("""COMPUTED_VALUE"""),"Sale chưa cung cấp")</f>
        <v>Sale chưa cung cấp</v>
      </c>
      <c r="E254" s="265" t="str">
        <f>IFERROR(__xludf.DUMMYFUNCTION("""COMPUTED_VALUE"""),"HangNT")</f>
        <v>HangNT</v>
      </c>
      <c r="F254" s="265" t="str">
        <f>IFERROR(__xludf.DUMMYFUNCTION("""COMPUTED_VALUE"""),"Sale chưa cung cấp")</f>
        <v>Sale chưa cung cấp</v>
      </c>
      <c r="G254" s="265" t="str">
        <f>IFERROR(__xludf.DUMMYFUNCTION("""COMPUTED_VALUE"""),"MSG")</f>
        <v>MSG</v>
      </c>
      <c r="H254" s="265" t="str">
        <f>IFERROR(__xludf.DUMMYFUNCTION("""COMPUTED_VALUE"""),"(Chưa recheck)")</f>
        <v>(Chưa recheck)</v>
      </c>
      <c r="I254" s="265" t="str">
        <f>IFERROR(__xludf.DUMMYFUNCTION("""COMPUTED_VALUE"""),"(Chưa recheck)")</f>
        <v>(Chưa recheck)</v>
      </c>
      <c r="J254" s="265" t="str">
        <f>IFERROR(__xludf.DUMMYFUNCTION("""COMPUTED_VALUE"""),"File Excel")</f>
        <v>File Excel</v>
      </c>
    </row>
    <row r="255">
      <c r="A255" s="265" t="str">
        <f>IFERROR(__xludf.DUMMYFUNCTION("""COMPUTED_VALUE"""),"565")</f>
        <v>565</v>
      </c>
      <c r="B255" s="265" t="str">
        <f>IFERROR(__xludf.DUMMYFUNCTION("""COMPUTED_VALUE"""),"Hà Nội")</f>
        <v>Hà Nội</v>
      </c>
      <c r="C255" s="265" t="str">
        <f>IFERROR(__xludf.DUMMYFUNCTION("""COMPUTED_VALUE"""),"Locked")</f>
        <v>Locked</v>
      </c>
      <c r="D255" s="265" t="str">
        <f>IFERROR(__xludf.DUMMYFUNCTION("""COMPUTED_VALUE"""),"Sale chưa cung cấp")</f>
        <v>Sale chưa cung cấp</v>
      </c>
      <c r="E255" s="265" t="str">
        <f>IFERROR(__xludf.DUMMYFUNCTION("""COMPUTED_VALUE"""),"PhươngDTB")</f>
        <v>PhươngDTB</v>
      </c>
      <c r="F255" s="265" t="str">
        <f>IFERROR(__xludf.DUMMYFUNCTION("""COMPUTED_VALUE"""),"Silver")</f>
        <v>Silver</v>
      </c>
      <c r="G255" s="265" t="str">
        <f>IFERROR(__xludf.DUMMYFUNCTION("""COMPUTED_VALUE"""),"MSG")</f>
        <v>MSG</v>
      </c>
      <c r="H255" s="265" t="str">
        <f>IFERROR(__xludf.DUMMYFUNCTION("""COMPUTED_VALUE"""),"(Chưa recheck)")</f>
        <v>(Chưa recheck)</v>
      </c>
      <c r="I255" s="265" t="str">
        <f>IFERROR(__xludf.DUMMYFUNCTION("""COMPUTED_VALUE"""),"(Chưa recheck)")</f>
        <v>(Chưa recheck)</v>
      </c>
      <c r="J255" s="265" t="str">
        <f>IFERROR(__xludf.DUMMYFUNCTION("""COMPUTED_VALUE"""),"File Excel")</f>
        <v>File Excel</v>
      </c>
    </row>
    <row r="256">
      <c r="A256" s="265" t="str">
        <f>IFERROR(__xludf.DUMMYFUNCTION("""COMPUTED_VALUE"""),"566")</f>
        <v>566</v>
      </c>
      <c r="B256" s="265" t="str">
        <f>IFERROR(__xludf.DUMMYFUNCTION("""COMPUTED_VALUE"""),"Sài Gòn")</f>
        <v>Sài Gòn</v>
      </c>
      <c r="C256" s="265" t="str">
        <f>IFERROR(__xludf.DUMMYFUNCTION("""COMPUTED_VALUE"""),"Locked")</f>
        <v>Locked</v>
      </c>
      <c r="D256" s="265" t="str">
        <f>IFERROR(__xludf.DUMMYFUNCTION("""COMPUTED_VALUE"""),"Sale chưa cung cấp")</f>
        <v>Sale chưa cung cấp</v>
      </c>
      <c r="E256" s="265" t="str">
        <f>IFERROR(__xludf.DUMMYFUNCTION("""COMPUTED_VALUE"""),"HoaNTM")</f>
        <v>HoaNTM</v>
      </c>
      <c r="F256" s="265" t="str">
        <f>IFERROR(__xludf.DUMMYFUNCTION("""COMPUTED_VALUE"""),"Sale chưa cung cấp")</f>
        <v>Sale chưa cung cấp</v>
      </c>
      <c r="G256" s="265" t="str">
        <f>IFERROR(__xludf.DUMMYFUNCTION("""COMPUTED_VALUE"""),"Enterprise")</f>
        <v>Enterprise</v>
      </c>
      <c r="H256" s="265" t="str">
        <f>IFERROR(__xludf.DUMMYFUNCTION("""COMPUTED_VALUE"""),"(Chưa recheck)")</f>
        <v>(Chưa recheck)</v>
      </c>
      <c r="I256" s="265" t="str">
        <f>IFERROR(__xludf.DUMMYFUNCTION("""COMPUTED_VALUE"""),"(Chưa recheck)")</f>
        <v>(Chưa recheck)</v>
      </c>
      <c r="J256" s="265" t="str">
        <f>IFERROR(__xludf.DUMMYFUNCTION("""COMPUTED_VALUE"""),"File Excel")</f>
        <v>File Excel</v>
      </c>
    </row>
    <row r="257">
      <c r="A257" s="265" t="str">
        <f>IFERROR(__xludf.DUMMYFUNCTION("""COMPUTED_VALUE"""),"566")</f>
        <v>566</v>
      </c>
      <c r="B257" s="265" t="str">
        <f>IFERROR(__xludf.DUMMYFUNCTION("""COMPUTED_VALUE"""),"Sài Gòn")</f>
        <v>Sài Gòn</v>
      </c>
      <c r="C257" s="265" t="str">
        <f>IFERROR(__xludf.DUMMYFUNCTION("""COMPUTED_VALUE"""),"Locked")</f>
        <v>Locked</v>
      </c>
      <c r="D257" s="265" t="str">
        <f>IFERROR(__xludf.DUMMYFUNCTION("""COMPUTED_VALUE"""),"Sale chưa cung cấp")</f>
        <v>Sale chưa cung cấp</v>
      </c>
      <c r="E257" s="265" t="str">
        <f>IFERROR(__xludf.DUMMYFUNCTION("""COMPUTED_VALUE"""),"HoaNTM")</f>
        <v>HoaNTM</v>
      </c>
      <c r="F257" s="265" t="str">
        <f>IFERROR(__xludf.DUMMYFUNCTION("""COMPUTED_VALUE"""),"Sale chưa cung cấp")</f>
        <v>Sale chưa cung cấp</v>
      </c>
      <c r="G257" s="265" t="str">
        <f>IFERROR(__xludf.DUMMYFUNCTION("""COMPUTED_VALUE"""),"Enterprise")</f>
        <v>Enterprise</v>
      </c>
      <c r="H257" s="265" t="str">
        <f>IFERROR(__xludf.DUMMYFUNCTION("""COMPUTED_VALUE"""),"(Chưa recheck)")</f>
        <v>(Chưa recheck)</v>
      </c>
      <c r="I257" s="265" t="str">
        <f>IFERROR(__xludf.DUMMYFUNCTION("""COMPUTED_VALUE"""),"(Chưa recheck)")</f>
        <v>(Chưa recheck)</v>
      </c>
      <c r="J257" s="265" t="str">
        <f>IFERROR(__xludf.DUMMYFUNCTION("""COMPUTED_VALUE"""),"API")</f>
        <v>API</v>
      </c>
    </row>
    <row r="258">
      <c r="A258" s="265" t="str">
        <f>IFERROR(__xludf.DUMMYFUNCTION("""COMPUTED_VALUE"""),"567")</f>
        <v>567</v>
      </c>
      <c r="B258" s="265" t="str">
        <f>IFERROR(__xludf.DUMMYFUNCTION("""COMPUTED_VALUE"""),"Hà Nội")</f>
        <v>Hà Nội</v>
      </c>
      <c r="C258" s="265" t="str">
        <f>IFERROR(__xludf.DUMMYFUNCTION("""COMPUTED_VALUE"""),"Locked")</f>
        <v>Locked</v>
      </c>
      <c r="D258" s="265" t="str">
        <f>IFERROR(__xludf.DUMMYFUNCTION("""COMPUTED_VALUE"""),"Sale chưa cung cấp")</f>
        <v>Sale chưa cung cấp</v>
      </c>
      <c r="E258" s="265" t="str">
        <f>IFERROR(__xludf.DUMMYFUNCTION("""COMPUTED_VALUE"""),"PhươngDTB")</f>
        <v>PhươngDTB</v>
      </c>
      <c r="F258" s="265" t="str">
        <f>IFERROR(__xludf.DUMMYFUNCTION("""COMPUTED_VALUE"""),"Sale chưa cung cấp")</f>
        <v>Sale chưa cung cấp</v>
      </c>
      <c r="G258" s="265" t="str">
        <f>IFERROR(__xludf.DUMMYFUNCTION("""COMPUTED_VALUE"""),"MSG")</f>
        <v>MSG</v>
      </c>
      <c r="H258" s="265" t="str">
        <f>IFERROR(__xludf.DUMMYFUNCTION("""COMPUTED_VALUE"""),"(Chưa recheck)")</f>
        <v>(Chưa recheck)</v>
      </c>
      <c r="I258" s="265" t="str">
        <f>IFERROR(__xludf.DUMMYFUNCTION("""COMPUTED_VALUE"""),"(Chưa recheck)")</f>
        <v>(Chưa recheck)</v>
      </c>
      <c r="J258" s="265" t="str">
        <f>IFERROR(__xludf.DUMMYFUNCTION("""COMPUTED_VALUE"""),"File Excel")</f>
        <v>File Excel</v>
      </c>
    </row>
    <row r="259">
      <c r="A259" s="265" t="str">
        <f>IFERROR(__xludf.DUMMYFUNCTION("""COMPUTED_VALUE"""),"568")</f>
        <v>568</v>
      </c>
      <c r="B259" s="265" t="str">
        <f>IFERROR(__xludf.DUMMYFUNCTION("""COMPUTED_VALUE"""),"Hà Nội")</f>
        <v>Hà Nội</v>
      </c>
      <c r="C259" s="265" t="str">
        <f>IFERROR(__xludf.DUMMYFUNCTION("""COMPUTED_VALUE"""),"Locked")</f>
        <v>Locked</v>
      </c>
      <c r="D259" s="265" t="str">
        <f>IFERROR(__xludf.DUMMYFUNCTION("""COMPUTED_VALUE"""),"Sale chưa cung cấp")</f>
        <v>Sale chưa cung cấp</v>
      </c>
      <c r="E259" s="265" t="str">
        <f>IFERROR(__xludf.DUMMYFUNCTION("""COMPUTED_VALUE"""),"PhươngDTB")</f>
        <v>PhươngDTB</v>
      </c>
      <c r="F259" s="265" t="str">
        <f>IFERROR(__xludf.DUMMYFUNCTION("""COMPUTED_VALUE"""),"Sale chưa cung cấp")</f>
        <v>Sale chưa cung cấp</v>
      </c>
      <c r="G259" s="265" t="str">
        <f>IFERROR(__xludf.DUMMYFUNCTION("""COMPUTED_VALUE"""),"MSG")</f>
        <v>MSG</v>
      </c>
      <c r="H259" s="265" t="str">
        <f>IFERROR(__xludf.DUMMYFUNCTION("""COMPUTED_VALUE"""),"(Chưa recheck)")</f>
        <v>(Chưa recheck)</v>
      </c>
      <c r="I259" s="265" t="str">
        <f>IFERROR(__xludf.DUMMYFUNCTION("""COMPUTED_VALUE"""),"(Chưa recheck)")</f>
        <v>(Chưa recheck)</v>
      </c>
      <c r="J259" s="265" t="str">
        <f>IFERROR(__xludf.DUMMYFUNCTION("""COMPUTED_VALUE"""),"File Excel")</f>
        <v>File Excel</v>
      </c>
    </row>
    <row r="260">
      <c r="A260" s="265" t="str">
        <f>IFERROR(__xludf.DUMMYFUNCTION("""COMPUTED_VALUE"""),"569")</f>
        <v>569</v>
      </c>
      <c r="B260" s="265" t="str">
        <f>IFERROR(__xludf.DUMMYFUNCTION("""COMPUTED_VALUE"""),"Sài Gòn")</f>
        <v>Sài Gòn</v>
      </c>
      <c r="C260" s="265" t="str">
        <f>IFERROR(__xludf.DUMMYFUNCTION("""COMPUTED_VALUE"""),"Locked")</f>
        <v>Locked</v>
      </c>
      <c r="D260" s="265" t="str">
        <f>IFERROR(__xludf.DUMMYFUNCTION("""COMPUTED_VALUE"""),"Sale chưa cung cấp")</f>
        <v>Sale chưa cung cấp</v>
      </c>
      <c r="E260" s="265" t="str">
        <f>IFERROR(__xludf.DUMMYFUNCTION("""COMPUTED_VALUE"""),"HoaNTM")</f>
        <v>HoaNTM</v>
      </c>
      <c r="F260" s="265" t="str">
        <f>IFERROR(__xludf.DUMMYFUNCTION("""COMPUTED_VALUE"""),"Sale chưa cung cấp")</f>
        <v>Sale chưa cung cấp</v>
      </c>
      <c r="G260" s="265" t="str">
        <f>IFERROR(__xludf.DUMMYFUNCTION("""COMPUTED_VALUE"""),"API")</f>
        <v>API</v>
      </c>
      <c r="H260" s="265" t="str">
        <f>IFERROR(__xludf.DUMMYFUNCTION("""COMPUTED_VALUE"""),"(Chưa recheck)")</f>
        <v>(Chưa recheck)</v>
      </c>
      <c r="I260" s="265" t="str">
        <f>IFERROR(__xludf.DUMMYFUNCTION("""COMPUTED_VALUE"""),"(Chưa recheck)")</f>
        <v>(Chưa recheck)</v>
      </c>
      <c r="J260" s="265" t="str">
        <f>IFERROR(__xludf.DUMMYFUNCTION("""COMPUTED_VALUE"""),"API")</f>
        <v>API</v>
      </c>
    </row>
    <row r="261">
      <c r="A261" s="265" t="str">
        <f>IFERROR(__xludf.DUMMYFUNCTION("""COMPUTED_VALUE"""),"574")</f>
        <v>574</v>
      </c>
      <c r="B261" s="265" t="str">
        <f>IFERROR(__xludf.DUMMYFUNCTION("""COMPUTED_VALUE"""),"Hà Nội")</f>
        <v>Hà Nội</v>
      </c>
      <c r="C261" s="265" t="str">
        <f>IFERROR(__xludf.DUMMYFUNCTION("""COMPUTED_VALUE"""),"Locked")</f>
        <v>Locked</v>
      </c>
      <c r="D261" s="265" t="str">
        <f>IFERROR(__xludf.DUMMYFUNCTION("""COMPUTED_VALUE"""),"Sale chưa cung cấp")</f>
        <v>Sale chưa cung cấp</v>
      </c>
      <c r="E261" s="265" t="str">
        <f>IFERROR(__xludf.DUMMYFUNCTION("""COMPUTED_VALUE"""),"TùngLD")</f>
        <v>TùngLD</v>
      </c>
      <c r="F261" s="265" t="str">
        <f>IFERROR(__xludf.DUMMYFUNCTION("""COMPUTED_VALUE"""),"Sale chưa cung cấp")</f>
        <v>Sale chưa cung cấp</v>
      </c>
      <c r="G261" s="265" t="str">
        <f>IFERROR(__xludf.DUMMYFUNCTION("""COMPUTED_VALUE"""),"MSG")</f>
        <v>MSG</v>
      </c>
      <c r="H261" s="265" t="str">
        <f>IFERROR(__xludf.DUMMYFUNCTION("""COMPUTED_VALUE"""),"Trả sau")</f>
        <v>Trả sau</v>
      </c>
      <c r="I261" s="265" t="str">
        <f>IFERROR(__xludf.DUMMYFUNCTION("""COMPUTED_VALUE"""),"Portal")</f>
        <v>Portal</v>
      </c>
      <c r="J261" s="265" t="str">
        <f>IFERROR(__xludf.DUMMYFUNCTION("""COMPUTED_VALUE"""),"File Excel")</f>
        <v>File Excel</v>
      </c>
    </row>
    <row r="262">
      <c r="A262" s="265" t="str">
        <f>IFERROR(__xludf.DUMMYFUNCTION("""COMPUTED_VALUE"""),"572")</f>
        <v>572</v>
      </c>
      <c r="B262" s="265" t="str">
        <f>IFERROR(__xludf.DUMMYFUNCTION("""COMPUTED_VALUE"""),"Hà Nội")</f>
        <v>Hà Nội</v>
      </c>
      <c r="C262" s="265" t="str">
        <f>IFERROR(__xludf.DUMMYFUNCTION("""COMPUTED_VALUE"""),"Active")</f>
        <v>Active</v>
      </c>
      <c r="D262" s="265" t="str">
        <f>IFERROR(__xludf.DUMMYFUNCTION("""COMPUTED_VALUE"""),"Trang sức")</f>
        <v>Trang sức</v>
      </c>
      <c r="E262" s="265" t="str">
        <f>IFERROR(__xludf.DUMMYFUNCTION("""COMPUTED_VALUE"""),"AnhNM")</f>
        <v>AnhNM</v>
      </c>
      <c r="F262" s="265" t="str">
        <f>IFERROR(__xludf.DUMMYFUNCTION("""COMPUTED_VALUE"""),"Gold")</f>
        <v>Gold</v>
      </c>
      <c r="G262" s="265" t="str">
        <f>IFERROR(__xludf.DUMMYFUNCTION("""COMPUTED_VALUE"""),"Starter")</f>
        <v>Starter</v>
      </c>
      <c r="H262" s="265" t="str">
        <f>IFERROR(__xludf.DUMMYFUNCTION("""COMPUTED_VALUE"""),"Trả sau")</f>
        <v>Trả sau</v>
      </c>
      <c r="I262" s="265" t="str">
        <f>IFERROR(__xludf.DUMMYFUNCTION("""COMPUTED_VALUE"""),"API &amp; Portal")</f>
        <v>API &amp; Portal</v>
      </c>
      <c r="J262" s="265" t="str">
        <f>IFERROR(__xludf.DUMMYFUNCTION("""COMPUTED_VALUE"""),"File Excel")</f>
        <v>File Excel</v>
      </c>
    </row>
    <row r="263">
      <c r="A263" s="265" t="str">
        <f>IFERROR(__xludf.DUMMYFUNCTION("""COMPUTED_VALUE"""),"570")</f>
        <v>570</v>
      </c>
      <c r="B263" s="265" t="str">
        <f>IFERROR(__xludf.DUMMYFUNCTION("""COMPUTED_VALUE"""),"Sài Gòn")</f>
        <v>Sài Gòn</v>
      </c>
      <c r="C263" s="265" t="str">
        <f>IFERROR(__xludf.DUMMYFUNCTION("""COMPUTED_VALUE"""),"Locked")</f>
        <v>Locked</v>
      </c>
      <c r="D263" s="265" t="str">
        <f>IFERROR(__xludf.DUMMYFUNCTION("""COMPUTED_VALUE"""),"Sale chưa cung cấp")</f>
        <v>Sale chưa cung cấp</v>
      </c>
      <c r="E263" s="265" t="str">
        <f>IFERROR(__xludf.DUMMYFUNCTION("""COMPUTED_VALUE"""),"HoaNTM")</f>
        <v>HoaNTM</v>
      </c>
      <c r="F263" s="265" t="str">
        <f>IFERROR(__xludf.DUMMYFUNCTION("""COMPUTED_VALUE"""),"Sale chưa cung cấp")</f>
        <v>Sale chưa cung cấp</v>
      </c>
      <c r="G263" s="265" t="str">
        <f>IFERROR(__xludf.DUMMYFUNCTION("""COMPUTED_VALUE"""),"Enterprise")</f>
        <v>Enterprise</v>
      </c>
      <c r="H263" s="265" t="str">
        <f>IFERROR(__xludf.DUMMYFUNCTION("""COMPUTED_VALUE"""),"(Chưa recheck)")</f>
        <v>(Chưa recheck)</v>
      </c>
      <c r="I263" s="265" t="str">
        <f>IFERROR(__xludf.DUMMYFUNCTION("""COMPUTED_VALUE"""),"(Chưa recheck)")</f>
        <v>(Chưa recheck)</v>
      </c>
      <c r="J263" s="265" t="str">
        <f>IFERROR(__xludf.DUMMYFUNCTION("""COMPUTED_VALUE"""),"File Excel")</f>
        <v>File Excel</v>
      </c>
    </row>
    <row r="264">
      <c r="A264" s="265" t="str">
        <f>IFERROR(__xludf.DUMMYFUNCTION("""COMPUTED_VALUE"""),"570")</f>
        <v>570</v>
      </c>
      <c r="B264" s="265" t="str">
        <f>IFERROR(__xludf.DUMMYFUNCTION("""COMPUTED_VALUE"""),"Sài Gòn")</f>
        <v>Sài Gòn</v>
      </c>
      <c r="C264" s="265" t="str">
        <f>IFERROR(__xludf.DUMMYFUNCTION("""COMPUTED_VALUE"""),"Locked")</f>
        <v>Locked</v>
      </c>
      <c r="D264" s="265" t="str">
        <f>IFERROR(__xludf.DUMMYFUNCTION("""COMPUTED_VALUE"""),"Sale chưa cung cấp")</f>
        <v>Sale chưa cung cấp</v>
      </c>
      <c r="E264" s="265" t="str">
        <f>IFERROR(__xludf.DUMMYFUNCTION("""COMPUTED_VALUE"""),"HoaNTM")</f>
        <v>HoaNTM</v>
      </c>
      <c r="F264" s="265" t="str">
        <f>IFERROR(__xludf.DUMMYFUNCTION("""COMPUTED_VALUE"""),"Sale chưa cung cấp")</f>
        <v>Sale chưa cung cấp</v>
      </c>
      <c r="G264" s="265" t="str">
        <f>IFERROR(__xludf.DUMMYFUNCTION("""COMPUTED_VALUE"""),"Enterprise")</f>
        <v>Enterprise</v>
      </c>
      <c r="H264" s="265" t="str">
        <f>IFERROR(__xludf.DUMMYFUNCTION("""COMPUTED_VALUE"""),"(Chưa recheck)")</f>
        <v>(Chưa recheck)</v>
      </c>
      <c r="I264" s="265" t="str">
        <f>IFERROR(__xludf.DUMMYFUNCTION("""COMPUTED_VALUE"""),"(Chưa recheck)")</f>
        <v>(Chưa recheck)</v>
      </c>
      <c r="J264" s="265" t="str">
        <f>IFERROR(__xludf.DUMMYFUNCTION("""COMPUTED_VALUE"""),"API")</f>
        <v>API</v>
      </c>
    </row>
    <row r="265">
      <c r="A265" s="265" t="str">
        <f>IFERROR(__xludf.DUMMYFUNCTION("""COMPUTED_VALUE"""),"571")</f>
        <v>571</v>
      </c>
      <c r="B265" s="265" t="str">
        <f>IFERROR(__xludf.DUMMYFUNCTION("""COMPUTED_VALUE"""),"Sài Gòn")</f>
        <v>Sài Gòn</v>
      </c>
      <c r="C265" s="265" t="str">
        <f>IFERROR(__xludf.DUMMYFUNCTION("""COMPUTED_VALUE"""),"Locked")</f>
        <v>Locked</v>
      </c>
      <c r="D265" s="265" t="str">
        <f>IFERROR(__xludf.DUMMYFUNCTION("""COMPUTED_VALUE"""),"Sale chưa cung cấp")</f>
        <v>Sale chưa cung cấp</v>
      </c>
      <c r="E265" s="265" t="str">
        <f>IFERROR(__xludf.DUMMYFUNCTION("""COMPUTED_VALUE"""),"HoaNTM")</f>
        <v>HoaNTM</v>
      </c>
      <c r="F265" s="265" t="str">
        <f>IFERROR(__xludf.DUMMYFUNCTION("""COMPUTED_VALUE"""),"Bronze")</f>
        <v>Bronze</v>
      </c>
      <c r="G265" s="265" t="str">
        <f>IFERROR(__xludf.DUMMYFUNCTION("""COMPUTED_VALUE"""),"Enterprise")</f>
        <v>Enterprise</v>
      </c>
      <c r="H265" s="265" t="str">
        <f>IFERROR(__xludf.DUMMYFUNCTION("""COMPUTED_VALUE"""),"(Chưa recheck)")</f>
        <v>(Chưa recheck)</v>
      </c>
      <c r="I265" s="265" t="str">
        <f>IFERROR(__xludf.DUMMYFUNCTION("""COMPUTED_VALUE"""),"(Chưa recheck)")</f>
        <v>(Chưa recheck)</v>
      </c>
      <c r="J265" s="265" t="str">
        <f>IFERROR(__xludf.DUMMYFUNCTION("""COMPUTED_VALUE"""),"File Excel")</f>
        <v>File Excel</v>
      </c>
    </row>
    <row r="266">
      <c r="A266" s="265" t="str">
        <f>IFERROR(__xludf.DUMMYFUNCTION("""COMPUTED_VALUE"""),"571")</f>
        <v>571</v>
      </c>
      <c r="B266" s="265" t="str">
        <f>IFERROR(__xludf.DUMMYFUNCTION("""COMPUTED_VALUE"""),"Sài Gòn")</f>
        <v>Sài Gòn</v>
      </c>
      <c r="C266" s="265" t="str">
        <f>IFERROR(__xludf.DUMMYFUNCTION("""COMPUTED_VALUE"""),"Locked")</f>
        <v>Locked</v>
      </c>
      <c r="D266" s="265" t="str">
        <f>IFERROR(__xludf.DUMMYFUNCTION("""COMPUTED_VALUE"""),"Sale chưa cung cấp")</f>
        <v>Sale chưa cung cấp</v>
      </c>
      <c r="E266" s="265" t="str">
        <f>IFERROR(__xludf.DUMMYFUNCTION("""COMPUTED_VALUE"""),"HoaNTM")</f>
        <v>HoaNTM</v>
      </c>
      <c r="F266" s="265" t="str">
        <f>IFERROR(__xludf.DUMMYFUNCTION("""COMPUTED_VALUE"""),"Bronze")</f>
        <v>Bronze</v>
      </c>
      <c r="G266" s="265" t="str">
        <f>IFERROR(__xludf.DUMMYFUNCTION("""COMPUTED_VALUE"""),"Enterprise")</f>
        <v>Enterprise</v>
      </c>
      <c r="H266" s="265" t="str">
        <f>IFERROR(__xludf.DUMMYFUNCTION("""COMPUTED_VALUE"""),"(Chưa recheck)")</f>
        <v>(Chưa recheck)</v>
      </c>
      <c r="I266" s="265" t="str">
        <f>IFERROR(__xludf.DUMMYFUNCTION("""COMPUTED_VALUE"""),"(Chưa recheck)")</f>
        <v>(Chưa recheck)</v>
      </c>
      <c r="J266" s="265" t="str">
        <f>IFERROR(__xludf.DUMMYFUNCTION("""COMPUTED_VALUE"""),"API")</f>
        <v>API</v>
      </c>
    </row>
    <row r="267">
      <c r="A267" s="265" t="str">
        <f>IFERROR(__xludf.DUMMYFUNCTION("""COMPUTED_VALUE"""),"573")</f>
        <v>573</v>
      </c>
      <c r="B267" s="265" t="str">
        <f>IFERROR(__xludf.DUMMYFUNCTION("""COMPUTED_VALUE"""),"Hà Nội")</f>
        <v>Hà Nội</v>
      </c>
      <c r="C267" s="265" t="str">
        <f>IFERROR(__xludf.DUMMYFUNCTION("""COMPUTED_VALUE"""),"Locked")</f>
        <v>Locked</v>
      </c>
      <c r="D267" s="265" t="str">
        <f>IFERROR(__xludf.DUMMYFUNCTION("""COMPUTED_VALUE"""),"Sale chưa cung cấp")</f>
        <v>Sale chưa cung cấp</v>
      </c>
      <c r="E267" s="265" t="str">
        <f>IFERROR(__xludf.DUMMYFUNCTION("""COMPUTED_VALUE"""),"TùngLD")</f>
        <v>TùngLD</v>
      </c>
      <c r="F267" s="265" t="str">
        <f>IFERROR(__xludf.DUMMYFUNCTION("""COMPUTED_VALUE"""),"Sale chưa cung cấp")</f>
        <v>Sale chưa cung cấp</v>
      </c>
      <c r="G267" s="265" t="str">
        <f>IFERROR(__xludf.DUMMYFUNCTION("""COMPUTED_VALUE"""),"API")</f>
        <v>API</v>
      </c>
      <c r="H267" s="265" t="str">
        <f>IFERROR(__xludf.DUMMYFUNCTION("""COMPUTED_VALUE"""),"Trial")</f>
        <v>Trial</v>
      </c>
      <c r="I267" s="265" t="str">
        <f>IFERROR(__xludf.DUMMYFUNCTION("""COMPUTED_VALUE"""),"API")</f>
        <v>API</v>
      </c>
      <c r="J267" s="265" t="str">
        <f>IFERROR(__xludf.DUMMYFUNCTION("""COMPUTED_VALUE"""),"API")</f>
        <v>API</v>
      </c>
    </row>
    <row r="268">
      <c r="A268" s="265" t="str">
        <f>IFERROR(__xludf.DUMMYFUNCTION("""COMPUTED_VALUE"""),"575")</f>
        <v>575</v>
      </c>
      <c r="B268" s="265" t="str">
        <f>IFERROR(__xludf.DUMMYFUNCTION("""COMPUTED_VALUE"""),"Sài Gòn")</f>
        <v>Sài Gòn</v>
      </c>
      <c r="C268" s="265" t="str">
        <f>IFERROR(__xludf.DUMMYFUNCTION("""COMPUTED_VALUE"""),"Locked")</f>
        <v>Locked</v>
      </c>
      <c r="D268" s="265" t="str">
        <f>IFERROR(__xludf.DUMMYFUNCTION("""COMPUTED_VALUE"""),"Sale chưa cung cấp")</f>
        <v>Sale chưa cung cấp</v>
      </c>
      <c r="E268" s="265" t="str">
        <f>IFERROR(__xludf.DUMMYFUNCTION("""COMPUTED_VALUE"""),"HoaNTM")</f>
        <v>HoaNTM</v>
      </c>
      <c r="F268" s="265" t="str">
        <f>IFERROR(__xludf.DUMMYFUNCTION("""COMPUTED_VALUE"""),"Diamond")</f>
        <v>Diamond</v>
      </c>
      <c r="G268" s="265" t="str">
        <f>IFERROR(__xludf.DUMMYFUNCTION("""COMPUTED_VALUE"""),"MSG")</f>
        <v>MSG</v>
      </c>
      <c r="H268" s="265" t="str">
        <f>IFERROR(__xludf.DUMMYFUNCTION("""COMPUTED_VALUE"""),"Trả sau")</f>
        <v>Trả sau</v>
      </c>
      <c r="I268" s="265" t="str">
        <f>IFERROR(__xludf.DUMMYFUNCTION("""COMPUTED_VALUE"""),"(Chưa recheck)")</f>
        <v>(Chưa recheck)</v>
      </c>
      <c r="J268" s="265" t="str">
        <f>IFERROR(__xludf.DUMMYFUNCTION("""COMPUTED_VALUE"""),"File Excel")</f>
        <v>File Excel</v>
      </c>
    </row>
    <row r="269">
      <c r="A269" s="265" t="str">
        <f>IFERROR(__xludf.DUMMYFUNCTION("""COMPUTED_VALUE"""),"576")</f>
        <v>576</v>
      </c>
      <c r="B269" s="265" t="str">
        <f>IFERROR(__xludf.DUMMYFUNCTION("""COMPUTED_VALUE"""),"Sài Gòn")</f>
        <v>Sài Gòn</v>
      </c>
      <c r="C269" s="265" t="str">
        <f>IFERROR(__xludf.DUMMYFUNCTION("""COMPUTED_VALUE"""),"Active")</f>
        <v>Active</v>
      </c>
      <c r="D269" s="265" t="str">
        <f>IFERROR(__xludf.DUMMYFUNCTION("""COMPUTED_VALUE"""),"Sale chưa cung cấp")</f>
        <v>Sale chưa cung cấp</v>
      </c>
      <c r="E269" s="265" t="str">
        <f>IFERROR(__xludf.DUMMYFUNCTION("""COMPUTED_VALUE"""),"Không phân công")</f>
        <v>Không phân công</v>
      </c>
      <c r="F269" s="265" t="str">
        <f>IFERROR(__xludf.DUMMYFUNCTION("""COMPUTED_VALUE"""),"Gold")</f>
        <v>Gold</v>
      </c>
      <c r="G269" s="265" t="str">
        <f>IFERROR(__xludf.DUMMYFUNCTION("""COMPUTED_VALUE"""),"Starter")</f>
        <v>Starter</v>
      </c>
      <c r="H269" s="265" t="str">
        <f>IFERROR(__xludf.DUMMYFUNCTION("""COMPUTED_VALUE"""),"Trả sau")</f>
        <v>Trả sau</v>
      </c>
      <c r="I269" s="265" t="str">
        <f>IFERROR(__xludf.DUMMYFUNCTION("""COMPUTED_VALUE"""),"API")</f>
        <v>API</v>
      </c>
      <c r="J269" s="265" t="str">
        <f>IFERROR(__xludf.DUMMYFUNCTION("""COMPUTED_VALUE"""),"API")</f>
        <v>API</v>
      </c>
    </row>
    <row r="270">
      <c r="A270" s="265" t="str">
        <f>IFERROR(__xludf.DUMMYFUNCTION("""COMPUTED_VALUE"""),"577")</f>
        <v>577</v>
      </c>
      <c r="B270" s="265" t="str">
        <f>IFERROR(__xludf.DUMMYFUNCTION("""COMPUTED_VALUE"""),"Hà Nội")</f>
        <v>Hà Nội</v>
      </c>
      <c r="C270" s="265" t="str">
        <f>IFERROR(__xludf.DUMMYFUNCTION("""COMPUTED_VALUE"""),"Locked")</f>
        <v>Locked</v>
      </c>
      <c r="D270" s="265" t="str">
        <f>IFERROR(__xludf.DUMMYFUNCTION("""COMPUTED_VALUE"""),"Sale chưa cung cấp")</f>
        <v>Sale chưa cung cấp</v>
      </c>
      <c r="E270" s="265" t="str">
        <f>IFERROR(__xludf.DUMMYFUNCTION("""COMPUTED_VALUE"""),"HangNT")</f>
        <v>HangNT</v>
      </c>
      <c r="F270" s="265" t="str">
        <f>IFERROR(__xludf.DUMMYFUNCTION("""COMPUTED_VALUE"""),"Bronze")</f>
        <v>Bronze</v>
      </c>
      <c r="G270" s="265" t="str">
        <f>IFERROR(__xludf.DUMMYFUNCTION("""COMPUTED_VALUE"""),"Enterprise")</f>
        <v>Enterprise</v>
      </c>
      <c r="H270" s="265" t="str">
        <f>IFERROR(__xludf.DUMMYFUNCTION("""COMPUTED_VALUE"""),"(Chưa recheck)")</f>
        <v>(Chưa recheck)</v>
      </c>
      <c r="I270" s="265" t="str">
        <f>IFERROR(__xludf.DUMMYFUNCTION("""COMPUTED_VALUE"""),"(Chưa recheck)")</f>
        <v>(Chưa recheck)</v>
      </c>
      <c r="J270" s="265" t="str">
        <f>IFERROR(__xludf.DUMMYFUNCTION("""COMPUTED_VALUE"""),"Kiotviet")</f>
        <v>Kiotviet</v>
      </c>
    </row>
    <row r="271">
      <c r="A271" s="265" t="str">
        <f>IFERROR(__xludf.DUMMYFUNCTION("""COMPUTED_VALUE"""),"578")</f>
        <v>578</v>
      </c>
      <c r="B271" s="265" t="str">
        <f>IFERROR(__xludf.DUMMYFUNCTION("""COMPUTED_VALUE"""),"Sài Gòn")</f>
        <v>Sài Gòn</v>
      </c>
      <c r="C271" s="265" t="str">
        <f>IFERROR(__xludf.DUMMYFUNCTION("""COMPUTED_VALUE"""),"Locked")</f>
        <v>Locked</v>
      </c>
      <c r="D271" s="265" t="str">
        <f>IFERROR(__xludf.DUMMYFUNCTION("""COMPUTED_VALUE"""),"Sale chưa cung cấp")</f>
        <v>Sale chưa cung cấp</v>
      </c>
      <c r="E271" s="265" t="str">
        <f>IFERROR(__xludf.DUMMYFUNCTION("""COMPUTED_VALUE"""),"HoaNTM")</f>
        <v>HoaNTM</v>
      </c>
      <c r="F271" s="265" t="str">
        <f>IFERROR(__xludf.DUMMYFUNCTION("""COMPUTED_VALUE"""),"Sale chưa cung cấp")</f>
        <v>Sale chưa cung cấp</v>
      </c>
      <c r="G271" s="265" t="str">
        <f>IFERROR(__xludf.DUMMYFUNCTION("""COMPUTED_VALUE"""),"Enterprise")</f>
        <v>Enterprise</v>
      </c>
      <c r="H271" s="265" t="str">
        <f>IFERROR(__xludf.DUMMYFUNCTION("""COMPUTED_VALUE"""),"Trial")</f>
        <v>Trial</v>
      </c>
      <c r="I271" s="265" t="str">
        <f>IFERROR(__xludf.DUMMYFUNCTION("""COMPUTED_VALUE"""),"(Chưa recheck)")</f>
        <v>(Chưa recheck)</v>
      </c>
      <c r="J271" s="265" t="str">
        <f>IFERROR(__xludf.DUMMYFUNCTION("""COMPUTED_VALUE"""),"API")</f>
        <v>API</v>
      </c>
    </row>
    <row r="272">
      <c r="A272" s="265" t="str">
        <f>IFERROR(__xludf.DUMMYFUNCTION("""COMPUTED_VALUE"""),"682")</f>
        <v>682</v>
      </c>
      <c r="B272" s="265" t="str">
        <f>IFERROR(__xludf.DUMMYFUNCTION("""COMPUTED_VALUE"""),"Hà Nội")</f>
        <v>Hà Nội</v>
      </c>
      <c r="C272" s="265" t="str">
        <f>IFERROR(__xludf.DUMMYFUNCTION("""COMPUTED_VALUE"""),"Active")</f>
        <v>Active</v>
      </c>
      <c r="D272" s="265" t="str">
        <f>IFERROR(__xludf.DUMMYFUNCTION("""COMPUTED_VALUE"""),"Sale chưa cung cấp")</f>
        <v>Sale chưa cung cấp</v>
      </c>
      <c r="E272" s="265" t="str">
        <f>IFERROR(__xludf.DUMMYFUNCTION("""COMPUTED_VALUE"""),"Không phân công")</f>
        <v>Không phân công</v>
      </c>
      <c r="F272" s="265" t="str">
        <f>IFERROR(__xludf.DUMMYFUNCTION("""COMPUTED_VALUE"""),"Bronze")</f>
        <v>Bronze</v>
      </c>
      <c r="G272" s="265" t="str">
        <f>IFERROR(__xludf.DUMMYFUNCTION("""COMPUTED_VALUE"""),"MSG")</f>
        <v>MSG</v>
      </c>
      <c r="H272" s="265" t="str">
        <f>IFERROR(__xludf.DUMMYFUNCTION("""COMPUTED_VALUE"""),"Trả sau")</f>
        <v>Trả sau</v>
      </c>
      <c r="I272" s="265" t="str">
        <f>IFERROR(__xludf.DUMMYFUNCTION("""COMPUTED_VALUE"""),"Portal")</f>
        <v>Portal</v>
      </c>
      <c r="J272" s="265" t="str">
        <f>IFERROR(__xludf.DUMMYFUNCTION("""COMPUTED_VALUE"""),"File Excel")</f>
        <v>File Excel</v>
      </c>
    </row>
    <row r="273">
      <c r="A273" s="265" t="str">
        <f>IFERROR(__xludf.DUMMYFUNCTION("""COMPUTED_VALUE"""),"579")</f>
        <v>579</v>
      </c>
      <c r="B273" s="265" t="str">
        <f>IFERROR(__xludf.DUMMYFUNCTION("""COMPUTED_VALUE"""),"Sài Gòn")</f>
        <v>Sài Gòn</v>
      </c>
      <c r="C273" s="265" t="str">
        <f>IFERROR(__xludf.DUMMYFUNCTION("""COMPUTED_VALUE"""),"Locked")</f>
        <v>Locked</v>
      </c>
      <c r="D273" s="265" t="str">
        <f>IFERROR(__xludf.DUMMYFUNCTION("""COMPUTED_VALUE"""),"Sale chưa cung cấp")</f>
        <v>Sale chưa cung cấp</v>
      </c>
      <c r="E273" s="265" t="str">
        <f>IFERROR(__xludf.DUMMYFUNCTION("""COMPUTED_VALUE"""),"HoaNTM")</f>
        <v>HoaNTM</v>
      </c>
      <c r="F273" s="265" t="str">
        <f>IFERROR(__xludf.DUMMYFUNCTION("""COMPUTED_VALUE"""),"Diamond")</f>
        <v>Diamond</v>
      </c>
      <c r="G273" s="265" t="str">
        <f>IFERROR(__xludf.DUMMYFUNCTION("""COMPUTED_VALUE"""),"MSG")</f>
        <v>MSG</v>
      </c>
      <c r="H273" s="265" t="str">
        <f>IFERROR(__xludf.DUMMYFUNCTION("""COMPUTED_VALUE"""),"Trả sau")</f>
        <v>Trả sau</v>
      </c>
      <c r="I273" s="265" t="str">
        <f>IFERROR(__xludf.DUMMYFUNCTION("""COMPUTED_VALUE"""),"(Chưa recheck)")</f>
        <v>(Chưa recheck)</v>
      </c>
      <c r="J273" s="265" t="str">
        <f>IFERROR(__xludf.DUMMYFUNCTION("""COMPUTED_VALUE"""),"File Excel")</f>
        <v>File Excel</v>
      </c>
    </row>
    <row r="274">
      <c r="A274" s="265" t="str">
        <f>IFERROR(__xludf.DUMMYFUNCTION("""COMPUTED_VALUE"""),"580")</f>
        <v>580</v>
      </c>
      <c r="B274" s="265" t="str">
        <f>IFERROR(__xludf.DUMMYFUNCTION("""COMPUTED_VALUE"""),"Sài Gòn")</f>
        <v>Sài Gòn</v>
      </c>
      <c r="C274" s="265" t="str">
        <f>IFERROR(__xludf.DUMMYFUNCTION("""COMPUTED_VALUE"""),"Locked")</f>
        <v>Locked</v>
      </c>
      <c r="D274" s="265" t="str">
        <f>IFERROR(__xludf.DUMMYFUNCTION("""COMPUTED_VALUE"""),"Sale chưa cung cấp")</f>
        <v>Sale chưa cung cấp</v>
      </c>
      <c r="E274" s="265" t="str">
        <f>IFERROR(__xludf.DUMMYFUNCTION("""COMPUTED_VALUE"""),"HoaNTM")</f>
        <v>HoaNTM</v>
      </c>
      <c r="F274" s="265" t="str">
        <f>IFERROR(__xludf.DUMMYFUNCTION("""COMPUTED_VALUE"""),"Diamond")</f>
        <v>Diamond</v>
      </c>
      <c r="G274" s="265" t="str">
        <f>IFERROR(__xludf.DUMMYFUNCTION("""COMPUTED_VALUE"""),"MSG")</f>
        <v>MSG</v>
      </c>
      <c r="H274" s="265" t="str">
        <f>IFERROR(__xludf.DUMMYFUNCTION("""COMPUTED_VALUE"""),"Trả sau")</f>
        <v>Trả sau</v>
      </c>
      <c r="I274" s="265" t="str">
        <f>IFERROR(__xludf.DUMMYFUNCTION("""COMPUTED_VALUE"""),"(Chưa recheck)")</f>
        <v>(Chưa recheck)</v>
      </c>
      <c r="J274" s="265" t="str">
        <f>IFERROR(__xludf.DUMMYFUNCTION("""COMPUTED_VALUE"""),"File Excel")</f>
        <v>File Excel</v>
      </c>
    </row>
    <row r="275">
      <c r="A275" s="265" t="str">
        <f>IFERROR(__xludf.DUMMYFUNCTION("""COMPUTED_VALUE"""),"581")</f>
        <v>581</v>
      </c>
      <c r="B275" s="265" t="str">
        <f>IFERROR(__xludf.DUMMYFUNCTION("""COMPUTED_VALUE"""),"Sài Gòn")</f>
        <v>Sài Gòn</v>
      </c>
      <c r="C275" s="265" t="str">
        <f>IFERROR(__xludf.DUMMYFUNCTION("""COMPUTED_VALUE"""),"Locked")</f>
        <v>Locked</v>
      </c>
      <c r="D275" s="265" t="str">
        <f>IFERROR(__xludf.DUMMYFUNCTION("""COMPUTED_VALUE"""),"Sale chưa cung cấp")</f>
        <v>Sale chưa cung cấp</v>
      </c>
      <c r="E275" s="265" t="str">
        <f>IFERROR(__xludf.DUMMYFUNCTION("""COMPUTED_VALUE"""),"HoaNTM")</f>
        <v>HoaNTM</v>
      </c>
      <c r="F275" s="265" t="str">
        <f>IFERROR(__xludf.DUMMYFUNCTION("""COMPUTED_VALUE"""),"Diamond")</f>
        <v>Diamond</v>
      </c>
      <c r="G275" s="265" t="str">
        <f>IFERROR(__xludf.DUMMYFUNCTION("""COMPUTED_VALUE"""),"MSG")</f>
        <v>MSG</v>
      </c>
      <c r="H275" s="265" t="str">
        <f>IFERROR(__xludf.DUMMYFUNCTION("""COMPUTED_VALUE"""),"Trả sau")</f>
        <v>Trả sau</v>
      </c>
      <c r="I275" s="265" t="str">
        <f>IFERROR(__xludf.DUMMYFUNCTION("""COMPUTED_VALUE"""),"(Chưa recheck)")</f>
        <v>(Chưa recheck)</v>
      </c>
      <c r="J275" s="265" t="str">
        <f>IFERROR(__xludf.DUMMYFUNCTION("""COMPUTED_VALUE"""),"File Excel")</f>
        <v>File Excel</v>
      </c>
    </row>
    <row r="276">
      <c r="A276" s="265" t="str">
        <f>IFERROR(__xludf.DUMMYFUNCTION("""COMPUTED_VALUE"""),"582")</f>
        <v>582</v>
      </c>
      <c r="B276" s="265" t="str">
        <f>IFERROR(__xludf.DUMMYFUNCTION("""COMPUTED_VALUE"""),"Sài Gòn")</f>
        <v>Sài Gòn</v>
      </c>
      <c r="C276" s="265" t="str">
        <f>IFERROR(__xludf.DUMMYFUNCTION("""COMPUTED_VALUE"""),"Locked")</f>
        <v>Locked</v>
      </c>
      <c r="D276" s="265" t="str">
        <f>IFERROR(__xludf.DUMMYFUNCTION("""COMPUTED_VALUE"""),"Sale chưa cung cấp")</f>
        <v>Sale chưa cung cấp</v>
      </c>
      <c r="E276" s="265" t="str">
        <f>IFERROR(__xludf.DUMMYFUNCTION("""COMPUTED_VALUE"""),"HoaNTM")</f>
        <v>HoaNTM</v>
      </c>
      <c r="F276" s="265" t="str">
        <f>IFERROR(__xludf.DUMMYFUNCTION("""COMPUTED_VALUE"""),"Diamond")</f>
        <v>Diamond</v>
      </c>
      <c r="G276" s="265" t="str">
        <f>IFERROR(__xludf.DUMMYFUNCTION("""COMPUTED_VALUE"""),"MSG")</f>
        <v>MSG</v>
      </c>
      <c r="H276" s="265" t="str">
        <f>IFERROR(__xludf.DUMMYFUNCTION("""COMPUTED_VALUE"""),"Trả sau")</f>
        <v>Trả sau</v>
      </c>
      <c r="I276" s="265" t="str">
        <f>IFERROR(__xludf.DUMMYFUNCTION("""COMPUTED_VALUE"""),"(Chưa recheck)")</f>
        <v>(Chưa recheck)</v>
      </c>
      <c r="J276" s="265" t="str">
        <f>IFERROR(__xludf.DUMMYFUNCTION("""COMPUTED_VALUE"""),"File Excel")</f>
        <v>File Excel</v>
      </c>
    </row>
    <row r="277">
      <c r="A277" s="265" t="str">
        <f>IFERROR(__xludf.DUMMYFUNCTION("""COMPUTED_VALUE"""),"583")</f>
        <v>583</v>
      </c>
      <c r="B277" s="265" t="str">
        <f>IFERROR(__xludf.DUMMYFUNCTION("""COMPUTED_VALUE"""),"Sài Gòn")</f>
        <v>Sài Gòn</v>
      </c>
      <c r="C277" s="265" t="str">
        <f>IFERROR(__xludf.DUMMYFUNCTION("""COMPUTED_VALUE"""),"Locked")</f>
        <v>Locked</v>
      </c>
      <c r="D277" s="265" t="str">
        <f>IFERROR(__xludf.DUMMYFUNCTION("""COMPUTED_VALUE"""),"Sale chưa cung cấp")</f>
        <v>Sale chưa cung cấp</v>
      </c>
      <c r="E277" s="265" t="str">
        <f>IFERROR(__xludf.DUMMYFUNCTION("""COMPUTED_VALUE"""),"HoaNTM")</f>
        <v>HoaNTM</v>
      </c>
      <c r="F277" s="265" t="str">
        <f>IFERROR(__xludf.DUMMYFUNCTION("""COMPUTED_VALUE"""),"Diamond")</f>
        <v>Diamond</v>
      </c>
      <c r="G277" s="265" t="str">
        <f>IFERROR(__xludf.DUMMYFUNCTION("""COMPUTED_VALUE"""),"MSG")</f>
        <v>MSG</v>
      </c>
      <c r="H277" s="265" t="str">
        <f>IFERROR(__xludf.DUMMYFUNCTION("""COMPUTED_VALUE"""),"Trả sau")</f>
        <v>Trả sau</v>
      </c>
      <c r="I277" s="265" t="str">
        <f>IFERROR(__xludf.DUMMYFUNCTION("""COMPUTED_VALUE"""),"(Chưa recheck)")</f>
        <v>(Chưa recheck)</v>
      </c>
      <c r="J277" s="265" t="str">
        <f>IFERROR(__xludf.DUMMYFUNCTION("""COMPUTED_VALUE"""),"File Excel")</f>
        <v>File Excel</v>
      </c>
    </row>
    <row r="278">
      <c r="A278" s="265" t="str">
        <f>IFERROR(__xludf.DUMMYFUNCTION("""COMPUTED_VALUE"""),"584")</f>
        <v>584</v>
      </c>
      <c r="B278" s="265" t="str">
        <f>IFERROR(__xludf.DUMMYFUNCTION("""COMPUTED_VALUE"""),"Sài Gòn")</f>
        <v>Sài Gòn</v>
      </c>
      <c r="C278" s="265" t="str">
        <f>IFERROR(__xludf.DUMMYFUNCTION("""COMPUTED_VALUE"""),"Locked")</f>
        <v>Locked</v>
      </c>
      <c r="D278" s="265" t="str">
        <f>IFERROR(__xludf.DUMMYFUNCTION("""COMPUTED_VALUE"""),"Sale chưa cung cấp")</f>
        <v>Sale chưa cung cấp</v>
      </c>
      <c r="E278" s="265" t="str">
        <f>IFERROR(__xludf.DUMMYFUNCTION("""COMPUTED_VALUE"""),"HoaNTM")</f>
        <v>HoaNTM</v>
      </c>
      <c r="F278" s="265" t="str">
        <f>IFERROR(__xludf.DUMMYFUNCTION("""COMPUTED_VALUE"""),"Diamond")</f>
        <v>Diamond</v>
      </c>
      <c r="G278" s="265" t="str">
        <f>IFERROR(__xludf.DUMMYFUNCTION("""COMPUTED_VALUE"""),"MSG")</f>
        <v>MSG</v>
      </c>
      <c r="H278" s="265" t="str">
        <f>IFERROR(__xludf.DUMMYFUNCTION("""COMPUTED_VALUE"""),"Trả sau")</f>
        <v>Trả sau</v>
      </c>
      <c r="I278" s="265" t="str">
        <f>IFERROR(__xludf.DUMMYFUNCTION("""COMPUTED_VALUE"""),"(Chưa recheck)")</f>
        <v>(Chưa recheck)</v>
      </c>
      <c r="J278" s="265" t="str">
        <f>IFERROR(__xludf.DUMMYFUNCTION("""COMPUTED_VALUE"""),"API")</f>
        <v>API</v>
      </c>
    </row>
    <row r="279">
      <c r="A279" s="265" t="str">
        <f>IFERROR(__xludf.DUMMYFUNCTION("""COMPUTED_VALUE"""),"585")</f>
        <v>585</v>
      </c>
      <c r="B279" s="265" t="str">
        <f>IFERROR(__xludf.DUMMYFUNCTION("""COMPUTED_VALUE"""),"Hà Nội")</f>
        <v>Hà Nội</v>
      </c>
      <c r="C279" s="265" t="str">
        <f>IFERROR(__xludf.DUMMYFUNCTION("""COMPUTED_VALUE"""),"Active")</f>
        <v>Active</v>
      </c>
      <c r="D279" s="265" t="str">
        <f>IFERROR(__xludf.DUMMYFUNCTION("""COMPUTED_VALUE"""),"Sale chưa cung cấp")</f>
        <v>Sale chưa cung cấp</v>
      </c>
      <c r="E279" s="265" t="str">
        <f>IFERROR(__xludf.DUMMYFUNCTION("""COMPUTED_VALUE"""),"Không phân công")</f>
        <v>Không phân công</v>
      </c>
      <c r="F279" s="265" t="str">
        <f>IFERROR(__xludf.DUMMYFUNCTION("""COMPUTED_VALUE"""),"Bronze")</f>
        <v>Bronze</v>
      </c>
      <c r="G279" s="265" t="str">
        <f>IFERROR(__xludf.DUMMYFUNCTION("""COMPUTED_VALUE"""),"Starter")</f>
        <v>Starter</v>
      </c>
      <c r="H279" s="265" t="str">
        <f>IFERROR(__xludf.DUMMYFUNCTION("""COMPUTED_VALUE"""),"Trả sau")</f>
        <v>Trả sau</v>
      </c>
      <c r="I279" s="265" t="str">
        <f>IFERROR(__xludf.DUMMYFUNCTION("""COMPUTED_VALUE"""),"Portal")</f>
        <v>Portal</v>
      </c>
      <c r="J279" s="265" t="str">
        <f>IFERROR(__xludf.DUMMYFUNCTION("""COMPUTED_VALUE"""),"File Excel")</f>
        <v>File Excel</v>
      </c>
    </row>
    <row r="280">
      <c r="A280" s="265" t="str">
        <f>IFERROR(__xludf.DUMMYFUNCTION("""COMPUTED_VALUE"""),"586")</f>
        <v>586</v>
      </c>
      <c r="B280" s="265" t="str">
        <f>IFERROR(__xludf.DUMMYFUNCTION("""COMPUTED_VALUE"""),"Hà Nội")</f>
        <v>Hà Nội</v>
      </c>
      <c r="C280" s="265" t="str">
        <f>IFERROR(__xludf.DUMMYFUNCTION("""COMPUTED_VALUE"""),"Active")</f>
        <v>Active</v>
      </c>
      <c r="D280" s="265" t="str">
        <f>IFERROR(__xludf.DUMMYFUNCTION("""COMPUTED_VALUE"""),"Sale chưa cung cấp")</f>
        <v>Sale chưa cung cấp</v>
      </c>
      <c r="E280" s="265" t="str">
        <f>IFERROR(__xludf.DUMMYFUNCTION("""COMPUTED_VALUE"""),"TúPHN")</f>
        <v>TúPHN</v>
      </c>
      <c r="F280" s="265" t="str">
        <f>IFERROR(__xludf.DUMMYFUNCTION("""COMPUTED_VALUE"""),"Gold")</f>
        <v>Gold</v>
      </c>
      <c r="G280" s="265" t="str">
        <f>IFERROR(__xludf.DUMMYFUNCTION("""COMPUTED_VALUE"""),"Premium")</f>
        <v>Premium</v>
      </c>
      <c r="H280" s="265" t="str">
        <f>IFERROR(__xludf.DUMMYFUNCTION("""COMPUTED_VALUE"""),"Trả sau")</f>
        <v>Trả sau</v>
      </c>
      <c r="I280" s="265" t="str">
        <f>IFERROR(__xludf.DUMMYFUNCTION("""COMPUTED_VALUE"""),"Portal")</f>
        <v>Portal</v>
      </c>
      <c r="J280" s="265" t="str">
        <f>IFERROR(__xludf.DUMMYFUNCTION("""COMPUTED_VALUE"""),"File Excel")</f>
        <v>File Excel</v>
      </c>
    </row>
    <row r="281">
      <c r="A281" s="265" t="str">
        <f>IFERROR(__xludf.DUMMYFUNCTION("""COMPUTED_VALUE"""),"589")</f>
        <v>589</v>
      </c>
      <c r="B281" s="265" t="str">
        <f>IFERROR(__xludf.DUMMYFUNCTION("""COMPUTED_VALUE"""),"Hà Nội")</f>
        <v>Hà Nội</v>
      </c>
      <c r="C281" s="265" t="str">
        <f>IFERROR(__xludf.DUMMYFUNCTION("""COMPUTED_VALUE"""),"Active")</f>
        <v>Active</v>
      </c>
      <c r="D281" s="265" t="str">
        <f>IFERROR(__xludf.DUMMYFUNCTION("""COMPUTED_VALUE"""),"Sale chưa cung cấp")</f>
        <v>Sale chưa cung cấp</v>
      </c>
      <c r="E281" s="265" t="str">
        <f>IFERROR(__xludf.DUMMYFUNCTION("""COMPUTED_VALUE"""),"Không phân công")</f>
        <v>Không phân công</v>
      </c>
      <c r="F281" s="265" t="str">
        <f>IFERROR(__xludf.DUMMYFUNCTION("""COMPUTED_VALUE"""),"Bronze")</f>
        <v>Bronze</v>
      </c>
      <c r="G281" s="265" t="str">
        <f>IFERROR(__xludf.DUMMYFUNCTION("""COMPUTED_VALUE"""),"MSG")</f>
        <v>MSG</v>
      </c>
      <c r="H281" s="265" t="str">
        <f>IFERROR(__xludf.DUMMYFUNCTION("""COMPUTED_VALUE"""),"Trả sau")</f>
        <v>Trả sau</v>
      </c>
      <c r="I281" s="265" t="str">
        <f>IFERROR(__xludf.DUMMYFUNCTION("""COMPUTED_VALUE"""),"Portal")</f>
        <v>Portal</v>
      </c>
      <c r="J281" s="265" t="str">
        <f>IFERROR(__xludf.DUMMYFUNCTION("""COMPUTED_VALUE"""),"File Excel")</f>
        <v>File Excel</v>
      </c>
    </row>
    <row r="282">
      <c r="A282" s="265" t="str">
        <f>IFERROR(__xludf.DUMMYFUNCTION("""COMPUTED_VALUE"""),"587")</f>
        <v>587</v>
      </c>
      <c r="B282" s="265" t="str">
        <f>IFERROR(__xludf.DUMMYFUNCTION("""COMPUTED_VALUE"""),"Hà Nội")</f>
        <v>Hà Nội</v>
      </c>
      <c r="C282" s="265" t="str">
        <f>IFERROR(__xludf.DUMMYFUNCTION("""COMPUTED_VALUE"""),"Active")</f>
        <v>Active</v>
      </c>
      <c r="D282" s="265" t="str">
        <f>IFERROR(__xludf.DUMMYFUNCTION("""COMPUTED_VALUE"""),"Sale chưa cung cấp")</f>
        <v>Sale chưa cung cấp</v>
      </c>
      <c r="E282" s="265" t="str">
        <f>IFERROR(__xludf.DUMMYFUNCTION("""COMPUTED_VALUE"""),"Không phân công")</f>
        <v>Không phân công</v>
      </c>
      <c r="F282" s="265" t="str">
        <f>IFERROR(__xludf.DUMMYFUNCTION("""COMPUTED_VALUE"""),"Silver")</f>
        <v>Silver</v>
      </c>
      <c r="G282" s="265" t="str">
        <f>IFERROR(__xludf.DUMMYFUNCTION("""COMPUTED_VALUE"""),"Starter")</f>
        <v>Starter</v>
      </c>
      <c r="H282" s="265" t="str">
        <f>IFERROR(__xludf.DUMMYFUNCTION("""COMPUTED_VALUE"""),"Trả sau")</f>
        <v>Trả sau</v>
      </c>
      <c r="I282" s="265" t="str">
        <f>IFERROR(__xludf.DUMMYFUNCTION("""COMPUTED_VALUE"""),"Portal")</f>
        <v>Portal</v>
      </c>
      <c r="J282" s="265" t="str">
        <f>IFERROR(__xludf.DUMMYFUNCTION("""COMPUTED_VALUE"""),"File Excel")</f>
        <v>File Excel</v>
      </c>
    </row>
    <row r="283">
      <c r="A283" s="265" t="str">
        <f>IFERROR(__xludf.DUMMYFUNCTION("""COMPUTED_VALUE"""),"590")</f>
        <v>590</v>
      </c>
      <c r="B283" s="265" t="str">
        <f>IFERROR(__xludf.DUMMYFUNCTION("""COMPUTED_VALUE"""),"Hà Nội")</f>
        <v>Hà Nội</v>
      </c>
      <c r="C283" s="265" t="str">
        <f>IFERROR(__xludf.DUMMYFUNCTION("""COMPUTED_VALUE"""),"Active")</f>
        <v>Active</v>
      </c>
      <c r="D283" s="265" t="str">
        <f>IFERROR(__xludf.DUMMYFUNCTION("""COMPUTED_VALUE"""),"Sale chưa cung cấp")</f>
        <v>Sale chưa cung cấp</v>
      </c>
      <c r="E283" s="265" t="str">
        <f>IFERROR(__xludf.DUMMYFUNCTION("""COMPUTED_VALUE"""),"Không phân công")</f>
        <v>Không phân công</v>
      </c>
      <c r="F283" s="265" t="str">
        <f>IFERROR(__xludf.DUMMYFUNCTION("""COMPUTED_VALUE"""),"Bronze")</f>
        <v>Bronze</v>
      </c>
      <c r="G283" s="265" t="str">
        <f>IFERROR(__xludf.DUMMYFUNCTION("""COMPUTED_VALUE"""),"Starter")</f>
        <v>Starter</v>
      </c>
      <c r="H283" s="265" t="str">
        <f>IFERROR(__xludf.DUMMYFUNCTION("""COMPUTED_VALUE"""),"Trả sau")</f>
        <v>Trả sau</v>
      </c>
      <c r="I283" s="265" t="str">
        <f>IFERROR(__xludf.DUMMYFUNCTION("""COMPUTED_VALUE"""),"API &amp; Portal")</f>
        <v>API &amp; Portal</v>
      </c>
      <c r="J283" s="265" t="str">
        <f>IFERROR(__xludf.DUMMYFUNCTION("""COMPUTED_VALUE"""),"File Excel")</f>
        <v>File Excel</v>
      </c>
    </row>
    <row r="284">
      <c r="A284" s="265" t="str">
        <f>IFERROR(__xludf.DUMMYFUNCTION("""COMPUTED_VALUE"""),"588")</f>
        <v>588</v>
      </c>
      <c r="B284" s="265" t="str">
        <f>IFERROR(__xludf.DUMMYFUNCTION("""COMPUTED_VALUE"""),"Hà Nội")</f>
        <v>Hà Nội</v>
      </c>
      <c r="C284" s="265" t="str">
        <f>IFERROR(__xludf.DUMMYFUNCTION("""COMPUTED_VALUE"""),"Locked")</f>
        <v>Locked</v>
      </c>
      <c r="D284" s="265" t="str">
        <f>IFERROR(__xludf.DUMMYFUNCTION("""COMPUTED_VALUE"""),"Sale chưa cung cấp")</f>
        <v>Sale chưa cung cấp</v>
      </c>
      <c r="E284" s="265" t="str">
        <f>IFERROR(__xludf.DUMMYFUNCTION("""COMPUTED_VALUE"""),"HangNT")</f>
        <v>HangNT</v>
      </c>
      <c r="F284" s="265" t="str">
        <f>IFERROR(__xludf.DUMMYFUNCTION("""COMPUTED_VALUE"""),"Silver")</f>
        <v>Silver</v>
      </c>
      <c r="G284" s="265" t="str">
        <f>IFERROR(__xludf.DUMMYFUNCTION("""COMPUTED_VALUE"""),"MSG")</f>
        <v>MSG</v>
      </c>
      <c r="H284" s="265" t="str">
        <f>IFERROR(__xludf.DUMMYFUNCTION("""COMPUTED_VALUE"""),"(Chưa recheck)")</f>
        <v>(Chưa recheck)</v>
      </c>
      <c r="I284" s="265" t="str">
        <f>IFERROR(__xludf.DUMMYFUNCTION("""COMPUTED_VALUE"""),"(Chưa recheck)")</f>
        <v>(Chưa recheck)</v>
      </c>
      <c r="J284" s="265" t="str">
        <f>IFERROR(__xludf.DUMMYFUNCTION("""COMPUTED_VALUE"""),"File Excel")</f>
        <v>File Excel</v>
      </c>
    </row>
    <row r="285">
      <c r="A285" s="265" t="str">
        <f>IFERROR(__xludf.DUMMYFUNCTION("""COMPUTED_VALUE"""),"591")</f>
        <v>591</v>
      </c>
      <c r="B285" s="265" t="str">
        <f>IFERROR(__xludf.DUMMYFUNCTION("""COMPUTED_VALUE"""),"Hà Nội")</f>
        <v>Hà Nội</v>
      </c>
      <c r="C285" s="265" t="str">
        <f>IFERROR(__xludf.DUMMYFUNCTION("""COMPUTED_VALUE"""),"Locked")</f>
        <v>Locked</v>
      </c>
      <c r="D285" s="265" t="str">
        <f>IFERROR(__xludf.DUMMYFUNCTION("""COMPUTED_VALUE"""),"Sale chưa cung cấp")</f>
        <v>Sale chưa cung cấp</v>
      </c>
      <c r="E285" s="265" t="str">
        <f>IFERROR(__xludf.DUMMYFUNCTION("""COMPUTED_VALUE"""),"TùngLD")</f>
        <v>TùngLD</v>
      </c>
      <c r="F285" s="265" t="str">
        <f>IFERROR(__xludf.DUMMYFUNCTION("""COMPUTED_VALUE"""),"Sale chưa cung cấp")</f>
        <v>Sale chưa cung cấp</v>
      </c>
      <c r="G285" s="265" t="str">
        <f>IFERROR(__xludf.DUMMYFUNCTION("""COMPUTED_VALUE"""),"MSG")</f>
        <v>MSG</v>
      </c>
      <c r="H285" s="265" t="str">
        <f>IFERROR(__xludf.DUMMYFUNCTION("""COMPUTED_VALUE"""),"(Chưa recheck)")</f>
        <v>(Chưa recheck)</v>
      </c>
      <c r="I285" s="265" t="str">
        <f>IFERROR(__xludf.DUMMYFUNCTION("""COMPUTED_VALUE"""),"API &amp; Portal")</f>
        <v>API &amp; Portal</v>
      </c>
      <c r="J285" s="265" t="str">
        <f>IFERROR(__xludf.DUMMYFUNCTION("""COMPUTED_VALUE"""),"File Excel")</f>
        <v>File Excel</v>
      </c>
    </row>
    <row r="286">
      <c r="A286" s="265" t="str">
        <f>IFERROR(__xludf.DUMMYFUNCTION("""COMPUTED_VALUE"""),"593")</f>
        <v>593</v>
      </c>
      <c r="B286" s="265" t="str">
        <f>IFERROR(__xludf.DUMMYFUNCTION("""COMPUTED_VALUE"""),"Sài Gòn")</f>
        <v>Sài Gòn</v>
      </c>
      <c r="C286" s="265" t="str">
        <f>IFERROR(__xludf.DUMMYFUNCTION("""COMPUTED_VALUE"""),"Locked")</f>
        <v>Locked</v>
      </c>
      <c r="D286" s="265" t="str">
        <f>IFERROR(__xludf.DUMMYFUNCTION("""COMPUTED_VALUE"""),"Sale chưa cung cấp")</f>
        <v>Sale chưa cung cấp</v>
      </c>
      <c r="E286" s="265" t="str">
        <f>IFERROR(__xludf.DUMMYFUNCTION("""COMPUTED_VALUE"""),"HoaNTM")</f>
        <v>HoaNTM</v>
      </c>
      <c r="F286" s="265" t="str">
        <f>IFERROR(__xludf.DUMMYFUNCTION("""COMPUTED_VALUE"""),"Diamond")</f>
        <v>Diamond</v>
      </c>
      <c r="G286" s="265" t="str">
        <f>IFERROR(__xludf.DUMMYFUNCTION("""COMPUTED_VALUE"""),"MSG")</f>
        <v>MSG</v>
      </c>
      <c r="H286" s="265" t="str">
        <f>IFERROR(__xludf.DUMMYFUNCTION("""COMPUTED_VALUE"""),"Trả sau")</f>
        <v>Trả sau</v>
      </c>
      <c r="I286" s="265" t="str">
        <f>IFERROR(__xludf.DUMMYFUNCTION("""COMPUTED_VALUE"""),"(Chưa recheck)")</f>
        <v>(Chưa recheck)</v>
      </c>
      <c r="J286" s="265" t="str">
        <f>IFERROR(__xludf.DUMMYFUNCTION("""COMPUTED_VALUE"""),"File Excel")</f>
        <v>File Excel</v>
      </c>
    </row>
    <row r="287">
      <c r="A287" s="265" t="str">
        <f>IFERROR(__xludf.DUMMYFUNCTION("""COMPUTED_VALUE"""),"592")</f>
        <v>592</v>
      </c>
      <c r="B287" s="265" t="str">
        <f>IFERROR(__xludf.DUMMYFUNCTION("""COMPUTED_VALUE"""),"Sài Gòn")</f>
        <v>Sài Gòn</v>
      </c>
      <c r="C287" s="265" t="str">
        <f>IFERROR(__xludf.DUMMYFUNCTION("""COMPUTED_VALUE"""),"Locked")</f>
        <v>Locked</v>
      </c>
      <c r="D287" s="265" t="str">
        <f>IFERROR(__xludf.DUMMYFUNCTION("""COMPUTED_VALUE"""),"Sale chưa cung cấp")</f>
        <v>Sale chưa cung cấp</v>
      </c>
      <c r="E287" s="265" t="str">
        <f>IFERROR(__xludf.DUMMYFUNCTION("""COMPUTED_VALUE"""),"HoaNTM")</f>
        <v>HoaNTM</v>
      </c>
      <c r="F287" s="265" t="str">
        <f>IFERROR(__xludf.DUMMYFUNCTION("""COMPUTED_VALUE"""),"Sale chưa cung cấp")</f>
        <v>Sale chưa cung cấp</v>
      </c>
      <c r="G287" s="265" t="str">
        <f>IFERROR(__xludf.DUMMYFUNCTION("""COMPUTED_VALUE"""),"Enterprise")</f>
        <v>Enterprise</v>
      </c>
      <c r="H287" s="265" t="str">
        <f>IFERROR(__xludf.DUMMYFUNCTION("""COMPUTED_VALUE"""),"Trial")</f>
        <v>Trial</v>
      </c>
      <c r="I287" s="265" t="str">
        <f>IFERROR(__xludf.DUMMYFUNCTION("""COMPUTED_VALUE"""),"(Không recheck)")</f>
        <v>(Không recheck)</v>
      </c>
      <c r="J287" s="265" t="str">
        <f>IFERROR(__xludf.DUMMYFUNCTION("""COMPUTED_VALUE"""),"API")</f>
        <v>API</v>
      </c>
    </row>
    <row r="288">
      <c r="A288" s="265" t="str">
        <f>IFERROR(__xludf.DUMMYFUNCTION("""COMPUTED_VALUE"""),"594")</f>
        <v>594</v>
      </c>
      <c r="B288" s="265" t="str">
        <f>IFERROR(__xludf.DUMMYFUNCTION("""COMPUTED_VALUE"""),"Sài Gòn")</f>
        <v>Sài Gòn</v>
      </c>
      <c r="C288" s="265" t="str">
        <f>IFERROR(__xludf.DUMMYFUNCTION("""COMPUTED_VALUE"""),"Locked")</f>
        <v>Locked</v>
      </c>
      <c r="D288" s="265" t="str">
        <f>IFERROR(__xludf.DUMMYFUNCTION("""COMPUTED_VALUE"""),"Sale chưa cung cấp")</f>
        <v>Sale chưa cung cấp</v>
      </c>
      <c r="E288" s="265" t="str">
        <f>IFERROR(__xludf.DUMMYFUNCTION("""COMPUTED_VALUE"""),"HoaNTM")</f>
        <v>HoaNTM</v>
      </c>
      <c r="F288" s="265" t="str">
        <f>IFERROR(__xludf.DUMMYFUNCTION("""COMPUTED_VALUE"""),"Silver")</f>
        <v>Silver</v>
      </c>
      <c r="G288" s="265" t="str">
        <f>IFERROR(__xludf.DUMMYFUNCTION("""COMPUTED_VALUE"""),"Enterprise")</f>
        <v>Enterprise</v>
      </c>
      <c r="H288" s="265" t="str">
        <f>IFERROR(__xludf.DUMMYFUNCTION("""COMPUTED_VALUE"""),"(Chưa recheck)")</f>
        <v>(Chưa recheck)</v>
      </c>
      <c r="I288" s="265" t="str">
        <f>IFERROR(__xludf.DUMMYFUNCTION("""COMPUTED_VALUE"""),"(Chưa recheck)")</f>
        <v>(Chưa recheck)</v>
      </c>
      <c r="J288" s="265" t="str">
        <f>IFERROR(__xludf.DUMMYFUNCTION("""COMPUTED_VALUE"""),"Haravan")</f>
        <v>Haravan</v>
      </c>
    </row>
    <row r="289">
      <c r="A289" s="265" t="str">
        <f>IFERROR(__xludf.DUMMYFUNCTION("""COMPUTED_VALUE"""),"595")</f>
        <v>595</v>
      </c>
      <c r="B289" s="265" t="str">
        <f>IFERROR(__xludf.DUMMYFUNCTION("""COMPUTED_VALUE"""),"Sài Gòn")</f>
        <v>Sài Gòn</v>
      </c>
      <c r="C289" s="265" t="str">
        <f>IFERROR(__xludf.DUMMYFUNCTION("""COMPUTED_VALUE"""),"Locked")</f>
        <v>Locked</v>
      </c>
      <c r="D289" s="265" t="str">
        <f>IFERROR(__xludf.DUMMYFUNCTION("""COMPUTED_VALUE"""),"Sale chưa cung cấp")</f>
        <v>Sale chưa cung cấp</v>
      </c>
      <c r="E289" s="265" t="str">
        <f>IFERROR(__xludf.DUMMYFUNCTION("""COMPUTED_VALUE"""),"HoaNTM")</f>
        <v>HoaNTM</v>
      </c>
      <c r="F289" s="265" t="str">
        <f>IFERROR(__xludf.DUMMYFUNCTION("""COMPUTED_VALUE"""),"Bronze")</f>
        <v>Bronze</v>
      </c>
      <c r="G289" s="265" t="str">
        <f>IFERROR(__xludf.DUMMYFUNCTION("""COMPUTED_VALUE"""),"Enterprise")</f>
        <v>Enterprise</v>
      </c>
      <c r="H289" s="265" t="str">
        <f>IFERROR(__xludf.DUMMYFUNCTION("""COMPUTED_VALUE"""),"(Chưa recheck)")</f>
        <v>(Chưa recheck)</v>
      </c>
      <c r="I289" s="265" t="str">
        <f>IFERROR(__xludf.DUMMYFUNCTION("""COMPUTED_VALUE"""),"(Chưa recheck)")</f>
        <v>(Chưa recheck)</v>
      </c>
      <c r="J289" s="265" t="str">
        <f>IFERROR(__xludf.DUMMYFUNCTION("""COMPUTED_VALUE"""),"Kiotviet")</f>
        <v>Kiotviet</v>
      </c>
    </row>
    <row r="290">
      <c r="A290" s="265" t="str">
        <f>IFERROR(__xludf.DUMMYFUNCTION("""COMPUTED_VALUE"""),"596")</f>
        <v>596</v>
      </c>
      <c r="B290" s="265" t="str">
        <f>IFERROR(__xludf.DUMMYFUNCTION("""COMPUTED_VALUE"""),"Hà Nội")</f>
        <v>Hà Nội</v>
      </c>
      <c r="C290" s="265" t="str">
        <f>IFERROR(__xludf.DUMMYFUNCTION("""COMPUTED_VALUE"""),"Locked")</f>
        <v>Locked</v>
      </c>
      <c r="D290" s="265" t="str">
        <f>IFERROR(__xludf.DUMMYFUNCTION("""COMPUTED_VALUE"""),"Sale chưa cung cấp")</f>
        <v>Sale chưa cung cấp</v>
      </c>
      <c r="E290" s="265" t="str">
        <f>IFERROR(__xludf.DUMMYFUNCTION("""COMPUTED_VALUE"""),"PhươngDTB")</f>
        <v>PhươngDTB</v>
      </c>
      <c r="F290" s="265" t="str">
        <f>IFERROR(__xludf.DUMMYFUNCTION("""COMPUTED_VALUE"""),"Bronze")</f>
        <v>Bronze</v>
      </c>
      <c r="G290" s="265" t="str">
        <f>IFERROR(__xludf.DUMMYFUNCTION("""COMPUTED_VALUE"""),"Enterprise")</f>
        <v>Enterprise</v>
      </c>
      <c r="H290" s="265" t="str">
        <f>IFERROR(__xludf.DUMMYFUNCTION("""COMPUTED_VALUE"""),"(Chưa recheck)")</f>
        <v>(Chưa recheck)</v>
      </c>
      <c r="I290" s="265" t="str">
        <f>IFERROR(__xludf.DUMMYFUNCTION("""COMPUTED_VALUE"""),"(Chưa recheck)")</f>
        <v>(Chưa recheck)</v>
      </c>
      <c r="J290" s="265" t="str">
        <f>IFERROR(__xludf.DUMMYFUNCTION("""COMPUTED_VALUE"""),"Haravan")</f>
        <v>Haravan</v>
      </c>
    </row>
    <row r="291">
      <c r="A291" s="265" t="str">
        <f>IFERROR(__xludf.DUMMYFUNCTION("""COMPUTED_VALUE"""),"598")</f>
        <v>598</v>
      </c>
      <c r="B291" s="265" t="str">
        <f>IFERROR(__xludf.DUMMYFUNCTION("""COMPUTED_VALUE"""),"Sài Gòn")</f>
        <v>Sài Gòn</v>
      </c>
      <c r="C291" s="265" t="str">
        <f>IFERROR(__xludf.DUMMYFUNCTION("""COMPUTED_VALUE"""),"Locked")</f>
        <v>Locked</v>
      </c>
      <c r="D291" s="265" t="str">
        <f>IFERROR(__xludf.DUMMYFUNCTION("""COMPUTED_VALUE"""),"Sale chưa cung cấp")</f>
        <v>Sale chưa cung cấp</v>
      </c>
      <c r="E291" s="265" t="str">
        <f>IFERROR(__xludf.DUMMYFUNCTION("""COMPUTED_VALUE"""),"HoaNTM")</f>
        <v>HoaNTM</v>
      </c>
      <c r="F291" s="265" t="str">
        <f>IFERROR(__xludf.DUMMYFUNCTION("""COMPUTED_VALUE"""),"Silver")</f>
        <v>Silver</v>
      </c>
      <c r="G291" s="265" t="str">
        <f>IFERROR(__xludf.DUMMYFUNCTION("""COMPUTED_VALUE"""),"MSG")</f>
        <v>MSG</v>
      </c>
      <c r="H291" s="265" t="str">
        <f>IFERROR(__xludf.DUMMYFUNCTION("""COMPUTED_VALUE"""),"(Chưa recheck)")</f>
        <v>(Chưa recheck)</v>
      </c>
      <c r="I291" s="265" t="str">
        <f>IFERROR(__xludf.DUMMYFUNCTION("""COMPUTED_VALUE"""),"(Chưa recheck)")</f>
        <v>(Chưa recheck)</v>
      </c>
      <c r="J291" s="265" t="str">
        <f>IFERROR(__xludf.DUMMYFUNCTION("""COMPUTED_VALUE"""),"File Excel")</f>
        <v>File Excel</v>
      </c>
    </row>
    <row r="292">
      <c r="A292" s="265" t="str">
        <f>IFERROR(__xludf.DUMMYFUNCTION("""COMPUTED_VALUE"""),"600")</f>
        <v>600</v>
      </c>
      <c r="B292" s="265" t="str">
        <f>IFERROR(__xludf.DUMMYFUNCTION("""COMPUTED_VALUE"""),"Sài Gòn")</f>
        <v>Sài Gòn</v>
      </c>
      <c r="C292" s="265" t="str">
        <f>IFERROR(__xludf.DUMMYFUNCTION("""COMPUTED_VALUE"""),"Locked")</f>
        <v>Locked</v>
      </c>
      <c r="D292" s="265" t="str">
        <f>IFERROR(__xludf.DUMMYFUNCTION("""COMPUTED_VALUE"""),"Sale chưa cung cấp")</f>
        <v>Sale chưa cung cấp</v>
      </c>
      <c r="E292" s="265" t="str">
        <f>IFERROR(__xludf.DUMMYFUNCTION("""COMPUTED_VALUE"""),"HoaNTM")</f>
        <v>HoaNTM</v>
      </c>
      <c r="F292" s="265" t="str">
        <f>IFERROR(__xludf.DUMMYFUNCTION("""COMPUTED_VALUE"""),"Silver")</f>
        <v>Silver</v>
      </c>
      <c r="G292" s="265" t="str">
        <f>IFERROR(__xludf.DUMMYFUNCTION("""COMPUTED_VALUE"""),"Enterprise")</f>
        <v>Enterprise</v>
      </c>
      <c r="H292" s="265" t="str">
        <f>IFERROR(__xludf.DUMMYFUNCTION("""COMPUTED_VALUE"""),"(Chưa recheck)")</f>
        <v>(Chưa recheck)</v>
      </c>
      <c r="I292" s="265" t="str">
        <f>IFERROR(__xludf.DUMMYFUNCTION("""COMPUTED_VALUE"""),"(Chưa recheck)")</f>
        <v>(Chưa recheck)</v>
      </c>
      <c r="J292" s="265" t="str">
        <f>IFERROR(__xludf.DUMMYFUNCTION("""COMPUTED_VALUE"""),"File Excel")</f>
        <v>File Excel</v>
      </c>
    </row>
    <row r="293">
      <c r="A293" s="265" t="str">
        <f>IFERROR(__xludf.DUMMYFUNCTION("""COMPUTED_VALUE"""),"600")</f>
        <v>600</v>
      </c>
      <c r="B293" s="265" t="str">
        <f>IFERROR(__xludf.DUMMYFUNCTION("""COMPUTED_VALUE"""),"Sài Gòn")</f>
        <v>Sài Gòn</v>
      </c>
      <c r="C293" s="265" t="str">
        <f>IFERROR(__xludf.DUMMYFUNCTION("""COMPUTED_VALUE"""),"Locked")</f>
        <v>Locked</v>
      </c>
      <c r="D293" s="265" t="str">
        <f>IFERROR(__xludf.DUMMYFUNCTION("""COMPUTED_VALUE"""),"Sale chưa cung cấp")</f>
        <v>Sale chưa cung cấp</v>
      </c>
      <c r="E293" s="265" t="str">
        <f>IFERROR(__xludf.DUMMYFUNCTION("""COMPUTED_VALUE"""),"HoaNTM")</f>
        <v>HoaNTM</v>
      </c>
      <c r="F293" s="265" t="str">
        <f>IFERROR(__xludf.DUMMYFUNCTION("""COMPUTED_VALUE"""),"Silver")</f>
        <v>Silver</v>
      </c>
      <c r="G293" s="265" t="str">
        <f>IFERROR(__xludf.DUMMYFUNCTION("""COMPUTED_VALUE"""),"Enterprise")</f>
        <v>Enterprise</v>
      </c>
      <c r="H293" s="265" t="str">
        <f>IFERROR(__xludf.DUMMYFUNCTION("""COMPUTED_VALUE"""),"(Chưa recheck)")</f>
        <v>(Chưa recheck)</v>
      </c>
      <c r="I293" s="265" t="str">
        <f>IFERROR(__xludf.DUMMYFUNCTION("""COMPUTED_VALUE"""),"(Chưa recheck)")</f>
        <v>(Chưa recheck)</v>
      </c>
      <c r="J293" s="265" t="str">
        <f>IFERROR(__xludf.DUMMYFUNCTION("""COMPUTED_VALUE"""),"API")</f>
        <v>API</v>
      </c>
    </row>
    <row r="294">
      <c r="A294" s="265" t="str">
        <f>IFERROR(__xludf.DUMMYFUNCTION("""COMPUTED_VALUE"""),"597")</f>
        <v>597</v>
      </c>
      <c r="B294" s="265" t="str">
        <f>IFERROR(__xludf.DUMMYFUNCTION("""COMPUTED_VALUE"""),"Sài Gòn")</f>
        <v>Sài Gòn</v>
      </c>
      <c r="C294" s="265" t="str">
        <f>IFERROR(__xludf.DUMMYFUNCTION("""COMPUTED_VALUE"""),"Active")</f>
        <v>Active</v>
      </c>
      <c r="D294" s="265" t="str">
        <f>IFERROR(__xludf.DUMMYFUNCTION("""COMPUTED_VALUE"""),"Sale chưa cung cấp")</f>
        <v>Sale chưa cung cấp</v>
      </c>
      <c r="E294" s="265" t="str">
        <f>IFERROR(__xludf.DUMMYFUNCTION("""COMPUTED_VALUE"""),"Không phân công")</f>
        <v>Không phân công</v>
      </c>
      <c r="F294" s="265" t="str">
        <f>IFERROR(__xludf.DUMMYFUNCTION("""COMPUTED_VALUE"""),"Silver")</f>
        <v>Silver</v>
      </c>
      <c r="G294" s="265" t="str">
        <f>IFERROR(__xludf.DUMMYFUNCTION("""COMPUTED_VALUE"""),"Standard")</f>
        <v>Standard</v>
      </c>
      <c r="H294" s="265" t="str">
        <f>IFERROR(__xludf.DUMMYFUNCTION("""COMPUTED_VALUE"""),"Trả trước")</f>
        <v>Trả trước</v>
      </c>
      <c r="I294" s="265" t="str">
        <f>IFERROR(__xludf.DUMMYFUNCTION("""COMPUTED_VALUE"""),"Portal")</f>
        <v>Portal</v>
      </c>
      <c r="J294" s="265" t="str">
        <f>IFERROR(__xludf.DUMMYFUNCTION("""COMPUTED_VALUE"""),"File Excel")</f>
        <v>File Excel</v>
      </c>
    </row>
    <row r="295">
      <c r="A295" s="265" t="str">
        <f>IFERROR(__xludf.DUMMYFUNCTION("""COMPUTED_VALUE"""),"599")</f>
        <v>599</v>
      </c>
      <c r="B295" s="265" t="str">
        <f>IFERROR(__xludf.DUMMYFUNCTION("""COMPUTED_VALUE"""),"Sài Gòn")</f>
        <v>Sài Gòn</v>
      </c>
      <c r="C295" s="265" t="str">
        <f>IFERROR(__xludf.DUMMYFUNCTION("""COMPUTED_VALUE"""),"Active")</f>
        <v>Active</v>
      </c>
      <c r="D295" s="265" t="str">
        <f>IFERROR(__xludf.DUMMYFUNCTION("""COMPUTED_VALUE"""),"Sale chưa cung cấp")</f>
        <v>Sale chưa cung cấp</v>
      </c>
      <c r="E295" s="265" t="str">
        <f>IFERROR(__xludf.DUMMYFUNCTION("""COMPUTED_VALUE"""),"Không phân công")</f>
        <v>Không phân công</v>
      </c>
      <c r="F295" s="265" t="str">
        <f>IFERROR(__xludf.DUMMYFUNCTION("""COMPUTED_VALUE"""),"Diamond")</f>
        <v>Diamond</v>
      </c>
      <c r="G295" s="265" t="str">
        <f>IFERROR(__xludf.DUMMYFUNCTION("""COMPUTED_VALUE"""),"Enterprise")</f>
        <v>Enterprise</v>
      </c>
      <c r="H295" s="265" t="str">
        <f>IFERROR(__xludf.DUMMYFUNCTION("""COMPUTED_VALUE"""),"Trả sau")</f>
        <v>Trả sau</v>
      </c>
      <c r="I295" s="265" t="str">
        <f>IFERROR(__xludf.DUMMYFUNCTION("""COMPUTED_VALUE"""),"Portal")</f>
        <v>Portal</v>
      </c>
      <c r="J295" s="265" t="str">
        <f>IFERROR(__xludf.DUMMYFUNCTION("""COMPUTED_VALUE"""),"File Excel")</f>
        <v>File Excel</v>
      </c>
    </row>
    <row r="296">
      <c r="A296" s="265" t="str">
        <f>IFERROR(__xludf.DUMMYFUNCTION("""COMPUTED_VALUE"""),"599")</f>
        <v>599</v>
      </c>
      <c r="B296" s="265" t="str">
        <f>IFERROR(__xludf.DUMMYFUNCTION("""COMPUTED_VALUE"""),"Sài Gòn")</f>
        <v>Sài Gòn</v>
      </c>
      <c r="C296" s="265" t="str">
        <f>IFERROR(__xludf.DUMMYFUNCTION("""COMPUTED_VALUE"""),"Active")</f>
        <v>Active</v>
      </c>
      <c r="D296" s="265" t="str">
        <f>IFERROR(__xludf.DUMMYFUNCTION("""COMPUTED_VALUE"""),"Sale chưa cung cấp")</f>
        <v>Sale chưa cung cấp</v>
      </c>
      <c r="E296" s="265" t="str">
        <f>IFERROR(__xludf.DUMMYFUNCTION("""COMPUTED_VALUE"""),"Không phân công")</f>
        <v>Không phân công</v>
      </c>
      <c r="F296" s="265" t="str">
        <f>IFERROR(__xludf.DUMMYFUNCTION("""COMPUTED_VALUE"""),"Diamond")</f>
        <v>Diamond</v>
      </c>
      <c r="G296" s="265" t="str">
        <f>IFERROR(__xludf.DUMMYFUNCTION("""COMPUTED_VALUE"""),"Enterprise")</f>
        <v>Enterprise</v>
      </c>
      <c r="H296" s="265" t="str">
        <f>IFERROR(__xludf.DUMMYFUNCTION("""COMPUTED_VALUE"""),"Trả sau")</f>
        <v>Trả sau</v>
      </c>
      <c r="I296" s="265" t="str">
        <f>IFERROR(__xludf.DUMMYFUNCTION("""COMPUTED_VALUE"""),"Portal")</f>
        <v>Portal</v>
      </c>
      <c r="J296" s="265" t="str">
        <f>IFERROR(__xludf.DUMMYFUNCTION("""COMPUTED_VALUE"""),"API")</f>
        <v>API</v>
      </c>
    </row>
    <row r="297">
      <c r="A297" s="265" t="str">
        <f>IFERROR(__xludf.DUMMYFUNCTION("""COMPUTED_VALUE"""),"601")</f>
        <v>601</v>
      </c>
      <c r="B297" s="265" t="str">
        <f>IFERROR(__xludf.DUMMYFUNCTION("""COMPUTED_VALUE"""),"Sài Gòn")</f>
        <v>Sài Gòn</v>
      </c>
      <c r="C297" s="265" t="str">
        <f>IFERROR(__xludf.DUMMYFUNCTION("""COMPUTED_VALUE"""),"Locked")</f>
        <v>Locked</v>
      </c>
      <c r="D297" s="265" t="str">
        <f>IFERROR(__xludf.DUMMYFUNCTION("""COMPUTED_VALUE"""),"Sale chưa cung cấp")</f>
        <v>Sale chưa cung cấp</v>
      </c>
      <c r="E297" s="265" t="str">
        <f>IFERROR(__xludf.DUMMYFUNCTION("""COMPUTED_VALUE"""),"HoaNTM")</f>
        <v>HoaNTM</v>
      </c>
      <c r="F297" s="265" t="str">
        <f>IFERROR(__xludf.DUMMYFUNCTION("""COMPUTED_VALUE"""),"Sale chưa cung cấp")</f>
        <v>Sale chưa cung cấp</v>
      </c>
      <c r="G297" s="265" t="str">
        <f>IFERROR(__xludf.DUMMYFUNCTION("""COMPUTED_VALUE"""),"MSG")</f>
        <v>MSG</v>
      </c>
      <c r="H297" s="265" t="str">
        <f>IFERROR(__xludf.DUMMYFUNCTION("""COMPUTED_VALUE"""),"(Chưa recheck)")</f>
        <v>(Chưa recheck)</v>
      </c>
      <c r="I297" s="265" t="str">
        <f>IFERROR(__xludf.DUMMYFUNCTION("""COMPUTED_VALUE"""),"(Chưa recheck)")</f>
        <v>(Chưa recheck)</v>
      </c>
      <c r="J297" s="265" t="str">
        <f>IFERROR(__xludf.DUMMYFUNCTION("""COMPUTED_VALUE"""),"File Excel")</f>
        <v>File Excel</v>
      </c>
    </row>
    <row r="298">
      <c r="A298" s="265" t="str">
        <f>IFERROR(__xludf.DUMMYFUNCTION("""COMPUTED_VALUE"""),"601")</f>
        <v>601</v>
      </c>
      <c r="B298" s="265" t="str">
        <f>IFERROR(__xludf.DUMMYFUNCTION("""COMPUTED_VALUE"""),"Sài Gòn")</f>
        <v>Sài Gòn</v>
      </c>
      <c r="C298" s="265" t="str">
        <f>IFERROR(__xludf.DUMMYFUNCTION("""COMPUTED_VALUE"""),"Locked")</f>
        <v>Locked</v>
      </c>
      <c r="D298" s="265" t="str">
        <f>IFERROR(__xludf.DUMMYFUNCTION("""COMPUTED_VALUE"""),"Sale chưa cung cấp")</f>
        <v>Sale chưa cung cấp</v>
      </c>
      <c r="E298" s="265" t="str">
        <f>IFERROR(__xludf.DUMMYFUNCTION("""COMPUTED_VALUE"""),"HoaNTM")</f>
        <v>HoaNTM</v>
      </c>
      <c r="F298" s="265" t="str">
        <f>IFERROR(__xludf.DUMMYFUNCTION("""COMPUTED_VALUE"""),"Sale chưa cung cấp")</f>
        <v>Sale chưa cung cấp</v>
      </c>
      <c r="G298" s="265" t="str">
        <f>IFERROR(__xludf.DUMMYFUNCTION("""COMPUTED_VALUE"""),"MSG")</f>
        <v>MSG</v>
      </c>
      <c r="H298" s="265" t="str">
        <f>IFERROR(__xludf.DUMMYFUNCTION("""COMPUTED_VALUE"""),"(Chưa recheck)")</f>
        <v>(Chưa recheck)</v>
      </c>
      <c r="I298" s="265" t="str">
        <f>IFERROR(__xludf.DUMMYFUNCTION("""COMPUTED_VALUE"""),"(Chưa recheck)")</f>
        <v>(Chưa recheck)</v>
      </c>
      <c r="J298" s="265" t="str">
        <f>IFERROR(__xludf.DUMMYFUNCTION("""COMPUTED_VALUE"""),"API")</f>
        <v>API</v>
      </c>
    </row>
    <row r="299">
      <c r="A299" s="265" t="str">
        <f>IFERROR(__xludf.DUMMYFUNCTION("""COMPUTED_VALUE"""),"602")</f>
        <v>602</v>
      </c>
      <c r="B299" s="265" t="str">
        <f>IFERROR(__xludf.DUMMYFUNCTION("""COMPUTED_VALUE"""),"Sài Gòn")</f>
        <v>Sài Gòn</v>
      </c>
      <c r="C299" s="265" t="str">
        <f>IFERROR(__xludf.DUMMYFUNCTION("""COMPUTED_VALUE"""),"Locked")</f>
        <v>Locked</v>
      </c>
      <c r="D299" s="265" t="str">
        <f>IFERROR(__xludf.DUMMYFUNCTION("""COMPUTED_VALUE"""),"Sale chưa cung cấp")</f>
        <v>Sale chưa cung cấp</v>
      </c>
      <c r="E299" s="265" t="str">
        <f>IFERROR(__xludf.DUMMYFUNCTION("""COMPUTED_VALUE"""),"Không phân công")</f>
        <v>Không phân công</v>
      </c>
      <c r="F299" s="265" t="str">
        <f>IFERROR(__xludf.DUMMYFUNCTION("""COMPUTED_VALUE"""),"Bronze")</f>
        <v>Bronze</v>
      </c>
      <c r="G299" s="265" t="str">
        <f>IFERROR(__xludf.DUMMYFUNCTION("""COMPUTED_VALUE"""),"Starter")</f>
        <v>Starter</v>
      </c>
      <c r="H299" s="265" t="str">
        <f>IFERROR(__xludf.DUMMYFUNCTION("""COMPUTED_VALUE"""),"Trả trước")</f>
        <v>Trả trước</v>
      </c>
      <c r="I299" s="265" t="str">
        <f>IFERROR(__xludf.DUMMYFUNCTION("""COMPUTED_VALUE"""),"Portal")</f>
        <v>Portal</v>
      </c>
      <c r="J299" s="265" t="str">
        <f>IFERROR(__xludf.DUMMYFUNCTION("""COMPUTED_VALUE"""),"File Excel")</f>
        <v>File Excel</v>
      </c>
    </row>
    <row r="300">
      <c r="A300" s="265" t="str">
        <f>IFERROR(__xludf.DUMMYFUNCTION("""COMPUTED_VALUE"""),"603")</f>
        <v>603</v>
      </c>
      <c r="B300" s="265" t="str">
        <f>IFERROR(__xludf.DUMMYFUNCTION("""COMPUTED_VALUE"""),"Sài Gòn")</f>
        <v>Sài Gòn</v>
      </c>
      <c r="C300" s="265" t="str">
        <f>IFERROR(__xludf.DUMMYFUNCTION("""COMPUTED_VALUE"""),"Locked")</f>
        <v>Locked</v>
      </c>
      <c r="D300" s="265" t="str">
        <f>IFERROR(__xludf.DUMMYFUNCTION("""COMPUTED_VALUE"""),"Sale chưa cung cấp")</f>
        <v>Sale chưa cung cấp</v>
      </c>
      <c r="E300" s="265" t="str">
        <f>IFERROR(__xludf.DUMMYFUNCTION("""COMPUTED_VALUE"""),"Không phân công")</f>
        <v>Không phân công</v>
      </c>
      <c r="F300" s="265" t="str">
        <f>IFERROR(__xludf.DUMMYFUNCTION("""COMPUTED_VALUE"""),"Bronze")</f>
        <v>Bronze</v>
      </c>
      <c r="G300" s="265" t="str">
        <f>IFERROR(__xludf.DUMMYFUNCTION("""COMPUTED_VALUE"""),"Starter")</f>
        <v>Starter</v>
      </c>
      <c r="H300" s="265" t="str">
        <f>IFERROR(__xludf.DUMMYFUNCTION("""COMPUTED_VALUE"""),"Trả trước")</f>
        <v>Trả trước</v>
      </c>
      <c r="I300" s="265" t="str">
        <f>IFERROR(__xludf.DUMMYFUNCTION("""COMPUTED_VALUE"""),"Portal")</f>
        <v>Portal</v>
      </c>
      <c r="J300" s="265" t="str">
        <f>IFERROR(__xludf.DUMMYFUNCTION("""COMPUTED_VALUE"""),"File Excel")</f>
        <v>File Excel</v>
      </c>
    </row>
    <row r="301">
      <c r="A301" s="265" t="str">
        <f>IFERROR(__xludf.DUMMYFUNCTION("""COMPUTED_VALUE"""),"604")</f>
        <v>604</v>
      </c>
      <c r="B301" s="265" t="str">
        <f>IFERROR(__xludf.DUMMYFUNCTION("""COMPUTED_VALUE"""),"Hà Nội")</f>
        <v>Hà Nội</v>
      </c>
      <c r="C301" s="265" t="str">
        <f>IFERROR(__xludf.DUMMYFUNCTION("""COMPUTED_VALUE"""),"Locked")</f>
        <v>Locked</v>
      </c>
      <c r="D301" s="265" t="str">
        <f>IFERROR(__xludf.DUMMYFUNCTION("""COMPUTED_VALUE"""),"Sale chưa cung cấp")</f>
        <v>Sale chưa cung cấp</v>
      </c>
      <c r="E301" s="265" t="str">
        <f>IFERROR(__xludf.DUMMYFUNCTION("""COMPUTED_VALUE"""),"TùngLD")</f>
        <v>TùngLD</v>
      </c>
      <c r="F301" s="265" t="str">
        <f>IFERROR(__xludf.DUMMYFUNCTION("""COMPUTED_VALUE"""),"Sale chưa cung cấp")</f>
        <v>Sale chưa cung cấp</v>
      </c>
      <c r="G301" s="265" t="str">
        <f>IFERROR(__xludf.DUMMYFUNCTION("""COMPUTED_VALUE"""),"Enterprise")</f>
        <v>Enterprise</v>
      </c>
      <c r="H301" s="265" t="str">
        <f>IFERROR(__xludf.DUMMYFUNCTION("""COMPUTED_VALUE"""),"Trial")</f>
        <v>Trial</v>
      </c>
      <c r="I301" s="265" t="str">
        <f>IFERROR(__xludf.DUMMYFUNCTION("""COMPUTED_VALUE"""),"Portal")</f>
        <v>Portal</v>
      </c>
      <c r="J301" s="265" t="str">
        <f>IFERROR(__xludf.DUMMYFUNCTION("""COMPUTED_VALUE"""),"(Không recheck)")</f>
        <v>(Không recheck)</v>
      </c>
    </row>
    <row r="302">
      <c r="A302" s="265" t="str">
        <f>IFERROR(__xludf.DUMMYFUNCTION("""COMPUTED_VALUE"""),"605")</f>
        <v>605</v>
      </c>
      <c r="B302" s="265" t="str">
        <f>IFERROR(__xludf.DUMMYFUNCTION("""COMPUTED_VALUE"""),"Hà Nội")</f>
        <v>Hà Nội</v>
      </c>
      <c r="C302" s="265" t="str">
        <f>IFERROR(__xludf.DUMMYFUNCTION("""COMPUTED_VALUE"""),"Active")</f>
        <v>Active</v>
      </c>
      <c r="D302" s="265" t="str">
        <f>IFERROR(__xludf.DUMMYFUNCTION("""COMPUTED_VALUE"""),"Sale chưa cung cấp")</f>
        <v>Sale chưa cung cấp</v>
      </c>
      <c r="E302" s="265" t="str">
        <f>IFERROR(__xludf.DUMMYFUNCTION("""COMPUTED_VALUE"""),"Không phân công")</f>
        <v>Không phân công</v>
      </c>
      <c r="F302" s="265" t="str">
        <f>IFERROR(__xludf.DUMMYFUNCTION("""COMPUTED_VALUE"""),"Bronze")</f>
        <v>Bronze</v>
      </c>
      <c r="G302" s="265" t="str">
        <f>IFERROR(__xludf.DUMMYFUNCTION("""COMPUTED_VALUE"""),"Starter")</f>
        <v>Starter</v>
      </c>
      <c r="H302" s="265" t="str">
        <f>IFERROR(__xludf.DUMMYFUNCTION("""COMPUTED_VALUE"""),"Trả sau")</f>
        <v>Trả sau</v>
      </c>
      <c r="I302" s="265" t="str">
        <f>IFERROR(__xludf.DUMMYFUNCTION("""COMPUTED_VALUE"""),"API")</f>
        <v>API</v>
      </c>
      <c r="J302" s="265" t="str">
        <f>IFERROR(__xludf.DUMMYFUNCTION("""COMPUTED_VALUE"""),"API")</f>
        <v>API</v>
      </c>
    </row>
    <row r="303">
      <c r="A303" s="265" t="str">
        <f>IFERROR(__xludf.DUMMYFUNCTION("""COMPUTED_VALUE"""),"606")</f>
        <v>606</v>
      </c>
      <c r="B303" s="265" t="str">
        <f>IFERROR(__xludf.DUMMYFUNCTION("""COMPUTED_VALUE"""),"Sài Gòn")</f>
        <v>Sài Gòn</v>
      </c>
      <c r="C303" s="265" t="str">
        <f>IFERROR(__xludf.DUMMYFUNCTION("""COMPUTED_VALUE"""),"Locked")</f>
        <v>Locked</v>
      </c>
      <c r="D303" s="265" t="str">
        <f>IFERROR(__xludf.DUMMYFUNCTION("""COMPUTED_VALUE"""),"Sale chưa cung cấp")</f>
        <v>Sale chưa cung cấp</v>
      </c>
      <c r="E303" s="265" t="str">
        <f>IFERROR(__xludf.DUMMYFUNCTION("""COMPUTED_VALUE"""),"HoaNTM")</f>
        <v>HoaNTM</v>
      </c>
      <c r="F303" s="265" t="str">
        <f>IFERROR(__xludf.DUMMYFUNCTION("""COMPUTED_VALUE"""),"Bronze")</f>
        <v>Bronze</v>
      </c>
      <c r="G303" s="265" t="str">
        <f>IFERROR(__xludf.DUMMYFUNCTION("""COMPUTED_VALUE"""),"Enterprise")</f>
        <v>Enterprise</v>
      </c>
      <c r="H303" s="265" t="str">
        <f>IFERROR(__xludf.DUMMYFUNCTION("""COMPUTED_VALUE"""),"(Chưa recheck)")</f>
        <v>(Chưa recheck)</v>
      </c>
      <c r="I303" s="265" t="str">
        <f>IFERROR(__xludf.DUMMYFUNCTION("""COMPUTED_VALUE"""),"(Chưa recheck)")</f>
        <v>(Chưa recheck)</v>
      </c>
      <c r="J303" s="265" t="str">
        <f>IFERROR(__xludf.DUMMYFUNCTION("""COMPUTED_VALUE"""),"File Excel")</f>
        <v>File Excel</v>
      </c>
    </row>
    <row r="304">
      <c r="A304" s="265" t="str">
        <f>IFERROR(__xludf.DUMMYFUNCTION("""COMPUTED_VALUE"""),"609")</f>
        <v>609</v>
      </c>
      <c r="B304" s="265" t="str">
        <f>IFERROR(__xludf.DUMMYFUNCTION("""COMPUTED_VALUE"""),"Sài Gòn")</f>
        <v>Sài Gòn</v>
      </c>
      <c r="C304" s="265" t="str">
        <f>IFERROR(__xludf.DUMMYFUNCTION("""COMPUTED_VALUE"""),"Locked")</f>
        <v>Locked</v>
      </c>
      <c r="D304" s="265" t="str">
        <f>IFERROR(__xludf.DUMMYFUNCTION("""COMPUTED_VALUE"""),"Sale chưa cung cấp")</f>
        <v>Sale chưa cung cấp</v>
      </c>
      <c r="E304" s="265" t="str">
        <f>IFERROR(__xludf.DUMMYFUNCTION("""COMPUTED_VALUE"""),"HoaNTM")</f>
        <v>HoaNTM</v>
      </c>
      <c r="F304" s="265" t="str">
        <f>IFERROR(__xludf.DUMMYFUNCTION("""COMPUTED_VALUE"""),"Gold")</f>
        <v>Gold</v>
      </c>
      <c r="G304" s="265" t="str">
        <f>IFERROR(__xludf.DUMMYFUNCTION("""COMPUTED_VALUE"""),"MSG")</f>
        <v>MSG</v>
      </c>
      <c r="H304" s="265" t="str">
        <f>IFERROR(__xludf.DUMMYFUNCTION("""COMPUTED_VALUE"""),"(Chưa recheck)")</f>
        <v>(Chưa recheck)</v>
      </c>
      <c r="I304" s="265" t="str">
        <f>IFERROR(__xludf.DUMMYFUNCTION("""COMPUTED_VALUE"""),"(Chưa recheck)")</f>
        <v>(Chưa recheck)</v>
      </c>
      <c r="J304" s="265" t="str">
        <f>IFERROR(__xludf.DUMMYFUNCTION("""COMPUTED_VALUE"""),"File Excel")</f>
        <v>File Excel</v>
      </c>
    </row>
    <row r="305">
      <c r="A305" s="265" t="str">
        <f>IFERROR(__xludf.DUMMYFUNCTION("""COMPUTED_VALUE"""),"607")</f>
        <v>607</v>
      </c>
      <c r="B305" s="265" t="str">
        <f>IFERROR(__xludf.DUMMYFUNCTION("""COMPUTED_VALUE"""),"Sài Gòn")</f>
        <v>Sài Gòn</v>
      </c>
      <c r="C305" s="265" t="str">
        <f>IFERROR(__xludf.DUMMYFUNCTION("""COMPUTED_VALUE"""),"Locked")</f>
        <v>Locked</v>
      </c>
      <c r="D305" s="265" t="str">
        <f>IFERROR(__xludf.DUMMYFUNCTION("""COMPUTED_VALUE"""),"Sale chưa cung cấp")</f>
        <v>Sale chưa cung cấp</v>
      </c>
      <c r="E305" s="265" t="str">
        <f>IFERROR(__xludf.DUMMYFUNCTION("""COMPUTED_VALUE"""),"HoaNTM")</f>
        <v>HoaNTM</v>
      </c>
      <c r="F305" s="265" t="str">
        <f>IFERROR(__xludf.DUMMYFUNCTION("""COMPUTED_VALUE"""),"Sale chưa cung cấp")</f>
        <v>Sale chưa cung cấp</v>
      </c>
      <c r="G305" s="265" t="str">
        <f>IFERROR(__xludf.DUMMYFUNCTION("""COMPUTED_VALUE"""),"Enterprise")</f>
        <v>Enterprise</v>
      </c>
      <c r="H305" s="265" t="str">
        <f>IFERROR(__xludf.DUMMYFUNCTION("""COMPUTED_VALUE"""),"Trial")</f>
        <v>Trial</v>
      </c>
      <c r="I305" s="265" t="str">
        <f>IFERROR(__xludf.DUMMYFUNCTION("""COMPUTED_VALUE"""),"(Không recheck)")</f>
        <v>(Không recheck)</v>
      </c>
      <c r="J305" s="265" t="str">
        <f>IFERROR(__xludf.DUMMYFUNCTION("""COMPUTED_VALUE"""),"File Excel")</f>
        <v>File Excel</v>
      </c>
    </row>
    <row r="306">
      <c r="A306" s="265" t="str">
        <f>IFERROR(__xludf.DUMMYFUNCTION("""COMPUTED_VALUE"""),"607")</f>
        <v>607</v>
      </c>
      <c r="B306" s="265" t="str">
        <f>IFERROR(__xludf.DUMMYFUNCTION("""COMPUTED_VALUE"""),"Sài Gòn")</f>
        <v>Sài Gòn</v>
      </c>
      <c r="C306" s="265" t="str">
        <f>IFERROR(__xludf.DUMMYFUNCTION("""COMPUTED_VALUE"""),"Locked")</f>
        <v>Locked</v>
      </c>
      <c r="D306" s="265" t="str">
        <f>IFERROR(__xludf.DUMMYFUNCTION("""COMPUTED_VALUE"""),"Sale chưa cung cấp")</f>
        <v>Sale chưa cung cấp</v>
      </c>
      <c r="E306" s="265" t="str">
        <f>IFERROR(__xludf.DUMMYFUNCTION("""COMPUTED_VALUE"""),"HoaNTM")</f>
        <v>HoaNTM</v>
      </c>
      <c r="F306" s="265" t="str">
        <f>IFERROR(__xludf.DUMMYFUNCTION("""COMPUTED_VALUE"""),"Sale chưa cung cấp")</f>
        <v>Sale chưa cung cấp</v>
      </c>
      <c r="G306" s="265" t="str">
        <f>IFERROR(__xludf.DUMMYFUNCTION("""COMPUTED_VALUE"""),"Enterprise")</f>
        <v>Enterprise</v>
      </c>
      <c r="H306" s="265" t="str">
        <f>IFERROR(__xludf.DUMMYFUNCTION("""COMPUTED_VALUE"""),"Trial")</f>
        <v>Trial</v>
      </c>
      <c r="I306" s="265" t="str">
        <f>IFERROR(__xludf.DUMMYFUNCTION("""COMPUTED_VALUE"""),"(Không recheck)")</f>
        <v>(Không recheck)</v>
      </c>
      <c r="J306" s="265" t="str">
        <f>IFERROR(__xludf.DUMMYFUNCTION("""COMPUTED_VALUE"""),"API")</f>
        <v>API</v>
      </c>
    </row>
    <row r="307">
      <c r="A307" s="265" t="str">
        <f>IFERROR(__xludf.DUMMYFUNCTION("""COMPUTED_VALUE"""),"611")</f>
        <v>611</v>
      </c>
      <c r="B307" s="265" t="str">
        <f>IFERROR(__xludf.DUMMYFUNCTION("""COMPUTED_VALUE"""),"Hà Nội")</f>
        <v>Hà Nội</v>
      </c>
      <c r="C307" s="265" t="str">
        <f>IFERROR(__xludf.DUMMYFUNCTION("""COMPUTED_VALUE"""),"Active")</f>
        <v>Active</v>
      </c>
      <c r="D307" s="265" t="str">
        <f>IFERROR(__xludf.DUMMYFUNCTION("""COMPUTED_VALUE"""),"Sale chưa cung cấp")</f>
        <v>Sale chưa cung cấp</v>
      </c>
      <c r="E307" s="265" t="str">
        <f>IFERROR(__xludf.DUMMYFUNCTION("""COMPUTED_VALUE"""),"TùngLD")</f>
        <v>TùngLD</v>
      </c>
      <c r="F307" s="265" t="str">
        <f>IFERROR(__xludf.DUMMYFUNCTION("""COMPUTED_VALUE"""),"Silver")</f>
        <v>Silver</v>
      </c>
      <c r="G307" s="265" t="str">
        <f>IFERROR(__xludf.DUMMYFUNCTION("""COMPUTED_VALUE"""),"Enterprise")</f>
        <v>Enterprise</v>
      </c>
      <c r="H307" s="265" t="str">
        <f>IFERROR(__xludf.DUMMYFUNCTION("""COMPUTED_VALUE"""),"Trả trước")</f>
        <v>Trả trước</v>
      </c>
      <c r="I307" s="265" t="str">
        <f>IFERROR(__xludf.DUMMYFUNCTION("""COMPUTED_VALUE"""),"API &amp; Portal")</f>
        <v>API &amp; Portal</v>
      </c>
      <c r="J307" s="265" t="str">
        <f>IFERROR(__xludf.DUMMYFUNCTION("""COMPUTED_VALUE"""),"API")</f>
        <v>API</v>
      </c>
    </row>
    <row r="308">
      <c r="A308" s="265" t="str">
        <f>IFERROR(__xludf.DUMMYFUNCTION("""COMPUTED_VALUE"""),"612")</f>
        <v>612</v>
      </c>
      <c r="B308" s="265" t="str">
        <f>IFERROR(__xludf.DUMMYFUNCTION("""COMPUTED_VALUE"""),"Hà Nội")</f>
        <v>Hà Nội</v>
      </c>
      <c r="C308" s="265" t="str">
        <f>IFERROR(__xludf.DUMMYFUNCTION("""COMPUTED_VALUE"""),"Locked")</f>
        <v>Locked</v>
      </c>
      <c r="D308" s="265" t="str">
        <f>IFERROR(__xludf.DUMMYFUNCTION("""COMPUTED_VALUE"""),"Sale chưa cung cấp")</f>
        <v>Sale chưa cung cấp</v>
      </c>
      <c r="E308" s="265" t="str">
        <f>IFERROR(__xludf.DUMMYFUNCTION("""COMPUTED_VALUE"""),"TùngLD")</f>
        <v>TùngLD</v>
      </c>
      <c r="F308" s="265" t="str">
        <f>IFERROR(__xludf.DUMMYFUNCTION("""COMPUTED_VALUE"""),"Sale chưa cung cấp")</f>
        <v>Sale chưa cung cấp</v>
      </c>
      <c r="G308" s="265" t="str">
        <f>IFERROR(__xludf.DUMMYFUNCTION("""COMPUTED_VALUE"""),"API")</f>
        <v>API</v>
      </c>
      <c r="H308" s="265" t="str">
        <f>IFERROR(__xludf.DUMMYFUNCTION("""COMPUTED_VALUE"""),"Trả sau")</f>
        <v>Trả sau</v>
      </c>
      <c r="I308" s="265" t="str">
        <f>IFERROR(__xludf.DUMMYFUNCTION("""COMPUTED_VALUE"""),"API")</f>
        <v>API</v>
      </c>
      <c r="J308" s="265" t="str">
        <f>IFERROR(__xludf.DUMMYFUNCTION("""COMPUTED_VALUE"""),"API")</f>
        <v>API</v>
      </c>
    </row>
    <row r="309">
      <c r="A309" s="265" t="str">
        <f>IFERROR(__xludf.DUMMYFUNCTION("""COMPUTED_VALUE"""),"610")</f>
        <v>610</v>
      </c>
      <c r="B309" s="265" t="str">
        <f>IFERROR(__xludf.DUMMYFUNCTION("""COMPUTED_VALUE"""),"Hà Nội")</f>
        <v>Hà Nội</v>
      </c>
      <c r="C309" s="265" t="str">
        <f>IFERROR(__xludf.DUMMYFUNCTION("""COMPUTED_VALUE"""),"Locked")</f>
        <v>Locked</v>
      </c>
      <c r="D309" s="265" t="str">
        <f>IFERROR(__xludf.DUMMYFUNCTION("""COMPUTED_VALUE"""),"Sale chưa cung cấp")</f>
        <v>Sale chưa cung cấp</v>
      </c>
      <c r="E309" s="265" t="str">
        <f>IFERROR(__xludf.DUMMYFUNCTION("""COMPUTED_VALUE"""),"TùngLD")</f>
        <v>TùngLD</v>
      </c>
      <c r="F309" s="265" t="str">
        <f>IFERROR(__xludf.DUMMYFUNCTION("""COMPUTED_VALUE"""),"Bronze")</f>
        <v>Bronze</v>
      </c>
      <c r="G309" s="265" t="str">
        <f>IFERROR(__xludf.DUMMYFUNCTION("""COMPUTED_VALUE"""),"Enterprise")</f>
        <v>Enterprise</v>
      </c>
      <c r="H309" s="265" t="str">
        <f>IFERROR(__xludf.DUMMYFUNCTION("""COMPUTED_VALUE"""),"Trả trước")</f>
        <v>Trả trước</v>
      </c>
      <c r="I309" s="265" t="str">
        <f>IFERROR(__xludf.DUMMYFUNCTION("""COMPUTED_VALUE"""),"Portal")</f>
        <v>Portal</v>
      </c>
      <c r="J309" s="265" t="str">
        <f>IFERROR(__xludf.DUMMYFUNCTION("""COMPUTED_VALUE"""),"Pancake")</f>
        <v>Pancake</v>
      </c>
    </row>
    <row r="310">
      <c r="A310" s="265" t="str">
        <f>IFERROR(__xludf.DUMMYFUNCTION("""COMPUTED_VALUE"""),"613")</f>
        <v>613</v>
      </c>
      <c r="B310" s="265" t="str">
        <f>IFERROR(__xludf.DUMMYFUNCTION("""COMPUTED_VALUE"""),"Sài Gòn")</f>
        <v>Sài Gòn</v>
      </c>
      <c r="C310" s="265" t="str">
        <f>IFERROR(__xludf.DUMMYFUNCTION("""COMPUTED_VALUE"""),"Locked")</f>
        <v>Locked</v>
      </c>
      <c r="D310" s="265" t="str">
        <f>IFERROR(__xludf.DUMMYFUNCTION("""COMPUTED_VALUE"""),"Sale chưa cung cấp")</f>
        <v>Sale chưa cung cấp</v>
      </c>
      <c r="E310" s="265" t="str">
        <f>IFERROR(__xludf.DUMMYFUNCTION("""COMPUTED_VALUE"""),"HoaNTM")</f>
        <v>HoaNTM</v>
      </c>
      <c r="F310" s="265" t="str">
        <f>IFERROR(__xludf.DUMMYFUNCTION("""COMPUTED_VALUE"""),"Sale chưa cung cấp")</f>
        <v>Sale chưa cung cấp</v>
      </c>
      <c r="G310" s="265" t="str">
        <f>IFERROR(__xludf.DUMMYFUNCTION("""COMPUTED_VALUE"""),"Enterprise")</f>
        <v>Enterprise</v>
      </c>
      <c r="H310" s="265" t="str">
        <f>IFERROR(__xludf.DUMMYFUNCTION("""COMPUTED_VALUE"""),"(Chưa recheck)")</f>
        <v>(Chưa recheck)</v>
      </c>
      <c r="I310" s="265" t="str">
        <f>IFERROR(__xludf.DUMMYFUNCTION("""COMPUTED_VALUE"""),"(Chưa recheck)")</f>
        <v>(Chưa recheck)</v>
      </c>
      <c r="J310" s="265" t="str">
        <f>IFERROR(__xludf.DUMMYFUNCTION("""COMPUTED_VALUE"""),"File Excel")</f>
        <v>File Excel</v>
      </c>
    </row>
    <row r="311">
      <c r="A311" s="265" t="str">
        <f>IFERROR(__xludf.DUMMYFUNCTION("""COMPUTED_VALUE"""),"613")</f>
        <v>613</v>
      </c>
      <c r="B311" s="265" t="str">
        <f>IFERROR(__xludf.DUMMYFUNCTION("""COMPUTED_VALUE"""),"Sài Gòn")</f>
        <v>Sài Gòn</v>
      </c>
      <c r="C311" s="265" t="str">
        <f>IFERROR(__xludf.DUMMYFUNCTION("""COMPUTED_VALUE"""),"Locked")</f>
        <v>Locked</v>
      </c>
      <c r="D311" s="265" t="str">
        <f>IFERROR(__xludf.DUMMYFUNCTION("""COMPUTED_VALUE"""),"Sale chưa cung cấp")</f>
        <v>Sale chưa cung cấp</v>
      </c>
      <c r="E311" s="265" t="str">
        <f>IFERROR(__xludf.DUMMYFUNCTION("""COMPUTED_VALUE"""),"HoaNTM")</f>
        <v>HoaNTM</v>
      </c>
      <c r="F311" s="265" t="str">
        <f>IFERROR(__xludf.DUMMYFUNCTION("""COMPUTED_VALUE"""),"Sale chưa cung cấp")</f>
        <v>Sale chưa cung cấp</v>
      </c>
      <c r="G311" s="265" t="str">
        <f>IFERROR(__xludf.DUMMYFUNCTION("""COMPUTED_VALUE"""),"Enterprise")</f>
        <v>Enterprise</v>
      </c>
      <c r="H311" s="265" t="str">
        <f>IFERROR(__xludf.DUMMYFUNCTION("""COMPUTED_VALUE"""),"(Chưa recheck)")</f>
        <v>(Chưa recheck)</v>
      </c>
      <c r="I311" s="265" t="str">
        <f>IFERROR(__xludf.DUMMYFUNCTION("""COMPUTED_VALUE"""),"(Chưa recheck)")</f>
        <v>(Chưa recheck)</v>
      </c>
      <c r="J311" s="265" t="str">
        <f>IFERROR(__xludf.DUMMYFUNCTION("""COMPUTED_VALUE"""),"API")</f>
        <v>API</v>
      </c>
    </row>
    <row r="312">
      <c r="A312" s="265" t="str">
        <f>IFERROR(__xludf.DUMMYFUNCTION("""COMPUTED_VALUE"""),"616")</f>
        <v>616</v>
      </c>
      <c r="B312" s="265" t="str">
        <f>IFERROR(__xludf.DUMMYFUNCTION("""COMPUTED_VALUE"""),"Hà Nội")</f>
        <v>Hà Nội</v>
      </c>
      <c r="C312" s="265" t="str">
        <f>IFERROR(__xludf.DUMMYFUNCTION("""COMPUTED_VALUE"""),"Locked")</f>
        <v>Locked</v>
      </c>
      <c r="D312" s="265" t="str">
        <f>IFERROR(__xludf.DUMMYFUNCTION("""COMPUTED_VALUE"""),"Sale chưa cung cấp")</f>
        <v>Sale chưa cung cấp</v>
      </c>
      <c r="E312" s="265" t="str">
        <f>IFERROR(__xludf.DUMMYFUNCTION("""COMPUTED_VALUE"""),"Không phân công")</f>
        <v>Không phân công</v>
      </c>
      <c r="F312" s="265" t="str">
        <f>IFERROR(__xludf.DUMMYFUNCTION("""COMPUTED_VALUE"""),"Bronze")</f>
        <v>Bronze</v>
      </c>
      <c r="G312" s="265" t="str">
        <f>IFERROR(__xludf.DUMMYFUNCTION("""COMPUTED_VALUE"""),"Enterprise")</f>
        <v>Enterprise</v>
      </c>
      <c r="H312" s="265" t="str">
        <f>IFERROR(__xludf.DUMMYFUNCTION("""COMPUTED_VALUE"""),"Trả sau")</f>
        <v>Trả sau</v>
      </c>
      <c r="I312" s="265" t="str">
        <f>IFERROR(__xludf.DUMMYFUNCTION("""COMPUTED_VALUE"""),"API &amp; Portal")</f>
        <v>API &amp; Portal</v>
      </c>
      <c r="J312" s="265" t="str">
        <f>IFERROR(__xludf.DUMMYFUNCTION("""COMPUTED_VALUE"""),"File Excel")</f>
        <v>File Excel</v>
      </c>
    </row>
    <row r="313">
      <c r="A313" s="265" t="str">
        <f>IFERROR(__xludf.DUMMYFUNCTION("""COMPUTED_VALUE"""),"615")</f>
        <v>615</v>
      </c>
      <c r="B313" s="265" t="str">
        <f>IFERROR(__xludf.DUMMYFUNCTION("""COMPUTED_VALUE"""),"Hà Nội")</f>
        <v>Hà Nội</v>
      </c>
      <c r="C313" s="265" t="str">
        <f>IFERROR(__xludf.DUMMYFUNCTION("""COMPUTED_VALUE"""),"Locked")</f>
        <v>Locked</v>
      </c>
      <c r="D313" s="265" t="str">
        <f>IFERROR(__xludf.DUMMYFUNCTION("""COMPUTED_VALUE"""),"Sale chưa cung cấp")</f>
        <v>Sale chưa cung cấp</v>
      </c>
      <c r="E313" s="265" t="str">
        <f>IFERROR(__xludf.DUMMYFUNCTION("""COMPUTED_VALUE"""),"PhươngDTB")</f>
        <v>PhươngDTB</v>
      </c>
      <c r="F313" s="265" t="str">
        <f>IFERROR(__xludf.DUMMYFUNCTION("""COMPUTED_VALUE"""),"Silver")</f>
        <v>Silver</v>
      </c>
      <c r="G313" s="265" t="str">
        <f>IFERROR(__xludf.DUMMYFUNCTION("""COMPUTED_VALUE"""),"Enterprise")</f>
        <v>Enterprise</v>
      </c>
      <c r="H313" s="265" t="str">
        <f>IFERROR(__xludf.DUMMYFUNCTION("""COMPUTED_VALUE"""),"(Chưa recheck)")</f>
        <v>(Chưa recheck)</v>
      </c>
      <c r="I313" s="265" t="str">
        <f>IFERROR(__xludf.DUMMYFUNCTION("""COMPUTED_VALUE"""),"(Chưa recheck)")</f>
        <v>(Chưa recheck)</v>
      </c>
      <c r="J313" s="265" t="str">
        <f>IFERROR(__xludf.DUMMYFUNCTION("""COMPUTED_VALUE"""),"File Excel")</f>
        <v>File Excel</v>
      </c>
    </row>
    <row r="314">
      <c r="A314" s="265" t="str">
        <f>IFERROR(__xludf.DUMMYFUNCTION("""COMPUTED_VALUE"""),"617")</f>
        <v>617</v>
      </c>
      <c r="B314" s="265" t="str">
        <f>IFERROR(__xludf.DUMMYFUNCTION("""COMPUTED_VALUE"""),"Sài Gòn")</f>
        <v>Sài Gòn</v>
      </c>
      <c r="C314" s="265" t="str">
        <f>IFERROR(__xludf.DUMMYFUNCTION("""COMPUTED_VALUE"""),"Locked")</f>
        <v>Locked</v>
      </c>
      <c r="D314" s="265" t="str">
        <f>IFERROR(__xludf.DUMMYFUNCTION("""COMPUTED_VALUE"""),"Sale chưa cung cấp")</f>
        <v>Sale chưa cung cấp</v>
      </c>
      <c r="E314" s="265" t="str">
        <f>IFERROR(__xludf.DUMMYFUNCTION("""COMPUTED_VALUE"""),"HoaNTM")</f>
        <v>HoaNTM</v>
      </c>
      <c r="F314" s="265" t="str">
        <f>IFERROR(__xludf.DUMMYFUNCTION("""COMPUTED_VALUE"""),"Diamond")</f>
        <v>Diamond</v>
      </c>
      <c r="G314" s="265" t="str">
        <f>IFERROR(__xludf.DUMMYFUNCTION("""COMPUTED_VALUE"""),"SIMILAR")</f>
        <v>SIMILAR</v>
      </c>
      <c r="H314" s="265" t="str">
        <f>IFERROR(__xludf.DUMMYFUNCTION("""COMPUTED_VALUE"""),"Trả sau")</f>
        <v>Trả sau</v>
      </c>
      <c r="I314" s="265" t="str">
        <f>IFERROR(__xludf.DUMMYFUNCTION("""COMPUTED_VALUE"""),"(Chưa recheck)")</f>
        <v>(Chưa recheck)</v>
      </c>
      <c r="J314" s="265" t="str">
        <f>IFERROR(__xludf.DUMMYFUNCTION("""COMPUTED_VALUE"""),"File Excel")</f>
        <v>File Excel</v>
      </c>
    </row>
    <row r="315">
      <c r="A315" s="265" t="str">
        <f>IFERROR(__xludf.DUMMYFUNCTION("""COMPUTED_VALUE"""),"608")</f>
        <v>608</v>
      </c>
      <c r="B315" s="265" t="str">
        <f>IFERROR(__xludf.DUMMYFUNCTION("""COMPUTED_VALUE"""),"Hà Nội")</f>
        <v>Hà Nội</v>
      </c>
      <c r="C315" s="265" t="str">
        <f>IFERROR(__xludf.DUMMYFUNCTION("""COMPUTED_VALUE"""),"Locked")</f>
        <v>Locked</v>
      </c>
      <c r="D315" s="265" t="str">
        <f>IFERROR(__xludf.DUMMYFUNCTION("""COMPUTED_VALUE"""),"Sale chưa cung cấp")</f>
        <v>Sale chưa cung cấp</v>
      </c>
      <c r="E315" s="265" t="str">
        <f>IFERROR(__xludf.DUMMYFUNCTION("""COMPUTED_VALUE"""),"TùngLD")</f>
        <v>TùngLD</v>
      </c>
      <c r="F315" s="265" t="str">
        <f>IFERROR(__xludf.DUMMYFUNCTION("""COMPUTED_VALUE"""),"Sale chưa cung cấp")</f>
        <v>Sale chưa cung cấp</v>
      </c>
      <c r="G315" s="265" t="str">
        <f>IFERROR(__xludf.DUMMYFUNCTION("""COMPUTED_VALUE"""),"API")</f>
        <v>API</v>
      </c>
      <c r="H315" s="265" t="str">
        <f>IFERROR(__xludf.DUMMYFUNCTION("""COMPUTED_VALUE"""),"Trial")</f>
        <v>Trial</v>
      </c>
      <c r="I315" s="265" t="str">
        <f>IFERROR(__xludf.DUMMYFUNCTION("""COMPUTED_VALUE"""),"API")</f>
        <v>API</v>
      </c>
      <c r="J315" s="265" t="str">
        <f>IFERROR(__xludf.DUMMYFUNCTION("""COMPUTED_VALUE"""),"API")</f>
        <v>API</v>
      </c>
    </row>
    <row r="316">
      <c r="A316" s="265" t="str">
        <f>IFERROR(__xludf.DUMMYFUNCTION("""COMPUTED_VALUE"""),"618")</f>
        <v>618</v>
      </c>
      <c r="B316" s="265" t="str">
        <f>IFERROR(__xludf.DUMMYFUNCTION("""COMPUTED_VALUE"""),"Hà Nội")</f>
        <v>Hà Nội</v>
      </c>
      <c r="C316" s="265" t="str">
        <f>IFERROR(__xludf.DUMMYFUNCTION("""COMPUTED_VALUE"""),"Active")</f>
        <v>Active</v>
      </c>
      <c r="D316" s="265" t="str">
        <f>IFERROR(__xludf.DUMMYFUNCTION("""COMPUTED_VALUE"""),"Sale chưa cung cấp")</f>
        <v>Sale chưa cung cấp</v>
      </c>
      <c r="E316" s="265" t="str">
        <f>IFERROR(__xludf.DUMMYFUNCTION("""COMPUTED_VALUE"""),"TúPHN")</f>
        <v>TúPHN</v>
      </c>
      <c r="F316" s="265" t="str">
        <f>IFERROR(__xludf.DUMMYFUNCTION("""COMPUTED_VALUE"""),"Gold")</f>
        <v>Gold</v>
      </c>
      <c r="G316" s="265" t="str">
        <f>IFERROR(__xludf.DUMMYFUNCTION("""COMPUTED_VALUE"""),"Premium")</f>
        <v>Premium</v>
      </c>
      <c r="H316" s="265" t="str">
        <f>IFERROR(__xludf.DUMMYFUNCTION("""COMPUTED_VALUE"""),"Trả sau")</f>
        <v>Trả sau</v>
      </c>
      <c r="I316" s="265" t="str">
        <f>IFERROR(__xludf.DUMMYFUNCTION("""COMPUTED_VALUE"""),"Portal")</f>
        <v>Portal</v>
      </c>
      <c r="J316" s="265" t="str">
        <f>IFERROR(__xludf.DUMMYFUNCTION("""COMPUTED_VALUE"""),"File Excel")</f>
        <v>File Excel</v>
      </c>
    </row>
    <row r="317">
      <c r="A317" s="265" t="str">
        <f>IFERROR(__xludf.DUMMYFUNCTION("""COMPUTED_VALUE"""),"619")</f>
        <v>619</v>
      </c>
      <c r="B317" s="265" t="str">
        <f>IFERROR(__xludf.DUMMYFUNCTION("""COMPUTED_VALUE"""),"Sài Gòn")</f>
        <v>Sài Gòn</v>
      </c>
      <c r="C317" s="265" t="str">
        <f>IFERROR(__xludf.DUMMYFUNCTION("""COMPUTED_VALUE"""),"Locked")</f>
        <v>Locked</v>
      </c>
      <c r="D317" s="265" t="str">
        <f>IFERROR(__xludf.DUMMYFUNCTION("""COMPUTED_VALUE"""),"Sale chưa cung cấp")</f>
        <v>Sale chưa cung cấp</v>
      </c>
      <c r="E317" s="265" t="str">
        <f>IFERROR(__xludf.DUMMYFUNCTION("""COMPUTED_VALUE"""),"HoaNTM")</f>
        <v>HoaNTM</v>
      </c>
      <c r="F317" s="265" t="str">
        <f>IFERROR(__xludf.DUMMYFUNCTION("""COMPUTED_VALUE"""),"Sale chưa cung cấp")</f>
        <v>Sale chưa cung cấp</v>
      </c>
      <c r="G317" s="265" t="str">
        <f>IFERROR(__xludf.DUMMYFUNCTION("""COMPUTED_VALUE"""),"MSG")</f>
        <v>MSG</v>
      </c>
      <c r="H317" s="265" t="str">
        <f>IFERROR(__xludf.DUMMYFUNCTION("""COMPUTED_VALUE"""),"(Chưa recheck)")</f>
        <v>(Chưa recheck)</v>
      </c>
      <c r="I317" s="265" t="str">
        <f>IFERROR(__xludf.DUMMYFUNCTION("""COMPUTED_VALUE"""),"(Chưa recheck)")</f>
        <v>(Chưa recheck)</v>
      </c>
      <c r="J317" s="265" t="str">
        <f>IFERROR(__xludf.DUMMYFUNCTION("""COMPUTED_VALUE"""),"File Excel")</f>
        <v>File Excel</v>
      </c>
    </row>
    <row r="318">
      <c r="A318" s="265" t="str">
        <f>IFERROR(__xludf.DUMMYFUNCTION("""COMPUTED_VALUE"""),"621")</f>
        <v>621</v>
      </c>
      <c r="B318" s="265" t="str">
        <f>IFERROR(__xludf.DUMMYFUNCTION("""COMPUTED_VALUE"""),"Sài Gòn")</f>
        <v>Sài Gòn</v>
      </c>
      <c r="C318" s="265" t="str">
        <f>IFERROR(__xludf.DUMMYFUNCTION("""COMPUTED_VALUE"""),"Active")</f>
        <v>Active</v>
      </c>
      <c r="D318" s="265" t="str">
        <f>IFERROR(__xludf.DUMMYFUNCTION("""COMPUTED_VALUE"""),"Sale chưa cung cấp")</f>
        <v>Sale chưa cung cấp</v>
      </c>
      <c r="E318" s="265" t="str">
        <f>IFERROR(__xludf.DUMMYFUNCTION("""COMPUTED_VALUE"""),"TúPHN")</f>
        <v>TúPHN</v>
      </c>
      <c r="F318" s="265" t="str">
        <f>IFERROR(__xludf.DUMMYFUNCTION("""COMPUTED_VALUE"""),"Bronze")</f>
        <v>Bronze</v>
      </c>
      <c r="G318" s="265" t="str">
        <f>IFERROR(__xludf.DUMMYFUNCTION("""COMPUTED_VALUE"""),"Enterprise")</f>
        <v>Enterprise</v>
      </c>
      <c r="H318" s="265" t="str">
        <f>IFERROR(__xludf.DUMMYFUNCTION("""COMPUTED_VALUE"""),"Trả trước")</f>
        <v>Trả trước</v>
      </c>
      <c r="I318" s="265" t="str">
        <f>IFERROR(__xludf.DUMMYFUNCTION("""COMPUTED_VALUE"""),"Portal")</f>
        <v>Portal</v>
      </c>
      <c r="J318" s="265" t="str">
        <f>IFERROR(__xludf.DUMMYFUNCTION("""COMPUTED_VALUE"""),"File Excel")</f>
        <v>File Excel</v>
      </c>
    </row>
    <row r="319">
      <c r="A319" s="265" t="str">
        <f>IFERROR(__xludf.DUMMYFUNCTION("""COMPUTED_VALUE"""),"622")</f>
        <v>622</v>
      </c>
      <c r="B319" s="265" t="str">
        <f>IFERROR(__xludf.DUMMYFUNCTION("""COMPUTED_VALUE"""),"Hà Nội")</f>
        <v>Hà Nội</v>
      </c>
      <c r="C319" s="265" t="str">
        <f>IFERROR(__xludf.DUMMYFUNCTION("""COMPUTED_VALUE"""),"Locked")</f>
        <v>Locked</v>
      </c>
      <c r="D319" s="265" t="str">
        <f>IFERROR(__xludf.DUMMYFUNCTION("""COMPUTED_VALUE"""),"Sale chưa cung cấp")</f>
        <v>Sale chưa cung cấp</v>
      </c>
      <c r="E319" s="265" t="str">
        <f>IFERROR(__xludf.DUMMYFUNCTION("""COMPUTED_VALUE"""),"AnhNP")</f>
        <v>AnhNP</v>
      </c>
      <c r="F319" s="265" t="str">
        <f>IFERROR(__xludf.DUMMYFUNCTION("""COMPUTED_VALUE"""),"Sale chưa cung cấp")</f>
        <v>Sale chưa cung cấp</v>
      </c>
      <c r="G319" s="265" t="str">
        <f>IFERROR(__xludf.DUMMYFUNCTION("""COMPUTED_VALUE"""),"MSG")</f>
        <v>MSG</v>
      </c>
      <c r="H319" s="265" t="str">
        <f>IFERROR(__xludf.DUMMYFUNCTION("""COMPUTED_VALUE"""),"(Chưa recheck)")</f>
        <v>(Chưa recheck)</v>
      </c>
      <c r="I319" s="265" t="str">
        <f>IFERROR(__xludf.DUMMYFUNCTION("""COMPUTED_VALUE"""),"Portal")</f>
        <v>Portal</v>
      </c>
      <c r="J319" s="265" t="str">
        <f>IFERROR(__xludf.DUMMYFUNCTION("""COMPUTED_VALUE"""),"File Excel")</f>
        <v>File Excel</v>
      </c>
    </row>
    <row r="320">
      <c r="A320" s="265" t="str">
        <f>IFERROR(__xludf.DUMMYFUNCTION("""COMPUTED_VALUE"""),"620")</f>
        <v>620</v>
      </c>
      <c r="B320" s="265" t="str">
        <f>IFERROR(__xludf.DUMMYFUNCTION("""COMPUTED_VALUE"""),"Hà Nội")</f>
        <v>Hà Nội</v>
      </c>
      <c r="C320" s="265" t="str">
        <f>IFERROR(__xludf.DUMMYFUNCTION("""COMPUTED_VALUE"""),"Locked")</f>
        <v>Locked</v>
      </c>
      <c r="D320" s="265" t="str">
        <f>IFERROR(__xludf.DUMMYFUNCTION("""COMPUTED_VALUE"""),"Sale chưa cung cấp")</f>
        <v>Sale chưa cung cấp</v>
      </c>
      <c r="E320" s="265" t="str">
        <f>IFERROR(__xludf.DUMMYFUNCTION("""COMPUTED_VALUE"""),"TùngLD")</f>
        <v>TùngLD</v>
      </c>
      <c r="F320" s="265" t="str">
        <f>IFERROR(__xludf.DUMMYFUNCTION("""COMPUTED_VALUE"""),"Sale chưa cung cấp")</f>
        <v>Sale chưa cung cấp</v>
      </c>
      <c r="G320" s="265" t="str">
        <f>IFERROR(__xludf.DUMMYFUNCTION("""COMPUTED_VALUE"""),"SIMILAR")</f>
        <v>SIMILAR</v>
      </c>
      <c r="H320" s="265" t="str">
        <f>IFERROR(__xludf.DUMMYFUNCTION("""COMPUTED_VALUE"""),"(Chưa recheck)")</f>
        <v>(Chưa recheck)</v>
      </c>
      <c r="I320" s="265" t="str">
        <f>IFERROR(__xludf.DUMMYFUNCTION("""COMPUTED_VALUE"""),"Portal")</f>
        <v>Portal</v>
      </c>
      <c r="J320" s="265" t="str">
        <f>IFERROR(__xludf.DUMMYFUNCTION("""COMPUTED_VALUE"""),"File Excel")</f>
        <v>File Excel</v>
      </c>
    </row>
    <row r="321">
      <c r="A321" s="265" t="str">
        <f>IFERROR(__xludf.DUMMYFUNCTION("""COMPUTED_VALUE"""),"623")</f>
        <v>623</v>
      </c>
      <c r="B321" s="265" t="str">
        <f>IFERROR(__xludf.DUMMYFUNCTION("""COMPUTED_VALUE"""),"Sài Gòn")</f>
        <v>Sài Gòn</v>
      </c>
      <c r="C321" s="265" t="str">
        <f>IFERROR(__xludf.DUMMYFUNCTION("""COMPUTED_VALUE"""),"Locked")</f>
        <v>Locked</v>
      </c>
      <c r="D321" s="265" t="str">
        <f>IFERROR(__xludf.DUMMYFUNCTION("""COMPUTED_VALUE"""),"Sale chưa cung cấp")</f>
        <v>Sale chưa cung cấp</v>
      </c>
      <c r="E321" s="265" t="str">
        <f>IFERROR(__xludf.DUMMYFUNCTION("""COMPUTED_VALUE"""),"HoaNTM")</f>
        <v>HoaNTM</v>
      </c>
      <c r="F321" s="265" t="str">
        <f>IFERROR(__xludf.DUMMYFUNCTION("""COMPUTED_VALUE"""),"Sale chưa cung cấp")</f>
        <v>Sale chưa cung cấp</v>
      </c>
      <c r="G321" s="265" t="str">
        <f>IFERROR(__xludf.DUMMYFUNCTION("""COMPUTED_VALUE"""),"MSG")</f>
        <v>MSG</v>
      </c>
      <c r="H321" s="265" t="str">
        <f>IFERROR(__xludf.DUMMYFUNCTION("""COMPUTED_VALUE"""),"Trả sau")</f>
        <v>Trả sau</v>
      </c>
      <c r="I321" s="265" t="str">
        <f>IFERROR(__xludf.DUMMYFUNCTION("""COMPUTED_VALUE"""),"(Chưa recheck)")</f>
        <v>(Chưa recheck)</v>
      </c>
      <c r="J321" s="265" t="str">
        <f>IFERROR(__xludf.DUMMYFUNCTION("""COMPUTED_VALUE"""),"File Excel")</f>
        <v>File Excel</v>
      </c>
    </row>
    <row r="322">
      <c r="A322" s="265" t="str">
        <f>IFERROR(__xludf.DUMMYFUNCTION("""COMPUTED_VALUE"""),"624")</f>
        <v>624</v>
      </c>
      <c r="B322" s="265" t="str">
        <f>IFERROR(__xludf.DUMMYFUNCTION("""COMPUTED_VALUE"""),"Sài Gòn")</f>
        <v>Sài Gòn</v>
      </c>
      <c r="C322" s="265" t="str">
        <f>IFERROR(__xludf.DUMMYFUNCTION("""COMPUTED_VALUE"""),"Locked")</f>
        <v>Locked</v>
      </c>
      <c r="D322" s="265" t="str">
        <f>IFERROR(__xludf.DUMMYFUNCTION("""COMPUTED_VALUE"""),"Sale chưa cung cấp")</f>
        <v>Sale chưa cung cấp</v>
      </c>
      <c r="E322" s="265" t="str">
        <f>IFERROR(__xludf.DUMMYFUNCTION("""COMPUTED_VALUE"""),"TuVTC")</f>
        <v>TuVTC</v>
      </c>
      <c r="F322" s="265" t="str">
        <f>IFERROR(__xludf.DUMMYFUNCTION("""COMPUTED_VALUE"""),"Sale chưa cung cấp")</f>
        <v>Sale chưa cung cấp</v>
      </c>
      <c r="G322" s="265" t="str">
        <f>IFERROR(__xludf.DUMMYFUNCTION("""COMPUTED_VALUE"""),"MSG")</f>
        <v>MSG</v>
      </c>
      <c r="H322" s="265" t="str">
        <f>IFERROR(__xludf.DUMMYFUNCTION("""COMPUTED_VALUE"""),"(Chưa recheck)")</f>
        <v>(Chưa recheck)</v>
      </c>
      <c r="I322" s="265" t="str">
        <f>IFERROR(__xludf.DUMMYFUNCTION("""COMPUTED_VALUE"""),"(Chưa recheck)")</f>
        <v>(Chưa recheck)</v>
      </c>
      <c r="J322" s="265" t="str">
        <f>IFERROR(__xludf.DUMMYFUNCTION("""COMPUTED_VALUE"""),"File Excel")</f>
        <v>File Excel</v>
      </c>
    </row>
    <row r="323">
      <c r="A323" s="265" t="str">
        <f>IFERROR(__xludf.DUMMYFUNCTION("""COMPUTED_VALUE"""),"625")</f>
        <v>625</v>
      </c>
      <c r="B323" s="265" t="str">
        <f>IFERROR(__xludf.DUMMYFUNCTION("""COMPUTED_VALUE"""),"Sài Gòn")</f>
        <v>Sài Gòn</v>
      </c>
      <c r="C323" s="265" t="str">
        <f>IFERROR(__xludf.DUMMYFUNCTION("""COMPUTED_VALUE"""),"Active")</f>
        <v>Active</v>
      </c>
      <c r="D323" s="265" t="str">
        <f>IFERROR(__xludf.DUMMYFUNCTION("""COMPUTED_VALUE"""),"Sale chưa cung cấp")</f>
        <v>Sale chưa cung cấp</v>
      </c>
      <c r="E323" s="265" t="str">
        <f>IFERROR(__xludf.DUMMYFUNCTION("""COMPUTED_VALUE"""),"TúPHN")</f>
        <v>TúPHN</v>
      </c>
      <c r="F323" s="265" t="str">
        <f>IFERROR(__xludf.DUMMYFUNCTION("""COMPUTED_VALUE"""),"Gold")</f>
        <v>Gold</v>
      </c>
      <c r="G323" s="265" t="str">
        <f>IFERROR(__xludf.DUMMYFUNCTION("""COMPUTED_VALUE"""),"GAPONE HUBSPOT")</f>
        <v>GAPONE HUBSPOT</v>
      </c>
      <c r="H323" s="265" t="str">
        <f>IFERROR(__xludf.DUMMYFUNCTION("""COMPUTED_VALUE"""),"Trả sau")</f>
        <v>Trả sau</v>
      </c>
      <c r="I323" s="265" t="str">
        <f>IFERROR(__xludf.DUMMYFUNCTION("""COMPUTED_VALUE"""),"API")</f>
        <v>API</v>
      </c>
      <c r="J323" s="265" t="str">
        <f>IFERROR(__xludf.DUMMYFUNCTION("""COMPUTED_VALUE"""),"HubSpot")</f>
        <v>HubSpot</v>
      </c>
    </row>
    <row r="324">
      <c r="A324" s="265" t="str">
        <f>IFERROR(__xludf.DUMMYFUNCTION("""COMPUTED_VALUE"""),"626")</f>
        <v>626</v>
      </c>
      <c r="B324" s="265" t="str">
        <f>IFERROR(__xludf.DUMMYFUNCTION("""COMPUTED_VALUE"""),"Hà Nội")</f>
        <v>Hà Nội</v>
      </c>
      <c r="C324" s="265" t="str">
        <f>IFERROR(__xludf.DUMMYFUNCTION("""COMPUTED_VALUE"""),"Locked")</f>
        <v>Locked</v>
      </c>
      <c r="D324" s="265" t="str">
        <f>IFERROR(__xludf.DUMMYFUNCTION("""COMPUTED_VALUE"""),"Sale chưa cung cấp")</f>
        <v>Sale chưa cung cấp</v>
      </c>
      <c r="E324" s="265" t="str">
        <f>IFERROR(__xludf.DUMMYFUNCTION("""COMPUTED_VALUE"""),"TùngLD")</f>
        <v>TùngLD</v>
      </c>
      <c r="F324" s="265" t="str">
        <f>IFERROR(__xludf.DUMMYFUNCTION("""COMPUTED_VALUE"""),"Sale chưa cung cấp")</f>
        <v>Sale chưa cung cấp</v>
      </c>
      <c r="G324" s="265" t="str">
        <f>IFERROR(__xludf.DUMMYFUNCTION("""COMPUTED_VALUE"""),"Enterprise")</f>
        <v>Enterprise</v>
      </c>
      <c r="H324" s="265" t="str">
        <f>IFERROR(__xludf.DUMMYFUNCTION("""COMPUTED_VALUE"""),"Trial")</f>
        <v>Trial</v>
      </c>
      <c r="I324" s="265" t="str">
        <f>IFERROR(__xludf.DUMMYFUNCTION("""COMPUTED_VALUE"""),"Portal")</f>
        <v>Portal</v>
      </c>
      <c r="J324" s="265" t="str">
        <f>IFERROR(__xludf.DUMMYFUNCTION("""COMPUTED_VALUE"""),"(Không recheck)")</f>
        <v>(Không recheck)</v>
      </c>
    </row>
    <row r="325">
      <c r="A325" s="265" t="str">
        <f>IFERROR(__xludf.DUMMYFUNCTION("""COMPUTED_VALUE"""),"627")</f>
        <v>627</v>
      </c>
      <c r="B325" s="265" t="str">
        <f>IFERROR(__xludf.DUMMYFUNCTION("""COMPUTED_VALUE"""),"Sài Gòn")</f>
        <v>Sài Gòn</v>
      </c>
      <c r="C325" s="265" t="str">
        <f>IFERROR(__xludf.DUMMYFUNCTION("""COMPUTED_VALUE"""),"Active")</f>
        <v>Active</v>
      </c>
      <c r="D325" s="265" t="str">
        <f>IFERROR(__xludf.DUMMYFUNCTION("""COMPUTED_VALUE"""),"Sale chưa cung cấp")</f>
        <v>Sale chưa cung cấp</v>
      </c>
      <c r="E325" s="265" t="str">
        <f>IFERROR(__xludf.DUMMYFUNCTION("""COMPUTED_VALUE"""),"TùngLD")</f>
        <v>TùngLD</v>
      </c>
      <c r="F325" s="265" t="str">
        <f>IFERROR(__xludf.DUMMYFUNCTION("""COMPUTED_VALUE"""),"Bronze")</f>
        <v>Bronze</v>
      </c>
      <c r="G325" s="265" t="str">
        <f>IFERROR(__xludf.DUMMYFUNCTION("""COMPUTED_VALUE"""),"Starter")</f>
        <v>Starter</v>
      </c>
      <c r="H325" s="265" t="str">
        <f>IFERROR(__xludf.DUMMYFUNCTION("""COMPUTED_VALUE"""),"Trả sau")</f>
        <v>Trả sau</v>
      </c>
      <c r="I325" s="265" t="str">
        <f>IFERROR(__xludf.DUMMYFUNCTION("""COMPUTED_VALUE"""),"API &amp; Portal")</f>
        <v>API &amp; Portal</v>
      </c>
      <c r="J325" s="265" t="str">
        <f>IFERROR(__xludf.DUMMYFUNCTION("""COMPUTED_VALUE"""),"File Excel")</f>
        <v>File Excel</v>
      </c>
    </row>
    <row r="326">
      <c r="A326" s="265" t="str">
        <f>IFERROR(__xludf.DUMMYFUNCTION("""COMPUTED_VALUE"""),"627")</f>
        <v>627</v>
      </c>
      <c r="B326" s="265" t="str">
        <f>IFERROR(__xludf.DUMMYFUNCTION("""COMPUTED_VALUE"""),"Sài Gòn")</f>
        <v>Sài Gòn</v>
      </c>
      <c r="C326" s="265" t="str">
        <f>IFERROR(__xludf.DUMMYFUNCTION("""COMPUTED_VALUE"""),"Active")</f>
        <v>Active</v>
      </c>
      <c r="D326" s="265" t="str">
        <f>IFERROR(__xludf.DUMMYFUNCTION("""COMPUTED_VALUE"""),"Sale chưa cung cấp")</f>
        <v>Sale chưa cung cấp</v>
      </c>
      <c r="E326" s="265" t="str">
        <f>IFERROR(__xludf.DUMMYFUNCTION("""COMPUTED_VALUE"""),"TùngLD")</f>
        <v>TùngLD</v>
      </c>
      <c r="F326" s="265" t="str">
        <f>IFERROR(__xludf.DUMMYFUNCTION("""COMPUTED_VALUE"""),"Bronze")</f>
        <v>Bronze</v>
      </c>
      <c r="G326" s="265" t="str">
        <f>IFERROR(__xludf.DUMMYFUNCTION("""COMPUTED_VALUE"""),"Starter")</f>
        <v>Starter</v>
      </c>
      <c r="H326" s="265" t="str">
        <f>IFERROR(__xludf.DUMMYFUNCTION("""COMPUTED_VALUE"""),"Trả sau")</f>
        <v>Trả sau</v>
      </c>
      <c r="I326" s="265" t="str">
        <f>IFERROR(__xludf.DUMMYFUNCTION("""COMPUTED_VALUE"""),"API &amp; Portal")</f>
        <v>API &amp; Portal</v>
      </c>
      <c r="J326" s="265" t="str">
        <f>IFERROR(__xludf.DUMMYFUNCTION("""COMPUTED_VALUE"""),"API")</f>
        <v>API</v>
      </c>
    </row>
    <row r="327">
      <c r="A327" s="265" t="str">
        <f>IFERROR(__xludf.DUMMYFUNCTION("""COMPUTED_VALUE"""),"628")</f>
        <v>628</v>
      </c>
      <c r="B327" s="265" t="str">
        <f>IFERROR(__xludf.DUMMYFUNCTION("""COMPUTED_VALUE"""),"Hà Nội")</f>
        <v>Hà Nội</v>
      </c>
      <c r="C327" s="265" t="str">
        <f>IFERROR(__xludf.DUMMYFUNCTION("""COMPUTED_VALUE"""),"Locked")</f>
        <v>Locked</v>
      </c>
      <c r="D327" s="265" t="str">
        <f>IFERROR(__xludf.DUMMYFUNCTION("""COMPUTED_VALUE"""),"Bảo hiểm")</f>
        <v>Bảo hiểm</v>
      </c>
      <c r="E327" s="265" t="str">
        <f>IFERROR(__xludf.DUMMYFUNCTION("""COMPUTED_VALUE"""),"TùngLD")</f>
        <v>TùngLD</v>
      </c>
      <c r="F327" s="265" t="str">
        <f>IFERROR(__xludf.DUMMYFUNCTION("""COMPUTED_VALUE"""),"Diamond")</f>
        <v>Diamond</v>
      </c>
      <c r="G327" s="265" t="str">
        <f>IFERROR(__xludf.DUMMYFUNCTION("""COMPUTED_VALUE"""),"Starter")</f>
        <v>Starter</v>
      </c>
      <c r="H327" s="265" t="str">
        <f>IFERROR(__xludf.DUMMYFUNCTION("""COMPUTED_VALUE"""),"Trả sau")</f>
        <v>Trả sau</v>
      </c>
      <c r="I327" s="265" t="str">
        <f>IFERROR(__xludf.DUMMYFUNCTION("""COMPUTED_VALUE"""),"API")</f>
        <v>API</v>
      </c>
      <c r="J327" s="265" t="str">
        <f>IFERROR(__xludf.DUMMYFUNCTION("""COMPUTED_VALUE"""),"API")</f>
        <v>API</v>
      </c>
    </row>
    <row r="328">
      <c r="A328" s="265" t="str">
        <f>IFERROR(__xludf.DUMMYFUNCTION("""COMPUTED_VALUE"""),"349")</f>
        <v>349</v>
      </c>
      <c r="B328" s="265" t="str">
        <f>IFERROR(__xludf.DUMMYFUNCTION("""COMPUTED_VALUE"""),"Hà Nội")</f>
        <v>Hà Nội</v>
      </c>
      <c r="C328" s="265" t="str">
        <f>IFERROR(__xludf.DUMMYFUNCTION("""COMPUTED_VALUE"""),"Locked")</f>
        <v>Locked</v>
      </c>
      <c r="D328" s="265" t="str">
        <f>IFERROR(__xludf.DUMMYFUNCTION("""COMPUTED_VALUE"""),"Sale chưa cung cấp")</f>
        <v>Sale chưa cung cấp</v>
      </c>
      <c r="E328" s="265" t="str">
        <f>IFERROR(__xludf.DUMMYFUNCTION("""COMPUTED_VALUE"""),"TúPHN")</f>
        <v>TúPHN</v>
      </c>
      <c r="F328" s="265" t="str">
        <f>IFERROR(__xludf.DUMMYFUNCTION("""COMPUTED_VALUE"""),"Bronze")</f>
        <v>Bronze</v>
      </c>
      <c r="G328" s="265" t="str">
        <f>IFERROR(__xludf.DUMMYFUNCTION("""COMPUTED_VALUE"""),"Starter")</f>
        <v>Starter</v>
      </c>
      <c r="H328" s="265" t="str">
        <f>IFERROR(__xludf.DUMMYFUNCTION("""COMPUTED_VALUE"""),"Trả trước")</f>
        <v>Trả trước</v>
      </c>
      <c r="I328" s="265" t="str">
        <f>IFERROR(__xludf.DUMMYFUNCTION("""COMPUTED_VALUE"""),"Portal")</f>
        <v>Portal</v>
      </c>
      <c r="J328" s="265" t="str">
        <f>IFERROR(__xludf.DUMMYFUNCTION("""COMPUTED_VALUE"""),"File Excel")</f>
        <v>File Excel</v>
      </c>
    </row>
    <row r="329">
      <c r="A329" s="265" t="str">
        <f>IFERROR(__xludf.DUMMYFUNCTION("""COMPUTED_VALUE"""),"629")</f>
        <v>629</v>
      </c>
      <c r="B329" s="265" t="str">
        <f>IFERROR(__xludf.DUMMYFUNCTION("""COMPUTED_VALUE"""),"Hà Nội")</f>
        <v>Hà Nội</v>
      </c>
      <c r="C329" s="265" t="str">
        <f>IFERROR(__xludf.DUMMYFUNCTION("""COMPUTED_VALUE"""),"Active")</f>
        <v>Active</v>
      </c>
      <c r="D329" s="265" t="str">
        <f>IFERROR(__xludf.DUMMYFUNCTION("""COMPUTED_VALUE"""),"Sale chưa cung cấp")</f>
        <v>Sale chưa cung cấp</v>
      </c>
      <c r="E329" s="265" t="str">
        <f>IFERROR(__xludf.DUMMYFUNCTION("""COMPUTED_VALUE"""),"Không phân công")</f>
        <v>Không phân công</v>
      </c>
      <c r="F329" s="265" t="str">
        <f>IFERROR(__xludf.DUMMYFUNCTION("""COMPUTED_VALUE"""),"Bronze")</f>
        <v>Bronze</v>
      </c>
      <c r="G329" s="265" t="str">
        <f>IFERROR(__xludf.DUMMYFUNCTION("""COMPUTED_VALUE"""),"Starter")</f>
        <v>Starter</v>
      </c>
      <c r="H329" s="265" t="str">
        <f>IFERROR(__xludf.DUMMYFUNCTION("""COMPUTED_VALUE"""),"Trả sau")</f>
        <v>Trả sau</v>
      </c>
      <c r="I329" s="265" t="str">
        <f>IFERROR(__xludf.DUMMYFUNCTION("""COMPUTED_VALUE"""),"API")</f>
        <v>API</v>
      </c>
      <c r="J329" s="265" t="str">
        <f>IFERROR(__xludf.DUMMYFUNCTION("""COMPUTED_VALUE"""),"API")</f>
        <v>API</v>
      </c>
    </row>
    <row r="330">
      <c r="A330" s="265" t="str">
        <f>IFERROR(__xludf.DUMMYFUNCTION("""COMPUTED_VALUE"""),"631")</f>
        <v>631</v>
      </c>
      <c r="B330" s="265" t="str">
        <f>IFERROR(__xludf.DUMMYFUNCTION("""COMPUTED_VALUE"""),"Sài Gòn")</f>
        <v>Sài Gòn</v>
      </c>
      <c r="C330" s="265" t="str">
        <f>IFERROR(__xludf.DUMMYFUNCTION("""COMPUTED_VALUE"""),"Active")</f>
        <v>Active</v>
      </c>
      <c r="D330" s="265" t="str">
        <f>IFERROR(__xludf.DUMMYFUNCTION("""COMPUTED_VALUE"""),"Sale chưa cung cấp")</f>
        <v>Sale chưa cung cấp</v>
      </c>
      <c r="E330" s="265" t="str">
        <f>IFERROR(__xludf.DUMMYFUNCTION("""COMPUTED_VALUE"""),"AnhNM")</f>
        <v>AnhNM</v>
      </c>
      <c r="F330" s="265" t="str">
        <f>IFERROR(__xludf.DUMMYFUNCTION("""COMPUTED_VALUE"""),"Diamond")</f>
        <v>Diamond</v>
      </c>
      <c r="G330" s="265" t="str">
        <f>IFERROR(__xludf.DUMMYFUNCTION("""COMPUTED_VALUE"""),"Enterprise")</f>
        <v>Enterprise</v>
      </c>
      <c r="H330" s="265" t="str">
        <f>IFERROR(__xludf.DUMMYFUNCTION("""COMPUTED_VALUE"""),"Trả sau")</f>
        <v>Trả sau</v>
      </c>
      <c r="I330" s="265" t="str">
        <f>IFERROR(__xludf.DUMMYFUNCTION("""COMPUTED_VALUE"""),"API")</f>
        <v>API</v>
      </c>
      <c r="J330" s="265" t="str">
        <f>IFERROR(__xludf.DUMMYFUNCTION("""COMPUTED_VALUE"""),"File Excel")</f>
        <v>File Excel</v>
      </c>
    </row>
    <row r="331">
      <c r="A331" s="265" t="str">
        <f>IFERROR(__xludf.DUMMYFUNCTION("""COMPUTED_VALUE"""),"631")</f>
        <v>631</v>
      </c>
      <c r="B331" s="265" t="str">
        <f>IFERROR(__xludf.DUMMYFUNCTION("""COMPUTED_VALUE"""),"Sài Gòn")</f>
        <v>Sài Gòn</v>
      </c>
      <c r="C331" s="265" t="str">
        <f>IFERROR(__xludf.DUMMYFUNCTION("""COMPUTED_VALUE"""),"Active")</f>
        <v>Active</v>
      </c>
      <c r="D331" s="265" t="str">
        <f>IFERROR(__xludf.DUMMYFUNCTION("""COMPUTED_VALUE"""),"Sale chưa cung cấp")</f>
        <v>Sale chưa cung cấp</v>
      </c>
      <c r="E331" s="265" t="str">
        <f>IFERROR(__xludf.DUMMYFUNCTION("""COMPUTED_VALUE"""),"AnhNM")</f>
        <v>AnhNM</v>
      </c>
      <c r="F331" s="265" t="str">
        <f>IFERROR(__xludf.DUMMYFUNCTION("""COMPUTED_VALUE"""),"Diamond")</f>
        <v>Diamond</v>
      </c>
      <c r="G331" s="265" t="str">
        <f>IFERROR(__xludf.DUMMYFUNCTION("""COMPUTED_VALUE"""),"Enterprise")</f>
        <v>Enterprise</v>
      </c>
      <c r="H331" s="265" t="str">
        <f>IFERROR(__xludf.DUMMYFUNCTION("""COMPUTED_VALUE"""),"Trả sau")</f>
        <v>Trả sau</v>
      </c>
      <c r="I331" s="265" t="str">
        <f>IFERROR(__xludf.DUMMYFUNCTION("""COMPUTED_VALUE"""),"API")</f>
        <v>API</v>
      </c>
      <c r="J331" s="265" t="str">
        <f>IFERROR(__xludf.DUMMYFUNCTION("""COMPUTED_VALUE"""),"API")</f>
        <v>API</v>
      </c>
    </row>
    <row r="332">
      <c r="A332" s="265" t="str">
        <f>IFERROR(__xludf.DUMMYFUNCTION("""COMPUTED_VALUE"""),"630")</f>
        <v>630</v>
      </c>
      <c r="B332" s="265" t="str">
        <f>IFERROR(__xludf.DUMMYFUNCTION("""COMPUTED_VALUE"""),"Hà Nội")</f>
        <v>Hà Nội</v>
      </c>
      <c r="C332" s="265" t="str">
        <f>IFERROR(__xludf.DUMMYFUNCTION("""COMPUTED_VALUE"""),"Active")</f>
        <v>Active</v>
      </c>
      <c r="D332" s="265" t="str">
        <f>IFERROR(__xludf.DUMMYFUNCTION("""COMPUTED_VALUE"""),"Sale chưa cung cấp")</f>
        <v>Sale chưa cung cấp</v>
      </c>
      <c r="E332" s="265" t="str">
        <f>IFERROR(__xludf.DUMMYFUNCTION("""COMPUTED_VALUE"""),"TúPHN")</f>
        <v>TúPHN</v>
      </c>
      <c r="F332" s="265" t="str">
        <f>IFERROR(__xludf.DUMMYFUNCTION("""COMPUTED_VALUE"""),"Gold")</f>
        <v>Gold</v>
      </c>
      <c r="G332" s="265" t="str">
        <f>IFERROR(__xludf.DUMMYFUNCTION("""COMPUTED_VALUE"""),"Starter")</f>
        <v>Starter</v>
      </c>
      <c r="H332" s="265" t="str">
        <f>IFERROR(__xludf.DUMMYFUNCTION("""COMPUTED_VALUE"""),"Trả sau")</f>
        <v>Trả sau</v>
      </c>
      <c r="I332" s="265" t="str">
        <f>IFERROR(__xludf.DUMMYFUNCTION("""COMPUTED_VALUE"""),"API")</f>
        <v>API</v>
      </c>
      <c r="J332" s="265" t="str">
        <f>IFERROR(__xludf.DUMMYFUNCTION("""COMPUTED_VALUE"""),"API")</f>
        <v>API</v>
      </c>
    </row>
    <row r="333">
      <c r="A333" s="265" t="str">
        <f>IFERROR(__xludf.DUMMYFUNCTION("""COMPUTED_VALUE"""),"633")</f>
        <v>633</v>
      </c>
      <c r="B333" s="265" t="str">
        <f>IFERROR(__xludf.DUMMYFUNCTION("""COMPUTED_VALUE"""),"Sài Gòn")</f>
        <v>Sài Gòn</v>
      </c>
      <c r="C333" s="265" t="str">
        <f>IFERROR(__xludf.DUMMYFUNCTION("""COMPUTED_VALUE"""),"Locked")</f>
        <v>Locked</v>
      </c>
      <c r="D333" s="265" t="str">
        <f>IFERROR(__xludf.DUMMYFUNCTION("""COMPUTED_VALUE"""),"Sale chưa cung cấp")</f>
        <v>Sale chưa cung cấp</v>
      </c>
      <c r="E333" s="265" t="str">
        <f>IFERROR(__xludf.DUMMYFUNCTION("""COMPUTED_VALUE"""),"HoaNTM")</f>
        <v>HoaNTM</v>
      </c>
      <c r="F333" s="265" t="str">
        <f>IFERROR(__xludf.DUMMYFUNCTION("""COMPUTED_VALUE"""),"Sale chưa cung cấp")</f>
        <v>Sale chưa cung cấp</v>
      </c>
      <c r="G333" s="265" t="str">
        <f>IFERROR(__xludf.DUMMYFUNCTION("""COMPUTED_VALUE"""),"SIMILAR")</f>
        <v>SIMILAR</v>
      </c>
      <c r="H333" s="265" t="str">
        <f>IFERROR(__xludf.DUMMYFUNCTION("""COMPUTED_VALUE"""),"(Chưa recheck)")</f>
        <v>(Chưa recheck)</v>
      </c>
      <c r="I333" s="265" t="str">
        <f>IFERROR(__xludf.DUMMYFUNCTION("""COMPUTED_VALUE"""),"(Chưa recheck)")</f>
        <v>(Chưa recheck)</v>
      </c>
      <c r="J333" s="265" t="str">
        <f>IFERROR(__xludf.DUMMYFUNCTION("""COMPUTED_VALUE"""),"File Excel")</f>
        <v>File Excel</v>
      </c>
    </row>
    <row r="334">
      <c r="A334" s="265" t="str">
        <f>IFERROR(__xludf.DUMMYFUNCTION("""COMPUTED_VALUE"""),"633")</f>
        <v>633</v>
      </c>
      <c r="B334" s="265" t="str">
        <f>IFERROR(__xludf.DUMMYFUNCTION("""COMPUTED_VALUE"""),"Sài Gòn")</f>
        <v>Sài Gòn</v>
      </c>
      <c r="C334" s="265" t="str">
        <f>IFERROR(__xludf.DUMMYFUNCTION("""COMPUTED_VALUE"""),"Locked")</f>
        <v>Locked</v>
      </c>
      <c r="D334" s="265" t="str">
        <f>IFERROR(__xludf.DUMMYFUNCTION("""COMPUTED_VALUE"""),"Sale chưa cung cấp")</f>
        <v>Sale chưa cung cấp</v>
      </c>
      <c r="E334" s="265" t="str">
        <f>IFERROR(__xludf.DUMMYFUNCTION("""COMPUTED_VALUE"""),"HoaNTM")</f>
        <v>HoaNTM</v>
      </c>
      <c r="F334" s="265" t="str">
        <f>IFERROR(__xludf.DUMMYFUNCTION("""COMPUTED_VALUE"""),"Sale chưa cung cấp")</f>
        <v>Sale chưa cung cấp</v>
      </c>
      <c r="G334" s="265" t="str">
        <f>IFERROR(__xludf.DUMMYFUNCTION("""COMPUTED_VALUE"""),"SIMILAR")</f>
        <v>SIMILAR</v>
      </c>
      <c r="H334" s="265" t="str">
        <f>IFERROR(__xludf.DUMMYFUNCTION("""COMPUTED_VALUE"""),"(Chưa recheck)")</f>
        <v>(Chưa recheck)</v>
      </c>
      <c r="I334" s="265" t="str">
        <f>IFERROR(__xludf.DUMMYFUNCTION("""COMPUTED_VALUE"""),"(Chưa recheck)")</f>
        <v>(Chưa recheck)</v>
      </c>
      <c r="J334" s="265" t="str">
        <f>IFERROR(__xludf.DUMMYFUNCTION("""COMPUTED_VALUE"""),"API")</f>
        <v>API</v>
      </c>
    </row>
    <row r="335">
      <c r="A335" s="265" t="str">
        <f>IFERROR(__xludf.DUMMYFUNCTION("""COMPUTED_VALUE"""),"632")</f>
        <v>632</v>
      </c>
      <c r="B335" s="265" t="str">
        <f>IFERROR(__xludf.DUMMYFUNCTION("""COMPUTED_VALUE"""),"Đà Nẵng")</f>
        <v>Đà Nẵng</v>
      </c>
      <c r="C335" s="265" t="str">
        <f>IFERROR(__xludf.DUMMYFUNCTION("""COMPUTED_VALUE"""),"Active")</f>
        <v>Active</v>
      </c>
      <c r="D335" s="265" t="str">
        <f>IFERROR(__xludf.DUMMYFUNCTION("""COMPUTED_VALUE"""),"Sale chưa cung cấp")</f>
        <v>Sale chưa cung cấp</v>
      </c>
      <c r="E335" s="265" t="str">
        <f>IFERROR(__xludf.DUMMYFUNCTION("""COMPUTED_VALUE"""),"AnhNM")</f>
        <v>AnhNM</v>
      </c>
      <c r="F335" s="265" t="str">
        <f>IFERROR(__xludf.DUMMYFUNCTION("""COMPUTED_VALUE"""),"Silver")</f>
        <v>Silver</v>
      </c>
      <c r="G335" s="265" t="str">
        <f>IFERROR(__xludf.DUMMYFUNCTION("""COMPUTED_VALUE"""),"Premium")</f>
        <v>Premium</v>
      </c>
      <c r="H335" s="265" t="str">
        <f>IFERROR(__xludf.DUMMYFUNCTION("""COMPUTED_VALUE"""),"Trả sau")</f>
        <v>Trả sau</v>
      </c>
      <c r="I335" s="265" t="str">
        <f>IFERROR(__xludf.DUMMYFUNCTION("""COMPUTED_VALUE"""),"Portal")</f>
        <v>Portal</v>
      </c>
      <c r="J335" s="265" t="str">
        <f>IFERROR(__xludf.DUMMYFUNCTION("""COMPUTED_VALUE"""),"File Excel")</f>
        <v>File Excel</v>
      </c>
    </row>
    <row r="336">
      <c r="A336" s="265" t="str">
        <f>IFERROR(__xludf.DUMMYFUNCTION("""COMPUTED_VALUE"""),"634")</f>
        <v>634</v>
      </c>
      <c r="B336" s="265" t="str">
        <f>IFERROR(__xludf.DUMMYFUNCTION("""COMPUTED_VALUE"""),"Hà Nội")</f>
        <v>Hà Nội</v>
      </c>
      <c r="C336" s="265" t="str">
        <f>IFERROR(__xludf.DUMMYFUNCTION("""COMPUTED_VALUE"""),"Locked")</f>
        <v>Locked</v>
      </c>
      <c r="D336" s="265" t="str">
        <f>IFERROR(__xludf.DUMMYFUNCTION("""COMPUTED_VALUE"""),"Sale chưa cung cấp")</f>
        <v>Sale chưa cung cấp</v>
      </c>
      <c r="E336" s="265" t="str">
        <f>IFERROR(__xludf.DUMMYFUNCTION("""COMPUTED_VALUE"""),"(Chưa recheck)")</f>
        <v>(Chưa recheck)</v>
      </c>
      <c r="F336" s="265" t="str">
        <f>IFERROR(__xludf.DUMMYFUNCTION("""COMPUTED_VALUE"""),"Sale chưa cung cấp")</f>
        <v>Sale chưa cung cấp</v>
      </c>
      <c r="G336" s="265" t="str">
        <f>IFERROR(__xludf.DUMMYFUNCTION("""COMPUTED_VALUE"""),"MSG")</f>
        <v>MSG</v>
      </c>
      <c r="H336" s="265" t="str">
        <f>IFERROR(__xludf.DUMMYFUNCTION("""COMPUTED_VALUE"""),"Trả sau")</f>
        <v>Trả sau</v>
      </c>
      <c r="I336" s="265" t="str">
        <f>IFERROR(__xludf.DUMMYFUNCTION("""COMPUTED_VALUE"""),"Portal")</f>
        <v>Portal</v>
      </c>
      <c r="J336" s="265" t="str">
        <f>IFERROR(__xludf.DUMMYFUNCTION("""COMPUTED_VALUE"""),"File Excel")</f>
        <v>File Excel</v>
      </c>
    </row>
    <row r="337">
      <c r="A337" s="265" t="str">
        <f>IFERROR(__xludf.DUMMYFUNCTION("""COMPUTED_VALUE"""),"635")</f>
        <v>635</v>
      </c>
      <c r="B337" s="265" t="str">
        <f>IFERROR(__xludf.DUMMYFUNCTION("""COMPUTED_VALUE"""),"Sài Gòn")</f>
        <v>Sài Gòn</v>
      </c>
      <c r="C337" s="265" t="str">
        <f>IFERROR(__xludf.DUMMYFUNCTION("""COMPUTED_VALUE"""),"Locked")</f>
        <v>Locked</v>
      </c>
      <c r="D337" s="265" t="str">
        <f>IFERROR(__xludf.DUMMYFUNCTION("""COMPUTED_VALUE"""),"Sale chưa cung cấp")</f>
        <v>Sale chưa cung cấp</v>
      </c>
      <c r="E337" s="265" t="str">
        <f>IFERROR(__xludf.DUMMYFUNCTION("""COMPUTED_VALUE"""),"HoaNTM")</f>
        <v>HoaNTM</v>
      </c>
      <c r="F337" s="265" t="str">
        <f>IFERROR(__xludf.DUMMYFUNCTION("""COMPUTED_VALUE"""),"Sale chưa cung cấp")</f>
        <v>Sale chưa cung cấp</v>
      </c>
      <c r="G337" s="265" t="str">
        <f>IFERROR(__xludf.DUMMYFUNCTION("""COMPUTED_VALUE"""),"SIMILAR")</f>
        <v>SIMILAR</v>
      </c>
      <c r="H337" s="265" t="str">
        <f>IFERROR(__xludf.DUMMYFUNCTION("""COMPUTED_VALUE"""),"Trả sau")</f>
        <v>Trả sau</v>
      </c>
      <c r="I337" s="265" t="str">
        <f>IFERROR(__xludf.DUMMYFUNCTION("""COMPUTED_VALUE"""),"(Chưa recheck)")</f>
        <v>(Chưa recheck)</v>
      </c>
      <c r="J337" s="265" t="str">
        <f>IFERROR(__xludf.DUMMYFUNCTION("""COMPUTED_VALUE"""),"File Excel")</f>
        <v>File Excel</v>
      </c>
    </row>
    <row r="338">
      <c r="A338" s="265" t="str">
        <f>IFERROR(__xludf.DUMMYFUNCTION("""COMPUTED_VALUE"""),"636")</f>
        <v>636</v>
      </c>
      <c r="B338" s="265" t="str">
        <f>IFERROR(__xludf.DUMMYFUNCTION("""COMPUTED_VALUE"""),"Hà Nội")</f>
        <v>Hà Nội</v>
      </c>
      <c r="C338" s="265" t="str">
        <f>IFERROR(__xludf.DUMMYFUNCTION("""COMPUTED_VALUE"""),"Locked")</f>
        <v>Locked</v>
      </c>
      <c r="D338" s="265" t="str">
        <f>IFERROR(__xludf.DUMMYFUNCTION("""COMPUTED_VALUE"""),"Thực phẩm &amp; Đồ uống")</f>
        <v>Thực phẩm &amp; Đồ uống</v>
      </c>
      <c r="E338" s="265" t="str">
        <f>IFERROR(__xludf.DUMMYFUNCTION("""COMPUTED_VALUE"""),"HangNT")</f>
        <v>HangNT</v>
      </c>
      <c r="F338" s="265" t="str">
        <f>IFERROR(__xludf.DUMMYFUNCTION("""COMPUTED_VALUE"""),"Sale chưa cung cấp")</f>
        <v>Sale chưa cung cấp</v>
      </c>
      <c r="G338" s="265" t="str">
        <f>IFERROR(__xludf.DUMMYFUNCTION("""COMPUTED_VALUE"""),"SIMILAR")</f>
        <v>SIMILAR</v>
      </c>
      <c r="H338" s="265" t="str">
        <f>IFERROR(__xludf.DUMMYFUNCTION("""COMPUTED_VALUE"""),"Trả sau")</f>
        <v>Trả sau</v>
      </c>
      <c r="I338" s="265" t="str">
        <f>IFERROR(__xludf.DUMMYFUNCTION("""COMPUTED_VALUE"""),"Portal")</f>
        <v>Portal</v>
      </c>
      <c r="J338" s="265" t="str">
        <f>IFERROR(__xludf.DUMMYFUNCTION("""COMPUTED_VALUE"""),"File Excel")</f>
        <v>File Excel</v>
      </c>
    </row>
    <row r="339">
      <c r="A339" s="265" t="str">
        <f>IFERROR(__xludf.DUMMYFUNCTION("""COMPUTED_VALUE"""),"637")</f>
        <v>637</v>
      </c>
      <c r="B339" s="265" t="str">
        <f>IFERROR(__xludf.DUMMYFUNCTION("""COMPUTED_VALUE"""),"Đà Nẵng")</f>
        <v>Đà Nẵng</v>
      </c>
      <c r="C339" s="265" t="str">
        <f>IFERROR(__xludf.DUMMYFUNCTION("""COMPUTED_VALUE"""),"Active")</f>
        <v>Active</v>
      </c>
      <c r="D339" s="265" t="str">
        <f>IFERROR(__xludf.DUMMYFUNCTION("""COMPUTED_VALUE"""),"Sale chưa cung cấp")</f>
        <v>Sale chưa cung cấp</v>
      </c>
      <c r="E339" s="265" t="str">
        <f>IFERROR(__xludf.DUMMYFUNCTION("""COMPUTED_VALUE"""),"AnhNM")</f>
        <v>AnhNM</v>
      </c>
      <c r="F339" s="265" t="str">
        <f>IFERROR(__xludf.DUMMYFUNCTION("""COMPUTED_VALUE"""),"Silver")</f>
        <v>Silver</v>
      </c>
      <c r="G339" s="265" t="str">
        <f>IFERROR(__xludf.DUMMYFUNCTION("""COMPUTED_VALUE"""),"Enterprise")</f>
        <v>Enterprise</v>
      </c>
      <c r="H339" s="265" t="str">
        <f>IFERROR(__xludf.DUMMYFUNCTION("""COMPUTED_VALUE"""),"Trả sau")</f>
        <v>Trả sau</v>
      </c>
      <c r="I339" s="265" t="str">
        <f>IFERROR(__xludf.DUMMYFUNCTION("""COMPUTED_VALUE"""),"Portal")</f>
        <v>Portal</v>
      </c>
      <c r="J339" s="265" t="str">
        <f>IFERROR(__xludf.DUMMYFUNCTION("""COMPUTED_VALUE"""),"File Excel")</f>
        <v>File Excel</v>
      </c>
    </row>
    <row r="340">
      <c r="A340" s="265" t="str">
        <f>IFERROR(__xludf.DUMMYFUNCTION("""COMPUTED_VALUE"""),"639")</f>
        <v>639</v>
      </c>
      <c r="B340" s="265" t="str">
        <f>IFERROR(__xludf.DUMMYFUNCTION("""COMPUTED_VALUE"""),"Hà Nội")</f>
        <v>Hà Nội</v>
      </c>
      <c r="C340" s="265" t="str">
        <f>IFERROR(__xludf.DUMMYFUNCTION("""COMPUTED_VALUE"""),"Locked")</f>
        <v>Locked</v>
      </c>
      <c r="D340" s="265" t="str">
        <f>IFERROR(__xludf.DUMMYFUNCTION("""COMPUTED_VALUE"""),"Sale chưa cung cấp")</f>
        <v>Sale chưa cung cấp</v>
      </c>
      <c r="E340" s="265" t="str">
        <f>IFERROR(__xludf.DUMMYFUNCTION("""COMPUTED_VALUE"""),"PhươngDTB")</f>
        <v>PhươngDTB</v>
      </c>
      <c r="F340" s="265" t="str">
        <f>IFERROR(__xludf.DUMMYFUNCTION("""COMPUTED_VALUE"""),"Sale chưa cung cấp")</f>
        <v>Sale chưa cung cấp</v>
      </c>
      <c r="G340" s="265" t="str">
        <f>IFERROR(__xludf.DUMMYFUNCTION("""COMPUTED_VALUE"""),"API")</f>
        <v>API</v>
      </c>
      <c r="H340" s="265" t="str">
        <f>IFERROR(__xludf.DUMMYFUNCTION("""COMPUTED_VALUE"""),"Trial")</f>
        <v>Trial</v>
      </c>
      <c r="I340" s="265" t="str">
        <f>IFERROR(__xludf.DUMMYFUNCTION("""COMPUTED_VALUE"""),"API")</f>
        <v>API</v>
      </c>
      <c r="J340" s="265" t="str">
        <f>IFERROR(__xludf.DUMMYFUNCTION("""COMPUTED_VALUE"""),"API")</f>
        <v>API</v>
      </c>
    </row>
    <row r="341">
      <c r="A341" s="265" t="str">
        <f>IFERROR(__xludf.DUMMYFUNCTION("""COMPUTED_VALUE"""),"640")</f>
        <v>640</v>
      </c>
      <c r="B341" s="265" t="str">
        <f>IFERROR(__xludf.DUMMYFUNCTION("""COMPUTED_VALUE"""),"Hà Nội")</f>
        <v>Hà Nội</v>
      </c>
      <c r="C341" s="265" t="str">
        <f>IFERROR(__xludf.DUMMYFUNCTION("""COMPUTED_VALUE"""),"Locked")</f>
        <v>Locked</v>
      </c>
      <c r="D341" s="265" t="str">
        <f>IFERROR(__xludf.DUMMYFUNCTION("""COMPUTED_VALUE"""),"Viễn thông")</f>
        <v>Viễn thông</v>
      </c>
      <c r="E341" s="265" t="str">
        <f>IFERROR(__xludf.DUMMYFUNCTION("""COMPUTED_VALUE"""),"TùngLD")</f>
        <v>TùngLD</v>
      </c>
      <c r="F341" s="265" t="str">
        <f>IFERROR(__xludf.DUMMYFUNCTION("""COMPUTED_VALUE"""),"Gold")</f>
        <v>Gold</v>
      </c>
      <c r="G341" s="265" t="str">
        <f>IFERROR(__xludf.DUMMYFUNCTION("""COMPUTED_VALUE"""),"SIMILAR")</f>
        <v>SIMILAR</v>
      </c>
      <c r="H341" s="265" t="str">
        <f>IFERROR(__xludf.DUMMYFUNCTION("""COMPUTED_VALUE"""),"Trả sau")</f>
        <v>Trả sau</v>
      </c>
      <c r="I341" s="265" t="str">
        <f>IFERROR(__xludf.DUMMYFUNCTION("""COMPUTED_VALUE"""),"Portal")</f>
        <v>Portal</v>
      </c>
      <c r="J341" s="265" t="str">
        <f>IFERROR(__xludf.DUMMYFUNCTION("""COMPUTED_VALUE"""),"File Excel")</f>
        <v>File Excel</v>
      </c>
    </row>
    <row r="342">
      <c r="A342" s="265" t="str">
        <f>IFERROR(__xludf.DUMMYFUNCTION("""COMPUTED_VALUE"""),"640")</f>
        <v>640</v>
      </c>
      <c r="B342" s="265" t="str">
        <f>IFERROR(__xludf.DUMMYFUNCTION("""COMPUTED_VALUE"""),"Hà Nội")</f>
        <v>Hà Nội</v>
      </c>
      <c r="C342" s="265" t="str">
        <f>IFERROR(__xludf.DUMMYFUNCTION("""COMPUTED_VALUE"""),"Locked")</f>
        <v>Locked</v>
      </c>
      <c r="D342" s="265" t="str">
        <f>IFERROR(__xludf.DUMMYFUNCTION("""COMPUTED_VALUE"""),"Viễn thông")</f>
        <v>Viễn thông</v>
      </c>
      <c r="E342" s="265" t="str">
        <f>IFERROR(__xludf.DUMMYFUNCTION("""COMPUTED_VALUE"""),"TùngLD")</f>
        <v>TùngLD</v>
      </c>
      <c r="F342" s="265" t="str">
        <f>IFERROR(__xludf.DUMMYFUNCTION("""COMPUTED_VALUE"""),"Gold")</f>
        <v>Gold</v>
      </c>
      <c r="G342" s="265" t="str">
        <f>IFERROR(__xludf.DUMMYFUNCTION("""COMPUTED_VALUE"""),"SIMILAR")</f>
        <v>SIMILAR</v>
      </c>
      <c r="H342" s="265" t="str">
        <f>IFERROR(__xludf.DUMMYFUNCTION("""COMPUTED_VALUE"""),"Trả sau")</f>
        <v>Trả sau</v>
      </c>
      <c r="I342" s="265" t="str">
        <f>IFERROR(__xludf.DUMMYFUNCTION("""COMPUTED_VALUE"""),"Portal")</f>
        <v>Portal</v>
      </c>
      <c r="J342" s="265" t="str">
        <f>IFERROR(__xludf.DUMMYFUNCTION("""COMPUTED_VALUE"""),"API")</f>
        <v>API</v>
      </c>
    </row>
    <row r="343">
      <c r="A343" s="265" t="str">
        <f>IFERROR(__xludf.DUMMYFUNCTION("""COMPUTED_VALUE"""),"638")</f>
        <v>638</v>
      </c>
      <c r="B343" s="265" t="str">
        <f>IFERROR(__xludf.DUMMYFUNCTION("""COMPUTED_VALUE"""),"Sài Gòn")</f>
        <v>Sài Gòn</v>
      </c>
      <c r="C343" s="265" t="str">
        <f>IFERROR(__xludf.DUMMYFUNCTION("""COMPUTED_VALUE"""),"Locked")</f>
        <v>Locked</v>
      </c>
      <c r="D343" s="265" t="str">
        <f>IFERROR(__xludf.DUMMYFUNCTION("""COMPUTED_VALUE"""),"Sale chưa cung cấp")</f>
        <v>Sale chưa cung cấp</v>
      </c>
      <c r="E343" s="265" t="str">
        <f>IFERROR(__xludf.DUMMYFUNCTION("""COMPUTED_VALUE"""),"HoaNTM")</f>
        <v>HoaNTM</v>
      </c>
      <c r="F343" s="265" t="str">
        <f>IFERROR(__xludf.DUMMYFUNCTION("""COMPUTED_VALUE"""),"Diamond")</f>
        <v>Diamond</v>
      </c>
      <c r="G343" s="265" t="str">
        <f>IFERROR(__xludf.DUMMYFUNCTION("""COMPUTED_VALUE"""),"SIMILAR")</f>
        <v>SIMILAR</v>
      </c>
      <c r="H343" s="265" t="str">
        <f>IFERROR(__xludf.DUMMYFUNCTION("""COMPUTED_VALUE"""),"Trả sau")</f>
        <v>Trả sau</v>
      </c>
      <c r="I343" s="265" t="str">
        <f>IFERROR(__xludf.DUMMYFUNCTION("""COMPUTED_VALUE"""),"(Chưa recheck)")</f>
        <v>(Chưa recheck)</v>
      </c>
      <c r="J343" s="265" t="str">
        <f>IFERROR(__xludf.DUMMYFUNCTION("""COMPUTED_VALUE"""),"File Excel")</f>
        <v>File Excel</v>
      </c>
    </row>
    <row r="344">
      <c r="A344" s="265" t="str">
        <f>IFERROR(__xludf.DUMMYFUNCTION("""COMPUTED_VALUE"""),"641")</f>
        <v>641</v>
      </c>
      <c r="B344" s="265" t="str">
        <f>IFERROR(__xludf.DUMMYFUNCTION("""COMPUTED_VALUE"""),"Sài Gòn")</f>
        <v>Sài Gòn</v>
      </c>
      <c r="C344" s="265" t="str">
        <f>IFERROR(__xludf.DUMMYFUNCTION("""COMPUTED_VALUE"""),"Active")</f>
        <v>Active</v>
      </c>
      <c r="D344" s="265" t="str">
        <f>IFERROR(__xludf.DUMMYFUNCTION("""COMPUTED_VALUE"""),"Sale chưa cung cấp")</f>
        <v>Sale chưa cung cấp</v>
      </c>
      <c r="E344" s="265" t="str">
        <f>IFERROR(__xludf.DUMMYFUNCTION("""COMPUTED_VALUE"""),"Không phân công")</f>
        <v>Không phân công</v>
      </c>
      <c r="F344" s="265" t="str">
        <f>IFERROR(__xludf.DUMMYFUNCTION("""COMPUTED_VALUE"""),"Silver")</f>
        <v>Silver</v>
      </c>
      <c r="G344" s="265" t="str">
        <f>IFERROR(__xludf.DUMMYFUNCTION("""COMPUTED_VALUE"""),"Starter")</f>
        <v>Starter</v>
      </c>
      <c r="H344" s="265" t="str">
        <f>IFERROR(__xludf.DUMMYFUNCTION("""COMPUTED_VALUE"""),"Trả sau")</f>
        <v>Trả sau</v>
      </c>
      <c r="I344" s="265" t="str">
        <f>IFERROR(__xludf.DUMMYFUNCTION("""COMPUTED_VALUE"""),"Portal")</f>
        <v>Portal</v>
      </c>
      <c r="J344" s="265" t="str">
        <f>IFERROR(__xludf.DUMMYFUNCTION("""COMPUTED_VALUE"""),"File Excel")</f>
        <v>File Excel</v>
      </c>
    </row>
    <row r="345">
      <c r="A345" s="265" t="str">
        <f>IFERROR(__xludf.DUMMYFUNCTION("""COMPUTED_VALUE"""),"641")</f>
        <v>641</v>
      </c>
      <c r="B345" s="265" t="str">
        <f>IFERROR(__xludf.DUMMYFUNCTION("""COMPUTED_VALUE"""),"Sài Gòn")</f>
        <v>Sài Gòn</v>
      </c>
      <c r="C345" s="265" t="str">
        <f>IFERROR(__xludf.DUMMYFUNCTION("""COMPUTED_VALUE"""),"Active")</f>
        <v>Active</v>
      </c>
      <c r="D345" s="265" t="str">
        <f>IFERROR(__xludf.DUMMYFUNCTION("""COMPUTED_VALUE"""),"Sale chưa cung cấp")</f>
        <v>Sale chưa cung cấp</v>
      </c>
      <c r="E345" s="265" t="str">
        <f>IFERROR(__xludf.DUMMYFUNCTION("""COMPUTED_VALUE"""),"Không phân công")</f>
        <v>Không phân công</v>
      </c>
      <c r="F345" s="265" t="str">
        <f>IFERROR(__xludf.DUMMYFUNCTION("""COMPUTED_VALUE"""),"Silver")</f>
        <v>Silver</v>
      </c>
      <c r="G345" s="265" t="str">
        <f>IFERROR(__xludf.DUMMYFUNCTION("""COMPUTED_VALUE"""),"Starter")</f>
        <v>Starter</v>
      </c>
      <c r="H345" s="265" t="str">
        <f>IFERROR(__xludf.DUMMYFUNCTION("""COMPUTED_VALUE"""),"Trả sau")</f>
        <v>Trả sau</v>
      </c>
      <c r="I345" s="265" t="str">
        <f>IFERROR(__xludf.DUMMYFUNCTION("""COMPUTED_VALUE"""),"Portal")</f>
        <v>Portal</v>
      </c>
      <c r="J345" s="265" t="str">
        <f>IFERROR(__xludf.DUMMYFUNCTION("""COMPUTED_VALUE"""),"API")</f>
        <v>API</v>
      </c>
    </row>
    <row r="346">
      <c r="A346" s="265" t="str">
        <f>IFERROR(__xludf.DUMMYFUNCTION("""COMPUTED_VALUE"""),"642")</f>
        <v>642</v>
      </c>
      <c r="B346" s="265" t="str">
        <f>IFERROR(__xludf.DUMMYFUNCTION("""COMPUTED_VALUE"""),"Hà Nội")</f>
        <v>Hà Nội</v>
      </c>
      <c r="C346" s="265" t="str">
        <f>IFERROR(__xludf.DUMMYFUNCTION("""COMPUTED_VALUE"""),"Locked")</f>
        <v>Locked</v>
      </c>
      <c r="D346" s="265" t="str">
        <f>IFERROR(__xludf.DUMMYFUNCTION("""COMPUTED_VALUE"""),"Mua sắm &amp; Bán lẻ")</f>
        <v>Mua sắm &amp; Bán lẻ</v>
      </c>
      <c r="E346" s="265" t="str">
        <f>IFERROR(__xludf.DUMMYFUNCTION("""COMPUTED_VALUE"""),"Không phân công")</f>
        <v>Không phân công</v>
      </c>
      <c r="F346" s="265" t="str">
        <f>IFERROR(__xludf.DUMMYFUNCTION("""COMPUTED_VALUE"""),"Silver")</f>
        <v>Silver</v>
      </c>
      <c r="G346" s="265" t="str">
        <f>IFERROR(__xludf.DUMMYFUNCTION("""COMPUTED_VALUE"""),"Starter")</f>
        <v>Starter</v>
      </c>
      <c r="H346" s="265" t="str">
        <f>IFERROR(__xludf.DUMMYFUNCTION("""COMPUTED_VALUE"""),"Trả sau")</f>
        <v>Trả sau</v>
      </c>
      <c r="I346" s="265" t="str">
        <f>IFERROR(__xludf.DUMMYFUNCTION("""COMPUTED_VALUE"""),"API")</f>
        <v>API</v>
      </c>
      <c r="J346" s="265" t="str">
        <f>IFERROR(__xludf.DUMMYFUNCTION("""COMPUTED_VALUE"""),"Bizfly CRM")</f>
        <v>Bizfly CRM</v>
      </c>
    </row>
    <row r="347">
      <c r="A347" s="265" t="str">
        <f>IFERROR(__xludf.DUMMYFUNCTION("""COMPUTED_VALUE"""),"402")</f>
        <v>402</v>
      </c>
      <c r="B347" s="265" t="str">
        <f>IFERROR(__xludf.DUMMYFUNCTION("""COMPUTED_VALUE"""),"Hà Nội")</f>
        <v>Hà Nội</v>
      </c>
      <c r="C347" s="265" t="str">
        <f>IFERROR(__xludf.DUMMYFUNCTION("""COMPUTED_VALUE"""),"Locked")</f>
        <v>Locked</v>
      </c>
      <c r="D347" s="265" t="str">
        <f>IFERROR(__xludf.DUMMYFUNCTION("""COMPUTED_VALUE"""),"Sale chưa cung cấp")</f>
        <v>Sale chưa cung cấp</v>
      </c>
      <c r="E347" s="265" t="str">
        <f>IFERROR(__xludf.DUMMYFUNCTION("""COMPUTED_VALUE"""),"PhươngDTB")</f>
        <v>PhươngDTB</v>
      </c>
      <c r="F347" s="265" t="str">
        <f>IFERROR(__xludf.DUMMYFUNCTION("""COMPUTED_VALUE"""),"Gold")</f>
        <v>Gold</v>
      </c>
      <c r="G347" s="265" t="str">
        <f>IFERROR(__xludf.DUMMYFUNCTION("""COMPUTED_VALUE"""),"API")</f>
        <v>API</v>
      </c>
      <c r="H347" s="265" t="str">
        <f>IFERROR(__xludf.DUMMYFUNCTION("""COMPUTED_VALUE"""),"(Chưa recheck)")</f>
        <v>(Chưa recheck)</v>
      </c>
      <c r="I347" s="265" t="str">
        <f>IFERROR(__xludf.DUMMYFUNCTION("""COMPUTED_VALUE"""),"(Chưa recheck)")</f>
        <v>(Chưa recheck)</v>
      </c>
      <c r="J347" s="265" t="str">
        <f>IFERROR(__xludf.DUMMYFUNCTION("""COMPUTED_VALUE"""),"API")</f>
        <v>API</v>
      </c>
    </row>
    <row r="348">
      <c r="A348" s="265" t="str">
        <f>IFERROR(__xludf.DUMMYFUNCTION("""COMPUTED_VALUE"""),"643")</f>
        <v>643</v>
      </c>
      <c r="B348" s="265" t="str">
        <f>IFERROR(__xludf.DUMMYFUNCTION("""COMPUTED_VALUE"""),"Sài Gòn")</f>
        <v>Sài Gòn</v>
      </c>
      <c r="C348" s="265" t="str">
        <f>IFERROR(__xludf.DUMMYFUNCTION("""COMPUTED_VALUE"""),"Locked")</f>
        <v>Locked</v>
      </c>
      <c r="D348" s="265" t="str">
        <f>IFERROR(__xludf.DUMMYFUNCTION("""COMPUTED_VALUE"""),"Sale chưa cung cấp")</f>
        <v>Sale chưa cung cấp</v>
      </c>
      <c r="E348" s="265" t="str">
        <f>IFERROR(__xludf.DUMMYFUNCTION("""COMPUTED_VALUE"""),"TuVTC")</f>
        <v>TuVTC</v>
      </c>
      <c r="F348" s="265" t="str">
        <f>IFERROR(__xludf.DUMMYFUNCTION("""COMPUTED_VALUE"""),"Sale chưa cung cấp")</f>
        <v>Sale chưa cung cấp</v>
      </c>
      <c r="G348" s="265" t="str">
        <f>IFERROR(__xludf.DUMMYFUNCTION("""COMPUTED_VALUE"""),"MSG")</f>
        <v>MSG</v>
      </c>
      <c r="H348" s="265" t="str">
        <f>IFERROR(__xludf.DUMMYFUNCTION("""COMPUTED_VALUE"""),"(Chưa recheck)")</f>
        <v>(Chưa recheck)</v>
      </c>
      <c r="I348" s="265" t="str">
        <f>IFERROR(__xludf.DUMMYFUNCTION("""COMPUTED_VALUE"""),"(Chưa recheck)")</f>
        <v>(Chưa recheck)</v>
      </c>
      <c r="J348" s="265" t="str">
        <f>IFERROR(__xludf.DUMMYFUNCTION("""COMPUTED_VALUE"""),"File Excel")</f>
        <v>File Excel</v>
      </c>
    </row>
    <row r="349">
      <c r="A349" s="265" t="str">
        <f>IFERROR(__xludf.DUMMYFUNCTION("""COMPUTED_VALUE"""),"644")</f>
        <v>644</v>
      </c>
      <c r="B349" s="265" t="str">
        <f>IFERROR(__xludf.DUMMYFUNCTION("""COMPUTED_VALUE"""),"Sài Gòn")</f>
        <v>Sài Gòn</v>
      </c>
      <c r="C349" s="265" t="str">
        <f>IFERROR(__xludf.DUMMYFUNCTION("""COMPUTED_VALUE"""),"Active")</f>
        <v>Active</v>
      </c>
      <c r="D349" s="265" t="str">
        <f>IFERROR(__xludf.DUMMYFUNCTION("""COMPUTED_VALUE"""),"Sale chưa cung cấp")</f>
        <v>Sale chưa cung cấp</v>
      </c>
      <c r="E349" s="265" t="str">
        <f>IFERROR(__xludf.DUMMYFUNCTION("""COMPUTED_VALUE"""),"TúPHN")</f>
        <v>TúPHN</v>
      </c>
      <c r="F349" s="265" t="str">
        <f>IFERROR(__xludf.DUMMYFUNCTION("""COMPUTED_VALUE"""),"Gold")</f>
        <v>Gold</v>
      </c>
      <c r="G349" s="265" t="str">
        <f>IFERROR(__xludf.DUMMYFUNCTION("""COMPUTED_VALUE"""),"Starter")</f>
        <v>Starter</v>
      </c>
      <c r="H349" s="265" t="str">
        <f>IFERROR(__xludf.DUMMYFUNCTION("""COMPUTED_VALUE"""),"Trả sau")</f>
        <v>Trả sau</v>
      </c>
      <c r="I349" s="265" t="str">
        <f>IFERROR(__xludf.DUMMYFUNCTION("""COMPUTED_VALUE"""),"Portal")</f>
        <v>Portal</v>
      </c>
      <c r="J349" s="265" t="str">
        <f>IFERROR(__xludf.DUMMYFUNCTION("""COMPUTED_VALUE"""),"File Excel")</f>
        <v>File Excel</v>
      </c>
    </row>
    <row r="350">
      <c r="A350" s="265" t="str">
        <f>IFERROR(__xludf.DUMMYFUNCTION("""COMPUTED_VALUE"""),"644")</f>
        <v>644</v>
      </c>
      <c r="B350" s="265" t="str">
        <f>IFERROR(__xludf.DUMMYFUNCTION("""COMPUTED_VALUE"""),"Sài Gòn")</f>
        <v>Sài Gòn</v>
      </c>
      <c r="C350" s="265" t="str">
        <f>IFERROR(__xludf.DUMMYFUNCTION("""COMPUTED_VALUE"""),"Active")</f>
        <v>Active</v>
      </c>
      <c r="D350" s="265" t="str">
        <f>IFERROR(__xludf.DUMMYFUNCTION("""COMPUTED_VALUE"""),"Sale chưa cung cấp")</f>
        <v>Sale chưa cung cấp</v>
      </c>
      <c r="E350" s="265" t="str">
        <f>IFERROR(__xludf.DUMMYFUNCTION("""COMPUTED_VALUE"""),"TúPHN")</f>
        <v>TúPHN</v>
      </c>
      <c r="F350" s="265" t="str">
        <f>IFERROR(__xludf.DUMMYFUNCTION("""COMPUTED_VALUE"""),"Gold")</f>
        <v>Gold</v>
      </c>
      <c r="G350" s="265" t="str">
        <f>IFERROR(__xludf.DUMMYFUNCTION("""COMPUTED_VALUE"""),"Starter")</f>
        <v>Starter</v>
      </c>
      <c r="H350" s="265" t="str">
        <f>IFERROR(__xludf.DUMMYFUNCTION("""COMPUTED_VALUE"""),"Trả sau")</f>
        <v>Trả sau</v>
      </c>
      <c r="I350" s="265" t="str">
        <f>IFERROR(__xludf.DUMMYFUNCTION("""COMPUTED_VALUE"""),"Portal")</f>
        <v>Portal</v>
      </c>
      <c r="J350" s="265" t="str">
        <f>IFERROR(__xludf.DUMMYFUNCTION("""COMPUTED_VALUE"""),"API")</f>
        <v>API</v>
      </c>
    </row>
    <row r="351">
      <c r="A351" s="265" t="str">
        <f>IFERROR(__xludf.DUMMYFUNCTION("""COMPUTED_VALUE"""),"645")</f>
        <v>645</v>
      </c>
      <c r="B351" s="265" t="str">
        <f>IFERROR(__xludf.DUMMYFUNCTION("""COMPUTED_VALUE"""),"Hà Nội")</f>
        <v>Hà Nội</v>
      </c>
      <c r="C351" s="265" t="str">
        <f>IFERROR(__xludf.DUMMYFUNCTION("""COMPUTED_VALUE"""),"Locked")</f>
        <v>Locked</v>
      </c>
      <c r="D351" s="265" t="str">
        <f>IFERROR(__xludf.DUMMYFUNCTION("""COMPUTED_VALUE"""),"Y tế &amp; Dược phẩm")</f>
        <v>Y tế &amp; Dược phẩm</v>
      </c>
      <c r="E351" s="265" t="str">
        <f>IFERROR(__xludf.DUMMYFUNCTION("""COMPUTED_VALUE"""),"HangNT")</f>
        <v>HangNT</v>
      </c>
      <c r="F351" s="265" t="str">
        <f>IFERROR(__xludf.DUMMYFUNCTION("""COMPUTED_VALUE"""),"Bronze")</f>
        <v>Bronze</v>
      </c>
      <c r="G351" s="265" t="str">
        <f>IFERROR(__xludf.DUMMYFUNCTION("""COMPUTED_VALUE"""),"Enterprise")</f>
        <v>Enterprise</v>
      </c>
      <c r="H351" s="265" t="str">
        <f>IFERROR(__xludf.DUMMYFUNCTION("""COMPUTED_VALUE"""),"Trả trước")</f>
        <v>Trả trước</v>
      </c>
      <c r="I351" s="265" t="str">
        <f>IFERROR(__xludf.DUMMYFUNCTION("""COMPUTED_VALUE"""),"Portal")</f>
        <v>Portal</v>
      </c>
      <c r="J351" s="265" t="str">
        <f>IFERROR(__xludf.DUMMYFUNCTION("""COMPUTED_VALUE"""),"Kiotviet")</f>
        <v>Kiotviet</v>
      </c>
    </row>
    <row r="352">
      <c r="A352" s="265" t="str">
        <f>IFERROR(__xludf.DUMMYFUNCTION("""COMPUTED_VALUE"""),"647")</f>
        <v>647</v>
      </c>
      <c r="B352" s="265" t="str">
        <f>IFERROR(__xludf.DUMMYFUNCTION("""COMPUTED_VALUE"""),"Hà Nội")</f>
        <v>Hà Nội</v>
      </c>
      <c r="C352" s="265" t="str">
        <f>IFERROR(__xludf.DUMMYFUNCTION("""COMPUTED_VALUE"""),"Locked")</f>
        <v>Locked</v>
      </c>
      <c r="D352" s="265" t="str">
        <f>IFERROR(__xludf.DUMMYFUNCTION("""COMPUTED_VALUE"""),"Sale chưa cung cấp")</f>
        <v>Sale chưa cung cấp</v>
      </c>
      <c r="E352" s="265" t="str">
        <f>IFERROR(__xludf.DUMMYFUNCTION("""COMPUTED_VALUE"""),"AnhNP")</f>
        <v>AnhNP</v>
      </c>
      <c r="F352" s="265" t="str">
        <f>IFERROR(__xludf.DUMMYFUNCTION("""COMPUTED_VALUE"""),"Sale chưa cung cấp")</f>
        <v>Sale chưa cung cấp</v>
      </c>
      <c r="G352" s="265" t="str">
        <f>IFERROR(__xludf.DUMMYFUNCTION("""COMPUTED_VALUE"""),"MSG")</f>
        <v>MSG</v>
      </c>
      <c r="H352" s="265" t="str">
        <f>IFERROR(__xludf.DUMMYFUNCTION("""COMPUTED_VALUE"""),"Trial")</f>
        <v>Trial</v>
      </c>
      <c r="I352" s="265" t="str">
        <f>IFERROR(__xludf.DUMMYFUNCTION("""COMPUTED_VALUE"""),"Portal")</f>
        <v>Portal</v>
      </c>
      <c r="J352" s="265" t="str">
        <f>IFERROR(__xludf.DUMMYFUNCTION("""COMPUTED_VALUE"""),"File Excel")</f>
        <v>File Excel</v>
      </c>
    </row>
    <row r="353">
      <c r="A353" s="265" t="str">
        <f>IFERROR(__xludf.DUMMYFUNCTION("""COMPUTED_VALUE"""),"651")</f>
        <v>651</v>
      </c>
      <c r="B353" s="265" t="str">
        <f>IFERROR(__xludf.DUMMYFUNCTION("""COMPUTED_VALUE"""),"Hà Nội")</f>
        <v>Hà Nội</v>
      </c>
      <c r="C353" s="265" t="str">
        <f>IFERROR(__xludf.DUMMYFUNCTION("""COMPUTED_VALUE"""),"Active")</f>
        <v>Active</v>
      </c>
      <c r="D353" s="265" t="str">
        <f>IFERROR(__xludf.DUMMYFUNCTION("""COMPUTED_VALUE"""),"Sản xuất &amp; Chế tạo")</f>
        <v>Sản xuất &amp; Chế tạo</v>
      </c>
      <c r="E353" s="265" t="str">
        <f>IFERROR(__xludf.DUMMYFUNCTION("""COMPUTED_VALUE"""),"TúPHN")</f>
        <v>TúPHN</v>
      </c>
      <c r="F353" s="265" t="str">
        <f>IFERROR(__xludf.DUMMYFUNCTION("""COMPUTED_VALUE"""),"Bronze")</f>
        <v>Bronze</v>
      </c>
      <c r="G353" s="265" t="str">
        <f>IFERROR(__xludf.DUMMYFUNCTION("""COMPUTED_VALUE"""),"Standard")</f>
        <v>Standard</v>
      </c>
      <c r="H353" s="265" t="str">
        <f>IFERROR(__xludf.DUMMYFUNCTION("""COMPUTED_VALUE"""),"Trả trước")</f>
        <v>Trả trước</v>
      </c>
      <c r="I353" s="265" t="str">
        <f>IFERROR(__xludf.DUMMYFUNCTION("""COMPUTED_VALUE"""),"API &amp; Portal")</f>
        <v>API &amp; Portal</v>
      </c>
      <c r="J353" s="265" t="str">
        <f>IFERROR(__xludf.DUMMYFUNCTION("""COMPUTED_VALUE"""),"File Excel")</f>
        <v>File Excel</v>
      </c>
    </row>
    <row r="354">
      <c r="A354" s="265" t="str">
        <f>IFERROR(__xludf.DUMMYFUNCTION("""COMPUTED_VALUE"""),"651")</f>
        <v>651</v>
      </c>
      <c r="B354" s="265" t="str">
        <f>IFERROR(__xludf.DUMMYFUNCTION("""COMPUTED_VALUE"""),"Hà Nội")</f>
        <v>Hà Nội</v>
      </c>
      <c r="C354" s="265" t="str">
        <f>IFERROR(__xludf.DUMMYFUNCTION("""COMPUTED_VALUE"""),"Active")</f>
        <v>Active</v>
      </c>
      <c r="D354" s="265" t="str">
        <f>IFERROR(__xludf.DUMMYFUNCTION("""COMPUTED_VALUE"""),"Sản xuất &amp; Chế tạo")</f>
        <v>Sản xuất &amp; Chế tạo</v>
      </c>
      <c r="E354" s="265" t="str">
        <f>IFERROR(__xludf.DUMMYFUNCTION("""COMPUTED_VALUE"""),"TúPHN")</f>
        <v>TúPHN</v>
      </c>
      <c r="F354" s="265" t="str">
        <f>IFERROR(__xludf.DUMMYFUNCTION("""COMPUTED_VALUE"""),"Bronze")</f>
        <v>Bronze</v>
      </c>
      <c r="G354" s="265" t="str">
        <f>IFERROR(__xludf.DUMMYFUNCTION("""COMPUTED_VALUE"""),"Standard")</f>
        <v>Standard</v>
      </c>
      <c r="H354" s="265" t="str">
        <f>IFERROR(__xludf.DUMMYFUNCTION("""COMPUTED_VALUE"""),"Trả trước")</f>
        <v>Trả trước</v>
      </c>
      <c r="I354" s="265" t="str">
        <f>IFERROR(__xludf.DUMMYFUNCTION("""COMPUTED_VALUE"""),"API &amp; Portal")</f>
        <v>API &amp; Portal</v>
      </c>
      <c r="J354" s="265" t="str">
        <f>IFERROR(__xludf.DUMMYFUNCTION("""COMPUTED_VALUE"""),"API")</f>
        <v>API</v>
      </c>
    </row>
    <row r="355">
      <c r="A355" s="265" t="str">
        <f>IFERROR(__xludf.DUMMYFUNCTION("""COMPUTED_VALUE"""),"646")</f>
        <v>646</v>
      </c>
      <c r="B355" s="265" t="str">
        <f>IFERROR(__xludf.DUMMYFUNCTION("""COMPUTED_VALUE"""),"Sài Gòn")</f>
        <v>Sài Gòn</v>
      </c>
      <c r="C355" s="265" t="str">
        <f>IFERROR(__xludf.DUMMYFUNCTION("""COMPUTED_VALUE"""),"Locked")</f>
        <v>Locked</v>
      </c>
      <c r="D355" s="265" t="str">
        <f>IFERROR(__xludf.DUMMYFUNCTION("""COMPUTED_VALUE"""),"Hành chính công")</f>
        <v>Hành chính công</v>
      </c>
      <c r="E355" s="265" t="str">
        <f>IFERROR(__xludf.DUMMYFUNCTION("""COMPUTED_VALUE"""),"TùngLD")</f>
        <v>TùngLD</v>
      </c>
      <c r="F355" s="265" t="str">
        <f>IFERROR(__xludf.DUMMYFUNCTION("""COMPUTED_VALUE"""),"Gold")</f>
        <v>Gold</v>
      </c>
      <c r="G355" s="265" t="str">
        <f>IFERROR(__xludf.DUMMYFUNCTION("""COMPUTED_VALUE"""),"Enterprise")</f>
        <v>Enterprise</v>
      </c>
      <c r="H355" s="265" t="str">
        <f>IFERROR(__xludf.DUMMYFUNCTION("""COMPUTED_VALUE"""),"(Chưa recheck)")</f>
        <v>(Chưa recheck)</v>
      </c>
      <c r="I355" s="265" t="str">
        <f>IFERROR(__xludf.DUMMYFUNCTION("""COMPUTED_VALUE"""),"Portal")</f>
        <v>Portal</v>
      </c>
      <c r="J355" s="265" t="str">
        <f>IFERROR(__xludf.DUMMYFUNCTION("""COMPUTED_VALUE"""),"File Excel")</f>
        <v>File Excel</v>
      </c>
    </row>
    <row r="356">
      <c r="A356" s="265" t="str">
        <f>IFERROR(__xludf.DUMMYFUNCTION("""COMPUTED_VALUE"""),"648")</f>
        <v>648</v>
      </c>
      <c r="B356" s="265" t="str">
        <f>IFERROR(__xludf.DUMMYFUNCTION("""COMPUTED_VALUE"""),"Sài Gòn")</f>
        <v>Sài Gòn</v>
      </c>
      <c r="C356" s="265" t="str">
        <f>IFERROR(__xludf.DUMMYFUNCTION("""COMPUTED_VALUE"""),"Locked")</f>
        <v>Locked</v>
      </c>
      <c r="D356" s="265" t="str">
        <f>IFERROR(__xludf.DUMMYFUNCTION("""COMPUTED_VALUE"""),"Sale chưa cung cấp")</f>
        <v>Sale chưa cung cấp</v>
      </c>
      <c r="E356" s="265" t="str">
        <f>IFERROR(__xludf.DUMMYFUNCTION("""COMPUTED_VALUE"""),"(Không recheck)")</f>
        <v>(Không recheck)</v>
      </c>
      <c r="F356" s="265" t="str">
        <f>IFERROR(__xludf.DUMMYFUNCTION("""COMPUTED_VALUE"""),"Diamond")</f>
        <v>Diamond</v>
      </c>
      <c r="G356" s="265" t="str">
        <f>IFERROR(__xludf.DUMMYFUNCTION("""COMPUTED_VALUE"""),"Enterprise")</f>
        <v>Enterprise</v>
      </c>
      <c r="H356" s="265" t="str">
        <f>IFERROR(__xludf.DUMMYFUNCTION("""COMPUTED_VALUE"""),"Trial")</f>
        <v>Trial</v>
      </c>
      <c r="I356" s="265" t="str">
        <f>IFERROR(__xludf.DUMMYFUNCTION("""COMPUTED_VALUE"""),"(Không recheck)")</f>
        <v>(Không recheck)</v>
      </c>
      <c r="J356" s="265" t="str">
        <f>IFERROR(__xludf.DUMMYFUNCTION("""COMPUTED_VALUE"""),"(Không recheck)")</f>
        <v>(Không recheck)</v>
      </c>
    </row>
    <row r="357">
      <c r="A357" s="265" t="str">
        <f>IFERROR(__xludf.DUMMYFUNCTION("""COMPUTED_VALUE"""),"649")</f>
        <v>649</v>
      </c>
      <c r="B357" s="265" t="str">
        <f>IFERROR(__xludf.DUMMYFUNCTION("""COMPUTED_VALUE"""),"Sài Gòn")</f>
        <v>Sài Gòn</v>
      </c>
      <c r="C357" s="265" t="str">
        <f>IFERROR(__xludf.DUMMYFUNCTION("""COMPUTED_VALUE"""),"Locked")</f>
        <v>Locked</v>
      </c>
      <c r="D357" s="265" t="str">
        <f>IFERROR(__xludf.DUMMYFUNCTION("""COMPUTED_VALUE"""),"Sale chưa cung cấp")</f>
        <v>Sale chưa cung cấp</v>
      </c>
      <c r="E357" s="265" t="str">
        <f>IFERROR(__xludf.DUMMYFUNCTION("""COMPUTED_VALUE"""),"HoaNTM")</f>
        <v>HoaNTM</v>
      </c>
      <c r="F357" s="265" t="str">
        <f>IFERROR(__xludf.DUMMYFUNCTION("""COMPUTED_VALUE"""),"Silver")</f>
        <v>Silver</v>
      </c>
      <c r="G357" s="265" t="str">
        <f>IFERROR(__xludf.DUMMYFUNCTION("""COMPUTED_VALUE"""),"Enterprise")</f>
        <v>Enterprise</v>
      </c>
      <c r="H357" s="265" t="str">
        <f>IFERROR(__xludf.DUMMYFUNCTION("""COMPUTED_VALUE"""),"(Chưa recheck)")</f>
        <v>(Chưa recheck)</v>
      </c>
      <c r="I357" s="265" t="str">
        <f>IFERROR(__xludf.DUMMYFUNCTION("""COMPUTED_VALUE"""),"(Chưa recheck)")</f>
        <v>(Chưa recheck)</v>
      </c>
      <c r="J357" s="265" t="str">
        <f>IFERROR(__xludf.DUMMYFUNCTION("""COMPUTED_VALUE"""),"File Excel")</f>
        <v>File Excel</v>
      </c>
    </row>
    <row r="358">
      <c r="A358" s="265" t="str">
        <f>IFERROR(__xludf.DUMMYFUNCTION("""COMPUTED_VALUE"""),"649")</f>
        <v>649</v>
      </c>
      <c r="B358" s="265" t="str">
        <f>IFERROR(__xludf.DUMMYFUNCTION("""COMPUTED_VALUE"""),"Sài Gòn")</f>
        <v>Sài Gòn</v>
      </c>
      <c r="C358" s="265" t="str">
        <f>IFERROR(__xludf.DUMMYFUNCTION("""COMPUTED_VALUE"""),"Locked")</f>
        <v>Locked</v>
      </c>
      <c r="D358" s="265" t="str">
        <f>IFERROR(__xludf.DUMMYFUNCTION("""COMPUTED_VALUE"""),"Sale chưa cung cấp")</f>
        <v>Sale chưa cung cấp</v>
      </c>
      <c r="E358" s="265" t="str">
        <f>IFERROR(__xludf.DUMMYFUNCTION("""COMPUTED_VALUE"""),"HoaNTM")</f>
        <v>HoaNTM</v>
      </c>
      <c r="F358" s="265" t="str">
        <f>IFERROR(__xludf.DUMMYFUNCTION("""COMPUTED_VALUE"""),"Silver")</f>
        <v>Silver</v>
      </c>
      <c r="G358" s="265" t="str">
        <f>IFERROR(__xludf.DUMMYFUNCTION("""COMPUTED_VALUE"""),"Enterprise")</f>
        <v>Enterprise</v>
      </c>
      <c r="H358" s="265" t="str">
        <f>IFERROR(__xludf.DUMMYFUNCTION("""COMPUTED_VALUE"""),"(Chưa recheck)")</f>
        <v>(Chưa recheck)</v>
      </c>
      <c r="I358" s="265" t="str">
        <f>IFERROR(__xludf.DUMMYFUNCTION("""COMPUTED_VALUE"""),"(Chưa recheck)")</f>
        <v>(Chưa recheck)</v>
      </c>
      <c r="J358" s="265" t="str">
        <f>IFERROR(__xludf.DUMMYFUNCTION("""COMPUTED_VALUE"""),"API")</f>
        <v>API</v>
      </c>
    </row>
    <row r="359">
      <c r="A359" s="265" t="str">
        <f>IFERROR(__xludf.DUMMYFUNCTION("""COMPUTED_VALUE"""),"650")</f>
        <v>650</v>
      </c>
      <c r="B359" s="265" t="str">
        <f>IFERROR(__xludf.DUMMYFUNCTION("""COMPUTED_VALUE"""),"Hà Nội")</f>
        <v>Hà Nội</v>
      </c>
      <c r="C359" s="265" t="str">
        <f>IFERROR(__xludf.DUMMYFUNCTION("""COMPUTED_VALUE"""),"Active")</f>
        <v>Active</v>
      </c>
      <c r="D359" s="265" t="str">
        <f>IFERROR(__xludf.DUMMYFUNCTION("""COMPUTED_VALUE"""),"Sản xuất &amp; Chế tạo")</f>
        <v>Sản xuất &amp; Chế tạo</v>
      </c>
      <c r="E359" s="265" t="str">
        <f>IFERROR(__xludf.DUMMYFUNCTION("""COMPUTED_VALUE"""),"AnhNM")</f>
        <v>AnhNM</v>
      </c>
      <c r="F359" s="265" t="str">
        <f>IFERROR(__xludf.DUMMYFUNCTION("""COMPUTED_VALUE"""),"Bronze")</f>
        <v>Bronze</v>
      </c>
      <c r="G359" s="265" t="str">
        <f>IFERROR(__xludf.DUMMYFUNCTION("""COMPUTED_VALUE"""),"Premium")</f>
        <v>Premium</v>
      </c>
      <c r="H359" s="265" t="str">
        <f>IFERROR(__xludf.DUMMYFUNCTION("""COMPUTED_VALUE"""),"Trả sau")</f>
        <v>Trả sau</v>
      </c>
      <c r="I359" s="265" t="str">
        <f>IFERROR(__xludf.DUMMYFUNCTION("""COMPUTED_VALUE"""),"API")</f>
        <v>API</v>
      </c>
      <c r="J359" s="265" t="str">
        <f>IFERROR(__xludf.DUMMYFUNCTION("""COMPUTED_VALUE"""),"API")</f>
        <v>API</v>
      </c>
    </row>
    <row r="360">
      <c r="A360" s="265" t="str">
        <f>IFERROR(__xludf.DUMMYFUNCTION("""COMPUTED_VALUE"""),"652")</f>
        <v>652</v>
      </c>
      <c r="B360" s="265" t="str">
        <f>IFERROR(__xludf.DUMMYFUNCTION("""COMPUTED_VALUE"""),"Hà Nội")</f>
        <v>Hà Nội</v>
      </c>
      <c r="C360" s="265" t="str">
        <f>IFERROR(__xludf.DUMMYFUNCTION("""COMPUTED_VALUE"""),"Locked")</f>
        <v>Locked</v>
      </c>
      <c r="D360" s="265" t="str">
        <f>IFERROR(__xludf.DUMMYFUNCTION("""COMPUTED_VALUE"""),"Y tế &amp; Dược phẩm")</f>
        <v>Y tế &amp; Dược phẩm</v>
      </c>
      <c r="E360" s="265" t="str">
        <f>IFERROR(__xludf.DUMMYFUNCTION("""COMPUTED_VALUE"""),"NamDT")</f>
        <v>NamDT</v>
      </c>
      <c r="F360" s="265" t="str">
        <f>IFERROR(__xludf.DUMMYFUNCTION("""COMPUTED_VALUE"""),"Sale chưa cung cấp")</f>
        <v>Sale chưa cung cấp</v>
      </c>
      <c r="G360" s="265" t="str">
        <f>IFERROR(__xludf.DUMMYFUNCTION("""COMPUTED_VALUE"""),"Enterprise")</f>
        <v>Enterprise</v>
      </c>
      <c r="H360" s="265" t="str">
        <f>IFERROR(__xludf.DUMMYFUNCTION("""COMPUTED_VALUE"""),"Trả trước")</f>
        <v>Trả trước</v>
      </c>
      <c r="I360" s="265" t="str">
        <f>IFERROR(__xludf.DUMMYFUNCTION("""COMPUTED_VALUE"""),"Portal")</f>
        <v>Portal</v>
      </c>
      <c r="J360" s="265" t="str">
        <f>IFERROR(__xludf.DUMMYFUNCTION("""COMPUTED_VALUE"""),"File Excel")</f>
        <v>File Excel</v>
      </c>
    </row>
    <row r="361">
      <c r="A361" s="265" t="str">
        <f>IFERROR(__xludf.DUMMYFUNCTION("""COMPUTED_VALUE"""),"654")</f>
        <v>654</v>
      </c>
      <c r="B361" s="265" t="str">
        <f>IFERROR(__xludf.DUMMYFUNCTION("""COMPUTED_VALUE"""),"Sài Gòn")</f>
        <v>Sài Gòn</v>
      </c>
      <c r="C361" s="265" t="str">
        <f>IFERROR(__xludf.DUMMYFUNCTION("""COMPUTED_VALUE"""),"Locked")</f>
        <v>Locked</v>
      </c>
      <c r="D361" s="265" t="str">
        <f>IFERROR(__xludf.DUMMYFUNCTION("""COMPUTED_VALUE"""),"Viễn thông")</f>
        <v>Viễn thông</v>
      </c>
      <c r="E361" s="265" t="str">
        <f>IFERROR(__xludf.DUMMYFUNCTION("""COMPUTED_VALUE"""),"HoaNTM")</f>
        <v>HoaNTM</v>
      </c>
      <c r="F361" s="265" t="str">
        <f>IFERROR(__xludf.DUMMYFUNCTION("""COMPUTED_VALUE"""),"Sale chưa cung cấp")</f>
        <v>Sale chưa cung cấp</v>
      </c>
      <c r="G361" s="265" t="str">
        <f>IFERROR(__xludf.DUMMYFUNCTION("""COMPUTED_VALUE"""),"Enterprise")</f>
        <v>Enterprise</v>
      </c>
      <c r="H361" s="265" t="str">
        <f>IFERROR(__xludf.DUMMYFUNCTION("""COMPUTED_VALUE"""),"Trả sau")</f>
        <v>Trả sau</v>
      </c>
      <c r="I361" s="265" t="str">
        <f>IFERROR(__xludf.DUMMYFUNCTION("""COMPUTED_VALUE"""),"API &amp; Portal")</f>
        <v>API &amp; Portal</v>
      </c>
      <c r="J361" s="265" t="str">
        <f>IFERROR(__xludf.DUMMYFUNCTION("""COMPUTED_VALUE"""),"File Excel")</f>
        <v>File Excel</v>
      </c>
    </row>
    <row r="362">
      <c r="A362" s="265" t="str">
        <f>IFERROR(__xludf.DUMMYFUNCTION("""COMPUTED_VALUE"""),"654")</f>
        <v>654</v>
      </c>
      <c r="B362" s="265" t="str">
        <f>IFERROR(__xludf.DUMMYFUNCTION("""COMPUTED_VALUE"""),"Sài Gòn")</f>
        <v>Sài Gòn</v>
      </c>
      <c r="C362" s="265" t="str">
        <f>IFERROR(__xludf.DUMMYFUNCTION("""COMPUTED_VALUE"""),"Locked")</f>
        <v>Locked</v>
      </c>
      <c r="D362" s="265" t="str">
        <f>IFERROR(__xludf.DUMMYFUNCTION("""COMPUTED_VALUE"""),"Viễn thông")</f>
        <v>Viễn thông</v>
      </c>
      <c r="E362" s="265" t="str">
        <f>IFERROR(__xludf.DUMMYFUNCTION("""COMPUTED_VALUE"""),"HoaNTM")</f>
        <v>HoaNTM</v>
      </c>
      <c r="F362" s="265" t="str">
        <f>IFERROR(__xludf.DUMMYFUNCTION("""COMPUTED_VALUE"""),"Sale chưa cung cấp")</f>
        <v>Sale chưa cung cấp</v>
      </c>
      <c r="G362" s="265" t="str">
        <f>IFERROR(__xludf.DUMMYFUNCTION("""COMPUTED_VALUE"""),"Enterprise")</f>
        <v>Enterprise</v>
      </c>
      <c r="H362" s="265" t="str">
        <f>IFERROR(__xludf.DUMMYFUNCTION("""COMPUTED_VALUE"""),"Trả sau")</f>
        <v>Trả sau</v>
      </c>
      <c r="I362" s="265" t="str">
        <f>IFERROR(__xludf.DUMMYFUNCTION("""COMPUTED_VALUE"""),"API &amp; Portal")</f>
        <v>API &amp; Portal</v>
      </c>
      <c r="J362" s="265" t="str">
        <f>IFERROR(__xludf.DUMMYFUNCTION("""COMPUTED_VALUE"""),"API")</f>
        <v>API</v>
      </c>
    </row>
    <row r="363">
      <c r="A363" s="265" t="str">
        <f>IFERROR(__xludf.DUMMYFUNCTION("""COMPUTED_VALUE"""),"655")</f>
        <v>655</v>
      </c>
      <c r="B363" s="265" t="str">
        <f>IFERROR(__xludf.DUMMYFUNCTION("""COMPUTED_VALUE"""),"Sài Gòn")</f>
        <v>Sài Gòn</v>
      </c>
      <c r="C363" s="265" t="str">
        <f>IFERROR(__xludf.DUMMYFUNCTION("""COMPUTED_VALUE"""),"Active")</f>
        <v>Active</v>
      </c>
      <c r="D363" s="265" t="str">
        <f>IFERROR(__xludf.DUMMYFUNCTION("""COMPUTED_VALUE"""),"Thực phẩm &amp; Đồ uống")</f>
        <v>Thực phẩm &amp; Đồ uống</v>
      </c>
      <c r="E363" s="265" t="str">
        <f>IFERROR(__xludf.DUMMYFUNCTION("""COMPUTED_VALUE"""),"TùngLD")</f>
        <v>TùngLD</v>
      </c>
      <c r="F363" s="265" t="str">
        <f>IFERROR(__xludf.DUMMYFUNCTION("""COMPUTED_VALUE"""),"Diamond")</f>
        <v>Diamond</v>
      </c>
      <c r="G363" s="265" t="str">
        <f>IFERROR(__xludf.DUMMYFUNCTION("""COMPUTED_VALUE"""),"Enterprise")</f>
        <v>Enterprise</v>
      </c>
      <c r="H363" s="265" t="str">
        <f>IFERROR(__xludf.DUMMYFUNCTION("""COMPUTED_VALUE"""),"Trả sau")</f>
        <v>Trả sau</v>
      </c>
      <c r="I363" s="265" t="str">
        <f>IFERROR(__xludf.DUMMYFUNCTION("""COMPUTED_VALUE"""),"API")</f>
        <v>API</v>
      </c>
      <c r="J363" s="265" t="str">
        <f>IFERROR(__xludf.DUMMYFUNCTION("""COMPUTED_VALUE"""),"HubSpot")</f>
        <v>HubSpot</v>
      </c>
    </row>
    <row r="364">
      <c r="A364" s="265" t="str">
        <f>IFERROR(__xludf.DUMMYFUNCTION("""COMPUTED_VALUE"""),"656")</f>
        <v>656</v>
      </c>
      <c r="B364" s="265" t="str">
        <f>IFERROR(__xludf.DUMMYFUNCTION("""COMPUTED_VALUE"""),"Hà Nội")</f>
        <v>Hà Nội</v>
      </c>
      <c r="C364" s="265" t="str">
        <f>IFERROR(__xludf.DUMMYFUNCTION("""COMPUTED_VALUE"""),"Locked")</f>
        <v>Locked</v>
      </c>
      <c r="D364" s="265" t="str">
        <f>IFERROR(__xludf.DUMMYFUNCTION("""COMPUTED_VALUE"""),"Giáo dục &amp; Đào tạo")</f>
        <v>Giáo dục &amp; Đào tạo</v>
      </c>
      <c r="E364" s="265" t="str">
        <f>IFERROR(__xludf.DUMMYFUNCTION("""COMPUTED_VALUE"""),"AnhNP")</f>
        <v>AnhNP</v>
      </c>
      <c r="F364" s="265" t="str">
        <f>IFERROR(__xludf.DUMMYFUNCTION("""COMPUTED_VALUE"""),"Sale chưa cung cấp")</f>
        <v>Sale chưa cung cấp</v>
      </c>
      <c r="G364" s="265" t="str">
        <f>IFERROR(__xludf.DUMMYFUNCTION("""COMPUTED_VALUE"""),"Enterprise")</f>
        <v>Enterprise</v>
      </c>
      <c r="H364" s="265" t="str">
        <f>IFERROR(__xludf.DUMMYFUNCTION("""COMPUTED_VALUE"""),"Trả trước")</f>
        <v>Trả trước</v>
      </c>
      <c r="I364" s="265" t="str">
        <f>IFERROR(__xludf.DUMMYFUNCTION("""COMPUTED_VALUE"""),"Portal")</f>
        <v>Portal</v>
      </c>
      <c r="J364" s="265" t="str">
        <f>IFERROR(__xludf.DUMMYFUNCTION("""COMPUTED_VALUE"""),"File Excel")</f>
        <v>File Excel</v>
      </c>
    </row>
    <row r="365">
      <c r="A365" s="265" t="str">
        <f>IFERROR(__xludf.DUMMYFUNCTION("""COMPUTED_VALUE"""),"674")</f>
        <v>674</v>
      </c>
      <c r="B365" s="265" t="str">
        <f>IFERROR(__xludf.DUMMYFUNCTION("""COMPUTED_VALUE"""),"Hà Nội")</f>
        <v>Hà Nội</v>
      </c>
      <c r="C365" s="265" t="str">
        <f>IFERROR(__xludf.DUMMYFUNCTION("""COMPUTED_VALUE"""),"Active")</f>
        <v>Active</v>
      </c>
      <c r="D365" s="265" t="str">
        <f>IFERROR(__xludf.DUMMYFUNCTION("""COMPUTED_VALUE"""),"Mua sắm &amp; Bán lẻ")</f>
        <v>Mua sắm &amp; Bán lẻ</v>
      </c>
      <c r="E365" s="265" t="str">
        <f>IFERROR(__xludf.DUMMYFUNCTION("""COMPUTED_VALUE"""),"TúPHN")</f>
        <v>TúPHN</v>
      </c>
      <c r="F365" s="265" t="str">
        <f>IFERROR(__xludf.DUMMYFUNCTION("""COMPUTED_VALUE"""),"Diamond")</f>
        <v>Diamond</v>
      </c>
      <c r="G365" s="265" t="str">
        <f>IFERROR(__xludf.DUMMYFUNCTION("""COMPUTED_VALUE"""),"Enterprise")</f>
        <v>Enterprise</v>
      </c>
      <c r="H365" s="265" t="str">
        <f>IFERROR(__xludf.DUMMYFUNCTION("""COMPUTED_VALUE"""),"Trả sau")</f>
        <v>Trả sau</v>
      </c>
      <c r="I365" s="265" t="str">
        <f>IFERROR(__xludf.DUMMYFUNCTION("""COMPUTED_VALUE"""),"Portal")</f>
        <v>Portal</v>
      </c>
      <c r="J365" s="265" t="str">
        <f>IFERROR(__xludf.DUMMYFUNCTION("""COMPUTED_VALUE"""),"File Excel")</f>
        <v>File Excel</v>
      </c>
    </row>
    <row r="366">
      <c r="A366" s="265" t="str">
        <f>IFERROR(__xludf.DUMMYFUNCTION("""COMPUTED_VALUE"""),"657")</f>
        <v>657</v>
      </c>
      <c r="B366" s="265" t="str">
        <f>IFERROR(__xludf.DUMMYFUNCTION("""COMPUTED_VALUE"""),"Hà Nội")</f>
        <v>Hà Nội</v>
      </c>
      <c r="C366" s="265" t="str">
        <f>IFERROR(__xludf.DUMMYFUNCTION("""COMPUTED_VALUE"""),"Locked")</f>
        <v>Locked</v>
      </c>
      <c r="D366" s="265" t="str">
        <f>IFERROR(__xludf.DUMMYFUNCTION("""COMPUTED_VALUE"""),"Tài chính &amp; Ngân hàng")</f>
        <v>Tài chính &amp; Ngân hàng</v>
      </c>
      <c r="E366" s="265" t="str">
        <f>IFERROR(__xludf.DUMMYFUNCTION("""COMPUTED_VALUE"""),"AnhNM")</f>
        <v>AnhNM</v>
      </c>
      <c r="F366" s="265" t="str">
        <f>IFERROR(__xludf.DUMMYFUNCTION("""COMPUTED_VALUE"""),"Silver")</f>
        <v>Silver</v>
      </c>
      <c r="G366" s="265" t="str">
        <f>IFERROR(__xludf.DUMMYFUNCTION("""COMPUTED_VALUE"""),"Starter")</f>
        <v>Starter</v>
      </c>
      <c r="H366" s="265" t="str">
        <f>IFERROR(__xludf.DUMMYFUNCTION("""COMPUTED_VALUE"""),"Trả sau")</f>
        <v>Trả sau</v>
      </c>
      <c r="I366" s="265" t="str">
        <f>IFERROR(__xludf.DUMMYFUNCTION("""COMPUTED_VALUE"""),"API &amp; Portal")</f>
        <v>API &amp; Portal</v>
      </c>
      <c r="J366" s="265" t="str">
        <f>IFERROR(__xludf.DUMMYFUNCTION("""COMPUTED_VALUE"""),"File Excel")</f>
        <v>File Excel</v>
      </c>
    </row>
    <row r="367">
      <c r="A367" s="265" t="str">
        <f>IFERROR(__xludf.DUMMYFUNCTION("""COMPUTED_VALUE"""),"657")</f>
        <v>657</v>
      </c>
      <c r="B367" s="265" t="str">
        <f>IFERROR(__xludf.DUMMYFUNCTION("""COMPUTED_VALUE"""),"Hà Nội")</f>
        <v>Hà Nội</v>
      </c>
      <c r="C367" s="265" t="str">
        <f>IFERROR(__xludf.DUMMYFUNCTION("""COMPUTED_VALUE"""),"Locked")</f>
        <v>Locked</v>
      </c>
      <c r="D367" s="265" t="str">
        <f>IFERROR(__xludf.DUMMYFUNCTION("""COMPUTED_VALUE"""),"Tài chính &amp; Ngân hàng")</f>
        <v>Tài chính &amp; Ngân hàng</v>
      </c>
      <c r="E367" s="265" t="str">
        <f>IFERROR(__xludf.DUMMYFUNCTION("""COMPUTED_VALUE"""),"AnhNM")</f>
        <v>AnhNM</v>
      </c>
      <c r="F367" s="265" t="str">
        <f>IFERROR(__xludf.DUMMYFUNCTION("""COMPUTED_VALUE"""),"Silver")</f>
        <v>Silver</v>
      </c>
      <c r="G367" s="265" t="str">
        <f>IFERROR(__xludf.DUMMYFUNCTION("""COMPUTED_VALUE"""),"Starter")</f>
        <v>Starter</v>
      </c>
      <c r="H367" s="265" t="str">
        <f>IFERROR(__xludf.DUMMYFUNCTION("""COMPUTED_VALUE"""),"Trả sau")</f>
        <v>Trả sau</v>
      </c>
      <c r="I367" s="265" t="str">
        <f>IFERROR(__xludf.DUMMYFUNCTION("""COMPUTED_VALUE"""),"API &amp; Portal")</f>
        <v>API &amp; Portal</v>
      </c>
      <c r="J367" s="265" t="str">
        <f>IFERROR(__xludf.DUMMYFUNCTION("""COMPUTED_VALUE"""),"API")</f>
        <v>API</v>
      </c>
    </row>
    <row r="368">
      <c r="A368" s="265" t="str">
        <f>IFERROR(__xludf.DUMMYFUNCTION("""COMPUTED_VALUE"""),"659")</f>
        <v>659</v>
      </c>
      <c r="B368" s="265" t="str">
        <f>IFERROR(__xludf.DUMMYFUNCTION("""COMPUTED_VALUE"""),"Hà Nội")</f>
        <v>Hà Nội</v>
      </c>
      <c r="C368" s="265" t="str">
        <f>IFERROR(__xludf.DUMMYFUNCTION("""COMPUTED_VALUE"""),"Locked")</f>
        <v>Locked</v>
      </c>
      <c r="D368" s="265" t="str">
        <f>IFERROR(__xludf.DUMMYFUNCTION("""COMPUTED_VALUE"""),"Tài chính &amp; Ngân hàng")</f>
        <v>Tài chính &amp; Ngân hàng</v>
      </c>
      <c r="E368" s="265" t="str">
        <f>IFERROR(__xludf.DUMMYFUNCTION("""COMPUTED_VALUE"""),"NamDT")</f>
        <v>NamDT</v>
      </c>
      <c r="F368" s="265" t="str">
        <f>IFERROR(__xludf.DUMMYFUNCTION("""COMPUTED_VALUE"""),"Sale chưa cung cấp")</f>
        <v>Sale chưa cung cấp</v>
      </c>
      <c r="G368" s="265" t="str">
        <f>IFERROR(__xludf.DUMMYFUNCTION("""COMPUTED_VALUE"""),"Enterprise")</f>
        <v>Enterprise</v>
      </c>
      <c r="H368" s="265" t="str">
        <f>IFERROR(__xludf.DUMMYFUNCTION("""COMPUTED_VALUE"""),"Trial")</f>
        <v>Trial</v>
      </c>
      <c r="I368" s="265" t="str">
        <f>IFERROR(__xludf.DUMMYFUNCTION("""COMPUTED_VALUE"""),"API")</f>
        <v>API</v>
      </c>
      <c r="J368" s="265" t="str">
        <f>IFERROR(__xludf.DUMMYFUNCTION("""COMPUTED_VALUE"""),"API")</f>
        <v>API</v>
      </c>
    </row>
    <row r="369">
      <c r="A369" s="265" t="str">
        <f>IFERROR(__xludf.DUMMYFUNCTION("""COMPUTED_VALUE"""),"658")</f>
        <v>658</v>
      </c>
      <c r="B369" s="265" t="str">
        <f>IFERROR(__xludf.DUMMYFUNCTION("""COMPUTED_VALUE"""),"Sài Gòn")</f>
        <v>Sài Gòn</v>
      </c>
      <c r="C369" s="265" t="str">
        <f>IFERROR(__xludf.DUMMYFUNCTION("""COMPUTED_VALUE"""),"Active")</f>
        <v>Active</v>
      </c>
      <c r="D369" s="265" t="str">
        <f>IFERROR(__xludf.DUMMYFUNCTION("""COMPUTED_VALUE"""),"Công nghệ &amp; Phần mềm")</f>
        <v>Công nghệ &amp; Phần mềm</v>
      </c>
      <c r="E369" s="265" t="str">
        <f>IFERROR(__xludf.DUMMYFUNCTION("""COMPUTED_VALUE"""),"TúPHN")</f>
        <v>TúPHN</v>
      </c>
      <c r="F369" s="265" t="str">
        <f>IFERROR(__xludf.DUMMYFUNCTION("""COMPUTED_VALUE"""),"Gold")</f>
        <v>Gold</v>
      </c>
      <c r="G369" s="265" t="str">
        <f>IFERROR(__xludf.DUMMYFUNCTION("""COMPUTED_VALUE"""),"Premium")</f>
        <v>Premium</v>
      </c>
      <c r="H369" s="265" t="str">
        <f>IFERROR(__xludf.DUMMYFUNCTION("""COMPUTED_VALUE"""),"Trả sau")</f>
        <v>Trả sau</v>
      </c>
      <c r="I369" s="265" t="str">
        <f>IFERROR(__xludf.DUMMYFUNCTION("""COMPUTED_VALUE"""),"API")</f>
        <v>API</v>
      </c>
      <c r="J369" s="265" t="str">
        <f>IFERROR(__xludf.DUMMYFUNCTION("""COMPUTED_VALUE"""),"File Excel")</f>
        <v>File Excel</v>
      </c>
    </row>
    <row r="370">
      <c r="A370" s="265" t="str">
        <f>IFERROR(__xludf.DUMMYFUNCTION("""COMPUTED_VALUE"""),"658")</f>
        <v>658</v>
      </c>
      <c r="B370" s="265" t="str">
        <f>IFERROR(__xludf.DUMMYFUNCTION("""COMPUTED_VALUE"""),"Sài Gòn")</f>
        <v>Sài Gòn</v>
      </c>
      <c r="C370" s="265" t="str">
        <f>IFERROR(__xludf.DUMMYFUNCTION("""COMPUTED_VALUE"""),"Active")</f>
        <v>Active</v>
      </c>
      <c r="D370" s="265" t="str">
        <f>IFERROR(__xludf.DUMMYFUNCTION("""COMPUTED_VALUE"""),"Công nghệ &amp; Phần mềm")</f>
        <v>Công nghệ &amp; Phần mềm</v>
      </c>
      <c r="E370" s="265" t="str">
        <f>IFERROR(__xludf.DUMMYFUNCTION("""COMPUTED_VALUE"""),"TúPHN")</f>
        <v>TúPHN</v>
      </c>
      <c r="F370" s="265" t="str">
        <f>IFERROR(__xludf.DUMMYFUNCTION("""COMPUTED_VALUE"""),"Gold")</f>
        <v>Gold</v>
      </c>
      <c r="G370" s="265" t="str">
        <f>IFERROR(__xludf.DUMMYFUNCTION("""COMPUTED_VALUE"""),"Premium")</f>
        <v>Premium</v>
      </c>
      <c r="H370" s="265" t="str">
        <f>IFERROR(__xludf.DUMMYFUNCTION("""COMPUTED_VALUE"""),"Trả sau")</f>
        <v>Trả sau</v>
      </c>
      <c r="I370" s="265" t="str">
        <f>IFERROR(__xludf.DUMMYFUNCTION("""COMPUTED_VALUE"""),"API")</f>
        <v>API</v>
      </c>
      <c r="J370" s="265" t="str">
        <f>IFERROR(__xludf.DUMMYFUNCTION("""COMPUTED_VALUE"""),"API")</f>
        <v>API</v>
      </c>
    </row>
    <row r="371">
      <c r="A371" s="265" t="str">
        <f>IFERROR(__xludf.DUMMYFUNCTION("""COMPUTED_VALUE"""),"660")</f>
        <v>660</v>
      </c>
      <c r="B371" s="265" t="str">
        <f>IFERROR(__xludf.DUMMYFUNCTION("""COMPUTED_VALUE"""),"Sài Gòn")</f>
        <v>Sài Gòn</v>
      </c>
      <c r="C371" s="265" t="str">
        <f>IFERROR(__xludf.DUMMYFUNCTION("""COMPUTED_VALUE"""),"Active")</f>
        <v>Active</v>
      </c>
      <c r="D371" s="265" t="str">
        <f>IFERROR(__xludf.DUMMYFUNCTION("""COMPUTED_VALUE"""),"Sale chưa cung cấp")</f>
        <v>Sale chưa cung cấp</v>
      </c>
      <c r="E371" s="265" t="str">
        <f>IFERROR(__xludf.DUMMYFUNCTION("""COMPUTED_VALUE"""),"TùngLD")</f>
        <v>TùngLD</v>
      </c>
      <c r="F371" s="265" t="str">
        <f>IFERROR(__xludf.DUMMYFUNCTION("""COMPUTED_VALUE"""),"Diamond")</f>
        <v>Diamond</v>
      </c>
      <c r="G371" s="265" t="str">
        <f>IFERROR(__xludf.DUMMYFUNCTION("""COMPUTED_VALUE"""),"Starter")</f>
        <v>Starter</v>
      </c>
      <c r="H371" s="265" t="str">
        <f>IFERROR(__xludf.DUMMYFUNCTION("""COMPUTED_VALUE"""),"Trả sau")</f>
        <v>Trả sau</v>
      </c>
      <c r="I371" s="265" t="str">
        <f>IFERROR(__xludf.DUMMYFUNCTION("""COMPUTED_VALUE"""),"Portal")</f>
        <v>Portal</v>
      </c>
      <c r="J371" s="265" t="str">
        <f>IFERROR(__xludf.DUMMYFUNCTION("""COMPUTED_VALUE"""),"File Excel")</f>
        <v>File Excel</v>
      </c>
    </row>
    <row r="372">
      <c r="A372" s="265" t="str">
        <f>IFERROR(__xludf.DUMMYFUNCTION("""COMPUTED_VALUE"""),"660")</f>
        <v>660</v>
      </c>
      <c r="B372" s="265" t="str">
        <f>IFERROR(__xludf.DUMMYFUNCTION("""COMPUTED_VALUE"""),"Sài Gòn")</f>
        <v>Sài Gòn</v>
      </c>
      <c r="C372" s="265" t="str">
        <f>IFERROR(__xludf.DUMMYFUNCTION("""COMPUTED_VALUE"""),"Active")</f>
        <v>Active</v>
      </c>
      <c r="D372" s="265" t="str">
        <f>IFERROR(__xludf.DUMMYFUNCTION("""COMPUTED_VALUE"""),"Sale chưa cung cấp")</f>
        <v>Sale chưa cung cấp</v>
      </c>
      <c r="E372" s="265" t="str">
        <f>IFERROR(__xludf.DUMMYFUNCTION("""COMPUTED_VALUE"""),"TùngLD")</f>
        <v>TùngLD</v>
      </c>
      <c r="F372" s="265" t="str">
        <f>IFERROR(__xludf.DUMMYFUNCTION("""COMPUTED_VALUE"""),"Diamond")</f>
        <v>Diamond</v>
      </c>
      <c r="G372" s="265" t="str">
        <f>IFERROR(__xludf.DUMMYFUNCTION("""COMPUTED_VALUE"""),"Starter")</f>
        <v>Starter</v>
      </c>
      <c r="H372" s="265" t="str">
        <f>IFERROR(__xludf.DUMMYFUNCTION("""COMPUTED_VALUE"""),"Trả sau")</f>
        <v>Trả sau</v>
      </c>
      <c r="I372" s="265" t="str">
        <f>IFERROR(__xludf.DUMMYFUNCTION("""COMPUTED_VALUE"""),"Portal")</f>
        <v>Portal</v>
      </c>
      <c r="J372" s="265" t="str">
        <f>IFERROR(__xludf.DUMMYFUNCTION("""COMPUTED_VALUE"""),"API")</f>
        <v>API</v>
      </c>
    </row>
    <row r="373">
      <c r="A373" s="265" t="str">
        <f>IFERROR(__xludf.DUMMYFUNCTION("""COMPUTED_VALUE"""),"661")</f>
        <v>661</v>
      </c>
      <c r="B373" s="265" t="str">
        <f>IFERROR(__xludf.DUMMYFUNCTION("""COMPUTED_VALUE"""),"Hà Nội")</f>
        <v>Hà Nội</v>
      </c>
      <c r="C373" s="265" t="str">
        <f>IFERROR(__xludf.DUMMYFUNCTION("""COMPUTED_VALUE"""),"Locked")</f>
        <v>Locked</v>
      </c>
      <c r="D373" s="265" t="str">
        <f>IFERROR(__xludf.DUMMYFUNCTION("""COMPUTED_VALUE"""),"Viễn thông")</f>
        <v>Viễn thông</v>
      </c>
      <c r="E373" s="265" t="str">
        <f>IFERROR(__xludf.DUMMYFUNCTION("""COMPUTED_VALUE"""),"TùngLD")</f>
        <v>TùngLD</v>
      </c>
      <c r="F373" s="265" t="str">
        <f>IFERROR(__xludf.DUMMYFUNCTION("""COMPUTED_VALUE"""),"Gold")</f>
        <v>Gold</v>
      </c>
      <c r="G373" s="265" t="str">
        <f>IFERROR(__xludf.DUMMYFUNCTION("""COMPUTED_VALUE"""),"Enterprise")</f>
        <v>Enterprise</v>
      </c>
      <c r="H373" s="265" t="str">
        <f>IFERROR(__xludf.DUMMYFUNCTION("""COMPUTED_VALUE"""),"Trả sau")</f>
        <v>Trả sau</v>
      </c>
      <c r="I373" s="265" t="str">
        <f>IFERROR(__xludf.DUMMYFUNCTION("""COMPUTED_VALUE"""),"Portal")</f>
        <v>Portal</v>
      </c>
      <c r="J373" s="265" t="str">
        <f>IFERROR(__xludf.DUMMYFUNCTION("""COMPUTED_VALUE"""),"File Excel")</f>
        <v>File Excel</v>
      </c>
    </row>
    <row r="374">
      <c r="A374" s="265" t="str">
        <f>IFERROR(__xludf.DUMMYFUNCTION("""COMPUTED_VALUE"""),"662")</f>
        <v>662</v>
      </c>
      <c r="B374" s="265" t="str">
        <f>IFERROR(__xludf.DUMMYFUNCTION("""COMPUTED_VALUE"""),"Sài Gòn")</f>
        <v>Sài Gòn</v>
      </c>
      <c r="C374" s="265" t="str">
        <f>IFERROR(__xludf.DUMMYFUNCTION("""COMPUTED_VALUE"""),"Locked")</f>
        <v>Locked</v>
      </c>
      <c r="D374" s="265" t="str">
        <f>IFERROR(__xludf.DUMMYFUNCTION("""COMPUTED_VALUE"""),"Sale chưa cung cấp")</f>
        <v>Sale chưa cung cấp</v>
      </c>
      <c r="E374" s="265" t="str">
        <f>IFERROR(__xludf.DUMMYFUNCTION("""COMPUTED_VALUE"""),"TuVTC")</f>
        <v>TuVTC</v>
      </c>
      <c r="F374" s="265" t="str">
        <f>IFERROR(__xludf.DUMMYFUNCTION("""COMPUTED_VALUE"""),"Sale chưa cung cấp")</f>
        <v>Sale chưa cung cấp</v>
      </c>
      <c r="G374" s="265" t="str">
        <f>IFERROR(__xludf.DUMMYFUNCTION("""COMPUTED_VALUE"""),"MSG")</f>
        <v>MSG</v>
      </c>
      <c r="H374" s="265" t="str">
        <f>IFERROR(__xludf.DUMMYFUNCTION("""COMPUTED_VALUE"""),"Trả sau")</f>
        <v>Trả sau</v>
      </c>
      <c r="I374" s="265" t="str">
        <f>IFERROR(__xludf.DUMMYFUNCTION("""COMPUTED_VALUE"""),"(Chưa recheck)")</f>
        <v>(Chưa recheck)</v>
      </c>
      <c r="J374" s="265" t="str">
        <f>IFERROR(__xludf.DUMMYFUNCTION("""COMPUTED_VALUE"""),"File Excel")</f>
        <v>File Excel</v>
      </c>
    </row>
    <row r="375">
      <c r="A375" s="265" t="str">
        <f>IFERROR(__xludf.DUMMYFUNCTION("""COMPUTED_VALUE"""),"663")</f>
        <v>663</v>
      </c>
      <c r="B375" s="265" t="str">
        <f>IFERROR(__xludf.DUMMYFUNCTION("""COMPUTED_VALUE"""),"Hà Nội")</f>
        <v>Hà Nội</v>
      </c>
      <c r="C375" s="265" t="str">
        <f>IFERROR(__xludf.DUMMYFUNCTION("""COMPUTED_VALUE"""),"Locked")</f>
        <v>Locked</v>
      </c>
      <c r="D375" s="265" t="str">
        <f>IFERROR(__xludf.DUMMYFUNCTION("""COMPUTED_VALUE"""),"Y tế &amp; Dược phẩm")</f>
        <v>Y tế &amp; Dược phẩm</v>
      </c>
      <c r="E375" s="265" t="str">
        <f>IFERROR(__xludf.DUMMYFUNCTION("""COMPUTED_VALUE"""),"TúPHN")</f>
        <v>TúPHN</v>
      </c>
      <c r="F375" s="265" t="str">
        <f>IFERROR(__xludf.DUMMYFUNCTION("""COMPUTED_VALUE"""),"Sale chưa cung cấp")</f>
        <v>Sale chưa cung cấp</v>
      </c>
      <c r="G375" s="265" t="str">
        <f>IFERROR(__xludf.DUMMYFUNCTION("""COMPUTED_VALUE"""),"Enterprise")</f>
        <v>Enterprise</v>
      </c>
      <c r="H375" s="265" t="str">
        <f>IFERROR(__xludf.DUMMYFUNCTION("""COMPUTED_VALUE"""),"Trial")</f>
        <v>Trial</v>
      </c>
      <c r="I375" s="265" t="str">
        <f>IFERROR(__xludf.DUMMYFUNCTION("""COMPUTED_VALUE"""),"API &amp; Portal")</f>
        <v>API &amp; Portal</v>
      </c>
      <c r="J375" s="265" t="str">
        <f>IFERROR(__xludf.DUMMYFUNCTION("""COMPUTED_VALUE"""),"File Excel")</f>
        <v>File Excel</v>
      </c>
    </row>
    <row r="376">
      <c r="A376" s="265" t="str">
        <f>IFERROR(__xludf.DUMMYFUNCTION("""COMPUTED_VALUE"""),"663")</f>
        <v>663</v>
      </c>
      <c r="B376" s="265" t="str">
        <f>IFERROR(__xludf.DUMMYFUNCTION("""COMPUTED_VALUE"""),"Hà Nội")</f>
        <v>Hà Nội</v>
      </c>
      <c r="C376" s="265" t="str">
        <f>IFERROR(__xludf.DUMMYFUNCTION("""COMPUTED_VALUE"""),"Locked")</f>
        <v>Locked</v>
      </c>
      <c r="D376" s="265" t="str">
        <f>IFERROR(__xludf.DUMMYFUNCTION("""COMPUTED_VALUE"""),"Y tế &amp; Dược phẩm")</f>
        <v>Y tế &amp; Dược phẩm</v>
      </c>
      <c r="E376" s="265" t="str">
        <f>IFERROR(__xludf.DUMMYFUNCTION("""COMPUTED_VALUE"""),"TúPHN")</f>
        <v>TúPHN</v>
      </c>
      <c r="F376" s="265" t="str">
        <f>IFERROR(__xludf.DUMMYFUNCTION("""COMPUTED_VALUE"""),"Sale chưa cung cấp")</f>
        <v>Sale chưa cung cấp</v>
      </c>
      <c r="G376" s="265" t="str">
        <f>IFERROR(__xludf.DUMMYFUNCTION("""COMPUTED_VALUE"""),"Enterprise")</f>
        <v>Enterprise</v>
      </c>
      <c r="H376" s="265" t="str">
        <f>IFERROR(__xludf.DUMMYFUNCTION("""COMPUTED_VALUE"""),"Trial")</f>
        <v>Trial</v>
      </c>
      <c r="I376" s="265" t="str">
        <f>IFERROR(__xludf.DUMMYFUNCTION("""COMPUTED_VALUE"""),"API &amp; Portal")</f>
        <v>API &amp; Portal</v>
      </c>
      <c r="J376" s="265" t="str">
        <f>IFERROR(__xludf.DUMMYFUNCTION("""COMPUTED_VALUE"""),"API")</f>
        <v>API</v>
      </c>
    </row>
    <row r="377">
      <c r="A377" s="265" t="str">
        <f>IFERROR(__xludf.DUMMYFUNCTION("""COMPUTED_VALUE"""),"665")</f>
        <v>665</v>
      </c>
      <c r="B377" s="265" t="str">
        <f>IFERROR(__xludf.DUMMYFUNCTION("""COMPUTED_VALUE"""),"Sài Gòn")</f>
        <v>Sài Gòn</v>
      </c>
      <c r="C377" s="265" t="str">
        <f>IFERROR(__xludf.DUMMYFUNCTION("""COMPUTED_VALUE"""),"Locked")</f>
        <v>Locked</v>
      </c>
      <c r="D377" s="265" t="str">
        <f>IFERROR(__xludf.DUMMYFUNCTION("""COMPUTED_VALUE"""),"Công nghệ &amp; Phần mềm")</f>
        <v>Công nghệ &amp; Phần mềm</v>
      </c>
      <c r="E377" s="265" t="str">
        <f>IFERROR(__xludf.DUMMYFUNCTION("""COMPUTED_VALUE"""),"TùngLD")</f>
        <v>TùngLD</v>
      </c>
      <c r="F377" s="265" t="str">
        <f>IFERROR(__xludf.DUMMYFUNCTION("""COMPUTED_VALUE"""),"Bronze")</f>
        <v>Bronze</v>
      </c>
      <c r="G377" s="265" t="str">
        <f>IFERROR(__xludf.DUMMYFUNCTION("""COMPUTED_VALUE"""),"Enterprise")</f>
        <v>Enterprise</v>
      </c>
      <c r="H377" s="265" t="str">
        <f>IFERROR(__xludf.DUMMYFUNCTION("""COMPUTED_VALUE"""),"(Chưa recheck)")</f>
        <v>(Chưa recheck)</v>
      </c>
      <c r="I377" s="265" t="str">
        <f>IFERROR(__xludf.DUMMYFUNCTION("""COMPUTED_VALUE"""),"(Chưa recheck)")</f>
        <v>(Chưa recheck)</v>
      </c>
      <c r="J377" s="265" t="str">
        <f>IFERROR(__xludf.DUMMYFUNCTION("""COMPUTED_VALUE"""),"File Excel")</f>
        <v>File Excel</v>
      </c>
    </row>
    <row r="378">
      <c r="A378" s="265" t="str">
        <f>IFERROR(__xludf.DUMMYFUNCTION("""COMPUTED_VALUE"""),"664")</f>
        <v>664</v>
      </c>
      <c r="B378" s="265" t="str">
        <f>IFERROR(__xludf.DUMMYFUNCTION("""COMPUTED_VALUE"""),"Sài Gòn")</f>
        <v>Sài Gòn</v>
      </c>
      <c r="C378" s="265" t="str">
        <f>IFERROR(__xludf.DUMMYFUNCTION("""COMPUTED_VALUE"""),"Locked")</f>
        <v>Locked</v>
      </c>
      <c r="D378" s="265" t="str">
        <f>IFERROR(__xludf.DUMMYFUNCTION("""COMPUTED_VALUE"""),"Sale chưa cung cấp")</f>
        <v>Sale chưa cung cấp</v>
      </c>
      <c r="E378" s="265" t="str">
        <f>IFERROR(__xludf.DUMMYFUNCTION("""COMPUTED_VALUE"""),"Không phân công")</f>
        <v>Không phân công</v>
      </c>
      <c r="F378" s="265" t="str">
        <f>IFERROR(__xludf.DUMMYFUNCTION("""COMPUTED_VALUE"""),"Sale chưa cung cấp")</f>
        <v>Sale chưa cung cấp</v>
      </c>
      <c r="G378" s="265" t="str">
        <f>IFERROR(__xludf.DUMMYFUNCTION("""COMPUTED_VALUE"""),"SIMILAR")</f>
        <v>SIMILAR</v>
      </c>
      <c r="H378" s="265" t="str">
        <f>IFERROR(__xludf.DUMMYFUNCTION("""COMPUTED_VALUE"""),"Trả sau")</f>
        <v>Trả sau</v>
      </c>
      <c r="I378" s="265" t="str">
        <f>IFERROR(__xludf.DUMMYFUNCTION("""COMPUTED_VALUE"""),"API")</f>
        <v>API</v>
      </c>
      <c r="J378" s="265" t="str">
        <f>IFERROR(__xludf.DUMMYFUNCTION("""COMPUTED_VALUE"""),"File Excel")</f>
        <v>File Excel</v>
      </c>
    </row>
    <row r="379">
      <c r="A379" s="265" t="str">
        <f>IFERROR(__xludf.DUMMYFUNCTION("""COMPUTED_VALUE"""),"666")</f>
        <v>666</v>
      </c>
      <c r="B379" s="265" t="str">
        <f>IFERROR(__xludf.DUMMYFUNCTION("""COMPUTED_VALUE"""),"Sài Gòn")</f>
        <v>Sài Gòn</v>
      </c>
      <c r="C379" s="265" t="str">
        <f>IFERROR(__xludf.DUMMYFUNCTION("""COMPUTED_VALUE"""),"Locked")</f>
        <v>Locked</v>
      </c>
      <c r="D379" s="265" t="str">
        <f>IFERROR(__xludf.DUMMYFUNCTION("""COMPUTED_VALUE"""),"Sale chưa cung cấp")</f>
        <v>Sale chưa cung cấp</v>
      </c>
      <c r="E379" s="265" t="str">
        <f>IFERROR(__xludf.DUMMYFUNCTION("""COMPUTED_VALUE"""),"TúPHN")</f>
        <v>TúPHN</v>
      </c>
      <c r="F379" s="265" t="str">
        <f>IFERROR(__xludf.DUMMYFUNCTION("""COMPUTED_VALUE"""),"Sale chưa cung cấp")</f>
        <v>Sale chưa cung cấp</v>
      </c>
      <c r="G379" s="265" t="str">
        <f>IFERROR(__xludf.DUMMYFUNCTION("""COMPUTED_VALUE"""),"API")</f>
        <v>API</v>
      </c>
      <c r="H379" s="265" t="str">
        <f>IFERROR(__xludf.DUMMYFUNCTION("""COMPUTED_VALUE"""),"Trial")</f>
        <v>Trial</v>
      </c>
      <c r="I379" s="265" t="str">
        <f>IFERROR(__xludf.DUMMYFUNCTION("""COMPUTED_VALUE"""),"API")</f>
        <v>API</v>
      </c>
      <c r="J379" s="265" t="str">
        <f>IFERROR(__xludf.DUMMYFUNCTION("""COMPUTED_VALUE"""),"API")</f>
        <v>API</v>
      </c>
    </row>
    <row r="380">
      <c r="A380" s="265" t="str">
        <f>IFERROR(__xludf.DUMMYFUNCTION("""COMPUTED_VALUE"""),"667")</f>
        <v>667</v>
      </c>
      <c r="B380" s="265" t="str">
        <f>IFERROR(__xludf.DUMMYFUNCTION("""COMPUTED_VALUE"""),"Đà Nẵng")</f>
        <v>Đà Nẵng</v>
      </c>
      <c r="C380" s="265" t="str">
        <f>IFERROR(__xludf.DUMMYFUNCTION("""COMPUTED_VALUE"""),"Active")</f>
        <v>Active</v>
      </c>
      <c r="D380" s="265" t="str">
        <f>IFERROR(__xludf.DUMMYFUNCTION("""COMPUTED_VALUE"""),"Sale chưa cung cấp")</f>
        <v>Sale chưa cung cấp</v>
      </c>
      <c r="E380" s="265" t="str">
        <f>IFERROR(__xludf.DUMMYFUNCTION("""COMPUTED_VALUE"""),"Không phân công")</f>
        <v>Không phân công</v>
      </c>
      <c r="F380" s="265" t="str">
        <f>IFERROR(__xludf.DUMMYFUNCTION("""COMPUTED_VALUE"""),"Gold")</f>
        <v>Gold</v>
      </c>
      <c r="G380" s="265" t="str">
        <f>IFERROR(__xludf.DUMMYFUNCTION("""COMPUTED_VALUE"""),"Standard")</f>
        <v>Standard</v>
      </c>
      <c r="H380" s="265" t="str">
        <f>IFERROR(__xludf.DUMMYFUNCTION("""COMPUTED_VALUE"""),"Trả trước")</f>
        <v>Trả trước</v>
      </c>
      <c r="I380" s="265" t="str">
        <f>IFERROR(__xludf.DUMMYFUNCTION("""COMPUTED_VALUE"""),"API")</f>
        <v>API</v>
      </c>
      <c r="J380" s="265" t="str">
        <f>IFERROR(__xludf.DUMMYFUNCTION("""COMPUTED_VALUE"""),"API")</f>
        <v>API</v>
      </c>
    </row>
    <row r="381">
      <c r="A381" s="265" t="str">
        <f>IFERROR(__xludf.DUMMYFUNCTION("""COMPUTED_VALUE"""),"668")</f>
        <v>668</v>
      </c>
      <c r="B381" s="265" t="str">
        <f>IFERROR(__xludf.DUMMYFUNCTION("""COMPUTED_VALUE"""),"Hà Nội")</f>
        <v>Hà Nội</v>
      </c>
      <c r="C381" s="265" t="str">
        <f>IFERROR(__xludf.DUMMYFUNCTION("""COMPUTED_VALUE"""),"Locked")</f>
        <v>Locked</v>
      </c>
      <c r="D381" s="265" t="str">
        <f>IFERROR(__xludf.DUMMYFUNCTION("""COMPUTED_VALUE"""),"Viễn thông")</f>
        <v>Viễn thông</v>
      </c>
      <c r="E381" s="265" t="str">
        <f>IFERROR(__xludf.DUMMYFUNCTION("""COMPUTED_VALUE"""),"TúPHN")</f>
        <v>TúPHN</v>
      </c>
      <c r="F381" s="265" t="str">
        <f>IFERROR(__xludf.DUMMYFUNCTION("""COMPUTED_VALUE"""),"Gold")</f>
        <v>Gold</v>
      </c>
      <c r="G381" s="265" t="str">
        <f>IFERROR(__xludf.DUMMYFUNCTION("""COMPUTED_VALUE"""),"Enterprise")</f>
        <v>Enterprise</v>
      </c>
      <c r="H381" s="265" t="str">
        <f>IFERROR(__xludf.DUMMYFUNCTION("""COMPUTED_VALUE"""),"Trả sau")</f>
        <v>Trả sau</v>
      </c>
      <c r="I381" s="265" t="str">
        <f>IFERROR(__xludf.DUMMYFUNCTION("""COMPUTED_VALUE"""),"Portal")</f>
        <v>Portal</v>
      </c>
      <c r="J381" s="265" t="str">
        <f>IFERROR(__xludf.DUMMYFUNCTION("""COMPUTED_VALUE"""),"File Excel")</f>
        <v>File Excel</v>
      </c>
    </row>
    <row r="382">
      <c r="A382" s="265" t="str">
        <f>IFERROR(__xludf.DUMMYFUNCTION("""COMPUTED_VALUE"""),"669")</f>
        <v>669</v>
      </c>
      <c r="B382" s="265" t="str">
        <f>IFERROR(__xludf.DUMMYFUNCTION("""COMPUTED_VALUE"""),"Hà Nội")</f>
        <v>Hà Nội</v>
      </c>
      <c r="C382" s="265" t="str">
        <f>IFERROR(__xludf.DUMMYFUNCTION("""COMPUTED_VALUE"""),"Locked")</f>
        <v>Locked</v>
      </c>
      <c r="D382" s="265" t="str">
        <f>IFERROR(__xludf.DUMMYFUNCTION("""COMPUTED_VALUE"""),"Tài chính &amp; Ngân hàng")</f>
        <v>Tài chính &amp; Ngân hàng</v>
      </c>
      <c r="E382" s="265" t="str">
        <f>IFERROR(__xludf.DUMMYFUNCTION("""COMPUTED_VALUE"""),"DungDT")</f>
        <v>DungDT</v>
      </c>
      <c r="F382" s="265" t="str">
        <f>IFERROR(__xludf.DUMMYFUNCTION("""COMPUTED_VALUE"""),"Sale chưa cung cấp")</f>
        <v>Sale chưa cung cấp</v>
      </c>
      <c r="G382" s="265" t="str">
        <f>IFERROR(__xludf.DUMMYFUNCTION("""COMPUTED_VALUE"""),"Enterprise")</f>
        <v>Enterprise</v>
      </c>
      <c r="H382" s="265" t="str">
        <f>IFERROR(__xludf.DUMMYFUNCTION("""COMPUTED_VALUE"""),"Trial")</f>
        <v>Trial</v>
      </c>
      <c r="I382" s="265" t="str">
        <f>IFERROR(__xludf.DUMMYFUNCTION("""COMPUTED_VALUE"""),"(Không recheck)")</f>
        <v>(Không recheck)</v>
      </c>
      <c r="J382" s="265" t="str">
        <f>IFERROR(__xludf.DUMMYFUNCTION("""COMPUTED_VALUE"""),"(Không recheck)")</f>
        <v>(Không recheck)</v>
      </c>
    </row>
    <row r="383">
      <c r="A383" s="265" t="str">
        <f>IFERROR(__xludf.DUMMYFUNCTION("""COMPUTED_VALUE"""),"670")</f>
        <v>670</v>
      </c>
      <c r="B383" s="265" t="str">
        <f>IFERROR(__xludf.DUMMYFUNCTION("""COMPUTED_VALUE"""),"Sài Gòn")</f>
        <v>Sài Gòn</v>
      </c>
      <c r="C383" s="265" t="str">
        <f>IFERROR(__xludf.DUMMYFUNCTION("""COMPUTED_VALUE"""),"Locked")</f>
        <v>Locked</v>
      </c>
      <c r="D383" s="265" t="str">
        <f>IFERROR(__xludf.DUMMYFUNCTION("""COMPUTED_VALUE"""),"Viễn thông")</f>
        <v>Viễn thông</v>
      </c>
      <c r="E383" s="265" t="str">
        <f>IFERROR(__xludf.DUMMYFUNCTION("""COMPUTED_VALUE"""),"HoaNTM")</f>
        <v>HoaNTM</v>
      </c>
      <c r="F383" s="265" t="str">
        <f>IFERROR(__xludf.DUMMYFUNCTION("""COMPUTED_VALUE"""),"Sale chưa cung cấp")</f>
        <v>Sale chưa cung cấp</v>
      </c>
      <c r="G383" s="265" t="str">
        <f>IFERROR(__xludf.DUMMYFUNCTION("""COMPUTED_VALUE"""),"Enterprise")</f>
        <v>Enterprise</v>
      </c>
      <c r="H383" s="265" t="str">
        <f>IFERROR(__xludf.DUMMYFUNCTION("""COMPUTED_VALUE"""),"(Chưa recheck)")</f>
        <v>(Chưa recheck)</v>
      </c>
      <c r="I383" s="265" t="str">
        <f>IFERROR(__xludf.DUMMYFUNCTION("""COMPUTED_VALUE"""),"API &amp; Portal")</f>
        <v>API &amp; Portal</v>
      </c>
      <c r="J383" s="265" t="str">
        <f>IFERROR(__xludf.DUMMYFUNCTION("""COMPUTED_VALUE"""),"File Excel")</f>
        <v>File Excel</v>
      </c>
    </row>
    <row r="384">
      <c r="A384" s="265" t="str">
        <f>IFERROR(__xludf.DUMMYFUNCTION("""COMPUTED_VALUE"""),"670")</f>
        <v>670</v>
      </c>
      <c r="B384" s="265" t="str">
        <f>IFERROR(__xludf.DUMMYFUNCTION("""COMPUTED_VALUE"""),"Sài Gòn")</f>
        <v>Sài Gòn</v>
      </c>
      <c r="C384" s="265" t="str">
        <f>IFERROR(__xludf.DUMMYFUNCTION("""COMPUTED_VALUE"""),"Locked")</f>
        <v>Locked</v>
      </c>
      <c r="D384" s="265" t="str">
        <f>IFERROR(__xludf.DUMMYFUNCTION("""COMPUTED_VALUE"""),"Viễn thông")</f>
        <v>Viễn thông</v>
      </c>
      <c r="E384" s="265" t="str">
        <f>IFERROR(__xludf.DUMMYFUNCTION("""COMPUTED_VALUE"""),"HoaNTM")</f>
        <v>HoaNTM</v>
      </c>
      <c r="F384" s="265" t="str">
        <f>IFERROR(__xludf.DUMMYFUNCTION("""COMPUTED_VALUE"""),"Sale chưa cung cấp")</f>
        <v>Sale chưa cung cấp</v>
      </c>
      <c r="G384" s="265" t="str">
        <f>IFERROR(__xludf.DUMMYFUNCTION("""COMPUTED_VALUE"""),"Enterprise")</f>
        <v>Enterprise</v>
      </c>
      <c r="H384" s="265" t="str">
        <f>IFERROR(__xludf.DUMMYFUNCTION("""COMPUTED_VALUE"""),"(Chưa recheck)")</f>
        <v>(Chưa recheck)</v>
      </c>
      <c r="I384" s="265" t="str">
        <f>IFERROR(__xludf.DUMMYFUNCTION("""COMPUTED_VALUE"""),"API &amp; Portal")</f>
        <v>API &amp; Portal</v>
      </c>
      <c r="J384" s="265" t="str">
        <f>IFERROR(__xludf.DUMMYFUNCTION("""COMPUTED_VALUE"""),"API")</f>
        <v>API</v>
      </c>
    </row>
    <row r="385">
      <c r="A385" s="265" t="str">
        <f>IFERROR(__xludf.DUMMYFUNCTION("""COMPUTED_VALUE"""),"411")</f>
        <v>411</v>
      </c>
      <c r="B385" s="265" t="str">
        <f>IFERROR(__xludf.DUMMYFUNCTION("""COMPUTED_VALUE"""),"Sài Gòn")</f>
        <v>Sài Gòn</v>
      </c>
      <c r="C385" s="265" t="str">
        <f>IFERROR(__xludf.DUMMYFUNCTION("""COMPUTED_VALUE"""),"Locked")</f>
        <v>Locked</v>
      </c>
      <c r="D385" s="265" t="str">
        <f>IFERROR(__xludf.DUMMYFUNCTION("""COMPUTED_VALUE"""),"Sale chưa cung cấp")</f>
        <v>Sale chưa cung cấp</v>
      </c>
      <c r="E385" s="265" t="str">
        <f>IFERROR(__xludf.DUMMYFUNCTION("""COMPUTED_VALUE"""),"TúPHN")</f>
        <v>TúPHN</v>
      </c>
      <c r="F385" s="265" t="str">
        <f>IFERROR(__xludf.DUMMYFUNCTION("""COMPUTED_VALUE"""),"Silver")</f>
        <v>Silver</v>
      </c>
      <c r="G385" s="265" t="str">
        <f>IFERROR(__xludf.DUMMYFUNCTION("""COMPUTED_VALUE"""),"Enterprise")</f>
        <v>Enterprise</v>
      </c>
      <c r="H385" s="265" t="str">
        <f>IFERROR(__xludf.DUMMYFUNCTION("""COMPUTED_VALUE"""),"(Chưa recheck)")</f>
        <v>(Chưa recheck)</v>
      </c>
      <c r="I385" s="265" t="str">
        <f>IFERROR(__xludf.DUMMYFUNCTION("""COMPUTED_VALUE"""),"(Chưa recheck)")</f>
        <v>(Chưa recheck)</v>
      </c>
      <c r="J385" s="265" t="str">
        <f>IFERROR(__xludf.DUMMYFUNCTION("""COMPUTED_VALUE"""),"Pos365")</f>
        <v>Pos365</v>
      </c>
    </row>
    <row r="386">
      <c r="A386" s="265" t="str">
        <f>IFERROR(__xludf.DUMMYFUNCTION("""COMPUTED_VALUE"""),"671")</f>
        <v>671</v>
      </c>
      <c r="B386" s="265" t="str">
        <f>IFERROR(__xludf.DUMMYFUNCTION("""COMPUTED_VALUE"""),"Hà Nội")</f>
        <v>Hà Nội</v>
      </c>
      <c r="C386" s="265" t="str">
        <f>IFERROR(__xludf.DUMMYFUNCTION("""COMPUTED_VALUE"""),"Locked")</f>
        <v>Locked</v>
      </c>
      <c r="D386" s="265" t="str">
        <f>IFERROR(__xludf.DUMMYFUNCTION("""COMPUTED_VALUE"""),"Tài chính &amp; Ngân hàng")</f>
        <v>Tài chính &amp; Ngân hàng</v>
      </c>
      <c r="E386" s="265" t="str">
        <f>IFERROR(__xludf.DUMMYFUNCTION("""COMPUTED_VALUE"""),"(Không recheck)")</f>
        <v>(Không recheck)</v>
      </c>
      <c r="F386" s="265" t="str">
        <f>IFERROR(__xludf.DUMMYFUNCTION("""COMPUTED_VALUE"""),"Sale chưa cung cấp")</f>
        <v>Sale chưa cung cấp</v>
      </c>
      <c r="G386" s="265" t="str">
        <f>IFERROR(__xludf.DUMMYFUNCTION("""COMPUTED_VALUE"""),"API")</f>
        <v>API</v>
      </c>
      <c r="H386" s="265" t="str">
        <f>IFERROR(__xludf.DUMMYFUNCTION("""COMPUTED_VALUE"""),"Trial")</f>
        <v>Trial</v>
      </c>
      <c r="I386" s="265" t="str">
        <f>IFERROR(__xludf.DUMMYFUNCTION("""COMPUTED_VALUE"""),"API")</f>
        <v>API</v>
      </c>
      <c r="J386" s="265" t="str">
        <f>IFERROR(__xludf.DUMMYFUNCTION("""COMPUTED_VALUE"""),"API")</f>
        <v>API</v>
      </c>
    </row>
    <row r="387">
      <c r="A387" s="265" t="str">
        <f>IFERROR(__xludf.DUMMYFUNCTION("""COMPUTED_VALUE"""),"672")</f>
        <v>672</v>
      </c>
      <c r="B387" s="265" t="str">
        <f>IFERROR(__xludf.DUMMYFUNCTION("""COMPUTED_VALUE"""),"Hà Nội")</f>
        <v>Hà Nội</v>
      </c>
      <c r="C387" s="265" t="str">
        <f>IFERROR(__xludf.DUMMYFUNCTION("""COMPUTED_VALUE"""),"Locked")</f>
        <v>Locked</v>
      </c>
      <c r="D387" s="265" t="str">
        <f>IFERROR(__xludf.DUMMYFUNCTION("""COMPUTED_VALUE"""),"Bất động sản")</f>
        <v>Bất động sản</v>
      </c>
      <c r="E387" s="265" t="str">
        <f>IFERROR(__xludf.DUMMYFUNCTION("""COMPUTED_VALUE"""),"TúPHN")</f>
        <v>TúPHN</v>
      </c>
      <c r="F387" s="265" t="str">
        <f>IFERROR(__xludf.DUMMYFUNCTION("""COMPUTED_VALUE"""),"Bronze")</f>
        <v>Bronze</v>
      </c>
      <c r="G387" s="265" t="str">
        <f>IFERROR(__xludf.DUMMYFUNCTION("""COMPUTED_VALUE"""),"Enterprise")</f>
        <v>Enterprise</v>
      </c>
      <c r="H387" s="265" t="str">
        <f>IFERROR(__xludf.DUMMYFUNCTION("""COMPUTED_VALUE"""),"Trả trước")</f>
        <v>Trả trước</v>
      </c>
      <c r="I387" s="265" t="str">
        <f>IFERROR(__xludf.DUMMYFUNCTION("""COMPUTED_VALUE"""),"Portal")</f>
        <v>Portal</v>
      </c>
      <c r="J387" s="265" t="str">
        <f>IFERROR(__xludf.DUMMYFUNCTION("""COMPUTED_VALUE"""),"File Excel")</f>
        <v>File Excel</v>
      </c>
    </row>
    <row r="388">
      <c r="A388" s="265" t="str">
        <f>IFERROR(__xludf.DUMMYFUNCTION("""COMPUTED_VALUE"""),"673")</f>
        <v>673</v>
      </c>
      <c r="B388" s="265" t="str">
        <f>IFERROR(__xludf.DUMMYFUNCTION("""COMPUTED_VALUE"""),"Hà Nội")</f>
        <v>Hà Nội</v>
      </c>
      <c r="C388" s="265" t="str">
        <f>IFERROR(__xludf.DUMMYFUNCTION("""COMPUTED_VALUE"""),"Locked")</f>
        <v>Locked</v>
      </c>
      <c r="D388" s="265" t="str">
        <f>IFERROR(__xludf.DUMMYFUNCTION("""COMPUTED_VALUE"""),"Sale chưa cung cấp")</f>
        <v>Sale chưa cung cấp</v>
      </c>
      <c r="E388" s="265" t="str">
        <f>IFERROR(__xludf.DUMMYFUNCTION("""COMPUTED_VALUE"""),"TùngLD")</f>
        <v>TùngLD</v>
      </c>
      <c r="F388" s="265" t="str">
        <f>IFERROR(__xludf.DUMMYFUNCTION("""COMPUTED_VALUE"""),"Sale chưa cung cấp")</f>
        <v>Sale chưa cung cấp</v>
      </c>
      <c r="G388" s="265" t="str">
        <f>IFERROR(__xludf.DUMMYFUNCTION("""COMPUTED_VALUE"""),"Enterprise")</f>
        <v>Enterprise</v>
      </c>
      <c r="H388" s="265" t="str">
        <f>IFERROR(__xludf.DUMMYFUNCTION("""COMPUTED_VALUE"""),"Trial")</f>
        <v>Trial</v>
      </c>
      <c r="I388" s="265" t="str">
        <f>IFERROR(__xludf.DUMMYFUNCTION("""COMPUTED_VALUE"""),"Portal")</f>
        <v>Portal</v>
      </c>
      <c r="J388" s="265" t="str">
        <f>IFERROR(__xludf.DUMMYFUNCTION("""COMPUTED_VALUE"""),"(Không recheck)")</f>
        <v>(Không recheck)</v>
      </c>
    </row>
    <row r="389">
      <c r="A389" s="265" t="str">
        <f>IFERROR(__xludf.DUMMYFUNCTION("""COMPUTED_VALUE"""),"675")</f>
        <v>675</v>
      </c>
      <c r="B389" s="265" t="str">
        <f>IFERROR(__xludf.DUMMYFUNCTION("""COMPUTED_VALUE"""),"Hà Nội")</f>
        <v>Hà Nội</v>
      </c>
      <c r="C389" s="265" t="str">
        <f>IFERROR(__xludf.DUMMYFUNCTION("""COMPUTED_VALUE"""),"Active")</f>
        <v>Active</v>
      </c>
      <c r="D389" s="265" t="str">
        <f>IFERROR(__xludf.DUMMYFUNCTION("""COMPUTED_VALUE"""),"Du lịch &amp; Lưu trú")</f>
        <v>Du lịch &amp; Lưu trú</v>
      </c>
      <c r="E389" s="265" t="str">
        <f>IFERROR(__xludf.DUMMYFUNCTION("""COMPUTED_VALUE"""),"TúPHN")</f>
        <v>TúPHN</v>
      </c>
      <c r="F389" s="265" t="str">
        <f>IFERROR(__xludf.DUMMYFUNCTION("""COMPUTED_VALUE"""),"Bronze")</f>
        <v>Bronze</v>
      </c>
      <c r="G389" s="265" t="str">
        <f>IFERROR(__xludf.DUMMYFUNCTION("""COMPUTED_VALUE"""),"Standard")</f>
        <v>Standard</v>
      </c>
      <c r="H389" s="265" t="str">
        <f>IFERROR(__xludf.DUMMYFUNCTION("""COMPUTED_VALUE"""),"Trả trước")</f>
        <v>Trả trước</v>
      </c>
      <c r="I389" s="265" t="str">
        <f>IFERROR(__xludf.DUMMYFUNCTION("""COMPUTED_VALUE"""),"Portal")</f>
        <v>Portal</v>
      </c>
      <c r="J389" s="265" t="str">
        <f>IFERROR(__xludf.DUMMYFUNCTION("""COMPUTED_VALUE"""),"File Excel")</f>
        <v>File Excel</v>
      </c>
    </row>
    <row r="390">
      <c r="A390" s="265" t="str">
        <f>IFERROR(__xludf.DUMMYFUNCTION("""COMPUTED_VALUE"""),"676")</f>
        <v>676</v>
      </c>
      <c r="B390" s="265" t="str">
        <f>IFERROR(__xludf.DUMMYFUNCTION("""COMPUTED_VALUE"""),"Hà Nội")</f>
        <v>Hà Nội</v>
      </c>
      <c r="C390" s="265" t="str">
        <f>IFERROR(__xludf.DUMMYFUNCTION("""COMPUTED_VALUE"""),"Locked")</f>
        <v>Locked</v>
      </c>
      <c r="D390" s="265" t="str">
        <f>IFERROR(__xludf.DUMMYFUNCTION("""COMPUTED_VALUE"""),"Giáo dục &amp; Đào tạo")</f>
        <v>Giáo dục &amp; Đào tạo</v>
      </c>
      <c r="E390" s="265" t="str">
        <f>IFERROR(__xludf.DUMMYFUNCTION("""COMPUTED_VALUE"""),"TùngLD")</f>
        <v>TùngLD</v>
      </c>
      <c r="F390" s="265" t="str">
        <f>IFERROR(__xludf.DUMMYFUNCTION("""COMPUTED_VALUE"""),"Sale chưa cung cấp")</f>
        <v>Sale chưa cung cấp</v>
      </c>
      <c r="G390" s="265" t="str">
        <f>IFERROR(__xludf.DUMMYFUNCTION("""COMPUTED_VALUE"""),"Enterprise")</f>
        <v>Enterprise</v>
      </c>
      <c r="H390" s="265" t="str">
        <f>IFERROR(__xludf.DUMMYFUNCTION("""COMPUTED_VALUE"""),"Trả sau")</f>
        <v>Trả sau</v>
      </c>
      <c r="I390" s="265" t="str">
        <f>IFERROR(__xludf.DUMMYFUNCTION("""COMPUTED_VALUE"""),"Portal")</f>
        <v>Portal</v>
      </c>
      <c r="J390" s="265" t="str">
        <f>IFERROR(__xludf.DUMMYFUNCTION("""COMPUTED_VALUE"""),"File Excel")</f>
        <v>File Excel</v>
      </c>
    </row>
    <row r="391">
      <c r="A391" s="265" t="str">
        <f>IFERROR(__xludf.DUMMYFUNCTION("""COMPUTED_VALUE"""),"677")</f>
        <v>677</v>
      </c>
      <c r="B391" s="265" t="str">
        <f>IFERROR(__xludf.DUMMYFUNCTION("""COMPUTED_VALUE"""),"Sài Gòn")</f>
        <v>Sài Gòn</v>
      </c>
      <c r="C391" s="265" t="str">
        <f>IFERROR(__xludf.DUMMYFUNCTION("""COMPUTED_VALUE"""),"Locked")</f>
        <v>Locked</v>
      </c>
      <c r="D391" s="265" t="str">
        <f>IFERROR(__xludf.DUMMYFUNCTION("""COMPUTED_VALUE"""),"Nhà hàng &amp; Quán")</f>
        <v>Nhà hàng &amp; Quán</v>
      </c>
      <c r="E391" s="265" t="str">
        <f>IFERROR(__xludf.DUMMYFUNCTION("""COMPUTED_VALUE"""),"HoaNTM")</f>
        <v>HoaNTM</v>
      </c>
      <c r="F391" s="265" t="str">
        <f>IFERROR(__xludf.DUMMYFUNCTION("""COMPUTED_VALUE"""),"Bronze")</f>
        <v>Bronze</v>
      </c>
      <c r="G391" s="265" t="str">
        <f>IFERROR(__xludf.DUMMYFUNCTION("""COMPUTED_VALUE"""),"SIMILAR")</f>
        <v>SIMILAR</v>
      </c>
      <c r="H391" s="265" t="str">
        <f>IFERROR(__xludf.DUMMYFUNCTION("""COMPUTED_VALUE"""),"(Chưa recheck)")</f>
        <v>(Chưa recheck)</v>
      </c>
      <c r="I391" s="265" t="str">
        <f>IFERROR(__xludf.DUMMYFUNCTION("""COMPUTED_VALUE"""),"API &amp; Portal")</f>
        <v>API &amp; Portal</v>
      </c>
      <c r="J391" s="265" t="str">
        <f>IFERROR(__xludf.DUMMYFUNCTION("""COMPUTED_VALUE"""),"File Excel")</f>
        <v>File Excel</v>
      </c>
    </row>
    <row r="392">
      <c r="A392" s="265" t="str">
        <f>IFERROR(__xludf.DUMMYFUNCTION("""COMPUTED_VALUE"""),"677")</f>
        <v>677</v>
      </c>
      <c r="B392" s="265" t="str">
        <f>IFERROR(__xludf.DUMMYFUNCTION("""COMPUTED_VALUE"""),"Sài Gòn")</f>
        <v>Sài Gòn</v>
      </c>
      <c r="C392" s="265" t="str">
        <f>IFERROR(__xludf.DUMMYFUNCTION("""COMPUTED_VALUE"""),"Locked")</f>
        <v>Locked</v>
      </c>
      <c r="D392" s="265" t="str">
        <f>IFERROR(__xludf.DUMMYFUNCTION("""COMPUTED_VALUE"""),"Nhà hàng &amp; Quán")</f>
        <v>Nhà hàng &amp; Quán</v>
      </c>
      <c r="E392" s="265" t="str">
        <f>IFERROR(__xludf.DUMMYFUNCTION("""COMPUTED_VALUE"""),"HoaNTM")</f>
        <v>HoaNTM</v>
      </c>
      <c r="F392" s="265" t="str">
        <f>IFERROR(__xludf.DUMMYFUNCTION("""COMPUTED_VALUE"""),"Bronze")</f>
        <v>Bronze</v>
      </c>
      <c r="G392" s="265" t="str">
        <f>IFERROR(__xludf.DUMMYFUNCTION("""COMPUTED_VALUE"""),"SIMILAR")</f>
        <v>SIMILAR</v>
      </c>
      <c r="H392" s="265" t="str">
        <f>IFERROR(__xludf.DUMMYFUNCTION("""COMPUTED_VALUE"""),"(Chưa recheck)")</f>
        <v>(Chưa recheck)</v>
      </c>
      <c r="I392" s="265" t="str">
        <f>IFERROR(__xludf.DUMMYFUNCTION("""COMPUTED_VALUE"""),"API &amp; Portal")</f>
        <v>API &amp; Portal</v>
      </c>
      <c r="J392" s="265" t="str">
        <f>IFERROR(__xludf.DUMMYFUNCTION("""COMPUTED_VALUE"""),"API")</f>
        <v>API</v>
      </c>
    </row>
    <row r="393">
      <c r="A393" s="265" t="str">
        <f>IFERROR(__xludf.DUMMYFUNCTION("""COMPUTED_VALUE"""),"679")</f>
        <v>679</v>
      </c>
      <c r="B393" s="265" t="str">
        <f>IFERROR(__xludf.DUMMYFUNCTION("""COMPUTED_VALUE"""),"Đà Nẵng")</f>
        <v>Đà Nẵng</v>
      </c>
      <c r="C393" s="265" t="str">
        <f>IFERROR(__xludf.DUMMYFUNCTION("""COMPUTED_VALUE"""),"Active")</f>
        <v>Active</v>
      </c>
      <c r="D393" s="265" t="str">
        <f>IFERROR(__xludf.DUMMYFUNCTION("""COMPUTED_VALUE"""),"Giáo dục &amp; Đào tạo")</f>
        <v>Giáo dục &amp; Đào tạo</v>
      </c>
      <c r="E393" s="265" t="str">
        <f>IFERROR(__xludf.DUMMYFUNCTION("""COMPUTED_VALUE"""),"TúPHN")</f>
        <v>TúPHN</v>
      </c>
      <c r="F393" s="265" t="str">
        <f>IFERROR(__xludf.DUMMYFUNCTION("""COMPUTED_VALUE"""),"Bronze")</f>
        <v>Bronze</v>
      </c>
      <c r="G393" s="265" t="str">
        <f>IFERROR(__xludf.DUMMYFUNCTION("""COMPUTED_VALUE"""),"Standard")</f>
        <v>Standard</v>
      </c>
      <c r="H393" s="265" t="str">
        <f>IFERROR(__xludf.DUMMYFUNCTION("""COMPUTED_VALUE"""),"Trả trước")</f>
        <v>Trả trước</v>
      </c>
      <c r="I393" s="265" t="str">
        <f>IFERROR(__xludf.DUMMYFUNCTION("""COMPUTED_VALUE"""),"Portal")</f>
        <v>Portal</v>
      </c>
      <c r="J393" s="265" t="str">
        <f>IFERROR(__xludf.DUMMYFUNCTION("""COMPUTED_VALUE"""),"File Excel")</f>
        <v>File Excel</v>
      </c>
    </row>
    <row r="394">
      <c r="A394" s="265" t="str">
        <f>IFERROR(__xludf.DUMMYFUNCTION("""COMPUTED_VALUE"""),"680")</f>
        <v>680</v>
      </c>
      <c r="B394" s="265" t="str">
        <f>IFERROR(__xludf.DUMMYFUNCTION("""COMPUTED_VALUE"""),"Hà Nội")</f>
        <v>Hà Nội</v>
      </c>
      <c r="C394" s="265" t="str">
        <f>IFERROR(__xludf.DUMMYFUNCTION("""COMPUTED_VALUE"""),"Active")</f>
        <v>Active</v>
      </c>
      <c r="D394" s="265" t="str">
        <f>IFERROR(__xludf.DUMMYFUNCTION("""COMPUTED_VALUE"""),"Truyền thông &amp; Giải trí")</f>
        <v>Truyền thông &amp; Giải trí</v>
      </c>
      <c r="E394" s="265" t="str">
        <f>IFERROR(__xludf.DUMMYFUNCTION("""COMPUTED_VALUE"""),"Không phân công")</f>
        <v>Không phân công</v>
      </c>
      <c r="F394" s="265" t="str">
        <f>IFERROR(__xludf.DUMMYFUNCTION("""COMPUTED_VALUE"""),"Sale chưa cung cấp")</f>
        <v>Sale chưa cung cấp</v>
      </c>
      <c r="G394" s="265" t="str">
        <f>IFERROR(__xludf.DUMMYFUNCTION("""COMPUTED_VALUE"""),"Enterprise")</f>
        <v>Enterprise</v>
      </c>
      <c r="H394" s="265" t="str">
        <f>IFERROR(__xludf.DUMMYFUNCTION("""COMPUTED_VALUE"""),"Trả sau")</f>
        <v>Trả sau</v>
      </c>
      <c r="I394" s="265" t="str">
        <f>IFERROR(__xludf.DUMMYFUNCTION("""COMPUTED_VALUE"""),"API &amp; Portal")</f>
        <v>API &amp; Portal</v>
      </c>
      <c r="J394" s="265" t="str">
        <f>IFERROR(__xludf.DUMMYFUNCTION("""COMPUTED_VALUE"""),"Rà soát")</f>
        <v>Rà soát</v>
      </c>
    </row>
    <row r="395">
      <c r="A395" s="265" t="str">
        <f>IFERROR(__xludf.DUMMYFUNCTION("""COMPUTED_VALUE"""),"414")</f>
        <v>414</v>
      </c>
      <c r="B395" s="265" t="str">
        <f>IFERROR(__xludf.DUMMYFUNCTION("""COMPUTED_VALUE"""),"Hà Nội")</f>
        <v>Hà Nội</v>
      </c>
      <c r="C395" s="265" t="str">
        <f>IFERROR(__xludf.DUMMYFUNCTION("""COMPUTED_VALUE"""),"Active")</f>
        <v>Active</v>
      </c>
      <c r="D395" s="265" t="str">
        <f>IFERROR(__xludf.DUMMYFUNCTION("""COMPUTED_VALUE"""),"Sale chưa cung cấp")</f>
        <v>Sale chưa cung cấp</v>
      </c>
      <c r="E395" s="265" t="str">
        <f>IFERROR(__xludf.DUMMYFUNCTION("""COMPUTED_VALUE"""),"TúPHN")</f>
        <v>TúPHN</v>
      </c>
      <c r="F395" s="265" t="str">
        <f>IFERROR(__xludf.DUMMYFUNCTION("""COMPUTED_VALUE"""),"Bronze")</f>
        <v>Bronze</v>
      </c>
      <c r="G395" s="265" t="str">
        <f>IFERROR(__xludf.DUMMYFUNCTION("""COMPUTED_VALUE"""),"Enterprise")</f>
        <v>Enterprise</v>
      </c>
      <c r="H395" s="265" t="str">
        <f>IFERROR(__xludf.DUMMYFUNCTION("""COMPUTED_VALUE"""),"Trả trước")</f>
        <v>Trả trước</v>
      </c>
      <c r="I395" s="265" t="str">
        <f>IFERROR(__xludf.DUMMYFUNCTION("""COMPUTED_VALUE"""),"API")</f>
        <v>API</v>
      </c>
      <c r="J395" s="265" t="str">
        <f>IFERROR(__xludf.DUMMYFUNCTION("""COMPUTED_VALUE"""),"API")</f>
        <v>API</v>
      </c>
    </row>
    <row r="396">
      <c r="A396" s="265" t="str">
        <f>IFERROR(__xludf.DUMMYFUNCTION("""COMPUTED_VALUE"""),"683")</f>
        <v>683</v>
      </c>
      <c r="B396" s="265" t="str">
        <f>IFERROR(__xludf.DUMMYFUNCTION("""COMPUTED_VALUE"""),"Hà Nội")</f>
        <v>Hà Nội</v>
      </c>
      <c r="C396" s="265" t="str">
        <f>IFERROR(__xludf.DUMMYFUNCTION("""COMPUTED_VALUE"""),"Locked")</f>
        <v>Locked</v>
      </c>
      <c r="D396" s="265" t="str">
        <f>IFERROR(__xludf.DUMMYFUNCTION("""COMPUTED_VALUE"""),"Ô tô &amp; Xe máy")</f>
        <v>Ô tô &amp; Xe máy</v>
      </c>
      <c r="E396" s="265" t="str">
        <f>IFERROR(__xludf.DUMMYFUNCTION("""COMPUTED_VALUE"""),"DungDT")</f>
        <v>DungDT</v>
      </c>
      <c r="F396" s="265" t="str">
        <f>IFERROR(__xludf.DUMMYFUNCTION("""COMPUTED_VALUE"""),"Sale chưa cung cấp")</f>
        <v>Sale chưa cung cấp</v>
      </c>
      <c r="G396" s="265" t="str">
        <f>IFERROR(__xludf.DUMMYFUNCTION("""COMPUTED_VALUE"""),"Enterprise")</f>
        <v>Enterprise</v>
      </c>
      <c r="H396" s="265" t="str">
        <f>IFERROR(__xludf.DUMMYFUNCTION("""COMPUTED_VALUE"""),"Trial")</f>
        <v>Trial</v>
      </c>
      <c r="I396" s="265" t="str">
        <f>IFERROR(__xludf.DUMMYFUNCTION("""COMPUTED_VALUE"""),"Portal")</f>
        <v>Portal</v>
      </c>
      <c r="J396" s="265" t="str">
        <f>IFERROR(__xludf.DUMMYFUNCTION("""COMPUTED_VALUE"""),"File Excel")</f>
        <v>File Excel</v>
      </c>
    </row>
    <row r="397">
      <c r="A397" s="265" t="str">
        <f>IFERROR(__xludf.DUMMYFUNCTION("""COMPUTED_VALUE"""),"684")</f>
        <v>684</v>
      </c>
      <c r="B397" s="265" t="str">
        <f>IFERROR(__xludf.DUMMYFUNCTION("""COMPUTED_VALUE"""),"Hà Nội")</f>
        <v>Hà Nội</v>
      </c>
      <c r="C397" s="265" t="str">
        <f>IFERROR(__xludf.DUMMYFUNCTION("""COMPUTED_VALUE"""),"Active")</f>
        <v>Active</v>
      </c>
      <c r="D397" s="265" t="str">
        <f>IFERROR(__xludf.DUMMYFUNCTION("""COMPUTED_VALUE"""),"Y tế &amp; Dược phẩm")</f>
        <v>Y tế &amp; Dược phẩm</v>
      </c>
      <c r="E397" s="265" t="str">
        <f>IFERROR(__xludf.DUMMYFUNCTION("""COMPUTED_VALUE"""),"TúPHN")</f>
        <v>TúPHN</v>
      </c>
      <c r="F397" s="265" t="str">
        <f>IFERROR(__xludf.DUMMYFUNCTION("""COMPUTED_VALUE"""),"Silver")</f>
        <v>Silver</v>
      </c>
      <c r="G397" s="265" t="str">
        <f>IFERROR(__xludf.DUMMYFUNCTION("""COMPUTED_VALUE"""),"Starter")</f>
        <v>Starter</v>
      </c>
      <c r="H397" s="265" t="str">
        <f>IFERROR(__xludf.DUMMYFUNCTION("""COMPUTED_VALUE"""),"Trả sau")</f>
        <v>Trả sau</v>
      </c>
      <c r="I397" s="265" t="str">
        <f>IFERROR(__xludf.DUMMYFUNCTION("""COMPUTED_VALUE"""),"API")</f>
        <v>API</v>
      </c>
      <c r="J397" s="265" t="str">
        <f>IFERROR(__xludf.DUMMYFUNCTION("""COMPUTED_VALUE"""),"API")</f>
        <v>API</v>
      </c>
    </row>
    <row r="398">
      <c r="A398" s="265" t="str">
        <f>IFERROR(__xludf.DUMMYFUNCTION("""COMPUTED_VALUE"""),"685")</f>
        <v>685</v>
      </c>
      <c r="B398" s="265" t="str">
        <f>IFERROR(__xludf.DUMMYFUNCTION("""COMPUTED_VALUE"""),"Hà Nội")</f>
        <v>Hà Nội</v>
      </c>
      <c r="C398" s="265" t="str">
        <f>IFERROR(__xludf.DUMMYFUNCTION("""COMPUTED_VALUE"""),"Locked")</f>
        <v>Locked</v>
      </c>
      <c r="D398" s="265" t="str">
        <f>IFERROR(__xludf.DUMMYFUNCTION("""COMPUTED_VALUE"""),"Giáo dục &amp; Đào tạo")</f>
        <v>Giáo dục &amp; Đào tạo</v>
      </c>
      <c r="E398" s="265" t="str">
        <f>IFERROR(__xludf.DUMMYFUNCTION("""COMPUTED_VALUE"""),"TùngLD")</f>
        <v>TùngLD</v>
      </c>
      <c r="F398" s="265" t="str">
        <f>IFERROR(__xludf.DUMMYFUNCTION("""COMPUTED_VALUE"""),"Sale chưa cung cấp")</f>
        <v>Sale chưa cung cấp</v>
      </c>
      <c r="G398" s="265" t="str">
        <f>IFERROR(__xludf.DUMMYFUNCTION("""COMPUTED_VALUE"""),"SIMILAR")</f>
        <v>SIMILAR</v>
      </c>
      <c r="H398" s="265" t="str">
        <f>IFERROR(__xludf.DUMMYFUNCTION("""COMPUTED_VALUE"""),"Trả trước")</f>
        <v>Trả trước</v>
      </c>
      <c r="I398" s="265" t="str">
        <f>IFERROR(__xludf.DUMMYFUNCTION("""COMPUTED_VALUE"""),"Portal")</f>
        <v>Portal</v>
      </c>
      <c r="J398" s="265" t="str">
        <f>IFERROR(__xludf.DUMMYFUNCTION("""COMPUTED_VALUE"""),"File Excel")</f>
        <v>File Excel</v>
      </c>
    </row>
    <row r="399">
      <c r="A399" s="265" t="str">
        <f>IFERROR(__xludf.DUMMYFUNCTION("""COMPUTED_VALUE"""),"686")</f>
        <v>686</v>
      </c>
      <c r="B399" s="265" t="str">
        <f>IFERROR(__xludf.DUMMYFUNCTION("""COMPUTED_VALUE"""),"Hà Nội")</f>
        <v>Hà Nội</v>
      </c>
      <c r="C399" s="265" t="str">
        <f>IFERROR(__xludf.DUMMYFUNCTION("""COMPUTED_VALUE"""),"Locked")</f>
        <v>Locked</v>
      </c>
      <c r="D399" s="265" t="str">
        <f>IFERROR(__xludf.DUMMYFUNCTION("""COMPUTED_VALUE"""),"Vận tải &amp; logistics")</f>
        <v>Vận tải &amp; logistics</v>
      </c>
      <c r="E399" s="265" t="str">
        <f>IFERROR(__xludf.DUMMYFUNCTION("""COMPUTED_VALUE"""),"TúPHN")</f>
        <v>TúPHN</v>
      </c>
      <c r="F399" s="265" t="str">
        <f>IFERROR(__xludf.DUMMYFUNCTION("""COMPUTED_VALUE"""),"Diamond")</f>
        <v>Diamond</v>
      </c>
      <c r="G399" s="265" t="str">
        <f>IFERROR(__xludf.DUMMYFUNCTION("""COMPUTED_VALUE"""),"Enterprise")</f>
        <v>Enterprise</v>
      </c>
      <c r="H399" s="265" t="str">
        <f>IFERROR(__xludf.DUMMYFUNCTION("""COMPUTED_VALUE"""),"Trả trước")</f>
        <v>Trả trước</v>
      </c>
      <c r="I399" s="265" t="str">
        <f>IFERROR(__xludf.DUMMYFUNCTION("""COMPUTED_VALUE"""),"API &amp; Portal")</f>
        <v>API &amp; Portal</v>
      </c>
      <c r="J399" s="265" t="str">
        <f>IFERROR(__xludf.DUMMYFUNCTION("""COMPUTED_VALUE"""),"API")</f>
        <v>API</v>
      </c>
    </row>
    <row r="400">
      <c r="A400" s="265" t="str">
        <f>IFERROR(__xludf.DUMMYFUNCTION("""COMPUTED_VALUE"""),"338")</f>
        <v>338</v>
      </c>
      <c r="B400" s="265" t="str">
        <f>IFERROR(__xludf.DUMMYFUNCTION("""COMPUTED_VALUE"""),"Sài Gòn")</f>
        <v>Sài Gòn</v>
      </c>
      <c r="C400" s="265" t="str">
        <f>IFERROR(__xludf.DUMMYFUNCTION("""COMPUTED_VALUE"""),"Locked")</f>
        <v>Locked</v>
      </c>
      <c r="D400" s="265" t="str">
        <f>IFERROR(__xludf.DUMMYFUNCTION("""COMPUTED_VALUE"""),"Mua sắm &amp; Bán lẻ")</f>
        <v>Mua sắm &amp; Bán lẻ</v>
      </c>
      <c r="E400" s="265" t="str">
        <f>IFERROR(__xludf.DUMMYFUNCTION("""COMPUTED_VALUE"""),"HoaNTM")</f>
        <v>HoaNTM</v>
      </c>
      <c r="F400" s="265" t="str">
        <f>IFERROR(__xludf.DUMMYFUNCTION("""COMPUTED_VALUE"""),"Sale chưa cung cấp")</f>
        <v>Sale chưa cung cấp</v>
      </c>
      <c r="G400" s="265" t="str">
        <f>IFERROR(__xludf.DUMMYFUNCTION("""COMPUTED_VALUE"""),"SIMILAR")</f>
        <v>SIMILAR</v>
      </c>
      <c r="H400" s="265" t="str">
        <f>IFERROR(__xludf.DUMMYFUNCTION("""COMPUTED_VALUE"""),"(Chưa recheck)")</f>
        <v>(Chưa recheck)</v>
      </c>
      <c r="I400" s="265" t="str">
        <f>IFERROR(__xludf.DUMMYFUNCTION("""COMPUTED_VALUE"""),"API &amp; Portal")</f>
        <v>API &amp; Portal</v>
      </c>
      <c r="J400" s="265" t="str">
        <f>IFERROR(__xludf.DUMMYFUNCTION("""COMPUTED_VALUE"""),"(Chưa recheck)")</f>
        <v>(Chưa recheck)</v>
      </c>
    </row>
    <row r="401">
      <c r="A401" s="265" t="str">
        <f>IFERROR(__xludf.DUMMYFUNCTION("""COMPUTED_VALUE"""),"688")</f>
        <v>688</v>
      </c>
      <c r="B401" s="265" t="str">
        <f>IFERROR(__xludf.DUMMYFUNCTION("""COMPUTED_VALUE"""),"Hà Nội")</f>
        <v>Hà Nội</v>
      </c>
      <c r="C401" s="265" t="str">
        <f>IFERROR(__xludf.DUMMYFUNCTION("""COMPUTED_VALUE"""),"Locked")</f>
        <v>Locked</v>
      </c>
      <c r="D401" s="265" t="str">
        <f>IFERROR(__xludf.DUMMYFUNCTION("""COMPUTED_VALUE"""),"Vận tải &amp; logistics")</f>
        <v>Vận tải &amp; logistics</v>
      </c>
      <c r="E401" s="265" t="str">
        <f>IFERROR(__xludf.DUMMYFUNCTION("""COMPUTED_VALUE"""),"PhươngDTB")</f>
        <v>PhươngDTB</v>
      </c>
      <c r="F401" s="265" t="str">
        <f>IFERROR(__xludf.DUMMYFUNCTION("""COMPUTED_VALUE"""),"Sale chưa cung cấp")</f>
        <v>Sale chưa cung cấp</v>
      </c>
      <c r="G401" s="265" t="str">
        <f>IFERROR(__xludf.DUMMYFUNCTION("""COMPUTED_VALUE"""),"API")</f>
        <v>API</v>
      </c>
      <c r="H401" s="265" t="str">
        <f>IFERROR(__xludf.DUMMYFUNCTION("""COMPUTED_VALUE"""),"Trial")</f>
        <v>Trial</v>
      </c>
      <c r="I401" s="265" t="str">
        <f>IFERROR(__xludf.DUMMYFUNCTION("""COMPUTED_VALUE"""),"API")</f>
        <v>API</v>
      </c>
      <c r="J401" s="265" t="str">
        <f>IFERROR(__xludf.DUMMYFUNCTION("""COMPUTED_VALUE"""),"API")</f>
        <v>API</v>
      </c>
    </row>
    <row r="402">
      <c r="A402" s="265" t="str">
        <f>IFERROR(__xludf.DUMMYFUNCTION("""COMPUTED_VALUE"""),"687")</f>
        <v>687</v>
      </c>
      <c r="B402" s="265" t="str">
        <f>IFERROR(__xludf.DUMMYFUNCTION("""COMPUTED_VALUE"""),"Hà Nội")</f>
        <v>Hà Nội</v>
      </c>
      <c r="C402" s="265" t="str">
        <f>IFERROR(__xludf.DUMMYFUNCTION("""COMPUTED_VALUE"""),"Locked")</f>
        <v>Locked</v>
      </c>
      <c r="D402" s="265" t="str">
        <f>IFERROR(__xludf.DUMMYFUNCTION("""COMPUTED_VALUE"""),"Vận tải &amp; logistics")</f>
        <v>Vận tải &amp; logistics</v>
      </c>
      <c r="E402" s="265" t="str">
        <f>IFERROR(__xludf.DUMMYFUNCTION("""COMPUTED_VALUE"""),"PhươngDTB")</f>
        <v>PhươngDTB</v>
      </c>
      <c r="F402" s="265" t="str">
        <f>IFERROR(__xludf.DUMMYFUNCTION("""COMPUTED_VALUE"""),"Sale chưa cung cấp")</f>
        <v>Sale chưa cung cấp</v>
      </c>
      <c r="G402" s="265" t="str">
        <f>IFERROR(__xludf.DUMMYFUNCTION("""COMPUTED_VALUE"""),"API")</f>
        <v>API</v>
      </c>
      <c r="H402" s="265" t="str">
        <f>IFERROR(__xludf.DUMMYFUNCTION("""COMPUTED_VALUE"""),"(Chưa recheck)")</f>
        <v>(Chưa recheck)</v>
      </c>
      <c r="I402" s="265" t="str">
        <f>IFERROR(__xludf.DUMMYFUNCTION("""COMPUTED_VALUE"""),"API")</f>
        <v>API</v>
      </c>
      <c r="J402" s="265" t="str">
        <f>IFERROR(__xludf.DUMMYFUNCTION("""COMPUTED_VALUE"""),"API")</f>
        <v>API</v>
      </c>
    </row>
    <row r="403">
      <c r="A403" s="265" t="str">
        <f>IFERROR(__xludf.DUMMYFUNCTION("""COMPUTED_VALUE"""),"389")</f>
        <v>389</v>
      </c>
      <c r="B403" s="265" t="str">
        <f>IFERROR(__xludf.DUMMYFUNCTION("""COMPUTED_VALUE"""),"Hà Nội")</f>
        <v>Hà Nội</v>
      </c>
      <c r="C403" s="265" t="str">
        <f>IFERROR(__xludf.DUMMYFUNCTION("""COMPUTED_VALUE"""),"Locked")</f>
        <v>Locked</v>
      </c>
      <c r="D403" s="265" t="str">
        <f>IFERROR(__xludf.DUMMYFUNCTION("""COMPUTED_VALUE"""),"Bất động sản")</f>
        <v>Bất động sản</v>
      </c>
      <c r="E403" s="265" t="str">
        <f>IFERROR(__xludf.DUMMYFUNCTION("""COMPUTED_VALUE"""),"TúPHN")</f>
        <v>TúPHN</v>
      </c>
      <c r="F403" s="265" t="str">
        <f>IFERROR(__xludf.DUMMYFUNCTION("""COMPUTED_VALUE"""),"Bronze")</f>
        <v>Bronze</v>
      </c>
      <c r="G403" s="265" t="str">
        <f>IFERROR(__xludf.DUMMYFUNCTION("""COMPUTED_VALUE"""),"Enterprise")</f>
        <v>Enterprise</v>
      </c>
      <c r="H403" s="265" t="str">
        <f>IFERROR(__xludf.DUMMYFUNCTION("""COMPUTED_VALUE"""),"(Chưa recheck)")</f>
        <v>(Chưa recheck)</v>
      </c>
      <c r="I403" s="265" t="str">
        <f>IFERROR(__xludf.DUMMYFUNCTION("""COMPUTED_VALUE"""),"(Chưa recheck)")</f>
        <v>(Chưa recheck)</v>
      </c>
      <c r="J403" s="265" t="str">
        <f>IFERROR(__xludf.DUMMYFUNCTION("""COMPUTED_VALUE"""),"File Excel")</f>
        <v>File Excel</v>
      </c>
    </row>
    <row r="404">
      <c r="A404" s="265" t="str">
        <f>IFERROR(__xludf.DUMMYFUNCTION("""COMPUTED_VALUE"""),"689")</f>
        <v>689</v>
      </c>
      <c r="B404" s="265" t="str">
        <f>IFERROR(__xludf.DUMMYFUNCTION("""COMPUTED_VALUE"""),"Sài Gòn")</f>
        <v>Sài Gòn</v>
      </c>
      <c r="C404" s="265" t="str">
        <f>IFERROR(__xludf.DUMMYFUNCTION("""COMPUTED_VALUE"""),"Locked")</f>
        <v>Locked</v>
      </c>
      <c r="D404" s="265" t="str">
        <f>IFERROR(__xludf.DUMMYFUNCTION("""COMPUTED_VALUE"""),"Sale chưa cung cấp")</f>
        <v>Sale chưa cung cấp</v>
      </c>
      <c r="E404" s="265" t="str">
        <f>IFERROR(__xludf.DUMMYFUNCTION("""COMPUTED_VALUE"""),"HoaNTM")</f>
        <v>HoaNTM</v>
      </c>
      <c r="F404" s="265" t="str">
        <f>IFERROR(__xludf.DUMMYFUNCTION("""COMPUTED_VALUE"""),"Sale chưa cung cấp")</f>
        <v>Sale chưa cung cấp</v>
      </c>
      <c r="G404" s="265" t="str">
        <f>IFERROR(__xludf.DUMMYFUNCTION("""COMPUTED_VALUE"""),"Enterprise")</f>
        <v>Enterprise</v>
      </c>
      <c r="H404" s="265" t="str">
        <f>IFERROR(__xludf.DUMMYFUNCTION("""COMPUTED_VALUE"""),"Trial")</f>
        <v>Trial</v>
      </c>
      <c r="I404" s="265" t="str">
        <f>IFERROR(__xludf.DUMMYFUNCTION("""COMPUTED_VALUE"""),"API &amp; Portal")</f>
        <v>API &amp; Portal</v>
      </c>
      <c r="J404" s="265" t="str">
        <f>IFERROR(__xludf.DUMMYFUNCTION("""COMPUTED_VALUE"""),"(Không recheck)")</f>
        <v>(Không recheck)</v>
      </c>
    </row>
    <row r="405">
      <c r="A405" s="265" t="str">
        <f>IFERROR(__xludf.DUMMYFUNCTION("""COMPUTED_VALUE"""),"690")</f>
        <v>690</v>
      </c>
      <c r="B405" s="265" t="str">
        <f>IFERROR(__xludf.DUMMYFUNCTION("""COMPUTED_VALUE"""),"Hà Nội")</f>
        <v>Hà Nội</v>
      </c>
      <c r="C405" s="265" t="str">
        <f>IFERROR(__xludf.DUMMYFUNCTION("""COMPUTED_VALUE"""),"Locked")</f>
        <v>Locked</v>
      </c>
      <c r="D405" s="265" t="str">
        <f>IFERROR(__xludf.DUMMYFUNCTION("""COMPUTED_VALUE"""),"Thực phẩm &amp; Đồ uống")</f>
        <v>Thực phẩm &amp; Đồ uống</v>
      </c>
      <c r="E405" s="265" t="str">
        <f>IFERROR(__xludf.DUMMYFUNCTION("""COMPUTED_VALUE"""),"AnhNP")</f>
        <v>AnhNP</v>
      </c>
      <c r="F405" s="265" t="str">
        <f>IFERROR(__xludf.DUMMYFUNCTION("""COMPUTED_VALUE"""),"Sale chưa cung cấp")</f>
        <v>Sale chưa cung cấp</v>
      </c>
      <c r="G405" s="265" t="str">
        <f>IFERROR(__xludf.DUMMYFUNCTION("""COMPUTED_VALUE"""),"Enterprise")</f>
        <v>Enterprise</v>
      </c>
      <c r="H405" s="265" t="str">
        <f>IFERROR(__xludf.DUMMYFUNCTION("""COMPUTED_VALUE"""),"Trial")</f>
        <v>Trial</v>
      </c>
      <c r="I405" s="265" t="str">
        <f>IFERROR(__xludf.DUMMYFUNCTION("""COMPUTED_VALUE"""),"API &amp; Portal")</f>
        <v>API &amp; Portal</v>
      </c>
      <c r="J405" s="265" t="str">
        <f>IFERROR(__xludf.DUMMYFUNCTION("""COMPUTED_VALUE"""),"(Không recheck)")</f>
        <v>(Không recheck)</v>
      </c>
    </row>
    <row r="406">
      <c r="A406" s="265" t="str">
        <f>IFERROR(__xludf.DUMMYFUNCTION("""COMPUTED_VALUE"""),"691")</f>
        <v>691</v>
      </c>
      <c r="B406" s="265" t="str">
        <f>IFERROR(__xludf.DUMMYFUNCTION("""COMPUTED_VALUE"""),"Hà Nội")</f>
        <v>Hà Nội</v>
      </c>
      <c r="C406" s="265" t="str">
        <f>IFERROR(__xludf.DUMMYFUNCTION("""COMPUTED_VALUE"""),"Locked")</f>
        <v>Locked</v>
      </c>
      <c r="D406" s="265" t="str">
        <f>IFERROR(__xludf.DUMMYFUNCTION("""COMPUTED_VALUE"""),"Mua sắm &amp; Bán lẻ")</f>
        <v>Mua sắm &amp; Bán lẻ</v>
      </c>
      <c r="E406" s="265" t="str">
        <f>IFERROR(__xludf.DUMMYFUNCTION("""COMPUTED_VALUE"""),"HangNT")</f>
        <v>HangNT</v>
      </c>
      <c r="F406" s="265" t="str">
        <f>IFERROR(__xludf.DUMMYFUNCTION("""COMPUTED_VALUE"""),"Gold")</f>
        <v>Gold</v>
      </c>
      <c r="G406" s="265" t="str">
        <f>IFERROR(__xludf.DUMMYFUNCTION("""COMPUTED_VALUE"""),"SIMILAR")</f>
        <v>SIMILAR</v>
      </c>
      <c r="H406" s="265" t="str">
        <f>IFERROR(__xludf.DUMMYFUNCTION("""COMPUTED_VALUE"""),"Trial")</f>
        <v>Trial</v>
      </c>
      <c r="I406" s="265" t="str">
        <f>IFERROR(__xludf.DUMMYFUNCTION("""COMPUTED_VALUE"""),"Portal")</f>
        <v>Portal</v>
      </c>
      <c r="J406" s="265" t="str">
        <f>IFERROR(__xludf.DUMMYFUNCTION("""COMPUTED_VALUE"""),"File Excel")</f>
        <v>File Excel</v>
      </c>
    </row>
    <row r="407">
      <c r="A407" s="265" t="str">
        <f>IFERROR(__xludf.DUMMYFUNCTION("""COMPUTED_VALUE"""),"693")</f>
        <v>693</v>
      </c>
      <c r="B407" s="265" t="str">
        <f>IFERROR(__xludf.DUMMYFUNCTION("""COMPUTED_VALUE"""),"Hà Nội")</f>
        <v>Hà Nội</v>
      </c>
      <c r="C407" s="265" t="str">
        <f>IFERROR(__xludf.DUMMYFUNCTION("""COMPUTED_VALUE"""),"Locked")</f>
        <v>Locked</v>
      </c>
      <c r="D407" s="265" t="str">
        <f>IFERROR(__xludf.DUMMYFUNCTION("""COMPUTED_VALUE"""),"Giáo dục &amp; Đào tạo")</f>
        <v>Giáo dục &amp; Đào tạo</v>
      </c>
      <c r="E407" s="265" t="str">
        <f>IFERROR(__xludf.DUMMYFUNCTION("""COMPUTED_VALUE"""),"TùngLD")</f>
        <v>TùngLD</v>
      </c>
      <c r="F407" s="265" t="str">
        <f>IFERROR(__xludf.DUMMYFUNCTION("""COMPUTED_VALUE"""),"Sale chưa cung cấp")</f>
        <v>Sale chưa cung cấp</v>
      </c>
      <c r="G407" s="265" t="str">
        <f>IFERROR(__xludf.DUMMYFUNCTION("""COMPUTED_VALUE"""),"Enterprise")</f>
        <v>Enterprise</v>
      </c>
      <c r="H407" s="265" t="str">
        <f>IFERROR(__xludf.DUMMYFUNCTION("""COMPUTED_VALUE"""),"Trial")</f>
        <v>Trial</v>
      </c>
      <c r="I407" s="265" t="str">
        <f>IFERROR(__xludf.DUMMYFUNCTION("""COMPUTED_VALUE"""),"Portal")</f>
        <v>Portal</v>
      </c>
      <c r="J407" s="265" t="str">
        <f>IFERROR(__xludf.DUMMYFUNCTION("""COMPUTED_VALUE"""),"(Không recheck)")</f>
        <v>(Không recheck)</v>
      </c>
    </row>
    <row r="408">
      <c r="A408" s="265" t="str">
        <f>IFERROR(__xludf.DUMMYFUNCTION("""COMPUTED_VALUE"""),"692")</f>
        <v>692</v>
      </c>
      <c r="B408" s="265" t="str">
        <f>IFERROR(__xludf.DUMMYFUNCTION("""COMPUTED_VALUE"""),"Sài Gòn")</f>
        <v>Sài Gòn</v>
      </c>
      <c r="C408" s="265" t="str">
        <f>IFERROR(__xludf.DUMMYFUNCTION("""COMPUTED_VALUE"""),"Locked")</f>
        <v>Locked</v>
      </c>
      <c r="D408" s="265" t="str">
        <f>IFERROR(__xludf.DUMMYFUNCTION("""COMPUTED_VALUE"""),"Sale chưa cung cấp")</f>
        <v>Sale chưa cung cấp</v>
      </c>
      <c r="E408" s="265" t="str">
        <f>IFERROR(__xludf.DUMMYFUNCTION("""COMPUTED_VALUE"""),"HoaNTM")</f>
        <v>HoaNTM</v>
      </c>
      <c r="F408" s="265" t="str">
        <f>IFERROR(__xludf.DUMMYFUNCTION("""COMPUTED_VALUE"""),"Sale chưa cung cấp")</f>
        <v>Sale chưa cung cấp</v>
      </c>
      <c r="G408" s="265" t="str">
        <f>IFERROR(__xludf.DUMMYFUNCTION("""COMPUTED_VALUE"""),"Enterprise")</f>
        <v>Enterprise</v>
      </c>
      <c r="H408" s="265" t="str">
        <f>IFERROR(__xludf.DUMMYFUNCTION("""COMPUTED_VALUE"""),"Trial")</f>
        <v>Trial</v>
      </c>
      <c r="I408" s="265" t="str">
        <f>IFERROR(__xludf.DUMMYFUNCTION("""COMPUTED_VALUE"""),"API &amp; Portal")</f>
        <v>API &amp; Portal</v>
      </c>
      <c r="J408" s="265" t="str">
        <f>IFERROR(__xludf.DUMMYFUNCTION("""COMPUTED_VALUE"""),"(Không recheck)")</f>
        <v>(Không recheck)</v>
      </c>
    </row>
    <row r="409">
      <c r="A409" s="265" t="str">
        <f>IFERROR(__xludf.DUMMYFUNCTION("""COMPUTED_VALUE"""),"694")</f>
        <v>694</v>
      </c>
      <c r="B409" s="265" t="str">
        <f>IFERROR(__xludf.DUMMYFUNCTION("""COMPUTED_VALUE"""),"Hà Nội")</f>
        <v>Hà Nội</v>
      </c>
      <c r="C409" s="265" t="str">
        <f>IFERROR(__xludf.DUMMYFUNCTION("""COMPUTED_VALUE"""),"Active")</f>
        <v>Active</v>
      </c>
      <c r="D409" s="265" t="str">
        <f>IFERROR(__xludf.DUMMYFUNCTION("""COMPUTED_VALUE"""),"Bất động sản")</f>
        <v>Bất động sản</v>
      </c>
      <c r="E409" s="265" t="str">
        <f>IFERROR(__xludf.DUMMYFUNCTION("""COMPUTED_VALUE"""),"TúPHN")</f>
        <v>TúPHN</v>
      </c>
      <c r="F409" s="265" t="str">
        <f>IFERROR(__xludf.DUMMYFUNCTION("""COMPUTED_VALUE"""),"Diamond")</f>
        <v>Diamond</v>
      </c>
      <c r="G409" s="265" t="str">
        <f>IFERROR(__xludf.DUMMYFUNCTION("""COMPUTED_VALUE"""),"Standard")</f>
        <v>Standard</v>
      </c>
      <c r="H409" s="265" t="str">
        <f>IFERROR(__xludf.DUMMYFUNCTION("""COMPUTED_VALUE"""),"Trả sau")</f>
        <v>Trả sau</v>
      </c>
      <c r="I409" s="265" t="str">
        <f>IFERROR(__xludf.DUMMYFUNCTION("""COMPUTED_VALUE"""),"API")</f>
        <v>API</v>
      </c>
      <c r="J409" s="265" t="str">
        <f>IFERROR(__xludf.DUMMYFUNCTION("""COMPUTED_VALUE"""),"API")</f>
        <v>API</v>
      </c>
    </row>
    <row r="410">
      <c r="A410" s="265" t="str">
        <f>IFERROR(__xludf.DUMMYFUNCTION("""COMPUTED_VALUE"""),"695")</f>
        <v>695</v>
      </c>
      <c r="B410" s="265" t="str">
        <f>IFERROR(__xludf.DUMMYFUNCTION("""COMPUTED_VALUE"""),"Đà Nẵng")</f>
        <v>Đà Nẵng</v>
      </c>
      <c r="C410" s="265" t="str">
        <f>IFERROR(__xludf.DUMMYFUNCTION("""COMPUTED_VALUE"""),"Locked")</f>
        <v>Locked</v>
      </c>
      <c r="D410" s="265" t="str">
        <f>IFERROR(__xludf.DUMMYFUNCTION("""COMPUTED_VALUE"""),"Sản xuất &amp; Chế tạo")</f>
        <v>Sản xuất &amp; Chế tạo</v>
      </c>
      <c r="E410" s="265" t="str">
        <f>IFERROR(__xludf.DUMMYFUNCTION("""COMPUTED_VALUE"""),"TúPHN")</f>
        <v>TúPHN</v>
      </c>
      <c r="F410" s="265" t="str">
        <f>IFERROR(__xludf.DUMMYFUNCTION("""COMPUTED_VALUE"""),"Bronze")</f>
        <v>Bronze</v>
      </c>
      <c r="G410" s="265" t="str">
        <f>IFERROR(__xludf.DUMMYFUNCTION("""COMPUTED_VALUE"""),"SIMILAR")</f>
        <v>SIMILAR</v>
      </c>
      <c r="H410" s="265" t="str">
        <f>IFERROR(__xludf.DUMMYFUNCTION("""COMPUTED_VALUE"""),"Trả trước")</f>
        <v>Trả trước</v>
      </c>
      <c r="I410" s="265" t="str">
        <f>IFERROR(__xludf.DUMMYFUNCTION("""COMPUTED_VALUE"""),"Portal")</f>
        <v>Portal</v>
      </c>
      <c r="J410" s="265" t="str">
        <f>IFERROR(__xludf.DUMMYFUNCTION("""COMPUTED_VALUE"""),"File Excel")</f>
        <v>File Excel</v>
      </c>
    </row>
    <row r="411">
      <c r="A411" s="265" t="str">
        <f>IFERROR(__xludf.DUMMYFUNCTION("""COMPUTED_VALUE"""),"698")</f>
        <v>698</v>
      </c>
      <c r="B411" s="265" t="str">
        <f>IFERROR(__xludf.DUMMYFUNCTION("""COMPUTED_VALUE"""),"Hà Nội")</f>
        <v>Hà Nội</v>
      </c>
      <c r="C411" s="265" t="str">
        <f>IFERROR(__xludf.DUMMYFUNCTION("""COMPUTED_VALUE"""),"Locked")</f>
        <v>Locked</v>
      </c>
      <c r="D411" s="265" t="str">
        <f>IFERROR(__xludf.DUMMYFUNCTION("""COMPUTED_VALUE"""),"Mua sắm &amp; Bán lẻ")</f>
        <v>Mua sắm &amp; Bán lẻ</v>
      </c>
      <c r="E411" s="265" t="str">
        <f>IFERROR(__xludf.DUMMYFUNCTION("""COMPUTED_VALUE"""),"HangNT")</f>
        <v>HangNT</v>
      </c>
      <c r="F411" s="265" t="str">
        <f>IFERROR(__xludf.DUMMYFUNCTION("""COMPUTED_VALUE"""),"Bronze")</f>
        <v>Bronze</v>
      </c>
      <c r="G411" s="265" t="str">
        <f>IFERROR(__xludf.DUMMYFUNCTION("""COMPUTED_VALUE"""),"MSG")</f>
        <v>MSG</v>
      </c>
      <c r="H411" s="265" t="str">
        <f>IFERROR(__xludf.DUMMYFUNCTION("""COMPUTED_VALUE"""),"Trial")</f>
        <v>Trial</v>
      </c>
      <c r="I411" s="265" t="str">
        <f>IFERROR(__xludf.DUMMYFUNCTION("""COMPUTED_VALUE"""),"Portal")</f>
        <v>Portal</v>
      </c>
      <c r="J411" s="265" t="str">
        <f>IFERROR(__xludf.DUMMYFUNCTION("""COMPUTED_VALUE"""),"File Excel")</f>
        <v>File Excel</v>
      </c>
    </row>
    <row r="412">
      <c r="A412" s="265" t="str">
        <f>IFERROR(__xludf.DUMMYFUNCTION("""COMPUTED_VALUE"""),"697")</f>
        <v>697</v>
      </c>
      <c r="B412" s="265" t="str">
        <f>IFERROR(__xludf.DUMMYFUNCTION("""COMPUTED_VALUE"""),"Sài Gòn")</f>
        <v>Sài Gòn</v>
      </c>
      <c r="C412" s="265" t="str">
        <f>IFERROR(__xludf.DUMMYFUNCTION("""COMPUTED_VALUE"""),"Locked")</f>
        <v>Locked</v>
      </c>
      <c r="D412" s="265" t="str">
        <f>IFERROR(__xludf.DUMMYFUNCTION("""COMPUTED_VALUE"""),"Thời trang &amp; May mặc")</f>
        <v>Thời trang &amp; May mặc</v>
      </c>
      <c r="E412" s="265" t="str">
        <f>IFERROR(__xludf.DUMMYFUNCTION("""COMPUTED_VALUE"""),"HoaNTM")</f>
        <v>HoaNTM</v>
      </c>
      <c r="F412" s="265" t="str">
        <f>IFERROR(__xludf.DUMMYFUNCTION("""COMPUTED_VALUE"""),"Bronze")</f>
        <v>Bronze</v>
      </c>
      <c r="G412" s="265" t="str">
        <f>IFERROR(__xludf.DUMMYFUNCTION("""COMPUTED_VALUE"""),"Enterprise")</f>
        <v>Enterprise</v>
      </c>
      <c r="H412" s="265" t="str">
        <f>IFERROR(__xludf.DUMMYFUNCTION("""COMPUTED_VALUE"""),"(Chưa recheck)")</f>
        <v>(Chưa recheck)</v>
      </c>
      <c r="I412" s="265" t="str">
        <f>IFERROR(__xludf.DUMMYFUNCTION("""COMPUTED_VALUE"""),"API &amp; Portal")</f>
        <v>API &amp; Portal</v>
      </c>
      <c r="J412" s="265" t="str">
        <f>IFERROR(__xludf.DUMMYFUNCTION("""COMPUTED_VALUE"""),"File Excel")</f>
        <v>File Excel</v>
      </c>
    </row>
    <row r="413">
      <c r="A413" s="265" t="str">
        <f>IFERROR(__xludf.DUMMYFUNCTION("""COMPUTED_VALUE"""),"697")</f>
        <v>697</v>
      </c>
      <c r="B413" s="265" t="str">
        <f>IFERROR(__xludf.DUMMYFUNCTION("""COMPUTED_VALUE"""),"Sài Gòn")</f>
        <v>Sài Gòn</v>
      </c>
      <c r="C413" s="265" t="str">
        <f>IFERROR(__xludf.DUMMYFUNCTION("""COMPUTED_VALUE"""),"Locked")</f>
        <v>Locked</v>
      </c>
      <c r="D413" s="265" t="str">
        <f>IFERROR(__xludf.DUMMYFUNCTION("""COMPUTED_VALUE"""),"Thời trang &amp; May mặc")</f>
        <v>Thời trang &amp; May mặc</v>
      </c>
      <c r="E413" s="265" t="str">
        <f>IFERROR(__xludf.DUMMYFUNCTION("""COMPUTED_VALUE"""),"HoaNTM")</f>
        <v>HoaNTM</v>
      </c>
      <c r="F413" s="265" t="str">
        <f>IFERROR(__xludf.DUMMYFUNCTION("""COMPUTED_VALUE"""),"Bronze")</f>
        <v>Bronze</v>
      </c>
      <c r="G413" s="265" t="str">
        <f>IFERROR(__xludf.DUMMYFUNCTION("""COMPUTED_VALUE"""),"Enterprise")</f>
        <v>Enterprise</v>
      </c>
      <c r="H413" s="265" t="str">
        <f>IFERROR(__xludf.DUMMYFUNCTION("""COMPUTED_VALUE"""),"(Chưa recheck)")</f>
        <v>(Chưa recheck)</v>
      </c>
      <c r="I413" s="265" t="str">
        <f>IFERROR(__xludf.DUMMYFUNCTION("""COMPUTED_VALUE"""),"API &amp; Portal")</f>
        <v>API &amp; Portal</v>
      </c>
      <c r="J413" s="265" t="str">
        <f>IFERROR(__xludf.DUMMYFUNCTION("""COMPUTED_VALUE"""),"API")</f>
        <v>API</v>
      </c>
    </row>
    <row r="414">
      <c r="A414" s="265" t="str">
        <f>IFERROR(__xludf.DUMMYFUNCTION("""COMPUTED_VALUE"""),"696")</f>
        <v>696</v>
      </c>
      <c r="B414" s="265" t="str">
        <f>IFERROR(__xludf.DUMMYFUNCTION("""COMPUTED_VALUE"""),"Sài Gòn")</f>
        <v>Sài Gòn</v>
      </c>
      <c r="C414" s="265" t="str">
        <f>IFERROR(__xludf.DUMMYFUNCTION("""COMPUTED_VALUE"""),"Locked")</f>
        <v>Locked</v>
      </c>
      <c r="D414" s="265" t="str">
        <f>IFERROR(__xludf.DUMMYFUNCTION("""COMPUTED_VALUE"""),"Viễn thông")</f>
        <v>Viễn thông</v>
      </c>
      <c r="E414" s="265" t="str">
        <f>IFERROR(__xludf.DUMMYFUNCTION("""COMPUTED_VALUE"""),"HoaNTM")</f>
        <v>HoaNTM</v>
      </c>
      <c r="F414" s="265" t="str">
        <f>IFERROR(__xludf.DUMMYFUNCTION("""COMPUTED_VALUE"""),"Gold")</f>
        <v>Gold</v>
      </c>
      <c r="G414" s="265" t="str">
        <f>IFERROR(__xludf.DUMMYFUNCTION("""COMPUTED_VALUE"""),"Enterprise")</f>
        <v>Enterprise</v>
      </c>
      <c r="H414" s="265" t="str">
        <f>IFERROR(__xludf.DUMMYFUNCTION("""COMPUTED_VALUE"""),"(Chưa recheck)")</f>
        <v>(Chưa recheck)</v>
      </c>
      <c r="I414" s="265" t="str">
        <f>IFERROR(__xludf.DUMMYFUNCTION("""COMPUTED_VALUE"""),"API &amp; Portal")</f>
        <v>API &amp; Portal</v>
      </c>
      <c r="J414" s="265" t="str">
        <f>IFERROR(__xludf.DUMMYFUNCTION("""COMPUTED_VALUE"""),"File Excel")</f>
        <v>File Excel</v>
      </c>
    </row>
    <row r="415">
      <c r="A415" s="265" t="str">
        <f>IFERROR(__xludf.DUMMYFUNCTION("""COMPUTED_VALUE"""),"696")</f>
        <v>696</v>
      </c>
      <c r="B415" s="265" t="str">
        <f>IFERROR(__xludf.DUMMYFUNCTION("""COMPUTED_VALUE"""),"Sài Gòn")</f>
        <v>Sài Gòn</v>
      </c>
      <c r="C415" s="265" t="str">
        <f>IFERROR(__xludf.DUMMYFUNCTION("""COMPUTED_VALUE"""),"Locked")</f>
        <v>Locked</v>
      </c>
      <c r="D415" s="265" t="str">
        <f>IFERROR(__xludf.DUMMYFUNCTION("""COMPUTED_VALUE"""),"Viễn thông")</f>
        <v>Viễn thông</v>
      </c>
      <c r="E415" s="265" t="str">
        <f>IFERROR(__xludf.DUMMYFUNCTION("""COMPUTED_VALUE"""),"HoaNTM")</f>
        <v>HoaNTM</v>
      </c>
      <c r="F415" s="265" t="str">
        <f>IFERROR(__xludf.DUMMYFUNCTION("""COMPUTED_VALUE"""),"Gold")</f>
        <v>Gold</v>
      </c>
      <c r="G415" s="265" t="str">
        <f>IFERROR(__xludf.DUMMYFUNCTION("""COMPUTED_VALUE"""),"Enterprise")</f>
        <v>Enterprise</v>
      </c>
      <c r="H415" s="265" t="str">
        <f>IFERROR(__xludf.DUMMYFUNCTION("""COMPUTED_VALUE"""),"(Chưa recheck)")</f>
        <v>(Chưa recheck)</v>
      </c>
      <c r="I415" s="265" t="str">
        <f>IFERROR(__xludf.DUMMYFUNCTION("""COMPUTED_VALUE"""),"API &amp; Portal")</f>
        <v>API &amp; Portal</v>
      </c>
      <c r="J415" s="265" t="str">
        <f>IFERROR(__xludf.DUMMYFUNCTION("""COMPUTED_VALUE"""),"API")</f>
        <v>API</v>
      </c>
    </row>
    <row r="416">
      <c r="A416" s="265" t="str">
        <f>IFERROR(__xludf.DUMMYFUNCTION("""COMPUTED_VALUE"""),"699")</f>
        <v>699</v>
      </c>
      <c r="B416" s="265" t="str">
        <f>IFERROR(__xludf.DUMMYFUNCTION("""COMPUTED_VALUE"""),"Hà Nội")</f>
        <v>Hà Nội</v>
      </c>
      <c r="C416" s="265" t="str">
        <f>IFERROR(__xludf.DUMMYFUNCTION("""COMPUTED_VALUE"""),"Active")</f>
        <v>Active</v>
      </c>
      <c r="D416" s="265" t="str">
        <f>IFERROR(__xludf.DUMMYFUNCTION("""COMPUTED_VALUE"""),"Vận tải &amp; logistics")</f>
        <v>Vận tải &amp; logistics</v>
      </c>
      <c r="E416" s="265" t="str">
        <f>IFERROR(__xludf.DUMMYFUNCTION("""COMPUTED_VALUE"""),"AnhNM")</f>
        <v>AnhNM</v>
      </c>
      <c r="F416" s="265" t="str">
        <f>IFERROR(__xludf.DUMMYFUNCTION("""COMPUTED_VALUE"""),"Silver")</f>
        <v>Silver</v>
      </c>
      <c r="G416" s="265" t="str">
        <f>IFERROR(__xludf.DUMMYFUNCTION("""COMPUTED_VALUE"""),"Starter")</f>
        <v>Starter</v>
      </c>
      <c r="H416" s="265" t="str">
        <f>IFERROR(__xludf.DUMMYFUNCTION("""COMPUTED_VALUE"""),"Trả sau")</f>
        <v>Trả sau</v>
      </c>
      <c r="I416" s="265" t="str">
        <f>IFERROR(__xludf.DUMMYFUNCTION("""COMPUTED_VALUE"""),"API &amp; Portal")</f>
        <v>API &amp; Portal</v>
      </c>
      <c r="J416" s="265" t="str">
        <f>IFERROR(__xludf.DUMMYFUNCTION("""COMPUTED_VALUE"""),"API")</f>
        <v>API</v>
      </c>
    </row>
    <row r="417">
      <c r="A417" s="265" t="str">
        <f>IFERROR(__xludf.DUMMYFUNCTION("""COMPUTED_VALUE"""),"701")</f>
        <v>701</v>
      </c>
      <c r="B417" s="265" t="str">
        <f>IFERROR(__xludf.DUMMYFUNCTION("""COMPUTED_VALUE"""),"Hà Nội")</f>
        <v>Hà Nội</v>
      </c>
      <c r="C417" s="265" t="str">
        <f>IFERROR(__xludf.DUMMYFUNCTION("""COMPUTED_VALUE"""),"Locked")</f>
        <v>Locked</v>
      </c>
      <c r="D417" s="265" t="str">
        <f>IFERROR(__xludf.DUMMYFUNCTION("""COMPUTED_VALUE"""),"Sản xuất &amp; Chế tạo")</f>
        <v>Sản xuất &amp; Chế tạo</v>
      </c>
      <c r="E417" s="265" t="str">
        <f>IFERROR(__xludf.DUMMYFUNCTION("""COMPUTED_VALUE"""),"TùngLD")</f>
        <v>TùngLD</v>
      </c>
      <c r="F417" s="265" t="str">
        <f>IFERROR(__xludf.DUMMYFUNCTION("""COMPUTED_VALUE"""),"Sale chưa cung cấp")</f>
        <v>Sale chưa cung cấp</v>
      </c>
      <c r="G417" s="265" t="str">
        <f>IFERROR(__xludf.DUMMYFUNCTION("""COMPUTED_VALUE"""),"Enterprise")</f>
        <v>Enterprise</v>
      </c>
      <c r="H417" s="265" t="str">
        <f>IFERROR(__xludf.DUMMYFUNCTION("""COMPUTED_VALUE"""),"(Chưa recheck)")</f>
        <v>(Chưa recheck)</v>
      </c>
      <c r="I417" s="265" t="str">
        <f>IFERROR(__xludf.DUMMYFUNCTION("""COMPUTED_VALUE"""),"Portal")</f>
        <v>Portal</v>
      </c>
      <c r="J417" s="265" t="str">
        <f>IFERROR(__xludf.DUMMYFUNCTION("""COMPUTED_VALUE"""),"File Excel")</f>
        <v>File Excel</v>
      </c>
    </row>
    <row r="418">
      <c r="A418" s="265" t="str">
        <f>IFERROR(__xludf.DUMMYFUNCTION("""COMPUTED_VALUE"""),"702")</f>
        <v>702</v>
      </c>
      <c r="B418" s="265" t="str">
        <f>IFERROR(__xludf.DUMMYFUNCTION("""COMPUTED_VALUE"""),"Sài Gòn")</f>
        <v>Sài Gòn</v>
      </c>
      <c r="C418" s="265" t="str">
        <f>IFERROR(__xludf.DUMMYFUNCTION("""COMPUTED_VALUE"""),"Active")</f>
        <v>Active</v>
      </c>
      <c r="D418" s="265" t="str">
        <f>IFERROR(__xludf.DUMMYFUNCTION("""COMPUTED_VALUE"""),"Mua sắm &amp; Bán lẻ")</f>
        <v>Mua sắm &amp; Bán lẻ</v>
      </c>
      <c r="E418" s="265" t="str">
        <f>IFERROR(__xludf.DUMMYFUNCTION("""COMPUTED_VALUE"""),"TúPHN")</f>
        <v>TúPHN</v>
      </c>
      <c r="F418" s="265" t="str">
        <f>IFERROR(__xludf.DUMMYFUNCTION("""COMPUTED_VALUE"""),"Silver")</f>
        <v>Silver</v>
      </c>
      <c r="G418" s="265" t="str">
        <f>IFERROR(__xludf.DUMMYFUNCTION("""COMPUTED_VALUE"""),"Enterprise")</f>
        <v>Enterprise</v>
      </c>
      <c r="H418" s="265" t="str">
        <f>IFERROR(__xludf.DUMMYFUNCTION("""COMPUTED_VALUE"""),"Trả sau")</f>
        <v>Trả sau</v>
      </c>
      <c r="I418" s="265" t="str">
        <f>IFERROR(__xludf.DUMMYFUNCTION("""COMPUTED_VALUE"""),"API &amp; Portal")</f>
        <v>API &amp; Portal</v>
      </c>
      <c r="J418" s="265" t="str">
        <f>IFERROR(__xludf.DUMMYFUNCTION("""COMPUTED_VALUE"""),"File Excel")</f>
        <v>File Excel</v>
      </c>
    </row>
    <row r="419">
      <c r="A419" s="265" t="str">
        <f>IFERROR(__xludf.DUMMYFUNCTION("""COMPUTED_VALUE"""),"702")</f>
        <v>702</v>
      </c>
      <c r="B419" s="265" t="str">
        <f>IFERROR(__xludf.DUMMYFUNCTION("""COMPUTED_VALUE"""),"Sài Gòn")</f>
        <v>Sài Gòn</v>
      </c>
      <c r="C419" s="265" t="str">
        <f>IFERROR(__xludf.DUMMYFUNCTION("""COMPUTED_VALUE"""),"Active")</f>
        <v>Active</v>
      </c>
      <c r="D419" s="265" t="str">
        <f>IFERROR(__xludf.DUMMYFUNCTION("""COMPUTED_VALUE"""),"Mua sắm &amp; Bán lẻ")</f>
        <v>Mua sắm &amp; Bán lẻ</v>
      </c>
      <c r="E419" s="265" t="str">
        <f>IFERROR(__xludf.DUMMYFUNCTION("""COMPUTED_VALUE"""),"TúPHN")</f>
        <v>TúPHN</v>
      </c>
      <c r="F419" s="265" t="str">
        <f>IFERROR(__xludf.DUMMYFUNCTION("""COMPUTED_VALUE"""),"Silver")</f>
        <v>Silver</v>
      </c>
      <c r="G419" s="265" t="str">
        <f>IFERROR(__xludf.DUMMYFUNCTION("""COMPUTED_VALUE"""),"Enterprise")</f>
        <v>Enterprise</v>
      </c>
      <c r="H419" s="265" t="str">
        <f>IFERROR(__xludf.DUMMYFUNCTION("""COMPUTED_VALUE"""),"Trả sau")</f>
        <v>Trả sau</v>
      </c>
      <c r="I419" s="265" t="str">
        <f>IFERROR(__xludf.DUMMYFUNCTION("""COMPUTED_VALUE"""),"API &amp; Portal")</f>
        <v>API &amp; Portal</v>
      </c>
      <c r="J419" s="265" t="str">
        <f>IFERROR(__xludf.DUMMYFUNCTION("""COMPUTED_VALUE"""),"API")</f>
        <v>API</v>
      </c>
    </row>
    <row r="420">
      <c r="A420" s="265" t="str">
        <f>IFERROR(__xludf.DUMMYFUNCTION("""COMPUTED_VALUE"""),"722")</f>
        <v>722</v>
      </c>
      <c r="B420" s="265" t="str">
        <f>IFERROR(__xludf.DUMMYFUNCTION("""COMPUTED_VALUE"""),"Hà Nội")</f>
        <v>Hà Nội</v>
      </c>
      <c r="C420" s="265" t="str">
        <f>IFERROR(__xludf.DUMMYFUNCTION("""COMPUTED_VALUE"""),"Locked")</f>
        <v>Locked</v>
      </c>
      <c r="D420" s="265" t="str">
        <f>IFERROR(__xludf.DUMMYFUNCTION("""COMPUTED_VALUE"""),"Công nghệ &amp; Phần mềm")</f>
        <v>Công nghệ &amp; Phần mềm</v>
      </c>
      <c r="E420" s="265" t="str">
        <f>IFERROR(__xludf.DUMMYFUNCTION("""COMPUTED_VALUE"""),"TúPHN")</f>
        <v>TúPHN</v>
      </c>
      <c r="F420" s="265" t="str">
        <f>IFERROR(__xludf.DUMMYFUNCTION("""COMPUTED_VALUE"""),"Bronze")</f>
        <v>Bronze</v>
      </c>
      <c r="G420" s="265" t="str">
        <f>IFERROR(__xludf.DUMMYFUNCTION("""COMPUTED_VALUE"""),"API")</f>
        <v>API</v>
      </c>
      <c r="H420" s="265" t="str">
        <f>IFERROR(__xludf.DUMMYFUNCTION("""COMPUTED_VALUE"""),"(Chưa recheck)")</f>
        <v>(Chưa recheck)</v>
      </c>
      <c r="I420" s="265" t="str">
        <f>IFERROR(__xludf.DUMMYFUNCTION("""COMPUTED_VALUE"""),"API")</f>
        <v>API</v>
      </c>
      <c r="J420" s="265" t="str">
        <f>IFERROR(__xludf.DUMMYFUNCTION("""COMPUTED_VALUE"""),"API")</f>
        <v>API</v>
      </c>
    </row>
    <row r="421">
      <c r="A421" s="265" t="str">
        <f>IFERROR(__xludf.DUMMYFUNCTION("""COMPUTED_VALUE"""),"705")</f>
        <v>705</v>
      </c>
      <c r="B421" s="265" t="str">
        <f>IFERROR(__xludf.DUMMYFUNCTION("""COMPUTED_VALUE"""),"Sài Gòn")</f>
        <v>Sài Gòn</v>
      </c>
      <c r="C421" s="265" t="str">
        <f>IFERROR(__xludf.DUMMYFUNCTION("""COMPUTED_VALUE"""),"Locked")</f>
        <v>Locked</v>
      </c>
      <c r="D421" s="265" t="str">
        <f>IFERROR(__xludf.DUMMYFUNCTION("""COMPUTED_VALUE"""),"Thời trang &amp; May mặc")</f>
        <v>Thời trang &amp; May mặc</v>
      </c>
      <c r="E421" s="265" t="str">
        <f>IFERROR(__xludf.DUMMYFUNCTION("""COMPUTED_VALUE"""),"HoaNTM")</f>
        <v>HoaNTM</v>
      </c>
      <c r="F421" s="265" t="str">
        <f>IFERROR(__xludf.DUMMYFUNCTION("""COMPUTED_VALUE"""),"Sale chưa cung cấp")</f>
        <v>Sale chưa cung cấp</v>
      </c>
      <c r="G421" s="265" t="str">
        <f>IFERROR(__xludf.DUMMYFUNCTION("""COMPUTED_VALUE"""),"Enterprise")</f>
        <v>Enterprise</v>
      </c>
      <c r="H421" s="265" t="str">
        <f>IFERROR(__xludf.DUMMYFUNCTION("""COMPUTED_VALUE"""),"Trial")</f>
        <v>Trial</v>
      </c>
      <c r="I421" s="265" t="str">
        <f>IFERROR(__xludf.DUMMYFUNCTION("""COMPUTED_VALUE"""),"API &amp; Portal")</f>
        <v>API &amp; Portal</v>
      </c>
      <c r="J421" s="265" t="str">
        <f>IFERROR(__xludf.DUMMYFUNCTION("""COMPUTED_VALUE"""),"File Excel")</f>
        <v>File Excel</v>
      </c>
    </row>
    <row r="422">
      <c r="A422" s="265" t="str">
        <f>IFERROR(__xludf.DUMMYFUNCTION("""COMPUTED_VALUE"""),"705")</f>
        <v>705</v>
      </c>
      <c r="B422" s="265" t="str">
        <f>IFERROR(__xludf.DUMMYFUNCTION("""COMPUTED_VALUE"""),"Sài Gòn")</f>
        <v>Sài Gòn</v>
      </c>
      <c r="C422" s="265" t="str">
        <f>IFERROR(__xludf.DUMMYFUNCTION("""COMPUTED_VALUE"""),"Locked")</f>
        <v>Locked</v>
      </c>
      <c r="D422" s="265" t="str">
        <f>IFERROR(__xludf.DUMMYFUNCTION("""COMPUTED_VALUE"""),"Thời trang &amp; May mặc")</f>
        <v>Thời trang &amp; May mặc</v>
      </c>
      <c r="E422" s="265" t="str">
        <f>IFERROR(__xludf.DUMMYFUNCTION("""COMPUTED_VALUE"""),"HoaNTM")</f>
        <v>HoaNTM</v>
      </c>
      <c r="F422" s="265" t="str">
        <f>IFERROR(__xludf.DUMMYFUNCTION("""COMPUTED_VALUE"""),"Sale chưa cung cấp")</f>
        <v>Sale chưa cung cấp</v>
      </c>
      <c r="G422" s="265" t="str">
        <f>IFERROR(__xludf.DUMMYFUNCTION("""COMPUTED_VALUE"""),"Enterprise")</f>
        <v>Enterprise</v>
      </c>
      <c r="H422" s="265" t="str">
        <f>IFERROR(__xludf.DUMMYFUNCTION("""COMPUTED_VALUE"""),"Trial")</f>
        <v>Trial</v>
      </c>
      <c r="I422" s="265" t="str">
        <f>IFERROR(__xludf.DUMMYFUNCTION("""COMPUTED_VALUE"""),"API &amp; Portal")</f>
        <v>API &amp; Portal</v>
      </c>
      <c r="J422" s="265" t="str">
        <f>IFERROR(__xludf.DUMMYFUNCTION("""COMPUTED_VALUE"""),"API")</f>
        <v>API</v>
      </c>
    </row>
    <row r="423">
      <c r="A423" s="265" t="str">
        <f>IFERROR(__xludf.DUMMYFUNCTION("""COMPUTED_VALUE"""),"704")</f>
        <v>704</v>
      </c>
      <c r="B423" s="265" t="str">
        <f>IFERROR(__xludf.DUMMYFUNCTION("""COMPUTED_VALUE"""),"Sài Gòn")</f>
        <v>Sài Gòn</v>
      </c>
      <c r="C423" s="265" t="str">
        <f>IFERROR(__xludf.DUMMYFUNCTION("""COMPUTED_VALUE"""),"Locked")</f>
        <v>Locked</v>
      </c>
      <c r="D423" s="265" t="str">
        <f>IFERROR(__xludf.DUMMYFUNCTION("""COMPUTED_VALUE"""),"Y tế &amp; Dược phẩm")</f>
        <v>Y tế &amp; Dược phẩm</v>
      </c>
      <c r="E423" s="265" t="str">
        <f>IFERROR(__xludf.DUMMYFUNCTION("""COMPUTED_VALUE"""),"TùngLD")</f>
        <v>TùngLD</v>
      </c>
      <c r="F423" s="265" t="str">
        <f>IFERROR(__xludf.DUMMYFUNCTION("""COMPUTED_VALUE"""),"Bronze")</f>
        <v>Bronze</v>
      </c>
      <c r="G423" s="265" t="str">
        <f>IFERROR(__xludf.DUMMYFUNCTION("""COMPUTED_VALUE"""),"Enterprise")</f>
        <v>Enterprise</v>
      </c>
      <c r="H423" s="265" t="str">
        <f>IFERROR(__xludf.DUMMYFUNCTION("""COMPUTED_VALUE"""),"Trả sau")</f>
        <v>Trả sau</v>
      </c>
      <c r="I423" s="265" t="str">
        <f>IFERROR(__xludf.DUMMYFUNCTION("""COMPUTED_VALUE"""),"API &amp; Portal")</f>
        <v>API &amp; Portal</v>
      </c>
      <c r="J423" s="265" t="str">
        <f>IFERROR(__xludf.DUMMYFUNCTION("""COMPUTED_VALUE"""),"File Excel")</f>
        <v>File Excel</v>
      </c>
    </row>
    <row r="424">
      <c r="A424" s="265" t="str">
        <f>IFERROR(__xludf.DUMMYFUNCTION("""COMPUTED_VALUE"""),"704")</f>
        <v>704</v>
      </c>
      <c r="B424" s="265" t="str">
        <f>IFERROR(__xludf.DUMMYFUNCTION("""COMPUTED_VALUE"""),"Sài Gòn")</f>
        <v>Sài Gòn</v>
      </c>
      <c r="C424" s="265" t="str">
        <f>IFERROR(__xludf.DUMMYFUNCTION("""COMPUTED_VALUE"""),"Locked")</f>
        <v>Locked</v>
      </c>
      <c r="D424" s="265" t="str">
        <f>IFERROR(__xludf.DUMMYFUNCTION("""COMPUTED_VALUE"""),"Y tế &amp; Dược phẩm")</f>
        <v>Y tế &amp; Dược phẩm</v>
      </c>
      <c r="E424" s="265" t="str">
        <f>IFERROR(__xludf.DUMMYFUNCTION("""COMPUTED_VALUE"""),"TùngLD")</f>
        <v>TùngLD</v>
      </c>
      <c r="F424" s="265" t="str">
        <f>IFERROR(__xludf.DUMMYFUNCTION("""COMPUTED_VALUE"""),"Bronze")</f>
        <v>Bronze</v>
      </c>
      <c r="G424" s="265" t="str">
        <f>IFERROR(__xludf.DUMMYFUNCTION("""COMPUTED_VALUE"""),"Enterprise")</f>
        <v>Enterprise</v>
      </c>
      <c r="H424" s="265" t="str">
        <f>IFERROR(__xludf.DUMMYFUNCTION("""COMPUTED_VALUE"""),"Trả sau")</f>
        <v>Trả sau</v>
      </c>
      <c r="I424" s="265" t="str">
        <f>IFERROR(__xludf.DUMMYFUNCTION("""COMPUTED_VALUE"""),"API &amp; Portal")</f>
        <v>API &amp; Portal</v>
      </c>
      <c r="J424" s="265" t="str">
        <f>IFERROR(__xludf.DUMMYFUNCTION("""COMPUTED_VALUE"""),"API")</f>
        <v>API</v>
      </c>
    </row>
    <row r="425">
      <c r="A425" s="265" t="str">
        <f>IFERROR(__xludf.DUMMYFUNCTION("""COMPUTED_VALUE"""),"706")</f>
        <v>706</v>
      </c>
      <c r="B425" s="265" t="str">
        <f>IFERROR(__xludf.DUMMYFUNCTION("""COMPUTED_VALUE"""),"Hà Nội")</f>
        <v>Hà Nội</v>
      </c>
      <c r="C425" s="265" t="str">
        <f>IFERROR(__xludf.DUMMYFUNCTION("""COMPUTED_VALUE"""),"Locked")</f>
        <v>Locked</v>
      </c>
      <c r="D425" s="265" t="str">
        <f>IFERROR(__xludf.DUMMYFUNCTION("""COMPUTED_VALUE"""),"Mua sắm &amp; Bán lẻ")</f>
        <v>Mua sắm &amp; Bán lẻ</v>
      </c>
      <c r="E425" s="265" t="str">
        <f>IFERROR(__xludf.DUMMYFUNCTION("""COMPUTED_VALUE"""),"TùngLD")</f>
        <v>TùngLD</v>
      </c>
      <c r="F425" s="265" t="str">
        <f>IFERROR(__xludf.DUMMYFUNCTION("""COMPUTED_VALUE"""),"Diamond")</f>
        <v>Diamond</v>
      </c>
      <c r="G425" s="265" t="str">
        <f>IFERROR(__xludf.DUMMYFUNCTION("""COMPUTED_VALUE"""),"Starter")</f>
        <v>Starter</v>
      </c>
      <c r="H425" s="265" t="str">
        <f>IFERROR(__xludf.DUMMYFUNCTION("""COMPUTED_VALUE"""),"Trả sau")</f>
        <v>Trả sau</v>
      </c>
      <c r="I425" s="265" t="str">
        <f>IFERROR(__xludf.DUMMYFUNCTION("""COMPUTED_VALUE"""),"API")</f>
        <v>API</v>
      </c>
      <c r="J425" s="265" t="str">
        <f>IFERROR(__xludf.DUMMYFUNCTION("""COMPUTED_VALUE"""),"API")</f>
        <v>API</v>
      </c>
    </row>
    <row r="426">
      <c r="A426" s="265" t="str">
        <f>IFERROR(__xludf.DUMMYFUNCTION("""COMPUTED_VALUE"""),"700")</f>
        <v>700</v>
      </c>
      <c r="B426" s="265" t="str">
        <f>IFERROR(__xludf.DUMMYFUNCTION("""COMPUTED_VALUE"""),"Sài Gòn")</f>
        <v>Sài Gòn</v>
      </c>
      <c r="C426" s="265" t="str">
        <f>IFERROR(__xludf.DUMMYFUNCTION("""COMPUTED_VALUE"""),"Locked")</f>
        <v>Locked</v>
      </c>
      <c r="D426" s="265" t="str">
        <f>IFERROR(__xludf.DUMMYFUNCTION("""COMPUTED_VALUE"""),"Viễn thông")</f>
        <v>Viễn thông</v>
      </c>
      <c r="E426" s="265" t="str">
        <f>IFERROR(__xludf.DUMMYFUNCTION("""COMPUTED_VALUE"""),"HoaNTM")</f>
        <v>HoaNTM</v>
      </c>
      <c r="F426" s="265" t="str">
        <f>IFERROR(__xludf.DUMMYFUNCTION("""COMPUTED_VALUE"""),"Sale chưa cung cấp")</f>
        <v>Sale chưa cung cấp</v>
      </c>
      <c r="G426" s="265" t="str">
        <f>IFERROR(__xludf.DUMMYFUNCTION("""COMPUTED_VALUE"""),"Enterprise")</f>
        <v>Enterprise</v>
      </c>
      <c r="H426" s="265" t="str">
        <f>IFERROR(__xludf.DUMMYFUNCTION("""COMPUTED_VALUE"""),"(Chưa recheck)")</f>
        <v>(Chưa recheck)</v>
      </c>
      <c r="I426" s="265" t="str">
        <f>IFERROR(__xludf.DUMMYFUNCTION("""COMPUTED_VALUE"""),"API &amp; Portal")</f>
        <v>API &amp; Portal</v>
      </c>
      <c r="J426" s="265" t="str">
        <f>IFERROR(__xludf.DUMMYFUNCTION("""COMPUTED_VALUE"""),"File Excel")</f>
        <v>File Excel</v>
      </c>
    </row>
    <row r="427">
      <c r="A427" s="265" t="str">
        <f>IFERROR(__xludf.DUMMYFUNCTION("""COMPUTED_VALUE"""),"700")</f>
        <v>700</v>
      </c>
      <c r="B427" s="265" t="str">
        <f>IFERROR(__xludf.DUMMYFUNCTION("""COMPUTED_VALUE"""),"Sài Gòn")</f>
        <v>Sài Gòn</v>
      </c>
      <c r="C427" s="265" t="str">
        <f>IFERROR(__xludf.DUMMYFUNCTION("""COMPUTED_VALUE"""),"Locked")</f>
        <v>Locked</v>
      </c>
      <c r="D427" s="265" t="str">
        <f>IFERROR(__xludf.DUMMYFUNCTION("""COMPUTED_VALUE"""),"Viễn thông")</f>
        <v>Viễn thông</v>
      </c>
      <c r="E427" s="265" t="str">
        <f>IFERROR(__xludf.DUMMYFUNCTION("""COMPUTED_VALUE"""),"HoaNTM")</f>
        <v>HoaNTM</v>
      </c>
      <c r="F427" s="265" t="str">
        <f>IFERROR(__xludf.DUMMYFUNCTION("""COMPUTED_VALUE"""),"Sale chưa cung cấp")</f>
        <v>Sale chưa cung cấp</v>
      </c>
      <c r="G427" s="265" t="str">
        <f>IFERROR(__xludf.DUMMYFUNCTION("""COMPUTED_VALUE"""),"Enterprise")</f>
        <v>Enterprise</v>
      </c>
      <c r="H427" s="265" t="str">
        <f>IFERROR(__xludf.DUMMYFUNCTION("""COMPUTED_VALUE"""),"(Chưa recheck)")</f>
        <v>(Chưa recheck)</v>
      </c>
      <c r="I427" s="265" t="str">
        <f>IFERROR(__xludf.DUMMYFUNCTION("""COMPUTED_VALUE"""),"API &amp; Portal")</f>
        <v>API &amp; Portal</v>
      </c>
      <c r="J427" s="265" t="str">
        <f>IFERROR(__xludf.DUMMYFUNCTION("""COMPUTED_VALUE"""),"API")</f>
        <v>API</v>
      </c>
    </row>
    <row r="428">
      <c r="A428" s="265" t="str">
        <f>IFERROR(__xludf.DUMMYFUNCTION("""COMPUTED_VALUE"""),"707")</f>
        <v>707</v>
      </c>
      <c r="B428" s="265" t="str">
        <f>IFERROR(__xludf.DUMMYFUNCTION("""COMPUTED_VALUE"""),"Hà Nội")</f>
        <v>Hà Nội</v>
      </c>
      <c r="C428" s="265" t="str">
        <f>IFERROR(__xludf.DUMMYFUNCTION("""COMPUTED_VALUE"""),"Locked")</f>
        <v>Locked</v>
      </c>
      <c r="D428" s="265" t="str">
        <f>IFERROR(__xludf.DUMMYFUNCTION("""COMPUTED_VALUE"""),"Mua sắm &amp; Bán lẻ")</f>
        <v>Mua sắm &amp; Bán lẻ</v>
      </c>
      <c r="E428" s="265" t="str">
        <f>IFERROR(__xludf.DUMMYFUNCTION("""COMPUTED_VALUE"""),"PhươngDTB")</f>
        <v>PhươngDTB</v>
      </c>
      <c r="F428" s="265" t="str">
        <f>IFERROR(__xludf.DUMMYFUNCTION("""COMPUTED_VALUE"""),"Bronze")</f>
        <v>Bronze</v>
      </c>
      <c r="G428" s="265" t="str">
        <f>IFERROR(__xludf.DUMMYFUNCTION("""COMPUTED_VALUE"""),"Enterprise")</f>
        <v>Enterprise</v>
      </c>
      <c r="H428" s="265" t="str">
        <f>IFERROR(__xludf.DUMMYFUNCTION("""COMPUTED_VALUE"""),"(Chưa recheck)")</f>
        <v>(Chưa recheck)</v>
      </c>
      <c r="I428" s="265" t="str">
        <f>IFERROR(__xludf.DUMMYFUNCTION("""COMPUTED_VALUE"""),"API &amp; Portal")</f>
        <v>API &amp; Portal</v>
      </c>
      <c r="J428" s="265" t="str">
        <f>IFERROR(__xludf.DUMMYFUNCTION("""COMPUTED_VALUE"""),"Kiotviet")</f>
        <v>Kiotviet</v>
      </c>
    </row>
    <row r="429">
      <c r="A429" s="265" t="str">
        <f>IFERROR(__xludf.DUMMYFUNCTION("""COMPUTED_VALUE"""),"709")</f>
        <v>709</v>
      </c>
      <c r="B429" s="265" t="str">
        <f>IFERROR(__xludf.DUMMYFUNCTION("""COMPUTED_VALUE"""),"Hà Nội")</f>
        <v>Hà Nội</v>
      </c>
      <c r="C429" s="265" t="str">
        <f>IFERROR(__xludf.DUMMYFUNCTION("""COMPUTED_VALUE"""),"Locked")</f>
        <v>Locked</v>
      </c>
      <c r="D429" s="265" t="str">
        <f>IFERROR(__xludf.DUMMYFUNCTION("""COMPUTED_VALUE"""),"Viễn thông")</f>
        <v>Viễn thông</v>
      </c>
      <c r="E429" s="265" t="str">
        <f>IFERROR(__xludf.DUMMYFUNCTION("""COMPUTED_VALUE"""),"NamDT")</f>
        <v>NamDT</v>
      </c>
      <c r="F429" s="265" t="str">
        <f>IFERROR(__xludf.DUMMYFUNCTION("""COMPUTED_VALUE"""),"Sale chưa cung cấp")</f>
        <v>Sale chưa cung cấp</v>
      </c>
      <c r="G429" s="265" t="str">
        <f>IFERROR(__xludf.DUMMYFUNCTION("""COMPUTED_VALUE"""),"Enterprise")</f>
        <v>Enterprise</v>
      </c>
      <c r="H429" s="265" t="str">
        <f>IFERROR(__xludf.DUMMYFUNCTION("""COMPUTED_VALUE"""),"Trial")</f>
        <v>Trial</v>
      </c>
      <c r="I429" s="265" t="str">
        <f>IFERROR(__xludf.DUMMYFUNCTION("""COMPUTED_VALUE"""),"Portal")</f>
        <v>Portal</v>
      </c>
      <c r="J429" s="265" t="str">
        <f>IFERROR(__xludf.DUMMYFUNCTION("""COMPUTED_VALUE"""),"(Chưa recheck)")</f>
        <v>(Chưa recheck)</v>
      </c>
    </row>
    <row r="430">
      <c r="A430" s="265" t="str">
        <f>IFERROR(__xludf.DUMMYFUNCTION("""COMPUTED_VALUE"""),"708")</f>
        <v>708</v>
      </c>
      <c r="B430" s="265" t="str">
        <f>IFERROR(__xludf.DUMMYFUNCTION("""COMPUTED_VALUE"""),"Sài Gòn")</f>
        <v>Sài Gòn</v>
      </c>
      <c r="C430" s="265" t="str">
        <f>IFERROR(__xludf.DUMMYFUNCTION("""COMPUTED_VALUE"""),"Locked")</f>
        <v>Locked</v>
      </c>
      <c r="D430" s="265" t="str">
        <f>IFERROR(__xludf.DUMMYFUNCTION("""COMPUTED_VALUE"""),"Y tế &amp; Dược phẩm")</f>
        <v>Y tế &amp; Dược phẩm</v>
      </c>
      <c r="E430" s="265" t="str">
        <f>IFERROR(__xludf.DUMMYFUNCTION("""COMPUTED_VALUE"""),"HoaNTM")</f>
        <v>HoaNTM</v>
      </c>
      <c r="F430" s="265" t="str">
        <f>IFERROR(__xludf.DUMMYFUNCTION("""COMPUTED_VALUE"""),"Gold")</f>
        <v>Gold</v>
      </c>
      <c r="G430" s="265" t="str">
        <f>IFERROR(__xludf.DUMMYFUNCTION("""COMPUTED_VALUE"""),"Starter")</f>
        <v>Starter</v>
      </c>
      <c r="H430" s="265" t="str">
        <f>IFERROR(__xludf.DUMMYFUNCTION("""COMPUTED_VALUE"""),"(Chưa recheck)")</f>
        <v>(Chưa recheck)</v>
      </c>
      <c r="I430" s="265" t="str">
        <f>IFERROR(__xludf.DUMMYFUNCTION("""COMPUTED_VALUE"""),"API &amp; Portal")</f>
        <v>API &amp; Portal</v>
      </c>
      <c r="J430" s="265" t="str">
        <f>IFERROR(__xludf.DUMMYFUNCTION("""COMPUTED_VALUE"""),"File Excel")</f>
        <v>File Excel</v>
      </c>
    </row>
    <row r="431">
      <c r="A431" s="265" t="str">
        <f>IFERROR(__xludf.DUMMYFUNCTION("""COMPUTED_VALUE"""),"708")</f>
        <v>708</v>
      </c>
      <c r="B431" s="265" t="str">
        <f>IFERROR(__xludf.DUMMYFUNCTION("""COMPUTED_VALUE"""),"Sài Gòn")</f>
        <v>Sài Gòn</v>
      </c>
      <c r="C431" s="265" t="str">
        <f>IFERROR(__xludf.DUMMYFUNCTION("""COMPUTED_VALUE"""),"Locked")</f>
        <v>Locked</v>
      </c>
      <c r="D431" s="265" t="str">
        <f>IFERROR(__xludf.DUMMYFUNCTION("""COMPUTED_VALUE"""),"Y tế &amp; Dược phẩm")</f>
        <v>Y tế &amp; Dược phẩm</v>
      </c>
      <c r="E431" s="265" t="str">
        <f>IFERROR(__xludf.DUMMYFUNCTION("""COMPUTED_VALUE"""),"HoaNTM")</f>
        <v>HoaNTM</v>
      </c>
      <c r="F431" s="265" t="str">
        <f>IFERROR(__xludf.DUMMYFUNCTION("""COMPUTED_VALUE"""),"Gold")</f>
        <v>Gold</v>
      </c>
      <c r="G431" s="265" t="str">
        <f>IFERROR(__xludf.DUMMYFUNCTION("""COMPUTED_VALUE"""),"Starter")</f>
        <v>Starter</v>
      </c>
      <c r="H431" s="265" t="str">
        <f>IFERROR(__xludf.DUMMYFUNCTION("""COMPUTED_VALUE"""),"(Chưa recheck)")</f>
        <v>(Chưa recheck)</v>
      </c>
      <c r="I431" s="265" t="str">
        <f>IFERROR(__xludf.DUMMYFUNCTION("""COMPUTED_VALUE"""),"API &amp; Portal")</f>
        <v>API &amp; Portal</v>
      </c>
      <c r="J431" s="265" t="str">
        <f>IFERROR(__xludf.DUMMYFUNCTION("""COMPUTED_VALUE"""),"API")</f>
        <v>API</v>
      </c>
    </row>
    <row r="432">
      <c r="A432" s="265" t="str">
        <f>IFERROR(__xludf.DUMMYFUNCTION("""COMPUTED_VALUE"""),"710")</f>
        <v>710</v>
      </c>
      <c r="B432" s="265" t="str">
        <f>IFERROR(__xludf.DUMMYFUNCTION("""COMPUTED_VALUE"""),"Hà Nội")</f>
        <v>Hà Nội</v>
      </c>
      <c r="C432" s="265" t="str">
        <f>IFERROR(__xludf.DUMMYFUNCTION("""COMPUTED_VALUE"""),"Locked")</f>
        <v>Locked</v>
      </c>
      <c r="D432" s="265" t="str">
        <f>IFERROR(__xludf.DUMMYFUNCTION("""COMPUTED_VALUE"""),"Mua sắm &amp; Bán lẻ")</f>
        <v>Mua sắm &amp; Bán lẻ</v>
      </c>
      <c r="E432" s="265" t="str">
        <f>IFERROR(__xludf.DUMMYFUNCTION("""COMPUTED_VALUE"""),"TúPHN")</f>
        <v>TúPHN</v>
      </c>
      <c r="F432" s="265" t="str">
        <f>IFERROR(__xludf.DUMMYFUNCTION("""COMPUTED_VALUE"""),"Bronze")</f>
        <v>Bronze</v>
      </c>
      <c r="G432" s="265" t="str">
        <f>IFERROR(__xludf.DUMMYFUNCTION("""COMPUTED_VALUE"""),"Enterprise")</f>
        <v>Enterprise</v>
      </c>
      <c r="H432" s="265" t="str">
        <f>IFERROR(__xludf.DUMMYFUNCTION("""COMPUTED_VALUE"""),"Trả trước")</f>
        <v>Trả trước</v>
      </c>
      <c r="I432" s="265" t="str">
        <f>IFERROR(__xludf.DUMMYFUNCTION("""COMPUTED_VALUE"""),"API &amp; Portal")</f>
        <v>API &amp; Portal</v>
      </c>
      <c r="J432" s="265" t="str">
        <f>IFERROR(__xludf.DUMMYFUNCTION("""COMPUTED_VALUE"""),"File Excel")</f>
        <v>File Excel</v>
      </c>
    </row>
    <row r="433">
      <c r="A433" s="265" t="str">
        <f>IFERROR(__xludf.DUMMYFUNCTION("""COMPUTED_VALUE"""),"710")</f>
        <v>710</v>
      </c>
      <c r="B433" s="265" t="str">
        <f>IFERROR(__xludf.DUMMYFUNCTION("""COMPUTED_VALUE"""),"Hà Nội")</f>
        <v>Hà Nội</v>
      </c>
      <c r="C433" s="265" t="str">
        <f>IFERROR(__xludf.DUMMYFUNCTION("""COMPUTED_VALUE"""),"Locked")</f>
        <v>Locked</v>
      </c>
      <c r="D433" s="265" t="str">
        <f>IFERROR(__xludf.DUMMYFUNCTION("""COMPUTED_VALUE"""),"Mua sắm &amp; Bán lẻ")</f>
        <v>Mua sắm &amp; Bán lẻ</v>
      </c>
      <c r="E433" s="265" t="str">
        <f>IFERROR(__xludf.DUMMYFUNCTION("""COMPUTED_VALUE"""),"TúPHN")</f>
        <v>TúPHN</v>
      </c>
      <c r="F433" s="265" t="str">
        <f>IFERROR(__xludf.DUMMYFUNCTION("""COMPUTED_VALUE"""),"Bronze")</f>
        <v>Bronze</v>
      </c>
      <c r="G433" s="265" t="str">
        <f>IFERROR(__xludf.DUMMYFUNCTION("""COMPUTED_VALUE"""),"Enterprise")</f>
        <v>Enterprise</v>
      </c>
      <c r="H433" s="265" t="str">
        <f>IFERROR(__xludf.DUMMYFUNCTION("""COMPUTED_VALUE"""),"Trả trước")</f>
        <v>Trả trước</v>
      </c>
      <c r="I433" s="265" t="str">
        <f>IFERROR(__xludf.DUMMYFUNCTION("""COMPUTED_VALUE"""),"API &amp; Portal")</f>
        <v>API &amp; Portal</v>
      </c>
      <c r="J433" s="265" t="str">
        <f>IFERROR(__xludf.DUMMYFUNCTION("""COMPUTED_VALUE"""),"Haravan")</f>
        <v>Haravan</v>
      </c>
    </row>
    <row r="434">
      <c r="A434" s="265" t="str">
        <f>IFERROR(__xludf.DUMMYFUNCTION("""COMPUTED_VALUE"""),"712")</f>
        <v>712</v>
      </c>
      <c r="B434" s="265" t="str">
        <f>IFERROR(__xludf.DUMMYFUNCTION("""COMPUTED_VALUE"""),"Hà Nội")</f>
        <v>Hà Nội</v>
      </c>
      <c r="C434" s="265" t="str">
        <f>IFERROR(__xludf.DUMMYFUNCTION("""COMPUTED_VALUE"""),"Locked")</f>
        <v>Locked</v>
      </c>
      <c r="D434" s="265" t="str">
        <f>IFERROR(__xludf.DUMMYFUNCTION("""COMPUTED_VALUE"""),"Thời trang &amp; May mặc")</f>
        <v>Thời trang &amp; May mặc</v>
      </c>
      <c r="E434" s="265" t="str">
        <f>IFERROR(__xludf.DUMMYFUNCTION("""COMPUTED_VALUE"""),"TùngLD")</f>
        <v>TùngLD</v>
      </c>
      <c r="F434" s="265" t="str">
        <f>IFERROR(__xludf.DUMMYFUNCTION("""COMPUTED_VALUE"""),"Silver")</f>
        <v>Silver</v>
      </c>
      <c r="G434" s="265" t="str">
        <f>IFERROR(__xludf.DUMMYFUNCTION("""COMPUTED_VALUE"""),"Enterprise")</f>
        <v>Enterprise</v>
      </c>
      <c r="H434" s="265" t="str">
        <f>IFERROR(__xludf.DUMMYFUNCTION("""COMPUTED_VALUE"""),"Trả trước")</f>
        <v>Trả trước</v>
      </c>
      <c r="I434" s="265" t="str">
        <f>IFERROR(__xludf.DUMMYFUNCTION("""COMPUTED_VALUE"""),"Portal")</f>
        <v>Portal</v>
      </c>
      <c r="J434" s="265" t="str">
        <f>IFERROR(__xludf.DUMMYFUNCTION("""COMPUTED_VALUE"""),"File Excel")</f>
        <v>File Excel</v>
      </c>
    </row>
    <row r="435">
      <c r="A435" s="265" t="str">
        <f>IFERROR(__xludf.DUMMYFUNCTION("""COMPUTED_VALUE"""),"711")</f>
        <v>711</v>
      </c>
      <c r="B435" s="265" t="str">
        <f>IFERROR(__xludf.DUMMYFUNCTION("""COMPUTED_VALUE"""),"Hà Nội")</f>
        <v>Hà Nội</v>
      </c>
      <c r="C435" s="265" t="str">
        <f>IFERROR(__xludf.DUMMYFUNCTION("""COMPUTED_VALUE"""),"Locked")</f>
        <v>Locked</v>
      </c>
      <c r="D435" s="265" t="str">
        <f>IFERROR(__xludf.DUMMYFUNCTION("""COMPUTED_VALUE"""),"Thực phẩm &amp; Đồ uống")</f>
        <v>Thực phẩm &amp; Đồ uống</v>
      </c>
      <c r="E435" s="265" t="str">
        <f>IFERROR(__xludf.DUMMYFUNCTION("""COMPUTED_VALUE"""),"NamDT")</f>
        <v>NamDT</v>
      </c>
      <c r="F435" s="265" t="str">
        <f>IFERROR(__xludf.DUMMYFUNCTION("""COMPUTED_VALUE"""),"Sale chưa cung cấp")</f>
        <v>Sale chưa cung cấp</v>
      </c>
      <c r="G435" s="265" t="str">
        <f>IFERROR(__xludf.DUMMYFUNCTION("""COMPUTED_VALUE"""),"Enterprise")</f>
        <v>Enterprise</v>
      </c>
      <c r="H435" s="265" t="str">
        <f>IFERROR(__xludf.DUMMYFUNCTION("""COMPUTED_VALUE"""),"Trả sau")</f>
        <v>Trả sau</v>
      </c>
      <c r="I435" s="265" t="str">
        <f>IFERROR(__xludf.DUMMYFUNCTION("""COMPUTED_VALUE"""),"Portal")</f>
        <v>Portal</v>
      </c>
      <c r="J435" s="265" t="str">
        <f>IFERROR(__xludf.DUMMYFUNCTION("""COMPUTED_VALUE"""),"(Chưa recheck)")</f>
        <v>(Chưa recheck)</v>
      </c>
    </row>
    <row r="436">
      <c r="A436" s="265" t="str">
        <f>IFERROR(__xludf.DUMMYFUNCTION("""COMPUTED_VALUE"""),"713")</f>
        <v>713</v>
      </c>
      <c r="B436" s="265" t="str">
        <f>IFERROR(__xludf.DUMMYFUNCTION("""COMPUTED_VALUE"""),"Hà Nội")</f>
        <v>Hà Nội</v>
      </c>
      <c r="C436" s="265" t="str">
        <f>IFERROR(__xludf.DUMMYFUNCTION("""COMPUTED_VALUE"""),"Locked")</f>
        <v>Locked</v>
      </c>
      <c r="D436" s="265" t="str">
        <f>IFERROR(__xludf.DUMMYFUNCTION("""COMPUTED_VALUE"""),"Thực phẩm &amp; Đồ uống")</f>
        <v>Thực phẩm &amp; Đồ uống</v>
      </c>
      <c r="E436" s="265" t="str">
        <f>IFERROR(__xludf.DUMMYFUNCTION("""COMPUTED_VALUE"""),"NamDT")</f>
        <v>NamDT</v>
      </c>
      <c r="F436" s="265" t="str">
        <f>IFERROR(__xludf.DUMMYFUNCTION("""COMPUTED_VALUE"""),"Sale chưa cung cấp")</f>
        <v>Sale chưa cung cấp</v>
      </c>
      <c r="G436" s="265" t="str">
        <f>IFERROR(__xludf.DUMMYFUNCTION("""COMPUTED_VALUE"""),"Enterprise")</f>
        <v>Enterprise</v>
      </c>
      <c r="H436" s="265" t="str">
        <f>IFERROR(__xludf.DUMMYFUNCTION("""COMPUTED_VALUE"""),"Trả sau")</f>
        <v>Trả sau</v>
      </c>
      <c r="I436" s="265" t="str">
        <f>IFERROR(__xludf.DUMMYFUNCTION("""COMPUTED_VALUE"""),"Portal")</f>
        <v>Portal</v>
      </c>
      <c r="J436" s="265" t="str">
        <f>IFERROR(__xludf.DUMMYFUNCTION("""COMPUTED_VALUE"""),"(Chưa recheck)")</f>
        <v>(Chưa recheck)</v>
      </c>
    </row>
    <row r="437">
      <c r="A437" s="265" t="str">
        <f>IFERROR(__xludf.DUMMYFUNCTION("""COMPUTED_VALUE"""),"715")</f>
        <v>715</v>
      </c>
      <c r="B437" s="265" t="str">
        <f>IFERROR(__xludf.DUMMYFUNCTION("""COMPUTED_VALUE"""),"Hà Nội")</f>
        <v>Hà Nội</v>
      </c>
      <c r="C437" s="265" t="str">
        <f>IFERROR(__xludf.DUMMYFUNCTION("""COMPUTED_VALUE"""),"Active")</f>
        <v>Active</v>
      </c>
      <c r="D437" s="265" t="str">
        <f>IFERROR(__xludf.DUMMYFUNCTION("""COMPUTED_VALUE"""),"Tài chính &amp; Ngân hàng")</f>
        <v>Tài chính &amp; Ngân hàng</v>
      </c>
      <c r="E437" s="265" t="str">
        <f>IFERROR(__xludf.DUMMYFUNCTION("""COMPUTED_VALUE"""),"AnhNM")</f>
        <v>AnhNM</v>
      </c>
      <c r="F437" s="265" t="str">
        <f>IFERROR(__xludf.DUMMYFUNCTION("""COMPUTED_VALUE"""),"Sale chưa cung cấp")</f>
        <v>Sale chưa cung cấp</v>
      </c>
      <c r="G437" s="265" t="str">
        <f>IFERROR(__xludf.DUMMYFUNCTION("""COMPUTED_VALUE"""),"Starter")</f>
        <v>Starter</v>
      </c>
      <c r="H437" s="265" t="str">
        <f>IFERROR(__xludf.DUMMYFUNCTION("""COMPUTED_VALUE"""),"Trả sau")</f>
        <v>Trả sau</v>
      </c>
      <c r="I437" s="265" t="str">
        <f>IFERROR(__xludf.DUMMYFUNCTION("""COMPUTED_VALUE"""),"API")</f>
        <v>API</v>
      </c>
      <c r="J437" s="265" t="str">
        <f>IFERROR(__xludf.DUMMYFUNCTION("""COMPUTED_VALUE"""),"API")</f>
        <v>API</v>
      </c>
    </row>
    <row r="438">
      <c r="A438" s="265" t="str">
        <f>IFERROR(__xludf.DUMMYFUNCTION("""COMPUTED_VALUE"""),"714")</f>
        <v>714</v>
      </c>
      <c r="B438" s="265" t="str">
        <f>IFERROR(__xludf.DUMMYFUNCTION("""COMPUTED_VALUE"""),"Sài Gòn")</f>
        <v>Sài Gòn</v>
      </c>
      <c r="C438" s="265" t="str">
        <f>IFERROR(__xludf.DUMMYFUNCTION("""COMPUTED_VALUE"""),"Locked")</f>
        <v>Locked</v>
      </c>
      <c r="D438" s="265" t="str">
        <f>IFERROR(__xludf.DUMMYFUNCTION("""COMPUTED_VALUE"""),"Thực phẩm &amp; Đồ uống")</f>
        <v>Thực phẩm &amp; Đồ uống</v>
      </c>
      <c r="E438" s="265" t="str">
        <f>IFERROR(__xludf.DUMMYFUNCTION("""COMPUTED_VALUE"""),"HoaNTM")</f>
        <v>HoaNTM</v>
      </c>
      <c r="F438" s="265" t="str">
        <f>IFERROR(__xludf.DUMMYFUNCTION("""COMPUTED_VALUE"""),"Sale chưa cung cấp")</f>
        <v>Sale chưa cung cấp</v>
      </c>
      <c r="G438" s="265" t="str">
        <f>IFERROR(__xludf.DUMMYFUNCTION("""COMPUTED_VALUE"""),"Enterprise")</f>
        <v>Enterprise</v>
      </c>
      <c r="H438" s="265" t="str">
        <f>IFERROR(__xludf.DUMMYFUNCTION("""COMPUTED_VALUE"""),"Trả sau")</f>
        <v>Trả sau</v>
      </c>
      <c r="I438" s="265" t="str">
        <f>IFERROR(__xludf.DUMMYFUNCTION("""COMPUTED_VALUE"""),"Portal")</f>
        <v>Portal</v>
      </c>
      <c r="J438" s="265" t="str">
        <f>IFERROR(__xludf.DUMMYFUNCTION("""COMPUTED_VALUE"""),"File Excel")</f>
        <v>File Excel</v>
      </c>
    </row>
    <row r="439">
      <c r="A439" s="265" t="str">
        <f>IFERROR(__xludf.DUMMYFUNCTION("""COMPUTED_VALUE"""),"717")</f>
        <v>717</v>
      </c>
      <c r="B439" s="265" t="str">
        <f>IFERROR(__xludf.DUMMYFUNCTION("""COMPUTED_VALUE"""),"Sài Gòn")</f>
        <v>Sài Gòn</v>
      </c>
      <c r="C439" s="265" t="str">
        <f>IFERROR(__xludf.DUMMYFUNCTION("""COMPUTED_VALUE"""),"Locked")</f>
        <v>Locked</v>
      </c>
      <c r="D439" s="265" t="str">
        <f>IFERROR(__xludf.DUMMYFUNCTION("""COMPUTED_VALUE"""),"Sale chưa cung cấp")</f>
        <v>Sale chưa cung cấp</v>
      </c>
      <c r="E439" s="265" t="str">
        <f>IFERROR(__xludf.DUMMYFUNCTION("""COMPUTED_VALUE"""),"Không phân công")</f>
        <v>Không phân công</v>
      </c>
      <c r="F439" s="265" t="str">
        <f>IFERROR(__xludf.DUMMYFUNCTION("""COMPUTED_VALUE"""),"Sale chưa cung cấp")</f>
        <v>Sale chưa cung cấp</v>
      </c>
      <c r="G439" s="265" t="str">
        <f>IFERROR(__xludf.DUMMYFUNCTION("""COMPUTED_VALUE"""),"MSG")</f>
        <v>MSG</v>
      </c>
      <c r="H439" s="265" t="str">
        <f>IFERROR(__xludf.DUMMYFUNCTION("""COMPUTED_VALUE"""),"Trả trước")</f>
        <v>Trả trước</v>
      </c>
      <c r="I439" s="265" t="str">
        <f>IFERROR(__xludf.DUMMYFUNCTION("""COMPUTED_VALUE"""),"Portal")</f>
        <v>Portal</v>
      </c>
      <c r="J439" s="265" t="str">
        <f>IFERROR(__xludf.DUMMYFUNCTION("""COMPUTED_VALUE"""),"File Excel")</f>
        <v>File Excel</v>
      </c>
    </row>
    <row r="440">
      <c r="A440" s="265" t="str">
        <f>IFERROR(__xludf.DUMMYFUNCTION("""COMPUTED_VALUE"""),"718")</f>
        <v>718</v>
      </c>
      <c r="B440" s="265" t="str">
        <f>IFERROR(__xludf.DUMMYFUNCTION("""COMPUTED_VALUE"""),"Hà Nội")</f>
        <v>Hà Nội</v>
      </c>
      <c r="C440" s="265" t="str">
        <f>IFERROR(__xludf.DUMMYFUNCTION("""COMPUTED_VALUE"""),"Locked")</f>
        <v>Locked</v>
      </c>
      <c r="D440" s="265" t="str">
        <f>IFERROR(__xludf.DUMMYFUNCTION("""COMPUTED_VALUE"""),"Công nghệ &amp; Phần mềm")</f>
        <v>Công nghệ &amp; Phần mềm</v>
      </c>
      <c r="E440" s="265" t="str">
        <f>IFERROR(__xludf.DUMMYFUNCTION("""COMPUTED_VALUE"""),"NganNT1")</f>
        <v>NganNT1</v>
      </c>
      <c r="F440" s="265" t="str">
        <f>IFERROR(__xludf.DUMMYFUNCTION("""COMPUTED_VALUE"""),"Sale chưa cung cấp")</f>
        <v>Sale chưa cung cấp</v>
      </c>
      <c r="G440" s="265" t="str">
        <f>IFERROR(__xludf.DUMMYFUNCTION("""COMPUTED_VALUE"""),"API")</f>
        <v>API</v>
      </c>
      <c r="H440" s="265" t="str">
        <f>IFERROR(__xludf.DUMMYFUNCTION("""COMPUTED_VALUE"""),"Trial")</f>
        <v>Trial</v>
      </c>
      <c r="I440" s="265" t="str">
        <f>IFERROR(__xludf.DUMMYFUNCTION("""COMPUTED_VALUE"""),"API")</f>
        <v>API</v>
      </c>
      <c r="J440" s="265" t="str">
        <f>IFERROR(__xludf.DUMMYFUNCTION("""COMPUTED_VALUE"""),"API")</f>
        <v>API</v>
      </c>
    </row>
    <row r="441">
      <c r="A441" s="265" t="str">
        <f>IFERROR(__xludf.DUMMYFUNCTION("""COMPUTED_VALUE"""),"719")</f>
        <v>719</v>
      </c>
      <c r="B441" s="265" t="str">
        <f>IFERROR(__xludf.DUMMYFUNCTION("""COMPUTED_VALUE"""),"Hà Nội")</f>
        <v>Hà Nội</v>
      </c>
      <c r="C441" s="265" t="str">
        <f>IFERROR(__xludf.DUMMYFUNCTION("""COMPUTED_VALUE"""),"Active")</f>
        <v>Active</v>
      </c>
      <c r="D441" s="265" t="str">
        <f>IFERROR(__xludf.DUMMYFUNCTION("""COMPUTED_VALUE"""),"Tài chính &amp; Ngân hàng")</f>
        <v>Tài chính &amp; Ngân hàng</v>
      </c>
      <c r="E441" s="265" t="str">
        <f>IFERROR(__xludf.DUMMYFUNCTION("""COMPUTED_VALUE"""),"Không phân công")</f>
        <v>Không phân công</v>
      </c>
      <c r="F441" s="265" t="str">
        <f>IFERROR(__xludf.DUMMYFUNCTION("""COMPUTED_VALUE"""),"Sale chưa cung cấp")</f>
        <v>Sale chưa cung cấp</v>
      </c>
      <c r="G441" s="265" t="str">
        <f>IFERROR(__xludf.DUMMYFUNCTION("""COMPUTED_VALUE"""),"Starter")</f>
        <v>Starter</v>
      </c>
      <c r="H441" s="265" t="str">
        <f>IFERROR(__xludf.DUMMYFUNCTION("""COMPUTED_VALUE"""),"Trả sau")</f>
        <v>Trả sau</v>
      </c>
      <c r="I441" s="265" t="str">
        <f>IFERROR(__xludf.DUMMYFUNCTION("""COMPUTED_VALUE"""),"API &amp; Portal")</f>
        <v>API &amp; Portal</v>
      </c>
      <c r="J441" s="265" t="str">
        <f>IFERROR(__xludf.DUMMYFUNCTION("""COMPUTED_VALUE"""),"File Excel")</f>
        <v>File Excel</v>
      </c>
    </row>
    <row r="442">
      <c r="A442" s="265" t="str">
        <f>IFERROR(__xludf.DUMMYFUNCTION("""COMPUTED_VALUE"""),"719")</f>
        <v>719</v>
      </c>
      <c r="B442" s="265" t="str">
        <f>IFERROR(__xludf.DUMMYFUNCTION("""COMPUTED_VALUE"""),"Hà Nội")</f>
        <v>Hà Nội</v>
      </c>
      <c r="C442" s="265" t="str">
        <f>IFERROR(__xludf.DUMMYFUNCTION("""COMPUTED_VALUE"""),"Active")</f>
        <v>Active</v>
      </c>
      <c r="D442" s="265" t="str">
        <f>IFERROR(__xludf.DUMMYFUNCTION("""COMPUTED_VALUE"""),"Tài chính &amp; Ngân hàng")</f>
        <v>Tài chính &amp; Ngân hàng</v>
      </c>
      <c r="E442" s="265" t="str">
        <f>IFERROR(__xludf.DUMMYFUNCTION("""COMPUTED_VALUE"""),"Không phân công")</f>
        <v>Không phân công</v>
      </c>
      <c r="F442" s="265" t="str">
        <f>IFERROR(__xludf.DUMMYFUNCTION("""COMPUTED_VALUE"""),"Sale chưa cung cấp")</f>
        <v>Sale chưa cung cấp</v>
      </c>
      <c r="G442" s="265" t="str">
        <f>IFERROR(__xludf.DUMMYFUNCTION("""COMPUTED_VALUE"""),"Starter")</f>
        <v>Starter</v>
      </c>
      <c r="H442" s="265" t="str">
        <f>IFERROR(__xludf.DUMMYFUNCTION("""COMPUTED_VALUE"""),"Trả sau")</f>
        <v>Trả sau</v>
      </c>
      <c r="I442" s="265" t="str">
        <f>IFERROR(__xludf.DUMMYFUNCTION("""COMPUTED_VALUE"""),"API &amp; Portal")</f>
        <v>API &amp; Portal</v>
      </c>
      <c r="J442" s="265" t="str">
        <f>IFERROR(__xludf.DUMMYFUNCTION("""COMPUTED_VALUE"""),"API")</f>
        <v>API</v>
      </c>
    </row>
    <row r="443">
      <c r="A443" s="265" t="str">
        <f>IFERROR(__xludf.DUMMYFUNCTION("""COMPUTED_VALUE"""),"721")</f>
        <v>721</v>
      </c>
      <c r="B443" s="265" t="str">
        <f>IFERROR(__xludf.DUMMYFUNCTION("""COMPUTED_VALUE"""),"Sài Gòn")</f>
        <v>Sài Gòn</v>
      </c>
      <c r="C443" s="265" t="str">
        <f>IFERROR(__xludf.DUMMYFUNCTION("""COMPUTED_VALUE"""),"Locked")</f>
        <v>Locked</v>
      </c>
      <c r="D443" s="265" t="str">
        <f>IFERROR(__xludf.DUMMYFUNCTION("""COMPUTED_VALUE"""),"Thực phẩm &amp; Đồ uống")</f>
        <v>Thực phẩm &amp; Đồ uống</v>
      </c>
      <c r="E443" s="265" t="str">
        <f>IFERROR(__xludf.DUMMYFUNCTION("""COMPUTED_VALUE"""),"(Chưa recheck)")</f>
        <v>(Chưa recheck)</v>
      </c>
      <c r="F443" s="265" t="str">
        <f>IFERROR(__xludf.DUMMYFUNCTION("""COMPUTED_VALUE"""),"Sale chưa cung cấp")</f>
        <v>Sale chưa cung cấp</v>
      </c>
      <c r="G443" s="265" t="str">
        <f>IFERROR(__xludf.DUMMYFUNCTION("""COMPUTED_VALUE"""),"API")</f>
        <v>API</v>
      </c>
      <c r="H443" s="265" t="str">
        <f>IFERROR(__xludf.DUMMYFUNCTION("""COMPUTED_VALUE"""),"Trả sau")</f>
        <v>Trả sau</v>
      </c>
      <c r="I443" s="265" t="str">
        <f>IFERROR(__xludf.DUMMYFUNCTION("""COMPUTED_VALUE"""),"API")</f>
        <v>API</v>
      </c>
      <c r="J443" s="265" t="str">
        <f>IFERROR(__xludf.DUMMYFUNCTION("""COMPUTED_VALUE"""),"API")</f>
        <v>API</v>
      </c>
    </row>
    <row r="444">
      <c r="A444" s="265" t="str">
        <f>IFERROR(__xludf.DUMMYFUNCTION("""COMPUTED_VALUE"""),"723")</f>
        <v>723</v>
      </c>
      <c r="B444" s="265" t="str">
        <f>IFERROR(__xludf.DUMMYFUNCTION("""COMPUTED_VALUE"""),"Hà Nội")</f>
        <v>Hà Nội</v>
      </c>
      <c r="C444" s="265" t="str">
        <f>IFERROR(__xludf.DUMMYFUNCTION("""COMPUTED_VALUE"""),"Locked")</f>
        <v>Locked</v>
      </c>
      <c r="D444" s="265" t="str">
        <f>IFERROR(__xludf.DUMMYFUNCTION("""COMPUTED_VALUE"""),"Bất động sản")</f>
        <v>Bất động sản</v>
      </c>
      <c r="E444" s="265" t="str">
        <f>IFERROR(__xludf.DUMMYFUNCTION("""COMPUTED_VALUE"""),"DungDT")</f>
        <v>DungDT</v>
      </c>
      <c r="F444" s="265" t="str">
        <f>IFERROR(__xludf.DUMMYFUNCTION("""COMPUTED_VALUE"""),"Sale chưa cung cấp")</f>
        <v>Sale chưa cung cấp</v>
      </c>
      <c r="G444" s="265" t="str">
        <f>IFERROR(__xludf.DUMMYFUNCTION("""COMPUTED_VALUE"""),"Enterprise")</f>
        <v>Enterprise</v>
      </c>
      <c r="H444" s="265" t="str">
        <f>IFERROR(__xludf.DUMMYFUNCTION("""COMPUTED_VALUE"""),"Trial")</f>
        <v>Trial</v>
      </c>
      <c r="I444" s="265" t="str">
        <f>IFERROR(__xludf.DUMMYFUNCTION("""COMPUTED_VALUE"""),"API &amp; Portal")</f>
        <v>API &amp; Portal</v>
      </c>
      <c r="J444" s="265" t="str">
        <f>IFERROR(__xludf.DUMMYFUNCTION("""COMPUTED_VALUE"""),"File Excel")</f>
        <v>File Excel</v>
      </c>
    </row>
    <row r="445">
      <c r="A445" s="265" t="str">
        <f>IFERROR(__xludf.DUMMYFUNCTION("""COMPUTED_VALUE"""),"723")</f>
        <v>723</v>
      </c>
      <c r="B445" s="265" t="str">
        <f>IFERROR(__xludf.DUMMYFUNCTION("""COMPUTED_VALUE"""),"Hà Nội")</f>
        <v>Hà Nội</v>
      </c>
      <c r="C445" s="265" t="str">
        <f>IFERROR(__xludf.DUMMYFUNCTION("""COMPUTED_VALUE"""),"Locked")</f>
        <v>Locked</v>
      </c>
      <c r="D445" s="265" t="str">
        <f>IFERROR(__xludf.DUMMYFUNCTION("""COMPUTED_VALUE"""),"Bất động sản")</f>
        <v>Bất động sản</v>
      </c>
      <c r="E445" s="265" t="str">
        <f>IFERROR(__xludf.DUMMYFUNCTION("""COMPUTED_VALUE"""),"DungDT")</f>
        <v>DungDT</v>
      </c>
      <c r="F445" s="265" t="str">
        <f>IFERROR(__xludf.DUMMYFUNCTION("""COMPUTED_VALUE"""),"Sale chưa cung cấp")</f>
        <v>Sale chưa cung cấp</v>
      </c>
      <c r="G445" s="265" t="str">
        <f>IFERROR(__xludf.DUMMYFUNCTION("""COMPUTED_VALUE"""),"Enterprise")</f>
        <v>Enterprise</v>
      </c>
      <c r="H445" s="265" t="str">
        <f>IFERROR(__xludf.DUMMYFUNCTION("""COMPUTED_VALUE"""),"Trial")</f>
        <v>Trial</v>
      </c>
      <c r="I445" s="265" t="str">
        <f>IFERROR(__xludf.DUMMYFUNCTION("""COMPUTED_VALUE"""),"API &amp; Portal")</f>
        <v>API &amp; Portal</v>
      </c>
      <c r="J445" s="265" t="str">
        <f>IFERROR(__xludf.DUMMYFUNCTION("""COMPUTED_VALUE"""),"API")</f>
        <v>API</v>
      </c>
    </row>
    <row r="446">
      <c r="A446" s="265" t="str">
        <f>IFERROR(__xludf.DUMMYFUNCTION("""COMPUTED_VALUE"""),"726")</f>
        <v>726</v>
      </c>
      <c r="B446" s="265" t="str">
        <f>IFERROR(__xludf.DUMMYFUNCTION("""COMPUTED_VALUE"""),"Hà Nội")</f>
        <v>Hà Nội</v>
      </c>
      <c r="C446" s="265" t="str">
        <f>IFERROR(__xludf.DUMMYFUNCTION("""COMPUTED_VALUE"""),"Locked")</f>
        <v>Locked</v>
      </c>
      <c r="D446" s="265" t="str">
        <f>IFERROR(__xludf.DUMMYFUNCTION("""COMPUTED_VALUE"""),"Vận tải &amp; logistics")</f>
        <v>Vận tải &amp; logistics</v>
      </c>
      <c r="E446" s="265" t="str">
        <f>IFERROR(__xludf.DUMMYFUNCTION("""COMPUTED_VALUE"""),"TùngLD")</f>
        <v>TùngLD</v>
      </c>
      <c r="F446" s="265" t="str">
        <f>IFERROR(__xludf.DUMMYFUNCTION("""COMPUTED_VALUE"""),"Bronze")</f>
        <v>Bronze</v>
      </c>
      <c r="G446" s="265" t="str">
        <f>IFERROR(__xludf.DUMMYFUNCTION("""COMPUTED_VALUE"""),"MSG")</f>
        <v>MSG</v>
      </c>
      <c r="H446" s="265" t="str">
        <f>IFERROR(__xludf.DUMMYFUNCTION("""COMPUTED_VALUE"""),"Trả trước")</f>
        <v>Trả trước</v>
      </c>
      <c r="I446" s="265" t="str">
        <f>IFERROR(__xludf.DUMMYFUNCTION("""COMPUTED_VALUE"""),"Portal")</f>
        <v>Portal</v>
      </c>
      <c r="J446" s="265" t="str">
        <f>IFERROR(__xludf.DUMMYFUNCTION("""COMPUTED_VALUE"""),"File Excel")</f>
        <v>File Excel</v>
      </c>
    </row>
    <row r="447">
      <c r="A447" s="265" t="str">
        <f>IFERROR(__xludf.DUMMYFUNCTION("""COMPUTED_VALUE"""),"727")</f>
        <v>727</v>
      </c>
      <c r="B447" s="265" t="str">
        <f>IFERROR(__xludf.DUMMYFUNCTION("""COMPUTED_VALUE"""),"Sài Gòn")</f>
        <v>Sài Gòn</v>
      </c>
      <c r="C447" s="265" t="str">
        <f>IFERROR(__xludf.DUMMYFUNCTION("""COMPUTED_VALUE"""),"Locked")</f>
        <v>Locked</v>
      </c>
      <c r="D447" s="265" t="str">
        <f>IFERROR(__xludf.DUMMYFUNCTION("""COMPUTED_VALUE"""),"Thực phẩm &amp; Đồ uống")</f>
        <v>Thực phẩm &amp; Đồ uống</v>
      </c>
      <c r="E447" s="265" t="str">
        <f>IFERROR(__xludf.DUMMYFUNCTION("""COMPUTED_VALUE"""),"(Chưa recheck)")</f>
        <v>(Chưa recheck)</v>
      </c>
      <c r="F447" s="265" t="str">
        <f>IFERROR(__xludf.DUMMYFUNCTION("""COMPUTED_VALUE"""),"Sale chưa cung cấp")</f>
        <v>Sale chưa cung cấp</v>
      </c>
      <c r="G447" s="265" t="str">
        <f>IFERROR(__xludf.DUMMYFUNCTION("""COMPUTED_VALUE"""),"MSG")</f>
        <v>MSG</v>
      </c>
      <c r="H447" s="265" t="str">
        <f>IFERROR(__xludf.DUMMYFUNCTION("""COMPUTED_VALUE"""),"Trả sau")</f>
        <v>Trả sau</v>
      </c>
      <c r="I447" s="265" t="str">
        <f>IFERROR(__xludf.DUMMYFUNCTION("""COMPUTED_VALUE"""),"Portal")</f>
        <v>Portal</v>
      </c>
      <c r="J447" s="265" t="str">
        <f>IFERROR(__xludf.DUMMYFUNCTION("""COMPUTED_VALUE"""),"File Excel")</f>
        <v>File Excel</v>
      </c>
    </row>
    <row r="448">
      <c r="A448" s="265" t="str">
        <f>IFERROR(__xludf.DUMMYFUNCTION("""COMPUTED_VALUE"""),"728")</f>
        <v>728</v>
      </c>
      <c r="B448" s="265" t="str">
        <f>IFERROR(__xludf.DUMMYFUNCTION("""COMPUTED_VALUE"""),"Hà Nội")</f>
        <v>Hà Nội</v>
      </c>
      <c r="C448" s="265" t="str">
        <f>IFERROR(__xludf.DUMMYFUNCTION("""COMPUTED_VALUE"""),"Locked")</f>
        <v>Locked</v>
      </c>
      <c r="D448" s="265" t="str">
        <f>IFERROR(__xludf.DUMMYFUNCTION("""COMPUTED_VALUE"""),"Dịch vụ khác")</f>
        <v>Dịch vụ khác</v>
      </c>
      <c r="E448" s="265" t="str">
        <f>IFERROR(__xludf.DUMMYFUNCTION("""COMPUTED_VALUE"""),"PhươngDTB")</f>
        <v>PhươngDTB</v>
      </c>
      <c r="F448" s="265" t="str">
        <f>IFERROR(__xludf.DUMMYFUNCTION("""COMPUTED_VALUE"""),"Sale chưa cung cấp")</f>
        <v>Sale chưa cung cấp</v>
      </c>
      <c r="G448" s="265" t="str">
        <f>IFERROR(__xludf.DUMMYFUNCTION("""COMPUTED_VALUE"""),"API")</f>
        <v>API</v>
      </c>
      <c r="H448" s="265" t="str">
        <f>IFERROR(__xludf.DUMMYFUNCTION("""COMPUTED_VALUE"""),"Trial")</f>
        <v>Trial</v>
      </c>
      <c r="I448" s="265" t="str">
        <f>IFERROR(__xludf.DUMMYFUNCTION("""COMPUTED_VALUE"""),"Portal")</f>
        <v>Portal</v>
      </c>
      <c r="J448" s="265" t="str">
        <f>IFERROR(__xludf.DUMMYFUNCTION("""COMPUTED_VALUE"""),"File Excel")</f>
        <v>File Excel</v>
      </c>
    </row>
    <row r="449">
      <c r="A449" s="265" t="str">
        <f>IFERROR(__xludf.DUMMYFUNCTION("""COMPUTED_VALUE"""),"728")</f>
        <v>728</v>
      </c>
      <c r="B449" s="265" t="str">
        <f>IFERROR(__xludf.DUMMYFUNCTION("""COMPUTED_VALUE"""),"Hà Nội")</f>
        <v>Hà Nội</v>
      </c>
      <c r="C449" s="265" t="str">
        <f>IFERROR(__xludf.DUMMYFUNCTION("""COMPUTED_VALUE"""),"Locked")</f>
        <v>Locked</v>
      </c>
      <c r="D449" s="265" t="str">
        <f>IFERROR(__xludf.DUMMYFUNCTION("""COMPUTED_VALUE"""),"Dịch vụ khác")</f>
        <v>Dịch vụ khác</v>
      </c>
      <c r="E449" s="265" t="str">
        <f>IFERROR(__xludf.DUMMYFUNCTION("""COMPUTED_VALUE"""),"PhươngDTB")</f>
        <v>PhươngDTB</v>
      </c>
      <c r="F449" s="265" t="str">
        <f>IFERROR(__xludf.DUMMYFUNCTION("""COMPUTED_VALUE"""),"Sale chưa cung cấp")</f>
        <v>Sale chưa cung cấp</v>
      </c>
      <c r="G449" s="265" t="str">
        <f>IFERROR(__xludf.DUMMYFUNCTION("""COMPUTED_VALUE"""),"API")</f>
        <v>API</v>
      </c>
      <c r="H449" s="265" t="str">
        <f>IFERROR(__xludf.DUMMYFUNCTION("""COMPUTED_VALUE"""),"Trial")</f>
        <v>Trial</v>
      </c>
      <c r="I449" s="265" t="str">
        <f>IFERROR(__xludf.DUMMYFUNCTION("""COMPUTED_VALUE"""),"Portal")</f>
        <v>Portal</v>
      </c>
      <c r="J449" s="265" t="str">
        <f>IFERROR(__xludf.DUMMYFUNCTION("""COMPUTED_VALUE"""),"API")</f>
        <v>API</v>
      </c>
    </row>
    <row r="450">
      <c r="A450" s="265" t="str">
        <f>IFERROR(__xludf.DUMMYFUNCTION("""COMPUTED_VALUE"""),"730")</f>
        <v>730</v>
      </c>
      <c r="B450" s="265" t="str">
        <f>IFERROR(__xludf.DUMMYFUNCTION("""COMPUTED_VALUE"""),"Hà Nội")</f>
        <v>Hà Nội</v>
      </c>
      <c r="C450" s="265" t="str">
        <f>IFERROR(__xludf.DUMMYFUNCTION("""COMPUTED_VALUE"""),"Locked")</f>
        <v>Locked</v>
      </c>
      <c r="D450" s="265" t="str">
        <f>IFERROR(__xludf.DUMMYFUNCTION("""COMPUTED_VALUE"""),"Viễn thông")</f>
        <v>Viễn thông</v>
      </c>
      <c r="E450" s="265" t="str">
        <f>IFERROR(__xludf.DUMMYFUNCTION("""COMPUTED_VALUE"""),"DungDT")</f>
        <v>DungDT</v>
      </c>
      <c r="F450" s="265" t="str">
        <f>IFERROR(__xludf.DUMMYFUNCTION("""COMPUTED_VALUE"""),"Sale chưa cung cấp")</f>
        <v>Sale chưa cung cấp</v>
      </c>
      <c r="G450" s="265" t="str">
        <f>IFERROR(__xludf.DUMMYFUNCTION("""COMPUTED_VALUE"""),"API")</f>
        <v>API</v>
      </c>
      <c r="H450" s="265" t="str">
        <f>IFERROR(__xludf.DUMMYFUNCTION("""COMPUTED_VALUE"""),"Trả Sau")</f>
        <v>Trả Sau</v>
      </c>
      <c r="I450" s="265" t="str">
        <f>IFERROR(__xludf.DUMMYFUNCTION("""COMPUTED_VALUE"""),"API")</f>
        <v>API</v>
      </c>
      <c r="J450" s="265" t="str">
        <f>IFERROR(__xludf.DUMMYFUNCTION("""COMPUTED_VALUE"""),"API")</f>
        <v>API</v>
      </c>
    </row>
    <row r="451">
      <c r="A451" s="265" t="str">
        <f>IFERROR(__xludf.DUMMYFUNCTION("""COMPUTED_VALUE"""),"729")</f>
        <v>729</v>
      </c>
      <c r="B451" s="265" t="str">
        <f>IFERROR(__xludf.DUMMYFUNCTION("""COMPUTED_VALUE"""),"Sài Gòn")</f>
        <v>Sài Gòn</v>
      </c>
      <c r="C451" s="265" t="str">
        <f>IFERROR(__xludf.DUMMYFUNCTION("""COMPUTED_VALUE"""),"Active")</f>
        <v>Active</v>
      </c>
      <c r="D451" s="265" t="str">
        <f>IFERROR(__xludf.DUMMYFUNCTION("""COMPUTED_VALUE"""),"Sale chưa cung cấp")</f>
        <v>Sale chưa cung cấp</v>
      </c>
      <c r="E451" s="265" t="str">
        <f>IFERROR(__xludf.DUMMYFUNCTION("""COMPUTED_VALUE"""),"AnhNM")</f>
        <v>AnhNM</v>
      </c>
      <c r="F451" s="265" t="str">
        <f>IFERROR(__xludf.DUMMYFUNCTION("""COMPUTED_VALUE"""),"Gold")</f>
        <v>Gold</v>
      </c>
      <c r="G451" s="265" t="str">
        <f>IFERROR(__xludf.DUMMYFUNCTION("""COMPUTED_VALUE"""),"Enterprise")</f>
        <v>Enterprise</v>
      </c>
      <c r="H451" s="265" t="str">
        <f>IFERROR(__xludf.DUMMYFUNCTION("""COMPUTED_VALUE"""),"Trả sau")</f>
        <v>Trả sau</v>
      </c>
      <c r="I451" s="265" t="str">
        <f>IFERROR(__xludf.DUMMYFUNCTION("""COMPUTED_VALUE"""),"API &amp; Portal")</f>
        <v>API &amp; Portal</v>
      </c>
      <c r="J451" s="265" t="str">
        <f>IFERROR(__xludf.DUMMYFUNCTION("""COMPUTED_VALUE"""),"File Excel")</f>
        <v>File Excel</v>
      </c>
    </row>
    <row r="452">
      <c r="A452" s="265" t="str">
        <f>IFERROR(__xludf.DUMMYFUNCTION("""COMPUTED_VALUE"""),"729")</f>
        <v>729</v>
      </c>
      <c r="B452" s="265" t="str">
        <f>IFERROR(__xludf.DUMMYFUNCTION("""COMPUTED_VALUE"""),"Sài Gòn")</f>
        <v>Sài Gòn</v>
      </c>
      <c r="C452" s="265" t="str">
        <f>IFERROR(__xludf.DUMMYFUNCTION("""COMPUTED_VALUE"""),"Active")</f>
        <v>Active</v>
      </c>
      <c r="D452" s="265" t="str">
        <f>IFERROR(__xludf.DUMMYFUNCTION("""COMPUTED_VALUE"""),"Sale chưa cung cấp")</f>
        <v>Sale chưa cung cấp</v>
      </c>
      <c r="E452" s="265" t="str">
        <f>IFERROR(__xludf.DUMMYFUNCTION("""COMPUTED_VALUE"""),"AnhNM")</f>
        <v>AnhNM</v>
      </c>
      <c r="F452" s="265" t="str">
        <f>IFERROR(__xludf.DUMMYFUNCTION("""COMPUTED_VALUE"""),"Gold")</f>
        <v>Gold</v>
      </c>
      <c r="G452" s="265" t="str">
        <f>IFERROR(__xludf.DUMMYFUNCTION("""COMPUTED_VALUE"""),"Enterprise")</f>
        <v>Enterprise</v>
      </c>
      <c r="H452" s="265" t="str">
        <f>IFERROR(__xludf.DUMMYFUNCTION("""COMPUTED_VALUE"""),"Trả sau")</f>
        <v>Trả sau</v>
      </c>
      <c r="I452" s="265" t="str">
        <f>IFERROR(__xludf.DUMMYFUNCTION("""COMPUTED_VALUE"""),"API &amp; Portal")</f>
        <v>API &amp; Portal</v>
      </c>
      <c r="J452" s="265" t="str">
        <f>IFERROR(__xludf.DUMMYFUNCTION("""COMPUTED_VALUE"""),"API")</f>
        <v>API</v>
      </c>
    </row>
    <row r="453">
      <c r="A453" s="265" t="str">
        <f>IFERROR(__xludf.DUMMYFUNCTION("""COMPUTED_VALUE"""),"725")</f>
        <v>725</v>
      </c>
      <c r="B453" s="265" t="str">
        <f>IFERROR(__xludf.DUMMYFUNCTION("""COMPUTED_VALUE"""),"Hà Nội")</f>
        <v>Hà Nội</v>
      </c>
      <c r="C453" s="265" t="str">
        <f>IFERROR(__xludf.DUMMYFUNCTION("""COMPUTED_VALUE"""),"Locked")</f>
        <v>Locked</v>
      </c>
      <c r="D453" s="265" t="str">
        <f>IFERROR(__xludf.DUMMYFUNCTION("""COMPUTED_VALUE"""),"Tài chính &amp; Ngân hàng")</f>
        <v>Tài chính &amp; Ngân hàng</v>
      </c>
      <c r="E453" s="265" t="str">
        <f>IFERROR(__xludf.DUMMYFUNCTION("""COMPUTED_VALUE"""),"Không phân công")</f>
        <v>Không phân công</v>
      </c>
      <c r="F453" s="265" t="str">
        <f>IFERROR(__xludf.DUMMYFUNCTION("""COMPUTED_VALUE"""),"Sale chưa cung cấp")</f>
        <v>Sale chưa cung cấp</v>
      </c>
      <c r="G453" s="265" t="str">
        <f>IFERROR(__xludf.DUMMYFUNCTION("""COMPUTED_VALUE"""),"SIMILAR")</f>
        <v>SIMILAR</v>
      </c>
      <c r="H453" s="265" t="str">
        <f>IFERROR(__xludf.DUMMYFUNCTION("""COMPUTED_VALUE"""),"Trả sau")</f>
        <v>Trả sau</v>
      </c>
      <c r="I453" s="265" t="str">
        <f>IFERROR(__xludf.DUMMYFUNCTION("""COMPUTED_VALUE"""),"Portal")</f>
        <v>Portal</v>
      </c>
      <c r="J453" s="265" t="str">
        <f>IFERROR(__xludf.DUMMYFUNCTION("""COMPUTED_VALUE"""),"File Excel")</f>
        <v>File Excel</v>
      </c>
    </row>
    <row r="454">
      <c r="A454" s="265" t="str">
        <f>IFERROR(__xludf.DUMMYFUNCTION("""COMPUTED_VALUE"""),"614")</f>
        <v>614</v>
      </c>
      <c r="B454" s="265" t="str">
        <f>IFERROR(__xludf.DUMMYFUNCTION("""COMPUTED_VALUE"""),"Hà Nội")</f>
        <v>Hà Nội</v>
      </c>
      <c r="C454" s="265" t="str">
        <f>IFERROR(__xludf.DUMMYFUNCTION("""COMPUTED_VALUE"""),"Active")</f>
        <v>Active</v>
      </c>
      <c r="D454" s="265" t="str">
        <f>IFERROR(__xludf.DUMMYFUNCTION("""COMPUTED_VALUE"""),"Viễn thông")</f>
        <v>Viễn thông</v>
      </c>
      <c r="E454" s="265" t="str">
        <f>IFERROR(__xludf.DUMMYFUNCTION("""COMPUTED_VALUE"""),"Không phân công")</f>
        <v>Không phân công</v>
      </c>
      <c r="F454" s="265" t="str">
        <f>IFERROR(__xludf.DUMMYFUNCTION("""COMPUTED_VALUE"""),"Sale chưa cung cấp")</f>
        <v>Sale chưa cung cấp</v>
      </c>
      <c r="G454" s="265" t="str">
        <f>IFERROR(__xludf.DUMMYFUNCTION("""COMPUTED_VALUE"""),"Starter")</f>
        <v>Starter</v>
      </c>
      <c r="H454" s="265" t="str">
        <f>IFERROR(__xludf.DUMMYFUNCTION("""COMPUTED_VALUE"""),"Trial")</f>
        <v>Trial</v>
      </c>
      <c r="I454" s="265" t="str">
        <f>IFERROR(__xludf.DUMMYFUNCTION("""COMPUTED_VALUE"""),"Portal")</f>
        <v>Portal</v>
      </c>
      <c r="J454" s="265" t="str">
        <f>IFERROR(__xludf.DUMMYFUNCTION("""COMPUTED_VALUE"""),"API")</f>
        <v>API</v>
      </c>
    </row>
    <row r="455">
      <c r="A455" s="265" t="str">
        <f>IFERROR(__xludf.DUMMYFUNCTION("""COMPUTED_VALUE"""),"731")</f>
        <v>731</v>
      </c>
      <c r="B455" s="265" t="str">
        <f>IFERROR(__xludf.DUMMYFUNCTION("""COMPUTED_VALUE"""),"Sài Gòn")</f>
        <v>Sài Gòn</v>
      </c>
      <c r="C455" s="265" t="str">
        <f>IFERROR(__xludf.DUMMYFUNCTION("""COMPUTED_VALUE"""),"Locked")</f>
        <v>Locked</v>
      </c>
      <c r="D455" s="265" t="str">
        <f>IFERROR(__xludf.DUMMYFUNCTION("""COMPUTED_VALUE"""),"Viễn thông")</f>
        <v>Viễn thông</v>
      </c>
      <c r="E455" s="265" t="str">
        <f>IFERROR(__xludf.DUMMYFUNCTION("""COMPUTED_VALUE"""),"HoaNTM")</f>
        <v>HoaNTM</v>
      </c>
      <c r="F455" s="265" t="str">
        <f>IFERROR(__xludf.DUMMYFUNCTION("""COMPUTED_VALUE"""),"Gold")</f>
        <v>Gold</v>
      </c>
      <c r="G455" s="265" t="str">
        <f>IFERROR(__xludf.DUMMYFUNCTION("""COMPUTED_VALUE"""),"Enterprise")</f>
        <v>Enterprise</v>
      </c>
      <c r="H455" s="265" t="str">
        <f>IFERROR(__xludf.DUMMYFUNCTION("""COMPUTED_VALUE"""),"(Chưa recheck)")</f>
        <v>(Chưa recheck)</v>
      </c>
      <c r="I455" s="265" t="str">
        <f>IFERROR(__xludf.DUMMYFUNCTION("""COMPUTED_VALUE"""),"API &amp; Portal")</f>
        <v>API &amp; Portal</v>
      </c>
      <c r="J455" s="265" t="str">
        <f>IFERROR(__xludf.DUMMYFUNCTION("""COMPUTED_VALUE"""),"File Excel")</f>
        <v>File Excel</v>
      </c>
    </row>
    <row r="456">
      <c r="A456" s="265" t="str">
        <f>IFERROR(__xludf.DUMMYFUNCTION("""COMPUTED_VALUE"""),"731")</f>
        <v>731</v>
      </c>
      <c r="B456" s="265" t="str">
        <f>IFERROR(__xludf.DUMMYFUNCTION("""COMPUTED_VALUE"""),"Sài Gòn")</f>
        <v>Sài Gòn</v>
      </c>
      <c r="C456" s="265" t="str">
        <f>IFERROR(__xludf.DUMMYFUNCTION("""COMPUTED_VALUE"""),"Locked")</f>
        <v>Locked</v>
      </c>
      <c r="D456" s="265" t="str">
        <f>IFERROR(__xludf.DUMMYFUNCTION("""COMPUTED_VALUE"""),"Viễn thông")</f>
        <v>Viễn thông</v>
      </c>
      <c r="E456" s="265" t="str">
        <f>IFERROR(__xludf.DUMMYFUNCTION("""COMPUTED_VALUE"""),"HoaNTM")</f>
        <v>HoaNTM</v>
      </c>
      <c r="F456" s="265" t="str">
        <f>IFERROR(__xludf.DUMMYFUNCTION("""COMPUTED_VALUE"""),"Gold")</f>
        <v>Gold</v>
      </c>
      <c r="G456" s="265" t="str">
        <f>IFERROR(__xludf.DUMMYFUNCTION("""COMPUTED_VALUE"""),"Enterprise")</f>
        <v>Enterprise</v>
      </c>
      <c r="H456" s="265" t="str">
        <f>IFERROR(__xludf.DUMMYFUNCTION("""COMPUTED_VALUE"""),"(Chưa recheck)")</f>
        <v>(Chưa recheck)</v>
      </c>
      <c r="I456" s="265" t="str">
        <f>IFERROR(__xludf.DUMMYFUNCTION("""COMPUTED_VALUE"""),"API &amp; Portal")</f>
        <v>API &amp; Portal</v>
      </c>
      <c r="J456" s="265" t="str">
        <f>IFERROR(__xludf.DUMMYFUNCTION("""COMPUTED_VALUE"""),"API")</f>
        <v>API</v>
      </c>
    </row>
    <row r="457">
      <c r="A457" s="265" t="str">
        <f>IFERROR(__xludf.DUMMYFUNCTION("""COMPUTED_VALUE"""),"720")</f>
        <v>720</v>
      </c>
      <c r="B457" s="265" t="str">
        <f>IFERROR(__xludf.DUMMYFUNCTION("""COMPUTED_VALUE"""),"Hà Nội")</f>
        <v>Hà Nội</v>
      </c>
      <c r="C457" s="265" t="str">
        <f>IFERROR(__xludf.DUMMYFUNCTION("""COMPUTED_VALUE"""),"Locked")</f>
        <v>Locked</v>
      </c>
      <c r="D457" s="265" t="str">
        <f>IFERROR(__xludf.DUMMYFUNCTION("""COMPUTED_VALUE"""),"Thiết kế &amp; Thi công")</f>
        <v>Thiết kế &amp; Thi công</v>
      </c>
      <c r="E457" s="265" t="str">
        <f>IFERROR(__xludf.DUMMYFUNCTION("""COMPUTED_VALUE"""),"TùngLD")</f>
        <v>TùngLD</v>
      </c>
      <c r="F457" s="265" t="str">
        <f>IFERROR(__xludf.DUMMYFUNCTION("""COMPUTED_VALUE"""),"Bronze")</f>
        <v>Bronze</v>
      </c>
      <c r="G457" s="265" t="str">
        <f>IFERROR(__xludf.DUMMYFUNCTION("""COMPUTED_VALUE"""),"SIMILAR")</f>
        <v>SIMILAR</v>
      </c>
      <c r="H457" s="265" t="str">
        <f>IFERROR(__xludf.DUMMYFUNCTION("""COMPUTED_VALUE"""),"Trả trước")</f>
        <v>Trả trước</v>
      </c>
      <c r="I457" s="265" t="str">
        <f>IFERROR(__xludf.DUMMYFUNCTION("""COMPUTED_VALUE"""),"Portal")</f>
        <v>Portal</v>
      </c>
      <c r="J457" s="265" t="str">
        <f>IFERROR(__xludf.DUMMYFUNCTION("""COMPUTED_VALUE"""),"File Excel")</f>
        <v>File Excel</v>
      </c>
    </row>
    <row r="458">
      <c r="A458" s="265" t="str">
        <f>IFERROR(__xludf.DUMMYFUNCTION("""COMPUTED_VALUE"""),"732")</f>
        <v>732</v>
      </c>
      <c r="B458" s="265" t="str">
        <f>IFERROR(__xludf.DUMMYFUNCTION("""COMPUTED_VALUE"""),"Hà Nội")</f>
        <v>Hà Nội</v>
      </c>
      <c r="C458" s="265" t="str">
        <f>IFERROR(__xludf.DUMMYFUNCTION("""COMPUTED_VALUE"""),"Active")</f>
        <v>Active</v>
      </c>
      <c r="D458" s="265" t="str">
        <f>IFERROR(__xludf.DUMMYFUNCTION("""COMPUTED_VALUE"""),"Mua sắm &amp; Bán lẻ")</f>
        <v>Mua sắm &amp; Bán lẻ</v>
      </c>
      <c r="E458" s="265" t="str">
        <f>IFERROR(__xludf.DUMMYFUNCTION("""COMPUTED_VALUE"""),"TúPHN")</f>
        <v>TúPHN</v>
      </c>
      <c r="F458" s="265" t="str">
        <f>IFERROR(__xludf.DUMMYFUNCTION("""COMPUTED_VALUE"""),"Bronze")</f>
        <v>Bronze</v>
      </c>
      <c r="G458" s="265" t="str">
        <f>IFERROR(__xludf.DUMMYFUNCTION("""COMPUTED_VALUE"""),"Starter")</f>
        <v>Starter</v>
      </c>
      <c r="H458" s="265" t="str">
        <f>IFERROR(__xludf.DUMMYFUNCTION("""COMPUTED_VALUE"""),"Trả sau")</f>
        <v>Trả sau</v>
      </c>
      <c r="I458" s="265" t="str">
        <f>IFERROR(__xludf.DUMMYFUNCTION("""COMPUTED_VALUE"""),"API")</f>
        <v>API</v>
      </c>
      <c r="J458" s="265" t="str">
        <f>IFERROR(__xludf.DUMMYFUNCTION("""COMPUTED_VALUE"""),"API")</f>
        <v>API</v>
      </c>
    </row>
    <row r="459">
      <c r="A459" s="265" t="str">
        <f>IFERROR(__xludf.DUMMYFUNCTION("""COMPUTED_VALUE"""),"733")</f>
        <v>733</v>
      </c>
      <c r="B459" s="265" t="str">
        <f>IFERROR(__xludf.DUMMYFUNCTION("""COMPUTED_VALUE"""),"Hà Nội")</f>
        <v>Hà Nội</v>
      </c>
      <c r="C459" s="265" t="str">
        <f>IFERROR(__xludf.DUMMYFUNCTION("""COMPUTED_VALUE"""),"Active")</f>
        <v>Active</v>
      </c>
      <c r="D459" s="265" t="str">
        <f>IFERROR(__xludf.DUMMYFUNCTION("""COMPUTED_VALUE"""),"Viễn thông")</f>
        <v>Viễn thông</v>
      </c>
      <c r="E459" s="265" t="str">
        <f>IFERROR(__xludf.DUMMYFUNCTION("""COMPUTED_VALUE"""),"TúPHN")</f>
        <v>TúPHN</v>
      </c>
      <c r="F459" s="265" t="str">
        <f>IFERROR(__xludf.DUMMYFUNCTION("""COMPUTED_VALUE"""),"Diamond")</f>
        <v>Diamond</v>
      </c>
      <c r="G459" s="265" t="str">
        <f>IFERROR(__xludf.DUMMYFUNCTION("""COMPUTED_VALUE"""),"Enterprise")</f>
        <v>Enterprise</v>
      </c>
      <c r="H459" s="265" t="str">
        <f>IFERROR(__xludf.DUMMYFUNCTION("""COMPUTED_VALUE"""),"Trả sau")</f>
        <v>Trả sau</v>
      </c>
      <c r="I459" s="265" t="str">
        <f>IFERROR(__xludf.DUMMYFUNCTION("""COMPUTED_VALUE"""),"Portal")</f>
        <v>Portal</v>
      </c>
      <c r="J459" s="265" t="str">
        <f>IFERROR(__xludf.DUMMYFUNCTION("""COMPUTED_VALUE"""),"File Excel")</f>
        <v>File Excel</v>
      </c>
    </row>
    <row r="460">
      <c r="A460" s="265" t="str">
        <f>IFERROR(__xludf.DUMMYFUNCTION("""COMPUTED_VALUE"""),"733")</f>
        <v>733</v>
      </c>
      <c r="B460" s="265" t="str">
        <f>IFERROR(__xludf.DUMMYFUNCTION("""COMPUTED_VALUE"""),"Hà Nội")</f>
        <v>Hà Nội</v>
      </c>
      <c r="C460" s="265" t="str">
        <f>IFERROR(__xludf.DUMMYFUNCTION("""COMPUTED_VALUE"""),"Active")</f>
        <v>Active</v>
      </c>
      <c r="D460" s="265" t="str">
        <f>IFERROR(__xludf.DUMMYFUNCTION("""COMPUTED_VALUE"""),"Viễn thông")</f>
        <v>Viễn thông</v>
      </c>
      <c r="E460" s="265" t="str">
        <f>IFERROR(__xludf.DUMMYFUNCTION("""COMPUTED_VALUE"""),"TúPHN")</f>
        <v>TúPHN</v>
      </c>
      <c r="F460" s="265" t="str">
        <f>IFERROR(__xludf.DUMMYFUNCTION("""COMPUTED_VALUE"""),"Diamond")</f>
        <v>Diamond</v>
      </c>
      <c r="G460" s="265" t="str">
        <f>IFERROR(__xludf.DUMMYFUNCTION("""COMPUTED_VALUE"""),"Enterprise")</f>
        <v>Enterprise</v>
      </c>
      <c r="H460" s="265" t="str">
        <f>IFERROR(__xludf.DUMMYFUNCTION("""COMPUTED_VALUE"""),"Trả sau")</f>
        <v>Trả sau</v>
      </c>
      <c r="I460" s="265" t="str">
        <f>IFERROR(__xludf.DUMMYFUNCTION("""COMPUTED_VALUE"""),"Portal")</f>
        <v>Portal</v>
      </c>
      <c r="J460" s="265" t="str">
        <f>IFERROR(__xludf.DUMMYFUNCTION("""COMPUTED_VALUE"""),"ZCA gửi ZNS")</f>
        <v>ZCA gửi ZNS</v>
      </c>
    </row>
    <row r="461">
      <c r="A461" s="265" t="str">
        <f>IFERROR(__xludf.DUMMYFUNCTION("""COMPUTED_VALUE"""),"734")</f>
        <v>734</v>
      </c>
      <c r="B461" s="265" t="str">
        <f>IFERROR(__xludf.DUMMYFUNCTION("""COMPUTED_VALUE"""),"Hà Nội")</f>
        <v>Hà Nội</v>
      </c>
      <c r="C461" s="265" t="str">
        <f>IFERROR(__xludf.DUMMYFUNCTION("""COMPUTED_VALUE"""),"Active")</f>
        <v>Active</v>
      </c>
      <c r="D461" s="265" t="str">
        <f>IFERROR(__xludf.DUMMYFUNCTION("""COMPUTED_VALUE"""),"Sản xuất &amp; Chế tạo")</f>
        <v>Sản xuất &amp; Chế tạo</v>
      </c>
      <c r="E461" s="265" t="str">
        <f>IFERROR(__xludf.DUMMYFUNCTION("""COMPUTED_VALUE"""),"Không phân công")</f>
        <v>Không phân công</v>
      </c>
      <c r="F461" s="265" t="str">
        <f>IFERROR(__xludf.DUMMYFUNCTION("""COMPUTED_VALUE"""),"Bronze")</f>
        <v>Bronze</v>
      </c>
      <c r="G461" s="265" t="str">
        <f>IFERROR(__xludf.DUMMYFUNCTION("""COMPUTED_VALUE"""),"Starter")</f>
        <v>Starter</v>
      </c>
      <c r="H461" s="265" t="str">
        <f>IFERROR(__xludf.DUMMYFUNCTION("""COMPUTED_VALUE"""),"Trả sau")</f>
        <v>Trả sau</v>
      </c>
      <c r="I461" s="265" t="str">
        <f>IFERROR(__xludf.DUMMYFUNCTION("""COMPUTED_VALUE"""),"Portal")</f>
        <v>Portal</v>
      </c>
      <c r="J461" s="265" t="str">
        <f>IFERROR(__xludf.DUMMYFUNCTION("""COMPUTED_VALUE"""),"File Excel")</f>
        <v>File Excel</v>
      </c>
    </row>
    <row r="462">
      <c r="A462" s="265" t="str">
        <f>IFERROR(__xludf.DUMMYFUNCTION("""COMPUTED_VALUE"""),"735")</f>
        <v>735</v>
      </c>
      <c r="B462" s="265" t="str">
        <f>IFERROR(__xludf.DUMMYFUNCTION("""COMPUTED_VALUE"""),"Hà Nội")</f>
        <v>Hà Nội</v>
      </c>
      <c r="C462" s="265" t="str">
        <f>IFERROR(__xludf.DUMMYFUNCTION("""COMPUTED_VALUE"""),"Locked")</f>
        <v>Locked</v>
      </c>
      <c r="D462" s="265" t="str">
        <f>IFERROR(__xludf.DUMMYFUNCTION("""COMPUTED_VALUE"""),"Ô tô &amp; Xe máy")</f>
        <v>Ô tô &amp; Xe máy</v>
      </c>
      <c r="E462" s="265" t="str">
        <f>IFERROR(__xludf.DUMMYFUNCTION("""COMPUTED_VALUE"""),"DungDT")</f>
        <v>DungDT</v>
      </c>
      <c r="F462" s="265" t="str">
        <f>IFERROR(__xludf.DUMMYFUNCTION("""COMPUTED_VALUE"""),"Sale chưa cung cấp")</f>
        <v>Sale chưa cung cấp</v>
      </c>
      <c r="G462" s="265" t="str">
        <f>IFERROR(__xludf.DUMMYFUNCTION("""COMPUTED_VALUE"""),"MSG")</f>
        <v>MSG</v>
      </c>
      <c r="H462" s="265" t="str">
        <f>IFERROR(__xludf.DUMMYFUNCTION("""COMPUTED_VALUE"""),"Trial")</f>
        <v>Trial</v>
      </c>
      <c r="I462" s="265" t="str">
        <f>IFERROR(__xludf.DUMMYFUNCTION("""COMPUTED_VALUE"""),"API &amp; Portal")</f>
        <v>API &amp; Portal</v>
      </c>
      <c r="J462" s="265" t="str">
        <f>IFERROR(__xludf.DUMMYFUNCTION("""COMPUTED_VALUE"""),"File Excel")</f>
        <v>File Excel</v>
      </c>
    </row>
    <row r="463">
      <c r="A463" s="265" t="str">
        <f>IFERROR(__xludf.DUMMYFUNCTION("""COMPUTED_VALUE"""),"735")</f>
        <v>735</v>
      </c>
      <c r="B463" s="265" t="str">
        <f>IFERROR(__xludf.DUMMYFUNCTION("""COMPUTED_VALUE"""),"Hà Nội")</f>
        <v>Hà Nội</v>
      </c>
      <c r="C463" s="265" t="str">
        <f>IFERROR(__xludf.DUMMYFUNCTION("""COMPUTED_VALUE"""),"Locked")</f>
        <v>Locked</v>
      </c>
      <c r="D463" s="265" t="str">
        <f>IFERROR(__xludf.DUMMYFUNCTION("""COMPUTED_VALUE"""),"Ô tô &amp; Xe máy")</f>
        <v>Ô tô &amp; Xe máy</v>
      </c>
      <c r="E463" s="265" t="str">
        <f>IFERROR(__xludf.DUMMYFUNCTION("""COMPUTED_VALUE"""),"DungDT")</f>
        <v>DungDT</v>
      </c>
      <c r="F463" s="265" t="str">
        <f>IFERROR(__xludf.DUMMYFUNCTION("""COMPUTED_VALUE"""),"Sale chưa cung cấp")</f>
        <v>Sale chưa cung cấp</v>
      </c>
      <c r="G463" s="265" t="str">
        <f>IFERROR(__xludf.DUMMYFUNCTION("""COMPUTED_VALUE"""),"MSG")</f>
        <v>MSG</v>
      </c>
      <c r="H463" s="265" t="str">
        <f>IFERROR(__xludf.DUMMYFUNCTION("""COMPUTED_VALUE"""),"Trial")</f>
        <v>Trial</v>
      </c>
      <c r="I463" s="265" t="str">
        <f>IFERROR(__xludf.DUMMYFUNCTION("""COMPUTED_VALUE"""),"API &amp; Portal")</f>
        <v>API &amp; Portal</v>
      </c>
      <c r="J463" s="265" t="str">
        <f>IFERROR(__xludf.DUMMYFUNCTION("""COMPUTED_VALUE"""),"API")</f>
        <v>API</v>
      </c>
    </row>
    <row r="464">
      <c r="A464" s="265" t="str">
        <f>IFERROR(__xludf.DUMMYFUNCTION("""COMPUTED_VALUE"""),"736")</f>
        <v>736</v>
      </c>
      <c r="B464" s="265" t="str">
        <f>IFERROR(__xludf.DUMMYFUNCTION("""COMPUTED_VALUE"""),"Hà Nội")</f>
        <v>Hà Nội</v>
      </c>
      <c r="C464" s="265" t="str">
        <f>IFERROR(__xludf.DUMMYFUNCTION("""COMPUTED_VALUE"""),"Locked")</f>
        <v>Locked</v>
      </c>
      <c r="D464" s="265" t="str">
        <f>IFERROR(__xludf.DUMMYFUNCTION("""COMPUTED_VALUE"""),"Vận tải &amp; logistics")</f>
        <v>Vận tải &amp; logistics</v>
      </c>
      <c r="E464" s="265" t="str">
        <f>IFERROR(__xludf.DUMMYFUNCTION("""COMPUTED_VALUE"""),"TùngLD")</f>
        <v>TùngLD</v>
      </c>
      <c r="F464" s="265" t="str">
        <f>IFERROR(__xludf.DUMMYFUNCTION("""COMPUTED_VALUE"""),"Bronze")</f>
        <v>Bronze</v>
      </c>
      <c r="G464" s="265" t="str">
        <f>IFERROR(__xludf.DUMMYFUNCTION("""COMPUTED_VALUE"""),"MSG")</f>
        <v>MSG</v>
      </c>
      <c r="H464" s="265" t="str">
        <f>IFERROR(__xludf.DUMMYFUNCTION("""COMPUTED_VALUE"""),"Trả trước")</f>
        <v>Trả trước</v>
      </c>
      <c r="I464" s="265" t="str">
        <f>IFERROR(__xludf.DUMMYFUNCTION("""COMPUTED_VALUE"""),"Portal")</f>
        <v>Portal</v>
      </c>
      <c r="J464" s="265" t="str">
        <f>IFERROR(__xludf.DUMMYFUNCTION("""COMPUTED_VALUE"""),"File Excel")</f>
        <v>File Excel</v>
      </c>
    </row>
    <row r="465">
      <c r="A465" s="265" t="str">
        <f>IFERROR(__xludf.DUMMYFUNCTION("""COMPUTED_VALUE"""),"737")</f>
        <v>737</v>
      </c>
      <c r="B465" s="265" t="str">
        <f>IFERROR(__xludf.DUMMYFUNCTION("""COMPUTED_VALUE"""),"Sài Gòn")</f>
        <v>Sài Gòn</v>
      </c>
      <c r="C465" s="265" t="str">
        <f>IFERROR(__xludf.DUMMYFUNCTION("""COMPUTED_VALUE"""),"Locked")</f>
        <v>Locked</v>
      </c>
      <c r="D465" s="265" t="str">
        <f>IFERROR(__xludf.DUMMYFUNCTION("""COMPUTED_VALUE"""),"Thời trang &amp; May mặc")</f>
        <v>Thời trang &amp; May mặc</v>
      </c>
      <c r="E465" s="265" t="str">
        <f>IFERROR(__xludf.DUMMYFUNCTION("""COMPUTED_VALUE"""),"PhươngDTB")</f>
        <v>PhươngDTB</v>
      </c>
      <c r="F465" s="265" t="str">
        <f>IFERROR(__xludf.DUMMYFUNCTION("""COMPUTED_VALUE"""),"Sale chưa cung cấp")</f>
        <v>Sale chưa cung cấp</v>
      </c>
      <c r="G465" s="265" t="str">
        <f>IFERROR(__xludf.DUMMYFUNCTION("""COMPUTED_VALUE"""),"Enterprise")</f>
        <v>Enterprise</v>
      </c>
      <c r="H465" s="265" t="str">
        <f>IFERROR(__xludf.DUMMYFUNCTION("""COMPUTED_VALUE"""),"Trả trước")</f>
        <v>Trả trước</v>
      </c>
      <c r="I465" s="265" t="str">
        <f>IFERROR(__xludf.DUMMYFUNCTION("""COMPUTED_VALUE"""),"API &amp; Portal")</f>
        <v>API &amp; Portal</v>
      </c>
      <c r="J465" s="265" t="str">
        <f>IFERROR(__xludf.DUMMYFUNCTION("""COMPUTED_VALUE"""),"File Excel")</f>
        <v>File Excel</v>
      </c>
    </row>
    <row r="466">
      <c r="A466" s="265" t="str">
        <f>IFERROR(__xludf.DUMMYFUNCTION("""COMPUTED_VALUE"""),"737")</f>
        <v>737</v>
      </c>
      <c r="B466" s="265" t="str">
        <f>IFERROR(__xludf.DUMMYFUNCTION("""COMPUTED_VALUE"""),"Sài Gòn")</f>
        <v>Sài Gòn</v>
      </c>
      <c r="C466" s="265" t="str">
        <f>IFERROR(__xludf.DUMMYFUNCTION("""COMPUTED_VALUE"""),"Locked")</f>
        <v>Locked</v>
      </c>
      <c r="D466" s="265" t="str">
        <f>IFERROR(__xludf.DUMMYFUNCTION("""COMPUTED_VALUE"""),"Thời trang &amp; May mặc")</f>
        <v>Thời trang &amp; May mặc</v>
      </c>
      <c r="E466" s="265" t="str">
        <f>IFERROR(__xludf.DUMMYFUNCTION("""COMPUTED_VALUE"""),"PhươngDTB")</f>
        <v>PhươngDTB</v>
      </c>
      <c r="F466" s="265" t="str">
        <f>IFERROR(__xludf.DUMMYFUNCTION("""COMPUTED_VALUE"""),"Sale chưa cung cấp")</f>
        <v>Sale chưa cung cấp</v>
      </c>
      <c r="G466" s="265" t="str">
        <f>IFERROR(__xludf.DUMMYFUNCTION("""COMPUTED_VALUE"""),"Enterprise")</f>
        <v>Enterprise</v>
      </c>
      <c r="H466" s="265" t="str">
        <f>IFERROR(__xludf.DUMMYFUNCTION("""COMPUTED_VALUE"""),"Trả trước")</f>
        <v>Trả trước</v>
      </c>
      <c r="I466" s="265" t="str">
        <f>IFERROR(__xludf.DUMMYFUNCTION("""COMPUTED_VALUE"""),"API &amp; Portal")</f>
        <v>API &amp; Portal</v>
      </c>
      <c r="J466" s="265" t="str">
        <f>IFERROR(__xludf.DUMMYFUNCTION("""COMPUTED_VALUE"""),"API")</f>
        <v>API</v>
      </c>
    </row>
    <row r="467">
      <c r="A467" s="265" t="str">
        <f>IFERROR(__xludf.DUMMYFUNCTION("""COMPUTED_VALUE"""),"738")</f>
        <v>738</v>
      </c>
      <c r="B467" s="265" t="str">
        <f>IFERROR(__xludf.DUMMYFUNCTION("""COMPUTED_VALUE"""),"Hà Nội")</f>
        <v>Hà Nội</v>
      </c>
      <c r="C467" s="265" t="str">
        <f>IFERROR(__xludf.DUMMYFUNCTION("""COMPUTED_VALUE"""),"Active")</f>
        <v>Active</v>
      </c>
      <c r="D467" s="265" t="str">
        <f>IFERROR(__xludf.DUMMYFUNCTION("""COMPUTED_VALUE"""),"Y tế &amp; Dược phẩm")</f>
        <v>Y tế &amp; Dược phẩm</v>
      </c>
      <c r="E467" s="265" t="str">
        <f>IFERROR(__xludf.DUMMYFUNCTION("""COMPUTED_VALUE"""),"TúPHN")</f>
        <v>TúPHN</v>
      </c>
      <c r="F467" s="265" t="str">
        <f>IFERROR(__xludf.DUMMYFUNCTION("""COMPUTED_VALUE"""),"Silver")</f>
        <v>Silver</v>
      </c>
      <c r="G467" s="265" t="str">
        <f>IFERROR(__xludf.DUMMYFUNCTION("""COMPUTED_VALUE"""),"Enterprise")</f>
        <v>Enterprise</v>
      </c>
      <c r="H467" s="265" t="str">
        <f>IFERROR(__xludf.DUMMYFUNCTION("""COMPUTED_VALUE"""),"Trả trước")</f>
        <v>Trả trước</v>
      </c>
      <c r="I467" s="265" t="str">
        <f>IFERROR(__xludf.DUMMYFUNCTION("""COMPUTED_VALUE"""),"API &amp; Portal")</f>
        <v>API &amp; Portal</v>
      </c>
      <c r="J467" s="265" t="str">
        <f>IFERROR(__xludf.DUMMYFUNCTION("""COMPUTED_VALUE"""),"File Excel")</f>
        <v>File Excel</v>
      </c>
    </row>
    <row r="468">
      <c r="A468" s="265" t="str">
        <f>IFERROR(__xludf.DUMMYFUNCTION("""COMPUTED_VALUE"""),"738")</f>
        <v>738</v>
      </c>
      <c r="B468" s="265" t="str">
        <f>IFERROR(__xludf.DUMMYFUNCTION("""COMPUTED_VALUE"""),"Hà Nội")</f>
        <v>Hà Nội</v>
      </c>
      <c r="C468" s="265" t="str">
        <f>IFERROR(__xludf.DUMMYFUNCTION("""COMPUTED_VALUE"""),"Active")</f>
        <v>Active</v>
      </c>
      <c r="D468" s="265" t="str">
        <f>IFERROR(__xludf.DUMMYFUNCTION("""COMPUTED_VALUE"""),"Y tế &amp; Dược phẩm")</f>
        <v>Y tế &amp; Dược phẩm</v>
      </c>
      <c r="E468" s="265" t="str">
        <f>IFERROR(__xludf.DUMMYFUNCTION("""COMPUTED_VALUE"""),"TúPHN")</f>
        <v>TúPHN</v>
      </c>
      <c r="F468" s="265" t="str">
        <f>IFERROR(__xludf.DUMMYFUNCTION("""COMPUTED_VALUE"""),"Silver")</f>
        <v>Silver</v>
      </c>
      <c r="G468" s="265" t="str">
        <f>IFERROR(__xludf.DUMMYFUNCTION("""COMPUTED_VALUE"""),"Enterprise")</f>
        <v>Enterprise</v>
      </c>
      <c r="H468" s="265" t="str">
        <f>IFERROR(__xludf.DUMMYFUNCTION("""COMPUTED_VALUE"""),"Trả trước")</f>
        <v>Trả trước</v>
      </c>
      <c r="I468" s="265" t="str">
        <f>IFERROR(__xludf.DUMMYFUNCTION("""COMPUTED_VALUE"""),"API &amp; Portal")</f>
        <v>API &amp; Portal</v>
      </c>
      <c r="J468" s="265" t="str">
        <f>IFERROR(__xludf.DUMMYFUNCTION("""COMPUTED_VALUE"""),"API")</f>
        <v>API</v>
      </c>
    </row>
    <row r="469">
      <c r="A469" s="265" t="str">
        <f>IFERROR(__xludf.DUMMYFUNCTION("""COMPUTED_VALUE"""),"739")</f>
        <v>739</v>
      </c>
      <c r="B469" s="265" t="str">
        <f>IFERROR(__xludf.DUMMYFUNCTION("""COMPUTED_VALUE"""),"Sài Gòn")</f>
        <v>Sài Gòn</v>
      </c>
      <c r="C469" s="265" t="str">
        <f>IFERROR(__xludf.DUMMYFUNCTION("""COMPUTED_VALUE"""),"Active")</f>
        <v>Active</v>
      </c>
      <c r="D469" s="265" t="str">
        <f>IFERROR(__xludf.DUMMYFUNCTION("""COMPUTED_VALUE"""),"Thực phẩm &amp; Đồ uống")</f>
        <v>Thực phẩm &amp; Đồ uống</v>
      </c>
      <c r="E469" s="265" t="str">
        <f>IFERROR(__xludf.DUMMYFUNCTION("""COMPUTED_VALUE"""),"Không phân công")</f>
        <v>Không phân công</v>
      </c>
      <c r="F469" s="265" t="str">
        <f>IFERROR(__xludf.DUMMYFUNCTION("""COMPUTED_VALUE"""),"Sale chưa cung cấp")</f>
        <v>Sale chưa cung cấp</v>
      </c>
      <c r="G469" s="265" t="str">
        <f>IFERROR(__xludf.DUMMYFUNCTION("""COMPUTED_VALUE"""),"Enterprise")</f>
        <v>Enterprise</v>
      </c>
      <c r="H469" s="265" t="str">
        <f>IFERROR(__xludf.DUMMYFUNCTION("""COMPUTED_VALUE"""),"Trả sau")</f>
        <v>Trả sau</v>
      </c>
      <c r="I469" s="265" t="str">
        <f>IFERROR(__xludf.DUMMYFUNCTION("""COMPUTED_VALUE"""),"API &amp; Portal")</f>
        <v>API &amp; Portal</v>
      </c>
      <c r="J469" s="265" t="str">
        <f>IFERROR(__xludf.DUMMYFUNCTION("""COMPUTED_VALUE"""),"File Excel")</f>
        <v>File Excel</v>
      </c>
    </row>
    <row r="470">
      <c r="A470" s="265" t="str">
        <f>IFERROR(__xludf.DUMMYFUNCTION("""COMPUTED_VALUE"""),"740")</f>
        <v>740</v>
      </c>
      <c r="B470" s="265" t="str">
        <f>IFERROR(__xludf.DUMMYFUNCTION("""COMPUTED_VALUE"""),"Hà Nội")</f>
        <v>Hà Nội</v>
      </c>
      <c r="C470" s="265" t="str">
        <f>IFERROR(__xludf.DUMMYFUNCTION("""COMPUTED_VALUE"""),"Locked")</f>
        <v>Locked</v>
      </c>
      <c r="D470" s="265" t="str">
        <f>IFERROR(__xludf.DUMMYFUNCTION("""COMPUTED_VALUE"""),"Viễn thông")</f>
        <v>Viễn thông</v>
      </c>
      <c r="E470" s="265" t="str">
        <f>IFERROR(__xludf.DUMMYFUNCTION("""COMPUTED_VALUE"""),"PhươngDTB")</f>
        <v>PhươngDTB</v>
      </c>
      <c r="F470" s="265" t="str">
        <f>IFERROR(__xludf.DUMMYFUNCTION("""COMPUTED_VALUE"""),"Gold")</f>
        <v>Gold</v>
      </c>
      <c r="G470" s="265" t="str">
        <f>IFERROR(__xludf.DUMMYFUNCTION("""COMPUTED_VALUE"""),"Standard")</f>
        <v>Standard</v>
      </c>
      <c r="H470" s="265" t="str">
        <f>IFERROR(__xludf.DUMMYFUNCTION("""COMPUTED_VALUE"""),"Trả sau")</f>
        <v>Trả sau</v>
      </c>
      <c r="I470" s="265" t="str">
        <f>IFERROR(__xludf.DUMMYFUNCTION("""COMPUTED_VALUE"""),"API &amp; Portal")</f>
        <v>API &amp; Portal</v>
      </c>
      <c r="J470" s="265" t="str">
        <f>IFERROR(__xludf.DUMMYFUNCTION("""COMPUTED_VALUE"""),"File Excel")</f>
        <v>File Excel</v>
      </c>
    </row>
    <row r="471">
      <c r="A471" s="265" t="str">
        <f>IFERROR(__xludf.DUMMYFUNCTION("""COMPUTED_VALUE"""),"740")</f>
        <v>740</v>
      </c>
      <c r="B471" s="265" t="str">
        <f>IFERROR(__xludf.DUMMYFUNCTION("""COMPUTED_VALUE"""),"Hà Nội")</f>
        <v>Hà Nội</v>
      </c>
      <c r="C471" s="265" t="str">
        <f>IFERROR(__xludf.DUMMYFUNCTION("""COMPUTED_VALUE"""),"Locked")</f>
        <v>Locked</v>
      </c>
      <c r="D471" s="265" t="str">
        <f>IFERROR(__xludf.DUMMYFUNCTION("""COMPUTED_VALUE"""),"Viễn thông")</f>
        <v>Viễn thông</v>
      </c>
      <c r="E471" s="265" t="str">
        <f>IFERROR(__xludf.DUMMYFUNCTION("""COMPUTED_VALUE"""),"PhươngDTB")</f>
        <v>PhươngDTB</v>
      </c>
      <c r="F471" s="265" t="str">
        <f>IFERROR(__xludf.DUMMYFUNCTION("""COMPUTED_VALUE"""),"Gold")</f>
        <v>Gold</v>
      </c>
      <c r="G471" s="265" t="str">
        <f>IFERROR(__xludf.DUMMYFUNCTION("""COMPUTED_VALUE"""),"Standard")</f>
        <v>Standard</v>
      </c>
      <c r="H471" s="265" t="str">
        <f>IFERROR(__xludf.DUMMYFUNCTION("""COMPUTED_VALUE"""),"Trả sau")</f>
        <v>Trả sau</v>
      </c>
      <c r="I471" s="265" t="str">
        <f>IFERROR(__xludf.DUMMYFUNCTION("""COMPUTED_VALUE"""),"API &amp; Portal")</f>
        <v>API &amp; Portal</v>
      </c>
      <c r="J471" s="265" t="str">
        <f>IFERROR(__xludf.DUMMYFUNCTION("""COMPUTED_VALUE"""),"API")</f>
        <v>API</v>
      </c>
    </row>
    <row r="472">
      <c r="A472" s="265" t="str">
        <f>IFERROR(__xludf.DUMMYFUNCTION("""COMPUTED_VALUE"""),"742")</f>
        <v>742</v>
      </c>
      <c r="B472" s="265" t="str">
        <f>IFERROR(__xludf.DUMMYFUNCTION("""COMPUTED_VALUE"""),"Sài Gòn")</f>
        <v>Sài Gòn</v>
      </c>
      <c r="C472" s="265" t="str">
        <f>IFERROR(__xludf.DUMMYFUNCTION("""COMPUTED_VALUE"""),"Locked")</f>
        <v>Locked</v>
      </c>
      <c r="D472" s="265" t="str">
        <f>IFERROR(__xludf.DUMMYFUNCTION("""COMPUTED_VALUE"""),"Thực phẩm &amp; Đồ uống")</f>
        <v>Thực phẩm &amp; Đồ uống</v>
      </c>
      <c r="E472" s="265" t="str">
        <f>IFERROR(__xludf.DUMMYFUNCTION("""COMPUTED_VALUE"""),"TuVTC")</f>
        <v>TuVTC</v>
      </c>
      <c r="F472" s="265" t="str">
        <f>IFERROR(__xludf.DUMMYFUNCTION("""COMPUTED_VALUE"""),"Gold")</f>
        <v>Gold</v>
      </c>
      <c r="G472" s="265" t="str">
        <f>IFERROR(__xludf.DUMMYFUNCTION("""COMPUTED_VALUE"""),"API")</f>
        <v>API</v>
      </c>
      <c r="H472" s="265" t="str">
        <f>IFERROR(__xludf.DUMMYFUNCTION("""COMPUTED_VALUE"""),"Trả sau")</f>
        <v>Trả sau</v>
      </c>
      <c r="I472" s="265" t="str">
        <f>IFERROR(__xludf.DUMMYFUNCTION("""COMPUTED_VALUE"""),"API")</f>
        <v>API</v>
      </c>
      <c r="J472" s="265" t="str">
        <f>IFERROR(__xludf.DUMMYFUNCTION("""COMPUTED_VALUE"""),"API")</f>
        <v>API</v>
      </c>
    </row>
    <row r="473">
      <c r="A473" s="265" t="str">
        <f>IFERROR(__xludf.DUMMYFUNCTION("""COMPUTED_VALUE"""),"716")</f>
        <v>716</v>
      </c>
      <c r="B473" s="265" t="str">
        <f>IFERROR(__xludf.DUMMYFUNCTION("""COMPUTED_VALUE"""),"Hà Nội")</f>
        <v>Hà Nội</v>
      </c>
      <c r="C473" s="265" t="str">
        <f>IFERROR(__xludf.DUMMYFUNCTION("""COMPUTED_VALUE"""),"Active")</f>
        <v>Active</v>
      </c>
      <c r="D473" s="265" t="str">
        <f>IFERROR(__xludf.DUMMYFUNCTION("""COMPUTED_VALUE"""),"Tài chính &amp; Ngân hàng")</f>
        <v>Tài chính &amp; Ngân hàng</v>
      </c>
      <c r="E473" s="265" t="str">
        <f>IFERROR(__xludf.DUMMYFUNCTION("""COMPUTED_VALUE"""),"TùngLD")</f>
        <v>TùngLD</v>
      </c>
      <c r="F473" s="265" t="str">
        <f>IFERROR(__xludf.DUMMYFUNCTION("""COMPUTED_VALUE"""),"Bronze")</f>
        <v>Bronze</v>
      </c>
      <c r="G473" s="265" t="str">
        <f>IFERROR(__xludf.DUMMYFUNCTION("""COMPUTED_VALUE"""),"Starter")</f>
        <v>Starter</v>
      </c>
      <c r="H473" s="265" t="str">
        <f>IFERROR(__xludf.DUMMYFUNCTION("""COMPUTED_VALUE"""),"Trả sau")</f>
        <v>Trả sau</v>
      </c>
      <c r="I473" s="265" t="str">
        <f>IFERROR(__xludf.DUMMYFUNCTION("""COMPUTED_VALUE"""),"API")</f>
        <v>API</v>
      </c>
      <c r="J473" s="265" t="str">
        <f>IFERROR(__xludf.DUMMYFUNCTION("""COMPUTED_VALUE"""),"API")</f>
        <v>API</v>
      </c>
    </row>
    <row r="474">
      <c r="A474" s="265" t="str">
        <f>IFERROR(__xludf.DUMMYFUNCTION("""COMPUTED_VALUE"""),"744")</f>
        <v>744</v>
      </c>
      <c r="B474" s="265" t="str">
        <f>IFERROR(__xludf.DUMMYFUNCTION("""COMPUTED_VALUE"""),"Hà Nội")</f>
        <v>Hà Nội</v>
      </c>
      <c r="C474" s="265" t="str">
        <f>IFERROR(__xludf.DUMMYFUNCTION("""COMPUTED_VALUE"""),"Locked")</f>
        <v>Locked</v>
      </c>
      <c r="D474" s="265" t="str">
        <f>IFERROR(__xludf.DUMMYFUNCTION("""COMPUTED_VALUE"""),"Truyền thông &amp; Giải trí")</f>
        <v>Truyền thông &amp; Giải trí</v>
      </c>
      <c r="E474" s="265" t="str">
        <f>IFERROR(__xludf.DUMMYFUNCTION("""COMPUTED_VALUE"""),"TúPHN")</f>
        <v>TúPHN</v>
      </c>
      <c r="F474" s="265" t="str">
        <f>IFERROR(__xludf.DUMMYFUNCTION("""COMPUTED_VALUE"""),"Sale chưa cung cấp")</f>
        <v>Sale chưa cung cấp</v>
      </c>
      <c r="G474" s="265" t="str">
        <f>IFERROR(__xludf.DUMMYFUNCTION("""COMPUTED_VALUE"""),"API")</f>
        <v>API</v>
      </c>
      <c r="H474" s="265" t="str">
        <f>IFERROR(__xludf.DUMMYFUNCTION("""COMPUTED_VALUE"""),"Trả sau")</f>
        <v>Trả sau</v>
      </c>
      <c r="I474" s="265" t="str">
        <f>IFERROR(__xludf.DUMMYFUNCTION("""COMPUTED_VALUE"""),"API")</f>
        <v>API</v>
      </c>
      <c r="J474" s="265" t="str">
        <f>IFERROR(__xludf.DUMMYFUNCTION("""COMPUTED_VALUE"""),"API")</f>
        <v>API</v>
      </c>
    </row>
    <row r="475">
      <c r="A475" s="265" t="str">
        <f>IFERROR(__xludf.DUMMYFUNCTION("""COMPUTED_VALUE"""),"745")</f>
        <v>745</v>
      </c>
      <c r="B475" s="265" t="str">
        <f>IFERROR(__xludf.DUMMYFUNCTION("""COMPUTED_VALUE"""),"Sài Gòn")</f>
        <v>Sài Gòn</v>
      </c>
      <c r="C475" s="265" t="str">
        <f>IFERROR(__xludf.DUMMYFUNCTION("""COMPUTED_VALUE"""),"Active")</f>
        <v>Active</v>
      </c>
      <c r="D475" s="265" t="str">
        <f>IFERROR(__xludf.DUMMYFUNCTION("""COMPUTED_VALUE"""),"Sản xuất &amp; Chế tạo")</f>
        <v>Sản xuất &amp; Chế tạo</v>
      </c>
      <c r="E475" s="265" t="str">
        <f>IFERROR(__xludf.DUMMYFUNCTION("""COMPUTED_VALUE"""),"TúPHN")</f>
        <v>TúPHN</v>
      </c>
      <c r="F475" s="265" t="str">
        <f>IFERROR(__xludf.DUMMYFUNCTION("""COMPUTED_VALUE"""),"Bronze")</f>
        <v>Bronze</v>
      </c>
      <c r="G475" s="265" t="str">
        <f>IFERROR(__xludf.DUMMYFUNCTION("""COMPUTED_VALUE"""),"Premium")</f>
        <v>Premium</v>
      </c>
      <c r="H475" s="265" t="str">
        <f>IFERROR(__xludf.DUMMYFUNCTION("""COMPUTED_VALUE"""),"Trả sau")</f>
        <v>Trả sau</v>
      </c>
      <c r="I475" s="265" t="str">
        <f>IFERROR(__xludf.DUMMYFUNCTION("""COMPUTED_VALUE"""),"API &amp; Portal")</f>
        <v>API &amp; Portal</v>
      </c>
      <c r="J475" s="265" t="str">
        <f>IFERROR(__xludf.DUMMYFUNCTION("""COMPUTED_VALUE"""),"File Excel")</f>
        <v>File Excel</v>
      </c>
    </row>
    <row r="476">
      <c r="A476" s="265" t="str">
        <f>IFERROR(__xludf.DUMMYFUNCTION("""COMPUTED_VALUE"""),"746")</f>
        <v>746</v>
      </c>
      <c r="B476" s="265" t="str">
        <f>IFERROR(__xludf.DUMMYFUNCTION("""COMPUTED_VALUE"""),"Sài Gòn")</f>
        <v>Sài Gòn</v>
      </c>
      <c r="C476" s="265" t="str">
        <f>IFERROR(__xludf.DUMMYFUNCTION("""COMPUTED_VALUE"""),"Active")</f>
        <v>Active</v>
      </c>
      <c r="D476" s="265" t="str">
        <f>IFERROR(__xludf.DUMMYFUNCTION("""COMPUTED_VALUE"""),"Viễn thông")</f>
        <v>Viễn thông</v>
      </c>
      <c r="E476" s="265" t="str">
        <f>IFERROR(__xludf.DUMMYFUNCTION("""COMPUTED_VALUE"""),"TùngLD")</f>
        <v>TùngLD</v>
      </c>
      <c r="F476" s="265" t="str">
        <f>IFERROR(__xludf.DUMMYFUNCTION("""COMPUTED_VALUE"""),"Gold")</f>
        <v>Gold</v>
      </c>
      <c r="G476" s="265" t="str">
        <f>IFERROR(__xludf.DUMMYFUNCTION("""COMPUTED_VALUE"""),"Premium")</f>
        <v>Premium</v>
      </c>
      <c r="H476" s="265" t="str">
        <f>IFERROR(__xludf.DUMMYFUNCTION("""COMPUTED_VALUE"""),"Trả sau")</f>
        <v>Trả sau</v>
      </c>
      <c r="I476" s="265" t="str">
        <f>IFERROR(__xludf.DUMMYFUNCTION("""COMPUTED_VALUE"""),"API")</f>
        <v>API</v>
      </c>
      <c r="J476" s="265" t="str">
        <f>IFERROR(__xludf.DUMMYFUNCTION("""COMPUTED_VALUE"""),"API")</f>
        <v>API</v>
      </c>
    </row>
    <row r="477">
      <c r="A477" s="265" t="str">
        <f>IFERROR(__xludf.DUMMYFUNCTION("""COMPUTED_VALUE"""),"498")</f>
        <v>498</v>
      </c>
      <c r="B477" s="265" t="str">
        <f>IFERROR(__xludf.DUMMYFUNCTION("""COMPUTED_VALUE"""),"Hà Nội")</f>
        <v>Hà Nội</v>
      </c>
      <c r="C477" s="265" t="str">
        <f>IFERROR(__xludf.DUMMYFUNCTION("""COMPUTED_VALUE"""),"Locked")</f>
        <v>Locked</v>
      </c>
      <c r="D477" s="265" t="str">
        <f>IFERROR(__xludf.DUMMYFUNCTION("""COMPUTED_VALUE"""),"Sale chưa cung cấp")</f>
        <v>Sale chưa cung cấp</v>
      </c>
      <c r="E477" s="265" t="str">
        <f>IFERROR(__xludf.DUMMYFUNCTION("""COMPUTED_VALUE"""),"TùngLD")</f>
        <v>TùngLD</v>
      </c>
      <c r="F477" s="265" t="str">
        <f>IFERROR(__xludf.DUMMYFUNCTION("""COMPUTED_VALUE"""),"Bronze")</f>
        <v>Bronze</v>
      </c>
      <c r="G477" s="265" t="str">
        <f>IFERROR(__xludf.DUMMYFUNCTION("""COMPUTED_VALUE"""),"Enterprise")</f>
        <v>Enterprise</v>
      </c>
      <c r="H477" s="265" t="str">
        <f>IFERROR(__xludf.DUMMYFUNCTION("""COMPUTED_VALUE"""),"Trả sau")</f>
        <v>Trả sau</v>
      </c>
      <c r="I477" s="265" t="str">
        <f>IFERROR(__xludf.DUMMYFUNCTION("""COMPUTED_VALUE"""),"Portal")</f>
        <v>Portal</v>
      </c>
      <c r="J477" s="265" t="str">
        <f>IFERROR(__xludf.DUMMYFUNCTION("""COMPUTED_VALUE"""),"File Excel")</f>
        <v>File Excel</v>
      </c>
    </row>
    <row r="478">
      <c r="A478" s="265" t="str">
        <f>IFERROR(__xludf.DUMMYFUNCTION("""COMPUTED_VALUE"""),"747")</f>
        <v>747</v>
      </c>
      <c r="B478" s="265" t="str">
        <f>IFERROR(__xludf.DUMMYFUNCTION("""COMPUTED_VALUE"""),"Sài Gòn")</f>
        <v>Sài Gòn</v>
      </c>
      <c r="C478" s="265" t="str">
        <f>IFERROR(__xludf.DUMMYFUNCTION("""COMPUTED_VALUE"""),"Locked")</f>
        <v>Locked</v>
      </c>
      <c r="D478" s="265" t="str">
        <f>IFERROR(__xludf.DUMMYFUNCTION("""COMPUTED_VALUE"""),"Y tế &amp; Dược phẩm")</f>
        <v>Y tế &amp; Dược phẩm</v>
      </c>
      <c r="E478" s="265" t="str">
        <f>IFERROR(__xludf.DUMMYFUNCTION("""COMPUTED_VALUE"""),"HoaNTM")</f>
        <v>HoaNTM</v>
      </c>
      <c r="F478" s="265" t="str">
        <f>IFERROR(__xludf.DUMMYFUNCTION("""COMPUTED_VALUE"""),"Sale chưa cung cấp")</f>
        <v>Sale chưa cung cấp</v>
      </c>
      <c r="G478" s="265" t="str">
        <f>IFERROR(__xludf.DUMMYFUNCTION("""COMPUTED_VALUE"""),"Starter")</f>
        <v>Starter</v>
      </c>
      <c r="H478" s="265" t="str">
        <f>IFERROR(__xludf.DUMMYFUNCTION("""COMPUTED_VALUE"""),"Trả trước")</f>
        <v>Trả trước</v>
      </c>
      <c r="I478" s="265" t="str">
        <f>IFERROR(__xludf.DUMMYFUNCTION("""COMPUTED_VALUE"""),"API &amp; Portal")</f>
        <v>API &amp; Portal</v>
      </c>
      <c r="J478" s="265" t="str">
        <f>IFERROR(__xludf.DUMMYFUNCTION("""COMPUTED_VALUE"""),"File Excel")</f>
        <v>File Excel</v>
      </c>
    </row>
    <row r="479">
      <c r="A479" s="265" t="str">
        <f>IFERROR(__xludf.DUMMYFUNCTION("""COMPUTED_VALUE"""),"747")</f>
        <v>747</v>
      </c>
      <c r="B479" s="265" t="str">
        <f>IFERROR(__xludf.DUMMYFUNCTION("""COMPUTED_VALUE"""),"Sài Gòn")</f>
        <v>Sài Gòn</v>
      </c>
      <c r="C479" s="265" t="str">
        <f>IFERROR(__xludf.DUMMYFUNCTION("""COMPUTED_VALUE"""),"Locked")</f>
        <v>Locked</v>
      </c>
      <c r="D479" s="265" t="str">
        <f>IFERROR(__xludf.DUMMYFUNCTION("""COMPUTED_VALUE"""),"Y tế &amp; Dược phẩm")</f>
        <v>Y tế &amp; Dược phẩm</v>
      </c>
      <c r="E479" s="265" t="str">
        <f>IFERROR(__xludf.DUMMYFUNCTION("""COMPUTED_VALUE"""),"HoaNTM")</f>
        <v>HoaNTM</v>
      </c>
      <c r="F479" s="265" t="str">
        <f>IFERROR(__xludf.DUMMYFUNCTION("""COMPUTED_VALUE"""),"Sale chưa cung cấp")</f>
        <v>Sale chưa cung cấp</v>
      </c>
      <c r="G479" s="265" t="str">
        <f>IFERROR(__xludf.DUMMYFUNCTION("""COMPUTED_VALUE"""),"Starter")</f>
        <v>Starter</v>
      </c>
      <c r="H479" s="265" t="str">
        <f>IFERROR(__xludf.DUMMYFUNCTION("""COMPUTED_VALUE"""),"Trả trước")</f>
        <v>Trả trước</v>
      </c>
      <c r="I479" s="265" t="str">
        <f>IFERROR(__xludf.DUMMYFUNCTION("""COMPUTED_VALUE"""),"API &amp; Portal")</f>
        <v>API &amp; Portal</v>
      </c>
      <c r="J479" s="265" t="str">
        <f>IFERROR(__xludf.DUMMYFUNCTION("""COMPUTED_VALUE"""),"API")</f>
        <v>API</v>
      </c>
    </row>
    <row r="480">
      <c r="A480" s="265" t="str">
        <f>IFERROR(__xludf.DUMMYFUNCTION("""COMPUTED_VALUE"""),"748")</f>
        <v>748</v>
      </c>
      <c r="B480" s="265" t="str">
        <f>IFERROR(__xludf.DUMMYFUNCTION("""COMPUTED_VALUE"""),"Sài Gòn")</f>
        <v>Sài Gòn</v>
      </c>
      <c r="C480" s="265" t="str">
        <f>IFERROR(__xludf.DUMMYFUNCTION("""COMPUTED_VALUE"""),"Locked")</f>
        <v>Locked</v>
      </c>
      <c r="D480" s="265" t="str">
        <f>IFERROR(__xludf.DUMMYFUNCTION("""COMPUTED_VALUE"""),"Truyền thông &amp; Giải trí")</f>
        <v>Truyền thông &amp; Giải trí</v>
      </c>
      <c r="E480" s="265" t="str">
        <f>IFERROR(__xludf.DUMMYFUNCTION("""COMPUTED_VALUE"""),"HoaNTM")</f>
        <v>HoaNTM</v>
      </c>
      <c r="F480" s="265" t="str">
        <f>IFERROR(__xludf.DUMMYFUNCTION("""COMPUTED_VALUE"""),"Gold")</f>
        <v>Gold</v>
      </c>
      <c r="G480" s="265" t="str">
        <f>IFERROR(__xludf.DUMMYFUNCTION("""COMPUTED_VALUE"""),"Premium")</f>
        <v>Premium</v>
      </c>
      <c r="H480" s="265" t="str">
        <f>IFERROR(__xludf.DUMMYFUNCTION("""COMPUTED_VALUE"""),"Trả trước")</f>
        <v>Trả trước</v>
      </c>
      <c r="I480" s="265" t="str">
        <f>IFERROR(__xludf.DUMMYFUNCTION("""COMPUTED_VALUE"""),"API &amp; Portal")</f>
        <v>API &amp; Portal</v>
      </c>
      <c r="J480" s="265" t="str">
        <f>IFERROR(__xludf.DUMMYFUNCTION("""COMPUTED_VALUE"""),"HubSpot")</f>
        <v>HubSpot</v>
      </c>
    </row>
    <row r="481">
      <c r="A481" s="265" t="str">
        <f>IFERROR(__xludf.DUMMYFUNCTION("""COMPUTED_VALUE"""),"750")</f>
        <v>750</v>
      </c>
      <c r="B481" s="265" t="str">
        <f>IFERROR(__xludf.DUMMYFUNCTION("""COMPUTED_VALUE"""),"Hà Nội")</f>
        <v>Hà Nội</v>
      </c>
      <c r="C481" s="265" t="str">
        <f>IFERROR(__xludf.DUMMYFUNCTION("""COMPUTED_VALUE"""),"Locked")</f>
        <v>Locked</v>
      </c>
      <c r="D481" s="265" t="str">
        <f>IFERROR(__xludf.DUMMYFUNCTION("""COMPUTED_VALUE"""),"Truyền thông &amp; Giải trí")</f>
        <v>Truyền thông &amp; Giải trí</v>
      </c>
      <c r="E481" s="265" t="str">
        <f>IFERROR(__xludf.DUMMYFUNCTION("""COMPUTED_VALUE"""),"TúPHN")</f>
        <v>TúPHN</v>
      </c>
      <c r="F481" s="265" t="str">
        <f>IFERROR(__xludf.DUMMYFUNCTION("""COMPUTED_VALUE"""),"Bronze")</f>
        <v>Bronze</v>
      </c>
      <c r="G481" s="265" t="str">
        <f>IFERROR(__xludf.DUMMYFUNCTION("""COMPUTED_VALUE"""),"Starter")</f>
        <v>Starter</v>
      </c>
      <c r="H481" s="265" t="str">
        <f>IFERROR(__xludf.DUMMYFUNCTION("""COMPUTED_VALUE"""),"Trả sau")</f>
        <v>Trả sau</v>
      </c>
      <c r="I481" s="265" t="str">
        <f>IFERROR(__xludf.DUMMYFUNCTION("""COMPUTED_VALUE"""),"API &amp; Portal")</f>
        <v>API &amp; Portal</v>
      </c>
      <c r="J481" s="265" t="str">
        <f>IFERROR(__xludf.DUMMYFUNCTION("""COMPUTED_VALUE"""),"File Excel")</f>
        <v>File Excel</v>
      </c>
    </row>
    <row r="482">
      <c r="A482" s="265" t="str">
        <f>IFERROR(__xludf.DUMMYFUNCTION("""COMPUTED_VALUE"""),"750")</f>
        <v>750</v>
      </c>
      <c r="B482" s="265" t="str">
        <f>IFERROR(__xludf.DUMMYFUNCTION("""COMPUTED_VALUE"""),"Hà Nội")</f>
        <v>Hà Nội</v>
      </c>
      <c r="C482" s="265" t="str">
        <f>IFERROR(__xludf.DUMMYFUNCTION("""COMPUTED_VALUE"""),"Locked")</f>
        <v>Locked</v>
      </c>
      <c r="D482" s="265" t="str">
        <f>IFERROR(__xludf.DUMMYFUNCTION("""COMPUTED_VALUE"""),"Truyền thông &amp; Giải trí")</f>
        <v>Truyền thông &amp; Giải trí</v>
      </c>
      <c r="E482" s="265" t="str">
        <f>IFERROR(__xludf.DUMMYFUNCTION("""COMPUTED_VALUE"""),"TúPHN")</f>
        <v>TúPHN</v>
      </c>
      <c r="F482" s="265" t="str">
        <f>IFERROR(__xludf.DUMMYFUNCTION("""COMPUTED_VALUE"""),"Bronze")</f>
        <v>Bronze</v>
      </c>
      <c r="G482" s="265" t="str">
        <f>IFERROR(__xludf.DUMMYFUNCTION("""COMPUTED_VALUE"""),"Starter")</f>
        <v>Starter</v>
      </c>
      <c r="H482" s="265" t="str">
        <f>IFERROR(__xludf.DUMMYFUNCTION("""COMPUTED_VALUE"""),"Trả sau")</f>
        <v>Trả sau</v>
      </c>
      <c r="I482" s="265" t="str">
        <f>IFERROR(__xludf.DUMMYFUNCTION("""COMPUTED_VALUE"""),"API &amp; Portal")</f>
        <v>API &amp; Portal</v>
      </c>
      <c r="J482" s="265" t="str">
        <f>IFERROR(__xludf.DUMMYFUNCTION("""COMPUTED_VALUE"""),"API")</f>
        <v>API</v>
      </c>
    </row>
    <row r="483">
      <c r="A483" s="265" t="str">
        <f>IFERROR(__xludf.DUMMYFUNCTION("""COMPUTED_VALUE"""),"751")</f>
        <v>751</v>
      </c>
      <c r="B483" s="265" t="str">
        <f>IFERROR(__xludf.DUMMYFUNCTION("""COMPUTED_VALUE"""),"Sài Gòn")</f>
        <v>Sài Gòn</v>
      </c>
      <c r="C483" s="265" t="str">
        <f>IFERROR(__xludf.DUMMYFUNCTION("""COMPUTED_VALUE"""),"Locked")</f>
        <v>Locked</v>
      </c>
      <c r="D483" s="265" t="str">
        <f>IFERROR(__xludf.DUMMYFUNCTION("""COMPUTED_VALUE"""),"Mua sắm &amp; Bán lẻ")</f>
        <v>Mua sắm &amp; Bán lẻ</v>
      </c>
      <c r="E483" s="265" t="str">
        <f>IFERROR(__xludf.DUMMYFUNCTION("""COMPUTED_VALUE"""),"HoaNTM")</f>
        <v>HoaNTM</v>
      </c>
      <c r="F483" s="265" t="str">
        <f>IFERROR(__xludf.DUMMYFUNCTION("""COMPUTED_VALUE"""),"Sale chưa cung cấp")</f>
        <v>Sale chưa cung cấp</v>
      </c>
      <c r="G483" s="265" t="str">
        <f>IFERROR(__xludf.DUMMYFUNCTION("""COMPUTED_VALUE"""),"Premium")</f>
        <v>Premium</v>
      </c>
      <c r="H483" s="265" t="str">
        <f>IFERROR(__xludf.DUMMYFUNCTION("""COMPUTED_VALUE"""),"Trial")</f>
        <v>Trial</v>
      </c>
      <c r="I483" s="265" t="str">
        <f>IFERROR(__xludf.DUMMYFUNCTION("""COMPUTED_VALUE"""),"API &amp; Portal")</f>
        <v>API &amp; Portal</v>
      </c>
      <c r="J483" s="265" t="str">
        <f>IFERROR(__xludf.DUMMYFUNCTION("""COMPUTED_VALUE"""),"File Excel")</f>
        <v>File Excel</v>
      </c>
    </row>
    <row r="484">
      <c r="A484" s="265" t="str">
        <f>IFERROR(__xludf.DUMMYFUNCTION("""COMPUTED_VALUE"""),"751")</f>
        <v>751</v>
      </c>
      <c r="B484" s="265" t="str">
        <f>IFERROR(__xludf.DUMMYFUNCTION("""COMPUTED_VALUE"""),"Sài Gòn")</f>
        <v>Sài Gòn</v>
      </c>
      <c r="C484" s="265" t="str">
        <f>IFERROR(__xludf.DUMMYFUNCTION("""COMPUTED_VALUE"""),"Locked")</f>
        <v>Locked</v>
      </c>
      <c r="D484" s="265" t="str">
        <f>IFERROR(__xludf.DUMMYFUNCTION("""COMPUTED_VALUE"""),"Mua sắm &amp; Bán lẻ")</f>
        <v>Mua sắm &amp; Bán lẻ</v>
      </c>
      <c r="E484" s="265" t="str">
        <f>IFERROR(__xludf.DUMMYFUNCTION("""COMPUTED_VALUE"""),"HoaNTM")</f>
        <v>HoaNTM</v>
      </c>
      <c r="F484" s="265" t="str">
        <f>IFERROR(__xludf.DUMMYFUNCTION("""COMPUTED_VALUE"""),"Sale chưa cung cấp")</f>
        <v>Sale chưa cung cấp</v>
      </c>
      <c r="G484" s="265" t="str">
        <f>IFERROR(__xludf.DUMMYFUNCTION("""COMPUTED_VALUE"""),"Premium")</f>
        <v>Premium</v>
      </c>
      <c r="H484" s="265" t="str">
        <f>IFERROR(__xludf.DUMMYFUNCTION("""COMPUTED_VALUE"""),"Trial")</f>
        <v>Trial</v>
      </c>
      <c r="I484" s="265" t="str">
        <f>IFERROR(__xludf.DUMMYFUNCTION("""COMPUTED_VALUE"""),"API &amp; Portal")</f>
        <v>API &amp; Portal</v>
      </c>
      <c r="J484" s="265" t="str">
        <f>IFERROR(__xludf.DUMMYFUNCTION("""COMPUTED_VALUE"""),"API")</f>
        <v>API</v>
      </c>
    </row>
    <row r="485">
      <c r="A485" s="265" t="str">
        <f>IFERROR(__xludf.DUMMYFUNCTION("""COMPUTED_VALUE"""),"754")</f>
        <v>754</v>
      </c>
      <c r="B485" s="265" t="str">
        <f>IFERROR(__xludf.DUMMYFUNCTION("""COMPUTED_VALUE"""),"Hà Nội")</f>
        <v>Hà Nội</v>
      </c>
      <c r="C485" s="265" t="str">
        <f>IFERROR(__xludf.DUMMYFUNCTION("""COMPUTED_VALUE"""),"Locked")</f>
        <v>Locked</v>
      </c>
      <c r="D485" s="265" t="str">
        <f>IFERROR(__xludf.DUMMYFUNCTION("""COMPUTED_VALUE"""),"Viễn thông")</f>
        <v>Viễn thông</v>
      </c>
      <c r="E485" s="265" t="str">
        <f>IFERROR(__xludf.DUMMYFUNCTION("""COMPUTED_VALUE"""),"AnhNP")</f>
        <v>AnhNP</v>
      </c>
      <c r="F485" s="265" t="str">
        <f>IFERROR(__xludf.DUMMYFUNCTION("""COMPUTED_VALUE"""),"Sale chưa cung cấp")</f>
        <v>Sale chưa cung cấp</v>
      </c>
      <c r="G485" s="265" t="str">
        <f>IFERROR(__xludf.DUMMYFUNCTION("""COMPUTED_VALUE"""),"Starter")</f>
        <v>Starter</v>
      </c>
      <c r="H485" s="265" t="str">
        <f>IFERROR(__xludf.DUMMYFUNCTION("""COMPUTED_VALUE"""),"Trial")</f>
        <v>Trial</v>
      </c>
      <c r="I485" s="265" t="str">
        <f>IFERROR(__xludf.DUMMYFUNCTION("""COMPUTED_VALUE"""),"API &amp; Portal")</f>
        <v>API &amp; Portal</v>
      </c>
      <c r="J485" s="265" t="str">
        <f>IFERROR(__xludf.DUMMYFUNCTION("""COMPUTED_VALUE"""),"File Excel")</f>
        <v>File Excel</v>
      </c>
    </row>
    <row r="486">
      <c r="A486" s="265" t="str">
        <f>IFERROR(__xludf.DUMMYFUNCTION("""COMPUTED_VALUE"""),"754")</f>
        <v>754</v>
      </c>
      <c r="B486" s="265" t="str">
        <f>IFERROR(__xludf.DUMMYFUNCTION("""COMPUTED_VALUE"""),"Hà Nội")</f>
        <v>Hà Nội</v>
      </c>
      <c r="C486" s="265" t="str">
        <f>IFERROR(__xludf.DUMMYFUNCTION("""COMPUTED_VALUE"""),"Locked")</f>
        <v>Locked</v>
      </c>
      <c r="D486" s="265" t="str">
        <f>IFERROR(__xludf.DUMMYFUNCTION("""COMPUTED_VALUE"""),"Viễn thông")</f>
        <v>Viễn thông</v>
      </c>
      <c r="E486" s="265" t="str">
        <f>IFERROR(__xludf.DUMMYFUNCTION("""COMPUTED_VALUE"""),"AnhNP")</f>
        <v>AnhNP</v>
      </c>
      <c r="F486" s="265" t="str">
        <f>IFERROR(__xludf.DUMMYFUNCTION("""COMPUTED_VALUE"""),"Sale chưa cung cấp")</f>
        <v>Sale chưa cung cấp</v>
      </c>
      <c r="G486" s="265" t="str">
        <f>IFERROR(__xludf.DUMMYFUNCTION("""COMPUTED_VALUE"""),"Starter")</f>
        <v>Starter</v>
      </c>
      <c r="H486" s="265" t="str">
        <f>IFERROR(__xludf.DUMMYFUNCTION("""COMPUTED_VALUE"""),"Trial")</f>
        <v>Trial</v>
      </c>
      <c r="I486" s="265" t="str">
        <f>IFERROR(__xludf.DUMMYFUNCTION("""COMPUTED_VALUE"""),"API &amp; Portal")</f>
        <v>API &amp; Portal</v>
      </c>
      <c r="J486" s="265" t="str">
        <f>IFERROR(__xludf.DUMMYFUNCTION("""COMPUTED_VALUE"""),"API")</f>
        <v>API</v>
      </c>
    </row>
    <row r="487">
      <c r="A487" s="265" t="str">
        <f>IFERROR(__xludf.DUMMYFUNCTION("""COMPUTED_VALUE"""),"753")</f>
        <v>753</v>
      </c>
      <c r="B487" s="265" t="str">
        <f>IFERROR(__xludf.DUMMYFUNCTION("""COMPUTED_VALUE"""),"Sài Gòn")</f>
        <v>Sài Gòn</v>
      </c>
      <c r="C487" s="265" t="str">
        <f>IFERROR(__xludf.DUMMYFUNCTION("""COMPUTED_VALUE"""),"Locked")</f>
        <v>Locked</v>
      </c>
      <c r="D487" s="265" t="str">
        <f>IFERROR(__xludf.DUMMYFUNCTION("""COMPUTED_VALUE"""),"Giáo dục &amp; Đào tạo")</f>
        <v>Giáo dục &amp; Đào tạo</v>
      </c>
      <c r="E487" s="265" t="str">
        <f>IFERROR(__xludf.DUMMYFUNCTION("""COMPUTED_VALUE"""),"HoaNTM")</f>
        <v>HoaNTM</v>
      </c>
      <c r="F487" s="265" t="str">
        <f>IFERROR(__xludf.DUMMYFUNCTION("""COMPUTED_VALUE"""),"Bronze")</f>
        <v>Bronze</v>
      </c>
      <c r="G487" s="265" t="str">
        <f>IFERROR(__xludf.DUMMYFUNCTION("""COMPUTED_VALUE"""),"Starter")</f>
        <v>Starter</v>
      </c>
      <c r="H487" s="265" t="str">
        <f>IFERROR(__xludf.DUMMYFUNCTION("""COMPUTED_VALUE"""),"(Chưa recheck)")</f>
        <v>(Chưa recheck)</v>
      </c>
      <c r="I487" s="265" t="str">
        <f>IFERROR(__xludf.DUMMYFUNCTION("""COMPUTED_VALUE"""),"API &amp; Portal")</f>
        <v>API &amp; Portal</v>
      </c>
      <c r="J487" s="265" t="str">
        <f>IFERROR(__xludf.DUMMYFUNCTION("""COMPUTED_VALUE"""),"File Excel")</f>
        <v>File Excel</v>
      </c>
    </row>
    <row r="488">
      <c r="A488" s="265" t="str">
        <f>IFERROR(__xludf.DUMMYFUNCTION("""COMPUTED_VALUE"""),"753")</f>
        <v>753</v>
      </c>
      <c r="B488" s="265" t="str">
        <f>IFERROR(__xludf.DUMMYFUNCTION("""COMPUTED_VALUE"""),"Sài Gòn")</f>
        <v>Sài Gòn</v>
      </c>
      <c r="C488" s="265" t="str">
        <f>IFERROR(__xludf.DUMMYFUNCTION("""COMPUTED_VALUE"""),"Locked")</f>
        <v>Locked</v>
      </c>
      <c r="D488" s="265" t="str">
        <f>IFERROR(__xludf.DUMMYFUNCTION("""COMPUTED_VALUE"""),"Giáo dục &amp; Đào tạo")</f>
        <v>Giáo dục &amp; Đào tạo</v>
      </c>
      <c r="E488" s="265" t="str">
        <f>IFERROR(__xludf.DUMMYFUNCTION("""COMPUTED_VALUE"""),"HoaNTM")</f>
        <v>HoaNTM</v>
      </c>
      <c r="F488" s="265" t="str">
        <f>IFERROR(__xludf.DUMMYFUNCTION("""COMPUTED_VALUE"""),"Bronze")</f>
        <v>Bronze</v>
      </c>
      <c r="G488" s="265" t="str">
        <f>IFERROR(__xludf.DUMMYFUNCTION("""COMPUTED_VALUE"""),"Starter")</f>
        <v>Starter</v>
      </c>
      <c r="H488" s="265" t="str">
        <f>IFERROR(__xludf.DUMMYFUNCTION("""COMPUTED_VALUE"""),"(Chưa recheck)")</f>
        <v>(Chưa recheck)</v>
      </c>
      <c r="I488" s="265" t="str">
        <f>IFERROR(__xludf.DUMMYFUNCTION("""COMPUTED_VALUE"""),"API &amp; Portal")</f>
        <v>API &amp; Portal</v>
      </c>
      <c r="J488" s="265" t="str">
        <f>IFERROR(__xludf.DUMMYFUNCTION("""COMPUTED_VALUE"""),"API")</f>
        <v>API</v>
      </c>
    </row>
    <row r="489">
      <c r="A489" s="265" t="str">
        <f>IFERROR(__xludf.DUMMYFUNCTION("""COMPUTED_VALUE"""),"755")</f>
        <v>755</v>
      </c>
      <c r="B489" s="265" t="str">
        <f>IFERROR(__xludf.DUMMYFUNCTION("""COMPUTED_VALUE"""),"Sài Gòn")</f>
        <v>Sài Gòn</v>
      </c>
      <c r="C489" s="265" t="str">
        <f>IFERROR(__xludf.DUMMYFUNCTION("""COMPUTED_VALUE"""),"Locked")</f>
        <v>Locked</v>
      </c>
      <c r="D489" s="265" t="str">
        <f>IFERROR(__xludf.DUMMYFUNCTION("""COMPUTED_VALUE"""),"Sale chưa cung cấp")</f>
        <v>Sale chưa cung cấp</v>
      </c>
      <c r="E489" s="265" t="str">
        <f>IFERROR(__xludf.DUMMYFUNCTION("""COMPUTED_VALUE"""),"TuVTC")</f>
        <v>TuVTC</v>
      </c>
      <c r="F489" s="265" t="str">
        <f>IFERROR(__xludf.DUMMYFUNCTION("""COMPUTED_VALUE"""),"Bronze")</f>
        <v>Bronze</v>
      </c>
      <c r="G489" s="265" t="str">
        <f>IFERROR(__xludf.DUMMYFUNCTION("""COMPUTED_VALUE"""),"API")</f>
        <v>API</v>
      </c>
      <c r="H489" s="265" t="str">
        <f>IFERROR(__xludf.DUMMYFUNCTION("""COMPUTED_VALUE"""),"Trả trước")</f>
        <v>Trả trước</v>
      </c>
      <c r="I489" s="265" t="str">
        <f>IFERROR(__xludf.DUMMYFUNCTION("""COMPUTED_VALUE"""),"API")</f>
        <v>API</v>
      </c>
      <c r="J489" s="265" t="str">
        <f>IFERROR(__xludf.DUMMYFUNCTION("""COMPUTED_VALUE"""),"API")</f>
        <v>API</v>
      </c>
    </row>
    <row r="490">
      <c r="A490" s="265" t="str">
        <f>IFERROR(__xludf.DUMMYFUNCTION("""COMPUTED_VALUE"""),"756")</f>
        <v>756</v>
      </c>
      <c r="B490" s="265" t="str">
        <f>IFERROR(__xludf.DUMMYFUNCTION("""COMPUTED_VALUE"""),"Sài Gòn")</f>
        <v>Sài Gòn</v>
      </c>
      <c r="C490" s="265" t="str">
        <f>IFERROR(__xludf.DUMMYFUNCTION("""COMPUTED_VALUE"""),"Locked")</f>
        <v>Locked</v>
      </c>
      <c r="D490" s="265" t="str">
        <f>IFERROR(__xludf.DUMMYFUNCTION("""COMPUTED_VALUE"""),"Du lịch &amp; Lưu trú")</f>
        <v>Du lịch &amp; Lưu trú</v>
      </c>
      <c r="E490" s="265" t="str">
        <f>IFERROR(__xludf.DUMMYFUNCTION("""COMPUTED_VALUE"""),"HoaNTM")</f>
        <v>HoaNTM</v>
      </c>
      <c r="F490" s="265" t="str">
        <f>IFERROR(__xludf.DUMMYFUNCTION("""COMPUTED_VALUE"""),"Sale chưa cung cấp")</f>
        <v>Sale chưa cung cấp</v>
      </c>
      <c r="G490" s="265" t="str">
        <f>IFERROR(__xludf.DUMMYFUNCTION("""COMPUTED_VALUE"""),"Starter")</f>
        <v>Starter</v>
      </c>
      <c r="H490" s="265" t="str">
        <f>IFERROR(__xludf.DUMMYFUNCTION("""COMPUTED_VALUE"""),"(Chưa recheck)")</f>
        <v>(Chưa recheck)</v>
      </c>
      <c r="I490" s="265" t="str">
        <f>IFERROR(__xludf.DUMMYFUNCTION("""COMPUTED_VALUE"""),"Portal")</f>
        <v>Portal</v>
      </c>
      <c r="J490" s="265" t="str">
        <f>IFERROR(__xludf.DUMMYFUNCTION("""COMPUTED_VALUE"""),"File Excel")</f>
        <v>File Excel</v>
      </c>
    </row>
    <row r="491">
      <c r="A491" s="265" t="str">
        <f>IFERROR(__xludf.DUMMYFUNCTION("""COMPUTED_VALUE"""),"758")</f>
        <v>758</v>
      </c>
      <c r="B491" s="265" t="str">
        <f>IFERROR(__xludf.DUMMYFUNCTION("""COMPUTED_VALUE"""),"Hà Nội")</f>
        <v>Hà Nội</v>
      </c>
      <c r="C491" s="265" t="str">
        <f>IFERROR(__xludf.DUMMYFUNCTION("""COMPUTED_VALUE"""),"Active")</f>
        <v>Active</v>
      </c>
      <c r="D491" s="265" t="str">
        <f>IFERROR(__xludf.DUMMYFUNCTION("""COMPUTED_VALUE"""),"Giáo dục &amp; Đào tạo")</f>
        <v>Giáo dục &amp; Đào tạo</v>
      </c>
      <c r="E491" s="265" t="str">
        <f>IFERROR(__xludf.DUMMYFUNCTION("""COMPUTED_VALUE"""),"TùngLD")</f>
        <v>TùngLD</v>
      </c>
      <c r="F491" s="265" t="str">
        <f>IFERROR(__xludf.DUMMYFUNCTION("""COMPUTED_VALUE"""),"Silver")</f>
        <v>Silver</v>
      </c>
      <c r="G491" s="265" t="str">
        <f>IFERROR(__xludf.DUMMYFUNCTION("""COMPUTED_VALUE"""),"Premium")</f>
        <v>Premium</v>
      </c>
      <c r="H491" s="265" t="str">
        <f>IFERROR(__xludf.DUMMYFUNCTION("""COMPUTED_VALUE"""),"Trả sau")</f>
        <v>Trả sau</v>
      </c>
      <c r="I491" s="265" t="str">
        <f>IFERROR(__xludf.DUMMYFUNCTION("""COMPUTED_VALUE"""),"API &amp; Portal")</f>
        <v>API &amp; Portal</v>
      </c>
      <c r="J491" s="265" t="str">
        <f>IFERROR(__xludf.DUMMYFUNCTION("""COMPUTED_VALUE"""),"HubSpot")</f>
        <v>HubSpot</v>
      </c>
    </row>
    <row r="492">
      <c r="A492" s="265" t="str">
        <f>IFERROR(__xludf.DUMMYFUNCTION("""COMPUTED_VALUE"""),"759")</f>
        <v>759</v>
      </c>
      <c r="B492" s="265" t="str">
        <f>IFERROR(__xludf.DUMMYFUNCTION("""COMPUTED_VALUE"""),"Sài Gòn")</f>
        <v>Sài Gòn</v>
      </c>
      <c r="C492" s="265" t="str">
        <f>IFERROR(__xludf.DUMMYFUNCTION("""COMPUTED_VALUE"""),"Locked")</f>
        <v>Locked</v>
      </c>
      <c r="D492" s="265" t="str">
        <f>IFERROR(__xludf.DUMMYFUNCTION("""COMPUTED_VALUE"""),"Thực phẩm &amp; Đồ uống")</f>
        <v>Thực phẩm &amp; Đồ uống</v>
      </c>
      <c r="E492" s="265" t="str">
        <f>IFERROR(__xludf.DUMMYFUNCTION("""COMPUTED_VALUE"""),"HoaNTM")</f>
        <v>HoaNTM</v>
      </c>
      <c r="F492" s="265" t="str">
        <f>IFERROR(__xludf.DUMMYFUNCTION("""COMPUTED_VALUE"""),"Sale chưa cung cấp")</f>
        <v>Sale chưa cung cấp</v>
      </c>
      <c r="G492" s="265" t="str">
        <f>IFERROR(__xludf.DUMMYFUNCTION("""COMPUTED_VALUE"""),"Enterprise")</f>
        <v>Enterprise</v>
      </c>
      <c r="H492" s="265" t="str">
        <f>IFERROR(__xludf.DUMMYFUNCTION("""COMPUTED_VALUE"""),"Trả sau")</f>
        <v>Trả sau</v>
      </c>
      <c r="I492" s="265" t="str">
        <f>IFERROR(__xludf.DUMMYFUNCTION("""COMPUTED_VALUE"""),"API &amp; Portal")</f>
        <v>API &amp; Portal</v>
      </c>
      <c r="J492" s="265" t="str">
        <f>IFERROR(__xludf.DUMMYFUNCTION("""COMPUTED_VALUE"""),"(Chưa recheck)")</f>
        <v>(Chưa recheck)</v>
      </c>
    </row>
    <row r="493">
      <c r="A493" s="265" t="str">
        <f>IFERROR(__xludf.DUMMYFUNCTION("""COMPUTED_VALUE"""),"762")</f>
        <v>762</v>
      </c>
      <c r="B493" s="265" t="str">
        <f>IFERROR(__xludf.DUMMYFUNCTION("""COMPUTED_VALUE"""),"Sài Gòn")</f>
        <v>Sài Gòn</v>
      </c>
      <c r="C493" s="265" t="str">
        <f>IFERROR(__xludf.DUMMYFUNCTION("""COMPUTED_VALUE"""),"Locked")</f>
        <v>Locked</v>
      </c>
      <c r="D493" s="265" t="str">
        <f>IFERROR(__xludf.DUMMYFUNCTION("""COMPUTED_VALUE"""),"Thực phẩm &amp; Đồ uống")</f>
        <v>Thực phẩm &amp; Đồ uống</v>
      </c>
      <c r="E493" s="265" t="str">
        <f>IFERROR(__xludf.DUMMYFUNCTION("""COMPUTED_VALUE"""),"HoaNTM")</f>
        <v>HoaNTM</v>
      </c>
      <c r="F493" s="265" t="str">
        <f>IFERROR(__xludf.DUMMYFUNCTION("""COMPUTED_VALUE"""),"Sale chưa cung cấp")</f>
        <v>Sale chưa cung cấp</v>
      </c>
      <c r="G493" s="265" t="str">
        <f>IFERROR(__xludf.DUMMYFUNCTION("""COMPUTED_VALUE"""),"Enterprise")</f>
        <v>Enterprise</v>
      </c>
      <c r="H493" s="265" t="str">
        <f>IFERROR(__xludf.DUMMYFUNCTION("""COMPUTED_VALUE"""),"Trả sau")</f>
        <v>Trả sau</v>
      </c>
      <c r="I493" s="265" t="str">
        <f>IFERROR(__xludf.DUMMYFUNCTION("""COMPUTED_VALUE"""),"API &amp; Portal")</f>
        <v>API &amp; Portal</v>
      </c>
      <c r="J493" s="265" t="str">
        <f>IFERROR(__xludf.DUMMYFUNCTION("""COMPUTED_VALUE"""),"(Chưa recheck)")</f>
        <v>(Chưa recheck)</v>
      </c>
    </row>
    <row r="494">
      <c r="A494" s="265" t="str">
        <f>IFERROR(__xludf.DUMMYFUNCTION("""COMPUTED_VALUE"""),"749")</f>
        <v>749</v>
      </c>
      <c r="B494" s="265" t="str">
        <f>IFERROR(__xludf.DUMMYFUNCTION("""COMPUTED_VALUE"""),"Sài Gòn")</f>
        <v>Sài Gòn</v>
      </c>
      <c r="C494" s="265" t="str">
        <f>IFERROR(__xludf.DUMMYFUNCTION("""COMPUTED_VALUE"""),"Active")</f>
        <v>Active</v>
      </c>
      <c r="D494" s="265" t="str">
        <f>IFERROR(__xludf.DUMMYFUNCTION("""COMPUTED_VALUE"""),"Vận tải &amp; logistics")</f>
        <v>Vận tải &amp; logistics</v>
      </c>
      <c r="E494" s="265" t="str">
        <f>IFERROR(__xludf.DUMMYFUNCTION("""COMPUTED_VALUE"""),"AnhNM")</f>
        <v>AnhNM</v>
      </c>
      <c r="F494" s="265" t="str">
        <f>IFERROR(__xludf.DUMMYFUNCTION("""COMPUTED_VALUE"""),"Silver")</f>
        <v>Silver</v>
      </c>
      <c r="G494" s="265" t="str">
        <f>IFERROR(__xludf.DUMMYFUNCTION("""COMPUTED_VALUE"""),"Enterprise")</f>
        <v>Enterprise</v>
      </c>
      <c r="H494" s="265" t="str">
        <f>IFERROR(__xludf.DUMMYFUNCTION("""COMPUTED_VALUE"""),"Trả trước")</f>
        <v>Trả trước</v>
      </c>
      <c r="I494" s="265" t="str">
        <f>IFERROR(__xludf.DUMMYFUNCTION("""COMPUTED_VALUE"""),"API &amp; Portal")</f>
        <v>API &amp; Portal</v>
      </c>
      <c r="J494" s="265" t="str">
        <f>IFERROR(__xludf.DUMMYFUNCTION("""COMPUTED_VALUE"""),"File Excel")</f>
        <v>File Excel</v>
      </c>
    </row>
    <row r="495">
      <c r="A495" s="265" t="str">
        <f>IFERROR(__xludf.DUMMYFUNCTION("""COMPUTED_VALUE"""),"749")</f>
        <v>749</v>
      </c>
      <c r="B495" s="265" t="str">
        <f>IFERROR(__xludf.DUMMYFUNCTION("""COMPUTED_VALUE"""),"Sài Gòn")</f>
        <v>Sài Gòn</v>
      </c>
      <c r="C495" s="265" t="str">
        <f>IFERROR(__xludf.DUMMYFUNCTION("""COMPUTED_VALUE"""),"Active")</f>
        <v>Active</v>
      </c>
      <c r="D495" s="265" t="str">
        <f>IFERROR(__xludf.DUMMYFUNCTION("""COMPUTED_VALUE"""),"Vận tải &amp; logistics")</f>
        <v>Vận tải &amp; logistics</v>
      </c>
      <c r="E495" s="265" t="str">
        <f>IFERROR(__xludf.DUMMYFUNCTION("""COMPUTED_VALUE"""),"AnhNM")</f>
        <v>AnhNM</v>
      </c>
      <c r="F495" s="265" t="str">
        <f>IFERROR(__xludf.DUMMYFUNCTION("""COMPUTED_VALUE"""),"Silver")</f>
        <v>Silver</v>
      </c>
      <c r="G495" s="265" t="str">
        <f>IFERROR(__xludf.DUMMYFUNCTION("""COMPUTED_VALUE"""),"Enterprise")</f>
        <v>Enterprise</v>
      </c>
      <c r="H495" s="265" t="str">
        <f>IFERROR(__xludf.DUMMYFUNCTION("""COMPUTED_VALUE"""),"Trả trước")</f>
        <v>Trả trước</v>
      </c>
      <c r="I495" s="265" t="str">
        <f>IFERROR(__xludf.DUMMYFUNCTION("""COMPUTED_VALUE"""),"API &amp; Portal")</f>
        <v>API &amp; Portal</v>
      </c>
      <c r="J495" s="265" t="str">
        <f>IFERROR(__xludf.DUMMYFUNCTION("""COMPUTED_VALUE"""),"API")</f>
        <v>API</v>
      </c>
    </row>
    <row r="496">
      <c r="A496" s="265" t="str">
        <f>IFERROR(__xludf.DUMMYFUNCTION("""COMPUTED_VALUE"""),"None 6")</f>
        <v>None 6</v>
      </c>
      <c r="B496" s="265" t="str">
        <f>IFERROR(__xludf.DUMMYFUNCTION("""COMPUTED_VALUE"""),"Hà Nội")</f>
        <v>Hà Nội</v>
      </c>
      <c r="C496" s="265" t="str">
        <f>IFERROR(__xludf.DUMMYFUNCTION("""COMPUTED_VALUE"""),"Active")</f>
        <v>Active</v>
      </c>
      <c r="D496" s="265" t="str">
        <f>IFERROR(__xludf.DUMMYFUNCTION("""COMPUTED_VALUE"""),"Công nghệ &amp; Phần mềm")</f>
        <v>Công nghệ &amp; Phần mềm</v>
      </c>
      <c r="E496" s="265" t="str">
        <f>IFERROR(__xludf.DUMMYFUNCTION("""COMPUTED_VALUE"""),"TùngLD")</f>
        <v>TùngLD</v>
      </c>
      <c r="F496" s="265" t="str">
        <f>IFERROR(__xludf.DUMMYFUNCTION("""COMPUTED_VALUE"""),"Diamond")</f>
        <v>Diamond</v>
      </c>
      <c r="G496" s="265" t="str">
        <f>IFERROR(__xludf.DUMMYFUNCTION("""COMPUTED_VALUE"""),"Starter")</f>
        <v>Starter</v>
      </c>
      <c r="H496" s="265" t="str">
        <f>IFERROR(__xludf.DUMMYFUNCTION("""COMPUTED_VALUE"""),"Trả sau")</f>
        <v>Trả sau</v>
      </c>
      <c r="I496" s="265" t="str">
        <f>IFERROR(__xludf.DUMMYFUNCTION("""COMPUTED_VALUE"""),"API")</f>
        <v>API</v>
      </c>
      <c r="J496" s="265" t="str">
        <f>IFERROR(__xludf.DUMMYFUNCTION("""COMPUTED_VALUE"""),"ZCA gửi ZNS")</f>
        <v>ZCA gửi ZNS</v>
      </c>
    </row>
    <row r="497">
      <c r="A497" s="265" t="str">
        <f>IFERROR(__xludf.DUMMYFUNCTION("""COMPUTED_VALUE"""),"760")</f>
        <v>760</v>
      </c>
      <c r="B497" s="265" t="str">
        <f>IFERROR(__xludf.DUMMYFUNCTION("""COMPUTED_VALUE"""),"Sài Gòn")</f>
        <v>Sài Gòn</v>
      </c>
      <c r="C497" s="265" t="str">
        <f>IFERROR(__xludf.DUMMYFUNCTION("""COMPUTED_VALUE"""),"Locked")</f>
        <v>Locked</v>
      </c>
      <c r="D497" s="265" t="str">
        <f>IFERROR(__xludf.DUMMYFUNCTION("""COMPUTED_VALUE"""),"Thực phẩm &amp; Đồ uống")</f>
        <v>Thực phẩm &amp; Đồ uống</v>
      </c>
      <c r="E497" s="265" t="str">
        <f>IFERROR(__xludf.DUMMYFUNCTION("""COMPUTED_VALUE"""),"HoaNTM")</f>
        <v>HoaNTM</v>
      </c>
      <c r="F497" s="265" t="str">
        <f>IFERROR(__xludf.DUMMYFUNCTION("""COMPUTED_VALUE"""),"Diamond")</f>
        <v>Diamond</v>
      </c>
      <c r="G497" s="265" t="str">
        <f>IFERROR(__xludf.DUMMYFUNCTION("""COMPUTED_VALUE"""),"MSG")</f>
        <v>MSG</v>
      </c>
      <c r="H497" s="265" t="str">
        <f>IFERROR(__xludf.DUMMYFUNCTION("""COMPUTED_VALUE"""),"Trả trước")</f>
        <v>Trả trước</v>
      </c>
      <c r="I497" s="265" t="str">
        <f>IFERROR(__xludf.DUMMYFUNCTION("""COMPUTED_VALUE"""),"Portal")</f>
        <v>Portal</v>
      </c>
      <c r="J497" s="265" t="str">
        <f>IFERROR(__xludf.DUMMYFUNCTION("""COMPUTED_VALUE"""),"File Excel")</f>
        <v>File Excel</v>
      </c>
    </row>
    <row r="498">
      <c r="A498" s="265" t="str">
        <f>IFERROR(__xludf.DUMMYFUNCTION("""COMPUTED_VALUE"""),"763")</f>
        <v>763</v>
      </c>
      <c r="B498" s="265" t="str">
        <f>IFERROR(__xludf.DUMMYFUNCTION("""COMPUTED_VALUE"""),"Sài Gòn")</f>
        <v>Sài Gòn</v>
      </c>
      <c r="C498" s="265" t="str">
        <f>IFERROR(__xludf.DUMMYFUNCTION("""COMPUTED_VALUE"""),"Locked")</f>
        <v>Locked</v>
      </c>
      <c r="D498" s="265" t="str">
        <f>IFERROR(__xludf.DUMMYFUNCTION("""COMPUTED_VALUE"""),"Sale chưa cung cấp")</f>
        <v>Sale chưa cung cấp</v>
      </c>
      <c r="E498" s="265" t="str">
        <f>IFERROR(__xludf.DUMMYFUNCTION("""COMPUTED_VALUE"""),"HoaNTM")</f>
        <v>HoaNTM</v>
      </c>
      <c r="F498" s="265" t="str">
        <f>IFERROR(__xludf.DUMMYFUNCTION("""COMPUTED_VALUE"""),"Sale chưa cung cấp")</f>
        <v>Sale chưa cung cấp</v>
      </c>
      <c r="G498" s="265" t="str">
        <f>IFERROR(__xludf.DUMMYFUNCTION("""COMPUTED_VALUE"""),"Starter")</f>
        <v>Starter</v>
      </c>
      <c r="H498" s="265" t="str">
        <f>IFERROR(__xludf.DUMMYFUNCTION("""COMPUTED_VALUE"""),"Trial")</f>
        <v>Trial</v>
      </c>
      <c r="I498" s="265" t="str">
        <f>IFERROR(__xludf.DUMMYFUNCTION("""COMPUTED_VALUE"""),"API &amp; Portal")</f>
        <v>API &amp; Portal</v>
      </c>
      <c r="J498" s="265" t="str">
        <f>IFERROR(__xludf.DUMMYFUNCTION("""COMPUTED_VALUE"""),"(Không recheck)")</f>
        <v>(Không recheck)</v>
      </c>
    </row>
    <row r="499">
      <c r="A499" s="265" t="str">
        <f>IFERROR(__xludf.DUMMYFUNCTION("""COMPUTED_VALUE"""),"764")</f>
        <v>764</v>
      </c>
      <c r="B499" s="265" t="str">
        <f>IFERROR(__xludf.DUMMYFUNCTION("""COMPUTED_VALUE"""),"Sài Gòn")</f>
        <v>Sài Gòn</v>
      </c>
      <c r="C499" s="265" t="str">
        <f>IFERROR(__xludf.DUMMYFUNCTION("""COMPUTED_VALUE"""),"Active")</f>
        <v>Active</v>
      </c>
      <c r="D499" s="265" t="str">
        <f>IFERROR(__xludf.DUMMYFUNCTION("""COMPUTED_VALUE"""),"Sale chưa cung cấp")</f>
        <v>Sale chưa cung cấp</v>
      </c>
      <c r="E499" s="265" t="str">
        <f>IFERROR(__xludf.DUMMYFUNCTION("""COMPUTED_VALUE"""),"Không phân công")</f>
        <v>Không phân công</v>
      </c>
      <c r="F499" s="265" t="str">
        <f>IFERROR(__xludf.DUMMYFUNCTION("""COMPUTED_VALUE"""),"Bronze")</f>
        <v>Bronze</v>
      </c>
      <c r="G499" s="265" t="str">
        <f>IFERROR(__xludf.DUMMYFUNCTION("""COMPUTED_VALUE"""),"Starter")</f>
        <v>Starter</v>
      </c>
      <c r="H499" s="265" t="str">
        <f>IFERROR(__xludf.DUMMYFUNCTION("""COMPUTED_VALUE"""),"Trả sau")</f>
        <v>Trả sau</v>
      </c>
      <c r="I499" s="265" t="str">
        <f>IFERROR(__xludf.DUMMYFUNCTION("""COMPUTED_VALUE"""),"API &amp; Portal")</f>
        <v>API &amp; Portal</v>
      </c>
      <c r="J499" s="265" t="str">
        <f>IFERROR(__xludf.DUMMYFUNCTION("""COMPUTED_VALUE"""),"File Excel")</f>
        <v>File Excel</v>
      </c>
    </row>
    <row r="500">
      <c r="A500" s="265" t="str">
        <f>IFERROR(__xludf.DUMMYFUNCTION("""COMPUTED_VALUE"""),"765")</f>
        <v>765</v>
      </c>
      <c r="B500" s="265" t="str">
        <f>IFERROR(__xludf.DUMMYFUNCTION("""COMPUTED_VALUE"""),"Sài Gòn")</f>
        <v>Sài Gòn</v>
      </c>
      <c r="C500" s="265" t="str">
        <f>IFERROR(__xludf.DUMMYFUNCTION("""COMPUTED_VALUE"""),"Active")</f>
        <v>Active</v>
      </c>
      <c r="D500" s="265" t="str">
        <f>IFERROR(__xludf.DUMMYFUNCTION("""COMPUTED_VALUE"""),"Du lịch &amp; Lưu trú")</f>
        <v>Du lịch &amp; Lưu trú</v>
      </c>
      <c r="E500" s="265" t="str">
        <f>IFERROR(__xludf.DUMMYFUNCTION("""COMPUTED_VALUE"""),"Không phân công")</f>
        <v>Không phân công</v>
      </c>
      <c r="F500" s="265" t="str">
        <f>IFERROR(__xludf.DUMMYFUNCTION("""COMPUTED_VALUE"""),"Bronze")</f>
        <v>Bronze</v>
      </c>
      <c r="G500" s="265" t="str">
        <f>IFERROR(__xludf.DUMMYFUNCTION("""COMPUTED_VALUE"""),"Starter")</f>
        <v>Starter</v>
      </c>
      <c r="H500" s="265" t="str">
        <f>IFERROR(__xludf.DUMMYFUNCTION("""COMPUTED_VALUE"""),"Trả sau")</f>
        <v>Trả sau</v>
      </c>
      <c r="I500" s="265" t="str">
        <f>IFERROR(__xludf.DUMMYFUNCTION("""COMPUTED_VALUE"""),"Portal")</f>
        <v>Portal</v>
      </c>
      <c r="J500" s="265" t="str">
        <f>IFERROR(__xludf.DUMMYFUNCTION("""COMPUTED_VALUE"""),"File Excel")</f>
        <v>File Excel</v>
      </c>
    </row>
    <row r="501">
      <c r="A501" s="265" t="str">
        <f>IFERROR(__xludf.DUMMYFUNCTION("""COMPUTED_VALUE"""),"766")</f>
        <v>766</v>
      </c>
      <c r="B501" s="265" t="str">
        <f>IFERROR(__xludf.DUMMYFUNCTION("""COMPUTED_VALUE"""),"Hà Nội")</f>
        <v>Hà Nội</v>
      </c>
      <c r="C501" s="265" t="str">
        <f>IFERROR(__xludf.DUMMYFUNCTION("""COMPUTED_VALUE"""),"Locked")</f>
        <v>Locked</v>
      </c>
      <c r="D501" s="265" t="str">
        <f>IFERROR(__xludf.DUMMYFUNCTION("""COMPUTED_VALUE"""),"Y tế &amp; Dược phẩm")</f>
        <v>Y tế &amp; Dược phẩm</v>
      </c>
      <c r="E501" s="265" t="str">
        <f>IFERROR(__xludf.DUMMYFUNCTION("""COMPUTED_VALUE"""),"TúPHN")</f>
        <v>TúPHN</v>
      </c>
      <c r="F501" s="265" t="str">
        <f>IFERROR(__xludf.DUMMYFUNCTION("""COMPUTED_VALUE"""),"Silver")</f>
        <v>Silver</v>
      </c>
      <c r="G501" s="265" t="str">
        <f>IFERROR(__xludf.DUMMYFUNCTION("""COMPUTED_VALUE"""),"Standard")</f>
        <v>Standard</v>
      </c>
      <c r="H501" s="265" t="str">
        <f>IFERROR(__xludf.DUMMYFUNCTION("""COMPUTED_VALUE"""),"Trả sau")</f>
        <v>Trả sau</v>
      </c>
      <c r="I501" s="265" t="str">
        <f>IFERROR(__xludf.DUMMYFUNCTION("""COMPUTED_VALUE"""),"API")</f>
        <v>API</v>
      </c>
      <c r="J501" s="265" t="str">
        <f>IFERROR(__xludf.DUMMYFUNCTION("""COMPUTED_VALUE"""),"API")</f>
        <v>API</v>
      </c>
    </row>
    <row r="502">
      <c r="A502" s="265" t="str">
        <f>IFERROR(__xludf.DUMMYFUNCTION("""COMPUTED_VALUE"""),"767")</f>
        <v>767</v>
      </c>
      <c r="B502" s="265" t="str">
        <f>IFERROR(__xludf.DUMMYFUNCTION("""COMPUTED_VALUE"""),"Hà Nội")</f>
        <v>Hà Nội</v>
      </c>
      <c r="C502" s="265" t="str">
        <f>IFERROR(__xludf.DUMMYFUNCTION("""COMPUTED_VALUE"""),"Locked")</f>
        <v>Locked</v>
      </c>
      <c r="D502" s="265" t="str">
        <f>IFERROR(__xludf.DUMMYFUNCTION("""COMPUTED_VALUE"""),"Vận tải &amp; logistics")</f>
        <v>Vận tải &amp; logistics</v>
      </c>
      <c r="E502" s="265" t="str">
        <f>IFERROR(__xludf.DUMMYFUNCTION("""COMPUTED_VALUE"""),"PhươngDTB")</f>
        <v>PhươngDTB</v>
      </c>
      <c r="F502" s="265" t="str">
        <f>IFERROR(__xludf.DUMMYFUNCTION("""COMPUTED_VALUE"""),"Sale chưa cung cấp")</f>
        <v>Sale chưa cung cấp</v>
      </c>
      <c r="G502" s="265" t="str">
        <f>IFERROR(__xludf.DUMMYFUNCTION("""COMPUTED_VALUE"""),"Starter")</f>
        <v>Starter</v>
      </c>
      <c r="H502" s="265" t="str">
        <f>IFERROR(__xludf.DUMMYFUNCTION("""COMPUTED_VALUE"""),"Trả trước")</f>
        <v>Trả trước</v>
      </c>
      <c r="I502" s="265" t="str">
        <f>IFERROR(__xludf.DUMMYFUNCTION("""COMPUTED_VALUE"""),"Portal")</f>
        <v>Portal</v>
      </c>
      <c r="J502" s="265" t="str">
        <f>IFERROR(__xludf.DUMMYFUNCTION("""COMPUTED_VALUE"""),"(Chưa recheck)")</f>
        <v>(Chưa recheck)</v>
      </c>
    </row>
    <row r="503">
      <c r="A503" s="265" t="str">
        <f>IFERROR(__xludf.DUMMYFUNCTION("""COMPUTED_VALUE"""),"769")</f>
        <v>769</v>
      </c>
      <c r="B503" s="265" t="str">
        <f>IFERROR(__xludf.DUMMYFUNCTION("""COMPUTED_VALUE"""),"Hà Nội")</f>
        <v>Hà Nội</v>
      </c>
      <c r="C503" s="265" t="str">
        <f>IFERROR(__xludf.DUMMYFUNCTION("""COMPUTED_VALUE"""),"Locked")</f>
        <v>Locked</v>
      </c>
      <c r="D503" s="265" t="str">
        <f>IFERROR(__xludf.DUMMYFUNCTION("""COMPUTED_VALUE"""),"Công nghệ &amp; Phần mềm")</f>
        <v>Công nghệ &amp; Phần mềm</v>
      </c>
      <c r="E503" s="265" t="str">
        <f>IFERROR(__xludf.DUMMYFUNCTION("""COMPUTED_VALUE"""),"DungDT")</f>
        <v>DungDT</v>
      </c>
      <c r="F503" s="265" t="str">
        <f>IFERROR(__xludf.DUMMYFUNCTION("""COMPUTED_VALUE"""),"Sale chưa cung cấp")</f>
        <v>Sale chưa cung cấp</v>
      </c>
      <c r="G503" s="265" t="str">
        <f>IFERROR(__xludf.DUMMYFUNCTION("""COMPUTED_VALUE"""),"Premium")</f>
        <v>Premium</v>
      </c>
      <c r="H503" s="265" t="str">
        <f>IFERROR(__xludf.DUMMYFUNCTION("""COMPUTED_VALUE"""),"Trial")</f>
        <v>Trial</v>
      </c>
      <c r="I503" s="265" t="str">
        <f>IFERROR(__xludf.DUMMYFUNCTION("""COMPUTED_VALUE"""),"(Không recheck)")</f>
        <v>(Không recheck)</v>
      </c>
      <c r="J503" s="265" t="str">
        <f>IFERROR(__xludf.DUMMYFUNCTION("""COMPUTED_VALUE"""),"(Không recheck)")</f>
        <v>(Không recheck)</v>
      </c>
    </row>
    <row r="504">
      <c r="A504" s="265" t="str">
        <f>IFERROR(__xludf.DUMMYFUNCTION("""COMPUTED_VALUE"""),"770")</f>
        <v>770</v>
      </c>
      <c r="B504" s="265" t="str">
        <f>IFERROR(__xludf.DUMMYFUNCTION("""COMPUTED_VALUE"""),"Sài Gòn")</f>
        <v>Sài Gòn</v>
      </c>
      <c r="C504" s="265" t="str">
        <f>IFERROR(__xludf.DUMMYFUNCTION("""COMPUTED_VALUE"""),"Locked")</f>
        <v>Locked</v>
      </c>
      <c r="D504" s="265" t="str">
        <f>IFERROR(__xludf.DUMMYFUNCTION("""COMPUTED_VALUE"""),"Thực phẩm &amp; Đồ uống")</f>
        <v>Thực phẩm &amp; Đồ uống</v>
      </c>
      <c r="E504" s="265" t="str">
        <f>IFERROR(__xludf.DUMMYFUNCTION("""COMPUTED_VALUE"""),"HoaNTM")</f>
        <v>HoaNTM</v>
      </c>
      <c r="F504" s="265" t="str">
        <f>IFERROR(__xludf.DUMMYFUNCTION("""COMPUTED_VALUE"""),"Diamond")</f>
        <v>Diamond</v>
      </c>
      <c r="G504" s="265" t="str">
        <f>IFERROR(__xludf.DUMMYFUNCTION("""COMPUTED_VALUE"""),"Starter")</f>
        <v>Starter</v>
      </c>
      <c r="H504" s="265" t="str">
        <f>IFERROR(__xludf.DUMMYFUNCTION("""COMPUTED_VALUE"""),"Trả sau")</f>
        <v>Trả sau</v>
      </c>
      <c r="I504" s="265" t="str">
        <f>IFERROR(__xludf.DUMMYFUNCTION("""COMPUTED_VALUE"""),"API &amp; Portal")</f>
        <v>API &amp; Portal</v>
      </c>
      <c r="J504" s="265" t="str">
        <f>IFERROR(__xludf.DUMMYFUNCTION("""COMPUTED_VALUE"""),"API")</f>
        <v>API</v>
      </c>
    </row>
    <row r="505">
      <c r="A505" s="265" t="str">
        <f>IFERROR(__xludf.DUMMYFUNCTION("""COMPUTED_VALUE"""),"771")</f>
        <v>771</v>
      </c>
      <c r="B505" s="265" t="str">
        <f>IFERROR(__xludf.DUMMYFUNCTION("""COMPUTED_VALUE"""),"Sài Gòn")</f>
        <v>Sài Gòn</v>
      </c>
      <c r="C505" s="265" t="str">
        <f>IFERROR(__xludf.DUMMYFUNCTION("""COMPUTED_VALUE"""),"Locked")</f>
        <v>Locked</v>
      </c>
      <c r="D505" s="265" t="str">
        <f>IFERROR(__xludf.DUMMYFUNCTION("""COMPUTED_VALUE"""),"Thực phẩm &amp; Đồ uống")</f>
        <v>Thực phẩm &amp; Đồ uống</v>
      </c>
      <c r="E505" s="265" t="str">
        <f>IFERROR(__xludf.DUMMYFUNCTION("""COMPUTED_VALUE"""),"TùngLD")</f>
        <v>TùngLD</v>
      </c>
      <c r="F505" s="265" t="str">
        <f>IFERROR(__xludf.DUMMYFUNCTION("""COMPUTED_VALUE"""),"Gold")</f>
        <v>Gold</v>
      </c>
      <c r="G505" s="265" t="str">
        <f>IFERROR(__xludf.DUMMYFUNCTION("""COMPUTED_VALUE"""),"Premium")</f>
        <v>Premium</v>
      </c>
      <c r="H505" s="265" t="str">
        <f>IFERROR(__xludf.DUMMYFUNCTION("""COMPUTED_VALUE"""),"Trả trước")</f>
        <v>Trả trước</v>
      </c>
      <c r="I505" s="265" t="str">
        <f>IFERROR(__xludf.DUMMYFUNCTION("""COMPUTED_VALUE"""),"API &amp; Portal")</f>
        <v>API &amp; Portal</v>
      </c>
      <c r="J505" s="265" t="str">
        <f>IFERROR(__xludf.DUMMYFUNCTION("""COMPUTED_VALUE"""),"File Excel")</f>
        <v>File Excel</v>
      </c>
    </row>
    <row r="506">
      <c r="A506" s="265" t="str">
        <f>IFERROR(__xludf.DUMMYFUNCTION("""COMPUTED_VALUE"""),"771")</f>
        <v>771</v>
      </c>
      <c r="B506" s="265" t="str">
        <f>IFERROR(__xludf.DUMMYFUNCTION("""COMPUTED_VALUE"""),"Sài Gòn")</f>
        <v>Sài Gòn</v>
      </c>
      <c r="C506" s="265" t="str">
        <f>IFERROR(__xludf.DUMMYFUNCTION("""COMPUTED_VALUE"""),"Locked")</f>
        <v>Locked</v>
      </c>
      <c r="D506" s="265" t="str">
        <f>IFERROR(__xludf.DUMMYFUNCTION("""COMPUTED_VALUE"""),"Thực phẩm &amp; Đồ uống")</f>
        <v>Thực phẩm &amp; Đồ uống</v>
      </c>
      <c r="E506" s="265" t="str">
        <f>IFERROR(__xludf.DUMMYFUNCTION("""COMPUTED_VALUE"""),"TùngLD")</f>
        <v>TùngLD</v>
      </c>
      <c r="F506" s="265" t="str">
        <f>IFERROR(__xludf.DUMMYFUNCTION("""COMPUTED_VALUE"""),"Gold")</f>
        <v>Gold</v>
      </c>
      <c r="G506" s="265" t="str">
        <f>IFERROR(__xludf.DUMMYFUNCTION("""COMPUTED_VALUE"""),"Premium")</f>
        <v>Premium</v>
      </c>
      <c r="H506" s="265" t="str">
        <f>IFERROR(__xludf.DUMMYFUNCTION("""COMPUTED_VALUE"""),"Trả trước")</f>
        <v>Trả trước</v>
      </c>
      <c r="I506" s="265" t="str">
        <f>IFERROR(__xludf.DUMMYFUNCTION("""COMPUTED_VALUE"""),"API &amp; Portal")</f>
        <v>API &amp; Portal</v>
      </c>
      <c r="J506" s="265" t="str">
        <f>IFERROR(__xludf.DUMMYFUNCTION("""COMPUTED_VALUE"""),"API")</f>
        <v>API</v>
      </c>
    </row>
    <row r="507">
      <c r="A507" s="265" t="str">
        <f>IFERROR(__xludf.DUMMYFUNCTION("""COMPUTED_VALUE"""),"772")</f>
        <v>772</v>
      </c>
      <c r="B507" s="265" t="str">
        <f>IFERROR(__xludf.DUMMYFUNCTION("""COMPUTED_VALUE"""),"Sài Gòn")</f>
        <v>Sài Gòn</v>
      </c>
      <c r="C507" s="265" t="str">
        <f>IFERROR(__xludf.DUMMYFUNCTION("""COMPUTED_VALUE"""),"Locked")</f>
        <v>Locked</v>
      </c>
      <c r="D507" s="265" t="str">
        <f>IFERROR(__xludf.DUMMYFUNCTION("""COMPUTED_VALUE"""),"Sale chưa cung cấp")</f>
        <v>Sale chưa cung cấp</v>
      </c>
      <c r="E507" s="265" t="str">
        <f>IFERROR(__xludf.DUMMYFUNCTION("""COMPUTED_VALUE"""),"HoaNTM")</f>
        <v>HoaNTM</v>
      </c>
      <c r="F507" s="265" t="str">
        <f>IFERROR(__xludf.DUMMYFUNCTION("""COMPUTED_VALUE"""),"Sale chưa cung cấp")</f>
        <v>Sale chưa cung cấp</v>
      </c>
      <c r="G507" s="265" t="str">
        <f>IFERROR(__xludf.DUMMYFUNCTION("""COMPUTED_VALUE"""),"Premium")</f>
        <v>Premium</v>
      </c>
      <c r="H507" s="265" t="str">
        <f>IFERROR(__xludf.DUMMYFUNCTION("""COMPUTED_VALUE"""),"Trial")</f>
        <v>Trial</v>
      </c>
      <c r="I507" s="265" t="str">
        <f>IFERROR(__xludf.DUMMYFUNCTION("""COMPUTED_VALUE"""),"API &amp; Portal")</f>
        <v>API &amp; Portal</v>
      </c>
      <c r="J507" s="265" t="str">
        <f>IFERROR(__xludf.DUMMYFUNCTION("""COMPUTED_VALUE"""),"File Excel")</f>
        <v>File Excel</v>
      </c>
    </row>
    <row r="508">
      <c r="A508" s="265" t="str">
        <f>IFERROR(__xludf.DUMMYFUNCTION("""COMPUTED_VALUE"""),"772")</f>
        <v>772</v>
      </c>
      <c r="B508" s="265" t="str">
        <f>IFERROR(__xludf.DUMMYFUNCTION("""COMPUTED_VALUE"""),"Sài Gòn")</f>
        <v>Sài Gòn</v>
      </c>
      <c r="C508" s="265" t="str">
        <f>IFERROR(__xludf.DUMMYFUNCTION("""COMPUTED_VALUE"""),"Locked")</f>
        <v>Locked</v>
      </c>
      <c r="D508" s="265" t="str">
        <f>IFERROR(__xludf.DUMMYFUNCTION("""COMPUTED_VALUE"""),"Sale chưa cung cấp")</f>
        <v>Sale chưa cung cấp</v>
      </c>
      <c r="E508" s="265" t="str">
        <f>IFERROR(__xludf.DUMMYFUNCTION("""COMPUTED_VALUE"""),"HoaNTM")</f>
        <v>HoaNTM</v>
      </c>
      <c r="F508" s="265" t="str">
        <f>IFERROR(__xludf.DUMMYFUNCTION("""COMPUTED_VALUE"""),"Sale chưa cung cấp")</f>
        <v>Sale chưa cung cấp</v>
      </c>
      <c r="G508" s="265" t="str">
        <f>IFERROR(__xludf.DUMMYFUNCTION("""COMPUTED_VALUE"""),"Premium")</f>
        <v>Premium</v>
      </c>
      <c r="H508" s="265" t="str">
        <f>IFERROR(__xludf.DUMMYFUNCTION("""COMPUTED_VALUE"""),"Trial")</f>
        <v>Trial</v>
      </c>
      <c r="I508" s="265" t="str">
        <f>IFERROR(__xludf.DUMMYFUNCTION("""COMPUTED_VALUE"""),"API &amp; Portal")</f>
        <v>API &amp; Portal</v>
      </c>
      <c r="J508" s="265" t="str">
        <f>IFERROR(__xludf.DUMMYFUNCTION("""COMPUTED_VALUE"""),"API")</f>
        <v>API</v>
      </c>
    </row>
    <row r="509">
      <c r="A509" s="265" t="str">
        <f>IFERROR(__xludf.DUMMYFUNCTION("""COMPUTED_VALUE"""),"773")</f>
        <v>773</v>
      </c>
      <c r="B509" s="265" t="str">
        <f>IFERROR(__xludf.DUMMYFUNCTION("""COMPUTED_VALUE"""),"Sài Gòn")</f>
        <v>Sài Gòn</v>
      </c>
      <c r="C509" s="265" t="str">
        <f>IFERROR(__xludf.DUMMYFUNCTION("""COMPUTED_VALUE"""),"Locked")</f>
        <v>Locked</v>
      </c>
      <c r="D509" s="265" t="str">
        <f>IFERROR(__xludf.DUMMYFUNCTION("""COMPUTED_VALUE"""),"Thực phẩm &amp; Đồ uống")</f>
        <v>Thực phẩm &amp; Đồ uống</v>
      </c>
      <c r="E509" s="265" t="str">
        <f>IFERROR(__xludf.DUMMYFUNCTION("""COMPUTED_VALUE"""),"Không phân công")</f>
        <v>Không phân công</v>
      </c>
      <c r="F509" s="265" t="str">
        <f>IFERROR(__xludf.DUMMYFUNCTION("""COMPUTED_VALUE"""),"Sale chưa cung cấp")</f>
        <v>Sale chưa cung cấp</v>
      </c>
      <c r="G509" s="265" t="str">
        <f>IFERROR(__xludf.DUMMYFUNCTION("""COMPUTED_VALUE"""),"Starter")</f>
        <v>Starter</v>
      </c>
      <c r="H509" s="265" t="str">
        <f>IFERROR(__xludf.DUMMYFUNCTION("""COMPUTED_VALUE"""),"Trả sau")</f>
        <v>Trả sau</v>
      </c>
      <c r="I509" s="265" t="str">
        <f>IFERROR(__xludf.DUMMYFUNCTION("""COMPUTED_VALUE"""),"Portal")</f>
        <v>Portal</v>
      </c>
      <c r="J509" s="265" t="str">
        <f>IFERROR(__xludf.DUMMYFUNCTION("""COMPUTED_VALUE"""),"File Excel")</f>
        <v>File Excel</v>
      </c>
    </row>
    <row r="510">
      <c r="A510" s="265" t="str">
        <f>IFERROR(__xludf.DUMMYFUNCTION("""COMPUTED_VALUE"""),"774")</f>
        <v>774</v>
      </c>
      <c r="B510" s="265" t="str">
        <f>IFERROR(__xludf.DUMMYFUNCTION("""COMPUTED_VALUE"""),"Hà Nội")</f>
        <v>Hà Nội</v>
      </c>
      <c r="C510" s="265" t="str">
        <f>IFERROR(__xludf.DUMMYFUNCTION("""COMPUTED_VALUE"""),"Active")</f>
        <v>Active</v>
      </c>
      <c r="D510" s="265" t="str">
        <f>IFERROR(__xludf.DUMMYFUNCTION("""COMPUTED_VALUE"""),"Công nghệ &amp; Phần mềm")</f>
        <v>Công nghệ &amp; Phần mềm</v>
      </c>
      <c r="E510" s="265" t="str">
        <f>IFERROR(__xludf.DUMMYFUNCTION("""COMPUTED_VALUE"""),"AnhNM")</f>
        <v>AnhNM</v>
      </c>
      <c r="F510" s="265" t="str">
        <f>IFERROR(__xludf.DUMMYFUNCTION("""COMPUTED_VALUE"""),"Bronze")</f>
        <v>Bronze</v>
      </c>
      <c r="G510" s="265" t="str">
        <f>IFERROR(__xludf.DUMMYFUNCTION("""COMPUTED_VALUE"""),"Starter")</f>
        <v>Starter</v>
      </c>
      <c r="H510" s="265" t="str">
        <f>IFERROR(__xludf.DUMMYFUNCTION("""COMPUTED_VALUE"""),"Trả sau")</f>
        <v>Trả sau</v>
      </c>
      <c r="I510" s="265" t="str">
        <f>IFERROR(__xludf.DUMMYFUNCTION("""COMPUTED_VALUE"""),"Portal")</f>
        <v>Portal</v>
      </c>
      <c r="J510" s="265" t="str">
        <f>IFERROR(__xludf.DUMMYFUNCTION("""COMPUTED_VALUE"""),"File Excel")</f>
        <v>File Excel</v>
      </c>
    </row>
    <row r="511">
      <c r="A511" s="265" t="str">
        <f>IFERROR(__xludf.DUMMYFUNCTION("""COMPUTED_VALUE"""),"775")</f>
        <v>775</v>
      </c>
      <c r="B511" s="265" t="str">
        <f>IFERROR(__xludf.DUMMYFUNCTION("""COMPUTED_VALUE"""),"Sài Gòn")</f>
        <v>Sài Gòn</v>
      </c>
      <c r="C511" s="265" t="str">
        <f>IFERROR(__xludf.DUMMYFUNCTION("""COMPUTED_VALUE"""),"Active")</f>
        <v>Active</v>
      </c>
      <c r="D511" s="265" t="str">
        <f>IFERROR(__xludf.DUMMYFUNCTION("""COMPUTED_VALUE"""),"Du lịch &amp; Lưu trú")</f>
        <v>Du lịch &amp; Lưu trú</v>
      </c>
      <c r="E511" s="265" t="str">
        <f>IFERROR(__xludf.DUMMYFUNCTION("""COMPUTED_VALUE"""),"Không phân công")</f>
        <v>Không phân công</v>
      </c>
      <c r="F511" s="265" t="str">
        <f>IFERROR(__xludf.DUMMYFUNCTION("""COMPUTED_VALUE"""),"Bronze")</f>
        <v>Bronze</v>
      </c>
      <c r="G511" s="265" t="str">
        <f>IFERROR(__xludf.DUMMYFUNCTION("""COMPUTED_VALUE"""),"Starter")</f>
        <v>Starter</v>
      </c>
      <c r="H511" s="265" t="str">
        <f>IFERROR(__xludf.DUMMYFUNCTION("""COMPUTED_VALUE"""),"Trả sau")</f>
        <v>Trả sau</v>
      </c>
      <c r="I511" s="265" t="str">
        <f>IFERROR(__xludf.DUMMYFUNCTION("""COMPUTED_VALUE"""),"Portal")</f>
        <v>Portal</v>
      </c>
      <c r="J511" s="265" t="str">
        <f>IFERROR(__xludf.DUMMYFUNCTION("""COMPUTED_VALUE"""),"File Excel")</f>
        <v>File Excel</v>
      </c>
    </row>
    <row r="512">
      <c r="A512" s="265" t="str">
        <f>IFERROR(__xludf.DUMMYFUNCTION("""COMPUTED_VALUE"""),"776")</f>
        <v>776</v>
      </c>
      <c r="B512" s="265" t="str">
        <f>IFERROR(__xludf.DUMMYFUNCTION("""COMPUTED_VALUE"""),"Sài Gòn")</f>
        <v>Sài Gòn</v>
      </c>
      <c r="C512" s="265" t="str">
        <f>IFERROR(__xludf.DUMMYFUNCTION("""COMPUTED_VALUE"""),"Active")</f>
        <v>Active</v>
      </c>
      <c r="D512" s="265" t="str">
        <f>IFERROR(__xludf.DUMMYFUNCTION("""COMPUTED_VALUE"""),"Du lịch &amp; Lưu trú")</f>
        <v>Du lịch &amp; Lưu trú</v>
      </c>
      <c r="E512" s="265" t="str">
        <f>IFERROR(__xludf.DUMMYFUNCTION("""COMPUTED_VALUE"""),"Không phân công")</f>
        <v>Không phân công</v>
      </c>
      <c r="F512" s="265" t="str">
        <f>IFERROR(__xludf.DUMMYFUNCTION("""COMPUTED_VALUE"""),"Bronze")</f>
        <v>Bronze</v>
      </c>
      <c r="G512" s="265" t="str">
        <f>IFERROR(__xludf.DUMMYFUNCTION("""COMPUTED_VALUE"""),"Starter")</f>
        <v>Starter</v>
      </c>
      <c r="H512" s="265" t="str">
        <f>IFERROR(__xludf.DUMMYFUNCTION("""COMPUTED_VALUE"""),"Trả sau")</f>
        <v>Trả sau</v>
      </c>
      <c r="I512" s="265" t="str">
        <f>IFERROR(__xludf.DUMMYFUNCTION("""COMPUTED_VALUE"""),"Portal")</f>
        <v>Portal</v>
      </c>
      <c r="J512" s="265" t="str">
        <f>IFERROR(__xludf.DUMMYFUNCTION("""COMPUTED_VALUE"""),"File Excel")</f>
        <v>File Excel</v>
      </c>
    </row>
    <row r="513">
      <c r="A513" s="265" t="str">
        <f>IFERROR(__xludf.DUMMYFUNCTION("""COMPUTED_VALUE"""),"777")</f>
        <v>777</v>
      </c>
      <c r="B513" s="265" t="str">
        <f>IFERROR(__xludf.DUMMYFUNCTION("""COMPUTED_VALUE"""),"Hà Nội")</f>
        <v>Hà Nội</v>
      </c>
      <c r="C513" s="265" t="str">
        <f>IFERROR(__xludf.DUMMYFUNCTION("""COMPUTED_VALUE"""),"Locked")</f>
        <v>Locked</v>
      </c>
      <c r="D513" s="265" t="str">
        <f>IFERROR(__xludf.DUMMYFUNCTION("""COMPUTED_VALUE"""),"Dịch vụ khác")</f>
        <v>Dịch vụ khác</v>
      </c>
      <c r="E513" s="265" t="str">
        <f>IFERROR(__xludf.DUMMYFUNCTION("""COMPUTED_VALUE"""),"PhươngDTB")</f>
        <v>PhươngDTB</v>
      </c>
      <c r="F513" s="265" t="str">
        <f>IFERROR(__xludf.DUMMYFUNCTION("""COMPUTED_VALUE"""),"Sale chưa cung cấp")</f>
        <v>Sale chưa cung cấp</v>
      </c>
      <c r="G513" s="265" t="str">
        <f>IFERROR(__xludf.DUMMYFUNCTION("""COMPUTED_VALUE"""),"API")</f>
        <v>API</v>
      </c>
      <c r="H513" s="265" t="str">
        <f>IFERROR(__xludf.DUMMYFUNCTION("""COMPUTED_VALUE"""),"Trial")</f>
        <v>Trial</v>
      </c>
      <c r="I513" s="265" t="str">
        <f>IFERROR(__xludf.DUMMYFUNCTION("""COMPUTED_VALUE"""),"API")</f>
        <v>API</v>
      </c>
      <c r="J513" s="265" t="str">
        <f>IFERROR(__xludf.DUMMYFUNCTION("""COMPUTED_VALUE"""),"(Không recheck)")</f>
        <v>(Không recheck)</v>
      </c>
    </row>
    <row r="514">
      <c r="A514" s="265" t="str">
        <f>IFERROR(__xludf.DUMMYFUNCTION("""COMPUTED_VALUE"""),"778")</f>
        <v>778</v>
      </c>
      <c r="B514" s="265" t="str">
        <f>IFERROR(__xludf.DUMMYFUNCTION("""COMPUTED_VALUE"""),"Hà Nội")</f>
        <v>Hà Nội</v>
      </c>
      <c r="C514" s="265" t="str">
        <f>IFERROR(__xludf.DUMMYFUNCTION("""COMPUTED_VALUE"""),"Locked")</f>
        <v>Locked</v>
      </c>
      <c r="D514" s="265" t="str">
        <f>IFERROR(__xludf.DUMMYFUNCTION("""COMPUTED_VALUE"""),"Y tế &amp; Dược phẩm")</f>
        <v>Y tế &amp; Dược phẩm</v>
      </c>
      <c r="E514" s="265" t="str">
        <f>IFERROR(__xludf.DUMMYFUNCTION("""COMPUTED_VALUE"""),"TúPHN")</f>
        <v>TúPHN</v>
      </c>
      <c r="F514" s="265" t="str">
        <f>IFERROR(__xludf.DUMMYFUNCTION("""COMPUTED_VALUE"""),"Bronze")</f>
        <v>Bronze</v>
      </c>
      <c r="G514" s="265" t="str">
        <f>IFERROR(__xludf.DUMMYFUNCTION("""COMPUTED_VALUE"""),"Starter")</f>
        <v>Starter</v>
      </c>
      <c r="H514" s="265" t="str">
        <f>IFERROR(__xludf.DUMMYFUNCTION("""COMPUTED_VALUE"""),"Trả trước")</f>
        <v>Trả trước</v>
      </c>
      <c r="I514" s="265" t="str">
        <f>IFERROR(__xludf.DUMMYFUNCTION("""COMPUTED_VALUE"""),"API &amp; Portal")</f>
        <v>API &amp; Portal</v>
      </c>
      <c r="J514" s="265" t="str">
        <f>IFERROR(__xludf.DUMMYFUNCTION("""COMPUTED_VALUE"""),"File Excel")</f>
        <v>File Excel</v>
      </c>
    </row>
    <row r="515">
      <c r="A515" s="265" t="str">
        <f>IFERROR(__xludf.DUMMYFUNCTION("""COMPUTED_VALUE"""),"778")</f>
        <v>778</v>
      </c>
      <c r="B515" s="265" t="str">
        <f>IFERROR(__xludf.DUMMYFUNCTION("""COMPUTED_VALUE"""),"Hà Nội")</f>
        <v>Hà Nội</v>
      </c>
      <c r="C515" s="265" t="str">
        <f>IFERROR(__xludf.DUMMYFUNCTION("""COMPUTED_VALUE"""),"Locked")</f>
        <v>Locked</v>
      </c>
      <c r="D515" s="265" t="str">
        <f>IFERROR(__xludf.DUMMYFUNCTION("""COMPUTED_VALUE"""),"Y tế &amp; Dược phẩm")</f>
        <v>Y tế &amp; Dược phẩm</v>
      </c>
      <c r="E515" s="265" t="str">
        <f>IFERROR(__xludf.DUMMYFUNCTION("""COMPUTED_VALUE"""),"TúPHN")</f>
        <v>TúPHN</v>
      </c>
      <c r="F515" s="265" t="str">
        <f>IFERROR(__xludf.DUMMYFUNCTION("""COMPUTED_VALUE"""),"Bronze")</f>
        <v>Bronze</v>
      </c>
      <c r="G515" s="265" t="str">
        <f>IFERROR(__xludf.DUMMYFUNCTION("""COMPUTED_VALUE"""),"Starter")</f>
        <v>Starter</v>
      </c>
      <c r="H515" s="265" t="str">
        <f>IFERROR(__xludf.DUMMYFUNCTION("""COMPUTED_VALUE"""),"Trả trước")</f>
        <v>Trả trước</v>
      </c>
      <c r="I515" s="265" t="str">
        <f>IFERROR(__xludf.DUMMYFUNCTION("""COMPUTED_VALUE"""),"API &amp; Portal")</f>
        <v>API &amp; Portal</v>
      </c>
      <c r="J515" s="265" t="str">
        <f>IFERROR(__xludf.DUMMYFUNCTION("""COMPUTED_VALUE"""),"API")</f>
        <v>API</v>
      </c>
    </row>
    <row r="516">
      <c r="A516" s="265" t="str">
        <f>IFERROR(__xludf.DUMMYFUNCTION("""COMPUTED_VALUE"""),"781")</f>
        <v>781</v>
      </c>
      <c r="B516" s="265" t="str">
        <f>IFERROR(__xludf.DUMMYFUNCTION("""COMPUTED_VALUE"""),"Sài Gòn")</f>
        <v>Sài Gòn</v>
      </c>
      <c r="C516" s="265" t="str">
        <f>IFERROR(__xludf.DUMMYFUNCTION("""COMPUTED_VALUE"""),"Active")</f>
        <v>Active</v>
      </c>
      <c r="D516" s="265" t="str">
        <f>IFERROR(__xludf.DUMMYFUNCTION("""COMPUTED_VALUE"""),"Giáo dục &amp; Đào tạo")</f>
        <v>Giáo dục &amp; Đào tạo</v>
      </c>
      <c r="E516" s="265" t="str">
        <f>IFERROR(__xludf.DUMMYFUNCTION("""COMPUTED_VALUE"""),"TúPHN")</f>
        <v>TúPHN</v>
      </c>
      <c r="F516" s="265" t="str">
        <f>IFERROR(__xludf.DUMMYFUNCTION("""COMPUTED_VALUE"""),"Silver")</f>
        <v>Silver</v>
      </c>
      <c r="G516" s="265" t="str">
        <f>IFERROR(__xludf.DUMMYFUNCTION("""COMPUTED_VALUE"""),"Starter")</f>
        <v>Starter</v>
      </c>
      <c r="H516" s="265" t="str">
        <f>IFERROR(__xludf.DUMMYFUNCTION("""COMPUTED_VALUE"""),"Trả sau")</f>
        <v>Trả sau</v>
      </c>
      <c r="I516" s="265" t="str">
        <f>IFERROR(__xludf.DUMMYFUNCTION("""COMPUTED_VALUE"""),"API")</f>
        <v>API</v>
      </c>
      <c r="J516" s="265" t="str">
        <f>IFERROR(__xludf.DUMMYFUNCTION("""COMPUTED_VALUE"""),"Bizfly CRM")</f>
        <v>Bizfly CRM</v>
      </c>
    </row>
    <row r="517">
      <c r="A517" s="265" t="str">
        <f>IFERROR(__xludf.DUMMYFUNCTION("""COMPUTED_VALUE"""),"678")</f>
        <v>678</v>
      </c>
      <c r="B517" s="265" t="str">
        <f>IFERROR(__xludf.DUMMYFUNCTION("""COMPUTED_VALUE"""),"Hà Nội")</f>
        <v>Hà Nội</v>
      </c>
      <c r="C517" s="265" t="str">
        <f>IFERROR(__xludf.DUMMYFUNCTION("""COMPUTED_VALUE"""),"Locked")</f>
        <v>Locked</v>
      </c>
      <c r="D517" s="265" t="str">
        <f>IFERROR(__xludf.DUMMYFUNCTION("""COMPUTED_VALUE"""),"Giáo dục &amp; Đào tạo")</f>
        <v>Giáo dục &amp; Đào tạo</v>
      </c>
      <c r="E517" s="265" t="str">
        <f>IFERROR(__xludf.DUMMYFUNCTION("""COMPUTED_VALUE"""),"TúPHN")</f>
        <v>TúPHN</v>
      </c>
      <c r="F517" s="265" t="str">
        <f>IFERROR(__xludf.DUMMYFUNCTION("""COMPUTED_VALUE"""),"Bronze")</f>
        <v>Bronze</v>
      </c>
      <c r="G517" s="265" t="str">
        <f>IFERROR(__xludf.DUMMYFUNCTION("""COMPUTED_VALUE"""),"Starter")</f>
        <v>Starter</v>
      </c>
      <c r="H517" s="265" t="str">
        <f>IFERROR(__xludf.DUMMYFUNCTION("""COMPUTED_VALUE"""),"Trả trước")</f>
        <v>Trả trước</v>
      </c>
      <c r="I517" s="265" t="str">
        <f>IFERROR(__xludf.DUMMYFUNCTION("""COMPUTED_VALUE"""),"Portal")</f>
        <v>Portal</v>
      </c>
      <c r="J517" s="265" t="str">
        <f>IFERROR(__xludf.DUMMYFUNCTION("""COMPUTED_VALUE"""),"File Excel")</f>
        <v>File Excel</v>
      </c>
    </row>
    <row r="518">
      <c r="A518" s="265" t="str">
        <f>IFERROR(__xludf.DUMMYFUNCTION("""COMPUTED_VALUE"""),"782")</f>
        <v>782</v>
      </c>
      <c r="B518" s="265" t="str">
        <f>IFERROR(__xludf.DUMMYFUNCTION("""COMPUTED_VALUE"""),"Sài Gòn")</f>
        <v>Sài Gòn</v>
      </c>
      <c r="C518" s="265" t="str">
        <f>IFERROR(__xludf.DUMMYFUNCTION("""COMPUTED_VALUE"""),"Locked")</f>
        <v>Locked</v>
      </c>
      <c r="D518" s="265" t="str">
        <f>IFERROR(__xludf.DUMMYFUNCTION("""COMPUTED_VALUE"""),"Dịch vụ khác")</f>
        <v>Dịch vụ khác</v>
      </c>
      <c r="E518" s="265" t="str">
        <f>IFERROR(__xludf.DUMMYFUNCTION("""COMPUTED_VALUE"""),"HoaNTM")</f>
        <v>HoaNTM</v>
      </c>
      <c r="F518" s="265" t="str">
        <f>IFERROR(__xludf.DUMMYFUNCTION("""COMPUTED_VALUE"""),"Sale chưa cung cấp")</f>
        <v>Sale chưa cung cấp</v>
      </c>
      <c r="G518" s="265" t="str">
        <f>IFERROR(__xludf.DUMMYFUNCTION("""COMPUTED_VALUE"""),"Enterprise")</f>
        <v>Enterprise</v>
      </c>
      <c r="H518" s="265" t="str">
        <f>IFERROR(__xludf.DUMMYFUNCTION("""COMPUTED_VALUE"""),"Trial")</f>
        <v>Trial</v>
      </c>
      <c r="I518" s="265" t="str">
        <f>IFERROR(__xludf.DUMMYFUNCTION("""COMPUTED_VALUE"""),"API &amp; Portal")</f>
        <v>API &amp; Portal</v>
      </c>
      <c r="J518" s="265" t="str">
        <f>IFERROR(__xludf.DUMMYFUNCTION("""COMPUTED_VALUE"""),"File Excel")</f>
        <v>File Excel</v>
      </c>
    </row>
    <row r="519">
      <c r="A519" s="265" t="str">
        <f>IFERROR(__xludf.DUMMYFUNCTION("""COMPUTED_VALUE"""),"782")</f>
        <v>782</v>
      </c>
      <c r="B519" s="265" t="str">
        <f>IFERROR(__xludf.DUMMYFUNCTION("""COMPUTED_VALUE"""),"Sài Gòn")</f>
        <v>Sài Gòn</v>
      </c>
      <c r="C519" s="265" t="str">
        <f>IFERROR(__xludf.DUMMYFUNCTION("""COMPUTED_VALUE"""),"Locked")</f>
        <v>Locked</v>
      </c>
      <c r="D519" s="265" t="str">
        <f>IFERROR(__xludf.DUMMYFUNCTION("""COMPUTED_VALUE"""),"Dịch vụ khác")</f>
        <v>Dịch vụ khác</v>
      </c>
      <c r="E519" s="265" t="str">
        <f>IFERROR(__xludf.DUMMYFUNCTION("""COMPUTED_VALUE"""),"HoaNTM")</f>
        <v>HoaNTM</v>
      </c>
      <c r="F519" s="265" t="str">
        <f>IFERROR(__xludf.DUMMYFUNCTION("""COMPUTED_VALUE"""),"Sale chưa cung cấp")</f>
        <v>Sale chưa cung cấp</v>
      </c>
      <c r="G519" s="265" t="str">
        <f>IFERROR(__xludf.DUMMYFUNCTION("""COMPUTED_VALUE"""),"Enterprise")</f>
        <v>Enterprise</v>
      </c>
      <c r="H519" s="265" t="str">
        <f>IFERROR(__xludf.DUMMYFUNCTION("""COMPUTED_VALUE"""),"Trial")</f>
        <v>Trial</v>
      </c>
      <c r="I519" s="265" t="str">
        <f>IFERROR(__xludf.DUMMYFUNCTION("""COMPUTED_VALUE"""),"API &amp; Portal")</f>
        <v>API &amp; Portal</v>
      </c>
      <c r="J519" s="265" t="str">
        <f>IFERROR(__xludf.DUMMYFUNCTION("""COMPUTED_VALUE"""),"API")</f>
        <v>API</v>
      </c>
    </row>
    <row r="520">
      <c r="A520" s="265" t="str">
        <f>IFERROR(__xludf.DUMMYFUNCTION("""COMPUTED_VALUE"""),"783")</f>
        <v>783</v>
      </c>
      <c r="B520" s="265" t="str">
        <f>IFERROR(__xludf.DUMMYFUNCTION("""COMPUTED_VALUE"""),"Hà Nội")</f>
        <v>Hà Nội</v>
      </c>
      <c r="C520" s="265" t="str">
        <f>IFERROR(__xludf.DUMMYFUNCTION("""COMPUTED_VALUE"""),"Locked")</f>
        <v>Locked</v>
      </c>
      <c r="D520" s="265" t="str">
        <f>IFERROR(__xludf.DUMMYFUNCTION("""COMPUTED_VALUE"""),"Sale chưa cung cấp")</f>
        <v>Sale chưa cung cấp</v>
      </c>
      <c r="E520" s="265" t="str">
        <f>IFERROR(__xludf.DUMMYFUNCTION("""COMPUTED_VALUE"""),"PhươngDTB")</f>
        <v>PhươngDTB</v>
      </c>
      <c r="F520" s="265" t="str">
        <f>IFERROR(__xludf.DUMMYFUNCTION("""COMPUTED_VALUE"""),"Sale chưa cung cấp")</f>
        <v>Sale chưa cung cấp</v>
      </c>
      <c r="G520" s="265" t="str">
        <f>IFERROR(__xludf.DUMMYFUNCTION("""COMPUTED_VALUE"""),"API")</f>
        <v>API</v>
      </c>
      <c r="H520" s="265" t="str">
        <f>IFERROR(__xludf.DUMMYFUNCTION("""COMPUTED_VALUE"""),"Trial")</f>
        <v>Trial</v>
      </c>
      <c r="I520" s="265" t="str">
        <f>IFERROR(__xludf.DUMMYFUNCTION("""COMPUTED_VALUE"""),"API")</f>
        <v>API</v>
      </c>
      <c r="J520" s="265" t="str">
        <f>IFERROR(__xludf.DUMMYFUNCTION("""COMPUTED_VALUE"""),"(Không recheck)")</f>
        <v>(Không recheck)</v>
      </c>
    </row>
    <row r="521">
      <c r="A521" s="265" t="str">
        <f>IFERROR(__xludf.DUMMYFUNCTION("""COMPUTED_VALUE"""),"784")</f>
        <v>784</v>
      </c>
      <c r="B521" s="265" t="str">
        <f>IFERROR(__xludf.DUMMYFUNCTION("""COMPUTED_VALUE"""),"Sài Gòn")</f>
        <v>Sài Gòn</v>
      </c>
      <c r="C521" s="265" t="str">
        <f>IFERROR(__xludf.DUMMYFUNCTION("""COMPUTED_VALUE"""),"Active")</f>
        <v>Active</v>
      </c>
      <c r="D521" s="265" t="str">
        <f>IFERROR(__xludf.DUMMYFUNCTION("""COMPUTED_VALUE"""),"Dịch vụ khác")</f>
        <v>Dịch vụ khác</v>
      </c>
      <c r="E521" s="265" t="str">
        <f>IFERROR(__xludf.DUMMYFUNCTION("""COMPUTED_VALUE"""),"AnhNM")</f>
        <v>AnhNM</v>
      </c>
      <c r="F521" s="265" t="str">
        <f>IFERROR(__xludf.DUMMYFUNCTION("""COMPUTED_VALUE"""),"Silver")</f>
        <v>Silver</v>
      </c>
      <c r="G521" s="265" t="str">
        <f>IFERROR(__xludf.DUMMYFUNCTION("""COMPUTED_VALUE"""),"Starter")</f>
        <v>Starter</v>
      </c>
      <c r="H521" s="265" t="str">
        <f>IFERROR(__xludf.DUMMYFUNCTION("""COMPUTED_VALUE"""),"Trả sau")</f>
        <v>Trả sau</v>
      </c>
      <c r="I521" s="265" t="str">
        <f>IFERROR(__xludf.DUMMYFUNCTION("""COMPUTED_VALUE"""),"API")</f>
        <v>API</v>
      </c>
      <c r="J521" s="265" t="str">
        <f>IFERROR(__xludf.DUMMYFUNCTION("""COMPUTED_VALUE"""),"API")</f>
        <v>API</v>
      </c>
    </row>
    <row r="522">
      <c r="A522" s="265" t="str">
        <f>IFERROR(__xludf.DUMMYFUNCTION("""COMPUTED_VALUE"""),"786")</f>
        <v>786</v>
      </c>
      <c r="B522" s="265" t="str">
        <f>IFERROR(__xludf.DUMMYFUNCTION("""COMPUTED_VALUE"""),"Sài Gòn")</f>
        <v>Sài Gòn</v>
      </c>
      <c r="C522" s="265" t="str">
        <f>IFERROR(__xludf.DUMMYFUNCTION("""COMPUTED_VALUE"""),"Active")</f>
        <v>Active</v>
      </c>
      <c r="D522" s="265" t="str">
        <f>IFERROR(__xludf.DUMMYFUNCTION("""COMPUTED_VALUE"""),"Dịch vụ khác")</f>
        <v>Dịch vụ khác</v>
      </c>
      <c r="E522" s="265" t="str">
        <f>IFERROR(__xludf.DUMMYFUNCTION("""COMPUTED_VALUE"""),"AnhNM")</f>
        <v>AnhNM</v>
      </c>
      <c r="F522" s="265" t="str">
        <f>IFERROR(__xludf.DUMMYFUNCTION("""COMPUTED_VALUE"""),"Bronze")</f>
        <v>Bronze</v>
      </c>
      <c r="G522" s="265" t="str">
        <f>IFERROR(__xludf.DUMMYFUNCTION("""COMPUTED_VALUE"""),"Premium")</f>
        <v>Premium</v>
      </c>
      <c r="H522" s="265" t="str">
        <f>IFERROR(__xludf.DUMMYFUNCTION("""COMPUTED_VALUE"""),"Trả trước")</f>
        <v>Trả trước</v>
      </c>
      <c r="I522" s="265" t="str">
        <f>IFERROR(__xludf.DUMMYFUNCTION("""COMPUTED_VALUE"""),"API")</f>
        <v>API</v>
      </c>
      <c r="J522" s="265" t="str">
        <f>IFERROR(__xludf.DUMMYFUNCTION("""COMPUTED_VALUE"""),"HubSpot")</f>
        <v>HubSpot</v>
      </c>
    </row>
    <row r="523">
      <c r="A523" s="265" t="str">
        <f>IFERROR(__xludf.DUMMYFUNCTION("""COMPUTED_VALUE"""),"787")</f>
        <v>787</v>
      </c>
      <c r="B523" s="265" t="str">
        <f>IFERROR(__xludf.DUMMYFUNCTION("""COMPUTED_VALUE"""),"Hà Nội")</f>
        <v>Hà Nội</v>
      </c>
      <c r="C523" s="265" t="str">
        <f>IFERROR(__xludf.DUMMYFUNCTION("""COMPUTED_VALUE"""),"Locked")</f>
        <v>Locked</v>
      </c>
      <c r="D523" s="265" t="str">
        <f>IFERROR(__xludf.DUMMYFUNCTION("""COMPUTED_VALUE"""),"Truyền thông &amp; Giải trí")</f>
        <v>Truyền thông &amp; Giải trí</v>
      </c>
      <c r="E523" s="265" t="str">
        <f>IFERROR(__xludf.DUMMYFUNCTION("""COMPUTED_VALUE"""),"TúPHN")</f>
        <v>TúPHN</v>
      </c>
      <c r="F523" s="265" t="str">
        <f>IFERROR(__xludf.DUMMYFUNCTION("""COMPUTED_VALUE"""),"Gold")</f>
        <v>Gold</v>
      </c>
      <c r="G523" s="265" t="str">
        <f>IFERROR(__xludf.DUMMYFUNCTION("""COMPUTED_VALUE"""),"Starter")</f>
        <v>Starter</v>
      </c>
      <c r="H523" s="265" t="str">
        <f>IFERROR(__xludf.DUMMYFUNCTION("""COMPUTED_VALUE"""),"Trả sau")</f>
        <v>Trả sau</v>
      </c>
      <c r="I523" s="265" t="str">
        <f>IFERROR(__xludf.DUMMYFUNCTION("""COMPUTED_VALUE"""),"API")</f>
        <v>API</v>
      </c>
      <c r="J523" s="265" t="str">
        <f>IFERROR(__xludf.DUMMYFUNCTION("""COMPUTED_VALUE"""),"API")</f>
        <v>API</v>
      </c>
    </row>
    <row r="524">
      <c r="A524" s="265" t="str">
        <f>IFERROR(__xludf.DUMMYFUNCTION("""COMPUTED_VALUE"""),"787")</f>
        <v>787</v>
      </c>
      <c r="B524" s="265" t="str">
        <f>IFERROR(__xludf.DUMMYFUNCTION("""COMPUTED_VALUE"""),"Hà Nội")</f>
        <v>Hà Nội</v>
      </c>
      <c r="C524" s="265" t="str">
        <f>IFERROR(__xludf.DUMMYFUNCTION("""COMPUTED_VALUE"""),"Locked")</f>
        <v>Locked</v>
      </c>
      <c r="D524" s="265" t="str">
        <f>IFERROR(__xludf.DUMMYFUNCTION("""COMPUTED_VALUE"""),"Truyền thông &amp; Giải trí")</f>
        <v>Truyền thông &amp; Giải trí</v>
      </c>
      <c r="E524" s="265" t="str">
        <f>IFERROR(__xludf.DUMMYFUNCTION("""COMPUTED_VALUE"""),"TúPHN")</f>
        <v>TúPHN</v>
      </c>
      <c r="F524" s="265" t="str">
        <f>IFERROR(__xludf.DUMMYFUNCTION("""COMPUTED_VALUE"""),"Gold")</f>
        <v>Gold</v>
      </c>
      <c r="G524" s="265" t="str">
        <f>IFERROR(__xludf.DUMMYFUNCTION("""COMPUTED_VALUE"""),"Starter")</f>
        <v>Starter</v>
      </c>
      <c r="H524" s="265" t="str">
        <f>IFERROR(__xludf.DUMMYFUNCTION("""COMPUTED_VALUE"""),"Trả sau")</f>
        <v>Trả sau</v>
      </c>
      <c r="I524" s="265" t="str">
        <f>IFERROR(__xludf.DUMMYFUNCTION("""COMPUTED_VALUE"""),"API")</f>
        <v>API</v>
      </c>
      <c r="J524" s="265" t="str">
        <f>IFERROR(__xludf.DUMMYFUNCTION("""COMPUTED_VALUE"""),"ZCA gửi ZNS")</f>
        <v>ZCA gửi ZNS</v>
      </c>
    </row>
    <row r="525">
      <c r="A525" s="265" t="str">
        <f>IFERROR(__xludf.DUMMYFUNCTION("""COMPUTED_VALUE"""),"789")</f>
        <v>789</v>
      </c>
      <c r="B525" s="265" t="str">
        <f>IFERROR(__xludf.DUMMYFUNCTION("""COMPUTED_VALUE"""),"Sài Gòn")</f>
        <v>Sài Gòn</v>
      </c>
      <c r="C525" s="265" t="str">
        <f>IFERROR(__xludf.DUMMYFUNCTION("""COMPUTED_VALUE"""),"Locked")</f>
        <v>Locked</v>
      </c>
      <c r="D525" s="265" t="str">
        <f>IFERROR(__xludf.DUMMYFUNCTION("""COMPUTED_VALUE"""),"Dịch vụ khác")</f>
        <v>Dịch vụ khác</v>
      </c>
      <c r="E525" s="265" t="str">
        <f>IFERROR(__xludf.DUMMYFUNCTION("""COMPUTED_VALUE"""),"PhươngDTB")</f>
        <v>PhươngDTB</v>
      </c>
      <c r="F525" s="265" t="str">
        <f>IFERROR(__xludf.DUMMYFUNCTION("""COMPUTED_VALUE"""),"Sale chưa cung cấp")</f>
        <v>Sale chưa cung cấp</v>
      </c>
      <c r="G525" s="265" t="str">
        <f>IFERROR(__xludf.DUMMYFUNCTION("""COMPUTED_VALUE"""),"Premium")</f>
        <v>Premium</v>
      </c>
      <c r="H525" s="265" t="str">
        <f>IFERROR(__xludf.DUMMYFUNCTION("""COMPUTED_VALUE"""),"Trả trước")</f>
        <v>Trả trước</v>
      </c>
      <c r="I525" s="265" t="str">
        <f>IFERROR(__xludf.DUMMYFUNCTION("""COMPUTED_VALUE"""),"API &amp; Portal")</f>
        <v>API &amp; Portal</v>
      </c>
      <c r="J525" s="265" t="str">
        <f>IFERROR(__xludf.DUMMYFUNCTION("""COMPUTED_VALUE"""),"File Excel")</f>
        <v>File Excel</v>
      </c>
    </row>
    <row r="526">
      <c r="A526" s="265" t="str">
        <f>IFERROR(__xludf.DUMMYFUNCTION("""COMPUTED_VALUE"""),"790")</f>
        <v>790</v>
      </c>
      <c r="B526" s="265" t="str">
        <f>IFERROR(__xludf.DUMMYFUNCTION("""COMPUTED_VALUE"""),"Hà Nội")</f>
        <v>Hà Nội</v>
      </c>
      <c r="C526" s="265" t="str">
        <f>IFERROR(__xludf.DUMMYFUNCTION("""COMPUTED_VALUE"""),"Locked")</f>
        <v>Locked</v>
      </c>
      <c r="D526" s="265" t="str">
        <f>IFERROR(__xludf.DUMMYFUNCTION("""COMPUTED_VALUE"""),"Mua sắm &amp; Bán lẻ")</f>
        <v>Mua sắm &amp; Bán lẻ</v>
      </c>
      <c r="E526" s="265" t="str">
        <f>IFERROR(__xludf.DUMMYFUNCTION("""COMPUTED_VALUE"""),"TùngLD")</f>
        <v>TùngLD</v>
      </c>
      <c r="F526" s="265" t="str">
        <f>IFERROR(__xludf.DUMMYFUNCTION("""COMPUTED_VALUE"""),"Sale chưa cung cấp")</f>
        <v>Sale chưa cung cấp</v>
      </c>
      <c r="G526" s="265" t="str">
        <f>IFERROR(__xludf.DUMMYFUNCTION("""COMPUTED_VALUE"""),"Premium")</f>
        <v>Premium</v>
      </c>
      <c r="H526" s="265" t="str">
        <f>IFERROR(__xludf.DUMMYFUNCTION("""COMPUTED_VALUE"""),"Trial")</f>
        <v>Trial</v>
      </c>
      <c r="I526" s="265" t="str">
        <f>IFERROR(__xludf.DUMMYFUNCTION("""COMPUTED_VALUE"""),"Portal")</f>
        <v>Portal</v>
      </c>
      <c r="J526" s="265" t="str">
        <f>IFERROR(__xludf.DUMMYFUNCTION("""COMPUTED_VALUE"""),"File Excel")</f>
        <v>File Excel</v>
      </c>
    </row>
    <row r="527">
      <c r="A527" s="265" t="str">
        <f>IFERROR(__xludf.DUMMYFUNCTION("""COMPUTED_VALUE"""),"None 4")</f>
        <v>None 4</v>
      </c>
      <c r="B527" s="265" t="str">
        <f>IFERROR(__xludf.DUMMYFUNCTION("""COMPUTED_VALUE"""),"Hà Nội")</f>
        <v>Hà Nội</v>
      </c>
      <c r="C527" s="265" t="str">
        <f>IFERROR(__xludf.DUMMYFUNCTION("""COMPUTED_VALUE"""),"Locked")</f>
        <v>Locked</v>
      </c>
      <c r="D527" s="265" t="str">
        <f>IFERROR(__xludf.DUMMYFUNCTION("""COMPUTED_VALUE"""),"Viễn thông")</f>
        <v>Viễn thông</v>
      </c>
      <c r="E527" s="265" t="str">
        <f>IFERROR(__xludf.DUMMYFUNCTION("""COMPUTED_VALUE"""),"TúPHN")</f>
        <v>TúPHN</v>
      </c>
      <c r="F527" s="265" t="str">
        <f>IFERROR(__xludf.DUMMYFUNCTION("""COMPUTED_VALUE"""),"Gold")</f>
        <v>Gold</v>
      </c>
      <c r="G527" s="265" t="str">
        <f>IFERROR(__xludf.DUMMYFUNCTION("""COMPUTED_VALUE"""),"None")</f>
        <v>None</v>
      </c>
      <c r="H527" s="265" t="str">
        <f>IFERROR(__xludf.DUMMYFUNCTION("""COMPUTED_VALUE"""),"Trả sau")</f>
        <v>Trả sau</v>
      </c>
      <c r="I527" s="265" t="str">
        <f>IFERROR(__xludf.DUMMYFUNCTION("""COMPUTED_VALUE"""),"API")</f>
        <v>API</v>
      </c>
      <c r="J527" s="265" t="str">
        <f>IFERROR(__xludf.DUMMYFUNCTION("""COMPUTED_VALUE"""),"ZCA gửi ZNS")</f>
        <v>ZCA gửi ZNS</v>
      </c>
    </row>
    <row r="528">
      <c r="A528" s="265" t="str">
        <f>IFERROR(__xludf.DUMMYFUNCTION("""COMPUTED_VALUE"""),"793")</f>
        <v>793</v>
      </c>
      <c r="B528" s="265" t="str">
        <f>IFERROR(__xludf.DUMMYFUNCTION("""COMPUTED_VALUE"""),"Hà Nội")</f>
        <v>Hà Nội</v>
      </c>
      <c r="C528" s="265" t="str">
        <f>IFERROR(__xludf.DUMMYFUNCTION("""COMPUTED_VALUE"""),"Locked")</f>
        <v>Locked</v>
      </c>
      <c r="D528" s="265" t="str">
        <f>IFERROR(__xludf.DUMMYFUNCTION("""COMPUTED_VALUE"""),"Mua sắm &amp; Bán lẻ")</f>
        <v>Mua sắm &amp; Bán lẻ</v>
      </c>
      <c r="E528" s="265" t="str">
        <f>IFERROR(__xludf.DUMMYFUNCTION("""COMPUTED_VALUE"""),"TùngLD")</f>
        <v>TùngLD</v>
      </c>
      <c r="F528" s="265" t="str">
        <f>IFERROR(__xludf.DUMMYFUNCTION("""COMPUTED_VALUE"""),"Bronze")</f>
        <v>Bronze</v>
      </c>
      <c r="G528" s="265" t="str">
        <f>IFERROR(__xludf.DUMMYFUNCTION("""COMPUTED_VALUE"""),"Starter")</f>
        <v>Starter</v>
      </c>
      <c r="H528" s="265" t="str">
        <f>IFERROR(__xludf.DUMMYFUNCTION("""COMPUTED_VALUE"""),"Trả trước")</f>
        <v>Trả trước</v>
      </c>
      <c r="I528" s="265" t="str">
        <f>IFERROR(__xludf.DUMMYFUNCTION("""COMPUTED_VALUE"""),"Portal")</f>
        <v>Portal</v>
      </c>
      <c r="J528" s="265" t="str">
        <f>IFERROR(__xludf.DUMMYFUNCTION("""COMPUTED_VALUE"""),"File Excel")</f>
        <v>File Excel</v>
      </c>
    </row>
    <row r="529">
      <c r="A529" s="265" t="str">
        <f>IFERROR(__xludf.DUMMYFUNCTION("""COMPUTED_VALUE"""),"792")</f>
        <v>792</v>
      </c>
      <c r="B529" s="265" t="str">
        <f>IFERROR(__xludf.DUMMYFUNCTION("""COMPUTED_VALUE"""),"Hà Nội")</f>
        <v>Hà Nội</v>
      </c>
      <c r="C529" s="265" t="str">
        <f>IFERROR(__xludf.DUMMYFUNCTION("""COMPUTED_VALUE"""),"Locked")</f>
        <v>Locked</v>
      </c>
      <c r="D529" s="265" t="str">
        <f>IFERROR(__xludf.DUMMYFUNCTION("""COMPUTED_VALUE"""),"Công nghệ &amp; Phần mềm")</f>
        <v>Công nghệ &amp; Phần mềm</v>
      </c>
      <c r="E529" s="265" t="str">
        <f>IFERROR(__xludf.DUMMYFUNCTION("""COMPUTED_VALUE"""),"TúPHN")</f>
        <v>TúPHN</v>
      </c>
      <c r="F529" s="265" t="str">
        <f>IFERROR(__xludf.DUMMYFUNCTION("""COMPUTED_VALUE"""),"Sale chưa cung cấp")</f>
        <v>Sale chưa cung cấp</v>
      </c>
      <c r="G529" s="265" t="str">
        <f>IFERROR(__xludf.DUMMYFUNCTION("""COMPUTED_VALUE"""),"Premium")</f>
        <v>Premium</v>
      </c>
      <c r="H529" s="265" t="str">
        <f>IFERROR(__xludf.DUMMYFUNCTION("""COMPUTED_VALUE"""),"Trial")</f>
        <v>Trial</v>
      </c>
      <c r="I529" s="265" t="str">
        <f>IFERROR(__xludf.DUMMYFUNCTION("""COMPUTED_VALUE"""),"Portal")</f>
        <v>Portal</v>
      </c>
      <c r="J529" s="265" t="str">
        <f>IFERROR(__xludf.DUMMYFUNCTION("""COMPUTED_VALUE"""),"File Excel")</f>
        <v>File Excel</v>
      </c>
    </row>
    <row r="530">
      <c r="A530" s="265" t="str">
        <f>IFERROR(__xludf.DUMMYFUNCTION("""COMPUTED_VALUE"""),"796")</f>
        <v>796</v>
      </c>
      <c r="B530" s="265" t="str">
        <f>IFERROR(__xludf.DUMMYFUNCTION("""COMPUTED_VALUE"""),"Hà Nội")</f>
        <v>Hà Nội</v>
      </c>
      <c r="C530" s="265" t="str">
        <f>IFERROR(__xludf.DUMMYFUNCTION("""COMPUTED_VALUE"""),"Locked")</f>
        <v>Locked</v>
      </c>
      <c r="D530" s="265" t="str">
        <f>IFERROR(__xludf.DUMMYFUNCTION("""COMPUTED_VALUE"""),"Ô tô &amp; Xe máy")</f>
        <v>Ô tô &amp; Xe máy</v>
      </c>
      <c r="E530" s="265" t="str">
        <f>IFERROR(__xludf.DUMMYFUNCTION("""COMPUTED_VALUE"""),"TúPHN")</f>
        <v>TúPHN</v>
      </c>
      <c r="F530" s="265" t="str">
        <f>IFERROR(__xludf.DUMMYFUNCTION("""COMPUTED_VALUE"""),"Diamond")</f>
        <v>Diamond</v>
      </c>
      <c r="G530" s="265" t="str">
        <f>IFERROR(__xludf.DUMMYFUNCTION("""COMPUTED_VALUE"""),"Enterprise")</f>
        <v>Enterprise</v>
      </c>
      <c r="H530" s="265" t="str">
        <f>IFERROR(__xludf.DUMMYFUNCTION("""COMPUTED_VALUE"""),"Trial")</f>
        <v>Trial</v>
      </c>
      <c r="I530" s="265" t="str">
        <f>IFERROR(__xludf.DUMMYFUNCTION("""COMPUTED_VALUE"""),"API")</f>
        <v>API</v>
      </c>
      <c r="J530" s="265" t="str">
        <f>IFERROR(__xludf.DUMMYFUNCTION("""COMPUTED_VALUE"""),"API")</f>
        <v>API</v>
      </c>
    </row>
    <row r="531">
      <c r="A531" s="265" t="str">
        <f>IFERROR(__xludf.DUMMYFUNCTION("""COMPUTED_VALUE"""),"795")</f>
        <v>795</v>
      </c>
      <c r="B531" s="265" t="str">
        <f>IFERROR(__xludf.DUMMYFUNCTION("""COMPUTED_VALUE"""),"Sài Gòn")</f>
        <v>Sài Gòn</v>
      </c>
      <c r="C531" s="265" t="str">
        <f>IFERROR(__xludf.DUMMYFUNCTION("""COMPUTED_VALUE"""),"Locked")</f>
        <v>Locked</v>
      </c>
      <c r="D531" s="265" t="str">
        <f>IFERROR(__xludf.DUMMYFUNCTION("""COMPUTED_VALUE"""),"Công nghệ &amp; Phần mềm")</f>
        <v>Công nghệ &amp; Phần mềm</v>
      </c>
      <c r="E531" s="265" t="str">
        <f>IFERROR(__xludf.DUMMYFUNCTION("""COMPUTED_VALUE"""),"HoaNTM")</f>
        <v>HoaNTM</v>
      </c>
      <c r="F531" s="265" t="str">
        <f>IFERROR(__xludf.DUMMYFUNCTION("""COMPUTED_VALUE"""),"Sale chưa cung cấp")</f>
        <v>Sale chưa cung cấp</v>
      </c>
      <c r="G531" s="265" t="str">
        <f>IFERROR(__xludf.DUMMYFUNCTION("""COMPUTED_VALUE"""),"Standard")</f>
        <v>Standard</v>
      </c>
      <c r="H531" s="265" t="str">
        <f>IFERROR(__xludf.DUMMYFUNCTION("""COMPUTED_VALUE"""),"Trial")</f>
        <v>Trial</v>
      </c>
      <c r="I531" s="265" t="str">
        <f>IFERROR(__xludf.DUMMYFUNCTION("""COMPUTED_VALUE"""),"API &amp; Portal")</f>
        <v>API &amp; Portal</v>
      </c>
      <c r="J531" s="265" t="str">
        <f>IFERROR(__xludf.DUMMYFUNCTION("""COMPUTED_VALUE"""),"File Excel")</f>
        <v>File Excel</v>
      </c>
    </row>
    <row r="532">
      <c r="A532" s="265" t="str">
        <f>IFERROR(__xludf.DUMMYFUNCTION("""COMPUTED_VALUE"""),"795")</f>
        <v>795</v>
      </c>
      <c r="B532" s="265" t="str">
        <f>IFERROR(__xludf.DUMMYFUNCTION("""COMPUTED_VALUE"""),"Sài Gòn")</f>
        <v>Sài Gòn</v>
      </c>
      <c r="C532" s="265" t="str">
        <f>IFERROR(__xludf.DUMMYFUNCTION("""COMPUTED_VALUE"""),"Locked")</f>
        <v>Locked</v>
      </c>
      <c r="D532" s="265" t="str">
        <f>IFERROR(__xludf.DUMMYFUNCTION("""COMPUTED_VALUE"""),"Công nghệ &amp; Phần mềm")</f>
        <v>Công nghệ &amp; Phần mềm</v>
      </c>
      <c r="E532" s="265" t="str">
        <f>IFERROR(__xludf.DUMMYFUNCTION("""COMPUTED_VALUE"""),"HoaNTM")</f>
        <v>HoaNTM</v>
      </c>
      <c r="F532" s="265" t="str">
        <f>IFERROR(__xludf.DUMMYFUNCTION("""COMPUTED_VALUE"""),"Sale chưa cung cấp")</f>
        <v>Sale chưa cung cấp</v>
      </c>
      <c r="G532" s="265" t="str">
        <f>IFERROR(__xludf.DUMMYFUNCTION("""COMPUTED_VALUE"""),"Standard")</f>
        <v>Standard</v>
      </c>
      <c r="H532" s="265" t="str">
        <f>IFERROR(__xludf.DUMMYFUNCTION("""COMPUTED_VALUE"""),"Trial")</f>
        <v>Trial</v>
      </c>
      <c r="I532" s="265" t="str">
        <f>IFERROR(__xludf.DUMMYFUNCTION("""COMPUTED_VALUE"""),"API &amp; Portal")</f>
        <v>API &amp; Portal</v>
      </c>
      <c r="J532" s="265" t="str">
        <f>IFERROR(__xludf.DUMMYFUNCTION("""COMPUTED_VALUE"""),"API")</f>
        <v>API</v>
      </c>
    </row>
    <row r="533">
      <c r="A533" s="265" t="str">
        <f>IFERROR(__xludf.DUMMYFUNCTION("""COMPUTED_VALUE"""),"797")</f>
        <v>797</v>
      </c>
      <c r="B533" s="265" t="str">
        <f>IFERROR(__xludf.DUMMYFUNCTION("""COMPUTED_VALUE"""),"Hà Nội")</f>
        <v>Hà Nội</v>
      </c>
      <c r="C533" s="265" t="str">
        <f>IFERROR(__xludf.DUMMYFUNCTION("""COMPUTED_VALUE"""),"Locked")</f>
        <v>Locked</v>
      </c>
      <c r="D533" s="265" t="str">
        <f>IFERROR(__xludf.DUMMYFUNCTION("""COMPUTED_VALUE"""),"Ô tô &amp; Xe máy")</f>
        <v>Ô tô &amp; Xe máy</v>
      </c>
      <c r="E533" s="265" t="str">
        <f>IFERROR(__xludf.DUMMYFUNCTION("""COMPUTED_VALUE"""),"TúPHN")</f>
        <v>TúPHN</v>
      </c>
      <c r="F533" s="265" t="str">
        <f>IFERROR(__xludf.DUMMYFUNCTION("""COMPUTED_VALUE"""),"Silver")</f>
        <v>Silver</v>
      </c>
      <c r="G533" s="265" t="str">
        <f>IFERROR(__xludf.DUMMYFUNCTION("""COMPUTED_VALUE"""),"Starter")</f>
        <v>Starter</v>
      </c>
      <c r="H533" s="265" t="str">
        <f>IFERROR(__xludf.DUMMYFUNCTION("""COMPUTED_VALUE"""),"Trial")</f>
        <v>Trial</v>
      </c>
      <c r="I533" s="265" t="str">
        <f>IFERROR(__xludf.DUMMYFUNCTION("""COMPUTED_VALUE"""),"API")</f>
        <v>API</v>
      </c>
      <c r="J533" s="265" t="str">
        <f>IFERROR(__xludf.DUMMYFUNCTION("""COMPUTED_VALUE"""),"API")</f>
        <v>API</v>
      </c>
    </row>
    <row r="534">
      <c r="A534" s="265" t="str">
        <f>IFERROR(__xludf.DUMMYFUNCTION("""COMPUTED_VALUE"""),"798")</f>
        <v>798</v>
      </c>
      <c r="B534" s="265" t="str">
        <f>IFERROR(__xludf.DUMMYFUNCTION("""COMPUTED_VALUE"""),"Hà Nội")</f>
        <v>Hà Nội</v>
      </c>
      <c r="C534" s="265" t="str">
        <f>IFERROR(__xludf.DUMMYFUNCTION("""COMPUTED_VALUE"""),"Active")</f>
        <v>Active</v>
      </c>
      <c r="D534" s="265" t="str">
        <f>IFERROR(__xludf.DUMMYFUNCTION("""COMPUTED_VALUE"""),"Công nghệ &amp; Phần mềm")</f>
        <v>Công nghệ &amp; Phần mềm</v>
      </c>
      <c r="E534" s="265" t="str">
        <f>IFERROR(__xludf.DUMMYFUNCTION("""COMPUTED_VALUE"""),"TùngLD")</f>
        <v>TùngLD</v>
      </c>
      <c r="F534" s="265" t="str">
        <f>IFERROR(__xludf.DUMMYFUNCTION("""COMPUTED_VALUE"""),"Gold")</f>
        <v>Gold</v>
      </c>
      <c r="G534" s="265" t="str">
        <f>IFERROR(__xludf.DUMMYFUNCTION("""COMPUTED_VALUE"""),"Starter")</f>
        <v>Starter</v>
      </c>
      <c r="H534" s="265" t="str">
        <f>IFERROR(__xludf.DUMMYFUNCTION("""COMPUTED_VALUE"""),"Trả sau")</f>
        <v>Trả sau</v>
      </c>
      <c r="I534" s="265" t="str">
        <f>IFERROR(__xludf.DUMMYFUNCTION("""COMPUTED_VALUE"""),"API &amp; Portal")</f>
        <v>API &amp; Portal</v>
      </c>
      <c r="J534" s="265" t="str">
        <f>IFERROR(__xludf.DUMMYFUNCTION("""COMPUTED_VALUE"""),"API")</f>
        <v>API</v>
      </c>
    </row>
    <row r="535">
      <c r="A535" s="265" t="str">
        <f>IFERROR(__xludf.DUMMYFUNCTION("""COMPUTED_VALUE"""),"757")</f>
        <v>757</v>
      </c>
      <c r="B535" s="265" t="str">
        <f>IFERROR(__xludf.DUMMYFUNCTION("""COMPUTED_VALUE"""),"Hà Nội")</f>
        <v>Hà Nội</v>
      </c>
      <c r="C535" s="265" t="str">
        <f>IFERROR(__xludf.DUMMYFUNCTION("""COMPUTED_VALUE"""),"Active")</f>
        <v>Active</v>
      </c>
      <c r="D535" s="265" t="str">
        <f>IFERROR(__xludf.DUMMYFUNCTION("""COMPUTED_VALUE"""),"Vận tải &amp; logistics")</f>
        <v>Vận tải &amp; logistics</v>
      </c>
      <c r="E535" s="265" t="str">
        <f>IFERROR(__xludf.DUMMYFUNCTION("""COMPUTED_VALUE"""),"AnhNM")</f>
        <v>AnhNM</v>
      </c>
      <c r="F535" s="265" t="str">
        <f>IFERROR(__xludf.DUMMYFUNCTION("""COMPUTED_VALUE"""),"Sale chưa cung cấp")</f>
        <v>Sale chưa cung cấp</v>
      </c>
      <c r="G535" s="265" t="str">
        <f>IFERROR(__xludf.DUMMYFUNCTION("""COMPUTED_VALUE"""),"Starter")</f>
        <v>Starter</v>
      </c>
      <c r="H535" s="265" t="str">
        <f>IFERROR(__xludf.DUMMYFUNCTION("""COMPUTED_VALUE"""),"Trả sau")</f>
        <v>Trả sau</v>
      </c>
      <c r="I535" s="265" t="str">
        <f>IFERROR(__xludf.DUMMYFUNCTION("""COMPUTED_VALUE"""),"API")</f>
        <v>API</v>
      </c>
      <c r="J535" s="265" t="str">
        <f>IFERROR(__xludf.DUMMYFUNCTION("""COMPUTED_VALUE"""),"File Excel")</f>
        <v>File Excel</v>
      </c>
    </row>
    <row r="536">
      <c r="A536" s="265" t="str">
        <f>IFERROR(__xludf.DUMMYFUNCTION("""COMPUTED_VALUE"""),"757")</f>
        <v>757</v>
      </c>
      <c r="B536" s="265" t="str">
        <f>IFERROR(__xludf.DUMMYFUNCTION("""COMPUTED_VALUE"""),"Hà Nội")</f>
        <v>Hà Nội</v>
      </c>
      <c r="C536" s="265" t="str">
        <f>IFERROR(__xludf.DUMMYFUNCTION("""COMPUTED_VALUE"""),"Active")</f>
        <v>Active</v>
      </c>
      <c r="D536" s="265" t="str">
        <f>IFERROR(__xludf.DUMMYFUNCTION("""COMPUTED_VALUE"""),"Vận tải &amp; logistics")</f>
        <v>Vận tải &amp; logistics</v>
      </c>
      <c r="E536" s="265" t="str">
        <f>IFERROR(__xludf.DUMMYFUNCTION("""COMPUTED_VALUE"""),"AnhNM")</f>
        <v>AnhNM</v>
      </c>
      <c r="F536" s="265" t="str">
        <f>IFERROR(__xludf.DUMMYFUNCTION("""COMPUTED_VALUE"""),"Sale chưa cung cấp")</f>
        <v>Sale chưa cung cấp</v>
      </c>
      <c r="G536" s="265" t="str">
        <f>IFERROR(__xludf.DUMMYFUNCTION("""COMPUTED_VALUE"""),"Starter")</f>
        <v>Starter</v>
      </c>
      <c r="H536" s="265" t="str">
        <f>IFERROR(__xludf.DUMMYFUNCTION("""COMPUTED_VALUE"""),"Trả sau")</f>
        <v>Trả sau</v>
      </c>
      <c r="I536" s="265" t="str">
        <f>IFERROR(__xludf.DUMMYFUNCTION("""COMPUTED_VALUE"""),"API")</f>
        <v>API</v>
      </c>
      <c r="J536" s="265" t="str">
        <f>IFERROR(__xludf.DUMMYFUNCTION("""COMPUTED_VALUE"""),"API")</f>
        <v>API</v>
      </c>
    </row>
    <row r="537">
      <c r="A537" s="265" t="str">
        <f>IFERROR(__xludf.DUMMYFUNCTION("""COMPUTED_VALUE"""),"799")</f>
        <v>799</v>
      </c>
      <c r="B537" s="265" t="str">
        <f>IFERROR(__xludf.DUMMYFUNCTION("""COMPUTED_VALUE"""),"Hà Nội")</f>
        <v>Hà Nội</v>
      </c>
      <c r="C537" s="265" t="str">
        <f>IFERROR(__xludf.DUMMYFUNCTION("""COMPUTED_VALUE"""),"Locked")</f>
        <v>Locked</v>
      </c>
      <c r="D537" s="265" t="str">
        <f>IFERROR(__xludf.DUMMYFUNCTION("""COMPUTED_VALUE"""),"Sale chưa cung cấp")</f>
        <v>Sale chưa cung cấp</v>
      </c>
      <c r="E537" s="265" t="str">
        <f>IFERROR(__xludf.DUMMYFUNCTION("""COMPUTED_VALUE"""),"HangNT")</f>
        <v>HangNT</v>
      </c>
      <c r="F537" s="265" t="str">
        <f>IFERROR(__xludf.DUMMYFUNCTION("""COMPUTED_VALUE"""),"Sale chưa cung cấp")</f>
        <v>Sale chưa cung cấp</v>
      </c>
      <c r="G537" s="265" t="str">
        <f>IFERROR(__xludf.DUMMYFUNCTION("""COMPUTED_VALUE"""),"Premium")</f>
        <v>Premium</v>
      </c>
      <c r="H537" s="265" t="str">
        <f>IFERROR(__xludf.DUMMYFUNCTION("""COMPUTED_VALUE"""),"Trial")</f>
        <v>Trial</v>
      </c>
      <c r="I537" s="265" t="str">
        <f>IFERROR(__xludf.DUMMYFUNCTION("""COMPUTED_VALUE"""),"Portal")</f>
        <v>Portal</v>
      </c>
      <c r="J537" s="265" t="str">
        <f>IFERROR(__xludf.DUMMYFUNCTION("""COMPUTED_VALUE"""),"API")</f>
        <v>API</v>
      </c>
    </row>
    <row r="538">
      <c r="A538" s="265" t="str">
        <f>IFERROR(__xludf.DUMMYFUNCTION("""COMPUTED_VALUE"""),"800")</f>
        <v>800</v>
      </c>
      <c r="B538" s="265" t="str">
        <f>IFERROR(__xludf.DUMMYFUNCTION("""COMPUTED_VALUE"""),"Hà Nội")</f>
        <v>Hà Nội</v>
      </c>
      <c r="C538" s="265" t="str">
        <f>IFERROR(__xludf.DUMMYFUNCTION("""COMPUTED_VALUE"""),"Active")</f>
        <v>Active</v>
      </c>
      <c r="D538" s="265" t="str">
        <f>IFERROR(__xludf.DUMMYFUNCTION("""COMPUTED_VALUE"""),"Vận tải &amp; logistics")</f>
        <v>Vận tải &amp; logistics</v>
      </c>
      <c r="E538" s="265" t="str">
        <f>IFERROR(__xludf.DUMMYFUNCTION("""COMPUTED_VALUE"""),"TúPHN")</f>
        <v>TúPHN</v>
      </c>
      <c r="F538" s="265" t="str">
        <f>IFERROR(__xludf.DUMMYFUNCTION("""COMPUTED_VALUE"""),"Gold")</f>
        <v>Gold</v>
      </c>
      <c r="G538" s="265" t="str">
        <f>IFERROR(__xludf.DUMMYFUNCTION("""COMPUTED_VALUE"""),"Starter")</f>
        <v>Starter</v>
      </c>
      <c r="H538" s="265" t="str">
        <f>IFERROR(__xludf.DUMMYFUNCTION("""COMPUTED_VALUE"""),"Trả sau")</f>
        <v>Trả sau</v>
      </c>
      <c r="I538" s="265" t="str">
        <f>IFERROR(__xludf.DUMMYFUNCTION("""COMPUTED_VALUE"""),"API &amp; Portal")</f>
        <v>API &amp; Portal</v>
      </c>
      <c r="J538" s="265" t="str">
        <f>IFERROR(__xludf.DUMMYFUNCTION("""COMPUTED_VALUE"""),"File Excel")</f>
        <v>File Excel</v>
      </c>
    </row>
    <row r="539">
      <c r="A539" s="265" t="str">
        <f>IFERROR(__xludf.DUMMYFUNCTION("""COMPUTED_VALUE"""),"800")</f>
        <v>800</v>
      </c>
      <c r="B539" s="265" t="str">
        <f>IFERROR(__xludf.DUMMYFUNCTION("""COMPUTED_VALUE"""),"Hà Nội")</f>
        <v>Hà Nội</v>
      </c>
      <c r="C539" s="265" t="str">
        <f>IFERROR(__xludf.DUMMYFUNCTION("""COMPUTED_VALUE"""),"Active")</f>
        <v>Active</v>
      </c>
      <c r="D539" s="265" t="str">
        <f>IFERROR(__xludf.DUMMYFUNCTION("""COMPUTED_VALUE"""),"Vận tải &amp; logistics")</f>
        <v>Vận tải &amp; logistics</v>
      </c>
      <c r="E539" s="265" t="str">
        <f>IFERROR(__xludf.DUMMYFUNCTION("""COMPUTED_VALUE"""),"TúPHN")</f>
        <v>TúPHN</v>
      </c>
      <c r="F539" s="265" t="str">
        <f>IFERROR(__xludf.DUMMYFUNCTION("""COMPUTED_VALUE"""),"Gold")</f>
        <v>Gold</v>
      </c>
      <c r="G539" s="265" t="str">
        <f>IFERROR(__xludf.DUMMYFUNCTION("""COMPUTED_VALUE"""),"Starter")</f>
        <v>Starter</v>
      </c>
      <c r="H539" s="265" t="str">
        <f>IFERROR(__xludf.DUMMYFUNCTION("""COMPUTED_VALUE"""),"Trả sau")</f>
        <v>Trả sau</v>
      </c>
      <c r="I539" s="265" t="str">
        <f>IFERROR(__xludf.DUMMYFUNCTION("""COMPUTED_VALUE"""),"API &amp; Portal")</f>
        <v>API &amp; Portal</v>
      </c>
      <c r="J539" s="265" t="str">
        <f>IFERROR(__xludf.DUMMYFUNCTION("""COMPUTED_VALUE"""),"API")</f>
        <v>API</v>
      </c>
    </row>
    <row r="540">
      <c r="A540" s="265" t="str">
        <f>IFERROR(__xludf.DUMMYFUNCTION("""COMPUTED_VALUE"""),"802")</f>
        <v>802</v>
      </c>
      <c r="B540" s="265" t="str">
        <f>IFERROR(__xludf.DUMMYFUNCTION("""COMPUTED_VALUE"""),"Sài Gòn")</f>
        <v>Sài Gòn</v>
      </c>
      <c r="C540" s="265" t="str">
        <f>IFERROR(__xludf.DUMMYFUNCTION("""COMPUTED_VALUE"""),"Active")</f>
        <v>Active</v>
      </c>
      <c r="D540" s="265" t="str">
        <f>IFERROR(__xludf.DUMMYFUNCTION("""COMPUTED_VALUE"""),"Dịch vụ khác")</f>
        <v>Dịch vụ khác</v>
      </c>
      <c r="E540" s="265" t="str">
        <f>IFERROR(__xludf.DUMMYFUNCTION("""COMPUTED_VALUE"""),"TúPHN")</f>
        <v>TúPHN</v>
      </c>
      <c r="F540" s="265" t="str">
        <f>IFERROR(__xludf.DUMMYFUNCTION("""COMPUTED_VALUE"""),"Silver")</f>
        <v>Silver</v>
      </c>
      <c r="G540" s="265" t="str">
        <f>IFERROR(__xludf.DUMMYFUNCTION("""COMPUTED_VALUE"""),"Standard")</f>
        <v>Standard</v>
      </c>
      <c r="H540" s="265" t="str">
        <f>IFERROR(__xludf.DUMMYFUNCTION("""COMPUTED_VALUE"""),"Trả trước")</f>
        <v>Trả trước</v>
      </c>
      <c r="I540" s="265" t="str">
        <f>IFERROR(__xludf.DUMMYFUNCTION("""COMPUTED_VALUE"""),"Portal")</f>
        <v>Portal</v>
      </c>
      <c r="J540" s="265" t="str">
        <f>IFERROR(__xludf.DUMMYFUNCTION("""COMPUTED_VALUE"""),"File Excel")</f>
        <v>File Excel</v>
      </c>
    </row>
    <row r="541">
      <c r="A541" s="265" t="str">
        <f>IFERROR(__xludf.DUMMYFUNCTION("""COMPUTED_VALUE"""),"803")</f>
        <v>803</v>
      </c>
      <c r="B541" s="265" t="str">
        <f>IFERROR(__xludf.DUMMYFUNCTION("""COMPUTED_VALUE"""),"Sài Gòn")</f>
        <v>Sài Gòn</v>
      </c>
      <c r="C541" s="265" t="str">
        <f>IFERROR(__xludf.DUMMYFUNCTION("""COMPUTED_VALUE"""),"Locked")</f>
        <v>Locked</v>
      </c>
      <c r="D541" s="265" t="str">
        <f>IFERROR(__xludf.DUMMYFUNCTION("""COMPUTED_VALUE"""),"Thực phẩm &amp; Đồ uống")</f>
        <v>Thực phẩm &amp; Đồ uống</v>
      </c>
      <c r="E541" s="265" t="str">
        <f>IFERROR(__xludf.DUMMYFUNCTION("""COMPUTED_VALUE"""),"HoaNTM")</f>
        <v>HoaNTM</v>
      </c>
      <c r="F541" s="265" t="str">
        <f>IFERROR(__xludf.DUMMYFUNCTION("""COMPUTED_VALUE"""),"Sale chưa cung cấp")</f>
        <v>Sale chưa cung cấp</v>
      </c>
      <c r="G541" s="265" t="str">
        <f>IFERROR(__xludf.DUMMYFUNCTION("""COMPUTED_VALUE"""),"Enterprise")</f>
        <v>Enterprise</v>
      </c>
      <c r="H541" s="265" t="str">
        <f>IFERROR(__xludf.DUMMYFUNCTION("""COMPUTED_VALUE"""),"Trả sau")</f>
        <v>Trả sau</v>
      </c>
      <c r="I541" s="265" t="str">
        <f>IFERROR(__xludf.DUMMYFUNCTION("""COMPUTED_VALUE"""),"Portal")</f>
        <v>Portal</v>
      </c>
      <c r="J541" s="265" t="str">
        <f>IFERROR(__xludf.DUMMYFUNCTION("""COMPUTED_VALUE"""),"File Excel")</f>
        <v>File Excel</v>
      </c>
    </row>
    <row r="542">
      <c r="A542" s="265" t="str">
        <f>IFERROR(__xludf.DUMMYFUNCTION("""COMPUTED_VALUE"""),"804")</f>
        <v>804</v>
      </c>
      <c r="B542" s="265" t="str">
        <f>IFERROR(__xludf.DUMMYFUNCTION("""COMPUTED_VALUE"""),"Sài Gòn")</f>
        <v>Sài Gòn</v>
      </c>
      <c r="C542" s="265" t="str">
        <f>IFERROR(__xludf.DUMMYFUNCTION("""COMPUTED_VALUE"""),"Active")</f>
        <v>Active</v>
      </c>
      <c r="D542" s="265" t="str">
        <f>IFERROR(__xludf.DUMMYFUNCTION("""COMPUTED_VALUE"""),"Mỹ phẩm &amp; Làm đẹp")</f>
        <v>Mỹ phẩm &amp; Làm đẹp</v>
      </c>
      <c r="E542" s="265" t="str">
        <f>IFERROR(__xludf.DUMMYFUNCTION("""COMPUTED_VALUE"""),"TùngLD")</f>
        <v>TùngLD</v>
      </c>
      <c r="F542" s="265" t="str">
        <f>IFERROR(__xludf.DUMMYFUNCTION("""COMPUTED_VALUE"""),"Silver")</f>
        <v>Silver</v>
      </c>
      <c r="G542" s="265" t="str">
        <f>IFERROR(__xludf.DUMMYFUNCTION("""COMPUTED_VALUE"""),"Premium")</f>
        <v>Premium</v>
      </c>
      <c r="H542" s="265" t="str">
        <f>IFERROR(__xludf.DUMMYFUNCTION("""COMPUTED_VALUE"""),"Trả trước")</f>
        <v>Trả trước</v>
      </c>
      <c r="I542" s="265" t="str">
        <f>IFERROR(__xludf.DUMMYFUNCTION("""COMPUTED_VALUE"""),"Portal")</f>
        <v>Portal</v>
      </c>
      <c r="J542" s="265" t="str">
        <f>IFERROR(__xludf.DUMMYFUNCTION("""COMPUTED_VALUE"""),"Haravan")</f>
        <v>Haravan</v>
      </c>
    </row>
    <row r="543">
      <c r="A543" s="265" t="str">
        <f>IFERROR(__xludf.DUMMYFUNCTION("""COMPUTED_VALUE"""),"805")</f>
        <v>805</v>
      </c>
      <c r="B543" s="265" t="str">
        <f>IFERROR(__xludf.DUMMYFUNCTION("""COMPUTED_VALUE"""),"Hà Nội")</f>
        <v>Hà Nội</v>
      </c>
      <c r="C543" s="265" t="str">
        <f>IFERROR(__xludf.DUMMYFUNCTION("""COMPUTED_VALUE"""),"Locked")</f>
        <v>Locked</v>
      </c>
      <c r="D543" s="265" t="str">
        <f>IFERROR(__xludf.DUMMYFUNCTION("""COMPUTED_VALUE"""),"Sale chưa cung cấp")</f>
        <v>Sale chưa cung cấp</v>
      </c>
      <c r="E543" s="265" t="str">
        <f>IFERROR(__xludf.DUMMYFUNCTION("""COMPUTED_VALUE"""),"TùngLD")</f>
        <v>TùngLD</v>
      </c>
      <c r="F543" s="265" t="str">
        <f>IFERROR(__xludf.DUMMYFUNCTION("""COMPUTED_VALUE"""),"Sale chưa cung cấp")</f>
        <v>Sale chưa cung cấp</v>
      </c>
      <c r="G543" s="265" t="str">
        <f>IFERROR(__xludf.DUMMYFUNCTION("""COMPUTED_VALUE"""),"Enterprise")</f>
        <v>Enterprise</v>
      </c>
      <c r="H543" s="265" t="str">
        <f>IFERROR(__xludf.DUMMYFUNCTION("""COMPUTED_VALUE"""),"Trả sau")</f>
        <v>Trả sau</v>
      </c>
      <c r="I543" s="265" t="str">
        <f>IFERROR(__xludf.DUMMYFUNCTION("""COMPUTED_VALUE"""),"Portal")</f>
        <v>Portal</v>
      </c>
      <c r="J543" s="265" t="str">
        <f>IFERROR(__xludf.DUMMYFUNCTION("""COMPUTED_VALUE"""),"File Excel")</f>
        <v>File Excel</v>
      </c>
    </row>
    <row r="544">
      <c r="A544" s="265" t="str">
        <f>IFERROR(__xludf.DUMMYFUNCTION("""COMPUTED_VALUE"""),"806")</f>
        <v>806</v>
      </c>
      <c r="B544" s="265" t="str">
        <f>IFERROR(__xludf.DUMMYFUNCTION("""COMPUTED_VALUE"""),"Hà Nội")</f>
        <v>Hà Nội</v>
      </c>
      <c r="C544" s="265" t="str">
        <f>IFERROR(__xludf.DUMMYFUNCTION("""COMPUTED_VALUE"""),"Locked")</f>
        <v>Locked</v>
      </c>
      <c r="D544" s="265" t="str">
        <f>IFERROR(__xludf.DUMMYFUNCTION("""COMPUTED_VALUE"""),"Sale chưa cung cấp")</f>
        <v>Sale chưa cung cấp</v>
      </c>
      <c r="E544" s="265" t="str">
        <f>IFERROR(__xludf.DUMMYFUNCTION("""COMPUTED_VALUE"""),"TùngLD")</f>
        <v>TùngLD</v>
      </c>
      <c r="F544" s="265" t="str">
        <f>IFERROR(__xludf.DUMMYFUNCTION("""COMPUTED_VALUE"""),"Sale chưa cung cấp")</f>
        <v>Sale chưa cung cấp</v>
      </c>
      <c r="G544" s="265" t="str">
        <f>IFERROR(__xludf.DUMMYFUNCTION("""COMPUTED_VALUE"""),"Enterprise")</f>
        <v>Enterprise</v>
      </c>
      <c r="H544" s="265" t="str">
        <f>IFERROR(__xludf.DUMMYFUNCTION("""COMPUTED_VALUE"""),"Trả sau")</f>
        <v>Trả sau</v>
      </c>
      <c r="I544" s="265" t="str">
        <f>IFERROR(__xludf.DUMMYFUNCTION("""COMPUTED_VALUE"""),"Portal")</f>
        <v>Portal</v>
      </c>
      <c r="J544" s="265" t="str">
        <f>IFERROR(__xludf.DUMMYFUNCTION("""COMPUTED_VALUE"""),"File Excel")</f>
        <v>File Excel</v>
      </c>
    </row>
    <row r="545">
      <c r="A545" s="265" t="str">
        <f>IFERROR(__xludf.DUMMYFUNCTION("""COMPUTED_VALUE"""),"808")</f>
        <v>808</v>
      </c>
      <c r="B545" s="265" t="str">
        <f>IFERROR(__xludf.DUMMYFUNCTION("""COMPUTED_VALUE"""),"Sài Gòn")</f>
        <v>Sài Gòn</v>
      </c>
      <c r="C545" s="265" t="str">
        <f>IFERROR(__xludf.DUMMYFUNCTION("""COMPUTED_VALUE"""),"Active")</f>
        <v>Active</v>
      </c>
      <c r="D545" s="265" t="str">
        <f>IFERROR(__xludf.DUMMYFUNCTION("""COMPUTED_VALUE"""),"Truyền thông &amp; Giải trí")</f>
        <v>Truyền thông &amp; Giải trí</v>
      </c>
      <c r="E545" s="265" t="str">
        <f>IFERROR(__xludf.DUMMYFUNCTION("""COMPUTED_VALUE"""),"TúPHN")</f>
        <v>TúPHN</v>
      </c>
      <c r="F545" s="265" t="str">
        <f>IFERROR(__xludf.DUMMYFUNCTION("""COMPUTED_VALUE"""),"Bronze")</f>
        <v>Bronze</v>
      </c>
      <c r="G545" s="265" t="str">
        <f>IFERROR(__xludf.DUMMYFUNCTION("""COMPUTED_VALUE"""),"Starter")</f>
        <v>Starter</v>
      </c>
      <c r="H545" s="265" t="str">
        <f>IFERROR(__xludf.DUMMYFUNCTION("""COMPUTED_VALUE"""),"Trả sau")</f>
        <v>Trả sau</v>
      </c>
      <c r="I545" s="265" t="str">
        <f>IFERROR(__xludf.DUMMYFUNCTION("""COMPUTED_VALUE"""),"API")</f>
        <v>API</v>
      </c>
      <c r="J545" s="265" t="str">
        <f>IFERROR(__xludf.DUMMYFUNCTION("""COMPUTED_VALUE"""),"API")</f>
        <v>API</v>
      </c>
    </row>
    <row r="546">
      <c r="A546" s="265" t="str">
        <f>IFERROR(__xludf.DUMMYFUNCTION("""COMPUTED_VALUE"""),"808")</f>
        <v>808</v>
      </c>
      <c r="B546" s="265" t="str">
        <f>IFERROR(__xludf.DUMMYFUNCTION("""COMPUTED_VALUE"""),"Sài Gòn")</f>
        <v>Sài Gòn</v>
      </c>
      <c r="C546" s="265" t="str">
        <f>IFERROR(__xludf.DUMMYFUNCTION("""COMPUTED_VALUE"""),"Active")</f>
        <v>Active</v>
      </c>
      <c r="D546" s="265" t="str">
        <f>IFERROR(__xludf.DUMMYFUNCTION("""COMPUTED_VALUE"""),"Truyền thông &amp; Giải trí")</f>
        <v>Truyền thông &amp; Giải trí</v>
      </c>
      <c r="E546" s="265" t="str">
        <f>IFERROR(__xludf.DUMMYFUNCTION("""COMPUTED_VALUE"""),"TúPHN")</f>
        <v>TúPHN</v>
      </c>
      <c r="F546" s="265" t="str">
        <f>IFERROR(__xludf.DUMMYFUNCTION("""COMPUTED_VALUE"""),"Bronze")</f>
        <v>Bronze</v>
      </c>
      <c r="G546" s="265" t="str">
        <f>IFERROR(__xludf.DUMMYFUNCTION("""COMPUTED_VALUE"""),"Starter")</f>
        <v>Starter</v>
      </c>
      <c r="H546" s="265" t="str">
        <f>IFERROR(__xludf.DUMMYFUNCTION("""COMPUTED_VALUE"""),"Trả sau")</f>
        <v>Trả sau</v>
      </c>
      <c r="I546" s="265" t="str">
        <f>IFERROR(__xludf.DUMMYFUNCTION("""COMPUTED_VALUE"""),"API")</f>
        <v>API</v>
      </c>
      <c r="J546" s="265" t="str">
        <f>IFERROR(__xludf.DUMMYFUNCTION("""COMPUTED_VALUE"""),"ZCA gửi ZNS")</f>
        <v>ZCA gửi ZNS</v>
      </c>
    </row>
    <row r="547">
      <c r="A547" s="265" t="str">
        <f>IFERROR(__xludf.DUMMYFUNCTION("""COMPUTED_VALUE"""),"807")</f>
        <v>807</v>
      </c>
      <c r="B547" s="265" t="str">
        <f>IFERROR(__xludf.DUMMYFUNCTION("""COMPUTED_VALUE"""),"Hà Nội")</f>
        <v>Hà Nội</v>
      </c>
      <c r="C547" s="265" t="str">
        <f>IFERROR(__xludf.DUMMYFUNCTION("""COMPUTED_VALUE"""),"Active")</f>
        <v>Active</v>
      </c>
      <c r="D547" s="265" t="str">
        <f>IFERROR(__xludf.DUMMYFUNCTION("""COMPUTED_VALUE"""),"Công nghệ &amp; Phần mềm")</f>
        <v>Công nghệ &amp; Phần mềm</v>
      </c>
      <c r="E547" s="265" t="str">
        <f>IFERROR(__xludf.DUMMYFUNCTION("""COMPUTED_VALUE"""),"Không phân công")</f>
        <v>Không phân công</v>
      </c>
      <c r="F547" s="265" t="str">
        <f>IFERROR(__xludf.DUMMYFUNCTION("""COMPUTED_VALUE"""),"Silver")</f>
        <v>Silver</v>
      </c>
      <c r="G547" s="265" t="str">
        <f>IFERROR(__xludf.DUMMYFUNCTION("""COMPUTED_VALUE"""),"API")</f>
        <v>API</v>
      </c>
      <c r="H547" s="265" t="str">
        <f>IFERROR(__xludf.DUMMYFUNCTION("""COMPUTED_VALUE"""),"Trả sau")</f>
        <v>Trả sau</v>
      </c>
      <c r="I547" s="265" t="str">
        <f>IFERROR(__xludf.DUMMYFUNCTION("""COMPUTED_VALUE"""),"API")</f>
        <v>API</v>
      </c>
      <c r="J547" s="265" t="str">
        <f>IFERROR(__xludf.DUMMYFUNCTION("""COMPUTED_VALUE"""),"API")</f>
        <v>API</v>
      </c>
    </row>
    <row r="548">
      <c r="A548" s="265" t="str">
        <f>IFERROR(__xludf.DUMMYFUNCTION("""COMPUTED_VALUE"""),"788")</f>
        <v>788</v>
      </c>
      <c r="B548" s="265" t="str">
        <f>IFERROR(__xludf.DUMMYFUNCTION("""COMPUTED_VALUE"""),"Hà Nội")</f>
        <v>Hà Nội</v>
      </c>
      <c r="C548" s="265" t="str">
        <f>IFERROR(__xludf.DUMMYFUNCTION("""COMPUTED_VALUE"""),"Active")</f>
        <v>Active</v>
      </c>
      <c r="D548" s="265" t="str">
        <f>IFERROR(__xludf.DUMMYFUNCTION("""COMPUTED_VALUE"""),"Mua sắm &amp; Bán lẻ")</f>
        <v>Mua sắm &amp; Bán lẻ</v>
      </c>
      <c r="E548" s="265" t="str">
        <f>IFERROR(__xludf.DUMMYFUNCTION("""COMPUTED_VALUE"""),"TùngLD")</f>
        <v>TùngLD</v>
      </c>
      <c r="F548" s="265" t="str">
        <f>IFERROR(__xludf.DUMMYFUNCTION("""COMPUTED_VALUE"""),"Bronze")</f>
        <v>Bronze</v>
      </c>
      <c r="G548" s="265" t="str">
        <f>IFERROR(__xludf.DUMMYFUNCTION("""COMPUTED_VALUE"""),"Starter")</f>
        <v>Starter</v>
      </c>
      <c r="H548" s="265" t="str">
        <f>IFERROR(__xludf.DUMMYFUNCTION("""COMPUTED_VALUE"""),"Trả sau")</f>
        <v>Trả sau</v>
      </c>
      <c r="I548" s="265" t="str">
        <f>IFERROR(__xludf.DUMMYFUNCTION("""COMPUTED_VALUE"""),"API &amp; Portal")</f>
        <v>API &amp; Portal</v>
      </c>
      <c r="J548" s="265" t="str">
        <f>IFERROR(__xludf.DUMMYFUNCTION("""COMPUTED_VALUE"""),"File Excel")</f>
        <v>File Excel</v>
      </c>
    </row>
    <row r="549">
      <c r="A549" s="265" t="str">
        <f>IFERROR(__xludf.DUMMYFUNCTION("""COMPUTED_VALUE"""),"788")</f>
        <v>788</v>
      </c>
      <c r="B549" s="265" t="str">
        <f>IFERROR(__xludf.DUMMYFUNCTION("""COMPUTED_VALUE"""),"Hà Nội")</f>
        <v>Hà Nội</v>
      </c>
      <c r="C549" s="265" t="str">
        <f>IFERROR(__xludf.DUMMYFUNCTION("""COMPUTED_VALUE"""),"Active")</f>
        <v>Active</v>
      </c>
      <c r="D549" s="265" t="str">
        <f>IFERROR(__xludf.DUMMYFUNCTION("""COMPUTED_VALUE"""),"Mua sắm &amp; Bán lẻ")</f>
        <v>Mua sắm &amp; Bán lẻ</v>
      </c>
      <c r="E549" s="265" t="str">
        <f>IFERROR(__xludf.DUMMYFUNCTION("""COMPUTED_VALUE"""),"TùngLD")</f>
        <v>TùngLD</v>
      </c>
      <c r="F549" s="265" t="str">
        <f>IFERROR(__xludf.DUMMYFUNCTION("""COMPUTED_VALUE"""),"Bronze")</f>
        <v>Bronze</v>
      </c>
      <c r="G549" s="265" t="str">
        <f>IFERROR(__xludf.DUMMYFUNCTION("""COMPUTED_VALUE"""),"Starter")</f>
        <v>Starter</v>
      </c>
      <c r="H549" s="265" t="str">
        <f>IFERROR(__xludf.DUMMYFUNCTION("""COMPUTED_VALUE"""),"Trả sau")</f>
        <v>Trả sau</v>
      </c>
      <c r="I549" s="265" t="str">
        <f>IFERROR(__xludf.DUMMYFUNCTION("""COMPUTED_VALUE"""),"API &amp; Portal")</f>
        <v>API &amp; Portal</v>
      </c>
      <c r="J549" s="265" t="str">
        <f>IFERROR(__xludf.DUMMYFUNCTION("""COMPUTED_VALUE"""),"API")</f>
        <v>API</v>
      </c>
    </row>
    <row r="550">
      <c r="A550" s="265" t="str">
        <f>IFERROR(__xludf.DUMMYFUNCTION("""COMPUTED_VALUE"""),"809")</f>
        <v>809</v>
      </c>
      <c r="B550" s="265" t="str">
        <f>IFERROR(__xludf.DUMMYFUNCTION("""COMPUTED_VALUE"""),"Hà Nội")</f>
        <v>Hà Nội</v>
      </c>
      <c r="C550" s="265" t="str">
        <f>IFERROR(__xludf.DUMMYFUNCTION("""COMPUTED_VALUE"""),"Locked")</f>
        <v>Locked</v>
      </c>
      <c r="D550" s="265" t="str">
        <f>IFERROR(__xludf.DUMMYFUNCTION("""COMPUTED_VALUE"""),"Sale chưa cung cấp")</f>
        <v>Sale chưa cung cấp</v>
      </c>
      <c r="E550" s="265" t="str">
        <f>IFERROR(__xludf.DUMMYFUNCTION("""COMPUTED_VALUE"""),"TúPHN")</f>
        <v>TúPHN</v>
      </c>
      <c r="F550" s="265" t="str">
        <f>IFERROR(__xludf.DUMMYFUNCTION("""COMPUTED_VALUE"""),"Silver")</f>
        <v>Silver</v>
      </c>
      <c r="G550" s="265" t="str">
        <f>IFERROR(__xludf.DUMMYFUNCTION("""COMPUTED_VALUE"""),"Starter")</f>
        <v>Starter</v>
      </c>
      <c r="H550" s="265" t="str">
        <f>IFERROR(__xludf.DUMMYFUNCTION("""COMPUTED_VALUE"""),"Trial")</f>
        <v>Trial</v>
      </c>
      <c r="I550" s="265" t="str">
        <f>IFERROR(__xludf.DUMMYFUNCTION("""COMPUTED_VALUE"""),"API")</f>
        <v>API</v>
      </c>
      <c r="J550" s="265" t="str">
        <f>IFERROR(__xludf.DUMMYFUNCTION("""COMPUTED_VALUE"""),"API")</f>
        <v>API</v>
      </c>
    </row>
    <row r="551">
      <c r="A551" s="265" t="str">
        <f>IFERROR(__xludf.DUMMYFUNCTION("""COMPUTED_VALUE"""),"810")</f>
        <v>810</v>
      </c>
      <c r="B551" s="265" t="str">
        <f>IFERROR(__xludf.DUMMYFUNCTION("""COMPUTED_VALUE"""),"Hà Nội")</f>
        <v>Hà Nội</v>
      </c>
      <c r="C551" s="265" t="str">
        <f>IFERROR(__xludf.DUMMYFUNCTION("""COMPUTED_VALUE"""),"Locked")</f>
        <v>Locked</v>
      </c>
      <c r="D551" s="265" t="str">
        <f>IFERROR(__xludf.DUMMYFUNCTION("""COMPUTED_VALUE"""),"Sale chưa cung cấp")</f>
        <v>Sale chưa cung cấp</v>
      </c>
      <c r="E551" s="265" t="str">
        <f>IFERROR(__xludf.DUMMYFUNCTION("""COMPUTED_VALUE"""),"HangNT")</f>
        <v>HangNT</v>
      </c>
      <c r="F551" s="265" t="str">
        <f>IFERROR(__xludf.DUMMYFUNCTION("""COMPUTED_VALUE"""),"Sale chưa cung cấp")</f>
        <v>Sale chưa cung cấp</v>
      </c>
      <c r="G551" s="265" t="str">
        <f>IFERROR(__xludf.DUMMYFUNCTION("""COMPUTED_VALUE"""),"Starter")</f>
        <v>Starter</v>
      </c>
      <c r="H551" s="265" t="str">
        <f>IFERROR(__xludf.DUMMYFUNCTION("""COMPUTED_VALUE"""),"Trial")</f>
        <v>Trial</v>
      </c>
      <c r="I551" s="265" t="str">
        <f>IFERROR(__xludf.DUMMYFUNCTION("""COMPUTED_VALUE"""),"API")</f>
        <v>API</v>
      </c>
      <c r="J551" s="265" t="str">
        <f>IFERROR(__xludf.DUMMYFUNCTION("""COMPUTED_VALUE"""),"API")</f>
        <v>API</v>
      </c>
    </row>
    <row r="552">
      <c r="A552" s="265" t="str">
        <f>IFERROR(__xludf.DUMMYFUNCTION("""COMPUTED_VALUE"""),"811")</f>
        <v>811</v>
      </c>
      <c r="B552" s="265" t="str">
        <f>IFERROR(__xludf.DUMMYFUNCTION("""COMPUTED_VALUE"""),"Hà Nội")</f>
        <v>Hà Nội</v>
      </c>
      <c r="C552" s="265" t="str">
        <f>IFERROR(__xludf.DUMMYFUNCTION("""COMPUTED_VALUE"""),"Active")</f>
        <v>Active</v>
      </c>
      <c r="D552" s="265" t="str">
        <f>IFERROR(__xludf.DUMMYFUNCTION("""COMPUTED_VALUE"""),"Truyền thông &amp; Giải trí")</f>
        <v>Truyền thông &amp; Giải trí</v>
      </c>
      <c r="E552" s="265" t="str">
        <f>IFERROR(__xludf.DUMMYFUNCTION("""COMPUTED_VALUE"""),"TúPHN")</f>
        <v>TúPHN</v>
      </c>
      <c r="F552" s="265" t="str">
        <f>IFERROR(__xludf.DUMMYFUNCTION("""COMPUTED_VALUE"""),"Bronze")</f>
        <v>Bronze</v>
      </c>
      <c r="G552" s="265" t="str">
        <f>IFERROR(__xludf.DUMMYFUNCTION("""COMPUTED_VALUE"""),"Starter")</f>
        <v>Starter</v>
      </c>
      <c r="H552" s="265" t="str">
        <f>IFERROR(__xludf.DUMMYFUNCTION("""COMPUTED_VALUE"""),"Trả sau")</f>
        <v>Trả sau</v>
      </c>
      <c r="I552" s="265" t="str">
        <f>IFERROR(__xludf.DUMMYFUNCTION("""COMPUTED_VALUE"""),"API")</f>
        <v>API</v>
      </c>
      <c r="J552" s="265" t="str">
        <f>IFERROR(__xludf.DUMMYFUNCTION("""COMPUTED_VALUE"""),"API")</f>
        <v>API</v>
      </c>
    </row>
    <row r="553">
      <c r="A553" s="265" t="str">
        <f>IFERROR(__xludf.DUMMYFUNCTION("""COMPUTED_VALUE"""),"812")</f>
        <v>812</v>
      </c>
      <c r="B553" s="265" t="str">
        <f>IFERROR(__xludf.DUMMYFUNCTION("""COMPUTED_VALUE"""),"Sài Gòn")</f>
        <v>Sài Gòn</v>
      </c>
      <c r="C553" s="265" t="str">
        <f>IFERROR(__xludf.DUMMYFUNCTION("""COMPUTED_VALUE"""),"Locked")</f>
        <v>Locked</v>
      </c>
      <c r="D553" s="265" t="str">
        <f>IFERROR(__xludf.DUMMYFUNCTION("""COMPUTED_VALUE"""),"Sản xuất &amp; Chế tạo")</f>
        <v>Sản xuất &amp; Chế tạo</v>
      </c>
      <c r="E553" s="265" t="str">
        <f>IFERROR(__xludf.DUMMYFUNCTION("""COMPUTED_VALUE"""),"HoaNTM")</f>
        <v>HoaNTM</v>
      </c>
      <c r="F553" s="265" t="str">
        <f>IFERROR(__xludf.DUMMYFUNCTION("""COMPUTED_VALUE"""),"Sale chưa cung cấp")</f>
        <v>Sale chưa cung cấp</v>
      </c>
      <c r="G553" s="265" t="str">
        <f>IFERROR(__xludf.DUMMYFUNCTION("""COMPUTED_VALUE"""),"API")</f>
        <v>API</v>
      </c>
      <c r="H553" s="265" t="str">
        <f>IFERROR(__xludf.DUMMYFUNCTION("""COMPUTED_VALUE"""),"Trả sau")</f>
        <v>Trả sau</v>
      </c>
      <c r="I553" s="265" t="str">
        <f>IFERROR(__xludf.DUMMYFUNCTION("""COMPUTED_VALUE"""),"API")</f>
        <v>API</v>
      </c>
      <c r="J553" s="265" t="str">
        <f>IFERROR(__xludf.DUMMYFUNCTION("""COMPUTED_VALUE"""),"API")</f>
        <v>API</v>
      </c>
    </row>
    <row r="554">
      <c r="A554" s="265" t="str">
        <f>IFERROR(__xludf.DUMMYFUNCTION("""COMPUTED_VALUE"""),"813")</f>
        <v>813</v>
      </c>
      <c r="B554" s="265" t="str">
        <f>IFERROR(__xludf.DUMMYFUNCTION("""COMPUTED_VALUE"""),"Sài Gòn")</f>
        <v>Sài Gòn</v>
      </c>
      <c r="C554" s="265" t="str">
        <f>IFERROR(__xludf.DUMMYFUNCTION("""COMPUTED_VALUE"""),"Locked")</f>
        <v>Locked</v>
      </c>
      <c r="D554" s="265" t="str">
        <f>IFERROR(__xludf.DUMMYFUNCTION("""COMPUTED_VALUE"""),"Giáo dục &amp; Đào tạo")</f>
        <v>Giáo dục &amp; Đào tạo</v>
      </c>
      <c r="E554" s="265" t="str">
        <f>IFERROR(__xludf.DUMMYFUNCTION("""COMPUTED_VALUE"""),"HoaNTM")</f>
        <v>HoaNTM</v>
      </c>
      <c r="F554" s="265" t="str">
        <f>IFERROR(__xludf.DUMMYFUNCTION("""COMPUTED_VALUE"""),"Sale chưa cung cấp")</f>
        <v>Sale chưa cung cấp</v>
      </c>
      <c r="G554" s="265" t="str">
        <f>IFERROR(__xludf.DUMMYFUNCTION("""COMPUTED_VALUE"""),"Premium")</f>
        <v>Premium</v>
      </c>
      <c r="H554" s="265" t="str">
        <f>IFERROR(__xludf.DUMMYFUNCTION("""COMPUTED_VALUE"""),"Trial")</f>
        <v>Trial</v>
      </c>
      <c r="I554" s="265" t="str">
        <f>IFERROR(__xludf.DUMMYFUNCTION("""COMPUTED_VALUE"""),"API &amp; Portal")</f>
        <v>API &amp; Portal</v>
      </c>
      <c r="J554" s="265" t="str">
        <f>IFERROR(__xludf.DUMMYFUNCTION("""COMPUTED_VALUE"""),"File Excel")</f>
        <v>File Excel</v>
      </c>
    </row>
    <row r="555">
      <c r="A555" s="265" t="str">
        <f>IFERROR(__xludf.DUMMYFUNCTION("""COMPUTED_VALUE"""),"813")</f>
        <v>813</v>
      </c>
      <c r="B555" s="265" t="str">
        <f>IFERROR(__xludf.DUMMYFUNCTION("""COMPUTED_VALUE"""),"Sài Gòn")</f>
        <v>Sài Gòn</v>
      </c>
      <c r="C555" s="265" t="str">
        <f>IFERROR(__xludf.DUMMYFUNCTION("""COMPUTED_VALUE"""),"Locked")</f>
        <v>Locked</v>
      </c>
      <c r="D555" s="265" t="str">
        <f>IFERROR(__xludf.DUMMYFUNCTION("""COMPUTED_VALUE"""),"Giáo dục &amp; Đào tạo")</f>
        <v>Giáo dục &amp; Đào tạo</v>
      </c>
      <c r="E555" s="265" t="str">
        <f>IFERROR(__xludf.DUMMYFUNCTION("""COMPUTED_VALUE"""),"HoaNTM")</f>
        <v>HoaNTM</v>
      </c>
      <c r="F555" s="265" t="str">
        <f>IFERROR(__xludf.DUMMYFUNCTION("""COMPUTED_VALUE"""),"Sale chưa cung cấp")</f>
        <v>Sale chưa cung cấp</v>
      </c>
      <c r="G555" s="265" t="str">
        <f>IFERROR(__xludf.DUMMYFUNCTION("""COMPUTED_VALUE"""),"Premium")</f>
        <v>Premium</v>
      </c>
      <c r="H555" s="265" t="str">
        <f>IFERROR(__xludf.DUMMYFUNCTION("""COMPUTED_VALUE"""),"Trial")</f>
        <v>Trial</v>
      </c>
      <c r="I555" s="265" t="str">
        <f>IFERROR(__xludf.DUMMYFUNCTION("""COMPUTED_VALUE"""),"API &amp; Portal")</f>
        <v>API &amp; Portal</v>
      </c>
      <c r="J555" s="265" t="str">
        <f>IFERROR(__xludf.DUMMYFUNCTION("""COMPUTED_VALUE"""),"API")</f>
        <v>API</v>
      </c>
    </row>
    <row r="556">
      <c r="A556" s="265" t="str">
        <f>IFERROR(__xludf.DUMMYFUNCTION("""COMPUTED_VALUE"""),"814")</f>
        <v>814</v>
      </c>
      <c r="B556" s="265" t="str">
        <f>IFERROR(__xludf.DUMMYFUNCTION("""COMPUTED_VALUE"""),"Sài Gòn")</f>
        <v>Sài Gòn</v>
      </c>
      <c r="C556" s="265" t="str">
        <f>IFERROR(__xludf.DUMMYFUNCTION("""COMPUTED_VALUE"""),"Active")</f>
        <v>Active</v>
      </c>
      <c r="D556" s="265" t="str">
        <f>IFERROR(__xludf.DUMMYFUNCTION("""COMPUTED_VALUE"""),"Thực phẩm &amp; Đồ uống")</f>
        <v>Thực phẩm &amp; Đồ uống</v>
      </c>
      <c r="E556" s="265" t="str">
        <f>IFERROR(__xludf.DUMMYFUNCTION("""COMPUTED_VALUE"""),"TrâmNNB")</f>
        <v>TrâmNNB</v>
      </c>
      <c r="F556" s="265" t="str">
        <f>IFERROR(__xludf.DUMMYFUNCTION("""COMPUTED_VALUE"""),"Diamond")</f>
        <v>Diamond</v>
      </c>
      <c r="G556" s="265" t="str">
        <f>IFERROR(__xludf.DUMMYFUNCTION("""COMPUTED_VALUE"""),"Enterprise")</f>
        <v>Enterprise</v>
      </c>
      <c r="H556" s="265" t="str">
        <f>IFERROR(__xludf.DUMMYFUNCTION("""COMPUTED_VALUE"""),"Trả sau")</f>
        <v>Trả sau</v>
      </c>
      <c r="I556" s="265" t="str">
        <f>IFERROR(__xludf.DUMMYFUNCTION("""COMPUTED_VALUE"""),"API &amp; Portal")</f>
        <v>API &amp; Portal</v>
      </c>
      <c r="J556" s="265" t="str">
        <f>IFERROR(__xludf.DUMMYFUNCTION("""COMPUTED_VALUE"""),"API")</f>
        <v>API</v>
      </c>
    </row>
    <row r="557">
      <c r="A557" s="265" t="str">
        <f>IFERROR(__xludf.DUMMYFUNCTION("""COMPUTED_VALUE"""),"815")</f>
        <v>815</v>
      </c>
      <c r="B557" s="265" t="str">
        <f>IFERROR(__xludf.DUMMYFUNCTION("""COMPUTED_VALUE"""),"Sài Gòn")</f>
        <v>Sài Gòn</v>
      </c>
      <c r="C557" s="265" t="str">
        <f>IFERROR(__xludf.DUMMYFUNCTION("""COMPUTED_VALUE"""),"Locked")</f>
        <v>Locked</v>
      </c>
      <c r="D557" s="265" t="str">
        <f>IFERROR(__xludf.DUMMYFUNCTION("""COMPUTED_VALUE"""),"Sản xuất &amp; Chế tạo")</f>
        <v>Sản xuất &amp; Chế tạo</v>
      </c>
      <c r="E557" s="265" t="str">
        <f>IFERROR(__xludf.DUMMYFUNCTION("""COMPUTED_VALUE"""),"HoaNTM")</f>
        <v>HoaNTM</v>
      </c>
      <c r="F557" s="265" t="str">
        <f>IFERROR(__xludf.DUMMYFUNCTION("""COMPUTED_VALUE"""),"Silver")</f>
        <v>Silver</v>
      </c>
      <c r="G557" s="265" t="str">
        <f>IFERROR(__xludf.DUMMYFUNCTION("""COMPUTED_VALUE"""),"Starter")</f>
        <v>Starter</v>
      </c>
      <c r="H557" s="265" t="str">
        <f>IFERROR(__xludf.DUMMYFUNCTION("""COMPUTED_VALUE"""),"Trial")</f>
        <v>Trial</v>
      </c>
      <c r="I557" s="265" t="str">
        <f>IFERROR(__xludf.DUMMYFUNCTION("""COMPUTED_VALUE"""),"Portal")</f>
        <v>Portal</v>
      </c>
      <c r="J557" s="265" t="str">
        <f>IFERROR(__xludf.DUMMYFUNCTION("""COMPUTED_VALUE"""),"File Excel")</f>
        <v>File Excel</v>
      </c>
    </row>
    <row r="558">
      <c r="A558" s="265" t="str">
        <f>IFERROR(__xludf.DUMMYFUNCTION("""COMPUTED_VALUE"""),"820")</f>
        <v>820</v>
      </c>
      <c r="B558" s="265" t="str">
        <f>IFERROR(__xludf.DUMMYFUNCTION("""COMPUTED_VALUE"""),"Sài Gòn")</f>
        <v>Sài Gòn</v>
      </c>
      <c r="C558" s="265" t="str">
        <f>IFERROR(__xludf.DUMMYFUNCTION("""COMPUTED_VALUE"""),"Locked")</f>
        <v>Locked</v>
      </c>
      <c r="D558" s="265" t="str">
        <f>IFERROR(__xludf.DUMMYFUNCTION("""COMPUTED_VALUE"""),"Thực phẩm &amp; Đồ uống")</f>
        <v>Thực phẩm &amp; Đồ uống</v>
      </c>
      <c r="E558" s="265" t="str">
        <f>IFERROR(__xludf.DUMMYFUNCTION("""COMPUTED_VALUE"""),"HoaNTM")</f>
        <v>HoaNTM</v>
      </c>
      <c r="F558" s="265" t="str">
        <f>IFERROR(__xludf.DUMMYFUNCTION("""COMPUTED_VALUE"""),"Sale chưa cung cấp")</f>
        <v>Sale chưa cung cấp</v>
      </c>
      <c r="G558" s="265" t="str">
        <f>IFERROR(__xludf.DUMMYFUNCTION("""COMPUTED_VALUE"""),"Enterprise")</f>
        <v>Enterprise</v>
      </c>
      <c r="H558" s="265" t="str">
        <f>IFERROR(__xludf.DUMMYFUNCTION("""COMPUTED_VALUE"""),"Trả sau")</f>
        <v>Trả sau</v>
      </c>
      <c r="I558" s="265" t="str">
        <f>IFERROR(__xludf.DUMMYFUNCTION("""COMPUTED_VALUE"""),"API &amp; Portal")</f>
        <v>API &amp; Portal</v>
      </c>
      <c r="J558" s="265" t="str">
        <f>IFERROR(__xludf.DUMMYFUNCTION("""COMPUTED_VALUE"""),"API")</f>
        <v>API</v>
      </c>
    </row>
    <row r="559">
      <c r="A559" s="265" t="str">
        <f>IFERROR(__xludf.DUMMYFUNCTION("""COMPUTED_VALUE"""),"821")</f>
        <v>821</v>
      </c>
      <c r="B559" s="265" t="str">
        <f>IFERROR(__xludf.DUMMYFUNCTION("""COMPUTED_VALUE"""),"Sài Gòn")</f>
        <v>Sài Gòn</v>
      </c>
      <c r="C559" s="265" t="str">
        <f>IFERROR(__xludf.DUMMYFUNCTION("""COMPUTED_VALUE"""),"Locked")</f>
        <v>Locked</v>
      </c>
      <c r="D559" s="265" t="str">
        <f>IFERROR(__xludf.DUMMYFUNCTION("""COMPUTED_VALUE"""),"Thực phẩm &amp; Đồ uống")</f>
        <v>Thực phẩm &amp; Đồ uống</v>
      </c>
      <c r="E559" s="265" t="str">
        <f>IFERROR(__xludf.DUMMYFUNCTION("""COMPUTED_VALUE"""),"HoaNTM")</f>
        <v>HoaNTM</v>
      </c>
      <c r="F559" s="265" t="str">
        <f>IFERROR(__xludf.DUMMYFUNCTION("""COMPUTED_VALUE"""),"Sale chưa cung cấp")</f>
        <v>Sale chưa cung cấp</v>
      </c>
      <c r="G559" s="265" t="str">
        <f>IFERROR(__xludf.DUMMYFUNCTION("""COMPUTED_VALUE"""),"Enterprise")</f>
        <v>Enterprise</v>
      </c>
      <c r="H559" s="265" t="str">
        <f>IFERROR(__xludf.DUMMYFUNCTION("""COMPUTED_VALUE"""),"Trả sau")</f>
        <v>Trả sau</v>
      </c>
      <c r="I559" s="265" t="str">
        <f>IFERROR(__xludf.DUMMYFUNCTION("""COMPUTED_VALUE"""),"API &amp; Portal")</f>
        <v>API &amp; Portal</v>
      </c>
      <c r="J559" s="265" t="str">
        <f>IFERROR(__xludf.DUMMYFUNCTION("""COMPUTED_VALUE"""),"API")</f>
        <v>API</v>
      </c>
    </row>
    <row r="560">
      <c r="A560" s="265" t="str">
        <f>IFERROR(__xludf.DUMMYFUNCTION("""COMPUTED_VALUE"""),"816")</f>
        <v>816</v>
      </c>
      <c r="B560" s="265" t="str">
        <f>IFERROR(__xludf.DUMMYFUNCTION("""COMPUTED_VALUE"""),"Hà Nội")</f>
        <v>Hà Nội</v>
      </c>
      <c r="C560" s="265" t="str">
        <f>IFERROR(__xludf.DUMMYFUNCTION("""COMPUTED_VALUE"""),"Locked")</f>
        <v>Locked</v>
      </c>
      <c r="D560" s="265" t="str">
        <f>IFERROR(__xludf.DUMMYFUNCTION("""COMPUTED_VALUE"""),"Sale chưa cung cấp")</f>
        <v>Sale chưa cung cấp</v>
      </c>
      <c r="E560" s="265" t="str">
        <f>IFERROR(__xludf.DUMMYFUNCTION("""COMPUTED_VALUE"""),"TùngLD")</f>
        <v>TùngLD</v>
      </c>
      <c r="F560" s="265" t="str">
        <f>IFERROR(__xludf.DUMMYFUNCTION("""COMPUTED_VALUE"""),"Gold")</f>
        <v>Gold</v>
      </c>
      <c r="G560" s="265" t="str">
        <f>IFERROR(__xludf.DUMMYFUNCTION("""COMPUTED_VALUE"""),"Premium")</f>
        <v>Premium</v>
      </c>
      <c r="H560" s="265" t="str">
        <f>IFERROR(__xludf.DUMMYFUNCTION("""COMPUTED_VALUE"""),"Trả sau")</f>
        <v>Trả sau</v>
      </c>
      <c r="I560" s="265" t="str">
        <f>IFERROR(__xludf.DUMMYFUNCTION("""COMPUTED_VALUE"""),"API")</f>
        <v>API</v>
      </c>
      <c r="J560" s="265" t="str">
        <f>IFERROR(__xludf.DUMMYFUNCTION("""COMPUTED_VALUE"""),"HubSpot")</f>
        <v>HubSpot</v>
      </c>
    </row>
    <row r="561">
      <c r="A561" s="265" t="str">
        <f>IFERROR(__xludf.DUMMYFUNCTION("""COMPUTED_VALUE"""),"817")</f>
        <v>817</v>
      </c>
      <c r="B561" s="265" t="str">
        <f>IFERROR(__xludf.DUMMYFUNCTION("""COMPUTED_VALUE"""),"Hà Nội")</f>
        <v>Hà Nội</v>
      </c>
      <c r="C561" s="265" t="str">
        <f>IFERROR(__xludf.DUMMYFUNCTION("""COMPUTED_VALUE"""),"Locked")</f>
        <v>Locked</v>
      </c>
      <c r="D561" s="265" t="str">
        <f>IFERROR(__xludf.DUMMYFUNCTION("""COMPUTED_VALUE"""),"Sale chưa cung cấp")</f>
        <v>Sale chưa cung cấp</v>
      </c>
      <c r="E561" s="265" t="str">
        <f>IFERROR(__xludf.DUMMYFUNCTION("""COMPUTED_VALUE"""),"AnhNM")</f>
        <v>AnhNM</v>
      </c>
      <c r="F561" s="265" t="str">
        <f>IFERROR(__xludf.DUMMYFUNCTION("""COMPUTED_VALUE"""),"Bronze")</f>
        <v>Bronze</v>
      </c>
      <c r="G561" s="265" t="str">
        <f>IFERROR(__xludf.DUMMYFUNCTION("""COMPUTED_VALUE"""),"Starter")</f>
        <v>Starter</v>
      </c>
      <c r="H561" s="265" t="str">
        <f>IFERROR(__xludf.DUMMYFUNCTION("""COMPUTED_VALUE"""),"Trả trước")</f>
        <v>Trả trước</v>
      </c>
      <c r="I561" s="265" t="str">
        <f>IFERROR(__xludf.DUMMYFUNCTION("""COMPUTED_VALUE"""),"Portal")</f>
        <v>Portal</v>
      </c>
      <c r="J561" s="265" t="str">
        <f>IFERROR(__xludf.DUMMYFUNCTION("""COMPUTED_VALUE"""),"File Excel")</f>
        <v>File Excel</v>
      </c>
    </row>
    <row r="562">
      <c r="A562" s="265" t="str">
        <f>IFERROR(__xludf.DUMMYFUNCTION("""COMPUTED_VALUE"""),"819")</f>
        <v>819</v>
      </c>
      <c r="B562" s="265" t="str">
        <f>IFERROR(__xludf.DUMMYFUNCTION("""COMPUTED_VALUE"""),"Đà Nẵng")</f>
        <v>Đà Nẵng</v>
      </c>
      <c r="C562" s="265" t="str">
        <f>IFERROR(__xludf.DUMMYFUNCTION("""COMPUTED_VALUE"""),"Active")</f>
        <v>Active</v>
      </c>
      <c r="D562" s="265" t="str">
        <f>IFERROR(__xludf.DUMMYFUNCTION("""COMPUTED_VALUE"""),"Sale chưa cung cấp")</f>
        <v>Sale chưa cung cấp</v>
      </c>
      <c r="E562" s="265" t="str">
        <f>IFERROR(__xludf.DUMMYFUNCTION("""COMPUTED_VALUE"""),"AnhNM")</f>
        <v>AnhNM</v>
      </c>
      <c r="F562" s="265" t="str">
        <f>IFERROR(__xludf.DUMMYFUNCTION("""COMPUTED_VALUE"""),"Bronze")</f>
        <v>Bronze</v>
      </c>
      <c r="G562" s="265" t="str">
        <f>IFERROR(__xludf.DUMMYFUNCTION("""COMPUTED_VALUE"""),"Starter")</f>
        <v>Starter</v>
      </c>
      <c r="H562" s="265" t="str">
        <f>IFERROR(__xludf.DUMMYFUNCTION("""COMPUTED_VALUE"""),"Trả sau")</f>
        <v>Trả sau</v>
      </c>
      <c r="I562" s="265" t="str">
        <f>IFERROR(__xludf.DUMMYFUNCTION("""COMPUTED_VALUE"""),"API")</f>
        <v>API</v>
      </c>
      <c r="J562" s="265" t="str">
        <f>IFERROR(__xludf.DUMMYFUNCTION("""COMPUTED_VALUE"""),"API")</f>
        <v>API</v>
      </c>
    </row>
    <row r="563">
      <c r="A563" s="265" t="str">
        <f>IFERROR(__xludf.DUMMYFUNCTION("""COMPUTED_VALUE"""),"818")</f>
        <v>818</v>
      </c>
      <c r="B563" s="265" t="str">
        <f>IFERROR(__xludf.DUMMYFUNCTION("""COMPUTED_VALUE"""),"Đà Nẵng")</f>
        <v>Đà Nẵng</v>
      </c>
      <c r="C563" s="265" t="str">
        <f>IFERROR(__xludf.DUMMYFUNCTION("""COMPUTED_VALUE"""),"Locked")</f>
        <v>Locked</v>
      </c>
      <c r="D563" s="265" t="str">
        <f>IFERROR(__xludf.DUMMYFUNCTION("""COMPUTED_VALUE"""),"Mua sắm &amp; Bán lẻ")</f>
        <v>Mua sắm &amp; Bán lẻ</v>
      </c>
      <c r="E563" s="265" t="str">
        <f>IFERROR(__xludf.DUMMYFUNCTION("""COMPUTED_VALUE"""),"TúPHN")</f>
        <v>TúPHN</v>
      </c>
      <c r="F563" s="265" t="str">
        <f>IFERROR(__xludf.DUMMYFUNCTION("""COMPUTED_VALUE"""),"Gold")</f>
        <v>Gold</v>
      </c>
      <c r="G563" s="265" t="str">
        <f>IFERROR(__xludf.DUMMYFUNCTION("""COMPUTED_VALUE"""),"Enterprise")</f>
        <v>Enterprise</v>
      </c>
      <c r="H563" s="265" t="str">
        <f>IFERROR(__xludf.DUMMYFUNCTION("""COMPUTED_VALUE"""),"Trả trước")</f>
        <v>Trả trước</v>
      </c>
      <c r="I563" s="265" t="str">
        <f>IFERROR(__xludf.DUMMYFUNCTION("""COMPUTED_VALUE"""),"API &amp; Portal")</f>
        <v>API &amp; Portal</v>
      </c>
      <c r="J563" s="265" t="str">
        <f>IFERROR(__xludf.DUMMYFUNCTION("""COMPUTED_VALUE"""),"File Excel")</f>
        <v>File Excel</v>
      </c>
    </row>
    <row r="564">
      <c r="A564" s="265" t="str">
        <f>IFERROR(__xludf.DUMMYFUNCTION("""COMPUTED_VALUE"""),"818")</f>
        <v>818</v>
      </c>
      <c r="B564" s="265" t="str">
        <f>IFERROR(__xludf.DUMMYFUNCTION("""COMPUTED_VALUE"""),"Đà Nẵng")</f>
        <v>Đà Nẵng</v>
      </c>
      <c r="C564" s="265" t="str">
        <f>IFERROR(__xludf.DUMMYFUNCTION("""COMPUTED_VALUE"""),"Locked")</f>
        <v>Locked</v>
      </c>
      <c r="D564" s="265" t="str">
        <f>IFERROR(__xludf.DUMMYFUNCTION("""COMPUTED_VALUE"""),"Mua sắm &amp; Bán lẻ")</f>
        <v>Mua sắm &amp; Bán lẻ</v>
      </c>
      <c r="E564" s="265" t="str">
        <f>IFERROR(__xludf.DUMMYFUNCTION("""COMPUTED_VALUE"""),"TúPHN")</f>
        <v>TúPHN</v>
      </c>
      <c r="F564" s="265" t="str">
        <f>IFERROR(__xludf.DUMMYFUNCTION("""COMPUTED_VALUE"""),"Gold")</f>
        <v>Gold</v>
      </c>
      <c r="G564" s="265" t="str">
        <f>IFERROR(__xludf.DUMMYFUNCTION("""COMPUTED_VALUE"""),"Enterprise")</f>
        <v>Enterprise</v>
      </c>
      <c r="H564" s="265" t="str">
        <f>IFERROR(__xludf.DUMMYFUNCTION("""COMPUTED_VALUE"""),"Trả trước")</f>
        <v>Trả trước</v>
      </c>
      <c r="I564" s="265" t="str">
        <f>IFERROR(__xludf.DUMMYFUNCTION("""COMPUTED_VALUE"""),"API &amp; Portal")</f>
        <v>API &amp; Portal</v>
      </c>
      <c r="J564" s="265" t="str">
        <f>IFERROR(__xludf.DUMMYFUNCTION("""COMPUTED_VALUE"""),"API")</f>
        <v>API</v>
      </c>
    </row>
    <row r="565">
      <c r="A565" s="265" t="str">
        <f>IFERROR(__xludf.DUMMYFUNCTION("""COMPUTED_VALUE"""),"822")</f>
        <v>822</v>
      </c>
      <c r="B565" s="265" t="str">
        <f>IFERROR(__xludf.DUMMYFUNCTION("""COMPUTED_VALUE"""),"Hà Nội")</f>
        <v>Hà Nội</v>
      </c>
      <c r="C565" s="265" t="str">
        <f>IFERROR(__xludf.DUMMYFUNCTION("""COMPUTED_VALUE"""),"Active")</f>
        <v>Active</v>
      </c>
      <c r="D565" s="265" t="str">
        <f>IFERROR(__xludf.DUMMYFUNCTION("""COMPUTED_VALUE"""),"Công nghệ &amp; Phần mềm")</f>
        <v>Công nghệ &amp; Phần mềm</v>
      </c>
      <c r="E565" s="265" t="str">
        <f>IFERROR(__xludf.DUMMYFUNCTION("""COMPUTED_VALUE"""),"TùngLD")</f>
        <v>TùngLD</v>
      </c>
      <c r="F565" s="265" t="str">
        <f>IFERROR(__xludf.DUMMYFUNCTION("""COMPUTED_VALUE"""),"Silver")</f>
        <v>Silver</v>
      </c>
      <c r="G565" s="265" t="str">
        <f>IFERROR(__xludf.DUMMYFUNCTION("""COMPUTED_VALUE"""),"Premium")</f>
        <v>Premium</v>
      </c>
      <c r="H565" s="265" t="str">
        <f>IFERROR(__xludf.DUMMYFUNCTION("""COMPUTED_VALUE"""),"Trả sau")</f>
        <v>Trả sau</v>
      </c>
      <c r="I565" s="265" t="str">
        <f>IFERROR(__xludf.DUMMYFUNCTION("""COMPUTED_VALUE"""),"Portal")</f>
        <v>Portal</v>
      </c>
      <c r="J565" s="265" t="str">
        <f>IFERROR(__xludf.DUMMYFUNCTION("""COMPUTED_VALUE"""),"File Excel")</f>
        <v>File Excel</v>
      </c>
    </row>
    <row r="566">
      <c r="A566" s="265" t="str">
        <f>IFERROR(__xludf.DUMMYFUNCTION("""COMPUTED_VALUE"""),"823")</f>
        <v>823</v>
      </c>
      <c r="B566" s="265" t="str">
        <f>IFERROR(__xludf.DUMMYFUNCTION("""COMPUTED_VALUE"""),"Sài Gòn")</f>
        <v>Sài Gòn</v>
      </c>
      <c r="C566" s="265" t="str">
        <f>IFERROR(__xludf.DUMMYFUNCTION("""COMPUTED_VALUE"""),"Active")</f>
        <v>Active</v>
      </c>
      <c r="D566" s="265" t="str">
        <f>IFERROR(__xludf.DUMMYFUNCTION("""COMPUTED_VALUE"""),"Sale chưa cung cấp")</f>
        <v>Sale chưa cung cấp</v>
      </c>
      <c r="E566" s="265" t="str">
        <f>IFERROR(__xludf.DUMMYFUNCTION("""COMPUTED_VALUE"""),"TùngLD")</f>
        <v>TùngLD</v>
      </c>
      <c r="F566" s="265" t="str">
        <f>IFERROR(__xludf.DUMMYFUNCTION("""COMPUTED_VALUE"""),"Diamond")</f>
        <v>Diamond</v>
      </c>
      <c r="G566" s="265" t="str">
        <f>IFERROR(__xludf.DUMMYFUNCTION("""COMPUTED_VALUE"""),"Enterprise")</f>
        <v>Enterprise</v>
      </c>
      <c r="H566" s="265" t="str">
        <f>IFERROR(__xludf.DUMMYFUNCTION("""COMPUTED_VALUE"""),"Trả sau")</f>
        <v>Trả sau</v>
      </c>
      <c r="I566" s="265" t="str">
        <f>IFERROR(__xludf.DUMMYFUNCTION("""COMPUTED_VALUE"""),"API &amp; Portal")</f>
        <v>API &amp; Portal</v>
      </c>
      <c r="J566" s="265" t="str">
        <f>IFERROR(__xludf.DUMMYFUNCTION("""COMPUTED_VALUE"""),"File Excel")</f>
        <v>File Excel</v>
      </c>
    </row>
    <row r="567">
      <c r="A567" s="265" t="str">
        <f>IFERROR(__xludf.DUMMYFUNCTION("""COMPUTED_VALUE"""),"823")</f>
        <v>823</v>
      </c>
      <c r="B567" s="265" t="str">
        <f>IFERROR(__xludf.DUMMYFUNCTION("""COMPUTED_VALUE"""),"Sài Gòn")</f>
        <v>Sài Gòn</v>
      </c>
      <c r="C567" s="265" t="str">
        <f>IFERROR(__xludf.DUMMYFUNCTION("""COMPUTED_VALUE"""),"Active")</f>
        <v>Active</v>
      </c>
      <c r="D567" s="265" t="str">
        <f>IFERROR(__xludf.DUMMYFUNCTION("""COMPUTED_VALUE"""),"Sale chưa cung cấp")</f>
        <v>Sale chưa cung cấp</v>
      </c>
      <c r="E567" s="265" t="str">
        <f>IFERROR(__xludf.DUMMYFUNCTION("""COMPUTED_VALUE"""),"TùngLD")</f>
        <v>TùngLD</v>
      </c>
      <c r="F567" s="265" t="str">
        <f>IFERROR(__xludf.DUMMYFUNCTION("""COMPUTED_VALUE"""),"Diamond")</f>
        <v>Diamond</v>
      </c>
      <c r="G567" s="265" t="str">
        <f>IFERROR(__xludf.DUMMYFUNCTION("""COMPUTED_VALUE"""),"Enterprise")</f>
        <v>Enterprise</v>
      </c>
      <c r="H567" s="265" t="str">
        <f>IFERROR(__xludf.DUMMYFUNCTION("""COMPUTED_VALUE"""),"Trả sau")</f>
        <v>Trả sau</v>
      </c>
      <c r="I567" s="265" t="str">
        <f>IFERROR(__xludf.DUMMYFUNCTION("""COMPUTED_VALUE"""),"API &amp; Portal")</f>
        <v>API &amp; Portal</v>
      </c>
      <c r="J567" s="265" t="str">
        <f>IFERROR(__xludf.DUMMYFUNCTION("""COMPUTED_VALUE"""),"API")</f>
        <v>API</v>
      </c>
    </row>
    <row r="568">
      <c r="A568" s="265" t="str">
        <f>IFERROR(__xludf.DUMMYFUNCTION("""COMPUTED_VALUE"""),"761")</f>
        <v>761</v>
      </c>
      <c r="B568" s="265" t="str">
        <f>IFERROR(__xludf.DUMMYFUNCTION("""COMPUTED_VALUE"""),"Hà Nội")</f>
        <v>Hà Nội</v>
      </c>
      <c r="C568" s="265" t="str">
        <f>IFERROR(__xludf.DUMMYFUNCTION("""COMPUTED_VALUE"""),"Locked")</f>
        <v>Locked</v>
      </c>
      <c r="D568" s="265" t="str">
        <f>IFERROR(__xludf.DUMMYFUNCTION("""COMPUTED_VALUE"""),"Y tế &amp; Dược phẩm")</f>
        <v>Y tế &amp; Dược phẩm</v>
      </c>
      <c r="E568" s="265" t="str">
        <f>IFERROR(__xludf.DUMMYFUNCTION("""COMPUTED_VALUE"""),"TùngLD")</f>
        <v>TùngLD</v>
      </c>
      <c r="F568" s="265" t="str">
        <f>IFERROR(__xludf.DUMMYFUNCTION("""COMPUTED_VALUE"""),"Sale chưa cung cấp")</f>
        <v>Sale chưa cung cấp</v>
      </c>
      <c r="G568" s="265" t="str">
        <f>IFERROR(__xludf.DUMMYFUNCTION("""COMPUTED_VALUE"""),"Premium")</f>
        <v>Premium</v>
      </c>
      <c r="H568" s="265" t="str">
        <f>IFERROR(__xludf.DUMMYFUNCTION("""COMPUTED_VALUE"""),"Trial")</f>
        <v>Trial</v>
      </c>
      <c r="I568" s="265" t="str">
        <f>IFERROR(__xludf.DUMMYFUNCTION("""COMPUTED_VALUE"""),"API")</f>
        <v>API</v>
      </c>
      <c r="J568" s="265" t="str">
        <f>IFERROR(__xludf.DUMMYFUNCTION("""COMPUTED_VALUE"""),"HubSpot")</f>
        <v>HubSpot</v>
      </c>
    </row>
    <row r="569">
      <c r="A569" s="265" t="str">
        <f>IFERROR(__xludf.DUMMYFUNCTION("""COMPUTED_VALUE"""),"824")</f>
        <v>824</v>
      </c>
      <c r="B569" s="265" t="str">
        <f>IFERROR(__xludf.DUMMYFUNCTION("""COMPUTED_VALUE"""),"Hà Nội")</f>
        <v>Hà Nội</v>
      </c>
      <c r="C569" s="265" t="str">
        <f>IFERROR(__xludf.DUMMYFUNCTION("""COMPUTED_VALUE"""),"Locked")</f>
        <v>Locked</v>
      </c>
      <c r="D569" s="265" t="str">
        <f>IFERROR(__xludf.DUMMYFUNCTION("""COMPUTED_VALUE"""),"Sale chưa cung cấp")</f>
        <v>Sale chưa cung cấp</v>
      </c>
      <c r="E569" s="265" t="str">
        <f>IFERROR(__xludf.DUMMYFUNCTION("""COMPUTED_VALUE"""),"TùngLD")</f>
        <v>TùngLD</v>
      </c>
      <c r="F569" s="265" t="str">
        <f>IFERROR(__xludf.DUMMYFUNCTION("""COMPUTED_VALUE"""),"Diamond")</f>
        <v>Diamond</v>
      </c>
      <c r="G569" s="265" t="str">
        <f>IFERROR(__xludf.DUMMYFUNCTION("""COMPUTED_VALUE"""),"Starter")</f>
        <v>Starter</v>
      </c>
      <c r="H569" s="265" t="str">
        <f>IFERROR(__xludf.DUMMYFUNCTION("""COMPUTED_VALUE"""),"Trial")</f>
        <v>Trial</v>
      </c>
      <c r="I569" s="265" t="str">
        <f>IFERROR(__xludf.DUMMYFUNCTION("""COMPUTED_VALUE"""),"Portal")</f>
        <v>Portal</v>
      </c>
      <c r="J569" s="265" t="str">
        <f>IFERROR(__xludf.DUMMYFUNCTION("""COMPUTED_VALUE"""),"HubSpot")</f>
        <v>HubSpot</v>
      </c>
    </row>
    <row r="570">
      <c r="A570" s="265" t="str">
        <f>IFERROR(__xludf.DUMMYFUNCTION("""COMPUTED_VALUE"""),"825")</f>
        <v>825</v>
      </c>
      <c r="B570" s="265" t="str">
        <f>IFERROR(__xludf.DUMMYFUNCTION("""COMPUTED_VALUE"""),"Hà Nội")</f>
        <v>Hà Nội</v>
      </c>
      <c r="C570" s="265" t="str">
        <f>IFERROR(__xludf.DUMMYFUNCTION("""COMPUTED_VALUE"""),"Active")</f>
        <v>Active</v>
      </c>
      <c r="D570" s="265" t="str">
        <f>IFERROR(__xludf.DUMMYFUNCTION("""COMPUTED_VALUE"""),"Sale chưa cung cấp")</f>
        <v>Sale chưa cung cấp</v>
      </c>
      <c r="E570" s="265" t="str">
        <f>IFERROR(__xludf.DUMMYFUNCTION("""COMPUTED_VALUE"""),"AnhNM")</f>
        <v>AnhNM</v>
      </c>
      <c r="F570" s="265" t="str">
        <f>IFERROR(__xludf.DUMMYFUNCTION("""COMPUTED_VALUE"""),"Silver")</f>
        <v>Silver</v>
      </c>
      <c r="G570" s="265" t="str">
        <f>IFERROR(__xludf.DUMMYFUNCTION("""COMPUTED_VALUE"""),"Starter")</f>
        <v>Starter</v>
      </c>
      <c r="H570" s="265" t="str">
        <f>IFERROR(__xludf.DUMMYFUNCTION("""COMPUTED_VALUE"""),"Trả trước")</f>
        <v>Trả trước</v>
      </c>
      <c r="I570" s="265" t="str">
        <f>IFERROR(__xludf.DUMMYFUNCTION("""COMPUTED_VALUE"""),"Portal")</f>
        <v>Portal</v>
      </c>
      <c r="J570" s="265" t="str">
        <f>IFERROR(__xludf.DUMMYFUNCTION("""COMPUTED_VALUE"""),"File Excel")</f>
        <v>File Excel</v>
      </c>
    </row>
    <row r="571">
      <c r="A571" s="265" t="str">
        <f>IFERROR(__xludf.DUMMYFUNCTION("""COMPUTED_VALUE"""),"826")</f>
        <v>826</v>
      </c>
      <c r="B571" s="265" t="str">
        <f>IFERROR(__xludf.DUMMYFUNCTION("""COMPUTED_VALUE"""),"Sài Gòn")</f>
        <v>Sài Gòn</v>
      </c>
      <c r="C571" s="265" t="str">
        <f>IFERROR(__xludf.DUMMYFUNCTION("""COMPUTED_VALUE"""),"Locked")</f>
        <v>Locked</v>
      </c>
      <c r="D571" s="265" t="str">
        <f>IFERROR(__xludf.DUMMYFUNCTION("""COMPUTED_VALUE"""),"Sản xuất &amp; Chế tạo")</f>
        <v>Sản xuất &amp; Chế tạo</v>
      </c>
      <c r="E571" s="265" t="str">
        <f>IFERROR(__xludf.DUMMYFUNCTION("""COMPUTED_VALUE"""),"HoaNTM")</f>
        <v>HoaNTM</v>
      </c>
      <c r="F571" s="265" t="str">
        <f>IFERROR(__xludf.DUMMYFUNCTION("""COMPUTED_VALUE"""),"Sale chưa cung cấp")</f>
        <v>Sale chưa cung cấp</v>
      </c>
      <c r="G571" s="265" t="str">
        <f>IFERROR(__xludf.DUMMYFUNCTION("""COMPUTED_VALUE"""),"API")</f>
        <v>API</v>
      </c>
      <c r="H571" s="265" t="str">
        <f>IFERROR(__xludf.DUMMYFUNCTION("""COMPUTED_VALUE"""),"Trả trước")</f>
        <v>Trả trước</v>
      </c>
      <c r="I571" s="265" t="str">
        <f>IFERROR(__xludf.DUMMYFUNCTION("""COMPUTED_VALUE"""),"API")</f>
        <v>API</v>
      </c>
      <c r="J571" s="265" t="str">
        <f>IFERROR(__xludf.DUMMYFUNCTION("""COMPUTED_VALUE"""),"API")</f>
        <v>API</v>
      </c>
    </row>
    <row r="572">
      <c r="A572" s="265" t="str">
        <f>IFERROR(__xludf.DUMMYFUNCTION("""COMPUTED_VALUE"""),"827")</f>
        <v>827</v>
      </c>
      <c r="B572" s="265" t="str">
        <f>IFERROR(__xludf.DUMMYFUNCTION("""COMPUTED_VALUE"""),"Sài Gòn")</f>
        <v>Sài Gòn</v>
      </c>
      <c r="C572" s="265" t="str">
        <f>IFERROR(__xludf.DUMMYFUNCTION("""COMPUTED_VALUE"""),"Locked")</f>
        <v>Locked</v>
      </c>
      <c r="D572" s="265" t="str">
        <f>IFERROR(__xludf.DUMMYFUNCTION("""COMPUTED_VALUE"""),"Mua sắm &amp; Bán lẻ")</f>
        <v>Mua sắm &amp; Bán lẻ</v>
      </c>
      <c r="E572" s="265" t="str">
        <f>IFERROR(__xludf.DUMMYFUNCTION("""COMPUTED_VALUE"""),"TúPHN")</f>
        <v>TúPHN</v>
      </c>
      <c r="F572" s="265" t="str">
        <f>IFERROR(__xludf.DUMMYFUNCTION("""COMPUTED_VALUE"""),"Silver")</f>
        <v>Silver</v>
      </c>
      <c r="G572" s="265" t="str">
        <f>IFERROR(__xludf.DUMMYFUNCTION("""COMPUTED_VALUE"""),"Premium")</f>
        <v>Premium</v>
      </c>
      <c r="H572" s="265" t="str">
        <f>IFERROR(__xludf.DUMMYFUNCTION("""COMPUTED_VALUE"""),"Trả sau")</f>
        <v>Trả sau</v>
      </c>
      <c r="I572" s="265" t="str">
        <f>IFERROR(__xludf.DUMMYFUNCTION("""COMPUTED_VALUE"""),"API &amp; Portal")</f>
        <v>API &amp; Portal</v>
      </c>
      <c r="J572" s="265" t="str">
        <f>IFERROR(__xludf.DUMMYFUNCTION("""COMPUTED_VALUE"""),"File Excel")</f>
        <v>File Excel</v>
      </c>
    </row>
    <row r="573">
      <c r="A573" s="265" t="str">
        <f>IFERROR(__xludf.DUMMYFUNCTION("""COMPUTED_VALUE"""),"827")</f>
        <v>827</v>
      </c>
      <c r="B573" s="265" t="str">
        <f>IFERROR(__xludf.DUMMYFUNCTION("""COMPUTED_VALUE"""),"Sài Gòn")</f>
        <v>Sài Gòn</v>
      </c>
      <c r="C573" s="265" t="str">
        <f>IFERROR(__xludf.DUMMYFUNCTION("""COMPUTED_VALUE"""),"Locked")</f>
        <v>Locked</v>
      </c>
      <c r="D573" s="265" t="str">
        <f>IFERROR(__xludf.DUMMYFUNCTION("""COMPUTED_VALUE"""),"Mua sắm &amp; Bán lẻ")</f>
        <v>Mua sắm &amp; Bán lẻ</v>
      </c>
      <c r="E573" s="265" t="str">
        <f>IFERROR(__xludf.DUMMYFUNCTION("""COMPUTED_VALUE"""),"TúPHN")</f>
        <v>TúPHN</v>
      </c>
      <c r="F573" s="265" t="str">
        <f>IFERROR(__xludf.DUMMYFUNCTION("""COMPUTED_VALUE"""),"Silver")</f>
        <v>Silver</v>
      </c>
      <c r="G573" s="265" t="str">
        <f>IFERROR(__xludf.DUMMYFUNCTION("""COMPUTED_VALUE"""),"Premium")</f>
        <v>Premium</v>
      </c>
      <c r="H573" s="265" t="str">
        <f>IFERROR(__xludf.DUMMYFUNCTION("""COMPUTED_VALUE"""),"Trả sau")</f>
        <v>Trả sau</v>
      </c>
      <c r="I573" s="265" t="str">
        <f>IFERROR(__xludf.DUMMYFUNCTION("""COMPUTED_VALUE"""),"API &amp; Portal")</f>
        <v>API &amp; Portal</v>
      </c>
      <c r="J573" s="265" t="str">
        <f>IFERROR(__xludf.DUMMYFUNCTION("""COMPUTED_VALUE"""),"API")</f>
        <v>API</v>
      </c>
    </row>
    <row r="574">
      <c r="A574" s="265" t="str">
        <f>IFERROR(__xludf.DUMMYFUNCTION("""COMPUTED_VALUE"""),"828")</f>
        <v>828</v>
      </c>
      <c r="B574" s="265" t="str">
        <f>IFERROR(__xludf.DUMMYFUNCTION("""COMPUTED_VALUE"""),"Hà Nội")</f>
        <v>Hà Nội</v>
      </c>
      <c r="C574" s="265" t="str">
        <f>IFERROR(__xludf.DUMMYFUNCTION("""COMPUTED_VALUE"""),"Active")</f>
        <v>Active</v>
      </c>
      <c r="D574" s="265" t="str">
        <f>IFERROR(__xludf.DUMMYFUNCTION("""COMPUTED_VALUE"""),"Vận tải &amp; logistics")</f>
        <v>Vận tải &amp; logistics</v>
      </c>
      <c r="E574" s="265" t="str">
        <f>IFERROR(__xludf.DUMMYFUNCTION("""COMPUTED_VALUE"""),"TùngLD")</f>
        <v>TùngLD</v>
      </c>
      <c r="F574" s="265" t="str">
        <f>IFERROR(__xludf.DUMMYFUNCTION("""COMPUTED_VALUE"""),"Silver")</f>
        <v>Silver</v>
      </c>
      <c r="G574" s="265" t="str">
        <f>IFERROR(__xludf.DUMMYFUNCTION("""COMPUTED_VALUE"""),"Premium")</f>
        <v>Premium</v>
      </c>
      <c r="H574" s="265" t="str">
        <f>IFERROR(__xludf.DUMMYFUNCTION("""COMPUTED_VALUE"""),"Trả sau")</f>
        <v>Trả sau</v>
      </c>
      <c r="I574" s="265" t="str">
        <f>IFERROR(__xludf.DUMMYFUNCTION("""COMPUTED_VALUE"""),"API &amp; Portal")</f>
        <v>API &amp; Portal</v>
      </c>
      <c r="J574" s="265" t="str">
        <f>IFERROR(__xludf.DUMMYFUNCTION("""COMPUTED_VALUE"""),"API")</f>
        <v>API</v>
      </c>
    </row>
    <row r="575">
      <c r="A575" s="265" t="str">
        <f>IFERROR(__xludf.DUMMYFUNCTION("""COMPUTED_VALUE"""),"829")</f>
        <v>829</v>
      </c>
      <c r="B575" s="265" t="str">
        <f>IFERROR(__xludf.DUMMYFUNCTION("""COMPUTED_VALUE"""),"Sài Gòn")</f>
        <v>Sài Gòn</v>
      </c>
      <c r="C575" s="265" t="str">
        <f>IFERROR(__xludf.DUMMYFUNCTION("""COMPUTED_VALUE"""),"Locked")</f>
        <v>Locked</v>
      </c>
      <c r="D575" s="265" t="str">
        <f>IFERROR(__xludf.DUMMYFUNCTION("""COMPUTED_VALUE"""),"Sale chưa cung cấp")</f>
        <v>Sale chưa cung cấp</v>
      </c>
      <c r="E575" s="265" t="str">
        <f>IFERROR(__xludf.DUMMYFUNCTION("""COMPUTED_VALUE"""),"TùngLD")</f>
        <v>TùngLD</v>
      </c>
      <c r="F575" s="265" t="str">
        <f>IFERROR(__xludf.DUMMYFUNCTION("""COMPUTED_VALUE"""),"Silver")</f>
        <v>Silver</v>
      </c>
      <c r="G575" s="265" t="str">
        <f>IFERROR(__xludf.DUMMYFUNCTION("""COMPUTED_VALUE"""),"Starter")</f>
        <v>Starter</v>
      </c>
      <c r="H575" s="265" t="str">
        <f>IFERROR(__xludf.DUMMYFUNCTION("""COMPUTED_VALUE"""),"Trial")</f>
        <v>Trial</v>
      </c>
      <c r="I575" s="265" t="str">
        <f>IFERROR(__xludf.DUMMYFUNCTION("""COMPUTED_VALUE"""),"API")</f>
        <v>API</v>
      </c>
      <c r="J575" s="265" t="str">
        <f>IFERROR(__xludf.DUMMYFUNCTION("""COMPUTED_VALUE"""),"API")</f>
        <v>API</v>
      </c>
    </row>
    <row r="576">
      <c r="A576" s="265" t="str">
        <f>IFERROR(__xludf.DUMMYFUNCTION("""COMPUTED_VALUE"""),"830")</f>
        <v>830</v>
      </c>
      <c r="B576" s="265" t="str">
        <f>IFERROR(__xludf.DUMMYFUNCTION("""COMPUTED_VALUE"""),"Hà Nội")</f>
        <v>Hà Nội</v>
      </c>
      <c r="C576" s="265" t="str">
        <f>IFERROR(__xludf.DUMMYFUNCTION("""COMPUTED_VALUE"""),"Locked")</f>
        <v>Locked</v>
      </c>
      <c r="D576" s="265" t="str">
        <f>IFERROR(__xludf.DUMMYFUNCTION("""COMPUTED_VALUE"""),"Viễn thông")</f>
        <v>Viễn thông</v>
      </c>
      <c r="E576" s="265" t="str">
        <f>IFERROR(__xludf.DUMMYFUNCTION("""COMPUTED_VALUE"""),"TúPHN")</f>
        <v>TúPHN</v>
      </c>
      <c r="F576" s="265" t="str">
        <f>IFERROR(__xludf.DUMMYFUNCTION("""COMPUTED_VALUE"""),"Gold")</f>
        <v>Gold</v>
      </c>
      <c r="G576" s="265" t="str">
        <f>IFERROR(__xludf.DUMMYFUNCTION("""COMPUTED_VALUE"""),"Starter")</f>
        <v>Starter</v>
      </c>
      <c r="H576" s="265" t="str">
        <f>IFERROR(__xludf.DUMMYFUNCTION("""COMPUTED_VALUE"""),"Trả sau")</f>
        <v>Trả sau</v>
      </c>
      <c r="I576" s="265" t="str">
        <f>IFERROR(__xludf.DUMMYFUNCTION("""COMPUTED_VALUE"""),"API")</f>
        <v>API</v>
      </c>
      <c r="J576" s="265" t="str">
        <f>IFERROR(__xludf.DUMMYFUNCTION("""COMPUTED_VALUE"""),"API")</f>
        <v>API</v>
      </c>
    </row>
    <row r="577">
      <c r="A577" s="265" t="str">
        <f>IFERROR(__xludf.DUMMYFUNCTION("""COMPUTED_VALUE"""),"831")</f>
        <v>831</v>
      </c>
      <c r="B577" s="265" t="str">
        <f>IFERROR(__xludf.DUMMYFUNCTION("""COMPUTED_VALUE"""),"Sài Gòn")</f>
        <v>Sài Gòn</v>
      </c>
      <c r="C577" s="265" t="str">
        <f>IFERROR(__xludf.DUMMYFUNCTION("""COMPUTED_VALUE"""),"Locked")</f>
        <v>Locked</v>
      </c>
      <c r="D577" s="265" t="str">
        <f>IFERROR(__xludf.DUMMYFUNCTION("""COMPUTED_VALUE"""),"Sale chưa cung cấp")</f>
        <v>Sale chưa cung cấp</v>
      </c>
      <c r="E577" s="265" t="str">
        <f>IFERROR(__xludf.DUMMYFUNCTION("""COMPUTED_VALUE"""),"HoaNTM")</f>
        <v>HoaNTM</v>
      </c>
      <c r="F577" s="265" t="str">
        <f>IFERROR(__xludf.DUMMYFUNCTION("""COMPUTED_VALUE"""),"Diamond")</f>
        <v>Diamond</v>
      </c>
      <c r="G577" s="265" t="str">
        <f>IFERROR(__xludf.DUMMYFUNCTION("""COMPUTED_VALUE"""),"Standard")</f>
        <v>Standard</v>
      </c>
      <c r="H577" s="265" t="str">
        <f>IFERROR(__xludf.DUMMYFUNCTION("""COMPUTED_VALUE"""),"Trả trước")</f>
        <v>Trả trước</v>
      </c>
      <c r="I577" s="265" t="str">
        <f>IFERROR(__xludf.DUMMYFUNCTION("""COMPUTED_VALUE"""),"Portal")</f>
        <v>Portal</v>
      </c>
      <c r="J577" s="265" t="str">
        <f>IFERROR(__xludf.DUMMYFUNCTION("""COMPUTED_VALUE"""),"File Excel")</f>
        <v>File Excel</v>
      </c>
    </row>
    <row r="578">
      <c r="A578" s="265" t="str">
        <f>IFERROR(__xludf.DUMMYFUNCTION("""COMPUTED_VALUE"""),"832")</f>
        <v>832</v>
      </c>
      <c r="B578" s="265" t="str">
        <f>IFERROR(__xludf.DUMMYFUNCTION("""COMPUTED_VALUE"""),"Sài Gòn")</f>
        <v>Sài Gòn</v>
      </c>
      <c r="C578" s="265" t="str">
        <f>IFERROR(__xludf.DUMMYFUNCTION("""COMPUTED_VALUE"""),"Locked")</f>
        <v>Locked</v>
      </c>
      <c r="D578" s="265" t="str">
        <f>IFERROR(__xludf.DUMMYFUNCTION("""COMPUTED_VALUE"""),"Truyền thông &amp; Giải trí")</f>
        <v>Truyền thông &amp; Giải trí</v>
      </c>
      <c r="E578" s="265" t="str">
        <f>IFERROR(__xludf.DUMMYFUNCTION("""COMPUTED_VALUE"""),"HoaNTM")</f>
        <v>HoaNTM</v>
      </c>
      <c r="F578" s="265" t="str">
        <f>IFERROR(__xludf.DUMMYFUNCTION("""COMPUTED_VALUE"""),"Sale chưa cung cấp")</f>
        <v>Sale chưa cung cấp</v>
      </c>
      <c r="G578" s="265" t="str">
        <f>IFERROR(__xludf.DUMMYFUNCTION("""COMPUTED_VALUE"""),"Standard")</f>
        <v>Standard</v>
      </c>
      <c r="H578" s="265" t="str">
        <f>IFERROR(__xludf.DUMMYFUNCTION("""COMPUTED_VALUE"""),"Trial")</f>
        <v>Trial</v>
      </c>
      <c r="I578" s="265" t="str">
        <f>IFERROR(__xludf.DUMMYFUNCTION("""COMPUTED_VALUE"""),"API &amp; Portal")</f>
        <v>API &amp; Portal</v>
      </c>
      <c r="J578" s="265" t="str">
        <f>IFERROR(__xludf.DUMMYFUNCTION("""COMPUTED_VALUE"""),"File Excel")</f>
        <v>File Excel</v>
      </c>
    </row>
    <row r="579">
      <c r="A579" s="265" t="str">
        <f>IFERROR(__xludf.DUMMYFUNCTION("""COMPUTED_VALUE"""),"832")</f>
        <v>832</v>
      </c>
      <c r="B579" s="265" t="str">
        <f>IFERROR(__xludf.DUMMYFUNCTION("""COMPUTED_VALUE"""),"Sài Gòn")</f>
        <v>Sài Gòn</v>
      </c>
      <c r="C579" s="265" t="str">
        <f>IFERROR(__xludf.DUMMYFUNCTION("""COMPUTED_VALUE"""),"Locked")</f>
        <v>Locked</v>
      </c>
      <c r="D579" s="265" t="str">
        <f>IFERROR(__xludf.DUMMYFUNCTION("""COMPUTED_VALUE"""),"Truyền thông &amp; Giải trí")</f>
        <v>Truyền thông &amp; Giải trí</v>
      </c>
      <c r="E579" s="265" t="str">
        <f>IFERROR(__xludf.DUMMYFUNCTION("""COMPUTED_VALUE"""),"HoaNTM")</f>
        <v>HoaNTM</v>
      </c>
      <c r="F579" s="265" t="str">
        <f>IFERROR(__xludf.DUMMYFUNCTION("""COMPUTED_VALUE"""),"Sale chưa cung cấp")</f>
        <v>Sale chưa cung cấp</v>
      </c>
      <c r="G579" s="265" t="str">
        <f>IFERROR(__xludf.DUMMYFUNCTION("""COMPUTED_VALUE"""),"Standard")</f>
        <v>Standard</v>
      </c>
      <c r="H579" s="265" t="str">
        <f>IFERROR(__xludf.DUMMYFUNCTION("""COMPUTED_VALUE"""),"Trial")</f>
        <v>Trial</v>
      </c>
      <c r="I579" s="265" t="str">
        <f>IFERROR(__xludf.DUMMYFUNCTION("""COMPUTED_VALUE"""),"API &amp; Portal")</f>
        <v>API &amp; Portal</v>
      </c>
      <c r="J579" s="265" t="str">
        <f>IFERROR(__xludf.DUMMYFUNCTION("""COMPUTED_VALUE"""),"API")</f>
        <v>API</v>
      </c>
    </row>
    <row r="580">
      <c r="A580" s="265" t="str">
        <f>IFERROR(__xludf.DUMMYFUNCTION("""COMPUTED_VALUE"""),"837")</f>
        <v>837</v>
      </c>
      <c r="B580" s="265" t="str">
        <f>IFERROR(__xludf.DUMMYFUNCTION("""COMPUTED_VALUE"""),"Sài Gòn")</f>
        <v>Sài Gòn</v>
      </c>
      <c r="C580" s="265" t="str">
        <f>IFERROR(__xludf.DUMMYFUNCTION("""COMPUTED_VALUE"""),"Locked")</f>
        <v>Locked</v>
      </c>
      <c r="D580" s="265" t="str">
        <f>IFERROR(__xludf.DUMMYFUNCTION("""COMPUTED_VALUE"""),"Sale chưa cung cấp")</f>
        <v>Sale chưa cung cấp</v>
      </c>
      <c r="E580" s="265" t="str">
        <f>IFERROR(__xludf.DUMMYFUNCTION("""COMPUTED_VALUE"""),"TùngLD")</f>
        <v>TùngLD</v>
      </c>
      <c r="F580" s="265" t="str">
        <f>IFERROR(__xludf.DUMMYFUNCTION("""COMPUTED_VALUE"""),"Gold")</f>
        <v>Gold</v>
      </c>
      <c r="G580" s="265" t="str">
        <f>IFERROR(__xludf.DUMMYFUNCTION("""COMPUTED_VALUE"""),"Premium")</f>
        <v>Premium</v>
      </c>
      <c r="H580" s="265" t="str">
        <f>IFERROR(__xludf.DUMMYFUNCTION("""COMPUTED_VALUE"""),"Trả sau")</f>
        <v>Trả sau</v>
      </c>
      <c r="I580" s="265" t="str">
        <f>IFERROR(__xludf.DUMMYFUNCTION("""COMPUTED_VALUE"""),"API")</f>
        <v>API</v>
      </c>
      <c r="J580" s="265" t="str">
        <f>IFERROR(__xludf.DUMMYFUNCTION("""COMPUTED_VALUE"""),"ZCA gửi ZNS")</f>
        <v>ZCA gửi ZNS</v>
      </c>
    </row>
    <row r="581">
      <c r="A581" s="265" t="str">
        <f>IFERROR(__xludf.DUMMYFUNCTION("""COMPUTED_VALUE"""),"833")</f>
        <v>833</v>
      </c>
      <c r="B581" s="265" t="str">
        <f>IFERROR(__xludf.DUMMYFUNCTION("""COMPUTED_VALUE"""),"Hà Nội")</f>
        <v>Hà Nội</v>
      </c>
      <c r="C581" s="265" t="str">
        <f>IFERROR(__xludf.DUMMYFUNCTION("""COMPUTED_VALUE"""),"Locked")</f>
        <v>Locked</v>
      </c>
      <c r="D581" s="265" t="str">
        <f>IFERROR(__xludf.DUMMYFUNCTION("""COMPUTED_VALUE"""),"Sale chưa cung cấp")</f>
        <v>Sale chưa cung cấp</v>
      </c>
      <c r="E581" s="265" t="str">
        <f>IFERROR(__xludf.DUMMYFUNCTION("""COMPUTED_VALUE"""),"TùngLD")</f>
        <v>TùngLD</v>
      </c>
      <c r="F581" s="265" t="str">
        <f>IFERROR(__xludf.DUMMYFUNCTION("""COMPUTED_VALUE"""),"Sale chưa cung cấp")</f>
        <v>Sale chưa cung cấp</v>
      </c>
      <c r="G581" s="265" t="str">
        <f>IFERROR(__xludf.DUMMYFUNCTION("""COMPUTED_VALUE"""),"(Không recheck)")</f>
        <v>(Không recheck)</v>
      </c>
      <c r="H581" s="265" t="str">
        <f>IFERROR(__xludf.DUMMYFUNCTION("""COMPUTED_VALUE"""),"Trial")</f>
        <v>Trial</v>
      </c>
      <c r="I581" s="265" t="str">
        <f>IFERROR(__xludf.DUMMYFUNCTION("""COMPUTED_VALUE"""),"API")</f>
        <v>API</v>
      </c>
      <c r="J581" s="265" t="str">
        <f>IFERROR(__xludf.DUMMYFUNCTION("""COMPUTED_VALUE"""),"API")</f>
        <v>API</v>
      </c>
    </row>
    <row r="582">
      <c r="A582" s="265" t="str">
        <f>IFERROR(__xludf.DUMMYFUNCTION("""COMPUTED_VALUE"""),"834")</f>
        <v>834</v>
      </c>
      <c r="B582" s="265" t="str">
        <f>IFERROR(__xludf.DUMMYFUNCTION("""COMPUTED_VALUE"""),"Hà Nội")</f>
        <v>Hà Nội</v>
      </c>
      <c r="C582" s="265" t="str">
        <f>IFERROR(__xludf.DUMMYFUNCTION("""COMPUTED_VALUE"""),"Locked")</f>
        <v>Locked</v>
      </c>
      <c r="D582" s="265" t="str">
        <f>IFERROR(__xludf.DUMMYFUNCTION("""COMPUTED_VALUE"""),"Sale chưa cung cấp")</f>
        <v>Sale chưa cung cấp</v>
      </c>
      <c r="E582" s="265" t="str">
        <f>IFERROR(__xludf.DUMMYFUNCTION("""COMPUTED_VALUE"""),"AnhNM")</f>
        <v>AnhNM</v>
      </c>
      <c r="F582" s="265" t="str">
        <f>IFERROR(__xludf.DUMMYFUNCTION("""COMPUTED_VALUE"""),"Sale chưa cung cấp")</f>
        <v>Sale chưa cung cấp</v>
      </c>
      <c r="G582" s="265" t="str">
        <f>IFERROR(__xludf.DUMMYFUNCTION("""COMPUTED_VALUE"""),"Premium")</f>
        <v>Premium</v>
      </c>
      <c r="H582" s="265" t="str">
        <f>IFERROR(__xludf.DUMMYFUNCTION("""COMPUTED_VALUE"""),"Trả trước")</f>
        <v>Trả trước</v>
      </c>
      <c r="I582" s="265" t="str">
        <f>IFERROR(__xludf.DUMMYFUNCTION("""COMPUTED_VALUE"""),"API &amp; Portal")</f>
        <v>API &amp; Portal</v>
      </c>
      <c r="J582" s="265" t="str">
        <f>IFERROR(__xludf.DUMMYFUNCTION("""COMPUTED_VALUE"""),"File Excel")</f>
        <v>File Excel</v>
      </c>
    </row>
    <row r="583">
      <c r="A583" s="265" t="str">
        <f>IFERROR(__xludf.DUMMYFUNCTION("""COMPUTED_VALUE"""),"834")</f>
        <v>834</v>
      </c>
      <c r="B583" s="265" t="str">
        <f>IFERROR(__xludf.DUMMYFUNCTION("""COMPUTED_VALUE"""),"Hà Nội")</f>
        <v>Hà Nội</v>
      </c>
      <c r="C583" s="265" t="str">
        <f>IFERROR(__xludf.DUMMYFUNCTION("""COMPUTED_VALUE"""),"Locked")</f>
        <v>Locked</v>
      </c>
      <c r="D583" s="265" t="str">
        <f>IFERROR(__xludf.DUMMYFUNCTION("""COMPUTED_VALUE"""),"Sale chưa cung cấp")</f>
        <v>Sale chưa cung cấp</v>
      </c>
      <c r="E583" s="265" t="str">
        <f>IFERROR(__xludf.DUMMYFUNCTION("""COMPUTED_VALUE"""),"AnhNM")</f>
        <v>AnhNM</v>
      </c>
      <c r="F583" s="265" t="str">
        <f>IFERROR(__xludf.DUMMYFUNCTION("""COMPUTED_VALUE"""),"Sale chưa cung cấp")</f>
        <v>Sale chưa cung cấp</v>
      </c>
      <c r="G583" s="265" t="str">
        <f>IFERROR(__xludf.DUMMYFUNCTION("""COMPUTED_VALUE"""),"Premium")</f>
        <v>Premium</v>
      </c>
      <c r="H583" s="265" t="str">
        <f>IFERROR(__xludf.DUMMYFUNCTION("""COMPUTED_VALUE"""),"Trả trước")</f>
        <v>Trả trước</v>
      </c>
      <c r="I583" s="265" t="str">
        <f>IFERROR(__xludf.DUMMYFUNCTION("""COMPUTED_VALUE"""),"API &amp; Portal")</f>
        <v>API &amp; Portal</v>
      </c>
      <c r="J583" s="265" t="str">
        <f>IFERROR(__xludf.DUMMYFUNCTION("""COMPUTED_VALUE"""),"API")</f>
        <v>API</v>
      </c>
    </row>
    <row r="584">
      <c r="A584" s="265" t="str">
        <f>IFERROR(__xludf.DUMMYFUNCTION("""COMPUTED_VALUE"""),"836")</f>
        <v>836</v>
      </c>
      <c r="B584" s="265" t="str">
        <f>IFERROR(__xludf.DUMMYFUNCTION("""COMPUTED_VALUE"""),"Sài Gòn")</f>
        <v>Sài Gòn</v>
      </c>
      <c r="C584" s="265" t="str">
        <f>IFERROR(__xludf.DUMMYFUNCTION("""COMPUTED_VALUE"""),"Locked")</f>
        <v>Locked</v>
      </c>
      <c r="D584" s="265" t="str">
        <f>IFERROR(__xludf.DUMMYFUNCTION("""COMPUTED_VALUE"""),"Sale chưa cung cấp")</f>
        <v>Sale chưa cung cấp</v>
      </c>
      <c r="E584" s="265" t="str">
        <f>IFERROR(__xludf.DUMMYFUNCTION("""COMPUTED_VALUE"""),"HoaNTM")</f>
        <v>HoaNTM</v>
      </c>
      <c r="F584" s="265" t="str">
        <f>IFERROR(__xludf.DUMMYFUNCTION("""COMPUTED_VALUE"""),"Diamond")</f>
        <v>Diamond</v>
      </c>
      <c r="G584" s="265" t="str">
        <f>IFERROR(__xludf.DUMMYFUNCTION("""COMPUTED_VALUE"""),"API")</f>
        <v>API</v>
      </c>
      <c r="H584" s="265" t="str">
        <f>IFERROR(__xludf.DUMMYFUNCTION("""COMPUTED_VALUE"""),"Trả trước")</f>
        <v>Trả trước</v>
      </c>
      <c r="I584" s="265" t="str">
        <f>IFERROR(__xludf.DUMMYFUNCTION("""COMPUTED_VALUE"""),"API")</f>
        <v>API</v>
      </c>
      <c r="J584" s="265" t="str">
        <f>IFERROR(__xludf.DUMMYFUNCTION("""COMPUTED_VALUE"""),"File Excel")</f>
        <v>File Excel</v>
      </c>
    </row>
    <row r="585">
      <c r="A585" s="265" t="str">
        <f>IFERROR(__xludf.DUMMYFUNCTION("""COMPUTED_VALUE"""),"836")</f>
        <v>836</v>
      </c>
      <c r="B585" s="265" t="str">
        <f>IFERROR(__xludf.DUMMYFUNCTION("""COMPUTED_VALUE"""),"Sài Gòn")</f>
        <v>Sài Gòn</v>
      </c>
      <c r="C585" s="265" t="str">
        <f>IFERROR(__xludf.DUMMYFUNCTION("""COMPUTED_VALUE"""),"Locked")</f>
        <v>Locked</v>
      </c>
      <c r="D585" s="265" t="str">
        <f>IFERROR(__xludf.DUMMYFUNCTION("""COMPUTED_VALUE"""),"Sale chưa cung cấp")</f>
        <v>Sale chưa cung cấp</v>
      </c>
      <c r="E585" s="265" t="str">
        <f>IFERROR(__xludf.DUMMYFUNCTION("""COMPUTED_VALUE"""),"HoaNTM")</f>
        <v>HoaNTM</v>
      </c>
      <c r="F585" s="265" t="str">
        <f>IFERROR(__xludf.DUMMYFUNCTION("""COMPUTED_VALUE"""),"Diamond")</f>
        <v>Diamond</v>
      </c>
      <c r="G585" s="265" t="str">
        <f>IFERROR(__xludf.DUMMYFUNCTION("""COMPUTED_VALUE"""),"API")</f>
        <v>API</v>
      </c>
      <c r="H585" s="265" t="str">
        <f>IFERROR(__xludf.DUMMYFUNCTION("""COMPUTED_VALUE"""),"Trả trước")</f>
        <v>Trả trước</v>
      </c>
      <c r="I585" s="265" t="str">
        <f>IFERROR(__xludf.DUMMYFUNCTION("""COMPUTED_VALUE"""),"API")</f>
        <v>API</v>
      </c>
      <c r="J585" s="265" t="str">
        <f>IFERROR(__xludf.DUMMYFUNCTION("""COMPUTED_VALUE"""),"API")</f>
        <v>API</v>
      </c>
    </row>
    <row r="586">
      <c r="A586" s="265" t="str">
        <f>IFERROR(__xludf.DUMMYFUNCTION("""COMPUTED_VALUE"""),"838")</f>
        <v>838</v>
      </c>
      <c r="B586" s="265" t="str">
        <f>IFERROR(__xludf.DUMMYFUNCTION("""COMPUTED_VALUE"""),"Hà Nội")</f>
        <v>Hà Nội</v>
      </c>
      <c r="C586" s="265" t="str">
        <f>IFERROR(__xludf.DUMMYFUNCTION("""COMPUTED_VALUE"""),"Locked")</f>
        <v>Locked</v>
      </c>
      <c r="D586" s="265" t="str">
        <f>IFERROR(__xludf.DUMMYFUNCTION("""COMPUTED_VALUE"""),"Dịch vụ khác")</f>
        <v>Dịch vụ khác</v>
      </c>
      <c r="E586" s="265" t="str">
        <f>IFERROR(__xludf.DUMMYFUNCTION("""COMPUTED_VALUE"""),"AnhNM")</f>
        <v>AnhNM</v>
      </c>
      <c r="F586" s="265" t="str">
        <f>IFERROR(__xludf.DUMMYFUNCTION("""COMPUTED_VALUE"""),"Sale chưa cung cấp")</f>
        <v>Sale chưa cung cấp</v>
      </c>
      <c r="G586" s="265" t="str">
        <f>IFERROR(__xludf.DUMMYFUNCTION("""COMPUTED_VALUE"""),"Premium")</f>
        <v>Premium</v>
      </c>
      <c r="H586" s="265" t="str">
        <f>IFERROR(__xludf.DUMMYFUNCTION("""COMPUTED_VALUE"""),"Trả trước")</f>
        <v>Trả trước</v>
      </c>
      <c r="I586" s="265" t="str">
        <f>IFERROR(__xludf.DUMMYFUNCTION("""COMPUTED_VALUE"""),"API &amp; Portal")</f>
        <v>API &amp; Portal</v>
      </c>
      <c r="J586" s="265" t="str">
        <f>IFERROR(__xludf.DUMMYFUNCTION("""COMPUTED_VALUE"""),"File Excel")</f>
        <v>File Excel</v>
      </c>
    </row>
    <row r="587">
      <c r="A587" s="265" t="str">
        <f>IFERROR(__xludf.DUMMYFUNCTION("""COMPUTED_VALUE"""),"838")</f>
        <v>838</v>
      </c>
      <c r="B587" s="265" t="str">
        <f>IFERROR(__xludf.DUMMYFUNCTION("""COMPUTED_VALUE"""),"Hà Nội")</f>
        <v>Hà Nội</v>
      </c>
      <c r="C587" s="265" t="str">
        <f>IFERROR(__xludf.DUMMYFUNCTION("""COMPUTED_VALUE"""),"Locked")</f>
        <v>Locked</v>
      </c>
      <c r="D587" s="265" t="str">
        <f>IFERROR(__xludf.DUMMYFUNCTION("""COMPUTED_VALUE"""),"Dịch vụ khác")</f>
        <v>Dịch vụ khác</v>
      </c>
      <c r="E587" s="265" t="str">
        <f>IFERROR(__xludf.DUMMYFUNCTION("""COMPUTED_VALUE"""),"AnhNM")</f>
        <v>AnhNM</v>
      </c>
      <c r="F587" s="265" t="str">
        <f>IFERROR(__xludf.DUMMYFUNCTION("""COMPUTED_VALUE"""),"Sale chưa cung cấp")</f>
        <v>Sale chưa cung cấp</v>
      </c>
      <c r="G587" s="265" t="str">
        <f>IFERROR(__xludf.DUMMYFUNCTION("""COMPUTED_VALUE"""),"Premium")</f>
        <v>Premium</v>
      </c>
      <c r="H587" s="265" t="str">
        <f>IFERROR(__xludf.DUMMYFUNCTION("""COMPUTED_VALUE"""),"Trả trước")</f>
        <v>Trả trước</v>
      </c>
      <c r="I587" s="265" t="str">
        <f>IFERROR(__xludf.DUMMYFUNCTION("""COMPUTED_VALUE"""),"API &amp; Portal")</f>
        <v>API &amp; Portal</v>
      </c>
      <c r="J587" s="265" t="str">
        <f>IFERROR(__xludf.DUMMYFUNCTION("""COMPUTED_VALUE"""),"API")</f>
        <v>API</v>
      </c>
    </row>
    <row r="588">
      <c r="A588" s="265" t="str">
        <f>IFERROR(__xludf.DUMMYFUNCTION("""COMPUTED_VALUE"""),"884")</f>
        <v>884</v>
      </c>
      <c r="B588" s="265" t="str">
        <f>IFERROR(__xludf.DUMMYFUNCTION("""COMPUTED_VALUE"""),"Đà Nẵng")</f>
        <v>Đà Nẵng</v>
      </c>
      <c r="C588" s="265" t="str">
        <f>IFERROR(__xludf.DUMMYFUNCTION("""COMPUTED_VALUE"""),"Locked")</f>
        <v>Locked</v>
      </c>
      <c r="D588" s="265" t="str">
        <f>IFERROR(__xludf.DUMMYFUNCTION("""COMPUTED_VALUE"""),"Thời trang &amp; May mặc")</f>
        <v>Thời trang &amp; May mặc</v>
      </c>
      <c r="E588" s="265" t="str">
        <f>IFERROR(__xludf.DUMMYFUNCTION("""COMPUTED_VALUE"""),"TúPHN")</f>
        <v>TúPHN</v>
      </c>
      <c r="F588" s="265" t="str">
        <f>IFERROR(__xludf.DUMMYFUNCTION("""COMPUTED_VALUE"""),"Bronze")</f>
        <v>Bronze</v>
      </c>
      <c r="G588" s="265" t="str">
        <f>IFERROR(__xludf.DUMMYFUNCTION("""COMPUTED_VALUE"""),"Starter")</f>
        <v>Starter</v>
      </c>
      <c r="H588" s="265" t="str">
        <f>IFERROR(__xludf.DUMMYFUNCTION("""COMPUTED_VALUE"""),"Trả sau")</f>
        <v>Trả sau</v>
      </c>
      <c r="I588" s="265" t="str">
        <f>IFERROR(__xludf.DUMMYFUNCTION("""COMPUTED_VALUE"""),"Portal")</f>
        <v>Portal</v>
      </c>
      <c r="J588" s="265" t="str">
        <f>IFERROR(__xludf.DUMMYFUNCTION("""COMPUTED_VALUE"""),"File Excel")</f>
        <v>File Excel</v>
      </c>
    </row>
    <row r="589">
      <c r="A589" s="265" t="str">
        <f>IFERROR(__xludf.DUMMYFUNCTION("""COMPUTED_VALUE"""),"839")</f>
        <v>839</v>
      </c>
      <c r="B589" s="265" t="str">
        <f>IFERROR(__xludf.DUMMYFUNCTION("""COMPUTED_VALUE"""),"Sài Gòn")</f>
        <v>Sài Gòn</v>
      </c>
      <c r="C589" s="265" t="str">
        <f>IFERROR(__xludf.DUMMYFUNCTION("""COMPUTED_VALUE"""),"Locked")</f>
        <v>Locked</v>
      </c>
      <c r="D589" s="265" t="str">
        <f>IFERROR(__xludf.DUMMYFUNCTION("""COMPUTED_VALUE"""),"Sale chưa cung cấp")</f>
        <v>Sale chưa cung cấp</v>
      </c>
      <c r="E589" s="265" t="str">
        <f>IFERROR(__xludf.DUMMYFUNCTION("""COMPUTED_VALUE"""),"HoaNTM")</f>
        <v>HoaNTM</v>
      </c>
      <c r="F589" s="265" t="str">
        <f>IFERROR(__xludf.DUMMYFUNCTION("""COMPUTED_VALUE"""),"Diamond")</f>
        <v>Diamond</v>
      </c>
      <c r="G589" s="265" t="str">
        <f>IFERROR(__xludf.DUMMYFUNCTION("""COMPUTED_VALUE"""),"Enterprise")</f>
        <v>Enterprise</v>
      </c>
      <c r="H589" s="265" t="str">
        <f>IFERROR(__xludf.DUMMYFUNCTION("""COMPUTED_VALUE"""),"Trả sau")</f>
        <v>Trả sau</v>
      </c>
      <c r="I589" s="265" t="str">
        <f>IFERROR(__xludf.DUMMYFUNCTION("""COMPUTED_VALUE"""),"Portal")</f>
        <v>Portal</v>
      </c>
      <c r="J589" s="265" t="str">
        <f>IFERROR(__xludf.DUMMYFUNCTION("""COMPUTED_VALUE"""),"File Excel")</f>
        <v>File Excel</v>
      </c>
    </row>
    <row r="590">
      <c r="A590" s="265" t="str">
        <f>IFERROR(__xludf.DUMMYFUNCTION("""COMPUTED_VALUE"""),"841")</f>
        <v>841</v>
      </c>
      <c r="B590" s="265" t="str">
        <f>IFERROR(__xludf.DUMMYFUNCTION("""COMPUTED_VALUE"""),"Sài Gòn")</f>
        <v>Sài Gòn</v>
      </c>
      <c r="C590" s="265" t="str">
        <f>IFERROR(__xludf.DUMMYFUNCTION("""COMPUTED_VALUE"""),"Locked")</f>
        <v>Locked</v>
      </c>
      <c r="D590" s="265" t="str">
        <f>IFERROR(__xludf.DUMMYFUNCTION("""COMPUTED_VALUE"""),"Vận tải &amp; logistics")</f>
        <v>Vận tải &amp; logistics</v>
      </c>
      <c r="E590" s="265" t="str">
        <f>IFERROR(__xludf.DUMMYFUNCTION("""COMPUTED_VALUE"""),"TúPHN")</f>
        <v>TúPHN</v>
      </c>
      <c r="F590" s="265" t="str">
        <f>IFERROR(__xludf.DUMMYFUNCTION("""COMPUTED_VALUE"""),"Sale chưa cung cấp")</f>
        <v>Sale chưa cung cấp</v>
      </c>
      <c r="G590" s="265" t="str">
        <f>IFERROR(__xludf.DUMMYFUNCTION("""COMPUTED_VALUE"""),"Starter")</f>
        <v>Starter</v>
      </c>
      <c r="H590" s="265" t="str">
        <f>IFERROR(__xludf.DUMMYFUNCTION("""COMPUTED_VALUE"""),"Trial")</f>
        <v>Trial</v>
      </c>
      <c r="I590" s="265" t="str">
        <f>IFERROR(__xludf.DUMMYFUNCTION("""COMPUTED_VALUE"""),"API &amp; Portal")</f>
        <v>API &amp; Portal</v>
      </c>
      <c r="J590" s="265" t="str">
        <f>IFERROR(__xludf.DUMMYFUNCTION("""COMPUTED_VALUE"""),"File Excel")</f>
        <v>File Excel</v>
      </c>
    </row>
    <row r="591">
      <c r="A591" s="265" t="str">
        <f>IFERROR(__xludf.DUMMYFUNCTION("""COMPUTED_VALUE"""),"841")</f>
        <v>841</v>
      </c>
      <c r="B591" s="265" t="str">
        <f>IFERROR(__xludf.DUMMYFUNCTION("""COMPUTED_VALUE"""),"Sài Gòn")</f>
        <v>Sài Gòn</v>
      </c>
      <c r="C591" s="265" t="str">
        <f>IFERROR(__xludf.DUMMYFUNCTION("""COMPUTED_VALUE"""),"Locked")</f>
        <v>Locked</v>
      </c>
      <c r="D591" s="265" t="str">
        <f>IFERROR(__xludf.DUMMYFUNCTION("""COMPUTED_VALUE"""),"Vận tải &amp; logistics")</f>
        <v>Vận tải &amp; logistics</v>
      </c>
      <c r="E591" s="265" t="str">
        <f>IFERROR(__xludf.DUMMYFUNCTION("""COMPUTED_VALUE"""),"TúPHN")</f>
        <v>TúPHN</v>
      </c>
      <c r="F591" s="265" t="str">
        <f>IFERROR(__xludf.DUMMYFUNCTION("""COMPUTED_VALUE"""),"Sale chưa cung cấp")</f>
        <v>Sale chưa cung cấp</v>
      </c>
      <c r="G591" s="265" t="str">
        <f>IFERROR(__xludf.DUMMYFUNCTION("""COMPUTED_VALUE"""),"Starter")</f>
        <v>Starter</v>
      </c>
      <c r="H591" s="265" t="str">
        <f>IFERROR(__xludf.DUMMYFUNCTION("""COMPUTED_VALUE"""),"Trial")</f>
        <v>Trial</v>
      </c>
      <c r="I591" s="265" t="str">
        <f>IFERROR(__xludf.DUMMYFUNCTION("""COMPUTED_VALUE"""),"API &amp; Portal")</f>
        <v>API &amp; Portal</v>
      </c>
      <c r="J591" s="265" t="str">
        <f>IFERROR(__xludf.DUMMYFUNCTION("""COMPUTED_VALUE"""),"API")</f>
        <v>API</v>
      </c>
    </row>
    <row r="592">
      <c r="A592" s="265" t="str">
        <f>IFERROR(__xludf.DUMMYFUNCTION("""COMPUTED_VALUE"""),"840")</f>
        <v>840</v>
      </c>
      <c r="B592" s="265" t="str">
        <f>IFERROR(__xludf.DUMMYFUNCTION("""COMPUTED_VALUE"""),"Sài Gòn")</f>
        <v>Sài Gòn</v>
      </c>
      <c r="C592" s="265" t="str">
        <f>IFERROR(__xludf.DUMMYFUNCTION("""COMPUTED_VALUE"""),"Locked")</f>
        <v>Locked</v>
      </c>
      <c r="D592" s="265" t="str">
        <f>IFERROR(__xludf.DUMMYFUNCTION("""COMPUTED_VALUE"""),"Thực phẩm &amp; Đồ uống")</f>
        <v>Thực phẩm &amp; Đồ uống</v>
      </c>
      <c r="E592" s="265" t="str">
        <f>IFERROR(__xludf.DUMMYFUNCTION("""COMPUTED_VALUE"""),"HoaNTM")</f>
        <v>HoaNTM</v>
      </c>
      <c r="F592" s="265" t="str">
        <f>IFERROR(__xludf.DUMMYFUNCTION("""COMPUTED_VALUE"""),"Gold")</f>
        <v>Gold</v>
      </c>
      <c r="G592" s="265" t="str">
        <f>IFERROR(__xludf.DUMMYFUNCTION("""COMPUTED_VALUE"""),"API")</f>
        <v>API</v>
      </c>
      <c r="H592" s="265" t="str">
        <f>IFERROR(__xludf.DUMMYFUNCTION("""COMPUTED_VALUE"""),"Trả sau")</f>
        <v>Trả sau</v>
      </c>
      <c r="I592" s="265" t="str">
        <f>IFERROR(__xludf.DUMMYFUNCTION("""COMPUTED_VALUE"""),"API")</f>
        <v>API</v>
      </c>
      <c r="J592" s="265" t="str">
        <f>IFERROR(__xludf.DUMMYFUNCTION("""COMPUTED_VALUE"""),"File Excel")</f>
        <v>File Excel</v>
      </c>
    </row>
    <row r="593">
      <c r="A593" s="265" t="str">
        <f>IFERROR(__xludf.DUMMYFUNCTION("""COMPUTED_VALUE"""),"840")</f>
        <v>840</v>
      </c>
      <c r="B593" s="265" t="str">
        <f>IFERROR(__xludf.DUMMYFUNCTION("""COMPUTED_VALUE"""),"Sài Gòn")</f>
        <v>Sài Gòn</v>
      </c>
      <c r="C593" s="265" t="str">
        <f>IFERROR(__xludf.DUMMYFUNCTION("""COMPUTED_VALUE"""),"Locked")</f>
        <v>Locked</v>
      </c>
      <c r="D593" s="265" t="str">
        <f>IFERROR(__xludf.DUMMYFUNCTION("""COMPUTED_VALUE"""),"Thực phẩm &amp; Đồ uống")</f>
        <v>Thực phẩm &amp; Đồ uống</v>
      </c>
      <c r="E593" s="265" t="str">
        <f>IFERROR(__xludf.DUMMYFUNCTION("""COMPUTED_VALUE"""),"HoaNTM")</f>
        <v>HoaNTM</v>
      </c>
      <c r="F593" s="265" t="str">
        <f>IFERROR(__xludf.DUMMYFUNCTION("""COMPUTED_VALUE"""),"Gold")</f>
        <v>Gold</v>
      </c>
      <c r="G593" s="265" t="str">
        <f>IFERROR(__xludf.DUMMYFUNCTION("""COMPUTED_VALUE"""),"API")</f>
        <v>API</v>
      </c>
      <c r="H593" s="265" t="str">
        <f>IFERROR(__xludf.DUMMYFUNCTION("""COMPUTED_VALUE"""),"Trả sau")</f>
        <v>Trả sau</v>
      </c>
      <c r="I593" s="265" t="str">
        <f>IFERROR(__xludf.DUMMYFUNCTION("""COMPUTED_VALUE"""),"API")</f>
        <v>API</v>
      </c>
      <c r="J593" s="265" t="str">
        <f>IFERROR(__xludf.DUMMYFUNCTION("""COMPUTED_VALUE"""),"API")</f>
        <v>API</v>
      </c>
    </row>
    <row r="594">
      <c r="A594" s="265" t="str">
        <f>IFERROR(__xludf.DUMMYFUNCTION("""COMPUTED_VALUE"""),"842")</f>
        <v>842</v>
      </c>
      <c r="B594" s="265" t="str">
        <f>IFERROR(__xludf.DUMMYFUNCTION("""COMPUTED_VALUE"""),"Sài Gòn")</f>
        <v>Sài Gòn</v>
      </c>
      <c r="C594" s="265" t="str">
        <f>IFERROR(__xludf.DUMMYFUNCTION("""COMPUTED_VALUE"""),"Locked")</f>
        <v>Locked</v>
      </c>
      <c r="D594" s="265" t="str">
        <f>IFERROR(__xludf.DUMMYFUNCTION("""COMPUTED_VALUE"""),"Bảo hiểm")</f>
        <v>Bảo hiểm</v>
      </c>
      <c r="E594" s="265" t="str">
        <f>IFERROR(__xludf.DUMMYFUNCTION("""COMPUTED_VALUE"""),"HoaNTM")</f>
        <v>HoaNTM</v>
      </c>
      <c r="F594" s="265" t="str">
        <f>IFERROR(__xludf.DUMMYFUNCTION("""COMPUTED_VALUE"""),"Sale chưa cung cấp")</f>
        <v>Sale chưa cung cấp</v>
      </c>
      <c r="G594" s="265" t="str">
        <f>IFERROR(__xludf.DUMMYFUNCTION("""COMPUTED_VALUE"""),"Starter")</f>
        <v>Starter</v>
      </c>
      <c r="H594" s="265" t="str">
        <f>IFERROR(__xludf.DUMMYFUNCTION("""COMPUTED_VALUE"""),"Trial")</f>
        <v>Trial</v>
      </c>
      <c r="I594" s="265" t="str">
        <f>IFERROR(__xludf.DUMMYFUNCTION("""COMPUTED_VALUE"""),"API &amp; Portal")</f>
        <v>API &amp; Portal</v>
      </c>
      <c r="J594" s="265" t="str">
        <f>IFERROR(__xludf.DUMMYFUNCTION("""COMPUTED_VALUE"""),"File Excel")</f>
        <v>File Excel</v>
      </c>
    </row>
    <row r="595">
      <c r="A595" s="265" t="str">
        <f>IFERROR(__xludf.DUMMYFUNCTION("""COMPUTED_VALUE"""),"842")</f>
        <v>842</v>
      </c>
      <c r="B595" s="265" t="str">
        <f>IFERROR(__xludf.DUMMYFUNCTION("""COMPUTED_VALUE"""),"Sài Gòn")</f>
        <v>Sài Gòn</v>
      </c>
      <c r="C595" s="265" t="str">
        <f>IFERROR(__xludf.DUMMYFUNCTION("""COMPUTED_VALUE"""),"Locked")</f>
        <v>Locked</v>
      </c>
      <c r="D595" s="265" t="str">
        <f>IFERROR(__xludf.DUMMYFUNCTION("""COMPUTED_VALUE"""),"Bảo hiểm")</f>
        <v>Bảo hiểm</v>
      </c>
      <c r="E595" s="265" t="str">
        <f>IFERROR(__xludf.DUMMYFUNCTION("""COMPUTED_VALUE"""),"HoaNTM")</f>
        <v>HoaNTM</v>
      </c>
      <c r="F595" s="265" t="str">
        <f>IFERROR(__xludf.DUMMYFUNCTION("""COMPUTED_VALUE"""),"Sale chưa cung cấp")</f>
        <v>Sale chưa cung cấp</v>
      </c>
      <c r="G595" s="265" t="str">
        <f>IFERROR(__xludf.DUMMYFUNCTION("""COMPUTED_VALUE"""),"Starter")</f>
        <v>Starter</v>
      </c>
      <c r="H595" s="265" t="str">
        <f>IFERROR(__xludf.DUMMYFUNCTION("""COMPUTED_VALUE"""),"Trial")</f>
        <v>Trial</v>
      </c>
      <c r="I595" s="265" t="str">
        <f>IFERROR(__xludf.DUMMYFUNCTION("""COMPUTED_VALUE"""),"API &amp; Portal")</f>
        <v>API &amp; Portal</v>
      </c>
      <c r="J595" s="265" t="str">
        <f>IFERROR(__xludf.DUMMYFUNCTION("""COMPUTED_VALUE"""),"API")</f>
        <v>API</v>
      </c>
    </row>
    <row r="596">
      <c r="A596" s="265" t="str">
        <f>IFERROR(__xludf.DUMMYFUNCTION("""COMPUTED_VALUE"""),"843")</f>
        <v>843</v>
      </c>
      <c r="B596" s="265" t="str">
        <f>IFERROR(__xludf.DUMMYFUNCTION("""COMPUTED_VALUE"""),"Sài Gòn")</f>
        <v>Sài Gòn</v>
      </c>
      <c r="C596" s="265" t="str">
        <f>IFERROR(__xludf.DUMMYFUNCTION("""COMPUTED_VALUE"""),"Locked")</f>
        <v>Locked</v>
      </c>
      <c r="D596" s="265" t="str">
        <f>IFERROR(__xludf.DUMMYFUNCTION("""COMPUTED_VALUE"""),"Sale chưa cung cấp")</f>
        <v>Sale chưa cung cấp</v>
      </c>
      <c r="E596" s="265" t="str">
        <f>IFERROR(__xludf.DUMMYFUNCTION("""COMPUTED_VALUE"""),"(Chưa recheck)")</f>
        <v>(Chưa recheck)</v>
      </c>
      <c r="F596" s="265" t="str">
        <f>IFERROR(__xludf.DUMMYFUNCTION("""COMPUTED_VALUE"""),"Sale chưa cung cấp")</f>
        <v>Sale chưa cung cấp</v>
      </c>
      <c r="G596" s="265" t="str">
        <f>IFERROR(__xludf.DUMMYFUNCTION("""COMPUTED_VALUE"""),"Standard")</f>
        <v>Standard</v>
      </c>
      <c r="H596" s="265" t="str">
        <f>IFERROR(__xludf.DUMMYFUNCTION("""COMPUTED_VALUE"""),"Trial")</f>
        <v>Trial</v>
      </c>
      <c r="I596" s="265" t="str">
        <f>IFERROR(__xludf.DUMMYFUNCTION("""COMPUTED_VALUE"""),"API")</f>
        <v>API</v>
      </c>
      <c r="J596" s="265" t="str">
        <f>IFERROR(__xludf.DUMMYFUNCTION("""COMPUTED_VALUE"""),"(Chưa recheck)")</f>
        <v>(Chưa recheck)</v>
      </c>
    </row>
    <row r="597">
      <c r="A597" s="265" t="str">
        <f>IFERROR(__xludf.DUMMYFUNCTION("""COMPUTED_VALUE"""),"844")</f>
        <v>844</v>
      </c>
      <c r="B597" s="265" t="str">
        <f>IFERROR(__xludf.DUMMYFUNCTION("""COMPUTED_VALUE"""),"Sài Gòn")</f>
        <v>Sài Gòn</v>
      </c>
      <c r="C597" s="265" t="str">
        <f>IFERROR(__xludf.DUMMYFUNCTION("""COMPUTED_VALUE"""),"Locked")</f>
        <v>Locked</v>
      </c>
      <c r="D597" s="265" t="str">
        <f>IFERROR(__xludf.DUMMYFUNCTION("""COMPUTED_VALUE"""),"Mua sắm &amp; Bán lẻ")</f>
        <v>Mua sắm &amp; Bán lẻ</v>
      </c>
      <c r="E597" s="265" t="str">
        <f>IFERROR(__xludf.DUMMYFUNCTION("""COMPUTED_VALUE"""),"TúPHN")</f>
        <v>TúPHN</v>
      </c>
      <c r="F597" s="265" t="str">
        <f>IFERROR(__xludf.DUMMYFUNCTION("""COMPUTED_VALUE"""),"Sale chưa cung cấp")</f>
        <v>Sale chưa cung cấp</v>
      </c>
      <c r="G597" s="265" t="str">
        <f>IFERROR(__xludf.DUMMYFUNCTION("""COMPUTED_VALUE"""),"Premium")</f>
        <v>Premium</v>
      </c>
      <c r="H597" s="265" t="str">
        <f>IFERROR(__xludf.DUMMYFUNCTION("""COMPUTED_VALUE"""),"Trial")</f>
        <v>Trial</v>
      </c>
      <c r="I597" s="265" t="str">
        <f>IFERROR(__xludf.DUMMYFUNCTION("""COMPUTED_VALUE"""),"API &amp; Portal")</f>
        <v>API &amp; Portal</v>
      </c>
      <c r="J597" s="265" t="str">
        <f>IFERROR(__xludf.DUMMYFUNCTION("""COMPUTED_VALUE"""),"File Excel")</f>
        <v>File Excel</v>
      </c>
    </row>
    <row r="598">
      <c r="A598" s="265" t="str">
        <f>IFERROR(__xludf.DUMMYFUNCTION("""COMPUTED_VALUE"""),"844")</f>
        <v>844</v>
      </c>
      <c r="B598" s="265" t="str">
        <f>IFERROR(__xludf.DUMMYFUNCTION("""COMPUTED_VALUE"""),"Sài Gòn")</f>
        <v>Sài Gòn</v>
      </c>
      <c r="C598" s="265" t="str">
        <f>IFERROR(__xludf.DUMMYFUNCTION("""COMPUTED_VALUE"""),"Locked")</f>
        <v>Locked</v>
      </c>
      <c r="D598" s="265" t="str">
        <f>IFERROR(__xludf.DUMMYFUNCTION("""COMPUTED_VALUE"""),"Mua sắm &amp; Bán lẻ")</f>
        <v>Mua sắm &amp; Bán lẻ</v>
      </c>
      <c r="E598" s="265" t="str">
        <f>IFERROR(__xludf.DUMMYFUNCTION("""COMPUTED_VALUE"""),"TúPHN")</f>
        <v>TúPHN</v>
      </c>
      <c r="F598" s="265" t="str">
        <f>IFERROR(__xludf.DUMMYFUNCTION("""COMPUTED_VALUE"""),"Sale chưa cung cấp")</f>
        <v>Sale chưa cung cấp</v>
      </c>
      <c r="G598" s="265" t="str">
        <f>IFERROR(__xludf.DUMMYFUNCTION("""COMPUTED_VALUE"""),"Premium")</f>
        <v>Premium</v>
      </c>
      <c r="H598" s="265" t="str">
        <f>IFERROR(__xludf.DUMMYFUNCTION("""COMPUTED_VALUE"""),"Trial")</f>
        <v>Trial</v>
      </c>
      <c r="I598" s="265" t="str">
        <f>IFERROR(__xludf.DUMMYFUNCTION("""COMPUTED_VALUE"""),"API &amp; Portal")</f>
        <v>API &amp; Portal</v>
      </c>
      <c r="J598" s="265" t="str">
        <f>IFERROR(__xludf.DUMMYFUNCTION("""COMPUTED_VALUE"""),"API")</f>
        <v>API</v>
      </c>
    </row>
    <row r="599">
      <c r="A599" s="265" t="str">
        <f>IFERROR(__xludf.DUMMYFUNCTION("""COMPUTED_VALUE"""),"845")</f>
        <v>845</v>
      </c>
      <c r="B599" s="265" t="str">
        <f>IFERROR(__xludf.DUMMYFUNCTION("""COMPUTED_VALUE"""),"Sài Gòn")</f>
        <v>Sài Gòn</v>
      </c>
      <c r="C599" s="265" t="str">
        <f>IFERROR(__xludf.DUMMYFUNCTION("""COMPUTED_VALUE"""),"Locked")</f>
        <v>Locked</v>
      </c>
      <c r="D599" s="265" t="str">
        <f>IFERROR(__xludf.DUMMYFUNCTION("""COMPUTED_VALUE"""),"Mỹ phẩm &amp; Làm đẹp")</f>
        <v>Mỹ phẩm &amp; Làm đẹp</v>
      </c>
      <c r="E599" s="265" t="str">
        <f>IFERROR(__xludf.DUMMYFUNCTION("""COMPUTED_VALUE"""),"TùngLD")</f>
        <v>TùngLD</v>
      </c>
      <c r="F599" s="265" t="str">
        <f>IFERROR(__xludf.DUMMYFUNCTION("""COMPUTED_VALUE"""),"Sale chưa cung cấp")</f>
        <v>Sale chưa cung cấp</v>
      </c>
      <c r="G599" s="265" t="str">
        <f>IFERROR(__xludf.DUMMYFUNCTION("""COMPUTED_VALUE"""),"Premium")</f>
        <v>Premium</v>
      </c>
      <c r="H599" s="265" t="str">
        <f>IFERROR(__xludf.DUMMYFUNCTION("""COMPUTED_VALUE"""),"Trial")</f>
        <v>Trial</v>
      </c>
      <c r="I599" s="265" t="str">
        <f>IFERROR(__xludf.DUMMYFUNCTION("""COMPUTED_VALUE"""),"API &amp; Portal")</f>
        <v>API &amp; Portal</v>
      </c>
      <c r="J599" s="265" t="str">
        <f>IFERROR(__xludf.DUMMYFUNCTION("""COMPUTED_VALUE"""),"File Excel")</f>
        <v>File Excel</v>
      </c>
    </row>
    <row r="600">
      <c r="A600" s="265" t="str">
        <f>IFERROR(__xludf.DUMMYFUNCTION("""COMPUTED_VALUE"""),"846")</f>
        <v>846</v>
      </c>
      <c r="B600" s="265" t="str">
        <f>IFERROR(__xludf.DUMMYFUNCTION("""COMPUTED_VALUE"""),"Hà Nội")</f>
        <v>Hà Nội</v>
      </c>
      <c r="C600" s="265" t="str">
        <f>IFERROR(__xludf.DUMMYFUNCTION("""COMPUTED_VALUE"""),"Locked")</f>
        <v>Locked</v>
      </c>
      <c r="D600" s="265" t="str">
        <f>IFERROR(__xludf.DUMMYFUNCTION("""COMPUTED_VALUE"""),"Hành chính công")</f>
        <v>Hành chính công</v>
      </c>
      <c r="E600" s="265" t="str">
        <f>IFERROR(__xludf.DUMMYFUNCTION("""COMPUTED_VALUE"""),"TùngLD")</f>
        <v>TùngLD</v>
      </c>
      <c r="F600" s="265" t="str">
        <f>IFERROR(__xludf.DUMMYFUNCTION("""COMPUTED_VALUE"""),"Bronze")</f>
        <v>Bronze</v>
      </c>
      <c r="G600" s="265" t="str">
        <f>IFERROR(__xludf.DUMMYFUNCTION("""COMPUTED_VALUE"""),"Premium")</f>
        <v>Premium</v>
      </c>
      <c r="H600" s="265" t="str">
        <f>IFERROR(__xludf.DUMMYFUNCTION("""COMPUTED_VALUE"""),"Trả trước")</f>
        <v>Trả trước</v>
      </c>
      <c r="I600" s="265" t="str">
        <f>IFERROR(__xludf.DUMMYFUNCTION("""COMPUTED_VALUE"""),"Portal")</f>
        <v>Portal</v>
      </c>
      <c r="J600" s="265" t="str">
        <f>IFERROR(__xludf.DUMMYFUNCTION("""COMPUTED_VALUE"""),"API")</f>
        <v>API</v>
      </c>
    </row>
    <row r="601">
      <c r="A601" s="265" t="str">
        <f>IFERROR(__xludf.DUMMYFUNCTION("""COMPUTED_VALUE"""),"847")</f>
        <v>847</v>
      </c>
      <c r="B601" s="265" t="str">
        <f>IFERROR(__xludf.DUMMYFUNCTION("""COMPUTED_VALUE"""),"Sài Gòn")</f>
        <v>Sài Gòn</v>
      </c>
      <c r="C601" s="265" t="str">
        <f>IFERROR(__xludf.DUMMYFUNCTION("""COMPUTED_VALUE"""),"Locked")</f>
        <v>Locked</v>
      </c>
      <c r="D601" s="265" t="str">
        <f>IFERROR(__xludf.DUMMYFUNCTION("""COMPUTED_VALUE"""),"Du lịch &amp; Lưu trú")</f>
        <v>Du lịch &amp; Lưu trú</v>
      </c>
      <c r="E601" s="265" t="str">
        <f>IFERROR(__xludf.DUMMYFUNCTION("""COMPUTED_VALUE"""),"TúPHN")</f>
        <v>TúPHN</v>
      </c>
      <c r="F601" s="265" t="str">
        <f>IFERROR(__xludf.DUMMYFUNCTION("""COMPUTED_VALUE"""),"Sale chưa cung cấp")</f>
        <v>Sale chưa cung cấp</v>
      </c>
      <c r="G601" s="265" t="str">
        <f>IFERROR(__xludf.DUMMYFUNCTION("""COMPUTED_VALUE"""),"Premium")</f>
        <v>Premium</v>
      </c>
      <c r="H601" s="265" t="str">
        <f>IFERROR(__xludf.DUMMYFUNCTION("""COMPUTED_VALUE"""),"Trial")</f>
        <v>Trial</v>
      </c>
      <c r="I601" s="265" t="str">
        <f>IFERROR(__xludf.DUMMYFUNCTION("""COMPUTED_VALUE"""),"API &amp; Portal")</f>
        <v>API &amp; Portal</v>
      </c>
      <c r="J601" s="265" t="str">
        <f>IFERROR(__xludf.DUMMYFUNCTION("""COMPUTED_VALUE"""),"File Excel")</f>
        <v>File Excel</v>
      </c>
    </row>
    <row r="602">
      <c r="A602" s="265" t="str">
        <f>IFERROR(__xludf.DUMMYFUNCTION("""COMPUTED_VALUE"""),"847")</f>
        <v>847</v>
      </c>
      <c r="B602" s="265" t="str">
        <f>IFERROR(__xludf.DUMMYFUNCTION("""COMPUTED_VALUE"""),"Sài Gòn")</f>
        <v>Sài Gòn</v>
      </c>
      <c r="C602" s="265" t="str">
        <f>IFERROR(__xludf.DUMMYFUNCTION("""COMPUTED_VALUE"""),"Locked")</f>
        <v>Locked</v>
      </c>
      <c r="D602" s="265" t="str">
        <f>IFERROR(__xludf.DUMMYFUNCTION("""COMPUTED_VALUE"""),"Du lịch &amp; Lưu trú")</f>
        <v>Du lịch &amp; Lưu trú</v>
      </c>
      <c r="E602" s="265" t="str">
        <f>IFERROR(__xludf.DUMMYFUNCTION("""COMPUTED_VALUE"""),"TúPHN")</f>
        <v>TúPHN</v>
      </c>
      <c r="F602" s="265" t="str">
        <f>IFERROR(__xludf.DUMMYFUNCTION("""COMPUTED_VALUE"""),"Sale chưa cung cấp")</f>
        <v>Sale chưa cung cấp</v>
      </c>
      <c r="G602" s="265" t="str">
        <f>IFERROR(__xludf.DUMMYFUNCTION("""COMPUTED_VALUE"""),"Premium")</f>
        <v>Premium</v>
      </c>
      <c r="H602" s="265" t="str">
        <f>IFERROR(__xludf.DUMMYFUNCTION("""COMPUTED_VALUE"""),"Trial")</f>
        <v>Trial</v>
      </c>
      <c r="I602" s="265" t="str">
        <f>IFERROR(__xludf.DUMMYFUNCTION("""COMPUTED_VALUE"""),"API &amp; Portal")</f>
        <v>API &amp; Portal</v>
      </c>
      <c r="J602" s="265" t="str">
        <f>IFERROR(__xludf.DUMMYFUNCTION("""COMPUTED_VALUE"""),"API")</f>
        <v>API</v>
      </c>
    </row>
    <row r="603">
      <c r="A603" s="265" t="str">
        <f>IFERROR(__xludf.DUMMYFUNCTION("""COMPUTED_VALUE"""),"848")</f>
        <v>848</v>
      </c>
      <c r="B603" s="265" t="str">
        <f>IFERROR(__xludf.DUMMYFUNCTION("""COMPUTED_VALUE"""),"Sài Gòn")</f>
        <v>Sài Gòn</v>
      </c>
      <c r="C603" s="265" t="str">
        <f>IFERROR(__xludf.DUMMYFUNCTION("""COMPUTED_VALUE"""),"Locked")</f>
        <v>Locked</v>
      </c>
      <c r="D603" s="265" t="str">
        <f>IFERROR(__xludf.DUMMYFUNCTION("""COMPUTED_VALUE"""),"Sale chưa cung cấp")</f>
        <v>Sale chưa cung cấp</v>
      </c>
      <c r="E603" s="265" t="str">
        <f>IFERROR(__xludf.DUMMYFUNCTION("""COMPUTED_VALUE"""),"(Chưa recheck)")</f>
        <v>(Chưa recheck)</v>
      </c>
      <c r="F603" s="265" t="str">
        <f>IFERROR(__xludf.DUMMYFUNCTION("""COMPUTED_VALUE"""),"Sale chưa cung cấp")</f>
        <v>Sale chưa cung cấp</v>
      </c>
      <c r="G603" s="265" t="str">
        <f>IFERROR(__xludf.DUMMYFUNCTION("""COMPUTED_VALUE"""),"(Chưa recheck)")</f>
        <v>(Chưa recheck)</v>
      </c>
      <c r="H603" s="265" t="str">
        <f>IFERROR(__xludf.DUMMYFUNCTION("""COMPUTED_VALUE"""),"Trial")</f>
        <v>Trial</v>
      </c>
      <c r="I603" s="265" t="str">
        <f>IFERROR(__xludf.DUMMYFUNCTION("""COMPUTED_VALUE"""),"(Chưa recheck)")</f>
        <v>(Chưa recheck)</v>
      </c>
      <c r="J603" s="265" t="str">
        <f>IFERROR(__xludf.DUMMYFUNCTION("""COMPUTED_VALUE"""),"(Chưa recheck)")</f>
        <v>(Chưa recheck)</v>
      </c>
    </row>
    <row r="604">
      <c r="A604" s="265" t="str">
        <f>IFERROR(__xludf.DUMMYFUNCTION("""COMPUTED_VALUE"""),"850")</f>
        <v>850</v>
      </c>
      <c r="B604" s="265" t="str">
        <f>IFERROR(__xludf.DUMMYFUNCTION("""COMPUTED_VALUE"""),"Hà Nội")</f>
        <v>Hà Nội</v>
      </c>
      <c r="C604" s="265" t="str">
        <f>IFERROR(__xludf.DUMMYFUNCTION("""COMPUTED_VALUE"""),"Locked")</f>
        <v>Locked</v>
      </c>
      <c r="D604" s="265" t="str">
        <f>IFERROR(__xludf.DUMMYFUNCTION("""COMPUTED_VALUE"""),"Viễn thông")</f>
        <v>Viễn thông</v>
      </c>
      <c r="E604" s="265" t="str">
        <f>IFERROR(__xludf.DUMMYFUNCTION("""COMPUTED_VALUE"""),"TúPHN")</f>
        <v>TúPHN</v>
      </c>
      <c r="F604" s="265" t="str">
        <f>IFERROR(__xludf.DUMMYFUNCTION("""COMPUTED_VALUE"""),"Sale chưa cung cấp")</f>
        <v>Sale chưa cung cấp</v>
      </c>
      <c r="G604" s="265" t="str">
        <f>IFERROR(__xludf.DUMMYFUNCTION("""COMPUTED_VALUE"""),"Premium")</f>
        <v>Premium</v>
      </c>
      <c r="H604" s="265" t="str">
        <f>IFERROR(__xludf.DUMMYFUNCTION("""COMPUTED_VALUE"""),"Trial")</f>
        <v>Trial</v>
      </c>
      <c r="I604" s="265" t="str">
        <f>IFERROR(__xludf.DUMMYFUNCTION("""COMPUTED_VALUE"""),"API")</f>
        <v>API</v>
      </c>
      <c r="J604" s="265" t="str">
        <f>IFERROR(__xludf.DUMMYFUNCTION("""COMPUTED_VALUE"""),"API")</f>
        <v>API</v>
      </c>
    </row>
    <row r="605">
      <c r="A605" s="265" t="str">
        <f>IFERROR(__xludf.DUMMYFUNCTION("""COMPUTED_VALUE"""),"849")</f>
        <v>849</v>
      </c>
      <c r="B605" s="265" t="str">
        <f>IFERROR(__xludf.DUMMYFUNCTION("""COMPUTED_VALUE"""),"Hà Nội")</f>
        <v>Hà Nội</v>
      </c>
      <c r="C605" s="265" t="str">
        <f>IFERROR(__xludf.DUMMYFUNCTION("""COMPUTED_VALUE"""),"Locked")</f>
        <v>Locked</v>
      </c>
      <c r="D605" s="265" t="str">
        <f>IFERROR(__xludf.DUMMYFUNCTION("""COMPUTED_VALUE"""),"Sale chưa cung cấp")</f>
        <v>Sale chưa cung cấp</v>
      </c>
      <c r="E605" s="265" t="str">
        <f>IFERROR(__xludf.DUMMYFUNCTION("""COMPUTED_VALUE"""),"AnhNM")</f>
        <v>AnhNM</v>
      </c>
      <c r="F605" s="265" t="str">
        <f>IFERROR(__xludf.DUMMYFUNCTION("""COMPUTED_VALUE"""),"Silver")</f>
        <v>Silver</v>
      </c>
      <c r="G605" s="265" t="str">
        <f>IFERROR(__xludf.DUMMYFUNCTION("""COMPUTED_VALUE"""),"Premium")</f>
        <v>Premium</v>
      </c>
      <c r="H605" s="265" t="str">
        <f>IFERROR(__xludf.DUMMYFUNCTION("""COMPUTED_VALUE"""),"Trả trước")</f>
        <v>Trả trước</v>
      </c>
      <c r="I605" s="265" t="str">
        <f>IFERROR(__xludf.DUMMYFUNCTION("""COMPUTED_VALUE"""),"Portal")</f>
        <v>Portal</v>
      </c>
      <c r="J605" s="265" t="str">
        <f>IFERROR(__xludf.DUMMYFUNCTION("""COMPUTED_VALUE"""),"File Excel")</f>
        <v>File Excel</v>
      </c>
    </row>
    <row r="606">
      <c r="A606" s="265" t="str">
        <f>IFERROR(__xludf.DUMMYFUNCTION("""COMPUTED_VALUE"""),"851")</f>
        <v>851</v>
      </c>
      <c r="B606" s="265" t="str">
        <f>IFERROR(__xludf.DUMMYFUNCTION("""COMPUTED_VALUE"""),"Sài Gòn")</f>
        <v>Sài Gòn</v>
      </c>
      <c r="C606" s="265" t="str">
        <f>IFERROR(__xludf.DUMMYFUNCTION("""COMPUTED_VALUE"""),"Locked")</f>
        <v>Locked</v>
      </c>
      <c r="D606" s="265" t="str">
        <f>IFERROR(__xludf.DUMMYFUNCTION("""COMPUTED_VALUE"""),"Thực phẩm &amp; Đồ uống")</f>
        <v>Thực phẩm &amp; Đồ uống</v>
      </c>
      <c r="E606" s="265" t="str">
        <f>IFERROR(__xludf.DUMMYFUNCTION("""COMPUTED_VALUE"""),"HoaNTM")</f>
        <v>HoaNTM</v>
      </c>
      <c r="F606" s="265" t="str">
        <f>IFERROR(__xludf.DUMMYFUNCTION("""COMPUTED_VALUE"""),"Diamond")</f>
        <v>Diamond</v>
      </c>
      <c r="G606" s="265" t="str">
        <f>IFERROR(__xludf.DUMMYFUNCTION("""COMPUTED_VALUE"""),"Starter")</f>
        <v>Starter</v>
      </c>
      <c r="H606" s="265" t="str">
        <f>IFERROR(__xludf.DUMMYFUNCTION("""COMPUTED_VALUE"""),"Trả trước")</f>
        <v>Trả trước</v>
      </c>
      <c r="I606" s="265" t="str">
        <f>IFERROR(__xludf.DUMMYFUNCTION("""COMPUTED_VALUE"""),"API &amp; Portal")</f>
        <v>API &amp; Portal</v>
      </c>
      <c r="J606" s="265" t="str">
        <f>IFERROR(__xludf.DUMMYFUNCTION("""COMPUTED_VALUE"""),"File Excel")</f>
        <v>File Excel</v>
      </c>
    </row>
    <row r="607">
      <c r="A607" s="265" t="str">
        <f>IFERROR(__xludf.DUMMYFUNCTION("""COMPUTED_VALUE"""),"853")</f>
        <v>853</v>
      </c>
      <c r="B607" s="265" t="str">
        <f>IFERROR(__xludf.DUMMYFUNCTION("""COMPUTED_VALUE"""),"Sài Gòn")</f>
        <v>Sài Gòn</v>
      </c>
      <c r="C607" s="265" t="str">
        <f>IFERROR(__xludf.DUMMYFUNCTION("""COMPUTED_VALUE"""),"Active")</f>
        <v>Active</v>
      </c>
      <c r="D607" s="265" t="str">
        <f>IFERROR(__xludf.DUMMYFUNCTION("""COMPUTED_VALUE"""),"Sale chưa cung cấp")</f>
        <v>Sale chưa cung cấp</v>
      </c>
      <c r="E607" s="265" t="str">
        <f>IFERROR(__xludf.DUMMYFUNCTION("""COMPUTED_VALUE"""),"TùngLD")</f>
        <v>TùngLD</v>
      </c>
      <c r="F607" s="265" t="str">
        <f>IFERROR(__xludf.DUMMYFUNCTION("""COMPUTED_VALUE"""),"Silver")</f>
        <v>Silver</v>
      </c>
      <c r="G607" s="265" t="str">
        <f>IFERROR(__xludf.DUMMYFUNCTION("""COMPUTED_VALUE"""),"Standard")</f>
        <v>Standard</v>
      </c>
      <c r="H607" s="265" t="str">
        <f>IFERROR(__xludf.DUMMYFUNCTION("""COMPUTED_VALUE"""),"Trả sau")</f>
        <v>Trả sau</v>
      </c>
      <c r="I607" s="265" t="str">
        <f>IFERROR(__xludf.DUMMYFUNCTION("""COMPUTED_VALUE"""),"API")</f>
        <v>API</v>
      </c>
      <c r="J607" s="265" t="str">
        <f>IFERROR(__xludf.DUMMYFUNCTION("""COMPUTED_VALUE"""),"Bizfly CRM")</f>
        <v>Bizfly CRM</v>
      </c>
    </row>
    <row r="608">
      <c r="A608" s="265" t="str">
        <f>IFERROR(__xludf.DUMMYFUNCTION("""COMPUTED_VALUE"""),"852")</f>
        <v>852</v>
      </c>
      <c r="B608" s="265" t="str">
        <f>IFERROR(__xludf.DUMMYFUNCTION("""COMPUTED_VALUE"""),"Hà Nội")</f>
        <v>Hà Nội</v>
      </c>
      <c r="C608" s="265" t="str">
        <f>IFERROR(__xludf.DUMMYFUNCTION("""COMPUTED_VALUE"""),"Active")</f>
        <v>Active</v>
      </c>
      <c r="D608" s="265" t="str">
        <f>IFERROR(__xludf.DUMMYFUNCTION("""COMPUTED_VALUE"""),"Mua sắm &amp; Bán lẻ")</f>
        <v>Mua sắm &amp; Bán lẻ</v>
      </c>
      <c r="E608" s="265" t="str">
        <f>IFERROR(__xludf.DUMMYFUNCTION("""COMPUTED_VALUE"""),"TúPHN")</f>
        <v>TúPHN</v>
      </c>
      <c r="F608" s="265" t="str">
        <f>IFERROR(__xludf.DUMMYFUNCTION("""COMPUTED_VALUE"""),"Gold")</f>
        <v>Gold</v>
      </c>
      <c r="G608" s="265" t="str">
        <f>IFERROR(__xludf.DUMMYFUNCTION("""COMPUTED_VALUE"""),"Starter")</f>
        <v>Starter</v>
      </c>
      <c r="H608" s="265" t="str">
        <f>IFERROR(__xludf.DUMMYFUNCTION("""COMPUTED_VALUE"""),"Trả sau")</f>
        <v>Trả sau</v>
      </c>
      <c r="I608" s="265" t="str">
        <f>IFERROR(__xludf.DUMMYFUNCTION("""COMPUTED_VALUE"""),"API &amp; Portal")</f>
        <v>API &amp; Portal</v>
      </c>
      <c r="J608" s="265" t="str">
        <f>IFERROR(__xludf.DUMMYFUNCTION("""COMPUTED_VALUE"""),"File Excel")</f>
        <v>File Excel</v>
      </c>
    </row>
    <row r="609">
      <c r="A609" s="265" t="str">
        <f>IFERROR(__xludf.DUMMYFUNCTION("""COMPUTED_VALUE"""),"852")</f>
        <v>852</v>
      </c>
      <c r="B609" s="265" t="str">
        <f>IFERROR(__xludf.DUMMYFUNCTION("""COMPUTED_VALUE"""),"Hà Nội")</f>
        <v>Hà Nội</v>
      </c>
      <c r="C609" s="265" t="str">
        <f>IFERROR(__xludf.DUMMYFUNCTION("""COMPUTED_VALUE"""),"Active")</f>
        <v>Active</v>
      </c>
      <c r="D609" s="265" t="str">
        <f>IFERROR(__xludf.DUMMYFUNCTION("""COMPUTED_VALUE"""),"Mua sắm &amp; Bán lẻ")</f>
        <v>Mua sắm &amp; Bán lẻ</v>
      </c>
      <c r="E609" s="265" t="str">
        <f>IFERROR(__xludf.DUMMYFUNCTION("""COMPUTED_VALUE"""),"TúPHN")</f>
        <v>TúPHN</v>
      </c>
      <c r="F609" s="265" t="str">
        <f>IFERROR(__xludf.DUMMYFUNCTION("""COMPUTED_VALUE"""),"Gold")</f>
        <v>Gold</v>
      </c>
      <c r="G609" s="265" t="str">
        <f>IFERROR(__xludf.DUMMYFUNCTION("""COMPUTED_VALUE"""),"Starter")</f>
        <v>Starter</v>
      </c>
      <c r="H609" s="265" t="str">
        <f>IFERROR(__xludf.DUMMYFUNCTION("""COMPUTED_VALUE"""),"Trả sau")</f>
        <v>Trả sau</v>
      </c>
      <c r="I609" s="265" t="str">
        <f>IFERROR(__xludf.DUMMYFUNCTION("""COMPUTED_VALUE"""),"API &amp; Portal")</f>
        <v>API &amp; Portal</v>
      </c>
      <c r="J609" s="265" t="str">
        <f>IFERROR(__xludf.DUMMYFUNCTION("""COMPUTED_VALUE"""),"API")</f>
        <v>API</v>
      </c>
    </row>
    <row r="610">
      <c r="A610" s="265" t="str">
        <f>IFERROR(__xludf.DUMMYFUNCTION("""COMPUTED_VALUE"""),"854")</f>
        <v>854</v>
      </c>
      <c r="B610" s="265" t="str">
        <f>IFERROR(__xludf.DUMMYFUNCTION("""COMPUTED_VALUE"""),"Hà Nội")</f>
        <v>Hà Nội</v>
      </c>
      <c r="C610" s="265" t="str">
        <f>IFERROR(__xludf.DUMMYFUNCTION("""COMPUTED_VALUE"""),"Active")</f>
        <v>Active</v>
      </c>
      <c r="D610" s="265" t="str">
        <f>IFERROR(__xludf.DUMMYFUNCTION("""COMPUTED_VALUE"""),"Sale chưa cung cấp")</f>
        <v>Sale chưa cung cấp</v>
      </c>
      <c r="E610" s="265" t="str">
        <f>IFERROR(__xludf.DUMMYFUNCTION("""COMPUTED_VALUE"""),"TúPHN")</f>
        <v>TúPHN</v>
      </c>
      <c r="F610" s="265" t="str">
        <f>IFERROR(__xludf.DUMMYFUNCTION("""COMPUTED_VALUE"""),"Bronze")</f>
        <v>Bronze</v>
      </c>
      <c r="G610" s="265" t="str">
        <f>IFERROR(__xludf.DUMMYFUNCTION("""COMPUTED_VALUE"""),"Starter")</f>
        <v>Starter</v>
      </c>
      <c r="H610" s="265" t="str">
        <f>IFERROR(__xludf.DUMMYFUNCTION("""COMPUTED_VALUE"""),"Trả sau")</f>
        <v>Trả sau</v>
      </c>
      <c r="I610" s="265" t="str">
        <f>IFERROR(__xludf.DUMMYFUNCTION("""COMPUTED_VALUE"""),"API &amp; Portal")</f>
        <v>API &amp; Portal</v>
      </c>
      <c r="J610" s="265" t="str">
        <f>IFERROR(__xludf.DUMMYFUNCTION("""COMPUTED_VALUE"""),"File Excel")</f>
        <v>File Excel</v>
      </c>
    </row>
    <row r="611">
      <c r="A611" s="265" t="str">
        <f>IFERROR(__xludf.DUMMYFUNCTION("""COMPUTED_VALUE"""),"854")</f>
        <v>854</v>
      </c>
      <c r="B611" s="265" t="str">
        <f>IFERROR(__xludf.DUMMYFUNCTION("""COMPUTED_VALUE"""),"Hà Nội")</f>
        <v>Hà Nội</v>
      </c>
      <c r="C611" s="265" t="str">
        <f>IFERROR(__xludf.DUMMYFUNCTION("""COMPUTED_VALUE"""),"Active")</f>
        <v>Active</v>
      </c>
      <c r="D611" s="265" t="str">
        <f>IFERROR(__xludf.DUMMYFUNCTION("""COMPUTED_VALUE"""),"Sale chưa cung cấp")</f>
        <v>Sale chưa cung cấp</v>
      </c>
      <c r="E611" s="265" t="str">
        <f>IFERROR(__xludf.DUMMYFUNCTION("""COMPUTED_VALUE"""),"TúPHN")</f>
        <v>TúPHN</v>
      </c>
      <c r="F611" s="265" t="str">
        <f>IFERROR(__xludf.DUMMYFUNCTION("""COMPUTED_VALUE"""),"Bronze")</f>
        <v>Bronze</v>
      </c>
      <c r="G611" s="265" t="str">
        <f>IFERROR(__xludf.DUMMYFUNCTION("""COMPUTED_VALUE"""),"Starter")</f>
        <v>Starter</v>
      </c>
      <c r="H611" s="265" t="str">
        <f>IFERROR(__xludf.DUMMYFUNCTION("""COMPUTED_VALUE"""),"Trả sau")</f>
        <v>Trả sau</v>
      </c>
      <c r="I611" s="265" t="str">
        <f>IFERROR(__xludf.DUMMYFUNCTION("""COMPUTED_VALUE"""),"API &amp; Portal")</f>
        <v>API &amp; Portal</v>
      </c>
      <c r="J611" s="265" t="str">
        <f>IFERROR(__xludf.DUMMYFUNCTION("""COMPUTED_VALUE"""),"API")</f>
        <v>API</v>
      </c>
    </row>
    <row r="612">
      <c r="A612" s="265" t="str">
        <f>IFERROR(__xludf.DUMMYFUNCTION("""COMPUTED_VALUE"""),"859")</f>
        <v>859</v>
      </c>
      <c r="B612" s="265" t="str">
        <f>IFERROR(__xludf.DUMMYFUNCTION("""COMPUTED_VALUE"""),"Hà Nội")</f>
        <v>Hà Nội</v>
      </c>
      <c r="C612" s="265" t="str">
        <f>IFERROR(__xludf.DUMMYFUNCTION("""COMPUTED_VALUE"""),"Active")</f>
        <v>Active</v>
      </c>
      <c r="D612" s="265" t="str">
        <f>IFERROR(__xludf.DUMMYFUNCTION("""COMPUTED_VALUE"""),"Mua sắm &amp; Bán lẻ")</f>
        <v>Mua sắm &amp; Bán lẻ</v>
      </c>
      <c r="E612" s="265" t="str">
        <f>IFERROR(__xludf.DUMMYFUNCTION("""COMPUTED_VALUE"""),"TùngLD")</f>
        <v>TùngLD</v>
      </c>
      <c r="F612" s="265" t="str">
        <f>IFERROR(__xludf.DUMMYFUNCTION("""COMPUTED_VALUE"""),"Bronze")</f>
        <v>Bronze</v>
      </c>
      <c r="G612" s="265" t="str">
        <f>IFERROR(__xludf.DUMMYFUNCTION("""COMPUTED_VALUE"""),"Starter")</f>
        <v>Starter</v>
      </c>
      <c r="H612" s="265" t="str">
        <f>IFERROR(__xludf.DUMMYFUNCTION("""COMPUTED_VALUE"""),"Trả sau")</f>
        <v>Trả sau</v>
      </c>
      <c r="I612" s="265" t="str">
        <f>IFERROR(__xludf.DUMMYFUNCTION("""COMPUTED_VALUE"""),"API &amp; Portal")</f>
        <v>API &amp; Portal</v>
      </c>
      <c r="J612" s="265" t="str">
        <f>IFERROR(__xludf.DUMMYFUNCTION("""COMPUTED_VALUE"""),"API")</f>
        <v>API</v>
      </c>
    </row>
    <row r="613">
      <c r="A613" s="265" t="str">
        <f>IFERROR(__xludf.DUMMYFUNCTION("""COMPUTED_VALUE"""),"860")</f>
        <v>860</v>
      </c>
      <c r="B613" s="265" t="str">
        <f>IFERROR(__xludf.DUMMYFUNCTION("""COMPUTED_VALUE"""),"Hà Nội")</f>
        <v>Hà Nội</v>
      </c>
      <c r="C613" s="265" t="str">
        <f>IFERROR(__xludf.DUMMYFUNCTION("""COMPUTED_VALUE"""),"Active")</f>
        <v>Active</v>
      </c>
      <c r="D613" s="265" t="str">
        <f>IFERROR(__xludf.DUMMYFUNCTION("""COMPUTED_VALUE"""),"Tài chính &amp; Ngân hàng")</f>
        <v>Tài chính &amp; Ngân hàng</v>
      </c>
      <c r="E613" s="265" t="str">
        <f>IFERROR(__xludf.DUMMYFUNCTION("""COMPUTED_VALUE"""),"AnhNM")</f>
        <v>AnhNM</v>
      </c>
      <c r="F613" s="265" t="str">
        <f>IFERROR(__xludf.DUMMYFUNCTION("""COMPUTED_VALUE"""),"Sale chưa cung cấp")</f>
        <v>Sale chưa cung cấp</v>
      </c>
      <c r="G613" s="265" t="str">
        <f>IFERROR(__xludf.DUMMYFUNCTION("""COMPUTED_VALUE"""),"Starter")</f>
        <v>Starter</v>
      </c>
      <c r="H613" s="265" t="str">
        <f>IFERROR(__xludf.DUMMYFUNCTION("""COMPUTED_VALUE"""),"Trả sau")</f>
        <v>Trả sau</v>
      </c>
      <c r="I613" s="265" t="str">
        <f>IFERROR(__xludf.DUMMYFUNCTION("""COMPUTED_VALUE"""),"API")</f>
        <v>API</v>
      </c>
      <c r="J613" s="265" t="str">
        <f>IFERROR(__xludf.DUMMYFUNCTION("""COMPUTED_VALUE"""),"API")</f>
        <v>API</v>
      </c>
    </row>
    <row r="614">
      <c r="A614" s="265" t="str">
        <f>IFERROR(__xludf.DUMMYFUNCTION("""COMPUTED_VALUE"""),"861")</f>
        <v>861</v>
      </c>
      <c r="B614" s="265" t="str">
        <f>IFERROR(__xludf.DUMMYFUNCTION("""COMPUTED_VALUE"""),"Hà Nội")</f>
        <v>Hà Nội</v>
      </c>
      <c r="C614" s="265" t="str">
        <f>IFERROR(__xludf.DUMMYFUNCTION("""COMPUTED_VALUE"""),"Locked")</f>
        <v>Locked</v>
      </c>
      <c r="D614" s="265" t="str">
        <f>IFERROR(__xludf.DUMMYFUNCTION("""COMPUTED_VALUE"""),"Sale chưa cung cấp")</f>
        <v>Sale chưa cung cấp</v>
      </c>
      <c r="E614" s="265" t="str">
        <f>IFERROR(__xludf.DUMMYFUNCTION("""COMPUTED_VALUE"""),"TúPHN")</f>
        <v>TúPHN</v>
      </c>
      <c r="F614" s="265" t="str">
        <f>IFERROR(__xludf.DUMMYFUNCTION("""COMPUTED_VALUE"""),"Diamond")</f>
        <v>Diamond</v>
      </c>
      <c r="G614" s="265" t="str">
        <f>IFERROR(__xludf.DUMMYFUNCTION("""COMPUTED_VALUE"""),"Premium")</f>
        <v>Premium</v>
      </c>
      <c r="H614" s="265" t="str">
        <f>IFERROR(__xludf.DUMMYFUNCTION("""COMPUTED_VALUE"""),"Trial")</f>
        <v>Trial</v>
      </c>
      <c r="I614" s="265" t="str">
        <f>IFERROR(__xludf.DUMMYFUNCTION("""COMPUTED_VALUE"""),"API &amp; Portal")</f>
        <v>API &amp; Portal</v>
      </c>
      <c r="J614" s="265" t="str">
        <f>IFERROR(__xludf.DUMMYFUNCTION("""COMPUTED_VALUE"""),"File Excel")</f>
        <v>File Excel</v>
      </c>
    </row>
    <row r="615">
      <c r="A615" s="265" t="str">
        <f>IFERROR(__xludf.DUMMYFUNCTION("""COMPUTED_VALUE"""),"861")</f>
        <v>861</v>
      </c>
      <c r="B615" s="265" t="str">
        <f>IFERROR(__xludf.DUMMYFUNCTION("""COMPUTED_VALUE"""),"Hà Nội")</f>
        <v>Hà Nội</v>
      </c>
      <c r="C615" s="265" t="str">
        <f>IFERROR(__xludf.DUMMYFUNCTION("""COMPUTED_VALUE"""),"Locked")</f>
        <v>Locked</v>
      </c>
      <c r="D615" s="265" t="str">
        <f>IFERROR(__xludf.DUMMYFUNCTION("""COMPUTED_VALUE"""),"Sale chưa cung cấp")</f>
        <v>Sale chưa cung cấp</v>
      </c>
      <c r="E615" s="265" t="str">
        <f>IFERROR(__xludf.DUMMYFUNCTION("""COMPUTED_VALUE"""),"TúPHN")</f>
        <v>TúPHN</v>
      </c>
      <c r="F615" s="265" t="str">
        <f>IFERROR(__xludf.DUMMYFUNCTION("""COMPUTED_VALUE"""),"Diamond")</f>
        <v>Diamond</v>
      </c>
      <c r="G615" s="265" t="str">
        <f>IFERROR(__xludf.DUMMYFUNCTION("""COMPUTED_VALUE"""),"Premium")</f>
        <v>Premium</v>
      </c>
      <c r="H615" s="265" t="str">
        <f>IFERROR(__xludf.DUMMYFUNCTION("""COMPUTED_VALUE"""),"Trial")</f>
        <v>Trial</v>
      </c>
      <c r="I615" s="265" t="str">
        <f>IFERROR(__xludf.DUMMYFUNCTION("""COMPUTED_VALUE"""),"API &amp; Portal")</f>
        <v>API &amp; Portal</v>
      </c>
      <c r="J615" s="265" t="str">
        <f>IFERROR(__xludf.DUMMYFUNCTION("""COMPUTED_VALUE"""),"API")</f>
        <v>API</v>
      </c>
    </row>
    <row r="616">
      <c r="A616" s="265" t="str">
        <f>IFERROR(__xludf.DUMMYFUNCTION("""COMPUTED_VALUE"""),"863")</f>
        <v>863</v>
      </c>
      <c r="B616" s="265" t="str">
        <f>IFERROR(__xludf.DUMMYFUNCTION("""COMPUTED_VALUE"""),"Sài Gòn")</f>
        <v>Sài Gòn</v>
      </c>
      <c r="C616" s="265" t="str">
        <f>IFERROR(__xludf.DUMMYFUNCTION("""COMPUTED_VALUE"""),"Locked")</f>
        <v>Locked</v>
      </c>
      <c r="D616" s="265" t="str">
        <f>IFERROR(__xludf.DUMMYFUNCTION("""COMPUTED_VALUE"""),"Công nghệ &amp; Phần mềm")</f>
        <v>Công nghệ &amp; Phần mềm</v>
      </c>
      <c r="E616" s="265" t="str">
        <f>IFERROR(__xludf.DUMMYFUNCTION("""COMPUTED_VALUE"""),"TúPHN")</f>
        <v>TúPHN</v>
      </c>
      <c r="F616" s="265" t="str">
        <f>IFERROR(__xludf.DUMMYFUNCTION("""COMPUTED_VALUE"""),"Sale chưa cung cấp")</f>
        <v>Sale chưa cung cấp</v>
      </c>
      <c r="G616" s="265" t="str">
        <f>IFERROR(__xludf.DUMMYFUNCTION("""COMPUTED_VALUE"""),"Premium")</f>
        <v>Premium</v>
      </c>
      <c r="H616" s="265" t="str">
        <f>IFERROR(__xludf.DUMMYFUNCTION("""COMPUTED_VALUE"""),"Trial")</f>
        <v>Trial</v>
      </c>
      <c r="I616" s="265" t="str">
        <f>IFERROR(__xludf.DUMMYFUNCTION("""COMPUTED_VALUE"""),"API &amp; Portal")</f>
        <v>API &amp; Portal</v>
      </c>
      <c r="J616" s="265" t="str">
        <f>IFERROR(__xludf.DUMMYFUNCTION("""COMPUTED_VALUE"""),"File Excel")</f>
        <v>File Excel</v>
      </c>
    </row>
    <row r="617">
      <c r="A617" s="265" t="str">
        <f>IFERROR(__xludf.DUMMYFUNCTION("""COMPUTED_VALUE"""),"863")</f>
        <v>863</v>
      </c>
      <c r="B617" s="265" t="str">
        <f>IFERROR(__xludf.DUMMYFUNCTION("""COMPUTED_VALUE"""),"Sài Gòn")</f>
        <v>Sài Gòn</v>
      </c>
      <c r="C617" s="265" t="str">
        <f>IFERROR(__xludf.DUMMYFUNCTION("""COMPUTED_VALUE"""),"Locked")</f>
        <v>Locked</v>
      </c>
      <c r="D617" s="265" t="str">
        <f>IFERROR(__xludf.DUMMYFUNCTION("""COMPUTED_VALUE"""),"Công nghệ &amp; Phần mềm")</f>
        <v>Công nghệ &amp; Phần mềm</v>
      </c>
      <c r="E617" s="265" t="str">
        <f>IFERROR(__xludf.DUMMYFUNCTION("""COMPUTED_VALUE"""),"TúPHN")</f>
        <v>TúPHN</v>
      </c>
      <c r="F617" s="265" t="str">
        <f>IFERROR(__xludf.DUMMYFUNCTION("""COMPUTED_VALUE"""),"Sale chưa cung cấp")</f>
        <v>Sale chưa cung cấp</v>
      </c>
      <c r="G617" s="265" t="str">
        <f>IFERROR(__xludf.DUMMYFUNCTION("""COMPUTED_VALUE"""),"Premium")</f>
        <v>Premium</v>
      </c>
      <c r="H617" s="265" t="str">
        <f>IFERROR(__xludf.DUMMYFUNCTION("""COMPUTED_VALUE"""),"Trial")</f>
        <v>Trial</v>
      </c>
      <c r="I617" s="265" t="str">
        <f>IFERROR(__xludf.DUMMYFUNCTION("""COMPUTED_VALUE"""),"API &amp; Portal")</f>
        <v>API &amp; Portal</v>
      </c>
      <c r="J617" s="265" t="str">
        <f>IFERROR(__xludf.DUMMYFUNCTION("""COMPUTED_VALUE"""),"API")</f>
        <v>API</v>
      </c>
    </row>
    <row r="618">
      <c r="A618" s="265" t="str">
        <f>IFERROR(__xludf.DUMMYFUNCTION("""COMPUTED_VALUE"""),"865")</f>
        <v>865</v>
      </c>
      <c r="B618" s="265" t="str">
        <f>IFERROR(__xludf.DUMMYFUNCTION("""COMPUTED_VALUE"""),"Hà Nội")</f>
        <v>Hà Nội</v>
      </c>
      <c r="C618" s="265" t="str">
        <f>IFERROR(__xludf.DUMMYFUNCTION("""COMPUTED_VALUE"""),"Active")</f>
        <v>Active</v>
      </c>
      <c r="D618" s="265" t="str">
        <f>IFERROR(__xludf.DUMMYFUNCTION("""COMPUTED_VALUE"""),"Sale chưa cung cấp")</f>
        <v>Sale chưa cung cấp</v>
      </c>
      <c r="E618" s="265" t="str">
        <f>IFERROR(__xludf.DUMMYFUNCTION("""COMPUTED_VALUE"""),"TùngLD")</f>
        <v>TùngLD</v>
      </c>
      <c r="F618" s="265" t="str">
        <f>IFERROR(__xludf.DUMMYFUNCTION("""COMPUTED_VALUE"""),"Bronze")</f>
        <v>Bronze</v>
      </c>
      <c r="G618" s="265" t="str">
        <f>IFERROR(__xludf.DUMMYFUNCTION("""COMPUTED_VALUE"""),"Starter")</f>
        <v>Starter</v>
      </c>
      <c r="H618" s="265" t="str">
        <f>IFERROR(__xludf.DUMMYFUNCTION("""COMPUTED_VALUE"""),"Trả sau")</f>
        <v>Trả sau</v>
      </c>
      <c r="I618" s="265" t="str">
        <f>IFERROR(__xludf.DUMMYFUNCTION("""COMPUTED_VALUE"""),"API &amp; Portal")</f>
        <v>API &amp; Portal</v>
      </c>
      <c r="J618" s="265" t="str">
        <f>IFERROR(__xludf.DUMMYFUNCTION("""COMPUTED_VALUE"""),"API")</f>
        <v>API</v>
      </c>
    </row>
    <row r="619">
      <c r="A619" s="265" t="str">
        <f>IFERROR(__xludf.DUMMYFUNCTION("""COMPUTED_VALUE"""),"864")</f>
        <v>864</v>
      </c>
      <c r="B619" s="265" t="str">
        <f>IFERROR(__xludf.DUMMYFUNCTION("""COMPUTED_VALUE"""),"Sài Gòn")</f>
        <v>Sài Gòn</v>
      </c>
      <c r="C619" s="265" t="str">
        <f>IFERROR(__xludf.DUMMYFUNCTION("""COMPUTED_VALUE"""),"Locked")</f>
        <v>Locked</v>
      </c>
      <c r="D619" s="265" t="str">
        <f>IFERROR(__xludf.DUMMYFUNCTION("""COMPUTED_VALUE"""),"Thực phẩm &amp; Đồ uống")</f>
        <v>Thực phẩm &amp; Đồ uống</v>
      </c>
      <c r="E619" s="265" t="str">
        <f>IFERROR(__xludf.DUMMYFUNCTION("""COMPUTED_VALUE"""),"HoaNTM")</f>
        <v>HoaNTM</v>
      </c>
      <c r="F619" s="265" t="str">
        <f>IFERROR(__xludf.DUMMYFUNCTION("""COMPUTED_VALUE"""),"Diamond")</f>
        <v>Diamond</v>
      </c>
      <c r="G619" s="265" t="str">
        <f>IFERROR(__xludf.DUMMYFUNCTION("""COMPUTED_VALUE"""),"Standard")</f>
        <v>Standard</v>
      </c>
      <c r="H619" s="265" t="str">
        <f>IFERROR(__xludf.DUMMYFUNCTION("""COMPUTED_VALUE"""),"Trả sau")</f>
        <v>Trả sau</v>
      </c>
      <c r="I619" s="265" t="str">
        <f>IFERROR(__xludf.DUMMYFUNCTION("""COMPUTED_VALUE"""),"API")</f>
        <v>API</v>
      </c>
      <c r="J619" s="265" t="str">
        <f>IFERROR(__xludf.DUMMYFUNCTION("""COMPUTED_VALUE"""),"File Excel")</f>
        <v>File Excel</v>
      </c>
    </row>
    <row r="620">
      <c r="A620" s="265" t="str">
        <f>IFERROR(__xludf.DUMMYFUNCTION("""COMPUTED_VALUE"""),"867")</f>
        <v>867</v>
      </c>
      <c r="B620" s="265" t="str">
        <f>IFERROR(__xludf.DUMMYFUNCTION("""COMPUTED_VALUE"""),"Hà Nội")</f>
        <v>Hà Nội</v>
      </c>
      <c r="C620" s="265" t="str">
        <f>IFERROR(__xludf.DUMMYFUNCTION("""COMPUTED_VALUE"""),"Active")</f>
        <v>Active</v>
      </c>
      <c r="D620" s="265" t="str">
        <f>IFERROR(__xludf.DUMMYFUNCTION("""COMPUTED_VALUE"""),"Sale chưa cung cấp")</f>
        <v>Sale chưa cung cấp</v>
      </c>
      <c r="E620" s="265" t="str">
        <f>IFERROR(__xludf.DUMMYFUNCTION("""COMPUTED_VALUE"""),"TúPHN")</f>
        <v>TúPHN</v>
      </c>
      <c r="F620" s="265" t="str">
        <f>IFERROR(__xludf.DUMMYFUNCTION("""COMPUTED_VALUE"""),"Bronze")</f>
        <v>Bronze</v>
      </c>
      <c r="G620" s="265" t="str">
        <f>IFERROR(__xludf.DUMMYFUNCTION("""COMPUTED_VALUE"""),"Starter")</f>
        <v>Starter</v>
      </c>
      <c r="H620" s="265" t="str">
        <f>IFERROR(__xludf.DUMMYFUNCTION("""COMPUTED_VALUE"""),"Trả trước")</f>
        <v>Trả trước</v>
      </c>
      <c r="I620" s="265" t="str">
        <f>IFERROR(__xludf.DUMMYFUNCTION("""COMPUTED_VALUE"""),"API &amp; Portal")</f>
        <v>API &amp; Portal</v>
      </c>
      <c r="J620" s="265" t="str">
        <f>IFERROR(__xludf.DUMMYFUNCTION("""COMPUTED_VALUE"""),"File Excel")</f>
        <v>File Excel</v>
      </c>
    </row>
    <row r="621">
      <c r="A621" s="265" t="str">
        <f>IFERROR(__xludf.DUMMYFUNCTION("""COMPUTED_VALUE"""),"867")</f>
        <v>867</v>
      </c>
      <c r="B621" s="265" t="str">
        <f>IFERROR(__xludf.DUMMYFUNCTION("""COMPUTED_VALUE"""),"Hà Nội")</f>
        <v>Hà Nội</v>
      </c>
      <c r="C621" s="265" t="str">
        <f>IFERROR(__xludf.DUMMYFUNCTION("""COMPUTED_VALUE"""),"Active")</f>
        <v>Active</v>
      </c>
      <c r="D621" s="265" t="str">
        <f>IFERROR(__xludf.DUMMYFUNCTION("""COMPUTED_VALUE"""),"Sale chưa cung cấp")</f>
        <v>Sale chưa cung cấp</v>
      </c>
      <c r="E621" s="265" t="str">
        <f>IFERROR(__xludf.DUMMYFUNCTION("""COMPUTED_VALUE"""),"TúPHN")</f>
        <v>TúPHN</v>
      </c>
      <c r="F621" s="265" t="str">
        <f>IFERROR(__xludf.DUMMYFUNCTION("""COMPUTED_VALUE"""),"Bronze")</f>
        <v>Bronze</v>
      </c>
      <c r="G621" s="265" t="str">
        <f>IFERROR(__xludf.DUMMYFUNCTION("""COMPUTED_VALUE"""),"Starter")</f>
        <v>Starter</v>
      </c>
      <c r="H621" s="265" t="str">
        <f>IFERROR(__xludf.DUMMYFUNCTION("""COMPUTED_VALUE"""),"Trả trước")</f>
        <v>Trả trước</v>
      </c>
      <c r="I621" s="265" t="str">
        <f>IFERROR(__xludf.DUMMYFUNCTION("""COMPUTED_VALUE"""),"API &amp; Portal")</f>
        <v>API &amp; Portal</v>
      </c>
      <c r="J621" s="265" t="str">
        <f>IFERROR(__xludf.DUMMYFUNCTION("""COMPUTED_VALUE"""),"API")</f>
        <v>API</v>
      </c>
    </row>
    <row r="622">
      <c r="A622" s="265" t="str">
        <f>IFERROR(__xludf.DUMMYFUNCTION("""COMPUTED_VALUE"""),"868")</f>
        <v>868</v>
      </c>
      <c r="B622" s="265" t="str">
        <f>IFERROR(__xludf.DUMMYFUNCTION("""COMPUTED_VALUE"""),"Hà Nội")</f>
        <v>Hà Nội</v>
      </c>
      <c r="C622" s="265" t="str">
        <f>IFERROR(__xludf.DUMMYFUNCTION("""COMPUTED_VALUE"""),"Active")</f>
        <v>Active</v>
      </c>
      <c r="D622" s="265" t="str">
        <f>IFERROR(__xludf.DUMMYFUNCTION("""COMPUTED_VALUE"""),"Sale chưa cung cấp")</f>
        <v>Sale chưa cung cấp</v>
      </c>
      <c r="E622" s="265" t="str">
        <f>IFERROR(__xludf.DUMMYFUNCTION("""COMPUTED_VALUE"""),"TùngLD")</f>
        <v>TùngLD</v>
      </c>
      <c r="F622" s="265" t="str">
        <f>IFERROR(__xludf.DUMMYFUNCTION("""COMPUTED_VALUE"""),"Silver")</f>
        <v>Silver</v>
      </c>
      <c r="G622" s="265" t="str">
        <f>IFERROR(__xludf.DUMMYFUNCTION("""COMPUTED_VALUE"""),"Starter")</f>
        <v>Starter</v>
      </c>
      <c r="H622" s="265" t="str">
        <f>IFERROR(__xludf.DUMMYFUNCTION("""COMPUTED_VALUE"""),"Trả sau")</f>
        <v>Trả sau</v>
      </c>
      <c r="I622" s="265" t="str">
        <f>IFERROR(__xludf.DUMMYFUNCTION("""COMPUTED_VALUE"""),"API")</f>
        <v>API</v>
      </c>
      <c r="J622" s="265" t="str">
        <f>IFERROR(__xludf.DUMMYFUNCTION("""COMPUTED_VALUE"""),"API")</f>
        <v>API</v>
      </c>
    </row>
    <row r="623">
      <c r="A623" s="265" t="str">
        <f>IFERROR(__xludf.DUMMYFUNCTION("""COMPUTED_VALUE"""),"869")</f>
        <v>869</v>
      </c>
      <c r="B623" s="265" t="str">
        <f>IFERROR(__xludf.DUMMYFUNCTION("""COMPUTED_VALUE"""),"Hà Nội")</f>
        <v>Hà Nội</v>
      </c>
      <c r="C623" s="265" t="str">
        <f>IFERROR(__xludf.DUMMYFUNCTION("""COMPUTED_VALUE"""),"Active")</f>
        <v>Active</v>
      </c>
      <c r="D623" s="265" t="str">
        <f>IFERROR(__xludf.DUMMYFUNCTION("""COMPUTED_VALUE"""),"Sale chưa cung cấp")</f>
        <v>Sale chưa cung cấp</v>
      </c>
      <c r="E623" s="265" t="str">
        <f>IFERROR(__xludf.DUMMYFUNCTION("""COMPUTED_VALUE"""),"TùngLD")</f>
        <v>TùngLD</v>
      </c>
      <c r="F623" s="265" t="str">
        <f>IFERROR(__xludf.DUMMYFUNCTION("""COMPUTED_VALUE"""),"Silver")</f>
        <v>Silver</v>
      </c>
      <c r="G623" s="265" t="str">
        <f>IFERROR(__xludf.DUMMYFUNCTION("""COMPUTED_VALUE"""),"Starter")</f>
        <v>Starter</v>
      </c>
      <c r="H623" s="265" t="str">
        <f>IFERROR(__xludf.DUMMYFUNCTION("""COMPUTED_VALUE"""),"Trả sau")</f>
        <v>Trả sau</v>
      </c>
      <c r="I623" s="265" t="str">
        <f>IFERROR(__xludf.DUMMYFUNCTION("""COMPUTED_VALUE"""),"API")</f>
        <v>API</v>
      </c>
      <c r="J623" s="265" t="str">
        <f>IFERROR(__xludf.DUMMYFUNCTION("""COMPUTED_VALUE"""),"API")</f>
        <v>API</v>
      </c>
    </row>
    <row r="624">
      <c r="A624" s="265" t="str">
        <f>IFERROR(__xludf.DUMMYFUNCTION("""COMPUTED_VALUE"""),"870")</f>
        <v>870</v>
      </c>
      <c r="B624" s="265" t="str">
        <f>IFERROR(__xludf.DUMMYFUNCTION("""COMPUTED_VALUE"""),"Hà Nội")</f>
        <v>Hà Nội</v>
      </c>
      <c r="C624" s="265" t="str">
        <f>IFERROR(__xludf.DUMMYFUNCTION("""COMPUTED_VALUE"""),"Locked")</f>
        <v>Locked</v>
      </c>
      <c r="D624" s="265" t="str">
        <f>IFERROR(__xludf.DUMMYFUNCTION("""COMPUTED_VALUE"""),"Sale chưa cung cấp")</f>
        <v>Sale chưa cung cấp</v>
      </c>
      <c r="E624" s="265" t="str">
        <f>IFERROR(__xludf.DUMMYFUNCTION("""COMPUTED_VALUE"""),"TùngLD")</f>
        <v>TùngLD</v>
      </c>
      <c r="F624" s="265" t="str">
        <f>IFERROR(__xludf.DUMMYFUNCTION("""COMPUTED_VALUE"""),"Sale chưa cung cấp")</f>
        <v>Sale chưa cung cấp</v>
      </c>
      <c r="G624" s="265" t="str">
        <f>IFERROR(__xludf.DUMMYFUNCTION("""COMPUTED_VALUE"""),"Premium")</f>
        <v>Premium</v>
      </c>
      <c r="H624" s="265" t="str">
        <f>IFERROR(__xludf.DUMMYFUNCTION("""COMPUTED_VALUE"""),"Trial")</f>
        <v>Trial</v>
      </c>
      <c r="I624" s="265" t="str">
        <f>IFERROR(__xludf.DUMMYFUNCTION("""COMPUTED_VALUE"""),"Portal")</f>
        <v>Portal</v>
      </c>
      <c r="J624" s="265" t="str">
        <f>IFERROR(__xludf.DUMMYFUNCTION("""COMPUTED_VALUE"""),"API")</f>
        <v>API</v>
      </c>
    </row>
    <row r="625">
      <c r="A625" s="265" t="str">
        <f>IFERROR(__xludf.DUMMYFUNCTION("""COMPUTED_VALUE"""),"871")</f>
        <v>871</v>
      </c>
      <c r="B625" s="265" t="str">
        <f>IFERROR(__xludf.DUMMYFUNCTION("""COMPUTED_VALUE"""),"Hà Nội")</f>
        <v>Hà Nội</v>
      </c>
      <c r="C625" s="265" t="str">
        <f>IFERROR(__xludf.DUMMYFUNCTION("""COMPUTED_VALUE"""),"Active")</f>
        <v>Active</v>
      </c>
      <c r="D625" s="265" t="str">
        <f>IFERROR(__xludf.DUMMYFUNCTION("""COMPUTED_VALUE"""),"Tài chính &amp; Ngân hàng")</f>
        <v>Tài chính &amp; Ngân hàng</v>
      </c>
      <c r="E625" s="265" t="str">
        <f>IFERROR(__xludf.DUMMYFUNCTION("""COMPUTED_VALUE"""),"TùngLD")</f>
        <v>TùngLD</v>
      </c>
      <c r="F625" s="265" t="str">
        <f>IFERROR(__xludf.DUMMYFUNCTION("""COMPUTED_VALUE"""),"Diamond")</f>
        <v>Diamond</v>
      </c>
      <c r="G625" s="265" t="str">
        <f>IFERROR(__xludf.DUMMYFUNCTION("""COMPUTED_VALUE"""),"Starter")</f>
        <v>Starter</v>
      </c>
      <c r="H625" s="265" t="str">
        <f>IFERROR(__xludf.DUMMYFUNCTION("""COMPUTED_VALUE"""),"Trả sau")</f>
        <v>Trả sau</v>
      </c>
      <c r="I625" s="265" t="str">
        <f>IFERROR(__xludf.DUMMYFUNCTION("""COMPUTED_VALUE"""),"API &amp; Portal")</f>
        <v>API &amp; Portal</v>
      </c>
      <c r="J625" s="265" t="str">
        <f>IFERROR(__xludf.DUMMYFUNCTION("""COMPUTED_VALUE"""),"API")</f>
        <v>API</v>
      </c>
    </row>
    <row r="626">
      <c r="A626" s="265" t="str">
        <f>IFERROR(__xludf.DUMMYFUNCTION("""COMPUTED_VALUE"""),"872")</f>
        <v>872</v>
      </c>
      <c r="B626" s="265" t="str">
        <f>IFERROR(__xludf.DUMMYFUNCTION("""COMPUTED_VALUE"""),"Hà Nội")</f>
        <v>Hà Nội</v>
      </c>
      <c r="C626" s="265" t="str">
        <f>IFERROR(__xludf.DUMMYFUNCTION("""COMPUTED_VALUE"""),"Locked")</f>
        <v>Locked</v>
      </c>
      <c r="D626" s="265" t="str">
        <f>IFERROR(__xludf.DUMMYFUNCTION("""COMPUTED_VALUE"""),"Y tế &amp; Dược phẩm")</f>
        <v>Y tế &amp; Dược phẩm</v>
      </c>
      <c r="E626" s="265" t="str">
        <f>IFERROR(__xludf.DUMMYFUNCTION("""COMPUTED_VALUE"""),"TùngLD")</f>
        <v>TùngLD</v>
      </c>
      <c r="F626" s="265" t="str">
        <f>IFERROR(__xludf.DUMMYFUNCTION("""COMPUTED_VALUE"""),"Sale chưa cung cấp")</f>
        <v>Sale chưa cung cấp</v>
      </c>
      <c r="G626" s="265" t="str">
        <f>IFERROR(__xludf.DUMMYFUNCTION("""COMPUTED_VALUE"""),"Premium")</f>
        <v>Premium</v>
      </c>
      <c r="H626" s="265" t="str">
        <f>IFERROR(__xludf.DUMMYFUNCTION("""COMPUTED_VALUE"""),"Trial")</f>
        <v>Trial</v>
      </c>
      <c r="I626" s="265" t="str">
        <f>IFERROR(__xludf.DUMMYFUNCTION("""COMPUTED_VALUE"""),"API")</f>
        <v>API</v>
      </c>
      <c r="J626" s="265" t="str">
        <f>IFERROR(__xludf.DUMMYFUNCTION("""COMPUTED_VALUE"""),"API")</f>
        <v>API</v>
      </c>
    </row>
    <row r="627">
      <c r="A627" s="265" t="str">
        <f>IFERROR(__xludf.DUMMYFUNCTION("""COMPUTED_VALUE"""),"873")</f>
        <v>873</v>
      </c>
      <c r="B627" s="265" t="str">
        <f>IFERROR(__xludf.DUMMYFUNCTION("""COMPUTED_VALUE"""),"Sài Gòn")</f>
        <v>Sài Gòn</v>
      </c>
      <c r="C627" s="265" t="str">
        <f>IFERROR(__xludf.DUMMYFUNCTION("""COMPUTED_VALUE"""),"Locked")</f>
        <v>Locked</v>
      </c>
      <c r="D627" s="265" t="str">
        <f>IFERROR(__xludf.DUMMYFUNCTION("""COMPUTED_VALUE"""),"Dịch vụ khác")</f>
        <v>Dịch vụ khác</v>
      </c>
      <c r="E627" s="265" t="str">
        <f>IFERROR(__xludf.DUMMYFUNCTION("""COMPUTED_VALUE"""),"TùngLD")</f>
        <v>TùngLD</v>
      </c>
      <c r="F627" s="265" t="str">
        <f>IFERROR(__xludf.DUMMYFUNCTION("""COMPUTED_VALUE"""),"Sale chưa cung cấp")</f>
        <v>Sale chưa cung cấp</v>
      </c>
      <c r="G627" s="265" t="str">
        <f>IFERROR(__xludf.DUMMYFUNCTION("""COMPUTED_VALUE"""),"Standard")</f>
        <v>Standard</v>
      </c>
      <c r="H627" s="265" t="str">
        <f>IFERROR(__xludf.DUMMYFUNCTION("""COMPUTED_VALUE"""),"Trial")</f>
        <v>Trial</v>
      </c>
      <c r="I627" s="265" t="str">
        <f>IFERROR(__xludf.DUMMYFUNCTION("""COMPUTED_VALUE"""),"API &amp; Portal")</f>
        <v>API &amp; Portal</v>
      </c>
      <c r="J627" s="265" t="str">
        <f>IFERROR(__xludf.DUMMYFUNCTION("""COMPUTED_VALUE"""),"API")</f>
        <v>API</v>
      </c>
    </row>
    <row r="628">
      <c r="A628" s="265" t="str">
        <f>IFERROR(__xludf.DUMMYFUNCTION("""COMPUTED_VALUE"""),"874")</f>
        <v>874</v>
      </c>
      <c r="B628" s="265" t="str">
        <f>IFERROR(__xludf.DUMMYFUNCTION("""COMPUTED_VALUE"""),"Hà Nội")</f>
        <v>Hà Nội</v>
      </c>
      <c r="C628" s="265" t="str">
        <f>IFERROR(__xludf.DUMMYFUNCTION("""COMPUTED_VALUE"""),"Locked")</f>
        <v>Locked</v>
      </c>
      <c r="D628" s="265" t="str">
        <f>IFERROR(__xludf.DUMMYFUNCTION("""COMPUTED_VALUE"""),"Dịch vụ khác")</f>
        <v>Dịch vụ khác</v>
      </c>
      <c r="E628" s="265" t="str">
        <f>IFERROR(__xludf.DUMMYFUNCTION("""COMPUTED_VALUE"""),"TúPHN")</f>
        <v>TúPHN</v>
      </c>
      <c r="F628" s="265" t="str">
        <f>IFERROR(__xludf.DUMMYFUNCTION("""COMPUTED_VALUE"""),"Sale chưa cung cấp")</f>
        <v>Sale chưa cung cấp</v>
      </c>
      <c r="G628" s="265" t="str">
        <f>IFERROR(__xludf.DUMMYFUNCTION("""COMPUTED_VALUE"""),"Starter")</f>
        <v>Starter</v>
      </c>
      <c r="H628" s="265" t="str">
        <f>IFERROR(__xludf.DUMMYFUNCTION("""COMPUTED_VALUE"""),"Trial")</f>
        <v>Trial</v>
      </c>
      <c r="I628" s="265" t="str">
        <f>IFERROR(__xludf.DUMMYFUNCTION("""COMPUTED_VALUE"""),"API")</f>
        <v>API</v>
      </c>
      <c r="J628" s="265" t="str">
        <f>IFERROR(__xludf.DUMMYFUNCTION("""COMPUTED_VALUE"""),"API")</f>
        <v>API</v>
      </c>
    </row>
    <row r="629">
      <c r="A629" s="265" t="str">
        <f>IFERROR(__xludf.DUMMYFUNCTION("""COMPUTED_VALUE"""),"875")</f>
        <v>875</v>
      </c>
      <c r="B629" s="265" t="str">
        <f>IFERROR(__xludf.DUMMYFUNCTION("""COMPUTED_VALUE"""),"Hà Nội")</f>
        <v>Hà Nội</v>
      </c>
      <c r="C629" s="265" t="str">
        <f>IFERROR(__xludf.DUMMYFUNCTION("""COMPUTED_VALUE"""),"Active")</f>
        <v>Active</v>
      </c>
      <c r="D629" s="265" t="str">
        <f>IFERROR(__xludf.DUMMYFUNCTION("""COMPUTED_VALUE"""),"Công nghệ &amp; Phần mềm")</f>
        <v>Công nghệ &amp; Phần mềm</v>
      </c>
      <c r="E629" s="265" t="str">
        <f>IFERROR(__xludf.DUMMYFUNCTION("""COMPUTED_VALUE"""),"TùngLD")</f>
        <v>TùngLD</v>
      </c>
      <c r="F629" s="265" t="str">
        <f>IFERROR(__xludf.DUMMYFUNCTION("""COMPUTED_VALUE"""),"Sale chưa cung cấp")</f>
        <v>Sale chưa cung cấp</v>
      </c>
      <c r="G629" s="265" t="str">
        <f>IFERROR(__xludf.DUMMYFUNCTION("""COMPUTED_VALUE"""),"Starter")</f>
        <v>Starter</v>
      </c>
      <c r="H629" s="265" t="str">
        <f>IFERROR(__xludf.DUMMYFUNCTION("""COMPUTED_VALUE"""),"Trả sau")</f>
        <v>Trả sau</v>
      </c>
      <c r="I629" s="265" t="str">
        <f>IFERROR(__xludf.DUMMYFUNCTION("""COMPUTED_VALUE"""),"API")</f>
        <v>API</v>
      </c>
      <c r="J629" s="265" t="str">
        <f>IFERROR(__xludf.DUMMYFUNCTION("""COMPUTED_VALUE"""),"API")</f>
        <v>API</v>
      </c>
    </row>
    <row r="630">
      <c r="A630" s="265" t="str">
        <f>IFERROR(__xludf.DUMMYFUNCTION("""COMPUTED_VALUE"""),"876")</f>
        <v>876</v>
      </c>
      <c r="B630" s="265" t="str">
        <f>IFERROR(__xludf.DUMMYFUNCTION("""COMPUTED_VALUE"""),"Sài Gòn")</f>
        <v>Sài Gòn</v>
      </c>
      <c r="C630" s="265" t="str">
        <f>IFERROR(__xludf.DUMMYFUNCTION("""COMPUTED_VALUE"""),"Locked")</f>
        <v>Locked</v>
      </c>
      <c r="D630" s="265" t="str">
        <f>IFERROR(__xludf.DUMMYFUNCTION("""COMPUTED_VALUE"""),"Sản xuất &amp; Chế tạo")</f>
        <v>Sản xuất &amp; Chế tạo</v>
      </c>
      <c r="E630" s="265" t="str">
        <f>IFERROR(__xludf.DUMMYFUNCTION("""COMPUTED_VALUE"""),"HoaNTM")</f>
        <v>HoaNTM</v>
      </c>
      <c r="F630" s="265" t="str">
        <f>IFERROR(__xludf.DUMMYFUNCTION("""COMPUTED_VALUE"""),"Diamond")</f>
        <v>Diamond</v>
      </c>
      <c r="G630" s="265" t="str">
        <f>IFERROR(__xludf.DUMMYFUNCTION("""COMPUTED_VALUE"""),"Starter")</f>
        <v>Starter</v>
      </c>
      <c r="H630" s="265" t="str">
        <f>IFERROR(__xludf.DUMMYFUNCTION("""COMPUTED_VALUE"""),"Trả trước")</f>
        <v>Trả trước</v>
      </c>
      <c r="I630" s="265" t="str">
        <f>IFERROR(__xludf.DUMMYFUNCTION("""COMPUTED_VALUE"""),"API &amp; Portal")</f>
        <v>API &amp; Portal</v>
      </c>
      <c r="J630" s="265" t="str">
        <f>IFERROR(__xludf.DUMMYFUNCTION("""COMPUTED_VALUE"""),"API")</f>
        <v>API</v>
      </c>
    </row>
    <row r="631">
      <c r="A631" s="265" t="str">
        <f>IFERROR(__xludf.DUMMYFUNCTION("""COMPUTED_VALUE"""),"877")</f>
        <v>877</v>
      </c>
      <c r="B631" s="265" t="str">
        <f>IFERROR(__xludf.DUMMYFUNCTION("""COMPUTED_VALUE"""),"Sài Gòn")</f>
        <v>Sài Gòn</v>
      </c>
      <c r="C631" s="265" t="str">
        <f>IFERROR(__xludf.DUMMYFUNCTION("""COMPUTED_VALUE"""),"Active")</f>
        <v>Active</v>
      </c>
      <c r="D631" s="265" t="str">
        <f>IFERROR(__xludf.DUMMYFUNCTION("""COMPUTED_VALUE"""),"Sale chưa cung cấp")</f>
        <v>Sale chưa cung cấp</v>
      </c>
      <c r="E631" s="265" t="str">
        <f>IFERROR(__xludf.DUMMYFUNCTION("""COMPUTED_VALUE"""),"TùngLD")</f>
        <v>TùngLD</v>
      </c>
      <c r="F631" s="265" t="str">
        <f>IFERROR(__xludf.DUMMYFUNCTION("""COMPUTED_VALUE"""),"Gold")</f>
        <v>Gold</v>
      </c>
      <c r="G631" s="265" t="str">
        <f>IFERROR(__xludf.DUMMYFUNCTION("""COMPUTED_VALUE"""),"Standard")</f>
        <v>Standard</v>
      </c>
      <c r="H631" s="265" t="str">
        <f>IFERROR(__xludf.DUMMYFUNCTION("""COMPUTED_VALUE"""),"Trả sau")</f>
        <v>Trả sau</v>
      </c>
      <c r="I631" s="265" t="str">
        <f>IFERROR(__xludf.DUMMYFUNCTION("""COMPUTED_VALUE"""),"API")</f>
        <v>API</v>
      </c>
      <c r="J631" s="265" t="str">
        <f>IFERROR(__xludf.DUMMYFUNCTION("""COMPUTED_VALUE"""),"API")</f>
        <v>API</v>
      </c>
    </row>
    <row r="632">
      <c r="A632" s="265" t="str">
        <f>IFERROR(__xludf.DUMMYFUNCTION("""COMPUTED_VALUE"""),"879")</f>
        <v>879</v>
      </c>
      <c r="B632" s="265" t="str">
        <f>IFERROR(__xludf.DUMMYFUNCTION("""COMPUTED_VALUE"""),"Đà Nẵng")</f>
        <v>Đà Nẵng</v>
      </c>
      <c r="C632" s="265" t="str">
        <f>IFERROR(__xludf.DUMMYFUNCTION("""COMPUTED_VALUE"""),"Active")</f>
        <v>Active</v>
      </c>
      <c r="D632" s="265" t="str">
        <f>IFERROR(__xludf.DUMMYFUNCTION("""COMPUTED_VALUE"""),"Công nghệ &amp; Phần mềm")</f>
        <v>Công nghệ &amp; Phần mềm</v>
      </c>
      <c r="E632" s="265" t="str">
        <f>IFERROR(__xludf.DUMMYFUNCTION("""COMPUTED_VALUE"""),"TúPHN")</f>
        <v>TúPHN</v>
      </c>
      <c r="F632" s="265" t="str">
        <f>IFERROR(__xludf.DUMMYFUNCTION("""COMPUTED_VALUE"""),"Silver")</f>
        <v>Silver</v>
      </c>
      <c r="G632" s="265" t="str">
        <f>IFERROR(__xludf.DUMMYFUNCTION("""COMPUTED_VALUE"""),"Standard")</f>
        <v>Standard</v>
      </c>
      <c r="H632" s="265" t="str">
        <f>IFERROR(__xludf.DUMMYFUNCTION("""COMPUTED_VALUE"""),"Trả sau")</f>
        <v>Trả sau</v>
      </c>
      <c r="I632" s="265" t="str">
        <f>IFERROR(__xludf.DUMMYFUNCTION("""COMPUTED_VALUE"""),"API &amp; Portal")</f>
        <v>API &amp; Portal</v>
      </c>
      <c r="J632" s="265" t="str">
        <f>IFERROR(__xludf.DUMMYFUNCTION("""COMPUTED_VALUE"""),"File Excel")</f>
        <v>File Excel</v>
      </c>
    </row>
    <row r="633">
      <c r="A633" s="265" t="str">
        <f>IFERROR(__xludf.DUMMYFUNCTION("""COMPUTED_VALUE"""),"879")</f>
        <v>879</v>
      </c>
      <c r="B633" s="265" t="str">
        <f>IFERROR(__xludf.DUMMYFUNCTION("""COMPUTED_VALUE"""),"Đà Nẵng")</f>
        <v>Đà Nẵng</v>
      </c>
      <c r="C633" s="265" t="str">
        <f>IFERROR(__xludf.DUMMYFUNCTION("""COMPUTED_VALUE"""),"Active")</f>
        <v>Active</v>
      </c>
      <c r="D633" s="265" t="str">
        <f>IFERROR(__xludf.DUMMYFUNCTION("""COMPUTED_VALUE"""),"Công nghệ &amp; Phần mềm")</f>
        <v>Công nghệ &amp; Phần mềm</v>
      </c>
      <c r="E633" s="265" t="str">
        <f>IFERROR(__xludf.DUMMYFUNCTION("""COMPUTED_VALUE"""),"TúPHN")</f>
        <v>TúPHN</v>
      </c>
      <c r="F633" s="265" t="str">
        <f>IFERROR(__xludf.DUMMYFUNCTION("""COMPUTED_VALUE"""),"Silver")</f>
        <v>Silver</v>
      </c>
      <c r="G633" s="265" t="str">
        <f>IFERROR(__xludf.DUMMYFUNCTION("""COMPUTED_VALUE"""),"Standard")</f>
        <v>Standard</v>
      </c>
      <c r="H633" s="265" t="str">
        <f>IFERROR(__xludf.DUMMYFUNCTION("""COMPUTED_VALUE"""),"Trả sau")</f>
        <v>Trả sau</v>
      </c>
      <c r="I633" s="265" t="str">
        <f>IFERROR(__xludf.DUMMYFUNCTION("""COMPUTED_VALUE"""),"API &amp; Portal")</f>
        <v>API &amp; Portal</v>
      </c>
      <c r="J633" s="265" t="str">
        <f>IFERROR(__xludf.DUMMYFUNCTION("""COMPUTED_VALUE"""),"API")</f>
        <v>API</v>
      </c>
    </row>
    <row r="634">
      <c r="A634" s="265" t="str">
        <f>IFERROR(__xludf.DUMMYFUNCTION("""COMPUTED_VALUE"""),"880")</f>
        <v>880</v>
      </c>
      <c r="B634" s="265" t="str">
        <f>IFERROR(__xludf.DUMMYFUNCTION("""COMPUTED_VALUE"""),"Sài Gòn")</f>
        <v>Sài Gòn</v>
      </c>
      <c r="C634" s="265" t="str">
        <f>IFERROR(__xludf.DUMMYFUNCTION("""COMPUTED_VALUE"""),"Active")</f>
        <v>Active</v>
      </c>
      <c r="D634" s="265" t="str">
        <f>IFERROR(__xludf.DUMMYFUNCTION("""COMPUTED_VALUE"""),"Sale chưa cung cấp")</f>
        <v>Sale chưa cung cấp</v>
      </c>
      <c r="E634" s="265" t="str">
        <f>IFERROR(__xludf.DUMMYFUNCTION("""COMPUTED_VALUE"""),"Không phân công")</f>
        <v>Không phân công</v>
      </c>
      <c r="F634" s="265" t="str">
        <f>IFERROR(__xludf.DUMMYFUNCTION("""COMPUTED_VALUE"""),"Gold")</f>
        <v>Gold</v>
      </c>
      <c r="G634" s="265" t="str">
        <f>IFERROR(__xludf.DUMMYFUNCTION("""COMPUTED_VALUE"""),"Standard")</f>
        <v>Standard</v>
      </c>
      <c r="H634" s="265" t="str">
        <f>IFERROR(__xludf.DUMMYFUNCTION("""COMPUTED_VALUE"""),"Trả sau")</f>
        <v>Trả sau</v>
      </c>
      <c r="I634" s="265" t="str">
        <f>IFERROR(__xludf.DUMMYFUNCTION("""COMPUTED_VALUE"""),"API")</f>
        <v>API</v>
      </c>
      <c r="J634" s="265" t="str">
        <f>IFERROR(__xludf.DUMMYFUNCTION("""COMPUTED_VALUE"""),"API")</f>
        <v>API</v>
      </c>
    </row>
    <row r="635">
      <c r="A635" s="265" t="str">
        <f>IFERROR(__xludf.DUMMYFUNCTION("""COMPUTED_VALUE"""),"881")</f>
        <v>881</v>
      </c>
      <c r="B635" s="265" t="str">
        <f>IFERROR(__xludf.DUMMYFUNCTION("""COMPUTED_VALUE"""),"Hà Nội")</f>
        <v>Hà Nội</v>
      </c>
      <c r="C635" s="265" t="str">
        <f>IFERROR(__xludf.DUMMYFUNCTION("""COMPUTED_VALUE"""),"Active")</f>
        <v>Active</v>
      </c>
      <c r="D635" s="265" t="str">
        <f>IFERROR(__xludf.DUMMYFUNCTION("""COMPUTED_VALUE"""),"Truyền thông &amp; Giải trí")</f>
        <v>Truyền thông &amp; Giải trí</v>
      </c>
      <c r="E635" s="265" t="str">
        <f>IFERROR(__xludf.DUMMYFUNCTION("""COMPUTED_VALUE"""),"TúPHN")</f>
        <v>TúPHN</v>
      </c>
      <c r="F635" s="265" t="str">
        <f>IFERROR(__xludf.DUMMYFUNCTION("""COMPUTED_VALUE"""),"Gold")</f>
        <v>Gold</v>
      </c>
      <c r="G635" s="265" t="str">
        <f>IFERROR(__xludf.DUMMYFUNCTION("""COMPUTED_VALUE"""),"Starter")</f>
        <v>Starter</v>
      </c>
      <c r="H635" s="265" t="str">
        <f>IFERROR(__xludf.DUMMYFUNCTION("""COMPUTED_VALUE"""),"Trả trước")</f>
        <v>Trả trước</v>
      </c>
      <c r="I635" s="265" t="str">
        <f>IFERROR(__xludf.DUMMYFUNCTION("""COMPUTED_VALUE"""),"API")</f>
        <v>API</v>
      </c>
      <c r="J635" s="265" t="str">
        <f>IFERROR(__xludf.DUMMYFUNCTION("""COMPUTED_VALUE"""),"API")</f>
        <v>API</v>
      </c>
    </row>
    <row r="636">
      <c r="A636" s="265" t="str">
        <f>IFERROR(__xludf.DUMMYFUNCTION("""COMPUTED_VALUE"""),"882")</f>
        <v>882</v>
      </c>
      <c r="B636" s="265" t="str">
        <f>IFERROR(__xludf.DUMMYFUNCTION("""COMPUTED_VALUE"""),"Sài Gòn")</f>
        <v>Sài Gòn</v>
      </c>
      <c r="C636" s="265" t="str">
        <f>IFERROR(__xludf.DUMMYFUNCTION("""COMPUTED_VALUE"""),"Active")</f>
        <v>Active</v>
      </c>
      <c r="D636" s="265" t="str">
        <f>IFERROR(__xludf.DUMMYFUNCTION("""COMPUTED_VALUE"""),"Công nghệ &amp; Phần mềm")</f>
        <v>Công nghệ &amp; Phần mềm</v>
      </c>
      <c r="E636" s="265" t="str">
        <f>IFERROR(__xludf.DUMMYFUNCTION("""COMPUTED_VALUE"""),"AnhNM")</f>
        <v>AnhNM</v>
      </c>
      <c r="F636" s="265" t="str">
        <f>IFERROR(__xludf.DUMMYFUNCTION("""COMPUTED_VALUE"""),"Gold")</f>
        <v>Gold</v>
      </c>
      <c r="G636" s="265" t="str">
        <f>IFERROR(__xludf.DUMMYFUNCTION("""COMPUTED_VALUE"""),"Starter")</f>
        <v>Starter</v>
      </c>
      <c r="H636" s="265" t="str">
        <f>IFERROR(__xludf.DUMMYFUNCTION("""COMPUTED_VALUE"""),"Trả sau")</f>
        <v>Trả sau</v>
      </c>
      <c r="I636" s="265" t="str">
        <f>IFERROR(__xludf.DUMMYFUNCTION("""COMPUTED_VALUE"""),"API &amp; Portal")</f>
        <v>API &amp; Portal</v>
      </c>
      <c r="J636" s="265" t="str">
        <f>IFERROR(__xludf.DUMMYFUNCTION("""COMPUTED_VALUE"""),"File Excel")</f>
        <v>File Excel</v>
      </c>
    </row>
    <row r="637">
      <c r="A637" s="265" t="str">
        <f>IFERROR(__xludf.DUMMYFUNCTION("""COMPUTED_VALUE"""),"882")</f>
        <v>882</v>
      </c>
      <c r="B637" s="265" t="str">
        <f>IFERROR(__xludf.DUMMYFUNCTION("""COMPUTED_VALUE"""),"Sài Gòn")</f>
        <v>Sài Gòn</v>
      </c>
      <c r="C637" s="265" t="str">
        <f>IFERROR(__xludf.DUMMYFUNCTION("""COMPUTED_VALUE"""),"Active")</f>
        <v>Active</v>
      </c>
      <c r="D637" s="265" t="str">
        <f>IFERROR(__xludf.DUMMYFUNCTION("""COMPUTED_VALUE"""),"Công nghệ &amp; Phần mềm")</f>
        <v>Công nghệ &amp; Phần mềm</v>
      </c>
      <c r="E637" s="265" t="str">
        <f>IFERROR(__xludf.DUMMYFUNCTION("""COMPUTED_VALUE"""),"AnhNM")</f>
        <v>AnhNM</v>
      </c>
      <c r="F637" s="265" t="str">
        <f>IFERROR(__xludf.DUMMYFUNCTION("""COMPUTED_VALUE"""),"Gold")</f>
        <v>Gold</v>
      </c>
      <c r="G637" s="265" t="str">
        <f>IFERROR(__xludf.DUMMYFUNCTION("""COMPUTED_VALUE"""),"Starter")</f>
        <v>Starter</v>
      </c>
      <c r="H637" s="265" t="str">
        <f>IFERROR(__xludf.DUMMYFUNCTION("""COMPUTED_VALUE"""),"Trả sau")</f>
        <v>Trả sau</v>
      </c>
      <c r="I637" s="265" t="str">
        <f>IFERROR(__xludf.DUMMYFUNCTION("""COMPUTED_VALUE"""),"API &amp; Portal")</f>
        <v>API &amp; Portal</v>
      </c>
      <c r="J637" s="265" t="str">
        <f>IFERROR(__xludf.DUMMYFUNCTION("""COMPUTED_VALUE"""),"API")</f>
        <v>API</v>
      </c>
    </row>
    <row r="638">
      <c r="A638" s="265" t="str">
        <f>IFERROR(__xludf.DUMMYFUNCTION("""COMPUTED_VALUE"""),"883")</f>
        <v>883</v>
      </c>
      <c r="B638" s="265" t="str">
        <f>IFERROR(__xludf.DUMMYFUNCTION("""COMPUTED_VALUE"""),"Hà Nội")</f>
        <v>Hà Nội</v>
      </c>
      <c r="C638" s="265" t="str">
        <f>IFERROR(__xludf.DUMMYFUNCTION("""COMPUTED_VALUE"""),"Active")</f>
        <v>Active</v>
      </c>
      <c r="D638" s="265" t="str">
        <f>IFERROR(__xludf.DUMMYFUNCTION("""COMPUTED_VALUE"""),"Dịch vụ khác")</f>
        <v>Dịch vụ khác</v>
      </c>
      <c r="E638" s="265" t="str">
        <f>IFERROR(__xludf.DUMMYFUNCTION("""COMPUTED_VALUE"""),"TúPHN")</f>
        <v>TúPHN</v>
      </c>
      <c r="F638" s="265" t="str">
        <f>IFERROR(__xludf.DUMMYFUNCTION("""COMPUTED_VALUE"""),"Silver")</f>
        <v>Silver</v>
      </c>
      <c r="G638" s="265" t="str">
        <f>IFERROR(__xludf.DUMMYFUNCTION("""COMPUTED_VALUE"""),"Starter")</f>
        <v>Starter</v>
      </c>
      <c r="H638" s="265" t="str">
        <f>IFERROR(__xludf.DUMMYFUNCTION("""COMPUTED_VALUE"""),"Trả trước")</f>
        <v>Trả trước</v>
      </c>
      <c r="I638" s="265" t="str">
        <f>IFERROR(__xludf.DUMMYFUNCTION("""COMPUTED_VALUE"""),"Portal")</f>
        <v>Portal</v>
      </c>
      <c r="J638" s="265" t="str">
        <f>IFERROR(__xludf.DUMMYFUNCTION("""COMPUTED_VALUE"""),"File Excel")</f>
        <v>File Excel</v>
      </c>
    </row>
    <row r="639">
      <c r="A639" s="265" t="str">
        <f>IFERROR(__xludf.DUMMYFUNCTION("""COMPUTED_VALUE"""),"893")</f>
        <v>893</v>
      </c>
      <c r="B639" s="265" t="str">
        <f>IFERROR(__xludf.DUMMYFUNCTION("""COMPUTED_VALUE"""),"Hà Nội")</f>
        <v>Hà Nội</v>
      </c>
      <c r="C639" s="265" t="str">
        <f>IFERROR(__xludf.DUMMYFUNCTION("""COMPUTED_VALUE"""),"Active")</f>
        <v>Active</v>
      </c>
      <c r="D639" s="265" t="str">
        <f>IFERROR(__xludf.DUMMYFUNCTION("""COMPUTED_VALUE"""),"Sale chưa cung cấp")</f>
        <v>Sale chưa cung cấp</v>
      </c>
      <c r="E639" s="265" t="str">
        <f>IFERROR(__xludf.DUMMYFUNCTION("""COMPUTED_VALUE"""),"Không phân công")</f>
        <v>Không phân công</v>
      </c>
      <c r="F639" s="265" t="str">
        <f>IFERROR(__xludf.DUMMYFUNCTION("""COMPUTED_VALUE"""),"Sale chưa cung cấp")</f>
        <v>Sale chưa cung cấp</v>
      </c>
      <c r="G639" s="265" t="str">
        <f>IFERROR(__xludf.DUMMYFUNCTION("""COMPUTED_VALUE"""),"Starter")</f>
        <v>Starter</v>
      </c>
      <c r="H639" s="265" t="str">
        <f>IFERROR(__xludf.DUMMYFUNCTION("""COMPUTED_VALUE"""),"Trả sau")</f>
        <v>Trả sau</v>
      </c>
      <c r="I639" s="265" t="str">
        <f>IFERROR(__xludf.DUMMYFUNCTION("""COMPUTED_VALUE"""),"API")</f>
        <v>API</v>
      </c>
      <c r="J639" s="265" t="str">
        <f>IFERROR(__xludf.DUMMYFUNCTION("""COMPUTED_VALUE"""),"API")</f>
        <v>API</v>
      </c>
    </row>
    <row r="640">
      <c r="A640" s="265" t="str">
        <f>IFERROR(__xludf.DUMMYFUNCTION("""COMPUTED_VALUE"""),"886")</f>
        <v>886</v>
      </c>
      <c r="B640" s="265" t="str">
        <f>IFERROR(__xludf.DUMMYFUNCTION("""COMPUTED_VALUE"""),"Hà Nội")</f>
        <v>Hà Nội</v>
      </c>
      <c r="C640" s="265" t="str">
        <f>IFERROR(__xludf.DUMMYFUNCTION("""COMPUTED_VALUE"""),"Active")</f>
        <v>Active</v>
      </c>
      <c r="D640" s="265" t="str">
        <f>IFERROR(__xludf.DUMMYFUNCTION("""COMPUTED_VALUE"""),"Công nghệ &amp; Phần mềm")</f>
        <v>Công nghệ &amp; Phần mềm</v>
      </c>
      <c r="E640" s="265" t="str">
        <f>IFERROR(__xludf.DUMMYFUNCTION("""COMPUTED_VALUE"""),"TùngLD")</f>
        <v>TùngLD</v>
      </c>
      <c r="F640" s="265" t="str">
        <f>IFERROR(__xludf.DUMMYFUNCTION("""COMPUTED_VALUE"""),"Bronze")</f>
        <v>Bronze</v>
      </c>
      <c r="G640" s="265" t="str">
        <f>IFERROR(__xludf.DUMMYFUNCTION("""COMPUTED_VALUE"""),"Starter")</f>
        <v>Starter</v>
      </c>
      <c r="H640" s="265" t="str">
        <f>IFERROR(__xludf.DUMMYFUNCTION("""COMPUTED_VALUE"""),"Trả sau")</f>
        <v>Trả sau</v>
      </c>
      <c r="I640" s="265" t="str">
        <f>IFERROR(__xludf.DUMMYFUNCTION("""COMPUTED_VALUE"""),"API &amp; Portal")</f>
        <v>API &amp; Portal</v>
      </c>
      <c r="J640" s="265" t="str">
        <f>IFERROR(__xludf.DUMMYFUNCTION("""COMPUTED_VALUE"""),"API")</f>
        <v>API</v>
      </c>
    </row>
    <row r="641">
      <c r="A641" s="265" t="str">
        <f>IFERROR(__xludf.DUMMYFUNCTION("""COMPUTED_VALUE"""),"888")</f>
        <v>888</v>
      </c>
      <c r="B641" s="265" t="str">
        <f>IFERROR(__xludf.DUMMYFUNCTION("""COMPUTED_VALUE"""),"Hà Nội")</f>
        <v>Hà Nội</v>
      </c>
      <c r="C641" s="265" t="str">
        <f>IFERROR(__xludf.DUMMYFUNCTION("""COMPUTED_VALUE"""),"Active")</f>
        <v>Active</v>
      </c>
      <c r="D641" s="265" t="str">
        <f>IFERROR(__xludf.DUMMYFUNCTION("""COMPUTED_VALUE"""),"Tài chính &amp; Ngân hàng")</f>
        <v>Tài chính &amp; Ngân hàng</v>
      </c>
      <c r="E641" s="265" t="str">
        <f>IFERROR(__xludf.DUMMYFUNCTION("""COMPUTED_VALUE"""),"TùngLD")</f>
        <v>TùngLD</v>
      </c>
      <c r="F641" s="265" t="str">
        <f>IFERROR(__xludf.DUMMYFUNCTION("""COMPUTED_VALUE"""),"Silver")</f>
        <v>Silver</v>
      </c>
      <c r="G641" s="265" t="str">
        <f>IFERROR(__xludf.DUMMYFUNCTION("""COMPUTED_VALUE"""),"Starter")</f>
        <v>Starter</v>
      </c>
      <c r="H641" s="265" t="str">
        <f>IFERROR(__xludf.DUMMYFUNCTION("""COMPUTED_VALUE"""),"Trả sau")</f>
        <v>Trả sau</v>
      </c>
      <c r="I641" s="265" t="str">
        <f>IFERROR(__xludf.DUMMYFUNCTION("""COMPUTED_VALUE"""),"API &amp; Portal")</f>
        <v>API &amp; Portal</v>
      </c>
      <c r="J641" s="265" t="str">
        <f>IFERROR(__xludf.DUMMYFUNCTION("""COMPUTED_VALUE"""),"API")</f>
        <v>API</v>
      </c>
    </row>
    <row r="642">
      <c r="A642" s="265" t="str">
        <f>IFERROR(__xludf.DUMMYFUNCTION("""COMPUTED_VALUE"""),"889")</f>
        <v>889</v>
      </c>
      <c r="B642" s="265" t="str">
        <f>IFERROR(__xludf.DUMMYFUNCTION("""COMPUTED_VALUE"""),"Hà Nội")</f>
        <v>Hà Nội</v>
      </c>
      <c r="C642" s="265" t="str">
        <f>IFERROR(__xludf.DUMMYFUNCTION("""COMPUTED_VALUE"""),"Active")</f>
        <v>Active</v>
      </c>
      <c r="D642" s="265" t="str">
        <f>IFERROR(__xludf.DUMMYFUNCTION("""COMPUTED_VALUE"""),"Y tế &amp; Dược phẩm")</f>
        <v>Y tế &amp; Dược phẩm</v>
      </c>
      <c r="E642" s="265" t="str">
        <f>IFERROR(__xludf.DUMMYFUNCTION("""COMPUTED_VALUE"""),"TùngLD")</f>
        <v>TùngLD</v>
      </c>
      <c r="F642" s="265" t="str">
        <f>IFERROR(__xludf.DUMMYFUNCTION("""COMPUTED_VALUE"""),"Gold")</f>
        <v>Gold</v>
      </c>
      <c r="G642" s="265" t="str">
        <f>IFERROR(__xludf.DUMMYFUNCTION("""COMPUTED_VALUE"""),"Premium")</f>
        <v>Premium</v>
      </c>
      <c r="H642" s="265" t="str">
        <f>IFERROR(__xludf.DUMMYFUNCTION("""COMPUTED_VALUE"""),"Trả sau")</f>
        <v>Trả sau</v>
      </c>
      <c r="I642" s="265" t="str">
        <f>IFERROR(__xludf.DUMMYFUNCTION("""COMPUTED_VALUE"""),"API &amp; Portal")</f>
        <v>API &amp; Portal</v>
      </c>
      <c r="J642" s="265" t="str">
        <f>IFERROR(__xludf.DUMMYFUNCTION("""COMPUTED_VALUE"""),"File Excel")</f>
        <v>File Excel</v>
      </c>
    </row>
    <row r="643">
      <c r="A643" s="265" t="str">
        <f>IFERROR(__xludf.DUMMYFUNCTION("""COMPUTED_VALUE"""),"889")</f>
        <v>889</v>
      </c>
      <c r="B643" s="265" t="str">
        <f>IFERROR(__xludf.DUMMYFUNCTION("""COMPUTED_VALUE"""),"Hà Nội")</f>
        <v>Hà Nội</v>
      </c>
      <c r="C643" s="265" t="str">
        <f>IFERROR(__xludf.DUMMYFUNCTION("""COMPUTED_VALUE"""),"Active")</f>
        <v>Active</v>
      </c>
      <c r="D643" s="265" t="str">
        <f>IFERROR(__xludf.DUMMYFUNCTION("""COMPUTED_VALUE"""),"Y tế &amp; Dược phẩm")</f>
        <v>Y tế &amp; Dược phẩm</v>
      </c>
      <c r="E643" s="265" t="str">
        <f>IFERROR(__xludf.DUMMYFUNCTION("""COMPUTED_VALUE"""),"TùngLD")</f>
        <v>TùngLD</v>
      </c>
      <c r="F643" s="265" t="str">
        <f>IFERROR(__xludf.DUMMYFUNCTION("""COMPUTED_VALUE"""),"Gold")</f>
        <v>Gold</v>
      </c>
      <c r="G643" s="265" t="str">
        <f>IFERROR(__xludf.DUMMYFUNCTION("""COMPUTED_VALUE"""),"Premium")</f>
        <v>Premium</v>
      </c>
      <c r="H643" s="265" t="str">
        <f>IFERROR(__xludf.DUMMYFUNCTION("""COMPUTED_VALUE"""),"Trả sau")</f>
        <v>Trả sau</v>
      </c>
      <c r="I643" s="265" t="str">
        <f>IFERROR(__xludf.DUMMYFUNCTION("""COMPUTED_VALUE"""),"API &amp; Portal")</f>
        <v>API &amp; Portal</v>
      </c>
      <c r="J643" s="265" t="str">
        <f>IFERROR(__xludf.DUMMYFUNCTION("""COMPUTED_VALUE"""),"HubSpot")</f>
        <v>HubSpot</v>
      </c>
    </row>
    <row r="644">
      <c r="A644" s="265" t="str">
        <f>IFERROR(__xludf.DUMMYFUNCTION("""COMPUTED_VALUE"""),"890")</f>
        <v>890</v>
      </c>
      <c r="B644" s="265" t="str">
        <f>IFERROR(__xludf.DUMMYFUNCTION("""COMPUTED_VALUE"""),"Sài Gòn")</f>
        <v>Sài Gòn</v>
      </c>
      <c r="C644" s="265" t="str">
        <f>IFERROR(__xludf.DUMMYFUNCTION("""COMPUTED_VALUE"""),"Active")</f>
        <v>Active</v>
      </c>
      <c r="D644" s="265" t="str">
        <f>IFERROR(__xludf.DUMMYFUNCTION("""COMPUTED_VALUE"""),"Công nghệ &amp; Phần mềm")</f>
        <v>Công nghệ &amp; Phần mềm</v>
      </c>
      <c r="E644" s="265" t="str">
        <f>IFERROR(__xludf.DUMMYFUNCTION("""COMPUTED_VALUE"""),"TúPHN")</f>
        <v>TúPHN</v>
      </c>
      <c r="F644" s="265" t="str">
        <f>IFERROR(__xludf.DUMMYFUNCTION("""COMPUTED_VALUE"""),"Gold")</f>
        <v>Gold</v>
      </c>
      <c r="G644" s="265" t="str">
        <f>IFERROR(__xludf.DUMMYFUNCTION("""COMPUTED_VALUE"""),"Starter")</f>
        <v>Starter</v>
      </c>
      <c r="H644" s="265" t="str">
        <f>IFERROR(__xludf.DUMMYFUNCTION("""COMPUTED_VALUE"""),"Trả sau")</f>
        <v>Trả sau</v>
      </c>
      <c r="I644" s="265" t="str">
        <f>IFERROR(__xludf.DUMMYFUNCTION("""COMPUTED_VALUE"""),"API &amp; Portal")</f>
        <v>API &amp; Portal</v>
      </c>
      <c r="J644" s="265" t="str">
        <f>IFERROR(__xludf.DUMMYFUNCTION("""COMPUTED_VALUE"""),"API")</f>
        <v>API</v>
      </c>
    </row>
    <row r="645">
      <c r="A645" s="265" t="str">
        <f>IFERROR(__xludf.DUMMYFUNCTION("""COMPUTED_VALUE"""),"891")</f>
        <v>891</v>
      </c>
      <c r="B645" s="265" t="str">
        <f>IFERROR(__xludf.DUMMYFUNCTION("""COMPUTED_VALUE"""),"Sài Gòn")</f>
        <v>Sài Gòn</v>
      </c>
      <c r="C645" s="265" t="str">
        <f>IFERROR(__xludf.DUMMYFUNCTION("""COMPUTED_VALUE"""),"Locked")</f>
        <v>Locked</v>
      </c>
      <c r="D645" s="265" t="str">
        <f>IFERROR(__xludf.DUMMYFUNCTION("""COMPUTED_VALUE"""),"Sale chưa cung cấp")</f>
        <v>Sale chưa cung cấp</v>
      </c>
      <c r="E645" s="265" t="str">
        <f>IFERROR(__xludf.DUMMYFUNCTION("""COMPUTED_VALUE"""),"AnhNM")</f>
        <v>AnhNM</v>
      </c>
      <c r="F645" s="265" t="str">
        <f>IFERROR(__xludf.DUMMYFUNCTION("""COMPUTED_VALUE"""),"Sale chưa cung cấp")</f>
        <v>Sale chưa cung cấp</v>
      </c>
      <c r="G645" s="265" t="str">
        <f>IFERROR(__xludf.DUMMYFUNCTION("""COMPUTED_VALUE"""),"Standard")</f>
        <v>Standard</v>
      </c>
      <c r="H645" s="265" t="str">
        <f>IFERROR(__xludf.DUMMYFUNCTION("""COMPUTED_VALUE"""),"Trial")</f>
        <v>Trial</v>
      </c>
      <c r="I645" s="265" t="str">
        <f>IFERROR(__xludf.DUMMYFUNCTION("""COMPUTED_VALUE"""),"API")</f>
        <v>API</v>
      </c>
      <c r="J645" s="265" t="str">
        <f>IFERROR(__xludf.DUMMYFUNCTION("""COMPUTED_VALUE"""),"API")</f>
        <v>API</v>
      </c>
    </row>
    <row r="646">
      <c r="A646" s="265" t="str">
        <f>IFERROR(__xludf.DUMMYFUNCTION("""COMPUTED_VALUE"""),"892")</f>
        <v>892</v>
      </c>
      <c r="B646" s="265" t="str">
        <f>IFERROR(__xludf.DUMMYFUNCTION("""COMPUTED_VALUE"""),"Hà Nội")</f>
        <v>Hà Nội</v>
      </c>
      <c r="C646" s="265" t="str">
        <f>IFERROR(__xludf.DUMMYFUNCTION("""COMPUTED_VALUE"""),"Active")</f>
        <v>Active</v>
      </c>
      <c r="D646" s="265" t="str">
        <f>IFERROR(__xludf.DUMMYFUNCTION("""COMPUTED_VALUE"""),"Y tế &amp; Dược phẩm")</f>
        <v>Y tế &amp; Dược phẩm</v>
      </c>
      <c r="E646" s="265" t="str">
        <f>IFERROR(__xludf.DUMMYFUNCTION("""COMPUTED_VALUE"""),"TùngLD")</f>
        <v>TùngLD</v>
      </c>
      <c r="F646" s="265" t="str">
        <f>IFERROR(__xludf.DUMMYFUNCTION("""COMPUTED_VALUE"""),"Gold")</f>
        <v>Gold</v>
      </c>
      <c r="G646" s="265" t="str">
        <f>IFERROR(__xludf.DUMMYFUNCTION("""COMPUTED_VALUE"""),"Premium")</f>
        <v>Premium</v>
      </c>
      <c r="H646" s="265" t="str">
        <f>IFERROR(__xludf.DUMMYFUNCTION("""COMPUTED_VALUE"""),"Trả sau")</f>
        <v>Trả sau</v>
      </c>
      <c r="I646" s="265" t="str">
        <f>IFERROR(__xludf.DUMMYFUNCTION("""COMPUTED_VALUE"""),"API &amp; Portal")</f>
        <v>API &amp; Portal</v>
      </c>
      <c r="J646" s="265" t="str">
        <f>IFERROR(__xludf.DUMMYFUNCTION("""COMPUTED_VALUE"""),"File Excel")</f>
        <v>File Excel</v>
      </c>
    </row>
    <row r="647">
      <c r="A647" s="265" t="str">
        <f>IFERROR(__xludf.DUMMYFUNCTION("""COMPUTED_VALUE"""),"892")</f>
        <v>892</v>
      </c>
      <c r="B647" s="265" t="str">
        <f>IFERROR(__xludf.DUMMYFUNCTION("""COMPUTED_VALUE"""),"Hà Nội")</f>
        <v>Hà Nội</v>
      </c>
      <c r="C647" s="265" t="str">
        <f>IFERROR(__xludf.DUMMYFUNCTION("""COMPUTED_VALUE"""),"Active")</f>
        <v>Active</v>
      </c>
      <c r="D647" s="265" t="str">
        <f>IFERROR(__xludf.DUMMYFUNCTION("""COMPUTED_VALUE"""),"Y tế &amp; Dược phẩm")</f>
        <v>Y tế &amp; Dược phẩm</v>
      </c>
      <c r="E647" s="265" t="str">
        <f>IFERROR(__xludf.DUMMYFUNCTION("""COMPUTED_VALUE"""),"TùngLD")</f>
        <v>TùngLD</v>
      </c>
      <c r="F647" s="265" t="str">
        <f>IFERROR(__xludf.DUMMYFUNCTION("""COMPUTED_VALUE"""),"Gold")</f>
        <v>Gold</v>
      </c>
      <c r="G647" s="265" t="str">
        <f>IFERROR(__xludf.DUMMYFUNCTION("""COMPUTED_VALUE"""),"Premium")</f>
        <v>Premium</v>
      </c>
      <c r="H647" s="265" t="str">
        <f>IFERROR(__xludf.DUMMYFUNCTION("""COMPUTED_VALUE"""),"Trả sau")</f>
        <v>Trả sau</v>
      </c>
      <c r="I647" s="265" t="str">
        <f>IFERROR(__xludf.DUMMYFUNCTION("""COMPUTED_VALUE"""),"API &amp; Portal")</f>
        <v>API &amp; Portal</v>
      </c>
      <c r="J647" s="265" t="str">
        <f>IFERROR(__xludf.DUMMYFUNCTION("""COMPUTED_VALUE"""),"HubSpot")</f>
        <v>HubSpot</v>
      </c>
    </row>
    <row r="648">
      <c r="A648" s="265" t="str">
        <f>IFERROR(__xludf.DUMMYFUNCTION("""COMPUTED_VALUE"""),"895")</f>
        <v>895</v>
      </c>
      <c r="B648" s="265" t="str">
        <f>IFERROR(__xludf.DUMMYFUNCTION("""COMPUTED_VALUE"""),"Sài Gòn")</f>
        <v>Sài Gòn</v>
      </c>
      <c r="C648" s="265" t="str">
        <f>IFERROR(__xludf.DUMMYFUNCTION("""COMPUTED_VALUE"""),"Locked")</f>
        <v>Locked</v>
      </c>
      <c r="D648" s="265" t="str">
        <f>IFERROR(__xludf.DUMMYFUNCTION("""COMPUTED_VALUE"""),"Sale chưa cung cấp")</f>
        <v>Sale chưa cung cấp</v>
      </c>
      <c r="E648" s="265" t="str">
        <f>IFERROR(__xludf.DUMMYFUNCTION("""COMPUTED_VALUE"""),"AnhNM")</f>
        <v>AnhNM</v>
      </c>
      <c r="F648" s="265" t="str">
        <f>IFERROR(__xludf.DUMMYFUNCTION("""COMPUTED_VALUE"""),"Sale chưa cung cấp")</f>
        <v>Sale chưa cung cấp</v>
      </c>
      <c r="G648" s="265" t="str">
        <f>IFERROR(__xludf.DUMMYFUNCTION("""COMPUTED_VALUE"""),"Starter")</f>
        <v>Starter</v>
      </c>
      <c r="H648" s="265" t="str">
        <f>IFERROR(__xludf.DUMMYFUNCTION("""COMPUTED_VALUE"""),"Trial")</f>
        <v>Trial</v>
      </c>
      <c r="I648" s="265" t="str">
        <f>IFERROR(__xludf.DUMMYFUNCTION("""COMPUTED_VALUE"""),"API")</f>
        <v>API</v>
      </c>
      <c r="J648" s="265" t="str">
        <f>IFERROR(__xludf.DUMMYFUNCTION("""COMPUTED_VALUE"""),"API")</f>
        <v>API</v>
      </c>
    </row>
    <row r="649">
      <c r="A649" s="265" t="str">
        <f>IFERROR(__xludf.DUMMYFUNCTION("""COMPUTED_VALUE"""),"894")</f>
        <v>894</v>
      </c>
      <c r="B649" s="265" t="str">
        <f>IFERROR(__xludf.DUMMYFUNCTION("""COMPUTED_VALUE"""),"Sài Gòn")</f>
        <v>Sài Gòn</v>
      </c>
      <c r="C649" s="265" t="str">
        <f>IFERROR(__xludf.DUMMYFUNCTION("""COMPUTED_VALUE"""),"Active")</f>
        <v>Active</v>
      </c>
      <c r="D649" s="265" t="str">
        <f>IFERROR(__xludf.DUMMYFUNCTION("""COMPUTED_VALUE"""),"Sale chưa cung cấp")</f>
        <v>Sale chưa cung cấp</v>
      </c>
      <c r="E649" s="265" t="str">
        <f>IFERROR(__xludf.DUMMYFUNCTION("""COMPUTED_VALUE"""),"Không phân công")</f>
        <v>Không phân công</v>
      </c>
      <c r="F649" s="265" t="str">
        <f>IFERROR(__xludf.DUMMYFUNCTION("""COMPUTED_VALUE"""),"Diamond")</f>
        <v>Diamond</v>
      </c>
      <c r="G649" s="265" t="str">
        <f>IFERROR(__xludf.DUMMYFUNCTION("""COMPUTED_VALUE"""),"Standard")</f>
        <v>Standard</v>
      </c>
      <c r="H649" s="265" t="str">
        <f>IFERROR(__xludf.DUMMYFUNCTION("""COMPUTED_VALUE"""),"Trả trước")</f>
        <v>Trả trước</v>
      </c>
      <c r="I649" s="265" t="str">
        <f>IFERROR(__xludf.DUMMYFUNCTION("""COMPUTED_VALUE"""),"API")</f>
        <v>API</v>
      </c>
      <c r="J649" s="265" t="str">
        <f>IFERROR(__xludf.DUMMYFUNCTION("""COMPUTED_VALUE"""),"API")</f>
        <v>API</v>
      </c>
    </row>
    <row r="650">
      <c r="A650" s="265" t="str">
        <f>IFERROR(__xludf.DUMMYFUNCTION("""COMPUTED_VALUE"""),"896")</f>
        <v>896</v>
      </c>
      <c r="B650" s="265" t="str">
        <f>IFERROR(__xludf.DUMMYFUNCTION("""COMPUTED_VALUE"""),"Hà Nội")</f>
        <v>Hà Nội</v>
      </c>
      <c r="C650" s="265" t="str">
        <f>IFERROR(__xludf.DUMMYFUNCTION("""COMPUTED_VALUE"""),"Active")</f>
        <v>Active</v>
      </c>
      <c r="D650" s="265" t="str">
        <f>IFERROR(__xludf.DUMMYFUNCTION("""COMPUTED_VALUE"""),"Mua sắm &amp; Bán lẻ")</f>
        <v>Mua sắm &amp; Bán lẻ</v>
      </c>
      <c r="E650" s="265" t="str">
        <f>IFERROR(__xludf.DUMMYFUNCTION("""COMPUTED_VALUE"""),"TúPHN")</f>
        <v>TúPHN</v>
      </c>
      <c r="F650" s="265" t="str">
        <f>IFERROR(__xludf.DUMMYFUNCTION("""COMPUTED_VALUE"""),"Bronze")</f>
        <v>Bronze</v>
      </c>
      <c r="G650" s="265" t="str">
        <f>IFERROR(__xludf.DUMMYFUNCTION("""COMPUTED_VALUE"""),"Starter")</f>
        <v>Starter</v>
      </c>
      <c r="H650" s="265" t="str">
        <f>IFERROR(__xludf.DUMMYFUNCTION("""COMPUTED_VALUE"""),"Trả sau")</f>
        <v>Trả sau</v>
      </c>
      <c r="I650" s="265" t="str">
        <f>IFERROR(__xludf.DUMMYFUNCTION("""COMPUTED_VALUE"""),"API &amp; Portal")</f>
        <v>API &amp; Portal</v>
      </c>
      <c r="J650" s="265" t="str">
        <f>IFERROR(__xludf.DUMMYFUNCTION("""COMPUTED_VALUE"""),"File Excel")</f>
        <v>File Excel</v>
      </c>
    </row>
    <row r="651">
      <c r="A651" s="265" t="str">
        <f>IFERROR(__xludf.DUMMYFUNCTION("""COMPUTED_VALUE"""),"896")</f>
        <v>896</v>
      </c>
      <c r="B651" s="265" t="str">
        <f>IFERROR(__xludf.DUMMYFUNCTION("""COMPUTED_VALUE"""),"Hà Nội")</f>
        <v>Hà Nội</v>
      </c>
      <c r="C651" s="265" t="str">
        <f>IFERROR(__xludf.DUMMYFUNCTION("""COMPUTED_VALUE"""),"Active")</f>
        <v>Active</v>
      </c>
      <c r="D651" s="265" t="str">
        <f>IFERROR(__xludf.DUMMYFUNCTION("""COMPUTED_VALUE"""),"Mua sắm &amp; Bán lẻ")</f>
        <v>Mua sắm &amp; Bán lẻ</v>
      </c>
      <c r="E651" s="265" t="str">
        <f>IFERROR(__xludf.DUMMYFUNCTION("""COMPUTED_VALUE"""),"TúPHN")</f>
        <v>TúPHN</v>
      </c>
      <c r="F651" s="265" t="str">
        <f>IFERROR(__xludf.DUMMYFUNCTION("""COMPUTED_VALUE"""),"Bronze")</f>
        <v>Bronze</v>
      </c>
      <c r="G651" s="265" t="str">
        <f>IFERROR(__xludf.DUMMYFUNCTION("""COMPUTED_VALUE"""),"Starter")</f>
        <v>Starter</v>
      </c>
      <c r="H651" s="265" t="str">
        <f>IFERROR(__xludf.DUMMYFUNCTION("""COMPUTED_VALUE"""),"Trả sau")</f>
        <v>Trả sau</v>
      </c>
      <c r="I651" s="265" t="str">
        <f>IFERROR(__xludf.DUMMYFUNCTION("""COMPUTED_VALUE"""),"API &amp; Portal")</f>
        <v>API &amp; Portal</v>
      </c>
      <c r="J651" s="265" t="str">
        <f>IFERROR(__xludf.DUMMYFUNCTION("""COMPUTED_VALUE"""),"API")</f>
        <v>API</v>
      </c>
    </row>
    <row r="652">
      <c r="A652" s="265" t="str">
        <f>IFERROR(__xludf.DUMMYFUNCTION("""COMPUTED_VALUE"""),"897")</f>
        <v>897</v>
      </c>
      <c r="B652" s="265" t="str">
        <f>IFERROR(__xludf.DUMMYFUNCTION("""COMPUTED_VALUE"""),"Sài Gòn")</f>
        <v>Sài Gòn</v>
      </c>
      <c r="C652" s="265" t="str">
        <f>IFERROR(__xludf.DUMMYFUNCTION("""COMPUTED_VALUE"""),"Locked")</f>
        <v>Locked</v>
      </c>
      <c r="D652" s="265" t="str">
        <f>IFERROR(__xludf.DUMMYFUNCTION("""COMPUTED_VALUE"""),"Thực phẩm &amp; Đồ uống")</f>
        <v>Thực phẩm &amp; Đồ uống</v>
      </c>
      <c r="E652" s="265" t="str">
        <f>IFERROR(__xludf.DUMMYFUNCTION("""COMPUTED_VALUE"""),"HoaNTM")</f>
        <v>HoaNTM</v>
      </c>
      <c r="F652" s="265" t="str">
        <f>IFERROR(__xludf.DUMMYFUNCTION("""COMPUTED_VALUE"""),"Diamond")</f>
        <v>Diamond</v>
      </c>
      <c r="G652" s="265" t="str">
        <f>IFERROR(__xludf.DUMMYFUNCTION("""COMPUTED_VALUE"""),"Premium")</f>
        <v>Premium</v>
      </c>
      <c r="H652" s="265" t="str">
        <f>IFERROR(__xludf.DUMMYFUNCTION("""COMPUTED_VALUE"""),"Trả trước")</f>
        <v>Trả trước</v>
      </c>
      <c r="I652" s="265" t="str">
        <f>IFERROR(__xludf.DUMMYFUNCTION("""COMPUTED_VALUE"""),"API &amp; Portal")</f>
        <v>API &amp; Portal</v>
      </c>
      <c r="J652" s="265" t="str">
        <f>IFERROR(__xludf.DUMMYFUNCTION("""COMPUTED_VALUE"""),"File Excel")</f>
        <v>File Excel</v>
      </c>
    </row>
    <row r="653">
      <c r="A653" s="265" t="str">
        <f>IFERROR(__xludf.DUMMYFUNCTION("""COMPUTED_VALUE"""),"897")</f>
        <v>897</v>
      </c>
      <c r="B653" s="265" t="str">
        <f>IFERROR(__xludf.DUMMYFUNCTION("""COMPUTED_VALUE"""),"Sài Gòn")</f>
        <v>Sài Gòn</v>
      </c>
      <c r="C653" s="265" t="str">
        <f>IFERROR(__xludf.DUMMYFUNCTION("""COMPUTED_VALUE"""),"Locked")</f>
        <v>Locked</v>
      </c>
      <c r="D653" s="265" t="str">
        <f>IFERROR(__xludf.DUMMYFUNCTION("""COMPUTED_VALUE"""),"Thực phẩm &amp; Đồ uống")</f>
        <v>Thực phẩm &amp; Đồ uống</v>
      </c>
      <c r="E653" s="265" t="str">
        <f>IFERROR(__xludf.DUMMYFUNCTION("""COMPUTED_VALUE"""),"HoaNTM")</f>
        <v>HoaNTM</v>
      </c>
      <c r="F653" s="265" t="str">
        <f>IFERROR(__xludf.DUMMYFUNCTION("""COMPUTED_VALUE"""),"Diamond")</f>
        <v>Diamond</v>
      </c>
      <c r="G653" s="265" t="str">
        <f>IFERROR(__xludf.DUMMYFUNCTION("""COMPUTED_VALUE"""),"Premium")</f>
        <v>Premium</v>
      </c>
      <c r="H653" s="265" t="str">
        <f>IFERROR(__xludf.DUMMYFUNCTION("""COMPUTED_VALUE"""),"Trả trước")</f>
        <v>Trả trước</v>
      </c>
      <c r="I653" s="265" t="str">
        <f>IFERROR(__xludf.DUMMYFUNCTION("""COMPUTED_VALUE"""),"API &amp; Portal")</f>
        <v>API &amp; Portal</v>
      </c>
      <c r="J653" s="265" t="str">
        <f>IFERROR(__xludf.DUMMYFUNCTION("""COMPUTED_VALUE"""),"API")</f>
        <v>API</v>
      </c>
    </row>
    <row r="654">
      <c r="A654" s="265" t="str">
        <f>IFERROR(__xludf.DUMMYFUNCTION("""COMPUTED_VALUE"""),"898")</f>
        <v>898</v>
      </c>
      <c r="B654" s="265" t="str">
        <f>IFERROR(__xludf.DUMMYFUNCTION("""COMPUTED_VALUE"""),"Sài Gòn")</f>
        <v>Sài Gòn</v>
      </c>
      <c r="C654" s="265" t="str">
        <f>IFERROR(__xludf.DUMMYFUNCTION("""COMPUTED_VALUE"""),"Locked")</f>
        <v>Locked</v>
      </c>
      <c r="D654" s="265" t="str">
        <f>IFERROR(__xludf.DUMMYFUNCTION("""COMPUTED_VALUE"""),"Thực phẩm &amp; Đồ uống")</f>
        <v>Thực phẩm &amp; Đồ uống</v>
      </c>
      <c r="E654" s="265" t="str">
        <f>IFERROR(__xludf.DUMMYFUNCTION("""COMPUTED_VALUE"""),"HoaNTM")</f>
        <v>HoaNTM</v>
      </c>
      <c r="F654" s="265" t="str">
        <f>IFERROR(__xludf.DUMMYFUNCTION("""COMPUTED_VALUE"""),"Diamond")</f>
        <v>Diamond</v>
      </c>
      <c r="G654" s="265" t="str">
        <f>IFERROR(__xludf.DUMMYFUNCTION("""COMPUTED_VALUE"""),"Premium")</f>
        <v>Premium</v>
      </c>
      <c r="H654" s="265" t="str">
        <f>IFERROR(__xludf.DUMMYFUNCTION("""COMPUTED_VALUE"""),"Trả sau")</f>
        <v>Trả sau</v>
      </c>
      <c r="I654" s="265" t="str">
        <f>IFERROR(__xludf.DUMMYFUNCTION("""COMPUTED_VALUE"""),"API &amp; Portal")</f>
        <v>API &amp; Portal</v>
      </c>
      <c r="J654" s="265" t="str">
        <f>IFERROR(__xludf.DUMMYFUNCTION("""COMPUTED_VALUE"""),"File Excel")</f>
        <v>File Excel</v>
      </c>
    </row>
    <row r="655">
      <c r="A655" s="265" t="str">
        <f>IFERROR(__xludf.DUMMYFUNCTION("""COMPUTED_VALUE"""),"898")</f>
        <v>898</v>
      </c>
      <c r="B655" s="265" t="str">
        <f>IFERROR(__xludf.DUMMYFUNCTION("""COMPUTED_VALUE"""),"Sài Gòn")</f>
        <v>Sài Gòn</v>
      </c>
      <c r="C655" s="265" t="str">
        <f>IFERROR(__xludf.DUMMYFUNCTION("""COMPUTED_VALUE"""),"Locked")</f>
        <v>Locked</v>
      </c>
      <c r="D655" s="265" t="str">
        <f>IFERROR(__xludf.DUMMYFUNCTION("""COMPUTED_VALUE"""),"Thực phẩm &amp; Đồ uống")</f>
        <v>Thực phẩm &amp; Đồ uống</v>
      </c>
      <c r="E655" s="265" t="str">
        <f>IFERROR(__xludf.DUMMYFUNCTION("""COMPUTED_VALUE"""),"HoaNTM")</f>
        <v>HoaNTM</v>
      </c>
      <c r="F655" s="265" t="str">
        <f>IFERROR(__xludf.DUMMYFUNCTION("""COMPUTED_VALUE"""),"Diamond")</f>
        <v>Diamond</v>
      </c>
      <c r="G655" s="265" t="str">
        <f>IFERROR(__xludf.DUMMYFUNCTION("""COMPUTED_VALUE"""),"Premium")</f>
        <v>Premium</v>
      </c>
      <c r="H655" s="265" t="str">
        <f>IFERROR(__xludf.DUMMYFUNCTION("""COMPUTED_VALUE"""),"Trả sau")</f>
        <v>Trả sau</v>
      </c>
      <c r="I655" s="265" t="str">
        <f>IFERROR(__xludf.DUMMYFUNCTION("""COMPUTED_VALUE"""),"API &amp; Portal")</f>
        <v>API &amp; Portal</v>
      </c>
      <c r="J655" s="265" t="str">
        <f>IFERROR(__xludf.DUMMYFUNCTION("""COMPUTED_VALUE"""),"API")</f>
        <v>API</v>
      </c>
    </row>
    <row r="656">
      <c r="A656" s="265" t="str">
        <f>IFERROR(__xludf.DUMMYFUNCTION("""COMPUTED_VALUE"""),"899")</f>
        <v>899</v>
      </c>
      <c r="B656" s="265" t="str">
        <f>IFERROR(__xludf.DUMMYFUNCTION("""COMPUTED_VALUE"""),"Hà Nội")</f>
        <v>Hà Nội</v>
      </c>
      <c r="C656" s="265" t="str">
        <f>IFERROR(__xludf.DUMMYFUNCTION("""COMPUTED_VALUE"""),"Active")</f>
        <v>Active</v>
      </c>
      <c r="D656" s="265" t="str">
        <f>IFERROR(__xludf.DUMMYFUNCTION("""COMPUTED_VALUE"""),"Sale chưa cung cấp")</f>
        <v>Sale chưa cung cấp</v>
      </c>
      <c r="E656" s="265" t="str">
        <f>IFERROR(__xludf.DUMMYFUNCTION("""COMPUTED_VALUE"""),"AnhNM")</f>
        <v>AnhNM</v>
      </c>
      <c r="F656" s="265" t="str">
        <f>IFERROR(__xludf.DUMMYFUNCTION("""COMPUTED_VALUE"""),"Bronze")</f>
        <v>Bronze</v>
      </c>
      <c r="G656" s="265" t="str">
        <f>IFERROR(__xludf.DUMMYFUNCTION("""COMPUTED_VALUE"""),"Starter")</f>
        <v>Starter</v>
      </c>
      <c r="H656" s="265" t="str">
        <f>IFERROR(__xludf.DUMMYFUNCTION("""COMPUTED_VALUE"""),"Trả trước")</f>
        <v>Trả trước</v>
      </c>
      <c r="I656" s="265" t="str">
        <f>IFERROR(__xludf.DUMMYFUNCTION("""COMPUTED_VALUE"""),"API")</f>
        <v>API</v>
      </c>
      <c r="J656" s="265" t="str">
        <f>IFERROR(__xludf.DUMMYFUNCTION("""COMPUTED_VALUE"""),"API")</f>
        <v>API</v>
      </c>
    </row>
    <row r="657">
      <c r="A657" s="265" t="str">
        <f>IFERROR(__xludf.DUMMYFUNCTION("""COMPUTED_VALUE"""),"900")</f>
        <v>900</v>
      </c>
      <c r="B657" s="265" t="str">
        <f>IFERROR(__xludf.DUMMYFUNCTION("""COMPUTED_VALUE"""),"Hà Nội")</f>
        <v>Hà Nội</v>
      </c>
      <c r="C657" s="265" t="str">
        <f>IFERROR(__xludf.DUMMYFUNCTION("""COMPUTED_VALUE"""),"Active")</f>
        <v>Active</v>
      </c>
      <c r="D657" s="265" t="str">
        <f>IFERROR(__xludf.DUMMYFUNCTION("""COMPUTED_VALUE"""),"Sale chưa cung cấp")</f>
        <v>Sale chưa cung cấp</v>
      </c>
      <c r="E657" s="265" t="str">
        <f>IFERROR(__xludf.DUMMYFUNCTION("""COMPUTED_VALUE"""),"Không phân công")</f>
        <v>Không phân công</v>
      </c>
      <c r="F657" s="265" t="str">
        <f>IFERROR(__xludf.DUMMYFUNCTION("""COMPUTED_VALUE"""),"Sale chưa cung cấp")</f>
        <v>Sale chưa cung cấp</v>
      </c>
      <c r="G657" s="265" t="str">
        <f>IFERROR(__xludf.DUMMYFUNCTION("""COMPUTED_VALUE"""),"Starter")</f>
        <v>Starter</v>
      </c>
      <c r="H657" s="265" t="str">
        <f>IFERROR(__xludf.DUMMYFUNCTION("""COMPUTED_VALUE"""),"Trả sau")</f>
        <v>Trả sau</v>
      </c>
      <c r="I657" s="265" t="str">
        <f>IFERROR(__xludf.DUMMYFUNCTION("""COMPUTED_VALUE"""),"API &amp; Portal")</f>
        <v>API &amp; Portal</v>
      </c>
      <c r="J657" s="265" t="str">
        <f>IFERROR(__xludf.DUMMYFUNCTION("""COMPUTED_VALUE"""),"File Excel")</f>
        <v>File Excel</v>
      </c>
    </row>
    <row r="658">
      <c r="A658" s="265" t="str">
        <f>IFERROR(__xludf.DUMMYFUNCTION("""COMPUTED_VALUE"""),"900")</f>
        <v>900</v>
      </c>
      <c r="B658" s="265" t="str">
        <f>IFERROR(__xludf.DUMMYFUNCTION("""COMPUTED_VALUE"""),"Hà Nội")</f>
        <v>Hà Nội</v>
      </c>
      <c r="C658" s="265" t="str">
        <f>IFERROR(__xludf.DUMMYFUNCTION("""COMPUTED_VALUE"""),"Active")</f>
        <v>Active</v>
      </c>
      <c r="D658" s="265" t="str">
        <f>IFERROR(__xludf.DUMMYFUNCTION("""COMPUTED_VALUE"""),"Sale chưa cung cấp")</f>
        <v>Sale chưa cung cấp</v>
      </c>
      <c r="E658" s="265" t="str">
        <f>IFERROR(__xludf.DUMMYFUNCTION("""COMPUTED_VALUE"""),"Không phân công")</f>
        <v>Không phân công</v>
      </c>
      <c r="F658" s="265" t="str">
        <f>IFERROR(__xludf.DUMMYFUNCTION("""COMPUTED_VALUE"""),"Sale chưa cung cấp")</f>
        <v>Sale chưa cung cấp</v>
      </c>
      <c r="G658" s="265" t="str">
        <f>IFERROR(__xludf.DUMMYFUNCTION("""COMPUTED_VALUE"""),"Starter")</f>
        <v>Starter</v>
      </c>
      <c r="H658" s="265" t="str">
        <f>IFERROR(__xludf.DUMMYFUNCTION("""COMPUTED_VALUE"""),"Trả sau")</f>
        <v>Trả sau</v>
      </c>
      <c r="I658" s="265" t="str">
        <f>IFERROR(__xludf.DUMMYFUNCTION("""COMPUTED_VALUE"""),"API &amp; Portal")</f>
        <v>API &amp; Portal</v>
      </c>
      <c r="J658" s="265" t="str">
        <f>IFERROR(__xludf.DUMMYFUNCTION("""COMPUTED_VALUE"""),"API")</f>
        <v>API</v>
      </c>
    </row>
    <row r="659">
      <c r="A659" s="265" t="str">
        <f>IFERROR(__xludf.DUMMYFUNCTION("""COMPUTED_VALUE"""),"902")</f>
        <v>902</v>
      </c>
      <c r="B659" s="265" t="str">
        <f>IFERROR(__xludf.DUMMYFUNCTION("""COMPUTED_VALUE"""),"Hà Nội")</f>
        <v>Hà Nội</v>
      </c>
      <c r="C659" s="265" t="str">
        <f>IFERROR(__xludf.DUMMYFUNCTION("""COMPUTED_VALUE"""),"Active")</f>
        <v>Active</v>
      </c>
      <c r="D659" s="265" t="str">
        <f>IFERROR(__xludf.DUMMYFUNCTION("""COMPUTED_VALUE"""),"Y tế &amp; Dược phẩm")</f>
        <v>Y tế &amp; Dược phẩm</v>
      </c>
      <c r="E659" s="265" t="str">
        <f>IFERROR(__xludf.DUMMYFUNCTION("""COMPUTED_VALUE"""),"TùngLD")</f>
        <v>TùngLD</v>
      </c>
      <c r="F659" s="265" t="str">
        <f>IFERROR(__xludf.DUMMYFUNCTION("""COMPUTED_VALUE"""),"Gold")</f>
        <v>Gold</v>
      </c>
      <c r="G659" s="265" t="str">
        <f>IFERROR(__xludf.DUMMYFUNCTION("""COMPUTED_VALUE"""),"Premium")</f>
        <v>Premium</v>
      </c>
      <c r="H659" s="265" t="str">
        <f>IFERROR(__xludf.DUMMYFUNCTION("""COMPUTED_VALUE"""),"Trả sau")</f>
        <v>Trả sau</v>
      </c>
      <c r="I659" s="265" t="str">
        <f>IFERROR(__xludf.DUMMYFUNCTION("""COMPUTED_VALUE"""),"API &amp; Portal")</f>
        <v>API &amp; Portal</v>
      </c>
      <c r="J659" s="265" t="str">
        <f>IFERROR(__xludf.DUMMYFUNCTION("""COMPUTED_VALUE"""),"HubSpot")</f>
        <v>HubSpot</v>
      </c>
    </row>
    <row r="660">
      <c r="A660" s="265" t="str">
        <f>IFERROR(__xludf.DUMMYFUNCTION("""COMPUTED_VALUE"""),"901")</f>
        <v>901</v>
      </c>
      <c r="B660" s="265" t="str">
        <f>IFERROR(__xludf.DUMMYFUNCTION("""COMPUTED_VALUE"""),"Hà Nội")</f>
        <v>Hà Nội</v>
      </c>
      <c r="C660" s="265" t="str">
        <f>IFERROR(__xludf.DUMMYFUNCTION("""COMPUTED_VALUE"""),"Locked")</f>
        <v>Locked</v>
      </c>
      <c r="D660" s="265" t="str">
        <f>IFERROR(__xludf.DUMMYFUNCTION("""COMPUTED_VALUE"""),"Sale chưa cung cấp")</f>
        <v>Sale chưa cung cấp</v>
      </c>
      <c r="E660" s="265" t="str">
        <f>IFERROR(__xludf.DUMMYFUNCTION("""COMPUTED_VALUE"""),"PhươngDTB")</f>
        <v>PhươngDTB</v>
      </c>
      <c r="F660" s="265" t="str">
        <f>IFERROR(__xludf.DUMMYFUNCTION("""COMPUTED_VALUE"""),"Sale chưa cung cấp")</f>
        <v>Sale chưa cung cấp</v>
      </c>
      <c r="G660" s="265" t="str">
        <f>IFERROR(__xludf.DUMMYFUNCTION("""COMPUTED_VALUE"""),"Enterprise")</f>
        <v>Enterprise</v>
      </c>
      <c r="H660" s="265" t="str">
        <f>IFERROR(__xludf.DUMMYFUNCTION("""COMPUTED_VALUE"""),"Trial")</f>
        <v>Trial</v>
      </c>
      <c r="I660" s="265" t="str">
        <f>IFERROR(__xludf.DUMMYFUNCTION("""COMPUTED_VALUE"""),"API")</f>
        <v>API</v>
      </c>
      <c r="J660" s="265" t="str">
        <f>IFERROR(__xludf.DUMMYFUNCTION("""COMPUTED_VALUE"""),"API")</f>
        <v>API</v>
      </c>
    </row>
    <row r="661">
      <c r="A661" s="265" t="str">
        <f>IFERROR(__xludf.DUMMYFUNCTION("""COMPUTED_VALUE"""),"903")</f>
        <v>903</v>
      </c>
      <c r="B661" s="265" t="str">
        <f>IFERROR(__xludf.DUMMYFUNCTION("""COMPUTED_VALUE"""),"Sài Gòn")</f>
        <v>Sài Gòn</v>
      </c>
      <c r="C661" s="265" t="str">
        <f>IFERROR(__xludf.DUMMYFUNCTION("""COMPUTED_VALUE"""),"Active")</f>
        <v>Active</v>
      </c>
      <c r="D661" s="265" t="str">
        <f>IFERROR(__xludf.DUMMYFUNCTION("""COMPUTED_VALUE"""),"Ô tô &amp; Xe máy")</f>
        <v>Ô tô &amp; Xe máy</v>
      </c>
      <c r="E661" s="265" t="str">
        <f>IFERROR(__xludf.DUMMYFUNCTION("""COMPUTED_VALUE"""),"AnhNM")</f>
        <v>AnhNM</v>
      </c>
      <c r="F661" s="265" t="str">
        <f>IFERROR(__xludf.DUMMYFUNCTION("""COMPUTED_VALUE"""),"Silver")</f>
        <v>Silver</v>
      </c>
      <c r="G661" s="265" t="str">
        <f>IFERROR(__xludf.DUMMYFUNCTION("""COMPUTED_VALUE"""),"Standard")</f>
        <v>Standard</v>
      </c>
      <c r="H661" s="265" t="str">
        <f>IFERROR(__xludf.DUMMYFUNCTION("""COMPUTED_VALUE"""),"Trả trước")</f>
        <v>Trả trước</v>
      </c>
      <c r="I661" s="265" t="str">
        <f>IFERROR(__xludf.DUMMYFUNCTION("""COMPUTED_VALUE"""),"Portal")</f>
        <v>Portal</v>
      </c>
      <c r="J661" s="265" t="str">
        <f>IFERROR(__xludf.DUMMYFUNCTION("""COMPUTED_VALUE"""),"File Excel")</f>
        <v>File Excel</v>
      </c>
    </row>
    <row r="662">
      <c r="A662" s="265" t="str">
        <f>IFERROR(__xludf.DUMMYFUNCTION("""COMPUTED_VALUE"""),"904")</f>
        <v>904</v>
      </c>
      <c r="B662" s="265" t="str">
        <f>IFERROR(__xludf.DUMMYFUNCTION("""COMPUTED_VALUE"""),"Hà Nội")</f>
        <v>Hà Nội</v>
      </c>
      <c r="C662" s="265" t="str">
        <f>IFERROR(__xludf.DUMMYFUNCTION("""COMPUTED_VALUE"""),"Active")</f>
        <v>Active</v>
      </c>
      <c r="D662" s="265" t="str">
        <f>IFERROR(__xludf.DUMMYFUNCTION("""COMPUTED_VALUE"""),"Y tế &amp; Dược phẩm")</f>
        <v>Y tế &amp; Dược phẩm</v>
      </c>
      <c r="E662" s="265" t="str">
        <f>IFERROR(__xludf.DUMMYFUNCTION("""COMPUTED_VALUE"""),"TùngLD")</f>
        <v>TùngLD</v>
      </c>
      <c r="F662" s="265" t="str">
        <f>IFERROR(__xludf.DUMMYFUNCTION("""COMPUTED_VALUE"""),"Gold")</f>
        <v>Gold</v>
      </c>
      <c r="G662" s="265" t="str">
        <f>IFERROR(__xludf.DUMMYFUNCTION("""COMPUTED_VALUE"""),"Premium")</f>
        <v>Premium</v>
      </c>
      <c r="H662" s="265" t="str">
        <f>IFERROR(__xludf.DUMMYFUNCTION("""COMPUTED_VALUE"""),"Trả sau")</f>
        <v>Trả sau</v>
      </c>
      <c r="I662" s="265" t="str">
        <f>IFERROR(__xludf.DUMMYFUNCTION("""COMPUTED_VALUE"""),"API &amp; Portal")</f>
        <v>API &amp; Portal</v>
      </c>
      <c r="J662" s="265" t="str">
        <f>IFERROR(__xludf.DUMMYFUNCTION("""COMPUTED_VALUE"""),"File Excel")</f>
        <v>File Excel</v>
      </c>
    </row>
    <row r="663">
      <c r="A663" s="265" t="str">
        <f>IFERROR(__xludf.DUMMYFUNCTION("""COMPUTED_VALUE"""),"904")</f>
        <v>904</v>
      </c>
      <c r="B663" s="265" t="str">
        <f>IFERROR(__xludf.DUMMYFUNCTION("""COMPUTED_VALUE"""),"Hà Nội")</f>
        <v>Hà Nội</v>
      </c>
      <c r="C663" s="265" t="str">
        <f>IFERROR(__xludf.DUMMYFUNCTION("""COMPUTED_VALUE"""),"Active")</f>
        <v>Active</v>
      </c>
      <c r="D663" s="265" t="str">
        <f>IFERROR(__xludf.DUMMYFUNCTION("""COMPUTED_VALUE"""),"Y tế &amp; Dược phẩm")</f>
        <v>Y tế &amp; Dược phẩm</v>
      </c>
      <c r="E663" s="265" t="str">
        <f>IFERROR(__xludf.DUMMYFUNCTION("""COMPUTED_VALUE"""),"TùngLD")</f>
        <v>TùngLD</v>
      </c>
      <c r="F663" s="265" t="str">
        <f>IFERROR(__xludf.DUMMYFUNCTION("""COMPUTED_VALUE"""),"Gold")</f>
        <v>Gold</v>
      </c>
      <c r="G663" s="265" t="str">
        <f>IFERROR(__xludf.DUMMYFUNCTION("""COMPUTED_VALUE"""),"Premium")</f>
        <v>Premium</v>
      </c>
      <c r="H663" s="265" t="str">
        <f>IFERROR(__xludf.DUMMYFUNCTION("""COMPUTED_VALUE"""),"Trả sau")</f>
        <v>Trả sau</v>
      </c>
      <c r="I663" s="265" t="str">
        <f>IFERROR(__xludf.DUMMYFUNCTION("""COMPUTED_VALUE"""),"API &amp; Portal")</f>
        <v>API &amp; Portal</v>
      </c>
      <c r="J663" s="265" t="str">
        <f>IFERROR(__xludf.DUMMYFUNCTION("""COMPUTED_VALUE"""),"API")</f>
        <v>API</v>
      </c>
    </row>
    <row r="664">
      <c r="A664" s="265" t="str">
        <f>IFERROR(__xludf.DUMMYFUNCTION("""COMPUTED_VALUE"""),"904")</f>
        <v>904</v>
      </c>
      <c r="B664" s="265" t="str">
        <f>IFERROR(__xludf.DUMMYFUNCTION("""COMPUTED_VALUE"""),"Hà Nội")</f>
        <v>Hà Nội</v>
      </c>
      <c r="C664" s="265" t="str">
        <f>IFERROR(__xludf.DUMMYFUNCTION("""COMPUTED_VALUE"""),"Active")</f>
        <v>Active</v>
      </c>
      <c r="D664" s="265" t="str">
        <f>IFERROR(__xludf.DUMMYFUNCTION("""COMPUTED_VALUE"""),"Y tế &amp; Dược phẩm")</f>
        <v>Y tế &amp; Dược phẩm</v>
      </c>
      <c r="E664" s="265" t="str">
        <f>IFERROR(__xludf.DUMMYFUNCTION("""COMPUTED_VALUE"""),"TùngLD")</f>
        <v>TùngLD</v>
      </c>
      <c r="F664" s="265" t="str">
        <f>IFERROR(__xludf.DUMMYFUNCTION("""COMPUTED_VALUE"""),"Gold")</f>
        <v>Gold</v>
      </c>
      <c r="G664" s="265" t="str">
        <f>IFERROR(__xludf.DUMMYFUNCTION("""COMPUTED_VALUE"""),"Premium")</f>
        <v>Premium</v>
      </c>
      <c r="H664" s="265" t="str">
        <f>IFERROR(__xludf.DUMMYFUNCTION("""COMPUTED_VALUE"""),"Trả sau")</f>
        <v>Trả sau</v>
      </c>
      <c r="I664" s="265" t="str">
        <f>IFERROR(__xludf.DUMMYFUNCTION("""COMPUTED_VALUE"""),"API &amp; Portal")</f>
        <v>API &amp; Portal</v>
      </c>
      <c r="J664" s="265" t="str">
        <f>IFERROR(__xludf.DUMMYFUNCTION("""COMPUTED_VALUE"""),"HubSpot")</f>
        <v>HubSpot</v>
      </c>
    </row>
    <row r="665">
      <c r="A665" s="265" t="str">
        <f>IFERROR(__xludf.DUMMYFUNCTION("""COMPUTED_VALUE"""),"905")</f>
        <v>905</v>
      </c>
      <c r="B665" s="265" t="str">
        <f>IFERROR(__xludf.DUMMYFUNCTION("""COMPUTED_VALUE"""),"Hà Nội")</f>
        <v>Hà Nội</v>
      </c>
      <c r="C665" s="265" t="str">
        <f>IFERROR(__xludf.DUMMYFUNCTION("""COMPUTED_VALUE"""),"Locked")</f>
        <v>Locked</v>
      </c>
      <c r="D665" s="265" t="str">
        <f>IFERROR(__xludf.DUMMYFUNCTION("""COMPUTED_VALUE"""),"Ô tô &amp; Xe máy")</f>
        <v>Ô tô &amp; Xe máy</v>
      </c>
      <c r="E665" s="265" t="str">
        <f>IFERROR(__xludf.DUMMYFUNCTION("""COMPUTED_VALUE"""),"TùngLD")</f>
        <v>TùngLD</v>
      </c>
      <c r="F665" s="265" t="str">
        <f>IFERROR(__xludf.DUMMYFUNCTION("""COMPUTED_VALUE"""),"Sale chưa cung cấp")</f>
        <v>Sale chưa cung cấp</v>
      </c>
      <c r="G665" s="265" t="str">
        <f>IFERROR(__xludf.DUMMYFUNCTION("""COMPUTED_VALUE"""),"Starter")</f>
        <v>Starter</v>
      </c>
      <c r="H665" s="265" t="str">
        <f>IFERROR(__xludf.DUMMYFUNCTION("""COMPUTED_VALUE"""),"Trả sau")</f>
        <v>Trả sau</v>
      </c>
      <c r="I665" s="265" t="str">
        <f>IFERROR(__xludf.DUMMYFUNCTION("""COMPUTED_VALUE"""),"API")</f>
        <v>API</v>
      </c>
      <c r="J665" s="265" t="str">
        <f>IFERROR(__xludf.DUMMYFUNCTION("""COMPUTED_VALUE"""),"API")</f>
        <v>API</v>
      </c>
    </row>
    <row r="666">
      <c r="A666" s="265" t="str">
        <f>IFERROR(__xludf.DUMMYFUNCTION("""COMPUTED_VALUE"""),"907")</f>
        <v>907</v>
      </c>
      <c r="B666" s="265" t="str">
        <f>IFERROR(__xludf.DUMMYFUNCTION("""COMPUTED_VALUE"""),"Hà Nội")</f>
        <v>Hà Nội</v>
      </c>
      <c r="C666" s="265" t="str">
        <f>IFERROR(__xludf.DUMMYFUNCTION("""COMPUTED_VALUE"""),"Locked")</f>
        <v>Locked</v>
      </c>
      <c r="D666" s="265" t="str">
        <f>IFERROR(__xludf.DUMMYFUNCTION("""COMPUTED_VALUE"""),"Sale chưa cung cấp")</f>
        <v>Sale chưa cung cấp</v>
      </c>
      <c r="E666" s="265" t="str">
        <f>IFERROR(__xludf.DUMMYFUNCTION("""COMPUTED_VALUE"""),"PhươngDTB")</f>
        <v>PhươngDTB</v>
      </c>
      <c r="F666" s="265" t="str">
        <f>IFERROR(__xludf.DUMMYFUNCTION("""COMPUTED_VALUE"""),"Sale chưa cung cấp")</f>
        <v>Sale chưa cung cấp</v>
      </c>
      <c r="G666" s="265" t="str">
        <f>IFERROR(__xludf.DUMMYFUNCTION("""COMPUTED_VALUE"""),"Premium")</f>
        <v>Premium</v>
      </c>
      <c r="H666" s="265" t="str">
        <f>IFERROR(__xludf.DUMMYFUNCTION("""COMPUTED_VALUE"""),"Trial")</f>
        <v>Trial</v>
      </c>
      <c r="I666" s="265" t="str">
        <f>IFERROR(__xludf.DUMMYFUNCTION("""COMPUTED_VALUE"""),"API")</f>
        <v>API</v>
      </c>
      <c r="J666" s="265" t="str">
        <f>IFERROR(__xludf.DUMMYFUNCTION("""COMPUTED_VALUE"""),"API")</f>
        <v>API</v>
      </c>
    </row>
    <row r="667">
      <c r="A667" s="265" t="str">
        <f>IFERROR(__xludf.DUMMYFUNCTION("""COMPUTED_VALUE"""),"914")</f>
        <v>914</v>
      </c>
      <c r="B667" s="265" t="str">
        <f>IFERROR(__xludf.DUMMYFUNCTION("""COMPUTED_VALUE"""),"Sài Gòn")</f>
        <v>Sài Gòn</v>
      </c>
      <c r="C667" s="265" t="str">
        <f>IFERROR(__xludf.DUMMYFUNCTION("""COMPUTED_VALUE"""),"Locked")</f>
        <v>Locked</v>
      </c>
      <c r="D667" s="265" t="str">
        <f>IFERROR(__xludf.DUMMYFUNCTION("""COMPUTED_VALUE"""),"Dịch vụ khác")</f>
        <v>Dịch vụ khác</v>
      </c>
      <c r="E667" s="265" t="str">
        <f>IFERROR(__xludf.DUMMYFUNCTION("""COMPUTED_VALUE"""),"AnhNM")</f>
        <v>AnhNM</v>
      </c>
      <c r="F667" s="265" t="str">
        <f>IFERROR(__xludf.DUMMYFUNCTION("""COMPUTED_VALUE"""),"Gold")</f>
        <v>Gold</v>
      </c>
      <c r="G667" s="265" t="str">
        <f>IFERROR(__xludf.DUMMYFUNCTION("""COMPUTED_VALUE"""),"Standard")</f>
        <v>Standard</v>
      </c>
      <c r="H667" s="265" t="str">
        <f>IFERROR(__xludf.DUMMYFUNCTION("""COMPUTED_VALUE"""),"Trả sau")</f>
        <v>Trả sau</v>
      </c>
      <c r="I667" s="265" t="str">
        <f>IFERROR(__xludf.DUMMYFUNCTION("""COMPUTED_VALUE"""),"API &amp; Portal")</f>
        <v>API &amp; Portal</v>
      </c>
      <c r="J667" s="265" t="str">
        <f>IFERROR(__xludf.DUMMYFUNCTION("""COMPUTED_VALUE"""),"File Excel")</f>
        <v>File Excel</v>
      </c>
    </row>
    <row r="668">
      <c r="A668" s="265" t="str">
        <f>IFERROR(__xludf.DUMMYFUNCTION("""COMPUTED_VALUE"""),"914")</f>
        <v>914</v>
      </c>
      <c r="B668" s="265" t="str">
        <f>IFERROR(__xludf.DUMMYFUNCTION("""COMPUTED_VALUE"""),"Sài Gòn")</f>
        <v>Sài Gòn</v>
      </c>
      <c r="C668" s="265" t="str">
        <f>IFERROR(__xludf.DUMMYFUNCTION("""COMPUTED_VALUE"""),"Locked")</f>
        <v>Locked</v>
      </c>
      <c r="D668" s="265" t="str">
        <f>IFERROR(__xludf.DUMMYFUNCTION("""COMPUTED_VALUE"""),"Dịch vụ khác")</f>
        <v>Dịch vụ khác</v>
      </c>
      <c r="E668" s="265" t="str">
        <f>IFERROR(__xludf.DUMMYFUNCTION("""COMPUTED_VALUE"""),"AnhNM")</f>
        <v>AnhNM</v>
      </c>
      <c r="F668" s="265" t="str">
        <f>IFERROR(__xludf.DUMMYFUNCTION("""COMPUTED_VALUE"""),"Gold")</f>
        <v>Gold</v>
      </c>
      <c r="G668" s="265" t="str">
        <f>IFERROR(__xludf.DUMMYFUNCTION("""COMPUTED_VALUE"""),"Standard")</f>
        <v>Standard</v>
      </c>
      <c r="H668" s="265" t="str">
        <f>IFERROR(__xludf.DUMMYFUNCTION("""COMPUTED_VALUE"""),"Trả sau")</f>
        <v>Trả sau</v>
      </c>
      <c r="I668" s="265" t="str">
        <f>IFERROR(__xludf.DUMMYFUNCTION("""COMPUTED_VALUE"""),"API &amp; Portal")</f>
        <v>API &amp; Portal</v>
      </c>
      <c r="J668" s="265" t="str">
        <f>IFERROR(__xludf.DUMMYFUNCTION("""COMPUTED_VALUE"""),"API")</f>
        <v>API</v>
      </c>
    </row>
    <row r="669">
      <c r="A669" s="265" t="str">
        <f>IFERROR(__xludf.DUMMYFUNCTION("""COMPUTED_VALUE"""),"908")</f>
        <v>908</v>
      </c>
      <c r="B669" s="265" t="str">
        <f>IFERROR(__xludf.DUMMYFUNCTION("""COMPUTED_VALUE"""),"Sài Gòn")</f>
        <v>Sài Gòn</v>
      </c>
      <c r="C669" s="265" t="str">
        <f>IFERROR(__xludf.DUMMYFUNCTION("""COMPUTED_VALUE"""),"Locked")</f>
        <v>Locked</v>
      </c>
      <c r="D669" s="265" t="str">
        <f>IFERROR(__xludf.DUMMYFUNCTION("""COMPUTED_VALUE"""),"Công nghệ &amp; Phần mềm")</f>
        <v>Công nghệ &amp; Phần mềm</v>
      </c>
      <c r="E669" s="265" t="str">
        <f>IFERROR(__xludf.DUMMYFUNCTION("""COMPUTED_VALUE"""),"TúPHN")</f>
        <v>TúPHN</v>
      </c>
      <c r="F669" s="265" t="str">
        <f>IFERROR(__xludf.DUMMYFUNCTION("""COMPUTED_VALUE"""),"Gold")</f>
        <v>Gold</v>
      </c>
      <c r="G669" s="265" t="str">
        <f>IFERROR(__xludf.DUMMYFUNCTION("""COMPUTED_VALUE"""),"Standard")</f>
        <v>Standard</v>
      </c>
      <c r="H669" s="265" t="str">
        <f>IFERROR(__xludf.DUMMYFUNCTION("""COMPUTED_VALUE"""),"Trial")</f>
        <v>Trial</v>
      </c>
      <c r="I669" s="265" t="str">
        <f>IFERROR(__xludf.DUMMYFUNCTION("""COMPUTED_VALUE"""),"Portal")</f>
        <v>Portal</v>
      </c>
      <c r="J669" s="265" t="str">
        <f>IFERROR(__xludf.DUMMYFUNCTION("""COMPUTED_VALUE"""),"File Excel")</f>
        <v>File Excel</v>
      </c>
    </row>
    <row r="670">
      <c r="A670" s="265" t="str">
        <f>IFERROR(__xludf.DUMMYFUNCTION("""COMPUTED_VALUE"""),"909")</f>
        <v>909</v>
      </c>
      <c r="B670" s="265" t="str">
        <f>IFERROR(__xludf.DUMMYFUNCTION("""COMPUTED_VALUE"""),"Sài Gòn")</f>
        <v>Sài Gòn</v>
      </c>
      <c r="C670" s="265" t="str">
        <f>IFERROR(__xludf.DUMMYFUNCTION("""COMPUTED_VALUE"""),"Locked")</f>
        <v>Locked</v>
      </c>
      <c r="D670" s="265" t="str">
        <f>IFERROR(__xludf.DUMMYFUNCTION("""COMPUTED_VALUE"""),"Dịch vụ khác")</f>
        <v>Dịch vụ khác</v>
      </c>
      <c r="E670" s="265" t="str">
        <f>IFERROR(__xludf.DUMMYFUNCTION("""COMPUTED_VALUE"""),"AnhNM")</f>
        <v>AnhNM</v>
      </c>
      <c r="F670" s="265" t="str">
        <f>IFERROR(__xludf.DUMMYFUNCTION("""COMPUTED_VALUE"""),"Sale chưa cung cấp")</f>
        <v>Sale chưa cung cấp</v>
      </c>
      <c r="G670" s="265" t="str">
        <f>IFERROR(__xludf.DUMMYFUNCTION("""COMPUTED_VALUE"""),"Premium")</f>
        <v>Premium</v>
      </c>
      <c r="H670" s="265" t="str">
        <f>IFERROR(__xludf.DUMMYFUNCTION("""COMPUTED_VALUE"""),"Trial")</f>
        <v>Trial</v>
      </c>
      <c r="I670" s="265" t="str">
        <f>IFERROR(__xludf.DUMMYFUNCTION("""COMPUTED_VALUE"""),"API &amp; Portal")</f>
        <v>API &amp; Portal</v>
      </c>
      <c r="J670" s="265" t="str">
        <f>IFERROR(__xludf.DUMMYFUNCTION("""COMPUTED_VALUE"""),"File Excel")</f>
        <v>File Excel</v>
      </c>
    </row>
    <row r="671">
      <c r="A671" s="265" t="str">
        <f>IFERROR(__xludf.DUMMYFUNCTION("""COMPUTED_VALUE"""),"909")</f>
        <v>909</v>
      </c>
      <c r="B671" s="265" t="str">
        <f>IFERROR(__xludf.DUMMYFUNCTION("""COMPUTED_VALUE"""),"Sài Gòn")</f>
        <v>Sài Gòn</v>
      </c>
      <c r="C671" s="265" t="str">
        <f>IFERROR(__xludf.DUMMYFUNCTION("""COMPUTED_VALUE"""),"Locked")</f>
        <v>Locked</v>
      </c>
      <c r="D671" s="265" t="str">
        <f>IFERROR(__xludf.DUMMYFUNCTION("""COMPUTED_VALUE"""),"Dịch vụ khác")</f>
        <v>Dịch vụ khác</v>
      </c>
      <c r="E671" s="265" t="str">
        <f>IFERROR(__xludf.DUMMYFUNCTION("""COMPUTED_VALUE"""),"AnhNM")</f>
        <v>AnhNM</v>
      </c>
      <c r="F671" s="265" t="str">
        <f>IFERROR(__xludf.DUMMYFUNCTION("""COMPUTED_VALUE"""),"Sale chưa cung cấp")</f>
        <v>Sale chưa cung cấp</v>
      </c>
      <c r="G671" s="265" t="str">
        <f>IFERROR(__xludf.DUMMYFUNCTION("""COMPUTED_VALUE"""),"Premium")</f>
        <v>Premium</v>
      </c>
      <c r="H671" s="265" t="str">
        <f>IFERROR(__xludf.DUMMYFUNCTION("""COMPUTED_VALUE"""),"Trial")</f>
        <v>Trial</v>
      </c>
      <c r="I671" s="265" t="str">
        <f>IFERROR(__xludf.DUMMYFUNCTION("""COMPUTED_VALUE"""),"API &amp; Portal")</f>
        <v>API &amp; Portal</v>
      </c>
      <c r="J671" s="265" t="str">
        <f>IFERROR(__xludf.DUMMYFUNCTION("""COMPUTED_VALUE"""),"API")</f>
        <v>API</v>
      </c>
    </row>
    <row r="672">
      <c r="A672" s="265" t="str">
        <f>IFERROR(__xludf.DUMMYFUNCTION("""COMPUTED_VALUE"""),"911")</f>
        <v>911</v>
      </c>
      <c r="B672" s="265" t="str">
        <f>IFERROR(__xludf.DUMMYFUNCTION("""COMPUTED_VALUE"""),"Sài Gòn")</f>
        <v>Sài Gòn</v>
      </c>
      <c r="C672" s="265" t="str">
        <f>IFERROR(__xludf.DUMMYFUNCTION("""COMPUTED_VALUE"""),"Locked")</f>
        <v>Locked</v>
      </c>
      <c r="D672" s="265" t="str">
        <f>IFERROR(__xludf.DUMMYFUNCTION("""COMPUTED_VALUE"""),"Thực phẩm &amp; Đồ uống")</f>
        <v>Thực phẩm &amp; Đồ uống</v>
      </c>
      <c r="E672" s="265" t="str">
        <f>IFERROR(__xludf.DUMMYFUNCTION("""COMPUTED_VALUE"""),"HoaNTM")</f>
        <v>HoaNTM</v>
      </c>
      <c r="F672" s="265" t="str">
        <f>IFERROR(__xludf.DUMMYFUNCTION("""COMPUTED_VALUE"""),"Sale chưa cung cấp")</f>
        <v>Sale chưa cung cấp</v>
      </c>
      <c r="G672" s="265" t="str">
        <f>IFERROR(__xludf.DUMMYFUNCTION("""COMPUTED_VALUE"""),"Premium")</f>
        <v>Premium</v>
      </c>
      <c r="H672" s="265" t="str">
        <f>IFERROR(__xludf.DUMMYFUNCTION("""COMPUTED_VALUE"""),"Trả trước")</f>
        <v>Trả trước</v>
      </c>
      <c r="I672" s="265" t="str">
        <f>IFERROR(__xludf.DUMMYFUNCTION("""COMPUTED_VALUE"""),"Portal")</f>
        <v>Portal</v>
      </c>
      <c r="J672" s="265" t="str">
        <f>IFERROR(__xludf.DUMMYFUNCTION("""COMPUTED_VALUE"""),"File Excel")</f>
        <v>File Excel</v>
      </c>
    </row>
    <row r="673">
      <c r="A673" s="265" t="str">
        <f>IFERROR(__xludf.DUMMYFUNCTION("""COMPUTED_VALUE"""),"912")</f>
        <v>912</v>
      </c>
      <c r="B673" s="265" t="str">
        <f>IFERROR(__xludf.DUMMYFUNCTION("""COMPUTED_VALUE"""),"Sài Gòn")</f>
        <v>Sài Gòn</v>
      </c>
      <c r="C673" s="265" t="str">
        <f>IFERROR(__xludf.DUMMYFUNCTION("""COMPUTED_VALUE"""),"Locked")</f>
        <v>Locked</v>
      </c>
      <c r="D673" s="265" t="str">
        <f>IFERROR(__xludf.DUMMYFUNCTION("""COMPUTED_VALUE"""),"Truyền thông &amp; Giải trí")</f>
        <v>Truyền thông &amp; Giải trí</v>
      </c>
      <c r="E673" s="265" t="str">
        <f>IFERROR(__xludf.DUMMYFUNCTION("""COMPUTED_VALUE"""),"AnhNM")</f>
        <v>AnhNM</v>
      </c>
      <c r="F673" s="265" t="str">
        <f>IFERROR(__xludf.DUMMYFUNCTION("""COMPUTED_VALUE"""),"Sale chưa cung cấp")</f>
        <v>Sale chưa cung cấp</v>
      </c>
      <c r="G673" s="265" t="str">
        <f>IFERROR(__xludf.DUMMYFUNCTION("""COMPUTED_VALUE"""),"Standard")</f>
        <v>Standard</v>
      </c>
      <c r="H673" s="265" t="str">
        <f>IFERROR(__xludf.DUMMYFUNCTION("""COMPUTED_VALUE"""),"Trial")</f>
        <v>Trial</v>
      </c>
      <c r="I673" s="265" t="str">
        <f>IFERROR(__xludf.DUMMYFUNCTION("""COMPUTED_VALUE"""),"API &amp; Portal")</f>
        <v>API &amp; Portal</v>
      </c>
      <c r="J673" s="265" t="str">
        <f>IFERROR(__xludf.DUMMYFUNCTION("""COMPUTED_VALUE"""),"File Excel")</f>
        <v>File Excel</v>
      </c>
    </row>
    <row r="674">
      <c r="A674" s="265" t="str">
        <f>IFERROR(__xludf.DUMMYFUNCTION("""COMPUTED_VALUE"""),"912")</f>
        <v>912</v>
      </c>
      <c r="B674" s="265" t="str">
        <f>IFERROR(__xludf.DUMMYFUNCTION("""COMPUTED_VALUE"""),"Sài Gòn")</f>
        <v>Sài Gòn</v>
      </c>
      <c r="C674" s="265" t="str">
        <f>IFERROR(__xludf.DUMMYFUNCTION("""COMPUTED_VALUE"""),"Locked")</f>
        <v>Locked</v>
      </c>
      <c r="D674" s="265" t="str">
        <f>IFERROR(__xludf.DUMMYFUNCTION("""COMPUTED_VALUE"""),"Truyền thông &amp; Giải trí")</f>
        <v>Truyền thông &amp; Giải trí</v>
      </c>
      <c r="E674" s="265" t="str">
        <f>IFERROR(__xludf.DUMMYFUNCTION("""COMPUTED_VALUE"""),"AnhNM")</f>
        <v>AnhNM</v>
      </c>
      <c r="F674" s="265" t="str">
        <f>IFERROR(__xludf.DUMMYFUNCTION("""COMPUTED_VALUE"""),"Sale chưa cung cấp")</f>
        <v>Sale chưa cung cấp</v>
      </c>
      <c r="G674" s="265" t="str">
        <f>IFERROR(__xludf.DUMMYFUNCTION("""COMPUTED_VALUE"""),"Standard")</f>
        <v>Standard</v>
      </c>
      <c r="H674" s="265" t="str">
        <f>IFERROR(__xludf.DUMMYFUNCTION("""COMPUTED_VALUE"""),"Trial")</f>
        <v>Trial</v>
      </c>
      <c r="I674" s="265" t="str">
        <f>IFERROR(__xludf.DUMMYFUNCTION("""COMPUTED_VALUE"""),"API &amp; Portal")</f>
        <v>API &amp; Portal</v>
      </c>
      <c r="J674" s="265" t="str">
        <f>IFERROR(__xludf.DUMMYFUNCTION("""COMPUTED_VALUE"""),"API")</f>
        <v>API</v>
      </c>
    </row>
    <row r="675">
      <c r="A675" s="265" t="str">
        <f>IFERROR(__xludf.DUMMYFUNCTION("""COMPUTED_VALUE"""),"913")</f>
        <v>913</v>
      </c>
      <c r="B675" s="265" t="str">
        <f>IFERROR(__xludf.DUMMYFUNCTION("""COMPUTED_VALUE"""),"Hà Nội")</f>
        <v>Hà Nội</v>
      </c>
      <c r="C675" s="265" t="str">
        <f>IFERROR(__xludf.DUMMYFUNCTION("""COMPUTED_VALUE"""),"Locked")</f>
        <v>Locked</v>
      </c>
      <c r="D675" s="265" t="str">
        <f>IFERROR(__xludf.DUMMYFUNCTION("""COMPUTED_VALUE"""),"Công nghệ &amp; Phần mềm")</f>
        <v>Công nghệ &amp; Phần mềm</v>
      </c>
      <c r="E675" s="265" t="str">
        <f>IFERROR(__xludf.DUMMYFUNCTION("""COMPUTED_VALUE"""),"AnhNM")</f>
        <v>AnhNM</v>
      </c>
      <c r="F675" s="265" t="str">
        <f>IFERROR(__xludf.DUMMYFUNCTION("""COMPUTED_VALUE"""),"Sale chưa cung cấp")</f>
        <v>Sale chưa cung cấp</v>
      </c>
      <c r="G675" s="265" t="str">
        <f>IFERROR(__xludf.DUMMYFUNCTION("""COMPUTED_VALUE"""),"Premium")</f>
        <v>Premium</v>
      </c>
      <c r="H675" s="265" t="str">
        <f>IFERROR(__xludf.DUMMYFUNCTION("""COMPUTED_VALUE"""),"Trial")</f>
        <v>Trial</v>
      </c>
      <c r="I675" s="265" t="str">
        <f>IFERROR(__xludf.DUMMYFUNCTION("""COMPUTED_VALUE"""),"API &amp; Portal")</f>
        <v>API &amp; Portal</v>
      </c>
      <c r="J675" s="265" t="str">
        <f>IFERROR(__xludf.DUMMYFUNCTION("""COMPUTED_VALUE"""),"API")</f>
        <v>API</v>
      </c>
    </row>
    <row r="676">
      <c r="A676" s="265" t="str">
        <f>IFERROR(__xludf.DUMMYFUNCTION("""COMPUTED_VALUE"""),"915")</f>
        <v>915</v>
      </c>
      <c r="B676" s="265" t="str">
        <f>IFERROR(__xludf.DUMMYFUNCTION("""COMPUTED_VALUE"""),"Đà Nẵng")</f>
        <v>Đà Nẵng</v>
      </c>
      <c r="C676" s="265" t="str">
        <f>IFERROR(__xludf.DUMMYFUNCTION("""COMPUTED_VALUE"""),"Locked")</f>
        <v>Locked</v>
      </c>
      <c r="D676" s="265" t="str">
        <f>IFERROR(__xludf.DUMMYFUNCTION("""COMPUTED_VALUE"""),"Thời trang &amp; May mặc")</f>
        <v>Thời trang &amp; May mặc</v>
      </c>
      <c r="E676" s="265" t="str">
        <f>IFERROR(__xludf.DUMMYFUNCTION("""COMPUTED_VALUE"""),"AnhNM")</f>
        <v>AnhNM</v>
      </c>
      <c r="F676" s="265" t="str">
        <f>IFERROR(__xludf.DUMMYFUNCTION("""COMPUTED_VALUE"""),"Sale chưa cung cấp")</f>
        <v>Sale chưa cung cấp</v>
      </c>
      <c r="G676" s="265" t="str">
        <f>IFERROR(__xludf.DUMMYFUNCTION("""COMPUTED_VALUE"""),"Premium")</f>
        <v>Premium</v>
      </c>
      <c r="H676" s="265" t="str">
        <f>IFERROR(__xludf.DUMMYFUNCTION("""COMPUTED_VALUE"""),"Trial")</f>
        <v>Trial</v>
      </c>
      <c r="I676" s="265" t="str">
        <f>IFERROR(__xludf.DUMMYFUNCTION("""COMPUTED_VALUE"""),"Portal")</f>
        <v>Portal</v>
      </c>
      <c r="J676" s="265" t="str">
        <f>IFERROR(__xludf.DUMMYFUNCTION("""COMPUTED_VALUE"""),"File Excel")</f>
        <v>File Excel</v>
      </c>
    </row>
    <row r="677">
      <c r="A677" s="265" t="str">
        <f>IFERROR(__xludf.DUMMYFUNCTION("""COMPUTED_VALUE"""),"917")</f>
        <v>917</v>
      </c>
      <c r="B677" s="265" t="str">
        <f>IFERROR(__xludf.DUMMYFUNCTION("""COMPUTED_VALUE"""),"Hà Nội")</f>
        <v>Hà Nội</v>
      </c>
      <c r="C677" s="265" t="str">
        <f>IFERROR(__xludf.DUMMYFUNCTION("""COMPUTED_VALUE"""),"Locked")</f>
        <v>Locked</v>
      </c>
      <c r="D677" s="265" t="str">
        <f>IFERROR(__xludf.DUMMYFUNCTION("""COMPUTED_VALUE"""),"Sale chưa cung cấp")</f>
        <v>Sale chưa cung cấp</v>
      </c>
      <c r="E677" s="265" t="str">
        <f>IFERROR(__xludf.DUMMYFUNCTION("""COMPUTED_VALUE"""),"TùngLD")</f>
        <v>TùngLD</v>
      </c>
      <c r="F677" s="265" t="str">
        <f>IFERROR(__xludf.DUMMYFUNCTION("""COMPUTED_VALUE"""),"Sale chưa cung cấp")</f>
        <v>Sale chưa cung cấp</v>
      </c>
      <c r="G677" s="265" t="str">
        <f>IFERROR(__xludf.DUMMYFUNCTION("""COMPUTED_VALUE"""),"Standard")</f>
        <v>Standard</v>
      </c>
      <c r="H677" s="265" t="str">
        <f>IFERROR(__xludf.DUMMYFUNCTION("""COMPUTED_VALUE"""),"Trial")</f>
        <v>Trial</v>
      </c>
      <c r="I677" s="265" t="str">
        <f>IFERROR(__xludf.DUMMYFUNCTION("""COMPUTED_VALUE"""),"API &amp; Portal")</f>
        <v>API &amp; Portal</v>
      </c>
      <c r="J677" s="265" t="str">
        <f>IFERROR(__xludf.DUMMYFUNCTION("""COMPUTED_VALUE"""),"File Excel")</f>
        <v>File Excel</v>
      </c>
    </row>
    <row r="678">
      <c r="A678" s="265" t="str">
        <f>IFERROR(__xludf.DUMMYFUNCTION("""COMPUTED_VALUE"""),"917")</f>
        <v>917</v>
      </c>
      <c r="B678" s="265" t="str">
        <f>IFERROR(__xludf.DUMMYFUNCTION("""COMPUTED_VALUE"""),"Hà Nội")</f>
        <v>Hà Nội</v>
      </c>
      <c r="C678" s="265" t="str">
        <f>IFERROR(__xludf.DUMMYFUNCTION("""COMPUTED_VALUE"""),"Locked")</f>
        <v>Locked</v>
      </c>
      <c r="D678" s="265" t="str">
        <f>IFERROR(__xludf.DUMMYFUNCTION("""COMPUTED_VALUE"""),"Sale chưa cung cấp")</f>
        <v>Sale chưa cung cấp</v>
      </c>
      <c r="E678" s="265" t="str">
        <f>IFERROR(__xludf.DUMMYFUNCTION("""COMPUTED_VALUE"""),"TùngLD")</f>
        <v>TùngLD</v>
      </c>
      <c r="F678" s="265" t="str">
        <f>IFERROR(__xludf.DUMMYFUNCTION("""COMPUTED_VALUE"""),"Sale chưa cung cấp")</f>
        <v>Sale chưa cung cấp</v>
      </c>
      <c r="G678" s="265" t="str">
        <f>IFERROR(__xludf.DUMMYFUNCTION("""COMPUTED_VALUE"""),"Standard")</f>
        <v>Standard</v>
      </c>
      <c r="H678" s="265" t="str">
        <f>IFERROR(__xludf.DUMMYFUNCTION("""COMPUTED_VALUE"""),"Trial")</f>
        <v>Trial</v>
      </c>
      <c r="I678" s="265" t="str">
        <f>IFERROR(__xludf.DUMMYFUNCTION("""COMPUTED_VALUE"""),"API &amp; Portal")</f>
        <v>API &amp; Portal</v>
      </c>
      <c r="J678" s="265" t="str">
        <f>IFERROR(__xludf.DUMMYFUNCTION("""COMPUTED_VALUE"""),"API")</f>
        <v>API</v>
      </c>
    </row>
    <row r="679">
      <c r="A679" s="265" t="str">
        <f>IFERROR(__xludf.DUMMYFUNCTION("""COMPUTED_VALUE"""),"918")</f>
        <v>918</v>
      </c>
      <c r="B679" s="265" t="str">
        <f>IFERROR(__xludf.DUMMYFUNCTION("""COMPUTED_VALUE"""),"Sài Gòn")</f>
        <v>Sài Gòn</v>
      </c>
      <c r="C679" s="265" t="str">
        <f>IFERROR(__xludf.DUMMYFUNCTION("""COMPUTED_VALUE"""),"Locked")</f>
        <v>Locked</v>
      </c>
      <c r="D679" s="265" t="str">
        <f>IFERROR(__xludf.DUMMYFUNCTION("""COMPUTED_VALUE"""),"Thực phẩm &amp; Đồ uống")</f>
        <v>Thực phẩm &amp; Đồ uống</v>
      </c>
      <c r="E679" s="265" t="str">
        <f>IFERROR(__xludf.DUMMYFUNCTION("""COMPUTED_VALUE"""),"HoaNTM")</f>
        <v>HoaNTM</v>
      </c>
      <c r="F679" s="265" t="str">
        <f>IFERROR(__xludf.DUMMYFUNCTION("""COMPUTED_VALUE"""),"Diamond")</f>
        <v>Diamond</v>
      </c>
      <c r="G679" s="265" t="str">
        <f>IFERROR(__xludf.DUMMYFUNCTION("""COMPUTED_VALUE"""),"Starter")</f>
        <v>Starter</v>
      </c>
      <c r="H679" s="265" t="str">
        <f>IFERROR(__xludf.DUMMYFUNCTION("""COMPUTED_VALUE"""),"Trả trước")</f>
        <v>Trả trước</v>
      </c>
      <c r="I679" s="265" t="str">
        <f>IFERROR(__xludf.DUMMYFUNCTION("""COMPUTED_VALUE"""),"API")</f>
        <v>API</v>
      </c>
      <c r="J679" s="265" t="str">
        <f>IFERROR(__xludf.DUMMYFUNCTION("""COMPUTED_VALUE"""),"API")</f>
        <v>API</v>
      </c>
    </row>
    <row r="680">
      <c r="A680" s="265" t="str">
        <f>IFERROR(__xludf.DUMMYFUNCTION("""COMPUTED_VALUE"""),"919")</f>
        <v>919</v>
      </c>
      <c r="B680" s="265" t="str">
        <f>IFERROR(__xludf.DUMMYFUNCTION("""COMPUTED_VALUE"""),"Sài Gòn")</f>
        <v>Sài Gòn</v>
      </c>
      <c r="C680" s="265" t="str">
        <f>IFERROR(__xludf.DUMMYFUNCTION("""COMPUTED_VALUE"""),"Locked")</f>
        <v>Locked</v>
      </c>
      <c r="D680" s="265" t="str">
        <f>IFERROR(__xludf.DUMMYFUNCTION("""COMPUTED_VALUE"""),"Thực phẩm &amp; Đồ uống")</f>
        <v>Thực phẩm &amp; Đồ uống</v>
      </c>
      <c r="E680" s="265" t="str">
        <f>IFERROR(__xludf.DUMMYFUNCTION("""COMPUTED_VALUE"""),"HoaNTM")</f>
        <v>HoaNTM</v>
      </c>
      <c r="F680" s="265" t="str">
        <f>IFERROR(__xludf.DUMMYFUNCTION("""COMPUTED_VALUE"""),"Diamond")</f>
        <v>Diamond</v>
      </c>
      <c r="G680" s="265" t="str">
        <f>IFERROR(__xludf.DUMMYFUNCTION("""COMPUTED_VALUE"""),"Enterprise")</f>
        <v>Enterprise</v>
      </c>
      <c r="H680" s="265" t="str">
        <f>IFERROR(__xludf.DUMMYFUNCTION("""COMPUTED_VALUE"""),"Trả trước")</f>
        <v>Trả trước</v>
      </c>
      <c r="I680" s="265" t="str">
        <f>IFERROR(__xludf.DUMMYFUNCTION("""COMPUTED_VALUE"""),"API &amp; Portal")</f>
        <v>API &amp; Portal</v>
      </c>
      <c r="J680" s="265" t="str">
        <f>IFERROR(__xludf.DUMMYFUNCTION("""COMPUTED_VALUE"""),"API")</f>
        <v>API</v>
      </c>
    </row>
    <row r="681">
      <c r="A681" s="265" t="str">
        <f>IFERROR(__xludf.DUMMYFUNCTION("""COMPUTED_VALUE"""),"406")</f>
        <v>406</v>
      </c>
      <c r="B681" s="265" t="str">
        <f>IFERROR(__xludf.DUMMYFUNCTION("""COMPUTED_VALUE"""),"Hà Nội")</f>
        <v>Hà Nội</v>
      </c>
      <c r="C681" s="265" t="str">
        <f>IFERROR(__xludf.DUMMYFUNCTION("""COMPUTED_VALUE"""),"Locked")</f>
        <v>Locked</v>
      </c>
      <c r="D681" s="265" t="str">
        <f>IFERROR(__xludf.DUMMYFUNCTION("""COMPUTED_VALUE"""),"Thời trang &amp; May mặc")</f>
        <v>Thời trang &amp; May mặc</v>
      </c>
      <c r="E681" s="265" t="str">
        <f>IFERROR(__xludf.DUMMYFUNCTION("""COMPUTED_VALUE"""),"AnhNM")</f>
        <v>AnhNM</v>
      </c>
      <c r="F681" s="265" t="str">
        <f>IFERROR(__xludf.DUMMYFUNCTION("""COMPUTED_VALUE"""),"Bronze")</f>
        <v>Bronze</v>
      </c>
      <c r="G681" s="265" t="str">
        <f>IFERROR(__xludf.DUMMYFUNCTION("""COMPUTED_VALUE"""),"Premium")</f>
        <v>Premium</v>
      </c>
      <c r="H681" s="265" t="str">
        <f>IFERROR(__xludf.DUMMYFUNCTION("""COMPUTED_VALUE"""),"Trả trước")</f>
        <v>Trả trước</v>
      </c>
      <c r="I681" s="265" t="str">
        <f>IFERROR(__xludf.DUMMYFUNCTION("""COMPUTED_VALUE"""),"Portal")</f>
        <v>Portal</v>
      </c>
      <c r="J681" s="265" t="str">
        <f>IFERROR(__xludf.DUMMYFUNCTION("""COMPUTED_VALUE"""),"Kiotviet")</f>
        <v>Kiotviet</v>
      </c>
    </row>
    <row r="682">
      <c r="A682" s="265" t="str">
        <f>IFERROR(__xludf.DUMMYFUNCTION("""COMPUTED_VALUE"""),"920")</f>
        <v>920</v>
      </c>
      <c r="B682" s="265" t="str">
        <f>IFERROR(__xludf.DUMMYFUNCTION("""COMPUTED_VALUE"""),"Hà Nội")</f>
        <v>Hà Nội</v>
      </c>
      <c r="C682" s="265" t="str">
        <f>IFERROR(__xludf.DUMMYFUNCTION("""COMPUTED_VALUE"""),"Active")</f>
        <v>Active</v>
      </c>
      <c r="D682" s="265" t="str">
        <f>IFERROR(__xludf.DUMMYFUNCTION("""COMPUTED_VALUE"""),"Công nghệ &amp; Phần mềm")</f>
        <v>Công nghệ &amp; Phần mềm</v>
      </c>
      <c r="E682" s="265" t="str">
        <f>IFERROR(__xludf.DUMMYFUNCTION("""COMPUTED_VALUE"""),"AnhNM")</f>
        <v>AnhNM</v>
      </c>
      <c r="F682" s="265" t="str">
        <f>IFERROR(__xludf.DUMMYFUNCTION("""COMPUTED_VALUE"""),"Silver")</f>
        <v>Silver</v>
      </c>
      <c r="G682" s="265" t="str">
        <f>IFERROR(__xludf.DUMMYFUNCTION("""COMPUTED_VALUE"""),"Starter")</f>
        <v>Starter</v>
      </c>
      <c r="H682" s="265" t="str">
        <f>IFERROR(__xludf.DUMMYFUNCTION("""COMPUTED_VALUE"""),"Trả sau")</f>
        <v>Trả sau</v>
      </c>
      <c r="I682" s="265" t="str">
        <f>IFERROR(__xludf.DUMMYFUNCTION("""COMPUTED_VALUE"""),"API &amp; Portal")</f>
        <v>API &amp; Portal</v>
      </c>
      <c r="J682" s="265" t="str">
        <f>IFERROR(__xludf.DUMMYFUNCTION("""COMPUTED_VALUE"""),"File Excel")</f>
        <v>File Excel</v>
      </c>
    </row>
    <row r="683">
      <c r="A683" s="265" t="str">
        <f>IFERROR(__xludf.DUMMYFUNCTION("""COMPUTED_VALUE"""),"920")</f>
        <v>920</v>
      </c>
      <c r="B683" s="265" t="str">
        <f>IFERROR(__xludf.DUMMYFUNCTION("""COMPUTED_VALUE"""),"Hà Nội")</f>
        <v>Hà Nội</v>
      </c>
      <c r="C683" s="265" t="str">
        <f>IFERROR(__xludf.DUMMYFUNCTION("""COMPUTED_VALUE"""),"Active")</f>
        <v>Active</v>
      </c>
      <c r="D683" s="265" t="str">
        <f>IFERROR(__xludf.DUMMYFUNCTION("""COMPUTED_VALUE"""),"Công nghệ &amp; Phần mềm")</f>
        <v>Công nghệ &amp; Phần mềm</v>
      </c>
      <c r="E683" s="265" t="str">
        <f>IFERROR(__xludf.DUMMYFUNCTION("""COMPUTED_VALUE"""),"AnhNM")</f>
        <v>AnhNM</v>
      </c>
      <c r="F683" s="265" t="str">
        <f>IFERROR(__xludf.DUMMYFUNCTION("""COMPUTED_VALUE"""),"Silver")</f>
        <v>Silver</v>
      </c>
      <c r="G683" s="265" t="str">
        <f>IFERROR(__xludf.DUMMYFUNCTION("""COMPUTED_VALUE"""),"Starter")</f>
        <v>Starter</v>
      </c>
      <c r="H683" s="265" t="str">
        <f>IFERROR(__xludf.DUMMYFUNCTION("""COMPUTED_VALUE"""),"Trả sau")</f>
        <v>Trả sau</v>
      </c>
      <c r="I683" s="265" t="str">
        <f>IFERROR(__xludf.DUMMYFUNCTION("""COMPUTED_VALUE"""),"API &amp; Portal")</f>
        <v>API &amp; Portal</v>
      </c>
      <c r="J683" s="265" t="str">
        <f>IFERROR(__xludf.DUMMYFUNCTION("""COMPUTED_VALUE"""),"API")</f>
        <v>API</v>
      </c>
    </row>
    <row r="684">
      <c r="A684" s="265" t="str">
        <f>IFERROR(__xludf.DUMMYFUNCTION("""COMPUTED_VALUE"""),"921")</f>
        <v>921</v>
      </c>
      <c r="B684" s="265" t="str">
        <f>IFERROR(__xludf.DUMMYFUNCTION("""COMPUTED_VALUE"""),"Sài Gòn")</f>
        <v>Sài Gòn</v>
      </c>
      <c r="C684" s="265" t="str">
        <f>IFERROR(__xludf.DUMMYFUNCTION("""COMPUTED_VALUE"""),"Locked")</f>
        <v>Locked</v>
      </c>
      <c r="D684" s="265" t="str">
        <f>IFERROR(__xludf.DUMMYFUNCTION("""COMPUTED_VALUE"""),"Thực phẩm &amp; Đồ uống")</f>
        <v>Thực phẩm &amp; Đồ uống</v>
      </c>
      <c r="E684" s="265" t="str">
        <f>IFERROR(__xludf.DUMMYFUNCTION("""COMPUTED_VALUE"""),"HoaNTM")</f>
        <v>HoaNTM</v>
      </c>
      <c r="F684" s="265" t="str">
        <f>IFERROR(__xludf.DUMMYFUNCTION("""COMPUTED_VALUE"""),"Diamond")</f>
        <v>Diamond</v>
      </c>
      <c r="G684" s="265" t="str">
        <f>IFERROR(__xludf.DUMMYFUNCTION("""COMPUTED_VALUE"""),"Starter")</f>
        <v>Starter</v>
      </c>
      <c r="H684" s="265" t="str">
        <f>IFERROR(__xludf.DUMMYFUNCTION("""COMPUTED_VALUE"""),"Trả sau")</f>
        <v>Trả sau</v>
      </c>
      <c r="I684" s="265" t="str">
        <f>IFERROR(__xludf.DUMMYFUNCTION("""COMPUTED_VALUE"""),"Portal")</f>
        <v>Portal</v>
      </c>
      <c r="J684" s="265" t="str">
        <f>IFERROR(__xludf.DUMMYFUNCTION("""COMPUTED_VALUE"""),"File Excel")</f>
        <v>File Excel</v>
      </c>
    </row>
    <row r="685">
      <c r="A685" s="265" t="str">
        <f>IFERROR(__xludf.DUMMYFUNCTION("""COMPUTED_VALUE"""),"922")</f>
        <v>922</v>
      </c>
      <c r="B685" s="265" t="str">
        <f>IFERROR(__xludf.DUMMYFUNCTION("""COMPUTED_VALUE"""),"Sài Gòn")</f>
        <v>Sài Gòn</v>
      </c>
      <c r="C685" s="265" t="str">
        <f>IFERROR(__xludf.DUMMYFUNCTION("""COMPUTED_VALUE"""),"Active")</f>
        <v>Active</v>
      </c>
      <c r="D685" s="265" t="str">
        <f>IFERROR(__xludf.DUMMYFUNCTION("""COMPUTED_VALUE"""),"Viễn thông")</f>
        <v>Viễn thông</v>
      </c>
      <c r="E685" s="265" t="str">
        <f>IFERROR(__xludf.DUMMYFUNCTION("""COMPUTED_VALUE"""),"TúPHN")</f>
        <v>TúPHN</v>
      </c>
      <c r="F685" s="265" t="str">
        <f>IFERROR(__xludf.DUMMYFUNCTION("""COMPUTED_VALUE"""),"Gold")</f>
        <v>Gold</v>
      </c>
      <c r="G685" s="265" t="str">
        <f>IFERROR(__xludf.DUMMYFUNCTION("""COMPUTED_VALUE"""),"Standard")</f>
        <v>Standard</v>
      </c>
      <c r="H685" s="265" t="str">
        <f>IFERROR(__xludf.DUMMYFUNCTION("""COMPUTED_VALUE"""),"Trả trước")</f>
        <v>Trả trước</v>
      </c>
      <c r="I685" s="265" t="str">
        <f>IFERROR(__xludf.DUMMYFUNCTION("""COMPUTED_VALUE"""),"Portal")</f>
        <v>Portal</v>
      </c>
      <c r="J685" s="265" t="str">
        <f>IFERROR(__xludf.DUMMYFUNCTION("""COMPUTED_VALUE"""),"File Excel")</f>
        <v>File Excel</v>
      </c>
    </row>
    <row r="686">
      <c r="A686" s="265" t="str">
        <f>IFERROR(__xludf.DUMMYFUNCTION("""COMPUTED_VALUE"""),"923")</f>
        <v>923</v>
      </c>
      <c r="B686" s="265" t="str">
        <f>IFERROR(__xludf.DUMMYFUNCTION("""COMPUTED_VALUE"""),"Hà Nội")</f>
        <v>Hà Nội</v>
      </c>
      <c r="C686" s="265" t="str">
        <f>IFERROR(__xludf.DUMMYFUNCTION("""COMPUTED_VALUE"""),"Locked")</f>
        <v>Locked</v>
      </c>
      <c r="D686" s="265" t="str">
        <f>IFERROR(__xludf.DUMMYFUNCTION("""COMPUTED_VALUE"""),"Vận tải &amp; logistics")</f>
        <v>Vận tải &amp; logistics</v>
      </c>
      <c r="E686" s="265" t="str">
        <f>IFERROR(__xludf.DUMMYFUNCTION("""COMPUTED_VALUE"""),"AnhNM")</f>
        <v>AnhNM</v>
      </c>
      <c r="F686" s="265" t="str">
        <f>IFERROR(__xludf.DUMMYFUNCTION("""COMPUTED_VALUE"""),"Bronze")</f>
        <v>Bronze</v>
      </c>
      <c r="G686" s="265" t="str">
        <f>IFERROR(__xludf.DUMMYFUNCTION("""COMPUTED_VALUE"""),"Premium")</f>
        <v>Premium</v>
      </c>
      <c r="H686" s="265" t="str">
        <f>IFERROR(__xludf.DUMMYFUNCTION("""COMPUTED_VALUE"""),"Trial")</f>
        <v>Trial</v>
      </c>
      <c r="I686" s="265" t="str">
        <f>IFERROR(__xludf.DUMMYFUNCTION("""COMPUTED_VALUE"""),"API &amp; Portal")</f>
        <v>API &amp; Portal</v>
      </c>
      <c r="J686" s="265" t="str">
        <f>IFERROR(__xludf.DUMMYFUNCTION("""COMPUTED_VALUE"""),"File Excel")</f>
        <v>File Excel</v>
      </c>
    </row>
    <row r="687">
      <c r="A687" s="265" t="str">
        <f>IFERROR(__xludf.DUMMYFUNCTION("""COMPUTED_VALUE"""),"923")</f>
        <v>923</v>
      </c>
      <c r="B687" s="265" t="str">
        <f>IFERROR(__xludf.DUMMYFUNCTION("""COMPUTED_VALUE"""),"Hà Nội")</f>
        <v>Hà Nội</v>
      </c>
      <c r="C687" s="265" t="str">
        <f>IFERROR(__xludf.DUMMYFUNCTION("""COMPUTED_VALUE"""),"Locked")</f>
        <v>Locked</v>
      </c>
      <c r="D687" s="265" t="str">
        <f>IFERROR(__xludf.DUMMYFUNCTION("""COMPUTED_VALUE"""),"Vận tải &amp; logistics")</f>
        <v>Vận tải &amp; logistics</v>
      </c>
      <c r="E687" s="265" t="str">
        <f>IFERROR(__xludf.DUMMYFUNCTION("""COMPUTED_VALUE"""),"AnhNM")</f>
        <v>AnhNM</v>
      </c>
      <c r="F687" s="265" t="str">
        <f>IFERROR(__xludf.DUMMYFUNCTION("""COMPUTED_VALUE"""),"Bronze")</f>
        <v>Bronze</v>
      </c>
      <c r="G687" s="265" t="str">
        <f>IFERROR(__xludf.DUMMYFUNCTION("""COMPUTED_VALUE"""),"Premium")</f>
        <v>Premium</v>
      </c>
      <c r="H687" s="265" t="str">
        <f>IFERROR(__xludf.DUMMYFUNCTION("""COMPUTED_VALUE"""),"Trial")</f>
        <v>Trial</v>
      </c>
      <c r="I687" s="265" t="str">
        <f>IFERROR(__xludf.DUMMYFUNCTION("""COMPUTED_VALUE"""),"API &amp; Portal")</f>
        <v>API &amp; Portal</v>
      </c>
      <c r="J687" s="265" t="str">
        <f>IFERROR(__xludf.DUMMYFUNCTION("""COMPUTED_VALUE"""),"API")</f>
        <v>API</v>
      </c>
    </row>
    <row r="688">
      <c r="A688" s="265" t="str">
        <f>IFERROR(__xludf.DUMMYFUNCTION("""COMPUTED_VALUE"""),"916")</f>
        <v>916</v>
      </c>
      <c r="B688" s="265" t="str">
        <f>IFERROR(__xludf.DUMMYFUNCTION("""COMPUTED_VALUE"""),"Hà Nội")</f>
        <v>Hà Nội</v>
      </c>
      <c r="C688" s="265" t="str">
        <f>IFERROR(__xludf.DUMMYFUNCTION("""COMPUTED_VALUE"""),"Active")</f>
        <v>Active</v>
      </c>
      <c r="D688" s="265" t="str">
        <f>IFERROR(__xludf.DUMMYFUNCTION("""COMPUTED_VALUE"""),"Công nghệ &amp; Phần mềm")</f>
        <v>Công nghệ &amp; Phần mềm</v>
      </c>
      <c r="E688" s="265" t="str">
        <f>IFERROR(__xludf.DUMMYFUNCTION("""COMPUTED_VALUE"""),"AnhNM")</f>
        <v>AnhNM</v>
      </c>
      <c r="F688" s="265" t="str">
        <f>IFERROR(__xludf.DUMMYFUNCTION("""COMPUTED_VALUE"""),"Gold")</f>
        <v>Gold</v>
      </c>
      <c r="G688" s="265" t="str">
        <f>IFERROR(__xludf.DUMMYFUNCTION("""COMPUTED_VALUE"""),"Starter")</f>
        <v>Starter</v>
      </c>
      <c r="H688" s="265" t="str">
        <f>IFERROR(__xludf.DUMMYFUNCTION("""COMPUTED_VALUE"""),"Trả sau")</f>
        <v>Trả sau</v>
      </c>
      <c r="I688" s="265" t="str">
        <f>IFERROR(__xludf.DUMMYFUNCTION("""COMPUTED_VALUE"""),"API &amp; Portal")</f>
        <v>API &amp; Portal</v>
      </c>
      <c r="J688" s="265" t="str">
        <f>IFERROR(__xludf.DUMMYFUNCTION("""COMPUTED_VALUE"""),"File Excel")</f>
        <v>File Excel</v>
      </c>
    </row>
    <row r="689">
      <c r="A689" s="265" t="str">
        <f>IFERROR(__xludf.DUMMYFUNCTION("""COMPUTED_VALUE"""),"916")</f>
        <v>916</v>
      </c>
      <c r="B689" s="265" t="str">
        <f>IFERROR(__xludf.DUMMYFUNCTION("""COMPUTED_VALUE"""),"Hà Nội")</f>
        <v>Hà Nội</v>
      </c>
      <c r="C689" s="265" t="str">
        <f>IFERROR(__xludf.DUMMYFUNCTION("""COMPUTED_VALUE"""),"Active")</f>
        <v>Active</v>
      </c>
      <c r="D689" s="265" t="str">
        <f>IFERROR(__xludf.DUMMYFUNCTION("""COMPUTED_VALUE"""),"Công nghệ &amp; Phần mềm")</f>
        <v>Công nghệ &amp; Phần mềm</v>
      </c>
      <c r="E689" s="265" t="str">
        <f>IFERROR(__xludf.DUMMYFUNCTION("""COMPUTED_VALUE"""),"AnhNM")</f>
        <v>AnhNM</v>
      </c>
      <c r="F689" s="265" t="str">
        <f>IFERROR(__xludf.DUMMYFUNCTION("""COMPUTED_VALUE"""),"Gold")</f>
        <v>Gold</v>
      </c>
      <c r="G689" s="265" t="str">
        <f>IFERROR(__xludf.DUMMYFUNCTION("""COMPUTED_VALUE"""),"Starter")</f>
        <v>Starter</v>
      </c>
      <c r="H689" s="265" t="str">
        <f>IFERROR(__xludf.DUMMYFUNCTION("""COMPUTED_VALUE"""),"Trả sau")</f>
        <v>Trả sau</v>
      </c>
      <c r="I689" s="265" t="str">
        <f>IFERROR(__xludf.DUMMYFUNCTION("""COMPUTED_VALUE"""),"API &amp; Portal")</f>
        <v>API &amp; Portal</v>
      </c>
      <c r="J689" s="265" t="str">
        <f>IFERROR(__xludf.DUMMYFUNCTION("""COMPUTED_VALUE"""),"API")</f>
        <v>API</v>
      </c>
    </row>
    <row r="690">
      <c r="A690" s="265" t="str">
        <f>IFERROR(__xludf.DUMMYFUNCTION("""COMPUTED_VALUE"""),"924")</f>
        <v>924</v>
      </c>
      <c r="B690" s="265" t="str">
        <f>IFERROR(__xludf.DUMMYFUNCTION("""COMPUTED_VALUE"""),"Hà Nội")</f>
        <v>Hà Nội</v>
      </c>
      <c r="C690" s="265" t="str">
        <f>IFERROR(__xludf.DUMMYFUNCTION("""COMPUTED_VALUE"""),"Active")</f>
        <v>Active</v>
      </c>
      <c r="D690" s="265" t="str">
        <f>IFERROR(__xludf.DUMMYFUNCTION("""COMPUTED_VALUE"""),"Dịch vụ khác")</f>
        <v>Dịch vụ khác</v>
      </c>
      <c r="E690" s="265" t="str">
        <f>IFERROR(__xludf.DUMMYFUNCTION("""COMPUTED_VALUE"""),"AnhNM")</f>
        <v>AnhNM</v>
      </c>
      <c r="F690" s="265" t="str">
        <f>IFERROR(__xludf.DUMMYFUNCTION("""COMPUTED_VALUE"""),"Silver")</f>
        <v>Silver</v>
      </c>
      <c r="G690" s="265" t="str">
        <f>IFERROR(__xludf.DUMMYFUNCTION("""COMPUTED_VALUE"""),"Starter")</f>
        <v>Starter</v>
      </c>
      <c r="H690" s="265" t="str">
        <f>IFERROR(__xludf.DUMMYFUNCTION("""COMPUTED_VALUE"""),"Trả sau")</f>
        <v>Trả sau</v>
      </c>
      <c r="I690" s="265" t="str">
        <f>IFERROR(__xludf.DUMMYFUNCTION("""COMPUTED_VALUE"""),"API &amp; Portal")</f>
        <v>API &amp; Portal</v>
      </c>
      <c r="J690" s="265" t="str">
        <f>IFERROR(__xludf.DUMMYFUNCTION("""COMPUTED_VALUE"""),"File Excel")</f>
        <v>File Excel</v>
      </c>
    </row>
    <row r="691">
      <c r="A691" s="265" t="str">
        <f>IFERROR(__xludf.DUMMYFUNCTION("""COMPUTED_VALUE"""),"924")</f>
        <v>924</v>
      </c>
      <c r="B691" s="265" t="str">
        <f>IFERROR(__xludf.DUMMYFUNCTION("""COMPUTED_VALUE"""),"Hà Nội")</f>
        <v>Hà Nội</v>
      </c>
      <c r="C691" s="265" t="str">
        <f>IFERROR(__xludf.DUMMYFUNCTION("""COMPUTED_VALUE"""),"Active")</f>
        <v>Active</v>
      </c>
      <c r="D691" s="265" t="str">
        <f>IFERROR(__xludf.DUMMYFUNCTION("""COMPUTED_VALUE"""),"Dịch vụ khác")</f>
        <v>Dịch vụ khác</v>
      </c>
      <c r="E691" s="265" t="str">
        <f>IFERROR(__xludf.DUMMYFUNCTION("""COMPUTED_VALUE"""),"AnhNM")</f>
        <v>AnhNM</v>
      </c>
      <c r="F691" s="265" t="str">
        <f>IFERROR(__xludf.DUMMYFUNCTION("""COMPUTED_VALUE"""),"Silver")</f>
        <v>Silver</v>
      </c>
      <c r="G691" s="265" t="str">
        <f>IFERROR(__xludf.DUMMYFUNCTION("""COMPUTED_VALUE"""),"Starter")</f>
        <v>Starter</v>
      </c>
      <c r="H691" s="265" t="str">
        <f>IFERROR(__xludf.DUMMYFUNCTION("""COMPUTED_VALUE"""),"Trả sau")</f>
        <v>Trả sau</v>
      </c>
      <c r="I691" s="265" t="str">
        <f>IFERROR(__xludf.DUMMYFUNCTION("""COMPUTED_VALUE"""),"API &amp; Portal")</f>
        <v>API &amp; Portal</v>
      </c>
      <c r="J691" s="265" t="str">
        <f>IFERROR(__xludf.DUMMYFUNCTION("""COMPUTED_VALUE"""),"API")</f>
        <v>API</v>
      </c>
    </row>
    <row r="692">
      <c r="A692" s="265" t="str">
        <f>IFERROR(__xludf.DUMMYFUNCTION("""COMPUTED_VALUE"""),"926")</f>
        <v>926</v>
      </c>
      <c r="B692" s="265" t="str">
        <f>IFERROR(__xludf.DUMMYFUNCTION("""COMPUTED_VALUE"""),"Hà Nội")</f>
        <v>Hà Nội</v>
      </c>
      <c r="C692" s="265" t="str">
        <f>IFERROR(__xludf.DUMMYFUNCTION("""COMPUTED_VALUE"""),"Active")</f>
        <v>Active</v>
      </c>
      <c r="D692" s="265" t="str">
        <f>IFERROR(__xludf.DUMMYFUNCTION("""COMPUTED_VALUE"""),"Mua sắm &amp; Bán lẻ")</f>
        <v>Mua sắm &amp; Bán lẻ</v>
      </c>
      <c r="E692" s="265" t="str">
        <f>IFERROR(__xludf.DUMMYFUNCTION("""COMPUTED_VALUE"""),"TúPHN")</f>
        <v>TúPHN</v>
      </c>
      <c r="F692" s="265" t="str">
        <f>IFERROR(__xludf.DUMMYFUNCTION("""COMPUTED_VALUE"""),"Sale chưa cung cấp")</f>
        <v>Sale chưa cung cấp</v>
      </c>
      <c r="G692" s="265" t="str">
        <f>IFERROR(__xludf.DUMMYFUNCTION("""COMPUTED_VALUE"""),"Starter")</f>
        <v>Starter</v>
      </c>
      <c r="H692" s="265" t="str">
        <f>IFERROR(__xludf.DUMMYFUNCTION("""COMPUTED_VALUE"""),"Trả sau")</f>
        <v>Trả sau</v>
      </c>
      <c r="I692" s="265" t="str">
        <f>IFERROR(__xludf.DUMMYFUNCTION("""COMPUTED_VALUE"""),"API")</f>
        <v>API</v>
      </c>
      <c r="J692" s="265" t="str">
        <f>IFERROR(__xludf.DUMMYFUNCTION("""COMPUTED_VALUE"""),"API")</f>
        <v>API</v>
      </c>
    </row>
    <row r="693">
      <c r="A693" s="265" t="str">
        <f>IFERROR(__xludf.DUMMYFUNCTION("""COMPUTED_VALUE"""),"927")</f>
        <v>927</v>
      </c>
      <c r="B693" s="265" t="str">
        <f>IFERROR(__xludf.DUMMYFUNCTION("""COMPUTED_VALUE"""),"Hà Nội")</f>
        <v>Hà Nội</v>
      </c>
      <c r="C693" s="265" t="str">
        <f>IFERROR(__xludf.DUMMYFUNCTION("""COMPUTED_VALUE"""),"Active")</f>
        <v>Active</v>
      </c>
      <c r="D693" s="265" t="str">
        <f>IFERROR(__xludf.DUMMYFUNCTION("""COMPUTED_VALUE"""),"Viễn thông")</f>
        <v>Viễn thông</v>
      </c>
      <c r="E693" s="265" t="str">
        <f>IFERROR(__xludf.DUMMYFUNCTION("""COMPUTED_VALUE"""),"TùngLD")</f>
        <v>TùngLD</v>
      </c>
      <c r="F693" s="265" t="str">
        <f>IFERROR(__xludf.DUMMYFUNCTION("""COMPUTED_VALUE"""),"Gold")</f>
        <v>Gold</v>
      </c>
      <c r="G693" s="265" t="str">
        <f>IFERROR(__xludf.DUMMYFUNCTION("""COMPUTED_VALUE"""),"Enterprise")</f>
        <v>Enterprise</v>
      </c>
      <c r="H693" s="265" t="str">
        <f>IFERROR(__xludf.DUMMYFUNCTION("""COMPUTED_VALUE"""),"Trả sau")</f>
        <v>Trả sau</v>
      </c>
      <c r="I693" s="265" t="str">
        <f>IFERROR(__xludf.DUMMYFUNCTION("""COMPUTED_VALUE"""),"API &amp; Portal")</f>
        <v>API &amp; Portal</v>
      </c>
      <c r="J693" s="265" t="str">
        <f>IFERROR(__xludf.DUMMYFUNCTION("""COMPUTED_VALUE"""),"File Excel")</f>
        <v>File Excel</v>
      </c>
    </row>
    <row r="694">
      <c r="A694" s="265" t="str">
        <f>IFERROR(__xludf.DUMMYFUNCTION("""COMPUTED_VALUE"""),"927")</f>
        <v>927</v>
      </c>
      <c r="B694" s="265" t="str">
        <f>IFERROR(__xludf.DUMMYFUNCTION("""COMPUTED_VALUE"""),"Hà Nội")</f>
        <v>Hà Nội</v>
      </c>
      <c r="C694" s="265" t="str">
        <f>IFERROR(__xludf.DUMMYFUNCTION("""COMPUTED_VALUE"""),"Active")</f>
        <v>Active</v>
      </c>
      <c r="D694" s="265" t="str">
        <f>IFERROR(__xludf.DUMMYFUNCTION("""COMPUTED_VALUE"""),"Viễn thông")</f>
        <v>Viễn thông</v>
      </c>
      <c r="E694" s="265" t="str">
        <f>IFERROR(__xludf.DUMMYFUNCTION("""COMPUTED_VALUE"""),"TùngLD")</f>
        <v>TùngLD</v>
      </c>
      <c r="F694" s="265" t="str">
        <f>IFERROR(__xludf.DUMMYFUNCTION("""COMPUTED_VALUE"""),"Gold")</f>
        <v>Gold</v>
      </c>
      <c r="G694" s="265" t="str">
        <f>IFERROR(__xludf.DUMMYFUNCTION("""COMPUTED_VALUE"""),"Enterprise")</f>
        <v>Enterprise</v>
      </c>
      <c r="H694" s="265" t="str">
        <f>IFERROR(__xludf.DUMMYFUNCTION("""COMPUTED_VALUE"""),"Trả sau")</f>
        <v>Trả sau</v>
      </c>
      <c r="I694" s="265" t="str">
        <f>IFERROR(__xludf.DUMMYFUNCTION("""COMPUTED_VALUE"""),"API &amp; Portal")</f>
        <v>API &amp; Portal</v>
      </c>
      <c r="J694" s="265" t="str">
        <f>IFERROR(__xludf.DUMMYFUNCTION("""COMPUTED_VALUE"""),"API")</f>
        <v>API</v>
      </c>
    </row>
    <row r="695">
      <c r="A695" s="265" t="str">
        <f>IFERROR(__xludf.DUMMYFUNCTION("""COMPUTED_VALUE"""),"928")</f>
        <v>928</v>
      </c>
      <c r="B695" s="265" t="str">
        <f>IFERROR(__xludf.DUMMYFUNCTION("""COMPUTED_VALUE"""),"Hà Nội")</f>
        <v>Hà Nội</v>
      </c>
      <c r="C695" s="265" t="str">
        <f>IFERROR(__xludf.DUMMYFUNCTION("""COMPUTED_VALUE"""),"Locked")</f>
        <v>Locked</v>
      </c>
      <c r="D695" s="265" t="str">
        <f>IFERROR(__xludf.DUMMYFUNCTION("""COMPUTED_VALUE"""),"Công nghệ &amp; Phần mềm")</f>
        <v>Công nghệ &amp; Phần mềm</v>
      </c>
      <c r="E695" s="265" t="str">
        <f>IFERROR(__xludf.DUMMYFUNCTION("""COMPUTED_VALUE"""),"AnhNM")</f>
        <v>AnhNM</v>
      </c>
      <c r="F695" s="265" t="str">
        <f>IFERROR(__xludf.DUMMYFUNCTION("""COMPUTED_VALUE"""),"Bronze")</f>
        <v>Bronze</v>
      </c>
      <c r="G695" s="265" t="str">
        <f>IFERROR(__xludf.DUMMYFUNCTION("""COMPUTED_VALUE"""),"Standard")</f>
        <v>Standard</v>
      </c>
      <c r="H695" s="265" t="str">
        <f>IFERROR(__xludf.DUMMYFUNCTION("""COMPUTED_VALUE"""),"Trial")</f>
        <v>Trial</v>
      </c>
      <c r="I695" s="265" t="str">
        <f>IFERROR(__xludf.DUMMYFUNCTION("""COMPUTED_VALUE"""),"API")</f>
        <v>API</v>
      </c>
      <c r="J695" s="265" t="str">
        <f>IFERROR(__xludf.DUMMYFUNCTION("""COMPUTED_VALUE"""),"API")</f>
        <v>API</v>
      </c>
    </row>
    <row r="696">
      <c r="A696" s="265" t="str">
        <f>IFERROR(__xludf.DUMMYFUNCTION("""COMPUTED_VALUE"""),"929")</f>
        <v>929</v>
      </c>
      <c r="B696" s="265" t="str">
        <f>IFERROR(__xludf.DUMMYFUNCTION("""COMPUTED_VALUE"""),"Sài Gòn")</f>
        <v>Sài Gòn</v>
      </c>
      <c r="C696" s="265" t="str">
        <f>IFERROR(__xludf.DUMMYFUNCTION("""COMPUTED_VALUE"""),"Active")</f>
        <v>Active</v>
      </c>
      <c r="D696" s="265" t="str">
        <f>IFERROR(__xludf.DUMMYFUNCTION("""COMPUTED_VALUE"""),"Giáo dục &amp; Đào tạo")</f>
        <v>Giáo dục &amp; Đào tạo</v>
      </c>
      <c r="E696" s="265" t="str">
        <f>IFERROR(__xludf.DUMMYFUNCTION("""COMPUTED_VALUE"""),"TùngLD")</f>
        <v>TùngLD</v>
      </c>
      <c r="F696" s="265" t="str">
        <f>IFERROR(__xludf.DUMMYFUNCTION("""COMPUTED_VALUE"""),"Silver")</f>
        <v>Silver</v>
      </c>
      <c r="G696" s="265" t="str">
        <f>IFERROR(__xludf.DUMMYFUNCTION("""COMPUTED_VALUE"""),"Starter")</f>
        <v>Starter</v>
      </c>
      <c r="H696" s="265" t="str">
        <f>IFERROR(__xludf.DUMMYFUNCTION("""COMPUTED_VALUE"""),"Trả sau")</f>
        <v>Trả sau</v>
      </c>
      <c r="I696" s="265" t="str">
        <f>IFERROR(__xludf.DUMMYFUNCTION("""COMPUTED_VALUE"""),"API")</f>
        <v>API</v>
      </c>
      <c r="J696" s="265" t="str">
        <f>IFERROR(__xludf.DUMMYFUNCTION("""COMPUTED_VALUE"""),"Bizfly CRM")</f>
        <v>Bizfly CRM</v>
      </c>
    </row>
    <row r="697">
      <c r="A697" s="265" t="str">
        <f>IFERROR(__xludf.DUMMYFUNCTION("""COMPUTED_VALUE"""),"930")</f>
        <v>930</v>
      </c>
      <c r="B697" s="265" t="str">
        <f>IFERROR(__xludf.DUMMYFUNCTION("""COMPUTED_VALUE"""),"Hà Nội")</f>
        <v>Hà Nội</v>
      </c>
      <c r="C697" s="265" t="str">
        <f>IFERROR(__xludf.DUMMYFUNCTION("""COMPUTED_VALUE"""),"Locked")</f>
        <v>Locked</v>
      </c>
      <c r="D697" s="265" t="str">
        <f>IFERROR(__xludf.DUMMYFUNCTION("""COMPUTED_VALUE"""),"Dịch vụ khác")</f>
        <v>Dịch vụ khác</v>
      </c>
      <c r="E697" s="265" t="str">
        <f>IFERROR(__xludf.DUMMYFUNCTION("""COMPUTED_VALUE"""),"TùngLD")</f>
        <v>TùngLD</v>
      </c>
      <c r="F697" s="265" t="str">
        <f>IFERROR(__xludf.DUMMYFUNCTION("""COMPUTED_VALUE"""),"Diamond")</f>
        <v>Diamond</v>
      </c>
      <c r="G697" s="265" t="str">
        <f>IFERROR(__xludf.DUMMYFUNCTION("""COMPUTED_VALUE"""),"Premium")</f>
        <v>Premium</v>
      </c>
      <c r="H697" s="265" t="str">
        <f>IFERROR(__xludf.DUMMYFUNCTION("""COMPUTED_VALUE"""),"Trial")</f>
        <v>Trial</v>
      </c>
      <c r="I697" s="265" t="str">
        <f>IFERROR(__xludf.DUMMYFUNCTION("""COMPUTED_VALUE"""),"API")</f>
        <v>API</v>
      </c>
      <c r="J697" s="265" t="str">
        <f>IFERROR(__xludf.DUMMYFUNCTION("""COMPUTED_VALUE"""),"API")</f>
        <v>API</v>
      </c>
    </row>
    <row r="698">
      <c r="A698" s="265" t="str">
        <f>IFERROR(__xludf.DUMMYFUNCTION("""COMPUTED_VALUE"""),"931")</f>
        <v>931</v>
      </c>
      <c r="B698" s="265" t="str">
        <f>IFERROR(__xludf.DUMMYFUNCTION("""COMPUTED_VALUE"""),"Hà Nội")</f>
        <v>Hà Nội</v>
      </c>
      <c r="C698" s="265" t="str">
        <f>IFERROR(__xludf.DUMMYFUNCTION("""COMPUTED_VALUE"""),"Active")</f>
        <v>Active</v>
      </c>
      <c r="D698" s="265" t="str">
        <f>IFERROR(__xludf.DUMMYFUNCTION("""COMPUTED_VALUE"""),"Công nghệ &amp; Phần mềm")</f>
        <v>Công nghệ &amp; Phần mềm</v>
      </c>
      <c r="E698" s="265" t="str">
        <f>IFERROR(__xludf.DUMMYFUNCTION("""COMPUTED_VALUE"""),"AnhNM")</f>
        <v>AnhNM</v>
      </c>
      <c r="F698" s="265" t="str">
        <f>IFERROR(__xludf.DUMMYFUNCTION("""COMPUTED_VALUE"""),"Silver")</f>
        <v>Silver</v>
      </c>
      <c r="G698" s="265" t="str">
        <f>IFERROR(__xludf.DUMMYFUNCTION("""COMPUTED_VALUE"""),"Starter")</f>
        <v>Starter</v>
      </c>
      <c r="H698" s="265" t="str">
        <f>IFERROR(__xludf.DUMMYFUNCTION("""COMPUTED_VALUE"""),"Trả sau")</f>
        <v>Trả sau</v>
      </c>
      <c r="I698" s="265" t="str">
        <f>IFERROR(__xludf.DUMMYFUNCTION("""COMPUTED_VALUE"""),"API &amp; Portal")</f>
        <v>API &amp; Portal</v>
      </c>
      <c r="J698" s="265" t="str">
        <f>IFERROR(__xludf.DUMMYFUNCTION("""COMPUTED_VALUE"""),"File Excel")</f>
        <v>File Excel</v>
      </c>
    </row>
    <row r="699">
      <c r="A699" s="265" t="str">
        <f>IFERROR(__xludf.DUMMYFUNCTION("""COMPUTED_VALUE"""),"931")</f>
        <v>931</v>
      </c>
      <c r="B699" s="265" t="str">
        <f>IFERROR(__xludf.DUMMYFUNCTION("""COMPUTED_VALUE"""),"Hà Nội")</f>
        <v>Hà Nội</v>
      </c>
      <c r="C699" s="265" t="str">
        <f>IFERROR(__xludf.DUMMYFUNCTION("""COMPUTED_VALUE"""),"Active")</f>
        <v>Active</v>
      </c>
      <c r="D699" s="265" t="str">
        <f>IFERROR(__xludf.DUMMYFUNCTION("""COMPUTED_VALUE"""),"Công nghệ &amp; Phần mềm")</f>
        <v>Công nghệ &amp; Phần mềm</v>
      </c>
      <c r="E699" s="265" t="str">
        <f>IFERROR(__xludf.DUMMYFUNCTION("""COMPUTED_VALUE"""),"AnhNM")</f>
        <v>AnhNM</v>
      </c>
      <c r="F699" s="265" t="str">
        <f>IFERROR(__xludf.DUMMYFUNCTION("""COMPUTED_VALUE"""),"Silver")</f>
        <v>Silver</v>
      </c>
      <c r="G699" s="265" t="str">
        <f>IFERROR(__xludf.DUMMYFUNCTION("""COMPUTED_VALUE"""),"Starter")</f>
        <v>Starter</v>
      </c>
      <c r="H699" s="265" t="str">
        <f>IFERROR(__xludf.DUMMYFUNCTION("""COMPUTED_VALUE"""),"Trả sau")</f>
        <v>Trả sau</v>
      </c>
      <c r="I699" s="265" t="str">
        <f>IFERROR(__xludf.DUMMYFUNCTION("""COMPUTED_VALUE"""),"API &amp; Portal")</f>
        <v>API &amp; Portal</v>
      </c>
      <c r="J699" s="265" t="str">
        <f>IFERROR(__xludf.DUMMYFUNCTION("""COMPUTED_VALUE"""),"API")</f>
        <v>API</v>
      </c>
    </row>
    <row r="700">
      <c r="A700" s="265" t="str">
        <f>IFERROR(__xludf.DUMMYFUNCTION("""COMPUTED_VALUE"""),"932")</f>
        <v>932</v>
      </c>
      <c r="B700" s="265" t="str">
        <f>IFERROR(__xludf.DUMMYFUNCTION("""COMPUTED_VALUE"""),"Hà Nội")</f>
        <v>Hà Nội</v>
      </c>
      <c r="C700" s="265" t="str">
        <f>IFERROR(__xludf.DUMMYFUNCTION("""COMPUTED_VALUE"""),"Active")</f>
        <v>Active</v>
      </c>
      <c r="D700" s="265" t="str">
        <f>IFERROR(__xludf.DUMMYFUNCTION("""COMPUTED_VALUE"""),"Giáo dục &amp; Đào tạo")</f>
        <v>Giáo dục &amp; Đào tạo</v>
      </c>
      <c r="E700" s="265" t="str">
        <f>IFERROR(__xludf.DUMMYFUNCTION("""COMPUTED_VALUE"""),"AnhNM")</f>
        <v>AnhNM</v>
      </c>
      <c r="F700" s="265" t="str">
        <f>IFERROR(__xludf.DUMMYFUNCTION("""COMPUTED_VALUE"""),"Silver")</f>
        <v>Silver</v>
      </c>
      <c r="G700" s="265" t="str">
        <f>IFERROR(__xludf.DUMMYFUNCTION("""COMPUTED_VALUE"""),"Starter")</f>
        <v>Starter</v>
      </c>
      <c r="H700" s="265" t="str">
        <f>IFERROR(__xludf.DUMMYFUNCTION("""COMPUTED_VALUE"""),"Trả sau")</f>
        <v>Trả sau</v>
      </c>
      <c r="I700" s="265" t="str">
        <f>IFERROR(__xludf.DUMMYFUNCTION("""COMPUTED_VALUE"""),"API &amp; Portal")</f>
        <v>API &amp; Portal</v>
      </c>
      <c r="J700" s="265" t="str">
        <f>IFERROR(__xludf.DUMMYFUNCTION("""COMPUTED_VALUE"""),"File Excel")</f>
        <v>File Excel</v>
      </c>
    </row>
    <row r="701">
      <c r="A701" s="265" t="str">
        <f>IFERROR(__xludf.DUMMYFUNCTION("""COMPUTED_VALUE"""),"932")</f>
        <v>932</v>
      </c>
      <c r="B701" s="265" t="str">
        <f>IFERROR(__xludf.DUMMYFUNCTION("""COMPUTED_VALUE"""),"Hà Nội")</f>
        <v>Hà Nội</v>
      </c>
      <c r="C701" s="265" t="str">
        <f>IFERROR(__xludf.DUMMYFUNCTION("""COMPUTED_VALUE"""),"Active")</f>
        <v>Active</v>
      </c>
      <c r="D701" s="265" t="str">
        <f>IFERROR(__xludf.DUMMYFUNCTION("""COMPUTED_VALUE"""),"Giáo dục &amp; Đào tạo")</f>
        <v>Giáo dục &amp; Đào tạo</v>
      </c>
      <c r="E701" s="265" t="str">
        <f>IFERROR(__xludf.DUMMYFUNCTION("""COMPUTED_VALUE"""),"AnhNM")</f>
        <v>AnhNM</v>
      </c>
      <c r="F701" s="265" t="str">
        <f>IFERROR(__xludf.DUMMYFUNCTION("""COMPUTED_VALUE"""),"Silver")</f>
        <v>Silver</v>
      </c>
      <c r="G701" s="265" t="str">
        <f>IFERROR(__xludf.DUMMYFUNCTION("""COMPUTED_VALUE"""),"Starter")</f>
        <v>Starter</v>
      </c>
      <c r="H701" s="265" t="str">
        <f>IFERROR(__xludf.DUMMYFUNCTION("""COMPUTED_VALUE"""),"Trả sau")</f>
        <v>Trả sau</v>
      </c>
      <c r="I701" s="265" t="str">
        <f>IFERROR(__xludf.DUMMYFUNCTION("""COMPUTED_VALUE"""),"API &amp; Portal")</f>
        <v>API &amp; Portal</v>
      </c>
      <c r="J701" s="265" t="str">
        <f>IFERROR(__xludf.DUMMYFUNCTION("""COMPUTED_VALUE"""),"API")</f>
        <v>API</v>
      </c>
    </row>
    <row r="702">
      <c r="A702" s="265" t="str">
        <f>IFERROR(__xludf.DUMMYFUNCTION("""COMPUTED_VALUE"""),"933")</f>
        <v>933</v>
      </c>
      <c r="B702" s="265" t="str">
        <f>IFERROR(__xludf.DUMMYFUNCTION("""COMPUTED_VALUE"""),"Hà Nội")</f>
        <v>Hà Nội</v>
      </c>
      <c r="C702" s="265" t="str">
        <f>IFERROR(__xludf.DUMMYFUNCTION("""COMPUTED_VALUE"""),"Locked")</f>
        <v>Locked</v>
      </c>
      <c r="D702" s="265" t="str">
        <f>IFERROR(__xludf.DUMMYFUNCTION("""COMPUTED_VALUE"""),"Vận tải &amp; logistics")</f>
        <v>Vận tải &amp; logistics</v>
      </c>
      <c r="E702" s="265" t="str">
        <f>IFERROR(__xludf.DUMMYFUNCTION("""COMPUTED_VALUE"""),"Không phân công")</f>
        <v>Không phân công</v>
      </c>
      <c r="F702" s="265" t="str">
        <f>IFERROR(__xludf.DUMMYFUNCTION("""COMPUTED_VALUE"""),"Bronze")</f>
        <v>Bronze</v>
      </c>
      <c r="G702" s="265" t="str">
        <f>IFERROR(__xludf.DUMMYFUNCTION("""COMPUTED_VALUE"""),"Starter")</f>
        <v>Starter</v>
      </c>
      <c r="H702" s="265" t="str">
        <f>IFERROR(__xludf.DUMMYFUNCTION("""COMPUTED_VALUE"""),"Trả sau")</f>
        <v>Trả sau</v>
      </c>
      <c r="I702" s="265" t="str">
        <f>IFERROR(__xludf.DUMMYFUNCTION("""COMPUTED_VALUE"""),"API")</f>
        <v>API</v>
      </c>
      <c r="J702" s="265" t="str">
        <f>IFERROR(__xludf.DUMMYFUNCTION("""COMPUTED_VALUE"""),"API")</f>
        <v>API</v>
      </c>
    </row>
    <row r="703">
      <c r="A703" s="265" t="str">
        <f>IFERROR(__xludf.DUMMYFUNCTION("""COMPUTED_VALUE"""),"934")</f>
        <v>934</v>
      </c>
      <c r="B703" s="265" t="str">
        <f>IFERROR(__xludf.DUMMYFUNCTION("""COMPUTED_VALUE"""),"Đà Nẵng")</f>
        <v>Đà Nẵng</v>
      </c>
      <c r="C703" s="265" t="str">
        <f>IFERROR(__xludf.DUMMYFUNCTION("""COMPUTED_VALUE"""),"Locked")</f>
        <v>Locked</v>
      </c>
      <c r="D703" s="265" t="str">
        <f>IFERROR(__xludf.DUMMYFUNCTION("""COMPUTED_VALUE"""),"Tài chính &amp; Ngân hàng")</f>
        <v>Tài chính &amp; Ngân hàng</v>
      </c>
      <c r="E703" s="265" t="str">
        <f>IFERROR(__xludf.DUMMYFUNCTION("""COMPUTED_VALUE"""),"TùngLD")</f>
        <v>TùngLD</v>
      </c>
      <c r="F703" s="265" t="str">
        <f>IFERROR(__xludf.DUMMYFUNCTION("""COMPUTED_VALUE"""),"Diamond")</f>
        <v>Diamond</v>
      </c>
      <c r="G703" s="265" t="str">
        <f>IFERROR(__xludf.DUMMYFUNCTION("""COMPUTED_VALUE"""),"Premium")</f>
        <v>Premium</v>
      </c>
      <c r="H703" s="265" t="str">
        <f>IFERROR(__xludf.DUMMYFUNCTION("""COMPUTED_VALUE"""),"Trial")</f>
        <v>Trial</v>
      </c>
      <c r="I703" s="265" t="str">
        <f>IFERROR(__xludf.DUMMYFUNCTION("""COMPUTED_VALUE"""),"API &amp; Portal")</f>
        <v>API &amp; Portal</v>
      </c>
      <c r="J703" s="265" t="str">
        <f>IFERROR(__xludf.DUMMYFUNCTION("""COMPUTED_VALUE"""),"API")</f>
        <v>API</v>
      </c>
    </row>
    <row r="704">
      <c r="A704" s="265" t="str">
        <f>IFERROR(__xludf.DUMMYFUNCTION("""COMPUTED_VALUE"""),"935")</f>
        <v>935</v>
      </c>
      <c r="B704" s="265" t="str">
        <f>IFERROR(__xludf.DUMMYFUNCTION("""COMPUTED_VALUE"""),"Đà Nẵng")</f>
        <v>Đà Nẵng</v>
      </c>
      <c r="C704" s="265" t="str">
        <f>IFERROR(__xludf.DUMMYFUNCTION("""COMPUTED_VALUE"""),"Locked")</f>
        <v>Locked</v>
      </c>
      <c r="D704" s="265" t="str">
        <f>IFERROR(__xludf.DUMMYFUNCTION("""COMPUTED_VALUE"""),"Dịch vụ khác")</f>
        <v>Dịch vụ khác</v>
      </c>
      <c r="E704" s="265" t="str">
        <f>IFERROR(__xludf.DUMMYFUNCTION("""COMPUTED_VALUE"""),"TùngLD")</f>
        <v>TùngLD</v>
      </c>
      <c r="F704" s="265" t="str">
        <f>IFERROR(__xludf.DUMMYFUNCTION("""COMPUTED_VALUE"""),"Diamond")</f>
        <v>Diamond</v>
      </c>
      <c r="G704" s="265" t="str">
        <f>IFERROR(__xludf.DUMMYFUNCTION("""COMPUTED_VALUE"""),"Premium")</f>
        <v>Premium</v>
      </c>
      <c r="H704" s="265" t="str">
        <f>IFERROR(__xludf.DUMMYFUNCTION("""COMPUTED_VALUE"""),"Trial")</f>
        <v>Trial</v>
      </c>
      <c r="I704" s="265" t="str">
        <f>IFERROR(__xludf.DUMMYFUNCTION("""COMPUTED_VALUE"""),"API &amp; Portal")</f>
        <v>API &amp; Portal</v>
      </c>
      <c r="J704" s="265" t="str">
        <f>IFERROR(__xludf.DUMMYFUNCTION("""COMPUTED_VALUE"""),"API")</f>
        <v>API</v>
      </c>
    </row>
    <row r="705">
      <c r="A705" s="265" t="str">
        <f>IFERROR(__xludf.DUMMYFUNCTION("""COMPUTED_VALUE"""),"936")</f>
        <v>936</v>
      </c>
      <c r="B705" s="265" t="str">
        <f>IFERROR(__xludf.DUMMYFUNCTION("""COMPUTED_VALUE"""),"Sài Gòn")</f>
        <v>Sài Gòn</v>
      </c>
      <c r="C705" s="265" t="str">
        <f>IFERROR(__xludf.DUMMYFUNCTION("""COMPUTED_VALUE"""),"Locked")</f>
        <v>Locked</v>
      </c>
      <c r="D705" s="265" t="str">
        <f>IFERROR(__xludf.DUMMYFUNCTION("""COMPUTED_VALUE"""),"Thực phẩm &amp; Đồ uống")</f>
        <v>Thực phẩm &amp; Đồ uống</v>
      </c>
      <c r="E705" s="265" t="str">
        <f>IFERROR(__xludf.DUMMYFUNCTION("""COMPUTED_VALUE"""),"HoaNTM")</f>
        <v>HoaNTM</v>
      </c>
      <c r="F705" s="265" t="str">
        <f>IFERROR(__xludf.DUMMYFUNCTION("""COMPUTED_VALUE"""),"Diamond")</f>
        <v>Diamond</v>
      </c>
      <c r="G705" s="265" t="str">
        <f>IFERROR(__xludf.DUMMYFUNCTION("""COMPUTED_VALUE"""),"Starter")</f>
        <v>Starter</v>
      </c>
      <c r="H705" s="265" t="str">
        <f>IFERROR(__xludf.DUMMYFUNCTION("""COMPUTED_VALUE"""),"Trả trước")</f>
        <v>Trả trước</v>
      </c>
      <c r="I705" s="265" t="str">
        <f>IFERROR(__xludf.DUMMYFUNCTION("""COMPUTED_VALUE"""),"Portal")</f>
        <v>Portal</v>
      </c>
      <c r="J705" s="265" t="str">
        <f>IFERROR(__xludf.DUMMYFUNCTION("""COMPUTED_VALUE"""),"File Excel")</f>
        <v>File Excel</v>
      </c>
    </row>
    <row r="706">
      <c r="A706" s="265" t="str">
        <f>IFERROR(__xludf.DUMMYFUNCTION("""COMPUTED_VALUE"""),"937")</f>
        <v>937</v>
      </c>
      <c r="B706" s="265" t="str">
        <f>IFERROR(__xludf.DUMMYFUNCTION("""COMPUTED_VALUE"""),"Hà Nội")</f>
        <v>Hà Nội</v>
      </c>
      <c r="C706" s="265" t="str">
        <f>IFERROR(__xludf.DUMMYFUNCTION("""COMPUTED_VALUE"""),"Active")</f>
        <v>Active</v>
      </c>
      <c r="D706" s="265" t="str">
        <f>IFERROR(__xludf.DUMMYFUNCTION("""COMPUTED_VALUE"""),"Y tế &amp; Dược phẩm")</f>
        <v>Y tế &amp; Dược phẩm</v>
      </c>
      <c r="E706" s="265" t="str">
        <f>IFERROR(__xludf.DUMMYFUNCTION("""COMPUTED_VALUE"""),"TùngLD")</f>
        <v>TùngLD</v>
      </c>
      <c r="F706" s="265" t="str">
        <f>IFERROR(__xludf.DUMMYFUNCTION("""COMPUTED_VALUE"""),"Sale chưa cung cấp")</f>
        <v>Sale chưa cung cấp</v>
      </c>
      <c r="G706" s="265" t="str">
        <f>IFERROR(__xludf.DUMMYFUNCTION("""COMPUTED_VALUE"""),"Premium")</f>
        <v>Premium</v>
      </c>
      <c r="H706" s="265" t="str">
        <f>IFERROR(__xludf.DUMMYFUNCTION("""COMPUTED_VALUE"""),"Trả sau")</f>
        <v>Trả sau</v>
      </c>
      <c r="I706" s="265" t="str">
        <f>IFERROR(__xludf.DUMMYFUNCTION("""COMPUTED_VALUE"""),"API &amp; Portal")</f>
        <v>API &amp; Portal</v>
      </c>
      <c r="J706" s="265" t="str">
        <f>IFERROR(__xludf.DUMMYFUNCTION("""COMPUTED_VALUE"""),"File Excel")</f>
        <v>File Excel</v>
      </c>
    </row>
    <row r="707">
      <c r="A707" s="265" t="str">
        <f>IFERROR(__xludf.DUMMYFUNCTION("""COMPUTED_VALUE"""),"937")</f>
        <v>937</v>
      </c>
      <c r="B707" s="265" t="str">
        <f>IFERROR(__xludf.DUMMYFUNCTION("""COMPUTED_VALUE"""),"Hà Nội")</f>
        <v>Hà Nội</v>
      </c>
      <c r="C707" s="265" t="str">
        <f>IFERROR(__xludf.DUMMYFUNCTION("""COMPUTED_VALUE"""),"Active")</f>
        <v>Active</v>
      </c>
      <c r="D707" s="265" t="str">
        <f>IFERROR(__xludf.DUMMYFUNCTION("""COMPUTED_VALUE"""),"Y tế &amp; Dược phẩm")</f>
        <v>Y tế &amp; Dược phẩm</v>
      </c>
      <c r="E707" s="265" t="str">
        <f>IFERROR(__xludf.DUMMYFUNCTION("""COMPUTED_VALUE"""),"TùngLD")</f>
        <v>TùngLD</v>
      </c>
      <c r="F707" s="265" t="str">
        <f>IFERROR(__xludf.DUMMYFUNCTION("""COMPUTED_VALUE"""),"Sale chưa cung cấp")</f>
        <v>Sale chưa cung cấp</v>
      </c>
      <c r="G707" s="265" t="str">
        <f>IFERROR(__xludf.DUMMYFUNCTION("""COMPUTED_VALUE"""),"Premium")</f>
        <v>Premium</v>
      </c>
      <c r="H707" s="265" t="str">
        <f>IFERROR(__xludf.DUMMYFUNCTION("""COMPUTED_VALUE"""),"Trả sau")</f>
        <v>Trả sau</v>
      </c>
      <c r="I707" s="265" t="str">
        <f>IFERROR(__xludf.DUMMYFUNCTION("""COMPUTED_VALUE"""),"API &amp; Portal")</f>
        <v>API &amp; Portal</v>
      </c>
      <c r="J707" s="265" t="str">
        <f>IFERROR(__xludf.DUMMYFUNCTION("""COMPUTED_VALUE"""),"HubSpot")</f>
        <v>HubSpot</v>
      </c>
    </row>
    <row r="708">
      <c r="A708" s="265" t="str">
        <f>IFERROR(__xludf.DUMMYFUNCTION("""COMPUTED_VALUE"""),"938")</f>
        <v>938</v>
      </c>
      <c r="B708" s="265" t="str">
        <f>IFERROR(__xludf.DUMMYFUNCTION("""COMPUTED_VALUE"""),"Hà Nội")</f>
        <v>Hà Nội</v>
      </c>
      <c r="C708" s="265" t="str">
        <f>IFERROR(__xludf.DUMMYFUNCTION("""COMPUTED_VALUE"""),"Active")</f>
        <v>Active</v>
      </c>
      <c r="D708" s="265" t="str">
        <f>IFERROR(__xludf.DUMMYFUNCTION("""COMPUTED_VALUE"""),"Viễn thông")</f>
        <v>Viễn thông</v>
      </c>
      <c r="E708" s="265" t="str">
        <f>IFERROR(__xludf.DUMMYFUNCTION("""COMPUTED_VALUE"""),"TúPHN")</f>
        <v>TúPHN</v>
      </c>
      <c r="F708" s="265" t="str">
        <f>IFERROR(__xludf.DUMMYFUNCTION("""COMPUTED_VALUE"""),"Diamond")</f>
        <v>Diamond</v>
      </c>
      <c r="G708" s="265" t="str">
        <f>IFERROR(__xludf.DUMMYFUNCTION("""COMPUTED_VALUE"""),"Starter")</f>
        <v>Starter</v>
      </c>
      <c r="H708" s="265" t="str">
        <f>IFERROR(__xludf.DUMMYFUNCTION("""COMPUTED_VALUE"""),"Trả sau")</f>
        <v>Trả sau</v>
      </c>
      <c r="I708" s="265" t="str">
        <f>IFERROR(__xludf.DUMMYFUNCTION("""COMPUTED_VALUE"""),"API &amp; Portal")</f>
        <v>API &amp; Portal</v>
      </c>
      <c r="J708" s="265" t="str">
        <f>IFERROR(__xludf.DUMMYFUNCTION("""COMPUTED_VALUE"""),"File Excel")</f>
        <v>File Excel</v>
      </c>
    </row>
    <row r="709">
      <c r="A709" s="265" t="str">
        <f>IFERROR(__xludf.DUMMYFUNCTION("""COMPUTED_VALUE"""),"938")</f>
        <v>938</v>
      </c>
      <c r="B709" s="265" t="str">
        <f>IFERROR(__xludf.DUMMYFUNCTION("""COMPUTED_VALUE"""),"Hà Nội")</f>
        <v>Hà Nội</v>
      </c>
      <c r="C709" s="265" t="str">
        <f>IFERROR(__xludf.DUMMYFUNCTION("""COMPUTED_VALUE"""),"Active")</f>
        <v>Active</v>
      </c>
      <c r="D709" s="265" t="str">
        <f>IFERROR(__xludf.DUMMYFUNCTION("""COMPUTED_VALUE"""),"Viễn thông")</f>
        <v>Viễn thông</v>
      </c>
      <c r="E709" s="265" t="str">
        <f>IFERROR(__xludf.DUMMYFUNCTION("""COMPUTED_VALUE"""),"TúPHN")</f>
        <v>TúPHN</v>
      </c>
      <c r="F709" s="265" t="str">
        <f>IFERROR(__xludf.DUMMYFUNCTION("""COMPUTED_VALUE"""),"Diamond")</f>
        <v>Diamond</v>
      </c>
      <c r="G709" s="265" t="str">
        <f>IFERROR(__xludf.DUMMYFUNCTION("""COMPUTED_VALUE"""),"Starter")</f>
        <v>Starter</v>
      </c>
      <c r="H709" s="265" t="str">
        <f>IFERROR(__xludf.DUMMYFUNCTION("""COMPUTED_VALUE"""),"Trả sau")</f>
        <v>Trả sau</v>
      </c>
      <c r="I709" s="265" t="str">
        <f>IFERROR(__xludf.DUMMYFUNCTION("""COMPUTED_VALUE"""),"API &amp; Portal")</f>
        <v>API &amp; Portal</v>
      </c>
      <c r="J709" s="265" t="str">
        <f>IFERROR(__xludf.DUMMYFUNCTION("""COMPUTED_VALUE"""),"API")</f>
        <v>API</v>
      </c>
    </row>
    <row r="710">
      <c r="A710" s="265" t="str">
        <f>IFERROR(__xludf.DUMMYFUNCTION("""COMPUTED_VALUE"""),"938")</f>
        <v>938</v>
      </c>
      <c r="B710" s="265" t="str">
        <f>IFERROR(__xludf.DUMMYFUNCTION("""COMPUTED_VALUE"""),"Hà Nội")</f>
        <v>Hà Nội</v>
      </c>
      <c r="C710" s="265" t="str">
        <f>IFERROR(__xludf.DUMMYFUNCTION("""COMPUTED_VALUE"""),"Active")</f>
        <v>Active</v>
      </c>
      <c r="D710" s="265" t="str">
        <f>IFERROR(__xludf.DUMMYFUNCTION("""COMPUTED_VALUE"""),"Viễn thông")</f>
        <v>Viễn thông</v>
      </c>
      <c r="E710" s="265" t="str">
        <f>IFERROR(__xludf.DUMMYFUNCTION("""COMPUTED_VALUE"""),"TúPHN")</f>
        <v>TúPHN</v>
      </c>
      <c r="F710" s="265" t="str">
        <f>IFERROR(__xludf.DUMMYFUNCTION("""COMPUTED_VALUE"""),"Diamond")</f>
        <v>Diamond</v>
      </c>
      <c r="G710" s="265" t="str">
        <f>IFERROR(__xludf.DUMMYFUNCTION("""COMPUTED_VALUE"""),"Starter")</f>
        <v>Starter</v>
      </c>
      <c r="H710" s="265" t="str">
        <f>IFERROR(__xludf.DUMMYFUNCTION("""COMPUTED_VALUE"""),"Trả sau")</f>
        <v>Trả sau</v>
      </c>
      <c r="I710" s="265" t="str">
        <f>IFERROR(__xludf.DUMMYFUNCTION("""COMPUTED_VALUE"""),"API &amp; Portal")</f>
        <v>API &amp; Portal</v>
      </c>
      <c r="J710" s="265" t="str">
        <f>IFERROR(__xludf.DUMMYFUNCTION("""COMPUTED_VALUE"""),"ZCA gửi ZNS")</f>
        <v>ZCA gửi ZNS</v>
      </c>
    </row>
    <row r="711">
      <c r="A711" s="265" t="str">
        <f>IFERROR(__xludf.DUMMYFUNCTION("""COMPUTED_VALUE"""),"939")</f>
        <v>939</v>
      </c>
      <c r="B711" s="265" t="str">
        <f>IFERROR(__xludf.DUMMYFUNCTION("""COMPUTED_VALUE"""),"Hà Nội")</f>
        <v>Hà Nội</v>
      </c>
      <c r="C711" s="265" t="str">
        <f>IFERROR(__xludf.DUMMYFUNCTION("""COMPUTED_VALUE"""),"Active")</f>
        <v>Active</v>
      </c>
      <c r="D711" s="265" t="str">
        <f>IFERROR(__xludf.DUMMYFUNCTION("""COMPUTED_VALUE"""),"Truyền thông &amp; Giải trí")</f>
        <v>Truyền thông &amp; Giải trí</v>
      </c>
      <c r="E711" s="265" t="str">
        <f>IFERROR(__xludf.DUMMYFUNCTION("""COMPUTED_VALUE"""),"TúPHN")</f>
        <v>TúPHN</v>
      </c>
      <c r="F711" s="265" t="str">
        <f>IFERROR(__xludf.DUMMYFUNCTION("""COMPUTED_VALUE"""),"Silver")</f>
        <v>Silver</v>
      </c>
      <c r="G711" s="265" t="str">
        <f>IFERROR(__xludf.DUMMYFUNCTION("""COMPUTED_VALUE"""),"Starter")</f>
        <v>Starter</v>
      </c>
      <c r="H711" s="265" t="str">
        <f>IFERROR(__xludf.DUMMYFUNCTION("""COMPUTED_VALUE"""),"Trả sau")</f>
        <v>Trả sau</v>
      </c>
      <c r="I711" s="265" t="str">
        <f>IFERROR(__xludf.DUMMYFUNCTION("""COMPUTED_VALUE"""),"API")</f>
        <v>API</v>
      </c>
      <c r="J711" s="265" t="str">
        <f>IFERROR(__xludf.DUMMYFUNCTION("""COMPUTED_VALUE"""),"API")</f>
        <v>API</v>
      </c>
    </row>
    <row r="712">
      <c r="A712" s="265" t="str">
        <f>IFERROR(__xludf.DUMMYFUNCTION("""COMPUTED_VALUE"""),"940")</f>
        <v>940</v>
      </c>
      <c r="B712" s="265" t="str">
        <f>IFERROR(__xludf.DUMMYFUNCTION("""COMPUTED_VALUE"""),"Hà Nội")</f>
        <v>Hà Nội</v>
      </c>
      <c r="C712" s="265" t="str">
        <f>IFERROR(__xludf.DUMMYFUNCTION("""COMPUTED_VALUE"""),"Active")</f>
        <v>Active</v>
      </c>
      <c r="D712" s="265" t="str">
        <f>IFERROR(__xludf.DUMMYFUNCTION("""COMPUTED_VALUE"""),"Y tế &amp; Dược phẩm")</f>
        <v>Y tế &amp; Dược phẩm</v>
      </c>
      <c r="E712" s="265" t="str">
        <f>IFERROR(__xludf.DUMMYFUNCTION("""COMPUTED_VALUE"""),"Không phân công")</f>
        <v>Không phân công</v>
      </c>
      <c r="F712" s="265" t="str">
        <f>IFERROR(__xludf.DUMMYFUNCTION("""COMPUTED_VALUE"""),"Silver")</f>
        <v>Silver</v>
      </c>
      <c r="G712" s="265" t="str">
        <f>IFERROR(__xludf.DUMMYFUNCTION("""COMPUTED_VALUE"""),"Starter")</f>
        <v>Starter</v>
      </c>
      <c r="H712" s="265" t="str">
        <f>IFERROR(__xludf.DUMMYFUNCTION("""COMPUTED_VALUE"""),"Trả sau")</f>
        <v>Trả sau</v>
      </c>
      <c r="I712" s="265" t="str">
        <f>IFERROR(__xludf.DUMMYFUNCTION("""COMPUTED_VALUE"""),"Portal")</f>
        <v>Portal</v>
      </c>
      <c r="J712" s="265" t="str">
        <f>IFERROR(__xludf.DUMMYFUNCTION("""COMPUTED_VALUE"""),"File Excel")</f>
        <v>File Excel</v>
      </c>
    </row>
    <row r="713">
      <c r="A713" s="265" t="str">
        <f>IFERROR(__xludf.DUMMYFUNCTION("""COMPUTED_VALUE"""),"941")</f>
        <v>941</v>
      </c>
      <c r="B713" s="265" t="str">
        <f>IFERROR(__xludf.DUMMYFUNCTION("""COMPUTED_VALUE"""),"Hà Nội")</f>
        <v>Hà Nội</v>
      </c>
      <c r="C713" s="265" t="str">
        <f>IFERROR(__xludf.DUMMYFUNCTION("""COMPUTED_VALUE"""),"Active")</f>
        <v>Active</v>
      </c>
      <c r="D713" s="265" t="str">
        <f>IFERROR(__xludf.DUMMYFUNCTION("""COMPUTED_VALUE"""),"Giáo dục &amp; Đào tạo")</f>
        <v>Giáo dục &amp; Đào tạo</v>
      </c>
      <c r="E713" s="265" t="str">
        <f>IFERROR(__xludf.DUMMYFUNCTION("""COMPUTED_VALUE"""),"AnhNM")</f>
        <v>AnhNM</v>
      </c>
      <c r="F713" s="265" t="str">
        <f>IFERROR(__xludf.DUMMYFUNCTION("""COMPUTED_VALUE"""),"Bronze")</f>
        <v>Bronze</v>
      </c>
      <c r="G713" s="265" t="str">
        <f>IFERROR(__xludf.DUMMYFUNCTION("""COMPUTED_VALUE"""),"Starter")</f>
        <v>Starter</v>
      </c>
      <c r="H713" s="265" t="str">
        <f>IFERROR(__xludf.DUMMYFUNCTION("""COMPUTED_VALUE"""),"Trả sau")</f>
        <v>Trả sau</v>
      </c>
      <c r="I713" s="265" t="str">
        <f>IFERROR(__xludf.DUMMYFUNCTION("""COMPUTED_VALUE"""),"API")</f>
        <v>API</v>
      </c>
      <c r="J713" s="265" t="str">
        <f>IFERROR(__xludf.DUMMYFUNCTION("""COMPUTED_VALUE"""),"File Excel")</f>
        <v>File Excel</v>
      </c>
    </row>
    <row r="714">
      <c r="A714" s="265" t="str">
        <f>IFERROR(__xludf.DUMMYFUNCTION("""COMPUTED_VALUE"""),"941")</f>
        <v>941</v>
      </c>
      <c r="B714" s="265" t="str">
        <f>IFERROR(__xludf.DUMMYFUNCTION("""COMPUTED_VALUE"""),"Hà Nội")</f>
        <v>Hà Nội</v>
      </c>
      <c r="C714" s="265" t="str">
        <f>IFERROR(__xludf.DUMMYFUNCTION("""COMPUTED_VALUE"""),"Active")</f>
        <v>Active</v>
      </c>
      <c r="D714" s="265" t="str">
        <f>IFERROR(__xludf.DUMMYFUNCTION("""COMPUTED_VALUE"""),"Giáo dục &amp; Đào tạo")</f>
        <v>Giáo dục &amp; Đào tạo</v>
      </c>
      <c r="E714" s="265" t="str">
        <f>IFERROR(__xludf.DUMMYFUNCTION("""COMPUTED_VALUE"""),"AnhNM")</f>
        <v>AnhNM</v>
      </c>
      <c r="F714" s="265" t="str">
        <f>IFERROR(__xludf.DUMMYFUNCTION("""COMPUTED_VALUE"""),"Bronze")</f>
        <v>Bronze</v>
      </c>
      <c r="G714" s="265" t="str">
        <f>IFERROR(__xludf.DUMMYFUNCTION("""COMPUTED_VALUE"""),"Starter")</f>
        <v>Starter</v>
      </c>
      <c r="H714" s="265" t="str">
        <f>IFERROR(__xludf.DUMMYFUNCTION("""COMPUTED_VALUE"""),"Trả sau")</f>
        <v>Trả sau</v>
      </c>
      <c r="I714" s="265" t="str">
        <f>IFERROR(__xludf.DUMMYFUNCTION("""COMPUTED_VALUE"""),"API")</f>
        <v>API</v>
      </c>
      <c r="J714" s="265" t="str">
        <f>IFERROR(__xludf.DUMMYFUNCTION("""COMPUTED_VALUE"""),"API")</f>
        <v>API</v>
      </c>
    </row>
    <row r="715">
      <c r="A715" s="265" t="str">
        <f>IFERROR(__xludf.DUMMYFUNCTION("""COMPUTED_VALUE"""),"942")</f>
        <v>942</v>
      </c>
      <c r="B715" s="265" t="str">
        <f>IFERROR(__xludf.DUMMYFUNCTION("""COMPUTED_VALUE"""),"Sài Gòn")</f>
        <v>Sài Gòn</v>
      </c>
      <c r="C715" s="265" t="str">
        <f>IFERROR(__xludf.DUMMYFUNCTION("""COMPUTED_VALUE"""),"Active")</f>
        <v>Active</v>
      </c>
      <c r="D715" s="265" t="str">
        <f>IFERROR(__xludf.DUMMYFUNCTION("""COMPUTED_VALUE"""),"Viễn thông")</f>
        <v>Viễn thông</v>
      </c>
      <c r="E715" s="265" t="str">
        <f>IFERROR(__xludf.DUMMYFUNCTION("""COMPUTED_VALUE"""),"AnhNM")</f>
        <v>AnhNM</v>
      </c>
      <c r="F715" s="265" t="str">
        <f>IFERROR(__xludf.DUMMYFUNCTION("""COMPUTED_VALUE"""),"Gold")</f>
        <v>Gold</v>
      </c>
      <c r="G715" s="265" t="str">
        <f>IFERROR(__xludf.DUMMYFUNCTION("""COMPUTED_VALUE"""),"Premium")</f>
        <v>Premium</v>
      </c>
      <c r="H715" s="265" t="str">
        <f>IFERROR(__xludf.DUMMYFUNCTION("""COMPUTED_VALUE"""),"Trả sau")</f>
        <v>Trả sau</v>
      </c>
      <c r="I715" s="265" t="str">
        <f>IFERROR(__xludf.DUMMYFUNCTION("""COMPUTED_VALUE"""),"API &amp; Portal")</f>
        <v>API &amp; Portal</v>
      </c>
      <c r="J715" s="265" t="str">
        <f>IFERROR(__xludf.DUMMYFUNCTION("""COMPUTED_VALUE"""),"File Excel")</f>
        <v>File Excel</v>
      </c>
    </row>
    <row r="716">
      <c r="A716" s="265" t="str">
        <f>IFERROR(__xludf.DUMMYFUNCTION("""COMPUTED_VALUE"""),"942")</f>
        <v>942</v>
      </c>
      <c r="B716" s="265" t="str">
        <f>IFERROR(__xludf.DUMMYFUNCTION("""COMPUTED_VALUE"""),"Sài Gòn")</f>
        <v>Sài Gòn</v>
      </c>
      <c r="C716" s="265" t="str">
        <f>IFERROR(__xludf.DUMMYFUNCTION("""COMPUTED_VALUE"""),"Active")</f>
        <v>Active</v>
      </c>
      <c r="D716" s="265" t="str">
        <f>IFERROR(__xludf.DUMMYFUNCTION("""COMPUTED_VALUE"""),"Viễn thông")</f>
        <v>Viễn thông</v>
      </c>
      <c r="E716" s="265" t="str">
        <f>IFERROR(__xludf.DUMMYFUNCTION("""COMPUTED_VALUE"""),"AnhNM")</f>
        <v>AnhNM</v>
      </c>
      <c r="F716" s="265" t="str">
        <f>IFERROR(__xludf.DUMMYFUNCTION("""COMPUTED_VALUE"""),"Gold")</f>
        <v>Gold</v>
      </c>
      <c r="G716" s="265" t="str">
        <f>IFERROR(__xludf.DUMMYFUNCTION("""COMPUTED_VALUE"""),"Premium")</f>
        <v>Premium</v>
      </c>
      <c r="H716" s="265" t="str">
        <f>IFERROR(__xludf.DUMMYFUNCTION("""COMPUTED_VALUE"""),"Trả sau")</f>
        <v>Trả sau</v>
      </c>
      <c r="I716" s="265" t="str">
        <f>IFERROR(__xludf.DUMMYFUNCTION("""COMPUTED_VALUE"""),"API &amp; Portal")</f>
        <v>API &amp; Portal</v>
      </c>
      <c r="J716" s="265" t="str">
        <f>IFERROR(__xludf.DUMMYFUNCTION("""COMPUTED_VALUE"""),"API")</f>
        <v>API</v>
      </c>
    </row>
    <row r="717">
      <c r="A717" s="265" t="str">
        <f>IFERROR(__xludf.DUMMYFUNCTION("""COMPUTED_VALUE"""),"943")</f>
        <v>943</v>
      </c>
      <c r="B717" s="265" t="str">
        <f>IFERROR(__xludf.DUMMYFUNCTION("""COMPUTED_VALUE"""),"Hà Nội")</f>
        <v>Hà Nội</v>
      </c>
      <c r="C717" s="265" t="str">
        <f>IFERROR(__xludf.DUMMYFUNCTION("""COMPUTED_VALUE"""),"Active")</f>
        <v>Active</v>
      </c>
      <c r="D717" s="265" t="str">
        <f>IFERROR(__xludf.DUMMYFUNCTION("""COMPUTED_VALUE"""),"Bất động sản")</f>
        <v>Bất động sản</v>
      </c>
      <c r="E717" s="265" t="str">
        <f>IFERROR(__xludf.DUMMYFUNCTION("""COMPUTED_VALUE"""),"TùngLD")</f>
        <v>TùngLD</v>
      </c>
      <c r="F717" s="265" t="str">
        <f>IFERROR(__xludf.DUMMYFUNCTION("""COMPUTED_VALUE"""),"Silver")</f>
        <v>Silver</v>
      </c>
      <c r="G717" s="265" t="str">
        <f>IFERROR(__xludf.DUMMYFUNCTION("""COMPUTED_VALUE"""),"Starter")</f>
        <v>Starter</v>
      </c>
      <c r="H717" s="265" t="str">
        <f>IFERROR(__xludf.DUMMYFUNCTION("""COMPUTED_VALUE"""),"Trả sau")</f>
        <v>Trả sau</v>
      </c>
      <c r="I717" s="265" t="str">
        <f>IFERROR(__xludf.DUMMYFUNCTION("""COMPUTED_VALUE"""),"API")</f>
        <v>API</v>
      </c>
      <c r="J717" s="265" t="str">
        <f>IFERROR(__xludf.DUMMYFUNCTION("""COMPUTED_VALUE"""),"API")</f>
        <v>API</v>
      </c>
    </row>
    <row r="718">
      <c r="A718" s="265" t="str">
        <f>IFERROR(__xludf.DUMMYFUNCTION("""COMPUTED_VALUE"""),"943")</f>
        <v>943</v>
      </c>
      <c r="B718" s="265" t="str">
        <f>IFERROR(__xludf.DUMMYFUNCTION("""COMPUTED_VALUE"""),"Hà Nội")</f>
        <v>Hà Nội</v>
      </c>
      <c r="C718" s="265" t="str">
        <f>IFERROR(__xludf.DUMMYFUNCTION("""COMPUTED_VALUE"""),"Active")</f>
        <v>Active</v>
      </c>
      <c r="D718" s="265" t="str">
        <f>IFERROR(__xludf.DUMMYFUNCTION("""COMPUTED_VALUE"""),"Bất động sản")</f>
        <v>Bất động sản</v>
      </c>
      <c r="E718" s="265" t="str">
        <f>IFERROR(__xludf.DUMMYFUNCTION("""COMPUTED_VALUE"""),"TùngLD")</f>
        <v>TùngLD</v>
      </c>
      <c r="F718" s="265" t="str">
        <f>IFERROR(__xludf.DUMMYFUNCTION("""COMPUTED_VALUE"""),"Silver")</f>
        <v>Silver</v>
      </c>
      <c r="G718" s="265" t="str">
        <f>IFERROR(__xludf.DUMMYFUNCTION("""COMPUTED_VALUE"""),"Starter")</f>
        <v>Starter</v>
      </c>
      <c r="H718" s="265" t="str">
        <f>IFERROR(__xludf.DUMMYFUNCTION("""COMPUTED_VALUE"""),"Trả sau")</f>
        <v>Trả sau</v>
      </c>
      <c r="I718" s="265" t="str">
        <f>IFERROR(__xludf.DUMMYFUNCTION("""COMPUTED_VALUE"""),"API")</f>
        <v>API</v>
      </c>
      <c r="J718" s="265" t="str">
        <f>IFERROR(__xludf.DUMMYFUNCTION("""COMPUTED_VALUE"""),"Bizfly CRM")</f>
        <v>Bizfly CRM</v>
      </c>
    </row>
    <row r="719">
      <c r="A719" s="265" t="str">
        <f>IFERROR(__xludf.DUMMYFUNCTION("""COMPUTED_VALUE"""),"944")</f>
        <v>944</v>
      </c>
      <c r="B719" s="265" t="str">
        <f>IFERROR(__xludf.DUMMYFUNCTION("""COMPUTED_VALUE"""),"Sài Gòn")</f>
        <v>Sài Gòn</v>
      </c>
      <c r="C719" s="265" t="str">
        <f>IFERROR(__xludf.DUMMYFUNCTION("""COMPUTED_VALUE"""),"Active")</f>
        <v>Active</v>
      </c>
      <c r="D719" s="265" t="str">
        <f>IFERROR(__xludf.DUMMYFUNCTION("""COMPUTED_VALUE"""),"Hành chính công")</f>
        <v>Hành chính công</v>
      </c>
      <c r="E719" s="265" t="str">
        <f>IFERROR(__xludf.DUMMYFUNCTION("""COMPUTED_VALUE"""),"TúPHN")</f>
        <v>TúPHN</v>
      </c>
      <c r="F719" s="265" t="str">
        <f>IFERROR(__xludf.DUMMYFUNCTION("""COMPUTED_VALUE"""),"Bronze")</f>
        <v>Bronze</v>
      </c>
      <c r="G719" s="265" t="str">
        <f>IFERROR(__xludf.DUMMYFUNCTION("""COMPUTED_VALUE"""),"Standard")</f>
        <v>Standard</v>
      </c>
      <c r="H719" s="265" t="str">
        <f>IFERROR(__xludf.DUMMYFUNCTION("""COMPUTED_VALUE"""),"Trả trước")</f>
        <v>Trả trước</v>
      </c>
      <c r="I719" s="265" t="str">
        <f>IFERROR(__xludf.DUMMYFUNCTION("""COMPUTED_VALUE"""),"API &amp; Portal")</f>
        <v>API &amp; Portal</v>
      </c>
      <c r="J719" s="265" t="str">
        <f>IFERROR(__xludf.DUMMYFUNCTION("""COMPUTED_VALUE"""),"File Excel")</f>
        <v>File Excel</v>
      </c>
    </row>
    <row r="720">
      <c r="A720" s="265" t="str">
        <f>IFERROR(__xludf.DUMMYFUNCTION("""COMPUTED_VALUE"""),"945")</f>
        <v>945</v>
      </c>
      <c r="B720" s="265" t="str">
        <f>IFERROR(__xludf.DUMMYFUNCTION("""COMPUTED_VALUE"""),"Sài Gòn")</f>
        <v>Sài Gòn</v>
      </c>
      <c r="C720" s="265" t="str">
        <f>IFERROR(__xludf.DUMMYFUNCTION("""COMPUTED_VALUE"""),"Locked")</f>
        <v>Locked</v>
      </c>
      <c r="D720" s="265" t="str">
        <f>IFERROR(__xludf.DUMMYFUNCTION("""COMPUTED_VALUE"""),"Sản xuất &amp; Chế tạo")</f>
        <v>Sản xuất &amp; Chế tạo</v>
      </c>
      <c r="E720" s="265" t="str">
        <f>IFERROR(__xludf.DUMMYFUNCTION("""COMPUTED_VALUE"""),"HoaNTM")</f>
        <v>HoaNTM</v>
      </c>
      <c r="F720" s="265" t="str">
        <f>IFERROR(__xludf.DUMMYFUNCTION("""COMPUTED_VALUE"""),"Gold")</f>
        <v>Gold</v>
      </c>
      <c r="G720" s="265" t="str">
        <f>IFERROR(__xludf.DUMMYFUNCTION("""COMPUTED_VALUE"""),"Starter")</f>
        <v>Starter</v>
      </c>
      <c r="H720" s="265" t="str">
        <f>IFERROR(__xludf.DUMMYFUNCTION("""COMPUTED_VALUE"""),"Trả sau")</f>
        <v>Trả sau</v>
      </c>
      <c r="I720" s="265" t="str">
        <f>IFERROR(__xludf.DUMMYFUNCTION("""COMPUTED_VALUE"""),"API &amp; Portal")</f>
        <v>API &amp; Portal</v>
      </c>
      <c r="J720" s="265" t="str">
        <f>IFERROR(__xludf.DUMMYFUNCTION("""COMPUTED_VALUE"""),"API")</f>
        <v>API</v>
      </c>
    </row>
    <row r="721">
      <c r="A721" s="265" t="str">
        <f>IFERROR(__xludf.DUMMYFUNCTION("""COMPUTED_VALUE"""),"946")</f>
        <v>946</v>
      </c>
      <c r="B721" s="265" t="str">
        <f>IFERROR(__xludf.DUMMYFUNCTION("""COMPUTED_VALUE"""),"Hà Nội")</f>
        <v>Hà Nội</v>
      </c>
      <c r="C721" s="265" t="str">
        <f>IFERROR(__xludf.DUMMYFUNCTION("""COMPUTED_VALUE"""),"Active")</f>
        <v>Active</v>
      </c>
      <c r="D721" s="265" t="str">
        <f>IFERROR(__xludf.DUMMYFUNCTION("""COMPUTED_VALUE"""),"Mua sắm &amp; Bán lẻ")</f>
        <v>Mua sắm &amp; Bán lẻ</v>
      </c>
      <c r="E721" s="265" t="str">
        <f>IFERROR(__xludf.DUMMYFUNCTION("""COMPUTED_VALUE"""),"TúPHN")</f>
        <v>TúPHN</v>
      </c>
      <c r="F721" s="265" t="str">
        <f>IFERROR(__xludf.DUMMYFUNCTION("""COMPUTED_VALUE"""),"Diamond")</f>
        <v>Diamond</v>
      </c>
      <c r="G721" s="265" t="str">
        <f>IFERROR(__xludf.DUMMYFUNCTION("""COMPUTED_VALUE"""),"Starter")</f>
        <v>Starter</v>
      </c>
      <c r="H721" s="265" t="str">
        <f>IFERROR(__xludf.DUMMYFUNCTION("""COMPUTED_VALUE"""),"Trả sau")</f>
        <v>Trả sau</v>
      </c>
      <c r="I721" s="265" t="str">
        <f>IFERROR(__xludf.DUMMYFUNCTION("""COMPUTED_VALUE"""),"API")</f>
        <v>API</v>
      </c>
      <c r="J721" s="265" t="str">
        <f>IFERROR(__xludf.DUMMYFUNCTION("""COMPUTED_VALUE"""),"API")</f>
        <v>API</v>
      </c>
    </row>
    <row r="722">
      <c r="A722" s="265" t="str">
        <f>IFERROR(__xludf.DUMMYFUNCTION("""COMPUTED_VALUE"""),"947")</f>
        <v>947</v>
      </c>
      <c r="B722" s="265" t="str">
        <f>IFERROR(__xludf.DUMMYFUNCTION("""COMPUTED_VALUE"""),"Sài Gòn")</f>
        <v>Sài Gòn</v>
      </c>
      <c r="C722" s="265" t="str">
        <f>IFERROR(__xludf.DUMMYFUNCTION("""COMPUTED_VALUE"""),"Locked")</f>
        <v>Locked</v>
      </c>
      <c r="D722" s="265" t="str">
        <f>IFERROR(__xludf.DUMMYFUNCTION("""COMPUTED_VALUE"""),"Thiết kế &amp; Thi công")</f>
        <v>Thiết kế &amp; Thi công</v>
      </c>
      <c r="E722" s="265" t="str">
        <f>IFERROR(__xludf.DUMMYFUNCTION("""COMPUTED_VALUE"""),"TùngLD")</f>
        <v>TùngLD</v>
      </c>
      <c r="F722" s="265" t="str">
        <f>IFERROR(__xludf.DUMMYFUNCTION("""COMPUTED_VALUE"""),"Diamond")</f>
        <v>Diamond</v>
      </c>
      <c r="G722" s="265" t="str">
        <f>IFERROR(__xludf.DUMMYFUNCTION("""COMPUTED_VALUE"""),"Standard")</f>
        <v>Standard</v>
      </c>
      <c r="H722" s="265" t="str">
        <f>IFERROR(__xludf.DUMMYFUNCTION("""COMPUTED_VALUE"""),"Trial")</f>
        <v>Trial</v>
      </c>
      <c r="I722" s="265" t="str">
        <f>IFERROR(__xludf.DUMMYFUNCTION("""COMPUTED_VALUE"""),"API &amp; Portal")</f>
        <v>API &amp; Portal</v>
      </c>
      <c r="J722" s="265" t="str">
        <f>IFERROR(__xludf.DUMMYFUNCTION("""COMPUTED_VALUE"""),"API")</f>
        <v>API</v>
      </c>
    </row>
    <row r="723">
      <c r="A723" s="265" t="str">
        <f>IFERROR(__xludf.DUMMYFUNCTION("""COMPUTED_VALUE"""),"948")</f>
        <v>948</v>
      </c>
      <c r="B723" s="265" t="str">
        <f>IFERROR(__xludf.DUMMYFUNCTION("""COMPUTED_VALUE"""),"Sài Gòn")</f>
        <v>Sài Gòn</v>
      </c>
      <c r="C723" s="265" t="str">
        <f>IFERROR(__xludf.DUMMYFUNCTION("""COMPUTED_VALUE"""),"Locked")</f>
        <v>Locked</v>
      </c>
      <c r="D723" s="265" t="str">
        <f>IFERROR(__xludf.DUMMYFUNCTION("""COMPUTED_VALUE"""),"Sale chưa cung cấp")</f>
        <v>Sale chưa cung cấp</v>
      </c>
      <c r="E723" s="265" t="str">
        <f>IFERROR(__xludf.DUMMYFUNCTION("""COMPUTED_VALUE"""),"Không phân công")</f>
        <v>Không phân công</v>
      </c>
      <c r="F723" s="265" t="str">
        <f>IFERROR(__xludf.DUMMYFUNCTION("""COMPUTED_VALUE"""),"Sale chưa cung cấp")</f>
        <v>Sale chưa cung cấp</v>
      </c>
      <c r="G723" s="265" t="str">
        <f>IFERROR(__xludf.DUMMYFUNCTION("""COMPUTED_VALUE"""),"Standard")</f>
        <v>Standard</v>
      </c>
      <c r="H723" s="265" t="str">
        <f>IFERROR(__xludf.DUMMYFUNCTION("""COMPUTED_VALUE"""),"Trial")</f>
        <v>Trial</v>
      </c>
      <c r="I723" s="265" t="str">
        <f>IFERROR(__xludf.DUMMYFUNCTION("""COMPUTED_VALUE"""),"Portal")</f>
        <v>Portal</v>
      </c>
      <c r="J723" s="265" t="str">
        <f>IFERROR(__xludf.DUMMYFUNCTION("""COMPUTED_VALUE"""),"File Excel")</f>
        <v>File Excel</v>
      </c>
    </row>
    <row r="724">
      <c r="A724" s="265" t="str">
        <f>IFERROR(__xludf.DUMMYFUNCTION("""COMPUTED_VALUE"""),"949")</f>
        <v>949</v>
      </c>
      <c r="B724" s="265" t="str">
        <f>IFERROR(__xludf.DUMMYFUNCTION("""COMPUTED_VALUE"""),"Hà Nội")</f>
        <v>Hà Nội</v>
      </c>
      <c r="C724" s="265" t="str">
        <f>IFERROR(__xludf.DUMMYFUNCTION("""COMPUTED_VALUE"""),"Locked")</f>
        <v>Locked</v>
      </c>
      <c r="D724" s="265" t="str">
        <f>IFERROR(__xludf.DUMMYFUNCTION("""COMPUTED_VALUE"""),"Mua sắm &amp; Bán lẻ")</f>
        <v>Mua sắm &amp; Bán lẻ</v>
      </c>
      <c r="E724" s="265" t="str">
        <f>IFERROR(__xludf.DUMMYFUNCTION("""COMPUTED_VALUE"""),"AnhNM")</f>
        <v>AnhNM</v>
      </c>
      <c r="F724" s="265" t="str">
        <f>IFERROR(__xludf.DUMMYFUNCTION("""COMPUTED_VALUE"""),"Bronze")</f>
        <v>Bronze</v>
      </c>
      <c r="G724" s="265" t="str">
        <f>IFERROR(__xludf.DUMMYFUNCTION("""COMPUTED_VALUE"""),"Premium")</f>
        <v>Premium</v>
      </c>
      <c r="H724" s="265" t="str">
        <f>IFERROR(__xludf.DUMMYFUNCTION("""COMPUTED_VALUE"""),"Trial")</f>
        <v>Trial</v>
      </c>
      <c r="I724" s="265" t="str">
        <f>IFERROR(__xludf.DUMMYFUNCTION("""COMPUTED_VALUE"""),"API &amp; Portal")</f>
        <v>API &amp; Portal</v>
      </c>
      <c r="J724" s="265" t="str">
        <f>IFERROR(__xludf.DUMMYFUNCTION("""COMPUTED_VALUE"""),"File Excel")</f>
        <v>File Excel</v>
      </c>
    </row>
    <row r="725">
      <c r="A725" s="265" t="str">
        <f>IFERROR(__xludf.DUMMYFUNCTION("""COMPUTED_VALUE"""),"949")</f>
        <v>949</v>
      </c>
      <c r="B725" s="265" t="str">
        <f>IFERROR(__xludf.DUMMYFUNCTION("""COMPUTED_VALUE"""),"Hà Nội")</f>
        <v>Hà Nội</v>
      </c>
      <c r="C725" s="265" t="str">
        <f>IFERROR(__xludf.DUMMYFUNCTION("""COMPUTED_VALUE"""),"Locked")</f>
        <v>Locked</v>
      </c>
      <c r="D725" s="265" t="str">
        <f>IFERROR(__xludf.DUMMYFUNCTION("""COMPUTED_VALUE"""),"Mua sắm &amp; Bán lẻ")</f>
        <v>Mua sắm &amp; Bán lẻ</v>
      </c>
      <c r="E725" s="265" t="str">
        <f>IFERROR(__xludf.DUMMYFUNCTION("""COMPUTED_VALUE"""),"AnhNM")</f>
        <v>AnhNM</v>
      </c>
      <c r="F725" s="265" t="str">
        <f>IFERROR(__xludf.DUMMYFUNCTION("""COMPUTED_VALUE"""),"Bronze")</f>
        <v>Bronze</v>
      </c>
      <c r="G725" s="265" t="str">
        <f>IFERROR(__xludf.DUMMYFUNCTION("""COMPUTED_VALUE"""),"Premium")</f>
        <v>Premium</v>
      </c>
      <c r="H725" s="265" t="str">
        <f>IFERROR(__xludf.DUMMYFUNCTION("""COMPUTED_VALUE"""),"Trial")</f>
        <v>Trial</v>
      </c>
      <c r="I725" s="265" t="str">
        <f>IFERROR(__xludf.DUMMYFUNCTION("""COMPUTED_VALUE"""),"API &amp; Portal")</f>
        <v>API &amp; Portal</v>
      </c>
      <c r="J725" s="265" t="str">
        <f>IFERROR(__xludf.DUMMYFUNCTION("""COMPUTED_VALUE"""),"API")</f>
        <v>API</v>
      </c>
    </row>
    <row r="726">
      <c r="A726" s="265" t="str">
        <f>IFERROR(__xludf.DUMMYFUNCTION("""COMPUTED_VALUE"""),"950")</f>
        <v>950</v>
      </c>
      <c r="B726" s="265" t="str">
        <f>IFERROR(__xludf.DUMMYFUNCTION("""COMPUTED_VALUE"""),"Sài Gòn")</f>
        <v>Sài Gòn</v>
      </c>
      <c r="C726" s="265" t="str">
        <f>IFERROR(__xludf.DUMMYFUNCTION("""COMPUTED_VALUE"""),"Active")</f>
        <v>Active</v>
      </c>
      <c r="D726" s="265" t="str">
        <f>IFERROR(__xludf.DUMMYFUNCTION("""COMPUTED_VALUE"""),"Thực phẩm &amp; Đồ uống")</f>
        <v>Thực phẩm &amp; Đồ uống</v>
      </c>
      <c r="E726" s="265" t="str">
        <f>IFERROR(__xludf.DUMMYFUNCTION("""COMPUTED_VALUE"""),"Không phân công")</f>
        <v>Không phân công</v>
      </c>
      <c r="F726" s="265" t="str">
        <f>IFERROR(__xludf.DUMMYFUNCTION("""COMPUTED_VALUE"""),"Gold")</f>
        <v>Gold</v>
      </c>
      <c r="G726" s="265" t="str">
        <f>IFERROR(__xludf.DUMMYFUNCTION("""COMPUTED_VALUE"""),"Starter")</f>
        <v>Starter</v>
      </c>
      <c r="H726" s="265" t="str">
        <f>IFERROR(__xludf.DUMMYFUNCTION("""COMPUTED_VALUE"""),"Trả sau")</f>
        <v>Trả sau</v>
      </c>
      <c r="I726" s="265" t="str">
        <f>IFERROR(__xludf.DUMMYFUNCTION("""COMPUTED_VALUE"""),"API")</f>
        <v>API</v>
      </c>
      <c r="J726" s="265" t="str">
        <f>IFERROR(__xludf.DUMMYFUNCTION("""COMPUTED_VALUE"""),"API")</f>
        <v>API</v>
      </c>
    </row>
    <row r="727">
      <c r="A727" s="265" t="str">
        <f>IFERROR(__xludf.DUMMYFUNCTION("""COMPUTED_VALUE"""),"951")</f>
        <v>951</v>
      </c>
      <c r="B727" s="265" t="str">
        <f>IFERROR(__xludf.DUMMYFUNCTION("""COMPUTED_VALUE"""),"Hà Nội")</f>
        <v>Hà Nội</v>
      </c>
      <c r="C727" s="265" t="str">
        <f>IFERROR(__xludf.DUMMYFUNCTION("""COMPUTED_VALUE"""),"Active")</f>
        <v>Active</v>
      </c>
      <c r="D727" s="265" t="str">
        <f>IFERROR(__xludf.DUMMYFUNCTION("""COMPUTED_VALUE"""),"Vận tải &amp; logistics")</f>
        <v>Vận tải &amp; logistics</v>
      </c>
      <c r="E727" s="265" t="str">
        <f>IFERROR(__xludf.DUMMYFUNCTION("""COMPUTED_VALUE"""),"TúPHN")</f>
        <v>TúPHN</v>
      </c>
      <c r="F727" s="265" t="str">
        <f>IFERROR(__xludf.DUMMYFUNCTION("""COMPUTED_VALUE"""),"Silver")</f>
        <v>Silver</v>
      </c>
      <c r="G727" s="265" t="str">
        <f>IFERROR(__xludf.DUMMYFUNCTION("""COMPUTED_VALUE"""),"Starter")</f>
        <v>Starter</v>
      </c>
      <c r="H727" s="265" t="str">
        <f>IFERROR(__xludf.DUMMYFUNCTION("""COMPUTED_VALUE"""),"Trả trước")</f>
        <v>Trả trước</v>
      </c>
      <c r="I727" s="265" t="str">
        <f>IFERROR(__xludf.DUMMYFUNCTION("""COMPUTED_VALUE"""),"Portal")</f>
        <v>Portal</v>
      </c>
      <c r="J727" s="265" t="str">
        <f>IFERROR(__xludf.DUMMYFUNCTION("""COMPUTED_VALUE"""),"File Excel")</f>
        <v>File Excel</v>
      </c>
    </row>
    <row r="728">
      <c r="A728" s="265" t="str">
        <f>IFERROR(__xludf.DUMMYFUNCTION("""COMPUTED_VALUE"""),"952")</f>
        <v>952</v>
      </c>
      <c r="B728" s="265" t="str">
        <f>IFERROR(__xludf.DUMMYFUNCTION("""COMPUTED_VALUE"""),"Sài Gòn")</f>
        <v>Sài Gòn</v>
      </c>
      <c r="C728" s="265" t="str">
        <f>IFERROR(__xludf.DUMMYFUNCTION("""COMPUTED_VALUE"""),"Locked")</f>
        <v>Locked</v>
      </c>
      <c r="D728" s="265" t="str">
        <f>IFERROR(__xludf.DUMMYFUNCTION("""COMPUTED_VALUE"""),"Thực phẩm &amp; Đồ uống")</f>
        <v>Thực phẩm &amp; Đồ uống</v>
      </c>
      <c r="E728" s="265" t="str">
        <f>IFERROR(__xludf.DUMMYFUNCTION("""COMPUTED_VALUE"""),"TúPHN")</f>
        <v>TúPHN</v>
      </c>
      <c r="F728" s="265" t="str">
        <f>IFERROR(__xludf.DUMMYFUNCTION("""COMPUTED_VALUE"""),"Gold")</f>
        <v>Gold</v>
      </c>
      <c r="G728" s="265" t="str">
        <f>IFERROR(__xludf.DUMMYFUNCTION("""COMPUTED_VALUE"""),"Standard")</f>
        <v>Standard</v>
      </c>
      <c r="H728" s="265" t="str">
        <f>IFERROR(__xludf.DUMMYFUNCTION("""COMPUTED_VALUE"""),"Trả trước")</f>
        <v>Trả trước</v>
      </c>
      <c r="I728" s="265" t="str">
        <f>IFERROR(__xludf.DUMMYFUNCTION("""COMPUTED_VALUE"""),"Portal")</f>
        <v>Portal</v>
      </c>
      <c r="J728" s="265" t="str">
        <f>IFERROR(__xludf.DUMMYFUNCTION("""COMPUTED_VALUE"""),"File Excel")</f>
        <v>File Excel</v>
      </c>
    </row>
    <row r="729">
      <c r="A729" s="265" t="str">
        <f>IFERROR(__xludf.DUMMYFUNCTION("""COMPUTED_VALUE"""),"953")</f>
        <v>953</v>
      </c>
      <c r="B729" s="265" t="str">
        <f>IFERROR(__xludf.DUMMYFUNCTION("""COMPUTED_VALUE"""),"Sài Gòn")</f>
        <v>Sài Gòn</v>
      </c>
      <c r="C729" s="265" t="str">
        <f>IFERROR(__xludf.DUMMYFUNCTION("""COMPUTED_VALUE"""),"Locked")</f>
        <v>Locked</v>
      </c>
      <c r="D729" s="265" t="str">
        <f>IFERROR(__xludf.DUMMYFUNCTION("""COMPUTED_VALUE"""),"Thực phẩm &amp; Đồ uống")</f>
        <v>Thực phẩm &amp; Đồ uống</v>
      </c>
      <c r="E729" s="265" t="str">
        <f>IFERROR(__xludf.DUMMYFUNCTION("""COMPUTED_VALUE"""),"TúPHN")</f>
        <v>TúPHN</v>
      </c>
      <c r="F729" s="265" t="str">
        <f>IFERROR(__xludf.DUMMYFUNCTION("""COMPUTED_VALUE"""),"Diamond")</f>
        <v>Diamond</v>
      </c>
      <c r="G729" s="265" t="str">
        <f>IFERROR(__xludf.DUMMYFUNCTION("""COMPUTED_VALUE"""),"Starter")</f>
        <v>Starter</v>
      </c>
      <c r="H729" s="265" t="str">
        <f>IFERROR(__xludf.DUMMYFUNCTION("""COMPUTED_VALUE"""),"Trial")</f>
        <v>Trial</v>
      </c>
      <c r="I729" s="265" t="str">
        <f>IFERROR(__xludf.DUMMYFUNCTION("""COMPUTED_VALUE"""),"Portal")</f>
        <v>Portal</v>
      </c>
      <c r="J729" s="265" t="str">
        <f>IFERROR(__xludf.DUMMYFUNCTION("""COMPUTED_VALUE"""),"File Excel")</f>
        <v>File Excel</v>
      </c>
    </row>
    <row r="730">
      <c r="A730" s="265" t="str">
        <f>IFERROR(__xludf.DUMMYFUNCTION("""COMPUTED_VALUE"""),"954")</f>
        <v>954</v>
      </c>
      <c r="B730" s="265" t="str">
        <f>IFERROR(__xludf.DUMMYFUNCTION("""COMPUTED_VALUE"""),"Hà Nội")</f>
        <v>Hà Nội</v>
      </c>
      <c r="C730" s="265" t="str">
        <f>IFERROR(__xludf.DUMMYFUNCTION("""COMPUTED_VALUE"""),"Locked")</f>
        <v>Locked</v>
      </c>
      <c r="D730" s="265" t="str">
        <f>IFERROR(__xludf.DUMMYFUNCTION("""COMPUTED_VALUE"""),"Dịch vụ khác")</f>
        <v>Dịch vụ khác</v>
      </c>
      <c r="E730" s="265" t="str">
        <f>IFERROR(__xludf.DUMMYFUNCTION("""COMPUTED_VALUE"""),"TúPHN")</f>
        <v>TúPHN</v>
      </c>
      <c r="F730" s="265" t="str">
        <f>IFERROR(__xludf.DUMMYFUNCTION("""COMPUTED_VALUE"""),"Bronze")</f>
        <v>Bronze</v>
      </c>
      <c r="G730" s="265" t="str">
        <f>IFERROR(__xludf.DUMMYFUNCTION("""COMPUTED_VALUE"""),"Premium")</f>
        <v>Premium</v>
      </c>
      <c r="H730" s="265" t="str">
        <f>IFERROR(__xludf.DUMMYFUNCTION("""COMPUTED_VALUE"""),"Trial")</f>
        <v>Trial</v>
      </c>
      <c r="I730" s="265" t="str">
        <f>IFERROR(__xludf.DUMMYFUNCTION("""COMPUTED_VALUE"""),"API &amp; Portal")</f>
        <v>API &amp; Portal</v>
      </c>
      <c r="J730" s="265" t="str">
        <f>IFERROR(__xludf.DUMMYFUNCTION("""COMPUTED_VALUE"""),"File Excel")</f>
        <v>File Excel</v>
      </c>
    </row>
    <row r="731">
      <c r="A731" s="265" t="str">
        <f>IFERROR(__xludf.DUMMYFUNCTION("""COMPUTED_VALUE"""),"954")</f>
        <v>954</v>
      </c>
      <c r="B731" s="265" t="str">
        <f>IFERROR(__xludf.DUMMYFUNCTION("""COMPUTED_VALUE"""),"Hà Nội")</f>
        <v>Hà Nội</v>
      </c>
      <c r="C731" s="265" t="str">
        <f>IFERROR(__xludf.DUMMYFUNCTION("""COMPUTED_VALUE"""),"Locked")</f>
        <v>Locked</v>
      </c>
      <c r="D731" s="265" t="str">
        <f>IFERROR(__xludf.DUMMYFUNCTION("""COMPUTED_VALUE"""),"Dịch vụ khác")</f>
        <v>Dịch vụ khác</v>
      </c>
      <c r="E731" s="265" t="str">
        <f>IFERROR(__xludf.DUMMYFUNCTION("""COMPUTED_VALUE"""),"TúPHN")</f>
        <v>TúPHN</v>
      </c>
      <c r="F731" s="265" t="str">
        <f>IFERROR(__xludf.DUMMYFUNCTION("""COMPUTED_VALUE"""),"Bronze")</f>
        <v>Bronze</v>
      </c>
      <c r="G731" s="265" t="str">
        <f>IFERROR(__xludf.DUMMYFUNCTION("""COMPUTED_VALUE"""),"Premium")</f>
        <v>Premium</v>
      </c>
      <c r="H731" s="265" t="str">
        <f>IFERROR(__xludf.DUMMYFUNCTION("""COMPUTED_VALUE"""),"Trial")</f>
        <v>Trial</v>
      </c>
      <c r="I731" s="265" t="str">
        <f>IFERROR(__xludf.DUMMYFUNCTION("""COMPUTED_VALUE"""),"API &amp; Portal")</f>
        <v>API &amp; Portal</v>
      </c>
      <c r="J731" s="265" t="str">
        <f>IFERROR(__xludf.DUMMYFUNCTION("""COMPUTED_VALUE"""),"API")</f>
        <v>API</v>
      </c>
    </row>
    <row r="732">
      <c r="A732" s="265" t="str">
        <f>IFERROR(__xludf.DUMMYFUNCTION("""COMPUTED_VALUE"""),"955")</f>
        <v>955</v>
      </c>
      <c r="B732" s="265" t="str">
        <f>IFERROR(__xludf.DUMMYFUNCTION("""COMPUTED_VALUE"""),"Đà Nẵng")</f>
        <v>Đà Nẵng</v>
      </c>
      <c r="C732" s="265" t="str">
        <f>IFERROR(__xludf.DUMMYFUNCTION("""COMPUTED_VALUE"""),"Locked")</f>
        <v>Locked</v>
      </c>
      <c r="D732" s="265" t="str">
        <f>IFERROR(__xludf.DUMMYFUNCTION("""COMPUTED_VALUE"""),"Công nghệ &amp; Phần mềm")</f>
        <v>Công nghệ &amp; Phần mềm</v>
      </c>
      <c r="E732" s="265" t="str">
        <f>IFERROR(__xludf.DUMMYFUNCTION("""COMPUTED_VALUE"""),"TùngLD")</f>
        <v>TùngLD</v>
      </c>
      <c r="F732" s="265" t="str">
        <f>IFERROR(__xludf.DUMMYFUNCTION("""COMPUTED_VALUE"""),"Gold")</f>
        <v>Gold</v>
      </c>
      <c r="G732" s="265" t="str">
        <f>IFERROR(__xludf.DUMMYFUNCTION("""COMPUTED_VALUE"""),"Premium")</f>
        <v>Premium</v>
      </c>
      <c r="H732" s="265" t="str">
        <f>IFERROR(__xludf.DUMMYFUNCTION("""COMPUTED_VALUE"""),"Trial")</f>
        <v>Trial</v>
      </c>
      <c r="I732" s="265" t="str">
        <f>IFERROR(__xludf.DUMMYFUNCTION("""COMPUTED_VALUE"""),"API &amp; Portal")</f>
        <v>API &amp; Portal</v>
      </c>
      <c r="J732" s="265" t="str">
        <f>IFERROR(__xludf.DUMMYFUNCTION("""COMPUTED_VALUE"""),"API")</f>
        <v>API</v>
      </c>
    </row>
    <row r="733">
      <c r="A733" s="265" t="str">
        <f>IFERROR(__xludf.DUMMYFUNCTION("""COMPUTED_VALUE"""),"956")</f>
        <v>956</v>
      </c>
      <c r="B733" s="265" t="str">
        <f>IFERROR(__xludf.DUMMYFUNCTION("""COMPUTED_VALUE"""),"Hà Nội")</f>
        <v>Hà Nội</v>
      </c>
      <c r="C733" s="265" t="str">
        <f>IFERROR(__xludf.DUMMYFUNCTION("""COMPUTED_VALUE"""),"Active")</f>
        <v>Active</v>
      </c>
      <c r="D733" s="265" t="str">
        <f>IFERROR(__xludf.DUMMYFUNCTION("""COMPUTED_VALUE"""),"Dịch vụ khác")</f>
        <v>Dịch vụ khác</v>
      </c>
      <c r="E733" s="265" t="str">
        <f>IFERROR(__xludf.DUMMYFUNCTION("""COMPUTED_VALUE"""),"AnhNM")</f>
        <v>AnhNM</v>
      </c>
      <c r="F733" s="265" t="str">
        <f>IFERROR(__xludf.DUMMYFUNCTION("""COMPUTED_VALUE"""),"Bronze")</f>
        <v>Bronze</v>
      </c>
      <c r="G733" s="265" t="str">
        <f>IFERROR(__xludf.DUMMYFUNCTION("""COMPUTED_VALUE"""),"Starter")</f>
        <v>Starter</v>
      </c>
      <c r="H733" s="265" t="str">
        <f>IFERROR(__xludf.DUMMYFUNCTION("""COMPUTED_VALUE"""),"Trả sau")</f>
        <v>Trả sau</v>
      </c>
      <c r="I733" s="265" t="str">
        <f>IFERROR(__xludf.DUMMYFUNCTION("""COMPUTED_VALUE"""),"API &amp; Portal")</f>
        <v>API &amp; Portal</v>
      </c>
      <c r="J733" s="265" t="str">
        <f>IFERROR(__xludf.DUMMYFUNCTION("""COMPUTED_VALUE"""),"File Excel")</f>
        <v>File Excel</v>
      </c>
    </row>
    <row r="734">
      <c r="A734" s="265" t="str">
        <f>IFERROR(__xludf.DUMMYFUNCTION("""COMPUTED_VALUE"""),"956")</f>
        <v>956</v>
      </c>
      <c r="B734" s="265" t="str">
        <f>IFERROR(__xludf.DUMMYFUNCTION("""COMPUTED_VALUE"""),"Hà Nội")</f>
        <v>Hà Nội</v>
      </c>
      <c r="C734" s="265" t="str">
        <f>IFERROR(__xludf.DUMMYFUNCTION("""COMPUTED_VALUE"""),"Active")</f>
        <v>Active</v>
      </c>
      <c r="D734" s="265" t="str">
        <f>IFERROR(__xludf.DUMMYFUNCTION("""COMPUTED_VALUE"""),"Dịch vụ khác")</f>
        <v>Dịch vụ khác</v>
      </c>
      <c r="E734" s="265" t="str">
        <f>IFERROR(__xludf.DUMMYFUNCTION("""COMPUTED_VALUE"""),"AnhNM")</f>
        <v>AnhNM</v>
      </c>
      <c r="F734" s="265" t="str">
        <f>IFERROR(__xludf.DUMMYFUNCTION("""COMPUTED_VALUE"""),"Bronze")</f>
        <v>Bronze</v>
      </c>
      <c r="G734" s="265" t="str">
        <f>IFERROR(__xludf.DUMMYFUNCTION("""COMPUTED_VALUE"""),"Starter")</f>
        <v>Starter</v>
      </c>
      <c r="H734" s="265" t="str">
        <f>IFERROR(__xludf.DUMMYFUNCTION("""COMPUTED_VALUE"""),"Trả sau")</f>
        <v>Trả sau</v>
      </c>
      <c r="I734" s="265" t="str">
        <f>IFERROR(__xludf.DUMMYFUNCTION("""COMPUTED_VALUE"""),"API &amp; Portal")</f>
        <v>API &amp; Portal</v>
      </c>
      <c r="J734" s="265" t="str">
        <f>IFERROR(__xludf.DUMMYFUNCTION("""COMPUTED_VALUE"""),"API")</f>
        <v>API</v>
      </c>
    </row>
    <row r="735">
      <c r="A735" s="265" t="str">
        <f>IFERROR(__xludf.DUMMYFUNCTION("""COMPUTED_VALUE"""),"957")</f>
        <v>957</v>
      </c>
      <c r="B735" s="265" t="str">
        <f>IFERROR(__xludf.DUMMYFUNCTION("""COMPUTED_VALUE"""),"Sài Gòn")</f>
        <v>Sài Gòn</v>
      </c>
      <c r="C735" s="265" t="str">
        <f>IFERROR(__xludf.DUMMYFUNCTION("""COMPUTED_VALUE"""),"Active")</f>
        <v>Active</v>
      </c>
      <c r="D735" s="265" t="str">
        <f>IFERROR(__xludf.DUMMYFUNCTION("""COMPUTED_VALUE"""),"Truyền thông &amp; Giải trí")</f>
        <v>Truyền thông &amp; Giải trí</v>
      </c>
      <c r="E735" s="265" t="str">
        <f>IFERROR(__xludf.DUMMYFUNCTION("""COMPUTED_VALUE"""),"AnhNM")</f>
        <v>AnhNM</v>
      </c>
      <c r="F735" s="265" t="str">
        <f>IFERROR(__xludf.DUMMYFUNCTION("""COMPUTED_VALUE"""),"Bronze")</f>
        <v>Bronze</v>
      </c>
      <c r="G735" s="265" t="str">
        <f>IFERROR(__xludf.DUMMYFUNCTION("""COMPUTED_VALUE"""),"Standard")</f>
        <v>Standard</v>
      </c>
      <c r="H735" s="265" t="str">
        <f>IFERROR(__xludf.DUMMYFUNCTION("""COMPUTED_VALUE"""),"Trả trước")</f>
        <v>Trả trước</v>
      </c>
      <c r="I735" s="265" t="str">
        <f>IFERROR(__xludf.DUMMYFUNCTION("""COMPUTED_VALUE"""),"API &amp; Portal")</f>
        <v>API &amp; Portal</v>
      </c>
      <c r="J735" s="265" t="str">
        <f>IFERROR(__xludf.DUMMYFUNCTION("""COMPUTED_VALUE"""),"File Excel")</f>
        <v>File Excel</v>
      </c>
    </row>
    <row r="736">
      <c r="A736" s="265" t="str">
        <f>IFERROR(__xludf.DUMMYFUNCTION("""COMPUTED_VALUE"""),"958")</f>
        <v>958</v>
      </c>
      <c r="B736" s="265" t="str">
        <f>IFERROR(__xludf.DUMMYFUNCTION("""COMPUTED_VALUE"""),"Hà Nội")</f>
        <v>Hà Nội</v>
      </c>
      <c r="C736" s="265" t="str">
        <f>IFERROR(__xludf.DUMMYFUNCTION("""COMPUTED_VALUE"""),"Active")</f>
        <v>Active</v>
      </c>
      <c r="D736" s="265" t="str">
        <f>IFERROR(__xludf.DUMMYFUNCTION("""COMPUTED_VALUE"""),"Du lịch &amp; Lưu trú")</f>
        <v>Du lịch &amp; Lưu trú</v>
      </c>
      <c r="E736" s="265" t="str">
        <f>IFERROR(__xludf.DUMMYFUNCTION("""COMPUTED_VALUE"""),"TùngLD")</f>
        <v>TùngLD</v>
      </c>
      <c r="F736" s="265" t="str">
        <f>IFERROR(__xludf.DUMMYFUNCTION("""COMPUTED_VALUE"""),"Gold")</f>
        <v>Gold</v>
      </c>
      <c r="G736" s="265" t="str">
        <f>IFERROR(__xludf.DUMMYFUNCTION("""COMPUTED_VALUE"""),"Premium")</f>
        <v>Premium</v>
      </c>
      <c r="H736" s="265" t="str">
        <f>IFERROR(__xludf.DUMMYFUNCTION("""COMPUTED_VALUE"""),"Trả trước")</f>
        <v>Trả trước</v>
      </c>
      <c r="I736" s="265" t="str">
        <f>IFERROR(__xludf.DUMMYFUNCTION("""COMPUTED_VALUE"""),"API")</f>
        <v>API</v>
      </c>
      <c r="J736" s="265" t="str">
        <f>IFERROR(__xludf.DUMMYFUNCTION("""COMPUTED_VALUE"""),"HubSpot")</f>
        <v>HubSpot</v>
      </c>
    </row>
    <row r="737">
      <c r="A737" s="265" t="str">
        <f>IFERROR(__xludf.DUMMYFUNCTION("""COMPUTED_VALUE"""),"960")</f>
        <v>960</v>
      </c>
      <c r="B737" s="265" t="str">
        <f>IFERROR(__xludf.DUMMYFUNCTION("""COMPUTED_VALUE"""),"Sài Gòn")</f>
        <v>Sài Gòn</v>
      </c>
      <c r="C737" s="265" t="str">
        <f>IFERROR(__xludf.DUMMYFUNCTION("""COMPUTED_VALUE"""),"Locked")</f>
        <v>Locked</v>
      </c>
      <c r="D737" s="265" t="str">
        <f>IFERROR(__xludf.DUMMYFUNCTION("""COMPUTED_VALUE"""),"Viễn thông")</f>
        <v>Viễn thông</v>
      </c>
      <c r="E737" s="265" t="str">
        <f>IFERROR(__xludf.DUMMYFUNCTION("""COMPUTED_VALUE"""),"TúPHN")</f>
        <v>TúPHN</v>
      </c>
      <c r="F737" s="265" t="str">
        <f>IFERROR(__xludf.DUMMYFUNCTION("""COMPUTED_VALUE"""),"Gold")</f>
        <v>Gold</v>
      </c>
      <c r="G737" s="265" t="str">
        <f>IFERROR(__xludf.DUMMYFUNCTION("""COMPUTED_VALUE"""),"Premium")</f>
        <v>Premium</v>
      </c>
      <c r="H737" s="265" t="str">
        <f>IFERROR(__xludf.DUMMYFUNCTION("""COMPUTED_VALUE"""),"Trial")</f>
        <v>Trial</v>
      </c>
      <c r="I737" s="265" t="str">
        <f>IFERROR(__xludf.DUMMYFUNCTION("""COMPUTED_VALUE"""),"Portal")</f>
        <v>Portal</v>
      </c>
      <c r="J737" s="265" t="str">
        <f>IFERROR(__xludf.DUMMYFUNCTION("""COMPUTED_VALUE"""),"File Excel")</f>
        <v>File Excel</v>
      </c>
    </row>
    <row r="738">
      <c r="A738" s="265" t="str">
        <f>IFERROR(__xludf.DUMMYFUNCTION("""COMPUTED_VALUE"""),"961")</f>
        <v>961</v>
      </c>
      <c r="B738" s="265" t="str">
        <f>IFERROR(__xludf.DUMMYFUNCTION("""COMPUTED_VALUE"""),"Sài Gòn")</f>
        <v>Sài Gòn</v>
      </c>
      <c r="C738" s="265" t="str">
        <f>IFERROR(__xludf.DUMMYFUNCTION("""COMPUTED_VALUE"""),"Locked")</f>
        <v>Locked</v>
      </c>
      <c r="D738" s="265" t="str">
        <f>IFERROR(__xludf.DUMMYFUNCTION("""COMPUTED_VALUE"""),"Mua sắm &amp; Bán lẻ")</f>
        <v>Mua sắm &amp; Bán lẻ</v>
      </c>
      <c r="E738" s="265" t="str">
        <f>IFERROR(__xludf.DUMMYFUNCTION("""COMPUTED_VALUE"""),"TrâmNNB")</f>
        <v>TrâmNNB</v>
      </c>
      <c r="F738" s="265" t="str">
        <f>IFERROR(__xludf.DUMMYFUNCTION("""COMPUTED_VALUE"""),"Sale chưa cung cấp")</f>
        <v>Sale chưa cung cấp</v>
      </c>
      <c r="G738" s="265" t="str">
        <f>IFERROR(__xludf.DUMMYFUNCTION("""COMPUTED_VALUE"""),"Standard")</f>
        <v>Standard</v>
      </c>
      <c r="H738" s="265" t="str">
        <f>IFERROR(__xludf.DUMMYFUNCTION("""COMPUTED_VALUE"""),"Trả trước")</f>
        <v>Trả trước</v>
      </c>
      <c r="I738" s="265" t="str">
        <f>IFERROR(__xludf.DUMMYFUNCTION("""COMPUTED_VALUE"""),"API &amp; Portal")</f>
        <v>API &amp; Portal</v>
      </c>
      <c r="J738" s="265" t="str">
        <f>IFERROR(__xludf.DUMMYFUNCTION("""COMPUTED_VALUE"""),"File Excel")</f>
        <v>File Excel</v>
      </c>
    </row>
    <row r="739">
      <c r="A739" s="265" t="str">
        <f>IFERROR(__xludf.DUMMYFUNCTION("""COMPUTED_VALUE"""),"961")</f>
        <v>961</v>
      </c>
      <c r="B739" s="265" t="str">
        <f>IFERROR(__xludf.DUMMYFUNCTION("""COMPUTED_VALUE"""),"Sài Gòn")</f>
        <v>Sài Gòn</v>
      </c>
      <c r="C739" s="265" t="str">
        <f>IFERROR(__xludf.DUMMYFUNCTION("""COMPUTED_VALUE"""),"Locked")</f>
        <v>Locked</v>
      </c>
      <c r="D739" s="265" t="str">
        <f>IFERROR(__xludf.DUMMYFUNCTION("""COMPUTED_VALUE"""),"Mua sắm &amp; Bán lẻ")</f>
        <v>Mua sắm &amp; Bán lẻ</v>
      </c>
      <c r="E739" s="265" t="str">
        <f>IFERROR(__xludf.DUMMYFUNCTION("""COMPUTED_VALUE"""),"TrâmNNB")</f>
        <v>TrâmNNB</v>
      </c>
      <c r="F739" s="265" t="str">
        <f>IFERROR(__xludf.DUMMYFUNCTION("""COMPUTED_VALUE"""),"Sale chưa cung cấp")</f>
        <v>Sale chưa cung cấp</v>
      </c>
      <c r="G739" s="265" t="str">
        <f>IFERROR(__xludf.DUMMYFUNCTION("""COMPUTED_VALUE"""),"Standard")</f>
        <v>Standard</v>
      </c>
      <c r="H739" s="265" t="str">
        <f>IFERROR(__xludf.DUMMYFUNCTION("""COMPUTED_VALUE"""),"Trả trước")</f>
        <v>Trả trước</v>
      </c>
      <c r="I739" s="265" t="str">
        <f>IFERROR(__xludf.DUMMYFUNCTION("""COMPUTED_VALUE"""),"API &amp; Portal")</f>
        <v>API &amp; Portal</v>
      </c>
      <c r="J739" s="265" t="str">
        <f>IFERROR(__xludf.DUMMYFUNCTION("""COMPUTED_VALUE"""),"API")</f>
        <v>API</v>
      </c>
    </row>
    <row r="740">
      <c r="A740" s="265" t="str">
        <f>IFERROR(__xludf.DUMMYFUNCTION("""COMPUTED_VALUE"""),"962")</f>
        <v>962</v>
      </c>
      <c r="B740" s="265" t="str">
        <f>IFERROR(__xludf.DUMMYFUNCTION("""COMPUTED_VALUE"""),"Hà Nội")</f>
        <v>Hà Nội</v>
      </c>
      <c r="C740" s="265" t="str">
        <f>IFERROR(__xludf.DUMMYFUNCTION("""COMPUTED_VALUE"""),"Active")</f>
        <v>Active</v>
      </c>
      <c r="D740" s="265" t="str">
        <f>IFERROR(__xludf.DUMMYFUNCTION("""COMPUTED_VALUE"""),"Viễn thông")</f>
        <v>Viễn thông</v>
      </c>
      <c r="E740" s="265" t="str">
        <f>IFERROR(__xludf.DUMMYFUNCTION("""COMPUTED_VALUE"""),"AnhNM")</f>
        <v>AnhNM</v>
      </c>
      <c r="F740" s="265" t="str">
        <f>IFERROR(__xludf.DUMMYFUNCTION("""COMPUTED_VALUE"""),"Bronze")</f>
        <v>Bronze</v>
      </c>
      <c r="G740" s="265" t="str">
        <f>IFERROR(__xludf.DUMMYFUNCTION("""COMPUTED_VALUE"""),"Starter")</f>
        <v>Starter</v>
      </c>
      <c r="H740" s="265" t="str">
        <f>IFERROR(__xludf.DUMMYFUNCTION("""COMPUTED_VALUE"""),"Trả sau")</f>
        <v>Trả sau</v>
      </c>
      <c r="I740" s="265" t="str">
        <f>IFERROR(__xludf.DUMMYFUNCTION("""COMPUTED_VALUE"""),"API")</f>
        <v>API</v>
      </c>
      <c r="J740" s="265" t="str">
        <f>IFERROR(__xludf.DUMMYFUNCTION("""COMPUTED_VALUE"""),"API")</f>
        <v>API</v>
      </c>
    </row>
    <row r="741">
      <c r="A741" s="265" t="str">
        <f>IFERROR(__xludf.DUMMYFUNCTION("""COMPUTED_VALUE"""),"963")</f>
        <v>963</v>
      </c>
      <c r="B741" s="265" t="str">
        <f>IFERROR(__xludf.DUMMYFUNCTION("""COMPUTED_VALUE"""),"Hà Nội")</f>
        <v>Hà Nội</v>
      </c>
      <c r="C741" s="265" t="str">
        <f>IFERROR(__xludf.DUMMYFUNCTION("""COMPUTED_VALUE"""),"Locked")</f>
        <v>Locked</v>
      </c>
      <c r="D741" s="265" t="str">
        <f>IFERROR(__xludf.DUMMYFUNCTION("""COMPUTED_VALUE"""),"Thực phẩm &amp; Đồ uống")</f>
        <v>Thực phẩm &amp; Đồ uống</v>
      </c>
      <c r="E741" s="265" t="str">
        <f>IFERROR(__xludf.DUMMYFUNCTION("""COMPUTED_VALUE"""),"TúPHN")</f>
        <v>TúPHN</v>
      </c>
      <c r="F741" s="265" t="str">
        <f>IFERROR(__xludf.DUMMYFUNCTION("""COMPUTED_VALUE"""),"Bronze")</f>
        <v>Bronze</v>
      </c>
      <c r="G741" s="265" t="str">
        <f>IFERROR(__xludf.DUMMYFUNCTION("""COMPUTED_VALUE"""),"Premium")</f>
        <v>Premium</v>
      </c>
      <c r="H741" s="265" t="str">
        <f>IFERROR(__xludf.DUMMYFUNCTION("""COMPUTED_VALUE"""),"Trial")</f>
        <v>Trial</v>
      </c>
      <c r="I741" s="265" t="str">
        <f>IFERROR(__xludf.DUMMYFUNCTION("""COMPUTED_VALUE"""),"API &amp; Portal")</f>
        <v>API &amp; Portal</v>
      </c>
      <c r="J741" s="265" t="str">
        <f>IFERROR(__xludf.DUMMYFUNCTION("""COMPUTED_VALUE"""),"File Excel")</f>
        <v>File Excel</v>
      </c>
    </row>
    <row r="742">
      <c r="A742" s="265" t="str">
        <f>IFERROR(__xludf.DUMMYFUNCTION("""COMPUTED_VALUE"""),"963")</f>
        <v>963</v>
      </c>
      <c r="B742" s="265" t="str">
        <f>IFERROR(__xludf.DUMMYFUNCTION("""COMPUTED_VALUE"""),"Hà Nội")</f>
        <v>Hà Nội</v>
      </c>
      <c r="C742" s="265" t="str">
        <f>IFERROR(__xludf.DUMMYFUNCTION("""COMPUTED_VALUE"""),"Locked")</f>
        <v>Locked</v>
      </c>
      <c r="D742" s="265" t="str">
        <f>IFERROR(__xludf.DUMMYFUNCTION("""COMPUTED_VALUE"""),"Thực phẩm &amp; Đồ uống")</f>
        <v>Thực phẩm &amp; Đồ uống</v>
      </c>
      <c r="E742" s="265" t="str">
        <f>IFERROR(__xludf.DUMMYFUNCTION("""COMPUTED_VALUE"""),"TúPHN")</f>
        <v>TúPHN</v>
      </c>
      <c r="F742" s="265" t="str">
        <f>IFERROR(__xludf.DUMMYFUNCTION("""COMPUTED_VALUE"""),"Bronze")</f>
        <v>Bronze</v>
      </c>
      <c r="G742" s="265" t="str">
        <f>IFERROR(__xludf.DUMMYFUNCTION("""COMPUTED_VALUE"""),"Premium")</f>
        <v>Premium</v>
      </c>
      <c r="H742" s="265" t="str">
        <f>IFERROR(__xludf.DUMMYFUNCTION("""COMPUTED_VALUE"""),"Trial")</f>
        <v>Trial</v>
      </c>
      <c r="I742" s="265" t="str">
        <f>IFERROR(__xludf.DUMMYFUNCTION("""COMPUTED_VALUE"""),"API &amp; Portal")</f>
        <v>API &amp; Portal</v>
      </c>
      <c r="J742" s="265" t="str">
        <f>IFERROR(__xludf.DUMMYFUNCTION("""COMPUTED_VALUE"""),"API")</f>
        <v>API</v>
      </c>
    </row>
    <row r="743">
      <c r="A743" s="265" t="str">
        <f>IFERROR(__xludf.DUMMYFUNCTION("""COMPUTED_VALUE"""),"965")</f>
        <v>965</v>
      </c>
      <c r="B743" s="265" t="str">
        <f>IFERROR(__xludf.DUMMYFUNCTION("""COMPUTED_VALUE"""),"Hà Nội")</f>
        <v>Hà Nội</v>
      </c>
      <c r="C743" s="265" t="str">
        <f>IFERROR(__xludf.DUMMYFUNCTION("""COMPUTED_VALUE"""),"Active")</f>
        <v>Active</v>
      </c>
      <c r="D743" s="265" t="str">
        <f>IFERROR(__xludf.DUMMYFUNCTION("""COMPUTED_VALUE"""),"Tài chính &amp; Ngân hàng")</f>
        <v>Tài chính &amp; Ngân hàng</v>
      </c>
      <c r="E743" s="265" t="str">
        <f>IFERROR(__xludf.DUMMYFUNCTION("""COMPUTED_VALUE"""),"TùngLD")</f>
        <v>TùngLD</v>
      </c>
      <c r="F743" s="265" t="str">
        <f>IFERROR(__xludf.DUMMYFUNCTION("""COMPUTED_VALUE"""),"Diamond")</f>
        <v>Diamond</v>
      </c>
      <c r="G743" s="265" t="str">
        <f>IFERROR(__xludf.DUMMYFUNCTION("""COMPUTED_VALUE"""),"Premium")</f>
        <v>Premium</v>
      </c>
      <c r="H743" s="265" t="str">
        <f>IFERROR(__xludf.DUMMYFUNCTION("""COMPUTED_VALUE"""),"Trả sau")</f>
        <v>Trả sau</v>
      </c>
      <c r="I743" s="265" t="str">
        <f>IFERROR(__xludf.DUMMYFUNCTION("""COMPUTED_VALUE"""),"API &amp; Portal")</f>
        <v>API &amp; Portal</v>
      </c>
      <c r="J743" s="265" t="str">
        <f>IFERROR(__xludf.DUMMYFUNCTION("""COMPUTED_VALUE"""),"API")</f>
        <v>API</v>
      </c>
    </row>
    <row r="744">
      <c r="A744" s="265" t="str">
        <f>IFERROR(__xludf.DUMMYFUNCTION("""COMPUTED_VALUE"""),"966")</f>
        <v>966</v>
      </c>
      <c r="B744" s="265" t="str">
        <f>IFERROR(__xludf.DUMMYFUNCTION("""COMPUTED_VALUE"""),"Sài Gòn")</f>
        <v>Sài Gòn</v>
      </c>
      <c r="C744" s="265" t="str">
        <f>IFERROR(__xludf.DUMMYFUNCTION("""COMPUTED_VALUE"""),"Active")</f>
        <v>Active</v>
      </c>
      <c r="D744" s="265" t="str">
        <f>IFERROR(__xludf.DUMMYFUNCTION("""COMPUTED_VALUE"""),"Vận tải &amp; logistics")</f>
        <v>Vận tải &amp; logistics</v>
      </c>
      <c r="E744" s="265" t="str">
        <f>IFERROR(__xludf.DUMMYFUNCTION("""COMPUTED_VALUE"""),"Không phân công")</f>
        <v>Không phân công</v>
      </c>
      <c r="F744" s="265" t="str">
        <f>IFERROR(__xludf.DUMMYFUNCTION("""COMPUTED_VALUE"""),"Gold")</f>
        <v>Gold</v>
      </c>
      <c r="G744" s="265" t="str">
        <f>IFERROR(__xludf.DUMMYFUNCTION("""COMPUTED_VALUE"""),"Starter")</f>
        <v>Starter</v>
      </c>
      <c r="H744" s="265" t="str">
        <f>IFERROR(__xludf.DUMMYFUNCTION("""COMPUTED_VALUE"""),"Trả sau")</f>
        <v>Trả sau</v>
      </c>
      <c r="I744" s="265" t="str">
        <f>IFERROR(__xludf.DUMMYFUNCTION("""COMPUTED_VALUE"""),"API")</f>
        <v>API</v>
      </c>
      <c r="J744" s="265" t="str">
        <f>IFERROR(__xludf.DUMMYFUNCTION("""COMPUTED_VALUE"""),"API")</f>
        <v>API</v>
      </c>
    </row>
    <row r="745">
      <c r="A745" s="265" t="str">
        <f>IFERROR(__xludf.DUMMYFUNCTION("""COMPUTED_VALUE"""),"970")</f>
        <v>970</v>
      </c>
      <c r="B745" s="265" t="str">
        <f>IFERROR(__xludf.DUMMYFUNCTION("""COMPUTED_VALUE"""),"Hà Nội")</f>
        <v>Hà Nội</v>
      </c>
      <c r="C745" s="265" t="str">
        <f>IFERROR(__xludf.DUMMYFUNCTION("""COMPUTED_VALUE"""),"Active")</f>
        <v>Active</v>
      </c>
      <c r="D745" s="265" t="str">
        <f>IFERROR(__xludf.DUMMYFUNCTION("""COMPUTED_VALUE"""),"Bất động sản")</f>
        <v>Bất động sản</v>
      </c>
      <c r="E745" s="265" t="str">
        <f>IFERROR(__xludf.DUMMYFUNCTION("""COMPUTED_VALUE"""),"TùngLD")</f>
        <v>TùngLD</v>
      </c>
      <c r="F745" s="265" t="str">
        <f>IFERROR(__xludf.DUMMYFUNCTION("""COMPUTED_VALUE"""),"Gold")</f>
        <v>Gold</v>
      </c>
      <c r="G745" s="265" t="str">
        <f>IFERROR(__xludf.DUMMYFUNCTION("""COMPUTED_VALUE"""),"Starter")</f>
        <v>Starter</v>
      </c>
      <c r="H745" s="265" t="str">
        <f>IFERROR(__xludf.DUMMYFUNCTION("""COMPUTED_VALUE"""),"Trả sau")</f>
        <v>Trả sau</v>
      </c>
      <c r="I745" s="265" t="str">
        <f>IFERROR(__xludf.DUMMYFUNCTION("""COMPUTED_VALUE"""),"API &amp; Portal")</f>
        <v>API &amp; Portal</v>
      </c>
      <c r="J745" s="265" t="str">
        <f>IFERROR(__xludf.DUMMYFUNCTION("""COMPUTED_VALUE"""),"File Excel")</f>
        <v>File Excel</v>
      </c>
    </row>
    <row r="746">
      <c r="A746" s="265" t="str">
        <f>IFERROR(__xludf.DUMMYFUNCTION("""COMPUTED_VALUE"""),"970")</f>
        <v>970</v>
      </c>
      <c r="B746" s="265" t="str">
        <f>IFERROR(__xludf.DUMMYFUNCTION("""COMPUTED_VALUE"""),"Hà Nội")</f>
        <v>Hà Nội</v>
      </c>
      <c r="C746" s="265" t="str">
        <f>IFERROR(__xludf.DUMMYFUNCTION("""COMPUTED_VALUE"""),"Active")</f>
        <v>Active</v>
      </c>
      <c r="D746" s="265" t="str">
        <f>IFERROR(__xludf.DUMMYFUNCTION("""COMPUTED_VALUE"""),"Bất động sản")</f>
        <v>Bất động sản</v>
      </c>
      <c r="E746" s="265" t="str">
        <f>IFERROR(__xludf.DUMMYFUNCTION("""COMPUTED_VALUE"""),"TùngLD")</f>
        <v>TùngLD</v>
      </c>
      <c r="F746" s="265" t="str">
        <f>IFERROR(__xludf.DUMMYFUNCTION("""COMPUTED_VALUE"""),"Gold")</f>
        <v>Gold</v>
      </c>
      <c r="G746" s="265" t="str">
        <f>IFERROR(__xludf.DUMMYFUNCTION("""COMPUTED_VALUE"""),"Starter")</f>
        <v>Starter</v>
      </c>
      <c r="H746" s="265" t="str">
        <f>IFERROR(__xludf.DUMMYFUNCTION("""COMPUTED_VALUE"""),"Trả sau")</f>
        <v>Trả sau</v>
      </c>
      <c r="I746" s="265" t="str">
        <f>IFERROR(__xludf.DUMMYFUNCTION("""COMPUTED_VALUE"""),"API &amp; Portal")</f>
        <v>API &amp; Portal</v>
      </c>
      <c r="J746" s="265" t="str">
        <f>IFERROR(__xludf.DUMMYFUNCTION("""COMPUTED_VALUE"""),"API")</f>
        <v>API</v>
      </c>
    </row>
    <row r="747">
      <c r="A747" s="265" t="str">
        <f>IFERROR(__xludf.DUMMYFUNCTION("""COMPUTED_VALUE"""),"969")</f>
        <v>969</v>
      </c>
      <c r="B747" s="265" t="str">
        <f>IFERROR(__xludf.DUMMYFUNCTION("""COMPUTED_VALUE"""),"Hà Nội")</f>
        <v>Hà Nội</v>
      </c>
      <c r="C747" s="265" t="str">
        <f>IFERROR(__xludf.DUMMYFUNCTION("""COMPUTED_VALUE"""),"Active")</f>
        <v>Active</v>
      </c>
      <c r="D747" s="265" t="str">
        <f>IFERROR(__xludf.DUMMYFUNCTION("""COMPUTED_VALUE"""),"Mua sắm &amp; Bán lẻ")</f>
        <v>Mua sắm &amp; Bán lẻ</v>
      </c>
      <c r="E747" s="265" t="str">
        <f>IFERROR(__xludf.DUMMYFUNCTION("""COMPUTED_VALUE"""),"TúPHN")</f>
        <v>TúPHN</v>
      </c>
      <c r="F747" s="265" t="str">
        <f>IFERROR(__xludf.DUMMYFUNCTION("""COMPUTED_VALUE"""),"Bronze")</f>
        <v>Bronze</v>
      </c>
      <c r="G747" s="265" t="str">
        <f>IFERROR(__xludf.DUMMYFUNCTION("""COMPUTED_VALUE"""),"Starter")</f>
        <v>Starter</v>
      </c>
      <c r="H747" s="265" t="str">
        <f>IFERROR(__xludf.DUMMYFUNCTION("""COMPUTED_VALUE"""),"Trả sau")</f>
        <v>Trả sau</v>
      </c>
      <c r="I747" s="265" t="str">
        <f>IFERROR(__xludf.DUMMYFUNCTION("""COMPUTED_VALUE"""),"API &amp; Portal")</f>
        <v>API &amp; Portal</v>
      </c>
      <c r="J747" s="265" t="str">
        <f>IFERROR(__xludf.DUMMYFUNCTION("""COMPUTED_VALUE"""),"File Excel")</f>
        <v>File Excel</v>
      </c>
    </row>
    <row r="748">
      <c r="A748" s="265" t="str">
        <f>IFERROR(__xludf.DUMMYFUNCTION("""COMPUTED_VALUE"""),"969")</f>
        <v>969</v>
      </c>
      <c r="B748" s="265" t="str">
        <f>IFERROR(__xludf.DUMMYFUNCTION("""COMPUTED_VALUE"""),"Hà Nội")</f>
        <v>Hà Nội</v>
      </c>
      <c r="C748" s="265" t="str">
        <f>IFERROR(__xludf.DUMMYFUNCTION("""COMPUTED_VALUE"""),"Active")</f>
        <v>Active</v>
      </c>
      <c r="D748" s="265" t="str">
        <f>IFERROR(__xludf.DUMMYFUNCTION("""COMPUTED_VALUE"""),"Mua sắm &amp; Bán lẻ")</f>
        <v>Mua sắm &amp; Bán lẻ</v>
      </c>
      <c r="E748" s="265" t="str">
        <f>IFERROR(__xludf.DUMMYFUNCTION("""COMPUTED_VALUE"""),"TúPHN")</f>
        <v>TúPHN</v>
      </c>
      <c r="F748" s="265" t="str">
        <f>IFERROR(__xludf.DUMMYFUNCTION("""COMPUTED_VALUE"""),"Bronze")</f>
        <v>Bronze</v>
      </c>
      <c r="G748" s="265" t="str">
        <f>IFERROR(__xludf.DUMMYFUNCTION("""COMPUTED_VALUE"""),"Starter")</f>
        <v>Starter</v>
      </c>
      <c r="H748" s="265" t="str">
        <f>IFERROR(__xludf.DUMMYFUNCTION("""COMPUTED_VALUE"""),"Trả sau")</f>
        <v>Trả sau</v>
      </c>
      <c r="I748" s="265" t="str">
        <f>IFERROR(__xludf.DUMMYFUNCTION("""COMPUTED_VALUE"""),"API &amp; Portal")</f>
        <v>API &amp; Portal</v>
      </c>
      <c r="J748" s="265" t="str">
        <f>IFERROR(__xludf.DUMMYFUNCTION("""COMPUTED_VALUE"""),"API")</f>
        <v>API</v>
      </c>
    </row>
    <row r="749">
      <c r="A749" s="265" t="str">
        <f>IFERROR(__xludf.DUMMYFUNCTION("""COMPUTED_VALUE"""),"971")</f>
        <v>971</v>
      </c>
      <c r="B749" s="265" t="str">
        <f>IFERROR(__xludf.DUMMYFUNCTION("""COMPUTED_VALUE"""),"Sài Gòn")</f>
        <v>Sài Gòn</v>
      </c>
      <c r="C749" s="265" t="str">
        <f>IFERROR(__xludf.DUMMYFUNCTION("""COMPUTED_VALUE"""),"Locked")</f>
        <v>Locked</v>
      </c>
      <c r="D749" s="265" t="str">
        <f>IFERROR(__xludf.DUMMYFUNCTION("""COMPUTED_VALUE"""),"Dịch vụ khác")</f>
        <v>Dịch vụ khác</v>
      </c>
      <c r="E749" s="265" t="str">
        <f>IFERROR(__xludf.DUMMYFUNCTION("""COMPUTED_VALUE"""),"AnhNM")</f>
        <v>AnhNM</v>
      </c>
      <c r="F749" s="265" t="str">
        <f>IFERROR(__xludf.DUMMYFUNCTION("""COMPUTED_VALUE"""),"Gold")</f>
        <v>Gold</v>
      </c>
      <c r="G749" s="265" t="str">
        <f>IFERROR(__xludf.DUMMYFUNCTION("""COMPUTED_VALUE"""),"Standard")</f>
        <v>Standard</v>
      </c>
      <c r="H749" s="265" t="str">
        <f>IFERROR(__xludf.DUMMYFUNCTION("""COMPUTED_VALUE"""),"Trial")</f>
        <v>Trial</v>
      </c>
      <c r="I749" s="265" t="str">
        <f>IFERROR(__xludf.DUMMYFUNCTION("""COMPUTED_VALUE"""),"API &amp; Portal")</f>
        <v>API &amp; Portal</v>
      </c>
      <c r="J749" s="265" t="str">
        <f>IFERROR(__xludf.DUMMYFUNCTION("""COMPUTED_VALUE"""),"File Excel")</f>
        <v>File Excel</v>
      </c>
    </row>
    <row r="750">
      <c r="A750" s="265" t="str">
        <f>IFERROR(__xludf.DUMMYFUNCTION("""COMPUTED_VALUE"""),"971")</f>
        <v>971</v>
      </c>
      <c r="B750" s="265" t="str">
        <f>IFERROR(__xludf.DUMMYFUNCTION("""COMPUTED_VALUE"""),"Sài Gòn")</f>
        <v>Sài Gòn</v>
      </c>
      <c r="C750" s="265" t="str">
        <f>IFERROR(__xludf.DUMMYFUNCTION("""COMPUTED_VALUE"""),"Locked")</f>
        <v>Locked</v>
      </c>
      <c r="D750" s="265" t="str">
        <f>IFERROR(__xludf.DUMMYFUNCTION("""COMPUTED_VALUE"""),"Dịch vụ khác")</f>
        <v>Dịch vụ khác</v>
      </c>
      <c r="E750" s="265" t="str">
        <f>IFERROR(__xludf.DUMMYFUNCTION("""COMPUTED_VALUE"""),"AnhNM")</f>
        <v>AnhNM</v>
      </c>
      <c r="F750" s="265" t="str">
        <f>IFERROR(__xludf.DUMMYFUNCTION("""COMPUTED_VALUE"""),"Gold")</f>
        <v>Gold</v>
      </c>
      <c r="G750" s="265" t="str">
        <f>IFERROR(__xludf.DUMMYFUNCTION("""COMPUTED_VALUE"""),"Standard")</f>
        <v>Standard</v>
      </c>
      <c r="H750" s="265" t="str">
        <f>IFERROR(__xludf.DUMMYFUNCTION("""COMPUTED_VALUE"""),"Trial")</f>
        <v>Trial</v>
      </c>
      <c r="I750" s="265" t="str">
        <f>IFERROR(__xludf.DUMMYFUNCTION("""COMPUTED_VALUE"""),"API &amp; Portal")</f>
        <v>API &amp; Portal</v>
      </c>
      <c r="J750" s="265" t="str">
        <f>IFERROR(__xludf.DUMMYFUNCTION("""COMPUTED_VALUE"""),"API")</f>
        <v>API</v>
      </c>
    </row>
    <row r="751">
      <c r="A751" s="265" t="str">
        <f>IFERROR(__xludf.DUMMYFUNCTION("""COMPUTED_VALUE"""),"972")</f>
        <v>972</v>
      </c>
      <c r="B751" s="265" t="str">
        <f>IFERROR(__xludf.DUMMYFUNCTION("""COMPUTED_VALUE"""),"Sài Gòn")</f>
        <v>Sài Gòn</v>
      </c>
      <c r="C751" s="265" t="str">
        <f>IFERROR(__xludf.DUMMYFUNCTION("""COMPUTED_VALUE"""),"Locked")</f>
        <v>Locked</v>
      </c>
      <c r="D751" s="265" t="str">
        <f>IFERROR(__xludf.DUMMYFUNCTION("""COMPUTED_VALUE"""),"Mua sắm &amp; Bán lẻ")</f>
        <v>Mua sắm &amp; Bán lẻ</v>
      </c>
      <c r="E751" s="265" t="str">
        <f>IFERROR(__xludf.DUMMYFUNCTION("""COMPUTED_VALUE"""),"AnhNM")</f>
        <v>AnhNM</v>
      </c>
      <c r="F751" s="265" t="str">
        <f>IFERROR(__xludf.DUMMYFUNCTION("""COMPUTED_VALUE"""),"Bronze")</f>
        <v>Bronze</v>
      </c>
      <c r="G751" s="265" t="str">
        <f>IFERROR(__xludf.DUMMYFUNCTION("""COMPUTED_VALUE"""),"Starter")</f>
        <v>Starter</v>
      </c>
      <c r="H751" s="265" t="str">
        <f>IFERROR(__xludf.DUMMYFUNCTION("""COMPUTED_VALUE"""),"Trial")</f>
        <v>Trial</v>
      </c>
      <c r="I751" s="265" t="str">
        <f>IFERROR(__xludf.DUMMYFUNCTION("""COMPUTED_VALUE"""),"API")</f>
        <v>API</v>
      </c>
      <c r="J751" s="265" t="str">
        <f>IFERROR(__xludf.DUMMYFUNCTION("""COMPUTED_VALUE"""),"API")</f>
        <v>API</v>
      </c>
    </row>
    <row r="752">
      <c r="A752" s="265" t="str">
        <f>IFERROR(__xludf.DUMMYFUNCTION("""COMPUTED_VALUE"""),"973")</f>
        <v>973</v>
      </c>
      <c r="B752" s="265" t="str">
        <f>IFERROR(__xludf.DUMMYFUNCTION("""COMPUTED_VALUE"""),"Hà Nội")</f>
        <v>Hà Nội</v>
      </c>
      <c r="C752" s="265" t="str">
        <f>IFERROR(__xludf.DUMMYFUNCTION("""COMPUTED_VALUE"""),"Locked")</f>
        <v>Locked</v>
      </c>
      <c r="D752" s="265" t="str">
        <f>IFERROR(__xludf.DUMMYFUNCTION("""COMPUTED_VALUE"""),"Vận tải &amp; logistics")</f>
        <v>Vận tải &amp; logistics</v>
      </c>
      <c r="E752" s="265" t="str">
        <f>IFERROR(__xludf.DUMMYFUNCTION("""COMPUTED_VALUE"""),"Không phân công")</f>
        <v>Không phân công</v>
      </c>
      <c r="F752" s="265" t="str">
        <f>IFERROR(__xludf.DUMMYFUNCTION("""COMPUTED_VALUE"""),"Silver")</f>
        <v>Silver</v>
      </c>
      <c r="G752" s="265" t="str">
        <f>IFERROR(__xludf.DUMMYFUNCTION("""COMPUTED_VALUE"""),"Starter")</f>
        <v>Starter</v>
      </c>
      <c r="H752" s="265" t="str">
        <f>IFERROR(__xludf.DUMMYFUNCTION("""COMPUTED_VALUE"""),"Trả sau")</f>
        <v>Trả sau</v>
      </c>
      <c r="I752" s="265" t="str">
        <f>IFERROR(__xludf.DUMMYFUNCTION("""COMPUTED_VALUE"""),"API")</f>
        <v>API</v>
      </c>
      <c r="J752" s="265" t="str">
        <f>IFERROR(__xludf.DUMMYFUNCTION("""COMPUTED_VALUE"""),"API")</f>
        <v>API</v>
      </c>
    </row>
    <row r="753">
      <c r="A753" s="265" t="str">
        <f>IFERROR(__xludf.DUMMYFUNCTION("""COMPUTED_VALUE"""),"974")</f>
        <v>974</v>
      </c>
      <c r="B753" s="265" t="str">
        <f>IFERROR(__xludf.DUMMYFUNCTION("""COMPUTED_VALUE"""),"Đà Nẵng")</f>
        <v>Đà Nẵng</v>
      </c>
      <c r="C753" s="265" t="str">
        <f>IFERROR(__xludf.DUMMYFUNCTION("""COMPUTED_VALUE"""),"Active")</f>
        <v>Active</v>
      </c>
      <c r="D753" s="265" t="str">
        <f>IFERROR(__xludf.DUMMYFUNCTION("""COMPUTED_VALUE"""),"Sale chưa cung cấp")</f>
        <v>Sale chưa cung cấp</v>
      </c>
      <c r="E753" s="265" t="str">
        <f>IFERROR(__xludf.DUMMYFUNCTION("""COMPUTED_VALUE"""),"Không phân công")</f>
        <v>Không phân công</v>
      </c>
      <c r="F753" s="265" t="str">
        <f>IFERROR(__xludf.DUMMYFUNCTION("""COMPUTED_VALUE"""),"Silver")</f>
        <v>Silver</v>
      </c>
      <c r="G753" s="265" t="str">
        <f>IFERROR(__xludf.DUMMYFUNCTION("""COMPUTED_VALUE"""),"Starter")</f>
        <v>Starter</v>
      </c>
      <c r="H753" s="265" t="str">
        <f>IFERROR(__xludf.DUMMYFUNCTION("""COMPUTED_VALUE"""),"Trả sau")</f>
        <v>Trả sau</v>
      </c>
      <c r="I753" s="265" t="str">
        <f>IFERROR(__xludf.DUMMYFUNCTION("""COMPUTED_VALUE"""),"API")</f>
        <v>API</v>
      </c>
      <c r="J753" s="265" t="str">
        <f>IFERROR(__xludf.DUMMYFUNCTION("""COMPUTED_VALUE"""),"API")</f>
        <v>API</v>
      </c>
    </row>
    <row r="754">
      <c r="A754" s="265" t="str">
        <f>IFERROR(__xludf.DUMMYFUNCTION("""COMPUTED_VALUE"""),"975")</f>
        <v>975</v>
      </c>
      <c r="B754" s="265" t="str">
        <f>IFERROR(__xludf.DUMMYFUNCTION("""COMPUTED_VALUE"""),"Hà Nội")</f>
        <v>Hà Nội</v>
      </c>
      <c r="C754" s="265" t="str">
        <f>IFERROR(__xludf.DUMMYFUNCTION("""COMPUTED_VALUE"""),"Active")</f>
        <v>Active</v>
      </c>
      <c r="D754" s="265" t="str">
        <f>IFERROR(__xludf.DUMMYFUNCTION("""COMPUTED_VALUE"""),"Tài chính &amp; Ngân hàng")</f>
        <v>Tài chính &amp; Ngân hàng</v>
      </c>
      <c r="E754" s="265" t="str">
        <f>IFERROR(__xludf.DUMMYFUNCTION("""COMPUTED_VALUE"""),"TúPHN")</f>
        <v>TúPHN</v>
      </c>
      <c r="F754" s="265" t="str">
        <f>IFERROR(__xludf.DUMMYFUNCTION("""COMPUTED_VALUE"""),"Bronze")</f>
        <v>Bronze</v>
      </c>
      <c r="G754" s="265" t="str">
        <f>IFERROR(__xludf.DUMMYFUNCTION("""COMPUTED_VALUE"""),"Starter")</f>
        <v>Starter</v>
      </c>
      <c r="H754" s="265" t="str">
        <f>IFERROR(__xludf.DUMMYFUNCTION("""COMPUTED_VALUE"""),"Trả sau")</f>
        <v>Trả sau</v>
      </c>
      <c r="I754" s="265" t="str">
        <f>IFERROR(__xludf.DUMMYFUNCTION("""COMPUTED_VALUE"""),"API")</f>
        <v>API</v>
      </c>
      <c r="J754" s="265" t="str">
        <f>IFERROR(__xludf.DUMMYFUNCTION("""COMPUTED_VALUE"""),"API")</f>
        <v>API</v>
      </c>
    </row>
    <row r="755">
      <c r="A755" s="265" t="str">
        <f>IFERROR(__xludf.DUMMYFUNCTION("""COMPUTED_VALUE"""),"976")</f>
        <v>976</v>
      </c>
      <c r="B755" s="265" t="str">
        <f>IFERROR(__xludf.DUMMYFUNCTION("""COMPUTED_VALUE"""),"Hà Nội")</f>
        <v>Hà Nội</v>
      </c>
      <c r="C755" s="265" t="str">
        <f>IFERROR(__xludf.DUMMYFUNCTION("""COMPUTED_VALUE"""),"Locked")</f>
        <v>Locked</v>
      </c>
      <c r="D755" s="265" t="str">
        <f>IFERROR(__xludf.DUMMYFUNCTION("""COMPUTED_VALUE"""),"Du lịch &amp; Lưu trú")</f>
        <v>Du lịch &amp; Lưu trú</v>
      </c>
      <c r="E755" s="265" t="str">
        <f>IFERROR(__xludf.DUMMYFUNCTION("""COMPUTED_VALUE"""),"AnhNM")</f>
        <v>AnhNM</v>
      </c>
      <c r="F755" s="265" t="str">
        <f>IFERROR(__xludf.DUMMYFUNCTION("""COMPUTED_VALUE"""),"Silver")</f>
        <v>Silver</v>
      </c>
      <c r="G755" s="265" t="str">
        <f>IFERROR(__xludf.DUMMYFUNCTION("""COMPUTED_VALUE"""),"Premium")</f>
        <v>Premium</v>
      </c>
      <c r="H755" s="265" t="str">
        <f>IFERROR(__xludf.DUMMYFUNCTION("""COMPUTED_VALUE"""),"Trial")</f>
        <v>Trial</v>
      </c>
      <c r="I755" s="265" t="str">
        <f>IFERROR(__xludf.DUMMYFUNCTION("""COMPUTED_VALUE"""),"API &amp; Portal")</f>
        <v>API &amp; Portal</v>
      </c>
      <c r="J755" s="265" t="str">
        <f>IFERROR(__xludf.DUMMYFUNCTION("""COMPUTED_VALUE"""),"File Excel")</f>
        <v>File Excel</v>
      </c>
    </row>
    <row r="756">
      <c r="A756" s="265" t="str">
        <f>IFERROR(__xludf.DUMMYFUNCTION("""COMPUTED_VALUE"""),"976")</f>
        <v>976</v>
      </c>
      <c r="B756" s="265" t="str">
        <f>IFERROR(__xludf.DUMMYFUNCTION("""COMPUTED_VALUE"""),"Hà Nội")</f>
        <v>Hà Nội</v>
      </c>
      <c r="C756" s="265" t="str">
        <f>IFERROR(__xludf.DUMMYFUNCTION("""COMPUTED_VALUE"""),"Locked")</f>
        <v>Locked</v>
      </c>
      <c r="D756" s="265" t="str">
        <f>IFERROR(__xludf.DUMMYFUNCTION("""COMPUTED_VALUE"""),"Du lịch &amp; Lưu trú")</f>
        <v>Du lịch &amp; Lưu trú</v>
      </c>
      <c r="E756" s="265" t="str">
        <f>IFERROR(__xludf.DUMMYFUNCTION("""COMPUTED_VALUE"""),"AnhNM")</f>
        <v>AnhNM</v>
      </c>
      <c r="F756" s="265" t="str">
        <f>IFERROR(__xludf.DUMMYFUNCTION("""COMPUTED_VALUE"""),"Silver")</f>
        <v>Silver</v>
      </c>
      <c r="G756" s="265" t="str">
        <f>IFERROR(__xludf.DUMMYFUNCTION("""COMPUTED_VALUE"""),"Premium")</f>
        <v>Premium</v>
      </c>
      <c r="H756" s="265" t="str">
        <f>IFERROR(__xludf.DUMMYFUNCTION("""COMPUTED_VALUE"""),"Trial")</f>
        <v>Trial</v>
      </c>
      <c r="I756" s="265" t="str">
        <f>IFERROR(__xludf.DUMMYFUNCTION("""COMPUTED_VALUE"""),"API &amp; Portal")</f>
        <v>API &amp; Portal</v>
      </c>
      <c r="J756" s="265" t="str">
        <f>IFERROR(__xludf.DUMMYFUNCTION("""COMPUTED_VALUE"""),"API")</f>
        <v>API</v>
      </c>
    </row>
    <row r="757">
      <c r="A757" s="265" t="str">
        <f>IFERROR(__xludf.DUMMYFUNCTION("""COMPUTED_VALUE"""),"977")</f>
        <v>977</v>
      </c>
      <c r="B757" s="265" t="str">
        <f>IFERROR(__xludf.DUMMYFUNCTION("""COMPUTED_VALUE"""),"Sài Gòn")</f>
        <v>Sài Gòn</v>
      </c>
      <c r="C757" s="265" t="str">
        <f>IFERROR(__xludf.DUMMYFUNCTION("""COMPUTED_VALUE"""),"Active")</f>
        <v>Active</v>
      </c>
      <c r="D757" s="265" t="str">
        <f>IFERROR(__xludf.DUMMYFUNCTION("""COMPUTED_VALUE"""),"Thực phẩm &amp; Đồ uống")</f>
        <v>Thực phẩm &amp; Đồ uống</v>
      </c>
      <c r="E757" s="265" t="str">
        <f>IFERROR(__xludf.DUMMYFUNCTION("""COMPUTED_VALUE"""),"TrâmNNB")</f>
        <v>TrâmNNB</v>
      </c>
      <c r="F757" s="265" t="str">
        <f>IFERROR(__xludf.DUMMYFUNCTION("""COMPUTED_VALUE"""),"Sale chưa cung cấp")</f>
        <v>Sale chưa cung cấp</v>
      </c>
      <c r="G757" s="265" t="str">
        <f>IFERROR(__xludf.DUMMYFUNCTION("""COMPUTED_VALUE"""),"Starter")</f>
        <v>Starter</v>
      </c>
      <c r="H757" s="265" t="str">
        <f>IFERROR(__xludf.DUMMYFUNCTION("""COMPUTED_VALUE"""),"Trả sau")</f>
        <v>Trả sau</v>
      </c>
      <c r="I757" s="265" t="str">
        <f>IFERROR(__xludf.DUMMYFUNCTION("""COMPUTED_VALUE"""),"Portal")</f>
        <v>Portal</v>
      </c>
      <c r="J757" s="265" t="str">
        <f>IFERROR(__xludf.DUMMYFUNCTION("""COMPUTED_VALUE"""),"File Excel")</f>
        <v>File Excel</v>
      </c>
    </row>
    <row r="758">
      <c r="A758" s="265" t="str">
        <f>IFERROR(__xludf.DUMMYFUNCTION("""COMPUTED_VALUE"""),"977")</f>
        <v>977</v>
      </c>
      <c r="B758" s="265" t="str">
        <f>IFERROR(__xludf.DUMMYFUNCTION("""COMPUTED_VALUE"""),"Sài Gòn")</f>
        <v>Sài Gòn</v>
      </c>
      <c r="C758" s="265" t="str">
        <f>IFERROR(__xludf.DUMMYFUNCTION("""COMPUTED_VALUE"""),"Active")</f>
        <v>Active</v>
      </c>
      <c r="D758" s="265" t="str">
        <f>IFERROR(__xludf.DUMMYFUNCTION("""COMPUTED_VALUE"""),"Thực phẩm &amp; Đồ uống")</f>
        <v>Thực phẩm &amp; Đồ uống</v>
      </c>
      <c r="E758" s="265" t="str">
        <f>IFERROR(__xludf.DUMMYFUNCTION("""COMPUTED_VALUE"""),"TrâmNNB")</f>
        <v>TrâmNNB</v>
      </c>
      <c r="F758" s="265" t="str">
        <f>IFERROR(__xludf.DUMMYFUNCTION("""COMPUTED_VALUE"""),"Sale chưa cung cấp")</f>
        <v>Sale chưa cung cấp</v>
      </c>
      <c r="G758" s="265" t="str">
        <f>IFERROR(__xludf.DUMMYFUNCTION("""COMPUTED_VALUE"""),"Starter")</f>
        <v>Starter</v>
      </c>
      <c r="H758" s="265" t="str">
        <f>IFERROR(__xludf.DUMMYFUNCTION("""COMPUTED_VALUE"""),"Trả sau")</f>
        <v>Trả sau</v>
      </c>
      <c r="I758" s="265" t="str">
        <f>IFERROR(__xludf.DUMMYFUNCTION("""COMPUTED_VALUE"""),"Portal")</f>
        <v>Portal</v>
      </c>
      <c r="J758" s="265" t="str">
        <f>IFERROR(__xludf.DUMMYFUNCTION("""COMPUTED_VALUE"""),"API")</f>
        <v>API</v>
      </c>
    </row>
    <row r="759">
      <c r="A759" s="265" t="str">
        <f>IFERROR(__xludf.DUMMYFUNCTION("""COMPUTED_VALUE"""),"978")</f>
        <v>978</v>
      </c>
      <c r="B759" s="265" t="str">
        <f>IFERROR(__xludf.DUMMYFUNCTION("""COMPUTED_VALUE"""),"Hà Nội")</f>
        <v>Hà Nội</v>
      </c>
      <c r="C759" s="265" t="str">
        <f>IFERROR(__xludf.DUMMYFUNCTION("""COMPUTED_VALUE"""),"Active")</f>
        <v>Active</v>
      </c>
      <c r="D759" s="265" t="str">
        <f>IFERROR(__xludf.DUMMYFUNCTION("""COMPUTED_VALUE"""),"Tài chính &amp; Ngân hàng")</f>
        <v>Tài chính &amp; Ngân hàng</v>
      </c>
      <c r="E759" s="265" t="str">
        <f>IFERROR(__xludf.DUMMYFUNCTION("""COMPUTED_VALUE"""),"TùngLD")</f>
        <v>TùngLD</v>
      </c>
      <c r="F759" s="265" t="str">
        <f>IFERROR(__xludf.DUMMYFUNCTION("""COMPUTED_VALUE"""),"Diamond")</f>
        <v>Diamond</v>
      </c>
      <c r="G759" s="265" t="str">
        <f>IFERROR(__xludf.DUMMYFUNCTION("""COMPUTED_VALUE"""),"Standard")</f>
        <v>Standard</v>
      </c>
      <c r="H759" s="265" t="str">
        <f>IFERROR(__xludf.DUMMYFUNCTION("""COMPUTED_VALUE"""),"Trả sau")</f>
        <v>Trả sau</v>
      </c>
      <c r="I759" s="265" t="str">
        <f>IFERROR(__xludf.DUMMYFUNCTION("""COMPUTED_VALUE"""),"API")</f>
        <v>API</v>
      </c>
      <c r="J759" s="265" t="str">
        <f>IFERROR(__xludf.DUMMYFUNCTION("""COMPUTED_VALUE"""),"API")</f>
        <v>API</v>
      </c>
    </row>
    <row r="760">
      <c r="A760" s="265" t="str">
        <f>IFERROR(__xludf.DUMMYFUNCTION("""COMPUTED_VALUE"""),"979")</f>
        <v>979</v>
      </c>
      <c r="B760" s="265" t="str">
        <f>IFERROR(__xludf.DUMMYFUNCTION("""COMPUTED_VALUE"""),"Sài Gòn")</f>
        <v>Sài Gòn</v>
      </c>
      <c r="C760" s="265" t="str">
        <f>IFERROR(__xludf.DUMMYFUNCTION("""COMPUTED_VALUE"""),"Active")</f>
        <v>Active</v>
      </c>
      <c r="D760" s="265" t="str">
        <f>IFERROR(__xludf.DUMMYFUNCTION("""COMPUTED_VALUE"""),"Thực phẩm &amp; Đồ uống")</f>
        <v>Thực phẩm &amp; Đồ uống</v>
      </c>
      <c r="E760" s="265" t="str">
        <f>IFERROR(__xludf.DUMMYFUNCTION("""COMPUTED_VALUE"""),"TrâmNNB")</f>
        <v>TrâmNNB</v>
      </c>
      <c r="F760" s="265" t="str">
        <f>IFERROR(__xludf.DUMMYFUNCTION("""COMPUTED_VALUE"""),"Diamond")</f>
        <v>Diamond</v>
      </c>
      <c r="G760" s="265" t="str">
        <f>IFERROR(__xludf.DUMMYFUNCTION("""COMPUTED_VALUE"""),"Enterprise")</f>
        <v>Enterprise</v>
      </c>
      <c r="H760" s="265" t="str">
        <f>IFERROR(__xludf.DUMMYFUNCTION("""COMPUTED_VALUE"""),"Trả trước")</f>
        <v>Trả trước</v>
      </c>
      <c r="I760" s="265" t="str">
        <f>IFERROR(__xludf.DUMMYFUNCTION("""COMPUTED_VALUE"""),"Portal")</f>
        <v>Portal</v>
      </c>
      <c r="J760" s="265" t="str">
        <f>IFERROR(__xludf.DUMMYFUNCTION("""COMPUTED_VALUE"""),"File Excel")</f>
        <v>File Excel</v>
      </c>
    </row>
    <row r="761">
      <c r="A761" s="265" t="str">
        <f>IFERROR(__xludf.DUMMYFUNCTION("""COMPUTED_VALUE"""),"959")</f>
        <v>959</v>
      </c>
      <c r="B761" s="265" t="str">
        <f>IFERROR(__xludf.DUMMYFUNCTION("""COMPUTED_VALUE"""),"Sài Gòn")</f>
        <v>Sài Gòn</v>
      </c>
      <c r="C761" s="265" t="str">
        <f>IFERROR(__xludf.DUMMYFUNCTION("""COMPUTED_VALUE"""),"Active")</f>
        <v>Active</v>
      </c>
      <c r="D761" s="265" t="str">
        <f>IFERROR(__xludf.DUMMYFUNCTION("""COMPUTED_VALUE"""),"Dịch vụ khác")</f>
        <v>Dịch vụ khác</v>
      </c>
      <c r="E761" s="265" t="str">
        <f>IFERROR(__xludf.DUMMYFUNCTION("""COMPUTED_VALUE"""),"TúPHN")</f>
        <v>TúPHN</v>
      </c>
      <c r="F761" s="265" t="str">
        <f>IFERROR(__xludf.DUMMYFUNCTION("""COMPUTED_VALUE"""),"Silver")</f>
        <v>Silver</v>
      </c>
      <c r="G761" s="265" t="str">
        <f>IFERROR(__xludf.DUMMYFUNCTION("""COMPUTED_VALUE"""),"Starter")</f>
        <v>Starter</v>
      </c>
      <c r="H761" s="265" t="str">
        <f>IFERROR(__xludf.DUMMYFUNCTION("""COMPUTED_VALUE"""),"Trả sau")</f>
        <v>Trả sau</v>
      </c>
      <c r="I761" s="265" t="str">
        <f>IFERROR(__xludf.DUMMYFUNCTION("""COMPUTED_VALUE"""),"API")</f>
        <v>API</v>
      </c>
      <c r="J761" s="265" t="str">
        <f>IFERROR(__xludf.DUMMYFUNCTION("""COMPUTED_VALUE"""),"API")</f>
        <v>API</v>
      </c>
    </row>
    <row r="762">
      <c r="A762" s="265" t="str">
        <f>IFERROR(__xludf.DUMMYFUNCTION("""COMPUTED_VALUE"""),"968")</f>
        <v>968</v>
      </c>
      <c r="B762" s="265" t="str">
        <f>IFERROR(__xludf.DUMMYFUNCTION("""COMPUTED_VALUE"""),"Sài Gòn")</f>
        <v>Sài Gòn</v>
      </c>
      <c r="C762" s="265" t="str">
        <f>IFERROR(__xludf.DUMMYFUNCTION("""COMPUTED_VALUE"""),"Active")</f>
        <v>Active</v>
      </c>
      <c r="D762" s="265" t="str">
        <f>IFERROR(__xludf.DUMMYFUNCTION("""COMPUTED_VALUE"""),"Dịch vụ khác")</f>
        <v>Dịch vụ khác</v>
      </c>
      <c r="E762" s="265" t="str">
        <f>IFERROR(__xludf.DUMMYFUNCTION("""COMPUTED_VALUE"""),"Không phân công")</f>
        <v>Không phân công</v>
      </c>
      <c r="F762" s="265" t="str">
        <f>IFERROR(__xludf.DUMMYFUNCTION("""COMPUTED_VALUE"""),"Gold")</f>
        <v>Gold</v>
      </c>
      <c r="G762" s="265" t="str">
        <f>IFERROR(__xludf.DUMMYFUNCTION("""COMPUTED_VALUE"""),"Starter")</f>
        <v>Starter</v>
      </c>
      <c r="H762" s="265" t="str">
        <f>IFERROR(__xludf.DUMMYFUNCTION("""COMPUTED_VALUE"""),"Trial")</f>
        <v>Trial</v>
      </c>
      <c r="I762" s="265" t="str">
        <f>IFERROR(__xludf.DUMMYFUNCTION("""COMPUTED_VALUE"""),"API")</f>
        <v>API</v>
      </c>
      <c r="J762" s="265" t="str">
        <f>IFERROR(__xludf.DUMMYFUNCTION("""COMPUTED_VALUE"""),"API")</f>
        <v>API</v>
      </c>
    </row>
    <row r="763">
      <c r="A763" s="265" t="str">
        <f>IFERROR(__xludf.DUMMYFUNCTION("""COMPUTED_VALUE"""),"980")</f>
        <v>980</v>
      </c>
      <c r="B763" s="265" t="str">
        <f>IFERROR(__xludf.DUMMYFUNCTION("""COMPUTED_VALUE"""),"Sài Gòn")</f>
        <v>Sài Gòn</v>
      </c>
      <c r="C763" s="265" t="str">
        <f>IFERROR(__xludf.DUMMYFUNCTION("""COMPUTED_VALUE"""),"Locked")</f>
        <v>Locked</v>
      </c>
      <c r="D763" s="265" t="str">
        <f>IFERROR(__xludf.DUMMYFUNCTION("""COMPUTED_VALUE"""),"Dịch vụ khác")</f>
        <v>Dịch vụ khác</v>
      </c>
      <c r="E763" s="265" t="str">
        <f>IFERROR(__xludf.DUMMYFUNCTION("""COMPUTED_VALUE"""),"Không phân công")</f>
        <v>Không phân công</v>
      </c>
      <c r="F763" s="265" t="str">
        <f>IFERROR(__xludf.DUMMYFUNCTION("""COMPUTED_VALUE"""),"Diamond")</f>
        <v>Diamond</v>
      </c>
      <c r="G763" s="265" t="str">
        <f>IFERROR(__xludf.DUMMYFUNCTION("""COMPUTED_VALUE"""),"Starter")</f>
        <v>Starter</v>
      </c>
      <c r="H763" s="265" t="str">
        <f>IFERROR(__xludf.DUMMYFUNCTION("""COMPUTED_VALUE"""),"Trial")</f>
        <v>Trial</v>
      </c>
      <c r="I763" s="265" t="str">
        <f>IFERROR(__xludf.DUMMYFUNCTION("""COMPUTED_VALUE"""),"API")</f>
        <v>API</v>
      </c>
      <c r="J763" s="265" t="str">
        <f>IFERROR(__xludf.DUMMYFUNCTION("""COMPUTED_VALUE"""),"API")</f>
        <v>API</v>
      </c>
    </row>
    <row r="764">
      <c r="A764" s="265" t="str">
        <f>IFERROR(__xludf.DUMMYFUNCTION("""COMPUTED_VALUE"""),"981")</f>
        <v>981</v>
      </c>
      <c r="B764" s="265" t="str">
        <f>IFERROR(__xludf.DUMMYFUNCTION("""COMPUTED_VALUE"""),"Sài Gòn")</f>
        <v>Sài Gòn</v>
      </c>
      <c r="C764" s="265" t="str">
        <f>IFERROR(__xludf.DUMMYFUNCTION("""COMPUTED_VALUE"""),"Active")</f>
        <v>Active</v>
      </c>
      <c r="D764" s="265" t="str">
        <f>IFERROR(__xludf.DUMMYFUNCTION("""COMPUTED_VALUE"""),"Truyền thông &amp; Giải trí")</f>
        <v>Truyền thông &amp; Giải trí</v>
      </c>
      <c r="E764" s="265" t="str">
        <f>IFERROR(__xludf.DUMMYFUNCTION("""COMPUTED_VALUE"""),"Không phân công")</f>
        <v>Không phân công</v>
      </c>
      <c r="F764" s="265" t="str">
        <f>IFERROR(__xludf.DUMMYFUNCTION("""COMPUTED_VALUE"""),"Diamond")</f>
        <v>Diamond</v>
      </c>
      <c r="G764" s="265" t="str">
        <f>IFERROR(__xludf.DUMMYFUNCTION("""COMPUTED_VALUE"""),"Starter")</f>
        <v>Starter</v>
      </c>
      <c r="H764" s="265" t="str">
        <f>IFERROR(__xludf.DUMMYFUNCTION("""COMPUTED_VALUE"""),"Trả trước")</f>
        <v>Trả trước</v>
      </c>
      <c r="I764" s="265" t="str">
        <f>IFERROR(__xludf.DUMMYFUNCTION("""COMPUTED_VALUE"""),"API")</f>
        <v>API</v>
      </c>
      <c r="J764" s="265" t="str">
        <f>IFERROR(__xludf.DUMMYFUNCTION("""COMPUTED_VALUE"""),"API")</f>
        <v>API</v>
      </c>
    </row>
    <row r="765">
      <c r="A765" s="265" t="str">
        <f>IFERROR(__xludf.DUMMYFUNCTION("""COMPUTED_VALUE"""),"982")</f>
        <v>982</v>
      </c>
      <c r="B765" s="265" t="str">
        <f>IFERROR(__xludf.DUMMYFUNCTION("""COMPUTED_VALUE"""),"Hà Nội")</f>
        <v>Hà Nội</v>
      </c>
      <c r="C765" s="265" t="str">
        <f>IFERROR(__xludf.DUMMYFUNCTION("""COMPUTED_VALUE"""),"Locked")</f>
        <v>Locked</v>
      </c>
      <c r="D765" s="265" t="str">
        <f>IFERROR(__xludf.DUMMYFUNCTION("""COMPUTED_VALUE"""),"Vận tải &amp; logistics")</f>
        <v>Vận tải &amp; logistics</v>
      </c>
      <c r="E765" s="265" t="str">
        <f>IFERROR(__xludf.DUMMYFUNCTION("""COMPUTED_VALUE"""),"Không phân công")</f>
        <v>Không phân công</v>
      </c>
      <c r="F765" s="265" t="str">
        <f>IFERROR(__xludf.DUMMYFUNCTION("""COMPUTED_VALUE"""),"Sale chưa cung cấp")</f>
        <v>Sale chưa cung cấp</v>
      </c>
      <c r="G765" s="265" t="str">
        <f>IFERROR(__xludf.DUMMYFUNCTION("""COMPUTED_VALUE"""),"Starter")</f>
        <v>Starter</v>
      </c>
      <c r="H765" s="265" t="str">
        <f>IFERROR(__xludf.DUMMYFUNCTION("""COMPUTED_VALUE"""),"Trả sau")</f>
        <v>Trả sau</v>
      </c>
      <c r="I765" s="265" t="str">
        <f>IFERROR(__xludf.DUMMYFUNCTION("""COMPUTED_VALUE"""),"API")</f>
        <v>API</v>
      </c>
      <c r="J765" s="265" t="str">
        <f>IFERROR(__xludf.DUMMYFUNCTION("""COMPUTED_VALUE"""),"API")</f>
        <v>API</v>
      </c>
    </row>
    <row r="766">
      <c r="A766" s="265" t="str">
        <f>IFERROR(__xludf.DUMMYFUNCTION("""COMPUTED_VALUE"""),"983")</f>
        <v>983</v>
      </c>
      <c r="B766" s="265" t="str">
        <f>IFERROR(__xludf.DUMMYFUNCTION("""COMPUTED_VALUE"""),"Sài Gòn")</f>
        <v>Sài Gòn</v>
      </c>
      <c r="C766" s="265" t="str">
        <f>IFERROR(__xludf.DUMMYFUNCTION("""COMPUTED_VALUE"""),"Locked")</f>
        <v>Locked</v>
      </c>
      <c r="D766" s="265" t="str">
        <f>IFERROR(__xludf.DUMMYFUNCTION("""COMPUTED_VALUE"""),"Nhà hàng &amp; Quán")</f>
        <v>Nhà hàng &amp; Quán</v>
      </c>
      <c r="E766" s="265" t="str">
        <f>IFERROR(__xludf.DUMMYFUNCTION("""COMPUTED_VALUE"""),"Không phân công")</f>
        <v>Không phân công</v>
      </c>
      <c r="F766" s="265" t="str">
        <f>IFERROR(__xludf.DUMMYFUNCTION("""COMPUTED_VALUE"""),"Sale chưa cung cấp")</f>
        <v>Sale chưa cung cấp</v>
      </c>
      <c r="G766" s="265" t="str">
        <f>IFERROR(__xludf.DUMMYFUNCTION("""COMPUTED_VALUE"""),"Starter")</f>
        <v>Starter</v>
      </c>
      <c r="H766" s="265" t="str">
        <f>IFERROR(__xludf.DUMMYFUNCTION("""COMPUTED_VALUE"""),"Trả sau")</f>
        <v>Trả sau</v>
      </c>
      <c r="I766" s="265" t="str">
        <f>IFERROR(__xludf.DUMMYFUNCTION("""COMPUTED_VALUE"""),"API")</f>
        <v>API</v>
      </c>
      <c r="J766" s="265" t="str">
        <f>IFERROR(__xludf.DUMMYFUNCTION("""COMPUTED_VALUE"""),"API")</f>
        <v>API</v>
      </c>
    </row>
    <row r="767">
      <c r="A767" s="265" t="str">
        <f>IFERROR(__xludf.DUMMYFUNCTION("""COMPUTED_VALUE"""),"984")</f>
        <v>984</v>
      </c>
      <c r="B767" s="265" t="str">
        <f>IFERROR(__xludf.DUMMYFUNCTION("""COMPUTED_VALUE"""),"Sài Gòn")</f>
        <v>Sài Gòn</v>
      </c>
      <c r="C767" s="265" t="str">
        <f>IFERROR(__xludf.DUMMYFUNCTION("""COMPUTED_VALUE"""),"Locked")</f>
        <v>Locked</v>
      </c>
      <c r="D767" s="265" t="str">
        <f>IFERROR(__xludf.DUMMYFUNCTION("""COMPUTED_VALUE"""),"Bất động sản")</f>
        <v>Bất động sản</v>
      </c>
      <c r="E767" s="265" t="str">
        <f>IFERROR(__xludf.DUMMYFUNCTION("""COMPUTED_VALUE"""),"Không phân công")</f>
        <v>Không phân công</v>
      </c>
      <c r="F767" s="265" t="str">
        <f>IFERROR(__xludf.DUMMYFUNCTION("""COMPUTED_VALUE"""),"Sale chưa cung cấp")</f>
        <v>Sale chưa cung cấp</v>
      </c>
      <c r="G767" s="265" t="str">
        <f>IFERROR(__xludf.DUMMYFUNCTION("""COMPUTED_VALUE"""),"Starter")</f>
        <v>Starter</v>
      </c>
      <c r="H767" s="265" t="str">
        <f>IFERROR(__xludf.DUMMYFUNCTION("""COMPUTED_VALUE"""),"Trả sau")</f>
        <v>Trả sau</v>
      </c>
      <c r="I767" s="265" t="str">
        <f>IFERROR(__xludf.DUMMYFUNCTION("""COMPUTED_VALUE"""),"API")</f>
        <v>API</v>
      </c>
      <c r="J767" s="265" t="str">
        <f>IFERROR(__xludf.DUMMYFUNCTION("""COMPUTED_VALUE"""),"API")</f>
        <v>API</v>
      </c>
    </row>
    <row r="768">
      <c r="A768" s="265" t="str">
        <f>IFERROR(__xludf.DUMMYFUNCTION("""COMPUTED_VALUE"""),"985")</f>
        <v>985</v>
      </c>
      <c r="B768" s="265" t="str">
        <f>IFERROR(__xludf.DUMMYFUNCTION("""COMPUTED_VALUE"""),"Hà Nội")</f>
        <v>Hà Nội</v>
      </c>
      <c r="C768" s="265" t="str">
        <f>IFERROR(__xludf.DUMMYFUNCTION("""COMPUTED_VALUE"""),"Locked")</f>
        <v>Locked</v>
      </c>
      <c r="D768" s="265" t="str">
        <f>IFERROR(__xludf.DUMMYFUNCTION("""COMPUTED_VALUE"""),"Sale chưa cung cấp")</f>
        <v>Sale chưa cung cấp</v>
      </c>
      <c r="E768" s="265" t="str">
        <f>IFERROR(__xludf.DUMMYFUNCTION("""COMPUTED_VALUE"""),"Không phân công")</f>
        <v>Không phân công</v>
      </c>
      <c r="F768" s="265" t="str">
        <f>IFERROR(__xludf.DUMMYFUNCTION("""COMPUTED_VALUE"""),"Sale chưa cung cấp")</f>
        <v>Sale chưa cung cấp</v>
      </c>
      <c r="G768" s="265" t="str">
        <f>IFERROR(__xludf.DUMMYFUNCTION("""COMPUTED_VALUE"""),"Starter")</f>
        <v>Starter</v>
      </c>
      <c r="H768" s="265" t="str">
        <f>IFERROR(__xludf.DUMMYFUNCTION("""COMPUTED_VALUE"""),"Trả sau")</f>
        <v>Trả sau</v>
      </c>
      <c r="I768" s="265" t="str">
        <f>IFERROR(__xludf.DUMMYFUNCTION("""COMPUTED_VALUE"""),"API")</f>
        <v>API</v>
      </c>
      <c r="J768" s="265" t="str">
        <f>IFERROR(__xludf.DUMMYFUNCTION("""COMPUTED_VALUE"""),"API")</f>
        <v>API</v>
      </c>
    </row>
    <row r="769">
      <c r="A769" s="265" t="str">
        <f>IFERROR(__xludf.DUMMYFUNCTION("""COMPUTED_VALUE"""),"986")</f>
        <v>986</v>
      </c>
      <c r="B769" s="265" t="str">
        <f>IFERROR(__xludf.DUMMYFUNCTION("""COMPUTED_VALUE"""),"Hà Nội")</f>
        <v>Hà Nội</v>
      </c>
      <c r="C769" s="265" t="str">
        <f>IFERROR(__xludf.DUMMYFUNCTION("""COMPUTED_VALUE"""),"Locked")</f>
        <v>Locked</v>
      </c>
      <c r="D769" s="265" t="str">
        <f>IFERROR(__xludf.DUMMYFUNCTION("""COMPUTED_VALUE"""),"Ô tô &amp; Xe máy")</f>
        <v>Ô tô &amp; Xe máy</v>
      </c>
      <c r="E769" s="265" t="str">
        <f>IFERROR(__xludf.DUMMYFUNCTION("""COMPUTED_VALUE"""),"Không phân công")</f>
        <v>Không phân công</v>
      </c>
      <c r="F769" s="265" t="str">
        <f>IFERROR(__xludf.DUMMYFUNCTION("""COMPUTED_VALUE"""),"Sale chưa cung cấp")</f>
        <v>Sale chưa cung cấp</v>
      </c>
      <c r="G769" s="265" t="str">
        <f>IFERROR(__xludf.DUMMYFUNCTION("""COMPUTED_VALUE"""),"Starter")</f>
        <v>Starter</v>
      </c>
      <c r="H769" s="265" t="str">
        <f>IFERROR(__xludf.DUMMYFUNCTION("""COMPUTED_VALUE"""),"Trả sau")</f>
        <v>Trả sau</v>
      </c>
      <c r="I769" s="265" t="str">
        <f>IFERROR(__xludf.DUMMYFUNCTION("""COMPUTED_VALUE"""),"API")</f>
        <v>API</v>
      </c>
      <c r="J769" s="265" t="str">
        <f>IFERROR(__xludf.DUMMYFUNCTION("""COMPUTED_VALUE"""),"API")</f>
        <v>API</v>
      </c>
    </row>
    <row r="770">
      <c r="A770" s="265" t="str">
        <f>IFERROR(__xludf.DUMMYFUNCTION("""COMPUTED_VALUE"""),"987")</f>
        <v>987</v>
      </c>
      <c r="B770" s="265" t="str">
        <f>IFERROR(__xludf.DUMMYFUNCTION("""COMPUTED_VALUE"""),"Hà Nội")</f>
        <v>Hà Nội</v>
      </c>
      <c r="C770" s="265" t="str">
        <f>IFERROR(__xludf.DUMMYFUNCTION("""COMPUTED_VALUE"""),"Locked")</f>
        <v>Locked</v>
      </c>
      <c r="D770" s="265" t="str">
        <f>IFERROR(__xludf.DUMMYFUNCTION("""COMPUTED_VALUE"""),"Sale chưa cung cấp")</f>
        <v>Sale chưa cung cấp</v>
      </c>
      <c r="E770" s="265" t="str">
        <f>IFERROR(__xludf.DUMMYFUNCTION("""COMPUTED_VALUE"""),"Không phân công")</f>
        <v>Không phân công</v>
      </c>
      <c r="F770" s="265" t="str">
        <f>IFERROR(__xludf.DUMMYFUNCTION("""COMPUTED_VALUE"""),"Sale chưa cung cấp")</f>
        <v>Sale chưa cung cấp</v>
      </c>
      <c r="G770" s="265" t="str">
        <f>IFERROR(__xludf.DUMMYFUNCTION("""COMPUTED_VALUE"""),"Starter")</f>
        <v>Starter</v>
      </c>
      <c r="H770" s="265" t="str">
        <f>IFERROR(__xludf.DUMMYFUNCTION("""COMPUTED_VALUE"""),"Trả sau")</f>
        <v>Trả sau</v>
      </c>
      <c r="I770" s="265" t="str">
        <f>IFERROR(__xludf.DUMMYFUNCTION("""COMPUTED_VALUE"""),"API")</f>
        <v>API</v>
      </c>
      <c r="J770" s="265" t="str">
        <f>IFERROR(__xludf.DUMMYFUNCTION("""COMPUTED_VALUE"""),"API")</f>
        <v>API</v>
      </c>
    </row>
    <row r="771">
      <c r="A771" s="265" t="str">
        <f>IFERROR(__xludf.DUMMYFUNCTION("""COMPUTED_VALUE"""),"989")</f>
        <v>989</v>
      </c>
      <c r="B771" s="265" t="str">
        <f>IFERROR(__xludf.DUMMYFUNCTION("""COMPUTED_VALUE"""),"Hà Nội")</f>
        <v>Hà Nội</v>
      </c>
      <c r="C771" s="265" t="str">
        <f>IFERROR(__xludf.DUMMYFUNCTION("""COMPUTED_VALUE"""),"Locked")</f>
        <v>Locked</v>
      </c>
      <c r="D771" s="265" t="str">
        <f>IFERROR(__xludf.DUMMYFUNCTION("""COMPUTED_VALUE"""),"Viễn thông")</f>
        <v>Viễn thông</v>
      </c>
      <c r="E771" s="265" t="str">
        <f>IFERROR(__xludf.DUMMYFUNCTION("""COMPUTED_VALUE"""),"Không phân công")</f>
        <v>Không phân công</v>
      </c>
      <c r="F771" s="265" t="str">
        <f>IFERROR(__xludf.DUMMYFUNCTION("""COMPUTED_VALUE"""),"Sale chưa cung cấp")</f>
        <v>Sale chưa cung cấp</v>
      </c>
      <c r="G771" s="265" t="str">
        <f>IFERROR(__xludf.DUMMYFUNCTION("""COMPUTED_VALUE"""),"Starter")</f>
        <v>Starter</v>
      </c>
      <c r="H771" s="265" t="str">
        <f>IFERROR(__xludf.DUMMYFUNCTION("""COMPUTED_VALUE"""),"Trả sau")</f>
        <v>Trả sau</v>
      </c>
      <c r="I771" s="265" t="str">
        <f>IFERROR(__xludf.DUMMYFUNCTION("""COMPUTED_VALUE"""),"API")</f>
        <v>API</v>
      </c>
      <c r="J771" s="265" t="str">
        <f>IFERROR(__xludf.DUMMYFUNCTION("""COMPUTED_VALUE"""),"API")</f>
        <v>API</v>
      </c>
    </row>
    <row r="772">
      <c r="A772" s="265" t="str">
        <f>IFERROR(__xludf.DUMMYFUNCTION("""COMPUTED_VALUE"""),"988")</f>
        <v>988</v>
      </c>
      <c r="B772" s="265" t="str">
        <f>IFERROR(__xludf.DUMMYFUNCTION("""COMPUTED_VALUE"""),"Hà Nội")</f>
        <v>Hà Nội</v>
      </c>
      <c r="C772" s="265" t="str">
        <f>IFERROR(__xludf.DUMMYFUNCTION("""COMPUTED_VALUE"""),"Active")</f>
        <v>Active</v>
      </c>
      <c r="D772" s="265" t="str">
        <f>IFERROR(__xludf.DUMMYFUNCTION("""COMPUTED_VALUE"""),"Viễn thông")</f>
        <v>Viễn thông</v>
      </c>
      <c r="E772" s="265" t="str">
        <f>IFERROR(__xludf.DUMMYFUNCTION("""COMPUTED_VALUE"""),"Không phân công")</f>
        <v>Không phân công</v>
      </c>
      <c r="F772" s="265" t="str">
        <f>IFERROR(__xludf.DUMMYFUNCTION("""COMPUTED_VALUE"""),"Sale chưa cung cấp")</f>
        <v>Sale chưa cung cấp</v>
      </c>
      <c r="G772" s="265" t="str">
        <f>IFERROR(__xludf.DUMMYFUNCTION("""COMPUTED_VALUE"""),"Starter")</f>
        <v>Starter</v>
      </c>
      <c r="H772" s="265" t="str">
        <f>IFERROR(__xludf.DUMMYFUNCTION("""COMPUTED_VALUE"""),"Trả sau")</f>
        <v>Trả sau</v>
      </c>
      <c r="I772" s="265" t="str">
        <f>IFERROR(__xludf.DUMMYFUNCTION("""COMPUTED_VALUE"""),"API")</f>
        <v>API</v>
      </c>
      <c r="J772" s="265" t="str">
        <f>IFERROR(__xludf.DUMMYFUNCTION("""COMPUTED_VALUE"""),"API")</f>
        <v>API</v>
      </c>
    </row>
    <row r="773">
      <c r="A773" s="265" t="str">
        <f>IFERROR(__xludf.DUMMYFUNCTION("""COMPUTED_VALUE"""),"990")</f>
        <v>990</v>
      </c>
      <c r="B773" s="265" t="str">
        <f>IFERROR(__xludf.DUMMYFUNCTION("""COMPUTED_VALUE"""),"Sài Gòn")</f>
        <v>Sài Gòn</v>
      </c>
      <c r="C773" s="265" t="str">
        <f>IFERROR(__xludf.DUMMYFUNCTION("""COMPUTED_VALUE"""),"Locked")</f>
        <v>Locked</v>
      </c>
      <c r="D773" s="265" t="str">
        <f>IFERROR(__xludf.DUMMYFUNCTION("""COMPUTED_VALUE"""),"Sale chưa cung cấp")</f>
        <v>Sale chưa cung cấp</v>
      </c>
      <c r="E773" s="265" t="str">
        <f>IFERROR(__xludf.DUMMYFUNCTION("""COMPUTED_VALUE"""),"Không phân công")</f>
        <v>Không phân công</v>
      </c>
      <c r="F773" s="265" t="str">
        <f>IFERROR(__xludf.DUMMYFUNCTION("""COMPUTED_VALUE"""),"Sale chưa cung cấp")</f>
        <v>Sale chưa cung cấp</v>
      </c>
      <c r="G773" s="265" t="str">
        <f>IFERROR(__xludf.DUMMYFUNCTION("""COMPUTED_VALUE"""),"Starter")</f>
        <v>Starter</v>
      </c>
      <c r="H773" s="265" t="str">
        <f>IFERROR(__xludf.DUMMYFUNCTION("""COMPUTED_VALUE"""),"Trả sau")</f>
        <v>Trả sau</v>
      </c>
      <c r="I773" s="265" t="str">
        <f>IFERROR(__xludf.DUMMYFUNCTION("""COMPUTED_VALUE"""),"API")</f>
        <v>API</v>
      </c>
      <c r="J773" s="265" t="str">
        <f>IFERROR(__xludf.DUMMYFUNCTION("""COMPUTED_VALUE"""),"API")</f>
        <v>API</v>
      </c>
    </row>
    <row r="774">
      <c r="A774" s="265" t="str">
        <f>IFERROR(__xludf.DUMMYFUNCTION("""COMPUTED_VALUE"""),"991")</f>
        <v>991</v>
      </c>
      <c r="B774" s="265" t="str">
        <f>IFERROR(__xludf.DUMMYFUNCTION("""COMPUTED_VALUE"""),"Hà Nội")</f>
        <v>Hà Nội</v>
      </c>
      <c r="C774" s="265" t="str">
        <f>IFERROR(__xludf.DUMMYFUNCTION("""COMPUTED_VALUE"""),"Locked")</f>
        <v>Locked</v>
      </c>
      <c r="D774" s="265" t="str">
        <f>IFERROR(__xludf.DUMMYFUNCTION("""COMPUTED_VALUE"""),"Viễn thông")</f>
        <v>Viễn thông</v>
      </c>
      <c r="E774" s="265" t="str">
        <f>IFERROR(__xludf.DUMMYFUNCTION("""COMPUTED_VALUE"""),"Không phân công")</f>
        <v>Không phân công</v>
      </c>
      <c r="F774" s="265" t="str">
        <f>IFERROR(__xludf.DUMMYFUNCTION("""COMPUTED_VALUE"""),"Sale chưa cung cấp")</f>
        <v>Sale chưa cung cấp</v>
      </c>
      <c r="G774" s="265" t="str">
        <f>IFERROR(__xludf.DUMMYFUNCTION("""COMPUTED_VALUE"""),"Starter")</f>
        <v>Starter</v>
      </c>
      <c r="H774" s="265" t="str">
        <f>IFERROR(__xludf.DUMMYFUNCTION("""COMPUTED_VALUE"""),"Trả sau")</f>
        <v>Trả sau</v>
      </c>
      <c r="I774" s="265" t="str">
        <f>IFERROR(__xludf.DUMMYFUNCTION("""COMPUTED_VALUE"""),"API")</f>
        <v>API</v>
      </c>
      <c r="J774" s="265" t="str">
        <f>IFERROR(__xludf.DUMMYFUNCTION("""COMPUTED_VALUE"""),"API")</f>
        <v>API</v>
      </c>
    </row>
    <row r="775">
      <c r="A775" s="265" t="str">
        <f>IFERROR(__xludf.DUMMYFUNCTION("""COMPUTED_VALUE"""),"992")</f>
        <v>992</v>
      </c>
      <c r="B775" s="265" t="str">
        <f>IFERROR(__xludf.DUMMYFUNCTION("""COMPUTED_VALUE"""),"Hà Nội")</f>
        <v>Hà Nội</v>
      </c>
      <c r="C775" s="265" t="str">
        <f>IFERROR(__xludf.DUMMYFUNCTION("""COMPUTED_VALUE"""),"Locked")</f>
        <v>Locked</v>
      </c>
      <c r="D775" s="265" t="str">
        <f>IFERROR(__xludf.DUMMYFUNCTION("""COMPUTED_VALUE"""),"Sale chưa cung cấp")</f>
        <v>Sale chưa cung cấp</v>
      </c>
      <c r="E775" s="265" t="str">
        <f>IFERROR(__xludf.DUMMYFUNCTION("""COMPUTED_VALUE"""),"Không phân công")</f>
        <v>Không phân công</v>
      </c>
      <c r="F775" s="265" t="str">
        <f>IFERROR(__xludf.DUMMYFUNCTION("""COMPUTED_VALUE"""),"Sale chưa cung cấp")</f>
        <v>Sale chưa cung cấp</v>
      </c>
      <c r="G775" s="265" t="str">
        <f>IFERROR(__xludf.DUMMYFUNCTION("""COMPUTED_VALUE"""),"Starter")</f>
        <v>Starter</v>
      </c>
      <c r="H775" s="265" t="str">
        <f>IFERROR(__xludf.DUMMYFUNCTION("""COMPUTED_VALUE"""),"Trả sau")</f>
        <v>Trả sau</v>
      </c>
      <c r="I775" s="265" t="str">
        <f>IFERROR(__xludf.DUMMYFUNCTION("""COMPUTED_VALUE"""),"API")</f>
        <v>API</v>
      </c>
      <c r="J775" s="265" t="str">
        <f>IFERROR(__xludf.DUMMYFUNCTION("""COMPUTED_VALUE"""),"API")</f>
        <v>API</v>
      </c>
    </row>
    <row r="776">
      <c r="A776" s="265" t="str">
        <f>IFERROR(__xludf.DUMMYFUNCTION("""COMPUTED_VALUE"""),"993")</f>
        <v>993</v>
      </c>
      <c r="B776" s="265" t="str">
        <f>IFERROR(__xludf.DUMMYFUNCTION("""COMPUTED_VALUE"""),"Hà Nội")</f>
        <v>Hà Nội</v>
      </c>
      <c r="C776" s="265" t="str">
        <f>IFERROR(__xludf.DUMMYFUNCTION("""COMPUTED_VALUE"""),"Locked")</f>
        <v>Locked</v>
      </c>
      <c r="D776" s="265" t="str">
        <f>IFERROR(__xludf.DUMMYFUNCTION("""COMPUTED_VALUE"""),"Viễn thông")</f>
        <v>Viễn thông</v>
      </c>
      <c r="E776" s="265" t="str">
        <f>IFERROR(__xludf.DUMMYFUNCTION("""COMPUTED_VALUE"""),"Không phân công")</f>
        <v>Không phân công</v>
      </c>
      <c r="F776" s="265" t="str">
        <f>IFERROR(__xludf.DUMMYFUNCTION("""COMPUTED_VALUE"""),"Sale chưa cung cấp")</f>
        <v>Sale chưa cung cấp</v>
      </c>
      <c r="G776" s="265" t="str">
        <f>IFERROR(__xludf.DUMMYFUNCTION("""COMPUTED_VALUE"""),"Starter")</f>
        <v>Starter</v>
      </c>
      <c r="H776" s="265" t="str">
        <f>IFERROR(__xludf.DUMMYFUNCTION("""COMPUTED_VALUE"""),"Trả sau")</f>
        <v>Trả sau</v>
      </c>
      <c r="I776" s="265" t="str">
        <f>IFERROR(__xludf.DUMMYFUNCTION("""COMPUTED_VALUE"""),"API")</f>
        <v>API</v>
      </c>
      <c r="J776" s="265" t="str">
        <f>IFERROR(__xludf.DUMMYFUNCTION("""COMPUTED_VALUE"""),"API")</f>
        <v>API</v>
      </c>
    </row>
    <row r="777">
      <c r="A777" s="265" t="str">
        <f>IFERROR(__xludf.DUMMYFUNCTION("""COMPUTED_VALUE"""),"994")</f>
        <v>994</v>
      </c>
      <c r="B777" s="265" t="str">
        <f>IFERROR(__xludf.DUMMYFUNCTION("""COMPUTED_VALUE"""),"Hà Nội")</f>
        <v>Hà Nội</v>
      </c>
      <c r="C777" s="265" t="str">
        <f>IFERROR(__xludf.DUMMYFUNCTION("""COMPUTED_VALUE"""),"Locked")</f>
        <v>Locked</v>
      </c>
      <c r="D777" s="265" t="str">
        <f>IFERROR(__xludf.DUMMYFUNCTION("""COMPUTED_VALUE"""),"Dịch vụ khác")</f>
        <v>Dịch vụ khác</v>
      </c>
      <c r="E777" s="265" t="str">
        <f>IFERROR(__xludf.DUMMYFUNCTION("""COMPUTED_VALUE"""),"Không phân công")</f>
        <v>Không phân công</v>
      </c>
      <c r="F777" s="265" t="str">
        <f>IFERROR(__xludf.DUMMYFUNCTION("""COMPUTED_VALUE"""),"Sale chưa cung cấp")</f>
        <v>Sale chưa cung cấp</v>
      </c>
      <c r="G777" s="265" t="str">
        <f>IFERROR(__xludf.DUMMYFUNCTION("""COMPUTED_VALUE"""),"Starter")</f>
        <v>Starter</v>
      </c>
      <c r="H777" s="265" t="str">
        <f>IFERROR(__xludf.DUMMYFUNCTION("""COMPUTED_VALUE"""),"Trả sau")</f>
        <v>Trả sau</v>
      </c>
      <c r="I777" s="265" t="str">
        <f>IFERROR(__xludf.DUMMYFUNCTION("""COMPUTED_VALUE"""),"API")</f>
        <v>API</v>
      </c>
      <c r="J777" s="265" t="str">
        <f>IFERROR(__xludf.DUMMYFUNCTION("""COMPUTED_VALUE"""),"API")</f>
        <v>API</v>
      </c>
    </row>
    <row r="778">
      <c r="A778" s="265" t="str">
        <f>IFERROR(__xludf.DUMMYFUNCTION("""COMPUTED_VALUE"""),"995")</f>
        <v>995</v>
      </c>
      <c r="B778" s="265" t="str">
        <f>IFERROR(__xludf.DUMMYFUNCTION("""COMPUTED_VALUE"""),"Hà Nội")</f>
        <v>Hà Nội</v>
      </c>
      <c r="C778" s="265" t="str">
        <f>IFERROR(__xludf.DUMMYFUNCTION("""COMPUTED_VALUE"""),"Locked")</f>
        <v>Locked</v>
      </c>
      <c r="D778" s="265" t="str">
        <f>IFERROR(__xludf.DUMMYFUNCTION("""COMPUTED_VALUE"""),"Viễn thông")</f>
        <v>Viễn thông</v>
      </c>
      <c r="E778" s="265" t="str">
        <f>IFERROR(__xludf.DUMMYFUNCTION("""COMPUTED_VALUE"""),"Không phân công")</f>
        <v>Không phân công</v>
      </c>
      <c r="F778" s="265" t="str">
        <f>IFERROR(__xludf.DUMMYFUNCTION("""COMPUTED_VALUE"""),"Sale chưa cung cấp")</f>
        <v>Sale chưa cung cấp</v>
      </c>
      <c r="G778" s="265" t="str">
        <f>IFERROR(__xludf.DUMMYFUNCTION("""COMPUTED_VALUE"""),"Starter")</f>
        <v>Starter</v>
      </c>
      <c r="H778" s="265" t="str">
        <f>IFERROR(__xludf.DUMMYFUNCTION("""COMPUTED_VALUE"""),"Trả sau")</f>
        <v>Trả sau</v>
      </c>
      <c r="I778" s="265" t="str">
        <f>IFERROR(__xludf.DUMMYFUNCTION("""COMPUTED_VALUE"""),"API")</f>
        <v>API</v>
      </c>
      <c r="J778" s="265" t="str">
        <f>IFERROR(__xludf.DUMMYFUNCTION("""COMPUTED_VALUE"""),"API")</f>
        <v>API</v>
      </c>
    </row>
    <row r="779">
      <c r="A779" s="265" t="str">
        <f>IFERROR(__xludf.DUMMYFUNCTION("""COMPUTED_VALUE"""),"996")</f>
        <v>996</v>
      </c>
      <c r="B779" s="265" t="str">
        <f>IFERROR(__xludf.DUMMYFUNCTION("""COMPUTED_VALUE"""),"Sài Gòn")</f>
        <v>Sài Gòn</v>
      </c>
      <c r="C779" s="265" t="str">
        <f>IFERROR(__xludf.DUMMYFUNCTION("""COMPUTED_VALUE"""),"Active")</f>
        <v>Active</v>
      </c>
      <c r="D779" s="265" t="str">
        <f>IFERROR(__xludf.DUMMYFUNCTION("""COMPUTED_VALUE"""),"Dịch vụ khác")</f>
        <v>Dịch vụ khác</v>
      </c>
      <c r="E779" s="265" t="str">
        <f>IFERROR(__xludf.DUMMYFUNCTION("""COMPUTED_VALUE"""),"Không phân công")</f>
        <v>Không phân công</v>
      </c>
      <c r="F779" s="265" t="str">
        <f>IFERROR(__xludf.DUMMYFUNCTION("""COMPUTED_VALUE"""),"Silver")</f>
        <v>Silver</v>
      </c>
      <c r="G779" s="265" t="str">
        <f>IFERROR(__xludf.DUMMYFUNCTION("""COMPUTED_VALUE"""),"Standard")</f>
        <v>Standard</v>
      </c>
      <c r="H779" s="265" t="str">
        <f>IFERROR(__xludf.DUMMYFUNCTION("""COMPUTED_VALUE"""),"Trả sau")</f>
        <v>Trả sau</v>
      </c>
      <c r="I779" s="265" t="str">
        <f>IFERROR(__xludf.DUMMYFUNCTION("""COMPUTED_VALUE"""),"Portal")</f>
        <v>Portal</v>
      </c>
      <c r="J779" s="265" t="str">
        <f>IFERROR(__xludf.DUMMYFUNCTION("""COMPUTED_VALUE"""),"File Excel")</f>
        <v>File Excel</v>
      </c>
    </row>
    <row r="780">
      <c r="A780" s="265" t="str">
        <f>IFERROR(__xludf.DUMMYFUNCTION("""COMPUTED_VALUE"""),"997")</f>
        <v>997</v>
      </c>
      <c r="B780" s="265" t="str">
        <f>IFERROR(__xludf.DUMMYFUNCTION("""COMPUTED_VALUE"""),"Hà Nội")</f>
        <v>Hà Nội</v>
      </c>
      <c r="C780" s="265" t="str">
        <f>IFERROR(__xludf.DUMMYFUNCTION("""COMPUTED_VALUE"""),"Locked")</f>
        <v>Locked</v>
      </c>
      <c r="D780" s="265" t="str">
        <f>IFERROR(__xludf.DUMMYFUNCTION("""COMPUTED_VALUE"""),"Dịch vụ khác")</f>
        <v>Dịch vụ khác</v>
      </c>
      <c r="E780" s="265" t="str">
        <f>IFERROR(__xludf.DUMMYFUNCTION("""COMPUTED_VALUE"""),"Không phân công")</f>
        <v>Không phân công</v>
      </c>
      <c r="F780" s="265" t="str">
        <f>IFERROR(__xludf.DUMMYFUNCTION("""COMPUTED_VALUE"""),"Sale chưa cung cấp")</f>
        <v>Sale chưa cung cấp</v>
      </c>
      <c r="G780" s="265" t="str">
        <f>IFERROR(__xludf.DUMMYFUNCTION("""COMPUTED_VALUE"""),"Starter")</f>
        <v>Starter</v>
      </c>
      <c r="H780" s="265" t="str">
        <f>IFERROR(__xludf.DUMMYFUNCTION("""COMPUTED_VALUE"""),"Trả sau")</f>
        <v>Trả sau</v>
      </c>
      <c r="I780" s="265" t="str">
        <f>IFERROR(__xludf.DUMMYFUNCTION("""COMPUTED_VALUE"""),"API")</f>
        <v>API</v>
      </c>
      <c r="J780" s="265" t="str">
        <f>IFERROR(__xludf.DUMMYFUNCTION("""COMPUTED_VALUE"""),"API")</f>
        <v>API</v>
      </c>
    </row>
    <row r="781">
      <c r="A781" s="265" t="str">
        <f>IFERROR(__xludf.DUMMYFUNCTION("""COMPUTED_VALUE"""),"998")</f>
        <v>998</v>
      </c>
      <c r="B781" s="265" t="str">
        <f>IFERROR(__xludf.DUMMYFUNCTION("""COMPUTED_VALUE"""),"Hà Nội")</f>
        <v>Hà Nội</v>
      </c>
      <c r="C781" s="265" t="str">
        <f>IFERROR(__xludf.DUMMYFUNCTION("""COMPUTED_VALUE"""),"Locked")</f>
        <v>Locked</v>
      </c>
      <c r="D781" s="265" t="str">
        <f>IFERROR(__xludf.DUMMYFUNCTION("""COMPUTED_VALUE"""),"Truyền thông &amp; Giải trí")</f>
        <v>Truyền thông &amp; Giải trí</v>
      </c>
      <c r="E781" s="265" t="str">
        <f>IFERROR(__xludf.DUMMYFUNCTION("""COMPUTED_VALUE"""),"Không phân công")</f>
        <v>Không phân công</v>
      </c>
      <c r="F781" s="265" t="str">
        <f>IFERROR(__xludf.DUMMYFUNCTION("""COMPUTED_VALUE"""),"Silver")</f>
        <v>Silver</v>
      </c>
      <c r="G781" s="265" t="str">
        <f>IFERROR(__xludf.DUMMYFUNCTION("""COMPUTED_VALUE"""),"Starter")</f>
        <v>Starter</v>
      </c>
      <c r="H781" s="265" t="str">
        <f>IFERROR(__xludf.DUMMYFUNCTION("""COMPUTED_VALUE"""),"Trả sau")</f>
        <v>Trả sau</v>
      </c>
      <c r="I781" s="265" t="str">
        <f>IFERROR(__xludf.DUMMYFUNCTION("""COMPUTED_VALUE"""),"API")</f>
        <v>API</v>
      </c>
      <c r="J781" s="265" t="str">
        <f>IFERROR(__xludf.DUMMYFUNCTION("""COMPUTED_VALUE"""),"API")</f>
        <v>API</v>
      </c>
    </row>
    <row r="782">
      <c r="A782" s="265" t="str">
        <f>IFERROR(__xludf.DUMMYFUNCTION("""COMPUTED_VALUE"""),"999")</f>
        <v>999</v>
      </c>
      <c r="B782" s="265" t="str">
        <f>IFERROR(__xludf.DUMMYFUNCTION("""COMPUTED_VALUE"""),"Hà Nội")</f>
        <v>Hà Nội</v>
      </c>
      <c r="C782" s="265" t="str">
        <f>IFERROR(__xludf.DUMMYFUNCTION("""COMPUTED_VALUE"""),"Locked")</f>
        <v>Locked</v>
      </c>
      <c r="D782" s="265" t="str">
        <f>IFERROR(__xludf.DUMMYFUNCTION("""COMPUTED_VALUE"""),"Dịch vụ khác")</f>
        <v>Dịch vụ khác</v>
      </c>
      <c r="E782" s="265" t="str">
        <f>IFERROR(__xludf.DUMMYFUNCTION("""COMPUTED_VALUE"""),"Không phân công")</f>
        <v>Không phân công</v>
      </c>
      <c r="F782" s="265" t="str">
        <f>IFERROR(__xludf.DUMMYFUNCTION("""COMPUTED_VALUE"""),"Sale chưa cung cấp")</f>
        <v>Sale chưa cung cấp</v>
      </c>
      <c r="G782" s="265" t="str">
        <f>IFERROR(__xludf.DUMMYFUNCTION("""COMPUTED_VALUE"""),"Starter")</f>
        <v>Starter</v>
      </c>
      <c r="H782" s="265" t="str">
        <f>IFERROR(__xludf.DUMMYFUNCTION("""COMPUTED_VALUE"""),"Trả sau")</f>
        <v>Trả sau</v>
      </c>
      <c r="I782" s="265" t="str">
        <f>IFERROR(__xludf.DUMMYFUNCTION("""COMPUTED_VALUE"""),"API")</f>
        <v>API</v>
      </c>
      <c r="J782" s="265" t="str">
        <f>IFERROR(__xludf.DUMMYFUNCTION("""COMPUTED_VALUE"""),"File Excel")</f>
        <v>File Excel</v>
      </c>
    </row>
    <row r="783">
      <c r="A783" s="265" t="str">
        <f>IFERROR(__xludf.DUMMYFUNCTION("""COMPUTED_VALUE"""),"1001")</f>
        <v>1001</v>
      </c>
      <c r="B783" s="265" t="str">
        <f>IFERROR(__xludf.DUMMYFUNCTION("""COMPUTED_VALUE"""),"Hà Nội")</f>
        <v>Hà Nội</v>
      </c>
      <c r="C783" s="265" t="str">
        <f>IFERROR(__xludf.DUMMYFUNCTION("""COMPUTED_VALUE"""),"Locked")</f>
        <v>Locked</v>
      </c>
      <c r="D783" s="265" t="str">
        <f>IFERROR(__xludf.DUMMYFUNCTION("""COMPUTED_VALUE"""),"Truyền thông &amp; Giải trí")</f>
        <v>Truyền thông &amp; Giải trí</v>
      </c>
      <c r="E783" s="265" t="str">
        <f>IFERROR(__xludf.DUMMYFUNCTION("""COMPUTED_VALUE"""),"Không phân công")</f>
        <v>Không phân công</v>
      </c>
      <c r="F783" s="265" t="str">
        <f>IFERROR(__xludf.DUMMYFUNCTION("""COMPUTED_VALUE"""),"Silver")</f>
        <v>Silver</v>
      </c>
      <c r="G783" s="265" t="str">
        <f>IFERROR(__xludf.DUMMYFUNCTION("""COMPUTED_VALUE"""),"Starter")</f>
        <v>Starter</v>
      </c>
      <c r="H783" s="265" t="str">
        <f>IFERROR(__xludf.DUMMYFUNCTION("""COMPUTED_VALUE"""),"Trả sau")</f>
        <v>Trả sau</v>
      </c>
      <c r="I783" s="265" t="str">
        <f>IFERROR(__xludf.DUMMYFUNCTION("""COMPUTED_VALUE"""),"API")</f>
        <v>API</v>
      </c>
      <c r="J783" s="265" t="str">
        <f>IFERROR(__xludf.DUMMYFUNCTION("""COMPUTED_VALUE"""),"API")</f>
        <v>API</v>
      </c>
    </row>
    <row r="784">
      <c r="A784" s="265" t="str">
        <f>IFERROR(__xludf.DUMMYFUNCTION("""COMPUTED_VALUE"""),"1000")</f>
        <v>1000</v>
      </c>
      <c r="B784" s="265" t="str">
        <f>IFERROR(__xludf.DUMMYFUNCTION("""COMPUTED_VALUE"""),"Hà Nội")</f>
        <v>Hà Nội</v>
      </c>
      <c r="C784" s="265" t="str">
        <f>IFERROR(__xludf.DUMMYFUNCTION("""COMPUTED_VALUE"""),"Locked")</f>
        <v>Locked</v>
      </c>
      <c r="D784" s="265" t="str">
        <f>IFERROR(__xludf.DUMMYFUNCTION("""COMPUTED_VALUE"""),"Dịch vụ khác")</f>
        <v>Dịch vụ khác</v>
      </c>
      <c r="E784" s="265" t="str">
        <f>IFERROR(__xludf.DUMMYFUNCTION("""COMPUTED_VALUE"""),"Không phân công")</f>
        <v>Không phân công</v>
      </c>
      <c r="F784" s="265" t="str">
        <f>IFERROR(__xludf.DUMMYFUNCTION("""COMPUTED_VALUE"""),"Sale chưa cung cấp")</f>
        <v>Sale chưa cung cấp</v>
      </c>
      <c r="G784" s="265" t="str">
        <f>IFERROR(__xludf.DUMMYFUNCTION("""COMPUTED_VALUE"""),"Starter")</f>
        <v>Starter</v>
      </c>
      <c r="H784" s="265" t="str">
        <f>IFERROR(__xludf.DUMMYFUNCTION("""COMPUTED_VALUE"""),"Trả sau")</f>
        <v>Trả sau</v>
      </c>
      <c r="I784" s="265" t="str">
        <f>IFERROR(__xludf.DUMMYFUNCTION("""COMPUTED_VALUE"""),"API")</f>
        <v>API</v>
      </c>
      <c r="J784" s="265" t="str">
        <f>IFERROR(__xludf.DUMMYFUNCTION("""COMPUTED_VALUE"""),"File Excel")</f>
        <v>File Excel</v>
      </c>
    </row>
    <row r="785">
      <c r="A785" s="265" t="str">
        <f>IFERROR(__xludf.DUMMYFUNCTION("""COMPUTED_VALUE"""),"1000")</f>
        <v>1000</v>
      </c>
      <c r="B785" s="265" t="str">
        <f>IFERROR(__xludf.DUMMYFUNCTION("""COMPUTED_VALUE"""),"Hà Nội")</f>
        <v>Hà Nội</v>
      </c>
      <c r="C785" s="265" t="str">
        <f>IFERROR(__xludf.DUMMYFUNCTION("""COMPUTED_VALUE"""),"Locked")</f>
        <v>Locked</v>
      </c>
      <c r="D785" s="265" t="str">
        <f>IFERROR(__xludf.DUMMYFUNCTION("""COMPUTED_VALUE"""),"Dịch vụ khác")</f>
        <v>Dịch vụ khác</v>
      </c>
      <c r="E785" s="265" t="str">
        <f>IFERROR(__xludf.DUMMYFUNCTION("""COMPUTED_VALUE"""),"Không phân công")</f>
        <v>Không phân công</v>
      </c>
      <c r="F785" s="265" t="str">
        <f>IFERROR(__xludf.DUMMYFUNCTION("""COMPUTED_VALUE"""),"Sale chưa cung cấp")</f>
        <v>Sale chưa cung cấp</v>
      </c>
      <c r="G785" s="265" t="str">
        <f>IFERROR(__xludf.DUMMYFUNCTION("""COMPUTED_VALUE"""),"Starter")</f>
        <v>Starter</v>
      </c>
      <c r="H785" s="265" t="str">
        <f>IFERROR(__xludf.DUMMYFUNCTION("""COMPUTED_VALUE"""),"Trả sau")</f>
        <v>Trả sau</v>
      </c>
      <c r="I785" s="265" t="str">
        <f>IFERROR(__xludf.DUMMYFUNCTION("""COMPUTED_VALUE"""),"API")</f>
        <v>API</v>
      </c>
      <c r="J785" s="265" t="str">
        <f>IFERROR(__xludf.DUMMYFUNCTION("""COMPUTED_VALUE"""),"API")</f>
        <v>API</v>
      </c>
    </row>
    <row r="786">
      <c r="A786" s="265" t="str">
        <f>IFERROR(__xludf.DUMMYFUNCTION("""COMPUTED_VALUE"""),"1002")</f>
        <v>1002</v>
      </c>
      <c r="B786" s="265" t="str">
        <f>IFERROR(__xludf.DUMMYFUNCTION("""COMPUTED_VALUE"""),"Hà Nội")</f>
        <v>Hà Nội</v>
      </c>
      <c r="C786" s="265" t="str">
        <f>IFERROR(__xludf.DUMMYFUNCTION("""COMPUTED_VALUE"""),"Locked")</f>
        <v>Locked</v>
      </c>
      <c r="D786" s="265" t="str">
        <f>IFERROR(__xludf.DUMMYFUNCTION("""COMPUTED_VALUE"""),"Dịch vụ khác")</f>
        <v>Dịch vụ khác</v>
      </c>
      <c r="E786" s="265" t="str">
        <f>IFERROR(__xludf.DUMMYFUNCTION("""COMPUTED_VALUE"""),"Không phân công")</f>
        <v>Không phân công</v>
      </c>
      <c r="F786" s="265" t="str">
        <f>IFERROR(__xludf.DUMMYFUNCTION("""COMPUTED_VALUE"""),"Sale chưa cung cấp")</f>
        <v>Sale chưa cung cấp</v>
      </c>
      <c r="G786" s="265" t="str">
        <f>IFERROR(__xludf.DUMMYFUNCTION("""COMPUTED_VALUE"""),"Starter")</f>
        <v>Starter</v>
      </c>
      <c r="H786" s="265" t="str">
        <f>IFERROR(__xludf.DUMMYFUNCTION("""COMPUTED_VALUE"""),"Trả sau")</f>
        <v>Trả sau</v>
      </c>
      <c r="I786" s="265" t="str">
        <f>IFERROR(__xludf.DUMMYFUNCTION("""COMPUTED_VALUE"""),"API")</f>
        <v>API</v>
      </c>
      <c r="J786" s="265" t="str">
        <f>IFERROR(__xludf.DUMMYFUNCTION("""COMPUTED_VALUE"""),"API")</f>
        <v>API</v>
      </c>
    </row>
    <row r="787">
      <c r="A787" s="265" t="str">
        <f>IFERROR(__xludf.DUMMYFUNCTION("""COMPUTED_VALUE"""),"1003")</f>
        <v>1003</v>
      </c>
      <c r="B787" s="265" t="str">
        <f>IFERROR(__xludf.DUMMYFUNCTION("""COMPUTED_VALUE"""),"Hà Nội")</f>
        <v>Hà Nội</v>
      </c>
      <c r="C787" s="265" t="str">
        <f>IFERROR(__xludf.DUMMYFUNCTION("""COMPUTED_VALUE"""),"Locked")</f>
        <v>Locked</v>
      </c>
      <c r="D787" s="265" t="str">
        <f>IFERROR(__xludf.DUMMYFUNCTION("""COMPUTED_VALUE"""),"Truyền thông &amp; Giải trí")</f>
        <v>Truyền thông &amp; Giải trí</v>
      </c>
      <c r="E787" s="265" t="str">
        <f>IFERROR(__xludf.DUMMYFUNCTION("""COMPUTED_VALUE"""),"Không phân công")</f>
        <v>Không phân công</v>
      </c>
      <c r="F787" s="265" t="str">
        <f>IFERROR(__xludf.DUMMYFUNCTION("""COMPUTED_VALUE"""),"Bronze")</f>
        <v>Bronze</v>
      </c>
      <c r="G787" s="265" t="str">
        <f>IFERROR(__xludf.DUMMYFUNCTION("""COMPUTED_VALUE"""),"Starter")</f>
        <v>Starter</v>
      </c>
      <c r="H787" s="265" t="str">
        <f>IFERROR(__xludf.DUMMYFUNCTION("""COMPUTED_VALUE"""),"Trả sau")</f>
        <v>Trả sau</v>
      </c>
      <c r="I787" s="265" t="str">
        <f>IFERROR(__xludf.DUMMYFUNCTION("""COMPUTED_VALUE"""),"API")</f>
        <v>API</v>
      </c>
      <c r="J787" s="265" t="str">
        <f>IFERROR(__xludf.DUMMYFUNCTION("""COMPUTED_VALUE"""),"API")</f>
        <v>API</v>
      </c>
    </row>
    <row r="788">
      <c r="A788" s="265" t="str">
        <f>IFERROR(__xludf.DUMMYFUNCTION("""COMPUTED_VALUE"""),"1004")</f>
        <v>1004</v>
      </c>
      <c r="B788" s="265" t="str">
        <f>IFERROR(__xludf.DUMMYFUNCTION("""COMPUTED_VALUE"""),"Sài Gòn")</f>
        <v>Sài Gòn</v>
      </c>
      <c r="C788" s="265" t="str">
        <f>IFERROR(__xludf.DUMMYFUNCTION("""COMPUTED_VALUE"""),"Locked")</f>
        <v>Locked</v>
      </c>
      <c r="D788" s="265" t="str">
        <f>IFERROR(__xludf.DUMMYFUNCTION("""COMPUTED_VALUE"""),"Thực phẩm &amp; Đồ uống")</f>
        <v>Thực phẩm &amp; Đồ uống</v>
      </c>
      <c r="E788" s="265" t="str">
        <f>IFERROR(__xludf.DUMMYFUNCTION("""COMPUTED_VALUE"""),"TrâmNNB")</f>
        <v>TrâmNNB</v>
      </c>
      <c r="F788" s="265" t="str">
        <f>IFERROR(__xludf.DUMMYFUNCTION("""COMPUTED_VALUE"""),"Diamond")</f>
        <v>Diamond</v>
      </c>
      <c r="G788" s="265" t="str">
        <f>IFERROR(__xludf.DUMMYFUNCTION("""COMPUTED_VALUE"""),"Starter")</f>
        <v>Starter</v>
      </c>
      <c r="H788" s="265" t="str">
        <f>IFERROR(__xludf.DUMMYFUNCTION("""COMPUTED_VALUE"""),"Trả sau")</f>
        <v>Trả sau</v>
      </c>
      <c r="I788" s="265" t="str">
        <f>IFERROR(__xludf.DUMMYFUNCTION("""COMPUTED_VALUE"""),"API")</f>
        <v>API</v>
      </c>
      <c r="J788" s="265" t="str">
        <f>IFERROR(__xludf.DUMMYFUNCTION("""COMPUTED_VALUE"""),"API")</f>
        <v>API</v>
      </c>
    </row>
    <row r="789">
      <c r="A789" s="265" t="str">
        <f>IFERROR(__xludf.DUMMYFUNCTION("""COMPUTED_VALUE"""),"1005")</f>
        <v>1005</v>
      </c>
      <c r="B789" s="265" t="str">
        <f>IFERROR(__xludf.DUMMYFUNCTION("""COMPUTED_VALUE"""),"Hà Nội")</f>
        <v>Hà Nội</v>
      </c>
      <c r="C789" s="265" t="str">
        <f>IFERROR(__xludf.DUMMYFUNCTION("""COMPUTED_VALUE"""),"Locked")</f>
        <v>Locked</v>
      </c>
      <c r="D789" s="265" t="str">
        <f>IFERROR(__xludf.DUMMYFUNCTION("""COMPUTED_VALUE"""),"Công nghệ &amp; Phần mềm")</f>
        <v>Công nghệ &amp; Phần mềm</v>
      </c>
      <c r="E789" s="265" t="str">
        <f>IFERROR(__xludf.DUMMYFUNCTION("""COMPUTED_VALUE"""),"Không phân công")</f>
        <v>Không phân công</v>
      </c>
      <c r="F789" s="265" t="str">
        <f>IFERROR(__xludf.DUMMYFUNCTION("""COMPUTED_VALUE"""),"Silver")</f>
        <v>Silver</v>
      </c>
      <c r="G789" s="265" t="str">
        <f>IFERROR(__xludf.DUMMYFUNCTION("""COMPUTED_VALUE"""),"Starter")</f>
        <v>Starter</v>
      </c>
      <c r="H789" s="265" t="str">
        <f>IFERROR(__xludf.DUMMYFUNCTION("""COMPUTED_VALUE"""),"Trả sau")</f>
        <v>Trả sau</v>
      </c>
      <c r="I789" s="265" t="str">
        <f>IFERROR(__xludf.DUMMYFUNCTION("""COMPUTED_VALUE"""),"API")</f>
        <v>API</v>
      </c>
      <c r="J789" s="265" t="str">
        <f>IFERROR(__xludf.DUMMYFUNCTION("""COMPUTED_VALUE"""),"API")</f>
        <v>API</v>
      </c>
    </row>
    <row r="790">
      <c r="A790" s="265" t="str">
        <f>IFERROR(__xludf.DUMMYFUNCTION("""COMPUTED_VALUE"""),"1006")</f>
        <v>1006</v>
      </c>
      <c r="B790" s="265" t="str">
        <f>IFERROR(__xludf.DUMMYFUNCTION("""COMPUTED_VALUE"""),"Hà Nội")</f>
        <v>Hà Nội</v>
      </c>
      <c r="C790" s="265" t="str">
        <f>IFERROR(__xludf.DUMMYFUNCTION("""COMPUTED_VALUE"""),"Locked")</f>
        <v>Locked</v>
      </c>
      <c r="D790" s="265" t="str">
        <f>IFERROR(__xludf.DUMMYFUNCTION("""COMPUTED_VALUE"""),"Tài chính &amp; Ngân hàng")</f>
        <v>Tài chính &amp; Ngân hàng</v>
      </c>
      <c r="E790" s="265" t="str">
        <f>IFERROR(__xludf.DUMMYFUNCTION("""COMPUTED_VALUE"""),"Không phân công")</f>
        <v>Không phân công</v>
      </c>
      <c r="F790" s="265" t="str">
        <f>IFERROR(__xludf.DUMMYFUNCTION("""COMPUTED_VALUE"""),"Silver")</f>
        <v>Silver</v>
      </c>
      <c r="G790" s="265" t="str">
        <f>IFERROR(__xludf.DUMMYFUNCTION("""COMPUTED_VALUE"""),"Starter")</f>
        <v>Starter</v>
      </c>
      <c r="H790" s="265" t="str">
        <f>IFERROR(__xludf.DUMMYFUNCTION("""COMPUTED_VALUE"""),"Trả sau")</f>
        <v>Trả sau</v>
      </c>
      <c r="I790" s="265" t="str">
        <f>IFERROR(__xludf.DUMMYFUNCTION("""COMPUTED_VALUE"""),"API")</f>
        <v>API</v>
      </c>
      <c r="J790" s="265" t="str">
        <f>IFERROR(__xludf.DUMMYFUNCTION("""COMPUTED_VALUE"""),"API")</f>
        <v>API</v>
      </c>
    </row>
    <row r="791">
      <c r="A791" s="265" t="str">
        <f>IFERROR(__xludf.DUMMYFUNCTION("""COMPUTED_VALUE"""),"1007")</f>
        <v>1007</v>
      </c>
      <c r="B791" s="265" t="str">
        <f>IFERROR(__xludf.DUMMYFUNCTION("""COMPUTED_VALUE"""),"Hà Nội")</f>
        <v>Hà Nội</v>
      </c>
      <c r="C791" s="265" t="str">
        <f>IFERROR(__xludf.DUMMYFUNCTION("""COMPUTED_VALUE"""),"Locked")</f>
        <v>Locked</v>
      </c>
      <c r="D791" s="265" t="str">
        <f>IFERROR(__xludf.DUMMYFUNCTION("""COMPUTED_VALUE"""),"Y tế &amp; Dược phẩm")</f>
        <v>Y tế &amp; Dược phẩm</v>
      </c>
      <c r="E791" s="265" t="str">
        <f>IFERROR(__xludf.DUMMYFUNCTION("""COMPUTED_VALUE"""),"Không phân công")</f>
        <v>Không phân công</v>
      </c>
      <c r="F791" s="265" t="str">
        <f>IFERROR(__xludf.DUMMYFUNCTION("""COMPUTED_VALUE"""),"Sale chưa cung cấp")</f>
        <v>Sale chưa cung cấp</v>
      </c>
      <c r="G791" s="265" t="str">
        <f>IFERROR(__xludf.DUMMYFUNCTION("""COMPUTED_VALUE"""),"Starter")</f>
        <v>Starter</v>
      </c>
      <c r="H791" s="265" t="str">
        <f>IFERROR(__xludf.DUMMYFUNCTION("""COMPUTED_VALUE"""),"Trả sau")</f>
        <v>Trả sau</v>
      </c>
      <c r="I791" s="265" t="str">
        <f>IFERROR(__xludf.DUMMYFUNCTION("""COMPUTED_VALUE"""),"API")</f>
        <v>API</v>
      </c>
      <c r="J791" s="265" t="str">
        <f>IFERROR(__xludf.DUMMYFUNCTION("""COMPUTED_VALUE"""),"API")</f>
        <v>API</v>
      </c>
    </row>
    <row r="792">
      <c r="A792" s="265" t="str">
        <f>IFERROR(__xludf.DUMMYFUNCTION("""COMPUTED_VALUE"""),"1008")</f>
        <v>1008</v>
      </c>
      <c r="B792" s="265" t="str">
        <f>IFERROR(__xludf.DUMMYFUNCTION("""COMPUTED_VALUE"""),"Sài Gòn")</f>
        <v>Sài Gòn</v>
      </c>
      <c r="C792" s="265" t="str">
        <f>IFERROR(__xludf.DUMMYFUNCTION("""COMPUTED_VALUE"""),"Active")</f>
        <v>Active</v>
      </c>
      <c r="D792" s="265" t="str">
        <f>IFERROR(__xludf.DUMMYFUNCTION("""COMPUTED_VALUE"""),"Dịch vụ khác")</f>
        <v>Dịch vụ khác</v>
      </c>
      <c r="E792" s="265" t="str">
        <f>IFERROR(__xludf.DUMMYFUNCTION("""COMPUTED_VALUE"""),"Không phân công")</f>
        <v>Không phân công</v>
      </c>
      <c r="F792" s="265" t="str">
        <f>IFERROR(__xludf.DUMMYFUNCTION("""COMPUTED_VALUE"""),"Bronze")</f>
        <v>Bronze</v>
      </c>
      <c r="G792" s="265" t="str">
        <f>IFERROR(__xludf.DUMMYFUNCTION("""COMPUTED_VALUE"""),"Starter")</f>
        <v>Starter</v>
      </c>
      <c r="H792" s="265" t="str">
        <f>IFERROR(__xludf.DUMMYFUNCTION("""COMPUTED_VALUE"""),"Trả sau")</f>
        <v>Trả sau</v>
      </c>
      <c r="I792" s="265" t="str">
        <f>IFERROR(__xludf.DUMMYFUNCTION("""COMPUTED_VALUE"""),"API")</f>
        <v>API</v>
      </c>
      <c r="J792" s="265" t="str">
        <f>IFERROR(__xludf.DUMMYFUNCTION("""COMPUTED_VALUE"""),"API")</f>
        <v>API</v>
      </c>
    </row>
    <row r="793">
      <c r="A793" s="265" t="str">
        <f>IFERROR(__xludf.DUMMYFUNCTION("""COMPUTED_VALUE"""),"1009")</f>
        <v>1009</v>
      </c>
      <c r="B793" s="265" t="str">
        <f>IFERROR(__xludf.DUMMYFUNCTION("""COMPUTED_VALUE"""),"Hà Nội")</f>
        <v>Hà Nội</v>
      </c>
      <c r="C793" s="265" t="str">
        <f>IFERROR(__xludf.DUMMYFUNCTION("""COMPUTED_VALUE"""),"Locked")</f>
        <v>Locked</v>
      </c>
      <c r="D793" s="265" t="str">
        <f>IFERROR(__xludf.DUMMYFUNCTION("""COMPUTED_VALUE"""),"Dịch vụ khác")</f>
        <v>Dịch vụ khác</v>
      </c>
      <c r="E793" s="265" t="str">
        <f>IFERROR(__xludf.DUMMYFUNCTION("""COMPUTED_VALUE"""),"AnhNM")</f>
        <v>AnhNM</v>
      </c>
      <c r="F793" s="265" t="str">
        <f>IFERROR(__xludf.DUMMYFUNCTION("""COMPUTED_VALUE"""),"Bronze")</f>
        <v>Bronze</v>
      </c>
      <c r="G793" s="265" t="str">
        <f>IFERROR(__xludf.DUMMYFUNCTION("""COMPUTED_VALUE"""),"Starter")</f>
        <v>Starter</v>
      </c>
      <c r="H793" s="265" t="str">
        <f>IFERROR(__xludf.DUMMYFUNCTION("""COMPUTED_VALUE"""),"Trial")</f>
        <v>Trial</v>
      </c>
      <c r="I793" s="265" t="str">
        <f>IFERROR(__xludf.DUMMYFUNCTION("""COMPUTED_VALUE"""),"API &amp; Portal")</f>
        <v>API &amp; Portal</v>
      </c>
      <c r="J793" s="265" t="str">
        <f>IFERROR(__xludf.DUMMYFUNCTION("""COMPUTED_VALUE"""),"File Excel")</f>
        <v>File Excel</v>
      </c>
    </row>
    <row r="794">
      <c r="A794" s="265" t="str">
        <f>IFERROR(__xludf.DUMMYFUNCTION("""COMPUTED_VALUE"""),"1009")</f>
        <v>1009</v>
      </c>
      <c r="B794" s="265" t="str">
        <f>IFERROR(__xludf.DUMMYFUNCTION("""COMPUTED_VALUE"""),"Hà Nội")</f>
        <v>Hà Nội</v>
      </c>
      <c r="C794" s="265" t="str">
        <f>IFERROR(__xludf.DUMMYFUNCTION("""COMPUTED_VALUE"""),"Locked")</f>
        <v>Locked</v>
      </c>
      <c r="D794" s="265" t="str">
        <f>IFERROR(__xludf.DUMMYFUNCTION("""COMPUTED_VALUE"""),"Dịch vụ khác")</f>
        <v>Dịch vụ khác</v>
      </c>
      <c r="E794" s="265" t="str">
        <f>IFERROR(__xludf.DUMMYFUNCTION("""COMPUTED_VALUE"""),"AnhNM")</f>
        <v>AnhNM</v>
      </c>
      <c r="F794" s="265" t="str">
        <f>IFERROR(__xludf.DUMMYFUNCTION("""COMPUTED_VALUE"""),"Bronze")</f>
        <v>Bronze</v>
      </c>
      <c r="G794" s="265" t="str">
        <f>IFERROR(__xludf.DUMMYFUNCTION("""COMPUTED_VALUE"""),"Starter")</f>
        <v>Starter</v>
      </c>
      <c r="H794" s="265" t="str">
        <f>IFERROR(__xludf.DUMMYFUNCTION("""COMPUTED_VALUE"""),"Trial")</f>
        <v>Trial</v>
      </c>
      <c r="I794" s="265" t="str">
        <f>IFERROR(__xludf.DUMMYFUNCTION("""COMPUTED_VALUE"""),"API &amp; Portal")</f>
        <v>API &amp; Portal</v>
      </c>
      <c r="J794" s="265" t="str">
        <f>IFERROR(__xludf.DUMMYFUNCTION("""COMPUTED_VALUE"""),"API")</f>
        <v>API</v>
      </c>
    </row>
    <row r="795">
      <c r="A795" s="265" t="str">
        <f>IFERROR(__xludf.DUMMYFUNCTION("""COMPUTED_VALUE"""),"1010")</f>
        <v>1010</v>
      </c>
      <c r="B795" s="265" t="str">
        <f>IFERROR(__xludf.DUMMYFUNCTION("""COMPUTED_VALUE"""),"Sài Gòn")</f>
        <v>Sài Gòn</v>
      </c>
      <c r="C795" s="265" t="str">
        <f>IFERROR(__xludf.DUMMYFUNCTION("""COMPUTED_VALUE"""),"Locked")</f>
        <v>Locked</v>
      </c>
      <c r="D795" s="265" t="str">
        <f>IFERROR(__xludf.DUMMYFUNCTION("""COMPUTED_VALUE"""),"Bất động sản")</f>
        <v>Bất động sản</v>
      </c>
      <c r="E795" s="265" t="str">
        <f>IFERROR(__xludf.DUMMYFUNCTION("""COMPUTED_VALUE"""),"Không phân công")</f>
        <v>Không phân công</v>
      </c>
      <c r="F795" s="265" t="str">
        <f>IFERROR(__xludf.DUMMYFUNCTION("""COMPUTED_VALUE"""),"Sale chưa cung cấp")</f>
        <v>Sale chưa cung cấp</v>
      </c>
      <c r="G795" s="265" t="str">
        <f>IFERROR(__xludf.DUMMYFUNCTION("""COMPUTED_VALUE"""),"Starter")</f>
        <v>Starter</v>
      </c>
      <c r="H795" s="265" t="str">
        <f>IFERROR(__xludf.DUMMYFUNCTION("""COMPUTED_VALUE"""),"Trả sau")</f>
        <v>Trả sau</v>
      </c>
      <c r="I795" s="265" t="str">
        <f>IFERROR(__xludf.DUMMYFUNCTION("""COMPUTED_VALUE"""),"API")</f>
        <v>API</v>
      </c>
      <c r="J795" s="265" t="str">
        <f>IFERROR(__xludf.DUMMYFUNCTION("""COMPUTED_VALUE"""),"API")</f>
        <v>API</v>
      </c>
    </row>
    <row r="796">
      <c r="A796" s="265" t="str">
        <f>IFERROR(__xludf.DUMMYFUNCTION("""COMPUTED_VALUE"""),"1011")</f>
        <v>1011</v>
      </c>
      <c r="B796" s="265" t="str">
        <f>IFERROR(__xludf.DUMMYFUNCTION("""COMPUTED_VALUE"""),"Hà Nội")</f>
        <v>Hà Nội</v>
      </c>
      <c r="C796" s="265" t="str">
        <f>IFERROR(__xludf.DUMMYFUNCTION("""COMPUTED_VALUE"""),"Locked")</f>
        <v>Locked</v>
      </c>
      <c r="D796" s="265" t="str">
        <f>IFERROR(__xludf.DUMMYFUNCTION("""COMPUTED_VALUE"""),"Dịch vụ khác")</f>
        <v>Dịch vụ khác</v>
      </c>
      <c r="E796" s="265" t="str">
        <f>IFERROR(__xludf.DUMMYFUNCTION("""COMPUTED_VALUE"""),"Không phân công")</f>
        <v>Không phân công</v>
      </c>
      <c r="F796" s="265" t="str">
        <f>IFERROR(__xludf.DUMMYFUNCTION("""COMPUTED_VALUE"""),"Sale chưa cung cấp")</f>
        <v>Sale chưa cung cấp</v>
      </c>
      <c r="G796" s="265" t="str">
        <f>IFERROR(__xludf.DUMMYFUNCTION("""COMPUTED_VALUE"""),"Starter")</f>
        <v>Starter</v>
      </c>
      <c r="H796" s="265" t="str">
        <f>IFERROR(__xludf.DUMMYFUNCTION("""COMPUTED_VALUE"""),"Trả sau")</f>
        <v>Trả sau</v>
      </c>
      <c r="I796" s="265" t="str">
        <f>IFERROR(__xludf.DUMMYFUNCTION("""COMPUTED_VALUE"""),"API")</f>
        <v>API</v>
      </c>
      <c r="J796" s="265" t="str">
        <f>IFERROR(__xludf.DUMMYFUNCTION("""COMPUTED_VALUE"""),"API")</f>
        <v>API</v>
      </c>
    </row>
    <row r="797">
      <c r="A797" s="265" t="str">
        <f>IFERROR(__xludf.DUMMYFUNCTION("""COMPUTED_VALUE"""),"1012")</f>
        <v>1012</v>
      </c>
      <c r="B797" s="265" t="str">
        <f>IFERROR(__xludf.DUMMYFUNCTION("""COMPUTED_VALUE"""),"Sài Gòn")</f>
        <v>Sài Gòn</v>
      </c>
      <c r="C797" s="265" t="str">
        <f>IFERROR(__xludf.DUMMYFUNCTION("""COMPUTED_VALUE"""),"Active")</f>
        <v>Active</v>
      </c>
      <c r="D797" s="265" t="str">
        <f>IFERROR(__xludf.DUMMYFUNCTION("""COMPUTED_VALUE"""),"Viễn thông")</f>
        <v>Viễn thông</v>
      </c>
      <c r="E797" s="265" t="str">
        <f>IFERROR(__xludf.DUMMYFUNCTION("""COMPUTED_VALUE"""),"AnhNM")</f>
        <v>AnhNM</v>
      </c>
      <c r="F797" s="265" t="str">
        <f>IFERROR(__xludf.DUMMYFUNCTION("""COMPUTED_VALUE"""),"Sale chưa cung cấp")</f>
        <v>Sale chưa cung cấp</v>
      </c>
      <c r="G797" s="265" t="str">
        <f>IFERROR(__xludf.DUMMYFUNCTION("""COMPUTED_VALUE"""),"Standard")</f>
        <v>Standard</v>
      </c>
      <c r="H797" s="265" t="str">
        <f>IFERROR(__xludf.DUMMYFUNCTION("""COMPUTED_VALUE"""),"Trả sau")</f>
        <v>Trả sau</v>
      </c>
      <c r="I797" s="265" t="str">
        <f>IFERROR(__xludf.DUMMYFUNCTION("""COMPUTED_VALUE"""),"Portal")</f>
        <v>Portal</v>
      </c>
      <c r="J797" s="265" t="str">
        <f>IFERROR(__xludf.DUMMYFUNCTION("""COMPUTED_VALUE"""),"File Excel")</f>
        <v>File Excel</v>
      </c>
    </row>
    <row r="798">
      <c r="A798" s="265" t="str">
        <f>IFERROR(__xludf.DUMMYFUNCTION("""COMPUTED_VALUE"""),"1013")</f>
        <v>1013</v>
      </c>
      <c r="B798" s="265" t="str">
        <f>IFERROR(__xludf.DUMMYFUNCTION("""COMPUTED_VALUE"""),"Sài Gòn")</f>
        <v>Sài Gòn</v>
      </c>
      <c r="C798" s="265" t="str">
        <f>IFERROR(__xludf.DUMMYFUNCTION("""COMPUTED_VALUE"""),"Active")</f>
        <v>Active</v>
      </c>
      <c r="D798" s="265" t="str">
        <f>IFERROR(__xludf.DUMMYFUNCTION("""COMPUTED_VALUE"""),"Mua sắm &amp; Bán lẻ")</f>
        <v>Mua sắm &amp; Bán lẻ</v>
      </c>
      <c r="E798" s="265" t="str">
        <f>IFERROR(__xludf.DUMMYFUNCTION("""COMPUTED_VALUE"""),"Không phân công")</f>
        <v>Không phân công</v>
      </c>
      <c r="F798" s="265" t="str">
        <f>IFERROR(__xludf.DUMMYFUNCTION("""COMPUTED_VALUE"""),"Diamond")</f>
        <v>Diamond</v>
      </c>
      <c r="G798" s="265" t="str">
        <f>IFERROR(__xludf.DUMMYFUNCTION("""COMPUTED_VALUE"""),"Starter")</f>
        <v>Starter</v>
      </c>
      <c r="H798" s="265" t="str">
        <f>IFERROR(__xludf.DUMMYFUNCTION("""COMPUTED_VALUE"""),"Trả sau")</f>
        <v>Trả sau</v>
      </c>
      <c r="I798" s="265" t="str">
        <f>IFERROR(__xludf.DUMMYFUNCTION("""COMPUTED_VALUE"""),"API")</f>
        <v>API</v>
      </c>
      <c r="J798" s="265" t="str">
        <f>IFERROR(__xludf.DUMMYFUNCTION("""COMPUTED_VALUE"""),"API")</f>
        <v>API</v>
      </c>
    </row>
    <row r="799">
      <c r="A799" s="265" t="str">
        <f>IFERROR(__xludf.DUMMYFUNCTION("""COMPUTED_VALUE"""),"1014")</f>
        <v>1014</v>
      </c>
      <c r="B799" s="265" t="str">
        <f>IFERROR(__xludf.DUMMYFUNCTION("""COMPUTED_VALUE"""),"Sài Gòn")</f>
        <v>Sài Gòn</v>
      </c>
      <c r="C799" s="265" t="str">
        <f>IFERROR(__xludf.DUMMYFUNCTION("""COMPUTED_VALUE"""),"Active")</f>
        <v>Active</v>
      </c>
      <c r="D799" s="265" t="str">
        <f>IFERROR(__xludf.DUMMYFUNCTION("""COMPUTED_VALUE"""),"Dịch vụ khác")</f>
        <v>Dịch vụ khác</v>
      </c>
      <c r="E799" s="265" t="str">
        <f>IFERROR(__xludf.DUMMYFUNCTION("""COMPUTED_VALUE"""),"AnhNM")</f>
        <v>AnhNM</v>
      </c>
      <c r="F799" s="265" t="str">
        <f>IFERROR(__xludf.DUMMYFUNCTION("""COMPUTED_VALUE"""),"Diamond")</f>
        <v>Diamond</v>
      </c>
      <c r="G799" s="265" t="str">
        <f>IFERROR(__xludf.DUMMYFUNCTION("""COMPUTED_VALUE"""),"Premium")</f>
        <v>Premium</v>
      </c>
      <c r="H799" s="265" t="str">
        <f>IFERROR(__xludf.DUMMYFUNCTION("""COMPUTED_VALUE"""),"Trả sau")</f>
        <v>Trả sau</v>
      </c>
      <c r="I799" s="265" t="str">
        <f>IFERROR(__xludf.DUMMYFUNCTION("""COMPUTED_VALUE"""),"API &amp; Portal")</f>
        <v>API &amp; Portal</v>
      </c>
      <c r="J799" s="265" t="str">
        <f>IFERROR(__xludf.DUMMYFUNCTION("""COMPUTED_VALUE"""),"File Excel")</f>
        <v>File Excel</v>
      </c>
    </row>
    <row r="800">
      <c r="A800" s="265" t="str">
        <f>IFERROR(__xludf.DUMMYFUNCTION("""COMPUTED_VALUE"""),"1014")</f>
        <v>1014</v>
      </c>
      <c r="B800" s="265" t="str">
        <f>IFERROR(__xludf.DUMMYFUNCTION("""COMPUTED_VALUE"""),"Sài Gòn")</f>
        <v>Sài Gòn</v>
      </c>
      <c r="C800" s="265" t="str">
        <f>IFERROR(__xludf.DUMMYFUNCTION("""COMPUTED_VALUE"""),"Active")</f>
        <v>Active</v>
      </c>
      <c r="D800" s="265" t="str">
        <f>IFERROR(__xludf.DUMMYFUNCTION("""COMPUTED_VALUE"""),"Dịch vụ khác")</f>
        <v>Dịch vụ khác</v>
      </c>
      <c r="E800" s="265" t="str">
        <f>IFERROR(__xludf.DUMMYFUNCTION("""COMPUTED_VALUE"""),"AnhNM")</f>
        <v>AnhNM</v>
      </c>
      <c r="F800" s="265" t="str">
        <f>IFERROR(__xludf.DUMMYFUNCTION("""COMPUTED_VALUE"""),"Diamond")</f>
        <v>Diamond</v>
      </c>
      <c r="G800" s="265" t="str">
        <f>IFERROR(__xludf.DUMMYFUNCTION("""COMPUTED_VALUE"""),"Premium")</f>
        <v>Premium</v>
      </c>
      <c r="H800" s="265" t="str">
        <f>IFERROR(__xludf.DUMMYFUNCTION("""COMPUTED_VALUE"""),"Trả sau")</f>
        <v>Trả sau</v>
      </c>
      <c r="I800" s="265" t="str">
        <f>IFERROR(__xludf.DUMMYFUNCTION("""COMPUTED_VALUE"""),"API &amp; Portal")</f>
        <v>API &amp; Portal</v>
      </c>
      <c r="J800" s="265" t="str">
        <f>IFERROR(__xludf.DUMMYFUNCTION("""COMPUTED_VALUE"""),"API")</f>
        <v>API</v>
      </c>
    </row>
    <row r="801">
      <c r="A801" s="265" t="str">
        <f>IFERROR(__xludf.DUMMYFUNCTION("""COMPUTED_VALUE"""),"1015")</f>
        <v>1015</v>
      </c>
      <c r="B801" s="265" t="str">
        <f>IFERROR(__xludf.DUMMYFUNCTION("""COMPUTED_VALUE"""),"Hà Nội")</f>
        <v>Hà Nội</v>
      </c>
      <c r="C801" s="265" t="str">
        <f>IFERROR(__xludf.DUMMYFUNCTION("""COMPUTED_VALUE"""),"Locked")</f>
        <v>Locked</v>
      </c>
      <c r="D801" s="265" t="str">
        <f>IFERROR(__xludf.DUMMYFUNCTION("""COMPUTED_VALUE"""),"Mua sắm &amp; Bán lẻ")</f>
        <v>Mua sắm &amp; Bán lẻ</v>
      </c>
      <c r="E801" s="265" t="str">
        <f>IFERROR(__xludf.DUMMYFUNCTION("""COMPUTED_VALUE"""),"AnhNM")</f>
        <v>AnhNM</v>
      </c>
      <c r="F801" s="265" t="str">
        <f>IFERROR(__xludf.DUMMYFUNCTION("""COMPUTED_VALUE"""),"Diamond")</f>
        <v>Diamond</v>
      </c>
      <c r="G801" s="265" t="str">
        <f>IFERROR(__xludf.DUMMYFUNCTION("""COMPUTED_VALUE"""),"Premium")</f>
        <v>Premium</v>
      </c>
      <c r="H801" s="265" t="str">
        <f>IFERROR(__xludf.DUMMYFUNCTION("""COMPUTED_VALUE"""),"Trial")</f>
        <v>Trial</v>
      </c>
      <c r="I801" s="265" t="str">
        <f>IFERROR(__xludf.DUMMYFUNCTION("""COMPUTED_VALUE"""),"API &amp; Portal")</f>
        <v>API &amp; Portal</v>
      </c>
      <c r="J801" s="265" t="str">
        <f>IFERROR(__xludf.DUMMYFUNCTION("""COMPUTED_VALUE"""),"File Excel")</f>
        <v>File Excel</v>
      </c>
    </row>
    <row r="802">
      <c r="A802" s="265" t="str">
        <f>IFERROR(__xludf.DUMMYFUNCTION("""COMPUTED_VALUE"""),"1015")</f>
        <v>1015</v>
      </c>
      <c r="B802" s="265" t="str">
        <f>IFERROR(__xludf.DUMMYFUNCTION("""COMPUTED_VALUE"""),"Hà Nội")</f>
        <v>Hà Nội</v>
      </c>
      <c r="C802" s="265" t="str">
        <f>IFERROR(__xludf.DUMMYFUNCTION("""COMPUTED_VALUE"""),"Locked")</f>
        <v>Locked</v>
      </c>
      <c r="D802" s="265" t="str">
        <f>IFERROR(__xludf.DUMMYFUNCTION("""COMPUTED_VALUE"""),"Mua sắm &amp; Bán lẻ")</f>
        <v>Mua sắm &amp; Bán lẻ</v>
      </c>
      <c r="E802" s="265" t="str">
        <f>IFERROR(__xludf.DUMMYFUNCTION("""COMPUTED_VALUE"""),"AnhNM")</f>
        <v>AnhNM</v>
      </c>
      <c r="F802" s="265" t="str">
        <f>IFERROR(__xludf.DUMMYFUNCTION("""COMPUTED_VALUE"""),"Diamond")</f>
        <v>Diamond</v>
      </c>
      <c r="G802" s="265" t="str">
        <f>IFERROR(__xludf.DUMMYFUNCTION("""COMPUTED_VALUE"""),"Premium")</f>
        <v>Premium</v>
      </c>
      <c r="H802" s="265" t="str">
        <f>IFERROR(__xludf.DUMMYFUNCTION("""COMPUTED_VALUE"""),"Trial")</f>
        <v>Trial</v>
      </c>
      <c r="I802" s="265" t="str">
        <f>IFERROR(__xludf.DUMMYFUNCTION("""COMPUTED_VALUE"""),"API &amp; Portal")</f>
        <v>API &amp; Portal</v>
      </c>
      <c r="J802" s="265" t="str">
        <f>IFERROR(__xludf.DUMMYFUNCTION("""COMPUTED_VALUE"""),"API")</f>
        <v>API</v>
      </c>
    </row>
    <row r="803">
      <c r="A803" s="265" t="str">
        <f>IFERROR(__xludf.DUMMYFUNCTION("""COMPUTED_VALUE"""),"1016")</f>
        <v>1016</v>
      </c>
      <c r="B803" s="265" t="str">
        <f>IFERROR(__xludf.DUMMYFUNCTION("""COMPUTED_VALUE"""),"Sài Gòn")</f>
        <v>Sài Gòn</v>
      </c>
      <c r="C803" s="265" t="str">
        <f>IFERROR(__xludf.DUMMYFUNCTION("""COMPUTED_VALUE"""),"Locked")</f>
        <v>Locked</v>
      </c>
      <c r="D803" s="265" t="str">
        <f>IFERROR(__xludf.DUMMYFUNCTION("""COMPUTED_VALUE"""),"Thực phẩm &amp; Đồ uống")</f>
        <v>Thực phẩm &amp; Đồ uống</v>
      </c>
      <c r="E803" s="265" t="str">
        <f>IFERROR(__xludf.DUMMYFUNCTION("""COMPUTED_VALUE"""),"TúPHN")</f>
        <v>TúPHN</v>
      </c>
      <c r="F803" s="265" t="str">
        <f>IFERROR(__xludf.DUMMYFUNCTION("""COMPUTED_VALUE"""),"Gold")</f>
        <v>Gold</v>
      </c>
      <c r="G803" s="265" t="str">
        <f>IFERROR(__xludf.DUMMYFUNCTION("""COMPUTED_VALUE"""),"Standard")</f>
        <v>Standard</v>
      </c>
      <c r="H803" s="265" t="str">
        <f>IFERROR(__xludf.DUMMYFUNCTION("""COMPUTED_VALUE"""),"Trả sau")</f>
        <v>Trả sau</v>
      </c>
      <c r="I803" s="265" t="str">
        <f>IFERROR(__xludf.DUMMYFUNCTION("""COMPUTED_VALUE"""),"Portal")</f>
        <v>Portal</v>
      </c>
      <c r="J803" s="265" t="str">
        <f>IFERROR(__xludf.DUMMYFUNCTION("""COMPUTED_VALUE"""),"File Excel")</f>
        <v>File Excel</v>
      </c>
    </row>
    <row r="804">
      <c r="A804" s="265" t="str">
        <f>IFERROR(__xludf.DUMMYFUNCTION("""COMPUTED_VALUE"""),"1017")</f>
        <v>1017</v>
      </c>
      <c r="B804" s="265" t="str">
        <f>IFERROR(__xludf.DUMMYFUNCTION("""COMPUTED_VALUE"""),"Hà Nội")</f>
        <v>Hà Nội</v>
      </c>
      <c r="C804" s="265" t="str">
        <f>IFERROR(__xludf.DUMMYFUNCTION("""COMPUTED_VALUE"""),"Locked")</f>
        <v>Locked</v>
      </c>
      <c r="D804" s="265" t="str">
        <f>IFERROR(__xludf.DUMMYFUNCTION("""COMPUTED_VALUE"""),"Truyền thông &amp; Giải trí")</f>
        <v>Truyền thông &amp; Giải trí</v>
      </c>
      <c r="E804" s="265" t="str">
        <f>IFERROR(__xludf.DUMMYFUNCTION("""COMPUTED_VALUE"""),"TúPHN")</f>
        <v>TúPHN</v>
      </c>
      <c r="F804" s="265" t="str">
        <f>IFERROR(__xludf.DUMMYFUNCTION("""COMPUTED_VALUE"""),"Bronze")</f>
        <v>Bronze</v>
      </c>
      <c r="G804" s="265" t="str">
        <f>IFERROR(__xludf.DUMMYFUNCTION("""COMPUTED_VALUE"""),"Starter")</f>
        <v>Starter</v>
      </c>
      <c r="H804" s="265" t="str">
        <f>IFERROR(__xludf.DUMMYFUNCTION("""COMPUTED_VALUE"""),"Trả trước")</f>
        <v>Trả trước</v>
      </c>
      <c r="I804" s="265" t="str">
        <f>IFERROR(__xludf.DUMMYFUNCTION("""COMPUTED_VALUE"""),"Portal")</f>
        <v>Portal</v>
      </c>
      <c r="J804" s="265" t="str">
        <f>IFERROR(__xludf.DUMMYFUNCTION("""COMPUTED_VALUE"""),"File Excel")</f>
        <v>File Excel</v>
      </c>
    </row>
    <row r="805">
      <c r="A805" s="265" t="str">
        <f>IFERROR(__xludf.DUMMYFUNCTION("""COMPUTED_VALUE"""),"1018")</f>
        <v>1018</v>
      </c>
      <c r="B805" s="265" t="str">
        <f>IFERROR(__xludf.DUMMYFUNCTION("""COMPUTED_VALUE"""),"Hà Nội")</f>
        <v>Hà Nội</v>
      </c>
      <c r="C805" s="265" t="str">
        <f>IFERROR(__xludf.DUMMYFUNCTION("""COMPUTED_VALUE"""),"Locked")</f>
        <v>Locked</v>
      </c>
      <c r="D805" s="265" t="str">
        <f>IFERROR(__xludf.DUMMYFUNCTION("""COMPUTED_VALUE"""),"Sale chưa cung cấp")</f>
        <v>Sale chưa cung cấp</v>
      </c>
      <c r="E805" s="265" t="str">
        <f>IFERROR(__xludf.DUMMYFUNCTION("""COMPUTED_VALUE"""),"TúPHN")</f>
        <v>TúPHN</v>
      </c>
      <c r="F805" s="265" t="str">
        <f>IFERROR(__xludf.DUMMYFUNCTION("""COMPUTED_VALUE"""),"Bronze")</f>
        <v>Bronze</v>
      </c>
      <c r="G805" s="265" t="str">
        <f>IFERROR(__xludf.DUMMYFUNCTION("""COMPUTED_VALUE"""),"Starter")</f>
        <v>Starter</v>
      </c>
      <c r="H805" s="265" t="str">
        <f>IFERROR(__xludf.DUMMYFUNCTION("""COMPUTED_VALUE"""),"Trial")</f>
        <v>Trial</v>
      </c>
      <c r="I805" s="265" t="str">
        <f>IFERROR(__xludf.DUMMYFUNCTION("""COMPUTED_VALUE"""),"API &amp; Portal")</f>
        <v>API &amp; Portal</v>
      </c>
      <c r="J805" s="265" t="str">
        <f>IFERROR(__xludf.DUMMYFUNCTION("""COMPUTED_VALUE"""),"File Excel")</f>
        <v>File Excel</v>
      </c>
    </row>
    <row r="806">
      <c r="A806" s="265" t="str">
        <f>IFERROR(__xludf.DUMMYFUNCTION("""COMPUTED_VALUE"""),"1018")</f>
        <v>1018</v>
      </c>
      <c r="B806" s="265" t="str">
        <f>IFERROR(__xludf.DUMMYFUNCTION("""COMPUTED_VALUE"""),"Hà Nội")</f>
        <v>Hà Nội</v>
      </c>
      <c r="C806" s="265" t="str">
        <f>IFERROR(__xludf.DUMMYFUNCTION("""COMPUTED_VALUE"""),"Locked")</f>
        <v>Locked</v>
      </c>
      <c r="D806" s="265" t="str">
        <f>IFERROR(__xludf.DUMMYFUNCTION("""COMPUTED_VALUE"""),"Sale chưa cung cấp")</f>
        <v>Sale chưa cung cấp</v>
      </c>
      <c r="E806" s="265" t="str">
        <f>IFERROR(__xludf.DUMMYFUNCTION("""COMPUTED_VALUE"""),"TúPHN")</f>
        <v>TúPHN</v>
      </c>
      <c r="F806" s="265" t="str">
        <f>IFERROR(__xludf.DUMMYFUNCTION("""COMPUTED_VALUE"""),"Bronze")</f>
        <v>Bronze</v>
      </c>
      <c r="G806" s="265" t="str">
        <f>IFERROR(__xludf.DUMMYFUNCTION("""COMPUTED_VALUE"""),"Starter")</f>
        <v>Starter</v>
      </c>
      <c r="H806" s="265" t="str">
        <f>IFERROR(__xludf.DUMMYFUNCTION("""COMPUTED_VALUE"""),"Trial")</f>
        <v>Trial</v>
      </c>
      <c r="I806" s="265" t="str">
        <f>IFERROR(__xludf.DUMMYFUNCTION("""COMPUTED_VALUE"""),"API &amp; Portal")</f>
        <v>API &amp; Portal</v>
      </c>
      <c r="J806" s="265" t="str">
        <f>IFERROR(__xludf.DUMMYFUNCTION("""COMPUTED_VALUE"""),"API")</f>
        <v>API</v>
      </c>
    </row>
    <row r="807">
      <c r="A807" s="265" t="str">
        <f>IFERROR(__xludf.DUMMYFUNCTION("""COMPUTED_VALUE"""),"1019")</f>
        <v>1019</v>
      </c>
      <c r="B807" s="265" t="str">
        <f>IFERROR(__xludf.DUMMYFUNCTION("""COMPUTED_VALUE"""),"Hà Nội")</f>
        <v>Hà Nội</v>
      </c>
      <c r="C807" s="265" t="str">
        <f>IFERROR(__xludf.DUMMYFUNCTION("""COMPUTED_VALUE"""),"Active")</f>
        <v>Active</v>
      </c>
      <c r="D807" s="265" t="str">
        <f>IFERROR(__xludf.DUMMYFUNCTION("""COMPUTED_VALUE"""),"Sale chưa cung cấp")</f>
        <v>Sale chưa cung cấp</v>
      </c>
      <c r="E807" s="265" t="str">
        <f>IFERROR(__xludf.DUMMYFUNCTION("""COMPUTED_VALUE"""),"TúPHN")</f>
        <v>TúPHN</v>
      </c>
      <c r="F807" s="265" t="str">
        <f>IFERROR(__xludf.DUMMYFUNCTION("""COMPUTED_VALUE"""),"Silver")</f>
        <v>Silver</v>
      </c>
      <c r="G807" s="265" t="str">
        <f>IFERROR(__xludf.DUMMYFUNCTION("""COMPUTED_VALUE"""),"Premium")</f>
        <v>Premium</v>
      </c>
      <c r="H807" s="265" t="str">
        <f>IFERROR(__xludf.DUMMYFUNCTION("""COMPUTED_VALUE"""),"Trả sau")</f>
        <v>Trả sau</v>
      </c>
      <c r="I807" s="265" t="str">
        <f>IFERROR(__xludf.DUMMYFUNCTION("""COMPUTED_VALUE"""),"API")</f>
        <v>API</v>
      </c>
      <c r="J807" s="265" t="str">
        <f>IFERROR(__xludf.DUMMYFUNCTION("""COMPUTED_VALUE"""),"HubSpot")</f>
        <v>HubSpot</v>
      </c>
    </row>
    <row r="808">
      <c r="A808" s="265" t="str">
        <f>IFERROR(__xludf.DUMMYFUNCTION("""COMPUTED_VALUE"""),"1020")</f>
        <v>1020</v>
      </c>
      <c r="B808" s="265" t="str">
        <f>IFERROR(__xludf.DUMMYFUNCTION("""COMPUTED_VALUE"""),"Sài Gòn")</f>
        <v>Sài Gòn</v>
      </c>
      <c r="C808" s="265" t="str">
        <f>IFERROR(__xludf.DUMMYFUNCTION("""COMPUTED_VALUE"""),"Locked")</f>
        <v>Locked</v>
      </c>
      <c r="D808" s="265" t="str">
        <f>IFERROR(__xludf.DUMMYFUNCTION("""COMPUTED_VALUE"""),"Y tế &amp; Dược phẩm")</f>
        <v>Y tế &amp; Dược phẩm</v>
      </c>
      <c r="E808" s="265" t="str">
        <f>IFERROR(__xludf.DUMMYFUNCTION("""COMPUTED_VALUE"""),"AnhNM")</f>
        <v>AnhNM</v>
      </c>
      <c r="F808" s="265" t="str">
        <f>IFERROR(__xludf.DUMMYFUNCTION("""COMPUTED_VALUE"""),"Bronze")</f>
        <v>Bronze</v>
      </c>
      <c r="G808" s="265" t="str">
        <f>IFERROR(__xludf.DUMMYFUNCTION("""COMPUTED_VALUE"""),"Starter")</f>
        <v>Starter</v>
      </c>
      <c r="H808" s="265" t="str">
        <f>IFERROR(__xludf.DUMMYFUNCTION("""COMPUTED_VALUE"""),"Trial")</f>
        <v>Trial</v>
      </c>
      <c r="I808" s="265" t="str">
        <f>IFERROR(__xludf.DUMMYFUNCTION("""COMPUTED_VALUE"""),"Portal")</f>
        <v>Portal</v>
      </c>
      <c r="J808" s="265" t="str">
        <f>IFERROR(__xludf.DUMMYFUNCTION("""COMPUTED_VALUE"""),"File Excel")</f>
        <v>File Excel</v>
      </c>
    </row>
    <row r="809">
      <c r="A809" s="265" t="str">
        <f>IFERROR(__xludf.DUMMYFUNCTION("""COMPUTED_VALUE"""),"1021")</f>
        <v>1021</v>
      </c>
      <c r="B809" s="265" t="str">
        <f>IFERROR(__xludf.DUMMYFUNCTION("""COMPUTED_VALUE"""),"Hà Nội")</f>
        <v>Hà Nội</v>
      </c>
      <c r="C809" s="265" t="str">
        <f>IFERROR(__xludf.DUMMYFUNCTION("""COMPUTED_VALUE"""),"Locked")</f>
        <v>Locked</v>
      </c>
      <c r="D809" s="265" t="str">
        <f>IFERROR(__xludf.DUMMYFUNCTION("""COMPUTED_VALUE"""),"Công nghệ &amp; Phần mềm")</f>
        <v>Công nghệ &amp; Phần mềm</v>
      </c>
      <c r="E809" s="265" t="str">
        <f>IFERROR(__xludf.DUMMYFUNCTION("""COMPUTED_VALUE"""),"TúPHN")</f>
        <v>TúPHN</v>
      </c>
      <c r="F809" s="265" t="str">
        <f>IFERROR(__xludf.DUMMYFUNCTION("""COMPUTED_VALUE"""),"Gold")</f>
        <v>Gold</v>
      </c>
      <c r="G809" s="265" t="str">
        <f>IFERROR(__xludf.DUMMYFUNCTION("""COMPUTED_VALUE"""),"Starter")</f>
        <v>Starter</v>
      </c>
      <c r="H809" s="265" t="str">
        <f>IFERROR(__xludf.DUMMYFUNCTION("""COMPUTED_VALUE"""),"Trả sau")</f>
        <v>Trả sau</v>
      </c>
      <c r="I809" s="265" t="str">
        <f>IFERROR(__xludf.DUMMYFUNCTION("""COMPUTED_VALUE"""),"API")</f>
        <v>API</v>
      </c>
      <c r="J809" s="265" t="str">
        <f>IFERROR(__xludf.DUMMYFUNCTION("""COMPUTED_VALUE"""),"API")</f>
        <v>API</v>
      </c>
    </row>
    <row r="810">
      <c r="A810" s="265" t="str">
        <f>IFERROR(__xludf.DUMMYFUNCTION("""COMPUTED_VALUE"""),"1022")</f>
        <v>1022</v>
      </c>
      <c r="B810" s="265" t="str">
        <f>IFERROR(__xludf.DUMMYFUNCTION("""COMPUTED_VALUE"""),"Sài Gòn")</f>
        <v>Sài Gòn</v>
      </c>
      <c r="C810" s="265" t="str">
        <f>IFERROR(__xludf.DUMMYFUNCTION("""COMPUTED_VALUE"""),"Active")</f>
        <v>Active</v>
      </c>
      <c r="D810" s="265" t="str">
        <f>IFERROR(__xludf.DUMMYFUNCTION("""COMPUTED_VALUE"""),"Mua sắm &amp; Bán lẻ")</f>
        <v>Mua sắm &amp; Bán lẻ</v>
      </c>
      <c r="E810" s="265" t="str">
        <f>IFERROR(__xludf.DUMMYFUNCTION("""COMPUTED_VALUE"""),"TrâmNNB")</f>
        <v>TrâmNNB</v>
      </c>
      <c r="F810" s="265" t="str">
        <f>IFERROR(__xludf.DUMMYFUNCTION("""COMPUTED_VALUE"""),"Diamond")</f>
        <v>Diamond</v>
      </c>
      <c r="G810" s="265" t="str">
        <f>IFERROR(__xludf.DUMMYFUNCTION("""COMPUTED_VALUE"""),"Premium")</f>
        <v>Premium</v>
      </c>
      <c r="H810" s="265" t="str">
        <f>IFERROR(__xludf.DUMMYFUNCTION("""COMPUTED_VALUE"""),"Trả sau")</f>
        <v>Trả sau</v>
      </c>
      <c r="I810" s="265" t="str">
        <f>IFERROR(__xludf.DUMMYFUNCTION("""COMPUTED_VALUE"""),"API")</f>
        <v>API</v>
      </c>
      <c r="J810" s="265" t="str">
        <f>IFERROR(__xludf.DUMMYFUNCTION("""COMPUTED_VALUE"""),"API")</f>
        <v>API</v>
      </c>
    </row>
    <row r="811">
      <c r="A811" s="265" t="str">
        <f>IFERROR(__xludf.DUMMYFUNCTION("""COMPUTED_VALUE"""),"1023")</f>
        <v>1023</v>
      </c>
      <c r="B811" s="265" t="str">
        <f>IFERROR(__xludf.DUMMYFUNCTION("""COMPUTED_VALUE"""),"Hà Nội")</f>
        <v>Hà Nội</v>
      </c>
      <c r="C811" s="265" t="str">
        <f>IFERROR(__xludf.DUMMYFUNCTION("""COMPUTED_VALUE"""),"Active")</f>
        <v>Active</v>
      </c>
      <c r="D811" s="265" t="str">
        <f>IFERROR(__xludf.DUMMYFUNCTION("""COMPUTED_VALUE"""),"Tài chính &amp; Ngân hàng")</f>
        <v>Tài chính &amp; Ngân hàng</v>
      </c>
      <c r="E811" s="265" t="str">
        <f>IFERROR(__xludf.DUMMYFUNCTION("""COMPUTED_VALUE"""),"Không phân công")</f>
        <v>Không phân công</v>
      </c>
      <c r="F811" s="265" t="str">
        <f>IFERROR(__xludf.DUMMYFUNCTION("""COMPUTED_VALUE"""),"Diamond")</f>
        <v>Diamond</v>
      </c>
      <c r="G811" s="265" t="str">
        <f>IFERROR(__xludf.DUMMYFUNCTION("""COMPUTED_VALUE"""),"Starter")</f>
        <v>Starter</v>
      </c>
      <c r="H811" s="265" t="str">
        <f>IFERROR(__xludf.DUMMYFUNCTION("""COMPUTED_VALUE"""),"Trả sau")</f>
        <v>Trả sau</v>
      </c>
      <c r="I811" s="265" t="str">
        <f>IFERROR(__xludf.DUMMYFUNCTION("""COMPUTED_VALUE"""),"API")</f>
        <v>API</v>
      </c>
      <c r="J811" s="265" t="str">
        <f>IFERROR(__xludf.DUMMYFUNCTION("""COMPUTED_VALUE"""),"API")</f>
        <v>API</v>
      </c>
    </row>
    <row r="812">
      <c r="A812" s="265" t="str">
        <f>IFERROR(__xludf.DUMMYFUNCTION("""COMPUTED_VALUE"""),"1024")</f>
        <v>1024</v>
      </c>
      <c r="B812" s="265" t="str">
        <f>IFERROR(__xludf.DUMMYFUNCTION("""COMPUTED_VALUE"""),"Hà Nội")</f>
        <v>Hà Nội</v>
      </c>
      <c r="C812" s="265" t="str">
        <f>IFERROR(__xludf.DUMMYFUNCTION("""COMPUTED_VALUE"""),"Active")</f>
        <v>Active</v>
      </c>
      <c r="D812" s="265" t="str">
        <f>IFERROR(__xludf.DUMMYFUNCTION("""COMPUTED_VALUE"""),"Tài chính &amp; Ngân hàng")</f>
        <v>Tài chính &amp; Ngân hàng</v>
      </c>
      <c r="E812" s="265" t="str">
        <f>IFERROR(__xludf.DUMMYFUNCTION("""COMPUTED_VALUE"""),"Không phân công")</f>
        <v>Không phân công</v>
      </c>
      <c r="F812" s="265" t="str">
        <f>IFERROR(__xludf.DUMMYFUNCTION("""COMPUTED_VALUE"""),"Diamond")</f>
        <v>Diamond</v>
      </c>
      <c r="G812" s="265" t="str">
        <f>IFERROR(__xludf.DUMMYFUNCTION("""COMPUTED_VALUE"""),"Starter")</f>
        <v>Starter</v>
      </c>
      <c r="H812" s="265" t="str">
        <f>IFERROR(__xludf.DUMMYFUNCTION("""COMPUTED_VALUE"""),"Trả sau")</f>
        <v>Trả sau</v>
      </c>
      <c r="I812" s="265" t="str">
        <f>IFERROR(__xludf.DUMMYFUNCTION("""COMPUTED_VALUE"""),"API")</f>
        <v>API</v>
      </c>
      <c r="J812" s="265" t="str">
        <f>IFERROR(__xludf.DUMMYFUNCTION("""COMPUTED_VALUE"""),"API")</f>
        <v>API</v>
      </c>
    </row>
    <row r="813">
      <c r="A813" s="265" t="str">
        <f>IFERROR(__xludf.DUMMYFUNCTION("""COMPUTED_VALUE"""),"1025")</f>
        <v>1025</v>
      </c>
      <c r="B813" s="265" t="str">
        <f>IFERROR(__xludf.DUMMYFUNCTION("""COMPUTED_VALUE"""),"Sài Gòn")</f>
        <v>Sài Gòn</v>
      </c>
      <c r="C813" s="265" t="str">
        <f>IFERROR(__xludf.DUMMYFUNCTION("""COMPUTED_VALUE"""),"Locked")</f>
        <v>Locked</v>
      </c>
      <c r="D813" s="265" t="str">
        <f>IFERROR(__xludf.DUMMYFUNCTION("""COMPUTED_VALUE"""),"Viễn thông")</f>
        <v>Viễn thông</v>
      </c>
      <c r="E813" s="265" t="str">
        <f>IFERROR(__xludf.DUMMYFUNCTION("""COMPUTED_VALUE"""),"TùngLD")</f>
        <v>TùngLD</v>
      </c>
      <c r="F813" s="265" t="str">
        <f>IFERROR(__xludf.DUMMYFUNCTION("""COMPUTED_VALUE"""),"Bronze")</f>
        <v>Bronze</v>
      </c>
      <c r="G813" s="265" t="str">
        <f>IFERROR(__xludf.DUMMYFUNCTION("""COMPUTED_VALUE"""),"Standard")</f>
        <v>Standard</v>
      </c>
      <c r="H813" s="265" t="str">
        <f>IFERROR(__xludf.DUMMYFUNCTION("""COMPUTED_VALUE"""),"Trả sau")</f>
        <v>Trả sau</v>
      </c>
      <c r="I813" s="265" t="str">
        <f>IFERROR(__xludf.DUMMYFUNCTION("""COMPUTED_VALUE"""),"Portal")</f>
        <v>Portal</v>
      </c>
      <c r="J813" s="265" t="str">
        <f>IFERROR(__xludf.DUMMYFUNCTION("""COMPUTED_VALUE"""),"File Excel")</f>
        <v>File Excel</v>
      </c>
    </row>
    <row r="814">
      <c r="A814" s="265" t="str">
        <f>IFERROR(__xludf.DUMMYFUNCTION("""COMPUTED_VALUE"""),"1026")</f>
        <v>1026</v>
      </c>
      <c r="B814" s="265" t="str">
        <f>IFERROR(__xludf.DUMMYFUNCTION("""COMPUTED_VALUE"""),"Sài Gòn")</f>
        <v>Sài Gòn</v>
      </c>
      <c r="C814" s="265" t="str">
        <f>IFERROR(__xludf.DUMMYFUNCTION("""COMPUTED_VALUE"""),"Active")</f>
        <v>Active</v>
      </c>
      <c r="D814" s="265" t="str">
        <f>IFERROR(__xludf.DUMMYFUNCTION("""COMPUTED_VALUE"""),"Du lịch &amp; Lưu trú")</f>
        <v>Du lịch &amp; Lưu trú</v>
      </c>
      <c r="E814" s="265" t="str">
        <f>IFERROR(__xludf.DUMMYFUNCTION("""COMPUTED_VALUE"""),"TùngLD")</f>
        <v>TùngLD</v>
      </c>
      <c r="F814" s="265" t="str">
        <f>IFERROR(__xludf.DUMMYFUNCTION("""COMPUTED_VALUE"""),"Sale chưa cung cấp")</f>
        <v>Sale chưa cung cấp</v>
      </c>
      <c r="G814" s="265" t="str">
        <f>IFERROR(__xludf.DUMMYFUNCTION("""COMPUTED_VALUE"""),"Standard")</f>
        <v>Standard</v>
      </c>
      <c r="H814" s="265" t="str">
        <f>IFERROR(__xludf.DUMMYFUNCTION("""COMPUTED_VALUE"""),"Trả sau")</f>
        <v>Trả sau</v>
      </c>
      <c r="I814" s="265" t="str">
        <f>IFERROR(__xludf.DUMMYFUNCTION("""COMPUTED_VALUE"""),"API")</f>
        <v>API</v>
      </c>
      <c r="J814" s="265" t="str">
        <f>IFERROR(__xludf.DUMMYFUNCTION("""COMPUTED_VALUE"""),"API")</f>
        <v>API</v>
      </c>
    </row>
    <row r="815">
      <c r="A815" s="265" t="str">
        <f>IFERROR(__xludf.DUMMYFUNCTION("""COMPUTED_VALUE"""),"1027")</f>
        <v>1027</v>
      </c>
      <c r="B815" s="265" t="str">
        <f>IFERROR(__xludf.DUMMYFUNCTION("""COMPUTED_VALUE"""),"Hà Nội")</f>
        <v>Hà Nội</v>
      </c>
      <c r="C815" s="265" t="str">
        <f>IFERROR(__xludf.DUMMYFUNCTION("""COMPUTED_VALUE"""),"Locked")</f>
        <v>Locked</v>
      </c>
      <c r="D815" s="265" t="str">
        <f>IFERROR(__xludf.DUMMYFUNCTION("""COMPUTED_VALUE"""),"Truyền thông &amp; Giải trí")</f>
        <v>Truyền thông &amp; Giải trí</v>
      </c>
      <c r="E815" s="265" t="str">
        <f>IFERROR(__xludf.DUMMYFUNCTION("""COMPUTED_VALUE"""),"TùngLD")</f>
        <v>TùngLD</v>
      </c>
      <c r="F815" s="265" t="str">
        <f>IFERROR(__xludf.DUMMYFUNCTION("""COMPUTED_VALUE"""),"Silver")</f>
        <v>Silver</v>
      </c>
      <c r="G815" s="265" t="str">
        <f>IFERROR(__xludf.DUMMYFUNCTION("""COMPUTED_VALUE"""),"Starter")</f>
        <v>Starter</v>
      </c>
      <c r="H815" s="265" t="str">
        <f>IFERROR(__xludf.DUMMYFUNCTION("""COMPUTED_VALUE"""),"Trial")</f>
        <v>Trial</v>
      </c>
      <c r="I815" s="265" t="str">
        <f>IFERROR(__xludf.DUMMYFUNCTION("""COMPUTED_VALUE"""),"API &amp; Portal")</f>
        <v>API &amp; Portal</v>
      </c>
      <c r="J815" s="265" t="str">
        <f>IFERROR(__xludf.DUMMYFUNCTION("""COMPUTED_VALUE"""),"File Excel")</f>
        <v>File Excel</v>
      </c>
    </row>
    <row r="816">
      <c r="A816" s="265" t="str">
        <f>IFERROR(__xludf.DUMMYFUNCTION("""COMPUTED_VALUE"""),"1027")</f>
        <v>1027</v>
      </c>
      <c r="B816" s="265" t="str">
        <f>IFERROR(__xludf.DUMMYFUNCTION("""COMPUTED_VALUE"""),"Hà Nội")</f>
        <v>Hà Nội</v>
      </c>
      <c r="C816" s="265" t="str">
        <f>IFERROR(__xludf.DUMMYFUNCTION("""COMPUTED_VALUE"""),"Locked")</f>
        <v>Locked</v>
      </c>
      <c r="D816" s="265" t="str">
        <f>IFERROR(__xludf.DUMMYFUNCTION("""COMPUTED_VALUE"""),"Truyền thông &amp; Giải trí")</f>
        <v>Truyền thông &amp; Giải trí</v>
      </c>
      <c r="E816" s="265" t="str">
        <f>IFERROR(__xludf.DUMMYFUNCTION("""COMPUTED_VALUE"""),"TùngLD")</f>
        <v>TùngLD</v>
      </c>
      <c r="F816" s="265" t="str">
        <f>IFERROR(__xludf.DUMMYFUNCTION("""COMPUTED_VALUE"""),"Silver")</f>
        <v>Silver</v>
      </c>
      <c r="G816" s="265" t="str">
        <f>IFERROR(__xludf.DUMMYFUNCTION("""COMPUTED_VALUE"""),"Starter")</f>
        <v>Starter</v>
      </c>
      <c r="H816" s="265" t="str">
        <f>IFERROR(__xludf.DUMMYFUNCTION("""COMPUTED_VALUE"""),"Trial")</f>
        <v>Trial</v>
      </c>
      <c r="I816" s="265" t="str">
        <f>IFERROR(__xludf.DUMMYFUNCTION("""COMPUTED_VALUE"""),"API &amp; Portal")</f>
        <v>API &amp; Portal</v>
      </c>
      <c r="J816" s="265" t="str">
        <f>IFERROR(__xludf.DUMMYFUNCTION("""COMPUTED_VALUE"""),"API")</f>
        <v>API</v>
      </c>
    </row>
    <row r="817">
      <c r="A817" s="265" t="str">
        <f>IFERROR(__xludf.DUMMYFUNCTION("""COMPUTED_VALUE"""),"1028")</f>
        <v>1028</v>
      </c>
      <c r="B817" s="265" t="str">
        <f>IFERROR(__xludf.DUMMYFUNCTION("""COMPUTED_VALUE"""),"Hà Nội")</f>
        <v>Hà Nội</v>
      </c>
      <c r="C817" s="265" t="str">
        <f>IFERROR(__xludf.DUMMYFUNCTION("""COMPUTED_VALUE"""),"Locked")</f>
        <v>Locked</v>
      </c>
      <c r="D817" s="265" t="str">
        <f>IFERROR(__xludf.DUMMYFUNCTION("""COMPUTED_VALUE"""),"Thời trang &amp; May mặc")</f>
        <v>Thời trang &amp; May mặc</v>
      </c>
      <c r="E817" s="265" t="str">
        <f>IFERROR(__xludf.DUMMYFUNCTION("""COMPUTED_VALUE"""),"AnhNM")</f>
        <v>AnhNM</v>
      </c>
      <c r="F817" s="265" t="str">
        <f>IFERROR(__xludf.DUMMYFUNCTION("""COMPUTED_VALUE"""),"Diamond")</f>
        <v>Diamond</v>
      </c>
      <c r="G817" s="265" t="str">
        <f>IFERROR(__xludf.DUMMYFUNCTION("""COMPUTED_VALUE"""),"Standard")</f>
        <v>Standard</v>
      </c>
      <c r="H817" s="265" t="str">
        <f>IFERROR(__xludf.DUMMYFUNCTION("""COMPUTED_VALUE"""),"Trial")</f>
        <v>Trial</v>
      </c>
      <c r="I817" s="265" t="str">
        <f>IFERROR(__xludf.DUMMYFUNCTION("""COMPUTED_VALUE"""),"API")</f>
        <v>API</v>
      </c>
      <c r="J817" s="265" t="str">
        <f>IFERROR(__xludf.DUMMYFUNCTION("""COMPUTED_VALUE"""),"API")</f>
        <v>API</v>
      </c>
    </row>
    <row r="818">
      <c r="A818" s="265" t="str">
        <f>IFERROR(__xludf.DUMMYFUNCTION("""COMPUTED_VALUE"""),"1035")</f>
        <v>1035</v>
      </c>
      <c r="B818" s="265" t="str">
        <f>IFERROR(__xludf.DUMMYFUNCTION("""COMPUTED_VALUE"""),"Hà Nội")</f>
        <v>Hà Nội</v>
      </c>
      <c r="C818" s="265" t="str">
        <f>IFERROR(__xludf.DUMMYFUNCTION("""COMPUTED_VALUE"""),"Active")</f>
        <v>Active</v>
      </c>
      <c r="D818" s="265" t="str">
        <f>IFERROR(__xludf.DUMMYFUNCTION("""COMPUTED_VALUE"""),"Thời trang &amp; May mặc")</f>
        <v>Thời trang &amp; May mặc</v>
      </c>
      <c r="E818" s="265" t="str">
        <f>IFERROR(__xludf.DUMMYFUNCTION("""COMPUTED_VALUE"""),"AnhNM")</f>
        <v>AnhNM</v>
      </c>
      <c r="F818" s="265" t="str">
        <f>IFERROR(__xludf.DUMMYFUNCTION("""COMPUTED_VALUE"""),"Diamond")</f>
        <v>Diamond</v>
      </c>
      <c r="G818" s="265" t="str">
        <f>IFERROR(__xludf.DUMMYFUNCTION("""COMPUTED_VALUE"""),"Standard")</f>
        <v>Standard</v>
      </c>
      <c r="H818" s="265" t="str">
        <f>IFERROR(__xludf.DUMMYFUNCTION("""COMPUTED_VALUE"""),"Trả sau")</f>
        <v>Trả sau</v>
      </c>
      <c r="I818" s="265" t="str">
        <f>IFERROR(__xludf.DUMMYFUNCTION("""COMPUTED_VALUE"""),"API")</f>
        <v>API</v>
      </c>
      <c r="J818" s="265" t="str">
        <f>IFERROR(__xludf.DUMMYFUNCTION("""COMPUTED_VALUE"""),"API")</f>
        <v>API</v>
      </c>
    </row>
    <row r="819">
      <c r="A819" s="265" t="str">
        <f>IFERROR(__xludf.DUMMYFUNCTION("""COMPUTED_VALUE"""),"1029")</f>
        <v>1029</v>
      </c>
      <c r="B819" s="265" t="str">
        <f>IFERROR(__xludf.DUMMYFUNCTION("""COMPUTED_VALUE"""),"Sài Gòn")</f>
        <v>Sài Gòn</v>
      </c>
      <c r="C819" s="265" t="str">
        <f>IFERROR(__xludf.DUMMYFUNCTION("""COMPUTED_VALUE"""),"Active")</f>
        <v>Active</v>
      </c>
      <c r="D819" s="265" t="str">
        <f>IFERROR(__xludf.DUMMYFUNCTION("""COMPUTED_VALUE"""),"Thực phẩm &amp; Đồ uống")</f>
        <v>Thực phẩm &amp; Đồ uống</v>
      </c>
      <c r="E819" s="265" t="str">
        <f>IFERROR(__xludf.DUMMYFUNCTION("""COMPUTED_VALUE"""),"Không phân công")</f>
        <v>Không phân công</v>
      </c>
      <c r="F819" s="265" t="str">
        <f>IFERROR(__xludf.DUMMYFUNCTION("""COMPUTED_VALUE"""),"Bronze")</f>
        <v>Bronze</v>
      </c>
      <c r="G819" s="265" t="str">
        <f>IFERROR(__xludf.DUMMYFUNCTION("""COMPUTED_VALUE"""),"Standard")</f>
        <v>Standard</v>
      </c>
      <c r="H819" s="265" t="str">
        <f>IFERROR(__xludf.DUMMYFUNCTION("""COMPUTED_VALUE"""),"Trả sau")</f>
        <v>Trả sau</v>
      </c>
      <c r="I819" s="265" t="str">
        <f>IFERROR(__xludf.DUMMYFUNCTION("""COMPUTED_VALUE"""),"API &amp; Portal")</f>
        <v>API &amp; Portal</v>
      </c>
      <c r="J819" s="265" t="str">
        <f>IFERROR(__xludf.DUMMYFUNCTION("""COMPUTED_VALUE"""),"File Excel")</f>
        <v>File Excel</v>
      </c>
    </row>
    <row r="820">
      <c r="A820" s="265" t="str">
        <f>IFERROR(__xludf.DUMMYFUNCTION("""COMPUTED_VALUE"""),"1030")</f>
        <v>1030</v>
      </c>
      <c r="B820" s="265" t="str">
        <f>IFERROR(__xludf.DUMMYFUNCTION("""COMPUTED_VALUE"""),"Hà Nội")</f>
        <v>Hà Nội</v>
      </c>
      <c r="C820" s="265" t="str">
        <f>IFERROR(__xludf.DUMMYFUNCTION("""COMPUTED_VALUE"""),"Active")</f>
        <v>Active</v>
      </c>
      <c r="D820" s="265" t="str">
        <f>IFERROR(__xludf.DUMMYFUNCTION("""COMPUTED_VALUE"""),"Sale chưa cung cấp")</f>
        <v>Sale chưa cung cấp</v>
      </c>
      <c r="E820" s="265" t="str">
        <f>IFERROR(__xludf.DUMMYFUNCTION("""COMPUTED_VALUE"""),"TùngLD")</f>
        <v>TùngLD</v>
      </c>
      <c r="F820" s="265" t="str">
        <f>IFERROR(__xludf.DUMMYFUNCTION("""COMPUTED_VALUE"""),"Gold")</f>
        <v>Gold</v>
      </c>
      <c r="G820" s="265" t="str">
        <f>IFERROR(__xludf.DUMMYFUNCTION("""COMPUTED_VALUE"""),"Premium")</f>
        <v>Premium</v>
      </c>
      <c r="H820" s="265" t="str">
        <f>IFERROR(__xludf.DUMMYFUNCTION("""COMPUTED_VALUE"""),"Trả sau")</f>
        <v>Trả sau</v>
      </c>
      <c r="I820" s="265" t="str">
        <f>IFERROR(__xludf.DUMMYFUNCTION("""COMPUTED_VALUE"""),"API")</f>
        <v>API</v>
      </c>
      <c r="J820" s="265" t="str">
        <f>IFERROR(__xludf.DUMMYFUNCTION("""COMPUTED_VALUE"""),"API")</f>
        <v>API</v>
      </c>
    </row>
    <row r="821">
      <c r="A821" s="265" t="str">
        <f>IFERROR(__xludf.DUMMYFUNCTION("""COMPUTED_VALUE"""),"1031")</f>
        <v>1031</v>
      </c>
      <c r="B821" s="265" t="str">
        <f>IFERROR(__xludf.DUMMYFUNCTION("""COMPUTED_VALUE"""),"Hà Nội")</f>
        <v>Hà Nội</v>
      </c>
      <c r="C821" s="265" t="str">
        <f>IFERROR(__xludf.DUMMYFUNCTION("""COMPUTED_VALUE"""),"Active")</f>
        <v>Active</v>
      </c>
      <c r="D821" s="265" t="str">
        <f>IFERROR(__xludf.DUMMYFUNCTION("""COMPUTED_VALUE"""),"Viễn thông")</f>
        <v>Viễn thông</v>
      </c>
      <c r="E821" s="265" t="str">
        <f>IFERROR(__xludf.DUMMYFUNCTION("""COMPUTED_VALUE"""),"TùngLD")</f>
        <v>TùngLD</v>
      </c>
      <c r="F821" s="265" t="str">
        <f>IFERROR(__xludf.DUMMYFUNCTION("""COMPUTED_VALUE"""),"Gold")</f>
        <v>Gold</v>
      </c>
      <c r="G821" s="265" t="str">
        <f>IFERROR(__xludf.DUMMYFUNCTION("""COMPUTED_VALUE"""),"Enterprise")</f>
        <v>Enterprise</v>
      </c>
      <c r="H821" s="265" t="str">
        <f>IFERROR(__xludf.DUMMYFUNCTION("""COMPUTED_VALUE"""),"Trả trước")</f>
        <v>Trả trước</v>
      </c>
      <c r="I821" s="265" t="str">
        <f>IFERROR(__xludf.DUMMYFUNCTION("""COMPUTED_VALUE"""),"API")</f>
        <v>API</v>
      </c>
      <c r="J821" s="265" t="str">
        <f>IFERROR(__xludf.DUMMYFUNCTION("""COMPUTED_VALUE"""),"API")</f>
        <v>API</v>
      </c>
    </row>
    <row r="822">
      <c r="A822" s="265" t="str">
        <f>IFERROR(__xludf.DUMMYFUNCTION("""COMPUTED_VALUE"""),"1032")</f>
        <v>1032</v>
      </c>
      <c r="B822" s="265" t="str">
        <f>IFERROR(__xludf.DUMMYFUNCTION("""COMPUTED_VALUE"""),"Sài Gòn")</f>
        <v>Sài Gòn</v>
      </c>
      <c r="C822" s="265" t="str">
        <f>IFERROR(__xludf.DUMMYFUNCTION("""COMPUTED_VALUE"""),"Active")</f>
        <v>Active</v>
      </c>
      <c r="D822" s="265" t="str">
        <f>IFERROR(__xludf.DUMMYFUNCTION("""COMPUTED_VALUE"""),"Mua sắm &amp; Bán lẻ")</f>
        <v>Mua sắm &amp; Bán lẻ</v>
      </c>
      <c r="E822" s="265" t="str">
        <f>IFERROR(__xludf.DUMMYFUNCTION("""COMPUTED_VALUE"""),"TrâmNNB")</f>
        <v>TrâmNNB</v>
      </c>
      <c r="F822" s="265" t="str">
        <f>IFERROR(__xludf.DUMMYFUNCTION("""COMPUTED_VALUE"""),"Sale chưa cung cấp")</f>
        <v>Sale chưa cung cấp</v>
      </c>
      <c r="G822" s="265" t="str">
        <f>IFERROR(__xludf.DUMMYFUNCTION("""COMPUTED_VALUE"""),"Premium")</f>
        <v>Premium</v>
      </c>
      <c r="H822" s="265" t="str">
        <f>IFERROR(__xludf.DUMMYFUNCTION("""COMPUTED_VALUE"""),"Trả trước")</f>
        <v>Trả trước</v>
      </c>
      <c r="I822" s="265" t="str">
        <f>IFERROR(__xludf.DUMMYFUNCTION("""COMPUTED_VALUE"""),"API &amp; Portal")</f>
        <v>API &amp; Portal</v>
      </c>
      <c r="J822" s="265" t="str">
        <f>IFERROR(__xludf.DUMMYFUNCTION("""COMPUTED_VALUE"""),"File Excel")</f>
        <v>File Excel</v>
      </c>
    </row>
    <row r="823">
      <c r="A823" s="265" t="str">
        <f>IFERROR(__xludf.DUMMYFUNCTION("""COMPUTED_VALUE"""),"1033")</f>
        <v>1033</v>
      </c>
      <c r="B823" s="265" t="str">
        <f>IFERROR(__xludf.DUMMYFUNCTION("""COMPUTED_VALUE"""),"Sài Gòn")</f>
        <v>Sài Gòn</v>
      </c>
      <c r="C823" s="265" t="str">
        <f>IFERROR(__xludf.DUMMYFUNCTION("""COMPUTED_VALUE"""),"Active")</f>
        <v>Active</v>
      </c>
      <c r="D823" s="265" t="str">
        <f>IFERROR(__xludf.DUMMYFUNCTION("""COMPUTED_VALUE"""),"Y tế &amp; Dược phẩm")</f>
        <v>Y tế &amp; Dược phẩm</v>
      </c>
      <c r="E823" s="265" t="str">
        <f>IFERROR(__xludf.DUMMYFUNCTION("""COMPUTED_VALUE"""),"AnhNM")</f>
        <v>AnhNM</v>
      </c>
      <c r="F823" s="265" t="str">
        <f>IFERROR(__xludf.DUMMYFUNCTION("""COMPUTED_VALUE"""),"Bronze")</f>
        <v>Bronze</v>
      </c>
      <c r="G823" s="265" t="str">
        <f>IFERROR(__xludf.DUMMYFUNCTION("""COMPUTED_VALUE"""),"Enterprise")</f>
        <v>Enterprise</v>
      </c>
      <c r="H823" s="265" t="str">
        <f>IFERROR(__xludf.DUMMYFUNCTION("""COMPUTED_VALUE"""),"Trả trước")</f>
        <v>Trả trước</v>
      </c>
      <c r="I823" s="265" t="str">
        <f>IFERROR(__xludf.DUMMYFUNCTION("""COMPUTED_VALUE"""),"Portal")</f>
        <v>Portal</v>
      </c>
      <c r="J823" s="265" t="str">
        <f>IFERROR(__xludf.DUMMYFUNCTION("""COMPUTED_VALUE"""),"File Excel")</f>
        <v>File Excel</v>
      </c>
    </row>
    <row r="824">
      <c r="A824" s="265" t="str">
        <f>IFERROR(__xludf.DUMMYFUNCTION("""COMPUTED_VALUE"""),"1034")</f>
        <v>1034</v>
      </c>
      <c r="B824" s="265" t="str">
        <f>IFERROR(__xludf.DUMMYFUNCTION("""COMPUTED_VALUE"""),"Hà Nội")</f>
        <v>Hà Nội</v>
      </c>
      <c r="C824" s="265" t="str">
        <f>IFERROR(__xludf.DUMMYFUNCTION("""COMPUTED_VALUE"""),"Locked")</f>
        <v>Locked</v>
      </c>
      <c r="D824" s="265" t="str">
        <f>IFERROR(__xludf.DUMMYFUNCTION("""COMPUTED_VALUE"""),"Vận tải &amp; logistics")</f>
        <v>Vận tải &amp; logistics</v>
      </c>
      <c r="E824" s="265" t="str">
        <f>IFERROR(__xludf.DUMMYFUNCTION("""COMPUTED_VALUE"""),"TúPHN")</f>
        <v>TúPHN</v>
      </c>
      <c r="F824" s="265" t="str">
        <f>IFERROR(__xludf.DUMMYFUNCTION("""COMPUTED_VALUE"""),"Bronze")</f>
        <v>Bronze</v>
      </c>
      <c r="G824" s="265" t="str">
        <f>IFERROR(__xludf.DUMMYFUNCTION("""COMPUTED_VALUE"""),"Starter")</f>
        <v>Starter</v>
      </c>
      <c r="H824" s="265" t="str">
        <f>IFERROR(__xludf.DUMMYFUNCTION("""COMPUTED_VALUE"""),"Trial")</f>
        <v>Trial</v>
      </c>
      <c r="I824" s="265" t="str">
        <f>IFERROR(__xludf.DUMMYFUNCTION("""COMPUTED_VALUE"""),"API &amp; Portal")</f>
        <v>API &amp; Portal</v>
      </c>
      <c r="J824" s="265" t="str">
        <f>IFERROR(__xludf.DUMMYFUNCTION("""COMPUTED_VALUE"""),"File Excel")</f>
        <v>File Excel</v>
      </c>
    </row>
    <row r="825">
      <c r="A825" s="265" t="str">
        <f>IFERROR(__xludf.DUMMYFUNCTION("""COMPUTED_VALUE"""),"1034")</f>
        <v>1034</v>
      </c>
      <c r="B825" s="265" t="str">
        <f>IFERROR(__xludf.DUMMYFUNCTION("""COMPUTED_VALUE"""),"Hà Nội")</f>
        <v>Hà Nội</v>
      </c>
      <c r="C825" s="265" t="str">
        <f>IFERROR(__xludf.DUMMYFUNCTION("""COMPUTED_VALUE"""),"Locked")</f>
        <v>Locked</v>
      </c>
      <c r="D825" s="265" t="str">
        <f>IFERROR(__xludf.DUMMYFUNCTION("""COMPUTED_VALUE"""),"Vận tải &amp; logistics")</f>
        <v>Vận tải &amp; logistics</v>
      </c>
      <c r="E825" s="265" t="str">
        <f>IFERROR(__xludf.DUMMYFUNCTION("""COMPUTED_VALUE"""),"TúPHN")</f>
        <v>TúPHN</v>
      </c>
      <c r="F825" s="265" t="str">
        <f>IFERROR(__xludf.DUMMYFUNCTION("""COMPUTED_VALUE"""),"Bronze")</f>
        <v>Bronze</v>
      </c>
      <c r="G825" s="265" t="str">
        <f>IFERROR(__xludf.DUMMYFUNCTION("""COMPUTED_VALUE"""),"Starter")</f>
        <v>Starter</v>
      </c>
      <c r="H825" s="265" t="str">
        <f>IFERROR(__xludf.DUMMYFUNCTION("""COMPUTED_VALUE"""),"Trial")</f>
        <v>Trial</v>
      </c>
      <c r="I825" s="265" t="str">
        <f>IFERROR(__xludf.DUMMYFUNCTION("""COMPUTED_VALUE"""),"API &amp; Portal")</f>
        <v>API &amp; Portal</v>
      </c>
      <c r="J825" s="265" t="str">
        <f>IFERROR(__xludf.DUMMYFUNCTION("""COMPUTED_VALUE"""),"API")</f>
        <v>API</v>
      </c>
    </row>
    <row r="826">
      <c r="A826" s="265" t="str">
        <f>IFERROR(__xludf.DUMMYFUNCTION("""COMPUTED_VALUE"""),"1036")</f>
        <v>1036</v>
      </c>
      <c r="B826" s="265" t="str">
        <f>IFERROR(__xludf.DUMMYFUNCTION("""COMPUTED_VALUE"""),"Hà Nội")</f>
        <v>Hà Nội</v>
      </c>
      <c r="C826" s="265" t="str">
        <f>IFERROR(__xludf.DUMMYFUNCTION("""COMPUTED_VALUE"""),"Active")</f>
        <v>Active</v>
      </c>
      <c r="D826" s="265" t="str">
        <f>IFERROR(__xludf.DUMMYFUNCTION("""COMPUTED_VALUE"""),"Dịch vụ khác")</f>
        <v>Dịch vụ khác</v>
      </c>
      <c r="E826" s="265" t="str">
        <f>IFERROR(__xludf.DUMMYFUNCTION("""COMPUTED_VALUE"""),"Không phân công")</f>
        <v>Không phân công</v>
      </c>
      <c r="F826" s="265" t="str">
        <f>IFERROR(__xludf.DUMMYFUNCTION("""COMPUTED_VALUE"""),"Silver")</f>
        <v>Silver</v>
      </c>
      <c r="G826" s="265" t="str">
        <f>IFERROR(__xludf.DUMMYFUNCTION("""COMPUTED_VALUE"""),"Starter")</f>
        <v>Starter</v>
      </c>
      <c r="H826" s="265" t="str">
        <f>IFERROR(__xludf.DUMMYFUNCTION("""COMPUTED_VALUE"""),"Trial")</f>
        <v>Trial</v>
      </c>
      <c r="I826" s="265" t="str">
        <f>IFERROR(__xludf.DUMMYFUNCTION("""COMPUTED_VALUE"""),"API")</f>
        <v>API</v>
      </c>
      <c r="J826" s="265" t="str">
        <f>IFERROR(__xludf.DUMMYFUNCTION("""COMPUTED_VALUE"""),"API")</f>
        <v>API</v>
      </c>
    </row>
    <row r="827">
      <c r="A827" s="265" t="str">
        <f>IFERROR(__xludf.DUMMYFUNCTION("""COMPUTED_VALUE"""),"1037")</f>
        <v>1037</v>
      </c>
      <c r="B827" s="265" t="str">
        <f>IFERROR(__xludf.DUMMYFUNCTION("""COMPUTED_VALUE"""),"Sài Gòn")</f>
        <v>Sài Gòn</v>
      </c>
      <c r="C827" s="265" t="str">
        <f>IFERROR(__xludf.DUMMYFUNCTION("""COMPUTED_VALUE"""),"Active")</f>
        <v>Active</v>
      </c>
      <c r="D827" s="265" t="str">
        <f>IFERROR(__xludf.DUMMYFUNCTION("""COMPUTED_VALUE"""),"Mỹ phẩm &amp; Làm đẹp")</f>
        <v>Mỹ phẩm &amp; Làm đẹp</v>
      </c>
      <c r="E827" s="265" t="str">
        <f>IFERROR(__xludf.DUMMYFUNCTION("""COMPUTED_VALUE"""),"TùngLD")</f>
        <v>TùngLD</v>
      </c>
      <c r="F827" s="265" t="str">
        <f>IFERROR(__xludf.DUMMYFUNCTION("""COMPUTED_VALUE"""),"Gold")</f>
        <v>Gold</v>
      </c>
      <c r="G827" s="265" t="str">
        <f>IFERROR(__xludf.DUMMYFUNCTION("""COMPUTED_VALUE"""),"Premium")</f>
        <v>Premium</v>
      </c>
      <c r="H827" s="265" t="str">
        <f>IFERROR(__xludf.DUMMYFUNCTION("""COMPUTED_VALUE"""),"Trial")</f>
        <v>Trial</v>
      </c>
      <c r="I827" s="265" t="str">
        <f>IFERROR(__xludf.DUMMYFUNCTION("""COMPUTED_VALUE"""),"API &amp; Portal")</f>
        <v>API &amp; Portal</v>
      </c>
      <c r="J827" s="265" t="str">
        <f>IFERROR(__xludf.DUMMYFUNCTION("""COMPUTED_VALUE"""),"API")</f>
        <v>API</v>
      </c>
    </row>
    <row r="828">
      <c r="A828" s="265" t="str">
        <f>IFERROR(__xludf.DUMMYFUNCTION("""COMPUTED_VALUE"""),"1039")</f>
        <v>1039</v>
      </c>
      <c r="B828" s="265" t="str">
        <f>IFERROR(__xludf.DUMMYFUNCTION("""COMPUTED_VALUE"""),"Sài Gòn")</f>
        <v>Sài Gòn</v>
      </c>
      <c r="C828" s="265" t="str">
        <f>IFERROR(__xludf.DUMMYFUNCTION("""COMPUTED_VALUE"""),"Active")</f>
        <v>Active</v>
      </c>
      <c r="D828" s="265" t="str">
        <f>IFERROR(__xludf.DUMMYFUNCTION("""COMPUTED_VALUE"""),"Dịch vụ khác")</f>
        <v>Dịch vụ khác</v>
      </c>
      <c r="E828" s="265" t="str">
        <f>IFERROR(__xludf.DUMMYFUNCTION("""COMPUTED_VALUE"""),"Không phân công")</f>
        <v>Không phân công</v>
      </c>
      <c r="F828" s="265" t="str">
        <f>IFERROR(__xludf.DUMMYFUNCTION("""COMPUTED_VALUE"""),"Diamond")</f>
        <v>Diamond</v>
      </c>
      <c r="G828" s="265" t="str">
        <f>IFERROR(__xludf.DUMMYFUNCTION("""COMPUTED_VALUE"""),"Starter")</f>
        <v>Starter</v>
      </c>
      <c r="H828" s="265" t="str">
        <f>IFERROR(__xludf.DUMMYFUNCTION("""COMPUTED_VALUE"""),"Trả trước")</f>
        <v>Trả trước</v>
      </c>
      <c r="I828" s="265" t="str">
        <f>IFERROR(__xludf.DUMMYFUNCTION("""COMPUTED_VALUE"""),"API")</f>
        <v>API</v>
      </c>
      <c r="J828" s="265" t="str">
        <f>IFERROR(__xludf.DUMMYFUNCTION("""COMPUTED_VALUE"""),"API")</f>
        <v>API</v>
      </c>
    </row>
    <row r="829">
      <c r="A829" s="265" t="str">
        <f>IFERROR(__xludf.DUMMYFUNCTION("""COMPUTED_VALUE"""),"1040")</f>
        <v>1040</v>
      </c>
      <c r="B829" s="265" t="str">
        <f>IFERROR(__xludf.DUMMYFUNCTION("""COMPUTED_VALUE"""),"Hà Nội")</f>
        <v>Hà Nội</v>
      </c>
      <c r="C829" s="265" t="str">
        <f>IFERROR(__xludf.DUMMYFUNCTION("""COMPUTED_VALUE"""),"Active")</f>
        <v>Active</v>
      </c>
      <c r="D829" s="265" t="str">
        <f>IFERROR(__xludf.DUMMYFUNCTION("""COMPUTED_VALUE"""),"Truyền thông &amp; Giải trí")</f>
        <v>Truyền thông &amp; Giải trí</v>
      </c>
      <c r="E829" s="265" t="str">
        <f>IFERROR(__xludf.DUMMYFUNCTION("""COMPUTED_VALUE"""),"AnhNM")</f>
        <v>AnhNM</v>
      </c>
      <c r="F829" s="265" t="str">
        <f>IFERROR(__xludf.DUMMYFUNCTION("""COMPUTED_VALUE"""),"Diamond")</f>
        <v>Diamond</v>
      </c>
      <c r="G829" s="265" t="str">
        <f>IFERROR(__xludf.DUMMYFUNCTION("""COMPUTED_VALUE"""),"Enterprise")</f>
        <v>Enterprise</v>
      </c>
      <c r="H829" s="265" t="str">
        <f>IFERROR(__xludf.DUMMYFUNCTION("""COMPUTED_VALUE"""),"Trial")</f>
        <v>Trial</v>
      </c>
      <c r="I829" s="265" t="str">
        <f>IFERROR(__xludf.DUMMYFUNCTION("""COMPUTED_VALUE"""),"API")</f>
        <v>API</v>
      </c>
      <c r="J829" s="265" t="str">
        <f>IFERROR(__xludf.DUMMYFUNCTION("""COMPUTED_VALUE"""),"API")</f>
        <v>API</v>
      </c>
    </row>
    <row r="830">
      <c r="A830" s="265" t="str">
        <f>IFERROR(__xludf.DUMMYFUNCTION("""COMPUTED_VALUE"""),"1038")</f>
        <v>1038</v>
      </c>
      <c r="B830" s="265" t="str">
        <f>IFERROR(__xludf.DUMMYFUNCTION("""COMPUTED_VALUE"""),"Hà Nội")</f>
        <v>Hà Nội</v>
      </c>
      <c r="C830" s="265" t="str">
        <f>IFERROR(__xludf.DUMMYFUNCTION("""COMPUTED_VALUE"""),"Active")</f>
        <v>Active</v>
      </c>
      <c r="D830" s="265" t="str">
        <f>IFERROR(__xludf.DUMMYFUNCTION("""COMPUTED_VALUE"""),"Y tế &amp; Dược phẩm")</f>
        <v>Y tế &amp; Dược phẩm</v>
      </c>
      <c r="E830" s="265" t="str">
        <f>IFERROR(__xludf.DUMMYFUNCTION("""COMPUTED_VALUE"""),"Không phân công")</f>
        <v>Không phân công</v>
      </c>
      <c r="F830" s="265" t="str">
        <f>IFERROR(__xludf.DUMMYFUNCTION("""COMPUTED_VALUE"""),"Bronze")</f>
        <v>Bronze</v>
      </c>
      <c r="G830" s="265" t="str">
        <f>IFERROR(__xludf.DUMMYFUNCTION("""COMPUTED_VALUE"""),"Starter")</f>
        <v>Starter</v>
      </c>
      <c r="H830" s="265" t="str">
        <f>IFERROR(__xludf.DUMMYFUNCTION("""COMPUTED_VALUE"""),"Trả sau")</f>
        <v>Trả sau</v>
      </c>
      <c r="I830" s="265" t="str">
        <f>IFERROR(__xludf.DUMMYFUNCTION("""COMPUTED_VALUE"""),"API &amp; Portal")</f>
        <v>API &amp; Portal</v>
      </c>
      <c r="J830" s="265" t="str">
        <f>IFERROR(__xludf.DUMMYFUNCTION("""COMPUTED_VALUE"""),"File Excel")</f>
        <v>File Excel</v>
      </c>
    </row>
    <row r="831">
      <c r="A831" s="265" t="str">
        <f>IFERROR(__xludf.DUMMYFUNCTION("""COMPUTED_VALUE"""),"1038")</f>
        <v>1038</v>
      </c>
      <c r="B831" s="265" t="str">
        <f>IFERROR(__xludf.DUMMYFUNCTION("""COMPUTED_VALUE"""),"Hà Nội")</f>
        <v>Hà Nội</v>
      </c>
      <c r="C831" s="265" t="str">
        <f>IFERROR(__xludf.DUMMYFUNCTION("""COMPUTED_VALUE"""),"Active")</f>
        <v>Active</v>
      </c>
      <c r="D831" s="265" t="str">
        <f>IFERROR(__xludf.DUMMYFUNCTION("""COMPUTED_VALUE"""),"Y tế &amp; Dược phẩm")</f>
        <v>Y tế &amp; Dược phẩm</v>
      </c>
      <c r="E831" s="265" t="str">
        <f>IFERROR(__xludf.DUMMYFUNCTION("""COMPUTED_VALUE"""),"Không phân công")</f>
        <v>Không phân công</v>
      </c>
      <c r="F831" s="265" t="str">
        <f>IFERROR(__xludf.DUMMYFUNCTION("""COMPUTED_VALUE"""),"Bronze")</f>
        <v>Bronze</v>
      </c>
      <c r="G831" s="265" t="str">
        <f>IFERROR(__xludf.DUMMYFUNCTION("""COMPUTED_VALUE"""),"Starter")</f>
        <v>Starter</v>
      </c>
      <c r="H831" s="265" t="str">
        <f>IFERROR(__xludf.DUMMYFUNCTION("""COMPUTED_VALUE"""),"Trả sau")</f>
        <v>Trả sau</v>
      </c>
      <c r="I831" s="265" t="str">
        <f>IFERROR(__xludf.DUMMYFUNCTION("""COMPUTED_VALUE"""),"API &amp; Portal")</f>
        <v>API &amp; Portal</v>
      </c>
      <c r="J831" s="265" t="str">
        <f>IFERROR(__xludf.DUMMYFUNCTION("""COMPUTED_VALUE"""),"API")</f>
        <v>API</v>
      </c>
    </row>
    <row r="832">
      <c r="A832" s="265" t="str">
        <f>IFERROR(__xludf.DUMMYFUNCTION("""COMPUTED_VALUE"""),"1041")</f>
        <v>1041</v>
      </c>
      <c r="B832" s="265" t="str">
        <f>IFERROR(__xludf.DUMMYFUNCTION("""COMPUTED_VALUE"""),"Sài Gòn")</f>
        <v>Sài Gòn</v>
      </c>
      <c r="C832" s="265" t="str">
        <f>IFERROR(__xludf.DUMMYFUNCTION("""COMPUTED_VALUE"""),"Active")</f>
        <v>Active</v>
      </c>
      <c r="D832" s="265" t="str">
        <f>IFERROR(__xludf.DUMMYFUNCTION("""COMPUTED_VALUE"""),"Dịch vụ khác")</f>
        <v>Dịch vụ khác</v>
      </c>
      <c r="E832" s="265" t="str">
        <f>IFERROR(__xludf.DUMMYFUNCTION("""COMPUTED_VALUE"""),"TùngLD")</f>
        <v>TùngLD</v>
      </c>
      <c r="F832" s="265" t="str">
        <f>IFERROR(__xludf.DUMMYFUNCTION("""COMPUTED_VALUE"""),"Diamond")</f>
        <v>Diamond</v>
      </c>
      <c r="G832" s="265" t="str">
        <f>IFERROR(__xludf.DUMMYFUNCTION("""COMPUTED_VALUE"""),"Starter")</f>
        <v>Starter</v>
      </c>
      <c r="H832" s="265" t="str">
        <f>IFERROR(__xludf.DUMMYFUNCTION("""COMPUTED_VALUE"""),"Trial")</f>
        <v>Trial</v>
      </c>
      <c r="I832" s="265" t="str">
        <f>IFERROR(__xludf.DUMMYFUNCTION("""COMPUTED_VALUE"""),"API")</f>
        <v>API</v>
      </c>
      <c r="J832" s="265" t="str">
        <f>IFERROR(__xludf.DUMMYFUNCTION("""COMPUTED_VALUE"""),"API")</f>
        <v>API</v>
      </c>
    </row>
    <row r="833">
      <c r="A833" s="265" t="str">
        <f>IFERROR(__xludf.DUMMYFUNCTION("""COMPUTED_VALUE"""),"1043")</f>
        <v>1043</v>
      </c>
      <c r="B833" s="265" t="str">
        <f>IFERROR(__xludf.DUMMYFUNCTION("""COMPUTED_VALUE"""),"Sài Gòn")</f>
        <v>Sài Gòn</v>
      </c>
      <c r="C833" s="265" t="str">
        <f>IFERROR(__xludf.DUMMYFUNCTION("""COMPUTED_VALUE"""),"Active")</f>
        <v>Active</v>
      </c>
      <c r="D833" s="265" t="str">
        <f>IFERROR(__xludf.DUMMYFUNCTION("""COMPUTED_VALUE"""),"Thực phẩm &amp; Đồ uống")</f>
        <v>Thực phẩm &amp; Đồ uống</v>
      </c>
      <c r="E833" s="265" t="str">
        <f>IFERROR(__xludf.DUMMYFUNCTION("""COMPUTED_VALUE"""),"TúPHN")</f>
        <v>TúPHN</v>
      </c>
      <c r="F833" s="265" t="str">
        <f>IFERROR(__xludf.DUMMYFUNCTION("""COMPUTED_VALUE"""),"Bronze")</f>
        <v>Bronze</v>
      </c>
      <c r="G833" s="265" t="str">
        <f>IFERROR(__xludf.DUMMYFUNCTION("""COMPUTED_VALUE"""),"Premium")</f>
        <v>Premium</v>
      </c>
      <c r="H833" s="265" t="str">
        <f>IFERROR(__xludf.DUMMYFUNCTION("""COMPUTED_VALUE"""),"Trial")</f>
        <v>Trial</v>
      </c>
      <c r="I833" s="265" t="str">
        <f>IFERROR(__xludf.DUMMYFUNCTION("""COMPUTED_VALUE"""),"Portal")</f>
        <v>Portal</v>
      </c>
      <c r="J833" s="265" t="str">
        <f>IFERROR(__xludf.DUMMYFUNCTION("""COMPUTED_VALUE"""),"File Excel")</f>
        <v>File Excel</v>
      </c>
    </row>
    <row r="834">
      <c r="A834" s="265" t="str">
        <f>IFERROR(__xludf.DUMMYFUNCTION("""COMPUTED_VALUE"""),"1044")</f>
        <v>1044</v>
      </c>
      <c r="B834" s="265" t="str">
        <f>IFERROR(__xludf.DUMMYFUNCTION("""COMPUTED_VALUE"""),"Hà Nội")</f>
        <v>Hà Nội</v>
      </c>
      <c r="C834" s="265" t="str">
        <f>IFERROR(__xludf.DUMMYFUNCTION("""COMPUTED_VALUE"""),"Active")</f>
        <v>Active</v>
      </c>
      <c r="D834" s="265" t="str">
        <f>IFERROR(__xludf.DUMMYFUNCTION("""COMPUTED_VALUE"""),"Giáo dục &amp; Đào tạo")</f>
        <v>Giáo dục &amp; Đào tạo</v>
      </c>
      <c r="E834" s="265" t="str">
        <f>IFERROR(__xludf.DUMMYFUNCTION("""COMPUTED_VALUE"""),"TúPHN")</f>
        <v>TúPHN</v>
      </c>
      <c r="F834" s="265" t="str">
        <f>IFERROR(__xludf.DUMMYFUNCTION("""COMPUTED_VALUE"""),"Bronze")</f>
        <v>Bronze</v>
      </c>
      <c r="G834" s="265" t="str">
        <f>IFERROR(__xludf.DUMMYFUNCTION("""COMPUTED_VALUE"""),"Starter")</f>
        <v>Starter</v>
      </c>
      <c r="H834" s="265" t="str">
        <f>IFERROR(__xludf.DUMMYFUNCTION("""COMPUTED_VALUE"""),"Trả trước")</f>
        <v>Trả trước</v>
      </c>
      <c r="I834" s="265" t="str">
        <f>IFERROR(__xludf.DUMMYFUNCTION("""COMPUTED_VALUE"""),"API &amp; Portal")</f>
        <v>API &amp; Portal</v>
      </c>
      <c r="J834" s="265" t="str">
        <f>IFERROR(__xludf.DUMMYFUNCTION("""COMPUTED_VALUE"""),"File Excel")</f>
        <v>File Excel</v>
      </c>
    </row>
    <row r="835">
      <c r="A835" s="265" t="str">
        <f>IFERROR(__xludf.DUMMYFUNCTION("""COMPUTED_VALUE"""),"1044")</f>
        <v>1044</v>
      </c>
      <c r="B835" s="265" t="str">
        <f>IFERROR(__xludf.DUMMYFUNCTION("""COMPUTED_VALUE"""),"Hà Nội")</f>
        <v>Hà Nội</v>
      </c>
      <c r="C835" s="265" t="str">
        <f>IFERROR(__xludf.DUMMYFUNCTION("""COMPUTED_VALUE"""),"Active")</f>
        <v>Active</v>
      </c>
      <c r="D835" s="265" t="str">
        <f>IFERROR(__xludf.DUMMYFUNCTION("""COMPUTED_VALUE"""),"Giáo dục &amp; Đào tạo")</f>
        <v>Giáo dục &amp; Đào tạo</v>
      </c>
      <c r="E835" s="265" t="str">
        <f>IFERROR(__xludf.DUMMYFUNCTION("""COMPUTED_VALUE"""),"TúPHN")</f>
        <v>TúPHN</v>
      </c>
      <c r="F835" s="265" t="str">
        <f>IFERROR(__xludf.DUMMYFUNCTION("""COMPUTED_VALUE"""),"Bronze")</f>
        <v>Bronze</v>
      </c>
      <c r="G835" s="265" t="str">
        <f>IFERROR(__xludf.DUMMYFUNCTION("""COMPUTED_VALUE"""),"Starter")</f>
        <v>Starter</v>
      </c>
      <c r="H835" s="265" t="str">
        <f>IFERROR(__xludf.DUMMYFUNCTION("""COMPUTED_VALUE"""),"Trả trước")</f>
        <v>Trả trước</v>
      </c>
      <c r="I835" s="265" t="str">
        <f>IFERROR(__xludf.DUMMYFUNCTION("""COMPUTED_VALUE"""),"API &amp; Portal")</f>
        <v>API &amp; Portal</v>
      </c>
      <c r="J835" s="265" t="str">
        <f>IFERROR(__xludf.DUMMYFUNCTION("""COMPUTED_VALUE"""),"API")</f>
        <v>API</v>
      </c>
    </row>
  </sheetData>
  <autoFilter ref="$A$1:$J$688"/>
  <drawing r:id="rId2"/>
</worksheet>
</file>